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tables/table2.xml" ContentType="application/vnd.openxmlformats-officedocument.spreadsheetml.table+xml"/>
  <Override PartName="/xl/worksheets/sheet4.xml" ContentType="application/vnd.openxmlformats-officedocument.spreadsheetml.worksheet+xml"/>
  <Override PartName="/xl/tables/table3.xml" ContentType="application/vnd.openxmlformats-officedocument.spreadsheetml.table+xml"/>
  <Override PartName="/xl/worksheets/sheet5.xml" ContentType="application/vnd.openxmlformats-officedocument.spreadsheetml.worksheet+xml"/>
  <Override PartName="/xl/tables/table4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ables/table5.xml" ContentType="application/vnd.openxmlformats-officedocument.spreadsheetml.table+xml"/>
  <Override PartName="/xl/worksheets/sheet9.xml" ContentType="application/vnd.openxmlformats-officedocument.spreadsheetml.worksheet+xml"/>
  <Override PartName="/xl/tables/table6.xml" ContentType="application/vnd.openxmlformats-officedocument.spreadsheetml.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ables/table7.xml" ContentType="application/vnd.openxmlformats-officedocument.spreadsheetml.table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Questa_cartella_di_lavoro"/>
  <bookViews>
    <workbookView visibility="visible" minimized="0" showHorizontalScroll="1" showVerticalScroll="1" showSheetTabs="1" xWindow="0" yWindow="600" windowWidth="28800" windowHeight="16120" tabRatio="600" firstSheet="0" activeTab="0" autoFilterDateGrouping="1"/>
  </bookViews>
  <sheets>
    <sheet xmlns:r="http://schemas.openxmlformats.org/officeDocument/2006/relationships" name="Dashboard" sheetId="1" state="visible" r:id="rId1"/>
    <sheet xmlns:r="http://schemas.openxmlformats.org/officeDocument/2006/relationships" name="Compila" sheetId="2" state="visible" r:id="rId2"/>
    <sheet xmlns:r="http://schemas.openxmlformats.org/officeDocument/2006/relationships" name="CriteriTecnici" sheetId="3" state="visible" r:id="rId3"/>
    <sheet xmlns:r="http://schemas.openxmlformats.org/officeDocument/2006/relationships" name="Ottimizzazione" sheetId="4" state="visible" r:id="rId4"/>
    <sheet xmlns:r="http://schemas.openxmlformats.org/officeDocument/2006/relationships" name="Combinatorie" sheetId="5" state="visible" r:id="rId5"/>
    <sheet xmlns:r="http://schemas.openxmlformats.org/officeDocument/2006/relationships" name="Report" sheetId="6" state="visible" r:id="rId6"/>
    <sheet xmlns:r="http://schemas.openxmlformats.org/officeDocument/2006/relationships" name="Guida" sheetId="7" state="visible" r:id="rId7"/>
    <sheet xmlns:r="http://schemas.openxmlformats.org/officeDocument/2006/relationships" name="Parametri" sheetId="8" state="hidden" r:id="rId8"/>
    <sheet xmlns:r="http://schemas.openxmlformats.org/officeDocument/2006/relationships" name="Offerte" sheetId="9" state="hidden" r:id="rId9"/>
    <sheet xmlns:r="http://schemas.openxmlformats.org/officeDocument/2006/relationships" name="Risultati" sheetId="10" state="hidden" r:id="rId10"/>
    <sheet xmlns:r="http://schemas.openxmlformats.org/officeDocument/2006/relationships" name="Istruzioni" sheetId="11" state="hidden" r:id="rId11"/>
    <sheet xmlns:r="http://schemas.openxmlformats.org/officeDocument/2006/relationships" name="ScenarioGlobale" sheetId="12" state="hidden" r:id="rId12"/>
    <sheet xmlns:r="http://schemas.openxmlformats.org/officeDocument/2006/relationships" name="ScambioWeb" sheetId="13" state="hidden" r:id="rId13"/>
    <sheet xmlns:r="http://schemas.openxmlformats.org/officeDocument/2006/relationships" name="ConfrontoWeb" sheetId="14" state="hidden" r:id="rId14"/>
    <sheet xmlns:r="http://schemas.openxmlformats.org/officeDocument/2006/relationships" name="LogOttimizzazione" sheetId="15" state="hidden" r:id="rId15"/>
    <sheet xmlns:r="http://schemas.openxmlformats.org/officeDocument/2006/relationships" name="Glossario" sheetId="16" state="hidden" r:id="rId16"/>
  </sheets>
  <definedNames/>
  <calcPr calcId="0" calcMode="auto" fullCalcOnLoad="1" forceFullCalc="1"/>
</workbook>
</file>

<file path=xl/styles.xml><?xml version="1.0" encoding="utf-8"?>
<styleSheet xmlns="http://schemas.openxmlformats.org/spreadsheetml/2006/main">
  <numFmts count="0"/>
  <fonts count="30">
    <font>
      <name val="Calibri"/>
      <family val="2"/>
      <color theme="1"/>
      <sz val="11"/>
      <scheme val="minor"/>
    </font>
    <font>
      <name val="Calibri"/>
      <family val="2"/>
      <b val="1"/>
      <sz val="14"/>
    </font>
    <font>
      <name val="Calibri"/>
      <family val="2"/>
      <b val="1"/>
      <sz val="11"/>
    </font>
    <font>
      <name val="Calibri"/>
      <family val="2"/>
      <b val="1"/>
      <color rgb="FFFFFFFF"/>
      <sz val="11"/>
    </font>
    <font>
      <b val="1"/>
      <color rgb="00FFFFFF"/>
      <sz val="18"/>
    </font>
    <font>
      <color rgb="006B7280"/>
      <sz val="11"/>
    </font>
    <font>
      <b val="1"/>
      <color rgb="00FFFFFF"/>
      <sz val="12"/>
    </font>
    <font>
      <b val="1"/>
      <color rgb="001F2937"/>
    </font>
    <font>
      <color rgb="001F2937"/>
    </font>
    <font>
      <b val="1"/>
      <color rgb="00FFFFFF"/>
    </font>
    <font>
      <name val="Calibri"/>
      <family val="2"/>
      <color theme="10"/>
      <sz val="12"/>
      <scheme val="minor"/>
    </font>
    <font>
      <b val="1"/>
      <color rgb="002563EB"/>
      <u val="single"/>
    </font>
    <font>
      <b val="1"/>
      <color rgb="001F4E78"/>
      <sz val="12"/>
    </font>
    <font>
      <color rgb="001F2937"/>
      <sz val="10"/>
    </font>
    <font>
      <b val="1"/>
    </font>
    <font>
      <b val="1"/>
      <color rgb="001F2937"/>
      <sz val="10"/>
    </font>
    <font>
      <b val="1"/>
      <color rgb="001F4E78"/>
      <sz val="16"/>
    </font>
    <font>
      <color rgb="006B7280"/>
      <sz val="9"/>
    </font>
    <font>
      <name val="Menlo"/>
      <color rgb="001F2937"/>
      <sz val="9"/>
    </font>
    <font>
      <color rgb="00657176"/>
      <sz val="11"/>
    </font>
    <font>
      <b val="1"/>
      <color rgb="00172124"/>
      <sz val="10"/>
    </font>
    <font>
      <b val="1"/>
      <color rgb="00183B38"/>
      <sz val="16"/>
    </font>
    <font>
      <color rgb="00657176"/>
      <sz val="9"/>
    </font>
    <font>
      <b val="1"/>
      <color rgb="00315A8A"/>
      <u val="single"/>
    </font>
    <font>
      <color rgb="00172124"/>
    </font>
    <font>
      <b val="1"/>
      <color rgb="00172124"/>
    </font>
    <font>
      <b val="1"/>
      <color rgb="00172124"/>
      <sz val="12"/>
    </font>
    <font>
      <color rgb="00172124"/>
      <sz val="10"/>
    </font>
    <font>
      <name val="Menlo"/>
      <color rgb="00172124"/>
      <sz val="9"/>
    </font>
    <font>
      <b val="1"/>
      <color rgb="00183B38"/>
    </font>
  </fonts>
  <fills count="19">
    <fill>
      <patternFill/>
    </fill>
    <fill>
      <patternFill patternType="gray125"/>
    </fill>
    <fill>
      <patternFill patternType="solid">
        <fgColor rgb="FF1F4E78"/>
        <bgColor rgb="FF1F4E78"/>
      </patternFill>
    </fill>
    <fill>
      <patternFill patternType="solid">
        <fgColor rgb="001F4E78"/>
        <bgColor rgb="001F4E78"/>
      </patternFill>
    </fill>
    <fill>
      <patternFill patternType="solid">
        <fgColor rgb="002563EB"/>
        <bgColor rgb="002563EB"/>
      </patternFill>
    </fill>
    <fill>
      <patternFill patternType="solid">
        <fgColor rgb="00DCEBFF"/>
        <bgColor rgb="00DCEBFF"/>
      </patternFill>
    </fill>
    <fill>
      <patternFill patternType="solid">
        <fgColor rgb="00FFFFFF"/>
        <bgColor rgb="00FFFFFF"/>
      </patternFill>
    </fill>
    <fill>
      <patternFill patternType="solid">
        <fgColor rgb="00E8EEF8"/>
        <bgColor rgb="00E8EEF8"/>
      </patternFill>
    </fill>
    <fill>
      <patternFill patternType="solid">
        <fgColor rgb="00D9EAD3"/>
        <bgColor rgb="00D9EAD3"/>
      </patternFill>
    </fill>
    <fill>
      <patternFill patternType="solid">
        <fgColor rgb="00FFF2CC"/>
        <bgColor rgb="00FFF2CC"/>
      </patternFill>
    </fill>
    <fill>
      <patternFill patternType="solid">
        <fgColor rgb="00FFF8CC"/>
        <bgColor rgb="00FFF8CC"/>
      </patternFill>
    </fill>
    <fill>
      <patternFill patternType="solid">
        <fgColor rgb="00EAF7EA"/>
        <bgColor rgb="00EAF7EA"/>
      </patternFill>
    </fill>
    <fill>
      <patternFill patternType="solid">
        <fgColor rgb="00183B38"/>
        <bgColor rgb="00183B38"/>
      </patternFill>
    </fill>
    <fill>
      <patternFill patternType="solid">
        <fgColor rgb="000F766E"/>
        <bgColor rgb="000F766E"/>
      </patternFill>
    </fill>
    <fill>
      <patternFill patternType="solid">
        <fgColor rgb="00E6F4F1"/>
        <bgColor rgb="00E6F4F1"/>
      </patternFill>
    </fill>
    <fill>
      <patternFill patternType="solid">
        <fgColor rgb="00EDF3F2"/>
        <bgColor rgb="00EDF3F2"/>
      </patternFill>
    </fill>
    <fill>
      <patternFill patternType="solid">
        <fgColor rgb="00F8FAF9"/>
        <bgColor rgb="00F8FAF9"/>
      </patternFill>
    </fill>
    <fill>
      <patternFill patternType="solid">
        <fgColor rgb="00FFF6DF"/>
        <bgColor rgb="00FFF6DF"/>
      </patternFill>
    </fill>
    <fill>
      <patternFill patternType="solid">
        <fgColor rgb="00172124"/>
        <bgColor rgb="00172124"/>
      </patternFill>
    </fill>
  </fills>
  <borders count="21">
    <border>
      <left/>
      <right/>
      <top/>
      <bottom/>
      <diagonal/>
    </border>
    <border>
      <left style="thin">
        <color rgb="00D9E2F3"/>
      </left>
      <right style="thin">
        <color rgb="00D9E2F3"/>
      </right>
      <top style="thin">
        <color rgb="00D9E2F3"/>
      </top>
      <bottom style="thin">
        <color rgb="00D9E2F3"/>
      </bottom>
    </border>
    <border>
      <left/>
      <right/>
      <top style="thin">
        <color rgb="00D9E2F3"/>
      </top>
      <bottom/>
      <diagonal/>
    </border>
    <border>
      <left/>
      <right style="thin">
        <color rgb="00D9E2F3"/>
      </right>
      <top style="thin">
        <color rgb="00D9E2F3"/>
      </top>
      <bottom/>
      <diagonal/>
    </border>
    <border>
      <left/>
      <right/>
      <top style="thin">
        <color rgb="00D9E2F3"/>
      </top>
      <bottom style="thin">
        <color rgb="00D9E2F3"/>
      </bottom>
      <diagonal/>
    </border>
    <border>
      <left/>
      <right style="thin">
        <color rgb="00D9E2F3"/>
      </right>
      <top style="thin">
        <color rgb="00D9E2F3"/>
      </top>
      <bottom style="thin">
        <color rgb="00D9E2F3"/>
      </bottom>
      <diagonal/>
    </border>
    <border>
      <left style="thin">
        <color rgb="00D9E2F3"/>
      </left>
      <right/>
      <top/>
      <bottom/>
      <diagonal/>
    </border>
    <border>
      <left/>
      <right style="thin">
        <color rgb="00D9E2F3"/>
      </right>
      <top/>
      <bottom/>
      <diagonal/>
    </border>
    <border>
      <left style="thin">
        <color rgb="00D9E2F3"/>
      </left>
      <right/>
      <top/>
      <bottom style="thin">
        <color rgb="00D9E2F3"/>
      </bottom>
      <diagonal/>
    </border>
    <border>
      <left/>
      <right style="thin">
        <color rgb="00D9E2F3"/>
      </right>
      <top/>
      <bottom style="thin">
        <color rgb="00D9E2F3"/>
      </bottom>
      <diagonal/>
    </border>
    <border>
      <left/>
      <right/>
      <top/>
      <bottom style="thin">
        <color rgb="00D9E2F3"/>
      </bottom>
      <diagonal/>
    </border>
    <border>
      <left style="thin">
        <color rgb="00DCE5E4"/>
      </left>
      <right style="thin">
        <color rgb="00DCE5E4"/>
      </right>
      <top style="thin">
        <color rgb="00DCE5E4"/>
      </top>
      <bottom style="thin">
        <color rgb="00DCE5E4"/>
      </bottom>
    </border>
    <border>
      <left/>
      <right/>
      <top style="thin">
        <color rgb="00DCE5E4"/>
      </top>
      <bottom/>
      <diagonal/>
    </border>
    <border>
      <left/>
      <right style="thin">
        <color rgb="00DCE5E4"/>
      </right>
      <top style="thin">
        <color rgb="00DCE5E4"/>
      </top>
      <bottom/>
      <diagonal/>
    </border>
    <border>
      <left/>
      <right/>
      <top style="thin">
        <color rgb="00DCE5E4"/>
      </top>
      <bottom style="thin">
        <color rgb="00DCE5E4"/>
      </bottom>
      <diagonal/>
    </border>
    <border>
      <left/>
      <right style="thin">
        <color rgb="00DCE5E4"/>
      </right>
      <top style="thin">
        <color rgb="00DCE5E4"/>
      </top>
      <bottom style="thin">
        <color rgb="00DCE5E4"/>
      </bottom>
      <diagonal/>
    </border>
    <border>
      <left style="thin">
        <color rgb="00DCE5E4"/>
      </left>
      <right/>
      <top/>
      <bottom/>
      <diagonal/>
    </border>
    <border>
      <left/>
      <right style="thin">
        <color rgb="00DCE5E4"/>
      </right>
      <top/>
      <bottom/>
      <diagonal/>
    </border>
    <border>
      <left style="thin">
        <color rgb="00DCE5E4"/>
      </left>
      <right/>
      <top/>
      <bottom style="thin">
        <color rgb="00DCE5E4"/>
      </bottom>
      <diagonal/>
    </border>
    <border>
      <left/>
      <right/>
      <top/>
      <bottom style="thin">
        <color rgb="00DCE5E4"/>
      </bottom>
      <diagonal/>
    </border>
    <border>
      <left/>
      <right style="thin">
        <color rgb="00DCE5E4"/>
      </right>
      <top/>
      <bottom style="thin">
        <color rgb="00DCE5E4"/>
      </bottom>
      <diagonal/>
    </border>
  </borders>
  <cellStyleXfs count="2">
    <xf numFmtId="0" fontId="0" fillId="0" borderId="0"/>
    <xf numFmtId="0" fontId="10" fillId="0" borderId="0"/>
  </cellStyleXfs>
  <cellXfs count="83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0" applyAlignment="1" pivotButton="0" quotePrefix="0" xfId="0">
      <alignment horizontal="center"/>
    </xf>
    <xf numFmtId="0" fontId="4" fillId="3" borderId="0" applyAlignment="1" pivotButton="0" quotePrefix="0" xfId="0">
      <alignment vertical="center"/>
    </xf>
    <xf numFmtId="0" fontId="5" fillId="0" borderId="0" applyAlignment="1" pivotButton="0" quotePrefix="0" xfId="0">
      <alignment wrapText="1"/>
    </xf>
    <xf numFmtId="0" fontId="6" fillId="4" borderId="0" applyAlignment="1" pivotButton="0" quotePrefix="0" xfId="0">
      <alignment vertical="center"/>
    </xf>
    <xf numFmtId="0" fontId="7" fillId="5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/>
    </xf>
    <xf numFmtId="0" fontId="7" fillId="7" borderId="1" applyAlignment="1" pivotButton="0" quotePrefix="0" xfId="0">
      <alignment vertical="top" wrapText="1"/>
    </xf>
    <xf numFmtId="0" fontId="8" fillId="6" borderId="1" applyAlignment="1" pivotButton="0" quotePrefix="0" xfId="0">
      <alignment vertical="top" wrapText="1"/>
    </xf>
    <xf numFmtId="0" fontId="11" fillId="0" borderId="0" pivotButton="0" quotePrefix="0" xfId="1"/>
    <xf numFmtId="0" fontId="7" fillId="8" borderId="1" applyAlignment="1" pivotButton="0" quotePrefix="0" xfId="0">
      <alignment vertical="top" wrapText="1"/>
    </xf>
    <xf numFmtId="0" fontId="0" fillId="9" borderId="1" applyAlignment="1" pivotButton="0" quotePrefix="0" xfId="0">
      <alignment wrapText="1"/>
    </xf>
    <xf numFmtId="0" fontId="0" fillId="6" borderId="1" applyAlignment="1" pivotButton="0" quotePrefix="0" xfId="0">
      <alignment wrapText="1"/>
    </xf>
    <xf numFmtId="0" fontId="9" fillId="3" borderId="1" applyAlignment="1" pivotButton="0" quotePrefix="0" xfId="0">
      <alignment vertical="top" wrapText="1"/>
    </xf>
    <xf numFmtId="0" fontId="14" fillId="7" borderId="1" applyAlignment="1" pivotButton="0" quotePrefix="0" xfId="0">
      <alignment vertical="top" wrapText="1"/>
    </xf>
    <xf numFmtId="0" fontId="0" fillId="9" borderId="1" applyAlignment="1" pivotButton="0" quotePrefix="0" xfId="0">
      <alignment vertical="top" wrapText="1"/>
    </xf>
    <xf numFmtId="0" fontId="9" fillId="3" borderId="1" applyAlignment="1" pivotButton="0" quotePrefix="0" xfId="0">
      <alignment horizontal="center" vertical="center" wrapText="1"/>
    </xf>
    <xf numFmtId="0" fontId="7" fillId="10" borderId="1" applyAlignment="1" pivotButton="0" quotePrefix="0" xfId="0">
      <alignment vertical="top" wrapText="1"/>
    </xf>
    <xf numFmtId="0" fontId="8" fillId="10" borderId="1" applyAlignment="1" pivotButton="0" quotePrefix="0" xfId="0">
      <alignment vertical="top" wrapText="1"/>
    </xf>
    <xf numFmtId="0" fontId="8" fillId="11" borderId="1" applyAlignment="1" pivotButton="0" quotePrefix="0" xfId="0">
      <alignment vertical="top" wrapText="1"/>
    </xf>
    <xf numFmtId="0" fontId="0" fillId="0" borderId="1" applyAlignment="1" pivotButton="0" quotePrefix="0" xfId="0">
      <alignment vertical="top" wrapText="1"/>
    </xf>
    <xf numFmtId="0" fontId="12" fillId="7" borderId="0" applyAlignment="1" pivotButton="0" quotePrefix="0" xfId="0">
      <alignment vertical="top" wrapText="1"/>
    </xf>
    <xf numFmtId="0" fontId="13" fillId="0" borderId="0" applyAlignment="1" pivotButton="0" quotePrefix="0" xfId="0">
      <alignment vertical="top" wrapText="1"/>
    </xf>
    <xf numFmtId="0" fontId="15" fillId="5" borderId="1" applyAlignment="1" pivotButton="0" quotePrefix="0" xfId="0">
      <alignment horizontal="center" vertical="center" wrapText="1"/>
    </xf>
    <xf numFmtId="0" fontId="16" fillId="5" borderId="1" applyAlignment="1" pivotButton="0" quotePrefix="0" xfId="0">
      <alignment horizontal="center" vertical="center" wrapText="1"/>
    </xf>
    <xf numFmtId="0" fontId="17" fillId="5" borderId="1" applyAlignment="1" pivotButton="0" quotePrefix="0" xfId="0">
      <alignment horizontal="center" vertical="center" wrapText="1"/>
    </xf>
    <xf numFmtId="0" fontId="0" fillId="6" borderId="1" applyAlignment="1" pivotButton="0" quotePrefix="0" xfId="0">
      <alignment vertical="top" wrapText="1"/>
    </xf>
    <xf numFmtId="0" fontId="18" fillId="6" borderId="1" applyAlignment="1" pivotButton="0" quotePrefix="0" xfId="0">
      <alignment vertical="top"/>
    </xf>
    <xf numFmtId="0" fontId="0" fillId="11" borderId="0" pivotButton="0" quotePrefix="0" xfId="0"/>
    <xf numFmtId="0" fontId="18" fillId="6" borderId="1" applyAlignment="1" pivotButton="0" quotePrefix="0" xfId="0">
      <alignment vertical="top"/>
    </xf>
    <xf numFmtId="0" fontId="18" fillId="6" borderId="1" applyAlignment="1" pivotButton="0" quotePrefix="0" xfId="0">
      <alignment vertical="top"/>
    </xf>
    <xf numFmtId="0" fontId="18" fillId="6" borderId="1" applyAlignment="1" pivotButton="0" quotePrefix="0" xfId="0">
      <alignment vertical="top"/>
    </xf>
    <xf numFmtId="0" fontId="18" fillId="6" borderId="1" applyAlignment="1" pivotButton="0" quotePrefix="0" xfId="0">
      <alignment vertical="top"/>
    </xf>
    <xf numFmtId="0" fontId="18" fillId="6" borderId="1" applyAlignment="1" pivotButton="0" quotePrefix="0" xfId="0">
      <alignment vertical="top"/>
    </xf>
    <xf numFmtId="0" fontId="18" fillId="6" borderId="1" applyAlignment="1" pivotButton="0" quotePrefix="0" xfId="0">
      <alignment vertical="top"/>
    </xf>
    <xf numFmtId="0" fontId="18" fillId="6" borderId="1" applyAlignment="1" pivotButton="0" quotePrefix="0" xfId="0">
      <alignment vertical="top"/>
    </xf>
    <xf numFmtId="0" fontId="18" fillId="6" borderId="1" applyAlignment="1" pivotButton="0" quotePrefix="0" xfId="0">
      <alignment vertical="top"/>
    </xf>
    <xf numFmtId="0" fontId="4" fillId="12" borderId="0" applyAlignment="1" pivotButton="0" quotePrefix="0" xfId="0">
      <alignment vertical="center"/>
    </xf>
    <xf numFmtId="0" fontId="19" fillId="0" borderId="0" applyAlignment="1" pivotButton="0" quotePrefix="0" xfId="0">
      <alignment wrapText="1"/>
    </xf>
    <xf numFmtId="0" fontId="6" fillId="13" borderId="0" applyAlignment="1" pivotButton="0" quotePrefix="0" xfId="0">
      <alignment vertical="center"/>
    </xf>
    <xf numFmtId="0" fontId="20" fillId="14" borderId="11" applyAlignment="1" pivotButton="0" quotePrefix="0" xfId="0">
      <alignment horizontal="center" vertical="center" wrapText="1"/>
    </xf>
    <xf numFmtId="0" fontId="21" fillId="14" borderId="11" applyAlignment="1" pivotButton="0" quotePrefix="0" xfId="0">
      <alignment horizontal="center" vertical="center" wrapText="1"/>
    </xf>
    <xf numFmtId="0" fontId="22" fillId="14" borderId="11" applyAlignment="1" pivotButton="0" quotePrefix="0" xfId="0">
      <alignment horizontal="center" vertical="center" wrapText="1"/>
    </xf>
    <xf numFmtId="0" fontId="9" fillId="12" borderId="11" applyAlignment="1" pivotButton="0" quotePrefix="0" xfId="0">
      <alignment horizontal="center"/>
    </xf>
    <xf numFmtId="0" fontId="25" fillId="15" borderId="11" applyAlignment="1" pivotButton="0" quotePrefix="0" xfId="0">
      <alignment vertical="top" wrapText="1"/>
    </xf>
    <xf numFmtId="0" fontId="24" fillId="6" borderId="11" applyAlignment="1" pivotButton="0" quotePrefix="0" xfId="1">
      <alignment vertical="top" wrapText="1"/>
    </xf>
    <xf numFmtId="0" fontId="24" fillId="6" borderId="11" applyAlignment="1" pivotButton="0" quotePrefix="0" xfId="0">
      <alignment vertical="top" wrapText="1"/>
    </xf>
    <xf numFmtId="0" fontId="23" fillId="0" borderId="0" pivotButton="0" quotePrefix="0" xfId="1"/>
    <xf numFmtId="0" fontId="25" fillId="14" borderId="11" applyAlignment="1" pivotButton="0" quotePrefix="0" xfId="0">
      <alignment vertical="top" wrapText="1"/>
    </xf>
    <xf numFmtId="0" fontId="0" fillId="16" borderId="11" applyAlignment="1" pivotButton="0" quotePrefix="0" xfId="0">
      <alignment wrapText="1"/>
    </xf>
    <xf numFmtId="0" fontId="0" fillId="6" borderId="11" applyAlignment="1" pivotButton="0" quotePrefix="0" xfId="0">
      <alignment wrapText="1"/>
    </xf>
    <xf numFmtId="0" fontId="0" fillId="17" borderId="11" applyAlignment="1" pivotButton="0" quotePrefix="0" xfId="0">
      <alignment wrapText="1"/>
    </xf>
    <xf numFmtId="0" fontId="9" fillId="18" borderId="11" applyAlignment="1" pivotButton="0" quotePrefix="0" xfId="0">
      <alignment horizontal="center" vertical="center" wrapText="1"/>
    </xf>
    <xf numFmtId="0" fontId="25" fillId="17" borderId="11" applyAlignment="1" pivotButton="0" quotePrefix="0" xfId="0">
      <alignment vertical="top" wrapText="1"/>
    </xf>
    <xf numFmtId="0" fontId="24" fillId="17" borderId="11" applyAlignment="1" pivotButton="0" quotePrefix="0" xfId="0">
      <alignment vertical="top" wrapText="1"/>
    </xf>
    <xf numFmtId="0" fontId="24" fillId="14" borderId="11" applyAlignment="1" pivotButton="0" quotePrefix="0" xfId="0">
      <alignment vertical="top" wrapText="1"/>
    </xf>
    <xf numFmtId="0" fontId="0" fillId="0" borderId="11" applyAlignment="1" pivotButton="0" quotePrefix="0" xfId="0">
      <alignment vertical="top" wrapText="1"/>
    </xf>
    <xf numFmtId="0" fontId="26" fillId="15" borderId="0" applyAlignment="1" pivotButton="0" quotePrefix="0" xfId="0">
      <alignment vertical="top" wrapText="1"/>
    </xf>
    <xf numFmtId="0" fontId="27" fillId="0" borderId="0" applyAlignment="1" pivotButton="0" quotePrefix="0" xfId="0">
      <alignment vertical="top" wrapText="1"/>
    </xf>
    <xf numFmtId="0" fontId="9" fillId="18" borderId="11" applyAlignment="1" pivotButton="0" quotePrefix="0" xfId="0">
      <alignment vertical="top" wrapText="1"/>
    </xf>
    <xf numFmtId="0" fontId="14" fillId="15" borderId="11" applyAlignment="1" pivotButton="0" quotePrefix="0" xfId="0">
      <alignment vertical="top" wrapText="1"/>
    </xf>
    <xf numFmtId="0" fontId="0" fillId="17" borderId="11" applyAlignment="1" pivotButton="0" quotePrefix="0" xfId="0">
      <alignment vertical="top" wrapText="1"/>
    </xf>
    <xf numFmtId="0" fontId="0" fillId="6" borderId="11" applyAlignment="1" pivotButton="0" quotePrefix="0" xfId="0">
      <alignment vertical="top" wrapText="1"/>
    </xf>
    <xf numFmtId="0" fontId="9" fillId="18" borderId="11" applyAlignment="1" pivotButton="0" quotePrefix="0" xfId="0">
      <alignment horizontal="center"/>
    </xf>
    <xf numFmtId="0" fontId="28" fillId="6" borderId="11" applyAlignment="1" pivotButton="0" quotePrefix="0" xfId="0">
      <alignment vertical="top"/>
    </xf>
    <xf numFmtId="0" fontId="29" fillId="14" borderId="11" applyAlignment="1" pivotButton="0" quotePrefix="0" xfId="0">
      <alignment horizontal="center" vertical="center" wrapText="1"/>
    </xf>
    <xf numFmtId="0" fontId="9" fillId="13" borderId="0" applyAlignment="1" pivotButton="0" quotePrefix="0" xfId="0">
      <alignment vertical="center"/>
    </xf>
    <xf numFmtId="0" fontId="25" fillId="17" borderId="11" applyAlignment="1" applyProtection="1" pivotButton="0" quotePrefix="0" xfId="0">
      <alignment vertical="top" wrapText="1"/>
      <protection locked="0" hidden="0"/>
    </xf>
    <xf numFmtId="0" fontId="24" fillId="15" borderId="11" applyAlignment="1" pivotButton="0" quotePrefix="0" xfId="0">
      <alignment vertical="top" wrapText="1"/>
    </xf>
    <xf numFmtId="0" fontId="29" fillId="6" borderId="11" applyAlignment="1" pivotButton="0" quotePrefix="0" xfId="0">
      <alignment vertical="top" wrapText="1"/>
    </xf>
    <xf numFmtId="0" fontId="29" fillId="14" borderId="11" applyAlignment="1" pivotButton="0" quotePrefix="0" xfId="0">
      <alignment vertical="top" wrapText="1"/>
    </xf>
    <xf numFmtId="0" fontId="24" fillId="17" borderId="11" applyAlignment="1" applyProtection="1" pivotButton="0" quotePrefix="0" xfId="0">
      <alignment vertical="top" wrapText="1"/>
      <protection locked="0" hidden="0"/>
    </xf>
    <xf numFmtId="0" fontId="24" fillId="6" borderId="11" applyAlignment="1" applyProtection="1" pivotButton="0" quotePrefix="0" xfId="0">
      <alignment vertical="top" wrapText="1"/>
      <protection locked="0" hidden="0"/>
    </xf>
    <xf numFmtId="0" fontId="28" fillId="6" borderId="11" applyAlignment="1" pivotButton="0" quotePrefix="0" xfId="0">
      <alignment vertical="top"/>
    </xf>
    <xf numFmtId="0" fontId="28" fillId="6" borderId="11" applyAlignment="1" pivotButton="0" quotePrefix="0" xfId="0">
      <alignment vertical="top"/>
    </xf>
    <xf numFmtId="0" fontId="28" fillId="6" borderId="11" applyAlignment="1" pivotButton="0" quotePrefix="0" xfId="0">
      <alignment vertical="top"/>
    </xf>
    <xf numFmtId="0" fontId="28" fillId="6" borderId="11" applyAlignment="1" pivotButton="0" quotePrefix="0" xfId="0">
      <alignment vertical="top"/>
    </xf>
    <xf numFmtId="0" fontId="28" fillId="6" borderId="11" applyAlignment="1" pivotButton="0" quotePrefix="0" xfId="0">
      <alignment vertical="top"/>
    </xf>
    <xf numFmtId="0" fontId="28" fillId="6" borderId="11" applyAlignment="1" pivotButton="0" quotePrefix="0" xfId="0">
      <alignment vertical="top"/>
    </xf>
    <xf numFmtId="0" fontId="28" fillId="6" borderId="11" applyAlignment="1" pivotButton="0" quotePrefix="0" xfId="0">
      <alignment vertical="top"/>
    </xf>
    <xf numFmtId="0" fontId="28" fillId="6" borderId="11" applyAlignment="1" pivotButton="0" quotePrefix="0" xfId="0">
      <alignment vertical="top"/>
    </xf>
  </cellXfs>
  <cellStyles count="2">
    <cellStyle name="Normale" xfId="0" builtinId="0"/>
    <cellStyle name="Hyperlink" xfId="1" builtinId="8" hidden="0"/>
  </cellStyles>
  <dxfs count="6">
    <dxf>
      <fill>
        <patternFill patternType="solid">
          <fgColor rgb="00FCE4D6"/>
          <bgColor rgb="00FCE4D6"/>
        </patternFill>
      </fill>
    </dxf>
    <dxf>
      <fill>
        <patternFill patternType="solid">
          <fgColor rgb="00FFF2CC"/>
          <bgColor rgb="00FFF2CC"/>
        </patternFill>
      </fill>
    </dxf>
    <dxf>
      <fill>
        <patternFill patternType="solid">
          <fgColor rgb="00D9EAD3"/>
          <bgColor rgb="00D9EAD3"/>
        </patternFill>
      </fill>
    </dxf>
    <dxf>
      <fill>
        <patternFill patternType="solid">
          <fgColor rgb="00E6F4F1"/>
          <bgColor rgb="00E6F4F1"/>
        </patternFill>
      </fill>
    </dxf>
    <dxf>
      <fill>
        <patternFill patternType="solid">
          <fgColor rgb="00FFF0ED"/>
          <bgColor rgb="00FFF0ED"/>
        </patternFill>
      </fill>
    </dxf>
    <dxf>
      <fill>
        <patternFill patternType="solid">
          <fgColor rgb="00FFF6DF"/>
          <bgColor rgb="00FFF6DF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tables/table1.xml><?xml version="1.0" encoding="utf-8"?>
<table xmlns="http://schemas.openxmlformats.org/spreadsheetml/2006/main" id="1" name="tblCompilaOfferte" displayName="tblCompilaOfferte" ref="A11:K91" headerRowCount="1">
  <autoFilter ref="A11:K91"/>
  <tableColumns count="11">
    <tableColumn id="1" name="BidderId"/>
    <tableColumn id="2" name="BidderNome"/>
    <tableColumn id="3" name="Lotto"/>
    <tableColumn id="4" name="Attivo"/>
    <tableColumn id="5" name="Ribasso %"/>
    <tableColumn id="6" name="Tecnico A-G"/>
    <tableColumn id="7" name="Ammesso"/>
    <tableColumn id="8" name="Economico"/>
    <tableColumn id="9" name="Totale"/>
    <tableColumn id="10" name="Stato"/>
    <tableColumn id="11" name="Dettaglio A-G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2" name="tblCriteriTecnici" displayName="tblCriteriTecnici" ref="A4:T2484" headerRowCount="1">
  <autoFilter ref="A4:T2484"/>
  <tableColumns count="20">
    <tableColumn id="1" name="BidderId"/>
    <tableColumn id="2" name="BidderNome"/>
    <tableColumn id="3" name="Lotto"/>
    <tableColumn id="4" name="CriterioId"/>
    <tableColumn id="5" name="Ambito"/>
    <tableColumn id="6" name="Tipo"/>
    <tableColumn id="7" name="Formula"/>
    <tableColumn id="8" name="PuntiMax"/>
    <tableColumn id="9" name="Descrizione"/>
    <tableColumn id="10" name="Valore"/>
    <tableColumn id="11" name="Numeratore"/>
    <tableColumn id="12" name="Denominatore"/>
    <tableColumn id="13" name="Flag/Coeff"/>
    <tableColumn id="14" name="ValoreCalcolato"/>
    <tableColumn id="15" name="PunteggioRaw"/>
    <tableColumn id="16" name="Note"/>
    <tableColumn id="17" name="ChiaveOfferta"/>
    <tableColumn id="18" name="ChiaveCriterio"/>
    <tableColumn id="19" name="OffertaAttiva"/>
    <tableColumn id="20" name="OffertaAmmessa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3" name="tblOttimizzazione" displayName="tblOttimizzazione" ref="A1:C9" headerRowCount="1">
  <autoFilter ref="A1:C9"/>
  <tableColumns count="3">
    <tableColumn id="1" name="Parametro"/>
    <tableColumn id="2" name="Valore"/>
    <tableColumn id="3" name="Descrizione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id="4" name="tblCombinatorie" displayName="tblCombinatorie" ref="A4:W80" headerRowCount="1">
  <autoFilter ref="A4:W80"/>
  <tableColumns count="23">
    <tableColumn id="1" name="BidderId"/>
    <tableColumn id="2" name="BidderNome"/>
    <tableColumn id="3" name="Coppia"/>
    <tableColumn id="4" name="Attivo"/>
    <tableColumn id="5" name="RibassoCombinatoria"/>
    <tableColumn id="6" name="InseritoBuste"/>
    <tableColumn id="7" name="PEFCoerente"/>
    <tableColumn id="8" name="LottoA"/>
    <tableColumn id="9" name="LottoB"/>
    <tableColumn id="10" name="AttivoA"/>
    <tableColumn id="11" name="AttivoB"/>
    <tableColumn id="12" name="TecnicoA"/>
    <tableColumn id="13" name="TecnicoB"/>
    <tableColumn id="14" name="Ammissibile"/>
    <tableColumn id="15" name="EconomicoA"/>
    <tableColumn id="16" name="EconomicoB"/>
    <tableColumn id="17" name="TotaleCoppia"/>
    <tableColumn id="18" name="Note"/>
    <tableColumn id="19" name="RibassoSingoloA"/>
    <tableColumn id="20" name="RibassoSingoloB"/>
    <tableColumn id="21" name="RibassoMinimoIndicativo"/>
    <tableColumn id="22" name="ChiaveCoppiaTotale"/>
    <tableColumn id="23" name="ChiaveCoppiaBidder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id="5" name="tblParametri" displayName="tblParametri" ref="A1:C5" headerRowCount="1">
  <autoFilter ref="A1:C5"/>
  <tableColumns count="3">
    <tableColumn id="1" name="Parametro"/>
    <tableColumn id="2" name="Valore"/>
    <tableColumn id="3" name="Note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id="6" name="tblOfferte" displayName="tblOfferte" ref="A1:P81" headerRowCount="1">
  <autoFilter ref="A1:P81"/>
  <tableColumns count="16">
    <tableColumn id="1" name="BidderId"/>
    <tableColumn id="2" name="BidderNome"/>
    <tableColumn id="3" name="Lotto"/>
    <tableColumn id="4" name="Attivo"/>
    <tableColumn id="5" name="TecnicoRiparametrato"/>
    <tableColumn id="6" name="RibassoMedioPercento"/>
    <tableColumn id="7" name="AmmessoFormula"/>
    <tableColumn id="8" name="RMaxAmmessi"/>
    <tableColumn id="9" name="EconomicoFormula"/>
    <tableColumn id="10" name="TotaleFormula"/>
    <tableColumn id="11" name="Warning"/>
    <tableColumn id="12" name="ChiaveOfferta"/>
    <tableColumn id="13" name="ChiaveLottoTotale"/>
    <tableColumn id="14" name="TecnicoAggregatoFallback"/>
    <tableColumn id="15" name="TecnicoSogliaQT"/>
    <tableColumn id="16" name="FonteTecnico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id="7" name="tblConfrontoWeb" displayName="tblConfrontoWeb" ref="A1:J8" headerRowCount="1">
  <autoFilter ref="A1:J8"/>
  <tableColumns count="10">
    <tableColumn id="1" name="Caso"/>
    <tableColumn id="2" name="Scenario"/>
    <tableColumn id="3" name="LotId"/>
    <tableColumn id="4" name="ExpectedTotal"/>
    <tableColumn id="5" name="Tolerance"/>
    <tableColumn id="6" name="WebSource"/>
    <tableColumn id="7" name="VerifiedAt"/>
    <tableColumn id="8" name="Note"/>
    <tableColumn id="9" name="Input expected"/>
    <tableColumn id="10" name="Valore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#'Compila'!A1" TargetMode="External" Id="rId1"/><Relationship Type="http://schemas.openxmlformats.org/officeDocument/2006/relationships/hyperlink" Target="#'CriteriTecnici'!A1" TargetMode="External" Id="rId2"/><Relationship Type="http://schemas.openxmlformats.org/officeDocument/2006/relationships/hyperlink" Target="#'Compila'!A1" TargetMode="External" Id="rId3"/><Relationship Type="http://schemas.openxmlformats.org/officeDocument/2006/relationships/hyperlink" Target="#'Ottimizzazione'!A1" TargetMode="External" Id="rId4"/><Relationship Type="http://schemas.openxmlformats.org/officeDocument/2006/relationships/hyperlink" Target="#'Combinatorie'!A1" TargetMode="External" Id="rId5"/><Relationship Type="http://schemas.openxmlformats.org/officeDocument/2006/relationships/hyperlink" Target="#'Report'!A1" TargetMode="External" Id="rId6"/><Relationship Type="http://schemas.openxmlformats.org/officeDocument/2006/relationships/hyperlink" Target="#'Compila'!A1" TargetMode="External" Id="rId7"/><Relationship Type="http://schemas.openxmlformats.org/officeDocument/2006/relationships/hyperlink" Target="#'Report'!A1" TargetMode="External" Id="rId8"/><Relationship Type="http://schemas.openxmlformats.org/officeDocument/2006/relationships/hyperlink" Target="#'CriteriTecnici'!A1" TargetMode="External" Id="rId9"/><Relationship Type="http://schemas.openxmlformats.org/officeDocument/2006/relationships/hyperlink" Target="#'Combinatorie'!A1" TargetMode="External" Id="rId10"/><Relationship Type="http://schemas.openxmlformats.org/officeDocument/2006/relationships/hyperlink" Target="#'Ottimizzazione'!A1" TargetMode="External" Id="rId11"/><Relationship Type="http://schemas.openxmlformats.org/officeDocument/2006/relationships/hyperlink" Target="#'Guida'!A1" TargetMode="External" Id="rId12"/></Relationships>
</file>

<file path=xl/worksheets/_rels/sheet2.xml.rels><Relationships xmlns="http://schemas.openxmlformats.org/package/2006/relationships"><Relationship Type="http://schemas.openxmlformats.org/officeDocument/2006/relationships/hyperlink" Target="#'CriteriTecnici'!A5" TargetMode="External" Id="rId1"/><Relationship Type="http://schemas.openxmlformats.org/officeDocument/2006/relationships/hyperlink" Target="#'CriteriTecnici'!A36" TargetMode="External" Id="rId2"/><Relationship Type="http://schemas.openxmlformats.org/officeDocument/2006/relationships/hyperlink" Target="#'CriteriTecnici'!A67" TargetMode="External" Id="rId3"/><Relationship Type="http://schemas.openxmlformats.org/officeDocument/2006/relationships/hyperlink" Target="#'CriteriTecnici'!A98" TargetMode="External" Id="rId4"/><Relationship Type="http://schemas.openxmlformats.org/officeDocument/2006/relationships/hyperlink" Target="#'CriteriTecnici'!A129" TargetMode="External" Id="rId5"/><Relationship Type="http://schemas.openxmlformats.org/officeDocument/2006/relationships/hyperlink" Target="#'CriteriTecnici'!A160" TargetMode="External" Id="rId6"/><Relationship Type="http://schemas.openxmlformats.org/officeDocument/2006/relationships/hyperlink" Target="#'CriteriTecnici'!A191" TargetMode="External" Id="rId7"/><Relationship Type="http://schemas.openxmlformats.org/officeDocument/2006/relationships/hyperlink" Target="#'CriteriTecnici'!A222" TargetMode="External" Id="rId8"/><Relationship Type="http://schemas.openxmlformats.org/officeDocument/2006/relationships/hyperlink" Target="#'CriteriTecnici'!A253" TargetMode="External" Id="rId9"/><Relationship Type="http://schemas.openxmlformats.org/officeDocument/2006/relationships/hyperlink" Target="#'CriteriTecnici'!A284" TargetMode="External" Id="rId10"/><Relationship Type="http://schemas.openxmlformats.org/officeDocument/2006/relationships/hyperlink" Target="#'CriteriTecnici'!A315" TargetMode="External" Id="rId11"/><Relationship Type="http://schemas.openxmlformats.org/officeDocument/2006/relationships/hyperlink" Target="#'CriteriTecnici'!A346" TargetMode="External" Id="rId12"/><Relationship Type="http://schemas.openxmlformats.org/officeDocument/2006/relationships/hyperlink" Target="#'CriteriTecnici'!A377" TargetMode="External" Id="rId13"/><Relationship Type="http://schemas.openxmlformats.org/officeDocument/2006/relationships/hyperlink" Target="#'CriteriTecnici'!A408" TargetMode="External" Id="rId14"/><Relationship Type="http://schemas.openxmlformats.org/officeDocument/2006/relationships/hyperlink" Target="#'CriteriTecnici'!A439" TargetMode="External" Id="rId15"/><Relationship Type="http://schemas.openxmlformats.org/officeDocument/2006/relationships/hyperlink" Target="#'CriteriTecnici'!A470" TargetMode="External" Id="rId16"/><Relationship Type="http://schemas.openxmlformats.org/officeDocument/2006/relationships/hyperlink" Target="#'CriteriTecnici'!A501" TargetMode="External" Id="rId17"/><Relationship Type="http://schemas.openxmlformats.org/officeDocument/2006/relationships/hyperlink" Target="#'CriteriTecnici'!A532" TargetMode="External" Id="rId18"/><Relationship Type="http://schemas.openxmlformats.org/officeDocument/2006/relationships/hyperlink" Target="#'CriteriTecnici'!A563" TargetMode="External" Id="rId19"/><Relationship Type="http://schemas.openxmlformats.org/officeDocument/2006/relationships/hyperlink" Target="#'CriteriTecnici'!A594" TargetMode="External" Id="rId20"/><Relationship Type="http://schemas.openxmlformats.org/officeDocument/2006/relationships/hyperlink" Target="#'CriteriTecnici'!A625" TargetMode="External" Id="rId21"/><Relationship Type="http://schemas.openxmlformats.org/officeDocument/2006/relationships/hyperlink" Target="#'CriteriTecnici'!A656" TargetMode="External" Id="rId22"/><Relationship Type="http://schemas.openxmlformats.org/officeDocument/2006/relationships/hyperlink" Target="#'CriteriTecnici'!A687" TargetMode="External" Id="rId23"/><Relationship Type="http://schemas.openxmlformats.org/officeDocument/2006/relationships/hyperlink" Target="#'CriteriTecnici'!A718" TargetMode="External" Id="rId24"/><Relationship Type="http://schemas.openxmlformats.org/officeDocument/2006/relationships/hyperlink" Target="#'CriteriTecnici'!A749" TargetMode="External" Id="rId25"/><Relationship Type="http://schemas.openxmlformats.org/officeDocument/2006/relationships/hyperlink" Target="#'CriteriTecnici'!A780" TargetMode="External" Id="rId26"/><Relationship Type="http://schemas.openxmlformats.org/officeDocument/2006/relationships/hyperlink" Target="#'CriteriTecnici'!A811" TargetMode="External" Id="rId27"/><Relationship Type="http://schemas.openxmlformats.org/officeDocument/2006/relationships/hyperlink" Target="#'CriteriTecnici'!A842" TargetMode="External" Id="rId28"/><Relationship Type="http://schemas.openxmlformats.org/officeDocument/2006/relationships/hyperlink" Target="#'CriteriTecnici'!A873" TargetMode="External" Id="rId29"/><Relationship Type="http://schemas.openxmlformats.org/officeDocument/2006/relationships/hyperlink" Target="#'CriteriTecnici'!A904" TargetMode="External" Id="rId30"/><Relationship Type="http://schemas.openxmlformats.org/officeDocument/2006/relationships/hyperlink" Target="#'CriteriTecnici'!A935" TargetMode="External" Id="rId31"/><Relationship Type="http://schemas.openxmlformats.org/officeDocument/2006/relationships/hyperlink" Target="#'CriteriTecnici'!A966" TargetMode="External" Id="rId32"/><Relationship Type="http://schemas.openxmlformats.org/officeDocument/2006/relationships/hyperlink" Target="#'CriteriTecnici'!A997" TargetMode="External" Id="rId33"/><Relationship Type="http://schemas.openxmlformats.org/officeDocument/2006/relationships/hyperlink" Target="#'CriteriTecnici'!A1028" TargetMode="External" Id="rId34"/><Relationship Type="http://schemas.openxmlformats.org/officeDocument/2006/relationships/hyperlink" Target="#'CriteriTecnici'!A1059" TargetMode="External" Id="rId35"/><Relationship Type="http://schemas.openxmlformats.org/officeDocument/2006/relationships/hyperlink" Target="#'CriteriTecnici'!A1090" TargetMode="External" Id="rId36"/><Relationship Type="http://schemas.openxmlformats.org/officeDocument/2006/relationships/hyperlink" Target="#'CriteriTecnici'!A1121" TargetMode="External" Id="rId37"/><Relationship Type="http://schemas.openxmlformats.org/officeDocument/2006/relationships/hyperlink" Target="#'CriteriTecnici'!A1152" TargetMode="External" Id="rId38"/><Relationship Type="http://schemas.openxmlformats.org/officeDocument/2006/relationships/hyperlink" Target="#'CriteriTecnici'!A1183" TargetMode="External" Id="rId39"/><Relationship Type="http://schemas.openxmlformats.org/officeDocument/2006/relationships/hyperlink" Target="#'CriteriTecnici'!A1214" TargetMode="External" Id="rId40"/><Relationship Type="http://schemas.openxmlformats.org/officeDocument/2006/relationships/hyperlink" Target="#'CriteriTecnici'!A1245" TargetMode="External" Id="rId41"/><Relationship Type="http://schemas.openxmlformats.org/officeDocument/2006/relationships/hyperlink" Target="#'CriteriTecnici'!A1276" TargetMode="External" Id="rId42"/><Relationship Type="http://schemas.openxmlformats.org/officeDocument/2006/relationships/hyperlink" Target="#'CriteriTecnici'!A1307" TargetMode="External" Id="rId43"/><Relationship Type="http://schemas.openxmlformats.org/officeDocument/2006/relationships/hyperlink" Target="#'CriteriTecnici'!A1338" TargetMode="External" Id="rId44"/><Relationship Type="http://schemas.openxmlformats.org/officeDocument/2006/relationships/hyperlink" Target="#'CriteriTecnici'!A1369" TargetMode="External" Id="rId45"/><Relationship Type="http://schemas.openxmlformats.org/officeDocument/2006/relationships/hyperlink" Target="#'CriteriTecnici'!A1400" TargetMode="External" Id="rId46"/><Relationship Type="http://schemas.openxmlformats.org/officeDocument/2006/relationships/hyperlink" Target="#'CriteriTecnici'!A1431" TargetMode="External" Id="rId47"/><Relationship Type="http://schemas.openxmlformats.org/officeDocument/2006/relationships/hyperlink" Target="#'CriteriTecnici'!A1462" TargetMode="External" Id="rId48"/><Relationship Type="http://schemas.openxmlformats.org/officeDocument/2006/relationships/hyperlink" Target="#'CriteriTecnici'!A1493" TargetMode="External" Id="rId49"/><Relationship Type="http://schemas.openxmlformats.org/officeDocument/2006/relationships/hyperlink" Target="#'CriteriTecnici'!A1524" TargetMode="External" Id="rId50"/><Relationship Type="http://schemas.openxmlformats.org/officeDocument/2006/relationships/hyperlink" Target="#'CriteriTecnici'!A1555" TargetMode="External" Id="rId51"/><Relationship Type="http://schemas.openxmlformats.org/officeDocument/2006/relationships/hyperlink" Target="#'CriteriTecnici'!A1586" TargetMode="External" Id="rId52"/><Relationship Type="http://schemas.openxmlformats.org/officeDocument/2006/relationships/hyperlink" Target="#'CriteriTecnici'!A1617" TargetMode="External" Id="rId53"/><Relationship Type="http://schemas.openxmlformats.org/officeDocument/2006/relationships/hyperlink" Target="#'CriteriTecnici'!A1648" TargetMode="External" Id="rId54"/><Relationship Type="http://schemas.openxmlformats.org/officeDocument/2006/relationships/hyperlink" Target="#'CriteriTecnici'!A1679" TargetMode="External" Id="rId55"/><Relationship Type="http://schemas.openxmlformats.org/officeDocument/2006/relationships/hyperlink" Target="#'CriteriTecnici'!A1710" TargetMode="External" Id="rId56"/><Relationship Type="http://schemas.openxmlformats.org/officeDocument/2006/relationships/hyperlink" Target="#'CriteriTecnici'!A1741" TargetMode="External" Id="rId57"/><Relationship Type="http://schemas.openxmlformats.org/officeDocument/2006/relationships/hyperlink" Target="#'CriteriTecnici'!A1772" TargetMode="External" Id="rId58"/><Relationship Type="http://schemas.openxmlformats.org/officeDocument/2006/relationships/hyperlink" Target="#'CriteriTecnici'!A1803" TargetMode="External" Id="rId59"/><Relationship Type="http://schemas.openxmlformats.org/officeDocument/2006/relationships/hyperlink" Target="#'CriteriTecnici'!A1834" TargetMode="External" Id="rId60"/><Relationship Type="http://schemas.openxmlformats.org/officeDocument/2006/relationships/hyperlink" Target="#'CriteriTecnici'!A1865" TargetMode="External" Id="rId61"/><Relationship Type="http://schemas.openxmlformats.org/officeDocument/2006/relationships/hyperlink" Target="#'CriteriTecnici'!A1896" TargetMode="External" Id="rId62"/><Relationship Type="http://schemas.openxmlformats.org/officeDocument/2006/relationships/hyperlink" Target="#'CriteriTecnici'!A1927" TargetMode="External" Id="rId63"/><Relationship Type="http://schemas.openxmlformats.org/officeDocument/2006/relationships/hyperlink" Target="#'CriteriTecnici'!A1958" TargetMode="External" Id="rId64"/><Relationship Type="http://schemas.openxmlformats.org/officeDocument/2006/relationships/hyperlink" Target="#'CriteriTecnici'!A1989" TargetMode="External" Id="rId65"/><Relationship Type="http://schemas.openxmlformats.org/officeDocument/2006/relationships/hyperlink" Target="#'CriteriTecnici'!A2020" TargetMode="External" Id="rId66"/><Relationship Type="http://schemas.openxmlformats.org/officeDocument/2006/relationships/hyperlink" Target="#'CriteriTecnici'!A2051" TargetMode="External" Id="rId67"/><Relationship Type="http://schemas.openxmlformats.org/officeDocument/2006/relationships/hyperlink" Target="#'CriteriTecnici'!A2082" TargetMode="External" Id="rId68"/><Relationship Type="http://schemas.openxmlformats.org/officeDocument/2006/relationships/hyperlink" Target="#'CriteriTecnici'!A2113" TargetMode="External" Id="rId69"/><Relationship Type="http://schemas.openxmlformats.org/officeDocument/2006/relationships/hyperlink" Target="#'CriteriTecnici'!A2144" TargetMode="External" Id="rId70"/><Relationship Type="http://schemas.openxmlformats.org/officeDocument/2006/relationships/hyperlink" Target="#'CriteriTecnici'!A2175" TargetMode="External" Id="rId71"/><Relationship Type="http://schemas.openxmlformats.org/officeDocument/2006/relationships/hyperlink" Target="#'CriteriTecnici'!A2206" TargetMode="External" Id="rId72"/><Relationship Type="http://schemas.openxmlformats.org/officeDocument/2006/relationships/hyperlink" Target="#'CriteriTecnici'!A2237" TargetMode="External" Id="rId73"/><Relationship Type="http://schemas.openxmlformats.org/officeDocument/2006/relationships/hyperlink" Target="#'CriteriTecnici'!A2268" TargetMode="External" Id="rId74"/><Relationship Type="http://schemas.openxmlformats.org/officeDocument/2006/relationships/hyperlink" Target="#'CriteriTecnici'!A2299" TargetMode="External" Id="rId75"/><Relationship Type="http://schemas.openxmlformats.org/officeDocument/2006/relationships/hyperlink" Target="#'CriteriTecnici'!A2330" TargetMode="External" Id="rId76"/><Relationship Type="http://schemas.openxmlformats.org/officeDocument/2006/relationships/hyperlink" Target="#'CriteriTecnici'!A2361" TargetMode="External" Id="rId77"/><Relationship Type="http://schemas.openxmlformats.org/officeDocument/2006/relationships/hyperlink" Target="#'CriteriTecnici'!A2392" TargetMode="External" Id="rId78"/><Relationship Type="http://schemas.openxmlformats.org/officeDocument/2006/relationships/hyperlink" Target="#'CriteriTecnici'!A2423" TargetMode="External" Id="rId79"/><Relationship Type="http://schemas.openxmlformats.org/officeDocument/2006/relationships/hyperlink" Target="#'CriteriTecnici'!A2454" TargetMode="External" Id="rId80"/><Relationship Type="http://schemas.openxmlformats.org/officeDocument/2006/relationships/table" Target="/xl/tables/table1.xml" Id="rId8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8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9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_rels/sheet14.xml.rels><Relationships xmlns="http://schemas.openxmlformats.org/package/2006/relationships"><Relationship Type="http://schemas.openxmlformats.org/officeDocument/2006/relationships/table" Target="/xl/tables/table7.xml" Id="rId1"/></Relationships>
</file>

<file path=xl/worksheets/sheet1.xml><?xml version="1.0" encoding="utf-8"?>
<worksheet xmlns="http://schemas.openxmlformats.org/spreadsheetml/2006/main">
  <sheetPr>
    <tabColor rgb="00183B38"/>
    <outlinePr summaryBelow="1" summaryRight="1"/>
    <pageSetUpPr fitToPage="1"/>
  </sheetPr>
  <dimension ref="A1:H38"/>
  <sheetViews>
    <sheetView showGridLines="0" tabSelected="1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4" customWidth="1" min="1" max="1"/>
    <col width="22" customWidth="1" min="2" max="2"/>
    <col width="18" customWidth="1" min="3" max="3"/>
    <col width="18" customWidth="1" min="4" max="4"/>
    <col width="18" customWidth="1" min="5" max="5"/>
    <col width="18" customWidth="1" min="6" max="6"/>
    <col width="18" customWidth="1" min="7" max="7"/>
    <col width="18" customWidth="1" min="8" max="8"/>
  </cols>
  <sheetData>
    <row r="1" ht="28" customHeight="1">
      <c r="A1" s="39" t="inlineStr">
        <is>
          <t>Simulatore gara TPL lotti 1-4</t>
        </is>
      </c>
    </row>
    <row r="2">
      <c r="A2" s="40" t="inlineStr">
        <is>
          <t>Workbook operativo allineato alla web app: parti da qui, poi entra solo nei fogli necessari.</t>
        </is>
      </c>
    </row>
    <row r="3"/>
    <row r="4" ht="22" customHeight="1">
      <c r="A4" s="41" t="inlineStr">
        <is>
          <t>Stato scenario</t>
        </is>
      </c>
    </row>
    <row r="5" ht="24" customHeight="1">
      <c r="A5" s="42" t="inlineStr">
        <is>
          <t>Scenario</t>
        </is>
      </c>
      <c r="C5" s="42" t="inlineStr">
        <is>
          <t>Offerte</t>
        </is>
      </c>
      <c r="E5" s="42" t="inlineStr">
        <is>
          <t>Attive</t>
        </is>
      </c>
      <c r="G5" s="42" t="inlineStr">
        <is>
          <t>Avvisi</t>
        </is>
      </c>
    </row>
    <row r="6" ht="24" customHeight="1">
      <c r="A6" s="43">
        <f>IF(Parametri!B3="","Da impostare","Lotto "&amp;Parametri!B3)</f>
        <v/>
      </c>
      <c r="C6" s="43">
        <f>COUNTA(Compila!A12:A91)</f>
        <v/>
      </c>
      <c r="E6" s="43">
        <f>COUNTIF(Offerte!D2:D81,"1")+COUNTIF(Offerte!D2:D81,1)</f>
        <v/>
      </c>
      <c r="G6" s="43">
        <f>SUM(Compila!M6:M10)</f>
        <v/>
      </c>
    </row>
    <row r="7" ht="24" customHeight="1">
      <c r="A7" s="44" t="inlineStr">
        <is>
          <t>Lotto attivo per analisi e ottimizzazione</t>
        </is>
      </c>
      <c r="C7" s="44" t="inlineStr">
        <is>
          <t>Righe concorrente-lotto compilate</t>
        </is>
      </c>
      <c r="E7" s="44" t="inlineStr">
        <is>
          <t>Righe incluse nel calcolo</t>
        </is>
      </c>
      <c r="G7" s="44" t="inlineStr">
        <is>
          <t>Criticità aperte prima della simulazione</t>
        </is>
      </c>
    </row>
    <row r="8"/>
    <row r="9"/>
    <row r="10" ht="22" customHeight="1">
      <c r="A10" s="41" t="inlineStr">
        <is>
          <t>Organizzazione come nella web app</t>
        </is>
      </c>
    </row>
    <row r="11">
      <c r="A11" s="45" t="inlineStr">
        <is>
          <t>1</t>
        </is>
      </c>
      <c r="B11" s="46" t="inlineStr">
        <is>
          <t>Scenario</t>
        </is>
      </c>
      <c r="C11" s="47" t="inlineStr">
        <is>
          <t>Compila</t>
        </is>
      </c>
      <c r="D11" s="48" t="inlineStr">
        <is>
          <t>Soglia, lotto attivo, concorrenti, lotti e ribassi.</t>
        </is>
      </c>
      <c r="E11" s="48" t="n"/>
      <c r="F11" s="48" t="n"/>
      <c r="G11" s="48" t="n"/>
      <c r="H11" s="48" t="n"/>
    </row>
    <row r="12">
      <c r="A12" s="45" t="inlineStr">
        <is>
          <t>2</t>
        </is>
      </c>
      <c r="B12" s="46" t="inlineStr">
        <is>
          <t>Tecnica</t>
        </is>
      </c>
      <c r="C12" s="47" t="inlineStr">
        <is>
          <t>CriteriTecnici</t>
        </is>
      </c>
      <c r="D12" s="48" t="inlineStr">
        <is>
          <t>Sub-criteri A-G, con input evidenziati e punteggio alimentato in Offerte.</t>
        </is>
      </c>
      <c r="E12" s="48" t="n"/>
      <c r="F12" s="48" t="n"/>
      <c r="G12" s="48" t="n"/>
      <c r="H12" s="48" t="n"/>
    </row>
    <row r="13">
      <c r="A13" s="45" t="inlineStr">
        <is>
          <t>3</t>
        </is>
      </c>
      <c r="B13" s="46" t="inlineStr">
        <is>
          <t>Economica</t>
        </is>
      </c>
      <c r="C13" s="47" t="inlineStr">
        <is>
          <t>Compila</t>
        </is>
      </c>
      <c r="D13" s="48" t="inlineStr">
        <is>
          <t>Ribasso medio e stato ammissibilità per ogni riga.</t>
        </is>
      </c>
      <c r="E13" s="48" t="n"/>
      <c r="F13" s="48" t="n"/>
      <c r="G13" s="48" t="n"/>
      <c r="H13" s="48" t="n"/>
    </row>
    <row r="14">
      <c r="A14" s="45" t="inlineStr">
        <is>
          <t>4</t>
        </is>
      </c>
      <c r="B14" s="46" t="inlineStr">
        <is>
          <t>Ottimizzazione</t>
        </is>
      </c>
      <c r="C14" s="47" t="inlineStr">
        <is>
          <t>Ottimizzazione</t>
        </is>
      </c>
      <c r="D14" s="48" t="inlineStr">
        <is>
          <t>Bidder target, leve Q/T e iterazioni controllate.</t>
        </is>
      </c>
      <c r="E14" s="48" t="n"/>
      <c r="F14" s="48" t="n"/>
      <c r="G14" s="48" t="n"/>
      <c r="H14" s="48" t="n"/>
    </row>
    <row r="15">
      <c r="A15" s="45" t="inlineStr">
        <is>
          <t>5</t>
        </is>
      </c>
      <c r="B15" s="46" t="inlineStr">
        <is>
          <t>Combinatorie</t>
        </is>
      </c>
      <c r="C15" s="47" t="inlineStr">
        <is>
          <t>Combinatorie</t>
        </is>
      </c>
      <c r="D15" s="48" t="inlineStr">
        <is>
          <t>Coppie principali, buste, PEF e ribasso migliorativo.</t>
        </is>
      </c>
      <c r="E15" s="48" t="n"/>
      <c r="F15" s="48" t="n"/>
      <c r="G15" s="48" t="n"/>
      <c r="H15" s="48" t="n"/>
    </row>
    <row r="16">
      <c r="A16" s="45" t="inlineStr">
        <is>
          <t>6</t>
        </is>
      </c>
      <c r="B16" s="46" t="inlineStr">
        <is>
          <t>Risultati</t>
        </is>
      </c>
      <c r="C16" s="47" t="inlineStr">
        <is>
          <t>Report</t>
        </is>
      </c>
      <c r="D16" s="48" t="inlineStr">
        <is>
          <t>Report leggibile alimentato dai calcoli e dalle macro.</t>
        </is>
      </c>
      <c r="E16" s="48" t="n"/>
      <c r="F16" s="48" t="n"/>
      <c r="G16" s="48" t="n"/>
      <c r="H16" s="48" t="n"/>
    </row>
    <row r="17"/>
    <row r="18"/>
    <row r="19"/>
    <row r="20" ht="22" customHeight="1">
      <c r="A20" s="41" t="inlineStr">
        <is>
          <t>Navigazione</t>
        </is>
      </c>
    </row>
    <row r="21">
      <c r="A21" s="49" t="inlineStr">
        <is>
          <t>Compila</t>
        </is>
      </c>
      <c r="C21" s="49" t="inlineStr">
        <is>
          <t>Report</t>
        </is>
      </c>
      <c r="E21" s="49" t="inlineStr">
        <is>
          <t>Criteri tecnici</t>
        </is>
      </c>
      <c r="G21" s="49" t="inlineStr">
        <is>
          <t>Combinatorie</t>
        </is>
      </c>
    </row>
    <row r="22"/>
    <row r="23">
      <c r="A23" s="49" t="inlineStr">
        <is>
          <t>Ottimizzazione</t>
        </is>
      </c>
      <c r="C23" s="49" t="inlineStr">
        <is>
          <t>Guida</t>
        </is>
      </c>
    </row>
    <row r="24"/>
    <row r="25" ht="22" customHeight="1">
      <c r="A25" s="41" t="inlineStr">
        <is>
          <t>Pulsanti operativi</t>
        </is>
      </c>
    </row>
    <row r="26" ht="32" customHeight="1">
      <c r="A26" s="67" t="inlineStr">
        <is>
          <t>Controlla
CheckBeforeRun
Valida setup e input.</t>
        </is>
      </c>
      <c r="C26" s="67" t="inlineStr">
        <is>
          <t>Simula
SimulaScenario
Aggiorna risultati e combinatorie.</t>
        </is>
      </c>
      <c r="E26" s="67" t="inlineStr">
        <is>
          <t>Ottimizza
OttimizzaLottoAttivo
Lavora sul bidder target.</t>
        </is>
      </c>
      <c r="G26" s="67" t="inlineStr">
        <is>
          <t>Confronto web
ConfrontoWebGolden
Verifica expected dal web.</t>
        </is>
      </c>
    </row>
    <row r="27" ht="32" customHeight="1"/>
    <row r="28"/>
    <row r="29"/>
    <row r="30" ht="22" customHeight="1">
      <c r="A30" s="41" t="inlineStr">
        <is>
          <t>Fogli avanzati nascosti</t>
        </is>
      </c>
    </row>
    <row r="31">
      <c r="A31" s="52" t="inlineStr">
        <is>
          <t>Parametri, Offerte, Risultati raw, ScambioWeb, ScenarioGlobale, ConfrontoWeb, LogOttimizzazione, Glossario e Istruzioni restano nel file, ma sono nascosti per non appesantire il lavoro quotidiano.</t>
        </is>
      </c>
    </row>
    <row r="32">
      <c r="A32" s="51" t="inlineStr">
        <is>
          <t>Usali solo per audit, export JSON verso web, confronto golden, log macro o manutenzione. Puoi riattivarli da Excel con Mostra foglio.</t>
        </is>
      </c>
    </row>
    <row r="33"/>
    <row r="34" ht="22" customHeight="1">
      <c r="A34" s="41" t="inlineStr">
        <is>
          <t>Limiti da ricordare</t>
        </is>
      </c>
    </row>
    <row r="35">
      <c r="A35" s="53" t="inlineStr">
        <is>
          <t>Il foglio CriteriTecnici calcola il tecnico dai sub-criteri A-G; il valore aggregato resta solo come fallback di compatibilità.</t>
        </is>
      </c>
    </row>
    <row r="36">
      <c r="A36" s="52" t="inlineStr">
        <is>
          <t>Il foglio ScambioWeb produce un JSON completo con offerte, sub-criteri, ribassi e combinatorie, ma resta nascosto finché non serve.</t>
        </is>
      </c>
    </row>
    <row r="37">
      <c r="A37" s="52" t="inlineStr">
        <is>
          <t>I costi e le leve sono ipotesi operative: non sono dati ufficiali di gara.</t>
        </is>
      </c>
    </row>
    <row r="38">
      <c r="A38" s="52" t="inlineStr">
        <is>
          <t>Se Excel blocca le macro dopo il download, sblocca il file dalle proprietà del sistema prima dell'uso.</t>
        </is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mergeCells count="36">
    <mergeCell ref="A30:H30"/>
    <mergeCell ref="C6:D6"/>
    <mergeCell ref="A26:B27"/>
    <mergeCell ref="C5:D5"/>
    <mergeCell ref="E5:F5"/>
    <mergeCell ref="A36:H36"/>
    <mergeCell ref="A1:H1"/>
    <mergeCell ref="A6:B6"/>
    <mergeCell ref="A7:B7"/>
    <mergeCell ref="G7:H7"/>
    <mergeCell ref="A25:H25"/>
    <mergeCell ref="E26:F27"/>
    <mergeCell ref="D11:H11"/>
    <mergeCell ref="D13:H13"/>
    <mergeCell ref="G26:H27"/>
    <mergeCell ref="G6:H6"/>
    <mergeCell ref="A37:H37"/>
    <mergeCell ref="E6:F6"/>
    <mergeCell ref="D16:H16"/>
    <mergeCell ref="A2:H2"/>
    <mergeCell ref="A5:B5"/>
    <mergeCell ref="G5:H5"/>
    <mergeCell ref="A32:H32"/>
    <mergeCell ref="A4:H4"/>
    <mergeCell ref="D12:H12"/>
    <mergeCell ref="C7:D7"/>
    <mergeCell ref="D15:H15"/>
    <mergeCell ref="A35:H35"/>
    <mergeCell ref="E7:F7"/>
    <mergeCell ref="A20:H20"/>
    <mergeCell ref="A38:H38"/>
    <mergeCell ref="A10:H10"/>
    <mergeCell ref="C26:D27"/>
    <mergeCell ref="D14:H14"/>
    <mergeCell ref="A31:H31"/>
    <mergeCell ref="A34:H34"/>
  </mergeCells>
  <hyperlinks>
    <hyperlink xmlns:r="http://schemas.openxmlformats.org/officeDocument/2006/relationships" ref="C11" r:id="rId1"/>
    <hyperlink xmlns:r="http://schemas.openxmlformats.org/officeDocument/2006/relationships" ref="C12" r:id="rId2"/>
    <hyperlink xmlns:r="http://schemas.openxmlformats.org/officeDocument/2006/relationships" ref="C13" r:id="rId3"/>
    <hyperlink xmlns:r="http://schemas.openxmlformats.org/officeDocument/2006/relationships" ref="C14" r:id="rId4"/>
    <hyperlink xmlns:r="http://schemas.openxmlformats.org/officeDocument/2006/relationships" ref="C15" r:id="rId5"/>
    <hyperlink xmlns:r="http://schemas.openxmlformats.org/officeDocument/2006/relationships" ref="C16" r:id="rId6"/>
    <hyperlink xmlns:r="http://schemas.openxmlformats.org/officeDocument/2006/relationships" ref="A21" r:id="rId7"/>
    <hyperlink xmlns:r="http://schemas.openxmlformats.org/officeDocument/2006/relationships" ref="C21" r:id="rId8"/>
    <hyperlink xmlns:r="http://schemas.openxmlformats.org/officeDocument/2006/relationships" ref="E21" r:id="rId9"/>
    <hyperlink xmlns:r="http://schemas.openxmlformats.org/officeDocument/2006/relationships" ref="G21" r:id="rId10"/>
    <hyperlink xmlns:r="http://schemas.openxmlformats.org/officeDocument/2006/relationships" ref="A23" r:id="rId11"/>
    <hyperlink xmlns:r="http://schemas.openxmlformats.org/officeDocument/2006/relationships" ref="C23" r:id="rId12"/>
  </hyperlinks>
  <pageMargins left="0.25" right="0.25" top="0.5" bottom="0.5" header="0.5" footer="0.5"/>
  <pageSetup fitToHeight="0" fitToWidth="1"/>
</worksheet>
</file>

<file path=xl/worksheets/sheet2.xml><?xml version="1.0" encoding="utf-8"?>
<worksheet xmlns="http://schemas.openxmlformats.org/spreadsheetml/2006/main">
  <sheetPr>
    <tabColor rgb="000F766E"/>
    <outlinePr summaryBelow="1" summaryRight="1"/>
    <pageSetUpPr fitToPage="1"/>
  </sheetPr>
  <dimension ref="A1:N91"/>
  <sheetViews>
    <sheetView showGridLines="0" tabSelected="0" workbookViewId="0">
      <pane ySplit="11" topLeftCell="A12" activePane="bottomLeft" state="frozen"/>
      <selection pane="bottomLeft" activeCell="A1" sqref="A1"/>
    </sheetView>
  </sheetViews>
  <sheetFormatPr baseColWidth="8" defaultRowHeight="15"/>
  <cols>
    <col width="16" customWidth="1" min="1" max="1"/>
    <col width="26" customWidth="1" min="2" max="2"/>
    <col width="10" customWidth="1" min="3" max="3"/>
    <col width="10" customWidth="1" min="4" max="4"/>
    <col width="12" customWidth="1" min="5" max="5"/>
    <col width="13" customWidth="1" min="6" max="6"/>
    <col width="12" customWidth="1" min="7" max="7"/>
    <col width="12" customWidth="1" min="8" max="8"/>
    <col width="12" customWidth="1" min="9" max="9"/>
    <col width="20" customWidth="1" min="10" max="10"/>
    <col width="16" customWidth="1" min="11" max="11"/>
    <col width="24" customWidth="1" min="12" max="12"/>
    <col width="9" customWidth="1" min="13" max="13"/>
    <col width="34" customWidth="1" min="14" max="14"/>
  </cols>
  <sheetData>
    <row r="1" ht="28" customHeight="1">
      <c r="A1" s="39" t="inlineStr">
        <is>
          <t>Compila scenario</t>
        </is>
      </c>
    </row>
    <row r="2">
      <c r="A2" s="40" t="inlineStr">
        <is>
          <t>Foglio unico per il lavoro quotidiano: parametri, offerte e stato di compilazione.</t>
        </is>
      </c>
    </row>
    <row r="3"/>
    <row r="4" ht="22" customHeight="1">
      <c r="A4" s="41" t="inlineStr">
        <is>
          <t>Scenario</t>
        </is>
      </c>
      <c r="L4" s="68" t="inlineStr">
        <is>
          <t>Cosa manca</t>
        </is>
      </c>
    </row>
    <row r="5">
      <c r="A5" s="46" t="inlineStr">
        <is>
          <t>Soglia tecnica</t>
        </is>
      </c>
      <c r="B5" s="69" t="n">
        <v>36</v>
      </c>
      <c r="C5" s="48" t="inlineStr">
        <is>
          <t>Minimo Q/T per ammissibilità, 0-70.</t>
        </is>
      </c>
      <c r="D5" s="48" t="n"/>
      <c r="E5" s="48" t="n"/>
      <c r="F5" s="48" t="n"/>
      <c r="G5" s="48" t="n"/>
      <c r="H5" s="48" t="n"/>
      <c r="L5" s="54" t="inlineStr">
        <is>
          <t>Controllo</t>
        </is>
      </c>
      <c r="M5" s="54" t="inlineStr">
        <is>
          <t>N.</t>
        </is>
      </c>
      <c r="N5" s="54" t="inlineStr">
        <is>
          <t>Azione</t>
        </is>
      </c>
    </row>
    <row r="6">
      <c r="A6" s="46" t="inlineStr">
        <is>
          <t>Lotto attivo</t>
        </is>
      </c>
      <c r="B6" s="69" t="inlineStr">
        <is>
          <t>L1</t>
        </is>
      </c>
      <c r="C6" s="48" t="inlineStr">
        <is>
          <t>Lotto usato da analisi e ottimizzazione.</t>
        </is>
      </c>
      <c r="D6" s="48" t="n"/>
      <c r="E6" s="48" t="n"/>
      <c r="F6" s="48" t="n"/>
      <c r="G6" s="48" t="n"/>
      <c r="H6" s="48" t="n"/>
      <c r="L6" s="70" t="inlineStr">
        <is>
          <t>Offerte senza lotto</t>
        </is>
      </c>
      <c r="M6" s="71">
        <f>COUNTIFS($A$12:$A$91,"&lt;&gt;",$C$12:$C$91,"")</f>
        <v/>
      </c>
      <c r="N6" s="48" t="inlineStr">
        <is>
          <t>Aggiungi lotto L1-L4.</t>
        </is>
      </c>
    </row>
    <row r="7">
      <c r="A7" s="46" t="inlineStr">
        <is>
          <t>Bidder ottimizzazione</t>
        </is>
      </c>
      <c r="B7" s="57">
        <f>IF(Ottimizzazione!B2="","",Ottimizzazione!B2)</f>
        <v/>
      </c>
      <c r="C7" s="48" t="inlineStr">
        <is>
          <t>Concorrente target per OttimizzaLottoAttivo.</t>
        </is>
      </c>
      <c r="D7" s="48" t="n"/>
      <c r="E7" s="48" t="n"/>
      <c r="F7" s="48" t="n"/>
      <c r="G7" s="48" t="n"/>
      <c r="H7" s="48" t="n"/>
      <c r="L7" s="70" t="inlineStr">
        <is>
          <t>Offerte senza nome</t>
        </is>
      </c>
      <c r="M7" s="71">
        <f>COUNTIFS($A$12:$A$91,"&lt;&gt;",$B$12:$B$91,"")</f>
        <v/>
      </c>
      <c r="N7" s="48" t="inlineStr">
        <is>
          <t>Completa BidderNome.</t>
        </is>
      </c>
    </row>
    <row r="8">
      <c r="A8" s="46" t="inlineStr">
        <is>
          <t>Stato compilazione</t>
        </is>
      </c>
      <c r="B8" s="72">
        <f>IF(SUM($M$6:$M$11)=0,"Pronto",SUM($M$6:$M$11)&amp;" avvisi")</f>
        <v/>
      </c>
      <c r="C8" s="48" t="inlineStr">
        <is>
          <t>Sintesi controlli a destra.</t>
        </is>
      </c>
      <c r="D8" s="48" t="n"/>
      <c r="E8" s="48" t="n"/>
      <c r="F8" s="48" t="n"/>
      <c r="G8" s="48" t="n"/>
      <c r="H8" s="48" t="n"/>
      <c r="L8" s="70" t="inlineStr">
        <is>
          <t>Attive sotto soglia</t>
        </is>
      </c>
      <c r="M8" s="71">
        <f>COUNTIFS(Offerte!$G$2:$G$81,"NO",Offerte!$D$2:$D$81,1,Offerte!$A$2:$A$81,"&lt;&gt;")</f>
        <v/>
      </c>
      <c r="N8" s="48" t="inlineStr">
        <is>
          <t>Controlla Q/T o soglia tecnica.</t>
        </is>
      </c>
    </row>
    <row r="9">
      <c r="L9" s="70" t="inlineStr">
        <is>
          <t>Criteri A-G mancanti</t>
        </is>
      </c>
      <c r="M9" s="71">
        <f>COUNTIFS(Offerte!$P$2:$P$81,"Aggregato",Offerte!$A$2:$A$81,"&lt;&gt;")</f>
        <v/>
      </c>
      <c r="N9" s="48" t="inlineStr">
        <is>
          <t>Compila il dettaglio tecnico.</t>
        </is>
      </c>
    </row>
    <row r="10" ht="22" customHeight="1">
      <c r="A10" s="41" t="inlineStr">
        <is>
          <t>Offerte</t>
        </is>
      </c>
      <c r="L10" s="70" t="inlineStr">
        <is>
          <t>Combinatorie incoerenti</t>
        </is>
      </c>
      <c r="M10" s="71">
        <f>COUNTIFS(Combinatorie!$R$5:$R$80,"&lt;&gt;",Combinatorie!$A$5:$A$80,"&lt;&gt;")</f>
        <v/>
      </c>
      <c r="N10" s="48" t="inlineStr">
        <is>
          <t>Controlla buste, PEF e ribasso migliorativo.</t>
        </is>
      </c>
    </row>
    <row r="11" ht="24" customHeight="1">
      <c r="A11" s="54" t="inlineStr">
        <is>
          <t>BidderId</t>
        </is>
      </c>
      <c r="B11" s="54" t="inlineStr">
        <is>
          <t>BidderNome</t>
        </is>
      </c>
      <c r="C11" s="54" t="inlineStr">
        <is>
          <t>Lotto</t>
        </is>
      </c>
      <c r="D11" s="54" t="inlineStr">
        <is>
          <t>Attivo</t>
        </is>
      </c>
      <c r="E11" s="54" t="inlineStr">
        <is>
          <t>Ribasso %</t>
        </is>
      </c>
      <c r="F11" s="54" t="inlineStr">
        <is>
          <t>Tecnico A-G</t>
        </is>
      </c>
      <c r="G11" s="54" t="inlineStr">
        <is>
          <t>Ammesso</t>
        </is>
      </c>
      <c r="H11" s="54" t="inlineStr">
        <is>
          <t>Economico</t>
        </is>
      </c>
      <c r="I11" s="54" t="inlineStr">
        <is>
          <t>Totale</t>
        </is>
      </c>
      <c r="J11" s="54" t="inlineStr">
        <is>
          <t>Stato</t>
        </is>
      </c>
      <c r="K11" s="54" t="inlineStr">
        <is>
          <t>Dettaglio A-G</t>
        </is>
      </c>
      <c r="L11" s="70" t="inlineStr">
        <is>
          <t>Righe pronte</t>
        </is>
      </c>
      <c r="M11" s="71">
        <f>COUNTIFS($A$12:$A$91,"&lt;&gt;",$J$12:$J$91,"OK")</f>
        <v/>
      </c>
      <c r="N11" s="48" t="inlineStr">
        <is>
          <t>Righe offerta senza avvisi.</t>
        </is>
      </c>
    </row>
    <row r="12">
      <c r="A12" s="73" t="inlineStr">
        <is>
          <t>B1</t>
        </is>
      </c>
      <c r="B12" s="73" t="inlineStr">
        <is>
          <t>Operatore A</t>
        </is>
      </c>
      <c r="C12" s="73" t="inlineStr">
        <is>
          <t>L1</t>
        </is>
      </c>
      <c r="D12" s="73" t="n">
        <v>1</v>
      </c>
      <c r="E12" s="73" t="n">
        <v>6.1</v>
      </c>
      <c r="F12" s="57">
        <f>IF($A12="","",Offerte!$E2)</f>
        <v/>
      </c>
      <c r="G12" s="57">
        <f>IF($A12="","",Offerte!$G2)</f>
        <v/>
      </c>
      <c r="H12" s="57">
        <f>IF($A12="","",Offerte!$I2)</f>
        <v/>
      </c>
      <c r="I12" s="57">
        <f>IF($A12="","",Offerte!$J2)</f>
        <v/>
      </c>
      <c r="J12" s="57">
        <f>IF($A12="","",IF($D12&lt;&gt;1,"Non attiva",IF($G12="NO","Sotto soglia",IF(Offerte!$P2="Aggregato","Compila criteri A-G","OK"))))</f>
        <v/>
      </c>
      <c r="K12" s="49" t="inlineStr">
        <is>
          <t>Apri criteri</t>
        </is>
      </c>
    </row>
    <row r="13">
      <c r="A13" s="73" t="inlineStr">
        <is>
          <t>B1</t>
        </is>
      </c>
      <c r="B13" s="73" t="inlineStr">
        <is>
          <t>Operatore A</t>
        </is>
      </c>
      <c r="C13" s="73" t="inlineStr">
        <is>
          <t>L2</t>
        </is>
      </c>
      <c r="D13" s="73" t="n">
        <v>1</v>
      </c>
      <c r="E13" s="73" t="n">
        <v>5.2</v>
      </c>
      <c r="F13" s="57">
        <f>IF($A13="","",Offerte!$E3)</f>
        <v/>
      </c>
      <c r="G13" s="57">
        <f>IF($A13="","",Offerte!$G3)</f>
        <v/>
      </c>
      <c r="H13" s="57">
        <f>IF($A13="","",Offerte!$I3)</f>
        <v/>
      </c>
      <c r="I13" s="57">
        <f>IF($A13="","",Offerte!$J3)</f>
        <v/>
      </c>
      <c r="J13" s="57">
        <f>IF($A13="","",IF($D13&lt;&gt;1,"Non attiva",IF($G13="NO","Sotto soglia",IF(Offerte!$P3="Aggregato","Compila criteri A-G","OK"))))</f>
        <v/>
      </c>
      <c r="K13" s="49" t="inlineStr">
        <is>
          <t>Apri criteri</t>
        </is>
      </c>
    </row>
    <row r="14">
      <c r="A14" s="73" t="inlineStr">
        <is>
          <t>B1</t>
        </is>
      </c>
      <c r="B14" s="73" t="inlineStr">
        <is>
          <t>Operatore A</t>
        </is>
      </c>
      <c r="C14" s="73" t="inlineStr">
        <is>
          <t>L3</t>
        </is>
      </c>
      <c r="D14" s="73" t="n">
        <v>0</v>
      </c>
      <c r="E14" s="73" t="n">
        <v>0</v>
      </c>
      <c r="F14" s="57">
        <f>IF($A14="","",Offerte!$E4)</f>
        <v/>
      </c>
      <c r="G14" s="57">
        <f>IF($A14="","",Offerte!$G4)</f>
        <v/>
      </c>
      <c r="H14" s="57">
        <f>IF($A14="","",Offerte!$I4)</f>
        <v/>
      </c>
      <c r="I14" s="57">
        <f>IF($A14="","",Offerte!$J4)</f>
        <v/>
      </c>
      <c r="J14" s="57">
        <f>IF($A14="","",IF($D14&lt;&gt;1,"Non attiva",IF($G14="NO","Sotto soglia",IF(Offerte!$P4="Aggregato","Compila criteri A-G","OK"))))</f>
        <v/>
      </c>
      <c r="K14" s="49" t="inlineStr">
        <is>
          <t>Apri criteri</t>
        </is>
      </c>
    </row>
    <row r="15">
      <c r="A15" s="73" t="inlineStr">
        <is>
          <t>B1</t>
        </is>
      </c>
      <c r="B15" s="73" t="inlineStr">
        <is>
          <t>Operatore A</t>
        </is>
      </c>
      <c r="C15" s="73" t="inlineStr">
        <is>
          <t>L4</t>
        </is>
      </c>
      <c r="D15" s="73" t="n">
        <v>1</v>
      </c>
      <c r="E15" s="73" t="n">
        <v>4.7</v>
      </c>
      <c r="F15" s="57">
        <f>IF($A15="","",Offerte!$E5)</f>
        <v/>
      </c>
      <c r="G15" s="57">
        <f>IF($A15="","",Offerte!$G5)</f>
        <v/>
      </c>
      <c r="H15" s="57">
        <f>IF($A15="","",Offerte!$I5)</f>
        <v/>
      </c>
      <c r="I15" s="57">
        <f>IF($A15="","",Offerte!$J5)</f>
        <v/>
      </c>
      <c r="J15" s="57">
        <f>IF($A15="","",IF($D15&lt;&gt;1,"Non attiva",IF($G15="NO","Sotto soglia",IF(Offerte!$P5="Aggregato","Compila criteri A-G","OK"))))</f>
        <v/>
      </c>
      <c r="K15" s="49" t="inlineStr">
        <is>
          <t>Apri criteri</t>
        </is>
      </c>
    </row>
    <row r="16">
      <c r="A16" s="73" t="inlineStr">
        <is>
          <t>B2</t>
        </is>
      </c>
      <c r="B16" s="73" t="inlineStr">
        <is>
          <t>Operatore B</t>
        </is>
      </c>
      <c r="C16" s="73" t="inlineStr">
        <is>
          <t>L1</t>
        </is>
      </c>
      <c r="D16" s="73" t="n">
        <v>1</v>
      </c>
      <c r="E16" s="73" t="n">
        <v>6.4</v>
      </c>
      <c r="F16" s="57">
        <f>IF($A16="","",Offerte!$E6)</f>
        <v/>
      </c>
      <c r="G16" s="57">
        <f>IF($A16="","",Offerte!$G6)</f>
        <v/>
      </c>
      <c r="H16" s="57">
        <f>IF($A16="","",Offerte!$I6)</f>
        <v/>
      </c>
      <c r="I16" s="57">
        <f>IF($A16="","",Offerte!$J6)</f>
        <v/>
      </c>
      <c r="J16" s="57">
        <f>IF($A16="","",IF($D16&lt;&gt;1,"Non attiva",IF($G16="NO","Sotto soglia",IF(Offerte!$P6="Aggregato","Compila criteri A-G","OK"))))</f>
        <v/>
      </c>
      <c r="K16" s="49" t="inlineStr">
        <is>
          <t>Apri criteri</t>
        </is>
      </c>
    </row>
    <row r="17">
      <c r="A17" s="73" t="inlineStr">
        <is>
          <t>B2</t>
        </is>
      </c>
      <c r="B17" s="73" t="inlineStr">
        <is>
          <t>Operatore B</t>
        </is>
      </c>
      <c r="C17" s="73" t="inlineStr">
        <is>
          <t>L2</t>
        </is>
      </c>
      <c r="D17" s="73" t="n">
        <v>1</v>
      </c>
      <c r="E17" s="73" t="n">
        <v>5.8</v>
      </c>
      <c r="F17" s="57">
        <f>IF($A17="","",Offerte!$E7)</f>
        <v/>
      </c>
      <c r="G17" s="57">
        <f>IF($A17="","",Offerte!$G7)</f>
        <v/>
      </c>
      <c r="H17" s="57">
        <f>IF($A17="","",Offerte!$I7)</f>
        <v/>
      </c>
      <c r="I17" s="57">
        <f>IF($A17="","",Offerte!$J7)</f>
        <v/>
      </c>
      <c r="J17" s="57">
        <f>IF($A17="","",IF($D17&lt;&gt;1,"Non attiva",IF($G17="NO","Sotto soglia",IF(Offerte!$P7="Aggregato","Compila criteri A-G","OK"))))</f>
        <v/>
      </c>
      <c r="K17" s="49" t="inlineStr">
        <is>
          <t>Apri criteri</t>
        </is>
      </c>
    </row>
    <row r="18">
      <c r="A18" s="73" t="inlineStr">
        <is>
          <t>B2</t>
        </is>
      </c>
      <c r="B18" s="73" t="inlineStr">
        <is>
          <t>Operatore B</t>
        </is>
      </c>
      <c r="C18" s="73" t="inlineStr">
        <is>
          <t>L3</t>
        </is>
      </c>
      <c r="D18" s="73" t="n">
        <v>1</v>
      </c>
      <c r="E18" s="73" t="n">
        <v>5.1</v>
      </c>
      <c r="F18" s="57">
        <f>IF($A18="","",Offerte!$E8)</f>
        <v/>
      </c>
      <c r="G18" s="57">
        <f>IF($A18="","",Offerte!$G8)</f>
        <v/>
      </c>
      <c r="H18" s="57">
        <f>IF($A18="","",Offerte!$I8)</f>
        <v/>
      </c>
      <c r="I18" s="57">
        <f>IF($A18="","",Offerte!$J8)</f>
        <v/>
      </c>
      <c r="J18" s="57">
        <f>IF($A18="","",IF($D18&lt;&gt;1,"Non attiva",IF($G18="NO","Sotto soglia",IF(Offerte!$P8="Aggregato","Compila criteri A-G","OK"))))</f>
        <v/>
      </c>
      <c r="K18" s="49" t="inlineStr">
        <is>
          <t>Apri criteri</t>
        </is>
      </c>
    </row>
    <row r="19">
      <c r="A19" s="73" t="inlineStr">
        <is>
          <t>B2</t>
        </is>
      </c>
      <c r="B19" s="73" t="inlineStr">
        <is>
          <t>Operatore B</t>
        </is>
      </c>
      <c r="C19" s="73" t="inlineStr">
        <is>
          <t>L4</t>
        </is>
      </c>
      <c r="D19" s="73" t="n">
        <v>1</v>
      </c>
      <c r="E19" s="73" t="n">
        <v>4.9</v>
      </c>
      <c r="F19" s="57">
        <f>IF($A19="","",Offerte!$E9)</f>
        <v/>
      </c>
      <c r="G19" s="57">
        <f>IF($A19="","",Offerte!$G9)</f>
        <v/>
      </c>
      <c r="H19" s="57">
        <f>IF($A19="","",Offerte!$I9)</f>
        <v/>
      </c>
      <c r="I19" s="57">
        <f>IF($A19="","",Offerte!$J9)</f>
        <v/>
      </c>
      <c r="J19" s="57">
        <f>IF($A19="","",IF($D19&lt;&gt;1,"Non attiva",IF($G19="NO","Sotto soglia",IF(Offerte!$P9="Aggregato","Compila criteri A-G","OK"))))</f>
        <v/>
      </c>
      <c r="K19" s="49" t="inlineStr">
        <is>
          <t>Apri criteri</t>
        </is>
      </c>
    </row>
    <row r="20">
      <c r="A20" s="73" t="inlineStr">
        <is>
          <t>B3</t>
        </is>
      </c>
      <c r="B20" s="73" t="inlineStr">
        <is>
          <t>Operatore C</t>
        </is>
      </c>
      <c r="C20" s="73" t="inlineStr">
        <is>
          <t>L1</t>
        </is>
      </c>
      <c r="D20" s="73" t="n">
        <v>1</v>
      </c>
      <c r="E20" s="73" t="n">
        <v>7.2</v>
      </c>
      <c r="F20" s="57">
        <f>IF($A20="","",Offerte!$E10)</f>
        <v/>
      </c>
      <c r="G20" s="57">
        <f>IF($A20="","",Offerte!$G10)</f>
        <v/>
      </c>
      <c r="H20" s="57">
        <f>IF($A20="","",Offerte!$I10)</f>
        <v/>
      </c>
      <c r="I20" s="57">
        <f>IF($A20="","",Offerte!$J10)</f>
        <v/>
      </c>
      <c r="J20" s="57">
        <f>IF($A20="","",IF($D20&lt;&gt;1,"Non attiva",IF($G20="NO","Sotto soglia",IF(Offerte!$P10="Aggregato","Compila criteri A-G","OK"))))</f>
        <v/>
      </c>
      <c r="K20" s="49" t="inlineStr">
        <is>
          <t>Apri criteri</t>
        </is>
      </c>
    </row>
    <row r="21">
      <c r="A21" s="73" t="inlineStr">
        <is>
          <t>B3</t>
        </is>
      </c>
      <c r="B21" s="73" t="inlineStr">
        <is>
          <t>Operatore C</t>
        </is>
      </c>
      <c r="C21" s="73" t="inlineStr">
        <is>
          <t>L2</t>
        </is>
      </c>
      <c r="D21" s="73" t="n">
        <v>1</v>
      </c>
      <c r="E21" s="73" t="n">
        <v>6.8</v>
      </c>
      <c r="F21" s="57">
        <f>IF($A21="","",Offerte!$E11)</f>
        <v/>
      </c>
      <c r="G21" s="57">
        <f>IF($A21="","",Offerte!$G11)</f>
        <v/>
      </c>
      <c r="H21" s="57">
        <f>IF($A21="","",Offerte!$I11)</f>
        <v/>
      </c>
      <c r="I21" s="57">
        <f>IF($A21="","",Offerte!$J11)</f>
        <v/>
      </c>
      <c r="J21" s="57">
        <f>IF($A21="","",IF($D21&lt;&gt;1,"Non attiva",IF($G21="NO","Sotto soglia",IF(Offerte!$P11="Aggregato","Compila criteri A-G","OK"))))</f>
        <v/>
      </c>
      <c r="K21" s="49" t="inlineStr">
        <is>
          <t>Apri criteri</t>
        </is>
      </c>
    </row>
    <row r="22">
      <c r="A22" s="73" t="inlineStr">
        <is>
          <t>B3</t>
        </is>
      </c>
      <c r="B22" s="73" t="inlineStr">
        <is>
          <t>Operatore C</t>
        </is>
      </c>
      <c r="C22" s="73" t="inlineStr">
        <is>
          <t>L3</t>
        </is>
      </c>
      <c r="D22" s="73" t="n">
        <v>1</v>
      </c>
      <c r="E22" s="73" t="n">
        <v>6.3</v>
      </c>
      <c r="F22" s="57">
        <f>IF($A22="","",Offerte!$E12)</f>
        <v/>
      </c>
      <c r="G22" s="57">
        <f>IF($A22="","",Offerte!$G12)</f>
        <v/>
      </c>
      <c r="H22" s="57">
        <f>IF($A22="","",Offerte!$I12)</f>
        <v/>
      </c>
      <c r="I22" s="57">
        <f>IF($A22="","",Offerte!$J12)</f>
        <v/>
      </c>
      <c r="J22" s="57">
        <f>IF($A22="","",IF($D22&lt;&gt;1,"Non attiva",IF($G22="NO","Sotto soglia",IF(Offerte!$P12="Aggregato","Compila criteri A-G","OK"))))</f>
        <v/>
      </c>
      <c r="K22" s="49" t="inlineStr">
        <is>
          <t>Apri criteri</t>
        </is>
      </c>
    </row>
    <row r="23">
      <c r="A23" s="73" t="inlineStr">
        <is>
          <t>B3</t>
        </is>
      </c>
      <c r="B23" s="73" t="inlineStr">
        <is>
          <t>Operatore C</t>
        </is>
      </c>
      <c r="C23" s="73" t="inlineStr">
        <is>
          <t>L4</t>
        </is>
      </c>
      <c r="D23" s="73" t="n">
        <v>1</v>
      </c>
      <c r="E23" s="73" t="n">
        <v>6</v>
      </c>
      <c r="F23" s="57">
        <f>IF($A23="","",Offerte!$E13)</f>
        <v/>
      </c>
      <c r="G23" s="57">
        <f>IF($A23="","",Offerte!$G13)</f>
        <v/>
      </c>
      <c r="H23" s="57">
        <f>IF($A23="","",Offerte!$I13)</f>
        <v/>
      </c>
      <c r="I23" s="57">
        <f>IF($A23="","",Offerte!$J13)</f>
        <v/>
      </c>
      <c r="J23" s="57">
        <f>IF($A23="","",IF($D23&lt;&gt;1,"Non attiva",IF($G23="NO","Sotto soglia",IF(Offerte!$P13="Aggregato","Compila criteri A-G","OK"))))</f>
        <v/>
      </c>
      <c r="K23" s="49" t="inlineStr">
        <is>
          <t>Apri criteri</t>
        </is>
      </c>
    </row>
    <row r="24">
      <c r="A24" s="73" t="inlineStr"/>
      <c r="B24" s="73" t="inlineStr"/>
      <c r="C24" s="73" t="inlineStr"/>
      <c r="D24" s="73" t="inlineStr"/>
      <c r="E24" s="73" t="inlineStr"/>
      <c r="F24" s="57">
        <f>IF($A24="","",Offerte!$E14)</f>
        <v/>
      </c>
      <c r="G24" s="57">
        <f>IF($A24="","",Offerte!$G14)</f>
        <v/>
      </c>
      <c r="H24" s="57">
        <f>IF($A24="","",Offerte!$I14)</f>
        <v/>
      </c>
      <c r="I24" s="57">
        <f>IF($A24="","",Offerte!$J14)</f>
        <v/>
      </c>
      <c r="J24" s="57">
        <f>IF($A24="","",IF($D24&lt;&gt;1,"Non attiva",IF($G24="NO","Sotto soglia",IF(Offerte!$P14="Aggregato","Compila criteri A-G","OK"))))</f>
        <v/>
      </c>
      <c r="K24" s="49" t="inlineStr">
        <is>
          <t>Apri criteri</t>
        </is>
      </c>
    </row>
    <row r="25">
      <c r="A25" s="73" t="inlineStr"/>
      <c r="B25" s="73" t="inlineStr"/>
      <c r="C25" s="73" t="inlineStr"/>
      <c r="D25" s="73" t="inlineStr"/>
      <c r="E25" s="73" t="inlineStr"/>
      <c r="F25" s="57">
        <f>IF($A25="","",Offerte!$E15)</f>
        <v/>
      </c>
      <c r="G25" s="57">
        <f>IF($A25="","",Offerte!$G15)</f>
        <v/>
      </c>
      <c r="H25" s="57">
        <f>IF($A25="","",Offerte!$I15)</f>
        <v/>
      </c>
      <c r="I25" s="57">
        <f>IF($A25="","",Offerte!$J15)</f>
        <v/>
      </c>
      <c r="J25" s="57">
        <f>IF($A25="","",IF($D25&lt;&gt;1,"Non attiva",IF($G25="NO","Sotto soglia",IF(Offerte!$P15="Aggregato","Compila criteri A-G","OK"))))</f>
        <v/>
      </c>
      <c r="K25" s="49" t="inlineStr">
        <is>
          <t>Apri criteri</t>
        </is>
      </c>
    </row>
    <row r="26">
      <c r="A26" s="73" t="inlineStr"/>
      <c r="B26" s="73" t="inlineStr"/>
      <c r="C26" s="73" t="inlineStr"/>
      <c r="D26" s="73" t="inlineStr"/>
      <c r="E26" s="73" t="inlineStr"/>
      <c r="F26" s="57">
        <f>IF($A26="","",Offerte!$E16)</f>
        <v/>
      </c>
      <c r="G26" s="57">
        <f>IF($A26="","",Offerte!$G16)</f>
        <v/>
      </c>
      <c r="H26" s="57">
        <f>IF($A26="","",Offerte!$I16)</f>
        <v/>
      </c>
      <c r="I26" s="57">
        <f>IF($A26="","",Offerte!$J16)</f>
        <v/>
      </c>
      <c r="J26" s="57">
        <f>IF($A26="","",IF($D26&lt;&gt;1,"Non attiva",IF($G26="NO","Sotto soglia",IF(Offerte!$P16="Aggregato","Compila criteri A-G","OK"))))</f>
        <v/>
      </c>
      <c r="K26" s="49" t="inlineStr">
        <is>
          <t>Apri criteri</t>
        </is>
      </c>
    </row>
    <row r="27">
      <c r="A27" s="73" t="inlineStr"/>
      <c r="B27" s="73" t="inlineStr"/>
      <c r="C27" s="73" t="inlineStr"/>
      <c r="D27" s="73" t="inlineStr"/>
      <c r="E27" s="73" t="inlineStr"/>
      <c r="F27" s="57">
        <f>IF($A27="","",Offerte!$E17)</f>
        <v/>
      </c>
      <c r="G27" s="57">
        <f>IF($A27="","",Offerte!$G17)</f>
        <v/>
      </c>
      <c r="H27" s="57">
        <f>IF($A27="","",Offerte!$I17)</f>
        <v/>
      </c>
      <c r="I27" s="57">
        <f>IF($A27="","",Offerte!$J17)</f>
        <v/>
      </c>
      <c r="J27" s="57">
        <f>IF($A27="","",IF($D27&lt;&gt;1,"Non attiva",IF($G27="NO","Sotto soglia",IF(Offerte!$P17="Aggregato","Compila criteri A-G","OK"))))</f>
        <v/>
      </c>
      <c r="K27" s="49" t="inlineStr">
        <is>
          <t>Apri criteri</t>
        </is>
      </c>
    </row>
    <row r="28">
      <c r="A28" s="73" t="inlineStr"/>
      <c r="B28" s="73" t="inlineStr"/>
      <c r="C28" s="73" t="inlineStr"/>
      <c r="D28" s="73" t="inlineStr"/>
      <c r="E28" s="73" t="inlineStr"/>
      <c r="F28" s="57">
        <f>IF($A28="","",Offerte!$E18)</f>
        <v/>
      </c>
      <c r="G28" s="57">
        <f>IF($A28="","",Offerte!$G18)</f>
        <v/>
      </c>
      <c r="H28" s="57">
        <f>IF($A28="","",Offerte!$I18)</f>
        <v/>
      </c>
      <c r="I28" s="57">
        <f>IF($A28="","",Offerte!$J18)</f>
        <v/>
      </c>
      <c r="J28" s="57">
        <f>IF($A28="","",IF($D28&lt;&gt;1,"Non attiva",IF($G28="NO","Sotto soglia",IF(Offerte!$P18="Aggregato","Compila criteri A-G","OK"))))</f>
        <v/>
      </c>
      <c r="K28" s="49" t="inlineStr">
        <is>
          <t>Apri criteri</t>
        </is>
      </c>
    </row>
    <row r="29">
      <c r="A29" s="73" t="inlineStr"/>
      <c r="B29" s="73" t="inlineStr"/>
      <c r="C29" s="73" t="inlineStr"/>
      <c r="D29" s="73" t="inlineStr"/>
      <c r="E29" s="73" t="inlineStr"/>
      <c r="F29" s="57">
        <f>IF($A29="","",Offerte!$E19)</f>
        <v/>
      </c>
      <c r="G29" s="57">
        <f>IF($A29="","",Offerte!$G19)</f>
        <v/>
      </c>
      <c r="H29" s="57">
        <f>IF($A29="","",Offerte!$I19)</f>
        <v/>
      </c>
      <c r="I29" s="57">
        <f>IF($A29="","",Offerte!$J19)</f>
        <v/>
      </c>
      <c r="J29" s="57">
        <f>IF($A29="","",IF($D29&lt;&gt;1,"Non attiva",IF($G29="NO","Sotto soglia",IF(Offerte!$P19="Aggregato","Compila criteri A-G","OK"))))</f>
        <v/>
      </c>
      <c r="K29" s="49" t="inlineStr">
        <is>
          <t>Apri criteri</t>
        </is>
      </c>
    </row>
    <row r="30">
      <c r="A30" s="73" t="inlineStr"/>
      <c r="B30" s="73" t="inlineStr"/>
      <c r="C30" s="73" t="inlineStr"/>
      <c r="D30" s="73" t="inlineStr"/>
      <c r="E30" s="73" t="inlineStr"/>
      <c r="F30" s="57">
        <f>IF($A30="","",Offerte!$E20)</f>
        <v/>
      </c>
      <c r="G30" s="57">
        <f>IF($A30="","",Offerte!$G20)</f>
        <v/>
      </c>
      <c r="H30" s="57">
        <f>IF($A30="","",Offerte!$I20)</f>
        <v/>
      </c>
      <c r="I30" s="57">
        <f>IF($A30="","",Offerte!$J20)</f>
        <v/>
      </c>
      <c r="J30" s="57">
        <f>IF($A30="","",IF($D30&lt;&gt;1,"Non attiva",IF($G30="NO","Sotto soglia",IF(Offerte!$P20="Aggregato","Compila criteri A-G","OK"))))</f>
        <v/>
      </c>
      <c r="K30" s="49" t="inlineStr">
        <is>
          <t>Apri criteri</t>
        </is>
      </c>
    </row>
    <row r="31">
      <c r="A31" s="73" t="inlineStr"/>
      <c r="B31" s="73" t="inlineStr"/>
      <c r="C31" s="73" t="inlineStr"/>
      <c r="D31" s="73" t="inlineStr"/>
      <c r="E31" s="73" t="inlineStr"/>
      <c r="F31" s="57">
        <f>IF($A31="","",Offerte!$E21)</f>
        <v/>
      </c>
      <c r="G31" s="57">
        <f>IF($A31="","",Offerte!$G21)</f>
        <v/>
      </c>
      <c r="H31" s="57">
        <f>IF($A31="","",Offerte!$I21)</f>
        <v/>
      </c>
      <c r="I31" s="57">
        <f>IF($A31="","",Offerte!$J21)</f>
        <v/>
      </c>
      <c r="J31" s="57">
        <f>IF($A31="","",IF($D31&lt;&gt;1,"Non attiva",IF($G31="NO","Sotto soglia",IF(Offerte!$P21="Aggregato","Compila criteri A-G","OK"))))</f>
        <v/>
      </c>
      <c r="K31" s="49" t="inlineStr">
        <is>
          <t>Apri criteri</t>
        </is>
      </c>
    </row>
    <row r="32">
      <c r="A32" s="73" t="inlineStr"/>
      <c r="B32" s="73" t="inlineStr"/>
      <c r="C32" s="73" t="inlineStr"/>
      <c r="D32" s="73" t="inlineStr"/>
      <c r="E32" s="73" t="inlineStr"/>
      <c r="F32" s="57">
        <f>IF($A32="","",Offerte!$E22)</f>
        <v/>
      </c>
      <c r="G32" s="57">
        <f>IF($A32="","",Offerte!$G22)</f>
        <v/>
      </c>
      <c r="H32" s="57">
        <f>IF($A32="","",Offerte!$I22)</f>
        <v/>
      </c>
      <c r="I32" s="57">
        <f>IF($A32="","",Offerte!$J22)</f>
        <v/>
      </c>
      <c r="J32" s="57">
        <f>IF($A32="","",IF($D32&lt;&gt;1,"Non attiva",IF($G32="NO","Sotto soglia",IF(Offerte!$P22="Aggregato","Compila criteri A-G","OK"))))</f>
        <v/>
      </c>
      <c r="K32" s="49" t="inlineStr">
        <is>
          <t>Apri criteri</t>
        </is>
      </c>
    </row>
    <row r="33">
      <c r="A33" s="73" t="inlineStr"/>
      <c r="B33" s="73" t="inlineStr"/>
      <c r="C33" s="73" t="inlineStr"/>
      <c r="D33" s="73" t="inlineStr"/>
      <c r="E33" s="73" t="inlineStr"/>
      <c r="F33" s="57">
        <f>IF($A33="","",Offerte!$E23)</f>
        <v/>
      </c>
      <c r="G33" s="57">
        <f>IF($A33="","",Offerte!$G23)</f>
        <v/>
      </c>
      <c r="H33" s="57">
        <f>IF($A33="","",Offerte!$I23)</f>
        <v/>
      </c>
      <c r="I33" s="57">
        <f>IF($A33="","",Offerte!$J23)</f>
        <v/>
      </c>
      <c r="J33" s="57">
        <f>IF($A33="","",IF($D33&lt;&gt;1,"Non attiva",IF($G33="NO","Sotto soglia",IF(Offerte!$P23="Aggregato","Compila criteri A-G","OK"))))</f>
        <v/>
      </c>
      <c r="K33" s="49" t="inlineStr">
        <is>
          <t>Apri criteri</t>
        </is>
      </c>
    </row>
    <row r="34">
      <c r="A34" s="73" t="inlineStr"/>
      <c r="B34" s="73" t="inlineStr"/>
      <c r="C34" s="73" t="inlineStr"/>
      <c r="D34" s="73" t="inlineStr"/>
      <c r="E34" s="73" t="inlineStr"/>
      <c r="F34" s="57">
        <f>IF($A34="","",Offerte!$E24)</f>
        <v/>
      </c>
      <c r="G34" s="57">
        <f>IF($A34="","",Offerte!$G24)</f>
        <v/>
      </c>
      <c r="H34" s="57">
        <f>IF($A34="","",Offerte!$I24)</f>
        <v/>
      </c>
      <c r="I34" s="57">
        <f>IF($A34="","",Offerte!$J24)</f>
        <v/>
      </c>
      <c r="J34" s="57">
        <f>IF($A34="","",IF($D34&lt;&gt;1,"Non attiva",IF($G34="NO","Sotto soglia",IF(Offerte!$P24="Aggregato","Compila criteri A-G","OK"))))</f>
        <v/>
      </c>
      <c r="K34" s="49" t="inlineStr">
        <is>
          <t>Apri criteri</t>
        </is>
      </c>
    </row>
    <row r="35">
      <c r="A35" s="73" t="inlineStr"/>
      <c r="B35" s="73" t="inlineStr"/>
      <c r="C35" s="73" t="inlineStr"/>
      <c r="D35" s="73" t="inlineStr"/>
      <c r="E35" s="73" t="inlineStr"/>
      <c r="F35" s="57">
        <f>IF($A35="","",Offerte!$E25)</f>
        <v/>
      </c>
      <c r="G35" s="57">
        <f>IF($A35="","",Offerte!$G25)</f>
        <v/>
      </c>
      <c r="H35" s="57">
        <f>IF($A35="","",Offerte!$I25)</f>
        <v/>
      </c>
      <c r="I35" s="57">
        <f>IF($A35="","",Offerte!$J25)</f>
        <v/>
      </c>
      <c r="J35" s="57">
        <f>IF($A35="","",IF($D35&lt;&gt;1,"Non attiva",IF($G35="NO","Sotto soglia",IF(Offerte!$P25="Aggregato","Compila criteri A-G","OK"))))</f>
        <v/>
      </c>
      <c r="K35" s="49" t="inlineStr">
        <is>
          <t>Apri criteri</t>
        </is>
      </c>
    </row>
    <row r="36">
      <c r="A36" s="73" t="inlineStr"/>
      <c r="B36" s="73" t="inlineStr"/>
      <c r="C36" s="73" t="inlineStr"/>
      <c r="D36" s="73" t="inlineStr"/>
      <c r="E36" s="73" t="inlineStr"/>
      <c r="F36" s="57">
        <f>IF($A36="","",Offerte!$E26)</f>
        <v/>
      </c>
      <c r="G36" s="57">
        <f>IF($A36="","",Offerte!$G26)</f>
        <v/>
      </c>
      <c r="H36" s="57">
        <f>IF($A36="","",Offerte!$I26)</f>
        <v/>
      </c>
      <c r="I36" s="57">
        <f>IF($A36="","",Offerte!$J26)</f>
        <v/>
      </c>
      <c r="J36" s="57">
        <f>IF($A36="","",IF($D36&lt;&gt;1,"Non attiva",IF($G36="NO","Sotto soglia",IF(Offerte!$P26="Aggregato","Compila criteri A-G","OK"))))</f>
        <v/>
      </c>
      <c r="K36" s="49" t="inlineStr">
        <is>
          <t>Apri criteri</t>
        </is>
      </c>
    </row>
    <row r="37">
      <c r="A37" s="73" t="inlineStr"/>
      <c r="B37" s="73" t="inlineStr"/>
      <c r="C37" s="73" t="inlineStr"/>
      <c r="D37" s="73" t="inlineStr"/>
      <c r="E37" s="73" t="inlineStr"/>
      <c r="F37" s="57">
        <f>IF($A37="","",Offerte!$E27)</f>
        <v/>
      </c>
      <c r="G37" s="57">
        <f>IF($A37="","",Offerte!$G27)</f>
        <v/>
      </c>
      <c r="H37" s="57">
        <f>IF($A37="","",Offerte!$I27)</f>
        <v/>
      </c>
      <c r="I37" s="57">
        <f>IF($A37="","",Offerte!$J27)</f>
        <v/>
      </c>
      <c r="J37" s="57">
        <f>IF($A37="","",IF($D37&lt;&gt;1,"Non attiva",IF($G37="NO","Sotto soglia",IF(Offerte!$P27="Aggregato","Compila criteri A-G","OK"))))</f>
        <v/>
      </c>
      <c r="K37" s="49" t="inlineStr">
        <is>
          <t>Apri criteri</t>
        </is>
      </c>
    </row>
    <row r="38">
      <c r="A38" s="73" t="inlineStr"/>
      <c r="B38" s="73" t="inlineStr"/>
      <c r="C38" s="73" t="inlineStr"/>
      <c r="D38" s="73" t="inlineStr"/>
      <c r="E38" s="73" t="inlineStr"/>
      <c r="F38" s="57">
        <f>IF($A38="","",Offerte!$E28)</f>
        <v/>
      </c>
      <c r="G38" s="57">
        <f>IF($A38="","",Offerte!$G28)</f>
        <v/>
      </c>
      <c r="H38" s="57">
        <f>IF($A38="","",Offerte!$I28)</f>
        <v/>
      </c>
      <c r="I38" s="57">
        <f>IF($A38="","",Offerte!$J28)</f>
        <v/>
      </c>
      <c r="J38" s="57">
        <f>IF($A38="","",IF($D38&lt;&gt;1,"Non attiva",IF($G38="NO","Sotto soglia",IF(Offerte!$P28="Aggregato","Compila criteri A-G","OK"))))</f>
        <v/>
      </c>
      <c r="K38" s="49" t="inlineStr">
        <is>
          <t>Apri criteri</t>
        </is>
      </c>
    </row>
    <row r="39">
      <c r="A39" s="73" t="inlineStr"/>
      <c r="B39" s="73" t="inlineStr"/>
      <c r="C39" s="73" t="inlineStr"/>
      <c r="D39" s="73" t="inlineStr"/>
      <c r="E39" s="73" t="inlineStr"/>
      <c r="F39" s="57">
        <f>IF($A39="","",Offerte!$E29)</f>
        <v/>
      </c>
      <c r="G39" s="57">
        <f>IF($A39="","",Offerte!$G29)</f>
        <v/>
      </c>
      <c r="H39" s="57">
        <f>IF($A39="","",Offerte!$I29)</f>
        <v/>
      </c>
      <c r="I39" s="57">
        <f>IF($A39="","",Offerte!$J29)</f>
        <v/>
      </c>
      <c r="J39" s="57">
        <f>IF($A39="","",IF($D39&lt;&gt;1,"Non attiva",IF($G39="NO","Sotto soglia",IF(Offerte!$P29="Aggregato","Compila criteri A-G","OK"))))</f>
        <v/>
      </c>
      <c r="K39" s="49" t="inlineStr">
        <is>
          <t>Apri criteri</t>
        </is>
      </c>
    </row>
    <row r="40">
      <c r="A40" s="73" t="inlineStr"/>
      <c r="B40" s="73" t="inlineStr"/>
      <c r="C40" s="73" t="inlineStr"/>
      <c r="D40" s="73" t="inlineStr"/>
      <c r="E40" s="73" t="inlineStr"/>
      <c r="F40" s="57">
        <f>IF($A40="","",Offerte!$E30)</f>
        <v/>
      </c>
      <c r="G40" s="57">
        <f>IF($A40="","",Offerte!$G30)</f>
        <v/>
      </c>
      <c r="H40" s="57">
        <f>IF($A40="","",Offerte!$I30)</f>
        <v/>
      </c>
      <c r="I40" s="57">
        <f>IF($A40="","",Offerte!$J30)</f>
        <v/>
      </c>
      <c r="J40" s="57">
        <f>IF($A40="","",IF($D40&lt;&gt;1,"Non attiva",IF($G40="NO","Sotto soglia",IF(Offerte!$P30="Aggregato","Compila criteri A-G","OK"))))</f>
        <v/>
      </c>
      <c r="K40" s="49" t="inlineStr">
        <is>
          <t>Apri criteri</t>
        </is>
      </c>
    </row>
    <row r="41">
      <c r="A41" s="73" t="inlineStr"/>
      <c r="B41" s="73" t="inlineStr"/>
      <c r="C41" s="73" t="inlineStr"/>
      <c r="D41" s="73" t="inlineStr"/>
      <c r="E41" s="73" t="inlineStr"/>
      <c r="F41" s="57">
        <f>IF($A41="","",Offerte!$E31)</f>
        <v/>
      </c>
      <c r="G41" s="57">
        <f>IF($A41="","",Offerte!$G31)</f>
        <v/>
      </c>
      <c r="H41" s="57">
        <f>IF($A41="","",Offerte!$I31)</f>
        <v/>
      </c>
      <c r="I41" s="57">
        <f>IF($A41="","",Offerte!$J31)</f>
        <v/>
      </c>
      <c r="J41" s="57">
        <f>IF($A41="","",IF($D41&lt;&gt;1,"Non attiva",IF($G41="NO","Sotto soglia",IF(Offerte!$P31="Aggregato","Compila criteri A-G","OK"))))</f>
        <v/>
      </c>
      <c r="K41" s="49" t="inlineStr">
        <is>
          <t>Apri criteri</t>
        </is>
      </c>
    </row>
    <row r="42">
      <c r="A42" s="73" t="inlineStr"/>
      <c r="B42" s="73" t="inlineStr"/>
      <c r="C42" s="73" t="inlineStr"/>
      <c r="D42" s="73" t="inlineStr"/>
      <c r="E42" s="73" t="inlineStr"/>
      <c r="F42" s="57">
        <f>IF($A42="","",Offerte!$E32)</f>
        <v/>
      </c>
      <c r="G42" s="57">
        <f>IF($A42="","",Offerte!$G32)</f>
        <v/>
      </c>
      <c r="H42" s="57">
        <f>IF($A42="","",Offerte!$I32)</f>
        <v/>
      </c>
      <c r="I42" s="57">
        <f>IF($A42="","",Offerte!$J32)</f>
        <v/>
      </c>
      <c r="J42" s="57">
        <f>IF($A42="","",IF($D42&lt;&gt;1,"Non attiva",IF($G42="NO","Sotto soglia",IF(Offerte!$P32="Aggregato","Compila criteri A-G","OK"))))</f>
        <v/>
      </c>
      <c r="K42" s="49" t="inlineStr">
        <is>
          <t>Apri criteri</t>
        </is>
      </c>
    </row>
    <row r="43">
      <c r="A43" s="73" t="inlineStr"/>
      <c r="B43" s="73" t="inlineStr"/>
      <c r="C43" s="73" t="inlineStr"/>
      <c r="D43" s="73" t="inlineStr"/>
      <c r="E43" s="73" t="inlineStr"/>
      <c r="F43" s="57">
        <f>IF($A43="","",Offerte!$E33)</f>
        <v/>
      </c>
      <c r="G43" s="57">
        <f>IF($A43="","",Offerte!$G33)</f>
        <v/>
      </c>
      <c r="H43" s="57">
        <f>IF($A43="","",Offerte!$I33)</f>
        <v/>
      </c>
      <c r="I43" s="57">
        <f>IF($A43="","",Offerte!$J33)</f>
        <v/>
      </c>
      <c r="J43" s="57">
        <f>IF($A43="","",IF($D43&lt;&gt;1,"Non attiva",IF($G43="NO","Sotto soglia",IF(Offerte!$P33="Aggregato","Compila criteri A-G","OK"))))</f>
        <v/>
      </c>
      <c r="K43" s="49" t="inlineStr">
        <is>
          <t>Apri criteri</t>
        </is>
      </c>
    </row>
    <row r="44">
      <c r="A44" s="73" t="inlineStr"/>
      <c r="B44" s="73" t="inlineStr"/>
      <c r="C44" s="73" t="inlineStr"/>
      <c r="D44" s="73" t="inlineStr"/>
      <c r="E44" s="73" t="inlineStr"/>
      <c r="F44" s="57">
        <f>IF($A44="","",Offerte!$E34)</f>
        <v/>
      </c>
      <c r="G44" s="57">
        <f>IF($A44="","",Offerte!$G34)</f>
        <v/>
      </c>
      <c r="H44" s="57">
        <f>IF($A44="","",Offerte!$I34)</f>
        <v/>
      </c>
      <c r="I44" s="57">
        <f>IF($A44="","",Offerte!$J34)</f>
        <v/>
      </c>
      <c r="J44" s="57">
        <f>IF($A44="","",IF($D44&lt;&gt;1,"Non attiva",IF($G44="NO","Sotto soglia",IF(Offerte!$P34="Aggregato","Compila criteri A-G","OK"))))</f>
        <v/>
      </c>
      <c r="K44" s="49" t="inlineStr">
        <is>
          <t>Apri criteri</t>
        </is>
      </c>
    </row>
    <row r="45">
      <c r="A45" s="73" t="inlineStr"/>
      <c r="B45" s="73" t="inlineStr"/>
      <c r="C45" s="73" t="inlineStr"/>
      <c r="D45" s="73" t="inlineStr"/>
      <c r="E45" s="73" t="inlineStr"/>
      <c r="F45" s="57">
        <f>IF($A45="","",Offerte!$E35)</f>
        <v/>
      </c>
      <c r="G45" s="57">
        <f>IF($A45="","",Offerte!$G35)</f>
        <v/>
      </c>
      <c r="H45" s="57">
        <f>IF($A45="","",Offerte!$I35)</f>
        <v/>
      </c>
      <c r="I45" s="57">
        <f>IF($A45="","",Offerte!$J35)</f>
        <v/>
      </c>
      <c r="J45" s="57">
        <f>IF($A45="","",IF($D45&lt;&gt;1,"Non attiva",IF($G45="NO","Sotto soglia",IF(Offerte!$P35="Aggregato","Compila criteri A-G","OK"))))</f>
        <v/>
      </c>
      <c r="K45" s="49" t="inlineStr">
        <is>
          <t>Apri criteri</t>
        </is>
      </c>
    </row>
    <row r="46">
      <c r="A46" s="73" t="inlineStr"/>
      <c r="B46" s="73" t="inlineStr"/>
      <c r="C46" s="73" t="inlineStr"/>
      <c r="D46" s="73" t="inlineStr"/>
      <c r="E46" s="73" t="inlineStr"/>
      <c r="F46" s="57">
        <f>IF($A46="","",Offerte!$E36)</f>
        <v/>
      </c>
      <c r="G46" s="57">
        <f>IF($A46="","",Offerte!$G36)</f>
        <v/>
      </c>
      <c r="H46" s="57">
        <f>IF($A46="","",Offerte!$I36)</f>
        <v/>
      </c>
      <c r="I46" s="57">
        <f>IF($A46="","",Offerte!$J36)</f>
        <v/>
      </c>
      <c r="J46" s="57">
        <f>IF($A46="","",IF($D46&lt;&gt;1,"Non attiva",IF($G46="NO","Sotto soglia",IF(Offerte!$P36="Aggregato","Compila criteri A-G","OK"))))</f>
        <v/>
      </c>
      <c r="K46" s="49" t="inlineStr">
        <is>
          <t>Apri criteri</t>
        </is>
      </c>
    </row>
    <row r="47">
      <c r="A47" s="73" t="inlineStr"/>
      <c r="B47" s="73" t="inlineStr"/>
      <c r="C47" s="73" t="inlineStr"/>
      <c r="D47" s="73" t="inlineStr"/>
      <c r="E47" s="73" t="inlineStr"/>
      <c r="F47" s="57">
        <f>IF($A47="","",Offerte!$E37)</f>
        <v/>
      </c>
      <c r="G47" s="57">
        <f>IF($A47="","",Offerte!$G37)</f>
        <v/>
      </c>
      <c r="H47" s="57">
        <f>IF($A47="","",Offerte!$I37)</f>
        <v/>
      </c>
      <c r="I47" s="57">
        <f>IF($A47="","",Offerte!$J37)</f>
        <v/>
      </c>
      <c r="J47" s="57">
        <f>IF($A47="","",IF($D47&lt;&gt;1,"Non attiva",IF($G47="NO","Sotto soglia",IF(Offerte!$P37="Aggregato","Compila criteri A-G","OK"))))</f>
        <v/>
      </c>
      <c r="K47" s="49" t="inlineStr">
        <is>
          <t>Apri criteri</t>
        </is>
      </c>
    </row>
    <row r="48">
      <c r="A48" s="73" t="inlineStr"/>
      <c r="B48" s="73" t="inlineStr"/>
      <c r="C48" s="73" t="inlineStr"/>
      <c r="D48" s="73" t="inlineStr"/>
      <c r="E48" s="73" t="inlineStr"/>
      <c r="F48" s="57">
        <f>IF($A48="","",Offerte!$E38)</f>
        <v/>
      </c>
      <c r="G48" s="57">
        <f>IF($A48="","",Offerte!$G38)</f>
        <v/>
      </c>
      <c r="H48" s="57">
        <f>IF($A48="","",Offerte!$I38)</f>
        <v/>
      </c>
      <c r="I48" s="57">
        <f>IF($A48="","",Offerte!$J38)</f>
        <v/>
      </c>
      <c r="J48" s="57">
        <f>IF($A48="","",IF($D48&lt;&gt;1,"Non attiva",IF($G48="NO","Sotto soglia",IF(Offerte!$P38="Aggregato","Compila criteri A-G","OK"))))</f>
        <v/>
      </c>
      <c r="K48" s="49" t="inlineStr">
        <is>
          <t>Apri criteri</t>
        </is>
      </c>
    </row>
    <row r="49">
      <c r="A49" s="73" t="inlineStr"/>
      <c r="B49" s="73" t="inlineStr"/>
      <c r="C49" s="73" t="inlineStr"/>
      <c r="D49" s="73" t="inlineStr"/>
      <c r="E49" s="73" t="inlineStr"/>
      <c r="F49" s="57">
        <f>IF($A49="","",Offerte!$E39)</f>
        <v/>
      </c>
      <c r="G49" s="57">
        <f>IF($A49="","",Offerte!$G39)</f>
        <v/>
      </c>
      <c r="H49" s="57">
        <f>IF($A49="","",Offerte!$I39)</f>
        <v/>
      </c>
      <c r="I49" s="57">
        <f>IF($A49="","",Offerte!$J39)</f>
        <v/>
      </c>
      <c r="J49" s="57">
        <f>IF($A49="","",IF($D49&lt;&gt;1,"Non attiva",IF($G49="NO","Sotto soglia",IF(Offerte!$P39="Aggregato","Compila criteri A-G","OK"))))</f>
        <v/>
      </c>
      <c r="K49" s="49" t="inlineStr">
        <is>
          <t>Apri criteri</t>
        </is>
      </c>
    </row>
    <row r="50">
      <c r="A50" s="73" t="inlineStr"/>
      <c r="B50" s="73" t="inlineStr"/>
      <c r="C50" s="73" t="inlineStr"/>
      <c r="D50" s="73" t="inlineStr"/>
      <c r="E50" s="73" t="inlineStr"/>
      <c r="F50" s="57">
        <f>IF($A50="","",Offerte!$E40)</f>
        <v/>
      </c>
      <c r="G50" s="57">
        <f>IF($A50="","",Offerte!$G40)</f>
        <v/>
      </c>
      <c r="H50" s="57">
        <f>IF($A50="","",Offerte!$I40)</f>
        <v/>
      </c>
      <c r="I50" s="57">
        <f>IF($A50="","",Offerte!$J40)</f>
        <v/>
      </c>
      <c r="J50" s="57">
        <f>IF($A50="","",IF($D50&lt;&gt;1,"Non attiva",IF($G50="NO","Sotto soglia",IF(Offerte!$P40="Aggregato","Compila criteri A-G","OK"))))</f>
        <v/>
      </c>
      <c r="K50" s="49" t="inlineStr">
        <is>
          <t>Apri criteri</t>
        </is>
      </c>
    </row>
    <row r="51">
      <c r="A51" s="73" t="inlineStr"/>
      <c r="B51" s="73" t="inlineStr"/>
      <c r="C51" s="73" t="inlineStr"/>
      <c r="D51" s="73" t="inlineStr"/>
      <c r="E51" s="73" t="inlineStr"/>
      <c r="F51" s="57">
        <f>IF($A51="","",Offerte!$E41)</f>
        <v/>
      </c>
      <c r="G51" s="57">
        <f>IF($A51="","",Offerte!$G41)</f>
        <v/>
      </c>
      <c r="H51" s="57">
        <f>IF($A51="","",Offerte!$I41)</f>
        <v/>
      </c>
      <c r="I51" s="57">
        <f>IF($A51="","",Offerte!$J41)</f>
        <v/>
      </c>
      <c r="J51" s="57">
        <f>IF($A51="","",IF($D51&lt;&gt;1,"Non attiva",IF($G51="NO","Sotto soglia",IF(Offerte!$P41="Aggregato","Compila criteri A-G","OK"))))</f>
        <v/>
      </c>
      <c r="K51" s="49" t="inlineStr">
        <is>
          <t>Apri criteri</t>
        </is>
      </c>
    </row>
    <row r="52">
      <c r="A52" s="73" t="inlineStr"/>
      <c r="B52" s="73" t="inlineStr"/>
      <c r="C52" s="73" t="inlineStr"/>
      <c r="D52" s="73" t="inlineStr"/>
      <c r="E52" s="73" t="inlineStr"/>
      <c r="F52" s="57">
        <f>IF($A52="","",Offerte!$E42)</f>
        <v/>
      </c>
      <c r="G52" s="57">
        <f>IF($A52="","",Offerte!$G42)</f>
        <v/>
      </c>
      <c r="H52" s="57">
        <f>IF($A52="","",Offerte!$I42)</f>
        <v/>
      </c>
      <c r="I52" s="57">
        <f>IF($A52="","",Offerte!$J42)</f>
        <v/>
      </c>
      <c r="J52" s="57">
        <f>IF($A52="","",IF($D52&lt;&gt;1,"Non attiva",IF($G52="NO","Sotto soglia",IF(Offerte!$P42="Aggregato","Compila criteri A-G","OK"))))</f>
        <v/>
      </c>
      <c r="K52" s="49" t="inlineStr">
        <is>
          <t>Apri criteri</t>
        </is>
      </c>
    </row>
    <row r="53">
      <c r="A53" s="73" t="inlineStr"/>
      <c r="B53" s="73" t="inlineStr"/>
      <c r="C53" s="73" t="inlineStr"/>
      <c r="D53" s="73" t="inlineStr"/>
      <c r="E53" s="73" t="inlineStr"/>
      <c r="F53" s="57">
        <f>IF($A53="","",Offerte!$E43)</f>
        <v/>
      </c>
      <c r="G53" s="57">
        <f>IF($A53="","",Offerte!$G43)</f>
        <v/>
      </c>
      <c r="H53" s="57">
        <f>IF($A53="","",Offerte!$I43)</f>
        <v/>
      </c>
      <c r="I53" s="57">
        <f>IF($A53="","",Offerte!$J43)</f>
        <v/>
      </c>
      <c r="J53" s="57">
        <f>IF($A53="","",IF($D53&lt;&gt;1,"Non attiva",IF($G53="NO","Sotto soglia",IF(Offerte!$P43="Aggregato","Compila criteri A-G","OK"))))</f>
        <v/>
      </c>
      <c r="K53" s="49" t="inlineStr">
        <is>
          <t>Apri criteri</t>
        </is>
      </c>
    </row>
    <row r="54">
      <c r="A54" s="73" t="inlineStr"/>
      <c r="B54" s="73" t="inlineStr"/>
      <c r="C54" s="73" t="inlineStr"/>
      <c r="D54" s="73" t="inlineStr"/>
      <c r="E54" s="73" t="inlineStr"/>
      <c r="F54" s="57">
        <f>IF($A54="","",Offerte!$E44)</f>
        <v/>
      </c>
      <c r="G54" s="57">
        <f>IF($A54="","",Offerte!$G44)</f>
        <v/>
      </c>
      <c r="H54" s="57">
        <f>IF($A54="","",Offerte!$I44)</f>
        <v/>
      </c>
      <c r="I54" s="57">
        <f>IF($A54="","",Offerte!$J44)</f>
        <v/>
      </c>
      <c r="J54" s="57">
        <f>IF($A54="","",IF($D54&lt;&gt;1,"Non attiva",IF($G54="NO","Sotto soglia",IF(Offerte!$P44="Aggregato","Compila criteri A-G","OK"))))</f>
        <v/>
      </c>
      <c r="K54" s="49" t="inlineStr">
        <is>
          <t>Apri criteri</t>
        </is>
      </c>
    </row>
    <row r="55">
      <c r="A55" s="73" t="inlineStr"/>
      <c r="B55" s="73" t="inlineStr"/>
      <c r="C55" s="73" t="inlineStr"/>
      <c r="D55" s="73" t="inlineStr"/>
      <c r="E55" s="73" t="inlineStr"/>
      <c r="F55" s="57">
        <f>IF($A55="","",Offerte!$E45)</f>
        <v/>
      </c>
      <c r="G55" s="57">
        <f>IF($A55="","",Offerte!$G45)</f>
        <v/>
      </c>
      <c r="H55" s="57">
        <f>IF($A55="","",Offerte!$I45)</f>
        <v/>
      </c>
      <c r="I55" s="57">
        <f>IF($A55="","",Offerte!$J45)</f>
        <v/>
      </c>
      <c r="J55" s="57">
        <f>IF($A55="","",IF($D55&lt;&gt;1,"Non attiva",IF($G55="NO","Sotto soglia",IF(Offerte!$P45="Aggregato","Compila criteri A-G","OK"))))</f>
        <v/>
      </c>
      <c r="K55" s="49" t="inlineStr">
        <is>
          <t>Apri criteri</t>
        </is>
      </c>
    </row>
    <row r="56">
      <c r="A56" s="73" t="inlineStr"/>
      <c r="B56" s="73" t="inlineStr"/>
      <c r="C56" s="73" t="inlineStr"/>
      <c r="D56" s="73" t="inlineStr"/>
      <c r="E56" s="73" t="inlineStr"/>
      <c r="F56" s="57">
        <f>IF($A56="","",Offerte!$E46)</f>
        <v/>
      </c>
      <c r="G56" s="57">
        <f>IF($A56="","",Offerte!$G46)</f>
        <v/>
      </c>
      <c r="H56" s="57">
        <f>IF($A56="","",Offerte!$I46)</f>
        <v/>
      </c>
      <c r="I56" s="57">
        <f>IF($A56="","",Offerte!$J46)</f>
        <v/>
      </c>
      <c r="J56" s="57">
        <f>IF($A56="","",IF($D56&lt;&gt;1,"Non attiva",IF($G56="NO","Sotto soglia",IF(Offerte!$P46="Aggregato","Compila criteri A-G","OK"))))</f>
        <v/>
      </c>
      <c r="K56" s="49" t="inlineStr">
        <is>
          <t>Apri criteri</t>
        </is>
      </c>
    </row>
    <row r="57">
      <c r="A57" s="73" t="inlineStr"/>
      <c r="B57" s="73" t="inlineStr"/>
      <c r="C57" s="73" t="inlineStr"/>
      <c r="D57" s="73" t="inlineStr"/>
      <c r="E57" s="73" t="inlineStr"/>
      <c r="F57" s="57">
        <f>IF($A57="","",Offerte!$E47)</f>
        <v/>
      </c>
      <c r="G57" s="57">
        <f>IF($A57="","",Offerte!$G47)</f>
        <v/>
      </c>
      <c r="H57" s="57">
        <f>IF($A57="","",Offerte!$I47)</f>
        <v/>
      </c>
      <c r="I57" s="57">
        <f>IF($A57="","",Offerte!$J47)</f>
        <v/>
      </c>
      <c r="J57" s="57">
        <f>IF($A57="","",IF($D57&lt;&gt;1,"Non attiva",IF($G57="NO","Sotto soglia",IF(Offerte!$P47="Aggregato","Compila criteri A-G","OK"))))</f>
        <v/>
      </c>
      <c r="K57" s="49" t="inlineStr">
        <is>
          <t>Apri criteri</t>
        </is>
      </c>
    </row>
    <row r="58">
      <c r="A58" s="73" t="inlineStr"/>
      <c r="B58" s="73" t="inlineStr"/>
      <c r="C58" s="73" t="inlineStr"/>
      <c r="D58" s="73" t="inlineStr"/>
      <c r="E58" s="73" t="inlineStr"/>
      <c r="F58" s="57">
        <f>IF($A58="","",Offerte!$E48)</f>
        <v/>
      </c>
      <c r="G58" s="57">
        <f>IF($A58="","",Offerte!$G48)</f>
        <v/>
      </c>
      <c r="H58" s="57">
        <f>IF($A58="","",Offerte!$I48)</f>
        <v/>
      </c>
      <c r="I58" s="57">
        <f>IF($A58="","",Offerte!$J48)</f>
        <v/>
      </c>
      <c r="J58" s="57">
        <f>IF($A58="","",IF($D58&lt;&gt;1,"Non attiva",IF($G58="NO","Sotto soglia",IF(Offerte!$P48="Aggregato","Compila criteri A-G","OK"))))</f>
        <v/>
      </c>
      <c r="K58" s="49" t="inlineStr">
        <is>
          <t>Apri criteri</t>
        </is>
      </c>
    </row>
    <row r="59">
      <c r="A59" s="73" t="inlineStr"/>
      <c r="B59" s="73" t="inlineStr"/>
      <c r="C59" s="73" t="inlineStr"/>
      <c r="D59" s="73" t="inlineStr"/>
      <c r="E59" s="73" t="inlineStr"/>
      <c r="F59" s="57">
        <f>IF($A59="","",Offerte!$E49)</f>
        <v/>
      </c>
      <c r="G59" s="57">
        <f>IF($A59="","",Offerte!$G49)</f>
        <v/>
      </c>
      <c r="H59" s="57">
        <f>IF($A59="","",Offerte!$I49)</f>
        <v/>
      </c>
      <c r="I59" s="57">
        <f>IF($A59="","",Offerte!$J49)</f>
        <v/>
      </c>
      <c r="J59" s="57">
        <f>IF($A59="","",IF($D59&lt;&gt;1,"Non attiva",IF($G59="NO","Sotto soglia",IF(Offerte!$P49="Aggregato","Compila criteri A-G","OK"))))</f>
        <v/>
      </c>
      <c r="K59" s="49" t="inlineStr">
        <is>
          <t>Apri criteri</t>
        </is>
      </c>
    </row>
    <row r="60">
      <c r="A60" s="73" t="inlineStr"/>
      <c r="B60" s="73" t="inlineStr"/>
      <c r="C60" s="73" t="inlineStr"/>
      <c r="D60" s="73" t="inlineStr"/>
      <c r="E60" s="73" t="inlineStr"/>
      <c r="F60" s="57">
        <f>IF($A60="","",Offerte!$E50)</f>
        <v/>
      </c>
      <c r="G60" s="57">
        <f>IF($A60="","",Offerte!$G50)</f>
        <v/>
      </c>
      <c r="H60" s="57">
        <f>IF($A60="","",Offerte!$I50)</f>
        <v/>
      </c>
      <c r="I60" s="57">
        <f>IF($A60="","",Offerte!$J50)</f>
        <v/>
      </c>
      <c r="J60" s="57">
        <f>IF($A60="","",IF($D60&lt;&gt;1,"Non attiva",IF($G60="NO","Sotto soglia",IF(Offerte!$P50="Aggregato","Compila criteri A-G","OK"))))</f>
        <v/>
      </c>
      <c r="K60" s="49" t="inlineStr">
        <is>
          <t>Apri criteri</t>
        </is>
      </c>
    </row>
    <row r="61">
      <c r="A61" s="73" t="inlineStr"/>
      <c r="B61" s="73" t="inlineStr"/>
      <c r="C61" s="73" t="inlineStr"/>
      <c r="D61" s="73" t="inlineStr"/>
      <c r="E61" s="73" t="inlineStr"/>
      <c r="F61" s="57">
        <f>IF($A61="","",Offerte!$E51)</f>
        <v/>
      </c>
      <c r="G61" s="57">
        <f>IF($A61="","",Offerte!$G51)</f>
        <v/>
      </c>
      <c r="H61" s="57">
        <f>IF($A61="","",Offerte!$I51)</f>
        <v/>
      </c>
      <c r="I61" s="57">
        <f>IF($A61="","",Offerte!$J51)</f>
        <v/>
      </c>
      <c r="J61" s="57">
        <f>IF($A61="","",IF($D61&lt;&gt;1,"Non attiva",IF($G61="NO","Sotto soglia",IF(Offerte!$P51="Aggregato","Compila criteri A-G","OK"))))</f>
        <v/>
      </c>
      <c r="K61" s="49" t="inlineStr">
        <is>
          <t>Apri criteri</t>
        </is>
      </c>
    </row>
    <row r="62">
      <c r="A62" s="73" t="inlineStr"/>
      <c r="B62" s="73" t="inlineStr"/>
      <c r="C62" s="73" t="inlineStr"/>
      <c r="D62" s="73" t="inlineStr"/>
      <c r="E62" s="73" t="inlineStr"/>
      <c r="F62" s="57">
        <f>IF($A62="","",Offerte!$E52)</f>
        <v/>
      </c>
      <c r="G62" s="57">
        <f>IF($A62="","",Offerte!$G52)</f>
        <v/>
      </c>
      <c r="H62" s="57">
        <f>IF($A62="","",Offerte!$I52)</f>
        <v/>
      </c>
      <c r="I62" s="57">
        <f>IF($A62="","",Offerte!$J52)</f>
        <v/>
      </c>
      <c r="J62" s="57">
        <f>IF($A62="","",IF($D62&lt;&gt;1,"Non attiva",IF($G62="NO","Sotto soglia",IF(Offerte!$P52="Aggregato","Compila criteri A-G","OK"))))</f>
        <v/>
      </c>
      <c r="K62" s="49" t="inlineStr">
        <is>
          <t>Apri criteri</t>
        </is>
      </c>
    </row>
    <row r="63">
      <c r="A63" s="73" t="inlineStr"/>
      <c r="B63" s="73" t="inlineStr"/>
      <c r="C63" s="73" t="inlineStr"/>
      <c r="D63" s="73" t="inlineStr"/>
      <c r="E63" s="73" t="inlineStr"/>
      <c r="F63" s="57">
        <f>IF($A63="","",Offerte!$E53)</f>
        <v/>
      </c>
      <c r="G63" s="57">
        <f>IF($A63="","",Offerte!$G53)</f>
        <v/>
      </c>
      <c r="H63" s="57">
        <f>IF($A63="","",Offerte!$I53)</f>
        <v/>
      </c>
      <c r="I63" s="57">
        <f>IF($A63="","",Offerte!$J53)</f>
        <v/>
      </c>
      <c r="J63" s="57">
        <f>IF($A63="","",IF($D63&lt;&gt;1,"Non attiva",IF($G63="NO","Sotto soglia",IF(Offerte!$P53="Aggregato","Compila criteri A-G","OK"))))</f>
        <v/>
      </c>
      <c r="K63" s="49" t="inlineStr">
        <is>
          <t>Apri criteri</t>
        </is>
      </c>
    </row>
    <row r="64">
      <c r="A64" s="73" t="inlineStr"/>
      <c r="B64" s="73" t="inlineStr"/>
      <c r="C64" s="73" t="inlineStr"/>
      <c r="D64" s="73" t="inlineStr"/>
      <c r="E64" s="73" t="inlineStr"/>
      <c r="F64" s="57">
        <f>IF($A64="","",Offerte!$E54)</f>
        <v/>
      </c>
      <c r="G64" s="57">
        <f>IF($A64="","",Offerte!$G54)</f>
        <v/>
      </c>
      <c r="H64" s="57">
        <f>IF($A64="","",Offerte!$I54)</f>
        <v/>
      </c>
      <c r="I64" s="57">
        <f>IF($A64="","",Offerte!$J54)</f>
        <v/>
      </c>
      <c r="J64" s="57">
        <f>IF($A64="","",IF($D64&lt;&gt;1,"Non attiva",IF($G64="NO","Sotto soglia",IF(Offerte!$P54="Aggregato","Compila criteri A-G","OK"))))</f>
        <v/>
      </c>
      <c r="K64" s="49" t="inlineStr">
        <is>
          <t>Apri criteri</t>
        </is>
      </c>
    </row>
    <row r="65">
      <c r="A65" s="73" t="inlineStr"/>
      <c r="B65" s="73" t="inlineStr"/>
      <c r="C65" s="73" t="inlineStr"/>
      <c r="D65" s="73" t="inlineStr"/>
      <c r="E65" s="73" t="inlineStr"/>
      <c r="F65" s="57">
        <f>IF($A65="","",Offerte!$E55)</f>
        <v/>
      </c>
      <c r="G65" s="57">
        <f>IF($A65="","",Offerte!$G55)</f>
        <v/>
      </c>
      <c r="H65" s="57">
        <f>IF($A65="","",Offerte!$I55)</f>
        <v/>
      </c>
      <c r="I65" s="57">
        <f>IF($A65="","",Offerte!$J55)</f>
        <v/>
      </c>
      <c r="J65" s="57">
        <f>IF($A65="","",IF($D65&lt;&gt;1,"Non attiva",IF($G65="NO","Sotto soglia",IF(Offerte!$P55="Aggregato","Compila criteri A-G","OK"))))</f>
        <v/>
      </c>
      <c r="K65" s="49" t="inlineStr">
        <is>
          <t>Apri criteri</t>
        </is>
      </c>
    </row>
    <row r="66">
      <c r="A66" s="73" t="inlineStr"/>
      <c r="B66" s="73" t="inlineStr"/>
      <c r="C66" s="73" t="inlineStr"/>
      <c r="D66" s="73" t="inlineStr"/>
      <c r="E66" s="73" t="inlineStr"/>
      <c r="F66" s="57">
        <f>IF($A66="","",Offerte!$E56)</f>
        <v/>
      </c>
      <c r="G66" s="57">
        <f>IF($A66="","",Offerte!$G56)</f>
        <v/>
      </c>
      <c r="H66" s="57">
        <f>IF($A66="","",Offerte!$I56)</f>
        <v/>
      </c>
      <c r="I66" s="57">
        <f>IF($A66="","",Offerte!$J56)</f>
        <v/>
      </c>
      <c r="J66" s="57">
        <f>IF($A66="","",IF($D66&lt;&gt;1,"Non attiva",IF($G66="NO","Sotto soglia",IF(Offerte!$P56="Aggregato","Compila criteri A-G","OK"))))</f>
        <v/>
      </c>
      <c r="K66" s="49" t="inlineStr">
        <is>
          <t>Apri criteri</t>
        </is>
      </c>
    </row>
    <row r="67">
      <c r="A67" s="73" t="inlineStr"/>
      <c r="B67" s="73" t="inlineStr"/>
      <c r="C67" s="73" t="inlineStr"/>
      <c r="D67" s="73" t="inlineStr"/>
      <c r="E67" s="73" t="inlineStr"/>
      <c r="F67" s="57">
        <f>IF($A67="","",Offerte!$E57)</f>
        <v/>
      </c>
      <c r="G67" s="57">
        <f>IF($A67="","",Offerte!$G57)</f>
        <v/>
      </c>
      <c r="H67" s="57">
        <f>IF($A67="","",Offerte!$I57)</f>
        <v/>
      </c>
      <c r="I67" s="57">
        <f>IF($A67="","",Offerte!$J57)</f>
        <v/>
      </c>
      <c r="J67" s="57">
        <f>IF($A67="","",IF($D67&lt;&gt;1,"Non attiva",IF($G67="NO","Sotto soglia",IF(Offerte!$P57="Aggregato","Compila criteri A-G","OK"))))</f>
        <v/>
      </c>
      <c r="K67" s="49" t="inlineStr">
        <is>
          <t>Apri criteri</t>
        </is>
      </c>
    </row>
    <row r="68">
      <c r="A68" s="73" t="inlineStr"/>
      <c r="B68" s="73" t="inlineStr"/>
      <c r="C68" s="73" t="inlineStr"/>
      <c r="D68" s="73" t="inlineStr"/>
      <c r="E68" s="73" t="inlineStr"/>
      <c r="F68" s="57">
        <f>IF($A68="","",Offerte!$E58)</f>
        <v/>
      </c>
      <c r="G68" s="57">
        <f>IF($A68="","",Offerte!$G58)</f>
        <v/>
      </c>
      <c r="H68" s="57">
        <f>IF($A68="","",Offerte!$I58)</f>
        <v/>
      </c>
      <c r="I68" s="57">
        <f>IF($A68="","",Offerte!$J58)</f>
        <v/>
      </c>
      <c r="J68" s="57">
        <f>IF($A68="","",IF($D68&lt;&gt;1,"Non attiva",IF($G68="NO","Sotto soglia",IF(Offerte!$P58="Aggregato","Compila criteri A-G","OK"))))</f>
        <v/>
      </c>
      <c r="K68" s="49" t="inlineStr">
        <is>
          <t>Apri criteri</t>
        </is>
      </c>
    </row>
    <row r="69">
      <c r="A69" s="73" t="inlineStr"/>
      <c r="B69" s="73" t="inlineStr"/>
      <c r="C69" s="73" t="inlineStr"/>
      <c r="D69" s="73" t="inlineStr"/>
      <c r="E69" s="73" t="inlineStr"/>
      <c r="F69" s="57">
        <f>IF($A69="","",Offerte!$E59)</f>
        <v/>
      </c>
      <c r="G69" s="57">
        <f>IF($A69="","",Offerte!$G59)</f>
        <v/>
      </c>
      <c r="H69" s="57">
        <f>IF($A69="","",Offerte!$I59)</f>
        <v/>
      </c>
      <c r="I69" s="57">
        <f>IF($A69="","",Offerte!$J59)</f>
        <v/>
      </c>
      <c r="J69" s="57">
        <f>IF($A69="","",IF($D69&lt;&gt;1,"Non attiva",IF($G69="NO","Sotto soglia",IF(Offerte!$P59="Aggregato","Compila criteri A-G","OK"))))</f>
        <v/>
      </c>
      <c r="K69" s="49" t="inlineStr">
        <is>
          <t>Apri criteri</t>
        </is>
      </c>
    </row>
    <row r="70">
      <c r="A70" s="73" t="inlineStr"/>
      <c r="B70" s="73" t="inlineStr"/>
      <c r="C70" s="73" t="inlineStr"/>
      <c r="D70" s="73" t="inlineStr"/>
      <c r="E70" s="73" t="inlineStr"/>
      <c r="F70" s="57">
        <f>IF($A70="","",Offerte!$E60)</f>
        <v/>
      </c>
      <c r="G70" s="57">
        <f>IF($A70="","",Offerte!$G60)</f>
        <v/>
      </c>
      <c r="H70" s="57">
        <f>IF($A70="","",Offerte!$I60)</f>
        <v/>
      </c>
      <c r="I70" s="57">
        <f>IF($A70="","",Offerte!$J60)</f>
        <v/>
      </c>
      <c r="J70" s="57">
        <f>IF($A70="","",IF($D70&lt;&gt;1,"Non attiva",IF($G70="NO","Sotto soglia",IF(Offerte!$P60="Aggregato","Compila criteri A-G","OK"))))</f>
        <v/>
      </c>
      <c r="K70" s="49" t="inlineStr">
        <is>
          <t>Apri criteri</t>
        </is>
      </c>
    </row>
    <row r="71">
      <c r="A71" s="73" t="inlineStr"/>
      <c r="B71" s="73" t="inlineStr"/>
      <c r="C71" s="73" t="inlineStr"/>
      <c r="D71" s="73" t="inlineStr"/>
      <c r="E71" s="73" t="inlineStr"/>
      <c r="F71" s="57">
        <f>IF($A71="","",Offerte!$E61)</f>
        <v/>
      </c>
      <c r="G71" s="57">
        <f>IF($A71="","",Offerte!$G61)</f>
        <v/>
      </c>
      <c r="H71" s="57">
        <f>IF($A71="","",Offerte!$I61)</f>
        <v/>
      </c>
      <c r="I71" s="57">
        <f>IF($A71="","",Offerte!$J61)</f>
        <v/>
      </c>
      <c r="J71" s="57">
        <f>IF($A71="","",IF($D71&lt;&gt;1,"Non attiva",IF($G71="NO","Sotto soglia",IF(Offerte!$P61="Aggregato","Compila criteri A-G","OK"))))</f>
        <v/>
      </c>
      <c r="K71" s="49" t="inlineStr">
        <is>
          <t>Apri criteri</t>
        </is>
      </c>
    </row>
    <row r="72">
      <c r="A72" s="73" t="inlineStr"/>
      <c r="B72" s="73" t="inlineStr"/>
      <c r="C72" s="73" t="inlineStr"/>
      <c r="D72" s="73" t="inlineStr"/>
      <c r="E72" s="73" t="inlineStr"/>
      <c r="F72" s="57">
        <f>IF($A72="","",Offerte!$E62)</f>
        <v/>
      </c>
      <c r="G72" s="57">
        <f>IF($A72="","",Offerte!$G62)</f>
        <v/>
      </c>
      <c r="H72" s="57">
        <f>IF($A72="","",Offerte!$I62)</f>
        <v/>
      </c>
      <c r="I72" s="57">
        <f>IF($A72="","",Offerte!$J62)</f>
        <v/>
      </c>
      <c r="J72" s="57">
        <f>IF($A72="","",IF($D72&lt;&gt;1,"Non attiva",IF($G72="NO","Sotto soglia",IF(Offerte!$P62="Aggregato","Compila criteri A-G","OK"))))</f>
        <v/>
      </c>
      <c r="K72" s="49" t="inlineStr">
        <is>
          <t>Apri criteri</t>
        </is>
      </c>
    </row>
    <row r="73">
      <c r="A73" s="73" t="inlineStr"/>
      <c r="B73" s="73" t="inlineStr"/>
      <c r="C73" s="73" t="inlineStr"/>
      <c r="D73" s="73" t="inlineStr"/>
      <c r="E73" s="73" t="inlineStr"/>
      <c r="F73" s="57">
        <f>IF($A73="","",Offerte!$E63)</f>
        <v/>
      </c>
      <c r="G73" s="57">
        <f>IF($A73="","",Offerte!$G63)</f>
        <v/>
      </c>
      <c r="H73" s="57">
        <f>IF($A73="","",Offerte!$I63)</f>
        <v/>
      </c>
      <c r="I73" s="57">
        <f>IF($A73="","",Offerte!$J63)</f>
        <v/>
      </c>
      <c r="J73" s="57">
        <f>IF($A73="","",IF($D73&lt;&gt;1,"Non attiva",IF($G73="NO","Sotto soglia",IF(Offerte!$P63="Aggregato","Compila criteri A-G","OK"))))</f>
        <v/>
      </c>
      <c r="K73" s="49" t="inlineStr">
        <is>
          <t>Apri criteri</t>
        </is>
      </c>
    </row>
    <row r="74">
      <c r="A74" s="73" t="inlineStr"/>
      <c r="B74" s="73" t="inlineStr"/>
      <c r="C74" s="73" t="inlineStr"/>
      <c r="D74" s="73" t="inlineStr"/>
      <c r="E74" s="73" t="inlineStr"/>
      <c r="F74" s="57">
        <f>IF($A74="","",Offerte!$E64)</f>
        <v/>
      </c>
      <c r="G74" s="57">
        <f>IF($A74="","",Offerte!$G64)</f>
        <v/>
      </c>
      <c r="H74" s="57">
        <f>IF($A74="","",Offerte!$I64)</f>
        <v/>
      </c>
      <c r="I74" s="57">
        <f>IF($A74="","",Offerte!$J64)</f>
        <v/>
      </c>
      <c r="J74" s="57">
        <f>IF($A74="","",IF($D74&lt;&gt;1,"Non attiva",IF($G74="NO","Sotto soglia",IF(Offerte!$P64="Aggregato","Compila criteri A-G","OK"))))</f>
        <v/>
      </c>
      <c r="K74" s="49" t="inlineStr">
        <is>
          <t>Apri criteri</t>
        </is>
      </c>
    </row>
    <row r="75">
      <c r="A75" s="73" t="inlineStr"/>
      <c r="B75" s="73" t="inlineStr"/>
      <c r="C75" s="73" t="inlineStr"/>
      <c r="D75" s="73" t="inlineStr"/>
      <c r="E75" s="73" t="inlineStr"/>
      <c r="F75" s="57">
        <f>IF($A75="","",Offerte!$E65)</f>
        <v/>
      </c>
      <c r="G75" s="57">
        <f>IF($A75="","",Offerte!$G65)</f>
        <v/>
      </c>
      <c r="H75" s="57">
        <f>IF($A75="","",Offerte!$I65)</f>
        <v/>
      </c>
      <c r="I75" s="57">
        <f>IF($A75="","",Offerte!$J65)</f>
        <v/>
      </c>
      <c r="J75" s="57">
        <f>IF($A75="","",IF($D75&lt;&gt;1,"Non attiva",IF($G75="NO","Sotto soglia",IF(Offerte!$P65="Aggregato","Compila criteri A-G","OK"))))</f>
        <v/>
      </c>
      <c r="K75" s="49" t="inlineStr">
        <is>
          <t>Apri criteri</t>
        </is>
      </c>
    </row>
    <row r="76">
      <c r="A76" s="73" t="inlineStr"/>
      <c r="B76" s="73" t="inlineStr"/>
      <c r="C76" s="73" t="inlineStr"/>
      <c r="D76" s="73" t="inlineStr"/>
      <c r="E76" s="73" t="inlineStr"/>
      <c r="F76" s="57">
        <f>IF($A76="","",Offerte!$E66)</f>
        <v/>
      </c>
      <c r="G76" s="57">
        <f>IF($A76="","",Offerte!$G66)</f>
        <v/>
      </c>
      <c r="H76" s="57">
        <f>IF($A76="","",Offerte!$I66)</f>
        <v/>
      </c>
      <c r="I76" s="57">
        <f>IF($A76="","",Offerte!$J66)</f>
        <v/>
      </c>
      <c r="J76" s="57">
        <f>IF($A76="","",IF($D76&lt;&gt;1,"Non attiva",IF($G76="NO","Sotto soglia",IF(Offerte!$P66="Aggregato","Compila criteri A-G","OK"))))</f>
        <v/>
      </c>
      <c r="K76" s="49" t="inlineStr">
        <is>
          <t>Apri criteri</t>
        </is>
      </c>
    </row>
    <row r="77">
      <c r="A77" s="73" t="inlineStr"/>
      <c r="B77" s="73" t="inlineStr"/>
      <c r="C77" s="73" t="inlineStr"/>
      <c r="D77" s="73" t="inlineStr"/>
      <c r="E77" s="73" t="inlineStr"/>
      <c r="F77" s="57">
        <f>IF($A77="","",Offerte!$E67)</f>
        <v/>
      </c>
      <c r="G77" s="57">
        <f>IF($A77="","",Offerte!$G67)</f>
        <v/>
      </c>
      <c r="H77" s="57">
        <f>IF($A77="","",Offerte!$I67)</f>
        <v/>
      </c>
      <c r="I77" s="57">
        <f>IF($A77="","",Offerte!$J67)</f>
        <v/>
      </c>
      <c r="J77" s="57">
        <f>IF($A77="","",IF($D77&lt;&gt;1,"Non attiva",IF($G77="NO","Sotto soglia",IF(Offerte!$P67="Aggregato","Compila criteri A-G","OK"))))</f>
        <v/>
      </c>
      <c r="K77" s="49" t="inlineStr">
        <is>
          <t>Apri criteri</t>
        </is>
      </c>
    </row>
    <row r="78">
      <c r="A78" s="73" t="inlineStr"/>
      <c r="B78" s="73" t="inlineStr"/>
      <c r="C78" s="73" t="inlineStr"/>
      <c r="D78" s="73" t="inlineStr"/>
      <c r="E78" s="73" t="inlineStr"/>
      <c r="F78" s="57">
        <f>IF($A78="","",Offerte!$E68)</f>
        <v/>
      </c>
      <c r="G78" s="57">
        <f>IF($A78="","",Offerte!$G68)</f>
        <v/>
      </c>
      <c r="H78" s="57">
        <f>IF($A78="","",Offerte!$I68)</f>
        <v/>
      </c>
      <c r="I78" s="57">
        <f>IF($A78="","",Offerte!$J68)</f>
        <v/>
      </c>
      <c r="J78" s="57">
        <f>IF($A78="","",IF($D78&lt;&gt;1,"Non attiva",IF($G78="NO","Sotto soglia",IF(Offerte!$P68="Aggregato","Compila criteri A-G","OK"))))</f>
        <v/>
      </c>
      <c r="K78" s="49" t="inlineStr">
        <is>
          <t>Apri criteri</t>
        </is>
      </c>
    </row>
    <row r="79">
      <c r="A79" s="73" t="inlineStr"/>
      <c r="B79" s="73" t="inlineStr"/>
      <c r="C79" s="73" t="inlineStr"/>
      <c r="D79" s="73" t="inlineStr"/>
      <c r="E79" s="73" t="inlineStr"/>
      <c r="F79" s="57">
        <f>IF($A79="","",Offerte!$E69)</f>
        <v/>
      </c>
      <c r="G79" s="57">
        <f>IF($A79="","",Offerte!$G69)</f>
        <v/>
      </c>
      <c r="H79" s="57">
        <f>IF($A79="","",Offerte!$I69)</f>
        <v/>
      </c>
      <c r="I79" s="57">
        <f>IF($A79="","",Offerte!$J69)</f>
        <v/>
      </c>
      <c r="J79" s="57">
        <f>IF($A79="","",IF($D79&lt;&gt;1,"Non attiva",IF($G79="NO","Sotto soglia",IF(Offerte!$P69="Aggregato","Compila criteri A-G","OK"))))</f>
        <v/>
      </c>
      <c r="K79" s="49" t="inlineStr">
        <is>
          <t>Apri criteri</t>
        </is>
      </c>
    </row>
    <row r="80">
      <c r="A80" s="73" t="inlineStr"/>
      <c r="B80" s="73" t="inlineStr"/>
      <c r="C80" s="73" t="inlineStr"/>
      <c r="D80" s="73" t="inlineStr"/>
      <c r="E80" s="73" t="inlineStr"/>
      <c r="F80" s="57">
        <f>IF($A80="","",Offerte!$E70)</f>
        <v/>
      </c>
      <c r="G80" s="57">
        <f>IF($A80="","",Offerte!$G70)</f>
        <v/>
      </c>
      <c r="H80" s="57">
        <f>IF($A80="","",Offerte!$I70)</f>
        <v/>
      </c>
      <c r="I80" s="57">
        <f>IF($A80="","",Offerte!$J70)</f>
        <v/>
      </c>
      <c r="J80" s="57">
        <f>IF($A80="","",IF($D80&lt;&gt;1,"Non attiva",IF($G80="NO","Sotto soglia",IF(Offerte!$P70="Aggregato","Compila criteri A-G","OK"))))</f>
        <v/>
      </c>
      <c r="K80" s="49" t="inlineStr">
        <is>
          <t>Apri criteri</t>
        </is>
      </c>
    </row>
    <row r="81">
      <c r="A81" s="73" t="inlineStr"/>
      <c r="B81" s="73" t="inlineStr"/>
      <c r="C81" s="73" t="inlineStr"/>
      <c r="D81" s="73" t="inlineStr"/>
      <c r="E81" s="73" t="inlineStr"/>
      <c r="F81" s="57">
        <f>IF($A81="","",Offerte!$E71)</f>
        <v/>
      </c>
      <c r="G81" s="57">
        <f>IF($A81="","",Offerte!$G71)</f>
        <v/>
      </c>
      <c r="H81" s="57">
        <f>IF($A81="","",Offerte!$I71)</f>
        <v/>
      </c>
      <c r="I81" s="57">
        <f>IF($A81="","",Offerte!$J71)</f>
        <v/>
      </c>
      <c r="J81" s="57">
        <f>IF($A81="","",IF($D81&lt;&gt;1,"Non attiva",IF($G81="NO","Sotto soglia",IF(Offerte!$P71="Aggregato","Compila criteri A-G","OK"))))</f>
        <v/>
      </c>
      <c r="K81" s="49" t="inlineStr">
        <is>
          <t>Apri criteri</t>
        </is>
      </c>
    </row>
    <row r="82">
      <c r="A82" s="73" t="inlineStr"/>
      <c r="B82" s="73" t="inlineStr"/>
      <c r="C82" s="73" t="inlineStr"/>
      <c r="D82" s="73" t="inlineStr"/>
      <c r="E82" s="73" t="inlineStr"/>
      <c r="F82" s="57">
        <f>IF($A82="","",Offerte!$E72)</f>
        <v/>
      </c>
      <c r="G82" s="57">
        <f>IF($A82="","",Offerte!$G72)</f>
        <v/>
      </c>
      <c r="H82" s="57">
        <f>IF($A82="","",Offerte!$I72)</f>
        <v/>
      </c>
      <c r="I82" s="57">
        <f>IF($A82="","",Offerte!$J72)</f>
        <v/>
      </c>
      <c r="J82" s="57">
        <f>IF($A82="","",IF($D82&lt;&gt;1,"Non attiva",IF($G82="NO","Sotto soglia",IF(Offerte!$P72="Aggregato","Compila criteri A-G","OK"))))</f>
        <v/>
      </c>
      <c r="K82" s="49" t="inlineStr">
        <is>
          <t>Apri criteri</t>
        </is>
      </c>
    </row>
    <row r="83">
      <c r="A83" s="73" t="inlineStr"/>
      <c r="B83" s="73" t="inlineStr"/>
      <c r="C83" s="73" t="inlineStr"/>
      <c r="D83" s="73" t="inlineStr"/>
      <c r="E83" s="73" t="inlineStr"/>
      <c r="F83" s="57">
        <f>IF($A83="","",Offerte!$E73)</f>
        <v/>
      </c>
      <c r="G83" s="57">
        <f>IF($A83="","",Offerte!$G73)</f>
        <v/>
      </c>
      <c r="H83" s="57">
        <f>IF($A83="","",Offerte!$I73)</f>
        <v/>
      </c>
      <c r="I83" s="57">
        <f>IF($A83="","",Offerte!$J73)</f>
        <v/>
      </c>
      <c r="J83" s="57">
        <f>IF($A83="","",IF($D83&lt;&gt;1,"Non attiva",IF($G83="NO","Sotto soglia",IF(Offerte!$P73="Aggregato","Compila criteri A-G","OK"))))</f>
        <v/>
      </c>
      <c r="K83" s="49" t="inlineStr">
        <is>
          <t>Apri criteri</t>
        </is>
      </c>
    </row>
    <row r="84">
      <c r="A84" s="73" t="inlineStr"/>
      <c r="B84" s="73" t="inlineStr"/>
      <c r="C84" s="73" t="inlineStr"/>
      <c r="D84" s="73" t="inlineStr"/>
      <c r="E84" s="73" t="inlineStr"/>
      <c r="F84" s="57">
        <f>IF($A84="","",Offerte!$E74)</f>
        <v/>
      </c>
      <c r="G84" s="57">
        <f>IF($A84="","",Offerte!$G74)</f>
        <v/>
      </c>
      <c r="H84" s="57">
        <f>IF($A84="","",Offerte!$I74)</f>
        <v/>
      </c>
      <c r="I84" s="57">
        <f>IF($A84="","",Offerte!$J74)</f>
        <v/>
      </c>
      <c r="J84" s="57">
        <f>IF($A84="","",IF($D84&lt;&gt;1,"Non attiva",IF($G84="NO","Sotto soglia",IF(Offerte!$P74="Aggregato","Compila criteri A-G","OK"))))</f>
        <v/>
      </c>
      <c r="K84" s="49" t="inlineStr">
        <is>
          <t>Apri criteri</t>
        </is>
      </c>
    </row>
    <row r="85">
      <c r="A85" s="73" t="inlineStr"/>
      <c r="B85" s="73" t="inlineStr"/>
      <c r="C85" s="73" t="inlineStr"/>
      <c r="D85" s="73" t="inlineStr"/>
      <c r="E85" s="73" t="inlineStr"/>
      <c r="F85" s="57">
        <f>IF($A85="","",Offerte!$E75)</f>
        <v/>
      </c>
      <c r="G85" s="57">
        <f>IF($A85="","",Offerte!$G75)</f>
        <v/>
      </c>
      <c r="H85" s="57">
        <f>IF($A85="","",Offerte!$I75)</f>
        <v/>
      </c>
      <c r="I85" s="57">
        <f>IF($A85="","",Offerte!$J75)</f>
        <v/>
      </c>
      <c r="J85" s="57">
        <f>IF($A85="","",IF($D85&lt;&gt;1,"Non attiva",IF($G85="NO","Sotto soglia",IF(Offerte!$P75="Aggregato","Compila criteri A-G","OK"))))</f>
        <v/>
      </c>
      <c r="K85" s="49" t="inlineStr">
        <is>
          <t>Apri criteri</t>
        </is>
      </c>
    </row>
    <row r="86">
      <c r="A86" s="73" t="inlineStr"/>
      <c r="B86" s="73" t="inlineStr"/>
      <c r="C86" s="73" t="inlineStr"/>
      <c r="D86" s="73" t="inlineStr"/>
      <c r="E86" s="73" t="inlineStr"/>
      <c r="F86" s="57">
        <f>IF($A86="","",Offerte!$E76)</f>
        <v/>
      </c>
      <c r="G86" s="57">
        <f>IF($A86="","",Offerte!$G76)</f>
        <v/>
      </c>
      <c r="H86" s="57">
        <f>IF($A86="","",Offerte!$I76)</f>
        <v/>
      </c>
      <c r="I86" s="57">
        <f>IF($A86="","",Offerte!$J76)</f>
        <v/>
      </c>
      <c r="J86" s="57">
        <f>IF($A86="","",IF($D86&lt;&gt;1,"Non attiva",IF($G86="NO","Sotto soglia",IF(Offerte!$P76="Aggregato","Compila criteri A-G","OK"))))</f>
        <v/>
      </c>
      <c r="K86" s="49" t="inlineStr">
        <is>
          <t>Apri criteri</t>
        </is>
      </c>
    </row>
    <row r="87">
      <c r="A87" s="73" t="inlineStr"/>
      <c r="B87" s="73" t="inlineStr"/>
      <c r="C87" s="73" t="inlineStr"/>
      <c r="D87" s="73" t="inlineStr"/>
      <c r="E87" s="73" t="inlineStr"/>
      <c r="F87" s="57">
        <f>IF($A87="","",Offerte!$E77)</f>
        <v/>
      </c>
      <c r="G87" s="57">
        <f>IF($A87="","",Offerte!$G77)</f>
        <v/>
      </c>
      <c r="H87" s="57">
        <f>IF($A87="","",Offerte!$I77)</f>
        <v/>
      </c>
      <c r="I87" s="57">
        <f>IF($A87="","",Offerte!$J77)</f>
        <v/>
      </c>
      <c r="J87" s="57">
        <f>IF($A87="","",IF($D87&lt;&gt;1,"Non attiva",IF($G87="NO","Sotto soglia",IF(Offerte!$P77="Aggregato","Compila criteri A-G","OK"))))</f>
        <v/>
      </c>
      <c r="K87" s="49" t="inlineStr">
        <is>
          <t>Apri criteri</t>
        </is>
      </c>
    </row>
    <row r="88">
      <c r="A88" s="73" t="inlineStr"/>
      <c r="B88" s="73" t="inlineStr"/>
      <c r="C88" s="73" t="inlineStr"/>
      <c r="D88" s="73" t="inlineStr"/>
      <c r="E88" s="73" t="inlineStr"/>
      <c r="F88" s="57">
        <f>IF($A88="","",Offerte!$E78)</f>
        <v/>
      </c>
      <c r="G88" s="57">
        <f>IF($A88="","",Offerte!$G78)</f>
        <v/>
      </c>
      <c r="H88" s="57">
        <f>IF($A88="","",Offerte!$I78)</f>
        <v/>
      </c>
      <c r="I88" s="57">
        <f>IF($A88="","",Offerte!$J78)</f>
        <v/>
      </c>
      <c r="J88" s="57">
        <f>IF($A88="","",IF($D88&lt;&gt;1,"Non attiva",IF($G88="NO","Sotto soglia",IF(Offerte!$P78="Aggregato","Compila criteri A-G","OK"))))</f>
        <v/>
      </c>
      <c r="K88" s="49" t="inlineStr">
        <is>
          <t>Apri criteri</t>
        </is>
      </c>
    </row>
    <row r="89">
      <c r="A89" s="73" t="inlineStr"/>
      <c r="B89" s="73" t="inlineStr"/>
      <c r="C89" s="73" t="inlineStr"/>
      <c r="D89" s="73" t="inlineStr"/>
      <c r="E89" s="73" t="inlineStr"/>
      <c r="F89" s="57">
        <f>IF($A89="","",Offerte!$E79)</f>
        <v/>
      </c>
      <c r="G89" s="57">
        <f>IF($A89="","",Offerte!$G79)</f>
        <v/>
      </c>
      <c r="H89" s="57">
        <f>IF($A89="","",Offerte!$I79)</f>
        <v/>
      </c>
      <c r="I89" s="57">
        <f>IF($A89="","",Offerte!$J79)</f>
        <v/>
      </c>
      <c r="J89" s="57">
        <f>IF($A89="","",IF($D89&lt;&gt;1,"Non attiva",IF($G89="NO","Sotto soglia",IF(Offerte!$P79="Aggregato","Compila criteri A-G","OK"))))</f>
        <v/>
      </c>
      <c r="K89" s="49" t="inlineStr">
        <is>
          <t>Apri criteri</t>
        </is>
      </c>
    </row>
    <row r="90">
      <c r="A90" s="73" t="inlineStr"/>
      <c r="B90" s="73" t="inlineStr"/>
      <c r="C90" s="73" t="inlineStr"/>
      <c r="D90" s="73" t="inlineStr"/>
      <c r="E90" s="73" t="inlineStr"/>
      <c r="F90" s="57">
        <f>IF($A90="","",Offerte!$E80)</f>
        <v/>
      </c>
      <c r="G90" s="57">
        <f>IF($A90="","",Offerte!$G80)</f>
        <v/>
      </c>
      <c r="H90" s="57">
        <f>IF($A90="","",Offerte!$I80)</f>
        <v/>
      </c>
      <c r="I90" s="57">
        <f>IF($A90="","",Offerte!$J80)</f>
        <v/>
      </c>
      <c r="J90" s="57">
        <f>IF($A90="","",IF($D90&lt;&gt;1,"Non attiva",IF($G90="NO","Sotto soglia",IF(Offerte!$P80="Aggregato","Compila criteri A-G","OK"))))</f>
        <v/>
      </c>
      <c r="K90" s="49" t="inlineStr">
        <is>
          <t>Apri criteri</t>
        </is>
      </c>
    </row>
    <row r="91">
      <c r="A91" s="73" t="inlineStr"/>
      <c r="B91" s="73" t="inlineStr"/>
      <c r="C91" s="73" t="inlineStr"/>
      <c r="D91" s="73" t="inlineStr"/>
      <c r="E91" s="73" t="inlineStr"/>
      <c r="F91" s="57">
        <f>IF($A91="","",Offerte!$E81)</f>
        <v/>
      </c>
      <c r="G91" s="57">
        <f>IF($A91="","",Offerte!$G81)</f>
        <v/>
      </c>
      <c r="H91" s="57">
        <f>IF($A91="","",Offerte!$I81)</f>
        <v/>
      </c>
      <c r="I91" s="57">
        <f>IF($A91="","",Offerte!$J81)</f>
        <v/>
      </c>
      <c r="J91" s="57">
        <f>IF($A91="","",IF($D91&lt;&gt;1,"Non attiva",IF($G91="NO","Sotto soglia",IF(Offerte!$P81="Aggregato","Compila criteri A-G","OK"))))</f>
        <v/>
      </c>
      <c r="K91" s="49" t="inlineStr">
        <is>
          <t>Apri criteri</t>
        </is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mergeCells count="9">
    <mergeCell ref="A4:H4"/>
    <mergeCell ref="C6:H6"/>
    <mergeCell ref="C5:H5"/>
    <mergeCell ref="A2:H2"/>
    <mergeCell ref="C8:H8"/>
    <mergeCell ref="A10:K10"/>
    <mergeCell ref="A1:H1"/>
    <mergeCell ref="L4:N4"/>
    <mergeCell ref="C7:H7"/>
  </mergeCells>
  <conditionalFormatting sqref="G12:G91">
    <cfRule type="cellIs" priority="1" operator="equal" dxfId="3">
      <formula>"SI"</formula>
    </cfRule>
    <cfRule type="cellIs" priority="2" operator="equal" dxfId="4">
      <formula>"NO"</formula>
    </cfRule>
  </conditionalFormatting>
  <conditionalFormatting sqref="J12:J91">
    <cfRule type="cellIs" priority="3" operator="equal" dxfId="3">
      <formula>"OK"</formula>
    </cfRule>
    <cfRule type="expression" priority="4" dxfId="5">
      <formula>AND($J12&lt;&gt;"OK",$J12&lt;&gt;"")</formula>
    </cfRule>
  </conditionalFormatting>
  <conditionalFormatting sqref="M6:M10">
    <cfRule type="cellIs" priority="5" operator="greaterThan" dxfId="5">
      <formula>0</formula>
    </cfRule>
  </conditionalFormatting>
  <dataValidations count="4">
    <dataValidation sqref="B6 C12:C91" showDropDown="0" showInputMessage="0" showErrorMessage="0" allowBlank="1" type="list">
      <formula1>"L1,L2,L3,L4"</formula1>
    </dataValidation>
    <dataValidation sqref="D12:D91" showDropDown="0" showInputMessage="0" showErrorMessage="0" allowBlank="1" type="list">
      <formula1>"1,0"</formula1>
    </dataValidation>
    <dataValidation sqref="E12:E91" showDropDown="0" showInputMessage="0" showErrorMessage="0" allowBlank="1" type="decimal" operator="between">
      <formula1>0</formula1>
      <formula2>100</formula2>
    </dataValidation>
    <dataValidation sqref="B5" showDropDown="0" showInputMessage="0" showErrorMessage="0" allowBlank="0" type="decimal" operator="between">
      <formula1>0</formula1>
      <formula2>70</formula2>
    </dataValidation>
  </dataValidations>
  <hyperlinks>
    <hyperlink xmlns:r="http://schemas.openxmlformats.org/officeDocument/2006/relationships" ref="K12" r:id="rId1"/>
    <hyperlink xmlns:r="http://schemas.openxmlformats.org/officeDocument/2006/relationships" ref="K13" r:id="rId2"/>
    <hyperlink xmlns:r="http://schemas.openxmlformats.org/officeDocument/2006/relationships" ref="K14" r:id="rId3"/>
    <hyperlink xmlns:r="http://schemas.openxmlformats.org/officeDocument/2006/relationships" ref="K15" r:id="rId4"/>
    <hyperlink xmlns:r="http://schemas.openxmlformats.org/officeDocument/2006/relationships" ref="K16" r:id="rId5"/>
    <hyperlink xmlns:r="http://schemas.openxmlformats.org/officeDocument/2006/relationships" ref="K17" r:id="rId6"/>
    <hyperlink xmlns:r="http://schemas.openxmlformats.org/officeDocument/2006/relationships" ref="K18" r:id="rId7"/>
    <hyperlink xmlns:r="http://schemas.openxmlformats.org/officeDocument/2006/relationships" ref="K19" r:id="rId8"/>
    <hyperlink xmlns:r="http://schemas.openxmlformats.org/officeDocument/2006/relationships" ref="K20" r:id="rId9"/>
    <hyperlink xmlns:r="http://schemas.openxmlformats.org/officeDocument/2006/relationships" ref="K21" r:id="rId10"/>
    <hyperlink xmlns:r="http://schemas.openxmlformats.org/officeDocument/2006/relationships" ref="K22" r:id="rId11"/>
    <hyperlink xmlns:r="http://schemas.openxmlformats.org/officeDocument/2006/relationships" ref="K23" r:id="rId12"/>
    <hyperlink xmlns:r="http://schemas.openxmlformats.org/officeDocument/2006/relationships" ref="K24" r:id="rId13"/>
    <hyperlink xmlns:r="http://schemas.openxmlformats.org/officeDocument/2006/relationships" ref="K25" r:id="rId14"/>
    <hyperlink xmlns:r="http://schemas.openxmlformats.org/officeDocument/2006/relationships" ref="K26" r:id="rId15"/>
    <hyperlink xmlns:r="http://schemas.openxmlformats.org/officeDocument/2006/relationships" ref="K27" r:id="rId16"/>
    <hyperlink xmlns:r="http://schemas.openxmlformats.org/officeDocument/2006/relationships" ref="K28" r:id="rId17"/>
    <hyperlink xmlns:r="http://schemas.openxmlformats.org/officeDocument/2006/relationships" ref="K29" r:id="rId18"/>
    <hyperlink xmlns:r="http://schemas.openxmlformats.org/officeDocument/2006/relationships" ref="K30" r:id="rId19"/>
    <hyperlink xmlns:r="http://schemas.openxmlformats.org/officeDocument/2006/relationships" ref="K31" r:id="rId20"/>
    <hyperlink xmlns:r="http://schemas.openxmlformats.org/officeDocument/2006/relationships" ref="K32" r:id="rId21"/>
    <hyperlink xmlns:r="http://schemas.openxmlformats.org/officeDocument/2006/relationships" ref="K33" r:id="rId22"/>
    <hyperlink xmlns:r="http://schemas.openxmlformats.org/officeDocument/2006/relationships" ref="K34" r:id="rId23"/>
    <hyperlink xmlns:r="http://schemas.openxmlformats.org/officeDocument/2006/relationships" ref="K35" r:id="rId24"/>
    <hyperlink xmlns:r="http://schemas.openxmlformats.org/officeDocument/2006/relationships" ref="K36" r:id="rId25"/>
    <hyperlink xmlns:r="http://schemas.openxmlformats.org/officeDocument/2006/relationships" ref="K37" r:id="rId26"/>
    <hyperlink xmlns:r="http://schemas.openxmlformats.org/officeDocument/2006/relationships" ref="K38" r:id="rId27"/>
    <hyperlink xmlns:r="http://schemas.openxmlformats.org/officeDocument/2006/relationships" ref="K39" r:id="rId28"/>
    <hyperlink xmlns:r="http://schemas.openxmlformats.org/officeDocument/2006/relationships" ref="K40" r:id="rId29"/>
    <hyperlink xmlns:r="http://schemas.openxmlformats.org/officeDocument/2006/relationships" ref="K41" r:id="rId30"/>
    <hyperlink xmlns:r="http://schemas.openxmlformats.org/officeDocument/2006/relationships" ref="K42" r:id="rId31"/>
    <hyperlink xmlns:r="http://schemas.openxmlformats.org/officeDocument/2006/relationships" ref="K43" r:id="rId32"/>
    <hyperlink xmlns:r="http://schemas.openxmlformats.org/officeDocument/2006/relationships" ref="K44" r:id="rId33"/>
    <hyperlink xmlns:r="http://schemas.openxmlformats.org/officeDocument/2006/relationships" ref="K45" r:id="rId34"/>
    <hyperlink xmlns:r="http://schemas.openxmlformats.org/officeDocument/2006/relationships" ref="K46" r:id="rId35"/>
    <hyperlink xmlns:r="http://schemas.openxmlformats.org/officeDocument/2006/relationships" ref="K47" r:id="rId36"/>
    <hyperlink xmlns:r="http://schemas.openxmlformats.org/officeDocument/2006/relationships" ref="K48" r:id="rId37"/>
    <hyperlink xmlns:r="http://schemas.openxmlformats.org/officeDocument/2006/relationships" ref="K49" r:id="rId38"/>
    <hyperlink xmlns:r="http://schemas.openxmlformats.org/officeDocument/2006/relationships" ref="K50" r:id="rId39"/>
    <hyperlink xmlns:r="http://schemas.openxmlformats.org/officeDocument/2006/relationships" ref="K51" r:id="rId40"/>
    <hyperlink xmlns:r="http://schemas.openxmlformats.org/officeDocument/2006/relationships" ref="K52" r:id="rId41"/>
    <hyperlink xmlns:r="http://schemas.openxmlformats.org/officeDocument/2006/relationships" ref="K53" r:id="rId42"/>
    <hyperlink xmlns:r="http://schemas.openxmlformats.org/officeDocument/2006/relationships" ref="K54" r:id="rId43"/>
    <hyperlink xmlns:r="http://schemas.openxmlformats.org/officeDocument/2006/relationships" ref="K55" r:id="rId44"/>
    <hyperlink xmlns:r="http://schemas.openxmlformats.org/officeDocument/2006/relationships" ref="K56" r:id="rId45"/>
    <hyperlink xmlns:r="http://schemas.openxmlformats.org/officeDocument/2006/relationships" ref="K57" r:id="rId46"/>
    <hyperlink xmlns:r="http://schemas.openxmlformats.org/officeDocument/2006/relationships" ref="K58" r:id="rId47"/>
    <hyperlink xmlns:r="http://schemas.openxmlformats.org/officeDocument/2006/relationships" ref="K59" r:id="rId48"/>
    <hyperlink xmlns:r="http://schemas.openxmlformats.org/officeDocument/2006/relationships" ref="K60" r:id="rId49"/>
    <hyperlink xmlns:r="http://schemas.openxmlformats.org/officeDocument/2006/relationships" ref="K61" r:id="rId50"/>
    <hyperlink xmlns:r="http://schemas.openxmlformats.org/officeDocument/2006/relationships" ref="K62" r:id="rId51"/>
    <hyperlink xmlns:r="http://schemas.openxmlformats.org/officeDocument/2006/relationships" ref="K63" r:id="rId52"/>
    <hyperlink xmlns:r="http://schemas.openxmlformats.org/officeDocument/2006/relationships" ref="K64" r:id="rId53"/>
    <hyperlink xmlns:r="http://schemas.openxmlformats.org/officeDocument/2006/relationships" ref="K65" r:id="rId54"/>
    <hyperlink xmlns:r="http://schemas.openxmlformats.org/officeDocument/2006/relationships" ref="K66" r:id="rId55"/>
    <hyperlink xmlns:r="http://schemas.openxmlformats.org/officeDocument/2006/relationships" ref="K67" r:id="rId56"/>
    <hyperlink xmlns:r="http://schemas.openxmlformats.org/officeDocument/2006/relationships" ref="K68" r:id="rId57"/>
    <hyperlink xmlns:r="http://schemas.openxmlformats.org/officeDocument/2006/relationships" ref="K69" r:id="rId58"/>
    <hyperlink xmlns:r="http://schemas.openxmlformats.org/officeDocument/2006/relationships" ref="K70" r:id="rId59"/>
    <hyperlink xmlns:r="http://schemas.openxmlformats.org/officeDocument/2006/relationships" ref="K71" r:id="rId60"/>
    <hyperlink xmlns:r="http://schemas.openxmlformats.org/officeDocument/2006/relationships" ref="K72" r:id="rId61"/>
    <hyperlink xmlns:r="http://schemas.openxmlformats.org/officeDocument/2006/relationships" ref="K73" r:id="rId62"/>
    <hyperlink xmlns:r="http://schemas.openxmlformats.org/officeDocument/2006/relationships" ref="K74" r:id="rId63"/>
    <hyperlink xmlns:r="http://schemas.openxmlformats.org/officeDocument/2006/relationships" ref="K75" r:id="rId64"/>
    <hyperlink xmlns:r="http://schemas.openxmlformats.org/officeDocument/2006/relationships" ref="K76" r:id="rId65"/>
    <hyperlink xmlns:r="http://schemas.openxmlformats.org/officeDocument/2006/relationships" ref="K77" r:id="rId66"/>
    <hyperlink xmlns:r="http://schemas.openxmlformats.org/officeDocument/2006/relationships" ref="K78" r:id="rId67"/>
    <hyperlink xmlns:r="http://schemas.openxmlformats.org/officeDocument/2006/relationships" ref="K79" r:id="rId68"/>
    <hyperlink xmlns:r="http://schemas.openxmlformats.org/officeDocument/2006/relationships" ref="K80" r:id="rId69"/>
    <hyperlink xmlns:r="http://schemas.openxmlformats.org/officeDocument/2006/relationships" ref="K81" r:id="rId70"/>
    <hyperlink xmlns:r="http://schemas.openxmlformats.org/officeDocument/2006/relationships" ref="K82" r:id="rId71"/>
    <hyperlink xmlns:r="http://schemas.openxmlformats.org/officeDocument/2006/relationships" ref="K83" r:id="rId72"/>
    <hyperlink xmlns:r="http://schemas.openxmlformats.org/officeDocument/2006/relationships" ref="K84" r:id="rId73"/>
    <hyperlink xmlns:r="http://schemas.openxmlformats.org/officeDocument/2006/relationships" ref="K85" r:id="rId74"/>
    <hyperlink xmlns:r="http://schemas.openxmlformats.org/officeDocument/2006/relationships" ref="K86" r:id="rId75"/>
    <hyperlink xmlns:r="http://schemas.openxmlformats.org/officeDocument/2006/relationships" ref="K87" r:id="rId76"/>
    <hyperlink xmlns:r="http://schemas.openxmlformats.org/officeDocument/2006/relationships" ref="K88" r:id="rId77"/>
    <hyperlink xmlns:r="http://schemas.openxmlformats.org/officeDocument/2006/relationships" ref="K89" r:id="rId78"/>
    <hyperlink xmlns:r="http://schemas.openxmlformats.org/officeDocument/2006/relationships" ref="K90" r:id="rId79"/>
    <hyperlink xmlns:r="http://schemas.openxmlformats.org/officeDocument/2006/relationships" ref="K91" r:id="rId80"/>
  </hyperlinks>
  <pageMargins left="0.25" right="0.25" top="0.5" bottom="0.5" header="0.5" footer="0.5"/>
  <pageSetup fitToHeight="0" fitToWidth="1"/>
  <tableParts count="1">
    <tablePart xmlns:r="http://schemas.openxmlformats.org/officeDocument/2006/relationships" r:id="rId81"/>
  </tableParts>
</worksheet>
</file>

<file path=xl/worksheets/sheet3.xml><?xml version="1.0" encoding="utf-8"?>
<worksheet xmlns="http://schemas.openxmlformats.org/spreadsheetml/2006/main">
  <sheetPr>
    <tabColor rgb="000F766E"/>
    <outlinePr summaryBelow="1" summaryRight="1"/>
    <pageSetUpPr fitToPage="1"/>
  </sheetPr>
  <dimension ref="A1:T2484"/>
  <sheetViews>
    <sheetView showGridLines="0" tabSelected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6" customWidth="1" min="1" max="1"/>
    <col width="24" customWidth="1" min="2" max="2"/>
    <col width="10" customWidth="1" min="3" max="3"/>
    <col width="12" customWidth="1" min="4" max="4"/>
    <col width="10" customWidth="1" min="5" max="5"/>
    <col width="8" customWidth="1" min="6" max="6"/>
    <col hidden="1" width="14" customWidth="1" min="7" max="7"/>
    <col hidden="1" width="10" customWidth="1" min="8" max="8"/>
    <col width="46" customWidth="1" min="9" max="9"/>
    <col width="14" customWidth="1" min="10" max="10"/>
    <col width="16" customWidth="1" min="11" max="11"/>
    <col width="16" customWidth="1" min="12" max="12"/>
    <col width="14" customWidth="1" min="13" max="13"/>
    <col hidden="1" width="18" customWidth="1" min="14" max="14"/>
    <col width="16" customWidth="1" min="15" max="15"/>
    <col width="38" customWidth="1" min="16" max="16"/>
    <col hidden="1" width="18" customWidth="1" min="17" max="17"/>
    <col hidden="1" width="24" customWidth="1" min="18" max="18"/>
    <col hidden="1" width="12" customWidth="1" min="19" max="19"/>
    <col hidden="1" width="14" customWidth="1" min="20" max="20"/>
  </cols>
  <sheetData>
    <row r="1" ht="28" customHeight="1">
      <c r="A1" s="39" t="inlineStr">
        <is>
          <t>Criteri tecnici A-G</t>
        </is>
      </c>
    </row>
    <row r="2">
      <c r="A2" s="40" t="inlineStr">
        <is>
          <t>Compila i sub-criteri tecnici per ogni offerta: il totale alimenta automaticamente Offerte!E:E.</t>
        </is>
      </c>
    </row>
    <row r="3"/>
    <row r="4" ht="24" customHeight="1">
      <c r="A4" s="54" t="inlineStr">
        <is>
          <t>BidderId</t>
        </is>
      </c>
      <c r="B4" s="54" t="inlineStr">
        <is>
          <t>BidderNome</t>
        </is>
      </c>
      <c r="C4" s="54" t="inlineStr">
        <is>
          <t>Lotto</t>
        </is>
      </c>
      <c r="D4" s="54" t="inlineStr">
        <is>
          <t>CriterioId</t>
        </is>
      </c>
      <c r="E4" s="54" t="inlineStr">
        <is>
          <t>Ambito</t>
        </is>
      </c>
      <c r="F4" s="54" t="inlineStr">
        <is>
          <t>Tipo</t>
        </is>
      </c>
      <c r="G4" s="54" t="inlineStr">
        <is>
          <t>Formula</t>
        </is>
      </c>
      <c r="H4" s="54" t="inlineStr">
        <is>
          <t>PuntiMax</t>
        </is>
      </c>
      <c r="I4" s="54" t="inlineStr">
        <is>
          <t>Descrizione</t>
        </is>
      </c>
      <c r="J4" s="54" t="inlineStr">
        <is>
          <t>Valore</t>
        </is>
      </c>
      <c r="K4" s="54" t="inlineStr">
        <is>
          <t>Numeratore</t>
        </is>
      </c>
      <c r="L4" s="54" t="inlineStr">
        <is>
          <t>Denominatore</t>
        </is>
      </c>
      <c r="M4" s="54" t="inlineStr">
        <is>
          <t>Flag/Coeff</t>
        </is>
      </c>
      <c r="N4" s="54" t="inlineStr">
        <is>
          <t>ValoreCalcolato</t>
        </is>
      </c>
      <c r="O4" s="54" t="inlineStr">
        <is>
          <t>PunteggioRaw</t>
        </is>
      </c>
      <c r="P4" s="54" t="inlineStr">
        <is>
          <t>Note</t>
        </is>
      </c>
      <c r="Q4" s="54" t="inlineStr">
        <is>
          <t>ChiaveOfferta</t>
        </is>
      </c>
      <c r="R4" s="54" t="inlineStr">
        <is>
          <t>ChiaveCriterio</t>
        </is>
      </c>
      <c r="S4" s="54" t="inlineStr">
        <is>
          <t>OffertaAttiva</t>
        </is>
      </c>
      <c r="T4" s="54" t="inlineStr">
        <is>
          <t>OffertaAmmessa</t>
        </is>
      </c>
    </row>
    <row r="5">
      <c r="A5" s="48">
        <f>IF(Offerte!$A2="","",Offerte!$A2)</f>
        <v/>
      </c>
      <c r="B5" s="48">
        <f>IF(Offerte!$A2="","",Offerte!$B2)</f>
        <v/>
      </c>
      <c r="C5" s="48">
        <f>IF(Offerte!$A2="","",Offerte!$C2)</f>
        <v/>
      </c>
      <c r="D5" s="48" t="inlineStr">
        <is>
          <t>A.1.1</t>
        </is>
      </c>
      <c r="E5" s="48" t="inlineStr">
        <is>
          <t>A</t>
        </is>
      </c>
      <c r="F5" s="48" t="inlineStr">
        <is>
          <t>Q</t>
        </is>
      </c>
      <c r="G5" s="48" t="inlineStr">
        <is>
          <t>higher</t>
        </is>
      </c>
      <c r="H5" s="48" t="n">
        <v>3</v>
      </c>
      <c r="I5" s="48" t="inlineStr">
        <is>
          <t>Tasso aggiuntivo di corse controllate</t>
        </is>
      </c>
      <c r="J5" s="73" t="n"/>
      <c r="K5" s="73" t="n"/>
      <c r="L5" s="73" t="n"/>
      <c r="M5" s="73" t="n"/>
      <c r="N5" s="57">
        <f>IF($A5="","",IFERROR(VALUE($K5)/VALUE($L5)*100,IFERROR(VALUE($J5),0)))</f>
        <v/>
      </c>
      <c r="O5" s="57">
        <f>IF($A5="",0,IF(OR($S5&lt;&gt;1,COUNTA($J5:$M5)=0),0,IF(SUMPRODUCT(MAX(($C$5:$C$2484=$C5)*($D$5:$D$2484=$D5)*($S$5:$S$2484=1)*IFERROR($N$5:$N$2484*1,0)))&gt;0,ROUND($H5*($N5/SUMPRODUCT(MAX(($C$5:$C$2484=$C5)*($D$5:$D$2484=$D5)*($S$5:$S$2484=1)*IFERROR($N$5:$N$2484*1,0)))),4),0)))</f>
        <v/>
      </c>
      <c r="P5" s="48" t="inlineStr">
        <is>
          <t>Corse controllate annue / Corse programmate annue</t>
        </is>
      </c>
      <c r="Q5" s="57">
        <f>IF($A5="","",$A5&amp;"|"&amp;$C5)</f>
        <v/>
      </c>
      <c r="R5" s="57">
        <f>IF($A5="","",$A5&amp;"|"&amp;$C5&amp;"|"&amp;$D5)</f>
        <v/>
      </c>
      <c r="S5" s="57">
        <f>IF($A5="","",IFERROR(INDEX(Offerte!$D$2:$D$81,MATCH($Q5,Offerte!$L$2:$L$81,0)),0))</f>
        <v/>
      </c>
      <c r="T5" s="57">
        <f>IF($A5="","",IFERROR(INDEX(Offerte!$G$2:$G$81,MATCH($Q5,Offerte!$L$2:$L$81,0)),"NO"))</f>
        <v/>
      </c>
    </row>
    <row r="6">
      <c r="A6" s="48">
        <f>IF(Offerte!$A2="","",Offerte!$A2)</f>
        <v/>
      </c>
      <c r="B6" s="48">
        <f>IF(Offerte!$A2="","",Offerte!$B2)</f>
        <v/>
      </c>
      <c r="C6" s="48">
        <f>IF(Offerte!$A2="","",Offerte!$C2)</f>
        <v/>
      </c>
      <c r="D6" s="48" t="inlineStr">
        <is>
          <t>A.1.2</t>
        </is>
      </c>
      <c r="E6" s="48" t="inlineStr">
        <is>
          <t>A</t>
        </is>
      </c>
      <c r="F6" s="48" t="inlineStr">
        <is>
          <t>Q</t>
        </is>
      </c>
      <c r="G6" s="48" t="inlineStr">
        <is>
          <t>higher</t>
        </is>
      </c>
      <c r="H6" s="48" t="n">
        <v>4</v>
      </c>
      <c r="I6" s="48" t="inlineStr">
        <is>
          <t>Numero aggiuntivo di passeggeri controllati</t>
        </is>
      </c>
      <c r="J6" s="73" t="n"/>
      <c r="K6" s="73" t="n"/>
      <c r="L6" s="73" t="n"/>
      <c r="M6" s="73" t="n"/>
      <c r="N6" s="57">
        <f>IF($A6="","",IFERROR(VALUE($J6),0))</f>
        <v/>
      </c>
      <c r="O6" s="57">
        <f>IF($A6="",0,IF(OR($S6&lt;&gt;1,COUNTA($J6:$M6)=0),0,IF(SUMPRODUCT(MAX(($C$5:$C$2484=$C6)*($D$5:$D$2484=$D6)*($S$5:$S$2484=1)*IFERROR($N$5:$N$2484*1,0)))&gt;0,ROUND($H6*($N6/SUMPRODUCT(MAX(($C$5:$C$2484=$C6)*($D$5:$D$2484=$D6)*($S$5:$S$2484=1)*IFERROR($N$5:$N$2484*1,0)))),4),0)))</f>
        <v/>
      </c>
      <c r="P6" s="48" t="inlineStr">
        <is>
          <t>passeggeri/anno</t>
        </is>
      </c>
      <c r="Q6" s="57">
        <f>IF($A6="","",$A6&amp;"|"&amp;$C6)</f>
        <v/>
      </c>
      <c r="R6" s="57">
        <f>IF($A6="","",$A6&amp;"|"&amp;$C6&amp;"|"&amp;$D6)</f>
        <v/>
      </c>
      <c r="S6" s="57">
        <f>IF($A6="","",IFERROR(INDEX(Offerte!$D$2:$D$81,MATCH($Q6,Offerte!$L$2:$L$81,0)),0))</f>
        <v/>
      </c>
      <c r="T6" s="57">
        <f>IF($A6="","",IFERROR(INDEX(Offerte!$G$2:$G$81,MATCH($Q6,Offerte!$L$2:$L$81,0)),"NO"))</f>
        <v/>
      </c>
    </row>
    <row r="7">
      <c r="A7" s="48">
        <f>IF(Offerte!$A2="","",Offerte!$A2)</f>
        <v/>
      </c>
      <c r="B7" s="48">
        <f>IF(Offerte!$A2="","",Offerte!$B2)</f>
        <v/>
      </c>
      <c r="C7" s="48">
        <f>IF(Offerte!$A2="","",Offerte!$C2)</f>
        <v/>
      </c>
      <c r="D7" s="48" t="inlineStr">
        <is>
          <t>B.1.1</t>
        </is>
      </c>
      <c r="E7" s="48" t="inlineStr">
        <is>
          <t>B</t>
        </is>
      </c>
      <c r="F7" s="48" t="inlineStr">
        <is>
          <t>Q</t>
        </is>
      </c>
      <c r="G7" s="48" t="inlineStr">
        <is>
          <t>higher</t>
        </is>
      </c>
      <c r="H7" s="48" t="n">
        <v>3</v>
      </c>
      <c r="I7" s="48" t="inlineStr">
        <is>
          <t>Incremento dei posti offerti nelle fasce di punta</t>
        </is>
      </c>
      <c r="J7" s="73" t="n"/>
      <c r="K7" s="73" t="n"/>
      <c r="L7" s="73" t="n"/>
      <c r="M7" s="73" t="n"/>
      <c r="N7" s="57">
        <f>IF($A7="","",IFERROR(VALUE($J7),0))</f>
        <v/>
      </c>
      <c r="O7" s="57">
        <f>IF($A7="",0,IF(OR($S7&lt;&gt;1,COUNTA($J7:$M7)=0),0,IF(SUMPRODUCT(MAX(($C$5:$C$2484=$C7)*($D$5:$D$2484=$D7)*($S$5:$S$2484=1)*IFERROR($N$5:$N$2484*1,0)))&gt;0,ROUND($H7*($N7/SUMPRODUCT(MAX(($C$5:$C$2484=$C7)*($D$5:$D$2484=$D7)*($S$5:$S$2484=1)*IFERROR($N$5:$N$2484*1,0)))),4),0)))</f>
        <v/>
      </c>
      <c r="P7" s="48" t="inlineStr">
        <is>
          <t>posti*km</t>
        </is>
      </c>
      <c r="Q7" s="57">
        <f>IF($A7="","",$A7&amp;"|"&amp;$C7)</f>
        <v/>
      </c>
      <c r="R7" s="57">
        <f>IF($A7="","",$A7&amp;"|"&amp;$C7&amp;"|"&amp;$D7)</f>
        <v/>
      </c>
      <c r="S7" s="57">
        <f>IF($A7="","",IFERROR(INDEX(Offerte!$D$2:$D$81,MATCH($Q7,Offerte!$L$2:$L$81,0)),0))</f>
        <v/>
      </c>
      <c r="T7" s="57">
        <f>IF($A7="","",IFERROR(INDEX(Offerte!$G$2:$G$81,MATCH($Q7,Offerte!$L$2:$L$81,0)),"NO"))</f>
        <v/>
      </c>
    </row>
    <row r="8">
      <c r="A8" s="48">
        <f>IF(Offerte!$A2="","",Offerte!$A2)</f>
        <v/>
      </c>
      <c r="B8" s="48">
        <f>IF(Offerte!$A2="","",Offerte!$B2)</f>
        <v/>
      </c>
      <c r="C8" s="48">
        <f>IF(Offerte!$A2="","",Offerte!$C2)</f>
        <v/>
      </c>
      <c r="D8" s="48" t="inlineStr">
        <is>
          <t>B.2.1</t>
        </is>
      </c>
      <c r="E8" s="48" t="inlineStr">
        <is>
          <t>B</t>
        </is>
      </c>
      <c r="F8" s="48" t="inlineStr">
        <is>
          <t>Q</t>
        </is>
      </c>
      <c r="G8" s="48" t="inlineStr">
        <is>
          <t>higher</t>
        </is>
      </c>
      <c r="H8" s="48" t="n">
        <v>4</v>
      </c>
      <c r="I8" s="48" t="inlineStr">
        <is>
          <t>Corse aggiuntive nell'arco giornaliero base</t>
        </is>
      </c>
      <c r="J8" s="73" t="n"/>
      <c r="K8" s="73" t="n"/>
      <c r="L8" s="73" t="n"/>
      <c r="M8" s="73" t="n"/>
      <c r="N8" s="57">
        <f>IF($A8="","",IFERROR(VALUE($J8),0))</f>
        <v/>
      </c>
      <c r="O8" s="57">
        <f>IF($A8="",0,IF(OR($S8&lt;&gt;1,COUNTA($J8:$M8)=0),0,IF(SUMPRODUCT(MAX(($C$5:$C$2484=$C8)*($D$5:$D$2484=$D8)*($S$5:$S$2484=1)*IFERROR($N$5:$N$2484*1,0)))&gt;0,ROUND($H8*($N8/SUMPRODUCT(MAX(($C$5:$C$2484=$C8)*($D$5:$D$2484=$D8)*($S$5:$S$2484=1)*IFERROR($N$5:$N$2484*1,0)))),4),0)))</f>
        <v/>
      </c>
      <c r="P8" s="48" t="inlineStr">
        <is>
          <t>corse</t>
        </is>
      </c>
      <c r="Q8" s="57">
        <f>IF($A8="","",$A8&amp;"|"&amp;$C8)</f>
        <v/>
      </c>
      <c r="R8" s="57">
        <f>IF($A8="","",$A8&amp;"|"&amp;$C8&amp;"|"&amp;$D8)</f>
        <v/>
      </c>
      <c r="S8" s="57">
        <f>IF($A8="","",IFERROR(INDEX(Offerte!$D$2:$D$81,MATCH($Q8,Offerte!$L$2:$L$81,0)),0))</f>
        <v/>
      </c>
      <c r="T8" s="57">
        <f>IF($A8="","",IFERROR(INDEX(Offerte!$G$2:$G$81,MATCH($Q8,Offerte!$L$2:$L$81,0)),"NO"))</f>
        <v/>
      </c>
    </row>
    <row r="9">
      <c r="A9" s="48">
        <f>IF(Offerte!$A2="","",Offerte!$A2)</f>
        <v/>
      </c>
      <c r="B9" s="48">
        <f>IF(Offerte!$A2="","",Offerte!$B2)</f>
        <v/>
      </c>
      <c r="C9" s="48">
        <f>IF(Offerte!$A2="","",Offerte!$C2)</f>
        <v/>
      </c>
      <c r="D9" s="48" t="inlineStr">
        <is>
          <t>B.3.1</t>
        </is>
      </c>
      <c r="E9" s="48" t="inlineStr">
        <is>
          <t>B</t>
        </is>
      </c>
      <c r="F9" s="48" t="inlineStr">
        <is>
          <t>Q</t>
        </is>
      </c>
      <c r="G9" s="48" t="inlineStr">
        <is>
          <t>higher</t>
        </is>
      </c>
      <c r="H9" s="48" t="n">
        <v>2</v>
      </c>
      <c r="I9" s="48" t="inlineStr">
        <is>
          <t>Numero di corse aggiuntive per allungamento dell'arco di servizio giornaliero nelle fasce serali</t>
        </is>
      </c>
      <c r="J9" s="73" t="n"/>
      <c r="K9" s="73" t="n"/>
      <c r="L9" s="73" t="n"/>
      <c r="M9" s="73" t="n"/>
      <c r="N9" s="57">
        <f>IF($A9="","",IFERROR(VALUE($J9),0))</f>
        <v/>
      </c>
      <c r="O9" s="57">
        <f>IF($A9="",0,IF(OR($S9&lt;&gt;1,COUNTA($J9:$M9)=0),0,IF(SUMPRODUCT(MAX(($C$5:$C$2484=$C9)*($D$5:$D$2484=$D9)*($S$5:$S$2484=1)*IFERROR($N$5:$N$2484*1,0)))&gt;0,ROUND($H9*($N9/SUMPRODUCT(MAX(($C$5:$C$2484=$C9)*($D$5:$D$2484=$D9)*($S$5:$S$2484=1)*IFERROR($N$5:$N$2484*1,0)))),4),0)))</f>
        <v/>
      </c>
      <c r="P9" s="48" t="inlineStr">
        <is>
          <t>corse</t>
        </is>
      </c>
      <c r="Q9" s="57">
        <f>IF($A9="","",$A9&amp;"|"&amp;$C9)</f>
        <v/>
      </c>
      <c r="R9" s="57">
        <f>IF($A9="","",$A9&amp;"|"&amp;$C9&amp;"|"&amp;$D9)</f>
        <v/>
      </c>
      <c r="S9" s="57">
        <f>IF($A9="","",IFERROR(INDEX(Offerte!$D$2:$D$81,MATCH($Q9,Offerte!$L$2:$L$81,0)),0))</f>
        <v/>
      </c>
      <c r="T9" s="57">
        <f>IF($A9="","",IFERROR(INDEX(Offerte!$G$2:$G$81,MATCH($Q9,Offerte!$L$2:$L$81,0)),"NO"))</f>
        <v/>
      </c>
    </row>
    <row r="10">
      <c r="A10" s="48">
        <f>IF(Offerte!$A2="","",Offerte!$A2)</f>
        <v/>
      </c>
      <c r="B10" s="48">
        <f>IF(Offerte!$A2="","",Offerte!$B2)</f>
        <v/>
      </c>
      <c r="C10" s="48">
        <f>IF(Offerte!$A2="","",Offerte!$C2)</f>
        <v/>
      </c>
      <c r="D10" s="48" t="inlineStr">
        <is>
          <t>B.4.1</t>
        </is>
      </c>
      <c r="E10" s="48" t="inlineStr">
        <is>
          <t>B</t>
        </is>
      </c>
      <c r="F10" s="48" t="inlineStr">
        <is>
          <t>Q</t>
        </is>
      </c>
      <c r="G10" s="48" t="inlineStr">
        <is>
          <t>higher</t>
        </is>
      </c>
      <c r="H10" s="48" t="n">
        <v>3</v>
      </c>
      <c r="I10" s="48" t="inlineStr">
        <is>
          <t>Percorrenze aggiuntive offerte nel Programma d'esercizio delle prime due fasi attuative</t>
        </is>
      </c>
      <c r="J10" s="73" t="n"/>
      <c r="K10" s="73" t="n"/>
      <c r="L10" s="73" t="n"/>
      <c r="M10" s="73" t="n"/>
      <c r="N10" s="57">
        <f>IF($A10="","",IFERROR(VALUE($J10),0))</f>
        <v/>
      </c>
      <c r="O10" s="57">
        <f>IF($A10="",0,IF(OR($S10&lt;&gt;1,COUNTA($J10:$M10)=0),0,IF(SUMPRODUCT(MAX(($C$5:$C$2484=$C10)*($D$5:$D$2484=$D10)*($S$5:$S$2484=1)*IFERROR($N$5:$N$2484*1,0)))&gt;0,ROUND($H10*($N10/SUMPRODUCT(MAX(($C$5:$C$2484=$C10)*($D$5:$D$2484=$D10)*($S$5:$S$2484=1)*IFERROR($N$5:$N$2484*1,0)))),4),0)))</f>
        <v/>
      </c>
      <c r="P10" s="48" t="inlineStr">
        <is>
          <t>vett*km</t>
        </is>
      </c>
      <c r="Q10" s="57">
        <f>IF($A10="","",$A10&amp;"|"&amp;$C10)</f>
        <v/>
      </c>
      <c r="R10" s="57">
        <f>IF($A10="","",$A10&amp;"|"&amp;$C10&amp;"|"&amp;$D10)</f>
        <v/>
      </c>
      <c r="S10" s="57">
        <f>IF($A10="","",IFERROR(INDEX(Offerte!$D$2:$D$81,MATCH($Q10,Offerte!$L$2:$L$81,0)),0))</f>
        <v/>
      </c>
      <c r="T10" s="57">
        <f>IF($A10="","",IFERROR(INDEX(Offerte!$G$2:$G$81,MATCH($Q10,Offerte!$L$2:$L$81,0)),"NO"))</f>
        <v/>
      </c>
    </row>
    <row r="11">
      <c r="A11" s="48">
        <f>IF(Offerte!$A2="","",Offerte!$A2)</f>
        <v/>
      </c>
      <c r="B11" s="48">
        <f>IF(Offerte!$A2="","",Offerte!$B2)</f>
        <v/>
      </c>
      <c r="C11" s="48">
        <f>IF(Offerte!$A2="","",Offerte!$C2)</f>
        <v/>
      </c>
      <c r="D11" s="48" t="inlineStr">
        <is>
          <t>B.5.1</t>
        </is>
      </c>
      <c r="E11" s="48" t="inlineStr">
        <is>
          <t>B</t>
        </is>
      </c>
      <c r="F11" s="48" t="inlineStr">
        <is>
          <t>D</t>
        </is>
      </c>
      <c r="G11" s="48" t="inlineStr">
        <is>
          <t>discretionary</t>
        </is>
      </c>
      <c r="H11" s="48" t="n">
        <v>2</v>
      </c>
      <c r="I11" s="48" t="inlineStr">
        <is>
          <t>Efficacia del progetto di servizi complementari DRT</t>
        </is>
      </c>
      <c r="J11" s="73" t="n"/>
      <c r="K11" s="73" t="n"/>
      <c r="L11" s="73" t="n"/>
      <c r="M11" s="73" t="n"/>
      <c r="N11" s="57">
        <f>IF($A11="","",MAX(0,MIN(1,IFERROR(VALUE($M11),0))))</f>
        <v/>
      </c>
      <c r="O11" s="57">
        <f>IF($A11="",0,IF(OR($S11&lt;&gt;1,COUNTA($J11:$M11)=0),0,IF(SUMPRODUCT(MAX(($C$5:$C$2484=$C11)*($D$5:$D$2484=$D11)*($S$5:$S$2484=1)*IFERROR($N$5:$N$2484*1,0)))&gt;0,ROUND($H11*($N11/SUMPRODUCT(MAX(($C$5:$C$2484=$C11)*($D$5:$D$2484=$D11)*($S$5:$S$2484=1)*IFERROR($N$5:$N$2484*1,0)))),4),0)))</f>
        <v/>
      </c>
      <c r="P11" s="48" t="inlineStr">
        <is>
          <t>coeff.</t>
        </is>
      </c>
      <c r="Q11" s="57">
        <f>IF($A11="","",$A11&amp;"|"&amp;$C11)</f>
        <v/>
      </c>
      <c r="R11" s="57">
        <f>IF($A11="","",$A11&amp;"|"&amp;$C11&amp;"|"&amp;$D11)</f>
        <v/>
      </c>
      <c r="S11" s="57">
        <f>IF($A11="","",IFERROR(INDEX(Offerte!$D$2:$D$81,MATCH($Q11,Offerte!$L$2:$L$81,0)),0))</f>
        <v/>
      </c>
      <c r="T11" s="57">
        <f>IF($A11="","",IFERROR(INDEX(Offerte!$G$2:$G$81,MATCH($Q11,Offerte!$L$2:$L$81,0)),"NO"))</f>
        <v/>
      </c>
    </row>
    <row r="12">
      <c r="A12" s="48">
        <f>IF(Offerte!$A2="","",Offerte!$A2)</f>
        <v/>
      </c>
      <c r="B12" s="48">
        <f>IF(Offerte!$A2="","",Offerte!$B2)</f>
        <v/>
      </c>
      <c r="C12" s="48">
        <f>IF(Offerte!$A2="","",Offerte!$C2)</f>
        <v/>
      </c>
      <c r="D12" s="48" t="inlineStr">
        <is>
          <t>C.1.1</t>
        </is>
      </c>
      <c r="E12" s="48" t="inlineStr">
        <is>
          <t>C</t>
        </is>
      </c>
      <c r="F12" s="48" t="inlineStr">
        <is>
          <t>Q</t>
        </is>
      </c>
      <c r="G12" s="48" t="inlineStr">
        <is>
          <t>higher</t>
        </is>
      </c>
      <c r="H12" s="48" t="n">
        <v>2</v>
      </c>
      <c r="I12" s="48" t="inlineStr">
        <is>
          <t>Tasso di copertura del servizio con telecamere BSD</t>
        </is>
      </c>
      <c r="J12" s="73" t="n"/>
      <c r="K12" s="73" t="n"/>
      <c r="L12" s="73" t="n"/>
      <c r="M12" s="73" t="n"/>
      <c r="N12" s="57">
        <f>IF($A12="","",IFERROR(VALUE($K12)/VALUE($L12),IFERROR(VALUE($J12),0)))</f>
        <v/>
      </c>
      <c r="O12" s="57">
        <f>IF($A12="",0,IF(OR($S12&lt;&gt;1,COUNTA($J12:$M12)=0),0,IF(SUMPRODUCT(MAX(($C$5:$C$2484=$C12)*($D$5:$D$2484=$D12)*($S$5:$S$2484=1)*IFERROR($N$5:$N$2484*1,0)))&gt;0,ROUND($H12*($N12/SUMPRODUCT(MAX(($C$5:$C$2484=$C12)*($D$5:$D$2484=$D12)*($S$5:$S$2484=1)*IFERROR($N$5:$N$2484*1,0)))),4),0)))</f>
        <v/>
      </c>
      <c r="P12" s="48" t="inlineStr">
        <is>
          <t>Autobus attrezzati con telecamere BSD / Autobus totali in offerta, incluse scorte</t>
        </is>
      </c>
      <c r="Q12" s="57">
        <f>IF($A12="","",$A12&amp;"|"&amp;$C12)</f>
        <v/>
      </c>
      <c r="R12" s="57">
        <f>IF($A12="","",$A12&amp;"|"&amp;$C12&amp;"|"&amp;$D12)</f>
        <v/>
      </c>
      <c r="S12" s="57">
        <f>IF($A12="","",IFERROR(INDEX(Offerte!$D$2:$D$81,MATCH($Q12,Offerte!$L$2:$L$81,0)),0))</f>
        <v/>
      </c>
      <c r="T12" s="57">
        <f>IF($A12="","",IFERROR(INDEX(Offerte!$G$2:$G$81,MATCH($Q12,Offerte!$L$2:$L$81,0)),"NO"))</f>
        <v/>
      </c>
    </row>
    <row r="13">
      <c r="A13" s="48">
        <f>IF(Offerte!$A2="","",Offerte!$A2)</f>
        <v/>
      </c>
      <c r="B13" s="48">
        <f>IF(Offerte!$A2="","",Offerte!$B2)</f>
        <v/>
      </c>
      <c r="C13" s="48">
        <f>IF(Offerte!$A2="","",Offerte!$C2)</f>
        <v/>
      </c>
      <c r="D13" s="48" t="inlineStr">
        <is>
          <t>C.1.2</t>
        </is>
      </c>
      <c r="E13" s="48" t="inlineStr">
        <is>
          <t>C</t>
        </is>
      </c>
      <c r="F13" s="48" t="inlineStr">
        <is>
          <t>Q</t>
        </is>
      </c>
      <c r="G13" s="48" t="inlineStr">
        <is>
          <t>higher</t>
        </is>
      </c>
      <c r="H13" s="48" t="n">
        <v>2</v>
      </c>
      <c r="I13" s="48" t="inlineStr">
        <is>
          <t>Tasso di copertura del servizio con telecamere ADAS</t>
        </is>
      </c>
      <c r="J13" s="73" t="n"/>
      <c r="K13" s="73" t="n"/>
      <c r="L13" s="73" t="n"/>
      <c r="M13" s="73" t="n"/>
      <c r="N13" s="57">
        <f>IF($A13="","",IFERROR(VALUE($K13)/VALUE($L13),IFERROR(VALUE($J13),0)))</f>
        <v/>
      </c>
      <c r="O13" s="57">
        <f>IF($A13="",0,IF(OR($S13&lt;&gt;1,COUNTA($J13:$M13)=0),0,IF(SUMPRODUCT(MAX(($C$5:$C$2484=$C13)*($D$5:$D$2484=$D13)*($S$5:$S$2484=1)*IFERROR($N$5:$N$2484*1,0)))&gt;0,ROUND($H13*($N13/SUMPRODUCT(MAX(($C$5:$C$2484=$C13)*($D$5:$D$2484=$D13)*($S$5:$S$2484=1)*IFERROR($N$5:$N$2484*1,0)))),4),0)))</f>
        <v/>
      </c>
      <c r="P13" s="48" t="inlineStr">
        <is>
          <t>Autobus attrezzati con telecamere ADAS / Autobus totali in offerta, incluse scorte</t>
        </is>
      </c>
      <c r="Q13" s="57">
        <f>IF($A13="","",$A13&amp;"|"&amp;$C13)</f>
        <v/>
      </c>
      <c r="R13" s="57">
        <f>IF($A13="","",$A13&amp;"|"&amp;$C13&amp;"|"&amp;$D13)</f>
        <v/>
      </c>
      <c r="S13" s="57">
        <f>IF($A13="","",IFERROR(INDEX(Offerte!$D$2:$D$81,MATCH($Q13,Offerte!$L$2:$L$81,0)),0))</f>
        <v/>
      </c>
      <c r="T13" s="57">
        <f>IF($A13="","",IFERROR(INDEX(Offerte!$G$2:$G$81,MATCH($Q13,Offerte!$L$2:$L$81,0)),"NO"))</f>
        <v/>
      </c>
    </row>
    <row r="14">
      <c r="A14" s="48">
        <f>IF(Offerte!$A2="","",Offerte!$A2)</f>
        <v/>
      </c>
      <c r="B14" s="48">
        <f>IF(Offerte!$A2="","",Offerte!$B2)</f>
        <v/>
      </c>
      <c r="C14" s="48">
        <f>IF(Offerte!$A2="","",Offerte!$C2)</f>
        <v/>
      </c>
      <c r="D14" s="48" t="inlineStr">
        <is>
          <t>C.2.1</t>
        </is>
      </c>
      <c r="E14" s="48" t="inlineStr">
        <is>
          <t>C</t>
        </is>
      </c>
      <c r="F14" s="48" t="inlineStr">
        <is>
          <t>Q</t>
        </is>
      </c>
      <c r="G14" s="48" t="inlineStr">
        <is>
          <t>higher</t>
        </is>
      </c>
      <c r="H14" s="48" t="n">
        <v>3</v>
      </c>
      <c r="I14" s="48" t="inlineStr">
        <is>
          <t>Tasso di copertura del servizio con telecamere di bordo di videosorveglianza</t>
        </is>
      </c>
      <c r="J14" s="73" t="n"/>
      <c r="K14" s="73" t="n"/>
      <c r="L14" s="73" t="n"/>
      <c r="M14" s="73" t="n"/>
      <c r="N14" s="57">
        <f>IF($A14="","",IFERROR(VALUE($K14)/VALUE($L14),IFERROR(VALUE($J14),0)))</f>
        <v/>
      </c>
      <c r="O14" s="57">
        <f>IF($A14="",0,IF(OR($S14&lt;&gt;1,COUNTA($J14:$M14)=0),0,IF(SUMPRODUCT(MAX(($C$5:$C$2484=$C14)*($D$5:$D$2484=$D14)*($S$5:$S$2484=1)*IFERROR($N$5:$N$2484*1,0)))&gt;0,ROUND($H14*($N14/SUMPRODUCT(MAX(($C$5:$C$2484=$C14)*($D$5:$D$2484=$D14)*($S$5:$S$2484=1)*IFERROR($N$5:$N$2484*1,0)))),4),0)))</f>
        <v/>
      </c>
      <c r="P14" s="48" t="inlineStr">
        <is>
          <t>Autobus attrezzati con videosorveglianza / Autobus totali in offerta, incluse scorte</t>
        </is>
      </c>
      <c r="Q14" s="57">
        <f>IF($A14="","",$A14&amp;"|"&amp;$C14)</f>
        <v/>
      </c>
      <c r="R14" s="57">
        <f>IF($A14="","",$A14&amp;"|"&amp;$C14&amp;"|"&amp;$D14)</f>
        <v/>
      </c>
      <c r="S14" s="57">
        <f>IF($A14="","",IFERROR(INDEX(Offerte!$D$2:$D$81,MATCH($Q14,Offerte!$L$2:$L$81,0)),0))</f>
        <v/>
      </c>
      <c r="T14" s="57">
        <f>IF($A14="","",IFERROR(INDEX(Offerte!$G$2:$G$81,MATCH($Q14,Offerte!$L$2:$L$81,0)),"NO"))</f>
        <v/>
      </c>
    </row>
    <row r="15">
      <c r="A15" s="48">
        <f>IF(Offerte!$A2="","",Offerte!$A2)</f>
        <v/>
      </c>
      <c r="B15" s="48">
        <f>IF(Offerte!$A2="","",Offerte!$B2)</f>
        <v/>
      </c>
      <c r="C15" s="48">
        <f>IF(Offerte!$A2="","",Offerte!$C2)</f>
        <v/>
      </c>
      <c r="D15" s="48" t="inlineStr">
        <is>
          <t>C.2.2</t>
        </is>
      </c>
      <c r="E15" s="48" t="inlineStr">
        <is>
          <t>C</t>
        </is>
      </c>
      <c r="F15" s="48" t="inlineStr">
        <is>
          <t>T</t>
        </is>
      </c>
      <c r="G15" s="48" t="inlineStr">
        <is>
          <t>tabular</t>
        </is>
      </c>
      <c r="H15" s="48" t="n">
        <v>1</v>
      </c>
      <c r="I15" s="48" t="inlineStr">
        <is>
          <t>Software video/audio analisi per situazioni di pericolo</t>
        </is>
      </c>
      <c r="J15" s="73" t="n"/>
      <c r="K15" s="73" t="n"/>
      <c r="L15" s="73" t="n"/>
      <c r="M15" s="73" t="n"/>
      <c r="N15" s="57">
        <f>IF($A15="","",IF(IFERROR(VALUE($M15),0)=1,1,0))</f>
        <v/>
      </c>
      <c r="O15" s="57">
        <f>IF($A15="",0,IF(OR($S15&lt;&gt;1,COUNTA($J15:$M15)=0),0,IF($N15=1,$H15,0)))</f>
        <v/>
      </c>
      <c r="P15" s="48" t="inlineStr">
        <is>
          <t>sì/no</t>
        </is>
      </c>
      <c r="Q15" s="57">
        <f>IF($A15="","",$A15&amp;"|"&amp;$C15)</f>
        <v/>
      </c>
      <c r="R15" s="57">
        <f>IF($A15="","",$A15&amp;"|"&amp;$C15&amp;"|"&amp;$D15)</f>
        <v/>
      </c>
      <c r="S15" s="57">
        <f>IF($A15="","",IFERROR(INDEX(Offerte!$D$2:$D$81,MATCH($Q15,Offerte!$L$2:$L$81,0)),0))</f>
        <v/>
      </c>
      <c r="T15" s="57">
        <f>IF($A15="","",IFERROR(INDEX(Offerte!$G$2:$G$81,MATCH($Q15,Offerte!$L$2:$L$81,0)),"NO"))</f>
        <v/>
      </c>
    </row>
    <row r="16">
      <c r="A16" s="48">
        <f>IF(Offerte!$A2="","",Offerte!$A2)</f>
        <v/>
      </c>
      <c r="B16" s="48">
        <f>IF(Offerte!$A2="","",Offerte!$B2)</f>
        <v/>
      </c>
      <c r="C16" s="48">
        <f>IF(Offerte!$A2="","",Offerte!$C2)</f>
        <v/>
      </c>
      <c r="D16" s="48" t="inlineStr">
        <is>
          <t>C.2.3</t>
        </is>
      </c>
      <c r="E16" s="48" t="inlineStr">
        <is>
          <t>C</t>
        </is>
      </c>
      <c r="F16" s="48" t="inlineStr">
        <is>
          <t>T</t>
        </is>
      </c>
      <c r="G16" s="48" t="inlineStr">
        <is>
          <t>tabular</t>
        </is>
      </c>
      <c r="H16" s="48" t="n">
        <v>1</v>
      </c>
      <c r="I16" s="48" t="inlineStr">
        <is>
          <t>Collegamento con centrale qualificata di pronto intervento</t>
        </is>
      </c>
      <c r="J16" s="73" t="n"/>
      <c r="K16" s="73" t="n"/>
      <c r="L16" s="73" t="n"/>
      <c r="M16" s="73" t="n"/>
      <c r="N16" s="57">
        <f>IF($A16="","",IF(IFERROR(VALUE($M16),0)=1,1,0))</f>
        <v/>
      </c>
      <c r="O16" s="57">
        <f>IF($A16="",0,IF(OR($S16&lt;&gt;1,COUNTA($J16:$M16)=0),0,IF($N16=1,$H16,0)))</f>
        <v/>
      </c>
      <c r="P16" s="48" t="inlineStr">
        <is>
          <t>sì/no</t>
        </is>
      </c>
      <c r="Q16" s="57">
        <f>IF($A16="","",$A16&amp;"|"&amp;$C16)</f>
        <v/>
      </c>
      <c r="R16" s="57">
        <f>IF($A16="","",$A16&amp;"|"&amp;$C16&amp;"|"&amp;$D16)</f>
        <v/>
      </c>
      <c r="S16" s="57">
        <f>IF($A16="","",IFERROR(INDEX(Offerte!$D$2:$D$81,MATCH($Q16,Offerte!$L$2:$L$81,0)),0))</f>
        <v/>
      </c>
      <c r="T16" s="57">
        <f>IF($A16="","",IFERROR(INDEX(Offerte!$G$2:$G$81,MATCH($Q16,Offerte!$L$2:$L$81,0)),"NO"))</f>
        <v/>
      </c>
    </row>
    <row r="17">
      <c r="A17" s="48">
        <f>IF(Offerte!$A2="","",Offerte!$A2)</f>
        <v/>
      </c>
      <c r="B17" s="48">
        <f>IF(Offerte!$A2="","",Offerte!$B2)</f>
        <v/>
      </c>
      <c r="C17" s="48">
        <f>IF(Offerte!$A2="","",Offerte!$C2)</f>
        <v/>
      </c>
      <c r="D17" s="48" t="inlineStr">
        <is>
          <t>C.2.4</t>
        </is>
      </c>
      <c r="E17" s="48" t="inlineStr">
        <is>
          <t>C</t>
        </is>
      </c>
      <c r="F17" s="48" t="inlineStr">
        <is>
          <t>Q</t>
        </is>
      </c>
      <c r="G17" s="48" t="inlineStr">
        <is>
          <t>higher</t>
        </is>
      </c>
      <c r="H17" s="48" t="n">
        <v>1</v>
      </c>
      <c r="I17" s="48" t="inlineStr">
        <is>
          <t>Tasso di copertura del servizio con dispositivi per la chiamata di emergenza del conducente</t>
        </is>
      </c>
      <c r="J17" s="73" t="n"/>
      <c r="K17" s="73" t="n"/>
      <c r="L17" s="73" t="n"/>
      <c r="M17" s="73" t="n"/>
      <c r="N17" s="57">
        <f>IF($A17="","",IFERROR(VALUE($K17)/VALUE($L17),IFERROR(VALUE($J17),0)))</f>
        <v/>
      </c>
      <c r="O17" s="57">
        <f>IF($A17="",0,IF(OR($S17&lt;&gt;1,COUNTA($J17:$M17)=0),0,IF(SUMPRODUCT(MAX(($C$5:$C$2484=$C17)*($D$5:$D$2484=$D17)*($S$5:$S$2484=1)*IFERROR($N$5:$N$2484*1,0)))&gt;0,ROUND($H17*($N17/SUMPRODUCT(MAX(($C$5:$C$2484=$C17)*($D$5:$D$2484=$D17)*($S$5:$S$2484=1)*IFERROR($N$5:$N$2484*1,0)))),4),0)))</f>
        <v/>
      </c>
      <c r="P17" s="48" t="inlineStr">
        <is>
          <t>Autobus attrezzati con chiamata di emergenza / Autobus totali in offerta, incluse scorte</t>
        </is>
      </c>
      <c r="Q17" s="57">
        <f>IF($A17="","",$A17&amp;"|"&amp;$C17)</f>
        <v/>
      </c>
      <c r="R17" s="57">
        <f>IF($A17="","",$A17&amp;"|"&amp;$C17&amp;"|"&amp;$D17)</f>
        <v/>
      </c>
      <c r="S17" s="57">
        <f>IF($A17="","",IFERROR(INDEX(Offerte!$D$2:$D$81,MATCH($Q17,Offerte!$L$2:$L$81,0)),0))</f>
        <v/>
      </c>
      <c r="T17" s="57">
        <f>IF($A17="","",IFERROR(INDEX(Offerte!$G$2:$G$81,MATCH($Q17,Offerte!$L$2:$L$81,0)),"NO"))</f>
        <v/>
      </c>
    </row>
    <row r="18">
      <c r="A18" s="48">
        <f>IF(Offerte!$A2="","",Offerte!$A2)</f>
        <v/>
      </c>
      <c r="B18" s="48">
        <f>IF(Offerte!$A2="","",Offerte!$B2)</f>
        <v/>
      </c>
      <c r="C18" s="48">
        <f>IF(Offerte!$A2="","",Offerte!$C2)</f>
        <v/>
      </c>
      <c r="D18" s="48" t="inlineStr">
        <is>
          <t>C.3.1</t>
        </is>
      </c>
      <c r="E18" s="48" t="inlineStr">
        <is>
          <t>C</t>
        </is>
      </c>
      <c r="F18" s="48" t="inlineStr">
        <is>
          <t>Q</t>
        </is>
      </c>
      <c r="G18" s="48" t="inlineStr">
        <is>
          <t>higher</t>
        </is>
      </c>
      <c r="H18" s="48" t="n">
        <v>2</v>
      </c>
      <c r="I18" s="48" t="inlineStr">
        <is>
          <t>Tasso di copertura del servizio con dispositivi di informazione dinamica a bordo mezzo</t>
        </is>
      </c>
      <c r="J18" s="73" t="n"/>
      <c r="K18" s="73" t="n"/>
      <c r="L18" s="73" t="n"/>
      <c r="M18" s="73" t="n"/>
      <c r="N18" s="57">
        <f>IF($A18="","",IFERROR(VALUE($K18)/VALUE($L18),IFERROR(VALUE($J18),0)))</f>
        <v/>
      </c>
      <c r="O18" s="57">
        <f>IF($A18="",0,IF(OR($S18&lt;&gt;1,COUNTA($J18:$M18)=0),0,IF(SUMPRODUCT(MAX(($C$5:$C$2484=$C18)*($D$5:$D$2484=$D18)*($S$5:$S$2484=1)*IFERROR($N$5:$N$2484*1,0)))&gt;0,ROUND($H18*($N18/SUMPRODUCT(MAX(($C$5:$C$2484=$C18)*($D$5:$D$2484=$D18)*($S$5:$S$2484=1)*IFERROR($N$5:$N$2484*1,0)))),4),0)))</f>
        <v/>
      </c>
      <c r="P18" s="48" t="inlineStr">
        <is>
          <t>Autobus con monitor e indicatori vocali / Autobus totali in offerta, incluse scorte</t>
        </is>
      </c>
      <c r="Q18" s="57">
        <f>IF($A18="","",$A18&amp;"|"&amp;$C18)</f>
        <v/>
      </c>
      <c r="R18" s="57">
        <f>IF($A18="","",$A18&amp;"|"&amp;$C18&amp;"|"&amp;$D18)</f>
        <v/>
      </c>
      <c r="S18" s="57">
        <f>IF($A18="","",IFERROR(INDEX(Offerte!$D$2:$D$81,MATCH($Q18,Offerte!$L$2:$L$81,0)),0))</f>
        <v/>
      </c>
      <c r="T18" s="57">
        <f>IF($A18="","",IFERROR(INDEX(Offerte!$G$2:$G$81,MATCH($Q18,Offerte!$L$2:$L$81,0)),"NO"))</f>
        <v/>
      </c>
    </row>
    <row r="19">
      <c r="A19" s="48">
        <f>IF(Offerte!$A2="","",Offerte!$A2)</f>
        <v/>
      </c>
      <c r="B19" s="48">
        <f>IF(Offerte!$A2="","",Offerte!$B2)</f>
        <v/>
      </c>
      <c r="C19" s="48">
        <f>IF(Offerte!$A2="","",Offerte!$C2)</f>
        <v/>
      </c>
      <c r="D19" s="48" t="inlineStr">
        <is>
          <t>C.3.2</t>
        </is>
      </c>
      <c r="E19" s="48" t="inlineStr">
        <is>
          <t>C</t>
        </is>
      </c>
      <c r="F19" s="48" t="inlineStr">
        <is>
          <t>T</t>
        </is>
      </c>
      <c r="G19" s="48" t="inlineStr">
        <is>
          <t>tabular</t>
        </is>
      </c>
      <c r="H19" s="48" t="n">
        <v>2</v>
      </c>
      <c r="I19" s="48" t="inlineStr">
        <is>
          <t>Informazioni a bordo su coincidenze ai nodi</t>
        </is>
      </c>
      <c r="J19" s="73" t="n"/>
      <c r="K19" s="73" t="n"/>
      <c r="L19" s="73" t="n"/>
      <c r="M19" s="73" t="n"/>
      <c r="N19" s="57">
        <f>IF($A19="","",IF(IFERROR(VALUE($M19),0)=1,1,0))</f>
        <v/>
      </c>
      <c r="O19" s="57">
        <f>IF($A19="",0,IF(OR($S19&lt;&gt;1,COUNTA($J19:$M19)=0),0,IF(AND($N19=1,IFERROR(SUMIFS($N$5:$N$2484,$Q$5:$Q$2484,$Q19,$D$5:$D$2484,"C.3.1"),0)&gt;=0.5),$H19,0)))</f>
        <v/>
      </c>
      <c r="P19" s="48" t="inlineStr">
        <is>
          <t>Dipende da C.3.1 &gt;= 0.5</t>
        </is>
      </c>
      <c r="Q19" s="57">
        <f>IF($A19="","",$A19&amp;"|"&amp;$C19)</f>
        <v/>
      </c>
      <c r="R19" s="57">
        <f>IF($A19="","",$A19&amp;"|"&amp;$C19&amp;"|"&amp;$D19)</f>
        <v/>
      </c>
      <c r="S19" s="57">
        <f>IF($A19="","",IFERROR(INDEX(Offerte!$D$2:$D$81,MATCH($Q19,Offerte!$L$2:$L$81,0)),0))</f>
        <v/>
      </c>
      <c r="T19" s="57">
        <f>IF($A19="","",IFERROR(INDEX(Offerte!$G$2:$G$81,MATCH($Q19,Offerte!$L$2:$L$81,0)),"NO"))</f>
        <v/>
      </c>
    </row>
    <row r="20">
      <c r="A20" s="48">
        <f>IF(Offerte!$A2="","",Offerte!$A2)</f>
        <v/>
      </c>
      <c r="B20" s="48">
        <f>IF(Offerte!$A2="","",Offerte!$B2)</f>
        <v/>
      </c>
      <c r="C20" s="48">
        <f>IF(Offerte!$A2="","",Offerte!$C2)</f>
        <v/>
      </c>
      <c r="D20" s="48" t="inlineStr">
        <is>
          <t>D.1.1</t>
        </is>
      </c>
      <c r="E20" s="48" t="inlineStr">
        <is>
          <t>D</t>
        </is>
      </c>
      <c r="F20" s="48" t="inlineStr">
        <is>
          <t>Q</t>
        </is>
      </c>
      <c r="G20" s="48" t="inlineStr">
        <is>
          <t>higher</t>
        </is>
      </c>
      <c r="H20" s="48" t="n">
        <v>3</v>
      </c>
      <c r="I20" s="48" t="inlineStr">
        <is>
          <t>Installazione di pensiline</t>
        </is>
      </c>
      <c r="J20" s="73" t="n"/>
      <c r="K20" s="73" t="n"/>
      <c r="L20" s="73" t="n"/>
      <c r="M20" s="73" t="n"/>
      <c r="N20" s="57">
        <f>IF($A20="","",IFERROR(VALUE($J20),0))</f>
        <v/>
      </c>
      <c r="O20" s="57">
        <f>IF($A20="",0,IF(OR($S20&lt;&gt;1,COUNTA($J20:$M20)=0),0,IF(SUMPRODUCT(MAX(($C$5:$C$2484=$C20)*($D$5:$D$2484=$D20)*($S$5:$S$2484=1)*IFERROR($N$5:$N$2484*1,0)))&gt;0,ROUND($H20*($N20/SUMPRODUCT(MAX(($C$5:$C$2484=$C20)*($D$5:$D$2484=$D20)*($S$5:$S$2484=1)*IFERROR($N$5:$N$2484*1,0)))),4),0)))</f>
        <v/>
      </c>
      <c r="P20" s="48" t="inlineStr">
        <is>
          <t>fermate</t>
        </is>
      </c>
      <c r="Q20" s="57">
        <f>IF($A20="","",$A20&amp;"|"&amp;$C20)</f>
        <v/>
      </c>
      <c r="R20" s="57">
        <f>IF($A20="","",$A20&amp;"|"&amp;$C20&amp;"|"&amp;$D20)</f>
        <v/>
      </c>
      <c r="S20" s="57">
        <f>IF($A20="","",IFERROR(INDEX(Offerte!$D$2:$D$81,MATCH($Q20,Offerte!$L$2:$L$81,0)),0))</f>
        <v/>
      </c>
      <c r="T20" s="57">
        <f>IF($A20="","",IFERROR(INDEX(Offerte!$G$2:$G$81,MATCH($Q20,Offerte!$L$2:$L$81,0)),"NO"))</f>
        <v/>
      </c>
    </row>
    <row r="21">
      <c r="A21" s="48">
        <f>IF(Offerte!$A2="","",Offerte!$A2)</f>
        <v/>
      </c>
      <c r="B21" s="48">
        <f>IF(Offerte!$A2="","",Offerte!$B2)</f>
        <v/>
      </c>
      <c r="C21" s="48">
        <f>IF(Offerte!$A2="","",Offerte!$C2)</f>
        <v/>
      </c>
      <c r="D21" s="48" t="inlineStr">
        <is>
          <t>D.1.2</t>
        </is>
      </c>
      <c r="E21" s="48" t="inlineStr">
        <is>
          <t>D</t>
        </is>
      </c>
      <c r="F21" s="48" t="inlineStr">
        <is>
          <t>Q</t>
        </is>
      </c>
      <c r="G21" s="48" t="inlineStr">
        <is>
          <t>higher</t>
        </is>
      </c>
      <c r="H21" s="48" t="n">
        <v>3</v>
      </c>
      <c r="I21" s="48" t="inlineStr">
        <is>
          <t>Installazione di paline di fermata conformi alla DGR 581/2023</t>
        </is>
      </c>
      <c r="J21" s="73" t="n"/>
      <c r="K21" s="73" t="n"/>
      <c r="L21" s="73" t="n"/>
      <c r="M21" s="73" t="n"/>
      <c r="N21" s="57">
        <f>IF($A21="","",IFERROR(VALUE($J21),0))</f>
        <v/>
      </c>
      <c r="O21" s="57">
        <f>IF($A21="",0,IF(OR($S21&lt;&gt;1,COUNTA($J21:$M21)=0),0,IF(SUMPRODUCT(MAX(($C$5:$C$2484=$C21)*($D$5:$D$2484=$D21)*($S$5:$S$2484=1)*IFERROR($N$5:$N$2484*1,0)))&gt;0,ROUND($H21*($N21/SUMPRODUCT(MAX(($C$5:$C$2484=$C21)*($D$5:$D$2484=$D21)*($S$5:$S$2484=1)*IFERROR($N$5:$N$2484*1,0)))),4),0)))</f>
        <v/>
      </c>
      <c r="P21" s="48" t="inlineStr">
        <is>
          <t>fermate</t>
        </is>
      </c>
      <c r="Q21" s="57">
        <f>IF($A21="","",$A21&amp;"|"&amp;$C21)</f>
        <v/>
      </c>
      <c r="R21" s="57">
        <f>IF($A21="","",$A21&amp;"|"&amp;$C21&amp;"|"&amp;$D21)</f>
        <v/>
      </c>
      <c r="S21" s="57">
        <f>IF($A21="","",IFERROR(INDEX(Offerte!$D$2:$D$81,MATCH($Q21,Offerte!$L$2:$L$81,0)),0))</f>
        <v/>
      </c>
      <c r="T21" s="57">
        <f>IF($A21="","",IFERROR(INDEX(Offerte!$G$2:$G$81,MATCH($Q21,Offerte!$L$2:$L$81,0)),"NO"))</f>
        <v/>
      </c>
    </row>
    <row r="22">
      <c r="A22" s="48">
        <f>IF(Offerte!$A2="","",Offerte!$A2)</f>
        <v/>
      </c>
      <c r="B22" s="48">
        <f>IF(Offerte!$A2="","",Offerte!$B2)</f>
        <v/>
      </c>
      <c r="C22" s="48">
        <f>IF(Offerte!$A2="","",Offerte!$C2)</f>
        <v/>
      </c>
      <c r="D22" s="48" t="inlineStr">
        <is>
          <t>D.1.3</t>
        </is>
      </c>
      <c r="E22" s="48" t="inlineStr">
        <is>
          <t>D</t>
        </is>
      </c>
      <c r="F22" s="48" t="inlineStr">
        <is>
          <t>Q</t>
        </is>
      </c>
      <c r="G22" s="48" t="inlineStr">
        <is>
          <t>higher</t>
        </is>
      </c>
      <c r="H22" s="48" t="n">
        <v>2</v>
      </c>
      <c r="I22" s="48" t="inlineStr">
        <is>
          <t>Display informativi connessi alle fermate</t>
        </is>
      </c>
      <c r="J22" s="73" t="n"/>
      <c r="K22" s="73" t="n"/>
      <c r="L22" s="73" t="n"/>
      <c r="M22" s="73" t="n"/>
      <c r="N22" s="57">
        <f>IF($A22="","",IFERROR(VALUE($J22),0))</f>
        <v/>
      </c>
      <c r="O22" s="57">
        <f>IF($A22="",0,IF(OR($S22&lt;&gt;1,COUNTA($J22:$M22)=0),0,IF(SUMPRODUCT(MAX(($C$5:$C$2484=$C22)*($D$5:$D$2484=$D22)*($S$5:$S$2484=1)*IFERROR($N$5:$N$2484*1,0)))&gt;0,ROUND($H22*($N22/SUMPRODUCT(MAX(($C$5:$C$2484=$C22)*($D$5:$D$2484=$D22)*($S$5:$S$2484=1)*IFERROR($N$5:$N$2484*1,0)))),4),0)))</f>
        <v/>
      </c>
      <c r="P22" s="48" t="inlineStr">
        <is>
          <t>fermate</t>
        </is>
      </c>
      <c r="Q22" s="57">
        <f>IF($A22="","",$A22&amp;"|"&amp;$C22)</f>
        <v/>
      </c>
      <c r="R22" s="57">
        <f>IF($A22="","",$A22&amp;"|"&amp;$C22&amp;"|"&amp;$D22)</f>
        <v/>
      </c>
      <c r="S22" s="57">
        <f>IF($A22="","",IFERROR(INDEX(Offerte!$D$2:$D$81,MATCH($Q22,Offerte!$L$2:$L$81,0)),0))</f>
        <v/>
      </c>
      <c r="T22" s="57">
        <f>IF($A22="","",IFERROR(INDEX(Offerte!$G$2:$G$81,MATCH($Q22,Offerte!$L$2:$L$81,0)),"NO"))</f>
        <v/>
      </c>
    </row>
    <row r="23">
      <c r="A23" s="48">
        <f>IF(Offerte!$A2="","",Offerte!$A2)</f>
        <v/>
      </c>
      <c r="B23" s="48">
        <f>IF(Offerte!$A2="","",Offerte!$B2)</f>
        <v/>
      </c>
      <c r="C23" s="48">
        <f>IF(Offerte!$A2="","",Offerte!$C2)</f>
        <v/>
      </c>
      <c r="D23" s="48" t="inlineStr">
        <is>
          <t>D.2.1</t>
        </is>
      </c>
      <c r="E23" s="48" t="inlineStr">
        <is>
          <t>D</t>
        </is>
      </c>
      <c r="F23" s="48" t="inlineStr">
        <is>
          <t>Q</t>
        </is>
      </c>
      <c r="G23" s="48" t="inlineStr">
        <is>
          <t>higher</t>
        </is>
      </c>
      <c r="H23" s="48" t="n">
        <v>2</v>
      </c>
      <c r="I23" s="48" t="inlineStr">
        <is>
          <t>Segnali tattili Loges-Vet-Evolution</t>
        </is>
      </c>
      <c r="J23" s="73" t="n"/>
      <c r="K23" s="73" t="n"/>
      <c r="L23" s="73" t="n"/>
      <c r="M23" s="73" t="n"/>
      <c r="N23" s="57">
        <f>IF($A23="","",IFERROR(VALUE($J23),0))</f>
        <v/>
      </c>
      <c r="O23" s="57">
        <f>IF($A23="",0,IF(OR($S23&lt;&gt;1,COUNTA($J23:$M23)=0),0,IF(SUMPRODUCT(MAX(($C$5:$C$2484=$C23)*($D$5:$D$2484=$D23)*($S$5:$S$2484=1)*IFERROR($N$5:$N$2484*1,0)))&gt;0,ROUND($H23*($N23/SUMPRODUCT(MAX(($C$5:$C$2484=$C23)*($D$5:$D$2484=$D23)*($S$5:$S$2484=1)*IFERROR($N$5:$N$2484*1,0)))),4),0)))</f>
        <v/>
      </c>
      <c r="P23" s="48" t="inlineStr">
        <is>
          <t>fermate</t>
        </is>
      </c>
      <c r="Q23" s="57">
        <f>IF($A23="","",$A23&amp;"|"&amp;$C23)</f>
        <v/>
      </c>
      <c r="R23" s="57">
        <f>IF($A23="","",$A23&amp;"|"&amp;$C23&amp;"|"&amp;$D23)</f>
        <v/>
      </c>
      <c r="S23" s="57">
        <f>IF($A23="","",IFERROR(INDEX(Offerte!$D$2:$D$81,MATCH($Q23,Offerte!$L$2:$L$81,0)),0))</f>
        <v/>
      </c>
      <c r="T23" s="57">
        <f>IF($A23="","",IFERROR(INDEX(Offerte!$G$2:$G$81,MATCH($Q23,Offerte!$L$2:$L$81,0)),"NO"))</f>
        <v/>
      </c>
    </row>
    <row r="24">
      <c r="A24" s="48">
        <f>IF(Offerte!$A2="","",Offerte!$A2)</f>
        <v/>
      </c>
      <c r="B24" s="48">
        <f>IF(Offerte!$A2="","",Offerte!$B2)</f>
        <v/>
      </c>
      <c r="C24" s="48">
        <f>IF(Offerte!$A2="","",Offerte!$C2)</f>
        <v/>
      </c>
      <c r="D24" s="48" t="inlineStr">
        <is>
          <t>E.1.1</t>
        </is>
      </c>
      <c r="E24" s="48" t="inlineStr">
        <is>
          <t>E</t>
        </is>
      </c>
      <c r="F24" s="48" t="inlineStr">
        <is>
          <t>T</t>
        </is>
      </c>
      <c r="G24" s="48" t="inlineStr">
        <is>
          <t>tabular</t>
        </is>
      </c>
      <c r="H24" s="48" t="n">
        <v>2</v>
      </c>
      <c r="I24" s="48" t="inlineStr">
        <is>
          <t>Mobile app con travel planner PRM</t>
        </is>
      </c>
      <c r="J24" s="73" t="n"/>
      <c r="K24" s="73" t="n"/>
      <c r="L24" s="73" t="n"/>
      <c r="M24" s="73" t="n"/>
      <c r="N24" s="57">
        <f>IF($A24="","",IF(IFERROR(VALUE($M24),0)=1,1,0))</f>
        <v/>
      </c>
      <c r="O24" s="57">
        <f>IF($A24="",0,IF(OR($S24&lt;&gt;1,COUNTA($J24:$M24)=0),0,IF($N24=1,$H24,0)))</f>
        <v/>
      </c>
      <c r="P24" s="48" t="inlineStr">
        <is>
          <t>sì/no</t>
        </is>
      </c>
      <c r="Q24" s="57">
        <f>IF($A24="","",$A24&amp;"|"&amp;$C24)</f>
        <v/>
      </c>
      <c r="R24" s="57">
        <f>IF($A24="","",$A24&amp;"|"&amp;$C24&amp;"|"&amp;$D24)</f>
        <v/>
      </c>
      <c r="S24" s="57">
        <f>IF($A24="","",IFERROR(INDEX(Offerte!$D$2:$D$81,MATCH($Q24,Offerte!$L$2:$L$81,0)),0))</f>
        <v/>
      </c>
      <c r="T24" s="57">
        <f>IF($A24="","",IFERROR(INDEX(Offerte!$G$2:$G$81,MATCH($Q24,Offerte!$L$2:$L$81,0)),"NO"))</f>
        <v/>
      </c>
    </row>
    <row r="25">
      <c r="A25" s="48">
        <f>IF(Offerte!$A2="","",Offerte!$A2)</f>
        <v/>
      </c>
      <c r="B25" s="48">
        <f>IF(Offerte!$A2="","",Offerte!$B2)</f>
        <v/>
      </c>
      <c r="C25" s="48">
        <f>IF(Offerte!$A2="","",Offerte!$C2)</f>
        <v/>
      </c>
      <c r="D25" s="48" t="inlineStr">
        <is>
          <t>E.2.1</t>
        </is>
      </c>
      <c r="E25" s="48" t="inlineStr">
        <is>
          <t>E</t>
        </is>
      </c>
      <c r="F25" s="48" t="inlineStr">
        <is>
          <t>D</t>
        </is>
      </c>
      <c r="G25" s="48" t="inlineStr">
        <is>
          <t>discretionary</t>
        </is>
      </c>
      <c r="H25" s="48" t="n">
        <v>2</v>
      </c>
      <c r="I25" s="48" t="inlineStr">
        <is>
          <t>Altre azioni informative e rapporti con gli utenti</t>
        </is>
      </c>
      <c r="J25" s="73" t="n"/>
      <c r="K25" s="73" t="n"/>
      <c r="L25" s="73" t="n"/>
      <c r="M25" s="73" t="n"/>
      <c r="N25" s="57">
        <f>IF($A25="","",MAX(0,MIN(1,IFERROR(VALUE($M25),0))))</f>
        <v/>
      </c>
      <c r="O25" s="57">
        <f>IF($A25="",0,IF(OR($S25&lt;&gt;1,COUNTA($J25:$M25)=0),0,IF(SUMPRODUCT(MAX(($C$5:$C$2484=$C25)*($D$5:$D$2484=$D25)*($S$5:$S$2484=1)*IFERROR($N$5:$N$2484*1,0)))&gt;0,ROUND($H25*($N25/SUMPRODUCT(MAX(($C$5:$C$2484=$C25)*($D$5:$D$2484=$D25)*($S$5:$S$2484=1)*IFERROR($N$5:$N$2484*1,0)))),4),0)))</f>
        <v/>
      </c>
      <c r="P25" s="48" t="inlineStr">
        <is>
          <t>coeff.</t>
        </is>
      </c>
      <c r="Q25" s="57">
        <f>IF($A25="","",$A25&amp;"|"&amp;$C25)</f>
        <v/>
      </c>
      <c r="R25" s="57">
        <f>IF($A25="","",$A25&amp;"|"&amp;$C25&amp;"|"&amp;$D25)</f>
        <v/>
      </c>
      <c r="S25" s="57">
        <f>IF($A25="","",IFERROR(INDEX(Offerte!$D$2:$D$81,MATCH($Q25,Offerte!$L$2:$L$81,0)),0))</f>
        <v/>
      </c>
      <c r="T25" s="57">
        <f>IF($A25="","",IFERROR(INDEX(Offerte!$G$2:$G$81,MATCH($Q25,Offerte!$L$2:$L$81,0)),"NO"))</f>
        <v/>
      </c>
    </row>
    <row r="26">
      <c r="A26" s="48">
        <f>IF(Offerte!$A2="","",Offerte!$A2)</f>
        <v/>
      </c>
      <c r="B26" s="48">
        <f>IF(Offerte!$A2="","",Offerte!$B2)</f>
        <v/>
      </c>
      <c r="C26" s="48">
        <f>IF(Offerte!$A2="","",Offerte!$C2)</f>
        <v/>
      </c>
      <c r="D26" s="48" t="inlineStr">
        <is>
          <t>F.1.1</t>
        </is>
      </c>
      <c r="E26" s="48" t="inlineStr">
        <is>
          <t>F</t>
        </is>
      </c>
      <c r="F26" s="48" t="inlineStr">
        <is>
          <t>Q</t>
        </is>
      </c>
      <c r="G26" s="48" t="inlineStr">
        <is>
          <t>lower</t>
        </is>
      </c>
      <c r="H26" s="48" t="n">
        <v>7</v>
      </c>
      <c r="I26" s="48" t="inlineStr">
        <is>
          <t>Performance ambientali del parco mezzi adibito al servizio - I_CEA</t>
        </is>
      </c>
      <c r="J26" s="73" t="n"/>
      <c r="K26" s="73" t="n"/>
      <c r="L26" s="73" t="n"/>
      <c r="M26" s="73" t="n"/>
      <c r="N26" s="57">
        <f>IF($A26="","",IFERROR(VALUE($J26),0))</f>
        <v/>
      </c>
      <c r="O26" s="57">
        <f>IF($A26="",0,IF(OR($S26&lt;&gt;1,COUNTA($J26:$M26)=0),0,IF(AND(IFERROR(AGGREGATE(15,6,$N$5:$N$2484/(($C$5:$C$2484=$C26)*($D$5:$D$2484=$D26)*($S$5:$S$2484=1)*($N$5:$N$2484&gt;0)),1),0)&gt;0,$N26&gt;0),ROUND($H26*(IFERROR(AGGREGATE(15,6,$N$5:$N$2484/(($C$5:$C$2484=$C26)*($D$5:$D$2484=$D26)*($S$5:$S$2484=1)*($N$5:$N$2484&gt;0)),1),0)/$N26),4),0)))</f>
        <v/>
      </c>
      <c r="P26" s="48" t="inlineStr">
        <is>
          <t>indice</t>
        </is>
      </c>
      <c r="Q26" s="57">
        <f>IF($A26="","",$A26&amp;"|"&amp;$C26)</f>
        <v/>
      </c>
      <c r="R26" s="57">
        <f>IF($A26="","",$A26&amp;"|"&amp;$C26&amp;"|"&amp;$D26)</f>
        <v/>
      </c>
      <c r="S26" s="57">
        <f>IF($A26="","",IFERROR(INDEX(Offerte!$D$2:$D$81,MATCH($Q26,Offerte!$L$2:$L$81,0)),0))</f>
        <v/>
      </c>
      <c r="T26" s="57">
        <f>IF($A26="","",IFERROR(INDEX(Offerte!$G$2:$G$81,MATCH($Q26,Offerte!$L$2:$L$81,0)),"NO"))</f>
        <v/>
      </c>
    </row>
    <row r="27">
      <c r="A27" s="48">
        <f>IF(Offerte!$A2="","",Offerte!$A2)</f>
        <v/>
      </c>
      <c r="B27" s="48">
        <f>IF(Offerte!$A2="","",Offerte!$B2)</f>
        <v/>
      </c>
      <c r="C27" s="48">
        <f>IF(Offerte!$A2="","",Offerte!$C2)</f>
        <v/>
      </c>
      <c r="D27" s="48" t="inlineStr">
        <is>
          <t>F.2.1</t>
        </is>
      </c>
      <c r="E27" s="48" t="inlineStr">
        <is>
          <t>F</t>
        </is>
      </c>
      <c r="F27" s="48" t="inlineStr">
        <is>
          <t>Q</t>
        </is>
      </c>
      <c r="G27" s="48" t="inlineStr">
        <is>
          <t>higher</t>
        </is>
      </c>
      <c r="H27" s="48" t="n">
        <v>2</v>
      </c>
      <c r="I27" s="48" t="inlineStr">
        <is>
          <t>Tasso di copertura del servizio con dispositivi ECO-DRIVER</t>
        </is>
      </c>
      <c r="J27" s="73" t="n"/>
      <c r="K27" s="73" t="n"/>
      <c r="L27" s="73" t="n"/>
      <c r="M27" s="73" t="n"/>
      <c r="N27" s="57">
        <f>IF($A27="","",IFERROR(VALUE($K27)/VALUE($L27),IFERROR(VALUE($J27),0)))</f>
        <v/>
      </c>
      <c r="O27" s="57">
        <f>IF($A27="",0,IF(OR($S27&lt;&gt;1,COUNTA($J27:$M27)=0),0,IF(SUMPRODUCT(MAX(($C$5:$C$2484=$C27)*($D$5:$D$2484=$D27)*($S$5:$S$2484=1)*IFERROR($N$5:$N$2484*1,0)))&gt;0,ROUND($H27*($N27/SUMPRODUCT(MAX(($C$5:$C$2484=$C27)*($D$5:$D$2484=$D27)*($S$5:$S$2484=1)*IFERROR($N$5:$N$2484*1,0)))),4),0)))</f>
        <v/>
      </c>
      <c r="P27" s="48" t="inlineStr">
        <is>
          <t>Autobus attrezzati con dispositivi ECO-DRIVER / Autobus totali in offerta, incluse scorte</t>
        </is>
      </c>
      <c r="Q27" s="57">
        <f>IF($A27="","",$A27&amp;"|"&amp;$C27)</f>
        <v/>
      </c>
      <c r="R27" s="57">
        <f>IF($A27="","",$A27&amp;"|"&amp;$C27&amp;"|"&amp;$D27)</f>
        <v/>
      </c>
      <c r="S27" s="57">
        <f>IF($A27="","",IFERROR(INDEX(Offerte!$D$2:$D$81,MATCH($Q27,Offerte!$L$2:$L$81,0)),0))</f>
        <v/>
      </c>
      <c r="T27" s="57">
        <f>IF($A27="","",IFERROR(INDEX(Offerte!$G$2:$G$81,MATCH($Q27,Offerte!$L$2:$L$81,0)),"NO"))</f>
        <v/>
      </c>
    </row>
    <row r="28">
      <c r="A28" s="48">
        <f>IF(Offerte!$A2="","",Offerte!$A2)</f>
        <v/>
      </c>
      <c r="B28" s="48">
        <f>IF(Offerte!$A2="","",Offerte!$B2)</f>
        <v/>
      </c>
      <c r="C28" s="48">
        <f>IF(Offerte!$A2="","",Offerte!$C2)</f>
        <v/>
      </c>
      <c r="D28" s="48" t="inlineStr">
        <is>
          <t>F.3.1</t>
        </is>
      </c>
      <c r="E28" s="48" t="inlineStr">
        <is>
          <t>F</t>
        </is>
      </c>
      <c r="F28" s="48" t="inlineStr">
        <is>
          <t>Q</t>
        </is>
      </c>
      <c r="G28" s="48" t="inlineStr">
        <is>
          <t>higher</t>
        </is>
      </c>
      <c r="H28" s="48" t="n">
        <v>2</v>
      </c>
      <c r="I28" s="48" t="inlineStr">
        <is>
          <t>Autoproduzione consumi elettrici per trazione</t>
        </is>
      </c>
      <c r="J28" s="73" t="n"/>
      <c r="K28" s="73" t="n"/>
      <c r="L28" s="73" t="n"/>
      <c r="M28" s="73" t="n"/>
      <c r="N28" s="57">
        <f>IF($A28="","",IFERROR(VALUE($J28),0))</f>
        <v/>
      </c>
      <c r="O28" s="57">
        <f>IF($A28="",0,IF(OR($S28&lt;&gt;1,COUNTA($J28:$M28)=0),0,IF(SUMPRODUCT(MAX(($C$5:$C$2484=$C28)*($D$5:$D$2484=$D28)*($S$5:$S$2484=1)*IFERROR($N$5:$N$2484*1,0)))&gt;0,ROUND($H28*($N28/SUMPRODUCT(MAX(($C$5:$C$2484=$C28)*($D$5:$D$2484=$D28)*($S$5:$S$2484=1)*IFERROR($N$5:$N$2484*1,0)))),4),0)))</f>
        <v/>
      </c>
      <c r="P28" s="48" t="inlineStr">
        <is>
          <t>kWh/anno</t>
        </is>
      </c>
      <c r="Q28" s="57">
        <f>IF($A28="","",$A28&amp;"|"&amp;$C28)</f>
        <v/>
      </c>
      <c r="R28" s="57">
        <f>IF($A28="","",$A28&amp;"|"&amp;$C28&amp;"|"&amp;$D28)</f>
        <v/>
      </c>
      <c r="S28" s="57">
        <f>IF($A28="","",IFERROR(INDEX(Offerte!$D$2:$D$81,MATCH($Q28,Offerte!$L$2:$L$81,0)),0))</f>
        <v/>
      </c>
      <c r="T28" s="57">
        <f>IF($A28="","",IFERROR(INDEX(Offerte!$G$2:$G$81,MATCH($Q28,Offerte!$L$2:$L$81,0)),"NO"))</f>
        <v/>
      </c>
    </row>
    <row r="29">
      <c r="A29" s="48">
        <f>IF(Offerte!$A2="","",Offerte!$A2)</f>
        <v/>
      </c>
      <c r="B29" s="48">
        <f>IF(Offerte!$A2="","",Offerte!$B2)</f>
        <v/>
      </c>
      <c r="C29" s="48">
        <f>IF(Offerte!$A2="","",Offerte!$C2)</f>
        <v/>
      </c>
      <c r="D29" s="48" t="inlineStr">
        <is>
          <t>F.4.1</t>
        </is>
      </c>
      <c r="E29" s="48" t="inlineStr">
        <is>
          <t>F</t>
        </is>
      </c>
      <c r="F29" s="48" t="inlineStr">
        <is>
          <t>Q</t>
        </is>
      </c>
      <c r="G29" s="48" t="inlineStr">
        <is>
          <t>soil</t>
        </is>
      </c>
      <c r="H29" s="48" t="n">
        <v>2</v>
      </c>
      <c r="I29" s="48" t="inlineStr">
        <is>
          <t>Indice di consumo di suolo</t>
        </is>
      </c>
      <c r="J29" s="73" t="n"/>
      <c r="K29" s="73" t="n"/>
      <c r="L29" s="73" t="n"/>
      <c r="M29" s="73" t="n"/>
      <c r="N29" s="57">
        <f>IF($A29="","",IFERROR(VALUE($J29),0))</f>
        <v/>
      </c>
      <c r="O29" s="57">
        <f>IF($A29="",0,IF(OR($S29&lt;&gt;1,COUNTA($J29:$M29)=0),0,IF($N29&lt;=0,$H29,IF(SUMPRODUCT(MAX(($C$5:$C$2484=$C29)*($D$5:$D$2484=$D29)*($S$5:$S$2484=1)*IFERROR($N$5:$N$2484*1,0)))&gt;0,ROUND($H29*((SUMPRODUCT(MAX(($C$5:$C$2484=$C29)*($D$5:$D$2484=$D29)*($S$5:$S$2484=1)*IFERROR($N$5:$N$2484*1,0)))-$N29)/SUMPRODUCT(MAX(($C$5:$C$2484=$C29)*($D$5:$D$2484=$D29)*($S$5:$S$2484=1)*IFERROR($N$5:$N$2484*1,0)))),4),0))))</f>
        <v/>
      </c>
      <c r="P29" s="48" t="inlineStr">
        <is>
          <t>m2</t>
        </is>
      </c>
      <c r="Q29" s="57">
        <f>IF($A29="","",$A29&amp;"|"&amp;$C29)</f>
        <v/>
      </c>
      <c r="R29" s="57">
        <f>IF($A29="","",$A29&amp;"|"&amp;$C29&amp;"|"&amp;$D29)</f>
        <v/>
      </c>
      <c r="S29" s="57">
        <f>IF($A29="","",IFERROR(INDEX(Offerte!$D$2:$D$81,MATCH($Q29,Offerte!$L$2:$L$81,0)),0))</f>
        <v/>
      </c>
      <c r="T29" s="57">
        <f>IF($A29="","",IFERROR(INDEX(Offerte!$G$2:$G$81,MATCH($Q29,Offerte!$L$2:$L$81,0)),"NO"))</f>
        <v/>
      </c>
    </row>
    <row r="30">
      <c r="A30" s="48">
        <f>IF(Offerte!$A2="","",Offerte!$A2)</f>
        <v/>
      </c>
      <c r="B30" s="48">
        <f>IF(Offerte!$A2="","",Offerte!$B2)</f>
        <v/>
      </c>
      <c r="C30" s="48">
        <f>IF(Offerte!$A2="","",Offerte!$C2)</f>
        <v/>
      </c>
      <c r="D30" s="48" t="inlineStr">
        <is>
          <t>F.5.1</t>
        </is>
      </c>
      <c r="E30" s="48" t="inlineStr">
        <is>
          <t>F</t>
        </is>
      </c>
      <c r="F30" s="48" t="inlineStr">
        <is>
          <t>T</t>
        </is>
      </c>
      <c r="G30" s="48" t="inlineStr">
        <is>
          <t>tabular</t>
        </is>
      </c>
      <c r="H30" s="48" t="n">
        <v>1</v>
      </c>
      <c r="I30" s="48" t="inlineStr">
        <is>
          <t>Rendicontazione di sostenibilità ambientale</t>
        </is>
      </c>
      <c r="J30" s="73" t="n"/>
      <c r="K30" s="73" t="n"/>
      <c r="L30" s="73" t="n"/>
      <c r="M30" s="73" t="n"/>
      <c r="N30" s="57">
        <f>IF($A30="","",IF(IFERROR(VALUE($M30),0)=1,1,0))</f>
        <v/>
      </c>
      <c r="O30" s="57">
        <f>IF($A30="",0,IF(OR($S30&lt;&gt;1,COUNTA($J30:$M30)=0),0,IF($N30=1,$H30,0)))</f>
        <v/>
      </c>
      <c r="P30" s="48" t="inlineStr">
        <is>
          <t>sì/no</t>
        </is>
      </c>
      <c r="Q30" s="57">
        <f>IF($A30="","",$A30&amp;"|"&amp;$C30)</f>
        <v/>
      </c>
      <c r="R30" s="57">
        <f>IF($A30="","",$A30&amp;"|"&amp;$C30&amp;"|"&amp;$D30)</f>
        <v/>
      </c>
      <c r="S30" s="57">
        <f>IF($A30="","",IFERROR(INDEX(Offerte!$D$2:$D$81,MATCH($Q30,Offerte!$L$2:$L$81,0)),0))</f>
        <v/>
      </c>
      <c r="T30" s="57">
        <f>IF($A30="","",IFERROR(INDEX(Offerte!$G$2:$G$81,MATCH($Q30,Offerte!$L$2:$L$81,0)),"NO"))</f>
        <v/>
      </c>
    </row>
    <row r="31">
      <c r="A31" s="48">
        <f>IF(Offerte!$A2="","",Offerte!$A2)</f>
        <v/>
      </c>
      <c r="B31" s="48">
        <f>IF(Offerte!$A2="","",Offerte!$B2)</f>
        <v/>
      </c>
      <c r="C31" s="48">
        <f>IF(Offerte!$A2="","",Offerte!$C2)</f>
        <v/>
      </c>
      <c r="D31" s="48" t="inlineStr">
        <is>
          <t>G.1.1</t>
        </is>
      </c>
      <c r="E31" s="48" t="inlineStr">
        <is>
          <t>G</t>
        </is>
      </c>
      <c r="F31" s="48" t="inlineStr">
        <is>
          <t>D</t>
        </is>
      </c>
      <c r="G31" s="48" t="inlineStr">
        <is>
          <t>discretionary</t>
        </is>
      </c>
      <c r="H31" s="48" t="n">
        <v>2</v>
      </c>
      <c r="I31" s="48" t="inlineStr">
        <is>
          <t>Qualità del progetto di centrale di controllo aziendale</t>
        </is>
      </c>
      <c r="J31" s="73" t="n"/>
      <c r="K31" s="73" t="n"/>
      <c r="L31" s="73" t="n"/>
      <c r="M31" s="73" t="n"/>
      <c r="N31" s="57">
        <f>IF($A31="","",MAX(0,MIN(1,IFERROR(VALUE($M31),0))))</f>
        <v/>
      </c>
      <c r="O31" s="57">
        <f>IF($A31="",0,IF(OR($S31&lt;&gt;1,COUNTA($J31:$M31)=0),0,IF(SUMPRODUCT(MAX(($C$5:$C$2484=$C31)*($D$5:$D$2484=$D31)*($S$5:$S$2484=1)*IFERROR($N$5:$N$2484*1,0)))&gt;0,ROUND($H31*($N31/SUMPRODUCT(MAX(($C$5:$C$2484=$C31)*($D$5:$D$2484=$D31)*($S$5:$S$2484=1)*IFERROR($N$5:$N$2484*1,0)))),4),0)))</f>
        <v/>
      </c>
      <c r="P31" s="48" t="inlineStr">
        <is>
          <t>coeff.</t>
        </is>
      </c>
      <c r="Q31" s="57">
        <f>IF($A31="","",$A31&amp;"|"&amp;$C31)</f>
        <v/>
      </c>
      <c r="R31" s="57">
        <f>IF($A31="","",$A31&amp;"|"&amp;$C31&amp;"|"&amp;$D31)</f>
        <v/>
      </c>
      <c r="S31" s="57">
        <f>IF($A31="","",IFERROR(INDEX(Offerte!$D$2:$D$81,MATCH($Q31,Offerte!$L$2:$L$81,0)),0))</f>
        <v/>
      </c>
      <c r="T31" s="57">
        <f>IF($A31="","",IFERROR(INDEX(Offerte!$G$2:$G$81,MATCH($Q31,Offerte!$L$2:$L$81,0)),"NO"))</f>
        <v/>
      </c>
    </row>
    <row r="32">
      <c r="A32" s="48">
        <f>IF(Offerte!$A2="","",Offerte!$A2)</f>
        <v/>
      </c>
      <c r="B32" s="48">
        <f>IF(Offerte!$A2="","",Offerte!$B2)</f>
        <v/>
      </c>
      <c r="C32" s="48">
        <f>IF(Offerte!$A2="","",Offerte!$C2)</f>
        <v/>
      </c>
      <c r="D32" s="48" t="inlineStr">
        <is>
          <t>G.2.1</t>
        </is>
      </c>
      <c r="E32" s="48" t="inlineStr">
        <is>
          <t>G</t>
        </is>
      </c>
      <c r="F32" s="48" t="inlineStr">
        <is>
          <t>T</t>
        </is>
      </c>
      <c r="G32" s="48" t="inlineStr">
        <is>
          <t>tabular</t>
        </is>
      </c>
      <c r="H32" s="48" t="n">
        <v>1</v>
      </c>
      <c r="I32" s="48" t="inlineStr">
        <is>
          <t>Certificazione ISO 45001</t>
        </is>
      </c>
      <c r="J32" s="73" t="n"/>
      <c r="K32" s="73" t="n"/>
      <c r="L32" s="73" t="n"/>
      <c r="M32" s="73" t="n"/>
      <c r="N32" s="57">
        <f>IF($A32="","",IF(IFERROR(VALUE($M32),0)=1,1,0))</f>
        <v/>
      </c>
      <c r="O32" s="57">
        <f>IF($A32="",0,IF(OR($S32&lt;&gt;1,COUNTA($J32:$M32)=0),0,IF($N32=1,$H32,0)))</f>
        <v/>
      </c>
      <c r="P32" s="48" t="inlineStr">
        <is>
          <t>sì/no</t>
        </is>
      </c>
      <c r="Q32" s="57">
        <f>IF($A32="","",$A32&amp;"|"&amp;$C32)</f>
        <v/>
      </c>
      <c r="R32" s="57">
        <f>IF($A32="","",$A32&amp;"|"&amp;$C32&amp;"|"&amp;$D32)</f>
        <v/>
      </c>
      <c r="S32" s="57">
        <f>IF($A32="","",IFERROR(INDEX(Offerte!$D$2:$D$81,MATCH($Q32,Offerte!$L$2:$L$81,0)),0))</f>
        <v/>
      </c>
      <c r="T32" s="57">
        <f>IF($A32="","",IFERROR(INDEX(Offerte!$G$2:$G$81,MATCH($Q32,Offerte!$L$2:$L$81,0)),"NO"))</f>
        <v/>
      </c>
    </row>
    <row r="33">
      <c r="A33" s="48">
        <f>IF(Offerte!$A2="","",Offerte!$A2)</f>
        <v/>
      </c>
      <c r="B33" s="48">
        <f>IF(Offerte!$A2="","",Offerte!$B2)</f>
        <v/>
      </c>
      <c r="C33" s="48">
        <f>IF(Offerte!$A2="","",Offerte!$C2)</f>
        <v/>
      </c>
      <c r="D33" s="48" t="inlineStr">
        <is>
          <t>G.3.1</t>
        </is>
      </c>
      <c r="E33" s="48" t="inlineStr">
        <is>
          <t>G</t>
        </is>
      </c>
      <c r="F33" s="48" t="inlineStr">
        <is>
          <t>T</t>
        </is>
      </c>
      <c r="G33" s="48" t="inlineStr">
        <is>
          <t>tabular</t>
        </is>
      </c>
      <c r="H33" s="48" t="n">
        <v>1</v>
      </c>
      <c r="I33" s="48" t="inlineStr">
        <is>
          <t>Certificazioni di responsabilità sociale</t>
        </is>
      </c>
      <c r="J33" s="73" t="n"/>
      <c r="K33" s="73" t="n"/>
      <c r="L33" s="73" t="n"/>
      <c r="M33" s="73" t="n"/>
      <c r="N33" s="57">
        <f>IF($A33="","",IF(IFERROR(VALUE($M33),0)=1,1,0))</f>
        <v/>
      </c>
      <c r="O33" s="57">
        <f>IF($A33="",0,IF(OR($S33&lt;&gt;1,COUNTA($J33:$M33)=0),0,IF($N33=1,$H33,0)))</f>
        <v/>
      </c>
      <c r="P33" s="48" t="inlineStr">
        <is>
          <t>sì/no</t>
        </is>
      </c>
      <c r="Q33" s="57">
        <f>IF($A33="","",$A33&amp;"|"&amp;$C33)</f>
        <v/>
      </c>
      <c r="R33" s="57">
        <f>IF($A33="","",$A33&amp;"|"&amp;$C33&amp;"|"&amp;$D33)</f>
        <v/>
      </c>
      <c r="S33" s="57">
        <f>IF($A33="","",IFERROR(INDEX(Offerte!$D$2:$D$81,MATCH($Q33,Offerte!$L$2:$L$81,0)),0))</f>
        <v/>
      </c>
      <c r="T33" s="57">
        <f>IF($A33="","",IFERROR(INDEX(Offerte!$G$2:$G$81,MATCH($Q33,Offerte!$L$2:$L$81,0)),"NO"))</f>
        <v/>
      </c>
    </row>
    <row r="34">
      <c r="A34" s="48">
        <f>IF(Offerte!$A2="","",Offerte!$A2)</f>
        <v/>
      </c>
      <c r="B34" s="48">
        <f>IF(Offerte!$A2="","",Offerte!$B2)</f>
        <v/>
      </c>
      <c r="C34" s="48">
        <f>IF(Offerte!$A2="","",Offerte!$C2)</f>
        <v/>
      </c>
      <c r="D34" s="48" t="inlineStr">
        <is>
          <t>G.4.1</t>
        </is>
      </c>
      <c r="E34" s="48" t="inlineStr">
        <is>
          <t>G</t>
        </is>
      </c>
      <c r="F34" s="48" t="inlineStr">
        <is>
          <t>D</t>
        </is>
      </c>
      <c r="G34" s="48" t="inlineStr">
        <is>
          <t>discretionary</t>
        </is>
      </c>
      <c r="H34" s="48" t="n">
        <v>2</v>
      </c>
      <c r="I34" s="48" t="inlineStr">
        <is>
          <t>Qualità del piano di formazione del personale</t>
        </is>
      </c>
      <c r="J34" s="73" t="n"/>
      <c r="K34" s="73" t="n"/>
      <c r="L34" s="73" t="n"/>
      <c r="M34" s="73" t="n"/>
      <c r="N34" s="57">
        <f>IF($A34="","",MAX(0,MIN(1,IFERROR(VALUE($M34),0))))</f>
        <v/>
      </c>
      <c r="O34" s="57">
        <f>IF($A34="",0,IF(OR($S34&lt;&gt;1,COUNTA($J34:$M34)=0),0,IF(SUMPRODUCT(MAX(($C$5:$C$2484=$C34)*($D$5:$D$2484=$D34)*($S$5:$S$2484=1)*IFERROR($N$5:$N$2484*1,0)))&gt;0,ROUND($H34*($N34/SUMPRODUCT(MAX(($C$5:$C$2484=$C34)*($D$5:$D$2484=$D34)*($S$5:$S$2484=1)*IFERROR($N$5:$N$2484*1,0)))),4),0)))</f>
        <v/>
      </c>
      <c r="P34" s="48" t="inlineStr">
        <is>
          <t>coeff.</t>
        </is>
      </c>
      <c r="Q34" s="57">
        <f>IF($A34="","",$A34&amp;"|"&amp;$C34)</f>
        <v/>
      </c>
      <c r="R34" s="57">
        <f>IF($A34="","",$A34&amp;"|"&amp;$C34&amp;"|"&amp;$D34)</f>
        <v/>
      </c>
      <c r="S34" s="57">
        <f>IF($A34="","",IFERROR(INDEX(Offerte!$D$2:$D$81,MATCH($Q34,Offerte!$L$2:$L$81,0)),0))</f>
        <v/>
      </c>
      <c r="T34" s="57">
        <f>IF($A34="","",IFERROR(INDEX(Offerte!$G$2:$G$81,MATCH($Q34,Offerte!$L$2:$L$81,0)),"NO"))</f>
        <v/>
      </c>
    </row>
    <row r="35">
      <c r="A35" s="48">
        <f>IF(Offerte!$A2="","",Offerte!$A2)</f>
        <v/>
      </c>
      <c r="B35" s="48">
        <f>IF(Offerte!$A2="","",Offerte!$B2)</f>
        <v/>
      </c>
      <c r="C35" s="48">
        <f>IF(Offerte!$A2="","",Offerte!$C2)</f>
        <v/>
      </c>
      <c r="D35" s="48" t="inlineStr">
        <is>
          <t>G.5.1</t>
        </is>
      </c>
      <c r="E35" s="48" t="inlineStr">
        <is>
          <t>G</t>
        </is>
      </c>
      <c r="F35" s="48" t="inlineStr">
        <is>
          <t>T</t>
        </is>
      </c>
      <c r="G35" s="48" t="inlineStr">
        <is>
          <t>tabular</t>
        </is>
      </c>
      <c r="H35" s="48" t="n">
        <v>1</v>
      </c>
      <c r="I35" s="48" t="inlineStr">
        <is>
          <t>Impegno al mantenimento delle garanzie del contratto di secondo livello del gestore uscente</t>
        </is>
      </c>
      <c r="J35" s="73" t="n"/>
      <c r="K35" s="73" t="n"/>
      <c r="L35" s="73" t="n"/>
      <c r="M35" s="73" t="n"/>
      <c r="N35" s="57">
        <f>IF($A35="","",IF(IFERROR(VALUE($M35),0)=1,1,0))</f>
        <v/>
      </c>
      <c r="O35" s="57">
        <f>IF($A35="",0,IF(OR($S35&lt;&gt;1,COUNTA($J35:$M35)=0),0,IF($N35=1,$H35,0)))</f>
        <v/>
      </c>
      <c r="P35" s="48" t="inlineStr">
        <is>
          <t>sì/no</t>
        </is>
      </c>
      <c r="Q35" s="57">
        <f>IF($A35="","",$A35&amp;"|"&amp;$C35)</f>
        <v/>
      </c>
      <c r="R35" s="57">
        <f>IF($A35="","",$A35&amp;"|"&amp;$C35&amp;"|"&amp;$D35)</f>
        <v/>
      </c>
      <c r="S35" s="57">
        <f>IF($A35="","",IFERROR(INDEX(Offerte!$D$2:$D$81,MATCH($Q35,Offerte!$L$2:$L$81,0)),0))</f>
        <v/>
      </c>
      <c r="T35" s="57">
        <f>IF($A35="","",IFERROR(INDEX(Offerte!$G$2:$G$81,MATCH($Q35,Offerte!$L$2:$L$81,0)),"NO"))</f>
        <v/>
      </c>
    </row>
    <row r="36">
      <c r="A36" s="48">
        <f>IF(Offerte!$A3="","",Offerte!$A3)</f>
        <v/>
      </c>
      <c r="B36" s="48">
        <f>IF(Offerte!$A3="","",Offerte!$B3)</f>
        <v/>
      </c>
      <c r="C36" s="48">
        <f>IF(Offerte!$A3="","",Offerte!$C3)</f>
        <v/>
      </c>
      <c r="D36" s="48" t="inlineStr">
        <is>
          <t>A.1.1</t>
        </is>
      </c>
      <c r="E36" s="48" t="inlineStr">
        <is>
          <t>A</t>
        </is>
      </c>
      <c r="F36" s="48" t="inlineStr">
        <is>
          <t>Q</t>
        </is>
      </c>
      <c r="G36" s="48" t="inlineStr">
        <is>
          <t>higher</t>
        </is>
      </c>
      <c r="H36" s="48" t="n">
        <v>3</v>
      </c>
      <c r="I36" s="48" t="inlineStr">
        <is>
          <t>Tasso aggiuntivo di corse controllate</t>
        </is>
      </c>
      <c r="J36" s="73" t="n"/>
      <c r="K36" s="73" t="n"/>
      <c r="L36" s="73" t="n"/>
      <c r="M36" s="73" t="n"/>
      <c r="N36" s="57">
        <f>IF($A36="","",IFERROR(VALUE($K36)/VALUE($L36)*100,IFERROR(VALUE($J36),0)))</f>
        <v/>
      </c>
      <c r="O36" s="57">
        <f>IF($A36="",0,IF(OR($S36&lt;&gt;1,COUNTA($J36:$M36)=0),0,IF(SUMPRODUCT(MAX(($C$5:$C$2484=$C36)*($D$5:$D$2484=$D36)*($S$5:$S$2484=1)*IFERROR($N$5:$N$2484*1,0)))&gt;0,ROUND($H36*($N36/SUMPRODUCT(MAX(($C$5:$C$2484=$C36)*($D$5:$D$2484=$D36)*($S$5:$S$2484=1)*IFERROR($N$5:$N$2484*1,0)))),4),0)))</f>
        <v/>
      </c>
      <c r="P36" s="48" t="inlineStr">
        <is>
          <t>Corse controllate annue / Corse programmate annue</t>
        </is>
      </c>
      <c r="Q36" s="57">
        <f>IF($A36="","",$A36&amp;"|"&amp;$C36)</f>
        <v/>
      </c>
      <c r="R36" s="57">
        <f>IF($A36="","",$A36&amp;"|"&amp;$C36&amp;"|"&amp;$D36)</f>
        <v/>
      </c>
      <c r="S36" s="57">
        <f>IF($A36="","",IFERROR(INDEX(Offerte!$D$2:$D$81,MATCH($Q36,Offerte!$L$2:$L$81,0)),0))</f>
        <v/>
      </c>
      <c r="T36" s="57">
        <f>IF($A36="","",IFERROR(INDEX(Offerte!$G$2:$G$81,MATCH($Q36,Offerte!$L$2:$L$81,0)),"NO"))</f>
        <v/>
      </c>
    </row>
    <row r="37">
      <c r="A37" s="48">
        <f>IF(Offerte!$A3="","",Offerte!$A3)</f>
        <v/>
      </c>
      <c r="B37" s="48">
        <f>IF(Offerte!$A3="","",Offerte!$B3)</f>
        <v/>
      </c>
      <c r="C37" s="48">
        <f>IF(Offerte!$A3="","",Offerte!$C3)</f>
        <v/>
      </c>
      <c r="D37" s="48" t="inlineStr">
        <is>
          <t>A.1.2</t>
        </is>
      </c>
      <c r="E37" s="48" t="inlineStr">
        <is>
          <t>A</t>
        </is>
      </c>
      <c r="F37" s="48" t="inlineStr">
        <is>
          <t>Q</t>
        </is>
      </c>
      <c r="G37" s="48" t="inlineStr">
        <is>
          <t>higher</t>
        </is>
      </c>
      <c r="H37" s="48" t="n">
        <v>4</v>
      </c>
      <c r="I37" s="48" t="inlineStr">
        <is>
          <t>Numero aggiuntivo di passeggeri controllati</t>
        </is>
      </c>
      <c r="J37" s="73" t="n"/>
      <c r="K37" s="73" t="n"/>
      <c r="L37" s="73" t="n"/>
      <c r="M37" s="73" t="n"/>
      <c r="N37" s="57">
        <f>IF($A37="","",IFERROR(VALUE($J37),0))</f>
        <v/>
      </c>
      <c r="O37" s="57">
        <f>IF($A37="",0,IF(OR($S37&lt;&gt;1,COUNTA($J37:$M37)=0),0,IF(SUMPRODUCT(MAX(($C$5:$C$2484=$C37)*($D$5:$D$2484=$D37)*($S$5:$S$2484=1)*IFERROR($N$5:$N$2484*1,0)))&gt;0,ROUND($H37*($N37/SUMPRODUCT(MAX(($C$5:$C$2484=$C37)*($D$5:$D$2484=$D37)*($S$5:$S$2484=1)*IFERROR($N$5:$N$2484*1,0)))),4),0)))</f>
        <v/>
      </c>
      <c r="P37" s="48" t="inlineStr">
        <is>
          <t>passeggeri/anno</t>
        </is>
      </c>
      <c r="Q37" s="57">
        <f>IF($A37="","",$A37&amp;"|"&amp;$C37)</f>
        <v/>
      </c>
      <c r="R37" s="57">
        <f>IF($A37="","",$A37&amp;"|"&amp;$C37&amp;"|"&amp;$D37)</f>
        <v/>
      </c>
      <c r="S37" s="57">
        <f>IF($A37="","",IFERROR(INDEX(Offerte!$D$2:$D$81,MATCH($Q37,Offerte!$L$2:$L$81,0)),0))</f>
        <v/>
      </c>
      <c r="T37" s="57">
        <f>IF($A37="","",IFERROR(INDEX(Offerte!$G$2:$G$81,MATCH($Q37,Offerte!$L$2:$L$81,0)),"NO"))</f>
        <v/>
      </c>
    </row>
    <row r="38">
      <c r="A38" s="48">
        <f>IF(Offerte!$A3="","",Offerte!$A3)</f>
        <v/>
      </c>
      <c r="B38" s="48">
        <f>IF(Offerte!$A3="","",Offerte!$B3)</f>
        <v/>
      </c>
      <c r="C38" s="48">
        <f>IF(Offerte!$A3="","",Offerte!$C3)</f>
        <v/>
      </c>
      <c r="D38" s="48" t="inlineStr">
        <is>
          <t>B.1.1</t>
        </is>
      </c>
      <c r="E38" s="48" t="inlineStr">
        <is>
          <t>B</t>
        </is>
      </c>
      <c r="F38" s="48" t="inlineStr">
        <is>
          <t>Q</t>
        </is>
      </c>
      <c r="G38" s="48" t="inlineStr">
        <is>
          <t>higher</t>
        </is>
      </c>
      <c r="H38" s="48" t="n">
        <v>3</v>
      </c>
      <c r="I38" s="48" t="inlineStr">
        <is>
          <t>Incremento dei posti offerti nelle fasce di punta</t>
        </is>
      </c>
      <c r="J38" s="73" t="n"/>
      <c r="K38" s="73" t="n"/>
      <c r="L38" s="73" t="n"/>
      <c r="M38" s="73" t="n"/>
      <c r="N38" s="57">
        <f>IF($A38="","",IFERROR(VALUE($J38),0))</f>
        <v/>
      </c>
      <c r="O38" s="57">
        <f>IF($A38="",0,IF(OR($S38&lt;&gt;1,COUNTA($J38:$M38)=0),0,IF(SUMPRODUCT(MAX(($C$5:$C$2484=$C38)*($D$5:$D$2484=$D38)*($S$5:$S$2484=1)*IFERROR($N$5:$N$2484*1,0)))&gt;0,ROUND($H38*($N38/SUMPRODUCT(MAX(($C$5:$C$2484=$C38)*($D$5:$D$2484=$D38)*($S$5:$S$2484=1)*IFERROR($N$5:$N$2484*1,0)))),4),0)))</f>
        <v/>
      </c>
      <c r="P38" s="48" t="inlineStr">
        <is>
          <t>posti*km</t>
        </is>
      </c>
      <c r="Q38" s="57">
        <f>IF($A38="","",$A38&amp;"|"&amp;$C38)</f>
        <v/>
      </c>
      <c r="R38" s="57">
        <f>IF($A38="","",$A38&amp;"|"&amp;$C38&amp;"|"&amp;$D38)</f>
        <v/>
      </c>
      <c r="S38" s="57">
        <f>IF($A38="","",IFERROR(INDEX(Offerte!$D$2:$D$81,MATCH($Q38,Offerte!$L$2:$L$81,0)),0))</f>
        <v/>
      </c>
      <c r="T38" s="57">
        <f>IF($A38="","",IFERROR(INDEX(Offerte!$G$2:$G$81,MATCH($Q38,Offerte!$L$2:$L$81,0)),"NO"))</f>
        <v/>
      </c>
    </row>
    <row r="39">
      <c r="A39" s="48">
        <f>IF(Offerte!$A3="","",Offerte!$A3)</f>
        <v/>
      </c>
      <c r="B39" s="48">
        <f>IF(Offerte!$A3="","",Offerte!$B3)</f>
        <v/>
      </c>
      <c r="C39" s="48">
        <f>IF(Offerte!$A3="","",Offerte!$C3)</f>
        <v/>
      </c>
      <c r="D39" s="48" t="inlineStr">
        <is>
          <t>B.2.1</t>
        </is>
      </c>
      <c r="E39" s="48" t="inlineStr">
        <is>
          <t>B</t>
        </is>
      </c>
      <c r="F39" s="48" t="inlineStr">
        <is>
          <t>Q</t>
        </is>
      </c>
      <c r="G39" s="48" t="inlineStr">
        <is>
          <t>higher</t>
        </is>
      </c>
      <c r="H39" s="48" t="n">
        <v>4</v>
      </c>
      <c r="I39" s="48" t="inlineStr">
        <is>
          <t>Corse aggiuntive nell'arco giornaliero base</t>
        </is>
      </c>
      <c r="J39" s="73" t="n"/>
      <c r="K39" s="73" t="n"/>
      <c r="L39" s="73" t="n"/>
      <c r="M39" s="73" t="n"/>
      <c r="N39" s="57">
        <f>IF($A39="","",IFERROR(VALUE($J39),0))</f>
        <v/>
      </c>
      <c r="O39" s="57">
        <f>IF($A39="",0,IF(OR($S39&lt;&gt;1,COUNTA($J39:$M39)=0),0,IF(SUMPRODUCT(MAX(($C$5:$C$2484=$C39)*($D$5:$D$2484=$D39)*($S$5:$S$2484=1)*IFERROR($N$5:$N$2484*1,0)))&gt;0,ROUND($H39*($N39/SUMPRODUCT(MAX(($C$5:$C$2484=$C39)*($D$5:$D$2484=$D39)*($S$5:$S$2484=1)*IFERROR($N$5:$N$2484*1,0)))),4),0)))</f>
        <v/>
      </c>
      <c r="P39" s="48" t="inlineStr">
        <is>
          <t>corse</t>
        </is>
      </c>
      <c r="Q39" s="57">
        <f>IF($A39="","",$A39&amp;"|"&amp;$C39)</f>
        <v/>
      </c>
      <c r="R39" s="57">
        <f>IF($A39="","",$A39&amp;"|"&amp;$C39&amp;"|"&amp;$D39)</f>
        <v/>
      </c>
      <c r="S39" s="57">
        <f>IF($A39="","",IFERROR(INDEX(Offerte!$D$2:$D$81,MATCH($Q39,Offerte!$L$2:$L$81,0)),0))</f>
        <v/>
      </c>
      <c r="T39" s="57">
        <f>IF($A39="","",IFERROR(INDEX(Offerte!$G$2:$G$81,MATCH($Q39,Offerte!$L$2:$L$81,0)),"NO"))</f>
        <v/>
      </c>
    </row>
    <row r="40">
      <c r="A40" s="48">
        <f>IF(Offerte!$A3="","",Offerte!$A3)</f>
        <v/>
      </c>
      <c r="B40" s="48">
        <f>IF(Offerte!$A3="","",Offerte!$B3)</f>
        <v/>
      </c>
      <c r="C40" s="48">
        <f>IF(Offerte!$A3="","",Offerte!$C3)</f>
        <v/>
      </c>
      <c r="D40" s="48" t="inlineStr">
        <is>
          <t>B.3.1</t>
        </is>
      </c>
      <c r="E40" s="48" t="inlineStr">
        <is>
          <t>B</t>
        </is>
      </c>
      <c r="F40" s="48" t="inlineStr">
        <is>
          <t>Q</t>
        </is>
      </c>
      <c r="G40" s="48" t="inlineStr">
        <is>
          <t>higher</t>
        </is>
      </c>
      <c r="H40" s="48" t="n">
        <v>2</v>
      </c>
      <c r="I40" s="48" t="inlineStr">
        <is>
          <t>Numero di corse aggiuntive per allungamento dell'arco di servizio giornaliero nelle fasce serali</t>
        </is>
      </c>
      <c r="J40" s="73" t="n"/>
      <c r="K40" s="73" t="n"/>
      <c r="L40" s="73" t="n"/>
      <c r="M40" s="73" t="n"/>
      <c r="N40" s="57">
        <f>IF($A40="","",IFERROR(VALUE($J40),0))</f>
        <v/>
      </c>
      <c r="O40" s="57">
        <f>IF($A40="",0,IF(OR($S40&lt;&gt;1,COUNTA($J40:$M40)=0),0,IF(SUMPRODUCT(MAX(($C$5:$C$2484=$C40)*($D$5:$D$2484=$D40)*($S$5:$S$2484=1)*IFERROR($N$5:$N$2484*1,0)))&gt;0,ROUND($H40*($N40/SUMPRODUCT(MAX(($C$5:$C$2484=$C40)*($D$5:$D$2484=$D40)*($S$5:$S$2484=1)*IFERROR($N$5:$N$2484*1,0)))),4),0)))</f>
        <v/>
      </c>
      <c r="P40" s="48" t="inlineStr">
        <is>
          <t>corse</t>
        </is>
      </c>
      <c r="Q40" s="57">
        <f>IF($A40="","",$A40&amp;"|"&amp;$C40)</f>
        <v/>
      </c>
      <c r="R40" s="57">
        <f>IF($A40="","",$A40&amp;"|"&amp;$C40&amp;"|"&amp;$D40)</f>
        <v/>
      </c>
      <c r="S40" s="57">
        <f>IF($A40="","",IFERROR(INDEX(Offerte!$D$2:$D$81,MATCH($Q40,Offerte!$L$2:$L$81,0)),0))</f>
        <v/>
      </c>
      <c r="T40" s="57">
        <f>IF($A40="","",IFERROR(INDEX(Offerte!$G$2:$G$81,MATCH($Q40,Offerte!$L$2:$L$81,0)),"NO"))</f>
        <v/>
      </c>
    </row>
    <row r="41">
      <c r="A41" s="48">
        <f>IF(Offerte!$A3="","",Offerte!$A3)</f>
        <v/>
      </c>
      <c r="B41" s="48">
        <f>IF(Offerte!$A3="","",Offerte!$B3)</f>
        <v/>
      </c>
      <c r="C41" s="48">
        <f>IF(Offerte!$A3="","",Offerte!$C3)</f>
        <v/>
      </c>
      <c r="D41" s="48" t="inlineStr">
        <is>
          <t>B.4.1</t>
        </is>
      </c>
      <c r="E41" s="48" t="inlineStr">
        <is>
          <t>B</t>
        </is>
      </c>
      <c r="F41" s="48" t="inlineStr">
        <is>
          <t>Q</t>
        </is>
      </c>
      <c r="G41" s="48" t="inlineStr">
        <is>
          <t>higher</t>
        </is>
      </c>
      <c r="H41" s="48" t="n">
        <v>3</v>
      </c>
      <c r="I41" s="48" t="inlineStr">
        <is>
          <t>Percorrenze aggiuntive offerte nel Programma d'esercizio delle prime due fasi attuative</t>
        </is>
      </c>
      <c r="J41" s="73" t="n"/>
      <c r="K41" s="73" t="n"/>
      <c r="L41" s="73" t="n"/>
      <c r="M41" s="73" t="n"/>
      <c r="N41" s="57">
        <f>IF($A41="","",IFERROR(VALUE($J41),0))</f>
        <v/>
      </c>
      <c r="O41" s="57">
        <f>IF($A41="",0,IF(OR($S41&lt;&gt;1,COUNTA($J41:$M41)=0),0,IF(SUMPRODUCT(MAX(($C$5:$C$2484=$C41)*($D$5:$D$2484=$D41)*($S$5:$S$2484=1)*IFERROR($N$5:$N$2484*1,0)))&gt;0,ROUND($H41*($N41/SUMPRODUCT(MAX(($C$5:$C$2484=$C41)*($D$5:$D$2484=$D41)*($S$5:$S$2484=1)*IFERROR($N$5:$N$2484*1,0)))),4),0)))</f>
        <v/>
      </c>
      <c r="P41" s="48" t="inlineStr">
        <is>
          <t>vett*km</t>
        </is>
      </c>
      <c r="Q41" s="57">
        <f>IF($A41="","",$A41&amp;"|"&amp;$C41)</f>
        <v/>
      </c>
      <c r="R41" s="57">
        <f>IF($A41="","",$A41&amp;"|"&amp;$C41&amp;"|"&amp;$D41)</f>
        <v/>
      </c>
      <c r="S41" s="57">
        <f>IF($A41="","",IFERROR(INDEX(Offerte!$D$2:$D$81,MATCH($Q41,Offerte!$L$2:$L$81,0)),0))</f>
        <v/>
      </c>
      <c r="T41" s="57">
        <f>IF($A41="","",IFERROR(INDEX(Offerte!$G$2:$G$81,MATCH($Q41,Offerte!$L$2:$L$81,0)),"NO"))</f>
        <v/>
      </c>
    </row>
    <row r="42">
      <c r="A42" s="48">
        <f>IF(Offerte!$A3="","",Offerte!$A3)</f>
        <v/>
      </c>
      <c r="B42" s="48">
        <f>IF(Offerte!$A3="","",Offerte!$B3)</f>
        <v/>
      </c>
      <c r="C42" s="48">
        <f>IF(Offerte!$A3="","",Offerte!$C3)</f>
        <v/>
      </c>
      <c r="D42" s="48" t="inlineStr">
        <is>
          <t>B.5.1</t>
        </is>
      </c>
      <c r="E42" s="48" t="inlineStr">
        <is>
          <t>B</t>
        </is>
      </c>
      <c r="F42" s="48" t="inlineStr">
        <is>
          <t>D</t>
        </is>
      </c>
      <c r="G42" s="48" t="inlineStr">
        <is>
          <t>discretionary</t>
        </is>
      </c>
      <c r="H42" s="48" t="n">
        <v>2</v>
      </c>
      <c r="I42" s="48" t="inlineStr">
        <is>
          <t>Efficacia del progetto di servizi complementari DRT</t>
        </is>
      </c>
      <c r="J42" s="73" t="n"/>
      <c r="K42" s="73" t="n"/>
      <c r="L42" s="73" t="n"/>
      <c r="M42" s="73" t="n"/>
      <c r="N42" s="57">
        <f>IF($A42="","",MAX(0,MIN(1,IFERROR(VALUE($M42),0))))</f>
        <v/>
      </c>
      <c r="O42" s="57">
        <f>IF($A42="",0,IF(OR($S42&lt;&gt;1,COUNTA($J42:$M42)=0),0,IF(SUMPRODUCT(MAX(($C$5:$C$2484=$C42)*($D$5:$D$2484=$D42)*($S$5:$S$2484=1)*IFERROR($N$5:$N$2484*1,0)))&gt;0,ROUND($H42*($N42/SUMPRODUCT(MAX(($C$5:$C$2484=$C42)*($D$5:$D$2484=$D42)*($S$5:$S$2484=1)*IFERROR($N$5:$N$2484*1,0)))),4),0)))</f>
        <v/>
      </c>
      <c r="P42" s="48" t="inlineStr">
        <is>
          <t>coeff.</t>
        </is>
      </c>
      <c r="Q42" s="57">
        <f>IF($A42="","",$A42&amp;"|"&amp;$C42)</f>
        <v/>
      </c>
      <c r="R42" s="57">
        <f>IF($A42="","",$A42&amp;"|"&amp;$C42&amp;"|"&amp;$D42)</f>
        <v/>
      </c>
      <c r="S42" s="57">
        <f>IF($A42="","",IFERROR(INDEX(Offerte!$D$2:$D$81,MATCH($Q42,Offerte!$L$2:$L$81,0)),0))</f>
        <v/>
      </c>
      <c r="T42" s="57">
        <f>IF($A42="","",IFERROR(INDEX(Offerte!$G$2:$G$81,MATCH($Q42,Offerte!$L$2:$L$81,0)),"NO"))</f>
        <v/>
      </c>
    </row>
    <row r="43">
      <c r="A43" s="48">
        <f>IF(Offerte!$A3="","",Offerte!$A3)</f>
        <v/>
      </c>
      <c r="B43" s="48">
        <f>IF(Offerte!$A3="","",Offerte!$B3)</f>
        <v/>
      </c>
      <c r="C43" s="48">
        <f>IF(Offerte!$A3="","",Offerte!$C3)</f>
        <v/>
      </c>
      <c r="D43" s="48" t="inlineStr">
        <is>
          <t>C.1.1</t>
        </is>
      </c>
      <c r="E43" s="48" t="inlineStr">
        <is>
          <t>C</t>
        </is>
      </c>
      <c r="F43" s="48" t="inlineStr">
        <is>
          <t>Q</t>
        </is>
      </c>
      <c r="G43" s="48" t="inlineStr">
        <is>
          <t>higher</t>
        </is>
      </c>
      <c r="H43" s="48" t="n">
        <v>2</v>
      </c>
      <c r="I43" s="48" t="inlineStr">
        <is>
          <t>Tasso di copertura del servizio con telecamere BSD</t>
        </is>
      </c>
      <c r="J43" s="73" t="n"/>
      <c r="K43" s="73" t="n"/>
      <c r="L43" s="73" t="n"/>
      <c r="M43" s="73" t="n"/>
      <c r="N43" s="57">
        <f>IF($A43="","",IFERROR(VALUE($K43)/VALUE($L43),IFERROR(VALUE($J43),0)))</f>
        <v/>
      </c>
      <c r="O43" s="57">
        <f>IF($A43="",0,IF(OR($S43&lt;&gt;1,COUNTA($J43:$M43)=0),0,IF(SUMPRODUCT(MAX(($C$5:$C$2484=$C43)*($D$5:$D$2484=$D43)*($S$5:$S$2484=1)*IFERROR($N$5:$N$2484*1,0)))&gt;0,ROUND($H43*($N43/SUMPRODUCT(MAX(($C$5:$C$2484=$C43)*($D$5:$D$2484=$D43)*($S$5:$S$2484=1)*IFERROR($N$5:$N$2484*1,0)))),4),0)))</f>
        <v/>
      </c>
      <c r="P43" s="48" t="inlineStr">
        <is>
          <t>Autobus attrezzati con telecamere BSD / Autobus totali in offerta, incluse scorte</t>
        </is>
      </c>
      <c r="Q43" s="57">
        <f>IF($A43="","",$A43&amp;"|"&amp;$C43)</f>
        <v/>
      </c>
      <c r="R43" s="57">
        <f>IF($A43="","",$A43&amp;"|"&amp;$C43&amp;"|"&amp;$D43)</f>
        <v/>
      </c>
      <c r="S43" s="57">
        <f>IF($A43="","",IFERROR(INDEX(Offerte!$D$2:$D$81,MATCH($Q43,Offerte!$L$2:$L$81,0)),0))</f>
        <v/>
      </c>
      <c r="T43" s="57">
        <f>IF($A43="","",IFERROR(INDEX(Offerte!$G$2:$G$81,MATCH($Q43,Offerte!$L$2:$L$81,0)),"NO"))</f>
        <v/>
      </c>
    </row>
    <row r="44">
      <c r="A44" s="48">
        <f>IF(Offerte!$A3="","",Offerte!$A3)</f>
        <v/>
      </c>
      <c r="B44" s="48">
        <f>IF(Offerte!$A3="","",Offerte!$B3)</f>
        <v/>
      </c>
      <c r="C44" s="48">
        <f>IF(Offerte!$A3="","",Offerte!$C3)</f>
        <v/>
      </c>
      <c r="D44" s="48" t="inlineStr">
        <is>
          <t>C.1.2</t>
        </is>
      </c>
      <c r="E44" s="48" t="inlineStr">
        <is>
          <t>C</t>
        </is>
      </c>
      <c r="F44" s="48" t="inlineStr">
        <is>
          <t>Q</t>
        </is>
      </c>
      <c r="G44" s="48" t="inlineStr">
        <is>
          <t>higher</t>
        </is>
      </c>
      <c r="H44" s="48" t="n">
        <v>2</v>
      </c>
      <c r="I44" s="48" t="inlineStr">
        <is>
          <t>Tasso di copertura del servizio con telecamere ADAS</t>
        </is>
      </c>
      <c r="J44" s="73" t="n"/>
      <c r="K44" s="73" t="n"/>
      <c r="L44" s="73" t="n"/>
      <c r="M44" s="73" t="n"/>
      <c r="N44" s="57">
        <f>IF($A44="","",IFERROR(VALUE($K44)/VALUE($L44),IFERROR(VALUE($J44),0)))</f>
        <v/>
      </c>
      <c r="O44" s="57">
        <f>IF($A44="",0,IF(OR($S44&lt;&gt;1,COUNTA($J44:$M44)=0),0,IF(SUMPRODUCT(MAX(($C$5:$C$2484=$C44)*($D$5:$D$2484=$D44)*($S$5:$S$2484=1)*IFERROR($N$5:$N$2484*1,0)))&gt;0,ROUND($H44*($N44/SUMPRODUCT(MAX(($C$5:$C$2484=$C44)*($D$5:$D$2484=$D44)*($S$5:$S$2484=1)*IFERROR($N$5:$N$2484*1,0)))),4),0)))</f>
        <v/>
      </c>
      <c r="P44" s="48" t="inlineStr">
        <is>
          <t>Autobus attrezzati con telecamere ADAS / Autobus totali in offerta, incluse scorte</t>
        </is>
      </c>
      <c r="Q44" s="57">
        <f>IF($A44="","",$A44&amp;"|"&amp;$C44)</f>
        <v/>
      </c>
      <c r="R44" s="57">
        <f>IF($A44="","",$A44&amp;"|"&amp;$C44&amp;"|"&amp;$D44)</f>
        <v/>
      </c>
      <c r="S44" s="57">
        <f>IF($A44="","",IFERROR(INDEX(Offerte!$D$2:$D$81,MATCH($Q44,Offerte!$L$2:$L$81,0)),0))</f>
        <v/>
      </c>
      <c r="T44" s="57">
        <f>IF($A44="","",IFERROR(INDEX(Offerte!$G$2:$G$81,MATCH($Q44,Offerte!$L$2:$L$81,0)),"NO"))</f>
        <v/>
      </c>
    </row>
    <row r="45">
      <c r="A45" s="48">
        <f>IF(Offerte!$A3="","",Offerte!$A3)</f>
        <v/>
      </c>
      <c r="B45" s="48">
        <f>IF(Offerte!$A3="","",Offerte!$B3)</f>
        <v/>
      </c>
      <c r="C45" s="48">
        <f>IF(Offerte!$A3="","",Offerte!$C3)</f>
        <v/>
      </c>
      <c r="D45" s="48" t="inlineStr">
        <is>
          <t>C.2.1</t>
        </is>
      </c>
      <c r="E45" s="48" t="inlineStr">
        <is>
          <t>C</t>
        </is>
      </c>
      <c r="F45" s="48" t="inlineStr">
        <is>
          <t>Q</t>
        </is>
      </c>
      <c r="G45" s="48" t="inlineStr">
        <is>
          <t>higher</t>
        </is>
      </c>
      <c r="H45" s="48" t="n">
        <v>3</v>
      </c>
      <c r="I45" s="48" t="inlineStr">
        <is>
          <t>Tasso di copertura del servizio con telecamere di bordo di videosorveglianza</t>
        </is>
      </c>
      <c r="J45" s="73" t="n"/>
      <c r="K45" s="73" t="n"/>
      <c r="L45" s="73" t="n"/>
      <c r="M45" s="73" t="n"/>
      <c r="N45" s="57">
        <f>IF($A45="","",IFERROR(VALUE($K45)/VALUE($L45),IFERROR(VALUE($J45),0)))</f>
        <v/>
      </c>
      <c r="O45" s="57">
        <f>IF($A45="",0,IF(OR($S45&lt;&gt;1,COUNTA($J45:$M45)=0),0,IF(SUMPRODUCT(MAX(($C$5:$C$2484=$C45)*($D$5:$D$2484=$D45)*($S$5:$S$2484=1)*IFERROR($N$5:$N$2484*1,0)))&gt;0,ROUND($H45*($N45/SUMPRODUCT(MAX(($C$5:$C$2484=$C45)*($D$5:$D$2484=$D45)*($S$5:$S$2484=1)*IFERROR($N$5:$N$2484*1,0)))),4),0)))</f>
        <v/>
      </c>
      <c r="P45" s="48" t="inlineStr">
        <is>
          <t>Autobus attrezzati con videosorveglianza / Autobus totali in offerta, incluse scorte</t>
        </is>
      </c>
      <c r="Q45" s="57">
        <f>IF($A45="","",$A45&amp;"|"&amp;$C45)</f>
        <v/>
      </c>
      <c r="R45" s="57">
        <f>IF($A45="","",$A45&amp;"|"&amp;$C45&amp;"|"&amp;$D45)</f>
        <v/>
      </c>
      <c r="S45" s="57">
        <f>IF($A45="","",IFERROR(INDEX(Offerte!$D$2:$D$81,MATCH($Q45,Offerte!$L$2:$L$81,0)),0))</f>
        <v/>
      </c>
      <c r="T45" s="57">
        <f>IF($A45="","",IFERROR(INDEX(Offerte!$G$2:$G$81,MATCH($Q45,Offerte!$L$2:$L$81,0)),"NO"))</f>
        <v/>
      </c>
    </row>
    <row r="46">
      <c r="A46" s="48">
        <f>IF(Offerte!$A3="","",Offerte!$A3)</f>
        <v/>
      </c>
      <c r="B46" s="48">
        <f>IF(Offerte!$A3="","",Offerte!$B3)</f>
        <v/>
      </c>
      <c r="C46" s="48">
        <f>IF(Offerte!$A3="","",Offerte!$C3)</f>
        <v/>
      </c>
      <c r="D46" s="48" t="inlineStr">
        <is>
          <t>C.2.2</t>
        </is>
      </c>
      <c r="E46" s="48" t="inlineStr">
        <is>
          <t>C</t>
        </is>
      </c>
      <c r="F46" s="48" t="inlineStr">
        <is>
          <t>T</t>
        </is>
      </c>
      <c r="G46" s="48" t="inlineStr">
        <is>
          <t>tabular</t>
        </is>
      </c>
      <c r="H46" s="48" t="n">
        <v>1</v>
      </c>
      <c r="I46" s="48" t="inlineStr">
        <is>
          <t>Software video/audio analisi per situazioni di pericolo</t>
        </is>
      </c>
      <c r="J46" s="73" t="n"/>
      <c r="K46" s="73" t="n"/>
      <c r="L46" s="73" t="n"/>
      <c r="M46" s="73" t="n"/>
      <c r="N46" s="57">
        <f>IF($A46="","",IF(IFERROR(VALUE($M46),0)=1,1,0))</f>
        <v/>
      </c>
      <c r="O46" s="57">
        <f>IF($A46="",0,IF(OR($S46&lt;&gt;1,COUNTA($J46:$M46)=0),0,IF($N46=1,$H46,0)))</f>
        <v/>
      </c>
      <c r="P46" s="48" t="inlineStr">
        <is>
          <t>sì/no</t>
        </is>
      </c>
      <c r="Q46" s="57">
        <f>IF($A46="","",$A46&amp;"|"&amp;$C46)</f>
        <v/>
      </c>
      <c r="R46" s="57">
        <f>IF($A46="","",$A46&amp;"|"&amp;$C46&amp;"|"&amp;$D46)</f>
        <v/>
      </c>
      <c r="S46" s="57">
        <f>IF($A46="","",IFERROR(INDEX(Offerte!$D$2:$D$81,MATCH($Q46,Offerte!$L$2:$L$81,0)),0))</f>
        <v/>
      </c>
      <c r="T46" s="57">
        <f>IF($A46="","",IFERROR(INDEX(Offerte!$G$2:$G$81,MATCH($Q46,Offerte!$L$2:$L$81,0)),"NO"))</f>
        <v/>
      </c>
    </row>
    <row r="47">
      <c r="A47" s="48">
        <f>IF(Offerte!$A3="","",Offerte!$A3)</f>
        <v/>
      </c>
      <c r="B47" s="48">
        <f>IF(Offerte!$A3="","",Offerte!$B3)</f>
        <v/>
      </c>
      <c r="C47" s="48">
        <f>IF(Offerte!$A3="","",Offerte!$C3)</f>
        <v/>
      </c>
      <c r="D47" s="48" t="inlineStr">
        <is>
          <t>C.2.3</t>
        </is>
      </c>
      <c r="E47" s="48" t="inlineStr">
        <is>
          <t>C</t>
        </is>
      </c>
      <c r="F47" s="48" t="inlineStr">
        <is>
          <t>T</t>
        </is>
      </c>
      <c r="G47" s="48" t="inlineStr">
        <is>
          <t>tabular</t>
        </is>
      </c>
      <c r="H47" s="48" t="n">
        <v>1</v>
      </c>
      <c r="I47" s="48" t="inlineStr">
        <is>
          <t>Collegamento con centrale qualificata di pronto intervento</t>
        </is>
      </c>
      <c r="J47" s="73" t="n"/>
      <c r="K47" s="73" t="n"/>
      <c r="L47" s="73" t="n"/>
      <c r="M47" s="73" t="n"/>
      <c r="N47" s="57">
        <f>IF($A47="","",IF(IFERROR(VALUE($M47),0)=1,1,0))</f>
        <v/>
      </c>
      <c r="O47" s="57">
        <f>IF($A47="",0,IF(OR($S47&lt;&gt;1,COUNTA($J47:$M47)=0),0,IF($N47=1,$H47,0)))</f>
        <v/>
      </c>
      <c r="P47" s="48" t="inlineStr">
        <is>
          <t>sì/no</t>
        </is>
      </c>
      <c r="Q47" s="57">
        <f>IF($A47="","",$A47&amp;"|"&amp;$C47)</f>
        <v/>
      </c>
      <c r="R47" s="57">
        <f>IF($A47="","",$A47&amp;"|"&amp;$C47&amp;"|"&amp;$D47)</f>
        <v/>
      </c>
      <c r="S47" s="57">
        <f>IF($A47="","",IFERROR(INDEX(Offerte!$D$2:$D$81,MATCH($Q47,Offerte!$L$2:$L$81,0)),0))</f>
        <v/>
      </c>
      <c r="T47" s="57">
        <f>IF($A47="","",IFERROR(INDEX(Offerte!$G$2:$G$81,MATCH($Q47,Offerte!$L$2:$L$81,0)),"NO"))</f>
        <v/>
      </c>
    </row>
    <row r="48">
      <c r="A48" s="48">
        <f>IF(Offerte!$A3="","",Offerte!$A3)</f>
        <v/>
      </c>
      <c r="B48" s="48">
        <f>IF(Offerte!$A3="","",Offerte!$B3)</f>
        <v/>
      </c>
      <c r="C48" s="48">
        <f>IF(Offerte!$A3="","",Offerte!$C3)</f>
        <v/>
      </c>
      <c r="D48" s="48" t="inlineStr">
        <is>
          <t>C.2.4</t>
        </is>
      </c>
      <c r="E48" s="48" t="inlineStr">
        <is>
          <t>C</t>
        </is>
      </c>
      <c r="F48" s="48" t="inlineStr">
        <is>
          <t>Q</t>
        </is>
      </c>
      <c r="G48" s="48" t="inlineStr">
        <is>
          <t>higher</t>
        </is>
      </c>
      <c r="H48" s="48" t="n">
        <v>1</v>
      </c>
      <c r="I48" s="48" t="inlineStr">
        <is>
          <t>Tasso di copertura del servizio con dispositivi per la chiamata di emergenza del conducente</t>
        </is>
      </c>
      <c r="J48" s="73" t="n"/>
      <c r="K48" s="73" t="n"/>
      <c r="L48" s="73" t="n"/>
      <c r="M48" s="73" t="n"/>
      <c r="N48" s="57">
        <f>IF($A48="","",IFERROR(VALUE($K48)/VALUE($L48),IFERROR(VALUE($J48),0)))</f>
        <v/>
      </c>
      <c r="O48" s="57">
        <f>IF($A48="",0,IF(OR($S48&lt;&gt;1,COUNTA($J48:$M48)=0),0,IF(SUMPRODUCT(MAX(($C$5:$C$2484=$C48)*($D$5:$D$2484=$D48)*($S$5:$S$2484=1)*IFERROR($N$5:$N$2484*1,0)))&gt;0,ROUND($H48*($N48/SUMPRODUCT(MAX(($C$5:$C$2484=$C48)*($D$5:$D$2484=$D48)*($S$5:$S$2484=1)*IFERROR($N$5:$N$2484*1,0)))),4),0)))</f>
        <v/>
      </c>
      <c r="P48" s="48" t="inlineStr">
        <is>
          <t>Autobus attrezzati con chiamata di emergenza / Autobus totali in offerta, incluse scorte</t>
        </is>
      </c>
      <c r="Q48" s="57">
        <f>IF($A48="","",$A48&amp;"|"&amp;$C48)</f>
        <v/>
      </c>
      <c r="R48" s="57">
        <f>IF($A48="","",$A48&amp;"|"&amp;$C48&amp;"|"&amp;$D48)</f>
        <v/>
      </c>
      <c r="S48" s="57">
        <f>IF($A48="","",IFERROR(INDEX(Offerte!$D$2:$D$81,MATCH($Q48,Offerte!$L$2:$L$81,0)),0))</f>
        <v/>
      </c>
      <c r="T48" s="57">
        <f>IF($A48="","",IFERROR(INDEX(Offerte!$G$2:$G$81,MATCH($Q48,Offerte!$L$2:$L$81,0)),"NO"))</f>
        <v/>
      </c>
    </row>
    <row r="49">
      <c r="A49" s="48">
        <f>IF(Offerte!$A3="","",Offerte!$A3)</f>
        <v/>
      </c>
      <c r="B49" s="48">
        <f>IF(Offerte!$A3="","",Offerte!$B3)</f>
        <v/>
      </c>
      <c r="C49" s="48">
        <f>IF(Offerte!$A3="","",Offerte!$C3)</f>
        <v/>
      </c>
      <c r="D49" s="48" t="inlineStr">
        <is>
          <t>C.3.1</t>
        </is>
      </c>
      <c r="E49" s="48" t="inlineStr">
        <is>
          <t>C</t>
        </is>
      </c>
      <c r="F49" s="48" t="inlineStr">
        <is>
          <t>Q</t>
        </is>
      </c>
      <c r="G49" s="48" t="inlineStr">
        <is>
          <t>higher</t>
        </is>
      </c>
      <c r="H49" s="48" t="n">
        <v>2</v>
      </c>
      <c r="I49" s="48" t="inlineStr">
        <is>
          <t>Tasso di copertura del servizio con dispositivi di informazione dinamica a bordo mezzo</t>
        </is>
      </c>
      <c r="J49" s="73" t="n"/>
      <c r="K49" s="73" t="n"/>
      <c r="L49" s="73" t="n"/>
      <c r="M49" s="73" t="n"/>
      <c r="N49" s="57">
        <f>IF($A49="","",IFERROR(VALUE($K49)/VALUE($L49),IFERROR(VALUE($J49),0)))</f>
        <v/>
      </c>
      <c r="O49" s="57">
        <f>IF($A49="",0,IF(OR($S49&lt;&gt;1,COUNTA($J49:$M49)=0),0,IF(SUMPRODUCT(MAX(($C$5:$C$2484=$C49)*($D$5:$D$2484=$D49)*($S$5:$S$2484=1)*IFERROR($N$5:$N$2484*1,0)))&gt;0,ROUND($H49*($N49/SUMPRODUCT(MAX(($C$5:$C$2484=$C49)*($D$5:$D$2484=$D49)*($S$5:$S$2484=1)*IFERROR($N$5:$N$2484*1,0)))),4),0)))</f>
        <v/>
      </c>
      <c r="P49" s="48" t="inlineStr">
        <is>
          <t>Autobus con monitor e indicatori vocali / Autobus totali in offerta, incluse scorte</t>
        </is>
      </c>
      <c r="Q49" s="57">
        <f>IF($A49="","",$A49&amp;"|"&amp;$C49)</f>
        <v/>
      </c>
      <c r="R49" s="57">
        <f>IF($A49="","",$A49&amp;"|"&amp;$C49&amp;"|"&amp;$D49)</f>
        <v/>
      </c>
      <c r="S49" s="57">
        <f>IF($A49="","",IFERROR(INDEX(Offerte!$D$2:$D$81,MATCH($Q49,Offerte!$L$2:$L$81,0)),0))</f>
        <v/>
      </c>
      <c r="T49" s="57">
        <f>IF($A49="","",IFERROR(INDEX(Offerte!$G$2:$G$81,MATCH($Q49,Offerte!$L$2:$L$81,0)),"NO"))</f>
        <v/>
      </c>
    </row>
    <row r="50">
      <c r="A50" s="48">
        <f>IF(Offerte!$A3="","",Offerte!$A3)</f>
        <v/>
      </c>
      <c r="B50" s="48">
        <f>IF(Offerte!$A3="","",Offerte!$B3)</f>
        <v/>
      </c>
      <c r="C50" s="48">
        <f>IF(Offerte!$A3="","",Offerte!$C3)</f>
        <v/>
      </c>
      <c r="D50" s="48" t="inlineStr">
        <is>
          <t>C.3.2</t>
        </is>
      </c>
      <c r="E50" s="48" t="inlineStr">
        <is>
          <t>C</t>
        </is>
      </c>
      <c r="F50" s="48" t="inlineStr">
        <is>
          <t>T</t>
        </is>
      </c>
      <c r="G50" s="48" t="inlineStr">
        <is>
          <t>tabular</t>
        </is>
      </c>
      <c r="H50" s="48" t="n">
        <v>2</v>
      </c>
      <c r="I50" s="48" t="inlineStr">
        <is>
          <t>Informazioni a bordo su coincidenze ai nodi</t>
        </is>
      </c>
      <c r="J50" s="73" t="n"/>
      <c r="K50" s="73" t="n"/>
      <c r="L50" s="73" t="n"/>
      <c r="M50" s="73" t="n"/>
      <c r="N50" s="57">
        <f>IF($A50="","",IF(IFERROR(VALUE($M50),0)=1,1,0))</f>
        <v/>
      </c>
      <c r="O50" s="57">
        <f>IF($A50="",0,IF(OR($S50&lt;&gt;1,COUNTA($J50:$M50)=0),0,IF(AND($N50=1,IFERROR(SUMIFS($N$5:$N$2484,$Q$5:$Q$2484,$Q50,$D$5:$D$2484,"C.3.1"),0)&gt;=0.5),$H50,0)))</f>
        <v/>
      </c>
      <c r="P50" s="48" t="inlineStr">
        <is>
          <t>Dipende da C.3.1 &gt;= 0.5</t>
        </is>
      </c>
      <c r="Q50" s="57">
        <f>IF($A50="","",$A50&amp;"|"&amp;$C50)</f>
        <v/>
      </c>
      <c r="R50" s="57">
        <f>IF($A50="","",$A50&amp;"|"&amp;$C50&amp;"|"&amp;$D50)</f>
        <v/>
      </c>
      <c r="S50" s="57">
        <f>IF($A50="","",IFERROR(INDEX(Offerte!$D$2:$D$81,MATCH($Q50,Offerte!$L$2:$L$81,0)),0))</f>
        <v/>
      </c>
      <c r="T50" s="57">
        <f>IF($A50="","",IFERROR(INDEX(Offerte!$G$2:$G$81,MATCH($Q50,Offerte!$L$2:$L$81,0)),"NO"))</f>
        <v/>
      </c>
    </row>
    <row r="51">
      <c r="A51" s="48">
        <f>IF(Offerte!$A3="","",Offerte!$A3)</f>
        <v/>
      </c>
      <c r="B51" s="48">
        <f>IF(Offerte!$A3="","",Offerte!$B3)</f>
        <v/>
      </c>
      <c r="C51" s="48">
        <f>IF(Offerte!$A3="","",Offerte!$C3)</f>
        <v/>
      </c>
      <c r="D51" s="48" t="inlineStr">
        <is>
          <t>D.1.1</t>
        </is>
      </c>
      <c r="E51" s="48" t="inlineStr">
        <is>
          <t>D</t>
        </is>
      </c>
      <c r="F51" s="48" t="inlineStr">
        <is>
          <t>Q</t>
        </is>
      </c>
      <c r="G51" s="48" t="inlineStr">
        <is>
          <t>higher</t>
        </is>
      </c>
      <c r="H51" s="48" t="n">
        <v>3</v>
      </c>
      <c r="I51" s="48" t="inlineStr">
        <is>
          <t>Installazione di pensiline</t>
        </is>
      </c>
      <c r="J51" s="73" t="n"/>
      <c r="K51" s="73" t="n"/>
      <c r="L51" s="73" t="n"/>
      <c r="M51" s="73" t="n"/>
      <c r="N51" s="57">
        <f>IF($A51="","",IFERROR(VALUE($J51),0))</f>
        <v/>
      </c>
      <c r="O51" s="57">
        <f>IF($A51="",0,IF(OR($S51&lt;&gt;1,COUNTA($J51:$M51)=0),0,IF(SUMPRODUCT(MAX(($C$5:$C$2484=$C51)*($D$5:$D$2484=$D51)*($S$5:$S$2484=1)*IFERROR($N$5:$N$2484*1,0)))&gt;0,ROUND($H51*($N51/SUMPRODUCT(MAX(($C$5:$C$2484=$C51)*($D$5:$D$2484=$D51)*($S$5:$S$2484=1)*IFERROR($N$5:$N$2484*1,0)))),4),0)))</f>
        <v/>
      </c>
      <c r="P51" s="48" t="inlineStr">
        <is>
          <t>fermate</t>
        </is>
      </c>
      <c r="Q51" s="57">
        <f>IF($A51="","",$A51&amp;"|"&amp;$C51)</f>
        <v/>
      </c>
      <c r="R51" s="57">
        <f>IF($A51="","",$A51&amp;"|"&amp;$C51&amp;"|"&amp;$D51)</f>
        <v/>
      </c>
      <c r="S51" s="57">
        <f>IF($A51="","",IFERROR(INDEX(Offerte!$D$2:$D$81,MATCH($Q51,Offerte!$L$2:$L$81,0)),0))</f>
        <v/>
      </c>
      <c r="T51" s="57">
        <f>IF($A51="","",IFERROR(INDEX(Offerte!$G$2:$G$81,MATCH($Q51,Offerte!$L$2:$L$81,0)),"NO"))</f>
        <v/>
      </c>
    </row>
    <row r="52">
      <c r="A52" s="48">
        <f>IF(Offerte!$A3="","",Offerte!$A3)</f>
        <v/>
      </c>
      <c r="B52" s="48">
        <f>IF(Offerte!$A3="","",Offerte!$B3)</f>
        <v/>
      </c>
      <c r="C52" s="48">
        <f>IF(Offerte!$A3="","",Offerte!$C3)</f>
        <v/>
      </c>
      <c r="D52" s="48" t="inlineStr">
        <is>
          <t>D.1.2</t>
        </is>
      </c>
      <c r="E52" s="48" t="inlineStr">
        <is>
          <t>D</t>
        </is>
      </c>
      <c r="F52" s="48" t="inlineStr">
        <is>
          <t>Q</t>
        </is>
      </c>
      <c r="G52" s="48" t="inlineStr">
        <is>
          <t>higher</t>
        </is>
      </c>
      <c r="H52" s="48" t="n">
        <v>3</v>
      </c>
      <c r="I52" s="48" t="inlineStr">
        <is>
          <t>Installazione di paline di fermata conformi alla DGR 581/2023</t>
        </is>
      </c>
      <c r="J52" s="73" t="n"/>
      <c r="K52" s="73" t="n"/>
      <c r="L52" s="73" t="n"/>
      <c r="M52" s="73" t="n"/>
      <c r="N52" s="57">
        <f>IF($A52="","",IFERROR(VALUE($J52),0))</f>
        <v/>
      </c>
      <c r="O52" s="57">
        <f>IF($A52="",0,IF(OR($S52&lt;&gt;1,COUNTA($J52:$M52)=0),0,IF(SUMPRODUCT(MAX(($C$5:$C$2484=$C52)*($D$5:$D$2484=$D52)*($S$5:$S$2484=1)*IFERROR($N$5:$N$2484*1,0)))&gt;0,ROUND($H52*($N52/SUMPRODUCT(MAX(($C$5:$C$2484=$C52)*($D$5:$D$2484=$D52)*($S$5:$S$2484=1)*IFERROR($N$5:$N$2484*1,0)))),4),0)))</f>
        <v/>
      </c>
      <c r="P52" s="48" t="inlineStr">
        <is>
          <t>fermate</t>
        </is>
      </c>
      <c r="Q52" s="57">
        <f>IF($A52="","",$A52&amp;"|"&amp;$C52)</f>
        <v/>
      </c>
      <c r="R52" s="57">
        <f>IF($A52="","",$A52&amp;"|"&amp;$C52&amp;"|"&amp;$D52)</f>
        <v/>
      </c>
      <c r="S52" s="57">
        <f>IF($A52="","",IFERROR(INDEX(Offerte!$D$2:$D$81,MATCH($Q52,Offerte!$L$2:$L$81,0)),0))</f>
        <v/>
      </c>
      <c r="T52" s="57">
        <f>IF($A52="","",IFERROR(INDEX(Offerte!$G$2:$G$81,MATCH($Q52,Offerte!$L$2:$L$81,0)),"NO"))</f>
        <v/>
      </c>
    </row>
    <row r="53">
      <c r="A53" s="48">
        <f>IF(Offerte!$A3="","",Offerte!$A3)</f>
        <v/>
      </c>
      <c r="B53" s="48">
        <f>IF(Offerte!$A3="","",Offerte!$B3)</f>
        <v/>
      </c>
      <c r="C53" s="48">
        <f>IF(Offerte!$A3="","",Offerte!$C3)</f>
        <v/>
      </c>
      <c r="D53" s="48" t="inlineStr">
        <is>
          <t>D.1.3</t>
        </is>
      </c>
      <c r="E53" s="48" t="inlineStr">
        <is>
          <t>D</t>
        </is>
      </c>
      <c r="F53" s="48" t="inlineStr">
        <is>
          <t>Q</t>
        </is>
      </c>
      <c r="G53" s="48" t="inlineStr">
        <is>
          <t>higher</t>
        </is>
      </c>
      <c r="H53" s="48" t="n">
        <v>2</v>
      </c>
      <c r="I53" s="48" t="inlineStr">
        <is>
          <t>Display informativi connessi alle fermate</t>
        </is>
      </c>
      <c r="J53" s="73" t="n"/>
      <c r="K53" s="73" t="n"/>
      <c r="L53" s="73" t="n"/>
      <c r="M53" s="73" t="n"/>
      <c r="N53" s="57">
        <f>IF($A53="","",IFERROR(VALUE($J53),0))</f>
        <v/>
      </c>
      <c r="O53" s="57">
        <f>IF($A53="",0,IF(OR($S53&lt;&gt;1,COUNTA($J53:$M53)=0),0,IF(SUMPRODUCT(MAX(($C$5:$C$2484=$C53)*($D$5:$D$2484=$D53)*($S$5:$S$2484=1)*IFERROR($N$5:$N$2484*1,0)))&gt;0,ROUND($H53*($N53/SUMPRODUCT(MAX(($C$5:$C$2484=$C53)*($D$5:$D$2484=$D53)*($S$5:$S$2484=1)*IFERROR($N$5:$N$2484*1,0)))),4),0)))</f>
        <v/>
      </c>
      <c r="P53" s="48" t="inlineStr">
        <is>
          <t>fermate</t>
        </is>
      </c>
      <c r="Q53" s="57">
        <f>IF($A53="","",$A53&amp;"|"&amp;$C53)</f>
        <v/>
      </c>
      <c r="R53" s="57">
        <f>IF($A53="","",$A53&amp;"|"&amp;$C53&amp;"|"&amp;$D53)</f>
        <v/>
      </c>
      <c r="S53" s="57">
        <f>IF($A53="","",IFERROR(INDEX(Offerte!$D$2:$D$81,MATCH($Q53,Offerte!$L$2:$L$81,0)),0))</f>
        <v/>
      </c>
      <c r="T53" s="57">
        <f>IF($A53="","",IFERROR(INDEX(Offerte!$G$2:$G$81,MATCH($Q53,Offerte!$L$2:$L$81,0)),"NO"))</f>
        <v/>
      </c>
    </row>
    <row r="54">
      <c r="A54" s="48">
        <f>IF(Offerte!$A3="","",Offerte!$A3)</f>
        <v/>
      </c>
      <c r="B54" s="48">
        <f>IF(Offerte!$A3="","",Offerte!$B3)</f>
        <v/>
      </c>
      <c r="C54" s="48">
        <f>IF(Offerte!$A3="","",Offerte!$C3)</f>
        <v/>
      </c>
      <c r="D54" s="48" t="inlineStr">
        <is>
          <t>D.2.1</t>
        </is>
      </c>
      <c r="E54" s="48" t="inlineStr">
        <is>
          <t>D</t>
        </is>
      </c>
      <c r="F54" s="48" t="inlineStr">
        <is>
          <t>Q</t>
        </is>
      </c>
      <c r="G54" s="48" t="inlineStr">
        <is>
          <t>higher</t>
        </is>
      </c>
      <c r="H54" s="48" t="n">
        <v>2</v>
      </c>
      <c r="I54" s="48" t="inlineStr">
        <is>
          <t>Segnali tattili Loges-Vet-Evolution</t>
        </is>
      </c>
      <c r="J54" s="73" t="n"/>
      <c r="K54" s="73" t="n"/>
      <c r="L54" s="73" t="n"/>
      <c r="M54" s="73" t="n"/>
      <c r="N54" s="57">
        <f>IF($A54="","",IFERROR(VALUE($J54),0))</f>
        <v/>
      </c>
      <c r="O54" s="57">
        <f>IF($A54="",0,IF(OR($S54&lt;&gt;1,COUNTA($J54:$M54)=0),0,IF(SUMPRODUCT(MAX(($C$5:$C$2484=$C54)*($D$5:$D$2484=$D54)*($S$5:$S$2484=1)*IFERROR($N$5:$N$2484*1,0)))&gt;0,ROUND($H54*($N54/SUMPRODUCT(MAX(($C$5:$C$2484=$C54)*($D$5:$D$2484=$D54)*($S$5:$S$2484=1)*IFERROR($N$5:$N$2484*1,0)))),4),0)))</f>
        <v/>
      </c>
      <c r="P54" s="48" t="inlineStr">
        <is>
          <t>fermate</t>
        </is>
      </c>
      <c r="Q54" s="57">
        <f>IF($A54="","",$A54&amp;"|"&amp;$C54)</f>
        <v/>
      </c>
      <c r="R54" s="57">
        <f>IF($A54="","",$A54&amp;"|"&amp;$C54&amp;"|"&amp;$D54)</f>
        <v/>
      </c>
      <c r="S54" s="57">
        <f>IF($A54="","",IFERROR(INDEX(Offerte!$D$2:$D$81,MATCH($Q54,Offerte!$L$2:$L$81,0)),0))</f>
        <v/>
      </c>
      <c r="T54" s="57">
        <f>IF($A54="","",IFERROR(INDEX(Offerte!$G$2:$G$81,MATCH($Q54,Offerte!$L$2:$L$81,0)),"NO"))</f>
        <v/>
      </c>
    </row>
    <row r="55">
      <c r="A55" s="48">
        <f>IF(Offerte!$A3="","",Offerte!$A3)</f>
        <v/>
      </c>
      <c r="B55" s="48">
        <f>IF(Offerte!$A3="","",Offerte!$B3)</f>
        <v/>
      </c>
      <c r="C55" s="48">
        <f>IF(Offerte!$A3="","",Offerte!$C3)</f>
        <v/>
      </c>
      <c r="D55" s="48" t="inlineStr">
        <is>
          <t>E.1.1</t>
        </is>
      </c>
      <c r="E55" s="48" t="inlineStr">
        <is>
          <t>E</t>
        </is>
      </c>
      <c r="F55" s="48" t="inlineStr">
        <is>
          <t>T</t>
        </is>
      </c>
      <c r="G55" s="48" t="inlineStr">
        <is>
          <t>tabular</t>
        </is>
      </c>
      <c r="H55" s="48" t="n">
        <v>2</v>
      </c>
      <c r="I55" s="48" t="inlineStr">
        <is>
          <t>Mobile app con travel planner PRM</t>
        </is>
      </c>
      <c r="J55" s="73" t="n"/>
      <c r="K55" s="73" t="n"/>
      <c r="L55" s="73" t="n"/>
      <c r="M55" s="73" t="n"/>
      <c r="N55" s="57">
        <f>IF($A55="","",IF(IFERROR(VALUE($M55),0)=1,1,0))</f>
        <v/>
      </c>
      <c r="O55" s="57">
        <f>IF($A55="",0,IF(OR($S55&lt;&gt;1,COUNTA($J55:$M55)=0),0,IF($N55=1,$H55,0)))</f>
        <v/>
      </c>
      <c r="P55" s="48" t="inlineStr">
        <is>
          <t>sì/no</t>
        </is>
      </c>
      <c r="Q55" s="57">
        <f>IF($A55="","",$A55&amp;"|"&amp;$C55)</f>
        <v/>
      </c>
      <c r="R55" s="57">
        <f>IF($A55="","",$A55&amp;"|"&amp;$C55&amp;"|"&amp;$D55)</f>
        <v/>
      </c>
      <c r="S55" s="57">
        <f>IF($A55="","",IFERROR(INDEX(Offerte!$D$2:$D$81,MATCH($Q55,Offerte!$L$2:$L$81,0)),0))</f>
        <v/>
      </c>
      <c r="T55" s="57">
        <f>IF($A55="","",IFERROR(INDEX(Offerte!$G$2:$G$81,MATCH($Q55,Offerte!$L$2:$L$81,0)),"NO"))</f>
        <v/>
      </c>
    </row>
    <row r="56">
      <c r="A56" s="48">
        <f>IF(Offerte!$A3="","",Offerte!$A3)</f>
        <v/>
      </c>
      <c r="B56" s="48">
        <f>IF(Offerte!$A3="","",Offerte!$B3)</f>
        <v/>
      </c>
      <c r="C56" s="48">
        <f>IF(Offerte!$A3="","",Offerte!$C3)</f>
        <v/>
      </c>
      <c r="D56" s="48" t="inlineStr">
        <is>
          <t>E.2.1</t>
        </is>
      </c>
      <c r="E56" s="48" t="inlineStr">
        <is>
          <t>E</t>
        </is>
      </c>
      <c r="F56" s="48" t="inlineStr">
        <is>
          <t>D</t>
        </is>
      </c>
      <c r="G56" s="48" t="inlineStr">
        <is>
          <t>discretionary</t>
        </is>
      </c>
      <c r="H56" s="48" t="n">
        <v>2</v>
      </c>
      <c r="I56" s="48" t="inlineStr">
        <is>
          <t>Altre azioni informative e rapporti con gli utenti</t>
        </is>
      </c>
      <c r="J56" s="73" t="n"/>
      <c r="K56" s="73" t="n"/>
      <c r="L56" s="73" t="n"/>
      <c r="M56" s="73" t="n"/>
      <c r="N56" s="57">
        <f>IF($A56="","",MAX(0,MIN(1,IFERROR(VALUE($M56),0))))</f>
        <v/>
      </c>
      <c r="O56" s="57">
        <f>IF($A56="",0,IF(OR($S56&lt;&gt;1,COUNTA($J56:$M56)=0),0,IF(SUMPRODUCT(MAX(($C$5:$C$2484=$C56)*($D$5:$D$2484=$D56)*($S$5:$S$2484=1)*IFERROR($N$5:$N$2484*1,0)))&gt;0,ROUND($H56*($N56/SUMPRODUCT(MAX(($C$5:$C$2484=$C56)*($D$5:$D$2484=$D56)*($S$5:$S$2484=1)*IFERROR($N$5:$N$2484*1,0)))),4),0)))</f>
        <v/>
      </c>
      <c r="P56" s="48" t="inlineStr">
        <is>
          <t>coeff.</t>
        </is>
      </c>
      <c r="Q56" s="57">
        <f>IF($A56="","",$A56&amp;"|"&amp;$C56)</f>
        <v/>
      </c>
      <c r="R56" s="57">
        <f>IF($A56="","",$A56&amp;"|"&amp;$C56&amp;"|"&amp;$D56)</f>
        <v/>
      </c>
      <c r="S56" s="57">
        <f>IF($A56="","",IFERROR(INDEX(Offerte!$D$2:$D$81,MATCH($Q56,Offerte!$L$2:$L$81,0)),0))</f>
        <v/>
      </c>
      <c r="T56" s="57">
        <f>IF($A56="","",IFERROR(INDEX(Offerte!$G$2:$G$81,MATCH($Q56,Offerte!$L$2:$L$81,0)),"NO"))</f>
        <v/>
      </c>
    </row>
    <row r="57">
      <c r="A57" s="48">
        <f>IF(Offerte!$A3="","",Offerte!$A3)</f>
        <v/>
      </c>
      <c r="B57" s="48">
        <f>IF(Offerte!$A3="","",Offerte!$B3)</f>
        <v/>
      </c>
      <c r="C57" s="48">
        <f>IF(Offerte!$A3="","",Offerte!$C3)</f>
        <v/>
      </c>
      <c r="D57" s="48" t="inlineStr">
        <is>
          <t>F.1.1</t>
        </is>
      </c>
      <c r="E57" s="48" t="inlineStr">
        <is>
          <t>F</t>
        </is>
      </c>
      <c r="F57" s="48" t="inlineStr">
        <is>
          <t>Q</t>
        </is>
      </c>
      <c r="G57" s="48" t="inlineStr">
        <is>
          <t>lower</t>
        </is>
      </c>
      <c r="H57" s="48" t="n">
        <v>7</v>
      </c>
      <c r="I57" s="48" t="inlineStr">
        <is>
          <t>Performance ambientali del parco mezzi adibito al servizio - I_CEA</t>
        </is>
      </c>
      <c r="J57" s="73" t="n"/>
      <c r="K57" s="73" t="n"/>
      <c r="L57" s="73" t="n"/>
      <c r="M57" s="73" t="n"/>
      <c r="N57" s="57">
        <f>IF($A57="","",IFERROR(VALUE($J57),0))</f>
        <v/>
      </c>
      <c r="O57" s="57">
        <f>IF($A57="",0,IF(OR($S57&lt;&gt;1,COUNTA($J57:$M57)=0),0,IF(AND(IFERROR(AGGREGATE(15,6,$N$5:$N$2484/(($C$5:$C$2484=$C57)*($D$5:$D$2484=$D57)*($S$5:$S$2484=1)*($N$5:$N$2484&gt;0)),1),0)&gt;0,$N57&gt;0),ROUND($H57*(IFERROR(AGGREGATE(15,6,$N$5:$N$2484/(($C$5:$C$2484=$C57)*($D$5:$D$2484=$D57)*($S$5:$S$2484=1)*($N$5:$N$2484&gt;0)),1),0)/$N57),4),0)))</f>
        <v/>
      </c>
      <c r="P57" s="48" t="inlineStr">
        <is>
          <t>indice</t>
        </is>
      </c>
      <c r="Q57" s="57">
        <f>IF($A57="","",$A57&amp;"|"&amp;$C57)</f>
        <v/>
      </c>
      <c r="R57" s="57">
        <f>IF($A57="","",$A57&amp;"|"&amp;$C57&amp;"|"&amp;$D57)</f>
        <v/>
      </c>
      <c r="S57" s="57">
        <f>IF($A57="","",IFERROR(INDEX(Offerte!$D$2:$D$81,MATCH($Q57,Offerte!$L$2:$L$81,0)),0))</f>
        <v/>
      </c>
      <c r="T57" s="57">
        <f>IF($A57="","",IFERROR(INDEX(Offerte!$G$2:$G$81,MATCH($Q57,Offerte!$L$2:$L$81,0)),"NO"))</f>
        <v/>
      </c>
    </row>
    <row r="58">
      <c r="A58" s="48">
        <f>IF(Offerte!$A3="","",Offerte!$A3)</f>
        <v/>
      </c>
      <c r="B58" s="48">
        <f>IF(Offerte!$A3="","",Offerte!$B3)</f>
        <v/>
      </c>
      <c r="C58" s="48">
        <f>IF(Offerte!$A3="","",Offerte!$C3)</f>
        <v/>
      </c>
      <c r="D58" s="48" t="inlineStr">
        <is>
          <t>F.2.1</t>
        </is>
      </c>
      <c r="E58" s="48" t="inlineStr">
        <is>
          <t>F</t>
        </is>
      </c>
      <c r="F58" s="48" t="inlineStr">
        <is>
          <t>Q</t>
        </is>
      </c>
      <c r="G58" s="48" t="inlineStr">
        <is>
          <t>higher</t>
        </is>
      </c>
      <c r="H58" s="48" t="n">
        <v>2</v>
      </c>
      <c r="I58" s="48" t="inlineStr">
        <is>
          <t>Tasso di copertura del servizio con dispositivi ECO-DRIVER</t>
        </is>
      </c>
      <c r="J58" s="73" t="n"/>
      <c r="K58" s="73" t="n"/>
      <c r="L58" s="73" t="n"/>
      <c r="M58" s="73" t="n"/>
      <c r="N58" s="57">
        <f>IF($A58="","",IFERROR(VALUE($K58)/VALUE($L58),IFERROR(VALUE($J58),0)))</f>
        <v/>
      </c>
      <c r="O58" s="57">
        <f>IF($A58="",0,IF(OR($S58&lt;&gt;1,COUNTA($J58:$M58)=0),0,IF(SUMPRODUCT(MAX(($C$5:$C$2484=$C58)*($D$5:$D$2484=$D58)*($S$5:$S$2484=1)*IFERROR($N$5:$N$2484*1,0)))&gt;0,ROUND($H58*($N58/SUMPRODUCT(MAX(($C$5:$C$2484=$C58)*($D$5:$D$2484=$D58)*($S$5:$S$2484=1)*IFERROR($N$5:$N$2484*1,0)))),4),0)))</f>
        <v/>
      </c>
      <c r="P58" s="48" t="inlineStr">
        <is>
          <t>Autobus attrezzati con dispositivi ECO-DRIVER / Autobus totali in offerta, incluse scorte</t>
        </is>
      </c>
      <c r="Q58" s="57">
        <f>IF($A58="","",$A58&amp;"|"&amp;$C58)</f>
        <v/>
      </c>
      <c r="R58" s="57">
        <f>IF($A58="","",$A58&amp;"|"&amp;$C58&amp;"|"&amp;$D58)</f>
        <v/>
      </c>
      <c r="S58" s="57">
        <f>IF($A58="","",IFERROR(INDEX(Offerte!$D$2:$D$81,MATCH($Q58,Offerte!$L$2:$L$81,0)),0))</f>
        <v/>
      </c>
      <c r="T58" s="57">
        <f>IF($A58="","",IFERROR(INDEX(Offerte!$G$2:$G$81,MATCH($Q58,Offerte!$L$2:$L$81,0)),"NO"))</f>
        <v/>
      </c>
    </row>
    <row r="59">
      <c r="A59" s="48">
        <f>IF(Offerte!$A3="","",Offerte!$A3)</f>
        <v/>
      </c>
      <c r="B59" s="48">
        <f>IF(Offerte!$A3="","",Offerte!$B3)</f>
        <v/>
      </c>
      <c r="C59" s="48">
        <f>IF(Offerte!$A3="","",Offerte!$C3)</f>
        <v/>
      </c>
      <c r="D59" s="48" t="inlineStr">
        <is>
          <t>F.3.1</t>
        </is>
      </c>
      <c r="E59" s="48" t="inlineStr">
        <is>
          <t>F</t>
        </is>
      </c>
      <c r="F59" s="48" t="inlineStr">
        <is>
          <t>Q</t>
        </is>
      </c>
      <c r="G59" s="48" t="inlineStr">
        <is>
          <t>higher</t>
        </is>
      </c>
      <c r="H59" s="48" t="n">
        <v>2</v>
      </c>
      <c r="I59" s="48" t="inlineStr">
        <is>
          <t>Autoproduzione consumi elettrici per trazione</t>
        </is>
      </c>
      <c r="J59" s="73" t="n"/>
      <c r="K59" s="73" t="n"/>
      <c r="L59" s="73" t="n"/>
      <c r="M59" s="73" t="n"/>
      <c r="N59" s="57">
        <f>IF($A59="","",IFERROR(VALUE($J59),0))</f>
        <v/>
      </c>
      <c r="O59" s="57">
        <f>IF($A59="",0,IF(OR($S59&lt;&gt;1,COUNTA($J59:$M59)=0),0,IF(SUMPRODUCT(MAX(($C$5:$C$2484=$C59)*($D$5:$D$2484=$D59)*($S$5:$S$2484=1)*IFERROR($N$5:$N$2484*1,0)))&gt;0,ROUND($H59*($N59/SUMPRODUCT(MAX(($C$5:$C$2484=$C59)*($D$5:$D$2484=$D59)*($S$5:$S$2484=1)*IFERROR($N$5:$N$2484*1,0)))),4),0)))</f>
        <v/>
      </c>
      <c r="P59" s="48" t="inlineStr">
        <is>
          <t>kWh/anno</t>
        </is>
      </c>
      <c r="Q59" s="57">
        <f>IF($A59="","",$A59&amp;"|"&amp;$C59)</f>
        <v/>
      </c>
      <c r="R59" s="57">
        <f>IF($A59="","",$A59&amp;"|"&amp;$C59&amp;"|"&amp;$D59)</f>
        <v/>
      </c>
      <c r="S59" s="57">
        <f>IF($A59="","",IFERROR(INDEX(Offerte!$D$2:$D$81,MATCH($Q59,Offerte!$L$2:$L$81,0)),0))</f>
        <v/>
      </c>
      <c r="T59" s="57">
        <f>IF($A59="","",IFERROR(INDEX(Offerte!$G$2:$G$81,MATCH($Q59,Offerte!$L$2:$L$81,0)),"NO"))</f>
        <v/>
      </c>
    </row>
    <row r="60">
      <c r="A60" s="48">
        <f>IF(Offerte!$A3="","",Offerte!$A3)</f>
        <v/>
      </c>
      <c r="B60" s="48">
        <f>IF(Offerte!$A3="","",Offerte!$B3)</f>
        <v/>
      </c>
      <c r="C60" s="48">
        <f>IF(Offerte!$A3="","",Offerte!$C3)</f>
        <v/>
      </c>
      <c r="D60" s="48" t="inlineStr">
        <is>
          <t>F.4.1</t>
        </is>
      </c>
      <c r="E60" s="48" t="inlineStr">
        <is>
          <t>F</t>
        </is>
      </c>
      <c r="F60" s="48" t="inlineStr">
        <is>
          <t>Q</t>
        </is>
      </c>
      <c r="G60" s="48" t="inlineStr">
        <is>
          <t>soil</t>
        </is>
      </c>
      <c r="H60" s="48" t="n">
        <v>2</v>
      </c>
      <c r="I60" s="48" t="inlineStr">
        <is>
          <t>Indice di consumo di suolo</t>
        </is>
      </c>
      <c r="J60" s="73" t="n"/>
      <c r="K60" s="73" t="n"/>
      <c r="L60" s="73" t="n"/>
      <c r="M60" s="73" t="n"/>
      <c r="N60" s="57">
        <f>IF($A60="","",IFERROR(VALUE($J60),0))</f>
        <v/>
      </c>
      <c r="O60" s="57">
        <f>IF($A60="",0,IF(OR($S60&lt;&gt;1,COUNTA($J60:$M60)=0),0,IF($N60&lt;=0,$H60,IF(SUMPRODUCT(MAX(($C$5:$C$2484=$C60)*($D$5:$D$2484=$D60)*($S$5:$S$2484=1)*IFERROR($N$5:$N$2484*1,0)))&gt;0,ROUND($H60*((SUMPRODUCT(MAX(($C$5:$C$2484=$C60)*($D$5:$D$2484=$D60)*($S$5:$S$2484=1)*IFERROR($N$5:$N$2484*1,0)))-$N60)/SUMPRODUCT(MAX(($C$5:$C$2484=$C60)*($D$5:$D$2484=$D60)*($S$5:$S$2484=1)*IFERROR($N$5:$N$2484*1,0)))),4),0))))</f>
        <v/>
      </c>
      <c r="P60" s="48" t="inlineStr">
        <is>
          <t>m2</t>
        </is>
      </c>
      <c r="Q60" s="57">
        <f>IF($A60="","",$A60&amp;"|"&amp;$C60)</f>
        <v/>
      </c>
      <c r="R60" s="57">
        <f>IF($A60="","",$A60&amp;"|"&amp;$C60&amp;"|"&amp;$D60)</f>
        <v/>
      </c>
      <c r="S60" s="57">
        <f>IF($A60="","",IFERROR(INDEX(Offerte!$D$2:$D$81,MATCH($Q60,Offerte!$L$2:$L$81,0)),0))</f>
        <v/>
      </c>
      <c r="T60" s="57">
        <f>IF($A60="","",IFERROR(INDEX(Offerte!$G$2:$G$81,MATCH($Q60,Offerte!$L$2:$L$81,0)),"NO"))</f>
        <v/>
      </c>
    </row>
    <row r="61">
      <c r="A61" s="48">
        <f>IF(Offerte!$A3="","",Offerte!$A3)</f>
        <v/>
      </c>
      <c r="B61" s="48">
        <f>IF(Offerte!$A3="","",Offerte!$B3)</f>
        <v/>
      </c>
      <c r="C61" s="48">
        <f>IF(Offerte!$A3="","",Offerte!$C3)</f>
        <v/>
      </c>
      <c r="D61" s="48" t="inlineStr">
        <is>
          <t>F.5.1</t>
        </is>
      </c>
      <c r="E61" s="48" t="inlineStr">
        <is>
          <t>F</t>
        </is>
      </c>
      <c r="F61" s="48" t="inlineStr">
        <is>
          <t>T</t>
        </is>
      </c>
      <c r="G61" s="48" t="inlineStr">
        <is>
          <t>tabular</t>
        </is>
      </c>
      <c r="H61" s="48" t="n">
        <v>1</v>
      </c>
      <c r="I61" s="48" t="inlineStr">
        <is>
          <t>Rendicontazione di sostenibilità ambientale</t>
        </is>
      </c>
      <c r="J61" s="73" t="n"/>
      <c r="K61" s="73" t="n"/>
      <c r="L61" s="73" t="n"/>
      <c r="M61" s="73" t="n"/>
      <c r="N61" s="57">
        <f>IF($A61="","",IF(IFERROR(VALUE($M61),0)=1,1,0))</f>
        <v/>
      </c>
      <c r="O61" s="57">
        <f>IF($A61="",0,IF(OR($S61&lt;&gt;1,COUNTA($J61:$M61)=0),0,IF($N61=1,$H61,0)))</f>
        <v/>
      </c>
      <c r="P61" s="48" t="inlineStr">
        <is>
          <t>sì/no</t>
        </is>
      </c>
      <c r="Q61" s="57">
        <f>IF($A61="","",$A61&amp;"|"&amp;$C61)</f>
        <v/>
      </c>
      <c r="R61" s="57">
        <f>IF($A61="","",$A61&amp;"|"&amp;$C61&amp;"|"&amp;$D61)</f>
        <v/>
      </c>
      <c r="S61" s="57">
        <f>IF($A61="","",IFERROR(INDEX(Offerte!$D$2:$D$81,MATCH($Q61,Offerte!$L$2:$L$81,0)),0))</f>
        <v/>
      </c>
      <c r="T61" s="57">
        <f>IF($A61="","",IFERROR(INDEX(Offerte!$G$2:$G$81,MATCH($Q61,Offerte!$L$2:$L$81,0)),"NO"))</f>
        <v/>
      </c>
    </row>
    <row r="62">
      <c r="A62" s="48">
        <f>IF(Offerte!$A3="","",Offerte!$A3)</f>
        <v/>
      </c>
      <c r="B62" s="48">
        <f>IF(Offerte!$A3="","",Offerte!$B3)</f>
        <v/>
      </c>
      <c r="C62" s="48">
        <f>IF(Offerte!$A3="","",Offerte!$C3)</f>
        <v/>
      </c>
      <c r="D62" s="48" t="inlineStr">
        <is>
          <t>G.1.1</t>
        </is>
      </c>
      <c r="E62" s="48" t="inlineStr">
        <is>
          <t>G</t>
        </is>
      </c>
      <c r="F62" s="48" t="inlineStr">
        <is>
          <t>D</t>
        </is>
      </c>
      <c r="G62" s="48" t="inlineStr">
        <is>
          <t>discretionary</t>
        </is>
      </c>
      <c r="H62" s="48" t="n">
        <v>2</v>
      </c>
      <c r="I62" s="48" t="inlineStr">
        <is>
          <t>Qualità del progetto di centrale di controllo aziendale</t>
        </is>
      </c>
      <c r="J62" s="73" t="n"/>
      <c r="K62" s="73" t="n"/>
      <c r="L62" s="73" t="n"/>
      <c r="M62" s="73" t="n"/>
      <c r="N62" s="57">
        <f>IF($A62="","",MAX(0,MIN(1,IFERROR(VALUE($M62),0))))</f>
        <v/>
      </c>
      <c r="O62" s="57">
        <f>IF($A62="",0,IF(OR($S62&lt;&gt;1,COUNTA($J62:$M62)=0),0,IF(SUMPRODUCT(MAX(($C$5:$C$2484=$C62)*($D$5:$D$2484=$D62)*($S$5:$S$2484=1)*IFERROR($N$5:$N$2484*1,0)))&gt;0,ROUND($H62*($N62/SUMPRODUCT(MAX(($C$5:$C$2484=$C62)*($D$5:$D$2484=$D62)*($S$5:$S$2484=1)*IFERROR($N$5:$N$2484*1,0)))),4),0)))</f>
        <v/>
      </c>
      <c r="P62" s="48" t="inlineStr">
        <is>
          <t>coeff.</t>
        </is>
      </c>
      <c r="Q62" s="57">
        <f>IF($A62="","",$A62&amp;"|"&amp;$C62)</f>
        <v/>
      </c>
      <c r="R62" s="57">
        <f>IF($A62="","",$A62&amp;"|"&amp;$C62&amp;"|"&amp;$D62)</f>
        <v/>
      </c>
      <c r="S62" s="57">
        <f>IF($A62="","",IFERROR(INDEX(Offerte!$D$2:$D$81,MATCH($Q62,Offerte!$L$2:$L$81,0)),0))</f>
        <v/>
      </c>
      <c r="T62" s="57">
        <f>IF($A62="","",IFERROR(INDEX(Offerte!$G$2:$G$81,MATCH($Q62,Offerte!$L$2:$L$81,0)),"NO"))</f>
        <v/>
      </c>
    </row>
    <row r="63">
      <c r="A63" s="48">
        <f>IF(Offerte!$A3="","",Offerte!$A3)</f>
        <v/>
      </c>
      <c r="B63" s="48">
        <f>IF(Offerte!$A3="","",Offerte!$B3)</f>
        <v/>
      </c>
      <c r="C63" s="48">
        <f>IF(Offerte!$A3="","",Offerte!$C3)</f>
        <v/>
      </c>
      <c r="D63" s="48" t="inlineStr">
        <is>
          <t>G.2.1</t>
        </is>
      </c>
      <c r="E63" s="48" t="inlineStr">
        <is>
          <t>G</t>
        </is>
      </c>
      <c r="F63" s="48" t="inlineStr">
        <is>
          <t>T</t>
        </is>
      </c>
      <c r="G63" s="48" t="inlineStr">
        <is>
          <t>tabular</t>
        </is>
      </c>
      <c r="H63" s="48" t="n">
        <v>1</v>
      </c>
      <c r="I63" s="48" t="inlineStr">
        <is>
          <t>Certificazione ISO 45001</t>
        </is>
      </c>
      <c r="J63" s="73" t="n"/>
      <c r="K63" s="73" t="n"/>
      <c r="L63" s="73" t="n"/>
      <c r="M63" s="73" t="n"/>
      <c r="N63" s="57">
        <f>IF($A63="","",IF(IFERROR(VALUE($M63),0)=1,1,0))</f>
        <v/>
      </c>
      <c r="O63" s="57">
        <f>IF($A63="",0,IF(OR($S63&lt;&gt;1,COUNTA($J63:$M63)=0),0,IF($N63=1,$H63,0)))</f>
        <v/>
      </c>
      <c r="P63" s="48" t="inlineStr">
        <is>
          <t>sì/no</t>
        </is>
      </c>
      <c r="Q63" s="57">
        <f>IF($A63="","",$A63&amp;"|"&amp;$C63)</f>
        <v/>
      </c>
      <c r="R63" s="57">
        <f>IF($A63="","",$A63&amp;"|"&amp;$C63&amp;"|"&amp;$D63)</f>
        <v/>
      </c>
      <c r="S63" s="57">
        <f>IF($A63="","",IFERROR(INDEX(Offerte!$D$2:$D$81,MATCH($Q63,Offerte!$L$2:$L$81,0)),0))</f>
        <v/>
      </c>
      <c r="T63" s="57">
        <f>IF($A63="","",IFERROR(INDEX(Offerte!$G$2:$G$81,MATCH($Q63,Offerte!$L$2:$L$81,0)),"NO"))</f>
        <v/>
      </c>
    </row>
    <row r="64">
      <c r="A64" s="48">
        <f>IF(Offerte!$A3="","",Offerte!$A3)</f>
        <v/>
      </c>
      <c r="B64" s="48">
        <f>IF(Offerte!$A3="","",Offerte!$B3)</f>
        <v/>
      </c>
      <c r="C64" s="48">
        <f>IF(Offerte!$A3="","",Offerte!$C3)</f>
        <v/>
      </c>
      <c r="D64" s="48" t="inlineStr">
        <is>
          <t>G.3.1</t>
        </is>
      </c>
      <c r="E64" s="48" t="inlineStr">
        <is>
          <t>G</t>
        </is>
      </c>
      <c r="F64" s="48" t="inlineStr">
        <is>
          <t>T</t>
        </is>
      </c>
      <c r="G64" s="48" t="inlineStr">
        <is>
          <t>tabular</t>
        </is>
      </c>
      <c r="H64" s="48" t="n">
        <v>1</v>
      </c>
      <c r="I64" s="48" t="inlineStr">
        <is>
          <t>Certificazioni di responsabilità sociale</t>
        </is>
      </c>
      <c r="J64" s="73" t="n"/>
      <c r="K64" s="73" t="n"/>
      <c r="L64" s="73" t="n"/>
      <c r="M64" s="73" t="n"/>
      <c r="N64" s="57">
        <f>IF($A64="","",IF(IFERROR(VALUE($M64),0)=1,1,0))</f>
        <v/>
      </c>
      <c r="O64" s="57">
        <f>IF($A64="",0,IF(OR($S64&lt;&gt;1,COUNTA($J64:$M64)=0),0,IF($N64=1,$H64,0)))</f>
        <v/>
      </c>
      <c r="P64" s="48" t="inlineStr">
        <is>
          <t>sì/no</t>
        </is>
      </c>
      <c r="Q64" s="57">
        <f>IF($A64="","",$A64&amp;"|"&amp;$C64)</f>
        <v/>
      </c>
      <c r="R64" s="57">
        <f>IF($A64="","",$A64&amp;"|"&amp;$C64&amp;"|"&amp;$D64)</f>
        <v/>
      </c>
      <c r="S64" s="57">
        <f>IF($A64="","",IFERROR(INDEX(Offerte!$D$2:$D$81,MATCH($Q64,Offerte!$L$2:$L$81,0)),0))</f>
        <v/>
      </c>
      <c r="T64" s="57">
        <f>IF($A64="","",IFERROR(INDEX(Offerte!$G$2:$G$81,MATCH($Q64,Offerte!$L$2:$L$81,0)),"NO"))</f>
        <v/>
      </c>
    </row>
    <row r="65">
      <c r="A65" s="48">
        <f>IF(Offerte!$A3="","",Offerte!$A3)</f>
        <v/>
      </c>
      <c r="B65" s="48">
        <f>IF(Offerte!$A3="","",Offerte!$B3)</f>
        <v/>
      </c>
      <c r="C65" s="48">
        <f>IF(Offerte!$A3="","",Offerte!$C3)</f>
        <v/>
      </c>
      <c r="D65" s="48" t="inlineStr">
        <is>
          <t>G.4.1</t>
        </is>
      </c>
      <c r="E65" s="48" t="inlineStr">
        <is>
          <t>G</t>
        </is>
      </c>
      <c r="F65" s="48" t="inlineStr">
        <is>
          <t>D</t>
        </is>
      </c>
      <c r="G65" s="48" t="inlineStr">
        <is>
          <t>discretionary</t>
        </is>
      </c>
      <c r="H65" s="48" t="n">
        <v>2</v>
      </c>
      <c r="I65" s="48" t="inlineStr">
        <is>
          <t>Qualità del piano di formazione del personale</t>
        </is>
      </c>
      <c r="J65" s="73" t="n"/>
      <c r="K65" s="73" t="n"/>
      <c r="L65" s="73" t="n"/>
      <c r="M65" s="73" t="n"/>
      <c r="N65" s="57">
        <f>IF($A65="","",MAX(0,MIN(1,IFERROR(VALUE($M65),0))))</f>
        <v/>
      </c>
      <c r="O65" s="57">
        <f>IF($A65="",0,IF(OR($S65&lt;&gt;1,COUNTA($J65:$M65)=0),0,IF(SUMPRODUCT(MAX(($C$5:$C$2484=$C65)*($D$5:$D$2484=$D65)*($S$5:$S$2484=1)*IFERROR($N$5:$N$2484*1,0)))&gt;0,ROUND($H65*($N65/SUMPRODUCT(MAX(($C$5:$C$2484=$C65)*($D$5:$D$2484=$D65)*($S$5:$S$2484=1)*IFERROR($N$5:$N$2484*1,0)))),4),0)))</f>
        <v/>
      </c>
      <c r="P65" s="48" t="inlineStr">
        <is>
          <t>coeff.</t>
        </is>
      </c>
      <c r="Q65" s="57">
        <f>IF($A65="","",$A65&amp;"|"&amp;$C65)</f>
        <v/>
      </c>
      <c r="R65" s="57">
        <f>IF($A65="","",$A65&amp;"|"&amp;$C65&amp;"|"&amp;$D65)</f>
        <v/>
      </c>
      <c r="S65" s="57">
        <f>IF($A65="","",IFERROR(INDEX(Offerte!$D$2:$D$81,MATCH($Q65,Offerte!$L$2:$L$81,0)),0))</f>
        <v/>
      </c>
      <c r="T65" s="57">
        <f>IF($A65="","",IFERROR(INDEX(Offerte!$G$2:$G$81,MATCH($Q65,Offerte!$L$2:$L$81,0)),"NO"))</f>
        <v/>
      </c>
    </row>
    <row r="66">
      <c r="A66" s="48">
        <f>IF(Offerte!$A3="","",Offerte!$A3)</f>
        <v/>
      </c>
      <c r="B66" s="48">
        <f>IF(Offerte!$A3="","",Offerte!$B3)</f>
        <v/>
      </c>
      <c r="C66" s="48">
        <f>IF(Offerte!$A3="","",Offerte!$C3)</f>
        <v/>
      </c>
      <c r="D66" s="48" t="inlineStr">
        <is>
          <t>G.5.1</t>
        </is>
      </c>
      <c r="E66" s="48" t="inlineStr">
        <is>
          <t>G</t>
        </is>
      </c>
      <c r="F66" s="48" t="inlineStr">
        <is>
          <t>T</t>
        </is>
      </c>
      <c r="G66" s="48" t="inlineStr">
        <is>
          <t>tabular</t>
        </is>
      </c>
      <c r="H66" s="48" t="n">
        <v>1</v>
      </c>
      <c r="I66" s="48" t="inlineStr">
        <is>
          <t>Impegno al mantenimento delle garanzie del contratto di secondo livello del gestore uscente</t>
        </is>
      </c>
      <c r="J66" s="73" t="n"/>
      <c r="K66" s="73" t="n"/>
      <c r="L66" s="73" t="n"/>
      <c r="M66" s="73" t="n"/>
      <c r="N66" s="57">
        <f>IF($A66="","",IF(IFERROR(VALUE($M66),0)=1,1,0))</f>
        <v/>
      </c>
      <c r="O66" s="57">
        <f>IF($A66="",0,IF(OR($S66&lt;&gt;1,COUNTA($J66:$M66)=0),0,IF($N66=1,$H66,0)))</f>
        <v/>
      </c>
      <c r="P66" s="48" t="inlineStr">
        <is>
          <t>sì/no</t>
        </is>
      </c>
      <c r="Q66" s="57">
        <f>IF($A66="","",$A66&amp;"|"&amp;$C66)</f>
        <v/>
      </c>
      <c r="R66" s="57">
        <f>IF($A66="","",$A66&amp;"|"&amp;$C66&amp;"|"&amp;$D66)</f>
        <v/>
      </c>
      <c r="S66" s="57">
        <f>IF($A66="","",IFERROR(INDEX(Offerte!$D$2:$D$81,MATCH($Q66,Offerte!$L$2:$L$81,0)),0))</f>
        <v/>
      </c>
      <c r="T66" s="57">
        <f>IF($A66="","",IFERROR(INDEX(Offerte!$G$2:$G$81,MATCH($Q66,Offerte!$L$2:$L$81,0)),"NO"))</f>
        <v/>
      </c>
    </row>
    <row r="67">
      <c r="A67" s="48">
        <f>IF(Offerte!$A4="","",Offerte!$A4)</f>
        <v/>
      </c>
      <c r="B67" s="48">
        <f>IF(Offerte!$A4="","",Offerte!$B4)</f>
        <v/>
      </c>
      <c r="C67" s="48">
        <f>IF(Offerte!$A4="","",Offerte!$C4)</f>
        <v/>
      </c>
      <c r="D67" s="48" t="inlineStr">
        <is>
          <t>A.1.1</t>
        </is>
      </c>
      <c r="E67" s="48" t="inlineStr">
        <is>
          <t>A</t>
        </is>
      </c>
      <c r="F67" s="48" t="inlineStr">
        <is>
          <t>Q</t>
        </is>
      </c>
      <c r="G67" s="48" t="inlineStr">
        <is>
          <t>higher</t>
        </is>
      </c>
      <c r="H67" s="48" t="n">
        <v>3</v>
      </c>
      <c r="I67" s="48" t="inlineStr">
        <is>
          <t>Tasso aggiuntivo di corse controllate</t>
        </is>
      </c>
      <c r="J67" s="73" t="n"/>
      <c r="K67" s="73" t="n"/>
      <c r="L67" s="73" t="n"/>
      <c r="M67" s="73" t="n"/>
      <c r="N67" s="57">
        <f>IF($A67="","",IFERROR(VALUE($K67)/VALUE($L67)*100,IFERROR(VALUE($J67),0)))</f>
        <v/>
      </c>
      <c r="O67" s="57">
        <f>IF($A67="",0,IF(OR($S67&lt;&gt;1,COUNTA($J67:$M67)=0),0,IF(SUMPRODUCT(MAX(($C$5:$C$2484=$C67)*($D$5:$D$2484=$D67)*($S$5:$S$2484=1)*IFERROR($N$5:$N$2484*1,0)))&gt;0,ROUND($H67*($N67/SUMPRODUCT(MAX(($C$5:$C$2484=$C67)*($D$5:$D$2484=$D67)*($S$5:$S$2484=1)*IFERROR($N$5:$N$2484*1,0)))),4),0)))</f>
        <v/>
      </c>
      <c r="P67" s="48" t="inlineStr">
        <is>
          <t>Corse controllate annue / Corse programmate annue</t>
        </is>
      </c>
      <c r="Q67" s="57">
        <f>IF($A67="","",$A67&amp;"|"&amp;$C67)</f>
        <v/>
      </c>
      <c r="R67" s="57">
        <f>IF($A67="","",$A67&amp;"|"&amp;$C67&amp;"|"&amp;$D67)</f>
        <v/>
      </c>
      <c r="S67" s="57">
        <f>IF($A67="","",IFERROR(INDEX(Offerte!$D$2:$D$81,MATCH($Q67,Offerte!$L$2:$L$81,0)),0))</f>
        <v/>
      </c>
      <c r="T67" s="57">
        <f>IF($A67="","",IFERROR(INDEX(Offerte!$G$2:$G$81,MATCH($Q67,Offerte!$L$2:$L$81,0)),"NO"))</f>
        <v/>
      </c>
    </row>
    <row r="68">
      <c r="A68" s="48">
        <f>IF(Offerte!$A4="","",Offerte!$A4)</f>
        <v/>
      </c>
      <c r="B68" s="48">
        <f>IF(Offerte!$A4="","",Offerte!$B4)</f>
        <v/>
      </c>
      <c r="C68" s="48">
        <f>IF(Offerte!$A4="","",Offerte!$C4)</f>
        <v/>
      </c>
      <c r="D68" s="48" t="inlineStr">
        <is>
          <t>A.1.2</t>
        </is>
      </c>
      <c r="E68" s="48" t="inlineStr">
        <is>
          <t>A</t>
        </is>
      </c>
      <c r="F68" s="48" t="inlineStr">
        <is>
          <t>Q</t>
        </is>
      </c>
      <c r="G68" s="48" t="inlineStr">
        <is>
          <t>higher</t>
        </is>
      </c>
      <c r="H68" s="48" t="n">
        <v>4</v>
      </c>
      <c r="I68" s="48" t="inlineStr">
        <is>
          <t>Numero aggiuntivo di passeggeri controllati</t>
        </is>
      </c>
      <c r="J68" s="73" t="n"/>
      <c r="K68" s="73" t="n"/>
      <c r="L68" s="73" t="n"/>
      <c r="M68" s="73" t="n"/>
      <c r="N68" s="57">
        <f>IF($A68="","",IFERROR(VALUE($J68),0))</f>
        <v/>
      </c>
      <c r="O68" s="57">
        <f>IF($A68="",0,IF(OR($S68&lt;&gt;1,COUNTA($J68:$M68)=0),0,IF(SUMPRODUCT(MAX(($C$5:$C$2484=$C68)*($D$5:$D$2484=$D68)*($S$5:$S$2484=1)*IFERROR($N$5:$N$2484*1,0)))&gt;0,ROUND($H68*($N68/SUMPRODUCT(MAX(($C$5:$C$2484=$C68)*($D$5:$D$2484=$D68)*($S$5:$S$2484=1)*IFERROR($N$5:$N$2484*1,0)))),4),0)))</f>
        <v/>
      </c>
      <c r="P68" s="48" t="inlineStr">
        <is>
          <t>passeggeri/anno</t>
        </is>
      </c>
      <c r="Q68" s="57">
        <f>IF($A68="","",$A68&amp;"|"&amp;$C68)</f>
        <v/>
      </c>
      <c r="R68" s="57">
        <f>IF($A68="","",$A68&amp;"|"&amp;$C68&amp;"|"&amp;$D68)</f>
        <v/>
      </c>
      <c r="S68" s="57">
        <f>IF($A68="","",IFERROR(INDEX(Offerte!$D$2:$D$81,MATCH($Q68,Offerte!$L$2:$L$81,0)),0))</f>
        <v/>
      </c>
      <c r="T68" s="57">
        <f>IF($A68="","",IFERROR(INDEX(Offerte!$G$2:$G$81,MATCH($Q68,Offerte!$L$2:$L$81,0)),"NO"))</f>
        <v/>
      </c>
    </row>
    <row r="69">
      <c r="A69" s="48">
        <f>IF(Offerte!$A4="","",Offerte!$A4)</f>
        <v/>
      </c>
      <c r="B69" s="48">
        <f>IF(Offerte!$A4="","",Offerte!$B4)</f>
        <v/>
      </c>
      <c r="C69" s="48">
        <f>IF(Offerte!$A4="","",Offerte!$C4)</f>
        <v/>
      </c>
      <c r="D69" s="48" t="inlineStr">
        <is>
          <t>B.1.1</t>
        </is>
      </c>
      <c r="E69" s="48" t="inlineStr">
        <is>
          <t>B</t>
        </is>
      </c>
      <c r="F69" s="48" t="inlineStr">
        <is>
          <t>Q</t>
        </is>
      </c>
      <c r="G69" s="48" t="inlineStr">
        <is>
          <t>higher</t>
        </is>
      </c>
      <c r="H69" s="48" t="n">
        <v>3</v>
      </c>
      <c r="I69" s="48" t="inlineStr">
        <is>
          <t>Incremento dei posti offerti nelle fasce di punta</t>
        </is>
      </c>
      <c r="J69" s="73" t="n"/>
      <c r="K69" s="73" t="n"/>
      <c r="L69" s="73" t="n"/>
      <c r="M69" s="73" t="n"/>
      <c r="N69" s="57">
        <f>IF($A69="","",IFERROR(VALUE($J69),0))</f>
        <v/>
      </c>
      <c r="O69" s="57">
        <f>IF($A69="",0,IF(OR($S69&lt;&gt;1,COUNTA($J69:$M69)=0),0,IF(SUMPRODUCT(MAX(($C$5:$C$2484=$C69)*($D$5:$D$2484=$D69)*($S$5:$S$2484=1)*IFERROR($N$5:$N$2484*1,0)))&gt;0,ROUND($H69*($N69/SUMPRODUCT(MAX(($C$5:$C$2484=$C69)*($D$5:$D$2484=$D69)*($S$5:$S$2484=1)*IFERROR($N$5:$N$2484*1,0)))),4),0)))</f>
        <v/>
      </c>
      <c r="P69" s="48" t="inlineStr">
        <is>
          <t>posti*km</t>
        </is>
      </c>
      <c r="Q69" s="57">
        <f>IF($A69="","",$A69&amp;"|"&amp;$C69)</f>
        <v/>
      </c>
      <c r="R69" s="57">
        <f>IF($A69="","",$A69&amp;"|"&amp;$C69&amp;"|"&amp;$D69)</f>
        <v/>
      </c>
      <c r="S69" s="57">
        <f>IF($A69="","",IFERROR(INDEX(Offerte!$D$2:$D$81,MATCH($Q69,Offerte!$L$2:$L$81,0)),0))</f>
        <v/>
      </c>
      <c r="T69" s="57">
        <f>IF($A69="","",IFERROR(INDEX(Offerte!$G$2:$G$81,MATCH($Q69,Offerte!$L$2:$L$81,0)),"NO"))</f>
        <v/>
      </c>
    </row>
    <row r="70">
      <c r="A70" s="48">
        <f>IF(Offerte!$A4="","",Offerte!$A4)</f>
        <v/>
      </c>
      <c r="B70" s="48">
        <f>IF(Offerte!$A4="","",Offerte!$B4)</f>
        <v/>
      </c>
      <c r="C70" s="48">
        <f>IF(Offerte!$A4="","",Offerte!$C4)</f>
        <v/>
      </c>
      <c r="D70" s="48" t="inlineStr">
        <is>
          <t>B.2.1</t>
        </is>
      </c>
      <c r="E70" s="48" t="inlineStr">
        <is>
          <t>B</t>
        </is>
      </c>
      <c r="F70" s="48" t="inlineStr">
        <is>
          <t>Q</t>
        </is>
      </c>
      <c r="G70" s="48" t="inlineStr">
        <is>
          <t>higher</t>
        </is>
      </c>
      <c r="H70" s="48" t="n">
        <v>4</v>
      </c>
      <c r="I70" s="48" t="inlineStr">
        <is>
          <t>Corse aggiuntive nell'arco giornaliero base</t>
        </is>
      </c>
      <c r="J70" s="73" t="n"/>
      <c r="K70" s="73" t="n"/>
      <c r="L70" s="73" t="n"/>
      <c r="M70" s="73" t="n"/>
      <c r="N70" s="57">
        <f>IF($A70="","",IFERROR(VALUE($J70),0))</f>
        <v/>
      </c>
      <c r="O70" s="57">
        <f>IF($A70="",0,IF(OR($S70&lt;&gt;1,COUNTA($J70:$M70)=0),0,IF(SUMPRODUCT(MAX(($C$5:$C$2484=$C70)*($D$5:$D$2484=$D70)*($S$5:$S$2484=1)*IFERROR($N$5:$N$2484*1,0)))&gt;0,ROUND($H70*($N70/SUMPRODUCT(MAX(($C$5:$C$2484=$C70)*($D$5:$D$2484=$D70)*($S$5:$S$2484=1)*IFERROR($N$5:$N$2484*1,0)))),4),0)))</f>
        <v/>
      </c>
      <c r="P70" s="48" t="inlineStr">
        <is>
          <t>corse</t>
        </is>
      </c>
      <c r="Q70" s="57">
        <f>IF($A70="","",$A70&amp;"|"&amp;$C70)</f>
        <v/>
      </c>
      <c r="R70" s="57">
        <f>IF($A70="","",$A70&amp;"|"&amp;$C70&amp;"|"&amp;$D70)</f>
        <v/>
      </c>
      <c r="S70" s="57">
        <f>IF($A70="","",IFERROR(INDEX(Offerte!$D$2:$D$81,MATCH($Q70,Offerte!$L$2:$L$81,0)),0))</f>
        <v/>
      </c>
      <c r="T70" s="57">
        <f>IF($A70="","",IFERROR(INDEX(Offerte!$G$2:$G$81,MATCH($Q70,Offerte!$L$2:$L$81,0)),"NO"))</f>
        <v/>
      </c>
    </row>
    <row r="71">
      <c r="A71" s="48">
        <f>IF(Offerte!$A4="","",Offerte!$A4)</f>
        <v/>
      </c>
      <c r="B71" s="48">
        <f>IF(Offerte!$A4="","",Offerte!$B4)</f>
        <v/>
      </c>
      <c r="C71" s="48">
        <f>IF(Offerte!$A4="","",Offerte!$C4)</f>
        <v/>
      </c>
      <c r="D71" s="48" t="inlineStr">
        <is>
          <t>B.3.1</t>
        </is>
      </c>
      <c r="E71" s="48" t="inlineStr">
        <is>
          <t>B</t>
        </is>
      </c>
      <c r="F71" s="48" t="inlineStr">
        <is>
          <t>Q</t>
        </is>
      </c>
      <c r="G71" s="48" t="inlineStr">
        <is>
          <t>higher</t>
        </is>
      </c>
      <c r="H71" s="48" t="n">
        <v>2</v>
      </c>
      <c r="I71" s="48" t="inlineStr">
        <is>
          <t>Numero di corse aggiuntive per allungamento dell'arco di servizio giornaliero nelle fasce serali</t>
        </is>
      </c>
      <c r="J71" s="73" t="n"/>
      <c r="K71" s="73" t="n"/>
      <c r="L71" s="73" t="n"/>
      <c r="M71" s="73" t="n"/>
      <c r="N71" s="57">
        <f>IF($A71="","",IFERROR(VALUE($J71),0))</f>
        <v/>
      </c>
      <c r="O71" s="57">
        <f>IF($A71="",0,IF(OR($S71&lt;&gt;1,COUNTA($J71:$M71)=0),0,IF(SUMPRODUCT(MAX(($C$5:$C$2484=$C71)*($D$5:$D$2484=$D71)*($S$5:$S$2484=1)*IFERROR($N$5:$N$2484*1,0)))&gt;0,ROUND($H71*($N71/SUMPRODUCT(MAX(($C$5:$C$2484=$C71)*($D$5:$D$2484=$D71)*($S$5:$S$2484=1)*IFERROR($N$5:$N$2484*1,0)))),4),0)))</f>
        <v/>
      </c>
      <c r="P71" s="48" t="inlineStr">
        <is>
          <t>corse</t>
        </is>
      </c>
      <c r="Q71" s="57">
        <f>IF($A71="","",$A71&amp;"|"&amp;$C71)</f>
        <v/>
      </c>
      <c r="R71" s="57">
        <f>IF($A71="","",$A71&amp;"|"&amp;$C71&amp;"|"&amp;$D71)</f>
        <v/>
      </c>
      <c r="S71" s="57">
        <f>IF($A71="","",IFERROR(INDEX(Offerte!$D$2:$D$81,MATCH($Q71,Offerte!$L$2:$L$81,0)),0))</f>
        <v/>
      </c>
      <c r="T71" s="57">
        <f>IF($A71="","",IFERROR(INDEX(Offerte!$G$2:$G$81,MATCH($Q71,Offerte!$L$2:$L$81,0)),"NO"))</f>
        <v/>
      </c>
    </row>
    <row r="72">
      <c r="A72" s="48">
        <f>IF(Offerte!$A4="","",Offerte!$A4)</f>
        <v/>
      </c>
      <c r="B72" s="48">
        <f>IF(Offerte!$A4="","",Offerte!$B4)</f>
        <v/>
      </c>
      <c r="C72" s="48">
        <f>IF(Offerte!$A4="","",Offerte!$C4)</f>
        <v/>
      </c>
      <c r="D72" s="48" t="inlineStr">
        <is>
          <t>B.4.1</t>
        </is>
      </c>
      <c r="E72" s="48" t="inlineStr">
        <is>
          <t>B</t>
        </is>
      </c>
      <c r="F72" s="48" t="inlineStr">
        <is>
          <t>Q</t>
        </is>
      </c>
      <c r="G72" s="48" t="inlineStr">
        <is>
          <t>higher</t>
        </is>
      </c>
      <c r="H72" s="48" t="n">
        <v>3</v>
      </c>
      <c r="I72" s="48" t="inlineStr">
        <is>
          <t>Percorrenze aggiuntive offerte nel Programma d'esercizio delle prime due fasi attuative</t>
        </is>
      </c>
      <c r="J72" s="73" t="n"/>
      <c r="K72" s="73" t="n"/>
      <c r="L72" s="73" t="n"/>
      <c r="M72" s="73" t="n"/>
      <c r="N72" s="57">
        <f>IF($A72="","",IFERROR(VALUE($J72),0))</f>
        <v/>
      </c>
      <c r="O72" s="57">
        <f>IF($A72="",0,IF(OR($S72&lt;&gt;1,COUNTA($J72:$M72)=0),0,IF(SUMPRODUCT(MAX(($C$5:$C$2484=$C72)*($D$5:$D$2484=$D72)*($S$5:$S$2484=1)*IFERROR($N$5:$N$2484*1,0)))&gt;0,ROUND($H72*($N72/SUMPRODUCT(MAX(($C$5:$C$2484=$C72)*($D$5:$D$2484=$D72)*($S$5:$S$2484=1)*IFERROR($N$5:$N$2484*1,0)))),4),0)))</f>
        <v/>
      </c>
      <c r="P72" s="48" t="inlineStr">
        <is>
          <t>vett*km</t>
        </is>
      </c>
      <c r="Q72" s="57">
        <f>IF($A72="","",$A72&amp;"|"&amp;$C72)</f>
        <v/>
      </c>
      <c r="R72" s="57">
        <f>IF($A72="","",$A72&amp;"|"&amp;$C72&amp;"|"&amp;$D72)</f>
        <v/>
      </c>
      <c r="S72" s="57">
        <f>IF($A72="","",IFERROR(INDEX(Offerte!$D$2:$D$81,MATCH($Q72,Offerte!$L$2:$L$81,0)),0))</f>
        <v/>
      </c>
      <c r="T72" s="57">
        <f>IF($A72="","",IFERROR(INDEX(Offerte!$G$2:$G$81,MATCH($Q72,Offerte!$L$2:$L$81,0)),"NO"))</f>
        <v/>
      </c>
    </row>
    <row r="73">
      <c r="A73" s="48">
        <f>IF(Offerte!$A4="","",Offerte!$A4)</f>
        <v/>
      </c>
      <c r="B73" s="48">
        <f>IF(Offerte!$A4="","",Offerte!$B4)</f>
        <v/>
      </c>
      <c r="C73" s="48">
        <f>IF(Offerte!$A4="","",Offerte!$C4)</f>
        <v/>
      </c>
      <c r="D73" s="48" t="inlineStr">
        <is>
          <t>B.5.1</t>
        </is>
      </c>
      <c r="E73" s="48" t="inlineStr">
        <is>
          <t>B</t>
        </is>
      </c>
      <c r="F73" s="48" t="inlineStr">
        <is>
          <t>D</t>
        </is>
      </c>
      <c r="G73" s="48" t="inlineStr">
        <is>
          <t>discretionary</t>
        </is>
      </c>
      <c r="H73" s="48" t="n">
        <v>2</v>
      </c>
      <c r="I73" s="48" t="inlineStr">
        <is>
          <t>Efficacia del progetto di servizi complementari DRT</t>
        </is>
      </c>
      <c r="J73" s="73" t="n"/>
      <c r="K73" s="73" t="n"/>
      <c r="L73" s="73" t="n"/>
      <c r="M73" s="73" t="n"/>
      <c r="N73" s="57">
        <f>IF($A73="","",MAX(0,MIN(1,IFERROR(VALUE($M73),0))))</f>
        <v/>
      </c>
      <c r="O73" s="57">
        <f>IF($A73="",0,IF(OR($S73&lt;&gt;1,COUNTA($J73:$M73)=0),0,IF(SUMPRODUCT(MAX(($C$5:$C$2484=$C73)*($D$5:$D$2484=$D73)*($S$5:$S$2484=1)*IFERROR($N$5:$N$2484*1,0)))&gt;0,ROUND($H73*($N73/SUMPRODUCT(MAX(($C$5:$C$2484=$C73)*($D$5:$D$2484=$D73)*($S$5:$S$2484=1)*IFERROR($N$5:$N$2484*1,0)))),4),0)))</f>
        <v/>
      </c>
      <c r="P73" s="48" t="inlineStr">
        <is>
          <t>coeff.</t>
        </is>
      </c>
      <c r="Q73" s="57">
        <f>IF($A73="","",$A73&amp;"|"&amp;$C73)</f>
        <v/>
      </c>
      <c r="R73" s="57">
        <f>IF($A73="","",$A73&amp;"|"&amp;$C73&amp;"|"&amp;$D73)</f>
        <v/>
      </c>
      <c r="S73" s="57">
        <f>IF($A73="","",IFERROR(INDEX(Offerte!$D$2:$D$81,MATCH($Q73,Offerte!$L$2:$L$81,0)),0))</f>
        <v/>
      </c>
      <c r="T73" s="57">
        <f>IF($A73="","",IFERROR(INDEX(Offerte!$G$2:$G$81,MATCH($Q73,Offerte!$L$2:$L$81,0)),"NO"))</f>
        <v/>
      </c>
    </row>
    <row r="74">
      <c r="A74" s="48">
        <f>IF(Offerte!$A4="","",Offerte!$A4)</f>
        <v/>
      </c>
      <c r="B74" s="48">
        <f>IF(Offerte!$A4="","",Offerte!$B4)</f>
        <v/>
      </c>
      <c r="C74" s="48">
        <f>IF(Offerte!$A4="","",Offerte!$C4)</f>
        <v/>
      </c>
      <c r="D74" s="48" t="inlineStr">
        <is>
          <t>C.1.1</t>
        </is>
      </c>
      <c r="E74" s="48" t="inlineStr">
        <is>
          <t>C</t>
        </is>
      </c>
      <c r="F74" s="48" t="inlineStr">
        <is>
          <t>Q</t>
        </is>
      </c>
      <c r="G74" s="48" t="inlineStr">
        <is>
          <t>higher</t>
        </is>
      </c>
      <c r="H74" s="48" t="n">
        <v>2</v>
      </c>
      <c r="I74" s="48" t="inlineStr">
        <is>
          <t>Tasso di copertura del servizio con telecamere BSD</t>
        </is>
      </c>
      <c r="J74" s="73" t="n"/>
      <c r="K74" s="73" t="n"/>
      <c r="L74" s="73" t="n"/>
      <c r="M74" s="73" t="n"/>
      <c r="N74" s="57">
        <f>IF($A74="","",IFERROR(VALUE($K74)/VALUE($L74),IFERROR(VALUE($J74),0)))</f>
        <v/>
      </c>
      <c r="O74" s="57">
        <f>IF($A74="",0,IF(OR($S74&lt;&gt;1,COUNTA($J74:$M74)=0),0,IF(SUMPRODUCT(MAX(($C$5:$C$2484=$C74)*($D$5:$D$2484=$D74)*($S$5:$S$2484=1)*IFERROR($N$5:$N$2484*1,0)))&gt;0,ROUND($H74*($N74/SUMPRODUCT(MAX(($C$5:$C$2484=$C74)*($D$5:$D$2484=$D74)*($S$5:$S$2484=1)*IFERROR($N$5:$N$2484*1,0)))),4),0)))</f>
        <v/>
      </c>
      <c r="P74" s="48" t="inlineStr">
        <is>
          <t>Autobus attrezzati con telecamere BSD / Autobus totali in offerta, incluse scorte</t>
        </is>
      </c>
      <c r="Q74" s="57">
        <f>IF($A74="","",$A74&amp;"|"&amp;$C74)</f>
        <v/>
      </c>
      <c r="R74" s="57">
        <f>IF($A74="","",$A74&amp;"|"&amp;$C74&amp;"|"&amp;$D74)</f>
        <v/>
      </c>
      <c r="S74" s="57">
        <f>IF($A74="","",IFERROR(INDEX(Offerte!$D$2:$D$81,MATCH($Q74,Offerte!$L$2:$L$81,0)),0))</f>
        <v/>
      </c>
      <c r="T74" s="57">
        <f>IF($A74="","",IFERROR(INDEX(Offerte!$G$2:$G$81,MATCH($Q74,Offerte!$L$2:$L$81,0)),"NO"))</f>
        <v/>
      </c>
    </row>
    <row r="75">
      <c r="A75" s="48">
        <f>IF(Offerte!$A4="","",Offerte!$A4)</f>
        <v/>
      </c>
      <c r="B75" s="48">
        <f>IF(Offerte!$A4="","",Offerte!$B4)</f>
        <v/>
      </c>
      <c r="C75" s="48">
        <f>IF(Offerte!$A4="","",Offerte!$C4)</f>
        <v/>
      </c>
      <c r="D75" s="48" t="inlineStr">
        <is>
          <t>C.1.2</t>
        </is>
      </c>
      <c r="E75" s="48" t="inlineStr">
        <is>
          <t>C</t>
        </is>
      </c>
      <c r="F75" s="48" t="inlineStr">
        <is>
          <t>Q</t>
        </is>
      </c>
      <c r="G75" s="48" t="inlineStr">
        <is>
          <t>higher</t>
        </is>
      </c>
      <c r="H75" s="48" t="n">
        <v>2</v>
      </c>
      <c r="I75" s="48" t="inlineStr">
        <is>
          <t>Tasso di copertura del servizio con telecamere ADAS</t>
        </is>
      </c>
      <c r="J75" s="73" t="n"/>
      <c r="K75" s="73" t="n"/>
      <c r="L75" s="73" t="n"/>
      <c r="M75" s="73" t="n"/>
      <c r="N75" s="57">
        <f>IF($A75="","",IFERROR(VALUE($K75)/VALUE($L75),IFERROR(VALUE($J75),0)))</f>
        <v/>
      </c>
      <c r="O75" s="57">
        <f>IF($A75="",0,IF(OR($S75&lt;&gt;1,COUNTA($J75:$M75)=0),0,IF(SUMPRODUCT(MAX(($C$5:$C$2484=$C75)*($D$5:$D$2484=$D75)*($S$5:$S$2484=1)*IFERROR($N$5:$N$2484*1,0)))&gt;0,ROUND($H75*($N75/SUMPRODUCT(MAX(($C$5:$C$2484=$C75)*($D$5:$D$2484=$D75)*($S$5:$S$2484=1)*IFERROR($N$5:$N$2484*1,0)))),4),0)))</f>
        <v/>
      </c>
      <c r="P75" s="48" t="inlineStr">
        <is>
          <t>Autobus attrezzati con telecamere ADAS / Autobus totali in offerta, incluse scorte</t>
        </is>
      </c>
      <c r="Q75" s="57">
        <f>IF($A75="","",$A75&amp;"|"&amp;$C75)</f>
        <v/>
      </c>
      <c r="R75" s="57">
        <f>IF($A75="","",$A75&amp;"|"&amp;$C75&amp;"|"&amp;$D75)</f>
        <v/>
      </c>
      <c r="S75" s="57">
        <f>IF($A75="","",IFERROR(INDEX(Offerte!$D$2:$D$81,MATCH($Q75,Offerte!$L$2:$L$81,0)),0))</f>
        <v/>
      </c>
      <c r="T75" s="57">
        <f>IF($A75="","",IFERROR(INDEX(Offerte!$G$2:$G$81,MATCH($Q75,Offerte!$L$2:$L$81,0)),"NO"))</f>
        <v/>
      </c>
    </row>
    <row r="76">
      <c r="A76" s="48">
        <f>IF(Offerte!$A4="","",Offerte!$A4)</f>
        <v/>
      </c>
      <c r="B76" s="48">
        <f>IF(Offerte!$A4="","",Offerte!$B4)</f>
        <v/>
      </c>
      <c r="C76" s="48">
        <f>IF(Offerte!$A4="","",Offerte!$C4)</f>
        <v/>
      </c>
      <c r="D76" s="48" t="inlineStr">
        <is>
          <t>C.2.1</t>
        </is>
      </c>
      <c r="E76" s="48" t="inlineStr">
        <is>
          <t>C</t>
        </is>
      </c>
      <c r="F76" s="48" t="inlineStr">
        <is>
          <t>Q</t>
        </is>
      </c>
      <c r="G76" s="48" t="inlineStr">
        <is>
          <t>higher</t>
        </is>
      </c>
      <c r="H76" s="48" t="n">
        <v>3</v>
      </c>
      <c r="I76" s="48" t="inlineStr">
        <is>
          <t>Tasso di copertura del servizio con telecamere di bordo di videosorveglianza</t>
        </is>
      </c>
      <c r="J76" s="73" t="n"/>
      <c r="K76" s="73" t="n"/>
      <c r="L76" s="73" t="n"/>
      <c r="M76" s="73" t="n"/>
      <c r="N76" s="57">
        <f>IF($A76="","",IFERROR(VALUE($K76)/VALUE($L76),IFERROR(VALUE($J76),0)))</f>
        <v/>
      </c>
      <c r="O76" s="57">
        <f>IF($A76="",0,IF(OR($S76&lt;&gt;1,COUNTA($J76:$M76)=0),0,IF(SUMPRODUCT(MAX(($C$5:$C$2484=$C76)*($D$5:$D$2484=$D76)*($S$5:$S$2484=1)*IFERROR($N$5:$N$2484*1,0)))&gt;0,ROUND($H76*($N76/SUMPRODUCT(MAX(($C$5:$C$2484=$C76)*($D$5:$D$2484=$D76)*($S$5:$S$2484=1)*IFERROR($N$5:$N$2484*1,0)))),4),0)))</f>
        <v/>
      </c>
      <c r="P76" s="48" t="inlineStr">
        <is>
          <t>Autobus attrezzati con videosorveglianza / Autobus totali in offerta, incluse scorte</t>
        </is>
      </c>
      <c r="Q76" s="57">
        <f>IF($A76="","",$A76&amp;"|"&amp;$C76)</f>
        <v/>
      </c>
      <c r="R76" s="57">
        <f>IF($A76="","",$A76&amp;"|"&amp;$C76&amp;"|"&amp;$D76)</f>
        <v/>
      </c>
      <c r="S76" s="57">
        <f>IF($A76="","",IFERROR(INDEX(Offerte!$D$2:$D$81,MATCH($Q76,Offerte!$L$2:$L$81,0)),0))</f>
        <v/>
      </c>
      <c r="T76" s="57">
        <f>IF($A76="","",IFERROR(INDEX(Offerte!$G$2:$G$81,MATCH($Q76,Offerte!$L$2:$L$81,0)),"NO"))</f>
        <v/>
      </c>
    </row>
    <row r="77">
      <c r="A77" s="48">
        <f>IF(Offerte!$A4="","",Offerte!$A4)</f>
        <v/>
      </c>
      <c r="B77" s="48">
        <f>IF(Offerte!$A4="","",Offerte!$B4)</f>
        <v/>
      </c>
      <c r="C77" s="48">
        <f>IF(Offerte!$A4="","",Offerte!$C4)</f>
        <v/>
      </c>
      <c r="D77" s="48" t="inlineStr">
        <is>
          <t>C.2.2</t>
        </is>
      </c>
      <c r="E77" s="48" t="inlineStr">
        <is>
          <t>C</t>
        </is>
      </c>
      <c r="F77" s="48" t="inlineStr">
        <is>
          <t>T</t>
        </is>
      </c>
      <c r="G77" s="48" t="inlineStr">
        <is>
          <t>tabular</t>
        </is>
      </c>
      <c r="H77" s="48" t="n">
        <v>1</v>
      </c>
      <c r="I77" s="48" t="inlineStr">
        <is>
          <t>Software video/audio analisi per situazioni di pericolo</t>
        </is>
      </c>
      <c r="J77" s="73" t="n"/>
      <c r="K77" s="73" t="n"/>
      <c r="L77" s="73" t="n"/>
      <c r="M77" s="73" t="n"/>
      <c r="N77" s="57">
        <f>IF($A77="","",IF(IFERROR(VALUE($M77),0)=1,1,0))</f>
        <v/>
      </c>
      <c r="O77" s="57">
        <f>IF($A77="",0,IF(OR($S77&lt;&gt;1,COUNTA($J77:$M77)=0),0,IF($N77=1,$H77,0)))</f>
        <v/>
      </c>
      <c r="P77" s="48" t="inlineStr">
        <is>
          <t>sì/no</t>
        </is>
      </c>
      <c r="Q77" s="57">
        <f>IF($A77="","",$A77&amp;"|"&amp;$C77)</f>
        <v/>
      </c>
      <c r="R77" s="57">
        <f>IF($A77="","",$A77&amp;"|"&amp;$C77&amp;"|"&amp;$D77)</f>
        <v/>
      </c>
      <c r="S77" s="57">
        <f>IF($A77="","",IFERROR(INDEX(Offerte!$D$2:$D$81,MATCH($Q77,Offerte!$L$2:$L$81,0)),0))</f>
        <v/>
      </c>
      <c r="T77" s="57">
        <f>IF($A77="","",IFERROR(INDEX(Offerte!$G$2:$G$81,MATCH($Q77,Offerte!$L$2:$L$81,0)),"NO"))</f>
        <v/>
      </c>
    </row>
    <row r="78">
      <c r="A78" s="48">
        <f>IF(Offerte!$A4="","",Offerte!$A4)</f>
        <v/>
      </c>
      <c r="B78" s="48">
        <f>IF(Offerte!$A4="","",Offerte!$B4)</f>
        <v/>
      </c>
      <c r="C78" s="48">
        <f>IF(Offerte!$A4="","",Offerte!$C4)</f>
        <v/>
      </c>
      <c r="D78" s="48" t="inlineStr">
        <is>
          <t>C.2.3</t>
        </is>
      </c>
      <c r="E78" s="48" t="inlineStr">
        <is>
          <t>C</t>
        </is>
      </c>
      <c r="F78" s="48" t="inlineStr">
        <is>
          <t>T</t>
        </is>
      </c>
      <c r="G78" s="48" t="inlineStr">
        <is>
          <t>tabular</t>
        </is>
      </c>
      <c r="H78" s="48" t="n">
        <v>1</v>
      </c>
      <c r="I78" s="48" t="inlineStr">
        <is>
          <t>Collegamento con centrale qualificata di pronto intervento</t>
        </is>
      </c>
      <c r="J78" s="73" t="n"/>
      <c r="K78" s="73" t="n"/>
      <c r="L78" s="73" t="n"/>
      <c r="M78" s="73" t="n"/>
      <c r="N78" s="57">
        <f>IF($A78="","",IF(IFERROR(VALUE($M78),0)=1,1,0))</f>
        <v/>
      </c>
      <c r="O78" s="57">
        <f>IF($A78="",0,IF(OR($S78&lt;&gt;1,COUNTA($J78:$M78)=0),0,IF($N78=1,$H78,0)))</f>
        <v/>
      </c>
      <c r="P78" s="48" t="inlineStr">
        <is>
          <t>sì/no</t>
        </is>
      </c>
      <c r="Q78" s="57">
        <f>IF($A78="","",$A78&amp;"|"&amp;$C78)</f>
        <v/>
      </c>
      <c r="R78" s="57">
        <f>IF($A78="","",$A78&amp;"|"&amp;$C78&amp;"|"&amp;$D78)</f>
        <v/>
      </c>
      <c r="S78" s="57">
        <f>IF($A78="","",IFERROR(INDEX(Offerte!$D$2:$D$81,MATCH($Q78,Offerte!$L$2:$L$81,0)),0))</f>
        <v/>
      </c>
      <c r="T78" s="57">
        <f>IF($A78="","",IFERROR(INDEX(Offerte!$G$2:$G$81,MATCH($Q78,Offerte!$L$2:$L$81,0)),"NO"))</f>
        <v/>
      </c>
    </row>
    <row r="79">
      <c r="A79" s="48">
        <f>IF(Offerte!$A4="","",Offerte!$A4)</f>
        <v/>
      </c>
      <c r="B79" s="48">
        <f>IF(Offerte!$A4="","",Offerte!$B4)</f>
        <v/>
      </c>
      <c r="C79" s="48">
        <f>IF(Offerte!$A4="","",Offerte!$C4)</f>
        <v/>
      </c>
      <c r="D79" s="48" t="inlineStr">
        <is>
          <t>C.2.4</t>
        </is>
      </c>
      <c r="E79" s="48" t="inlineStr">
        <is>
          <t>C</t>
        </is>
      </c>
      <c r="F79" s="48" t="inlineStr">
        <is>
          <t>Q</t>
        </is>
      </c>
      <c r="G79" s="48" t="inlineStr">
        <is>
          <t>higher</t>
        </is>
      </c>
      <c r="H79" s="48" t="n">
        <v>1</v>
      </c>
      <c r="I79" s="48" t="inlineStr">
        <is>
          <t>Tasso di copertura del servizio con dispositivi per la chiamata di emergenza del conducente</t>
        </is>
      </c>
      <c r="J79" s="73" t="n"/>
      <c r="K79" s="73" t="n"/>
      <c r="L79" s="73" t="n"/>
      <c r="M79" s="73" t="n"/>
      <c r="N79" s="57">
        <f>IF($A79="","",IFERROR(VALUE($K79)/VALUE($L79),IFERROR(VALUE($J79),0)))</f>
        <v/>
      </c>
      <c r="O79" s="57">
        <f>IF($A79="",0,IF(OR($S79&lt;&gt;1,COUNTA($J79:$M79)=0),0,IF(SUMPRODUCT(MAX(($C$5:$C$2484=$C79)*($D$5:$D$2484=$D79)*($S$5:$S$2484=1)*IFERROR($N$5:$N$2484*1,0)))&gt;0,ROUND($H79*($N79/SUMPRODUCT(MAX(($C$5:$C$2484=$C79)*($D$5:$D$2484=$D79)*($S$5:$S$2484=1)*IFERROR($N$5:$N$2484*1,0)))),4),0)))</f>
        <v/>
      </c>
      <c r="P79" s="48" t="inlineStr">
        <is>
          <t>Autobus attrezzati con chiamata di emergenza / Autobus totali in offerta, incluse scorte</t>
        </is>
      </c>
      <c r="Q79" s="57">
        <f>IF($A79="","",$A79&amp;"|"&amp;$C79)</f>
        <v/>
      </c>
      <c r="R79" s="57">
        <f>IF($A79="","",$A79&amp;"|"&amp;$C79&amp;"|"&amp;$D79)</f>
        <v/>
      </c>
      <c r="S79" s="57">
        <f>IF($A79="","",IFERROR(INDEX(Offerte!$D$2:$D$81,MATCH($Q79,Offerte!$L$2:$L$81,0)),0))</f>
        <v/>
      </c>
      <c r="T79" s="57">
        <f>IF($A79="","",IFERROR(INDEX(Offerte!$G$2:$G$81,MATCH($Q79,Offerte!$L$2:$L$81,0)),"NO"))</f>
        <v/>
      </c>
    </row>
    <row r="80">
      <c r="A80" s="48">
        <f>IF(Offerte!$A4="","",Offerte!$A4)</f>
        <v/>
      </c>
      <c r="B80" s="48">
        <f>IF(Offerte!$A4="","",Offerte!$B4)</f>
        <v/>
      </c>
      <c r="C80" s="48">
        <f>IF(Offerte!$A4="","",Offerte!$C4)</f>
        <v/>
      </c>
      <c r="D80" s="48" t="inlineStr">
        <is>
          <t>C.3.1</t>
        </is>
      </c>
      <c r="E80" s="48" t="inlineStr">
        <is>
          <t>C</t>
        </is>
      </c>
      <c r="F80" s="48" t="inlineStr">
        <is>
          <t>Q</t>
        </is>
      </c>
      <c r="G80" s="48" t="inlineStr">
        <is>
          <t>higher</t>
        </is>
      </c>
      <c r="H80" s="48" t="n">
        <v>2</v>
      </c>
      <c r="I80" s="48" t="inlineStr">
        <is>
          <t>Tasso di copertura del servizio con dispositivi di informazione dinamica a bordo mezzo</t>
        </is>
      </c>
      <c r="J80" s="73" t="n"/>
      <c r="K80" s="73" t="n"/>
      <c r="L80" s="73" t="n"/>
      <c r="M80" s="73" t="n"/>
      <c r="N80" s="57">
        <f>IF($A80="","",IFERROR(VALUE($K80)/VALUE($L80),IFERROR(VALUE($J80),0)))</f>
        <v/>
      </c>
      <c r="O80" s="57">
        <f>IF($A80="",0,IF(OR($S80&lt;&gt;1,COUNTA($J80:$M80)=0),0,IF(SUMPRODUCT(MAX(($C$5:$C$2484=$C80)*($D$5:$D$2484=$D80)*($S$5:$S$2484=1)*IFERROR($N$5:$N$2484*1,0)))&gt;0,ROUND($H80*($N80/SUMPRODUCT(MAX(($C$5:$C$2484=$C80)*($D$5:$D$2484=$D80)*($S$5:$S$2484=1)*IFERROR($N$5:$N$2484*1,0)))),4),0)))</f>
        <v/>
      </c>
      <c r="P80" s="48" t="inlineStr">
        <is>
          <t>Autobus con monitor e indicatori vocali / Autobus totali in offerta, incluse scorte</t>
        </is>
      </c>
      <c r="Q80" s="57">
        <f>IF($A80="","",$A80&amp;"|"&amp;$C80)</f>
        <v/>
      </c>
      <c r="R80" s="57">
        <f>IF($A80="","",$A80&amp;"|"&amp;$C80&amp;"|"&amp;$D80)</f>
        <v/>
      </c>
      <c r="S80" s="57">
        <f>IF($A80="","",IFERROR(INDEX(Offerte!$D$2:$D$81,MATCH($Q80,Offerte!$L$2:$L$81,0)),0))</f>
        <v/>
      </c>
      <c r="T80" s="57">
        <f>IF($A80="","",IFERROR(INDEX(Offerte!$G$2:$G$81,MATCH($Q80,Offerte!$L$2:$L$81,0)),"NO"))</f>
        <v/>
      </c>
    </row>
    <row r="81">
      <c r="A81" s="48">
        <f>IF(Offerte!$A4="","",Offerte!$A4)</f>
        <v/>
      </c>
      <c r="B81" s="48">
        <f>IF(Offerte!$A4="","",Offerte!$B4)</f>
        <v/>
      </c>
      <c r="C81" s="48">
        <f>IF(Offerte!$A4="","",Offerte!$C4)</f>
        <v/>
      </c>
      <c r="D81" s="48" t="inlineStr">
        <is>
          <t>C.3.2</t>
        </is>
      </c>
      <c r="E81" s="48" t="inlineStr">
        <is>
          <t>C</t>
        </is>
      </c>
      <c r="F81" s="48" t="inlineStr">
        <is>
          <t>T</t>
        </is>
      </c>
      <c r="G81" s="48" t="inlineStr">
        <is>
          <t>tabular</t>
        </is>
      </c>
      <c r="H81" s="48" t="n">
        <v>2</v>
      </c>
      <c r="I81" s="48" t="inlineStr">
        <is>
          <t>Informazioni a bordo su coincidenze ai nodi</t>
        </is>
      </c>
      <c r="J81" s="73" t="n"/>
      <c r="K81" s="73" t="n"/>
      <c r="L81" s="73" t="n"/>
      <c r="M81" s="73" t="n"/>
      <c r="N81" s="57">
        <f>IF($A81="","",IF(IFERROR(VALUE($M81),0)=1,1,0))</f>
        <v/>
      </c>
      <c r="O81" s="57">
        <f>IF($A81="",0,IF(OR($S81&lt;&gt;1,COUNTA($J81:$M81)=0),0,IF(AND($N81=1,IFERROR(SUMIFS($N$5:$N$2484,$Q$5:$Q$2484,$Q81,$D$5:$D$2484,"C.3.1"),0)&gt;=0.5),$H81,0)))</f>
        <v/>
      </c>
      <c r="P81" s="48" t="inlineStr">
        <is>
          <t>Dipende da C.3.1 &gt;= 0.5</t>
        </is>
      </c>
      <c r="Q81" s="57">
        <f>IF($A81="","",$A81&amp;"|"&amp;$C81)</f>
        <v/>
      </c>
      <c r="R81" s="57">
        <f>IF($A81="","",$A81&amp;"|"&amp;$C81&amp;"|"&amp;$D81)</f>
        <v/>
      </c>
      <c r="S81" s="57">
        <f>IF($A81="","",IFERROR(INDEX(Offerte!$D$2:$D$81,MATCH($Q81,Offerte!$L$2:$L$81,0)),0))</f>
        <v/>
      </c>
      <c r="T81" s="57">
        <f>IF($A81="","",IFERROR(INDEX(Offerte!$G$2:$G$81,MATCH($Q81,Offerte!$L$2:$L$81,0)),"NO"))</f>
        <v/>
      </c>
    </row>
    <row r="82">
      <c r="A82" s="48">
        <f>IF(Offerte!$A4="","",Offerte!$A4)</f>
        <v/>
      </c>
      <c r="B82" s="48">
        <f>IF(Offerte!$A4="","",Offerte!$B4)</f>
        <v/>
      </c>
      <c r="C82" s="48">
        <f>IF(Offerte!$A4="","",Offerte!$C4)</f>
        <v/>
      </c>
      <c r="D82" s="48" t="inlineStr">
        <is>
          <t>D.1.1</t>
        </is>
      </c>
      <c r="E82" s="48" t="inlineStr">
        <is>
          <t>D</t>
        </is>
      </c>
      <c r="F82" s="48" t="inlineStr">
        <is>
          <t>Q</t>
        </is>
      </c>
      <c r="G82" s="48" t="inlineStr">
        <is>
          <t>higher</t>
        </is>
      </c>
      <c r="H82" s="48" t="n">
        <v>3</v>
      </c>
      <c r="I82" s="48" t="inlineStr">
        <is>
          <t>Installazione di pensiline</t>
        </is>
      </c>
      <c r="J82" s="73" t="n"/>
      <c r="K82" s="73" t="n"/>
      <c r="L82" s="73" t="n"/>
      <c r="M82" s="73" t="n"/>
      <c r="N82" s="57">
        <f>IF($A82="","",IFERROR(VALUE($J82),0))</f>
        <v/>
      </c>
      <c r="O82" s="57">
        <f>IF($A82="",0,IF(OR($S82&lt;&gt;1,COUNTA($J82:$M82)=0),0,IF(SUMPRODUCT(MAX(($C$5:$C$2484=$C82)*($D$5:$D$2484=$D82)*($S$5:$S$2484=1)*IFERROR($N$5:$N$2484*1,0)))&gt;0,ROUND($H82*($N82/SUMPRODUCT(MAX(($C$5:$C$2484=$C82)*($D$5:$D$2484=$D82)*($S$5:$S$2484=1)*IFERROR($N$5:$N$2484*1,0)))),4),0)))</f>
        <v/>
      </c>
      <c r="P82" s="48" t="inlineStr">
        <is>
          <t>fermate</t>
        </is>
      </c>
      <c r="Q82" s="57">
        <f>IF($A82="","",$A82&amp;"|"&amp;$C82)</f>
        <v/>
      </c>
      <c r="R82" s="57">
        <f>IF($A82="","",$A82&amp;"|"&amp;$C82&amp;"|"&amp;$D82)</f>
        <v/>
      </c>
      <c r="S82" s="57">
        <f>IF($A82="","",IFERROR(INDEX(Offerte!$D$2:$D$81,MATCH($Q82,Offerte!$L$2:$L$81,0)),0))</f>
        <v/>
      </c>
      <c r="T82" s="57">
        <f>IF($A82="","",IFERROR(INDEX(Offerte!$G$2:$G$81,MATCH($Q82,Offerte!$L$2:$L$81,0)),"NO"))</f>
        <v/>
      </c>
    </row>
    <row r="83">
      <c r="A83" s="48">
        <f>IF(Offerte!$A4="","",Offerte!$A4)</f>
        <v/>
      </c>
      <c r="B83" s="48">
        <f>IF(Offerte!$A4="","",Offerte!$B4)</f>
        <v/>
      </c>
      <c r="C83" s="48">
        <f>IF(Offerte!$A4="","",Offerte!$C4)</f>
        <v/>
      </c>
      <c r="D83" s="48" t="inlineStr">
        <is>
          <t>D.1.2</t>
        </is>
      </c>
      <c r="E83" s="48" t="inlineStr">
        <is>
          <t>D</t>
        </is>
      </c>
      <c r="F83" s="48" t="inlineStr">
        <is>
          <t>Q</t>
        </is>
      </c>
      <c r="G83" s="48" t="inlineStr">
        <is>
          <t>higher</t>
        </is>
      </c>
      <c r="H83" s="48" t="n">
        <v>3</v>
      </c>
      <c r="I83" s="48" t="inlineStr">
        <is>
          <t>Installazione di paline di fermata conformi alla DGR 581/2023</t>
        </is>
      </c>
      <c r="J83" s="73" t="n"/>
      <c r="K83" s="73" t="n"/>
      <c r="L83" s="73" t="n"/>
      <c r="M83" s="73" t="n"/>
      <c r="N83" s="57">
        <f>IF($A83="","",IFERROR(VALUE($J83),0))</f>
        <v/>
      </c>
      <c r="O83" s="57">
        <f>IF($A83="",0,IF(OR($S83&lt;&gt;1,COUNTA($J83:$M83)=0),0,IF(SUMPRODUCT(MAX(($C$5:$C$2484=$C83)*($D$5:$D$2484=$D83)*($S$5:$S$2484=1)*IFERROR($N$5:$N$2484*1,0)))&gt;0,ROUND($H83*($N83/SUMPRODUCT(MAX(($C$5:$C$2484=$C83)*($D$5:$D$2484=$D83)*($S$5:$S$2484=1)*IFERROR($N$5:$N$2484*1,0)))),4),0)))</f>
        <v/>
      </c>
      <c r="P83" s="48" t="inlineStr">
        <is>
          <t>fermate</t>
        </is>
      </c>
      <c r="Q83" s="57">
        <f>IF($A83="","",$A83&amp;"|"&amp;$C83)</f>
        <v/>
      </c>
      <c r="R83" s="57">
        <f>IF($A83="","",$A83&amp;"|"&amp;$C83&amp;"|"&amp;$D83)</f>
        <v/>
      </c>
      <c r="S83" s="57">
        <f>IF($A83="","",IFERROR(INDEX(Offerte!$D$2:$D$81,MATCH($Q83,Offerte!$L$2:$L$81,0)),0))</f>
        <v/>
      </c>
      <c r="T83" s="57">
        <f>IF($A83="","",IFERROR(INDEX(Offerte!$G$2:$G$81,MATCH($Q83,Offerte!$L$2:$L$81,0)),"NO"))</f>
        <v/>
      </c>
    </row>
    <row r="84">
      <c r="A84" s="48">
        <f>IF(Offerte!$A4="","",Offerte!$A4)</f>
        <v/>
      </c>
      <c r="B84" s="48">
        <f>IF(Offerte!$A4="","",Offerte!$B4)</f>
        <v/>
      </c>
      <c r="C84" s="48">
        <f>IF(Offerte!$A4="","",Offerte!$C4)</f>
        <v/>
      </c>
      <c r="D84" s="48" t="inlineStr">
        <is>
          <t>D.1.3</t>
        </is>
      </c>
      <c r="E84" s="48" t="inlineStr">
        <is>
          <t>D</t>
        </is>
      </c>
      <c r="F84" s="48" t="inlineStr">
        <is>
          <t>Q</t>
        </is>
      </c>
      <c r="G84" s="48" t="inlineStr">
        <is>
          <t>higher</t>
        </is>
      </c>
      <c r="H84" s="48" t="n">
        <v>2</v>
      </c>
      <c r="I84" s="48" t="inlineStr">
        <is>
          <t>Display informativi connessi alle fermate</t>
        </is>
      </c>
      <c r="J84" s="73" t="n"/>
      <c r="K84" s="73" t="n"/>
      <c r="L84" s="73" t="n"/>
      <c r="M84" s="73" t="n"/>
      <c r="N84" s="57">
        <f>IF($A84="","",IFERROR(VALUE($J84),0))</f>
        <v/>
      </c>
      <c r="O84" s="57">
        <f>IF($A84="",0,IF(OR($S84&lt;&gt;1,COUNTA($J84:$M84)=0),0,IF(SUMPRODUCT(MAX(($C$5:$C$2484=$C84)*($D$5:$D$2484=$D84)*($S$5:$S$2484=1)*IFERROR($N$5:$N$2484*1,0)))&gt;0,ROUND($H84*($N84/SUMPRODUCT(MAX(($C$5:$C$2484=$C84)*($D$5:$D$2484=$D84)*($S$5:$S$2484=1)*IFERROR($N$5:$N$2484*1,0)))),4),0)))</f>
        <v/>
      </c>
      <c r="P84" s="48" t="inlineStr">
        <is>
          <t>fermate</t>
        </is>
      </c>
      <c r="Q84" s="57">
        <f>IF($A84="","",$A84&amp;"|"&amp;$C84)</f>
        <v/>
      </c>
      <c r="R84" s="57">
        <f>IF($A84="","",$A84&amp;"|"&amp;$C84&amp;"|"&amp;$D84)</f>
        <v/>
      </c>
      <c r="S84" s="57">
        <f>IF($A84="","",IFERROR(INDEX(Offerte!$D$2:$D$81,MATCH($Q84,Offerte!$L$2:$L$81,0)),0))</f>
        <v/>
      </c>
      <c r="T84" s="57">
        <f>IF($A84="","",IFERROR(INDEX(Offerte!$G$2:$G$81,MATCH($Q84,Offerte!$L$2:$L$81,0)),"NO"))</f>
        <v/>
      </c>
    </row>
    <row r="85">
      <c r="A85" s="48">
        <f>IF(Offerte!$A4="","",Offerte!$A4)</f>
        <v/>
      </c>
      <c r="B85" s="48">
        <f>IF(Offerte!$A4="","",Offerte!$B4)</f>
        <v/>
      </c>
      <c r="C85" s="48">
        <f>IF(Offerte!$A4="","",Offerte!$C4)</f>
        <v/>
      </c>
      <c r="D85" s="48" t="inlineStr">
        <is>
          <t>D.2.1</t>
        </is>
      </c>
      <c r="E85" s="48" t="inlineStr">
        <is>
          <t>D</t>
        </is>
      </c>
      <c r="F85" s="48" t="inlineStr">
        <is>
          <t>Q</t>
        </is>
      </c>
      <c r="G85" s="48" t="inlineStr">
        <is>
          <t>higher</t>
        </is>
      </c>
      <c r="H85" s="48" t="n">
        <v>2</v>
      </c>
      <c r="I85" s="48" t="inlineStr">
        <is>
          <t>Segnali tattili Loges-Vet-Evolution</t>
        </is>
      </c>
      <c r="J85" s="73" t="n"/>
      <c r="K85" s="73" t="n"/>
      <c r="L85" s="73" t="n"/>
      <c r="M85" s="73" t="n"/>
      <c r="N85" s="57">
        <f>IF($A85="","",IFERROR(VALUE($J85),0))</f>
        <v/>
      </c>
      <c r="O85" s="57">
        <f>IF($A85="",0,IF(OR($S85&lt;&gt;1,COUNTA($J85:$M85)=0),0,IF(SUMPRODUCT(MAX(($C$5:$C$2484=$C85)*($D$5:$D$2484=$D85)*($S$5:$S$2484=1)*IFERROR($N$5:$N$2484*1,0)))&gt;0,ROUND($H85*($N85/SUMPRODUCT(MAX(($C$5:$C$2484=$C85)*($D$5:$D$2484=$D85)*($S$5:$S$2484=1)*IFERROR($N$5:$N$2484*1,0)))),4),0)))</f>
        <v/>
      </c>
      <c r="P85" s="48" t="inlineStr">
        <is>
          <t>fermate</t>
        </is>
      </c>
      <c r="Q85" s="57">
        <f>IF($A85="","",$A85&amp;"|"&amp;$C85)</f>
        <v/>
      </c>
      <c r="R85" s="57">
        <f>IF($A85="","",$A85&amp;"|"&amp;$C85&amp;"|"&amp;$D85)</f>
        <v/>
      </c>
      <c r="S85" s="57">
        <f>IF($A85="","",IFERROR(INDEX(Offerte!$D$2:$D$81,MATCH($Q85,Offerte!$L$2:$L$81,0)),0))</f>
        <v/>
      </c>
      <c r="T85" s="57">
        <f>IF($A85="","",IFERROR(INDEX(Offerte!$G$2:$G$81,MATCH($Q85,Offerte!$L$2:$L$81,0)),"NO"))</f>
        <v/>
      </c>
    </row>
    <row r="86">
      <c r="A86" s="48">
        <f>IF(Offerte!$A4="","",Offerte!$A4)</f>
        <v/>
      </c>
      <c r="B86" s="48">
        <f>IF(Offerte!$A4="","",Offerte!$B4)</f>
        <v/>
      </c>
      <c r="C86" s="48">
        <f>IF(Offerte!$A4="","",Offerte!$C4)</f>
        <v/>
      </c>
      <c r="D86" s="48" t="inlineStr">
        <is>
          <t>E.1.1</t>
        </is>
      </c>
      <c r="E86" s="48" t="inlineStr">
        <is>
          <t>E</t>
        </is>
      </c>
      <c r="F86" s="48" t="inlineStr">
        <is>
          <t>T</t>
        </is>
      </c>
      <c r="G86" s="48" t="inlineStr">
        <is>
          <t>tabular</t>
        </is>
      </c>
      <c r="H86" s="48" t="n">
        <v>2</v>
      </c>
      <c r="I86" s="48" t="inlineStr">
        <is>
          <t>Mobile app con travel planner PRM</t>
        </is>
      </c>
      <c r="J86" s="73" t="n"/>
      <c r="K86" s="73" t="n"/>
      <c r="L86" s="73" t="n"/>
      <c r="M86" s="73" t="n"/>
      <c r="N86" s="57">
        <f>IF($A86="","",IF(IFERROR(VALUE($M86),0)=1,1,0))</f>
        <v/>
      </c>
      <c r="O86" s="57">
        <f>IF($A86="",0,IF(OR($S86&lt;&gt;1,COUNTA($J86:$M86)=0),0,IF($N86=1,$H86,0)))</f>
        <v/>
      </c>
      <c r="P86" s="48" t="inlineStr">
        <is>
          <t>sì/no</t>
        </is>
      </c>
      <c r="Q86" s="57">
        <f>IF($A86="","",$A86&amp;"|"&amp;$C86)</f>
        <v/>
      </c>
      <c r="R86" s="57">
        <f>IF($A86="","",$A86&amp;"|"&amp;$C86&amp;"|"&amp;$D86)</f>
        <v/>
      </c>
      <c r="S86" s="57">
        <f>IF($A86="","",IFERROR(INDEX(Offerte!$D$2:$D$81,MATCH($Q86,Offerte!$L$2:$L$81,0)),0))</f>
        <v/>
      </c>
      <c r="T86" s="57">
        <f>IF($A86="","",IFERROR(INDEX(Offerte!$G$2:$G$81,MATCH($Q86,Offerte!$L$2:$L$81,0)),"NO"))</f>
        <v/>
      </c>
    </row>
    <row r="87">
      <c r="A87" s="48">
        <f>IF(Offerte!$A4="","",Offerte!$A4)</f>
        <v/>
      </c>
      <c r="B87" s="48">
        <f>IF(Offerte!$A4="","",Offerte!$B4)</f>
        <v/>
      </c>
      <c r="C87" s="48">
        <f>IF(Offerte!$A4="","",Offerte!$C4)</f>
        <v/>
      </c>
      <c r="D87" s="48" t="inlineStr">
        <is>
          <t>E.2.1</t>
        </is>
      </c>
      <c r="E87" s="48" t="inlineStr">
        <is>
          <t>E</t>
        </is>
      </c>
      <c r="F87" s="48" t="inlineStr">
        <is>
          <t>D</t>
        </is>
      </c>
      <c r="G87" s="48" t="inlineStr">
        <is>
          <t>discretionary</t>
        </is>
      </c>
      <c r="H87" s="48" t="n">
        <v>2</v>
      </c>
      <c r="I87" s="48" t="inlineStr">
        <is>
          <t>Altre azioni informative e rapporti con gli utenti</t>
        </is>
      </c>
      <c r="J87" s="73" t="n"/>
      <c r="K87" s="73" t="n"/>
      <c r="L87" s="73" t="n"/>
      <c r="M87" s="73" t="n"/>
      <c r="N87" s="57">
        <f>IF($A87="","",MAX(0,MIN(1,IFERROR(VALUE($M87),0))))</f>
        <v/>
      </c>
      <c r="O87" s="57">
        <f>IF($A87="",0,IF(OR($S87&lt;&gt;1,COUNTA($J87:$M87)=0),0,IF(SUMPRODUCT(MAX(($C$5:$C$2484=$C87)*($D$5:$D$2484=$D87)*($S$5:$S$2484=1)*IFERROR($N$5:$N$2484*1,0)))&gt;0,ROUND($H87*($N87/SUMPRODUCT(MAX(($C$5:$C$2484=$C87)*($D$5:$D$2484=$D87)*($S$5:$S$2484=1)*IFERROR($N$5:$N$2484*1,0)))),4),0)))</f>
        <v/>
      </c>
      <c r="P87" s="48" t="inlineStr">
        <is>
          <t>coeff.</t>
        </is>
      </c>
      <c r="Q87" s="57">
        <f>IF($A87="","",$A87&amp;"|"&amp;$C87)</f>
        <v/>
      </c>
      <c r="R87" s="57">
        <f>IF($A87="","",$A87&amp;"|"&amp;$C87&amp;"|"&amp;$D87)</f>
        <v/>
      </c>
      <c r="S87" s="57">
        <f>IF($A87="","",IFERROR(INDEX(Offerte!$D$2:$D$81,MATCH($Q87,Offerte!$L$2:$L$81,0)),0))</f>
        <v/>
      </c>
      <c r="T87" s="57">
        <f>IF($A87="","",IFERROR(INDEX(Offerte!$G$2:$G$81,MATCH($Q87,Offerte!$L$2:$L$81,0)),"NO"))</f>
        <v/>
      </c>
    </row>
    <row r="88">
      <c r="A88" s="48">
        <f>IF(Offerte!$A4="","",Offerte!$A4)</f>
        <v/>
      </c>
      <c r="B88" s="48">
        <f>IF(Offerte!$A4="","",Offerte!$B4)</f>
        <v/>
      </c>
      <c r="C88" s="48">
        <f>IF(Offerte!$A4="","",Offerte!$C4)</f>
        <v/>
      </c>
      <c r="D88" s="48" t="inlineStr">
        <is>
          <t>F.1.1</t>
        </is>
      </c>
      <c r="E88" s="48" t="inlineStr">
        <is>
          <t>F</t>
        </is>
      </c>
      <c r="F88" s="48" t="inlineStr">
        <is>
          <t>Q</t>
        </is>
      </c>
      <c r="G88" s="48" t="inlineStr">
        <is>
          <t>lower</t>
        </is>
      </c>
      <c r="H88" s="48" t="n">
        <v>7</v>
      </c>
      <c r="I88" s="48" t="inlineStr">
        <is>
          <t>Performance ambientali del parco mezzi adibito al servizio - I_CEA</t>
        </is>
      </c>
      <c r="J88" s="73" t="n"/>
      <c r="K88" s="73" t="n"/>
      <c r="L88" s="73" t="n"/>
      <c r="M88" s="73" t="n"/>
      <c r="N88" s="57">
        <f>IF($A88="","",IFERROR(VALUE($J88),0))</f>
        <v/>
      </c>
      <c r="O88" s="57">
        <f>IF($A88="",0,IF(OR($S88&lt;&gt;1,COUNTA($J88:$M88)=0),0,IF(AND(IFERROR(AGGREGATE(15,6,$N$5:$N$2484/(($C$5:$C$2484=$C88)*($D$5:$D$2484=$D88)*($S$5:$S$2484=1)*($N$5:$N$2484&gt;0)),1),0)&gt;0,$N88&gt;0),ROUND($H88*(IFERROR(AGGREGATE(15,6,$N$5:$N$2484/(($C$5:$C$2484=$C88)*($D$5:$D$2484=$D88)*($S$5:$S$2484=1)*($N$5:$N$2484&gt;0)),1),0)/$N88),4),0)))</f>
        <v/>
      </c>
      <c r="P88" s="48" t="inlineStr">
        <is>
          <t>indice</t>
        </is>
      </c>
      <c r="Q88" s="57">
        <f>IF($A88="","",$A88&amp;"|"&amp;$C88)</f>
        <v/>
      </c>
      <c r="R88" s="57">
        <f>IF($A88="","",$A88&amp;"|"&amp;$C88&amp;"|"&amp;$D88)</f>
        <v/>
      </c>
      <c r="S88" s="57">
        <f>IF($A88="","",IFERROR(INDEX(Offerte!$D$2:$D$81,MATCH($Q88,Offerte!$L$2:$L$81,0)),0))</f>
        <v/>
      </c>
      <c r="T88" s="57">
        <f>IF($A88="","",IFERROR(INDEX(Offerte!$G$2:$G$81,MATCH($Q88,Offerte!$L$2:$L$81,0)),"NO"))</f>
        <v/>
      </c>
    </row>
    <row r="89">
      <c r="A89" s="48">
        <f>IF(Offerte!$A4="","",Offerte!$A4)</f>
        <v/>
      </c>
      <c r="B89" s="48">
        <f>IF(Offerte!$A4="","",Offerte!$B4)</f>
        <v/>
      </c>
      <c r="C89" s="48">
        <f>IF(Offerte!$A4="","",Offerte!$C4)</f>
        <v/>
      </c>
      <c r="D89" s="48" t="inlineStr">
        <is>
          <t>F.2.1</t>
        </is>
      </c>
      <c r="E89" s="48" t="inlineStr">
        <is>
          <t>F</t>
        </is>
      </c>
      <c r="F89" s="48" t="inlineStr">
        <is>
          <t>Q</t>
        </is>
      </c>
      <c r="G89" s="48" t="inlineStr">
        <is>
          <t>higher</t>
        </is>
      </c>
      <c r="H89" s="48" t="n">
        <v>2</v>
      </c>
      <c r="I89" s="48" t="inlineStr">
        <is>
          <t>Tasso di copertura del servizio con dispositivi ECO-DRIVER</t>
        </is>
      </c>
      <c r="J89" s="73" t="n"/>
      <c r="K89" s="73" t="n"/>
      <c r="L89" s="73" t="n"/>
      <c r="M89" s="73" t="n"/>
      <c r="N89" s="57">
        <f>IF($A89="","",IFERROR(VALUE($K89)/VALUE($L89),IFERROR(VALUE($J89),0)))</f>
        <v/>
      </c>
      <c r="O89" s="57">
        <f>IF($A89="",0,IF(OR($S89&lt;&gt;1,COUNTA($J89:$M89)=0),0,IF(SUMPRODUCT(MAX(($C$5:$C$2484=$C89)*($D$5:$D$2484=$D89)*($S$5:$S$2484=1)*IFERROR($N$5:$N$2484*1,0)))&gt;0,ROUND($H89*($N89/SUMPRODUCT(MAX(($C$5:$C$2484=$C89)*($D$5:$D$2484=$D89)*($S$5:$S$2484=1)*IFERROR($N$5:$N$2484*1,0)))),4),0)))</f>
        <v/>
      </c>
      <c r="P89" s="48" t="inlineStr">
        <is>
          <t>Autobus attrezzati con dispositivi ECO-DRIVER / Autobus totali in offerta, incluse scorte</t>
        </is>
      </c>
      <c r="Q89" s="57">
        <f>IF($A89="","",$A89&amp;"|"&amp;$C89)</f>
        <v/>
      </c>
      <c r="R89" s="57">
        <f>IF($A89="","",$A89&amp;"|"&amp;$C89&amp;"|"&amp;$D89)</f>
        <v/>
      </c>
      <c r="S89" s="57">
        <f>IF($A89="","",IFERROR(INDEX(Offerte!$D$2:$D$81,MATCH($Q89,Offerte!$L$2:$L$81,0)),0))</f>
        <v/>
      </c>
      <c r="T89" s="57">
        <f>IF($A89="","",IFERROR(INDEX(Offerte!$G$2:$G$81,MATCH($Q89,Offerte!$L$2:$L$81,0)),"NO"))</f>
        <v/>
      </c>
    </row>
    <row r="90">
      <c r="A90" s="48">
        <f>IF(Offerte!$A4="","",Offerte!$A4)</f>
        <v/>
      </c>
      <c r="B90" s="48">
        <f>IF(Offerte!$A4="","",Offerte!$B4)</f>
        <v/>
      </c>
      <c r="C90" s="48">
        <f>IF(Offerte!$A4="","",Offerte!$C4)</f>
        <v/>
      </c>
      <c r="D90" s="48" t="inlineStr">
        <is>
          <t>F.3.1</t>
        </is>
      </c>
      <c r="E90" s="48" t="inlineStr">
        <is>
          <t>F</t>
        </is>
      </c>
      <c r="F90" s="48" t="inlineStr">
        <is>
          <t>Q</t>
        </is>
      </c>
      <c r="G90" s="48" t="inlineStr">
        <is>
          <t>higher</t>
        </is>
      </c>
      <c r="H90" s="48" t="n">
        <v>2</v>
      </c>
      <c r="I90" s="48" t="inlineStr">
        <is>
          <t>Autoproduzione consumi elettrici per trazione</t>
        </is>
      </c>
      <c r="J90" s="73" t="n"/>
      <c r="K90" s="73" t="n"/>
      <c r="L90" s="73" t="n"/>
      <c r="M90" s="73" t="n"/>
      <c r="N90" s="57">
        <f>IF($A90="","",IFERROR(VALUE($J90),0))</f>
        <v/>
      </c>
      <c r="O90" s="57">
        <f>IF($A90="",0,IF(OR($S90&lt;&gt;1,COUNTA($J90:$M90)=0),0,IF(SUMPRODUCT(MAX(($C$5:$C$2484=$C90)*($D$5:$D$2484=$D90)*($S$5:$S$2484=1)*IFERROR($N$5:$N$2484*1,0)))&gt;0,ROUND($H90*($N90/SUMPRODUCT(MAX(($C$5:$C$2484=$C90)*($D$5:$D$2484=$D90)*($S$5:$S$2484=1)*IFERROR($N$5:$N$2484*1,0)))),4),0)))</f>
        <v/>
      </c>
      <c r="P90" s="48" t="inlineStr">
        <is>
          <t>kWh/anno</t>
        </is>
      </c>
      <c r="Q90" s="57">
        <f>IF($A90="","",$A90&amp;"|"&amp;$C90)</f>
        <v/>
      </c>
      <c r="R90" s="57">
        <f>IF($A90="","",$A90&amp;"|"&amp;$C90&amp;"|"&amp;$D90)</f>
        <v/>
      </c>
      <c r="S90" s="57">
        <f>IF($A90="","",IFERROR(INDEX(Offerte!$D$2:$D$81,MATCH($Q90,Offerte!$L$2:$L$81,0)),0))</f>
        <v/>
      </c>
      <c r="T90" s="57">
        <f>IF($A90="","",IFERROR(INDEX(Offerte!$G$2:$G$81,MATCH($Q90,Offerte!$L$2:$L$81,0)),"NO"))</f>
        <v/>
      </c>
    </row>
    <row r="91">
      <c r="A91" s="48">
        <f>IF(Offerte!$A4="","",Offerte!$A4)</f>
        <v/>
      </c>
      <c r="B91" s="48">
        <f>IF(Offerte!$A4="","",Offerte!$B4)</f>
        <v/>
      </c>
      <c r="C91" s="48">
        <f>IF(Offerte!$A4="","",Offerte!$C4)</f>
        <v/>
      </c>
      <c r="D91" s="48" t="inlineStr">
        <is>
          <t>F.4.1</t>
        </is>
      </c>
      <c r="E91" s="48" t="inlineStr">
        <is>
          <t>F</t>
        </is>
      </c>
      <c r="F91" s="48" t="inlineStr">
        <is>
          <t>Q</t>
        </is>
      </c>
      <c r="G91" s="48" t="inlineStr">
        <is>
          <t>soil</t>
        </is>
      </c>
      <c r="H91" s="48" t="n">
        <v>2</v>
      </c>
      <c r="I91" s="48" t="inlineStr">
        <is>
          <t>Indice di consumo di suolo</t>
        </is>
      </c>
      <c r="J91" s="73" t="n"/>
      <c r="K91" s="73" t="n"/>
      <c r="L91" s="73" t="n"/>
      <c r="M91" s="73" t="n"/>
      <c r="N91" s="57">
        <f>IF($A91="","",IFERROR(VALUE($J91),0))</f>
        <v/>
      </c>
      <c r="O91" s="57">
        <f>IF($A91="",0,IF(OR($S91&lt;&gt;1,COUNTA($J91:$M91)=0),0,IF($N91&lt;=0,$H91,IF(SUMPRODUCT(MAX(($C$5:$C$2484=$C91)*($D$5:$D$2484=$D91)*($S$5:$S$2484=1)*IFERROR($N$5:$N$2484*1,0)))&gt;0,ROUND($H91*((SUMPRODUCT(MAX(($C$5:$C$2484=$C91)*($D$5:$D$2484=$D91)*($S$5:$S$2484=1)*IFERROR($N$5:$N$2484*1,0)))-$N91)/SUMPRODUCT(MAX(($C$5:$C$2484=$C91)*($D$5:$D$2484=$D91)*($S$5:$S$2484=1)*IFERROR($N$5:$N$2484*1,0)))),4),0))))</f>
        <v/>
      </c>
      <c r="P91" s="48" t="inlineStr">
        <is>
          <t>m2</t>
        </is>
      </c>
      <c r="Q91" s="57">
        <f>IF($A91="","",$A91&amp;"|"&amp;$C91)</f>
        <v/>
      </c>
      <c r="R91" s="57">
        <f>IF($A91="","",$A91&amp;"|"&amp;$C91&amp;"|"&amp;$D91)</f>
        <v/>
      </c>
      <c r="S91" s="57">
        <f>IF($A91="","",IFERROR(INDEX(Offerte!$D$2:$D$81,MATCH($Q91,Offerte!$L$2:$L$81,0)),0))</f>
        <v/>
      </c>
      <c r="T91" s="57">
        <f>IF($A91="","",IFERROR(INDEX(Offerte!$G$2:$G$81,MATCH($Q91,Offerte!$L$2:$L$81,0)),"NO"))</f>
        <v/>
      </c>
    </row>
    <row r="92">
      <c r="A92" s="48">
        <f>IF(Offerte!$A4="","",Offerte!$A4)</f>
        <v/>
      </c>
      <c r="B92" s="48">
        <f>IF(Offerte!$A4="","",Offerte!$B4)</f>
        <v/>
      </c>
      <c r="C92" s="48">
        <f>IF(Offerte!$A4="","",Offerte!$C4)</f>
        <v/>
      </c>
      <c r="D92" s="48" t="inlineStr">
        <is>
          <t>F.5.1</t>
        </is>
      </c>
      <c r="E92" s="48" t="inlineStr">
        <is>
          <t>F</t>
        </is>
      </c>
      <c r="F92" s="48" t="inlineStr">
        <is>
          <t>T</t>
        </is>
      </c>
      <c r="G92" s="48" t="inlineStr">
        <is>
          <t>tabular</t>
        </is>
      </c>
      <c r="H92" s="48" t="n">
        <v>1</v>
      </c>
      <c r="I92" s="48" t="inlineStr">
        <is>
          <t>Rendicontazione di sostenibilità ambientale</t>
        </is>
      </c>
      <c r="J92" s="73" t="n"/>
      <c r="K92" s="73" t="n"/>
      <c r="L92" s="73" t="n"/>
      <c r="M92" s="73" t="n"/>
      <c r="N92" s="57">
        <f>IF($A92="","",IF(IFERROR(VALUE($M92),0)=1,1,0))</f>
        <v/>
      </c>
      <c r="O92" s="57">
        <f>IF($A92="",0,IF(OR($S92&lt;&gt;1,COUNTA($J92:$M92)=0),0,IF($N92=1,$H92,0)))</f>
        <v/>
      </c>
      <c r="P92" s="48" t="inlineStr">
        <is>
          <t>sì/no</t>
        </is>
      </c>
      <c r="Q92" s="57">
        <f>IF($A92="","",$A92&amp;"|"&amp;$C92)</f>
        <v/>
      </c>
      <c r="R92" s="57">
        <f>IF($A92="","",$A92&amp;"|"&amp;$C92&amp;"|"&amp;$D92)</f>
        <v/>
      </c>
      <c r="S92" s="57">
        <f>IF($A92="","",IFERROR(INDEX(Offerte!$D$2:$D$81,MATCH($Q92,Offerte!$L$2:$L$81,0)),0))</f>
        <v/>
      </c>
      <c r="T92" s="57">
        <f>IF($A92="","",IFERROR(INDEX(Offerte!$G$2:$G$81,MATCH($Q92,Offerte!$L$2:$L$81,0)),"NO"))</f>
        <v/>
      </c>
    </row>
    <row r="93">
      <c r="A93" s="48">
        <f>IF(Offerte!$A4="","",Offerte!$A4)</f>
        <v/>
      </c>
      <c r="B93" s="48">
        <f>IF(Offerte!$A4="","",Offerte!$B4)</f>
        <v/>
      </c>
      <c r="C93" s="48">
        <f>IF(Offerte!$A4="","",Offerte!$C4)</f>
        <v/>
      </c>
      <c r="D93" s="48" t="inlineStr">
        <is>
          <t>G.1.1</t>
        </is>
      </c>
      <c r="E93" s="48" t="inlineStr">
        <is>
          <t>G</t>
        </is>
      </c>
      <c r="F93" s="48" t="inlineStr">
        <is>
          <t>D</t>
        </is>
      </c>
      <c r="G93" s="48" t="inlineStr">
        <is>
          <t>discretionary</t>
        </is>
      </c>
      <c r="H93" s="48" t="n">
        <v>2</v>
      </c>
      <c r="I93" s="48" t="inlineStr">
        <is>
          <t>Qualità del progetto di centrale di controllo aziendale</t>
        </is>
      </c>
      <c r="J93" s="73" t="n"/>
      <c r="K93" s="73" t="n"/>
      <c r="L93" s="73" t="n"/>
      <c r="M93" s="73" t="n"/>
      <c r="N93" s="57">
        <f>IF($A93="","",MAX(0,MIN(1,IFERROR(VALUE($M93),0))))</f>
        <v/>
      </c>
      <c r="O93" s="57">
        <f>IF($A93="",0,IF(OR($S93&lt;&gt;1,COUNTA($J93:$M93)=0),0,IF(SUMPRODUCT(MAX(($C$5:$C$2484=$C93)*($D$5:$D$2484=$D93)*($S$5:$S$2484=1)*IFERROR($N$5:$N$2484*1,0)))&gt;0,ROUND($H93*($N93/SUMPRODUCT(MAX(($C$5:$C$2484=$C93)*($D$5:$D$2484=$D93)*($S$5:$S$2484=1)*IFERROR($N$5:$N$2484*1,0)))),4),0)))</f>
        <v/>
      </c>
      <c r="P93" s="48" t="inlineStr">
        <is>
          <t>coeff.</t>
        </is>
      </c>
      <c r="Q93" s="57">
        <f>IF($A93="","",$A93&amp;"|"&amp;$C93)</f>
        <v/>
      </c>
      <c r="R93" s="57">
        <f>IF($A93="","",$A93&amp;"|"&amp;$C93&amp;"|"&amp;$D93)</f>
        <v/>
      </c>
      <c r="S93" s="57">
        <f>IF($A93="","",IFERROR(INDEX(Offerte!$D$2:$D$81,MATCH($Q93,Offerte!$L$2:$L$81,0)),0))</f>
        <v/>
      </c>
      <c r="T93" s="57">
        <f>IF($A93="","",IFERROR(INDEX(Offerte!$G$2:$G$81,MATCH($Q93,Offerte!$L$2:$L$81,0)),"NO"))</f>
        <v/>
      </c>
    </row>
    <row r="94">
      <c r="A94" s="48">
        <f>IF(Offerte!$A4="","",Offerte!$A4)</f>
        <v/>
      </c>
      <c r="B94" s="48">
        <f>IF(Offerte!$A4="","",Offerte!$B4)</f>
        <v/>
      </c>
      <c r="C94" s="48">
        <f>IF(Offerte!$A4="","",Offerte!$C4)</f>
        <v/>
      </c>
      <c r="D94" s="48" t="inlineStr">
        <is>
          <t>G.2.1</t>
        </is>
      </c>
      <c r="E94" s="48" t="inlineStr">
        <is>
          <t>G</t>
        </is>
      </c>
      <c r="F94" s="48" t="inlineStr">
        <is>
          <t>T</t>
        </is>
      </c>
      <c r="G94" s="48" t="inlineStr">
        <is>
          <t>tabular</t>
        </is>
      </c>
      <c r="H94" s="48" t="n">
        <v>1</v>
      </c>
      <c r="I94" s="48" t="inlineStr">
        <is>
          <t>Certificazione ISO 45001</t>
        </is>
      </c>
      <c r="J94" s="73" t="n"/>
      <c r="K94" s="73" t="n"/>
      <c r="L94" s="73" t="n"/>
      <c r="M94" s="73" t="n"/>
      <c r="N94" s="57">
        <f>IF($A94="","",IF(IFERROR(VALUE($M94),0)=1,1,0))</f>
        <v/>
      </c>
      <c r="O94" s="57">
        <f>IF($A94="",0,IF(OR($S94&lt;&gt;1,COUNTA($J94:$M94)=0),0,IF($N94=1,$H94,0)))</f>
        <v/>
      </c>
      <c r="P94" s="48" t="inlineStr">
        <is>
          <t>sì/no</t>
        </is>
      </c>
      <c r="Q94" s="57">
        <f>IF($A94="","",$A94&amp;"|"&amp;$C94)</f>
        <v/>
      </c>
      <c r="R94" s="57">
        <f>IF($A94="","",$A94&amp;"|"&amp;$C94&amp;"|"&amp;$D94)</f>
        <v/>
      </c>
      <c r="S94" s="57">
        <f>IF($A94="","",IFERROR(INDEX(Offerte!$D$2:$D$81,MATCH($Q94,Offerte!$L$2:$L$81,0)),0))</f>
        <v/>
      </c>
      <c r="T94" s="57">
        <f>IF($A94="","",IFERROR(INDEX(Offerte!$G$2:$G$81,MATCH($Q94,Offerte!$L$2:$L$81,0)),"NO"))</f>
        <v/>
      </c>
    </row>
    <row r="95">
      <c r="A95" s="48">
        <f>IF(Offerte!$A4="","",Offerte!$A4)</f>
        <v/>
      </c>
      <c r="B95" s="48">
        <f>IF(Offerte!$A4="","",Offerte!$B4)</f>
        <v/>
      </c>
      <c r="C95" s="48">
        <f>IF(Offerte!$A4="","",Offerte!$C4)</f>
        <v/>
      </c>
      <c r="D95" s="48" t="inlineStr">
        <is>
          <t>G.3.1</t>
        </is>
      </c>
      <c r="E95" s="48" t="inlineStr">
        <is>
          <t>G</t>
        </is>
      </c>
      <c r="F95" s="48" t="inlineStr">
        <is>
          <t>T</t>
        </is>
      </c>
      <c r="G95" s="48" t="inlineStr">
        <is>
          <t>tabular</t>
        </is>
      </c>
      <c r="H95" s="48" t="n">
        <v>1</v>
      </c>
      <c r="I95" s="48" t="inlineStr">
        <is>
          <t>Certificazioni di responsabilità sociale</t>
        </is>
      </c>
      <c r="J95" s="73" t="n"/>
      <c r="K95" s="73" t="n"/>
      <c r="L95" s="73" t="n"/>
      <c r="M95" s="73" t="n"/>
      <c r="N95" s="57">
        <f>IF($A95="","",IF(IFERROR(VALUE($M95),0)=1,1,0))</f>
        <v/>
      </c>
      <c r="O95" s="57">
        <f>IF($A95="",0,IF(OR($S95&lt;&gt;1,COUNTA($J95:$M95)=0),0,IF($N95=1,$H95,0)))</f>
        <v/>
      </c>
      <c r="P95" s="48" t="inlineStr">
        <is>
          <t>sì/no</t>
        </is>
      </c>
      <c r="Q95" s="57">
        <f>IF($A95="","",$A95&amp;"|"&amp;$C95)</f>
        <v/>
      </c>
      <c r="R95" s="57">
        <f>IF($A95="","",$A95&amp;"|"&amp;$C95&amp;"|"&amp;$D95)</f>
        <v/>
      </c>
      <c r="S95" s="57">
        <f>IF($A95="","",IFERROR(INDEX(Offerte!$D$2:$D$81,MATCH($Q95,Offerte!$L$2:$L$81,0)),0))</f>
        <v/>
      </c>
      <c r="T95" s="57">
        <f>IF($A95="","",IFERROR(INDEX(Offerte!$G$2:$G$81,MATCH($Q95,Offerte!$L$2:$L$81,0)),"NO"))</f>
        <v/>
      </c>
    </row>
    <row r="96">
      <c r="A96" s="48">
        <f>IF(Offerte!$A4="","",Offerte!$A4)</f>
        <v/>
      </c>
      <c r="B96" s="48">
        <f>IF(Offerte!$A4="","",Offerte!$B4)</f>
        <v/>
      </c>
      <c r="C96" s="48">
        <f>IF(Offerte!$A4="","",Offerte!$C4)</f>
        <v/>
      </c>
      <c r="D96" s="48" t="inlineStr">
        <is>
          <t>G.4.1</t>
        </is>
      </c>
      <c r="E96" s="48" t="inlineStr">
        <is>
          <t>G</t>
        </is>
      </c>
      <c r="F96" s="48" t="inlineStr">
        <is>
          <t>D</t>
        </is>
      </c>
      <c r="G96" s="48" t="inlineStr">
        <is>
          <t>discretionary</t>
        </is>
      </c>
      <c r="H96" s="48" t="n">
        <v>2</v>
      </c>
      <c r="I96" s="48" t="inlineStr">
        <is>
          <t>Qualità del piano di formazione del personale</t>
        </is>
      </c>
      <c r="J96" s="73" t="n"/>
      <c r="K96" s="73" t="n"/>
      <c r="L96" s="73" t="n"/>
      <c r="M96" s="73" t="n"/>
      <c r="N96" s="57">
        <f>IF($A96="","",MAX(0,MIN(1,IFERROR(VALUE($M96),0))))</f>
        <v/>
      </c>
      <c r="O96" s="57">
        <f>IF($A96="",0,IF(OR($S96&lt;&gt;1,COUNTA($J96:$M96)=0),0,IF(SUMPRODUCT(MAX(($C$5:$C$2484=$C96)*($D$5:$D$2484=$D96)*($S$5:$S$2484=1)*IFERROR($N$5:$N$2484*1,0)))&gt;0,ROUND($H96*($N96/SUMPRODUCT(MAX(($C$5:$C$2484=$C96)*($D$5:$D$2484=$D96)*($S$5:$S$2484=1)*IFERROR($N$5:$N$2484*1,0)))),4),0)))</f>
        <v/>
      </c>
      <c r="P96" s="48" t="inlineStr">
        <is>
          <t>coeff.</t>
        </is>
      </c>
      <c r="Q96" s="57">
        <f>IF($A96="","",$A96&amp;"|"&amp;$C96)</f>
        <v/>
      </c>
      <c r="R96" s="57">
        <f>IF($A96="","",$A96&amp;"|"&amp;$C96&amp;"|"&amp;$D96)</f>
        <v/>
      </c>
      <c r="S96" s="57">
        <f>IF($A96="","",IFERROR(INDEX(Offerte!$D$2:$D$81,MATCH($Q96,Offerte!$L$2:$L$81,0)),0))</f>
        <v/>
      </c>
      <c r="T96" s="57">
        <f>IF($A96="","",IFERROR(INDEX(Offerte!$G$2:$G$81,MATCH($Q96,Offerte!$L$2:$L$81,0)),"NO"))</f>
        <v/>
      </c>
    </row>
    <row r="97">
      <c r="A97" s="48">
        <f>IF(Offerte!$A4="","",Offerte!$A4)</f>
        <v/>
      </c>
      <c r="B97" s="48">
        <f>IF(Offerte!$A4="","",Offerte!$B4)</f>
        <v/>
      </c>
      <c r="C97" s="48">
        <f>IF(Offerte!$A4="","",Offerte!$C4)</f>
        <v/>
      </c>
      <c r="D97" s="48" t="inlineStr">
        <is>
          <t>G.5.1</t>
        </is>
      </c>
      <c r="E97" s="48" t="inlineStr">
        <is>
          <t>G</t>
        </is>
      </c>
      <c r="F97" s="48" t="inlineStr">
        <is>
          <t>T</t>
        </is>
      </c>
      <c r="G97" s="48" t="inlineStr">
        <is>
          <t>tabular</t>
        </is>
      </c>
      <c r="H97" s="48" t="n">
        <v>1</v>
      </c>
      <c r="I97" s="48" t="inlineStr">
        <is>
          <t>Impegno al mantenimento delle garanzie del contratto di secondo livello del gestore uscente</t>
        </is>
      </c>
      <c r="J97" s="73" t="n"/>
      <c r="K97" s="73" t="n"/>
      <c r="L97" s="73" t="n"/>
      <c r="M97" s="73" t="n"/>
      <c r="N97" s="57">
        <f>IF($A97="","",IF(IFERROR(VALUE($M97),0)=1,1,0))</f>
        <v/>
      </c>
      <c r="O97" s="57">
        <f>IF($A97="",0,IF(OR($S97&lt;&gt;1,COUNTA($J97:$M97)=0),0,IF($N97=1,$H97,0)))</f>
        <v/>
      </c>
      <c r="P97" s="48" t="inlineStr">
        <is>
          <t>sì/no</t>
        </is>
      </c>
      <c r="Q97" s="57">
        <f>IF($A97="","",$A97&amp;"|"&amp;$C97)</f>
        <v/>
      </c>
      <c r="R97" s="57">
        <f>IF($A97="","",$A97&amp;"|"&amp;$C97&amp;"|"&amp;$D97)</f>
        <v/>
      </c>
      <c r="S97" s="57">
        <f>IF($A97="","",IFERROR(INDEX(Offerte!$D$2:$D$81,MATCH($Q97,Offerte!$L$2:$L$81,0)),0))</f>
        <v/>
      </c>
      <c r="T97" s="57">
        <f>IF($A97="","",IFERROR(INDEX(Offerte!$G$2:$G$81,MATCH($Q97,Offerte!$L$2:$L$81,0)),"NO"))</f>
        <v/>
      </c>
    </row>
    <row r="98">
      <c r="A98" s="48">
        <f>IF(Offerte!$A5="","",Offerte!$A5)</f>
        <v/>
      </c>
      <c r="B98" s="48">
        <f>IF(Offerte!$A5="","",Offerte!$B5)</f>
        <v/>
      </c>
      <c r="C98" s="48">
        <f>IF(Offerte!$A5="","",Offerte!$C5)</f>
        <v/>
      </c>
      <c r="D98" s="48" t="inlineStr">
        <is>
          <t>A.1.1</t>
        </is>
      </c>
      <c r="E98" s="48" t="inlineStr">
        <is>
          <t>A</t>
        </is>
      </c>
      <c r="F98" s="48" t="inlineStr">
        <is>
          <t>Q</t>
        </is>
      </c>
      <c r="G98" s="48" t="inlineStr">
        <is>
          <t>higher</t>
        </is>
      </c>
      <c r="H98" s="48" t="n">
        <v>3</v>
      </c>
      <c r="I98" s="48" t="inlineStr">
        <is>
          <t>Tasso aggiuntivo di corse controllate</t>
        </is>
      </c>
      <c r="J98" s="73" t="n"/>
      <c r="K98" s="73" t="n"/>
      <c r="L98" s="73" t="n"/>
      <c r="M98" s="73" t="n"/>
      <c r="N98" s="57">
        <f>IF($A98="","",IFERROR(VALUE($K98)/VALUE($L98)*100,IFERROR(VALUE($J98),0)))</f>
        <v/>
      </c>
      <c r="O98" s="57">
        <f>IF($A98="",0,IF(OR($S98&lt;&gt;1,COUNTA($J98:$M98)=0),0,IF(SUMPRODUCT(MAX(($C$5:$C$2484=$C98)*($D$5:$D$2484=$D98)*($S$5:$S$2484=1)*IFERROR($N$5:$N$2484*1,0)))&gt;0,ROUND($H98*($N98/SUMPRODUCT(MAX(($C$5:$C$2484=$C98)*($D$5:$D$2484=$D98)*($S$5:$S$2484=1)*IFERROR($N$5:$N$2484*1,0)))),4),0)))</f>
        <v/>
      </c>
      <c r="P98" s="48" t="inlineStr">
        <is>
          <t>Corse controllate annue / Corse programmate annue</t>
        </is>
      </c>
      <c r="Q98" s="57">
        <f>IF($A98="","",$A98&amp;"|"&amp;$C98)</f>
        <v/>
      </c>
      <c r="R98" s="57">
        <f>IF($A98="","",$A98&amp;"|"&amp;$C98&amp;"|"&amp;$D98)</f>
        <v/>
      </c>
      <c r="S98" s="57">
        <f>IF($A98="","",IFERROR(INDEX(Offerte!$D$2:$D$81,MATCH($Q98,Offerte!$L$2:$L$81,0)),0))</f>
        <v/>
      </c>
      <c r="T98" s="57">
        <f>IF($A98="","",IFERROR(INDEX(Offerte!$G$2:$G$81,MATCH($Q98,Offerte!$L$2:$L$81,0)),"NO"))</f>
        <v/>
      </c>
    </row>
    <row r="99">
      <c r="A99" s="48">
        <f>IF(Offerte!$A5="","",Offerte!$A5)</f>
        <v/>
      </c>
      <c r="B99" s="48">
        <f>IF(Offerte!$A5="","",Offerte!$B5)</f>
        <v/>
      </c>
      <c r="C99" s="48">
        <f>IF(Offerte!$A5="","",Offerte!$C5)</f>
        <v/>
      </c>
      <c r="D99" s="48" t="inlineStr">
        <is>
          <t>A.1.2</t>
        </is>
      </c>
      <c r="E99" s="48" t="inlineStr">
        <is>
          <t>A</t>
        </is>
      </c>
      <c r="F99" s="48" t="inlineStr">
        <is>
          <t>Q</t>
        </is>
      </c>
      <c r="G99" s="48" t="inlineStr">
        <is>
          <t>higher</t>
        </is>
      </c>
      <c r="H99" s="48" t="n">
        <v>4</v>
      </c>
      <c r="I99" s="48" t="inlineStr">
        <is>
          <t>Numero aggiuntivo di passeggeri controllati</t>
        </is>
      </c>
      <c r="J99" s="73" t="n"/>
      <c r="K99" s="73" t="n"/>
      <c r="L99" s="73" t="n"/>
      <c r="M99" s="73" t="n"/>
      <c r="N99" s="57">
        <f>IF($A99="","",IFERROR(VALUE($J99),0))</f>
        <v/>
      </c>
      <c r="O99" s="57">
        <f>IF($A99="",0,IF(OR($S99&lt;&gt;1,COUNTA($J99:$M99)=0),0,IF(SUMPRODUCT(MAX(($C$5:$C$2484=$C99)*($D$5:$D$2484=$D99)*($S$5:$S$2484=1)*IFERROR($N$5:$N$2484*1,0)))&gt;0,ROUND($H99*($N99/SUMPRODUCT(MAX(($C$5:$C$2484=$C99)*($D$5:$D$2484=$D99)*($S$5:$S$2484=1)*IFERROR($N$5:$N$2484*1,0)))),4),0)))</f>
        <v/>
      </c>
      <c r="P99" s="48" t="inlineStr">
        <is>
          <t>passeggeri/anno</t>
        </is>
      </c>
      <c r="Q99" s="57">
        <f>IF($A99="","",$A99&amp;"|"&amp;$C99)</f>
        <v/>
      </c>
      <c r="R99" s="57">
        <f>IF($A99="","",$A99&amp;"|"&amp;$C99&amp;"|"&amp;$D99)</f>
        <v/>
      </c>
      <c r="S99" s="57">
        <f>IF($A99="","",IFERROR(INDEX(Offerte!$D$2:$D$81,MATCH($Q99,Offerte!$L$2:$L$81,0)),0))</f>
        <v/>
      </c>
      <c r="T99" s="57">
        <f>IF($A99="","",IFERROR(INDEX(Offerte!$G$2:$G$81,MATCH($Q99,Offerte!$L$2:$L$81,0)),"NO"))</f>
        <v/>
      </c>
    </row>
    <row r="100">
      <c r="A100" s="48">
        <f>IF(Offerte!$A5="","",Offerte!$A5)</f>
        <v/>
      </c>
      <c r="B100" s="48">
        <f>IF(Offerte!$A5="","",Offerte!$B5)</f>
        <v/>
      </c>
      <c r="C100" s="48">
        <f>IF(Offerte!$A5="","",Offerte!$C5)</f>
        <v/>
      </c>
      <c r="D100" s="48" t="inlineStr">
        <is>
          <t>B.1.1</t>
        </is>
      </c>
      <c r="E100" s="48" t="inlineStr">
        <is>
          <t>B</t>
        </is>
      </c>
      <c r="F100" s="48" t="inlineStr">
        <is>
          <t>Q</t>
        </is>
      </c>
      <c r="G100" s="48" t="inlineStr">
        <is>
          <t>higher</t>
        </is>
      </c>
      <c r="H100" s="48" t="n">
        <v>3</v>
      </c>
      <c r="I100" s="48" t="inlineStr">
        <is>
          <t>Incremento dei posti offerti nelle fasce di punta</t>
        </is>
      </c>
      <c r="J100" s="73" t="n"/>
      <c r="K100" s="73" t="n"/>
      <c r="L100" s="73" t="n"/>
      <c r="M100" s="73" t="n"/>
      <c r="N100" s="57">
        <f>IF($A100="","",IFERROR(VALUE($J100),0))</f>
        <v/>
      </c>
      <c r="O100" s="57">
        <f>IF($A100="",0,IF(OR($S100&lt;&gt;1,COUNTA($J100:$M100)=0),0,IF(SUMPRODUCT(MAX(($C$5:$C$2484=$C100)*($D$5:$D$2484=$D100)*($S$5:$S$2484=1)*IFERROR($N$5:$N$2484*1,0)))&gt;0,ROUND($H100*($N100/SUMPRODUCT(MAX(($C$5:$C$2484=$C100)*($D$5:$D$2484=$D100)*($S$5:$S$2484=1)*IFERROR($N$5:$N$2484*1,0)))),4),0)))</f>
        <v/>
      </c>
      <c r="P100" s="48" t="inlineStr">
        <is>
          <t>posti*km</t>
        </is>
      </c>
      <c r="Q100" s="57">
        <f>IF($A100="","",$A100&amp;"|"&amp;$C100)</f>
        <v/>
      </c>
      <c r="R100" s="57">
        <f>IF($A100="","",$A100&amp;"|"&amp;$C100&amp;"|"&amp;$D100)</f>
        <v/>
      </c>
      <c r="S100" s="57">
        <f>IF($A100="","",IFERROR(INDEX(Offerte!$D$2:$D$81,MATCH($Q100,Offerte!$L$2:$L$81,0)),0))</f>
        <v/>
      </c>
      <c r="T100" s="57">
        <f>IF($A100="","",IFERROR(INDEX(Offerte!$G$2:$G$81,MATCH($Q100,Offerte!$L$2:$L$81,0)),"NO"))</f>
        <v/>
      </c>
    </row>
    <row r="101">
      <c r="A101" s="48">
        <f>IF(Offerte!$A5="","",Offerte!$A5)</f>
        <v/>
      </c>
      <c r="B101" s="48">
        <f>IF(Offerte!$A5="","",Offerte!$B5)</f>
        <v/>
      </c>
      <c r="C101" s="48">
        <f>IF(Offerte!$A5="","",Offerte!$C5)</f>
        <v/>
      </c>
      <c r="D101" s="48" t="inlineStr">
        <is>
          <t>B.2.1</t>
        </is>
      </c>
      <c r="E101" s="48" t="inlineStr">
        <is>
          <t>B</t>
        </is>
      </c>
      <c r="F101" s="48" t="inlineStr">
        <is>
          <t>Q</t>
        </is>
      </c>
      <c r="G101" s="48" t="inlineStr">
        <is>
          <t>higher</t>
        </is>
      </c>
      <c r="H101" s="48" t="n">
        <v>4</v>
      </c>
      <c r="I101" s="48" t="inlineStr">
        <is>
          <t>Corse aggiuntive nell'arco giornaliero base</t>
        </is>
      </c>
      <c r="J101" s="73" t="n"/>
      <c r="K101" s="73" t="n"/>
      <c r="L101" s="73" t="n"/>
      <c r="M101" s="73" t="n"/>
      <c r="N101" s="57">
        <f>IF($A101="","",IFERROR(VALUE($J101),0))</f>
        <v/>
      </c>
      <c r="O101" s="57">
        <f>IF($A101="",0,IF(OR($S101&lt;&gt;1,COUNTA($J101:$M101)=0),0,IF(SUMPRODUCT(MAX(($C$5:$C$2484=$C101)*($D$5:$D$2484=$D101)*($S$5:$S$2484=1)*IFERROR($N$5:$N$2484*1,0)))&gt;0,ROUND($H101*($N101/SUMPRODUCT(MAX(($C$5:$C$2484=$C101)*($D$5:$D$2484=$D101)*($S$5:$S$2484=1)*IFERROR($N$5:$N$2484*1,0)))),4),0)))</f>
        <v/>
      </c>
      <c r="P101" s="48" t="inlineStr">
        <is>
          <t>corse</t>
        </is>
      </c>
      <c r="Q101" s="57">
        <f>IF($A101="","",$A101&amp;"|"&amp;$C101)</f>
        <v/>
      </c>
      <c r="R101" s="57">
        <f>IF($A101="","",$A101&amp;"|"&amp;$C101&amp;"|"&amp;$D101)</f>
        <v/>
      </c>
      <c r="S101" s="57">
        <f>IF($A101="","",IFERROR(INDEX(Offerte!$D$2:$D$81,MATCH($Q101,Offerte!$L$2:$L$81,0)),0))</f>
        <v/>
      </c>
      <c r="T101" s="57">
        <f>IF($A101="","",IFERROR(INDEX(Offerte!$G$2:$G$81,MATCH($Q101,Offerte!$L$2:$L$81,0)),"NO"))</f>
        <v/>
      </c>
    </row>
    <row r="102">
      <c r="A102" s="48">
        <f>IF(Offerte!$A5="","",Offerte!$A5)</f>
        <v/>
      </c>
      <c r="B102" s="48">
        <f>IF(Offerte!$A5="","",Offerte!$B5)</f>
        <v/>
      </c>
      <c r="C102" s="48">
        <f>IF(Offerte!$A5="","",Offerte!$C5)</f>
        <v/>
      </c>
      <c r="D102" s="48" t="inlineStr">
        <is>
          <t>B.3.1</t>
        </is>
      </c>
      <c r="E102" s="48" t="inlineStr">
        <is>
          <t>B</t>
        </is>
      </c>
      <c r="F102" s="48" t="inlineStr">
        <is>
          <t>Q</t>
        </is>
      </c>
      <c r="G102" s="48" t="inlineStr">
        <is>
          <t>higher</t>
        </is>
      </c>
      <c r="H102" s="48" t="n">
        <v>2</v>
      </c>
      <c r="I102" s="48" t="inlineStr">
        <is>
          <t>Numero di corse aggiuntive per allungamento dell'arco di servizio giornaliero nelle fasce serali</t>
        </is>
      </c>
      <c r="J102" s="73" t="n"/>
      <c r="K102" s="73" t="n"/>
      <c r="L102" s="73" t="n"/>
      <c r="M102" s="73" t="n"/>
      <c r="N102" s="57">
        <f>IF($A102="","",IFERROR(VALUE($J102),0))</f>
        <v/>
      </c>
      <c r="O102" s="57">
        <f>IF($A102="",0,IF(OR($S102&lt;&gt;1,COUNTA($J102:$M102)=0),0,IF(SUMPRODUCT(MAX(($C$5:$C$2484=$C102)*($D$5:$D$2484=$D102)*($S$5:$S$2484=1)*IFERROR($N$5:$N$2484*1,0)))&gt;0,ROUND($H102*($N102/SUMPRODUCT(MAX(($C$5:$C$2484=$C102)*($D$5:$D$2484=$D102)*($S$5:$S$2484=1)*IFERROR($N$5:$N$2484*1,0)))),4),0)))</f>
        <v/>
      </c>
      <c r="P102" s="48" t="inlineStr">
        <is>
          <t>corse</t>
        </is>
      </c>
      <c r="Q102" s="57">
        <f>IF($A102="","",$A102&amp;"|"&amp;$C102)</f>
        <v/>
      </c>
      <c r="R102" s="57">
        <f>IF($A102="","",$A102&amp;"|"&amp;$C102&amp;"|"&amp;$D102)</f>
        <v/>
      </c>
      <c r="S102" s="57">
        <f>IF($A102="","",IFERROR(INDEX(Offerte!$D$2:$D$81,MATCH($Q102,Offerte!$L$2:$L$81,0)),0))</f>
        <v/>
      </c>
      <c r="T102" s="57">
        <f>IF($A102="","",IFERROR(INDEX(Offerte!$G$2:$G$81,MATCH($Q102,Offerte!$L$2:$L$81,0)),"NO"))</f>
        <v/>
      </c>
    </row>
    <row r="103">
      <c r="A103" s="48">
        <f>IF(Offerte!$A5="","",Offerte!$A5)</f>
        <v/>
      </c>
      <c r="B103" s="48">
        <f>IF(Offerte!$A5="","",Offerte!$B5)</f>
        <v/>
      </c>
      <c r="C103" s="48">
        <f>IF(Offerte!$A5="","",Offerte!$C5)</f>
        <v/>
      </c>
      <c r="D103" s="48" t="inlineStr">
        <is>
          <t>B.4.1</t>
        </is>
      </c>
      <c r="E103" s="48" t="inlineStr">
        <is>
          <t>B</t>
        </is>
      </c>
      <c r="F103" s="48" t="inlineStr">
        <is>
          <t>Q</t>
        </is>
      </c>
      <c r="G103" s="48" t="inlineStr">
        <is>
          <t>higher</t>
        </is>
      </c>
      <c r="H103" s="48" t="n">
        <v>3</v>
      </c>
      <c r="I103" s="48" t="inlineStr">
        <is>
          <t>Percorrenze aggiuntive offerte nel Programma d'esercizio delle prime due fasi attuative</t>
        </is>
      </c>
      <c r="J103" s="73" t="n"/>
      <c r="K103" s="73" t="n"/>
      <c r="L103" s="73" t="n"/>
      <c r="M103" s="73" t="n"/>
      <c r="N103" s="57">
        <f>IF($A103="","",IFERROR(VALUE($J103),0))</f>
        <v/>
      </c>
      <c r="O103" s="57">
        <f>IF($A103="",0,IF(OR($S103&lt;&gt;1,COUNTA($J103:$M103)=0),0,IF(SUMPRODUCT(MAX(($C$5:$C$2484=$C103)*($D$5:$D$2484=$D103)*($S$5:$S$2484=1)*IFERROR($N$5:$N$2484*1,0)))&gt;0,ROUND($H103*($N103/SUMPRODUCT(MAX(($C$5:$C$2484=$C103)*($D$5:$D$2484=$D103)*($S$5:$S$2484=1)*IFERROR($N$5:$N$2484*1,0)))),4),0)))</f>
        <v/>
      </c>
      <c r="P103" s="48" t="inlineStr">
        <is>
          <t>vett*km</t>
        </is>
      </c>
      <c r="Q103" s="57">
        <f>IF($A103="","",$A103&amp;"|"&amp;$C103)</f>
        <v/>
      </c>
      <c r="R103" s="57">
        <f>IF($A103="","",$A103&amp;"|"&amp;$C103&amp;"|"&amp;$D103)</f>
        <v/>
      </c>
      <c r="S103" s="57">
        <f>IF($A103="","",IFERROR(INDEX(Offerte!$D$2:$D$81,MATCH($Q103,Offerte!$L$2:$L$81,0)),0))</f>
        <v/>
      </c>
      <c r="T103" s="57">
        <f>IF($A103="","",IFERROR(INDEX(Offerte!$G$2:$G$81,MATCH($Q103,Offerte!$L$2:$L$81,0)),"NO"))</f>
        <v/>
      </c>
    </row>
    <row r="104">
      <c r="A104" s="48">
        <f>IF(Offerte!$A5="","",Offerte!$A5)</f>
        <v/>
      </c>
      <c r="B104" s="48">
        <f>IF(Offerte!$A5="","",Offerte!$B5)</f>
        <v/>
      </c>
      <c r="C104" s="48">
        <f>IF(Offerte!$A5="","",Offerte!$C5)</f>
        <v/>
      </c>
      <c r="D104" s="48" t="inlineStr">
        <is>
          <t>B.5.1</t>
        </is>
      </c>
      <c r="E104" s="48" t="inlineStr">
        <is>
          <t>B</t>
        </is>
      </c>
      <c r="F104" s="48" t="inlineStr">
        <is>
          <t>D</t>
        </is>
      </c>
      <c r="G104" s="48" t="inlineStr">
        <is>
          <t>discretionary</t>
        </is>
      </c>
      <c r="H104" s="48" t="n">
        <v>2</v>
      </c>
      <c r="I104" s="48" t="inlineStr">
        <is>
          <t>Efficacia del progetto di servizi complementari DRT</t>
        </is>
      </c>
      <c r="J104" s="73" t="n"/>
      <c r="K104" s="73" t="n"/>
      <c r="L104" s="73" t="n"/>
      <c r="M104" s="73" t="n"/>
      <c r="N104" s="57">
        <f>IF($A104="","",MAX(0,MIN(1,IFERROR(VALUE($M104),0))))</f>
        <v/>
      </c>
      <c r="O104" s="57">
        <f>IF($A104="",0,IF(OR($S104&lt;&gt;1,COUNTA($J104:$M104)=0),0,IF(SUMPRODUCT(MAX(($C$5:$C$2484=$C104)*($D$5:$D$2484=$D104)*($S$5:$S$2484=1)*IFERROR($N$5:$N$2484*1,0)))&gt;0,ROUND($H104*($N104/SUMPRODUCT(MAX(($C$5:$C$2484=$C104)*($D$5:$D$2484=$D104)*($S$5:$S$2484=1)*IFERROR($N$5:$N$2484*1,0)))),4),0)))</f>
        <v/>
      </c>
      <c r="P104" s="48" t="inlineStr">
        <is>
          <t>coeff.</t>
        </is>
      </c>
      <c r="Q104" s="57">
        <f>IF($A104="","",$A104&amp;"|"&amp;$C104)</f>
        <v/>
      </c>
      <c r="R104" s="57">
        <f>IF($A104="","",$A104&amp;"|"&amp;$C104&amp;"|"&amp;$D104)</f>
        <v/>
      </c>
      <c r="S104" s="57">
        <f>IF($A104="","",IFERROR(INDEX(Offerte!$D$2:$D$81,MATCH($Q104,Offerte!$L$2:$L$81,0)),0))</f>
        <v/>
      </c>
      <c r="T104" s="57">
        <f>IF($A104="","",IFERROR(INDEX(Offerte!$G$2:$G$81,MATCH($Q104,Offerte!$L$2:$L$81,0)),"NO"))</f>
        <v/>
      </c>
    </row>
    <row r="105">
      <c r="A105" s="48">
        <f>IF(Offerte!$A5="","",Offerte!$A5)</f>
        <v/>
      </c>
      <c r="B105" s="48">
        <f>IF(Offerte!$A5="","",Offerte!$B5)</f>
        <v/>
      </c>
      <c r="C105" s="48">
        <f>IF(Offerte!$A5="","",Offerte!$C5)</f>
        <v/>
      </c>
      <c r="D105" s="48" t="inlineStr">
        <is>
          <t>C.1.1</t>
        </is>
      </c>
      <c r="E105" s="48" t="inlineStr">
        <is>
          <t>C</t>
        </is>
      </c>
      <c r="F105" s="48" t="inlineStr">
        <is>
          <t>Q</t>
        </is>
      </c>
      <c r="G105" s="48" t="inlineStr">
        <is>
          <t>higher</t>
        </is>
      </c>
      <c r="H105" s="48" t="n">
        <v>2</v>
      </c>
      <c r="I105" s="48" t="inlineStr">
        <is>
          <t>Tasso di copertura del servizio con telecamere BSD</t>
        </is>
      </c>
      <c r="J105" s="73" t="n"/>
      <c r="K105" s="73" t="n"/>
      <c r="L105" s="73" t="n"/>
      <c r="M105" s="73" t="n"/>
      <c r="N105" s="57">
        <f>IF($A105="","",IFERROR(VALUE($K105)/VALUE($L105),IFERROR(VALUE($J105),0)))</f>
        <v/>
      </c>
      <c r="O105" s="57">
        <f>IF($A105="",0,IF(OR($S105&lt;&gt;1,COUNTA($J105:$M105)=0),0,IF(SUMPRODUCT(MAX(($C$5:$C$2484=$C105)*($D$5:$D$2484=$D105)*($S$5:$S$2484=1)*IFERROR($N$5:$N$2484*1,0)))&gt;0,ROUND($H105*($N105/SUMPRODUCT(MAX(($C$5:$C$2484=$C105)*($D$5:$D$2484=$D105)*($S$5:$S$2484=1)*IFERROR($N$5:$N$2484*1,0)))),4),0)))</f>
        <v/>
      </c>
      <c r="P105" s="48" t="inlineStr">
        <is>
          <t>Autobus attrezzati con telecamere BSD / Autobus totali in offerta, incluse scorte</t>
        </is>
      </c>
      <c r="Q105" s="57">
        <f>IF($A105="","",$A105&amp;"|"&amp;$C105)</f>
        <v/>
      </c>
      <c r="R105" s="57">
        <f>IF($A105="","",$A105&amp;"|"&amp;$C105&amp;"|"&amp;$D105)</f>
        <v/>
      </c>
      <c r="S105" s="57">
        <f>IF($A105="","",IFERROR(INDEX(Offerte!$D$2:$D$81,MATCH($Q105,Offerte!$L$2:$L$81,0)),0))</f>
        <v/>
      </c>
      <c r="T105" s="57">
        <f>IF($A105="","",IFERROR(INDEX(Offerte!$G$2:$G$81,MATCH($Q105,Offerte!$L$2:$L$81,0)),"NO"))</f>
        <v/>
      </c>
    </row>
    <row r="106">
      <c r="A106" s="48">
        <f>IF(Offerte!$A5="","",Offerte!$A5)</f>
        <v/>
      </c>
      <c r="B106" s="48">
        <f>IF(Offerte!$A5="","",Offerte!$B5)</f>
        <v/>
      </c>
      <c r="C106" s="48">
        <f>IF(Offerte!$A5="","",Offerte!$C5)</f>
        <v/>
      </c>
      <c r="D106" s="48" t="inlineStr">
        <is>
          <t>C.1.2</t>
        </is>
      </c>
      <c r="E106" s="48" t="inlineStr">
        <is>
          <t>C</t>
        </is>
      </c>
      <c r="F106" s="48" t="inlineStr">
        <is>
          <t>Q</t>
        </is>
      </c>
      <c r="G106" s="48" t="inlineStr">
        <is>
          <t>higher</t>
        </is>
      </c>
      <c r="H106" s="48" t="n">
        <v>2</v>
      </c>
      <c r="I106" s="48" t="inlineStr">
        <is>
          <t>Tasso di copertura del servizio con telecamere ADAS</t>
        </is>
      </c>
      <c r="J106" s="73" t="n"/>
      <c r="K106" s="73" t="n"/>
      <c r="L106" s="73" t="n"/>
      <c r="M106" s="73" t="n"/>
      <c r="N106" s="57">
        <f>IF($A106="","",IFERROR(VALUE($K106)/VALUE($L106),IFERROR(VALUE($J106),0)))</f>
        <v/>
      </c>
      <c r="O106" s="57">
        <f>IF($A106="",0,IF(OR($S106&lt;&gt;1,COUNTA($J106:$M106)=0),0,IF(SUMPRODUCT(MAX(($C$5:$C$2484=$C106)*($D$5:$D$2484=$D106)*($S$5:$S$2484=1)*IFERROR($N$5:$N$2484*1,0)))&gt;0,ROUND($H106*($N106/SUMPRODUCT(MAX(($C$5:$C$2484=$C106)*($D$5:$D$2484=$D106)*($S$5:$S$2484=1)*IFERROR($N$5:$N$2484*1,0)))),4),0)))</f>
        <v/>
      </c>
      <c r="P106" s="48" t="inlineStr">
        <is>
          <t>Autobus attrezzati con telecamere ADAS / Autobus totali in offerta, incluse scorte</t>
        </is>
      </c>
      <c r="Q106" s="57">
        <f>IF($A106="","",$A106&amp;"|"&amp;$C106)</f>
        <v/>
      </c>
      <c r="R106" s="57">
        <f>IF($A106="","",$A106&amp;"|"&amp;$C106&amp;"|"&amp;$D106)</f>
        <v/>
      </c>
      <c r="S106" s="57">
        <f>IF($A106="","",IFERROR(INDEX(Offerte!$D$2:$D$81,MATCH($Q106,Offerte!$L$2:$L$81,0)),0))</f>
        <v/>
      </c>
      <c r="T106" s="57">
        <f>IF($A106="","",IFERROR(INDEX(Offerte!$G$2:$G$81,MATCH($Q106,Offerte!$L$2:$L$81,0)),"NO"))</f>
        <v/>
      </c>
    </row>
    <row r="107">
      <c r="A107" s="48">
        <f>IF(Offerte!$A5="","",Offerte!$A5)</f>
        <v/>
      </c>
      <c r="B107" s="48">
        <f>IF(Offerte!$A5="","",Offerte!$B5)</f>
        <v/>
      </c>
      <c r="C107" s="48">
        <f>IF(Offerte!$A5="","",Offerte!$C5)</f>
        <v/>
      </c>
      <c r="D107" s="48" t="inlineStr">
        <is>
          <t>C.2.1</t>
        </is>
      </c>
      <c r="E107" s="48" t="inlineStr">
        <is>
          <t>C</t>
        </is>
      </c>
      <c r="F107" s="48" t="inlineStr">
        <is>
          <t>Q</t>
        </is>
      </c>
      <c r="G107" s="48" t="inlineStr">
        <is>
          <t>higher</t>
        </is>
      </c>
      <c r="H107" s="48" t="n">
        <v>3</v>
      </c>
      <c r="I107" s="48" t="inlineStr">
        <is>
          <t>Tasso di copertura del servizio con telecamere di bordo di videosorveglianza</t>
        </is>
      </c>
      <c r="J107" s="73" t="n"/>
      <c r="K107" s="73" t="n"/>
      <c r="L107" s="73" t="n"/>
      <c r="M107" s="73" t="n"/>
      <c r="N107" s="57">
        <f>IF($A107="","",IFERROR(VALUE($K107)/VALUE($L107),IFERROR(VALUE($J107),0)))</f>
        <v/>
      </c>
      <c r="O107" s="57">
        <f>IF($A107="",0,IF(OR($S107&lt;&gt;1,COUNTA($J107:$M107)=0),0,IF(SUMPRODUCT(MAX(($C$5:$C$2484=$C107)*($D$5:$D$2484=$D107)*($S$5:$S$2484=1)*IFERROR($N$5:$N$2484*1,0)))&gt;0,ROUND($H107*($N107/SUMPRODUCT(MAX(($C$5:$C$2484=$C107)*($D$5:$D$2484=$D107)*($S$5:$S$2484=1)*IFERROR($N$5:$N$2484*1,0)))),4),0)))</f>
        <v/>
      </c>
      <c r="P107" s="48" t="inlineStr">
        <is>
          <t>Autobus attrezzati con videosorveglianza / Autobus totali in offerta, incluse scorte</t>
        </is>
      </c>
      <c r="Q107" s="57">
        <f>IF($A107="","",$A107&amp;"|"&amp;$C107)</f>
        <v/>
      </c>
      <c r="R107" s="57">
        <f>IF($A107="","",$A107&amp;"|"&amp;$C107&amp;"|"&amp;$D107)</f>
        <v/>
      </c>
      <c r="S107" s="57">
        <f>IF($A107="","",IFERROR(INDEX(Offerte!$D$2:$D$81,MATCH($Q107,Offerte!$L$2:$L$81,0)),0))</f>
        <v/>
      </c>
      <c r="T107" s="57">
        <f>IF($A107="","",IFERROR(INDEX(Offerte!$G$2:$G$81,MATCH($Q107,Offerte!$L$2:$L$81,0)),"NO"))</f>
        <v/>
      </c>
    </row>
    <row r="108">
      <c r="A108" s="48">
        <f>IF(Offerte!$A5="","",Offerte!$A5)</f>
        <v/>
      </c>
      <c r="B108" s="48">
        <f>IF(Offerte!$A5="","",Offerte!$B5)</f>
        <v/>
      </c>
      <c r="C108" s="48">
        <f>IF(Offerte!$A5="","",Offerte!$C5)</f>
        <v/>
      </c>
      <c r="D108" s="48" t="inlineStr">
        <is>
          <t>C.2.2</t>
        </is>
      </c>
      <c r="E108" s="48" t="inlineStr">
        <is>
          <t>C</t>
        </is>
      </c>
      <c r="F108" s="48" t="inlineStr">
        <is>
          <t>T</t>
        </is>
      </c>
      <c r="G108" s="48" t="inlineStr">
        <is>
          <t>tabular</t>
        </is>
      </c>
      <c r="H108" s="48" t="n">
        <v>1</v>
      </c>
      <c r="I108" s="48" t="inlineStr">
        <is>
          <t>Software video/audio analisi per situazioni di pericolo</t>
        </is>
      </c>
      <c r="J108" s="73" t="n"/>
      <c r="K108" s="73" t="n"/>
      <c r="L108" s="73" t="n"/>
      <c r="M108" s="73" t="n"/>
      <c r="N108" s="57">
        <f>IF($A108="","",IF(IFERROR(VALUE($M108),0)=1,1,0))</f>
        <v/>
      </c>
      <c r="O108" s="57">
        <f>IF($A108="",0,IF(OR($S108&lt;&gt;1,COUNTA($J108:$M108)=0),0,IF($N108=1,$H108,0)))</f>
        <v/>
      </c>
      <c r="P108" s="48" t="inlineStr">
        <is>
          <t>sì/no</t>
        </is>
      </c>
      <c r="Q108" s="57">
        <f>IF($A108="","",$A108&amp;"|"&amp;$C108)</f>
        <v/>
      </c>
      <c r="R108" s="57">
        <f>IF($A108="","",$A108&amp;"|"&amp;$C108&amp;"|"&amp;$D108)</f>
        <v/>
      </c>
      <c r="S108" s="57">
        <f>IF($A108="","",IFERROR(INDEX(Offerte!$D$2:$D$81,MATCH($Q108,Offerte!$L$2:$L$81,0)),0))</f>
        <v/>
      </c>
      <c r="T108" s="57">
        <f>IF($A108="","",IFERROR(INDEX(Offerte!$G$2:$G$81,MATCH($Q108,Offerte!$L$2:$L$81,0)),"NO"))</f>
        <v/>
      </c>
    </row>
    <row r="109">
      <c r="A109" s="48">
        <f>IF(Offerte!$A5="","",Offerte!$A5)</f>
        <v/>
      </c>
      <c r="B109" s="48">
        <f>IF(Offerte!$A5="","",Offerte!$B5)</f>
        <v/>
      </c>
      <c r="C109" s="48">
        <f>IF(Offerte!$A5="","",Offerte!$C5)</f>
        <v/>
      </c>
      <c r="D109" s="48" t="inlineStr">
        <is>
          <t>C.2.3</t>
        </is>
      </c>
      <c r="E109" s="48" t="inlineStr">
        <is>
          <t>C</t>
        </is>
      </c>
      <c r="F109" s="48" t="inlineStr">
        <is>
          <t>T</t>
        </is>
      </c>
      <c r="G109" s="48" t="inlineStr">
        <is>
          <t>tabular</t>
        </is>
      </c>
      <c r="H109" s="48" t="n">
        <v>1</v>
      </c>
      <c r="I109" s="48" t="inlineStr">
        <is>
          <t>Collegamento con centrale qualificata di pronto intervento</t>
        </is>
      </c>
      <c r="J109" s="73" t="n"/>
      <c r="K109" s="73" t="n"/>
      <c r="L109" s="73" t="n"/>
      <c r="M109" s="73" t="n"/>
      <c r="N109" s="57">
        <f>IF($A109="","",IF(IFERROR(VALUE($M109),0)=1,1,0))</f>
        <v/>
      </c>
      <c r="O109" s="57">
        <f>IF($A109="",0,IF(OR($S109&lt;&gt;1,COUNTA($J109:$M109)=0),0,IF($N109=1,$H109,0)))</f>
        <v/>
      </c>
      <c r="P109" s="48" t="inlineStr">
        <is>
          <t>sì/no</t>
        </is>
      </c>
      <c r="Q109" s="57">
        <f>IF($A109="","",$A109&amp;"|"&amp;$C109)</f>
        <v/>
      </c>
      <c r="R109" s="57">
        <f>IF($A109="","",$A109&amp;"|"&amp;$C109&amp;"|"&amp;$D109)</f>
        <v/>
      </c>
      <c r="S109" s="57">
        <f>IF($A109="","",IFERROR(INDEX(Offerte!$D$2:$D$81,MATCH($Q109,Offerte!$L$2:$L$81,0)),0))</f>
        <v/>
      </c>
      <c r="T109" s="57">
        <f>IF($A109="","",IFERROR(INDEX(Offerte!$G$2:$G$81,MATCH($Q109,Offerte!$L$2:$L$81,0)),"NO"))</f>
        <v/>
      </c>
    </row>
    <row r="110">
      <c r="A110" s="48">
        <f>IF(Offerte!$A5="","",Offerte!$A5)</f>
        <v/>
      </c>
      <c r="B110" s="48">
        <f>IF(Offerte!$A5="","",Offerte!$B5)</f>
        <v/>
      </c>
      <c r="C110" s="48">
        <f>IF(Offerte!$A5="","",Offerte!$C5)</f>
        <v/>
      </c>
      <c r="D110" s="48" t="inlineStr">
        <is>
          <t>C.2.4</t>
        </is>
      </c>
      <c r="E110" s="48" t="inlineStr">
        <is>
          <t>C</t>
        </is>
      </c>
      <c r="F110" s="48" t="inlineStr">
        <is>
          <t>Q</t>
        </is>
      </c>
      <c r="G110" s="48" t="inlineStr">
        <is>
          <t>higher</t>
        </is>
      </c>
      <c r="H110" s="48" t="n">
        <v>1</v>
      </c>
      <c r="I110" s="48" t="inlineStr">
        <is>
          <t>Tasso di copertura del servizio con dispositivi per la chiamata di emergenza del conducente</t>
        </is>
      </c>
      <c r="J110" s="73" t="n"/>
      <c r="K110" s="73" t="n"/>
      <c r="L110" s="73" t="n"/>
      <c r="M110" s="73" t="n"/>
      <c r="N110" s="57">
        <f>IF($A110="","",IFERROR(VALUE($K110)/VALUE($L110),IFERROR(VALUE($J110),0)))</f>
        <v/>
      </c>
      <c r="O110" s="57">
        <f>IF($A110="",0,IF(OR($S110&lt;&gt;1,COUNTA($J110:$M110)=0),0,IF(SUMPRODUCT(MAX(($C$5:$C$2484=$C110)*($D$5:$D$2484=$D110)*($S$5:$S$2484=1)*IFERROR($N$5:$N$2484*1,0)))&gt;0,ROUND($H110*($N110/SUMPRODUCT(MAX(($C$5:$C$2484=$C110)*($D$5:$D$2484=$D110)*($S$5:$S$2484=1)*IFERROR($N$5:$N$2484*1,0)))),4),0)))</f>
        <v/>
      </c>
      <c r="P110" s="48" t="inlineStr">
        <is>
          <t>Autobus attrezzati con chiamata di emergenza / Autobus totali in offerta, incluse scorte</t>
        </is>
      </c>
      <c r="Q110" s="57">
        <f>IF($A110="","",$A110&amp;"|"&amp;$C110)</f>
        <v/>
      </c>
      <c r="R110" s="57">
        <f>IF($A110="","",$A110&amp;"|"&amp;$C110&amp;"|"&amp;$D110)</f>
        <v/>
      </c>
      <c r="S110" s="57">
        <f>IF($A110="","",IFERROR(INDEX(Offerte!$D$2:$D$81,MATCH($Q110,Offerte!$L$2:$L$81,0)),0))</f>
        <v/>
      </c>
      <c r="T110" s="57">
        <f>IF($A110="","",IFERROR(INDEX(Offerte!$G$2:$G$81,MATCH($Q110,Offerte!$L$2:$L$81,0)),"NO"))</f>
        <v/>
      </c>
    </row>
    <row r="111">
      <c r="A111" s="48">
        <f>IF(Offerte!$A5="","",Offerte!$A5)</f>
        <v/>
      </c>
      <c r="B111" s="48">
        <f>IF(Offerte!$A5="","",Offerte!$B5)</f>
        <v/>
      </c>
      <c r="C111" s="48">
        <f>IF(Offerte!$A5="","",Offerte!$C5)</f>
        <v/>
      </c>
      <c r="D111" s="48" t="inlineStr">
        <is>
          <t>C.3.1</t>
        </is>
      </c>
      <c r="E111" s="48" t="inlineStr">
        <is>
          <t>C</t>
        </is>
      </c>
      <c r="F111" s="48" t="inlineStr">
        <is>
          <t>Q</t>
        </is>
      </c>
      <c r="G111" s="48" t="inlineStr">
        <is>
          <t>higher</t>
        </is>
      </c>
      <c r="H111" s="48" t="n">
        <v>2</v>
      </c>
      <c r="I111" s="48" t="inlineStr">
        <is>
          <t>Tasso di copertura del servizio con dispositivi di informazione dinamica a bordo mezzo</t>
        </is>
      </c>
      <c r="J111" s="73" t="n"/>
      <c r="K111" s="73" t="n"/>
      <c r="L111" s="73" t="n"/>
      <c r="M111" s="73" t="n"/>
      <c r="N111" s="57">
        <f>IF($A111="","",IFERROR(VALUE($K111)/VALUE($L111),IFERROR(VALUE($J111),0)))</f>
        <v/>
      </c>
      <c r="O111" s="57">
        <f>IF($A111="",0,IF(OR($S111&lt;&gt;1,COUNTA($J111:$M111)=0),0,IF(SUMPRODUCT(MAX(($C$5:$C$2484=$C111)*($D$5:$D$2484=$D111)*($S$5:$S$2484=1)*IFERROR($N$5:$N$2484*1,0)))&gt;0,ROUND($H111*($N111/SUMPRODUCT(MAX(($C$5:$C$2484=$C111)*($D$5:$D$2484=$D111)*($S$5:$S$2484=1)*IFERROR($N$5:$N$2484*1,0)))),4),0)))</f>
        <v/>
      </c>
      <c r="P111" s="48" t="inlineStr">
        <is>
          <t>Autobus con monitor e indicatori vocali / Autobus totali in offerta, incluse scorte</t>
        </is>
      </c>
      <c r="Q111" s="57">
        <f>IF($A111="","",$A111&amp;"|"&amp;$C111)</f>
        <v/>
      </c>
      <c r="R111" s="57">
        <f>IF($A111="","",$A111&amp;"|"&amp;$C111&amp;"|"&amp;$D111)</f>
        <v/>
      </c>
      <c r="S111" s="57">
        <f>IF($A111="","",IFERROR(INDEX(Offerte!$D$2:$D$81,MATCH($Q111,Offerte!$L$2:$L$81,0)),0))</f>
        <v/>
      </c>
      <c r="T111" s="57">
        <f>IF($A111="","",IFERROR(INDEX(Offerte!$G$2:$G$81,MATCH($Q111,Offerte!$L$2:$L$81,0)),"NO"))</f>
        <v/>
      </c>
    </row>
    <row r="112">
      <c r="A112" s="48">
        <f>IF(Offerte!$A5="","",Offerte!$A5)</f>
        <v/>
      </c>
      <c r="B112" s="48">
        <f>IF(Offerte!$A5="","",Offerte!$B5)</f>
        <v/>
      </c>
      <c r="C112" s="48">
        <f>IF(Offerte!$A5="","",Offerte!$C5)</f>
        <v/>
      </c>
      <c r="D112" s="48" t="inlineStr">
        <is>
          <t>C.3.2</t>
        </is>
      </c>
      <c r="E112" s="48" t="inlineStr">
        <is>
          <t>C</t>
        </is>
      </c>
      <c r="F112" s="48" t="inlineStr">
        <is>
          <t>T</t>
        </is>
      </c>
      <c r="G112" s="48" t="inlineStr">
        <is>
          <t>tabular</t>
        </is>
      </c>
      <c r="H112" s="48" t="n">
        <v>2</v>
      </c>
      <c r="I112" s="48" t="inlineStr">
        <is>
          <t>Informazioni a bordo su coincidenze ai nodi</t>
        </is>
      </c>
      <c r="J112" s="73" t="n"/>
      <c r="K112" s="73" t="n"/>
      <c r="L112" s="73" t="n"/>
      <c r="M112" s="73" t="n"/>
      <c r="N112" s="57">
        <f>IF($A112="","",IF(IFERROR(VALUE($M112),0)=1,1,0))</f>
        <v/>
      </c>
      <c r="O112" s="57">
        <f>IF($A112="",0,IF(OR($S112&lt;&gt;1,COUNTA($J112:$M112)=0),0,IF(AND($N112=1,IFERROR(SUMIFS($N$5:$N$2484,$Q$5:$Q$2484,$Q112,$D$5:$D$2484,"C.3.1"),0)&gt;=0.5),$H112,0)))</f>
        <v/>
      </c>
      <c r="P112" s="48" t="inlineStr">
        <is>
          <t>Dipende da C.3.1 &gt;= 0.5</t>
        </is>
      </c>
      <c r="Q112" s="57">
        <f>IF($A112="","",$A112&amp;"|"&amp;$C112)</f>
        <v/>
      </c>
      <c r="R112" s="57">
        <f>IF($A112="","",$A112&amp;"|"&amp;$C112&amp;"|"&amp;$D112)</f>
        <v/>
      </c>
      <c r="S112" s="57">
        <f>IF($A112="","",IFERROR(INDEX(Offerte!$D$2:$D$81,MATCH($Q112,Offerte!$L$2:$L$81,0)),0))</f>
        <v/>
      </c>
      <c r="T112" s="57">
        <f>IF($A112="","",IFERROR(INDEX(Offerte!$G$2:$G$81,MATCH($Q112,Offerte!$L$2:$L$81,0)),"NO"))</f>
        <v/>
      </c>
    </row>
    <row r="113">
      <c r="A113" s="48">
        <f>IF(Offerte!$A5="","",Offerte!$A5)</f>
        <v/>
      </c>
      <c r="B113" s="48">
        <f>IF(Offerte!$A5="","",Offerte!$B5)</f>
        <v/>
      </c>
      <c r="C113" s="48">
        <f>IF(Offerte!$A5="","",Offerte!$C5)</f>
        <v/>
      </c>
      <c r="D113" s="48" t="inlineStr">
        <is>
          <t>D.1.1</t>
        </is>
      </c>
      <c r="E113" s="48" t="inlineStr">
        <is>
          <t>D</t>
        </is>
      </c>
      <c r="F113" s="48" t="inlineStr">
        <is>
          <t>Q</t>
        </is>
      </c>
      <c r="G113" s="48" t="inlineStr">
        <is>
          <t>higher</t>
        </is>
      </c>
      <c r="H113" s="48" t="n">
        <v>3</v>
      </c>
      <c r="I113" s="48" t="inlineStr">
        <is>
          <t>Installazione di pensiline</t>
        </is>
      </c>
      <c r="J113" s="73" t="n"/>
      <c r="K113" s="73" t="n"/>
      <c r="L113" s="73" t="n"/>
      <c r="M113" s="73" t="n"/>
      <c r="N113" s="57">
        <f>IF($A113="","",IFERROR(VALUE($J113),0))</f>
        <v/>
      </c>
      <c r="O113" s="57">
        <f>IF($A113="",0,IF(OR($S113&lt;&gt;1,COUNTA($J113:$M113)=0),0,IF(SUMPRODUCT(MAX(($C$5:$C$2484=$C113)*($D$5:$D$2484=$D113)*($S$5:$S$2484=1)*IFERROR($N$5:$N$2484*1,0)))&gt;0,ROUND($H113*($N113/SUMPRODUCT(MAX(($C$5:$C$2484=$C113)*($D$5:$D$2484=$D113)*($S$5:$S$2484=1)*IFERROR($N$5:$N$2484*1,0)))),4),0)))</f>
        <v/>
      </c>
      <c r="P113" s="48" t="inlineStr">
        <is>
          <t>fermate</t>
        </is>
      </c>
      <c r="Q113" s="57">
        <f>IF($A113="","",$A113&amp;"|"&amp;$C113)</f>
        <v/>
      </c>
      <c r="R113" s="57">
        <f>IF($A113="","",$A113&amp;"|"&amp;$C113&amp;"|"&amp;$D113)</f>
        <v/>
      </c>
      <c r="S113" s="57">
        <f>IF($A113="","",IFERROR(INDEX(Offerte!$D$2:$D$81,MATCH($Q113,Offerte!$L$2:$L$81,0)),0))</f>
        <v/>
      </c>
      <c r="T113" s="57">
        <f>IF($A113="","",IFERROR(INDEX(Offerte!$G$2:$G$81,MATCH($Q113,Offerte!$L$2:$L$81,0)),"NO"))</f>
        <v/>
      </c>
    </row>
    <row r="114">
      <c r="A114" s="48">
        <f>IF(Offerte!$A5="","",Offerte!$A5)</f>
        <v/>
      </c>
      <c r="B114" s="48">
        <f>IF(Offerte!$A5="","",Offerte!$B5)</f>
        <v/>
      </c>
      <c r="C114" s="48">
        <f>IF(Offerte!$A5="","",Offerte!$C5)</f>
        <v/>
      </c>
      <c r="D114" s="48" t="inlineStr">
        <is>
          <t>D.1.2</t>
        </is>
      </c>
      <c r="E114" s="48" t="inlineStr">
        <is>
          <t>D</t>
        </is>
      </c>
      <c r="F114" s="48" t="inlineStr">
        <is>
          <t>Q</t>
        </is>
      </c>
      <c r="G114" s="48" t="inlineStr">
        <is>
          <t>higher</t>
        </is>
      </c>
      <c r="H114" s="48" t="n">
        <v>3</v>
      </c>
      <c r="I114" s="48" t="inlineStr">
        <is>
          <t>Installazione di paline di fermata conformi alla DGR 581/2023</t>
        </is>
      </c>
      <c r="J114" s="73" t="n"/>
      <c r="K114" s="73" t="n"/>
      <c r="L114" s="73" t="n"/>
      <c r="M114" s="73" t="n"/>
      <c r="N114" s="57">
        <f>IF($A114="","",IFERROR(VALUE($J114),0))</f>
        <v/>
      </c>
      <c r="O114" s="57">
        <f>IF($A114="",0,IF(OR($S114&lt;&gt;1,COUNTA($J114:$M114)=0),0,IF(SUMPRODUCT(MAX(($C$5:$C$2484=$C114)*($D$5:$D$2484=$D114)*($S$5:$S$2484=1)*IFERROR($N$5:$N$2484*1,0)))&gt;0,ROUND($H114*($N114/SUMPRODUCT(MAX(($C$5:$C$2484=$C114)*($D$5:$D$2484=$D114)*($S$5:$S$2484=1)*IFERROR($N$5:$N$2484*1,0)))),4),0)))</f>
        <v/>
      </c>
      <c r="P114" s="48" t="inlineStr">
        <is>
          <t>fermate</t>
        </is>
      </c>
      <c r="Q114" s="57">
        <f>IF($A114="","",$A114&amp;"|"&amp;$C114)</f>
        <v/>
      </c>
      <c r="R114" s="57">
        <f>IF($A114="","",$A114&amp;"|"&amp;$C114&amp;"|"&amp;$D114)</f>
        <v/>
      </c>
      <c r="S114" s="57">
        <f>IF($A114="","",IFERROR(INDEX(Offerte!$D$2:$D$81,MATCH($Q114,Offerte!$L$2:$L$81,0)),0))</f>
        <v/>
      </c>
      <c r="T114" s="57">
        <f>IF($A114="","",IFERROR(INDEX(Offerte!$G$2:$G$81,MATCH($Q114,Offerte!$L$2:$L$81,0)),"NO"))</f>
        <v/>
      </c>
    </row>
    <row r="115">
      <c r="A115" s="48">
        <f>IF(Offerte!$A5="","",Offerte!$A5)</f>
        <v/>
      </c>
      <c r="B115" s="48">
        <f>IF(Offerte!$A5="","",Offerte!$B5)</f>
        <v/>
      </c>
      <c r="C115" s="48">
        <f>IF(Offerte!$A5="","",Offerte!$C5)</f>
        <v/>
      </c>
      <c r="D115" s="48" t="inlineStr">
        <is>
          <t>D.1.3</t>
        </is>
      </c>
      <c r="E115" s="48" t="inlineStr">
        <is>
          <t>D</t>
        </is>
      </c>
      <c r="F115" s="48" t="inlineStr">
        <is>
          <t>Q</t>
        </is>
      </c>
      <c r="G115" s="48" t="inlineStr">
        <is>
          <t>higher</t>
        </is>
      </c>
      <c r="H115" s="48" t="n">
        <v>2</v>
      </c>
      <c r="I115" s="48" t="inlineStr">
        <is>
          <t>Display informativi connessi alle fermate</t>
        </is>
      </c>
      <c r="J115" s="73" t="n"/>
      <c r="K115" s="73" t="n"/>
      <c r="L115" s="73" t="n"/>
      <c r="M115" s="73" t="n"/>
      <c r="N115" s="57">
        <f>IF($A115="","",IFERROR(VALUE($J115),0))</f>
        <v/>
      </c>
      <c r="O115" s="57">
        <f>IF($A115="",0,IF(OR($S115&lt;&gt;1,COUNTA($J115:$M115)=0),0,IF(SUMPRODUCT(MAX(($C$5:$C$2484=$C115)*($D$5:$D$2484=$D115)*($S$5:$S$2484=1)*IFERROR($N$5:$N$2484*1,0)))&gt;0,ROUND($H115*($N115/SUMPRODUCT(MAX(($C$5:$C$2484=$C115)*($D$5:$D$2484=$D115)*($S$5:$S$2484=1)*IFERROR($N$5:$N$2484*1,0)))),4),0)))</f>
        <v/>
      </c>
      <c r="P115" s="48" t="inlineStr">
        <is>
          <t>fermate</t>
        </is>
      </c>
      <c r="Q115" s="57">
        <f>IF($A115="","",$A115&amp;"|"&amp;$C115)</f>
        <v/>
      </c>
      <c r="R115" s="57">
        <f>IF($A115="","",$A115&amp;"|"&amp;$C115&amp;"|"&amp;$D115)</f>
        <v/>
      </c>
      <c r="S115" s="57">
        <f>IF($A115="","",IFERROR(INDEX(Offerte!$D$2:$D$81,MATCH($Q115,Offerte!$L$2:$L$81,0)),0))</f>
        <v/>
      </c>
      <c r="T115" s="57">
        <f>IF($A115="","",IFERROR(INDEX(Offerte!$G$2:$G$81,MATCH($Q115,Offerte!$L$2:$L$81,0)),"NO"))</f>
        <v/>
      </c>
    </row>
    <row r="116">
      <c r="A116" s="48">
        <f>IF(Offerte!$A5="","",Offerte!$A5)</f>
        <v/>
      </c>
      <c r="B116" s="48">
        <f>IF(Offerte!$A5="","",Offerte!$B5)</f>
        <v/>
      </c>
      <c r="C116" s="48">
        <f>IF(Offerte!$A5="","",Offerte!$C5)</f>
        <v/>
      </c>
      <c r="D116" s="48" t="inlineStr">
        <is>
          <t>D.2.1</t>
        </is>
      </c>
      <c r="E116" s="48" t="inlineStr">
        <is>
          <t>D</t>
        </is>
      </c>
      <c r="F116" s="48" t="inlineStr">
        <is>
          <t>Q</t>
        </is>
      </c>
      <c r="G116" s="48" t="inlineStr">
        <is>
          <t>higher</t>
        </is>
      </c>
      <c r="H116" s="48" t="n">
        <v>2</v>
      </c>
      <c r="I116" s="48" t="inlineStr">
        <is>
          <t>Segnali tattili Loges-Vet-Evolution</t>
        </is>
      </c>
      <c r="J116" s="73" t="n"/>
      <c r="K116" s="73" t="n"/>
      <c r="L116" s="73" t="n"/>
      <c r="M116" s="73" t="n"/>
      <c r="N116" s="57">
        <f>IF($A116="","",IFERROR(VALUE($J116),0))</f>
        <v/>
      </c>
      <c r="O116" s="57">
        <f>IF($A116="",0,IF(OR($S116&lt;&gt;1,COUNTA($J116:$M116)=0),0,IF(SUMPRODUCT(MAX(($C$5:$C$2484=$C116)*($D$5:$D$2484=$D116)*($S$5:$S$2484=1)*IFERROR($N$5:$N$2484*1,0)))&gt;0,ROUND($H116*($N116/SUMPRODUCT(MAX(($C$5:$C$2484=$C116)*($D$5:$D$2484=$D116)*($S$5:$S$2484=1)*IFERROR($N$5:$N$2484*1,0)))),4),0)))</f>
        <v/>
      </c>
      <c r="P116" s="48" t="inlineStr">
        <is>
          <t>fermate</t>
        </is>
      </c>
      <c r="Q116" s="57">
        <f>IF($A116="","",$A116&amp;"|"&amp;$C116)</f>
        <v/>
      </c>
      <c r="R116" s="57">
        <f>IF($A116="","",$A116&amp;"|"&amp;$C116&amp;"|"&amp;$D116)</f>
        <v/>
      </c>
      <c r="S116" s="57">
        <f>IF($A116="","",IFERROR(INDEX(Offerte!$D$2:$D$81,MATCH($Q116,Offerte!$L$2:$L$81,0)),0))</f>
        <v/>
      </c>
      <c r="T116" s="57">
        <f>IF($A116="","",IFERROR(INDEX(Offerte!$G$2:$G$81,MATCH($Q116,Offerte!$L$2:$L$81,0)),"NO"))</f>
        <v/>
      </c>
    </row>
    <row r="117">
      <c r="A117" s="48">
        <f>IF(Offerte!$A5="","",Offerte!$A5)</f>
        <v/>
      </c>
      <c r="B117" s="48">
        <f>IF(Offerte!$A5="","",Offerte!$B5)</f>
        <v/>
      </c>
      <c r="C117" s="48">
        <f>IF(Offerte!$A5="","",Offerte!$C5)</f>
        <v/>
      </c>
      <c r="D117" s="48" t="inlineStr">
        <is>
          <t>E.1.1</t>
        </is>
      </c>
      <c r="E117" s="48" t="inlineStr">
        <is>
          <t>E</t>
        </is>
      </c>
      <c r="F117" s="48" t="inlineStr">
        <is>
          <t>T</t>
        </is>
      </c>
      <c r="G117" s="48" t="inlineStr">
        <is>
          <t>tabular</t>
        </is>
      </c>
      <c r="H117" s="48" t="n">
        <v>2</v>
      </c>
      <c r="I117" s="48" t="inlineStr">
        <is>
          <t>Mobile app con travel planner PRM</t>
        </is>
      </c>
      <c r="J117" s="73" t="n"/>
      <c r="K117" s="73" t="n"/>
      <c r="L117" s="73" t="n"/>
      <c r="M117" s="73" t="n"/>
      <c r="N117" s="57">
        <f>IF($A117="","",IF(IFERROR(VALUE($M117),0)=1,1,0))</f>
        <v/>
      </c>
      <c r="O117" s="57">
        <f>IF($A117="",0,IF(OR($S117&lt;&gt;1,COUNTA($J117:$M117)=0),0,IF($N117=1,$H117,0)))</f>
        <v/>
      </c>
      <c r="P117" s="48" t="inlineStr">
        <is>
          <t>sì/no</t>
        </is>
      </c>
      <c r="Q117" s="57">
        <f>IF($A117="","",$A117&amp;"|"&amp;$C117)</f>
        <v/>
      </c>
      <c r="R117" s="57">
        <f>IF($A117="","",$A117&amp;"|"&amp;$C117&amp;"|"&amp;$D117)</f>
        <v/>
      </c>
      <c r="S117" s="57">
        <f>IF($A117="","",IFERROR(INDEX(Offerte!$D$2:$D$81,MATCH($Q117,Offerte!$L$2:$L$81,0)),0))</f>
        <v/>
      </c>
      <c r="T117" s="57">
        <f>IF($A117="","",IFERROR(INDEX(Offerte!$G$2:$G$81,MATCH($Q117,Offerte!$L$2:$L$81,0)),"NO"))</f>
        <v/>
      </c>
    </row>
    <row r="118">
      <c r="A118" s="48">
        <f>IF(Offerte!$A5="","",Offerte!$A5)</f>
        <v/>
      </c>
      <c r="B118" s="48">
        <f>IF(Offerte!$A5="","",Offerte!$B5)</f>
        <v/>
      </c>
      <c r="C118" s="48">
        <f>IF(Offerte!$A5="","",Offerte!$C5)</f>
        <v/>
      </c>
      <c r="D118" s="48" t="inlineStr">
        <is>
          <t>E.2.1</t>
        </is>
      </c>
      <c r="E118" s="48" t="inlineStr">
        <is>
          <t>E</t>
        </is>
      </c>
      <c r="F118" s="48" t="inlineStr">
        <is>
          <t>D</t>
        </is>
      </c>
      <c r="G118" s="48" t="inlineStr">
        <is>
          <t>discretionary</t>
        </is>
      </c>
      <c r="H118" s="48" t="n">
        <v>2</v>
      </c>
      <c r="I118" s="48" t="inlineStr">
        <is>
          <t>Altre azioni informative e rapporti con gli utenti</t>
        </is>
      </c>
      <c r="J118" s="73" t="n"/>
      <c r="K118" s="73" t="n"/>
      <c r="L118" s="73" t="n"/>
      <c r="M118" s="73" t="n"/>
      <c r="N118" s="57">
        <f>IF($A118="","",MAX(0,MIN(1,IFERROR(VALUE($M118),0))))</f>
        <v/>
      </c>
      <c r="O118" s="57">
        <f>IF($A118="",0,IF(OR($S118&lt;&gt;1,COUNTA($J118:$M118)=0),0,IF(SUMPRODUCT(MAX(($C$5:$C$2484=$C118)*($D$5:$D$2484=$D118)*($S$5:$S$2484=1)*IFERROR($N$5:$N$2484*1,0)))&gt;0,ROUND($H118*($N118/SUMPRODUCT(MAX(($C$5:$C$2484=$C118)*($D$5:$D$2484=$D118)*($S$5:$S$2484=1)*IFERROR($N$5:$N$2484*1,0)))),4),0)))</f>
        <v/>
      </c>
      <c r="P118" s="48" t="inlineStr">
        <is>
          <t>coeff.</t>
        </is>
      </c>
      <c r="Q118" s="57">
        <f>IF($A118="","",$A118&amp;"|"&amp;$C118)</f>
        <v/>
      </c>
      <c r="R118" s="57">
        <f>IF($A118="","",$A118&amp;"|"&amp;$C118&amp;"|"&amp;$D118)</f>
        <v/>
      </c>
      <c r="S118" s="57">
        <f>IF($A118="","",IFERROR(INDEX(Offerte!$D$2:$D$81,MATCH($Q118,Offerte!$L$2:$L$81,0)),0))</f>
        <v/>
      </c>
      <c r="T118" s="57">
        <f>IF($A118="","",IFERROR(INDEX(Offerte!$G$2:$G$81,MATCH($Q118,Offerte!$L$2:$L$81,0)),"NO"))</f>
        <v/>
      </c>
    </row>
    <row r="119">
      <c r="A119" s="48">
        <f>IF(Offerte!$A5="","",Offerte!$A5)</f>
        <v/>
      </c>
      <c r="B119" s="48">
        <f>IF(Offerte!$A5="","",Offerte!$B5)</f>
        <v/>
      </c>
      <c r="C119" s="48">
        <f>IF(Offerte!$A5="","",Offerte!$C5)</f>
        <v/>
      </c>
      <c r="D119" s="48" t="inlineStr">
        <is>
          <t>F.1.1</t>
        </is>
      </c>
      <c r="E119" s="48" t="inlineStr">
        <is>
          <t>F</t>
        </is>
      </c>
      <c r="F119" s="48" t="inlineStr">
        <is>
          <t>Q</t>
        </is>
      </c>
      <c r="G119" s="48" t="inlineStr">
        <is>
          <t>lower</t>
        </is>
      </c>
      <c r="H119" s="48" t="n">
        <v>7</v>
      </c>
      <c r="I119" s="48" t="inlineStr">
        <is>
          <t>Performance ambientali del parco mezzi adibito al servizio - I_CEA</t>
        </is>
      </c>
      <c r="J119" s="73" t="n"/>
      <c r="K119" s="73" t="n"/>
      <c r="L119" s="73" t="n"/>
      <c r="M119" s="73" t="n"/>
      <c r="N119" s="57">
        <f>IF($A119="","",IFERROR(VALUE($J119),0))</f>
        <v/>
      </c>
      <c r="O119" s="57">
        <f>IF($A119="",0,IF(OR($S119&lt;&gt;1,COUNTA($J119:$M119)=0),0,IF(AND(IFERROR(AGGREGATE(15,6,$N$5:$N$2484/(($C$5:$C$2484=$C119)*($D$5:$D$2484=$D119)*($S$5:$S$2484=1)*($N$5:$N$2484&gt;0)),1),0)&gt;0,$N119&gt;0),ROUND($H119*(IFERROR(AGGREGATE(15,6,$N$5:$N$2484/(($C$5:$C$2484=$C119)*($D$5:$D$2484=$D119)*($S$5:$S$2484=1)*($N$5:$N$2484&gt;0)),1),0)/$N119),4),0)))</f>
        <v/>
      </c>
      <c r="P119" s="48" t="inlineStr">
        <is>
          <t>indice</t>
        </is>
      </c>
      <c r="Q119" s="57">
        <f>IF($A119="","",$A119&amp;"|"&amp;$C119)</f>
        <v/>
      </c>
      <c r="R119" s="57">
        <f>IF($A119="","",$A119&amp;"|"&amp;$C119&amp;"|"&amp;$D119)</f>
        <v/>
      </c>
      <c r="S119" s="57">
        <f>IF($A119="","",IFERROR(INDEX(Offerte!$D$2:$D$81,MATCH($Q119,Offerte!$L$2:$L$81,0)),0))</f>
        <v/>
      </c>
      <c r="T119" s="57">
        <f>IF($A119="","",IFERROR(INDEX(Offerte!$G$2:$G$81,MATCH($Q119,Offerte!$L$2:$L$81,0)),"NO"))</f>
        <v/>
      </c>
    </row>
    <row r="120">
      <c r="A120" s="48">
        <f>IF(Offerte!$A5="","",Offerte!$A5)</f>
        <v/>
      </c>
      <c r="B120" s="48">
        <f>IF(Offerte!$A5="","",Offerte!$B5)</f>
        <v/>
      </c>
      <c r="C120" s="48">
        <f>IF(Offerte!$A5="","",Offerte!$C5)</f>
        <v/>
      </c>
      <c r="D120" s="48" t="inlineStr">
        <is>
          <t>F.2.1</t>
        </is>
      </c>
      <c r="E120" s="48" t="inlineStr">
        <is>
          <t>F</t>
        </is>
      </c>
      <c r="F120" s="48" t="inlineStr">
        <is>
          <t>Q</t>
        </is>
      </c>
      <c r="G120" s="48" t="inlineStr">
        <is>
          <t>higher</t>
        </is>
      </c>
      <c r="H120" s="48" t="n">
        <v>2</v>
      </c>
      <c r="I120" s="48" t="inlineStr">
        <is>
          <t>Tasso di copertura del servizio con dispositivi ECO-DRIVER</t>
        </is>
      </c>
      <c r="J120" s="73" t="n"/>
      <c r="K120" s="73" t="n"/>
      <c r="L120" s="73" t="n"/>
      <c r="M120" s="73" t="n"/>
      <c r="N120" s="57">
        <f>IF($A120="","",IFERROR(VALUE($K120)/VALUE($L120),IFERROR(VALUE($J120),0)))</f>
        <v/>
      </c>
      <c r="O120" s="57">
        <f>IF($A120="",0,IF(OR($S120&lt;&gt;1,COUNTA($J120:$M120)=0),0,IF(SUMPRODUCT(MAX(($C$5:$C$2484=$C120)*($D$5:$D$2484=$D120)*($S$5:$S$2484=1)*IFERROR($N$5:$N$2484*1,0)))&gt;0,ROUND($H120*($N120/SUMPRODUCT(MAX(($C$5:$C$2484=$C120)*($D$5:$D$2484=$D120)*($S$5:$S$2484=1)*IFERROR($N$5:$N$2484*1,0)))),4),0)))</f>
        <v/>
      </c>
      <c r="P120" s="48" t="inlineStr">
        <is>
          <t>Autobus attrezzati con dispositivi ECO-DRIVER / Autobus totali in offerta, incluse scorte</t>
        </is>
      </c>
      <c r="Q120" s="57">
        <f>IF($A120="","",$A120&amp;"|"&amp;$C120)</f>
        <v/>
      </c>
      <c r="R120" s="57">
        <f>IF($A120="","",$A120&amp;"|"&amp;$C120&amp;"|"&amp;$D120)</f>
        <v/>
      </c>
      <c r="S120" s="57">
        <f>IF($A120="","",IFERROR(INDEX(Offerte!$D$2:$D$81,MATCH($Q120,Offerte!$L$2:$L$81,0)),0))</f>
        <v/>
      </c>
      <c r="T120" s="57">
        <f>IF($A120="","",IFERROR(INDEX(Offerte!$G$2:$G$81,MATCH($Q120,Offerte!$L$2:$L$81,0)),"NO"))</f>
        <v/>
      </c>
    </row>
    <row r="121">
      <c r="A121" s="48">
        <f>IF(Offerte!$A5="","",Offerte!$A5)</f>
        <v/>
      </c>
      <c r="B121" s="48">
        <f>IF(Offerte!$A5="","",Offerte!$B5)</f>
        <v/>
      </c>
      <c r="C121" s="48">
        <f>IF(Offerte!$A5="","",Offerte!$C5)</f>
        <v/>
      </c>
      <c r="D121" s="48" t="inlineStr">
        <is>
          <t>F.3.1</t>
        </is>
      </c>
      <c r="E121" s="48" t="inlineStr">
        <is>
          <t>F</t>
        </is>
      </c>
      <c r="F121" s="48" t="inlineStr">
        <is>
          <t>Q</t>
        </is>
      </c>
      <c r="G121" s="48" t="inlineStr">
        <is>
          <t>higher</t>
        </is>
      </c>
      <c r="H121" s="48" t="n">
        <v>2</v>
      </c>
      <c r="I121" s="48" t="inlineStr">
        <is>
          <t>Autoproduzione consumi elettrici per trazione</t>
        </is>
      </c>
      <c r="J121" s="73" t="n"/>
      <c r="K121" s="73" t="n"/>
      <c r="L121" s="73" t="n"/>
      <c r="M121" s="73" t="n"/>
      <c r="N121" s="57">
        <f>IF($A121="","",IFERROR(VALUE($J121),0))</f>
        <v/>
      </c>
      <c r="O121" s="57">
        <f>IF($A121="",0,IF(OR($S121&lt;&gt;1,COUNTA($J121:$M121)=0),0,IF(SUMPRODUCT(MAX(($C$5:$C$2484=$C121)*($D$5:$D$2484=$D121)*($S$5:$S$2484=1)*IFERROR($N$5:$N$2484*1,0)))&gt;0,ROUND($H121*($N121/SUMPRODUCT(MAX(($C$5:$C$2484=$C121)*($D$5:$D$2484=$D121)*($S$5:$S$2484=1)*IFERROR($N$5:$N$2484*1,0)))),4),0)))</f>
        <v/>
      </c>
      <c r="P121" s="48" t="inlineStr">
        <is>
          <t>kWh/anno</t>
        </is>
      </c>
      <c r="Q121" s="57">
        <f>IF($A121="","",$A121&amp;"|"&amp;$C121)</f>
        <v/>
      </c>
      <c r="R121" s="57">
        <f>IF($A121="","",$A121&amp;"|"&amp;$C121&amp;"|"&amp;$D121)</f>
        <v/>
      </c>
      <c r="S121" s="57">
        <f>IF($A121="","",IFERROR(INDEX(Offerte!$D$2:$D$81,MATCH($Q121,Offerte!$L$2:$L$81,0)),0))</f>
        <v/>
      </c>
      <c r="T121" s="57">
        <f>IF($A121="","",IFERROR(INDEX(Offerte!$G$2:$G$81,MATCH($Q121,Offerte!$L$2:$L$81,0)),"NO"))</f>
        <v/>
      </c>
    </row>
    <row r="122">
      <c r="A122" s="48">
        <f>IF(Offerte!$A5="","",Offerte!$A5)</f>
        <v/>
      </c>
      <c r="B122" s="48">
        <f>IF(Offerte!$A5="","",Offerte!$B5)</f>
        <v/>
      </c>
      <c r="C122" s="48">
        <f>IF(Offerte!$A5="","",Offerte!$C5)</f>
        <v/>
      </c>
      <c r="D122" s="48" t="inlineStr">
        <is>
          <t>F.4.1</t>
        </is>
      </c>
      <c r="E122" s="48" t="inlineStr">
        <is>
          <t>F</t>
        </is>
      </c>
      <c r="F122" s="48" t="inlineStr">
        <is>
          <t>Q</t>
        </is>
      </c>
      <c r="G122" s="48" t="inlineStr">
        <is>
          <t>soil</t>
        </is>
      </c>
      <c r="H122" s="48" t="n">
        <v>2</v>
      </c>
      <c r="I122" s="48" t="inlineStr">
        <is>
          <t>Indice di consumo di suolo</t>
        </is>
      </c>
      <c r="J122" s="73" t="n"/>
      <c r="K122" s="73" t="n"/>
      <c r="L122" s="73" t="n"/>
      <c r="M122" s="73" t="n"/>
      <c r="N122" s="57">
        <f>IF($A122="","",IFERROR(VALUE($J122),0))</f>
        <v/>
      </c>
      <c r="O122" s="57">
        <f>IF($A122="",0,IF(OR($S122&lt;&gt;1,COUNTA($J122:$M122)=0),0,IF($N122&lt;=0,$H122,IF(SUMPRODUCT(MAX(($C$5:$C$2484=$C122)*($D$5:$D$2484=$D122)*($S$5:$S$2484=1)*IFERROR($N$5:$N$2484*1,0)))&gt;0,ROUND($H122*((SUMPRODUCT(MAX(($C$5:$C$2484=$C122)*($D$5:$D$2484=$D122)*($S$5:$S$2484=1)*IFERROR($N$5:$N$2484*1,0)))-$N122)/SUMPRODUCT(MAX(($C$5:$C$2484=$C122)*($D$5:$D$2484=$D122)*($S$5:$S$2484=1)*IFERROR($N$5:$N$2484*1,0)))),4),0))))</f>
        <v/>
      </c>
      <c r="P122" s="48" t="inlineStr">
        <is>
          <t>m2</t>
        </is>
      </c>
      <c r="Q122" s="57">
        <f>IF($A122="","",$A122&amp;"|"&amp;$C122)</f>
        <v/>
      </c>
      <c r="R122" s="57">
        <f>IF($A122="","",$A122&amp;"|"&amp;$C122&amp;"|"&amp;$D122)</f>
        <v/>
      </c>
      <c r="S122" s="57">
        <f>IF($A122="","",IFERROR(INDEX(Offerte!$D$2:$D$81,MATCH($Q122,Offerte!$L$2:$L$81,0)),0))</f>
        <v/>
      </c>
      <c r="T122" s="57">
        <f>IF($A122="","",IFERROR(INDEX(Offerte!$G$2:$G$81,MATCH($Q122,Offerte!$L$2:$L$81,0)),"NO"))</f>
        <v/>
      </c>
    </row>
    <row r="123">
      <c r="A123" s="48">
        <f>IF(Offerte!$A5="","",Offerte!$A5)</f>
        <v/>
      </c>
      <c r="B123" s="48">
        <f>IF(Offerte!$A5="","",Offerte!$B5)</f>
        <v/>
      </c>
      <c r="C123" s="48">
        <f>IF(Offerte!$A5="","",Offerte!$C5)</f>
        <v/>
      </c>
      <c r="D123" s="48" t="inlineStr">
        <is>
          <t>F.5.1</t>
        </is>
      </c>
      <c r="E123" s="48" t="inlineStr">
        <is>
          <t>F</t>
        </is>
      </c>
      <c r="F123" s="48" t="inlineStr">
        <is>
          <t>T</t>
        </is>
      </c>
      <c r="G123" s="48" t="inlineStr">
        <is>
          <t>tabular</t>
        </is>
      </c>
      <c r="H123" s="48" t="n">
        <v>1</v>
      </c>
      <c r="I123" s="48" t="inlineStr">
        <is>
          <t>Rendicontazione di sostenibilità ambientale</t>
        </is>
      </c>
      <c r="J123" s="73" t="n"/>
      <c r="K123" s="73" t="n"/>
      <c r="L123" s="73" t="n"/>
      <c r="M123" s="73" t="n"/>
      <c r="N123" s="57">
        <f>IF($A123="","",IF(IFERROR(VALUE($M123),0)=1,1,0))</f>
        <v/>
      </c>
      <c r="O123" s="57">
        <f>IF($A123="",0,IF(OR($S123&lt;&gt;1,COUNTA($J123:$M123)=0),0,IF($N123=1,$H123,0)))</f>
        <v/>
      </c>
      <c r="P123" s="48" t="inlineStr">
        <is>
          <t>sì/no</t>
        </is>
      </c>
      <c r="Q123" s="57">
        <f>IF($A123="","",$A123&amp;"|"&amp;$C123)</f>
        <v/>
      </c>
      <c r="R123" s="57">
        <f>IF($A123="","",$A123&amp;"|"&amp;$C123&amp;"|"&amp;$D123)</f>
        <v/>
      </c>
      <c r="S123" s="57">
        <f>IF($A123="","",IFERROR(INDEX(Offerte!$D$2:$D$81,MATCH($Q123,Offerte!$L$2:$L$81,0)),0))</f>
        <v/>
      </c>
      <c r="T123" s="57">
        <f>IF($A123="","",IFERROR(INDEX(Offerte!$G$2:$G$81,MATCH($Q123,Offerte!$L$2:$L$81,0)),"NO"))</f>
        <v/>
      </c>
    </row>
    <row r="124">
      <c r="A124" s="48">
        <f>IF(Offerte!$A5="","",Offerte!$A5)</f>
        <v/>
      </c>
      <c r="B124" s="48">
        <f>IF(Offerte!$A5="","",Offerte!$B5)</f>
        <v/>
      </c>
      <c r="C124" s="48">
        <f>IF(Offerte!$A5="","",Offerte!$C5)</f>
        <v/>
      </c>
      <c r="D124" s="48" t="inlineStr">
        <is>
          <t>G.1.1</t>
        </is>
      </c>
      <c r="E124" s="48" t="inlineStr">
        <is>
          <t>G</t>
        </is>
      </c>
      <c r="F124" s="48" t="inlineStr">
        <is>
          <t>D</t>
        </is>
      </c>
      <c r="G124" s="48" t="inlineStr">
        <is>
          <t>discretionary</t>
        </is>
      </c>
      <c r="H124" s="48" t="n">
        <v>2</v>
      </c>
      <c r="I124" s="48" t="inlineStr">
        <is>
          <t>Qualità del progetto di centrale di controllo aziendale</t>
        </is>
      </c>
      <c r="J124" s="73" t="n"/>
      <c r="K124" s="73" t="n"/>
      <c r="L124" s="73" t="n"/>
      <c r="M124" s="73" t="n"/>
      <c r="N124" s="57">
        <f>IF($A124="","",MAX(0,MIN(1,IFERROR(VALUE($M124),0))))</f>
        <v/>
      </c>
      <c r="O124" s="57">
        <f>IF($A124="",0,IF(OR($S124&lt;&gt;1,COUNTA($J124:$M124)=0),0,IF(SUMPRODUCT(MAX(($C$5:$C$2484=$C124)*($D$5:$D$2484=$D124)*($S$5:$S$2484=1)*IFERROR($N$5:$N$2484*1,0)))&gt;0,ROUND($H124*($N124/SUMPRODUCT(MAX(($C$5:$C$2484=$C124)*($D$5:$D$2484=$D124)*($S$5:$S$2484=1)*IFERROR($N$5:$N$2484*1,0)))),4),0)))</f>
        <v/>
      </c>
      <c r="P124" s="48" t="inlineStr">
        <is>
          <t>coeff.</t>
        </is>
      </c>
      <c r="Q124" s="57">
        <f>IF($A124="","",$A124&amp;"|"&amp;$C124)</f>
        <v/>
      </c>
      <c r="R124" s="57">
        <f>IF($A124="","",$A124&amp;"|"&amp;$C124&amp;"|"&amp;$D124)</f>
        <v/>
      </c>
      <c r="S124" s="57">
        <f>IF($A124="","",IFERROR(INDEX(Offerte!$D$2:$D$81,MATCH($Q124,Offerte!$L$2:$L$81,0)),0))</f>
        <v/>
      </c>
      <c r="T124" s="57">
        <f>IF($A124="","",IFERROR(INDEX(Offerte!$G$2:$G$81,MATCH($Q124,Offerte!$L$2:$L$81,0)),"NO"))</f>
        <v/>
      </c>
    </row>
    <row r="125">
      <c r="A125" s="48">
        <f>IF(Offerte!$A5="","",Offerte!$A5)</f>
        <v/>
      </c>
      <c r="B125" s="48">
        <f>IF(Offerte!$A5="","",Offerte!$B5)</f>
        <v/>
      </c>
      <c r="C125" s="48">
        <f>IF(Offerte!$A5="","",Offerte!$C5)</f>
        <v/>
      </c>
      <c r="D125" s="48" t="inlineStr">
        <is>
          <t>G.2.1</t>
        </is>
      </c>
      <c r="E125" s="48" t="inlineStr">
        <is>
          <t>G</t>
        </is>
      </c>
      <c r="F125" s="48" t="inlineStr">
        <is>
          <t>T</t>
        </is>
      </c>
      <c r="G125" s="48" t="inlineStr">
        <is>
          <t>tabular</t>
        </is>
      </c>
      <c r="H125" s="48" t="n">
        <v>1</v>
      </c>
      <c r="I125" s="48" t="inlineStr">
        <is>
          <t>Certificazione ISO 45001</t>
        </is>
      </c>
      <c r="J125" s="73" t="n"/>
      <c r="K125" s="73" t="n"/>
      <c r="L125" s="73" t="n"/>
      <c r="M125" s="73" t="n"/>
      <c r="N125" s="57">
        <f>IF($A125="","",IF(IFERROR(VALUE($M125),0)=1,1,0))</f>
        <v/>
      </c>
      <c r="O125" s="57">
        <f>IF($A125="",0,IF(OR($S125&lt;&gt;1,COUNTA($J125:$M125)=0),0,IF($N125=1,$H125,0)))</f>
        <v/>
      </c>
      <c r="P125" s="48" t="inlineStr">
        <is>
          <t>sì/no</t>
        </is>
      </c>
      <c r="Q125" s="57">
        <f>IF($A125="","",$A125&amp;"|"&amp;$C125)</f>
        <v/>
      </c>
      <c r="R125" s="57">
        <f>IF($A125="","",$A125&amp;"|"&amp;$C125&amp;"|"&amp;$D125)</f>
        <v/>
      </c>
      <c r="S125" s="57">
        <f>IF($A125="","",IFERROR(INDEX(Offerte!$D$2:$D$81,MATCH($Q125,Offerte!$L$2:$L$81,0)),0))</f>
        <v/>
      </c>
      <c r="T125" s="57">
        <f>IF($A125="","",IFERROR(INDEX(Offerte!$G$2:$G$81,MATCH($Q125,Offerte!$L$2:$L$81,0)),"NO"))</f>
        <v/>
      </c>
    </row>
    <row r="126">
      <c r="A126" s="48">
        <f>IF(Offerte!$A5="","",Offerte!$A5)</f>
        <v/>
      </c>
      <c r="B126" s="48">
        <f>IF(Offerte!$A5="","",Offerte!$B5)</f>
        <v/>
      </c>
      <c r="C126" s="48">
        <f>IF(Offerte!$A5="","",Offerte!$C5)</f>
        <v/>
      </c>
      <c r="D126" s="48" t="inlineStr">
        <is>
          <t>G.3.1</t>
        </is>
      </c>
      <c r="E126" s="48" t="inlineStr">
        <is>
          <t>G</t>
        </is>
      </c>
      <c r="F126" s="48" t="inlineStr">
        <is>
          <t>T</t>
        </is>
      </c>
      <c r="G126" s="48" t="inlineStr">
        <is>
          <t>tabular</t>
        </is>
      </c>
      <c r="H126" s="48" t="n">
        <v>1</v>
      </c>
      <c r="I126" s="48" t="inlineStr">
        <is>
          <t>Certificazioni di responsabilità sociale</t>
        </is>
      </c>
      <c r="J126" s="73" t="n"/>
      <c r="K126" s="73" t="n"/>
      <c r="L126" s="73" t="n"/>
      <c r="M126" s="73" t="n"/>
      <c r="N126" s="57">
        <f>IF($A126="","",IF(IFERROR(VALUE($M126),0)=1,1,0))</f>
        <v/>
      </c>
      <c r="O126" s="57">
        <f>IF($A126="",0,IF(OR($S126&lt;&gt;1,COUNTA($J126:$M126)=0),0,IF($N126=1,$H126,0)))</f>
        <v/>
      </c>
      <c r="P126" s="48" t="inlineStr">
        <is>
          <t>sì/no</t>
        </is>
      </c>
      <c r="Q126" s="57">
        <f>IF($A126="","",$A126&amp;"|"&amp;$C126)</f>
        <v/>
      </c>
      <c r="R126" s="57">
        <f>IF($A126="","",$A126&amp;"|"&amp;$C126&amp;"|"&amp;$D126)</f>
        <v/>
      </c>
      <c r="S126" s="57">
        <f>IF($A126="","",IFERROR(INDEX(Offerte!$D$2:$D$81,MATCH($Q126,Offerte!$L$2:$L$81,0)),0))</f>
        <v/>
      </c>
      <c r="T126" s="57">
        <f>IF($A126="","",IFERROR(INDEX(Offerte!$G$2:$G$81,MATCH($Q126,Offerte!$L$2:$L$81,0)),"NO"))</f>
        <v/>
      </c>
    </row>
    <row r="127">
      <c r="A127" s="48">
        <f>IF(Offerte!$A5="","",Offerte!$A5)</f>
        <v/>
      </c>
      <c r="B127" s="48">
        <f>IF(Offerte!$A5="","",Offerte!$B5)</f>
        <v/>
      </c>
      <c r="C127" s="48">
        <f>IF(Offerte!$A5="","",Offerte!$C5)</f>
        <v/>
      </c>
      <c r="D127" s="48" t="inlineStr">
        <is>
          <t>G.4.1</t>
        </is>
      </c>
      <c r="E127" s="48" t="inlineStr">
        <is>
          <t>G</t>
        </is>
      </c>
      <c r="F127" s="48" t="inlineStr">
        <is>
          <t>D</t>
        </is>
      </c>
      <c r="G127" s="48" t="inlineStr">
        <is>
          <t>discretionary</t>
        </is>
      </c>
      <c r="H127" s="48" t="n">
        <v>2</v>
      </c>
      <c r="I127" s="48" t="inlineStr">
        <is>
          <t>Qualità del piano di formazione del personale</t>
        </is>
      </c>
      <c r="J127" s="73" t="n"/>
      <c r="K127" s="73" t="n"/>
      <c r="L127" s="73" t="n"/>
      <c r="M127" s="73" t="n"/>
      <c r="N127" s="57">
        <f>IF($A127="","",MAX(0,MIN(1,IFERROR(VALUE($M127),0))))</f>
        <v/>
      </c>
      <c r="O127" s="57">
        <f>IF($A127="",0,IF(OR($S127&lt;&gt;1,COUNTA($J127:$M127)=0),0,IF(SUMPRODUCT(MAX(($C$5:$C$2484=$C127)*($D$5:$D$2484=$D127)*($S$5:$S$2484=1)*IFERROR($N$5:$N$2484*1,0)))&gt;0,ROUND($H127*($N127/SUMPRODUCT(MAX(($C$5:$C$2484=$C127)*($D$5:$D$2484=$D127)*($S$5:$S$2484=1)*IFERROR($N$5:$N$2484*1,0)))),4),0)))</f>
        <v/>
      </c>
      <c r="P127" s="48" t="inlineStr">
        <is>
          <t>coeff.</t>
        </is>
      </c>
      <c r="Q127" s="57">
        <f>IF($A127="","",$A127&amp;"|"&amp;$C127)</f>
        <v/>
      </c>
      <c r="R127" s="57">
        <f>IF($A127="","",$A127&amp;"|"&amp;$C127&amp;"|"&amp;$D127)</f>
        <v/>
      </c>
      <c r="S127" s="57">
        <f>IF($A127="","",IFERROR(INDEX(Offerte!$D$2:$D$81,MATCH($Q127,Offerte!$L$2:$L$81,0)),0))</f>
        <v/>
      </c>
      <c r="T127" s="57">
        <f>IF($A127="","",IFERROR(INDEX(Offerte!$G$2:$G$81,MATCH($Q127,Offerte!$L$2:$L$81,0)),"NO"))</f>
        <v/>
      </c>
    </row>
    <row r="128">
      <c r="A128" s="48">
        <f>IF(Offerte!$A5="","",Offerte!$A5)</f>
        <v/>
      </c>
      <c r="B128" s="48">
        <f>IF(Offerte!$A5="","",Offerte!$B5)</f>
        <v/>
      </c>
      <c r="C128" s="48">
        <f>IF(Offerte!$A5="","",Offerte!$C5)</f>
        <v/>
      </c>
      <c r="D128" s="48" t="inlineStr">
        <is>
          <t>G.5.1</t>
        </is>
      </c>
      <c r="E128" s="48" t="inlineStr">
        <is>
          <t>G</t>
        </is>
      </c>
      <c r="F128" s="48" t="inlineStr">
        <is>
          <t>T</t>
        </is>
      </c>
      <c r="G128" s="48" t="inlineStr">
        <is>
          <t>tabular</t>
        </is>
      </c>
      <c r="H128" s="48" t="n">
        <v>1</v>
      </c>
      <c r="I128" s="48" t="inlineStr">
        <is>
          <t>Impegno al mantenimento delle garanzie del contratto di secondo livello del gestore uscente</t>
        </is>
      </c>
      <c r="J128" s="73" t="n"/>
      <c r="K128" s="73" t="n"/>
      <c r="L128" s="73" t="n"/>
      <c r="M128" s="73" t="n"/>
      <c r="N128" s="57">
        <f>IF($A128="","",IF(IFERROR(VALUE($M128),0)=1,1,0))</f>
        <v/>
      </c>
      <c r="O128" s="57">
        <f>IF($A128="",0,IF(OR($S128&lt;&gt;1,COUNTA($J128:$M128)=0),0,IF($N128=1,$H128,0)))</f>
        <v/>
      </c>
      <c r="P128" s="48" t="inlineStr">
        <is>
          <t>sì/no</t>
        </is>
      </c>
      <c r="Q128" s="57">
        <f>IF($A128="","",$A128&amp;"|"&amp;$C128)</f>
        <v/>
      </c>
      <c r="R128" s="57">
        <f>IF($A128="","",$A128&amp;"|"&amp;$C128&amp;"|"&amp;$D128)</f>
        <v/>
      </c>
      <c r="S128" s="57">
        <f>IF($A128="","",IFERROR(INDEX(Offerte!$D$2:$D$81,MATCH($Q128,Offerte!$L$2:$L$81,0)),0))</f>
        <v/>
      </c>
      <c r="T128" s="57">
        <f>IF($A128="","",IFERROR(INDEX(Offerte!$G$2:$G$81,MATCH($Q128,Offerte!$L$2:$L$81,0)),"NO"))</f>
        <v/>
      </c>
    </row>
    <row r="129">
      <c r="A129" s="48">
        <f>IF(Offerte!$A6="","",Offerte!$A6)</f>
        <v/>
      </c>
      <c r="B129" s="48">
        <f>IF(Offerte!$A6="","",Offerte!$B6)</f>
        <v/>
      </c>
      <c r="C129" s="48">
        <f>IF(Offerte!$A6="","",Offerte!$C6)</f>
        <v/>
      </c>
      <c r="D129" s="48" t="inlineStr">
        <is>
          <t>A.1.1</t>
        </is>
      </c>
      <c r="E129" s="48" t="inlineStr">
        <is>
          <t>A</t>
        </is>
      </c>
      <c r="F129" s="48" t="inlineStr">
        <is>
          <t>Q</t>
        </is>
      </c>
      <c r="G129" s="48" t="inlineStr">
        <is>
          <t>higher</t>
        </is>
      </c>
      <c r="H129" s="48" t="n">
        <v>3</v>
      </c>
      <c r="I129" s="48" t="inlineStr">
        <is>
          <t>Tasso aggiuntivo di corse controllate</t>
        </is>
      </c>
      <c r="J129" s="73" t="n"/>
      <c r="K129" s="73" t="n"/>
      <c r="L129" s="73" t="n"/>
      <c r="M129" s="73" t="n"/>
      <c r="N129" s="57">
        <f>IF($A129="","",IFERROR(VALUE($K129)/VALUE($L129)*100,IFERROR(VALUE($J129),0)))</f>
        <v/>
      </c>
      <c r="O129" s="57">
        <f>IF($A129="",0,IF(OR($S129&lt;&gt;1,COUNTA($J129:$M129)=0),0,IF(SUMPRODUCT(MAX(($C$5:$C$2484=$C129)*($D$5:$D$2484=$D129)*($S$5:$S$2484=1)*IFERROR($N$5:$N$2484*1,0)))&gt;0,ROUND($H129*($N129/SUMPRODUCT(MAX(($C$5:$C$2484=$C129)*($D$5:$D$2484=$D129)*($S$5:$S$2484=1)*IFERROR($N$5:$N$2484*1,0)))),4),0)))</f>
        <v/>
      </c>
      <c r="P129" s="48" t="inlineStr">
        <is>
          <t>Corse controllate annue / Corse programmate annue</t>
        </is>
      </c>
      <c r="Q129" s="57">
        <f>IF($A129="","",$A129&amp;"|"&amp;$C129)</f>
        <v/>
      </c>
      <c r="R129" s="57">
        <f>IF($A129="","",$A129&amp;"|"&amp;$C129&amp;"|"&amp;$D129)</f>
        <v/>
      </c>
      <c r="S129" s="57">
        <f>IF($A129="","",IFERROR(INDEX(Offerte!$D$2:$D$81,MATCH($Q129,Offerte!$L$2:$L$81,0)),0))</f>
        <v/>
      </c>
      <c r="T129" s="57">
        <f>IF($A129="","",IFERROR(INDEX(Offerte!$G$2:$G$81,MATCH($Q129,Offerte!$L$2:$L$81,0)),"NO"))</f>
        <v/>
      </c>
    </row>
    <row r="130">
      <c r="A130" s="48">
        <f>IF(Offerte!$A6="","",Offerte!$A6)</f>
        <v/>
      </c>
      <c r="B130" s="48">
        <f>IF(Offerte!$A6="","",Offerte!$B6)</f>
        <v/>
      </c>
      <c r="C130" s="48">
        <f>IF(Offerte!$A6="","",Offerte!$C6)</f>
        <v/>
      </c>
      <c r="D130" s="48" t="inlineStr">
        <is>
          <t>A.1.2</t>
        </is>
      </c>
      <c r="E130" s="48" t="inlineStr">
        <is>
          <t>A</t>
        </is>
      </c>
      <c r="F130" s="48" t="inlineStr">
        <is>
          <t>Q</t>
        </is>
      </c>
      <c r="G130" s="48" t="inlineStr">
        <is>
          <t>higher</t>
        </is>
      </c>
      <c r="H130" s="48" t="n">
        <v>4</v>
      </c>
      <c r="I130" s="48" t="inlineStr">
        <is>
          <t>Numero aggiuntivo di passeggeri controllati</t>
        </is>
      </c>
      <c r="J130" s="73" t="n"/>
      <c r="K130" s="73" t="n"/>
      <c r="L130" s="73" t="n"/>
      <c r="M130" s="73" t="n"/>
      <c r="N130" s="57">
        <f>IF($A130="","",IFERROR(VALUE($J130),0))</f>
        <v/>
      </c>
      <c r="O130" s="57">
        <f>IF($A130="",0,IF(OR($S130&lt;&gt;1,COUNTA($J130:$M130)=0),0,IF(SUMPRODUCT(MAX(($C$5:$C$2484=$C130)*($D$5:$D$2484=$D130)*($S$5:$S$2484=1)*IFERROR($N$5:$N$2484*1,0)))&gt;0,ROUND($H130*($N130/SUMPRODUCT(MAX(($C$5:$C$2484=$C130)*($D$5:$D$2484=$D130)*($S$5:$S$2484=1)*IFERROR($N$5:$N$2484*1,0)))),4),0)))</f>
        <v/>
      </c>
      <c r="P130" s="48" t="inlineStr">
        <is>
          <t>passeggeri/anno</t>
        </is>
      </c>
      <c r="Q130" s="57">
        <f>IF($A130="","",$A130&amp;"|"&amp;$C130)</f>
        <v/>
      </c>
      <c r="R130" s="57">
        <f>IF($A130="","",$A130&amp;"|"&amp;$C130&amp;"|"&amp;$D130)</f>
        <v/>
      </c>
      <c r="S130" s="57">
        <f>IF($A130="","",IFERROR(INDEX(Offerte!$D$2:$D$81,MATCH($Q130,Offerte!$L$2:$L$81,0)),0))</f>
        <v/>
      </c>
      <c r="T130" s="57">
        <f>IF($A130="","",IFERROR(INDEX(Offerte!$G$2:$G$81,MATCH($Q130,Offerte!$L$2:$L$81,0)),"NO"))</f>
        <v/>
      </c>
    </row>
    <row r="131">
      <c r="A131" s="48">
        <f>IF(Offerte!$A6="","",Offerte!$A6)</f>
        <v/>
      </c>
      <c r="B131" s="48">
        <f>IF(Offerte!$A6="","",Offerte!$B6)</f>
        <v/>
      </c>
      <c r="C131" s="48">
        <f>IF(Offerte!$A6="","",Offerte!$C6)</f>
        <v/>
      </c>
      <c r="D131" s="48" t="inlineStr">
        <is>
          <t>B.1.1</t>
        </is>
      </c>
      <c r="E131" s="48" t="inlineStr">
        <is>
          <t>B</t>
        </is>
      </c>
      <c r="F131" s="48" t="inlineStr">
        <is>
          <t>Q</t>
        </is>
      </c>
      <c r="G131" s="48" t="inlineStr">
        <is>
          <t>higher</t>
        </is>
      </c>
      <c r="H131" s="48" t="n">
        <v>3</v>
      </c>
      <c r="I131" s="48" t="inlineStr">
        <is>
          <t>Incremento dei posti offerti nelle fasce di punta</t>
        </is>
      </c>
      <c r="J131" s="73" t="n"/>
      <c r="K131" s="73" t="n"/>
      <c r="L131" s="73" t="n"/>
      <c r="M131" s="73" t="n"/>
      <c r="N131" s="57">
        <f>IF($A131="","",IFERROR(VALUE($J131),0))</f>
        <v/>
      </c>
      <c r="O131" s="57">
        <f>IF($A131="",0,IF(OR($S131&lt;&gt;1,COUNTA($J131:$M131)=0),0,IF(SUMPRODUCT(MAX(($C$5:$C$2484=$C131)*($D$5:$D$2484=$D131)*($S$5:$S$2484=1)*IFERROR($N$5:$N$2484*1,0)))&gt;0,ROUND($H131*($N131/SUMPRODUCT(MAX(($C$5:$C$2484=$C131)*($D$5:$D$2484=$D131)*($S$5:$S$2484=1)*IFERROR($N$5:$N$2484*1,0)))),4),0)))</f>
        <v/>
      </c>
      <c r="P131" s="48" t="inlineStr">
        <is>
          <t>posti*km</t>
        </is>
      </c>
      <c r="Q131" s="57">
        <f>IF($A131="","",$A131&amp;"|"&amp;$C131)</f>
        <v/>
      </c>
      <c r="R131" s="57">
        <f>IF($A131="","",$A131&amp;"|"&amp;$C131&amp;"|"&amp;$D131)</f>
        <v/>
      </c>
      <c r="S131" s="57">
        <f>IF($A131="","",IFERROR(INDEX(Offerte!$D$2:$D$81,MATCH($Q131,Offerte!$L$2:$L$81,0)),0))</f>
        <v/>
      </c>
      <c r="T131" s="57">
        <f>IF($A131="","",IFERROR(INDEX(Offerte!$G$2:$G$81,MATCH($Q131,Offerte!$L$2:$L$81,0)),"NO"))</f>
        <v/>
      </c>
    </row>
    <row r="132">
      <c r="A132" s="48">
        <f>IF(Offerte!$A6="","",Offerte!$A6)</f>
        <v/>
      </c>
      <c r="B132" s="48">
        <f>IF(Offerte!$A6="","",Offerte!$B6)</f>
        <v/>
      </c>
      <c r="C132" s="48">
        <f>IF(Offerte!$A6="","",Offerte!$C6)</f>
        <v/>
      </c>
      <c r="D132" s="48" t="inlineStr">
        <is>
          <t>B.2.1</t>
        </is>
      </c>
      <c r="E132" s="48" t="inlineStr">
        <is>
          <t>B</t>
        </is>
      </c>
      <c r="F132" s="48" t="inlineStr">
        <is>
          <t>Q</t>
        </is>
      </c>
      <c r="G132" s="48" t="inlineStr">
        <is>
          <t>higher</t>
        </is>
      </c>
      <c r="H132" s="48" t="n">
        <v>4</v>
      </c>
      <c r="I132" s="48" t="inlineStr">
        <is>
          <t>Corse aggiuntive nell'arco giornaliero base</t>
        </is>
      </c>
      <c r="J132" s="73" t="n"/>
      <c r="K132" s="73" t="n"/>
      <c r="L132" s="73" t="n"/>
      <c r="M132" s="73" t="n"/>
      <c r="N132" s="57">
        <f>IF($A132="","",IFERROR(VALUE($J132),0))</f>
        <v/>
      </c>
      <c r="O132" s="57">
        <f>IF($A132="",0,IF(OR($S132&lt;&gt;1,COUNTA($J132:$M132)=0),0,IF(SUMPRODUCT(MAX(($C$5:$C$2484=$C132)*($D$5:$D$2484=$D132)*($S$5:$S$2484=1)*IFERROR($N$5:$N$2484*1,0)))&gt;0,ROUND($H132*($N132/SUMPRODUCT(MAX(($C$5:$C$2484=$C132)*($D$5:$D$2484=$D132)*($S$5:$S$2484=1)*IFERROR($N$5:$N$2484*1,0)))),4),0)))</f>
        <v/>
      </c>
      <c r="P132" s="48" t="inlineStr">
        <is>
          <t>corse</t>
        </is>
      </c>
      <c r="Q132" s="57">
        <f>IF($A132="","",$A132&amp;"|"&amp;$C132)</f>
        <v/>
      </c>
      <c r="R132" s="57">
        <f>IF($A132="","",$A132&amp;"|"&amp;$C132&amp;"|"&amp;$D132)</f>
        <v/>
      </c>
      <c r="S132" s="57">
        <f>IF($A132="","",IFERROR(INDEX(Offerte!$D$2:$D$81,MATCH($Q132,Offerte!$L$2:$L$81,0)),0))</f>
        <v/>
      </c>
      <c r="T132" s="57">
        <f>IF($A132="","",IFERROR(INDEX(Offerte!$G$2:$G$81,MATCH($Q132,Offerte!$L$2:$L$81,0)),"NO"))</f>
        <v/>
      </c>
    </row>
    <row r="133">
      <c r="A133" s="48">
        <f>IF(Offerte!$A6="","",Offerte!$A6)</f>
        <v/>
      </c>
      <c r="B133" s="48">
        <f>IF(Offerte!$A6="","",Offerte!$B6)</f>
        <v/>
      </c>
      <c r="C133" s="48">
        <f>IF(Offerte!$A6="","",Offerte!$C6)</f>
        <v/>
      </c>
      <c r="D133" s="48" t="inlineStr">
        <is>
          <t>B.3.1</t>
        </is>
      </c>
      <c r="E133" s="48" t="inlineStr">
        <is>
          <t>B</t>
        </is>
      </c>
      <c r="F133" s="48" t="inlineStr">
        <is>
          <t>Q</t>
        </is>
      </c>
      <c r="G133" s="48" t="inlineStr">
        <is>
          <t>higher</t>
        </is>
      </c>
      <c r="H133" s="48" t="n">
        <v>2</v>
      </c>
      <c r="I133" s="48" t="inlineStr">
        <is>
          <t>Numero di corse aggiuntive per allungamento dell'arco di servizio giornaliero nelle fasce serali</t>
        </is>
      </c>
      <c r="J133" s="73" t="n"/>
      <c r="K133" s="73" t="n"/>
      <c r="L133" s="73" t="n"/>
      <c r="M133" s="73" t="n"/>
      <c r="N133" s="57">
        <f>IF($A133="","",IFERROR(VALUE($J133),0))</f>
        <v/>
      </c>
      <c r="O133" s="57">
        <f>IF($A133="",0,IF(OR($S133&lt;&gt;1,COUNTA($J133:$M133)=0),0,IF(SUMPRODUCT(MAX(($C$5:$C$2484=$C133)*($D$5:$D$2484=$D133)*($S$5:$S$2484=1)*IFERROR($N$5:$N$2484*1,0)))&gt;0,ROUND($H133*($N133/SUMPRODUCT(MAX(($C$5:$C$2484=$C133)*($D$5:$D$2484=$D133)*($S$5:$S$2484=1)*IFERROR($N$5:$N$2484*1,0)))),4),0)))</f>
        <v/>
      </c>
      <c r="P133" s="48" t="inlineStr">
        <is>
          <t>corse</t>
        </is>
      </c>
      <c r="Q133" s="57">
        <f>IF($A133="","",$A133&amp;"|"&amp;$C133)</f>
        <v/>
      </c>
      <c r="R133" s="57">
        <f>IF($A133="","",$A133&amp;"|"&amp;$C133&amp;"|"&amp;$D133)</f>
        <v/>
      </c>
      <c r="S133" s="57">
        <f>IF($A133="","",IFERROR(INDEX(Offerte!$D$2:$D$81,MATCH($Q133,Offerte!$L$2:$L$81,0)),0))</f>
        <v/>
      </c>
      <c r="T133" s="57">
        <f>IF($A133="","",IFERROR(INDEX(Offerte!$G$2:$G$81,MATCH($Q133,Offerte!$L$2:$L$81,0)),"NO"))</f>
        <v/>
      </c>
    </row>
    <row r="134">
      <c r="A134" s="48">
        <f>IF(Offerte!$A6="","",Offerte!$A6)</f>
        <v/>
      </c>
      <c r="B134" s="48">
        <f>IF(Offerte!$A6="","",Offerte!$B6)</f>
        <v/>
      </c>
      <c r="C134" s="48">
        <f>IF(Offerte!$A6="","",Offerte!$C6)</f>
        <v/>
      </c>
      <c r="D134" s="48" t="inlineStr">
        <is>
          <t>B.4.1</t>
        </is>
      </c>
      <c r="E134" s="48" t="inlineStr">
        <is>
          <t>B</t>
        </is>
      </c>
      <c r="F134" s="48" t="inlineStr">
        <is>
          <t>Q</t>
        </is>
      </c>
      <c r="G134" s="48" t="inlineStr">
        <is>
          <t>higher</t>
        </is>
      </c>
      <c r="H134" s="48" t="n">
        <v>3</v>
      </c>
      <c r="I134" s="48" t="inlineStr">
        <is>
          <t>Percorrenze aggiuntive offerte nel Programma d'esercizio delle prime due fasi attuative</t>
        </is>
      </c>
      <c r="J134" s="73" t="n"/>
      <c r="K134" s="73" t="n"/>
      <c r="L134" s="73" t="n"/>
      <c r="M134" s="73" t="n"/>
      <c r="N134" s="57">
        <f>IF($A134="","",IFERROR(VALUE($J134),0))</f>
        <v/>
      </c>
      <c r="O134" s="57">
        <f>IF($A134="",0,IF(OR($S134&lt;&gt;1,COUNTA($J134:$M134)=0),0,IF(SUMPRODUCT(MAX(($C$5:$C$2484=$C134)*($D$5:$D$2484=$D134)*($S$5:$S$2484=1)*IFERROR($N$5:$N$2484*1,0)))&gt;0,ROUND($H134*($N134/SUMPRODUCT(MAX(($C$5:$C$2484=$C134)*($D$5:$D$2484=$D134)*($S$5:$S$2484=1)*IFERROR($N$5:$N$2484*1,0)))),4),0)))</f>
        <v/>
      </c>
      <c r="P134" s="48" t="inlineStr">
        <is>
          <t>vett*km</t>
        </is>
      </c>
      <c r="Q134" s="57">
        <f>IF($A134="","",$A134&amp;"|"&amp;$C134)</f>
        <v/>
      </c>
      <c r="R134" s="57">
        <f>IF($A134="","",$A134&amp;"|"&amp;$C134&amp;"|"&amp;$D134)</f>
        <v/>
      </c>
      <c r="S134" s="57">
        <f>IF($A134="","",IFERROR(INDEX(Offerte!$D$2:$D$81,MATCH($Q134,Offerte!$L$2:$L$81,0)),0))</f>
        <v/>
      </c>
      <c r="T134" s="57">
        <f>IF($A134="","",IFERROR(INDEX(Offerte!$G$2:$G$81,MATCH($Q134,Offerte!$L$2:$L$81,0)),"NO"))</f>
        <v/>
      </c>
    </row>
    <row r="135">
      <c r="A135" s="48">
        <f>IF(Offerte!$A6="","",Offerte!$A6)</f>
        <v/>
      </c>
      <c r="B135" s="48">
        <f>IF(Offerte!$A6="","",Offerte!$B6)</f>
        <v/>
      </c>
      <c r="C135" s="48">
        <f>IF(Offerte!$A6="","",Offerte!$C6)</f>
        <v/>
      </c>
      <c r="D135" s="48" t="inlineStr">
        <is>
          <t>B.5.1</t>
        </is>
      </c>
      <c r="E135" s="48" t="inlineStr">
        <is>
          <t>B</t>
        </is>
      </c>
      <c r="F135" s="48" t="inlineStr">
        <is>
          <t>D</t>
        </is>
      </c>
      <c r="G135" s="48" t="inlineStr">
        <is>
          <t>discretionary</t>
        </is>
      </c>
      <c r="H135" s="48" t="n">
        <v>2</v>
      </c>
      <c r="I135" s="48" t="inlineStr">
        <is>
          <t>Efficacia del progetto di servizi complementari DRT</t>
        </is>
      </c>
      <c r="J135" s="73" t="n"/>
      <c r="K135" s="73" t="n"/>
      <c r="L135" s="73" t="n"/>
      <c r="M135" s="73" t="n"/>
      <c r="N135" s="57">
        <f>IF($A135="","",MAX(0,MIN(1,IFERROR(VALUE($M135),0))))</f>
        <v/>
      </c>
      <c r="O135" s="57">
        <f>IF($A135="",0,IF(OR($S135&lt;&gt;1,COUNTA($J135:$M135)=0),0,IF(SUMPRODUCT(MAX(($C$5:$C$2484=$C135)*($D$5:$D$2484=$D135)*($S$5:$S$2484=1)*IFERROR($N$5:$N$2484*1,0)))&gt;0,ROUND($H135*($N135/SUMPRODUCT(MAX(($C$5:$C$2484=$C135)*($D$5:$D$2484=$D135)*($S$5:$S$2484=1)*IFERROR($N$5:$N$2484*1,0)))),4),0)))</f>
        <v/>
      </c>
      <c r="P135" s="48" t="inlineStr">
        <is>
          <t>coeff.</t>
        </is>
      </c>
      <c r="Q135" s="57">
        <f>IF($A135="","",$A135&amp;"|"&amp;$C135)</f>
        <v/>
      </c>
      <c r="R135" s="57">
        <f>IF($A135="","",$A135&amp;"|"&amp;$C135&amp;"|"&amp;$D135)</f>
        <v/>
      </c>
      <c r="S135" s="57">
        <f>IF($A135="","",IFERROR(INDEX(Offerte!$D$2:$D$81,MATCH($Q135,Offerte!$L$2:$L$81,0)),0))</f>
        <v/>
      </c>
      <c r="T135" s="57">
        <f>IF($A135="","",IFERROR(INDEX(Offerte!$G$2:$G$81,MATCH($Q135,Offerte!$L$2:$L$81,0)),"NO"))</f>
        <v/>
      </c>
    </row>
    <row r="136">
      <c r="A136" s="48">
        <f>IF(Offerte!$A6="","",Offerte!$A6)</f>
        <v/>
      </c>
      <c r="B136" s="48">
        <f>IF(Offerte!$A6="","",Offerte!$B6)</f>
        <v/>
      </c>
      <c r="C136" s="48">
        <f>IF(Offerte!$A6="","",Offerte!$C6)</f>
        <v/>
      </c>
      <c r="D136" s="48" t="inlineStr">
        <is>
          <t>C.1.1</t>
        </is>
      </c>
      <c r="E136" s="48" t="inlineStr">
        <is>
          <t>C</t>
        </is>
      </c>
      <c r="F136" s="48" t="inlineStr">
        <is>
          <t>Q</t>
        </is>
      </c>
      <c r="G136" s="48" t="inlineStr">
        <is>
          <t>higher</t>
        </is>
      </c>
      <c r="H136" s="48" t="n">
        <v>2</v>
      </c>
      <c r="I136" s="48" t="inlineStr">
        <is>
          <t>Tasso di copertura del servizio con telecamere BSD</t>
        </is>
      </c>
      <c r="J136" s="73" t="n"/>
      <c r="K136" s="73" t="n"/>
      <c r="L136" s="73" t="n"/>
      <c r="M136" s="73" t="n"/>
      <c r="N136" s="57">
        <f>IF($A136="","",IFERROR(VALUE($K136)/VALUE($L136),IFERROR(VALUE($J136),0)))</f>
        <v/>
      </c>
      <c r="O136" s="57">
        <f>IF($A136="",0,IF(OR($S136&lt;&gt;1,COUNTA($J136:$M136)=0),0,IF(SUMPRODUCT(MAX(($C$5:$C$2484=$C136)*($D$5:$D$2484=$D136)*($S$5:$S$2484=1)*IFERROR($N$5:$N$2484*1,0)))&gt;0,ROUND($H136*($N136/SUMPRODUCT(MAX(($C$5:$C$2484=$C136)*($D$5:$D$2484=$D136)*($S$5:$S$2484=1)*IFERROR($N$5:$N$2484*1,0)))),4),0)))</f>
        <v/>
      </c>
      <c r="P136" s="48" t="inlineStr">
        <is>
          <t>Autobus attrezzati con telecamere BSD / Autobus totali in offerta, incluse scorte</t>
        </is>
      </c>
      <c r="Q136" s="57">
        <f>IF($A136="","",$A136&amp;"|"&amp;$C136)</f>
        <v/>
      </c>
      <c r="R136" s="57">
        <f>IF($A136="","",$A136&amp;"|"&amp;$C136&amp;"|"&amp;$D136)</f>
        <v/>
      </c>
      <c r="S136" s="57">
        <f>IF($A136="","",IFERROR(INDEX(Offerte!$D$2:$D$81,MATCH($Q136,Offerte!$L$2:$L$81,0)),0))</f>
        <v/>
      </c>
      <c r="T136" s="57">
        <f>IF($A136="","",IFERROR(INDEX(Offerte!$G$2:$G$81,MATCH($Q136,Offerte!$L$2:$L$81,0)),"NO"))</f>
        <v/>
      </c>
    </row>
    <row r="137">
      <c r="A137" s="48">
        <f>IF(Offerte!$A6="","",Offerte!$A6)</f>
        <v/>
      </c>
      <c r="B137" s="48">
        <f>IF(Offerte!$A6="","",Offerte!$B6)</f>
        <v/>
      </c>
      <c r="C137" s="48">
        <f>IF(Offerte!$A6="","",Offerte!$C6)</f>
        <v/>
      </c>
      <c r="D137" s="48" t="inlineStr">
        <is>
          <t>C.1.2</t>
        </is>
      </c>
      <c r="E137" s="48" t="inlineStr">
        <is>
          <t>C</t>
        </is>
      </c>
      <c r="F137" s="48" t="inlineStr">
        <is>
          <t>Q</t>
        </is>
      </c>
      <c r="G137" s="48" t="inlineStr">
        <is>
          <t>higher</t>
        </is>
      </c>
      <c r="H137" s="48" t="n">
        <v>2</v>
      </c>
      <c r="I137" s="48" t="inlineStr">
        <is>
          <t>Tasso di copertura del servizio con telecamere ADAS</t>
        </is>
      </c>
      <c r="J137" s="73" t="n"/>
      <c r="K137" s="73" t="n"/>
      <c r="L137" s="73" t="n"/>
      <c r="M137" s="73" t="n"/>
      <c r="N137" s="57">
        <f>IF($A137="","",IFERROR(VALUE($K137)/VALUE($L137),IFERROR(VALUE($J137),0)))</f>
        <v/>
      </c>
      <c r="O137" s="57">
        <f>IF($A137="",0,IF(OR($S137&lt;&gt;1,COUNTA($J137:$M137)=0),0,IF(SUMPRODUCT(MAX(($C$5:$C$2484=$C137)*($D$5:$D$2484=$D137)*($S$5:$S$2484=1)*IFERROR($N$5:$N$2484*1,0)))&gt;0,ROUND($H137*($N137/SUMPRODUCT(MAX(($C$5:$C$2484=$C137)*($D$5:$D$2484=$D137)*($S$5:$S$2484=1)*IFERROR($N$5:$N$2484*1,0)))),4),0)))</f>
        <v/>
      </c>
      <c r="P137" s="48" t="inlineStr">
        <is>
          <t>Autobus attrezzati con telecamere ADAS / Autobus totali in offerta, incluse scorte</t>
        </is>
      </c>
      <c r="Q137" s="57">
        <f>IF($A137="","",$A137&amp;"|"&amp;$C137)</f>
        <v/>
      </c>
      <c r="R137" s="57">
        <f>IF($A137="","",$A137&amp;"|"&amp;$C137&amp;"|"&amp;$D137)</f>
        <v/>
      </c>
      <c r="S137" s="57">
        <f>IF($A137="","",IFERROR(INDEX(Offerte!$D$2:$D$81,MATCH($Q137,Offerte!$L$2:$L$81,0)),0))</f>
        <v/>
      </c>
      <c r="T137" s="57">
        <f>IF($A137="","",IFERROR(INDEX(Offerte!$G$2:$G$81,MATCH($Q137,Offerte!$L$2:$L$81,0)),"NO"))</f>
        <v/>
      </c>
    </row>
    <row r="138">
      <c r="A138" s="48">
        <f>IF(Offerte!$A6="","",Offerte!$A6)</f>
        <v/>
      </c>
      <c r="B138" s="48">
        <f>IF(Offerte!$A6="","",Offerte!$B6)</f>
        <v/>
      </c>
      <c r="C138" s="48">
        <f>IF(Offerte!$A6="","",Offerte!$C6)</f>
        <v/>
      </c>
      <c r="D138" s="48" t="inlineStr">
        <is>
          <t>C.2.1</t>
        </is>
      </c>
      <c r="E138" s="48" t="inlineStr">
        <is>
          <t>C</t>
        </is>
      </c>
      <c r="F138" s="48" t="inlineStr">
        <is>
          <t>Q</t>
        </is>
      </c>
      <c r="G138" s="48" t="inlineStr">
        <is>
          <t>higher</t>
        </is>
      </c>
      <c r="H138" s="48" t="n">
        <v>3</v>
      </c>
      <c r="I138" s="48" t="inlineStr">
        <is>
          <t>Tasso di copertura del servizio con telecamere di bordo di videosorveglianza</t>
        </is>
      </c>
      <c r="J138" s="73" t="n"/>
      <c r="K138" s="73" t="n"/>
      <c r="L138" s="73" t="n"/>
      <c r="M138" s="73" t="n"/>
      <c r="N138" s="57">
        <f>IF($A138="","",IFERROR(VALUE($K138)/VALUE($L138),IFERROR(VALUE($J138),0)))</f>
        <v/>
      </c>
      <c r="O138" s="57">
        <f>IF($A138="",0,IF(OR($S138&lt;&gt;1,COUNTA($J138:$M138)=0),0,IF(SUMPRODUCT(MAX(($C$5:$C$2484=$C138)*($D$5:$D$2484=$D138)*($S$5:$S$2484=1)*IFERROR($N$5:$N$2484*1,0)))&gt;0,ROUND($H138*($N138/SUMPRODUCT(MAX(($C$5:$C$2484=$C138)*($D$5:$D$2484=$D138)*($S$5:$S$2484=1)*IFERROR($N$5:$N$2484*1,0)))),4),0)))</f>
        <v/>
      </c>
      <c r="P138" s="48" t="inlineStr">
        <is>
          <t>Autobus attrezzati con videosorveglianza / Autobus totali in offerta, incluse scorte</t>
        </is>
      </c>
      <c r="Q138" s="57">
        <f>IF($A138="","",$A138&amp;"|"&amp;$C138)</f>
        <v/>
      </c>
      <c r="R138" s="57">
        <f>IF($A138="","",$A138&amp;"|"&amp;$C138&amp;"|"&amp;$D138)</f>
        <v/>
      </c>
      <c r="S138" s="57">
        <f>IF($A138="","",IFERROR(INDEX(Offerte!$D$2:$D$81,MATCH($Q138,Offerte!$L$2:$L$81,0)),0))</f>
        <v/>
      </c>
      <c r="T138" s="57">
        <f>IF($A138="","",IFERROR(INDEX(Offerte!$G$2:$G$81,MATCH($Q138,Offerte!$L$2:$L$81,0)),"NO"))</f>
        <v/>
      </c>
    </row>
    <row r="139">
      <c r="A139" s="48">
        <f>IF(Offerte!$A6="","",Offerte!$A6)</f>
        <v/>
      </c>
      <c r="B139" s="48">
        <f>IF(Offerte!$A6="","",Offerte!$B6)</f>
        <v/>
      </c>
      <c r="C139" s="48">
        <f>IF(Offerte!$A6="","",Offerte!$C6)</f>
        <v/>
      </c>
      <c r="D139" s="48" t="inlineStr">
        <is>
          <t>C.2.2</t>
        </is>
      </c>
      <c r="E139" s="48" t="inlineStr">
        <is>
          <t>C</t>
        </is>
      </c>
      <c r="F139" s="48" t="inlineStr">
        <is>
          <t>T</t>
        </is>
      </c>
      <c r="G139" s="48" t="inlineStr">
        <is>
          <t>tabular</t>
        </is>
      </c>
      <c r="H139" s="48" t="n">
        <v>1</v>
      </c>
      <c r="I139" s="48" t="inlineStr">
        <is>
          <t>Software video/audio analisi per situazioni di pericolo</t>
        </is>
      </c>
      <c r="J139" s="73" t="n"/>
      <c r="K139" s="73" t="n"/>
      <c r="L139" s="73" t="n"/>
      <c r="M139" s="73" t="n"/>
      <c r="N139" s="57">
        <f>IF($A139="","",IF(IFERROR(VALUE($M139),0)=1,1,0))</f>
        <v/>
      </c>
      <c r="O139" s="57">
        <f>IF($A139="",0,IF(OR($S139&lt;&gt;1,COUNTA($J139:$M139)=0),0,IF($N139=1,$H139,0)))</f>
        <v/>
      </c>
      <c r="P139" s="48" t="inlineStr">
        <is>
          <t>sì/no</t>
        </is>
      </c>
      <c r="Q139" s="57">
        <f>IF($A139="","",$A139&amp;"|"&amp;$C139)</f>
        <v/>
      </c>
      <c r="R139" s="57">
        <f>IF($A139="","",$A139&amp;"|"&amp;$C139&amp;"|"&amp;$D139)</f>
        <v/>
      </c>
      <c r="S139" s="57">
        <f>IF($A139="","",IFERROR(INDEX(Offerte!$D$2:$D$81,MATCH($Q139,Offerte!$L$2:$L$81,0)),0))</f>
        <v/>
      </c>
      <c r="T139" s="57">
        <f>IF($A139="","",IFERROR(INDEX(Offerte!$G$2:$G$81,MATCH($Q139,Offerte!$L$2:$L$81,0)),"NO"))</f>
        <v/>
      </c>
    </row>
    <row r="140">
      <c r="A140" s="48">
        <f>IF(Offerte!$A6="","",Offerte!$A6)</f>
        <v/>
      </c>
      <c r="B140" s="48">
        <f>IF(Offerte!$A6="","",Offerte!$B6)</f>
        <v/>
      </c>
      <c r="C140" s="48">
        <f>IF(Offerte!$A6="","",Offerte!$C6)</f>
        <v/>
      </c>
      <c r="D140" s="48" t="inlineStr">
        <is>
          <t>C.2.3</t>
        </is>
      </c>
      <c r="E140" s="48" t="inlineStr">
        <is>
          <t>C</t>
        </is>
      </c>
      <c r="F140" s="48" t="inlineStr">
        <is>
          <t>T</t>
        </is>
      </c>
      <c r="G140" s="48" t="inlineStr">
        <is>
          <t>tabular</t>
        </is>
      </c>
      <c r="H140" s="48" t="n">
        <v>1</v>
      </c>
      <c r="I140" s="48" t="inlineStr">
        <is>
          <t>Collegamento con centrale qualificata di pronto intervento</t>
        </is>
      </c>
      <c r="J140" s="73" t="n"/>
      <c r="K140" s="73" t="n"/>
      <c r="L140" s="73" t="n"/>
      <c r="M140" s="73" t="n"/>
      <c r="N140" s="57">
        <f>IF($A140="","",IF(IFERROR(VALUE($M140),0)=1,1,0))</f>
        <v/>
      </c>
      <c r="O140" s="57">
        <f>IF($A140="",0,IF(OR($S140&lt;&gt;1,COUNTA($J140:$M140)=0),0,IF($N140=1,$H140,0)))</f>
        <v/>
      </c>
      <c r="P140" s="48" t="inlineStr">
        <is>
          <t>sì/no</t>
        </is>
      </c>
      <c r="Q140" s="57">
        <f>IF($A140="","",$A140&amp;"|"&amp;$C140)</f>
        <v/>
      </c>
      <c r="R140" s="57">
        <f>IF($A140="","",$A140&amp;"|"&amp;$C140&amp;"|"&amp;$D140)</f>
        <v/>
      </c>
      <c r="S140" s="57">
        <f>IF($A140="","",IFERROR(INDEX(Offerte!$D$2:$D$81,MATCH($Q140,Offerte!$L$2:$L$81,0)),0))</f>
        <v/>
      </c>
      <c r="T140" s="57">
        <f>IF($A140="","",IFERROR(INDEX(Offerte!$G$2:$G$81,MATCH($Q140,Offerte!$L$2:$L$81,0)),"NO"))</f>
        <v/>
      </c>
    </row>
    <row r="141">
      <c r="A141" s="48">
        <f>IF(Offerte!$A6="","",Offerte!$A6)</f>
        <v/>
      </c>
      <c r="B141" s="48">
        <f>IF(Offerte!$A6="","",Offerte!$B6)</f>
        <v/>
      </c>
      <c r="C141" s="48">
        <f>IF(Offerte!$A6="","",Offerte!$C6)</f>
        <v/>
      </c>
      <c r="D141" s="48" t="inlineStr">
        <is>
          <t>C.2.4</t>
        </is>
      </c>
      <c r="E141" s="48" t="inlineStr">
        <is>
          <t>C</t>
        </is>
      </c>
      <c r="F141" s="48" t="inlineStr">
        <is>
          <t>Q</t>
        </is>
      </c>
      <c r="G141" s="48" t="inlineStr">
        <is>
          <t>higher</t>
        </is>
      </c>
      <c r="H141" s="48" t="n">
        <v>1</v>
      </c>
      <c r="I141" s="48" t="inlineStr">
        <is>
          <t>Tasso di copertura del servizio con dispositivi per la chiamata di emergenza del conducente</t>
        </is>
      </c>
      <c r="J141" s="73" t="n"/>
      <c r="K141" s="73" t="n"/>
      <c r="L141" s="73" t="n"/>
      <c r="M141" s="73" t="n"/>
      <c r="N141" s="57">
        <f>IF($A141="","",IFERROR(VALUE($K141)/VALUE($L141),IFERROR(VALUE($J141),0)))</f>
        <v/>
      </c>
      <c r="O141" s="57">
        <f>IF($A141="",0,IF(OR($S141&lt;&gt;1,COUNTA($J141:$M141)=0),0,IF(SUMPRODUCT(MAX(($C$5:$C$2484=$C141)*($D$5:$D$2484=$D141)*($S$5:$S$2484=1)*IFERROR($N$5:$N$2484*1,0)))&gt;0,ROUND($H141*($N141/SUMPRODUCT(MAX(($C$5:$C$2484=$C141)*($D$5:$D$2484=$D141)*($S$5:$S$2484=1)*IFERROR($N$5:$N$2484*1,0)))),4),0)))</f>
        <v/>
      </c>
      <c r="P141" s="48" t="inlineStr">
        <is>
          <t>Autobus attrezzati con chiamata di emergenza / Autobus totali in offerta, incluse scorte</t>
        </is>
      </c>
      <c r="Q141" s="57">
        <f>IF($A141="","",$A141&amp;"|"&amp;$C141)</f>
        <v/>
      </c>
      <c r="R141" s="57">
        <f>IF($A141="","",$A141&amp;"|"&amp;$C141&amp;"|"&amp;$D141)</f>
        <v/>
      </c>
      <c r="S141" s="57">
        <f>IF($A141="","",IFERROR(INDEX(Offerte!$D$2:$D$81,MATCH($Q141,Offerte!$L$2:$L$81,0)),0))</f>
        <v/>
      </c>
      <c r="T141" s="57">
        <f>IF($A141="","",IFERROR(INDEX(Offerte!$G$2:$G$81,MATCH($Q141,Offerte!$L$2:$L$81,0)),"NO"))</f>
        <v/>
      </c>
    </row>
    <row r="142">
      <c r="A142" s="48">
        <f>IF(Offerte!$A6="","",Offerte!$A6)</f>
        <v/>
      </c>
      <c r="B142" s="48">
        <f>IF(Offerte!$A6="","",Offerte!$B6)</f>
        <v/>
      </c>
      <c r="C142" s="48">
        <f>IF(Offerte!$A6="","",Offerte!$C6)</f>
        <v/>
      </c>
      <c r="D142" s="48" t="inlineStr">
        <is>
          <t>C.3.1</t>
        </is>
      </c>
      <c r="E142" s="48" t="inlineStr">
        <is>
          <t>C</t>
        </is>
      </c>
      <c r="F142" s="48" t="inlineStr">
        <is>
          <t>Q</t>
        </is>
      </c>
      <c r="G142" s="48" t="inlineStr">
        <is>
          <t>higher</t>
        </is>
      </c>
      <c r="H142" s="48" t="n">
        <v>2</v>
      </c>
      <c r="I142" s="48" t="inlineStr">
        <is>
          <t>Tasso di copertura del servizio con dispositivi di informazione dinamica a bordo mezzo</t>
        </is>
      </c>
      <c r="J142" s="73" t="n"/>
      <c r="K142" s="73" t="n"/>
      <c r="L142" s="73" t="n"/>
      <c r="M142" s="73" t="n"/>
      <c r="N142" s="57">
        <f>IF($A142="","",IFERROR(VALUE($K142)/VALUE($L142),IFERROR(VALUE($J142),0)))</f>
        <v/>
      </c>
      <c r="O142" s="57">
        <f>IF($A142="",0,IF(OR($S142&lt;&gt;1,COUNTA($J142:$M142)=0),0,IF(SUMPRODUCT(MAX(($C$5:$C$2484=$C142)*($D$5:$D$2484=$D142)*($S$5:$S$2484=1)*IFERROR($N$5:$N$2484*1,0)))&gt;0,ROUND($H142*($N142/SUMPRODUCT(MAX(($C$5:$C$2484=$C142)*($D$5:$D$2484=$D142)*($S$5:$S$2484=1)*IFERROR($N$5:$N$2484*1,0)))),4),0)))</f>
        <v/>
      </c>
      <c r="P142" s="48" t="inlineStr">
        <is>
          <t>Autobus con monitor e indicatori vocali / Autobus totali in offerta, incluse scorte</t>
        </is>
      </c>
      <c r="Q142" s="57">
        <f>IF($A142="","",$A142&amp;"|"&amp;$C142)</f>
        <v/>
      </c>
      <c r="R142" s="57">
        <f>IF($A142="","",$A142&amp;"|"&amp;$C142&amp;"|"&amp;$D142)</f>
        <v/>
      </c>
      <c r="S142" s="57">
        <f>IF($A142="","",IFERROR(INDEX(Offerte!$D$2:$D$81,MATCH($Q142,Offerte!$L$2:$L$81,0)),0))</f>
        <v/>
      </c>
      <c r="T142" s="57">
        <f>IF($A142="","",IFERROR(INDEX(Offerte!$G$2:$G$81,MATCH($Q142,Offerte!$L$2:$L$81,0)),"NO"))</f>
        <v/>
      </c>
    </row>
    <row r="143">
      <c r="A143" s="48">
        <f>IF(Offerte!$A6="","",Offerte!$A6)</f>
        <v/>
      </c>
      <c r="B143" s="48">
        <f>IF(Offerte!$A6="","",Offerte!$B6)</f>
        <v/>
      </c>
      <c r="C143" s="48">
        <f>IF(Offerte!$A6="","",Offerte!$C6)</f>
        <v/>
      </c>
      <c r="D143" s="48" t="inlineStr">
        <is>
          <t>C.3.2</t>
        </is>
      </c>
      <c r="E143" s="48" t="inlineStr">
        <is>
          <t>C</t>
        </is>
      </c>
      <c r="F143" s="48" t="inlineStr">
        <is>
          <t>T</t>
        </is>
      </c>
      <c r="G143" s="48" t="inlineStr">
        <is>
          <t>tabular</t>
        </is>
      </c>
      <c r="H143" s="48" t="n">
        <v>2</v>
      </c>
      <c r="I143" s="48" t="inlineStr">
        <is>
          <t>Informazioni a bordo su coincidenze ai nodi</t>
        </is>
      </c>
      <c r="J143" s="73" t="n"/>
      <c r="K143" s="73" t="n"/>
      <c r="L143" s="73" t="n"/>
      <c r="M143" s="73" t="n"/>
      <c r="N143" s="57">
        <f>IF($A143="","",IF(IFERROR(VALUE($M143),0)=1,1,0))</f>
        <v/>
      </c>
      <c r="O143" s="57">
        <f>IF($A143="",0,IF(OR($S143&lt;&gt;1,COUNTA($J143:$M143)=0),0,IF(AND($N143=1,IFERROR(SUMIFS($N$5:$N$2484,$Q$5:$Q$2484,$Q143,$D$5:$D$2484,"C.3.1"),0)&gt;=0.5),$H143,0)))</f>
        <v/>
      </c>
      <c r="P143" s="48" t="inlineStr">
        <is>
          <t>Dipende da C.3.1 &gt;= 0.5</t>
        </is>
      </c>
      <c r="Q143" s="57">
        <f>IF($A143="","",$A143&amp;"|"&amp;$C143)</f>
        <v/>
      </c>
      <c r="R143" s="57">
        <f>IF($A143="","",$A143&amp;"|"&amp;$C143&amp;"|"&amp;$D143)</f>
        <v/>
      </c>
      <c r="S143" s="57">
        <f>IF($A143="","",IFERROR(INDEX(Offerte!$D$2:$D$81,MATCH($Q143,Offerte!$L$2:$L$81,0)),0))</f>
        <v/>
      </c>
      <c r="T143" s="57">
        <f>IF($A143="","",IFERROR(INDEX(Offerte!$G$2:$G$81,MATCH($Q143,Offerte!$L$2:$L$81,0)),"NO"))</f>
        <v/>
      </c>
    </row>
    <row r="144">
      <c r="A144" s="48">
        <f>IF(Offerte!$A6="","",Offerte!$A6)</f>
        <v/>
      </c>
      <c r="B144" s="48">
        <f>IF(Offerte!$A6="","",Offerte!$B6)</f>
        <v/>
      </c>
      <c r="C144" s="48">
        <f>IF(Offerte!$A6="","",Offerte!$C6)</f>
        <v/>
      </c>
      <c r="D144" s="48" t="inlineStr">
        <is>
          <t>D.1.1</t>
        </is>
      </c>
      <c r="E144" s="48" t="inlineStr">
        <is>
          <t>D</t>
        </is>
      </c>
      <c r="F144" s="48" t="inlineStr">
        <is>
          <t>Q</t>
        </is>
      </c>
      <c r="G144" s="48" t="inlineStr">
        <is>
          <t>higher</t>
        </is>
      </c>
      <c r="H144" s="48" t="n">
        <v>3</v>
      </c>
      <c r="I144" s="48" t="inlineStr">
        <is>
          <t>Installazione di pensiline</t>
        </is>
      </c>
      <c r="J144" s="73" t="n"/>
      <c r="K144" s="73" t="n"/>
      <c r="L144" s="73" t="n"/>
      <c r="M144" s="73" t="n"/>
      <c r="N144" s="57">
        <f>IF($A144="","",IFERROR(VALUE($J144),0))</f>
        <v/>
      </c>
      <c r="O144" s="57">
        <f>IF($A144="",0,IF(OR($S144&lt;&gt;1,COUNTA($J144:$M144)=0),0,IF(SUMPRODUCT(MAX(($C$5:$C$2484=$C144)*($D$5:$D$2484=$D144)*($S$5:$S$2484=1)*IFERROR($N$5:$N$2484*1,0)))&gt;0,ROUND($H144*($N144/SUMPRODUCT(MAX(($C$5:$C$2484=$C144)*($D$5:$D$2484=$D144)*($S$5:$S$2484=1)*IFERROR($N$5:$N$2484*1,0)))),4),0)))</f>
        <v/>
      </c>
      <c r="P144" s="48" t="inlineStr">
        <is>
          <t>fermate</t>
        </is>
      </c>
      <c r="Q144" s="57">
        <f>IF($A144="","",$A144&amp;"|"&amp;$C144)</f>
        <v/>
      </c>
      <c r="R144" s="57">
        <f>IF($A144="","",$A144&amp;"|"&amp;$C144&amp;"|"&amp;$D144)</f>
        <v/>
      </c>
      <c r="S144" s="57">
        <f>IF($A144="","",IFERROR(INDEX(Offerte!$D$2:$D$81,MATCH($Q144,Offerte!$L$2:$L$81,0)),0))</f>
        <v/>
      </c>
      <c r="T144" s="57">
        <f>IF($A144="","",IFERROR(INDEX(Offerte!$G$2:$G$81,MATCH($Q144,Offerte!$L$2:$L$81,0)),"NO"))</f>
        <v/>
      </c>
    </row>
    <row r="145">
      <c r="A145" s="48">
        <f>IF(Offerte!$A6="","",Offerte!$A6)</f>
        <v/>
      </c>
      <c r="B145" s="48">
        <f>IF(Offerte!$A6="","",Offerte!$B6)</f>
        <v/>
      </c>
      <c r="C145" s="48">
        <f>IF(Offerte!$A6="","",Offerte!$C6)</f>
        <v/>
      </c>
      <c r="D145" s="48" t="inlineStr">
        <is>
          <t>D.1.2</t>
        </is>
      </c>
      <c r="E145" s="48" t="inlineStr">
        <is>
          <t>D</t>
        </is>
      </c>
      <c r="F145" s="48" t="inlineStr">
        <is>
          <t>Q</t>
        </is>
      </c>
      <c r="G145" s="48" t="inlineStr">
        <is>
          <t>higher</t>
        </is>
      </c>
      <c r="H145" s="48" t="n">
        <v>3</v>
      </c>
      <c r="I145" s="48" t="inlineStr">
        <is>
          <t>Installazione di paline di fermata conformi alla DGR 581/2023</t>
        </is>
      </c>
      <c r="J145" s="73" t="n"/>
      <c r="K145" s="73" t="n"/>
      <c r="L145" s="73" t="n"/>
      <c r="M145" s="73" t="n"/>
      <c r="N145" s="57">
        <f>IF($A145="","",IFERROR(VALUE($J145),0))</f>
        <v/>
      </c>
      <c r="O145" s="57">
        <f>IF($A145="",0,IF(OR($S145&lt;&gt;1,COUNTA($J145:$M145)=0),0,IF(SUMPRODUCT(MAX(($C$5:$C$2484=$C145)*($D$5:$D$2484=$D145)*($S$5:$S$2484=1)*IFERROR($N$5:$N$2484*1,0)))&gt;0,ROUND($H145*($N145/SUMPRODUCT(MAX(($C$5:$C$2484=$C145)*($D$5:$D$2484=$D145)*($S$5:$S$2484=1)*IFERROR($N$5:$N$2484*1,0)))),4),0)))</f>
        <v/>
      </c>
      <c r="P145" s="48" t="inlineStr">
        <is>
          <t>fermate</t>
        </is>
      </c>
      <c r="Q145" s="57">
        <f>IF($A145="","",$A145&amp;"|"&amp;$C145)</f>
        <v/>
      </c>
      <c r="R145" s="57">
        <f>IF($A145="","",$A145&amp;"|"&amp;$C145&amp;"|"&amp;$D145)</f>
        <v/>
      </c>
      <c r="S145" s="57">
        <f>IF($A145="","",IFERROR(INDEX(Offerte!$D$2:$D$81,MATCH($Q145,Offerte!$L$2:$L$81,0)),0))</f>
        <v/>
      </c>
      <c r="T145" s="57">
        <f>IF($A145="","",IFERROR(INDEX(Offerte!$G$2:$G$81,MATCH($Q145,Offerte!$L$2:$L$81,0)),"NO"))</f>
        <v/>
      </c>
    </row>
    <row r="146">
      <c r="A146" s="48">
        <f>IF(Offerte!$A6="","",Offerte!$A6)</f>
        <v/>
      </c>
      <c r="B146" s="48">
        <f>IF(Offerte!$A6="","",Offerte!$B6)</f>
        <v/>
      </c>
      <c r="C146" s="48">
        <f>IF(Offerte!$A6="","",Offerte!$C6)</f>
        <v/>
      </c>
      <c r="D146" s="48" t="inlineStr">
        <is>
          <t>D.1.3</t>
        </is>
      </c>
      <c r="E146" s="48" t="inlineStr">
        <is>
          <t>D</t>
        </is>
      </c>
      <c r="F146" s="48" t="inlineStr">
        <is>
          <t>Q</t>
        </is>
      </c>
      <c r="G146" s="48" t="inlineStr">
        <is>
          <t>higher</t>
        </is>
      </c>
      <c r="H146" s="48" t="n">
        <v>2</v>
      </c>
      <c r="I146" s="48" t="inlineStr">
        <is>
          <t>Display informativi connessi alle fermate</t>
        </is>
      </c>
      <c r="J146" s="73" t="n"/>
      <c r="K146" s="73" t="n"/>
      <c r="L146" s="73" t="n"/>
      <c r="M146" s="73" t="n"/>
      <c r="N146" s="57">
        <f>IF($A146="","",IFERROR(VALUE($J146),0))</f>
        <v/>
      </c>
      <c r="O146" s="57">
        <f>IF($A146="",0,IF(OR($S146&lt;&gt;1,COUNTA($J146:$M146)=0),0,IF(SUMPRODUCT(MAX(($C$5:$C$2484=$C146)*($D$5:$D$2484=$D146)*($S$5:$S$2484=1)*IFERROR($N$5:$N$2484*1,0)))&gt;0,ROUND($H146*($N146/SUMPRODUCT(MAX(($C$5:$C$2484=$C146)*($D$5:$D$2484=$D146)*($S$5:$S$2484=1)*IFERROR($N$5:$N$2484*1,0)))),4),0)))</f>
        <v/>
      </c>
      <c r="P146" s="48" t="inlineStr">
        <is>
          <t>fermate</t>
        </is>
      </c>
      <c r="Q146" s="57">
        <f>IF($A146="","",$A146&amp;"|"&amp;$C146)</f>
        <v/>
      </c>
      <c r="R146" s="57">
        <f>IF($A146="","",$A146&amp;"|"&amp;$C146&amp;"|"&amp;$D146)</f>
        <v/>
      </c>
      <c r="S146" s="57">
        <f>IF($A146="","",IFERROR(INDEX(Offerte!$D$2:$D$81,MATCH($Q146,Offerte!$L$2:$L$81,0)),0))</f>
        <v/>
      </c>
      <c r="T146" s="57">
        <f>IF($A146="","",IFERROR(INDEX(Offerte!$G$2:$G$81,MATCH($Q146,Offerte!$L$2:$L$81,0)),"NO"))</f>
        <v/>
      </c>
    </row>
    <row r="147">
      <c r="A147" s="48">
        <f>IF(Offerte!$A6="","",Offerte!$A6)</f>
        <v/>
      </c>
      <c r="B147" s="48">
        <f>IF(Offerte!$A6="","",Offerte!$B6)</f>
        <v/>
      </c>
      <c r="C147" s="48">
        <f>IF(Offerte!$A6="","",Offerte!$C6)</f>
        <v/>
      </c>
      <c r="D147" s="48" t="inlineStr">
        <is>
          <t>D.2.1</t>
        </is>
      </c>
      <c r="E147" s="48" t="inlineStr">
        <is>
          <t>D</t>
        </is>
      </c>
      <c r="F147" s="48" t="inlineStr">
        <is>
          <t>Q</t>
        </is>
      </c>
      <c r="G147" s="48" t="inlineStr">
        <is>
          <t>higher</t>
        </is>
      </c>
      <c r="H147" s="48" t="n">
        <v>2</v>
      </c>
      <c r="I147" s="48" t="inlineStr">
        <is>
          <t>Segnali tattili Loges-Vet-Evolution</t>
        </is>
      </c>
      <c r="J147" s="73" t="n"/>
      <c r="K147" s="73" t="n"/>
      <c r="L147" s="73" t="n"/>
      <c r="M147" s="73" t="n"/>
      <c r="N147" s="57">
        <f>IF($A147="","",IFERROR(VALUE($J147),0))</f>
        <v/>
      </c>
      <c r="O147" s="57">
        <f>IF($A147="",0,IF(OR($S147&lt;&gt;1,COUNTA($J147:$M147)=0),0,IF(SUMPRODUCT(MAX(($C$5:$C$2484=$C147)*($D$5:$D$2484=$D147)*($S$5:$S$2484=1)*IFERROR($N$5:$N$2484*1,0)))&gt;0,ROUND($H147*($N147/SUMPRODUCT(MAX(($C$5:$C$2484=$C147)*($D$5:$D$2484=$D147)*($S$5:$S$2484=1)*IFERROR($N$5:$N$2484*1,0)))),4),0)))</f>
        <v/>
      </c>
      <c r="P147" s="48" t="inlineStr">
        <is>
          <t>fermate</t>
        </is>
      </c>
      <c r="Q147" s="57">
        <f>IF($A147="","",$A147&amp;"|"&amp;$C147)</f>
        <v/>
      </c>
      <c r="R147" s="57">
        <f>IF($A147="","",$A147&amp;"|"&amp;$C147&amp;"|"&amp;$D147)</f>
        <v/>
      </c>
      <c r="S147" s="57">
        <f>IF($A147="","",IFERROR(INDEX(Offerte!$D$2:$D$81,MATCH($Q147,Offerte!$L$2:$L$81,0)),0))</f>
        <v/>
      </c>
      <c r="T147" s="57">
        <f>IF($A147="","",IFERROR(INDEX(Offerte!$G$2:$G$81,MATCH($Q147,Offerte!$L$2:$L$81,0)),"NO"))</f>
        <v/>
      </c>
    </row>
    <row r="148">
      <c r="A148" s="48">
        <f>IF(Offerte!$A6="","",Offerte!$A6)</f>
        <v/>
      </c>
      <c r="B148" s="48">
        <f>IF(Offerte!$A6="","",Offerte!$B6)</f>
        <v/>
      </c>
      <c r="C148" s="48">
        <f>IF(Offerte!$A6="","",Offerte!$C6)</f>
        <v/>
      </c>
      <c r="D148" s="48" t="inlineStr">
        <is>
          <t>E.1.1</t>
        </is>
      </c>
      <c r="E148" s="48" t="inlineStr">
        <is>
          <t>E</t>
        </is>
      </c>
      <c r="F148" s="48" t="inlineStr">
        <is>
          <t>T</t>
        </is>
      </c>
      <c r="G148" s="48" t="inlineStr">
        <is>
          <t>tabular</t>
        </is>
      </c>
      <c r="H148" s="48" t="n">
        <v>2</v>
      </c>
      <c r="I148" s="48" t="inlineStr">
        <is>
          <t>Mobile app con travel planner PRM</t>
        </is>
      </c>
      <c r="J148" s="73" t="n"/>
      <c r="K148" s="73" t="n"/>
      <c r="L148" s="73" t="n"/>
      <c r="M148" s="73" t="n"/>
      <c r="N148" s="57">
        <f>IF($A148="","",IF(IFERROR(VALUE($M148),0)=1,1,0))</f>
        <v/>
      </c>
      <c r="O148" s="57">
        <f>IF($A148="",0,IF(OR($S148&lt;&gt;1,COUNTA($J148:$M148)=0),0,IF($N148=1,$H148,0)))</f>
        <v/>
      </c>
      <c r="P148" s="48" t="inlineStr">
        <is>
          <t>sì/no</t>
        </is>
      </c>
      <c r="Q148" s="57">
        <f>IF($A148="","",$A148&amp;"|"&amp;$C148)</f>
        <v/>
      </c>
      <c r="R148" s="57">
        <f>IF($A148="","",$A148&amp;"|"&amp;$C148&amp;"|"&amp;$D148)</f>
        <v/>
      </c>
      <c r="S148" s="57">
        <f>IF($A148="","",IFERROR(INDEX(Offerte!$D$2:$D$81,MATCH($Q148,Offerte!$L$2:$L$81,0)),0))</f>
        <v/>
      </c>
      <c r="T148" s="57">
        <f>IF($A148="","",IFERROR(INDEX(Offerte!$G$2:$G$81,MATCH($Q148,Offerte!$L$2:$L$81,0)),"NO"))</f>
        <v/>
      </c>
    </row>
    <row r="149">
      <c r="A149" s="48">
        <f>IF(Offerte!$A6="","",Offerte!$A6)</f>
        <v/>
      </c>
      <c r="B149" s="48">
        <f>IF(Offerte!$A6="","",Offerte!$B6)</f>
        <v/>
      </c>
      <c r="C149" s="48">
        <f>IF(Offerte!$A6="","",Offerte!$C6)</f>
        <v/>
      </c>
      <c r="D149" s="48" t="inlineStr">
        <is>
          <t>E.2.1</t>
        </is>
      </c>
      <c r="E149" s="48" t="inlineStr">
        <is>
          <t>E</t>
        </is>
      </c>
      <c r="F149" s="48" t="inlineStr">
        <is>
          <t>D</t>
        </is>
      </c>
      <c r="G149" s="48" t="inlineStr">
        <is>
          <t>discretionary</t>
        </is>
      </c>
      <c r="H149" s="48" t="n">
        <v>2</v>
      </c>
      <c r="I149" s="48" t="inlineStr">
        <is>
          <t>Altre azioni informative e rapporti con gli utenti</t>
        </is>
      </c>
      <c r="J149" s="73" t="n"/>
      <c r="K149" s="73" t="n"/>
      <c r="L149" s="73" t="n"/>
      <c r="M149" s="73" t="n"/>
      <c r="N149" s="57">
        <f>IF($A149="","",MAX(0,MIN(1,IFERROR(VALUE($M149),0))))</f>
        <v/>
      </c>
      <c r="O149" s="57">
        <f>IF($A149="",0,IF(OR($S149&lt;&gt;1,COUNTA($J149:$M149)=0),0,IF(SUMPRODUCT(MAX(($C$5:$C$2484=$C149)*($D$5:$D$2484=$D149)*($S$5:$S$2484=1)*IFERROR($N$5:$N$2484*1,0)))&gt;0,ROUND($H149*($N149/SUMPRODUCT(MAX(($C$5:$C$2484=$C149)*($D$5:$D$2484=$D149)*($S$5:$S$2484=1)*IFERROR($N$5:$N$2484*1,0)))),4),0)))</f>
        <v/>
      </c>
      <c r="P149" s="48" t="inlineStr">
        <is>
          <t>coeff.</t>
        </is>
      </c>
      <c r="Q149" s="57">
        <f>IF($A149="","",$A149&amp;"|"&amp;$C149)</f>
        <v/>
      </c>
      <c r="R149" s="57">
        <f>IF($A149="","",$A149&amp;"|"&amp;$C149&amp;"|"&amp;$D149)</f>
        <v/>
      </c>
      <c r="S149" s="57">
        <f>IF($A149="","",IFERROR(INDEX(Offerte!$D$2:$D$81,MATCH($Q149,Offerte!$L$2:$L$81,0)),0))</f>
        <v/>
      </c>
      <c r="T149" s="57">
        <f>IF($A149="","",IFERROR(INDEX(Offerte!$G$2:$G$81,MATCH($Q149,Offerte!$L$2:$L$81,0)),"NO"))</f>
        <v/>
      </c>
    </row>
    <row r="150">
      <c r="A150" s="48">
        <f>IF(Offerte!$A6="","",Offerte!$A6)</f>
        <v/>
      </c>
      <c r="B150" s="48">
        <f>IF(Offerte!$A6="","",Offerte!$B6)</f>
        <v/>
      </c>
      <c r="C150" s="48">
        <f>IF(Offerte!$A6="","",Offerte!$C6)</f>
        <v/>
      </c>
      <c r="D150" s="48" t="inlineStr">
        <is>
          <t>F.1.1</t>
        </is>
      </c>
      <c r="E150" s="48" t="inlineStr">
        <is>
          <t>F</t>
        </is>
      </c>
      <c r="F150" s="48" t="inlineStr">
        <is>
          <t>Q</t>
        </is>
      </c>
      <c r="G150" s="48" t="inlineStr">
        <is>
          <t>lower</t>
        </is>
      </c>
      <c r="H150" s="48" t="n">
        <v>7</v>
      </c>
      <c r="I150" s="48" t="inlineStr">
        <is>
          <t>Performance ambientali del parco mezzi adibito al servizio - I_CEA</t>
        </is>
      </c>
      <c r="J150" s="73" t="n"/>
      <c r="K150" s="73" t="n"/>
      <c r="L150" s="73" t="n"/>
      <c r="M150" s="73" t="n"/>
      <c r="N150" s="57">
        <f>IF($A150="","",IFERROR(VALUE($J150),0))</f>
        <v/>
      </c>
      <c r="O150" s="57">
        <f>IF($A150="",0,IF(OR($S150&lt;&gt;1,COUNTA($J150:$M150)=0),0,IF(AND(IFERROR(AGGREGATE(15,6,$N$5:$N$2484/(($C$5:$C$2484=$C150)*($D$5:$D$2484=$D150)*($S$5:$S$2484=1)*($N$5:$N$2484&gt;0)),1),0)&gt;0,$N150&gt;0),ROUND($H150*(IFERROR(AGGREGATE(15,6,$N$5:$N$2484/(($C$5:$C$2484=$C150)*($D$5:$D$2484=$D150)*($S$5:$S$2484=1)*($N$5:$N$2484&gt;0)),1),0)/$N150),4),0)))</f>
        <v/>
      </c>
      <c r="P150" s="48" t="inlineStr">
        <is>
          <t>indice</t>
        </is>
      </c>
      <c r="Q150" s="57">
        <f>IF($A150="","",$A150&amp;"|"&amp;$C150)</f>
        <v/>
      </c>
      <c r="R150" s="57">
        <f>IF($A150="","",$A150&amp;"|"&amp;$C150&amp;"|"&amp;$D150)</f>
        <v/>
      </c>
      <c r="S150" s="57">
        <f>IF($A150="","",IFERROR(INDEX(Offerte!$D$2:$D$81,MATCH($Q150,Offerte!$L$2:$L$81,0)),0))</f>
        <v/>
      </c>
      <c r="T150" s="57">
        <f>IF($A150="","",IFERROR(INDEX(Offerte!$G$2:$G$81,MATCH($Q150,Offerte!$L$2:$L$81,0)),"NO"))</f>
        <v/>
      </c>
    </row>
    <row r="151">
      <c r="A151" s="48">
        <f>IF(Offerte!$A6="","",Offerte!$A6)</f>
        <v/>
      </c>
      <c r="B151" s="48">
        <f>IF(Offerte!$A6="","",Offerte!$B6)</f>
        <v/>
      </c>
      <c r="C151" s="48">
        <f>IF(Offerte!$A6="","",Offerte!$C6)</f>
        <v/>
      </c>
      <c r="D151" s="48" t="inlineStr">
        <is>
          <t>F.2.1</t>
        </is>
      </c>
      <c r="E151" s="48" t="inlineStr">
        <is>
          <t>F</t>
        </is>
      </c>
      <c r="F151" s="48" t="inlineStr">
        <is>
          <t>Q</t>
        </is>
      </c>
      <c r="G151" s="48" t="inlineStr">
        <is>
          <t>higher</t>
        </is>
      </c>
      <c r="H151" s="48" t="n">
        <v>2</v>
      </c>
      <c r="I151" s="48" t="inlineStr">
        <is>
          <t>Tasso di copertura del servizio con dispositivi ECO-DRIVER</t>
        </is>
      </c>
      <c r="J151" s="73" t="n"/>
      <c r="K151" s="73" t="n"/>
      <c r="L151" s="73" t="n"/>
      <c r="M151" s="73" t="n"/>
      <c r="N151" s="57">
        <f>IF($A151="","",IFERROR(VALUE($K151)/VALUE($L151),IFERROR(VALUE($J151),0)))</f>
        <v/>
      </c>
      <c r="O151" s="57">
        <f>IF($A151="",0,IF(OR($S151&lt;&gt;1,COUNTA($J151:$M151)=0),0,IF(SUMPRODUCT(MAX(($C$5:$C$2484=$C151)*($D$5:$D$2484=$D151)*($S$5:$S$2484=1)*IFERROR($N$5:$N$2484*1,0)))&gt;0,ROUND($H151*($N151/SUMPRODUCT(MAX(($C$5:$C$2484=$C151)*($D$5:$D$2484=$D151)*($S$5:$S$2484=1)*IFERROR($N$5:$N$2484*1,0)))),4),0)))</f>
        <v/>
      </c>
      <c r="P151" s="48" t="inlineStr">
        <is>
          <t>Autobus attrezzati con dispositivi ECO-DRIVER / Autobus totali in offerta, incluse scorte</t>
        </is>
      </c>
      <c r="Q151" s="57">
        <f>IF($A151="","",$A151&amp;"|"&amp;$C151)</f>
        <v/>
      </c>
      <c r="R151" s="57">
        <f>IF($A151="","",$A151&amp;"|"&amp;$C151&amp;"|"&amp;$D151)</f>
        <v/>
      </c>
      <c r="S151" s="57">
        <f>IF($A151="","",IFERROR(INDEX(Offerte!$D$2:$D$81,MATCH($Q151,Offerte!$L$2:$L$81,0)),0))</f>
        <v/>
      </c>
      <c r="T151" s="57">
        <f>IF($A151="","",IFERROR(INDEX(Offerte!$G$2:$G$81,MATCH($Q151,Offerte!$L$2:$L$81,0)),"NO"))</f>
        <v/>
      </c>
    </row>
    <row r="152">
      <c r="A152" s="48">
        <f>IF(Offerte!$A6="","",Offerte!$A6)</f>
        <v/>
      </c>
      <c r="B152" s="48">
        <f>IF(Offerte!$A6="","",Offerte!$B6)</f>
        <v/>
      </c>
      <c r="C152" s="48">
        <f>IF(Offerte!$A6="","",Offerte!$C6)</f>
        <v/>
      </c>
      <c r="D152" s="48" t="inlineStr">
        <is>
          <t>F.3.1</t>
        </is>
      </c>
      <c r="E152" s="48" t="inlineStr">
        <is>
          <t>F</t>
        </is>
      </c>
      <c r="F152" s="48" t="inlineStr">
        <is>
          <t>Q</t>
        </is>
      </c>
      <c r="G152" s="48" t="inlineStr">
        <is>
          <t>higher</t>
        </is>
      </c>
      <c r="H152" s="48" t="n">
        <v>2</v>
      </c>
      <c r="I152" s="48" t="inlineStr">
        <is>
          <t>Autoproduzione consumi elettrici per trazione</t>
        </is>
      </c>
      <c r="J152" s="73" t="n"/>
      <c r="K152" s="73" t="n"/>
      <c r="L152" s="73" t="n"/>
      <c r="M152" s="73" t="n"/>
      <c r="N152" s="57">
        <f>IF($A152="","",IFERROR(VALUE($J152),0))</f>
        <v/>
      </c>
      <c r="O152" s="57">
        <f>IF($A152="",0,IF(OR($S152&lt;&gt;1,COUNTA($J152:$M152)=0),0,IF(SUMPRODUCT(MAX(($C$5:$C$2484=$C152)*($D$5:$D$2484=$D152)*($S$5:$S$2484=1)*IFERROR($N$5:$N$2484*1,0)))&gt;0,ROUND($H152*($N152/SUMPRODUCT(MAX(($C$5:$C$2484=$C152)*($D$5:$D$2484=$D152)*($S$5:$S$2484=1)*IFERROR($N$5:$N$2484*1,0)))),4),0)))</f>
        <v/>
      </c>
      <c r="P152" s="48" t="inlineStr">
        <is>
          <t>kWh/anno</t>
        </is>
      </c>
      <c r="Q152" s="57">
        <f>IF($A152="","",$A152&amp;"|"&amp;$C152)</f>
        <v/>
      </c>
      <c r="R152" s="57">
        <f>IF($A152="","",$A152&amp;"|"&amp;$C152&amp;"|"&amp;$D152)</f>
        <v/>
      </c>
      <c r="S152" s="57">
        <f>IF($A152="","",IFERROR(INDEX(Offerte!$D$2:$D$81,MATCH($Q152,Offerte!$L$2:$L$81,0)),0))</f>
        <v/>
      </c>
      <c r="T152" s="57">
        <f>IF($A152="","",IFERROR(INDEX(Offerte!$G$2:$G$81,MATCH($Q152,Offerte!$L$2:$L$81,0)),"NO"))</f>
        <v/>
      </c>
    </row>
    <row r="153">
      <c r="A153" s="48">
        <f>IF(Offerte!$A6="","",Offerte!$A6)</f>
        <v/>
      </c>
      <c r="B153" s="48">
        <f>IF(Offerte!$A6="","",Offerte!$B6)</f>
        <v/>
      </c>
      <c r="C153" s="48">
        <f>IF(Offerte!$A6="","",Offerte!$C6)</f>
        <v/>
      </c>
      <c r="D153" s="48" t="inlineStr">
        <is>
          <t>F.4.1</t>
        </is>
      </c>
      <c r="E153" s="48" t="inlineStr">
        <is>
          <t>F</t>
        </is>
      </c>
      <c r="F153" s="48" t="inlineStr">
        <is>
          <t>Q</t>
        </is>
      </c>
      <c r="G153" s="48" t="inlineStr">
        <is>
          <t>soil</t>
        </is>
      </c>
      <c r="H153" s="48" t="n">
        <v>2</v>
      </c>
      <c r="I153" s="48" t="inlineStr">
        <is>
          <t>Indice di consumo di suolo</t>
        </is>
      </c>
      <c r="J153" s="73" t="n"/>
      <c r="K153" s="73" t="n"/>
      <c r="L153" s="73" t="n"/>
      <c r="M153" s="73" t="n"/>
      <c r="N153" s="57">
        <f>IF($A153="","",IFERROR(VALUE($J153),0))</f>
        <v/>
      </c>
      <c r="O153" s="57">
        <f>IF($A153="",0,IF(OR($S153&lt;&gt;1,COUNTA($J153:$M153)=0),0,IF($N153&lt;=0,$H153,IF(SUMPRODUCT(MAX(($C$5:$C$2484=$C153)*($D$5:$D$2484=$D153)*($S$5:$S$2484=1)*IFERROR($N$5:$N$2484*1,0)))&gt;0,ROUND($H153*((SUMPRODUCT(MAX(($C$5:$C$2484=$C153)*($D$5:$D$2484=$D153)*($S$5:$S$2484=1)*IFERROR($N$5:$N$2484*1,0)))-$N153)/SUMPRODUCT(MAX(($C$5:$C$2484=$C153)*($D$5:$D$2484=$D153)*($S$5:$S$2484=1)*IFERROR($N$5:$N$2484*1,0)))),4),0))))</f>
        <v/>
      </c>
      <c r="P153" s="48" t="inlineStr">
        <is>
          <t>m2</t>
        </is>
      </c>
      <c r="Q153" s="57">
        <f>IF($A153="","",$A153&amp;"|"&amp;$C153)</f>
        <v/>
      </c>
      <c r="R153" s="57">
        <f>IF($A153="","",$A153&amp;"|"&amp;$C153&amp;"|"&amp;$D153)</f>
        <v/>
      </c>
      <c r="S153" s="57">
        <f>IF($A153="","",IFERROR(INDEX(Offerte!$D$2:$D$81,MATCH($Q153,Offerte!$L$2:$L$81,0)),0))</f>
        <v/>
      </c>
      <c r="T153" s="57">
        <f>IF($A153="","",IFERROR(INDEX(Offerte!$G$2:$G$81,MATCH($Q153,Offerte!$L$2:$L$81,0)),"NO"))</f>
        <v/>
      </c>
    </row>
    <row r="154">
      <c r="A154" s="48">
        <f>IF(Offerte!$A6="","",Offerte!$A6)</f>
        <v/>
      </c>
      <c r="B154" s="48">
        <f>IF(Offerte!$A6="","",Offerte!$B6)</f>
        <v/>
      </c>
      <c r="C154" s="48">
        <f>IF(Offerte!$A6="","",Offerte!$C6)</f>
        <v/>
      </c>
      <c r="D154" s="48" t="inlineStr">
        <is>
          <t>F.5.1</t>
        </is>
      </c>
      <c r="E154" s="48" t="inlineStr">
        <is>
          <t>F</t>
        </is>
      </c>
      <c r="F154" s="48" t="inlineStr">
        <is>
          <t>T</t>
        </is>
      </c>
      <c r="G154" s="48" t="inlineStr">
        <is>
          <t>tabular</t>
        </is>
      </c>
      <c r="H154" s="48" t="n">
        <v>1</v>
      </c>
      <c r="I154" s="48" t="inlineStr">
        <is>
          <t>Rendicontazione di sostenibilità ambientale</t>
        </is>
      </c>
      <c r="J154" s="73" t="n"/>
      <c r="K154" s="73" t="n"/>
      <c r="L154" s="73" t="n"/>
      <c r="M154" s="73" t="n"/>
      <c r="N154" s="57">
        <f>IF($A154="","",IF(IFERROR(VALUE($M154),0)=1,1,0))</f>
        <v/>
      </c>
      <c r="O154" s="57">
        <f>IF($A154="",0,IF(OR($S154&lt;&gt;1,COUNTA($J154:$M154)=0),0,IF($N154=1,$H154,0)))</f>
        <v/>
      </c>
      <c r="P154" s="48" t="inlineStr">
        <is>
          <t>sì/no</t>
        </is>
      </c>
      <c r="Q154" s="57">
        <f>IF($A154="","",$A154&amp;"|"&amp;$C154)</f>
        <v/>
      </c>
      <c r="R154" s="57">
        <f>IF($A154="","",$A154&amp;"|"&amp;$C154&amp;"|"&amp;$D154)</f>
        <v/>
      </c>
      <c r="S154" s="57">
        <f>IF($A154="","",IFERROR(INDEX(Offerte!$D$2:$D$81,MATCH($Q154,Offerte!$L$2:$L$81,0)),0))</f>
        <v/>
      </c>
      <c r="T154" s="57">
        <f>IF($A154="","",IFERROR(INDEX(Offerte!$G$2:$G$81,MATCH($Q154,Offerte!$L$2:$L$81,0)),"NO"))</f>
        <v/>
      </c>
    </row>
    <row r="155">
      <c r="A155" s="48">
        <f>IF(Offerte!$A6="","",Offerte!$A6)</f>
        <v/>
      </c>
      <c r="B155" s="48">
        <f>IF(Offerte!$A6="","",Offerte!$B6)</f>
        <v/>
      </c>
      <c r="C155" s="48">
        <f>IF(Offerte!$A6="","",Offerte!$C6)</f>
        <v/>
      </c>
      <c r="D155" s="48" t="inlineStr">
        <is>
          <t>G.1.1</t>
        </is>
      </c>
      <c r="E155" s="48" t="inlineStr">
        <is>
          <t>G</t>
        </is>
      </c>
      <c r="F155" s="48" t="inlineStr">
        <is>
          <t>D</t>
        </is>
      </c>
      <c r="G155" s="48" t="inlineStr">
        <is>
          <t>discretionary</t>
        </is>
      </c>
      <c r="H155" s="48" t="n">
        <v>2</v>
      </c>
      <c r="I155" s="48" t="inlineStr">
        <is>
          <t>Qualità del progetto di centrale di controllo aziendale</t>
        </is>
      </c>
      <c r="J155" s="73" t="n"/>
      <c r="K155" s="73" t="n"/>
      <c r="L155" s="73" t="n"/>
      <c r="M155" s="73" t="n"/>
      <c r="N155" s="57">
        <f>IF($A155="","",MAX(0,MIN(1,IFERROR(VALUE($M155),0))))</f>
        <v/>
      </c>
      <c r="O155" s="57">
        <f>IF($A155="",0,IF(OR($S155&lt;&gt;1,COUNTA($J155:$M155)=0),0,IF(SUMPRODUCT(MAX(($C$5:$C$2484=$C155)*($D$5:$D$2484=$D155)*($S$5:$S$2484=1)*IFERROR($N$5:$N$2484*1,0)))&gt;0,ROUND($H155*($N155/SUMPRODUCT(MAX(($C$5:$C$2484=$C155)*($D$5:$D$2484=$D155)*($S$5:$S$2484=1)*IFERROR($N$5:$N$2484*1,0)))),4),0)))</f>
        <v/>
      </c>
      <c r="P155" s="48" t="inlineStr">
        <is>
          <t>coeff.</t>
        </is>
      </c>
      <c r="Q155" s="57">
        <f>IF($A155="","",$A155&amp;"|"&amp;$C155)</f>
        <v/>
      </c>
      <c r="R155" s="57">
        <f>IF($A155="","",$A155&amp;"|"&amp;$C155&amp;"|"&amp;$D155)</f>
        <v/>
      </c>
      <c r="S155" s="57">
        <f>IF($A155="","",IFERROR(INDEX(Offerte!$D$2:$D$81,MATCH($Q155,Offerte!$L$2:$L$81,0)),0))</f>
        <v/>
      </c>
      <c r="T155" s="57">
        <f>IF($A155="","",IFERROR(INDEX(Offerte!$G$2:$G$81,MATCH($Q155,Offerte!$L$2:$L$81,0)),"NO"))</f>
        <v/>
      </c>
    </row>
    <row r="156">
      <c r="A156" s="48">
        <f>IF(Offerte!$A6="","",Offerte!$A6)</f>
        <v/>
      </c>
      <c r="B156" s="48">
        <f>IF(Offerte!$A6="","",Offerte!$B6)</f>
        <v/>
      </c>
      <c r="C156" s="48">
        <f>IF(Offerte!$A6="","",Offerte!$C6)</f>
        <v/>
      </c>
      <c r="D156" s="48" t="inlineStr">
        <is>
          <t>G.2.1</t>
        </is>
      </c>
      <c r="E156" s="48" t="inlineStr">
        <is>
          <t>G</t>
        </is>
      </c>
      <c r="F156" s="48" t="inlineStr">
        <is>
          <t>T</t>
        </is>
      </c>
      <c r="G156" s="48" t="inlineStr">
        <is>
          <t>tabular</t>
        </is>
      </c>
      <c r="H156" s="48" t="n">
        <v>1</v>
      </c>
      <c r="I156" s="48" t="inlineStr">
        <is>
          <t>Certificazione ISO 45001</t>
        </is>
      </c>
      <c r="J156" s="73" t="n"/>
      <c r="K156" s="73" t="n"/>
      <c r="L156" s="73" t="n"/>
      <c r="M156" s="73" t="n"/>
      <c r="N156" s="57">
        <f>IF($A156="","",IF(IFERROR(VALUE($M156),0)=1,1,0))</f>
        <v/>
      </c>
      <c r="O156" s="57">
        <f>IF($A156="",0,IF(OR($S156&lt;&gt;1,COUNTA($J156:$M156)=0),0,IF($N156=1,$H156,0)))</f>
        <v/>
      </c>
      <c r="P156" s="48" t="inlineStr">
        <is>
          <t>sì/no</t>
        </is>
      </c>
      <c r="Q156" s="57">
        <f>IF($A156="","",$A156&amp;"|"&amp;$C156)</f>
        <v/>
      </c>
      <c r="R156" s="57">
        <f>IF($A156="","",$A156&amp;"|"&amp;$C156&amp;"|"&amp;$D156)</f>
        <v/>
      </c>
      <c r="S156" s="57">
        <f>IF($A156="","",IFERROR(INDEX(Offerte!$D$2:$D$81,MATCH($Q156,Offerte!$L$2:$L$81,0)),0))</f>
        <v/>
      </c>
      <c r="T156" s="57">
        <f>IF($A156="","",IFERROR(INDEX(Offerte!$G$2:$G$81,MATCH($Q156,Offerte!$L$2:$L$81,0)),"NO"))</f>
        <v/>
      </c>
    </row>
    <row r="157">
      <c r="A157" s="48">
        <f>IF(Offerte!$A6="","",Offerte!$A6)</f>
        <v/>
      </c>
      <c r="B157" s="48">
        <f>IF(Offerte!$A6="","",Offerte!$B6)</f>
        <v/>
      </c>
      <c r="C157" s="48">
        <f>IF(Offerte!$A6="","",Offerte!$C6)</f>
        <v/>
      </c>
      <c r="D157" s="48" t="inlineStr">
        <is>
          <t>G.3.1</t>
        </is>
      </c>
      <c r="E157" s="48" t="inlineStr">
        <is>
          <t>G</t>
        </is>
      </c>
      <c r="F157" s="48" t="inlineStr">
        <is>
          <t>T</t>
        </is>
      </c>
      <c r="G157" s="48" t="inlineStr">
        <is>
          <t>tabular</t>
        </is>
      </c>
      <c r="H157" s="48" t="n">
        <v>1</v>
      </c>
      <c r="I157" s="48" t="inlineStr">
        <is>
          <t>Certificazioni di responsabilità sociale</t>
        </is>
      </c>
      <c r="J157" s="73" t="n"/>
      <c r="K157" s="73" t="n"/>
      <c r="L157" s="73" t="n"/>
      <c r="M157" s="73" t="n"/>
      <c r="N157" s="57">
        <f>IF($A157="","",IF(IFERROR(VALUE($M157),0)=1,1,0))</f>
        <v/>
      </c>
      <c r="O157" s="57">
        <f>IF($A157="",0,IF(OR($S157&lt;&gt;1,COUNTA($J157:$M157)=0),0,IF($N157=1,$H157,0)))</f>
        <v/>
      </c>
      <c r="P157" s="48" t="inlineStr">
        <is>
          <t>sì/no</t>
        </is>
      </c>
      <c r="Q157" s="57">
        <f>IF($A157="","",$A157&amp;"|"&amp;$C157)</f>
        <v/>
      </c>
      <c r="R157" s="57">
        <f>IF($A157="","",$A157&amp;"|"&amp;$C157&amp;"|"&amp;$D157)</f>
        <v/>
      </c>
      <c r="S157" s="57">
        <f>IF($A157="","",IFERROR(INDEX(Offerte!$D$2:$D$81,MATCH($Q157,Offerte!$L$2:$L$81,0)),0))</f>
        <v/>
      </c>
      <c r="T157" s="57">
        <f>IF($A157="","",IFERROR(INDEX(Offerte!$G$2:$G$81,MATCH($Q157,Offerte!$L$2:$L$81,0)),"NO"))</f>
        <v/>
      </c>
    </row>
    <row r="158">
      <c r="A158" s="48">
        <f>IF(Offerte!$A6="","",Offerte!$A6)</f>
        <v/>
      </c>
      <c r="B158" s="48">
        <f>IF(Offerte!$A6="","",Offerte!$B6)</f>
        <v/>
      </c>
      <c r="C158" s="48">
        <f>IF(Offerte!$A6="","",Offerte!$C6)</f>
        <v/>
      </c>
      <c r="D158" s="48" t="inlineStr">
        <is>
          <t>G.4.1</t>
        </is>
      </c>
      <c r="E158" s="48" t="inlineStr">
        <is>
          <t>G</t>
        </is>
      </c>
      <c r="F158" s="48" t="inlineStr">
        <is>
          <t>D</t>
        </is>
      </c>
      <c r="G158" s="48" t="inlineStr">
        <is>
          <t>discretionary</t>
        </is>
      </c>
      <c r="H158" s="48" t="n">
        <v>2</v>
      </c>
      <c r="I158" s="48" t="inlineStr">
        <is>
          <t>Qualità del piano di formazione del personale</t>
        </is>
      </c>
      <c r="J158" s="73" t="n"/>
      <c r="K158" s="73" t="n"/>
      <c r="L158" s="73" t="n"/>
      <c r="M158" s="73" t="n"/>
      <c r="N158" s="57">
        <f>IF($A158="","",MAX(0,MIN(1,IFERROR(VALUE($M158),0))))</f>
        <v/>
      </c>
      <c r="O158" s="57">
        <f>IF($A158="",0,IF(OR($S158&lt;&gt;1,COUNTA($J158:$M158)=0),0,IF(SUMPRODUCT(MAX(($C$5:$C$2484=$C158)*($D$5:$D$2484=$D158)*($S$5:$S$2484=1)*IFERROR($N$5:$N$2484*1,0)))&gt;0,ROUND($H158*($N158/SUMPRODUCT(MAX(($C$5:$C$2484=$C158)*($D$5:$D$2484=$D158)*($S$5:$S$2484=1)*IFERROR($N$5:$N$2484*1,0)))),4),0)))</f>
        <v/>
      </c>
      <c r="P158" s="48" t="inlineStr">
        <is>
          <t>coeff.</t>
        </is>
      </c>
      <c r="Q158" s="57">
        <f>IF($A158="","",$A158&amp;"|"&amp;$C158)</f>
        <v/>
      </c>
      <c r="R158" s="57">
        <f>IF($A158="","",$A158&amp;"|"&amp;$C158&amp;"|"&amp;$D158)</f>
        <v/>
      </c>
      <c r="S158" s="57">
        <f>IF($A158="","",IFERROR(INDEX(Offerte!$D$2:$D$81,MATCH($Q158,Offerte!$L$2:$L$81,0)),0))</f>
        <v/>
      </c>
      <c r="T158" s="57">
        <f>IF($A158="","",IFERROR(INDEX(Offerte!$G$2:$G$81,MATCH($Q158,Offerte!$L$2:$L$81,0)),"NO"))</f>
        <v/>
      </c>
    </row>
    <row r="159">
      <c r="A159" s="48">
        <f>IF(Offerte!$A6="","",Offerte!$A6)</f>
        <v/>
      </c>
      <c r="B159" s="48">
        <f>IF(Offerte!$A6="","",Offerte!$B6)</f>
        <v/>
      </c>
      <c r="C159" s="48">
        <f>IF(Offerte!$A6="","",Offerte!$C6)</f>
        <v/>
      </c>
      <c r="D159" s="48" t="inlineStr">
        <is>
          <t>G.5.1</t>
        </is>
      </c>
      <c r="E159" s="48" t="inlineStr">
        <is>
          <t>G</t>
        </is>
      </c>
      <c r="F159" s="48" t="inlineStr">
        <is>
          <t>T</t>
        </is>
      </c>
      <c r="G159" s="48" t="inlineStr">
        <is>
          <t>tabular</t>
        </is>
      </c>
      <c r="H159" s="48" t="n">
        <v>1</v>
      </c>
      <c r="I159" s="48" t="inlineStr">
        <is>
          <t>Impegno al mantenimento delle garanzie del contratto di secondo livello del gestore uscente</t>
        </is>
      </c>
      <c r="J159" s="73" t="n"/>
      <c r="K159" s="73" t="n"/>
      <c r="L159" s="73" t="n"/>
      <c r="M159" s="73" t="n"/>
      <c r="N159" s="57">
        <f>IF($A159="","",IF(IFERROR(VALUE($M159),0)=1,1,0))</f>
        <v/>
      </c>
      <c r="O159" s="57">
        <f>IF($A159="",0,IF(OR($S159&lt;&gt;1,COUNTA($J159:$M159)=0),0,IF($N159=1,$H159,0)))</f>
        <v/>
      </c>
      <c r="P159" s="48" t="inlineStr">
        <is>
          <t>sì/no</t>
        </is>
      </c>
      <c r="Q159" s="57">
        <f>IF($A159="","",$A159&amp;"|"&amp;$C159)</f>
        <v/>
      </c>
      <c r="R159" s="57">
        <f>IF($A159="","",$A159&amp;"|"&amp;$C159&amp;"|"&amp;$D159)</f>
        <v/>
      </c>
      <c r="S159" s="57">
        <f>IF($A159="","",IFERROR(INDEX(Offerte!$D$2:$D$81,MATCH($Q159,Offerte!$L$2:$L$81,0)),0))</f>
        <v/>
      </c>
      <c r="T159" s="57">
        <f>IF($A159="","",IFERROR(INDEX(Offerte!$G$2:$G$81,MATCH($Q159,Offerte!$L$2:$L$81,0)),"NO"))</f>
        <v/>
      </c>
    </row>
    <row r="160">
      <c r="A160" s="48">
        <f>IF(Offerte!$A7="","",Offerte!$A7)</f>
        <v/>
      </c>
      <c r="B160" s="48">
        <f>IF(Offerte!$A7="","",Offerte!$B7)</f>
        <v/>
      </c>
      <c r="C160" s="48">
        <f>IF(Offerte!$A7="","",Offerte!$C7)</f>
        <v/>
      </c>
      <c r="D160" s="48" t="inlineStr">
        <is>
          <t>A.1.1</t>
        </is>
      </c>
      <c r="E160" s="48" t="inlineStr">
        <is>
          <t>A</t>
        </is>
      </c>
      <c r="F160" s="48" t="inlineStr">
        <is>
          <t>Q</t>
        </is>
      </c>
      <c r="G160" s="48" t="inlineStr">
        <is>
          <t>higher</t>
        </is>
      </c>
      <c r="H160" s="48" t="n">
        <v>3</v>
      </c>
      <c r="I160" s="48" t="inlineStr">
        <is>
          <t>Tasso aggiuntivo di corse controllate</t>
        </is>
      </c>
      <c r="J160" s="73" t="n"/>
      <c r="K160" s="73" t="n"/>
      <c r="L160" s="73" t="n"/>
      <c r="M160" s="73" t="n"/>
      <c r="N160" s="57">
        <f>IF($A160="","",IFERROR(VALUE($K160)/VALUE($L160)*100,IFERROR(VALUE($J160),0)))</f>
        <v/>
      </c>
      <c r="O160" s="57">
        <f>IF($A160="",0,IF(OR($S160&lt;&gt;1,COUNTA($J160:$M160)=0),0,IF(SUMPRODUCT(MAX(($C$5:$C$2484=$C160)*($D$5:$D$2484=$D160)*($S$5:$S$2484=1)*IFERROR($N$5:$N$2484*1,0)))&gt;0,ROUND($H160*($N160/SUMPRODUCT(MAX(($C$5:$C$2484=$C160)*($D$5:$D$2484=$D160)*($S$5:$S$2484=1)*IFERROR($N$5:$N$2484*1,0)))),4),0)))</f>
        <v/>
      </c>
      <c r="P160" s="48" t="inlineStr">
        <is>
          <t>Corse controllate annue / Corse programmate annue</t>
        </is>
      </c>
      <c r="Q160" s="57">
        <f>IF($A160="","",$A160&amp;"|"&amp;$C160)</f>
        <v/>
      </c>
      <c r="R160" s="57">
        <f>IF($A160="","",$A160&amp;"|"&amp;$C160&amp;"|"&amp;$D160)</f>
        <v/>
      </c>
      <c r="S160" s="57">
        <f>IF($A160="","",IFERROR(INDEX(Offerte!$D$2:$D$81,MATCH($Q160,Offerte!$L$2:$L$81,0)),0))</f>
        <v/>
      </c>
      <c r="T160" s="57">
        <f>IF($A160="","",IFERROR(INDEX(Offerte!$G$2:$G$81,MATCH($Q160,Offerte!$L$2:$L$81,0)),"NO"))</f>
        <v/>
      </c>
    </row>
    <row r="161">
      <c r="A161" s="48">
        <f>IF(Offerte!$A7="","",Offerte!$A7)</f>
        <v/>
      </c>
      <c r="B161" s="48">
        <f>IF(Offerte!$A7="","",Offerte!$B7)</f>
        <v/>
      </c>
      <c r="C161" s="48">
        <f>IF(Offerte!$A7="","",Offerte!$C7)</f>
        <v/>
      </c>
      <c r="D161" s="48" t="inlineStr">
        <is>
          <t>A.1.2</t>
        </is>
      </c>
      <c r="E161" s="48" t="inlineStr">
        <is>
          <t>A</t>
        </is>
      </c>
      <c r="F161" s="48" t="inlineStr">
        <is>
          <t>Q</t>
        </is>
      </c>
      <c r="G161" s="48" t="inlineStr">
        <is>
          <t>higher</t>
        </is>
      </c>
      <c r="H161" s="48" t="n">
        <v>4</v>
      </c>
      <c r="I161" s="48" t="inlineStr">
        <is>
          <t>Numero aggiuntivo di passeggeri controllati</t>
        </is>
      </c>
      <c r="J161" s="73" t="n"/>
      <c r="K161" s="73" t="n"/>
      <c r="L161" s="73" t="n"/>
      <c r="M161" s="73" t="n"/>
      <c r="N161" s="57">
        <f>IF($A161="","",IFERROR(VALUE($J161),0))</f>
        <v/>
      </c>
      <c r="O161" s="57">
        <f>IF($A161="",0,IF(OR($S161&lt;&gt;1,COUNTA($J161:$M161)=0),0,IF(SUMPRODUCT(MAX(($C$5:$C$2484=$C161)*($D$5:$D$2484=$D161)*($S$5:$S$2484=1)*IFERROR($N$5:$N$2484*1,0)))&gt;0,ROUND($H161*($N161/SUMPRODUCT(MAX(($C$5:$C$2484=$C161)*($D$5:$D$2484=$D161)*($S$5:$S$2484=1)*IFERROR($N$5:$N$2484*1,0)))),4),0)))</f>
        <v/>
      </c>
      <c r="P161" s="48" t="inlineStr">
        <is>
          <t>passeggeri/anno</t>
        </is>
      </c>
      <c r="Q161" s="57">
        <f>IF($A161="","",$A161&amp;"|"&amp;$C161)</f>
        <v/>
      </c>
      <c r="R161" s="57">
        <f>IF($A161="","",$A161&amp;"|"&amp;$C161&amp;"|"&amp;$D161)</f>
        <v/>
      </c>
      <c r="S161" s="57">
        <f>IF($A161="","",IFERROR(INDEX(Offerte!$D$2:$D$81,MATCH($Q161,Offerte!$L$2:$L$81,0)),0))</f>
        <v/>
      </c>
      <c r="T161" s="57">
        <f>IF($A161="","",IFERROR(INDEX(Offerte!$G$2:$G$81,MATCH($Q161,Offerte!$L$2:$L$81,0)),"NO"))</f>
        <v/>
      </c>
    </row>
    <row r="162">
      <c r="A162" s="48">
        <f>IF(Offerte!$A7="","",Offerte!$A7)</f>
        <v/>
      </c>
      <c r="B162" s="48">
        <f>IF(Offerte!$A7="","",Offerte!$B7)</f>
        <v/>
      </c>
      <c r="C162" s="48">
        <f>IF(Offerte!$A7="","",Offerte!$C7)</f>
        <v/>
      </c>
      <c r="D162" s="48" t="inlineStr">
        <is>
          <t>B.1.1</t>
        </is>
      </c>
      <c r="E162" s="48" t="inlineStr">
        <is>
          <t>B</t>
        </is>
      </c>
      <c r="F162" s="48" t="inlineStr">
        <is>
          <t>Q</t>
        </is>
      </c>
      <c r="G162" s="48" t="inlineStr">
        <is>
          <t>higher</t>
        </is>
      </c>
      <c r="H162" s="48" t="n">
        <v>3</v>
      </c>
      <c r="I162" s="48" t="inlineStr">
        <is>
          <t>Incremento dei posti offerti nelle fasce di punta</t>
        </is>
      </c>
      <c r="J162" s="73" t="n"/>
      <c r="K162" s="73" t="n"/>
      <c r="L162" s="73" t="n"/>
      <c r="M162" s="73" t="n"/>
      <c r="N162" s="57">
        <f>IF($A162="","",IFERROR(VALUE($J162),0))</f>
        <v/>
      </c>
      <c r="O162" s="57">
        <f>IF($A162="",0,IF(OR($S162&lt;&gt;1,COUNTA($J162:$M162)=0),0,IF(SUMPRODUCT(MAX(($C$5:$C$2484=$C162)*($D$5:$D$2484=$D162)*($S$5:$S$2484=1)*IFERROR($N$5:$N$2484*1,0)))&gt;0,ROUND($H162*($N162/SUMPRODUCT(MAX(($C$5:$C$2484=$C162)*($D$5:$D$2484=$D162)*($S$5:$S$2484=1)*IFERROR($N$5:$N$2484*1,0)))),4),0)))</f>
        <v/>
      </c>
      <c r="P162" s="48" t="inlineStr">
        <is>
          <t>posti*km</t>
        </is>
      </c>
      <c r="Q162" s="57">
        <f>IF($A162="","",$A162&amp;"|"&amp;$C162)</f>
        <v/>
      </c>
      <c r="R162" s="57">
        <f>IF($A162="","",$A162&amp;"|"&amp;$C162&amp;"|"&amp;$D162)</f>
        <v/>
      </c>
      <c r="S162" s="57">
        <f>IF($A162="","",IFERROR(INDEX(Offerte!$D$2:$D$81,MATCH($Q162,Offerte!$L$2:$L$81,0)),0))</f>
        <v/>
      </c>
      <c r="T162" s="57">
        <f>IF($A162="","",IFERROR(INDEX(Offerte!$G$2:$G$81,MATCH($Q162,Offerte!$L$2:$L$81,0)),"NO"))</f>
        <v/>
      </c>
    </row>
    <row r="163">
      <c r="A163" s="48">
        <f>IF(Offerte!$A7="","",Offerte!$A7)</f>
        <v/>
      </c>
      <c r="B163" s="48">
        <f>IF(Offerte!$A7="","",Offerte!$B7)</f>
        <v/>
      </c>
      <c r="C163" s="48">
        <f>IF(Offerte!$A7="","",Offerte!$C7)</f>
        <v/>
      </c>
      <c r="D163" s="48" t="inlineStr">
        <is>
          <t>B.2.1</t>
        </is>
      </c>
      <c r="E163" s="48" t="inlineStr">
        <is>
          <t>B</t>
        </is>
      </c>
      <c r="F163" s="48" t="inlineStr">
        <is>
          <t>Q</t>
        </is>
      </c>
      <c r="G163" s="48" t="inlineStr">
        <is>
          <t>higher</t>
        </is>
      </c>
      <c r="H163" s="48" t="n">
        <v>4</v>
      </c>
      <c r="I163" s="48" t="inlineStr">
        <is>
          <t>Corse aggiuntive nell'arco giornaliero base</t>
        </is>
      </c>
      <c r="J163" s="73" t="n"/>
      <c r="K163" s="73" t="n"/>
      <c r="L163" s="73" t="n"/>
      <c r="M163" s="73" t="n"/>
      <c r="N163" s="57">
        <f>IF($A163="","",IFERROR(VALUE($J163),0))</f>
        <v/>
      </c>
      <c r="O163" s="57">
        <f>IF($A163="",0,IF(OR($S163&lt;&gt;1,COUNTA($J163:$M163)=0),0,IF(SUMPRODUCT(MAX(($C$5:$C$2484=$C163)*($D$5:$D$2484=$D163)*($S$5:$S$2484=1)*IFERROR($N$5:$N$2484*1,0)))&gt;0,ROUND($H163*($N163/SUMPRODUCT(MAX(($C$5:$C$2484=$C163)*($D$5:$D$2484=$D163)*($S$5:$S$2484=1)*IFERROR($N$5:$N$2484*1,0)))),4),0)))</f>
        <v/>
      </c>
      <c r="P163" s="48" t="inlineStr">
        <is>
          <t>corse</t>
        </is>
      </c>
      <c r="Q163" s="57">
        <f>IF($A163="","",$A163&amp;"|"&amp;$C163)</f>
        <v/>
      </c>
      <c r="R163" s="57">
        <f>IF($A163="","",$A163&amp;"|"&amp;$C163&amp;"|"&amp;$D163)</f>
        <v/>
      </c>
      <c r="S163" s="57">
        <f>IF($A163="","",IFERROR(INDEX(Offerte!$D$2:$D$81,MATCH($Q163,Offerte!$L$2:$L$81,0)),0))</f>
        <v/>
      </c>
      <c r="T163" s="57">
        <f>IF($A163="","",IFERROR(INDEX(Offerte!$G$2:$G$81,MATCH($Q163,Offerte!$L$2:$L$81,0)),"NO"))</f>
        <v/>
      </c>
    </row>
    <row r="164">
      <c r="A164" s="48">
        <f>IF(Offerte!$A7="","",Offerte!$A7)</f>
        <v/>
      </c>
      <c r="B164" s="48">
        <f>IF(Offerte!$A7="","",Offerte!$B7)</f>
        <v/>
      </c>
      <c r="C164" s="48">
        <f>IF(Offerte!$A7="","",Offerte!$C7)</f>
        <v/>
      </c>
      <c r="D164" s="48" t="inlineStr">
        <is>
          <t>B.3.1</t>
        </is>
      </c>
      <c r="E164" s="48" t="inlineStr">
        <is>
          <t>B</t>
        </is>
      </c>
      <c r="F164" s="48" t="inlineStr">
        <is>
          <t>Q</t>
        </is>
      </c>
      <c r="G164" s="48" t="inlineStr">
        <is>
          <t>higher</t>
        </is>
      </c>
      <c r="H164" s="48" t="n">
        <v>2</v>
      </c>
      <c r="I164" s="48" t="inlineStr">
        <is>
          <t>Numero di corse aggiuntive per allungamento dell'arco di servizio giornaliero nelle fasce serali</t>
        </is>
      </c>
      <c r="J164" s="73" t="n"/>
      <c r="K164" s="73" t="n"/>
      <c r="L164" s="73" t="n"/>
      <c r="M164" s="73" t="n"/>
      <c r="N164" s="57">
        <f>IF($A164="","",IFERROR(VALUE($J164),0))</f>
        <v/>
      </c>
      <c r="O164" s="57">
        <f>IF($A164="",0,IF(OR($S164&lt;&gt;1,COUNTA($J164:$M164)=0),0,IF(SUMPRODUCT(MAX(($C$5:$C$2484=$C164)*($D$5:$D$2484=$D164)*($S$5:$S$2484=1)*IFERROR($N$5:$N$2484*1,0)))&gt;0,ROUND($H164*($N164/SUMPRODUCT(MAX(($C$5:$C$2484=$C164)*($D$5:$D$2484=$D164)*($S$5:$S$2484=1)*IFERROR($N$5:$N$2484*1,0)))),4),0)))</f>
        <v/>
      </c>
      <c r="P164" s="48" t="inlineStr">
        <is>
          <t>corse</t>
        </is>
      </c>
      <c r="Q164" s="57">
        <f>IF($A164="","",$A164&amp;"|"&amp;$C164)</f>
        <v/>
      </c>
      <c r="R164" s="57">
        <f>IF($A164="","",$A164&amp;"|"&amp;$C164&amp;"|"&amp;$D164)</f>
        <v/>
      </c>
      <c r="S164" s="57">
        <f>IF($A164="","",IFERROR(INDEX(Offerte!$D$2:$D$81,MATCH($Q164,Offerte!$L$2:$L$81,0)),0))</f>
        <v/>
      </c>
      <c r="T164" s="57">
        <f>IF($A164="","",IFERROR(INDEX(Offerte!$G$2:$G$81,MATCH($Q164,Offerte!$L$2:$L$81,0)),"NO"))</f>
        <v/>
      </c>
    </row>
    <row r="165">
      <c r="A165" s="48">
        <f>IF(Offerte!$A7="","",Offerte!$A7)</f>
        <v/>
      </c>
      <c r="B165" s="48">
        <f>IF(Offerte!$A7="","",Offerte!$B7)</f>
        <v/>
      </c>
      <c r="C165" s="48">
        <f>IF(Offerte!$A7="","",Offerte!$C7)</f>
        <v/>
      </c>
      <c r="D165" s="48" t="inlineStr">
        <is>
          <t>B.4.1</t>
        </is>
      </c>
      <c r="E165" s="48" t="inlineStr">
        <is>
          <t>B</t>
        </is>
      </c>
      <c r="F165" s="48" t="inlineStr">
        <is>
          <t>Q</t>
        </is>
      </c>
      <c r="G165" s="48" t="inlineStr">
        <is>
          <t>higher</t>
        </is>
      </c>
      <c r="H165" s="48" t="n">
        <v>3</v>
      </c>
      <c r="I165" s="48" t="inlineStr">
        <is>
          <t>Percorrenze aggiuntive offerte nel Programma d'esercizio delle prime due fasi attuative</t>
        </is>
      </c>
      <c r="J165" s="73" t="n"/>
      <c r="K165" s="73" t="n"/>
      <c r="L165" s="73" t="n"/>
      <c r="M165" s="73" t="n"/>
      <c r="N165" s="57">
        <f>IF($A165="","",IFERROR(VALUE($J165),0))</f>
        <v/>
      </c>
      <c r="O165" s="57">
        <f>IF($A165="",0,IF(OR($S165&lt;&gt;1,COUNTA($J165:$M165)=0),0,IF(SUMPRODUCT(MAX(($C$5:$C$2484=$C165)*($D$5:$D$2484=$D165)*($S$5:$S$2484=1)*IFERROR($N$5:$N$2484*1,0)))&gt;0,ROUND($H165*($N165/SUMPRODUCT(MAX(($C$5:$C$2484=$C165)*($D$5:$D$2484=$D165)*($S$5:$S$2484=1)*IFERROR($N$5:$N$2484*1,0)))),4),0)))</f>
        <v/>
      </c>
      <c r="P165" s="48" t="inlineStr">
        <is>
          <t>vett*km</t>
        </is>
      </c>
      <c r="Q165" s="57">
        <f>IF($A165="","",$A165&amp;"|"&amp;$C165)</f>
        <v/>
      </c>
      <c r="R165" s="57">
        <f>IF($A165="","",$A165&amp;"|"&amp;$C165&amp;"|"&amp;$D165)</f>
        <v/>
      </c>
      <c r="S165" s="57">
        <f>IF($A165="","",IFERROR(INDEX(Offerte!$D$2:$D$81,MATCH($Q165,Offerte!$L$2:$L$81,0)),0))</f>
        <v/>
      </c>
      <c r="T165" s="57">
        <f>IF($A165="","",IFERROR(INDEX(Offerte!$G$2:$G$81,MATCH($Q165,Offerte!$L$2:$L$81,0)),"NO"))</f>
        <v/>
      </c>
    </row>
    <row r="166">
      <c r="A166" s="48">
        <f>IF(Offerte!$A7="","",Offerte!$A7)</f>
        <v/>
      </c>
      <c r="B166" s="48">
        <f>IF(Offerte!$A7="","",Offerte!$B7)</f>
        <v/>
      </c>
      <c r="C166" s="48">
        <f>IF(Offerte!$A7="","",Offerte!$C7)</f>
        <v/>
      </c>
      <c r="D166" s="48" t="inlineStr">
        <is>
          <t>B.5.1</t>
        </is>
      </c>
      <c r="E166" s="48" t="inlineStr">
        <is>
          <t>B</t>
        </is>
      </c>
      <c r="F166" s="48" t="inlineStr">
        <is>
          <t>D</t>
        </is>
      </c>
      <c r="G166" s="48" t="inlineStr">
        <is>
          <t>discretionary</t>
        </is>
      </c>
      <c r="H166" s="48" t="n">
        <v>2</v>
      </c>
      <c r="I166" s="48" t="inlineStr">
        <is>
          <t>Efficacia del progetto di servizi complementari DRT</t>
        </is>
      </c>
      <c r="J166" s="73" t="n"/>
      <c r="K166" s="73" t="n"/>
      <c r="L166" s="73" t="n"/>
      <c r="M166" s="73" t="n"/>
      <c r="N166" s="57">
        <f>IF($A166="","",MAX(0,MIN(1,IFERROR(VALUE($M166),0))))</f>
        <v/>
      </c>
      <c r="O166" s="57">
        <f>IF($A166="",0,IF(OR($S166&lt;&gt;1,COUNTA($J166:$M166)=0),0,IF(SUMPRODUCT(MAX(($C$5:$C$2484=$C166)*($D$5:$D$2484=$D166)*($S$5:$S$2484=1)*IFERROR($N$5:$N$2484*1,0)))&gt;0,ROUND($H166*($N166/SUMPRODUCT(MAX(($C$5:$C$2484=$C166)*($D$5:$D$2484=$D166)*($S$5:$S$2484=1)*IFERROR($N$5:$N$2484*1,0)))),4),0)))</f>
        <v/>
      </c>
      <c r="P166" s="48" t="inlineStr">
        <is>
          <t>coeff.</t>
        </is>
      </c>
      <c r="Q166" s="57">
        <f>IF($A166="","",$A166&amp;"|"&amp;$C166)</f>
        <v/>
      </c>
      <c r="R166" s="57">
        <f>IF($A166="","",$A166&amp;"|"&amp;$C166&amp;"|"&amp;$D166)</f>
        <v/>
      </c>
      <c r="S166" s="57">
        <f>IF($A166="","",IFERROR(INDEX(Offerte!$D$2:$D$81,MATCH($Q166,Offerte!$L$2:$L$81,0)),0))</f>
        <v/>
      </c>
      <c r="T166" s="57">
        <f>IF($A166="","",IFERROR(INDEX(Offerte!$G$2:$G$81,MATCH($Q166,Offerte!$L$2:$L$81,0)),"NO"))</f>
        <v/>
      </c>
    </row>
    <row r="167">
      <c r="A167" s="48">
        <f>IF(Offerte!$A7="","",Offerte!$A7)</f>
        <v/>
      </c>
      <c r="B167" s="48">
        <f>IF(Offerte!$A7="","",Offerte!$B7)</f>
        <v/>
      </c>
      <c r="C167" s="48">
        <f>IF(Offerte!$A7="","",Offerte!$C7)</f>
        <v/>
      </c>
      <c r="D167" s="48" t="inlineStr">
        <is>
          <t>C.1.1</t>
        </is>
      </c>
      <c r="E167" s="48" t="inlineStr">
        <is>
          <t>C</t>
        </is>
      </c>
      <c r="F167" s="48" t="inlineStr">
        <is>
          <t>Q</t>
        </is>
      </c>
      <c r="G167" s="48" t="inlineStr">
        <is>
          <t>higher</t>
        </is>
      </c>
      <c r="H167" s="48" t="n">
        <v>2</v>
      </c>
      <c r="I167" s="48" t="inlineStr">
        <is>
          <t>Tasso di copertura del servizio con telecamere BSD</t>
        </is>
      </c>
      <c r="J167" s="73" t="n"/>
      <c r="K167" s="73" t="n"/>
      <c r="L167" s="73" t="n"/>
      <c r="M167" s="73" t="n"/>
      <c r="N167" s="57">
        <f>IF($A167="","",IFERROR(VALUE($K167)/VALUE($L167),IFERROR(VALUE($J167),0)))</f>
        <v/>
      </c>
      <c r="O167" s="57">
        <f>IF($A167="",0,IF(OR($S167&lt;&gt;1,COUNTA($J167:$M167)=0),0,IF(SUMPRODUCT(MAX(($C$5:$C$2484=$C167)*($D$5:$D$2484=$D167)*($S$5:$S$2484=1)*IFERROR($N$5:$N$2484*1,0)))&gt;0,ROUND($H167*($N167/SUMPRODUCT(MAX(($C$5:$C$2484=$C167)*($D$5:$D$2484=$D167)*($S$5:$S$2484=1)*IFERROR($N$5:$N$2484*1,0)))),4),0)))</f>
        <v/>
      </c>
      <c r="P167" s="48" t="inlineStr">
        <is>
          <t>Autobus attrezzati con telecamere BSD / Autobus totali in offerta, incluse scorte</t>
        </is>
      </c>
      <c r="Q167" s="57">
        <f>IF($A167="","",$A167&amp;"|"&amp;$C167)</f>
        <v/>
      </c>
      <c r="R167" s="57">
        <f>IF($A167="","",$A167&amp;"|"&amp;$C167&amp;"|"&amp;$D167)</f>
        <v/>
      </c>
      <c r="S167" s="57">
        <f>IF($A167="","",IFERROR(INDEX(Offerte!$D$2:$D$81,MATCH($Q167,Offerte!$L$2:$L$81,0)),0))</f>
        <v/>
      </c>
      <c r="T167" s="57">
        <f>IF($A167="","",IFERROR(INDEX(Offerte!$G$2:$G$81,MATCH($Q167,Offerte!$L$2:$L$81,0)),"NO"))</f>
        <v/>
      </c>
    </row>
    <row r="168">
      <c r="A168" s="48">
        <f>IF(Offerte!$A7="","",Offerte!$A7)</f>
        <v/>
      </c>
      <c r="B168" s="48">
        <f>IF(Offerte!$A7="","",Offerte!$B7)</f>
        <v/>
      </c>
      <c r="C168" s="48">
        <f>IF(Offerte!$A7="","",Offerte!$C7)</f>
        <v/>
      </c>
      <c r="D168" s="48" t="inlineStr">
        <is>
          <t>C.1.2</t>
        </is>
      </c>
      <c r="E168" s="48" t="inlineStr">
        <is>
          <t>C</t>
        </is>
      </c>
      <c r="F168" s="48" t="inlineStr">
        <is>
          <t>Q</t>
        </is>
      </c>
      <c r="G168" s="48" t="inlineStr">
        <is>
          <t>higher</t>
        </is>
      </c>
      <c r="H168" s="48" t="n">
        <v>2</v>
      </c>
      <c r="I168" s="48" t="inlineStr">
        <is>
          <t>Tasso di copertura del servizio con telecamere ADAS</t>
        </is>
      </c>
      <c r="J168" s="73" t="n"/>
      <c r="K168" s="73" t="n"/>
      <c r="L168" s="73" t="n"/>
      <c r="M168" s="73" t="n"/>
      <c r="N168" s="57">
        <f>IF($A168="","",IFERROR(VALUE($K168)/VALUE($L168),IFERROR(VALUE($J168),0)))</f>
        <v/>
      </c>
      <c r="O168" s="57">
        <f>IF($A168="",0,IF(OR($S168&lt;&gt;1,COUNTA($J168:$M168)=0),0,IF(SUMPRODUCT(MAX(($C$5:$C$2484=$C168)*($D$5:$D$2484=$D168)*($S$5:$S$2484=1)*IFERROR($N$5:$N$2484*1,0)))&gt;0,ROUND($H168*($N168/SUMPRODUCT(MAX(($C$5:$C$2484=$C168)*($D$5:$D$2484=$D168)*($S$5:$S$2484=1)*IFERROR($N$5:$N$2484*1,0)))),4),0)))</f>
        <v/>
      </c>
      <c r="P168" s="48" t="inlineStr">
        <is>
          <t>Autobus attrezzati con telecamere ADAS / Autobus totali in offerta, incluse scorte</t>
        </is>
      </c>
      <c r="Q168" s="57">
        <f>IF($A168="","",$A168&amp;"|"&amp;$C168)</f>
        <v/>
      </c>
      <c r="R168" s="57">
        <f>IF($A168="","",$A168&amp;"|"&amp;$C168&amp;"|"&amp;$D168)</f>
        <v/>
      </c>
      <c r="S168" s="57">
        <f>IF($A168="","",IFERROR(INDEX(Offerte!$D$2:$D$81,MATCH($Q168,Offerte!$L$2:$L$81,0)),0))</f>
        <v/>
      </c>
      <c r="T168" s="57">
        <f>IF($A168="","",IFERROR(INDEX(Offerte!$G$2:$G$81,MATCH($Q168,Offerte!$L$2:$L$81,0)),"NO"))</f>
        <v/>
      </c>
    </row>
    <row r="169">
      <c r="A169" s="48">
        <f>IF(Offerte!$A7="","",Offerte!$A7)</f>
        <v/>
      </c>
      <c r="B169" s="48">
        <f>IF(Offerte!$A7="","",Offerte!$B7)</f>
        <v/>
      </c>
      <c r="C169" s="48">
        <f>IF(Offerte!$A7="","",Offerte!$C7)</f>
        <v/>
      </c>
      <c r="D169" s="48" t="inlineStr">
        <is>
          <t>C.2.1</t>
        </is>
      </c>
      <c r="E169" s="48" t="inlineStr">
        <is>
          <t>C</t>
        </is>
      </c>
      <c r="F169" s="48" t="inlineStr">
        <is>
          <t>Q</t>
        </is>
      </c>
      <c r="G169" s="48" t="inlineStr">
        <is>
          <t>higher</t>
        </is>
      </c>
      <c r="H169" s="48" t="n">
        <v>3</v>
      </c>
      <c r="I169" s="48" t="inlineStr">
        <is>
          <t>Tasso di copertura del servizio con telecamere di bordo di videosorveglianza</t>
        </is>
      </c>
      <c r="J169" s="73" t="n"/>
      <c r="K169" s="73" t="n"/>
      <c r="L169" s="73" t="n"/>
      <c r="M169" s="73" t="n"/>
      <c r="N169" s="57">
        <f>IF($A169="","",IFERROR(VALUE($K169)/VALUE($L169),IFERROR(VALUE($J169),0)))</f>
        <v/>
      </c>
      <c r="O169" s="57">
        <f>IF($A169="",0,IF(OR($S169&lt;&gt;1,COUNTA($J169:$M169)=0),0,IF(SUMPRODUCT(MAX(($C$5:$C$2484=$C169)*($D$5:$D$2484=$D169)*($S$5:$S$2484=1)*IFERROR($N$5:$N$2484*1,0)))&gt;0,ROUND($H169*($N169/SUMPRODUCT(MAX(($C$5:$C$2484=$C169)*($D$5:$D$2484=$D169)*($S$5:$S$2484=1)*IFERROR($N$5:$N$2484*1,0)))),4),0)))</f>
        <v/>
      </c>
      <c r="P169" s="48" t="inlineStr">
        <is>
          <t>Autobus attrezzati con videosorveglianza / Autobus totali in offerta, incluse scorte</t>
        </is>
      </c>
      <c r="Q169" s="57">
        <f>IF($A169="","",$A169&amp;"|"&amp;$C169)</f>
        <v/>
      </c>
      <c r="R169" s="57">
        <f>IF($A169="","",$A169&amp;"|"&amp;$C169&amp;"|"&amp;$D169)</f>
        <v/>
      </c>
      <c r="S169" s="57">
        <f>IF($A169="","",IFERROR(INDEX(Offerte!$D$2:$D$81,MATCH($Q169,Offerte!$L$2:$L$81,0)),0))</f>
        <v/>
      </c>
      <c r="T169" s="57">
        <f>IF($A169="","",IFERROR(INDEX(Offerte!$G$2:$G$81,MATCH($Q169,Offerte!$L$2:$L$81,0)),"NO"))</f>
        <v/>
      </c>
    </row>
    <row r="170">
      <c r="A170" s="48">
        <f>IF(Offerte!$A7="","",Offerte!$A7)</f>
        <v/>
      </c>
      <c r="B170" s="48">
        <f>IF(Offerte!$A7="","",Offerte!$B7)</f>
        <v/>
      </c>
      <c r="C170" s="48">
        <f>IF(Offerte!$A7="","",Offerte!$C7)</f>
        <v/>
      </c>
      <c r="D170" s="48" t="inlineStr">
        <is>
          <t>C.2.2</t>
        </is>
      </c>
      <c r="E170" s="48" t="inlineStr">
        <is>
          <t>C</t>
        </is>
      </c>
      <c r="F170" s="48" t="inlineStr">
        <is>
          <t>T</t>
        </is>
      </c>
      <c r="G170" s="48" t="inlineStr">
        <is>
          <t>tabular</t>
        </is>
      </c>
      <c r="H170" s="48" t="n">
        <v>1</v>
      </c>
      <c r="I170" s="48" t="inlineStr">
        <is>
          <t>Software video/audio analisi per situazioni di pericolo</t>
        </is>
      </c>
      <c r="J170" s="73" t="n"/>
      <c r="K170" s="73" t="n"/>
      <c r="L170" s="73" t="n"/>
      <c r="M170" s="73" t="n"/>
      <c r="N170" s="57">
        <f>IF($A170="","",IF(IFERROR(VALUE($M170),0)=1,1,0))</f>
        <v/>
      </c>
      <c r="O170" s="57">
        <f>IF($A170="",0,IF(OR($S170&lt;&gt;1,COUNTA($J170:$M170)=0),0,IF($N170=1,$H170,0)))</f>
        <v/>
      </c>
      <c r="P170" s="48" t="inlineStr">
        <is>
          <t>sì/no</t>
        </is>
      </c>
      <c r="Q170" s="57">
        <f>IF($A170="","",$A170&amp;"|"&amp;$C170)</f>
        <v/>
      </c>
      <c r="R170" s="57">
        <f>IF($A170="","",$A170&amp;"|"&amp;$C170&amp;"|"&amp;$D170)</f>
        <v/>
      </c>
      <c r="S170" s="57">
        <f>IF($A170="","",IFERROR(INDEX(Offerte!$D$2:$D$81,MATCH($Q170,Offerte!$L$2:$L$81,0)),0))</f>
        <v/>
      </c>
      <c r="T170" s="57">
        <f>IF($A170="","",IFERROR(INDEX(Offerte!$G$2:$G$81,MATCH($Q170,Offerte!$L$2:$L$81,0)),"NO"))</f>
        <v/>
      </c>
    </row>
    <row r="171">
      <c r="A171" s="48">
        <f>IF(Offerte!$A7="","",Offerte!$A7)</f>
        <v/>
      </c>
      <c r="B171" s="48">
        <f>IF(Offerte!$A7="","",Offerte!$B7)</f>
        <v/>
      </c>
      <c r="C171" s="48">
        <f>IF(Offerte!$A7="","",Offerte!$C7)</f>
        <v/>
      </c>
      <c r="D171" s="48" t="inlineStr">
        <is>
          <t>C.2.3</t>
        </is>
      </c>
      <c r="E171" s="48" t="inlineStr">
        <is>
          <t>C</t>
        </is>
      </c>
      <c r="F171" s="48" t="inlineStr">
        <is>
          <t>T</t>
        </is>
      </c>
      <c r="G171" s="48" t="inlineStr">
        <is>
          <t>tabular</t>
        </is>
      </c>
      <c r="H171" s="48" t="n">
        <v>1</v>
      </c>
      <c r="I171" s="48" t="inlineStr">
        <is>
          <t>Collegamento con centrale qualificata di pronto intervento</t>
        </is>
      </c>
      <c r="J171" s="73" t="n"/>
      <c r="K171" s="73" t="n"/>
      <c r="L171" s="73" t="n"/>
      <c r="M171" s="73" t="n"/>
      <c r="N171" s="57">
        <f>IF($A171="","",IF(IFERROR(VALUE($M171),0)=1,1,0))</f>
        <v/>
      </c>
      <c r="O171" s="57">
        <f>IF($A171="",0,IF(OR($S171&lt;&gt;1,COUNTA($J171:$M171)=0),0,IF($N171=1,$H171,0)))</f>
        <v/>
      </c>
      <c r="P171" s="48" t="inlineStr">
        <is>
          <t>sì/no</t>
        </is>
      </c>
      <c r="Q171" s="57">
        <f>IF($A171="","",$A171&amp;"|"&amp;$C171)</f>
        <v/>
      </c>
      <c r="R171" s="57">
        <f>IF($A171="","",$A171&amp;"|"&amp;$C171&amp;"|"&amp;$D171)</f>
        <v/>
      </c>
      <c r="S171" s="57">
        <f>IF($A171="","",IFERROR(INDEX(Offerte!$D$2:$D$81,MATCH($Q171,Offerte!$L$2:$L$81,0)),0))</f>
        <v/>
      </c>
      <c r="T171" s="57">
        <f>IF($A171="","",IFERROR(INDEX(Offerte!$G$2:$G$81,MATCH($Q171,Offerte!$L$2:$L$81,0)),"NO"))</f>
        <v/>
      </c>
    </row>
    <row r="172">
      <c r="A172" s="48">
        <f>IF(Offerte!$A7="","",Offerte!$A7)</f>
        <v/>
      </c>
      <c r="B172" s="48">
        <f>IF(Offerte!$A7="","",Offerte!$B7)</f>
        <v/>
      </c>
      <c r="C172" s="48">
        <f>IF(Offerte!$A7="","",Offerte!$C7)</f>
        <v/>
      </c>
      <c r="D172" s="48" t="inlineStr">
        <is>
          <t>C.2.4</t>
        </is>
      </c>
      <c r="E172" s="48" t="inlineStr">
        <is>
          <t>C</t>
        </is>
      </c>
      <c r="F172" s="48" t="inlineStr">
        <is>
          <t>Q</t>
        </is>
      </c>
      <c r="G172" s="48" t="inlineStr">
        <is>
          <t>higher</t>
        </is>
      </c>
      <c r="H172" s="48" t="n">
        <v>1</v>
      </c>
      <c r="I172" s="48" t="inlineStr">
        <is>
          <t>Tasso di copertura del servizio con dispositivi per la chiamata di emergenza del conducente</t>
        </is>
      </c>
      <c r="J172" s="73" t="n"/>
      <c r="K172" s="73" t="n"/>
      <c r="L172" s="73" t="n"/>
      <c r="M172" s="73" t="n"/>
      <c r="N172" s="57">
        <f>IF($A172="","",IFERROR(VALUE($K172)/VALUE($L172),IFERROR(VALUE($J172),0)))</f>
        <v/>
      </c>
      <c r="O172" s="57">
        <f>IF($A172="",0,IF(OR($S172&lt;&gt;1,COUNTA($J172:$M172)=0),0,IF(SUMPRODUCT(MAX(($C$5:$C$2484=$C172)*($D$5:$D$2484=$D172)*($S$5:$S$2484=1)*IFERROR($N$5:$N$2484*1,0)))&gt;0,ROUND($H172*($N172/SUMPRODUCT(MAX(($C$5:$C$2484=$C172)*($D$5:$D$2484=$D172)*($S$5:$S$2484=1)*IFERROR($N$5:$N$2484*1,0)))),4),0)))</f>
        <v/>
      </c>
      <c r="P172" s="48" t="inlineStr">
        <is>
          <t>Autobus attrezzati con chiamata di emergenza / Autobus totali in offerta, incluse scorte</t>
        </is>
      </c>
      <c r="Q172" s="57">
        <f>IF($A172="","",$A172&amp;"|"&amp;$C172)</f>
        <v/>
      </c>
      <c r="R172" s="57">
        <f>IF($A172="","",$A172&amp;"|"&amp;$C172&amp;"|"&amp;$D172)</f>
        <v/>
      </c>
      <c r="S172" s="57">
        <f>IF($A172="","",IFERROR(INDEX(Offerte!$D$2:$D$81,MATCH($Q172,Offerte!$L$2:$L$81,0)),0))</f>
        <v/>
      </c>
      <c r="T172" s="57">
        <f>IF($A172="","",IFERROR(INDEX(Offerte!$G$2:$G$81,MATCH($Q172,Offerte!$L$2:$L$81,0)),"NO"))</f>
        <v/>
      </c>
    </row>
    <row r="173">
      <c r="A173" s="48">
        <f>IF(Offerte!$A7="","",Offerte!$A7)</f>
        <v/>
      </c>
      <c r="B173" s="48">
        <f>IF(Offerte!$A7="","",Offerte!$B7)</f>
        <v/>
      </c>
      <c r="C173" s="48">
        <f>IF(Offerte!$A7="","",Offerte!$C7)</f>
        <v/>
      </c>
      <c r="D173" s="48" t="inlineStr">
        <is>
          <t>C.3.1</t>
        </is>
      </c>
      <c r="E173" s="48" t="inlineStr">
        <is>
          <t>C</t>
        </is>
      </c>
      <c r="F173" s="48" t="inlineStr">
        <is>
          <t>Q</t>
        </is>
      </c>
      <c r="G173" s="48" t="inlineStr">
        <is>
          <t>higher</t>
        </is>
      </c>
      <c r="H173" s="48" t="n">
        <v>2</v>
      </c>
      <c r="I173" s="48" t="inlineStr">
        <is>
          <t>Tasso di copertura del servizio con dispositivi di informazione dinamica a bordo mezzo</t>
        </is>
      </c>
      <c r="J173" s="73" t="n"/>
      <c r="K173" s="73" t="n"/>
      <c r="L173" s="73" t="n"/>
      <c r="M173" s="73" t="n"/>
      <c r="N173" s="57">
        <f>IF($A173="","",IFERROR(VALUE($K173)/VALUE($L173),IFERROR(VALUE($J173),0)))</f>
        <v/>
      </c>
      <c r="O173" s="57">
        <f>IF($A173="",0,IF(OR($S173&lt;&gt;1,COUNTA($J173:$M173)=0),0,IF(SUMPRODUCT(MAX(($C$5:$C$2484=$C173)*($D$5:$D$2484=$D173)*($S$5:$S$2484=1)*IFERROR($N$5:$N$2484*1,0)))&gt;0,ROUND($H173*($N173/SUMPRODUCT(MAX(($C$5:$C$2484=$C173)*($D$5:$D$2484=$D173)*($S$5:$S$2484=1)*IFERROR($N$5:$N$2484*1,0)))),4),0)))</f>
        <v/>
      </c>
      <c r="P173" s="48" t="inlineStr">
        <is>
          <t>Autobus con monitor e indicatori vocali / Autobus totali in offerta, incluse scorte</t>
        </is>
      </c>
      <c r="Q173" s="57">
        <f>IF($A173="","",$A173&amp;"|"&amp;$C173)</f>
        <v/>
      </c>
      <c r="R173" s="57">
        <f>IF($A173="","",$A173&amp;"|"&amp;$C173&amp;"|"&amp;$D173)</f>
        <v/>
      </c>
      <c r="S173" s="57">
        <f>IF($A173="","",IFERROR(INDEX(Offerte!$D$2:$D$81,MATCH($Q173,Offerte!$L$2:$L$81,0)),0))</f>
        <v/>
      </c>
      <c r="T173" s="57">
        <f>IF($A173="","",IFERROR(INDEX(Offerte!$G$2:$G$81,MATCH($Q173,Offerte!$L$2:$L$81,0)),"NO"))</f>
        <v/>
      </c>
    </row>
    <row r="174">
      <c r="A174" s="48">
        <f>IF(Offerte!$A7="","",Offerte!$A7)</f>
        <v/>
      </c>
      <c r="B174" s="48">
        <f>IF(Offerte!$A7="","",Offerte!$B7)</f>
        <v/>
      </c>
      <c r="C174" s="48">
        <f>IF(Offerte!$A7="","",Offerte!$C7)</f>
        <v/>
      </c>
      <c r="D174" s="48" t="inlineStr">
        <is>
          <t>C.3.2</t>
        </is>
      </c>
      <c r="E174" s="48" t="inlineStr">
        <is>
          <t>C</t>
        </is>
      </c>
      <c r="F174" s="48" t="inlineStr">
        <is>
          <t>T</t>
        </is>
      </c>
      <c r="G174" s="48" t="inlineStr">
        <is>
          <t>tabular</t>
        </is>
      </c>
      <c r="H174" s="48" t="n">
        <v>2</v>
      </c>
      <c r="I174" s="48" t="inlineStr">
        <is>
          <t>Informazioni a bordo su coincidenze ai nodi</t>
        </is>
      </c>
      <c r="J174" s="73" t="n"/>
      <c r="K174" s="73" t="n"/>
      <c r="L174" s="73" t="n"/>
      <c r="M174" s="73" t="n"/>
      <c r="N174" s="57">
        <f>IF($A174="","",IF(IFERROR(VALUE($M174),0)=1,1,0))</f>
        <v/>
      </c>
      <c r="O174" s="57">
        <f>IF($A174="",0,IF(OR($S174&lt;&gt;1,COUNTA($J174:$M174)=0),0,IF(AND($N174=1,IFERROR(SUMIFS($N$5:$N$2484,$Q$5:$Q$2484,$Q174,$D$5:$D$2484,"C.3.1"),0)&gt;=0.5),$H174,0)))</f>
        <v/>
      </c>
      <c r="P174" s="48" t="inlineStr">
        <is>
          <t>Dipende da C.3.1 &gt;= 0.5</t>
        </is>
      </c>
      <c r="Q174" s="57">
        <f>IF($A174="","",$A174&amp;"|"&amp;$C174)</f>
        <v/>
      </c>
      <c r="R174" s="57">
        <f>IF($A174="","",$A174&amp;"|"&amp;$C174&amp;"|"&amp;$D174)</f>
        <v/>
      </c>
      <c r="S174" s="57">
        <f>IF($A174="","",IFERROR(INDEX(Offerte!$D$2:$D$81,MATCH($Q174,Offerte!$L$2:$L$81,0)),0))</f>
        <v/>
      </c>
      <c r="T174" s="57">
        <f>IF($A174="","",IFERROR(INDEX(Offerte!$G$2:$G$81,MATCH($Q174,Offerte!$L$2:$L$81,0)),"NO"))</f>
        <v/>
      </c>
    </row>
    <row r="175">
      <c r="A175" s="48">
        <f>IF(Offerte!$A7="","",Offerte!$A7)</f>
        <v/>
      </c>
      <c r="B175" s="48">
        <f>IF(Offerte!$A7="","",Offerte!$B7)</f>
        <v/>
      </c>
      <c r="C175" s="48">
        <f>IF(Offerte!$A7="","",Offerte!$C7)</f>
        <v/>
      </c>
      <c r="D175" s="48" t="inlineStr">
        <is>
          <t>D.1.1</t>
        </is>
      </c>
      <c r="E175" s="48" t="inlineStr">
        <is>
          <t>D</t>
        </is>
      </c>
      <c r="F175" s="48" t="inlineStr">
        <is>
          <t>Q</t>
        </is>
      </c>
      <c r="G175" s="48" t="inlineStr">
        <is>
          <t>higher</t>
        </is>
      </c>
      <c r="H175" s="48" t="n">
        <v>3</v>
      </c>
      <c r="I175" s="48" t="inlineStr">
        <is>
          <t>Installazione di pensiline</t>
        </is>
      </c>
      <c r="J175" s="73" t="n"/>
      <c r="K175" s="73" t="n"/>
      <c r="L175" s="73" t="n"/>
      <c r="M175" s="73" t="n"/>
      <c r="N175" s="57">
        <f>IF($A175="","",IFERROR(VALUE($J175),0))</f>
        <v/>
      </c>
      <c r="O175" s="57">
        <f>IF($A175="",0,IF(OR($S175&lt;&gt;1,COUNTA($J175:$M175)=0),0,IF(SUMPRODUCT(MAX(($C$5:$C$2484=$C175)*($D$5:$D$2484=$D175)*($S$5:$S$2484=1)*IFERROR($N$5:$N$2484*1,0)))&gt;0,ROUND($H175*($N175/SUMPRODUCT(MAX(($C$5:$C$2484=$C175)*($D$5:$D$2484=$D175)*($S$5:$S$2484=1)*IFERROR($N$5:$N$2484*1,0)))),4),0)))</f>
        <v/>
      </c>
      <c r="P175" s="48" t="inlineStr">
        <is>
          <t>fermate</t>
        </is>
      </c>
      <c r="Q175" s="57">
        <f>IF($A175="","",$A175&amp;"|"&amp;$C175)</f>
        <v/>
      </c>
      <c r="R175" s="57">
        <f>IF($A175="","",$A175&amp;"|"&amp;$C175&amp;"|"&amp;$D175)</f>
        <v/>
      </c>
      <c r="S175" s="57">
        <f>IF($A175="","",IFERROR(INDEX(Offerte!$D$2:$D$81,MATCH($Q175,Offerte!$L$2:$L$81,0)),0))</f>
        <v/>
      </c>
      <c r="T175" s="57">
        <f>IF($A175="","",IFERROR(INDEX(Offerte!$G$2:$G$81,MATCH($Q175,Offerte!$L$2:$L$81,0)),"NO"))</f>
        <v/>
      </c>
    </row>
    <row r="176">
      <c r="A176" s="48">
        <f>IF(Offerte!$A7="","",Offerte!$A7)</f>
        <v/>
      </c>
      <c r="B176" s="48">
        <f>IF(Offerte!$A7="","",Offerte!$B7)</f>
        <v/>
      </c>
      <c r="C176" s="48">
        <f>IF(Offerte!$A7="","",Offerte!$C7)</f>
        <v/>
      </c>
      <c r="D176" s="48" t="inlineStr">
        <is>
          <t>D.1.2</t>
        </is>
      </c>
      <c r="E176" s="48" t="inlineStr">
        <is>
          <t>D</t>
        </is>
      </c>
      <c r="F176" s="48" t="inlineStr">
        <is>
          <t>Q</t>
        </is>
      </c>
      <c r="G176" s="48" t="inlineStr">
        <is>
          <t>higher</t>
        </is>
      </c>
      <c r="H176" s="48" t="n">
        <v>3</v>
      </c>
      <c r="I176" s="48" t="inlineStr">
        <is>
          <t>Installazione di paline di fermata conformi alla DGR 581/2023</t>
        </is>
      </c>
      <c r="J176" s="73" t="n"/>
      <c r="K176" s="73" t="n"/>
      <c r="L176" s="73" t="n"/>
      <c r="M176" s="73" t="n"/>
      <c r="N176" s="57">
        <f>IF($A176="","",IFERROR(VALUE($J176),0))</f>
        <v/>
      </c>
      <c r="O176" s="57">
        <f>IF($A176="",0,IF(OR($S176&lt;&gt;1,COUNTA($J176:$M176)=0),0,IF(SUMPRODUCT(MAX(($C$5:$C$2484=$C176)*($D$5:$D$2484=$D176)*($S$5:$S$2484=1)*IFERROR($N$5:$N$2484*1,0)))&gt;0,ROUND($H176*($N176/SUMPRODUCT(MAX(($C$5:$C$2484=$C176)*($D$5:$D$2484=$D176)*($S$5:$S$2484=1)*IFERROR($N$5:$N$2484*1,0)))),4),0)))</f>
        <v/>
      </c>
      <c r="P176" s="48" t="inlineStr">
        <is>
          <t>fermate</t>
        </is>
      </c>
      <c r="Q176" s="57">
        <f>IF($A176="","",$A176&amp;"|"&amp;$C176)</f>
        <v/>
      </c>
      <c r="R176" s="57">
        <f>IF($A176="","",$A176&amp;"|"&amp;$C176&amp;"|"&amp;$D176)</f>
        <v/>
      </c>
      <c r="S176" s="57">
        <f>IF($A176="","",IFERROR(INDEX(Offerte!$D$2:$D$81,MATCH($Q176,Offerte!$L$2:$L$81,0)),0))</f>
        <v/>
      </c>
      <c r="T176" s="57">
        <f>IF($A176="","",IFERROR(INDEX(Offerte!$G$2:$G$81,MATCH($Q176,Offerte!$L$2:$L$81,0)),"NO"))</f>
        <v/>
      </c>
    </row>
    <row r="177">
      <c r="A177" s="48">
        <f>IF(Offerte!$A7="","",Offerte!$A7)</f>
        <v/>
      </c>
      <c r="B177" s="48">
        <f>IF(Offerte!$A7="","",Offerte!$B7)</f>
        <v/>
      </c>
      <c r="C177" s="48">
        <f>IF(Offerte!$A7="","",Offerte!$C7)</f>
        <v/>
      </c>
      <c r="D177" s="48" t="inlineStr">
        <is>
          <t>D.1.3</t>
        </is>
      </c>
      <c r="E177" s="48" t="inlineStr">
        <is>
          <t>D</t>
        </is>
      </c>
      <c r="F177" s="48" t="inlineStr">
        <is>
          <t>Q</t>
        </is>
      </c>
      <c r="G177" s="48" t="inlineStr">
        <is>
          <t>higher</t>
        </is>
      </c>
      <c r="H177" s="48" t="n">
        <v>2</v>
      </c>
      <c r="I177" s="48" t="inlineStr">
        <is>
          <t>Display informativi connessi alle fermate</t>
        </is>
      </c>
      <c r="J177" s="73" t="n"/>
      <c r="K177" s="73" t="n"/>
      <c r="L177" s="73" t="n"/>
      <c r="M177" s="73" t="n"/>
      <c r="N177" s="57">
        <f>IF($A177="","",IFERROR(VALUE($J177),0))</f>
        <v/>
      </c>
      <c r="O177" s="57">
        <f>IF($A177="",0,IF(OR($S177&lt;&gt;1,COUNTA($J177:$M177)=0),0,IF(SUMPRODUCT(MAX(($C$5:$C$2484=$C177)*($D$5:$D$2484=$D177)*($S$5:$S$2484=1)*IFERROR($N$5:$N$2484*1,0)))&gt;0,ROUND($H177*($N177/SUMPRODUCT(MAX(($C$5:$C$2484=$C177)*($D$5:$D$2484=$D177)*($S$5:$S$2484=1)*IFERROR($N$5:$N$2484*1,0)))),4),0)))</f>
        <v/>
      </c>
      <c r="P177" s="48" t="inlineStr">
        <is>
          <t>fermate</t>
        </is>
      </c>
      <c r="Q177" s="57">
        <f>IF($A177="","",$A177&amp;"|"&amp;$C177)</f>
        <v/>
      </c>
      <c r="R177" s="57">
        <f>IF($A177="","",$A177&amp;"|"&amp;$C177&amp;"|"&amp;$D177)</f>
        <v/>
      </c>
      <c r="S177" s="57">
        <f>IF($A177="","",IFERROR(INDEX(Offerte!$D$2:$D$81,MATCH($Q177,Offerte!$L$2:$L$81,0)),0))</f>
        <v/>
      </c>
      <c r="T177" s="57">
        <f>IF($A177="","",IFERROR(INDEX(Offerte!$G$2:$G$81,MATCH($Q177,Offerte!$L$2:$L$81,0)),"NO"))</f>
        <v/>
      </c>
    </row>
    <row r="178">
      <c r="A178" s="48">
        <f>IF(Offerte!$A7="","",Offerte!$A7)</f>
        <v/>
      </c>
      <c r="B178" s="48">
        <f>IF(Offerte!$A7="","",Offerte!$B7)</f>
        <v/>
      </c>
      <c r="C178" s="48">
        <f>IF(Offerte!$A7="","",Offerte!$C7)</f>
        <v/>
      </c>
      <c r="D178" s="48" t="inlineStr">
        <is>
          <t>D.2.1</t>
        </is>
      </c>
      <c r="E178" s="48" t="inlineStr">
        <is>
          <t>D</t>
        </is>
      </c>
      <c r="F178" s="48" t="inlineStr">
        <is>
          <t>Q</t>
        </is>
      </c>
      <c r="G178" s="48" t="inlineStr">
        <is>
          <t>higher</t>
        </is>
      </c>
      <c r="H178" s="48" t="n">
        <v>2</v>
      </c>
      <c r="I178" s="48" t="inlineStr">
        <is>
          <t>Segnali tattili Loges-Vet-Evolution</t>
        </is>
      </c>
      <c r="J178" s="73" t="n"/>
      <c r="K178" s="73" t="n"/>
      <c r="L178" s="73" t="n"/>
      <c r="M178" s="73" t="n"/>
      <c r="N178" s="57">
        <f>IF($A178="","",IFERROR(VALUE($J178),0))</f>
        <v/>
      </c>
      <c r="O178" s="57">
        <f>IF($A178="",0,IF(OR($S178&lt;&gt;1,COUNTA($J178:$M178)=0),0,IF(SUMPRODUCT(MAX(($C$5:$C$2484=$C178)*($D$5:$D$2484=$D178)*($S$5:$S$2484=1)*IFERROR($N$5:$N$2484*1,0)))&gt;0,ROUND($H178*($N178/SUMPRODUCT(MAX(($C$5:$C$2484=$C178)*($D$5:$D$2484=$D178)*($S$5:$S$2484=1)*IFERROR($N$5:$N$2484*1,0)))),4),0)))</f>
        <v/>
      </c>
      <c r="P178" s="48" t="inlineStr">
        <is>
          <t>fermate</t>
        </is>
      </c>
      <c r="Q178" s="57">
        <f>IF($A178="","",$A178&amp;"|"&amp;$C178)</f>
        <v/>
      </c>
      <c r="R178" s="57">
        <f>IF($A178="","",$A178&amp;"|"&amp;$C178&amp;"|"&amp;$D178)</f>
        <v/>
      </c>
      <c r="S178" s="57">
        <f>IF($A178="","",IFERROR(INDEX(Offerte!$D$2:$D$81,MATCH($Q178,Offerte!$L$2:$L$81,0)),0))</f>
        <v/>
      </c>
      <c r="T178" s="57">
        <f>IF($A178="","",IFERROR(INDEX(Offerte!$G$2:$G$81,MATCH($Q178,Offerte!$L$2:$L$81,0)),"NO"))</f>
        <v/>
      </c>
    </row>
    <row r="179">
      <c r="A179" s="48">
        <f>IF(Offerte!$A7="","",Offerte!$A7)</f>
        <v/>
      </c>
      <c r="B179" s="48">
        <f>IF(Offerte!$A7="","",Offerte!$B7)</f>
        <v/>
      </c>
      <c r="C179" s="48">
        <f>IF(Offerte!$A7="","",Offerte!$C7)</f>
        <v/>
      </c>
      <c r="D179" s="48" t="inlineStr">
        <is>
          <t>E.1.1</t>
        </is>
      </c>
      <c r="E179" s="48" t="inlineStr">
        <is>
          <t>E</t>
        </is>
      </c>
      <c r="F179" s="48" t="inlineStr">
        <is>
          <t>T</t>
        </is>
      </c>
      <c r="G179" s="48" t="inlineStr">
        <is>
          <t>tabular</t>
        </is>
      </c>
      <c r="H179" s="48" t="n">
        <v>2</v>
      </c>
      <c r="I179" s="48" t="inlineStr">
        <is>
          <t>Mobile app con travel planner PRM</t>
        </is>
      </c>
      <c r="J179" s="73" t="n"/>
      <c r="K179" s="73" t="n"/>
      <c r="L179" s="73" t="n"/>
      <c r="M179" s="73" t="n"/>
      <c r="N179" s="57">
        <f>IF($A179="","",IF(IFERROR(VALUE($M179),0)=1,1,0))</f>
        <v/>
      </c>
      <c r="O179" s="57">
        <f>IF($A179="",0,IF(OR($S179&lt;&gt;1,COUNTA($J179:$M179)=0),0,IF($N179=1,$H179,0)))</f>
        <v/>
      </c>
      <c r="P179" s="48" t="inlineStr">
        <is>
          <t>sì/no</t>
        </is>
      </c>
      <c r="Q179" s="57">
        <f>IF($A179="","",$A179&amp;"|"&amp;$C179)</f>
        <v/>
      </c>
      <c r="R179" s="57">
        <f>IF($A179="","",$A179&amp;"|"&amp;$C179&amp;"|"&amp;$D179)</f>
        <v/>
      </c>
      <c r="S179" s="57">
        <f>IF($A179="","",IFERROR(INDEX(Offerte!$D$2:$D$81,MATCH($Q179,Offerte!$L$2:$L$81,0)),0))</f>
        <v/>
      </c>
      <c r="T179" s="57">
        <f>IF($A179="","",IFERROR(INDEX(Offerte!$G$2:$G$81,MATCH($Q179,Offerte!$L$2:$L$81,0)),"NO"))</f>
        <v/>
      </c>
    </row>
    <row r="180">
      <c r="A180" s="48">
        <f>IF(Offerte!$A7="","",Offerte!$A7)</f>
        <v/>
      </c>
      <c r="B180" s="48">
        <f>IF(Offerte!$A7="","",Offerte!$B7)</f>
        <v/>
      </c>
      <c r="C180" s="48">
        <f>IF(Offerte!$A7="","",Offerte!$C7)</f>
        <v/>
      </c>
      <c r="D180" s="48" t="inlineStr">
        <is>
          <t>E.2.1</t>
        </is>
      </c>
      <c r="E180" s="48" t="inlineStr">
        <is>
          <t>E</t>
        </is>
      </c>
      <c r="F180" s="48" t="inlineStr">
        <is>
          <t>D</t>
        </is>
      </c>
      <c r="G180" s="48" t="inlineStr">
        <is>
          <t>discretionary</t>
        </is>
      </c>
      <c r="H180" s="48" t="n">
        <v>2</v>
      </c>
      <c r="I180" s="48" t="inlineStr">
        <is>
          <t>Altre azioni informative e rapporti con gli utenti</t>
        </is>
      </c>
      <c r="J180" s="73" t="n"/>
      <c r="K180" s="73" t="n"/>
      <c r="L180" s="73" t="n"/>
      <c r="M180" s="73" t="n"/>
      <c r="N180" s="57">
        <f>IF($A180="","",MAX(0,MIN(1,IFERROR(VALUE($M180),0))))</f>
        <v/>
      </c>
      <c r="O180" s="57">
        <f>IF($A180="",0,IF(OR($S180&lt;&gt;1,COUNTA($J180:$M180)=0),0,IF(SUMPRODUCT(MAX(($C$5:$C$2484=$C180)*($D$5:$D$2484=$D180)*($S$5:$S$2484=1)*IFERROR($N$5:$N$2484*1,0)))&gt;0,ROUND($H180*($N180/SUMPRODUCT(MAX(($C$5:$C$2484=$C180)*($D$5:$D$2484=$D180)*($S$5:$S$2484=1)*IFERROR($N$5:$N$2484*1,0)))),4),0)))</f>
        <v/>
      </c>
      <c r="P180" s="48" t="inlineStr">
        <is>
          <t>coeff.</t>
        </is>
      </c>
      <c r="Q180" s="57">
        <f>IF($A180="","",$A180&amp;"|"&amp;$C180)</f>
        <v/>
      </c>
      <c r="R180" s="57">
        <f>IF($A180="","",$A180&amp;"|"&amp;$C180&amp;"|"&amp;$D180)</f>
        <v/>
      </c>
      <c r="S180" s="57">
        <f>IF($A180="","",IFERROR(INDEX(Offerte!$D$2:$D$81,MATCH($Q180,Offerte!$L$2:$L$81,0)),0))</f>
        <v/>
      </c>
      <c r="T180" s="57">
        <f>IF($A180="","",IFERROR(INDEX(Offerte!$G$2:$G$81,MATCH($Q180,Offerte!$L$2:$L$81,0)),"NO"))</f>
        <v/>
      </c>
    </row>
    <row r="181">
      <c r="A181" s="48">
        <f>IF(Offerte!$A7="","",Offerte!$A7)</f>
        <v/>
      </c>
      <c r="B181" s="48">
        <f>IF(Offerte!$A7="","",Offerte!$B7)</f>
        <v/>
      </c>
      <c r="C181" s="48">
        <f>IF(Offerte!$A7="","",Offerte!$C7)</f>
        <v/>
      </c>
      <c r="D181" s="48" t="inlineStr">
        <is>
          <t>F.1.1</t>
        </is>
      </c>
      <c r="E181" s="48" t="inlineStr">
        <is>
          <t>F</t>
        </is>
      </c>
      <c r="F181" s="48" t="inlineStr">
        <is>
          <t>Q</t>
        </is>
      </c>
      <c r="G181" s="48" t="inlineStr">
        <is>
          <t>lower</t>
        </is>
      </c>
      <c r="H181" s="48" t="n">
        <v>7</v>
      </c>
      <c r="I181" s="48" t="inlineStr">
        <is>
          <t>Performance ambientali del parco mezzi adibito al servizio - I_CEA</t>
        </is>
      </c>
      <c r="J181" s="73" t="n"/>
      <c r="K181" s="73" t="n"/>
      <c r="L181" s="73" t="n"/>
      <c r="M181" s="73" t="n"/>
      <c r="N181" s="57">
        <f>IF($A181="","",IFERROR(VALUE($J181),0))</f>
        <v/>
      </c>
      <c r="O181" s="57">
        <f>IF($A181="",0,IF(OR($S181&lt;&gt;1,COUNTA($J181:$M181)=0),0,IF(AND(IFERROR(AGGREGATE(15,6,$N$5:$N$2484/(($C$5:$C$2484=$C181)*($D$5:$D$2484=$D181)*($S$5:$S$2484=1)*($N$5:$N$2484&gt;0)),1),0)&gt;0,$N181&gt;0),ROUND($H181*(IFERROR(AGGREGATE(15,6,$N$5:$N$2484/(($C$5:$C$2484=$C181)*($D$5:$D$2484=$D181)*($S$5:$S$2484=1)*($N$5:$N$2484&gt;0)),1),0)/$N181),4),0)))</f>
        <v/>
      </c>
      <c r="P181" s="48" t="inlineStr">
        <is>
          <t>indice</t>
        </is>
      </c>
      <c r="Q181" s="57">
        <f>IF($A181="","",$A181&amp;"|"&amp;$C181)</f>
        <v/>
      </c>
      <c r="R181" s="57">
        <f>IF($A181="","",$A181&amp;"|"&amp;$C181&amp;"|"&amp;$D181)</f>
        <v/>
      </c>
      <c r="S181" s="57">
        <f>IF($A181="","",IFERROR(INDEX(Offerte!$D$2:$D$81,MATCH($Q181,Offerte!$L$2:$L$81,0)),0))</f>
        <v/>
      </c>
      <c r="T181" s="57">
        <f>IF($A181="","",IFERROR(INDEX(Offerte!$G$2:$G$81,MATCH($Q181,Offerte!$L$2:$L$81,0)),"NO"))</f>
        <v/>
      </c>
    </row>
    <row r="182">
      <c r="A182" s="48">
        <f>IF(Offerte!$A7="","",Offerte!$A7)</f>
        <v/>
      </c>
      <c r="B182" s="48">
        <f>IF(Offerte!$A7="","",Offerte!$B7)</f>
        <v/>
      </c>
      <c r="C182" s="48">
        <f>IF(Offerte!$A7="","",Offerte!$C7)</f>
        <v/>
      </c>
      <c r="D182" s="48" t="inlineStr">
        <is>
          <t>F.2.1</t>
        </is>
      </c>
      <c r="E182" s="48" t="inlineStr">
        <is>
          <t>F</t>
        </is>
      </c>
      <c r="F182" s="48" t="inlineStr">
        <is>
          <t>Q</t>
        </is>
      </c>
      <c r="G182" s="48" t="inlineStr">
        <is>
          <t>higher</t>
        </is>
      </c>
      <c r="H182" s="48" t="n">
        <v>2</v>
      </c>
      <c r="I182" s="48" t="inlineStr">
        <is>
          <t>Tasso di copertura del servizio con dispositivi ECO-DRIVER</t>
        </is>
      </c>
      <c r="J182" s="73" t="n"/>
      <c r="K182" s="73" t="n"/>
      <c r="L182" s="73" t="n"/>
      <c r="M182" s="73" t="n"/>
      <c r="N182" s="57">
        <f>IF($A182="","",IFERROR(VALUE($K182)/VALUE($L182),IFERROR(VALUE($J182),0)))</f>
        <v/>
      </c>
      <c r="O182" s="57">
        <f>IF($A182="",0,IF(OR($S182&lt;&gt;1,COUNTA($J182:$M182)=0),0,IF(SUMPRODUCT(MAX(($C$5:$C$2484=$C182)*($D$5:$D$2484=$D182)*($S$5:$S$2484=1)*IFERROR($N$5:$N$2484*1,0)))&gt;0,ROUND($H182*($N182/SUMPRODUCT(MAX(($C$5:$C$2484=$C182)*($D$5:$D$2484=$D182)*($S$5:$S$2484=1)*IFERROR($N$5:$N$2484*1,0)))),4),0)))</f>
        <v/>
      </c>
      <c r="P182" s="48" t="inlineStr">
        <is>
          <t>Autobus attrezzati con dispositivi ECO-DRIVER / Autobus totali in offerta, incluse scorte</t>
        </is>
      </c>
      <c r="Q182" s="57">
        <f>IF($A182="","",$A182&amp;"|"&amp;$C182)</f>
        <v/>
      </c>
      <c r="R182" s="57">
        <f>IF($A182="","",$A182&amp;"|"&amp;$C182&amp;"|"&amp;$D182)</f>
        <v/>
      </c>
      <c r="S182" s="57">
        <f>IF($A182="","",IFERROR(INDEX(Offerte!$D$2:$D$81,MATCH($Q182,Offerte!$L$2:$L$81,0)),0))</f>
        <v/>
      </c>
      <c r="T182" s="57">
        <f>IF($A182="","",IFERROR(INDEX(Offerte!$G$2:$G$81,MATCH($Q182,Offerte!$L$2:$L$81,0)),"NO"))</f>
        <v/>
      </c>
    </row>
    <row r="183">
      <c r="A183" s="48">
        <f>IF(Offerte!$A7="","",Offerte!$A7)</f>
        <v/>
      </c>
      <c r="B183" s="48">
        <f>IF(Offerte!$A7="","",Offerte!$B7)</f>
        <v/>
      </c>
      <c r="C183" s="48">
        <f>IF(Offerte!$A7="","",Offerte!$C7)</f>
        <v/>
      </c>
      <c r="D183" s="48" t="inlineStr">
        <is>
          <t>F.3.1</t>
        </is>
      </c>
      <c r="E183" s="48" t="inlineStr">
        <is>
          <t>F</t>
        </is>
      </c>
      <c r="F183" s="48" t="inlineStr">
        <is>
          <t>Q</t>
        </is>
      </c>
      <c r="G183" s="48" t="inlineStr">
        <is>
          <t>higher</t>
        </is>
      </c>
      <c r="H183" s="48" t="n">
        <v>2</v>
      </c>
      <c r="I183" s="48" t="inlineStr">
        <is>
          <t>Autoproduzione consumi elettrici per trazione</t>
        </is>
      </c>
      <c r="J183" s="73" t="n"/>
      <c r="K183" s="73" t="n"/>
      <c r="L183" s="73" t="n"/>
      <c r="M183" s="73" t="n"/>
      <c r="N183" s="57">
        <f>IF($A183="","",IFERROR(VALUE($J183),0))</f>
        <v/>
      </c>
      <c r="O183" s="57">
        <f>IF($A183="",0,IF(OR($S183&lt;&gt;1,COUNTA($J183:$M183)=0),0,IF(SUMPRODUCT(MAX(($C$5:$C$2484=$C183)*($D$5:$D$2484=$D183)*($S$5:$S$2484=1)*IFERROR($N$5:$N$2484*1,0)))&gt;0,ROUND($H183*($N183/SUMPRODUCT(MAX(($C$5:$C$2484=$C183)*($D$5:$D$2484=$D183)*($S$5:$S$2484=1)*IFERROR($N$5:$N$2484*1,0)))),4),0)))</f>
        <v/>
      </c>
      <c r="P183" s="48" t="inlineStr">
        <is>
          <t>kWh/anno</t>
        </is>
      </c>
      <c r="Q183" s="57">
        <f>IF($A183="","",$A183&amp;"|"&amp;$C183)</f>
        <v/>
      </c>
      <c r="R183" s="57">
        <f>IF($A183="","",$A183&amp;"|"&amp;$C183&amp;"|"&amp;$D183)</f>
        <v/>
      </c>
      <c r="S183" s="57">
        <f>IF($A183="","",IFERROR(INDEX(Offerte!$D$2:$D$81,MATCH($Q183,Offerte!$L$2:$L$81,0)),0))</f>
        <v/>
      </c>
      <c r="T183" s="57">
        <f>IF($A183="","",IFERROR(INDEX(Offerte!$G$2:$G$81,MATCH($Q183,Offerte!$L$2:$L$81,0)),"NO"))</f>
        <v/>
      </c>
    </row>
    <row r="184">
      <c r="A184" s="48">
        <f>IF(Offerte!$A7="","",Offerte!$A7)</f>
        <v/>
      </c>
      <c r="B184" s="48">
        <f>IF(Offerte!$A7="","",Offerte!$B7)</f>
        <v/>
      </c>
      <c r="C184" s="48">
        <f>IF(Offerte!$A7="","",Offerte!$C7)</f>
        <v/>
      </c>
      <c r="D184" s="48" t="inlineStr">
        <is>
          <t>F.4.1</t>
        </is>
      </c>
      <c r="E184" s="48" t="inlineStr">
        <is>
          <t>F</t>
        </is>
      </c>
      <c r="F184" s="48" t="inlineStr">
        <is>
          <t>Q</t>
        </is>
      </c>
      <c r="G184" s="48" t="inlineStr">
        <is>
          <t>soil</t>
        </is>
      </c>
      <c r="H184" s="48" t="n">
        <v>2</v>
      </c>
      <c r="I184" s="48" t="inlineStr">
        <is>
          <t>Indice di consumo di suolo</t>
        </is>
      </c>
      <c r="J184" s="73" t="n"/>
      <c r="K184" s="73" t="n"/>
      <c r="L184" s="73" t="n"/>
      <c r="M184" s="73" t="n"/>
      <c r="N184" s="57">
        <f>IF($A184="","",IFERROR(VALUE($J184),0))</f>
        <v/>
      </c>
      <c r="O184" s="57">
        <f>IF($A184="",0,IF(OR($S184&lt;&gt;1,COUNTA($J184:$M184)=0),0,IF($N184&lt;=0,$H184,IF(SUMPRODUCT(MAX(($C$5:$C$2484=$C184)*($D$5:$D$2484=$D184)*($S$5:$S$2484=1)*IFERROR($N$5:$N$2484*1,0)))&gt;0,ROUND($H184*((SUMPRODUCT(MAX(($C$5:$C$2484=$C184)*($D$5:$D$2484=$D184)*($S$5:$S$2484=1)*IFERROR($N$5:$N$2484*1,0)))-$N184)/SUMPRODUCT(MAX(($C$5:$C$2484=$C184)*($D$5:$D$2484=$D184)*($S$5:$S$2484=1)*IFERROR($N$5:$N$2484*1,0)))),4),0))))</f>
        <v/>
      </c>
      <c r="P184" s="48" t="inlineStr">
        <is>
          <t>m2</t>
        </is>
      </c>
      <c r="Q184" s="57">
        <f>IF($A184="","",$A184&amp;"|"&amp;$C184)</f>
        <v/>
      </c>
      <c r="R184" s="57">
        <f>IF($A184="","",$A184&amp;"|"&amp;$C184&amp;"|"&amp;$D184)</f>
        <v/>
      </c>
      <c r="S184" s="57">
        <f>IF($A184="","",IFERROR(INDEX(Offerte!$D$2:$D$81,MATCH($Q184,Offerte!$L$2:$L$81,0)),0))</f>
        <v/>
      </c>
      <c r="T184" s="57">
        <f>IF($A184="","",IFERROR(INDEX(Offerte!$G$2:$G$81,MATCH($Q184,Offerte!$L$2:$L$81,0)),"NO"))</f>
        <v/>
      </c>
    </row>
    <row r="185">
      <c r="A185" s="48">
        <f>IF(Offerte!$A7="","",Offerte!$A7)</f>
        <v/>
      </c>
      <c r="B185" s="48">
        <f>IF(Offerte!$A7="","",Offerte!$B7)</f>
        <v/>
      </c>
      <c r="C185" s="48">
        <f>IF(Offerte!$A7="","",Offerte!$C7)</f>
        <v/>
      </c>
      <c r="D185" s="48" t="inlineStr">
        <is>
          <t>F.5.1</t>
        </is>
      </c>
      <c r="E185" s="48" t="inlineStr">
        <is>
          <t>F</t>
        </is>
      </c>
      <c r="F185" s="48" t="inlineStr">
        <is>
          <t>T</t>
        </is>
      </c>
      <c r="G185" s="48" t="inlineStr">
        <is>
          <t>tabular</t>
        </is>
      </c>
      <c r="H185" s="48" t="n">
        <v>1</v>
      </c>
      <c r="I185" s="48" t="inlineStr">
        <is>
          <t>Rendicontazione di sostenibilità ambientale</t>
        </is>
      </c>
      <c r="J185" s="73" t="n"/>
      <c r="K185" s="73" t="n"/>
      <c r="L185" s="73" t="n"/>
      <c r="M185" s="73" t="n"/>
      <c r="N185" s="57">
        <f>IF($A185="","",IF(IFERROR(VALUE($M185),0)=1,1,0))</f>
        <v/>
      </c>
      <c r="O185" s="57">
        <f>IF($A185="",0,IF(OR($S185&lt;&gt;1,COUNTA($J185:$M185)=0),0,IF($N185=1,$H185,0)))</f>
        <v/>
      </c>
      <c r="P185" s="48" t="inlineStr">
        <is>
          <t>sì/no</t>
        </is>
      </c>
      <c r="Q185" s="57">
        <f>IF($A185="","",$A185&amp;"|"&amp;$C185)</f>
        <v/>
      </c>
      <c r="R185" s="57">
        <f>IF($A185="","",$A185&amp;"|"&amp;$C185&amp;"|"&amp;$D185)</f>
        <v/>
      </c>
      <c r="S185" s="57">
        <f>IF($A185="","",IFERROR(INDEX(Offerte!$D$2:$D$81,MATCH($Q185,Offerte!$L$2:$L$81,0)),0))</f>
        <v/>
      </c>
      <c r="T185" s="57">
        <f>IF($A185="","",IFERROR(INDEX(Offerte!$G$2:$G$81,MATCH($Q185,Offerte!$L$2:$L$81,0)),"NO"))</f>
        <v/>
      </c>
    </row>
    <row r="186">
      <c r="A186" s="48">
        <f>IF(Offerte!$A7="","",Offerte!$A7)</f>
        <v/>
      </c>
      <c r="B186" s="48">
        <f>IF(Offerte!$A7="","",Offerte!$B7)</f>
        <v/>
      </c>
      <c r="C186" s="48">
        <f>IF(Offerte!$A7="","",Offerte!$C7)</f>
        <v/>
      </c>
      <c r="D186" s="48" t="inlineStr">
        <is>
          <t>G.1.1</t>
        </is>
      </c>
      <c r="E186" s="48" t="inlineStr">
        <is>
          <t>G</t>
        </is>
      </c>
      <c r="F186" s="48" t="inlineStr">
        <is>
          <t>D</t>
        </is>
      </c>
      <c r="G186" s="48" t="inlineStr">
        <is>
          <t>discretionary</t>
        </is>
      </c>
      <c r="H186" s="48" t="n">
        <v>2</v>
      </c>
      <c r="I186" s="48" t="inlineStr">
        <is>
          <t>Qualità del progetto di centrale di controllo aziendale</t>
        </is>
      </c>
      <c r="J186" s="73" t="n"/>
      <c r="K186" s="73" t="n"/>
      <c r="L186" s="73" t="n"/>
      <c r="M186" s="73" t="n"/>
      <c r="N186" s="57">
        <f>IF($A186="","",MAX(0,MIN(1,IFERROR(VALUE($M186),0))))</f>
        <v/>
      </c>
      <c r="O186" s="57">
        <f>IF($A186="",0,IF(OR($S186&lt;&gt;1,COUNTA($J186:$M186)=0),0,IF(SUMPRODUCT(MAX(($C$5:$C$2484=$C186)*($D$5:$D$2484=$D186)*($S$5:$S$2484=1)*IFERROR($N$5:$N$2484*1,0)))&gt;0,ROUND($H186*($N186/SUMPRODUCT(MAX(($C$5:$C$2484=$C186)*($D$5:$D$2484=$D186)*($S$5:$S$2484=1)*IFERROR($N$5:$N$2484*1,0)))),4),0)))</f>
        <v/>
      </c>
      <c r="P186" s="48" t="inlineStr">
        <is>
          <t>coeff.</t>
        </is>
      </c>
      <c r="Q186" s="57">
        <f>IF($A186="","",$A186&amp;"|"&amp;$C186)</f>
        <v/>
      </c>
      <c r="R186" s="57">
        <f>IF($A186="","",$A186&amp;"|"&amp;$C186&amp;"|"&amp;$D186)</f>
        <v/>
      </c>
      <c r="S186" s="57">
        <f>IF($A186="","",IFERROR(INDEX(Offerte!$D$2:$D$81,MATCH($Q186,Offerte!$L$2:$L$81,0)),0))</f>
        <v/>
      </c>
      <c r="T186" s="57">
        <f>IF($A186="","",IFERROR(INDEX(Offerte!$G$2:$G$81,MATCH($Q186,Offerte!$L$2:$L$81,0)),"NO"))</f>
        <v/>
      </c>
    </row>
    <row r="187">
      <c r="A187" s="48">
        <f>IF(Offerte!$A7="","",Offerte!$A7)</f>
        <v/>
      </c>
      <c r="B187" s="48">
        <f>IF(Offerte!$A7="","",Offerte!$B7)</f>
        <v/>
      </c>
      <c r="C187" s="48">
        <f>IF(Offerte!$A7="","",Offerte!$C7)</f>
        <v/>
      </c>
      <c r="D187" s="48" t="inlineStr">
        <is>
          <t>G.2.1</t>
        </is>
      </c>
      <c r="E187" s="48" t="inlineStr">
        <is>
          <t>G</t>
        </is>
      </c>
      <c r="F187" s="48" t="inlineStr">
        <is>
          <t>T</t>
        </is>
      </c>
      <c r="G187" s="48" t="inlineStr">
        <is>
          <t>tabular</t>
        </is>
      </c>
      <c r="H187" s="48" t="n">
        <v>1</v>
      </c>
      <c r="I187" s="48" t="inlineStr">
        <is>
          <t>Certificazione ISO 45001</t>
        </is>
      </c>
      <c r="J187" s="73" t="n"/>
      <c r="K187" s="73" t="n"/>
      <c r="L187" s="73" t="n"/>
      <c r="M187" s="73" t="n"/>
      <c r="N187" s="57">
        <f>IF($A187="","",IF(IFERROR(VALUE($M187),0)=1,1,0))</f>
        <v/>
      </c>
      <c r="O187" s="57">
        <f>IF($A187="",0,IF(OR($S187&lt;&gt;1,COUNTA($J187:$M187)=0),0,IF($N187=1,$H187,0)))</f>
        <v/>
      </c>
      <c r="P187" s="48" t="inlineStr">
        <is>
          <t>sì/no</t>
        </is>
      </c>
      <c r="Q187" s="57">
        <f>IF($A187="","",$A187&amp;"|"&amp;$C187)</f>
        <v/>
      </c>
      <c r="R187" s="57">
        <f>IF($A187="","",$A187&amp;"|"&amp;$C187&amp;"|"&amp;$D187)</f>
        <v/>
      </c>
      <c r="S187" s="57">
        <f>IF($A187="","",IFERROR(INDEX(Offerte!$D$2:$D$81,MATCH($Q187,Offerte!$L$2:$L$81,0)),0))</f>
        <v/>
      </c>
      <c r="T187" s="57">
        <f>IF($A187="","",IFERROR(INDEX(Offerte!$G$2:$G$81,MATCH($Q187,Offerte!$L$2:$L$81,0)),"NO"))</f>
        <v/>
      </c>
    </row>
    <row r="188">
      <c r="A188" s="48">
        <f>IF(Offerte!$A7="","",Offerte!$A7)</f>
        <v/>
      </c>
      <c r="B188" s="48">
        <f>IF(Offerte!$A7="","",Offerte!$B7)</f>
        <v/>
      </c>
      <c r="C188" s="48">
        <f>IF(Offerte!$A7="","",Offerte!$C7)</f>
        <v/>
      </c>
      <c r="D188" s="48" t="inlineStr">
        <is>
          <t>G.3.1</t>
        </is>
      </c>
      <c r="E188" s="48" t="inlineStr">
        <is>
          <t>G</t>
        </is>
      </c>
      <c r="F188" s="48" t="inlineStr">
        <is>
          <t>T</t>
        </is>
      </c>
      <c r="G188" s="48" t="inlineStr">
        <is>
          <t>tabular</t>
        </is>
      </c>
      <c r="H188" s="48" t="n">
        <v>1</v>
      </c>
      <c r="I188" s="48" t="inlineStr">
        <is>
          <t>Certificazioni di responsabilità sociale</t>
        </is>
      </c>
      <c r="J188" s="73" t="n"/>
      <c r="K188" s="73" t="n"/>
      <c r="L188" s="73" t="n"/>
      <c r="M188" s="73" t="n"/>
      <c r="N188" s="57">
        <f>IF($A188="","",IF(IFERROR(VALUE($M188),0)=1,1,0))</f>
        <v/>
      </c>
      <c r="O188" s="57">
        <f>IF($A188="",0,IF(OR($S188&lt;&gt;1,COUNTA($J188:$M188)=0),0,IF($N188=1,$H188,0)))</f>
        <v/>
      </c>
      <c r="P188" s="48" t="inlineStr">
        <is>
          <t>sì/no</t>
        </is>
      </c>
      <c r="Q188" s="57">
        <f>IF($A188="","",$A188&amp;"|"&amp;$C188)</f>
        <v/>
      </c>
      <c r="R188" s="57">
        <f>IF($A188="","",$A188&amp;"|"&amp;$C188&amp;"|"&amp;$D188)</f>
        <v/>
      </c>
      <c r="S188" s="57">
        <f>IF($A188="","",IFERROR(INDEX(Offerte!$D$2:$D$81,MATCH($Q188,Offerte!$L$2:$L$81,0)),0))</f>
        <v/>
      </c>
      <c r="T188" s="57">
        <f>IF($A188="","",IFERROR(INDEX(Offerte!$G$2:$G$81,MATCH($Q188,Offerte!$L$2:$L$81,0)),"NO"))</f>
        <v/>
      </c>
    </row>
    <row r="189">
      <c r="A189" s="48">
        <f>IF(Offerte!$A7="","",Offerte!$A7)</f>
        <v/>
      </c>
      <c r="B189" s="48">
        <f>IF(Offerte!$A7="","",Offerte!$B7)</f>
        <v/>
      </c>
      <c r="C189" s="48">
        <f>IF(Offerte!$A7="","",Offerte!$C7)</f>
        <v/>
      </c>
      <c r="D189" s="48" t="inlineStr">
        <is>
          <t>G.4.1</t>
        </is>
      </c>
      <c r="E189" s="48" t="inlineStr">
        <is>
          <t>G</t>
        </is>
      </c>
      <c r="F189" s="48" t="inlineStr">
        <is>
          <t>D</t>
        </is>
      </c>
      <c r="G189" s="48" t="inlineStr">
        <is>
          <t>discretionary</t>
        </is>
      </c>
      <c r="H189" s="48" t="n">
        <v>2</v>
      </c>
      <c r="I189" s="48" t="inlineStr">
        <is>
          <t>Qualità del piano di formazione del personale</t>
        </is>
      </c>
      <c r="J189" s="73" t="n"/>
      <c r="K189" s="73" t="n"/>
      <c r="L189" s="73" t="n"/>
      <c r="M189" s="73" t="n"/>
      <c r="N189" s="57">
        <f>IF($A189="","",MAX(0,MIN(1,IFERROR(VALUE($M189),0))))</f>
        <v/>
      </c>
      <c r="O189" s="57">
        <f>IF($A189="",0,IF(OR($S189&lt;&gt;1,COUNTA($J189:$M189)=0),0,IF(SUMPRODUCT(MAX(($C$5:$C$2484=$C189)*($D$5:$D$2484=$D189)*($S$5:$S$2484=1)*IFERROR($N$5:$N$2484*1,0)))&gt;0,ROUND($H189*($N189/SUMPRODUCT(MAX(($C$5:$C$2484=$C189)*($D$5:$D$2484=$D189)*($S$5:$S$2484=1)*IFERROR($N$5:$N$2484*1,0)))),4),0)))</f>
        <v/>
      </c>
      <c r="P189" s="48" t="inlineStr">
        <is>
          <t>coeff.</t>
        </is>
      </c>
      <c r="Q189" s="57">
        <f>IF($A189="","",$A189&amp;"|"&amp;$C189)</f>
        <v/>
      </c>
      <c r="R189" s="57">
        <f>IF($A189="","",$A189&amp;"|"&amp;$C189&amp;"|"&amp;$D189)</f>
        <v/>
      </c>
      <c r="S189" s="57">
        <f>IF($A189="","",IFERROR(INDEX(Offerte!$D$2:$D$81,MATCH($Q189,Offerte!$L$2:$L$81,0)),0))</f>
        <v/>
      </c>
      <c r="T189" s="57">
        <f>IF($A189="","",IFERROR(INDEX(Offerte!$G$2:$G$81,MATCH($Q189,Offerte!$L$2:$L$81,0)),"NO"))</f>
        <v/>
      </c>
    </row>
    <row r="190">
      <c r="A190" s="48">
        <f>IF(Offerte!$A7="","",Offerte!$A7)</f>
        <v/>
      </c>
      <c r="B190" s="48">
        <f>IF(Offerte!$A7="","",Offerte!$B7)</f>
        <v/>
      </c>
      <c r="C190" s="48">
        <f>IF(Offerte!$A7="","",Offerte!$C7)</f>
        <v/>
      </c>
      <c r="D190" s="48" t="inlineStr">
        <is>
          <t>G.5.1</t>
        </is>
      </c>
      <c r="E190" s="48" t="inlineStr">
        <is>
          <t>G</t>
        </is>
      </c>
      <c r="F190" s="48" t="inlineStr">
        <is>
          <t>T</t>
        </is>
      </c>
      <c r="G190" s="48" t="inlineStr">
        <is>
          <t>tabular</t>
        </is>
      </c>
      <c r="H190" s="48" t="n">
        <v>1</v>
      </c>
      <c r="I190" s="48" t="inlineStr">
        <is>
          <t>Impegno al mantenimento delle garanzie del contratto di secondo livello del gestore uscente</t>
        </is>
      </c>
      <c r="J190" s="73" t="n"/>
      <c r="K190" s="73" t="n"/>
      <c r="L190" s="73" t="n"/>
      <c r="M190" s="73" t="n"/>
      <c r="N190" s="57">
        <f>IF($A190="","",IF(IFERROR(VALUE($M190),0)=1,1,0))</f>
        <v/>
      </c>
      <c r="O190" s="57">
        <f>IF($A190="",0,IF(OR($S190&lt;&gt;1,COUNTA($J190:$M190)=0),0,IF($N190=1,$H190,0)))</f>
        <v/>
      </c>
      <c r="P190" s="48" t="inlineStr">
        <is>
          <t>sì/no</t>
        </is>
      </c>
      <c r="Q190" s="57">
        <f>IF($A190="","",$A190&amp;"|"&amp;$C190)</f>
        <v/>
      </c>
      <c r="R190" s="57">
        <f>IF($A190="","",$A190&amp;"|"&amp;$C190&amp;"|"&amp;$D190)</f>
        <v/>
      </c>
      <c r="S190" s="57">
        <f>IF($A190="","",IFERROR(INDEX(Offerte!$D$2:$D$81,MATCH($Q190,Offerte!$L$2:$L$81,0)),0))</f>
        <v/>
      </c>
      <c r="T190" s="57">
        <f>IF($A190="","",IFERROR(INDEX(Offerte!$G$2:$G$81,MATCH($Q190,Offerte!$L$2:$L$81,0)),"NO"))</f>
        <v/>
      </c>
    </row>
    <row r="191">
      <c r="A191" s="48">
        <f>IF(Offerte!$A8="","",Offerte!$A8)</f>
        <v/>
      </c>
      <c r="B191" s="48">
        <f>IF(Offerte!$A8="","",Offerte!$B8)</f>
        <v/>
      </c>
      <c r="C191" s="48">
        <f>IF(Offerte!$A8="","",Offerte!$C8)</f>
        <v/>
      </c>
      <c r="D191" s="48" t="inlineStr">
        <is>
          <t>A.1.1</t>
        </is>
      </c>
      <c r="E191" s="48" t="inlineStr">
        <is>
          <t>A</t>
        </is>
      </c>
      <c r="F191" s="48" t="inlineStr">
        <is>
          <t>Q</t>
        </is>
      </c>
      <c r="G191" s="48" t="inlineStr">
        <is>
          <t>higher</t>
        </is>
      </c>
      <c r="H191" s="48" t="n">
        <v>3</v>
      </c>
      <c r="I191" s="48" t="inlineStr">
        <is>
          <t>Tasso aggiuntivo di corse controllate</t>
        </is>
      </c>
      <c r="J191" s="73" t="n"/>
      <c r="K191" s="73" t="n"/>
      <c r="L191" s="73" t="n"/>
      <c r="M191" s="73" t="n"/>
      <c r="N191" s="57">
        <f>IF($A191="","",IFERROR(VALUE($K191)/VALUE($L191)*100,IFERROR(VALUE($J191),0)))</f>
        <v/>
      </c>
      <c r="O191" s="57">
        <f>IF($A191="",0,IF(OR($S191&lt;&gt;1,COUNTA($J191:$M191)=0),0,IF(SUMPRODUCT(MAX(($C$5:$C$2484=$C191)*($D$5:$D$2484=$D191)*($S$5:$S$2484=1)*IFERROR($N$5:$N$2484*1,0)))&gt;0,ROUND($H191*($N191/SUMPRODUCT(MAX(($C$5:$C$2484=$C191)*($D$5:$D$2484=$D191)*($S$5:$S$2484=1)*IFERROR($N$5:$N$2484*1,0)))),4),0)))</f>
        <v/>
      </c>
      <c r="P191" s="48" t="inlineStr">
        <is>
          <t>Corse controllate annue / Corse programmate annue</t>
        </is>
      </c>
      <c r="Q191" s="57">
        <f>IF($A191="","",$A191&amp;"|"&amp;$C191)</f>
        <v/>
      </c>
      <c r="R191" s="57">
        <f>IF($A191="","",$A191&amp;"|"&amp;$C191&amp;"|"&amp;$D191)</f>
        <v/>
      </c>
      <c r="S191" s="57">
        <f>IF($A191="","",IFERROR(INDEX(Offerte!$D$2:$D$81,MATCH($Q191,Offerte!$L$2:$L$81,0)),0))</f>
        <v/>
      </c>
      <c r="T191" s="57">
        <f>IF($A191="","",IFERROR(INDEX(Offerte!$G$2:$G$81,MATCH($Q191,Offerte!$L$2:$L$81,0)),"NO"))</f>
        <v/>
      </c>
    </row>
    <row r="192">
      <c r="A192" s="48">
        <f>IF(Offerte!$A8="","",Offerte!$A8)</f>
        <v/>
      </c>
      <c r="B192" s="48">
        <f>IF(Offerte!$A8="","",Offerte!$B8)</f>
        <v/>
      </c>
      <c r="C192" s="48">
        <f>IF(Offerte!$A8="","",Offerte!$C8)</f>
        <v/>
      </c>
      <c r="D192" s="48" t="inlineStr">
        <is>
          <t>A.1.2</t>
        </is>
      </c>
      <c r="E192" s="48" t="inlineStr">
        <is>
          <t>A</t>
        </is>
      </c>
      <c r="F192" s="48" t="inlineStr">
        <is>
          <t>Q</t>
        </is>
      </c>
      <c r="G192" s="48" t="inlineStr">
        <is>
          <t>higher</t>
        </is>
      </c>
      <c r="H192" s="48" t="n">
        <v>4</v>
      </c>
      <c r="I192" s="48" t="inlineStr">
        <is>
          <t>Numero aggiuntivo di passeggeri controllati</t>
        </is>
      </c>
      <c r="J192" s="73" t="n"/>
      <c r="K192" s="73" t="n"/>
      <c r="L192" s="73" t="n"/>
      <c r="M192" s="73" t="n"/>
      <c r="N192" s="57">
        <f>IF($A192="","",IFERROR(VALUE($J192),0))</f>
        <v/>
      </c>
      <c r="O192" s="57">
        <f>IF($A192="",0,IF(OR($S192&lt;&gt;1,COUNTA($J192:$M192)=0),0,IF(SUMPRODUCT(MAX(($C$5:$C$2484=$C192)*($D$5:$D$2484=$D192)*($S$5:$S$2484=1)*IFERROR($N$5:$N$2484*1,0)))&gt;0,ROUND($H192*($N192/SUMPRODUCT(MAX(($C$5:$C$2484=$C192)*($D$5:$D$2484=$D192)*($S$5:$S$2484=1)*IFERROR($N$5:$N$2484*1,0)))),4),0)))</f>
        <v/>
      </c>
      <c r="P192" s="48" t="inlineStr">
        <is>
          <t>passeggeri/anno</t>
        </is>
      </c>
      <c r="Q192" s="57">
        <f>IF($A192="","",$A192&amp;"|"&amp;$C192)</f>
        <v/>
      </c>
      <c r="R192" s="57">
        <f>IF($A192="","",$A192&amp;"|"&amp;$C192&amp;"|"&amp;$D192)</f>
        <v/>
      </c>
      <c r="S192" s="57">
        <f>IF($A192="","",IFERROR(INDEX(Offerte!$D$2:$D$81,MATCH($Q192,Offerte!$L$2:$L$81,0)),0))</f>
        <v/>
      </c>
      <c r="T192" s="57">
        <f>IF($A192="","",IFERROR(INDEX(Offerte!$G$2:$G$81,MATCH($Q192,Offerte!$L$2:$L$81,0)),"NO"))</f>
        <v/>
      </c>
    </row>
    <row r="193">
      <c r="A193" s="48">
        <f>IF(Offerte!$A8="","",Offerte!$A8)</f>
        <v/>
      </c>
      <c r="B193" s="48">
        <f>IF(Offerte!$A8="","",Offerte!$B8)</f>
        <v/>
      </c>
      <c r="C193" s="48">
        <f>IF(Offerte!$A8="","",Offerte!$C8)</f>
        <v/>
      </c>
      <c r="D193" s="48" t="inlineStr">
        <is>
          <t>B.1.1</t>
        </is>
      </c>
      <c r="E193" s="48" t="inlineStr">
        <is>
          <t>B</t>
        </is>
      </c>
      <c r="F193" s="48" t="inlineStr">
        <is>
          <t>Q</t>
        </is>
      </c>
      <c r="G193" s="48" t="inlineStr">
        <is>
          <t>higher</t>
        </is>
      </c>
      <c r="H193" s="48" t="n">
        <v>3</v>
      </c>
      <c r="I193" s="48" t="inlineStr">
        <is>
          <t>Incremento dei posti offerti nelle fasce di punta</t>
        </is>
      </c>
      <c r="J193" s="73" t="n"/>
      <c r="K193" s="73" t="n"/>
      <c r="L193" s="73" t="n"/>
      <c r="M193" s="73" t="n"/>
      <c r="N193" s="57">
        <f>IF($A193="","",IFERROR(VALUE($J193),0))</f>
        <v/>
      </c>
      <c r="O193" s="57">
        <f>IF($A193="",0,IF(OR($S193&lt;&gt;1,COUNTA($J193:$M193)=0),0,IF(SUMPRODUCT(MAX(($C$5:$C$2484=$C193)*($D$5:$D$2484=$D193)*($S$5:$S$2484=1)*IFERROR($N$5:$N$2484*1,0)))&gt;0,ROUND($H193*($N193/SUMPRODUCT(MAX(($C$5:$C$2484=$C193)*($D$5:$D$2484=$D193)*($S$5:$S$2484=1)*IFERROR($N$5:$N$2484*1,0)))),4),0)))</f>
        <v/>
      </c>
      <c r="P193" s="48" t="inlineStr">
        <is>
          <t>posti*km</t>
        </is>
      </c>
      <c r="Q193" s="57">
        <f>IF($A193="","",$A193&amp;"|"&amp;$C193)</f>
        <v/>
      </c>
      <c r="R193" s="57">
        <f>IF($A193="","",$A193&amp;"|"&amp;$C193&amp;"|"&amp;$D193)</f>
        <v/>
      </c>
      <c r="S193" s="57">
        <f>IF($A193="","",IFERROR(INDEX(Offerte!$D$2:$D$81,MATCH($Q193,Offerte!$L$2:$L$81,0)),0))</f>
        <v/>
      </c>
      <c r="T193" s="57">
        <f>IF($A193="","",IFERROR(INDEX(Offerte!$G$2:$G$81,MATCH($Q193,Offerte!$L$2:$L$81,0)),"NO"))</f>
        <v/>
      </c>
    </row>
    <row r="194">
      <c r="A194" s="48">
        <f>IF(Offerte!$A8="","",Offerte!$A8)</f>
        <v/>
      </c>
      <c r="B194" s="48">
        <f>IF(Offerte!$A8="","",Offerte!$B8)</f>
        <v/>
      </c>
      <c r="C194" s="48">
        <f>IF(Offerte!$A8="","",Offerte!$C8)</f>
        <v/>
      </c>
      <c r="D194" s="48" t="inlineStr">
        <is>
          <t>B.2.1</t>
        </is>
      </c>
      <c r="E194" s="48" t="inlineStr">
        <is>
          <t>B</t>
        </is>
      </c>
      <c r="F194" s="48" t="inlineStr">
        <is>
          <t>Q</t>
        </is>
      </c>
      <c r="G194" s="48" t="inlineStr">
        <is>
          <t>higher</t>
        </is>
      </c>
      <c r="H194" s="48" t="n">
        <v>4</v>
      </c>
      <c r="I194" s="48" t="inlineStr">
        <is>
          <t>Corse aggiuntive nell'arco giornaliero base</t>
        </is>
      </c>
      <c r="J194" s="73" t="n"/>
      <c r="K194" s="73" t="n"/>
      <c r="L194" s="73" t="n"/>
      <c r="M194" s="73" t="n"/>
      <c r="N194" s="57">
        <f>IF($A194="","",IFERROR(VALUE($J194),0))</f>
        <v/>
      </c>
      <c r="O194" s="57">
        <f>IF($A194="",0,IF(OR($S194&lt;&gt;1,COUNTA($J194:$M194)=0),0,IF(SUMPRODUCT(MAX(($C$5:$C$2484=$C194)*($D$5:$D$2484=$D194)*($S$5:$S$2484=1)*IFERROR($N$5:$N$2484*1,0)))&gt;0,ROUND($H194*($N194/SUMPRODUCT(MAX(($C$5:$C$2484=$C194)*($D$5:$D$2484=$D194)*($S$5:$S$2484=1)*IFERROR($N$5:$N$2484*1,0)))),4),0)))</f>
        <v/>
      </c>
      <c r="P194" s="48" t="inlineStr">
        <is>
          <t>corse</t>
        </is>
      </c>
      <c r="Q194" s="57">
        <f>IF($A194="","",$A194&amp;"|"&amp;$C194)</f>
        <v/>
      </c>
      <c r="R194" s="57">
        <f>IF($A194="","",$A194&amp;"|"&amp;$C194&amp;"|"&amp;$D194)</f>
        <v/>
      </c>
      <c r="S194" s="57">
        <f>IF($A194="","",IFERROR(INDEX(Offerte!$D$2:$D$81,MATCH($Q194,Offerte!$L$2:$L$81,0)),0))</f>
        <v/>
      </c>
      <c r="T194" s="57">
        <f>IF($A194="","",IFERROR(INDEX(Offerte!$G$2:$G$81,MATCH($Q194,Offerte!$L$2:$L$81,0)),"NO"))</f>
        <v/>
      </c>
    </row>
    <row r="195">
      <c r="A195" s="48">
        <f>IF(Offerte!$A8="","",Offerte!$A8)</f>
        <v/>
      </c>
      <c r="B195" s="48">
        <f>IF(Offerte!$A8="","",Offerte!$B8)</f>
        <v/>
      </c>
      <c r="C195" s="48">
        <f>IF(Offerte!$A8="","",Offerte!$C8)</f>
        <v/>
      </c>
      <c r="D195" s="48" t="inlineStr">
        <is>
          <t>B.3.1</t>
        </is>
      </c>
      <c r="E195" s="48" t="inlineStr">
        <is>
          <t>B</t>
        </is>
      </c>
      <c r="F195" s="48" t="inlineStr">
        <is>
          <t>Q</t>
        </is>
      </c>
      <c r="G195" s="48" t="inlineStr">
        <is>
          <t>higher</t>
        </is>
      </c>
      <c r="H195" s="48" t="n">
        <v>2</v>
      </c>
      <c r="I195" s="48" t="inlineStr">
        <is>
          <t>Numero di corse aggiuntive per allungamento dell'arco di servizio giornaliero nelle fasce serali</t>
        </is>
      </c>
      <c r="J195" s="73" t="n"/>
      <c r="K195" s="73" t="n"/>
      <c r="L195" s="73" t="n"/>
      <c r="M195" s="73" t="n"/>
      <c r="N195" s="57">
        <f>IF($A195="","",IFERROR(VALUE($J195),0))</f>
        <v/>
      </c>
      <c r="O195" s="57">
        <f>IF($A195="",0,IF(OR($S195&lt;&gt;1,COUNTA($J195:$M195)=0),0,IF(SUMPRODUCT(MAX(($C$5:$C$2484=$C195)*($D$5:$D$2484=$D195)*($S$5:$S$2484=1)*IFERROR($N$5:$N$2484*1,0)))&gt;0,ROUND($H195*($N195/SUMPRODUCT(MAX(($C$5:$C$2484=$C195)*($D$5:$D$2484=$D195)*($S$5:$S$2484=1)*IFERROR($N$5:$N$2484*1,0)))),4),0)))</f>
        <v/>
      </c>
      <c r="P195" s="48" t="inlineStr">
        <is>
          <t>corse</t>
        </is>
      </c>
      <c r="Q195" s="57">
        <f>IF($A195="","",$A195&amp;"|"&amp;$C195)</f>
        <v/>
      </c>
      <c r="R195" s="57">
        <f>IF($A195="","",$A195&amp;"|"&amp;$C195&amp;"|"&amp;$D195)</f>
        <v/>
      </c>
      <c r="S195" s="57">
        <f>IF($A195="","",IFERROR(INDEX(Offerte!$D$2:$D$81,MATCH($Q195,Offerte!$L$2:$L$81,0)),0))</f>
        <v/>
      </c>
      <c r="T195" s="57">
        <f>IF($A195="","",IFERROR(INDEX(Offerte!$G$2:$G$81,MATCH($Q195,Offerte!$L$2:$L$81,0)),"NO"))</f>
        <v/>
      </c>
    </row>
    <row r="196">
      <c r="A196" s="48">
        <f>IF(Offerte!$A8="","",Offerte!$A8)</f>
        <v/>
      </c>
      <c r="B196" s="48">
        <f>IF(Offerte!$A8="","",Offerte!$B8)</f>
        <v/>
      </c>
      <c r="C196" s="48">
        <f>IF(Offerte!$A8="","",Offerte!$C8)</f>
        <v/>
      </c>
      <c r="D196" s="48" t="inlineStr">
        <is>
          <t>B.4.1</t>
        </is>
      </c>
      <c r="E196" s="48" t="inlineStr">
        <is>
          <t>B</t>
        </is>
      </c>
      <c r="F196" s="48" t="inlineStr">
        <is>
          <t>Q</t>
        </is>
      </c>
      <c r="G196" s="48" t="inlineStr">
        <is>
          <t>higher</t>
        </is>
      </c>
      <c r="H196" s="48" t="n">
        <v>3</v>
      </c>
      <c r="I196" s="48" t="inlineStr">
        <is>
          <t>Percorrenze aggiuntive offerte nel Programma d'esercizio delle prime due fasi attuative</t>
        </is>
      </c>
      <c r="J196" s="73" t="n"/>
      <c r="K196" s="73" t="n"/>
      <c r="L196" s="73" t="n"/>
      <c r="M196" s="73" t="n"/>
      <c r="N196" s="57">
        <f>IF($A196="","",IFERROR(VALUE($J196),0))</f>
        <v/>
      </c>
      <c r="O196" s="57">
        <f>IF($A196="",0,IF(OR($S196&lt;&gt;1,COUNTA($J196:$M196)=0),0,IF(SUMPRODUCT(MAX(($C$5:$C$2484=$C196)*($D$5:$D$2484=$D196)*($S$5:$S$2484=1)*IFERROR($N$5:$N$2484*1,0)))&gt;0,ROUND($H196*($N196/SUMPRODUCT(MAX(($C$5:$C$2484=$C196)*($D$5:$D$2484=$D196)*($S$5:$S$2484=1)*IFERROR($N$5:$N$2484*1,0)))),4),0)))</f>
        <v/>
      </c>
      <c r="P196" s="48" t="inlineStr">
        <is>
          <t>vett*km</t>
        </is>
      </c>
      <c r="Q196" s="57">
        <f>IF($A196="","",$A196&amp;"|"&amp;$C196)</f>
        <v/>
      </c>
      <c r="R196" s="57">
        <f>IF($A196="","",$A196&amp;"|"&amp;$C196&amp;"|"&amp;$D196)</f>
        <v/>
      </c>
      <c r="S196" s="57">
        <f>IF($A196="","",IFERROR(INDEX(Offerte!$D$2:$D$81,MATCH($Q196,Offerte!$L$2:$L$81,0)),0))</f>
        <v/>
      </c>
      <c r="T196" s="57">
        <f>IF($A196="","",IFERROR(INDEX(Offerte!$G$2:$G$81,MATCH($Q196,Offerte!$L$2:$L$81,0)),"NO"))</f>
        <v/>
      </c>
    </row>
    <row r="197">
      <c r="A197" s="48">
        <f>IF(Offerte!$A8="","",Offerte!$A8)</f>
        <v/>
      </c>
      <c r="B197" s="48">
        <f>IF(Offerte!$A8="","",Offerte!$B8)</f>
        <v/>
      </c>
      <c r="C197" s="48">
        <f>IF(Offerte!$A8="","",Offerte!$C8)</f>
        <v/>
      </c>
      <c r="D197" s="48" t="inlineStr">
        <is>
          <t>B.5.1</t>
        </is>
      </c>
      <c r="E197" s="48" t="inlineStr">
        <is>
          <t>B</t>
        </is>
      </c>
      <c r="F197" s="48" t="inlineStr">
        <is>
          <t>D</t>
        </is>
      </c>
      <c r="G197" s="48" t="inlineStr">
        <is>
          <t>discretionary</t>
        </is>
      </c>
      <c r="H197" s="48" t="n">
        <v>2</v>
      </c>
      <c r="I197" s="48" t="inlineStr">
        <is>
          <t>Efficacia del progetto di servizi complementari DRT</t>
        </is>
      </c>
      <c r="J197" s="73" t="n"/>
      <c r="K197" s="73" t="n"/>
      <c r="L197" s="73" t="n"/>
      <c r="M197" s="73" t="n"/>
      <c r="N197" s="57">
        <f>IF($A197="","",MAX(0,MIN(1,IFERROR(VALUE($M197),0))))</f>
        <v/>
      </c>
      <c r="O197" s="57">
        <f>IF($A197="",0,IF(OR($S197&lt;&gt;1,COUNTA($J197:$M197)=0),0,IF(SUMPRODUCT(MAX(($C$5:$C$2484=$C197)*($D$5:$D$2484=$D197)*($S$5:$S$2484=1)*IFERROR($N$5:$N$2484*1,0)))&gt;0,ROUND($H197*($N197/SUMPRODUCT(MAX(($C$5:$C$2484=$C197)*($D$5:$D$2484=$D197)*($S$5:$S$2484=1)*IFERROR($N$5:$N$2484*1,0)))),4),0)))</f>
        <v/>
      </c>
      <c r="P197" s="48" t="inlineStr">
        <is>
          <t>coeff.</t>
        </is>
      </c>
      <c r="Q197" s="57">
        <f>IF($A197="","",$A197&amp;"|"&amp;$C197)</f>
        <v/>
      </c>
      <c r="R197" s="57">
        <f>IF($A197="","",$A197&amp;"|"&amp;$C197&amp;"|"&amp;$D197)</f>
        <v/>
      </c>
      <c r="S197" s="57">
        <f>IF($A197="","",IFERROR(INDEX(Offerte!$D$2:$D$81,MATCH($Q197,Offerte!$L$2:$L$81,0)),0))</f>
        <v/>
      </c>
      <c r="T197" s="57">
        <f>IF($A197="","",IFERROR(INDEX(Offerte!$G$2:$G$81,MATCH($Q197,Offerte!$L$2:$L$81,0)),"NO"))</f>
        <v/>
      </c>
    </row>
    <row r="198">
      <c r="A198" s="48">
        <f>IF(Offerte!$A8="","",Offerte!$A8)</f>
        <v/>
      </c>
      <c r="B198" s="48">
        <f>IF(Offerte!$A8="","",Offerte!$B8)</f>
        <v/>
      </c>
      <c r="C198" s="48">
        <f>IF(Offerte!$A8="","",Offerte!$C8)</f>
        <v/>
      </c>
      <c r="D198" s="48" t="inlineStr">
        <is>
          <t>C.1.1</t>
        </is>
      </c>
      <c r="E198" s="48" t="inlineStr">
        <is>
          <t>C</t>
        </is>
      </c>
      <c r="F198" s="48" t="inlineStr">
        <is>
          <t>Q</t>
        </is>
      </c>
      <c r="G198" s="48" t="inlineStr">
        <is>
          <t>higher</t>
        </is>
      </c>
      <c r="H198" s="48" t="n">
        <v>2</v>
      </c>
      <c r="I198" s="48" t="inlineStr">
        <is>
          <t>Tasso di copertura del servizio con telecamere BSD</t>
        </is>
      </c>
      <c r="J198" s="73" t="n"/>
      <c r="K198" s="73" t="n"/>
      <c r="L198" s="73" t="n"/>
      <c r="M198" s="73" t="n"/>
      <c r="N198" s="57">
        <f>IF($A198="","",IFERROR(VALUE($K198)/VALUE($L198),IFERROR(VALUE($J198),0)))</f>
        <v/>
      </c>
      <c r="O198" s="57">
        <f>IF($A198="",0,IF(OR($S198&lt;&gt;1,COUNTA($J198:$M198)=0),0,IF(SUMPRODUCT(MAX(($C$5:$C$2484=$C198)*($D$5:$D$2484=$D198)*($S$5:$S$2484=1)*IFERROR($N$5:$N$2484*1,0)))&gt;0,ROUND($H198*($N198/SUMPRODUCT(MAX(($C$5:$C$2484=$C198)*($D$5:$D$2484=$D198)*($S$5:$S$2484=1)*IFERROR($N$5:$N$2484*1,0)))),4),0)))</f>
        <v/>
      </c>
      <c r="P198" s="48" t="inlineStr">
        <is>
          <t>Autobus attrezzati con telecamere BSD / Autobus totali in offerta, incluse scorte</t>
        </is>
      </c>
      <c r="Q198" s="57">
        <f>IF($A198="","",$A198&amp;"|"&amp;$C198)</f>
        <v/>
      </c>
      <c r="R198" s="57">
        <f>IF($A198="","",$A198&amp;"|"&amp;$C198&amp;"|"&amp;$D198)</f>
        <v/>
      </c>
      <c r="S198" s="57">
        <f>IF($A198="","",IFERROR(INDEX(Offerte!$D$2:$D$81,MATCH($Q198,Offerte!$L$2:$L$81,0)),0))</f>
        <v/>
      </c>
      <c r="T198" s="57">
        <f>IF($A198="","",IFERROR(INDEX(Offerte!$G$2:$G$81,MATCH($Q198,Offerte!$L$2:$L$81,0)),"NO"))</f>
        <v/>
      </c>
    </row>
    <row r="199">
      <c r="A199" s="48">
        <f>IF(Offerte!$A8="","",Offerte!$A8)</f>
        <v/>
      </c>
      <c r="B199" s="48">
        <f>IF(Offerte!$A8="","",Offerte!$B8)</f>
        <v/>
      </c>
      <c r="C199" s="48">
        <f>IF(Offerte!$A8="","",Offerte!$C8)</f>
        <v/>
      </c>
      <c r="D199" s="48" t="inlineStr">
        <is>
          <t>C.1.2</t>
        </is>
      </c>
      <c r="E199" s="48" t="inlineStr">
        <is>
          <t>C</t>
        </is>
      </c>
      <c r="F199" s="48" t="inlineStr">
        <is>
          <t>Q</t>
        </is>
      </c>
      <c r="G199" s="48" t="inlineStr">
        <is>
          <t>higher</t>
        </is>
      </c>
      <c r="H199" s="48" t="n">
        <v>2</v>
      </c>
      <c r="I199" s="48" t="inlineStr">
        <is>
          <t>Tasso di copertura del servizio con telecamere ADAS</t>
        </is>
      </c>
      <c r="J199" s="73" t="n"/>
      <c r="K199" s="73" t="n"/>
      <c r="L199" s="73" t="n"/>
      <c r="M199" s="73" t="n"/>
      <c r="N199" s="57">
        <f>IF($A199="","",IFERROR(VALUE($K199)/VALUE($L199),IFERROR(VALUE($J199),0)))</f>
        <v/>
      </c>
      <c r="O199" s="57">
        <f>IF($A199="",0,IF(OR($S199&lt;&gt;1,COUNTA($J199:$M199)=0),0,IF(SUMPRODUCT(MAX(($C$5:$C$2484=$C199)*($D$5:$D$2484=$D199)*($S$5:$S$2484=1)*IFERROR($N$5:$N$2484*1,0)))&gt;0,ROUND($H199*($N199/SUMPRODUCT(MAX(($C$5:$C$2484=$C199)*($D$5:$D$2484=$D199)*($S$5:$S$2484=1)*IFERROR($N$5:$N$2484*1,0)))),4),0)))</f>
        <v/>
      </c>
      <c r="P199" s="48" t="inlineStr">
        <is>
          <t>Autobus attrezzati con telecamere ADAS / Autobus totali in offerta, incluse scorte</t>
        </is>
      </c>
      <c r="Q199" s="57">
        <f>IF($A199="","",$A199&amp;"|"&amp;$C199)</f>
        <v/>
      </c>
      <c r="R199" s="57">
        <f>IF($A199="","",$A199&amp;"|"&amp;$C199&amp;"|"&amp;$D199)</f>
        <v/>
      </c>
      <c r="S199" s="57">
        <f>IF($A199="","",IFERROR(INDEX(Offerte!$D$2:$D$81,MATCH($Q199,Offerte!$L$2:$L$81,0)),0))</f>
        <v/>
      </c>
      <c r="T199" s="57">
        <f>IF($A199="","",IFERROR(INDEX(Offerte!$G$2:$G$81,MATCH($Q199,Offerte!$L$2:$L$81,0)),"NO"))</f>
        <v/>
      </c>
    </row>
    <row r="200">
      <c r="A200" s="48">
        <f>IF(Offerte!$A8="","",Offerte!$A8)</f>
        <v/>
      </c>
      <c r="B200" s="48">
        <f>IF(Offerte!$A8="","",Offerte!$B8)</f>
        <v/>
      </c>
      <c r="C200" s="48">
        <f>IF(Offerte!$A8="","",Offerte!$C8)</f>
        <v/>
      </c>
      <c r="D200" s="48" t="inlineStr">
        <is>
          <t>C.2.1</t>
        </is>
      </c>
      <c r="E200" s="48" t="inlineStr">
        <is>
          <t>C</t>
        </is>
      </c>
      <c r="F200" s="48" t="inlineStr">
        <is>
          <t>Q</t>
        </is>
      </c>
      <c r="G200" s="48" t="inlineStr">
        <is>
          <t>higher</t>
        </is>
      </c>
      <c r="H200" s="48" t="n">
        <v>3</v>
      </c>
      <c r="I200" s="48" t="inlineStr">
        <is>
          <t>Tasso di copertura del servizio con telecamere di bordo di videosorveglianza</t>
        </is>
      </c>
      <c r="J200" s="73" t="n"/>
      <c r="K200" s="73" t="n"/>
      <c r="L200" s="73" t="n"/>
      <c r="M200" s="73" t="n"/>
      <c r="N200" s="57">
        <f>IF($A200="","",IFERROR(VALUE($K200)/VALUE($L200),IFERROR(VALUE($J200),0)))</f>
        <v/>
      </c>
      <c r="O200" s="57">
        <f>IF($A200="",0,IF(OR($S200&lt;&gt;1,COUNTA($J200:$M200)=0),0,IF(SUMPRODUCT(MAX(($C$5:$C$2484=$C200)*($D$5:$D$2484=$D200)*($S$5:$S$2484=1)*IFERROR($N$5:$N$2484*1,0)))&gt;0,ROUND($H200*($N200/SUMPRODUCT(MAX(($C$5:$C$2484=$C200)*($D$5:$D$2484=$D200)*($S$5:$S$2484=1)*IFERROR($N$5:$N$2484*1,0)))),4),0)))</f>
        <v/>
      </c>
      <c r="P200" s="48" t="inlineStr">
        <is>
          <t>Autobus attrezzati con videosorveglianza / Autobus totali in offerta, incluse scorte</t>
        </is>
      </c>
      <c r="Q200" s="57">
        <f>IF($A200="","",$A200&amp;"|"&amp;$C200)</f>
        <v/>
      </c>
      <c r="R200" s="57">
        <f>IF($A200="","",$A200&amp;"|"&amp;$C200&amp;"|"&amp;$D200)</f>
        <v/>
      </c>
      <c r="S200" s="57">
        <f>IF($A200="","",IFERROR(INDEX(Offerte!$D$2:$D$81,MATCH($Q200,Offerte!$L$2:$L$81,0)),0))</f>
        <v/>
      </c>
      <c r="T200" s="57">
        <f>IF($A200="","",IFERROR(INDEX(Offerte!$G$2:$G$81,MATCH($Q200,Offerte!$L$2:$L$81,0)),"NO"))</f>
        <v/>
      </c>
    </row>
    <row r="201">
      <c r="A201" s="48">
        <f>IF(Offerte!$A8="","",Offerte!$A8)</f>
        <v/>
      </c>
      <c r="B201" s="48">
        <f>IF(Offerte!$A8="","",Offerte!$B8)</f>
        <v/>
      </c>
      <c r="C201" s="48">
        <f>IF(Offerte!$A8="","",Offerte!$C8)</f>
        <v/>
      </c>
      <c r="D201" s="48" t="inlineStr">
        <is>
          <t>C.2.2</t>
        </is>
      </c>
      <c r="E201" s="48" t="inlineStr">
        <is>
          <t>C</t>
        </is>
      </c>
      <c r="F201" s="48" t="inlineStr">
        <is>
          <t>T</t>
        </is>
      </c>
      <c r="G201" s="48" t="inlineStr">
        <is>
          <t>tabular</t>
        </is>
      </c>
      <c r="H201" s="48" t="n">
        <v>1</v>
      </c>
      <c r="I201" s="48" t="inlineStr">
        <is>
          <t>Software video/audio analisi per situazioni di pericolo</t>
        </is>
      </c>
      <c r="J201" s="73" t="n"/>
      <c r="K201" s="73" t="n"/>
      <c r="L201" s="73" t="n"/>
      <c r="M201" s="73" t="n"/>
      <c r="N201" s="57">
        <f>IF($A201="","",IF(IFERROR(VALUE($M201),0)=1,1,0))</f>
        <v/>
      </c>
      <c r="O201" s="57">
        <f>IF($A201="",0,IF(OR($S201&lt;&gt;1,COUNTA($J201:$M201)=0),0,IF($N201=1,$H201,0)))</f>
        <v/>
      </c>
      <c r="P201" s="48" t="inlineStr">
        <is>
          <t>sì/no</t>
        </is>
      </c>
      <c r="Q201" s="57">
        <f>IF($A201="","",$A201&amp;"|"&amp;$C201)</f>
        <v/>
      </c>
      <c r="R201" s="57">
        <f>IF($A201="","",$A201&amp;"|"&amp;$C201&amp;"|"&amp;$D201)</f>
        <v/>
      </c>
      <c r="S201" s="57">
        <f>IF($A201="","",IFERROR(INDEX(Offerte!$D$2:$D$81,MATCH($Q201,Offerte!$L$2:$L$81,0)),0))</f>
        <v/>
      </c>
      <c r="T201" s="57">
        <f>IF($A201="","",IFERROR(INDEX(Offerte!$G$2:$G$81,MATCH($Q201,Offerte!$L$2:$L$81,0)),"NO"))</f>
        <v/>
      </c>
    </row>
    <row r="202">
      <c r="A202" s="48">
        <f>IF(Offerte!$A8="","",Offerte!$A8)</f>
        <v/>
      </c>
      <c r="B202" s="48">
        <f>IF(Offerte!$A8="","",Offerte!$B8)</f>
        <v/>
      </c>
      <c r="C202" s="48">
        <f>IF(Offerte!$A8="","",Offerte!$C8)</f>
        <v/>
      </c>
      <c r="D202" s="48" t="inlineStr">
        <is>
          <t>C.2.3</t>
        </is>
      </c>
      <c r="E202" s="48" t="inlineStr">
        <is>
          <t>C</t>
        </is>
      </c>
      <c r="F202" s="48" t="inlineStr">
        <is>
          <t>T</t>
        </is>
      </c>
      <c r="G202" s="48" t="inlineStr">
        <is>
          <t>tabular</t>
        </is>
      </c>
      <c r="H202" s="48" t="n">
        <v>1</v>
      </c>
      <c r="I202" s="48" t="inlineStr">
        <is>
          <t>Collegamento con centrale qualificata di pronto intervento</t>
        </is>
      </c>
      <c r="J202" s="73" t="n"/>
      <c r="K202" s="73" t="n"/>
      <c r="L202" s="73" t="n"/>
      <c r="M202" s="73" t="n"/>
      <c r="N202" s="57">
        <f>IF($A202="","",IF(IFERROR(VALUE($M202),0)=1,1,0))</f>
        <v/>
      </c>
      <c r="O202" s="57">
        <f>IF($A202="",0,IF(OR($S202&lt;&gt;1,COUNTA($J202:$M202)=0),0,IF($N202=1,$H202,0)))</f>
        <v/>
      </c>
      <c r="P202" s="48" t="inlineStr">
        <is>
          <t>sì/no</t>
        </is>
      </c>
      <c r="Q202" s="57">
        <f>IF($A202="","",$A202&amp;"|"&amp;$C202)</f>
        <v/>
      </c>
      <c r="R202" s="57">
        <f>IF($A202="","",$A202&amp;"|"&amp;$C202&amp;"|"&amp;$D202)</f>
        <v/>
      </c>
      <c r="S202" s="57">
        <f>IF($A202="","",IFERROR(INDEX(Offerte!$D$2:$D$81,MATCH($Q202,Offerte!$L$2:$L$81,0)),0))</f>
        <v/>
      </c>
      <c r="T202" s="57">
        <f>IF($A202="","",IFERROR(INDEX(Offerte!$G$2:$G$81,MATCH($Q202,Offerte!$L$2:$L$81,0)),"NO"))</f>
        <v/>
      </c>
    </row>
    <row r="203">
      <c r="A203" s="48">
        <f>IF(Offerte!$A8="","",Offerte!$A8)</f>
        <v/>
      </c>
      <c r="B203" s="48">
        <f>IF(Offerte!$A8="","",Offerte!$B8)</f>
        <v/>
      </c>
      <c r="C203" s="48">
        <f>IF(Offerte!$A8="","",Offerte!$C8)</f>
        <v/>
      </c>
      <c r="D203" s="48" t="inlineStr">
        <is>
          <t>C.2.4</t>
        </is>
      </c>
      <c r="E203" s="48" t="inlineStr">
        <is>
          <t>C</t>
        </is>
      </c>
      <c r="F203" s="48" t="inlineStr">
        <is>
          <t>Q</t>
        </is>
      </c>
      <c r="G203" s="48" t="inlineStr">
        <is>
          <t>higher</t>
        </is>
      </c>
      <c r="H203" s="48" t="n">
        <v>1</v>
      </c>
      <c r="I203" s="48" t="inlineStr">
        <is>
          <t>Tasso di copertura del servizio con dispositivi per la chiamata di emergenza del conducente</t>
        </is>
      </c>
      <c r="J203" s="73" t="n"/>
      <c r="K203" s="73" t="n"/>
      <c r="L203" s="73" t="n"/>
      <c r="M203" s="73" t="n"/>
      <c r="N203" s="57">
        <f>IF($A203="","",IFERROR(VALUE($K203)/VALUE($L203),IFERROR(VALUE($J203),0)))</f>
        <v/>
      </c>
      <c r="O203" s="57">
        <f>IF($A203="",0,IF(OR($S203&lt;&gt;1,COUNTA($J203:$M203)=0),0,IF(SUMPRODUCT(MAX(($C$5:$C$2484=$C203)*($D$5:$D$2484=$D203)*($S$5:$S$2484=1)*IFERROR($N$5:$N$2484*1,0)))&gt;0,ROUND($H203*($N203/SUMPRODUCT(MAX(($C$5:$C$2484=$C203)*($D$5:$D$2484=$D203)*($S$5:$S$2484=1)*IFERROR($N$5:$N$2484*1,0)))),4),0)))</f>
        <v/>
      </c>
      <c r="P203" s="48" t="inlineStr">
        <is>
          <t>Autobus attrezzati con chiamata di emergenza / Autobus totali in offerta, incluse scorte</t>
        </is>
      </c>
      <c r="Q203" s="57">
        <f>IF($A203="","",$A203&amp;"|"&amp;$C203)</f>
        <v/>
      </c>
      <c r="R203" s="57">
        <f>IF($A203="","",$A203&amp;"|"&amp;$C203&amp;"|"&amp;$D203)</f>
        <v/>
      </c>
      <c r="S203" s="57">
        <f>IF($A203="","",IFERROR(INDEX(Offerte!$D$2:$D$81,MATCH($Q203,Offerte!$L$2:$L$81,0)),0))</f>
        <v/>
      </c>
      <c r="T203" s="57">
        <f>IF($A203="","",IFERROR(INDEX(Offerte!$G$2:$G$81,MATCH($Q203,Offerte!$L$2:$L$81,0)),"NO"))</f>
        <v/>
      </c>
    </row>
    <row r="204">
      <c r="A204" s="48">
        <f>IF(Offerte!$A8="","",Offerte!$A8)</f>
        <v/>
      </c>
      <c r="B204" s="48">
        <f>IF(Offerte!$A8="","",Offerte!$B8)</f>
        <v/>
      </c>
      <c r="C204" s="48">
        <f>IF(Offerte!$A8="","",Offerte!$C8)</f>
        <v/>
      </c>
      <c r="D204" s="48" t="inlineStr">
        <is>
          <t>C.3.1</t>
        </is>
      </c>
      <c r="E204" s="48" t="inlineStr">
        <is>
          <t>C</t>
        </is>
      </c>
      <c r="F204" s="48" t="inlineStr">
        <is>
          <t>Q</t>
        </is>
      </c>
      <c r="G204" s="48" t="inlineStr">
        <is>
          <t>higher</t>
        </is>
      </c>
      <c r="H204" s="48" t="n">
        <v>2</v>
      </c>
      <c r="I204" s="48" t="inlineStr">
        <is>
          <t>Tasso di copertura del servizio con dispositivi di informazione dinamica a bordo mezzo</t>
        </is>
      </c>
      <c r="J204" s="73" t="n"/>
      <c r="K204" s="73" t="n"/>
      <c r="L204" s="73" t="n"/>
      <c r="M204" s="73" t="n"/>
      <c r="N204" s="57">
        <f>IF($A204="","",IFERROR(VALUE($K204)/VALUE($L204),IFERROR(VALUE($J204),0)))</f>
        <v/>
      </c>
      <c r="O204" s="57">
        <f>IF($A204="",0,IF(OR($S204&lt;&gt;1,COUNTA($J204:$M204)=0),0,IF(SUMPRODUCT(MAX(($C$5:$C$2484=$C204)*($D$5:$D$2484=$D204)*($S$5:$S$2484=1)*IFERROR($N$5:$N$2484*1,0)))&gt;0,ROUND($H204*($N204/SUMPRODUCT(MAX(($C$5:$C$2484=$C204)*($D$5:$D$2484=$D204)*($S$5:$S$2484=1)*IFERROR($N$5:$N$2484*1,0)))),4),0)))</f>
        <v/>
      </c>
      <c r="P204" s="48" t="inlineStr">
        <is>
          <t>Autobus con monitor e indicatori vocali / Autobus totali in offerta, incluse scorte</t>
        </is>
      </c>
      <c r="Q204" s="57">
        <f>IF($A204="","",$A204&amp;"|"&amp;$C204)</f>
        <v/>
      </c>
      <c r="R204" s="57">
        <f>IF($A204="","",$A204&amp;"|"&amp;$C204&amp;"|"&amp;$D204)</f>
        <v/>
      </c>
      <c r="S204" s="57">
        <f>IF($A204="","",IFERROR(INDEX(Offerte!$D$2:$D$81,MATCH($Q204,Offerte!$L$2:$L$81,0)),0))</f>
        <v/>
      </c>
      <c r="T204" s="57">
        <f>IF($A204="","",IFERROR(INDEX(Offerte!$G$2:$G$81,MATCH($Q204,Offerte!$L$2:$L$81,0)),"NO"))</f>
        <v/>
      </c>
    </row>
    <row r="205">
      <c r="A205" s="48">
        <f>IF(Offerte!$A8="","",Offerte!$A8)</f>
        <v/>
      </c>
      <c r="B205" s="48">
        <f>IF(Offerte!$A8="","",Offerte!$B8)</f>
        <v/>
      </c>
      <c r="C205" s="48">
        <f>IF(Offerte!$A8="","",Offerte!$C8)</f>
        <v/>
      </c>
      <c r="D205" s="48" t="inlineStr">
        <is>
          <t>C.3.2</t>
        </is>
      </c>
      <c r="E205" s="48" t="inlineStr">
        <is>
          <t>C</t>
        </is>
      </c>
      <c r="F205" s="48" t="inlineStr">
        <is>
          <t>T</t>
        </is>
      </c>
      <c r="G205" s="48" t="inlineStr">
        <is>
          <t>tabular</t>
        </is>
      </c>
      <c r="H205" s="48" t="n">
        <v>2</v>
      </c>
      <c r="I205" s="48" t="inlineStr">
        <is>
          <t>Informazioni a bordo su coincidenze ai nodi</t>
        </is>
      </c>
      <c r="J205" s="73" t="n"/>
      <c r="K205" s="73" t="n"/>
      <c r="L205" s="73" t="n"/>
      <c r="M205" s="73" t="n"/>
      <c r="N205" s="57">
        <f>IF($A205="","",IF(IFERROR(VALUE($M205),0)=1,1,0))</f>
        <v/>
      </c>
      <c r="O205" s="57">
        <f>IF($A205="",0,IF(OR($S205&lt;&gt;1,COUNTA($J205:$M205)=0),0,IF(AND($N205=1,IFERROR(SUMIFS($N$5:$N$2484,$Q$5:$Q$2484,$Q205,$D$5:$D$2484,"C.3.1"),0)&gt;=0.5),$H205,0)))</f>
        <v/>
      </c>
      <c r="P205" s="48" t="inlineStr">
        <is>
          <t>Dipende da C.3.1 &gt;= 0.5</t>
        </is>
      </c>
      <c r="Q205" s="57">
        <f>IF($A205="","",$A205&amp;"|"&amp;$C205)</f>
        <v/>
      </c>
      <c r="R205" s="57">
        <f>IF($A205="","",$A205&amp;"|"&amp;$C205&amp;"|"&amp;$D205)</f>
        <v/>
      </c>
      <c r="S205" s="57">
        <f>IF($A205="","",IFERROR(INDEX(Offerte!$D$2:$D$81,MATCH($Q205,Offerte!$L$2:$L$81,0)),0))</f>
        <v/>
      </c>
      <c r="T205" s="57">
        <f>IF($A205="","",IFERROR(INDEX(Offerte!$G$2:$G$81,MATCH($Q205,Offerte!$L$2:$L$81,0)),"NO"))</f>
        <v/>
      </c>
    </row>
    <row r="206">
      <c r="A206" s="48">
        <f>IF(Offerte!$A8="","",Offerte!$A8)</f>
        <v/>
      </c>
      <c r="B206" s="48">
        <f>IF(Offerte!$A8="","",Offerte!$B8)</f>
        <v/>
      </c>
      <c r="C206" s="48">
        <f>IF(Offerte!$A8="","",Offerte!$C8)</f>
        <v/>
      </c>
      <c r="D206" s="48" t="inlineStr">
        <is>
          <t>D.1.1</t>
        </is>
      </c>
      <c r="E206" s="48" t="inlineStr">
        <is>
          <t>D</t>
        </is>
      </c>
      <c r="F206" s="48" t="inlineStr">
        <is>
          <t>Q</t>
        </is>
      </c>
      <c r="G206" s="48" t="inlineStr">
        <is>
          <t>higher</t>
        </is>
      </c>
      <c r="H206" s="48" t="n">
        <v>3</v>
      </c>
      <c r="I206" s="48" t="inlineStr">
        <is>
          <t>Installazione di pensiline</t>
        </is>
      </c>
      <c r="J206" s="73" t="n"/>
      <c r="K206" s="73" t="n"/>
      <c r="L206" s="73" t="n"/>
      <c r="M206" s="73" t="n"/>
      <c r="N206" s="57">
        <f>IF($A206="","",IFERROR(VALUE($J206),0))</f>
        <v/>
      </c>
      <c r="O206" s="57">
        <f>IF($A206="",0,IF(OR($S206&lt;&gt;1,COUNTA($J206:$M206)=0),0,IF(SUMPRODUCT(MAX(($C$5:$C$2484=$C206)*($D$5:$D$2484=$D206)*($S$5:$S$2484=1)*IFERROR($N$5:$N$2484*1,0)))&gt;0,ROUND($H206*($N206/SUMPRODUCT(MAX(($C$5:$C$2484=$C206)*($D$5:$D$2484=$D206)*($S$5:$S$2484=1)*IFERROR($N$5:$N$2484*1,0)))),4),0)))</f>
        <v/>
      </c>
      <c r="P206" s="48" t="inlineStr">
        <is>
          <t>fermate</t>
        </is>
      </c>
      <c r="Q206" s="57">
        <f>IF($A206="","",$A206&amp;"|"&amp;$C206)</f>
        <v/>
      </c>
      <c r="R206" s="57">
        <f>IF($A206="","",$A206&amp;"|"&amp;$C206&amp;"|"&amp;$D206)</f>
        <v/>
      </c>
      <c r="S206" s="57">
        <f>IF($A206="","",IFERROR(INDEX(Offerte!$D$2:$D$81,MATCH($Q206,Offerte!$L$2:$L$81,0)),0))</f>
        <v/>
      </c>
      <c r="T206" s="57">
        <f>IF($A206="","",IFERROR(INDEX(Offerte!$G$2:$G$81,MATCH($Q206,Offerte!$L$2:$L$81,0)),"NO"))</f>
        <v/>
      </c>
    </row>
    <row r="207">
      <c r="A207" s="48">
        <f>IF(Offerte!$A8="","",Offerte!$A8)</f>
        <v/>
      </c>
      <c r="B207" s="48">
        <f>IF(Offerte!$A8="","",Offerte!$B8)</f>
        <v/>
      </c>
      <c r="C207" s="48">
        <f>IF(Offerte!$A8="","",Offerte!$C8)</f>
        <v/>
      </c>
      <c r="D207" s="48" t="inlineStr">
        <is>
          <t>D.1.2</t>
        </is>
      </c>
      <c r="E207" s="48" t="inlineStr">
        <is>
          <t>D</t>
        </is>
      </c>
      <c r="F207" s="48" t="inlineStr">
        <is>
          <t>Q</t>
        </is>
      </c>
      <c r="G207" s="48" t="inlineStr">
        <is>
          <t>higher</t>
        </is>
      </c>
      <c r="H207" s="48" t="n">
        <v>3</v>
      </c>
      <c r="I207" s="48" t="inlineStr">
        <is>
          <t>Installazione di paline di fermata conformi alla DGR 581/2023</t>
        </is>
      </c>
      <c r="J207" s="73" t="n"/>
      <c r="K207" s="73" t="n"/>
      <c r="L207" s="73" t="n"/>
      <c r="M207" s="73" t="n"/>
      <c r="N207" s="57">
        <f>IF($A207="","",IFERROR(VALUE($J207),0))</f>
        <v/>
      </c>
      <c r="O207" s="57">
        <f>IF($A207="",0,IF(OR($S207&lt;&gt;1,COUNTA($J207:$M207)=0),0,IF(SUMPRODUCT(MAX(($C$5:$C$2484=$C207)*($D$5:$D$2484=$D207)*($S$5:$S$2484=1)*IFERROR($N$5:$N$2484*1,0)))&gt;0,ROUND($H207*($N207/SUMPRODUCT(MAX(($C$5:$C$2484=$C207)*($D$5:$D$2484=$D207)*($S$5:$S$2484=1)*IFERROR($N$5:$N$2484*1,0)))),4),0)))</f>
        <v/>
      </c>
      <c r="P207" s="48" t="inlineStr">
        <is>
          <t>fermate</t>
        </is>
      </c>
      <c r="Q207" s="57">
        <f>IF($A207="","",$A207&amp;"|"&amp;$C207)</f>
        <v/>
      </c>
      <c r="R207" s="57">
        <f>IF($A207="","",$A207&amp;"|"&amp;$C207&amp;"|"&amp;$D207)</f>
        <v/>
      </c>
      <c r="S207" s="57">
        <f>IF($A207="","",IFERROR(INDEX(Offerte!$D$2:$D$81,MATCH($Q207,Offerte!$L$2:$L$81,0)),0))</f>
        <v/>
      </c>
      <c r="T207" s="57">
        <f>IF($A207="","",IFERROR(INDEX(Offerte!$G$2:$G$81,MATCH($Q207,Offerte!$L$2:$L$81,0)),"NO"))</f>
        <v/>
      </c>
    </row>
    <row r="208">
      <c r="A208" s="48">
        <f>IF(Offerte!$A8="","",Offerte!$A8)</f>
        <v/>
      </c>
      <c r="B208" s="48">
        <f>IF(Offerte!$A8="","",Offerte!$B8)</f>
        <v/>
      </c>
      <c r="C208" s="48">
        <f>IF(Offerte!$A8="","",Offerte!$C8)</f>
        <v/>
      </c>
      <c r="D208" s="48" t="inlineStr">
        <is>
          <t>D.1.3</t>
        </is>
      </c>
      <c r="E208" s="48" t="inlineStr">
        <is>
          <t>D</t>
        </is>
      </c>
      <c r="F208" s="48" t="inlineStr">
        <is>
          <t>Q</t>
        </is>
      </c>
      <c r="G208" s="48" t="inlineStr">
        <is>
          <t>higher</t>
        </is>
      </c>
      <c r="H208" s="48" t="n">
        <v>2</v>
      </c>
      <c r="I208" s="48" t="inlineStr">
        <is>
          <t>Display informativi connessi alle fermate</t>
        </is>
      </c>
      <c r="J208" s="73" t="n"/>
      <c r="K208" s="73" t="n"/>
      <c r="L208" s="73" t="n"/>
      <c r="M208" s="73" t="n"/>
      <c r="N208" s="57">
        <f>IF($A208="","",IFERROR(VALUE($J208),0))</f>
        <v/>
      </c>
      <c r="O208" s="57">
        <f>IF($A208="",0,IF(OR($S208&lt;&gt;1,COUNTA($J208:$M208)=0),0,IF(SUMPRODUCT(MAX(($C$5:$C$2484=$C208)*($D$5:$D$2484=$D208)*($S$5:$S$2484=1)*IFERROR($N$5:$N$2484*1,0)))&gt;0,ROUND($H208*($N208/SUMPRODUCT(MAX(($C$5:$C$2484=$C208)*($D$5:$D$2484=$D208)*($S$5:$S$2484=1)*IFERROR($N$5:$N$2484*1,0)))),4),0)))</f>
        <v/>
      </c>
      <c r="P208" s="48" t="inlineStr">
        <is>
          <t>fermate</t>
        </is>
      </c>
      <c r="Q208" s="57">
        <f>IF($A208="","",$A208&amp;"|"&amp;$C208)</f>
        <v/>
      </c>
      <c r="R208" s="57">
        <f>IF($A208="","",$A208&amp;"|"&amp;$C208&amp;"|"&amp;$D208)</f>
        <v/>
      </c>
      <c r="S208" s="57">
        <f>IF($A208="","",IFERROR(INDEX(Offerte!$D$2:$D$81,MATCH($Q208,Offerte!$L$2:$L$81,0)),0))</f>
        <v/>
      </c>
      <c r="T208" s="57">
        <f>IF($A208="","",IFERROR(INDEX(Offerte!$G$2:$G$81,MATCH($Q208,Offerte!$L$2:$L$81,0)),"NO"))</f>
        <v/>
      </c>
    </row>
    <row r="209">
      <c r="A209" s="48">
        <f>IF(Offerte!$A8="","",Offerte!$A8)</f>
        <v/>
      </c>
      <c r="B209" s="48">
        <f>IF(Offerte!$A8="","",Offerte!$B8)</f>
        <v/>
      </c>
      <c r="C209" s="48">
        <f>IF(Offerte!$A8="","",Offerte!$C8)</f>
        <v/>
      </c>
      <c r="D209" s="48" t="inlineStr">
        <is>
          <t>D.2.1</t>
        </is>
      </c>
      <c r="E209" s="48" t="inlineStr">
        <is>
          <t>D</t>
        </is>
      </c>
      <c r="F209" s="48" t="inlineStr">
        <is>
          <t>Q</t>
        </is>
      </c>
      <c r="G209" s="48" t="inlineStr">
        <is>
          <t>higher</t>
        </is>
      </c>
      <c r="H209" s="48" t="n">
        <v>2</v>
      </c>
      <c r="I209" s="48" t="inlineStr">
        <is>
          <t>Segnali tattili Loges-Vet-Evolution</t>
        </is>
      </c>
      <c r="J209" s="73" t="n"/>
      <c r="K209" s="73" t="n"/>
      <c r="L209" s="73" t="n"/>
      <c r="M209" s="73" t="n"/>
      <c r="N209" s="57">
        <f>IF($A209="","",IFERROR(VALUE($J209),0))</f>
        <v/>
      </c>
      <c r="O209" s="57">
        <f>IF($A209="",0,IF(OR($S209&lt;&gt;1,COUNTA($J209:$M209)=0),0,IF(SUMPRODUCT(MAX(($C$5:$C$2484=$C209)*($D$5:$D$2484=$D209)*($S$5:$S$2484=1)*IFERROR($N$5:$N$2484*1,0)))&gt;0,ROUND($H209*($N209/SUMPRODUCT(MAX(($C$5:$C$2484=$C209)*($D$5:$D$2484=$D209)*($S$5:$S$2484=1)*IFERROR($N$5:$N$2484*1,0)))),4),0)))</f>
        <v/>
      </c>
      <c r="P209" s="48" t="inlineStr">
        <is>
          <t>fermate</t>
        </is>
      </c>
      <c r="Q209" s="57">
        <f>IF($A209="","",$A209&amp;"|"&amp;$C209)</f>
        <v/>
      </c>
      <c r="R209" s="57">
        <f>IF($A209="","",$A209&amp;"|"&amp;$C209&amp;"|"&amp;$D209)</f>
        <v/>
      </c>
      <c r="S209" s="57">
        <f>IF($A209="","",IFERROR(INDEX(Offerte!$D$2:$D$81,MATCH($Q209,Offerte!$L$2:$L$81,0)),0))</f>
        <v/>
      </c>
      <c r="T209" s="57">
        <f>IF($A209="","",IFERROR(INDEX(Offerte!$G$2:$G$81,MATCH($Q209,Offerte!$L$2:$L$81,0)),"NO"))</f>
        <v/>
      </c>
    </row>
    <row r="210">
      <c r="A210" s="48">
        <f>IF(Offerte!$A8="","",Offerte!$A8)</f>
        <v/>
      </c>
      <c r="B210" s="48">
        <f>IF(Offerte!$A8="","",Offerte!$B8)</f>
        <v/>
      </c>
      <c r="C210" s="48">
        <f>IF(Offerte!$A8="","",Offerte!$C8)</f>
        <v/>
      </c>
      <c r="D210" s="48" t="inlineStr">
        <is>
          <t>E.1.1</t>
        </is>
      </c>
      <c r="E210" s="48" t="inlineStr">
        <is>
          <t>E</t>
        </is>
      </c>
      <c r="F210" s="48" t="inlineStr">
        <is>
          <t>T</t>
        </is>
      </c>
      <c r="G210" s="48" t="inlineStr">
        <is>
          <t>tabular</t>
        </is>
      </c>
      <c r="H210" s="48" t="n">
        <v>2</v>
      </c>
      <c r="I210" s="48" t="inlineStr">
        <is>
          <t>Mobile app con travel planner PRM</t>
        </is>
      </c>
      <c r="J210" s="73" t="n"/>
      <c r="K210" s="73" t="n"/>
      <c r="L210" s="73" t="n"/>
      <c r="M210" s="73" t="n"/>
      <c r="N210" s="57">
        <f>IF($A210="","",IF(IFERROR(VALUE($M210),0)=1,1,0))</f>
        <v/>
      </c>
      <c r="O210" s="57">
        <f>IF($A210="",0,IF(OR($S210&lt;&gt;1,COUNTA($J210:$M210)=0),0,IF($N210=1,$H210,0)))</f>
        <v/>
      </c>
      <c r="P210" s="48" t="inlineStr">
        <is>
          <t>sì/no</t>
        </is>
      </c>
      <c r="Q210" s="57">
        <f>IF($A210="","",$A210&amp;"|"&amp;$C210)</f>
        <v/>
      </c>
      <c r="R210" s="57">
        <f>IF($A210="","",$A210&amp;"|"&amp;$C210&amp;"|"&amp;$D210)</f>
        <v/>
      </c>
      <c r="S210" s="57">
        <f>IF($A210="","",IFERROR(INDEX(Offerte!$D$2:$D$81,MATCH($Q210,Offerte!$L$2:$L$81,0)),0))</f>
        <v/>
      </c>
      <c r="T210" s="57">
        <f>IF($A210="","",IFERROR(INDEX(Offerte!$G$2:$G$81,MATCH($Q210,Offerte!$L$2:$L$81,0)),"NO"))</f>
        <v/>
      </c>
    </row>
    <row r="211">
      <c r="A211" s="48">
        <f>IF(Offerte!$A8="","",Offerte!$A8)</f>
        <v/>
      </c>
      <c r="B211" s="48">
        <f>IF(Offerte!$A8="","",Offerte!$B8)</f>
        <v/>
      </c>
      <c r="C211" s="48">
        <f>IF(Offerte!$A8="","",Offerte!$C8)</f>
        <v/>
      </c>
      <c r="D211" s="48" t="inlineStr">
        <is>
          <t>E.2.1</t>
        </is>
      </c>
      <c r="E211" s="48" t="inlineStr">
        <is>
          <t>E</t>
        </is>
      </c>
      <c r="F211" s="48" t="inlineStr">
        <is>
          <t>D</t>
        </is>
      </c>
      <c r="G211" s="48" t="inlineStr">
        <is>
          <t>discretionary</t>
        </is>
      </c>
      <c r="H211" s="48" t="n">
        <v>2</v>
      </c>
      <c r="I211" s="48" t="inlineStr">
        <is>
          <t>Altre azioni informative e rapporti con gli utenti</t>
        </is>
      </c>
      <c r="J211" s="73" t="n"/>
      <c r="K211" s="73" t="n"/>
      <c r="L211" s="73" t="n"/>
      <c r="M211" s="73" t="n"/>
      <c r="N211" s="57">
        <f>IF($A211="","",MAX(0,MIN(1,IFERROR(VALUE($M211),0))))</f>
        <v/>
      </c>
      <c r="O211" s="57">
        <f>IF($A211="",0,IF(OR($S211&lt;&gt;1,COUNTA($J211:$M211)=0),0,IF(SUMPRODUCT(MAX(($C$5:$C$2484=$C211)*($D$5:$D$2484=$D211)*($S$5:$S$2484=1)*IFERROR($N$5:$N$2484*1,0)))&gt;0,ROUND($H211*($N211/SUMPRODUCT(MAX(($C$5:$C$2484=$C211)*($D$5:$D$2484=$D211)*($S$5:$S$2484=1)*IFERROR($N$5:$N$2484*1,0)))),4),0)))</f>
        <v/>
      </c>
      <c r="P211" s="48" t="inlineStr">
        <is>
          <t>coeff.</t>
        </is>
      </c>
      <c r="Q211" s="57">
        <f>IF($A211="","",$A211&amp;"|"&amp;$C211)</f>
        <v/>
      </c>
      <c r="R211" s="57">
        <f>IF($A211="","",$A211&amp;"|"&amp;$C211&amp;"|"&amp;$D211)</f>
        <v/>
      </c>
      <c r="S211" s="57">
        <f>IF($A211="","",IFERROR(INDEX(Offerte!$D$2:$D$81,MATCH($Q211,Offerte!$L$2:$L$81,0)),0))</f>
        <v/>
      </c>
      <c r="T211" s="57">
        <f>IF($A211="","",IFERROR(INDEX(Offerte!$G$2:$G$81,MATCH($Q211,Offerte!$L$2:$L$81,0)),"NO"))</f>
        <v/>
      </c>
    </row>
    <row r="212">
      <c r="A212" s="48">
        <f>IF(Offerte!$A8="","",Offerte!$A8)</f>
        <v/>
      </c>
      <c r="B212" s="48">
        <f>IF(Offerte!$A8="","",Offerte!$B8)</f>
        <v/>
      </c>
      <c r="C212" s="48">
        <f>IF(Offerte!$A8="","",Offerte!$C8)</f>
        <v/>
      </c>
      <c r="D212" s="48" t="inlineStr">
        <is>
          <t>F.1.1</t>
        </is>
      </c>
      <c r="E212" s="48" t="inlineStr">
        <is>
          <t>F</t>
        </is>
      </c>
      <c r="F212" s="48" t="inlineStr">
        <is>
          <t>Q</t>
        </is>
      </c>
      <c r="G212" s="48" t="inlineStr">
        <is>
          <t>lower</t>
        </is>
      </c>
      <c r="H212" s="48" t="n">
        <v>7</v>
      </c>
      <c r="I212" s="48" t="inlineStr">
        <is>
          <t>Performance ambientali del parco mezzi adibito al servizio - I_CEA</t>
        </is>
      </c>
      <c r="J212" s="73" t="n"/>
      <c r="K212" s="73" t="n"/>
      <c r="L212" s="73" t="n"/>
      <c r="M212" s="73" t="n"/>
      <c r="N212" s="57">
        <f>IF($A212="","",IFERROR(VALUE($J212),0))</f>
        <v/>
      </c>
      <c r="O212" s="57">
        <f>IF($A212="",0,IF(OR($S212&lt;&gt;1,COUNTA($J212:$M212)=0),0,IF(AND(IFERROR(AGGREGATE(15,6,$N$5:$N$2484/(($C$5:$C$2484=$C212)*($D$5:$D$2484=$D212)*($S$5:$S$2484=1)*($N$5:$N$2484&gt;0)),1),0)&gt;0,$N212&gt;0),ROUND($H212*(IFERROR(AGGREGATE(15,6,$N$5:$N$2484/(($C$5:$C$2484=$C212)*($D$5:$D$2484=$D212)*($S$5:$S$2484=1)*($N$5:$N$2484&gt;0)),1),0)/$N212),4),0)))</f>
        <v/>
      </c>
      <c r="P212" s="48" t="inlineStr">
        <is>
          <t>indice</t>
        </is>
      </c>
      <c r="Q212" s="57">
        <f>IF($A212="","",$A212&amp;"|"&amp;$C212)</f>
        <v/>
      </c>
      <c r="R212" s="57">
        <f>IF($A212="","",$A212&amp;"|"&amp;$C212&amp;"|"&amp;$D212)</f>
        <v/>
      </c>
      <c r="S212" s="57">
        <f>IF($A212="","",IFERROR(INDEX(Offerte!$D$2:$D$81,MATCH($Q212,Offerte!$L$2:$L$81,0)),0))</f>
        <v/>
      </c>
      <c r="T212" s="57">
        <f>IF($A212="","",IFERROR(INDEX(Offerte!$G$2:$G$81,MATCH($Q212,Offerte!$L$2:$L$81,0)),"NO"))</f>
        <v/>
      </c>
    </row>
    <row r="213">
      <c r="A213" s="48">
        <f>IF(Offerte!$A8="","",Offerte!$A8)</f>
        <v/>
      </c>
      <c r="B213" s="48">
        <f>IF(Offerte!$A8="","",Offerte!$B8)</f>
        <v/>
      </c>
      <c r="C213" s="48">
        <f>IF(Offerte!$A8="","",Offerte!$C8)</f>
        <v/>
      </c>
      <c r="D213" s="48" t="inlineStr">
        <is>
          <t>F.2.1</t>
        </is>
      </c>
      <c r="E213" s="48" t="inlineStr">
        <is>
          <t>F</t>
        </is>
      </c>
      <c r="F213" s="48" t="inlineStr">
        <is>
          <t>Q</t>
        </is>
      </c>
      <c r="G213" s="48" t="inlineStr">
        <is>
          <t>higher</t>
        </is>
      </c>
      <c r="H213" s="48" t="n">
        <v>2</v>
      </c>
      <c r="I213" s="48" t="inlineStr">
        <is>
          <t>Tasso di copertura del servizio con dispositivi ECO-DRIVER</t>
        </is>
      </c>
      <c r="J213" s="73" t="n"/>
      <c r="K213" s="73" t="n"/>
      <c r="L213" s="73" t="n"/>
      <c r="M213" s="73" t="n"/>
      <c r="N213" s="57">
        <f>IF($A213="","",IFERROR(VALUE($K213)/VALUE($L213),IFERROR(VALUE($J213),0)))</f>
        <v/>
      </c>
      <c r="O213" s="57">
        <f>IF($A213="",0,IF(OR($S213&lt;&gt;1,COUNTA($J213:$M213)=0),0,IF(SUMPRODUCT(MAX(($C$5:$C$2484=$C213)*($D$5:$D$2484=$D213)*($S$5:$S$2484=1)*IFERROR($N$5:$N$2484*1,0)))&gt;0,ROUND($H213*($N213/SUMPRODUCT(MAX(($C$5:$C$2484=$C213)*($D$5:$D$2484=$D213)*($S$5:$S$2484=1)*IFERROR($N$5:$N$2484*1,0)))),4),0)))</f>
        <v/>
      </c>
      <c r="P213" s="48" t="inlineStr">
        <is>
          <t>Autobus attrezzati con dispositivi ECO-DRIVER / Autobus totali in offerta, incluse scorte</t>
        </is>
      </c>
      <c r="Q213" s="57">
        <f>IF($A213="","",$A213&amp;"|"&amp;$C213)</f>
        <v/>
      </c>
      <c r="R213" s="57">
        <f>IF($A213="","",$A213&amp;"|"&amp;$C213&amp;"|"&amp;$D213)</f>
        <v/>
      </c>
      <c r="S213" s="57">
        <f>IF($A213="","",IFERROR(INDEX(Offerte!$D$2:$D$81,MATCH($Q213,Offerte!$L$2:$L$81,0)),0))</f>
        <v/>
      </c>
      <c r="T213" s="57">
        <f>IF($A213="","",IFERROR(INDEX(Offerte!$G$2:$G$81,MATCH($Q213,Offerte!$L$2:$L$81,0)),"NO"))</f>
        <v/>
      </c>
    </row>
    <row r="214">
      <c r="A214" s="48">
        <f>IF(Offerte!$A8="","",Offerte!$A8)</f>
        <v/>
      </c>
      <c r="B214" s="48">
        <f>IF(Offerte!$A8="","",Offerte!$B8)</f>
        <v/>
      </c>
      <c r="C214" s="48">
        <f>IF(Offerte!$A8="","",Offerte!$C8)</f>
        <v/>
      </c>
      <c r="D214" s="48" t="inlineStr">
        <is>
          <t>F.3.1</t>
        </is>
      </c>
      <c r="E214" s="48" t="inlineStr">
        <is>
          <t>F</t>
        </is>
      </c>
      <c r="F214" s="48" t="inlineStr">
        <is>
          <t>Q</t>
        </is>
      </c>
      <c r="G214" s="48" t="inlineStr">
        <is>
          <t>higher</t>
        </is>
      </c>
      <c r="H214" s="48" t="n">
        <v>2</v>
      </c>
      <c r="I214" s="48" t="inlineStr">
        <is>
          <t>Autoproduzione consumi elettrici per trazione</t>
        </is>
      </c>
      <c r="J214" s="73" t="n"/>
      <c r="K214" s="73" t="n"/>
      <c r="L214" s="73" t="n"/>
      <c r="M214" s="73" t="n"/>
      <c r="N214" s="57">
        <f>IF($A214="","",IFERROR(VALUE($J214),0))</f>
        <v/>
      </c>
      <c r="O214" s="57">
        <f>IF($A214="",0,IF(OR($S214&lt;&gt;1,COUNTA($J214:$M214)=0),0,IF(SUMPRODUCT(MAX(($C$5:$C$2484=$C214)*($D$5:$D$2484=$D214)*($S$5:$S$2484=1)*IFERROR($N$5:$N$2484*1,0)))&gt;0,ROUND($H214*($N214/SUMPRODUCT(MAX(($C$5:$C$2484=$C214)*($D$5:$D$2484=$D214)*($S$5:$S$2484=1)*IFERROR($N$5:$N$2484*1,0)))),4),0)))</f>
        <v/>
      </c>
      <c r="P214" s="48" t="inlineStr">
        <is>
          <t>kWh/anno</t>
        </is>
      </c>
      <c r="Q214" s="57">
        <f>IF($A214="","",$A214&amp;"|"&amp;$C214)</f>
        <v/>
      </c>
      <c r="R214" s="57">
        <f>IF($A214="","",$A214&amp;"|"&amp;$C214&amp;"|"&amp;$D214)</f>
        <v/>
      </c>
      <c r="S214" s="57">
        <f>IF($A214="","",IFERROR(INDEX(Offerte!$D$2:$D$81,MATCH($Q214,Offerte!$L$2:$L$81,0)),0))</f>
        <v/>
      </c>
      <c r="T214" s="57">
        <f>IF($A214="","",IFERROR(INDEX(Offerte!$G$2:$G$81,MATCH($Q214,Offerte!$L$2:$L$81,0)),"NO"))</f>
        <v/>
      </c>
    </row>
    <row r="215">
      <c r="A215" s="48">
        <f>IF(Offerte!$A8="","",Offerte!$A8)</f>
        <v/>
      </c>
      <c r="B215" s="48">
        <f>IF(Offerte!$A8="","",Offerte!$B8)</f>
        <v/>
      </c>
      <c r="C215" s="48">
        <f>IF(Offerte!$A8="","",Offerte!$C8)</f>
        <v/>
      </c>
      <c r="D215" s="48" t="inlineStr">
        <is>
          <t>F.4.1</t>
        </is>
      </c>
      <c r="E215" s="48" t="inlineStr">
        <is>
          <t>F</t>
        </is>
      </c>
      <c r="F215" s="48" t="inlineStr">
        <is>
          <t>Q</t>
        </is>
      </c>
      <c r="G215" s="48" t="inlineStr">
        <is>
          <t>soil</t>
        </is>
      </c>
      <c r="H215" s="48" t="n">
        <v>2</v>
      </c>
      <c r="I215" s="48" t="inlineStr">
        <is>
          <t>Indice di consumo di suolo</t>
        </is>
      </c>
      <c r="J215" s="73" t="n"/>
      <c r="K215" s="73" t="n"/>
      <c r="L215" s="73" t="n"/>
      <c r="M215" s="73" t="n"/>
      <c r="N215" s="57">
        <f>IF($A215="","",IFERROR(VALUE($J215),0))</f>
        <v/>
      </c>
      <c r="O215" s="57">
        <f>IF($A215="",0,IF(OR($S215&lt;&gt;1,COUNTA($J215:$M215)=0),0,IF($N215&lt;=0,$H215,IF(SUMPRODUCT(MAX(($C$5:$C$2484=$C215)*($D$5:$D$2484=$D215)*($S$5:$S$2484=1)*IFERROR($N$5:$N$2484*1,0)))&gt;0,ROUND($H215*((SUMPRODUCT(MAX(($C$5:$C$2484=$C215)*($D$5:$D$2484=$D215)*($S$5:$S$2484=1)*IFERROR($N$5:$N$2484*1,0)))-$N215)/SUMPRODUCT(MAX(($C$5:$C$2484=$C215)*($D$5:$D$2484=$D215)*($S$5:$S$2484=1)*IFERROR($N$5:$N$2484*1,0)))),4),0))))</f>
        <v/>
      </c>
      <c r="P215" s="48" t="inlineStr">
        <is>
          <t>m2</t>
        </is>
      </c>
      <c r="Q215" s="57">
        <f>IF($A215="","",$A215&amp;"|"&amp;$C215)</f>
        <v/>
      </c>
      <c r="R215" s="57">
        <f>IF($A215="","",$A215&amp;"|"&amp;$C215&amp;"|"&amp;$D215)</f>
        <v/>
      </c>
      <c r="S215" s="57">
        <f>IF($A215="","",IFERROR(INDEX(Offerte!$D$2:$D$81,MATCH($Q215,Offerte!$L$2:$L$81,0)),0))</f>
        <v/>
      </c>
      <c r="T215" s="57">
        <f>IF($A215="","",IFERROR(INDEX(Offerte!$G$2:$G$81,MATCH($Q215,Offerte!$L$2:$L$81,0)),"NO"))</f>
        <v/>
      </c>
    </row>
    <row r="216">
      <c r="A216" s="48">
        <f>IF(Offerte!$A8="","",Offerte!$A8)</f>
        <v/>
      </c>
      <c r="B216" s="48">
        <f>IF(Offerte!$A8="","",Offerte!$B8)</f>
        <v/>
      </c>
      <c r="C216" s="48">
        <f>IF(Offerte!$A8="","",Offerte!$C8)</f>
        <v/>
      </c>
      <c r="D216" s="48" t="inlineStr">
        <is>
          <t>F.5.1</t>
        </is>
      </c>
      <c r="E216" s="48" t="inlineStr">
        <is>
          <t>F</t>
        </is>
      </c>
      <c r="F216" s="48" t="inlineStr">
        <is>
          <t>T</t>
        </is>
      </c>
      <c r="G216" s="48" t="inlineStr">
        <is>
          <t>tabular</t>
        </is>
      </c>
      <c r="H216" s="48" t="n">
        <v>1</v>
      </c>
      <c r="I216" s="48" t="inlineStr">
        <is>
          <t>Rendicontazione di sostenibilità ambientale</t>
        </is>
      </c>
      <c r="J216" s="73" t="n"/>
      <c r="K216" s="73" t="n"/>
      <c r="L216" s="73" t="n"/>
      <c r="M216" s="73" t="n"/>
      <c r="N216" s="57">
        <f>IF($A216="","",IF(IFERROR(VALUE($M216),0)=1,1,0))</f>
        <v/>
      </c>
      <c r="O216" s="57">
        <f>IF($A216="",0,IF(OR($S216&lt;&gt;1,COUNTA($J216:$M216)=0),0,IF($N216=1,$H216,0)))</f>
        <v/>
      </c>
      <c r="P216" s="48" t="inlineStr">
        <is>
          <t>sì/no</t>
        </is>
      </c>
      <c r="Q216" s="57">
        <f>IF($A216="","",$A216&amp;"|"&amp;$C216)</f>
        <v/>
      </c>
      <c r="R216" s="57">
        <f>IF($A216="","",$A216&amp;"|"&amp;$C216&amp;"|"&amp;$D216)</f>
        <v/>
      </c>
      <c r="S216" s="57">
        <f>IF($A216="","",IFERROR(INDEX(Offerte!$D$2:$D$81,MATCH($Q216,Offerte!$L$2:$L$81,0)),0))</f>
        <v/>
      </c>
      <c r="T216" s="57">
        <f>IF($A216="","",IFERROR(INDEX(Offerte!$G$2:$G$81,MATCH($Q216,Offerte!$L$2:$L$81,0)),"NO"))</f>
        <v/>
      </c>
    </row>
    <row r="217">
      <c r="A217" s="48">
        <f>IF(Offerte!$A8="","",Offerte!$A8)</f>
        <v/>
      </c>
      <c r="B217" s="48">
        <f>IF(Offerte!$A8="","",Offerte!$B8)</f>
        <v/>
      </c>
      <c r="C217" s="48">
        <f>IF(Offerte!$A8="","",Offerte!$C8)</f>
        <v/>
      </c>
      <c r="D217" s="48" t="inlineStr">
        <is>
          <t>G.1.1</t>
        </is>
      </c>
      <c r="E217" s="48" t="inlineStr">
        <is>
          <t>G</t>
        </is>
      </c>
      <c r="F217" s="48" t="inlineStr">
        <is>
          <t>D</t>
        </is>
      </c>
      <c r="G217" s="48" t="inlineStr">
        <is>
          <t>discretionary</t>
        </is>
      </c>
      <c r="H217" s="48" t="n">
        <v>2</v>
      </c>
      <c r="I217" s="48" t="inlineStr">
        <is>
          <t>Qualità del progetto di centrale di controllo aziendale</t>
        </is>
      </c>
      <c r="J217" s="73" t="n"/>
      <c r="K217" s="73" t="n"/>
      <c r="L217" s="73" t="n"/>
      <c r="M217" s="73" t="n"/>
      <c r="N217" s="57">
        <f>IF($A217="","",MAX(0,MIN(1,IFERROR(VALUE($M217),0))))</f>
        <v/>
      </c>
      <c r="O217" s="57">
        <f>IF($A217="",0,IF(OR($S217&lt;&gt;1,COUNTA($J217:$M217)=0),0,IF(SUMPRODUCT(MAX(($C$5:$C$2484=$C217)*($D$5:$D$2484=$D217)*($S$5:$S$2484=1)*IFERROR($N$5:$N$2484*1,0)))&gt;0,ROUND($H217*($N217/SUMPRODUCT(MAX(($C$5:$C$2484=$C217)*($D$5:$D$2484=$D217)*($S$5:$S$2484=1)*IFERROR($N$5:$N$2484*1,0)))),4),0)))</f>
        <v/>
      </c>
      <c r="P217" s="48" t="inlineStr">
        <is>
          <t>coeff.</t>
        </is>
      </c>
      <c r="Q217" s="57">
        <f>IF($A217="","",$A217&amp;"|"&amp;$C217)</f>
        <v/>
      </c>
      <c r="R217" s="57">
        <f>IF($A217="","",$A217&amp;"|"&amp;$C217&amp;"|"&amp;$D217)</f>
        <v/>
      </c>
      <c r="S217" s="57">
        <f>IF($A217="","",IFERROR(INDEX(Offerte!$D$2:$D$81,MATCH($Q217,Offerte!$L$2:$L$81,0)),0))</f>
        <v/>
      </c>
      <c r="T217" s="57">
        <f>IF($A217="","",IFERROR(INDEX(Offerte!$G$2:$G$81,MATCH($Q217,Offerte!$L$2:$L$81,0)),"NO"))</f>
        <v/>
      </c>
    </row>
    <row r="218">
      <c r="A218" s="48">
        <f>IF(Offerte!$A8="","",Offerte!$A8)</f>
        <v/>
      </c>
      <c r="B218" s="48">
        <f>IF(Offerte!$A8="","",Offerte!$B8)</f>
        <v/>
      </c>
      <c r="C218" s="48">
        <f>IF(Offerte!$A8="","",Offerte!$C8)</f>
        <v/>
      </c>
      <c r="D218" s="48" t="inlineStr">
        <is>
          <t>G.2.1</t>
        </is>
      </c>
      <c r="E218" s="48" t="inlineStr">
        <is>
          <t>G</t>
        </is>
      </c>
      <c r="F218" s="48" t="inlineStr">
        <is>
          <t>T</t>
        </is>
      </c>
      <c r="G218" s="48" t="inlineStr">
        <is>
          <t>tabular</t>
        </is>
      </c>
      <c r="H218" s="48" t="n">
        <v>1</v>
      </c>
      <c r="I218" s="48" t="inlineStr">
        <is>
          <t>Certificazione ISO 45001</t>
        </is>
      </c>
      <c r="J218" s="73" t="n"/>
      <c r="K218" s="73" t="n"/>
      <c r="L218" s="73" t="n"/>
      <c r="M218" s="73" t="n"/>
      <c r="N218" s="57">
        <f>IF($A218="","",IF(IFERROR(VALUE($M218),0)=1,1,0))</f>
        <v/>
      </c>
      <c r="O218" s="57">
        <f>IF($A218="",0,IF(OR($S218&lt;&gt;1,COUNTA($J218:$M218)=0),0,IF($N218=1,$H218,0)))</f>
        <v/>
      </c>
      <c r="P218" s="48" t="inlineStr">
        <is>
          <t>sì/no</t>
        </is>
      </c>
      <c r="Q218" s="57">
        <f>IF($A218="","",$A218&amp;"|"&amp;$C218)</f>
        <v/>
      </c>
      <c r="R218" s="57">
        <f>IF($A218="","",$A218&amp;"|"&amp;$C218&amp;"|"&amp;$D218)</f>
        <v/>
      </c>
      <c r="S218" s="57">
        <f>IF($A218="","",IFERROR(INDEX(Offerte!$D$2:$D$81,MATCH($Q218,Offerte!$L$2:$L$81,0)),0))</f>
        <v/>
      </c>
      <c r="T218" s="57">
        <f>IF($A218="","",IFERROR(INDEX(Offerte!$G$2:$G$81,MATCH($Q218,Offerte!$L$2:$L$81,0)),"NO"))</f>
        <v/>
      </c>
    </row>
    <row r="219">
      <c r="A219" s="48">
        <f>IF(Offerte!$A8="","",Offerte!$A8)</f>
        <v/>
      </c>
      <c r="B219" s="48">
        <f>IF(Offerte!$A8="","",Offerte!$B8)</f>
        <v/>
      </c>
      <c r="C219" s="48">
        <f>IF(Offerte!$A8="","",Offerte!$C8)</f>
        <v/>
      </c>
      <c r="D219" s="48" t="inlineStr">
        <is>
          <t>G.3.1</t>
        </is>
      </c>
      <c r="E219" s="48" t="inlineStr">
        <is>
          <t>G</t>
        </is>
      </c>
      <c r="F219" s="48" t="inlineStr">
        <is>
          <t>T</t>
        </is>
      </c>
      <c r="G219" s="48" t="inlineStr">
        <is>
          <t>tabular</t>
        </is>
      </c>
      <c r="H219" s="48" t="n">
        <v>1</v>
      </c>
      <c r="I219" s="48" t="inlineStr">
        <is>
          <t>Certificazioni di responsabilità sociale</t>
        </is>
      </c>
      <c r="J219" s="73" t="n"/>
      <c r="K219" s="73" t="n"/>
      <c r="L219" s="73" t="n"/>
      <c r="M219" s="73" t="n"/>
      <c r="N219" s="57">
        <f>IF($A219="","",IF(IFERROR(VALUE($M219),0)=1,1,0))</f>
        <v/>
      </c>
      <c r="O219" s="57">
        <f>IF($A219="",0,IF(OR($S219&lt;&gt;1,COUNTA($J219:$M219)=0),0,IF($N219=1,$H219,0)))</f>
        <v/>
      </c>
      <c r="P219" s="48" t="inlineStr">
        <is>
          <t>sì/no</t>
        </is>
      </c>
      <c r="Q219" s="57">
        <f>IF($A219="","",$A219&amp;"|"&amp;$C219)</f>
        <v/>
      </c>
      <c r="R219" s="57">
        <f>IF($A219="","",$A219&amp;"|"&amp;$C219&amp;"|"&amp;$D219)</f>
        <v/>
      </c>
      <c r="S219" s="57">
        <f>IF($A219="","",IFERROR(INDEX(Offerte!$D$2:$D$81,MATCH($Q219,Offerte!$L$2:$L$81,0)),0))</f>
        <v/>
      </c>
      <c r="T219" s="57">
        <f>IF($A219="","",IFERROR(INDEX(Offerte!$G$2:$G$81,MATCH($Q219,Offerte!$L$2:$L$81,0)),"NO"))</f>
        <v/>
      </c>
    </row>
    <row r="220">
      <c r="A220" s="48">
        <f>IF(Offerte!$A8="","",Offerte!$A8)</f>
        <v/>
      </c>
      <c r="B220" s="48">
        <f>IF(Offerte!$A8="","",Offerte!$B8)</f>
        <v/>
      </c>
      <c r="C220" s="48">
        <f>IF(Offerte!$A8="","",Offerte!$C8)</f>
        <v/>
      </c>
      <c r="D220" s="48" t="inlineStr">
        <is>
          <t>G.4.1</t>
        </is>
      </c>
      <c r="E220" s="48" t="inlineStr">
        <is>
          <t>G</t>
        </is>
      </c>
      <c r="F220" s="48" t="inlineStr">
        <is>
          <t>D</t>
        </is>
      </c>
      <c r="G220" s="48" t="inlineStr">
        <is>
          <t>discretionary</t>
        </is>
      </c>
      <c r="H220" s="48" t="n">
        <v>2</v>
      </c>
      <c r="I220" s="48" t="inlineStr">
        <is>
          <t>Qualità del piano di formazione del personale</t>
        </is>
      </c>
      <c r="J220" s="73" t="n"/>
      <c r="K220" s="73" t="n"/>
      <c r="L220" s="73" t="n"/>
      <c r="M220" s="73" t="n"/>
      <c r="N220" s="57">
        <f>IF($A220="","",MAX(0,MIN(1,IFERROR(VALUE($M220),0))))</f>
        <v/>
      </c>
      <c r="O220" s="57">
        <f>IF($A220="",0,IF(OR($S220&lt;&gt;1,COUNTA($J220:$M220)=0),0,IF(SUMPRODUCT(MAX(($C$5:$C$2484=$C220)*($D$5:$D$2484=$D220)*($S$5:$S$2484=1)*IFERROR($N$5:$N$2484*1,0)))&gt;0,ROUND($H220*($N220/SUMPRODUCT(MAX(($C$5:$C$2484=$C220)*($D$5:$D$2484=$D220)*($S$5:$S$2484=1)*IFERROR($N$5:$N$2484*1,0)))),4),0)))</f>
        <v/>
      </c>
      <c r="P220" s="48" t="inlineStr">
        <is>
          <t>coeff.</t>
        </is>
      </c>
      <c r="Q220" s="57">
        <f>IF($A220="","",$A220&amp;"|"&amp;$C220)</f>
        <v/>
      </c>
      <c r="R220" s="57">
        <f>IF($A220="","",$A220&amp;"|"&amp;$C220&amp;"|"&amp;$D220)</f>
        <v/>
      </c>
      <c r="S220" s="57">
        <f>IF($A220="","",IFERROR(INDEX(Offerte!$D$2:$D$81,MATCH($Q220,Offerte!$L$2:$L$81,0)),0))</f>
        <v/>
      </c>
      <c r="T220" s="57">
        <f>IF($A220="","",IFERROR(INDEX(Offerte!$G$2:$G$81,MATCH($Q220,Offerte!$L$2:$L$81,0)),"NO"))</f>
        <v/>
      </c>
    </row>
    <row r="221">
      <c r="A221" s="48">
        <f>IF(Offerte!$A8="","",Offerte!$A8)</f>
        <v/>
      </c>
      <c r="B221" s="48">
        <f>IF(Offerte!$A8="","",Offerte!$B8)</f>
        <v/>
      </c>
      <c r="C221" s="48">
        <f>IF(Offerte!$A8="","",Offerte!$C8)</f>
        <v/>
      </c>
      <c r="D221" s="48" t="inlineStr">
        <is>
          <t>G.5.1</t>
        </is>
      </c>
      <c r="E221" s="48" t="inlineStr">
        <is>
          <t>G</t>
        </is>
      </c>
      <c r="F221" s="48" t="inlineStr">
        <is>
          <t>T</t>
        </is>
      </c>
      <c r="G221" s="48" t="inlineStr">
        <is>
          <t>tabular</t>
        </is>
      </c>
      <c r="H221" s="48" t="n">
        <v>1</v>
      </c>
      <c r="I221" s="48" t="inlineStr">
        <is>
          <t>Impegno al mantenimento delle garanzie del contratto di secondo livello del gestore uscente</t>
        </is>
      </c>
      <c r="J221" s="73" t="n"/>
      <c r="K221" s="73" t="n"/>
      <c r="L221" s="73" t="n"/>
      <c r="M221" s="73" t="n"/>
      <c r="N221" s="57">
        <f>IF($A221="","",IF(IFERROR(VALUE($M221),0)=1,1,0))</f>
        <v/>
      </c>
      <c r="O221" s="57">
        <f>IF($A221="",0,IF(OR($S221&lt;&gt;1,COUNTA($J221:$M221)=0),0,IF($N221=1,$H221,0)))</f>
        <v/>
      </c>
      <c r="P221" s="48" t="inlineStr">
        <is>
          <t>sì/no</t>
        </is>
      </c>
      <c r="Q221" s="57">
        <f>IF($A221="","",$A221&amp;"|"&amp;$C221)</f>
        <v/>
      </c>
      <c r="R221" s="57">
        <f>IF($A221="","",$A221&amp;"|"&amp;$C221&amp;"|"&amp;$D221)</f>
        <v/>
      </c>
      <c r="S221" s="57">
        <f>IF($A221="","",IFERROR(INDEX(Offerte!$D$2:$D$81,MATCH($Q221,Offerte!$L$2:$L$81,0)),0))</f>
        <v/>
      </c>
      <c r="T221" s="57">
        <f>IF($A221="","",IFERROR(INDEX(Offerte!$G$2:$G$81,MATCH($Q221,Offerte!$L$2:$L$81,0)),"NO"))</f>
        <v/>
      </c>
    </row>
    <row r="222">
      <c r="A222" s="48">
        <f>IF(Offerte!$A9="","",Offerte!$A9)</f>
        <v/>
      </c>
      <c r="B222" s="48">
        <f>IF(Offerte!$A9="","",Offerte!$B9)</f>
        <v/>
      </c>
      <c r="C222" s="48">
        <f>IF(Offerte!$A9="","",Offerte!$C9)</f>
        <v/>
      </c>
      <c r="D222" s="48" t="inlineStr">
        <is>
          <t>A.1.1</t>
        </is>
      </c>
      <c r="E222" s="48" t="inlineStr">
        <is>
          <t>A</t>
        </is>
      </c>
      <c r="F222" s="48" t="inlineStr">
        <is>
          <t>Q</t>
        </is>
      </c>
      <c r="G222" s="48" t="inlineStr">
        <is>
          <t>higher</t>
        </is>
      </c>
      <c r="H222" s="48" t="n">
        <v>3</v>
      </c>
      <c r="I222" s="48" t="inlineStr">
        <is>
          <t>Tasso aggiuntivo di corse controllate</t>
        </is>
      </c>
      <c r="J222" s="73" t="n"/>
      <c r="K222" s="73" t="n"/>
      <c r="L222" s="73" t="n"/>
      <c r="M222" s="73" t="n"/>
      <c r="N222" s="57">
        <f>IF($A222="","",IFERROR(VALUE($K222)/VALUE($L222)*100,IFERROR(VALUE($J222),0)))</f>
        <v/>
      </c>
      <c r="O222" s="57">
        <f>IF($A222="",0,IF(OR($S222&lt;&gt;1,COUNTA($J222:$M222)=0),0,IF(SUMPRODUCT(MAX(($C$5:$C$2484=$C222)*($D$5:$D$2484=$D222)*($S$5:$S$2484=1)*IFERROR($N$5:$N$2484*1,0)))&gt;0,ROUND($H222*($N222/SUMPRODUCT(MAX(($C$5:$C$2484=$C222)*($D$5:$D$2484=$D222)*($S$5:$S$2484=1)*IFERROR($N$5:$N$2484*1,0)))),4),0)))</f>
        <v/>
      </c>
      <c r="P222" s="48" t="inlineStr">
        <is>
          <t>Corse controllate annue / Corse programmate annue</t>
        </is>
      </c>
      <c r="Q222" s="57">
        <f>IF($A222="","",$A222&amp;"|"&amp;$C222)</f>
        <v/>
      </c>
      <c r="R222" s="57">
        <f>IF($A222="","",$A222&amp;"|"&amp;$C222&amp;"|"&amp;$D222)</f>
        <v/>
      </c>
      <c r="S222" s="57">
        <f>IF($A222="","",IFERROR(INDEX(Offerte!$D$2:$D$81,MATCH($Q222,Offerte!$L$2:$L$81,0)),0))</f>
        <v/>
      </c>
      <c r="T222" s="57">
        <f>IF($A222="","",IFERROR(INDEX(Offerte!$G$2:$G$81,MATCH($Q222,Offerte!$L$2:$L$81,0)),"NO"))</f>
        <v/>
      </c>
    </row>
    <row r="223">
      <c r="A223" s="48">
        <f>IF(Offerte!$A9="","",Offerte!$A9)</f>
        <v/>
      </c>
      <c r="B223" s="48">
        <f>IF(Offerte!$A9="","",Offerte!$B9)</f>
        <v/>
      </c>
      <c r="C223" s="48">
        <f>IF(Offerte!$A9="","",Offerte!$C9)</f>
        <v/>
      </c>
      <c r="D223" s="48" t="inlineStr">
        <is>
          <t>A.1.2</t>
        </is>
      </c>
      <c r="E223" s="48" t="inlineStr">
        <is>
          <t>A</t>
        </is>
      </c>
      <c r="F223" s="48" t="inlineStr">
        <is>
          <t>Q</t>
        </is>
      </c>
      <c r="G223" s="48" t="inlineStr">
        <is>
          <t>higher</t>
        </is>
      </c>
      <c r="H223" s="48" t="n">
        <v>4</v>
      </c>
      <c r="I223" s="48" t="inlineStr">
        <is>
          <t>Numero aggiuntivo di passeggeri controllati</t>
        </is>
      </c>
      <c r="J223" s="73" t="n"/>
      <c r="K223" s="73" t="n"/>
      <c r="L223" s="73" t="n"/>
      <c r="M223" s="73" t="n"/>
      <c r="N223" s="57">
        <f>IF($A223="","",IFERROR(VALUE($J223),0))</f>
        <v/>
      </c>
      <c r="O223" s="57">
        <f>IF($A223="",0,IF(OR($S223&lt;&gt;1,COUNTA($J223:$M223)=0),0,IF(SUMPRODUCT(MAX(($C$5:$C$2484=$C223)*($D$5:$D$2484=$D223)*($S$5:$S$2484=1)*IFERROR($N$5:$N$2484*1,0)))&gt;0,ROUND($H223*($N223/SUMPRODUCT(MAX(($C$5:$C$2484=$C223)*($D$5:$D$2484=$D223)*($S$5:$S$2484=1)*IFERROR($N$5:$N$2484*1,0)))),4),0)))</f>
        <v/>
      </c>
      <c r="P223" s="48" t="inlineStr">
        <is>
          <t>passeggeri/anno</t>
        </is>
      </c>
      <c r="Q223" s="57">
        <f>IF($A223="","",$A223&amp;"|"&amp;$C223)</f>
        <v/>
      </c>
      <c r="R223" s="57">
        <f>IF($A223="","",$A223&amp;"|"&amp;$C223&amp;"|"&amp;$D223)</f>
        <v/>
      </c>
      <c r="S223" s="57">
        <f>IF($A223="","",IFERROR(INDEX(Offerte!$D$2:$D$81,MATCH($Q223,Offerte!$L$2:$L$81,0)),0))</f>
        <v/>
      </c>
      <c r="T223" s="57">
        <f>IF($A223="","",IFERROR(INDEX(Offerte!$G$2:$G$81,MATCH($Q223,Offerte!$L$2:$L$81,0)),"NO"))</f>
        <v/>
      </c>
    </row>
    <row r="224">
      <c r="A224" s="48">
        <f>IF(Offerte!$A9="","",Offerte!$A9)</f>
        <v/>
      </c>
      <c r="B224" s="48">
        <f>IF(Offerte!$A9="","",Offerte!$B9)</f>
        <v/>
      </c>
      <c r="C224" s="48">
        <f>IF(Offerte!$A9="","",Offerte!$C9)</f>
        <v/>
      </c>
      <c r="D224" s="48" t="inlineStr">
        <is>
          <t>B.1.1</t>
        </is>
      </c>
      <c r="E224" s="48" t="inlineStr">
        <is>
          <t>B</t>
        </is>
      </c>
      <c r="F224" s="48" t="inlineStr">
        <is>
          <t>Q</t>
        </is>
      </c>
      <c r="G224" s="48" t="inlineStr">
        <is>
          <t>higher</t>
        </is>
      </c>
      <c r="H224" s="48" t="n">
        <v>3</v>
      </c>
      <c r="I224" s="48" t="inlineStr">
        <is>
          <t>Incremento dei posti offerti nelle fasce di punta</t>
        </is>
      </c>
      <c r="J224" s="73" t="n"/>
      <c r="K224" s="73" t="n"/>
      <c r="L224" s="73" t="n"/>
      <c r="M224" s="73" t="n"/>
      <c r="N224" s="57">
        <f>IF($A224="","",IFERROR(VALUE($J224),0))</f>
        <v/>
      </c>
      <c r="O224" s="57">
        <f>IF($A224="",0,IF(OR($S224&lt;&gt;1,COUNTA($J224:$M224)=0),0,IF(SUMPRODUCT(MAX(($C$5:$C$2484=$C224)*($D$5:$D$2484=$D224)*($S$5:$S$2484=1)*IFERROR($N$5:$N$2484*1,0)))&gt;0,ROUND($H224*($N224/SUMPRODUCT(MAX(($C$5:$C$2484=$C224)*($D$5:$D$2484=$D224)*($S$5:$S$2484=1)*IFERROR($N$5:$N$2484*1,0)))),4),0)))</f>
        <v/>
      </c>
      <c r="P224" s="48" t="inlineStr">
        <is>
          <t>posti*km</t>
        </is>
      </c>
      <c r="Q224" s="57">
        <f>IF($A224="","",$A224&amp;"|"&amp;$C224)</f>
        <v/>
      </c>
      <c r="R224" s="57">
        <f>IF($A224="","",$A224&amp;"|"&amp;$C224&amp;"|"&amp;$D224)</f>
        <v/>
      </c>
      <c r="S224" s="57">
        <f>IF($A224="","",IFERROR(INDEX(Offerte!$D$2:$D$81,MATCH($Q224,Offerte!$L$2:$L$81,0)),0))</f>
        <v/>
      </c>
      <c r="T224" s="57">
        <f>IF($A224="","",IFERROR(INDEX(Offerte!$G$2:$G$81,MATCH($Q224,Offerte!$L$2:$L$81,0)),"NO"))</f>
        <v/>
      </c>
    </row>
    <row r="225">
      <c r="A225" s="48">
        <f>IF(Offerte!$A9="","",Offerte!$A9)</f>
        <v/>
      </c>
      <c r="B225" s="48">
        <f>IF(Offerte!$A9="","",Offerte!$B9)</f>
        <v/>
      </c>
      <c r="C225" s="48">
        <f>IF(Offerte!$A9="","",Offerte!$C9)</f>
        <v/>
      </c>
      <c r="D225" s="48" t="inlineStr">
        <is>
          <t>B.2.1</t>
        </is>
      </c>
      <c r="E225" s="48" t="inlineStr">
        <is>
          <t>B</t>
        </is>
      </c>
      <c r="F225" s="48" t="inlineStr">
        <is>
          <t>Q</t>
        </is>
      </c>
      <c r="G225" s="48" t="inlineStr">
        <is>
          <t>higher</t>
        </is>
      </c>
      <c r="H225" s="48" t="n">
        <v>4</v>
      </c>
      <c r="I225" s="48" t="inlineStr">
        <is>
          <t>Corse aggiuntive nell'arco giornaliero base</t>
        </is>
      </c>
      <c r="J225" s="73" t="n"/>
      <c r="K225" s="73" t="n"/>
      <c r="L225" s="73" t="n"/>
      <c r="M225" s="73" t="n"/>
      <c r="N225" s="57">
        <f>IF($A225="","",IFERROR(VALUE($J225),0))</f>
        <v/>
      </c>
      <c r="O225" s="57">
        <f>IF($A225="",0,IF(OR($S225&lt;&gt;1,COUNTA($J225:$M225)=0),0,IF(SUMPRODUCT(MAX(($C$5:$C$2484=$C225)*($D$5:$D$2484=$D225)*($S$5:$S$2484=1)*IFERROR($N$5:$N$2484*1,0)))&gt;0,ROUND($H225*($N225/SUMPRODUCT(MAX(($C$5:$C$2484=$C225)*($D$5:$D$2484=$D225)*($S$5:$S$2484=1)*IFERROR($N$5:$N$2484*1,0)))),4),0)))</f>
        <v/>
      </c>
      <c r="P225" s="48" t="inlineStr">
        <is>
          <t>corse</t>
        </is>
      </c>
      <c r="Q225" s="57">
        <f>IF($A225="","",$A225&amp;"|"&amp;$C225)</f>
        <v/>
      </c>
      <c r="R225" s="57">
        <f>IF($A225="","",$A225&amp;"|"&amp;$C225&amp;"|"&amp;$D225)</f>
        <v/>
      </c>
      <c r="S225" s="57">
        <f>IF($A225="","",IFERROR(INDEX(Offerte!$D$2:$D$81,MATCH($Q225,Offerte!$L$2:$L$81,0)),0))</f>
        <v/>
      </c>
      <c r="T225" s="57">
        <f>IF($A225="","",IFERROR(INDEX(Offerte!$G$2:$G$81,MATCH($Q225,Offerte!$L$2:$L$81,0)),"NO"))</f>
        <v/>
      </c>
    </row>
    <row r="226">
      <c r="A226" s="48">
        <f>IF(Offerte!$A9="","",Offerte!$A9)</f>
        <v/>
      </c>
      <c r="B226" s="48">
        <f>IF(Offerte!$A9="","",Offerte!$B9)</f>
        <v/>
      </c>
      <c r="C226" s="48">
        <f>IF(Offerte!$A9="","",Offerte!$C9)</f>
        <v/>
      </c>
      <c r="D226" s="48" t="inlineStr">
        <is>
          <t>B.3.1</t>
        </is>
      </c>
      <c r="E226" s="48" t="inlineStr">
        <is>
          <t>B</t>
        </is>
      </c>
      <c r="F226" s="48" t="inlineStr">
        <is>
          <t>Q</t>
        </is>
      </c>
      <c r="G226" s="48" t="inlineStr">
        <is>
          <t>higher</t>
        </is>
      </c>
      <c r="H226" s="48" t="n">
        <v>2</v>
      </c>
      <c r="I226" s="48" t="inlineStr">
        <is>
          <t>Numero di corse aggiuntive per allungamento dell'arco di servizio giornaliero nelle fasce serali</t>
        </is>
      </c>
      <c r="J226" s="73" t="n"/>
      <c r="K226" s="73" t="n"/>
      <c r="L226" s="73" t="n"/>
      <c r="M226" s="73" t="n"/>
      <c r="N226" s="57">
        <f>IF($A226="","",IFERROR(VALUE($J226),0))</f>
        <v/>
      </c>
      <c r="O226" s="57">
        <f>IF($A226="",0,IF(OR($S226&lt;&gt;1,COUNTA($J226:$M226)=0),0,IF(SUMPRODUCT(MAX(($C$5:$C$2484=$C226)*($D$5:$D$2484=$D226)*($S$5:$S$2484=1)*IFERROR($N$5:$N$2484*1,0)))&gt;0,ROUND($H226*($N226/SUMPRODUCT(MAX(($C$5:$C$2484=$C226)*($D$5:$D$2484=$D226)*($S$5:$S$2484=1)*IFERROR($N$5:$N$2484*1,0)))),4),0)))</f>
        <v/>
      </c>
      <c r="P226" s="48" t="inlineStr">
        <is>
          <t>corse</t>
        </is>
      </c>
      <c r="Q226" s="57">
        <f>IF($A226="","",$A226&amp;"|"&amp;$C226)</f>
        <v/>
      </c>
      <c r="R226" s="57">
        <f>IF($A226="","",$A226&amp;"|"&amp;$C226&amp;"|"&amp;$D226)</f>
        <v/>
      </c>
      <c r="S226" s="57">
        <f>IF($A226="","",IFERROR(INDEX(Offerte!$D$2:$D$81,MATCH($Q226,Offerte!$L$2:$L$81,0)),0))</f>
        <v/>
      </c>
      <c r="T226" s="57">
        <f>IF($A226="","",IFERROR(INDEX(Offerte!$G$2:$G$81,MATCH($Q226,Offerte!$L$2:$L$81,0)),"NO"))</f>
        <v/>
      </c>
    </row>
    <row r="227">
      <c r="A227" s="48">
        <f>IF(Offerte!$A9="","",Offerte!$A9)</f>
        <v/>
      </c>
      <c r="B227" s="48">
        <f>IF(Offerte!$A9="","",Offerte!$B9)</f>
        <v/>
      </c>
      <c r="C227" s="48">
        <f>IF(Offerte!$A9="","",Offerte!$C9)</f>
        <v/>
      </c>
      <c r="D227" s="48" t="inlineStr">
        <is>
          <t>B.4.1</t>
        </is>
      </c>
      <c r="E227" s="48" t="inlineStr">
        <is>
          <t>B</t>
        </is>
      </c>
      <c r="F227" s="48" t="inlineStr">
        <is>
          <t>Q</t>
        </is>
      </c>
      <c r="G227" s="48" t="inlineStr">
        <is>
          <t>higher</t>
        </is>
      </c>
      <c r="H227" s="48" t="n">
        <v>3</v>
      </c>
      <c r="I227" s="48" t="inlineStr">
        <is>
          <t>Percorrenze aggiuntive offerte nel Programma d'esercizio delle prime due fasi attuative</t>
        </is>
      </c>
      <c r="J227" s="73" t="n"/>
      <c r="K227" s="73" t="n"/>
      <c r="L227" s="73" t="n"/>
      <c r="M227" s="73" t="n"/>
      <c r="N227" s="57">
        <f>IF($A227="","",IFERROR(VALUE($J227),0))</f>
        <v/>
      </c>
      <c r="O227" s="57">
        <f>IF($A227="",0,IF(OR($S227&lt;&gt;1,COUNTA($J227:$M227)=0),0,IF(SUMPRODUCT(MAX(($C$5:$C$2484=$C227)*($D$5:$D$2484=$D227)*($S$5:$S$2484=1)*IFERROR($N$5:$N$2484*1,0)))&gt;0,ROUND($H227*($N227/SUMPRODUCT(MAX(($C$5:$C$2484=$C227)*($D$5:$D$2484=$D227)*($S$5:$S$2484=1)*IFERROR($N$5:$N$2484*1,0)))),4),0)))</f>
        <v/>
      </c>
      <c r="P227" s="48" t="inlineStr">
        <is>
          <t>vett*km</t>
        </is>
      </c>
      <c r="Q227" s="57">
        <f>IF($A227="","",$A227&amp;"|"&amp;$C227)</f>
        <v/>
      </c>
      <c r="R227" s="57">
        <f>IF($A227="","",$A227&amp;"|"&amp;$C227&amp;"|"&amp;$D227)</f>
        <v/>
      </c>
      <c r="S227" s="57">
        <f>IF($A227="","",IFERROR(INDEX(Offerte!$D$2:$D$81,MATCH($Q227,Offerte!$L$2:$L$81,0)),0))</f>
        <v/>
      </c>
      <c r="T227" s="57">
        <f>IF($A227="","",IFERROR(INDEX(Offerte!$G$2:$G$81,MATCH($Q227,Offerte!$L$2:$L$81,0)),"NO"))</f>
        <v/>
      </c>
    </row>
    <row r="228">
      <c r="A228" s="48">
        <f>IF(Offerte!$A9="","",Offerte!$A9)</f>
        <v/>
      </c>
      <c r="B228" s="48">
        <f>IF(Offerte!$A9="","",Offerte!$B9)</f>
        <v/>
      </c>
      <c r="C228" s="48">
        <f>IF(Offerte!$A9="","",Offerte!$C9)</f>
        <v/>
      </c>
      <c r="D228" s="48" t="inlineStr">
        <is>
          <t>B.5.1</t>
        </is>
      </c>
      <c r="E228" s="48" t="inlineStr">
        <is>
          <t>B</t>
        </is>
      </c>
      <c r="F228" s="48" t="inlineStr">
        <is>
          <t>D</t>
        </is>
      </c>
      <c r="G228" s="48" t="inlineStr">
        <is>
          <t>discretionary</t>
        </is>
      </c>
      <c r="H228" s="48" t="n">
        <v>2</v>
      </c>
      <c r="I228" s="48" t="inlineStr">
        <is>
          <t>Efficacia del progetto di servizi complementari DRT</t>
        </is>
      </c>
      <c r="J228" s="73" t="n"/>
      <c r="K228" s="73" t="n"/>
      <c r="L228" s="73" t="n"/>
      <c r="M228" s="73" t="n"/>
      <c r="N228" s="57">
        <f>IF($A228="","",MAX(0,MIN(1,IFERROR(VALUE($M228),0))))</f>
        <v/>
      </c>
      <c r="O228" s="57">
        <f>IF($A228="",0,IF(OR($S228&lt;&gt;1,COUNTA($J228:$M228)=0),0,IF(SUMPRODUCT(MAX(($C$5:$C$2484=$C228)*($D$5:$D$2484=$D228)*($S$5:$S$2484=1)*IFERROR($N$5:$N$2484*1,0)))&gt;0,ROUND($H228*($N228/SUMPRODUCT(MAX(($C$5:$C$2484=$C228)*($D$5:$D$2484=$D228)*($S$5:$S$2484=1)*IFERROR($N$5:$N$2484*1,0)))),4),0)))</f>
        <v/>
      </c>
      <c r="P228" s="48" t="inlineStr">
        <is>
          <t>coeff.</t>
        </is>
      </c>
      <c r="Q228" s="57">
        <f>IF($A228="","",$A228&amp;"|"&amp;$C228)</f>
        <v/>
      </c>
      <c r="R228" s="57">
        <f>IF($A228="","",$A228&amp;"|"&amp;$C228&amp;"|"&amp;$D228)</f>
        <v/>
      </c>
      <c r="S228" s="57">
        <f>IF($A228="","",IFERROR(INDEX(Offerte!$D$2:$D$81,MATCH($Q228,Offerte!$L$2:$L$81,0)),0))</f>
        <v/>
      </c>
      <c r="T228" s="57">
        <f>IF($A228="","",IFERROR(INDEX(Offerte!$G$2:$G$81,MATCH($Q228,Offerte!$L$2:$L$81,0)),"NO"))</f>
        <v/>
      </c>
    </row>
    <row r="229">
      <c r="A229" s="48">
        <f>IF(Offerte!$A9="","",Offerte!$A9)</f>
        <v/>
      </c>
      <c r="B229" s="48">
        <f>IF(Offerte!$A9="","",Offerte!$B9)</f>
        <v/>
      </c>
      <c r="C229" s="48">
        <f>IF(Offerte!$A9="","",Offerte!$C9)</f>
        <v/>
      </c>
      <c r="D229" s="48" t="inlineStr">
        <is>
          <t>C.1.1</t>
        </is>
      </c>
      <c r="E229" s="48" t="inlineStr">
        <is>
          <t>C</t>
        </is>
      </c>
      <c r="F229" s="48" t="inlineStr">
        <is>
          <t>Q</t>
        </is>
      </c>
      <c r="G229" s="48" t="inlineStr">
        <is>
          <t>higher</t>
        </is>
      </c>
      <c r="H229" s="48" t="n">
        <v>2</v>
      </c>
      <c r="I229" s="48" t="inlineStr">
        <is>
          <t>Tasso di copertura del servizio con telecamere BSD</t>
        </is>
      </c>
      <c r="J229" s="73" t="n"/>
      <c r="K229" s="73" t="n"/>
      <c r="L229" s="73" t="n"/>
      <c r="M229" s="73" t="n"/>
      <c r="N229" s="57">
        <f>IF($A229="","",IFERROR(VALUE($K229)/VALUE($L229),IFERROR(VALUE($J229),0)))</f>
        <v/>
      </c>
      <c r="O229" s="57">
        <f>IF($A229="",0,IF(OR($S229&lt;&gt;1,COUNTA($J229:$M229)=0),0,IF(SUMPRODUCT(MAX(($C$5:$C$2484=$C229)*($D$5:$D$2484=$D229)*($S$5:$S$2484=1)*IFERROR($N$5:$N$2484*1,0)))&gt;0,ROUND($H229*($N229/SUMPRODUCT(MAX(($C$5:$C$2484=$C229)*($D$5:$D$2484=$D229)*($S$5:$S$2484=1)*IFERROR($N$5:$N$2484*1,0)))),4),0)))</f>
        <v/>
      </c>
      <c r="P229" s="48" t="inlineStr">
        <is>
          <t>Autobus attrezzati con telecamere BSD / Autobus totali in offerta, incluse scorte</t>
        </is>
      </c>
      <c r="Q229" s="57">
        <f>IF($A229="","",$A229&amp;"|"&amp;$C229)</f>
        <v/>
      </c>
      <c r="R229" s="57">
        <f>IF($A229="","",$A229&amp;"|"&amp;$C229&amp;"|"&amp;$D229)</f>
        <v/>
      </c>
      <c r="S229" s="57">
        <f>IF($A229="","",IFERROR(INDEX(Offerte!$D$2:$D$81,MATCH($Q229,Offerte!$L$2:$L$81,0)),0))</f>
        <v/>
      </c>
      <c r="T229" s="57">
        <f>IF($A229="","",IFERROR(INDEX(Offerte!$G$2:$G$81,MATCH($Q229,Offerte!$L$2:$L$81,0)),"NO"))</f>
        <v/>
      </c>
    </row>
    <row r="230">
      <c r="A230" s="48">
        <f>IF(Offerte!$A9="","",Offerte!$A9)</f>
        <v/>
      </c>
      <c r="B230" s="48">
        <f>IF(Offerte!$A9="","",Offerte!$B9)</f>
        <v/>
      </c>
      <c r="C230" s="48">
        <f>IF(Offerte!$A9="","",Offerte!$C9)</f>
        <v/>
      </c>
      <c r="D230" s="48" t="inlineStr">
        <is>
          <t>C.1.2</t>
        </is>
      </c>
      <c r="E230" s="48" t="inlineStr">
        <is>
          <t>C</t>
        </is>
      </c>
      <c r="F230" s="48" t="inlineStr">
        <is>
          <t>Q</t>
        </is>
      </c>
      <c r="G230" s="48" t="inlineStr">
        <is>
          <t>higher</t>
        </is>
      </c>
      <c r="H230" s="48" t="n">
        <v>2</v>
      </c>
      <c r="I230" s="48" t="inlineStr">
        <is>
          <t>Tasso di copertura del servizio con telecamere ADAS</t>
        </is>
      </c>
      <c r="J230" s="73" t="n"/>
      <c r="K230" s="73" t="n"/>
      <c r="L230" s="73" t="n"/>
      <c r="M230" s="73" t="n"/>
      <c r="N230" s="57">
        <f>IF($A230="","",IFERROR(VALUE($K230)/VALUE($L230),IFERROR(VALUE($J230),0)))</f>
        <v/>
      </c>
      <c r="O230" s="57">
        <f>IF($A230="",0,IF(OR($S230&lt;&gt;1,COUNTA($J230:$M230)=0),0,IF(SUMPRODUCT(MAX(($C$5:$C$2484=$C230)*($D$5:$D$2484=$D230)*($S$5:$S$2484=1)*IFERROR($N$5:$N$2484*1,0)))&gt;0,ROUND($H230*($N230/SUMPRODUCT(MAX(($C$5:$C$2484=$C230)*($D$5:$D$2484=$D230)*($S$5:$S$2484=1)*IFERROR($N$5:$N$2484*1,0)))),4),0)))</f>
        <v/>
      </c>
      <c r="P230" s="48" t="inlineStr">
        <is>
          <t>Autobus attrezzati con telecamere ADAS / Autobus totali in offerta, incluse scorte</t>
        </is>
      </c>
      <c r="Q230" s="57">
        <f>IF($A230="","",$A230&amp;"|"&amp;$C230)</f>
        <v/>
      </c>
      <c r="R230" s="57">
        <f>IF($A230="","",$A230&amp;"|"&amp;$C230&amp;"|"&amp;$D230)</f>
        <v/>
      </c>
      <c r="S230" s="57">
        <f>IF($A230="","",IFERROR(INDEX(Offerte!$D$2:$D$81,MATCH($Q230,Offerte!$L$2:$L$81,0)),0))</f>
        <v/>
      </c>
      <c r="T230" s="57">
        <f>IF($A230="","",IFERROR(INDEX(Offerte!$G$2:$G$81,MATCH($Q230,Offerte!$L$2:$L$81,0)),"NO"))</f>
        <v/>
      </c>
    </row>
    <row r="231">
      <c r="A231" s="48">
        <f>IF(Offerte!$A9="","",Offerte!$A9)</f>
        <v/>
      </c>
      <c r="B231" s="48">
        <f>IF(Offerte!$A9="","",Offerte!$B9)</f>
        <v/>
      </c>
      <c r="C231" s="48">
        <f>IF(Offerte!$A9="","",Offerte!$C9)</f>
        <v/>
      </c>
      <c r="D231" s="48" t="inlineStr">
        <is>
          <t>C.2.1</t>
        </is>
      </c>
      <c r="E231" s="48" t="inlineStr">
        <is>
          <t>C</t>
        </is>
      </c>
      <c r="F231" s="48" t="inlineStr">
        <is>
          <t>Q</t>
        </is>
      </c>
      <c r="G231" s="48" t="inlineStr">
        <is>
          <t>higher</t>
        </is>
      </c>
      <c r="H231" s="48" t="n">
        <v>3</v>
      </c>
      <c r="I231" s="48" t="inlineStr">
        <is>
          <t>Tasso di copertura del servizio con telecamere di bordo di videosorveglianza</t>
        </is>
      </c>
      <c r="J231" s="73" t="n"/>
      <c r="K231" s="73" t="n"/>
      <c r="L231" s="73" t="n"/>
      <c r="M231" s="73" t="n"/>
      <c r="N231" s="57">
        <f>IF($A231="","",IFERROR(VALUE($K231)/VALUE($L231),IFERROR(VALUE($J231),0)))</f>
        <v/>
      </c>
      <c r="O231" s="57">
        <f>IF($A231="",0,IF(OR($S231&lt;&gt;1,COUNTA($J231:$M231)=0),0,IF(SUMPRODUCT(MAX(($C$5:$C$2484=$C231)*($D$5:$D$2484=$D231)*($S$5:$S$2484=1)*IFERROR($N$5:$N$2484*1,0)))&gt;0,ROUND($H231*($N231/SUMPRODUCT(MAX(($C$5:$C$2484=$C231)*($D$5:$D$2484=$D231)*($S$5:$S$2484=1)*IFERROR($N$5:$N$2484*1,0)))),4),0)))</f>
        <v/>
      </c>
      <c r="P231" s="48" t="inlineStr">
        <is>
          <t>Autobus attrezzati con videosorveglianza / Autobus totali in offerta, incluse scorte</t>
        </is>
      </c>
      <c r="Q231" s="57">
        <f>IF($A231="","",$A231&amp;"|"&amp;$C231)</f>
        <v/>
      </c>
      <c r="R231" s="57">
        <f>IF($A231="","",$A231&amp;"|"&amp;$C231&amp;"|"&amp;$D231)</f>
        <v/>
      </c>
      <c r="S231" s="57">
        <f>IF($A231="","",IFERROR(INDEX(Offerte!$D$2:$D$81,MATCH($Q231,Offerte!$L$2:$L$81,0)),0))</f>
        <v/>
      </c>
      <c r="T231" s="57">
        <f>IF($A231="","",IFERROR(INDEX(Offerte!$G$2:$G$81,MATCH($Q231,Offerte!$L$2:$L$81,0)),"NO"))</f>
        <v/>
      </c>
    </row>
    <row r="232">
      <c r="A232" s="48">
        <f>IF(Offerte!$A9="","",Offerte!$A9)</f>
        <v/>
      </c>
      <c r="B232" s="48">
        <f>IF(Offerte!$A9="","",Offerte!$B9)</f>
        <v/>
      </c>
      <c r="C232" s="48">
        <f>IF(Offerte!$A9="","",Offerte!$C9)</f>
        <v/>
      </c>
      <c r="D232" s="48" t="inlineStr">
        <is>
          <t>C.2.2</t>
        </is>
      </c>
      <c r="E232" s="48" t="inlineStr">
        <is>
          <t>C</t>
        </is>
      </c>
      <c r="F232" s="48" t="inlineStr">
        <is>
          <t>T</t>
        </is>
      </c>
      <c r="G232" s="48" t="inlineStr">
        <is>
          <t>tabular</t>
        </is>
      </c>
      <c r="H232" s="48" t="n">
        <v>1</v>
      </c>
      <c r="I232" s="48" t="inlineStr">
        <is>
          <t>Software video/audio analisi per situazioni di pericolo</t>
        </is>
      </c>
      <c r="J232" s="73" t="n"/>
      <c r="K232" s="73" t="n"/>
      <c r="L232" s="73" t="n"/>
      <c r="M232" s="73" t="n"/>
      <c r="N232" s="57">
        <f>IF($A232="","",IF(IFERROR(VALUE($M232),0)=1,1,0))</f>
        <v/>
      </c>
      <c r="O232" s="57">
        <f>IF($A232="",0,IF(OR($S232&lt;&gt;1,COUNTA($J232:$M232)=0),0,IF($N232=1,$H232,0)))</f>
        <v/>
      </c>
      <c r="P232" s="48" t="inlineStr">
        <is>
          <t>sì/no</t>
        </is>
      </c>
      <c r="Q232" s="57">
        <f>IF($A232="","",$A232&amp;"|"&amp;$C232)</f>
        <v/>
      </c>
      <c r="R232" s="57">
        <f>IF($A232="","",$A232&amp;"|"&amp;$C232&amp;"|"&amp;$D232)</f>
        <v/>
      </c>
      <c r="S232" s="57">
        <f>IF($A232="","",IFERROR(INDEX(Offerte!$D$2:$D$81,MATCH($Q232,Offerte!$L$2:$L$81,0)),0))</f>
        <v/>
      </c>
      <c r="T232" s="57">
        <f>IF($A232="","",IFERROR(INDEX(Offerte!$G$2:$G$81,MATCH($Q232,Offerte!$L$2:$L$81,0)),"NO"))</f>
        <v/>
      </c>
    </row>
    <row r="233">
      <c r="A233" s="48">
        <f>IF(Offerte!$A9="","",Offerte!$A9)</f>
        <v/>
      </c>
      <c r="B233" s="48">
        <f>IF(Offerte!$A9="","",Offerte!$B9)</f>
        <v/>
      </c>
      <c r="C233" s="48">
        <f>IF(Offerte!$A9="","",Offerte!$C9)</f>
        <v/>
      </c>
      <c r="D233" s="48" t="inlineStr">
        <is>
          <t>C.2.3</t>
        </is>
      </c>
      <c r="E233" s="48" t="inlineStr">
        <is>
          <t>C</t>
        </is>
      </c>
      <c r="F233" s="48" t="inlineStr">
        <is>
          <t>T</t>
        </is>
      </c>
      <c r="G233" s="48" t="inlineStr">
        <is>
          <t>tabular</t>
        </is>
      </c>
      <c r="H233" s="48" t="n">
        <v>1</v>
      </c>
      <c r="I233" s="48" t="inlineStr">
        <is>
          <t>Collegamento con centrale qualificata di pronto intervento</t>
        </is>
      </c>
      <c r="J233" s="73" t="n"/>
      <c r="K233" s="73" t="n"/>
      <c r="L233" s="73" t="n"/>
      <c r="M233" s="73" t="n"/>
      <c r="N233" s="57">
        <f>IF($A233="","",IF(IFERROR(VALUE($M233),0)=1,1,0))</f>
        <v/>
      </c>
      <c r="O233" s="57">
        <f>IF($A233="",0,IF(OR($S233&lt;&gt;1,COUNTA($J233:$M233)=0),0,IF($N233=1,$H233,0)))</f>
        <v/>
      </c>
      <c r="P233" s="48" t="inlineStr">
        <is>
          <t>sì/no</t>
        </is>
      </c>
      <c r="Q233" s="57">
        <f>IF($A233="","",$A233&amp;"|"&amp;$C233)</f>
        <v/>
      </c>
      <c r="R233" s="57">
        <f>IF($A233="","",$A233&amp;"|"&amp;$C233&amp;"|"&amp;$D233)</f>
        <v/>
      </c>
      <c r="S233" s="57">
        <f>IF($A233="","",IFERROR(INDEX(Offerte!$D$2:$D$81,MATCH($Q233,Offerte!$L$2:$L$81,0)),0))</f>
        <v/>
      </c>
      <c r="T233" s="57">
        <f>IF($A233="","",IFERROR(INDEX(Offerte!$G$2:$G$81,MATCH($Q233,Offerte!$L$2:$L$81,0)),"NO"))</f>
        <v/>
      </c>
    </row>
    <row r="234">
      <c r="A234" s="48">
        <f>IF(Offerte!$A9="","",Offerte!$A9)</f>
        <v/>
      </c>
      <c r="B234" s="48">
        <f>IF(Offerte!$A9="","",Offerte!$B9)</f>
        <v/>
      </c>
      <c r="C234" s="48">
        <f>IF(Offerte!$A9="","",Offerte!$C9)</f>
        <v/>
      </c>
      <c r="D234" s="48" t="inlineStr">
        <is>
          <t>C.2.4</t>
        </is>
      </c>
      <c r="E234" s="48" t="inlineStr">
        <is>
          <t>C</t>
        </is>
      </c>
      <c r="F234" s="48" t="inlineStr">
        <is>
          <t>Q</t>
        </is>
      </c>
      <c r="G234" s="48" t="inlineStr">
        <is>
          <t>higher</t>
        </is>
      </c>
      <c r="H234" s="48" t="n">
        <v>1</v>
      </c>
      <c r="I234" s="48" t="inlineStr">
        <is>
          <t>Tasso di copertura del servizio con dispositivi per la chiamata di emergenza del conducente</t>
        </is>
      </c>
      <c r="J234" s="73" t="n"/>
      <c r="K234" s="73" t="n"/>
      <c r="L234" s="73" t="n"/>
      <c r="M234" s="73" t="n"/>
      <c r="N234" s="57">
        <f>IF($A234="","",IFERROR(VALUE($K234)/VALUE($L234),IFERROR(VALUE($J234),0)))</f>
        <v/>
      </c>
      <c r="O234" s="57">
        <f>IF($A234="",0,IF(OR($S234&lt;&gt;1,COUNTA($J234:$M234)=0),0,IF(SUMPRODUCT(MAX(($C$5:$C$2484=$C234)*($D$5:$D$2484=$D234)*($S$5:$S$2484=1)*IFERROR($N$5:$N$2484*1,0)))&gt;0,ROUND($H234*($N234/SUMPRODUCT(MAX(($C$5:$C$2484=$C234)*($D$5:$D$2484=$D234)*($S$5:$S$2484=1)*IFERROR($N$5:$N$2484*1,0)))),4),0)))</f>
        <v/>
      </c>
      <c r="P234" s="48" t="inlineStr">
        <is>
          <t>Autobus attrezzati con chiamata di emergenza / Autobus totali in offerta, incluse scorte</t>
        </is>
      </c>
      <c r="Q234" s="57">
        <f>IF($A234="","",$A234&amp;"|"&amp;$C234)</f>
        <v/>
      </c>
      <c r="R234" s="57">
        <f>IF($A234="","",$A234&amp;"|"&amp;$C234&amp;"|"&amp;$D234)</f>
        <v/>
      </c>
      <c r="S234" s="57">
        <f>IF($A234="","",IFERROR(INDEX(Offerte!$D$2:$D$81,MATCH($Q234,Offerte!$L$2:$L$81,0)),0))</f>
        <v/>
      </c>
      <c r="T234" s="57">
        <f>IF($A234="","",IFERROR(INDEX(Offerte!$G$2:$G$81,MATCH($Q234,Offerte!$L$2:$L$81,0)),"NO"))</f>
        <v/>
      </c>
    </row>
    <row r="235">
      <c r="A235" s="48">
        <f>IF(Offerte!$A9="","",Offerte!$A9)</f>
        <v/>
      </c>
      <c r="B235" s="48">
        <f>IF(Offerte!$A9="","",Offerte!$B9)</f>
        <v/>
      </c>
      <c r="C235" s="48">
        <f>IF(Offerte!$A9="","",Offerte!$C9)</f>
        <v/>
      </c>
      <c r="D235" s="48" t="inlineStr">
        <is>
          <t>C.3.1</t>
        </is>
      </c>
      <c r="E235" s="48" t="inlineStr">
        <is>
          <t>C</t>
        </is>
      </c>
      <c r="F235" s="48" t="inlineStr">
        <is>
          <t>Q</t>
        </is>
      </c>
      <c r="G235" s="48" t="inlineStr">
        <is>
          <t>higher</t>
        </is>
      </c>
      <c r="H235" s="48" t="n">
        <v>2</v>
      </c>
      <c r="I235" s="48" t="inlineStr">
        <is>
          <t>Tasso di copertura del servizio con dispositivi di informazione dinamica a bordo mezzo</t>
        </is>
      </c>
      <c r="J235" s="73" t="n"/>
      <c r="K235" s="73" t="n"/>
      <c r="L235" s="73" t="n"/>
      <c r="M235" s="73" t="n"/>
      <c r="N235" s="57">
        <f>IF($A235="","",IFERROR(VALUE($K235)/VALUE($L235),IFERROR(VALUE($J235),0)))</f>
        <v/>
      </c>
      <c r="O235" s="57">
        <f>IF($A235="",0,IF(OR($S235&lt;&gt;1,COUNTA($J235:$M235)=0),0,IF(SUMPRODUCT(MAX(($C$5:$C$2484=$C235)*($D$5:$D$2484=$D235)*($S$5:$S$2484=1)*IFERROR($N$5:$N$2484*1,0)))&gt;0,ROUND($H235*($N235/SUMPRODUCT(MAX(($C$5:$C$2484=$C235)*($D$5:$D$2484=$D235)*($S$5:$S$2484=1)*IFERROR($N$5:$N$2484*1,0)))),4),0)))</f>
        <v/>
      </c>
      <c r="P235" s="48" t="inlineStr">
        <is>
          <t>Autobus con monitor e indicatori vocali / Autobus totali in offerta, incluse scorte</t>
        </is>
      </c>
      <c r="Q235" s="57">
        <f>IF($A235="","",$A235&amp;"|"&amp;$C235)</f>
        <v/>
      </c>
      <c r="R235" s="57">
        <f>IF($A235="","",$A235&amp;"|"&amp;$C235&amp;"|"&amp;$D235)</f>
        <v/>
      </c>
      <c r="S235" s="57">
        <f>IF($A235="","",IFERROR(INDEX(Offerte!$D$2:$D$81,MATCH($Q235,Offerte!$L$2:$L$81,0)),0))</f>
        <v/>
      </c>
      <c r="T235" s="57">
        <f>IF($A235="","",IFERROR(INDEX(Offerte!$G$2:$G$81,MATCH($Q235,Offerte!$L$2:$L$81,0)),"NO"))</f>
        <v/>
      </c>
    </row>
    <row r="236">
      <c r="A236" s="48">
        <f>IF(Offerte!$A9="","",Offerte!$A9)</f>
        <v/>
      </c>
      <c r="B236" s="48">
        <f>IF(Offerte!$A9="","",Offerte!$B9)</f>
        <v/>
      </c>
      <c r="C236" s="48">
        <f>IF(Offerte!$A9="","",Offerte!$C9)</f>
        <v/>
      </c>
      <c r="D236" s="48" t="inlineStr">
        <is>
          <t>C.3.2</t>
        </is>
      </c>
      <c r="E236" s="48" t="inlineStr">
        <is>
          <t>C</t>
        </is>
      </c>
      <c r="F236" s="48" t="inlineStr">
        <is>
          <t>T</t>
        </is>
      </c>
      <c r="G236" s="48" t="inlineStr">
        <is>
          <t>tabular</t>
        </is>
      </c>
      <c r="H236" s="48" t="n">
        <v>2</v>
      </c>
      <c r="I236" s="48" t="inlineStr">
        <is>
          <t>Informazioni a bordo su coincidenze ai nodi</t>
        </is>
      </c>
      <c r="J236" s="73" t="n"/>
      <c r="K236" s="73" t="n"/>
      <c r="L236" s="73" t="n"/>
      <c r="M236" s="73" t="n"/>
      <c r="N236" s="57">
        <f>IF($A236="","",IF(IFERROR(VALUE($M236),0)=1,1,0))</f>
        <v/>
      </c>
      <c r="O236" s="57">
        <f>IF($A236="",0,IF(OR($S236&lt;&gt;1,COUNTA($J236:$M236)=0),0,IF(AND($N236=1,IFERROR(SUMIFS($N$5:$N$2484,$Q$5:$Q$2484,$Q236,$D$5:$D$2484,"C.3.1"),0)&gt;=0.5),$H236,0)))</f>
        <v/>
      </c>
      <c r="P236" s="48" t="inlineStr">
        <is>
          <t>Dipende da C.3.1 &gt;= 0.5</t>
        </is>
      </c>
      <c r="Q236" s="57">
        <f>IF($A236="","",$A236&amp;"|"&amp;$C236)</f>
        <v/>
      </c>
      <c r="R236" s="57">
        <f>IF($A236="","",$A236&amp;"|"&amp;$C236&amp;"|"&amp;$D236)</f>
        <v/>
      </c>
      <c r="S236" s="57">
        <f>IF($A236="","",IFERROR(INDEX(Offerte!$D$2:$D$81,MATCH($Q236,Offerte!$L$2:$L$81,0)),0))</f>
        <v/>
      </c>
      <c r="T236" s="57">
        <f>IF($A236="","",IFERROR(INDEX(Offerte!$G$2:$G$81,MATCH($Q236,Offerte!$L$2:$L$81,0)),"NO"))</f>
        <v/>
      </c>
    </row>
    <row r="237">
      <c r="A237" s="48">
        <f>IF(Offerte!$A9="","",Offerte!$A9)</f>
        <v/>
      </c>
      <c r="B237" s="48">
        <f>IF(Offerte!$A9="","",Offerte!$B9)</f>
        <v/>
      </c>
      <c r="C237" s="48">
        <f>IF(Offerte!$A9="","",Offerte!$C9)</f>
        <v/>
      </c>
      <c r="D237" s="48" t="inlineStr">
        <is>
          <t>D.1.1</t>
        </is>
      </c>
      <c r="E237" s="48" t="inlineStr">
        <is>
          <t>D</t>
        </is>
      </c>
      <c r="F237" s="48" t="inlineStr">
        <is>
          <t>Q</t>
        </is>
      </c>
      <c r="G237" s="48" t="inlineStr">
        <is>
          <t>higher</t>
        </is>
      </c>
      <c r="H237" s="48" t="n">
        <v>3</v>
      </c>
      <c r="I237" s="48" t="inlineStr">
        <is>
          <t>Installazione di pensiline</t>
        </is>
      </c>
      <c r="J237" s="73" t="n"/>
      <c r="K237" s="73" t="n"/>
      <c r="L237" s="73" t="n"/>
      <c r="M237" s="73" t="n"/>
      <c r="N237" s="57">
        <f>IF($A237="","",IFERROR(VALUE($J237),0))</f>
        <v/>
      </c>
      <c r="O237" s="57">
        <f>IF($A237="",0,IF(OR($S237&lt;&gt;1,COUNTA($J237:$M237)=0),0,IF(SUMPRODUCT(MAX(($C$5:$C$2484=$C237)*($D$5:$D$2484=$D237)*($S$5:$S$2484=1)*IFERROR($N$5:$N$2484*1,0)))&gt;0,ROUND($H237*($N237/SUMPRODUCT(MAX(($C$5:$C$2484=$C237)*($D$5:$D$2484=$D237)*($S$5:$S$2484=1)*IFERROR($N$5:$N$2484*1,0)))),4),0)))</f>
        <v/>
      </c>
      <c r="P237" s="48" t="inlineStr">
        <is>
          <t>fermate</t>
        </is>
      </c>
      <c r="Q237" s="57">
        <f>IF($A237="","",$A237&amp;"|"&amp;$C237)</f>
        <v/>
      </c>
      <c r="R237" s="57">
        <f>IF($A237="","",$A237&amp;"|"&amp;$C237&amp;"|"&amp;$D237)</f>
        <v/>
      </c>
      <c r="S237" s="57">
        <f>IF($A237="","",IFERROR(INDEX(Offerte!$D$2:$D$81,MATCH($Q237,Offerte!$L$2:$L$81,0)),0))</f>
        <v/>
      </c>
      <c r="T237" s="57">
        <f>IF($A237="","",IFERROR(INDEX(Offerte!$G$2:$G$81,MATCH($Q237,Offerte!$L$2:$L$81,0)),"NO"))</f>
        <v/>
      </c>
    </row>
    <row r="238">
      <c r="A238" s="48">
        <f>IF(Offerte!$A9="","",Offerte!$A9)</f>
        <v/>
      </c>
      <c r="B238" s="48">
        <f>IF(Offerte!$A9="","",Offerte!$B9)</f>
        <v/>
      </c>
      <c r="C238" s="48">
        <f>IF(Offerte!$A9="","",Offerte!$C9)</f>
        <v/>
      </c>
      <c r="D238" s="48" t="inlineStr">
        <is>
          <t>D.1.2</t>
        </is>
      </c>
      <c r="E238" s="48" t="inlineStr">
        <is>
          <t>D</t>
        </is>
      </c>
      <c r="F238" s="48" t="inlineStr">
        <is>
          <t>Q</t>
        </is>
      </c>
      <c r="G238" s="48" t="inlineStr">
        <is>
          <t>higher</t>
        </is>
      </c>
      <c r="H238" s="48" t="n">
        <v>3</v>
      </c>
      <c r="I238" s="48" t="inlineStr">
        <is>
          <t>Installazione di paline di fermata conformi alla DGR 581/2023</t>
        </is>
      </c>
      <c r="J238" s="73" t="n"/>
      <c r="K238" s="73" t="n"/>
      <c r="L238" s="73" t="n"/>
      <c r="M238" s="73" t="n"/>
      <c r="N238" s="57">
        <f>IF($A238="","",IFERROR(VALUE($J238),0))</f>
        <v/>
      </c>
      <c r="O238" s="57">
        <f>IF($A238="",0,IF(OR($S238&lt;&gt;1,COUNTA($J238:$M238)=0),0,IF(SUMPRODUCT(MAX(($C$5:$C$2484=$C238)*($D$5:$D$2484=$D238)*($S$5:$S$2484=1)*IFERROR($N$5:$N$2484*1,0)))&gt;0,ROUND($H238*($N238/SUMPRODUCT(MAX(($C$5:$C$2484=$C238)*($D$5:$D$2484=$D238)*($S$5:$S$2484=1)*IFERROR($N$5:$N$2484*1,0)))),4),0)))</f>
        <v/>
      </c>
      <c r="P238" s="48" t="inlineStr">
        <is>
          <t>fermate</t>
        </is>
      </c>
      <c r="Q238" s="57">
        <f>IF($A238="","",$A238&amp;"|"&amp;$C238)</f>
        <v/>
      </c>
      <c r="R238" s="57">
        <f>IF($A238="","",$A238&amp;"|"&amp;$C238&amp;"|"&amp;$D238)</f>
        <v/>
      </c>
      <c r="S238" s="57">
        <f>IF($A238="","",IFERROR(INDEX(Offerte!$D$2:$D$81,MATCH($Q238,Offerte!$L$2:$L$81,0)),0))</f>
        <v/>
      </c>
      <c r="T238" s="57">
        <f>IF($A238="","",IFERROR(INDEX(Offerte!$G$2:$G$81,MATCH($Q238,Offerte!$L$2:$L$81,0)),"NO"))</f>
        <v/>
      </c>
    </row>
    <row r="239">
      <c r="A239" s="48">
        <f>IF(Offerte!$A9="","",Offerte!$A9)</f>
        <v/>
      </c>
      <c r="B239" s="48">
        <f>IF(Offerte!$A9="","",Offerte!$B9)</f>
        <v/>
      </c>
      <c r="C239" s="48">
        <f>IF(Offerte!$A9="","",Offerte!$C9)</f>
        <v/>
      </c>
      <c r="D239" s="48" t="inlineStr">
        <is>
          <t>D.1.3</t>
        </is>
      </c>
      <c r="E239" s="48" t="inlineStr">
        <is>
          <t>D</t>
        </is>
      </c>
      <c r="F239" s="48" t="inlineStr">
        <is>
          <t>Q</t>
        </is>
      </c>
      <c r="G239" s="48" t="inlineStr">
        <is>
          <t>higher</t>
        </is>
      </c>
      <c r="H239" s="48" t="n">
        <v>2</v>
      </c>
      <c r="I239" s="48" t="inlineStr">
        <is>
          <t>Display informativi connessi alle fermate</t>
        </is>
      </c>
      <c r="J239" s="73" t="n"/>
      <c r="K239" s="73" t="n"/>
      <c r="L239" s="73" t="n"/>
      <c r="M239" s="73" t="n"/>
      <c r="N239" s="57">
        <f>IF($A239="","",IFERROR(VALUE($J239),0))</f>
        <v/>
      </c>
      <c r="O239" s="57">
        <f>IF($A239="",0,IF(OR($S239&lt;&gt;1,COUNTA($J239:$M239)=0),0,IF(SUMPRODUCT(MAX(($C$5:$C$2484=$C239)*($D$5:$D$2484=$D239)*($S$5:$S$2484=1)*IFERROR($N$5:$N$2484*1,0)))&gt;0,ROUND($H239*($N239/SUMPRODUCT(MAX(($C$5:$C$2484=$C239)*($D$5:$D$2484=$D239)*($S$5:$S$2484=1)*IFERROR($N$5:$N$2484*1,0)))),4),0)))</f>
        <v/>
      </c>
      <c r="P239" s="48" t="inlineStr">
        <is>
          <t>fermate</t>
        </is>
      </c>
      <c r="Q239" s="57">
        <f>IF($A239="","",$A239&amp;"|"&amp;$C239)</f>
        <v/>
      </c>
      <c r="R239" s="57">
        <f>IF($A239="","",$A239&amp;"|"&amp;$C239&amp;"|"&amp;$D239)</f>
        <v/>
      </c>
      <c r="S239" s="57">
        <f>IF($A239="","",IFERROR(INDEX(Offerte!$D$2:$D$81,MATCH($Q239,Offerte!$L$2:$L$81,0)),0))</f>
        <v/>
      </c>
      <c r="T239" s="57">
        <f>IF($A239="","",IFERROR(INDEX(Offerte!$G$2:$G$81,MATCH($Q239,Offerte!$L$2:$L$81,0)),"NO"))</f>
        <v/>
      </c>
    </row>
    <row r="240">
      <c r="A240" s="48">
        <f>IF(Offerte!$A9="","",Offerte!$A9)</f>
        <v/>
      </c>
      <c r="B240" s="48">
        <f>IF(Offerte!$A9="","",Offerte!$B9)</f>
        <v/>
      </c>
      <c r="C240" s="48">
        <f>IF(Offerte!$A9="","",Offerte!$C9)</f>
        <v/>
      </c>
      <c r="D240" s="48" t="inlineStr">
        <is>
          <t>D.2.1</t>
        </is>
      </c>
      <c r="E240" s="48" t="inlineStr">
        <is>
          <t>D</t>
        </is>
      </c>
      <c r="F240" s="48" t="inlineStr">
        <is>
          <t>Q</t>
        </is>
      </c>
      <c r="G240" s="48" t="inlineStr">
        <is>
          <t>higher</t>
        </is>
      </c>
      <c r="H240" s="48" t="n">
        <v>2</v>
      </c>
      <c r="I240" s="48" t="inlineStr">
        <is>
          <t>Segnali tattili Loges-Vet-Evolution</t>
        </is>
      </c>
      <c r="J240" s="73" t="n"/>
      <c r="K240" s="73" t="n"/>
      <c r="L240" s="73" t="n"/>
      <c r="M240" s="73" t="n"/>
      <c r="N240" s="57">
        <f>IF($A240="","",IFERROR(VALUE($J240),0))</f>
        <v/>
      </c>
      <c r="O240" s="57">
        <f>IF($A240="",0,IF(OR($S240&lt;&gt;1,COUNTA($J240:$M240)=0),0,IF(SUMPRODUCT(MAX(($C$5:$C$2484=$C240)*($D$5:$D$2484=$D240)*($S$5:$S$2484=1)*IFERROR($N$5:$N$2484*1,0)))&gt;0,ROUND($H240*($N240/SUMPRODUCT(MAX(($C$5:$C$2484=$C240)*($D$5:$D$2484=$D240)*($S$5:$S$2484=1)*IFERROR($N$5:$N$2484*1,0)))),4),0)))</f>
        <v/>
      </c>
      <c r="P240" s="48" t="inlineStr">
        <is>
          <t>fermate</t>
        </is>
      </c>
      <c r="Q240" s="57">
        <f>IF($A240="","",$A240&amp;"|"&amp;$C240)</f>
        <v/>
      </c>
      <c r="R240" s="57">
        <f>IF($A240="","",$A240&amp;"|"&amp;$C240&amp;"|"&amp;$D240)</f>
        <v/>
      </c>
      <c r="S240" s="57">
        <f>IF($A240="","",IFERROR(INDEX(Offerte!$D$2:$D$81,MATCH($Q240,Offerte!$L$2:$L$81,0)),0))</f>
        <v/>
      </c>
      <c r="T240" s="57">
        <f>IF($A240="","",IFERROR(INDEX(Offerte!$G$2:$G$81,MATCH($Q240,Offerte!$L$2:$L$81,0)),"NO"))</f>
        <v/>
      </c>
    </row>
    <row r="241">
      <c r="A241" s="48">
        <f>IF(Offerte!$A9="","",Offerte!$A9)</f>
        <v/>
      </c>
      <c r="B241" s="48">
        <f>IF(Offerte!$A9="","",Offerte!$B9)</f>
        <v/>
      </c>
      <c r="C241" s="48">
        <f>IF(Offerte!$A9="","",Offerte!$C9)</f>
        <v/>
      </c>
      <c r="D241" s="48" t="inlineStr">
        <is>
          <t>E.1.1</t>
        </is>
      </c>
      <c r="E241" s="48" t="inlineStr">
        <is>
          <t>E</t>
        </is>
      </c>
      <c r="F241" s="48" t="inlineStr">
        <is>
          <t>T</t>
        </is>
      </c>
      <c r="G241" s="48" t="inlineStr">
        <is>
          <t>tabular</t>
        </is>
      </c>
      <c r="H241" s="48" t="n">
        <v>2</v>
      </c>
      <c r="I241" s="48" t="inlineStr">
        <is>
          <t>Mobile app con travel planner PRM</t>
        </is>
      </c>
      <c r="J241" s="73" t="n"/>
      <c r="K241" s="73" t="n"/>
      <c r="L241" s="73" t="n"/>
      <c r="M241" s="73" t="n"/>
      <c r="N241" s="57">
        <f>IF($A241="","",IF(IFERROR(VALUE($M241),0)=1,1,0))</f>
        <v/>
      </c>
      <c r="O241" s="57">
        <f>IF($A241="",0,IF(OR($S241&lt;&gt;1,COUNTA($J241:$M241)=0),0,IF($N241=1,$H241,0)))</f>
        <v/>
      </c>
      <c r="P241" s="48" t="inlineStr">
        <is>
          <t>sì/no</t>
        </is>
      </c>
      <c r="Q241" s="57">
        <f>IF($A241="","",$A241&amp;"|"&amp;$C241)</f>
        <v/>
      </c>
      <c r="R241" s="57">
        <f>IF($A241="","",$A241&amp;"|"&amp;$C241&amp;"|"&amp;$D241)</f>
        <v/>
      </c>
      <c r="S241" s="57">
        <f>IF($A241="","",IFERROR(INDEX(Offerte!$D$2:$D$81,MATCH($Q241,Offerte!$L$2:$L$81,0)),0))</f>
        <v/>
      </c>
      <c r="T241" s="57">
        <f>IF($A241="","",IFERROR(INDEX(Offerte!$G$2:$G$81,MATCH($Q241,Offerte!$L$2:$L$81,0)),"NO"))</f>
        <v/>
      </c>
    </row>
    <row r="242">
      <c r="A242" s="48">
        <f>IF(Offerte!$A9="","",Offerte!$A9)</f>
        <v/>
      </c>
      <c r="B242" s="48">
        <f>IF(Offerte!$A9="","",Offerte!$B9)</f>
        <v/>
      </c>
      <c r="C242" s="48">
        <f>IF(Offerte!$A9="","",Offerte!$C9)</f>
        <v/>
      </c>
      <c r="D242" s="48" t="inlineStr">
        <is>
          <t>E.2.1</t>
        </is>
      </c>
      <c r="E242" s="48" t="inlineStr">
        <is>
          <t>E</t>
        </is>
      </c>
      <c r="F242" s="48" t="inlineStr">
        <is>
          <t>D</t>
        </is>
      </c>
      <c r="G242" s="48" t="inlineStr">
        <is>
          <t>discretionary</t>
        </is>
      </c>
      <c r="H242" s="48" t="n">
        <v>2</v>
      </c>
      <c r="I242" s="48" t="inlineStr">
        <is>
          <t>Altre azioni informative e rapporti con gli utenti</t>
        </is>
      </c>
      <c r="J242" s="73" t="n"/>
      <c r="K242" s="73" t="n"/>
      <c r="L242" s="73" t="n"/>
      <c r="M242" s="73" t="n"/>
      <c r="N242" s="57">
        <f>IF($A242="","",MAX(0,MIN(1,IFERROR(VALUE($M242),0))))</f>
        <v/>
      </c>
      <c r="O242" s="57">
        <f>IF($A242="",0,IF(OR($S242&lt;&gt;1,COUNTA($J242:$M242)=0),0,IF(SUMPRODUCT(MAX(($C$5:$C$2484=$C242)*($D$5:$D$2484=$D242)*($S$5:$S$2484=1)*IFERROR($N$5:$N$2484*1,0)))&gt;0,ROUND($H242*($N242/SUMPRODUCT(MAX(($C$5:$C$2484=$C242)*($D$5:$D$2484=$D242)*($S$5:$S$2484=1)*IFERROR($N$5:$N$2484*1,0)))),4),0)))</f>
        <v/>
      </c>
      <c r="P242" s="48" t="inlineStr">
        <is>
          <t>coeff.</t>
        </is>
      </c>
      <c r="Q242" s="57">
        <f>IF($A242="","",$A242&amp;"|"&amp;$C242)</f>
        <v/>
      </c>
      <c r="R242" s="57">
        <f>IF($A242="","",$A242&amp;"|"&amp;$C242&amp;"|"&amp;$D242)</f>
        <v/>
      </c>
      <c r="S242" s="57">
        <f>IF($A242="","",IFERROR(INDEX(Offerte!$D$2:$D$81,MATCH($Q242,Offerte!$L$2:$L$81,0)),0))</f>
        <v/>
      </c>
      <c r="T242" s="57">
        <f>IF($A242="","",IFERROR(INDEX(Offerte!$G$2:$G$81,MATCH($Q242,Offerte!$L$2:$L$81,0)),"NO"))</f>
        <v/>
      </c>
    </row>
    <row r="243">
      <c r="A243" s="48">
        <f>IF(Offerte!$A9="","",Offerte!$A9)</f>
        <v/>
      </c>
      <c r="B243" s="48">
        <f>IF(Offerte!$A9="","",Offerte!$B9)</f>
        <v/>
      </c>
      <c r="C243" s="48">
        <f>IF(Offerte!$A9="","",Offerte!$C9)</f>
        <v/>
      </c>
      <c r="D243" s="48" t="inlineStr">
        <is>
          <t>F.1.1</t>
        </is>
      </c>
      <c r="E243" s="48" t="inlineStr">
        <is>
          <t>F</t>
        </is>
      </c>
      <c r="F243" s="48" t="inlineStr">
        <is>
          <t>Q</t>
        </is>
      </c>
      <c r="G243" s="48" t="inlineStr">
        <is>
          <t>lower</t>
        </is>
      </c>
      <c r="H243" s="48" t="n">
        <v>7</v>
      </c>
      <c r="I243" s="48" t="inlineStr">
        <is>
          <t>Performance ambientali del parco mezzi adibito al servizio - I_CEA</t>
        </is>
      </c>
      <c r="J243" s="73" t="n"/>
      <c r="K243" s="73" t="n"/>
      <c r="L243" s="73" t="n"/>
      <c r="M243" s="73" t="n"/>
      <c r="N243" s="57">
        <f>IF($A243="","",IFERROR(VALUE($J243),0))</f>
        <v/>
      </c>
      <c r="O243" s="57">
        <f>IF($A243="",0,IF(OR($S243&lt;&gt;1,COUNTA($J243:$M243)=0),0,IF(AND(IFERROR(AGGREGATE(15,6,$N$5:$N$2484/(($C$5:$C$2484=$C243)*($D$5:$D$2484=$D243)*($S$5:$S$2484=1)*($N$5:$N$2484&gt;0)),1),0)&gt;0,$N243&gt;0),ROUND($H243*(IFERROR(AGGREGATE(15,6,$N$5:$N$2484/(($C$5:$C$2484=$C243)*($D$5:$D$2484=$D243)*($S$5:$S$2484=1)*($N$5:$N$2484&gt;0)),1),0)/$N243),4),0)))</f>
        <v/>
      </c>
      <c r="P243" s="48" t="inlineStr">
        <is>
          <t>indice</t>
        </is>
      </c>
      <c r="Q243" s="57">
        <f>IF($A243="","",$A243&amp;"|"&amp;$C243)</f>
        <v/>
      </c>
      <c r="R243" s="57">
        <f>IF($A243="","",$A243&amp;"|"&amp;$C243&amp;"|"&amp;$D243)</f>
        <v/>
      </c>
      <c r="S243" s="57">
        <f>IF($A243="","",IFERROR(INDEX(Offerte!$D$2:$D$81,MATCH($Q243,Offerte!$L$2:$L$81,0)),0))</f>
        <v/>
      </c>
      <c r="T243" s="57">
        <f>IF($A243="","",IFERROR(INDEX(Offerte!$G$2:$G$81,MATCH($Q243,Offerte!$L$2:$L$81,0)),"NO"))</f>
        <v/>
      </c>
    </row>
    <row r="244">
      <c r="A244" s="48">
        <f>IF(Offerte!$A9="","",Offerte!$A9)</f>
        <v/>
      </c>
      <c r="B244" s="48">
        <f>IF(Offerte!$A9="","",Offerte!$B9)</f>
        <v/>
      </c>
      <c r="C244" s="48">
        <f>IF(Offerte!$A9="","",Offerte!$C9)</f>
        <v/>
      </c>
      <c r="D244" s="48" t="inlineStr">
        <is>
          <t>F.2.1</t>
        </is>
      </c>
      <c r="E244" s="48" t="inlineStr">
        <is>
          <t>F</t>
        </is>
      </c>
      <c r="F244" s="48" t="inlineStr">
        <is>
          <t>Q</t>
        </is>
      </c>
      <c r="G244" s="48" t="inlineStr">
        <is>
          <t>higher</t>
        </is>
      </c>
      <c r="H244" s="48" t="n">
        <v>2</v>
      </c>
      <c r="I244" s="48" t="inlineStr">
        <is>
          <t>Tasso di copertura del servizio con dispositivi ECO-DRIVER</t>
        </is>
      </c>
      <c r="J244" s="73" t="n"/>
      <c r="K244" s="73" t="n"/>
      <c r="L244" s="73" t="n"/>
      <c r="M244" s="73" t="n"/>
      <c r="N244" s="57">
        <f>IF($A244="","",IFERROR(VALUE($K244)/VALUE($L244),IFERROR(VALUE($J244),0)))</f>
        <v/>
      </c>
      <c r="O244" s="57">
        <f>IF($A244="",0,IF(OR($S244&lt;&gt;1,COUNTA($J244:$M244)=0),0,IF(SUMPRODUCT(MAX(($C$5:$C$2484=$C244)*($D$5:$D$2484=$D244)*($S$5:$S$2484=1)*IFERROR($N$5:$N$2484*1,0)))&gt;0,ROUND($H244*($N244/SUMPRODUCT(MAX(($C$5:$C$2484=$C244)*($D$5:$D$2484=$D244)*($S$5:$S$2484=1)*IFERROR($N$5:$N$2484*1,0)))),4),0)))</f>
        <v/>
      </c>
      <c r="P244" s="48" t="inlineStr">
        <is>
          <t>Autobus attrezzati con dispositivi ECO-DRIVER / Autobus totali in offerta, incluse scorte</t>
        </is>
      </c>
      <c r="Q244" s="57">
        <f>IF($A244="","",$A244&amp;"|"&amp;$C244)</f>
        <v/>
      </c>
      <c r="R244" s="57">
        <f>IF($A244="","",$A244&amp;"|"&amp;$C244&amp;"|"&amp;$D244)</f>
        <v/>
      </c>
      <c r="S244" s="57">
        <f>IF($A244="","",IFERROR(INDEX(Offerte!$D$2:$D$81,MATCH($Q244,Offerte!$L$2:$L$81,0)),0))</f>
        <v/>
      </c>
      <c r="T244" s="57">
        <f>IF($A244="","",IFERROR(INDEX(Offerte!$G$2:$G$81,MATCH($Q244,Offerte!$L$2:$L$81,0)),"NO"))</f>
        <v/>
      </c>
    </row>
    <row r="245">
      <c r="A245" s="48">
        <f>IF(Offerte!$A9="","",Offerte!$A9)</f>
        <v/>
      </c>
      <c r="B245" s="48">
        <f>IF(Offerte!$A9="","",Offerte!$B9)</f>
        <v/>
      </c>
      <c r="C245" s="48">
        <f>IF(Offerte!$A9="","",Offerte!$C9)</f>
        <v/>
      </c>
      <c r="D245" s="48" t="inlineStr">
        <is>
          <t>F.3.1</t>
        </is>
      </c>
      <c r="E245" s="48" t="inlineStr">
        <is>
          <t>F</t>
        </is>
      </c>
      <c r="F245" s="48" t="inlineStr">
        <is>
          <t>Q</t>
        </is>
      </c>
      <c r="G245" s="48" t="inlineStr">
        <is>
          <t>higher</t>
        </is>
      </c>
      <c r="H245" s="48" t="n">
        <v>2</v>
      </c>
      <c r="I245" s="48" t="inlineStr">
        <is>
          <t>Autoproduzione consumi elettrici per trazione</t>
        </is>
      </c>
      <c r="J245" s="73" t="n"/>
      <c r="K245" s="73" t="n"/>
      <c r="L245" s="73" t="n"/>
      <c r="M245" s="73" t="n"/>
      <c r="N245" s="57">
        <f>IF($A245="","",IFERROR(VALUE($J245),0))</f>
        <v/>
      </c>
      <c r="O245" s="57">
        <f>IF($A245="",0,IF(OR($S245&lt;&gt;1,COUNTA($J245:$M245)=0),0,IF(SUMPRODUCT(MAX(($C$5:$C$2484=$C245)*($D$5:$D$2484=$D245)*($S$5:$S$2484=1)*IFERROR($N$5:$N$2484*1,0)))&gt;0,ROUND($H245*($N245/SUMPRODUCT(MAX(($C$5:$C$2484=$C245)*($D$5:$D$2484=$D245)*($S$5:$S$2484=1)*IFERROR($N$5:$N$2484*1,0)))),4),0)))</f>
        <v/>
      </c>
      <c r="P245" s="48" t="inlineStr">
        <is>
          <t>kWh/anno</t>
        </is>
      </c>
      <c r="Q245" s="57">
        <f>IF($A245="","",$A245&amp;"|"&amp;$C245)</f>
        <v/>
      </c>
      <c r="R245" s="57">
        <f>IF($A245="","",$A245&amp;"|"&amp;$C245&amp;"|"&amp;$D245)</f>
        <v/>
      </c>
      <c r="S245" s="57">
        <f>IF($A245="","",IFERROR(INDEX(Offerte!$D$2:$D$81,MATCH($Q245,Offerte!$L$2:$L$81,0)),0))</f>
        <v/>
      </c>
      <c r="T245" s="57">
        <f>IF($A245="","",IFERROR(INDEX(Offerte!$G$2:$G$81,MATCH($Q245,Offerte!$L$2:$L$81,0)),"NO"))</f>
        <v/>
      </c>
    </row>
    <row r="246">
      <c r="A246" s="48">
        <f>IF(Offerte!$A9="","",Offerte!$A9)</f>
        <v/>
      </c>
      <c r="B246" s="48">
        <f>IF(Offerte!$A9="","",Offerte!$B9)</f>
        <v/>
      </c>
      <c r="C246" s="48">
        <f>IF(Offerte!$A9="","",Offerte!$C9)</f>
        <v/>
      </c>
      <c r="D246" s="48" t="inlineStr">
        <is>
          <t>F.4.1</t>
        </is>
      </c>
      <c r="E246" s="48" t="inlineStr">
        <is>
          <t>F</t>
        </is>
      </c>
      <c r="F246" s="48" t="inlineStr">
        <is>
          <t>Q</t>
        </is>
      </c>
      <c r="G246" s="48" t="inlineStr">
        <is>
          <t>soil</t>
        </is>
      </c>
      <c r="H246" s="48" t="n">
        <v>2</v>
      </c>
      <c r="I246" s="48" t="inlineStr">
        <is>
          <t>Indice di consumo di suolo</t>
        </is>
      </c>
      <c r="J246" s="73" t="n"/>
      <c r="K246" s="73" t="n"/>
      <c r="L246" s="73" t="n"/>
      <c r="M246" s="73" t="n"/>
      <c r="N246" s="57">
        <f>IF($A246="","",IFERROR(VALUE($J246),0))</f>
        <v/>
      </c>
      <c r="O246" s="57">
        <f>IF($A246="",0,IF(OR($S246&lt;&gt;1,COUNTA($J246:$M246)=0),0,IF($N246&lt;=0,$H246,IF(SUMPRODUCT(MAX(($C$5:$C$2484=$C246)*($D$5:$D$2484=$D246)*($S$5:$S$2484=1)*IFERROR($N$5:$N$2484*1,0)))&gt;0,ROUND($H246*((SUMPRODUCT(MAX(($C$5:$C$2484=$C246)*($D$5:$D$2484=$D246)*($S$5:$S$2484=1)*IFERROR($N$5:$N$2484*1,0)))-$N246)/SUMPRODUCT(MAX(($C$5:$C$2484=$C246)*($D$5:$D$2484=$D246)*($S$5:$S$2484=1)*IFERROR($N$5:$N$2484*1,0)))),4),0))))</f>
        <v/>
      </c>
      <c r="P246" s="48" t="inlineStr">
        <is>
          <t>m2</t>
        </is>
      </c>
      <c r="Q246" s="57">
        <f>IF($A246="","",$A246&amp;"|"&amp;$C246)</f>
        <v/>
      </c>
      <c r="R246" s="57">
        <f>IF($A246="","",$A246&amp;"|"&amp;$C246&amp;"|"&amp;$D246)</f>
        <v/>
      </c>
      <c r="S246" s="57">
        <f>IF($A246="","",IFERROR(INDEX(Offerte!$D$2:$D$81,MATCH($Q246,Offerte!$L$2:$L$81,0)),0))</f>
        <v/>
      </c>
      <c r="T246" s="57">
        <f>IF($A246="","",IFERROR(INDEX(Offerte!$G$2:$G$81,MATCH($Q246,Offerte!$L$2:$L$81,0)),"NO"))</f>
        <v/>
      </c>
    </row>
    <row r="247">
      <c r="A247" s="48">
        <f>IF(Offerte!$A9="","",Offerte!$A9)</f>
        <v/>
      </c>
      <c r="B247" s="48">
        <f>IF(Offerte!$A9="","",Offerte!$B9)</f>
        <v/>
      </c>
      <c r="C247" s="48">
        <f>IF(Offerte!$A9="","",Offerte!$C9)</f>
        <v/>
      </c>
      <c r="D247" s="48" t="inlineStr">
        <is>
          <t>F.5.1</t>
        </is>
      </c>
      <c r="E247" s="48" t="inlineStr">
        <is>
          <t>F</t>
        </is>
      </c>
      <c r="F247" s="48" t="inlineStr">
        <is>
          <t>T</t>
        </is>
      </c>
      <c r="G247" s="48" t="inlineStr">
        <is>
          <t>tabular</t>
        </is>
      </c>
      <c r="H247" s="48" t="n">
        <v>1</v>
      </c>
      <c r="I247" s="48" t="inlineStr">
        <is>
          <t>Rendicontazione di sostenibilità ambientale</t>
        </is>
      </c>
      <c r="J247" s="73" t="n"/>
      <c r="K247" s="73" t="n"/>
      <c r="L247" s="73" t="n"/>
      <c r="M247" s="73" t="n"/>
      <c r="N247" s="57">
        <f>IF($A247="","",IF(IFERROR(VALUE($M247),0)=1,1,0))</f>
        <v/>
      </c>
      <c r="O247" s="57">
        <f>IF($A247="",0,IF(OR($S247&lt;&gt;1,COUNTA($J247:$M247)=0),0,IF($N247=1,$H247,0)))</f>
        <v/>
      </c>
      <c r="P247" s="48" t="inlineStr">
        <is>
          <t>sì/no</t>
        </is>
      </c>
      <c r="Q247" s="57">
        <f>IF($A247="","",$A247&amp;"|"&amp;$C247)</f>
        <v/>
      </c>
      <c r="R247" s="57">
        <f>IF($A247="","",$A247&amp;"|"&amp;$C247&amp;"|"&amp;$D247)</f>
        <v/>
      </c>
      <c r="S247" s="57">
        <f>IF($A247="","",IFERROR(INDEX(Offerte!$D$2:$D$81,MATCH($Q247,Offerte!$L$2:$L$81,0)),0))</f>
        <v/>
      </c>
      <c r="T247" s="57">
        <f>IF($A247="","",IFERROR(INDEX(Offerte!$G$2:$G$81,MATCH($Q247,Offerte!$L$2:$L$81,0)),"NO"))</f>
        <v/>
      </c>
    </row>
    <row r="248">
      <c r="A248" s="48">
        <f>IF(Offerte!$A9="","",Offerte!$A9)</f>
        <v/>
      </c>
      <c r="B248" s="48">
        <f>IF(Offerte!$A9="","",Offerte!$B9)</f>
        <v/>
      </c>
      <c r="C248" s="48">
        <f>IF(Offerte!$A9="","",Offerte!$C9)</f>
        <v/>
      </c>
      <c r="D248" s="48" t="inlineStr">
        <is>
          <t>G.1.1</t>
        </is>
      </c>
      <c r="E248" s="48" t="inlineStr">
        <is>
          <t>G</t>
        </is>
      </c>
      <c r="F248" s="48" t="inlineStr">
        <is>
          <t>D</t>
        </is>
      </c>
      <c r="G248" s="48" t="inlineStr">
        <is>
          <t>discretionary</t>
        </is>
      </c>
      <c r="H248" s="48" t="n">
        <v>2</v>
      </c>
      <c r="I248" s="48" t="inlineStr">
        <is>
          <t>Qualità del progetto di centrale di controllo aziendale</t>
        </is>
      </c>
      <c r="J248" s="73" t="n"/>
      <c r="K248" s="73" t="n"/>
      <c r="L248" s="73" t="n"/>
      <c r="M248" s="73" t="n"/>
      <c r="N248" s="57">
        <f>IF($A248="","",MAX(0,MIN(1,IFERROR(VALUE($M248),0))))</f>
        <v/>
      </c>
      <c r="O248" s="57">
        <f>IF($A248="",0,IF(OR($S248&lt;&gt;1,COUNTA($J248:$M248)=0),0,IF(SUMPRODUCT(MAX(($C$5:$C$2484=$C248)*($D$5:$D$2484=$D248)*($S$5:$S$2484=1)*IFERROR($N$5:$N$2484*1,0)))&gt;0,ROUND($H248*($N248/SUMPRODUCT(MAX(($C$5:$C$2484=$C248)*($D$5:$D$2484=$D248)*($S$5:$S$2484=1)*IFERROR($N$5:$N$2484*1,0)))),4),0)))</f>
        <v/>
      </c>
      <c r="P248" s="48" t="inlineStr">
        <is>
          <t>coeff.</t>
        </is>
      </c>
      <c r="Q248" s="57">
        <f>IF($A248="","",$A248&amp;"|"&amp;$C248)</f>
        <v/>
      </c>
      <c r="R248" s="57">
        <f>IF($A248="","",$A248&amp;"|"&amp;$C248&amp;"|"&amp;$D248)</f>
        <v/>
      </c>
      <c r="S248" s="57">
        <f>IF($A248="","",IFERROR(INDEX(Offerte!$D$2:$D$81,MATCH($Q248,Offerte!$L$2:$L$81,0)),0))</f>
        <v/>
      </c>
      <c r="T248" s="57">
        <f>IF($A248="","",IFERROR(INDEX(Offerte!$G$2:$G$81,MATCH($Q248,Offerte!$L$2:$L$81,0)),"NO"))</f>
        <v/>
      </c>
    </row>
    <row r="249">
      <c r="A249" s="48">
        <f>IF(Offerte!$A9="","",Offerte!$A9)</f>
        <v/>
      </c>
      <c r="B249" s="48">
        <f>IF(Offerte!$A9="","",Offerte!$B9)</f>
        <v/>
      </c>
      <c r="C249" s="48">
        <f>IF(Offerte!$A9="","",Offerte!$C9)</f>
        <v/>
      </c>
      <c r="D249" s="48" t="inlineStr">
        <is>
          <t>G.2.1</t>
        </is>
      </c>
      <c r="E249" s="48" t="inlineStr">
        <is>
          <t>G</t>
        </is>
      </c>
      <c r="F249" s="48" t="inlineStr">
        <is>
          <t>T</t>
        </is>
      </c>
      <c r="G249" s="48" t="inlineStr">
        <is>
          <t>tabular</t>
        </is>
      </c>
      <c r="H249" s="48" t="n">
        <v>1</v>
      </c>
      <c r="I249" s="48" t="inlineStr">
        <is>
          <t>Certificazione ISO 45001</t>
        </is>
      </c>
      <c r="J249" s="73" t="n"/>
      <c r="K249" s="73" t="n"/>
      <c r="L249" s="73" t="n"/>
      <c r="M249" s="73" t="n"/>
      <c r="N249" s="57">
        <f>IF($A249="","",IF(IFERROR(VALUE($M249),0)=1,1,0))</f>
        <v/>
      </c>
      <c r="O249" s="57">
        <f>IF($A249="",0,IF(OR($S249&lt;&gt;1,COUNTA($J249:$M249)=0),0,IF($N249=1,$H249,0)))</f>
        <v/>
      </c>
      <c r="P249" s="48" t="inlineStr">
        <is>
          <t>sì/no</t>
        </is>
      </c>
      <c r="Q249" s="57">
        <f>IF($A249="","",$A249&amp;"|"&amp;$C249)</f>
        <v/>
      </c>
      <c r="R249" s="57">
        <f>IF($A249="","",$A249&amp;"|"&amp;$C249&amp;"|"&amp;$D249)</f>
        <v/>
      </c>
      <c r="S249" s="57">
        <f>IF($A249="","",IFERROR(INDEX(Offerte!$D$2:$D$81,MATCH($Q249,Offerte!$L$2:$L$81,0)),0))</f>
        <v/>
      </c>
      <c r="T249" s="57">
        <f>IF($A249="","",IFERROR(INDEX(Offerte!$G$2:$G$81,MATCH($Q249,Offerte!$L$2:$L$81,0)),"NO"))</f>
        <v/>
      </c>
    </row>
    <row r="250">
      <c r="A250" s="48">
        <f>IF(Offerte!$A9="","",Offerte!$A9)</f>
        <v/>
      </c>
      <c r="B250" s="48">
        <f>IF(Offerte!$A9="","",Offerte!$B9)</f>
        <v/>
      </c>
      <c r="C250" s="48">
        <f>IF(Offerte!$A9="","",Offerte!$C9)</f>
        <v/>
      </c>
      <c r="D250" s="48" t="inlineStr">
        <is>
          <t>G.3.1</t>
        </is>
      </c>
      <c r="E250" s="48" t="inlineStr">
        <is>
          <t>G</t>
        </is>
      </c>
      <c r="F250" s="48" t="inlineStr">
        <is>
          <t>T</t>
        </is>
      </c>
      <c r="G250" s="48" t="inlineStr">
        <is>
          <t>tabular</t>
        </is>
      </c>
      <c r="H250" s="48" t="n">
        <v>1</v>
      </c>
      <c r="I250" s="48" t="inlineStr">
        <is>
          <t>Certificazioni di responsabilità sociale</t>
        </is>
      </c>
      <c r="J250" s="73" t="n"/>
      <c r="K250" s="73" t="n"/>
      <c r="L250" s="73" t="n"/>
      <c r="M250" s="73" t="n"/>
      <c r="N250" s="57">
        <f>IF($A250="","",IF(IFERROR(VALUE($M250),0)=1,1,0))</f>
        <v/>
      </c>
      <c r="O250" s="57">
        <f>IF($A250="",0,IF(OR($S250&lt;&gt;1,COUNTA($J250:$M250)=0),0,IF($N250=1,$H250,0)))</f>
        <v/>
      </c>
      <c r="P250" s="48" t="inlineStr">
        <is>
          <t>sì/no</t>
        </is>
      </c>
      <c r="Q250" s="57">
        <f>IF($A250="","",$A250&amp;"|"&amp;$C250)</f>
        <v/>
      </c>
      <c r="R250" s="57">
        <f>IF($A250="","",$A250&amp;"|"&amp;$C250&amp;"|"&amp;$D250)</f>
        <v/>
      </c>
      <c r="S250" s="57">
        <f>IF($A250="","",IFERROR(INDEX(Offerte!$D$2:$D$81,MATCH($Q250,Offerte!$L$2:$L$81,0)),0))</f>
        <v/>
      </c>
      <c r="T250" s="57">
        <f>IF($A250="","",IFERROR(INDEX(Offerte!$G$2:$G$81,MATCH($Q250,Offerte!$L$2:$L$81,0)),"NO"))</f>
        <v/>
      </c>
    </row>
    <row r="251">
      <c r="A251" s="48">
        <f>IF(Offerte!$A9="","",Offerte!$A9)</f>
        <v/>
      </c>
      <c r="B251" s="48">
        <f>IF(Offerte!$A9="","",Offerte!$B9)</f>
        <v/>
      </c>
      <c r="C251" s="48">
        <f>IF(Offerte!$A9="","",Offerte!$C9)</f>
        <v/>
      </c>
      <c r="D251" s="48" t="inlineStr">
        <is>
          <t>G.4.1</t>
        </is>
      </c>
      <c r="E251" s="48" t="inlineStr">
        <is>
          <t>G</t>
        </is>
      </c>
      <c r="F251" s="48" t="inlineStr">
        <is>
          <t>D</t>
        </is>
      </c>
      <c r="G251" s="48" t="inlineStr">
        <is>
          <t>discretionary</t>
        </is>
      </c>
      <c r="H251" s="48" t="n">
        <v>2</v>
      </c>
      <c r="I251" s="48" t="inlineStr">
        <is>
          <t>Qualità del piano di formazione del personale</t>
        </is>
      </c>
      <c r="J251" s="73" t="n"/>
      <c r="K251" s="73" t="n"/>
      <c r="L251" s="73" t="n"/>
      <c r="M251" s="73" t="n"/>
      <c r="N251" s="57">
        <f>IF($A251="","",MAX(0,MIN(1,IFERROR(VALUE($M251),0))))</f>
        <v/>
      </c>
      <c r="O251" s="57">
        <f>IF($A251="",0,IF(OR($S251&lt;&gt;1,COUNTA($J251:$M251)=0),0,IF(SUMPRODUCT(MAX(($C$5:$C$2484=$C251)*($D$5:$D$2484=$D251)*($S$5:$S$2484=1)*IFERROR($N$5:$N$2484*1,0)))&gt;0,ROUND($H251*($N251/SUMPRODUCT(MAX(($C$5:$C$2484=$C251)*($D$5:$D$2484=$D251)*($S$5:$S$2484=1)*IFERROR($N$5:$N$2484*1,0)))),4),0)))</f>
        <v/>
      </c>
      <c r="P251" s="48" t="inlineStr">
        <is>
          <t>coeff.</t>
        </is>
      </c>
      <c r="Q251" s="57">
        <f>IF($A251="","",$A251&amp;"|"&amp;$C251)</f>
        <v/>
      </c>
      <c r="R251" s="57">
        <f>IF($A251="","",$A251&amp;"|"&amp;$C251&amp;"|"&amp;$D251)</f>
        <v/>
      </c>
      <c r="S251" s="57">
        <f>IF($A251="","",IFERROR(INDEX(Offerte!$D$2:$D$81,MATCH($Q251,Offerte!$L$2:$L$81,0)),0))</f>
        <v/>
      </c>
      <c r="T251" s="57">
        <f>IF($A251="","",IFERROR(INDEX(Offerte!$G$2:$G$81,MATCH($Q251,Offerte!$L$2:$L$81,0)),"NO"))</f>
        <v/>
      </c>
    </row>
    <row r="252">
      <c r="A252" s="48">
        <f>IF(Offerte!$A9="","",Offerte!$A9)</f>
        <v/>
      </c>
      <c r="B252" s="48">
        <f>IF(Offerte!$A9="","",Offerte!$B9)</f>
        <v/>
      </c>
      <c r="C252" s="48">
        <f>IF(Offerte!$A9="","",Offerte!$C9)</f>
        <v/>
      </c>
      <c r="D252" s="48" t="inlineStr">
        <is>
          <t>G.5.1</t>
        </is>
      </c>
      <c r="E252" s="48" t="inlineStr">
        <is>
          <t>G</t>
        </is>
      </c>
      <c r="F252" s="48" t="inlineStr">
        <is>
          <t>T</t>
        </is>
      </c>
      <c r="G252" s="48" t="inlineStr">
        <is>
          <t>tabular</t>
        </is>
      </c>
      <c r="H252" s="48" t="n">
        <v>1</v>
      </c>
      <c r="I252" s="48" t="inlineStr">
        <is>
          <t>Impegno al mantenimento delle garanzie del contratto di secondo livello del gestore uscente</t>
        </is>
      </c>
      <c r="J252" s="73" t="n"/>
      <c r="K252" s="73" t="n"/>
      <c r="L252" s="73" t="n"/>
      <c r="M252" s="73" t="n"/>
      <c r="N252" s="57">
        <f>IF($A252="","",IF(IFERROR(VALUE($M252),0)=1,1,0))</f>
        <v/>
      </c>
      <c r="O252" s="57">
        <f>IF($A252="",0,IF(OR($S252&lt;&gt;1,COUNTA($J252:$M252)=0),0,IF($N252=1,$H252,0)))</f>
        <v/>
      </c>
      <c r="P252" s="48" t="inlineStr">
        <is>
          <t>sì/no</t>
        </is>
      </c>
      <c r="Q252" s="57">
        <f>IF($A252="","",$A252&amp;"|"&amp;$C252)</f>
        <v/>
      </c>
      <c r="R252" s="57">
        <f>IF($A252="","",$A252&amp;"|"&amp;$C252&amp;"|"&amp;$D252)</f>
        <v/>
      </c>
      <c r="S252" s="57">
        <f>IF($A252="","",IFERROR(INDEX(Offerte!$D$2:$D$81,MATCH($Q252,Offerte!$L$2:$L$81,0)),0))</f>
        <v/>
      </c>
      <c r="T252" s="57">
        <f>IF($A252="","",IFERROR(INDEX(Offerte!$G$2:$G$81,MATCH($Q252,Offerte!$L$2:$L$81,0)),"NO"))</f>
        <v/>
      </c>
    </row>
    <row r="253">
      <c r="A253" s="48">
        <f>IF(Offerte!$A10="","",Offerte!$A10)</f>
        <v/>
      </c>
      <c r="B253" s="48">
        <f>IF(Offerte!$A10="","",Offerte!$B10)</f>
        <v/>
      </c>
      <c r="C253" s="48">
        <f>IF(Offerte!$A10="","",Offerte!$C10)</f>
        <v/>
      </c>
      <c r="D253" s="48" t="inlineStr">
        <is>
          <t>A.1.1</t>
        </is>
      </c>
      <c r="E253" s="48" t="inlineStr">
        <is>
          <t>A</t>
        </is>
      </c>
      <c r="F253" s="48" t="inlineStr">
        <is>
          <t>Q</t>
        </is>
      </c>
      <c r="G253" s="48" t="inlineStr">
        <is>
          <t>higher</t>
        </is>
      </c>
      <c r="H253" s="48" t="n">
        <v>3</v>
      </c>
      <c r="I253" s="48" t="inlineStr">
        <is>
          <t>Tasso aggiuntivo di corse controllate</t>
        </is>
      </c>
      <c r="J253" s="73" t="n"/>
      <c r="K253" s="73" t="n"/>
      <c r="L253" s="73" t="n"/>
      <c r="M253" s="73" t="n"/>
      <c r="N253" s="57">
        <f>IF($A253="","",IFERROR(VALUE($K253)/VALUE($L253)*100,IFERROR(VALUE($J253),0)))</f>
        <v/>
      </c>
      <c r="O253" s="57">
        <f>IF($A253="",0,IF(OR($S253&lt;&gt;1,COUNTA($J253:$M253)=0),0,IF(SUMPRODUCT(MAX(($C$5:$C$2484=$C253)*($D$5:$D$2484=$D253)*($S$5:$S$2484=1)*IFERROR($N$5:$N$2484*1,0)))&gt;0,ROUND($H253*($N253/SUMPRODUCT(MAX(($C$5:$C$2484=$C253)*($D$5:$D$2484=$D253)*($S$5:$S$2484=1)*IFERROR($N$5:$N$2484*1,0)))),4),0)))</f>
        <v/>
      </c>
      <c r="P253" s="48" t="inlineStr">
        <is>
          <t>Corse controllate annue / Corse programmate annue</t>
        </is>
      </c>
      <c r="Q253" s="57">
        <f>IF($A253="","",$A253&amp;"|"&amp;$C253)</f>
        <v/>
      </c>
      <c r="R253" s="57">
        <f>IF($A253="","",$A253&amp;"|"&amp;$C253&amp;"|"&amp;$D253)</f>
        <v/>
      </c>
      <c r="S253" s="57">
        <f>IF($A253="","",IFERROR(INDEX(Offerte!$D$2:$D$81,MATCH($Q253,Offerte!$L$2:$L$81,0)),0))</f>
        <v/>
      </c>
      <c r="T253" s="57">
        <f>IF($A253="","",IFERROR(INDEX(Offerte!$G$2:$G$81,MATCH($Q253,Offerte!$L$2:$L$81,0)),"NO"))</f>
        <v/>
      </c>
    </row>
    <row r="254">
      <c r="A254" s="48">
        <f>IF(Offerte!$A10="","",Offerte!$A10)</f>
        <v/>
      </c>
      <c r="B254" s="48">
        <f>IF(Offerte!$A10="","",Offerte!$B10)</f>
        <v/>
      </c>
      <c r="C254" s="48">
        <f>IF(Offerte!$A10="","",Offerte!$C10)</f>
        <v/>
      </c>
      <c r="D254" s="48" t="inlineStr">
        <is>
          <t>A.1.2</t>
        </is>
      </c>
      <c r="E254" s="48" t="inlineStr">
        <is>
          <t>A</t>
        </is>
      </c>
      <c r="F254" s="48" t="inlineStr">
        <is>
          <t>Q</t>
        </is>
      </c>
      <c r="G254" s="48" t="inlineStr">
        <is>
          <t>higher</t>
        </is>
      </c>
      <c r="H254" s="48" t="n">
        <v>4</v>
      </c>
      <c r="I254" s="48" t="inlineStr">
        <is>
          <t>Numero aggiuntivo di passeggeri controllati</t>
        </is>
      </c>
      <c r="J254" s="73" t="n"/>
      <c r="K254" s="73" t="n"/>
      <c r="L254" s="73" t="n"/>
      <c r="M254" s="73" t="n"/>
      <c r="N254" s="57">
        <f>IF($A254="","",IFERROR(VALUE($J254),0))</f>
        <v/>
      </c>
      <c r="O254" s="57">
        <f>IF($A254="",0,IF(OR($S254&lt;&gt;1,COUNTA($J254:$M254)=0),0,IF(SUMPRODUCT(MAX(($C$5:$C$2484=$C254)*($D$5:$D$2484=$D254)*($S$5:$S$2484=1)*IFERROR($N$5:$N$2484*1,0)))&gt;0,ROUND($H254*($N254/SUMPRODUCT(MAX(($C$5:$C$2484=$C254)*($D$5:$D$2484=$D254)*($S$5:$S$2484=1)*IFERROR($N$5:$N$2484*1,0)))),4),0)))</f>
        <v/>
      </c>
      <c r="P254" s="48" t="inlineStr">
        <is>
          <t>passeggeri/anno</t>
        </is>
      </c>
      <c r="Q254" s="57">
        <f>IF($A254="","",$A254&amp;"|"&amp;$C254)</f>
        <v/>
      </c>
      <c r="R254" s="57">
        <f>IF($A254="","",$A254&amp;"|"&amp;$C254&amp;"|"&amp;$D254)</f>
        <v/>
      </c>
      <c r="S254" s="57">
        <f>IF($A254="","",IFERROR(INDEX(Offerte!$D$2:$D$81,MATCH($Q254,Offerte!$L$2:$L$81,0)),0))</f>
        <v/>
      </c>
      <c r="T254" s="57">
        <f>IF($A254="","",IFERROR(INDEX(Offerte!$G$2:$G$81,MATCH($Q254,Offerte!$L$2:$L$81,0)),"NO"))</f>
        <v/>
      </c>
    </row>
    <row r="255">
      <c r="A255" s="48">
        <f>IF(Offerte!$A10="","",Offerte!$A10)</f>
        <v/>
      </c>
      <c r="B255" s="48">
        <f>IF(Offerte!$A10="","",Offerte!$B10)</f>
        <v/>
      </c>
      <c r="C255" s="48">
        <f>IF(Offerte!$A10="","",Offerte!$C10)</f>
        <v/>
      </c>
      <c r="D255" s="48" t="inlineStr">
        <is>
          <t>B.1.1</t>
        </is>
      </c>
      <c r="E255" s="48" t="inlineStr">
        <is>
          <t>B</t>
        </is>
      </c>
      <c r="F255" s="48" t="inlineStr">
        <is>
          <t>Q</t>
        </is>
      </c>
      <c r="G255" s="48" t="inlineStr">
        <is>
          <t>higher</t>
        </is>
      </c>
      <c r="H255" s="48" t="n">
        <v>3</v>
      </c>
      <c r="I255" s="48" t="inlineStr">
        <is>
          <t>Incremento dei posti offerti nelle fasce di punta</t>
        </is>
      </c>
      <c r="J255" s="73" t="n"/>
      <c r="K255" s="73" t="n"/>
      <c r="L255" s="73" t="n"/>
      <c r="M255" s="73" t="n"/>
      <c r="N255" s="57">
        <f>IF($A255="","",IFERROR(VALUE($J255),0))</f>
        <v/>
      </c>
      <c r="O255" s="57">
        <f>IF($A255="",0,IF(OR($S255&lt;&gt;1,COUNTA($J255:$M255)=0),0,IF(SUMPRODUCT(MAX(($C$5:$C$2484=$C255)*($D$5:$D$2484=$D255)*($S$5:$S$2484=1)*IFERROR($N$5:$N$2484*1,0)))&gt;0,ROUND($H255*($N255/SUMPRODUCT(MAX(($C$5:$C$2484=$C255)*($D$5:$D$2484=$D255)*($S$5:$S$2484=1)*IFERROR($N$5:$N$2484*1,0)))),4),0)))</f>
        <v/>
      </c>
      <c r="P255" s="48" t="inlineStr">
        <is>
          <t>posti*km</t>
        </is>
      </c>
      <c r="Q255" s="57">
        <f>IF($A255="","",$A255&amp;"|"&amp;$C255)</f>
        <v/>
      </c>
      <c r="R255" s="57">
        <f>IF($A255="","",$A255&amp;"|"&amp;$C255&amp;"|"&amp;$D255)</f>
        <v/>
      </c>
      <c r="S255" s="57">
        <f>IF($A255="","",IFERROR(INDEX(Offerte!$D$2:$D$81,MATCH($Q255,Offerte!$L$2:$L$81,0)),0))</f>
        <v/>
      </c>
      <c r="T255" s="57">
        <f>IF($A255="","",IFERROR(INDEX(Offerte!$G$2:$G$81,MATCH($Q255,Offerte!$L$2:$L$81,0)),"NO"))</f>
        <v/>
      </c>
    </row>
    <row r="256">
      <c r="A256" s="48">
        <f>IF(Offerte!$A10="","",Offerte!$A10)</f>
        <v/>
      </c>
      <c r="B256" s="48">
        <f>IF(Offerte!$A10="","",Offerte!$B10)</f>
        <v/>
      </c>
      <c r="C256" s="48">
        <f>IF(Offerte!$A10="","",Offerte!$C10)</f>
        <v/>
      </c>
      <c r="D256" s="48" t="inlineStr">
        <is>
          <t>B.2.1</t>
        </is>
      </c>
      <c r="E256" s="48" t="inlineStr">
        <is>
          <t>B</t>
        </is>
      </c>
      <c r="F256" s="48" t="inlineStr">
        <is>
          <t>Q</t>
        </is>
      </c>
      <c r="G256" s="48" t="inlineStr">
        <is>
          <t>higher</t>
        </is>
      </c>
      <c r="H256" s="48" t="n">
        <v>4</v>
      </c>
      <c r="I256" s="48" t="inlineStr">
        <is>
          <t>Corse aggiuntive nell'arco giornaliero base</t>
        </is>
      </c>
      <c r="J256" s="73" t="n"/>
      <c r="K256" s="73" t="n"/>
      <c r="L256" s="73" t="n"/>
      <c r="M256" s="73" t="n"/>
      <c r="N256" s="57">
        <f>IF($A256="","",IFERROR(VALUE($J256),0))</f>
        <v/>
      </c>
      <c r="O256" s="57">
        <f>IF($A256="",0,IF(OR($S256&lt;&gt;1,COUNTA($J256:$M256)=0),0,IF(SUMPRODUCT(MAX(($C$5:$C$2484=$C256)*($D$5:$D$2484=$D256)*($S$5:$S$2484=1)*IFERROR($N$5:$N$2484*1,0)))&gt;0,ROUND($H256*($N256/SUMPRODUCT(MAX(($C$5:$C$2484=$C256)*($D$5:$D$2484=$D256)*($S$5:$S$2484=1)*IFERROR($N$5:$N$2484*1,0)))),4),0)))</f>
        <v/>
      </c>
      <c r="P256" s="48" t="inlineStr">
        <is>
          <t>corse</t>
        </is>
      </c>
      <c r="Q256" s="57">
        <f>IF($A256="","",$A256&amp;"|"&amp;$C256)</f>
        <v/>
      </c>
      <c r="R256" s="57">
        <f>IF($A256="","",$A256&amp;"|"&amp;$C256&amp;"|"&amp;$D256)</f>
        <v/>
      </c>
      <c r="S256" s="57">
        <f>IF($A256="","",IFERROR(INDEX(Offerte!$D$2:$D$81,MATCH($Q256,Offerte!$L$2:$L$81,0)),0))</f>
        <v/>
      </c>
      <c r="T256" s="57">
        <f>IF($A256="","",IFERROR(INDEX(Offerte!$G$2:$G$81,MATCH($Q256,Offerte!$L$2:$L$81,0)),"NO"))</f>
        <v/>
      </c>
    </row>
    <row r="257">
      <c r="A257" s="48">
        <f>IF(Offerte!$A10="","",Offerte!$A10)</f>
        <v/>
      </c>
      <c r="B257" s="48">
        <f>IF(Offerte!$A10="","",Offerte!$B10)</f>
        <v/>
      </c>
      <c r="C257" s="48">
        <f>IF(Offerte!$A10="","",Offerte!$C10)</f>
        <v/>
      </c>
      <c r="D257" s="48" t="inlineStr">
        <is>
          <t>B.3.1</t>
        </is>
      </c>
      <c r="E257" s="48" t="inlineStr">
        <is>
          <t>B</t>
        </is>
      </c>
      <c r="F257" s="48" t="inlineStr">
        <is>
          <t>Q</t>
        </is>
      </c>
      <c r="G257" s="48" t="inlineStr">
        <is>
          <t>higher</t>
        </is>
      </c>
      <c r="H257" s="48" t="n">
        <v>2</v>
      </c>
      <c r="I257" s="48" t="inlineStr">
        <is>
          <t>Numero di corse aggiuntive per allungamento dell'arco di servizio giornaliero nelle fasce serali</t>
        </is>
      </c>
      <c r="J257" s="73" t="n"/>
      <c r="K257" s="73" t="n"/>
      <c r="L257" s="73" t="n"/>
      <c r="M257" s="73" t="n"/>
      <c r="N257" s="57">
        <f>IF($A257="","",IFERROR(VALUE($J257),0))</f>
        <v/>
      </c>
      <c r="O257" s="57">
        <f>IF($A257="",0,IF(OR($S257&lt;&gt;1,COUNTA($J257:$M257)=0),0,IF(SUMPRODUCT(MAX(($C$5:$C$2484=$C257)*($D$5:$D$2484=$D257)*($S$5:$S$2484=1)*IFERROR($N$5:$N$2484*1,0)))&gt;0,ROUND($H257*($N257/SUMPRODUCT(MAX(($C$5:$C$2484=$C257)*($D$5:$D$2484=$D257)*($S$5:$S$2484=1)*IFERROR($N$5:$N$2484*1,0)))),4),0)))</f>
        <v/>
      </c>
      <c r="P257" s="48" t="inlineStr">
        <is>
          <t>corse</t>
        </is>
      </c>
      <c r="Q257" s="57">
        <f>IF($A257="","",$A257&amp;"|"&amp;$C257)</f>
        <v/>
      </c>
      <c r="R257" s="57">
        <f>IF($A257="","",$A257&amp;"|"&amp;$C257&amp;"|"&amp;$D257)</f>
        <v/>
      </c>
      <c r="S257" s="57">
        <f>IF($A257="","",IFERROR(INDEX(Offerte!$D$2:$D$81,MATCH($Q257,Offerte!$L$2:$L$81,0)),0))</f>
        <v/>
      </c>
      <c r="T257" s="57">
        <f>IF($A257="","",IFERROR(INDEX(Offerte!$G$2:$G$81,MATCH($Q257,Offerte!$L$2:$L$81,0)),"NO"))</f>
        <v/>
      </c>
    </row>
    <row r="258">
      <c r="A258" s="48">
        <f>IF(Offerte!$A10="","",Offerte!$A10)</f>
        <v/>
      </c>
      <c r="B258" s="48">
        <f>IF(Offerte!$A10="","",Offerte!$B10)</f>
        <v/>
      </c>
      <c r="C258" s="48">
        <f>IF(Offerte!$A10="","",Offerte!$C10)</f>
        <v/>
      </c>
      <c r="D258" s="48" t="inlineStr">
        <is>
          <t>B.4.1</t>
        </is>
      </c>
      <c r="E258" s="48" t="inlineStr">
        <is>
          <t>B</t>
        </is>
      </c>
      <c r="F258" s="48" t="inlineStr">
        <is>
          <t>Q</t>
        </is>
      </c>
      <c r="G258" s="48" t="inlineStr">
        <is>
          <t>higher</t>
        </is>
      </c>
      <c r="H258" s="48" t="n">
        <v>3</v>
      </c>
      <c r="I258" s="48" t="inlineStr">
        <is>
          <t>Percorrenze aggiuntive offerte nel Programma d'esercizio delle prime due fasi attuative</t>
        </is>
      </c>
      <c r="J258" s="73" t="n"/>
      <c r="K258" s="73" t="n"/>
      <c r="L258" s="73" t="n"/>
      <c r="M258" s="73" t="n"/>
      <c r="N258" s="57">
        <f>IF($A258="","",IFERROR(VALUE($J258),0))</f>
        <v/>
      </c>
      <c r="O258" s="57">
        <f>IF($A258="",0,IF(OR($S258&lt;&gt;1,COUNTA($J258:$M258)=0),0,IF(SUMPRODUCT(MAX(($C$5:$C$2484=$C258)*($D$5:$D$2484=$D258)*($S$5:$S$2484=1)*IFERROR($N$5:$N$2484*1,0)))&gt;0,ROUND($H258*($N258/SUMPRODUCT(MAX(($C$5:$C$2484=$C258)*($D$5:$D$2484=$D258)*($S$5:$S$2484=1)*IFERROR($N$5:$N$2484*1,0)))),4),0)))</f>
        <v/>
      </c>
      <c r="P258" s="48" t="inlineStr">
        <is>
          <t>vett*km</t>
        </is>
      </c>
      <c r="Q258" s="57">
        <f>IF($A258="","",$A258&amp;"|"&amp;$C258)</f>
        <v/>
      </c>
      <c r="R258" s="57">
        <f>IF($A258="","",$A258&amp;"|"&amp;$C258&amp;"|"&amp;$D258)</f>
        <v/>
      </c>
      <c r="S258" s="57">
        <f>IF($A258="","",IFERROR(INDEX(Offerte!$D$2:$D$81,MATCH($Q258,Offerte!$L$2:$L$81,0)),0))</f>
        <v/>
      </c>
      <c r="T258" s="57">
        <f>IF($A258="","",IFERROR(INDEX(Offerte!$G$2:$G$81,MATCH($Q258,Offerte!$L$2:$L$81,0)),"NO"))</f>
        <v/>
      </c>
    </row>
    <row r="259">
      <c r="A259" s="48">
        <f>IF(Offerte!$A10="","",Offerte!$A10)</f>
        <v/>
      </c>
      <c r="B259" s="48">
        <f>IF(Offerte!$A10="","",Offerte!$B10)</f>
        <v/>
      </c>
      <c r="C259" s="48">
        <f>IF(Offerte!$A10="","",Offerte!$C10)</f>
        <v/>
      </c>
      <c r="D259" s="48" t="inlineStr">
        <is>
          <t>B.5.1</t>
        </is>
      </c>
      <c r="E259" s="48" t="inlineStr">
        <is>
          <t>B</t>
        </is>
      </c>
      <c r="F259" s="48" t="inlineStr">
        <is>
          <t>D</t>
        </is>
      </c>
      <c r="G259" s="48" t="inlineStr">
        <is>
          <t>discretionary</t>
        </is>
      </c>
      <c r="H259" s="48" t="n">
        <v>2</v>
      </c>
      <c r="I259" s="48" t="inlineStr">
        <is>
          <t>Efficacia del progetto di servizi complementari DRT</t>
        </is>
      </c>
      <c r="J259" s="73" t="n"/>
      <c r="K259" s="73" t="n"/>
      <c r="L259" s="73" t="n"/>
      <c r="M259" s="73" t="n"/>
      <c r="N259" s="57">
        <f>IF($A259="","",MAX(0,MIN(1,IFERROR(VALUE($M259),0))))</f>
        <v/>
      </c>
      <c r="O259" s="57">
        <f>IF($A259="",0,IF(OR($S259&lt;&gt;1,COUNTA($J259:$M259)=0),0,IF(SUMPRODUCT(MAX(($C$5:$C$2484=$C259)*($D$5:$D$2484=$D259)*($S$5:$S$2484=1)*IFERROR($N$5:$N$2484*1,0)))&gt;0,ROUND($H259*($N259/SUMPRODUCT(MAX(($C$5:$C$2484=$C259)*($D$5:$D$2484=$D259)*($S$5:$S$2484=1)*IFERROR($N$5:$N$2484*1,0)))),4),0)))</f>
        <v/>
      </c>
      <c r="P259" s="48" t="inlineStr">
        <is>
          <t>coeff.</t>
        </is>
      </c>
      <c r="Q259" s="57">
        <f>IF($A259="","",$A259&amp;"|"&amp;$C259)</f>
        <v/>
      </c>
      <c r="R259" s="57">
        <f>IF($A259="","",$A259&amp;"|"&amp;$C259&amp;"|"&amp;$D259)</f>
        <v/>
      </c>
      <c r="S259" s="57">
        <f>IF($A259="","",IFERROR(INDEX(Offerte!$D$2:$D$81,MATCH($Q259,Offerte!$L$2:$L$81,0)),0))</f>
        <v/>
      </c>
      <c r="T259" s="57">
        <f>IF($A259="","",IFERROR(INDEX(Offerte!$G$2:$G$81,MATCH($Q259,Offerte!$L$2:$L$81,0)),"NO"))</f>
        <v/>
      </c>
    </row>
    <row r="260">
      <c r="A260" s="48">
        <f>IF(Offerte!$A10="","",Offerte!$A10)</f>
        <v/>
      </c>
      <c r="B260" s="48">
        <f>IF(Offerte!$A10="","",Offerte!$B10)</f>
        <v/>
      </c>
      <c r="C260" s="48">
        <f>IF(Offerte!$A10="","",Offerte!$C10)</f>
        <v/>
      </c>
      <c r="D260" s="48" t="inlineStr">
        <is>
          <t>C.1.1</t>
        </is>
      </c>
      <c r="E260" s="48" t="inlineStr">
        <is>
          <t>C</t>
        </is>
      </c>
      <c r="F260" s="48" t="inlineStr">
        <is>
          <t>Q</t>
        </is>
      </c>
      <c r="G260" s="48" t="inlineStr">
        <is>
          <t>higher</t>
        </is>
      </c>
      <c r="H260" s="48" t="n">
        <v>2</v>
      </c>
      <c r="I260" s="48" t="inlineStr">
        <is>
          <t>Tasso di copertura del servizio con telecamere BSD</t>
        </is>
      </c>
      <c r="J260" s="73" t="n"/>
      <c r="K260" s="73" t="n"/>
      <c r="L260" s="73" t="n"/>
      <c r="M260" s="73" t="n"/>
      <c r="N260" s="57">
        <f>IF($A260="","",IFERROR(VALUE($K260)/VALUE($L260),IFERROR(VALUE($J260),0)))</f>
        <v/>
      </c>
      <c r="O260" s="57">
        <f>IF($A260="",0,IF(OR($S260&lt;&gt;1,COUNTA($J260:$M260)=0),0,IF(SUMPRODUCT(MAX(($C$5:$C$2484=$C260)*($D$5:$D$2484=$D260)*($S$5:$S$2484=1)*IFERROR($N$5:$N$2484*1,0)))&gt;0,ROUND($H260*($N260/SUMPRODUCT(MAX(($C$5:$C$2484=$C260)*($D$5:$D$2484=$D260)*($S$5:$S$2484=1)*IFERROR($N$5:$N$2484*1,0)))),4),0)))</f>
        <v/>
      </c>
      <c r="P260" s="48" t="inlineStr">
        <is>
          <t>Autobus attrezzati con telecamere BSD / Autobus totali in offerta, incluse scorte</t>
        </is>
      </c>
      <c r="Q260" s="57">
        <f>IF($A260="","",$A260&amp;"|"&amp;$C260)</f>
        <v/>
      </c>
      <c r="R260" s="57">
        <f>IF($A260="","",$A260&amp;"|"&amp;$C260&amp;"|"&amp;$D260)</f>
        <v/>
      </c>
      <c r="S260" s="57">
        <f>IF($A260="","",IFERROR(INDEX(Offerte!$D$2:$D$81,MATCH($Q260,Offerte!$L$2:$L$81,0)),0))</f>
        <v/>
      </c>
      <c r="T260" s="57">
        <f>IF($A260="","",IFERROR(INDEX(Offerte!$G$2:$G$81,MATCH($Q260,Offerte!$L$2:$L$81,0)),"NO"))</f>
        <v/>
      </c>
    </row>
    <row r="261">
      <c r="A261" s="48">
        <f>IF(Offerte!$A10="","",Offerte!$A10)</f>
        <v/>
      </c>
      <c r="B261" s="48">
        <f>IF(Offerte!$A10="","",Offerte!$B10)</f>
        <v/>
      </c>
      <c r="C261" s="48">
        <f>IF(Offerte!$A10="","",Offerte!$C10)</f>
        <v/>
      </c>
      <c r="D261" s="48" t="inlineStr">
        <is>
          <t>C.1.2</t>
        </is>
      </c>
      <c r="E261" s="48" t="inlineStr">
        <is>
          <t>C</t>
        </is>
      </c>
      <c r="F261" s="48" t="inlineStr">
        <is>
          <t>Q</t>
        </is>
      </c>
      <c r="G261" s="48" t="inlineStr">
        <is>
          <t>higher</t>
        </is>
      </c>
      <c r="H261" s="48" t="n">
        <v>2</v>
      </c>
      <c r="I261" s="48" t="inlineStr">
        <is>
          <t>Tasso di copertura del servizio con telecamere ADAS</t>
        </is>
      </c>
      <c r="J261" s="73" t="n"/>
      <c r="K261" s="73" t="n"/>
      <c r="L261" s="73" t="n"/>
      <c r="M261" s="73" t="n"/>
      <c r="N261" s="57">
        <f>IF($A261="","",IFERROR(VALUE($K261)/VALUE($L261),IFERROR(VALUE($J261),0)))</f>
        <v/>
      </c>
      <c r="O261" s="57">
        <f>IF($A261="",0,IF(OR($S261&lt;&gt;1,COUNTA($J261:$M261)=0),0,IF(SUMPRODUCT(MAX(($C$5:$C$2484=$C261)*($D$5:$D$2484=$D261)*($S$5:$S$2484=1)*IFERROR($N$5:$N$2484*1,0)))&gt;0,ROUND($H261*($N261/SUMPRODUCT(MAX(($C$5:$C$2484=$C261)*($D$5:$D$2484=$D261)*($S$5:$S$2484=1)*IFERROR($N$5:$N$2484*1,0)))),4),0)))</f>
        <v/>
      </c>
      <c r="P261" s="48" t="inlineStr">
        <is>
          <t>Autobus attrezzati con telecamere ADAS / Autobus totali in offerta, incluse scorte</t>
        </is>
      </c>
      <c r="Q261" s="57">
        <f>IF($A261="","",$A261&amp;"|"&amp;$C261)</f>
        <v/>
      </c>
      <c r="R261" s="57">
        <f>IF($A261="","",$A261&amp;"|"&amp;$C261&amp;"|"&amp;$D261)</f>
        <v/>
      </c>
      <c r="S261" s="57">
        <f>IF($A261="","",IFERROR(INDEX(Offerte!$D$2:$D$81,MATCH($Q261,Offerte!$L$2:$L$81,0)),0))</f>
        <v/>
      </c>
      <c r="T261" s="57">
        <f>IF($A261="","",IFERROR(INDEX(Offerte!$G$2:$G$81,MATCH($Q261,Offerte!$L$2:$L$81,0)),"NO"))</f>
        <v/>
      </c>
    </row>
    <row r="262">
      <c r="A262" s="48">
        <f>IF(Offerte!$A10="","",Offerte!$A10)</f>
        <v/>
      </c>
      <c r="B262" s="48">
        <f>IF(Offerte!$A10="","",Offerte!$B10)</f>
        <v/>
      </c>
      <c r="C262" s="48">
        <f>IF(Offerte!$A10="","",Offerte!$C10)</f>
        <v/>
      </c>
      <c r="D262" s="48" t="inlineStr">
        <is>
          <t>C.2.1</t>
        </is>
      </c>
      <c r="E262" s="48" t="inlineStr">
        <is>
          <t>C</t>
        </is>
      </c>
      <c r="F262" s="48" t="inlineStr">
        <is>
          <t>Q</t>
        </is>
      </c>
      <c r="G262" s="48" t="inlineStr">
        <is>
          <t>higher</t>
        </is>
      </c>
      <c r="H262" s="48" t="n">
        <v>3</v>
      </c>
      <c r="I262" s="48" t="inlineStr">
        <is>
          <t>Tasso di copertura del servizio con telecamere di bordo di videosorveglianza</t>
        </is>
      </c>
      <c r="J262" s="73" t="n"/>
      <c r="K262" s="73" t="n"/>
      <c r="L262" s="73" t="n"/>
      <c r="M262" s="73" t="n"/>
      <c r="N262" s="57">
        <f>IF($A262="","",IFERROR(VALUE($K262)/VALUE($L262),IFERROR(VALUE($J262),0)))</f>
        <v/>
      </c>
      <c r="O262" s="57">
        <f>IF($A262="",0,IF(OR($S262&lt;&gt;1,COUNTA($J262:$M262)=0),0,IF(SUMPRODUCT(MAX(($C$5:$C$2484=$C262)*($D$5:$D$2484=$D262)*($S$5:$S$2484=1)*IFERROR($N$5:$N$2484*1,0)))&gt;0,ROUND($H262*($N262/SUMPRODUCT(MAX(($C$5:$C$2484=$C262)*($D$5:$D$2484=$D262)*($S$5:$S$2484=1)*IFERROR($N$5:$N$2484*1,0)))),4),0)))</f>
        <v/>
      </c>
      <c r="P262" s="48" t="inlineStr">
        <is>
          <t>Autobus attrezzati con videosorveglianza / Autobus totali in offerta, incluse scorte</t>
        </is>
      </c>
      <c r="Q262" s="57">
        <f>IF($A262="","",$A262&amp;"|"&amp;$C262)</f>
        <v/>
      </c>
      <c r="R262" s="57">
        <f>IF($A262="","",$A262&amp;"|"&amp;$C262&amp;"|"&amp;$D262)</f>
        <v/>
      </c>
      <c r="S262" s="57">
        <f>IF($A262="","",IFERROR(INDEX(Offerte!$D$2:$D$81,MATCH($Q262,Offerte!$L$2:$L$81,0)),0))</f>
        <v/>
      </c>
      <c r="T262" s="57">
        <f>IF($A262="","",IFERROR(INDEX(Offerte!$G$2:$G$81,MATCH($Q262,Offerte!$L$2:$L$81,0)),"NO"))</f>
        <v/>
      </c>
    </row>
    <row r="263">
      <c r="A263" s="48">
        <f>IF(Offerte!$A10="","",Offerte!$A10)</f>
        <v/>
      </c>
      <c r="B263" s="48">
        <f>IF(Offerte!$A10="","",Offerte!$B10)</f>
        <v/>
      </c>
      <c r="C263" s="48">
        <f>IF(Offerte!$A10="","",Offerte!$C10)</f>
        <v/>
      </c>
      <c r="D263" s="48" t="inlineStr">
        <is>
          <t>C.2.2</t>
        </is>
      </c>
      <c r="E263" s="48" t="inlineStr">
        <is>
          <t>C</t>
        </is>
      </c>
      <c r="F263" s="48" t="inlineStr">
        <is>
          <t>T</t>
        </is>
      </c>
      <c r="G263" s="48" t="inlineStr">
        <is>
          <t>tabular</t>
        </is>
      </c>
      <c r="H263" s="48" t="n">
        <v>1</v>
      </c>
      <c r="I263" s="48" t="inlineStr">
        <is>
          <t>Software video/audio analisi per situazioni di pericolo</t>
        </is>
      </c>
      <c r="J263" s="73" t="n"/>
      <c r="K263" s="73" t="n"/>
      <c r="L263" s="73" t="n"/>
      <c r="M263" s="73" t="n"/>
      <c r="N263" s="57">
        <f>IF($A263="","",IF(IFERROR(VALUE($M263),0)=1,1,0))</f>
        <v/>
      </c>
      <c r="O263" s="57">
        <f>IF($A263="",0,IF(OR($S263&lt;&gt;1,COUNTA($J263:$M263)=0),0,IF($N263=1,$H263,0)))</f>
        <v/>
      </c>
      <c r="P263" s="48" t="inlineStr">
        <is>
          <t>sì/no</t>
        </is>
      </c>
      <c r="Q263" s="57">
        <f>IF($A263="","",$A263&amp;"|"&amp;$C263)</f>
        <v/>
      </c>
      <c r="R263" s="57">
        <f>IF($A263="","",$A263&amp;"|"&amp;$C263&amp;"|"&amp;$D263)</f>
        <v/>
      </c>
      <c r="S263" s="57">
        <f>IF($A263="","",IFERROR(INDEX(Offerte!$D$2:$D$81,MATCH($Q263,Offerte!$L$2:$L$81,0)),0))</f>
        <v/>
      </c>
      <c r="T263" s="57">
        <f>IF($A263="","",IFERROR(INDEX(Offerte!$G$2:$G$81,MATCH($Q263,Offerte!$L$2:$L$81,0)),"NO"))</f>
        <v/>
      </c>
    </row>
    <row r="264">
      <c r="A264" s="48">
        <f>IF(Offerte!$A10="","",Offerte!$A10)</f>
        <v/>
      </c>
      <c r="B264" s="48">
        <f>IF(Offerte!$A10="","",Offerte!$B10)</f>
        <v/>
      </c>
      <c r="C264" s="48">
        <f>IF(Offerte!$A10="","",Offerte!$C10)</f>
        <v/>
      </c>
      <c r="D264" s="48" t="inlineStr">
        <is>
          <t>C.2.3</t>
        </is>
      </c>
      <c r="E264" s="48" t="inlineStr">
        <is>
          <t>C</t>
        </is>
      </c>
      <c r="F264" s="48" t="inlineStr">
        <is>
          <t>T</t>
        </is>
      </c>
      <c r="G264" s="48" t="inlineStr">
        <is>
          <t>tabular</t>
        </is>
      </c>
      <c r="H264" s="48" t="n">
        <v>1</v>
      </c>
      <c r="I264" s="48" t="inlineStr">
        <is>
          <t>Collegamento con centrale qualificata di pronto intervento</t>
        </is>
      </c>
      <c r="J264" s="73" t="n"/>
      <c r="K264" s="73" t="n"/>
      <c r="L264" s="73" t="n"/>
      <c r="M264" s="73" t="n"/>
      <c r="N264" s="57">
        <f>IF($A264="","",IF(IFERROR(VALUE($M264),0)=1,1,0))</f>
        <v/>
      </c>
      <c r="O264" s="57">
        <f>IF($A264="",0,IF(OR($S264&lt;&gt;1,COUNTA($J264:$M264)=0),0,IF($N264=1,$H264,0)))</f>
        <v/>
      </c>
      <c r="P264" s="48" t="inlineStr">
        <is>
          <t>sì/no</t>
        </is>
      </c>
      <c r="Q264" s="57">
        <f>IF($A264="","",$A264&amp;"|"&amp;$C264)</f>
        <v/>
      </c>
      <c r="R264" s="57">
        <f>IF($A264="","",$A264&amp;"|"&amp;$C264&amp;"|"&amp;$D264)</f>
        <v/>
      </c>
      <c r="S264" s="57">
        <f>IF($A264="","",IFERROR(INDEX(Offerte!$D$2:$D$81,MATCH($Q264,Offerte!$L$2:$L$81,0)),0))</f>
        <v/>
      </c>
      <c r="T264" s="57">
        <f>IF($A264="","",IFERROR(INDEX(Offerte!$G$2:$G$81,MATCH($Q264,Offerte!$L$2:$L$81,0)),"NO"))</f>
        <v/>
      </c>
    </row>
    <row r="265">
      <c r="A265" s="48">
        <f>IF(Offerte!$A10="","",Offerte!$A10)</f>
        <v/>
      </c>
      <c r="B265" s="48">
        <f>IF(Offerte!$A10="","",Offerte!$B10)</f>
        <v/>
      </c>
      <c r="C265" s="48">
        <f>IF(Offerte!$A10="","",Offerte!$C10)</f>
        <v/>
      </c>
      <c r="D265" s="48" t="inlineStr">
        <is>
          <t>C.2.4</t>
        </is>
      </c>
      <c r="E265" s="48" t="inlineStr">
        <is>
          <t>C</t>
        </is>
      </c>
      <c r="F265" s="48" t="inlineStr">
        <is>
          <t>Q</t>
        </is>
      </c>
      <c r="G265" s="48" t="inlineStr">
        <is>
          <t>higher</t>
        </is>
      </c>
      <c r="H265" s="48" t="n">
        <v>1</v>
      </c>
      <c r="I265" s="48" t="inlineStr">
        <is>
          <t>Tasso di copertura del servizio con dispositivi per la chiamata di emergenza del conducente</t>
        </is>
      </c>
      <c r="J265" s="73" t="n"/>
      <c r="K265" s="73" t="n"/>
      <c r="L265" s="73" t="n"/>
      <c r="M265" s="73" t="n"/>
      <c r="N265" s="57">
        <f>IF($A265="","",IFERROR(VALUE($K265)/VALUE($L265),IFERROR(VALUE($J265),0)))</f>
        <v/>
      </c>
      <c r="O265" s="57">
        <f>IF($A265="",0,IF(OR($S265&lt;&gt;1,COUNTA($J265:$M265)=0),0,IF(SUMPRODUCT(MAX(($C$5:$C$2484=$C265)*($D$5:$D$2484=$D265)*($S$5:$S$2484=1)*IFERROR($N$5:$N$2484*1,0)))&gt;0,ROUND($H265*($N265/SUMPRODUCT(MAX(($C$5:$C$2484=$C265)*($D$5:$D$2484=$D265)*($S$5:$S$2484=1)*IFERROR($N$5:$N$2484*1,0)))),4),0)))</f>
        <v/>
      </c>
      <c r="P265" s="48" t="inlineStr">
        <is>
          <t>Autobus attrezzati con chiamata di emergenza / Autobus totali in offerta, incluse scorte</t>
        </is>
      </c>
      <c r="Q265" s="57">
        <f>IF($A265="","",$A265&amp;"|"&amp;$C265)</f>
        <v/>
      </c>
      <c r="R265" s="57">
        <f>IF($A265="","",$A265&amp;"|"&amp;$C265&amp;"|"&amp;$D265)</f>
        <v/>
      </c>
      <c r="S265" s="57">
        <f>IF($A265="","",IFERROR(INDEX(Offerte!$D$2:$D$81,MATCH($Q265,Offerte!$L$2:$L$81,0)),0))</f>
        <v/>
      </c>
      <c r="T265" s="57">
        <f>IF($A265="","",IFERROR(INDEX(Offerte!$G$2:$G$81,MATCH($Q265,Offerte!$L$2:$L$81,0)),"NO"))</f>
        <v/>
      </c>
    </row>
    <row r="266">
      <c r="A266" s="48">
        <f>IF(Offerte!$A10="","",Offerte!$A10)</f>
        <v/>
      </c>
      <c r="B266" s="48">
        <f>IF(Offerte!$A10="","",Offerte!$B10)</f>
        <v/>
      </c>
      <c r="C266" s="48">
        <f>IF(Offerte!$A10="","",Offerte!$C10)</f>
        <v/>
      </c>
      <c r="D266" s="48" t="inlineStr">
        <is>
          <t>C.3.1</t>
        </is>
      </c>
      <c r="E266" s="48" t="inlineStr">
        <is>
          <t>C</t>
        </is>
      </c>
      <c r="F266" s="48" t="inlineStr">
        <is>
          <t>Q</t>
        </is>
      </c>
      <c r="G266" s="48" t="inlineStr">
        <is>
          <t>higher</t>
        </is>
      </c>
      <c r="H266" s="48" t="n">
        <v>2</v>
      </c>
      <c r="I266" s="48" t="inlineStr">
        <is>
          <t>Tasso di copertura del servizio con dispositivi di informazione dinamica a bordo mezzo</t>
        </is>
      </c>
      <c r="J266" s="73" t="n"/>
      <c r="K266" s="73" t="n"/>
      <c r="L266" s="73" t="n"/>
      <c r="M266" s="73" t="n"/>
      <c r="N266" s="57">
        <f>IF($A266="","",IFERROR(VALUE($K266)/VALUE($L266),IFERROR(VALUE($J266),0)))</f>
        <v/>
      </c>
      <c r="O266" s="57">
        <f>IF($A266="",0,IF(OR($S266&lt;&gt;1,COUNTA($J266:$M266)=0),0,IF(SUMPRODUCT(MAX(($C$5:$C$2484=$C266)*($D$5:$D$2484=$D266)*($S$5:$S$2484=1)*IFERROR($N$5:$N$2484*1,0)))&gt;0,ROUND($H266*($N266/SUMPRODUCT(MAX(($C$5:$C$2484=$C266)*($D$5:$D$2484=$D266)*($S$5:$S$2484=1)*IFERROR($N$5:$N$2484*1,0)))),4),0)))</f>
        <v/>
      </c>
      <c r="P266" s="48" t="inlineStr">
        <is>
          <t>Autobus con monitor e indicatori vocali / Autobus totali in offerta, incluse scorte</t>
        </is>
      </c>
      <c r="Q266" s="57">
        <f>IF($A266="","",$A266&amp;"|"&amp;$C266)</f>
        <v/>
      </c>
      <c r="R266" s="57">
        <f>IF($A266="","",$A266&amp;"|"&amp;$C266&amp;"|"&amp;$D266)</f>
        <v/>
      </c>
      <c r="S266" s="57">
        <f>IF($A266="","",IFERROR(INDEX(Offerte!$D$2:$D$81,MATCH($Q266,Offerte!$L$2:$L$81,0)),0))</f>
        <v/>
      </c>
      <c r="T266" s="57">
        <f>IF($A266="","",IFERROR(INDEX(Offerte!$G$2:$G$81,MATCH($Q266,Offerte!$L$2:$L$81,0)),"NO"))</f>
        <v/>
      </c>
    </row>
    <row r="267">
      <c r="A267" s="48">
        <f>IF(Offerte!$A10="","",Offerte!$A10)</f>
        <v/>
      </c>
      <c r="B267" s="48">
        <f>IF(Offerte!$A10="","",Offerte!$B10)</f>
        <v/>
      </c>
      <c r="C267" s="48">
        <f>IF(Offerte!$A10="","",Offerte!$C10)</f>
        <v/>
      </c>
      <c r="D267" s="48" t="inlineStr">
        <is>
          <t>C.3.2</t>
        </is>
      </c>
      <c r="E267" s="48" t="inlineStr">
        <is>
          <t>C</t>
        </is>
      </c>
      <c r="F267" s="48" t="inlineStr">
        <is>
          <t>T</t>
        </is>
      </c>
      <c r="G267" s="48" t="inlineStr">
        <is>
          <t>tabular</t>
        </is>
      </c>
      <c r="H267" s="48" t="n">
        <v>2</v>
      </c>
      <c r="I267" s="48" t="inlineStr">
        <is>
          <t>Informazioni a bordo su coincidenze ai nodi</t>
        </is>
      </c>
      <c r="J267" s="73" t="n"/>
      <c r="K267" s="73" t="n"/>
      <c r="L267" s="73" t="n"/>
      <c r="M267" s="73" t="n"/>
      <c r="N267" s="57">
        <f>IF($A267="","",IF(IFERROR(VALUE($M267),0)=1,1,0))</f>
        <v/>
      </c>
      <c r="O267" s="57">
        <f>IF($A267="",0,IF(OR($S267&lt;&gt;1,COUNTA($J267:$M267)=0),0,IF(AND($N267=1,IFERROR(SUMIFS($N$5:$N$2484,$Q$5:$Q$2484,$Q267,$D$5:$D$2484,"C.3.1"),0)&gt;=0.5),$H267,0)))</f>
        <v/>
      </c>
      <c r="P267" s="48" t="inlineStr">
        <is>
          <t>Dipende da C.3.1 &gt;= 0.5</t>
        </is>
      </c>
      <c r="Q267" s="57">
        <f>IF($A267="","",$A267&amp;"|"&amp;$C267)</f>
        <v/>
      </c>
      <c r="R267" s="57">
        <f>IF($A267="","",$A267&amp;"|"&amp;$C267&amp;"|"&amp;$D267)</f>
        <v/>
      </c>
      <c r="S267" s="57">
        <f>IF($A267="","",IFERROR(INDEX(Offerte!$D$2:$D$81,MATCH($Q267,Offerte!$L$2:$L$81,0)),0))</f>
        <v/>
      </c>
      <c r="T267" s="57">
        <f>IF($A267="","",IFERROR(INDEX(Offerte!$G$2:$G$81,MATCH($Q267,Offerte!$L$2:$L$81,0)),"NO"))</f>
        <v/>
      </c>
    </row>
    <row r="268">
      <c r="A268" s="48">
        <f>IF(Offerte!$A10="","",Offerte!$A10)</f>
        <v/>
      </c>
      <c r="B268" s="48">
        <f>IF(Offerte!$A10="","",Offerte!$B10)</f>
        <v/>
      </c>
      <c r="C268" s="48">
        <f>IF(Offerte!$A10="","",Offerte!$C10)</f>
        <v/>
      </c>
      <c r="D268" s="48" t="inlineStr">
        <is>
          <t>D.1.1</t>
        </is>
      </c>
      <c r="E268" s="48" t="inlineStr">
        <is>
          <t>D</t>
        </is>
      </c>
      <c r="F268" s="48" t="inlineStr">
        <is>
          <t>Q</t>
        </is>
      </c>
      <c r="G268" s="48" t="inlineStr">
        <is>
          <t>higher</t>
        </is>
      </c>
      <c r="H268" s="48" t="n">
        <v>3</v>
      </c>
      <c r="I268" s="48" t="inlineStr">
        <is>
          <t>Installazione di pensiline</t>
        </is>
      </c>
      <c r="J268" s="73" t="n"/>
      <c r="K268" s="73" t="n"/>
      <c r="L268" s="73" t="n"/>
      <c r="M268" s="73" t="n"/>
      <c r="N268" s="57">
        <f>IF($A268="","",IFERROR(VALUE($J268),0))</f>
        <v/>
      </c>
      <c r="O268" s="57">
        <f>IF($A268="",0,IF(OR($S268&lt;&gt;1,COUNTA($J268:$M268)=0),0,IF(SUMPRODUCT(MAX(($C$5:$C$2484=$C268)*($D$5:$D$2484=$D268)*($S$5:$S$2484=1)*IFERROR($N$5:$N$2484*1,0)))&gt;0,ROUND($H268*($N268/SUMPRODUCT(MAX(($C$5:$C$2484=$C268)*($D$5:$D$2484=$D268)*($S$5:$S$2484=1)*IFERROR($N$5:$N$2484*1,0)))),4),0)))</f>
        <v/>
      </c>
      <c r="P268" s="48" t="inlineStr">
        <is>
          <t>fermate</t>
        </is>
      </c>
      <c r="Q268" s="57">
        <f>IF($A268="","",$A268&amp;"|"&amp;$C268)</f>
        <v/>
      </c>
      <c r="R268" s="57">
        <f>IF($A268="","",$A268&amp;"|"&amp;$C268&amp;"|"&amp;$D268)</f>
        <v/>
      </c>
      <c r="S268" s="57">
        <f>IF($A268="","",IFERROR(INDEX(Offerte!$D$2:$D$81,MATCH($Q268,Offerte!$L$2:$L$81,0)),0))</f>
        <v/>
      </c>
      <c r="T268" s="57">
        <f>IF($A268="","",IFERROR(INDEX(Offerte!$G$2:$G$81,MATCH($Q268,Offerte!$L$2:$L$81,0)),"NO"))</f>
        <v/>
      </c>
    </row>
    <row r="269">
      <c r="A269" s="48">
        <f>IF(Offerte!$A10="","",Offerte!$A10)</f>
        <v/>
      </c>
      <c r="B269" s="48">
        <f>IF(Offerte!$A10="","",Offerte!$B10)</f>
        <v/>
      </c>
      <c r="C269" s="48">
        <f>IF(Offerte!$A10="","",Offerte!$C10)</f>
        <v/>
      </c>
      <c r="D269" s="48" t="inlineStr">
        <is>
          <t>D.1.2</t>
        </is>
      </c>
      <c r="E269" s="48" t="inlineStr">
        <is>
          <t>D</t>
        </is>
      </c>
      <c r="F269" s="48" t="inlineStr">
        <is>
          <t>Q</t>
        </is>
      </c>
      <c r="G269" s="48" t="inlineStr">
        <is>
          <t>higher</t>
        </is>
      </c>
      <c r="H269" s="48" t="n">
        <v>3</v>
      </c>
      <c r="I269" s="48" t="inlineStr">
        <is>
          <t>Installazione di paline di fermata conformi alla DGR 581/2023</t>
        </is>
      </c>
      <c r="J269" s="73" t="n"/>
      <c r="K269" s="73" t="n"/>
      <c r="L269" s="73" t="n"/>
      <c r="M269" s="73" t="n"/>
      <c r="N269" s="57">
        <f>IF($A269="","",IFERROR(VALUE($J269),0))</f>
        <v/>
      </c>
      <c r="O269" s="57">
        <f>IF($A269="",0,IF(OR($S269&lt;&gt;1,COUNTA($J269:$M269)=0),0,IF(SUMPRODUCT(MAX(($C$5:$C$2484=$C269)*($D$5:$D$2484=$D269)*($S$5:$S$2484=1)*IFERROR($N$5:$N$2484*1,0)))&gt;0,ROUND($H269*($N269/SUMPRODUCT(MAX(($C$5:$C$2484=$C269)*($D$5:$D$2484=$D269)*($S$5:$S$2484=1)*IFERROR($N$5:$N$2484*1,0)))),4),0)))</f>
        <v/>
      </c>
      <c r="P269" s="48" t="inlineStr">
        <is>
          <t>fermate</t>
        </is>
      </c>
      <c r="Q269" s="57">
        <f>IF($A269="","",$A269&amp;"|"&amp;$C269)</f>
        <v/>
      </c>
      <c r="R269" s="57">
        <f>IF($A269="","",$A269&amp;"|"&amp;$C269&amp;"|"&amp;$D269)</f>
        <v/>
      </c>
      <c r="S269" s="57">
        <f>IF($A269="","",IFERROR(INDEX(Offerte!$D$2:$D$81,MATCH($Q269,Offerte!$L$2:$L$81,0)),0))</f>
        <v/>
      </c>
      <c r="T269" s="57">
        <f>IF($A269="","",IFERROR(INDEX(Offerte!$G$2:$G$81,MATCH($Q269,Offerte!$L$2:$L$81,0)),"NO"))</f>
        <v/>
      </c>
    </row>
    <row r="270">
      <c r="A270" s="48">
        <f>IF(Offerte!$A10="","",Offerte!$A10)</f>
        <v/>
      </c>
      <c r="B270" s="48">
        <f>IF(Offerte!$A10="","",Offerte!$B10)</f>
        <v/>
      </c>
      <c r="C270" s="48">
        <f>IF(Offerte!$A10="","",Offerte!$C10)</f>
        <v/>
      </c>
      <c r="D270" s="48" t="inlineStr">
        <is>
          <t>D.1.3</t>
        </is>
      </c>
      <c r="E270" s="48" t="inlineStr">
        <is>
          <t>D</t>
        </is>
      </c>
      <c r="F270" s="48" t="inlineStr">
        <is>
          <t>Q</t>
        </is>
      </c>
      <c r="G270" s="48" t="inlineStr">
        <is>
          <t>higher</t>
        </is>
      </c>
      <c r="H270" s="48" t="n">
        <v>2</v>
      </c>
      <c r="I270" s="48" t="inlineStr">
        <is>
          <t>Display informativi connessi alle fermate</t>
        </is>
      </c>
      <c r="J270" s="73" t="n"/>
      <c r="K270" s="73" t="n"/>
      <c r="L270" s="73" t="n"/>
      <c r="M270" s="73" t="n"/>
      <c r="N270" s="57">
        <f>IF($A270="","",IFERROR(VALUE($J270),0))</f>
        <v/>
      </c>
      <c r="O270" s="57">
        <f>IF($A270="",0,IF(OR($S270&lt;&gt;1,COUNTA($J270:$M270)=0),0,IF(SUMPRODUCT(MAX(($C$5:$C$2484=$C270)*($D$5:$D$2484=$D270)*($S$5:$S$2484=1)*IFERROR($N$5:$N$2484*1,0)))&gt;0,ROUND($H270*($N270/SUMPRODUCT(MAX(($C$5:$C$2484=$C270)*($D$5:$D$2484=$D270)*($S$5:$S$2484=1)*IFERROR($N$5:$N$2484*1,0)))),4),0)))</f>
        <v/>
      </c>
      <c r="P270" s="48" t="inlineStr">
        <is>
          <t>fermate</t>
        </is>
      </c>
      <c r="Q270" s="57">
        <f>IF($A270="","",$A270&amp;"|"&amp;$C270)</f>
        <v/>
      </c>
      <c r="R270" s="57">
        <f>IF($A270="","",$A270&amp;"|"&amp;$C270&amp;"|"&amp;$D270)</f>
        <v/>
      </c>
      <c r="S270" s="57">
        <f>IF($A270="","",IFERROR(INDEX(Offerte!$D$2:$D$81,MATCH($Q270,Offerte!$L$2:$L$81,0)),0))</f>
        <v/>
      </c>
      <c r="T270" s="57">
        <f>IF($A270="","",IFERROR(INDEX(Offerte!$G$2:$G$81,MATCH($Q270,Offerte!$L$2:$L$81,0)),"NO"))</f>
        <v/>
      </c>
    </row>
    <row r="271">
      <c r="A271" s="48">
        <f>IF(Offerte!$A10="","",Offerte!$A10)</f>
        <v/>
      </c>
      <c r="B271" s="48">
        <f>IF(Offerte!$A10="","",Offerte!$B10)</f>
        <v/>
      </c>
      <c r="C271" s="48">
        <f>IF(Offerte!$A10="","",Offerte!$C10)</f>
        <v/>
      </c>
      <c r="D271" s="48" t="inlineStr">
        <is>
          <t>D.2.1</t>
        </is>
      </c>
      <c r="E271" s="48" t="inlineStr">
        <is>
          <t>D</t>
        </is>
      </c>
      <c r="F271" s="48" t="inlineStr">
        <is>
          <t>Q</t>
        </is>
      </c>
      <c r="G271" s="48" t="inlineStr">
        <is>
          <t>higher</t>
        </is>
      </c>
      <c r="H271" s="48" t="n">
        <v>2</v>
      </c>
      <c r="I271" s="48" t="inlineStr">
        <is>
          <t>Segnali tattili Loges-Vet-Evolution</t>
        </is>
      </c>
      <c r="J271" s="73" t="n"/>
      <c r="K271" s="73" t="n"/>
      <c r="L271" s="73" t="n"/>
      <c r="M271" s="73" t="n"/>
      <c r="N271" s="57">
        <f>IF($A271="","",IFERROR(VALUE($J271),0))</f>
        <v/>
      </c>
      <c r="O271" s="57">
        <f>IF($A271="",0,IF(OR($S271&lt;&gt;1,COUNTA($J271:$M271)=0),0,IF(SUMPRODUCT(MAX(($C$5:$C$2484=$C271)*($D$5:$D$2484=$D271)*($S$5:$S$2484=1)*IFERROR($N$5:$N$2484*1,0)))&gt;0,ROUND($H271*($N271/SUMPRODUCT(MAX(($C$5:$C$2484=$C271)*($D$5:$D$2484=$D271)*($S$5:$S$2484=1)*IFERROR($N$5:$N$2484*1,0)))),4),0)))</f>
        <v/>
      </c>
      <c r="P271" s="48" t="inlineStr">
        <is>
          <t>fermate</t>
        </is>
      </c>
      <c r="Q271" s="57">
        <f>IF($A271="","",$A271&amp;"|"&amp;$C271)</f>
        <v/>
      </c>
      <c r="R271" s="57">
        <f>IF($A271="","",$A271&amp;"|"&amp;$C271&amp;"|"&amp;$D271)</f>
        <v/>
      </c>
      <c r="S271" s="57">
        <f>IF($A271="","",IFERROR(INDEX(Offerte!$D$2:$D$81,MATCH($Q271,Offerte!$L$2:$L$81,0)),0))</f>
        <v/>
      </c>
      <c r="T271" s="57">
        <f>IF($A271="","",IFERROR(INDEX(Offerte!$G$2:$G$81,MATCH($Q271,Offerte!$L$2:$L$81,0)),"NO"))</f>
        <v/>
      </c>
    </row>
    <row r="272">
      <c r="A272" s="48">
        <f>IF(Offerte!$A10="","",Offerte!$A10)</f>
        <v/>
      </c>
      <c r="B272" s="48">
        <f>IF(Offerte!$A10="","",Offerte!$B10)</f>
        <v/>
      </c>
      <c r="C272" s="48">
        <f>IF(Offerte!$A10="","",Offerte!$C10)</f>
        <v/>
      </c>
      <c r="D272" s="48" t="inlineStr">
        <is>
          <t>E.1.1</t>
        </is>
      </c>
      <c r="E272" s="48" t="inlineStr">
        <is>
          <t>E</t>
        </is>
      </c>
      <c r="F272" s="48" t="inlineStr">
        <is>
          <t>T</t>
        </is>
      </c>
      <c r="G272" s="48" t="inlineStr">
        <is>
          <t>tabular</t>
        </is>
      </c>
      <c r="H272" s="48" t="n">
        <v>2</v>
      </c>
      <c r="I272" s="48" t="inlineStr">
        <is>
          <t>Mobile app con travel planner PRM</t>
        </is>
      </c>
      <c r="J272" s="73" t="n"/>
      <c r="K272" s="73" t="n"/>
      <c r="L272" s="73" t="n"/>
      <c r="M272" s="73" t="n"/>
      <c r="N272" s="57">
        <f>IF($A272="","",IF(IFERROR(VALUE($M272),0)=1,1,0))</f>
        <v/>
      </c>
      <c r="O272" s="57">
        <f>IF($A272="",0,IF(OR($S272&lt;&gt;1,COUNTA($J272:$M272)=0),0,IF($N272=1,$H272,0)))</f>
        <v/>
      </c>
      <c r="P272" s="48" t="inlineStr">
        <is>
          <t>sì/no</t>
        </is>
      </c>
      <c r="Q272" s="57">
        <f>IF($A272="","",$A272&amp;"|"&amp;$C272)</f>
        <v/>
      </c>
      <c r="R272" s="57">
        <f>IF($A272="","",$A272&amp;"|"&amp;$C272&amp;"|"&amp;$D272)</f>
        <v/>
      </c>
      <c r="S272" s="57">
        <f>IF($A272="","",IFERROR(INDEX(Offerte!$D$2:$D$81,MATCH($Q272,Offerte!$L$2:$L$81,0)),0))</f>
        <v/>
      </c>
      <c r="T272" s="57">
        <f>IF($A272="","",IFERROR(INDEX(Offerte!$G$2:$G$81,MATCH($Q272,Offerte!$L$2:$L$81,0)),"NO"))</f>
        <v/>
      </c>
    </row>
    <row r="273">
      <c r="A273" s="48">
        <f>IF(Offerte!$A10="","",Offerte!$A10)</f>
        <v/>
      </c>
      <c r="B273" s="48">
        <f>IF(Offerte!$A10="","",Offerte!$B10)</f>
        <v/>
      </c>
      <c r="C273" s="48">
        <f>IF(Offerte!$A10="","",Offerte!$C10)</f>
        <v/>
      </c>
      <c r="D273" s="48" t="inlineStr">
        <is>
          <t>E.2.1</t>
        </is>
      </c>
      <c r="E273" s="48" t="inlineStr">
        <is>
          <t>E</t>
        </is>
      </c>
      <c r="F273" s="48" t="inlineStr">
        <is>
          <t>D</t>
        </is>
      </c>
      <c r="G273" s="48" t="inlineStr">
        <is>
          <t>discretionary</t>
        </is>
      </c>
      <c r="H273" s="48" t="n">
        <v>2</v>
      </c>
      <c r="I273" s="48" t="inlineStr">
        <is>
          <t>Altre azioni informative e rapporti con gli utenti</t>
        </is>
      </c>
      <c r="J273" s="73" t="n"/>
      <c r="K273" s="73" t="n"/>
      <c r="L273" s="73" t="n"/>
      <c r="M273" s="73" t="n"/>
      <c r="N273" s="57">
        <f>IF($A273="","",MAX(0,MIN(1,IFERROR(VALUE($M273),0))))</f>
        <v/>
      </c>
      <c r="O273" s="57">
        <f>IF($A273="",0,IF(OR($S273&lt;&gt;1,COUNTA($J273:$M273)=0),0,IF(SUMPRODUCT(MAX(($C$5:$C$2484=$C273)*($D$5:$D$2484=$D273)*($S$5:$S$2484=1)*IFERROR($N$5:$N$2484*1,0)))&gt;0,ROUND($H273*($N273/SUMPRODUCT(MAX(($C$5:$C$2484=$C273)*($D$5:$D$2484=$D273)*($S$5:$S$2484=1)*IFERROR($N$5:$N$2484*1,0)))),4),0)))</f>
        <v/>
      </c>
      <c r="P273" s="48" t="inlineStr">
        <is>
          <t>coeff.</t>
        </is>
      </c>
      <c r="Q273" s="57">
        <f>IF($A273="","",$A273&amp;"|"&amp;$C273)</f>
        <v/>
      </c>
      <c r="R273" s="57">
        <f>IF($A273="","",$A273&amp;"|"&amp;$C273&amp;"|"&amp;$D273)</f>
        <v/>
      </c>
      <c r="S273" s="57">
        <f>IF($A273="","",IFERROR(INDEX(Offerte!$D$2:$D$81,MATCH($Q273,Offerte!$L$2:$L$81,0)),0))</f>
        <v/>
      </c>
      <c r="T273" s="57">
        <f>IF($A273="","",IFERROR(INDEX(Offerte!$G$2:$G$81,MATCH($Q273,Offerte!$L$2:$L$81,0)),"NO"))</f>
        <v/>
      </c>
    </row>
    <row r="274">
      <c r="A274" s="48">
        <f>IF(Offerte!$A10="","",Offerte!$A10)</f>
        <v/>
      </c>
      <c r="B274" s="48">
        <f>IF(Offerte!$A10="","",Offerte!$B10)</f>
        <v/>
      </c>
      <c r="C274" s="48">
        <f>IF(Offerte!$A10="","",Offerte!$C10)</f>
        <v/>
      </c>
      <c r="D274" s="48" t="inlineStr">
        <is>
          <t>F.1.1</t>
        </is>
      </c>
      <c r="E274" s="48" t="inlineStr">
        <is>
          <t>F</t>
        </is>
      </c>
      <c r="F274" s="48" t="inlineStr">
        <is>
          <t>Q</t>
        </is>
      </c>
      <c r="G274" s="48" t="inlineStr">
        <is>
          <t>lower</t>
        </is>
      </c>
      <c r="H274" s="48" t="n">
        <v>7</v>
      </c>
      <c r="I274" s="48" t="inlineStr">
        <is>
          <t>Performance ambientali del parco mezzi adibito al servizio - I_CEA</t>
        </is>
      </c>
      <c r="J274" s="73" t="n"/>
      <c r="K274" s="73" t="n"/>
      <c r="L274" s="73" t="n"/>
      <c r="M274" s="73" t="n"/>
      <c r="N274" s="57">
        <f>IF($A274="","",IFERROR(VALUE($J274),0))</f>
        <v/>
      </c>
      <c r="O274" s="57">
        <f>IF($A274="",0,IF(OR($S274&lt;&gt;1,COUNTA($J274:$M274)=0),0,IF(AND(IFERROR(AGGREGATE(15,6,$N$5:$N$2484/(($C$5:$C$2484=$C274)*($D$5:$D$2484=$D274)*($S$5:$S$2484=1)*($N$5:$N$2484&gt;0)),1),0)&gt;0,$N274&gt;0),ROUND($H274*(IFERROR(AGGREGATE(15,6,$N$5:$N$2484/(($C$5:$C$2484=$C274)*($D$5:$D$2484=$D274)*($S$5:$S$2484=1)*($N$5:$N$2484&gt;0)),1),0)/$N274),4),0)))</f>
        <v/>
      </c>
      <c r="P274" s="48" t="inlineStr">
        <is>
          <t>indice</t>
        </is>
      </c>
      <c r="Q274" s="57">
        <f>IF($A274="","",$A274&amp;"|"&amp;$C274)</f>
        <v/>
      </c>
      <c r="R274" s="57">
        <f>IF($A274="","",$A274&amp;"|"&amp;$C274&amp;"|"&amp;$D274)</f>
        <v/>
      </c>
      <c r="S274" s="57">
        <f>IF($A274="","",IFERROR(INDEX(Offerte!$D$2:$D$81,MATCH($Q274,Offerte!$L$2:$L$81,0)),0))</f>
        <v/>
      </c>
      <c r="T274" s="57">
        <f>IF($A274="","",IFERROR(INDEX(Offerte!$G$2:$G$81,MATCH($Q274,Offerte!$L$2:$L$81,0)),"NO"))</f>
        <v/>
      </c>
    </row>
    <row r="275">
      <c r="A275" s="48">
        <f>IF(Offerte!$A10="","",Offerte!$A10)</f>
        <v/>
      </c>
      <c r="B275" s="48">
        <f>IF(Offerte!$A10="","",Offerte!$B10)</f>
        <v/>
      </c>
      <c r="C275" s="48">
        <f>IF(Offerte!$A10="","",Offerte!$C10)</f>
        <v/>
      </c>
      <c r="D275" s="48" t="inlineStr">
        <is>
          <t>F.2.1</t>
        </is>
      </c>
      <c r="E275" s="48" t="inlineStr">
        <is>
          <t>F</t>
        </is>
      </c>
      <c r="F275" s="48" t="inlineStr">
        <is>
          <t>Q</t>
        </is>
      </c>
      <c r="G275" s="48" t="inlineStr">
        <is>
          <t>higher</t>
        </is>
      </c>
      <c r="H275" s="48" t="n">
        <v>2</v>
      </c>
      <c r="I275" s="48" t="inlineStr">
        <is>
          <t>Tasso di copertura del servizio con dispositivi ECO-DRIVER</t>
        </is>
      </c>
      <c r="J275" s="73" t="n"/>
      <c r="K275" s="73" t="n"/>
      <c r="L275" s="73" t="n"/>
      <c r="M275" s="73" t="n"/>
      <c r="N275" s="57">
        <f>IF($A275="","",IFERROR(VALUE($K275)/VALUE($L275),IFERROR(VALUE($J275),0)))</f>
        <v/>
      </c>
      <c r="O275" s="57">
        <f>IF($A275="",0,IF(OR($S275&lt;&gt;1,COUNTA($J275:$M275)=0),0,IF(SUMPRODUCT(MAX(($C$5:$C$2484=$C275)*($D$5:$D$2484=$D275)*($S$5:$S$2484=1)*IFERROR($N$5:$N$2484*1,0)))&gt;0,ROUND($H275*($N275/SUMPRODUCT(MAX(($C$5:$C$2484=$C275)*($D$5:$D$2484=$D275)*($S$5:$S$2484=1)*IFERROR($N$5:$N$2484*1,0)))),4),0)))</f>
        <v/>
      </c>
      <c r="P275" s="48" t="inlineStr">
        <is>
          <t>Autobus attrezzati con dispositivi ECO-DRIVER / Autobus totali in offerta, incluse scorte</t>
        </is>
      </c>
      <c r="Q275" s="57">
        <f>IF($A275="","",$A275&amp;"|"&amp;$C275)</f>
        <v/>
      </c>
      <c r="R275" s="57">
        <f>IF($A275="","",$A275&amp;"|"&amp;$C275&amp;"|"&amp;$D275)</f>
        <v/>
      </c>
      <c r="S275" s="57">
        <f>IF($A275="","",IFERROR(INDEX(Offerte!$D$2:$D$81,MATCH($Q275,Offerte!$L$2:$L$81,0)),0))</f>
        <v/>
      </c>
      <c r="T275" s="57">
        <f>IF($A275="","",IFERROR(INDEX(Offerte!$G$2:$G$81,MATCH($Q275,Offerte!$L$2:$L$81,0)),"NO"))</f>
        <v/>
      </c>
    </row>
    <row r="276">
      <c r="A276" s="48">
        <f>IF(Offerte!$A10="","",Offerte!$A10)</f>
        <v/>
      </c>
      <c r="B276" s="48">
        <f>IF(Offerte!$A10="","",Offerte!$B10)</f>
        <v/>
      </c>
      <c r="C276" s="48">
        <f>IF(Offerte!$A10="","",Offerte!$C10)</f>
        <v/>
      </c>
      <c r="D276" s="48" t="inlineStr">
        <is>
          <t>F.3.1</t>
        </is>
      </c>
      <c r="E276" s="48" t="inlineStr">
        <is>
          <t>F</t>
        </is>
      </c>
      <c r="F276" s="48" t="inlineStr">
        <is>
          <t>Q</t>
        </is>
      </c>
      <c r="G276" s="48" t="inlineStr">
        <is>
          <t>higher</t>
        </is>
      </c>
      <c r="H276" s="48" t="n">
        <v>2</v>
      </c>
      <c r="I276" s="48" t="inlineStr">
        <is>
          <t>Autoproduzione consumi elettrici per trazione</t>
        </is>
      </c>
      <c r="J276" s="73" t="n"/>
      <c r="K276" s="73" t="n"/>
      <c r="L276" s="73" t="n"/>
      <c r="M276" s="73" t="n"/>
      <c r="N276" s="57">
        <f>IF($A276="","",IFERROR(VALUE($J276),0))</f>
        <v/>
      </c>
      <c r="O276" s="57">
        <f>IF($A276="",0,IF(OR($S276&lt;&gt;1,COUNTA($J276:$M276)=0),0,IF(SUMPRODUCT(MAX(($C$5:$C$2484=$C276)*($D$5:$D$2484=$D276)*($S$5:$S$2484=1)*IFERROR($N$5:$N$2484*1,0)))&gt;0,ROUND($H276*($N276/SUMPRODUCT(MAX(($C$5:$C$2484=$C276)*($D$5:$D$2484=$D276)*($S$5:$S$2484=1)*IFERROR($N$5:$N$2484*1,0)))),4),0)))</f>
        <v/>
      </c>
      <c r="P276" s="48" t="inlineStr">
        <is>
          <t>kWh/anno</t>
        </is>
      </c>
      <c r="Q276" s="57">
        <f>IF($A276="","",$A276&amp;"|"&amp;$C276)</f>
        <v/>
      </c>
      <c r="R276" s="57">
        <f>IF($A276="","",$A276&amp;"|"&amp;$C276&amp;"|"&amp;$D276)</f>
        <v/>
      </c>
      <c r="S276" s="57">
        <f>IF($A276="","",IFERROR(INDEX(Offerte!$D$2:$D$81,MATCH($Q276,Offerte!$L$2:$L$81,0)),0))</f>
        <v/>
      </c>
      <c r="T276" s="57">
        <f>IF($A276="","",IFERROR(INDEX(Offerte!$G$2:$G$81,MATCH($Q276,Offerte!$L$2:$L$81,0)),"NO"))</f>
        <v/>
      </c>
    </row>
    <row r="277">
      <c r="A277" s="48">
        <f>IF(Offerte!$A10="","",Offerte!$A10)</f>
        <v/>
      </c>
      <c r="B277" s="48">
        <f>IF(Offerte!$A10="","",Offerte!$B10)</f>
        <v/>
      </c>
      <c r="C277" s="48">
        <f>IF(Offerte!$A10="","",Offerte!$C10)</f>
        <v/>
      </c>
      <c r="D277" s="48" t="inlineStr">
        <is>
          <t>F.4.1</t>
        </is>
      </c>
      <c r="E277" s="48" t="inlineStr">
        <is>
          <t>F</t>
        </is>
      </c>
      <c r="F277" s="48" t="inlineStr">
        <is>
          <t>Q</t>
        </is>
      </c>
      <c r="G277" s="48" t="inlineStr">
        <is>
          <t>soil</t>
        </is>
      </c>
      <c r="H277" s="48" t="n">
        <v>2</v>
      </c>
      <c r="I277" s="48" t="inlineStr">
        <is>
          <t>Indice di consumo di suolo</t>
        </is>
      </c>
      <c r="J277" s="73" t="n"/>
      <c r="K277" s="73" t="n"/>
      <c r="L277" s="73" t="n"/>
      <c r="M277" s="73" t="n"/>
      <c r="N277" s="57">
        <f>IF($A277="","",IFERROR(VALUE($J277),0))</f>
        <v/>
      </c>
      <c r="O277" s="57">
        <f>IF($A277="",0,IF(OR($S277&lt;&gt;1,COUNTA($J277:$M277)=0),0,IF($N277&lt;=0,$H277,IF(SUMPRODUCT(MAX(($C$5:$C$2484=$C277)*($D$5:$D$2484=$D277)*($S$5:$S$2484=1)*IFERROR($N$5:$N$2484*1,0)))&gt;0,ROUND($H277*((SUMPRODUCT(MAX(($C$5:$C$2484=$C277)*($D$5:$D$2484=$D277)*($S$5:$S$2484=1)*IFERROR($N$5:$N$2484*1,0)))-$N277)/SUMPRODUCT(MAX(($C$5:$C$2484=$C277)*($D$5:$D$2484=$D277)*($S$5:$S$2484=1)*IFERROR($N$5:$N$2484*1,0)))),4),0))))</f>
        <v/>
      </c>
      <c r="P277" s="48" t="inlineStr">
        <is>
          <t>m2</t>
        </is>
      </c>
      <c r="Q277" s="57">
        <f>IF($A277="","",$A277&amp;"|"&amp;$C277)</f>
        <v/>
      </c>
      <c r="R277" s="57">
        <f>IF($A277="","",$A277&amp;"|"&amp;$C277&amp;"|"&amp;$D277)</f>
        <v/>
      </c>
      <c r="S277" s="57">
        <f>IF($A277="","",IFERROR(INDEX(Offerte!$D$2:$D$81,MATCH($Q277,Offerte!$L$2:$L$81,0)),0))</f>
        <v/>
      </c>
      <c r="T277" s="57">
        <f>IF($A277="","",IFERROR(INDEX(Offerte!$G$2:$G$81,MATCH($Q277,Offerte!$L$2:$L$81,0)),"NO"))</f>
        <v/>
      </c>
    </row>
    <row r="278">
      <c r="A278" s="48">
        <f>IF(Offerte!$A10="","",Offerte!$A10)</f>
        <v/>
      </c>
      <c r="B278" s="48">
        <f>IF(Offerte!$A10="","",Offerte!$B10)</f>
        <v/>
      </c>
      <c r="C278" s="48">
        <f>IF(Offerte!$A10="","",Offerte!$C10)</f>
        <v/>
      </c>
      <c r="D278" s="48" t="inlineStr">
        <is>
          <t>F.5.1</t>
        </is>
      </c>
      <c r="E278" s="48" t="inlineStr">
        <is>
          <t>F</t>
        </is>
      </c>
      <c r="F278" s="48" t="inlineStr">
        <is>
          <t>T</t>
        </is>
      </c>
      <c r="G278" s="48" t="inlineStr">
        <is>
          <t>tabular</t>
        </is>
      </c>
      <c r="H278" s="48" t="n">
        <v>1</v>
      </c>
      <c r="I278" s="48" t="inlineStr">
        <is>
          <t>Rendicontazione di sostenibilità ambientale</t>
        </is>
      </c>
      <c r="J278" s="73" t="n"/>
      <c r="K278" s="73" t="n"/>
      <c r="L278" s="73" t="n"/>
      <c r="M278" s="73" t="n"/>
      <c r="N278" s="57">
        <f>IF($A278="","",IF(IFERROR(VALUE($M278),0)=1,1,0))</f>
        <v/>
      </c>
      <c r="O278" s="57">
        <f>IF($A278="",0,IF(OR($S278&lt;&gt;1,COUNTA($J278:$M278)=0),0,IF($N278=1,$H278,0)))</f>
        <v/>
      </c>
      <c r="P278" s="48" t="inlineStr">
        <is>
          <t>sì/no</t>
        </is>
      </c>
      <c r="Q278" s="57">
        <f>IF($A278="","",$A278&amp;"|"&amp;$C278)</f>
        <v/>
      </c>
      <c r="R278" s="57">
        <f>IF($A278="","",$A278&amp;"|"&amp;$C278&amp;"|"&amp;$D278)</f>
        <v/>
      </c>
      <c r="S278" s="57">
        <f>IF($A278="","",IFERROR(INDEX(Offerte!$D$2:$D$81,MATCH($Q278,Offerte!$L$2:$L$81,0)),0))</f>
        <v/>
      </c>
      <c r="T278" s="57">
        <f>IF($A278="","",IFERROR(INDEX(Offerte!$G$2:$G$81,MATCH($Q278,Offerte!$L$2:$L$81,0)),"NO"))</f>
        <v/>
      </c>
    </row>
    <row r="279">
      <c r="A279" s="48">
        <f>IF(Offerte!$A10="","",Offerte!$A10)</f>
        <v/>
      </c>
      <c r="B279" s="48">
        <f>IF(Offerte!$A10="","",Offerte!$B10)</f>
        <v/>
      </c>
      <c r="C279" s="48">
        <f>IF(Offerte!$A10="","",Offerte!$C10)</f>
        <v/>
      </c>
      <c r="D279" s="48" t="inlineStr">
        <is>
          <t>G.1.1</t>
        </is>
      </c>
      <c r="E279" s="48" t="inlineStr">
        <is>
          <t>G</t>
        </is>
      </c>
      <c r="F279" s="48" t="inlineStr">
        <is>
          <t>D</t>
        </is>
      </c>
      <c r="G279" s="48" t="inlineStr">
        <is>
          <t>discretionary</t>
        </is>
      </c>
      <c r="H279" s="48" t="n">
        <v>2</v>
      </c>
      <c r="I279" s="48" t="inlineStr">
        <is>
          <t>Qualità del progetto di centrale di controllo aziendale</t>
        </is>
      </c>
      <c r="J279" s="73" t="n"/>
      <c r="K279" s="73" t="n"/>
      <c r="L279" s="73" t="n"/>
      <c r="M279" s="73" t="n"/>
      <c r="N279" s="57">
        <f>IF($A279="","",MAX(0,MIN(1,IFERROR(VALUE($M279),0))))</f>
        <v/>
      </c>
      <c r="O279" s="57">
        <f>IF($A279="",0,IF(OR($S279&lt;&gt;1,COUNTA($J279:$M279)=0),0,IF(SUMPRODUCT(MAX(($C$5:$C$2484=$C279)*($D$5:$D$2484=$D279)*($S$5:$S$2484=1)*IFERROR($N$5:$N$2484*1,0)))&gt;0,ROUND($H279*($N279/SUMPRODUCT(MAX(($C$5:$C$2484=$C279)*($D$5:$D$2484=$D279)*($S$5:$S$2484=1)*IFERROR($N$5:$N$2484*1,0)))),4),0)))</f>
        <v/>
      </c>
      <c r="P279" s="48" t="inlineStr">
        <is>
          <t>coeff.</t>
        </is>
      </c>
      <c r="Q279" s="57">
        <f>IF($A279="","",$A279&amp;"|"&amp;$C279)</f>
        <v/>
      </c>
      <c r="R279" s="57">
        <f>IF($A279="","",$A279&amp;"|"&amp;$C279&amp;"|"&amp;$D279)</f>
        <v/>
      </c>
      <c r="S279" s="57">
        <f>IF($A279="","",IFERROR(INDEX(Offerte!$D$2:$D$81,MATCH($Q279,Offerte!$L$2:$L$81,0)),0))</f>
        <v/>
      </c>
      <c r="T279" s="57">
        <f>IF($A279="","",IFERROR(INDEX(Offerte!$G$2:$G$81,MATCH($Q279,Offerte!$L$2:$L$81,0)),"NO"))</f>
        <v/>
      </c>
    </row>
    <row r="280">
      <c r="A280" s="48">
        <f>IF(Offerte!$A10="","",Offerte!$A10)</f>
        <v/>
      </c>
      <c r="B280" s="48">
        <f>IF(Offerte!$A10="","",Offerte!$B10)</f>
        <v/>
      </c>
      <c r="C280" s="48">
        <f>IF(Offerte!$A10="","",Offerte!$C10)</f>
        <v/>
      </c>
      <c r="D280" s="48" t="inlineStr">
        <is>
          <t>G.2.1</t>
        </is>
      </c>
      <c r="E280" s="48" t="inlineStr">
        <is>
          <t>G</t>
        </is>
      </c>
      <c r="F280" s="48" t="inlineStr">
        <is>
          <t>T</t>
        </is>
      </c>
      <c r="G280" s="48" t="inlineStr">
        <is>
          <t>tabular</t>
        </is>
      </c>
      <c r="H280" s="48" t="n">
        <v>1</v>
      </c>
      <c r="I280" s="48" t="inlineStr">
        <is>
          <t>Certificazione ISO 45001</t>
        </is>
      </c>
      <c r="J280" s="73" t="n"/>
      <c r="K280" s="73" t="n"/>
      <c r="L280" s="73" t="n"/>
      <c r="M280" s="73" t="n"/>
      <c r="N280" s="57">
        <f>IF($A280="","",IF(IFERROR(VALUE($M280),0)=1,1,0))</f>
        <v/>
      </c>
      <c r="O280" s="57">
        <f>IF($A280="",0,IF(OR($S280&lt;&gt;1,COUNTA($J280:$M280)=0),0,IF($N280=1,$H280,0)))</f>
        <v/>
      </c>
      <c r="P280" s="48" t="inlineStr">
        <is>
          <t>sì/no</t>
        </is>
      </c>
      <c r="Q280" s="57">
        <f>IF($A280="","",$A280&amp;"|"&amp;$C280)</f>
        <v/>
      </c>
      <c r="R280" s="57">
        <f>IF($A280="","",$A280&amp;"|"&amp;$C280&amp;"|"&amp;$D280)</f>
        <v/>
      </c>
      <c r="S280" s="57">
        <f>IF($A280="","",IFERROR(INDEX(Offerte!$D$2:$D$81,MATCH($Q280,Offerte!$L$2:$L$81,0)),0))</f>
        <v/>
      </c>
      <c r="T280" s="57">
        <f>IF($A280="","",IFERROR(INDEX(Offerte!$G$2:$G$81,MATCH($Q280,Offerte!$L$2:$L$81,0)),"NO"))</f>
        <v/>
      </c>
    </row>
    <row r="281">
      <c r="A281" s="48">
        <f>IF(Offerte!$A10="","",Offerte!$A10)</f>
        <v/>
      </c>
      <c r="B281" s="48">
        <f>IF(Offerte!$A10="","",Offerte!$B10)</f>
        <v/>
      </c>
      <c r="C281" s="48">
        <f>IF(Offerte!$A10="","",Offerte!$C10)</f>
        <v/>
      </c>
      <c r="D281" s="48" t="inlineStr">
        <is>
          <t>G.3.1</t>
        </is>
      </c>
      <c r="E281" s="48" t="inlineStr">
        <is>
          <t>G</t>
        </is>
      </c>
      <c r="F281" s="48" t="inlineStr">
        <is>
          <t>T</t>
        </is>
      </c>
      <c r="G281" s="48" t="inlineStr">
        <is>
          <t>tabular</t>
        </is>
      </c>
      <c r="H281" s="48" t="n">
        <v>1</v>
      </c>
      <c r="I281" s="48" t="inlineStr">
        <is>
          <t>Certificazioni di responsabilità sociale</t>
        </is>
      </c>
      <c r="J281" s="73" t="n"/>
      <c r="K281" s="73" t="n"/>
      <c r="L281" s="73" t="n"/>
      <c r="M281" s="73" t="n"/>
      <c r="N281" s="57">
        <f>IF($A281="","",IF(IFERROR(VALUE($M281),0)=1,1,0))</f>
        <v/>
      </c>
      <c r="O281" s="57">
        <f>IF($A281="",0,IF(OR($S281&lt;&gt;1,COUNTA($J281:$M281)=0),0,IF($N281=1,$H281,0)))</f>
        <v/>
      </c>
      <c r="P281" s="48" t="inlineStr">
        <is>
          <t>sì/no</t>
        </is>
      </c>
      <c r="Q281" s="57">
        <f>IF($A281="","",$A281&amp;"|"&amp;$C281)</f>
        <v/>
      </c>
      <c r="R281" s="57">
        <f>IF($A281="","",$A281&amp;"|"&amp;$C281&amp;"|"&amp;$D281)</f>
        <v/>
      </c>
      <c r="S281" s="57">
        <f>IF($A281="","",IFERROR(INDEX(Offerte!$D$2:$D$81,MATCH($Q281,Offerte!$L$2:$L$81,0)),0))</f>
        <v/>
      </c>
      <c r="T281" s="57">
        <f>IF($A281="","",IFERROR(INDEX(Offerte!$G$2:$G$81,MATCH($Q281,Offerte!$L$2:$L$81,0)),"NO"))</f>
        <v/>
      </c>
    </row>
    <row r="282">
      <c r="A282" s="48">
        <f>IF(Offerte!$A10="","",Offerte!$A10)</f>
        <v/>
      </c>
      <c r="B282" s="48">
        <f>IF(Offerte!$A10="","",Offerte!$B10)</f>
        <v/>
      </c>
      <c r="C282" s="48">
        <f>IF(Offerte!$A10="","",Offerte!$C10)</f>
        <v/>
      </c>
      <c r="D282" s="48" t="inlineStr">
        <is>
          <t>G.4.1</t>
        </is>
      </c>
      <c r="E282" s="48" t="inlineStr">
        <is>
          <t>G</t>
        </is>
      </c>
      <c r="F282" s="48" t="inlineStr">
        <is>
          <t>D</t>
        </is>
      </c>
      <c r="G282" s="48" t="inlineStr">
        <is>
          <t>discretionary</t>
        </is>
      </c>
      <c r="H282" s="48" t="n">
        <v>2</v>
      </c>
      <c r="I282" s="48" t="inlineStr">
        <is>
          <t>Qualità del piano di formazione del personale</t>
        </is>
      </c>
      <c r="J282" s="73" t="n"/>
      <c r="K282" s="73" t="n"/>
      <c r="L282" s="73" t="n"/>
      <c r="M282" s="73" t="n"/>
      <c r="N282" s="57">
        <f>IF($A282="","",MAX(0,MIN(1,IFERROR(VALUE($M282),0))))</f>
        <v/>
      </c>
      <c r="O282" s="57">
        <f>IF($A282="",0,IF(OR($S282&lt;&gt;1,COUNTA($J282:$M282)=0),0,IF(SUMPRODUCT(MAX(($C$5:$C$2484=$C282)*($D$5:$D$2484=$D282)*($S$5:$S$2484=1)*IFERROR($N$5:$N$2484*1,0)))&gt;0,ROUND($H282*($N282/SUMPRODUCT(MAX(($C$5:$C$2484=$C282)*($D$5:$D$2484=$D282)*($S$5:$S$2484=1)*IFERROR($N$5:$N$2484*1,0)))),4),0)))</f>
        <v/>
      </c>
      <c r="P282" s="48" t="inlineStr">
        <is>
          <t>coeff.</t>
        </is>
      </c>
      <c r="Q282" s="57">
        <f>IF($A282="","",$A282&amp;"|"&amp;$C282)</f>
        <v/>
      </c>
      <c r="R282" s="57">
        <f>IF($A282="","",$A282&amp;"|"&amp;$C282&amp;"|"&amp;$D282)</f>
        <v/>
      </c>
      <c r="S282" s="57">
        <f>IF($A282="","",IFERROR(INDEX(Offerte!$D$2:$D$81,MATCH($Q282,Offerte!$L$2:$L$81,0)),0))</f>
        <v/>
      </c>
      <c r="T282" s="57">
        <f>IF($A282="","",IFERROR(INDEX(Offerte!$G$2:$G$81,MATCH($Q282,Offerte!$L$2:$L$81,0)),"NO"))</f>
        <v/>
      </c>
    </row>
    <row r="283">
      <c r="A283" s="48">
        <f>IF(Offerte!$A10="","",Offerte!$A10)</f>
        <v/>
      </c>
      <c r="B283" s="48">
        <f>IF(Offerte!$A10="","",Offerte!$B10)</f>
        <v/>
      </c>
      <c r="C283" s="48">
        <f>IF(Offerte!$A10="","",Offerte!$C10)</f>
        <v/>
      </c>
      <c r="D283" s="48" t="inlineStr">
        <is>
          <t>G.5.1</t>
        </is>
      </c>
      <c r="E283" s="48" t="inlineStr">
        <is>
          <t>G</t>
        </is>
      </c>
      <c r="F283" s="48" t="inlineStr">
        <is>
          <t>T</t>
        </is>
      </c>
      <c r="G283" s="48" t="inlineStr">
        <is>
          <t>tabular</t>
        </is>
      </c>
      <c r="H283" s="48" t="n">
        <v>1</v>
      </c>
      <c r="I283" s="48" t="inlineStr">
        <is>
          <t>Impegno al mantenimento delle garanzie del contratto di secondo livello del gestore uscente</t>
        </is>
      </c>
      <c r="J283" s="73" t="n"/>
      <c r="K283" s="73" t="n"/>
      <c r="L283" s="73" t="n"/>
      <c r="M283" s="73" t="n"/>
      <c r="N283" s="57">
        <f>IF($A283="","",IF(IFERROR(VALUE($M283),0)=1,1,0))</f>
        <v/>
      </c>
      <c r="O283" s="57">
        <f>IF($A283="",0,IF(OR($S283&lt;&gt;1,COUNTA($J283:$M283)=0),0,IF($N283=1,$H283,0)))</f>
        <v/>
      </c>
      <c r="P283" s="48" t="inlineStr">
        <is>
          <t>sì/no</t>
        </is>
      </c>
      <c r="Q283" s="57">
        <f>IF($A283="","",$A283&amp;"|"&amp;$C283)</f>
        <v/>
      </c>
      <c r="R283" s="57">
        <f>IF($A283="","",$A283&amp;"|"&amp;$C283&amp;"|"&amp;$D283)</f>
        <v/>
      </c>
      <c r="S283" s="57">
        <f>IF($A283="","",IFERROR(INDEX(Offerte!$D$2:$D$81,MATCH($Q283,Offerte!$L$2:$L$81,0)),0))</f>
        <v/>
      </c>
      <c r="T283" s="57">
        <f>IF($A283="","",IFERROR(INDEX(Offerte!$G$2:$G$81,MATCH($Q283,Offerte!$L$2:$L$81,0)),"NO"))</f>
        <v/>
      </c>
    </row>
    <row r="284">
      <c r="A284" s="48">
        <f>IF(Offerte!$A11="","",Offerte!$A11)</f>
        <v/>
      </c>
      <c r="B284" s="48">
        <f>IF(Offerte!$A11="","",Offerte!$B11)</f>
        <v/>
      </c>
      <c r="C284" s="48">
        <f>IF(Offerte!$A11="","",Offerte!$C11)</f>
        <v/>
      </c>
      <c r="D284" s="48" t="inlineStr">
        <is>
          <t>A.1.1</t>
        </is>
      </c>
      <c r="E284" s="48" t="inlineStr">
        <is>
          <t>A</t>
        </is>
      </c>
      <c r="F284" s="48" t="inlineStr">
        <is>
          <t>Q</t>
        </is>
      </c>
      <c r="G284" s="48" t="inlineStr">
        <is>
          <t>higher</t>
        </is>
      </c>
      <c r="H284" s="48" t="n">
        <v>3</v>
      </c>
      <c r="I284" s="48" t="inlineStr">
        <is>
          <t>Tasso aggiuntivo di corse controllate</t>
        </is>
      </c>
      <c r="J284" s="73" t="n"/>
      <c r="K284" s="73" t="n"/>
      <c r="L284" s="73" t="n"/>
      <c r="M284" s="73" t="n"/>
      <c r="N284" s="57">
        <f>IF($A284="","",IFERROR(VALUE($K284)/VALUE($L284)*100,IFERROR(VALUE($J284),0)))</f>
        <v/>
      </c>
      <c r="O284" s="57">
        <f>IF($A284="",0,IF(OR($S284&lt;&gt;1,COUNTA($J284:$M284)=0),0,IF(SUMPRODUCT(MAX(($C$5:$C$2484=$C284)*($D$5:$D$2484=$D284)*($S$5:$S$2484=1)*IFERROR($N$5:$N$2484*1,0)))&gt;0,ROUND($H284*($N284/SUMPRODUCT(MAX(($C$5:$C$2484=$C284)*($D$5:$D$2484=$D284)*($S$5:$S$2484=1)*IFERROR($N$5:$N$2484*1,0)))),4),0)))</f>
        <v/>
      </c>
      <c r="P284" s="48" t="inlineStr">
        <is>
          <t>Corse controllate annue / Corse programmate annue</t>
        </is>
      </c>
      <c r="Q284" s="57">
        <f>IF($A284="","",$A284&amp;"|"&amp;$C284)</f>
        <v/>
      </c>
      <c r="R284" s="57">
        <f>IF($A284="","",$A284&amp;"|"&amp;$C284&amp;"|"&amp;$D284)</f>
        <v/>
      </c>
      <c r="S284" s="57">
        <f>IF($A284="","",IFERROR(INDEX(Offerte!$D$2:$D$81,MATCH($Q284,Offerte!$L$2:$L$81,0)),0))</f>
        <v/>
      </c>
      <c r="T284" s="57">
        <f>IF($A284="","",IFERROR(INDEX(Offerte!$G$2:$G$81,MATCH($Q284,Offerte!$L$2:$L$81,0)),"NO"))</f>
        <v/>
      </c>
    </row>
    <row r="285">
      <c r="A285" s="48">
        <f>IF(Offerte!$A11="","",Offerte!$A11)</f>
        <v/>
      </c>
      <c r="B285" s="48">
        <f>IF(Offerte!$A11="","",Offerte!$B11)</f>
        <v/>
      </c>
      <c r="C285" s="48">
        <f>IF(Offerte!$A11="","",Offerte!$C11)</f>
        <v/>
      </c>
      <c r="D285" s="48" t="inlineStr">
        <is>
          <t>A.1.2</t>
        </is>
      </c>
      <c r="E285" s="48" t="inlineStr">
        <is>
          <t>A</t>
        </is>
      </c>
      <c r="F285" s="48" t="inlineStr">
        <is>
          <t>Q</t>
        </is>
      </c>
      <c r="G285" s="48" t="inlineStr">
        <is>
          <t>higher</t>
        </is>
      </c>
      <c r="H285" s="48" t="n">
        <v>4</v>
      </c>
      <c r="I285" s="48" t="inlineStr">
        <is>
          <t>Numero aggiuntivo di passeggeri controllati</t>
        </is>
      </c>
      <c r="J285" s="73" t="n"/>
      <c r="K285" s="73" t="n"/>
      <c r="L285" s="73" t="n"/>
      <c r="M285" s="73" t="n"/>
      <c r="N285" s="57">
        <f>IF($A285="","",IFERROR(VALUE($J285),0))</f>
        <v/>
      </c>
      <c r="O285" s="57">
        <f>IF($A285="",0,IF(OR($S285&lt;&gt;1,COUNTA($J285:$M285)=0),0,IF(SUMPRODUCT(MAX(($C$5:$C$2484=$C285)*($D$5:$D$2484=$D285)*($S$5:$S$2484=1)*IFERROR($N$5:$N$2484*1,0)))&gt;0,ROUND($H285*($N285/SUMPRODUCT(MAX(($C$5:$C$2484=$C285)*($D$5:$D$2484=$D285)*($S$5:$S$2484=1)*IFERROR($N$5:$N$2484*1,0)))),4),0)))</f>
        <v/>
      </c>
      <c r="P285" s="48" t="inlineStr">
        <is>
          <t>passeggeri/anno</t>
        </is>
      </c>
      <c r="Q285" s="57">
        <f>IF($A285="","",$A285&amp;"|"&amp;$C285)</f>
        <v/>
      </c>
      <c r="R285" s="57">
        <f>IF($A285="","",$A285&amp;"|"&amp;$C285&amp;"|"&amp;$D285)</f>
        <v/>
      </c>
      <c r="S285" s="57">
        <f>IF($A285="","",IFERROR(INDEX(Offerte!$D$2:$D$81,MATCH($Q285,Offerte!$L$2:$L$81,0)),0))</f>
        <v/>
      </c>
      <c r="T285" s="57">
        <f>IF($A285="","",IFERROR(INDEX(Offerte!$G$2:$G$81,MATCH($Q285,Offerte!$L$2:$L$81,0)),"NO"))</f>
        <v/>
      </c>
    </row>
    <row r="286">
      <c r="A286" s="48">
        <f>IF(Offerte!$A11="","",Offerte!$A11)</f>
        <v/>
      </c>
      <c r="B286" s="48">
        <f>IF(Offerte!$A11="","",Offerte!$B11)</f>
        <v/>
      </c>
      <c r="C286" s="48">
        <f>IF(Offerte!$A11="","",Offerte!$C11)</f>
        <v/>
      </c>
      <c r="D286" s="48" t="inlineStr">
        <is>
          <t>B.1.1</t>
        </is>
      </c>
      <c r="E286" s="48" t="inlineStr">
        <is>
          <t>B</t>
        </is>
      </c>
      <c r="F286" s="48" t="inlineStr">
        <is>
          <t>Q</t>
        </is>
      </c>
      <c r="G286" s="48" t="inlineStr">
        <is>
          <t>higher</t>
        </is>
      </c>
      <c r="H286" s="48" t="n">
        <v>3</v>
      </c>
      <c r="I286" s="48" t="inlineStr">
        <is>
          <t>Incremento dei posti offerti nelle fasce di punta</t>
        </is>
      </c>
      <c r="J286" s="73" t="n"/>
      <c r="K286" s="73" t="n"/>
      <c r="L286" s="73" t="n"/>
      <c r="M286" s="73" t="n"/>
      <c r="N286" s="57">
        <f>IF($A286="","",IFERROR(VALUE($J286),0))</f>
        <v/>
      </c>
      <c r="O286" s="57">
        <f>IF($A286="",0,IF(OR($S286&lt;&gt;1,COUNTA($J286:$M286)=0),0,IF(SUMPRODUCT(MAX(($C$5:$C$2484=$C286)*($D$5:$D$2484=$D286)*($S$5:$S$2484=1)*IFERROR($N$5:$N$2484*1,0)))&gt;0,ROUND($H286*($N286/SUMPRODUCT(MAX(($C$5:$C$2484=$C286)*($D$5:$D$2484=$D286)*($S$5:$S$2484=1)*IFERROR($N$5:$N$2484*1,0)))),4),0)))</f>
        <v/>
      </c>
      <c r="P286" s="48" t="inlineStr">
        <is>
          <t>posti*km</t>
        </is>
      </c>
      <c r="Q286" s="57">
        <f>IF($A286="","",$A286&amp;"|"&amp;$C286)</f>
        <v/>
      </c>
      <c r="R286" s="57">
        <f>IF($A286="","",$A286&amp;"|"&amp;$C286&amp;"|"&amp;$D286)</f>
        <v/>
      </c>
      <c r="S286" s="57">
        <f>IF($A286="","",IFERROR(INDEX(Offerte!$D$2:$D$81,MATCH($Q286,Offerte!$L$2:$L$81,0)),0))</f>
        <v/>
      </c>
      <c r="T286" s="57">
        <f>IF($A286="","",IFERROR(INDEX(Offerte!$G$2:$G$81,MATCH($Q286,Offerte!$L$2:$L$81,0)),"NO"))</f>
        <v/>
      </c>
    </row>
    <row r="287">
      <c r="A287" s="48">
        <f>IF(Offerte!$A11="","",Offerte!$A11)</f>
        <v/>
      </c>
      <c r="B287" s="48">
        <f>IF(Offerte!$A11="","",Offerte!$B11)</f>
        <v/>
      </c>
      <c r="C287" s="48">
        <f>IF(Offerte!$A11="","",Offerte!$C11)</f>
        <v/>
      </c>
      <c r="D287" s="48" t="inlineStr">
        <is>
          <t>B.2.1</t>
        </is>
      </c>
      <c r="E287" s="48" t="inlineStr">
        <is>
          <t>B</t>
        </is>
      </c>
      <c r="F287" s="48" t="inlineStr">
        <is>
          <t>Q</t>
        </is>
      </c>
      <c r="G287" s="48" t="inlineStr">
        <is>
          <t>higher</t>
        </is>
      </c>
      <c r="H287" s="48" t="n">
        <v>4</v>
      </c>
      <c r="I287" s="48" t="inlineStr">
        <is>
          <t>Corse aggiuntive nell'arco giornaliero base</t>
        </is>
      </c>
      <c r="J287" s="73" t="n"/>
      <c r="K287" s="73" t="n"/>
      <c r="L287" s="73" t="n"/>
      <c r="M287" s="73" t="n"/>
      <c r="N287" s="57">
        <f>IF($A287="","",IFERROR(VALUE($J287),0))</f>
        <v/>
      </c>
      <c r="O287" s="57">
        <f>IF($A287="",0,IF(OR($S287&lt;&gt;1,COUNTA($J287:$M287)=0),0,IF(SUMPRODUCT(MAX(($C$5:$C$2484=$C287)*($D$5:$D$2484=$D287)*($S$5:$S$2484=1)*IFERROR($N$5:$N$2484*1,0)))&gt;0,ROUND($H287*($N287/SUMPRODUCT(MAX(($C$5:$C$2484=$C287)*($D$5:$D$2484=$D287)*($S$5:$S$2484=1)*IFERROR($N$5:$N$2484*1,0)))),4),0)))</f>
        <v/>
      </c>
      <c r="P287" s="48" t="inlineStr">
        <is>
          <t>corse</t>
        </is>
      </c>
      <c r="Q287" s="57">
        <f>IF($A287="","",$A287&amp;"|"&amp;$C287)</f>
        <v/>
      </c>
      <c r="R287" s="57">
        <f>IF($A287="","",$A287&amp;"|"&amp;$C287&amp;"|"&amp;$D287)</f>
        <v/>
      </c>
      <c r="S287" s="57">
        <f>IF($A287="","",IFERROR(INDEX(Offerte!$D$2:$D$81,MATCH($Q287,Offerte!$L$2:$L$81,0)),0))</f>
        <v/>
      </c>
      <c r="T287" s="57">
        <f>IF($A287="","",IFERROR(INDEX(Offerte!$G$2:$G$81,MATCH($Q287,Offerte!$L$2:$L$81,0)),"NO"))</f>
        <v/>
      </c>
    </row>
    <row r="288">
      <c r="A288" s="48">
        <f>IF(Offerte!$A11="","",Offerte!$A11)</f>
        <v/>
      </c>
      <c r="B288" s="48">
        <f>IF(Offerte!$A11="","",Offerte!$B11)</f>
        <v/>
      </c>
      <c r="C288" s="48">
        <f>IF(Offerte!$A11="","",Offerte!$C11)</f>
        <v/>
      </c>
      <c r="D288" s="48" t="inlineStr">
        <is>
          <t>B.3.1</t>
        </is>
      </c>
      <c r="E288" s="48" t="inlineStr">
        <is>
          <t>B</t>
        </is>
      </c>
      <c r="F288" s="48" t="inlineStr">
        <is>
          <t>Q</t>
        </is>
      </c>
      <c r="G288" s="48" t="inlineStr">
        <is>
          <t>higher</t>
        </is>
      </c>
      <c r="H288" s="48" t="n">
        <v>2</v>
      </c>
      <c r="I288" s="48" t="inlineStr">
        <is>
          <t>Numero di corse aggiuntive per allungamento dell'arco di servizio giornaliero nelle fasce serali</t>
        </is>
      </c>
      <c r="J288" s="73" t="n"/>
      <c r="K288" s="73" t="n"/>
      <c r="L288" s="73" t="n"/>
      <c r="M288" s="73" t="n"/>
      <c r="N288" s="57">
        <f>IF($A288="","",IFERROR(VALUE($J288),0))</f>
        <v/>
      </c>
      <c r="O288" s="57">
        <f>IF($A288="",0,IF(OR($S288&lt;&gt;1,COUNTA($J288:$M288)=0),0,IF(SUMPRODUCT(MAX(($C$5:$C$2484=$C288)*($D$5:$D$2484=$D288)*($S$5:$S$2484=1)*IFERROR($N$5:$N$2484*1,0)))&gt;0,ROUND($H288*($N288/SUMPRODUCT(MAX(($C$5:$C$2484=$C288)*($D$5:$D$2484=$D288)*($S$5:$S$2484=1)*IFERROR($N$5:$N$2484*1,0)))),4),0)))</f>
        <v/>
      </c>
      <c r="P288" s="48" t="inlineStr">
        <is>
          <t>corse</t>
        </is>
      </c>
      <c r="Q288" s="57">
        <f>IF($A288="","",$A288&amp;"|"&amp;$C288)</f>
        <v/>
      </c>
      <c r="R288" s="57">
        <f>IF($A288="","",$A288&amp;"|"&amp;$C288&amp;"|"&amp;$D288)</f>
        <v/>
      </c>
      <c r="S288" s="57">
        <f>IF($A288="","",IFERROR(INDEX(Offerte!$D$2:$D$81,MATCH($Q288,Offerte!$L$2:$L$81,0)),0))</f>
        <v/>
      </c>
      <c r="T288" s="57">
        <f>IF($A288="","",IFERROR(INDEX(Offerte!$G$2:$G$81,MATCH($Q288,Offerte!$L$2:$L$81,0)),"NO"))</f>
        <v/>
      </c>
    </row>
    <row r="289">
      <c r="A289" s="48">
        <f>IF(Offerte!$A11="","",Offerte!$A11)</f>
        <v/>
      </c>
      <c r="B289" s="48">
        <f>IF(Offerte!$A11="","",Offerte!$B11)</f>
        <v/>
      </c>
      <c r="C289" s="48">
        <f>IF(Offerte!$A11="","",Offerte!$C11)</f>
        <v/>
      </c>
      <c r="D289" s="48" t="inlineStr">
        <is>
          <t>B.4.1</t>
        </is>
      </c>
      <c r="E289" s="48" t="inlineStr">
        <is>
          <t>B</t>
        </is>
      </c>
      <c r="F289" s="48" t="inlineStr">
        <is>
          <t>Q</t>
        </is>
      </c>
      <c r="G289" s="48" t="inlineStr">
        <is>
          <t>higher</t>
        </is>
      </c>
      <c r="H289" s="48" t="n">
        <v>3</v>
      </c>
      <c r="I289" s="48" t="inlineStr">
        <is>
          <t>Percorrenze aggiuntive offerte nel Programma d'esercizio delle prime due fasi attuative</t>
        </is>
      </c>
      <c r="J289" s="73" t="n"/>
      <c r="K289" s="73" t="n"/>
      <c r="L289" s="73" t="n"/>
      <c r="M289" s="73" t="n"/>
      <c r="N289" s="57">
        <f>IF($A289="","",IFERROR(VALUE($J289),0))</f>
        <v/>
      </c>
      <c r="O289" s="57">
        <f>IF($A289="",0,IF(OR($S289&lt;&gt;1,COUNTA($J289:$M289)=0),0,IF(SUMPRODUCT(MAX(($C$5:$C$2484=$C289)*($D$5:$D$2484=$D289)*($S$5:$S$2484=1)*IFERROR($N$5:$N$2484*1,0)))&gt;0,ROUND($H289*($N289/SUMPRODUCT(MAX(($C$5:$C$2484=$C289)*($D$5:$D$2484=$D289)*($S$5:$S$2484=1)*IFERROR($N$5:$N$2484*1,0)))),4),0)))</f>
        <v/>
      </c>
      <c r="P289" s="48" t="inlineStr">
        <is>
          <t>vett*km</t>
        </is>
      </c>
      <c r="Q289" s="57">
        <f>IF($A289="","",$A289&amp;"|"&amp;$C289)</f>
        <v/>
      </c>
      <c r="R289" s="57">
        <f>IF($A289="","",$A289&amp;"|"&amp;$C289&amp;"|"&amp;$D289)</f>
        <v/>
      </c>
      <c r="S289" s="57">
        <f>IF($A289="","",IFERROR(INDEX(Offerte!$D$2:$D$81,MATCH($Q289,Offerte!$L$2:$L$81,0)),0))</f>
        <v/>
      </c>
      <c r="T289" s="57">
        <f>IF($A289="","",IFERROR(INDEX(Offerte!$G$2:$G$81,MATCH($Q289,Offerte!$L$2:$L$81,0)),"NO"))</f>
        <v/>
      </c>
    </row>
    <row r="290">
      <c r="A290" s="48">
        <f>IF(Offerte!$A11="","",Offerte!$A11)</f>
        <v/>
      </c>
      <c r="B290" s="48">
        <f>IF(Offerte!$A11="","",Offerte!$B11)</f>
        <v/>
      </c>
      <c r="C290" s="48">
        <f>IF(Offerte!$A11="","",Offerte!$C11)</f>
        <v/>
      </c>
      <c r="D290" s="48" t="inlineStr">
        <is>
          <t>B.5.1</t>
        </is>
      </c>
      <c r="E290" s="48" t="inlineStr">
        <is>
          <t>B</t>
        </is>
      </c>
      <c r="F290" s="48" t="inlineStr">
        <is>
          <t>D</t>
        </is>
      </c>
      <c r="G290" s="48" t="inlineStr">
        <is>
          <t>discretionary</t>
        </is>
      </c>
      <c r="H290" s="48" t="n">
        <v>2</v>
      </c>
      <c r="I290" s="48" t="inlineStr">
        <is>
          <t>Efficacia del progetto di servizi complementari DRT</t>
        </is>
      </c>
      <c r="J290" s="73" t="n"/>
      <c r="K290" s="73" t="n"/>
      <c r="L290" s="73" t="n"/>
      <c r="M290" s="73" t="n"/>
      <c r="N290" s="57">
        <f>IF($A290="","",MAX(0,MIN(1,IFERROR(VALUE($M290),0))))</f>
        <v/>
      </c>
      <c r="O290" s="57">
        <f>IF($A290="",0,IF(OR($S290&lt;&gt;1,COUNTA($J290:$M290)=0),0,IF(SUMPRODUCT(MAX(($C$5:$C$2484=$C290)*($D$5:$D$2484=$D290)*($S$5:$S$2484=1)*IFERROR($N$5:$N$2484*1,0)))&gt;0,ROUND($H290*($N290/SUMPRODUCT(MAX(($C$5:$C$2484=$C290)*($D$5:$D$2484=$D290)*($S$5:$S$2484=1)*IFERROR($N$5:$N$2484*1,0)))),4),0)))</f>
        <v/>
      </c>
      <c r="P290" s="48" t="inlineStr">
        <is>
          <t>coeff.</t>
        </is>
      </c>
      <c r="Q290" s="57">
        <f>IF($A290="","",$A290&amp;"|"&amp;$C290)</f>
        <v/>
      </c>
      <c r="R290" s="57">
        <f>IF($A290="","",$A290&amp;"|"&amp;$C290&amp;"|"&amp;$D290)</f>
        <v/>
      </c>
      <c r="S290" s="57">
        <f>IF($A290="","",IFERROR(INDEX(Offerte!$D$2:$D$81,MATCH($Q290,Offerte!$L$2:$L$81,0)),0))</f>
        <v/>
      </c>
      <c r="T290" s="57">
        <f>IF($A290="","",IFERROR(INDEX(Offerte!$G$2:$G$81,MATCH($Q290,Offerte!$L$2:$L$81,0)),"NO"))</f>
        <v/>
      </c>
    </row>
    <row r="291">
      <c r="A291" s="48">
        <f>IF(Offerte!$A11="","",Offerte!$A11)</f>
        <v/>
      </c>
      <c r="B291" s="48">
        <f>IF(Offerte!$A11="","",Offerte!$B11)</f>
        <v/>
      </c>
      <c r="C291" s="48">
        <f>IF(Offerte!$A11="","",Offerte!$C11)</f>
        <v/>
      </c>
      <c r="D291" s="48" t="inlineStr">
        <is>
          <t>C.1.1</t>
        </is>
      </c>
      <c r="E291" s="48" t="inlineStr">
        <is>
          <t>C</t>
        </is>
      </c>
      <c r="F291" s="48" t="inlineStr">
        <is>
          <t>Q</t>
        </is>
      </c>
      <c r="G291" s="48" t="inlineStr">
        <is>
          <t>higher</t>
        </is>
      </c>
      <c r="H291" s="48" t="n">
        <v>2</v>
      </c>
      <c r="I291" s="48" t="inlineStr">
        <is>
          <t>Tasso di copertura del servizio con telecamere BSD</t>
        </is>
      </c>
      <c r="J291" s="73" t="n"/>
      <c r="K291" s="73" t="n"/>
      <c r="L291" s="73" t="n"/>
      <c r="M291" s="73" t="n"/>
      <c r="N291" s="57">
        <f>IF($A291="","",IFERROR(VALUE($K291)/VALUE($L291),IFERROR(VALUE($J291),0)))</f>
        <v/>
      </c>
      <c r="O291" s="57">
        <f>IF($A291="",0,IF(OR($S291&lt;&gt;1,COUNTA($J291:$M291)=0),0,IF(SUMPRODUCT(MAX(($C$5:$C$2484=$C291)*($D$5:$D$2484=$D291)*($S$5:$S$2484=1)*IFERROR($N$5:$N$2484*1,0)))&gt;0,ROUND($H291*($N291/SUMPRODUCT(MAX(($C$5:$C$2484=$C291)*($D$5:$D$2484=$D291)*($S$5:$S$2484=1)*IFERROR($N$5:$N$2484*1,0)))),4),0)))</f>
        <v/>
      </c>
      <c r="P291" s="48" t="inlineStr">
        <is>
          <t>Autobus attrezzati con telecamere BSD / Autobus totali in offerta, incluse scorte</t>
        </is>
      </c>
      <c r="Q291" s="57">
        <f>IF($A291="","",$A291&amp;"|"&amp;$C291)</f>
        <v/>
      </c>
      <c r="R291" s="57">
        <f>IF($A291="","",$A291&amp;"|"&amp;$C291&amp;"|"&amp;$D291)</f>
        <v/>
      </c>
      <c r="S291" s="57">
        <f>IF($A291="","",IFERROR(INDEX(Offerte!$D$2:$D$81,MATCH($Q291,Offerte!$L$2:$L$81,0)),0))</f>
        <v/>
      </c>
      <c r="T291" s="57">
        <f>IF($A291="","",IFERROR(INDEX(Offerte!$G$2:$G$81,MATCH($Q291,Offerte!$L$2:$L$81,0)),"NO"))</f>
        <v/>
      </c>
    </row>
    <row r="292">
      <c r="A292" s="48">
        <f>IF(Offerte!$A11="","",Offerte!$A11)</f>
        <v/>
      </c>
      <c r="B292" s="48">
        <f>IF(Offerte!$A11="","",Offerte!$B11)</f>
        <v/>
      </c>
      <c r="C292" s="48">
        <f>IF(Offerte!$A11="","",Offerte!$C11)</f>
        <v/>
      </c>
      <c r="D292" s="48" t="inlineStr">
        <is>
          <t>C.1.2</t>
        </is>
      </c>
      <c r="E292" s="48" t="inlineStr">
        <is>
          <t>C</t>
        </is>
      </c>
      <c r="F292" s="48" t="inlineStr">
        <is>
          <t>Q</t>
        </is>
      </c>
      <c r="G292" s="48" t="inlineStr">
        <is>
          <t>higher</t>
        </is>
      </c>
      <c r="H292" s="48" t="n">
        <v>2</v>
      </c>
      <c r="I292" s="48" t="inlineStr">
        <is>
          <t>Tasso di copertura del servizio con telecamere ADAS</t>
        </is>
      </c>
      <c r="J292" s="73" t="n"/>
      <c r="K292" s="73" t="n"/>
      <c r="L292" s="73" t="n"/>
      <c r="M292" s="73" t="n"/>
      <c r="N292" s="57">
        <f>IF($A292="","",IFERROR(VALUE($K292)/VALUE($L292),IFERROR(VALUE($J292),0)))</f>
        <v/>
      </c>
      <c r="O292" s="57">
        <f>IF($A292="",0,IF(OR($S292&lt;&gt;1,COUNTA($J292:$M292)=0),0,IF(SUMPRODUCT(MAX(($C$5:$C$2484=$C292)*($D$5:$D$2484=$D292)*($S$5:$S$2484=1)*IFERROR($N$5:$N$2484*1,0)))&gt;0,ROUND($H292*($N292/SUMPRODUCT(MAX(($C$5:$C$2484=$C292)*($D$5:$D$2484=$D292)*($S$5:$S$2484=1)*IFERROR($N$5:$N$2484*1,0)))),4),0)))</f>
        <v/>
      </c>
      <c r="P292" s="48" t="inlineStr">
        <is>
          <t>Autobus attrezzati con telecamere ADAS / Autobus totali in offerta, incluse scorte</t>
        </is>
      </c>
      <c r="Q292" s="57">
        <f>IF($A292="","",$A292&amp;"|"&amp;$C292)</f>
        <v/>
      </c>
      <c r="R292" s="57">
        <f>IF($A292="","",$A292&amp;"|"&amp;$C292&amp;"|"&amp;$D292)</f>
        <v/>
      </c>
      <c r="S292" s="57">
        <f>IF($A292="","",IFERROR(INDEX(Offerte!$D$2:$D$81,MATCH($Q292,Offerte!$L$2:$L$81,0)),0))</f>
        <v/>
      </c>
      <c r="T292" s="57">
        <f>IF($A292="","",IFERROR(INDEX(Offerte!$G$2:$G$81,MATCH($Q292,Offerte!$L$2:$L$81,0)),"NO"))</f>
        <v/>
      </c>
    </row>
    <row r="293">
      <c r="A293" s="48">
        <f>IF(Offerte!$A11="","",Offerte!$A11)</f>
        <v/>
      </c>
      <c r="B293" s="48">
        <f>IF(Offerte!$A11="","",Offerte!$B11)</f>
        <v/>
      </c>
      <c r="C293" s="48">
        <f>IF(Offerte!$A11="","",Offerte!$C11)</f>
        <v/>
      </c>
      <c r="D293" s="48" t="inlineStr">
        <is>
          <t>C.2.1</t>
        </is>
      </c>
      <c r="E293" s="48" t="inlineStr">
        <is>
          <t>C</t>
        </is>
      </c>
      <c r="F293" s="48" t="inlineStr">
        <is>
          <t>Q</t>
        </is>
      </c>
      <c r="G293" s="48" t="inlineStr">
        <is>
          <t>higher</t>
        </is>
      </c>
      <c r="H293" s="48" t="n">
        <v>3</v>
      </c>
      <c r="I293" s="48" t="inlineStr">
        <is>
          <t>Tasso di copertura del servizio con telecamere di bordo di videosorveglianza</t>
        </is>
      </c>
      <c r="J293" s="73" t="n"/>
      <c r="K293" s="73" t="n"/>
      <c r="L293" s="73" t="n"/>
      <c r="M293" s="73" t="n"/>
      <c r="N293" s="57">
        <f>IF($A293="","",IFERROR(VALUE($K293)/VALUE($L293),IFERROR(VALUE($J293),0)))</f>
        <v/>
      </c>
      <c r="O293" s="57">
        <f>IF($A293="",0,IF(OR($S293&lt;&gt;1,COUNTA($J293:$M293)=0),0,IF(SUMPRODUCT(MAX(($C$5:$C$2484=$C293)*($D$5:$D$2484=$D293)*($S$5:$S$2484=1)*IFERROR($N$5:$N$2484*1,0)))&gt;0,ROUND($H293*($N293/SUMPRODUCT(MAX(($C$5:$C$2484=$C293)*($D$5:$D$2484=$D293)*($S$5:$S$2484=1)*IFERROR($N$5:$N$2484*1,0)))),4),0)))</f>
        <v/>
      </c>
      <c r="P293" s="48" t="inlineStr">
        <is>
          <t>Autobus attrezzati con videosorveglianza / Autobus totali in offerta, incluse scorte</t>
        </is>
      </c>
      <c r="Q293" s="57">
        <f>IF($A293="","",$A293&amp;"|"&amp;$C293)</f>
        <v/>
      </c>
      <c r="R293" s="57">
        <f>IF($A293="","",$A293&amp;"|"&amp;$C293&amp;"|"&amp;$D293)</f>
        <v/>
      </c>
      <c r="S293" s="57">
        <f>IF($A293="","",IFERROR(INDEX(Offerte!$D$2:$D$81,MATCH($Q293,Offerte!$L$2:$L$81,0)),0))</f>
        <v/>
      </c>
      <c r="T293" s="57">
        <f>IF($A293="","",IFERROR(INDEX(Offerte!$G$2:$G$81,MATCH($Q293,Offerte!$L$2:$L$81,0)),"NO"))</f>
        <v/>
      </c>
    </row>
    <row r="294">
      <c r="A294" s="48">
        <f>IF(Offerte!$A11="","",Offerte!$A11)</f>
        <v/>
      </c>
      <c r="B294" s="48">
        <f>IF(Offerte!$A11="","",Offerte!$B11)</f>
        <v/>
      </c>
      <c r="C294" s="48">
        <f>IF(Offerte!$A11="","",Offerte!$C11)</f>
        <v/>
      </c>
      <c r="D294" s="48" t="inlineStr">
        <is>
          <t>C.2.2</t>
        </is>
      </c>
      <c r="E294" s="48" t="inlineStr">
        <is>
          <t>C</t>
        </is>
      </c>
      <c r="F294" s="48" t="inlineStr">
        <is>
          <t>T</t>
        </is>
      </c>
      <c r="G294" s="48" t="inlineStr">
        <is>
          <t>tabular</t>
        </is>
      </c>
      <c r="H294" s="48" t="n">
        <v>1</v>
      </c>
      <c r="I294" s="48" t="inlineStr">
        <is>
          <t>Software video/audio analisi per situazioni di pericolo</t>
        </is>
      </c>
      <c r="J294" s="73" t="n"/>
      <c r="K294" s="73" t="n"/>
      <c r="L294" s="73" t="n"/>
      <c r="M294" s="73" t="n"/>
      <c r="N294" s="57">
        <f>IF($A294="","",IF(IFERROR(VALUE($M294),0)=1,1,0))</f>
        <v/>
      </c>
      <c r="O294" s="57">
        <f>IF($A294="",0,IF(OR($S294&lt;&gt;1,COUNTA($J294:$M294)=0),0,IF($N294=1,$H294,0)))</f>
        <v/>
      </c>
      <c r="P294" s="48" t="inlineStr">
        <is>
          <t>sì/no</t>
        </is>
      </c>
      <c r="Q294" s="57">
        <f>IF($A294="","",$A294&amp;"|"&amp;$C294)</f>
        <v/>
      </c>
      <c r="R294" s="57">
        <f>IF($A294="","",$A294&amp;"|"&amp;$C294&amp;"|"&amp;$D294)</f>
        <v/>
      </c>
      <c r="S294" s="57">
        <f>IF($A294="","",IFERROR(INDEX(Offerte!$D$2:$D$81,MATCH($Q294,Offerte!$L$2:$L$81,0)),0))</f>
        <v/>
      </c>
      <c r="T294" s="57">
        <f>IF($A294="","",IFERROR(INDEX(Offerte!$G$2:$G$81,MATCH($Q294,Offerte!$L$2:$L$81,0)),"NO"))</f>
        <v/>
      </c>
    </row>
    <row r="295">
      <c r="A295" s="48">
        <f>IF(Offerte!$A11="","",Offerte!$A11)</f>
        <v/>
      </c>
      <c r="B295" s="48">
        <f>IF(Offerte!$A11="","",Offerte!$B11)</f>
        <v/>
      </c>
      <c r="C295" s="48">
        <f>IF(Offerte!$A11="","",Offerte!$C11)</f>
        <v/>
      </c>
      <c r="D295" s="48" t="inlineStr">
        <is>
          <t>C.2.3</t>
        </is>
      </c>
      <c r="E295" s="48" t="inlineStr">
        <is>
          <t>C</t>
        </is>
      </c>
      <c r="F295" s="48" t="inlineStr">
        <is>
          <t>T</t>
        </is>
      </c>
      <c r="G295" s="48" t="inlineStr">
        <is>
          <t>tabular</t>
        </is>
      </c>
      <c r="H295" s="48" t="n">
        <v>1</v>
      </c>
      <c r="I295" s="48" t="inlineStr">
        <is>
          <t>Collegamento con centrale qualificata di pronto intervento</t>
        </is>
      </c>
      <c r="J295" s="73" t="n"/>
      <c r="K295" s="73" t="n"/>
      <c r="L295" s="73" t="n"/>
      <c r="M295" s="73" t="n"/>
      <c r="N295" s="57">
        <f>IF($A295="","",IF(IFERROR(VALUE($M295),0)=1,1,0))</f>
        <v/>
      </c>
      <c r="O295" s="57">
        <f>IF($A295="",0,IF(OR($S295&lt;&gt;1,COUNTA($J295:$M295)=0),0,IF($N295=1,$H295,0)))</f>
        <v/>
      </c>
      <c r="P295" s="48" t="inlineStr">
        <is>
          <t>sì/no</t>
        </is>
      </c>
      <c r="Q295" s="57">
        <f>IF($A295="","",$A295&amp;"|"&amp;$C295)</f>
        <v/>
      </c>
      <c r="R295" s="57">
        <f>IF($A295="","",$A295&amp;"|"&amp;$C295&amp;"|"&amp;$D295)</f>
        <v/>
      </c>
      <c r="S295" s="57">
        <f>IF($A295="","",IFERROR(INDEX(Offerte!$D$2:$D$81,MATCH($Q295,Offerte!$L$2:$L$81,0)),0))</f>
        <v/>
      </c>
      <c r="T295" s="57">
        <f>IF($A295="","",IFERROR(INDEX(Offerte!$G$2:$G$81,MATCH($Q295,Offerte!$L$2:$L$81,0)),"NO"))</f>
        <v/>
      </c>
    </row>
    <row r="296">
      <c r="A296" s="48">
        <f>IF(Offerte!$A11="","",Offerte!$A11)</f>
        <v/>
      </c>
      <c r="B296" s="48">
        <f>IF(Offerte!$A11="","",Offerte!$B11)</f>
        <v/>
      </c>
      <c r="C296" s="48">
        <f>IF(Offerte!$A11="","",Offerte!$C11)</f>
        <v/>
      </c>
      <c r="D296" s="48" t="inlineStr">
        <is>
          <t>C.2.4</t>
        </is>
      </c>
      <c r="E296" s="48" t="inlineStr">
        <is>
          <t>C</t>
        </is>
      </c>
      <c r="F296" s="48" t="inlineStr">
        <is>
          <t>Q</t>
        </is>
      </c>
      <c r="G296" s="48" t="inlineStr">
        <is>
          <t>higher</t>
        </is>
      </c>
      <c r="H296" s="48" t="n">
        <v>1</v>
      </c>
      <c r="I296" s="48" t="inlineStr">
        <is>
          <t>Tasso di copertura del servizio con dispositivi per la chiamata di emergenza del conducente</t>
        </is>
      </c>
      <c r="J296" s="73" t="n"/>
      <c r="K296" s="73" t="n"/>
      <c r="L296" s="73" t="n"/>
      <c r="M296" s="73" t="n"/>
      <c r="N296" s="57">
        <f>IF($A296="","",IFERROR(VALUE($K296)/VALUE($L296),IFERROR(VALUE($J296),0)))</f>
        <v/>
      </c>
      <c r="O296" s="57">
        <f>IF($A296="",0,IF(OR($S296&lt;&gt;1,COUNTA($J296:$M296)=0),0,IF(SUMPRODUCT(MAX(($C$5:$C$2484=$C296)*($D$5:$D$2484=$D296)*($S$5:$S$2484=1)*IFERROR($N$5:$N$2484*1,0)))&gt;0,ROUND($H296*($N296/SUMPRODUCT(MAX(($C$5:$C$2484=$C296)*($D$5:$D$2484=$D296)*($S$5:$S$2484=1)*IFERROR($N$5:$N$2484*1,0)))),4),0)))</f>
        <v/>
      </c>
      <c r="P296" s="48" t="inlineStr">
        <is>
          <t>Autobus attrezzati con chiamata di emergenza / Autobus totali in offerta, incluse scorte</t>
        </is>
      </c>
      <c r="Q296" s="57">
        <f>IF($A296="","",$A296&amp;"|"&amp;$C296)</f>
        <v/>
      </c>
      <c r="R296" s="57">
        <f>IF($A296="","",$A296&amp;"|"&amp;$C296&amp;"|"&amp;$D296)</f>
        <v/>
      </c>
      <c r="S296" s="57">
        <f>IF($A296="","",IFERROR(INDEX(Offerte!$D$2:$D$81,MATCH($Q296,Offerte!$L$2:$L$81,0)),0))</f>
        <v/>
      </c>
      <c r="T296" s="57">
        <f>IF($A296="","",IFERROR(INDEX(Offerte!$G$2:$G$81,MATCH($Q296,Offerte!$L$2:$L$81,0)),"NO"))</f>
        <v/>
      </c>
    </row>
    <row r="297">
      <c r="A297" s="48">
        <f>IF(Offerte!$A11="","",Offerte!$A11)</f>
        <v/>
      </c>
      <c r="B297" s="48">
        <f>IF(Offerte!$A11="","",Offerte!$B11)</f>
        <v/>
      </c>
      <c r="C297" s="48">
        <f>IF(Offerte!$A11="","",Offerte!$C11)</f>
        <v/>
      </c>
      <c r="D297" s="48" t="inlineStr">
        <is>
          <t>C.3.1</t>
        </is>
      </c>
      <c r="E297" s="48" t="inlineStr">
        <is>
          <t>C</t>
        </is>
      </c>
      <c r="F297" s="48" t="inlineStr">
        <is>
          <t>Q</t>
        </is>
      </c>
      <c r="G297" s="48" t="inlineStr">
        <is>
          <t>higher</t>
        </is>
      </c>
      <c r="H297" s="48" t="n">
        <v>2</v>
      </c>
      <c r="I297" s="48" t="inlineStr">
        <is>
          <t>Tasso di copertura del servizio con dispositivi di informazione dinamica a bordo mezzo</t>
        </is>
      </c>
      <c r="J297" s="73" t="n"/>
      <c r="K297" s="73" t="n"/>
      <c r="L297" s="73" t="n"/>
      <c r="M297" s="73" t="n"/>
      <c r="N297" s="57">
        <f>IF($A297="","",IFERROR(VALUE($K297)/VALUE($L297),IFERROR(VALUE($J297),0)))</f>
        <v/>
      </c>
      <c r="O297" s="57">
        <f>IF($A297="",0,IF(OR($S297&lt;&gt;1,COUNTA($J297:$M297)=0),0,IF(SUMPRODUCT(MAX(($C$5:$C$2484=$C297)*($D$5:$D$2484=$D297)*($S$5:$S$2484=1)*IFERROR($N$5:$N$2484*1,0)))&gt;0,ROUND($H297*($N297/SUMPRODUCT(MAX(($C$5:$C$2484=$C297)*($D$5:$D$2484=$D297)*($S$5:$S$2484=1)*IFERROR($N$5:$N$2484*1,0)))),4),0)))</f>
        <v/>
      </c>
      <c r="P297" s="48" t="inlineStr">
        <is>
          <t>Autobus con monitor e indicatori vocali / Autobus totali in offerta, incluse scorte</t>
        </is>
      </c>
      <c r="Q297" s="57">
        <f>IF($A297="","",$A297&amp;"|"&amp;$C297)</f>
        <v/>
      </c>
      <c r="R297" s="57">
        <f>IF($A297="","",$A297&amp;"|"&amp;$C297&amp;"|"&amp;$D297)</f>
        <v/>
      </c>
      <c r="S297" s="57">
        <f>IF($A297="","",IFERROR(INDEX(Offerte!$D$2:$D$81,MATCH($Q297,Offerte!$L$2:$L$81,0)),0))</f>
        <v/>
      </c>
      <c r="T297" s="57">
        <f>IF($A297="","",IFERROR(INDEX(Offerte!$G$2:$G$81,MATCH($Q297,Offerte!$L$2:$L$81,0)),"NO"))</f>
        <v/>
      </c>
    </row>
    <row r="298">
      <c r="A298" s="48">
        <f>IF(Offerte!$A11="","",Offerte!$A11)</f>
        <v/>
      </c>
      <c r="B298" s="48">
        <f>IF(Offerte!$A11="","",Offerte!$B11)</f>
        <v/>
      </c>
      <c r="C298" s="48">
        <f>IF(Offerte!$A11="","",Offerte!$C11)</f>
        <v/>
      </c>
      <c r="D298" s="48" t="inlineStr">
        <is>
          <t>C.3.2</t>
        </is>
      </c>
      <c r="E298" s="48" t="inlineStr">
        <is>
          <t>C</t>
        </is>
      </c>
      <c r="F298" s="48" t="inlineStr">
        <is>
          <t>T</t>
        </is>
      </c>
      <c r="G298" s="48" t="inlineStr">
        <is>
          <t>tabular</t>
        </is>
      </c>
      <c r="H298" s="48" t="n">
        <v>2</v>
      </c>
      <c r="I298" s="48" t="inlineStr">
        <is>
          <t>Informazioni a bordo su coincidenze ai nodi</t>
        </is>
      </c>
      <c r="J298" s="73" t="n"/>
      <c r="K298" s="73" t="n"/>
      <c r="L298" s="73" t="n"/>
      <c r="M298" s="73" t="n"/>
      <c r="N298" s="57">
        <f>IF($A298="","",IF(IFERROR(VALUE($M298),0)=1,1,0))</f>
        <v/>
      </c>
      <c r="O298" s="57">
        <f>IF($A298="",0,IF(OR($S298&lt;&gt;1,COUNTA($J298:$M298)=0),0,IF(AND($N298=1,IFERROR(SUMIFS($N$5:$N$2484,$Q$5:$Q$2484,$Q298,$D$5:$D$2484,"C.3.1"),0)&gt;=0.5),$H298,0)))</f>
        <v/>
      </c>
      <c r="P298" s="48" t="inlineStr">
        <is>
          <t>Dipende da C.3.1 &gt;= 0.5</t>
        </is>
      </c>
      <c r="Q298" s="57">
        <f>IF($A298="","",$A298&amp;"|"&amp;$C298)</f>
        <v/>
      </c>
      <c r="R298" s="57">
        <f>IF($A298="","",$A298&amp;"|"&amp;$C298&amp;"|"&amp;$D298)</f>
        <v/>
      </c>
      <c r="S298" s="57">
        <f>IF($A298="","",IFERROR(INDEX(Offerte!$D$2:$D$81,MATCH($Q298,Offerte!$L$2:$L$81,0)),0))</f>
        <v/>
      </c>
      <c r="T298" s="57">
        <f>IF($A298="","",IFERROR(INDEX(Offerte!$G$2:$G$81,MATCH($Q298,Offerte!$L$2:$L$81,0)),"NO"))</f>
        <v/>
      </c>
    </row>
    <row r="299">
      <c r="A299" s="48">
        <f>IF(Offerte!$A11="","",Offerte!$A11)</f>
        <v/>
      </c>
      <c r="B299" s="48">
        <f>IF(Offerte!$A11="","",Offerte!$B11)</f>
        <v/>
      </c>
      <c r="C299" s="48">
        <f>IF(Offerte!$A11="","",Offerte!$C11)</f>
        <v/>
      </c>
      <c r="D299" s="48" t="inlineStr">
        <is>
          <t>D.1.1</t>
        </is>
      </c>
      <c r="E299" s="48" t="inlineStr">
        <is>
          <t>D</t>
        </is>
      </c>
      <c r="F299" s="48" t="inlineStr">
        <is>
          <t>Q</t>
        </is>
      </c>
      <c r="G299" s="48" t="inlineStr">
        <is>
          <t>higher</t>
        </is>
      </c>
      <c r="H299" s="48" t="n">
        <v>3</v>
      </c>
      <c r="I299" s="48" t="inlineStr">
        <is>
          <t>Installazione di pensiline</t>
        </is>
      </c>
      <c r="J299" s="73" t="n"/>
      <c r="K299" s="73" t="n"/>
      <c r="L299" s="73" t="n"/>
      <c r="M299" s="73" t="n"/>
      <c r="N299" s="57">
        <f>IF($A299="","",IFERROR(VALUE($J299),0))</f>
        <v/>
      </c>
      <c r="O299" s="57">
        <f>IF($A299="",0,IF(OR($S299&lt;&gt;1,COUNTA($J299:$M299)=0),0,IF(SUMPRODUCT(MAX(($C$5:$C$2484=$C299)*($D$5:$D$2484=$D299)*($S$5:$S$2484=1)*IFERROR($N$5:$N$2484*1,0)))&gt;0,ROUND($H299*($N299/SUMPRODUCT(MAX(($C$5:$C$2484=$C299)*($D$5:$D$2484=$D299)*($S$5:$S$2484=1)*IFERROR($N$5:$N$2484*1,0)))),4),0)))</f>
        <v/>
      </c>
      <c r="P299" s="48" t="inlineStr">
        <is>
          <t>fermate</t>
        </is>
      </c>
      <c r="Q299" s="57">
        <f>IF($A299="","",$A299&amp;"|"&amp;$C299)</f>
        <v/>
      </c>
      <c r="R299" s="57">
        <f>IF($A299="","",$A299&amp;"|"&amp;$C299&amp;"|"&amp;$D299)</f>
        <v/>
      </c>
      <c r="S299" s="57">
        <f>IF($A299="","",IFERROR(INDEX(Offerte!$D$2:$D$81,MATCH($Q299,Offerte!$L$2:$L$81,0)),0))</f>
        <v/>
      </c>
      <c r="T299" s="57">
        <f>IF($A299="","",IFERROR(INDEX(Offerte!$G$2:$G$81,MATCH($Q299,Offerte!$L$2:$L$81,0)),"NO"))</f>
        <v/>
      </c>
    </row>
    <row r="300">
      <c r="A300" s="48">
        <f>IF(Offerte!$A11="","",Offerte!$A11)</f>
        <v/>
      </c>
      <c r="B300" s="48">
        <f>IF(Offerte!$A11="","",Offerte!$B11)</f>
        <v/>
      </c>
      <c r="C300" s="48">
        <f>IF(Offerte!$A11="","",Offerte!$C11)</f>
        <v/>
      </c>
      <c r="D300" s="48" t="inlineStr">
        <is>
          <t>D.1.2</t>
        </is>
      </c>
      <c r="E300" s="48" t="inlineStr">
        <is>
          <t>D</t>
        </is>
      </c>
      <c r="F300" s="48" t="inlineStr">
        <is>
          <t>Q</t>
        </is>
      </c>
      <c r="G300" s="48" t="inlineStr">
        <is>
          <t>higher</t>
        </is>
      </c>
      <c r="H300" s="48" t="n">
        <v>3</v>
      </c>
      <c r="I300" s="48" t="inlineStr">
        <is>
          <t>Installazione di paline di fermata conformi alla DGR 581/2023</t>
        </is>
      </c>
      <c r="J300" s="73" t="n"/>
      <c r="K300" s="73" t="n"/>
      <c r="L300" s="73" t="n"/>
      <c r="M300" s="73" t="n"/>
      <c r="N300" s="57">
        <f>IF($A300="","",IFERROR(VALUE($J300),0))</f>
        <v/>
      </c>
      <c r="O300" s="57">
        <f>IF($A300="",0,IF(OR($S300&lt;&gt;1,COUNTA($J300:$M300)=0),0,IF(SUMPRODUCT(MAX(($C$5:$C$2484=$C300)*($D$5:$D$2484=$D300)*($S$5:$S$2484=1)*IFERROR($N$5:$N$2484*1,0)))&gt;0,ROUND($H300*($N300/SUMPRODUCT(MAX(($C$5:$C$2484=$C300)*($D$5:$D$2484=$D300)*($S$5:$S$2484=1)*IFERROR($N$5:$N$2484*1,0)))),4),0)))</f>
        <v/>
      </c>
      <c r="P300" s="48" t="inlineStr">
        <is>
          <t>fermate</t>
        </is>
      </c>
      <c r="Q300" s="57">
        <f>IF($A300="","",$A300&amp;"|"&amp;$C300)</f>
        <v/>
      </c>
      <c r="R300" s="57">
        <f>IF($A300="","",$A300&amp;"|"&amp;$C300&amp;"|"&amp;$D300)</f>
        <v/>
      </c>
      <c r="S300" s="57">
        <f>IF($A300="","",IFERROR(INDEX(Offerte!$D$2:$D$81,MATCH($Q300,Offerte!$L$2:$L$81,0)),0))</f>
        <v/>
      </c>
      <c r="T300" s="57">
        <f>IF($A300="","",IFERROR(INDEX(Offerte!$G$2:$G$81,MATCH($Q300,Offerte!$L$2:$L$81,0)),"NO"))</f>
        <v/>
      </c>
    </row>
    <row r="301">
      <c r="A301" s="48">
        <f>IF(Offerte!$A11="","",Offerte!$A11)</f>
        <v/>
      </c>
      <c r="B301" s="48">
        <f>IF(Offerte!$A11="","",Offerte!$B11)</f>
        <v/>
      </c>
      <c r="C301" s="48">
        <f>IF(Offerte!$A11="","",Offerte!$C11)</f>
        <v/>
      </c>
      <c r="D301" s="48" t="inlineStr">
        <is>
          <t>D.1.3</t>
        </is>
      </c>
      <c r="E301" s="48" t="inlineStr">
        <is>
          <t>D</t>
        </is>
      </c>
      <c r="F301" s="48" t="inlineStr">
        <is>
          <t>Q</t>
        </is>
      </c>
      <c r="G301" s="48" t="inlineStr">
        <is>
          <t>higher</t>
        </is>
      </c>
      <c r="H301" s="48" t="n">
        <v>2</v>
      </c>
      <c r="I301" s="48" t="inlineStr">
        <is>
          <t>Display informativi connessi alle fermate</t>
        </is>
      </c>
      <c r="J301" s="73" t="n"/>
      <c r="K301" s="73" t="n"/>
      <c r="L301" s="73" t="n"/>
      <c r="M301" s="73" t="n"/>
      <c r="N301" s="57">
        <f>IF($A301="","",IFERROR(VALUE($J301),0))</f>
        <v/>
      </c>
      <c r="O301" s="57">
        <f>IF($A301="",0,IF(OR($S301&lt;&gt;1,COUNTA($J301:$M301)=0),0,IF(SUMPRODUCT(MAX(($C$5:$C$2484=$C301)*($D$5:$D$2484=$D301)*($S$5:$S$2484=1)*IFERROR($N$5:$N$2484*1,0)))&gt;0,ROUND($H301*($N301/SUMPRODUCT(MAX(($C$5:$C$2484=$C301)*($D$5:$D$2484=$D301)*($S$5:$S$2484=1)*IFERROR($N$5:$N$2484*1,0)))),4),0)))</f>
        <v/>
      </c>
      <c r="P301" s="48" t="inlineStr">
        <is>
          <t>fermate</t>
        </is>
      </c>
      <c r="Q301" s="57">
        <f>IF($A301="","",$A301&amp;"|"&amp;$C301)</f>
        <v/>
      </c>
      <c r="R301" s="57">
        <f>IF($A301="","",$A301&amp;"|"&amp;$C301&amp;"|"&amp;$D301)</f>
        <v/>
      </c>
      <c r="S301" s="57">
        <f>IF($A301="","",IFERROR(INDEX(Offerte!$D$2:$D$81,MATCH($Q301,Offerte!$L$2:$L$81,0)),0))</f>
        <v/>
      </c>
      <c r="T301" s="57">
        <f>IF($A301="","",IFERROR(INDEX(Offerte!$G$2:$G$81,MATCH($Q301,Offerte!$L$2:$L$81,0)),"NO"))</f>
        <v/>
      </c>
    </row>
    <row r="302">
      <c r="A302" s="48">
        <f>IF(Offerte!$A11="","",Offerte!$A11)</f>
        <v/>
      </c>
      <c r="B302" s="48">
        <f>IF(Offerte!$A11="","",Offerte!$B11)</f>
        <v/>
      </c>
      <c r="C302" s="48">
        <f>IF(Offerte!$A11="","",Offerte!$C11)</f>
        <v/>
      </c>
      <c r="D302" s="48" t="inlineStr">
        <is>
          <t>D.2.1</t>
        </is>
      </c>
      <c r="E302" s="48" t="inlineStr">
        <is>
          <t>D</t>
        </is>
      </c>
      <c r="F302" s="48" t="inlineStr">
        <is>
          <t>Q</t>
        </is>
      </c>
      <c r="G302" s="48" t="inlineStr">
        <is>
          <t>higher</t>
        </is>
      </c>
      <c r="H302" s="48" t="n">
        <v>2</v>
      </c>
      <c r="I302" s="48" t="inlineStr">
        <is>
          <t>Segnali tattili Loges-Vet-Evolution</t>
        </is>
      </c>
      <c r="J302" s="73" t="n"/>
      <c r="K302" s="73" t="n"/>
      <c r="L302" s="73" t="n"/>
      <c r="M302" s="73" t="n"/>
      <c r="N302" s="57">
        <f>IF($A302="","",IFERROR(VALUE($J302),0))</f>
        <v/>
      </c>
      <c r="O302" s="57">
        <f>IF($A302="",0,IF(OR($S302&lt;&gt;1,COUNTA($J302:$M302)=0),0,IF(SUMPRODUCT(MAX(($C$5:$C$2484=$C302)*($D$5:$D$2484=$D302)*($S$5:$S$2484=1)*IFERROR($N$5:$N$2484*1,0)))&gt;0,ROUND($H302*($N302/SUMPRODUCT(MAX(($C$5:$C$2484=$C302)*($D$5:$D$2484=$D302)*($S$5:$S$2484=1)*IFERROR($N$5:$N$2484*1,0)))),4),0)))</f>
        <v/>
      </c>
      <c r="P302" s="48" t="inlineStr">
        <is>
          <t>fermate</t>
        </is>
      </c>
      <c r="Q302" s="57">
        <f>IF($A302="","",$A302&amp;"|"&amp;$C302)</f>
        <v/>
      </c>
      <c r="R302" s="57">
        <f>IF($A302="","",$A302&amp;"|"&amp;$C302&amp;"|"&amp;$D302)</f>
        <v/>
      </c>
      <c r="S302" s="57">
        <f>IF($A302="","",IFERROR(INDEX(Offerte!$D$2:$D$81,MATCH($Q302,Offerte!$L$2:$L$81,0)),0))</f>
        <v/>
      </c>
      <c r="T302" s="57">
        <f>IF($A302="","",IFERROR(INDEX(Offerte!$G$2:$G$81,MATCH($Q302,Offerte!$L$2:$L$81,0)),"NO"))</f>
        <v/>
      </c>
    </row>
    <row r="303">
      <c r="A303" s="48">
        <f>IF(Offerte!$A11="","",Offerte!$A11)</f>
        <v/>
      </c>
      <c r="B303" s="48">
        <f>IF(Offerte!$A11="","",Offerte!$B11)</f>
        <v/>
      </c>
      <c r="C303" s="48">
        <f>IF(Offerte!$A11="","",Offerte!$C11)</f>
        <v/>
      </c>
      <c r="D303" s="48" t="inlineStr">
        <is>
          <t>E.1.1</t>
        </is>
      </c>
      <c r="E303" s="48" t="inlineStr">
        <is>
          <t>E</t>
        </is>
      </c>
      <c r="F303" s="48" t="inlineStr">
        <is>
          <t>T</t>
        </is>
      </c>
      <c r="G303" s="48" t="inlineStr">
        <is>
          <t>tabular</t>
        </is>
      </c>
      <c r="H303" s="48" t="n">
        <v>2</v>
      </c>
      <c r="I303" s="48" t="inlineStr">
        <is>
          <t>Mobile app con travel planner PRM</t>
        </is>
      </c>
      <c r="J303" s="73" t="n"/>
      <c r="K303" s="73" t="n"/>
      <c r="L303" s="73" t="n"/>
      <c r="M303" s="73" t="n"/>
      <c r="N303" s="57">
        <f>IF($A303="","",IF(IFERROR(VALUE($M303),0)=1,1,0))</f>
        <v/>
      </c>
      <c r="O303" s="57">
        <f>IF($A303="",0,IF(OR($S303&lt;&gt;1,COUNTA($J303:$M303)=0),0,IF($N303=1,$H303,0)))</f>
        <v/>
      </c>
      <c r="P303" s="48" t="inlineStr">
        <is>
          <t>sì/no</t>
        </is>
      </c>
      <c r="Q303" s="57">
        <f>IF($A303="","",$A303&amp;"|"&amp;$C303)</f>
        <v/>
      </c>
      <c r="R303" s="57">
        <f>IF($A303="","",$A303&amp;"|"&amp;$C303&amp;"|"&amp;$D303)</f>
        <v/>
      </c>
      <c r="S303" s="57">
        <f>IF($A303="","",IFERROR(INDEX(Offerte!$D$2:$D$81,MATCH($Q303,Offerte!$L$2:$L$81,0)),0))</f>
        <v/>
      </c>
      <c r="T303" s="57">
        <f>IF($A303="","",IFERROR(INDEX(Offerte!$G$2:$G$81,MATCH($Q303,Offerte!$L$2:$L$81,0)),"NO"))</f>
        <v/>
      </c>
    </row>
    <row r="304">
      <c r="A304" s="48">
        <f>IF(Offerte!$A11="","",Offerte!$A11)</f>
        <v/>
      </c>
      <c r="B304" s="48">
        <f>IF(Offerte!$A11="","",Offerte!$B11)</f>
        <v/>
      </c>
      <c r="C304" s="48">
        <f>IF(Offerte!$A11="","",Offerte!$C11)</f>
        <v/>
      </c>
      <c r="D304" s="48" t="inlineStr">
        <is>
          <t>E.2.1</t>
        </is>
      </c>
      <c r="E304" s="48" t="inlineStr">
        <is>
          <t>E</t>
        </is>
      </c>
      <c r="F304" s="48" t="inlineStr">
        <is>
          <t>D</t>
        </is>
      </c>
      <c r="G304" s="48" t="inlineStr">
        <is>
          <t>discretionary</t>
        </is>
      </c>
      <c r="H304" s="48" t="n">
        <v>2</v>
      </c>
      <c r="I304" s="48" t="inlineStr">
        <is>
          <t>Altre azioni informative e rapporti con gli utenti</t>
        </is>
      </c>
      <c r="J304" s="73" t="n"/>
      <c r="K304" s="73" t="n"/>
      <c r="L304" s="73" t="n"/>
      <c r="M304" s="73" t="n"/>
      <c r="N304" s="57">
        <f>IF($A304="","",MAX(0,MIN(1,IFERROR(VALUE($M304),0))))</f>
        <v/>
      </c>
      <c r="O304" s="57">
        <f>IF($A304="",0,IF(OR($S304&lt;&gt;1,COUNTA($J304:$M304)=0),0,IF(SUMPRODUCT(MAX(($C$5:$C$2484=$C304)*($D$5:$D$2484=$D304)*($S$5:$S$2484=1)*IFERROR($N$5:$N$2484*1,0)))&gt;0,ROUND($H304*($N304/SUMPRODUCT(MAX(($C$5:$C$2484=$C304)*($D$5:$D$2484=$D304)*($S$5:$S$2484=1)*IFERROR($N$5:$N$2484*1,0)))),4),0)))</f>
        <v/>
      </c>
      <c r="P304" s="48" t="inlineStr">
        <is>
          <t>coeff.</t>
        </is>
      </c>
      <c r="Q304" s="57">
        <f>IF($A304="","",$A304&amp;"|"&amp;$C304)</f>
        <v/>
      </c>
      <c r="R304" s="57">
        <f>IF($A304="","",$A304&amp;"|"&amp;$C304&amp;"|"&amp;$D304)</f>
        <v/>
      </c>
      <c r="S304" s="57">
        <f>IF($A304="","",IFERROR(INDEX(Offerte!$D$2:$D$81,MATCH($Q304,Offerte!$L$2:$L$81,0)),0))</f>
        <v/>
      </c>
      <c r="T304" s="57">
        <f>IF($A304="","",IFERROR(INDEX(Offerte!$G$2:$G$81,MATCH($Q304,Offerte!$L$2:$L$81,0)),"NO"))</f>
        <v/>
      </c>
    </row>
    <row r="305">
      <c r="A305" s="48">
        <f>IF(Offerte!$A11="","",Offerte!$A11)</f>
        <v/>
      </c>
      <c r="B305" s="48">
        <f>IF(Offerte!$A11="","",Offerte!$B11)</f>
        <v/>
      </c>
      <c r="C305" s="48">
        <f>IF(Offerte!$A11="","",Offerte!$C11)</f>
        <v/>
      </c>
      <c r="D305" s="48" t="inlineStr">
        <is>
          <t>F.1.1</t>
        </is>
      </c>
      <c r="E305" s="48" t="inlineStr">
        <is>
          <t>F</t>
        </is>
      </c>
      <c r="F305" s="48" t="inlineStr">
        <is>
          <t>Q</t>
        </is>
      </c>
      <c r="G305" s="48" t="inlineStr">
        <is>
          <t>lower</t>
        </is>
      </c>
      <c r="H305" s="48" t="n">
        <v>7</v>
      </c>
      <c r="I305" s="48" t="inlineStr">
        <is>
          <t>Performance ambientali del parco mezzi adibito al servizio - I_CEA</t>
        </is>
      </c>
      <c r="J305" s="73" t="n"/>
      <c r="K305" s="73" t="n"/>
      <c r="L305" s="73" t="n"/>
      <c r="M305" s="73" t="n"/>
      <c r="N305" s="57">
        <f>IF($A305="","",IFERROR(VALUE($J305),0))</f>
        <v/>
      </c>
      <c r="O305" s="57">
        <f>IF($A305="",0,IF(OR($S305&lt;&gt;1,COUNTA($J305:$M305)=0),0,IF(AND(IFERROR(AGGREGATE(15,6,$N$5:$N$2484/(($C$5:$C$2484=$C305)*($D$5:$D$2484=$D305)*($S$5:$S$2484=1)*($N$5:$N$2484&gt;0)),1),0)&gt;0,$N305&gt;0),ROUND($H305*(IFERROR(AGGREGATE(15,6,$N$5:$N$2484/(($C$5:$C$2484=$C305)*($D$5:$D$2484=$D305)*($S$5:$S$2484=1)*($N$5:$N$2484&gt;0)),1),0)/$N305),4),0)))</f>
        <v/>
      </c>
      <c r="P305" s="48" t="inlineStr">
        <is>
          <t>indice</t>
        </is>
      </c>
      <c r="Q305" s="57">
        <f>IF($A305="","",$A305&amp;"|"&amp;$C305)</f>
        <v/>
      </c>
      <c r="R305" s="57">
        <f>IF($A305="","",$A305&amp;"|"&amp;$C305&amp;"|"&amp;$D305)</f>
        <v/>
      </c>
      <c r="S305" s="57">
        <f>IF($A305="","",IFERROR(INDEX(Offerte!$D$2:$D$81,MATCH($Q305,Offerte!$L$2:$L$81,0)),0))</f>
        <v/>
      </c>
      <c r="T305" s="57">
        <f>IF($A305="","",IFERROR(INDEX(Offerte!$G$2:$G$81,MATCH($Q305,Offerte!$L$2:$L$81,0)),"NO"))</f>
        <v/>
      </c>
    </row>
    <row r="306">
      <c r="A306" s="48">
        <f>IF(Offerte!$A11="","",Offerte!$A11)</f>
        <v/>
      </c>
      <c r="B306" s="48">
        <f>IF(Offerte!$A11="","",Offerte!$B11)</f>
        <v/>
      </c>
      <c r="C306" s="48">
        <f>IF(Offerte!$A11="","",Offerte!$C11)</f>
        <v/>
      </c>
      <c r="D306" s="48" t="inlineStr">
        <is>
          <t>F.2.1</t>
        </is>
      </c>
      <c r="E306" s="48" t="inlineStr">
        <is>
          <t>F</t>
        </is>
      </c>
      <c r="F306" s="48" t="inlineStr">
        <is>
          <t>Q</t>
        </is>
      </c>
      <c r="G306" s="48" t="inlineStr">
        <is>
          <t>higher</t>
        </is>
      </c>
      <c r="H306" s="48" t="n">
        <v>2</v>
      </c>
      <c r="I306" s="48" t="inlineStr">
        <is>
          <t>Tasso di copertura del servizio con dispositivi ECO-DRIVER</t>
        </is>
      </c>
      <c r="J306" s="73" t="n"/>
      <c r="K306" s="73" t="n"/>
      <c r="L306" s="73" t="n"/>
      <c r="M306" s="73" t="n"/>
      <c r="N306" s="57">
        <f>IF($A306="","",IFERROR(VALUE($K306)/VALUE($L306),IFERROR(VALUE($J306),0)))</f>
        <v/>
      </c>
      <c r="O306" s="57">
        <f>IF($A306="",0,IF(OR($S306&lt;&gt;1,COUNTA($J306:$M306)=0),0,IF(SUMPRODUCT(MAX(($C$5:$C$2484=$C306)*($D$5:$D$2484=$D306)*($S$5:$S$2484=1)*IFERROR($N$5:$N$2484*1,0)))&gt;0,ROUND($H306*($N306/SUMPRODUCT(MAX(($C$5:$C$2484=$C306)*($D$5:$D$2484=$D306)*($S$5:$S$2484=1)*IFERROR($N$5:$N$2484*1,0)))),4),0)))</f>
        <v/>
      </c>
      <c r="P306" s="48" t="inlineStr">
        <is>
          <t>Autobus attrezzati con dispositivi ECO-DRIVER / Autobus totali in offerta, incluse scorte</t>
        </is>
      </c>
      <c r="Q306" s="57">
        <f>IF($A306="","",$A306&amp;"|"&amp;$C306)</f>
        <v/>
      </c>
      <c r="R306" s="57">
        <f>IF($A306="","",$A306&amp;"|"&amp;$C306&amp;"|"&amp;$D306)</f>
        <v/>
      </c>
      <c r="S306" s="57">
        <f>IF($A306="","",IFERROR(INDEX(Offerte!$D$2:$D$81,MATCH($Q306,Offerte!$L$2:$L$81,0)),0))</f>
        <v/>
      </c>
      <c r="T306" s="57">
        <f>IF($A306="","",IFERROR(INDEX(Offerte!$G$2:$G$81,MATCH($Q306,Offerte!$L$2:$L$81,0)),"NO"))</f>
        <v/>
      </c>
    </row>
    <row r="307">
      <c r="A307" s="48">
        <f>IF(Offerte!$A11="","",Offerte!$A11)</f>
        <v/>
      </c>
      <c r="B307" s="48">
        <f>IF(Offerte!$A11="","",Offerte!$B11)</f>
        <v/>
      </c>
      <c r="C307" s="48">
        <f>IF(Offerte!$A11="","",Offerte!$C11)</f>
        <v/>
      </c>
      <c r="D307" s="48" t="inlineStr">
        <is>
          <t>F.3.1</t>
        </is>
      </c>
      <c r="E307" s="48" t="inlineStr">
        <is>
          <t>F</t>
        </is>
      </c>
      <c r="F307" s="48" t="inlineStr">
        <is>
          <t>Q</t>
        </is>
      </c>
      <c r="G307" s="48" t="inlineStr">
        <is>
          <t>higher</t>
        </is>
      </c>
      <c r="H307" s="48" t="n">
        <v>2</v>
      </c>
      <c r="I307" s="48" t="inlineStr">
        <is>
          <t>Autoproduzione consumi elettrici per trazione</t>
        </is>
      </c>
      <c r="J307" s="73" t="n"/>
      <c r="K307" s="73" t="n"/>
      <c r="L307" s="73" t="n"/>
      <c r="M307" s="73" t="n"/>
      <c r="N307" s="57">
        <f>IF($A307="","",IFERROR(VALUE($J307),0))</f>
        <v/>
      </c>
      <c r="O307" s="57">
        <f>IF($A307="",0,IF(OR($S307&lt;&gt;1,COUNTA($J307:$M307)=0),0,IF(SUMPRODUCT(MAX(($C$5:$C$2484=$C307)*($D$5:$D$2484=$D307)*($S$5:$S$2484=1)*IFERROR($N$5:$N$2484*1,0)))&gt;0,ROUND($H307*($N307/SUMPRODUCT(MAX(($C$5:$C$2484=$C307)*($D$5:$D$2484=$D307)*($S$5:$S$2484=1)*IFERROR($N$5:$N$2484*1,0)))),4),0)))</f>
        <v/>
      </c>
      <c r="P307" s="48" t="inlineStr">
        <is>
          <t>kWh/anno</t>
        </is>
      </c>
      <c r="Q307" s="57">
        <f>IF($A307="","",$A307&amp;"|"&amp;$C307)</f>
        <v/>
      </c>
      <c r="R307" s="57">
        <f>IF($A307="","",$A307&amp;"|"&amp;$C307&amp;"|"&amp;$D307)</f>
        <v/>
      </c>
      <c r="S307" s="57">
        <f>IF($A307="","",IFERROR(INDEX(Offerte!$D$2:$D$81,MATCH($Q307,Offerte!$L$2:$L$81,0)),0))</f>
        <v/>
      </c>
      <c r="T307" s="57">
        <f>IF($A307="","",IFERROR(INDEX(Offerte!$G$2:$G$81,MATCH($Q307,Offerte!$L$2:$L$81,0)),"NO"))</f>
        <v/>
      </c>
    </row>
    <row r="308">
      <c r="A308" s="48">
        <f>IF(Offerte!$A11="","",Offerte!$A11)</f>
        <v/>
      </c>
      <c r="B308" s="48">
        <f>IF(Offerte!$A11="","",Offerte!$B11)</f>
        <v/>
      </c>
      <c r="C308" s="48">
        <f>IF(Offerte!$A11="","",Offerte!$C11)</f>
        <v/>
      </c>
      <c r="D308" s="48" t="inlineStr">
        <is>
          <t>F.4.1</t>
        </is>
      </c>
      <c r="E308" s="48" t="inlineStr">
        <is>
          <t>F</t>
        </is>
      </c>
      <c r="F308" s="48" t="inlineStr">
        <is>
          <t>Q</t>
        </is>
      </c>
      <c r="G308" s="48" t="inlineStr">
        <is>
          <t>soil</t>
        </is>
      </c>
      <c r="H308" s="48" t="n">
        <v>2</v>
      </c>
      <c r="I308" s="48" t="inlineStr">
        <is>
          <t>Indice di consumo di suolo</t>
        </is>
      </c>
      <c r="J308" s="73" t="n"/>
      <c r="K308" s="73" t="n"/>
      <c r="L308" s="73" t="n"/>
      <c r="M308" s="73" t="n"/>
      <c r="N308" s="57">
        <f>IF($A308="","",IFERROR(VALUE($J308),0))</f>
        <v/>
      </c>
      <c r="O308" s="57">
        <f>IF($A308="",0,IF(OR($S308&lt;&gt;1,COUNTA($J308:$M308)=0),0,IF($N308&lt;=0,$H308,IF(SUMPRODUCT(MAX(($C$5:$C$2484=$C308)*($D$5:$D$2484=$D308)*($S$5:$S$2484=1)*IFERROR($N$5:$N$2484*1,0)))&gt;0,ROUND($H308*((SUMPRODUCT(MAX(($C$5:$C$2484=$C308)*($D$5:$D$2484=$D308)*($S$5:$S$2484=1)*IFERROR($N$5:$N$2484*1,0)))-$N308)/SUMPRODUCT(MAX(($C$5:$C$2484=$C308)*($D$5:$D$2484=$D308)*($S$5:$S$2484=1)*IFERROR($N$5:$N$2484*1,0)))),4),0))))</f>
        <v/>
      </c>
      <c r="P308" s="48" t="inlineStr">
        <is>
          <t>m2</t>
        </is>
      </c>
      <c r="Q308" s="57">
        <f>IF($A308="","",$A308&amp;"|"&amp;$C308)</f>
        <v/>
      </c>
      <c r="R308" s="57">
        <f>IF($A308="","",$A308&amp;"|"&amp;$C308&amp;"|"&amp;$D308)</f>
        <v/>
      </c>
      <c r="S308" s="57">
        <f>IF($A308="","",IFERROR(INDEX(Offerte!$D$2:$D$81,MATCH($Q308,Offerte!$L$2:$L$81,0)),0))</f>
        <v/>
      </c>
      <c r="T308" s="57">
        <f>IF($A308="","",IFERROR(INDEX(Offerte!$G$2:$G$81,MATCH($Q308,Offerte!$L$2:$L$81,0)),"NO"))</f>
        <v/>
      </c>
    </row>
    <row r="309">
      <c r="A309" s="48">
        <f>IF(Offerte!$A11="","",Offerte!$A11)</f>
        <v/>
      </c>
      <c r="B309" s="48">
        <f>IF(Offerte!$A11="","",Offerte!$B11)</f>
        <v/>
      </c>
      <c r="C309" s="48">
        <f>IF(Offerte!$A11="","",Offerte!$C11)</f>
        <v/>
      </c>
      <c r="D309" s="48" t="inlineStr">
        <is>
          <t>F.5.1</t>
        </is>
      </c>
      <c r="E309" s="48" t="inlineStr">
        <is>
          <t>F</t>
        </is>
      </c>
      <c r="F309" s="48" t="inlineStr">
        <is>
          <t>T</t>
        </is>
      </c>
      <c r="G309" s="48" t="inlineStr">
        <is>
          <t>tabular</t>
        </is>
      </c>
      <c r="H309" s="48" t="n">
        <v>1</v>
      </c>
      <c r="I309" s="48" t="inlineStr">
        <is>
          <t>Rendicontazione di sostenibilità ambientale</t>
        </is>
      </c>
      <c r="J309" s="73" t="n"/>
      <c r="K309" s="73" t="n"/>
      <c r="L309" s="73" t="n"/>
      <c r="M309" s="73" t="n"/>
      <c r="N309" s="57">
        <f>IF($A309="","",IF(IFERROR(VALUE($M309),0)=1,1,0))</f>
        <v/>
      </c>
      <c r="O309" s="57">
        <f>IF($A309="",0,IF(OR($S309&lt;&gt;1,COUNTA($J309:$M309)=0),0,IF($N309=1,$H309,0)))</f>
        <v/>
      </c>
      <c r="P309" s="48" t="inlineStr">
        <is>
          <t>sì/no</t>
        </is>
      </c>
      <c r="Q309" s="57">
        <f>IF($A309="","",$A309&amp;"|"&amp;$C309)</f>
        <v/>
      </c>
      <c r="R309" s="57">
        <f>IF($A309="","",$A309&amp;"|"&amp;$C309&amp;"|"&amp;$D309)</f>
        <v/>
      </c>
      <c r="S309" s="57">
        <f>IF($A309="","",IFERROR(INDEX(Offerte!$D$2:$D$81,MATCH($Q309,Offerte!$L$2:$L$81,0)),0))</f>
        <v/>
      </c>
      <c r="T309" s="57">
        <f>IF($A309="","",IFERROR(INDEX(Offerte!$G$2:$G$81,MATCH($Q309,Offerte!$L$2:$L$81,0)),"NO"))</f>
        <v/>
      </c>
    </row>
    <row r="310">
      <c r="A310" s="48">
        <f>IF(Offerte!$A11="","",Offerte!$A11)</f>
        <v/>
      </c>
      <c r="B310" s="48">
        <f>IF(Offerte!$A11="","",Offerte!$B11)</f>
        <v/>
      </c>
      <c r="C310" s="48">
        <f>IF(Offerte!$A11="","",Offerte!$C11)</f>
        <v/>
      </c>
      <c r="D310" s="48" t="inlineStr">
        <is>
          <t>G.1.1</t>
        </is>
      </c>
      <c r="E310" s="48" t="inlineStr">
        <is>
          <t>G</t>
        </is>
      </c>
      <c r="F310" s="48" t="inlineStr">
        <is>
          <t>D</t>
        </is>
      </c>
      <c r="G310" s="48" t="inlineStr">
        <is>
          <t>discretionary</t>
        </is>
      </c>
      <c r="H310" s="48" t="n">
        <v>2</v>
      </c>
      <c r="I310" s="48" t="inlineStr">
        <is>
          <t>Qualità del progetto di centrale di controllo aziendale</t>
        </is>
      </c>
      <c r="J310" s="73" t="n"/>
      <c r="K310" s="73" t="n"/>
      <c r="L310" s="73" t="n"/>
      <c r="M310" s="73" t="n"/>
      <c r="N310" s="57">
        <f>IF($A310="","",MAX(0,MIN(1,IFERROR(VALUE($M310),0))))</f>
        <v/>
      </c>
      <c r="O310" s="57">
        <f>IF($A310="",0,IF(OR($S310&lt;&gt;1,COUNTA($J310:$M310)=0),0,IF(SUMPRODUCT(MAX(($C$5:$C$2484=$C310)*($D$5:$D$2484=$D310)*($S$5:$S$2484=1)*IFERROR($N$5:$N$2484*1,0)))&gt;0,ROUND($H310*($N310/SUMPRODUCT(MAX(($C$5:$C$2484=$C310)*($D$5:$D$2484=$D310)*($S$5:$S$2484=1)*IFERROR($N$5:$N$2484*1,0)))),4),0)))</f>
        <v/>
      </c>
      <c r="P310" s="48" t="inlineStr">
        <is>
          <t>coeff.</t>
        </is>
      </c>
      <c r="Q310" s="57">
        <f>IF($A310="","",$A310&amp;"|"&amp;$C310)</f>
        <v/>
      </c>
      <c r="R310" s="57">
        <f>IF($A310="","",$A310&amp;"|"&amp;$C310&amp;"|"&amp;$D310)</f>
        <v/>
      </c>
      <c r="S310" s="57">
        <f>IF($A310="","",IFERROR(INDEX(Offerte!$D$2:$D$81,MATCH($Q310,Offerte!$L$2:$L$81,0)),0))</f>
        <v/>
      </c>
      <c r="T310" s="57">
        <f>IF($A310="","",IFERROR(INDEX(Offerte!$G$2:$G$81,MATCH($Q310,Offerte!$L$2:$L$81,0)),"NO"))</f>
        <v/>
      </c>
    </row>
    <row r="311">
      <c r="A311" s="48">
        <f>IF(Offerte!$A11="","",Offerte!$A11)</f>
        <v/>
      </c>
      <c r="B311" s="48">
        <f>IF(Offerte!$A11="","",Offerte!$B11)</f>
        <v/>
      </c>
      <c r="C311" s="48">
        <f>IF(Offerte!$A11="","",Offerte!$C11)</f>
        <v/>
      </c>
      <c r="D311" s="48" t="inlineStr">
        <is>
          <t>G.2.1</t>
        </is>
      </c>
      <c r="E311" s="48" t="inlineStr">
        <is>
          <t>G</t>
        </is>
      </c>
      <c r="F311" s="48" t="inlineStr">
        <is>
          <t>T</t>
        </is>
      </c>
      <c r="G311" s="48" t="inlineStr">
        <is>
          <t>tabular</t>
        </is>
      </c>
      <c r="H311" s="48" t="n">
        <v>1</v>
      </c>
      <c r="I311" s="48" t="inlineStr">
        <is>
          <t>Certificazione ISO 45001</t>
        </is>
      </c>
      <c r="J311" s="73" t="n"/>
      <c r="K311" s="73" t="n"/>
      <c r="L311" s="73" t="n"/>
      <c r="M311" s="73" t="n"/>
      <c r="N311" s="57">
        <f>IF($A311="","",IF(IFERROR(VALUE($M311),0)=1,1,0))</f>
        <v/>
      </c>
      <c r="O311" s="57">
        <f>IF($A311="",0,IF(OR($S311&lt;&gt;1,COUNTA($J311:$M311)=0),0,IF($N311=1,$H311,0)))</f>
        <v/>
      </c>
      <c r="P311" s="48" t="inlineStr">
        <is>
          <t>sì/no</t>
        </is>
      </c>
      <c r="Q311" s="57">
        <f>IF($A311="","",$A311&amp;"|"&amp;$C311)</f>
        <v/>
      </c>
      <c r="R311" s="57">
        <f>IF($A311="","",$A311&amp;"|"&amp;$C311&amp;"|"&amp;$D311)</f>
        <v/>
      </c>
      <c r="S311" s="57">
        <f>IF($A311="","",IFERROR(INDEX(Offerte!$D$2:$D$81,MATCH($Q311,Offerte!$L$2:$L$81,0)),0))</f>
        <v/>
      </c>
      <c r="T311" s="57">
        <f>IF($A311="","",IFERROR(INDEX(Offerte!$G$2:$G$81,MATCH($Q311,Offerte!$L$2:$L$81,0)),"NO"))</f>
        <v/>
      </c>
    </row>
    <row r="312">
      <c r="A312" s="48">
        <f>IF(Offerte!$A11="","",Offerte!$A11)</f>
        <v/>
      </c>
      <c r="B312" s="48">
        <f>IF(Offerte!$A11="","",Offerte!$B11)</f>
        <v/>
      </c>
      <c r="C312" s="48">
        <f>IF(Offerte!$A11="","",Offerte!$C11)</f>
        <v/>
      </c>
      <c r="D312" s="48" t="inlineStr">
        <is>
          <t>G.3.1</t>
        </is>
      </c>
      <c r="E312" s="48" t="inlineStr">
        <is>
          <t>G</t>
        </is>
      </c>
      <c r="F312" s="48" t="inlineStr">
        <is>
          <t>T</t>
        </is>
      </c>
      <c r="G312" s="48" t="inlineStr">
        <is>
          <t>tabular</t>
        </is>
      </c>
      <c r="H312" s="48" t="n">
        <v>1</v>
      </c>
      <c r="I312" s="48" t="inlineStr">
        <is>
          <t>Certificazioni di responsabilità sociale</t>
        </is>
      </c>
      <c r="J312" s="73" t="n"/>
      <c r="K312" s="73" t="n"/>
      <c r="L312" s="73" t="n"/>
      <c r="M312" s="73" t="n"/>
      <c r="N312" s="57">
        <f>IF($A312="","",IF(IFERROR(VALUE($M312),0)=1,1,0))</f>
        <v/>
      </c>
      <c r="O312" s="57">
        <f>IF($A312="",0,IF(OR($S312&lt;&gt;1,COUNTA($J312:$M312)=0),0,IF($N312=1,$H312,0)))</f>
        <v/>
      </c>
      <c r="P312" s="48" t="inlineStr">
        <is>
          <t>sì/no</t>
        </is>
      </c>
      <c r="Q312" s="57">
        <f>IF($A312="","",$A312&amp;"|"&amp;$C312)</f>
        <v/>
      </c>
      <c r="R312" s="57">
        <f>IF($A312="","",$A312&amp;"|"&amp;$C312&amp;"|"&amp;$D312)</f>
        <v/>
      </c>
      <c r="S312" s="57">
        <f>IF($A312="","",IFERROR(INDEX(Offerte!$D$2:$D$81,MATCH($Q312,Offerte!$L$2:$L$81,0)),0))</f>
        <v/>
      </c>
      <c r="T312" s="57">
        <f>IF($A312="","",IFERROR(INDEX(Offerte!$G$2:$G$81,MATCH($Q312,Offerte!$L$2:$L$81,0)),"NO"))</f>
        <v/>
      </c>
    </row>
    <row r="313">
      <c r="A313" s="48">
        <f>IF(Offerte!$A11="","",Offerte!$A11)</f>
        <v/>
      </c>
      <c r="B313" s="48">
        <f>IF(Offerte!$A11="","",Offerte!$B11)</f>
        <v/>
      </c>
      <c r="C313" s="48">
        <f>IF(Offerte!$A11="","",Offerte!$C11)</f>
        <v/>
      </c>
      <c r="D313" s="48" t="inlineStr">
        <is>
          <t>G.4.1</t>
        </is>
      </c>
      <c r="E313" s="48" t="inlineStr">
        <is>
          <t>G</t>
        </is>
      </c>
      <c r="F313" s="48" t="inlineStr">
        <is>
          <t>D</t>
        </is>
      </c>
      <c r="G313" s="48" t="inlineStr">
        <is>
          <t>discretionary</t>
        </is>
      </c>
      <c r="H313" s="48" t="n">
        <v>2</v>
      </c>
      <c r="I313" s="48" t="inlineStr">
        <is>
          <t>Qualità del piano di formazione del personale</t>
        </is>
      </c>
      <c r="J313" s="73" t="n"/>
      <c r="K313" s="73" t="n"/>
      <c r="L313" s="73" t="n"/>
      <c r="M313" s="73" t="n"/>
      <c r="N313" s="57">
        <f>IF($A313="","",MAX(0,MIN(1,IFERROR(VALUE($M313),0))))</f>
        <v/>
      </c>
      <c r="O313" s="57">
        <f>IF($A313="",0,IF(OR($S313&lt;&gt;1,COUNTA($J313:$M313)=0),0,IF(SUMPRODUCT(MAX(($C$5:$C$2484=$C313)*($D$5:$D$2484=$D313)*($S$5:$S$2484=1)*IFERROR($N$5:$N$2484*1,0)))&gt;0,ROUND($H313*($N313/SUMPRODUCT(MAX(($C$5:$C$2484=$C313)*($D$5:$D$2484=$D313)*($S$5:$S$2484=1)*IFERROR($N$5:$N$2484*1,0)))),4),0)))</f>
        <v/>
      </c>
      <c r="P313" s="48" t="inlineStr">
        <is>
          <t>coeff.</t>
        </is>
      </c>
      <c r="Q313" s="57">
        <f>IF($A313="","",$A313&amp;"|"&amp;$C313)</f>
        <v/>
      </c>
      <c r="R313" s="57">
        <f>IF($A313="","",$A313&amp;"|"&amp;$C313&amp;"|"&amp;$D313)</f>
        <v/>
      </c>
      <c r="S313" s="57">
        <f>IF($A313="","",IFERROR(INDEX(Offerte!$D$2:$D$81,MATCH($Q313,Offerte!$L$2:$L$81,0)),0))</f>
        <v/>
      </c>
      <c r="T313" s="57">
        <f>IF($A313="","",IFERROR(INDEX(Offerte!$G$2:$G$81,MATCH($Q313,Offerte!$L$2:$L$81,0)),"NO"))</f>
        <v/>
      </c>
    </row>
    <row r="314">
      <c r="A314" s="48">
        <f>IF(Offerte!$A11="","",Offerte!$A11)</f>
        <v/>
      </c>
      <c r="B314" s="48">
        <f>IF(Offerte!$A11="","",Offerte!$B11)</f>
        <v/>
      </c>
      <c r="C314" s="48">
        <f>IF(Offerte!$A11="","",Offerte!$C11)</f>
        <v/>
      </c>
      <c r="D314" s="48" t="inlineStr">
        <is>
          <t>G.5.1</t>
        </is>
      </c>
      <c r="E314" s="48" t="inlineStr">
        <is>
          <t>G</t>
        </is>
      </c>
      <c r="F314" s="48" t="inlineStr">
        <is>
          <t>T</t>
        </is>
      </c>
      <c r="G314" s="48" t="inlineStr">
        <is>
          <t>tabular</t>
        </is>
      </c>
      <c r="H314" s="48" t="n">
        <v>1</v>
      </c>
      <c r="I314" s="48" t="inlineStr">
        <is>
          <t>Impegno al mantenimento delle garanzie del contratto di secondo livello del gestore uscente</t>
        </is>
      </c>
      <c r="J314" s="73" t="n"/>
      <c r="K314" s="73" t="n"/>
      <c r="L314" s="73" t="n"/>
      <c r="M314" s="73" t="n"/>
      <c r="N314" s="57">
        <f>IF($A314="","",IF(IFERROR(VALUE($M314),0)=1,1,0))</f>
        <v/>
      </c>
      <c r="O314" s="57">
        <f>IF($A314="",0,IF(OR($S314&lt;&gt;1,COUNTA($J314:$M314)=0),0,IF($N314=1,$H314,0)))</f>
        <v/>
      </c>
      <c r="P314" s="48" t="inlineStr">
        <is>
          <t>sì/no</t>
        </is>
      </c>
      <c r="Q314" s="57">
        <f>IF($A314="","",$A314&amp;"|"&amp;$C314)</f>
        <v/>
      </c>
      <c r="R314" s="57">
        <f>IF($A314="","",$A314&amp;"|"&amp;$C314&amp;"|"&amp;$D314)</f>
        <v/>
      </c>
      <c r="S314" s="57">
        <f>IF($A314="","",IFERROR(INDEX(Offerte!$D$2:$D$81,MATCH($Q314,Offerte!$L$2:$L$81,0)),0))</f>
        <v/>
      </c>
      <c r="T314" s="57">
        <f>IF($A314="","",IFERROR(INDEX(Offerte!$G$2:$G$81,MATCH($Q314,Offerte!$L$2:$L$81,0)),"NO"))</f>
        <v/>
      </c>
    </row>
    <row r="315">
      <c r="A315" s="48">
        <f>IF(Offerte!$A12="","",Offerte!$A12)</f>
        <v/>
      </c>
      <c r="B315" s="48">
        <f>IF(Offerte!$A12="","",Offerte!$B12)</f>
        <v/>
      </c>
      <c r="C315" s="48">
        <f>IF(Offerte!$A12="","",Offerte!$C12)</f>
        <v/>
      </c>
      <c r="D315" s="48" t="inlineStr">
        <is>
          <t>A.1.1</t>
        </is>
      </c>
      <c r="E315" s="48" t="inlineStr">
        <is>
          <t>A</t>
        </is>
      </c>
      <c r="F315" s="48" t="inlineStr">
        <is>
          <t>Q</t>
        </is>
      </c>
      <c r="G315" s="48" t="inlineStr">
        <is>
          <t>higher</t>
        </is>
      </c>
      <c r="H315" s="48" t="n">
        <v>3</v>
      </c>
      <c r="I315" s="48" t="inlineStr">
        <is>
          <t>Tasso aggiuntivo di corse controllate</t>
        </is>
      </c>
      <c r="J315" s="73" t="n"/>
      <c r="K315" s="73" t="n"/>
      <c r="L315" s="73" t="n"/>
      <c r="M315" s="73" t="n"/>
      <c r="N315" s="57">
        <f>IF($A315="","",IFERROR(VALUE($K315)/VALUE($L315)*100,IFERROR(VALUE($J315),0)))</f>
        <v/>
      </c>
      <c r="O315" s="57">
        <f>IF($A315="",0,IF(OR($S315&lt;&gt;1,COUNTA($J315:$M315)=0),0,IF(SUMPRODUCT(MAX(($C$5:$C$2484=$C315)*($D$5:$D$2484=$D315)*($S$5:$S$2484=1)*IFERROR($N$5:$N$2484*1,0)))&gt;0,ROUND($H315*($N315/SUMPRODUCT(MAX(($C$5:$C$2484=$C315)*($D$5:$D$2484=$D315)*($S$5:$S$2484=1)*IFERROR($N$5:$N$2484*1,0)))),4),0)))</f>
        <v/>
      </c>
      <c r="P315" s="48" t="inlineStr">
        <is>
          <t>Corse controllate annue / Corse programmate annue</t>
        </is>
      </c>
      <c r="Q315" s="57">
        <f>IF($A315="","",$A315&amp;"|"&amp;$C315)</f>
        <v/>
      </c>
      <c r="R315" s="57">
        <f>IF($A315="","",$A315&amp;"|"&amp;$C315&amp;"|"&amp;$D315)</f>
        <v/>
      </c>
      <c r="S315" s="57">
        <f>IF($A315="","",IFERROR(INDEX(Offerte!$D$2:$D$81,MATCH($Q315,Offerte!$L$2:$L$81,0)),0))</f>
        <v/>
      </c>
      <c r="T315" s="57">
        <f>IF($A315="","",IFERROR(INDEX(Offerte!$G$2:$G$81,MATCH($Q315,Offerte!$L$2:$L$81,0)),"NO"))</f>
        <v/>
      </c>
    </row>
    <row r="316">
      <c r="A316" s="48">
        <f>IF(Offerte!$A12="","",Offerte!$A12)</f>
        <v/>
      </c>
      <c r="B316" s="48">
        <f>IF(Offerte!$A12="","",Offerte!$B12)</f>
        <v/>
      </c>
      <c r="C316" s="48">
        <f>IF(Offerte!$A12="","",Offerte!$C12)</f>
        <v/>
      </c>
      <c r="D316" s="48" t="inlineStr">
        <is>
          <t>A.1.2</t>
        </is>
      </c>
      <c r="E316" s="48" t="inlineStr">
        <is>
          <t>A</t>
        </is>
      </c>
      <c r="F316" s="48" t="inlineStr">
        <is>
          <t>Q</t>
        </is>
      </c>
      <c r="G316" s="48" t="inlineStr">
        <is>
          <t>higher</t>
        </is>
      </c>
      <c r="H316" s="48" t="n">
        <v>4</v>
      </c>
      <c r="I316" s="48" t="inlineStr">
        <is>
          <t>Numero aggiuntivo di passeggeri controllati</t>
        </is>
      </c>
      <c r="J316" s="73" t="n"/>
      <c r="K316" s="73" t="n"/>
      <c r="L316" s="73" t="n"/>
      <c r="M316" s="73" t="n"/>
      <c r="N316" s="57">
        <f>IF($A316="","",IFERROR(VALUE($J316),0))</f>
        <v/>
      </c>
      <c r="O316" s="57">
        <f>IF($A316="",0,IF(OR($S316&lt;&gt;1,COUNTA($J316:$M316)=0),0,IF(SUMPRODUCT(MAX(($C$5:$C$2484=$C316)*($D$5:$D$2484=$D316)*($S$5:$S$2484=1)*IFERROR($N$5:$N$2484*1,0)))&gt;0,ROUND($H316*($N316/SUMPRODUCT(MAX(($C$5:$C$2484=$C316)*($D$5:$D$2484=$D316)*($S$5:$S$2484=1)*IFERROR($N$5:$N$2484*1,0)))),4),0)))</f>
        <v/>
      </c>
      <c r="P316" s="48" t="inlineStr">
        <is>
          <t>passeggeri/anno</t>
        </is>
      </c>
      <c r="Q316" s="57">
        <f>IF($A316="","",$A316&amp;"|"&amp;$C316)</f>
        <v/>
      </c>
      <c r="R316" s="57">
        <f>IF($A316="","",$A316&amp;"|"&amp;$C316&amp;"|"&amp;$D316)</f>
        <v/>
      </c>
      <c r="S316" s="57">
        <f>IF($A316="","",IFERROR(INDEX(Offerte!$D$2:$D$81,MATCH($Q316,Offerte!$L$2:$L$81,0)),0))</f>
        <v/>
      </c>
      <c r="T316" s="57">
        <f>IF($A316="","",IFERROR(INDEX(Offerte!$G$2:$G$81,MATCH($Q316,Offerte!$L$2:$L$81,0)),"NO"))</f>
        <v/>
      </c>
    </row>
    <row r="317">
      <c r="A317" s="48">
        <f>IF(Offerte!$A12="","",Offerte!$A12)</f>
        <v/>
      </c>
      <c r="B317" s="48">
        <f>IF(Offerte!$A12="","",Offerte!$B12)</f>
        <v/>
      </c>
      <c r="C317" s="48">
        <f>IF(Offerte!$A12="","",Offerte!$C12)</f>
        <v/>
      </c>
      <c r="D317" s="48" t="inlineStr">
        <is>
          <t>B.1.1</t>
        </is>
      </c>
      <c r="E317" s="48" t="inlineStr">
        <is>
          <t>B</t>
        </is>
      </c>
      <c r="F317" s="48" t="inlineStr">
        <is>
          <t>Q</t>
        </is>
      </c>
      <c r="G317" s="48" t="inlineStr">
        <is>
          <t>higher</t>
        </is>
      </c>
      <c r="H317" s="48" t="n">
        <v>3</v>
      </c>
      <c r="I317" s="48" t="inlineStr">
        <is>
          <t>Incremento dei posti offerti nelle fasce di punta</t>
        </is>
      </c>
      <c r="J317" s="73" t="n"/>
      <c r="K317" s="73" t="n"/>
      <c r="L317" s="73" t="n"/>
      <c r="M317" s="73" t="n"/>
      <c r="N317" s="57">
        <f>IF($A317="","",IFERROR(VALUE($J317),0))</f>
        <v/>
      </c>
      <c r="O317" s="57">
        <f>IF($A317="",0,IF(OR($S317&lt;&gt;1,COUNTA($J317:$M317)=0),0,IF(SUMPRODUCT(MAX(($C$5:$C$2484=$C317)*($D$5:$D$2484=$D317)*($S$5:$S$2484=1)*IFERROR($N$5:$N$2484*1,0)))&gt;0,ROUND($H317*($N317/SUMPRODUCT(MAX(($C$5:$C$2484=$C317)*($D$5:$D$2484=$D317)*($S$5:$S$2484=1)*IFERROR($N$5:$N$2484*1,0)))),4),0)))</f>
        <v/>
      </c>
      <c r="P317" s="48" t="inlineStr">
        <is>
          <t>posti*km</t>
        </is>
      </c>
      <c r="Q317" s="57">
        <f>IF($A317="","",$A317&amp;"|"&amp;$C317)</f>
        <v/>
      </c>
      <c r="R317" s="57">
        <f>IF($A317="","",$A317&amp;"|"&amp;$C317&amp;"|"&amp;$D317)</f>
        <v/>
      </c>
      <c r="S317" s="57">
        <f>IF($A317="","",IFERROR(INDEX(Offerte!$D$2:$D$81,MATCH($Q317,Offerte!$L$2:$L$81,0)),0))</f>
        <v/>
      </c>
      <c r="T317" s="57">
        <f>IF($A317="","",IFERROR(INDEX(Offerte!$G$2:$G$81,MATCH($Q317,Offerte!$L$2:$L$81,0)),"NO"))</f>
        <v/>
      </c>
    </row>
    <row r="318">
      <c r="A318" s="48">
        <f>IF(Offerte!$A12="","",Offerte!$A12)</f>
        <v/>
      </c>
      <c r="B318" s="48">
        <f>IF(Offerte!$A12="","",Offerte!$B12)</f>
        <v/>
      </c>
      <c r="C318" s="48">
        <f>IF(Offerte!$A12="","",Offerte!$C12)</f>
        <v/>
      </c>
      <c r="D318" s="48" t="inlineStr">
        <is>
          <t>B.2.1</t>
        </is>
      </c>
      <c r="E318" s="48" t="inlineStr">
        <is>
          <t>B</t>
        </is>
      </c>
      <c r="F318" s="48" t="inlineStr">
        <is>
          <t>Q</t>
        </is>
      </c>
      <c r="G318" s="48" t="inlineStr">
        <is>
          <t>higher</t>
        </is>
      </c>
      <c r="H318" s="48" t="n">
        <v>4</v>
      </c>
      <c r="I318" s="48" t="inlineStr">
        <is>
          <t>Corse aggiuntive nell'arco giornaliero base</t>
        </is>
      </c>
      <c r="J318" s="73" t="n"/>
      <c r="K318" s="73" t="n"/>
      <c r="L318" s="73" t="n"/>
      <c r="M318" s="73" t="n"/>
      <c r="N318" s="57">
        <f>IF($A318="","",IFERROR(VALUE($J318),0))</f>
        <v/>
      </c>
      <c r="O318" s="57">
        <f>IF($A318="",0,IF(OR($S318&lt;&gt;1,COUNTA($J318:$M318)=0),0,IF(SUMPRODUCT(MAX(($C$5:$C$2484=$C318)*($D$5:$D$2484=$D318)*($S$5:$S$2484=1)*IFERROR($N$5:$N$2484*1,0)))&gt;0,ROUND($H318*($N318/SUMPRODUCT(MAX(($C$5:$C$2484=$C318)*($D$5:$D$2484=$D318)*($S$5:$S$2484=1)*IFERROR($N$5:$N$2484*1,0)))),4),0)))</f>
        <v/>
      </c>
      <c r="P318" s="48" t="inlineStr">
        <is>
          <t>corse</t>
        </is>
      </c>
      <c r="Q318" s="57">
        <f>IF($A318="","",$A318&amp;"|"&amp;$C318)</f>
        <v/>
      </c>
      <c r="R318" s="57">
        <f>IF($A318="","",$A318&amp;"|"&amp;$C318&amp;"|"&amp;$D318)</f>
        <v/>
      </c>
      <c r="S318" s="57">
        <f>IF($A318="","",IFERROR(INDEX(Offerte!$D$2:$D$81,MATCH($Q318,Offerte!$L$2:$L$81,0)),0))</f>
        <v/>
      </c>
      <c r="T318" s="57">
        <f>IF($A318="","",IFERROR(INDEX(Offerte!$G$2:$G$81,MATCH($Q318,Offerte!$L$2:$L$81,0)),"NO"))</f>
        <v/>
      </c>
    </row>
    <row r="319">
      <c r="A319" s="48">
        <f>IF(Offerte!$A12="","",Offerte!$A12)</f>
        <v/>
      </c>
      <c r="B319" s="48">
        <f>IF(Offerte!$A12="","",Offerte!$B12)</f>
        <v/>
      </c>
      <c r="C319" s="48">
        <f>IF(Offerte!$A12="","",Offerte!$C12)</f>
        <v/>
      </c>
      <c r="D319" s="48" t="inlineStr">
        <is>
          <t>B.3.1</t>
        </is>
      </c>
      <c r="E319" s="48" t="inlineStr">
        <is>
          <t>B</t>
        </is>
      </c>
      <c r="F319" s="48" t="inlineStr">
        <is>
          <t>Q</t>
        </is>
      </c>
      <c r="G319" s="48" t="inlineStr">
        <is>
          <t>higher</t>
        </is>
      </c>
      <c r="H319" s="48" t="n">
        <v>2</v>
      </c>
      <c r="I319" s="48" t="inlineStr">
        <is>
          <t>Numero di corse aggiuntive per allungamento dell'arco di servizio giornaliero nelle fasce serali</t>
        </is>
      </c>
      <c r="J319" s="73" t="n"/>
      <c r="K319" s="73" t="n"/>
      <c r="L319" s="73" t="n"/>
      <c r="M319" s="73" t="n"/>
      <c r="N319" s="57">
        <f>IF($A319="","",IFERROR(VALUE($J319),0))</f>
        <v/>
      </c>
      <c r="O319" s="57">
        <f>IF($A319="",0,IF(OR($S319&lt;&gt;1,COUNTA($J319:$M319)=0),0,IF(SUMPRODUCT(MAX(($C$5:$C$2484=$C319)*($D$5:$D$2484=$D319)*($S$5:$S$2484=1)*IFERROR($N$5:$N$2484*1,0)))&gt;0,ROUND($H319*($N319/SUMPRODUCT(MAX(($C$5:$C$2484=$C319)*($D$5:$D$2484=$D319)*($S$5:$S$2484=1)*IFERROR($N$5:$N$2484*1,0)))),4),0)))</f>
        <v/>
      </c>
      <c r="P319" s="48" t="inlineStr">
        <is>
          <t>corse</t>
        </is>
      </c>
      <c r="Q319" s="57">
        <f>IF($A319="","",$A319&amp;"|"&amp;$C319)</f>
        <v/>
      </c>
      <c r="R319" s="57">
        <f>IF($A319="","",$A319&amp;"|"&amp;$C319&amp;"|"&amp;$D319)</f>
        <v/>
      </c>
      <c r="S319" s="57">
        <f>IF($A319="","",IFERROR(INDEX(Offerte!$D$2:$D$81,MATCH($Q319,Offerte!$L$2:$L$81,0)),0))</f>
        <v/>
      </c>
      <c r="T319" s="57">
        <f>IF($A319="","",IFERROR(INDEX(Offerte!$G$2:$G$81,MATCH($Q319,Offerte!$L$2:$L$81,0)),"NO"))</f>
        <v/>
      </c>
    </row>
    <row r="320">
      <c r="A320" s="48">
        <f>IF(Offerte!$A12="","",Offerte!$A12)</f>
        <v/>
      </c>
      <c r="B320" s="48">
        <f>IF(Offerte!$A12="","",Offerte!$B12)</f>
        <v/>
      </c>
      <c r="C320" s="48">
        <f>IF(Offerte!$A12="","",Offerte!$C12)</f>
        <v/>
      </c>
      <c r="D320" s="48" t="inlineStr">
        <is>
          <t>B.4.1</t>
        </is>
      </c>
      <c r="E320" s="48" t="inlineStr">
        <is>
          <t>B</t>
        </is>
      </c>
      <c r="F320" s="48" t="inlineStr">
        <is>
          <t>Q</t>
        </is>
      </c>
      <c r="G320" s="48" t="inlineStr">
        <is>
          <t>higher</t>
        </is>
      </c>
      <c r="H320" s="48" t="n">
        <v>3</v>
      </c>
      <c r="I320" s="48" t="inlineStr">
        <is>
          <t>Percorrenze aggiuntive offerte nel Programma d'esercizio delle prime due fasi attuative</t>
        </is>
      </c>
      <c r="J320" s="73" t="n"/>
      <c r="K320" s="73" t="n"/>
      <c r="L320" s="73" t="n"/>
      <c r="M320" s="73" t="n"/>
      <c r="N320" s="57">
        <f>IF($A320="","",IFERROR(VALUE($J320),0))</f>
        <v/>
      </c>
      <c r="O320" s="57">
        <f>IF($A320="",0,IF(OR($S320&lt;&gt;1,COUNTA($J320:$M320)=0),0,IF(SUMPRODUCT(MAX(($C$5:$C$2484=$C320)*($D$5:$D$2484=$D320)*($S$5:$S$2484=1)*IFERROR($N$5:$N$2484*1,0)))&gt;0,ROUND($H320*($N320/SUMPRODUCT(MAX(($C$5:$C$2484=$C320)*($D$5:$D$2484=$D320)*($S$5:$S$2484=1)*IFERROR($N$5:$N$2484*1,0)))),4),0)))</f>
        <v/>
      </c>
      <c r="P320" s="48" t="inlineStr">
        <is>
          <t>vett*km</t>
        </is>
      </c>
      <c r="Q320" s="57">
        <f>IF($A320="","",$A320&amp;"|"&amp;$C320)</f>
        <v/>
      </c>
      <c r="R320" s="57">
        <f>IF($A320="","",$A320&amp;"|"&amp;$C320&amp;"|"&amp;$D320)</f>
        <v/>
      </c>
      <c r="S320" s="57">
        <f>IF($A320="","",IFERROR(INDEX(Offerte!$D$2:$D$81,MATCH($Q320,Offerte!$L$2:$L$81,0)),0))</f>
        <v/>
      </c>
      <c r="T320" s="57">
        <f>IF($A320="","",IFERROR(INDEX(Offerte!$G$2:$G$81,MATCH($Q320,Offerte!$L$2:$L$81,0)),"NO"))</f>
        <v/>
      </c>
    </row>
    <row r="321">
      <c r="A321" s="48">
        <f>IF(Offerte!$A12="","",Offerte!$A12)</f>
        <v/>
      </c>
      <c r="B321" s="48">
        <f>IF(Offerte!$A12="","",Offerte!$B12)</f>
        <v/>
      </c>
      <c r="C321" s="48">
        <f>IF(Offerte!$A12="","",Offerte!$C12)</f>
        <v/>
      </c>
      <c r="D321" s="48" t="inlineStr">
        <is>
          <t>B.5.1</t>
        </is>
      </c>
      <c r="E321" s="48" t="inlineStr">
        <is>
          <t>B</t>
        </is>
      </c>
      <c r="F321" s="48" t="inlineStr">
        <is>
          <t>D</t>
        </is>
      </c>
      <c r="G321" s="48" t="inlineStr">
        <is>
          <t>discretionary</t>
        </is>
      </c>
      <c r="H321" s="48" t="n">
        <v>2</v>
      </c>
      <c r="I321" s="48" t="inlineStr">
        <is>
          <t>Efficacia del progetto di servizi complementari DRT</t>
        </is>
      </c>
      <c r="J321" s="73" t="n"/>
      <c r="K321" s="73" t="n"/>
      <c r="L321" s="73" t="n"/>
      <c r="M321" s="73" t="n"/>
      <c r="N321" s="57">
        <f>IF($A321="","",MAX(0,MIN(1,IFERROR(VALUE($M321),0))))</f>
        <v/>
      </c>
      <c r="O321" s="57">
        <f>IF($A321="",0,IF(OR($S321&lt;&gt;1,COUNTA($J321:$M321)=0),0,IF(SUMPRODUCT(MAX(($C$5:$C$2484=$C321)*($D$5:$D$2484=$D321)*($S$5:$S$2484=1)*IFERROR($N$5:$N$2484*1,0)))&gt;0,ROUND($H321*($N321/SUMPRODUCT(MAX(($C$5:$C$2484=$C321)*($D$5:$D$2484=$D321)*($S$5:$S$2484=1)*IFERROR($N$5:$N$2484*1,0)))),4),0)))</f>
        <v/>
      </c>
      <c r="P321" s="48" t="inlineStr">
        <is>
          <t>coeff.</t>
        </is>
      </c>
      <c r="Q321" s="57">
        <f>IF($A321="","",$A321&amp;"|"&amp;$C321)</f>
        <v/>
      </c>
      <c r="R321" s="57">
        <f>IF($A321="","",$A321&amp;"|"&amp;$C321&amp;"|"&amp;$D321)</f>
        <v/>
      </c>
      <c r="S321" s="57">
        <f>IF($A321="","",IFERROR(INDEX(Offerte!$D$2:$D$81,MATCH($Q321,Offerte!$L$2:$L$81,0)),0))</f>
        <v/>
      </c>
      <c r="T321" s="57">
        <f>IF($A321="","",IFERROR(INDEX(Offerte!$G$2:$G$81,MATCH($Q321,Offerte!$L$2:$L$81,0)),"NO"))</f>
        <v/>
      </c>
    </row>
    <row r="322">
      <c r="A322" s="48">
        <f>IF(Offerte!$A12="","",Offerte!$A12)</f>
        <v/>
      </c>
      <c r="B322" s="48">
        <f>IF(Offerte!$A12="","",Offerte!$B12)</f>
        <v/>
      </c>
      <c r="C322" s="48">
        <f>IF(Offerte!$A12="","",Offerte!$C12)</f>
        <v/>
      </c>
      <c r="D322" s="48" t="inlineStr">
        <is>
          <t>C.1.1</t>
        </is>
      </c>
      <c r="E322" s="48" t="inlineStr">
        <is>
          <t>C</t>
        </is>
      </c>
      <c r="F322" s="48" t="inlineStr">
        <is>
          <t>Q</t>
        </is>
      </c>
      <c r="G322" s="48" t="inlineStr">
        <is>
          <t>higher</t>
        </is>
      </c>
      <c r="H322" s="48" t="n">
        <v>2</v>
      </c>
      <c r="I322" s="48" t="inlineStr">
        <is>
          <t>Tasso di copertura del servizio con telecamere BSD</t>
        </is>
      </c>
      <c r="J322" s="73" t="n"/>
      <c r="K322" s="73" t="n"/>
      <c r="L322" s="73" t="n"/>
      <c r="M322" s="73" t="n"/>
      <c r="N322" s="57">
        <f>IF($A322="","",IFERROR(VALUE($K322)/VALUE($L322),IFERROR(VALUE($J322),0)))</f>
        <v/>
      </c>
      <c r="O322" s="57">
        <f>IF($A322="",0,IF(OR($S322&lt;&gt;1,COUNTA($J322:$M322)=0),0,IF(SUMPRODUCT(MAX(($C$5:$C$2484=$C322)*($D$5:$D$2484=$D322)*($S$5:$S$2484=1)*IFERROR($N$5:$N$2484*1,0)))&gt;0,ROUND($H322*($N322/SUMPRODUCT(MAX(($C$5:$C$2484=$C322)*($D$5:$D$2484=$D322)*($S$5:$S$2484=1)*IFERROR($N$5:$N$2484*1,0)))),4),0)))</f>
        <v/>
      </c>
      <c r="P322" s="48" t="inlineStr">
        <is>
          <t>Autobus attrezzati con telecamere BSD / Autobus totali in offerta, incluse scorte</t>
        </is>
      </c>
      <c r="Q322" s="57">
        <f>IF($A322="","",$A322&amp;"|"&amp;$C322)</f>
        <v/>
      </c>
      <c r="R322" s="57">
        <f>IF($A322="","",$A322&amp;"|"&amp;$C322&amp;"|"&amp;$D322)</f>
        <v/>
      </c>
      <c r="S322" s="57">
        <f>IF($A322="","",IFERROR(INDEX(Offerte!$D$2:$D$81,MATCH($Q322,Offerte!$L$2:$L$81,0)),0))</f>
        <v/>
      </c>
      <c r="T322" s="57">
        <f>IF($A322="","",IFERROR(INDEX(Offerte!$G$2:$G$81,MATCH($Q322,Offerte!$L$2:$L$81,0)),"NO"))</f>
        <v/>
      </c>
    </row>
    <row r="323">
      <c r="A323" s="48">
        <f>IF(Offerte!$A12="","",Offerte!$A12)</f>
        <v/>
      </c>
      <c r="B323" s="48">
        <f>IF(Offerte!$A12="","",Offerte!$B12)</f>
        <v/>
      </c>
      <c r="C323" s="48">
        <f>IF(Offerte!$A12="","",Offerte!$C12)</f>
        <v/>
      </c>
      <c r="D323" s="48" t="inlineStr">
        <is>
          <t>C.1.2</t>
        </is>
      </c>
      <c r="E323" s="48" t="inlineStr">
        <is>
          <t>C</t>
        </is>
      </c>
      <c r="F323" s="48" t="inlineStr">
        <is>
          <t>Q</t>
        </is>
      </c>
      <c r="G323" s="48" t="inlineStr">
        <is>
          <t>higher</t>
        </is>
      </c>
      <c r="H323" s="48" t="n">
        <v>2</v>
      </c>
      <c r="I323" s="48" t="inlineStr">
        <is>
          <t>Tasso di copertura del servizio con telecamere ADAS</t>
        </is>
      </c>
      <c r="J323" s="73" t="n"/>
      <c r="K323" s="73" t="n"/>
      <c r="L323" s="73" t="n"/>
      <c r="M323" s="73" t="n"/>
      <c r="N323" s="57">
        <f>IF($A323="","",IFERROR(VALUE($K323)/VALUE($L323),IFERROR(VALUE($J323),0)))</f>
        <v/>
      </c>
      <c r="O323" s="57">
        <f>IF($A323="",0,IF(OR($S323&lt;&gt;1,COUNTA($J323:$M323)=0),0,IF(SUMPRODUCT(MAX(($C$5:$C$2484=$C323)*($D$5:$D$2484=$D323)*($S$5:$S$2484=1)*IFERROR($N$5:$N$2484*1,0)))&gt;0,ROUND($H323*($N323/SUMPRODUCT(MAX(($C$5:$C$2484=$C323)*($D$5:$D$2484=$D323)*($S$5:$S$2484=1)*IFERROR($N$5:$N$2484*1,0)))),4),0)))</f>
        <v/>
      </c>
      <c r="P323" s="48" t="inlineStr">
        <is>
          <t>Autobus attrezzati con telecamere ADAS / Autobus totali in offerta, incluse scorte</t>
        </is>
      </c>
      <c r="Q323" s="57">
        <f>IF($A323="","",$A323&amp;"|"&amp;$C323)</f>
        <v/>
      </c>
      <c r="R323" s="57">
        <f>IF($A323="","",$A323&amp;"|"&amp;$C323&amp;"|"&amp;$D323)</f>
        <v/>
      </c>
      <c r="S323" s="57">
        <f>IF($A323="","",IFERROR(INDEX(Offerte!$D$2:$D$81,MATCH($Q323,Offerte!$L$2:$L$81,0)),0))</f>
        <v/>
      </c>
      <c r="T323" s="57">
        <f>IF($A323="","",IFERROR(INDEX(Offerte!$G$2:$G$81,MATCH($Q323,Offerte!$L$2:$L$81,0)),"NO"))</f>
        <v/>
      </c>
    </row>
    <row r="324">
      <c r="A324" s="48">
        <f>IF(Offerte!$A12="","",Offerte!$A12)</f>
        <v/>
      </c>
      <c r="B324" s="48">
        <f>IF(Offerte!$A12="","",Offerte!$B12)</f>
        <v/>
      </c>
      <c r="C324" s="48">
        <f>IF(Offerte!$A12="","",Offerte!$C12)</f>
        <v/>
      </c>
      <c r="D324" s="48" t="inlineStr">
        <is>
          <t>C.2.1</t>
        </is>
      </c>
      <c r="E324" s="48" t="inlineStr">
        <is>
          <t>C</t>
        </is>
      </c>
      <c r="F324" s="48" t="inlineStr">
        <is>
          <t>Q</t>
        </is>
      </c>
      <c r="G324" s="48" t="inlineStr">
        <is>
          <t>higher</t>
        </is>
      </c>
      <c r="H324" s="48" t="n">
        <v>3</v>
      </c>
      <c r="I324" s="48" t="inlineStr">
        <is>
          <t>Tasso di copertura del servizio con telecamere di bordo di videosorveglianza</t>
        </is>
      </c>
      <c r="J324" s="73" t="n"/>
      <c r="K324" s="73" t="n"/>
      <c r="L324" s="73" t="n"/>
      <c r="M324" s="73" t="n"/>
      <c r="N324" s="57">
        <f>IF($A324="","",IFERROR(VALUE($K324)/VALUE($L324),IFERROR(VALUE($J324),0)))</f>
        <v/>
      </c>
      <c r="O324" s="57">
        <f>IF($A324="",0,IF(OR($S324&lt;&gt;1,COUNTA($J324:$M324)=0),0,IF(SUMPRODUCT(MAX(($C$5:$C$2484=$C324)*($D$5:$D$2484=$D324)*($S$5:$S$2484=1)*IFERROR($N$5:$N$2484*1,0)))&gt;0,ROUND($H324*($N324/SUMPRODUCT(MAX(($C$5:$C$2484=$C324)*($D$5:$D$2484=$D324)*($S$5:$S$2484=1)*IFERROR($N$5:$N$2484*1,0)))),4),0)))</f>
        <v/>
      </c>
      <c r="P324" s="48" t="inlineStr">
        <is>
          <t>Autobus attrezzati con videosorveglianza / Autobus totali in offerta, incluse scorte</t>
        </is>
      </c>
      <c r="Q324" s="57">
        <f>IF($A324="","",$A324&amp;"|"&amp;$C324)</f>
        <v/>
      </c>
      <c r="R324" s="57">
        <f>IF($A324="","",$A324&amp;"|"&amp;$C324&amp;"|"&amp;$D324)</f>
        <v/>
      </c>
      <c r="S324" s="57">
        <f>IF($A324="","",IFERROR(INDEX(Offerte!$D$2:$D$81,MATCH($Q324,Offerte!$L$2:$L$81,0)),0))</f>
        <v/>
      </c>
      <c r="T324" s="57">
        <f>IF($A324="","",IFERROR(INDEX(Offerte!$G$2:$G$81,MATCH($Q324,Offerte!$L$2:$L$81,0)),"NO"))</f>
        <v/>
      </c>
    </row>
    <row r="325">
      <c r="A325" s="48">
        <f>IF(Offerte!$A12="","",Offerte!$A12)</f>
        <v/>
      </c>
      <c r="B325" s="48">
        <f>IF(Offerte!$A12="","",Offerte!$B12)</f>
        <v/>
      </c>
      <c r="C325" s="48">
        <f>IF(Offerte!$A12="","",Offerte!$C12)</f>
        <v/>
      </c>
      <c r="D325" s="48" t="inlineStr">
        <is>
          <t>C.2.2</t>
        </is>
      </c>
      <c r="E325" s="48" t="inlineStr">
        <is>
          <t>C</t>
        </is>
      </c>
      <c r="F325" s="48" t="inlineStr">
        <is>
          <t>T</t>
        </is>
      </c>
      <c r="G325" s="48" t="inlineStr">
        <is>
          <t>tabular</t>
        </is>
      </c>
      <c r="H325" s="48" t="n">
        <v>1</v>
      </c>
      <c r="I325" s="48" t="inlineStr">
        <is>
          <t>Software video/audio analisi per situazioni di pericolo</t>
        </is>
      </c>
      <c r="J325" s="73" t="n"/>
      <c r="K325" s="73" t="n"/>
      <c r="L325" s="73" t="n"/>
      <c r="M325" s="73" t="n"/>
      <c r="N325" s="57">
        <f>IF($A325="","",IF(IFERROR(VALUE($M325),0)=1,1,0))</f>
        <v/>
      </c>
      <c r="O325" s="57">
        <f>IF($A325="",0,IF(OR($S325&lt;&gt;1,COUNTA($J325:$M325)=0),0,IF($N325=1,$H325,0)))</f>
        <v/>
      </c>
      <c r="P325" s="48" t="inlineStr">
        <is>
          <t>sì/no</t>
        </is>
      </c>
      <c r="Q325" s="57">
        <f>IF($A325="","",$A325&amp;"|"&amp;$C325)</f>
        <v/>
      </c>
      <c r="R325" s="57">
        <f>IF($A325="","",$A325&amp;"|"&amp;$C325&amp;"|"&amp;$D325)</f>
        <v/>
      </c>
      <c r="S325" s="57">
        <f>IF($A325="","",IFERROR(INDEX(Offerte!$D$2:$D$81,MATCH($Q325,Offerte!$L$2:$L$81,0)),0))</f>
        <v/>
      </c>
      <c r="T325" s="57">
        <f>IF($A325="","",IFERROR(INDEX(Offerte!$G$2:$G$81,MATCH($Q325,Offerte!$L$2:$L$81,0)),"NO"))</f>
        <v/>
      </c>
    </row>
    <row r="326">
      <c r="A326" s="48">
        <f>IF(Offerte!$A12="","",Offerte!$A12)</f>
        <v/>
      </c>
      <c r="B326" s="48">
        <f>IF(Offerte!$A12="","",Offerte!$B12)</f>
        <v/>
      </c>
      <c r="C326" s="48">
        <f>IF(Offerte!$A12="","",Offerte!$C12)</f>
        <v/>
      </c>
      <c r="D326" s="48" t="inlineStr">
        <is>
          <t>C.2.3</t>
        </is>
      </c>
      <c r="E326" s="48" t="inlineStr">
        <is>
          <t>C</t>
        </is>
      </c>
      <c r="F326" s="48" t="inlineStr">
        <is>
          <t>T</t>
        </is>
      </c>
      <c r="G326" s="48" t="inlineStr">
        <is>
          <t>tabular</t>
        </is>
      </c>
      <c r="H326" s="48" t="n">
        <v>1</v>
      </c>
      <c r="I326" s="48" t="inlineStr">
        <is>
          <t>Collegamento con centrale qualificata di pronto intervento</t>
        </is>
      </c>
      <c r="J326" s="73" t="n"/>
      <c r="K326" s="73" t="n"/>
      <c r="L326" s="73" t="n"/>
      <c r="M326" s="73" t="n"/>
      <c r="N326" s="57">
        <f>IF($A326="","",IF(IFERROR(VALUE($M326),0)=1,1,0))</f>
        <v/>
      </c>
      <c r="O326" s="57">
        <f>IF($A326="",0,IF(OR($S326&lt;&gt;1,COUNTA($J326:$M326)=0),0,IF($N326=1,$H326,0)))</f>
        <v/>
      </c>
      <c r="P326" s="48" t="inlineStr">
        <is>
          <t>sì/no</t>
        </is>
      </c>
      <c r="Q326" s="57">
        <f>IF($A326="","",$A326&amp;"|"&amp;$C326)</f>
        <v/>
      </c>
      <c r="R326" s="57">
        <f>IF($A326="","",$A326&amp;"|"&amp;$C326&amp;"|"&amp;$D326)</f>
        <v/>
      </c>
      <c r="S326" s="57">
        <f>IF($A326="","",IFERROR(INDEX(Offerte!$D$2:$D$81,MATCH($Q326,Offerte!$L$2:$L$81,0)),0))</f>
        <v/>
      </c>
      <c r="T326" s="57">
        <f>IF($A326="","",IFERROR(INDEX(Offerte!$G$2:$G$81,MATCH($Q326,Offerte!$L$2:$L$81,0)),"NO"))</f>
        <v/>
      </c>
    </row>
    <row r="327">
      <c r="A327" s="48">
        <f>IF(Offerte!$A12="","",Offerte!$A12)</f>
        <v/>
      </c>
      <c r="B327" s="48">
        <f>IF(Offerte!$A12="","",Offerte!$B12)</f>
        <v/>
      </c>
      <c r="C327" s="48">
        <f>IF(Offerte!$A12="","",Offerte!$C12)</f>
        <v/>
      </c>
      <c r="D327" s="48" t="inlineStr">
        <is>
          <t>C.2.4</t>
        </is>
      </c>
      <c r="E327" s="48" t="inlineStr">
        <is>
          <t>C</t>
        </is>
      </c>
      <c r="F327" s="48" t="inlineStr">
        <is>
          <t>Q</t>
        </is>
      </c>
      <c r="G327" s="48" t="inlineStr">
        <is>
          <t>higher</t>
        </is>
      </c>
      <c r="H327" s="48" t="n">
        <v>1</v>
      </c>
      <c r="I327" s="48" t="inlineStr">
        <is>
          <t>Tasso di copertura del servizio con dispositivi per la chiamata di emergenza del conducente</t>
        </is>
      </c>
      <c r="J327" s="73" t="n"/>
      <c r="K327" s="73" t="n"/>
      <c r="L327" s="73" t="n"/>
      <c r="M327" s="73" t="n"/>
      <c r="N327" s="57">
        <f>IF($A327="","",IFERROR(VALUE($K327)/VALUE($L327),IFERROR(VALUE($J327),0)))</f>
        <v/>
      </c>
      <c r="O327" s="57">
        <f>IF($A327="",0,IF(OR($S327&lt;&gt;1,COUNTA($J327:$M327)=0),0,IF(SUMPRODUCT(MAX(($C$5:$C$2484=$C327)*($D$5:$D$2484=$D327)*($S$5:$S$2484=1)*IFERROR($N$5:$N$2484*1,0)))&gt;0,ROUND($H327*($N327/SUMPRODUCT(MAX(($C$5:$C$2484=$C327)*($D$5:$D$2484=$D327)*($S$5:$S$2484=1)*IFERROR($N$5:$N$2484*1,0)))),4),0)))</f>
        <v/>
      </c>
      <c r="P327" s="48" t="inlineStr">
        <is>
          <t>Autobus attrezzati con chiamata di emergenza / Autobus totali in offerta, incluse scorte</t>
        </is>
      </c>
      <c r="Q327" s="57">
        <f>IF($A327="","",$A327&amp;"|"&amp;$C327)</f>
        <v/>
      </c>
      <c r="R327" s="57">
        <f>IF($A327="","",$A327&amp;"|"&amp;$C327&amp;"|"&amp;$D327)</f>
        <v/>
      </c>
      <c r="S327" s="57">
        <f>IF($A327="","",IFERROR(INDEX(Offerte!$D$2:$D$81,MATCH($Q327,Offerte!$L$2:$L$81,0)),0))</f>
        <v/>
      </c>
      <c r="T327" s="57">
        <f>IF($A327="","",IFERROR(INDEX(Offerte!$G$2:$G$81,MATCH($Q327,Offerte!$L$2:$L$81,0)),"NO"))</f>
        <v/>
      </c>
    </row>
    <row r="328">
      <c r="A328" s="48">
        <f>IF(Offerte!$A12="","",Offerte!$A12)</f>
        <v/>
      </c>
      <c r="B328" s="48">
        <f>IF(Offerte!$A12="","",Offerte!$B12)</f>
        <v/>
      </c>
      <c r="C328" s="48">
        <f>IF(Offerte!$A12="","",Offerte!$C12)</f>
        <v/>
      </c>
      <c r="D328" s="48" t="inlineStr">
        <is>
          <t>C.3.1</t>
        </is>
      </c>
      <c r="E328" s="48" t="inlineStr">
        <is>
          <t>C</t>
        </is>
      </c>
      <c r="F328" s="48" t="inlineStr">
        <is>
          <t>Q</t>
        </is>
      </c>
      <c r="G328" s="48" t="inlineStr">
        <is>
          <t>higher</t>
        </is>
      </c>
      <c r="H328" s="48" t="n">
        <v>2</v>
      </c>
      <c r="I328" s="48" t="inlineStr">
        <is>
          <t>Tasso di copertura del servizio con dispositivi di informazione dinamica a bordo mezzo</t>
        </is>
      </c>
      <c r="J328" s="73" t="n"/>
      <c r="K328" s="73" t="n"/>
      <c r="L328" s="73" t="n"/>
      <c r="M328" s="73" t="n"/>
      <c r="N328" s="57">
        <f>IF($A328="","",IFERROR(VALUE($K328)/VALUE($L328),IFERROR(VALUE($J328),0)))</f>
        <v/>
      </c>
      <c r="O328" s="57">
        <f>IF($A328="",0,IF(OR($S328&lt;&gt;1,COUNTA($J328:$M328)=0),0,IF(SUMPRODUCT(MAX(($C$5:$C$2484=$C328)*($D$5:$D$2484=$D328)*($S$5:$S$2484=1)*IFERROR($N$5:$N$2484*1,0)))&gt;0,ROUND($H328*($N328/SUMPRODUCT(MAX(($C$5:$C$2484=$C328)*($D$5:$D$2484=$D328)*($S$5:$S$2484=1)*IFERROR($N$5:$N$2484*1,0)))),4),0)))</f>
        <v/>
      </c>
      <c r="P328" s="48" t="inlineStr">
        <is>
          <t>Autobus con monitor e indicatori vocali / Autobus totali in offerta, incluse scorte</t>
        </is>
      </c>
      <c r="Q328" s="57">
        <f>IF($A328="","",$A328&amp;"|"&amp;$C328)</f>
        <v/>
      </c>
      <c r="R328" s="57">
        <f>IF($A328="","",$A328&amp;"|"&amp;$C328&amp;"|"&amp;$D328)</f>
        <v/>
      </c>
      <c r="S328" s="57">
        <f>IF($A328="","",IFERROR(INDEX(Offerte!$D$2:$D$81,MATCH($Q328,Offerte!$L$2:$L$81,0)),0))</f>
        <v/>
      </c>
      <c r="T328" s="57">
        <f>IF($A328="","",IFERROR(INDEX(Offerte!$G$2:$G$81,MATCH($Q328,Offerte!$L$2:$L$81,0)),"NO"))</f>
        <v/>
      </c>
    </row>
    <row r="329">
      <c r="A329" s="48">
        <f>IF(Offerte!$A12="","",Offerte!$A12)</f>
        <v/>
      </c>
      <c r="B329" s="48">
        <f>IF(Offerte!$A12="","",Offerte!$B12)</f>
        <v/>
      </c>
      <c r="C329" s="48">
        <f>IF(Offerte!$A12="","",Offerte!$C12)</f>
        <v/>
      </c>
      <c r="D329" s="48" t="inlineStr">
        <is>
          <t>C.3.2</t>
        </is>
      </c>
      <c r="E329" s="48" t="inlineStr">
        <is>
          <t>C</t>
        </is>
      </c>
      <c r="F329" s="48" t="inlineStr">
        <is>
          <t>T</t>
        </is>
      </c>
      <c r="G329" s="48" t="inlineStr">
        <is>
          <t>tabular</t>
        </is>
      </c>
      <c r="H329" s="48" t="n">
        <v>2</v>
      </c>
      <c r="I329" s="48" t="inlineStr">
        <is>
          <t>Informazioni a bordo su coincidenze ai nodi</t>
        </is>
      </c>
      <c r="J329" s="73" t="n"/>
      <c r="K329" s="73" t="n"/>
      <c r="L329" s="73" t="n"/>
      <c r="M329" s="73" t="n"/>
      <c r="N329" s="57">
        <f>IF($A329="","",IF(IFERROR(VALUE($M329),0)=1,1,0))</f>
        <v/>
      </c>
      <c r="O329" s="57">
        <f>IF($A329="",0,IF(OR($S329&lt;&gt;1,COUNTA($J329:$M329)=0),0,IF(AND($N329=1,IFERROR(SUMIFS($N$5:$N$2484,$Q$5:$Q$2484,$Q329,$D$5:$D$2484,"C.3.1"),0)&gt;=0.5),$H329,0)))</f>
        <v/>
      </c>
      <c r="P329" s="48" t="inlineStr">
        <is>
          <t>Dipende da C.3.1 &gt;= 0.5</t>
        </is>
      </c>
      <c r="Q329" s="57">
        <f>IF($A329="","",$A329&amp;"|"&amp;$C329)</f>
        <v/>
      </c>
      <c r="R329" s="57">
        <f>IF($A329="","",$A329&amp;"|"&amp;$C329&amp;"|"&amp;$D329)</f>
        <v/>
      </c>
      <c r="S329" s="57">
        <f>IF($A329="","",IFERROR(INDEX(Offerte!$D$2:$D$81,MATCH($Q329,Offerte!$L$2:$L$81,0)),0))</f>
        <v/>
      </c>
      <c r="T329" s="57">
        <f>IF($A329="","",IFERROR(INDEX(Offerte!$G$2:$G$81,MATCH($Q329,Offerte!$L$2:$L$81,0)),"NO"))</f>
        <v/>
      </c>
    </row>
    <row r="330">
      <c r="A330" s="48">
        <f>IF(Offerte!$A12="","",Offerte!$A12)</f>
        <v/>
      </c>
      <c r="B330" s="48">
        <f>IF(Offerte!$A12="","",Offerte!$B12)</f>
        <v/>
      </c>
      <c r="C330" s="48">
        <f>IF(Offerte!$A12="","",Offerte!$C12)</f>
        <v/>
      </c>
      <c r="D330" s="48" t="inlineStr">
        <is>
          <t>D.1.1</t>
        </is>
      </c>
      <c r="E330" s="48" t="inlineStr">
        <is>
          <t>D</t>
        </is>
      </c>
      <c r="F330" s="48" t="inlineStr">
        <is>
          <t>Q</t>
        </is>
      </c>
      <c r="G330" s="48" t="inlineStr">
        <is>
          <t>higher</t>
        </is>
      </c>
      <c r="H330" s="48" t="n">
        <v>3</v>
      </c>
      <c r="I330" s="48" t="inlineStr">
        <is>
          <t>Installazione di pensiline</t>
        </is>
      </c>
      <c r="J330" s="73" t="n"/>
      <c r="K330" s="73" t="n"/>
      <c r="L330" s="73" t="n"/>
      <c r="M330" s="73" t="n"/>
      <c r="N330" s="57">
        <f>IF($A330="","",IFERROR(VALUE($J330),0))</f>
        <v/>
      </c>
      <c r="O330" s="57">
        <f>IF($A330="",0,IF(OR($S330&lt;&gt;1,COUNTA($J330:$M330)=0),0,IF(SUMPRODUCT(MAX(($C$5:$C$2484=$C330)*($D$5:$D$2484=$D330)*($S$5:$S$2484=1)*IFERROR($N$5:$N$2484*1,0)))&gt;0,ROUND($H330*($N330/SUMPRODUCT(MAX(($C$5:$C$2484=$C330)*($D$5:$D$2484=$D330)*($S$5:$S$2484=1)*IFERROR($N$5:$N$2484*1,0)))),4),0)))</f>
        <v/>
      </c>
      <c r="P330" s="48" t="inlineStr">
        <is>
          <t>fermate</t>
        </is>
      </c>
      <c r="Q330" s="57">
        <f>IF($A330="","",$A330&amp;"|"&amp;$C330)</f>
        <v/>
      </c>
      <c r="R330" s="57">
        <f>IF($A330="","",$A330&amp;"|"&amp;$C330&amp;"|"&amp;$D330)</f>
        <v/>
      </c>
      <c r="S330" s="57">
        <f>IF($A330="","",IFERROR(INDEX(Offerte!$D$2:$D$81,MATCH($Q330,Offerte!$L$2:$L$81,0)),0))</f>
        <v/>
      </c>
      <c r="T330" s="57">
        <f>IF($A330="","",IFERROR(INDEX(Offerte!$G$2:$G$81,MATCH($Q330,Offerte!$L$2:$L$81,0)),"NO"))</f>
        <v/>
      </c>
    </row>
    <row r="331">
      <c r="A331" s="48">
        <f>IF(Offerte!$A12="","",Offerte!$A12)</f>
        <v/>
      </c>
      <c r="B331" s="48">
        <f>IF(Offerte!$A12="","",Offerte!$B12)</f>
        <v/>
      </c>
      <c r="C331" s="48">
        <f>IF(Offerte!$A12="","",Offerte!$C12)</f>
        <v/>
      </c>
      <c r="D331" s="48" t="inlineStr">
        <is>
          <t>D.1.2</t>
        </is>
      </c>
      <c r="E331" s="48" t="inlineStr">
        <is>
          <t>D</t>
        </is>
      </c>
      <c r="F331" s="48" t="inlineStr">
        <is>
          <t>Q</t>
        </is>
      </c>
      <c r="G331" s="48" t="inlineStr">
        <is>
          <t>higher</t>
        </is>
      </c>
      <c r="H331" s="48" t="n">
        <v>3</v>
      </c>
      <c r="I331" s="48" t="inlineStr">
        <is>
          <t>Installazione di paline di fermata conformi alla DGR 581/2023</t>
        </is>
      </c>
      <c r="J331" s="73" t="n"/>
      <c r="K331" s="73" t="n"/>
      <c r="L331" s="73" t="n"/>
      <c r="M331" s="73" t="n"/>
      <c r="N331" s="57">
        <f>IF($A331="","",IFERROR(VALUE($J331),0))</f>
        <v/>
      </c>
      <c r="O331" s="57">
        <f>IF($A331="",0,IF(OR($S331&lt;&gt;1,COUNTA($J331:$M331)=0),0,IF(SUMPRODUCT(MAX(($C$5:$C$2484=$C331)*($D$5:$D$2484=$D331)*($S$5:$S$2484=1)*IFERROR($N$5:$N$2484*1,0)))&gt;0,ROUND($H331*($N331/SUMPRODUCT(MAX(($C$5:$C$2484=$C331)*($D$5:$D$2484=$D331)*($S$5:$S$2484=1)*IFERROR($N$5:$N$2484*1,0)))),4),0)))</f>
        <v/>
      </c>
      <c r="P331" s="48" t="inlineStr">
        <is>
          <t>fermate</t>
        </is>
      </c>
      <c r="Q331" s="57">
        <f>IF($A331="","",$A331&amp;"|"&amp;$C331)</f>
        <v/>
      </c>
      <c r="R331" s="57">
        <f>IF($A331="","",$A331&amp;"|"&amp;$C331&amp;"|"&amp;$D331)</f>
        <v/>
      </c>
      <c r="S331" s="57">
        <f>IF($A331="","",IFERROR(INDEX(Offerte!$D$2:$D$81,MATCH($Q331,Offerte!$L$2:$L$81,0)),0))</f>
        <v/>
      </c>
      <c r="T331" s="57">
        <f>IF($A331="","",IFERROR(INDEX(Offerte!$G$2:$G$81,MATCH($Q331,Offerte!$L$2:$L$81,0)),"NO"))</f>
        <v/>
      </c>
    </row>
    <row r="332">
      <c r="A332" s="48">
        <f>IF(Offerte!$A12="","",Offerte!$A12)</f>
        <v/>
      </c>
      <c r="B332" s="48">
        <f>IF(Offerte!$A12="","",Offerte!$B12)</f>
        <v/>
      </c>
      <c r="C332" s="48">
        <f>IF(Offerte!$A12="","",Offerte!$C12)</f>
        <v/>
      </c>
      <c r="D332" s="48" t="inlineStr">
        <is>
          <t>D.1.3</t>
        </is>
      </c>
      <c r="E332" s="48" t="inlineStr">
        <is>
          <t>D</t>
        </is>
      </c>
      <c r="F332" s="48" t="inlineStr">
        <is>
          <t>Q</t>
        </is>
      </c>
      <c r="G332" s="48" t="inlineStr">
        <is>
          <t>higher</t>
        </is>
      </c>
      <c r="H332" s="48" t="n">
        <v>2</v>
      </c>
      <c r="I332" s="48" t="inlineStr">
        <is>
          <t>Display informativi connessi alle fermate</t>
        </is>
      </c>
      <c r="J332" s="73" t="n"/>
      <c r="K332" s="73" t="n"/>
      <c r="L332" s="73" t="n"/>
      <c r="M332" s="73" t="n"/>
      <c r="N332" s="57">
        <f>IF($A332="","",IFERROR(VALUE($J332),0))</f>
        <v/>
      </c>
      <c r="O332" s="57">
        <f>IF($A332="",0,IF(OR($S332&lt;&gt;1,COUNTA($J332:$M332)=0),0,IF(SUMPRODUCT(MAX(($C$5:$C$2484=$C332)*($D$5:$D$2484=$D332)*($S$5:$S$2484=1)*IFERROR($N$5:$N$2484*1,0)))&gt;0,ROUND($H332*($N332/SUMPRODUCT(MAX(($C$5:$C$2484=$C332)*($D$5:$D$2484=$D332)*($S$5:$S$2484=1)*IFERROR($N$5:$N$2484*1,0)))),4),0)))</f>
        <v/>
      </c>
      <c r="P332" s="48" t="inlineStr">
        <is>
          <t>fermate</t>
        </is>
      </c>
      <c r="Q332" s="57">
        <f>IF($A332="","",$A332&amp;"|"&amp;$C332)</f>
        <v/>
      </c>
      <c r="R332" s="57">
        <f>IF($A332="","",$A332&amp;"|"&amp;$C332&amp;"|"&amp;$D332)</f>
        <v/>
      </c>
      <c r="S332" s="57">
        <f>IF($A332="","",IFERROR(INDEX(Offerte!$D$2:$D$81,MATCH($Q332,Offerte!$L$2:$L$81,0)),0))</f>
        <v/>
      </c>
      <c r="T332" s="57">
        <f>IF($A332="","",IFERROR(INDEX(Offerte!$G$2:$G$81,MATCH($Q332,Offerte!$L$2:$L$81,0)),"NO"))</f>
        <v/>
      </c>
    </row>
    <row r="333">
      <c r="A333" s="48">
        <f>IF(Offerte!$A12="","",Offerte!$A12)</f>
        <v/>
      </c>
      <c r="B333" s="48">
        <f>IF(Offerte!$A12="","",Offerte!$B12)</f>
        <v/>
      </c>
      <c r="C333" s="48">
        <f>IF(Offerte!$A12="","",Offerte!$C12)</f>
        <v/>
      </c>
      <c r="D333" s="48" t="inlineStr">
        <is>
          <t>D.2.1</t>
        </is>
      </c>
      <c r="E333" s="48" t="inlineStr">
        <is>
          <t>D</t>
        </is>
      </c>
      <c r="F333" s="48" t="inlineStr">
        <is>
          <t>Q</t>
        </is>
      </c>
      <c r="G333" s="48" t="inlineStr">
        <is>
          <t>higher</t>
        </is>
      </c>
      <c r="H333" s="48" t="n">
        <v>2</v>
      </c>
      <c r="I333" s="48" t="inlineStr">
        <is>
          <t>Segnali tattili Loges-Vet-Evolution</t>
        </is>
      </c>
      <c r="J333" s="73" t="n"/>
      <c r="K333" s="73" t="n"/>
      <c r="L333" s="73" t="n"/>
      <c r="M333" s="73" t="n"/>
      <c r="N333" s="57">
        <f>IF($A333="","",IFERROR(VALUE($J333),0))</f>
        <v/>
      </c>
      <c r="O333" s="57">
        <f>IF($A333="",0,IF(OR($S333&lt;&gt;1,COUNTA($J333:$M333)=0),0,IF(SUMPRODUCT(MAX(($C$5:$C$2484=$C333)*($D$5:$D$2484=$D333)*($S$5:$S$2484=1)*IFERROR($N$5:$N$2484*1,0)))&gt;0,ROUND($H333*($N333/SUMPRODUCT(MAX(($C$5:$C$2484=$C333)*($D$5:$D$2484=$D333)*($S$5:$S$2484=1)*IFERROR($N$5:$N$2484*1,0)))),4),0)))</f>
        <v/>
      </c>
      <c r="P333" s="48" t="inlineStr">
        <is>
          <t>fermate</t>
        </is>
      </c>
      <c r="Q333" s="57">
        <f>IF($A333="","",$A333&amp;"|"&amp;$C333)</f>
        <v/>
      </c>
      <c r="R333" s="57">
        <f>IF($A333="","",$A333&amp;"|"&amp;$C333&amp;"|"&amp;$D333)</f>
        <v/>
      </c>
      <c r="S333" s="57">
        <f>IF($A333="","",IFERROR(INDEX(Offerte!$D$2:$D$81,MATCH($Q333,Offerte!$L$2:$L$81,0)),0))</f>
        <v/>
      </c>
      <c r="T333" s="57">
        <f>IF($A333="","",IFERROR(INDEX(Offerte!$G$2:$G$81,MATCH($Q333,Offerte!$L$2:$L$81,0)),"NO"))</f>
        <v/>
      </c>
    </row>
    <row r="334">
      <c r="A334" s="48">
        <f>IF(Offerte!$A12="","",Offerte!$A12)</f>
        <v/>
      </c>
      <c r="B334" s="48">
        <f>IF(Offerte!$A12="","",Offerte!$B12)</f>
        <v/>
      </c>
      <c r="C334" s="48">
        <f>IF(Offerte!$A12="","",Offerte!$C12)</f>
        <v/>
      </c>
      <c r="D334" s="48" t="inlineStr">
        <is>
          <t>E.1.1</t>
        </is>
      </c>
      <c r="E334" s="48" t="inlineStr">
        <is>
          <t>E</t>
        </is>
      </c>
      <c r="F334" s="48" t="inlineStr">
        <is>
          <t>T</t>
        </is>
      </c>
      <c r="G334" s="48" t="inlineStr">
        <is>
          <t>tabular</t>
        </is>
      </c>
      <c r="H334" s="48" t="n">
        <v>2</v>
      </c>
      <c r="I334" s="48" t="inlineStr">
        <is>
          <t>Mobile app con travel planner PRM</t>
        </is>
      </c>
      <c r="J334" s="73" t="n"/>
      <c r="K334" s="73" t="n"/>
      <c r="L334" s="73" t="n"/>
      <c r="M334" s="73" t="n"/>
      <c r="N334" s="57">
        <f>IF($A334="","",IF(IFERROR(VALUE($M334),0)=1,1,0))</f>
        <v/>
      </c>
      <c r="O334" s="57">
        <f>IF($A334="",0,IF(OR($S334&lt;&gt;1,COUNTA($J334:$M334)=0),0,IF($N334=1,$H334,0)))</f>
        <v/>
      </c>
      <c r="P334" s="48" t="inlineStr">
        <is>
          <t>sì/no</t>
        </is>
      </c>
      <c r="Q334" s="57">
        <f>IF($A334="","",$A334&amp;"|"&amp;$C334)</f>
        <v/>
      </c>
      <c r="R334" s="57">
        <f>IF($A334="","",$A334&amp;"|"&amp;$C334&amp;"|"&amp;$D334)</f>
        <v/>
      </c>
      <c r="S334" s="57">
        <f>IF($A334="","",IFERROR(INDEX(Offerte!$D$2:$D$81,MATCH($Q334,Offerte!$L$2:$L$81,0)),0))</f>
        <v/>
      </c>
      <c r="T334" s="57">
        <f>IF($A334="","",IFERROR(INDEX(Offerte!$G$2:$G$81,MATCH($Q334,Offerte!$L$2:$L$81,0)),"NO"))</f>
        <v/>
      </c>
    </row>
    <row r="335">
      <c r="A335" s="48">
        <f>IF(Offerte!$A12="","",Offerte!$A12)</f>
        <v/>
      </c>
      <c r="B335" s="48">
        <f>IF(Offerte!$A12="","",Offerte!$B12)</f>
        <v/>
      </c>
      <c r="C335" s="48">
        <f>IF(Offerte!$A12="","",Offerte!$C12)</f>
        <v/>
      </c>
      <c r="D335" s="48" t="inlineStr">
        <is>
          <t>E.2.1</t>
        </is>
      </c>
      <c r="E335" s="48" t="inlineStr">
        <is>
          <t>E</t>
        </is>
      </c>
      <c r="F335" s="48" t="inlineStr">
        <is>
          <t>D</t>
        </is>
      </c>
      <c r="G335" s="48" t="inlineStr">
        <is>
          <t>discretionary</t>
        </is>
      </c>
      <c r="H335" s="48" t="n">
        <v>2</v>
      </c>
      <c r="I335" s="48" t="inlineStr">
        <is>
          <t>Altre azioni informative e rapporti con gli utenti</t>
        </is>
      </c>
      <c r="J335" s="73" t="n"/>
      <c r="K335" s="73" t="n"/>
      <c r="L335" s="73" t="n"/>
      <c r="M335" s="73" t="n"/>
      <c r="N335" s="57">
        <f>IF($A335="","",MAX(0,MIN(1,IFERROR(VALUE($M335),0))))</f>
        <v/>
      </c>
      <c r="O335" s="57">
        <f>IF($A335="",0,IF(OR($S335&lt;&gt;1,COUNTA($J335:$M335)=0),0,IF(SUMPRODUCT(MAX(($C$5:$C$2484=$C335)*($D$5:$D$2484=$D335)*($S$5:$S$2484=1)*IFERROR($N$5:$N$2484*1,0)))&gt;0,ROUND($H335*($N335/SUMPRODUCT(MAX(($C$5:$C$2484=$C335)*($D$5:$D$2484=$D335)*($S$5:$S$2484=1)*IFERROR($N$5:$N$2484*1,0)))),4),0)))</f>
        <v/>
      </c>
      <c r="P335" s="48" t="inlineStr">
        <is>
          <t>coeff.</t>
        </is>
      </c>
      <c r="Q335" s="57">
        <f>IF($A335="","",$A335&amp;"|"&amp;$C335)</f>
        <v/>
      </c>
      <c r="R335" s="57">
        <f>IF($A335="","",$A335&amp;"|"&amp;$C335&amp;"|"&amp;$D335)</f>
        <v/>
      </c>
      <c r="S335" s="57">
        <f>IF($A335="","",IFERROR(INDEX(Offerte!$D$2:$D$81,MATCH($Q335,Offerte!$L$2:$L$81,0)),0))</f>
        <v/>
      </c>
      <c r="T335" s="57">
        <f>IF($A335="","",IFERROR(INDEX(Offerte!$G$2:$G$81,MATCH($Q335,Offerte!$L$2:$L$81,0)),"NO"))</f>
        <v/>
      </c>
    </row>
    <row r="336">
      <c r="A336" s="48">
        <f>IF(Offerte!$A12="","",Offerte!$A12)</f>
        <v/>
      </c>
      <c r="B336" s="48">
        <f>IF(Offerte!$A12="","",Offerte!$B12)</f>
        <v/>
      </c>
      <c r="C336" s="48">
        <f>IF(Offerte!$A12="","",Offerte!$C12)</f>
        <v/>
      </c>
      <c r="D336" s="48" t="inlineStr">
        <is>
          <t>F.1.1</t>
        </is>
      </c>
      <c r="E336" s="48" t="inlineStr">
        <is>
          <t>F</t>
        </is>
      </c>
      <c r="F336" s="48" t="inlineStr">
        <is>
          <t>Q</t>
        </is>
      </c>
      <c r="G336" s="48" t="inlineStr">
        <is>
          <t>lower</t>
        </is>
      </c>
      <c r="H336" s="48" t="n">
        <v>7</v>
      </c>
      <c r="I336" s="48" t="inlineStr">
        <is>
          <t>Performance ambientali del parco mezzi adibito al servizio - I_CEA</t>
        </is>
      </c>
      <c r="J336" s="73" t="n"/>
      <c r="K336" s="73" t="n"/>
      <c r="L336" s="73" t="n"/>
      <c r="M336" s="73" t="n"/>
      <c r="N336" s="57">
        <f>IF($A336="","",IFERROR(VALUE($J336),0))</f>
        <v/>
      </c>
      <c r="O336" s="57">
        <f>IF($A336="",0,IF(OR($S336&lt;&gt;1,COUNTA($J336:$M336)=0),0,IF(AND(IFERROR(AGGREGATE(15,6,$N$5:$N$2484/(($C$5:$C$2484=$C336)*($D$5:$D$2484=$D336)*($S$5:$S$2484=1)*($N$5:$N$2484&gt;0)),1),0)&gt;0,$N336&gt;0),ROUND($H336*(IFERROR(AGGREGATE(15,6,$N$5:$N$2484/(($C$5:$C$2484=$C336)*($D$5:$D$2484=$D336)*($S$5:$S$2484=1)*($N$5:$N$2484&gt;0)),1),0)/$N336),4),0)))</f>
        <v/>
      </c>
      <c r="P336" s="48" t="inlineStr">
        <is>
          <t>indice</t>
        </is>
      </c>
      <c r="Q336" s="57">
        <f>IF($A336="","",$A336&amp;"|"&amp;$C336)</f>
        <v/>
      </c>
      <c r="R336" s="57">
        <f>IF($A336="","",$A336&amp;"|"&amp;$C336&amp;"|"&amp;$D336)</f>
        <v/>
      </c>
      <c r="S336" s="57">
        <f>IF($A336="","",IFERROR(INDEX(Offerte!$D$2:$D$81,MATCH($Q336,Offerte!$L$2:$L$81,0)),0))</f>
        <v/>
      </c>
      <c r="T336" s="57">
        <f>IF($A336="","",IFERROR(INDEX(Offerte!$G$2:$G$81,MATCH($Q336,Offerte!$L$2:$L$81,0)),"NO"))</f>
        <v/>
      </c>
    </row>
    <row r="337">
      <c r="A337" s="48">
        <f>IF(Offerte!$A12="","",Offerte!$A12)</f>
        <v/>
      </c>
      <c r="B337" s="48">
        <f>IF(Offerte!$A12="","",Offerte!$B12)</f>
        <v/>
      </c>
      <c r="C337" s="48">
        <f>IF(Offerte!$A12="","",Offerte!$C12)</f>
        <v/>
      </c>
      <c r="D337" s="48" t="inlineStr">
        <is>
          <t>F.2.1</t>
        </is>
      </c>
      <c r="E337" s="48" t="inlineStr">
        <is>
          <t>F</t>
        </is>
      </c>
      <c r="F337" s="48" t="inlineStr">
        <is>
          <t>Q</t>
        </is>
      </c>
      <c r="G337" s="48" t="inlineStr">
        <is>
          <t>higher</t>
        </is>
      </c>
      <c r="H337" s="48" t="n">
        <v>2</v>
      </c>
      <c r="I337" s="48" t="inlineStr">
        <is>
          <t>Tasso di copertura del servizio con dispositivi ECO-DRIVER</t>
        </is>
      </c>
      <c r="J337" s="73" t="n"/>
      <c r="K337" s="73" t="n"/>
      <c r="L337" s="73" t="n"/>
      <c r="M337" s="73" t="n"/>
      <c r="N337" s="57">
        <f>IF($A337="","",IFERROR(VALUE($K337)/VALUE($L337),IFERROR(VALUE($J337),0)))</f>
        <v/>
      </c>
      <c r="O337" s="57">
        <f>IF($A337="",0,IF(OR($S337&lt;&gt;1,COUNTA($J337:$M337)=0),0,IF(SUMPRODUCT(MAX(($C$5:$C$2484=$C337)*($D$5:$D$2484=$D337)*($S$5:$S$2484=1)*IFERROR($N$5:$N$2484*1,0)))&gt;0,ROUND($H337*($N337/SUMPRODUCT(MAX(($C$5:$C$2484=$C337)*($D$5:$D$2484=$D337)*($S$5:$S$2484=1)*IFERROR($N$5:$N$2484*1,0)))),4),0)))</f>
        <v/>
      </c>
      <c r="P337" s="48" t="inlineStr">
        <is>
          <t>Autobus attrezzati con dispositivi ECO-DRIVER / Autobus totali in offerta, incluse scorte</t>
        </is>
      </c>
      <c r="Q337" s="57">
        <f>IF($A337="","",$A337&amp;"|"&amp;$C337)</f>
        <v/>
      </c>
      <c r="R337" s="57">
        <f>IF($A337="","",$A337&amp;"|"&amp;$C337&amp;"|"&amp;$D337)</f>
        <v/>
      </c>
      <c r="S337" s="57">
        <f>IF($A337="","",IFERROR(INDEX(Offerte!$D$2:$D$81,MATCH($Q337,Offerte!$L$2:$L$81,0)),0))</f>
        <v/>
      </c>
      <c r="T337" s="57">
        <f>IF($A337="","",IFERROR(INDEX(Offerte!$G$2:$G$81,MATCH($Q337,Offerte!$L$2:$L$81,0)),"NO"))</f>
        <v/>
      </c>
    </row>
    <row r="338">
      <c r="A338" s="48">
        <f>IF(Offerte!$A12="","",Offerte!$A12)</f>
        <v/>
      </c>
      <c r="B338" s="48">
        <f>IF(Offerte!$A12="","",Offerte!$B12)</f>
        <v/>
      </c>
      <c r="C338" s="48">
        <f>IF(Offerte!$A12="","",Offerte!$C12)</f>
        <v/>
      </c>
      <c r="D338" s="48" t="inlineStr">
        <is>
          <t>F.3.1</t>
        </is>
      </c>
      <c r="E338" s="48" t="inlineStr">
        <is>
          <t>F</t>
        </is>
      </c>
      <c r="F338" s="48" t="inlineStr">
        <is>
          <t>Q</t>
        </is>
      </c>
      <c r="G338" s="48" t="inlineStr">
        <is>
          <t>higher</t>
        </is>
      </c>
      <c r="H338" s="48" t="n">
        <v>2</v>
      </c>
      <c r="I338" s="48" t="inlineStr">
        <is>
          <t>Autoproduzione consumi elettrici per trazione</t>
        </is>
      </c>
      <c r="J338" s="73" t="n"/>
      <c r="K338" s="73" t="n"/>
      <c r="L338" s="73" t="n"/>
      <c r="M338" s="73" t="n"/>
      <c r="N338" s="57">
        <f>IF($A338="","",IFERROR(VALUE($J338),0))</f>
        <v/>
      </c>
      <c r="O338" s="57">
        <f>IF($A338="",0,IF(OR($S338&lt;&gt;1,COUNTA($J338:$M338)=0),0,IF(SUMPRODUCT(MAX(($C$5:$C$2484=$C338)*($D$5:$D$2484=$D338)*($S$5:$S$2484=1)*IFERROR($N$5:$N$2484*1,0)))&gt;0,ROUND($H338*($N338/SUMPRODUCT(MAX(($C$5:$C$2484=$C338)*($D$5:$D$2484=$D338)*($S$5:$S$2484=1)*IFERROR($N$5:$N$2484*1,0)))),4),0)))</f>
        <v/>
      </c>
      <c r="P338" s="48" t="inlineStr">
        <is>
          <t>kWh/anno</t>
        </is>
      </c>
      <c r="Q338" s="57">
        <f>IF($A338="","",$A338&amp;"|"&amp;$C338)</f>
        <v/>
      </c>
      <c r="R338" s="57">
        <f>IF($A338="","",$A338&amp;"|"&amp;$C338&amp;"|"&amp;$D338)</f>
        <v/>
      </c>
      <c r="S338" s="57">
        <f>IF($A338="","",IFERROR(INDEX(Offerte!$D$2:$D$81,MATCH($Q338,Offerte!$L$2:$L$81,0)),0))</f>
        <v/>
      </c>
      <c r="T338" s="57">
        <f>IF($A338="","",IFERROR(INDEX(Offerte!$G$2:$G$81,MATCH($Q338,Offerte!$L$2:$L$81,0)),"NO"))</f>
        <v/>
      </c>
    </row>
    <row r="339">
      <c r="A339" s="48">
        <f>IF(Offerte!$A12="","",Offerte!$A12)</f>
        <v/>
      </c>
      <c r="B339" s="48">
        <f>IF(Offerte!$A12="","",Offerte!$B12)</f>
        <v/>
      </c>
      <c r="C339" s="48">
        <f>IF(Offerte!$A12="","",Offerte!$C12)</f>
        <v/>
      </c>
      <c r="D339" s="48" t="inlineStr">
        <is>
          <t>F.4.1</t>
        </is>
      </c>
      <c r="E339" s="48" t="inlineStr">
        <is>
          <t>F</t>
        </is>
      </c>
      <c r="F339" s="48" t="inlineStr">
        <is>
          <t>Q</t>
        </is>
      </c>
      <c r="G339" s="48" t="inlineStr">
        <is>
          <t>soil</t>
        </is>
      </c>
      <c r="H339" s="48" t="n">
        <v>2</v>
      </c>
      <c r="I339" s="48" t="inlineStr">
        <is>
          <t>Indice di consumo di suolo</t>
        </is>
      </c>
      <c r="J339" s="73" t="n"/>
      <c r="K339" s="73" t="n"/>
      <c r="L339" s="73" t="n"/>
      <c r="M339" s="73" t="n"/>
      <c r="N339" s="57">
        <f>IF($A339="","",IFERROR(VALUE($J339),0))</f>
        <v/>
      </c>
      <c r="O339" s="57">
        <f>IF($A339="",0,IF(OR($S339&lt;&gt;1,COUNTA($J339:$M339)=0),0,IF($N339&lt;=0,$H339,IF(SUMPRODUCT(MAX(($C$5:$C$2484=$C339)*($D$5:$D$2484=$D339)*($S$5:$S$2484=1)*IFERROR($N$5:$N$2484*1,0)))&gt;0,ROUND($H339*((SUMPRODUCT(MAX(($C$5:$C$2484=$C339)*($D$5:$D$2484=$D339)*($S$5:$S$2484=1)*IFERROR($N$5:$N$2484*1,0)))-$N339)/SUMPRODUCT(MAX(($C$5:$C$2484=$C339)*($D$5:$D$2484=$D339)*($S$5:$S$2484=1)*IFERROR($N$5:$N$2484*1,0)))),4),0))))</f>
        <v/>
      </c>
      <c r="P339" s="48" t="inlineStr">
        <is>
          <t>m2</t>
        </is>
      </c>
      <c r="Q339" s="57">
        <f>IF($A339="","",$A339&amp;"|"&amp;$C339)</f>
        <v/>
      </c>
      <c r="R339" s="57">
        <f>IF($A339="","",$A339&amp;"|"&amp;$C339&amp;"|"&amp;$D339)</f>
        <v/>
      </c>
      <c r="S339" s="57">
        <f>IF($A339="","",IFERROR(INDEX(Offerte!$D$2:$D$81,MATCH($Q339,Offerte!$L$2:$L$81,0)),0))</f>
        <v/>
      </c>
      <c r="T339" s="57">
        <f>IF($A339="","",IFERROR(INDEX(Offerte!$G$2:$G$81,MATCH($Q339,Offerte!$L$2:$L$81,0)),"NO"))</f>
        <v/>
      </c>
    </row>
    <row r="340">
      <c r="A340" s="48">
        <f>IF(Offerte!$A12="","",Offerte!$A12)</f>
        <v/>
      </c>
      <c r="B340" s="48">
        <f>IF(Offerte!$A12="","",Offerte!$B12)</f>
        <v/>
      </c>
      <c r="C340" s="48">
        <f>IF(Offerte!$A12="","",Offerte!$C12)</f>
        <v/>
      </c>
      <c r="D340" s="48" t="inlineStr">
        <is>
          <t>F.5.1</t>
        </is>
      </c>
      <c r="E340" s="48" t="inlineStr">
        <is>
          <t>F</t>
        </is>
      </c>
      <c r="F340" s="48" t="inlineStr">
        <is>
          <t>T</t>
        </is>
      </c>
      <c r="G340" s="48" t="inlineStr">
        <is>
          <t>tabular</t>
        </is>
      </c>
      <c r="H340" s="48" t="n">
        <v>1</v>
      </c>
      <c r="I340" s="48" t="inlineStr">
        <is>
          <t>Rendicontazione di sostenibilità ambientale</t>
        </is>
      </c>
      <c r="J340" s="73" t="n"/>
      <c r="K340" s="73" t="n"/>
      <c r="L340" s="73" t="n"/>
      <c r="M340" s="73" t="n"/>
      <c r="N340" s="57">
        <f>IF($A340="","",IF(IFERROR(VALUE($M340),0)=1,1,0))</f>
        <v/>
      </c>
      <c r="O340" s="57">
        <f>IF($A340="",0,IF(OR($S340&lt;&gt;1,COUNTA($J340:$M340)=0),0,IF($N340=1,$H340,0)))</f>
        <v/>
      </c>
      <c r="P340" s="48" t="inlineStr">
        <is>
          <t>sì/no</t>
        </is>
      </c>
      <c r="Q340" s="57">
        <f>IF($A340="","",$A340&amp;"|"&amp;$C340)</f>
        <v/>
      </c>
      <c r="R340" s="57">
        <f>IF($A340="","",$A340&amp;"|"&amp;$C340&amp;"|"&amp;$D340)</f>
        <v/>
      </c>
      <c r="S340" s="57">
        <f>IF($A340="","",IFERROR(INDEX(Offerte!$D$2:$D$81,MATCH($Q340,Offerte!$L$2:$L$81,0)),0))</f>
        <v/>
      </c>
      <c r="T340" s="57">
        <f>IF($A340="","",IFERROR(INDEX(Offerte!$G$2:$G$81,MATCH($Q340,Offerte!$L$2:$L$81,0)),"NO"))</f>
        <v/>
      </c>
    </row>
    <row r="341">
      <c r="A341" s="48">
        <f>IF(Offerte!$A12="","",Offerte!$A12)</f>
        <v/>
      </c>
      <c r="B341" s="48">
        <f>IF(Offerte!$A12="","",Offerte!$B12)</f>
        <v/>
      </c>
      <c r="C341" s="48">
        <f>IF(Offerte!$A12="","",Offerte!$C12)</f>
        <v/>
      </c>
      <c r="D341" s="48" t="inlineStr">
        <is>
          <t>G.1.1</t>
        </is>
      </c>
      <c r="E341" s="48" t="inlineStr">
        <is>
          <t>G</t>
        </is>
      </c>
      <c r="F341" s="48" t="inlineStr">
        <is>
          <t>D</t>
        </is>
      </c>
      <c r="G341" s="48" t="inlineStr">
        <is>
          <t>discretionary</t>
        </is>
      </c>
      <c r="H341" s="48" t="n">
        <v>2</v>
      </c>
      <c r="I341" s="48" t="inlineStr">
        <is>
          <t>Qualità del progetto di centrale di controllo aziendale</t>
        </is>
      </c>
      <c r="J341" s="73" t="n"/>
      <c r="K341" s="73" t="n"/>
      <c r="L341" s="73" t="n"/>
      <c r="M341" s="73" t="n"/>
      <c r="N341" s="57">
        <f>IF($A341="","",MAX(0,MIN(1,IFERROR(VALUE($M341),0))))</f>
        <v/>
      </c>
      <c r="O341" s="57">
        <f>IF($A341="",0,IF(OR($S341&lt;&gt;1,COUNTA($J341:$M341)=0),0,IF(SUMPRODUCT(MAX(($C$5:$C$2484=$C341)*($D$5:$D$2484=$D341)*($S$5:$S$2484=1)*IFERROR($N$5:$N$2484*1,0)))&gt;0,ROUND($H341*($N341/SUMPRODUCT(MAX(($C$5:$C$2484=$C341)*($D$5:$D$2484=$D341)*($S$5:$S$2484=1)*IFERROR($N$5:$N$2484*1,0)))),4),0)))</f>
        <v/>
      </c>
      <c r="P341" s="48" t="inlineStr">
        <is>
          <t>coeff.</t>
        </is>
      </c>
      <c r="Q341" s="57">
        <f>IF($A341="","",$A341&amp;"|"&amp;$C341)</f>
        <v/>
      </c>
      <c r="R341" s="57">
        <f>IF($A341="","",$A341&amp;"|"&amp;$C341&amp;"|"&amp;$D341)</f>
        <v/>
      </c>
      <c r="S341" s="57">
        <f>IF($A341="","",IFERROR(INDEX(Offerte!$D$2:$D$81,MATCH($Q341,Offerte!$L$2:$L$81,0)),0))</f>
        <v/>
      </c>
      <c r="T341" s="57">
        <f>IF($A341="","",IFERROR(INDEX(Offerte!$G$2:$G$81,MATCH($Q341,Offerte!$L$2:$L$81,0)),"NO"))</f>
        <v/>
      </c>
    </row>
    <row r="342">
      <c r="A342" s="48">
        <f>IF(Offerte!$A12="","",Offerte!$A12)</f>
        <v/>
      </c>
      <c r="B342" s="48">
        <f>IF(Offerte!$A12="","",Offerte!$B12)</f>
        <v/>
      </c>
      <c r="C342" s="48">
        <f>IF(Offerte!$A12="","",Offerte!$C12)</f>
        <v/>
      </c>
      <c r="D342" s="48" t="inlineStr">
        <is>
          <t>G.2.1</t>
        </is>
      </c>
      <c r="E342" s="48" t="inlineStr">
        <is>
          <t>G</t>
        </is>
      </c>
      <c r="F342" s="48" t="inlineStr">
        <is>
          <t>T</t>
        </is>
      </c>
      <c r="G342" s="48" t="inlineStr">
        <is>
          <t>tabular</t>
        </is>
      </c>
      <c r="H342" s="48" t="n">
        <v>1</v>
      </c>
      <c r="I342" s="48" t="inlineStr">
        <is>
          <t>Certificazione ISO 45001</t>
        </is>
      </c>
      <c r="J342" s="73" t="n"/>
      <c r="K342" s="73" t="n"/>
      <c r="L342" s="73" t="n"/>
      <c r="M342" s="73" t="n"/>
      <c r="N342" s="57">
        <f>IF($A342="","",IF(IFERROR(VALUE($M342),0)=1,1,0))</f>
        <v/>
      </c>
      <c r="O342" s="57">
        <f>IF($A342="",0,IF(OR($S342&lt;&gt;1,COUNTA($J342:$M342)=0),0,IF($N342=1,$H342,0)))</f>
        <v/>
      </c>
      <c r="P342" s="48" t="inlineStr">
        <is>
          <t>sì/no</t>
        </is>
      </c>
      <c r="Q342" s="57">
        <f>IF($A342="","",$A342&amp;"|"&amp;$C342)</f>
        <v/>
      </c>
      <c r="R342" s="57">
        <f>IF($A342="","",$A342&amp;"|"&amp;$C342&amp;"|"&amp;$D342)</f>
        <v/>
      </c>
      <c r="S342" s="57">
        <f>IF($A342="","",IFERROR(INDEX(Offerte!$D$2:$D$81,MATCH($Q342,Offerte!$L$2:$L$81,0)),0))</f>
        <v/>
      </c>
      <c r="T342" s="57">
        <f>IF($A342="","",IFERROR(INDEX(Offerte!$G$2:$G$81,MATCH($Q342,Offerte!$L$2:$L$81,0)),"NO"))</f>
        <v/>
      </c>
    </row>
    <row r="343">
      <c r="A343" s="48">
        <f>IF(Offerte!$A12="","",Offerte!$A12)</f>
        <v/>
      </c>
      <c r="B343" s="48">
        <f>IF(Offerte!$A12="","",Offerte!$B12)</f>
        <v/>
      </c>
      <c r="C343" s="48">
        <f>IF(Offerte!$A12="","",Offerte!$C12)</f>
        <v/>
      </c>
      <c r="D343" s="48" t="inlineStr">
        <is>
          <t>G.3.1</t>
        </is>
      </c>
      <c r="E343" s="48" t="inlineStr">
        <is>
          <t>G</t>
        </is>
      </c>
      <c r="F343" s="48" t="inlineStr">
        <is>
          <t>T</t>
        </is>
      </c>
      <c r="G343" s="48" t="inlineStr">
        <is>
          <t>tabular</t>
        </is>
      </c>
      <c r="H343" s="48" t="n">
        <v>1</v>
      </c>
      <c r="I343" s="48" t="inlineStr">
        <is>
          <t>Certificazioni di responsabilità sociale</t>
        </is>
      </c>
      <c r="J343" s="73" t="n"/>
      <c r="K343" s="73" t="n"/>
      <c r="L343" s="73" t="n"/>
      <c r="M343" s="73" t="n"/>
      <c r="N343" s="57">
        <f>IF($A343="","",IF(IFERROR(VALUE($M343),0)=1,1,0))</f>
        <v/>
      </c>
      <c r="O343" s="57">
        <f>IF($A343="",0,IF(OR($S343&lt;&gt;1,COUNTA($J343:$M343)=0),0,IF($N343=1,$H343,0)))</f>
        <v/>
      </c>
      <c r="P343" s="48" t="inlineStr">
        <is>
          <t>sì/no</t>
        </is>
      </c>
      <c r="Q343" s="57">
        <f>IF($A343="","",$A343&amp;"|"&amp;$C343)</f>
        <v/>
      </c>
      <c r="R343" s="57">
        <f>IF($A343="","",$A343&amp;"|"&amp;$C343&amp;"|"&amp;$D343)</f>
        <v/>
      </c>
      <c r="S343" s="57">
        <f>IF($A343="","",IFERROR(INDEX(Offerte!$D$2:$D$81,MATCH($Q343,Offerte!$L$2:$L$81,0)),0))</f>
        <v/>
      </c>
      <c r="T343" s="57">
        <f>IF($A343="","",IFERROR(INDEX(Offerte!$G$2:$G$81,MATCH($Q343,Offerte!$L$2:$L$81,0)),"NO"))</f>
        <v/>
      </c>
    </row>
    <row r="344">
      <c r="A344" s="48">
        <f>IF(Offerte!$A12="","",Offerte!$A12)</f>
        <v/>
      </c>
      <c r="B344" s="48">
        <f>IF(Offerte!$A12="","",Offerte!$B12)</f>
        <v/>
      </c>
      <c r="C344" s="48">
        <f>IF(Offerte!$A12="","",Offerte!$C12)</f>
        <v/>
      </c>
      <c r="D344" s="48" t="inlineStr">
        <is>
          <t>G.4.1</t>
        </is>
      </c>
      <c r="E344" s="48" t="inlineStr">
        <is>
          <t>G</t>
        </is>
      </c>
      <c r="F344" s="48" t="inlineStr">
        <is>
          <t>D</t>
        </is>
      </c>
      <c r="G344" s="48" t="inlineStr">
        <is>
          <t>discretionary</t>
        </is>
      </c>
      <c r="H344" s="48" t="n">
        <v>2</v>
      </c>
      <c r="I344" s="48" t="inlineStr">
        <is>
          <t>Qualità del piano di formazione del personale</t>
        </is>
      </c>
      <c r="J344" s="73" t="n"/>
      <c r="K344" s="73" t="n"/>
      <c r="L344" s="73" t="n"/>
      <c r="M344" s="73" t="n"/>
      <c r="N344" s="57">
        <f>IF($A344="","",MAX(0,MIN(1,IFERROR(VALUE($M344),0))))</f>
        <v/>
      </c>
      <c r="O344" s="57">
        <f>IF($A344="",0,IF(OR($S344&lt;&gt;1,COUNTA($J344:$M344)=0),0,IF(SUMPRODUCT(MAX(($C$5:$C$2484=$C344)*($D$5:$D$2484=$D344)*($S$5:$S$2484=1)*IFERROR($N$5:$N$2484*1,0)))&gt;0,ROUND($H344*($N344/SUMPRODUCT(MAX(($C$5:$C$2484=$C344)*($D$5:$D$2484=$D344)*($S$5:$S$2484=1)*IFERROR($N$5:$N$2484*1,0)))),4),0)))</f>
        <v/>
      </c>
      <c r="P344" s="48" t="inlineStr">
        <is>
          <t>coeff.</t>
        </is>
      </c>
      <c r="Q344" s="57">
        <f>IF($A344="","",$A344&amp;"|"&amp;$C344)</f>
        <v/>
      </c>
      <c r="R344" s="57">
        <f>IF($A344="","",$A344&amp;"|"&amp;$C344&amp;"|"&amp;$D344)</f>
        <v/>
      </c>
      <c r="S344" s="57">
        <f>IF($A344="","",IFERROR(INDEX(Offerte!$D$2:$D$81,MATCH($Q344,Offerte!$L$2:$L$81,0)),0))</f>
        <v/>
      </c>
      <c r="T344" s="57">
        <f>IF($A344="","",IFERROR(INDEX(Offerte!$G$2:$G$81,MATCH($Q344,Offerte!$L$2:$L$81,0)),"NO"))</f>
        <v/>
      </c>
    </row>
    <row r="345">
      <c r="A345" s="48">
        <f>IF(Offerte!$A12="","",Offerte!$A12)</f>
        <v/>
      </c>
      <c r="B345" s="48">
        <f>IF(Offerte!$A12="","",Offerte!$B12)</f>
        <v/>
      </c>
      <c r="C345" s="48">
        <f>IF(Offerte!$A12="","",Offerte!$C12)</f>
        <v/>
      </c>
      <c r="D345" s="48" t="inlineStr">
        <is>
          <t>G.5.1</t>
        </is>
      </c>
      <c r="E345" s="48" t="inlineStr">
        <is>
          <t>G</t>
        </is>
      </c>
      <c r="F345" s="48" t="inlineStr">
        <is>
          <t>T</t>
        </is>
      </c>
      <c r="G345" s="48" t="inlineStr">
        <is>
          <t>tabular</t>
        </is>
      </c>
      <c r="H345" s="48" t="n">
        <v>1</v>
      </c>
      <c r="I345" s="48" t="inlineStr">
        <is>
          <t>Impegno al mantenimento delle garanzie del contratto di secondo livello del gestore uscente</t>
        </is>
      </c>
      <c r="J345" s="73" t="n"/>
      <c r="K345" s="73" t="n"/>
      <c r="L345" s="73" t="n"/>
      <c r="M345" s="73" t="n"/>
      <c r="N345" s="57">
        <f>IF($A345="","",IF(IFERROR(VALUE($M345),0)=1,1,0))</f>
        <v/>
      </c>
      <c r="O345" s="57">
        <f>IF($A345="",0,IF(OR($S345&lt;&gt;1,COUNTA($J345:$M345)=0),0,IF($N345=1,$H345,0)))</f>
        <v/>
      </c>
      <c r="P345" s="48" t="inlineStr">
        <is>
          <t>sì/no</t>
        </is>
      </c>
      <c r="Q345" s="57">
        <f>IF($A345="","",$A345&amp;"|"&amp;$C345)</f>
        <v/>
      </c>
      <c r="R345" s="57">
        <f>IF($A345="","",$A345&amp;"|"&amp;$C345&amp;"|"&amp;$D345)</f>
        <v/>
      </c>
      <c r="S345" s="57">
        <f>IF($A345="","",IFERROR(INDEX(Offerte!$D$2:$D$81,MATCH($Q345,Offerte!$L$2:$L$81,0)),0))</f>
        <v/>
      </c>
      <c r="T345" s="57">
        <f>IF($A345="","",IFERROR(INDEX(Offerte!$G$2:$G$81,MATCH($Q345,Offerte!$L$2:$L$81,0)),"NO"))</f>
        <v/>
      </c>
    </row>
    <row r="346">
      <c r="A346" s="48">
        <f>IF(Offerte!$A13="","",Offerte!$A13)</f>
        <v/>
      </c>
      <c r="B346" s="48">
        <f>IF(Offerte!$A13="","",Offerte!$B13)</f>
        <v/>
      </c>
      <c r="C346" s="48">
        <f>IF(Offerte!$A13="","",Offerte!$C13)</f>
        <v/>
      </c>
      <c r="D346" s="48" t="inlineStr">
        <is>
          <t>A.1.1</t>
        </is>
      </c>
      <c r="E346" s="48" t="inlineStr">
        <is>
          <t>A</t>
        </is>
      </c>
      <c r="F346" s="48" t="inlineStr">
        <is>
          <t>Q</t>
        </is>
      </c>
      <c r="G346" s="48" t="inlineStr">
        <is>
          <t>higher</t>
        </is>
      </c>
      <c r="H346" s="48" t="n">
        <v>3</v>
      </c>
      <c r="I346" s="48" t="inlineStr">
        <is>
          <t>Tasso aggiuntivo di corse controllate</t>
        </is>
      </c>
      <c r="J346" s="73" t="n"/>
      <c r="K346" s="73" t="n"/>
      <c r="L346" s="73" t="n"/>
      <c r="M346" s="73" t="n"/>
      <c r="N346" s="57">
        <f>IF($A346="","",IFERROR(VALUE($K346)/VALUE($L346)*100,IFERROR(VALUE($J346),0)))</f>
        <v/>
      </c>
      <c r="O346" s="57">
        <f>IF($A346="",0,IF(OR($S346&lt;&gt;1,COUNTA($J346:$M346)=0),0,IF(SUMPRODUCT(MAX(($C$5:$C$2484=$C346)*($D$5:$D$2484=$D346)*($S$5:$S$2484=1)*IFERROR($N$5:$N$2484*1,0)))&gt;0,ROUND($H346*($N346/SUMPRODUCT(MAX(($C$5:$C$2484=$C346)*($D$5:$D$2484=$D346)*($S$5:$S$2484=1)*IFERROR($N$5:$N$2484*1,0)))),4),0)))</f>
        <v/>
      </c>
      <c r="P346" s="48" t="inlineStr">
        <is>
          <t>Corse controllate annue / Corse programmate annue</t>
        </is>
      </c>
      <c r="Q346" s="57">
        <f>IF($A346="","",$A346&amp;"|"&amp;$C346)</f>
        <v/>
      </c>
      <c r="R346" s="57">
        <f>IF($A346="","",$A346&amp;"|"&amp;$C346&amp;"|"&amp;$D346)</f>
        <v/>
      </c>
      <c r="S346" s="57">
        <f>IF($A346="","",IFERROR(INDEX(Offerte!$D$2:$D$81,MATCH($Q346,Offerte!$L$2:$L$81,0)),0))</f>
        <v/>
      </c>
      <c r="T346" s="57">
        <f>IF($A346="","",IFERROR(INDEX(Offerte!$G$2:$G$81,MATCH($Q346,Offerte!$L$2:$L$81,0)),"NO"))</f>
        <v/>
      </c>
    </row>
    <row r="347">
      <c r="A347" s="48">
        <f>IF(Offerte!$A13="","",Offerte!$A13)</f>
        <v/>
      </c>
      <c r="B347" s="48">
        <f>IF(Offerte!$A13="","",Offerte!$B13)</f>
        <v/>
      </c>
      <c r="C347" s="48">
        <f>IF(Offerte!$A13="","",Offerte!$C13)</f>
        <v/>
      </c>
      <c r="D347" s="48" t="inlineStr">
        <is>
          <t>A.1.2</t>
        </is>
      </c>
      <c r="E347" s="48" t="inlineStr">
        <is>
          <t>A</t>
        </is>
      </c>
      <c r="F347" s="48" t="inlineStr">
        <is>
          <t>Q</t>
        </is>
      </c>
      <c r="G347" s="48" t="inlineStr">
        <is>
          <t>higher</t>
        </is>
      </c>
      <c r="H347" s="48" t="n">
        <v>4</v>
      </c>
      <c r="I347" s="48" t="inlineStr">
        <is>
          <t>Numero aggiuntivo di passeggeri controllati</t>
        </is>
      </c>
      <c r="J347" s="73" t="n"/>
      <c r="K347" s="73" t="n"/>
      <c r="L347" s="73" t="n"/>
      <c r="M347" s="73" t="n"/>
      <c r="N347" s="57">
        <f>IF($A347="","",IFERROR(VALUE($J347),0))</f>
        <v/>
      </c>
      <c r="O347" s="57">
        <f>IF($A347="",0,IF(OR($S347&lt;&gt;1,COUNTA($J347:$M347)=0),0,IF(SUMPRODUCT(MAX(($C$5:$C$2484=$C347)*($D$5:$D$2484=$D347)*($S$5:$S$2484=1)*IFERROR($N$5:$N$2484*1,0)))&gt;0,ROUND($H347*($N347/SUMPRODUCT(MAX(($C$5:$C$2484=$C347)*($D$5:$D$2484=$D347)*($S$5:$S$2484=1)*IFERROR($N$5:$N$2484*1,0)))),4),0)))</f>
        <v/>
      </c>
      <c r="P347" s="48" t="inlineStr">
        <is>
          <t>passeggeri/anno</t>
        </is>
      </c>
      <c r="Q347" s="57">
        <f>IF($A347="","",$A347&amp;"|"&amp;$C347)</f>
        <v/>
      </c>
      <c r="R347" s="57">
        <f>IF($A347="","",$A347&amp;"|"&amp;$C347&amp;"|"&amp;$D347)</f>
        <v/>
      </c>
      <c r="S347" s="57">
        <f>IF($A347="","",IFERROR(INDEX(Offerte!$D$2:$D$81,MATCH($Q347,Offerte!$L$2:$L$81,0)),0))</f>
        <v/>
      </c>
      <c r="T347" s="57">
        <f>IF($A347="","",IFERROR(INDEX(Offerte!$G$2:$G$81,MATCH($Q347,Offerte!$L$2:$L$81,0)),"NO"))</f>
        <v/>
      </c>
    </row>
    <row r="348">
      <c r="A348" s="48">
        <f>IF(Offerte!$A13="","",Offerte!$A13)</f>
        <v/>
      </c>
      <c r="B348" s="48">
        <f>IF(Offerte!$A13="","",Offerte!$B13)</f>
        <v/>
      </c>
      <c r="C348" s="48">
        <f>IF(Offerte!$A13="","",Offerte!$C13)</f>
        <v/>
      </c>
      <c r="D348" s="48" t="inlineStr">
        <is>
          <t>B.1.1</t>
        </is>
      </c>
      <c r="E348" s="48" t="inlineStr">
        <is>
          <t>B</t>
        </is>
      </c>
      <c r="F348" s="48" t="inlineStr">
        <is>
          <t>Q</t>
        </is>
      </c>
      <c r="G348" s="48" t="inlineStr">
        <is>
          <t>higher</t>
        </is>
      </c>
      <c r="H348" s="48" t="n">
        <v>3</v>
      </c>
      <c r="I348" s="48" t="inlineStr">
        <is>
          <t>Incremento dei posti offerti nelle fasce di punta</t>
        </is>
      </c>
      <c r="J348" s="73" t="n"/>
      <c r="K348" s="73" t="n"/>
      <c r="L348" s="73" t="n"/>
      <c r="M348" s="73" t="n"/>
      <c r="N348" s="57">
        <f>IF($A348="","",IFERROR(VALUE($J348),0))</f>
        <v/>
      </c>
      <c r="O348" s="57">
        <f>IF($A348="",0,IF(OR($S348&lt;&gt;1,COUNTA($J348:$M348)=0),0,IF(SUMPRODUCT(MAX(($C$5:$C$2484=$C348)*($D$5:$D$2484=$D348)*($S$5:$S$2484=1)*IFERROR($N$5:$N$2484*1,0)))&gt;0,ROUND($H348*($N348/SUMPRODUCT(MAX(($C$5:$C$2484=$C348)*($D$5:$D$2484=$D348)*($S$5:$S$2484=1)*IFERROR($N$5:$N$2484*1,0)))),4),0)))</f>
        <v/>
      </c>
      <c r="P348" s="48" t="inlineStr">
        <is>
          <t>posti*km</t>
        </is>
      </c>
      <c r="Q348" s="57">
        <f>IF($A348="","",$A348&amp;"|"&amp;$C348)</f>
        <v/>
      </c>
      <c r="R348" s="57">
        <f>IF($A348="","",$A348&amp;"|"&amp;$C348&amp;"|"&amp;$D348)</f>
        <v/>
      </c>
      <c r="S348" s="57">
        <f>IF($A348="","",IFERROR(INDEX(Offerte!$D$2:$D$81,MATCH($Q348,Offerte!$L$2:$L$81,0)),0))</f>
        <v/>
      </c>
      <c r="T348" s="57">
        <f>IF($A348="","",IFERROR(INDEX(Offerte!$G$2:$G$81,MATCH($Q348,Offerte!$L$2:$L$81,0)),"NO"))</f>
        <v/>
      </c>
    </row>
    <row r="349">
      <c r="A349" s="48">
        <f>IF(Offerte!$A13="","",Offerte!$A13)</f>
        <v/>
      </c>
      <c r="B349" s="48">
        <f>IF(Offerte!$A13="","",Offerte!$B13)</f>
        <v/>
      </c>
      <c r="C349" s="48">
        <f>IF(Offerte!$A13="","",Offerte!$C13)</f>
        <v/>
      </c>
      <c r="D349" s="48" t="inlineStr">
        <is>
          <t>B.2.1</t>
        </is>
      </c>
      <c r="E349" s="48" t="inlineStr">
        <is>
          <t>B</t>
        </is>
      </c>
      <c r="F349" s="48" t="inlineStr">
        <is>
          <t>Q</t>
        </is>
      </c>
      <c r="G349" s="48" t="inlineStr">
        <is>
          <t>higher</t>
        </is>
      </c>
      <c r="H349" s="48" t="n">
        <v>4</v>
      </c>
      <c r="I349" s="48" t="inlineStr">
        <is>
          <t>Corse aggiuntive nell'arco giornaliero base</t>
        </is>
      </c>
      <c r="J349" s="73" t="n"/>
      <c r="K349" s="73" t="n"/>
      <c r="L349" s="73" t="n"/>
      <c r="M349" s="73" t="n"/>
      <c r="N349" s="57">
        <f>IF($A349="","",IFERROR(VALUE($J349),0))</f>
        <v/>
      </c>
      <c r="O349" s="57">
        <f>IF($A349="",0,IF(OR($S349&lt;&gt;1,COUNTA($J349:$M349)=0),0,IF(SUMPRODUCT(MAX(($C$5:$C$2484=$C349)*($D$5:$D$2484=$D349)*($S$5:$S$2484=1)*IFERROR($N$5:$N$2484*1,0)))&gt;0,ROUND($H349*($N349/SUMPRODUCT(MAX(($C$5:$C$2484=$C349)*($D$5:$D$2484=$D349)*($S$5:$S$2484=1)*IFERROR($N$5:$N$2484*1,0)))),4),0)))</f>
        <v/>
      </c>
      <c r="P349" s="48" t="inlineStr">
        <is>
          <t>corse</t>
        </is>
      </c>
      <c r="Q349" s="57">
        <f>IF($A349="","",$A349&amp;"|"&amp;$C349)</f>
        <v/>
      </c>
      <c r="R349" s="57">
        <f>IF($A349="","",$A349&amp;"|"&amp;$C349&amp;"|"&amp;$D349)</f>
        <v/>
      </c>
      <c r="S349" s="57">
        <f>IF($A349="","",IFERROR(INDEX(Offerte!$D$2:$D$81,MATCH($Q349,Offerte!$L$2:$L$81,0)),0))</f>
        <v/>
      </c>
      <c r="T349" s="57">
        <f>IF($A349="","",IFERROR(INDEX(Offerte!$G$2:$G$81,MATCH($Q349,Offerte!$L$2:$L$81,0)),"NO"))</f>
        <v/>
      </c>
    </row>
    <row r="350">
      <c r="A350" s="48">
        <f>IF(Offerte!$A13="","",Offerte!$A13)</f>
        <v/>
      </c>
      <c r="B350" s="48">
        <f>IF(Offerte!$A13="","",Offerte!$B13)</f>
        <v/>
      </c>
      <c r="C350" s="48">
        <f>IF(Offerte!$A13="","",Offerte!$C13)</f>
        <v/>
      </c>
      <c r="D350" s="48" t="inlineStr">
        <is>
          <t>B.3.1</t>
        </is>
      </c>
      <c r="E350" s="48" t="inlineStr">
        <is>
          <t>B</t>
        </is>
      </c>
      <c r="F350" s="48" t="inlineStr">
        <is>
          <t>Q</t>
        </is>
      </c>
      <c r="G350" s="48" t="inlineStr">
        <is>
          <t>higher</t>
        </is>
      </c>
      <c r="H350" s="48" t="n">
        <v>2</v>
      </c>
      <c r="I350" s="48" t="inlineStr">
        <is>
          <t>Numero di corse aggiuntive per allungamento dell'arco di servizio giornaliero nelle fasce serali</t>
        </is>
      </c>
      <c r="J350" s="73" t="n"/>
      <c r="K350" s="73" t="n"/>
      <c r="L350" s="73" t="n"/>
      <c r="M350" s="73" t="n"/>
      <c r="N350" s="57">
        <f>IF($A350="","",IFERROR(VALUE($J350),0))</f>
        <v/>
      </c>
      <c r="O350" s="57">
        <f>IF($A350="",0,IF(OR($S350&lt;&gt;1,COUNTA($J350:$M350)=0),0,IF(SUMPRODUCT(MAX(($C$5:$C$2484=$C350)*($D$5:$D$2484=$D350)*($S$5:$S$2484=1)*IFERROR($N$5:$N$2484*1,0)))&gt;0,ROUND($H350*($N350/SUMPRODUCT(MAX(($C$5:$C$2484=$C350)*($D$5:$D$2484=$D350)*($S$5:$S$2484=1)*IFERROR($N$5:$N$2484*1,0)))),4),0)))</f>
        <v/>
      </c>
      <c r="P350" s="48" t="inlineStr">
        <is>
          <t>corse</t>
        </is>
      </c>
      <c r="Q350" s="57">
        <f>IF($A350="","",$A350&amp;"|"&amp;$C350)</f>
        <v/>
      </c>
      <c r="R350" s="57">
        <f>IF($A350="","",$A350&amp;"|"&amp;$C350&amp;"|"&amp;$D350)</f>
        <v/>
      </c>
      <c r="S350" s="57">
        <f>IF($A350="","",IFERROR(INDEX(Offerte!$D$2:$D$81,MATCH($Q350,Offerte!$L$2:$L$81,0)),0))</f>
        <v/>
      </c>
      <c r="T350" s="57">
        <f>IF($A350="","",IFERROR(INDEX(Offerte!$G$2:$G$81,MATCH($Q350,Offerte!$L$2:$L$81,0)),"NO"))</f>
        <v/>
      </c>
    </row>
    <row r="351">
      <c r="A351" s="48">
        <f>IF(Offerte!$A13="","",Offerte!$A13)</f>
        <v/>
      </c>
      <c r="B351" s="48">
        <f>IF(Offerte!$A13="","",Offerte!$B13)</f>
        <v/>
      </c>
      <c r="C351" s="48">
        <f>IF(Offerte!$A13="","",Offerte!$C13)</f>
        <v/>
      </c>
      <c r="D351" s="48" t="inlineStr">
        <is>
          <t>B.4.1</t>
        </is>
      </c>
      <c r="E351" s="48" t="inlineStr">
        <is>
          <t>B</t>
        </is>
      </c>
      <c r="F351" s="48" t="inlineStr">
        <is>
          <t>Q</t>
        </is>
      </c>
      <c r="G351" s="48" t="inlineStr">
        <is>
          <t>higher</t>
        </is>
      </c>
      <c r="H351" s="48" t="n">
        <v>3</v>
      </c>
      <c r="I351" s="48" t="inlineStr">
        <is>
          <t>Percorrenze aggiuntive offerte nel Programma d'esercizio delle prime due fasi attuative</t>
        </is>
      </c>
      <c r="J351" s="73" t="n"/>
      <c r="K351" s="73" t="n"/>
      <c r="L351" s="73" t="n"/>
      <c r="M351" s="73" t="n"/>
      <c r="N351" s="57">
        <f>IF($A351="","",IFERROR(VALUE($J351),0))</f>
        <v/>
      </c>
      <c r="O351" s="57">
        <f>IF($A351="",0,IF(OR($S351&lt;&gt;1,COUNTA($J351:$M351)=0),0,IF(SUMPRODUCT(MAX(($C$5:$C$2484=$C351)*($D$5:$D$2484=$D351)*($S$5:$S$2484=1)*IFERROR($N$5:$N$2484*1,0)))&gt;0,ROUND($H351*($N351/SUMPRODUCT(MAX(($C$5:$C$2484=$C351)*($D$5:$D$2484=$D351)*($S$5:$S$2484=1)*IFERROR($N$5:$N$2484*1,0)))),4),0)))</f>
        <v/>
      </c>
      <c r="P351" s="48" t="inlineStr">
        <is>
          <t>vett*km</t>
        </is>
      </c>
      <c r="Q351" s="57">
        <f>IF($A351="","",$A351&amp;"|"&amp;$C351)</f>
        <v/>
      </c>
      <c r="R351" s="57">
        <f>IF($A351="","",$A351&amp;"|"&amp;$C351&amp;"|"&amp;$D351)</f>
        <v/>
      </c>
      <c r="S351" s="57">
        <f>IF($A351="","",IFERROR(INDEX(Offerte!$D$2:$D$81,MATCH($Q351,Offerte!$L$2:$L$81,0)),0))</f>
        <v/>
      </c>
      <c r="T351" s="57">
        <f>IF($A351="","",IFERROR(INDEX(Offerte!$G$2:$G$81,MATCH($Q351,Offerte!$L$2:$L$81,0)),"NO"))</f>
        <v/>
      </c>
    </row>
    <row r="352">
      <c r="A352" s="48">
        <f>IF(Offerte!$A13="","",Offerte!$A13)</f>
        <v/>
      </c>
      <c r="B352" s="48">
        <f>IF(Offerte!$A13="","",Offerte!$B13)</f>
        <v/>
      </c>
      <c r="C352" s="48">
        <f>IF(Offerte!$A13="","",Offerte!$C13)</f>
        <v/>
      </c>
      <c r="D352" s="48" t="inlineStr">
        <is>
          <t>B.5.1</t>
        </is>
      </c>
      <c r="E352" s="48" t="inlineStr">
        <is>
          <t>B</t>
        </is>
      </c>
      <c r="F352" s="48" t="inlineStr">
        <is>
          <t>D</t>
        </is>
      </c>
      <c r="G352" s="48" t="inlineStr">
        <is>
          <t>discretionary</t>
        </is>
      </c>
      <c r="H352" s="48" t="n">
        <v>2</v>
      </c>
      <c r="I352" s="48" t="inlineStr">
        <is>
          <t>Efficacia del progetto di servizi complementari DRT</t>
        </is>
      </c>
      <c r="J352" s="73" t="n"/>
      <c r="K352" s="73" t="n"/>
      <c r="L352" s="73" t="n"/>
      <c r="M352" s="73" t="n"/>
      <c r="N352" s="57">
        <f>IF($A352="","",MAX(0,MIN(1,IFERROR(VALUE($M352),0))))</f>
        <v/>
      </c>
      <c r="O352" s="57">
        <f>IF($A352="",0,IF(OR($S352&lt;&gt;1,COUNTA($J352:$M352)=0),0,IF(SUMPRODUCT(MAX(($C$5:$C$2484=$C352)*($D$5:$D$2484=$D352)*($S$5:$S$2484=1)*IFERROR($N$5:$N$2484*1,0)))&gt;0,ROUND($H352*($N352/SUMPRODUCT(MAX(($C$5:$C$2484=$C352)*($D$5:$D$2484=$D352)*($S$5:$S$2484=1)*IFERROR($N$5:$N$2484*1,0)))),4),0)))</f>
        <v/>
      </c>
      <c r="P352" s="48" t="inlineStr">
        <is>
          <t>coeff.</t>
        </is>
      </c>
      <c r="Q352" s="57">
        <f>IF($A352="","",$A352&amp;"|"&amp;$C352)</f>
        <v/>
      </c>
      <c r="R352" s="57">
        <f>IF($A352="","",$A352&amp;"|"&amp;$C352&amp;"|"&amp;$D352)</f>
        <v/>
      </c>
      <c r="S352" s="57">
        <f>IF($A352="","",IFERROR(INDEX(Offerte!$D$2:$D$81,MATCH($Q352,Offerte!$L$2:$L$81,0)),0))</f>
        <v/>
      </c>
      <c r="T352" s="57">
        <f>IF($A352="","",IFERROR(INDEX(Offerte!$G$2:$G$81,MATCH($Q352,Offerte!$L$2:$L$81,0)),"NO"))</f>
        <v/>
      </c>
    </row>
    <row r="353">
      <c r="A353" s="48">
        <f>IF(Offerte!$A13="","",Offerte!$A13)</f>
        <v/>
      </c>
      <c r="B353" s="48">
        <f>IF(Offerte!$A13="","",Offerte!$B13)</f>
        <v/>
      </c>
      <c r="C353" s="48">
        <f>IF(Offerte!$A13="","",Offerte!$C13)</f>
        <v/>
      </c>
      <c r="D353" s="48" t="inlineStr">
        <is>
          <t>C.1.1</t>
        </is>
      </c>
      <c r="E353" s="48" t="inlineStr">
        <is>
          <t>C</t>
        </is>
      </c>
      <c r="F353" s="48" t="inlineStr">
        <is>
          <t>Q</t>
        </is>
      </c>
      <c r="G353" s="48" t="inlineStr">
        <is>
          <t>higher</t>
        </is>
      </c>
      <c r="H353" s="48" t="n">
        <v>2</v>
      </c>
      <c r="I353" s="48" t="inlineStr">
        <is>
          <t>Tasso di copertura del servizio con telecamere BSD</t>
        </is>
      </c>
      <c r="J353" s="73" t="n"/>
      <c r="K353" s="73" t="n"/>
      <c r="L353" s="73" t="n"/>
      <c r="M353" s="73" t="n"/>
      <c r="N353" s="57">
        <f>IF($A353="","",IFERROR(VALUE($K353)/VALUE($L353),IFERROR(VALUE($J353),0)))</f>
        <v/>
      </c>
      <c r="O353" s="57">
        <f>IF($A353="",0,IF(OR($S353&lt;&gt;1,COUNTA($J353:$M353)=0),0,IF(SUMPRODUCT(MAX(($C$5:$C$2484=$C353)*($D$5:$D$2484=$D353)*($S$5:$S$2484=1)*IFERROR($N$5:$N$2484*1,0)))&gt;0,ROUND($H353*($N353/SUMPRODUCT(MAX(($C$5:$C$2484=$C353)*($D$5:$D$2484=$D353)*($S$5:$S$2484=1)*IFERROR($N$5:$N$2484*1,0)))),4),0)))</f>
        <v/>
      </c>
      <c r="P353" s="48" t="inlineStr">
        <is>
          <t>Autobus attrezzati con telecamere BSD / Autobus totali in offerta, incluse scorte</t>
        </is>
      </c>
      <c r="Q353" s="57">
        <f>IF($A353="","",$A353&amp;"|"&amp;$C353)</f>
        <v/>
      </c>
      <c r="R353" s="57">
        <f>IF($A353="","",$A353&amp;"|"&amp;$C353&amp;"|"&amp;$D353)</f>
        <v/>
      </c>
      <c r="S353" s="57">
        <f>IF($A353="","",IFERROR(INDEX(Offerte!$D$2:$D$81,MATCH($Q353,Offerte!$L$2:$L$81,0)),0))</f>
        <v/>
      </c>
      <c r="T353" s="57">
        <f>IF($A353="","",IFERROR(INDEX(Offerte!$G$2:$G$81,MATCH($Q353,Offerte!$L$2:$L$81,0)),"NO"))</f>
        <v/>
      </c>
    </row>
    <row r="354">
      <c r="A354" s="48">
        <f>IF(Offerte!$A13="","",Offerte!$A13)</f>
        <v/>
      </c>
      <c r="B354" s="48">
        <f>IF(Offerte!$A13="","",Offerte!$B13)</f>
        <v/>
      </c>
      <c r="C354" s="48">
        <f>IF(Offerte!$A13="","",Offerte!$C13)</f>
        <v/>
      </c>
      <c r="D354" s="48" t="inlineStr">
        <is>
          <t>C.1.2</t>
        </is>
      </c>
      <c r="E354" s="48" t="inlineStr">
        <is>
          <t>C</t>
        </is>
      </c>
      <c r="F354" s="48" t="inlineStr">
        <is>
          <t>Q</t>
        </is>
      </c>
      <c r="G354" s="48" t="inlineStr">
        <is>
          <t>higher</t>
        </is>
      </c>
      <c r="H354" s="48" t="n">
        <v>2</v>
      </c>
      <c r="I354" s="48" t="inlineStr">
        <is>
          <t>Tasso di copertura del servizio con telecamere ADAS</t>
        </is>
      </c>
      <c r="J354" s="73" t="n"/>
      <c r="K354" s="73" t="n"/>
      <c r="L354" s="73" t="n"/>
      <c r="M354" s="73" t="n"/>
      <c r="N354" s="57">
        <f>IF($A354="","",IFERROR(VALUE($K354)/VALUE($L354),IFERROR(VALUE($J354),0)))</f>
        <v/>
      </c>
      <c r="O354" s="57">
        <f>IF($A354="",0,IF(OR($S354&lt;&gt;1,COUNTA($J354:$M354)=0),0,IF(SUMPRODUCT(MAX(($C$5:$C$2484=$C354)*($D$5:$D$2484=$D354)*($S$5:$S$2484=1)*IFERROR($N$5:$N$2484*1,0)))&gt;0,ROUND($H354*($N354/SUMPRODUCT(MAX(($C$5:$C$2484=$C354)*($D$5:$D$2484=$D354)*($S$5:$S$2484=1)*IFERROR($N$5:$N$2484*1,0)))),4),0)))</f>
        <v/>
      </c>
      <c r="P354" s="48" t="inlineStr">
        <is>
          <t>Autobus attrezzati con telecamere ADAS / Autobus totali in offerta, incluse scorte</t>
        </is>
      </c>
      <c r="Q354" s="57">
        <f>IF($A354="","",$A354&amp;"|"&amp;$C354)</f>
        <v/>
      </c>
      <c r="R354" s="57">
        <f>IF($A354="","",$A354&amp;"|"&amp;$C354&amp;"|"&amp;$D354)</f>
        <v/>
      </c>
      <c r="S354" s="57">
        <f>IF($A354="","",IFERROR(INDEX(Offerte!$D$2:$D$81,MATCH($Q354,Offerte!$L$2:$L$81,0)),0))</f>
        <v/>
      </c>
      <c r="T354" s="57">
        <f>IF($A354="","",IFERROR(INDEX(Offerte!$G$2:$G$81,MATCH($Q354,Offerte!$L$2:$L$81,0)),"NO"))</f>
        <v/>
      </c>
    </row>
    <row r="355">
      <c r="A355" s="48">
        <f>IF(Offerte!$A13="","",Offerte!$A13)</f>
        <v/>
      </c>
      <c r="B355" s="48">
        <f>IF(Offerte!$A13="","",Offerte!$B13)</f>
        <v/>
      </c>
      <c r="C355" s="48">
        <f>IF(Offerte!$A13="","",Offerte!$C13)</f>
        <v/>
      </c>
      <c r="D355" s="48" t="inlineStr">
        <is>
          <t>C.2.1</t>
        </is>
      </c>
      <c r="E355" s="48" t="inlineStr">
        <is>
          <t>C</t>
        </is>
      </c>
      <c r="F355" s="48" t="inlineStr">
        <is>
          <t>Q</t>
        </is>
      </c>
      <c r="G355" s="48" t="inlineStr">
        <is>
          <t>higher</t>
        </is>
      </c>
      <c r="H355" s="48" t="n">
        <v>3</v>
      </c>
      <c r="I355" s="48" t="inlineStr">
        <is>
          <t>Tasso di copertura del servizio con telecamere di bordo di videosorveglianza</t>
        </is>
      </c>
      <c r="J355" s="73" t="n"/>
      <c r="K355" s="73" t="n"/>
      <c r="L355" s="73" t="n"/>
      <c r="M355" s="73" t="n"/>
      <c r="N355" s="57">
        <f>IF($A355="","",IFERROR(VALUE($K355)/VALUE($L355),IFERROR(VALUE($J355),0)))</f>
        <v/>
      </c>
      <c r="O355" s="57">
        <f>IF($A355="",0,IF(OR($S355&lt;&gt;1,COUNTA($J355:$M355)=0),0,IF(SUMPRODUCT(MAX(($C$5:$C$2484=$C355)*($D$5:$D$2484=$D355)*($S$5:$S$2484=1)*IFERROR($N$5:$N$2484*1,0)))&gt;0,ROUND($H355*($N355/SUMPRODUCT(MAX(($C$5:$C$2484=$C355)*($D$5:$D$2484=$D355)*($S$5:$S$2484=1)*IFERROR($N$5:$N$2484*1,0)))),4),0)))</f>
        <v/>
      </c>
      <c r="P355" s="48" t="inlineStr">
        <is>
          <t>Autobus attrezzati con videosorveglianza / Autobus totali in offerta, incluse scorte</t>
        </is>
      </c>
      <c r="Q355" s="57">
        <f>IF($A355="","",$A355&amp;"|"&amp;$C355)</f>
        <v/>
      </c>
      <c r="R355" s="57">
        <f>IF($A355="","",$A355&amp;"|"&amp;$C355&amp;"|"&amp;$D355)</f>
        <v/>
      </c>
      <c r="S355" s="57">
        <f>IF($A355="","",IFERROR(INDEX(Offerte!$D$2:$D$81,MATCH($Q355,Offerte!$L$2:$L$81,0)),0))</f>
        <v/>
      </c>
      <c r="T355" s="57">
        <f>IF($A355="","",IFERROR(INDEX(Offerte!$G$2:$G$81,MATCH($Q355,Offerte!$L$2:$L$81,0)),"NO"))</f>
        <v/>
      </c>
    </row>
    <row r="356">
      <c r="A356" s="48">
        <f>IF(Offerte!$A13="","",Offerte!$A13)</f>
        <v/>
      </c>
      <c r="B356" s="48">
        <f>IF(Offerte!$A13="","",Offerte!$B13)</f>
        <v/>
      </c>
      <c r="C356" s="48">
        <f>IF(Offerte!$A13="","",Offerte!$C13)</f>
        <v/>
      </c>
      <c r="D356" s="48" t="inlineStr">
        <is>
          <t>C.2.2</t>
        </is>
      </c>
      <c r="E356" s="48" t="inlineStr">
        <is>
          <t>C</t>
        </is>
      </c>
      <c r="F356" s="48" t="inlineStr">
        <is>
          <t>T</t>
        </is>
      </c>
      <c r="G356" s="48" t="inlineStr">
        <is>
          <t>tabular</t>
        </is>
      </c>
      <c r="H356" s="48" t="n">
        <v>1</v>
      </c>
      <c r="I356" s="48" t="inlineStr">
        <is>
          <t>Software video/audio analisi per situazioni di pericolo</t>
        </is>
      </c>
      <c r="J356" s="73" t="n"/>
      <c r="K356" s="73" t="n"/>
      <c r="L356" s="73" t="n"/>
      <c r="M356" s="73" t="n"/>
      <c r="N356" s="57">
        <f>IF($A356="","",IF(IFERROR(VALUE($M356),0)=1,1,0))</f>
        <v/>
      </c>
      <c r="O356" s="57">
        <f>IF($A356="",0,IF(OR($S356&lt;&gt;1,COUNTA($J356:$M356)=0),0,IF($N356=1,$H356,0)))</f>
        <v/>
      </c>
      <c r="P356" s="48" t="inlineStr">
        <is>
          <t>sì/no</t>
        </is>
      </c>
      <c r="Q356" s="57">
        <f>IF($A356="","",$A356&amp;"|"&amp;$C356)</f>
        <v/>
      </c>
      <c r="R356" s="57">
        <f>IF($A356="","",$A356&amp;"|"&amp;$C356&amp;"|"&amp;$D356)</f>
        <v/>
      </c>
      <c r="S356" s="57">
        <f>IF($A356="","",IFERROR(INDEX(Offerte!$D$2:$D$81,MATCH($Q356,Offerte!$L$2:$L$81,0)),0))</f>
        <v/>
      </c>
      <c r="T356" s="57">
        <f>IF($A356="","",IFERROR(INDEX(Offerte!$G$2:$G$81,MATCH($Q356,Offerte!$L$2:$L$81,0)),"NO"))</f>
        <v/>
      </c>
    </row>
    <row r="357">
      <c r="A357" s="48">
        <f>IF(Offerte!$A13="","",Offerte!$A13)</f>
        <v/>
      </c>
      <c r="B357" s="48">
        <f>IF(Offerte!$A13="","",Offerte!$B13)</f>
        <v/>
      </c>
      <c r="C357" s="48">
        <f>IF(Offerte!$A13="","",Offerte!$C13)</f>
        <v/>
      </c>
      <c r="D357" s="48" t="inlineStr">
        <is>
          <t>C.2.3</t>
        </is>
      </c>
      <c r="E357" s="48" t="inlineStr">
        <is>
          <t>C</t>
        </is>
      </c>
      <c r="F357" s="48" t="inlineStr">
        <is>
          <t>T</t>
        </is>
      </c>
      <c r="G357" s="48" t="inlineStr">
        <is>
          <t>tabular</t>
        </is>
      </c>
      <c r="H357" s="48" t="n">
        <v>1</v>
      </c>
      <c r="I357" s="48" t="inlineStr">
        <is>
          <t>Collegamento con centrale qualificata di pronto intervento</t>
        </is>
      </c>
      <c r="J357" s="73" t="n"/>
      <c r="K357" s="73" t="n"/>
      <c r="L357" s="73" t="n"/>
      <c r="M357" s="73" t="n"/>
      <c r="N357" s="57">
        <f>IF($A357="","",IF(IFERROR(VALUE($M357),0)=1,1,0))</f>
        <v/>
      </c>
      <c r="O357" s="57">
        <f>IF($A357="",0,IF(OR($S357&lt;&gt;1,COUNTA($J357:$M357)=0),0,IF($N357=1,$H357,0)))</f>
        <v/>
      </c>
      <c r="P357" s="48" t="inlineStr">
        <is>
          <t>sì/no</t>
        </is>
      </c>
      <c r="Q357" s="57">
        <f>IF($A357="","",$A357&amp;"|"&amp;$C357)</f>
        <v/>
      </c>
      <c r="R357" s="57">
        <f>IF($A357="","",$A357&amp;"|"&amp;$C357&amp;"|"&amp;$D357)</f>
        <v/>
      </c>
      <c r="S357" s="57">
        <f>IF($A357="","",IFERROR(INDEX(Offerte!$D$2:$D$81,MATCH($Q357,Offerte!$L$2:$L$81,0)),0))</f>
        <v/>
      </c>
      <c r="T357" s="57">
        <f>IF($A357="","",IFERROR(INDEX(Offerte!$G$2:$G$81,MATCH($Q357,Offerte!$L$2:$L$81,0)),"NO"))</f>
        <v/>
      </c>
    </row>
    <row r="358">
      <c r="A358" s="48">
        <f>IF(Offerte!$A13="","",Offerte!$A13)</f>
        <v/>
      </c>
      <c r="B358" s="48">
        <f>IF(Offerte!$A13="","",Offerte!$B13)</f>
        <v/>
      </c>
      <c r="C358" s="48">
        <f>IF(Offerte!$A13="","",Offerte!$C13)</f>
        <v/>
      </c>
      <c r="D358" s="48" t="inlineStr">
        <is>
          <t>C.2.4</t>
        </is>
      </c>
      <c r="E358" s="48" t="inlineStr">
        <is>
          <t>C</t>
        </is>
      </c>
      <c r="F358" s="48" t="inlineStr">
        <is>
          <t>Q</t>
        </is>
      </c>
      <c r="G358" s="48" t="inlineStr">
        <is>
          <t>higher</t>
        </is>
      </c>
      <c r="H358" s="48" t="n">
        <v>1</v>
      </c>
      <c r="I358" s="48" t="inlineStr">
        <is>
          <t>Tasso di copertura del servizio con dispositivi per la chiamata di emergenza del conducente</t>
        </is>
      </c>
      <c r="J358" s="73" t="n"/>
      <c r="K358" s="73" t="n"/>
      <c r="L358" s="73" t="n"/>
      <c r="M358" s="73" t="n"/>
      <c r="N358" s="57">
        <f>IF($A358="","",IFERROR(VALUE($K358)/VALUE($L358),IFERROR(VALUE($J358),0)))</f>
        <v/>
      </c>
      <c r="O358" s="57">
        <f>IF($A358="",0,IF(OR($S358&lt;&gt;1,COUNTA($J358:$M358)=0),0,IF(SUMPRODUCT(MAX(($C$5:$C$2484=$C358)*($D$5:$D$2484=$D358)*($S$5:$S$2484=1)*IFERROR($N$5:$N$2484*1,0)))&gt;0,ROUND($H358*($N358/SUMPRODUCT(MAX(($C$5:$C$2484=$C358)*($D$5:$D$2484=$D358)*($S$5:$S$2484=1)*IFERROR($N$5:$N$2484*1,0)))),4),0)))</f>
        <v/>
      </c>
      <c r="P358" s="48" t="inlineStr">
        <is>
          <t>Autobus attrezzati con chiamata di emergenza / Autobus totali in offerta, incluse scorte</t>
        </is>
      </c>
      <c r="Q358" s="57">
        <f>IF($A358="","",$A358&amp;"|"&amp;$C358)</f>
        <v/>
      </c>
      <c r="R358" s="57">
        <f>IF($A358="","",$A358&amp;"|"&amp;$C358&amp;"|"&amp;$D358)</f>
        <v/>
      </c>
      <c r="S358" s="57">
        <f>IF($A358="","",IFERROR(INDEX(Offerte!$D$2:$D$81,MATCH($Q358,Offerte!$L$2:$L$81,0)),0))</f>
        <v/>
      </c>
      <c r="T358" s="57">
        <f>IF($A358="","",IFERROR(INDEX(Offerte!$G$2:$G$81,MATCH($Q358,Offerte!$L$2:$L$81,0)),"NO"))</f>
        <v/>
      </c>
    </row>
    <row r="359">
      <c r="A359" s="48">
        <f>IF(Offerte!$A13="","",Offerte!$A13)</f>
        <v/>
      </c>
      <c r="B359" s="48">
        <f>IF(Offerte!$A13="","",Offerte!$B13)</f>
        <v/>
      </c>
      <c r="C359" s="48">
        <f>IF(Offerte!$A13="","",Offerte!$C13)</f>
        <v/>
      </c>
      <c r="D359" s="48" t="inlineStr">
        <is>
          <t>C.3.1</t>
        </is>
      </c>
      <c r="E359" s="48" t="inlineStr">
        <is>
          <t>C</t>
        </is>
      </c>
      <c r="F359" s="48" t="inlineStr">
        <is>
          <t>Q</t>
        </is>
      </c>
      <c r="G359" s="48" t="inlineStr">
        <is>
          <t>higher</t>
        </is>
      </c>
      <c r="H359" s="48" t="n">
        <v>2</v>
      </c>
      <c r="I359" s="48" t="inlineStr">
        <is>
          <t>Tasso di copertura del servizio con dispositivi di informazione dinamica a bordo mezzo</t>
        </is>
      </c>
      <c r="J359" s="73" t="n"/>
      <c r="K359" s="73" t="n"/>
      <c r="L359" s="73" t="n"/>
      <c r="M359" s="73" t="n"/>
      <c r="N359" s="57">
        <f>IF($A359="","",IFERROR(VALUE($K359)/VALUE($L359),IFERROR(VALUE($J359),0)))</f>
        <v/>
      </c>
      <c r="O359" s="57">
        <f>IF($A359="",0,IF(OR($S359&lt;&gt;1,COUNTA($J359:$M359)=0),0,IF(SUMPRODUCT(MAX(($C$5:$C$2484=$C359)*($D$5:$D$2484=$D359)*($S$5:$S$2484=1)*IFERROR($N$5:$N$2484*1,0)))&gt;0,ROUND($H359*($N359/SUMPRODUCT(MAX(($C$5:$C$2484=$C359)*($D$5:$D$2484=$D359)*($S$5:$S$2484=1)*IFERROR($N$5:$N$2484*1,0)))),4),0)))</f>
        <v/>
      </c>
      <c r="P359" s="48" t="inlineStr">
        <is>
          <t>Autobus con monitor e indicatori vocali / Autobus totali in offerta, incluse scorte</t>
        </is>
      </c>
      <c r="Q359" s="57">
        <f>IF($A359="","",$A359&amp;"|"&amp;$C359)</f>
        <v/>
      </c>
      <c r="R359" s="57">
        <f>IF($A359="","",$A359&amp;"|"&amp;$C359&amp;"|"&amp;$D359)</f>
        <v/>
      </c>
      <c r="S359" s="57">
        <f>IF($A359="","",IFERROR(INDEX(Offerte!$D$2:$D$81,MATCH($Q359,Offerte!$L$2:$L$81,0)),0))</f>
        <v/>
      </c>
      <c r="T359" s="57">
        <f>IF($A359="","",IFERROR(INDEX(Offerte!$G$2:$G$81,MATCH($Q359,Offerte!$L$2:$L$81,0)),"NO"))</f>
        <v/>
      </c>
    </row>
    <row r="360">
      <c r="A360" s="48">
        <f>IF(Offerte!$A13="","",Offerte!$A13)</f>
        <v/>
      </c>
      <c r="B360" s="48">
        <f>IF(Offerte!$A13="","",Offerte!$B13)</f>
        <v/>
      </c>
      <c r="C360" s="48">
        <f>IF(Offerte!$A13="","",Offerte!$C13)</f>
        <v/>
      </c>
      <c r="D360" s="48" t="inlineStr">
        <is>
          <t>C.3.2</t>
        </is>
      </c>
      <c r="E360" s="48" t="inlineStr">
        <is>
          <t>C</t>
        </is>
      </c>
      <c r="F360" s="48" t="inlineStr">
        <is>
          <t>T</t>
        </is>
      </c>
      <c r="G360" s="48" t="inlineStr">
        <is>
          <t>tabular</t>
        </is>
      </c>
      <c r="H360" s="48" t="n">
        <v>2</v>
      </c>
      <c r="I360" s="48" t="inlineStr">
        <is>
          <t>Informazioni a bordo su coincidenze ai nodi</t>
        </is>
      </c>
      <c r="J360" s="73" t="n"/>
      <c r="K360" s="73" t="n"/>
      <c r="L360" s="73" t="n"/>
      <c r="M360" s="73" t="n"/>
      <c r="N360" s="57">
        <f>IF($A360="","",IF(IFERROR(VALUE($M360),0)=1,1,0))</f>
        <v/>
      </c>
      <c r="O360" s="57">
        <f>IF($A360="",0,IF(OR($S360&lt;&gt;1,COUNTA($J360:$M360)=0),0,IF(AND($N360=1,IFERROR(SUMIFS($N$5:$N$2484,$Q$5:$Q$2484,$Q360,$D$5:$D$2484,"C.3.1"),0)&gt;=0.5),$H360,0)))</f>
        <v/>
      </c>
      <c r="P360" s="48" t="inlineStr">
        <is>
          <t>Dipende da C.3.1 &gt;= 0.5</t>
        </is>
      </c>
      <c r="Q360" s="57">
        <f>IF($A360="","",$A360&amp;"|"&amp;$C360)</f>
        <v/>
      </c>
      <c r="R360" s="57">
        <f>IF($A360="","",$A360&amp;"|"&amp;$C360&amp;"|"&amp;$D360)</f>
        <v/>
      </c>
      <c r="S360" s="57">
        <f>IF($A360="","",IFERROR(INDEX(Offerte!$D$2:$D$81,MATCH($Q360,Offerte!$L$2:$L$81,0)),0))</f>
        <v/>
      </c>
      <c r="T360" s="57">
        <f>IF($A360="","",IFERROR(INDEX(Offerte!$G$2:$G$81,MATCH($Q360,Offerte!$L$2:$L$81,0)),"NO"))</f>
        <v/>
      </c>
    </row>
    <row r="361">
      <c r="A361" s="48">
        <f>IF(Offerte!$A13="","",Offerte!$A13)</f>
        <v/>
      </c>
      <c r="B361" s="48">
        <f>IF(Offerte!$A13="","",Offerte!$B13)</f>
        <v/>
      </c>
      <c r="C361" s="48">
        <f>IF(Offerte!$A13="","",Offerte!$C13)</f>
        <v/>
      </c>
      <c r="D361" s="48" t="inlineStr">
        <is>
          <t>D.1.1</t>
        </is>
      </c>
      <c r="E361" s="48" t="inlineStr">
        <is>
          <t>D</t>
        </is>
      </c>
      <c r="F361" s="48" t="inlineStr">
        <is>
          <t>Q</t>
        </is>
      </c>
      <c r="G361" s="48" t="inlineStr">
        <is>
          <t>higher</t>
        </is>
      </c>
      <c r="H361" s="48" t="n">
        <v>3</v>
      </c>
      <c r="I361" s="48" t="inlineStr">
        <is>
          <t>Installazione di pensiline</t>
        </is>
      </c>
      <c r="J361" s="73" t="n"/>
      <c r="K361" s="73" t="n"/>
      <c r="L361" s="73" t="n"/>
      <c r="M361" s="73" t="n"/>
      <c r="N361" s="57">
        <f>IF($A361="","",IFERROR(VALUE($J361),0))</f>
        <v/>
      </c>
      <c r="O361" s="57">
        <f>IF($A361="",0,IF(OR($S361&lt;&gt;1,COUNTA($J361:$M361)=0),0,IF(SUMPRODUCT(MAX(($C$5:$C$2484=$C361)*($D$5:$D$2484=$D361)*($S$5:$S$2484=1)*IFERROR($N$5:$N$2484*1,0)))&gt;0,ROUND($H361*($N361/SUMPRODUCT(MAX(($C$5:$C$2484=$C361)*($D$5:$D$2484=$D361)*($S$5:$S$2484=1)*IFERROR($N$5:$N$2484*1,0)))),4),0)))</f>
        <v/>
      </c>
      <c r="P361" s="48" t="inlineStr">
        <is>
          <t>fermate</t>
        </is>
      </c>
      <c r="Q361" s="57">
        <f>IF($A361="","",$A361&amp;"|"&amp;$C361)</f>
        <v/>
      </c>
      <c r="R361" s="57">
        <f>IF($A361="","",$A361&amp;"|"&amp;$C361&amp;"|"&amp;$D361)</f>
        <v/>
      </c>
      <c r="S361" s="57">
        <f>IF($A361="","",IFERROR(INDEX(Offerte!$D$2:$D$81,MATCH($Q361,Offerte!$L$2:$L$81,0)),0))</f>
        <v/>
      </c>
      <c r="T361" s="57">
        <f>IF($A361="","",IFERROR(INDEX(Offerte!$G$2:$G$81,MATCH($Q361,Offerte!$L$2:$L$81,0)),"NO"))</f>
        <v/>
      </c>
    </row>
    <row r="362">
      <c r="A362" s="48">
        <f>IF(Offerte!$A13="","",Offerte!$A13)</f>
        <v/>
      </c>
      <c r="B362" s="48">
        <f>IF(Offerte!$A13="","",Offerte!$B13)</f>
        <v/>
      </c>
      <c r="C362" s="48">
        <f>IF(Offerte!$A13="","",Offerte!$C13)</f>
        <v/>
      </c>
      <c r="D362" s="48" t="inlineStr">
        <is>
          <t>D.1.2</t>
        </is>
      </c>
      <c r="E362" s="48" t="inlineStr">
        <is>
          <t>D</t>
        </is>
      </c>
      <c r="F362" s="48" t="inlineStr">
        <is>
          <t>Q</t>
        </is>
      </c>
      <c r="G362" s="48" t="inlineStr">
        <is>
          <t>higher</t>
        </is>
      </c>
      <c r="H362" s="48" t="n">
        <v>3</v>
      </c>
      <c r="I362" s="48" t="inlineStr">
        <is>
          <t>Installazione di paline di fermata conformi alla DGR 581/2023</t>
        </is>
      </c>
      <c r="J362" s="73" t="n"/>
      <c r="K362" s="73" t="n"/>
      <c r="L362" s="73" t="n"/>
      <c r="M362" s="73" t="n"/>
      <c r="N362" s="57">
        <f>IF($A362="","",IFERROR(VALUE($J362),0))</f>
        <v/>
      </c>
      <c r="O362" s="57">
        <f>IF($A362="",0,IF(OR($S362&lt;&gt;1,COUNTA($J362:$M362)=0),0,IF(SUMPRODUCT(MAX(($C$5:$C$2484=$C362)*($D$5:$D$2484=$D362)*($S$5:$S$2484=1)*IFERROR($N$5:$N$2484*1,0)))&gt;0,ROUND($H362*($N362/SUMPRODUCT(MAX(($C$5:$C$2484=$C362)*($D$5:$D$2484=$D362)*($S$5:$S$2484=1)*IFERROR($N$5:$N$2484*1,0)))),4),0)))</f>
        <v/>
      </c>
      <c r="P362" s="48" t="inlineStr">
        <is>
          <t>fermate</t>
        </is>
      </c>
      <c r="Q362" s="57">
        <f>IF($A362="","",$A362&amp;"|"&amp;$C362)</f>
        <v/>
      </c>
      <c r="R362" s="57">
        <f>IF($A362="","",$A362&amp;"|"&amp;$C362&amp;"|"&amp;$D362)</f>
        <v/>
      </c>
      <c r="S362" s="57">
        <f>IF($A362="","",IFERROR(INDEX(Offerte!$D$2:$D$81,MATCH($Q362,Offerte!$L$2:$L$81,0)),0))</f>
        <v/>
      </c>
      <c r="T362" s="57">
        <f>IF($A362="","",IFERROR(INDEX(Offerte!$G$2:$G$81,MATCH($Q362,Offerte!$L$2:$L$81,0)),"NO"))</f>
        <v/>
      </c>
    </row>
    <row r="363">
      <c r="A363" s="48">
        <f>IF(Offerte!$A13="","",Offerte!$A13)</f>
        <v/>
      </c>
      <c r="B363" s="48">
        <f>IF(Offerte!$A13="","",Offerte!$B13)</f>
        <v/>
      </c>
      <c r="C363" s="48">
        <f>IF(Offerte!$A13="","",Offerte!$C13)</f>
        <v/>
      </c>
      <c r="D363" s="48" t="inlineStr">
        <is>
          <t>D.1.3</t>
        </is>
      </c>
      <c r="E363" s="48" t="inlineStr">
        <is>
          <t>D</t>
        </is>
      </c>
      <c r="F363" s="48" t="inlineStr">
        <is>
          <t>Q</t>
        </is>
      </c>
      <c r="G363" s="48" t="inlineStr">
        <is>
          <t>higher</t>
        </is>
      </c>
      <c r="H363" s="48" t="n">
        <v>2</v>
      </c>
      <c r="I363" s="48" t="inlineStr">
        <is>
          <t>Display informativi connessi alle fermate</t>
        </is>
      </c>
      <c r="J363" s="73" t="n"/>
      <c r="K363" s="73" t="n"/>
      <c r="L363" s="73" t="n"/>
      <c r="M363" s="73" t="n"/>
      <c r="N363" s="57">
        <f>IF($A363="","",IFERROR(VALUE($J363),0))</f>
        <v/>
      </c>
      <c r="O363" s="57">
        <f>IF($A363="",0,IF(OR($S363&lt;&gt;1,COUNTA($J363:$M363)=0),0,IF(SUMPRODUCT(MAX(($C$5:$C$2484=$C363)*($D$5:$D$2484=$D363)*($S$5:$S$2484=1)*IFERROR($N$5:$N$2484*1,0)))&gt;0,ROUND($H363*($N363/SUMPRODUCT(MAX(($C$5:$C$2484=$C363)*($D$5:$D$2484=$D363)*($S$5:$S$2484=1)*IFERROR($N$5:$N$2484*1,0)))),4),0)))</f>
        <v/>
      </c>
      <c r="P363" s="48" t="inlineStr">
        <is>
          <t>fermate</t>
        </is>
      </c>
      <c r="Q363" s="57">
        <f>IF($A363="","",$A363&amp;"|"&amp;$C363)</f>
        <v/>
      </c>
      <c r="R363" s="57">
        <f>IF($A363="","",$A363&amp;"|"&amp;$C363&amp;"|"&amp;$D363)</f>
        <v/>
      </c>
      <c r="S363" s="57">
        <f>IF($A363="","",IFERROR(INDEX(Offerte!$D$2:$D$81,MATCH($Q363,Offerte!$L$2:$L$81,0)),0))</f>
        <v/>
      </c>
      <c r="T363" s="57">
        <f>IF($A363="","",IFERROR(INDEX(Offerte!$G$2:$G$81,MATCH($Q363,Offerte!$L$2:$L$81,0)),"NO"))</f>
        <v/>
      </c>
    </row>
    <row r="364">
      <c r="A364" s="48">
        <f>IF(Offerte!$A13="","",Offerte!$A13)</f>
        <v/>
      </c>
      <c r="B364" s="48">
        <f>IF(Offerte!$A13="","",Offerte!$B13)</f>
        <v/>
      </c>
      <c r="C364" s="48">
        <f>IF(Offerte!$A13="","",Offerte!$C13)</f>
        <v/>
      </c>
      <c r="D364" s="48" t="inlineStr">
        <is>
          <t>D.2.1</t>
        </is>
      </c>
      <c r="E364" s="48" t="inlineStr">
        <is>
          <t>D</t>
        </is>
      </c>
      <c r="F364" s="48" t="inlineStr">
        <is>
          <t>Q</t>
        </is>
      </c>
      <c r="G364" s="48" t="inlineStr">
        <is>
          <t>higher</t>
        </is>
      </c>
      <c r="H364" s="48" t="n">
        <v>2</v>
      </c>
      <c r="I364" s="48" t="inlineStr">
        <is>
          <t>Segnali tattili Loges-Vet-Evolution</t>
        </is>
      </c>
      <c r="J364" s="73" t="n"/>
      <c r="K364" s="73" t="n"/>
      <c r="L364" s="73" t="n"/>
      <c r="M364" s="73" t="n"/>
      <c r="N364" s="57">
        <f>IF($A364="","",IFERROR(VALUE($J364),0))</f>
        <v/>
      </c>
      <c r="O364" s="57">
        <f>IF($A364="",0,IF(OR($S364&lt;&gt;1,COUNTA($J364:$M364)=0),0,IF(SUMPRODUCT(MAX(($C$5:$C$2484=$C364)*($D$5:$D$2484=$D364)*($S$5:$S$2484=1)*IFERROR($N$5:$N$2484*1,0)))&gt;0,ROUND($H364*($N364/SUMPRODUCT(MAX(($C$5:$C$2484=$C364)*($D$5:$D$2484=$D364)*($S$5:$S$2484=1)*IFERROR($N$5:$N$2484*1,0)))),4),0)))</f>
        <v/>
      </c>
      <c r="P364" s="48" t="inlineStr">
        <is>
          <t>fermate</t>
        </is>
      </c>
      <c r="Q364" s="57">
        <f>IF($A364="","",$A364&amp;"|"&amp;$C364)</f>
        <v/>
      </c>
      <c r="R364" s="57">
        <f>IF($A364="","",$A364&amp;"|"&amp;$C364&amp;"|"&amp;$D364)</f>
        <v/>
      </c>
      <c r="S364" s="57">
        <f>IF($A364="","",IFERROR(INDEX(Offerte!$D$2:$D$81,MATCH($Q364,Offerte!$L$2:$L$81,0)),0))</f>
        <v/>
      </c>
      <c r="T364" s="57">
        <f>IF($A364="","",IFERROR(INDEX(Offerte!$G$2:$G$81,MATCH($Q364,Offerte!$L$2:$L$81,0)),"NO"))</f>
        <v/>
      </c>
    </row>
    <row r="365">
      <c r="A365" s="48">
        <f>IF(Offerte!$A13="","",Offerte!$A13)</f>
        <v/>
      </c>
      <c r="B365" s="48">
        <f>IF(Offerte!$A13="","",Offerte!$B13)</f>
        <v/>
      </c>
      <c r="C365" s="48">
        <f>IF(Offerte!$A13="","",Offerte!$C13)</f>
        <v/>
      </c>
      <c r="D365" s="48" t="inlineStr">
        <is>
          <t>E.1.1</t>
        </is>
      </c>
      <c r="E365" s="48" t="inlineStr">
        <is>
          <t>E</t>
        </is>
      </c>
      <c r="F365" s="48" t="inlineStr">
        <is>
          <t>T</t>
        </is>
      </c>
      <c r="G365" s="48" t="inlineStr">
        <is>
          <t>tabular</t>
        </is>
      </c>
      <c r="H365" s="48" t="n">
        <v>2</v>
      </c>
      <c r="I365" s="48" t="inlineStr">
        <is>
          <t>Mobile app con travel planner PRM</t>
        </is>
      </c>
      <c r="J365" s="73" t="n"/>
      <c r="K365" s="73" t="n"/>
      <c r="L365" s="73" t="n"/>
      <c r="M365" s="73" t="n"/>
      <c r="N365" s="57">
        <f>IF($A365="","",IF(IFERROR(VALUE($M365),0)=1,1,0))</f>
        <v/>
      </c>
      <c r="O365" s="57">
        <f>IF($A365="",0,IF(OR($S365&lt;&gt;1,COUNTA($J365:$M365)=0),0,IF($N365=1,$H365,0)))</f>
        <v/>
      </c>
      <c r="P365" s="48" t="inlineStr">
        <is>
          <t>sì/no</t>
        </is>
      </c>
      <c r="Q365" s="57">
        <f>IF($A365="","",$A365&amp;"|"&amp;$C365)</f>
        <v/>
      </c>
      <c r="R365" s="57">
        <f>IF($A365="","",$A365&amp;"|"&amp;$C365&amp;"|"&amp;$D365)</f>
        <v/>
      </c>
      <c r="S365" s="57">
        <f>IF($A365="","",IFERROR(INDEX(Offerte!$D$2:$D$81,MATCH($Q365,Offerte!$L$2:$L$81,0)),0))</f>
        <v/>
      </c>
      <c r="T365" s="57">
        <f>IF($A365="","",IFERROR(INDEX(Offerte!$G$2:$G$81,MATCH($Q365,Offerte!$L$2:$L$81,0)),"NO"))</f>
        <v/>
      </c>
    </row>
    <row r="366">
      <c r="A366" s="48">
        <f>IF(Offerte!$A13="","",Offerte!$A13)</f>
        <v/>
      </c>
      <c r="B366" s="48">
        <f>IF(Offerte!$A13="","",Offerte!$B13)</f>
        <v/>
      </c>
      <c r="C366" s="48">
        <f>IF(Offerte!$A13="","",Offerte!$C13)</f>
        <v/>
      </c>
      <c r="D366" s="48" t="inlineStr">
        <is>
          <t>E.2.1</t>
        </is>
      </c>
      <c r="E366" s="48" t="inlineStr">
        <is>
          <t>E</t>
        </is>
      </c>
      <c r="F366" s="48" t="inlineStr">
        <is>
          <t>D</t>
        </is>
      </c>
      <c r="G366" s="48" t="inlineStr">
        <is>
          <t>discretionary</t>
        </is>
      </c>
      <c r="H366" s="48" t="n">
        <v>2</v>
      </c>
      <c r="I366" s="48" t="inlineStr">
        <is>
          <t>Altre azioni informative e rapporti con gli utenti</t>
        </is>
      </c>
      <c r="J366" s="73" t="n"/>
      <c r="K366" s="73" t="n"/>
      <c r="L366" s="73" t="n"/>
      <c r="M366" s="73" t="n"/>
      <c r="N366" s="57">
        <f>IF($A366="","",MAX(0,MIN(1,IFERROR(VALUE($M366),0))))</f>
        <v/>
      </c>
      <c r="O366" s="57">
        <f>IF($A366="",0,IF(OR($S366&lt;&gt;1,COUNTA($J366:$M366)=0),0,IF(SUMPRODUCT(MAX(($C$5:$C$2484=$C366)*($D$5:$D$2484=$D366)*($S$5:$S$2484=1)*IFERROR($N$5:$N$2484*1,0)))&gt;0,ROUND($H366*($N366/SUMPRODUCT(MAX(($C$5:$C$2484=$C366)*($D$5:$D$2484=$D366)*($S$5:$S$2484=1)*IFERROR($N$5:$N$2484*1,0)))),4),0)))</f>
        <v/>
      </c>
      <c r="P366" s="48" t="inlineStr">
        <is>
          <t>coeff.</t>
        </is>
      </c>
      <c r="Q366" s="57">
        <f>IF($A366="","",$A366&amp;"|"&amp;$C366)</f>
        <v/>
      </c>
      <c r="R366" s="57">
        <f>IF($A366="","",$A366&amp;"|"&amp;$C366&amp;"|"&amp;$D366)</f>
        <v/>
      </c>
      <c r="S366" s="57">
        <f>IF($A366="","",IFERROR(INDEX(Offerte!$D$2:$D$81,MATCH($Q366,Offerte!$L$2:$L$81,0)),0))</f>
        <v/>
      </c>
      <c r="T366" s="57">
        <f>IF($A366="","",IFERROR(INDEX(Offerte!$G$2:$G$81,MATCH($Q366,Offerte!$L$2:$L$81,0)),"NO"))</f>
        <v/>
      </c>
    </row>
    <row r="367">
      <c r="A367" s="48">
        <f>IF(Offerte!$A13="","",Offerte!$A13)</f>
        <v/>
      </c>
      <c r="B367" s="48">
        <f>IF(Offerte!$A13="","",Offerte!$B13)</f>
        <v/>
      </c>
      <c r="C367" s="48">
        <f>IF(Offerte!$A13="","",Offerte!$C13)</f>
        <v/>
      </c>
      <c r="D367" s="48" t="inlineStr">
        <is>
          <t>F.1.1</t>
        </is>
      </c>
      <c r="E367" s="48" t="inlineStr">
        <is>
          <t>F</t>
        </is>
      </c>
      <c r="F367" s="48" t="inlineStr">
        <is>
          <t>Q</t>
        </is>
      </c>
      <c r="G367" s="48" t="inlineStr">
        <is>
          <t>lower</t>
        </is>
      </c>
      <c r="H367" s="48" t="n">
        <v>7</v>
      </c>
      <c r="I367" s="48" t="inlineStr">
        <is>
          <t>Performance ambientali del parco mezzi adibito al servizio - I_CEA</t>
        </is>
      </c>
      <c r="J367" s="73" t="n"/>
      <c r="K367" s="73" t="n"/>
      <c r="L367" s="73" t="n"/>
      <c r="M367" s="73" t="n"/>
      <c r="N367" s="57">
        <f>IF($A367="","",IFERROR(VALUE($J367),0))</f>
        <v/>
      </c>
      <c r="O367" s="57">
        <f>IF($A367="",0,IF(OR($S367&lt;&gt;1,COUNTA($J367:$M367)=0),0,IF(AND(IFERROR(AGGREGATE(15,6,$N$5:$N$2484/(($C$5:$C$2484=$C367)*($D$5:$D$2484=$D367)*($S$5:$S$2484=1)*($N$5:$N$2484&gt;0)),1),0)&gt;0,$N367&gt;0),ROUND($H367*(IFERROR(AGGREGATE(15,6,$N$5:$N$2484/(($C$5:$C$2484=$C367)*($D$5:$D$2484=$D367)*($S$5:$S$2484=1)*($N$5:$N$2484&gt;0)),1),0)/$N367),4),0)))</f>
        <v/>
      </c>
      <c r="P367" s="48" t="inlineStr">
        <is>
          <t>indice</t>
        </is>
      </c>
      <c r="Q367" s="57">
        <f>IF($A367="","",$A367&amp;"|"&amp;$C367)</f>
        <v/>
      </c>
      <c r="R367" s="57">
        <f>IF($A367="","",$A367&amp;"|"&amp;$C367&amp;"|"&amp;$D367)</f>
        <v/>
      </c>
      <c r="S367" s="57">
        <f>IF($A367="","",IFERROR(INDEX(Offerte!$D$2:$D$81,MATCH($Q367,Offerte!$L$2:$L$81,0)),0))</f>
        <v/>
      </c>
      <c r="T367" s="57">
        <f>IF($A367="","",IFERROR(INDEX(Offerte!$G$2:$G$81,MATCH($Q367,Offerte!$L$2:$L$81,0)),"NO"))</f>
        <v/>
      </c>
    </row>
    <row r="368">
      <c r="A368" s="48">
        <f>IF(Offerte!$A13="","",Offerte!$A13)</f>
        <v/>
      </c>
      <c r="B368" s="48">
        <f>IF(Offerte!$A13="","",Offerte!$B13)</f>
        <v/>
      </c>
      <c r="C368" s="48">
        <f>IF(Offerte!$A13="","",Offerte!$C13)</f>
        <v/>
      </c>
      <c r="D368" s="48" t="inlineStr">
        <is>
          <t>F.2.1</t>
        </is>
      </c>
      <c r="E368" s="48" t="inlineStr">
        <is>
          <t>F</t>
        </is>
      </c>
      <c r="F368" s="48" t="inlineStr">
        <is>
          <t>Q</t>
        </is>
      </c>
      <c r="G368" s="48" t="inlineStr">
        <is>
          <t>higher</t>
        </is>
      </c>
      <c r="H368" s="48" t="n">
        <v>2</v>
      </c>
      <c r="I368" s="48" t="inlineStr">
        <is>
          <t>Tasso di copertura del servizio con dispositivi ECO-DRIVER</t>
        </is>
      </c>
      <c r="J368" s="73" t="n"/>
      <c r="K368" s="73" t="n"/>
      <c r="L368" s="73" t="n"/>
      <c r="M368" s="73" t="n"/>
      <c r="N368" s="57">
        <f>IF($A368="","",IFERROR(VALUE($K368)/VALUE($L368),IFERROR(VALUE($J368),0)))</f>
        <v/>
      </c>
      <c r="O368" s="57">
        <f>IF($A368="",0,IF(OR($S368&lt;&gt;1,COUNTA($J368:$M368)=0),0,IF(SUMPRODUCT(MAX(($C$5:$C$2484=$C368)*($D$5:$D$2484=$D368)*($S$5:$S$2484=1)*IFERROR($N$5:$N$2484*1,0)))&gt;0,ROUND($H368*($N368/SUMPRODUCT(MAX(($C$5:$C$2484=$C368)*($D$5:$D$2484=$D368)*($S$5:$S$2484=1)*IFERROR($N$5:$N$2484*1,0)))),4),0)))</f>
        <v/>
      </c>
      <c r="P368" s="48" t="inlineStr">
        <is>
          <t>Autobus attrezzati con dispositivi ECO-DRIVER / Autobus totali in offerta, incluse scorte</t>
        </is>
      </c>
      <c r="Q368" s="57">
        <f>IF($A368="","",$A368&amp;"|"&amp;$C368)</f>
        <v/>
      </c>
      <c r="R368" s="57">
        <f>IF($A368="","",$A368&amp;"|"&amp;$C368&amp;"|"&amp;$D368)</f>
        <v/>
      </c>
      <c r="S368" s="57">
        <f>IF($A368="","",IFERROR(INDEX(Offerte!$D$2:$D$81,MATCH($Q368,Offerte!$L$2:$L$81,0)),0))</f>
        <v/>
      </c>
      <c r="T368" s="57">
        <f>IF($A368="","",IFERROR(INDEX(Offerte!$G$2:$G$81,MATCH($Q368,Offerte!$L$2:$L$81,0)),"NO"))</f>
        <v/>
      </c>
    </row>
    <row r="369">
      <c r="A369" s="48">
        <f>IF(Offerte!$A13="","",Offerte!$A13)</f>
        <v/>
      </c>
      <c r="B369" s="48">
        <f>IF(Offerte!$A13="","",Offerte!$B13)</f>
        <v/>
      </c>
      <c r="C369" s="48">
        <f>IF(Offerte!$A13="","",Offerte!$C13)</f>
        <v/>
      </c>
      <c r="D369" s="48" t="inlineStr">
        <is>
          <t>F.3.1</t>
        </is>
      </c>
      <c r="E369" s="48" t="inlineStr">
        <is>
          <t>F</t>
        </is>
      </c>
      <c r="F369" s="48" t="inlineStr">
        <is>
          <t>Q</t>
        </is>
      </c>
      <c r="G369" s="48" t="inlineStr">
        <is>
          <t>higher</t>
        </is>
      </c>
      <c r="H369" s="48" t="n">
        <v>2</v>
      </c>
      <c r="I369" s="48" t="inlineStr">
        <is>
          <t>Autoproduzione consumi elettrici per trazione</t>
        </is>
      </c>
      <c r="J369" s="73" t="n"/>
      <c r="K369" s="73" t="n"/>
      <c r="L369" s="73" t="n"/>
      <c r="M369" s="73" t="n"/>
      <c r="N369" s="57">
        <f>IF($A369="","",IFERROR(VALUE($J369),0))</f>
        <v/>
      </c>
      <c r="O369" s="57">
        <f>IF($A369="",0,IF(OR($S369&lt;&gt;1,COUNTA($J369:$M369)=0),0,IF(SUMPRODUCT(MAX(($C$5:$C$2484=$C369)*($D$5:$D$2484=$D369)*($S$5:$S$2484=1)*IFERROR($N$5:$N$2484*1,0)))&gt;0,ROUND($H369*($N369/SUMPRODUCT(MAX(($C$5:$C$2484=$C369)*($D$5:$D$2484=$D369)*($S$5:$S$2484=1)*IFERROR($N$5:$N$2484*1,0)))),4),0)))</f>
        <v/>
      </c>
      <c r="P369" s="48" t="inlineStr">
        <is>
          <t>kWh/anno</t>
        </is>
      </c>
      <c r="Q369" s="57">
        <f>IF($A369="","",$A369&amp;"|"&amp;$C369)</f>
        <v/>
      </c>
      <c r="R369" s="57">
        <f>IF($A369="","",$A369&amp;"|"&amp;$C369&amp;"|"&amp;$D369)</f>
        <v/>
      </c>
      <c r="S369" s="57">
        <f>IF($A369="","",IFERROR(INDEX(Offerte!$D$2:$D$81,MATCH($Q369,Offerte!$L$2:$L$81,0)),0))</f>
        <v/>
      </c>
      <c r="T369" s="57">
        <f>IF($A369="","",IFERROR(INDEX(Offerte!$G$2:$G$81,MATCH($Q369,Offerte!$L$2:$L$81,0)),"NO"))</f>
        <v/>
      </c>
    </row>
    <row r="370">
      <c r="A370" s="48">
        <f>IF(Offerte!$A13="","",Offerte!$A13)</f>
        <v/>
      </c>
      <c r="B370" s="48">
        <f>IF(Offerte!$A13="","",Offerte!$B13)</f>
        <v/>
      </c>
      <c r="C370" s="48">
        <f>IF(Offerte!$A13="","",Offerte!$C13)</f>
        <v/>
      </c>
      <c r="D370" s="48" t="inlineStr">
        <is>
          <t>F.4.1</t>
        </is>
      </c>
      <c r="E370" s="48" t="inlineStr">
        <is>
          <t>F</t>
        </is>
      </c>
      <c r="F370" s="48" t="inlineStr">
        <is>
          <t>Q</t>
        </is>
      </c>
      <c r="G370" s="48" t="inlineStr">
        <is>
          <t>soil</t>
        </is>
      </c>
      <c r="H370" s="48" t="n">
        <v>2</v>
      </c>
      <c r="I370" s="48" t="inlineStr">
        <is>
          <t>Indice di consumo di suolo</t>
        </is>
      </c>
      <c r="J370" s="73" t="n"/>
      <c r="K370" s="73" t="n"/>
      <c r="L370" s="73" t="n"/>
      <c r="M370" s="73" t="n"/>
      <c r="N370" s="57">
        <f>IF($A370="","",IFERROR(VALUE($J370),0))</f>
        <v/>
      </c>
      <c r="O370" s="57">
        <f>IF($A370="",0,IF(OR($S370&lt;&gt;1,COUNTA($J370:$M370)=0),0,IF($N370&lt;=0,$H370,IF(SUMPRODUCT(MAX(($C$5:$C$2484=$C370)*($D$5:$D$2484=$D370)*($S$5:$S$2484=1)*IFERROR($N$5:$N$2484*1,0)))&gt;0,ROUND($H370*((SUMPRODUCT(MAX(($C$5:$C$2484=$C370)*($D$5:$D$2484=$D370)*($S$5:$S$2484=1)*IFERROR($N$5:$N$2484*1,0)))-$N370)/SUMPRODUCT(MAX(($C$5:$C$2484=$C370)*($D$5:$D$2484=$D370)*($S$5:$S$2484=1)*IFERROR($N$5:$N$2484*1,0)))),4),0))))</f>
        <v/>
      </c>
      <c r="P370" s="48" t="inlineStr">
        <is>
          <t>m2</t>
        </is>
      </c>
      <c r="Q370" s="57">
        <f>IF($A370="","",$A370&amp;"|"&amp;$C370)</f>
        <v/>
      </c>
      <c r="R370" s="57">
        <f>IF($A370="","",$A370&amp;"|"&amp;$C370&amp;"|"&amp;$D370)</f>
        <v/>
      </c>
      <c r="S370" s="57">
        <f>IF($A370="","",IFERROR(INDEX(Offerte!$D$2:$D$81,MATCH($Q370,Offerte!$L$2:$L$81,0)),0))</f>
        <v/>
      </c>
      <c r="T370" s="57">
        <f>IF($A370="","",IFERROR(INDEX(Offerte!$G$2:$G$81,MATCH($Q370,Offerte!$L$2:$L$81,0)),"NO"))</f>
        <v/>
      </c>
    </row>
    <row r="371">
      <c r="A371" s="48">
        <f>IF(Offerte!$A13="","",Offerte!$A13)</f>
        <v/>
      </c>
      <c r="B371" s="48">
        <f>IF(Offerte!$A13="","",Offerte!$B13)</f>
        <v/>
      </c>
      <c r="C371" s="48">
        <f>IF(Offerte!$A13="","",Offerte!$C13)</f>
        <v/>
      </c>
      <c r="D371" s="48" t="inlineStr">
        <is>
          <t>F.5.1</t>
        </is>
      </c>
      <c r="E371" s="48" t="inlineStr">
        <is>
          <t>F</t>
        </is>
      </c>
      <c r="F371" s="48" t="inlineStr">
        <is>
          <t>T</t>
        </is>
      </c>
      <c r="G371" s="48" t="inlineStr">
        <is>
          <t>tabular</t>
        </is>
      </c>
      <c r="H371" s="48" t="n">
        <v>1</v>
      </c>
      <c r="I371" s="48" t="inlineStr">
        <is>
          <t>Rendicontazione di sostenibilità ambientale</t>
        </is>
      </c>
      <c r="J371" s="73" t="n"/>
      <c r="K371" s="73" t="n"/>
      <c r="L371" s="73" t="n"/>
      <c r="M371" s="73" t="n"/>
      <c r="N371" s="57">
        <f>IF($A371="","",IF(IFERROR(VALUE($M371),0)=1,1,0))</f>
        <v/>
      </c>
      <c r="O371" s="57">
        <f>IF($A371="",0,IF(OR($S371&lt;&gt;1,COUNTA($J371:$M371)=0),0,IF($N371=1,$H371,0)))</f>
        <v/>
      </c>
      <c r="P371" s="48" t="inlineStr">
        <is>
          <t>sì/no</t>
        </is>
      </c>
      <c r="Q371" s="57">
        <f>IF($A371="","",$A371&amp;"|"&amp;$C371)</f>
        <v/>
      </c>
      <c r="R371" s="57">
        <f>IF($A371="","",$A371&amp;"|"&amp;$C371&amp;"|"&amp;$D371)</f>
        <v/>
      </c>
      <c r="S371" s="57">
        <f>IF($A371="","",IFERROR(INDEX(Offerte!$D$2:$D$81,MATCH($Q371,Offerte!$L$2:$L$81,0)),0))</f>
        <v/>
      </c>
      <c r="T371" s="57">
        <f>IF($A371="","",IFERROR(INDEX(Offerte!$G$2:$G$81,MATCH($Q371,Offerte!$L$2:$L$81,0)),"NO"))</f>
        <v/>
      </c>
    </row>
    <row r="372">
      <c r="A372" s="48">
        <f>IF(Offerte!$A13="","",Offerte!$A13)</f>
        <v/>
      </c>
      <c r="B372" s="48">
        <f>IF(Offerte!$A13="","",Offerte!$B13)</f>
        <v/>
      </c>
      <c r="C372" s="48">
        <f>IF(Offerte!$A13="","",Offerte!$C13)</f>
        <v/>
      </c>
      <c r="D372" s="48" t="inlineStr">
        <is>
          <t>G.1.1</t>
        </is>
      </c>
      <c r="E372" s="48" t="inlineStr">
        <is>
          <t>G</t>
        </is>
      </c>
      <c r="F372" s="48" t="inlineStr">
        <is>
          <t>D</t>
        </is>
      </c>
      <c r="G372" s="48" t="inlineStr">
        <is>
          <t>discretionary</t>
        </is>
      </c>
      <c r="H372" s="48" t="n">
        <v>2</v>
      </c>
      <c r="I372" s="48" t="inlineStr">
        <is>
          <t>Qualità del progetto di centrale di controllo aziendale</t>
        </is>
      </c>
      <c r="J372" s="73" t="n"/>
      <c r="K372" s="73" t="n"/>
      <c r="L372" s="73" t="n"/>
      <c r="M372" s="73" t="n"/>
      <c r="N372" s="57">
        <f>IF($A372="","",MAX(0,MIN(1,IFERROR(VALUE($M372),0))))</f>
        <v/>
      </c>
      <c r="O372" s="57">
        <f>IF($A372="",0,IF(OR($S372&lt;&gt;1,COUNTA($J372:$M372)=0),0,IF(SUMPRODUCT(MAX(($C$5:$C$2484=$C372)*($D$5:$D$2484=$D372)*($S$5:$S$2484=1)*IFERROR($N$5:$N$2484*1,0)))&gt;0,ROUND($H372*($N372/SUMPRODUCT(MAX(($C$5:$C$2484=$C372)*($D$5:$D$2484=$D372)*($S$5:$S$2484=1)*IFERROR($N$5:$N$2484*1,0)))),4),0)))</f>
        <v/>
      </c>
      <c r="P372" s="48" t="inlineStr">
        <is>
          <t>coeff.</t>
        </is>
      </c>
      <c r="Q372" s="57">
        <f>IF($A372="","",$A372&amp;"|"&amp;$C372)</f>
        <v/>
      </c>
      <c r="R372" s="57">
        <f>IF($A372="","",$A372&amp;"|"&amp;$C372&amp;"|"&amp;$D372)</f>
        <v/>
      </c>
      <c r="S372" s="57">
        <f>IF($A372="","",IFERROR(INDEX(Offerte!$D$2:$D$81,MATCH($Q372,Offerte!$L$2:$L$81,0)),0))</f>
        <v/>
      </c>
      <c r="T372" s="57">
        <f>IF($A372="","",IFERROR(INDEX(Offerte!$G$2:$G$81,MATCH($Q372,Offerte!$L$2:$L$81,0)),"NO"))</f>
        <v/>
      </c>
    </row>
    <row r="373">
      <c r="A373" s="48">
        <f>IF(Offerte!$A13="","",Offerte!$A13)</f>
        <v/>
      </c>
      <c r="B373" s="48">
        <f>IF(Offerte!$A13="","",Offerte!$B13)</f>
        <v/>
      </c>
      <c r="C373" s="48">
        <f>IF(Offerte!$A13="","",Offerte!$C13)</f>
        <v/>
      </c>
      <c r="D373" s="48" t="inlineStr">
        <is>
          <t>G.2.1</t>
        </is>
      </c>
      <c r="E373" s="48" t="inlineStr">
        <is>
          <t>G</t>
        </is>
      </c>
      <c r="F373" s="48" t="inlineStr">
        <is>
          <t>T</t>
        </is>
      </c>
      <c r="G373" s="48" t="inlineStr">
        <is>
          <t>tabular</t>
        </is>
      </c>
      <c r="H373" s="48" t="n">
        <v>1</v>
      </c>
      <c r="I373" s="48" t="inlineStr">
        <is>
          <t>Certificazione ISO 45001</t>
        </is>
      </c>
      <c r="J373" s="73" t="n"/>
      <c r="K373" s="73" t="n"/>
      <c r="L373" s="73" t="n"/>
      <c r="M373" s="73" t="n"/>
      <c r="N373" s="57">
        <f>IF($A373="","",IF(IFERROR(VALUE($M373),0)=1,1,0))</f>
        <v/>
      </c>
      <c r="O373" s="57">
        <f>IF($A373="",0,IF(OR($S373&lt;&gt;1,COUNTA($J373:$M373)=0),0,IF($N373=1,$H373,0)))</f>
        <v/>
      </c>
      <c r="P373" s="48" t="inlineStr">
        <is>
          <t>sì/no</t>
        </is>
      </c>
      <c r="Q373" s="57">
        <f>IF($A373="","",$A373&amp;"|"&amp;$C373)</f>
        <v/>
      </c>
      <c r="R373" s="57">
        <f>IF($A373="","",$A373&amp;"|"&amp;$C373&amp;"|"&amp;$D373)</f>
        <v/>
      </c>
      <c r="S373" s="57">
        <f>IF($A373="","",IFERROR(INDEX(Offerte!$D$2:$D$81,MATCH($Q373,Offerte!$L$2:$L$81,0)),0))</f>
        <v/>
      </c>
      <c r="T373" s="57">
        <f>IF($A373="","",IFERROR(INDEX(Offerte!$G$2:$G$81,MATCH($Q373,Offerte!$L$2:$L$81,0)),"NO"))</f>
        <v/>
      </c>
    </row>
    <row r="374">
      <c r="A374" s="48">
        <f>IF(Offerte!$A13="","",Offerte!$A13)</f>
        <v/>
      </c>
      <c r="B374" s="48">
        <f>IF(Offerte!$A13="","",Offerte!$B13)</f>
        <v/>
      </c>
      <c r="C374" s="48">
        <f>IF(Offerte!$A13="","",Offerte!$C13)</f>
        <v/>
      </c>
      <c r="D374" s="48" t="inlineStr">
        <is>
          <t>G.3.1</t>
        </is>
      </c>
      <c r="E374" s="48" t="inlineStr">
        <is>
          <t>G</t>
        </is>
      </c>
      <c r="F374" s="48" t="inlineStr">
        <is>
          <t>T</t>
        </is>
      </c>
      <c r="G374" s="48" t="inlineStr">
        <is>
          <t>tabular</t>
        </is>
      </c>
      <c r="H374" s="48" t="n">
        <v>1</v>
      </c>
      <c r="I374" s="48" t="inlineStr">
        <is>
          <t>Certificazioni di responsabilità sociale</t>
        </is>
      </c>
      <c r="J374" s="73" t="n"/>
      <c r="K374" s="73" t="n"/>
      <c r="L374" s="73" t="n"/>
      <c r="M374" s="73" t="n"/>
      <c r="N374" s="57">
        <f>IF($A374="","",IF(IFERROR(VALUE($M374),0)=1,1,0))</f>
        <v/>
      </c>
      <c r="O374" s="57">
        <f>IF($A374="",0,IF(OR($S374&lt;&gt;1,COUNTA($J374:$M374)=0),0,IF($N374=1,$H374,0)))</f>
        <v/>
      </c>
      <c r="P374" s="48" t="inlineStr">
        <is>
          <t>sì/no</t>
        </is>
      </c>
      <c r="Q374" s="57">
        <f>IF($A374="","",$A374&amp;"|"&amp;$C374)</f>
        <v/>
      </c>
      <c r="R374" s="57">
        <f>IF($A374="","",$A374&amp;"|"&amp;$C374&amp;"|"&amp;$D374)</f>
        <v/>
      </c>
      <c r="S374" s="57">
        <f>IF($A374="","",IFERROR(INDEX(Offerte!$D$2:$D$81,MATCH($Q374,Offerte!$L$2:$L$81,0)),0))</f>
        <v/>
      </c>
      <c r="T374" s="57">
        <f>IF($A374="","",IFERROR(INDEX(Offerte!$G$2:$G$81,MATCH($Q374,Offerte!$L$2:$L$81,0)),"NO"))</f>
        <v/>
      </c>
    </row>
    <row r="375">
      <c r="A375" s="48">
        <f>IF(Offerte!$A13="","",Offerte!$A13)</f>
        <v/>
      </c>
      <c r="B375" s="48">
        <f>IF(Offerte!$A13="","",Offerte!$B13)</f>
        <v/>
      </c>
      <c r="C375" s="48">
        <f>IF(Offerte!$A13="","",Offerte!$C13)</f>
        <v/>
      </c>
      <c r="D375" s="48" t="inlineStr">
        <is>
          <t>G.4.1</t>
        </is>
      </c>
      <c r="E375" s="48" t="inlineStr">
        <is>
          <t>G</t>
        </is>
      </c>
      <c r="F375" s="48" t="inlineStr">
        <is>
          <t>D</t>
        </is>
      </c>
      <c r="G375" s="48" t="inlineStr">
        <is>
          <t>discretionary</t>
        </is>
      </c>
      <c r="H375" s="48" t="n">
        <v>2</v>
      </c>
      <c r="I375" s="48" t="inlineStr">
        <is>
          <t>Qualità del piano di formazione del personale</t>
        </is>
      </c>
      <c r="J375" s="73" t="n"/>
      <c r="K375" s="73" t="n"/>
      <c r="L375" s="73" t="n"/>
      <c r="M375" s="73" t="n"/>
      <c r="N375" s="57">
        <f>IF($A375="","",MAX(0,MIN(1,IFERROR(VALUE($M375),0))))</f>
        <v/>
      </c>
      <c r="O375" s="57">
        <f>IF($A375="",0,IF(OR($S375&lt;&gt;1,COUNTA($J375:$M375)=0),0,IF(SUMPRODUCT(MAX(($C$5:$C$2484=$C375)*($D$5:$D$2484=$D375)*($S$5:$S$2484=1)*IFERROR($N$5:$N$2484*1,0)))&gt;0,ROUND($H375*($N375/SUMPRODUCT(MAX(($C$5:$C$2484=$C375)*($D$5:$D$2484=$D375)*($S$5:$S$2484=1)*IFERROR($N$5:$N$2484*1,0)))),4),0)))</f>
        <v/>
      </c>
      <c r="P375" s="48" t="inlineStr">
        <is>
          <t>coeff.</t>
        </is>
      </c>
      <c r="Q375" s="57">
        <f>IF($A375="","",$A375&amp;"|"&amp;$C375)</f>
        <v/>
      </c>
      <c r="R375" s="57">
        <f>IF($A375="","",$A375&amp;"|"&amp;$C375&amp;"|"&amp;$D375)</f>
        <v/>
      </c>
      <c r="S375" s="57">
        <f>IF($A375="","",IFERROR(INDEX(Offerte!$D$2:$D$81,MATCH($Q375,Offerte!$L$2:$L$81,0)),0))</f>
        <v/>
      </c>
      <c r="T375" s="57">
        <f>IF($A375="","",IFERROR(INDEX(Offerte!$G$2:$G$81,MATCH($Q375,Offerte!$L$2:$L$81,0)),"NO"))</f>
        <v/>
      </c>
    </row>
    <row r="376">
      <c r="A376" s="48">
        <f>IF(Offerte!$A13="","",Offerte!$A13)</f>
        <v/>
      </c>
      <c r="B376" s="48">
        <f>IF(Offerte!$A13="","",Offerte!$B13)</f>
        <v/>
      </c>
      <c r="C376" s="48">
        <f>IF(Offerte!$A13="","",Offerte!$C13)</f>
        <v/>
      </c>
      <c r="D376" s="48" t="inlineStr">
        <is>
          <t>G.5.1</t>
        </is>
      </c>
      <c r="E376" s="48" t="inlineStr">
        <is>
          <t>G</t>
        </is>
      </c>
      <c r="F376" s="48" t="inlineStr">
        <is>
          <t>T</t>
        </is>
      </c>
      <c r="G376" s="48" t="inlineStr">
        <is>
          <t>tabular</t>
        </is>
      </c>
      <c r="H376" s="48" t="n">
        <v>1</v>
      </c>
      <c r="I376" s="48" t="inlineStr">
        <is>
          <t>Impegno al mantenimento delle garanzie del contratto di secondo livello del gestore uscente</t>
        </is>
      </c>
      <c r="J376" s="73" t="n"/>
      <c r="K376" s="73" t="n"/>
      <c r="L376" s="73" t="n"/>
      <c r="M376" s="73" t="n"/>
      <c r="N376" s="57">
        <f>IF($A376="","",IF(IFERROR(VALUE($M376),0)=1,1,0))</f>
        <v/>
      </c>
      <c r="O376" s="57">
        <f>IF($A376="",0,IF(OR($S376&lt;&gt;1,COUNTA($J376:$M376)=0),0,IF($N376=1,$H376,0)))</f>
        <v/>
      </c>
      <c r="P376" s="48" t="inlineStr">
        <is>
          <t>sì/no</t>
        </is>
      </c>
      <c r="Q376" s="57">
        <f>IF($A376="","",$A376&amp;"|"&amp;$C376)</f>
        <v/>
      </c>
      <c r="R376" s="57">
        <f>IF($A376="","",$A376&amp;"|"&amp;$C376&amp;"|"&amp;$D376)</f>
        <v/>
      </c>
      <c r="S376" s="57">
        <f>IF($A376="","",IFERROR(INDEX(Offerte!$D$2:$D$81,MATCH($Q376,Offerte!$L$2:$L$81,0)),0))</f>
        <v/>
      </c>
      <c r="T376" s="57">
        <f>IF($A376="","",IFERROR(INDEX(Offerte!$G$2:$G$81,MATCH($Q376,Offerte!$L$2:$L$81,0)),"NO"))</f>
        <v/>
      </c>
    </row>
    <row r="377">
      <c r="A377" s="48">
        <f>IF(Offerte!$A14="","",Offerte!$A14)</f>
        <v/>
      </c>
      <c r="B377" s="48">
        <f>IF(Offerte!$A14="","",Offerte!$B14)</f>
        <v/>
      </c>
      <c r="C377" s="48">
        <f>IF(Offerte!$A14="","",Offerte!$C14)</f>
        <v/>
      </c>
      <c r="D377" s="48" t="inlineStr">
        <is>
          <t>A.1.1</t>
        </is>
      </c>
      <c r="E377" s="48" t="inlineStr">
        <is>
          <t>A</t>
        </is>
      </c>
      <c r="F377" s="48" t="inlineStr">
        <is>
          <t>Q</t>
        </is>
      </c>
      <c r="G377" s="48" t="inlineStr">
        <is>
          <t>higher</t>
        </is>
      </c>
      <c r="H377" s="48" t="n">
        <v>3</v>
      </c>
      <c r="I377" s="48" t="inlineStr">
        <is>
          <t>Tasso aggiuntivo di corse controllate</t>
        </is>
      </c>
      <c r="J377" s="73" t="n"/>
      <c r="K377" s="73" t="n"/>
      <c r="L377" s="73" t="n"/>
      <c r="M377" s="73" t="n"/>
      <c r="N377" s="57">
        <f>IF($A377="","",IFERROR(VALUE($K377)/VALUE($L377)*100,IFERROR(VALUE($J377),0)))</f>
        <v/>
      </c>
      <c r="O377" s="57">
        <f>IF($A377="",0,IF(OR($S377&lt;&gt;1,COUNTA($J377:$M377)=0),0,IF(SUMPRODUCT(MAX(($C$5:$C$2484=$C377)*($D$5:$D$2484=$D377)*($S$5:$S$2484=1)*IFERROR($N$5:$N$2484*1,0)))&gt;0,ROUND($H377*($N377/SUMPRODUCT(MAX(($C$5:$C$2484=$C377)*($D$5:$D$2484=$D377)*($S$5:$S$2484=1)*IFERROR($N$5:$N$2484*1,0)))),4),0)))</f>
        <v/>
      </c>
      <c r="P377" s="48" t="inlineStr">
        <is>
          <t>Corse controllate annue / Corse programmate annue</t>
        </is>
      </c>
      <c r="Q377" s="57">
        <f>IF($A377="","",$A377&amp;"|"&amp;$C377)</f>
        <v/>
      </c>
      <c r="R377" s="57">
        <f>IF($A377="","",$A377&amp;"|"&amp;$C377&amp;"|"&amp;$D377)</f>
        <v/>
      </c>
      <c r="S377" s="57">
        <f>IF($A377="","",IFERROR(INDEX(Offerte!$D$2:$D$81,MATCH($Q377,Offerte!$L$2:$L$81,0)),0))</f>
        <v/>
      </c>
      <c r="T377" s="57">
        <f>IF($A377="","",IFERROR(INDEX(Offerte!$G$2:$G$81,MATCH($Q377,Offerte!$L$2:$L$81,0)),"NO"))</f>
        <v/>
      </c>
    </row>
    <row r="378">
      <c r="A378" s="48">
        <f>IF(Offerte!$A14="","",Offerte!$A14)</f>
        <v/>
      </c>
      <c r="B378" s="48">
        <f>IF(Offerte!$A14="","",Offerte!$B14)</f>
        <v/>
      </c>
      <c r="C378" s="48">
        <f>IF(Offerte!$A14="","",Offerte!$C14)</f>
        <v/>
      </c>
      <c r="D378" s="48" t="inlineStr">
        <is>
          <t>A.1.2</t>
        </is>
      </c>
      <c r="E378" s="48" t="inlineStr">
        <is>
          <t>A</t>
        </is>
      </c>
      <c r="F378" s="48" t="inlineStr">
        <is>
          <t>Q</t>
        </is>
      </c>
      <c r="G378" s="48" t="inlineStr">
        <is>
          <t>higher</t>
        </is>
      </c>
      <c r="H378" s="48" t="n">
        <v>4</v>
      </c>
      <c r="I378" s="48" t="inlineStr">
        <is>
          <t>Numero aggiuntivo di passeggeri controllati</t>
        </is>
      </c>
      <c r="J378" s="73" t="n"/>
      <c r="K378" s="73" t="n"/>
      <c r="L378" s="73" t="n"/>
      <c r="M378" s="73" t="n"/>
      <c r="N378" s="57">
        <f>IF($A378="","",IFERROR(VALUE($J378),0))</f>
        <v/>
      </c>
      <c r="O378" s="57">
        <f>IF($A378="",0,IF(OR($S378&lt;&gt;1,COUNTA($J378:$M378)=0),0,IF(SUMPRODUCT(MAX(($C$5:$C$2484=$C378)*($D$5:$D$2484=$D378)*($S$5:$S$2484=1)*IFERROR($N$5:$N$2484*1,0)))&gt;0,ROUND($H378*($N378/SUMPRODUCT(MAX(($C$5:$C$2484=$C378)*($D$5:$D$2484=$D378)*($S$5:$S$2484=1)*IFERROR($N$5:$N$2484*1,0)))),4),0)))</f>
        <v/>
      </c>
      <c r="P378" s="48" t="inlineStr">
        <is>
          <t>passeggeri/anno</t>
        </is>
      </c>
      <c r="Q378" s="57">
        <f>IF($A378="","",$A378&amp;"|"&amp;$C378)</f>
        <v/>
      </c>
      <c r="R378" s="57">
        <f>IF($A378="","",$A378&amp;"|"&amp;$C378&amp;"|"&amp;$D378)</f>
        <v/>
      </c>
      <c r="S378" s="57">
        <f>IF($A378="","",IFERROR(INDEX(Offerte!$D$2:$D$81,MATCH($Q378,Offerte!$L$2:$L$81,0)),0))</f>
        <v/>
      </c>
      <c r="T378" s="57">
        <f>IF($A378="","",IFERROR(INDEX(Offerte!$G$2:$G$81,MATCH($Q378,Offerte!$L$2:$L$81,0)),"NO"))</f>
        <v/>
      </c>
    </row>
    <row r="379">
      <c r="A379" s="48">
        <f>IF(Offerte!$A14="","",Offerte!$A14)</f>
        <v/>
      </c>
      <c r="B379" s="48">
        <f>IF(Offerte!$A14="","",Offerte!$B14)</f>
        <v/>
      </c>
      <c r="C379" s="48">
        <f>IF(Offerte!$A14="","",Offerte!$C14)</f>
        <v/>
      </c>
      <c r="D379" s="48" t="inlineStr">
        <is>
          <t>B.1.1</t>
        </is>
      </c>
      <c r="E379" s="48" t="inlineStr">
        <is>
          <t>B</t>
        </is>
      </c>
      <c r="F379" s="48" t="inlineStr">
        <is>
          <t>Q</t>
        </is>
      </c>
      <c r="G379" s="48" t="inlineStr">
        <is>
          <t>higher</t>
        </is>
      </c>
      <c r="H379" s="48" t="n">
        <v>3</v>
      </c>
      <c r="I379" s="48" t="inlineStr">
        <is>
          <t>Incremento dei posti offerti nelle fasce di punta</t>
        </is>
      </c>
      <c r="J379" s="73" t="n"/>
      <c r="K379" s="73" t="n"/>
      <c r="L379" s="73" t="n"/>
      <c r="M379" s="73" t="n"/>
      <c r="N379" s="57">
        <f>IF($A379="","",IFERROR(VALUE($J379),0))</f>
        <v/>
      </c>
      <c r="O379" s="57">
        <f>IF($A379="",0,IF(OR($S379&lt;&gt;1,COUNTA($J379:$M379)=0),0,IF(SUMPRODUCT(MAX(($C$5:$C$2484=$C379)*($D$5:$D$2484=$D379)*($S$5:$S$2484=1)*IFERROR($N$5:$N$2484*1,0)))&gt;0,ROUND($H379*($N379/SUMPRODUCT(MAX(($C$5:$C$2484=$C379)*($D$5:$D$2484=$D379)*($S$5:$S$2484=1)*IFERROR($N$5:$N$2484*1,0)))),4),0)))</f>
        <v/>
      </c>
      <c r="P379" s="48" t="inlineStr">
        <is>
          <t>posti*km</t>
        </is>
      </c>
      <c r="Q379" s="57">
        <f>IF($A379="","",$A379&amp;"|"&amp;$C379)</f>
        <v/>
      </c>
      <c r="R379" s="57">
        <f>IF($A379="","",$A379&amp;"|"&amp;$C379&amp;"|"&amp;$D379)</f>
        <v/>
      </c>
      <c r="S379" s="57">
        <f>IF($A379="","",IFERROR(INDEX(Offerte!$D$2:$D$81,MATCH($Q379,Offerte!$L$2:$L$81,0)),0))</f>
        <v/>
      </c>
      <c r="T379" s="57">
        <f>IF($A379="","",IFERROR(INDEX(Offerte!$G$2:$G$81,MATCH($Q379,Offerte!$L$2:$L$81,0)),"NO"))</f>
        <v/>
      </c>
    </row>
    <row r="380">
      <c r="A380" s="48">
        <f>IF(Offerte!$A14="","",Offerte!$A14)</f>
        <v/>
      </c>
      <c r="B380" s="48">
        <f>IF(Offerte!$A14="","",Offerte!$B14)</f>
        <v/>
      </c>
      <c r="C380" s="48">
        <f>IF(Offerte!$A14="","",Offerte!$C14)</f>
        <v/>
      </c>
      <c r="D380" s="48" t="inlineStr">
        <is>
          <t>B.2.1</t>
        </is>
      </c>
      <c r="E380" s="48" t="inlineStr">
        <is>
          <t>B</t>
        </is>
      </c>
      <c r="F380" s="48" t="inlineStr">
        <is>
          <t>Q</t>
        </is>
      </c>
      <c r="G380" s="48" t="inlineStr">
        <is>
          <t>higher</t>
        </is>
      </c>
      <c r="H380" s="48" t="n">
        <v>4</v>
      </c>
      <c r="I380" s="48" t="inlineStr">
        <is>
          <t>Corse aggiuntive nell'arco giornaliero base</t>
        </is>
      </c>
      <c r="J380" s="73" t="n"/>
      <c r="K380" s="73" t="n"/>
      <c r="L380" s="73" t="n"/>
      <c r="M380" s="73" t="n"/>
      <c r="N380" s="57">
        <f>IF($A380="","",IFERROR(VALUE($J380),0))</f>
        <v/>
      </c>
      <c r="O380" s="57">
        <f>IF($A380="",0,IF(OR($S380&lt;&gt;1,COUNTA($J380:$M380)=0),0,IF(SUMPRODUCT(MAX(($C$5:$C$2484=$C380)*($D$5:$D$2484=$D380)*($S$5:$S$2484=1)*IFERROR($N$5:$N$2484*1,0)))&gt;0,ROUND($H380*($N380/SUMPRODUCT(MAX(($C$5:$C$2484=$C380)*($D$5:$D$2484=$D380)*($S$5:$S$2484=1)*IFERROR($N$5:$N$2484*1,0)))),4),0)))</f>
        <v/>
      </c>
      <c r="P380" s="48" t="inlineStr">
        <is>
          <t>corse</t>
        </is>
      </c>
      <c r="Q380" s="57">
        <f>IF($A380="","",$A380&amp;"|"&amp;$C380)</f>
        <v/>
      </c>
      <c r="R380" s="57">
        <f>IF($A380="","",$A380&amp;"|"&amp;$C380&amp;"|"&amp;$D380)</f>
        <v/>
      </c>
      <c r="S380" s="57">
        <f>IF($A380="","",IFERROR(INDEX(Offerte!$D$2:$D$81,MATCH($Q380,Offerte!$L$2:$L$81,0)),0))</f>
        <v/>
      </c>
      <c r="T380" s="57">
        <f>IF($A380="","",IFERROR(INDEX(Offerte!$G$2:$G$81,MATCH($Q380,Offerte!$L$2:$L$81,0)),"NO"))</f>
        <v/>
      </c>
    </row>
    <row r="381">
      <c r="A381" s="48">
        <f>IF(Offerte!$A14="","",Offerte!$A14)</f>
        <v/>
      </c>
      <c r="B381" s="48">
        <f>IF(Offerte!$A14="","",Offerte!$B14)</f>
        <v/>
      </c>
      <c r="C381" s="48">
        <f>IF(Offerte!$A14="","",Offerte!$C14)</f>
        <v/>
      </c>
      <c r="D381" s="48" t="inlineStr">
        <is>
          <t>B.3.1</t>
        </is>
      </c>
      <c r="E381" s="48" t="inlineStr">
        <is>
          <t>B</t>
        </is>
      </c>
      <c r="F381" s="48" t="inlineStr">
        <is>
          <t>Q</t>
        </is>
      </c>
      <c r="G381" s="48" t="inlineStr">
        <is>
          <t>higher</t>
        </is>
      </c>
      <c r="H381" s="48" t="n">
        <v>2</v>
      </c>
      <c r="I381" s="48" t="inlineStr">
        <is>
          <t>Numero di corse aggiuntive per allungamento dell'arco di servizio giornaliero nelle fasce serali</t>
        </is>
      </c>
      <c r="J381" s="73" t="n"/>
      <c r="K381" s="73" t="n"/>
      <c r="L381" s="73" t="n"/>
      <c r="M381" s="73" t="n"/>
      <c r="N381" s="57">
        <f>IF($A381="","",IFERROR(VALUE($J381),0))</f>
        <v/>
      </c>
      <c r="O381" s="57">
        <f>IF($A381="",0,IF(OR($S381&lt;&gt;1,COUNTA($J381:$M381)=0),0,IF(SUMPRODUCT(MAX(($C$5:$C$2484=$C381)*($D$5:$D$2484=$D381)*($S$5:$S$2484=1)*IFERROR($N$5:$N$2484*1,0)))&gt;0,ROUND($H381*($N381/SUMPRODUCT(MAX(($C$5:$C$2484=$C381)*($D$5:$D$2484=$D381)*($S$5:$S$2484=1)*IFERROR($N$5:$N$2484*1,0)))),4),0)))</f>
        <v/>
      </c>
      <c r="P381" s="48" t="inlineStr">
        <is>
          <t>corse</t>
        </is>
      </c>
      <c r="Q381" s="57">
        <f>IF($A381="","",$A381&amp;"|"&amp;$C381)</f>
        <v/>
      </c>
      <c r="R381" s="57">
        <f>IF($A381="","",$A381&amp;"|"&amp;$C381&amp;"|"&amp;$D381)</f>
        <v/>
      </c>
      <c r="S381" s="57">
        <f>IF($A381="","",IFERROR(INDEX(Offerte!$D$2:$D$81,MATCH($Q381,Offerte!$L$2:$L$81,0)),0))</f>
        <v/>
      </c>
      <c r="T381" s="57">
        <f>IF($A381="","",IFERROR(INDEX(Offerte!$G$2:$G$81,MATCH($Q381,Offerte!$L$2:$L$81,0)),"NO"))</f>
        <v/>
      </c>
    </row>
    <row r="382">
      <c r="A382" s="48">
        <f>IF(Offerte!$A14="","",Offerte!$A14)</f>
        <v/>
      </c>
      <c r="B382" s="48">
        <f>IF(Offerte!$A14="","",Offerte!$B14)</f>
        <v/>
      </c>
      <c r="C382" s="48">
        <f>IF(Offerte!$A14="","",Offerte!$C14)</f>
        <v/>
      </c>
      <c r="D382" s="48" t="inlineStr">
        <is>
          <t>B.4.1</t>
        </is>
      </c>
      <c r="E382" s="48" t="inlineStr">
        <is>
          <t>B</t>
        </is>
      </c>
      <c r="F382" s="48" t="inlineStr">
        <is>
          <t>Q</t>
        </is>
      </c>
      <c r="G382" s="48" t="inlineStr">
        <is>
          <t>higher</t>
        </is>
      </c>
      <c r="H382" s="48" t="n">
        <v>3</v>
      </c>
      <c r="I382" s="48" t="inlineStr">
        <is>
          <t>Percorrenze aggiuntive offerte nel Programma d'esercizio delle prime due fasi attuative</t>
        </is>
      </c>
      <c r="J382" s="73" t="n"/>
      <c r="K382" s="73" t="n"/>
      <c r="L382" s="73" t="n"/>
      <c r="M382" s="73" t="n"/>
      <c r="N382" s="57">
        <f>IF($A382="","",IFERROR(VALUE($J382),0))</f>
        <v/>
      </c>
      <c r="O382" s="57">
        <f>IF($A382="",0,IF(OR($S382&lt;&gt;1,COUNTA($J382:$M382)=0),0,IF(SUMPRODUCT(MAX(($C$5:$C$2484=$C382)*($D$5:$D$2484=$D382)*($S$5:$S$2484=1)*IFERROR($N$5:$N$2484*1,0)))&gt;0,ROUND($H382*($N382/SUMPRODUCT(MAX(($C$5:$C$2484=$C382)*($D$5:$D$2484=$D382)*($S$5:$S$2484=1)*IFERROR($N$5:$N$2484*1,0)))),4),0)))</f>
        <v/>
      </c>
      <c r="P382" s="48" t="inlineStr">
        <is>
          <t>vett*km</t>
        </is>
      </c>
      <c r="Q382" s="57">
        <f>IF($A382="","",$A382&amp;"|"&amp;$C382)</f>
        <v/>
      </c>
      <c r="R382" s="57">
        <f>IF($A382="","",$A382&amp;"|"&amp;$C382&amp;"|"&amp;$D382)</f>
        <v/>
      </c>
      <c r="S382" s="57">
        <f>IF($A382="","",IFERROR(INDEX(Offerte!$D$2:$D$81,MATCH($Q382,Offerte!$L$2:$L$81,0)),0))</f>
        <v/>
      </c>
      <c r="T382" s="57">
        <f>IF($A382="","",IFERROR(INDEX(Offerte!$G$2:$G$81,MATCH($Q382,Offerte!$L$2:$L$81,0)),"NO"))</f>
        <v/>
      </c>
    </row>
    <row r="383">
      <c r="A383" s="48">
        <f>IF(Offerte!$A14="","",Offerte!$A14)</f>
        <v/>
      </c>
      <c r="B383" s="48">
        <f>IF(Offerte!$A14="","",Offerte!$B14)</f>
        <v/>
      </c>
      <c r="C383" s="48">
        <f>IF(Offerte!$A14="","",Offerte!$C14)</f>
        <v/>
      </c>
      <c r="D383" s="48" t="inlineStr">
        <is>
          <t>B.5.1</t>
        </is>
      </c>
      <c r="E383" s="48" t="inlineStr">
        <is>
          <t>B</t>
        </is>
      </c>
      <c r="F383" s="48" t="inlineStr">
        <is>
          <t>D</t>
        </is>
      </c>
      <c r="G383" s="48" t="inlineStr">
        <is>
          <t>discretionary</t>
        </is>
      </c>
      <c r="H383" s="48" t="n">
        <v>2</v>
      </c>
      <c r="I383" s="48" t="inlineStr">
        <is>
          <t>Efficacia del progetto di servizi complementari DRT</t>
        </is>
      </c>
      <c r="J383" s="73" t="n"/>
      <c r="K383" s="73" t="n"/>
      <c r="L383" s="73" t="n"/>
      <c r="M383" s="73" t="n"/>
      <c r="N383" s="57">
        <f>IF($A383="","",MAX(0,MIN(1,IFERROR(VALUE($M383),0))))</f>
        <v/>
      </c>
      <c r="O383" s="57">
        <f>IF($A383="",0,IF(OR($S383&lt;&gt;1,COUNTA($J383:$M383)=0),0,IF(SUMPRODUCT(MAX(($C$5:$C$2484=$C383)*($D$5:$D$2484=$D383)*($S$5:$S$2484=1)*IFERROR($N$5:$N$2484*1,0)))&gt;0,ROUND($H383*($N383/SUMPRODUCT(MAX(($C$5:$C$2484=$C383)*($D$5:$D$2484=$D383)*($S$5:$S$2484=1)*IFERROR($N$5:$N$2484*1,0)))),4),0)))</f>
        <v/>
      </c>
      <c r="P383" s="48" t="inlineStr">
        <is>
          <t>coeff.</t>
        </is>
      </c>
      <c r="Q383" s="57">
        <f>IF($A383="","",$A383&amp;"|"&amp;$C383)</f>
        <v/>
      </c>
      <c r="R383" s="57">
        <f>IF($A383="","",$A383&amp;"|"&amp;$C383&amp;"|"&amp;$D383)</f>
        <v/>
      </c>
      <c r="S383" s="57">
        <f>IF($A383="","",IFERROR(INDEX(Offerte!$D$2:$D$81,MATCH($Q383,Offerte!$L$2:$L$81,0)),0))</f>
        <v/>
      </c>
      <c r="T383" s="57">
        <f>IF($A383="","",IFERROR(INDEX(Offerte!$G$2:$G$81,MATCH($Q383,Offerte!$L$2:$L$81,0)),"NO"))</f>
        <v/>
      </c>
    </row>
    <row r="384">
      <c r="A384" s="48">
        <f>IF(Offerte!$A14="","",Offerte!$A14)</f>
        <v/>
      </c>
      <c r="B384" s="48">
        <f>IF(Offerte!$A14="","",Offerte!$B14)</f>
        <v/>
      </c>
      <c r="C384" s="48">
        <f>IF(Offerte!$A14="","",Offerte!$C14)</f>
        <v/>
      </c>
      <c r="D384" s="48" t="inlineStr">
        <is>
          <t>C.1.1</t>
        </is>
      </c>
      <c r="E384" s="48" t="inlineStr">
        <is>
          <t>C</t>
        </is>
      </c>
      <c r="F384" s="48" t="inlineStr">
        <is>
          <t>Q</t>
        </is>
      </c>
      <c r="G384" s="48" t="inlineStr">
        <is>
          <t>higher</t>
        </is>
      </c>
      <c r="H384" s="48" t="n">
        <v>2</v>
      </c>
      <c r="I384" s="48" t="inlineStr">
        <is>
          <t>Tasso di copertura del servizio con telecamere BSD</t>
        </is>
      </c>
      <c r="J384" s="73" t="n"/>
      <c r="K384" s="73" t="n"/>
      <c r="L384" s="73" t="n"/>
      <c r="M384" s="73" t="n"/>
      <c r="N384" s="57">
        <f>IF($A384="","",IFERROR(VALUE($K384)/VALUE($L384),IFERROR(VALUE($J384),0)))</f>
        <v/>
      </c>
      <c r="O384" s="57">
        <f>IF($A384="",0,IF(OR($S384&lt;&gt;1,COUNTA($J384:$M384)=0),0,IF(SUMPRODUCT(MAX(($C$5:$C$2484=$C384)*($D$5:$D$2484=$D384)*($S$5:$S$2484=1)*IFERROR($N$5:$N$2484*1,0)))&gt;0,ROUND($H384*($N384/SUMPRODUCT(MAX(($C$5:$C$2484=$C384)*($D$5:$D$2484=$D384)*($S$5:$S$2484=1)*IFERROR($N$5:$N$2484*1,0)))),4),0)))</f>
        <v/>
      </c>
      <c r="P384" s="48" t="inlineStr">
        <is>
          <t>Autobus attrezzati con telecamere BSD / Autobus totali in offerta, incluse scorte</t>
        </is>
      </c>
      <c r="Q384" s="57">
        <f>IF($A384="","",$A384&amp;"|"&amp;$C384)</f>
        <v/>
      </c>
      <c r="R384" s="57">
        <f>IF($A384="","",$A384&amp;"|"&amp;$C384&amp;"|"&amp;$D384)</f>
        <v/>
      </c>
      <c r="S384" s="57">
        <f>IF($A384="","",IFERROR(INDEX(Offerte!$D$2:$D$81,MATCH($Q384,Offerte!$L$2:$L$81,0)),0))</f>
        <v/>
      </c>
      <c r="T384" s="57">
        <f>IF($A384="","",IFERROR(INDEX(Offerte!$G$2:$G$81,MATCH($Q384,Offerte!$L$2:$L$81,0)),"NO"))</f>
        <v/>
      </c>
    </row>
    <row r="385">
      <c r="A385" s="48">
        <f>IF(Offerte!$A14="","",Offerte!$A14)</f>
        <v/>
      </c>
      <c r="B385" s="48">
        <f>IF(Offerte!$A14="","",Offerte!$B14)</f>
        <v/>
      </c>
      <c r="C385" s="48">
        <f>IF(Offerte!$A14="","",Offerte!$C14)</f>
        <v/>
      </c>
      <c r="D385" s="48" t="inlineStr">
        <is>
          <t>C.1.2</t>
        </is>
      </c>
      <c r="E385" s="48" t="inlineStr">
        <is>
          <t>C</t>
        </is>
      </c>
      <c r="F385" s="48" t="inlineStr">
        <is>
          <t>Q</t>
        </is>
      </c>
      <c r="G385" s="48" t="inlineStr">
        <is>
          <t>higher</t>
        </is>
      </c>
      <c r="H385" s="48" t="n">
        <v>2</v>
      </c>
      <c r="I385" s="48" t="inlineStr">
        <is>
          <t>Tasso di copertura del servizio con telecamere ADAS</t>
        </is>
      </c>
      <c r="J385" s="73" t="n"/>
      <c r="K385" s="73" t="n"/>
      <c r="L385" s="73" t="n"/>
      <c r="M385" s="73" t="n"/>
      <c r="N385" s="57">
        <f>IF($A385="","",IFERROR(VALUE($K385)/VALUE($L385),IFERROR(VALUE($J385),0)))</f>
        <v/>
      </c>
      <c r="O385" s="57">
        <f>IF($A385="",0,IF(OR($S385&lt;&gt;1,COUNTA($J385:$M385)=0),0,IF(SUMPRODUCT(MAX(($C$5:$C$2484=$C385)*($D$5:$D$2484=$D385)*($S$5:$S$2484=1)*IFERROR($N$5:$N$2484*1,0)))&gt;0,ROUND($H385*($N385/SUMPRODUCT(MAX(($C$5:$C$2484=$C385)*($D$5:$D$2484=$D385)*($S$5:$S$2484=1)*IFERROR($N$5:$N$2484*1,0)))),4),0)))</f>
        <v/>
      </c>
      <c r="P385" s="48" t="inlineStr">
        <is>
          <t>Autobus attrezzati con telecamere ADAS / Autobus totali in offerta, incluse scorte</t>
        </is>
      </c>
      <c r="Q385" s="57">
        <f>IF($A385="","",$A385&amp;"|"&amp;$C385)</f>
        <v/>
      </c>
      <c r="R385" s="57">
        <f>IF($A385="","",$A385&amp;"|"&amp;$C385&amp;"|"&amp;$D385)</f>
        <v/>
      </c>
      <c r="S385" s="57">
        <f>IF($A385="","",IFERROR(INDEX(Offerte!$D$2:$D$81,MATCH($Q385,Offerte!$L$2:$L$81,0)),0))</f>
        <v/>
      </c>
      <c r="T385" s="57">
        <f>IF($A385="","",IFERROR(INDEX(Offerte!$G$2:$G$81,MATCH($Q385,Offerte!$L$2:$L$81,0)),"NO"))</f>
        <v/>
      </c>
    </row>
    <row r="386">
      <c r="A386" s="48">
        <f>IF(Offerte!$A14="","",Offerte!$A14)</f>
        <v/>
      </c>
      <c r="B386" s="48">
        <f>IF(Offerte!$A14="","",Offerte!$B14)</f>
        <v/>
      </c>
      <c r="C386" s="48">
        <f>IF(Offerte!$A14="","",Offerte!$C14)</f>
        <v/>
      </c>
      <c r="D386" s="48" t="inlineStr">
        <is>
          <t>C.2.1</t>
        </is>
      </c>
      <c r="E386" s="48" t="inlineStr">
        <is>
          <t>C</t>
        </is>
      </c>
      <c r="F386" s="48" t="inlineStr">
        <is>
          <t>Q</t>
        </is>
      </c>
      <c r="G386" s="48" t="inlineStr">
        <is>
          <t>higher</t>
        </is>
      </c>
      <c r="H386" s="48" t="n">
        <v>3</v>
      </c>
      <c r="I386" s="48" t="inlineStr">
        <is>
          <t>Tasso di copertura del servizio con telecamere di bordo di videosorveglianza</t>
        </is>
      </c>
      <c r="J386" s="73" t="n"/>
      <c r="K386" s="73" t="n"/>
      <c r="L386" s="73" t="n"/>
      <c r="M386" s="73" t="n"/>
      <c r="N386" s="57">
        <f>IF($A386="","",IFERROR(VALUE($K386)/VALUE($L386),IFERROR(VALUE($J386),0)))</f>
        <v/>
      </c>
      <c r="O386" s="57">
        <f>IF($A386="",0,IF(OR($S386&lt;&gt;1,COUNTA($J386:$M386)=0),0,IF(SUMPRODUCT(MAX(($C$5:$C$2484=$C386)*($D$5:$D$2484=$D386)*($S$5:$S$2484=1)*IFERROR($N$5:$N$2484*1,0)))&gt;0,ROUND($H386*($N386/SUMPRODUCT(MAX(($C$5:$C$2484=$C386)*($D$5:$D$2484=$D386)*($S$5:$S$2484=1)*IFERROR($N$5:$N$2484*1,0)))),4),0)))</f>
        <v/>
      </c>
      <c r="P386" s="48" t="inlineStr">
        <is>
          <t>Autobus attrezzati con videosorveglianza / Autobus totali in offerta, incluse scorte</t>
        </is>
      </c>
      <c r="Q386" s="57">
        <f>IF($A386="","",$A386&amp;"|"&amp;$C386)</f>
        <v/>
      </c>
      <c r="R386" s="57">
        <f>IF($A386="","",$A386&amp;"|"&amp;$C386&amp;"|"&amp;$D386)</f>
        <v/>
      </c>
      <c r="S386" s="57">
        <f>IF($A386="","",IFERROR(INDEX(Offerte!$D$2:$D$81,MATCH($Q386,Offerte!$L$2:$L$81,0)),0))</f>
        <v/>
      </c>
      <c r="T386" s="57">
        <f>IF($A386="","",IFERROR(INDEX(Offerte!$G$2:$G$81,MATCH($Q386,Offerte!$L$2:$L$81,0)),"NO"))</f>
        <v/>
      </c>
    </row>
    <row r="387">
      <c r="A387" s="48">
        <f>IF(Offerte!$A14="","",Offerte!$A14)</f>
        <v/>
      </c>
      <c r="B387" s="48">
        <f>IF(Offerte!$A14="","",Offerte!$B14)</f>
        <v/>
      </c>
      <c r="C387" s="48">
        <f>IF(Offerte!$A14="","",Offerte!$C14)</f>
        <v/>
      </c>
      <c r="D387" s="48" t="inlineStr">
        <is>
          <t>C.2.2</t>
        </is>
      </c>
      <c r="E387" s="48" t="inlineStr">
        <is>
          <t>C</t>
        </is>
      </c>
      <c r="F387" s="48" t="inlineStr">
        <is>
          <t>T</t>
        </is>
      </c>
      <c r="G387" s="48" t="inlineStr">
        <is>
          <t>tabular</t>
        </is>
      </c>
      <c r="H387" s="48" t="n">
        <v>1</v>
      </c>
      <c r="I387" s="48" t="inlineStr">
        <is>
          <t>Software video/audio analisi per situazioni di pericolo</t>
        </is>
      </c>
      <c r="J387" s="73" t="n"/>
      <c r="K387" s="73" t="n"/>
      <c r="L387" s="73" t="n"/>
      <c r="M387" s="73" t="n"/>
      <c r="N387" s="57">
        <f>IF($A387="","",IF(IFERROR(VALUE($M387),0)=1,1,0))</f>
        <v/>
      </c>
      <c r="O387" s="57">
        <f>IF($A387="",0,IF(OR($S387&lt;&gt;1,COUNTA($J387:$M387)=0),0,IF($N387=1,$H387,0)))</f>
        <v/>
      </c>
      <c r="P387" s="48" t="inlineStr">
        <is>
          <t>sì/no</t>
        </is>
      </c>
      <c r="Q387" s="57">
        <f>IF($A387="","",$A387&amp;"|"&amp;$C387)</f>
        <v/>
      </c>
      <c r="R387" s="57">
        <f>IF($A387="","",$A387&amp;"|"&amp;$C387&amp;"|"&amp;$D387)</f>
        <v/>
      </c>
      <c r="S387" s="57">
        <f>IF($A387="","",IFERROR(INDEX(Offerte!$D$2:$D$81,MATCH($Q387,Offerte!$L$2:$L$81,0)),0))</f>
        <v/>
      </c>
      <c r="T387" s="57">
        <f>IF($A387="","",IFERROR(INDEX(Offerte!$G$2:$G$81,MATCH($Q387,Offerte!$L$2:$L$81,0)),"NO"))</f>
        <v/>
      </c>
    </row>
    <row r="388">
      <c r="A388" s="48">
        <f>IF(Offerte!$A14="","",Offerte!$A14)</f>
        <v/>
      </c>
      <c r="B388" s="48">
        <f>IF(Offerte!$A14="","",Offerte!$B14)</f>
        <v/>
      </c>
      <c r="C388" s="48">
        <f>IF(Offerte!$A14="","",Offerte!$C14)</f>
        <v/>
      </c>
      <c r="D388" s="48" t="inlineStr">
        <is>
          <t>C.2.3</t>
        </is>
      </c>
      <c r="E388" s="48" t="inlineStr">
        <is>
          <t>C</t>
        </is>
      </c>
      <c r="F388" s="48" t="inlineStr">
        <is>
          <t>T</t>
        </is>
      </c>
      <c r="G388" s="48" t="inlineStr">
        <is>
          <t>tabular</t>
        </is>
      </c>
      <c r="H388" s="48" t="n">
        <v>1</v>
      </c>
      <c r="I388" s="48" t="inlineStr">
        <is>
          <t>Collegamento con centrale qualificata di pronto intervento</t>
        </is>
      </c>
      <c r="J388" s="73" t="n"/>
      <c r="K388" s="73" t="n"/>
      <c r="L388" s="73" t="n"/>
      <c r="M388" s="73" t="n"/>
      <c r="N388" s="57">
        <f>IF($A388="","",IF(IFERROR(VALUE($M388),0)=1,1,0))</f>
        <v/>
      </c>
      <c r="O388" s="57">
        <f>IF($A388="",0,IF(OR($S388&lt;&gt;1,COUNTA($J388:$M388)=0),0,IF($N388=1,$H388,0)))</f>
        <v/>
      </c>
      <c r="P388" s="48" t="inlineStr">
        <is>
          <t>sì/no</t>
        </is>
      </c>
      <c r="Q388" s="57">
        <f>IF($A388="","",$A388&amp;"|"&amp;$C388)</f>
        <v/>
      </c>
      <c r="R388" s="57">
        <f>IF($A388="","",$A388&amp;"|"&amp;$C388&amp;"|"&amp;$D388)</f>
        <v/>
      </c>
      <c r="S388" s="57">
        <f>IF($A388="","",IFERROR(INDEX(Offerte!$D$2:$D$81,MATCH($Q388,Offerte!$L$2:$L$81,0)),0))</f>
        <v/>
      </c>
      <c r="T388" s="57">
        <f>IF($A388="","",IFERROR(INDEX(Offerte!$G$2:$G$81,MATCH($Q388,Offerte!$L$2:$L$81,0)),"NO"))</f>
        <v/>
      </c>
    </row>
    <row r="389">
      <c r="A389" s="48">
        <f>IF(Offerte!$A14="","",Offerte!$A14)</f>
        <v/>
      </c>
      <c r="B389" s="48">
        <f>IF(Offerte!$A14="","",Offerte!$B14)</f>
        <v/>
      </c>
      <c r="C389" s="48">
        <f>IF(Offerte!$A14="","",Offerte!$C14)</f>
        <v/>
      </c>
      <c r="D389" s="48" t="inlineStr">
        <is>
          <t>C.2.4</t>
        </is>
      </c>
      <c r="E389" s="48" t="inlineStr">
        <is>
          <t>C</t>
        </is>
      </c>
      <c r="F389" s="48" t="inlineStr">
        <is>
          <t>Q</t>
        </is>
      </c>
      <c r="G389" s="48" t="inlineStr">
        <is>
          <t>higher</t>
        </is>
      </c>
      <c r="H389" s="48" t="n">
        <v>1</v>
      </c>
      <c r="I389" s="48" t="inlineStr">
        <is>
          <t>Tasso di copertura del servizio con dispositivi per la chiamata di emergenza del conducente</t>
        </is>
      </c>
      <c r="J389" s="73" t="n"/>
      <c r="K389" s="73" t="n"/>
      <c r="L389" s="73" t="n"/>
      <c r="M389" s="73" t="n"/>
      <c r="N389" s="57">
        <f>IF($A389="","",IFERROR(VALUE($K389)/VALUE($L389),IFERROR(VALUE($J389),0)))</f>
        <v/>
      </c>
      <c r="O389" s="57">
        <f>IF($A389="",0,IF(OR($S389&lt;&gt;1,COUNTA($J389:$M389)=0),0,IF(SUMPRODUCT(MAX(($C$5:$C$2484=$C389)*($D$5:$D$2484=$D389)*($S$5:$S$2484=1)*IFERROR($N$5:$N$2484*1,0)))&gt;0,ROUND($H389*($N389/SUMPRODUCT(MAX(($C$5:$C$2484=$C389)*($D$5:$D$2484=$D389)*($S$5:$S$2484=1)*IFERROR($N$5:$N$2484*1,0)))),4),0)))</f>
        <v/>
      </c>
      <c r="P389" s="48" t="inlineStr">
        <is>
          <t>Autobus attrezzati con chiamata di emergenza / Autobus totali in offerta, incluse scorte</t>
        </is>
      </c>
      <c r="Q389" s="57">
        <f>IF($A389="","",$A389&amp;"|"&amp;$C389)</f>
        <v/>
      </c>
      <c r="R389" s="57">
        <f>IF($A389="","",$A389&amp;"|"&amp;$C389&amp;"|"&amp;$D389)</f>
        <v/>
      </c>
      <c r="S389" s="57">
        <f>IF($A389="","",IFERROR(INDEX(Offerte!$D$2:$D$81,MATCH($Q389,Offerte!$L$2:$L$81,0)),0))</f>
        <v/>
      </c>
      <c r="T389" s="57">
        <f>IF($A389="","",IFERROR(INDEX(Offerte!$G$2:$G$81,MATCH($Q389,Offerte!$L$2:$L$81,0)),"NO"))</f>
        <v/>
      </c>
    </row>
    <row r="390">
      <c r="A390" s="48">
        <f>IF(Offerte!$A14="","",Offerte!$A14)</f>
        <v/>
      </c>
      <c r="B390" s="48">
        <f>IF(Offerte!$A14="","",Offerte!$B14)</f>
        <v/>
      </c>
      <c r="C390" s="48">
        <f>IF(Offerte!$A14="","",Offerte!$C14)</f>
        <v/>
      </c>
      <c r="D390" s="48" t="inlineStr">
        <is>
          <t>C.3.1</t>
        </is>
      </c>
      <c r="E390" s="48" t="inlineStr">
        <is>
          <t>C</t>
        </is>
      </c>
      <c r="F390" s="48" t="inlineStr">
        <is>
          <t>Q</t>
        </is>
      </c>
      <c r="G390" s="48" t="inlineStr">
        <is>
          <t>higher</t>
        </is>
      </c>
      <c r="H390" s="48" t="n">
        <v>2</v>
      </c>
      <c r="I390" s="48" t="inlineStr">
        <is>
          <t>Tasso di copertura del servizio con dispositivi di informazione dinamica a bordo mezzo</t>
        </is>
      </c>
      <c r="J390" s="73" t="n"/>
      <c r="K390" s="73" t="n"/>
      <c r="L390" s="73" t="n"/>
      <c r="M390" s="73" t="n"/>
      <c r="N390" s="57">
        <f>IF($A390="","",IFERROR(VALUE($K390)/VALUE($L390),IFERROR(VALUE($J390),0)))</f>
        <v/>
      </c>
      <c r="O390" s="57">
        <f>IF($A390="",0,IF(OR($S390&lt;&gt;1,COUNTA($J390:$M390)=0),0,IF(SUMPRODUCT(MAX(($C$5:$C$2484=$C390)*($D$5:$D$2484=$D390)*($S$5:$S$2484=1)*IFERROR($N$5:$N$2484*1,0)))&gt;0,ROUND($H390*($N390/SUMPRODUCT(MAX(($C$5:$C$2484=$C390)*($D$5:$D$2484=$D390)*($S$5:$S$2484=1)*IFERROR($N$5:$N$2484*1,0)))),4),0)))</f>
        <v/>
      </c>
      <c r="P390" s="48" t="inlineStr">
        <is>
          <t>Autobus con monitor e indicatori vocali / Autobus totali in offerta, incluse scorte</t>
        </is>
      </c>
      <c r="Q390" s="57">
        <f>IF($A390="","",$A390&amp;"|"&amp;$C390)</f>
        <v/>
      </c>
      <c r="R390" s="57">
        <f>IF($A390="","",$A390&amp;"|"&amp;$C390&amp;"|"&amp;$D390)</f>
        <v/>
      </c>
      <c r="S390" s="57">
        <f>IF($A390="","",IFERROR(INDEX(Offerte!$D$2:$D$81,MATCH($Q390,Offerte!$L$2:$L$81,0)),0))</f>
        <v/>
      </c>
      <c r="T390" s="57">
        <f>IF($A390="","",IFERROR(INDEX(Offerte!$G$2:$G$81,MATCH($Q390,Offerte!$L$2:$L$81,0)),"NO"))</f>
        <v/>
      </c>
    </row>
    <row r="391">
      <c r="A391" s="48">
        <f>IF(Offerte!$A14="","",Offerte!$A14)</f>
        <v/>
      </c>
      <c r="B391" s="48">
        <f>IF(Offerte!$A14="","",Offerte!$B14)</f>
        <v/>
      </c>
      <c r="C391" s="48">
        <f>IF(Offerte!$A14="","",Offerte!$C14)</f>
        <v/>
      </c>
      <c r="D391" s="48" t="inlineStr">
        <is>
          <t>C.3.2</t>
        </is>
      </c>
      <c r="E391" s="48" t="inlineStr">
        <is>
          <t>C</t>
        </is>
      </c>
      <c r="F391" s="48" t="inlineStr">
        <is>
          <t>T</t>
        </is>
      </c>
      <c r="G391" s="48" t="inlineStr">
        <is>
          <t>tabular</t>
        </is>
      </c>
      <c r="H391" s="48" t="n">
        <v>2</v>
      </c>
      <c r="I391" s="48" t="inlineStr">
        <is>
          <t>Informazioni a bordo su coincidenze ai nodi</t>
        </is>
      </c>
      <c r="J391" s="73" t="n"/>
      <c r="K391" s="73" t="n"/>
      <c r="L391" s="73" t="n"/>
      <c r="M391" s="73" t="n"/>
      <c r="N391" s="57">
        <f>IF($A391="","",IF(IFERROR(VALUE($M391),0)=1,1,0))</f>
        <v/>
      </c>
      <c r="O391" s="57">
        <f>IF($A391="",0,IF(OR($S391&lt;&gt;1,COUNTA($J391:$M391)=0),0,IF(AND($N391=1,IFERROR(SUMIFS($N$5:$N$2484,$Q$5:$Q$2484,$Q391,$D$5:$D$2484,"C.3.1"),0)&gt;=0.5),$H391,0)))</f>
        <v/>
      </c>
      <c r="P391" s="48" t="inlineStr">
        <is>
          <t>Dipende da C.3.1 &gt;= 0.5</t>
        </is>
      </c>
      <c r="Q391" s="57">
        <f>IF($A391="","",$A391&amp;"|"&amp;$C391)</f>
        <v/>
      </c>
      <c r="R391" s="57">
        <f>IF($A391="","",$A391&amp;"|"&amp;$C391&amp;"|"&amp;$D391)</f>
        <v/>
      </c>
      <c r="S391" s="57">
        <f>IF($A391="","",IFERROR(INDEX(Offerte!$D$2:$D$81,MATCH($Q391,Offerte!$L$2:$L$81,0)),0))</f>
        <v/>
      </c>
      <c r="T391" s="57">
        <f>IF($A391="","",IFERROR(INDEX(Offerte!$G$2:$G$81,MATCH($Q391,Offerte!$L$2:$L$81,0)),"NO"))</f>
        <v/>
      </c>
    </row>
    <row r="392">
      <c r="A392" s="48">
        <f>IF(Offerte!$A14="","",Offerte!$A14)</f>
        <v/>
      </c>
      <c r="B392" s="48">
        <f>IF(Offerte!$A14="","",Offerte!$B14)</f>
        <v/>
      </c>
      <c r="C392" s="48">
        <f>IF(Offerte!$A14="","",Offerte!$C14)</f>
        <v/>
      </c>
      <c r="D392" s="48" t="inlineStr">
        <is>
          <t>D.1.1</t>
        </is>
      </c>
      <c r="E392" s="48" t="inlineStr">
        <is>
          <t>D</t>
        </is>
      </c>
      <c r="F392" s="48" t="inlineStr">
        <is>
          <t>Q</t>
        </is>
      </c>
      <c r="G392" s="48" t="inlineStr">
        <is>
          <t>higher</t>
        </is>
      </c>
      <c r="H392" s="48" t="n">
        <v>3</v>
      </c>
      <c r="I392" s="48" t="inlineStr">
        <is>
          <t>Installazione di pensiline</t>
        </is>
      </c>
      <c r="J392" s="73" t="n"/>
      <c r="K392" s="73" t="n"/>
      <c r="L392" s="73" t="n"/>
      <c r="M392" s="73" t="n"/>
      <c r="N392" s="57">
        <f>IF($A392="","",IFERROR(VALUE($J392),0))</f>
        <v/>
      </c>
      <c r="O392" s="57">
        <f>IF($A392="",0,IF(OR($S392&lt;&gt;1,COUNTA($J392:$M392)=0),0,IF(SUMPRODUCT(MAX(($C$5:$C$2484=$C392)*($D$5:$D$2484=$D392)*($S$5:$S$2484=1)*IFERROR($N$5:$N$2484*1,0)))&gt;0,ROUND($H392*($N392/SUMPRODUCT(MAX(($C$5:$C$2484=$C392)*($D$5:$D$2484=$D392)*($S$5:$S$2484=1)*IFERROR($N$5:$N$2484*1,0)))),4),0)))</f>
        <v/>
      </c>
      <c r="P392" s="48" t="inlineStr">
        <is>
          <t>fermate</t>
        </is>
      </c>
      <c r="Q392" s="57">
        <f>IF($A392="","",$A392&amp;"|"&amp;$C392)</f>
        <v/>
      </c>
      <c r="R392" s="57">
        <f>IF($A392="","",$A392&amp;"|"&amp;$C392&amp;"|"&amp;$D392)</f>
        <v/>
      </c>
      <c r="S392" s="57">
        <f>IF($A392="","",IFERROR(INDEX(Offerte!$D$2:$D$81,MATCH($Q392,Offerte!$L$2:$L$81,0)),0))</f>
        <v/>
      </c>
      <c r="T392" s="57">
        <f>IF($A392="","",IFERROR(INDEX(Offerte!$G$2:$G$81,MATCH($Q392,Offerte!$L$2:$L$81,0)),"NO"))</f>
        <v/>
      </c>
    </row>
    <row r="393">
      <c r="A393" s="48">
        <f>IF(Offerte!$A14="","",Offerte!$A14)</f>
        <v/>
      </c>
      <c r="B393" s="48">
        <f>IF(Offerte!$A14="","",Offerte!$B14)</f>
        <v/>
      </c>
      <c r="C393" s="48">
        <f>IF(Offerte!$A14="","",Offerte!$C14)</f>
        <v/>
      </c>
      <c r="D393" s="48" t="inlineStr">
        <is>
          <t>D.1.2</t>
        </is>
      </c>
      <c r="E393" s="48" t="inlineStr">
        <is>
          <t>D</t>
        </is>
      </c>
      <c r="F393" s="48" t="inlineStr">
        <is>
          <t>Q</t>
        </is>
      </c>
      <c r="G393" s="48" t="inlineStr">
        <is>
          <t>higher</t>
        </is>
      </c>
      <c r="H393" s="48" t="n">
        <v>3</v>
      </c>
      <c r="I393" s="48" t="inlineStr">
        <is>
          <t>Installazione di paline di fermata conformi alla DGR 581/2023</t>
        </is>
      </c>
      <c r="J393" s="73" t="n"/>
      <c r="K393" s="73" t="n"/>
      <c r="L393" s="73" t="n"/>
      <c r="M393" s="73" t="n"/>
      <c r="N393" s="57">
        <f>IF($A393="","",IFERROR(VALUE($J393),0))</f>
        <v/>
      </c>
      <c r="O393" s="57">
        <f>IF($A393="",0,IF(OR($S393&lt;&gt;1,COUNTA($J393:$M393)=0),0,IF(SUMPRODUCT(MAX(($C$5:$C$2484=$C393)*($D$5:$D$2484=$D393)*($S$5:$S$2484=1)*IFERROR($N$5:$N$2484*1,0)))&gt;0,ROUND($H393*($N393/SUMPRODUCT(MAX(($C$5:$C$2484=$C393)*($D$5:$D$2484=$D393)*($S$5:$S$2484=1)*IFERROR($N$5:$N$2484*1,0)))),4),0)))</f>
        <v/>
      </c>
      <c r="P393" s="48" t="inlineStr">
        <is>
          <t>fermate</t>
        </is>
      </c>
      <c r="Q393" s="57">
        <f>IF($A393="","",$A393&amp;"|"&amp;$C393)</f>
        <v/>
      </c>
      <c r="R393" s="57">
        <f>IF($A393="","",$A393&amp;"|"&amp;$C393&amp;"|"&amp;$D393)</f>
        <v/>
      </c>
      <c r="S393" s="57">
        <f>IF($A393="","",IFERROR(INDEX(Offerte!$D$2:$D$81,MATCH($Q393,Offerte!$L$2:$L$81,0)),0))</f>
        <v/>
      </c>
      <c r="T393" s="57">
        <f>IF($A393="","",IFERROR(INDEX(Offerte!$G$2:$G$81,MATCH($Q393,Offerte!$L$2:$L$81,0)),"NO"))</f>
        <v/>
      </c>
    </row>
    <row r="394">
      <c r="A394" s="48">
        <f>IF(Offerte!$A14="","",Offerte!$A14)</f>
        <v/>
      </c>
      <c r="B394" s="48">
        <f>IF(Offerte!$A14="","",Offerte!$B14)</f>
        <v/>
      </c>
      <c r="C394" s="48">
        <f>IF(Offerte!$A14="","",Offerte!$C14)</f>
        <v/>
      </c>
      <c r="D394" s="48" t="inlineStr">
        <is>
          <t>D.1.3</t>
        </is>
      </c>
      <c r="E394" s="48" t="inlineStr">
        <is>
          <t>D</t>
        </is>
      </c>
      <c r="F394" s="48" t="inlineStr">
        <is>
          <t>Q</t>
        </is>
      </c>
      <c r="G394" s="48" t="inlineStr">
        <is>
          <t>higher</t>
        </is>
      </c>
      <c r="H394" s="48" t="n">
        <v>2</v>
      </c>
      <c r="I394" s="48" t="inlineStr">
        <is>
          <t>Display informativi connessi alle fermate</t>
        </is>
      </c>
      <c r="J394" s="73" t="n"/>
      <c r="K394" s="73" t="n"/>
      <c r="L394" s="73" t="n"/>
      <c r="M394" s="73" t="n"/>
      <c r="N394" s="57">
        <f>IF($A394="","",IFERROR(VALUE($J394),0))</f>
        <v/>
      </c>
      <c r="O394" s="57">
        <f>IF($A394="",0,IF(OR($S394&lt;&gt;1,COUNTA($J394:$M394)=0),0,IF(SUMPRODUCT(MAX(($C$5:$C$2484=$C394)*($D$5:$D$2484=$D394)*($S$5:$S$2484=1)*IFERROR($N$5:$N$2484*1,0)))&gt;0,ROUND($H394*($N394/SUMPRODUCT(MAX(($C$5:$C$2484=$C394)*($D$5:$D$2484=$D394)*($S$5:$S$2484=1)*IFERROR($N$5:$N$2484*1,0)))),4),0)))</f>
        <v/>
      </c>
      <c r="P394" s="48" t="inlineStr">
        <is>
          <t>fermate</t>
        </is>
      </c>
      <c r="Q394" s="57">
        <f>IF($A394="","",$A394&amp;"|"&amp;$C394)</f>
        <v/>
      </c>
      <c r="R394" s="57">
        <f>IF($A394="","",$A394&amp;"|"&amp;$C394&amp;"|"&amp;$D394)</f>
        <v/>
      </c>
      <c r="S394" s="57">
        <f>IF($A394="","",IFERROR(INDEX(Offerte!$D$2:$D$81,MATCH($Q394,Offerte!$L$2:$L$81,0)),0))</f>
        <v/>
      </c>
      <c r="T394" s="57">
        <f>IF($A394="","",IFERROR(INDEX(Offerte!$G$2:$G$81,MATCH($Q394,Offerte!$L$2:$L$81,0)),"NO"))</f>
        <v/>
      </c>
    </row>
    <row r="395">
      <c r="A395" s="48">
        <f>IF(Offerte!$A14="","",Offerte!$A14)</f>
        <v/>
      </c>
      <c r="B395" s="48">
        <f>IF(Offerte!$A14="","",Offerte!$B14)</f>
        <v/>
      </c>
      <c r="C395" s="48">
        <f>IF(Offerte!$A14="","",Offerte!$C14)</f>
        <v/>
      </c>
      <c r="D395" s="48" t="inlineStr">
        <is>
          <t>D.2.1</t>
        </is>
      </c>
      <c r="E395" s="48" t="inlineStr">
        <is>
          <t>D</t>
        </is>
      </c>
      <c r="F395" s="48" t="inlineStr">
        <is>
          <t>Q</t>
        </is>
      </c>
      <c r="G395" s="48" t="inlineStr">
        <is>
          <t>higher</t>
        </is>
      </c>
      <c r="H395" s="48" t="n">
        <v>2</v>
      </c>
      <c r="I395" s="48" t="inlineStr">
        <is>
          <t>Segnali tattili Loges-Vet-Evolution</t>
        </is>
      </c>
      <c r="J395" s="73" t="n"/>
      <c r="K395" s="73" t="n"/>
      <c r="L395" s="73" t="n"/>
      <c r="M395" s="73" t="n"/>
      <c r="N395" s="57">
        <f>IF($A395="","",IFERROR(VALUE($J395),0))</f>
        <v/>
      </c>
      <c r="O395" s="57">
        <f>IF($A395="",0,IF(OR($S395&lt;&gt;1,COUNTA($J395:$M395)=0),0,IF(SUMPRODUCT(MAX(($C$5:$C$2484=$C395)*($D$5:$D$2484=$D395)*($S$5:$S$2484=1)*IFERROR($N$5:$N$2484*1,0)))&gt;0,ROUND($H395*($N395/SUMPRODUCT(MAX(($C$5:$C$2484=$C395)*($D$5:$D$2484=$D395)*($S$5:$S$2484=1)*IFERROR($N$5:$N$2484*1,0)))),4),0)))</f>
        <v/>
      </c>
      <c r="P395" s="48" t="inlineStr">
        <is>
          <t>fermate</t>
        </is>
      </c>
      <c r="Q395" s="57">
        <f>IF($A395="","",$A395&amp;"|"&amp;$C395)</f>
        <v/>
      </c>
      <c r="R395" s="57">
        <f>IF($A395="","",$A395&amp;"|"&amp;$C395&amp;"|"&amp;$D395)</f>
        <v/>
      </c>
      <c r="S395" s="57">
        <f>IF($A395="","",IFERROR(INDEX(Offerte!$D$2:$D$81,MATCH($Q395,Offerte!$L$2:$L$81,0)),0))</f>
        <v/>
      </c>
      <c r="T395" s="57">
        <f>IF($A395="","",IFERROR(INDEX(Offerte!$G$2:$G$81,MATCH($Q395,Offerte!$L$2:$L$81,0)),"NO"))</f>
        <v/>
      </c>
    </row>
    <row r="396">
      <c r="A396" s="48">
        <f>IF(Offerte!$A14="","",Offerte!$A14)</f>
        <v/>
      </c>
      <c r="B396" s="48">
        <f>IF(Offerte!$A14="","",Offerte!$B14)</f>
        <v/>
      </c>
      <c r="C396" s="48">
        <f>IF(Offerte!$A14="","",Offerte!$C14)</f>
        <v/>
      </c>
      <c r="D396" s="48" t="inlineStr">
        <is>
          <t>E.1.1</t>
        </is>
      </c>
      <c r="E396" s="48" t="inlineStr">
        <is>
          <t>E</t>
        </is>
      </c>
      <c r="F396" s="48" t="inlineStr">
        <is>
          <t>T</t>
        </is>
      </c>
      <c r="G396" s="48" t="inlineStr">
        <is>
          <t>tabular</t>
        </is>
      </c>
      <c r="H396" s="48" t="n">
        <v>2</v>
      </c>
      <c r="I396" s="48" t="inlineStr">
        <is>
          <t>Mobile app con travel planner PRM</t>
        </is>
      </c>
      <c r="J396" s="73" t="n"/>
      <c r="K396" s="73" t="n"/>
      <c r="L396" s="73" t="n"/>
      <c r="M396" s="73" t="n"/>
      <c r="N396" s="57">
        <f>IF($A396="","",IF(IFERROR(VALUE($M396),0)=1,1,0))</f>
        <v/>
      </c>
      <c r="O396" s="57">
        <f>IF($A396="",0,IF(OR($S396&lt;&gt;1,COUNTA($J396:$M396)=0),0,IF($N396=1,$H396,0)))</f>
        <v/>
      </c>
      <c r="P396" s="48" t="inlineStr">
        <is>
          <t>sì/no</t>
        </is>
      </c>
      <c r="Q396" s="57">
        <f>IF($A396="","",$A396&amp;"|"&amp;$C396)</f>
        <v/>
      </c>
      <c r="R396" s="57">
        <f>IF($A396="","",$A396&amp;"|"&amp;$C396&amp;"|"&amp;$D396)</f>
        <v/>
      </c>
      <c r="S396" s="57">
        <f>IF($A396="","",IFERROR(INDEX(Offerte!$D$2:$D$81,MATCH($Q396,Offerte!$L$2:$L$81,0)),0))</f>
        <v/>
      </c>
      <c r="T396" s="57">
        <f>IF($A396="","",IFERROR(INDEX(Offerte!$G$2:$G$81,MATCH($Q396,Offerte!$L$2:$L$81,0)),"NO"))</f>
        <v/>
      </c>
    </row>
    <row r="397">
      <c r="A397" s="48">
        <f>IF(Offerte!$A14="","",Offerte!$A14)</f>
        <v/>
      </c>
      <c r="B397" s="48">
        <f>IF(Offerte!$A14="","",Offerte!$B14)</f>
        <v/>
      </c>
      <c r="C397" s="48">
        <f>IF(Offerte!$A14="","",Offerte!$C14)</f>
        <v/>
      </c>
      <c r="D397" s="48" t="inlineStr">
        <is>
          <t>E.2.1</t>
        </is>
      </c>
      <c r="E397" s="48" t="inlineStr">
        <is>
          <t>E</t>
        </is>
      </c>
      <c r="F397" s="48" t="inlineStr">
        <is>
          <t>D</t>
        </is>
      </c>
      <c r="G397" s="48" t="inlineStr">
        <is>
          <t>discretionary</t>
        </is>
      </c>
      <c r="H397" s="48" t="n">
        <v>2</v>
      </c>
      <c r="I397" s="48" t="inlineStr">
        <is>
          <t>Altre azioni informative e rapporti con gli utenti</t>
        </is>
      </c>
      <c r="J397" s="73" t="n"/>
      <c r="K397" s="73" t="n"/>
      <c r="L397" s="73" t="n"/>
      <c r="M397" s="73" t="n"/>
      <c r="N397" s="57">
        <f>IF($A397="","",MAX(0,MIN(1,IFERROR(VALUE($M397),0))))</f>
        <v/>
      </c>
      <c r="O397" s="57">
        <f>IF($A397="",0,IF(OR($S397&lt;&gt;1,COUNTA($J397:$M397)=0),0,IF(SUMPRODUCT(MAX(($C$5:$C$2484=$C397)*($D$5:$D$2484=$D397)*($S$5:$S$2484=1)*IFERROR($N$5:$N$2484*1,0)))&gt;0,ROUND($H397*($N397/SUMPRODUCT(MAX(($C$5:$C$2484=$C397)*($D$5:$D$2484=$D397)*($S$5:$S$2484=1)*IFERROR($N$5:$N$2484*1,0)))),4),0)))</f>
        <v/>
      </c>
      <c r="P397" s="48" t="inlineStr">
        <is>
          <t>coeff.</t>
        </is>
      </c>
      <c r="Q397" s="57">
        <f>IF($A397="","",$A397&amp;"|"&amp;$C397)</f>
        <v/>
      </c>
      <c r="R397" s="57">
        <f>IF($A397="","",$A397&amp;"|"&amp;$C397&amp;"|"&amp;$D397)</f>
        <v/>
      </c>
      <c r="S397" s="57">
        <f>IF($A397="","",IFERROR(INDEX(Offerte!$D$2:$D$81,MATCH($Q397,Offerte!$L$2:$L$81,0)),0))</f>
        <v/>
      </c>
      <c r="T397" s="57">
        <f>IF($A397="","",IFERROR(INDEX(Offerte!$G$2:$G$81,MATCH($Q397,Offerte!$L$2:$L$81,0)),"NO"))</f>
        <v/>
      </c>
    </row>
    <row r="398">
      <c r="A398" s="48">
        <f>IF(Offerte!$A14="","",Offerte!$A14)</f>
        <v/>
      </c>
      <c r="B398" s="48">
        <f>IF(Offerte!$A14="","",Offerte!$B14)</f>
        <v/>
      </c>
      <c r="C398" s="48">
        <f>IF(Offerte!$A14="","",Offerte!$C14)</f>
        <v/>
      </c>
      <c r="D398" s="48" t="inlineStr">
        <is>
          <t>F.1.1</t>
        </is>
      </c>
      <c r="E398" s="48" t="inlineStr">
        <is>
          <t>F</t>
        </is>
      </c>
      <c r="F398" s="48" t="inlineStr">
        <is>
          <t>Q</t>
        </is>
      </c>
      <c r="G398" s="48" t="inlineStr">
        <is>
          <t>lower</t>
        </is>
      </c>
      <c r="H398" s="48" t="n">
        <v>7</v>
      </c>
      <c r="I398" s="48" t="inlineStr">
        <is>
          <t>Performance ambientali del parco mezzi adibito al servizio - I_CEA</t>
        </is>
      </c>
      <c r="J398" s="73" t="n"/>
      <c r="K398" s="73" t="n"/>
      <c r="L398" s="73" t="n"/>
      <c r="M398" s="73" t="n"/>
      <c r="N398" s="57">
        <f>IF($A398="","",IFERROR(VALUE($J398),0))</f>
        <v/>
      </c>
      <c r="O398" s="57">
        <f>IF($A398="",0,IF(OR($S398&lt;&gt;1,COUNTA($J398:$M398)=0),0,IF(AND(IFERROR(AGGREGATE(15,6,$N$5:$N$2484/(($C$5:$C$2484=$C398)*($D$5:$D$2484=$D398)*($S$5:$S$2484=1)*($N$5:$N$2484&gt;0)),1),0)&gt;0,$N398&gt;0),ROUND($H398*(IFERROR(AGGREGATE(15,6,$N$5:$N$2484/(($C$5:$C$2484=$C398)*($D$5:$D$2484=$D398)*($S$5:$S$2484=1)*($N$5:$N$2484&gt;0)),1),0)/$N398),4),0)))</f>
        <v/>
      </c>
      <c r="P398" s="48" t="inlineStr">
        <is>
          <t>indice</t>
        </is>
      </c>
      <c r="Q398" s="57">
        <f>IF($A398="","",$A398&amp;"|"&amp;$C398)</f>
        <v/>
      </c>
      <c r="R398" s="57">
        <f>IF($A398="","",$A398&amp;"|"&amp;$C398&amp;"|"&amp;$D398)</f>
        <v/>
      </c>
      <c r="S398" s="57">
        <f>IF($A398="","",IFERROR(INDEX(Offerte!$D$2:$D$81,MATCH($Q398,Offerte!$L$2:$L$81,0)),0))</f>
        <v/>
      </c>
      <c r="T398" s="57">
        <f>IF($A398="","",IFERROR(INDEX(Offerte!$G$2:$G$81,MATCH($Q398,Offerte!$L$2:$L$81,0)),"NO"))</f>
        <v/>
      </c>
    </row>
    <row r="399">
      <c r="A399" s="48">
        <f>IF(Offerte!$A14="","",Offerte!$A14)</f>
        <v/>
      </c>
      <c r="B399" s="48">
        <f>IF(Offerte!$A14="","",Offerte!$B14)</f>
        <v/>
      </c>
      <c r="C399" s="48">
        <f>IF(Offerte!$A14="","",Offerte!$C14)</f>
        <v/>
      </c>
      <c r="D399" s="48" t="inlineStr">
        <is>
          <t>F.2.1</t>
        </is>
      </c>
      <c r="E399" s="48" t="inlineStr">
        <is>
          <t>F</t>
        </is>
      </c>
      <c r="F399" s="48" t="inlineStr">
        <is>
          <t>Q</t>
        </is>
      </c>
      <c r="G399" s="48" t="inlineStr">
        <is>
          <t>higher</t>
        </is>
      </c>
      <c r="H399" s="48" t="n">
        <v>2</v>
      </c>
      <c r="I399" s="48" t="inlineStr">
        <is>
          <t>Tasso di copertura del servizio con dispositivi ECO-DRIVER</t>
        </is>
      </c>
      <c r="J399" s="73" t="n"/>
      <c r="K399" s="73" t="n"/>
      <c r="L399" s="73" t="n"/>
      <c r="M399" s="73" t="n"/>
      <c r="N399" s="57">
        <f>IF($A399="","",IFERROR(VALUE($K399)/VALUE($L399),IFERROR(VALUE($J399),0)))</f>
        <v/>
      </c>
      <c r="O399" s="57">
        <f>IF($A399="",0,IF(OR($S399&lt;&gt;1,COUNTA($J399:$M399)=0),0,IF(SUMPRODUCT(MAX(($C$5:$C$2484=$C399)*($D$5:$D$2484=$D399)*($S$5:$S$2484=1)*IFERROR($N$5:$N$2484*1,0)))&gt;0,ROUND($H399*($N399/SUMPRODUCT(MAX(($C$5:$C$2484=$C399)*($D$5:$D$2484=$D399)*($S$5:$S$2484=1)*IFERROR($N$5:$N$2484*1,0)))),4),0)))</f>
        <v/>
      </c>
      <c r="P399" s="48" t="inlineStr">
        <is>
          <t>Autobus attrezzati con dispositivi ECO-DRIVER / Autobus totali in offerta, incluse scorte</t>
        </is>
      </c>
      <c r="Q399" s="57">
        <f>IF($A399="","",$A399&amp;"|"&amp;$C399)</f>
        <v/>
      </c>
      <c r="R399" s="57">
        <f>IF($A399="","",$A399&amp;"|"&amp;$C399&amp;"|"&amp;$D399)</f>
        <v/>
      </c>
      <c r="S399" s="57">
        <f>IF($A399="","",IFERROR(INDEX(Offerte!$D$2:$D$81,MATCH($Q399,Offerte!$L$2:$L$81,0)),0))</f>
        <v/>
      </c>
      <c r="T399" s="57">
        <f>IF($A399="","",IFERROR(INDEX(Offerte!$G$2:$G$81,MATCH($Q399,Offerte!$L$2:$L$81,0)),"NO"))</f>
        <v/>
      </c>
    </row>
    <row r="400">
      <c r="A400" s="48">
        <f>IF(Offerte!$A14="","",Offerte!$A14)</f>
        <v/>
      </c>
      <c r="B400" s="48">
        <f>IF(Offerte!$A14="","",Offerte!$B14)</f>
        <v/>
      </c>
      <c r="C400" s="48">
        <f>IF(Offerte!$A14="","",Offerte!$C14)</f>
        <v/>
      </c>
      <c r="D400" s="48" t="inlineStr">
        <is>
          <t>F.3.1</t>
        </is>
      </c>
      <c r="E400" s="48" t="inlineStr">
        <is>
          <t>F</t>
        </is>
      </c>
      <c r="F400" s="48" t="inlineStr">
        <is>
          <t>Q</t>
        </is>
      </c>
      <c r="G400" s="48" t="inlineStr">
        <is>
          <t>higher</t>
        </is>
      </c>
      <c r="H400" s="48" t="n">
        <v>2</v>
      </c>
      <c r="I400" s="48" t="inlineStr">
        <is>
          <t>Autoproduzione consumi elettrici per trazione</t>
        </is>
      </c>
      <c r="J400" s="73" t="n"/>
      <c r="K400" s="73" t="n"/>
      <c r="L400" s="73" t="n"/>
      <c r="M400" s="73" t="n"/>
      <c r="N400" s="57">
        <f>IF($A400="","",IFERROR(VALUE($J400),0))</f>
        <v/>
      </c>
      <c r="O400" s="57">
        <f>IF($A400="",0,IF(OR($S400&lt;&gt;1,COUNTA($J400:$M400)=0),0,IF(SUMPRODUCT(MAX(($C$5:$C$2484=$C400)*($D$5:$D$2484=$D400)*($S$5:$S$2484=1)*IFERROR($N$5:$N$2484*1,0)))&gt;0,ROUND($H400*($N400/SUMPRODUCT(MAX(($C$5:$C$2484=$C400)*($D$5:$D$2484=$D400)*($S$5:$S$2484=1)*IFERROR($N$5:$N$2484*1,0)))),4),0)))</f>
        <v/>
      </c>
      <c r="P400" s="48" t="inlineStr">
        <is>
          <t>kWh/anno</t>
        </is>
      </c>
      <c r="Q400" s="57">
        <f>IF($A400="","",$A400&amp;"|"&amp;$C400)</f>
        <v/>
      </c>
      <c r="R400" s="57">
        <f>IF($A400="","",$A400&amp;"|"&amp;$C400&amp;"|"&amp;$D400)</f>
        <v/>
      </c>
      <c r="S400" s="57">
        <f>IF($A400="","",IFERROR(INDEX(Offerte!$D$2:$D$81,MATCH($Q400,Offerte!$L$2:$L$81,0)),0))</f>
        <v/>
      </c>
      <c r="T400" s="57">
        <f>IF($A400="","",IFERROR(INDEX(Offerte!$G$2:$G$81,MATCH($Q400,Offerte!$L$2:$L$81,0)),"NO"))</f>
        <v/>
      </c>
    </row>
    <row r="401">
      <c r="A401" s="48">
        <f>IF(Offerte!$A14="","",Offerte!$A14)</f>
        <v/>
      </c>
      <c r="B401" s="48">
        <f>IF(Offerte!$A14="","",Offerte!$B14)</f>
        <v/>
      </c>
      <c r="C401" s="48">
        <f>IF(Offerte!$A14="","",Offerte!$C14)</f>
        <v/>
      </c>
      <c r="D401" s="48" t="inlineStr">
        <is>
          <t>F.4.1</t>
        </is>
      </c>
      <c r="E401" s="48" t="inlineStr">
        <is>
          <t>F</t>
        </is>
      </c>
      <c r="F401" s="48" t="inlineStr">
        <is>
          <t>Q</t>
        </is>
      </c>
      <c r="G401" s="48" t="inlineStr">
        <is>
          <t>soil</t>
        </is>
      </c>
      <c r="H401" s="48" t="n">
        <v>2</v>
      </c>
      <c r="I401" s="48" t="inlineStr">
        <is>
          <t>Indice di consumo di suolo</t>
        </is>
      </c>
      <c r="J401" s="73" t="n"/>
      <c r="K401" s="73" t="n"/>
      <c r="L401" s="73" t="n"/>
      <c r="M401" s="73" t="n"/>
      <c r="N401" s="57">
        <f>IF($A401="","",IFERROR(VALUE($J401),0))</f>
        <v/>
      </c>
      <c r="O401" s="57">
        <f>IF($A401="",0,IF(OR($S401&lt;&gt;1,COUNTA($J401:$M401)=0),0,IF($N401&lt;=0,$H401,IF(SUMPRODUCT(MAX(($C$5:$C$2484=$C401)*($D$5:$D$2484=$D401)*($S$5:$S$2484=1)*IFERROR($N$5:$N$2484*1,0)))&gt;0,ROUND($H401*((SUMPRODUCT(MAX(($C$5:$C$2484=$C401)*($D$5:$D$2484=$D401)*($S$5:$S$2484=1)*IFERROR($N$5:$N$2484*1,0)))-$N401)/SUMPRODUCT(MAX(($C$5:$C$2484=$C401)*($D$5:$D$2484=$D401)*($S$5:$S$2484=1)*IFERROR($N$5:$N$2484*1,0)))),4),0))))</f>
        <v/>
      </c>
      <c r="P401" s="48" t="inlineStr">
        <is>
          <t>m2</t>
        </is>
      </c>
      <c r="Q401" s="57">
        <f>IF($A401="","",$A401&amp;"|"&amp;$C401)</f>
        <v/>
      </c>
      <c r="R401" s="57">
        <f>IF($A401="","",$A401&amp;"|"&amp;$C401&amp;"|"&amp;$D401)</f>
        <v/>
      </c>
      <c r="S401" s="57">
        <f>IF($A401="","",IFERROR(INDEX(Offerte!$D$2:$D$81,MATCH($Q401,Offerte!$L$2:$L$81,0)),0))</f>
        <v/>
      </c>
      <c r="T401" s="57">
        <f>IF($A401="","",IFERROR(INDEX(Offerte!$G$2:$G$81,MATCH($Q401,Offerte!$L$2:$L$81,0)),"NO"))</f>
        <v/>
      </c>
    </row>
    <row r="402">
      <c r="A402" s="48">
        <f>IF(Offerte!$A14="","",Offerte!$A14)</f>
        <v/>
      </c>
      <c r="B402" s="48">
        <f>IF(Offerte!$A14="","",Offerte!$B14)</f>
        <v/>
      </c>
      <c r="C402" s="48">
        <f>IF(Offerte!$A14="","",Offerte!$C14)</f>
        <v/>
      </c>
      <c r="D402" s="48" t="inlineStr">
        <is>
          <t>F.5.1</t>
        </is>
      </c>
      <c r="E402" s="48" t="inlineStr">
        <is>
          <t>F</t>
        </is>
      </c>
      <c r="F402" s="48" t="inlineStr">
        <is>
          <t>T</t>
        </is>
      </c>
      <c r="G402" s="48" t="inlineStr">
        <is>
          <t>tabular</t>
        </is>
      </c>
      <c r="H402" s="48" t="n">
        <v>1</v>
      </c>
      <c r="I402" s="48" t="inlineStr">
        <is>
          <t>Rendicontazione di sostenibilità ambientale</t>
        </is>
      </c>
      <c r="J402" s="73" t="n"/>
      <c r="K402" s="73" t="n"/>
      <c r="L402" s="73" t="n"/>
      <c r="M402" s="73" t="n"/>
      <c r="N402" s="57">
        <f>IF($A402="","",IF(IFERROR(VALUE($M402),0)=1,1,0))</f>
        <v/>
      </c>
      <c r="O402" s="57">
        <f>IF($A402="",0,IF(OR($S402&lt;&gt;1,COUNTA($J402:$M402)=0),0,IF($N402=1,$H402,0)))</f>
        <v/>
      </c>
      <c r="P402" s="48" t="inlineStr">
        <is>
          <t>sì/no</t>
        </is>
      </c>
      <c r="Q402" s="57">
        <f>IF($A402="","",$A402&amp;"|"&amp;$C402)</f>
        <v/>
      </c>
      <c r="R402" s="57">
        <f>IF($A402="","",$A402&amp;"|"&amp;$C402&amp;"|"&amp;$D402)</f>
        <v/>
      </c>
      <c r="S402" s="57">
        <f>IF($A402="","",IFERROR(INDEX(Offerte!$D$2:$D$81,MATCH($Q402,Offerte!$L$2:$L$81,0)),0))</f>
        <v/>
      </c>
      <c r="T402" s="57">
        <f>IF($A402="","",IFERROR(INDEX(Offerte!$G$2:$G$81,MATCH($Q402,Offerte!$L$2:$L$81,0)),"NO"))</f>
        <v/>
      </c>
    </row>
    <row r="403">
      <c r="A403" s="48">
        <f>IF(Offerte!$A14="","",Offerte!$A14)</f>
        <v/>
      </c>
      <c r="B403" s="48">
        <f>IF(Offerte!$A14="","",Offerte!$B14)</f>
        <v/>
      </c>
      <c r="C403" s="48">
        <f>IF(Offerte!$A14="","",Offerte!$C14)</f>
        <v/>
      </c>
      <c r="D403" s="48" t="inlineStr">
        <is>
          <t>G.1.1</t>
        </is>
      </c>
      <c r="E403" s="48" t="inlineStr">
        <is>
          <t>G</t>
        </is>
      </c>
      <c r="F403" s="48" t="inlineStr">
        <is>
          <t>D</t>
        </is>
      </c>
      <c r="G403" s="48" t="inlineStr">
        <is>
          <t>discretionary</t>
        </is>
      </c>
      <c r="H403" s="48" t="n">
        <v>2</v>
      </c>
      <c r="I403" s="48" t="inlineStr">
        <is>
          <t>Qualità del progetto di centrale di controllo aziendale</t>
        </is>
      </c>
      <c r="J403" s="73" t="n"/>
      <c r="K403" s="73" t="n"/>
      <c r="L403" s="73" t="n"/>
      <c r="M403" s="73" t="n"/>
      <c r="N403" s="57">
        <f>IF($A403="","",MAX(0,MIN(1,IFERROR(VALUE($M403),0))))</f>
        <v/>
      </c>
      <c r="O403" s="57">
        <f>IF($A403="",0,IF(OR($S403&lt;&gt;1,COUNTA($J403:$M403)=0),0,IF(SUMPRODUCT(MAX(($C$5:$C$2484=$C403)*($D$5:$D$2484=$D403)*($S$5:$S$2484=1)*IFERROR($N$5:$N$2484*1,0)))&gt;0,ROUND($H403*($N403/SUMPRODUCT(MAX(($C$5:$C$2484=$C403)*($D$5:$D$2484=$D403)*($S$5:$S$2484=1)*IFERROR($N$5:$N$2484*1,0)))),4),0)))</f>
        <v/>
      </c>
      <c r="P403" s="48" t="inlineStr">
        <is>
          <t>coeff.</t>
        </is>
      </c>
      <c r="Q403" s="57">
        <f>IF($A403="","",$A403&amp;"|"&amp;$C403)</f>
        <v/>
      </c>
      <c r="R403" s="57">
        <f>IF($A403="","",$A403&amp;"|"&amp;$C403&amp;"|"&amp;$D403)</f>
        <v/>
      </c>
      <c r="S403" s="57">
        <f>IF($A403="","",IFERROR(INDEX(Offerte!$D$2:$D$81,MATCH($Q403,Offerte!$L$2:$L$81,0)),0))</f>
        <v/>
      </c>
      <c r="T403" s="57">
        <f>IF($A403="","",IFERROR(INDEX(Offerte!$G$2:$G$81,MATCH($Q403,Offerte!$L$2:$L$81,0)),"NO"))</f>
        <v/>
      </c>
    </row>
    <row r="404">
      <c r="A404" s="48">
        <f>IF(Offerte!$A14="","",Offerte!$A14)</f>
        <v/>
      </c>
      <c r="B404" s="48">
        <f>IF(Offerte!$A14="","",Offerte!$B14)</f>
        <v/>
      </c>
      <c r="C404" s="48">
        <f>IF(Offerte!$A14="","",Offerte!$C14)</f>
        <v/>
      </c>
      <c r="D404" s="48" t="inlineStr">
        <is>
          <t>G.2.1</t>
        </is>
      </c>
      <c r="E404" s="48" t="inlineStr">
        <is>
          <t>G</t>
        </is>
      </c>
      <c r="F404" s="48" t="inlineStr">
        <is>
          <t>T</t>
        </is>
      </c>
      <c r="G404" s="48" t="inlineStr">
        <is>
          <t>tabular</t>
        </is>
      </c>
      <c r="H404" s="48" t="n">
        <v>1</v>
      </c>
      <c r="I404" s="48" t="inlineStr">
        <is>
          <t>Certificazione ISO 45001</t>
        </is>
      </c>
      <c r="J404" s="73" t="n"/>
      <c r="K404" s="73" t="n"/>
      <c r="L404" s="73" t="n"/>
      <c r="M404" s="73" t="n"/>
      <c r="N404" s="57">
        <f>IF($A404="","",IF(IFERROR(VALUE($M404),0)=1,1,0))</f>
        <v/>
      </c>
      <c r="O404" s="57">
        <f>IF($A404="",0,IF(OR($S404&lt;&gt;1,COUNTA($J404:$M404)=0),0,IF($N404=1,$H404,0)))</f>
        <v/>
      </c>
      <c r="P404" s="48" t="inlineStr">
        <is>
          <t>sì/no</t>
        </is>
      </c>
      <c r="Q404" s="57">
        <f>IF($A404="","",$A404&amp;"|"&amp;$C404)</f>
        <v/>
      </c>
      <c r="R404" s="57">
        <f>IF($A404="","",$A404&amp;"|"&amp;$C404&amp;"|"&amp;$D404)</f>
        <v/>
      </c>
      <c r="S404" s="57">
        <f>IF($A404="","",IFERROR(INDEX(Offerte!$D$2:$D$81,MATCH($Q404,Offerte!$L$2:$L$81,0)),0))</f>
        <v/>
      </c>
      <c r="T404" s="57">
        <f>IF($A404="","",IFERROR(INDEX(Offerte!$G$2:$G$81,MATCH($Q404,Offerte!$L$2:$L$81,0)),"NO"))</f>
        <v/>
      </c>
    </row>
    <row r="405">
      <c r="A405" s="48">
        <f>IF(Offerte!$A14="","",Offerte!$A14)</f>
        <v/>
      </c>
      <c r="B405" s="48">
        <f>IF(Offerte!$A14="","",Offerte!$B14)</f>
        <v/>
      </c>
      <c r="C405" s="48">
        <f>IF(Offerte!$A14="","",Offerte!$C14)</f>
        <v/>
      </c>
      <c r="D405" s="48" t="inlineStr">
        <is>
          <t>G.3.1</t>
        </is>
      </c>
      <c r="E405" s="48" t="inlineStr">
        <is>
          <t>G</t>
        </is>
      </c>
      <c r="F405" s="48" t="inlineStr">
        <is>
          <t>T</t>
        </is>
      </c>
      <c r="G405" s="48" t="inlineStr">
        <is>
          <t>tabular</t>
        </is>
      </c>
      <c r="H405" s="48" t="n">
        <v>1</v>
      </c>
      <c r="I405" s="48" t="inlineStr">
        <is>
          <t>Certificazioni di responsabilità sociale</t>
        </is>
      </c>
      <c r="J405" s="73" t="n"/>
      <c r="K405" s="73" t="n"/>
      <c r="L405" s="73" t="n"/>
      <c r="M405" s="73" t="n"/>
      <c r="N405" s="57">
        <f>IF($A405="","",IF(IFERROR(VALUE($M405),0)=1,1,0))</f>
        <v/>
      </c>
      <c r="O405" s="57">
        <f>IF($A405="",0,IF(OR($S405&lt;&gt;1,COUNTA($J405:$M405)=0),0,IF($N405=1,$H405,0)))</f>
        <v/>
      </c>
      <c r="P405" s="48" t="inlineStr">
        <is>
          <t>sì/no</t>
        </is>
      </c>
      <c r="Q405" s="57">
        <f>IF($A405="","",$A405&amp;"|"&amp;$C405)</f>
        <v/>
      </c>
      <c r="R405" s="57">
        <f>IF($A405="","",$A405&amp;"|"&amp;$C405&amp;"|"&amp;$D405)</f>
        <v/>
      </c>
      <c r="S405" s="57">
        <f>IF($A405="","",IFERROR(INDEX(Offerte!$D$2:$D$81,MATCH($Q405,Offerte!$L$2:$L$81,0)),0))</f>
        <v/>
      </c>
      <c r="T405" s="57">
        <f>IF($A405="","",IFERROR(INDEX(Offerte!$G$2:$G$81,MATCH($Q405,Offerte!$L$2:$L$81,0)),"NO"))</f>
        <v/>
      </c>
    </row>
    <row r="406">
      <c r="A406" s="48">
        <f>IF(Offerte!$A14="","",Offerte!$A14)</f>
        <v/>
      </c>
      <c r="B406" s="48">
        <f>IF(Offerte!$A14="","",Offerte!$B14)</f>
        <v/>
      </c>
      <c r="C406" s="48">
        <f>IF(Offerte!$A14="","",Offerte!$C14)</f>
        <v/>
      </c>
      <c r="D406" s="48" t="inlineStr">
        <is>
          <t>G.4.1</t>
        </is>
      </c>
      <c r="E406" s="48" t="inlineStr">
        <is>
          <t>G</t>
        </is>
      </c>
      <c r="F406" s="48" t="inlineStr">
        <is>
          <t>D</t>
        </is>
      </c>
      <c r="G406" s="48" t="inlineStr">
        <is>
          <t>discretionary</t>
        </is>
      </c>
      <c r="H406" s="48" t="n">
        <v>2</v>
      </c>
      <c r="I406" s="48" t="inlineStr">
        <is>
          <t>Qualità del piano di formazione del personale</t>
        </is>
      </c>
      <c r="J406" s="73" t="n"/>
      <c r="K406" s="73" t="n"/>
      <c r="L406" s="73" t="n"/>
      <c r="M406" s="73" t="n"/>
      <c r="N406" s="57">
        <f>IF($A406="","",MAX(0,MIN(1,IFERROR(VALUE($M406),0))))</f>
        <v/>
      </c>
      <c r="O406" s="57">
        <f>IF($A406="",0,IF(OR($S406&lt;&gt;1,COUNTA($J406:$M406)=0),0,IF(SUMPRODUCT(MAX(($C$5:$C$2484=$C406)*($D$5:$D$2484=$D406)*($S$5:$S$2484=1)*IFERROR($N$5:$N$2484*1,0)))&gt;0,ROUND($H406*($N406/SUMPRODUCT(MAX(($C$5:$C$2484=$C406)*($D$5:$D$2484=$D406)*($S$5:$S$2484=1)*IFERROR($N$5:$N$2484*1,0)))),4),0)))</f>
        <v/>
      </c>
      <c r="P406" s="48" t="inlineStr">
        <is>
          <t>coeff.</t>
        </is>
      </c>
      <c r="Q406" s="57">
        <f>IF($A406="","",$A406&amp;"|"&amp;$C406)</f>
        <v/>
      </c>
      <c r="R406" s="57">
        <f>IF($A406="","",$A406&amp;"|"&amp;$C406&amp;"|"&amp;$D406)</f>
        <v/>
      </c>
      <c r="S406" s="57">
        <f>IF($A406="","",IFERROR(INDEX(Offerte!$D$2:$D$81,MATCH($Q406,Offerte!$L$2:$L$81,0)),0))</f>
        <v/>
      </c>
      <c r="T406" s="57">
        <f>IF($A406="","",IFERROR(INDEX(Offerte!$G$2:$G$81,MATCH($Q406,Offerte!$L$2:$L$81,0)),"NO"))</f>
        <v/>
      </c>
    </row>
    <row r="407">
      <c r="A407" s="48">
        <f>IF(Offerte!$A14="","",Offerte!$A14)</f>
        <v/>
      </c>
      <c r="B407" s="48">
        <f>IF(Offerte!$A14="","",Offerte!$B14)</f>
        <v/>
      </c>
      <c r="C407" s="48">
        <f>IF(Offerte!$A14="","",Offerte!$C14)</f>
        <v/>
      </c>
      <c r="D407" s="48" t="inlineStr">
        <is>
          <t>G.5.1</t>
        </is>
      </c>
      <c r="E407" s="48" t="inlineStr">
        <is>
          <t>G</t>
        </is>
      </c>
      <c r="F407" s="48" t="inlineStr">
        <is>
          <t>T</t>
        </is>
      </c>
      <c r="G407" s="48" t="inlineStr">
        <is>
          <t>tabular</t>
        </is>
      </c>
      <c r="H407" s="48" t="n">
        <v>1</v>
      </c>
      <c r="I407" s="48" t="inlineStr">
        <is>
          <t>Impegno al mantenimento delle garanzie del contratto di secondo livello del gestore uscente</t>
        </is>
      </c>
      <c r="J407" s="73" t="n"/>
      <c r="K407" s="73" t="n"/>
      <c r="L407" s="73" t="n"/>
      <c r="M407" s="73" t="n"/>
      <c r="N407" s="57">
        <f>IF($A407="","",IF(IFERROR(VALUE($M407),0)=1,1,0))</f>
        <v/>
      </c>
      <c r="O407" s="57">
        <f>IF($A407="",0,IF(OR($S407&lt;&gt;1,COUNTA($J407:$M407)=0),0,IF($N407=1,$H407,0)))</f>
        <v/>
      </c>
      <c r="P407" s="48" t="inlineStr">
        <is>
          <t>sì/no</t>
        </is>
      </c>
      <c r="Q407" s="57">
        <f>IF($A407="","",$A407&amp;"|"&amp;$C407)</f>
        <v/>
      </c>
      <c r="R407" s="57">
        <f>IF($A407="","",$A407&amp;"|"&amp;$C407&amp;"|"&amp;$D407)</f>
        <v/>
      </c>
      <c r="S407" s="57">
        <f>IF($A407="","",IFERROR(INDEX(Offerte!$D$2:$D$81,MATCH($Q407,Offerte!$L$2:$L$81,0)),0))</f>
        <v/>
      </c>
      <c r="T407" s="57">
        <f>IF($A407="","",IFERROR(INDEX(Offerte!$G$2:$G$81,MATCH($Q407,Offerte!$L$2:$L$81,0)),"NO"))</f>
        <v/>
      </c>
    </row>
    <row r="408">
      <c r="A408" s="48">
        <f>IF(Offerte!$A15="","",Offerte!$A15)</f>
        <v/>
      </c>
      <c r="B408" s="48">
        <f>IF(Offerte!$A15="","",Offerte!$B15)</f>
        <v/>
      </c>
      <c r="C408" s="48">
        <f>IF(Offerte!$A15="","",Offerte!$C15)</f>
        <v/>
      </c>
      <c r="D408" s="48" t="inlineStr">
        <is>
          <t>A.1.1</t>
        </is>
      </c>
      <c r="E408" s="48" t="inlineStr">
        <is>
          <t>A</t>
        </is>
      </c>
      <c r="F408" s="48" t="inlineStr">
        <is>
          <t>Q</t>
        </is>
      </c>
      <c r="G408" s="48" t="inlineStr">
        <is>
          <t>higher</t>
        </is>
      </c>
      <c r="H408" s="48" t="n">
        <v>3</v>
      </c>
      <c r="I408" s="48" t="inlineStr">
        <is>
          <t>Tasso aggiuntivo di corse controllate</t>
        </is>
      </c>
      <c r="J408" s="73" t="n"/>
      <c r="K408" s="73" t="n"/>
      <c r="L408" s="73" t="n"/>
      <c r="M408" s="73" t="n"/>
      <c r="N408" s="57">
        <f>IF($A408="","",IFERROR(VALUE($K408)/VALUE($L408)*100,IFERROR(VALUE($J408),0)))</f>
        <v/>
      </c>
      <c r="O408" s="57">
        <f>IF($A408="",0,IF(OR($S408&lt;&gt;1,COUNTA($J408:$M408)=0),0,IF(SUMPRODUCT(MAX(($C$5:$C$2484=$C408)*($D$5:$D$2484=$D408)*($S$5:$S$2484=1)*IFERROR($N$5:$N$2484*1,0)))&gt;0,ROUND($H408*($N408/SUMPRODUCT(MAX(($C$5:$C$2484=$C408)*($D$5:$D$2484=$D408)*($S$5:$S$2484=1)*IFERROR($N$5:$N$2484*1,0)))),4),0)))</f>
        <v/>
      </c>
      <c r="P408" s="48" t="inlineStr">
        <is>
          <t>Corse controllate annue / Corse programmate annue</t>
        </is>
      </c>
      <c r="Q408" s="57">
        <f>IF($A408="","",$A408&amp;"|"&amp;$C408)</f>
        <v/>
      </c>
      <c r="R408" s="57">
        <f>IF($A408="","",$A408&amp;"|"&amp;$C408&amp;"|"&amp;$D408)</f>
        <v/>
      </c>
      <c r="S408" s="57">
        <f>IF($A408="","",IFERROR(INDEX(Offerte!$D$2:$D$81,MATCH($Q408,Offerte!$L$2:$L$81,0)),0))</f>
        <v/>
      </c>
      <c r="T408" s="57">
        <f>IF($A408="","",IFERROR(INDEX(Offerte!$G$2:$G$81,MATCH($Q408,Offerte!$L$2:$L$81,0)),"NO"))</f>
        <v/>
      </c>
    </row>
    <row r="409">
      <c r="A409" s="48">
        <f>IF(Offerte!$A15="","",Offerte!$A15)</f>
        <v/>
      </c>
      <c r="B409" s="48">
        <f>IF(Offerte!$A15="","",Offerte!$B15)</f>
        <v/>
      </c>
      <c r="C409" s="48">
        <f>IF(Offerte!$A15="","",Offerte!$C15)</f>
        <v/>
      </c>
      <c r="D409" s="48" t="inlineStr">
        <is>
          <t>A.1.2</t>
        </is>
      </c>
      <c r="E409" s="48" t="inlineStr">
        <is>
          <t>A</t>
        </is>
      </c>
      <c r="F409" s="48" t="inlineStr">
        <is>
          <t>Q</t>
        </is>
      </c>
      <c r="G409" s="48" t="inlineStr">
        <is>
          <t>higher</t>
        </is>
      </c>
      <c r="H409" s="48" t="n">
        <v>4</v>
      </c>
      <c r="I409" s="48" t="inlineStr">
        <is>
          <t>Numero aggiuntivo di passeggeri controllati</t>
        </is>
      </c>
      <c r="J409" s="73" t="n"/>
      <c r="K409" s="73" t="n"/>
      <c r="L409" s="73" t="n"/>
      <c r="M409" s="73" t="n"/>
      <c r="N409" s="57">
        <f>IF($A409="","",IFERROR(VALUE($J409),0))</f>
        <v/>
      </c>
      <c r="O409" s="57">
        <f>IF($A409="",0,IF(OR($S409&lt;&gt;1,COUNTA($J409:$M409)=0),0,IF(SUMPRODUCT(MAX(($C$5:$C$2484=$C409)*($D$5:$D$2484=$D409)*($S$5:$S$2484=1)*IFERROR($N$5:$N$2484*1,0)))&gt;0,ROUND($H409*($N409/SUMPRODUCT(MAX(($C$5:$C$2484=$C409)*($D$5:$D$2484=$D409)*($S$5:$S$2484=1)*IFERROR($N$5:$N$2484*1,0)))),4),0)))</f>
        <v/>
      </c>
      <c r="P409" s="48" t="inlineStr">
        <is>
          <t>passeggeri/anno</t>
        </is>
      </c>
      <c r="Q409" s="57">
        <f>IF($A409="","",$A409&amp;"|"&amp;$C409)</f>
        <v/>
      </c>
      <c r="R409" s="57">
        <f>IF($A409="","",$A409&amp;"|"&amp;$C409&amp;"|"&amp;$D409)</f>
        <v/>
      </c>
      <c r="S409" s="57">
        <f>IF($A409="","",IFERROR(INDEX(Offerte!$D$2:$D$81,MATCH($Q409,Offerte!$L$2:$L$81,0)),0))</f>
        <v/>
      </c>
      <c r="T409" s="57">
        <f>IF($A409="","",IFERROR(INDEX(Offerte!$G$2:$G$81,MATCH($Q409,Offerte!$L$2:$L$81,0)),"NO"))</f>
        <v/>
      </c>
    </row>
    <row r="410">
      <c r="A410" s="48">
        <f>IF(Offerte!$A15="","",Offerte!$A15)</f>
        <v/>
      </c>
      <c r="B410" s="48">
        <f>IF(Offerte!$A15="","",Offerte!$B15)</f>
        <v/>
      </c>
      <c r="C410" s="48">
        <f>IF(Offerte!$A15="","",Offerte!$C15)</f>
        <v/>
      </c>
      <c r="D410" s="48" t="inlineStr">
        <is>
          <t>B.1.1</t>
        </is>
      </c>
      <c r="E410" s="48" t="inlineStr">
        <is>
          <t>B</t>
        </is>
      </c>
      <c r="F410" s="48" t="inlineStr">
        <is>
          <t>Q</t>
        </is>
      </c>
      <c r="G410" s="48" t="inlineStr">
        <is>
          <t>higher</t>
        </is>
      </c>
      <c r="H410" s="48" t="n">
        <v>3</v>
      </c>
      <c r="I410" s="48" t="inlineStr">
        <is>
          <t>Incremento dei posti offerti nelle fasce di punta</t>
        </is>
      </c>
      <c r="J410" s="73" t="n"/>
      <c r="K410" s="73" t="n"/>
      <c r="L410" s="73" t="n"/>
      <c r="M410" s="73" t="n"/>
      <c r="N410" s="57">
        <f>IF($A410="","",IFERROR(VALUE($J410),0))</f>
        <v/>
      </c>
      <c r="O410" s="57">
        <f>IF($A410="",0,IF(OR($S410&lt;&gt;1,COUNTA($J410:$M410)=0),0,IF(SUMPRODUCT(MAX(($C$5:$C$2484=$C410)*($D$5:$D$2484=$D410)*($S$5:$S$2484=1)*IFERROR($N$5:$N$2484*1,0)))&gt;0,ROUND($H410*($N410/SUMPRODUCT(MAX(($C$5:$C$2484=$C410)*($D$5:$D$2484=$D410)*($S$5:$S$2484=1)*IFERROR($N$5:$N$2484*1,0)))),4),0)))</f>
        <v/>
      </c>
      <c r="P410" s="48" t="inlineStr">
        <is>
          <t>posti*km</t>
        </is>
      </c>
      <c r="Q410" s="57">
        <f>IF($A410="","",$A410&amp;"|"&amp;$C410)</f>
        <v/>
      </c>
      <c r="R410" s="57">
        <f>IF($A410="","",$A410&amp;"|"&amp;$C410&amp;"|"&amp;$D410)</f>
        <v/>
      </c>
      <c r="S410" s="57">
        <f>IF($A410="","",IFERROR(INDEX(Offerte!$D$2:$D$81,MATCH($Q410,Offerte!$L$2:$L$81,0)),0))</f>
        <v/>
      </c>
      <c r="T410" s="57">
        <f>IF($A410="","",IFERROR(INDEX(Offerte!$G$2:$G$81,MATCH($Q410,Offerte!$L$2:$L$81,0)),"NO"))</f>
        <v/>
      </c>
    </row>
    <row r="411">
      <c r="A411" s="48">
        <f>IF(Offerte!$A15="","",Offerte!$A15)</f>
        <v/>
      </c>
      <c r="B411" s="48">
        <f>IF(Offerte!$A15="","",Offerte!$B15)</f>
        <v/>
      </c>
      <c r="C411" s="48">
        <f>IF(Offerte!$A15="","",Offerte!$C15)</f>
        <v/>
      </c>
      <c r="D411" s="48" t="inlineStr">
        <is>
          <t>B.2.1</t>
        </is>
      </c>
      <c r="E411" s="48" t="inlineStr">
        <is>
          <t>B</t>
        </is>
      </c>
      <c r="F411" s="48" t="inlineStr">
        <is>
          <t>Q</t>
        </is>
      </c>
      <c r="G411" s="48" t="inlineStr">
        <is>
          <t>higher</t>
        </is>
      </c>
      <c r="H411" s="48" t="n">
        <v>4</v>
      </c>
      <c r="I411" s="48" t="inlineStr">
        <is>
          <t>Corse aggiuntive nell'arco giornaliero base</t>
        </is>
      </c>
      <c r="J411" s="73" t="n"/>
      <c r="K411" s="73" t="n"/>
      <c r="L411" s="73" t="n"/>
      <c r="M411" s="73" t="n"/>
      <c r="N411" s="57">
        <f>IF($A411="","",IFERROR(VALUE($J411),0))</f>
        <v/>
      </c>
      <c r="O411" s="57">
        <f>IF($A411="",0,IF(OR($S411&lt;&gt;1,COUNTA($J411:$M411)=0),0,IF(SUMPRODUCT(MAX(($C$5:$C$2484=$C411)*($D$5:$D$2484=$D411)*($S$5:$S$2484=1)*IFERROR($N$5:$N$2484*1,0)))&gt;0,ROUND($H411*($N411/SUMPRODUCT(MAX(($C$5:$C$2484=$C411)*($D$5:$D$2484=$D411)*($S$5:$S$2484=1)*IFERROR($N$5:$N$2484*1,0)))),4),0)))</f>
        <v/>
      </c>
      <c r="P411" s="48" t="inlineStr">
        <is>
          <t>corse</t>
        </is>
      </c>
      <c r="Q411" s="57">
        <f>IF($A411="","",$A411&amp;"|"&amp;$C411)</f>
        <v/>
      </c>
      <c r="R411" s="57">
        <f>IF($A411="","",$A411&amp;"|"&amp;$C411&amp;"|"&amp;$D411)</f>
        <v/>
      </c>
      <c r="S411" s="57">
        <f>IF($A411="","",IFERROR(INDEX(Offerte!$D$2:$D$81,MATCH($Q411,Offerte!$L$2:$L$81,0)),0))</f>
        <v/>
      </c>
      <c r="T411" s="57">
        <f>IF($A411="","",IFERROR(INDEX(Offerte!$G$2:$G$81,MATCH($Q411,Offerte!$L$2:$L$81,0)),"NO"))</f>
        <v/>
      </c>
    </row>
    <row r="412">
      <c r="A412" s="48">
        <f>IF(Offerte!$A15="","",Offerte!$A15)</f>
        <v/>
      </c>
      <c r="B412" s="48">
        <f>IF(Offerte!$A15="","",Offerte!$B15)</f>
        <v/>
      </c>
      <c r="C412" s="48">
        <f>IF(Offerte!$A15="","",Offerte!$C15)</f>
        <v/>
      </c>
      <c r="D412" s="48" t="inlineStr">
        <is>
          <t>B.3.1</t>
        </is>
      </c>
      <c r="E412" s="48" t="inlineStr">
        <is>
          <t>B</t>
        </is>
      </c>
      <c r="F412" s="48" t="inlineStr">
        <is>
          <t>Q</t>
        </is>
      </c>
      <c r="G412" s="48" t="inlineStr">
        <is>
          <t>higher</t>
        </is>
      </c>
      <c r="H412" s="48" t="n">
        <v>2</v>
      </c>
      <c r="I412" s="48" t="inlineStr">
        <is>
          <t>Numero di corse aggiuntive per allungamento dell'arco di servizio giornaliero nelle fasce serali</t>
        </is>
      </c>
      <c r="J412" s="73" t="n"/>
      <c r="K412" s="73" t="n"/>
      <c r="L412" s="73" t="n"/>
      <c r="M412" s="73" t="n"/>
      <c r="N412" s="57">
        <f>IF($A412="","",IFERROR(VALUE($J412),0))</f>
        <v/>
      </c>
      <c r="O412" s="57">
        <f>IF($A412="",0,IF(OR($S412&lt;&gt;1,COUNTA($J412:$M412)=0),0,IF(SUMPRODUCT(MAX(($C$5:$C$2484=$C412)*($D$5:$D$2484=$D412)*($S$5:$S$2484=1)*IFERROR($N$5:$N$2484*1,0)))&gt;0,ROUND($H412*($N412/SUMPRODUCT(MAX(($C$5:$C$2484=$C412)*($D$5:$D$2484=$D412)*($S$5:$S$2484=1)*IFERROR($N$5:$N$2484*1,0)))),4),0)))</f>
        <v/>
      </c>
      <c r="P412" s="48" t="inlineStr">
        <is>
          <t>corse</t>
        </is>
      </c>
      <c r="Q412" s="57">
        <f>IF($A412="","",$A412&amp;"|"&amp;$C412)</f>
        <v/>
      </c>
      <c r="R412" s="57">
        <f>IF($A412="","",$A412&amp;"|"&amp;$C412&amp;"|"&amp;$D412)</f>
        <v/>
      </c>
      <c r="S412" s="57">
        <f>IF($A412="","",IFERROR(INDEX(Offerte!$D$2:$D$81,MATCH($Q412,Offerte!$L$2:$L$81,0)),0))</f>
        <v/>
      </c>
      <c r="T412" s="57">
        <f>IF($A412="","",IFERROR(INDEX(Offerte!$G$2:$G$81,MATCH($Q412,Offerte!$L$2:$L$81,0)),"NO"))</f>
        <v/>
      </c>
    </row>
    <row r="413">
      <c r="A413" s="48">
        <f>IF(Offerte!$A15="","",Offerte!$A15)</f>
        <v/>
      </c>
      <c r="B413" s="48">
        <f>IF(Offerte!$A15="","",Offerte!$B15)</f>
        <v/>
      </c>
      <c r="C413" s="48">
        <f>IF(Offerte!$A15="","",Offerte!$C15)</f>
        <v/>
      </c>
      <c r="D413" s="48" t="inlineStr">
        <is>
          <t>B.4.1</t>
        </is>
      </c>
      <c r="E413" s="48" t="inlineStr">
        <is>
          <t>B</t>
        </is>
      </c>
      <c r="F413" s="48" t="inlineStr">
        <is>
          <t>Q</t>
        </is>
      </c>
      <c r="G413" s="48" t="inlineStr">
        <is>
          <t>higher</t>
        </is>
      </c>
      <c r="H413" s="48" t="n">
        <v>3</v>
      </c>
      <c r="I413" s="48" t="inlineStr">
        <is>
          <t>Percorrenze aggiuntive offerte nel Programma d'esercizio delle prime due fasi attuative</t>
        </is>
      </c>
      <c r="J413" s="73" t="n"/>
      <c r="K413" s="73" t="n"/>
      <c r="L413" s="73" t="n"/>
      <c r="M413" s="73" t="n"/>
      <c r="N413" s="57">
        <f>IF($A413="","",IFERROR(VALUE($J413),0))</f>
        <v/>
      </c>
      <c r="O413" s="57">
        <f>IF($A413="",0,IF(OR($S413&lt;&gt;1,COUNTA($J413:$M413)=0),0,IF(SUMPRODUCT(MAX(($C$5:$C$2484=$C413)*($D$5:$D$2484=$D413)*($S$5:$S$2484=1)*IFERROR($N$5:$N$2484*1,0)))&gt;0,ROUND($H413*($N413/SUMPRODUCT(MAX(($C$5:$C$2484=$C413)*($D$5:$D$2484=$D413)*($S$5:$S$2484=1)*IFERROR($N$5:$N$2484*1,0)))),4),0)))</f>
        <v/>
      </c>
      <c r="P413" s="48" t="inlineStr">
        <is>
          <t>vett*km</t>
        </is>
      </c>
      <c r="Q413" s="57">
        <f>IF($A413="","",$A413&amp;"|"&amp;$C413)</f>
        <v/>
      </c>
      <c r="R413" s="57">
        <f>IF($A413="","",$A413&amp;"|"&amp;$C413&amp;"|"&amp;$D413)</f>
        <v/>
      </c>
      <c r="S413" s="57">
        <f>IF($A413="","",IFERROR(INDEX(Offerte!$D$2:$D$81,MATCH($Q413,Offerte!$L$2:$L$81,0)),0))</f>
        <v/>
      </c>
      <c r="T413" s="57">
        <f>IF($A413="","",IFERROR(INDEX(Offerte!$G$2:$G$81,MATCH($Q413,Offerte!$L$2:$L$81,0)),"NO"))</f>
        <v/>
      </c>
    </row>
    <row r="414">
      <c r="A414" s="48">
        <f>IF(Offerte!$A15="","",Offerte!$A15)</f>
        <v/>
      </c>
      <c r="B414" s="48">
        <f>IF(Offerte!$A15="","",Offerte!$B15)</f>
        <v/>
      </c>
      <c r="C414" s="48">
        <f>IF(Offerte!$A15="","",Offerte!$C15)</f>
        <v/>
      </c>
      <c r="D414" s="48" t="inlineStr">
        <is>
          <t>B.5.1</t>
        </is>
      </c>
      <c r="E414" s="48" t="inlineStr">
        <is>
          <t>B</t>
        </is>
      </c>
      <c r="F414" s="48" t="inlineStr">
        <is>
          <t>D</t>
        </is>
      </c>
      <c r="G414" s="48" t="inlineStr">
        <is>
          <t>discretionary</t>
        </is>
      </c>
      <c r="H414" s="48" t="n">
        <v>2</v>
      </c>
      <c r="I414" s="48" t="inlineStr">
        <is>
          <t>Efficacia del progetto di servizi complementari DRT</t>
        </is>
      </c>
      <c r="J414" s="73" t="n"/>
      <c r="K414" s="73" t="n"/>
      <c r="L414" s="73" t="n"/>
      <c r="M414" s="73" t="n"/>
      <c r="N414" s="57">
        <f>IF($A414="","",MAX(0,MIN(1,IFERROR(VALUE($M414),0))))</f>
        <v/>
      </c>
      <c r="O414" s="57">
        <f>IF($A414="",0,IF(OR($S414&lt;&gt;1,COUNTA($J414:$M414)=0),0,IF(SUMPRODUCT(MAX(($C$5:$C$2484=$C414)*($D$5:$D$2484=$D414)*($S$5:$S$2484=1)*IFERROR($N$5:$N$2484*1,0)))&gt;0,ROUND($H414*($N414/SUMPRODUCT(MAX(($C$5:$C$2484=$C414)*($D$5:$D$2484=$D414)*($S$5:$S$2484=1)*IFERROR($N$5:$N$2484*1,0)))),4),0)))</f>
        <v/>
      </c>
      <c r="P414" s="48" t="inlineStr">
        <is>
          <t>coeff.</t>
        </is>
      </c>
      <c r="Q414" s="57">
        <f>IF($A414="","",$A414&amp;"|"&amp;$C414)</f>
        <v/>
      </c>
      <c r="R414" s="57">
        <f>IF($A414="","",$A414&amp;"|"&amp;$C414&amp;"|"&amp;$D414)</f>
        <v/>
      </c>
      <c r="S414" s="57">
        <f>IF($A414="","",IFERROR(INDEX(Offerte!$D$2:$D$81,MATCH($Q414,Offerte!$L$2:$L$81,0)),0))</f>
        <v/>
      </c>
      <c r="T414" s="57">
        <f>IF($A414="","",IFERROR(INDEX(Offerte!$G$2:$G$81,MATCH($Q414,Offerte!$L$2:$L$81,0)),"NO"))</f>
        <v/>
      </c>
    </row>
    <row r="415">
      <c r="A415" s="48">
        <f>IF(Offerte!$A15="","",Offerte!$A15)</f>
        <v/>
      </c>
      <c r="B415" s="48">
        <f>IF(Offerte!$A15="","",Offerte!$B15)</f>
        <v/>
      </c>
      <c r="C415" s="48">
        <f>IF(Offerte!$A15="","",Offerte!$C15)</f>
        <v/>
      </c>
      <c r="D415" s="48" t="inlineStr">
        <is>
          <t>C.1.1</t>
        </is>
      </c>
      <c r="E415" s="48" t="inlineStr">
        <is>
          <t>C</t>
        </is>
      </c>
      <c r="F415" s="48" t="inlineStr">
        <is>
          <t>Q</t>
        </is>
      </c>
      <c r="G415" s="48" t="inlineStr">
        <is>
          <t>higher</t>
        </is>
      </c>
      <c r="H415" s="48" t="n">
        <v>2</v>
      </c>
      <c r="I415" s="48" t="inlineStr">
        <is>
          <t>Tasso di copertura del servizio con telecamere BSD</t>
        </is>
      </c>
      <c r="J415" s="73" t="n"/>
      <c r="K415" s="73" t="n"/>
      <c r="L415" s="73" t="n"/>
      <c r="M415" s="73" t="n"/>
      <c r="N415" s="57">
        <f>IF($A415="","",IFERROR(VALUE($K415)/VALUE($L415),IFERROR(VALUE($J415),0)))</f>
        <v/>
      </c>
      <c r="O415" s="57">
        <f>IF($A415="",0,IF(OR($S415&lt;&gt;1,COUNTA($J415:$M415)=0),0,IF(SUMPRODUCT(MAX(($C$5:$C$2484=$C415)*($D$5:$D$2484=$D415)*($S$5:$S$2484=1)*IFERROR($N$5:$N$2484*1,0)))&gt;0,ROUND($H415*($N415/SUMPRODUCT(MAX(($C$5:$C$2484=$C415)*($D$5:$D$2484=$D415)*($S$5:$S$2484=1)*IFERROR($N$5:$N$2484*1,0)))),4),0)))</f>
        <v/>
      </c>
      <c r="P415" s="48" t="inlineStr">
        <is>
          <t>Autobus attrezzati con telecamere BSD / Autobus totali in offerta, incluse scorte</t>
        </is>
      </c>
      <c r="Q415" s="57">
        <f>IF($A415="","",$A415&amp;"|"&amp;$C415)</f>
        <v/>
      </c>
      <c r="R415" s="57">
        <f>IF($A415="","",$A415&amp;"|"&amp;$C415&amp;"|"&amp;$D415)</f>
        <v/>
      </c>
      <c r="S415" s="57">
        <f>IF($A415="","",IFERROR(INDEX(Offerte!$D$2:$D$81,MATCH($Q415,Offerte!$L$2:$L$81,0)),0))</f>
        <v/>
      </c>
      <c r="T415" s="57">
        <f>IF($A415="","",IFERROR(INDEX(Offerte!$G$2:$G$81,MATCH($Q415,Offerte!$L$2:$L$81,0)),"NO"))</f>
        <v/>
      </c>
    </row>
    <row r="416">
      <c r="A416" s="48">
        <f>IF(Offerte!$A15="","",Offerte!$A15)</f>
        <v/>
      </c>
      <c r="B416" s="48">
        <f>IF(Offerte!$A15="","",Offerte!$B15)</f>
        <v/>
      </c>
      <c r="C416" s="48">
        <f>IF(Offerte!$A15="","",Offerte!$C15)</f>
        <v/>
      </c>
      <c r="D416" s="48" t="inlineStr">
        <is>
          <t>C.1.2</t>
        </is>
      </c>
      <c r="E416" s="48" t="inlineStr">
        <is>
          <t>C</t>
        </is>
      </c>
      <c r="F416" s="48" t="inlineStr">
        <is>
          <t>Q</t>
        </is>
      </c>
      <c r="G416" s="48" t="inlineStr">
        <is>
          <t>higher</t>
        </is>
      </c>
      <c r="H416" s="48" t="n">
        <v>2</v>
      </c>
      <c r="I416" s="48" t="inlineStr">
        <is>
          <t>Tasso di copertura del servizio con telecamere ADAS</t>
        </is>
      </c>
      <c r="J416" s="73" t="n"/>
      <c r="K416" s="73" t="n"/>
      <c r="L416" s="73" t="n"/>
      <c r="M416" s="73" t="n"/>
      <c r="N416" s="57">
        <f>IF($A416="","",IFERROR(VALUE($K416)/VALUE($L416),IFERROR(VALUE($J416),0)))</f>
        <v/>
      </c>
      <c r="O416" s="57">
        <f>IF($A416="",0,IF(OR($S416&lt;&gt;1,COUNTA($J416:$M416)=0),0,IF(SUMPRODUCT(MAX(($C$5:$C$2484=$C416)*($D$5:$D$2484=$D416)*($S$5:$S$2484=1)*IFERROR($N$5:$N$2484*1,0)))&gt;0,ROUND($H416*($N416/SUMPRODUCT(MAX(($C$5:$C$2484=$C416)*($D$5:$D$2484=$D416)*($S$5:$S$2484=1)*IFERROR($N$5:$N$2484*1,0)))),4),0)))</f>
        <v/>
      </c>
      <c r="P416" s="48" t="inlineStr">
        <is>
          <t>Autobus attrezzati con telecamere ADAS / Autobus totali in offerta, incluse scorte</t>
        </is>
      </c>
      <c r="Q416" s="57">
        <f>IF($A416="","",$A416&amp;"|"&amp;$C416)</f>
        <v/>
      </c>
      <c r="R416" s="57">
        <f>IF($A416="","",$A416&amp;"|"&amp;$C416&amp;"|"&amp;$D416)</f>
        <v/>
      </c>
      <c r="S416" s="57">
        <f>IF($A416="","",IFERROR(INDEX(Offerte!$D$2:$D$81,MATCH($Q416,Offerte!$L$2:$L$81,0)),0))</f>
        <v/>
      </c>
      <c r="T416" s="57">
        <f>IF($A416="","",IFERROR(INDEX(Offerte!$G$2:$G$81,MATCH($Q416,Offerte!$L$2:$L$81,0)),"NO"))</f>
        <v/>
      </c>
    </row>
    <row r="417">
      <c r="A417" s="48">
        <f>IF(Offerte!$A15="","",Offerte!$A15)</f>
        <v/>
      </c>
      <c r="B417" s="48">
        <f>IF(Offerte!$A15="","",Offerte!$B15)</f>
        <v/>
      </c>
      <c r="C417" s="48">
        <f>IF(Offerte!$A15="","",Offerte!$C15)</f>
        <v/>
      </c>
      <c r="D417" s="48" t="inlineStr">
        <is>
          <t>C.2.1</t>
        </is>
      </c>
      <c r="E417" s="48" t="inlineStr">
        <is>
          <t>C</t>
        </is>
      </c>
      <c r="F417" s="48" t="inlineStr">
        <is>
          <t>Q</t>
        </is>
      </c>
      <c r="G417" s="48" t="inlineStr">
        <is>
          <t>higher</t>
        </is>
      </c>
      <c r="H417" s="48" t="n">
        <v>3</v>
      </c>
      <c r="I417" s="48" t="inlineStr">
        <is>
          <t>Tasso di copertura del servizio con telecamere di bordo di videosorveglianza</t>
        </is>
      </c>
      <c r="J417" s="73" t="n"/>
      <c r="K417" s="73" t="n"/>
      <c r="L417" s="73" t="n"/>
      <c r="M417" s="73" t="n"/>
      <c r="N417" s="57">
        <f>IF($A417="","",IFERROR(VALUE($K417)/VALUE($L417),IFERROR(VALUE($J417),0)))</f>
        <v/>
      </c>
      <c r="O417" s="57">
        <f>IF($A417="",0,IF(OR($S417&lt;&gt;1,COUNTA($J417:$M417)=0),0,IF(SUMPRODUCT(MAX(($C$5:$C$2484=$C417)*($D$5:$D$2484=$D417)*($S$5:$S$2484=1)*IFERROR($N$5:$N$2484*1,0)))&gt;0,ROUND($H417*($N417/SUMPRODUCT(MAX(($C$5:$C$2484=$C417)*($D$5:$D$2484=$D417)*($S$5:$S$2484=1)*IFERROR($N$5:$N$2484*1,0)))),4),0)))</f>
        <v/>
      </c>
      <c r="P417" s="48" t="inlineStr">
        <is>
          <t>Autobus attrezzati con videosorveglianza / Autobus totali in offerta, incluse scorte</t>
        </is>
      </c>
      <c r="Q417" s="57">
        <f>IF($A417="","",$A417&amp;"|"&amp;$C417)</f>
        <v/>
      </c>
      <c r="R417" s="57">
        <f>IF($A417="","",$A417&amp;"|"&amp;$C417&amp;"|"&amp;$D417)</f>
        <v/>
      </c>
      <c r="S417" s="57">
        <f>IF($A417="","",IFERROR(INDEX(Offerte!$D$2:$D$81,MATCH($Q417,Offerte!$L$2:$L$81,0)),0))</f>
        <v/>
      </c>
      <c r="T417" s="57">
        <f>IF($A417="","",IFERROR(INDEX(Offerte!$G$2:$G$81,MATCH($Q417,Offerte!$L$2:$L$81,0)),"NO"))</f>
        <v/>
      </c>
    </row>
    <row r="418">
      <c r="A418" s="48">
        <f>IF(Offerte!$A15="","",Offerte!$A15)</f>
        <v/>
      </c>
      <c r="B418" s="48">
        <f>IF(Offerte!$A15="","",Offerte!$B15)</f>
        <v/>
      </c>
      <c r="C418" s="48">
        <f>IF(Offerte!$A15="","",Offerte!$C15)</f>
        <v/>
      </c>
      <c r="D418" s="48" t="inlineStr">
        <is>
          <t>C.2.2</t>
        </is>
      </c>
      <c r="E418" s="48" t="inlineStr">
        <is>
          <t>C</t>
        </is>
      </c>
      <c r="F418" s="48" t="inlineStr">
        <is>
          <t>T</t>
        </is>
      </c>
      <c r="G418" s="48" t="inlineStr">
        <is>
          <t>tabular</t>
        </is>
      </c>
      <c r="H418" s="48" t="n">
        <v>1</v>
      </c>
      <c r="I418" s="48" t="inlineStr">
        <is>
          <t>Software video/audio analisi per situazioni di pericolo</t>
        </is>
      </c>
      <c r="J418" s="73" t="n"/>
      <c r="K418" s="73" t="n"/>
      <c r="L418" s="73" t="n"/>
      <c r="M418" s="73" t="n"/>
      <c r="N418" s="57">
        <f>IF($A418="","",IF(IFERROR(VALUE($M418),0)=1,1,0))</f>
        <v/>
      </c>
      <c r="O418" s="57">
        <f>IF($A418="",0,IF(OR($S418&lt;&gt;1,COUNTA($J418:$M418)=0),0,IF($N418=1,$H418,0)))</f>
        <v/>
      </c>
      <c r="P418" s="48" t="inlineStr">
        <is>
          <t>sì/no</t>
        </is>
      </c>
      <c r="Q418" s="57">
        <f>IF($A418="","",$A418&amp;"|"&amp;$C418)</f>
        <v/>
      </c>
      <c r="R418" s="57">
        <f>IF($A418="","",$A418&amp;"|"&amp;$C418&amp;"|"&amp;$D418)</f>
        <v/>
      </c>
      <c r="S418" s="57">
        <f>IF($A418="","",IFERROR(INDEX(Offerte!$D$2:$D$81,MATCH($Q418,Offerte!$L$2:$L$81,0)),0))</f>
        <v/>
      </c>
      <c r="T418" s="57">
        <f>IF($A418="","",IFERROR(INDEX(Offerte!$G$2:$G$81,MATCH($Q418,Offerte!$L$2:$L$81,0)),"NO"))</f>
        <v/>
      </c>
    </row>
    <row r="419">
      <c r="A419" s="48">
        <f>IF(Offerte!$A15="","",Offerte!$A15)</f>
        <v/>
      </c>
      <c r="B419" s="48">
        <f>IF(Offerte!$A15="","",Offerte!$B15)</f>
        <v/>
      </c>
      <c r="C419" s="48">
        <f>IF(Offerte!$A15="","",Offerte!$C15)</f>
        <v/>
      </c>
      <c r="D419" s="48" t="inlineStr">
        <is>
          <t>C.2.3</t>
        </is>
      </c>
      <c r="E419" s="48" t="inlineStr">
        <is>
          <t>C</t>
        </is>
      </c>
      <c r="F419" s="48" t="inlineStr">
        <is>
          <t>T</t>
        </is>
      </c>
      <c r="G419" s="48" t="inlineStr">
        <is>
          <t>tabular</t>
        </is>
      </c>
      <c r="H419" s="48" t="n">
        <v>1</v>
      </c>
      <c r="I419" s="48" t="inlineStr">
        <is>
          <t>Collegamento con centrale qualificata di pronto intervento</t>
        </is>
      </c>
      <c r="J419" s="73" t="n"/>
      <c r="K419" s="73" t="n"/>
      <c r="L419" s="73" t="n"/>
      <c r="M419" s="73" t="n"/>
      <c r="N419" s="57">
        <f>IF($A419="","",IF(IFERROR(VALUE($M419),0)=1,1,0))</f>
        <v/>
      </c>
      <c r="O419" s="57">
        <f>IF($A419="",0,IF(OR($S419&lt;&gt;1,COUNTA($J419:$M419)=0),0,IF($N419=1,$H419,0)))</f>
        <v/>
      </c>
      <c r="P419" s="48" t="inlineStr">
        <is>
          <t>sì/no</t>
        </is>
      </c>
      <c r="Q419" s="57">
        <f>IF($A419="","",$A419&amp;"|"&amp;$C419)</f>
        <v/>
      </c>
      <c r="R419" s="57">
        <f>IF($A419="","",$A419&amp;"|"&amp;$C419&amp;"|"&amp;$D419)</f>
        <v/>
      </c>
      <c r="S419" s="57">
        <f>IF($A419="","",IFERROR(INDEX(Offerte!$D$2:$D$81,MATCH($Q419,Offerte!$L$2:$L$81,0)),0))</f>
        <v/>
      </c>
      <c r="T419" s="57">
        <f>IF($A419="","",IFERROR(INDEX(Offerte!$G$2:$G$81,MATCH($Q419,Offerte!$L$2:$L$81,0)),"NO"))</f>
        <v/>
      </c>
    </row>
    <row r="420">
      <c r="A420" s="48">
        <f>IF(Offerte!$A15="","",Offerte!$A15)</f>
        <v/>
      </c>
      <c r="B420" s="48">
        <f>IF(Offerte!$A15="","",Offerte!$B15)</f>
        <v/>
      </c>
      <c r="C420" s="48">
        <f>IF(Offerte!$A15="","",Offerte!$C15)</f>
        <v/>
      </c>
      <c r="D420" s="48" t="inlineStr">
        <is>
          <t>C.2.4</t>
        </is>
      </c>
      <c r="E420" s="48" t="inlineStr">
        <is>
          <t>C</t>
        </is>
      </c>
      <c r="F420" s="48" t="inlineStr">
        <is>
          <t>Q</t>
        </is>
      </c>
      <c r="G420" s="48" t="inlineStr">
        <is>
          <t>higher</t>
        </is>
      </c>
      <c r="H420" s="48" t="n">
        <v>1</v>
      </c>
      <c r="I420" s="48" t="inlineStr">
        <is>
          <t>Tasso di copertura del servizio con dispositivi per la chiamata di emergenza del conducente</t>
        </is>
      </c>
      <c r="J420" s="73" t="n"/>
      <c r="K420" s="73" t="n"/>
      <c r="L420" s="73" t="n"/>
      <c r="M420" s="73" t="n"/>
      <c r="N420" s="57">
        <f>IF($A420="","",IFERROR(VALUE($K420)/VALUE($L420),IFERROR(VALUE($J420),0)))</f>
        <v/>
      </c>
      <c r="O420" s="57">
        <f>IF($A420="",0,IF(OR($S420&lt;&gt;1,COUNTA($J420:$M420)=0),0,IF(SUMPRODUCT(MAX(($C$5:$C$2484=$C420)*($D$5:$D$2484=$D420)*($S$5:$S$2484=1)*IFERROR($N$5:$N$2484*1,0)))&gt;0,ROUND($H420*($N420/SUMPRODUCT(MAX(($C$5:$C$2484=$C420)*($D$5:$D$2484=$D420)*($S$5:$S$2484=1)*IFERROR($N$5:$N$2484*1,0)))),4),0)))</f>
        <v/>
      </c>
      <c r="P420" s="48" t="inlineStr">
        <is>
          <t>Autobus attrezzati con chiamata di emergenza / Autobus totali in offerta, incluse scorte</t>
        </is>
      </c>
      <c r="Q420" s="57">
        <f>IF($A420="","",$A420&amp;"|"&amp;$C420)</f>
        <v/>
      </c>
      <c r="R420" s="57">
        <f>IF($A420="","",$A420&amp;"|"&amp;$C420&amp;"|"&amp;$D420)</f>
        <v/>
      </c>
      <c r="S420" s="57">
        <f>IF($A420="","",IFERROR(INDEX(Offerte!$D$2:$D$81,MATCH($Q420,Offerte!$L$2:$L$81,0)),0))</f>
        <v/>
      </c>
      <c r="T420" s="57">
        <f>IF($A420="","",IFERROR(INDEX(Offerte!$G$2:$G$81,MATCH($Q420,Offerte!$L$2:$L$81,0)),"NO"))</f>
        <v/>
      </c>
    </row>
    <row r="421">
      <c r="A421" s="48">
        <f>IF(Offerte!$A15="","",Offerte!$A15)</f>
        <v/>
      </c>
      <c r="B421" s="48">
        <f>IF(Offerte!$A15="","",Offerte!$B15)</f>
        <v/>
      </c>
      <c r="C421" s="48">
        <f>IF(Offerte!$A15="","",Offerte!$C15)</f>
        <v/>
      </c>
      <c r="D421" s="48" t="inlineStr">
        <is>
          <t>C.3.1</t>
        </is>
      </c>
      <c r="E421" s="48" t="inlineStr">
        <is>
          <t>C</t>
        </is>
      </c>
      <c r="F421" s="48" t="inlineStr">
        <is>
          <t>Q</t>
        </is>
      </c>
      <c r="G421" s="48" t="inlineStr">
        <is>
          <t>higher</t>
        </is>
      </c>
      <c r="H421" s="48" t="n">
        <v>2</v>
      </c>
      <c r="I421" s="48" t="inlineStr">
        <is>
          <t>Tasso di copertura del servizio con dispositivi di informazione dinamica a bordo mezzo</t>
        </is>
      </c>
      <c r="J421" s="73" t="n"/>
      <c r="K421" s="73" t="n"/>
      <c r="L421" s="73" t="n"/>
      <c r="M421" s="73" t="n"/>
      <c r="N421" s="57">
        <f>IF($A421="","",IFERROR(VALUE($K421)/VALUE($L421),IFERROR(VALUE($J421),0)))</f>
        <v/>
      </c>
      <c r="O421" s="57">
        <f>IF($A421="",0,IF(OR($S421&lt;&gt;1,COUNTA($J421:$M421)=0),0,IF(SUMPRODUCT(MAX(($C$5:$C$2484=$C421)*($D$5:$D$2484=$D421)*($S$5:$S$2484=1)*IFERROR($N$5:$N$2484*1,0)))&gt;0,ROUND($H421*($N421/SUMPRODUCT(MAX(($C$5:$C$2484=$C421)*($D$5:$D$2484=$D421)*($S$5:$S$2484=1)*IFERROR($N$5:$N$2484*1,0)))),4),0)))</f>
        <v/>
      </c>
      <c r="P421" s="48" t="inlineStr">
        <is>
          <t>Autobus con monitor e indicatori vocali / Autobus totali in offerta, incluse scorte</t>
        </is>
      </c>
      <c r="Q421" s="57">
        <f>IF($A421="","",$A421&amp;"|"&amp;$C421)</f>
        <v/>
      </c>
      <c r="R421" s="57">
        <f>IF($A421="","",$A421&amp;"|"&amp;$C421&amp;"|"&amp;$D421)</f>
        <v/>
      </c>
      <c r="S421" s="57">
        <f>IF($A421="","",IFERROR(INDEX(Offerte!$D$2:$D$81,MATCH($Q421,Offerte!$L$2:$L$81,0)),0))</f>
        <v/>
      </c>
      <c r="T421" s="57">
        <f>IF($A421="","",IFERROR(INDEX(Offerte!$G$2:$G$81,MATCH($Q421,Offerte!$L$2:$L$81,0)),"NO"))</f>
        <v/>
      </c>
    </row>
    <row r="422">
      <c r="A422" s="48">
        <f>IF(Offerte!$A15="","",Offerte!$A15)</f>
        <v/>
      </c>
      <c r="B422" s="48">
        <f>IF(Offerte!$A15="","",Offerte!$B15)</f>
        <v/>
      </c>
      <c r="C422" s="48">
        <f>IF(Offerte!$A15="","",Offerte!$C15)</f>
        <v/>
      </c>
      <c r="D422" s="48" t="inlineStr">
        <is>
          <t>C.3.2</t>
        </is>
      </c>
      <c r="E422" s="48" t="inlineStr">
        <is>
          <t>C</t>
        </is>
      </c>
      <c r="F422" s="48" t="inlineStr">
        <is>
          <t>T</t>
        </is>
      </c>
      <c r="G422" s="48" t="inlineStr">
        <is>
          <t>tabular</t>
        </is>
      </c>
      <c r="H422" s="48" t="n">
        <v>2</v>
      </c>
      <c r="I422" s="48" t="inlineStr">
        <is>
          <t>Informazioni a bordo su coincidenze ai nodi</t>
        </is>
      </c>
      <c r="J422" s="73" t="n"/>
      <c r="K422" s="73" t="n"/>
      <c r="L422" s="73" t="n"/>
      <c r="M422" s="73" t="n"/>
      <c r="N422" s="57">
        <f>IF($A422="","",IF(IFERROR(VALUE($M422),0)=1,1,0))</f>
        <v/>
      </c>
      <c r="O422" s="57">
        <f>IF($A422="",0,IF(OR($S422&lt;&gt;1,COUNTA($J422:$M422)=0),0,IF(AND($N422=1,IFERROR(SUMIFS($N$5:$N$2484,$Q$5:$Q$2484,$Q422,$D$5:$D$2484,"C.3.1"),0)&gt;=0.5),$H422,0)))</f>
        <v/>
      </c>
      <c r="P422" s="48" t="inlineStr">
        <is>
          <t>Dipende da C.3.1 &gt;= 0.5</t>
        </is>
      </c>
      <c r="Q422" s="57">
        <f>IF($A422="","",$A422&amp;"|"&amp;$C422)</f>
        <v/>
      </c>
      <c r="R422" s="57">
        <f>IF($A422="","",$A422&amp;"|"&amp;$C422&amp;"|"&amp;$D422)</f>
        <v/>
      </c>
      <c r="S422" s="57">
        <f>IF($A422="","",IFERROR(INDEX(Offerte!$D$2:$D$81,MATCH($Q422,Offerte!$L$2:$L$81,0)),0))</f>
        <v/>
      </c>
      <c r="T422" s="57">
        <f>IF($A422="","",IFERROR(INDEX(Offerte!$G$2:$G$81,MATCH($Q422,Offerte!$L$2:$L$81,0)),"NO"))</f>
        <v/>
      </c>
    </row>
    <row r="423">
      <c r="A423" s="48">
        <f>IF(Offerte!$A15="","",Offerte!$A15)</f>
        <v/>
      </c>
      <c r="B423" s="48">
        <f>IF(Offerte!$A15="","",Offerte!$B15)</f>
        <v/>
      </c>
      <c r="C423" s="48">
        <f>IF(Offerte!$A15="","",Offerte!$C15)</f>
        <v/>
      </c>
      <c r="D423" s="48" t="inlineStr">
        <is>
          <t>D.1.1</t>
        </is>
      </c>
      <c r="E423" s="48" t="inlineStr">
        <is>
          <t>D</t>
        </is>
      </c>
      <c r="F423" s="48" t="inlineStr">
        <is>
          <t>Q</t>
        </is>
      </c>
      <c r="G423" s="48" t="inlineStr">
        <is>
          <t>higher</t>
        </is>
      </c>
      <c r="H423" s="48" t="n">
        <v>3</v>
      </c>
      <c r="I423" s="48" t="inlineStr">
        <is>
          <t>Installazione di pensiline</t>
        </is>
      </c>
      <c r="J423" s="73" t="n"/>
      <c r="K423" s="73" t="n"/>
      <c r="L423" s="73" t="n"/>
      <c r="M423" s="73" t="n"/>
      <c r="N423" s="57">
        <f>IF($A423="","",IFERROR(VALUE($J423),0))</f>
        <v/>
      </c>
      <c r="O423" s="57">
        <f>IF($A423="",0,IF(OR($S423&lt;&gt;1,COUNTA($J423:$M423)=0),0,IF(SUMPRODUCT(MAX(($C$5:$C$2484=$C423)*($D$5:$D$2484=$D423)*($S$5:$S$2484=1)*IFERROR($N$5:$N$2484*1,0)))&gt;0,ROUND($H423*($N423/SUMPRODUCT(MAX(($C$5:$C$2484=$C423)*($D$5:$D$2484=$D423)*($S$5:$S$2484=1)*IFERROR($N$5:$N$2484*1,0)))),4),0)))</f>
        <v/>
      </c>
      <c r="P423" s="48" t="inlineStr">
        <is>
          <t>fermate</t>
        </is>
      </c>
      <c r="Q423" s="57">
        <f>IF($A423="","",$A423&amp;"|"&amp;$C423)</f>
        <v/>
      </c>
      <c r="R423" s="57">
        <f>IF($A423="","",$A423&amp;"|"&amp;$C423&amp;"|"&amp;$D423)</f>
        <v/>
      </c>
      <c r="S423" s="57">
        <f>IF($A423="","",IFERROR(INDEX(Offerte!$D$2:$D$81,MATCH($Q423,Offerte!$L$2:$L$81,0)),0))</f>
        <v/>
      </c>
      <c r="T423" s="57">
        <f>IF($A423="","",IFERROR(INDEX(Offerte!$G$2:$G$81,MATCH($Q423,Offerte!$L$2:$L$81,0)),"NO"))</f>
        <v/>
      </c>
    </row>
    <row r="424">
      <c r="A424" s="48">
        <f>IF(Offerte!$A15="","",Offerte!$A15)</f>
        <v/>
      </c>
      <c r="B424" s="48">
        <f>IF(Offerte!$A15="","",Offerte!$B15)</f>
        <v/>
      </c>
      <c r="C424" s="48">
        <f>IF(Offerte!$A15="","",Offerte!$C15)</f>
        <v/>
      </c>
      <c r="D424" s="48" t="inlineStr">
        <is>
          <t>D.1.2</t>
        </is>
      </c>
      <c r="E424" s="48" t="inlineStr">
        <is>
          <t>D</t>
        </is>
      </c>
      <c r="F424" s="48" t="inlineStr">
        <is>
          <t>Q</t>
        </is>
      </c>
      <c r="G424" s="48" t="inlineStr">
        <is>
          <t>higher</t>
        </is>
      </c>
      <c r="H424" s="48" t="n">
        <v>3</v>
      </c>
      <c r="I424" s="48" t="inlineStr">
        <is>
          <t>Installazione di paline di fermata conformi alla DGR 581/2023</t>
        </is>
      </c>
      <c r="J424" s="73" t="n"/>
      <c r="K424" s="73" t="n"/>
      <c r="L424" s="73" t="n"/>
      <c r="M424" s="73" t="n"/>
      <c r="N424" s="57">
        <f>IF($A424="","",IFERROR(VALUE($J424),0))</f>
        <v/>
      </c>
      <c r="O424" s="57">
        <f>IF($A424="",0,IF(OR($S424&lt;&gt;1,COUNTA($J424:$M424)=0),0,IF(SUMPRODUCT(MAX(($C$5:$C$2484=$C424)*($D$5:$D$2484=$D424)*($S$5:$S$2484=1)*IFERROR($N$5:$N$2484*1,0)))&gt;0,ROUND($H424*($N424/SUMPRODUCT(MAX(($C$5:$C$2484=$C424)*($D$5:$D$2484=$D424)*($S$5:$S$2484=1)*IFERROR($N$5:$N$2484*1,0)))),4),0)))</f>
        <v/>
      </c>
      <c r="P424" s="48" t="inlineStr">
        <is>
          <t>fermate</t>
        </is>
      </c>
      <c r="Q424" s="57">
        <f>IF($A424="","",$A424&amp;"|"&amp;$C424)</f>
        <v/>
      </c>
      <c r="R424" s="57">
        <f>IF($A424="","",$A424&amp;"|"&amp;$C424&amp;"|"&amp;$D424)</f>
        <v/>
      </c>
      <c r="S424" s="57">
        <f>IF($A424="","",IFERROR(INDEX(Offerte!$D$2:$D$81,MATCH($Q424,Offerte!$L$2:$L$81,0)),0))</f>
        <v/>
      </c>
      <c r="T424" s="57">
        <f>IF($A424="","",IFERROR(INDEX(Offerte!$G$2:$G$81,MATCH($Q424,Offerte!$L$2:$L$81,0)),"NO"))</f>
        <v/>
      </c>
    </row>
    <row r="425">
      <c r="A425" s="48">
        <f>IF(Offerte!$A15="","",Offerte!$A15)</f>
        <v/>
      </c>
      <c r="B425" s="48">
        <f>IF(Offerte!$A15="","",Offerte!$B15)</f>
        <v/>
      </c>
      <c r="C425" s="48">
        <f>IF(Offerte!$A15="","",Offerte!$C15)</f>
        <v/>
      </c>
      <c r="D425" s="48" t="inlineStr">
        <is>
          <t>D.1.3</t>
        </is>
      </c>
      <c r="E425" s="48" t="inlineStr">
        <is>
          <t>D</t>
        </is>
      </c>
      <c r="F425" s="48" t="inlineStr">
        <is>
          <t>Q</t>
        </is>
      </c>
      <c r="G425" s="48" t="inlineStr">
        <is>
          <t>higher</t>
        </is>
      </c>
      <c r="H425" s="48" t="n">
        <v>2</v>
      </c>
      <c r="I425" s="48" t="inlineStr">
        <is>
          <t>Display informativi connessi alle fermate</t>
        </is>
      </c>
      <c r="J425" s="73" t="n"/>
      <c r="K425" s="73" t="n"/>
      <c r="L425" s="73" t="n"/>
      <c r="M425" s="73" t="n"/>
      <c r="N425" s="57">
        <f>IF($A425="","",IFERROR(VALUE($J425),0))</f>
        <v/>
      </c>
      <c r="O425" s="57">
        <f>IF($A425="",0,IF(OR($S425&lt;&gt;1,COUNTA($J425:$M425)=0),0,IF(SUMPRODUCT(MAX(($C$5:$C$2484=$C425)*($D$5:$D$2484=$D425)*($S$5:$S$2484=1)*IFERROR($N$5:$N$2484*1,0)))&gt;0,ROUND($H425*($N425/SUMPRODUCT(MAX(($C$5:$C$2484=$C425)*($D$5:$D$2484=$D425)*($S$5:$S$2484=1)*IFERROR($N$5:$N$2484*1,0)))),4),0)))</f>
        <v/>
      </c>
      <c r="P425" s="48" t="inlineStr">
        <is>
          <t>fermate</t>
        </is>
      </c>
      <c r="Q425" s="57">
        <f>IF($A425="","",$A425&amp;"|"&amp;$C425)</f>
        <v/>
      </c>
      <c r="R425" s="57">
        <f>IF($A425="","",$A425&amp;"|"&amp;$C425&amp;"|"&amp;$D425)</f>
        <v/>
      </c>
      <c r="S425" s="57">
        <f>IF($A425="","",IFERROR(INDEX(Offerte!$D$2:$D$81,MATCH($Q425,Offerte!$L$2:$L$81,0)),0))</f>
        <v/>
      </c>
      <c r="T425" s="57">
        <f>IF($A425="","",IFERROR(INDEX(Offerte!$G$2:$G$81,MATCH($Q425,Offerte!$L$2:$L$81,0)),"NO"))</f>
        <v/>
      </c>
    </row>
    <row r="426">
      <c r="A426" s="48">
        <f>IF(Offerte!$A15="","",Offerte!$A15)</f>
        <v/>
      </c>
      <c r="B426" s="48">
        <f>IF(Offerte!$A15="","",Offerte!$B15)</f>
        <v/>
      </c>
      <c r="C426" s="48">
        <f>IF(Offerte!$A15="","",Offerte!$C15)</f>
        <v/>
      </c>
      <c r="D426" s="48" t="inlineStr">
        <is>
          <t>D.2.1</t>
        </is>
      </c>
      <c r="E426" s="48" t="inlineStr">
        <is>
          <t>D</t>
        </is>
      </c>
      <c r="F426" s="48" t="inlineStr">
        <is>
          <t>Q</t>
        </is>
      </c>
      <c r="G426" s="48" t="inlineStr">
        <is>
          <t>higher</t>
        </is>
      </c>
      <c r="H426" s="48" t="n">
        <v>2</v>
      </c>
      <c r="I426" s="48" t="inlineStr">
        <is>
          <t>Segnali tattili Loges-Vet-Evolution</t>
        </is>
      </c>
      <c r="J426" s="73" t="n"/>
      <c r="K426" s="73" t="n"/>
      <c r="L426" s="73" t="n"/>
      <c r="M426" s="73" t="n"/>
      <c r="N426" s="57">
        <f>IF($A426="","",IFERROR(VALUE($J426),0))</f>
        <v/>
      </c>
      <c r="O426" s="57">
        <f>IF($A426="",0,IF(OR($S426&lt;&gt;1,COUNTA($J426:$M426)=0),0,IF(SUMPRODUCT(MAX(($C$5:$C$2484=$C426)*($D$5:$D$2484=$D426)*($S$5:$S$2484=1)*IFERROR($N$5:$N$2484*1,0)))&gt;0,ROUND($H426*($N426/SUMPRODUCT(MAX(($C$5:$C$2484=$C426)*($D$5:$D$2484=$D426)*($S$5:$S$2484=1)*IFERROR($N$5:$N$2484*1,0)))),4),0)))</f>
        <v/>
      </c>
      <c r="P426" s="48" t="inlineStr">
        <is>
          <t>fermate</t>
        </is>
      </c>
      <c r="Q426" s="57">
        <f>IF($A426="","",$A426&amp;"|"&amp;$C426)</f>
        <v/>
      </c>
      <c r="R426" s="57">
        <f>IF($A426="","",$A426&amp;"|"&amp;$C426&amp;"|"&amp;$D426)</f>
        <v/>
      </c>
      <c r="S426" s="57">
        <f>IF($A426="","",IFERROR(INDEX(Offerte!$D$2:$D$81,MATCH($Q426,Offerte!$L$2:$L$81,0)),0))</f>
        <v/>
      </c>
      <c r="T426" s="57">
        <f>IF($A426="","",IFERROR(INDEX(Offerte!$G$2:$G$81,MATCH($Q426,Offerte!$L$2:$L$81,0)),"NO"))</f>
        <v/>
      </c>
    </row>
    <row r="427">
      <c r="A427" s="48">
        <f>IF(Offerte!$A15="","",Offerte!$A15)</f>
        <v/>
      </c>
      <c r="B427" s="48">
        <f>IF(Offerte!$A15="","",Offerte!$B15)</f>
        <v/>
      </c>
      <c r="C427" s="48">
        <f>IF(Offerte!$A15="","",Offerte!$C15)</f>
        <v/>
      </c>
      <c r="D427" s="48" t="inlineStr">
        <is>
          <t>E.1.1</t>
        </is>
      </c>
      <c r="E427" s="48" t="inlineStr">
        <is>
          <t>E</t>
        </is>
      </c>
      <c r="F427" s="48" t="inlineStr">
        <is>
          <t>T</t>
        </is>
      </c>
      <c r="G427" s="48" t="inlineStr">
        <is>
          <t>tabular</t>
        </is>
      </c>
      <c r="H427" s="48" t="n">
        <v>2</v>
      </c>
      <c r="I427" s="48" t="inlineStr">
        <is>
          <t>Mobile app con travel planner PRM</t>
        </is>
      </c>
      <c r="J427" s="73" t="n"/>
      <c r="K427" s="73" t="n"/>
      <c r="L427" s="73" t="n"/>
      <c r="M427" s="73" t="n"/>
      <c r="N427" s="57">
        <f>IF($A427="","",IF(IFERROR(VALUE($M427),0)=1,1,0))</f>
        <v/>
      </c>
      <c r="O427" s="57">
        <f>IF($A427="",0,IF(OR($S427&lt;&gt;1,COUNTA($J427:$M427)=0),0,IF($N427=1,$H427,0)))</f>
        <v/>
      </c>
      <c r="P427" s="48" t="inlineStr">
        <is>
          <t>sì/no</t>
        </is>
      </c>
      <c r="Q427" s="57">
        <f>IF($A427="","",$A427&amp;"|"&amp;$C427)</f>
        <v/>
      </c>
      <c r="R427" s="57">
        <f>IF($A427="","",$A427&amp;"|"&amp;$C427&amp;"|"&amp;$D427)</f>
        <v/>
      </c>
      <c r="S427" s="57">
        <f>IF($A427="","",IFERROR(INDEX(Offerte!$D$2:$D$81,MATCH($Q427,Offerte!$L$2:$L$81,0)),0))</f>
        <v/>
      </c>
      <c r="T427" s="57">
        <f>IF($A427="","",IFERROR(INDEX(Offerte!$G$2:$G$81,MATCH($Q427,Offerte!$L$2:$L$81,0)),"NO"))</f>
        <v/>
      </c>
    </row>
    <row r="428">
      <c r="A428" s="48">
        <f>IF(Offerte!$A15="","",Offerte!$A15)</f>
        <v/>
      </c>
      <c r="B428" s="48">
        <f>IF(Offerte!$A15="","",Offerte!$B15)</f>
        <v/>
      </c>
      <c r="C428" s="48">
        <f>IF(Offerte!$A15="","",Offerte!$C15)</f>
        <v/>
      </c>
      <c r="D428" s="48" t="inlineStr">
        <is>
          <t>E.2.1</t>
        </is>
      </c>
      <c r="E428" s="48" t="inlineStr">
        <is>
          <t>E</t>
        </is>
      </c>
      <c r="F428" s="48" t="inlineStr">
        <is>
          <t>D</t>
        </is>
      </c>
      <c r="G428" s="48" t="inlineStr">
        <is>
          <t>discretionary</t>
        </is>
      </c>
      <c r="H428" s="48" t="n">
        <v>2</v>
      </c>
      <c r="I428" s="48" t="inlineStr">
        <is>
          <t>Altre azioni informative e rapporti con gli utenti</t>
        </is>
      </c>
      <c r="J428" s="73" t="n"/>
      <c r="K428" s="73" t="n"/>
      <c r="L428" s="73" t="n"/>
      <c r="M428" s="73" t="n"/>
      <c r="N428" s="57">
        <f>IF($A428="","",MAX(0,MIN(1,IFERROR(VALUE($M428),0))))</f>
        <v/>
      </c>
      <c r="O428" s="57">
        <f>IF($A428="",0,IF(OR($S428&lt;&gt;1,COUNTA($J428:$M428)=0),0,IF(SUMPRODUCT(MAX(($C$5:$C$2484=$C428)*($D$5:$D$2484=$D428)*($S$5:$S$2484=1)*IFERROR($N$5:$N$2484*1,0)))&gt;0,ROUND($H428*($N428/SUMPRODUCT(MAX(($C$5:$C$2484=$C428)*($D$5:$D$2484=$D428)*($S$5:$S$2484=1)*IFERROR($N$5:$N$2484*1,0)))),4),0)))</f>
        <v/>
      </c>
      <c r="P428" s="48" t="inlineStr">
        <is>
          <t>coeff.</t>
        </is>
      </c>
      <c r="Q428" s="57">
        <f>IF($A428="","",$A428&amp;"|"&amp;$C428)</f>
        <v/>
      </c>
      <c r="R428" s="57">
        <f>IF($A428="","",$A428&amp;"|"&amp;$C428&amp;"|"&amp;$D428)</f>
        <v/>
      </c>
      <c r="S428" s="57">
        <f>IF($A428="","",IFERROR(INDEX(Offerte!$D$2:$D$81,MATCH($Q428,Offerte!$L$2:$L$81,0)),0))</f>
        <v/>
      </c>
      <c r="T428" s="57">
        <f>IF($A428="","",IFERROR(INDEX(Offerte!$G$2:$G$81,MATCH($Q428,Offerte!$L$2:$L$81,0)),"NO"))</f>
        <v/>
      </c>
    </row>
    <row r="429">
      <c r="A429" s="48">
        <f>IF(Offerte!$A15="","",Offerte!$A15)</f>
        <v/>
      </c>
      <c r="B429" s="48">
        <f>IF(Offerte!$A15="","",Offerte!$B15)</f>
        <v/>
      </c>
      <c r="C429" s="48">
        <f>IF(Offerte!$A15="","",Offerte!$C15)</f>
        <v/>
      </c>
      <c r="D429" s="48" t="inlineStr">
        <is>
          <t>F.1.1</t>
        </is>
      </c>
      <c r="E429" s="48" t="inlineStr">
        <is>
          <t>F</t>
        </is>
      </c>
      <c r="F429" s="48" t="inlineStr">
        <is>
          <t>Q</t>
        </is>
      </c>
      <c r="G429" s="48" t="inlineStr">
        <is>
          <t>lower</t>
        </is>
      </c>
      <c r="H429" s="48" t="n">
        <v>7</v>
      </c>
      <c r="I429" s="48" t="inlineStr">
        <is>
          <t>Performance ambientali del parco mezzi adibito al servizio - I_CEA</t>
        </is>
      </c>
      <c r="J429" s="73" t="n"/>
      <c r="K429" s="73" t="n"/>
      <c r="L429" s="73" t="n"/>
      <c r="M429" s="73" t="n"/>
      <c r="N429" s="57">
        <f>IF($A429="","",IFERROR(VALUE($J429),0))</f>
        <v/>
      </c>
      <c r="O429" s="57">
        <f>IF($A429="",0,IF(OR($S429&lt;&gt;1,COUNTA($J429:$M429)=0),0,IF(AND(IFERROR(AGGREGATE(15,6,$N$5:$N$2484/(($C$5:$C$2484=$C429)*($D$5:$D$2484=$D429)*($S$5:$S$2484=1)*($N$5:$N$2484&gt;0)),1),0)&gt;0,$N429&gt;0),ROUND($H429*(IFERROR(AGGREGATE(15,6,$N$5:$N$2484/(($C$5:$C$2484=$C429)*($D$5:$D$2484=$D429)*($S$5:$S$2484=1)*($N$5:$N$2484&gt;0)),1),0)/$N429),4),0)))</f>
        <v/>
      </c>
      <c r="P429" s="48" t="inlineStr">
        <is>
          <t>indice</t>
        </is>
      </c>
      <c r="Q429" s="57">
        <f>IF($A429="","",$A429&amp;"|"&amp;$C429)</f>
        <v/>
      </c>
      <c r="R429" s="57">
        <f>IF($A429="","",$A429&amp;"|"&amp;$C429&amp;"|"&amp;$D429)</f>
        <v/>
      </c>
      <c r="S429" s="57">
        <f>IF($A429="","",IFERROR(INDEX(Offerte!$D$2:$D$81,MATCH($Q429,Offerte!$L$2:$L$81,0)),0))</f>
        <v/>
      </c>
      <c r="T429" s="57">
        <f>IF($A429="","",IFERROR(INDEX(Offerte!$G$2:$G$81,MATCH($Q429,Offerte!$L$2:$L$81,0)),"NO"))</f>
        <v/>
      </c>
    </row>
    <row r="430">
      <c r="A430" s="48">
        <f>IF(Offerte!$A15="","",Offerte!$A15)</f>
        <v/>
      </c>
      <c r="B430" s="48">
        <f>IF(Offerte!$A15="","",Offerte!$B15)</f>
        <v/>
      </c>
      <c r="C430" s="48">
        <f>IF(Offerte!$A15="","",Offerte!$C15)</f>
        <v/>
      </c>
      <c r="D430" s="48" t="inlineStr">
        <is>
          <t>F.2.1</t>
        </is>
      </c>
      <c r="E430" s="48" t="inlineStr">
        <is>
          <t>F</t>
        </is>
      </c>
      <c r="F430" s="48" t="inlineStr">
        <is>
          <t>Q</t>
        </is>
      </c>
      <c r="G430" s="48" t="inlineStr">
        <is>
          <t>higher</t>
        </is>
      </c>
      <c r="H430" s="48" t="n">
        <v>2</v>
      </c>
      <c r="I430" s="48" t="inlineStr">
        <is>
          <t>Tasso di copertura del servizio con dispositivi ECO-DRIVER</t>
        </is>
      </c>
      <c r="J430" s="73" t="n"/>
      <c r="K430" s="73" t="n"/>
      <c r="L430" s="73" t="n"/>
      <c r="M430" s="73" t="n"/>
      <c r="N430" s="57">
        <f>IF($A430="","",IFERROR(VALUE($K430)/VALUE($L430),IFERROR(VALUE($J430),0)))</f>
        <v/>
      </c>
      <c r="O430" s="57">
        <f>IF($A430="",0,IF(OR($S430&lt;&gt;1,COUNTA($J430:$M430)=0),0,IF(SUMPRODUCT(MAX(($C$5:$C$2484=$C430)*($D$5:$D$2484=$D430)*($S$5:$S$2484=1)*IFERROR($N$5:$N$2484*1,0)))&gt;0,ROUND($H430*($N430/SUMPRODUCT(MAX(($C$5:$C$2484=$C430)*($D$5:$D$2484=$D430)*($S$5:$S$2484=1)*IFERROR($N$5:$N$2484*1,0)))),4),0)))</f>
        <v/>
      </c>
      <c r="P430" s="48" t="inlineStr">
        <is>
          <t>Autobus attrezzati con dispositivi ECO-DRIVER / Autobus totali in offerta, incluse scorte</t>
        </is>
      </c>
      <c r="Q430" s="57">
        <f>IF($A430="","",$A430&amp;"|"&amp;$C430)</f>
        <v/>
      </c>
      <c r="R430" s="57">
        <f>IF($A430="","",$A430&amp;"|"&amp;$C430&amp;"|"&amp;$D430)</f>
        <v/>
      </c>
      <c r="S430" s="57">
        <f>IF($A430="","",IFERROR(INDEX(Offerte!$D$2:$D$81,MATCH($Q430,Offerte!$L$2:$L$81,0)),0))</f>
        <v/>
      </c>
      <c r="T430" s="57">
        <f>IF($A430="","",IFERROR(INDEX(Offerte!$G$2:$G$81,MATCH($Q430,Offerte!$L$2:$L$81,0)),"NO"))</f>
        <v/>
      </c>
    </row>
    <row r="431">
      <c r="A431" s="48">
        <f>IF(Offerte!$A15="","",Offerte!$A15)</f>
        <v/>
      </c>
      <c r="B431" s="48">
        <f>IF(Offerte!$A15="","",Offerte!$B15)</f>
        <v/>
      </c>
      <c r="C431" s="48">
        <f>IF(Offerte!$A15="","",Offerte!$C15)</f>
        <v/>
      </c>
      <c r="D431" s="48" t="inlineStr">
        <is>
          <t>F.3.1</t>
        </is>
      </c>
      <c r="E431" s="48" t="inlineStr">
        <is>
          <t>F</t>
        </is>
      </c>
      <c r="F431" s="48" t="inlineStr">
        <is>
          <t>Q</t>
        </is>
      </c>
      <c r="G431" s="48" t="inlineStr">
        <is>
          <t>higher</t>
        </is>
      </c>
      <c r="H431" s="48" t="n">
        <v>2</v>
      </c>
      <c r="I431" s="48" t="inlineStr">
        <is>
          <t>Autoproduzione consumi elettrici per trazione</t>
        </is>
      </c>
      <c r="J431" s="73" t="n"/>
      <c r="K431" s="73" t="n"/>
      <c r="L431" s="73" t="n"/>
      <c r="M431" s="73" t="n"/>
      <c r="N431" s="57">
        <f>IF($A431="","",IFERROR(VALUE($J431),0))</f>
        <v/>
      </c>
      <c r="O431" s="57">
        <f>IF($A431="",0,IF(OR($S431&lt;&gt;1,COUNTA($J431:$M431)=0),0,IF(SUMPRODUCT(MAX(($C$5:$C$2484=$C431)*($D$5:$D$2484=$D431)*($S$5:$S$2484=1)*IFERROR($N$5:$N$2484*1,0)))&gt;0,ROUND($H431*($N431/SUMPRODUCT(MAX(($C$5:$C$2484=$C431)*($D$5:$D$2484=$D431)*($S$5:$S$2484=1)*IFERROR($N$5:$N$2484*1,0)))),4),0)))</f>
        <v/>
      </c>
      <c r="P431" s="48" t="inlineStr">
        <is>
          <t>kWh/anno</t>
        </is>
      </c>
      <c r="Q431" s="57">
        <f>IF($A431="","",$A431&amp;"|"&amp;$C431)</f>
        <v/>
      </c>
      <c r="R431" s="57">
        <f>IF($A431="","",$A431&amp;"|"&amp;$C431&amp;"|"&amp;$D431)</f>
        <v/>
      </c>
      <c r="S431" s="57">
        <f>IF($A431="","",IFERROR(INDEX(Offerte!$D$2:$D$81,MATCH($Q431,Offerte!$L$2:$L$81,0)),0))</f>
        <v/>
      </c>
      <c r="T431" s="57">
        <f>IF($A431="","",IFERROR(INDEX(Offerte!$G$2:$G$81,MATCH($Q431,Offerte!$L$2:$L$81,0)),"NO"))</f>
        <v/>
      </c>
    </row>
    <row r="432">
      <c r="A432" s="48">
        <f>IF(Offerte!$A15="","",Offerte!$A15)</f>
        <v/>
      </c>
      <c r="B432" s="48">
        <f>IF(Offerte!$A15="","",Offerte!$B15)</f>
        <v/>
      </c>
      <c r="C432" s="48">
        <f>IF(Offerte!$A15="","",Offerte!$C15)</f>
        <v/>
      </c>
      <c r="D432" s="48" t="inlineStr">
        <is>
          <t>F.4.1</t>
        </is>
      </c>
      <c r="E432" s="48" t="inlineStr">
        <is>
          <t>F</t>
        </is>
      </c>
      <c r="F432" s="48" t="inlineStr">
        <is>
          <t>Q</t>
        </is>
      </c>
      <c r="G432" s="48" t="inlineStr">
        <is>
          <t>soil</t>
        </is>
      </c>
      <c r="H432" s="48" t="n">
        <v>2</v>
      </c>
      <c r="I432" s="48" t="inlineStr">
        <is>
          <t>Indice di consumo di suolo</t>
        </is>
      </c>
      <c r="J432" s="73" t="n"/>
      <c r="K432" s="73" t="n"/>
      <c r="L432" s="73" t="n"/>
      <c r="M432" s="73" t="n"/>
      <c r="N432" s="57">
        <f>IF($A432="","",IFERROR(VALUE($J432),0))</f>
        <v/>
      </c>
      <c r="O432" s="57">
        <f>IF($A432="",0,IF(OR($S432&lt;&gt;1,COUNTA($J432:$M432)=0),0,IF($N432&lt;=0,$H432,IF(SUMPRODUCT(MAX(($C$5:$C$2484=$C432)*($D$5:$D$2484=$D432)*($S$5:$S$2484=1)*IFERROR($N$5:$N$2484*1,0)))&gt;0,ROUND($H432*((SUMPRODUCT(MAX(($C$5:$C$2484=$C432)*($D$5:$D$2484=$D432)*($S$5:$S$2484=1)*IFERROR($N$5:$N$2484*1,0)))-$N432)/SUMPRODUCT(MAX(($C$5:$C$2484=$C432)*($D$5:$D$2484=$D432)*($S$5:$S$2484=1)*IFERROR($N$5:$N$2484*1,0)))),4),0))))</f>
        <v/>
      </c>
      <c r="P432" s="48" t="inlineStr">
        <is>
          <t>m2</t>
        </is>
      </c>
      <c r="Q432" s="57">
        <f>IF($A432="","",$A432&amp;"|"&amp;$C432)</f>
        <v/>
      </c>
      <c r="R432" s="57">
        <f>IF($A432="","",$A432&amp;"|"&amp;$C432&amp;"|"&amp;$D432)</f>
        <v/>
      </c>
      <c r="S432" s="57">
        <f>IF($A432="","",IFERROR(INDEX(Offerte!$D$2:$D$81,MATCH($Q432,Offerte!$L$2:$L$81,0)),0))</f>
        <v/>
      </c>
      <c r="T432" s="57">
        <f>IF($A432="","",IFERROR(INDEX(Offerte!$G$2:$G$81,MATCH($Q432,Offerte!$L$2:$L$81,0)),"NO"))</f>
        <v/>
      </c>
    </row>
    <row r="433">
      <c r="A433" s="48">
        <f>IF(Offerte!$A15="","",Offerte!$A15)</f>
        <v/>
      </c>
      <c r="B433" s="48">
        <f>IF(Offerte!$A15="","",Offerte!$B15)</f>
        <v/>
      </c>
      <c r="C433" s="48">
        <f>IF(Offerte!$A15="","",Offerte!$C15)</f>
        <v/>
      </c>
      <c r="D433" s="48" t="inlineStr">
        <is>
          <t>F.5.1</t>
        </is>
      </c>
      <c r="E433" s="48" t="inlineStr">
        <is>
          <t>F</t>
        </is>
      </c>
      <c r="F433" s="48" t="inlineStr">
        <is>
          <t>T</t>
        </is>
      </c>
      <c r="G433" s="48" t="inlineStr">
        <is>
          <t>tabular</t>
        </is>
      </c>
      <c r="H433" s="48" t="n">
        <v>1</v>
      </c>
      <c r="I433" s="48" t="inlineStr">
        <is>
          <t>Rendicontazione di sostenibilità ambientale</t>
        </is>
      </c>
      <c r="J433" s="73" t="n"/>
      <c r="K433" s="73" t="n"/>
      <c r="L433" s="73" t="n"/>
      <c r="M433" s="73" t="n"/>
      <c r="N433" s="57">
        <f>IF($A433="","",IF(IFERROR(VALUE($M433),0)=1,1,0))</f>
        <v/>
      </c>
      <c r="O433" s="57">
        <f>IF($A433="",0,IF(OR($S433&lt;&gt;1,COUNTA($J433:$M433)=0),0,IF($N433=1,$H433,0)))</f>
        <v/>
      </c>
      <c r="P433" s="48" t="inlineStr">
        <is>
          <t>sì/no</t>
        </is>
      </c>
      <c r="Q433" s="57">
        <f>IF($A433="","",$A433&amp;"|"&amp;$C433)</f>
        <v/>
      </c>
      <c r="R433" s="57">
        <f>IF($A433="","",$A433&amp;"|"&amp;$C433&amp;"|"&amp;$D433)</f>
        <v/>
      </c>
      <c r="S433" s="57">
        <f>IF($A433="","",IFERROR(INDEX(Offerte!$D$2:$D$81,MATCH($Q433,Offerte!$L$2:$L$81,0)),0))</f>
        <v/>
      </c>
      <c r="T433" s="57">
        <f>IF($A433="","",IFERROR(INDEX(Offerte!$G$2:$G$81,MATCH($Q433,Offerte!$L$2:$L$81,0)),"NO"))</f>
        <v/>
      </c>
    </row>
    <row r="434">
      <c r="A434" s="48">
        <f>IF(Offerte!$A15="","",Offerte!$A15)</f>
        <v/>
      </c>
      <c r="B434" s="48">
        <f>IF(Offerte!$A15="","",Offerte!$B15)</f>
        <v/>
      </c>
      <c r="C434" s="48">
        <f>IF(Offerte!$A15="","",Offerte!$C15)</f>
        <v/>
      </c>
      <c r="D434" s="48" t="inlineStr">
        <is>
          <t>G.1.1</t>
        </is>
      </c>
      <c r="E434" s="48" t="inlineStr">
        <is>
          <t>G</t>
        </is>
      </c>
      <c r="F434" s="48" t="inlineStr">
        <is>
          <t>D</t>
        </is>
      </c>
      <c r="G434" s="48" t="inlineStr">
        <is>
          <t>discretionary</t>
        </is>
      </c>
      <c r="H434" s="48" t="n">
        <v>2</v>
      </c>
      <c r="I434" s="48" t="inlineStr">
        <is>
          <t>Qualità del progetto di centrale di controllo aziendale</t>
        </is>
      </c>
      <c r="J434" s="73" t="n"/>
      <c r="K434" s="73" t="n"/>
      <c r="L434" s="73" t="n"/>
      <c r="M434" s="73" t="n"/>
      <c r="N434" s="57">
        <f>IF($A434="","",MAX(0,MIN(1,IFERROR(VALUE($M434),0))))</f>
        <v/>
      </c>
      <c r="O434" s="57">
        <f>IF($A434="",0,IF(OR($S434&lt;&gt;1,COUNTA($J434:$M434)=0),0,IF(SUMPRODUCT(MAX(($C$5:$C$2484=$C434)*($D$5:$D$2484=$D434)*($S$5:$S$2484=1)*IFERROR($N$5:$N$2484*1,0)))&gt;0,ROUND($H434*($N434/SUMPRODUCT(MAX(($C$5:$C$2484=$C434)*($D$5:$D$2484=$D434)*($S$5:$S$2484=1)*IFERROR($N$5:$N$2484*1,0)))),4),0)))</f>
        <v/>
      </c>
      <c r="P434" s="48" t="inlineStr">
        <is>
          <t>coeff.</t>
        </is>
      </c>
      <c r="Q434" s="57">
        <f>IF($A434="","",$A434&amp;"|"&amp;$C434)</f>
        <v/>
      </c>
      <c r="R434" s="57">
        <f>IF($A434="","",$A434&amp;"|"&amp;$C434&amp;"|"&amp;$D434)</f>
        <v/>
      </c>
      <c r="S434" s="57">
        <f>IF($A434="","",IFERROR(INDEX(Offerte!$D$2:$D$81,MATCH($Q434,Offerte!$L$2:$L$81,0)),0))</f>
        <v/>
      </c>
      <c r="T434" s="57">
        <f>IF($A434="","",IFERROR(INDEX(Offerte!$G$2:$G$81,MATCH($Q434,Offerte!$L$2:$L$81,0)),"NO"))</f>
        <v/>
      </c>
    </row>
    <row r="435">
      <c r="A435" s="48">
        <f>IF(Offerte!$A15="","",Offerte!$A15)</f>
        <v/>
      </c>
      <c r="B435" s="48">
        <f>IF(Offerte!$A15="","",Offerte!$B15)</f>
        <v/>
      </c>
      <c r="C435" s="48">
        <f>IF(Offerte!$A15="","",Offerte!$C15)</f>
        <v/>
      </c>
      <c r="D435" s="48" t="inlineStr">
        <is>
          <t>G.2.1</t>
        </is>
      </c>
      <c r="E435" s="48" t="inlineStr">
        <is>
          <t>G</t>
        </is>
      </c>
      <c r="F435" s="48" t="inlineStr">
        <is>
          <t>T</t>
        </is>
      </c>
      <c r="G435" s="48" t="inlineStr">
        <is>
          <t>tabular</t>
        </is>
      </c>
      <c r="H435" s="48" t="n">
        <v>1</v>
      </c>
      <c r="I435" s="48" t="inlineStr">
        <is>
          <t>Certificazione ISO 45001</t>
        </is>
      </c>
      <c r="J435" s="73" t="n"/>
      <c r="K435" s="73" t="n"/>
      <c r="L435" s="73" t="n"/>
      <c r="M435" s="73" t="n"/>
      <c r="N435" s="57">
        <f>IF($A435="","",IF(IFERROR(VALUE($M435),0)=1,1,0))</f>
        <v/>
      </c>
      <c r="O435" s="57">
        <f>IF($A435="",0,IF(OR($S435&lt;&gt;1,COUNTA($J435:$M435)=0),0,IF($N435=1,$H435,0)))</f>
        <v/>
      </c>
      <c r="P435" s="48" t="inlineStr">
        <is>
          <t>sì/no</t>
        </is>
      </c>
      <c r="Q435" s="57">
        <f>IF($A435="","",$A435&amp;"|"&amp;$C435)</f>
        <v/>
      </c>
      <c r="R435" s="57">
        <f>IF($A435="","",$A435&amp;"|"&amp;$C435&amp;"|"&amp;$D435)</f>
        <v/>
      </c>
      <c r="S435" s="57">
        <f>IF($A435="","",IFERROR(INDEX(Offerte!$D$2:$D$81,MATCH($Q435,Offerte!$L$2:$L$81,0)),0))</f>
        <v/>
      </c>
      <c r="T435" s="57">
        <f>IF($A435="","",IFERROR(INDEX(Offerte!$G$2:$G$81,MATCH($Q435,Offerte!$L$2:$L$81,0)),"NO"))</f>
        <v/>
      </c>
    </row>
    <row r="436">
      <c r="A436" s="48">
        <f>IF(Offerte!$A15="","",Offerte!$A15)</f>
        <v/>
      </c>
      <c r="B436" s="48">
        <f>IF(Offerte!$A15="","",Offerte!$B15)</f>
        <v/>
      </c>
      <c r="C436" s="48">
        <f>IF(Offerte!$A15="","",Offerte!$C15)</f>
        <v/>
      </c>
      <c r="D436" s="48" t="inlineStr">
        <is>
          <t>G.3.1</t>
        </is>
      </c>
      <c r="E436" s="48" t="inlineStr">
        <is>
          <t>G</t>
        </is>
      </c>
      <c r="F436" s="48" t="inlineStr">
        <is>
          <t>T</t>
        </is>
      </c>
      <c r="G436" s="48" t="inlineStr">
        <is>
          <t>tabular</t>
        </is>
      </c>
      <c r="H436" s="48" t="n">
        <v>1</v>
      </c>
      <c r="I436" s="48" t="inlineStr">
        <is>
          <t>Certificazioni di responsabilità sociale</t>
        </is>
      </c>
      <c r="J436" s="73" t="n"/>
      <c r="K436" s="73" t="n"/>
      <c r="L436" s="73" t="n"/>
      <c r="M436" s="73" t="n"/>
      <c r="N436" s="57">
        <f>IF($A436="","",IF(IFERROR(VALUE($M436),0)=1,1,0))</f>
        <v/>
      </c>
      <c r="O436" s="57">
        <f>IF($A436="",0,IF(OR($S436&lt;&gt;1,COUNTA($J436:$M436)=0),0,IF($N436=1,$H436,0)))</f>
        <v/>
      </c>
      <c r="P436" s="48" t="inlineStr">
        <is>
          <t>sì/no</t>
        </is>
      </c>
      <c r="Q436" s="57">
        <f>IF($A436="","",$A436&amp;"|"&amp;$C436)</f>
        <v/>
      </c>
      <c r="R436" s="57">
        <f>IF($A436="","",$A436&amp;"|"&amp;$C436&amp;"|"&amp;$D436)</f>
        <v/>
      </c>
      <c r="S436" s="57">
        <f>IF($A436="","",IFERROR(INDEX(Offerte!$D$2:$D$81,MATCH($Q436,Offerte!$L$2:$L$81,0)),0))</f>
        <v/>
      </c>
      <c r="T436" s="57">
        <f>IF($A436="","",IFERROR(INDEX(Offerte!$G$2:$G$81,MATCH($Q436,Offerte!$L$2:$L$81,0)),"NO"))</f>
        <v/>
      </c>
    </row>
    <row r="437">
      <c r="A437" s="48">
        <f>IF(Offerte!$A15="","",Offerte!$A15)</f>
        <v/>
      </c>
      <c r="B437" s="48">
        <f>IF(Offerte!$A15="","",Offerte!$B15)</f>
        <v/>
      </c>
      <c r="C437" s="48">
        <f>IF(Offerte!$A15="","",Offerte!$C15)</f>
        <v/>
      </c>
      <c r="D437" s="48" t="inlineStr">
        <is>
          <t>G.4.1</t>
        </is>
      </c>
      <c r="E437" s="48" t="inlineStr">
        <is>
          <t>G</t>
        </is>
      </c>
      <c r="F437" s="48" t="inlineStr">
        <is>
          <t>D</t>
        </is>
      </c>
      <c r="G437" s="48" t="inlineStr">
        <is>
          <t>discretionary</t>
        </is>
      </c>
      <c r="H437" s="48" t="n">
        <v>2</v>
      </c>
      <c r="I437" s="48" t="inlineStr">
        <is>
          <t>Qualità del piano di formazione del personale</t>
        </is>
      </c>
      <c r="J437" s="73" t="n"/>
      <c r="K437" s="73" t="n"/>
      <c r="L437" s="73" t="n"/>
      <c r="M437" s="73" t="n"/>
      <c r="N437" s="57">
        <f>IF($A437="","",MAX(0,MIN(1,IFERROR(VALUE($M437),0))))</f>
        <v/>
      </c>
      <c r="O437" s="57">
        <f>IF($A437="",0,IF(OR($S437&lt;&gt;1,COUNTA($J437:$M437)=0),0,IF(SUMPRODUCT(MAX(($C$5:$C$2484=$C437)*($D$5:$D$2484=$D437)*($S$5:$S$2484=1)*IFERROR($N$5:$N$2484*1,0)))&gt;0,ROUND($H437*($N437/SUMPRODUCT(MAX(($C$5:$C$2484=$C437)*($D$5:$D$2484=$D437)*($S$5:$S$2484=1)*IFERROR($N$5:$N$2484*1,0)))),4),0)))</f>
        <v/>
      </c>
      <c r="P437" s="48" t="inlineStr">
        <is>
          <t>coeff.</t>
        </is>
      </c>
      <c r="Q437" s="57">
        <f>IF($A437="","",$A437&amp;"|"&amp;$C437)</f>
        <v/>
      </c>
      <c r="R437" s="57">
        <f>IF($A437="","",$A437&amp;"|"&amp;$C437&amp;"|"&amp;$D437)</f>
        <v/>
      </c>
      <c r="S437" s="57">
        <f>IF($A437="","",IFERROR(INDEX(Offerte!$D$2:$D$81,MATCH($Q437,Offerte!$L$2:$L$81,0)),0))</f>
        <v/>
      </c>
      <c r="T437" s="57">
        <f>IF($A437="","",IFERROR(INDEX(Offerte!$G$2:$G$81,MATCH($Q437,Offerte!$L$2:$L$81,0)),"NO"))</f>
        <v/>
      </c>
    </row>
    <row r="438">
      <c r="A438" s="48">
        <f>IF(Offerte!$A15="","",Offerte!$A15)</f>
        <v/>
      </c>
      <c r="B438" s="48">
        <f>IF(Offerte!$A15="","",Offerte!$B15)</f>
        <v/>
      </c>
      <c r="C438" s="48">
        <f>IF(Offerte!$A15="","",Offerte!$C15)</f>
        <v/>
      </c>
      <c r="D438" s="48" t="inlineStr">
        <is>
          <t>G.5.1</t>
        </is>
      </c>
      <c r="E438" s="48" t="inlineStr">
        <is>
          <t>G</t>
        </is>
      </c>
      <c r="F438" s="48" t="inlineStr">
        <is>
          <t>T</t>
        </is>
      </c>
      <c r="G438" s="48" t="inlineStr">
        <is>
          <t>tabular</t>
        </is>
      </c>
      <c r="H438" s="48" t="n">
        <v>1</v>
      </c>
      <c r="I438" s="48" t="inlineStr">
        <is>
          <t>Impegno al mantenimento delle garanzie del contratto di secondo livello del gestore uscente</t>
        </is>
      </c>
      <c r="J438" s="73" t="n"/>
      <c r="K438" s="73" t="n"/>
      <c r="L438" s="73" t="n"/>
      <c r="M438" s="73" t="n"/>
      <c r="N438" s="57">
        <f>IF($A438="","",IF(IFERROR(VALUE($M438),0)=1,1,0))</f>
        <v/>
      </c>
      <c r="O438" s="57">
        <f>IF($A438="",0,IF(OR($S438&lt;&gt;1,COUNTA($J438:$M438)=0),0,IF($N438=1,$H438,0)))</f>
        <v/>
      </c>
      <c r="P438" s="48" t="inlineStr">
        <is>
          <t>sì/no</t>
        </is>
      </c>
      <c r="Q438" s="57">
        <f>IF($A438="","",$A438&amp;"|"&amp;$C438)</f>
        <v/>
      </c>
      <c r="R438" s="57">
        <f>IF($A438="","",$A438&amp;"|"&amp;$C438&amp;"|"&amp;$D438)</f>
        <v/>
      </c>
      <c r="S438" s="57">
        <f>IF($A438="","",IFERROR(INDEX(Offerte!$D$2:$D$81,MATCH($Q438,Offerte!$L$2:$L$81,0)),0))</f>
        <v/>
      </c>
      <c r="T438" s="57">
        <f>IF($A438="","",IFERROR(INDEX(Offerte!$G$2:$G$81,MATCH($Q438,Offerte!$L$2:$L$81,0)),"NO"))</f>
        <v/>
      </c>
    </row>
    <row r="439">
      <c r="A439" s="48">
        <f>IF(Offerte!$A16="","",Offerte!$A16)</f>
        <v/>
      </c>
      <c r="B439" s="48">
        <f>IF(Offerte!$A16="","",Offerte!$B16)</f>
        <v/>
      </c>
      <c r="C439" s="48">
        <f>IF(Offerte!$A16="","",Offerte!$C16)</f>
        <v/>
      </c>
      <c r="D439" s="48" t="inlineStr">
        <is>
          <t>A.1.1</t>
        </is>
      </c>
      <c r="E439" s="48" t="inlineStr">
        <is>
          <t>A</t>
        </is>
      </c>
      <c r="F439" s="48" t="inlineStr">
        <is>
          <t>Q</t>
        </is>
      </c>
      <c r="G439" s="48" t="inlineStr">
        <is>
          <t>higher</t>
        </is>
      </c>
      <c r="H439" s="48" t="n">
        <v>3</v>
      </c>
      <c r="I439" s="48" t="inlineStr">
        <is>
          <t>Tasso aggiuntivo di corse controllate</t>
        </is>
      </c>
      <c r="J439" s="73" t="n"/>
      <c r="K439" s="73" t="n"/>
      <c r="L439" s="73" t="n"/>
      <c r="M439" s="73" t="n"/>
      <c r="N439" s="57">
        <f>IF($A439="","",IFERROR(VALUE($K439)/VALUE($L439)*100,IFERROR(VALUE($J439),0)))</f>
        <v/>
      </c>
      <c r="O439" s="57">
        <f>IF($A439="",0,IF(OR($S439&lt;&gt;1,COUNTA($J439:$M439)=0),0,IF(SUMPRODUCT(MAX(($C$5:$C$2484=$C439)*($D$5:$D$2484=$D439)*($S$5:$S$2484=1)*IFERROR($N$5:$N$2484*1,0)))&gt;0,ROUND($H439*($N439/SUMPRODUCT(MAX(($C$5:$C$2484=$C439)*($D$5:$D$2484=$D439)*($S$5:$S$2484=1)*IFERROR($N$5:$N$2484*1,0)))),4),0)))</f>
        <v/>
      </c>
      <c r="P439" s="48" t="inlineStr">
        <is>
          <t>Corse controllate annue / Corse programmate annue</t>
        </is>
      </c>
      <c r="Q439" s="57">
        <f>IF($A439="","",$A439&amp;"|"&amp;$C439)</f>
        <v/>
      </c>
      <c r="R439" s="57">
        <f>IF($A439="","",$A439&amp;"|"&amp;$C439&amp;"|"&amp;$D439)</f>
        <v/>
      </c>
      <c r="S439" s="57">
        <f>IF($A439="","",IFERROR(INDEX(Offerte!$D$2:$D$81,MATCH($Q439,Offerte!$L$2:$L$81,0)),0))</f>
        <v/>
      </c>
      <c r="T439" s="57">
        <f>IF($A439="","",IFERROR(INDEX(Offerte!$G$2:$G$81,MATCH($Q439,Offerte!$L$2:$L$81,0)),"NO"))</f>
        <v/>
      </c>
    </row>
    <row r="440">
      <c r="A440" s="48">
        <f>IF(Offerte!$A16="","",Offerte!$A16)</f>
        <v/>
      </c>
      <c r="B440" s="48">
        <f>IF(Offerte!$A16="","",Offerte!$B16)</f>
        <v/>
      </c>
      <c r="C440" s="48">
        <f>IF(Offerte!$A16="","",Offerte!$C16)</f>
        <v/>
      </c>
      <c r="D440" s="48" t="inlineStr">
        <is>
          <t>A.1.2</t>
        </is>
      </c>
      <c r="E440" s="48" t="inlineStr">
        <is>
          <t>A</t>
        </is>
      </c>
      <c r="F440" s="48" t="inlineStr">
        <is>
          <t>Q</t>
        </is>
      </c>
      <c r="G440" s="48" t="inlineStr">
        <is>
          <t>higher</t>
        </is>
      </c>
      <c r="H440" s="48" t="n">
        <v>4</v>
      </c>
      <c r="I440" s="48" t="inlineStr">
        <is>
          <t>Numero aggiuntivo di passeggeri controllati</t>
        </is>
      </c>
      <c r="J440" s="73" t="n"/>
      <c r="K440" s="73" t="n"/>
      <c r="L440" s="73" t="n"/>
      <c r="M440" s="73" t="n"/>
      <c r="N440" s="57">
        <f>IF($A440="","",IFERROR(VALUE($J440),0))</f>
        <v/>
      </c>
      <c r="O440" s="57">
        <f>IF($A440="",0,IF(OR($S440&lt;&gt;1,COUNTA($J440:$M440)=0),0,IF(SUMPRODUCT(MAX(($C$5:$C$2484=$C440)*($D$5:$D$2484=$D440)*($S$5:$S$2484=1)*IFERROR($N$5:$N$2484*1,0)))&gt;0,ROUND($H440*($N440/SUMPRODUCT(MAX(($C$5:$C$2484=$C440)*($D$5:$D$2484=$D440)*($S$5:$S$2484=1)*IFERROR($N$5:$N$2484*1,0)))),4),0)))</f>
        <v/>
      </c>
      <c r="P440" s="48" t="inlineStr">
        <is>
          <t>passeggeri/anno</t>
        </is>
      </c>
      <c r="Q440" s="57">
        <f>IF($A440="","",$A440&amp;"|"&amp;$C440)</f>
        <v/>
      </c>
      <c r="R440" s="57">
        <f>IF($A440="","",$A440&amp;"|"&amp;$C440&amp;"|"&amp;$D440)</f>
        <v/>
      </c>
      <c r="S440" s="57">
        <f>IF($A440="","",IFERROR(INDEX(Offerte!$D$2:$D$81,MATCH($Q440,Offerte!$L$2:$L$81,0)),0))</f>
        <v/>
      </c>
      <c r="T440" s="57">
        <f>IF($A440="","",IFERROR(INDEX(Offerte!$G$2:$G$81,MATCH($Q440,Offerte!$L$2:$L$81,0)),"NO"))</f>
        <v/>
      </c>
    </row>
    <row r="441">
      <c r="A441" s="48">
        <f>IF(Offerte!$A16="","",Offerte!$A16)</f>
        <v/>
      </c>
      <c r="B441" s="48">
        <f>IF(Offerte!$A16="","",Offerte!$B16)</f>
        <v/>
      </c>
      <c r="C441" s="48">
        <f>IF(Offerte!$A16="","",Offerte!$C16)</f>
        <v/>
      </c>
      <c r="D441" s="48" t="inlineStr">
        <is>
          <t>B.1.1</t>
        </is>
      </c>
      <c r="E441" s="48" t="inlineStr">
        <is>
          <t>B</t>
        </is>
      </c>
      <c r="F441" s="48" t="inlineStr">
        <is>
          <t>Q</t>
        </is>
      </c>
      <c r="G441" s="48" t="inlineStr">
        <is>
          <t>higher</t>
        </is>
      </c>
      <c r="H441" s="48" t="n">
        <v>3</v>
      </c>
      <c r="I441" s="48" t="inlineStr">
        <is>
          <t>Incremento dei posti offerti nelle fasce di punta</t>
        </is>
      </c>
      <c r="J441" s="73" t="n"/>
      <c r="K441" s="73" t="n"/>
      <c r="L441" s="73" t="n"/>
      <c r="M441" s="73" t="n"/>
      <c r="N441" s="57">
        <f>IF($A441="","",IFERROR(VALUE($J441),0))</f>
        <v/>
      </c>
      <c r="O441" s="57">
        <f>IF($A441="",0,IF(OR($S441&lt;&gt;1,COUNTA($J441:$M441)=0),0,IF(SUMPRODUCT(MAX(($C$5:$C$2484=$C441)*($D$5:$D$2484=$D441)*($S$5:$S$2484=1)*IFERROR($N$5:$N$2484*1,0)))&gt;0,ROUND($H441*($N441/SUMPRODUCT(MAX(($C$5:$C$2484=$C441)*($D$5:$D$2484=$D441)*($S$5:$S$2484=1)*IFERROR($N$5:$N$2484*1,0)))),4),0)))</f>
        <v/>
      </c>
      <c r="P441" s="48" t="inlineStr">
        <is>
          <t>posti*km</t>
        </is>
      </c>
      <c r="Q441" s="57">
        <f>IF($A441="","",$A441&amp;"|"&amp;$C441)</f>
        <v/>
      </c>
      <c r="R441" s="57">
        <f>IF($A441="","",$A441&amp;"|"&amp;$C441&amp;"|"&amp;$D441)</f>
        <v/>
      </c>
      <c r="S441" s="57">
        <f>IF($A441="","",IFERROR(INDEX(Offerte!$D$2:$D$81,MATCH($Q441,Offerte!$L$2:$L$81,0)),0))</f>
        <v/>
      </c>
      <c r="T441" s="57">
        <f>IF($A441="","",IFERROR(INDEX(Offerte!$G$2:$G$81,MATCH($Q441,Offerte!$L$2:$L$81,0)),"NO"))</f>
        <v/>
      </c>
    </row>
    <row r="442">
      <c r="A442" s="48">
        <f>IF(Offerte!$A16="","",Offerte!$A16)</f>
        <v/>
      </c>
      <c r="B442" s="48">
        <f>IF(Offerte!$A16="","",Offerte!$B16)</f>
        <v/>
      </c>
      <c r="C442" s="48">
        <f>IF(Offerte!$A16="","",Offerte!$C16)</f>
        <v/>
      </c>
      <c r="D442" s="48" t="inlineStr">
        <is>
          <t>B.2.1</t>
        </is>
      </c>
      <c r="E442" s="48" t="inlineStr">
        <is>
          <t>B</t>
        </is>
      </c>
      <c r="F442" s="48" t="inlineStr">
        <is>
          <t>Q</t>
        </is>
      </c>
      <c r="G442" s="48" t="inlineStr">
        <is>
          <t>higher</t>
        </is>
      </c>
      <c r="H442" s="48" t="n">
        <v>4</v>
      </c>
      <c r="I442" s="48" t="inlineStr">
        <is>
          <t>Corse aggiuntive nell'arco giornaliero base</t>
        </is>
      </c>
      <c r="J442" s="73" t="n"/>
      <c r="K442" s="73" t="n"/>
      <c r="L442" s="73" t="n"/>
      <c r="M442" s="73" t="n"/>
      <c r="N442" s="57">
        <f>IF($A442="","",IFERROR(VALUE($J442),0))</f>
        <v/>
      </c>
      <c r="O442" s="57">
        <f>IF($A442="",0,IF(OR($S442&lt;&gt;1,COUNTA($J442:$M442)=0),0,IF(SUMPRODUCT(MAX(($C$5:$C$2484=$C442)*($D$5:$D$2484=$D442)*($S$5:$S$2484=1)*IFERROR($N$5:$N$2484*1,0)))&gt;0,ROUND($H442*($N442/SUMPRODUCT(MAX(($C$5:$C$2484=$C442)*($D$5:$D$2484=$D442)*($S$5:$S$2484=1)*IFERROR($N$5:$N$2484*1,0)))),4),0)))</f>
        <v/>
      </c>
      <c r="P442" s="48" t="inlineStr">
        <is>
          <t>corse</t>
        </is>
      </c>
      <c r="Q442" s="57">
        <f>IF($A442="","",$A442&amp;"|"&amp;$C442)</f>
        <v/>
      </c>
      <c r="R442" s="57">
        <f>IF($A442="","",$A442&amp;"|"&amp;$C442&amp;"|"&amp;$D442)</f>
        <v/>
      </c>
      <c r="S442" s="57">
        <f>IF($A442="","",IFERROR(INDEX(Offerte!$D$2:$D$81,MATCH($Q442,Offerte!$L$2:$L$81,0)),0))</f>
        <v/>
      </c>
      <c r="T442" s="57">
        <f>IF($A442="","",IFERROR(INDEX(Offerte!$G$2:$G$81,MATCH($Q442,Offerte!$L$2:$L$81,0)),"NO"))</f>
        <v/>
      </c>
    </row>
    <row r="443">
      <c r="A443" s="48">
        <f>IF(Offerte!$A16="","",Offerte!$A16)</f>
        <v/>
      </c>
      <c r="B443" s="48">
        <f>IF(Offerte!$A16="","",Offerte!$B16)</f>
        <v/>
      </c>
      <c r="C443" s="48">
        <f>IF(Offerte!$A16="","",Offerte!$C16)</f>
        <v/>
      </c>
      <c r="D443" s="48" t="inlineStr">
        <is>
          <t>B.3.1</t>
        </is>
      </c>
      <c r="E443" s="48" t="inlineStr">
        <is>
          <t>B</t>
        </is>
      </c>
      <c r="F443" s="48" t="inlineStr">
        <is>
          <t>Q</t>
        </is>
      </c>
      <c r="G443" s="48" t="inlineStr">
        <is>
          <t>higher</t>
        </is>
      </c>
      <c r="H443" s="48" t="n">
        <v>2</v>
      </c>
      <c r="I443" s="48" t="inlineStr">
        <is>
          <t>Numero di corse aggiuntive per allungamento dell'arco di servizio giornaliero nelle fasce serali</t>
        </is>
      </c>
      <c r="J443" s="73" t="n"/>
      <c r="K443" s="73" t="n"/>
      <c r="L443" s="73" t="n"/>
      <c r="M443" s="73" t="n"/>
      <c r="N443" s="57">
        <f>IF($A443="","",IFERROR(VALUE($J443),0))</f>
        <v/>
      </c>
      <c r="O443" s="57">
        <f>IF($A443="",0,IF(OR($S443&lt;&gt;1,COUNTA($J443:$M443)=0),0,IF(SUMPRODUCT(MAX(($C$5:$C$2484=$C443)*($D$5:$D$2484=$D443)*($S$5:$S$2484=1)*IFERROR($N$5:$N$2484*1,0)))&gt;0,ROUND($H443*($N443/SUMPRODUCT(MAX(($C$5:$C$2484=$C443)*($D$5:$D$2484=$D443)*($S$5:$S$2484=1)*IFERROR($N$5:$N$2484*1,0)))),4),0)))</f>
        <v/>
      </c>
      <c r="P443" s="48" t="inlineStr">
        <is>
          <t>corse</t>
        </is>
      </c>
      <c r="Q443" s="57">
        <f>IF($A443="","",$A443&amp;"|"&amp;$C443)</f>
        <v/>
      </c>
      <c r="R443" s="57">
        <f>IF($A443="","",$A443&amp;"|"&amp;$C443&amp;"|"&amp;$D443)</f>
        <v/>
      </c>
      <c r="S443" s="57">
        <f>IF($A443="","",IFERROR(INDEX(Offerte!$D$2:$D$81,MATCH($Q443,Offerte!$L$2:$L$81,0)),0))</f>
        <v/>
      </c>
      <c r="T443" s="57">
        <f>IF($A443="","",IFERROR(INDEX(Offerte!$G$2:$G$81,MATCH($Q443,Offerte!$L$2:$L$81,0)),"NO"))</f>
        <v/>
      </c>
    </row>
    <row r="444">
      <c r="A444" s="48">
        <f>IF(Offerte!$A16="","",Offerte!$A16)</f>
        <v/>
      </c>
      <c r="B444" s="48">
        <f>IF(Offerte!$A16="","",Offerte!$B16)</f>
        <v/>
      </c>
      <c r="C444" s="48">
        <f>IF(Offerte!$A16="","",Offerte!$C16)</f>
        <v/>
      </c>
      <c r="D444" s="48" t="inlineStr">
        <is>
          <t>B.4.1</t>
        </is>
      </c>
      <c r="E444" s="48" t="inlineStr">
        <is>
          <t>B</t>
        </is>
      </c>
      <c r="F444" s="48" t="inlineStr">
        <is>
          <t>Q</t>
        </is>
      </c>
      <c r="G444" s="48" t="inlineStr">
        <is>
          <t>higher</t>
        </is>
      </c>
      <c r="H444" s="48" t="n">
        <v>3</v>
      </c>
      <c r="I444" s="48" t="inlineStr">
        <is>
          <t>Percorrenze aggiuntive offerte nel Programma d'esercizio delle prime due fasi attuative</t>
        </is>
      </c>
      <c r="J444" s="73" t="n"/>
      <c r="K444" s="73" t="n"/>
      <c r="L444" s="73" t="n"/>
      <c r="M444" s="73" t="n"/>
      <c r="N444" s="57">
        <f>IF($A444="","",IFERROR(VALUE($J444),0))</f>
        <v/>
      </c>
      <c r="O444" s="57">
        <f>IF($A444="",0,IF(OR($S444&lt;&gt;1,COUNTA($J444:$M444)=0),0,IF(SUMPRODUCT(MAX(($C$5:$C$2484=$C444)*($D$5:$D$2484=$D444)*($S$5:$S$2484=1)*IFERROR($N$5:$N$2484*1,0)))&gt;0,ROUND($H444*($N444/SUMPRODUCT(MAX(($C$5:$C$2484=$C444)*($D$5:$D$2484=$D444)*($S$5:$S$2484=1)*IFERROR($N$5:$N$2484*1,0)))),4),0)))</f>
        <v/>
      </c>
      <c r="P444" s="48" t="inlineStr">
        <is>
          <t>vett*km</t>
        </is>
      </c>
      <c r="Q444" s="57">
        <f>IF($A444="","",$A444&amp;"|"&amp;$C444)</f>
        <v/>
      </c>
      <c r="R444" s="57">
        <f>IF($A444="","",$A444&amp;"|"&amp;$C444&amp;"|"&amp;$D444)</f>
        <v/>
      </c>
      <c r="S444" s="57">
        <f>IF($A444="","",IFERROR(INDEX(Offerte!$D$2:$D$81,MATCH($Q444,Offerte!$L$2:$L$81,0)),0))</f>
        <v/>
      </c>
      <c r="T444" s="57">
        <f>IF($A444="","",IFERROR(INDEX(Offerte!$G$2:$G$81,MATCH($Q444,Offerte!$L$2:$L$81,0)),"NO"))</f>
        <v/>
      </c>
    </row>
    <row r="445">
      <c r="A445" s="48">
        <f>IF(Offerte!$A16="","",Offerte!$A16)</f>
        <v/>
      </c>
      <c r="B445" s="48">
        <f>IF(Offerte!$A16="","",Offerte!$B16)</f>
        <v/>
      </c>
      <c r="C445" s="48">
        <f>IF(Offerte!$A16="","",Offerte!$C16)</f>
        <v/>
      </c>
      <c r="D445" s="48" t="inlineStr">
        <is>
          <t>B.5.1</t>
        </is>
      </c>
      <c r="E445" s="48" t="inlineStr">
        <is>
          <t>B</t>
        </is>
      </c>
      <c r="F445" s="48" t="inlineStr">
        <is>
          <t>D</t>
        </is>
      </c>
      <c r="G445" s="48" t="inlineStr">
        <is>
          <t>discretionary</t>
        </is>
      </c>
      <c r="H445" s="48" t="n">
        <v>2</v>
      </c>
      <c r="I445" s="48" t="inlineStr">
        <is>
          <t>Efficacia del progetto di servizi complementari DRT</t>
        </is>
      </c>
      <c r="J445" s="73" t="n"/>
      <c r="K445" s="73" t="n"/>
      <c r="L445" s="73" t="n"/>
      <c r="M445" s="73" t="n"/>
      <c r="N445" s="57">
        <f>IF($A445="","",MAX(0,MIN(1,IFERROR(VALUE($M445),0))))</f>
        <v/>
      </c>
      <c r="O445" s="57">
        <f>IF($A445="",0,IF(OR($S445&lt;&gt;1,COUNTA($J445:$M445)=0),0,IF(SUMPRODUCT(MAX(($C$5:$C$2484=$C445)*($D$5:$D$2484=$D445)*($S$5:$S$2484=1)*IFERROR($N$5:$N$2484*1,0)))&gt;0,ROUND($H445*($N445/SUMPRODUCT(MAX(($C$5:$C$2484=$C445)*($D$5:$D$2484=$D445)*($S$5:$S$2484=1)*IFERROR($N$5:$N$2484*1,0)))),4),0)))</f>
        <v/>
      </c>
      <c r="P445" s="48" t="inlineStr">
        <is>
          <t>coeff.</t>
        </is>
      </c>
      <c r="Q445" s="57">
        <f>IF($A445="","",$A445&amp;"|"&amp;$C445)</f>
        <v/>
      </c>
      <c r="R445" s="57">
        <f>IF($A445="","",$A445&amp;"|"&amp;$C445&amp;"|"&amp;$D445)</f>
        <v/>
      </c>
      <c r="S445" s="57">
        <f>IF($A445="","",IFERROR(INDEX(Offerte!$D$2:$D$81,MATCH($Q445,Offerte!$L$2:$L$81,0)),0))</f>
        <v/>
      </c>
      <c r="T445" s="57">
        <f>IF($A445="","",IFERROR(INDEX(Offerte!$G$2:$G$81,MATCH($Q445,Offerte!$L$2:$L$81,0)),"NO"))</f>
        <v/>
      </c>
    </row>
    <row r="446">
      <c r="A446" s="48">
        <f>IF(Offerte!$A16="","",Offerte!$A16)</f>
        <v/>
      </c>
      <c r="B446" s="48">
        <f>IF(Offerte!$A16="","",Offerte!$B16)</f>
        <v/>
      </c>
      <c r="C446" s="48">
        <f>IF(Offerte!$A16="","",Offerte!$C16)</f>
        <v/>
      </c>
      <c r="D446" s="48" t="inlineStr">
        <is>
          <t>C.1.1</t>
        </is>
      </c>
      <c r="E446" s="48" t="inlineStr">
        <is>
          <t>C</t>
        </is>
      </c>
      <c r="F446" s="48" t="inlineStr">
        <is>
          <t>Q</t>
        </is>
      </c>
      <c r="G446" s="48" t="inlineStr">
        <is>
          <t>higher</t>
        </is>
      </c>
      <c r="H446" s="48" t="n">
        <v>2</v>
      </c>
      <c r="I446" s="48" t="inlineStr">
        <is>
          <t>Tasso di copertura del servizio con telecamere BSD</t>
        </is>
      </c>
      <c r="J446" s="73" t="n"/>
      <c r="K446" s="73" t="n"/>
      <c r="L446" s="73" t="n"/>
      <c r="M446" s="73" t="n"/>
      <c r="N446" s="57">
        <f>IF($A446="","",IFERROR(VALUE($K446)/VALUE($L446),IFERROR(VALUE($J446),0)))</f>
        <v/>
      </c>
      <c r="O446" s="57">
        <f>IF($A446="",0,IF(OR($S446&lt;&gt;1,COUNTA($J446:$M446)=0),0,IF(SUMPRODUCT(MAX(($C$5:$C$2484=$C446)*($D$5:$D$2484=$D446)*($S$5:$S$2484=1)*IFERROR($N$5:$N$2484*1,0)))&gt;0,ROUND($H446*($N446/SUMPRODUCT(MAX(($C$5:$C$2484=$C446)*($D$5:$D$2484=$D446)*($S$5:$S$2484=1)*IFERROR($N$5:$N$2484*1,0)))),4),0)))</f>
        <v/>
      </c>
      <c r="P446" s="48" t="inlineStr">
        <is>
          <t>Autobus attrezzati con telecamere BSD / Autobus totali in offerta, incluse scorte</t>
        </is>
      </c>
      <c r="Q446" s="57">
        <f>IF($A446="","",$A446&amp;"|"&amp;$C446)</f>
        <v/>
      </c>
      <c r="R446" s="57">
        <f>IF($A446="","",$A446&amp;"|"&amp;$C446&amp;"|"&amp;$D446)</f>
        <v/>
      </c>
      <c r="S446" s="57">
        <f>IF($A446="","",IFERROR(INDEX(Offerte!$D$2:$D$81,MATCH($Q446,Offerte!$L$2:$L$81,0)),0))</f>
        <v/>
      </c>
      <c r="T446" s="57">
        <f>IF($A446="","",IFERROR(INDEX(Offerte!$G$2:$G$81,MATCH($Q446,Offerte!$L$2:$L$81,0)),"NO"))</f>
        <v/>
      </c>
    </row>
    <row r="447">
      <c r="A447" s="48">
        <f>IF(Offerte!$A16="","",Offerte!$A16)</f>
        <v/>
      </c>
      <c r="B447" s="48">
        <f>IF(Offerte!$A16="","",Offerte!$B16)</f>
        <v/>
      </c>
      <c r="C447" s="48">
        <f>IF(Offerte!$A16="","",Offerte!$C16)</f>
        <v/>
      </c>
      <c r="D447" s="48" t="inlineStr">
        <is>
          <t>C.1.2</t>
        </is>
      </c>
      <c r="E447" s="48" t="inlineStr">
        <is>
          <t>C</t>
        </is>
      </c>
      <c r="F447" s="48" t="inlineStr">
        <is>
          <t>Q</t>
        </is>
      </c>
      <c r="G447" s="48" t="inlineStr">
        <is>
          <t>higher</t>
        </is>
      </c>
      <c r="H447" s="48" t="n">
        <v>2</v>
      </c>
      <c r="I447" s="48" t="inlineStr">
        <is>
          <t>Tasso di copertura del servizio con telecamere ADAS</t>
        </is>
      </c>
      <c r="J447" s="73" t="n"/>
      <c r="K447" s="73" t="n"/>
      <c r="L447" s="73" t="n"/>
      <c r="M447" s="73" t="n"/>
      <c r="N447" s="57">
        <f>IF($A447="","",IFERROR(VALUE($K447)/VALUE($L447),IFERROR(VALUE($J447),0)))</f>
        <v/>
      </c>
      <c r="O447" s="57">
        <f>IF($A447="",0,IF(OR($S447&lt;&gt;1,COUNTA($J447:$M447)=0),0,IF(SUMPRODUCT(MAX(($C$5:$C$2484=$C447)*($D$5:$D$2484=$D447)*($S$5:$S$2484=1)*IFERROR($N$5:$N$2484*1,0)))&gt;0,ROUND($H447*($N447/SUMPRODUCT(MAX(($C$5:$C$2484=$C447)*($D$5:$D$2484=$D447)*($S$5:$S$2484=1)*IFERROR($N$5:$N$2484*1,0)))),4),0)))</f>
        <v/>
      </c>
      <c r="P447" s="48" t="inlineStr">
        <is>
          <t>Autobus attrezzati con telecamere ADAS / Autobus totali in offerta, incluse scorte</t>
        </is>
      </c>
      <c r="Q447" s="57">
        <f>IF($A447="","",$A447&amp;"|"&amp;$C447)</f>
        <v/>
      </c>
      <c r="R447" s="57">
        <f>IF($A447="","",$A447&amp;"|"&amp;$C447&amp;"|"&amp;$D447)</f>
        <v/>
      </c>
      <c r="S447" s="57">
        <f>IF($A447="","",IFERROR(INDEX(Offerte!$D$2:$D$81,MATCH($Q447,Offerte!$L$2:$L$81,0)),0))</f>
        <v/>
      </c>
      <c r="T447" s="57">
        <f>IF($A447="","",IFERROR(INDEX(Offerte!$G$2:$G$81,MATCH($Q447,Offerte!$L$2:$L$81,0)),"NO"))</f>
        <v/>
      </c>
    </row>
    <row r="448">
      <c r="A448" s="48">
        <f>IF(Offerte!$A16="","",Offerte!$A16)</f>
        <v/>
      </c>
      <c r="B448" s="48">
        <f>IF(Offerte!$A16="","",Offerte!$B16)</f>
        <v/>
      </c>
      <c r="C448" s="48">
        <f>IF(Offerte!$A16="","",Offerte!$C16)</f>
        <v/>
      </c>
      <c r="D448" s="48" t="inlineStr">
        <is>
          <t>C.2.1</t>
        </is>
      </c>
      <c r="E448" s="48" t="inlineStr">
        <is>
          <t>C</t>
        </is>
      </c>
      <c r="F448" s="48" t="inlineStr">
        <is>
          <t>Q</t>
        </is>
      </c>
      <c r="G448" s="48" t="inlineStr">
        <is>
          <t>higher</t>
        </is>
      </c>
      <c r="H448" s="48" t="n">
        <v>3</v>
      </c>
      <c r="I448" s="48" t="inlineStr">
        <is>
          <t>Tasso di copertura del servizio con telecamere di bordo di videosorveglianza</t>
        </is>
      </c>
      <c r="J448" s="73" t="n"/>
      <c r="K448" s="73" t="n"/>
      <c r="L448" s="73" t="n"/>
      <c r="M448" s="73" t="n"/>
      <c r="N448" s="57">
        <f>IF($A448="","",IFERROR(VALUE($K448)/VALUE($L448),IFERROR(VALUE($J448),0)))</f>
        <v/>
      </c>
      <c r="O448" s="57">
        <f>IF($A448="",0,IF(OR($S448&lt;&gt;1,COUNTA($J448:$M448)=0),0,IF(SUMPRODUCT(MAX(($C$5:$C$2484=$C448)*($D$5:$D$2484=$D448)*($S$5:$S$2484=1)*IFERROR($N$5:$N$2484*1,0)))&gt;0,ROUND($H448*($N448/SUMPRODUCT(MAX(($C$5:$C$2484=$C448)*($D$5:$D$2484=$D448)*($S$5:$S$2484=1)*IFERROR($N$5:$N$2484*1,0)))),4),0)))</f>
        <v/>
      </c>
      <c r="P448" s="48" t="inlineStr">
        <is>
          <t>Autobus attrezzati con videosorveglianza / Autobus totali in offerta, incluse scorte</t>
        </is>
      </c>
      <c r="Q448" s="57">
        <f>IF($A448="","",$A448&amp;"|"&amp;$C448)</f>
        <v/>
      </c>
      <c r="R448" s="57">
        <f>IF($A448="","",$A448&amp;"|"&amp;$C448&amp;"|"&amp;$D448)</f>
        <v/>
      </c>
      <c r="S448" s="57">
        <f>IF($A448="","",IFERROR(INDEX(Offerte!$D$2:$D$81,MATCH($Q448,Offerte!$L$2:$L$81,0)),0))</f>
        <v/>
      </c>
      <c r="T448" s="57">
        <f>IF($A448="","",IFERROR(INDEX(Offerte!$G$2:$G$81,MATCH($Q448,Offerte!$L$2:$L$81,0)),"NO"))</f>
        <v/>
      </c>
    </row>
    <row r="449">
      <c r="A449" s="48">
        <f>IF(Offerte!$A16="","",Offerte!$A16)</f>
        <v/>
      </c>
      <c r="B449" s="48">
        <f>IF(Offerte!$A16="","",Offerte!$B16)</f>
        <v/>
      </c>
      <c r="C449" s="48">
        <f>IF(Offerte!$A16="","",Offerte!$C16)</f>
        <v/>
      </c>
      <c r="D449" s="48" t="inlineStr">
        <is>
          <t>C.2.2</t>
        </is>
      </c>
      <c r="E449" s="48" t="inlineStr">
        <is>
          <t>C</t>
        </is>
      </c>
      <c r="F449" s="48" t="inlineStr">
        <is>
          <t>T</t>
        </is>
      </c>
      <c r="G449" s="48" t="inlineStr">
        <is>
          <t>tabular</t>
        </is>
      </c>
      <c r="H449" s="48" t="n">
        <v>1</v>
      </c>
      <c r="I449" s="48" t="inlineStr">
        <is>
          <t>Software video/audio analisi per situazioni di pericolo</t>
        </is>
      </c>
      <c r="J449" s="73" t="n"/>
      <c r="K449" s="73" t="n"/>
      <c r="L449" s="73" t="n"/>
      <c r="M449" s="73" t="n"/>
      <c r="N449" s="57">
        <f>IF($A449="","",IF(IFERROR(VALUE($M449),0)=1,1,0))</f>
        <v/>
      </c>
      <c r="O449" s="57">
        <f>IF($A449="",0,IF(OR($S449&lt;&gt;1,COUNTA($J449:$M449)=0),0,IF($N449=1,$H449,0)))</f>
        <v/>
      </c>
      <c r="P449" s="48" t="inlineStr">
        <is>
          <t>sì/no</t>
        </is>
      </c>
      <c r="Q449" s="57">
        <f>IF($A449="","",$A449&amp;"|"&amp;$C449)</f>
        <v/>
      </c>
      <c r="R449" s="57">
        <f>IF($A449="","",$A449&amp;"|"&amp;$C449&amp;"|"&amp;$D449)</f>
        <v/>
      </c>
      <c r="S449" s="57">
        <f>IF($A449="","",IFERROR(INDEX(Offerte!$D$2:$D$81,MATCH($Q449,Offerte!$L$2:$L$81,0)),0))</f>
        <v/>
      </c>
      <c r="T449" s="57">
        <f>IF($A449="","",IFERROR(INDEX(Offerte!$G$2:$G$81,MATCH($Q449,Offerte!$L$2:$L$81,0)),"NO"))</f>
        <v/>
      </c>
    </row>
    <row r="450">
      <c r="A450" s="48">
        <f>IF(Offerte!$A16="","",Offerte!$A16)</f>
        <v/>
      </c>
      <c r="B450" s="48">
        <f>IF(Offerte!$A16="","",Offerte!$B16)</f>
        <v/>
      </c>
      <c r="C450" s="48">
        <f>IF(Offerte!$A16="","",Offerte!$C16)</f>
        <v/>
      </c>
      <c r="D450" s="48" t="inlineStr">
        <is>
          <t>C.2.3</t>
        </is>
      </c>
      <c r="E450" s="48" t="inlineStr">
        <is>
          <t>C</t>
        </is>
      </c>
      <c r="F450" s="48" t="inlineStr">
        <is>
          <t>T</t>
        </is>
      </c>
      <c r="G450" s="48" t="inlineStr">
        <is>
          <t>tabular</t>
        </is>
      </c>
      <c r="H450" s="48" t="n">
        <v>1</v>
      </c>
      <c r="I450" s="48" t="inlineStr">
        <is>
          <t>Collegamento con centrale qualificata di pronto intervento</t>
        </is>
      </c>
      <c r="J450" s="73" t="n"/>
      <c r="K450" s="73" t="n"/>
      <c r="L450" s="73" t="n"/>
      <c r="M450" s="73" t="n"/>
      <c r="N450" s="57">
        <f>IF($A450="","",IF(IFERROR(VALUE($M450),0)=1,1,0))</f>
        <v/>
      </c>
      <c r="O450" s="57">
        <f>IF($A450="",0,IF(OR($S450&lt;&gt;1,COUNTA($J450:$M450)=0),0,IF($N450=1,$H450,0)))</f>
        <v/>
      </c>
      <c r="P450" s="48" t="inlineStr">
        <is>
          <t>sì/no</t>
        </is>
      </c>
      <c r="Q450" s="57">
        <f>IF($A450="","",$A450&amp;"|"&amp;$C450)</f>
        <v/>
      </c>
      <c r="R450" s="57">
        <f>IF($A450="","",$A450&amp;"|"&amp;$C450&amp;"|"&amp;$D450)</f>
        <v/>
      </c>
      <c r="S450" s="57">
        <f>IF($A450="","",IFERROR(INDEX(Offerte!$D$2:$D$81,MATCH($Q450,Offerte!$L$2:$L$81,0)),0))</f>
        <v/>
      </c>
      <c r="T450" s="57">
        <f>IF($A450="","",IFERROR(INDEX(Offerte!$G$2:$G$81,MATCH($Q450,Offerte!$L$2:$L$81,0)),"NO"))</f>
        <v/>
      </c>
    </row>
    <row r="451">
      <c r="A451" s="48">
        <f>IF(Offerte!$A16="","",Offerte!$A16)</f>
        <v/>
      </c>
      <c r="B451" s="48">
        <f>IF(Offerte!$A16="","",Offerte!$B16)</f>
        <v/>
      </c>
      <c r="C451" s="48">
        <f>IF(Offerte!$A16="","",Offerte!$C16)</f>
        <v/>
      </c>
      <c r="D451" s="48" t="inlineStr">
        <is>
          <t>C.2.4</t>
        </is>
      </c>
      <c r="E451" s="48" t="inlineStr">
        <is>
          <t>C</t>
        </is>
      </c>
      <c r="F451" s="48" t="inlineStr">
        <is>
          <t>Q</t>
        </is>
      </c>
      <c r="G451" s="48" t="inlineStr">
        <is>
          <t>higher</t>
        </is>
      </c>
      <c r="H451" s="48" t="n">
        <v>1</v>
      </c>
      <c r="I451" s="48" t="inlineStr">
        <is>
          <t>Tasso di copertura del servizio con dispositivi per la chiamata di emergenza del conducente</t>
        </is>
      </c>
      <c r="J451" s="73" t="n"/>
      <c r="K451" s="73" t="n"/>
      <c r="L451" s="73" t="n"/>
      <c r="M451" s="73" t="n"/>
      <c r="N451" s="57">
        <f>IF($A451="","",IFERROR(VALUE($K451)/VALUE($L451),IFERROR(VALUE($J451),0)))</f>
        <v/>
      </c>
      <c r="O451" s="57">
        <f>IF($A451="",0,IF(OR($S451&lt;&gt;1,COUNTA($J451:$M451)=0),0,IF(SUMPRODUCT(MAX(($C$5:$C$2484=$C451)*($D$5:$D$2484=$D451)*($S$5:$S$2484=1)*IFERROR($N$5:$N$2484*1,0)))&gt;0,ROUND($H451*($N451/SUMPRODUCT(MAX(($C$5:$C$2484=$C451)*($D$5:$D$2484=$D451)*($S$5:$S$2484=1)*IFERROR($N$5:$N$2484*1,0)))),4),0)))</f>
        <v/>
      </c>
      <c r="P451" s="48" t="inlineStr">
        <is>
          <t>Autobus attrezzati con chiamata di emergenza / Autobus totali in offerta, incluse scorte</t>
        </is>
      </c>
      <c r="Q451" s="57">
        <f>IF($A451="","",$A451&amp;"|"&amp;$C451)</f>
        <v/>
      </c>
      <c r="R451" s="57">
        <f>IF($A451="","",$A451&amp;"|"&amp;$C451&amp;"|"&amp;$D451)</f>
        <v/>
      </c>
      <c r="S451" s="57">
        <f>IF($A451="","",IFERROR(INDEX(Offerte!$D$2:$D$81,MATCH($Q451,Offerte!$L$2:$L$81,0)),0))</f>
        <v/>
      </c>
      <c r="T451" s="57">
        <f>IF($A451="","",IFERROR(INDEX(Offerte!$G$2:$G$81,MATCH($Q451,Offerte!$L$2:$L$81,0)),"NO"))</f>
        <v/>
      </c>
    </row>
    <row r="452">
      <c r="A452" s="48">
        <f>IF(Offerte!$A16="","",Offerte!$A16)</f>
        <v/>
      </c>
      <c r="B452" s="48">
        <f>IF(Offerte!$A16="","",Offerte!$B16)</f>
        <v/>
      </c>
      <c r="C452" s="48">
        <f>IF(Offerte!$A16="","",Offerte!$C16)</f>
        <v/>
      </c>
      <c r="D452" s="48" t="inlineStr">
        <is>
          <t>C.3.1</t>
        </is>
      </c>
      <c r="E452" s="48" t="inlineStr">
        <is>
          <t>C</t>
        </is>
      </c>
      <c r="F452" s="48" t="inlineStr">
        <is>
          <t>Q</t>
        </is>
      </c>
      <c r="G452" s="48" t="inlineStr">
        <is>
          <t>higher</t>
        </is>
      </c>
      <c r="H452" s="48" t="n">
        <v>2</v>
      </c>
      <c r="I452" s="48" t="inlineStr">
        <is>
          <t>Tasso di copertura del servizio con dispositivi di informazione dinamica a bordo mezzo</t>
        </is>
      </c>
      <c r="J452" s="73" t="n"/>
      <c r="K452" s="73" t="n"/>
      <c r="L452" s="73" t="n"/>
      <c r="M452" s="73" t="n"/>
      <c r="N452" s="57">
        <f>IF($A452="","",IFERROR(VALUE($K452)/VALUE($L452),IFERROR(VALUE($J452),0)))</f>
        <v/>
      </c>
      <c r="O452" s="57">
        <f>IF($A452="",0,IF(OR($S452&lt;&gt;1,COUNTA($J452:$M452)=0),0,IF(SUMPRODUCT(MAX(($C$5:$C$2484=$C452)*($D$5:$D$2484=$D452)*($S$5:$S$2484=1)*IFERROR($N$5:$N$2484*1,0)))&gt;0,ROUND($H452*($N452/SUMPRODUCT(MAX(($C$5:$C$2484=$C452)*($D$5:$D$2484=$D452)*($S$5:$S$2484=1)*IFERROR($N$5:$N$2484*1,0)))),4),0)))</f>
        <v/>
      </c>
      <c r="P452" s="48" t="inlineStr">
        <is>
          <t>Autobus con monitor e indicatori vocali / Autobus totali in offerta, incluse scorte</t>
        </is>
      </c>
      <c r="Q452" s="57">
        <f>IF($A452="","",$A452&amp;"|"&amp;$C452)</f>
        <v/>
      </c>
      <c r="R452" s="57">
        <f>IF($A452="","",$A452&amp;"|"&amp;$C452&amp;"|"&amp;$D452)</f>
        <v/>
      </c>
      <c r="S452" s="57">
        <f>IF($A452="","",IFERROR(INDEX(Offerte!$D$2:$D$81,MATCH($Q452,Offerte!$L$2:$L$81,0)),0))</f>
        <v/>
      </c>
      <c r="T452" s="57">
        <f>IF($A452="","",IFERROR(INDEX(Offerte!$G$2:$G$81,MATCH($Q452,Offerte!$L$2:$L$81,0)),"NO"))</f>
        <v/>
      </c>
    </row>
    <row r="453">
      <c r="A453" s="48">
        <f>IF(Offerte!$A16="","",Offerte!$A16)</f>
        <v/>
      </c>
      <c r="B453" s="48">
        <f>IF(Offerte!$A16="","",Offerte!$B16)</f>
        <v/>
      </c>
      <c r="C453" s="48">
        <f>IF(Offerte!$A16="","",Offerte!$C16)</f>
        <v/>
      </c>
      <c r="D453" s="48" t="inlineStr">
        <is>
          <t>C.3.2</t>
        </is>
      </c>
      <c r="E453" s="48" t="inlineStr">
        <is>
          <t>C</t>
        </is>
      </c>
      <c r="F453" s="48" t="inlineStr">
        <is>
          <t>T</t>
        </is>
      </c>
      <c r="G453" s="48" t="inlineStr">
        <is>
          <t>tabular</t>
        </is>
      </c>
      <c r="H453" s="48" t="n">
        <v>2</v>
      </c>
      <c r="I453" s="48" t="inlineStr">
        <is>
          <t>Informazioni a bordo su coincidenze ai nodi</t>
        </is>
      </c>
      <c r="J453" s="73" t="n"/>
      <c r="K453" s="73" t="n"/>
      <c r="L453" s="73" t="n"/>
      <c r="M453" s="73" t="n"/>
      <c r="N453" s="57">
        <f>IF($A453="","",IF(IFERROR(VALUE($M453),0)=1,1,0))</f>
        <v/>
      </c>
      <c r="O453" s="57">
        <f>IF($A453="",0,IF(OR($S453&lt;&gt;1,COUNTA($J453:$M453)=0),0,IF(AND($N453=1,IFERROR(SUMIFS($N$5:$N$2484,$Q$5:$Q$2484,$Q453,$D$5:$D$2484,"C.3.1"),0)&gt;=0.5),$H453,0)))</f>
        <v/>
      </c>
      <c r="P453" s="48" t="inlineStr">
        <is>
          <t>Dipende da C.3.1 &gt;= 0.5</t>
        </is>
      </c>
      <c r="Q453" s="57">
        <f>IF($A453="","",$A453&amp;"|"&amp;$C453)</f>
        <v/>
      </c>
      <c r="R453" s="57">
        <f>IF($A453="","",$A453&amp;"|"&amp;$C453&amp;"|"&amp;$D453)</f>
        <v/>
      </c>
      <c r="S453" s="57">
        <f>IF($A453="","",IFERROR(INDEX(Offerte!$D$2:$D$81,MATCH($Q453,Offerte!$L$2:$L$81,0)),0))</f>
        <v/>
      </c>
      <c r="T453" s="57">
        <f>IF($A453="","",IFERROR(INDEX(Offerte!$G$2:$G$81,MATCH($Q453,Offerte!$L$2:$L$81,0)),"NO"))</f>
        <v/>
      </c>
    </row>
    <row r="454">
      <c r="A454" s="48">
        <f>IF(Offerte!$A16="","",Offerte!$A16)</f>
        <v/>
      </c>
      <c r="B454" s="48">
        <f>IF(Offerte!$A16="","",Offerte!$B16)</f>
        <v/>
      </c>
      <c r="C454" s="48">
        <f>IF(Offerte!$A16="","",Offerte!$C16)</f>
        <v/>
      </c>
      <c r="D454" s="48" t="inlineStr">
        <is>
          <t>D.1.1</t>
        </is>
      </c>
      <c r="E454" s="48" t="inlineStr">
        <is>
          <t>D</t>
        </is>
      </c>
      <c r="F454" s="48" t="inlineStr">
        <is>
          <t>Q</t>
        </is>
      </c>
      <c r="G454" s="48" t="inlineStr">
        <is>
          <t>higher</t>
        </is>
      </c>
      <c r="H454" s="48" t="n">
        <v>3</v>
      </c>
      <c r="I454" s="48" t="inlineStr">
        <is>
          <t>Installazione di pensiline</t>
        </is>
      </c>
      <c r="J454" s="73" t="n"/>
      <c r="K454" s="73" t="n"/>
      <c r="L454" s="73" t="n"/>
      <c r="M454" s="73" t="n"/>
      <c r="N454" s="57">
        <f>IF($A454="","",IFERROR(VALUE($J454),0))</f>
        <v/>
      </c>
      <c r="O454" s="57">
        <f>IF($A454="",0,IF(OR($S454&lt;&gt;1,COUNTA($J454:$M454)=0),0,IF(SUMPRODUCT(MAX(($C$5:$C$2484=$C454)*($D$5:$D$2484=$D454)*($S$5:$S$2484=1)*IFERROR($N$5:$N$2484*1,0)))&gt;0,ROUND($H454*($N454/SUMPRODUCT(MAX(($C$5:$C$2484=$C454)*($D$5:$D$2484=$D454)*($S$5:$S$2484=1)*IFERROR($N$5:$N$2484*1,0)))),4),0)))</f>
        <v/>
      </c>
      <c r="P454" s="48" t="inlineStr">
        <is>
          <t>fermate</t>
        </is>
      </c>
      <c r="Q454" s="57">
        <f>IF($A454="","",$A454&amp;"|"&amp;$C454)</f>
        <v/>
      </c>
      <c r="R454" s="57">
        <f>IF($A454="","",$A454&amp;"|"&amp;$C454&amp;"|"&amp;$D454)</f>
        <v/>
      </c>
      <c r="S454" s="57">
        <f>IF($A454="","",IFERROR(INDEX(Offerte!$D$2:$D$81,MATCH($Q454,Offerte!$L$2:$L$81,0)),0))</f>
        <v/>
      </c>
      <c r="T454" s="57">
        <f>IF($A454="","",IFERROR(INDEX(Offerte!$G$2:$G$81,MATCH($Q454,Offerte!$L$2:$L$81,0)),"NO"))</f>
        <v/>
      </c>
    </row>
    <row r="455">
      <c r="A455" s="48">
        <f>IF(Offerte!$A16="","",Offerte!$A16)</f>
        <v/>
      </c>
      <c r="B455" s="48">
        <f>IF(Offerte!$A16="","",Offerte!$B16)</f>
        <v/>
      </c>
      <c r="C455" s="48">
        <f>IF(Offerte!$A16="","",Offerte!$C16)</f>
        <v/>
      </c>
      <c r="D455" s="48" t="inlineStr">
        <is>
          <t>D.1.2</t>
        </is>
      </c>
      <c r="E455" s="48" t="inlineStr">
        <is>
          <t>D</t>
        </is>
      </c>
      <c r="F455" s="48" t="inlineStr">
        <is>
          <t>Q</t>
        </is>
      </c>
      <c r="G455" s="48" t="inlineStr">
        <is>
          <t>higher</t>
        </is>
      </c>
      <c r="H455" s="48" t="n">
        <v>3</v>
      </c>
      <c r="I455" s="48" t="inlineStr">
        <is>
          <t>Installazione di paline di fermata conformi alla DGR 581/2023</t>
        </is>
      </c>
      <c r="J455" s="73" t="n"/>
      <c r="K455" s="73" t="n"/>
      <c r="L455" s="73" t="n"/>
      <c r="M455" s="73" t="n"/>
      <c r="N455" s="57">
        <f>IF($A455="","",IFERROR(VALUE($J455),0))</f>
        <v/>
      </c>
      <c r="O455" s="57">
        <f>IF($A455="",0,IF(OR($S455&lt;&gt;1,COUNTA($J455:$M455)=0),0,IF(SUMPRODUCT(MAX(($C$5:$C$2484=$C455)*($D$5:$D$2484=$D455)*($S$5:$S$2484=1)*IFERROR($N$5:$N$2484*1,0)))&gt;0,ROUND($H455*($N455/SUMPRODUCT(MAX(($C$5:$C$2484=$C455)*($D$5:$D$2484=$D455)*($S$5:$S$2484=1)*IFERROR($N$5:$N$2484*1,0)))),4),0)))</f>
        <v/>
      </c>
      <c r="P455" s="48" t="inlineStr">
        <is>
          <t>fermate</t>
        </is>
      </c>
      <c r="Q455" s="57">
        <f>IF($A455="","",$A455&amp;"|"&amp;$C455)</f>
        <v/>
      </c>
      <c r="R455" s="57">
        <f>IF($A455="","",$A455&amp;"|"&amp;$C455&amp;"|"&amp;$D455)</f>
        <v/>
      </c>
      <c r="S455" s="57">
        <f>IF($A455="","",IFERROR(INDEX(Offerte!$D$2:$D$81,MATCH($Q455,Offerte!$L$2:$L$81,0)),0))</f>
        <v/>
      </c>
      <c r="T455" s="57">
        <f>IF($A455="","",IFERROR(INDEX(Offerte!$G$2:$G$81,MATCH($Q455,Offerte!$L$2:$L$81,0)),"NO"))</f>
        <v/>
      </c>
    </row>
    <row r="456">
      <c r="A456" s="48">
        <f>IF(Offerte!$A16="","",Offerte!$A16)</f>
        <v/>
      </c>
      <c r="B456" s="48">
        <f>IF(Offerte!$A16="","",Offerte!$B16)</f>
        <v/>
      </c>
      <c r="C456" s="48">
        <f>IF(Offerte!$A16="","",Offerte!$C16)</f>
        <v/>
      </c>
      <c r="D456" s="48" t="inlineStr">
        <is>
          <t>D.1.3</t>
        </is>
      </c>
      <c r="E456" s="48" t="inlineStr">
        <is>
          <t>D</t>
        </is>
      </c>
      <c r="F456" s="48" t="inlineStr">
        <is>
          <t>Q</t>
        </is>
      </c>
      <c r="G456" s="48" t="inlineStr">
        <is>
          <t>higher</t>
        </is>
      </c>
      <c r="H456" s="48" t="n">
        <v>2</v>
      </c>
      <c r="I456" s="48" t="inlineStr">
        <is>
          <t>Display informativi connessi alle fermate</t>
        </is>
      </c>
      <c r="J456" s="73" t="n"/>
      <c r="K456" s="73" t="n"/>
      <c r="L456" s="73" t="n"/>
      <c r="M456" s="73" t="n"/>
      <c r="N456" s="57">
        <f>IF($A456="","",IFERROR(VALUE($J456),0))</f>
        <v/>
      </c>
      <c r="O456" s="57">
        <f>IF($A456="",0,IF(OR($S456&lt;&gt;1,COUNTA($J456:$M456)=0),0,IF(SUMPRODUCT(MAX(($C$5:$C$2484=$C456)*($D$5:$D$2484=$D456)*($S$5:$S$2484=1)*IFERROR($N$5:$N$2484*1,0)))&gt;0,ROUND($H456*($N456/SUMPRODUCT(MAX(($C$5:$C$2484=$C456)*($D$5:$D$2484=$D456)*($S$5:$S$2484=1)*IFERROR($N$5:$N$2484*1,0)))),4),0)))</f>
        <v/>
      </c>
      <c r="P456" s="48" t="inlineStr">
        <is>
          <t>fermate</t>
        </is>
      </c>
      <c r="Q456" s="57">
        <f>IF($A456="","",$A456&amp;"|"&amp;$C456)</f>
        <v/>
      </c>
      <c r="R456" s="57">
        <f>IF($A456="","",$A456&amp;"|"&amp;$C456&amp;"|"&amp;$D456)</f>
        <v/>
      </c>
      <c r="S456" s="57">
        <f>IF($A456="","",IFERROR(INDEX(Offerte!$D$2:$D$81,MATCH($Q456,Offerte!$L$2:$L$81,0)),0))</f>
        <v/>
      </c>
      <c r="T456" s="57">
        <f>IF($A456="","",IFERROR(INDEX(Offerte!$G$2:$G$81,MATCH($Q456,Offerte!$L$2:$L$81,0)),"NO"))</f>
        <v/>
      </c>
    </row>
    <row r="457">
      <c r="A457" s="48">
        <f>IF(Offerte!$A16="","",Offerte!$A16)</f>
        <v/>
      </c>
      <c r="B457" s="48">
        <f>IF(Offerte!$A16="","",Offerte!$B16)</f>
        <v/>
      </c>
      <c r="C457" s="48">
        <f>IF(Offerte!$A16="","",Offerte!$C16)</f>
        <v/>
      </c>
      <c r="D457" s="48" t="inlineStr">
        <is>
          <t>D.2.1</t>
        </is>
      </c>
      <c r="E457" s="48" t="inlineStr">
        <is>
          <t>D</t>
        </is>
      </c>
      <c r="F457" s="48" t="inlineStr">
        <is>
          <t>Q</t>
        </is>
      </c>
      <c r="G457" s="48" t="inlineStr">
        <is>
          <t>higher</t>
        </is>
      </c>
      <c r="H457" s="48" t="n">
        <v>2</v>
      </c>
      <c r="I457" s="48" t="inlineStr">
        <is>
          <t>Segnali tattili Loges-Vet-Evolution</t>
        </is>
      </c>
      <c r="J457" s="73" t="n"/>
      <c r="K457" s="73" t="n"/>
      <c r="L457" s="73" t="n"/>
      <c r="M457" s="73" t="n"/>
      <c r="N457" s="57">
        <f>IF($A457="","",IFERROR(VALUE($J457),0))</f>
        <v/>
      </c>
      <c r="O457" s="57">
        <f>IF($A457="",0,IF(OR($S457&lt;&gt;1,COUNTA($J457:$M457)=0),0,IF(SUMPRODUCT(MAX(($C$5:$C$2484=$C457)*($D$5:$D$2484=$D457)*($S$5:$S$2484=1)*IFERROR($N$5:$N$2484*1,0)))&gt;0,ROUND($H457*($N457/SUMPRODUCT(MAX(($C$5:$C$2484=$C457)*($D$5:$D$2484=$D457)*($S$5:$S$2484=1)*IFERROR($N$5:$N$2484*1,0)))),4),0)))</f>
        <v/>
      </c>
      <c r="P457" s="48" t="inlineStr">
        <is>
          <t>fermate</t>
        </is>
      </c>
      <c r="Q457" s="57">
        <f>IF($A457="","",$A457&amp;"|"&amp;$C457)</f>
        <v/>
      </c>
      <c r="R457" s="57">
        <f>IF($A457="","",$A457&amp;"|"&amp;$C457&amp;"|"&amp;$D457)</f>
        <v/>
      </c>
      <c r="S457" s="57">
        <f>IF($A457="","",IFERROR(INDEX(Offerte!$D$2:$D$81,MATCH($Q457,Offerte!$L$2:$L$81,0)),0))</f>
        <v/>
      </c>
      <c r="T457" s="57">
        <f>IF($A457="","",IFERROR(INDEX(Offerte!$G$2:$G$81,MATCH($Q457,Offerte!$L$2:$L$81,0)),"NO"))</f>
        <v/>
      </c>
    </row>
    <row r="458">
      <c r="A458" s="48">
        <f>IF(Offerte!$A16="","",Offerte!$A16)</f>
        <v/>
      </c>
      <c r="B458" s="48">
        <f>IF(Offerte!$A16="","",Offerte!$B16)</f>
        <v/>
      </c>
      <c r="C458" s="48">
        <f>IF(Offerte!$A16="","",Offerte!$C16)</f>
        <v/>
      </c>
      <c r="D458" s="48" t="inlineStr">
        <is>
          <t>E.1.1</t>
        </is>
      </c>
      <c r="E458" s="48" t="inlineStr">
        <is>
          <t>E</t>
        </is>
      </c>
      <c r="F458" s="48" t="inlineStr">
        <is>
          <t>T</t>
        </is>
      </c>
      <c r="G458" s="48" t="inlineStr">
        <is>
          <t>tabular</t>
        </is>
      </c>
      <c r="H458" s="48" t="n">
        <v>2</v>
      </c>
      <c r="I458" s="48" t="inlineStr">
        <is>
          <t>Mobile app con travel planner PRM</t>
        </is>
      </c>
      <c r="J458" s="73" t="n"/>
      <c r="K458" s="73" t="n"/>
      <c r="L458" s="73" t="n"/>
      <c r="M458" s="73" t="n"/>
      <c r="N458" s="57">
        <f>IF($A458="","",IF(IFERROR(VALUE($M458),0)=1,1,0))</f>
        <v/>
      </c>
      <c r="O458" s="57">
        <f>IF($A458="",0,IF(OR($S458&lt;&gt;1,COUNTA($J458:$M458)=0),0,IF($N458=1,$H458,0)))</f>
        <v/>
      </c>
      <c r="P458" s="48" t="inlineStr">
        <is>
          <t>sì/no</t>
        </is>
      </c>
      <c r="Q458" s="57">
        <f>IF($A458="","",$A458&amp;"|"&amp;$C458)</f>
        <v/>
      </c>
      <c r="R458" s="57">
        <f>IF($A458="","",$A458&amp;"|"&amp;$C458&amp;"|"&amp;$D458)</f>
        <v/>
      </c>
      <c r="S458" s="57">
        <f>IF($A458="","",IFERROR(INDEX(Offerte!$D$2:$D$81,MATCH($Q458,Offerte!$L$2:$L$81,0)),0))</f>
        <v/>
      </c>
      <c r="T458" s="57">
        <f>IF($A458="","",IFERROR(INDEX(Offerte!$G$2:$G$81,MATCH($Q458,Offerte!$L$2:$L$81,0)),"NO"))</f>
        <v/>
      </c>
    </row>
    <row r="459">
      <c r="A459" s="48">
        <f>IF(Offerte!$A16="","",Offerte!$A16)</f>
        <v/>
      </c>
      <c r="B459" s="48">
        <f>IF(Offerte!$A16="","",Offerte!$B16)</f>
        <v/>
      </c>
      <c r="C459" s="48">
        <f>IF(Offerte!$A16="","",Offerte!$C16)</f>
        <v/>
      </c>
      <c r="D459" s="48" t="inlineStr">
        <is>
          <t>E.2.1</t>
        </is>
      </c>
      <c r="E459" s="48" t="inlineStr">
        <is>
          <t>E</t>
        </is>
      </c>
      <c r="F459" s="48" t="inlineStr">
        <is>
          <t>D</t>
        </is>
      </c>
      <c r="G459" s="48" t="inlineStr">
        <is>
          <t>discretionary</t>
        </is>
      </c>
      <c r="H459" s="48" t="n">
        <v>2</v>
      </c>
      <c r="I459" s="48" t="inlineStr">
        <is>
          <t>Altre azioni informative e rapporti con gli utenti</t>
        </is>
      </c>
      <c r="J459" s="73" t="n"/>
      <c r="K459" s="73" t="n"/>
      <c r="L459" s="73" t="n"/>
      <c r="M459" s="73" t="n"/>
      <c r="N459" s="57">
        <f>IF($A459="","",MAX(0,MIN(1,IFERROR(VALUE($M459),0))))</f>
        <v/>
      </c>
      <c r="O459" s="57">
        <f>IF($A459="",0,IF(OR($S459&lt;&gt;1,COUNTA($J459:$M459)=0),0,IF(SUMPRODUCT(MAX(($C$5:$C$2484=$C459)*($D$5:$D$2484=$D459)*($S$5:$S$2484=1)*IFERROR($N$5:$N$2484*1,0)))&gt;0,ROUND($H459*($N459/SUMPRODUCT(MAX(($C$5:$C$2484=$C459)*($D$5:$D$2484=$D459)*($S$5:$S$2484=1)*IFERROR($N$5:$N$2484*1,0)))),4),0)))</f>
        <v/>
      </c>
      <c r="P459" s="48" t="inlineStr">
        <is>
          <t>coeff.</t>
        </is>
      </c>
      <c r="Q459" s="57">
        <f>IF($A459="","",$A459&amp;"|"&amp;$C459)</f>
        <v/>
      </c>
      <c r="R459" s="57">
        <f>IF($A459="","",$A459&amp;"|"&amp;$C459&amp;"|"&amp;$D459)</f>
        <v/>
      </c>
      <c r="S459" s="57">
        <f>IF($A459="","",IFERROR(INDEX(Offerte!$D$2:$D$81,MATCH($Q459,Offerte!$L$2:$L$81,0)),0))</f>
        <v/>
      </c>
      <c r="T459" s="57">
        <f>IF($A459="","",IFERROR(INDEX(Offerte!$G$2:$G$81,MATCH($Q459,Offerte!$L$2:$L$81,0)),"NO"))</f>
        <v/>
      </c>
    </row>
    <row r="460">
      <c r="A460" s="48">
        <f>IF(Offerte!$A16="","",Offerte!$A16)</f>
        <v/>
      </c>
      <c r="B460" s="48">
        <f>IF(Offerte!$A16="","",Offerte!$B16)</f>
        <v/>
      </c>
      <c r="C460" s="48">
        <f>IF(Offerte!$A16="","",Offerte!$C16)</f>
        <v/>
      </c>
      <c r="D460" s="48" t="inlineStr">
        <is>
          <t>F.1.1</t>
        </is>
      </c>
      <c r="E460" s="48" t="inlineStr">
        <is>
          <t>F</t>
        </is>
      </c>
      <c r="F460" s="48" t="inlineStr">
        <is>
          <t>Q</t>
        </is>
      </c>
      <c r="G460" s="48" t="inlineStr">
        <is>
          <t>lower</t>
        </is>
      </c>
      <c r="H460" s="48" t="n">
        <v>7</v>
      </c>
      <c r="I460" s="48" t="inlineStr">
        <is>
          <t>Performance ambientali del parco mezzi adibito al servizio - I_CEA</t>
        </is>
      </c>
      <c r="J460" s="73" t="n"/>
      <c r="K460" s="73" t="n"/>
      <c r="L460" s="73" t="n"/>
      <c r="M460" s="73" t="n"/>
      <c r="N460" s="57">
        <f>IF($A460="","",IFERROR(VALUE($J460),0))</f>
        <v/>
      </c>
      <c r="O460" s="57">
        <f>IF($A460="",0,IF(OR($S460&lt;&gt;1,COUNTA($J460:$M460)=0),0,IF(AND(IFERROR(AGGREGATE(15,6,$N$5:$N$2484/(($C$5:$C$2484=$C460)*($D$5:$D$2484=$D460)*($S$5:$S$2484=1)*($N$5:$N$2484&gt;0)),1),0)&gt;0,$N460&gt;0),ROUND($H460*(IFERROR(AGGREGATE(15,6,$N$5:$N$2484/(($C$5:$C$2484=$C460)*($D$5:$D$2484=$D460)*($S$5:$S$2484=1)*($N$5:$N$2484&gt;0)),1),0)/$N460),4),0)))</f>
        <v/>
      </c>
      <c r="P460" s="48" t="inlineStr">
        <is>
          <t>indice</t>
        </is>
      </c>
      <c r="Q460" s="57">
        <f>IF($A460="","",$A460&amp;"|"&amp;$C460)</f>
        <v/>
      </c>
      <c r="R460" s="57">
        <f>IF($A460="","",$A460&amp;"|"&amp;$C460&amp;"|"&amp;$D460)</f>
        <v/>
      </c>
      <c r="S460" s="57">
        <f>IF($A460="","",IFERROR(INDEX(Offerte!$D$2:$D$81,MATCH($Q460,Offerte!$L$2:$L$81,0)),0))</f>
        <v/>
      </c>
      <c r="T460" s="57">
        <f>IF($A460="","",IFERROR(INDEX(Offerte!$G$2:$G$81,MATCH($Q460,Offerte!$L$2:$L$81,0)),"NO"))</f>
        <v/>
      </c>
    </row>
    <row r="461">
      <c r="A461" s="48">
        <f>IF(Offerte!$A16="","",Offerte!$A16)</f>
        <v/>
      </c>
      <c r="B461" s="48">
        <f>IF(Offerte!$A16="","",Offerte!$B16)</f>
        <v/>
      </c>
      <c r="C461" s="48">
        <f>IF(Offerte!$A16="","",Offerte!$C16)</f>
        <v/>
      </c>
      <c r="D461" s="48" t="inlineStr">
        <is>
          <t>F.2.1</t>
        </is>
      </c>
      <c r="E461" s="48" t="inlineStr">
        <is>
          <t>F</t>
        </is>
      </c>
      <c r="F461" s="48" t="inlineStr">
        <is>
          <t>Q</t>
        </is>
      </c>
      <c r="G461" s="48" t="inlineStr">
        <is>
          <t>higher</t>
        </is>
      </c>
      <c r="H461" s="48" t="n">
        <v>2</v>
      </c>
      <c r="I461" s="48" t="inlineStr">
        <is>
          <t>Tasso di copertura del servizio con dispositivi ECO-DRIVER</t>
        </is>
      </c>
      <c r="J461" s="73" t="n"/>
      <c r="K461" s="73" t="n"/>
      <c r="L461" s="73" t="n"/>
      <c r="M461" s="73" t="n"/>
      <c r="N461" s="57">
        <f>IF($A461="","",IFERROR(VALUE($K461)/VALUE($L461),IFERROR(VALUE($J461),0)))</f>
        <v/>
      </c>
      <c r="O461" s="57">
        <f>IF($A461="",0,IF(OR($S461&lt;&gt;1,COUNTA($J461:$M461)=0),0,IF(SUMPRODUCT(MAX(($C$5:$C$2484=$C461)*($D$5:$D$2484=$D461)*($S$5:$S$2484=1)*IFERROR($N$5:$N$2484*1,0)))&gt;0,ROUND($H461*($N461/SUMPRODUCT(MAX(($C$5:$C$2484=$C461)*($D$5:$D$2484=$D461)*($S$5:$S$2484=1)*IFERROR($N$5:$N$2484*1,0)))),4),0)))</f>
        <v/>
      </c>
      <c r="P461" s="48" t="inlineStr">
        <is>
          <t>Autobus attrezzati con dispositivi ECO-DRIVER / Autobus totali in offerta, incluse scorte</t>
        </is>
      </c>
      <c r="Q461" s="57">
        <f>IF($A461="","",$A461&amp;"|"&amp;$C461)</f>
        <v/>
      </c>
      <c r="R461" s="57">
        <f>IF($A461="","",$A461&amp;"|"&amp;$C461&amp;"|"&amp;$D461)</f>
        <v/>
      </c>
      <c r="S461" s="57">
        <f>IF($A461="","",IFERROR(INDEX(Offerte!$D$2:$D$81,MATCH($Q461,Offerte!$L$2:$L$81,0)),0))</f>
        <v/>
      </c>
      <c r="T461" s="57">
        <f>IF($A461="","",IFERROR(INDEX(Offerte!$G$2:$G$81,MATCH($Q461,Offerte!$L$2:$L$81,0)),"NO"))</f>
        <v/>
      </c>
    </row>
    <row r="462">
      <c r="A462" s="48">
        <f>IF(Offerte!$A16="","",Offerte!$A16)</f>
        <v/>
      </c>
      <c r="B462" s="48">
        <f>IF(Offerte!$A16="","",Offerte!$B16)</f>
        <v/>
      </c>
      <c r="C462" s="48">
        <f>IF(Offerte!$A16="","",Offerte!$C16)</f>
        <v/>
      </c>
      <c r="D462" s="48" t="inlineStr">
        <is>
          <t>F.3.1</t>
        </is>
      </c>
      <c r="E462" s="48" t="inlineStr">
        <is>
          <t>F</t>
        </is>
      </c>
      <c r="F462" s="48" t="inlineStr">
        <is>
          <t>Q</t>
        </is>
      </c>
      <c r="G462" s="48" t="inlineStr">
        <is>
          <t>higher</t>
        </is>
      </c>
      <c r="H462" s="48" t="n">
        <v>2</v>
      </c>
      <c r="I462" s="48" t="inlineStr">
        <is>
          <t>Autoproduzione consumi elettrici per trazione</t>
        </is>
      </c>
      <c r="J462" s="73" t="n"/>
      <c r="K462" s="73" t="n"/>
      <c r="L462" s="73" t="n"/>
      <c r="M462" s="73" t="n"/>
      <c r="N462" s="57">
        <f>IF($A462="","",IFERROR(VALUE($J462),0))</f>
        <v/>
      </c>
      <c r="O462" s="57">
        <f>IF($A462="",0,IF(OR($S462&lt;&gt;1,COUNTA($J462:$M462)=0),0,IF(SUMPRODUCT(MAX(($C$5:$C$2484=$C462)*($D$5:$D$2484=$D462)*($S$5:$S$2484=1)*IFERROR($N$5:$N$2484*1,0)))&gt;0,ROUND($H462*($N462/SUMPRODUCT(MAX(($C$5:$C$2484=$C462)*($D$5:$D$2484=$D462)*($S$5:$S$2484=1)*IFERROR($N$5:$N$2484*1,0)))),4),0)))</f>
        <v/>
      </c>
      <c r="P462" s="48" t="inlineStr">
        <is>
          <t>kWh/anno</t>
        </is>
      </c>
      <c r="Q462" s="57">
        <f>IF($A462="","",$A462&amp;"|"&amp;$C462)</f>
        <v/>
      </c>
      <c r="R462" s="57">
        <f>IF($A462="","",$A462&amp;"|"&amp;$C462&amp;"|"&amp;$D462)</f>
        <v/>
      </c>
      <c r="S462" s="57">
        <f>IF($A462="","",IFERROR(INDEX(Offerte!$D$2:$D$81,MATCH($Q462,Offerte!$L$2:$L$81,0)),0))</f>
        <v/>
      </c>
      <c r="T462" s="57">
        <f>IF($A462="","",IFERROR(INDEX(Offerte!$G$2:$G$81,MATCH($Q462,Offerte!$L$2:$L$81,0)),"NO"))</f>
        <v/>
      </c>
    </row>
    <row r="463">
      <c r="A463" s="48">
        <f>IF(Offerte!$A16="","",Offerte!$A16)</f>
        <v/>
      </c>
      <c r="B463" s="48">
        <f>IF(Offerte!$A16="","",Offerte!$B16)</f>
        <v/>
      </c>
      <c r="C463" s="48">
        <f>IF(Offerte!$A16="","",Offerte!$C16)</f>
        <v/>
      </c>
      <c r="D463" s="48" t="inlineStr">
        <is>
          <t>F.4.1</t>
        </is>
      </c>
      <c r="E463" s="48" t="inlineStr">
        <is>
          <t>F</t>
        </is>
      </c>
      <c r="F463" s="48" t="inlineStr">
        <is>
          <t>Q</t>
        </is>
      </c>
      <c r="G463" s="48" t="inlineStr">
        <is>
          <t>soil</t>
        </is>
      </c>
      <c r="H463" s="48" t="n">
        <v>2</v>
      </c>
      <c r="I463" s="48" t="inlineStr">
        <is>
          <t>Indice di consumo di suolo</t>
        </is>
      </c>
      <c r="J463" s="73" t="n"/>
      <c r="K463" s="73" t="n"/>
      <c r="L463" s="73" t="n"/>
      <c r="M463" s="73" t="n"/>
      <c r="N463" s="57">
        <f>IF($A463="","",IFERROR(VALUE($J463),0))</f>
        <v/>
      </c>
      <c r="O463" s="57">
        <f>IF($A463="",0,IF(OR($S463&lt;&gt;1,COUNTA($J463:$M463)=0),0,IF($N463&lt;=0,$H463,IF(SUMPRODUCT(MAX(($C$5:$C$2484=$C463)*($D$5:$D$2484=$D463)*($S$5:$S$2484=1)*IFERROR($N$5:$N$2484*1,0)))&gt;0,ROUND($H463*((SUMPRODUCT(MAX(($C$5:$C$2484=$C463)*($D$5:$D$2484=$D463)*($S$5:$S$2484=1)*IFERROR($N$5:$N$2484*1,0)))-$N463)/SUMPRODUCT(MAX(($C$5:$C$2484=$C463)*($D$5:$D$2484=$D463)*($S$5:$S$2484=1)*IFERROR($N$5:$N$2484*1,0)))),4),0))))</f>
        <v/>
      </c>
      <c r="P463" s="48" t="inlineStr">
        <is>
          <t>m2</t>
        </is>
      </c>
      <c r="Q463" s="57">
        <f>IF($A463="","",$A463&amp;"|"&amp;$C463)</f>
        <v/>
      </c>
      <c r="R463" s="57">
        <f>IF($A463="","",$A463&amp;"|"&amp;$C463&amp;"|"&amp;$D463)</f>
        <v/>
      </c>
      <c r="S463" s="57">
        <f>IF($A463="","",IFERROR(INDEX(Offerte!$D$2:$D$81,MATCH($Q463,Offerte!$L$2:$L$81,0)),0))</f>
        <v/>
      </c>
      <c r="T463" s="57">
        <f>IF($A463="","",IFERROR(INDEX(Offerte!$G$2:$G$81,MATCH($Q463,Offerte!$L$2:$L$81,0)),"NO"))</f>
        <v/>
      </c>
    </row>
    <row r="464">
      <c r="A464" s="48">
        <f>IF(Offerte!$A16="","",Offerte!$A16)</f>
        <v/>
      </c>
      <c r="B464" s="48">
        <f>IF(Offerte!$A16="","",Offerte!$B16)</f>
        <v/>
      </c>
      <c r="C464" s="48">
        <f>IF(Offerte!$A16="","",Offerte!$C16)</f>
        <v/>
      </c>
      <c r="D464" s="48" t="inlineStr">
        <is>
          <t>F.5.1</t>
        </is>
      </c>
      <c r="E464" s="48" t="inlineStr">
        <is>
          <t>F</t>
        </is>
      </c>
      <c r="F464" s="48" t="inlineStr">
        <is>
          <t>T</t>
        </is>
      </c>
      <c r="G464" s="48" t="inlineStr">
        <is>
          <t>tabular</t>
        </is>
      </c>
      <c r="H464" s="48" t="n">
        <v>1</v>
      </c>
      <c r="I464" s="48" t="inlineStr">
        <is>
          <t>Rendicontazione di sostenibilità ambientale</t>
        </is>
      </c>
      <c r="J464" s="73" t="n"/>
      <c r="K464" s="73" t="n"/>
      <c r="L464" s="73" t="n"/>
      <c r="M464" s="73" t="n"/>
      <c r="N464" s="57">
        <f>IF($A464="","",IF(IFERROR(VALUE($M464),0)=1,1,0))</f>
        <v/>
      </c>
      <c r="O464" s="57">
        <f>IF($A464="",0,IF(OR($S464&lt;&gt;1,COUNTA($J464:$M464)=0),0,IF($N464=1,$H464,0)))</f>
        <v/>
      </c>
      <c r="P464" s="48" t="inlineStr">
        <is>
          <t>sì/no</t>
        </is>
      </c>
      <c r="Q464" s="57">
        <f>IF($A464="","",$A464&amp;"|"&amp;$C464)</f>
        <v/>
      </c>
      <c r="R464" s="57">
        <f>IF($A464="","",$A464&amp;"|"&amp;$C464&amp;"|"&amp;$D464)</f>
        <v/>
      </c>
      <c r="S464" s="57">
        <f>IF($A464="","",IFERROR(INDEX(Offerte!$D$2:$D$81,MATCH($Q464,Offerte!$L$2:$L$81,0)),0))</f>
        <v/>
      </c>
      <c r="T464" s="57">
        <f>IF($A464="","",IFERROR(INDEX(Offerte!$G$2:$G$81,MATCH($Q464,Offerte!$L$2:$L$81,0)),"NO"))</f>
        <v/>
      </c>
    </row>
    <row r="465">
      <c r="A465" s="48">
        <f>IF(Offerte!$A16="","",Offerte!$A16)</f>
        <v/>
      </c>
      <c r="B465" s="48">
        <f>IF(Offerte!$A16="","",Offerte!$B16)</f>
        <v/>
      </c>
      <c r="C465" s="48">
        <f>IF(Offerte!$A16="","",Offerte!$C16)</f>
        <v/>
      </c>
      <c r="D465" s="48" t="inlineStr">
        <is>
          <t>G.1.1</t>
        </is>
      </c>
      <c r="E465" s="48" t="inlineStr">
        <is>
          <t>G</t>
        </is>
      </c>
      <c r="F465" s="48" t="inlineStr">
        <is>
          <t>D</t>
        </is>
      </c>
      <c r="G465" s="48" t="inlineStr">
        <is>
          <t>discretionary</t>
        </is>
      </c>
      <c r="H465" s="48" t="n">
        <v>2</v>
      </c>
      <c r="I465" s="48" t="inlineStr">
        <is>
          <t>Qualità del progetto di centrale di controllo aziendale</t>
        </is>
      </c>
      <c r="J465" s="73" t="n"/>
      <c r="K465" s="73" t="n"/>
      <c r="L465" s="73" t="n"/>
      <c r="M465" s="73" t="n"/>
      <c r="N465" s="57">
        <f>IF($A465="","",MAX(0,MIN(1,IFERROR(VALUE($M465),0))))</f>
        <v/>
      </c>
      <c r="O465" s="57">
        <f>IF($A465="",0,IF(OR($S465&lt;&gt;1,COUNTA($J465:$M465)=0),0,IF(SUMPRODUCT(MAX(($C$5:$C$2484=$C465)*($D$5:$D$2484=$D465)*($S$5:$S$2484=1)*IFERROR($N$5:$N$2484*1,0)))&gt;0,ROUND($H465*($N465/SUMPRODUCT(MAX(($C$5:$C$2484=$C465)*($D$5:$D$2484=$D465)*($S$5:$S$2484=1)*IFERROR($N$5:$N$2484*1,0)))),4),0)))</f>
        <v/>
      </c>
      <c r="P465" s="48" t="inlineStr">
        <is>
          <t>coeff.</t>
        </is>
      </c>
      <c r="Q465" s="57">
        <f>IF($A465="","",$A465&amp;"|"&amp;$C465)</f>
        <v/>
      </c>
      <c r="R465" s="57">
        <f>IF($A465="","",$A465&amp;"|"&amp;$C465&amp;"|"&amp;$D465)</f>
        <v/>
      </c>
      <c r="S465" s="57">
        <f>IF($A465="","",IFERROR(INDEX(Offerte!$D$2:$D$81,MATCH($Q465,Offerte!$L$2:$L$81,0)),0))</f>
        <v/>
      </c>
      <c r="T465" s="57">
        <f>IF($A465="","",IFERROR(INDEX(Offerte!$G$2:$G$81,MATCH($Q465,Offerte!$L$2:$L$81,0)),"NO"))</f>
        <v/>
      </c>
    </row>
    <row r="466">
      <c r="A466" s="48">
        <f>IF(Offerte!$A16="","",Offerte!$A16)</f>
        <v/>
      </c>
      <c r="B466" s="48">
        <f>IF(Offerte!$A16="","",Offerte!$B16)</f>
        <v/>
      </c>
      <c r="C466" s="48">
        <f>IF(Offerte!$A16="","",Offerte!$C16)</f>
        <v/>
      </c>
      <c r="D466" s="48" t="inlineStr">
        <is>
          <t>G.2.1</t>
        </is>
      </c>
      <c r="E466" s="48" t="inlineStr">
        <is>
          <t>G</t>
        </is>
      </c>
      <c r="F466" s="48" t="inlineStr">
        <is>
          <t>T</t>
        </is>
      </c>
      <c r="G466" s="48" t="inlineStr">
        <is>
          <t>tabular</t>
        </is>
      </c>
      <c r="H466" s="48" t="n">
        <v>1</v>
      </c>
      <c r="I466" s="48" t="inlineStr">
        <is>
          <t>Certificazione ISO 45001</t>
        </is>
      </c>
      <c r="J466" s="73" t="n"/>
      <c r="K466" s="73" t="n"/>
      <c r="L466" s="73" t="n"/>
      <c r="M466" s="73" t="n"/>
      <c r="N466" s="57">
        <f>IF($A466="","",IF(IFERROR(VALUE($M466),0)=1,1,0))</f>
        <v/>
      </c>
      <c r="O466" s="57">
        <f>IF($A466="",0,IF(OR($S466&lt;&gt;1,COUNTA($J466:$M466)=0),0,IF($N466=1,$H466,0)))</f>
        <v/>
      </c>
      <c r="P466" s="48" t="inlineStr">
        <is>
          <t>sì/no</t>
        </is>
      </c>
      <c r="Q466" s="57">
        <f>IF($A466="","",$A466&amp;"|"&amp;$C466)</f>
        <v/>
      </c>
      <c r="R466" s="57">
        <f>IF($A466="","",$A466&amp;"|"&amp;$C466&amp;"|"&amp;$D466)</f>
        <v/>
      </c>
      <c r="S466" s="57">
        <f>IF($A466="","",IFERROR(INDEX(Offerte!$D$2:$D$81,MATCH($Q466,Offerte!$L$2:$L$81,0)),0))</f>
        <v/>
      </c>
      <c r="T466" s="57">
        <f>IF($A466="","",IFERROR(INDEX(Offerte!$G$2:$G$81,MATCH($Q466,Offerte!$L$2:$L$81,0)),"NO"))</f>
        <v/>
      </c>
    </row>
    <row r="467">
      <c r="A467" s="48">
        <f>IF(Offerte!$A16="","",Offerte!$A16)</f>
        <v/>
      </c>
      <c r="B467" s="48">
        <f>IF(Offerte!$A16="","",Offerte!$B16)</f>
        <v/>
      </c>
      <c r="C467" s="48">
        <f>IF(Offerte!$A16="","",Offerte!$C16)</f>
        <v/>
      </c>
      <c r="D467" s="48" t="inlineStr">
        <is>
          <t>G.3.1</t>
        </is>
      </c>
      <c r="E467" s="48" t="inlineStr">
        <is>
          <t>G</t>
        </is>
      </c>
      <c r="F467" s="48" t="inlineStr">
        <is>
          <t>T</t>
        </is>
      </c>
      <c r="G467" s="48" t="inlineStr">
        <is>
          <t>tabular</t>
        </is>
      </c>
      <c r="H467" s="48" t="n">
        <v>1</v>
      </c>
      <c r="I467" s="48" t="inlineStr">
        <is>
          <t>Certificazioni di responsabilità sociale</t>
        </is>
      </c>
      <c r="J467" s="73" t="n"/>
      <c r="K467" s="73" t="n"/>
      <c r="L467" s="73" t="n"/>
      <c r="M467" s="73" t="n"/>
      <c r="N467" s="57">
        <f>IF($A467="","",IF(IFERROR(VALUE($M467),0)=1,1,0))</f>
        <v/>
      </c>
      <c r="O467" s="57">
        <f>IF($A467="",0,IF(OR($S467&lt;&gt;1,COUNTA($J467:$M467)=0),0,IF($N467=1,$H467,0)))</f>
        <v/>
      </c>
      <c r="P467" s="48" t="inlineStr">
        <is>
          <t>sì/no</t>
        </is>
      </c>
      <c r="Q467" s="57">
        <f>IF($A467="","",$A467&amp;"|"&amp;$C467)</f>
        <v/>
      </c>
      <c r="R467" s="57">
        <f>IF($A467="","",$A467&amp;"|"&amp;$C467&amp;"|"&amp;$D467)</f>
        <v/>
      </c>
      <c r="S467" s="57">
        <f>IF($A467="","",IFERROR(INDEX(Offerte!$D$2:$D$81,MATCH($Q467,Offerte!$L$2:$L$81,0)),0))</f>
        <v/>
      </c>
      <c r="T467" s="57">
        <f>IF($A467="","",IFERROR(INDEX(Offerte!$G$2:$G$81,MATCH($Q467,Offerte!$L$2:$L$81,0)),"NO"))</f>
        <v/>
      </c>
    </row>
    <row r="468">
      <c r="A468" s="48">
        <f>IF(Offerte!$A16="","",Offerte!$A16)</f>
        <v/>
      </c>
      <c r="B468" s="48">
        <f>IF(Offerte!$A16="","",Offerte!$B16)</f>
        <v/>
      </c>
      <c r="C468" s="48">
        <f>IF(Offerte!$A16="","",Offerte!$C16)</f>
        <v/>
      </c>
      <c r="D468" s="48" t="inlineStr">
        <is>
          <t>G.4.1</t>
        </is>
      </c>
      <c r="E468" s="48" t="inlineStr">
        <is>
          <t>G</t>
        </is>
      </c>
      <c r="F468" s="48" t="inlineStr">
        <is>
          <t>D</t>
        </is>
      </c>
      <c r="G468" s="48" t="inlineStr">
        <is>
          <t>discretionary</t>
        </is>
      </c>
      <c r="H468" s="48" t="n">
        <v>2</v>
      </c>
      <c r="I468" s="48" t="inlineStr">
        <is>
          <t>Qualità del piano di formazione del personale</t>
        </is>
      </c>
      <c r="J468" s="73" t="n"/>
      <c r="K468" s="73" t="n"/>
      <c r="L468" s="73" t="n"/>
      <c r="M468" s="73" t="n"/>
      <c r="N468" s="57">
        <f>IF($A468="","",MAX(0,MIN(1,IFERROR(VALUE($M468),0))))</f>
        <v/>
      </c>
      <c r="O468" s="57">
        <f>IF($A468="",0,IF(OR($S468&lt;&gt;1,COUNTA($J468:$M468)=0),0,IF(SUMPRODUCT(MAX(($C$5:$C$2484=$C468)*($D$5:$D$2484=$D468)*($S$5:$S$2484=1)*IFERROR($N$5:$N$2484*1,0)))&gt;0,ROUND($H468*($N468/SUMPRODUCT(MAX(($C$5:$C$2484=$C468)*($D$5:$D$2484=$D468)*($S$5:$S$2484=1)*IFERROR($N$5:$N$2484*1,0)))),4),0)))</f>
        <v/>
      </c>
      <c r="P468" s="48" t="inlineStr">
        <is>
          <t>coeff.</t>
        </is>
      </c>
      <c r="Q468" s="57">
        <f>IF($A468="","",$A468&amp;"|"&amp;$C468)</f>
        <v/>
      </c>
      <c r="R468" s="57">
        <f>IF($A468="","",$A468&amp;"|"&amp;$C468&amp;"|"&amp;$D468)</f>
        <v/>
      </c>
      <c r="S468" s="57">
        <f>IF($A468="","",IFERROR(INDEX(Offerte!$D$2:$D$81,MATCH($Q468,Offerte!$L$2:$L$81,0)),0))</f>
        <v/>
      </c>
      <c r="T468" s="57">
        <f>IF($A468="","",IFERROR(INDEX(Offerte!$G$2:$G$81,MATCH($Q468,Offerte!$L$2:$L$81,0)),"NO"))</f>
        <v/>
      </c>
    </row>
    <row r="469">
      <c r="A469" s="48">
        <f>IF(Offerte!$A16="","",Offerte!$A16)</f>
        <v/>
      </c>
      <c r="B469" s="48">
        <f>IF(Offerte!$A16="","",Offerte!$B16)</f>
        <v/>
      </c>
      <c r="C469" s="48">
        <f>IF(Offerte!$A16="","",Offerte!$C16)</f>
        <v/>
      </c>
      <c r="D469" s="48" t="inlineStr">
        <is>
          <t>G.5.1</t>
        </is>
      </c>
      <c r="E469" s="48" t="inlineStr">
        <is>
          <t>G</t>
        </is>
      </c>
      <c r="F469" s="48" t="inlineStr">
        <is>
          <t>T</t>
        </is>
      </c>
      <c r="G469" s="48" t="inlineStr">
        <is>
          <t>tabular</t>
        </is>
      </c>
      <c r="H469" s="48" t="n">
        <v>1</v>
      </c>
      <c r="I469" s="48" t="inlineStr">
        <is>
          <t>Impegno al mantenimento delle garanzie del contratto di secondo livello del gestore uscente</t>
        </is>
      </c>
      <c r="J469" s="73" t="n"/>
      <c r="K469" s="73" t="n"/>
      <c r="L469" s="73" t="n"/>
      <c r="M469" s="73" t="n"/>
      <c r="N469" s="57">
        <f>IF($A469="","",IF(IFERROR(VALUE($M469),0)=1,1,0))</f>
        <v/>
      </c>
      <c r="O469" s="57">
        <f>IF($A469="",0,IF(OR($S469&lt;&gt;1,COUNTA($J469:$M469)=0),0,IF($N469=1,$H469,0)))</f>
        <v/>
      </c>
      <c r="P469" s="48" t="inlineStr">
        <is>
          <t>sì/no</t>
        </is>
      </c>
      <c r="Q469" s="57">
        <f>IF($A469="","",$A469&amp;"|"&amp;$C469)</f>
        <v/>
      </c>
      <c r="R469" s="57">
        <f>IF($A469="","",$A469&amp;"|"&amp;$C469&amp;"|"&amp;$D469)</f>
        <v/>
      </c>
      <c r="S469" s="57">
        <f>IF($A469="","",IFERROR(INDEX(Offerte!$D$2:$D$81,MATCH($Q469,Offerte!$L$2:$L$81,0)),0))</f>
        <v/>
      </c>
      <c r="T469" s="57">
        <f>IF($A469="","",IFERROR(INDEX(Offerte!$G$2:$G$81,MATCH($Q469,Offerte!$L$2:$L$81,0)),"NO"))</f>
        <v/>
      </c>
    </row>
    <row r="470">
      <c r="A470" s="48">
        <f>IF(Offerte!$A17="","",Offerte!$A17)</f>
        <v/>
      </c>
      <c r="B470" s="48">
        <f>IF(Offerte!$A17="","",Offerte!$B17)</f>
        <v/>
      </c>
      <c r="C470" s="48">
        <f>IF(Offerte!$A17="","",Offerte!$C17)</f>
        <v/>
      </c>
      <c r="D470" s="48" t="inlineStr">
        <is>
          <t>A.1.1</t>
        </is>
      </c>
      <c r="E470" s="48" t="inlineStr">
        <is>
          <t>A</t>
        </is>
      </c>
      <c r="F470" s="48" t="inlineStr">
        <is>
          <t>Q</t>
        </is>
      </c>
      <c r="G470" s="48" t="inlineStr">
        <is>
          <t>higher</t>
        </is>
      </c>
      <c r="H470" s="48" t="n">
        <v>3</v>
      </c>
      <c r="I470" s="48" t="inlineStr">
        <is>
          <t>Tasso aggiuntivo di corse controllate</t>
        </is>
      </c>
      <c r="J470" s="73" t="n"/>
      <c r="K470" s="73" t="n"/>
      <c r="L470" s="73" t="n"/>
      <c r="M470" s="73" t="n"/>
      <c r="N470" s="57">
        <f>IF($A470="","",IFERROR(VALUE($K470)/VALUE($L470)*100,IFERROR(VALUE($J470),0)))</f>
        <v/>
      </c>
      <c r="O470" s="57">
        <f>IF($A470="",0,IF(OR($S470&lt;&gt;1,COUNTA($J470:$M470)=0),0,IF(SUMPRODUCT(MAX(($C$5:$C$2484=$C470)*($D$5:$D$2484=$D470)*($S$5:$S$2484=1)*IFERROR($N$5:$N$2484*1,0)))&gt;0,ROUND($H470*($N470/SUMPRODUCT(MAX(($C$5:$C$2484=$C470)*($D$5:$D$2484=$D470)*($S$5:$S$2484=1)*IFERROR($N$5:$N$2484*1,0)))),4),0)))</f>
        <v/>
      </c>
      <c r="P470" s="48" t="inlineStr">
        <is>
          <t>Corse controllate annue / Corse programmate annue</t>
        </is>
      </c>
      <c r="Q470" s="57">
        <f>IF($A470="","",$A470&amp;"|"&amp;$C470)</f>
        <v/>
      </c>
      <c r="R470" s="57">
        <f>IF($A470="","",$A470&amp;"|"&amp;$C470&amp;"|"&amp;$D470)</f>
        <v/>
      </c>
      <c r="S470" s="57">
        <f>IF($A470="","",IFERROR(INDEX(Offerte!$D$2:$D$81,MATCH($Q470,Offerte!$L$2:$L$81,0)),0))</f>
        <v/>
      </c>
      <c r="T470" s="57">
        <f>IF($A470="","",IFERROR(INDEX(Offerte!$G$2:$G$81,MATCH($Q470,Offerte!$L$2:$L$81,0)),"NO"))</f>
        <v/>
      </c>
    </row>
    <row r="471">
      <c r="A471" s="48">
        <f>IF(Offerte!$A17="","",Offerte!$A17)</f>
        <v/>
      </c>
      <c r="B471" s="48">
        <f>IF(Offerte!$A17="","",Offerte!$B17)</f>
        <v/>
      </c>
      <c r="C471" s="48">
        <f>IF(Offerte!$A17="","",Offerte!$C17)</f>
        <v/>
      </c>
      <c r="D471" s="48" t="inlineStr">
        <is>
          <t>A.1.2</t>
        </is>
      </c>
      <c r="E471" s="48" t="inlineStr">
        <is>
          <t>A</t>
        </is>
      </c>
      <c r="F471" s="48" t="inlineStr">
        <is>
          <t>Q</t>
        </is>
      </c>
      <c r="G471" s="48" t="inlineStr">
        <is>
          <t>higher</t>
        </is>
      </c>
      <c r="H471" s="48" t="n">
        <v>4</v>
      </c>
      <c r="I471" s="48" t="inlineStr">
        <is>
          <t>Numero aggiuntivo di passeggeri controllati</t>
        </is>
      </c>
      <c r="J471" s="73" t="n"/>
      <c r="K471" s="73" t="n"/>
      <c r="L471" s="73" t="n"/>
      <c r="M471" s="73" t="n"/>
      <c r="N471" s="57">
        <f>IF($A471="","",IFERROR(VALUE($J471),0))</f>
        <v/>
      </c>
      <c r="O471" s="57">
        <f>IF($A471="",0,IF(OR($S471&lt;&gt;1,COUNTA($J471:$M471)=0),0,IF(SUMPRODUCT(MAX(($C$5:$C$2484=$C471)*($D$5:$D$2484=$D471)*($S$5:$S$2484=1)*IFERROR($N$5:$N$2484*1,0)))&gt;0,ROUND($H471*($N471/SUMPRODUCT(MAX(($C$5:$C$2484=$C471)*($D$5:$D$2484=$D471)*($S$5:$S$2484=1)*IFERROR($N$5:$N$2484*1,0)))),4),0)))</f>
        <v/>
      </c>
      <c r="P471" s="48" t="inlineStr">
        <is>
          <t>passeggeri/anno</t>
        </is>
      </c>
      <c r="Q471" s="57">
        <f>IF($A471="","",$A471&amp;"|"&amp;$C471)</f>
        <v/>
      </c>
      <c r="R471" s="57">
        <f>IF($A471="","",$A471&amp;"|"&amp;$C471&amp;"|"&amp;$D471)</f>
        <v/>
      </c>
      <c r="S471" s="57">
        <f>IF($A471="","",IFERROR(INDEX(Offerte!$D$2:$D$81,MATCH($Q471,Offerte!$L$2:$L$81,0)),0))</f>
        <v/>
      </c>
      <c r="T471" s="57">
        <f>IF($A471="","",IFERROR(INDEX(Offerte!$G$2:$G$81,MATCH($Q471,Offerte!$L$2:$L$81,0)),"NO"))</f>
        <v/>
      </c>
    </row>
    <row r="472">
      <c r="A472" s="48">
        <f>IF(Offerte!$A17="","",Offerte!$A17)</f>
        <v/>
      </c>
      <c r="B472" s="48">
        <f>IF(Offerte!$A17="","",Offerte!$B17)</f>
        <v/>
      </c>
      <c r="C472" s="48">
        <f>IF(Offerte!$A17="","",Offerte!$C17)</f>
        <v/>
      </c>
      <c r="D472" s="48" t="inlineStr">
        <is>
          <t>B.1.1</t>
        </is>
      </c>
      <c r="E472" s="48" t="inlineStr">
        <is>
          <t>B</t>
        </is>
      </c>
      <c r="F472" s="48" t="inlineStr">
        <is>
          <t>Q</t>
        </is>
      </c>
      <c r="G472" s="48" t="inlineStr">
        <is>
          <t>higher</t>
        </is>
      </c>
      <c r="H472" s="48" t="n">
        <v>3</v>
      </c>
      <c r="I472" s="48" t="inlineStr">
        <is>
          <t>Incremento dei posti offerti nelle fasce di punta</t>
        </is>
      </c>
      <c r="J472" s="73" t="n"/>
      <c r="K472" s="73" t="n"/>
      <c r="L472" s="73" t="n"/>
      <c r="M472" s="73" t="n"/>
      <c r="N472" s="57">
        <f>IF($A472="","",IFERROR(VALUE($J472),0))</f>
        <v/>
      </c>
      <c r="O472" s="57">
        <f>IF($A472="",0,IF(OR($S472&lt;&gt;1,COUNTA($J472:$M472)=0),0,IF(SUMPRODUCT(MAX(($C$5:$C$2484=$C472)*($D$5:$D$2484=$D472)*($S$5:$S$2484=1)*IFERROR($N$5:$N$2484*1,0)))&gt;0,ROUND($H472*($N472/SUMPRODUCT(MAX(($C$5:$C$2484=$C472)*($D$5:$D$2484=$D472)*($S$5:$S$2484=1)*IFERROR($N$5:$N$2484*1,0)))),4),0)))</f>
        <v/>
      </c>
      <c r="P472" s="48" t="inlineStr">
        <is>
          <t>posti*km</t>
        </is>
      </c>
      <c r="Q472" s="57">
        <f>IF($A472="","",$A472&amp;"|"&amp;$C472)</f>
        <v/>
      </c>
      <c r="R472" s="57">
        <f>IF($A472="","",$A472&amp;"|"&amp;$C472&amp;"|"&amp;$D472)</f>
        <v/>
      </c>
      <c r="S472" s="57">
        <f>IF($A472="","",IFERROR(INDEX(Offerte!$D$2:$D$81,MATCH($Q472,Offerte!$L$2:$L$81,0)),0))</f>
        <v/>
      </c>
      <c r="T472" s="57">
        <f>IF($A472="","",IFERROR(INDEX(Offerte!$G$2:$G$81,MATCH($Q472,Offerte!$L$2:$L$81,0)),"NO"))</f>
        <v/>
      </c>
    </row>
    <row r="473">
      <c r="A473" s="48">
        <f>IF(Offerte!$A17="","",Offerte!$A17)</f>
        <v/>
      </c>
      <c r="B473" s="48">
        <f>IF(Offerte!$A17="","",Offerte!$B17)</f>
        <v/>
      </c>
      <c r="C473" s="48">
        <f>IF(Offerte!$A17="","",Offerte!$C17)</f>
        <v/>
      </c>
      <c r="D473" s="48" t="inlineStr">
        <is>
          <t>B.2.1</t>
        </is>
      </c>
      <c r="E473" s="48" t="inlineStr">
        <is>
          <t>B</t>
        </is>
      </c>
      <c r="F473" s="48" t="inlineStr">
        <is>
          <t>Q</t>
        </is>
      </c>
      <c r="G473" s="48" t="inlineStr">
        <is>
          <t>higher</t>
        </is>
      </c>
      <c r="H473" s="48" t="n">
        <v>4</v>
      </c>
      <c r="I473" s="48" t="inlineStr">
        <is>
          <t>Corse aggiuntive nell'arco giornaliero base</t>
        </is>
      </c>
      <c r="J473" s="73" t="n"/>
      <c r="K473" s="73" t="n"/>
      <c r="L473" s="73" t="n"/>
      <c r="M473" s="73" t="n"/>
      <c r="N473" s="57">
        <f>IF($A473="","",IFERROR(VALUE($J473),0))</f>
        <v/>
      </c>
      <c r="O473" s="57">
        <f>IF($A473="",0,IF(OR($S473&lt;&gt;1,COUNTA($J473:$M473)=0),0,IF(SUMPRODUCT(MAX(($C$5:$C$2484=$C473)*($D$5:$D$2484=$D473)*($S$5:$S$2484=1)*IFERROR($N$5:$N$2484*1,0)))&gt;0,ROUND($H473*($N473/SUMPRODUCT(MAX(($C$5:$C$2484=$C473)*($D$5:$D$2484=$D473)*($S$5:$S$2484=1)*IFERROR($N$5:$N$2484*1,0)))),4),0)))</f>
        <v/>
      </c>
      <c r="P473" s="48" t="inlineStr">
        <is>
          <t>corse</t>
        </is>
      </c>
      <c r="Q473" s="57">
        <f>IF($A473="","",$A473&amp;"|"&amp;$C473)</f>
        <v/>
      </c>
      <c r="R473" s="57">
        <f>IF($A473="","",$A473&amp;"|"&amp;$C473&amp;"|"&amp;$D473)</f>
        <v/>
      </c>
      <c r="S473" s="57">
        <f>IF($A473="","",IFERROR(INDEX(Offerte!$D$2:$D$81,MATCH($Q473,Offerte!$L$2:$L$81,0)),0))</f>
        <v/>
      </c>
      <c r="T473" s="57">
        <f>IF($A473="","",IFERROR(INDEX(Offerte!$G$2:$G$81,MATCH($Q473,Offerte!$L$2:$L$81,0)),"NO"))</f>
        <v/>
      </c>
    </row>
    <row r="474">
      <c r="A474" s="48">
        <f>IF(Offerte!$A17="","",Offerte!$A17)</f>
        <v/>
      </c>
      <c r="B474" s="48">
        <f>IF(Offerte!$A17="","",Offerte!$B17)</f>
        <v/>
      </c>
      <c r="C474" s="48">
        <f>IF(Offerte!$A17="","",Offerte!$C17)</f>
        <v/>
      </c>
      <c r="D474" s="48" t="inlineStr">
        <is>
          <t>B.3.1</t>
        </is>
      </c>
      <c r="E474" s="48" t="inlineStr">
        <is>
          <t>B</t>
        </is>
      </c>
      <c r="F474" s="48" t="inlineStr">
        <is>
          <t>Q</t>
        </is>
      </c>
      <c r="G474" s="48" t="inlineStr">
        <is>
          <t>higher</t>
        </is>
      </c>
      <c r="H474" s="48" t="n">
        <v>2</v>
      </c>
      <c r="I474" s="48" t="inlineStr">
        <is>
          <t>Numero di corse aggiuntive per allungamento dell'arco di servizio giornaliero nelle fasce serali</t>
        </is>
      </c>
      <c r="J474" s="73" t="n"/>
      <c r="K474" s="73" t="n"/>
      <c r="L474" s="73" t="n"/>
      <c r="M474" s="73" t="n"/>
      <c r="N474" s="57">
        <f>IF($A474="","",IFERROR(VALUE($J474),0))</f>
        <v/>
      </c>
      <c r="O474" s="57">
        <f>IF($A474="",0,IF(OR($S474&lt;&gt;1,COUNTA($J474:$M474)=0),0,IF(SUMPRODUCT(MAX(($C$5:$C$2484=$C474)*($D$5:$D$2484=$D474)*($S$5:$S$2484=1)*IFERROR($N$5:$N$2484*1,0)))&gt;0,ROUND($H474*($N474/SUMPRODUCT(MAX(($C$5:$C$2484=$C474)*($D$5:$D$2484=$D474)*($S$5:$S$2484=1)*IFERROR($N$5:$N$2484*1,0)))),4),0)))</f>
        <v/>
      </c>
      <c r="P474" s="48" t="inlineStr">
        <is>
          <t>corse</t>
        </is>
      </c>
      <c r="Q474" s="57">
        <f>IF($A474="","",$A474&amp;"|"&amp;$C474)</f>
        <v/>
      </c>
      <c r="R474" s="57">
        <f>IF($A474="","",$A474&amp;"|"&amp;$C474&amp;"|"&amp;$D474)</f>
        <v/>
      </c>
      <c r="S474" s="57">
        <f>IF($A474="","",IFERROR(INDEX(Offerte!$D$2:$D$81,MATCH($Q474,Offerte!$L$2:$L$81,0)),0))</f>
        <v/>
      </c>
      <c r="T474" s="57">
        <f>IF($A474="","",IFERROR(INDEX(Offerte!$G$2:$G$81,MATCH($Q474,Offerte!$L$2:$L$81,0)),"NO"))</f>
        <v/>
      </c>
    </row>
    <row r="475">
      <c r="A475" s="48">
        <f>IF(Offerte!$A17="","",Offerte!$A17)</f>
        <v/>
      </c>
      <c r="B475" s="48">
        <f>IF(Offerte!$A17="","",Offerte!$B17)</f>
        <v/>
      </c>
      <c r="C475" s="48">
        <f>IF(Offerte!$A17="","",Offerte!$C17)</f>
        <v/>
      </c>
      <c r="D475" s="48" t="inlineStr">
        <is>
          <t>B.4.1</t>
        </is>
      </c>
      <c r="E475" s="48" t="inlineStr">
        <is>
          <t>B</t>
        </is>
      </c>
      <c r="F475" s="48" t="inlineStr">
        <is>
          <t>Q</t>
        </is>
      </c>
      <c r="G475" s="48" t="inlineStr">
        <is>
          <t>higher</t>
        </is>
      </c>
      <c r="H475" s="48" t="n">
        <v>3</v>
      </c>
      <c r="I475" s="48" t="inlineStr">
        <is>
          <t>Percorrenze aggiuntive offerte nel Programma d'esercizio delle prime due fasi attuative</t>
        </is>
      </c>
      <c r="J475" s="73" t="n"/>
      <c r="K475" s="73" t="n"/>
      <c r="L475" s="73" t="n"/>
      <c r="M475" s="73" t="n"/>
      <c r="N475" s="57">
        <f>IF($A475="","",IFERROR(VALUE($J475),0))</f>
        <v/>
      </c>
      <c r="O475" s="57">
        <f>IF($A475="",0,IF(OR($S475&lt;&gt;1,COUNTA($J475:$M475)=0),0,IF(SUMPRODUCT(MAX(($C$5:$C$2484=$C475)*($D$5:$D$2484=$D475)*($S$5:$S$2484=1)*IFERROR($N$5:$N$2484*1,0)))&gt;0,ROUND($H475*($N475/SUMPRODUCT(MAX(($C$5:$C$2484=$C475)*($D$5:$D$2484=$D475)*($S$5:$S$2484=1)*IFERROR($N$5:$N$2484*1,0)))),4),0)))</f>
        <v/>
      </c>
      <c r="P475" s="48" t="inlineStr">
        <is>
          <t>vett*km</t>
        </is>
      </c>
      <c r="Q475" s="57">
        <f>IF($A475="","",$A475&amp;"|"&amp;$C475)</f>
        <v/>
      </c>
      <c r="R475" s="57">
        <f>IF($A475="","",$A475&amp;"|"&amp;$C475&amp;"|"&amp;$D475)</f>
        <v/>
      </c>
      <c r="S475" s="57">
        <f>IF($A475="","",IFERROR(INDEX(Offerte!$D$2:$D$81,MATCH($Q475,Offerte!$L$2:$L$81,0)),0))</f>
        <v/>
      </c>
      <c r="T475" s="57">
        <f>IF($A475="","",IFERROR(INDEX(Offerte!$G$2:$G$81,MATCH($Q475,Offerte!$L$2:$L$81,0)),"NO"))</f>
        <v/>
      </c>
    </row>
    <row r="476">
      <c r="A476" s="48">
        <f>IF(Offerte!$A17="","",Offerte!$A17)</f>
        <v/>
      </c>
      <c r="B476" s="48">
        <f>IF(Offerte!$A17="","",Offerte!$B17)</f>
        <v/>
      </c>
      <c r="C476" s="48">
        <f>IF(Offerte!$A17="","",Offerte!$C17)</f>
        <v/>
      </c>
      <c r="D476" s="48" t="inlineStr">
        <is>
          <t>B.5.1</t>
        </is>
      </c>
      <c r="E476" s="48" t="inlineStr">
        <is>
          <t>B</t>
        </is>
      </c>
      <c r="F476" s="48" t="inlineStr">
        <is>
          <t>D</t>
        </is>
      </c>
      <c r="G476" s="48" t="inlineStr">
        <is>
          <t>discretionary</t>
        </is>
      </c>
      <c r="H476" s="48" t="n">
        <v>2</v>
      </c>
      <c r="I476" s="48" t="inlineStr">
        <is>
          <t>Efficacia del progetto di servizi complementari DRT</t>
        </is>
      </c>
      <c r="J476" s="73" t="n"/>
      <c r="K476" s="73" t="n"/>
      <c r="L476" s="73" t="n"/>
      <c r="M476" s="73" t="n"/>
      <c r="N476" s="57">
        <f>IF($A476="","",MAX(0,MIN(1,IFERROR(VALUE($M476),0))))</f>
        <v/>
      </c>
      <c r="O476" s="57">
        <f>IF($A476="",0,IF(OR($S476&lt;&gt;1,COUNTA($J476:$M476)=0),0,IF(SUMPRODUCT(MAX(($C$5:$C$2484=$C476)*($D$5:$D$2484=$D476)*($S$5:$S$2484=1)*IFERROR($N$5:$N$2484*1,0)))&gt;0,ROUND($H476*($N476/SUMPRODUCT(MAX(($C$5:$C$2484=$C476)*($D$5:$D$2484=$D476)*($S$5:$S$2484=1)*IFERROR($N$5:$N$2484*1,0)))),4),0)))</f>
        <v/>
      </c>
      <c r="P476" s="48" t="inlineStr">
        <is>
          <t>coeff.</t>
        </is>
      </c>
      <c r="Q476" s="57">
        <f>IF($A476="","",$A476&amp;"|"&amp;$C476)</f>
        <v/>
      </c>
      <c r="R476" s="57">
        <f>IF($A476="","",$A476&amp;"|"&amp;$C476&amp;"|"&amp;$D476)</f>
        <v/>
      </c>
      <c r="S476" s="57">
        <f>IF($A476="","",IFERROR(INDEX(Offerte!$D$2:$D$81,MATCH($Q476,Offerte!$L$2:$L$81,0)),0))</f>
        <v/>
      </c>
      <c r="T476" s="57">
        <f>IF($A476="","",IFERROR(INDEX(Offerte!$G$2:$G$81,MATCH($Q476,Offerte!$L$2:$L$81,0)),"NO"))</f>
        <v/>
      </c>
    </row>
    <row r="477">
      <c r="A477" s="48">
        <f>IF(Offerte!$A17="","",Offerte!$A17)</f>
        <v/>
      </c>
      <c r="B477" s="48">
        <f>IF(Offerte!$A17="","",Offerte!$B17)</f>
        <v/>
      </c>
      <c r="C477" s="48">
        <f>IF(Offerte!$A17="","",Offerte!$C17)</f>
        <v/>
      </c>
      <c r="D477" s="48" t="inlineStr">
        <is>
          <t>C.1.1</t>
        </is>
      </c>
      <c r="E477" s="48" t="inlineStr">
        <is>
          <t>C</t>
        </is>
      </c>
      <c r="F477" s="48" t="inlineStr">
        <is>
          <t>Q</t>
        </is>
      </c>
      <c r="G477" s="48" t="inlineStr">
        <is>
          <t>higher</t>
        </is>
      </c>
      <c r="H477" s="48" t="n">
        <v>2</v>
      </c>
      <c r="I477" s="48" t="inlineStr">
        <is>
          <t>Tasso di copertura del servizio con telecamere BSD</t>
        </is>
      </c>
      <c r="J477" s="73" t="n"/>
      <c r="K477" s="73" t="n"/>
      <c r="L477" s="73" t="n"/>
      <c r="M477" s="73" t="n"/>
      <c r="N477" s="57">
        <f>IF($A477="","",IFERROR(VALUE($K477)/VALUE($L477),IFERROR(VALUE($J477),0)))</f>
        <v/>
      </c>
      <c r="O477" s="57">
        <f>IF($A477="",0,IF(OR($S477&lt;&gt;1,COUNTA($J477:$M477)=0),0,IF(SUMPRODUCT(MAX(($C$5:$C$2484=$C477)*($D$5:$D$2484=$D477)*($S$5:$S$2484=1)*IFERROR($N$5:$N$2484*1,0)))&gt;0,ROUND($H477*($N477/SUMPRODUCT(MAX(($C$5:$C$2484=$C477)*($D$5:$D$2484=$D477)*($S$5:$S$2484=1)*IFERROR($N$5:$N$2484*1,0)))),4),0)))</f>
        <v/>
      </c>
      <c r="P477" s="48" t="inlineStr">
        <is>
          <t>Autobus attrezzati con telecamere BSD / Autobus totali in offerta, incluse scorte</t>
        </is>
      </c>
      <c r="Q477" s="57">
        <f>IF($A477="","",$A477&amp;"|"&amp;$C477)</f>
        <v/>
      </c>
      <c r="R477" s="57">
        <f>IF($A477="","",$A477&amp;"|"&amp;$C477&amp;"|"&amp;$D477)</f>
        <v/>
      </c>
      <c r="S477" s="57">
        <f>IF($A477="","",IFERROR(INDEX(Offerte!$D$2:$D$81,MATCH($Q477,Offerte!$L$2:$L$81,0)),0))</f>
        <v/>
      </c>
      <c r="T477" s="57">
        <f>IF($A477="","",IFERROR(INDEX(Offerte!$G$2:$G$81,MATCH($Q477,Offerte!$L$2:$L$81,0)),"NO"))</f>
        <v/>
      </c>
    </row>
    <row r="478">
      <c r="A478" s="48">
        <f>IF(Offerte!$A17="","",Offerte!$A17)</f>
        <v/>
      </c>
      <c r="B478" s="48">
        <f>IF(Offerte!$A17="","",Offerte!$B17)</f>
        <v/>
      </c>
      <c r="C478" s="48">
        <f>IF(Offerte!$A17="","",Offerte!$C17)</f>
        <v/>
      </c>
      <c r="D478" s="48" t="inlineStr">
        <is>
          <t>C.1.2</t>
        </is>
      </c>
      <c r="E478" s="48" t="inlineStr">
        <is>
          <t>C</t>
        </is>
      </c>
      <c r="F478" s="48" t="inlineStr">
        <is>
          <t>Q</t>
        </is>
      </c>
      <c r="G478" s="48" t="inlineStr">
        <is>
          <t>higher</t>
        </is>
      </c>
      <c r="H478" s="48" t="n">
        <v>2</v>
      </c>
      <c r="I478" s="48" t="inlineStr">
        <is>
          <t>Tasso di copertura del servizio con telecamere ADAS</t>
        </is>
      </c>
      <c r="J478" s="73" t="n"/>
      <c r="K478" s="73" t="n"/>
      <c r="L478" s="73" t="n"/>
      <c r="M478" s="73" t="n"/>
      <c r="N478" s="57">
        <f>IF($A478="","",IFERROR(VALUE($K478)/VALUE($L478),IFERROR(VALUE($J478),0)))</f>
        <v/>
      </c>
      <c r="O478" s="57">
        <f>IF($A478="",0,IF(OR($S478&lt;&gt;1,COUNTA($J478:$M478)=0),0,IF(SUMPRODUCT(MAX(($C$5:$C$2484=$C478)*($D$5:$D$2484=$D478)*($S$5:$S$2484=1)*IFERROR($N$5:$N$2484*1,0)))&gt;0,ROUND($H478*($N478/SUMPRODUCT(MAX(($C$5:$C$2484=$C478)*($D$5:$D$2484=$D478)*($S$5:$S$2484=1)*IFERROR($N$5:$N$2484*1,0)))),4),0)))</f>
        <v/>
      </c>
      <c r="P478" s="48" t="inlineStr">
        <is>
          <t>Autobus attrezzati con telecamere ADAS / Autobus totali in offerta, incluse scorte</t>
        </is>
      </c>
      <c r="Q478" s="57">
        <f>IF($A478="","",$A478&amp;"|"&amp;$C478)</f>
        <v/>
      </c>
      <c r="R478" s="57">
        <f>IF($A478="","",$A478&amp;"|"&amp;$C478&amp;"|"&amp;$D478)</f>
        <v/>
      </c>
      <c r="S478" s="57">
        <f>IF($A478="","",IFERROR(INDEX(Offerte!$D$2:$D$81,MATCH($Q478,Offerte!$L$2:$L$81,0)),0))</f>
        <v/>
      </c>
      <c r="T478" s="57">
        <f>IF($A478="","",IFERROR(INDEX(Offerte!$G$2:$G$81,MATCH($Q478,Offerte!$L$2:$L$81,0)),"NO"))</f>
        <v/>
      </c>
    </row>
    <row r="479">
      <c r="A479" s="48">
        <f>IF(Offerte!$A17="","",Offerte!$A17)</f>
        <v/>
      </c>
      <c r="B479" s="48">
        <f>IF(Offerte!$A17="","",Offerte!$B17)</f>
        <v/>
      </c>
      <c r="C479" s="48">
        <f>IF(Offerte!$A17="","",Offerte!$C17)</f>
        <v/>
      </c>
      <c r="D479" s="48" t="inlineStr">
        <is>
          <t>C.2.1</t>
        </is>
      </c>
      <c r="E479" s="48" t="inlineStr">
        <is>
          <t>C</t>
        </is>
      </c>
      <c r="F479" s="48" t="inlineStr">
        <is>
          <t>Q</t>
        </is>
      </c>
      <c r="G479" s="48" t="inlineStr">
        <is>
          <t>higher</t>
        </is>
      </c>
      <c r="H479" s="48" t="n">
        <v>3</v>
      </c>
      <c r="I479" s="48" t="inlineStr">
        <is>
          <t>Tasso di copertura del servizio con telecamere di bordo di videosorveglianza</t>
        </is>
      </c>
      <c r="J479" s="73" t="n"/>
      <c r="K479" s="73" t="n"/>
      <c r="L479" s="73" t="n"/>
      <c r="M479" s="73" t="n"/>
      <c r="N479" s="57">
        <f>IF($A479="","",IFERROR(VALUE($K479)/VALUE($L479),IFERROR(VALUE($J479),0)))</f>
        <v/>
      </c>
      <c r="O479" s="57">
        <f>IF($A479="",0,IF(OR($S479&lt;&gt;1,COUNTA($J479:$M479)=0),0,IF(SUMPRODUCT(MAX(($C$5:$C$2484=$C479)*($D$5:$D$2484=$D479)*($S$5:$S$2484=1)*IFERROR($N$5:$N$2484*1,0)))&gt;0,ROUND($H479*($N479/SUMPRODUCT(MAX(($C$5:$C$2484=$C479)*($D$5:$D$2484=$D479)*($S$5:$S$2484=1)*IFERROR($N$5:$N$2484*1,0)))),4),0)))</f>
        <v/>
      </c>
      <c r="P479" s="48" t="inlineStr">
        <is>
          <t>Autobus attrezzati con videosorveglianza / Autobus totali in offerta, incluse scorte</t>
        </is>
      </c>
      <c r="Q479" s="57">
        <f>IF($A479="","",$A479&amp;"|"&amp;$C479)</f>
        <v/>
      </c>
      <c r="R479" s="57">
        <f>IF($A479="","",$A479&amp;"|"&amp;$C479&amp;"|"&amp;$D479)</f>
        <v/>
      </c>
      <c r="S479" s="57">
        <f>IF($A479="","",IFERROR(INDEX(Offerte!$D$2:$D$81,MATCH($Q479,Offerte!$L$2:$L$81,0)),0))</f>
        <v/>
      </c>
      <c r="T479" s="57">
        <f>IF($A479="","",IFERROR(INDEX(Offerte!$G$2:$G$81,MATCH($Q479,Offerte!$L$2:$L$81,0)),"NO"))</f>
        <v/>
      </c>
    </row>
    <row r="480">
      <c r="A480" s="48">
        <f>IF(Offerte!$A17="","",Offerte!$A17)</f>
        <v/>
      </c>
      <c r="B480" s="48">
        <f>IF(Offerte!$A17="","",Offerte!$B17)</f>
        <v/>
      </c>
      <c r="C480" s="48">
        <f>IF(Offerte!$A17="","",Offerte!$C17)</f>
        <v/>
      </c>
      <c r="D480" s="48" t="inlineStr">
        <is>
          <t>C.2.2</t>
        </is>
      </c>
      <c r="E480" s="48" t="inlineStr">
        <is>
          <t>C</t>
        </is>
      </c>
      <c r="F480" s="48" t="inlineStr">
        <is>
          <t>T</t>
        </is>
      </c>
      <c r="G480" s="48" t="inlineStr">
        <is>
          <t>tabular</t>
        </is>
      </c>
      <c r="H480" s="48" t="n">
        <v>1</v>
      </c>
      <c r="I480" s="48" t="inlineStr">
        <is>
          <t>Software video/audio analisi per situazioni di pericolo</t>
        </is>
      </c>
      <c r="J480" s="73" t="n"/>
      <c r="K480" s="73" t="n"/>
      <c r="L480" s="73" t="n"/>
      <c r="M480" s="73" t="n"/>
      <c r="N480" s="57">
        <f>IF($A480="","",IF(IFERROR(VALUE($M480),0)=1,1,0))</f>
        <v/>
      </c>
      <c r="O480" s="57">
        <f>IF($A480="",0,IF(OR($S480&lt;&gt;1,COUNTA($J480:$M480)=0),0,IF($N480=1,$H480,0)))</f>
        <v/>
      </c>
      <c r="P480" s="48" t="inlineStr">
        <is>
          <t>sì/no</t>
        </is>
      </c>
      <c r="Q480" s="57">
        <f>IF($A480="","",$A480&amp;"|"&amp;$C480)</f>
        <v/>
      </c>
      <c r="R480" s="57">
        <f>IF($A480="","",$A480&amp;"|"&amp;$C480&amp;"|"&amp;$D480)</f>
        <v/>
      </c>
      <c r="S480" s="57">
        <f>IF($A480="","",IFERROR(INDEX(Offerte!$D$2:$D$81,MATCH($Q480,Offerte!$L$2:$L$81,0)),0))</f>
        <v/>
      </c>
      <c r="T480" s="57">
        <f>IF($A480="","",IFERROR(INDEX(Offerte!$G$2:$G$81,MATCH($Q480,Offerte!$L$2:$L$81,0)),"NO"))</f>
        <v/>
      </c>
    </row>
    <row r="481">
      <c r="A481" s="48">
        <f>IF(Offerte!$A17="","",Offerte!$A17)</f>
        <v/>
      </c>
      <c r="B481" s="48">
        <f>IF(Offerte!$A17="","",Offerte!$B17)</f>
        <v/>
      </c>
      <c r="C481" s="48">
        <f>IF(Offerte!$A17="","",Offerte!$C17)</f>
        <v/>
      </c>
      <c r="D481" s="48" t="inlineStr">
        <is>
          <t>C.2.3</t>
        </is>
      </c>
      <c r="E481" s="48" t="inlineStr">
        <is>
          <t>C</t>
        </is>
      </c>
      <c r="F481" s="48" t="inlineStr">
        <is>
          <t>T</t>
        </is>
      </c>
      <c r="G481" s="48" t="inlineStr">
        <is>
          <t>tabular</t>
        </is>
      </c>
      <c r="H481" s="48" t="n">
        <v>1</v>
      </c>
      <c r="I481" s="48" t="inlineStr">
        <is>
          <t>Collegamento con centrale qualificata di pronto intervento</t>
        </is>
      </c>
      <c r="J481" s="73" t="n"/>
      <c r="K481" s="73" t="n"/>
      <c r="L481" s="73" t="n"/>
      <c r="M481" s="73" t="n"/>
      <c r="N481" s="57">
        <f>IF($A481="","",IF(IFERROR(VALUE($M481),0)=1,1,0))</f>
        <v/>
      </c>
      <c r="O481" s="57">
        <f>IF($A481="",0,IF(OR($S481&lt;&gt;1,COUNTA($J481:$M481)=0),0,IF($N481=1,$H481,0)))</f>
        <v/>
      </c>
      <c r="P481" s="48" t="inlineStr">
        <is>
          <t>sì/no</t>
        </is>
      </c>
      <c r="Q481" s="57">
        <f>IF($A481="","",$A481&amp;"|"&amp;$C481)</f>
        <v/>
      </c>
      <c r="R481" s="57">
        <f>IF($A481="","",$A481&amp;"|"&amp;$C481&amp;"|"&amp;$D481)</f>
        <v/>
      </c>
      <c r="S481" s="57">
        <f>IF($A481="","",IFERROR(INDEX(Offerte!$D$2:$D$81,MATCH($Q481,Offerte!$L$2:$L$81,0)),0))</f>
        <v/>
      </c>
      <c r="T481" s="57">
        <f>IF($A481="","",IFERROR(INDEX(Offerte!$G$2:$G$81,MATCH($Q481,Offerte!$L$2:$L$81,0)),"NO"))</f>
        <v/>
      </c>
    </row>
    <row r="482">
      <c r="A482" s="48">
        <f>IF(Offerte!$A17="","",Offerte!$A17)</f>
        <v/>
      </c>
      <c r="B482" s="48">
        <f>IF(Offerte!$A17="","",Offerte!$B17)</f>
        <v/>
      </c>
      <c r="C482" s="48">
        <f>IF(Offerte!$A17="","",Offerte!$C17)</f>
        <v/>
      </c>
      <c r="D482" s="48" t="inlineStr">
        <is>
          <t>C.2.4</t>
        </is>
      </c>
      <c r="E482" s="48" t="inlineStr">
        <is>
          <t>C</t>
        </is>
      </c>
      <c r="F482" s="48" t="inlineStr">
        <is>
          <t>Q</t>
        </is>
      </c>
      <c r="G482" s="48" t="inlineStr">
        <is>
          <t>higher</t>
        </is>
      </c>
      <c r="H482" s="48" t="n">
        <v>1</v>
      </c>
      <c r="I482" s="48" t="inlineStr">
        <is>
          <t>Tasso di copertura del servizio con dispositivi per la chiamata di emergenza del conducente</t>
        </is>
      </c>
      <c r="J482" s="73" t="n"/>
      <c r="K482" s="73" t="n"/>
      <c r="L482" s="73" t="n"/>
      <c r="M482" s="73" t="n"/>
      <c r="N482" s="57">
        <f>IF($A482="","",IFERROR(VALUE($K482)/VALUE($L482),IFERROR(VALUE($J482),0)))</f>
        <v/>
      </c>
      <c r="O482" s="57">
        <f>IF($A482="",0,IF(OR($S482&lt;&gt;1,COUNTA($J482:$M482)=0),0,IF(SUMPRODUCT(MAX(($C$5:$C$2484=$C482)*($D$5:$D$2484=$D482)*($S$5:$S$2484=1)*IFERROR($N$5:$N$2484*1,0)))&gt;0,ROUND($H482*($N482/SUMPRODUCT(MAX(($C$5:$C$2484=$C482)*($D$5:$D$2484=$D482)*($S$5:$S$2484=1)*IFERROR($N$5:$N$2484*1,0)))),4),0)))</f>
        <v/>
      </c>
      <c r="P482" s="48" t="inlineStr">
        <is>
          <t>Autobus attrezzati con chiamata di emergenza / Autobus totali in offerta, incluse scorte</t>
        </is>
      </c>
      <c r="Q482" s="57">
        <f>IF($A482="","",$A482&amp;"|"&amp;$C482)</f>
        <v/>
      </c>
      <c r="R482" s="57">
        <f>IF($A482="","",$A482&amp;"|"&amp;$C482&amp;"|"&amp;$D482)</f>
        <v/>
      </c>
      <c r="S482" s="57">
        <f>IF($A482="","",IFERROR(INDEX(Offerte!$D$2:$D$81,MATCH($Q482,Offerte!$L$2:$L$81,0)),0))</f>
        <v/>
      </c>
      <c r="T482" s="57">
        <f>IF($A482="","",IFERROR(INDEX(Offerte!$G$2:$G$81,MATCH($Q482,Offerte!$L$2:$L$81,0)),"NO"))</f>
        <v/>
      </c>
    </row>
    <row r="483">
      <c r="A483" s="48">
        <f>IF(Offerte!$A17="","",Offerte!$A17)</f>
        <v/>
      </c>
      <c r="B483" s="48">
        <f>IF(Offerte!$A17="","",Offerte!$B17)</f>
        <v/>
      </c>
      <c r="C483" s="48">
        <f>IF(Offerte!$A17="","",Offerte!$C17)</f>
        <v/>
      </c>
      <c r="D483" s="48" t="inlineStr">
        <is>
          <t>C.3.1</t>
        </is>
      </c>
      <c r="E483" s="48" t="inlineStr">
        <is>
          <t>C</t>
        </is>
      </c>
      <c r="F483" s="48" t="inlineStr">
        <is>
          <t>Q</t>
        </is>
      </c>
      <c r="G483" s="48" t="inlineStr">
        <is>
          <t>higher</t>
        </is>
      </c>
      <c r="H483" s="48" t="n">
        <v>2</v>
      </c>
      <c r="I483" s="48" t="inlineStr">
        <is>
          <t>Tasso di copertura del servizio con dispositivi di informazione dinamica a bordo mezzo</t>
        </is>
      </c>
      <c r="J483" s="73" t="n"/>
      <c r="K483" s="73" t="n"/>
      <c r="L483" s="73" t="n"/>
      <c r="M483" s="73" t="n"/>
      <c r="N483" s="57">
        <f>IF($A483="","",IFERROR(VALUE($K483)/VALUE($L483),IFERROR(VALUE($J483),0)))</f>
        <v/>
      </c>
      <c r="O483" s="57">
        <f>IF($A483="",0,IF(OR($S483&lt;&gt;1,COUNTA($J483:$M483)=0),0,IF(SUMPRODUCT(MAX(($C$5:$C$2484=$C483)*($D$5:$D$2484=$D483)*($S$5:$S$2484=1)*IFERROR($N$5:$N$2484*1,0)))&gt;0,ROUND($H483*($N483/SUMPRODUCT(MAX(($C$5:$C$2484=$C483)*($D$5:$D$2484=$D483)*($S$5:$S$2484=1)*IFERROR($N$5:$N$2484*1,0)))),4),0)))</f>
        <v/>
      </c>
      <c r="P483" s="48" t="inlineStr">
        <is>
          <t>Autobus con monitor e indicatori vocali / Autobus totali in offerta, incluse scorte</t>
        </is>
      </c>
      <c r="Q483" s="57">
        <f>IF($A483="","",$A483&amp;"|"&amp;$C483)</f>
        <v/>
      </c>
      <c r="R483" s="57">
        <f>IF($A483="","",$A483&amp;"|"&amp;$C483&amp;"|"&amp;$D483)</f>
        <v/>
      </c>
      <c r="S483" s="57">
        <f>IF($A483="","",IFERROR(INDEX(Offerte!$D$2:$D$81,MATCH($Q483,Offerte!$L$2:$L$81,0)),0))</f>
        <v/>
      </c>
      <c r="T483" s="57">
        <f>IF($A483="","",IFERROR(INDEX(Offerte!$G$2:$G$81,MATCH($Q483,Offerte!$L$2:$L$81,0)),"NO"))</f>
        <v/>
      </c>
    </row>
    <row r="484">
      <c r="A484" s="48">
        <f>IF(Offerte!$A17="","",Offerte!$A17)</f>
        <v/>
      </c>
      <c r="B484" s="48">
        <f>IF(Offerte!$A17="","",Offerte!$B17)</f>
        <v/>
      </c>
      <c r="C484" s="48">
        <f>IF(Offerte!$A17="","",Offerte!$C17)</f>
        <v/>
      </c>
      <c r="D484" s="48" t="inlineStr">
        <is>
          <t>C.3.2</t>
        </is>
      </c>
      <c r="E484" s="48" t="inlineStr">
        <is>
          <t>C</t>
        </is>
      </c>
      <c r="F484" s="48" t="inlineStr">
        <is>
          <t>T</t>
        </is>
      </c>
      <c r="G484" s="48" t="inlineStr">
        <is>
          <t>tabular</t>
        </is>
      </c>
      <c r="H484" s="48" t="n">
        <v>2</v>
      </c>
      <c r="I484" s="48" t="inlineStr">
        <is>
          <t>Informazioni a bordo su coincidenze ai nodi</t>
        </is>
      </c>
      <c r="J484" s="73" t="n"/>
      <c r="K484" s="73" t="n"/>
      <c r="L484" s="73" t="n"/>
      <c r="M484" s="73" t="n"/>
      <c r="N484" s="57">
        <f>IF($A484="","",IF(IFERROR(VALUE($M484),0)=1,1,0))</f>
        <v/>
      </c>
      <c r="O484" s="57">
        <f>IF($A484="",0,IF(OR($S484&lt;&gt;1,COUNTA($J484:$M484)=0),0,IF(AND($N484=1,IFERROR(SUMIFS($N$5:$N$2484,$Q$5:$Q$2484,$Q484,$D$5:$D$2484,"C.3.1"),0)&gt;=0.5),$H484,0)))</f>
        <v/>
      </c>
      <c r="P484" s="48" t="inlineStr">
        <is>
          <t>Dipende da C.3.1 &gt;= 0.5</t>
        </is>
      </c>
      <c r="Q484" s="57">
        <f>IF($A484="","",$A484&amp;"|"&amp;$C484)</f>
        <v/>
      </c>
      <c r="R484" s="57">
        <f>IF($A484="","",$A484&amp;"|"&amp;$C484&amp;"|"&amp;$D484)</f>
        <v/>
      </c>
      <c r="S484" s="57">
        <f>IF($A484="","",IFERROR(INDEX(Offerte!$D$2:$D$81,MATCH($Q484,Offerte!$L$2:$L$81,0)),0))</f>
        <v/>
      </c>
      <c r="T484" s="57">
        <f>IF($A484="","",IFERROR(INDEX(Offerte!$G$2:$G$81,MATCH($Q484,Offerte!$L$2:$L$81,0)),"NO"))</f>
        <v/>
      </c>
    </row>
    <row r="485">
      <c r="A485" s="48">
        <f>IF(Offerte!$A17="","",Offerte!$A17)</f>
        <v/>
      </c>
      <c r="B485" s="48">
        <f>IF(Offerte!$A17="","",Offerte!$B17)</f>
        <v/>
      </c>
      <c r="C485" s="48">
        <f>IF(Offerte!$A17="","",Offerte!$C17)</f>
        <v/>
      </c>
      <c r="D485" s="48" t="inlineStr">
        <is>
          <t>D.1.1</t>
        </is>
      </c>
      <c r="E485" s="48" t="inlineStr">
        <is>
          <t>D</t>
        </is>
      </c>
      <c r="F485" s="48" t="inlineStr">
        <is>
          <t>Q</t>
        </is>
      </c>
      <c r="G485" s="48" t="inlineStr">
        <is>
          <t>higher</t>
        </is>
      </c>
      <c r="H485" s="48" t="n">
        <v>3</v>
      </c>
      <c r="I485" s="48" t="inlineStr">
        <is>
          <t>Installazione di pensiline</t>
        </is>
      </c>
      <c r="J485" s="73" t="n"/>
      <c r="K485" s="73" t="n"/>
      <c r="L485" s="73" t="n"/>
      <c r="M485" s="73" t="n"/>
      <c r="N485" s="57">
        <f>IF($A485="","",IFERROR(VALUE($J485),0))</f>
        <v/>
      </c>
      <c r="O485" s="57">
        <f>IF($A485="",0,IF(OR($S485&lt;&gt;1,COUNTA($J485:$M485)=0),0,IF(SUMPRODUCT(MAX(($C$5:$C$2484=$C485)*($D$5:$D$2484=$D485)*($S$5:$S$2484=1)*IFERROR($N$5:$N$2484*1,0)))&gt;0,ROUND($H485*($N485/SUMPRODUCT(MAX(($C$5:$C$2484=$C485)*($D$5:$D$2484=$D485)*($S$5:$S$2484=1)*IFERROR($N$5:$N$2484*1,0)))),4),0)))</f>
        <v/>
      </c>
      <c r="P485" s="48" t="inlineStr">
        <is>
          <t>fermate</t>
        </is>
      </c>
      <c r="Q485" s="57">
        <f>IF($A485="","",$A485&amp;"|"&amp;$C485)</f>
        <v/>
      </c>
      <c r="R485" s="57">
        <f>IF($A485="","",$A485&amp;"|"&amp;$C485&amp;"|"&amp;$D485)</f>
        <v/>
      </c>
      <c r="S485" s="57">
        <f>IF($A485="","",IFERROR(INDEX(Offerte!$D$2:$D$81,MATCH($Q485,Offerte!$L$2:$L$81,0)),0))</f>
        <v/>
      </c>
      <c r="T485" s="57">
        <f>IF($A485="","",IFERROR(INDEX(Offerte!$G$2:$G$81,MATCH($Q485,Offerte!$L$2:$L$81,0)),"NO"))</f>
        <v/>
      </c>
    </row>
    <row r="486">
      <c r="A486" s="48">
        <f>IF(Offerte!$A17="","",Offerte!$A17)</f>
        <v/>
      </c>
      <c r="B486" s="48">
        <f>IF(Offerte!$A17="","",Offerte!$B17)</f>
        <v/>
      </c>
      <c r="C486" s="48">
        <f>IF(Offerte!$A17="","",Offerte!$C17)</f>
        <v/>
      </c>
      <c r="D486" s="48" t="inlineStr">
        <is>
          <t>D.1.2</t>
        </is>
      </c>
      <c r="E486" s="48" t="inlineStr">
        <is>
          <t>D</t>
        </is>
      </c>
      <c r="F486" s="48" t="inlineStr">
        <is>
          <t>Q</t>
        </is>
      </c>
      <c r="G486" s="48" t="inlineStr">
        <is>
          <t>higher</t>
        </is>
      </c>
      <c r="H486" s="48" t="n">
        <v>3</v>
      </c>
      <c r="I486" s="48" t="inlineStr">
        <is>
          <t>Installazione di paline di fermata conformi alla DGR 581/2023</t>
        </is>
      </c>
      <c r="J486" s="73" t="n"/>
      <c r="K486" s="73" t="n"/>
      <c r="L486" s="73" t="n"/>
      <c r="M486" s="73" t="n"/>
      <c r="N486" s="57">
        <f>IF($A486="","",IFERROR(VALUE($J486),0))</f>
        <v/>
      </c>
      <c r="O486" s="57">
        <f>IF($A486="",0,IF(OR($S486&lt;&gt;1,COUNTA($J486:$M486)=0),0,IF(SUMPRODUCT(MAX(($C$5:$C$2484=$C486)*($D$5:$D$2484=$D486)*($S$5:$S$2484=1)*IFERROR($N$5:$N$2484*1,0)))&gt;0,ROUND($H486*($N486/SUMPRODUCT(MAX(($C$5:$C$2484=$C486)*($D$5:$D$2484=$D486)*($S$5:$S$2484=1)*IFERROR($N$5:$N$2484*1,0)))),4),0)))</f>
        <v/>
      </c>
      <c r="P486" s="48" t="inlineStr">
        <is>
          <t>fermate</t>
        </is>
      </c>
      <c r="Q486" s="57">
        <f>IF($A486="","",$A486&amp;"|"&amp;$C486)</f>
        <v/>
      </c>
      <c r="R486" s="57">
        <f>IF($A486="","",$A486&amp;"|"&amp;$C486&amp;"|"&amp;$D486)</f>
        <v/>
      </c>
      <c r="S486" s="57">
        <f>IF($A486="","",IFERROR(INDEX(Offerte!$D$2:$D$81,MATCH($Q486,Offerte!$L$2:$L$81,0)),0))</f>
        <v/>
      </c>
      <c r="T486" s="57">
        <f>IF($A486="","",IFERROR(INDEX(Offerte!$G$2:$G$81,MATCH($Q486,Offerte!$L$2:$L$81,0)),"NO"))</f>
        <v/>
      </c>
    </row>
    <row r="487">
      <c r="A487" s="48">
        <f>IF(Offerte!$A17="","",Offerte!$A17)</f>
        <v/>
      </c>
      <c r="B487" s="48">
        <f>IF(Offerte!$A17="","",Offerte!$B17)</f>
        <v/>
      </c>
      <c r="C487" s="48">
        <f>IF(Offerte!$A17="","",Offerte!$C17)</f>
        <v/>
      </c>
      <c r="D487" s="48" t="inlineStr">
        <is>
          <t>D.1.3</t>
        </is>
      </c>
      <c r="E487" s="48" t="inlineStr">
        <is>
          <t>D</t>
        </is>
      </c>
      <c r="F487" s="48" t="inlineStr">
        <is>
          <t>Q</t>
        </is>
      </c>
      <c r="G487" s="48" t="inlineStr">
        <is>
          <t>higher</t>
        </is>
      </c>
      <c r="H487" s="48" t="n">
        <v>2</v>
      </c>
      <c r="I487" s="48" t="inlineStr">
        <is>
          <t>Display informativi connessi alle fermate</t>
        </is>
      </c>
      <c r="J487" s="73" t="n"/>
      <c r="K487" s="73" t="n"/>
      <c r="L487" s="73" t="n"/>
      <c r="M487" s="73" t="n"/>
      <c r="N487" s="57">
        <f>IF($A487="","",IFERROR(VALUE($J487),0))</f>
        <v/>
      </c>
      <c r="O487" s="57">
        <f>IF($A487="",0,IF(OR($S487&lt;&gt;1,COUNTA($J487:$M487)=0),0,IF(SUMPRODUCT(MAX(($C$5:$C$2484=$C487)*($D$5:$D$2484=$D487)*($S$5:$S$2484=1)*IFERROR($N$5:$N$2484*1,0)))&gt;0,ROUND($H487*($N487/SUMPRODUCT(MAX(($C$5:$C$2484=$C487)*($D$5:$D$2484=$D487)*($S$5:$S$2484=1)*IFERROR($N$5:$N$2484*1,0)))),4),0)))</f>
        <v/>
      </c>
      <c r="P487" s="48" t="inlineStr">
        <is>
          <t>fermate</t>
        </is>
      </c>
      <c r="Q487" s="57">
        <f>IF($A487="","",$A487&amp;"|"&amp;$C487)</f>
        <v/>
      </c>
      <c r="R487" s="57">
        <f>IF($A487="","",$A487&amp;"|"&amp;$C487&amp;"|"&amp;$D487)</f>
        <v/>
      </c>
      <c r="S487" s="57">
        <f>IF($A487="","",IFERROR(INDEX(Offerte!$D$2:$D$81,MATCH($Q487,Offerte!$L$2:$L$81,0)),0))</f>
        <v/>
      </c>
      <c r="T487" s="57">
        <f>IF($A487="","",IFERROR(INDEX(Offerte!$G$2:$G$81,MATCH($Q487,Offerte!$L$2:$L$81,0)),"NO"))</f>
        <v/>
      </c>
    </row>
    <row r="488">
      <c r="A488" s="48">
        <f>IF(Offerte!$A17="","",Offerte!$A17)</f>
        <v/>
      </c>
      <c r="B488" s="48">
        <f>IF(Offerte!$A17="","",Offerte!$B17)</f>
        <v/>
      </c>
      <c r="C488" s="48">
        <f>IF(Offerte!$A17="","",Offerte!$C17)</f>
        <v/>
      </c>
      <c r="D488" s="48" t="inlineStr">
        <is>
          <t>D.2.1</t>
        </is>
      </c>
      <c r="E488" s="48" t="inlineStr">
        <is>
          <t>D</t>
        </is>
      </c>
      <c r="F488" s="48" t="inlineStr">
        <is>
          <t>Q</t>
        </is>
      </c>
      <c r="G488" s="48" t="inlineStr">
        <is>
          <t>higher</t>
        </is>
      </c>
      <c r="H488" s="48" t="n">
        <v>2</v>
      </c>
      <c r="I488" s="48" t="inlineStr">
        <is>
          <t>Segnali tattili Loges-Vet-Evolution</t>
        </is>
      </c>
      <c r="J488" s="73" t="n"/>
      <c r="K488" s="73" t="n"/>
      <c r="L488" s="73" t="n"/>
      <c r="M488" s="73" t="n"/>
      <c r="N488" s="57">
        <f>IF($A488="","",IFERROR(VALUE($J488),0))</f>
        <v/>
      </c>
      <c r="O488" s="57">
        <f>IF($A488="",0,IF(OR($S488&lt;&gt;1,COUNTA($J488:$M488)=0),0,IF(SUMPRODUCT(MAX(($C$5:$C$2484=$C488)*($D$5:$D$2484=$D488)*($S$5:$S$2484=1)*IFERROR($N$5:$N$2484*1,0)))&gt;0,ROUND($H488*($N488/SUMPRODUCT(MAX(($C$5:$C$2484=$C488)*($D$5:$D$2484=$D488)*($S$5:$S$2484=1)*IFERROR($N$5:$N$2484*1,0)))),4),0)))</f>
        <v/>
      </c>
      <c r="P488" s="48" t="inlineStr">
        <is>
          <t>fermate</t>
        </is>
      </c>
      <c r="Q488" s="57">
        <f>IF($A488="","",$A488&amp;"|"&amp;$C488)</f>
        <v/>
      </c>
      <c r="R488" s="57">
        <f>IF($A488="","",$A488&amp;"|"&amp;$C488&amp;"|"&amp;$D488)</f>
        <v/>
      </c>
      <c r="S488" s="57">
        <f>IF($A488="","",IFERROR(INDEX(Offerte!$D$2:$D$81,MATCH($Q488,Offerte!$L$2:$L$81,0)),0))</f>
        <v/>
      </c>
      <c r="T488" s="57">
        <f>IF($A488="","",IFERROR(INDEX(Offerte!$G$2:$G$81,MATCH($Q488,Offerte!$L$2:$L$81,0)),"NO"))</f>
        <v/>
      </c>
    </row>
    <row r="489">
      <c r="A489" s="48">
        <f>IF(Offerte!$A17="","",Offerte!$A17)</f>
        <v/>
      </c>
      <c r="B489" s="48">
        <f>IF(Offerte!$A17="","",Offerte!$B17)</f>
        <v/>
      </c>
      <c r="C489" s="48">
        <f>IF(Offerte!$A17="","",Offerte!$C17)</f>
        <v/>
      </c>
      <c r="D489" s="48" t="inlineStr">
        <is>
          <t>E.1.1</t>
        </is>
      </c>
      <c r="E489" s="48" t="inlineStr">
        <is>
          <t>E</t>
        </is>
      </c>
      <c r="F489" s="48" t="inlineStr">
        <is>
          <t>T</t>
        </is>
      </c>
      <c r="G489" s="48" t="inlineStr">
        <is>
          <t>tabular</t>
        </is>
      </c>
      <c r="H489" s="48" t="n">
        <v>2</v>
      </c>
      <c r="I489" s="48" t="inlineStr">
        <is>
          <t>Mobile app con travel planner PRM</t>
        </is>
      </c>
      <c r="J489" s="73" t="n"/>
      <c r="K489" s="73" t="n"/>
      <c r="L489" s="73" t="n"/>
      <c r="M489" s="73" t="n"/>
      <c r="N489" s="57">
        <f>IF($A489="","",IF(IFERROR(VALUE($M489),0)=1,1,0))</f>
        <v/>
      </c>
      <c r="O489" s="57">
        <f>IF($A489="",0,IF(OR($S489&lt;&gt;1,COUNTA($J489:$M489)=0),0,IF($N489=1,$H489,0)))</f>
        <v/>
      </c>
      <c r="P489" s="48" t="inlineStr">
        <is>
          <t>sì/no</t>
        </is>
      </c>
      <c r="Q489" s="57">
        <f>IF($A489="","",$A489&amp;"|"&amp;$C489)</f>
        <v/>
      </c>
      <c r="R489" s="57">
        <f>IF($A489="","",$A489&amp;"|"&amp;$C489&amp;"|"&amp;$D489)</f>
        <v/>
      </c>
      <c r="S489" s="57">
        <f>IF($A489="","",IFERROR(INDEX(Offerte!$D$2:$D$81,MATCH($Q489,Offerte!$L$2:$L$81,0)),0))</f>
        <v/>
      </c>
      <c r="T489" s="57">
        <f>IF($A489="","",IFERROR(INDEX(Offerte!$G$2:$G$81,MATCH($Q489,Offerte!$L$2:$L$81,0)),"NO"))</f>
        <v/>
      </c>
    </row>
    <row r="490">
      <c r="A490" s="48">
        <f>IF(Offerte!$A17="","",Offerte!$A17)</f>
        <v/>
      </c>
      <c r="B490" s="48">
        <f>IF(Offerte!$A17="","",Offerte!$B17)</f>
        <v/>
      </c>
      <c r="C490" s="48">
        <f>IF(Offerte!$A17="","",Offerte!$C17)</f>
        <v/>
      </c>
      <c r="D490" s="48" t="inlineStr">
        <is>
          <t>E.2.1</t>
        </is>
      </c>
      <c r="E490" s="48" t="inlineStr">
        <is>
          <t>E</t>
        </is>
      </c>
      <c r="F490" s="48" t="inlineStr">
        <is>
          <t>D</t>
        </is>
      </c>
      <c r="G490" s="48" t="inlineStr">
        <is>
          <t>discretionary</t>
        </is>
      </c>
      <c r="H490" s="48" t="n">
        <v>2</v>
      </c>
      <c r="I490" s="48" t="inlineStr">
        <is>
          <t>Altre azioni informative e rapporti con gli utenti</t>
        </is>
      </c>
      <c r="J490" s="73" t="n"/>
      <c r="K490" s="73" t="n"/>
      <c r="L490" s="73" t="n"/>
      <c r="M490" s="73" t="n"/>
      <c r="N490" s="57">
        <f>IF($A490="","",MAX(0,MIN(1,IFERROR(VALUE($M490),0))))</f>
        <v/>
      </c>
      <c r="O490" s="57">
        <f>IF($A490="",0,IF(OR($S490&lt;&gt;1,COUNTA($J490:$M490)=0),0,IF(SUMPRODUCT(MAX(($C$5:$C$2484=$C490)*($D$5:$D$2484=$D490)*($S$5:$S$2484=1)*IFERROR($N$5:$N$2484*1,0)))&gt;0,ROUND($H490*($N490/SUMPRODUCT(MAX(($C$5:$C$2484=$C490)*($D$5:$D$2484=$D490)*($S$5:$S$2484=1)*IFERROR($N$5:$N$2484*1,0)))),4),0)))</f>
        <v/>
      </c>
      <c r="P490" s="48" t="inlineStr">
        <is>
          <t>coeff.</t>
        </is>
      </c>
      <c r="Q490" s="57">
        <f>IF($A490="","",$A490&amp;"|"&amp;$C490)</f>
        <v/>
      </c>
      <c r="R490" s="57">
        <f>IF($A490="","",$A490&amp;"|"&amp;$C490&amp;"|"&amp;$D490)</f>
        <v/>
      </c>
      <c r="S490" s="57">
        <f>IF($A490="","",IFERROR(INDEX(Offerte!$D$2:$D$81,MATCH($Q490,Offerte!$L$2:$L$81,0)),0))</f>
        <v/>
      </c>
      <c r="T490" s="57">
        <f>IF($A490="","",IFERROR(INDEX(Offerte!$G$2:$G$81,MATCH($Q490,Offerte!$L$2:$L$81,0)),"NO"))</f>
        <v/>
      </c>
    </row>
    <row r="491">
      <c r="A491" s="48">
        <f>IF(Offerte!$A17="","",Offerte!$A17)</f>
        <v/>
      </c>
      <c r="B491" s="48">
        <f>IF(Offerte!$A17="","",Offerte!$B17)</f>
        <v/>
      </c>
      <c r="C491" s="48">
        <f>IF(Offerte!$A17="","",Offerte!$C17)</f>
        <v/>
      </c>
      <c r="D491" s="48" t="inlineStr">
        <is>
          <t>F.1.1</t>
        </is>
      </c>
      <c r="E491" s="48" t="inlineStr">
        <is>
          <t>F</t>
        </is>
      </c>
      <c r="F491" s="48" t="inlineStr">
        <is>
          <t>Q</t>
        </is>
      </c>
      <c r="G491" s="48" t="inlineStr">
        <is>
          <t>lower</t>
        </is>
      </c>
      <c r="H491" s="48" t="n">
        <v>7</v>
      </c>
      <c r="I491" s="48" t="inlineStr">
        <is>
          <t>Performance ambientali del parco mezzi adibito al servizio - I_CEA</t>
        </is>
      </c>
      <c r="J491" s="73" t="n"/>
      <c r="K491" s="73" t="n"/>
      <c r="L491" s="73" t="n"/>
      <c r="M491" s="73" t="n"/>
      <c r="N491" s="57">
        <f>IF($A491="","",IFERROR(VALUE($J491),0))</f>
        <v/>
      </c>
      <c r="O491" s="57">
        <f>IF($A491="",0,IF(OR($S491&lt;&gt;1,COUNTA($J491:$M491)=0),0,IF(AND(IFERROR(AGGREGATE(15,6,$N$5:$N$2484/(($C$5:$C$2484=$C491)*($D$5:$D$2484=$D491)*($S$5:$S$2484=1)*($N$5:$N$2484&gt;0)),1),0)&gt;0,$N491&gt;0),ROUND($H491*(IFERROR(AGGREGATE(15,6,$N$5:$N$2484/(($C$5:$C$2484=$C491)*($D$5:$D$2484=$D491)*($S$5:$S$2484=1)*($N$5:$N$2484&gt;0)),1),0)/$N491),4),0)))</f>
        <v/>
      </c>
      <c r="P491" s="48" t="inlineStr">
        <is>
          <t>indice</t>
        </is>
      </c>
      <c r="Q491" s="57">
        <f>IF($A491="","",$A491&amp;"|"&amp;$C491)</f>
        <v/>
      </c>
      <c r="R491" s="57">
        <f>IF($A491="","",$A491&amp;"|"&amp;$C491&amp;"|"&amp;$D491)</f>
        <v/>
      </c>
      <c r="S491" s="57">
        <f>IF($A491="","",IFERROR(INDEX(Offerte!$D$2:$D$81,MATCH($Q491,Offerte!$L$2:$L$81,0)),0))</f>
        <v/>
      </c>
      <c r="T491" s="57">
        <f>IF($A491="","",IFERROR(INDEX(Offerte!$G$2:$G$81,MATCH($Q491,Offerte!$L$2:$L$81,0)),"NO"))</f>
        <v/>
      </c>
    </row>
    <row r="492">
      <c r="A492" s="48">
        <f>IF(Offerte!$A17="","",Offerte!$A17)</f>
        <v/>
      </c>
      <c r="B492" s="48">
        <f>IF(Offerte!$A17="","",Offerte!$B17)</f>
        <v/>
      </c>
      <c r="C492" s="48">
        <f>IF(Offerte!$A17="","",Offerte!$C17)</f>
        <v/>
      </c>
      <c r="D492" s="48" t="inlineStr">
        <is>
          <t>F.2.1</t>
        </is>
      </c>
      <c r="E492" s="48" t="inlineStr">
        <is>
          <t>F</t>
        </is>
      </c>
      <c r="F492" s="48" t="inlineStr">
        <is>
          <t>Q</t>
        </is>
      </c>
      <c r="G492" s="48" t="inlineStr">
        <is>
          <t>higher</t>
        </is>
      </c>
      <c r="H492" s="48" t="n">
        <v>2</v>
      </c>
      <c r="I492" s="48" t="inlineStr">
        <is>
          <t>Tasso di copertura del servizio con dispositivi ECO-DRIVER</t>
        </is>
      </c>
      <c r="J492" s="73" t="n"/>
      <c r="K492" s="73" t="n"/>
      <c r="L492" s="73" t="n"/>
      <c r="M492" s="73" t="n"/>
      <c r="N492" s="57">
        <f>IF($A492="","",IFERROR(VALUE($K492)/VALUE($L492),IFERROR(VALUE($J492),0)))</f>
        <v/>
      </c>
      <c r="O492" s="57">
        <f>IF($A492="",0,IF(OR($S492&lt;&gt;1,COUNTA($J492:$M492)=0),0,IF(SUMPRODUCT(MAX(($C$5:$C$2484=$C492)*($D$5:$D$2484=$D492)*($S$5:$S$2484=1)*IFERROR($N$5:$N$2484*1,0)))&gt;0,ROUND($H492*($N492/SUMPRODUCT(MAX(($C$5:$C$2484=$C492)*($D$5:$D$2484=$D492)*($S$5:$S$2484=1)*IFERROR($N$5:$N$2484*1,0)))),4),0)))</f>
        <v/>
      </c>
      <c r="P492" s="48" t="inlineStr">
        <is>
          <t>Autobus attrezzati con dispositivi ECO-DRIVER / Autobus totali in offerta, incluse scorte</t>
        </is>
      </c>
      <c r="Q492" s="57">
        <f>IF($A492="","",$A492&amp;"|"&amp;$C492)</f>
        <v/>
      </c>
      <c r="R492" s="57">
        <f>IF($A492="","",$A492&amp;"|"&amp;$C492&amp;"|"&amp;$D492)</f>
        <v/>
      </c>
      <c r="S492" s="57">
        <f>IF($A492="","",IFERROR(INDEX(Offerte!$D$2:$D$81,MATCH($Q492,Offerte!$L$2:$L$81,0)),0))</f>
        <v/>
      </c>
      <c r="T492" s="57">
        <f>IF($A492="","",IFERROR(INDEX(Offerte!$G$2:$G$81,MATCH($Q492,Offerte!$L$2:$L$81,0)),"NO"))</f>
        <v/>
      </c>
    </row>
    <row r="493">
      <c r="A493" s="48">
        <f>IF(Offerte!$A17="","",Offerte!$A17)</f>
        <v/>
      </c>
      <c r="B493" s="48">
        <f>IF(Offerte!$A17="","",Offerte!$B17)</f>
        <v/>
      </c>
      <c r="C493" s="48">
        <f>IF(Offerte!$A17="","",Offerte!$C17)</f>
        <v/>
      </c>
      <c r="D493" s="48" t="inlineStr">
        <is>
          <t>F.3.1</t>
        </is>
      </c>
      <c r="E493" s="48" t="inlineStr">
        <is>
          <t>F</t>
        </is>
      </c>
      <c r="F493" s="48" t="inlineStr">
        <is>
          <t>Q</t>
        </is>
      </c>
      <c r="G493" s="48" t="inlineStr">
        <is>
          <t>higher</t>
        </is>
      </c>
      <c r="H493" s="48" t="n">
        <v>2</v>
      </c>
      <c r="I493" s="48" t="inlineStr">
        <is>
          <t>Autoproduzione consumi elettrici per trazione</t>
        </is>
      </c>
      <c r="J493" s="73" t="n"/>
      <c r="K493" s="73" t="n"/>
      <c r="L493" s="73" t="n"/>
      <c r="M493" s="73" t="n"/>
      <c r="N493" s="57">
        <f>IF($A493="","",IFERROR(VALUE($J493),0))</f>
        <v/>
      </c>
      <c r="O493" s="57">
        <f>IF($A493="",0,IF(OR($S493&lt;&gt;1,COUNTA($J493:$M493)=0),0,IF(SUMPRODUCT(MAX(($C$5:$C$2484=$C493)*($D$5:$D$2484=$D493)*($S$5:$S$2484=1)*IFERROR($N$5:$N$2484*1,0)))&gt;0,ROUND($H493*($N493/SUMPRODUCT(MAX(($C$5:$C$2484=$C493)*($D$5:$D$2484=$D493)*($S$5:$S$2484=1)*IFERROR($N$5:$N$2484*1,0)))),4),0)))</f>
        <v/>
      </c>
      <c r="P493" s="48" t="inlineStr">
        <is>
          <t>kWh/anno</t>
        </is>
      </c>
      <c r="Q493" s="57">
        <f>IF($A493="","",$A493&amp;"|"&amp;$C493)</f>
        <v/>
      </c>
      <c r="R493" s="57">
        <f>IF($A493="","",$A493&amp;"|"&amp;$C493&amp;"|"&amp;$D493)</f>
        <v/>
      </c>
      <c r="S493" s="57">
        <f>IF($A493="","",IFERROR(INDEX(Offerte!$D$2:$D$81,MATCH($Q493,Offerte!$L$2:$L$81,0)),0))</f>
        <v/>
      </c>
      <c r="T493" s="57">
        <f>IF($A493="","",IFERROR(INDEX(Offerte!$G$2:$G$81,MATCH($Q493,Offerte!$L$2:$L$81,0)),"NO"))</f>
        <v/>
      </c>
    </row>
    <row r="494">
      <c r="A494" s="48">
        <f>IF(Offerte!$A17="","",Offerte!$A17)</f>
        <v/>
      </c>
      <c r="B494" s="48">
        <f>IF(Offerte!$A17="","",Offerte!$B17)</f>
        <v/>
      </c>
      <c r="C494" s="48">
        <f>IF(Offerte!$A17="","",Offerte!$C17)</f>
        <v/>
      </c>
      <c r="D494" s="48" t="inlineStr">
        <is>
          <t>F.4.1</t>
        </is>
      </c>
      <c r="E494" s="48" t="inlineStr">
        <is>
          <t>F</t>
        </is>
      </c>
      <c r="F494" s="48" t="inlineStr">
        <is>
          <t>Q</t>
        </is>
      </c>
      <c r="G494" s="48" t="inlineStr">
        <is>
          <t>soil</t>
        </is>
      </c>
      <c r="H494" s="48" t="n">
        <v>2</v>
      </c>
      <c r="I494" s="48" t="inlineStr">
        <is>
          <t>Indice di consumo di suolo</t>
        </is>
      </c>
      <c r="J494" s="73" t="n"/>
      <c r="K494" s="73" t="n"/>
      <c r="L494" s="73" t="n"/>
      <c r="M494" s="73" t="n"/>
      <c r="N494" s="57">
        <f>IF($A494="","",IFERROR(VALUE($J494),0))</f>
        <v/>
      </c>
      <c r="O494" s="57">
        <f>IF($A494="",0,IF(OR($S494&lt;&gt;1,COUNTA($J494:$M494)=0),0,IF($N494&lt;=0,$H494,IF(SUMPRODUCT(MAX(($C$5:$C$2484=$C494)*($D$5:$D$2484=$D494)*($S$5:$S$2484=1)*IFERROR($N$5:$N$2484*1,0)))&gt;0,ROUND($H494*((SUMPRODUCT(MAX(($C$5:$C$2484=$C494)*($D$5:$D$2484=$D494)*($S$5:$S$2484=1)*IFERROR($N$5:$N$2484*1,0)))-$N494)/SUMPRODUCT(MAX(($C$5:$C$2484=$C494)*($D$5:$D$2484=$D494)*($S$5:$S$2484=1)*IFERROR($N$5:$N$2484*1,0)))),4),0))))</f>
        <v/>
      </c>
      <c r="P494" s="48" t="inlineStr">
        <is>
          <t>m2</t>
        </is>
      </c>
      <c r="Q494" s="57">
        <f>IF($A494="","",$A494&amp;"|"&amp;$C494)</f>
        <v/>
      </c>
      <c r="R494" s="57">
        <f>IF($A494="","",$A494&amp;"|"&amp;$C494&amp;"|"&amp;$D494)</f>
        <v/>
      </c>
      <c r="S494" s="57">
        <f>IF($A494="","",IFERROR(INDEX(Offerte!$D$2:$D$81,MATCH($Q494,Offerte!$L$2:$L$81,0)),0))</f>
        <v/>
      </c>
      <c r="T494" s="57">
        <f>IF($A494="","",IFERROR(INDEX(Offerte!$G$2:$G$81,MATCH($Q494,Offerte!$L$2:$L$81,0)),"NO"))</f>
        <v/>
      </c>
    </row>
    <row r="495">
      <c r="A495" s="48">
        <f>IF(Offerte!$A17="","",Offerte!$A17)</f>
        <v/>
      </c>
      <c r="B495" s="48">
        <f>IF(Offerte!$A17="","",Offerte!$B17)</f>
        <v/>
      </c>
      <c r="C495" s="48">
        <f>IF(Offerte!$A17="","",Offerte!$C17)</f>
        <v/>
      </c>
      <c r="D495" s="48" t="inlineStr">
        <is>
          <t>F.5.1</t>
        </is>
      </c>
      <c r="E495" s="48" t="inlineStr">
        <is>
          <t>F</t>
        </is>
      </c>
      <c r="F495" s="48" t="inlineStr">
        <is>
          <t>T</t>
        </is>
      </c>
      <c r="G495" s="48" t="inlineStr">
        <is>
          <t>tabular</t>
        </is>
      </c>
      <c r="H495" s="48" t="n">
        <v>1</v>
      </c>
      <c r="I495" s="48" t="inlineStr">
        <is>
          <t>Rendicontazione di sostenibilità ambientale</t>
        </is>
      </c>
      <c r="J495" s="73" t="n"/>
      <c r="K495" s="73" t="n"/>
      <c r="L495" s="73" t="n"/>
      <c r="M495" s="73" t="n"/>
      <c r="N495" s="57">
        <f>IF($A495="","",IF(IFERROR(VALUE($M495),0)=1,1,0))</f>
        <v/>
      </c>
      <c r="O495" s="57">
        <f>IF($A495="",0,IF(OR($S495&lt;&gt;1,COUNTA($J495:$M495)=0),0,IF($N495=1,$H495,0)))</f>
        <v/>
      </c>
      <c r="P495" s="48" t="inlineStr">
        <is>
          <t>sì/no</t>
        </is>
      </c>
      <c r="Q495" s="57">
        <f>IF($A495="","",$A495&amp;"|"&amp;$C495)</f>
        <v/>
      </c>
      <c r="R495" s="57">
        <f>IF($A495="","",$A495&amp;"|"&amp;$C495&amp;"|"&amp;$D495)</f>
        <v/>
      </c>
      <c r="S495" s="57">
        <f>IF($A495="","",IFERROR(INDEX(Offerte!$D$2:$D$81,MATCH($Q495,Offerte!$L$2:$L$81,0)),0))</f>
        <v/>
      </c>
      <c r="T495" s="57">
        <f>IF($A495="","",IFERROR(INDEX(Offerte!$G$2:$G$81,MATCH($Q495,Offerte!$L$2:$L$81,0)),"NO"))</f>
        <v/>
      </c>
    </row>
    <row r="496">
      <c r="A496" s="48">
        <f>IF(Offerte!$A17="","",Offerte!$A17)</f>
        <v/>
      </c>
      <c r="B496" s="48">
        <f>IF(Offerte!$A17="","",Offerte!$B17)</f>
        <v/>
      </c>
      <c r="C496" s="48">
        <f>IF(Offerte!$A17="","",Offerte!$C17)</f>
        <v/>
      </c>
      <c r="D496" s="48" t="inlineStr">
        <is>
          <t>G.1.1</t>
        </is>
      </c>
      <c r="E496" s="48" t="inlineStr">
        <is>
          <t>G</t>
        </is>
      </c>
      <c r="F496" s="48" t="inlineStr">
        <is>
          <t>D</t>
        </is>
      </c>
      <c r="G496" s="48" t="inlineStr">
        <is>
          <t>discretionary</t>
        </is>
      </c>
      <c r="H496" s="48" t="n">
        <v>2</v>
      </c>
      <c r="I496" s="48" t="inlineStr">
        <is>
          <t>Qualità del progetto di centrale di controllo aziendale</t>
        </is>
      </c>
      <c r="J496" s="73" t="n"/>
      <c r="K496" s="73" t="n"/>
      <c r="L496" s="73" t="n"/>
      <c r="M496" s="73" t="n"/>
      <c r="N496" s="57">
        <f>IF($A496="","",MAX(0,MIN(1,IFERROR(VALUE($M496),0))))</f>
        <v/>
      </c>
      <c r="O496" s="57">
        <f>IF($A496="",0,IF(OR($S496&lt;&gt;1,COUNTA($J496:$M496)=0),0,IF(SUMPRODUCT(MAX(($C$5:$C$2484=$C496)*($D$5:$D$2484=$D496)*($S$5:$S$2484=1)*IFERROR($N$5:$N$2484*1,0)))&gt;0,ROUND($H496*($N496/SUMPRODUCT(MAX(($C$5:$C$2484=$C496)*($D$5:$D$2484=$D496)*($S$5:$S$2484=1)*IFERROR($N$5:$N$2484*1,0)))),4),0)))</f>
        <v/>
      </c>
      <c r="P496" s="48" t="inlineStr">
        <is>
          <t>coeff.</t>
        </is>
      </c>
      <c r="Q496" s="57">
        <f>IF($A496="","",$A496&amp;"|"&amp;$C496)</f>
        <v/>
      </c>
      <c r="R496" s="57">
        <f>IF($A496="","",$A496&amp;"|"&amp;$C496&amp;"|"&amp;$D496)</f>
        <v/>
      </c>
      <c r="S496" s="57">
        <f>IF($A496="","",IFERROR(INDEX(Offerte!$D$2:$D$81,MATCH($Q496,Offerte!$L$2:$L$81,0)),0))</f>
        <v/>
      </c>
      <c r="T496" s="57">
        <f>IF($A496="","",IFERROR(INDEX(Offerte!$G$2:$G$81,MATCH($Q496,Offerte!$L$2:$L$81,0)),"NO"))</f>
        <v/>
      </c>
    </row>
    <row r="497">
      <c r="A497" s="48">
        <f>IF(Offerte!$A17="","",Offerte!$A17)</f>
        <v/>
      </c>
      <c r="B497" s="48">
        <f>IF(Offerte!$A17="","",Offerte!$B17)</f>
        <v/>
      </c>
      <c r="C497" s="48">
        <f>IF(Offerte!$A17="","",Offerte!$C17)</f>
        <v/>
      </c>
      <c r="D497" s="48" t="inlineStr">
        <is>
          <t>G.2.1</t>
        </is>
      </c>
      <c r="E497" s="48" t="inlineStr">
        <is>
          <t>G</t>
        </is>
      </c>
      <c r="F497" s="48" t="inlineStr">
        <is>
          <t>T</t>
        </is>
      </c>
      <c r="G497" s="48" t="inlineStr">
        <is>
          <t>tabular</t>
        </is>
      </c>
      <c r="H497" s="48" t="n">
        <v>1</v>
      </c>
      <c r="I497" s="48" t="inlineStr">
        <is>
          <t>Certificazione ISO 45001</t>
        </is>
      </c>
      <c r="J497" s="73" t="n"/>
      <c r="K497" s="73" t="n"/>
      <c r="L497" s="73" t="n"/>
      <c r="M497" s="73" t="n"/>
      <c r="N497" s="57">
        <f>IF($A497="","",IF(IFERROR(VALUE($M497),0)=1,1,0))</f>
        <v/>
      </c>
      <c r="O497" s="57">
        <f>IF($A497="",0,IF(OR($S497&lt;&gt;1,COUNTA($J497:$M497)=0),0,IF($N497=1,$H497,0)))</f>
        <v/>
      </c>
      <c r="P497" s="48" t="inlineStr">
        <is>
          <t>sì/no</t>
        </is>
      </c>
      <c r="Q497" s="57">
        <f>IF($A497="","",$A497&amp;"|"&amp;$C497)</f>
        <v/>
      </c>
      <c r="R497" s="57">
        <f>IF($A497="","",$A497&amp;"|"&amp;$C497&amp;"|"&amp;$D497)</f>
        <v/>
      </c>
      <c r="S497" s="57">
        <f>IF($A497="","",IFERROR(INDEX(Offerte!$D$2:$D$81,MATCH($Q497,Offerte!$L$2:$L$81,0)),0))</f>
        <v/>
      </c>
      <c r="T497" s="57">
        <f>IF($A497="","",IFERROR(INDEX(Offerte!$G$2:$G$81,MATCH($Q497,Offerte!$L$2:$L$81,0)),"NO"))</f>
        <v/>
      </c>
    </row>
    <row r="498">
      <c r="A498" s="48">
        <f>IF(Offerte!$A17="","",Offerte!$A17)</f>
        <v/>
      </c>
      <c r="B498" s="48">
        <f>IF(Offerte!$A17="","",Offerte!$B17)</f>
        <v/>
      </c>
      <c r="C498" s="48">
        <f>IF(Offerte!$A17="","",Offerte!$C17)</f>
        <v/>
      </c>
      <c r="D498" s="48" t="inlineStr">
        <is>
          <t>G.3.1</t>
        </is>
      </c>
      <c r="E498" s="48" t="inlineStr">
        <is>
          <t>G</t>
        </is>
      </c>
      <c r="F498" s="48" t="inlineStr">
        <is>
          <t>T</t>
        </is>
      </c>
      <c r="G498" s="48" t="inlineStr">
        <is>
          <t>tabular</t>
        </is>
      </c>
      <c r="H498" s="48" t="n">
        <v>1</v>
      </c>
      <c r="I498" s="48" t="inlineStr">
        <is>
          <t>Certificazioni di responsabilità sociale</t>
        </is>
      </c>
      <c r="J498" s="73" t="n"/>
      <c r="K498" s="73" t="n"/>
      <c r="L498" s="73" t="n"/>
      <c r="M498" s="73" t="n"/>
      <c r="N498" s="57">
        <f>IF($A498="","",IF(IFERROR(VALUE($M498),0)=1,1,0))</f>
        <v/>
      </c>
      <c r="O498" s="57">
        <f>IF($A498="",0,IF(OR($S498&lt;&gt;1,COUNTA($J498:$M498)=0),0,IF($N498=1,$H498,0)))</f>
        <v/>
      </c>
      <c r="P498" s="48" t="inlineStr">
        <is>
          <t>sì/no</t>
        </is>
      </c>
      <c r="Q498" s="57">
        <f>IF($A498="","",$A498&amp;"|"&amp;$C498)</f>
        <v/>
      </c>
      <c r="R498" s="57">
        <f>IF($A498="","",$A498&amp;"|"&amp;$C498&amp;"|"&amp;$D498)</f>
        <v/>
      </c>
      <c r="S498" s="57">
        <f>IF($A498="","",IFERROR(INDEX(Offerte!$D$2:$D$81,MATCH($Q498,Offerte!$L$2:$L$81,0)),0))</f>
        <v/>
      </c>
      <c r="T498" s="57">
        <f>IF($A498="","",IFERROR(INDEX(Offerte!$G$2:$G$81,MATCH($Q498,Offerte!$L$2:$L$81,0)),"NO"))</f>
        <v/>
      </c>
    </row>
    <row r="499">
      <c r="A499" s="48">
        <f>IF(Offerte!$A17="","",Offerte!$A17)</f>
        <v/>
      </c>
      <c r="B499" s="48">
        <f>IF(Offerte!$A17="","",Offerte!$B17)</f>
        <v/>
      </c>
      <c r="C499" s="48">
        <f>IF(Offerte!$A17="","",Offerte!$C17)</f>
        <v/>
      </c>
      <c r="D499" s="48" t="inlineStr">
        <is>
          <t>G.4.1</t>
        </is>
      </c>
      <c r="E499" s="48" t="inlineStr">
        <is>
          <t>G</t>
        </is>
      </c>
      <c r="F499" s="48" t="inlineStr">
        <is>
          <t>D</t>
        </is>
      </c>
      <c r="G499" s="48" t="inlineStr">
        <is>
          <t>discretionary</t>
        </is>
      </c>
      <c r="H499" s="48" t="n">
        <v>2</v>
      </c>
      <c r="I499" s="48" t="inlineStr">
        <is>
          <t>Qualità del piano di formazione del personale</t>
        </is>
      </c>
      <c r="J499" s="73" t="n"/>
      <c r="K499" s="73" t="n"/>
      <c r="L499" s="73" t="n"/>
      <c r="M499" s="73" t="n"/>
      <c r="N499" s="57">
        <f>IF($A499="","",MAX(0,MIN(1,IFERROR(VALUE($M499),0))))</f>
        <v/>
      </c>
      <c r="O499" s="57">
        <f>IF($A499="",0,IF(OR($S499&lt;&gt;1,COUNTA($J499:$M499)=0),0,IF(SUMPRODUCT(MAX(($C$5:$C$2484=$C499)*($D$5:$D$2484=$D499)*($S$5:$S$2484=1)*IFERROR($N$5:$N$2484*1,0)))&gt;0,ROUND($H499*($N499/SUMPRODUCT(MAX(($C$5:$C$2484=$C499)*($D$5:$D$2484=$D499)*($S$5:$S$2484=1)*IFERROR($N$5:$N$2484*1,0)))),4),0)))</f>
        <v/>
      </c>
      <c r="P499" s="48" t="inlineStr">
        <is>
          <t>coeff.</t>
        </is>
      </c>
      <c r="Q499" s="57">
        <f>IF($A499="","",$A499&amp;"|"&amp;$C499)</f>
        <v/>
      </c>
      <c r="R499" s="57">
        <f>IF($A499="","",$A499&amp;"|"&amp;$C499&amp;"|"&amp;$D499)</f>
        <v/>
      </c>
      <c r="S499" s="57">
        <f>IF($A499="","",IFERROR(INDEX(Offerte!$D$2:$D$81,MATCH($Q499,Offerte!$L$2:$L$81,0)),0))</f>
        <v/>
      </c>
      <c r="T499" s="57">
        <f>IF($A499="","",IFERROR(INDEX(Offerte!$G$2:$G$81,MATCH($Q499,Offerte!$L$2:$L$81,0)),"NO"))</f>
        <v/>
      </c>
    </row>
    <row r="500">
      <c r="A500" s="48">
        <f>IF(Offerte!$A17="","",Offerte!$A17)</f>
        <v/>
      </c>
      <c r="B500" s="48">
        <f>IF(Offerte!$A17="","",Offerte!$B17)</f>
        <v/>
      </c>
      <c r="C500" s="48">
        <f>IF(Offerte!$A17="","",Offerte!$C17)</f>
        <v/>
      </c>
      <c r="D500" s="48" t="inlineStr">
        <is>
          <t>G.5.1</t>
        </is>
      </c>
      <c r="E500" s="48" t="inlineStr">
        <is>
          <t>G</t>
        </is>
      </c>
      <c r="F500" s="48" t="inlineStr">
        <is>
          <t>T</t>
        </is>
      </c>
      <c r="G500" s="48" t="inlineStr">
        <is>
          <t>tabular</t>
        </is>
      </c>
      <c r="H500" s="48" t="n">
        <v>1</v>
      </c>
      <c r="I500" s="48" t="inlineStr">
        <is>
          <t>Impegno al mantenimento delle garanzie del contratto di secondo livello del gestore uscente</t>
        </is>
      </c>
      <c r="J500" s="73" t="n"/>
      <c r="K500" s="73" t="n"/>
      <c r="L500" s="73" t="n"/>
      <c r="M500" s="73" t="n"/>
      <c r="N500" s="57">
        <f>IF($A500="","",IF(IFERROR(VALUE($M500),0)=1,1,0))</f>
        <v/>
      </c>
      <c r="O500" s="57">
        <f>IF($A500="",0,IF(OR($S500&lt;&gt;1,COUNTA($J500:$M500)=0),0,IF($N500=1,$H500,0)))</f>
        <v/>
      </c>
      <c r="P500" s="48" t="inlineStr">
        <is>
          <t>sì/no</t>
        </is>
      </c>
      <c r="Q500" s="57">
        <f>IF($A500="","",$A500&amp;"|"&amp;$C500)</f>
        <v/>
      </c>
      <c r="R500" s="57">
        <f>IF($A500="","",$A500&amp;"|"&amp;$C500&amp;"|"&amp;$D500)</f>
        <v/>
      </c>
      <c r="S500" s="57">
        <f>IF($A500="","",IFERROR(INDEX(Offerte!$D$2:$D$81,MATCH($Q500,Offerte!$L$2:$L$81,0)),0))</f>
        <v/>
      </c>
      <c r="T500" s="57">
        <f>IF($A500="","",IFERROR(INDEX(Offerte!$G$2:$G$81,MATCH($Q500,Offerte!$L$2:$L$81,0)),"NO"))</f>
        <v/>
      </c>
    </row>
    <row r="501">
      <c r="A501" s="48">
        <f>IF(Offerte!$A18="","",Offerte!$A18)</f>
        <v/>
      </c>
      <c r="B501" s="48">
        <f>IF(Offerte!$A18="","",Offerte!$B18)</f>
        <v/>
      </c>
      <c r="C501" s="48">
        <f>IF(Offerte!$A18="","",Offerte!$C18)</f>
        <v/>
      </c>
      <c r="D501" s="48" t="inlineStr">
        <is>
          <t>A.1.1</t>
        </is>
      </c>
      <c r="E501" s="48" t="inlineStr">
        <is>
          <t>A</t>
        </is>
      </c>
      <c r="F501" s="48" t="inlineStr">
        <is>
          <t>Q</t>
        </is>
      </c>
      <c r="G501" s="48" t="inlineStr">
        <is>
          <t>higher</t>
        </is>
      </c>
      <c r="H501" s="48" t="n">
        <v>3</v>
      </c>
      <c r="I501" s="48" t="inlineStr">
        <is>
          <t>Tasso aggiuntivo di corse controllate</t>
        </is>
      </c>
      <c r="J501" s="73" t="n"/>
      <c r="K501" s="73" t="n"/>
      <c r="L501" s="73" t="n"/>
      <c r="M501" s="73" t="n"/>
      <c r="N501" s="57">
        <f>IF($A501="","",IFERROR(VALUE($K501)/VALUE($L501)*100,IFERROR(VALUE($J501),0)))</f>
        <v/>
      </c>
      <c r="O501" s="57">
        <f>IF($A501="",0,IF(OR($S501&lt;&gt;1,COUNTA($J501:$M501)=0),0,IF(SUMPRODUCT(MAX(($C$5:$C$2484=$C501)*($D$5:$D$2484=$D501)*($S$5:$S$2484=1)*IFERROR($N$5:$N$2484*1,0)))&gt;0,ROUND($H501*($N501/SUMPRODUCT(MAX(($C$5:$C$2484=$C501)*($D$5:$D$2484=$D501)*($S$5:$S$2484=1)*IFERROR($N$5:$N$2484*1,0)))),4),0)))</f>
        <v/>
      </c>
      <c r="P501" s="48" t="inlineStr">
        <is>
          <t>Corse controllate annue / Corse programmate annue</t>
        </is>
      </c>
      <c r="Q501" s="57">
        <f>IF($A501="","",$A501&amp;"|"&amp;$C501)</f>
        <v/>
      </c>
      <c r="R501" s="57">
        <f>IF($A501="","",$A501&amp;"|"&amp;$C501&amp;"|"&amp;$D501)</f>
        <v/>
      </c>
      <c r="S501" s="57">
        <f>IF($A501="","",IFERROR(INDEX(Offerte!$D$2:$D$81,MATCH($Q501,Offerte!$L$2:$L$81,0)),0))</f>
        <v/>
      </c>
      <c r="T501" s="57">
        <f>IF($A501="","",IFERROR(INDEX(Offerte!$G$2:$G$81,MATCH($Q501,Offerte!$L$2:$L$81,0)),"NO"))</f>
        <v/>
      </c>
    </row>
    <row r="502">
      <c r="A502" s="48">
        <f>IF(Offerte!$A18="","",Offerte!$A18)</f>
        <v/>
      </c>
      <c r="B502" s="48">
        <f>IF(Offerte!$A18="","",Offerte!$B18)</f>
        <v/>
      </c>
      <c r="C502" s="48">
        <f>IF(Offerte!$A18="","",Offerte!$C18)</f>
        <v/>
      </c>
      <c r="D502" s="48" t="inlineStr">
        <is>
          <t>A.1.2</t>
        </is>
      </c>
      <c r="E502" s="48" t="inlineStr">
        <is>
          <t>A</t>
        </is>
      </c>
      <c r="F502" s="48" t="inlineStr">
        <is>
          <t>Q</t>
        </is>
      </c>
      <c r="G502" s="48" t="inlineStr">
        <is>
          <t>higher</t>
        </is>
      </c>
      <c r="H502" s="48" t="n">
        <v>4</v>
      </c>
      <c r="I502" s="48" t="inlineStr">
        <is>
          <t>Numero aggiuntivo di passeggeri controllati</t>
        </is>
      </c>
      <c r="J502" s="73" t="n"/>
      <c r="K502" s="73" t="n"/>
      <c r="L502" s="73" t="n"/>
      <c r="M502" s="73" t="n"/>
      <c r="N502" s="57">
        <f>IF($A502="","",IFERROR(VALUE($J502),0))</f>
        <v/>
      </c>
      <c r="O502" s="57">
        <f>IF($A502="",0,IF(OR($S502&lt;&gt;1,COUNTA($J502:$M502)=0),0,IF(SUMPRODUCT(MAX(($C$5:$C$2484=$C502)*($D$5:$D$2484=$D502)*($S$5:$S$2484=1)*IFERROR($N$5:$N$2484*1,0)))&gt;0,ROUND($H502*($N502/SUMPRODUCT(MAX(($C$5:$C$2484=$C502)*($D$5:$D$2484=$D502)*($S$5:$S$2484=1)*IFERROR($N$5:$N$2484*1,0)))),4),0)))</f>
        <v/>
      </c>
      <c r="P502" s="48" t="inlineStr">
        <is>
          <t>passeggeri/anno</t>
        </is>
      </c>
      <c r="Q502" s="57">
        <f>IF($A502="","",$A502&amp;"|"&amp;$C502)</f>
        <v/>
      </c>
      <c r="R502" s="57">
        <f>IF($A502="","",$A502&amp;"|"&amp;$C502&amp;"|"&amp;$D502)</f>
        <v/>
      </c>
      <c r="S502" s="57">
        <f>IF($A502="","",IFERROR(INDEX(Offerte!$D$2:$D$81,MATCH($Q502,Offerte!$L$2:$L$81,0)),0))</f>
        <v/>
      </c>
      <c r="T502" s="57">
        <f>IF($A502="","",IFERROR(INDEX(Offerte!$G$2:$G$81,MATCH($Q502,Offerte!$L$2:$L$81,0)),"NO"))</f>
        <v/>
      </c>
    </row>
    <row r="503">
      <c r="A503" s="48">
        <f>IF(Offerte!$A18="","",Offerte!$A18)</f>
        <v/>
      </c>
      <c r="B503" s="48">
        <f>IF(Offerte!$A18="","",Offerte!$B18)</f>
        <v/>
      </c>
      <c r="C503" s="48">
        <f>IF(Offerte!$A18="","",Offerte!$C18)</f>
        <v/>
      </c>
      <c r="D503" s="48" t="inlineStr">
        <is>
          <t>B.1.1</t>
        </is>
      </c>
      <c r="E503" s="48" t="inlineStr">
        <is>
          <t>B</t>
        </is>
      </c>
      <c r="F503" s="48" t="inlineStr">
        <is>
          <t>Q</t>
        </is>
      </c>
      <c r="G503" s="48" t="inlineStr">
        <is>
          <t>higher</t>
        </is>
      </c>
      <c r="H503" s="48" t="n">
        <v>3</v>
      </c>
      <c r="I503" s="48" t="inlineStr">
        <is>
          <t>Incremento dei posti offerti nelle fasce di punta</t>
        </is>
      </c>
      <c r="J503" s="73" t="n"/>
      <c r="K503" s="73" t="n"/>
      <c r="L503" s="73" t="n"/>
      <c r="M503" s="73" t="n"/>
      <c r="N503" s="57">
        <f>IF($A503="","",IFERROR(VALUE($J503),0))</f>
        <v/>
      </c>
      <c r="O503" s="57">
        <f>IF($A503="",0,IF(OR($S503&lt;&gt;1,COUNTA($J503:$M503)=0),0,IF(SUMPRODUCT(MAX(($C$5:$C$2484=$C503)*($D$5:$D$2484=$D503)*($S$5:$S$2484=1)*IFERROR($N$5:$N$2484*1,0)))&gt;0,ROUND($H503*($N503/SUMPRODUCT(MAX(($C$5:$C$2484=$C503)*($D$5:$D$2484=$D503)*($S$5:$S$2484=1)*IFERROR($N$5:$N$2484*1,0)))),4),0)))</f>
        <v/>
      </c>
      <c r="P503" s="48" t="inlineStr">
        <is>
          <t>posti*km</t>
        </is>
      </c>
      <c r="Q503" s="57">
        <f>IF($A503="","",$A503&amp;"|"&amp;$C503)</f>
        <v/>
      </c>
      <c r="R503" s="57">
        <f>IF($A503="","",$A503&amp;"|"&amp;$C503&amp;"|"&amp;$D503)</f>
        <v/>
      </c>
      <c r="S503" s="57">
        <f>IF($A503="","",IFERROR(INDEX(Offerte!$D$2:$D$81,MATCH($Q503,Offerte!$L$2:$L$81,0)),0))</f>
        <v/>
      </c>
      <c r="T503" s="57">
        <f>IF($A503="","",IFERROR(INDEX(Offerte!$G$2:$G$81,MATCH($Q503,Offerte!$L$2:$L$81,0)),"NO"))</f>
        <v/>
      </c>
    </row>
    <row r="504">
      <c r="A504" s="48">
        <f>IF(Offerte!$A18="","",Offerte!$A18)</f>
        <v/>
      </c>
      <c r="B504" s="48">
        <f>IF(Offerte!$A18="","",Offerte!$B18)</f>
        <v/>
      </c>
      <c r="C504" s="48">
        <f>IF(Offerte!$A18="","",Offerte!$C18)</f>
        <v/>
      </c>
      <c r="D504" s="48" t="inlineStr">
        <is>
          <t>B.2.1</t>
        </is>
      </c>
      <c r="E504" s="48" t="inlineStr">
        <is>
          <t>B</t>
        </is>
      </c>
      <c r="F504" s="48" t="inlineStr">
        <is>
          <t>Q</t>
        </is>
      </c>
      <c r="G504" s="48" t="inlineStr">
        <is>
          <t>higher</t>
        </is>
      </c>
      <c r="H504" s="48" t="n">
        <v>4</v>
      </c>
      <c r="I504" s="48" t="inlineStr">
        <is>
          <t>Corse aggiuntive nell'arco giornaliero base</t>
        </is>
      </c>
      <c r="J504" s="73" t="n"/>
      <c r="K504" s="73" t="n"/>
      <c r="L504" s="73" t="n"/>
      <c r="M504" s="73" t="n"/>
      <c r="N504" s="57">
        <f>IF($A504="","",IFERROR(VALUE($J504),0))</f>
        <v/>
      </c>
      <c r="O504" s="57">
        <f>IF($A504="",0,IF(OR($S504&lt;&gt;1,COUNTA($J504:$M504)=0),0,IF(SUMPRODUCT(MAX(($C$5:$C$2484=$C504)*($D$5:$D$2484=$D504)*($S$5:$S$2484=1)*IFERROR($N$5:$N$2484*1,0)))&gt;0,ROUND($H504*($N504/SUMPRODUCT(MAX(($C$5:$C$2484=$C504)*($D$5:$D$2484=$D504)*($S$5:$S$2484=1)*IFERROR($N$5:$N$2484*1,0)))),4),0)))</f>
        <v/>
      </c>
      <c r="P504" s="48" t="inlineStr">
        <is>
          <t>corse</t>
        </is>
      </c>
      <c r="Q504" s="57">
        <f>IF($A504="","",$A504&amp;"|"&amp;$C504)</f>
        <v/>
      </c>
      <c r="R504" s="57">
        <f>IF($A504="","",$A504&amp;"|"&amp;$C504&amp;"|"&amp;$D504)</f>
        <v/>
      </c>
      <c r="S504" s="57">
        <f>IF($A504="","",IFERROR(INDEX(Offerte!$D$2:$D$81,MATCH($Q504,Offerte!$L$2:$L$81,0)),0))</f>
        <v/>
      </c>
      <c r="T504" s="57">
        <f>IF($A504="","",IFERROR(INDEX(Offerte!$G$2:$G$81,MATCH($Q504,Offerte!$L$2:$L$81,0)),"NO"))</f>
        <v/>
      </c>
    </row>
    <row r="505">
      <c r="A505" s="48">
        <f>IF(Offerte!$A18="","",Offerte!$A18)</f>
        <v/>
      </c>
      <c r="B505" s="48">
        <f>IF(Offerte!$A18="","",Offerte!$B18)</f>
        <v/>
      </c>
      <c r="C505" s="48">
        <f>IF(Offerte!$A18="","",Offerte!$C18)</f>
        <v/>
      </c>
      <c r="D505" s="48" t="inlineStr">
        <is>
          <t>B.3.1</t>
        </is>
      </c>
      <c r="E505" s="48" t="inlineStr">
        <is>
          <t>B</t>
        </is>
      </c>
      <c r="F505" s="48" t="inlineStr">
        <is>
          <t>Q</t>
        </is>
      </c>
      <c r="G505" s="48" t="inlineStr">
        <is>
          <t>higher</t>
        </is>
      </c>
      <c r="H505" s="48" t="n">
        <v>2</v>
      </c>
      <c r="I505" s="48" t="inlineStr">
        <is>
          <t>Numero di corse aggiuntive per allungamento dell'arco di servizio giornaliero nelle fasce serali</t>
        </is>
      </c>
      <c r="J505" s="73" t="n"/>
      <c r="K505" s="73" t="n"/>
      <c r="L505" s="73" t="n"/>
      <c r="M505" s="73" t="n"/>
      <c r="N505" s="57">
        <f>IF($A505="","",IFERROR(VALUE($J505),0))</f>
        <v/>
      </c>
      <c r="O505" s="57">
        <f>IF($A505="",0,IF(OR($S505&lt;&gt;1,COUNTA($J505:$M505)=0),0,IF(SUMPRODUCT(MAX(($C$5:$C$2484=$C505)*($D$5:$D$2484=$D505)*($S$5:$S$2484=1)*IFERROR($N$5:$N$2484*1,0)))&gt;0,ROUND($H505*($N505/SUMPRODUCT(MAX(($C$5:$C$2484=$C505)*($D$5:$D$2484=$D505)*($S$5:$S$2484=1)*IFERROR($N$5:$N$2484*1,0)))),4),0)))</f>
        <v/>
      </c>
      <c r="P505" s="48" t="inlineStr">
        <is>
          <t>corse</t>
        </is>
      </c>
      <c r="Q505" s="57">
        <f>IF($A505="","",$A505&amp;"|"&amp;$C505)</f>
        <v/>
      </c>
      <c r="R505" s="57">
        <f>IF($A505="","",$A505&amp;"|"&amp;$C505&amp;"|"&amp;$D505)</f>
        <v/>
      </c>
      <c r="S505" s="57">
        <f>IF($A505="","",IFERROR(INDEX(Offerte!$D$2:$D$81,MATCH($Q505,Offerte!$L$2:$L$81,0)),0))</f>
        <v/>
      </c>
      <c r="T505" s="57">
        <f>IF($A505="","",IFERROR(INDEX(Offerte!$G$2:$G$81,MATCH($Q505,Offerte!$L$2:$L$81,0)),"NO"))</f>
        <v/>
      </c>
    </row>
    <row r="506">
      <c r="A506" s="48">
        <f>IF(Offerte!$A18="","",Offerte!$A18)</f>
        <v/>
      </c>
      <c r="B506" s="48">
        <f>IF(Offerte!$A18="","",Offerte!$B18)</f>
        <v/>
      </c>
      <c r="C506" s="48">
        <f>IF(Offerte!$A18="","",Offerte!$C18)</f>
        <v/>
      </c>
      <c r="D506" s="48" t="inlineStr">
        <is>
          <t>B.4.1</t>
        </is>
      </c>
      <c r="E506" s="48" t="inlineStr">
        <is>
          <t>B</t>
        </is>
      </c>
      <c r="F506" s="48" t="inlineStr">
        <is>
          <t>Q</t>
        </is>
      </c>
      <c r="G506" s="48" t="inlineStr">
        <is>
          <t>higher</t>
        </is>
      </c>
      <c r="H506" s="48" t="n">
        <v>3</v>
      </c>
      <c r="I506" s="48" t="inlineStr">
        <is>
          <t>Percorrenze aggiuntive offerte nel Programma d'esercizio delle prime due fasi attuative</t>
        </is>
      </c>
      <c r="J506" s="73" t="n"/>
      <c r="K506" s="73" t="n"/>
      <c r="L506" s="73" t="n"/>
      <c r="M506" s="73" t="n"/>
      <c r="N506" s="57">
        <f>IF($A506="","",IFERROR(VALUE($J506),0))</f>
        <v/>
      </c>
      <c r="O506" s="57">
        <f>IF($A506="",0,IF(OR($S506&lt;&gt;1,COUNTA($J506:$M506)=0),0,IF(SUMPRODUCT(MAX(($C$5:$C$2484=$C506)*($D$5:$D$2484=$D506)*($S$5:$S$2484=1)*IFERROR($N$5:$N$2484*1,0)))&gt;0,ROUND($H506*($N506/SUMPRODUCT(MAX(($C$5:$C$2484=$C506)*($D$5:$D$2484=$D506)*($S$5:$S$2484=1)*IFERROR($N$5:$N$2484*1,0)))),4),0)))</f>
        <v/>
      </c>
      <c r="P506" s="48" t="inlineStr">
        <is>
          <t>vett*km</t>
        </is>
      </c>
      <c r="Q506" s="57">
        <f>IF($A506="","",$A506&amp;"|"&amp;$C506)</f>
        <v/>
      </c>
      <c r="R506" s="57">
        <f>IF($A506="","",$A506&amp;"|"&amp;$C506&amp;"|"&amp;$D506)</f>
        <v/>
      </c>
      <c r="S506" s="57">
        <f>IF($A506="","",IFERROR(INDEX(Offerte!$D$2:$D$81,MATCH($Q506,Offerte!$L$2:$L$81,0)),0))</f>
        <v/>
      </c>
      <c r="T506" s="57">
        <f>IF($A506="","",IFERROR(INDEX(Offerte!$G$2:$G$81,MATCH($Q506,Offerte!$L$2:$L$81,0)),"NO"))</f>
        <v/>
      </c>
    </row>
    <row r="507">
      <c r="A507" s="48">
        <f>IF(Offerte!$A18="","",Offerte!$A18)</f>
        <v/>
      </c>
      <c r="B507" s="48">
        <f>IF(Offerte!$A18="","",Offerte!$B18)</f>
        <v/>
      </c>
      <c r="C507" s="48">
        <f>IF(Offerte!$A18="","",Offerte!$C18)</f>
        <v/>
      </c>
      <c r="D507" s="48" t="inlineStr">
        <is>
          <t>B.5.1</t>
        </is>
      </c>
      <c r="E507" s="48" t="inlineStr">
        <is>
          <t>B</t>
        </is>
      </c>
      <c r="F507" s="48" t="inlineStr">
        <is>
          <t>D</t>
        </is>
      </c>
      <c r="G507" s="48" t="inlineStr">
        <is>
          <t>discretionary</t>
        </is>
      </c>
      <c r="H507" s="48" t="n">
        <v>2</v>
      </c>
      <c r="I507" s="48" t="inlineStr">
        <is>
          <t>Efficacia del progetto di servizi complementari DRT</t>
        </is>
      </c>
      <c r="J507" s="73" t="n"/>
      <c r="K507" s="73" t="n"/>
      <c r="L507" s="73" t="n"/>
      <c r="M507" s="73" t="n"/>
      <c r="N507" s="57">
        <f>IF($A507="","",MAX(0,MIN(1,IFERROR(VALUE($M507),0))))</f>
        <v/>
      </c>
      <c r="O507" s="57">
        <f>IF($A507="",0,IF(OR($S507&lt;&gt;1,COUNTA($J507:$M507)=0),0,IF(SUMPRODUCT(MAX(($C$5:$C$2484=$C507)*($D$5:$D$2484=$D507)*($S$5:$S$2484=1)*IFERROR($N$5:$N$2484*1,0)))&gt;0,ROUND($H507*($N507/SUMPRODUCT(MAX(($C$5:$C$2484=$C507)*($D$5:$D$2484=$D507)*($S$5:$S$2484=1)*IFERROR($N$5:$N$2484*1,0)))),4),0)))</f>
        <v/>
      </c>
      <c r="P507" s="48" t="inlineStr">
        <is>
          <t>coeff.</t>
        </is>
      </c>
      <c r="Q507" s="57">
        <f>IF($A507="","",$A507&amp;"|"&amp;$C507)</f>
        <v/>
      </c>
      <c r="R507" s="57">
        <f>IF($A507="","",$A507&amp;"|"&amp;$C507&amp;"|"&amp;$D507)</f>
        <v/>
      </c>
      <c r="S507" s="57">
        <f>IF($A507="","",IFERROR(INDEX(Offerte!$D$2:$D$81,MATCH($Q507,Offerte!$L$2:$L$81,0)),0))</f>
        <v/>
      </c>
      <c r="T507" s="57">
        <f>IF($A507="","",IFERROR(INDEX(Offerte!$G$2:$G$81,MATCH($Q507,Offerte!$L$2:$L$81,0)),"NO"))</f>
        <v/>
      </c>
    </row>
    <row r="508">
      <c r="A508" s="48">
        <f>IF(Offerte!$A18="","",Offerte!$A18)</f>
        <v/>
      </c>
      <c r="B508" s="48">
        <f>IF(Offerte!$A18="","",Offerte!$B18)</f>
        <v/>
      </c>
      <c r="C508" s="48">
        <f>IF(Offerte!$A18="","",Offerte!$C18)</f>
        <v/>
      </c>
      <c r="D508" s="48" t="inlineStr">
        <is>
          <t>C.1.1</t>
        </is>
      </c>
      <c r="E508" s="48" t="inlineStr">
        <is>
          <t>C</t>
        </is>
      </c>
      <c r="F508" s="48" t="inlineStr">
        <is>
          <t>Q</t>
        </is>
      </c>
      <c r="G508" s="48" t="inlineStr">
        <is>
          <t>higher</t>
        </is>
      </c>
      <c r="H508" s="48" t="n">
        <v>2</v>
      </c>
      <c r="I508" s="48" t="inlineStr">
        <is>
          <t>Tasso di copertura del servizio con telecamere BSD</t>
        </is>
      </c>
      <c r="J508" s="73" t="n"/>
      <c r="K508" s="73" t="n"/>
      <c r="L508" s="73" t="n"/>
      <c r="M508" s="73" t="n"/>
      <c r="N508" s="57">
        <f>IF($A508="","",IFERROR(VALUE($K508)/VALUE($L508),IFERROR(VALUE($J508),0)))</f>
        <v/>
      </c>
      <c r="O508" s="57">
        <f>IF($A508="",0,IF(OR($S508&lt;&gt;1,COUNTA($J508:$M508)=0),0,IF(SUMPRODUCT(MAX(($C$5:$C$2484=$C508)*($D$5:$D$2484=$D508)*($S$5:$S$2484=1)*IFERROR($N$5:$N$2484*1,0)))&gt;0,ROUND($H508*($N508/SUMPRODUCT(MAX(($C$5:$C$2484=$C508)*($D$5:$D$2484=$D508)*($S$5:$S$2484=1)*IFERROR($N$5:$N$2484*1,0)))),4),0)))</f>
        <v/>
      </c>
      <c r="P508" s="48" t="inlineStr">
        <is>
          <t>Autobus attrezzati con telecamere BSD / Autobus totali in offerta, incluse scorte</t>
        </is>
      </c>
      <c r="Q508" s="57">
        <f>IF($A508="","",$A508&amp;"|"&amp;$C508)</f>
        <v/>
      </c>
      <c r="R508" s="57">
        <f>IF($A508="","",$A508&amp;"|"&amp;$C508&amp;"|"&amp;$D508)</f>
        <v/>
      </c>
      <c r="S508" s="57">
        <f>IF($A508="","",IFERROR(INDEX(Offerte!$D$2:$D$81,MATCH($Q508,Offerte!$L$2:$L$81,0)),0))</f>
        <v/>
      </c>
      <c r="T508" s="57">
        <f>IF($A508="","",IFERROR(INDEX(Offerte!$G$2:$G$81,MATCH($Q508,Offerte!$L$2:$L$81,0)),"NO"))</f>
        <v/>
      </c>
    </row>
    <row r="509">
      <c r="A509" s="48">
        <f>IF(Offerte!$A18="","",Offerte!$A18)</f>
        <v/>
      </c>
      <c r="B509" s="48">
        <f>IF(Offerte!$A18="","",Offerte!$B18)</f>
        <v/>
      </c>
      <c r="C509" s="48">
        <f>IF(Offerte!$A18="","",Offerte!$C18)</f>
        <v/>
      </c>
      <c r="D509" s="48" t="inlineStr">
        <is>
          <t>C.1.2</t>
        </is>
      </c>
      <c r="E509" s="48" t="inlineStr">
        <is>
          <t>C</t>
        </is>
      </c>
      <c r="F509" s="48" t="inlineStr">
        <is>
          <t>Q</t>
        </is>
      </c>
      <c r="G509" s="48" t="inlineStr">
        <is>
          <t>higher</t>
        </is>
      </c>
      <c r="H509" s="48" t="n">
        <v>2</v>
      </c>
      <c r="I509" s="48" t="inlineStr">
        <is>
          <t>Tasso di copertura del servizio con telecamere ADAS</t>
        </is>
      </c>
      <c r="J509" s="73" t="n"/>
      <c r="K509" s="73" t="n"/>
      <c r="L509" s="73" t="n"/>
      <c r="M509" s="73" t="n"/>
      <c r="N509" s="57">
        <f>IF($A509="","",IFERROR(VALUE($K509)/VALUE($L509),IFERROR(VALUE($J509),0)))</f>
        <v/>
      </c>
      <c r="O509" s="57">
        <f>IF($A509="",0,IF(OR($S509&lt;&gt;1,COUNTA($J509:$M509)=0),0,IF(SUMPRODUCT(MAX(($C$5:$C$2484=$C509)*($D$5:$D$2484=$D509)*($S$5:$S$2484=1)*IFERROR($N$5:$N$2484*1,0)))&gt;0,ROUND($H509*($N509/SUMPRODUCT(MAX(($C$5:$C$2484=$C509)*($D$5:$D$2484=$D509)*($S$5:$S$2484=1)*IFERROR($N$5:$N$2484*1,0)))),4),0)))</f>
        <v/>
      </c>
      <c r="P509" s="48" t="inlineStr">
        <is>
          <t>Autobus attrezzati con telecamere ADAS / Autobus totali in offerta, incluse scorte</t>
        </is>
      </c>
      <c r="Q509" s="57">
        <f>IF($A509="","",$A509&amp;"|"&amp;$C509)</f>
        <v/>
      </c>
      <c r="R509" s="57">
        <f>IF($A509="","",$A509&amp;"|"&amp;$C509&amp;"|"&amp;$D509)</f>
        <v/>
      </c>
      <c r="S509" s="57">
        <f>IF($A509="","",IFERROR(INDEX(Offerte!$D$2:$D$81,MATCH($Q509,Offerte!$L$2:$L$81,0)),0))</f>
        <v/>
      </c>
      <c r="T509" s="57">
        <f>IF($A509="","",IFERROR(INDEX(Offerte!$G$2:$G$81,MATCH($Q509,Offerte!$L$2:$L$81,0)),"NO"))</f>
        <v/>
      </c>
    </row>
    <row r="510">
      <c r="A510" s="48">
        <f>IF(Offerte!$A18="","",Offerte!$A18)</f>
        <v/>
      </c>
      <c r="B510" s="48">
        <f>IF(Offerte!$A18="","",Offerte!$B18)</f>
        <v/>
      </c>
      <c r="C510" s="48">
        <f>IF(Offerte!$A18="","",Offerte!$C18)</f>
        <v/>
      </c>
      <c r="D510" s="48" t="inlineStr">
        <is>
          <t>C.2.1</t>
        </is>
      </c>
      <c r="E510" s="48" t="inlineStr">
        <is>
          <t>C</t>
        </is>
      </c>
      <c r="F510" s="48" t="inlineStr">
        <is>
          <t>Q</t>
        </is>
      </c>
      <c r="G510" s="48" t="inlineStr">
        <is>
          <t>higher</t>
        </is>
      </c>
      <c r="H510" s="48" t="n">
        <v>3</v>
      </c>
      <c r="I510" s="48" t="inlineStr">
        <is>
          <t>Tasso di copertura del servizio con telecamere di bordo di videosorveglianza</t>
        </is>
      </c>
      <c r="J510" s="73" t="n"/>
      <c r="K510" s="73" t="n"/>
      <c r="L510" s="73" t="n"/>
      <c r="M510" s="73" t="n"/>
      <c r="N510" s="57">
        <f>IF($A510="","",IFERROR(VALUE($K510)/VALUE($L510),IFERROR(VALUE($J510),0)))</f>
        <v/>
      </c>
      <c r="O510" s="57">
        <f>IF($A510="",0,IF(OR($S510&lt;&gt;1,COUNTA($J510:$M510)=0),0,IF(SUMPRODUCT(MAX(($C$5:$C$2484=$C510)*($D$5:$D$2484=$D510)*($S$5:$S$2484=1)*IFERROR($N$5:$N$2484*1,0)))&gt;0,ROUND($H510*($N510/SUMPRODUCT(MAX(($C$5:$C$2484=$C510)*($D$5:$D$2484=$D510)*($S$5:$S$2484=1)*IFERROR($N$5:$N$2484*1,0)))),4),0)))</f>
        <v/>
      </c>
      <c r="P510" s="48" t="inlineStr">
        <is>
          <t>Autobus attrezzati con videosorveglianza / Autobus totali in offerta, incluse scorte</t>
        </is>
      </c>
      <c r="Q510" s="57">
        <f>IF($A510="","",$A510&amp;"|"&amp;$C510)</f>
        <v/>
      </c>
      <c r="R510" s="57">
        <f>IF($A510="","",$A510&amp;"|"&amp;$C510&amp;"|"&amp;$D510)</f>
        <v/>
      </c>
      <c r="S510" s="57">
        <f>IF($A510="","",IFERROR(INDEX(Offerte!$D$2:$D$81,MATCH($Q510,Offerte!$L$2:$L$81,0)),0))</f>
        <v/>
      </c>
      <c r="T510" s="57">
        <f>IF($A510="","",IFERROR(INDEX(Offerte!$G$2:$G$81,MATCH($Q510,Offerte!$L$2:$L$81,0)),"NO"))</f>
        <v/>
      </c>
    </row>
    <row r="511">
      <c r="A511" s="48">
        <f>IF(Offerte!$A18="","",Offerte!$A18)</f>
        <v/>
      </c>
      <c r="B511" s="48">
        <f>IF(Offerte!$A18="","",Offerte!$B18)</f>
        <v/>
      </c>
      <c r="C511" s="48">
        <f>IF(Offerte!$A18="","",Offerte!$C18)</f>
        <v/>
      </c>
      <c r="D511" s="48" t="inlineStr">
        <is>
          <t>C.2.2</t>
        </is>
      </c>
      <c r="E511" s="48" t="inlineStr">
        <is>
          <t>C</t>
        </is>
      </c>
      <c r="F511" s="48" t="inlineStr">
        <is>
          <t>T</t>
        </is>
      </c>
      <c r="G511" s="48" t="inlineStr">
        <is>
          <t>tabular</t>
        </is>
      </c>
      <c r="H511" s="48" t="n">
        <v>1</v>
      </c>
      <c r="I511" s="48" t="inlineStr">
        <is>
          <t>Software video/audio analisi per situazioni di pericolo</t>
        </is>
      </c>
      <c r="J511" s="73" t="n"/>
      <c r="K511" s="73" t="n"/>
      <c r="L511" s="73" t="n"/>
      <c r="M511" s="73" t="n"/>
      <c r="N511" s="57">
        <f>IF($A511="","",IF(IFERROR(VALUE($M511),0)=1,1,0))</f>
        <v/>
      </c>
      <c r="O511" s="57">
        <f>IF($A511="",0,IF(OR($S511&lt;&gt;1,COUNTA($J511:$M511)=0),0,IF($N511=1,$H511,0)))</f>
        <v/>
      </c>
      <c r="P511" s="48" t="inlineStr">
        <is>
          <t>sì/no</t>
        </is>
      </c>
      <c r="Q511" s="57">
        <f>IF($A511="","",$A511&amp;"|"&amp;$C511)</f>
        <v/>
      </c>
      <c r="R511" s="57">
        <f>IF($A511="","",$A511&amp;"|"&amp;$C511&amp;"|"&amp;$D511)</f>
        <v/>
      </c>
      <c r="S511" s="57">
        <f>IF($A511="","",IFERROR(INDEX(Offerte!$D$2:$D$81,MATCH($Q511,Offerte!$L$2:$L$81,0)),0))</f>
        <v/>
      </c>
      <c r="T511" s="57">
        <f>IF($A511="","",IFERROR(INDEX(Offerte!$G$2:$G$81,MATCH($Q511,Offerte!$L$2:$L$81,0)),"NO"))</f>
        <v/>
      </c>
    </row>
    <row r="512">
      <c r="A512" s="48">
        <f>IF(Offerte!$A18="","",Offerte!$A18)</f>
        <v/>
      </c>
      <c r="B512" s="48">
        <f>IF(Offerte!$A18="","",Offerte!$B18)</f>
        <v/>
      </c>
      <c r="C512" s="48">
        <f>IF(Offerte!$A18="","",Offerte!$C18)</f>
        <v/>
      </c>
      <c r="D512" s="48" t="inlineStr">
        <is>
          <t>C.2.3</t>
        </is>
      </c>
      <c r="E512" s="48" t="inlineStr">
        <is>
          <t>C</t>
        </is>
      </c>
      <c r="F512" s="48" t="inlineStr">
        <is>
          <t>T</t>
        </is>
      </c>
      <c r="G512" s="48" t="inlineStr">
        <is>
          <t>tabular</t>
        </is>
      </c>
      <c r="H512" s="48" t="n">
        <v>1</v>
      </c>
      <c r="I512" s="48" t="inlineStr">
        <is>
          <t>Collegamento con centrale qualificata di pronto intervento</t>
        </is>
      </c>
      <c r="J512" s="73" t="n"/>
      <c r="K512" s="73" t="n"/>
      <c r="L512" s="73" t="n"/>
      <c r="M512" s="73" t="n"/>
      <c r="N512" s="57">
        <f>IF($A512="","",IF(IFERROR(VALUE($M512),0)=1,1,0))</f>
        <v/>
      </c>
      <c r="O512" s="57">
        <f>IF($A512="",0,IF(OR($S512&lt;&gt;1,COUNTA($J512:$M512)=0),0,IF($N512=1,$H512,0)))</f>
        <v/>
      </c>
      <c r="P512" s="48" t="inlineStr">
        <is>
          <t>sì/no</t>
        </is>
      </c>
      <c r="Q512" s="57">
        <f>IF($A512="","",$A512&amp;"|"&amp;$C512)</f>
        <v/>
      </c>
      <c r="R512" s="57">
        <f>IF($A512="","",$A512&amp;"|"&amp;$C512&amp;"|"&amp;$D512)</f>
        <v/>
      </c>
      <c r="S512" s="57">
        <f>IF($A512="","",IFERROR(INDEX(Offerte!$D$2:$D$81,MATCH($Q512,Offerte!$L$2:$L$81,0)),0))</f>
        <v/>
      </c>
      <c r="T512" s="57">
        <f>IF($A512="","",IFERROR(INDEX(Offerte!$G$2:$G$81,MATCH($Q512,Offerte!$L$2:$L$81,0)),"NO"))</f>
        <v/>
      </c>
    </row>
    <row r="513">
      <c r="A513" s="48">
        <f>IF(Offerte!$A18="","",Offerte!$A18)</f>
        <v/>
      </c>
      <c r="B513" s="48">
        <f>IF(Offerte!$A18="","",Offerte!$B18)</f>
        <v/>
      </c>
      <c r="C513" s="48">
        <f>IF(Offerte!$A18="","",Offerte!$C18)</f>
        <v/>
      </c>
      <c r="D513" s="48" t="inlineStr">
        <is>
          <t>C.2.4</t>
        </is>
      </c>
      <c r="E513" s="48" t="inlineStr">
        <is>
          <t>C</t>
        </is>
      </c>
      <c r="F513" s="48" t="inlineStr">
        <is>
          <t>Q</t>
        </is>
      </c>
      <c r="G513" s="48" t="inlineStr">
        <is>
          <t>higher</t>
        </is>
      </c>
      <c r="H513" s="48" t="n">
        <v>1</v>
      </c>
      <c r="I513" s="48" t="inlineStr">
        <is>
          <t>Tasso di copertura del servizio con dispositivi per la chiamata di emergenza del conducente</t>
        </is>
      </c>
      <c r="J513" s="73" t="n"/>
      <c r="K513" s="73" t="n"/>
      <c r="L513" s="73" t="n"/>
      <c r="M513" s="73" t="n"/>
      <c r="N513" s="57">
        <f>IF($A513="","",IFERROR(VALUE($K513)/VALUE($L513),IFERROR(VALUE($J513),0)))</f>
        <v/>
      </c>
      <c r="O513" s="57">
        <f>IF($A513="",0,IF(OR($S513&lt;&gt;1,COUNTA($J513:$M513)=0),0,IF(SUMPRODUCT(MAX(($C$5:$C$2484=$C513)*($D$5:$D$2484=$D513)*($S$5:$S$2484=1)*IFERROR($N$5:$N$2484*1,0)))&gt;0,ROUND($H513*($N513/SUMPRODUCT(MAX(($C$5:$C$2484=$C513)*($D$5:$D$2484=$D513)*($S$5:$S$2484=1)*IFERROR($N$5:$N$2484*1,0)))),4),0)))</f>
        <v/>
      </c>
      <c r="P513" s="48" t="inlineStr">
        <is>
          <t>Autobus attrezzati con chiamata di emergenza / Autobus totali in offerta, incluse scorte</t>
        </is>
      </c>
      <c r="Q513" s="57">
        <f>IF($A513="","",$A513&amp;"|"&amp;$C513)</f>
        <v/>
      </c>
      <c r="R513" s="57">
        <f>IF($A513="","",$A513&amp;"|"&amp;$C513&amp;"|"&amp;$D513)</f>
        <v/>
      </c>
      <c r="S513" s="57">
        <f>IF($A513="","",IFERROR(INDEX(Offerte!$D$2:$D$81,MATCH($Q513,Offerte!$L$2:$L$81,0)),0))</f>
        <v/>
      </c>
      <c r="T513" s="57">
        <f>IF($A513="","",IFERROR(INDEX(Offerte!$G$2:$G$81,MATCH($Q513,Offerte!$L$2:$L$81,0)),"NO"))</f>
        <v/>
      </c>
    </row>
    <row r="514">
      <c r="A514" s="48">
        <f>IF(Offerte!$A18="","",Offerte!$A18)</f>
        <v/>
      </c>
      <c r="B514" s="48">
        <f>IF(Offerte!$A18="","",Offerte!$B18)</f>
        <v/>
      </c>
      <c r="C514" s="48">
        <f>IF(Offerte!$A18="","",Offerte!$C18)</f>
        <v/>
      </c>
      <c r="D514" s="48" t="inlineStr">
        <is>
          <t>C.3.1</t>
        </is>
      </c>
      <c r="E514" s="48" t="inlineStr">
        <is>
          <t>C</t>
        </is>
      </c>
      <c r="F514" s="48" t="inlineStr">
        <is>
          <t>Q</t>
        </is>
      </c>
      <c r="G514" s="48" t="inlineStr">
        <is>
          <t>higher</t>
        </is>
      </c>
      <c r="H514" s="48" t="n">
        <v>2</v>
      </c>
      <c r="I514" s="48" t="inlineStr">
        <is>
          <t>Tasso di copertura del servizio con dispositivi di informazione dinamica a bordo mezzo</t>
        </is>
      </c>
      <c r="J514" s="73" t="n"/>
      <c r="K514" s="73" t="n"/>
      <c r="L514" s="73" t="n"/>
      <c r="M514" s="73" t="n"/>
      <c r="N514" s="57">
        <f>IF($A514="","",IFERROR(VALUE($K514)/VALUE($L514),IFERROR(VALUE($J514),0)))</f>
        <v/>
      </c>
      <c r="O514" s="57">
        <f>IF($A514="",0,IF(OR($S514&lt;&gt;1,COUNTA($J514:$M514)=0),0,IF(SUMPRODUCT(MAX(($C$5:$C$2484=$C514)*($D$5:$D$2484=$D514)*($S$5:$S$2484=1)*IFERROR($N$5:$N$2484*1,0)))&gt;0,ROUND($H514*($N514/SUMPRODUCT(MAX(($C$5:$C$2484=$C514)*($D$5:$D$2484=$D514)*($S$5:$S$2484=1)*IFERROR($N$5:$N$2484*1,0)))),4),0)))</f>
        <v/>
      </c>
      <c r="P514" s="48" t="inlineStr">
        <is>
          <t>Autobus con monitor e indicatori vocali / Autobus totali in offerta, incluse scorte</t>
        </is>
      </c>
      <c r="Q514" s="57">
        <f>IF($A514="","",$A514&amp;"|"&amp;$C514)</f>
        <v/>
      </c>
      <c r="R514" s="57">
        <f>IF($A514="","",$A514&amp;"|"&amp;$C514&amp;"|"&amp;$D514)</f>
        <v/>
      </c>
      <c r="S514" s="57">
        <f>IF($A514="","",IFERROR(INDEX(Offerte!$D$2:$D$81,MATCH($Q514,Offerte!$L$2:$L$81,0)),0))</f>
        <v/>
      </c>
      <c r="T514" s="57">
        <f>IF($A514="","",IFERROR(INDEX(Offerte!$G$2:$G$81,MATCH($Q514,Offerte!$L$2:$L$81,0)),"NO"))</f>
        <v/>
      </c>
    </row>
    <row r="515">
      <c r="A515" s="48">
        <f>IF(Offerte!$A18="","",Offerte!$A18)</f>
        <v/>
      </c>
      <c r="B515" s="48">
        <f>IF(Offerte!$A18="","",Offerte!$B18)</f>
        <v/>
      </c>
      <c r="C515" s="48">
        <f>IF(Offerte!$A18="","",Offerte!$C18)</f>
        <v/>
      </c>
      <c r="D515" s="48" t="inlineStr">
        <is>
          <t>C.3.2</t>
        </is>
      </c>
      <c r="E515" s="48" t="inlineStr">
        <is>
          <t>C</t>
        </is>
      </c>
      <c r="F515" s="48" t="inlineStr">
        <is>
          <t>T</t>
        </is>
      </c>
      <c r="G515" s="48" t="inlineStr">
        <is>
          <t>tabular</t>
        </is>
      </c>
      <c r="H515" s="48" t="n">
        <v>2</v>
      </c>
      <c r="I515" s="48" t="inlineStr">
        <is>
          <t>Informazioni a bordo su coincidenze ai nodi</t>
        </is>
      </c>
      <c r="J515" s="73" t="n"/>
      <c r="K515" s="73" t="n"/>
      <c r="L515" s="73" t="n"/>
      <c r="M515" s="73" t="n"/>
      <c r="N515" s="57">
        <f>IF($A515="","",IF(IFERROR(VALUE($M515),0)=1,1,0))</f>
        <v/>
      </c>
      <c r="O515" s="57">
        <f>IF($A515="",0,IF(OR($S515&lt;&gt;1,COUNTA($J515:$M515)=0),0,IF(AND($N515=1,IFERROR(SUMIFS($N$5:$N$2484,$Q$5:$Q$2484,$Q515,$D$5:$D$2484,"C.3.1"),0)&gt;=0.5),$H515,0)))</f>
        <v/>
      </c>
      <c r="P515" s="48" t="inlineStr">
        <is>
          <t>Dipende da C.3.1 &gt;= 0.5</t>
        </is>
      </c>
      <c r="Q515" s="57">
        <f>IF($A515="","",$A515&amp;"|"&amp;$C515)</f>
        <v/>
      </c>
      <c r="R515" s="57">
        <f>IF($A515="","",$A515&amp;"|"&amp;$C515&amp;"|"&amp;$D515)</f>
        <v/>
      </c>
      <c r="S515" s="57">
        <f>IF($A515="","",IFERROR(INDEX(Offerte!$D$2:$D$81,MATCH($Q515,Offerte!$L$2:$L$81,0)),0))</f>
        <v/>
      </c>
      <c r="T515" s="57">
        <f>IF($A515="","",IFERROR(INDEX(Offerte!$G$2:$G$81,MATCH($Q515,Offerte!$L$2:$L$81,0)),"NO"))</f>
        <v/>
      </c>
    </row>
    <row r="516">
      <c r="A516" s="48">
        <f>IF(Offerte!$A18="","",Offerte!$A18)</f>
        <v/>
      </c>
      <c r="B516" s="48">
        <f>IF(Offerte!$A18="","",Offerte!$B18)</f>
        <v/>
      </c>
      <c r="C516" s="48">
        <f>IF(Offerte!$A18="","",Offerte!$C18)</f>
        <v/>
      </c>
      <c r="D516" s="48" t="inlineStr">
        <is>
          <t>D.1.1</t>
        </is>
      </c>
      <c r="E516" s="48" t="inlineStr">
        <is>
          <t>D</t>
        </is>
      </c>
      <c r="F516" s="48" t="inlineStr">
        <is>
          <t>Q</t>
        </is>
      </c>
      <c r="G516" s="48" t="inlineStr">
        <is>
          <t>higher</t>
        </is>
      </c>
      <c r="H516" s="48" t="n">
        <v>3</v>
      </c>
      <c r="I516" s="48" t="inlineStr">
        <is>
          <t>Installazione di pensiline</t>
        </is>
      </c>
      <c r="J516" s="73" t="n"/>
      <c r="K516" s="73" t="n"/>
      <c r="L516" s="73" t="n"/>
      <c r="M516" s="73" t="n"/>
      <c r="N516" s="57">
        <f>IF($A516="","",IFERROR(VALUE($J516),0))</f>
        <v/>
      </c>
      <c r="O516" s="57">
        <f>IF($A516="",0,IF(OR($S516&lt;&gt;1,COUNTA($J516:$M516)=0),0,IF(SUMPRODUCT(MAX(($C$5:$C$2484=$C516)*($D$5:$D$2484=$D516)*($S$5:$S$2484=1)*IFERROR($N$5:$N$2484*1,0)))&gt;0,ROUND($H516*($N516/SUMPRODUCT(MAX(($C$5:$C$2484=$C516)*($D$5:$D$2484=$D516)*($S$5:$S$2484=1)*IFERROR($N$5:$N$2484*1,0)))),4),0)))</f>
        <v/>
      </c>
      <c r="P516" s="48" t="inlineStr">
        <is>
          <t>fermate</t>
        </is>
      </c>
      <c r="Q516" s="57">
        <f>IF($A516="","",$A516&amp;"|"&amp;$C516)</f>
        <v/>
      </c>
      <c r="R516" s="57">
        <f>IF($A516="","",$A516&amp;"|"&amp;$C516&amp;"|"&amp;$D516)</f>
        <v/>
      </c>
      <c r="S516" s="57">
        <f>IF($A516="","",IFERROR(INDEX(Offerte!$D$2:$D$81,MATCH($Q516,Offerte!$L$2:$L$81,0)),0))</f>
        <v/>
      </c>
      <c r="T516" s="57">
        <f>IF($A516="","",IFERROR(INDEX(Offerte!$G$2:$G$81,MATCH($Q516,Offerte!$L$2:$L$81,0)),"NO"))</f>
        <v/>
      </c>
    </row>
    <row r="517">
      <c r="A517" s="48">
        <f>IF(Offerte!$A18="","",Offerte!$A18)</f>
        <v/>
      </c>
      <c r="B517" s="48">
        <f>IF(Offerte!$A18="","",Offerte!$B18)</f>
        <v/>
      </c>
      <c r="C517" s="48">
        <f>IF(Offerte!$A18="","",Offerte!$C18)</f>
        <v/>
      </c>
      <c r="D517" s="48" t="inlineStr">
        <is>
          <t>D.1.2</t>
        </is>
      </c>
      <c r="E517" s="48" t="inlineStr">
        <is>
          <t>D</t>
        </is>
      </c>
      <c r="F517" s="48" t="inlineStr">
        <is>
          <t>Q</t>
        </is>
      </c>
      <c r="G517" s="48" t="inlineStr">
        <is>
          <t>higher</t>
        </is>
      </c>
      <c r="H517" s="48" t="n">
        <v>3</v>
      </c>
      <c r="I517" s="48" t="inlineStr">
        <is>
          <t>Installazione di paline di fermata conformi alla DGR 581/2023</t>
        </is>
      </c>
      <c r="J517" s="73" t="n"/>
      <c r="K517" s="73" t="n"/>
      <c r="L517" s="73" t="n"/>
      <c r="M517" s="73" t="n"/>
      <c r="N517" s="57">
        <f>IF($A517="","",IFERROR(VALUE($J517),0))</f>
        <v/>
      </c>
      <c r="O517" s="57">
        <f>IF($A517="",0,IF(OR($S517&lt;&gt;1,COUNTA($J517:$M517)=0),0,IF(SUMPRODUCT(MAX(($C$5:$C$2484=$C517)*($D$5:$D$2484=$D517)*($S$5:$S$2484=1)*IFERROR($N$5:$N$2484*1,0)))&gt;0,ROUND($H517*($N517/SUMPRODUCT(MAX(($C$5:$C$2484=$C517)*($D$5:$D$2484=$D517)*($S$5:$S$2484=1)*IFERROR($N$5:$N$2484*1,0)))),4),0)))</f>
        <v/>
      </c>
      <c r="P517" s="48" t="inlineStr">
        <is>
          <t>fermate</t>
        </is>
      </c>
      <c r="Q517" s="57">
        <f>IF($A517="","",$A517&amp;"|"&amp;$C517)</f>
        <v/>
      </c>
      <c r="R517" s="57">
        <f>IF($A517="","",$A517&amp;"|"&amp;$C517&amp;"|"&amp;$D517)</f>
        <v/>
      </c>
      <c r="S517" s="57">
        <f>IF($A517="","",IFERROR(INDEX(Offerte!$D$2:$D$81,MATCH($Q517,Offerte!$L$2:$L$81,0)),0))</f>
        <v/>
      </c>
      <c r="T517" s="57">
        <f>IF($A517="","",IFERROR(INDEX(Offerte!$G$2:$G$81,MATCH($Q517,Offerte!$L$2:$L$81,0)),"NO"))</f>
        <v/>
      </c>
    </row>
    <row r="518">
      <c r="A518" s="48">
        <f>IF(Offerte!$A18="","",Offerte!$A18)</f>
        <v/>
      </c>
      <c r="B518" s="48">
        <f>IF(Offerte!$A18="","",Offerte!$B18)</f>
        <v/>
      </c>
      <c r="C518" s="48">
        <f>IF(Offerte!$A18="","",Offerte!$C18)</f>
        <v/>
      </c>
      <c r="D518" s="48" t="inlineStr">
        <is>
          <t>D.1.3</t>
        </is>
      </c>
      <c r="E518" s="48" t="inlineStr">
        <is>
          <t>D</t>
        </is>
      </c>
      <c r="F518" s="48" t="inlineStr">
        <is>
          <t>Q</t>
        </is>
      </c>
      <c r="G518" s="48" t="inlineStr">
        <is>
          <t>higher</t>
        </is>
      </c>
      <c r="H518" s="48" t="n">
        <v>2</v>
      </c>
      <c r="I518" s="48" t="inlineStr">
        <is>
          <t>Display informativi connessi alle fermate</t>
        </is>
      </c>
      <c r="J518" s="73" t="n"/>
      <c r="K518" s="73" t="n"/>
      <c r="L518" s="73" t="n"/>
      <c r="M518" s="73" t="n"/>
      <c r="N518" s="57">
        <f>IF($A518="","",IFERROR(VALUE($J518),0))</f>
        <v/>
      </c>
      <c r="O518" s="57">
        <f>IF($A518="",0,IF(OR($S518&lt;&gt;1,COUNTA($J518:$M518)=0),0,IF(SUMPRODUCT(MAX(($C$5:$C$2484=$C518)*($D$5:$D$2484=$D518)*($S$5:$S$2484=1)*IFERROR($N$5:$N$2484*1,0)))&gt;0,ROUND($H518*($N518/SUMPRODUCT(MAX(($C$5:$C$2484=$C518)*($D$5:$D$2484=$D518)*($S$5:$S$2484=1)*IFERROR($N$5:$N$2484*1,0)))),4),0)))</f>
        <v/>
      </c>
      <c r="P518" s="48" t="inlineStr">
        <is>
          <t>fermate</t>
        </is>
      </c>
      <c r="Q518" s="57">
        <f>IF($A518="","",$A518&amp;"|"&amp;$C518)</f>
        <v/>
      </c>
      <c r="R518" s="57">
        <f>IF($A518="","",$A518&amp;"|"&amp;$C518&amp;"|"&amp;$D518)</f>
        <v/>
      </c>
      <c r="S518" s="57">
        <f>IF($A518="","",IFERROR(INDEX(Offerte!$D$2:$D$81,MATCH($Q518,Offerte!$L$2:$L$81,0)),0))</f>
        <v/>
      </c>
      <c r="T518" s="57">
        <f>IF($A518="","",IFERROR(INDEX(Offerte!$G$2:$G$81,MATCH($Q518,Offerte!$L$2:$L$81,0)),"NO"))</f>
        <v/>
      </c>
    </row>
    <row r="519">
      <c r="A519" s="48">
        <f>IF(Offerte!$A18="","",Offerte!$A18)</f>
        <v/>
      </c>
      <c r="B519" s="48">
        <f>IF(Offerte!$A18="","",Offerte!$B18)</f>
        <v/>
      </c>
      <c r="C519" s="48">
        <f>IF(Offerte!$A18="","",Offerte!$C18)</f>
        <v/>
      </c>
      <c r="D519" s="48" t="inlineStr">
        <is>
          <t>D.2.1</t>
        </is>
      </c>
      <c r="E519" s="48" t="inlineStr">
        <is>
          <t>D</t>
        </is>
      </c>
      <c r="F519" s="48" t="inlineStr">
        <is>
          <t>Q</t>
        </is>
      </c>
      <c r="G519" s="48" t="inlineStr">
        <is>
          <t>higher</t>
        </is>
      </c>
      <c r="H519" s="48" t="n">
        <v>2</v>
      </c>
      <c r="I519" s="48" t="inlineStr">
        <is>
          <t>Segnali tattili Loges-Vet-Evolution</t>
        </is>
      </c>
      <c r="J519" s="73" t="n"/>
      <c r="K519" s="73" t="n"/>
      <c r="L519" s="73" t="n"/>
      <c r="M519" s="73" t="n"/>
      <c r="N519" s="57">
        <f>IF($A519="","",IFERROR(VALUE($J519),0))</f>
        <v/>
      </c>
      <c r="O519" s="57">
        <f>IF($A519="",0,IF(OR($S519&lt;&gt;1,COUNTA($J519:$M519)=0),0,IF(SUMPRODUCT(MAX(($C$5:$C$2484=$C519)*($D$5:$D$2484=$D519)*($S$5:$S$2484=1)*IFERROR($N$5:$N$2484*1,0)))&gt;0,ROUND($H519*($N519/SUMPRODUCT(MAX(($C$5:$C$2484=$C519)*($D$5:$D$2484=$D519)*($S$5:$S$2484=1)*IFERROR($N$5:$N$2484*1,0)))),4),0)))</f>
        <v/>
      </c>
      <c r="P519" s="48" t="inlineStr">
        <is>
          <t>fermate</t>
        </is>
      </c>
      <c r="Q519" s="57">
        <f>IF($A519="","",$A519&amp;"|"&amp;$C519)</f>
        <v/>
      </c>
      <c r="R519" s="57">
        <f>IF($A519="","",$A519&amp;"|"&amp;$C519&amp;"|"&amp;$D519)</f>
        <v/>
      </c>
      <c r="S519" s="57">
        <f>IF($A519="","",IFERROR(INDEX(Offerte!$D$2:$D$81,MATCH($Q519,Offerte!$L$2:$L$81,0)),0))</f>
        <v/>
      </c>
      <c r="T519" s="57">
        <f>IF($A519="","",IFERROR(INDEX(Offerte!$G$2:$G$81,MATCH($Q519,Offerte!$L$2:$L$81,0)),"NO"))</f>
        <v/>
      </c>
    </row>
    <row r="520">
      <c r="A520" s="48">
        <f>IF(Offerte!$A18="","",Offerte!$A18)</f>
        <v/>
      </c>
      <c r="B520" s="48">
        <f>IF(Offerte!$A18="","",Offerte!$B18)</f>
        <v/>
      </c>
      <c r="C520" s="48">
        <f>IF(Offerte!$A18="","",Offerte!$C18)</f>
        <v/>
      </c>
      <c r="D520" s="48" t="inlineStr">
        <is>
          <t>E.1.1</t>
        </is>
      </c>
      <c r="E520" s="48" t="inlineStr">
        <is>
          <t>E</t>
        </is>
      </c>
      <c r="F520" s="48" t="inlineStr">
        <is>
          <t>T</t>
        </is>
      </c>
      <c r="G520" s="48" t="inlineStr">
        <is>
          <t>tabular</t>
        </is>
      </c>
      <c r="H520" s="48" t="n">
        <v>2</v>
      </c>
      <c r="I520" s="48" t="inlineStr">
        <is>
          <t>Mobile app con travel planner PRM</t>
        </is>
      </c>
      <c r="J520" s="73" t="n"/>
      <c r="K520" s="73" t="n"/>
      <c r="L520" s="73" t="n"/>
      <c r="M520" s="73" t="n"/>
      <c r="N520" s="57">
        <f>IF($A520="","",IF(IFERROR(VALUE($M520),0)=1,1,0))</f>
        <v/>
      </c>
      <c r="O520" s="57">
        <f>IF($A520="",0,IF(OR($S520&lt;&gt;1,COUNTA($J520:$M520)=0),0,IF($N520=1,$H520,0)))</f>
        <v/>
      </c>
      <c r="P520" s="48" t="inlineStr">
        <is>
          <t>sì/no</t>
        </is>
      </c>
      <c r="Q520" s="57">
        <f>IF($A520="","",$A520&amp;"|"&amp;$C520)</f>
        <v/>
      </c>
      <c r="R520" s="57">
        <f>IF($A520="","",$A520&amp;"|"&amp;$C520&amp;"|"&amp;$D520)</f>
        <v/>
      </c>
      <c r="S520" s="57">
        <f>IF($A520="","",IFERROR(INDEX(Offerte!$D$2:$D$81,MATCH($Q520,Offerte!$L$2:$L$81,0)),0))</f>
        <v/>
      </c>
      <c r="T520" s="57">
        <f>IF($A520="","",IFERROR(INDEX(Offerte!$G$2:$G$81,MATCH($Q520,Offerte!$L$2:$L$81,0)),"NO"))</f>
        <v/>
      </c>
    </row>
    <row r="521">
      <c r="A521" s="48">
        <f>IF(Offerte!$A18="","",Offerte!$A18)</f>
        <v/>
      </c>
      <c r="B521" s="48">
        <f>IF(Offerte!$A18="","",Offerte!$B18)</f>
        <v/>
      </c>
      <c r="C521" s="48">
        <f>IF(Offerte!$A18="","",Offerte!$C18)</f>
        <v/>
      </c>
      <c r="D521" s="48" t="inlineStr">
        <is>
          <t>E.2.1</t>
        </is>
      </c>
      <c r="E521" s="48" t="inlineStr">
        <is>
          <t>E</t>
        </is>
      </c>
      <c r="F521" s="48" t="inlineStr">
        <is>
          <t>D</t>
        </is>
      </c>
      <c r="G521" s="48" t="inlineStr">
        <is>
          <t>discretionary</t>
        </is>
      </c>
      <c r="H521" s="48" t="n">
        <v>2</v>
      </c>
      <c r="I521" s="48" t="inlineStr">
        <is>
          <t>Altre azioni informative e rapporti con gli utenti</t>
        </is>
      </c>
      <c r="J521" s="73" t="n"/>
      <c r="K521" s="73" t="n"/>
      <c r="L521" s="73" t="n"/>
      <c r="M521" s="73" t="n"/>
      <c r="N521" s="57">
        <f>IF($A521="","",MAX(0,MIN(1,IFERROR(VALUE($M521),0))))</f>
        <v/>
      </c>
      <c r="O521" s="57">
        <f>IF($A521="",0,IF(OR($S521&lt;&gt;1,COUNTA($J521:$M521)=0),0,IF(SUMPRODUCT(MAX(($C$5:$C$2484=$C521)*($D$5:$D$2484=$D521)*($S$5:$S$2484=1)*IFERROR($N$5:$N$2484*1,0)))&gt;0,ROUND($H521*($N521/SUMPRODUCT(MAX(($C$5:$C$2484=$C521)*($D$5:$D$2484=$D521)*($S$5:$S$2484=1)*IFERROR($N$5:$N$2484*1,0)))),4),0)))</f>
        <v/>
      </c>
      <c r="P521" s="48" t="inlineStr">
        <is>
          <t>coeff.</t>
        </is>
      </c>
      <c r="Q521" s="57">
        <f>IF($A521="","",$A521&amp;"|"&amp;$C521)</f>
        <v/>
      </c>
      <c r="R521" s="57">
        <f>IF($A521="","",$A521&amp;"|"&amp;$C521&amp;"|"&amp;$D521)</f>
        <v/>
      </c>
      <c r="S521" s="57">
        <f>IF($A521="","",IFERROR(INDEX(Offerte!$D$2:$D$81,MATCH($Q521,Offerte!$L$2:$L$81,0)),0))</f>
        <v/>
      </c>
      <c r="T521" s="57">
        <f>IF($A521="","",IFERROR(INDEX(Offerte!$G$2:$G$81,MATCH($Q521,Offerte!$L$2:$L$81,0)),"NO"))</f>
        <v/>
      </c>
    </row>
    <row r="522">
      <c r="A522" s="48">
        <f>IF(Offerte!$A18="","",Offerte!$A18)</f>
        <v/>
      </c>
      <c r="B522" s="48">
        <f>IF(Offerte!$A18="","",Offerte!$B18)</f>
        <v/>
      </c>
      <c r="C522" s="48">
        <f>IF(Offerte!$A18="","",Offerte!$C18)</f>
        <v/>
      </c>
      <c r="D522" s="48" t="inlineStr">
        <is>
          <t>F.1.1</t>
        </is>
      </c>
      <c r="E522" s="48" t="inlineStr">
        <is>
          <t>F</t>
        </is>
      </c>
      <c r="F522" s="48" t="inlineStr">
        <is>
          <t>Q</t>
        </is>
      </c>
      <c r="G522" s="48" t="inlineStr">
        <is>
          <t>lower</t>
        </is>
      </c>
      <c r="H522" s="48" t="n">
        <v>7</v>
      </c>
      <c r="I522" s="48" t="inlineStr">
        <is>
          <t>Performance ambientali del parco mezzi adibito al servizio - I_CEA</t>
        </is>
      </c>
      <c r="J522" s="73" t="n"/>
      <c r="K522" s="73" t="n"/>
      <c r="L522" s="73" t="n"/>
      <c r="M522" s="73" t="n"/>
      <c r="N522" s="57">
        <f>IF($A522="","",IFERROR(VALUE($J522),0))</f>
        <v/>
      </c>
      <c r="O522" s="57">
        <f>IF($A522="",0,IF(OR($S522&lt;&gt;1,COUNTA($J522:$M522)=0),0,IF(AND(IFERROR(AGGREGATE(15,6,$N$5:$N$2484/(($C$5:$C$2484=$C522)*($D$5:$D$2484=$D522)*($S$5:$S$2484=1)*($N$5:$N$2484&gt;0)),1),0)&gt;0,$N522&gt;0),ROUND($H522*(IFERROR(AGGREGATE(15,6,$N$5:$N$2484/(($C$5:$C$2484=$C522)*($D$5:$D$2484=$D522)*($S$5:$S$2484=1)*($N$5:$N$2484&gt;0)),1),0)/$N522),4),0)))</f>
        <v/>
      </c>
      <c r="P522" s="48" t="inlineStr">
        <is>
          <t>indice</t>
        </is>
      </c>
      <c r="Q522" s="57">
        <f>IF($A522="","",$A522&amp;"|"&amp;$C522)</f>
        <v/>
      </c>
      <c r="R522" s="57">
        <f>IF($A522="","",$A522&amp;"|"&amp;$C522&amp;"|"&amp;$D522)</f>
        <v/>
      </c>
      <c r="S522" s="57">
        <f>IF($A522="","",IFERROR(INDEX(Offerte!$D$2:$D$81,MATCH($Q522,Offerte!$L$2:$L$81,0)),0))</f>
        <v/>
      </c>
      <c r="T522" s="57">
        <f>IF($A522="","",IFERROR(INDEX(Offerte!$G$2:$G$81,MATCH($Q522,Offerte!$L$2:$L$81,0)),"NO"))</f>
        <v/>
      </c>
    </row>
    <row r="523">
      <c r="A523" s="48">
        <f>IF(Offerte!$A18="","",Offerte!$A18)</f>
        <v/>
      </c>
      <c r="B523" s="48">
        <f>IF(Offerte!$A18="","",Offerte!$B18)</f>
        <v/>
      </c>
      <c r="C523" s="48">
        <f>IF(Offerte!$A18="","",Offerte!$C18)</f>
        <v/>
      </c>
      <c r="D523" s="48" t="inlineStr">
        <is>
          <t>F.2.1</t>
        </is>
      </c>
      <c r="E523" s="48" t="inlineStr">
        <is>
          <t>F</t>
        </is>
      </c>
      <c r="F523" s="48" t="inlineStr">
        <is>
          <t>Q</t>
        </is>
      </c>
      <c r="G523" s="48" t="inlineStr">
        <is>
          <t>higher</t>
        </is>
      </c>
      <c r="H523" s="48" t="n">
        <v>2</v>
      </c>
      <c r="I523" s="48" t="inlineStr">
        <is>
          <t>Tasso di copertura del servizio con dispositivi ECO-DRIVER</t>
        </is>
      </c>
      <c r="J523" s="73" t="n"/>
      <c r="K523" s="73" t="n"/>
      <c r="L523" s="73" t="n"/>
      <c r="M523" s="73" t="n"/>
      <c r="N523" s="57">
        <f>IF($A523="","",IFERROR(VALUE($K523)/VALUE($L523),IFERROR(VALUE($J523),0)))</f>
        <v/>
      </c>
      <c r="O523" s="57">
        <f>IF($A523="",0,IF(OR($S523&lt;&gt;1,COUNTA($J523:$M523)=0),0,IF(SUMPRODUCT(MAX(($C$5:$C$2484=$C523)*($D$5:$D$2484=$D523)*($S$5:$S$2484=1)*IFERROR($N$5:$N$2484*1,0)))&gt;0,ROUND($H523*($N523/SUMPRODUCT(MAX(($C$5:$C$2484=$C523)*($D$5:$D$2484=$D523)*($S$5:$S$2484=1)*IFERROR($N$5:$N$2484*1,0)))),4),0)))</f>
        <v/>
      </c>
      <c r="P523" s="48" t="inlineStr">
        <is>
          <t>Autobus attrezzati con dispositivi ECO-DRIVER / Autobus totali in offerta, incluse scorte</t>
        </is>
      </c>
      <c r="Q523" s="57">
        <f>IF($A523="","",$A523&amp;"|"&amp;$C523)</f>
        <v/>
      </c>
      <c r="R523" s="57">
        <f>IF($A523="","",$A523&amp;"|"&amp;$C523&amp;"|"&amp;$D523)</f>
        <v/>
      </c>
      <c r="S523" s="57">
        <f>IF($A523="","",IFERROR(INDEX(Offerte!$D$2:$D$81,MATCH($Q523,Offerte!$L$2:$L$81,0)),0))</f>
        <v/>
      </c>
      <c r="T523" s="57">
        <f>IF($A523="","",IFERROR(INDEX(Offerte!$G$2:$G$81,MATCH($Q523,Offerte!$L$2:$L$81,0)),"NO"))</f>
        <v/>
      </c>
    </row>
    <row r="524">
      <c r="A524" s="48">
        <f>IF(Offerte!$A18="","",Offerte!$A18)</f>
        <v/>
      </c>
      <c r="B524" s="48">
        <f>IF(Offerte!$A18="","",Offerte!$B18)</f>
        <v/>
      </c>
      <c r="C524" s="48">
        <f>IF(Offerte!$A18="","",Offerte!$C18)</f>
        <v/>
      </c>
      <c r="D524" s="48" t="inlineStr">
        <is>
          <t>F.3.1</t>
        </is>
      </c>
      <c r="E524" s="48" t="inlineStr">
        <is>
          <t>F</t>
        </is>
      </c>
      <c r="F524" s="48" t="inlineStr">
        <is>
          <t>Q</t>
        </is>
      </c>
      <c r="G524" s="48" t="inlineStr">
        <is>
          <t>higher</t>
        </is>
      </c>
      <c r="H524" s="48" t="n">
        <v>2</v>
      </c>
      <c r="I524" s="48" t="inlineStr">
        <is>
          <t>Autoproduzione consumi elettrici per trazione</t>
        </is>
      </c>
      <c r="J524" s="73" t="n"/>
      <c r="K524" s="73" t="n"/>
      <c r="L524" s="73" t="n"/>
      <c r="M524" s="73" t="n"/>
      <c r="N524" s="57">
        <f>IF($A524="","",IFERROR(VALUE($J524),0))</f>
        <v/>
      </c>
      <c r="O524" s="57">
        <f>IF($A524="",0,IF(OR($S524&lt;&gt;1,COUNTA($J524:$M524)=0),0,IF(SUMPRODUCT(MAX(($C$5:$C$2484=$C524)*($D$5:$D$2484=$D524)*($S$5:$S$2484=1)*IFERROR($N$5:$N$2484*1,0)))&gt;0,ROUND($H524*($N524/SUMPRODUCT(MAX(($C$5:$C$2484=$C524)*($D$5:$D$2484=$D524)*($S$5:$S$2484=1)*IFERROR($N$5:$N$2484*1,0)))),4),0)))</f>
        <v/>
      </c>
      <c r="P524" s="48" t="inlineStr">
        <is>
          <t>kWh/anno</t>
        </is>
      </c>
      <c r="Q524" s="57">
        <f>IF($A524="","",$A524&amp;"|"&amp;$C524)</f>
        <v/>
      </c>
      <c r="R524" s="57">
        <f>IF($A524="","",$A524&amp;"|"&amp;$C524&amp;"|"&amp;$D524)</f>
        <v/>
      </c>
      <c r="S524" s="57">
        <f>IF($A524="","",IFERROR(INDEX(Offerte!$D$2:$D$81,MATCH($Q524,Offerte!$L$2:$L$81,0)),0))</f>
        <v/>
      </c>
      <c r="T524" s="57">
        <f>IF($A524="","",IFERROR(INDEX(Offerte!$G$2:$G$81,MATCH($Q524,Offerte!$L$2:$L$81,0)),"NO"))</f>
        <v/>
      </c>
    </row>
    <row r="525">
      <c r="A525" s="48">
        <f>IF(Offerte!$A18="","",Offerte!$A18)</f>
        <v/>
      </c>
      <c r="B525" s="48">
        <f>IF(Offerte!$A18="","",Offerte!$B18)</f>
        <v/>
      </c>
      <c r="C525" s="48">
        <f>IF(Offerte!$A18="","",Offerte!$C18)</f>
        <v/>
      </c>
      <c r="D525" s="48" t="inlineStr">
        <is>
          <t>F.4.1</t>
        </is>
      </c>
      <c r="E525" s="48" t="inlineStr">
        <is>
          <t>F</t>
        </is>
      </c>
      <c r="F525" s="48" t="inlineStr">
        <is>
          <t>Q</t>
        </is>
      </c>
      <c r="G525" s="48" t="inlineStr">
        <is>
          <t>soil</t>
        </is>
      </c>
      <c r="H525" s="48" t="n">
        <v>2</v>
      </c>
      <c r="I525" s="48" t="inlineStr">
        <is>
          <t>Indice di consumo di suolo</t>
        </is>
      </c>
      <c r="J525" s="73" t="n"/>
      <c r="K525" s="73" t="n"/>
      <c r="L525" s="73" t="n"/>
      <c r="M525" s="73" t="n"/>
      <c r="N525" s="57">
        <f>IF($A525="","",IFERROR(VALUE($J525),0))</f>
        <v/>
      </c>
      <c r="O525" s="57">
        <f>IF($A525="",0,IF(OR($S525&lt;&gt;1,COUNTA($J525:$M525)=0),0,IF($N525&lt;=0,$H525,IF(SUMPRODUCT(MAX(($C$5:$C$2484=$C525)*($D$5:$D$2484=$D525)*($S$5:$S$2484=1)*IFERROR($N$5:$N$2484*1,0)))&gt;0,ROUND($H525*((SUMPRODUCT(MAX(($C$5:$C$2484=$C525)*($D$5:$D$2484=$D525)*($S$5:$S$2484=1)*IFERROR($N$5:$N$2484*1,0)))-$N525)/SUMPRODUCT(MAX(($C$5:$C$2484=$C525)*($D$5:$D$2484=$D525)*($S$5:$S$2484=1)*IFERROR($N$5:$N$2484*1,0)))),4),0))))</f>
        <v/>
      </c>
      <c r="P525" s="48" t="inlineStr">
        <is>
          <t>m2</t>
        </is>
      </c>
      <c r="Q525" s="57">
        <f>IF($A525="","",$A525&amp;"|"&amp;$C525)</f>
        <v/>
      </c>
      <c r="R525" s="57">
        <f>IF($A525="","",$A525&amp;"|"&amp;$C525&amp;"|"&amp;$D525)</f>
        <v/>
      </c>
      <c r="S525" s="57">
        <f>IF($A525="","",IFERROR(INDEX(Offerte!$D$2:$D$81,MATCH($Q525,Offerte!$L$2:$L$81,0)),0))</f>
        <v/>
      </c>
      <c r="T525" s="57">
        <f>IF($A525="","",IFERROR(INDEX(Offerte!$G$2:$G$81,MATCH($Q525,Offerte!$L$2:$L$81,0)),"NO"))</f>
        <v/>
      </c>
    </row>
    <row r="526">
      <c r="A526" s="48">
        <f>IF(Offerte!$A18="","",Offerte!$A18)</f>
        <v/>
      </c>
      <c r="B526" s="48">
        <f>IF(Offerte!$A18="","",Offerte!$B18)</f>
        <v/>
      </c>
      <c r="C526" s="48">
        <f>IF(Offerte!$A18="","",Offerte!$C18)</f>
        <v/>
      </c>
      <c r="D526" s="48" t="inlineStr">
        <is>
          <t>F.5.1</t>
        </is>
      </c>
      <c r="E526" s="48" t="inlineStr">
        <is>
          <t>F</t>
        </is>
      </c>
      <c r="F526" s="48" t="inlineStr">
        <is>
          <t>T</t>
        </is>
      </c>
      <c r="G526" s="48" t="inlineStr">
        <is>
          <t>tabular</t>
        </is>
      </c>
      <c r="H526" s="48" t="n">
        <v>1</v>
      </c>
      <c r="I526" s="48" t="inlineStr">
        <is>
          <t>Rendicontazione di sostenibilità ambientale</t>
        </is>
      </c>
      <c r="J526" s="73" t="n"/>
      <c r="K526" s="73" t="n"/>
      <c r="L526" s="73" t="n"/>
      <c r="M526" s="73" t="n"/>
      <c r="N526" s="57">
        <f>IF($A526="","",IF(IFERROR(VALUE($M526),0)=1,1,0))</f>
        <v/>
      </c>
      <c r="O526" s="57">
        <f>IF($A526="",0,IF(OR($S526&lt;&gt;1,COUNTA($J526:$M526)=0),0,IF($N526=1,$H526,0)))</f>
        <v/>
      </c>
      <c r="P526" s="48" t="inlineStr">
        <is>
          <t>sì/no</t>
        </is>
      </c>
      <c r="Q526" s="57">
        <f>IF($A526="","",$A526&amp;"|"&amp;$C526)</f>
        <v/>
      </c>
      <c r="R526" s="57">
        <f>IF($A526="","",$A526&amp;"|"&amp;$C526&amp;"|"&amp;$D526)</f>
        <v/>
      </c>
      <c r="S526" s="57">
        <f>IF($A526="","",IFERROR(INDEX(Offerte!$D$2:$D$81,MATCH($Q526,Offerte!$L$2:$L$81,0)),0))</f>
        <v/>
      </c>
      <c r="T526" s="57">
        <f>IF($A526="","",IFERROR(INDEX(Offerte!$G$2:$G$81,MATCH($Q526,Offerte!$L$2:$L$81,0)),"NO"))</f>
        <v/>
      </c>
    </row>
    <row r="527">
      <c r="A527" s="48">
        <f>IF(Offerte!$A18="","",Offerte!$A18)</f>
        <v/>
      </c>
      <c r="B527" s="48">
        <f>IF(Offerte!$A18="","",Offerte!$B18)</f>
        <v/>
      </c>
      <c r="C527" s="48">
        <f>IF(Offerte!$A18="","",Offerte!$C18)</f>
        <v/>
      </c>
      <c r="D527" s="48" t="inlineStr">
        <is>
          <t>G.1.1</t>
        </is>
      </c>
      <c r="E527" s="48" t="inlineStr">
        <is>
          <t>G</t>
        </is>
      </c>
      <c r="F527" s="48" t="inlineStr">
        <is>
          <t>D</t>
        </is>
      </c>
      <c r="G527" s="48" t="inlineStr">
        <is>
          <t>discretionary</t>
        </is>
      </c>
      <c r="H527" s="48" t="n">
        <v>2</v>
      </c>
      <c r="I527" s="48" t="inlineStr">
        <is>
          <t>Qualità del progetto di centrale di controllo aziendale</t>
        </is>
      </c>
      <c r="J527" s="73" t="n"/>
      <c r="K527" s="73" t="n"/>
      <c r="L527" s="73" t="n"/>
      <c r="M527" s="73" t="n"/>
      <c r="N527" s="57">
        <f>IF($A527="","",MAX(0,MIN(1,IFERROR(VALUE($M527),0))))</f>
        <v/>
      </c>
      <c r="O527" s="57">
        <f>IF($A527="",0,IF(OR($S527&lt;&gt;1,COUNTA($J527:$M527)=0),0,IF(SUMPRODUCT(MAX(($C$5:$C$2484=$C527)*($D$5:$D$2484=$D527)*($S$5:$S$2484=1)*IFERROR($N$5:$N$2484*1,0)))&gt;0,ROUND($H527*($N527/SUMPRODUCT(MAX(($C$5:$C$2484=$C527)*($D$5:$D$2484=$D527)*($S$5:$S$2484=1)*IFERROR($N$5:$N$2484*1,0)))),4),0)))</f>
        <v/>
      </c>
      <c r="P527" s="48" t="inlineStr">
        <is>
          <t>coeff.</t>
        </is>
      </c>
      <c r="Q527" s="57">
        <f>IF($A527="","",$A527&amp;"|"&amp;$C527)</f>
        <v/>
      </c>
      <c r="R527" s="57">
        <f>IF($A527="","",$A527&amp;"|"&amp;$C527&amp;"|"&amp;$D527)</f>
        <v/>
      </c>
      <c r="S527" s="57">
        <f>IF($A527="","",IFERROR(INDEX(Offerte!$D$2:$D$81,MATCH($Q527,Offerte!$L$2:$L$81,0)),0))</f>
        <v/>
      </c>
      <c r="T527" s="57">
        <f>IF($A527="","",IFERROR(INDEX(Offerte!$G$2:$G$81,MATCH($Q527,Offerte!$L$2:$L$81,0)),"NO"))</f>
        <v/>
      </c>
    </row>
    <row r="528">
      <c r="A528" s="48">
        <f>IF(Offerte!$A18="","",Offerte!$A18)</f>
        <v/>
      </c>
      <c r="B528" s="48">
        <f>IF(Offerte!$A18="","",Offerte!$B18)</f>
        <v/>
      </c>
      <c r="C528" s="48">
        <f>IF(Offerte!$A18="","",Offerte!$C18)</f>
        <v/>
      </c>
      <c r="D528" s="48" t="inlineStr">
        <is>
          <t>G.2.1</t>
        </is>
      </c>
      <c r="E528" s="48" t="inlineStr">
        <is>
          <t>G</t>
        </is>
      </c>
      <c r="F528" s="48" t="inlineStr">
        <is>
          <t>T</t>
        </is>
      </c>
      <c r="G528" s="48" t="inlineStr">
        <is>
          <t>tabular</t>
        </is>
      </c>
      <c r="H528" s="48" t="n">
        <v>1</v>
      </c>
      <c r="I528" s="48" t="inlineStr">
        <is>
          <t>Certificazione ISO 45001</t>
        </is>
      </c>
      <c r="J528" s="73" t="n"/>
      <c r="K528" s="73" t="n"/>
      <c r="L528" s="73" t="n"/>
      <c r="M528" s="73" t="n"/>
      <c r="N528" s="57">
        <f>IF($A528="","",IF(IFERROR(VALUE($M528),0)=1,1,0))</f>
        <v/>
      </c>
      <c r="O528" s="57">
        <f>IF($A528="",0,IF(OR($S528&lt;&gt;1,COUNTA($J528:$M528)=0),0,IF($N528=1,$H528,0)))</f>
        <v/>
      </c>
      <c r="P528" s="48" t="inlineStr">
        <is>
          <t>sì/no</t>
        </is>
      </c>
      <c r="Q528" s="57">
        <f>IF($A528="","",$A528&amp;"|"&amp;$C528)</f>
        <v/>
      </c>
      <c r="R528" s="57">
        <f>IF($A528="","",$A528&amp;"|"&amp;$C528&amp;"|"&amp;$D528)</f>
        <v/>
      </c>
      <c r="S528" s="57">
        <f>IF($A528="","",IFERROR(INDEX(Offerte!$D$2:$D$81,MATCH($Q528,Offerte!$L$2:$L$81,0)),0))</f>
        <v/>
      </c>
      <c r="T528" s="57">
        <f>IF($A528="","",IFERROR(INDEX(Offerte!$G$2:$G$81,MATCH($Q528,Offerte!$L$2:$L$81,0)),"NO"))</f>
        <v/>
      </c>
    </row>
    <row r="529">
      <c r="A529" s="48">
        <f>IF(Offerte!$A18="","",Offerte!$A18)</f>
        <v/>
      </c>
      <c r="B529" s="48">
        <f>IF(Offerte!$A18="","",Offerte!$B18)</f>
        <v/>
      </c>
      <c r="C529" s="48">
        <f>IF(Offerte!$A18="","",Offerte!$C18)</f>
        <v/>
      </c>
      <c r="D529" s="48" t="inlineStr">
        <is>
          <t>G.3.1</t>
        </is>
      </c>
      <c r="E529" s="48" t="inlineStr">
        <is>
          <t>G</t>
        </is>
      </c>
      <c r="F529" s="48" t="inlineStr">
        <is>
          <t>T</t>
        </is>
      </c>
      <c r="G529" s="48" t="inlineStr">
        <is>
          <t>tabular</t>
        </is>
      </c>
      <c r="H529" s="48" t="n">
        <v>1</v>
      </c>
      <c r="I529" s="48" t="inlineStr">
        <is>
          <t>Certificazioni di responsabilità sociale</t>
        </is>
      </c>
      <c r="J529" s="73" t="n"/>
      <c r="K529" s="73" t="n"/>
      <c r="L529" s="73" t="n"/>
      <c r="M529" s="73" t="n"/>
      <c r="N529" s="57">
        <f>IF($A529="","",IF(IFERROR(VALUE($M529),0)=1,1,0))</f>
        <v/>
      </c>
      <c r="O529" s="57">
        <f>IF($A529="",0,IF(OR($S529&lt;&gt;1,COUNTA($J529:$M529)=0),0,IF($N529=1,$H529,0)))</f>
        <v/>
      </c>
      <c r="P529" s="48" t="inlineStr">
        <is>
          <t>sì/no</t>
        </is>
      </c>
      <c r="Q529" s="57">
        <f>IF($A529="","",$A529&amp;"|"&amp;$C529)</f>
        <v/>
      </c>
      <c r="R529" s="57">
        <f>IF($A529="","",$A529&amp;"|"&amp;$C529&amp;"|"&amp;$D529)</f>
        <v/>
      </c>
      <c r="S529" s="57">
        <f>IF($A529="","",IFERROR(INDEX(Offerte!$D$2:$D$81,MATCH($Q529,Offerte!$L$2:$L$81,0)),0))</f>
        <v/>
      </c>
      <c r="T529" s="57">
        <f>IF($A529="","",IFERROR(INDEX(Offerte!$G$2:$G$81,MATCH($Q529,Offerte!$L$2:$L$81,0)),"NO"))</f>
        <v/>
      </c>
    </row>
    <row r="530">
      <c r="A530" s="48">
        <f>IF(Offerte!$A18="","",Offerte!$A18)</f>
        <v/>
      </c>
      <c r="B530" s="48">
        <f>IF(Offerte!$A18="","",Offerte!$B18)</f>
        <v/>
      </c>
      <c r="C530" s="48">
        <f>IF(Offerte!$A18="","",Offerte!$C18)</f>
        <v/>
      </c>
      <c r="D530" s="48" t="inlineStr">
        <is>
          <t>G.4.1</t>
        </is>
      </c>
      <c r="E530" s="48" t="inlineStr">
        <is>
          <t>G</t>
        </is>
      </c>
      <c r="F530" s="48" t="inlineStr">
        <is>
          <t>D</t>
        </is>
      </c>
      <c r="G530" s="48" t="inlineStr">
        <is>
          <t>discretionary</t>
        </is>
      </c>
      <c r="H530" s="48" t="n">
        <v>2</v>
      </c>
      <c r="I530" s="48" t="inlineStr">
        <is>
          <t>Qualità del piano di formazione del personale</t>
        </is>
      </c>
      <c r="J530" s="73" t="n"/>
      <c r="K530" s="73" t="n"/>
      <c r="L530" s="73" t="n"/>
      <c r="M530" s="73" t="n"/>
      <c r="N530" s="57">
        <f>IF($A530="","",MAX(0,MIN(1,IFERROR(VALUE($M530),0))))</f>
        <v/>
      </c>
      <c r="O530" s="57">
        <f>IF($A530="",0,IF(OR($S530&lt;&gt;1,COUNTA($J530:$M530)=0),0,IF(SUMPRODUCT(MAX(($C$5:$C$2484=$C530)*($D$5:$D$2484=$D530)*($S$5:$S$2484=1)*IFERROR($N$5:$N$2484*1,0)))&gt;0,ROUND($H530*($N530/SUMPRODUCT(MAX(($C$5:$C$2484=$C530)*($D$5:$D$2484=$D530)*($S$5:$S$2484=1)*IFERROR($N$5:$N$2484*1,0)))),4),0)))</f>
        <v/>
      </c>
      <c r="P530" s="48" t="inlineStr">
        <is>
          <t>coeff.</t>
        </is>
      </c>
      <c r="Q530" s="57">
        <f>IF($A530="","",$A530&amp;"|"&amp;$C530)</f>
        <v/>
      </c>
      <c r="R530" s="57">
        <f>IF($A530="","",$A530&amp;"|"&amp;$C530&amp;"|"&amp;$D530)</f>
        <v/>
      </c>
      <c r="S530" s="57">
        <f>IF($A530="","",IFERROR(INDEX(Offerte!$D$2:$D$81,MATCH($Q530,Offerte!$L$2:$L$81,0)),0))</f>
        <v/>
      </c>
      <c r="T530" s="57">
        <f>IF($A530="","",IFERROR(INDEX(Offerte!$G$2:$G$81,MATCH($Q530,Offerte!$L$2:$L$81,0)),"NO"))</f>
        <v/>
      </c>
    </row>
    <row r="531">
      <c r="A531" s="48">
        <f>IF(Offerte!$A18="","",Offerte!$A18)</f>
        <v/>
      </c>
      <c r="B531" s="48">
        <f>IF(Offerte!$A18="","",Offerte!$B18)</f>
        <v/>
      </c>
      <c r="C531" s="48">
        <f>IF(Offerte!$A18="","",Offerte!$C18)</f>
        <v/>
      </c>
      <c r="D531" s="48" t="inlineStr">
        <is>
          <t>G.5.1</t>
        </is>
      </c>
      <c r="E531" s="48" t="inlineStr">
        <is>
          <t>G</t>
        </is>
      </c>
      <c r="F531" s="48" t="inlineStr">
        <is>
          <t>T</t>
        </is>
      </c>
      <c r="G531" s="48" t="inlineStr">
        <is>
          <t>tabular</t>
        </is>
      </c>
      <c r="H531" s="48" t="n">
        <v>1</v>
      </c>
      <c r="I531" s="48" t="inlineStr">
        <is>
          <t>Impegno al mantenimento delle garanzie del contratto di secondo livello del gestore uscente</t>
        </is>
      </c>
      <c r="J531" s="73" t="n"/>
      <c r="K531" s="73" t="n"/>
      <c r="L531" s="73" t="n"/>
      <c r="M531" s="73" t="n"/>
      <c r="N531" s="57">
        <f>IF($A531="","",IF(IFERROR(VALUE($M531),0)=1,1,0))</f>
        <v/>
      </c>
      <c r="O531" s="57">
        <f>IF($A531="",0,IF(OR($S531&lt;&gt;1,COUNTA($J531:$M531)=0),0,IF($N531=1,$H531,0)))</f>
        <v/>
      </c>
      <c r="P531" s="48" t="inlineStr">
        <is>
          <t>sì/no</t>
        </is>
      </c>
      <c r="Q531" s="57">
        <f>IF($A531="","",$A531&amp;"|"&amp;$C531)</f>
        <v/>
      </c>
      <c r="R531" s="57">
        <f>IF($A531="","",$A531&amp;"|"&amp;$C531&amp;"|"&amp;$D531)</f>
        <v/>
      </c>
      <c r="S531" s="57">
        <f>IF($A531="","",IFERROR(INDEX(Offerte!$D$2:$D$81,MATCH($Q531,Offerte!$L$2:$L$81,0)),0))</f>
        <v/>
      </c>
      <c r="T531" s="57">
        <f>IF($A531="","",IFERROR(INDEX(Offerte!$G$2:$G$81,MATCH($Q531,Offerte!$L$2:$L$81,0)),"NO"))</f>
        <v/>
      </c>
    </row>
    <row r="532">
      <c r="A532" s="48">
        <f>IF(Offerte!$A19="","",Offerte!$A19)</f>
        <v/>
      </c>
      <c r="B532" s="48">
        <f>IF(Offerte!$A19="","",Offerte!$B19)</f>
        <v/>
      </c>
      <c r="C532" s="48">
        <f>IF(Offerte!$A19="","",Offerte!$C19)</f>
        <v/>
      </c>
      <c r="D532" s="48" t="inlineStr">
        <is>
          <t>A.1.1</t>
        </is>
      </c>
      <c r="E532" s="48" t="inlineStr">
        <is>
          <t>A</t>
        </is>
      </c>
      <c r="F532" s="48" t="inlineStr">
        <is>
          <t>Q</t>
        </is>
      </c>
      <c r="G532" s="48" t="inlineStr">
        <is>
          <t>higher</t>
        </is>
      </c>
      <c r="H532" s="48" t="n">
        <v>3</v>
      </c>
      <c r="I532" s="48" t="inlineStr">
        <is>
          <t>Tasso aggiuntivo di corse controllate</t>
        </is>
      </c>
      <c r="J532" s="73" t="n"/>
      <c r="K532" s="73" t="n"/>
      <c r="L532" s="73" t="n"/>
      <c r="M532" s="73" t="n"/>
      <c r="N532" s="57">
        <f>IF($A532="","",IFERROR(VALUE($K532)/VALUE($L532)*100,IFERROR(VALUE($J532),0)))</f>
        <v/>
      </c>
      <c r="O532" s="57">
        <f>IF($A532="",0,IF(OR($S532&lt;&gt;1,COUNTA($J532:$M532)=0),0,IF(SUMPRODUCT(MAX(($C$5:$C$2484=$C532)*($D$5:$D$2484=$D532)*($S$5:$S$2484=1)*IFERROR($N$5:$N$2484*1,0)))&gt;0,ROUND($H532*($N532/SUMPRODUCT(MAX(($C$5:$C$2484=$C532)*($D$5:$D$2484=$D532)*($S$5:$S$2484=1)*IFERROR($N$5:$N$2484*1,0)))),4),0)))</f>
        <v/>
      </c>
      <c r="P532" s="48" t="inlineStr">
        <is>
          <t>Corse controllate annue / Corse programmate annue</t>
        </is>
      </c>
      <c r="Q532" s="57">
        <f>IF($A532="","",$A532&amp;"|"&amp;$C532)</f>
        <v/>
      </c>
      <c r="R532" s="57">
        <f>IF($A532="","",$A532&amp;"|"&amp;$C532&amp;"|"&amp;$D532)</f>
        <v/>
      </c>
      <c r="S532" s="57">
        <f>IF($A532="","",IFERROR(INDEX(Offerte!$D$2:$D$81,MATCH($Q532,Offerte!$L$2:$L$81,0)),0))</f>
        <v/>
      </c>
      <c r="T532" s="57">
        <f>IF($A532="","",IFERROR(INDEX(Offerte!$G$2:$G$81,MATCH($Q532,Offerte!$L$2:$L$81,0)),"NO"))</f>
        <v/>
      </c>
    </row>
    <row r="533">
      <c r="A533" s="48">
        <f>IF(Offerte!$A19="","",Offerte!$A19)</f>
        <v/>
      </c>
      <c r="B533" s="48">
        <f>IF(Offerte!$A19="","",Offerte!$B19)</f>
        <v/>
      </c>
      <c r="C533" s="48">
        <f>IF(Offerte!$A19="","",Offerte!$C19)</f>
        <v/>
      </c>
      <c r="D533" s="48" t="inlineStr">
        <is>
          <t>A.1.2</t>
        </is>
      </c>
      <c r="E533" s="48" t="inlineStr">
        <is>
          <t>A</t>
        </is>
      </c>
      <c r="F533" s="48" t="inlineStr">
        <is>
          <t>Q</t>
        </is>
      </c>
      <c r="G533" s="48" t="inlineStr">
        <is>
          <t>higher</t>
        </is>
      </c>
      <c r="H533" s="48" t="n">
        <v>4</v>
      </c>
      <c r="I533" s="48" t="inlineStr">
        <is>
          <t>Numero aggiuntivo di passeggeri controllati</t>
        </is>
      </c>
      <c r="J533" s="73" t="n"/>
      <c r="K533" s="73" t="n"/>
      <c r="L533" s="73" t="n"/>
      <c r="M533" s="73" t="n"/>
      <c r="N533" s="57">
        <f>IF($A533="","",IFERROR(VALUE($J533),0))</f>
        <v/>
      </c>
      <c r="O533" s="57">
        <f>IF($A533="",0,IF(OR($S533&lt;&gt;1,COUNTA($J533:$M533)=0),0,IF(SUMPRODUCT(MAX(($C$5:$C$2484=$C533)*($D$5:$D$2484=$D533)*($S$5:$S$2484=1)*IFERROR($N$5:$N$2484*1,0)))&gt;0,ROUND($H533*($N533/SUMPRODUCT(MAX(($C$5:$C$2484=$C533)*($D$5:$D$2484=$D533)*($S$5:$S$2484=1)*IFERROR($N$5:$N$2484*1,0)))),4),0)))</f>
        <v/>
      </c>
      <c r="P533" s="48" t="inlineStr">
        <is>
          <t>passeggeri/anno</t>
        </is>
      </c>
      <c r="Q533" s="57">
        <f>IF($A533="","",$A533&amp;"|"&amp;$C533)</f>
        <v/>
      </c>
      <c r="R533" s="57">
        <f>IF($A533="","",$A533&amp;"|"&amp;$C533&amp;"|"&amp;$D533)</f>
        <v/>
      </c>
      <c r="S533" s="57">
        <f>IF($A533="","",IFERROR(INDEX(Offerte!$D$2:$D$81,MATCH($Q533,Offerte!$L$2:$L$81,0)),0))</f>
        <v/>
      </c>
      <c r="T533" s="57">
        <f>IF($A533="","",IFERROR(INDEX(Offerte!$G$2:$G$81,MATCH($Q533,Offerte!$L$2:$L$81,0)),"NO"))</f>
        <v/>
      </c>
    </row>
    <row r="534">
      <c r="A534" s="48">
        <f>IF(Offerte!$A19="","",Offerte!$A19)</f>
        <v/>
      </c>
      <c r="B534" s="48">
        <f>IF(Offerte!$A19="","",Offerte!$B19)</f>
        <v/>
      </c>
      <c r="C534" s="48">
        <f>IF(Offerte!$A19="","",Offerte!$C19)</f>
        <v/>
      </c>
      <c r="D534" s="48" t="inlineStr">
        <is>
          <t>B.1.1</t>
        </is>
      </c>
      <c r="E534" s="48" t="inlineStr">
        <is>
          <t>B</t>
        </is>
      </c>
      <c r="F534" s="48" t="inlineStr">
        <is>
          <t>Q</t>
        </is>
      </c>
      <c r="G534" s="48" t="inlineStr">
        <is>
          <t>higher</t>
        </is>
      </c>
      <c r="H534" s="48" t="n">
        <v>3</v>
      </c>
      <c r="I534" s="48" t="inlineStr">
        <is>
          <t>Incremento dei posti offerti nelle fasce di punta</t>
        </is>
      </c>
      <c r="J534" s="73" t="n"/>
      <c r="K534" s="73" t="n"/>
      <c r="L534" s="73" t="n"/>
      <c r="M534" s="73" t="n"/>
      <c r="N534" s="57">
        <f>IF($A534="","",IFERROR(VALUE($J534),0))</f>
        <v/>
      </c>
      <c r="O534" s="57">
        <f>IF($A534="",0,IF(OR($S534&lt;&gt;1,COUNTA($J534:$M534)=0),0,IF(SUMPRODUCT(MAX(($C$5:$C$2484=$C534)*($D$5:$D$2484=$D534)*($S$5:$S$2484=1)*IFERROR($N$5:$N$2484*1,0)))&gt;0,ROUND($H534*($N534/SUMPRODUCT(MAX(($C$5:$C$2484=$C534)*($D$5:$D$2484=$D534)*($S$5:$S$2484=1)*IFERROR($N$5:$N$2484*1,0)))),4),0)))</f>
        <v/>
      </c>
      <c r="P534" s="48" t="inlineStr">
        <is>
          <t>posti*km</t>
        </is>
      </c>
      <c r="Q534" s="57">
        <f>IF($A534="","",$A534&amp;"|"&amp;$C534)</f>
        <v/>
      </c>
      <c r="R534" s="57">
        <f>IF($A534="","",$A534&amp;"|"&amp;$C534&amp;"|"&amp;$D534)</f>
        <v/>
      </c>
      <c r="S534" s="57">
        <f>IF($A534="","",IFERROR(INDEX(Offerte!$D$2:$D$81,MATCH($Q534,Offerte!$L$2:$L$81,0)),0))</f>
        <v/>
      </c>
      <c r="T534" s="57">
        <f>IF($A534="","",IFERROR(INDEX(Offerte!$G$2:$G$81,MATCH($Q534,Offerte!$L$2:$L$81,0)),"NO"))</f>
        <v/>
      </c>
    </row>
    <row r="535">
      <c r="A535" s="48">
        <f>IF(Offerte!$A19="","",Offerte!$A19)</f>
        <v/>
      </c>
      <c r="B535" s="48">
        <f>IF(Offerte!$A19="","",Offerte!$B19)</f>
        <v/>
      </c>
      <c r="C535" s="48">
        <f>IF(Offerte!$A19="","",Offerte!$C19)</f>
        <v/>
      </c>
      <c r="D535" s="48" t="inlineStr">
        <is>
          <t>B.2.1</t>
        </is>
      </c>
      <c r="E535" s="48" t="inlineStr">
        <is>
          <t>B</t>
        </is>
      </c>
      <c r="F535" s="48" t="inlineStr">
        <is>
          <t>Q</t>
        </is>
      </c>
      <c r="G535" s="48" t="inlineStr">
        <is>
          <t>higher</t>
        </is>
      </c>
      <c r="H535" s="48" t="n">
        <v>4</v>
      </c>
      <c r="I535" s="48" t="inlineStr">
        <is>
          <t>Corse aggiuntive nell'arco giornaliero base</t>
        </is>
      </c>
      <c r="J535" s="73" t="n"/>
      <c r="K535" s="73" t="n"/>
      <c r="L535" s="73" t="n"/>
      <c r="M535" s="73" t="n"/>
      <c r="N535" s="57">
        <f>IF($A535="","",IFERROR(VALUE($J535),0))</f>
        <v/>
      </c>
      <c r="O535" s="57">
        <f>IF($A535="",0,IF(OR($S535&lt;&gt;1,COUNTA($J535:$M535)=0),0,IF(SUMPRODUCT(MAX(($C$5:$C$2484=$C535)*($D$5:$D$2484=$D535)*($S$5:$S$2484=1)*IFERROR($N$5:$N$2484*1,0)))&gt;0,ROUND($H535*($N535/SUMPRODUCT(MAX(($C$5:$C$2484=$C535)*($D$5:$D$2484=$D535)*($S$5:$S$2484=1)*IFERROR($N$5:$N$2484*1,0)))),4),0)))</f>
        <v/>
      </c>
      <c r="P535" s="48" t="inlineStr">
        <is>
          <t>corse</t>
        </is>
      </c>
      <c r="Q535" s="57">
        <f>IF($A535="","",$A535&amp;"|"&amp;$C535)</f>
        <v/>
      </c>
      <c r="R535" s="57">
        <f>IF($A535="","",$A535&amp;"|"&amp;$C535&amp;"|"&amp;$D535)</f>
        <v/>
      </c>
      <c r="S535" s="57">
        <f>IF($A535="","",IFERROR(INDEX(Offerte!$D$2:$D$81,MATCH($Q535,Offerte!$L$2:$L$81,0)),0))</f>
        <v/>
      </c>
      <c r="T535" s="57">
        <f>IF($A535="","",IFERROR(INDEX(Offerte!$G$2:$G$81,MATCH($Q535,Offerte!$L$2:$L$81,0)),"NO"))</f>
        <v/>
      </c>
    </row>
    <row r="536">
      <c r="A536" s="48">
        <f>IF(Offerte!$A19="","",Offerte!$A19)</f>
        <v/>
      </c>
      <c r="B536" s="48">
        <f>IF(Offerte!$A19="","",Offerte!$B19)</f>
        <v/>
      </c>
      <c r="C536" s="48">
        <f>IF(Offerte!$A19="","",Offerte!$C19)</f>
        <v/>
      </c>
      <c r="D536" s="48" t="inlineStr">
        <is>
          <t>B.3.1</t>
        </is>
      </c>
      <c r="E536" s="48" t="inlineStr">
        <is>
          <t>B</t>
        </is>
      </c>
      <c r="F536" s="48" t="inlineStr">
        <is>
          <t>Q</t>
        </is>
      </c>
      <c r="G536" s="48" t="inlineStr">
        <is>
          <t>higher</t>
        </is>
      </c>
      <c r="H536" s="48" t="n">
        <v>2</v>
      </c>
      <c r="I536" s="48" t="inlineStr">
        <is>
          <t>Numero di corse aggiuntive per allungamento dell'arco di servizio giornaliero nelle fasce serali</t>
        </is>
      </c>
      <c r="J536" s="73" t="n"/>
      <c r="K536" s="73" t="n"/>
      <c r="L536" s="73" t="n"/>
      <c r="M536" s="73" t="n"/>
      <c r="N536" s="57">
        <f>IF($A536="","",IFERROR(VALUE($J536),0))</f>
        <v/>
      </c>
      <c r="O536" s="57">
        <f>IF($A536="",0,IF(OR($S536&lt;&gt;1,COUNTA($J536:$M536)=0),0,IF(SUMPRODUCT(MAX(($C$5:$C$2484=$C536)*($D$5:$D$2484=$D536)*($S$5:$S$2484=1)*IFERROR($N$5:$N$2484*1,0)))&gt;0,ROUND($H536*($N536/SUMPRODUCT(MAX(($C$5:$C$2484=$C536)*($D$5:$D$2484=$D536)*($S$5:$S$2484=1)*IFERROR($N$5:$N$2484*1,0)))),4),0)))</f>
        <v/>
      </c>
      <c r="P536" s="48" t="inlineStr">
        <is>
          <t>corse</t>
        </is>
      </c>
      <c r="Q536" s="57">
        <f>IF($A536="","",$A536&amp;"|"&amp;$C536)</f>
        <v/>
      </c>
      <c r="R536" s="57">
        <f>IF($A536="","",$A536&amp;"|"&amp;$C536&amp;"|"&amp;$D536)</f>
        <v/>
      </c>
      <c r="S536" s="57">
        <f>IF($A536="","",IFERROR(INDEX(Offerte!$D$2:$D$81,MATCH($Q536,Offerte!$L$2:$L$81,0)),0))</f>
        <v/>
      </c>
      <c r="T536" s="57">
        <f>IF($A536="","",IFERROR(INDEX(Offerte!$G$2:$G$81,MATCH($Q536,Offerte!$L$2:$L$81,0)),"NO"))</f>
        <v/>
      </c>
    </row>
    <row r="537">
      <c r="A537" s="48">
        <f>IF(Offerte!$A19="","",Offerte!$A19)</f>
        <v/>
      </c>
      <c r="B537" s="48">
        <f>IF(Offerte!$A19="","",Offerte!$B19)</f>
        <v/>
      </c>
      <c r="C537" s="48">
        <f>IF(Offerte!$A19="","",Offerte!$C19)</f>
        <v/>
      </c>
      <c r="D537" s="48" t="inlineStr">
        <is>
          <t>B.4.1</t>
        </is>
      </c>
      <c r="E537" s="48" t="inlineStr">
        <is>
          <t>B</t>
        </is>
      </c>
      <c r="F537" s="48" t="inlineStr">
        <is>
          <t>Q</t>
        </is>
      </c>
      <c r="G537" s="48" t="inlineStr">
        <is>
          <t>higher</t>
        </is>
      </c>
      <c r="H537" s="48" t="n">
        <v>3</v>
      </c>
      <c r="I537" s="48" t="inlineStr">
        <is>
          <t>Percorrenze aggiuntive offerte nel Programma d'esercizio delle prime due fasi attuative</t>
        </is>
      </c>
      <c r="J537" s="73" t="n"/>
      <c r="K537" s="73" t="n"/>
      <c r="L537" s="73" t="n"/>
      <c r="M537" s="73" t="n"/>
      <c r="N537" s="57">
        <f>IF($A537="","",IFERROR(VALUE($J537),0))</f>
        <v/>
      </c>
      <c r="O537" s="57">
        <f>IF($A537="",0,IF(OR($S537&lt;&gt;1,COUNTA($J537:$M537)=0),0,IF(SUMPRODUCT(MAX(($C$5:$C$2484=$C537)*($D$5:$D$2484=$D537)*($S$5:$S$2484=1)*IFERROR($N$5:$N$2484*1,0)))&gt;0,ROUND($H537*($N537/SUMPRODUCT(MAX(($C$5:$C$2484=$C537)*($D$5:$D$2484=$D537)*($S$5:$S$2484=1)*IFERROR($N$5:$N$2484*1,0)))),4),0)))</f>
        <v/>
      </c>
      <c r="P537" s="48" t="inlineStr">
        <is>
          <t>vett*km</t>
        </is>
      </c>
      <c r="Q537" s="57">
        <f>IF($A537="","",$A537&amp;"|"&amp;$C537)</f>
        <v/>
      </c>
      <c r="R537" s="57">
        <f>IF($A537="","",$A537&amp;"|"&amp;$C537&amp;"|"&amp;$D537)</f>
        <v/>
      </c>
      <c r="S537" s="57">
        <f>IF($A537="","",IFERROR(INDEX(Offerte!$D$2:$D$81,MATCH($Q537,Offerte!$L$2:$L$81,0)),0))</f>
        <v/>
      </c>
      <c r="T537" s="57">
        <f>IF($A537="","",IFERROR(INDEX(Offerte!$G$2:$G$81,MATCH($Q537,Offerte!$L$2:$L$81,0)),"NO"))</f>
        <v/>
      </c>
    </row>
    <row r="538">
      <c r="A538" s="48">
        <f>IF(Offerte!$A19="","",Offerte!$A19)</f>
        <v/>
      </c>
      <c r="B538" s="48">
        <f>IF(Offerte!$A19="","",Offerte!$B19)</f>
        <v/>
      </c>
      <c r="C538" s="48">
        <f>IF(Offerte!$A19="","",Offerte!$C19)</f>
        <v/>
      </c>
      <c r="D538" s="48" t="inlineStr">
        <is>
          <t>B.5.1</t>
        </is>
      </c>
      <c r="E538" s="48" t="inlineStr">
        <is>
          <t>B</t>
        </is>
      </c>
      <c r="F538" s="48" t="inlineStr">
        <is>
          <t>D</t>
        </is>
      </c>
      <c r="G538" s="48" t="inlineStr">
        <is>
          <t>discretionary</t>
        </is>
      </c>
      <c r="H538" s="48" t="n">
        <v>2</v>
      </c>
      <c r="I538" s="48" t="inlineStr">
        <is>
          <t>Efficacia del progetto di servizi complementari DRT</t>
        </is>
      </c>
      <c r="J538" s="73" t="n"/>
      <c r="K538" s="73" t="n"/>
      <c r="L538" s="73" t="n"/>
      <c r="M538" s="73" t="n"/>
      <c r="N538" s="57">
        <f>IF($A538="","",MAX(0,MIN(1,IFERROR(VALUE($M538),0))))</f>
        <v/>
      </c>
      <c r="O538" s="57">
        <f>IF($A538="",0,IF(OR($S538&lt;&gt;1,COUNTA($J538:$M538)=0),0,IF(SUMPRODUCT(MAX(($C$5:$C$2484=$C538)*($D$5:$D$2484=$D538)*($S$5:$S$2484=1)*IFERROR($N$5:$N$2484*1,0)))&gt;0,ROUND($H538*($N538/SUMPRODUCT(MAX(($C$5:$C$2484=$C538)*($D$5:$D$2484=$D538)*($S$5:$S$2484=1)*IFERROR($N$5:$N$2484*1,0)))),4),0)))</f>
        <v/>
      </c>
      <c r="P538" s="48" t="inlineStr">
        <is>
          <t>coeff.</t>
        </is>
      </c>
      <c r="Q538" s="57">
        <f>IF($A538="","",$A538&amp;"|"&amp;$C538)</f>
        <v/>
      </c>
      <c r="R538" s="57">
        <f>IF($A538="","",$A538&amp;"|"&amp;$C538&amp;"|"&amp;$D538)</f>
        <v/>
      </c>
      <c r="S538" s="57">
        <f>IF($A538="","",IFERROR(INDEX(Offerte!$D$2:$D$81,MATCH($Q538,Offerte!$L$2:$L$81,0)),0))</f>
        <v/>
      </c>
      <c r="T538" s="57">
        <f>IF($A538="","",IFERROR(INDEX(Offerte!$G$2:$G$81,MATCH($Q538,Offerte!$L$2:$L$81,0)),"NO"))</f>
        <v/>
      </c>
    </row>
    <row r="539">
      <c r="A539" s="48">
        <f>IF(Offerte!$A19="","",Offerte!$A19)</f>
        <v/>
      </c>
      <c r="B539" s="48">
        <f>IF(Offerte!$A19="","",Offerte!$B19)</f>
        <v/>
      </c>
      <c r="C539" s="48">
        <f>IF(Offerte!$A19="","",Offerte!$C19)</f>
        <v/>
      </c>
      <c r="D539" s="48" t="inlineStr">
        <is>
          <t>C.1.1</t>
        </is>
      </c>
      <c r="E539" s="48" t="inlineStr">
        <is>
          <t>C</t>
        </is>
      </c>
      <c r="F539" s="48" t="inlineStr">
        <is>
          <t>Q</t>
        </is>
      </c>
      <c r="G539" s="48" t="inlineStr">
        <is>
          <t>higher</t>
        </is>
      </c>
      <c r="H539" s="48" t="n">
        <v>2</v>
      </c>
      <c r="I539" s="48" t="inlineStr">
        <is>
          <t>Tasso di copertura del servizio con telecamere BSD</t>
        </is>
      </c>
      <c r="J539" s="73" t="n"/>
      <c r="K539" s="73" t="n"/>
      <c r="L539" s="73" t="n"/>
      <c r="M539" s="73" t="n"/>
      <c r="N539" s="57">
        <f>IF($A539="","",IFERROR(VALUE($K539)/VALUE($L539),IFERROR(VALUE($J539),0)))</f>
        <v/>
      </c>
      <c r="O539" s="57">
        <f>IF($A539="",0,IF(OR($S539&lt;&gt;1,COUNTA($J539:$M539)=0),0,IF(SUMPRODUCT(MAX(($C$5:$C$2484=$C539)*($D$5:$D$2484=$D539)*($S$5:$S$2484=1)*IFERROR($N$5:$N$2484*1,0)))&gt;0,ROUND($H539*($N539/SUMPRODUCT(MAX(($C$5:$C$2484=$C539)*($D$5:$D$2484=$D539)*($S$5:$S$2484=1)*IFERROR($N$5:$N$2484*1,0)))),4),0)))</f>
        <v/>
      </c>
      <c r="P539" s="48" t="inlineStr">
        <is>
          <t>Autobus attrezzati con telecamere BSD / Autobus totali in offerta, incluse scorte</t>
        </is>
      </c>
      <c r="Q539" s="57">
        <f>IF($A539="","",$A539&amp;"|"&amp;$C539)</f>
        <v/>
      </c>
      <c r="R539" s="57">
        <f>IF($A539="","",$A539&amp;"|"&amp;$C539&amp;"|"&amp;$D539)</f>
        <v/>
      </c>
      <c r="S539" s="57">
        <f>IF($A539="","",IFERROR(INDEX(Offerte!$D$2:$D$81,MATCH($Q539,Offerte!$L$2:$L$81,0)),0))</f>
        <v/>
      </c>
      <c r="T539" s="57">
        <f>IF($A539="","",IFERROR(INDEX(Offerte!$G$2:$G$81,MATCH($Q539,Offerte!$L$2:$L$81,0)),"NO"))</f>
        <v/>
      </c>
    </row>
    <row r="540">
      <c r="A540" s="48">
        <f>IF(Offerte!$A19="","",Offerte!$A19)</f>
        <v/>
      </c>
      <c r="B540" s="48">
        <f>IF(Offerte!$A19="","",Offerte!$B19)</f>
        <v/>
      </c>
      <c r="C540" s="48">
        <f>IF(Offerte!$A19="","",Offerte!$C19)</f>
        <v/>
      </c>
      <c r="D540" s="48" t="inlineStr">
        <is>
          <t>C.1.2</t>
        </is>
      </c>
      <c r="E540" s="48" t="inlineStr">
        <is>
          <t>C</t>
        </is>
      </c>
      <c r="F540" s="48" t="inlineStr">
        <is>
          <t>Q</t>
        </is>
      </c>
      <c r="G540" s="48" t="inlineStr">
        <is>
          <t>higher</t>
        </is>
      </c>
      <c r="H540" s="48" t="n">
        <v>2</v>
      </c>
      <c r="I540" s="48" t="inlineStr">
        <is>
          <t>Tasso di copertura del servizio con telecamere ADAS</t>
        </is>
      </c>
      <c r="J540" s="73" t="n"/>
      <c r="K540" s="73" t="n"/>
      <c r="L540" s="73" t="n"/>
      <c r="M540" s="73" t="n"/>
      <c r="N540" s="57">
        <f>IF($A540="","",IFERROR(VALUE($K540)/VALUE($L540),IFERROR(VALUE($J540),0)))</f>
        <v/>
      </c>
      <c r="O540" s="57">
        <f>IF($A540="",0,IF(OR($S540&lt;&gt;1,COUNTA($J540:$M540)=0),0,IF(SUMPRODUCT(MAX(($C$5:$C$2484=$C540)*($D$5:$D$2484=$D540)*($S$5:$S$2484=1)*IFERROR($N$5:$N$2484*1,0)))&gt;0,ROUND($H540*($N540/SUMPRODUCT(MAX(($C$5:$C$2484=$C540)*($D$5:$D$2484=$D540)*($S$5:$S$2484=1)*IFERROR($N$5:$N$2484*1,0)))),4),0)))</f>
        <v/>
      </c>
      <c r="P540" s="48" t="inlineStr">
        <is>
          <t>Autobus attrezzati con telecamere ADAS / Autobus totali in offerta, incluse scorte</t>
        </is>
      </c>
      <c r="Q540" s="57">
        <f>IF($A540="","",$A540&amp;"|"&amp;$C540)</f>
        <v/>
      </c>
      <c r="R540" s="57">
        <f>IF($A540="","",$A540&amp;"|"&amp;$C540&amp;"|"&amp;$D540)</f>
        <v/>
      </c>
      <c r="S540" s="57">
        <f>IF($A540="","",IFERROR(INDEX(Offerte!$D$2:$D$81,MATCH($Q540,Offerte!$L$2:$L$81,0)),0))</f>
        <v/>
      </c>
      <c r="T540" s="57">
        <f>IF($A540="","",IFERROR(INDEX(Offerte!$G$2:$G$81,MATCH($Q540,Offerte!$L$2:$L$81,0)),"NO"))</f>
        <v/>
      </c>
    </row>
    <row r="541">
      <c r="A541" s="48">
        <f>IF(Offerte!$A19="","",Offerte!$A19)</f>
        <v/>
      </c>
      <c r="B541" s="48">
        <f>IF(Offerte!$A19="","",Offerte!$B19)</f>
        <v/>
      </c>
      <c r="C541" s="48">
        <f>IF(Offerte!$A19="","",Offerte!$C19)</f>
        <v/>
      </c>
      <c r="D541" s="48" t="inlineStr">
        <is>
          <t>C.2.1</t>
        </is>
      </c>
      <c r="E541" s="48" t="inlineStr">
        <is>
          <t>C</t>
        </is>
      </c>
      <c r="F541" s="48" t="inlineStr">
        <is>
          <t>Q</t>
        </is>
      </c>
      <c r="G541" s="48" t="inlineStr">
        <is>
          <t>higher</t>
        </is>
      </c>
      <c r="H541" s="48" t="n">
        <v>3</v>
      </c>
      <c r="I541" s="48" t="inlineStr">
        <is>
          <t>Tasso di copertura del servizio con telecamere di bordo di videosorveglianza</t>
        </is>
      </c>
      <c r="J541" s="73" t="n"/>
      <c r="K541" s="73" t="n"/>
      <c r="L541" s="73" t="n"/>
      <c r="M541" s="73" t="n"/>
      <c r="N541" s="57">
        <f>IF($A541="","",IFERROR(VALUE($K541)/VALUE($L541),IFERROR(VALUE($J541),0)))</f>
        <v/>
      </c>
      <c r="O541" s="57">
        <f>IF($A541="",0,IF(OR($S541&lt;&gt;1,COUNTA($J541:$M541)=0),0,IF(SUMPRODUCT(MAX(($C$5:$C$2484=$C541)*($D$5:$D$2484=$D541)*($S$5:$S$2484=1)*IFERROR($N$5:$N$2484*1,0)))&gt;0,ROUND($H541*($N541/SUMPRODUCT(MAX(($C$5:$C$2484=$C541)*($D$5:$D$2484=$D541)*($S$5:$S$2484=1)*IFERROR($N$5:$N$2484*1,0)))),4),0)))</f>
        <v/>
      </c>
      <c r="P541" s="48" t="inlineStr">
        <is>
          <t>Autobus attrezzati con videosorveglianza / Autobus totali in offerta, incluse scorte</t>
        </is>
      </c>
      <c r="Q541" s="57">
        <f>IF($A541="","",$A541&amp;"|"&amp;$C541)</f>
        <v/>
      </c>
      <c r="R541" s="57">
        <f>IF($A541="","",$A541&amp;"|"&amp;$C541&amp;"|"&amp;$D541)</f>
        <v/>
      </c>
      <c r="S541" s="57">
        <f>IF($A541="","",IFERROR(INDEX(Offerte!$D$2:$D$81,MATCH($Q541,Offerte!$L$2:$L$81,0)),0))</f>
        <v/>
      </c>
      <c r="T541" s="57">
        <f>IF($A541="","",IFERROR(INDEX(Offerte!$G$2:$G$81,MATCH($Q541,Offerte!$L$2:$L$81,0)),"NO"))</f>
        <v/>
      </c>
    </row>
    <row r="542">
      <c r="A542" s="48">
        <f>IF(Offerte!$A19="","",Offerte!$A19)</f>
        <v/>
      </c>
      <c r="B542" s="48">
        <f>IF(Offerte!$A19="","",Offerte!$B19)</f>
        <v/>
      </c>
      <c r="C542" s="48">
        <f>IF(Offerte!$A19="","",Offerte!$C19)</f>
        <v/>
      </c>
      <c r="D542" s="48" t="inlineStr">
        <is>
          <t>C.2.2</t>
        </is>
      </c>
      <c r="E542" s="48" t="inlineStr">
        <is>
          <t>C</t>
        </is>
      </c>
      <c r="F542" s="48" t="inlineStr">
        <is>
          <t>T</t>
        </is>
      </c>
      <c r="G542" s="48" t="inlineStr">
        <is>
          <t>tabular</t>
        </is>
      </c>
      <c r="H542" s="48" t="n">
        <v>1</v>
      </c>
      <c r="I542" s="48" t="inlineStr">
        <is>
          <t>Software video/audio analisi per situazioni di pericolo</t>
        </is>
      </c>
      <c r="J542" s="73" t="n"/>
      <c r="K542" s="73" t="n"/>
      <c r="L542" s="73" t="n"/>
      <c r="M542" s="73" t="n"/>
      <c r="N542" s="57">
        <f>IF($A542="","",IF(IFERROR(VALUE($M542),0)=1,1,0))</f>
        <v/>
      </c>
      <c r="O542" s="57">
        <f>IF($A542="",0,IF(OR($S542&lt;&gt;1,COUNTA($J542:$M542)=0),0,IF($N542=1,$H542,0)))</f>
        <v/>
      </c>
      <c r="P542" s="48" t="inlineStr">
        <is>
          <t>sì/no</t>
        </is>
      </c>
      <c r="Q542" s="57">
        <f>IF($A542="","",$A542&amp;"|"&amp;$C542)</f>
        <v/>
      </c>
      <c r="R542" s="57">
        <f>IF($A542="","",$A542&amp;"|"&amp;$C542&amp;"|"&amp;$D542)</f>
        <v/>
      </c>
      <c r="S542" s="57">
        <f>IF($A542="","",IFERROR(INDEX(Offerte!$D$2:$D$81,MATCH($Q542,Offerte!$L$2:$L$81,0)),0))</f>
        <v/>
      </c>
      <c r="T542" s="57">
        <f>IF($A542="","",IFERROR(INDEX(Offerte!$G$2:$G$81,MATCH($Q542,Offerte!$L$2:$L$81,0)),"NO"))</f>
        <v/>
      </c>
    </row>
    <row r="543">
      <c r="A543" s="48">
        <f>IF(Offerte!$A19="","",Offerte!$A19)</f>
        <v/>
      </c>
      <c r="B543" s="48">
        <f>IF(Offerte!$A19="","",Offerte!$B19)</f>
        <v/>
      </c>
      <c r="C543" s="48">
        <f>IF(Offerte!$A19="","",Offerte!$C19)</f>
        <v/>
      </c>
      <c r="D543" s="48" t="inlineStr">
        <is>
          <t>C.2.3</t>
        </is>
      </c>
      <c r="E543" s="48" t="inlineStr">
        <is>
          <t>C</t>
        </is>
      </c>
      <c r="F543" s="48" t="inlineStr">
        <is>
          <t>T</t>
        </is>
      </c>
      <c r="G543" s="48" t="inlineStr">
        <is>
          <t>tabular</t>
        </is>
      </c>
      <c r="H543" s="48" t="n">
        <v>1</v>
      </c>
      <c r="I543" s="48" t="inlineStr">
        <is>
          <t>Collegamento con centrale qualificata di pronto intervento</t>
        </is>
      </c>
      <c r="J543" s="73" t="n"/>
      <c r="K543" s="73" t="n"/>
      <c r="L543" s="73" t="n"/>
      <c r="M543" s="73" t="n"/>
      <c r="N543" s="57">
        <f>IF($A543="","",IF(IFERROR(VALUE($M543),0)=1,1,0))</f>
        <v/>
      </c>
      <c r="O543" s="57">
        <f>IF($A543="",0,IF(OR($S543&lt;&gt;1,COUNTA($J543:$M543)=0),0,IF($N543=1,$H543,0)))</f>
        <v/>
      </c>
      <c r="P543" s="48" t="inlineStr">
        <is>
          <t>sì/no</t>
        </is>
      </c>
      <c r="Q543" s="57">
        <f>IF($A543="","",$A543&amp;"|"&amp;$C543)</f>
        <v/>
      </c>
      <c r="R543" s="57">
        <f>IF($A543="","",$A543&amp;"|"&amp;$C543&amp;"|"&amp;$D543)</f>
        <v/>
      </c>
      <c r="S543" s="57">
        <f>IF($A543="","",IFERROR(INDEX(Offerte!$D$2:$D$81,MATCH($Q543,Offerte!$L$2:$L$81,0)),0))</f>
        <v/>
      </c>
      <c r="T543" s="57">
        <f>IF($A543="","",IFERROR(INDEX(Offerte!$G$2:$G$81,MATCH($Q543,Offerte!$L$2:$L$81,0)),"NO"))</f>
        <v/>
      </c>
    </row>
    <row r="544">
      <c r="A544" s="48">
        <f>IF(Offerte!$A19="","",Offerte!$A19)</f>
        <v/>
      </c>
      <c r="B544" s="48">
        <f>IF(Offerte!$A19="","",Offerte!$B19)</f>
        <v/>
      </c>
      <c r="C544" s="48">
        <f>IF(Offerte!$A19="","",Offerte!$C19)</f>
        <v/>
      </c>
      <c r="D544" s="48" t="inlineStr">
        <is>
          <t>C.2.4</t>
        </is>
      </c>
      <c r="E544" s="48" t="inlineStr">
        <is>
          <t>C</t>
        </is>
      </c>
      <c r="F544" s="48" t="inlineStr">
        <is>
          <t>Q</t>
        </is>
      </c>
      <c r="G544" s="48" t="inlineStr">
        <is>
          <t>higher</t>
        </is>
      </c>
      <c r="H544" s="48" t="n">
        <v>1</v>
      </c>
      <c r="I544" s="48" t="inlineStr">
        <is>
          <t>Tasso di copertura del servizio con dispositivi per la chiamata di emergenza del conducente</t>
        </is>
      </c>
      <c r="J544" s="73" t="n"/>
      <c r="K544" s="73" t="n"/>
      <c r="L544" s="73" t="n"/>
      <c r="M544" s="73" t="n"/>
      <c r="N544" s="57">
        <f>IF($A544="","",IFERROR(VALUE($K544)/VALUE($L544),IFERROR(VALUE($J544),0)))</f>
        <v/>
      </c>
      <c r="O544" s="57">
        <f>IF($A544="",0,IF(OR($S544&lt;&gt;1,COUNTA($J544:$M544)=0),0,IF(SUMPRODUCT(MAX(($C$5:$C$2484=$C544)*($D$5:$D$2484=$D544)*($S$5:$S$2484=1)*IFERROR($N$5:$N$2484*1,0)))&gt;0,ROUND($H544*($N544/SUMPRODUCT(MAX(($C$5:$C$2484=$C544)*($D$5:$D$2484=$D544)*($S$5:$S$2484=1)*IFERROR($N$5:$N$2484*1,0)))),4),0)))</f>
        <v/>
      </c>
      <c r="P544" s="48" t="inlineStr">
        <is>
          <t>Autobus attrezzati con chiamata di emergenza / Autobus totali in offerta, incluse scorte</t>
        </is>
      </c>
      <c r="Q544" s="57">
        <f>IF($A544="","",$A544&amp;"|"&amp;$C544)</f>
        <v/>
      </c>
      <c r="R544" s="57">
        <f>IF($A544="","",$A544&amp;"|"&amp;$C544&amp;"|"&amp;$D544)</f>
        <v/>
      </c>
      <c r="S544" s="57">
        <f>IF($A544="","",IFERROR(INDEX(Offerte!$D$2:$D$81,MATCH($Q544,Offerte!$L$2:$L$81,0)),0))</f>
        <v/>
      </c>
      <c r="T544" s="57">
        <f>IF($A544="","",IFERROR(INDEX(Offerte!$G$2:$G$81,MATCH($Q544,Offerte!$L$2:$L$81,0)),"NO"))</f>
        <v/>
      </c>
    </row>
    <row r="545">
      <c r="A545" s="48">
        <f>IF(Offerte!$A19="","",Offerte!$A19)</f>
        <v/>
      </c>
      <c r="B545" s="48">
        <f>IF(Offerte!$A19="","",Offerte!$B19)</f>
        <v/>
      </c>
      <c r="C545" s="48">
        <f>IF(Offerte!$A19="","",Offerte!$C19)</f>
        <v/>
      </c>
      <c r="D545" s="48" t="inlineStr">
        <is>
          <t>C.3.1</t>
        </is>
      </c>
      <c r="E545" s="48" t="inlineStr">
        <is>
          <t>C</t>
        </is>
      </c>
      <c r="F545" s="48" t="inlineStr">
        <is>
          <t>Q</t>
        </is>
      </c>
      <c r="G545" s="48" t="inlineStr">
        <is>
          <t>higher</t>
        </is>
      </c>
      <c r="H545" s="48" t="n">
        <v>2</v>
      </c>
      <c r="I545" s="48" t="inlineStr">
        <is>
          <t>Tasso di copertura del servizio con dispositivi di informazione dinamica a bordo mezzo</t>
        </is>
      </c>
      <c r="J545" s="73" t="n"/>
      <c r="K545" s="73" t="n"/>
      <c r="L545" s="73" t="n"/>
      <c r="M545" s="73" t="n"/>
      <c r="N545" s="57">
        <f>IF($A545="","",IFERROR(VALUE($K545)/VALUE($L545),IFERROR(VALUE($J545),0)))</f>
        <v/>
      </c>
      <c r="O545" s="57">
        <f>IF($A545="",0,IF(OR($S545&lt;&gt;1,COUNTA($J545:$M545)=0),0,IF(SUMPRODUCT(MAX(($C$5:$C$2484=$C545)*($D$5:$D$2484=$D545)*($S$5:$S$2484=1)*IFERROR($N$5:$N$2484*1,0)))&gt;0,ROUND($H545*($N545/SUMPRODUCT(MAX(($C$5:$C$2484=$C545)*($D$5:$D$2484=$D545)*($S$5:$S$2484=1)*IFERROR($N$5:$N$2484*1,0)))),4),0)))</f>
        <v/>
      </c>
      <c r="P545" s="48" t="inlineStr">
        <is>
          <t>Autobus con monitor e indicatori vocali / Autobus totali in offerta, incluse scorte</t>
        </is>
      </c>
      <c r="Q545" s="57">
        <f>IF($A545="","",$A545&amp;"|"&amp;$C545)</f>
        <v/>
      </c>
      <c r="R545" s="57">
        <f>IF($A545="","",$A545&amp;"|"&amp;$C545&amp;"|"&amp;$D545)</f>
        <v/>
      </c>
      <c r="S545" s="57">
        <f>IF($A545="","",IFERROR(INDEX(Offerte!$D$2:$D$81,MATCH($Q545,Offerte!$L$2:$L$81,0)),0))</f>
        <v/>
      </c>
      <c r="T545" s="57">
        <f>IF($A545="","",IFERROR(INDEX(Offerte!$G$2:$G$81,MATCH($Q545,Offerte!$L$2:$L$81,0)),"NO"))</f>
        <v/>
      </c>
    </row>
    <row r="546">
      <c r="A546" s="48">
        <f>IF(Offerte!$A19="","",Offerte!$A19)</f>
        <v/>
      </c>
      <c r="B546" s="48">
        <f>IF(Offerte!$A19="","",Offerte!$B19)</f>
        <v/>
      </c>
      <c r="C546" s="48">
        <f>IF(Offerte!$A19="","",Offerte!$C19)</f>
        <v/>
      </c>
      <c r="D546" s="48" t="inlineStr">
        <is>
          <t>C.3.2</t>
        </is>
      </c>
      <c r="E546" s="48" t="inlineStr">
        <is>
          <t>C</t>
        </is>
      </c>
      <c r="F546" s="48" t="inlineStr">
        <is>
          <t>T</t>
        </is>
      </c>
      <c r="G546" s="48" t="inlineStr">
        <is>
          <t>tabular</t>
        </is>
      </c>
      <c r="H546" s="48" t="n">
        <v>2</v>
      </c>
      <c r="I546" s="48" t="inlineStr">
        <is>
          <t>Informazioni a bordo su coincidenze ai nodi</t>
        </is>
      </c>
      <c r="J546" s="73" t="n"/>
      <c r="K546" s="73" t="n"/>
      <c r="L546" s="73" t="n"/>
      <c r="M546" s="73" t="n"/>
      <c r="N546" s="57">
        <f>IF($A546="","",IF(IFERROR(VALUE($M546),0)=1,1,0))</f>
        <v/>
      </c>
      <c r="O546" s="57">
        <f>IF($A546="",0,IF(OR($S546&lt;&gt;1,COUNTA($J546:$M546)=0),0,IF(AND($N546=1,IFERROR(SUMIFS($N$5:$N$2484,$Q$5:$Q$2484,$Q546,$D$5:$D$2484,"C.3.1"),0)&gt;=0.5),$H546,0)))</f>
        <v/>
      </c>
      <c r="P546" s="48" t="inlineStr">
        <is>
          <t>Dipende da C.3.1 &gt;= 0.5</t>
        </is>
      </c>
      <c r="Q546" s="57">
        <f>IF($A546="","",$A546&amp;"|"&amp;$C546)</f>
        <v/>
      </c>
      <c r="R546" s="57">
        <f>IF($A546="","",$A546&amp;"|"&amp;$C546&amp;"|"&amp;$D546)</f>
        <v/>
      </c>
      <c r="S546" s="57">
        <f>IF($A546="","",IFERROR(INDEX(Offerte!$D$2:$D$81,MATCH($Q546,Offerte!$L$2:$L$81,0)),0))</f>
        <v/>
      </c>
      <c r="T546" s="57">
        <f>IF($A546="","",IFERROR(INDEX(Offerte!$G$2:$G$81,MATCH($Q546,Offerte!$L$2:$L$81,0)),"NO"))</f>
        <v/>
      </c>
    </row>
    <row r="547">
      <c r="A547" s="48">
        <f>IF(Offerte!$A19="","",Offerte!$A19)</f>
        <v/>
      </c>
      <c r="B547" s="48">
        <f>IF(Offerte!$A19="","",Offerte!$B19)</f>
        <v/>
      </c>
      <c r="C547" s="48">
        <f>IF(Offerte!$A19="","",Offerte!$C19)</f>
        <v/>
      </c>
      <c r="D547" s="48" t="inlineStr">
        <is>
          <t>D.1.1</t>
        </is>
      </c>
      <c r="E547" s="48" t="inlineStr">
        <is>
          <t>D</t>
        </is>
      </c>
      <c r="F547" s="48" t="inlineStr">
        <is>
          <t>Q</t>
        </is>
      </c>
      <c r="G547" s="48" t="inlineStr">
        <is>
          <t>higher</t>
        </is>
      </c>
      <c r="H547" s="48" t="n">
        <v>3</v>
      </c>
      <c r="I547" s="48" t="inlineStr">
        <is>
          <t>Installazione di pensiline</t>
        </is>
      </c>
      <c r="J547" s="73" t="n"/>
      <c r="K547" s="73" t="n"/>
      <c r="L547" s="73" t="n"/>
      <c r="M547" s="73" t="n"/>
      <c r="N547" s="57">
        <f>IF($A547="","",IFERROR(VALUE($J547),0))</f>
        <v/>
      </c>
      <c r="O547" s="57">
        <f>IF($A547="",0,IF(OR($S547&lt;&gt;1,COUNTA($J547:$M547)=0),0,IF(SUMPRODUCT(MAX(($C$5:$C$2484=$C547)*($D$5:$D$2484=$D547)*($S$5:$S$2484=1)*IFERROR($N$5:$N$2484*1,0)))&gt;0,ROUND($H547*($N547/SUMPRODUCT(MAX(($C$5:$C$2484=$C547)*($D$5:$D$2484=$D547)*($S$5:$S$2484=1)*IFERROR($N$5:$N$2484*1,0)))),4),0)))</f>
        <v/>
      </c>
      <c r="P547" s="48" t="inlineStr">
        <is>
          <t>fermate</t>
        </is>
      </c>
      <c r="Q547" s="57">
        <f>IF($A547="","",$A547&amp;"|"&amp;$C547)</f>
        <v/>
      </c>
      <c r="R547" s="57">
        <f>IF($A547="","",$A547&amp;"|"&amp;$C547&amp;"|"&amp;$D547)</f>
        <v/>
      </c>
      <c r="S547" s="57">
        <f>IF($A547="","",IFERROR(INDEX(Offerte!$D$2:$D$81,MATCH($Q547,Offerte!$L$2:$L$81,0)),0))</f>
        <v/>
      </c>
      <c r="T547" s="57">
        <f>IF($A547="","",IFERROR(INDEX(Offerte!$G$2:$G$81,MATCH($Q547,Offerte!$L$2:$L$81,0)),"NO"))</f>
        <v/>
      </c>
    </row>
    <row r="548">
      <c r="A548" s="48">
        <f>IF(Offerte!$A19="","",Offerte!$A19)</f>
        <v/>
      </c>
      <c r="B548" s="48">
        <f>IF(Offerte!$A19="","",Offerte!$B19)</f>
        <v/>
      </c>
      <c r="C548" s="48">
        <f>IF(Offerte!$A19="","",Offerte!$C19)</f>
        <v/>
      </c>
      <c r="D548" s="48" t="inlineStr">
        <is>
          <t>D.1.2</t>
        </is>
      </c>
      <c r="E548" s="48" t="inlineStr">
        <is>
          <t>D</t>
        </is>
      </c>
      <c r="F548" s="48" t="inlineStr">
        <is>
          <t>Q</t>
        </is>
      </c>
      <c r="G548" s="48" t="inlineStr">
        <is>
          <t>higher</t>
        </is>
      </c>
      <c r="H548" s="48" t="n">
        <v>3</v>
      </c>
      <c r="I548" s="48" t="inlineStr">
        <is>
          <t>Installazione di paline di fermata conformi alla DGR 581/2023</t>
        </is>
      </c>
      <c r="J548" s="73" t="n"/>
      <c r="K548" s="73" t="n"/>
      <c r="L548" s="73" t="n"/>
      <c r="M548" s="73" t="n"/>
      <c r="N548" s="57">
        <f>IF($A548="","",IFERROR(VALUE($J548),0))</f>
        <v/>
      </c>
      <c r="O548" s="57">
        <f>IF($A548="",0,IF(OR($S548&lt;&gt;1,COUNTA($J548:$M548)=0),0,IF(SUMPRODUCT(MAX(($C$5:$C$2484=$C548)*($D$5:$D$2484=$D548)*($S$5:$S$2484=1)*IFERROR($N$5:$N$2484*1,0)))&gt;0,ROUND($H548*($N548/SUMPRODUCT(MAX(($C$5:$C$2484=$C548)*($D$5:$D$2484=$D548)*($S$5:$S$2484=1)*IFERROR($N$5:$N$2484*1,0)))),4),0)))</f>
        <v/>
      </c>
      <c r="P548" s="48" t="inlineStr">
        <is>
          <t>fermate</t>
        </is>
      </c>
      <c r="Q548" s="57">
        <f>IF($A548="","",$A548&amp;"|"&amp;$C548)</f>
        <v/>
      </c>
      <c r="R548" s="57">
        <f>IF($A548="","",$A548&amp;"|"&amp;$C548&amp;"|"&amp;$D548)</f>
        <v/>
      </c>
      <c r="S548" s="57">
        <f>IF($A548="","",IFERROR(INDEX(Offerte!$D$2:$D$81,MATCH($Q548,Offerte!$L$2:$L$81,0)),0))</f>
        <v/>
      </c>
      <c r="T548" s="57">
        <f>IF($A548="","",IFERROR(INDEX(Offerte!$G$2:$G$81,MATCH($Q548,Offerte!$L$2:$L$81,0)),"NO"))</f>
        <v/>
      </c>
    </row>
    <row r="549">
      <c r="A549" s="48">
        <f>IF(Offerte!$A19="","",Offerte!$A19)</f>
        <v/>
      </c>
      <c r="B549" s="48">
        <f>IF(Offerte!$A19="","",Offerte!$B19)</f>
        <v/>
      </c>
      <c r="C549" s="48">
        <f>IF(Offerte!$A19="","",Offerte!$C19)</f>
        <v/>
      </c>
      <c r="D549" s="48" t="inlineStr">
        <is>
          <t>D.1.3</t>
        </is>
      </c>
      <c r="E549" s="48" t="inlineStr">
        <is>
          <t>D</t>
        </is>
      </c>
      <c r="F549" s="48" t="inlineStr">
        <is>
          <t>Q</t>
        </is>
      </c>
      <c r="G549" s="48" t="inlineStr">
        <is>
          <t>higher</t>
        </is>
      </c>
      <c r="H549" s="48" t="n">
        <v>2</v>
      </c>
      <c r="I549" s="48" t="inlineStr">
        <is>
          <t>Display informativi connessi alle fermate</t>
        </is>
      </c>
      <c r="J549" s="73" t="n"/>
      <c r="K549" s="73" t="n"/>
      <c r="L549" s="73" t="n"/>
      <c r="M549" s="73" t="n"/>
      <c r="N549" s="57">
        <f>IF($A549="","",IFERROR(VALUE($J549),0))</f>
        <v/>
      </c>
      <c r="O549" s="57">
        <f>IF($A549="",0,IF(OR($S549&lt;&gt;1,COUNTA($J549:$M549)=0),0,IF(SUMPRODUCT(MAX(($C$5:$C$2484=$C549)*($D$5:$D$2484=$D549)*($S$5:$S$2484=1)*IFERROR($N$5:$N$2484*1,0)))&gt;0,ROUND($H549*($N549/SUMPRODUCT(MAX(($C$5:$C$2484=$C549)*($D$5:$D$2484=$D549)*($S$5:$S$2484=1)*IFERROR($N$5:$N$2484*1,0)))),4),0)))</f>
        <v/>
      </c>
      <c r="P549" s="48" t="inlineStr">
        <is>
          <t>fermate</t>
        </is>
      </c>
      <c r="Q549" s="57">
        <f>IF($A549="","",$A549&amp;"|"&amp;$C549)</f>
        <v/>
      </c>
      <c r="R549" s="57">
        <f>IF($A549="","",$A549&amp;"|"&amp;$C549&amp;"|"&amp;$D549)</f>
        <v/>
      </c>
      <c r="S549" s="57">
        <f>IF($A549="","",IFERROR(INDEX(Offerte!$D$2:$D$81,MATCH($Q549,Offerte!$L$2:$L$81,0)),0))</f>
        <v/>
      </c>
      <c r="T549" s="57">
        <f>IF($A549="","",IFERROR(INDEX(Offerte!$G$2:$G$81,MATCH($Q549,Offerte!$L$2:$L$81,0)),"NO"))</f>
        <v/>
      </c>
    </row>
    <row r="550">
      <c r="A550" s="48">
        <f>IF(Offerte!$A19="","",Offerte!$A19)</f>
        <v/>
      </c>
      <c r="B550" s="48">
        <f>IF(Offerte!$A19="","",Offerte!$B19)</f>
        <v/>
      </c>
      <c r="C550" s="48">
        <f>IF(Offerte!$A19="","",Offerte!$C19)</f>
        <v/>
      </c>
      <c r="D550" s="48" t="inlineStr">
        <is>
          <t>D.2.1</t>
        </is>
      </c>
      <c r="E550" s="48" t="inlineStr">
        <is>
          <t>D</t>
        </is>
      </c>
      <c r="F550" s="48" t="inlineStr">
        <is>
          <t>Q</t>
        </is>
      </c>
      <c r="G550" s="48" t="inlineStr">
        <is>
          <t>higher</t>
        </is>
      </c>
      <c r="H550" s="48" t="n">
        <v>2</v>
      </c>
      <c r="I550" s="48" t="inlineStr">
        <is>
          <t>Segnali tattili Loges-Vet-Evolution</t>
        </is>
      </c>
      <c r="J550" s="73" t="n"/>
      <c r="K550" s="73" t="n"/>
      <c r="L550" s="73" t="n"/>
      <c r="M550" s="73" t="n"/>
      <c r="N550" s="57">
        <f>IF($A550="","",IFERROR(VALUE($J550),0))</f>
        <v/>
      </c>
      <c r="O550" s="57">
        <f>IF($A550="",0,IF(OR($S550&lt;&gt;1,COUNTA($J550:$M550)=0),0,IF(SUMPRODUCT(MAX(($C$5:$C$2484=$C550)*($D$5:$D$2484=$D550)*($S$5:$S$2484=1)*IFERROR($N$5:$N$2484*1,0)))&gt;0,ROUND($H550*($N550/SUMPRODUCT(MAX(($C$5:$C$2484=$C550)*($D$5:$D$2484=$D550)*($S$5:$S$2484=1)*IFERROR($N$5:$N$2484*1,0)))),4),0)))</f>
        <v/>
      </c>
      <c r="P550" s="48" t="inlineStr">
        <is>
          <t>fermate</t>
        </is>
      </c>
      <c r="Q550" s="57">
        <f>IF($A550="","",$A550&amp;"|"&amp;$C550)</f>
        <v/>
      </c>
      <c r="R550" s="57">
        <f>IF($A550="","",$A550&amp;"|"&amp;$C550&amp;"|"&amp;$D550)</f>
        <v/>
      </c>
      <c r="S550" s="57">
        <f>IF($A550="","",IFERROR(INDEX(Offerte!$D$2:$D$81,MATCH($Q550,Offerte!$L$2:$L$81,0)),0))</f>
        <v/>
      </c>
      <c r="T550" s="57">
        <f>IF($A550="","",IFERROR(INDEX(Offerte!$G$2:$G$81,MATCH($Q550,Offerte!$L$2:$L$81,0)),"NO"))</f>
        <v/>
      </c>
    </row>
    <row r="551">
      <c r="A551" s="48">
        <f>IF(Offerte!$A19="","",Offerte!$A19)</f>
        <v/>
      </c>
      <c r="B551" s="48">
        <f>IF(Offerte!$A19="","",Offerte!$B19)</f>
        <v/>
      </c>
      <c r="C551" s="48">
        <f>IF(Offerte!$A19="","",Offerte!$C19)</f>
        <v/>
      </c>
      <c r="D551" s="48" t="inlineStr">
        <is>
          <t>E.1.1</t>
        </is>
      </c>
      <c r="E551" s="48" t="inlineStr">
        <is>
          <t>E</t>
        </is>
      </c>
      <c r="F551" s="48" t="inlineStr">
        <is>
          <t>T</t>
        </is>
      </c>
      <c r="G551" s="48" t="inlineStr">
        <is>
          <t>tabular</t>
        </is>
      </c>
      <c r="H551" s="48" t="n">
        <v>2</v>
      </c>
      <c r="I551" s="48" t="inlineStr">
        <is>
          <t>Mobile app con travel planner PRM</t>
        </is>
      </c>
      <c r="J551" s="73" t="n"/>
      <c r="K551" s="73" t="n"/>
      <c r="L551" s="73" t="n"/>
      <c r="M551" s="73" t="n"/>
      <c r="N551" s="57">
        <f>IF($A551="","",IF(IFERROR(VALUE($M551),0)=1,1,0))</f>
        <v/>
      </c>
      <c r="O551" s="57">
        <f>IF($A551="",0,IF(OR($S551&lt;&gt;1,COUNTA($J551:$M551)=0),0,IF($N551=1,$H551,0)))</f>
        <v/>
      </c>
      <c r="P551" s="48" t="inlineStr">
        <is>
          <t>sì/no</t>
        </is>
      </c>
      <c r="Q551" s="57">
        <f>IF($A551="","",$A551&amp;"|"&amp;$C551)</f>
        <v/>
      </c>
      <c r="R551" s="57">
        <f>IF($A551="","",$A551&amp;"|"&amp;$C551&amp;"|"&amp;$D551)</f>
        <v/>
      </c>
      <c r="S551" s="57">
        <f>IF($A551="","",IFERROR(INDEX(Offerte!$D$2:$D$81,MATCH($Q551,Offerte!$L$2:$L$81,0)),0))</f>
        <v/>
      </c>
      <c r="T551" s="57">
        <f>IF($A551="","",IFERROR(INDEX(Offerte!$G$2:$G$81,MATCH($Q551,Offerte!$L$2:$L$81,0)),"NO"))</f>
        <v/>
      </c>
    </row>
    <row r="552">
      <c r="A552" s="48">
        <f>IF(Offerte!$A19="","",Offerte!$A19)</f>
        <v/>
      </c>
      <c r="B552" s="48">
        <f>IF(Offerte!$A19="","",Offerte!$B19)</f>
        <v/>
      </c>
      <c r="C552" s="48">
        <f>IF(Offerte!$A19="","",Offerte!$C19)</f>
        <v/>
      </c>
      <c r="D552" s="48" t="inlineStr">
        <is>
          <t>E.2.1</t>
        </is>
      </c>
      <c r="E552" s="48" t="inlineStr">
        <is>
          <t>E</t>
        </is>
      </c>
      <c r="F552" s="48" t="inlineStr">
        <is>
          <t>D</t>
        </is>
      </c>
      <c r="G552" s="48" t="inlineStr">
        <is>
          <t>discretionary</t>
        </is>
      </c>
      <c r="H552" s="48" t="n">
        <v>2</v>
      </c>
      <c r="I552" s="48" t="inlineStr">
        <is>
          <t>Altre azioni informative e rapporti con gli utenti</t>
        </is>
      </c>
      <c r="J552" s="73" t="n"/>
      <c r="K552" s="73" t="n"/>
      <c r="L552" s="73" t="n"/>
      <c r="M552" s="73" t="n"/>
      <c r="N552" s="57">
        <f>IF($A552="","",MAX(0,MIN(1,IFERROR(VALUE($M552),0))))</f>
        <v/>
      </c>
      <c r="O552" s="57">
        <f>IF($A552="",0,IF(OR($S552&lt;&gt;1,COUNTA($J552:$M552)=0),0,IF(SUMPRODUCT(MAX(($C$5:$C$2484=$C552)*($D$5:$D$2484=$D552)*($S$5:$S$2484=1)*IFERROR($N$5:$N$2484*1,0)))&gt;0,ROUND($H552*($N552/SUMPRODUCT(MAX(($C$5:$C$2484=$C552)*($D$5:$D$2484=$D552)*($S$5:$S$2484=1)*IFERROR($N$5:$N$2484*1,0)))),4),0)))</f>
        <v/>
      </c>
      <c r="P552" s="48" t="inlineStr">
        <is>
          <t>coeff.</t>
        </is>
      </c>
      <c r="Q552" s="57">
        <f>IF($A552="","",$A552&amp;"|"&amp;$C552)</f>
        <v/>
      </c>
      <c r="R552" s="57">
        <f>IF($A552="","",$A552&amp;"|"&amp;$C552&amp;"|"&amp;$D552)</f>
        <v/>
      </c>
      <c r="S552" s="57">
        <f>IF($A552="","",IFERROR(INDEX(Offerte!$D$2:$D$81,MATCH($Q552,Offerte!$L$2:$L$81,0)),0))</f>
        <v/>
      </c>
      <c r="T552" s="57">
        <f>IF($A552="","",IFERROR(INDEX(Offerte!$G$2:$G$81,MATCH($Q552,Offerte!$L$2:$L$81,0)),"NO"))</f>
        <v/>
      </c>
    </row>
    <row r="553">
      <c r="A553" s="48">
        <f>IF(Offerte!$A19="","",Offerte!$A19)</f>
        <v/>
      </c>
      <c r="B553" s="48">
        <f>IF(Offerte!$A19="","",Offerte!$B19)</f>
        <v/>
      </c>
      <c r="C553" s="48">
        <f>IF(Offerte!$A19="","",Offerte!$C19)</f>
        <v/>
      </c>
      <c r="D553" s="48" t="inlineStr">
        <is>
          <t>F.1.1</t>
        </is>
      </c>
      <c r="E553" s="48" t="inlineStr">
        <is>
          <t>F</t>
        </is>
      </c>
      <c r="F553" s="48" t="inlineStr">
        <is>
          <t>Q</t>
        </is>
      </c>
      <c r="G553" s="48" t="inlineStr">
        <is>
          <t>lower</t>
        </is>
      </c>
      <c r="H553" s="48" t="n">
        <v>7</v>
      </c>
      <c r="I553" s="48" t="inlineStr">
        <is>
          <t>Performance ambientali del parco mezzi adibito al servizio - I_CEA</t>
        </is>
      </c>
      <c r="J553" s="73" t="n"/>
      <c r="K553" s="73" t="n"/>
      <c r="L553" s="73" t="n"/>
      <c r="M553" s="73" t="n"/>
      <c r="N553" s="57">
        <f>IF($A553="","",IFERROR(VALUE($J553),0))</f>
        <v/>
      </c>
      <c r="O553" s="57">
        <f>IF($A553="",0,IF(OR($S553&lt;&gt;1,COUNTA($J553:$M553)=0),0,IF(AND(IFERROR(AGGREGATE(15,6,$N$5:$N$2484/(($C$5:$C$2484=$C553)*($D$5:$D$2484=$D553)*($S$5:$S$2484=1)*($N$5:$N$2484&gt;0)),1),0)&gt;0,$N553&gt;0),ROUND($H553*(IFERROR(AGGREGATE(15,6,$N$5:$N$2484/(($C$5:$C$2484=$C553)*($D$5:$D$2484=$D553)*($S$5:$S$2484=1)*($N$5:$N$2484&gt;0)),1),0)/$N553),4),0)))</f>
        <v/>
      </c>
      <c r="P553" s="48" t="inlineStr">
        <is>
          <t>indice</t>
        </is>
      </c>
      <c r="Q553" s="57">
        <f>IF($A553="","",$A553&amp;"|"&amp;$C553)</f>
        <v/>
      </c>
      <c r="R553" s="57">
        <f>IF($A553="","",$A553&amp;"|"&amp;$C553&amp;"|"&amp;$D553)</f>
        <v/>
      </c>
      <c r="S553" s="57">
        <f>IF($A553="","",IFERROR(INDEX(Offerte!$D$2:$D$81,MATCH($Q553,Offerte!$L$2:$L$81,0)),0))</f>
        <v/>
      </c>
      <c r="T553" s="57">
        <f>IF($A553="","",IFERROR(INDEX(Offerte!$G$2:$G$81,MATCH($Q553,Offerte!$L$2:$L$81,0)),"NO"))</f>
        <v/>
      </c>
    </row>
    <row r="554">
      <c r="A554" s="48">
        <f>IF(Offerte!$A19="","",Offerte!$A19)</f>
        <v/>
      </c>
      <c r="B554" s="48">
        <f>IF(Offerte!$A19="","",Offerte!$B19)</f>
        <v/>
      </c>
      <c r="C554" s="48">
        <f>IF(Offerte!$A19="","",Offerte!$C19)</f>
        <v/>
      </c>
      <c r="D554" s="48" t="inlineStr">
        <is>
          <t>F.2.1</t>
        </is>
      </c>
      <c r="E554" s="48" t="inlineStr">
        <is>
          <t>F</t>
        </is>
      </c>
      <c r="F554" s="48" t="inlineStr">
        <is>
          <t>Q</t>
        </is>
      </c>
      <c r="G554" s="48" t="inlineStr">
        <is>
          <t>higher</t>
        </is>
      </c>
      <c r="H554" s="48" t="n">
        <v>2</v>
      </c>
      <c r="I554" s="48" t="inlineStr">
        <is>
          <t>Tasso di copertura del servizio con dispositivi ECO-DRIVER</t>
        </is>
      </c>
      <c r="J554" s="73" t="n"/>
      <c r="K554" s="73" t="n"/>
      <c r="L554" s="73" t="n"/>
      <c r="M554" s="73" t="n"/>
      <c r="N554" s="57">
        <f>IF($A554="","",IFERROR(VALUE($K554)/VALUE($L554),IFERROR(VALUE($J554),0)))</f>
        <v/>
      </c>
      <c r="O554" s="57">
        <f>IF($A554="",0,IF(OR($S554&lt;&gt;1,COUNTA($J554:$M554)=0),0,IF(SUMPRODUCT(MAX(($C$5:$C$2484=$C554)*($D$5:$D$2484=$D554)*($S$5:$S$2484=1)*IFERROR($N$5:$N$2484*1,0)))&gt;0,ROUND($H554*($N554/SUMPRODUCT(MAX(($C$5:$C$2484=$C554)*($D$5:$D$2484=$D554)*($S$5:$S$2484=1)*IFERROR($N$5:$N$2484*1,0)))),4),0)))</f>
        <v/>
      </c>
      <c r="P554" s="48" t="inlineStr">
        <is>
          <t>Autobus attrezzati con dispositivi ECO-DRIVER / Autobus totali in offerta, incluse scorte</t>
        </is>
      </c>
      <c r="Q554" s="57">
        <f>IF($A554="","",$A554&amp;"|"&amp;$C554)</f>
        <v/>
      </c>
      <c r="R554" s="57">
        <f>IF($A554="","",$A554&amp;"|"&amp;$C554&amp;"|"&amp;$D554)</f>
        <v/>
      </c>
      <c r="S554" s="57">
        <f>IF($A554="","",IFERROR(INDEX(Offerte!$D$2:$D$81,MATCH($Q554,Offerte!$L$2:$L$81,0)),0))</f>
        <v/>
      </c>
      <c r="T554" s="57">
        <f>IF($A554="","",IFERROR(INDEX(Offerte!$G$2:$G$81,MATCH($Q554,Offerte!$L$2:$L$81,0)),"NO"))</f>
        <v/>
      </c>
    </row>
    <row r="555">
      <c r="A555" s="48">
        <f>IF(Offerte!$A19="","",Offerte!$A19)</f>
        <v/>
      </c>
      <c r="B555" s="48">
        <f>IF(Offerte!$A19="","",Offerte!$B19)</f>
        <v/>
      </c>
      <c r="C555" s="48">
        <f>IF(Offerte!$A19="","",Offerte!$C19)</f>
        <v/>
      </c>
      <c r="D555" s="48" t="inlineStr">
        <is>
          <t>F.3.1</t>
        </is>
      </c>
      <c r="E555" s="48" t="inlineStr">
        <is>
          <t>F</t>
        </is>
      </c>
      <c r="F555" s="48" t="inlineStr">
        <is>
          <t>Q</t>
        </is>
      </c>
      <c r="G555" s="48" t="inlineStr">
        <is>
          <t>higher</t>
        </is>
      </c>
      <c r="H555" s="48" t="n">
        <v>2</v>
      </c>
      <c r="I555" s="48" t="inlineStr">
        <is>
          <t>Autoproduzione consumi elettrici per trazione</t>
        </is>
      </c>
      <c r="J555" s="73" t="n"/>
      <c r="K555" s="73" t="n"/>
      <c r="L555" s="73" t="n"/>
      <c r="M555" s="73" t="n"/>
      <c r="N555" s="57">
        <f>IF($A555="","",IFERROR(VALUE($J555),0))</f>
        <v/>
      </c>
      <c r="O555" s="57">
        <f>IF($A555="",0,IF(OR($S555&lt;&gt;1,COUNTA($J555:$M555)=0),0,IF(SUMPRODUCT(MAX(($C$5:$C$2484=$C555)*($D$5:$D$2484=$D555)*($S$5:$S$2484=1)*IFERROR($N$5:$N$2484*1,0)))&gt;0,ROUND($H555*($N555/SUMPRODUCT(MAX(($C$5:$C$2484=$C555)*($D$5:$D$2484=$D555)*($S$5:$S$2484=1)*IFERROR($N$5:$N$2484*1,0)))),4),0)))</f>
        <v/>
      </c>
      <c r="P555" s="48" t="inlineStr">
        <is>
          <t>kWh/anno</t>
        </is>
      </c>
      <c r="Q555" s="57">
        <f>IF($A555="","",$A555&amp;"|"&amp;$C555)</f>
        <v/>
      </c>
      <c r="R555" s="57">
        <f>IF($A555="","",$A555&amp;"|"&amp;$C555&amp;"|"&amp;$D555)</f>
        <v/>
      </c>
      <c r="S555" s="57">
        <f>IF($A555="","",IFERROR(INDEX(Offerte!$D$2:$D$81,MATCH($Q555,Offerte!$L$2:$L$81,0)),0))</f>
        <v/>
      </c>
      <c r="T555" s="57">
        <f>IF($A555="","",IFERROR(INDEX(Offerte!$G$2:$G$81,MATCH($Q555,Offerte!$L$2:$L$81,0)),"NO"))</f>
        <v/>
      </c>
    </row>
    <row r="556">
      <c r="A556" s="48">
        <f>IF(Offerte!$A19="","",Offerte!$A19)</f>
        <v/>
      </c>
      <c r="B556" s="48">
        <f>IF(Offerte!$A19="","",Offerte!$B19)</f>
        <v/>
      </c>
      <c r="C556" s="48">
        <f>IF(Offerte!$A19="","",Offerte!$C19)</f>
        <v/>
      </c>
      <c r="D556" s="48" t="inlineStr">
        <is>
          <t>F.4.1</t>
        </is>
      </c>
      <c r="E556" s="48" t="inlineStr">
        <is>
          <t>F</t>
        </is>
      </c>
      <c r="F556" s="48" t="inlineStr">
        <is>
          <t>Q</t>
        </is>
      </c>
      <c r="G556" s="48" t="inlineStr">
        <is>
          <t>soil</t>
        </is>
      </c>
      <c r="H556" s="48" t="n">
        <v>2</v>
      </c>
      <c r="I556" s="48" t="inlineStr">
        <is>
          <t>Indice di consumo di suolo</t>
        </is>
      </c>
      <c r="J556" s="73" t="n"/>
      <c r="K556" s="73" t="n"/>
      <c r="L556" s="73" t="n"/>
      <c r="M556" s="73" t="n"/>
      <c r="N556" s="57">
        <f>IF($A556="","",IFERROR(VALUE($J556),0))</f>
        <v/>
      </c>
      <c r="O556" s="57">
        <f>IF($A556="",0,IF(OR($S556&lt;&gt;1,COUNTA($J556:$M556)=0),0,IF($N556&lt;=0,$H556,IF(SUMPRODUCT(MAX(($C$5:$C$2484=$C556)*($D$5:$D$2484=$D556)*($S$5:$S$2484=1)*IFERROR($N$5:$N$2484*1,0)))&gt;0,ROUND($H556*((SUMPRODUCT(MAX(($C$5:$C$2484=$C556)*($D$5:$D$2484=$D556)*($S$5:$S$2484=1)*IFERROR($N$5:$N$2484*1,0)))-$N556)/SUMPRODUCT(MAX(($C$5:$C$2484=$C556)*($D$5:$D$2484=$D556)*($S$5:$S$2484=1)*IFERROR($N$5:$N$2484*1,0)))),4),0))))</f>
        <v/>
      </c>
      <c r="P556" s="48" t="inlineStr">
        <is>
          <t>m2</t>
        </is>
      </c>
      <c r="Q556" s="57">
        <f>IF($A556="","",$A556&amp;"|"&amp;$C556)</f>
        <v/>
      </c>
      <c r="R556" s="57">
        <f>IF($A556="","",$A556&amp;"|"&amp;$C556&amp;"|"&amp;$D556)</f>
        <v/>
      </c>
      <c r="S556" s="57">
        <f>IF($A556="","",IFERROR(INDEX(Offerte!$D$2:$D$81,MATCH($Q556,Offerte!$L$2:$L$81,0)),0))</f>
        <v/>
      </c>
      <c r="T556" s="57">
        <f>IF($A556="","",IFERROR(INDEX(Offerte!$G$2:$G$81,MATCH($Q556,Offerte!$L$2:$L$81,0)),"NO"))</f>
        <v/>
      </c>
    </row>
    <row r="557">
      <c r="A557" s="48">
        <f>IF(Offerte!$A19="","",Offerte!$A19)</f>
        <v/>
      </c>
      <c r="B557" s="48">
        <f>IF(Offerte!$A19="","",Offerte!$B19)</f>
        <v/>
      </c>
      <c r="C557" s="48">
        <f>IF(Offerte!$A19="","",Offerte!$C19)</f>
        <v/>
      </c>
      <c r="D557" s="48" t="inlineStr">
        <is>
          <t>F.5.1</t>
        </is>
      </c>
      <c r="E557" s="48" t="inlineStr">
        <is>
          <t>F</t>
        </is>
      </c>
      <c r="F557" s="48" t="inlineStr">
        <is>
          <t>T</t>
        </is>
      </c>
      <c r="G557" s="48" t="inlineStr">
        <is>
          <t>tabular</t>
        </is>
      </c>
      <c r="H557" s="48" t="n">
        <v>1</v>
      </c>
      <c r="I557" s="48" t="inlineStr">
        <is>
          <t>Rendicontazione di sostenibilità ambientale</t>
        </is>
      </c>
      <c r="J557" s="73" t="n"/>
      <c r="K557" s="73" t="n"/>
      <c r="L557" s="73" t="n"/>
      <c r="M557" s="73" t="n"/>
      <c r="N557" s="57">
        <f>IF($A557="","",IF(IFERROR(VALUE($M557),0)=1,1,0))</f>
        <v/>
      </c>
      <c r="O557" s="57">
        <f>IF($A557="",0,IF(OR($S557&lt;&gt;1,COUNTA($J557:$M557)=0),0,IF($N557=1,$H557,0)))</f>
        <v/>
      </c>
      <c r="P557" s="48" t="inlineStr">
        <is>
          <t>sì/no</t>
        </is>
      </c>
      <c r="Q557" s="57">
        <f>IF($A557="","",$A557&amp;"|"&amp;$C557)</f>
        <v/>
      </c>
      <c r="R557" s="57">
        <f>IF($A557="","",$A557&amp;"|"&amp;$C557&amp;"|"&amp;$D557)</f>
        <v/>
      </c>
      <c r="S557" s="57">
        <f>IF($A557="","",IFERROR(INDEX(Offerte!$D$2:$D$81,MATCH($Q557,Offerte!$L$2:$L$81,0)),0))</f>
        <v/>
      </c>
      <c r="T557" s="57">
        <f>IF($A557="","",IFERROR(INDEX(Offerte!$G$2:$G$81,MATCH($Q557,Offerte!$L$2:$L$81,0)),"NO"))</f>
        <v/>
      </c>
    </row>
    <row r="558">
      <c r="A558" s="48">
        <f>IF(Offerte!$A19="","",Offerte!$A19)</f>
        <v/>
      </c>
      <c r="B558" s="48">
        <f>IF(Offerte!$A19="","",Offerte!$B19)</f>
        <v/>
      </c>
      <c r="C558" s="48">
        <f>IF(Offerte!$A19="","",Offerte!$C19)</f>
        <v/>
      </c>
      <c r="D558" s="48" t="inlineStr">
        <is>
          <t>G.1.1</t>
        </is>
      </c>
      <c r="E558" s="48" t="inlineStr">
        <is>
          <t>G</t>
        </is>
      </c>
      <c r="F558" s="48" t="inlineStr">
        <is>
          <t>D</t>
        </is>
      </c>
      <c r="G558" s="48" t="inlineStr">
        <is>
          <t>discretionary</t>
        </is>
      </c>
      <c r="H558" s="48" t="n">
        <v>2</v>
      </c>
      <c r="I558" s="48" t="inlineStr">
        <is>
          <t>Qualità del progetto di centrale di controllo aziendale</t>
        </is>
      </c>
      <c r="J558" s="73" t="n"/>
      <c r="K558" s="73" t="n"/>
      <c r="L558" s="73" t="n"/>
      <c r="M558" s="73" t="n"/>
      <c r="N558" s="57">
        <f>IF($A558="","",MAX(0,MIN(1,IFERROR(VALUE($M558),0))))</f>
        <v/>
      </c>
      <c r="O558" s="57">
        <f>IF($A558="",0,IF(OR($S558&lt;&gt;1,COUNTA($J558:$M558)=0),0,IF(SUMPRODUCT(MAX(($C$5:$C$2484=$C558)*($D$5:$D$2484=$D558)*($S$5:$S$2484=1)*IFERROR($N$5:$N$2484*1,0)))&gt;0,ROUND($H558*($N558/SUMPRODUCT(MAX(($C$5:$C$2484=$C558)*($D$5:$D$2484=$D558)*($S$5:$S$2484=1)*IFERROR($N$5:$N$2484*1,0)))),4),0)))</f>
        <v/>
      </c>
      <c r="P558" s="48" t="inlineStr">
        <is>
          <t>coeff.</t>
        </is>
      </c>
      <c r="Q558" s="57">
        <f>IF($A558="","",$A558&amp;"|"&amp;$C558)</f>
        <v/>
      </c>
      <c r="R558" s="57">
        <f>IF($A558="","",$A558&amp;"|"&amp;$C558&amp;"|"&amp;$D558)</f>
        <v/>
      </c>
      <c r="S558" s="57">
        <f>IF($A558="","",IFERROR(INDEX(Offerte!$D$2:$D$81,MATCH($Q558,Offerte!$L$2:$L$81,0)),0))</f>
        <v/>
      </c>
      <c r="T558" s="57">
        <f>IF($A558="","",IFERROR(INDEX(Offerte!$G$2:$G$81,MATCH($Q558,Offerte!$L$2:$L$81,0)),"NO"))</f>
        <v/>
      </c>
    </row>
    <row r="559">
      <c r="A559" s="48">
        <f>IF(Offerte!$A19="","",Offerte!$A19)</f>
        <v/>
      </c>
      <c r="B559" s="48">
        <f>IF(Offerte!$A19="","",Offerte!$B19)</f>
        <v/>
      </c>
      <c r="C559" s="48">
        <f>IF(Offerte!$A19="","",Offerte!$C19)</f>
        <v/>
      </c>
      <c r="D559" s="48" t="inlineStr">
        <is>
          <t>G.2.1</t>
        </is>
      </c>
      <c r="E559" s="48" t="inlineStr">
        <is>
          <t>G</t>
        </is>
      </c>
      <c r="F559" s="48" t="inlineStr">
        <is>
          <t>T</t>
        </is>
      </c>
      <c r="G559" s="48" t="inlineStr">
        <is>
          <t>tabular</t>
        </is>
      </c>
      <c r="H559" s="48" t="n">
        <v>1</v>
      </c>
      <c r="I559" s="48" t="inlineStr">
        <is>
          <t>Certificazione ISO 45001</t>
        </is>
      </c>
      <c r="J559" s="73" t="n"/>
      <c r="K559" s="73" t="n"/>
      <c r="L559" s="73" t="n"/>
      <c r="M559" s="73" t="n"/>
      <c r="N559" s="57">
        <f>IF($A559="","",IF(IFERROR(VALUE($M559),0)=1,1,0))</f>
        <v/>
      </c>
      <c r="O559" s="57">
        <f>IF($A559="",0,IF(OR($S559&lt;&gt;1,COUNTA($J559:$M559)=0),0,IF($N559=1,$H559,0)))</f>
        <v/>
      </c>
      <c r="P559" s="48" t="inlineStr">
        <is>
          <t>sì/no</t>
        </is>
      </c>
      <c r="Q559" s="57">
        <f>IF($A559="","",$A559&amp;"|"&amp;$C559)</f>
        <v/>
      </c>
      <c r="R559" s="57">
        <f>IF($A559="","",$A559&amp;"|"&amp;$C559&amp;"|"&amp;$D559)</f>
        <v/>
      </c>
      <c r="S559" s="57">
        <f>IF($A559="","",IFERROR(INDEX(Offerte!$D$2:$D$81,MATCH($Q559,Offerte!$L$2:$L$81,0)),0))</f>
        <v/>
      </c>
      <c r="T559" s="57">
        <f>IF($A559="","",IFERROR(INDEX(Offerte!$G$2:$G$81,MATCH($Q559,Offerte!$L$2:$L$81,0)),"NO"))</f>
        <v/>
      </c>
    </row>
    <row r="560">
      <c r="A560" s="48">
        <f>IF(Offerte!$A19="","",Offerte!$A19)</f>
        <v/>
      </c>
      <c r="B560" s="48">
        <f>IF(Offerte!$A19="","",Offerte!$B19)</f>
        <v/>
      </c>
      <c r="C560" s="48">
        <f>IF(Offerte!$A19="","",Offerte!$C19)</f>
        <v/>
      </c>
      <c r="D560" s="48" t="inlineStr">
        <is>
          <t>G.3.1</t>
        </is>
      </c>
      <c r="E560" s="48" t="inlineStr">
        <is>
          <t>G</t>
        </is>
      </c>
      <c r="F560" s="48" t="inlineStr">
        <is>
          <t>T</t>
        </is>
      </c>
      <c r="G560" s="48" t="inlineStr">
        <is>
          <t>tabular</t>
        </is>
      </c>
      <c r="H560" s="48" t="n">
        <v>1</v>
      </c>
      <c r="I560" s="48" t="inlineStr">
        <is>
          <t>Certificazioni di responsabilità sociale</t>
        </is>
      </c>
      <c r="J560" s="73" t="n"/>
      <c r="K560" s="73" t="n"/>
      <c r="L560" s="73" t="n"/>
      <c r="M560" s="73" t="n"/>
      <c r="N560" s="57">
        <f>IF($A560="","",IF(IFERROR(VALUE($M560),0)=1,1,0))</f>
        <v/>
      </c>
      <c r="O560" s="57">
        <f>IF($A560="",0,IF(OR($S560&lt;&gt;1,COUNTA($J560:$M560)=0),0,IF($N560=1,$H560,0)))</f>
        <v/>
      </c>
      <c r="P560" s="48" t="inlineStr">
        <is>
          <t>sì/no</t>
        </is>
      </c>
      <c r="Q560" s="57">
        <f>IF($A560="","",$A560&amp;"|"&amp;$C560)</f>
        <v/>
      </c>
      <c r="R560" s="57">
        <f>IF($A560="","",$A560&amp;"|"&amp;$C560&amp;"|"&amp;$D560)</f>
        <v/>
      </c>
      <c r="S560" s="57">
        <f>IF($A560="","",IFERROR(INDEX(Offerte!$D$2:$D$81,MATCH($Q560,Offerte!$L$2:$L$81,0)),0))</f>
        <v/>
      </c>
      <c r="T560" s="57">
        <f>IF($A560="","",IFERROR(INDEX(Offerte!$G$2:$G$81,MATCH($Q560,Offerte!$L$2:$L$81,0)),"NO"))</f>
        <v/>
      </c>
    </row>
    <row r="561">
      <c r="A561" s="48">
        <f>IF(Offerte!$A19="","",Offerte!$A19)</f>
        <v/>
      </c>
      <c r="B561" s="48">
        <f>IF(Offerte!$A19="","",Offerte!$B19)</f>
        <v/>
      </c>
      <c r="C561" s="48">
        <f>IF(Offerte!$A19="","",Offerte!$C19)</f>
        <v/>
      </c>
      <c r="D561" s="48" t="inlineStr">
        <is>
          <t>G.4.1</t>
        </is>
      </c>
      <c r="E561" s="48" t="inlineStr">
        <is>
          <t>G</t>
        </is>
      </c>
      <c r="F561" s="48" t="inlineStr">
        <is>
          <t>D</t>
        </is>
      </c>
      <c r="G561" s="48" t="inlineStr">
        <is>
          <t>discretionary</t>
        </is>
      </c>
      <c r="H561" s="48" t="n">
        <v>2</v>
      </c>
      <c r="I561" s="48" t="inlineStr">
        <is>
          <t>Qualità del piano di formazione del personale</t>
        </is>
      </c>
      <c r="J561" s="73" t="n"/>
      <c r="K561" s="73" t="n"/>
      <c r="L561" s="73" t="n"/>
      <c r="M561" s="73" t="n"/>
      <c r="N561" s="57">
        <f>IF($A561="","",MAX(0,MIN(1,IFERROR(VALUE($M561),0))))</f>
        <v/>
      </c>
      <c r="O561" s="57">
        <f>IF($A561="",0,IF(OR($S561&lt;&gt;1,COUNTA($J561:$M561)=0),0,IF(SUMPRODUCT(MAX(($C$5:$C$2484=$C561)*($D$5:$D$2484=$D561)*($S$5:$S$2484=1)*IFERROR($N$5:$N$2484*1,0)))&gt;0,ROUND($H561*($N561/SUMPRODUCT(MAX(($C$5:$C$2484=$C561)*($D$5:$D$2484=$D561)*($S$5:$S$2484=1)*IFERROR($N$5:$N$2484*1,0)))),4),0)))</f>
        <v/>
      </c>
      <c r="P561" s="48" t="inlineStr">
        <is>
          <t>coeff.</t>
        </is>
      </c>
      <c r="Q561" s="57">
        <f>IF($A561="","",$A561&amp;"|"&amp;$C561)</f>
        <v/>
      </c>
      <c r="R561" s="57">
        <f>IF($A561="","",$A561&amp;"|"&amp;$C561&amp;"|"&amp;$D561)</f>
        <v/>
      </c>
      <c r="S561" s="57">
        <f>IF($A561="","",IFERROR(INDEX(Offerte!$D$2:$D$81,MATCH($Q561,Offerte!$L$2:$L$81,0)),0))</f>
        <v/>
      </c>
      <c r="T561" s="57">
        <f>IF($A561="","",IFERROR(INDEX(Offerte!$G$2:$G$81,MATCH($Q561,Offerte!$L$2:$L$81,0)),"NO"))</f>
        <v/>
      </c>
    </row>
    <row r="562">
      <c r="A562" s="48">
        <f>IF(Offerte!$A19="","",Offerte!$A19)</f>
        <v/>
      </c>
      <c r="B562" s="48">
        <f>IF(Offerte!$A19="","",Offerte!$B19)</f>
        <v/>
      </c>
      <c r="C562" s="48">
        <f>IF(Offerte!$A19="","",Offerte!$C19)</f>
        <v/>
      </c>
      <c r="D562" s="48" t="inlineStr">
        <is>
          <t>G.5.1</t>
        </is>
      </c>
      <c r="E562" s="48" t="inlineStr">
        <is>
          <t>G</t>
        </is>
      </c>
      <c r="F562" s="48" t="inlineStr">
        <is>
          <t>T</t>
        </is>
      </c>
      <c r="G562" s="48" t="inlineStr">
        <is>
          <t>tabular</t>
        </is>
      </c>
      <c r="H562" s="48" t="n">
        <v>1</v>
      </c>
      <c r="I562" s="48" t="inlineStr">
        <is>
          <t>Impegno al mantenimento delle garanzie del contratto di secondo livello del gestore uscente</t>
        </is>
      </c>
      <c r="J562" s="73" t="n"/>
      <c r="K562" s="73" t="n"/>
      <c r="L562" s="73" t="n"/>
      <c r="M562" s="73" t="n"/>
      <c r="N562" s="57">
        <f>IF($A562="","",IF(IFERROR(VALUE($M562),0)=1,1,0))</f>
        <v/>
      </c>
      <c r="O562" s="57">
        <f>IF($A562="",0,IF(OR($S562&lt;&gt;1,COUNTA($J562:$M562)=0),0,IF($N562=1,$H562,0)))</f>
        <v/>
      </c>
      <c r="P562" s="48" t="inlineStr">
        <is>
          <t>sì/no</t>
        </is>
      </c>
      <c r="Q562" s="57">
        <f>IF($A562="","",$A562&amp;"|"&amp;$C562)</f>
        <v/>
      </c>
      <c r="R562" s="57">
        <f>IF($A562="","",$A562&amp;"|"&amp;$C562&amp;"|"&amp;$D562)</f>
        <v/>
      </c>
      <c r="S562" s="57">
        <f>IF($A562="","",IFERROR(INDEX(Offerte!$D$2:$D$81,MATCH($Q562,Offerte!$L$2:$L$81,0)),0))</f>
        <v/>
      </c>
      <c r="T562" s="57">
        <f>IF($A562="","",IFERROR(INDEX(Offerte!$G$2:$G$81,MATCH($Q562,Offerte!$L$2:$L$81,0)),"NO"))</f>
        <v/>
      </c>
    </row>
    <row r="563">
      <c r="A563" s="48">
        <f>IF(Offerte!$A20="","",Offerte!$A20)</f>
        <v/>
      </c>
      <c r="B563" s="48">
        <f>IF(Offerte!$A20="","",Offerte!$B20)</f>
        <v/>
      </c>
      <c r="C563" s="48">
        <f>IF(Offerte!$A20="","",Offerte!$C20)</f>
        <v/>
      </c>
      <c r="D563" s="48" t="inlineStr">
        <is>
          <t>A.1.1</t>
        </is>
      </c>
      <c r="E563" s="48" t="inlineStr">
        <is>
          <t>A</t>
        </is>
      </c>
      <c r="F563" s="48" t="inlineStr">
        <is>
          <t>Q</t>
        </is>
      </c>
      <c r="G563" s="48" t="inlineStr">
        <is>
          <t>higher</t>
        </is>
      </c>
      <c r="H563" s="48" t="n">
        <v>3</v>
      </c>
      <c r="I563" s="48" t="inlineStr">
        <is>
          <t>Tasso aggiuntivo di corse controllate</t>
        </is>
      </c>
      <c r="J563" s="73" t="n"/>
      <c r="K563" s="73" t="n"/>
      <c r="L563" s="73" t="n"/>
      <c r="M563" s="73" t="n"/>
      <c r="N563" s="57">
        <f>IF($A563="","",IFERROR(VALUE($K563)/VALUE($L563)*100,IFERROR(VALUE($J563),0)))</f>
        <v/>
      </c>
      <c r="O563" s="57">
        <f>IF($A563="",0,IF(OR($S563&lt;&gt;1,COUNTA($J563:$M563)=0),0,IF(SUMPRODUCT(MAX(($C$5:$C$2484=$C563)*($D$5:$D$2484=$D563)*($S$5:$S$2484=1)*IFERROR($N$5:$N$2484*1,0)))&gt;0,ROUND($H563*($N563/SUMPRODUCT(MAX(($C$5:$C$2484=$C563)*($D$5:$D$2484=$D563)*($S$5:$S$2484=1)*IFERROR($N$5:$N$2484*1,0)))),4),0)))</f>
        <v/>
      </c>
      <c r="P563" s="48" t="inlineStr">
        <is>
          <t>Corse controllate annue / Corse programmate annue</t>
        </is>
      </c>
      <c r="Q563" s="57">
        <f>IF($A563="","",$A563&amp;"|"&amp;$C563)</f>
        <v/>
      </c>
      <c r="R563" s="57">
        <f>IF($A563="","",$A563&amp;"|"&amp;$C563&amp;"|"&amp;$D563)</f>
        <v/>
      </c>
      <c r="S563" s="57">
        <f>IF($A563="","",IFERROR(INDEX(Offerte!$D$2:$D$81,MATCH($Q563,Offerte!$L$2:$L$81,0)),0))</f>
        <v/>
      </c>
      <c r="T563" s="57">
        <f>IF($A563="","",IFERROR(INDEX(Offerte!$G$2:$G$81,MATCH($Q563,Offerte!$L$2:$L$81,0)),"NO"))</f>
        <v/>
      </c>
    </row>
    <row r="564">
      <c r="A564" s="48">
        <f>IF(Offerte!$A20="","",Offerte!$A20)</f>
        <v/>
      </c>
      <c r="B564" s="48">
        <f>IF(Offerte!$A20="","",Offerte!$B20)</f>
        <v/>
      </c>
      <c r="C564" s="48">
        <f>IF(Offerte!$A20="","",Offerte!$C20)</f>
        <v/>
      </c>
      <c r="D564" s="48" t="inlineStr">
        <is>
          <t>A.1.2</t>
        </is>
      </c>
      <c r="E564" s="48" t="inlineStr">
        <is>
          <t>A</t>
        </is>
      </c>
      <c r="F564" s="48" t="inlineStr">
        <is>
          <t>Q</t>
        </is>
      </c>
      <c r="G564" s="48" t="inlineStr">
        <is>
          <t>higher</t>
        </is>
      </c>
      <c r="H564" s="48" t="n">
        <v>4</v>
      </c>
      <c r="I564" s="48" t="inlineStr">
        <is>
          <t>Numero aggiuntivo di passeggeri controllati</t>
        </is>
      </c>
      <c r="J564" s="73" t="n"/>
      <c r="K564" s="73" t="n"/>
      <c r="L564" s="73" t="n"/>
      <c r="M564" s="73" t="n"/>
      <c r="N564" s="57">
        <f>IF($A564="","",IFERROR(VALUE($J564),0))</f>
        <v/>
      </c>
      <c r="O564" s="57">
        <f>IF($A564="",0,IF(OR($S564&lt;&gt;1,COUNTA($J564:$M564)=0),0,IF(SUMPRODUCT(MAX(($C$5:$C$2484=$C564)*($D$5:$D$2484=$D564)*($S$5:$S$2484=1)*IFERROR($N$5:$N$2484*1,0)))&gt;0,ROUND($H564*($N564/SUMPRODUCT(MAX(($C$5:$C$2484=$C564)*($D$5:$D$2484=$D564)*($S$5:$S$2484=1)*IFERROR($N$5:$N$2484*1,0)))),4),0)))</f>
        <v/>
      </c>
      <c r="P564" s="48" t="inlineStr">
        <is>
          <t>passeggeri/anno</t>
        </is>
      </c>
      <c r="Q564" s="57">
        <f>IF($A564="","",$A564&amp;"|"&amp;$C564)</f>
        <v/>
      </c>
      <c r="R564" s="57">
        <f>IF($A564="","",$A564&amp;"|"&amp;$C564&amp;"|"&amp;$D564)</f>
        <v/>
      </c>
      <c r="S564" s="57">
        <f>IF($A564="","",IFERROR(INDEX(Offerte!$D$2:$D$81,MATCH($Q564,Offerte!$L$2:$L$81,0)),0))</f>
        <v/>
      </c>
      <c r="T564" s="57">
        <f>IF($A564="","",IFERROR(INDEX(Offerte!$G$2:$G$81,MATCH($Q564,Offerte!$L$2:$L$81,0)),"NO"))</f>
        <v/>
      </c>
    </row>
    <row r="565">
      <c r="A565" s="48">
        <f>IF(Offerte!$A20="","",Offerte!$A20)</f>
        <v/>
      </c>
      <c r="B565" s="48">
        <f>IF(Offerte!$A20="","",Offerte!$B20)</f>
        <v/>
      </c>
      <c r="C565" s="48">
        <f>IF(Offerte!$A20="","",Offerte!$C20)</f>
        <v/>
      </c>
      <c r="D565" s="48" t="inlineStr">
        <is>
          <t>B.1.1</t>
        </is>
      </c>
      <c r="E565" s="48" t="inlineStr">
        <is>
          <t>B</t>
        </is>
      </c>
      <c r="F565" s="48" t="inlineStr">
        <is>
          <t>Q</t>
        </is>
      </c>
      <c r="G565" s="48" t="inlineStr">
        <is>
          <t>higher</t>
        </is>
      </c>
      <c r="H565" s="48" t="n">
        <v>3</v>
      </c>
      <c r="I565" s="48" t="inlineStr">
        <is>
          <t>Incremento dei posti offerti nelle fasce di punta</t>
        </is>
      </c>
      <c r="J565" s="73" t="n"/>
      <c r="K565" s="73" t="n"/>
      <c r="L565" s="73" t="n"/>
      <c r="M565" s="73" t="n"/>
      <c r="N565" s="57">
        <f>IF($A565="","",IFERROR(VALUE($J565),0))</f>
        <v/>
      </c>
      <c r="O565" s="57">
        <f>IF($A565="",0,IF(OR($S565&lt;&gt;1,COUNTA($J565:$M565)=0),0,IF(SUMPRODUCT(MAX(($C$5:$C$2484=$C565)*($D$5:$D$2484=$D565)*($S$5:$S$2484=1)*IFERROR($N$5:$N$2484*1,0)))&gt;0,ROUND($H565*($N565/SUMPRODUCT(MAX(($C$5:$C$2484=$C565)*($D$5:$D$2484=$D565)*($S$5:$S$2484=1)*IFERROR($N$5:$N$2484*1,0)))),4),0)))</f>
        <v/>
      </c>
      <c r="P565" s="48" t="inlineStr">
        <is>
          <t>posti*km</t>
        </is>
      </c>
      <c r="Q565" s="57">
        <f>IF($A565="","",$A565&amp;"|"&amp;$C565)</f>
        <v/>
      </c>
      <c r="R565" s="57">
        <f>IF($A565="","",$A565&amp;"|"&amp;$C565&amp;"|"&amp;$D565)</f>
        <v/>
      </c>
      <c r="S565" s="57">
        <f>IF($A565="","",IFERROR(INDEX(Offerte!$D$2:$D$81,MATCH($Q565,Offerte!$L$2:$L$81,0)),0))</f>
        <v/>
      </c>
      <c r="T565" s="57">
        <f>IF($A565="","",IFERROR(INDEX(Offerte!$G$2:$G$81,MATCH($Q565,Offerte!$L$2:$L$81,0)),"NO"))</f>
        <v/>
      </c>
    </row>
    <row r="566">
      <c r="A566" s="48">
        <f>IF(Offerte!$A20="","",Offerte!$A20)</f>
        <v/>
      </c>
      <c r="B566" s="48">
        <f>IF(Offerte!$A20="","",Offerte!$B20)</f>
        <v/>
      </c>
      <c r="C566" s="48">
        <f>IF(Offerte!$A20="","",Offerte!$C20)</f>
        <v/>
      </c>
      <c r="D566" s="48" t="inlineStr">
        <is>
          <t>B.2.1</t>
        </is>
      </c>
      <c r="E566" s="48" t="inlineStr">
        <is>
          <t>B</t>
        </is>
      </c>
      <c r="F566" s="48" t="inlineStr">
        <is>
          <t>Q</t>
        </is>
      </c>
      <c r="G566" s="48" t="inlineStr">
        <is>
          <t>higher</t>
        </is>
      </c>
      <c r="H566" s="48" t="n">
        <v>4</v>
      </c>
      <c r="I566" s="48" t="inlineStr">
        <is>
          <t>Corse aggiuntive nell'arco giornaliero base</t>
        </is>
      </c>
      <c r="J566" s="73" t="n"/>
      <c r="K566" s="73" t="n"/>
      <c r="L566" s="73" t="n"/>
      <c r="M566" s="73" t="n"/>
      <c r="N566" s="57">
        <f>IF($A566="","",IFERROR(VALUE($J566),0))</f>
        <v/>
      </c>
      <c r="O566" s="57">
        <f>IF($A566="",0,IF(OR($S566&lt;&gt;1,COUNTA($J566:$M566)=0),0,IF(SUMPRODUCT(MAX(($C$5:$C$2484=$C566)*($D$5:$D$2484=$D566)*($S$5:$S$2484=1)*IFERROR($N$5:$N$2484*1,0)))&gt;0,ROUND($H566*($N566/SUMPRODUCT(MAX(($C$5:$C$2484=$C566)*($D$5:$D$2484=$D566)*($S$5:$S$2484=1)*IFERROR($N$5:$N$2484*1,0)))),4),0)))</f>
        <v/>
      </c>
      <c r="P566" s="48" t="inlineStr">
        <is>
          <t>corse</t>
        </is>
      </c>
      <c r="Q566" s="57">
        <f>IF($A566="","",$A566&amp;"|"&amp;$C566)</f>
        <v/>
      </c>
      <c r="R566" s="57">
        <f>IF($A566="","",$A566&amp;"|"&amp;$C566&amp;"|"&amp;$D566)</f>
        <v/>
      </c>
      <c r="S566" s="57">
        <f>IF($A566="","",IFERROR(INDEX(Offerte!$D$2:$D$81,MATCH($Q566,Offerte!$L$2:$L$81,0)),0))</f>
        <v/>
      </c>
      <c r="T566" s="57">
        <f>IF($A566="","",IFERROR(INDEX(Offerte!$G$2:$G$81,MATCH($Q566,Offerte!$L$2:$L$81,0)),"NO"))</f>
        <v/>
      </c>
    </row>
    <row r="567">
      <c r="A567" s="48">
        <f>IF(Offerte!$A20="","",Offerte!$A20)</f>
        <v/>
      </c>
      <c r="B567" s="48">
        <f>IF(Offerte!$A20="","",Offerte!$B20)</f>
        <v/>
      </c>
      <c r="C567" s="48">
        <f>IF(Offerte!$A20="","",Offerte!$C20)</f>
        <v/>
      </c>
      <c r="D567" s="48" t="inlineStr">
        <is>
          <t>B.3.1</t>
        </is>
      </c>
      <c r="E567" s="48" t="inlineStr">
        <is>
          <t>B</t>
        </is>
      </c>
      <c r="F567" s="48" t="inlineStr">
        <is>
          <t>Q</t>
        </is>
      </c>
      <c r="G567" s="48" t="inlineStr">
        <is>
          <t>higher</t>
        </is>
      </c>
      <c r="H567" s="48" t="n">
        <v>2</v>
      </c>
      <c r="I567" s="48" t="inlineStr">
        <is>
          <t>Numero di corse aggiuntive per allungamento dell'arco di servizio giornaliero nelle fasce serali</t>
        </is>
      </c>
      <c r="J567" s="73" t="n"/>
      <c r="K567" s="73" t="n"/>
      <c r="L567" s="73" t="n"/>
      <c r="M567" s="73" t="n"/>
      <c r="N567" s="57">
        <f>IF($A567="","",IFERROR(VALUE($J567),0))</f>
        <v/>
      </c>
      <c r="O567" s="57">
        <f>IF($A567="",0,IF(OR($S567&lt;&gt;1,COUNTA($J567:$M567)=0),0,IF(SUMPRODUCT(MAX(($C$5:$C$2484=$C567)*($D$5:$D$2484=$D567)*($S$5:$S$2484=1)*IFERROR($N$5:$N$2484*1,0)))&gt;0,ROUND($H567*($N567/SUMPRODUCT(MAX(($C$5:$C$2484=$C567)*($D$5:$D$2484=$D567)*($S$5:$S$2484=1)*IFERROR($N$5:$N$2484*1,0)))),4),0)))</f>
        <v/>
      </c>
      <c r="P567" s="48" t="inlineStr">
        <is>
          <t>corse</t>
        </is>
      </c>
      <c r="Q567" s="57">
        <f>IF($A567="","",$A567&amp;"|"&amp;$C567)</f>
        <v/>
      </c>
      <c r="R567" s="57">
        <f>IF($A567="","",$A567&amp;"|"&amp;$C567&amp;"|"&amp;$D567)</f>
        <v/>
      </c>
      <c r="S567" s="57">
        <f>IF($A567="","",IFERROR(INDEX(Offerte!$D$2:$D$81,MATCH($Q567,Offerte!$L$2:$L$81,0)),0))</f>
        <v/>
      </c>
      <c r="T567" s="57">
        <f>IF($A567="","",IFERROR(INDEX(Offerte!$G$2:$G$81,MATCH($Q567,Offerte!$L$2:$L$81,0)),"NO"))</f>
        <v/>
      </c>
    </row>
    <row r="568">
      <c r="A568" s="48">
        <f>IF(Offerte!$A20="","",Offerte!$A20)</f>
        <v/>
      </c>
      <c r="B568" s="48">
        <f>IF(Offerte!$A20="","",Offerte!$B20)</f>
        <v/>
      </c>
      <c r="C568" s="48">
        <f>IF(Offerte!$A20="","",Offerte!$C20)</f>
        <v/>
      </c>
      <c r="D568" s="48" t="inlineStr">
        <is>
          <t>B.4.1</t>
        </is>
      </c>
      <c r="E568" s="48" t="inlineStr">
        <is>
          <t>B</t>
        </is>
      </c>
      <c r="F568" s="48" t="inlineStr">
        <is>
          <t>Q</t>
        </is>
      </c>
      <c r="G568" s="48" t="inlineStr">
        <is>
          <t>higher</t>
        </is>
      </c>
      <c r="H568" s="48" t="n">
        <v>3</v>
      </c>
      <c r="I568" s="48" t="inlineStr">
        <is>
          <t>Percorrenze aggiuntive offerte nel Programma d'esercizio delle prime due fasi attuative</t>
        </is>
      </c>
      <c r="J568" s="73" t="n"/>
      <c r="K568" s="73" t="n"/>
      <c r="L568" s="73" t="n"/>
      <c r="M568" s="73" t="n"/>
      <c r="N568" s="57">
        <f>IF($A568="","",IFERROR(VALUE($J568),0))</f>
        <v/>
      </c>
      <c r="O568" s="57">
        <f>IF($A568="",0,IF(OR($S568&lt;&gt;1,COUNTA($J568:$M568)=0),0,IF(SUMPRODUCT(MAX(($C$5:$C$2484=$C568)*($D$5:$D$2484=$D568)*($S$5:$S$2484=1)*IFERROR($N$5:$N$2484*1,0)))&gt;0,ROUND($H568*($N568/SUMPRODUCT(MAX(($C$5:$C$2484=$C568)*($D$5:$D$2484=$D568)*($S$5:$S$2484=1)*IFERROR($N$5:$N$2484*1,0)))),4),0)))</f>
        <v/>
      </c>
      <c r="P568" s="48" t="inlineStr">
        <is>
          <t>vett*km</t>
        </is>
      </c>
      <c r="Q568" s="57">
        <f>IF($A568="","",$A568&amp;"|"&amp;$C568)</f>
        <v/>
      </c>
      <c r="R568" s="57">
        <f>IF($A568="","",$A568&amp;"|"&amp;$C568&amp;"|"&amp;$D568)</f>
        <v/>
      </c>
      <c r="S568" s="57">
        <f>IF($A568="","",IFERROR(INDEX(Offerte!$D$2:$D$81,MATCH($Q568,Offerte!$L$2:$L$81,0)),0))</f>
        <v/>
      </c>
      <c r="T568" s="57">
        <f>IF($A568="","",IFERROR(INDEX(Offerte!$G$2:$G$81,MATCH($Q568,Offerte!$L$2:$L$81,0)),"NO"))</f>
        <v/>
      </c>
    </row>
    <row r="569">
      <c r="A569" s="48">
        <f>IF(Offerte!$A20="","",Offerte!$A20)</f>
        <v/>
      </c>
      <c r="B569" s="48">
        <f>IF(Offerte!$A20="","",Offerte!$B20)</f>
        <v/>
      </c>
      <c r="C569" s="48">
        <f>IF(Offerte!$A20="","",Offerte!$C20)</f>
        <v/>
      </c>
      <c r="D569" s="48" t="inlineStr">
        <is>
          <t>B.5.1</t>
        </is>
      </c>
      <c r="E569" s="48" t="inlineStr">
        <is>
          <t>B</t>
        </is>
      </c>
      <c r="F569" s="48" t="inlineStr">
        <is>
          <t>D</t>
        </is>
      </c>
      <c r="G569" s="48" t="inlineStr">
        <is>
          <t>discretionary</t>
        </is>
      </c>
      <c r="H569" s="48" t="n">
        <v>2</v>
      </c>
      <c r="I569" s="48" t="inlineStr">
        <is>
          <t>Efficacia del progetto di servizi complementari DRT</t>
        </is>
      </c>
      <c r="J569" s="73" t="n"/>
      <c r="K569" s="73" t="n"/>
      <c r="L569" s="73" t="n"/>
      <c r="M569" s="73" t="n"/>
      <c r="N569" s="57">
        <f>IF($A569="","",MAX(0,MIN(1,IFERROR(VALUE($M569),0))))</f>
        <v/>
      </c>
      <c r="O569" s="57">
        <f>IF($A569="",0,IF(OR($S569&lt;&gt;1,COUNTA($J569:$M569)=0),0,IF(SUMPRODUCT(MAX(($C$5:$C$2484=$C569)*($D$5:$D$2484=$D569)*($S$5:$S$2484=1)*IFERROR($N$5:$N$2484*1,0)))&gt;0,ROUND($H569*($N569/SUMPRODUCT(MAX(($C$5:$C$2484=$C569)*($D$5:$D$2484=$D569)*($S$5:$S$2484=1)*IFERROR($N$5:$N$2484*1,0)))),4),0)))</f>
        <v/>
      </c>
      <c r="P569" s="48" t="inlineStr">
        <is>
          <t>coeff.</t>
        </is>
      </c>
      <c r="Q569" s="57">
        <f>IF($A569="","",$A569&amp;"|"&amp;$C569)</f>
        <v/>
      </c>
      <c r="R569" s="57">
        <f>IF($A569="","",$A569&amp;"|"&amp;$C569&amp;"|"&amp;$D569)</f>
        <v/>
      </c>
      <c r="S569" s="57">
        <f>IF($A569="","",IFERROR(INDEX(Offerte!$D$2:$D$81,MATCH($Q569,Offerte!$L$2:$L$81,0)),0))</f>
        <v/>
      </c>
      <c r="T569" s="57">
        <f>IF($A569="","",IFERROR(INDEX(Offerte!$G$2:$G$81,MATCH($Q569,Offerte!$L$2:$L$81,0)),"NO"))</f>
        <v/>
      </c>
    </row>
    <row r="570">
      <c r="A570" s="48">
        <f>IF(Offerte!$A20="","",Offerte!$A20)</f>
        <v/>
      </c>
      <c r="B570" s="48">
        <f>IF(Offerte!$A20="","",Offerte!$B20)</f>
        <v/>
      </c>
      <c r="C570" s="48">
        <f>IF(Offerte!$A20="","",Offerte!$C20)</f>
        <v/>
      </c>
      <c r="D570" s="48" t="inlineStr">
        <is>
          <t>C.1.1</t>
        </is>
      </c>
      <c r="E570" s="48" t="inlineStr">
        <is>
          <t>C</t>
        </is>
      </c>
      <c r="F570" s="48" t="inlineStr">
        <is>
          <t>Q</t>
        </is>
      </c>
      <c r="G570" s="48" t="inlineStr">
        <is>
          <t>higher</t>
        </is>
      </c>
      <c r="H570" s="48" t="n">
        <v>2</v>
      </c>
      <c r="I570" s="48" t="inlineStr">
        <is>
          <t>Tasso di copertura del servizio con telecamere BSD</t>
        </is>
      </c>
      <c r="J570" s="73" t="n"/>
      <c r="K570" s="73" t="n"/>
      <c r="L570" s="73" t="n"/>
      <c r="M570" s="73" t="n"/>
      <c r="N570" s="57">
        <f>IF($A570="","",IFERROR(VALUE($K570)/VALUE($L570),IFERROR(VALUE($J570),0)))</f>
        <v/>
      </c>
      <c r="O570" s="57">
        <f>IF($A570="",0,IF(OR($S570&lt;&gt;1,COUNTA($J570:$M570)=0),0,IF(SUMPRODUCT(MAX(($C$5:$C$2484=$C570)*($D$5:$D$2484=$D570)*($S$5:$S$2484=1)*IFERROR($N$5:$N$2484*1,0)))&gt;0,ROUND($H570*($N570/SUMPRODUCT(MAX(($C$5:$C$2484=$C570)*($D$5:$D$2484=$D570)*($S$5:$S$2484=1)*IFERROR($N$5:$N$2484*1,0)))),4),0)))</f>
        <v/>
      </c>
      <c r="P570" s="48" t="inlineStr">
        <is>
          <t>Autobus attrezzati con telecamere BSD / Autobus totali in offerta, incluse scorte</t>
        </is>
      </c>
      <c r="Q570" s="57">
        <f>IF($A570="","",$A570&amp;"|"&amp;$C570)</f>
        <v/>
      </c>
      <c r="R570" s="57">
        <f>IF($A570="","",$A570&amp;"|"&amp;$C570&amp;"|"&amp;$D570)</f>
        <v/>
      </c>
      <c r="S570" s="57">
        <f>IF($A570="","",IFERROR(INDEX(Offerte!$D$2:$D$81,MATCH($Q570,Offerte!$L$2:$L$81,0)),0))</f>
        <v/>
      </c>
      <c r="T570" s="57">
        <f>IF($A570="","",IFERROR(INDEX(Offerte!$G$2:$G$81,MATCH($Q570,Offerte!$L$2:$L$81,0)),"NO"))</f>
        <v/>
      </c>
    </row>
    <row r="571">
      <c r="A571" s="48">
        <f>IF(Offerte!$A20="","",Offerte!$A20)</f>
        <v/>
      </c>
      <c r="B571" s="48">
        <f>IF(Offerte!$A20="","",Offerte!$B20)</f>
        <v/>
      </c>
      <c r="C571" s="48">
        <f>IF(Offerte!$A20="","",Offerte!$C20)</f>
        <v/>
      </c>
      <c r="D571" s="48" t="inlineStr">
        <is>
          <t>C.1.2</t>
        </is>
      </c>
      <c r="E571" s="48" t="inlineStr">
        <is>
          <t>C</t>
        </is>
      </c>
      <c r="F571" s="48" t="inlineStr">
        <is>
          <t>Q</t>
        </is>
      </c>
      <c r="G571" s="48" t="inlineStr">
        <is>
          <t>higher</t>
        </is>
      </c>
      <c r="H571" s="48" t="n">
        <v>2</v>
      </c>
      <c r="I571" s="48" t="inlineStr">
        <is>
          <t>Tasso di copertura del servizio con telecamere ADAS</t>
        </is>
      </c>
      <c r="J571" s="73" t="n"/>
      <c r="K571" s="73" t="n"/>
      <c r="L571" s="73" t="n"/>
      <c r="M571" s="73" t="n"/>
      <c r="N571" s="57">
        <f>IF($A571="","",IFERROR(VALUE($K571)/VALUE($L571),IFERROR(VALUE($J571),0)))</f>
        <v/>
      </c>
      <c r="O571" s="57">
        <f>IF($A571="",0,IF(OR($S571&lt;&gt;1,COUNTA($J571:$M571)=0),0,IF(SUMPRODUCT(MAX(($C$5:$C$2484=$C571)*($D$5:$D$2484=$D571)*($S$5:$S$2484=1)*IFERROR($N$5:$N$2484*1,0)))&gt;0,ROUND($H571*($N571/SUMPRODUCT(MAX(($C$5:$C$2484=$C571)*($D$5:$D$2484=$D571)*($S$5:$S$2484=1)*IFERROR($N$5:$N$2484*1,0)))),4),0)))</f>
        <v/>
      </c>
      <c r="P571" s="48" t="inlineStr">
        <is>
          <t>Autobus attrezzati con telecamere ADAS / Autobus totali in offerta, incluse scorte</t>
        </is>
      </c>
      <c r="Q571" s="57">
        <f>IF($A571="","",$A571&amp;"|"&amp;$C571)</f>
        <v/>
      </c>
      <c r="R571" s="57">
        <f>IF($A571="","",$A571&amp;"|"&amp;$C571&amp;"|"&amp;$D571)</f>
        <v/>
      </c>
      <c r="S571" s="57">
        <f>IF($A571="","",IFERROR(INDEX(Offerte!$D$2:$D$81,MATCH($Q571,Offerte!$L$2:$L$81,0)),0))</f>
        <v/>
      </c>
      <c r="T571" s="57">
        <f>IF($A571="","",IFERROR(INDEX(Offerte!$G$2:$G$81,MATCH($Q571,Offerte!$L$2:$L$81,0)),"NO"))</f>
        <v/>
      </c>
    </row>
    <row r="572">
      <c r="A572" s="48">
        <f>IF(Offerte!$A20="","",Offerte!$A20)</f>
        <v/>
      </c>
      <c r="B572" s="48">
        <f>IF(Offerte!$A20="","",Offerte!$B20)</f>
        <v/>
      </c>
      <c r="C572" s="48">
        <f>IF(Offerte!$A20="","",Offerte!$C20)</f>
        <v/>
      </c>
      <c r="D572" s="48" t="inlineStr">
        <is>
          <t>C.2.1</t>
        </is>
      </c>
      <c r="E572" s="48" t="inlineStr">
        <is>
          <t>C</t>
        </is>
      </c>
      <c r="F572" s="48" t="inlineStr">
        <is>
          <t>Q</t>
        </is>
      </c>
      <c r="G572" s="48" t="inlineStr">
        <is>
          <t>higher</t>
        </is>
      </c>
      <c r="H572" s="48" t="n">
        <v>3</v>
      </c>
      <c r="I572" s="48" t="inlineStr">
        <is>
          <t>Tasso di copertura del servizio con telecamere di bordo di videosorveglianza</t>
        </is>
      </c>
      <c r="J572" s="73" t="n"/>
      <c r="K572" s="73" t="n"/>
      <c r="L572" s="73" t="n"/>
      <c r="M572" s="73" t="n"/>
      <c r="N572" s="57">
        <f>IF($A572="","",IFERROR(VALUE($K572)/VALUE($L572),IFERROR(VALUE($J572),0)))</f>
        <v/>
      </c>
      <c r="O572" s="57">
        <f>IF($A572="",0,IF(OR($S572&lt;&gt;1,COUNTA($J572:$M572)=0),0,IF(SUMPRODUCT(MAX(($C$5:$C$2484=$C572)*($D$5:$D$2484=$D572)*($S$5:$S$2484=1)*IFERROR($N$5:$N$2484*1,0)))&gt;0,ROUND($H572*($N572/SUMPRODUCT(MAX(($C$5:$C$2484=$C572)*($D$5:$D$2484=$D572)*($S$5:$S$2484=1)*IFERROR($N$5:$N$2484*1,0)))),4),0)))</f>
        <v/>
      </c>
      <c r="P572" s="48" t="inlineStr">
        <is>
          <t>Autobus attrezzati con videosorveglianza / Autobus totali in offerta, incluse scorte</t>
        </is>
      </c>
      <c r="Q572" s="57">
        <f>IF($A572="","",$A572&amp;"|"&amp;$C572)</f>
        <v/>
      </c>
      <c r="R572" s="57">
        <f>IF($A572="","",$A572&amp;"|"&amp;$C572&amp;"|"&amp;$D572)</f>
        <v/>
      </c>
      <c r="S572" s="57">
        <f>IF($A572="","",IFERROR(INDEX(Offerte!$D$2:$D$81,MATCH($Q572,Offerte!$L$2:$L$81,0)),0))</f>
        <v/>
      </c>
      <c r="T572" s="57">
        <f>IF($A572="","",IFERROR(INDEX(Offerte!$G$2:$G$81,MATCH($Q572,Offerte!$L$2:$L$81,0)),"NO"))</f>
        <v/>
      </c>
    </row>
    <row r="573">
      <c r="A573" s="48">
        <f>IF(Offerte!$A20="","",Offerte!$A20)</f>
        <v/>
      </c>
      <c r="B573" s="48">
        <f>IF(Offerte!$A20="","",Offerte!$B20)</f>
        <v/>
      </c>
      <c r="C573" s="48">
        <f>IF(Offerte!$A20="","",Offerte!$C20)</f>
        <v/>
      </c>
      <c r="D573" s="48" t="inlineStr">
        <is>
          <t>C.2.2</t>
        </is>
      </c>
      <c r="E573" s="48" t="inlineStr">
        <is>
          <t>C</t>
        </is>
      </c>
      <c r="F573" s="48" t="inlineStr">
        <is>
          <t>T</t>
        </is>
      </c>
      <c r="G573" s="48" t="inlineStr">
        <is>
          <t>tabular</t>
        </is>
      </c>
      <c r="H573" s="48" t="n">
        <v>1</v>
      </c>
      <c r="I573" s="48" t="inlineStr">
        <is>
          <t>Software video/audio analisi per situazioni di pericolo</t>
        </is>
      </c>
      <c r="J573" s="73" t="n"/>
      <c r="K573" s="73" t="n"/>
      <c r="L573" s="73" t="n"/>
      <c r="M573" s="73" t="n"/>
      <c r="N573" s="57">
        <f>IF($A573="","",IF(IFERROR(VALUE($M573),0)=1,1,0))</f>
        <v/>
      </c>
      <c r="O573" s="57">
        <f>IF($A573="",0,IF(OR($S573&lt;&gt;1,COUNTA($J573:$M573)=0),0,IF($N573=1,$H573,0)))</f>
        <v/>
      </c>
      <c r="P573" s="48" t="inlineStr">
        <is>
          <t>sì/no</t>
        </is>
      </c>
      <c r="Q573" s="57">
        <f>IF($A573="","",$A573&amp;"|"&amp;$C573)</f>
        <v/>
      </c>
      <c r="R573" s="57">
        <f>IF($A573="","",$A573&amp;"|"&amp;$C573&amp;"|"&amp;$D573)</f>
        <v/>
      </c>
      <c r="S573" s="57">
        <f>IF($A573="","",IFERROR(INDEX(Offerte!$D$2:$D$81,MATCH($Q573,Offerte!$L$2:$L$81,0)),0))</f>
        <v/>
      </c>
      <c r="T573" s="57">
        <f>IF($A573="","",IFERROR(INDEX(Offerte!$G$2:$G$81,MATCH($Q573,Offerte!$L$2:$L$81,0)),"NO"))</f>
        <v/>
      </c>
    </row>
    <row r="574">
      <c r="A574" s="48">
        <f>IF(Offerte!$A20="","",Offerte!$A20)</f>
        <v/>
      </c>
      <c r="B574" s="48">
        <f>IF(Offerte!$A20="","",Offerte!$B20)</f>
        <v/>
      </c>
      <c r="C574" s="48">
        <f>IF(Offerte!$A20="","",Offerte!$C20)</f>
        <v/>
      </c>
      <c r="D574" s="48" t="inlineStr">
        <is>
          <t>C.2.3</t>
        </is>
      </c>
      <c r="E574" s="48" t="inlineStr">
        <is>
          <t>C</t>
        </is>
      </c>
      <c r="F574" s="48" t="inlineStr">
        <is>
          <t>T</t>
        </is>
      </c>
      <c r="G574" s="48" t="inlineStr">
        <is>
          <t>tabular</t>
        </is>
      </c>
      <c r="H574" s="48" t="n">
        <v>1</v>
      </c>
      <c r="I574" s="48" t="inlineStr">
        <is>
          <t>Collegamento con centrale qualificata di pronto intervento</t>
        </is>
      </c>
      <c r="J574" s="73" t="n"/>
      <c r="K574" s="73" t="n"/>
      <c r="L574" s="73" t="n"/>
      <c r="M574" s="73" t="n"/>
      <c r="N574" s="57">
        <f>IF($A574="","",IF(IFERROR(VALUE($M574),0)=1,1,0))</f>
        <v/>
      </c>
      <c r="O574" s="57">
        <f>IF($A574="",0,IF(OR($S574&lt;&gt;1,COUNTA($J574:$M574)=0),0,IF($N574=1,$H574,0)))</f>
        <v/>
      </c>
      <c r="P574" s="48" t="inlineStr">
        <is>
          <t>sì/no</t>
        </is>
      </c>
      <c r="Q574" s="57">
        <f>IF($A574="","",$A574&amp;"|"&amp;$C574)</f>
        <v/>
      </c>
      <c r="R574" s="57">
        <f>IF($A574="","",$A574&amp;"|"&amp;$C574&amp;"|"&amp;$D574)</f>
        <v/>
      </c>
      <c r="S574" s="57">
        <f>IF($A574="","",IFERROR(INDEX(Offerte!$D$2:$D$81,MATCH($Q574,Offerte!$L$2:$L$81,0)),0))</f>
        <v/>
      </c>
      <c r="T574" s="57">
        <f>IF($A574="","",IFERROR(INDEX(Offerte!$G$2:$G$81,MATCH($Q574,Offerte!$L$2:$L$81,0)),"NO"))</f>
        <v/>
      </c>
    </row>
    <row r="575">
      <c r="A575" s="48">
        <f>IF(Offerte!$A20="","",Offerte!$A20)</f>
        <v/>
      </c>
      <c r="B575" s="48">
        <f>IF(Offerte!$A20="","",Offerte!$B20)</f>
        <v/>
      </c>
      <c r="C575" s="48">
        <f>IF(Offerte!$A20="","",Offerte!$C20)</f>
        <v/>
      </c>
      <c r="D575" s="48" t="inlineStr">
        <is>
          <t>C.2.4</t>
        </is>
      </c>
      <c r="E575" s="48" t="inlineStr">
        <is>
          <t>C</t>
        </is>
      </c>
      <c r="F575" s="48" t="inlineStr">
        <is>
          <t>Q</t>
        </is>
      </c>
      <c r="G575" s="48" t="inlineStr">
        <is>
          <t>higher</t>
        </is>
      </c>
      <c r="H575" s="48" t="n">
        <v>1</v>
      </c>
      <c r="I575" s="48" t="inlineStr">
        <is>
          <t>Tasso di copertura del servizio con dispositivi per la chiamata di emergenza del conducente</t>
        </is>
      </c>
      <c r="J575" s="73" t="n"/>
      <c r="K575" s="73" t="n"/>
      <c r="L575" s="73" t="n"/>
      <c r="M575" s="73" t="n"/>
      <c r="N575" s="57">
        <f>IF($A575="","",IFERROR(VALUE($K575)/VALUE($L575),IFERROR(VALUE($J575),0)))</f>
        <v/>
      </c>
      <c r="O575" s="57">
        <f>IF($A575="",0,IF(OR($S575&lt;&gt;1,COUNTA($J575:$M575)=0),0,IF(SUMPRODUCT(MAX(($C$5:$C$2484=$C575)*($D$5:$D$2484=$D575)*($S$5:$S$2484=1)*IFERROR($N$5:$N$2484*1,0)))&gt;0,ROUND($H575*($N575/SUMPRODUCT(MAX(($C$5:$C$2484=$C575)*($D$5:$D$2484=$D575)*($S$5:$S$2484=1)*IFERROR($N$5:$N$2484*1,0)))),4),0)))</f>
        <v/>
      </c>
      <c r="P575" s="48" t="inlineStr">
        <is>
          <t>Autobus attrezzati con chiamata di emergenza / Autobus totali in offerta, incluse scorte</t>
        </is>
      </c>
      <c r="Q575" s="57">
        <f>IF($A575="","",$A575&amp;"|"&amp;$C575)</f>
        <v/>
      </c>
      <c r="R575" s="57">
        <f>IF($A575="","",$A575&amp;"|"&amp;$C575&amp;"|"&amp;$D575)</f>
        <v/>
      </c>
      <c r="S575" s="57">
        <f>IF($A575="","",IFERROR(INDEX(Offerte!$D$2:$D$81,MATCH($Q575,Offerte!$L$2:$L$81,0)),0))</f>
        <v/>
      </c>
      <c r="T575" s="57">
        <f>IF($A575="","",IFERROR(INDEX(Offerte!$G$2:$G$81,MATCH($Q575,Offerte!$L$2:$L$81,0)),"NO"))</f>
        <v/>
      </c>
    </row>
    <row r="576">
      <c r="A576" s="48">
        <f>IF(Offerte!$A20="","",Offerte!$A20)</f>
        <v/>
      </c>
      <c r="B576" s="48">
        <f>IF(Offerte!$A20="","",Offerte!$B20)</f>
        <v/>
      </c>
      <c r="C576" s="48">
        <f>IF(Offerte!$A20="","",Offerte!$C20)</f>
        <v/>
      </c>
      <c r="D576" s="48" t="inlineStr">
        <is>
          <t>C.3.1</t>
        </is>
      </c>
      <c r="E576" s="48" t="inlineStr">
        <is>
          <t>C</t>
        </is>
      </c>
      <c r="F576" s="48" t="inlineStr">
        <is>
          <t>Q</t>
        </is>
      </c>
      <c r="G576" s="48" t="inlineStr">
        <is>
          <t>higher</t>
        </is>
      </c>
      <c r="H576" s="48" t="n">
        <v>2</v>
      </c>
      <c r="I576" s="48" t="inlineStr">
        <is>
          <t>Tasso di copertura del servizio con dispositivi di informazione dinamica a bordo mezzo</t>
        </is>
      </c>
      <c r="J576" s="73" t="n"/>
      <c r="K576" s="73" t="n"/>
      <c r="L576" s="73" t="n"/>
      <c r="M576" s="73" t="n"/>
      <c r="N576" s="57">
        <f>IF($A576="","",IFERROR(VALUE($K576)/VALUE($L576),IFERROR(VALUE($J576),0)))</f>
        <v/>
      </c>
      <c r="O576" s="57">
        <f>IF($A576="",0,IF(OR($S576&lt;&gt;1,COUNTA($J576:$M576)=0),0,IF(SUMPRODUCT(MAX(($C$5:$C$2484=$C576)*($D$5:$D$2484=$D576)*($S$5:$S$2484=1)*IFERROR($N$5:$N$2484*1,0)))&gt;0,ROUND($H576*($N576/SUMPRODUCT(MAX(($C$5:$C$2484=$C576)*($D$5:$D$2484=$D576)*($S$5:$S$2484=1)*IFERROR($N$5:$N$2484*1,0)))),4),0)))</f>
        <v/>
      </c>
      <c r="P576" s="48" t="inlineStr">
        <is>
          <t>Autobus con monitor e indicatori vocali / Autobus totali in offerta, incluse scorte</t>
        </is>
      </c>
      <c r="Q576" s="57">
        <f>IF($A576="","",$A576&amp;"|"&amp;$C576)</f>
        <v/>
      </c>
      <c r="R576" s="57">
        <f>IF($A576="","",$A576&amp;"|"&amp;$C576&amp;"|"&amp;$D576)</f>
        <v/>
      </c>
      <c r="S576" s="57">
        <f>IF($A576="","",IFERROR(INDEX(Offerte!$D$2:$D$81,MATCH($Q576,Offerte!$L$2:$L$81,0)),0))</f>
        <v/>
      </c>
      <c r="T576" s="57">
        <f>IF($A576="","",IFERROR(INDEX(Offerte!$G$2:$G$81,MATCH($Q576,Offerte!$L$2:$L$81,0)),"NO"))</f>
        <v/>
      </c>
    </row>
    <row r="577">
      <c r="A577" s="48">
        <f>IF(Offerte!$A20="","",Offerte!$A20)</f>
        <v/>
      </c>
      <c r="B577" s="48">
        <f>IF(Offerte!$A20="","",Offerte!$B20)</f>
        <v/>
      </c>
      <c r="C577" s="48">
        <f>IF(Offerte!$A20="","",Offerte!$C20)</f>
        <v/>
      </c>
      <c r="D577" s="48" t="inlineStr">
        <is>
          <t>C.3.2</t>
        </is>
      </c>
      <c r="E577" s="48" t="inlineStr">
        <is>
          <t>C</t>
        </is>
      </c>
      <c r="F577" s="48" t="inlineStr">
        <is>
          <t>T</t>
        </is>
      </c>
      <c r="G577" s="48" t="inlineStr">
        <is>
          <t>tabular</t>
        </is>
      </c>
      <c r="H577" s="48" t="n">
        <v>2</v>
      </c>
      <c r="I577" s="48" t="inlineStr">
        <is>
          <t>Informazioni a bordo su coincidenze ai nodi</t>
        </is>
      </c>
      <c r="J577" s="73" t="n"/>
      <c r="K577" s="73" t="n"/>
      <c r="L577" s="73" t="n"/>
      <c r="M577" s="73" t="n"/>
      <c r="N577" s="57">
        <f>IF($A577="","",IF(IFERROR(VALUE($M577),0)=1,1,0))</f>
        <v/>
      </c>
      <c r="O577" s="57">
        <f>IF($A577="",0,IF(OR($S577&lt;&gt;1,COUNTA($J577:$M577)=0),0,IF(AND($N577=1,IFERROR(SUMIFS($N$5:$N$2484,$Q$5:$Q$2484,$Q577,$D$5:$D$2484,"C.3.1"),0)&gt;=0.5),$H577,0)))</f>
        <v/>
      </c>
      <c r="P577" s="48" t="inlineStr">
        <is>
          <t>Dipende da C.3.1 &gt;= 0.5</t>
        </is>
      </c>
      <c r="Q577" s="57">
        <f>IF($A577="","",$A577&amp;"|"&amp;$C577)</f>
        <v/>
      </c>
      <c r="R577" s="57">
        <f>IF($A577="","",$A577&amp;"|"&amp;$C577&amp;"|"&amp;$D577)</f>
        <v/>
      </c>
      <c r="S577" s="57">
        <f>IF($A577="","",IFERROR(INDEX(Offerte!$D$2:$D$81,MATCH($Q577,Offerte!$L$2:$L$81,0)),0))</f>
        <v/>
      </c>
      <c r="T577" s="57">
        <f>IF($A577="","",IFERROR(INDEX(Offerte!$G$2:$G$81,MATCH($Q577,Offerte!$L$2:$L$81,0)),"NO"))</f>
        <v/>
      </c>
    </row>
    <row r="578">
      <c r="A578" s="48">
        <f>IF(Offerte!$A20="","",Offerte!$A20)</f>
        <v/>
      </c>
      <c r="B578" s="48">
        <f>IF(Offerte!$A20="","",Offerte!$B20)</f>
        <v/>
      </c>
      <c r="C578" s="48">
        <f>IF(Offerte!$A20="","",Offerte!$C20)</f>
        <v/>
      </c>
      <c r="D578" s="48" t="inlineStr">
        <is>
          <t>D.1.1</t>
        </is>
      </c>
      <c r="E578" s="48" t="inlineStr">
        <is>
          <t>D</t>
        </is>
      </c>
      <c r="F578" s="48" t="inlineStr">
        <is>
          <t>Q</t>
        </is>
      </c>
      <c r="G578" s="48" t="inlineStr">
        <is>
          <t>higher</t>
        </is>
      </c>
      <c r="H578" s="48" t="n">
        <v>3</v>
      </c>
      <c r="I578" s="48" t="inlineStr">
        <is>
          <t>Installazione di pensiline</t>
        </is>
      </c>
      <c r="J578" s="73" t="n"/>
      <c r="K578" s="73" t="n"/>
      <c r="L578" s="73" t="n"/>
      <c r="M578" s="73" t="n"/>
      <c r="N578" s="57">
        <f>IF($A578="","",IFERROR(VALUE($J578),0))</f>
        <v/>
      </c>
      <c r="O578" s="57">
        <f>IF($A578="",0,IF(OR($S578&lt;&gt;1,COUNTA($J578:$M578)=0),0,IF(SUMPRODUCT(MAX(($C$5:$C$2484=$C578)*($D$5:$D$2484=$D578)*($S$5:$S$2484=1)*IFERROR($N$5:$N$2484*1,0)))&gt;0,ROUND($H578*($N578/SUMPRODUCT(MAX(($C$5:$C$2484=$C578)*($D$5:$D$2484=$D578)*($S$5:$S$2484=1)*IFERROR($N$5:$N$2484*1,0)))),4),0)))</f>
        <v/>
      </c>
      <c r="P578" s="48" t="inlineStr">
        <is>
          <t>fermate</t>
        </is>
      </c>
      <c r="Q578" s="57">
        <f>IF($A578="","",$A578&amp;"|"&amp;$C578)</f>
        <v/>
      </c>
      <c r="R578" s="57">
        <f>IF($A578="","",$A578&amp;"|"&amp;$C578&amp;"|"&amp;$D578)</f>
        <v/>
      </c>
      <c r="S578" s="57">
        <f>IF($A578="","",IFERROR(INDEX(Offerte!$D$2:$D$81,MATCH($Q578,Offerte!$L$2:$L$81,0)),0))</f>
        <v/>
      </c>
      <c r="T578" s="57">
        <f>IF($A578="","",IFERROR(INDEX(Offerte!$G$2:$G$81,MATCH($Q578,Offerte!$L$2:$L$81,0)),"NO"))</f>
        <v/>
      </c>
    </row>
    <row r="579">
      <c r="A579" s="48">
        <f>IF(Offerte!$A20="","",Offerte!$A20)</f>
        <v/>
      </c>
      <c r="B579" s="48">
        <f>IF(Offerte!$A20="","",Offerte!$B20)</f>
        <v/>
      </c>
      <c r="C579" s="48">
        <f>IF(Offerte!$A20="","",Offerte!$C20)</f>
        <v/>
      </c>
      <c r="D579" s="48" t="inlineStr">
        <is>
          <t>D.1.2</t>
        </is>
      </c>
      <c r="E579" s="48" t="inlineStr">
        <is>
          <t>D</t>
        </is>
      </c>
      <c r="F579" s="48" t="inlineStr">
        <is>
          <t>Q</t>
        </is>
      </c>
      <c r="G579" s="48" t="inlineStr">
        <is>
          <t>higher</t>
        </is>
      </c>
      <c r="H579" s="48" t="n">
        <v>3</v>
      </c>
      <c r="I579" s="48" t="inlineStr">
        <is>
          <t>Installazione di paline di fermata conformi alla DGR 581/2023</t>
        </is>
      </c>
      <c r="J579" s="73" t="n"/>
      <c r="K579" s="73" t="n"/>
      <c r="L579" s="73" t="n"/>
      <c r="M579" s="73" t="n"/>
      <c r="N579" s="57">
        <f>IF($A579="","",IFERROR(VALUE($J579),0))</f>
        <v/>
      </c>
      <c r="O579" s="57">
        <f>IF($A579="",0,IF(OR($S579&lt;&gt;1,COUNTA($J579:$M579)=0),0,IF(SUMPRODUCT(MAX(($C$5:$C$2484=$C579)*($D$5:$D$2484=$D579)*($S$5:$S$2484=1)*IFERROR($N$5:$N$2484*1,0)))&gt;0,ROUND($H579*($N579/SUMPRODUCT(MAX(($C$5:$C$2484=$C579)*($D$5:$D$2484=$D579)*($S$5:$S$2484=1)*IFERROR($N$5:$N$2484*1,0)))),4),0)))</f>
        <v/>
      </c>
      <c r="P579" s="48" t="inlineStr">
        <is>
          <t>fermate</t>
        </is>
      </c>
      <c r="Q579" s="57">
        <f>IF($A579="","",$A579&amp;"|"&amp;$C579)</f>
        <v/>
      </c>
      <c r="R579" s="57">
        <f>IF($A579="","",$A579&amp;"|"&amp;$C579&amp;"|"&amp;$D579)</f>
        <v/>
      </c>
      <c r="S579" s="57">
        <f>IF($A579="","",IFERROR(INDEX(Offerte!$D$2:$D$81,MATCH($Q579,Offerte!$L$2:$L$81,0)),0))</f>
        <v/>
      </c>
      <c r="T579" s="57">
        <f>IF($A579="","",IFERROR(INDEX(Offerte!$G$2:$G$81,MATCH($Q579,Offerte!$L$2:$L$81,0)),"NO"))</f>
        <v/>
      </c>
    </row>
    <row r="580">
      <c r="A580" s="48">
        <f>IF(Offerte!$A20="","",Offerte!$A20)</f>
        <v/>
      </c>
      <c r="B580" s="48">
        <f>IF(Offerte!$A20="","",Offerte!$B20)</f>
        <v/>
      </c>
      <c r="C580" s="48">
        <f>IF(Offerte!$A20="","",Offerte!$C20)</f>
        <v/>
      </c>
      <c r="D580" s="48" t="inlineStr">
        <is>
          <t>D.1.3</t>
        </is>
      </c>
      <c r="E580" s="48" t="inlineStr">
        <is>
          <t>D</t>
        </is>
      </c>
      <c r="F580" s="48" t="inlineStr">
        <is>
          <t>Q</t>
        </is>
      </c>
      <c r="G580" s="48" t="inlineStr">
        <is>
          <t>higher</t>
        </is>
      </c>
      <c r="H580" s="48" t="n">
        <v>2</v>
      </c>
      <c r="I580" s="48" t="inlineStr">
        <is>
          <t>Display informativi connessi alle fermate</t>
        </is>
      </c>
      <c r="J580" s="73" t="n"/>
      <c r="K580" s="73" t="n"/>
      <c r="L580" s="73" t="n"/>
      <c r="M580" s="73" t="n"/>
      <c r="N580" s="57">
        <f>IF($A580="","",IFERROR(VALUE($J580),0))</f>
        <v/>
      </c>
      <c r="O580" s="57">
        <f>IF($A580="",0,IF(OR($S580&lt;&gt;1,COUNTA($J580:$M580)=0),0,IF(SUMPRODUCT(MAX(($C$5:$C$2484=$C580)*($D$5:$D$2484=$D580)*($S$5:$S$2484=1)*IFERROR($N$5:$N$2484*1,0)))&gt;0,ROUND($H580*($N580/SUMPRODUCT(MAX(($C$5:$C$2484=$C580)*($D$5:$D$2484=$D580)*($S$5:$S$2484=1)*IFERROR($N$5:$N$2484*1,0)))),4),0)))</f>
        <v/>
      </c>
      <c r="P580" s="48" t="inlineStr">
        <is>
          <t>fermate</t>
        </is>
      </c>
      <c r="Q580" s="57">
        <f>IF($A580="","",$A580&amp;"|"&amp;$C580)</f>
        <v/>
      </c>
      <c r="R580" s="57">
        <f>IF($A580="","",$A580&amp;"|"&amp;$C580&amp;"|"&amp;$D580)</f>
        <v/>
      </c>
      <c r="S580" s="57">
        <f>IF($A580="","",IFERROR(INDEX(Offerte!$D$2:$D$81,MATCH($Q580,Offerte!$L$2:$L$81,0)),0))</f>
        <v/>
      </c>
      <c r="T580" s="57">
        <f>IF($A580="","",IFERROR(INDEX(Offerte!$G$2:$G$81,MATCH($Q580,Offerte!$L$2:$L$81,0)),"NO"))</f>
        <v/>
      </c>
    </row>
    <row r="581">
      <c r="A581" s="48">
        <f>IF(Offerte!$A20="","",Offerte!$A20)</f>
        <v/>
      </c>
      <c r="B581" s="48">
        <f>IF(Offerte!$A20="","",Offerte!$B20)</f>
        <v/>
      </c>
      <c r="C581" s="48">
        <f>IF(Offerte!$A20="","",Offerte!$C20)</f>
        <v/>
      </c>
      <c r="D581" s="48" t="inlineStr">
        <is>
          <t>D.2.1</t>
        </is>
      </c>
      <c r="E581" s="48" t="inlineStr">
        <is>
          <t>D</t>
        </is>
      </c>
      <c r="F581" s="48" t="inlineStr">
        <is>
          <t>Q</t>
        </is>
      </c>
      <c r="G581" s="48" t="inlineStr">
        <is>
          <t>higher</t>
        </is>
      </c>
      <c r="H581" s="48" t="n">
        <v>2</v>
      </c>
      <c r="I581" s="48" t="inlineStr">
        <is>
          <t>Segnali tattili Loges-Vet-Evolution</t>
        </is>
      </c>
      <c r="J581" s="73" t="n"/>
      <c r="K581" s="73" t="n"/>
      <c r="L581" s="73" t="n"/>
      <c r="M581" s="73" t="n"/>
      <c r="N581" s="57">
        <f>IF($A581="","",IFERROR(VALUE($J581),0))</f>
        <v/>
      </c>
      <c r="O581" s="57">
        <f>IF($A581="",0,IF(OR($S581&lt;&gt;1,COUNTA($J581:$M581)=0),0,IF(SUMPRODUCT(MAX(($C$5:$C$2484=$C581)*($D$5:$D$2484=$D581)*($S$5:$S$2484=1)*IFERROR($N$5:$N$2484*1,0)))&gt;0,ROUND($H581*($N581/SUMPRODUCT(MAX(($C$5:$C$2484=$C581)*($D$5:$D$2484=$D581)*($S$5:$S$2484=1)*IFERROR($N$5:$N$2484*1,0)))),4),0)))</f>
        <v/>
      </c>
      <c r="P581" s="48" t="inlineStr">
        <is>
          <t>fermate</t>
        </is>
      </c>
      <c r="Q581" s="57">
        <f>IF($A581="","",$A581&amp;"|"&amp;$C581)</f>
        <v/>
      </c>
      <c r="R581" s="57">
        <f>IF($A581="","",$A581&amp;"|"&amp;$C581&amp;"|"&amp;$D581)</f>
        <v/>
      </c>
      <c r="S581" s="57">
        <f>IF($A581="","",IFERROR(INDEX(Offerte!$D$2:$D$81,MATCH($Q581,Offerte!$L$2:$L$81,0)),0))</f>
        <v/>
      </c>
      <c r="T581" s="57">
        <f>IF($A581="","",IFERROR(INDEX(Offerte!$G$2:$G$81,MATCH($Q581,Offerte!$L$2:$L$81,0)),"NO"))</f>
        <v/>
      </c>
    </row>
    <row r="582">
      <c r="A582" s="48">
        <f>IF(Offerte!$A20="","",Offerte!$A20)</f>
        <v/>
      </c>
      <c r="B582" s="48">
        <f>IF(Offerte!$A20="","",Offerte!$B20)</f>
        <v/>
      </c>
      <c r="C582" s="48">
        <f>IF(Offerte!$A20="","",Offerte!$C20)</f>
        <v/>
      </c>
      <c r="D582" s="48" t="inlineStr">
        <is>
          <t>E.1.1</t>
        </is>
      </c>
      <c r="E582" s="48" t="inlineStr">
        <is>
          <t>E</t>
        </is>
      </c>
      <c r="F582" s="48" t="inlineStr">
        <is>
          <t>T</t>
        </is>
      </c>
      <c r="G582" s="48" t="inlineStr">
        <is>
          <t>tabular</t>
        </is>
      </c>
      <c r="H582" s="48" t="n">
        <v>2</v>
      </c>
      <c r="I582" s="48" t="inlineStr">
        <is>
          <t>Mobile app con travel planner PRM</t>
        </is>
      </c>
      <c r="J582" s="73" t="n"/>
      <c r="K582" s="73" t="n"/>
      <c r="L582" s="73" t="n"/>
      <c r="M582" s="73" t="n"/>
      <c r="N582" s="57">
        <f>IF($A582="","",IF(IFERROR(VALUE($M582),0)=1,1,0))</f>
        <v/>
      </c>
      <c r="O582" s="57">
        <f>IF($A582="",0,IF(OR($S582&lt;&gt;1,COUNTA($J582:$M582)=0),0,IF($N582=1,$H582,0)))</f>
        <v/>
      </c>
      <c r="P582" s="48" t="inlineStr">
        <is>
          <t>sì/no</t>
        </is>
      </c>
      <c r="Q582" s="57">
        <f>IF($A582="","",$A582&amp;"|"&amp;$C582)</f>
        <v/>
      </c>
      <c r="R582" s="57">
        <f>IF($A582="","",$A582&amp;"|"&amp;$C582&amp;"|"&amp;$D582)</f>
        <v/>
      </c>
      <c r="S582" s="57">
        <f>IF($A582="","",IFERROR(INDEX(Offerte!$D$2:$D$81,MATCH($Q582,Offerte!$L$2:$L$81,0)),0))</f>
        <v/>
      </c>
      <c r="T582" s="57">
        <f>IF($A582="","",IFERROR(INDEX(Offerte!$G$2:$G$81,MATCH($Q582,Offerte!$L$2:$L$81,0)),"NO"))</f>
        <v/>
      </c>
    </row>
    <row r="583">
      <c r="A583" s="48">
        <f>IF(Offerte!$A20="","",Offerte!$A20)</f>
        <v/>
      </c>
      <c r="B583" s="48">
        <f>IF(Offerte!$A20="","",Offerte!$B20)</f>
        <v/>
      </c>
      <c r="C583" s="48">
        <f>IF(Offerte!$A20="","",Offerte!$C20)</f>
        <v/>
      </c>
      <c r="D583" s="48" t="inlineStr">
        <is>
          <t>E.2.1</t>
        </is>
      </c>
      <c r="E583" s="48" t="inlineStr">
        <is>
          <t>E</t>
        </is>
      </c>
      <c r="F583" s="48" t="inlineStr">
        <is>
          <t>D</t>
        </is>
      </c>
      <c r="G583" s="48" t="inlineStr">
        <is>
          <t>discretionary</t>
        </is>
      </c>
      <c r="H583" s="48" t="n">
        <v>2</v>
      </c>
      <c r="I583" s="48" t="inlineStr">
        <is>
          <t>Altre azioni informative e rapporti con gli utenti</t>
        </is>
      </c>
      <c r="J583" s="73" t="n"/>
      <c r="K583" s="73" t="n"/>
      <c r="L583" s="73" t="n"/>
      <c r="M583" s="73" t="n"/>
      <c r="N583" s="57">
        <f>IF($A583="","",MAX(0,MIN(1,IFERROR(VALUE($M583),0))))</f>
        <v/>
      </c>
      <c r="O583" s="57">
        <f>IF($A583="",0,IF(OR($S583&lt;&gt;1,COUNTA($J583:$M583)=0),0,IF(SUMPRODUCT(MAX(($C$5:$C$2484=$C583)*($D$5:$D$2484=$D583)*($S$5:$S$2484=1)*IFERROR($N$5:$N$2484*1,0)))&gt;0,ROUND($H583*($N583/SUMPRODUCT(MAX(($C$5:$C$2484=$C583)*($D$5:$D$2484=$D583)*($S$5:$S$2484=1)*IFERROR($N$5:$N$2484*1,0)))),4),0)))</f>
        <v/>
      </c>
      <c r="P583" s="48" t="inlineStr">
        <is>
          <t>coeff.</t>
        </is>
      </c>
      <c r="Q583" s="57">
        <f>IF($A583="","",$A583&amp;"|"&amp;$C583)</f>
        <v/>
      </c>
      <c r="R583" s="57">
        <f>IF($A583="","",$A583&amp;"|"&amp;$C583&amp;"|"&amp;$D583)</f>
        <v/>
      </c>
      <c r="S583" s="57">
        <f>IF($A583="","",IFERROR(INDEX(Offerte!$D$2:$D$81,MATCH($Q583,Offerte!$L$2:$L$81,0)),0))</f>
        <v/>
      </c>
      <c r="T583" s="57">
        <f>IF($A583="","",IFERROR(INDEX(Offerte!$G$2:$G$81,MATCH($Q583,Offerte!$L$2:$L$81,0)),"NO"))</f>
        <v/>
      </c>
    </row>
    <row r="584">
      <c r="A584" s="48">
        <f>IF(Offerte!$A20="","",Offerte!$A20)</f>
        <v/>
      </c>
      <c r="B584" s="48">
        <f>IF(Offerte!$A20="","",Offerte!$B20)</f>
        <v/>
      </c>
      <c r="C584" s="48">
        <f>IF(Offerte!$A20="","",Offerte!$C20)</f>
        <v/>
      </c>
      <c r="D584" s="48" t="inlineStr">
        <is>
          <t>F.1.1</t>
        </is>
      </c>
      <c r="E584" s="48" t="inlineStr">
        <is>
          <t>F</t>
        </is>
      </c>
      <c r="F584" s="48" t="inlineStr">
        <is>
          <t>Q</t>
        </is>
      </c>
      <c r="G584" s="48" t="inlineStr">
        <is>
          <t>lower</t>
        </is>
      </c>
      <c r="H584" s="48" t="n">
        <v>7</v>
      </c>
      <c r="I584" s="48" t="inlineStr">
        <is>
          <t>Performance ambientali del parco mezzi adibito al servizio - I_CEA</t>
        </is>
      </c>
      <c r="J584" s="73" t="n"/>
      <c r="K584" s="73" t="n"/>
      <c r="L584" s="73" t="n"/>
      <c r="M584" s="73" t="n"/>
      <c r="N584" s="57">
        <f>IF($A584="","",IFERROR(VALUE($J584),0))</f>
        <v/>
      </c>
      <c r="O584" s="57">
        <f>IF($A584="",0,IF(OR($S584&lt;&gt;1,COUNTA($J584:$M584)=0),0,IF(AND(IFERROR(AGGREGATE(15,6,$N$5:$N$2484/(($C$5:$C$2484=$C584)*($D$5:$D$2484=$D584)*($S$5:$S$2484=1)*($N$5:$N$2484&gt;0)),1),0)&gt;0,$N584&gt;0),ROUND($H584*(IFERROR(AGGREGATE(15,6,$N$5:$N$2484/(($C$5:$C$2484=$C584)*($D$5:$D$2484=$D584)*($S$5:$S$2484=1)*($N$5:$N$2484&gt;0)),1),0)/$N584),4),0)))</f>
        <v/>
      </c>
      <c r="P584" s="48" t="inlineStr">
        <is>
          <t>indice</t>
        </is>
      </c>
      <c r="Q584" s="57">
        <f>IF($A584="","",$A584&amp;"|"&amp;$C584)</f>
        <v/>
      </c>
      <c r="R584" s="57">
        <f>IF($A584="","",$A584&amp;"|"&amp;$C584&amp;"|"&amp;$D584)</f>
        <v/>
      </c>
      <c r="S584" s="57">
        <f>IF($A584="","",IFERROR(INDEX(Offerte!$D$2:$D$81,MATCH($Q584,Offerte!$L$2:$L$81,0)),0))</f>
        <v/>
      </c>
      <c r="T584" s="57">
        <f>IF($A584="","",IFERROR(INDEX(Offerte!$G$2:$G$81,MATCH($Q584,Offerte!$L$2:$L$81,0)),"NO"))</f>
        <v/>
      </c>
    </row>
    <row r="585">
      <c r="A585" s="48">
        <f>IF(Offerte!$A20="","",Offerte!$A20)</f>
        <v/>
      </c>
      <c r="B585" s="48">
        <f>IF(Offerte!$A20="","",Offerte!$B20)</f>
        <v/>
      </c>
      <c r="C585" s="48">
        <f>IF(Offerte!$A20="","",Offerte!$C20)</f>
        <v/>
      </c>
      <c r="D585" s="48" t="inlineStr">
        <is>
          <t>F.2.1</t>
        </is>
      </c>
      <c r="E585" s="48" t="inlineStr">
        <is>
          <t>F</t>
        </is>
      </c>
      <c r="F585" s="48" t="inlineStr">
        <is>
          <t>Q</t>
        </is>
      </c>
      <c r="G585" s="48" t="inlineStr">
        <is>
          <t>higher</t>
        </is>
      </c>
      <c r="H585" s="48" t="n">
        <v>2</v>
      </c>
      <c r="I585" s="48" t="inlineStr">
        <is>
          <t>Tasso di copertura del servizio con dispositivi ECO-DRIVER</t>
        </is>
      </c>
      <c r="J585" s="73" t="n"/>
      <c r="K585" s="73" t="n"/>
      <c r="L585" s="73" t="n"/>
      <c r="M585" s="73" t="n"/>
      <c r="N585" s="57">
        <f>IF($A585="","",IFERROR(VALUE($K585)/VALUE($L585),IFERROR(VALUE($J585),0)))</f>
        <v/>
      </c>
      <c r="O585" s="57">
        <f>IF($A585="",0,IF(OR($S585&lt;&gt;1,COUNTA($J585:$M585)=0),0,IF(SUMPRODUCT(MAX(($C$5:$C$2484=$C585)*($D$5:$D$2484=$D585)*($S$5:$S$2484=1)*IFERROR($N$5:$N$2484*1,0)))&gt;0,ROUND($H585*($N585/SUMPRODUCT(MAX(($C$5:$C$2484=$C585)*($D$5:$D$2484=$D585)*($S$5:$S$2484=1)*IFERROR($N$5:$N$2484*1,0)))),4),0)))</f>
        <v/>
      </c>
      <c r="P585" s="48" t="inlineStr">
        <is>
          <t>Autobus attrezzati con dispositivi ECO-DRIVER / Autobus totali in offerta, incluse scorte</t>
        </is>
      </c>
      <c r="Q585" s="57">
        <f>IF($A585="","",$A585&amp;"|"&amp;$C585)</f>
        <v/>
      </c>
      <c r="R585" s="57">
        <f>IF($A585="","",$A585&amp;"|"&amp;$C585&amp;"|"&amp;$D585)</f>
        <v/>
      </c>
      <c r="S585" s="57">
        <f>IF($A585="","",IFERROR(INDEX(Offerte!$D$2:$D$81,MATCH($Q585,Offerte!$L$2:$L$81,0)),0))</f>
        <v/>
      </c>
      <c r="T585" s="57">
        <f>IF($A585="","",IFERROR(INDEX(Offerte!$G$2:$G$81,MATCH($Q585,Offerte!$L$2:$L$81,0)),"NO"))</f>
        <v/>
      </c>
    </row>
    <row r="586">
      <c r="A586" s="48">
        <f>IF(Offerte!$A20="","",Offerte!$A20)</f>
        <v/>
      </c>
      <c r="B586" s="48">
        <f>IF(Offerte!$A20="","",Offerte!$B20)</f>
        <v/>
      </c>
      <c r="C586" s="48">
        <f>IF(Offerte!$A20="","",Offerte!$C20)</f>
        <v/>
      </c>
      <c r="D586" s="48" t="inlineStr">
        <is>
          <t>F.3.1</t>
        </is>
      </c>
      <c r="E586" s="48" t="inlineStr">
        <is>
          <t>F</t>
        </is>
      </c>
      <c r="F586" s="48" t="inlineStr">
        <is>
          <t>Q</t>
        </is>
      </c>
      <c r="G586" s="48" t="inlineStr">
        <is>
          <t>higher</t>
        </is>
      </c>
      <c r="H586" s="48" t="n">
        <v>2</v>
      </c>
      <c r="I586" s="48" t="inlineStr">
        <is>
          <t>Autoproduzione consumi elettrici per trazione</t>
        </is>
      </c>
      <c r="J586" s="73" t="n"/>
      <c r="K586" s="73" t="n"/>
      <c r="L586" s="73" t="n"/>
      <c r="M586" s="73" t="n"/>
      <c r="N586" s="57">
        <f>IF($A586="","",IFERROR(VALUE($J586),0))</f>
        <v/>
      </c>
      <c r="O586" s="57">
        <f>IF($A586="",0,IF(OR($S586&lt;&gt;1,COUNTA($J586:$M586)=0),0,IF(SUMPRODUCT(MAX(($C$5:$C$2484=$C586)*($D$5:$D$2484=$D586)*($S$5:$S$2484=1)*IFERROR($N$5:$N$2484*1,0)))&gt;0,ROUND($H586*($N586/SUMPRODUCT(MAX(($C$5:$C$2484=$C586)*($D$5:$D$2484=$D586)*($S$5:$S$2484=1)*IFERROR($N$5:$N$2484*1,0)))),4),0)))</f>
        <v/>
      </c>
      <c r="P586" s="48" t="inlineStr">
        <is>
          <t>kWh/anno</t>
        </is>
      </c>
      <c r="Q586" s="57">
        <f>IF($A586="","",$A586&amp;"|"&amp;$C586)</f>
        <v/>
      </c>
      <c r="R586" s="57">
        <f>IF($A586="","",$A586&amp;"|"&amp;$C586&amp;"|"&amp;$D586)</f>
        <v/>
      </c>
      <c r="S586" s="57">
        <f>IF($A586="","",IFERROR(INDEX(Offerte!$D$2:$D$81,MATCH($Q586,Offerte!$L$2:$L$81,0)),0))</f>
        <v/>
      </c>
      <c r="T586" s="57">
        <f>IF($A586="","",IFERROR(INDEX(Offerte!$G$2:$G$81,MATCH($Q586,Offerte!$L$2:$L$81,0)),"NO"))</f>
        <v/>
      </c>
    </row>
    <row r="587">
      <c r="A587" s="48">
        <f>IF(Offerte!$A20="","",Offerte!$A20)</f>
        <v/>
      </c>
      <c r="B587" s="48">
        <f>IF(Offerte!$A20="","",Offerte!$B20)</f>
        <v/>
      </c>
      <c r="C587" s="48">
        <f>IF(Offerte!$A20="","",Offerte!$C20)</f>
        <v/>
      </c>
      <c r="D587" s="48" t="inlineStr">
        <is>
          <t>F.4.1</t>
        </is>
      </c>
      <c r="E587" s="48" t="inlineStr">
        <is>
          <t>F</t>
        </is>
      </c>
      <c r="F587" s="48" t="inlineStr">
        <is>
          <t>Q</t>
        </is>
      </c>
      <c r="G587" s="48" t="inlineStr">
        <is>
          <t>soil</t>
        </is>
      </c>
      <c r="H587" s="48" t="n">
        <v>2</v>
      </c>
      <c r="I587" s="48" t="inlineStr">
        <is>
          <t>Indice di consumo di suolo</t>
        </is>
      </c>
      <c r="J587" s="73" t="n"/>
      <c r="K587" s="73" t="n"/>
      <c r="L587" s="73" t="n"/>
      <c r="M587" s="73" t="n"/>
      <c r="N587" s="57">
        <f>IF($A587="","",IFERROR(VALUE($J587),0))</f>
        <v/>
      </c>
      <c r="O587" s="57">
        <f>IF($A587="",0,IF(OR($S587&lt;&gt;1,COUNTA($J587:$M587)=0),0,IF($N587&lt;=0,$H587,IF(SUMPRODUCT(MAX(($C$5:$C$2484=$C587)*($D$5:$D$2484=$D587)*($S$5:$S$2484=1)*IFERROR($N$5:$N$2484*1,0)))&gt;0,ROUND($H587*((SUMPRODUCT(MAX(($C$5:$C$2484=$C587)*($D$5:$D$2484=$D587)*($S$5:$S$2484=1)*IFERROR($N$5:$N$2484*1,0)))-$N587)/SUMPRODUCT(MAX(($C$5:$C$2484=$C587)*($D$5:$D$2484=$D587)*($S$5:$S$2484=1)*IFERROR($N$5:$N$2484*1,0)))),4),0))))</f>
        <v/>
      </c>
      <c r="P587" s="48" t="inlineStr">
        <is>
          <t>m2</t>
        </is>
      </c>
      <c r="Q587" s="57">
        <f>IF($A587="","",$A587&amp;"|"&amp;$C587)</f>
        <v/>
      </c>
      <c r="R587" s="57">
        <f>IF($A587="","",$A587&amp;"|"&amp;$C587&amp;"|"&amp;$D587)</f>
        <v/>
      </c>
      <c r="S587" s="57">
        <f>IF($A587="","",IFERROR(INDEX(Offerte!$D$2:$D$81,MATCH($Q587,Offerte!$L$2:$L$81,0)),0))</f>
        <v/>
      </c>
      <c r="T587" s="57">
        <f>IF($A587="","",IFERROR(INDEX(Offerte!$G$2:$G$81,MATCH($Q587,Offerte!$L$2:$L$81,0)),"NO"))</f>
        <v/>
      </c>
    </row>
    <row r="588">
      <c r="A588" s="48">
        <f>IF(Offerte!$A20="","",Offerte!$A20)</f>
        <v/>
      </c>
      <c r="B588" s="48">
        <f>IF(Offerte!$A20="","",Offerte!$B20)</f>
        <v/>
      </c>
      <c r="C588" s="48">
        <f>IF(Offerte!$A20="","",Offerte!$C20)</f>
        <v/>
      </c>
      <c r="D588" s="48" t="inlineStr">
        <is>
          <t>F.5.1</t>
        </is>
      </c>
      <c r="E588" s="48" t="inlineStr">
        <is>
          <t>F</t>
        </is>
      </c>
      <c r="F588" s="48" t="inlineStr">
        <is>
          <t>T</t>
        </is>
      </c>
      <c r="G588" s="48" t="inlineStr">
        <is>
          <t>tabular</t>
        </is>
      </c>
      <c r="H588" s="48" t="n">
        <v>1</v>
      </c>
      <c r="I588" s="48" t="inlineStr">
        <is>
          <t>Rendicontazione di sostenibilità ambientale</t>
        </is>
      </c>
      <c r="J588" s="73" t="n"/>
      <c r="K588" s="73" t="n"/>
      <c r="L588" s="73" t="n"/>
      <c r="M588" s="73" t="n"/>
      <c r="N588" s="57">
        <f>IF($A588="","",IF(IFERROR(VALUE($M588),0)=1,1,0))</f>
        <v/>
      </c>
      <c r="O588" s="57">
        <f>IF($A588="",0,IF(OR($S588&lt;&gt;1,COUNTA($J588:$M588)=0),0,IF($N588=1,$H588,0)))</f>
        <v/>
      </c>
      <c r="P588" s="48" t="inlineStr">
        <is>
          <t>sì/no</t>
        </is>
      </c>
      <c r="Q588" s="57">
        <f>IF($A588="","",$A588&amp;"|"&amp;$C588)</f>
        <v/>
      </c>
      <c r="R588" s="57">
        <f>IF($A588="","",$A588&amp;"|"&amp;$C588&amp;"|"&amp;$D588)</f>
        <v/>
      </c>
      <c r="S588" s="57">
        <f>IF($A588="","",IFERROR(INDEX(Offerte!$D$2:$D$81,MATCH($Q588,Offerte!$L$2:$L$81,0)),0))</f>
        <v/>
      </c>
      <c r="T588" s="57">
        <f>IF($A588="","",IFERROR(INDEX(Offerte!$G$2:$G$81,MATCH($Q588,Offerte!$L$2:$L$81,0)),"NO"))</f>
        <v/>
      </c>
    </row>
    <row r="589">
      <c r="A589" s="48">
        <f>IF(Offerte!$A20="","",Offerte!$A20)</f>
        <v/>
      </c>
      <c r="B589" s="48">
        <f>IF(Offerte!$A20="","",Offerte!$B20)</f>
        <v/>
      </c>
      <c r="C589" s="48">
        <f>IF(Offerte!$A20="","",Offerte!$C20)</f>
        <v/>
      </c>
      <c r="D589" s="48" t="inlineStr">
        <is>
          <t>G.1.1</t>
        </is>
      </c>
      <c r="E589" s="48" t="inlineStr">
        <is>
          <t>G</t>
        </is>
      </c>
      <c r="F589" s="48" t="inlineStr">
        <is>
          <t>D</t>
        </is>
      </c>
      <c r="G589" s="48" t="inlineStr">
        <is>
          <t>discretionary</t>
        </is>
      </c>
      <c r="H589" s="48" t="n">
        <v>2</v>
      </c>
      <c r="I589" s="48" t="inlineStr">
        <is>
          <t>Qualità del progetto di centrale di controllo aziendale</t>
        </is>
      </c>
      <c r="J589" s="73" t="n"/>
      <c r="K589" s="73" t="n"/>
      <c r="L589" s="73" t="n"/>
      <c r="M589" s="73" t="n"/>
      <c r="N589" s="57">
        <f>IF($A589="","",MAX(0,MIN(1,IFERROR(VALUE($M589),0))))</f>
        <v/>
      </c>
      <c r="O589" s="57">
        <f>IF($A589="",0,IF(OR($S589&lt;&gt;1,COUNTA($J589:$M589)=0),0,IF(SUMPRODUCT(MAX(($C$5:$C$2484=$C589)*($D$5:$D$2484=$D589)*($S$5:$S$2484=1)*IFERROR($N$5:$N$2484*1,0)))&gt;0,ROUND($H589*($N589/SUMPRODUCT(MAX(($C$5:$C$2484=$C589)*($D$5:$D$2484=$D589)*($S$5:$S$2484=1)*IFERROR($N$5:$N$2484*1,0)))),4),0)))</f>
        <v/>
      </c>
      <c r="P589" s="48" t="inlineStr">
        <is>
          <t>coeff.</t>
        </is>
      </c>
      <c r="Q589" s="57">
        <f>IF($A589="","",$A589&amp;"|"&amp;$C589)</f>
        <v/>
      </c>
      <c r="R589" s="57">
        <f>IF($A589="","",$A589&amp;"|"&amp;$C589&amp;"|"&amp;$D589)</f>
        <v/>
      </c>
      <c r="S589" s="57">
        <f>IF($A589="","",IFERROR(INDEX(Offerte!$D$2:$D$81,MATCH($Q589,Offerte!$L$2:$L$81,0)),0))</f>
        <v/>
      </c>
      <c r="T589" s="57">
        <f>IF($A589="","",IFERROR(INDEX(Offerte!$G$2:$G$81,MATCH($Q589,Offerte!$L$2:$L$81,0)),"NO"))</f>
        <v/>
      </c>
    </row>
    <row r="590">
      <c r="A590" s="48">
        <f>IF(Offerte!$A20="","",Offerte!$A20)</f>
        <v/>
      </c>
      <c r="B590" s="48">
        <f>IF(Offerte!$A20="","",Offerte!$B20)</f>
        <v/>
      </c>
      <c r="C590" s="48">
        <f>IF(Offerte!$A20="","",Offerte!$C20)</f>
        <v/>
      </c>
      <c r="D590" s="48" t="inlineStr">
        <is>
          <t>G.2.1</t>
        </is>
      </c>
      <c r="E590" s="48" t="inlineStr">
        <is>
          <t>G</t>
        </is>
      </c>
      <c r="F590" s="48" t="inlineStr">
        <is>
          <t>T</t>
        </is>
      </c>
      <c r="G590" s="48" t="inlineStr">
        <is>
          <t>tabular</t>
        </is>
      </c>
      <c r="H590" s="48" t="n">
        <v>1</v>
      </c>
      <c r="I590" s="48" t="inlineStr">
        <is>
          <t>Certificazione ISO 45001</t>
        </is>
      </c>
      <c r="J590" s="73" t="n"/>
      <c r="K590" s="73" t="n"/>
      <c r="L590" s="73" t="n"/>
      <c r="M590" s="73" t="n"/>
      <c r="N590" s="57">
        <f>IF($A590="","",IF(IFERROR(VALUE($M590),0)=1,1,0))</f>
        <v/>
      </c>
      <c r="O590" s="57">
        <f>IF($A590="",0,IF(OR($S590&lt;&gt;1,COUNTA($J590:$M590)=0),0,IF($N590=1,$H590,0)))</f>
        <v/>
      </c>
      <c r="P590" s="48" t="inlineStr">
        <is>
          <t>sì/no</t>
        </is>
      </c>
      <c r="Q590" s="57">
        <f>IF($A590="","",$A590&amp;"|"&amp;$C590)</f>
        <v/>
      </c>
      <c r="R590" s="57">
        <f>IF($A590="","",$A590&amp;"|"&amp;$C590&amp;"|"&amp;$D590)</f>
        <v/>
      </c>
      <c r="S590" s="57">
        <f>IF($A590="","",IFERROR(INDEX(Offerte!$D$2:$D$81,MATCH($Q590,Offerte!$L$2:$L$81,0)),0))</f>
        <v/>
      </c>
      <c r="T590" s="57">
        <f>IF($A590="","",IFERROR(INDEX(Offerte!$G$2:$G$81,MATCH($Q590,Offerte!$L$2:$L$81,0)),"NO"))</f>
        <v/>
      </c>
    </row>
    <row r="591">
      <c r="A591" s="48">
        <f>IF(Offerte!$A20="","",Offerte!$A20)</f>
        <v/>
      </c>
      <c r="B591" s="48">
        <f>IF(Offerte!$A20="","",Offerte!$B20)</f>
        <v/>
      </c>
      <c r="C591" s="48">
        <f>IF(Offerte!$A20="","",Offerte!$C20)</f>
        <v/>
      </c>
      <c r="D591" s="48" t="inlineStr">
        <is>
          <t>G.3.1</t>
        </is>
      </c>
      <c r="E591" s="48" t="inlineStr">
        <is>
          <t>G</t>
        </is>
      </c>
      <c r="F591" s="48" t="inlineStr">
        <is>
          <t>T</t>
        </is>
      </c>
      <c r="G591" s="48" t="inlineStr">
        <is>
          <t>tabular</t>
        </is>
      </c>
      <c r="H591" s="48" t="n">
        <v>1</v>
      </c>
      <c r="I591" s="48" t="inlineStr">
        <is>
          <t>Certificazioni di responsabilità sociale</t>
        </is>
      </c>
      <c r="J591" s="73" t="n"/>
      <c r="K591" s="73" t="n"/>
      <c r="L591" s="73" t="n"/>
      <c r="M591" s="73" t="n"/>
      <c r="N591" s="57">
        <f>IF($A591="","",IF(IFERROR(VALUE($M591),0)=1,1,0))</f>
        <v/>
      </c>
      <c r="O591" s="57">
        <f>IF($A591="",0,IF(OR($S591&lt;&gt;1,COUNTA($J591:$M591)=0),0,IF($N591=1,$H591,0)))</f>
        <v/>
      </c>
      <c r="P591" s="48" t="inlineStr">
        <is>
          <t>sì/no</t>
        </is>
      </c>
      <c r="Q591" s="57">
        <f>IF($A591="","",$A591&amp;"|"&amp;$C591)</f>
        <v/>
      </c>
      <c r="R591" s="57">
        <f>IF($A591="","",$A591&amp;"|"&amp;$C591&amp;"|"&amp;$D591)</f>
        <v/>
      </c>
      <c r="S591" s="57">
        <f>IF($A591="","",IFERROR(INDEX(Offerte!$D$2:$D$81,MATCH($Q591,Offerte!$L$2:$L$81,0)),0))</f>
        <v/>
      </c>
      <c r="T591" s="57">
        <f>IF($A591="","",IFERROR(INDEX(Offerte!$G$2:$G$81,MATCH($Q591,Offerte!$L$2:$L$81,0)),"NO"))</f>
        <v/>
      </c>
    </row>
    <row r="592">
      <c r="A592" s="48">
        <f>IF(Offerte!$A20="","",Offerte!$A20)</f>
        <v/>
      </c>
      <c r="B592" s="48">
        <f>IF(Offerte!$A20="","",Offerte!$B20)</f>
        <v/>
      </c>
      <c r="C592" s="48">
        <f>IF(Offerte!$A20="","",Offerte!$C20)</f>
        <v/>
      </c>
      <c r="D592" s="48" t="inlineStr">
        <is>
          <t>G.4.1</t>
        </is>
      </c>
      <c r="E592" s="48" t="inlineStr">
        <is>
          <t>G</t>
        </is>
      </c>
      <c r="F592" s="48" t="inlineStr">
        <is>
          <t>D</t>
        </is>
      </c>
      <c r="G592" s="48" t="inlineStr">
        <is>
          <t>discretionary</t>
        </is>
      </c>
      <c r="H592" s="48" t="n">
        <v>2</v>
      </c>
      <c r="I592" s="48" t="inlineStr">
        <is>
          <t>Qualità del piano di formazione del personale</t>
        </is>
      </c>
      <c r="J592" s="73" t="n"/>
      <c r="K592" s="73" t="n"/>
      <c r="L592" s="73" t="n"/>
      <c r="M592" s="73" t="n"/>
      <c r="N592" s="57">
        <f>IF($A592="","",MAX(0,MIN(1,IFERROR(VALUE($M592),0))))</f>
        <v/>
      </c>
      <c r="O592" s="57">
        <f>IF($A592="",0,IF(OR($S592&lt;&gt;1,COUNTA($J592:$M592)=0),0,IF(SUMPRODUCT(MAX(($C$5:$C$2484=$C592)*($D$5:$D$2484=$D592)*($S$5:$S$2484=1)*IFERROR($N$5:$N$2484*1,0)))&gt;0,ROUND($H592*($N592/SUMPRODUCT(MAX(($C$5:$C$2484=$C592)*($D$5:$D$2484=$D592)*($S$5:$S$2484=1)*IFERROR($N$5:$N$2484*1,0)))),4),0)))</f>
        <v/>
      </c>
      <c r="P592" s="48" t="inlineStr">
        <is>
          <t>coeff.</t>
        </is>
      </c>
      <c r="Q592" s="57">
        <f>IF($A592="","",$A592&amp;"|"&amp;$C592)</f>
        <v/>
      </c>
      <c r="R592" s="57">
        <f>IF($A592="","",$A592&amp;"|"&amp;$C592&amp;"|"&amp;$D592)</f>
        <v/>
      </c>
      <c r="S592" s="57">
        <f>IF($A592="","",IFERROR(INDEX(Offerte!$D$2:$D$81,MATCH($Q592,Offerte!$L$2:$L$81,0)),0))</f>
        <v/>
      </c>
      <c r="T592" s="57">
        <f>IF($A592="","",IFERROR(INDEX(Offerte!$G$2:$G$81,MATCH($Q592,Offerte!$L$2:$L$81,0)),"NO"))</f>
        <v/>
      </c>
    </row>
    <row r="593">
      <c r="A593" s="48">
        <f>IF(Offerte!$A20="","",Offerte!$A20)</f>
        <v/>
      </c>
      <c r="B593" s="48">
        <f>IF(Offerte!$A20="","",Offerte!$B20)</f>
        <v/>
      </c>
      <c r="C593" s="48">
        <f>IF(Offerte!$A20="","",Offerte!$C20)</f>
        <v/>
      </c>
      <c r="D593" s="48" t="inlineStr">
        <is>
          <t>G.5.1</t>
        </is>
      </c>
      <c r="E593" s="48" t="inlineStr">
        <is>
          <t>G</t>
        </is>
      </c>
      <c r="F593" s="48" t="inlineStr">
        <is>
          <t>T</t>
        </is>
      </c>
      <c r="G593" s="48" t="inlineStr">
        <is>
          <t>tabular</t>
        </is>
      </c>
      <c r="H593" s="48" t="n">
        <v>1</v>
      </c>
      <c r="I593" s="48" t="inlineStr">
        <is>
          <t>Impegno al mantenimento delle garanzie del contratto di secondo livello del gestore uscente</t>
        </is>
      </c>
      <c r="J593" s="73" t="n"/>
      <c r="K593" s="73" t="n"/>
      <c r="L593" s="73" t="n"/>
      <c r="M593" s="73" t="n"/>
      <c r="N593" s="57">
        <f>IF($A593="","",IF(IFERROR(VALUE($M593),0)=1,1,0))</f>
        <v/>
      </c>
      <c r="O593" s="57">
        <f>IF($A593="",0,IF(OR($S593&lt;&gt;1,COUNTA($J593:$M593)=0),0,IF($N593=1,$H593,0)))</f>
        <v/>
      </c>
      <c r="P593" s="48" t="inlineStr">
        <is>
          <t>sì/no</t>
        </is>
      </c>
      <c r="Q593" s="57">
        <f>IF($A593="","",$A593&amp;"|"&amp;$C593)</f>
        <v/>
      </c>
      <c r="R593" s="57">
        <f>IF($A593="","",$A593&amp;"|"&amp;$C593&amp;"|"&amp;$D593)</f>
        <v/>
      </c>
      <c r="S593" s="57">
        <f>IF($A593="","",IFERROR(INDEX(Offerte!$D$2:$D$81,MATCH($Q593,Offerte!$L$2:$L$81,0)),0))</f>
        <v/>
      </c>
      <c r="T593" s="57">
        <f>IF($A593="","",IFERROR(INDEX(Offerte!$G$2:$G$81,MATCH($Q593,Offerte!$L$2:$L$81,0)),"NO"))</f>
        <v/>
      </c>
    </row>
    <row r="594">
      <c r="A594" s="48">
        <f>IF(Offerte!$A21="","",Offerte!$A21)</f>
        <v/>
      </c>
      <c r="B594" s="48">
        <f>IF(Offerte!$A21="","",Offerte!$B21)</f>
        <v/>
      </c>
      <c r="C594" s="48">
        <f>IF(Offerte!$A21="","",Offerte!$C21)</f>
        <v/>
      </c>
      <c r="D594" s="48" t="inlineStr">
        <is>
          <t>A.1.1</t>
        </is>
      </c>
      <c r="E594" s="48" t="inlineStr">
        <is>
          <t>A</t>
        </is>
      </c>
      <c r="F594" s="48" t="inlineStr">
        <is>
          <t>Q</t>
        </is>
      </c>
      <c r="G594" s="48" t="inlineStr">
        <is>
          <t>higher</t>
        </is>
      </c>
      <c r="H594" s="48" t="n">
        <v>3</v>
      </c>
      <c r="I594" s="48" t="inlineStr">
        <is>
          <t>Tasso aggiuntivo di corse controllate</t>
        </is>
      </c>
      <c r="J594" s="73" t="n"/>
      <c r="K594" s="73" t="n"/>
      <c r="L594" s="73" t="n"/>
      <c r="M594" s="73" t="n"/>
      <c r="N594" s="57">
        <f>IF($A594="","",IFERROR(VALUE($K594)/VALUE($L594)*100,IFERROR(VALUE($J594),0)))</f>
        <v/>
      </c>
      <c r="O594" s="57">
        <f>IF($A594="",0,IF(OR($S594&lt;&gt;1,COUNTA($J594:$M594)=0),0,IF(SUMPRODUCT(MAX(($C$5:$C$2484=$C594)*($D$5:$D$2484=$D594)*($S$5:$S$2484=1)*IFERROR($N$5:$N$2484*1,0)))&gt;0,ROUND($H594*($N594/SUMPRODUCT(MAX(($C$5:$C$2484=$C594)*($D$5:$D$2484=$D594)*($S$5:$S$2484=1)*IFERROR($N$5:$N$2484*1,0)))),4),0)))</f>
        <v/>
      </c>
      <c r="P594" s="48" t="inlineStr">
        <is>
          <t>Corse controllate annue / Corse programmate annue</t>
        </is>
      </c>
      <c r="Q594" s="57">
        <f>IF($A594="","",$A594&amp;"|"&amp;$C594)</f>
        <v/>
      </c>
      <c r="R594" s="57">
        <f>IF($A594="","",$A594&amp;"|"&amp;$C594&amp;"|"&amp;$D594)</f>
        <v/>
      </c>
      <c r="S594" s="57">
        <f>IF($A594="","",IFERROR(INDEX(Offerte!$D$2:$D$81,MATCH($Q594,Offerte!$L$2:$L$81,0)),0))</f>
        <v/>
      </c>
      <c r="T594" s="57">
        <f>IF($A594="","",IFERROR(INDEX(Offerte!$G$2:$G$81,MATCH($Q594,Offerte!$L$2:$L$81,0)),"NO"))</f>
        <v/>
      </c>
    </row>
    <row r="595">
      <c r="A595" s="48">
        <f>IF(Offerte!$A21="","",Offerte!$A21)</f>
        <v/>
      </c>
      <c r="B595" s="48">
        <f>IF(Offerte!$A21="","",Offerte!$B21)</f>
        <v/>
      </c>
      <c r="C595" s="48">
        <f>IF(Offerte!$A21="","",Offerte!$C21)</f>
        <v/>
      </c>
      <c r="D595" s="48" t="inlineStr">
        <is>
          <t>A.1.2</t>
        </is>
      </c>
      <c r="E595" s="48" t="inlineStr">
        <is>
          <t>A</t>
        </is>
      </c>
      <c r="F595" s="48" t="inlineStr">
        <is>
          <t>Q</t>
        </is>
      </c>
      <c r="G595" s="48" t="inlineStr">
        <is>
          <t>higher</t>
        </is>
      </c>
      <c r="H595" s="48" t="n">
        <v>4</v>
      </c>
      <c r="I595" s="48" t="inlineStr">
        <is>
          <t>Numero aggiuntivo di passeggeri controllati</t>
        </is>
      </c>
      <c r="J595" s="73" t="n"/>
      <c r="K595" s="73" t="n"/>
      <c r="L595" s="73" t="n"/>
      <c r="M595" s="73" t="n"/>
      <c r="N595" s="57">
        <f>IF($A595="","",IFERROR(VALUE($J595),0))</f>
        <v/>
      </c>
      <c r="O595" s="57">
        <f>IF($A595="",0,IF(OR($S595&lt;&gt;1,COUNTA($J595:$M595)=0),0,IF(SUMPRODUCT(MAX(($C$5:$C$2484=$C595)*($D$5:$D$2484=$D595)*($S$5:$S$2484=1)*IFERROR($N$5:$N$2484*1,0)))&gt;0,ROUND($H595*($N595/SUMPRODUCT(MAX(($C$5:$C$2484=$C595)*($D$5:$D$2484=$D595)*($S$5:$S$2484=1)*IFERROR($N$5:$N$2484*1,0)))),4),0)))</f>
        <v/>
      </c>
      <c r="P595" s="48" t="inlineStr">
        <is>
          <t>passeggeri/anno</t>
        </is>
      </c>
      <c r="Q595" s="57">
        <f>IF($A595="","",$A595&amp;"|"&amp;$C595)</f>
        <v/>
      </c>
      <c r="R595" s="57">
        <f>IF($A595="","",$A595&amp;"|"&amp;$C595&amp;"|"&amp;$D595)</f>
        <v/>
      </c>
      <c r="S595" s="57">
        <f>IF($A595="","",IFERROR(INDEX(Offerte!$D$2:$D$81,MATCH($Q595,Offerte!$L$2:$L$81,0)),0))</f>
        <v/>
      </c>
      <c r="T595" s="57">
        <f>IF($A595="","",IFERROR(INDEX(Offerte!$G$2:$G$81,MATCH($Q595,Offerte!$L$2:$L$81,0)),"NO"))</f>
        <v/>
      </c>
    </row>
    <row r="596">
      <c r="A596" s="48">
        <f>IF(Offerte!$A21="","",Offerte!$A21)</f>
        <v/>
      </c>
      <c r="B596" s="48">
        <f>IF(Offerte!$A21="","",Offerte!$B21)</f>
        <v/>
      </c>
      <c r="C596" s="48">
        <f>IF(Offerte!$A21="","",Offerte!$C21)</f>
        <v/>
      </c>
      <c r="D596" s="48" t="inlineStr">
        <is>
          <t>B.1.1</t>
        </is>
      </c>
      <c r="E596" s="48" t="inlineStr">
        <is>
          <t>B</t>
        </is>
      </c>
      <c r="F596" s="48" t="inlineStr">
        <is>
          <t>Q</t>
        </is>
      </c>
      <c r="G596" s="48" t="inlineStr">
        <is>
          <t>higher</t>
        </is>
      </c>
      <c r="H596" s="48" t="n">
        <v>3</v>
      </c>
      <c r="I596" s="48" t="inlineStr">
        <is>
          <t>Incremento dei posti offerti nelle fasce di punta</t>
        </is>
      </c>
      <c r="J596" s="73" t="n"/>
      <c r="K596" s="73" t="n"/>
      <c r="L596" s="73" t="n"/>
      <c r="M596" s="73" t="n"/>
      <c r="N596" s="57">
        <f>IF($A596="","",IFERROR(VALUE($J596),0))</f>
        <v/>
      </c>
      <c r="O596" s="57">
        <f>IF($A596="",0,IF(OR($S596&lt;&gt;1,COUNTA($J596:$M596)=0),0,IF(SUMPRODUCT(MAX(($C$5:$C$2484=$C596)*($D$5:$D$2484=$D596)*($S$5:$S$2484=1)*IFERROR($N$5:$N$2484*1,0)))&gt;0,ROUND($H596*($N596/SUMPRODUCT(MAX(($C$5:$C$2484=$C596)*($D$5:$D$2484=$D596)*($S$5:$S$2484=1)*IFERROR($N$5:$N$2484*1,0)))),4),0)))</f>
        <v/>
      </c>
      <c r="P596" s="48" t="inlineStr">
        <is>
          <t>posti*km</t>
        </is>
      </c>
      <c r="Q596" s="57">
        <f>IF($A596="","",$A596&amp;"|"&amp;$C596)</f>
        <v/>
      </c>
      <c r="R596" s="57">
        <f>IF($A596="","",$A596&amp;"|"&amp;$C596&amp;"|"&amp;$D596)</f>
        <v/>
      </c>
      <c r="S596" s="57">
        <f>IF($A596="","",IFERROR(INDEX(Offerte!$D$2:$D$81,MATCH($Q596,Offerte!$L$2:$L$81,0)),0))</f>
        <v/>
      </c>
      <c r="T596" s="57">
        <f>IF($A596="","",IFERROR(INDEX(Offerte!$G$2:$G$81,MATCH($Q596,Offerte!$L$2:$L$81,0)),"NO"))</f>
        <v/>
      </c>
    </row>
    <row r="597">
      <c r="A597" s="48">
        <f>IF(Offerte!$A21="","",Offerte!$A21)</f>
        <v/>
      </c>
      <c r="B597" s="48">
        <f>IF(Offerte!$A21="","",Offerte!$B21)</f>
        <v/>
      </c>
      <c r="C597" s="48">
        <f>IF(Offerte!$A21="","",Offerte!$C21)</f>
        <v/>
      </c>
      <c r="D597" s="48" t="inlineStr">
        <is>
          <t>B.2.1</t>
        </is>
      </c>
      <c r="E597" s="48" t="inlineStr">
        <is>
          <t>B</t>
        </is>
      </c>
      <c r="F597" s="48" t="inlineStr">
        <is>
          <t>Q</t>
        </is>
      </c>
      <c r="G597" s="48" t="inlineStr">
        <is>
          <t>higher</t>
        </is>
      </c>
      <c r="H597" s="48" t="n">
        <v>4</v>
      </c>
      <c r="I597" s="48" t="inlineStr">
        <is>
          <t>Corse aggiuntive nell'arco giornaliero base</t>
        </is>
      </c>
      <c r="J597" s="73" t="n"/>
      <c r="K597" s="73" t="n"/>
      <c r="L597" s="73" t="n"/>
      <c r="M597" s="73" t="n"/>
      <c r="N597" s="57">
        <f>IF($A597="","",IFERROR(VALUE($J597),0))</f>
        <v/>
      </c>
      <c r="O597" s="57">
        <f>IF($A597="",0,IF(OR($S597&lt;&gt;1,COUNTA($J597:$M597)=0),0,IF(SUMPRODUCT(MAX(($C$5:$C$2484=$C597)*($D$5:$D$2484=$D597)*($S$5:$S$2484=1)*IFERROR($N$5:$N$2484*1,0)))&gt;0,ROUND($H597*($N597/SUMPRODUCT(MAX(($C$5:$C$2484=$C597)*($D$5:$D$2484=$D597)*($S$5:$S$2484=1)*IFERROR($N$5:$N$2484*1,0)))),4),0)))</f>
        <v/>
      </c>
      <c r="P597" s="48" t="inlineStr">
        <is>
          <t>corse</t>
        </is>
      </c>
      <c r="Q597" s="57">
        <f>IF($A597="","",$A597&amp;"|"&amp;$C597)</f>
        <v/>
      </c>
      <c r="R597" s="57">
        <f>IF($A597="","",$A597&amp;"|"&amp;$C597&amp;"|"&amp;$D597)</f>
        <v/>
      </c>
      <c r="S597" s="57">
        <f>IF($A597="","",IFERROR(INDEX(Offerte!$D$2:$D$81,MATCH($Q597,Offerte!$L$2:$L$81,0)),0))</f>
        <v/>
      </c>
      <c r="T597" s="57">
        <f>IF($A597="","",IFERROR(INDEX(Offerte!$G$2:$G$81,MATCH($Q597,Offerte!$L$2:$L$81,0)),"NO"))</f>
        <v/>
      </c>
    </row>
    <row r="598">
      <c r="A598" s="48">
        <f>IF(Offerte!$A21="","",Offerte!$A21)</f>
        <v/>
      </c>
      <c r="B598" s="48">
        <f>IF(Offerte!$A21="","",Offerte!$B21)</f>
        <v/>
      </c>
      <c r="C598" s="48">
        <f>IF(Offerte!$A21="","",Offerte!$C21)</f>
        <v/>
      </c>
      <c r="D598" s="48" t="inlineStr">
        <is>
          <t>B.3.1</t>
        </is>
      </c>
      <c r="E598" s="48" t="inlineStr">
        <is>
          <t>B</t>
        </is>
      </c>
      <c r="F598" s="48" t="inlineStr">
        <is>
          <t>Q</t>
        </is>
      </c>
      <c r="G598" s="48" t="inlineStr">
        <is>
          <t>higher</t>
        </is>
      </c>
      <c r="H598" s="48" t="n">
        <v>2</v>
      </c>
      <c r="I598" s="48" t="inlineStr">
        <is>
          <t>Numero di corse aggiuntive per allungamento dell'arco di servizio giornaliero nelle fasce serali</t>
        </is>
      </c>
      <c r="J598" s="73" t="n"/>
      <c r="K598" s="73" t="n"/>
      <c r="L598" s="73" t="n"/>
      <c r="M598" s="73" t="n"/>
      <c r="N598" s="57">
        <f>IF($A598="","",IFERROR(VALUE($J598),0))</f>
        <v/>
      </c>
      <c r="O598" s="57">
        <f>IF($A598="",0,IF(OR($S598&lt;&gt;1,COUNTA($J598:$M598)=0),0,IF(SUMPRODUCT(MAX(($C$5:$C$2484=$C598)*($D$5:$D$2484=$D598)*($S$5:$S$2484=1)*IFERROR($N$5:$N$2484*1,0)))&gt;0,ROUND($H598*($N598/SUMPRODUCT(MAX(($C$5:$C$2484=$C598)*($D$5:$D$2484=$D598)*($S$5:$S$2484=1)*IFERROR($N$5:$N$2484*1,0)))),4),0)))</f>
        <v/>
      </c>
      <c r="P598" s="48" t="inlineStr">
        <is>
          <t>corse</t>
        </is>
      </c>
      <c r="Q598" s="57">
        <f>IF($A598="","",$A598&amp;"|"&amp;$C598)</f>
        <v/>
      </c>
      <c r="R598" s="57">
        <f>IF($A598="","",$A598&amp;"|"&amp;$C598&amp;"|"&amp;$D598)</f>
        <v/>
      </c>
      <c r="S598" s="57">
        <f>IF($A598="","",IFERROR(INDEX(Offerte!$D$2:$D$81,MATCH($Q598,Offerte!$L$2:$L$81,0)),0))</f>
        <v/>
      </c>
      <c r="T598" s="57">
        <f>IF($A598="","",IFERROR(INDEX(Offerte!$G$2:$G$81,MATCH($Q598,Offerte!$L$2:$L$81,0)),"NO"))</f>
        <v/>
      </c>
    </row>
    <row r="599">
      <c r="A599" s="48">
        <f>IF(Offerte!$A21="","",Offerte!$A21)</f>
        <v/>
      </c>
      <c r="B599" s="48">
        <f>IF(Offerte!$A21="","",Offerte!$B21)</f>
        <v/>
      </c>
      <c r="C599" s="48">
        <f>IF(Offerte!$A21="","",Offerte!$C21)</f>
        <v/>
      </c>
      <c r="D599" s="48" t="inlineStr">
        <is>
          <t>B.4.1</t>
        </is>
      </c>
      <c r="E599" s="48" t="inlineStr">
        <is>
          <t>B</t>
        </is>
      </c>
      <c r="F599" s="48" t="inlineStr">
        <is>
          <t>Q</t>
        </is>
      </c>
      <c r="G599" s="48" t="inlineStr">
        <is>
          <t>higher</t>
        </is>
      </c>
      <c r="H599" s="48" t="n">
        <v>3</v>
      </c>
      <c r="I599" s="48" t="inlineStr">
        <is>
          <t>Percorrenze aggiuntive offerte nel Programma d'esercizio delle prime due fasi attuative</t>
        </is>
      </c>
      <c r="J599" s="73" t="n"/>
      <c r="K599" s="73" t="n"/>
      <c r="L599" s="73" t="n"/>
      <c r="M599" s="73" t="n"/>
      <c r="N599" s="57">
        <f>IF($A599="","",IFERROR(VALUE($J599),0))</f>
        <v/>
      </c>
      <c r="O599" s="57">
        <f>IF($A599="",0,IF(OR($S599&lt;&gt;1,COUNTA($J599:$M599)=0),0,IF(SUMPRODUCT(MAX(($C$5:$C$2484=$C599)*($D$5:$D$2484=$D599)*($S$5:$S$2484=1)*IFERROR($N$5:$N$2484*1,0)))&gt;0,ROUND($H599*($N599/SUMPRODUCT(MAX(($C$5:$C$2484=$C599)*($D$5:$D$2484=$D599)*($S$5:$S$2484=1)*IFERROR($N$5:$N$2484*1,0)))),4),0)))</f>
        <v/>
      </c>
      <c r="P599" s="48" t="inlineStr">
        <is>
          <t>vett*km</t>
        </is>
      </c>
      <c r="Q599" s="57">
        <f>IF($A599="","",$A599&amp;"|"&amp;$C599)</f>
        <v/>
      </c>
      <c r="R599" s="57">
        <f>IF($A599="","",$A599&amp;"|"&amp;$C599&amp;"|"&amp;$D599)</f>
        <v/>
      </c>
      <c r="S599" s="57">
        <f>IF($A599="","",IFERROR(INDEX(Offerte!$D$2:$D$81,MATCH($Q599,Offerte!$L$2:$L$81,0)),0))</f>
        <v/>
      </c>
      <c r="T599" s="57">
        <f>IF($A599="","",IFERROR(INDEX(Offerte!$G$2:$G$81,MATCH($Q599,Offerte!$L$2:$L$81,0)),"NO"))</f>
        <v/>
      </c>
    </row>
    <row r="600">
      <c r="A600" s="48">
        <f>IF(Offerte!$A21="","",Offerte!$A21)</f>
        <v/>
      </c>
      <c r="B600" s="48">
        <f>IF(Offerte!$A21="","",Offerte!$B21)</f>
        <v/>
      </c>
      <c r="C600" s="48">
        <f>IF(Offerte!$A21="","",Offerte!$C21)</f>
        <v/>
      </c>
      <c r="D600" s="48" t="inlineStr">
        <is>
          <t>B.5.1</t>
        </is>
      </c>
      <c r="E600" s="48" t="inlineStr">
        <is>
          <t>B</t>
        </is>
      </c>
      <c r="F600" s="48" t="inlineStr">
        <is>
          <t>D</t>
        </is>
      </c>
      <c r="G600" s="48" t="inlineStr">
        <is>
          <t>discretionary</t>
        </is>
      </c>
      <c r="H600" s="48" t="n">
        <v>2</v>
      </c>
      <c r="I600" s="48" t="inlineStr">
        <is>
          <t>Efficacia del progetto di servizi complementari DRT</t>
        </is>
      </c>
      <c r="J600" s="73" t="n"/>
      <c r="K600" s="73" t="n"/>
      <c r="L600" s="73" t="n"/>
      <c r="M600" s="73" t="n"/>
      <c r="N600" s="57">
        <f>IF($A600="","",MAX(0,MIN(1,IFERROR(VALUE($M600),0))))</f>
        <v/>
      </c>
      <c r="O600" s="57">
        <f>IF($A600="",0,IF(OR($S600&lt;&gt;1,COUNTA($J600:$M600)=0),0,IF(SUMPRODUCT(MAX(($C$5:$C$2484=$C600)*($D$5:$D$2484=$D600)*($S$5:$S$2484=1)*IFERROR($N$5:$N$2484*1,0)))&gt;0,ROUND($H600*($N600/SUMPRODUCT(MAX(($C$5:$C$2484=$C600)*($D$5:$D$2484=$D600)*($S$5:$S$2484=1)*IFERROR($N$5:$N$2484*1,0)))),4),0)))</f>
        <v/>
      </c>
      <c r="P600" s="48" t="inlineStr">
        <is>
          <t>coeff.</t>
        </is>
      </c>
      <c r="Q600" s="57">
        <f>IF($A600="","",$A600&amp;"|"&amp;$C600)</f>
        <v/>
      </c>
      <c r="R600" s="57">
        <f>IF($A600="","",$A600&amp;"|"&amp;$C600&amp;"|"&amp;$D600)</f>
        <v/>
      </c>
      <c r="S600" s="57">
        <f>IF($A600="","",IFERROR(INDEX(Offerte!$D$2:$D$81,MATCH($Q600,Offerte!$L$2:$L$81,0)),0))</f>
        <v/>
      </c>
      <c r="T600" s="57">
        <f>IF($A600="","",IFERROR(INDEX(Offerte!$G$2:$G$81,MATCH($Q600,Offerte!$L$2:$L$81,0)),"NO"))</f>
        <v/>
      </c>
    </row>
    <row r="601">
      <c r="A601" s="48">
        <f>IF(Offerte!$A21="","",Offerte!$A21)</f>
        <v/>
      </c>
      <c r="B601" s="48">
        <f>IF(Offerte!$A21="","",Offerte!$B21)</f>
        <v/>
      </c>
      <c r="C601" s="48">
        <f>IF(Offerte!$A21="","",Offerte!$C21)</f>
        <v/>
      </c>
      <c r="D601" s="48" t="inlineStr">
        <is>
          <t>C.1.1</t>
        </is>
      </c>
      <c r="E601" s="48" t="inlineStr">
        <is>
          <t>C</t>
        </is>
      </c>
      <c r="F601" s="48" t="inlineStr">
        <is>
          <t>Q</t>
        </is>
      </c>
      <c r="G601" s="48" t="inlineStr">
        <is>
          <t>higher</t>
        </is>
      </c>
      <c r="H601" s="48" t="n">
        <v>2</v>
      </c>
      <c r="I601" s="48" t="inlineStr">
        <is>
          <t>Tasso di copertura del servizio con telecamere BSD</t>
        </is>
      </c>
      <c r="J601" s="73" t="n"/>
      <c r="K601" s="73" t="n"/>
      <c r="L601" s="73" t="n"/>
      <c r="M601" s="73" t="n"/>
      <c r="N601" s="57">
        <f>IF($A601="","",IFERROR(VALUE($K601)/VALUE($L601),IFERROR(VALUE($J601),0)))</f>
        <v/>
      </c>
      <c r="O601" s="57">
        <f>IF($A601="",0,IF(OR($S601&lt;&gt;1,COUNTA($J601:$M601)=0),0,IF(SUMPRODUCT(MAX(($C$5:$C$2484=$C601)*($D$5:$D$2484=$D601)*($S$5:$S$2484=1)*IFERROR($N$5:$N$2484*1,0)))&gt;0,ROUND($H601*($N601/SUMPRODUCT(MAX(($C$5:$C$2484=$C601)*($D$5:$D$2484=$D601)*($S$5:$S$2484=1)*IFERROR($N$5:$N$2484*1,0)))),4),0)))</f>
        <v/>
      </c>
      <c r="P601" s="48" t="inlineStr">
        <is>
          <t>Autobus attrezzati con telecamere BSD / Autobus totali in offerta, incluse scorte</t>
        </is>
      </c>
      <c r="Q601" s="57">
        <f>IF($A601="","",$A601&amp;"|"&amp;$C601)</f>
        <v/>
      </c>
      <c r="R601" s="57">
        <f>IF($A601="","",$A601&amp;"|"&amp;$C601&amp;"|"&amp;$D601)</f>
        <v/>
      </c>
      <c r="S601" s="57">
        <f>IF($A601="","",IFERROR(INDEX(Offerte!$D$2:$D$81,MATCH($Q601,Offerte!$L$2:$L$81,0)),0))</f>
        <v/>
      </c>
      <c r="T601" s="57">
        <f>IF($A601="","",IFERROR(INDEX(Offerte!$G$2:$G$81,MATCH($Q601,Offerte!$L$2:$L$81,0)),"NO"))</f>
        <v/>
      </c>
    </row>
    <row r="602">
      <c r="A602" s="48">
        <f>IF(Offerte!$A21="","",Offerte!$A21)</f>
        <v/>
      </c>
      <c r="B602" s="48">
        <f>IF(Offerte!$A21="","",Offerte!$B21)</f>
        <v/>
      </c>
      <c r="C602" s="48">
        <f>IF(Offerte!$A21="","",Offerte!$C21)</f>
        <v/>
      </c>
      <c r="D602" s="48" t="inlineStr">
        <is>
          <t>C.1.2</t>
        </is>
      </c>
      <c r="E602" s="48" t="inlineStr">
        <is>
          <t>C</t>
        </is>
      </c>
      <c r="F602" s="48" t="inlineStr">
        <is>
          <t>Q</t>
        </is>
      </c>
      <c r="G602" s="48" t="inlineStr">
        <is>
          <t>higher</t>
        </is>
      </c>
      <c r="H602" s="48" t="n">
        <v>2</v>
      </c>
      <c r="I602" s="48" t="inlineStr">
        <is>
          <t>Tasso di copertura del servizio con telecamere ADAS</t>
        </is>
      </c>
      <c r="J602" s="73" t="n"/>
      <c r="K602" s="73" t="n"/>
      <c r="L602" s="73" t="n"/>
      <c r="M602" s="73" t="n"/>
      <c r="N602" s="57">
        <f>IF($A602="","",IFERROR(VALUE($K602)/VALUE($L602),IFERROR(VALUE($J602),0)))</f>
        <v/>
      </c>
      <c r="O602" s="57">
        <f>IF($A602="",0,IF(OR($S602&lt;&gt;1,COUNTA($J602:$M602)=0),0,IF(SUMPRODUCT(MAX(($C$5:$C$2484=$C602)*($D$5:$D$2484=$D602)*($S$5:$S$2484=1)*IFERROR($N$5:$N$2484*1,0)))&gt;0,ROUND($H602*($N602/SUMPRODUCT(MAX(($C$5:$C$2484=$C602)*($D$5:$D$2484=$D602)*($S$5:$S$2484=1)*IFERROR($N$5:$N$2484*1,0)))),4),0)))</f>
        <v/>
      </c>
      <c r="P602" s="48" t="inlineStr">
        <is>
          <t>Autobus attrezzati con telecamere ADAS / Autobus totali in offerta, incluse scorte</t>
        </is>
      </c>
      <c r="Q602" s="57">
        <f>IF($A602="","",$A602&amp;"|"&amp;$C602)</f>
        <v/>
      </c>
      <c r="R602" s="57">
        <f>IF($A602="","",$A602&amp;"|"&amp;$C602&amp;"|"&amp;$D602)</f>
        <v/>
      </c>
      <c r="S602" s="57">
        <f>IF($A602="","",IFERROR(INDEX(Offerte!$D$2:$D$81,MATCH($Q602,Offerte!$L$2:$L$81,0)),0))</f>
        <v/>
      </c>
      <c r="T602" s="57">
        <f>IF($A602="","",IFERROR(INDEX(Offerte!$G$2:$G$81,MATCH($Q602,Offerte!$L$2:$L$81,0)),"NO"))</f>
        <v/>
      </c>
    </row>
    <row r="603">
      <c r="A603" s="48">
        <f>IF(Offerte!$A21="","",Offerte!$A21)</f>
        <v/>
      </c>
      <c r="B603" s="48">
        <f>IF(Offerte!$A21="","",Offerte!$B21)</f>
        <v/>
      </c>
      <c r="C603" s="48">
        <f>IF(Offerte!$A21="","",Offerte!$C21)</f>
        <v/>
      </c>
      <c r="D603" s="48" t="inlineStr">
        <is>
          <t>C.2.1</t>
        </is>
      </c>
      <c r="E603" s="48" t="inlineStr">
        <is>
          <t>C</t>
        </is>
      </c>
      <c r="F603" s="48" t="inlineStr">
        <is>
          <t>Q</t>
        </is>
      </c>
      <c r="G603" s="48" t="inlineStr">
        <is>
          <t>higher</t>
        </is>
      </c>
      <c r="H603" s="48" t="n">
        <v>3</v>
      </c>
      <c r="I603" s="48" t="inlineStr">
        <is>
          <t>Tasso di copertura del servizio con telecamere di bordo di videosorveglianza</t>
        </is>
      </c>
      <c r="J603" s="73" t="n"/>
      <c r="K603" s="73" t="n"/>
      <c r="L603" s="73" t="n"/>
      <c r="M603" s="73" t="n"/>
      <c r="N603" s="57">
        <f>IF($A603="","",IFERROR(VALUE($K603)/VALUE($L603),IFERROR(VALUE($J603),0)))</f>
        <v/>
      </c>
      <c r="O603" s="57">
        <f>IF($A603="",0,IF(OR($S603&lt;&gt;1,COUNTA($J603:$M603)=0),0,IF(SUMPRODUCT(MAX(($C$5:$C$2484=$C603)*($D$5:$D$2484=$D603)*($S$5:$S$2484=1)*IFERROR($N$5:$N$2484*1,0)))&gt;0,ROUND($H603*($N603/SUMPRODUCT(MAX(($C$5:$C$2484=$C603)*($D$5:$D$2484=$D603)*($S$5:$S$2484=1)*IFERROR($N$5:$N$2484*1,0)))),4),0)))</f>
        <v/>
      </c>
      <c r="P603" s="48" t="inlineStr">
        <is>
          <t>Autobus attrezzati con videosorveglianza / Autobus totali in offerta, incluse scorte</t>
        </is>
      </c>
      <c r="Q603" s="57">
        <f>IF($A603="","",$A603&amp;"|"&amp;$C603)</f>
        <v/>
      </c>
      <c r="R603" s="57">
        <f>IF($A603="","",$A603&amp;"|"&amp;$C603&amp;"|"&amp;$D603)</f>
        <v/>
      </c>
      <c r="S603" s="57">
        <f>IF($A603="","",IFERROR(INDEX(Offerte!$D$2:$D$81,MATCH($Q603,Offerte!$L$2:$L$81,0)),0))</f>
        <v/>
      </c>
      <c r="T603" s="57">
        <f>IF($A603="","",IFERROR(INDEX(Offerte!$G$2:$G$81,MATCH($Q603,Offerte!$L$2:$L$81,0)),"NO"))</f>
        <v/>
      </c>
    </row>
    <row r="604">
      <c r="A604" s="48">
        <f>IF(Offerte!$A21="","",Offerte!$A21)</f>
        <v/>
      </c>
      <c r="B604" s="48">
        <f>IF(Offerte!$A21="","",Offerte!$B21)</f>
        <v/>
      </c>
      <c r="C604" s="48">
        <f>IF(Offerte!$A21="","",Offerte!$C21)</f>
        <v/>
      </c>
      <c r="D604" s="48" t="inlineStr">
        <is>
          <t>C.2.2</t>
        </is>
      </c>
      <c r="E604" s="48" t="inlineStr">
        <is>
          <t>C</t>
        </is>
      </c>
      <c r="F604" s="48" t="inlineStr">
        <is>
          <t>T</t>
        </is>
      </c>
      <c r="G604" s="48" t="inlineStr">
        <is>
          <t>tabular</t>
        </is>
      </c>
      <c r="H604" s="48" t="n">
        <v>1</v>
      </c>
      <c r="I604" s="48" t="inlineStr">
        <is>
          <t>Software video/audio analisi per situazioni di pericolo</t>
        </is>
      </c>
      <c r="J604" s="73" t="n"/>
      <c r="K604" s="73" t="n"/>
      <c r="L604" s="73" t="n"/>
      <c r="M604" s="73" t="n"/>
      <c r="N604" s="57">
        <f>IF($A604="","",IF(IFERROR(VALUE($M604),0)=1,1,0))</f>
        <v/>
      </c>
      <c r="O604" s="57">
        <f>IF($A604="",0,IF(OR($S604&lt;&gt;1,COUNTA($J604:$M604)=0),0,IF($N604=1,$H604,0)))</f>
        <v/>
      </c>
      <c r="P604" s="48" t="inlineStr">
        <is>
          <t>sì/no</t>
        </is>
      </c>
      <c r="Q604" s="57">
        <f>IF($A604="","",$A604&amp;"|"&amp;$C604)</f>
        <v/>
      </c>
      <c r="R604" s="57">
        <f>IF($A604="","",$A604&amp;"|"&amp;$C604&amp;"|"&amp;$D604)</f>
        <v/>
      </c>
      <c r="S604" s="57">
        <f>IF($A604="","",IFERROR(INDEX(Offerte!$D$2:$D$81,MATCH($Q604,Offerte!$L$2:$L$81,0)),0))</f>
        <v/>
      </c>
      <c r="T604" s="57">
        <f>IF($A604="","",IFERROR(INDEX(Offerte!$G$2:$G$81,MATCH($Q604,Offerte!$L$2:$L$81,0)),"NO"))</f>
        <v/>
      </c>
    </row>
    <row r="605">
      <c r="A605" s="48">
        <f>IF(Offerte!$A21="","",Offerte!$A21)</f>
        <v/>
      </c>
      <c r="B605" s="48">
        <f>IF(Offerte!$A21="","",Offerte!$B21)</f>
        <v/>
      </c>
      <c r="C605" s="48">
        <f>IF(Offerte!$A21="","",Offerte!$C21)</f>
        <v/>
      </c>
      <c r="D605" s="48" t="inlineStr">
        <is>
          <t>C.2.3</t>
        </is>
      </c>
      <c r="E605" s="48" t="inlineStr">
        <is>
          <t>C</t>
        </is>
      </c>
      <c r="F605" s="48" t="inlineStr">
        <is>
          <t>T</t>
        </is>
      </c>
      <c r="G605" s="48" t="inlineStr">
        <is>
          <t>tabular</t>
        </is>
      </c>
      <c r="H605" s="48" t="n">
        <v>1</v>
      </c>
      <c r="I605" s="48" t="inlineStr">
        <is>
          <t>Collegamento con centrale qualificata di pronto intervento</t>
        </is>
      </c>
      <c r="J605" s="73" t="n"/>
      <c r="K605" s="73" t="n"/>
      <c r="L605" s="73" t="n"/>
      <c r="M605" s="73" t="n"/>
      <c r="N605" s="57">
        <f>IF($A605="","",IF(IFERROR(VALUE($M605),0)=1,1,0))</f>
        <v/>
      </c>
      <c r="O605" s="57">
        <f>IF($A605="",0,IF(OR($S605&lt;&gt;1,COUNTA($J605:$M605)=0),0,IF($N605=1,$H605,0)))</f>
        <v/>
      </c>
      <c r="P605" s="48" t="inlineStr">
        <is>
          <t>sì/no</t>
        </is>
      </c>
      <c r="Q605" s="57">
        <f>IF($A605="","",$A605&amp;"|"&amp;$C605)</f>
        <v/>
      </c>
      <c r="R605" s="57">
        <f>IF($A605="","",$A605&amp;"|"&amp;$C605&amp;"|"&amp;$D605)</f>
        <v/>
      </c>
      <c r="S605" s="57">
        <f>IF($A605="","",IFERROR(INDEX(Offerte!$D$2:$D$81,MATCH($Q605,Offerte!$L$2:$L$81,0)),0))</f>
        <v/>
      </c>
      <c r="T605" s="57">
        <f>IF($A605="","",IFERROR(INDEX(Offerte!$G$2:$G$81,MATCH($Q605,Offerte!$L$2:$L$81,0)),"NO"))</f>
        <v/>
      </c>
    </row>
    <row r="606">
      <c r="A606" s="48">
        <f>IF(Offerte!$A21="","",Offerte!$A21)</f>
        <v/>
      </c>
      <c r="B606" s="48">
        <f>IF(Offerte!$A21="","",Offerte!$B21)</f>
        <v/>
      </c>
      <c r="C606" s="48">
        <f>IF(Offerte!$A21="","",Offerte!$C21)</f>
        <v/>
      </c>
      <c r="D606" s="48" t="inlineStr">
        <is>
          <t>C.2.4</t>
        </is>
      </c>
      <c r="E606" s="48" t="inlineStr">
        <is>
          <t>C</t>
        </is>
      </c>
      <c r="F606" s="48" t="inlineStr">
        <is>
          <t>Q</t>
        </is>
      </c>
      <c r="G606" s="48" t="inlineStr">
        <is>
          <t>higher</t>
        </is>
      </c>
      <c r="H606" s="48" t="n">
        <v>1</v>
      </c>
      <c r="I606" s="48" t="inlineStr">
        <is>
          <t>Tasso di copertura del servizio con dispositivi per la chiamata di emergenza del conducente</t>
        </is>
      </c>
      <c r="J606" s="73" t="n"/>
      <c r="K606" s="73" t="n"/>
      <c r="L606" s="73" t="n"/>
      <c r="M606" s="73" t="n"/>
      <c r="N606" s="57">
        <f>IF($A606="","",IFERROR(VALUE($K606)/VALUE($L606),IFERROR(VALUE($J606),0)))</f>
        <v/>
      </c>
      <c r="O606" s="57">
        <f>IF($A606="",0,IF(OR($S606&lt;&gt;1,COUNTA($J606:$M606)=0),0,IF(SUMPRODUCT(MAX(($C$5:$C$2484=$C606)*($D$5:$D$2484=$D606)*($S$5:$S$2484=1)*IFERROR($N$5:$N$2484*1,0)))&gt;0,ROUND($H606*($N606/SUMPRODUCT(MAX(($C$5:$C$2484=$C606)*($D$5:$D$2484=$D606)*($S$5:$S$2484=1)*IFERROR($N$5:$N$2484*1,0)))),4),0)))</f>
        <v/>
      </c>
      <c r="P606" s="48" t="inlineStr">
        <is>
          <t>Autobus attrezzati con chiamata di emergenza / Autobus totali in offerta, incluse scorte</t>
        </is>
      </c>
      <c r="Q606" s="57">
        <f>IF($A606="","",$A606&amp;"|"&amp;$C606)</f>
        <v/>
      </c>
      <c r="R606" s="57">
        <f>IF($A606="","",$A606&amp;"|"&amp;$C606&amp;"|"&amp;$D606)</f>
        <v/>
      </c>
      <c r="S606" s="57">
        <f>IF($A606="","",IFERROR(INDEX(Offerte!$D$2:$D$81,MATCH($Q606,Offerte!$L$2:$L$81,0)),0))</f>
        <v/>
      </c>
      <c r="T606" s="57">
        <f>IF($A606="","",IFERROR(INDEX(Offerte!$G$2:$G$81,MATCH($Q606,Offerte!$L$2:$L$81,0)),"NO"))</f>
        <v/>
      </c>
    </row>
    <row r="607">
      <c r="A607" s="48">
        <f>IF(Offerte!$A21="","",Offerte!$A21)</f>
        <v/>
      </c>
      <c r="B607" s="48">
        <f>IF(Offerte!$A21="","",Offerte!$B21)</f>
        <v/>
      </c>
      <c r="C607" s="48">
        <f>IF(Offerte!$A21="","",Offerte!$C21)</f>
        <v/>
      </c>
      <c r="D607" s="48" t="inlineStr">
        <is>
          <t>C.3.1</t>
        </is>
      </c>
      <c r="E607" s="48" t="inlineStr">
        <is>
          <t>C</t>
        </is>
      </c>
      <c r="F607" s="48" t="inlineStr">
        <is>
          <t>Q</t>
        </is>
      </c>
      <c r="G607" s="48" t="inlineStr">
        <is>
          <t>higher</t>
        </is>
      </c>
      <c r="H607" s="48" t="n">
        <v>2</v>
      </c>
      <c r="I607" s="48" t="inlineStr">
        <is>
          <t>Tasso di copertura del servizio con dispositivi di informazione dinamica a bordo mezzo</t>
        </is>
      </c>
      <c r="J607" s="73" t="n"/>
      <c r="K607" s="73" t="n"/>
      <c r="L607" s="73" t="n"/>
      <c r="M607" s="73" t="n"/>
      <c r="N607" s="57">
        <f>IF($A607="","",IFERROR(VALUE($K607)/VALUE($L607),IFERROR(VALUE($J607),0)))</f>
        <v/>
      </c>
      <c r="O607" s="57">
        <f>IF($A607="",0,IF(OR($S607&lt;&gt;1,COUNTA($J607:$M607)=0),0,IF(SUMPRODUCT(MAX(($C$5:$C$2484=$C607)*($D$5:$D$2484=$D607)*($S$5:$S$2484=1)*IFERROR($N$5:$N$2484*1,0)))&gt;0,ROUND($H607*($N607/SUMPRODUCT(MAX(($C$5:$C$2484=$C607)*($D$5:$D$2484=$D607)*($S$5:$S$2484=1)*IFERROR($N$5:$N$2484*1,0)))),4),0)))</f>
        <v/>
      </c>
      <c r="P607" s="48" t="inlineStr">
        <is>
          <t>Autobus con monitor e indicatori vocali / Autobus totali in offerta, incluse scorte</t>
        </is>
      </c>
      <c r="Q607" s="57">
        <f>IF($A607="","",$A607&amp;"|"&amp;$C607)</f>
        <v/>
      </c>
      <c r="R607" s="57">
        <f>IF($A607="","",$A607&amp;"|"&amp;$C607&amp;"|"&amp;$D607)</f>
        <v/>
      </c>
      <c r="S607" s="57">
        <f>IF($A607="","",IFERROR(INDEX(Offerte!$D$2:$D$81,MATCH($Q607,Offerte!$L$2:$L$81,0)),0))</f>
        <v/>
      </c>
      <c r="T607" s="57">
        <f>IF($A607="","",IFERROR(INDEX(Offerte!$G$2:$G$81,MATCH($Q607,Offerte!$L$2:$L$81,0)),"NO"))</f>
        <v/>
      </c>
    </row>
    <row r="608">
      <c r="A608" s="48">
        <f>IF(Offerte!$A21="","",Offerte!$A21)</f>
        <v/>
      </c>
      <c r="B608" s="48">
        <f>IF(Offerte!$A21="","",Offerte!$B21)</f>
        <v/>
      </c>
      <c r="C608" s="48">
        <f>IF(Offerte!$A21="","",Offerte!$C21)</f>
        <v/>
      </c>
      <c r="D608" s="48" t="inlineStr">
        <is>
          <t>C.3.2</t>
        </is>
      </c>
      <c r="E608" s="48" t="inlineStr">
        <is>
          <t>C</t>
        </is>
      </c>
      <c r="F608" s="48" t="inlineStr">
        <is>
          <t>T</t>
        </is>
      </c>
      <c r="G608" s="48" t="inlineStr">
        <is>
          <t>tabular</t>
        </is>
      </c>
      <c r="H608" s="48" t="n">
        <v>2</v>
      </c>
      <c r="I608" s="48" t="inlineStr">
        <is>
          <t>Informazioni a bordo su coincidenze ai nodi</t>
        </is>
      </c>
      <c r="J608" s="73" t="n"/>
      <c r="K608" s="73" t="n"/>
      <c r="L608" s="73" t="n"/>
      <c r="M608" s="73" t="n"/>
      <c r="N608" s="57">
        <f>IF($A608="","",IF(IFERROR(VALUE($M608),0)=1,1,0))</f>
        <v/>
      </c>
      <c r="O608" s="57">
        <f>IF($A608="",0,IF(OR($S608&lt;&gt;1,COUNTA($J608:$M608)=0),0,IF(AND($N608=1,IFERROR(SUMIFS($N$5:$N$2484,$Q$5:$Q$2484,$Q608,$D$5:$D$2484,"C.3.1"),0)&gt;=0.5),$H608,0)))</f>
        <v/>
      </c>
      <c r="P608" s="48" t="inlineStr">
        <is>
          <t>Dipende da C.3.1 &gt;= 0.5</t>
        </is>
      </c>
      <c r="Q608" s="57">
        <f>IF($A608="","",$A608&amp;"|"&amp;$C608)</f>
        <v/>
      </c>
      <c r="R608" s="57">
        <f>IF($A608="","",$A608&amp;"|"&amp;$C608&amp;"|"&amp;$D608)</f>
        <v/>
      </c>
      <c r="S608" s="57">
        <f>IF($A608="","",IFERROR(INDEX(Offerte!$D$2:$D$81,MATCH($Q608,Offerte!$L$2:$L$81,0)),0))</f>
        <v/>
      </c>
      <c r="T608" s="57">
        <f>IF($A608="","",IFERROR(INDEX(Offerte!$G$2:$G$81,MATCH($Q608,Offerte!$L$2:$L$81,0)),"NO"))</f>
        <v/>
      </c>
    </row>
    <row r="609">
      <c r="A609" s="48">
        <f>IF(Offerte!$A21="","",Offerte!$A21)</f>
        <v/>
      </c>
      <c r="B609" s="48">
        <f>IF(Offerte!$A21="","",Offerte!$B21)</f>
        <v/>
      </c>
      <c r="C609" s="48">
        <f>IF(Offerte!$A21="","",Offerte!$C21)</f>
        <v/>
      </c>
      <c r="D609" s="48" t="inlineStr">
        <is>
          <t>D.1.1</t>
        </is>
      </c>
      <c r="E609" s="48" t="inlineStr">
        <is>
          <t>D</t>
        </is>
      </c>
      <c r="F609" s="48" t="inlineStr">
        <is>
          <t>Q</t>
        </is>
      </c>
      <c r="G609" s="48" t="inlineStr">
        <is>
          <t>higher</t>
        </is>
      </c>
      <c r="H609" s="48" t="n">
        <v>3</v>
      </c>
      <c r="I609" s="48" t="inlineStr">
        <is>
          <t>Installazione di pensiline</t>
        </is>
      </c>
      <c r="J609" s="73" t="n"/>
      <c r="K609" s="73" t="n"/>
      <c r="L609" s="73" t="n"/>
      <c r="M609" s="73" t="n"/>
      <c r="N609" s="57">
        <f>IF($A609="","",IFERROR(VALUE($J609),0))</f>
        <v/>
      </c>
      <c r="O609" s="57">
        <f>IF($A609="",0,IF(OR($S609&lt;&gt;1,COUNTA($J609:$M609)=0),0,IF(SUMPRODUCT(MAX(($C$5:$C$2484=$C609)*($D$5:$D$2484=$D609)*($S$5:$S$2484=1)*IFERROR($N$5:$N$2484*1,0)))&gt;0,ROUND($H609*($N609/SUMPRODUCT(MAX(($C$5:$C$2484=$C609)*($D$5:$D$2484=$D609)*($S$5:$S$2484=1)*IFERROR($N$5:$N$2484*1,0)))),4),0)))</f>
        <v/>
      </c>
      <c r="P609" s="48" t="inlineStr">
        <is>
          <t>fermate</t>
        </is>
      </c>
      <c r="Q609" s="57">
        <f>IF($A609="","",$A609&amp;"|"&amp;$C609)</f>
        <v/>
      </c>
      <c r="R609" s="57">
        <f>IF($A609="","",$A609&amp;"|"&amp;$C609&amp;"|"&amp;$D609)</f>
        <v/>
      </c>
      <c r="S609" s="57">
        <f>IF($A609="","",IFERROR(INDEX(Offerte!$D$2:$D$81,MATCH($Q609,Offerte!$L$2:$L$81,0)),0))</f>
        <v/>
      </c>
      <c r="T609" s="57">
        <f>IF($A609="","",IFERROR(INDEX(Offerte!$G$2:$G$81,MATCH($Q609,Offerte!$L$2:$L$81,0)),"NO"))</f>
        <v/>
      </c>
    </row>
    <row r="610">
      <c r="A610" s="48">
        <f>IF(Offerte!$A21="","",Offerte!$A21)</f>
        <v/>
      </c>
      <c r="B610" s="48">
        <f>IF(Offerte!$A21="","",Offerte!$B21)</f>
        <v/>
      </c>
      <c r="C610" s="48">
        <f>IF(Offerte!$A21="","",Offerte!$C21)</f>
        <v/>
      </c>
      <c r="D610" s="48" t="inlineStr">
        <is>
          <t>D.1.2</t>
        </is>
      </c>
      <c r="E610" s="48" t="inlineStr">
        <is>
          <t>D</t>
        </is>
      </c>
      <c r="F610" s="48" t="inlineStr">
        <is>
          <t>Q</t>
        </is>
      </c>
      <c r="G610" s="48" t="inlineStr">
        <is>
          <t>higher</t>
        </is>
      </c>
      <c r="H610" s="48" t="n">
        <v>3</v>
      </c>
      <c r="I610" s="48" t="inlineStr">
        <is>
          <t>Installazione di paline di fermata conformi alla DGR 581/2023</t>
        </is>
      </c>
      <c r="J610" s="73" t="n"/>
      <c r="K610" s="73" t="n"/>
      <c r="L610" s="73" t="n"/>
      <c r="M610" s="73" t="n"/>
      <c r="N610" s="57">
        <f>IF($A610="","",IFERROR(VALUE($J610),0))</f>
        <v/>
      </c>
      <c r="O610" s="57">
        <f>IF($A610="",0,IF(OR($S610&lt;&gt;1,COUNTA($J610:$M610)=0),0,IF(SUMPRODUCT(MAX(($C$5:$C$2484=$C610)*($D$5:$D$2484=$D610)*($S$5:$S$2484=1)*IFERROR($N$5:$N$2484*1,0)))&gt;0,ROUND($H610*($N610/SUMPRODUCT(MAX(($C$5:$C$2484=$C610)*($D$5:$D$2484=$D610)*($S$5:$S$2484=1)*IFERROR($N$5:$N$2484*1,0)))),4),0)))</f>
        <v/>
      </c>
      <c r="P610" s="48" t="inlineStr">
        <is>
          <t>fermate</t>
        </is>
      </c>
      <c r="Q610" s="57">
        <f>IF($A610="","",$A610&amp;"|"&amp;$C610)</f>
        <v/>
      </c>
      <c r="R610" s="57">
        <f>IF($A610="","",$A610&amp;"|"&amp;$C610&amp;"|"&amp;$D610)</f>
        <v/>
      </c>
      <c r="S610" s="57">
        <f>IF($A610="","",IFERROR(INDEX(Offerte!$D$2:$D$81,MATCH($Q610,Offerte!$L$2:$L$81,0)),0))</f>
        <v/>
      </c>
      <c r="T610" s="57">
        <f>IF($A610="","",IFERROR(INDEX(Offerte!$G$2:$G$81,MATCH($Q610,Offerte!$L$2:$L$81,0)),"NO"))</f>
        <v/>
      </c>
    </row>
    <row r="611">
      <c r="A611" s="48">
        <f>IF(Offerte!$A21="","",Offerte!$A21)</f>
        <v/>
      </c>
      <c r="B611" s="48">
        <f>IF(Offerte!$A21="","",Offerte!$B21)</f>
        <v/>
      </c>
      <c r="C611" s="48">
        <f>IF(Offerte!$A21="","",Offerte!$C21)</f>
        <v/>
      </c>
      <c r="D611" s="48" t="inlineStr">
        <is>
          <t>D.1.3</t>
        </is>
      </c>
      <c r="E611" s="48" t="inlineStr">
        <is>
          <t>D</t>
        </is>
      </c>
      <c r="F611" s="48" t="inlineStr">
        <is>
          <t>Q</t>
        </is>
      </c>
      <c r="G611" s="48" t="inlineStr">
        <is>
          <t>higher</t>
        </is>
      </c>
      <c r="H611" s="48" t="n">
        <v>2</v>
      </c>
      <c r="I611" s="48" t="inlineStr">
        <is>
          <t>Display informativi connessi alle fermate</t>
        </is>
      </c>
      <c r="J611" s="73" t="n"/>
      <c r="K611" s="73" t="n"/>
      <c r="L611" s="73" t="n"/>
      <c r="M611" s="73" t="n"/>
      <c r="N611" s="57">
        <f>IF($A611="","",IFERROR(VALUE($J611),0))</f>
        <v/>
      </c>
      <c r="O611" s="57">
        <f>IF($A611="",0,IF(OR($S611&lt;&gt;1,COUNTA($J611:$M611)=0),0,IF(SUMPRODUCT(MAX(($C$5:$C$2484=$C611)*($D$5:$D$2484=$D611)*($S$5:$S$2484=1)*IFERROR($N$5:$N$2484*1,0)))&gt;0,ROUND($H611*($N611/SUMPRODUCT(MAX(($C$5:$C$2484=$C611)*($D$5:$D$2484=$D611)*($S$5:$S$2484=1)*IFERROR($N$5:$N$2484*1,0)))),4),0)))</f>
        <v/>
      </c>
      <c r="P611" s="48" t="inlineStr">
        <is>
          <t>fermate</t>
        </is>
      </c>
      <c r="Q611" s="57">
        <f>IF($A611="","",$A611&amp;"|"&amp;$C611)</f>
        <v/>
      </c>
      <c r="R611" s="57">
        <f>IF($A611="","",$A611&amp;"|"&amp;$C611&amp;"|"&amp;$D611)</f>
        <v/>
      </c>
      <c r="S611" s="57">
        <f>IF($A611="","",IFERROR(INDEX(Offerte!$D$2:$D$81,MATCH($Q611,Offerte!$L$2:$L$81,0)),0))</f>
        <v/>
      </c>
      <c r="T611" s="57">
        <f>IF($A611="","",IFERROR(INDEX(Offerte!$G$2:$G$81,MATCH($Q611,Offerte!$L$2:$L$81,0)),"NO"))</f>
        <v/>
      </c>
    </row>
    <row r="612">
      <c r="A612" s="48">
        <f>IF(Offerte!$A21="","",Offerte!$A21)</f>
        <v/>
      </c>
      <c r="B612" s="48">
        <f>IF(Offerte!$A21="","",Offerte!$B21)</f>
        <v/>
      </c>
      <c r="C612" s="48">
        <f>IF(Offerte!$A21="","",Offerte!$C21)</f>
        <v/>
      </c>
      <c r="D612" s="48" t="inlineStr">
        <is>
          <t>D.2.1</t>
        </is>
      </c>
      <c r="E612" s="48" t="inlineStr">
        <is>
          <t>D</t>
        </is>
      </c>
      <c r="F612" s="48" t="inlineStr">
        <is>
          <t>Q</t>
        </is>
      </c>
      <c r="G612" s="48" t="inlineStr">
        <is>
          <t>higher</t>
        </is>
      </c>
      <c r="H612" s="48" t="n">
        <v>2</v>
      </c>
      <c r="I612" s="48" t="inlineStr">
        <is>
          <t>Segnali tattili Loges-Vet-Evolution</t>
        </is>
      </c>
      <c r="J612" s="73" t="n"/>
      <c r="K612" s="73" t="n"/>
      <c r="L612" s="73" t="n"/>
      <c r="M612" s="73" t="n"/>
      <c r="N612" s="57">
        <f>IF($A612="","",IFERROR(VALUE($J612),0))</f>
        <v/>
      </c>
      <c r="O612" s="57">
        <f>IF($A612="",0,IF(OR($S612&lt;&gt;1,COUNTA($J612:$M612)=0),0,IF(SUMPRODUCT(MAX(($C$5:$C$2484=$C612)*($D$5:$D$2484=$D612)*($S$5:$S$2484=1)*IFERROR($N$5:$N$2484*1,0)))&gt;0,ROUND($H612*($N612/SUMPRODUCT(MAX(($C$5:$C$2484=$C612)*($D$5:$D$2484=$D612)*($S$5:$S$2484=1)*IFERROR($N$5:$N$2484*1,0)))),4),0)))</f>
        <v/>
      </c>
      <c r="P612" s="48" t="inlineStr">
        <is>
          <t>fermate</t>
        </is>
      </c>
      <c r="Q612" s="57">
        <f>IF($A612="","",$A612&amp;"|"&amp;$C612)</f>
        <v/>
      </c>
      <c r="R612" s="57">
        <f>IF($A612="","",$A612&amp;"|"&amp;$C612&amp;"|"&amp;$D612)</f>
        <v/>
      </c>
      <c r="S612" s="57">
        <f>IF($A612="","",IFERROR(INDEX(Offerte!$D$2:$D$81,MATCH($Q612,Offerte!$L$2:$L$81,0)),0))</f>
        <v/>
      </c>
      <c r="T612" s="57">
        <f>IF($A612="","",IFERROR(INDEX(Offerte!$G$2:$G$81,MATCH($Q612,Offerte!$L$2:$L$81,0)),"NO"))</f>
        <v/>
      </c>
    </row>
    <row r="613">
      <c r="A613" s="48">
        <f>IF(Offerte!$A21="","",Offerte!$A21)</f>
        <v/>
      </c>
      <c r="B613" s="48">
        <f>IF(Offerte!$A21="","",Offerte!$B21)</f>
        <v/>
      </c>
      <c r="C613" s="48">
        <f>IF(Offerte!$A21="","",Offerte!$C21)</f>
        <v/>
      </c>
      <c r="D613" s="48" t="inlineStr">
        <is>
          <t>E.1.1</t>
        </is>
      </c>
      <c r="E613" s="48" t="inlineStr">
        <is>
          <t>E</t>
        </is>
      </c>
      <c r="F613" s="48" t="inlineStr">
        <is>
          <t>T</t>
        </is>
      </c>
      <c r="G613" s="48" t="inlineStr">
        <is>
          <t>tabular</t>
        </is>
      </c>
      <c r="H613" s="48" t="n">
        <v>2</v>
      </c>
      <c r="I613" s="48" t="inlineStr">
        <is>
          <t>Mobile app con travel planner PRM</t>
        </is>
      </c>
      <c r="J613" s="73" t="n"/>
      <c r="K613" s="73" t="n"/>
      <c r="L613" s="73" t="n"/>
      <c r="M613" s="73" t="n"/>
      <c r="N613" s="57">
        <f>IF($A613="","",IF(IFERROR(VALUE($M613),0)=1,1,0))</f>
        <v/>
      </c>
      <c r="O613" s="57">
        <f>IF($A613="",0,IF(OR($S613&lt;&gt;1,COUNTA($J613:$M613)=0),0,IF($N613=1,$H613,0)))</f>
        <v/>
      </c>
      <c r="P613" s="48" t="inlineStr">
        <is>
          <t>sì/no</t>
        </is>
      </c>
      <c r="Q613" s="57">
        <f>IF($A613="","",$A613&amp;"|"&amp;$C613)</f>
        <v/>
      </c>
      <c r="R613" s="57">
        <f>IF($A613="","",$A613&amp;"|"&amp;$C613&amp;"|"&amp;$D613)</f>
        <v/>
      </c>
      <c r="S613" s="57">
        <f>IF($A613="","",IFERROR(INDEX(Offerte!$D$2:$D$81,MATCH($Q613,Offerte!$L$2:$L$81,0)),0))</f>
        <v/>
      </c>
      <c r="T613" s="57">
        <f>IF($A613="","",IFERROR(INDEX(Offerte!$G$2:$G$81,MATCH($Q613,Offerte!$L$2:$L$81,0)),"NO"))</f>
        <v/>
      </c>
    </row>
    <row r="614">
      <c r="A614" s="48">
        <f>IF(Offerte!$A21="","",Offerte!$A21)</f>
        <v/>
      </c>
      <c r="B614" s="48">
        <f>IF(Offerte!$A21="","",Offerte!$B21)</f>
        <v/>
      </c>
      <c r="C614" s="48">
        <f>IF(Offerte!$A21="","",Offerte!$C21)</f>
        <v/>
      </c>
      <c r="D614" s="48" t="inlineStr">
        <is>
          <t>E.2.1</t>
        </is>
      </c>
      <c r="E614" s="48" t="inlineStr">
        <is>
          <t>E</t>
        </is>
      </c>
      <c r="F614" s="48" t="inlineStr">
        <is>
          <t>D</t>
        </is>
      </c>
      <c r="G614" s="48" t="inlineStr">
        <is>
          <t>discretionary</t>
        </is>
      </c>
      <c r="H614" s="48" t="n">
        <v>2</v>
      </c>
      <c r="I614" s="48" t="inlineStr">
        <is>
          <t>Altre azioni informative e rapporti con gli utenti</t>
        </is>
      </c>
      <c r="J614" s="73" t="n"/>
      <c r="K614" s="73" t="n"/>
      <c r="L614" s="73" t="n"/>
      <c r="M614" s="73" t="n"/>
      <c r="N614" s="57">
        <f>IF($A614="","",MAX(0,MIN(1,IFERROR(VALUE($M614),0))))</f>
        <v/>
      </c>
      <c r="O614" s="57">
        <f>IF($A614="",0,IF(OR($S614&lt;&gt;1,COUNTA($J614:$M614)=0),0,IF(SUMPRODUCT(MAX(($C$5:$C$2484=$C614)*($D$5:$D$2484=$D614)*($S$5:$S$2484=1)*IFERROR($N$5:$N$2484*1,0)))&gt;0,ROUND($H614*($N614/SUMPRODUCT(MAX(($C$5:$C$2484=$C614)*($D$5:$D$2484=$D614)*($S$5:$S$2484=1)*IFERROR($N$5:$N$2484*1,0)))),4),0)))</f>
        <v/>
      </c>
      <c r="P614" s="48" t="inlineStr">
        <is>
          <t>coeff.</t>
        </is>
      </c>
      <c r="Q614" s="57">
        <f>IF($A614="","",$A614&amp;"|"&amp;$C614)</f>
        <v/>
      </c>
      <c r="R614" s="57">
        <f>IF($A614="","",$A614&amp;"|"&amp;$C614&amp;"|"&amp;$D614)</f>
        <v/>
      </c>
      <c r="S614" s="57">
        <f>IF($A614="","",IFERROR(INDEX(Offerte!$D$2:$D$81,MATCH($Q614,Offerte!$L$2:$L$81,0)),0))</f>
        <v/>
      </c>
      <c r="T614" s="57">
        <f>IF($A614="","",IFERROR(INDEX(Offerte!$G$2:$G$81,MATCH($Q614,Offerte!$L$2:$L$81,0)),"NO"))</f>
        <v/>
      </c>
    </row>
    <row r="615">
      <c r="A615" s="48">
        <f>IF(Offerte!$A21="","",Offerte!$A21)</f>
        <v/>
      </c>
      <c r="B615" s="48">
        <f>IF(Offerte!$A21="","",Offerte!$B21)</f>
        <v/>
      </c>
      <c r="C615" s="48">
        <f>IF(Offerte!$A21="","",Offerte!$C21)</f>
        <v/>
      </c>
      <c r="D615" s="48" t="inlineStr">
        <is>
          <t>F.1.1</t>
        </is>
      </c>
      <c r="E615" s="48" t="inlineStr">
        <is>
          <t>F</t>
        </is>
      </c>
      <c r="F615" s="48" t="inlineStr">
        <is>
          <t>Q</t>
        </is>
      </c>
      <c r="G615" s="48" t="inlineStr">
        <is>
          <t>lower</t>
        </is>
      </c>
      <c r="H615" s="48" t="n">
        <v>7</v>
      </c>
      <c r="I615" s="48" t="inlineStr">
        <is>
          <t>Performance ambientali del parco mezzi adibito al servizio - I_CEA</t>
        </is>
      </c>
      <c r="J615" s="73" t="n"/>
      <c r="K615" s="73" t="n"/>
      <c r="L615" s="73" t="n"/>
      <c r="M615" s="73" t="n"/>
      <c r="N615" s="57">
        <f>IF($A615="","",IFERROR(VALUE($J615),0))</f>
        <v/>
      </c>
      <c r="O615" s="57">
        <f>IF($A615="",0,IF(OR($S615&lt;&gt;1,COUNTA($J615:$M615)=0),0,IF(AND(IFERROR(AGGREGATE(15,6,$N$5:$N$2484/(($C$5:$C$2484=$C615)*($D$5:$D$2484=$D615)*($S$5:$S$2484=1)*($N$5:$N$2484&gt;0)),1),0)&gt;0,$N615&gt;0),ROUND($H615*(IFERROR(AGGREGATE(15,6,$N$5:$N$2484/(($C$5:$C$2484=$C615)*($D$5:$D$2484=$D615)*($S$5:$S$2484=1)*($N$5:$N$2484&gt;0)),1),0)/$N615),4),0)))</f>
        <v/>
      </c>
      <c r="P615" s="48" t="inlineStr">
        <is>
          <t>indice</t>
        </is>
      </c>
      <c r="Q615" s="57">
        <f>IF($A615="","",$A615&amp;"|"&amp;$C615)</f>
        <v/>
      </c>
      <c r="R615" s="57">
        <f>IF($A615="","",$A615&amp;"|"&amp;$C615&amp;"|"&amp;$D615)</f>
        <v/>
      </c>
      <c r="S615" s="57">
        <f>IF($A615="","",IFERROR(INDEX(Offerte!$D$2:$D$81,MATCH($Q615,Offerte!$L$2:$L$81,0)),0))</f>
        <v/>
      </c>
      <c r="T615" s="57">
        <f>IF($A615="","",IFERROR(INDEX(Offerte!$G$2:$G$81,MATCH($Q615,Offerte!$L$2:$L$81,0)),"NO"))</f>
        <v/>
      </c>
    </row>
    <row r="616">
      <c r="A616" s="48">
        <f>IF(Offerte!$A21="","",Offerte!$A21)</f>
        <v/>
      </c>
      <c r="B616" s="48">
        <f>IF(Offerte!$A21="","",Offerte!$B21)</f>
        <v/>
      </c>
      <c r="C616" s="48">
        <f>IF(Offerte!$A21="","",Offerte!$C21)</f>
        <v/>
      </c>
      <c r="D616" s="48" t="inlineStr">
        <is>
          <t>F.2.1</t>
        </is>
      </c>
      <c r="E616" s="48" t="inlineStr">
        <is>
          <t>F</t>
        </is>
      </c>
      <c r="F616" s="48" t="inlineStr">
        <is>
          <t>Q</t>
        </is>
      </c>
      <c r="G616" s="48" t="inlineStr">
        <is>
          <t>higher</t>
        </is>
      </c>
      <c r="H616" s="48" t="n">
        <v>2</v>
      </c>
      <c r="I616" s="48" t="inlineStr">
        <is>
          <t>Tasso di copertura del servizio con dispositivi ECO-DRIVER</t>
        </is>
      </c>
      <c r="J616" s="73" t="n"/>
      <c r="K616" s="73" t="n"/>
      <c r="L616" s="73" t="n"/>
      <c r="M616" s="73" t="n"/>
      <c r="N616" s="57">
        <f>IF($A616="","",IFERROR(VALUE($K616)/VALUE($L616),IFERROR(VALUE($J616),0)))</f>
        <v/>
      </c>
      <c r="O616" s="57">
        <f>IF($A616="",0,IF(OR($S616&lt;&gt;1,COUNTA($J616:$M616)=0),0,IF(SUMPRODUCT(MAX(($C$5:$C$2484=$C616)*($D$5:$D$2484=$D616)*($S$5:$S$2484=1)*IFERROR($N$5:$N$2484*1,0)))&gt;0,ROUND($H616*($N616/SUMPRODUCT(MAX(($C$5:$C$2484=$C616)*($D$5:$D$2484=$D616)*($S$5:$S$2484=1)*IFERROR($N$5:$N$2484*1,0)))),4),0)))</f>
        <v/>
      </c>
      <c r="P616" s="48" t="inlineStr">
        <is>
          <t>Autobus attrezzati con dispositivi ECO-DRIVER / Autobus totali in offerta, incluse scorte</t>
        </is>
      </c>
      <c r="Q616" s="57">
        <f>IF($A616="","",$A616&amp;"|"&amp;$C616)</f>
        <v/>
      </c>
      <c r="R616" s="57">
        <f>IF($A616="","",$A616&amp;"|"&amp;$C616&amp;"|"&amp;$D616)</f>
        <v/>
      </c>
      <c r="S616" s="57">
        <f>IF($A616="","",IFERROR(INDEX(Offerte!$D$2:$D$81,MATCH($Q616,Offerte!$L$2:$L$81,0)),0))</f>
        <v/>
      </c>
      <c r="T616" s="57">
        <f>IF($A616="","",IFERROR(INDEX(Offerte!$G$2:$G$81,MATCH($Q616,Offerte!$L$2:$L$81,0)),"NO"))</f>
        <v/>
      </c>
    </row>
    <row r="617">
      <c r="A617" s="48">
        <f>IF(Offerte!$A21="","",Offerte!$A21)</f>
        <v/>
      </c>
      <c r="B617" s="48">
        <f>IF(Offerte!$A21="","",Offerte!$B21)</f>
        <v/>
      </c>
      <c r="C617" s="48">
        <f>IF(Offerte!$A21="","",Offerte!$C21)</f>
        <v/>
      </c>
      <c r="D617" s="48" t="inlineStr">
        <is>
          <t>F.3.1</t>
        </is>
      </c>
      <c r="E617" s="48" t="inlineStr">
        <is>
          <t>F</t>
        </is>
      </c>
      <c r="F617" s="48" t="inlineStr">
        <is>
          <t>Q</t>
        </is>
      </c>
      <c r="G617" s="48" t="inlineStr">
        <is>
          <t>higher</t>
        </is>
      </c>
      <c r="H617" s="48" t="n">
        <v>2</v>
      </c>
      <c r="I617" s="48" t="inlineStr">
        <is>
          <t>Autoproduzione consumi elettrici per trazione</t>
        </is>
      </c>
      <c r="J617" s="73" t="n"/>
      <c r="K617" s="73" t="n"/>
      <c r="L617" s="73" t="n"/>
      <c r="M617" s="73" t="n"/>
      <c r="N617" s="57">
        <f>IF($A617="","",IFERROR(VALUE($J617),0))</f>
        <v/>
      </c>
      <c r="O617" s="57">
        <f>IF($A617="",0,IF(OR($S617&lt;&gt;1,COUNTA($J617:$M617)=0),0,IF(SUMPRODUCT(MAX(($C$5:$C$2484=$C617)*($D$5:$D$2484=$D617)*($S$5:$S$2484=1)*IFERROR($N$5:$N$2484*1,0)))&gt;0,ROUND($H617*($N617/SUMPRODUCT(MAX(($C$5:$C$2484=$C617)*($D$5:$D$2484=$D617)*($S$5:$S$2484=1)*IFERROR($N$5:$N$2484*1,0)))),4),0)))</f>
        <v/>
      </c>
      <c r="P617" s="48" t="inlineStr">
        <is>
          <t>kWh/anno</t>
        </is>
      </c>
      <c r="Q617" s="57">
        <f>IF($A617="","",$A617&amp;"|"&amp;$C617)</f>
        <v/>
      </c>
      <c r="R617" s="57">
        <f>IF($A617="","",$A617&amp;"|"&amp;$C617&amp;"|"&amp;$D617)</f>
        <v/>
      </c>
      <c r="S617" s="57">
        <f>IF($A617="","",IFERROR(INDEX(Offerte!$D$2:$D$81,MATCH($Q617,Offerte!$L$2:$L$81,0)),0))</f>
        <v/>
      </c>
      <c r="T617" s="57">
        <f>IF($A617="","",IFERROR(INDEX(Offerte!$G$2:$G$81,MATCH($Q617,Offerte!$L$2:$L$81,0)),"NO"))</f>
        <v/>
      </c>
    </row>
    <row r="618">
      <c r="A618" s="48">
        <f>IF(Offerte!$A21="","",Offerte!$A21)</f>
        <v/>
      </c>
      <c r="B618" s="48">
        <f>IF(Offerte!$A21="","",Offerte!$B21)</f>
        <v/>
      </c>
      <c r="C618" s="48">
        <f>IF(Offerte!$A21="","",Offerte!$C21)</f>
        <v/>
      </c>
      <c r="D618" s="48" t="inlineStr">
        <is>
          <t>F.4.1</t>
        </is>
      </c>
      <c r="E618" s="48" t="inlineStr">
        <is>
          <t>F</t>
        </is>
      </c>
      <c r="F618" s="48" t="inlineStr">
        <is>
          <t>Q</t>
        </is>
      </c>
      <c r="G618" s="48" t="inlineStr">
        <is>
          <t>soil</t>
        </is>
      </c>
      <c r="H618" s="48" t="n">
        <v>2</v>
      </c>
      <c r="I618" s="48" t="inlineStr">
        <is>
          <t>Indice di consumo di suolo</t>
        </is>
      </c>
      <c r="J618" s="73" t="n"/>
      <c r="K618" s="73" t="n"/>
      <c r="L618" s="73" t="n"/>
      <c r="M618" s="73" t="n"/>
      <c r="N618" s="57">
        <f>IF($A618="","",IFERROR(VALUE($J618),0))</f>
        <v/>
      </c>
      <c r="O618" s="57">
        <f>IF($A618="",0,IF(OR($S618&lt;&gt;1,COUNTA($J618:$M618)=0),0,IF($N618&lt;=0,$H618,IF(SUMPRODUCT(MAX(($C$5:$C$2484=$C618)*($D$5:$D$2484=$D618)*($S$5:$S$2484=1)*IFERROR($N$5:$N$2484*1,0)))&gt;0,ROUND($H618*((SUMPRODUCT(MAX(($C$5:$C$2484=$C618)*($D$5:$D$2484=$D618)*($S$5:$S$2484=1)*IFERROR($N$5:$N$2484*1,0)))-$N618)/SUMPRODUCT(MAX(($C$5:$C$2484=$C618)*($D$5:$D$2484=$D618)*($S$5:$S$2484=1)*IFERROR($N$5:$N$2484*1,0)))),4),0))))</f>
        <v/>
      </c>
      <c r="P618" s="48" t="inlineStr">
        <is>
          <t>m2</t>
        </is>
      </c>
      <c r="Q618" s="57">
        <f>IF($A618="","",$A618&amp;"|"&amp;$C618)</f>
        <v/>
      </c>
      <c r="R618" s="57">
        <f>IF($A618="","",$A618&amp;"|"&amp;$C618&amp;"|"&amp;$D618)</f>
        <v/>
      </c>
      <c r="S618" s="57">
        <f>IF($A618="","",IFERROR(INDEX(Offerte!$D$2:$D$81,MATCH($Q618,Offerte!$L$2:$L$81,0)),0))</f>
        <v/>
      </c>
      <c r="T618" s="57">
        <f>IF($A618="","",IFERROR(INDEX(Offerte!$G$2:$G$81,MATCH($Q618,Offerte!$L$2:$L$81,0)),"NO"))</f>
        <v/>
      </c>
    </row>
    <row r="619">
      <c r="A619" s="48">
        <f>IF(Offerte!$A21="","",Offerte!$A21)</f>
        <v/>
      </c>
      <c r="B619" s="48">
        <f>IF(Offerte!$A21="","",Offerte!$B21)</f>
        <v/>
      </c>
      <c r="C619" s="48">
        <f>IF(Offerte!$A21="","",Offerte!$C21)</f>
        <v/>
      </c>
      <c r="D619" s="48" t="inlineStr">
        <is>
          <t>F.5.1</t>
        </is>
      </c>
      <c r="E619" s="48" t="inlineStr">
        <is>
          <t>F</t>
        </is>
      </c>
      <c r="F619" s="48" t="inlineStr">
        <is>
          <t>T</t>
        </is>
      </c>
      <c r="G619" s="48" t="inlineStr">
        <is>
          <t>tabular</t>
        </is>
      </c>
      <c r="H619" s="48" t="n">
        <v>1</v>
      </c>
      <c r="I619" s="48" t="inlineStr">
        <is>
          <t>Rendicontazione di sostenibilità ambientale</t>
        </is>
      </c>
      <c r="J619" s="73" t="n"/>
      <c r="K619" s="73" t="n"/>
      <c r="L619" s="73" t="n"/>
      <c r="M619" s="73" t="n"/>
      <c r="N619" s="57">
        <f>IF($A619="","",IF(IFERROR(VALUE($M619),0)=1,1,0))</f>
        <v/>
      </c>
      <c r="O619" s="57">
        <f>IF($A619="",0,IF(OR($S619&lt;&gt;1,COUNTA($J619:$M619)=0),0,IF($N619=1,$H619,0)))</f>
        <v/>
      </c>
      <c r="P619" s="48" t="inlineStr">
        <is>
          <t>sì/no</t>
        </is>
      </c>
      <c r="Q619" s="57">
        <f>IF($A619="","",$A619&amp;"|"&amp;$C619)</f>
        <v/>
      </c>
      <c r="R619" s="57">
        <f>IF($A619="","",$A619&amp;"|"&amp;$C619&amp;"|"&amp;$D619)</f>
        <v/>
      </c>
      <c r="S619" s="57">
        <f>IF($A619="","",IFERROR(INDEX(Offerte!$D$2:$D$81,MATCH($Q619,Offerte!$L$2:$L$81,0)),0))</f>
        <v/>
      </c>
      <c r="T619" s="57">
        <f>IF($A619="","",IFERROR(INDEX(Offerte!$G$2:$G$81,MATCH($Q619,Offerte!$L$2:$L$81,0)),"NO"))</f>
        <v/>
      </c>
    </row>
    <row r="620">
      <c r="A620" s="48">
        <f>IF(Offerte!$A21="","",Offerte!$A21)</f>
        <v/>
      </c>
      <c r="B620" s="48">
        <f>IF(Offerte!$A21="","",Offerte!$B21)</f>
        <v/>
      </c>
      <c r="C620" s="48">
        <f>IF(Offerte!$A21="","",Offerte!$C21)</f>
        <v/>
      </c>
      <c r="D620" s="48" t="inlineStr">
        <is>
          <t>G.1.1</t>
        </is>
      </c>
      <c r="E620" s="48" t="inlineStr">
        <is>
          <t>G</t>
        </is>
      </c>
      <c r="F620" s="48" t="inlineStr">
        <is>
          <t>D</t>
        </is>
      </c>
      <c r="G620" s="48" t="inlineStr">
        <is>
          <t>discretionary</t>
        </is>
      </c>
      <c r="H620" s="48" t="n">
        <v>2</v>
      </c>
      <c r="I620" s="48" t="inlineStr">
        <is>
          <t>Qualità del progetto di centrale di controllo aziendale</t>
        </is>
      </c>
      <c r="J620" s="73" t="n"/>
      <c r="K620" s="73" t="n"/>
      <c r="L620" s="73" t="n"/>
      <c r="M620" s="73" t="n"/>
      <c r="N620" s="57">
        <f>IF($A620="","",MAX(0,MIN(1,IFERROR(VALUE($M620),0))))</f>
        <v/>
      </c>
      <c r="O620" s="57">
        <f>IF($A620="",0,IF(OR($S620&lt;&gt;1,COUNTA($J620:$M620)=0),0,IF(SUMPRODUCT(MAX(($C$5:$C$2484=$C620)*($D$5:$D$2484=$D620)*($S$5:$S$2484=1)*IFERROR($N$5:$N$2484*1,0)))&gt;0,ROUND($H620*($N620/SUMPRODUCT(MAX(($C$5:$C$2484=$C620)*($D$5:$D$2484=$D620)*($S$5:$S$2484=1)*IFERROR($N$5:$N$2484*1,0)))),4),0)))</f>
        <v/>
      </c>
      <c r="P620" s="48" t="inlineStr">
        <is>
          <t>coeff.</t>
        </is>
      </c>
      <c r="Q620" s="57">
        <f>IF($A620="","",$A620&amp;"|"&amp;$C620)</f>
        <v/>
      </c>
      <c r="R620" s="57">
        <f>IF($A620="","",$A620&amp;"|"&amp;$C620&amp;"|"&amp;$D620)</f>
        <v/>
      </c>
      <c r="S620" s="57">
        <f>IF($A620="","",IFERROR(INDEX(Offerte!$D$2:$D$81,MATCH($Q620,Offerte!$L$2:$L$81,0)),0))</f>
        <v/>
      </c>
      <c r="T620" s="57">
        <f>IF($A620="","",IFERROR(INDEX(Offerte!$G$2:$G$81,MATCH($Q620,Offerte!$L$2:$L$81,0)),"NO"))</f>
        <v/>
      </c>
    </row>
    <row r="621">
      <c r="A621" s="48">
        <f>IF(Offerte!$A21="","",Offerte!$A21)</f>
        <v/>
      </c>
      <c r="B621" s="48">
        <f>IF(Offerte!$A21="","",Offerte!$B21)</f>
        <v/>
      </c>
      <c r="C621" s="48">
        <f>IF(Offerte!$A21="","",Offerte!$C21)</f>
        <v/>
      </c>
      <c r="D621" s="48" t="inlineStr">
        <is>
          <t>G.2.1</t>
        </is>
      </c>
      <c r="E621" s="48" t="inlineStr">
        <is>
          <t>G</t>
        </is>
      </c>
      <c r="F621" s="48" t="inlineStr">
        <is>
          <t>T</t>
        </is>
      </c>
      <c r="G621" s="48" t="inlineStr">
        <is>
          <t>tabular</t>
        </is>
      </c>
      <c r="H621" s="48" t="n">
        <v>1</v>
      </c>
      <c r="I621" s="48" t="inlineStr">
        <is>
          <t>Certificazione ISO 45001</t>
        </is>
      </c>
      <c r="J621" s="73" t="n"/>
      <c r="K621" s="73" t="n"/>
      <c r="L621" s="73" t="n"/>
      <c r="M621" s="73" t="n"/>
      <c r="N621" s="57">
        <f>IF($A621="","",IF(IFERROR(VALUE($M621),0)=1,1,0))</f>
        <v/>
      </c>
      <c r="O621" s="57">
        <f>IF($A621="",0,IF(OR($S621&lt;&gt;1,COUNTA($J621:$M621)=0),0,IF($N621=1,$H621,0)))</f>
        <v/>
      </c>
      <c r="P621" s="48" t="inlineStr">
        <is>
          <t>sì/no</t>
        </is>
      </c>
      <c r="Q621" s="57">
        <f>IF($A621="","",$A621&amp;"|"&amp;$C621)</f>
        <v/>
      </c>
      <c r="R621" s="57">
        <f>IF($A621="","",$A621&amp;"|"&amp;$C621&amp;"|"&amp;$D621)</f>
        <v/>
      </c>
      <c r="S621" s="57">
        <f>IF($A621="","",IFERROR(INDEX(Offerte!$D$2:$D$81,MATCH($Q621,Offerte!$L$2:$L$81,0)),0))</f>
        <v/>
      </c>
      <c r="T621" s="57">
        <f>IF($A621="","",IFERROR(INDEX(Offerte!$G$2:$G$81,MATCH($Q621,Offerte!$L$2:$L$81,0)),"NO"))</f>
        <v/>
      </c>
    </row>
    <row r="622">
      <c r="A622" s="48">
        <f>IF(Offerte!$A21="","",Offerte!$A21)</f>
        <v/>
      </c>
      <c r="B622" s="48">
        <f>IF(Offerte!$A21="","",Offerte!$B21)</f>
        <v/>
      </c>
      <c r="C622" s="48">
        <f>IF(Offerte!$A21="","",Offerte!$C21)</f>
        <v/>
      </c>
      <c r="D622" s="48" t="inlineStr">
        <is>
          <t>G.3.1</t>
        </is>
      </c>
      <c r="E622" s="48" t="inlineStr">
        <is>
          <t>G</t>
        </is>
      </c>
      <c r="F622" s="48" t="inlineStr">
        <is>
          <t>T</t>
        </is>
      </c>
      <c r="G622" s="48" t="inlineStr">
        <is>
          <t>tabular</t>
        </is>
      </c>
      <c r="H622" s="48" t="n">
        <v>1</v>
      </c>
      <c r="I622" s="48" t="inlineStr">
        <is>
          <t>Certificazioni di responsabilità sociale</t>
        </is>
      </c>
      <c r="J622" s="73" t="n"/>
      <c r="K622" s="73" t="n"/>
      <c r="L622" s="73" t="n"/>
      <c r="M622" s="73" t="n"/>
      <c r="N622" s="57">
        <f>IF($A622="","",IF(IFERROR(VALUE($M622),0)=1,1,0))</f>
        <v/>
      </c>
      <c r="O622" s="57">
        <f>IF($A622="",0,IF(OR($S622&lt;&gt;1,COUNTA($J622:$M622)=0),0,IF($N622=1,$H622,0)))</f>
        <v/>
      </c>
      <c r="P622" s="48" t="inlineStr">
        <is>
          <t>sì/no</t>
        </is>
      </c>
      <c r="Q622" s="57">
        <f>IF($A622="","",$A622&amp;"|"&amp;$C622)</f>
        <v/>
      </c>
      <c r="R622" s="57">
        <f>IF($A622="","",$A622&amp;"|"&amp;$C622&amp;"|"&amp;$D622)</f>
        <v/>
      </c>
      <c r="S622" s="57">
        <f>IF($A622="","",IFERROR(INDEX(Offerte!$D$2:$D$81,MATCH($Q622,Offerte!$L$2:$L$81,0)),0))</f>
        <v/>
      </c>
      <c r="T622" s="57">
        <f>IF($A622="","",IFERROR(INDEX(Offerte!$G$2:$G$81,MATCH($Q622,Offerte!$L$2:$L$81,0)),"NO"))</f>
        <v/>
      </c>
    </row>
    <row r="623">
      <c r="A623" s="48">
        <f>IF(Offerte!$A21="","",Offerte!$A21)</f>
        <v/>
      </c>
      <c r="B623" s="48">
        <f>IF(Offerte!$A21="","",Offerte!$B21)</f>
        <v/>
      </c>
      <c r="C623" s="48">
        <f>IF(Offerte!$A21="","",Offerte!$C21)</f>
        <v/>
      </c>
      <c r="D623" s="48" t="inlineStr">
        <is>
          <t>G.4.1</t>
        </is>
      </c>
      <c r="E623" s="48" t="inlineStr">
        <is>
          <t>G</t>
        </is>
      </c>
      <c r="F623" s="48" t="inlineStr">
        <is>
          <t>D</t>
        </is>
      </c>
      <c r="G623" s="48" t="inlineStr">
        <is>
          <t>discretionary</t>
        </is>
      </c>
      <c r="H623" s="48" t="n">
        <v>2</v>
      </c>
      <c r="I623" s="48" t="inlineStr">
        <is>
          <t>Qualità del piano di formazione del personale</t>
        </is>
      </c>
      <c r="J623" s="73" t="n"/>
      <c r="K623" s="73" t="n"/>
      <c r="L623" s="73" t="n"/>
      <c r="M623" s="73" t="n"/>
      <c r="N623" s="57">
        <f>IF($A623="","",MAX(0,MIN(1,IFERROR(VALUE($M623),0))))</f>
        <v/>
      </c>
      <c r="O623" s="57">
        <f>IF($A623="",0,IF(OR($S623&lt;&gt;1,COUNTA($J623:$M623)=0),0,IF(SUMPRODUCT(MAX(($C$5:$C$2484=$C623)*($D$5:$D$2484=$D623)*($S$5:$S$2484=1)*IFERROR($N$5:$N$2484*1,0)))&gt;0,ROUND($H623*($N623/SUMPRODUCT(MAX(($C$5:$C$2484=$C623)*($D$5:$D$2484=$D623)*($S$5:$S$2484=1)*IFERROR($N$5:$N$2484*1,0)))),4),0)))</f>
        <v/>
      </c>
      <c r="P623" s="48" t="inlineStr">
        <is>
          <t>coeff.</t>
        </is>
      </c>
      <c r="Q623" s="57">
        <f>IF($A623="","",$A623&amp;"|"&amp;$C623)</f>
        <v/>
      </c>
      <c r="R623" s="57">
        <f>IF($A623="","",$A623&amp;"|"&amp;$C623&amp;"|"&amp;$D623)</f>
        <v/>
      </c>
      <c r="S623" s="57">
        <f>IF($A623="","",IFERROR(INDEX(Offerte!$D$2:$D$81,MATCH($Q623,Offerte!$L$2:$L$81,0)),0))</f>
        <v/>
      </c>
      <c r="T623" s="57">
        <f>IF($A623="","",IFERROR(INDEX(Offerte!$G$2:$G$81,MATCH($Q623,Offerte!$L$2:$L$81,0)),"NO"))</f>
        <v/>
      </c>
    </row>
    <row r="624">
      <c r="A624" s="48">
        <f>IF(Offerte!$A21="","",Offerte!$A21)</f>
        <v/>
      </c>
      <c r="B624" s="48">
        <f>IF(Offerte!$A21="","",Offerte!$B21)</f>
        <v/>
      </c>
      <c r="C624" s="48">
        <f>IF(Offerte!$A21="","",Offerte!$C21)</f>
        <v/>
      </c>
      <c r="D624" s="48" t="inlineStr">
        <is>
          <t>G.5.1</t>
        </is>
      </c>
      <c r="E624" s="48" t="inlineStr">
        <is>
          <t>G</t>
        </is>
      </c>
      <c r="F624" s="48" t="inlineStr">
        <is>
          <t>T</t>
        </is>
      </c>
      <c r="G624" s="48" t="inlineStr">
        <is>
          <t>tabular</t>
        </is>
      </c>
      <c r="H624" s="48" t="n">
        <v>1</v>
      </c>
      <c r="I624" s="48" t="inlineStr">
        <is>
          <t>Impegno al mantenimento delle garanzie del contratto di secondo livello del gestore uscente</t>
        </is>
      </c>
      <c r="J624" s="73" t="n"/>
      <c r="K624" s="73" t="n"/>
      <c r="L624" s="73" t="n"/>
      <c r="M624" s="73" t="n"/>
      <c r="N624" s="57">
        <f>IF($A624="","",IF(IFERROR(VALUE($M624),0)=1,1,0))</f>
        <v/>
      </c>
      <c r="O624" s="57">
        <f>IF($A624="",0,IF(OR($S624&lt;&gt;1,COUNTA($J624:$M624)=0),0,IF($N624=1,$H624,0)))</f>
        <v/>
      </c>
      <c r="P624" s="48" t="inlineStr">
        <is>
          <t>sì/no</t>
        </is>
      </c>
      <c r="Q624" s="57">
        <f>IF($A624="","",$A624&amp;"|"&amp;$C624)</f>
        <v/>
      </c>
      <c r="R624" s="57">
        <f>IF($A624="","",$A624&amp;"|"&amp;$C624&amp;"|"&amp;$D624)</f>
        <v/>
      </c>
      <c r="S624" s="57">
        <f>IF($A624="","",IFERROR(INDEX(Offerte!$D$2:$D$81,MATCH($Q624,Offerte!$L$2:$L$81,0)),0))</f>
        <v/>
      </c>
      <c r="T624" s="57">
        <f>IF($A624="","",IFERROR(INDEX(Offerte!$G$2:$G$81,MATCH($Q624,Offerte!$L$2:$L$81,0)),"NO"))</f>
        <v/>
      </c>
    </row>
    <row r="625">
      <c r="A625" s="48">
        <f>IF(Offerte!$A22="","",Offerte!$A22)</f>
        <v/>
      </c>
      <c r="B625" s="48">
        <f>IF(Offerte!$A22="","",Offerte!$B22)</f>
        <v/>
      </c>
      <c r="C625" s="48">
        <f>IF(Offerte!$A22="","",Offerte!$C22)</f>
        <v/>
      </c>
      <c r="D625" s="48" t="inlineStr">
        <is>
          <t>A.1.1</t>
        </is>
      </c>
      <c r="E625" s="48" t="inlineStr">
        <is>
          <t>A</t>
        </is>
      </c>
      <c r="F625" s="48" t="inlineStr">
        <is>
          <t>Q</t>
        </is>
      </c>
      <c r="G625" s="48" t="inlineStr">
        <is>
          <t>higher</t>
        </is>
      </c>
      <c r="H625" s="48" t="n">
        <v>3</v>
      </c>
      <c r="I625" s="48" t="inlineStr">
        <is>
          <t>Tasso aggiuntivo di corse controllate</t>
        </is>
      </c>
      <c r="J625" s="73" t="n"/>
      <c r="K625" s="73" t="n"/>
      <c r="L625" s="73" t="n"/>
      <c r="M625" s="73" t="n"/>
      <c r="N625" s="57">
        <f>IF($A625="","",IFERROR(VALUE($K625)/VALUE($L625)*100,IFERROR(VALUE($J625),0)))</f>
        <v/>
      </c>
      <c r="O625" s="57">
        <f>IF($A625="",0,IF(OR($S625&lt;&gt;1,COUNTA($J625:$M625)=0),0,IF(SUMPRODUCT(MAX(($C$5:$C$2484=$C625)*($D$5:$D$2484=$D625)*($S$5:$S$2484=1)*IFERROR($N$5:$N$2484*1,0)))&gt;0,ROUND($H625*($N625/SUMPRODUCT(MAX(($C$5:$C$2484=$C625)*($D$5:$D$2484=$D625)*($S$5:$S$2484=1)*IFERROR($N$5:$N$2484*1,0)))),4),0)))</f>
        <v/>
      </c>
      <c r="P625" s="48" t="inlineStr">
        <is>
          <t>Corse controllate annue / Corse programmate annue</t>
        </is>
      </c>
      <c r="Q625" s="57">
        <f>IF($A625="","",$A625&amp;"|"&amp;$C625)</f>
        <v/>
      </c>
      <c r="R625" s="57">
        <f>IF($A625="","",$A625&amp;"|"&amp;$C625&amp;"|"&amp;$D625)</f>
        <v/>
      </c>
      <c r="S625" s="57">
        <f>IF($A625="","",IFERROR(INDEX(Offerte!$D$2:$D$81,MATCH($Q625,Offerte!$L$2:$L$81,0)),0))</f>
        <v/>
      </c>
      <c r="T625" s="57">
        <f>IF($A625="","",IFERROR(INDEX(Offerte!$G$2:$G$81,MATCH($Q625,Offerte!$L$2:$L$81,0)),"NO"))</f>
        <v/>
      </c>
    </row>
    <row r="626">
      <c r="A626" s="48">
        <f>IF(Offerte!$A22="","",Offerte!$A22)</f>
        <v/>
      </c>
      <c r="B626" s="48">
        <f>IF(Offerte!$A22="","",Offerte!$B22)</f>
        <v/>
      </c>
      <c r="C626" s="48">
        <f>IF(Offerte!$A22="","",Offerte!$C22)</f>
        <v/>
      </c>
      <c r="D626" s="48" t="inlineStr">
        <is>
          <t>A.1.2</t>
        </is>
      </c>
      <c r="E626" s="48" t="inlineStr">
        <is>
          <t>A</t>
        </is>
      </c>
      <c r="F626" s="48" t="inlineStr">
        <is>
          <t>Q</t>
        </is>
      </c>
      <c r="G626" s="48" t="inlineStr">
        <is>
          <t>higher</t>
        </is>
      </c>
      <c r="H626" s="48" t="n">
        <v>4</v>
      </c>
      <c r="I626" s="48" t="inlineStr">
        <is>
          <t>Numero aggiuntivo di passeggeri controllati</t>
        </is>
      </c>
      <c r="J626" s="73" t="n"/>
      <c r="K626" s="73" t="n"/>
      <c r="L626" s="73" t="n"/>
      <c r="M626" s="73" t="n"/>
      <c r="N626" s="57">
        <f>IF($A626="","",IFERROR(VALUE($J626),0))</f>
        <v/>
      </c>
      <c r="O626" s="57">
        <f>IF($A626="",0,IF(OR($S626&lt;&gt;1,COUNTA($J626:$M626)=0),0,IF(SUMPRODUCT(MAX(($C$5:$C$2484=$C626)*($D$5:$D$2484=$D626)*($S$5:$S$2484=1)*IFERROR($N$5:$N$2484*1,0)))&gt;0,ROUND($H626*($N626/SUMPRODUCT(MAX(($C$5:$C$2484=$C626)*($D$5:$D$2484=$D626)*($S$5:$S$2484=1)*IFERROR($N$5:$N$2484*1,0)))),4),0)))</f>
        <v/>
      </c>
      <c r="P626" s="48" t="inlineStr">
        <is>
          <t>passeggeri/anno</t>
        </is>
      </c>
      <c r="Q626" s="57">
        <f>IF($A626="","",$A626&amp;"|"&amp;$C626)</f>
        <v/>
      </c>
      <c r="R626" s="57">
        <f>IF($A626="","",$A626&amp;"|"&amp;$C626&amp;"|"&amp;$D626)</f>
        <v/>
      </c>
      <c r="S626" s="57">
        <f>IF($A626="","",IFERROR(INDEX(Offerte!$D$2:$D$81,MATCH($Q626,Offerte!$L$2:$L$81,0)),0))</f>
        <v/>
      </c>
      <c r="T626" s="57">
        <f>IF($A626="","",IFERROR(INDEX(Offerte!$G$2:$G$81,MATCH($Q626,Offerte!$L$2:$L$81,0)),"NO"))</f>
        <v/>
      </c>
    </row>
    <row r="627">
      <c r="A627" s="48">
        <f>IF(Offerte!$A22="","",Offerte!$A22)</f>
        <v/>
      </c>
      <c r="B627" s="48">
        <f>IF(Offerte!$A22="","",Offerte!$B22)</f>
        <v/>
      </c>
      <c r="C627" s="48">
        <f>IF(Offerte!$A22="","",Offerte!$C22)</f>
        <v/>
      </c>
      <c r="D627" s="48" t="inlineStr">
        <is>
          <t>B.1.1</t>
        </is>
      </c>
      <c r="E627" s="48" t="inlineStr">
        <is>
          <t>B</t>
        </is>
      </c>
      <c r="F627" s="48" t="inlineStr">
        <is>
          <t>Q</t>
        </is>
      </c>
      <c r="G627" s="48" t="inlineStr">
        <is>
          <t>higher</t>
        </is>
      </c>
      <c r="H627" s="48" t="n">
        <v>3</v>
      </c>
      <c r="I627" s="48" t="inlineStr">
        <is>
          <t>Incremento dei posti offerti nelle fasce di punta</t>
        </is>
      </c>
      <c r="J627" s="73" t="n"/>
      <c r="K627" s="73" t="n"/>
      <c r="L627" s="73" t="n"/>
      <c r="M627" s="73" t="n"/>
      <c r="N627" s="57">
        <f>IF($A627="","",IFERROR(VALUE($J627),0))</f>
        <v/>
      </c>
      <c r="O627" s="57">
        <f>IF($A627="",0,IF(OR($S627&lt;&gt;1,COUNTA($J627:$M627)=0),0,IF(SUMPRODUCT(MAX(($C$5:$C$2484=$C627)*($D$5:$D$2484=$D627)*($S$5:$S$2484=1)*IFERROR($N$5:$N$2484*1,0)))&gt;0,ROUND($H627*($N627/SUMPRODUCT(MAX(($C$5:$C$2484=$C627)*($D$5:$D$2484=$D627)*($S$5:$S$2484=1)*IFERROR($N$5:$N$2484*1,0)))),4),0)))</f>
        <v/>
      </c>
      <c r="P627" s="48" t="inlineStr">
        <is>
          <t>posti*km</t>
        </is>
      </c>
      <c r="Q627" s="57">
        <f>IF($A627="","",$A627&amp;"|"&amp;$C627)</f>
        <v/>
      </c>
      <c r="R627" s="57">
        <f>IF($A627="","",$A627&amp;"|"&amp;$C627&amp;"|"&amp;$D627)</f>
        <v/>
      </c>
      <c r="S627" s="57">
        <f>IF($A627="","",IFERROR(INDEX(Offerte!$D$2:$D$81,MATCH($Q627,Offerte!$L$2:$L$81,0)),0))</f>
        <v/>
      </c>
      <c r="T627" s="57">
        <f>IF($A627="","",IFERROR(INDEX(Offerte!$G$2:$G$81,MATCH($Q627,Offerte!$L$2:$L$81,0)),"NO"))</f>
        <v/>
      </c>
    </row>
    <row r="628">
      <c r="A628" s="48">
        <f>IF(Offerte!$A22="","",Offerte!$A22)</f>
        <v/>
      </c>
      <c r="B628" s="48">
        <f>IF(Offerte!$A22="","",Offerte!$B22)</f>
        <v/>
      </c>
      <c r="C628" s="48">
        <f>IF(Offerte!$A22="","",Offerte!$C22)</f>
        <v/>
      </c>
      <c r="D628" s="48" t="inlineStr">
        <is>
          <t>B.2.1</t>
        </is>
      </c>
      <c r="E628" s="48" t="inlineStr">
        <is>
          <t>B</t>
        </is>
      </c>
      <c r="F628" s="48" t="inlineStr">
        <is>
          <t>Q</t>
        </is>
      </c>
      <c r="G628" s="48" t="inlineStr">
        <is>
          <t>higher</t>
        </is>
      </c>
      <c r="H628" s="48" t="n">
        <v>4</v>
      </c>
      <c r="I628" s="48" t="inlineStr">
        <is>
          <t>Corse aggiuntive nell'arco giornaliero base</t>
        </is>
      </c>
      <c r="J628" s="73" t="n"/>
      <c r="K628" s="73" t="n"/>
      <c r="L628" s="73" t="n"/>
      <c r="M628" s="73" t="n"/>
      <c r="N628" s="57">
        <f>IF($A628="","",IFERROR(VALUE($J628),0))</f>
        <v/>
      </c>
      <c r="O628" s="57">
        <f>IF($A628="",0,IF(OR($S628&lt;&gt;1,COUNTA($J628:$M628)=0),0,IF(SUMPRODUCT(MAX(($C$5:$C$2484=$C628)*($D$5:$D$2484=$D628)*($S$5:$S$2484=1)*IFERROR($N$5:$N$2484*1,0)))&gt;0,ROUND($H628*($N628/SUMPRODUCT(MAX(($C$5:$C$2484=$C628)*($D$5:$D$2484=$D628)*($S$5:$S$2484=1)*IFERROR($N$5:$N$2484*1,0)))),4),0)))</f>
        <v/>
      </c>
      <c r="P628" s="48" t="inlineStr">
        <is>
          <t>corse</t>
        </is>
      </c>
      <c r="Q628" s="57">
        <f>IF($A628="","",$A628&amp;"|"&amp;$C628)</f>
        <v/>
      </c>
      <c r="R628" s="57">
        <f>IF($A628="","",$A628&amp;"|"&amp;$C628&amp;"|"&amp;$D628)</f>
        <v/>
      </c>
      <c r="S628" s="57">
        <f>IF($A628="","",IFERROR(INDEX(Offerte!$D$2:$D$81,MATCH($Q628,Offerte!$L$2:$L$81,0)),0))</f>
        <v/>
      </c>
      <c r="T628" s="57">
        <f>IF($A628="","",IFERROR(INDEX(Offerte!$G$2:$G$81,MATCH($Q628,Offerte!$L$2:$L$81,0)),"NO"))</f>
        <v/>
      </c>
    </row>
    <row r="629">
      <c r="A629" s="48">
        <f>IF(Offerte!$A22="","",Offerte!$A22)</f>
        <v/>
      </c>
      <c r="B629" s="48">
        <f>IF(Offerte!$A22="","",Offerte!$B22)</f>
        <v/>
      </c>
      <c r="C629" s="48">
        <f>IF(Offerte!$A22="","",Offerte!$C22)</f>
        <v/>
      </c>
      <c r="D629" s="48" t="inlineStr">
        <is>
          <t>B.3.1</t>
        </is>
      </c>
      <c r="E629" s="48" t="inlineStr">
        <is>
          <t>B</t>
        </is>
      </c>
      <c r="F629" s="48" t="inlineStr">
        <is>
          <t>Q</t>
        </is>
      </c>
      <c r="G629" s="48" t="inlineStr">
        <is>
          <t>higher</t>
        </is>
      </c>
      <c r="H629" s="48" t="n">
        <v>2</v>
      </c>
      <c r="I629" s="48" t="inlineStr">
        <is>
          <t>Numero di corse aggiuntive per allungamento dell'arco di servizio giornaliero nelle fasce serali</t>
        </is>
      </c>
      <c r="J629" s="73" t="n"/>
      <c r="K629" s="73" t="n"/>
      <c r="L629" s="73" t="n"/>
      <c r="M629" s="73" t="n"/>
      <c r="N629" s="57">
        <f>IF($A629="","",IFERROR(VALUE($J629),0))</f>
        <v/>
      </c>
      <c r="O629" s="57">
        <f>IF($A629="",0,IF(OR($S629&lt;&gt;1,COUNTA($J629:$M629)=0),0,IF(SUMPRODUCT(MAX(($C$5:$C$2484=$C629)*($D$5:$D$2484=$D629)*($S$5:$S$2484=1)*IFERROR($N$5:$N$2484*1,0)))&gt;0,ROUND($H629*($N629/SUMPRODUCT(MAX(($C$5:$C$2484=$C629)*($D$5:$D$2484=$D629)*($S$5:$S$2484=1)*IFERROR($N$5:$N$2484*1,0)))),4),0)))</f>
        <v/>
      </c>
      <c r="P629" s="48" t="inlineStr">
        <is>
          <t>corse</t>
        </is>
      </c>
      <c r="Q629" s="57">
        <f>IF($A629="","",$A629&amp;"|"&amp;$C629)</f>
        <v/>
      </c>
      <c r="R629" s="57">
        <f>IF($A629="","",$A629&amp;"|"&amp;$C629&amp;"|"&amp;$D629)</f>
        <v/>
      </c>
      <c r="S629" s="57">
        <f>IF($A629="","",IFERROR(INDEX(Offerte!$D$2:$D$81,MATCH($Q629,Offerte!$L$2:$L$81,0)),0))</f>
        <v/>
      </c>
      <c r="T629" s="57">
        <f>IF($A629="","",IFERROR(INDEX(Offerte!$G$2:$G$81,MATCH($Q629,Offerte!$L$2:$L$81,0)),"NO"))</f>
        <v/>
      </c>
    </row>
    <row r="630">
      <c r="A630" s="48">
        <f>IF(Offerte!$A22="","",Offerte!$A22)</f>
        <v/>
      </c>
      <c r="B630" s="48">
        <f>IF(Offerte!$A22="","",Offerte!$B22)</f>
        <v/>
      </c>
      <c r="C630" s="48">
        <f>IF(Offerte!$A22="","",Offerte!$C22)</f>
        <v/>
      </c>
      <c r="D630" s="48" t="inlineStr">
        <is>
          <t>B.4.1</t>
        </is>
      </c>
      <c r="E630" s="48" t="inlineStr">
        <is>
          <t>B</t>
        </is>
      </c>
      <c r="F630" s="48" t="inlineStr">
        <is>
          <t>Q</t>
        </is>
      </c>
      <c r="G630" s="48" t="inlineStr">
        <is>
          <t>higher</t>
        </is>
      </c>
      <c r="H630" s="48" t="n">
        <v>3</v>
      </c>
      <c r="I630" s="48" t="inlineStr">
        <is>
          <t>Percorrenze aggiuntive offerte nel Programma d'esercizio delle prime due fasi attuative</t>
        </is>
      </c>
      <c r="J630" s="73" t="n"/>
      <c r="K630" s="73" t="n"/>
      <c r="L630" s="73" t="n"/>
      <c r="M630" s="73" t="n"/>
      <c r="N630" s="57">
        <f>IF($A630="","",IFERROR(VALUE($J630),0))</f>
        <v/>
      </c>
      <c r="O630" s="57">
        <f>IF($A630="",0,IF(OR($S630&lt;&gt;1,COUNTA($J630:$M630)=0),0,IF(SUMPRODUCT(MAX(($C$5:$C$2484=$C630)*($D$5:$D$2484=$D630)*($S$5:$S$2484=1)*IFERROR($N$5:$N$2484*1,0)))&gt;0,ROUND($H630*($N630/SUMPRODUCT(MAX(($C$5:$C$2484=$C630)*($D$5:$D$2484=$D630)*($S$5:$S$2484=1)*IFERROR($N$5:$N$2484*1,0)))),4),0)))</f>
        <v/>
      </c>
      <c r="P630" s="48" t="inlineStr">
        <is>
          <t>vett*km</t>
        </is>
      </c>
      <c r="Q630" s="57">
        <f>IF($A630="","",$A630&amp;"|"&amp;$C630)</f>
        <v/>
      </c>
      <c r="R630" s="57">
        <f>IF($A630="","",$A630&amp;"|"&amp;$C630&amp;"|"&amp;$D630)</f>
        <v/>
      </c>
      <c r="S630" s="57">
        <f>IF($A630="","",IFERROR(INDEX(Offerte!$D$2:$D$81,MATCH($Q630,Offerte!$L$2:$L$81,0)),0))</f>
        <v/>
      </c>
      <c r="T630" s="57">
        <f>IF($A630="","",IFERROR(INDEX(Offerte!$G$2:$G$81,MATCH($Q630,Offerte!$L$2:$L$81,0)),"NO"))</f>
        <v/>
      </c>
    </row>
    <row r="631">
      <c r="A631" s="48">
        <f>IF(Offerte!$A22="","",Offerte!$A22)</f>
        <v/>
      </c>
      <c r="B631" s="48">
        <f>IF(Offerte!$A22="","",Offerte!$B22)</f>
        <v/>
      </c>
      <c r="C631" s="48">
        <f>IF(Offerte!$A22="","",Offerte!$C22)</f>
        <v/>
      </c>
      <c r="D631" s="48" t="inlineStr">
        <is>
          <t>B.5.1</t>
        </is>
      </c>
      <c r="E631" s="48" t="inlineStr">
        <is>
          <t>B</t>
        </is>
      </c>
      <c r="F631" s="48" t="inlineStr">
        <is>
          <t>D</t>
        </is>
      </c>
      <c r="G631" s="48" t="inlineStr">
        <is>
          <t>discretionary</t>
        </is>
      </c>
      <c r="H631" s="48" t="n">
        <v>2</v>
      </c>
      <c r="I631" s="48" t="inlineStr">
        <is>
          <t>Efficacia del progetto di servizi complementari DRT</t>
        </is>
      </c>
      <c r="J631" s="73" t="n"/>
      <c r="K631" s="73" t="n"/>
      <c r="L631" s="73" t="n"/>
      <c r="M631" s="73" t="n"/>
      <c r="N631" s="57">
        <f>IF($A631="","",MAX(0,MIN(1,IFERROR(VALUE($M631),0))))</f>
        <v/>
      </c>
      <c r="O631" s="57">
        <f>IF($A631="",0,IF(OR($S631&lt;&gt;1,COUNTA($J631:$M631)=0),0,IF(SUMPRODUCT(MAX(($C$5:$C$2484=$C631)*($D$5:$D$2484=$D631)*($S$5:$S$2484=1)*IFERROR($N$5:$N$2484*1,0)))&gt;0,ROUND($H631*($N631/SUMPRODUCT(MAX(($C$5:$C$2484=$C631)*($D$5:$D$2484=$D631)*($S$5:$S$2484=1)*IFERROR($N$5:$N$2484*1,0)))),4),0)))</f>
        <v/>
      </c>
      <c r="P631" s="48" t="inlineStr">
        <is>
          <t>coeff.</t>
        </is>
      </c>
      <c r="Q631" s="57">
        <f>IF($A631="","",$A631&amp;"|"&amp;$C631)</f>
        <v/>
      </c>
      <c r="R631" s="57">
        <f>IF($A631="","",$A631&amp;"|"&amp;$C631&amp;"|"&amp;$D631)</f>
        <v/>
      </c>
      <c r="S631" s="57">
        <f>IF($A631="","",IFERROR(INDEX(Offerte!$D$2:$D$81,MATCH($Q631,Offerte!$L$2:$L$81,0)),0))</f>
        <v/>
      </c>
      <c r="T631" s="57">
        <f>IF($A631="","",IFERROR(INDEX(Offerte!$G$2:$G$81,MATCH($Q631,Offerte!$L$2:$L$81,0)),"NO"))</f>
        <v/>
      </c>
    </row>
    <row r="632">
      <c r="A632" s="48">
        <f>IF(Offerte!$A22="","",Offerte!$A22)</f>
        <v/>
      </c>
      <c r="B632" s="48">
        <f>IF(Offerte!$A22="","",Offerte!$B22)</f>
        <v/>
      </c>
      <c r="C632" s="48">
        <f>IF(Offerte!$A22="","",Offerte!$C22)</f>
        <v/>
      </c>
      <c r="D632" s="48" t="inlineStr">
        <is>
          <t>C.1.1</t>
        </is>
      </c>
      <c r="E632" s="48" t="inlineStr">
        <is>
          <t>C</t>
        </is>
      </c>
      <c r="F632" s="48" t="inlineStr">
        <is>
          <t>Q</t>
        </is>
      </c>
      <c r="G632" s="48" t="inlineStr">
        <is>
          <t>higher</t>
        </is>
      </c>
      <c r="H632" s="48" t="n">
        <v>2</v>
      </c>
      <c r="I632" s="48" t="inlineStr">
        <is>
          <t>Tasso di copertura del servizio con telecamere BSD</t>
        </is>
      </c>
      <c r="J632" s="73" t="n"/>
      <c r="K632" s="73" t="n"/>
      <c r="L632" s="73" t="n"/>
      <c r="M632" s="73" t="n"/>
      <c r="N632" s="57">
        <f>IF($A632="","",IFERROR(VALUE($K632)/VALUE($L632),IFERROR(VALUE($J632),0)))</f>
        <v/>
      </c>
      <c r="O632" s="57">
        <f>IF($A632="",0,IF(OR($S632&lt;&gt;1,COUNTA($J632:$M632)=0),0,IF(SUMPRODUCT(MAX(($C$5:$C$2484=$C632)*($D$5:$D$2484=$D632)*($S$5:$S$2484=1)*IFERROR($N$5:$N$2484*1,0)))&gt;0,ROUND($H632*($N632/SUMPRODUCT(MAX(($C$5:$C$2484=$C632)*($D$5:$D$2484=$D632)*($S$5:$S$2484=1)*IFERROR($N$5:$N$2484*1,0)))),4),0)))</f>
        <v/>
      </c>
      <c r="P632" s="48" t="inlineStr">
        <is>
          <t>Autobus attrezzati con telecamere BSD / Autobus totali in offerta, incluse scorte</t>
        </is>
      </c>
      <c r="Q632" s="57">
        <f>IF($A632="","",$A632&amp;"|"&amp;$C632)</f>
        <v/>
      </c>
      <c r="R632" s="57">
        <f>IF($A632="","",$A632&amp;"|"&amp;$C632&amp;"|"&amp;$D632)</f>
        <v/>
      </c>
      <c r="S632" s="57">
        <f>IF($A632="","",IFERROR(INDEX(Offerte!$D$2:$D$81,MATCH($Q632,Offerte!$L$2:$L$81,0)),0))</f>
        <v/>
      </c>
      <c r="T632" s="57">
        <f>IF($A632="","",IFERROR(INDEX(Offerte!$G$2:$G$81,MATCH($Q632,Offerte!$L$2:$L$81,0)),"NO"))</f>
        <v/>
      </c>
    </row>
    <row r="633">
      <c r="A633" s="48">
        <f>IF(Offerte!$A22="","",Offerte!$A22)</f>
        <v/>
      </c>
      <c r="B633" s="48">
        <f>IF(Offerte!$A22="","",Offerte!$B22)</f>
        <v/>
      </c>
      <c r="C633" s="48">
        <f>IF(Offerte!$A22="","",Offerte!$C22)</f>
        <v/>
      </c>
      <c r="D633" s="48" t="inlineStr">
        <is>
          <t>C.1.2</t>
        </is>
      </c>
      <c r="E633" s="48" t="inlineStr">
        <is>
          <t>C</t>
        </is>
      </c>
      <c r="F633" s="48" t="inlineStr">
        <is>
          <t>Q</t>
        </is>
      </c>
      <c r="G633" s="48" t="inlineStr">
        <is>
          <t>higher</t>
        </is>
      </c>
      <c r="H633" s="48" t="n">
        <v>2</v>
      </c>
      <c r="I633" s="48" t="inlineStr">
        <is>
          <t>Tasso di copertura del servizio con telecamere ADAS</t>
        </is>
      </c>
      <c r="J633" s="73" t="n"/>
      <c r="K633" s="73" t="n"/>
      <c r="L633" s="73" t="n"/>
      <c r="M633" s="73" t="n"/>
      <c r="N633" s="57">
        <f>IF($A633="","",IFERROR(VALUE($K633)/VALUE($L633),IFERROR(VALUE($J633),0)))</f>
        <v/>
      </c>
      <c r="O633" s="57">
        <f>IF($A633="",0,IF(OR($S633&lt;&gt;1,COUNTA($J633:$M633)=0),0,IF(SUMPRODUCT(MAX(($C$5:$C$2484=$C633)*($D$5:$D$2484=$D633)*($S$5:$S$2484=1)*IFERROR($N$5:$N$2484*1,0)))&gt;0,ROUND($H633*($N633/SUMPRODUCT(MAX(($C$5:$C$2484=$C633)*($D$5:$D$2484=$D633)*($S$5:$S$2484=1)*IFERROR($N$5:$N$2484*1,0)))),4),0)))</f>
        <v/>
      </c>
      <c r="P633" s="48" t="inlineStr">
        <is>
          <t>Autobus attrezzati con telecamere ADAS / Autobus totali in offerta, incluse scorte</t>
        </is>
      </c>
      <c r="Q633" s="57">
        <f>IF($A633="","",$A633&amp;"|"&amp;$C633)</f>
        <v/>
      </c>
      <c r="R633" s="57">
        <f>IF($A633="","",$A633&amp;"|"&amp;$C633&amp;"|"&amp;$D633)</f>
        <v/>
      </c>
      <c r="S633" s="57">
        <f>IF($A633="","",IFERROR(INDEX(Offerte!$D$2:$D$81,MATCH($Q633,Offerte!$L$2:$L$81,0)),0))</f>
        <v/>
      </c>
      <c r="T633" s="57">
        <f>IF($A633="","",IFERROR(INDEX(Offerte!$G$2:$G$81,MATCH($Q633,Offerte!$L$2:$L$81,0)),"NO"))</f>
        <v/>
      </c>
    </row>
    <row r="634">
      <c r="A634" s="48">
        <f>IF(Offerte!$A22="","",Offerte!$A22)</f>
        <v/>
      </c>
      <c r="B634" s="48">
        <f>IF(Offerte!$A22="","",Offerte!$B22)</f>
        <v/>
      </c>
      <c r="C634" s="48">
        <f>IF(Offerte!$A22="","",Offerte!$C22)</f>
        <v/>
      </c>
      <c r="D634" s="48" t="inlineStr">
        <is>
          <t>C.2.1</t>
        </is>
      </c>
      <c r="E634" s="48" t="inlineStr">
        <is>
          <t>C</t>
        </is>
      </c>
      <c r="F634" s="48" t="inlineStr">
        <is>
          <t>Q</t>
        </is>
      </c>
      <c r="G634" s="48" t="inlineStr">
        <is>
          <t>higher</t>
        </is>
      </c>
      <c r="H634" s="48" t="n">
        <v>3</v>
      </c>
      <c r="I634" s="48" t="inlineStr">
        <is>
          <t>Tasso di copertura del servizio con telecamere di bordo di videosorveglianza</t>
        </is>
      </c>
      <c r="J634" s="73" t="n"/>
      <c r="K634" s="73" t="n"/>
      <c r="L634" s="73" t="n"/>
      <c r="M634" s="73" t="n"/>
      <c r="N634" s="57">
        <f>IF($A634="","",IFERROR(VALUE($K634)/VALUE($L634),IFERROR(VALUE($J634),0)))</f>
        <v/>
      </c>
      <c r="O634" s="57">
        <f>IF($A634="",0,IF(OR($S634&lt;&gt;1,COUNTA($J634:$M634)=0),0,IF(SUMPRODUCT(MAX(($C$5:$C$2484=$C634)*($D$5:$D$2484=$D634)*($S$5:$S$2484=1)*IFERROR($N$5:$N$2484*1,0)))&gt;0,ROUND($H634*($N634/SUMPRODUCT(MAX(($C$5:$C$2484=$C634)*($D$5:$D$2484=$D634)*($S$5:$S$2484=1)*IFERROR($N$5:$N$2484*1,0)))),4),0)))</f>
        <v/>
      </c>
      <c r="P634" s="48" t="inlineStr">
        <is>
          <t>Autobus attrezzati con videosorveglianza / Autobus totali in offerta, incluse scorte</t>
        </is>
      </c>
      <c r="Q634" s="57">
        <f>IF($A634="","",$A634&amp;"|"&amp;$C634)</f>
        <v/>
      </c>
      <c r="R634" s="57">
        <f>IF($A634="","",$A634&amp;"|"&amp;$C634&amp;"|"&amp;$D634)</f>
        <v/>
      </c>
      <c r="S634" s="57">
        <f>IF($A634="","",IFERROR(INDEX(Offerte!$D$2:$D$81,MATCH($Q634,Offerte!$L$2:$L$81,0)),0))</f>
        <v/>
      </c>
      <c r="T634" s="57">
        <f>IF($A634="","",IFERROR(INDEX(Offerte!$G$2:$G$81,MATCH($Q634,Offerte!$L$2:$L$81,0)),"NO"))</f>
        <v/>
      </c>
    </row>
    <row r="635">
      <c r="A635" s="48">
        <f>IF(Offerte!$A22="","",Offerte!$A22)</f>
        <v/>
      </c>
      <c r="B635" s="48">
        <f>IF(Offerte!$A22="","",Offerte!$B22)</f>
        <v/>
      </c>
      <c r="C635" s="48">
        <f>IF(Offerte!$A22="","",Offerte!$C22)</f>
        <v/>
      </c>
      <c r="D635" s="48" t="inlineStr">
        <is>
          <t>C.2.2</t>
        </is>
      </c>
      <c r="E635" s="48" t="inlineStr">
        <is>
          <t>C</t>
        </is>
      </c>
      <c r="F635" s="48" t="inlineStr">
        <is>
          <t>T</t>
        </is>
      </c>
      <c r="G635" s="48" t="inlineStr">
        <is>
          <t>tabular</t>
        </is>
      </c>
      <c r="H635" s="48" t="n">
        <v>1</v>
      </c>
      <c r="I635" s="48" t="inlineStr">
        <is>
          <t>Software video/audio analisi per situazioni di pericolo</t>
        </is>
      </c>
      <c r="J635" s="73" t="n"/>
      <c r="K635" s="73" t="n"/>
      <c r="L635" s="73" t="n"/>
      <c r="M635" s="73" t="n"/>
      <c r="N635" s="57">
        <f>IF($A635="","",IF(IFERROR(VALUE($M635),0)=1,1,0))</f>
        <v/>
      </c>
      <c r="O635" s="57">
        <f>IF($A635="",0,IF(OR($S635&lt;&gt;1,COUNTA($J635:$M635)=0),0,IF($N635=1,$H635,0)))</f>
        <v/>
      </c>
      <c r="P635" s="48" t="inlineStr">
        <is>
          <t>sì/no</t>
        </is>
      </c>
      <c r="Q635" s="57">
        <f>IF($A635="","",$A635&amp;"|"&amp;$C635)</f>
        <v/>
      </c>
      <c r="R635" s="57">
        <f>IF($A635="","",$A635&amp;"|"&amp;$C635&amp;"|"&amp;$D635)</f>
        <v/>
      </c>
      <c r="S635" s="57">
        <f>IF($A635="","",IFERROR(INDEX(Offerte!$D$2:$D$81,MATCH($Q635,Offerte!$L$2:$L$81,0)),0))</f>
        <v/>
      </c>
      <c r="T635" s="57">
        <f>IF($A635="","",IFERROR(INDEX(Offerte!$G$2:$G$81,MATCH($Q635,Offerte!$L$2:$L$81,0)),"NO"))</f>
        <v/>
      </c>
    </row>
    <row r="636">
      <c r="A636" s="48">
        <f>IF(Offerte!$A22="","",Offerte!$A22)</f>
        <v/>
      </c>
      <c r="B636" s="48">
        <f>IF(Offerte!$A22="","",Offerte!$B22)</f>
        <v/>
      </c>
      <c r="C636" s="48">
        <f>IF(Offerte!$A22="","",Offerte!$C22)</f>
        <v/>
      </c>
      <c r="D636" s="48" t="inlineStr">
        <is>
          <t>C.2.3</t>
        </is>
      </c>
      <c r="E636" s="48" t="inlineStr">
        <is>
          <t>C</t>
        </is>
      </c>
      <c r="F636" s="48" t="inlineStr">
        <is>
          <t>T</t>
        </is>
      </c>
      <c r="G636" s="48" t="inlineStr">
        <is>
          <t>tabular</t>
        </is>
      </c>
      <c r="H636" s="48" t="n">
        <v>1</v>
      </c>
      <c r="I636" s="48" t="inlineStr">
        <is>
          <t>Collegamento con centrale qualificata di pronto intervento</t>
        </is>
      </c>
      <c r="J636" s="73" t="n"/>
      <c r="K636" s="73" t="n"/>
      <c r="L636" s="73" t="n"/>
      <c r="M636" s="73" t="n"/>
      <c r="N636" s="57">
        <f>IF($A636="","",IF(IFERROR(VALUE($M636),0)=1,1,0))</f>
        <v/>
      </c>
      <c r="O636" s="57">
        <f>IF($A636="",0,IF(OR($S636&lt;&gt;1,COUNTA($J636:$M636)=0),0,IF($N636=1,$H636,0)))</f>
        <v/>
      </c>
      <c r="P636" s="48" t="inlineStr">
        <is>
          <t>sì/no</t>
        </is>
      </c>
      <c r="Q636" s="57">
        <f>IF($A636="","",$A636&amp;"|"&amp;$C636)</f>
        <v/>
      </c>
      <c r="R636" s="57">
        <f>IF($A636="","",$A636&amp;"|"&amp;$C636&amp;"|"&amp;$D636)</f>
        <v/>
      </c>
      <c r="S636" s="57">
        <f>IF($A636="","",IFERROR(INDEX(Offerte!$D$2:$D$81,MATCH($Q636,Offerte!$L$2:$L$81,0)),0))</f>
        <v/>
      </c>
      <c r="T636" s="57">
        <f>IF($A636="","",IFERROR(INDEX(Offerte!$G$2:$G$81,MATCH($Q636,Offerte!$L$2:$L$81,0)),"NO"))</f>
        <v/>
      </c>
    </row>
    <row r="637">
      <c r="A637" s="48">
        <f>IF(Offerte!$A22="","",Offerte!$A22)</f>
        <v/>
      </c>
      <c r="B637" s="48">
        <f>IF(Offerte!$A22="","",Offerte!$B22)</f>
        <v/>
      </c>
      <c r="C637" s="48">
        <f>IF(Offerte!$A22="","",Offerte!$C22)</f>
        <v/>
      </c>
      <c r="D637" s="48" t="inlineStr">
        <is>
          <t>C.2.4</t>
        </is>
      </c>
      <c r="E637" s="48" t="inlineStr">
        <is>
          <t>C</t>
        </is>
      </c>
      <c r="F637" s="48" t="inlineStr">
        <is>
          <t>Q</t>
        </is>
      </c>
      <c r="G637" s="48" t="inlineStr">
        <is>
          <t>higher</t>
        </is>
      </c>
      <c r="H637" s="48" t="n">
        <v>1</v>
      </c>
      <c r="I637" s="48" t="inlineStr">
        <is>
          <t>Tasso di copertura del servizio con dispositivi per la chiamata di emergenza del conducente</t>
        </is>
      </c>
      <c r="J637" s="73" t="n"/>
      <c r="K637" s="73" t="n"/>
      <c r="L637" s="73" t="n"/>
      <c r="M637" s="73" t="n"/>
      <c r="N637" s="57">
        <f>IF($A637="","",IFERROR(VALUE($K637)/VALUE($L637),IFERROR(VALUE($J637),0)))</f>
        <v/>
      </c>
      <c r="O637" s="57">
        <f>IF($A637="",0,IF(OR($S637&lt;&gt;1,COUNTA($J637:$M637)=0),0,IF(SUMPRODUCT(MAX(($C$5:$C$2484=$C637)*($D$5:$D$2484=$D637)*($S$5:$S$2484=1)*IFERROR($N$5:$N$2484*1,0)))&gt;0,ROUND($H637*($N637/SUMPRODUCT(MAX(($C$5:$C$2484=$C637)*($D$5:$D$2484=$D637)*($S$5:$S$2484=1)*IFERROR($N$5:$N$2484*1,0)))),4),0)))</f>
        <v/>
      </c>
      <c r="P637" s="48" t="inlineStr">
        <is>
          <t>Autobus attrezzati con chiamata di emergenza / Autobus totali in offerta, incluse scorte</t>
        </is>
      </c>
      <c r="Q637" s="57">
        <f>IF($A637="","",$A637&amp;"|"&amp;$C637)</f>
        <v/>
      </c>
      <c r="R637" s="57">
        <f>IF($A637="","",$A637&amp;"|"&amp;$C637&amp;"|"&amp;$D637)</f>
        <v/>
      </c>
      <c r="S637" s="57">
        <f>IF($A637="","",IFERROR(INDEX(Offerte!$D$2:$D$81,MATCH($Q637,Offerte!$L$2:$L$81,0)),0))</f>
        <v/>
      </c>
      <c r="T637" s="57">
        <f>IF($A637="","",IFERROR(INDEX(Offerte!$G$2:$G$81,MATCH($Q637,Offerte!$L$2:$L$81,0)),"NO"))</f>
        <v/>
      </c>
    </row>
    <row r="638">
      <c r="A638" s="48">
        <f>IF(Offerte!$A22="","",Offerte!$A22)</f>
        <v/>
      </c>
      <c r="B638" s="48">
        <f>IF(Offerte!$A22="","",Offerte!$B22)</f>
        <v/>
      </c>
      <c r="C638" s="48">
        <f>IF(Offerte!$A22="","",Offerte!$C22)</f>
        <v/>
      </c>
      <c r="D638" s="48" t="inlineStr">
        <is>
          <t>C.3.1</t>
        </is>
      </c>
      <c r="E638" s="48" t="inlineStr">
        <is>
          <t>C</t>
        </is>
      </c>
      <c r="F638" s="48" t="inlineStr">
        <is>
          <t>Q</t>
        </is>
      </c>
      <c r="G638" s="48" t="inlineStr">
        <is>
          <t>higher</t>
        </is>
      </c>
      <c r="H638" s="48" t="n">
        <v>2</v>
      </c>
      <c r="I638" s="48" t="inlineStr">
        <is>
          <t>Tasso di copertura del servizio con dispositivi di informazione dinamica a bordo mezzo</t>
        </is>
      </c>
      <c r="J638" s="73" t="n"/>
      <c r="K638" s="73" t="n"/>
      <c r="L638" s="73" t="n"/>
      <c r="M638" s="73" t="n"/>
      <c r="N638" s="57">
        <f>IF($A638="","",IFERROR(VALUE($K638)/VALUE($L638),IFERROR(VALUE($J638),0)))</f>
        <v/>
      </c>
      <c r="O638" s="57">
        <f>IF($A638="",0,IF(OR($S638&lt;&gt;1,COUNTA($J638:$M638)=0),0,IF(SUMPRODUCT(MAX(($C$5:$C$2484=$C638)*($D$5:$D$2484=$D638)*($S$5:$S$2484=1)*IFERROR($N$5:$N$2484*1,0)))&gt;0,ROUND($H638*($N638/SUMPRODUCT(MAX(($C$5:$C$2484=$C638)*($D$5:$D$2484=$D638)*($S$5:$S$2484=1)*IFERROR($N$5:$N$2484*1,0)))),4),0)))</f>
        <v/>
      </c>
      <c r="P638" s="48" t="inlineStr">
        <is>
          <t>Autobus con monitor e indicatori vocali / Autobus totali in offerta, incluse scorte</t>
        </is>
      </c>
      <c r="Q638" s="57">
        <f>IF($A638="","",$A638&amp;"|"&amp;$C638)</f>
        <v/>
      </c>
      <c r="R638" s="57">
        <f>IF($A638="","",$A638&amp;"|"&amp;$C638&amp;"|"&amp;$D638)</f>
        <v/>
      </c>
      <c r="S638" s="57">
        <f>IF($A638="","",IFERROR(INDEX(Offerte!$D$2:$D$81,MATCH($Q638,Offerte!$L$2:$L$81,0)),0))</f>
        <v/>
      </c>
      <c r="T638" s="57">
        <f>IF($A638="","",IFERROR(INDEX(Offerte!$G$2:$G$81,MATCH($Q638,Offerte!$L$2:$L$81,0)),"NO"))</f>
        <v/>
      </c>
    </row>
    <row r="639">
      <c r="A639" s="48">
        <f>IF(Offerte!$A22="","",Offerte!$A22)</f>
        <v/>
      </c>
      <c r="B639" s="48">
        <f>IF(Offerte!$A22="","",Offerte!$B22)</f>
        <v/>
      </c>
      <c r="C639" s="48">
        <f>IF(Offerte!$A22="","",Offerte!$C22)</f>
        <v/>
      </c>
      <c r="D639" s="48" t="inlineStr">
        <is>
          <t>C.3.2</t>
        </is>
      </c>
      <c r="E639" s="48" t="inlineStr">
        <is>
          <t>C</t>
        </is>
      </c>
      <c r="F639" s="48" t="inlineStr">
        <is>
          <t>T</t>
        </is>
      </c>
      <c r="G639" s="48" t="inlineStr">
        <is>
          <t>tabular</t>
        </is>
      </c>
      <c r="H639" s="48" t="n">
        <v>2</v>
      </c>
      <c r="I639" s="48" t="inlineStr">
        <is>
          <t>Informazioni a bordo su coincidenze ai nodi</t>
        </is>
      </c>
      <c r="J639" s="73" t="n"/>
      <c r="K639" s="73" t="n"/>
      <c r="L639" s="73" t="n"/>
      <c r="M639" s="73" t="n"/>
      <c r="N639" s="57">
        <f>IF($A639="","",IF(IFERROR(VALUE($M639),0)=1,1,0))</f>
        <v/>
      </c>
      <c r="O639" s="57">
        <f>IF($A639="",0,IF(OR($S639&lt;&gt;1,COUNTA($J639:$M639)=0),0,IF(AND($N639=1,IFERROR(SUMIFS($N$5:$N$2484,$Q$5:$Q$2484,$Q639,$D$5:$D$2484,"C.3.1"),0)&gt;=0.5),$H639,0)))</f>
        <v/>
      </c>
      <c r="P639" s="48" t="inlineStr">
        <is>
          <t>Dipende da C.3.1 &gt;= 0.5</t>
        </is>
      </c>
      <c r="Q639" s="57">
        <f>IF($A639="","",$A639&amp;"|"&amp;$C639)</f>
        <v/>
      </c>
      <c r="R639" s="57">
        <f>IF($A639="","",$A639&amp;"|"&amp;$C639&amp;"|"&amp;$D639)</f>
        <v/>
      </c>
      <c r="S639" s="57">
        <f>IF($A639="","",IFERROR(INDEX(Offerte!$D$2:$D$81,MATCH($Q639,Offerte!$L$2:$L$81,0)),0))</f>
        <v/>
      </c>
      <c r="T639" s="57">
        <f>IF($A639="","",IFERROR(INDEX(Offerte!$G$2:$G$81,MATCH($Q639,Offerte!$L$2:$L$81,0)),"NO"))</f>
        <v/>
      </c>
    </row>
    <row r="640">
      <c r="A640" s="48">
        <f>IF(Offerte!$A22="","",Offerte!$A22)</f>
        <v/>
      </c>
      <c r="B640" s="48">
        <f>IF(Offerte!$A22="","",Offerte!$B22)</f>
        <v/>
      </c>
      <c r="C640" s="48">
        <f>IF(Offerte!$A22="","",Offerte!$C22)</f>
        <v/>
      </c>
      <c r="D640" s="48" t="inlineStr">
        <is>
          <t>D.1.1</t>
        </is>
      </c>
      <c r="E640" s="48" t="inlineStr">
        <is>
          <t>D</t>
        </is>
      </c>
      <c r="F640" s="48" t="inlineStr">
        <is>
          <t>Q</t>
        </is>
      </c>
      <c r="G640" s="48" t="inlineStr">
        <is>
          <t>higher</t>
        </is>
      </c>
      <c r="H640" s="48" t="n">
        <v>3</v>
      </c>
      <c r="I640" s="48" t="inlineStr">
        <is>
          <t>Installazione di pensiline</t>
        </is>
      </c>
      <c r="J640" s="73" t="n"/>
      <c r="K640" s="73" t="n"/>
      <c r="L640" s="73" t="n"/>
      <c r="M640" s="73" t="n"/>
      <c r="N640" s="57">
        <f>IF($A640="","",IFERROR(VALUE($J640),0))</f>
        <v/>
      </c>
      <c r="O640" s="57">
        <f>IF($A640="",0,IF(OR($S640&lt;&gt;1,COUNTA($J640:$M640)=0),0,IF(SUMPRODUCT(MAX(($C$5:$C$2484=$C640)*($D$5:$D$2484=$D640)*($S$5:$S$2484=1)*IFERROR($N$5:$N$2484*1,0)))&gt;0,ROUND($H640*($N640/SUMPRODUCT(MAX(($C$5:$C$2484=$C640)*($D$5:$D$2484=$D640)*($S$5:$S$2484=1)*IFERROR($N$5:$N$2484*1,0)))),4),0)))</f>
        <v/>
      </c>
      <c r="P640" s="48" t="inlineStr">
        <is>
          <t>fermate</t>
        </is>
      </c>
      <c r="Q640" s="57">
        <f>IF($A640="","",$A640&amp;"|"&amp;$C640)</f>
        <v/>
      </c>
      <c r="R640" s="57">
        <f>IF($A640="","",$A640&amp;"|"&amp;$C640&amp;"|"&amp;$D640)</f>
        <v/>
      </c>
      <c r="S640" s="57">
        <f>IF($A640="","",IFERROR(INDEX(Offerte!$D$2:$D$81,MATCH($Q640,Offerte!$L$2:$L$81,0)),0))</f>
        <v/>
      </c>
      <c r="T640" s="57">
        <f>IF($A640="","",IFERROR(INDEX(Offerte!$G$2:$G$81,MATCH($Q640,Offerte!$L$2:$L$81,0)),"NO"))</f>
        <v/>
      </c>
    </row>
    <row r="641">
      <c r="A641" s="48">
        <f>IF(Offerte!$A22="","",Offerte!$A22)</f>
        <v/>
      </c>
      <c r="B641" s="48">
        <f>IF(Offerte!$A22="","",Offerte!$B22)</f>
        <v/>
      </c>
      <c r="C641" s="48">
        <f>IF(Offerte!$A22="","",Offerte!$C22)</f>
        <v/>
      </c>
      <c r="D641" s="48" t="inlineStr">
        <is>
          <t>D.1.2</t>
        </is>
      </c>
      <c r="E641" s="48" t="inlineStr">
        <is>
          <t>D</t>
        </is>
      </c>
      <c r="F641" s="48" t="inlineStr">
        <is>
          <t>Q</t>
        </is>
      </c>
      <c r="G641" s="48" t="inlineStr">
        <is>
          <t>higher</t>
        </is>
      </c>
      <c r="H641" s="48" t="n">
        <v>3</v>
      </c>
      <c r="I641" s="48" t="inlineStr">
        <is>
          <t>Installazione di paline di fermata conformi alla DGR 581/2023</t>
        </is>
      </c>
      <c r="J641" s="73" t="n"/>
      <c r="K641" s="73" t="n"/>
      <c r="L641" s="73" t="n"/>
      <c r="M641" s="73" t="n"/>
      <c r="N641" s="57">
        <f>IF($A641="","",IFERROR(VALUE($J641),0))</f>
        <v/>
      </c>
      <c r="O641" s="57">
        <f>IF($A641="",0,IF(OR($S641&lt;&gt;1,COUNTA($J641:$M641)=0),0,IF(SUMPRODUCT(MAX(($C$5:$C$2484=$C641)*($D$5:$D$2484=$D641)*($S$5:$S$2484=1)*IFERROR($N$5:$N$2484*1,0)))&gt;0,ROUND($H641*($N641/SUMPRODUCT(MAX(($C$5:$C$2484=$C641)*($D$5:$D$2484=$D641)*($S$5:$S$2484=1)*IFERROR($N$5:$N$2484*1,0)))),4),0)))</f>
        <v/>
      </c>
      <c r="P641" s="48" t="inlineStr">
        <is>
          <t>fermate</t>
        </is>
      </c>
      <c r="Q641" s="57">
        <f>IF($A641="","",$A641&amp;"|"&amp;$C641)</f>
        <v/>
      </c>
      <c r="R641" s="57">
        <f>IF($A641="","",$A641&amp;"|"&amp;$C641&amp;"|"&amp;$D641)</f>
        <v/>
      </c>
      <c r="S641" s="57">
        <f>IF($A641="","",IFERROR(INDEX(Offerte!$D$2:$D$81,MATCH($Q641,Offerte!$L$2:$L$81,0)),0))</f>
        <v/>
      </c>
      <c r="T641" s="57">
        <f>IF($A641="","",IFERROR(INDEX(Offerte!$G$2:$G$81,MATCH($Q641,Offerte!$L$2:$L$81,0)),"NO"))</f>
        <v/>
      </c>
    </row>
    <row r="642">
      <c r="A642" s="48">
        <f>IF(Offerte!$A22="","",Offerte!$A22)</f>
        <v/>
      </c>
      <c r="B642" s="48">
        <f>IF(Offerte!$A22="","",Offerte!$B22)</f>
        <v/>
      </c>
      <c r="C642" s="48">
        <f>IF(Offerte!$A22="","",Offerte!$C22)</f>
        <v/>
      </c>
      <c r="D642" s="48" t="inlineStr">
        <is>
          <t>D.1.3</t>
        </is>
      </c>
      <c r="E642" s="48" t="inlineStr">
        <is>
          <t>D</t>
        </is>
      </c>
      <c r="F642" s="48" t="inlineStr">
        <is>
          <t>Q</t>
        </is>
      </c>
      <c r="G642" s="48" t="inlineStr">
        <is>
          <t>higher</t>
        </is>
      </c>
      <c r="H642" s="48" t="n">
        <v>2</v>
      </c>
      <c r="I642" s="48" t="inlineStr">
        <is>
          <t>Display informativi connessi alle fermate</t>
        </is>
      </c>
      <c r="J642" s="73" t="n"/>
      <c r="K642" s="73" t="n"/>
      <c r="L642" s="73" t="n"/>
      <c r="M642" s="73" t="n"/>
      <c r="N642" s="57">
        <f>IF($A642="","",IFERROR(VALUE($J642),0))</f>
        <v/>
      </c>
      <c r="O642" s="57">
        <f>IF($A642="",0,IF(OR($S642&lt;&gt;1,COUNTA($J642:$M642)=0),0,IF(SUMPRODUCT(MAX(($C$5:$C$2484=$C642)*($D$5:$D$2484=$D642)*($S$5:$S$2484=1)*IFERROR($N$5:$N$2484*1,0)))&gt;0,ROUND($H642*($N642/SUMPRODUCT(MAX(($C$5:$C$2484=$C642)*($D$5:$D$2484=$D642)*($S$5:$S$2484=1)*IFERROR($N$5:$N$2484*1,0)))),4),0)))</f>
        <v/>
      </c>
      <c r="P642" s="48" t="inlineStr">
        <is>
          <t>fermate</t>
        </is>
      </c>
      <c r="Q642" s="57">
        <f>IF($A642="","",$A642&amp;"|"&amp;$C642)</f>
        <v/>
      </c>
      <c r="R642" s="57">
        <f>IF($A642="","",$A642&amp;"|"&amp;$C642&amp;"|"&amp;$D642)</f>
        <v/>
      </c>
      <c r="S642" s="57">
        <f>IF($A642="","",IFERROR(INDEX(Offerte!$D$2:$D$81,MATCH($Q642,Offerte!$L$2:$L$81,0)),0))</f>
        <v/>
      </c>
      <c r="T642" s="57">
        <f>IF($A642="","",IFERROR(INDEX(Offerte!$G$2:$G$81,MATCH($Q642,Offerte!$L$2:$L$81,0)),"NO"))</f>
        <v/>
      </c>
    </row>
    <row r="643">
      <c r="A643" s="48">
        <f>IF(Offerte!$A22="","",Offerte!$A22)</f>
        <v/>
      </c>
      <c r="B643" s="48">
        <f>IF(Offerte!$A22="","",Offerte!$B22)</f>
        <v/>
      </c>
      <c r="C643" s="48">
        <f>IF(Offerte!$A22="","",Offerte!$C22)</f>
        <v/>
      </c>
      <c r="D643" s="48" t="inlineStr">
        <is>
          <t>D.2.1</t>
        </is>
      </c>
      <c r="E643" s="48" t="inlineStr">
        <is>
          <t>D</t>
        </is>
      </c>
      <c r="F643" s="48" t="inlineStr">
        <is>
          <t>Q</t>
        </is>
      </c>
      <c r="G643" s="48" t="inlineStr">
        <is>
          <t>higher</t>
        </is>
      </c>
      <c r="H643" s="48" t="n">
        <v>2</v>
      </c>
      <c r="I643" s="48" t="inlineStr">
        <is>
          <t>Segnali tattili Loges-Vet-Evolution</t>
        </is>
      </c>
      <c r="J643" s="73" t="n"/>
      <c r="K643" s="73" t="n"/>
      <c r="L643" s="73" t="n"/>
      <c r="M643" s="73" t="n"/>
      <c r="N643" s="57">
        <f>IF($A643="","",IFERROR(VALUE($J643),0))</f>
        <v/>
      </c>
      <c r="O643" s="57">
        <f>IF($A643="",0,IF(OR($S643&lt;&gt;1,COUNTA($J643:$M643)=0),0,IF(SUMPRODUCT(MAX(($C$5:$C$2484=$C643)*($D$5:$D$2484=$D643)*($S$5:$S$2484=1)*IFERROR($N$5:$N$2484*1,0)))&gt;0,ROUND($H643*($N643/SUMPRODUCT(MAX(($C$5:$C$2484=$C643)*($D$5:$D$2484=$D643)*($S$5:$S$2484=1)*IFERROR($N$5:$N$2484*1,0)))),4),0)))</f>
        <v/>
      </c>
      <c r="P643" s="48" t="inlineStr">
        <is>
          <t>fermate</t>
        </is>
      </c>
      <c r="Q643" s="57">
        <f>IF($A643="","",$A643&amp;"|"&amp;$C643)</f>
        <v/>
      </c>
      <c r="R643" s="57">
        <f>IF($A643="","",$A643&amp;"|"&amp;$C643&amp;"|"&amp;$D643)</f>
        <v/>
      </c>
      <c r="S643" s="57">
        <f>IF($A643="","",IFERROR(INDEX(Offerte!$D$2:$D$81,MATCH($Q643,Offerte!$L$2:$L$81,0)),0))</f>
        <v/>
      </c>
      <c r="T643" s="57">
        <f>IF($A643="","",IFERROR(INDEX(Offerte!$G$2:$G$81,MATCH($Q643,Offerte!$L$2:$L$81,0)),"NO"))</f>
        <v/>
      </c>
    </row>
    <row r="644">
      <c r="A644" s="48">
        <f>IF(Offerte!$A22="","",Offerte!$A22)</f>
        <v/>
      </c>
      <c r="B644" s="48">
        <f>IF(Offerte!$A22="","",Offerte!$B22)</f>
        <v/>
      </c>
      <c r="C644" s="48">
        <f>IF(Offerte!$A22="","",Offerte!$C22)</f>
        <v/>
      </c>
      <c r="D644" s="48" t="inlineStr">
        <is>
          <t>E.1.1</t>
        </is>
      </c>
      <c r="E644" s="48" t="inlineStr">
        <is>
          <t>E</t>
        </is>
      </c>
      <c r="F644" s="48" t="inlineStr">
        <is>
          <t>T</t>
        </is>
      </c>
      <c r="G644" s="48" t="inlineStr">
        <is>
          <t>tabular</t>
        </is>
      </c>
      <c r="H644" s="48" t="n">
        <v>2</v>
      </c>
      <c r="I644" s="48" t="inlineStr">
        <is>
          <t>Mobile app con travel planner PRM</t>
        </is>
      </c>
      <c r="J644" s="73" t="n"/>
      <c r="K644" s="73" t="n"/>
      <c r="L644" s="73" t="n"/>
      <c r="M644" s="73" t="n"/>
      <c r="N644" s="57">
        <f>IF($A644="","",IF(IFERROR(VALUE($M644),0)=1,1,0))</f>
        <v/>
      </c>
      <c r="O644" s="57">
        <f>IF($A644="",0,IF(OR($S644&lt;&gt;1,COUNTA($J644:$M644)=0),0,IF($N644=1,$H644,0)))</f>
        <v/>
      </c>
      <c r="P644" s="48" t="inlineStr">
        <is>
          <t>sì/no</t>
        </is>
      </c>
      <c r="Q644" s="57">
        <f>IF($A644="","",$A644&amp;"|"&amp;$C644)</f>
        <v/>
      </c>
      <c r="R644" s="57">
        <f>IF($A644="","",$A644&amp;"|"&amp;$C644&amp;"|"&amp;$D644)</f>
        <v/>
      </c>
      <c r="S644" s="57">
        <f>IF($A644="","",IFERROR(INDEX(Offerte!$D$2:$D$81,MATCH($Q644,Offerte!$L$2:$L$81,0)),0))</f>
        <v/>
      </c>
      <c r="T644" s="57">
        <f>IF($A644="","",IFERROR(INDEX(Offerte!$G$2:$G$81,MATCH($Q644,Offerte!$L$2:$L$81,0)),"NO"))</f>
        <v/>
      </c>
    </row>
    <row r="645">
      <c r="A645" s="48">
        <f>IF(Offerte!$A22="","",Offerte!$A22)</f>
        <v/>
      </c>
      <c r="B645" s="48">
        <f>IF(Offerte!$A22="","",Offerte!$B22)</f>
        <v/>
      </c>
      <c r="C645" s="48">
        <f>IF(Offerte!$A22="","",Offerte!$C22)</f>
        <v/>
      </c>
      <c r="D645" s="48" t="inlineStr">
        <is>
          <t>E.2.1</t>
        </is>
      </c>
      <c r="E645" s="48" t="inlineStr">
        <is>
          <t>E</t>
        </is>
      </c>
      <c r="F645" s="48" t="inlineStr">
        <is>
          <t>D</t>
        </is>
      </c>
      <c r="G645" s="48" t="inlineStr">
        <is>
          <t>discretionary</t>
        </is>
      </c>
      <c r="H645" s="48" t="n">
        <v>2</v>
      </c>
      <c r="I645" s="48" t="inlineStr">
        <is>
          <t>Altre azioni informative e rapporti con gli utenti</t>
        </is>
      </c>
      <c r="J645" s="73" t="n"/>
      <c r="K645" s="73" t="n"/>
      <c r="L645" s="73" t="n"/>
      <c r="M645" s="73" t="n"/>
      <c r="N645" s="57">
        <f>IF($A645="","",MAX(0,MIN(1,IFERROR(VALUE($M645),0))))</f>
        <v/>
      </c>
      <c r="O645" s="57">
        <f>IF($A645="",0,IF(OR($S645&lt;&gt;1,COUNTA($J645:$M645)=0),0,IF(SUMPRODUCT(MAX(($C$5:$C$2484=$C645)*($D$5:$D$2484=$D645)*($S$5:$S$2484=1)*IFERROR($N$5:$N$2484*1,0)))&gt;0,ROUND($H645*($N645/SUMPRODUCT(MAX(($C$5:$C$2484=$C645)*($D$5:$D$2484=$D645)*($S$5:$S$2484=1)*IFERROR($N$5:$N$2484*1,0)))),4),0)))</f>
        <v/>
      </c>
      <c r="P645" s="48" t="inlineStr">
        <is>
          <t>coeff.</t>
        </is>
      </c>
      <c r="Q645" s="57">
        <f>IF($A645="","",$A645&amp;"|"&amp;$C645)</f>
        <v/>
      </c>
      <c r="R645" s="57">
        <f>IF($A645="","",$A645&amp;"|"&amp;$C645&amp;"|"&amp;$D645)</f>
        <v/>
      </c>
      <c r="S645" s="57">
        <f>IF($A645="","",IFERROR(INDEX(Offerte!$D$2:$D$81,MATCH($Q645,Offerte!$L$2:$L$81,0)),0))</f>
        <v/>
      </c>
      <c r="T645" s="57">
        <f>IF($A645="","",IFERROR(INDEX(Offerte!$G$2:$G$81,MATCH($Q645,Offerte!$L$2:$L$81,0)),"NO"))</f>
        <v/>
      </c>
    </row>
    <row r="646">
      <c r="A646" s="48">
        <f>IF(Offerte!$A22="","",Offerte!$A22)</f>
        <v/>
      </c>
      <c r="B646" s="48">
        <f>IF(Offerte!$A22="","",Offerte!$B22)</f>
        <v/>
      </c>
      <c r="C646" s="48">
        <f>IF(Offerte!$A22="","",Offerte!$C22)</f>
        <v/>
      </c>
      <c r="D646" s="48" t="inlineStr">
        <is>
          <t>F.1.1</t>
        </is>
      </c>
      <c r="E646" s="48" t="inlineStr">
        <is>
          <t>F</t>
        </is>
      </c>
      <c r="F646" s="48" t="inlineStr">
        <is>
          <t>Q</t>
        </is>
      </c>
      <c r="G646" s="48" t="inlineStr">
        <is>
          <t>lower</t>
        </is>
      </c>
      <c r="H646" s="48" t="n">
        <v>7</v>
      </c>
      <c r="I646" s="48" t="inlineStr">
        <is>
          <t>Performance ambientali del parco mezzi adibito al servizio - I_CEA</t>
        </is>
      </c>
      <c r="J646" s="73" t="n"/>
      <c r="K646" s="73" t="n"/>
      <c r="L646" s="73" t="n"/>
      <c r="M646" s="73" t="n"/>
      <c r="N646" s="57">
        <f>IF($A646="","",IFERROR(VALUE($J646),0))</f>
        <v/>
      </c>
      <c r="O646" s="57">
        <f>IF($A646="",0,IF(OR($S646&lt;&gt;1,COUNTA($J646:$M646)=0),0,IF(AND(IFERROR(AGGREGATE(15,6,$N$5:$N$2484/(($C$5:$C$2484=$C646)*($D$5:$D$2484=$D646)*($S$5:$S$2484=1)*($N$5:$N$2484&gt;0)),1),0)&gt;0,$N646&gt;0),ROUND($H646*(IFERROR(AGGREGATE(15,6,$N$5:$N$2484/(($C$5:$C$2484=$C646)*($D$5:$D$2484=$D646)*($S$5:$S$2484=1)*($N$5:$N$2484&gt;0)),1),0)/$N646),4),0)))</f>
        <v/>
      </c>
      <c r="P646" s="48" t="inlineStr">
        <is>
          <t>indice</t>
        </is>
      </c>
      <c r="Q646" s="57">
        <f>IF($A646="","",$A646&amp;"|"&amp;$C646)</f>
        <v/>
      </c>
      <c r="R646" s="57">
        <f>IF($A646="","",$A646&amp;"|"&amp;$C646&amp;"|"&amp;$D646)</f>
        <v/>
      </c>
      <c r="S646" s="57">
        <f>IF($A646="","",IFERROR(INDEX(Offerte!$D$2:$D$81,MATCH($Q646,Offerte!$L$2:$L$81,0)),0))</f>
        <v/>
      </c>
      <c r="T646" s="57">
        <f>IF($A646="","",IFERROR(INDEX(Offerte!$G$2:$G$81,MATCH($Q646,Offerte!$L$2:$L$81,0)),"NO"))</f>
        <v/>
      </c>
    </row>
    <row r="647">
      <c r="A647" s="48">
        <f>IF(Offerte!$A22="","",Offerte!$A22)</f>
        <v/>
      </c>
      <c r="B647" s="48">
        <f>IF(Offerte!$A22="","",Offerte!$B22)</f>
        <v/>
      </c>
      <c r="C647" s="48">
        <f>IF(Offerte!$A22="","",Offerte!$C22)</f>
        <v/>
      </c>
      <c r="D647" s="48" t="inlineStr">
        <is>
          <t>F.2.1</t>
        </is>
      </c>
      <c r="E647" s="48" t="inlineStr">
        <is>
          <t>F</t>
        </is>
      </c>
      <c r="F647" s="48" t="inlineStr">
        <is>
          <t>Q</t>
        </is>
      </c>
      <c r="G647" s="48" t="inlineStr">
        <is>
          <t>higher</t>
        </is>
      </c>
      <c r="H647" s="48" t="n">
        <v>2</v>
      </c>
      <c r="I647" s="48" t="inlineStr">
        <is>
          <t>Tasso di copertura del servizio con dispositivi ECO-DRIVER</t>
        </is>
      </c>
      <c r="J647" s="73" t="n"/>
      <c r="K647" s="73" t="n"/>
      <c r="L647" s="73" t="n"/>
      <c r="M647" s="73" t="n"/>
      <c r="N647" s="57">
        <f>IF($A647="","",IFERROR(VALUE($K647)/VALUE($L647),IFERROR(VALUE($J647),0)))</f>
        <v/>
      </c>
      <c r="O647" s="57">
        <f>IF($A647="",0,IF(OR($S647&lt;&gt;1,COUNTA($J647:$M647)=0),0,IF(SUMPRODUCT(MAX(($C$5:$C$2484=$C647)*($D$5:$D$2484=$D647)*($S$5:$S$2484=1)*IFERROR($N$5:$N$2484*1,0)))&gt;0,ROUND($H647*($N647/SUMPRODUCT(MAX(($C$5:$C$2484=$C647)*($D$5:$D$2484=$D647)*($S$5:$S$2484=1)*IFERROR($N$5:$N$2484*1,0)))),4),0)))</f>
        <v/>
      </c>
      <c r="P647" s="48" t="inlineStr">
        <is>
          <t>Autobus attrezzati con dispositivi ECO-DRIVER / Autobus totali in offerta, incluse scorte</t>
        </is>
      </c>
      <c r="Q647" s="57">
        <f>IF($A647="","",$A647&amp;"|"&amp;$C647)</f>
        <v/>
      </c>
      <c r="R647" s="57">
        <f>IF($A647="","",$A647&amp;"|"&amp;$C647&amp;"|"&amp;$D647)</f>
        <v/>
      </c>
      <c r="S647" s="57">
        <f>IF($A647="","",IFERROR(INDEX(Offerte!$D$2:$D$81,MATCH($Q647,Offerte!$L$2:$L$81,0)),0))</f>
        <v/>
      </c>
      <c r="T647" s="57">
        <f>IF($A647="","",IFERROR(INDEX(Offerte!$G$2:$G$81,MATCH($Q647,Offerte!$L$2:$L$81,0)),"NO"))</f>
        <v/>
      </c>
    </row>
    <row r="648">
      <c r="A648" s="48">
        <f>IF(Offerte!$A22="","",Offerte!$A22)</f>
        <v/>
      </c>
      <c r="B648" s="48">
        <f>IF(Offerte!$A22="","",Offerte!$B22)</f>
        <v/>
      </c>
      <c r="C648" s="48">
        <f>IF(Offerte!$A22="","",Offerte!$C22)</f>
        <v/>
      </c>
      <c r="D648" s="48" t="inlineStr">
        <is>
          <t>F.3.1</t>
        </is>
      </c>
      <c r="E648" s="48" t="inlineStr">
        <is>
          <t>F</t>
        </is>
      </c>
      <c r="F648" s="48" t="inlineStr">
        <is>
          <t>Q</t>
        </is>
      </c>
      <c r="G648" s="48" t="inlineStr">
        <is>
          <t>higher</t>
        </is>
      </c>
      <c r="H648" s="48" t="n">
        <v>2</v>
      </c>
      <c r="I648" s="48" t="inlineStr">
        <is>
          <t>Autoproduzione consumi elettrici per trazione</t>
        </is>
      </c>
      <c r="J648" s="73" t="n"/>
      <c r="K648" s="73" t="n"/>
      <c r="L648" s="73" t="n"/>
      <c r="M648" s="73" t="n"/>
      <c r="N648" s="57">
        <f>IF($A648="","",IFERROR(VALUE($J648),0))</f>
        <v/>
      </c>
      <c r="O648" s="57">
        <f>IF($A648="",0,IF(OR($S648&lt;&gt;1,COUNTA($J648:$M648)=0),0,IF(SUMPRODUCT(MAX(($C$5:$C$2484=$C648)*($D$5:$D$2484=$D648)*($S$5:$S$2484=1)*IFERROR($N$5:$N$2484*1,0)))&gt;0,ROUND($H648*($N648/SUMPRODUCT(MAX(($C$5:$C$2484=$C648)*($D$5:$D$2484=$D648)*($S$5:$S$2484=1)*IFERROR($N$5:$N$2484*1,0)))),4),0)))</f>
        <v/>
      </c>
      <c r="P648" s="48" t="inlineStr">
        <is>
          <t>kWh/anno</t>
        </is>
      </c>
      <c r="Q648" s="57">
        <f>IF($A648="","",$A648&amp;"|"&amp;$C648)</f>
        <v/>
      </c>
      <c r="R648" s="57">
        <f>IF($A648="","",$A648&amp;"|"&amp;$C648&amp;"|"&amp;$D648)</f>
        <v/>
      </c>
      <c r="S648" s="57">
        <f>IF($A648="","",IFERROR(INDEX(Offerte!$D$2:$D$81,MATCH($Q648,Offerte!$L$2:$L$81,0)),0))</f>
        <v/>
      </c>
      <c r="T648" s="57">
        <f>IF($A648="","",IFERROR(INDEX(Offerte!$G$2:$G$81,MATCH($Q648,Offerte!$L$2:$L$81,0)),"NO"))</f>
        <v/>
      </c>
    </row>
    <row r="649">
      <c r="A649" s="48">
        <f>IF(Offerte!$A22="","",Offerte!$A22)</f>
        <v/>
      </c>
      <c r="B649" s="48">
        <f>IF(Offerte!$A22="","",Offerte!$B22)</f>
        <v/>
      </c>
      <c r="C649" s="48">
        <f>IF(Offerte!$A22="","",Offerte!$C22)</f>
        <v/>
      </c>
      <c r="D649" s="48" t="inlineStr">
        <is>
          <t>F.4.1</t>
        </is>
      </c>
      <c r="E649" s="48" t="inlineStr">
        <is>
          <t>F</t>
        </is>
      </c>
      <c r="F649" s="48" t="inlineStr">
        <is>
          <t>Q</t>
        </is>
      </c>
      <c r="G649" s="48" t="inlineStr">
        <is>
          <t>soil</t>
        </is>
      </c>
      <c r="H649" s="48" t="n">
        <v>2</v>
      </c>
      <c r="I649" s="48" t="inlineStr">
        <is>
          <t>Indice di consumo di suolo</t>
        </is>
      </c>
      <c r="J649" s="73" t="n"/>
      <c r="K649" s="73" t="n"/>
      <c r="L649" s="73" t="n"/>
      <c r="M649" s="73" t="n"/>
      <c r="N649" s="57">
        <f>IF($A649="","",IFERROR(VALUE($J649),0))</f>
        <v/>
      </c>
      <c r="O649" s="57">
        <f>IF($A649="",0,IF(OR($S649&lt;&gt;1,COUNTA($J649:$M649)=0),0,IF($N649&lt;=0,$H649,IF(SUMPRODUCT(MAX(($C$5:$C$2484=$C649)*($D$5:$D$2484=$D649)*($S$5:$S$2484=1)*IFERROR($N$5:$N$2484*1,0)))&gt;0,ROUND($H649*((SUMPRODUCT(MAX(($C$5:$C$2484=$C649)*($D$5:$D$2484=$D649)*($S$5:$S$2484=1)*IFERROR($N$5:$N$2484*1,0)))-$N649)/SUMPRODUCT(MAX(($C$5:$C$2484=$C649)*($D$5:$D$2484=$D649)*($S$5:$S$2484=1)*IFERROR($N$5:$N$2484*1,0)))),4),0))))</f>
        <v/>
      </c>
      <c r="P649" s="48" t="inlineStr">
        <is>
          <t>m2</t>
        </is>
      </c>
      <c r="Q649" s="57">
        <f>IF($A649="","",$A649&amp;"|"&amp;$C649)</f>
        <v/>
      </c>
      <c r="R649" s="57">
        <f>IF($A649="","",$A649&amp;"|"&amp;$C649&amp;"|"&amp;$D649)</f>
        <v/>
      </c>
      <c r="S649" s="57">
        <f>IF($A649="","",IFERROR(INDEX(Offerte!$D$2:$D$81,MATCH($Q649,Offerte!$L$2:$L$81,0)),0))</f>
        <v/>
      </c>
      <c r="T649" s="57">
        <f>IF($A649="","",IFERROR(INDEX(Offerte!$G$2:$G$81,MATCH($Q649,Offerte!$L$2:$L$81,0)),"NO"))</f>
        <v/>
      </c>
    </row>
    <row r="650">
      <c r="A650" s="48">
        <f>IF(Offerte!$A22="","",Offerte!$A22)</f>
        <v/>
      </c>
      <c r="B650" s="48">
        <f>IF(Offerte!$A22="","",Offerte!$B22)</f>
        <v/>
      </c>
      <c r="C650" s="48">
        <f>IF(Offerte!$A22="","",Offerte!$C22)</f>
        <v/>
      </c>
      <c r="D650" s="48" t="inlineStr">
        <is>
          <t>F.5.1</t>
        </is>
      </c>
      <c r="E650" s="48" t="inlineStr">
        <is>
          <t>F</t>
        </is>
      </c>
      <c r="F650" s="48" t="inlineStr">
        <is>
          <t>T</t>
        </is>
      </c>
      <c r="G650" s="48" t="inlineStr">
        <is>
          <t>tabular</t>
        </is>
      </c>
      <c r="H650" s="48" t="n">
        <v>1</v>
      </c>
      <c r="I650" s="48" t="inlineStr">
        <is>
          <t>Rendicontazione di sostenibilità ambientale</t>
        </is>
      </c>
      <c r="J650" s="73" t="n"/>
      <c r="K650" s="73" t="n"/>
      <c r="L650" s="73" t="n"/>
      <c r="M650" s="73" t="n"/>
      <c r="N650" s="57">
        <f>IF($A650="","",IF(IFERROR(VALUE($M650),0)=1,1,0))</f>
        <v/>
      </c>
      <c r="O650" s="57">
        <f>IF($A650="",0,IF(OR($S650&lt;&gt;1,COUNTA($J650:$M650)=0),0,IF($N650=1,$H650,0)))</f>
        <v/>
      </c>
      <c r="P650" s="48" t="inlineStr">
        <is>
          <t>sì/no</t>
        </is>
      </c>
      <c r="Q650" s="57">
        <f>IF($A650="","",$A650&amp;"|"&amp;$C650)</f>
        <v/>
      </c>
      <c r="R650" s="57">
        <f>IF($A650="","",$A650&amp;"|"&amp;$C650&amp;"|"&amp;$D650)</f>
        <v/>
      </c>
      <c r="S650" s="57">
        <f>IF($A650="","",IFERROR(INDEX(Offerte!$D$2:$D$81,MATCH($Q650,Offerte!$L$2:$L$81,0)),0))</f>
        <v/>
      </c>
      <c r="T650" s="57">
        <f>IF($A650="","",IFERROR(INDEX(Offerte!$G$2:$G$81,MATCH($Q650,Offerte!$L$2:$L$81,0)),"NO"))</f>
        <v/>
      </c>
    </row>
    <row r="651">
      <c r="A651" s="48">
        <f>IF(Offerte!$A22="","",Offerte!$A22)</f>
        <v/>
      </c>
      <c r="B651" s="48">
        <f>IF(Offerte!$A22="","",Offerte!$B22)</f>
        <v/>
      </c>
      <c r="C651" s="48">
        <f>IF(Offerte!$A22="","",Offerte!$C22)</f>
        <v/>
      </c>
      <c r="D651" s="48" t="inlineStr">
        <is>
          <t>G.1.1</t>
        </is>
      </c>
      <c r="E651" s="48" t="inlineStr">
        <is>
          <t>G</t>
        </is>
      </c>
      <c r="F651" s="48" t="inlineStr">
        <is>
          <t>D</t>
        </is>
      </c>
      <c r="G651" s="48" t="inlineStr">
        <is>
          <t>discretionary</t>
        </is>
      </c>
      <c r="H651" s="48" t="n">
        <v>2</v>
      </c>
      <c r="I651" s="48" t="inlineStr">
        <is>
          <t>Qualità del progetto di centrale di controllo aziendale</t>
        </is>
      </c>
      <c r="J651" s="73" t="n"/>
      <c r="K651" s="73" t="n"/>
      <c r="L651" s="73" t="n"/>
      <c r="M651" s="73" t="n"/>
      <c r="N651" s="57">
        <f>IF($A651="","",MAX(0,MIN(1,IFERROR(VALUE($M651),0))))</f>
        <v/>
      </c>
      <c r="O651" s="57">
        <f>IF($A651="",0,IF(OR($S651&lt;&gt;1,COUNTA($J651:$M651)=0),0,IF(SUMPRODUCT(MAX(($C$5:$C$2484=$C651)*($D$5:$D$2484=$D651)*($S$5:$S$2484=1)*IFERROR($N$5:$N$2484*1,0)))&gt;0,ROUND($H651*($N651/SUMPRODUCT(MAX(($C$5:$C$2484=$C651)*($D$5:$D$2484=$D651)*($S$5:$S$2484=1)*IFERROR($N$5:$N$2484*1,0)))),4),0)))</f>
        <v/>
      </c>
      <c r="P651" s="48" t="inlineStr">
        <is>
          <t>coeff.</t>
        </is>
      </c>
      <c r="Q651" s="57">
        <f>IF($A651="","",$A651&amp;"|"&amp;$C651)</f>
        <v/>
      </c>
      <c r="R651" s="57">
        <f>IF($A651="","",$A651&amp;"|"&amp;$C651&amp;"|"&amp;$D651)</f>
        <v/>
      </c>
      <c r="S651" s="57">
        <f>IF($A651="","",IFERROR(INDEX(Offerte!$D$2:$D$81,MATCH($Q651,Offerte!$L$2:$L$81,0)),0))</f>
        <v/>
      </c>
      <c r="T651" s="57">
        <f>IF($A651="","",IFERROR(INDEX(Offerte!$G$2:$G$81,MATCH($Q651,Offerte!$L$2:$L$81,0)),"NO"))</f>
        <v/>
      </c>
    </row>
    <row r="652">
      <c r="A652" s="48">
        <f>IF(Offerte!$A22="","",Offerte!$A22)</f>
        <v/>
      </c>
      <c r="B652" s="48">
        <f>IF(Offerte!$A22="","",Offerte!$B22)</f>
        <v/>
      </c>
      <c r="C652" s="48">
        <f>IF(Offerte!$A22="","",Offerte!$C22)</f>
        <v/>
      </c>
      <c r="D652" s="48" t="inlineStr">
        <is>
          <t>G.2.1</t>
        </is>
      </c>
      <c r="E652" s="48" t="inlineStr">
        <is>
          <t>G</t>
        </is>
      </c>
      <c r="F652" s="48" t="inlineStr">
        <is>
          <t>T</t>
        </is>
      </c>
      <c r="G652" s="48" t="inlineStr">
        <is>
          <t>tabular</t>
        </is>
      </c>
      <c r="H652" s="48" t="n">
        <v>1</v>
      </c>
      <c r="I652" s="48" t="inlineStr">
        <is>
          <t>Certificazione ISO 45001</t>
        </is>
      </c>
      <c r="J652" s="73" t="n"/>
      <c r="K652" s="73" t="n"/>
      <c r="L652" s="73" t="n"/>
      <c r="M652" s="73" t="n"/>
      <c r="N652" s="57">
        <f>IF($A652="","",IF(IFERROR(VALUE($M652),0)=1,1,0))</f>
        <v/>
      </c>
      <c r="O652" s="57">
        <f>IF($A652="",0,IF(OR($S652&lt;&gt;1,COUNTA($J652:$M652)=0),0,IF($N652=1,$H652,0)))</f>
        <v/>
      </c>
      <c r="P652" s="48" t="inlineStr">
        <is>
          <t>sì/no</t>
        </is>
      </c>
      <c r="Q652" s="57">
        <f>IF($A652="","",$A652&amp;"|"&amp;$C652)</f>
        <v/>
      </c>
      <c r="R652" s="57">
        <f>IF($A652="","",$A652&amp;"|"&amp;$C652&amp;"|"&amp;$D652)</f>
        <v/>
      </c>
      <c r="S652" s="57">
        <f>IF($A652="","",IFERROR(INDEX(Offerte!$D$2:$D$81,MATCH($Q652,Offerte!$L$2:$L$81,0)),0))</f>
        <v/>
      </c>
      <c r="T652" s="57">
        <f>IF($A652="","",IFERROR(INDEX(Offerte!$G$2:$G$81,MATCH($Q652,Offerte!$L$2:$L$81,0)),"NO"))</f>
        <v/>
      </c>
    </row>
    <row r="653">
      <c r="A653" s="48">
        <f>IF(Offerte!$A22="","",Offerte!$A22)</f>
        <v/>
      </c>
      <c r="B653" s="48">
        <f>IF(Offerte!$A22="","",Offerte!$B22)</f>
        <v/>
      </c>
      <c r="C653" s="48">
        <f>IF(Offerte!$A22="","",Offerte!$C22)</f>
        <v/>
      </c>
      <c r="D653" s="48" t="inlineStr">
        <is>
          <t>G.3.1</t>
        </is>
      </c>
      <c r="E653" s="48" t="inlineStr">
        <is>
          <t>G</t>
        </is>
      </c>
      <c r="F653" s="48" t="inlineStr">
        <is>
          <t>T</t>
        </is>
      </c>
      <c r="G653" s="48" t="inlineStr">
        <is>
          <t>tabular</t>
        </is>
      </c>
      <c r="H653" s="48" t="n">
        <v>1</v>
      </c>
      <c r="I653" s="48" t="inlineStr">
        <is>
          <t>Certificazioni di responsabilità sociale</t>
        </is>
      </c>
      <c r="J653" s="73" t="n"/>
      <c r="K653" s="73" t="n"/>
      <c r="L653" s="73" t="n"/>
      <c r="M653" s="73" t="n"/>
      <c r="N653" s="57">
        <f>IF($A653="","",IF(IFERROR(VALUE($M653),0)=1,1,0))</f>
        <v/>
      </c>
      <c r="O653" s="57">
        <f>IF($A653="",0,IF(OR($S653&lt;&gt;1,COUNTA($J653:$M653)=0),0,IF($N653=1,$H653,0)))</f>
        <v/>
      </c>
      <c r="P653" s="48" t="inlineStr">
        <is>
          <t>sì/no</t>
        </is>
      </c>
      <c r="Q653" s="57">
        <f>IF($A653="","",$A653&amp;"|"&amp;$C653)</f>
        <v/>
      </c>
      <c r="R653" s="57">
        <f>IF($A653="","",$A653&amp;"|"&amp;$C653&amp;"|"&amp;$D653)</f>
        <v/>
      </c>
      <c r="S653" s="57">
        <f>IF($A653="","",IFERROR(INDEX(Offerte!$D$2:$D$81,MATCH($Q653,Offerte!$L$2:$L$81,0)),0))</f>
        <v/>
      </c>
      <c r="T653" s="57">
        <f>IF($A653="","",IFERROR(INDEX(Offerte!$G$2:$G$81,MATCH($Q653,Offerte!$L$2:$L$81,0)),"NO"))</f>
        <v/>
      </c>
    </row>
    <row r="654">
      <c r="A654" s="48">
        <f>IF(Offerte!$A22="","",Offerte!$A22)</f>
        <v/>
      </c>
      <c r="B654" s="48">
        <f>IF(Offerte!$A22="","",Offerte!$B22)</f>
        <v/>
      </c>
      <c r="C654" s="48">
        <f>IF(Offerte!$A22="","",Offerte!$C22)</f>
        <v/>
      </c>
      <c r="D654" s="48" t="inlineStr">
        <is>
          <t>G.4.1</t>
        </is>
      </c>
      <c r="E654" s="48" t="inlineStr">
        <is>
          <t>G</t>
        </is>
      </c>
      <c r="F654" s="48" t="inlineStr">
        <is>
          <t>D</t>
        </is>
      </c>
      <c r="G654" s="48" t="inlineStr">
        <is>
          <t>discretionary</t>
        </is>
      </c>
      <c r="H654" s="48" t="n">
        <v>2</v>
      </c>
      <c r="I654" s="48" t="inlineStr">
        <is>
          <t>Qualità del piano di formazione del personale</t>
        </is>
      </c>
      <c r="J654" s="73" t="n"/>
      <c r="K654" s="73" t="n"/>
      <c r="L654" s="73" t="n"/>
      <c r="M654" s="73" t="n"/>
      <c r="N654" s="57">
        <f>IF($A654="","",MAX(0,MIN(1,IFERROR(VALUE($M654),0))))</f>
        <v/>
      </c>
      <c r="O654" s="57">
        <f>IF($A654="",0,IF(OR($S654&lt;&gt;1,COUNTA($J654:$M654)=0),0,IF(SUMPRODUCT(MAX(($C$5:$C$2484=$C654)*($D$5:$D$2484=$D654)*($S$5:$S$2484=1)*IFERROR($N$5:$N$2484*1,0)))&gt;0,ROUND($H654*($N654/SUMPRODUCT(MAX(($C$5:$C$2484=$C654)*($D$5:$D$2484=$D654)*($S$5:$S$2484=1)*IFERROR($N$5:$N$2484*1,0)))),4),0)))</f>
        <v/>
      </c>
      <c r="P654" s="48" t="inlineStr">
        <is>
          <t>coeff.</t>
        </is>
      </c>
      <c r="Q654" s="57">
        <f>IF($A654="","",$A654&amp;"|"&amp;$C654)</f>
        <v/>
      </c>
      <c r="R654" s="57">
        <f>IF($A654="","",$A654&amp;"|"&amp;$C654&amp;"|"&amp;$D654)</f>
        <v/>
      </c>
      <c r="S654" s="57">
        <f>IF($A654="","",IFERROR(INDEX(Offerte!$D$2:$D$81,MATCH($Q654,Offerte!$L$2:$L$81,0)),0))</f>
        <v/>
      </c>
      <c r="T654" s="57">
        <f>IF($A654="","",IFERROR(INDEX(Offerte!$G$2:$G$81,MATCH($Q654,Offerte!$L$2:$L$81,0)),"NO"))</f>
        <v/>
      </c>
    </row>
    <row r="655">
      <c r="A655" s="48">
        <f>IF(Offerte!$A22="","",Offerte!$A22)</f>
        <v/>
      </c>
      <c r="B655" s="48">
        <f>IF(Offerte!$A22="","",Offerte!$B22)</f>
        <v/>
      </c>
      <c r="C655" s="48">
        <f>IF(Offerte!$A22="","",Offerte!$C22)</f>
        <v/>
      </c>
      <c r="D655" s="48" t="inlineStr">
        <is>
          <t>G.5.1</t>
        </is>
      </c>
      <c r="E655" s="48" t="inlineStr">
        <is>
          <t>G</t>
        </is>
      </c>
      <c r="F655" s="48" t="inlineStr">
        <is>
          <t>T</t>
        </is>
      </c>
      <c r="G655" s="48" t="inlineStr">
        <is>
          <t>tabular</t>
        </is>
      </c>
      <c r="H655" s="48" t="n">
        <v>1</v>
      </c>
      <c r="I655" s="48" t="inlineStr">
        <is>
          <t>Impegno al mantenimento delle garanzie del contratto di secondo livello del gestore uscente</t>
        </is>
      </c>
      <c r="J655" s="73" t="n"/>
      <c r="K655" s="73" t="n"/>
      <c r="L655" s="73" t="n"/>
      <c r="M655" s="73" t="n"/>
      <c r="N655" s="57">
        <f>IF($A655="","",IF(IFERROR(VALUE($M655),0)=1,1,0))</f>
        <v/>
      </c>
      <c r="O655" s="57">
        <f>IF($A655="",0,IF(OR($S655&lt;&gt;1,COUNTA($J655:$M655)=0),0,IF($N655=1,$H655,0)))</f>
        <v/>
      </c>
      <c r="P655" s="48" t="inlineStr">
        <is>
          <t>sì/no</t>
        </is>
      </c>
      <c r="Q655" s="57">
        <f>IF($A655="","",$A655&amp;"|"&amp;$C655)</f>
        <v/>
      </c>
      <c r="R655" s="57">
        <f>IF($A655="","",$A655&amp;"|"&amp;$C655&amp;"|"&amp;$D655)</f>
        <v/>
      </c>
      <c r="S655" s="57">
        <f>IF($A655="","",IFERROR(INDEX(Offerte!$D$2:$D$81,MATCH($Q655,Offerte!$L$2:$L$81,0)),0))</f>
        <v/>
      </c>
      <c r="T655" s="57">
        <f>IF($A655="","",IFERROR(INDEX(Offerte!$G$2:$G$81,MATCH($Q655,Offerte!$L$2:$L$81,0)),"NO"))</f>
        <v/>
      </c>
    </row>
    <row r="656">
      <c r="A656" s="48">
        <f>IF(Offerte!$A23="","",Offerte!$A23)</f>
        <v/>
      </c>
      <c r="B656" s="48">
        <f>IF(Offerte!$A23="","",Offerte!$B23)</f>
        <v/>
      </c>
      <c r="C656" s="48">
        <f>IF(Offerte!$A23="","",Offerte!$C23)</f>
        <v/>
      </c>
      <c r="D656" s="48" t="inlineStr">
        <is>
          <t>A.1.1</t>
        </is>
      </c>
      <c r="E656" s="48" t="inlineStr">
        <is>
          <t>A</t>
        </is>
      </c>
      <c r="F656" s="48" t="inlineStr">
        <is>
          <t>Q</t>
        </is>
      </c>
      <c r="G656" s="48" t="inlineStr">
        <is>
          <t>higher</t>
        </is>
      </c>
      <c r="H656" s="48" t="n">
        <v>3</v>
      </c>
      <c r="I656" s="48" t="inlineStr">
        <is>
          <t>Tasso aggiuntivo di corse controllate</t>
        </is>
      </c>
      <c r="J656" s="73" t="n"/>
      <c r="K656" s="73" t="n"/>
      <c r="L656" s="73" t="n"/>
      <c r="M656" s="73" t="n"/>
      <c r="N656" s="57">
        <f>IF($A656="","",IFERROR(VALUE($K656)/VALUE($L656)*100,IFERROR(VALUE($J656),0)))</f>
        <v/>
      </c>
      <c r="O656" s="57">
        <f>IF($A656="",0,IF(OR($S656&lt;&gt;1,COUNTA($J656:$M656)=0),0,IF(SUMPRODUCT(MAX(($C$5:$C$2484=$C656)*($D$5:$D$2484=$D656)*($S$5:$S$2484=1)*IFERROR($N$5:$N$2484*1,0)))&gt;0,ROUND($H656*($N656/SUMPRODUCT(MAX(($C$5:$C$2484=$C656)*($D$5:$D$2484=$D656)*($S$5:$S$2484=1)*IFERROR($N$5:$N$2484*1,0)))),4),0)))</f>
        <v/>
      </c>
      <c r="P656" s="48" t="inlineStr">
        <is>
          <t>Corse controllate annue / Corse programmate annue</t>
        </is>
      </c>
      <c r="Q656" s="57">
        <f>IF($A656="","",$A656&amp;"|"&amp;$C656)</f>
        <v/>
      </c>
      <c r="R656" s="57">
        <f>IF($A656="","",$A656&amp;"|"&amp;$C656&amp;"|"&amp;$D656)</f>
        <v/>
      </c>
      <c r="S656" s="57">
        <f>IF($A656="","",IFERROR(INDEX(Offerte!$D$2:$D$81,MATCH($Q656,Offerte!$L$2:$L$81,0)),0))</f>
        <v/>
      </c>
      <c r="T656" s="57">
        <f>IF($A656="","",IFERROR(INDEX(Offerte!$G$2:$G$81,MATCH($Q656,Offerte!$L$2:$L$81,0)),"NO"))</f>
        <v/>
      </c>
    </row>
    <row r="657">
      <c r="A657" s="48">
        <f>IF(Offerte!$A23="","",Offerte!$A23)</f>
        <v/>
      </c>
      <c r="B657" s="48">
        <f>IF(Offerte!$A23="","",Offerte!$B23)</f>
        <v/>
      </c>
      <c r="C657" s="48">
        <f>IF(Offerte!$A23="","",Offerte!$C23)</f>
        <v/>
      </c>
      <c r="D657" s="48" t="inlineStr">
        <is>
          <t>A.1.2</t>
        </is>
      </c>
      <c r="E657" s="48" t="inlineStr">
        <is>
          <t>A</t>
        </is>
      </c>
      <c r="F657" s="48" t="inlineStr">
        <is>
          <t>Q</t>
        </is>
      </c>
      <c r="G657" s="48" t="inlineStr">
        <is>
          <t>higher</t>
        </is>
      </c>
      <c r="H657" s="48" t="n">
        <v>4</v>
      </c>
      <c r="I657" s="48" t="inlineStr">
        <is>
          <t>Numero aggiuntivo di passeggeri controllati</t>
        </is>
      </c>
      <c r="J657" s="73" t="n"/>
      <c r="K657" s="73" t="n"/>
      <c r="L657" s="73" t="n"/>
      <c r="M657" s="73" t="n"/>
      <c r="N657" s="57">
        <f>IF($A657="","",IFERROR(VALUE($J657),0))</f>
        <v/>
      </c>
      <c r="O657" s="57">
        <f>IF($A657="",0,IF(OR($S657&lt;&gt;1,COUNTA($J657:$M657)=0),0,IF(SUMPRODUCT(MAX(($C$5:$C$2484=$C657)*($D$5:$D$2484=$D657)*($S$5:$S$2484=1)*IFERROR($N$5:$N$2484*1,0)))&gt;0,ROUND($H657*($N657/SUMPRODUCT(MAX(($C$5:$C$2484=$C657)*($D$5:$D$2484=$D657)*($S$5:$S$2484=1)*IFERROR($N$5:$N$2484*1,0)))),4),0)))</f>
        <v/>
      </c>
      <c r="P657" s="48" t="inlineStr">
        <is>
          <t>passeggeri/anno</t>
        </is>
      </c>
      <c r="Q657" s="57">
        <f>IF($A657="","",$A657&amp;"|"&amp;$C657)</f>
        <v/>
      </c>
      <c r="R657" s="57">
        <f>IF($A657="","",$A657&amp;"|"&amp;$C657&amp;"|"&amp;$D657)</f>
        <v/>
      </c>
      <c r="S657" s="57">
        <f>IF($A657="","",IFERROR(INDEX(Offerte!$D$2:$D$81,MATCH($Q657,Offerte!$L$2:$L$81,0)),0))</f>
        <v/>
      </c>
      <c r="T657" s="57">
        <f>IF($A657="","",IFERROR(INDEX(Offerte!$G$2:$G$81,MATCH($Q657,Offerte!$L$2:$L$81,0)),"NO"))</f>
        <v/>
      </c>
    </row>
    <row r="658">
      <c r="A658" s="48">
        <f>IF(Offerte!$A23="","",Offerte!$A23)</f>
        <v/>
      </c>
      <c r="B658" s="48">
        <f>IF(Offerte!$A23="","",Offerte!$B23)</f>
        <v/>
      </c>
      <c r="C658" s="48">
        <f>IF(Offerte!$A23="","",Offerte!$C23)</f>
        <v/>
      </c>
      <c r="D658" s="48" t="inlineStr">
        <is>
          <t>B.1.1</t>
        </is>
      </c>
      <c r="E658" s="48" t="inlineStr">
        <is>
          <t>B</t>
        </is>
      </c>
      <c r="F658" s="48" t="inlineStr">
        <is>
          <t>Q</t>
        </is>
      </c>
      <c r="G658" s="48" t="inlineStr">
        <is>
          <t>higher</t>
        </is>
      </c>
      <c r="H658" s="48" t="n">
        <v>3</v>
      </c>
      <c r="I658" s="48" t="inlineStr">
        <is>
          <t>Incremento dei posti offerti nelle fasce di punta</t>
        </is>
      </c>
      <c r="J658" s="73" t="n"/>
      <c r="K658" s="73" t="n"/>
      <c r="L658" s="73" t="n"/>
      <c r="M658" s="73" t="n"/>
      <c r="N658" s="57">
        <f>IF($A658="","",IFERROR(VALUE($J658),0))</f>
        <v/>
      </c>
      <c r="O658" s="57">
        <f>IF($A658="",0,IF(OR($S658&lt;&gt;1,COUNTA($J658:$M658)=0),0,IF(SUMPRODUCT(MAX(($C$5:$C$2484=$C658)*($D$5:$D$2484=$D658)*($S$5:$S$2484=1)*IFERROR($N$5:$N$2484*1,0)))&gt;0,ROUND($H658*($N658/SUMPRODUCT(MAX(($C$5:$C$2484=$C658)*($D$5:$D$2484=$D658)*($S$5:$S$2484=1)*IFERROR($N$5:$N$2484*1,0)))),4),0)))</f>
        <v/>
      </c>
      <c r="P658" s="48" t="inlineStr">
        <is>
          <t>posti*km</t>
        </is>
      </c>
      <c r="Q658" s="57">
        <f>IF($A658="","",$A658&amp;"|"&amp;$C658)</f>
        <v/>
      </c>
      <c r="R658" s="57">
        <f>IF($A658="","",$A658&amp;"|"&amp;$C658&amp;"|"&amp;$D658)</f>
        <v/>
      </c>
      <c r="S658" s="57">
        <f>IF($A658="","",IFERROR(INDEX(Offerte!$D$2:$D$81,MATCH($Q658,Offerte!$L$2:$L$81,0)),0))</f>
        <v/>
      </c>
      <c r="T658" s="57">
        <f>IF($A658="","",IFERROR(INDEX(Offerte!$G$2:$G$81,MATCH($Q658,Offerte!$L$2:$L$81,0)),"NO"))</f>
        <v/>
      </c>
    </row>
    <row r="659">
      <c r="A659" s="48">
        <f>IF(Offerte!$A23="","",Offerte!$A23)</f>
        <v/>
      </c>
      <c r="B659" s="48">
        <f>IF(Offerte!$A23="","",Offerte!$B23)</f>
        <v/>
      </c>
      <c r="C659" s="48">
        <f>IF(Offerte!$A23="","",Offerte!$C23)</f>
        <v/>
      </c>
      <c r="D659" s="48" t="inlineStr">
        <is>
          <t>B.2.1</t>
        </is>
      </c>
      <c r="E659" s="48" t="inlineStr">
        <is>
          <t>B</t>
        </is>
      </c>
      <c r="F659" s="48" t="inlineStr">
        <is>
          <t>Q</t>
        </is>
      </c>
      <c r="G659" s="48" t="inlineStr">
        <is>
          <t>higher</t>
        </is>
      </c>
      <c r="H659" s="48" t="n">
        <v>4</v>
      </c>
      <c r="I659" s="48" t="inlineStr">
        <is>
          <t>Corse aggiuntive nell'arco giornaliero base</t>
        </is>
      </c>
      <c r="J659" s="73" t="n"/>
      <c r="K659" s="73" t="n"/>
      <c r="L659" s="73" t="n"/>
      <c r="M659" s="73" t="n"/>
      <c r="N659" s="57">
        <f>IF($A659="","",IFERROR(VALUE($J659),0))</f>
        <v/>
      </c>
      <c r="O659" s="57">
        <f>IF($A659="",0,IF(OR($S659&lt;&gt;1,COUNTA($J659:$M659)=0),0,IF(SUMPRODUCT(MAX(($C$5:$C$2484=$C659)*($D$5:$D$2484=$D659)*($S$5:$S$2484=1)*IFERROR($N$5:$N$2484*1,0)))&gt;0,ROUND($H659*($N659/SUMPRODUCT(MAX(($C$5:$C$2484=$C659)*($D$5:$D$2484=$D659)*($S$5:$S$2484=1)*IFERROR($N$5:$N$2484*1,0)))),4),0)))</f>
        <v/>
      </c>
      <c r="P659" s="48" t="inlineStr">
        <is>
          <t>corse</t>
        </is>
      </c>
      <c r="Q659" s="57">
        <f>IF($A659="","",$A659&amp;"|"&amp;$C659)</f>
        <v/>
      </c>
      <c r="R659" s="57">
        <f>IF($A659="","",$A659&amp;"|"&amp;$C659&amp;"|"&amp;$D659)</f>
        <v/>
      </c>
      <c r="S659" s="57">
        <f>IF($A659="","",IFERROR(INDEX(Offerte!$D$2:$D$81,MATCH($Q659,Offerte!$L$2:$L$81,0)),0))</f>
        <v/>
      </c>
      <c r="T659" s="57">
        <f>IF($A659="","",IFERROR(INDEX(Offerte!$G$2:$G$81,MATCH($Q659,Offerte!$L$2:$L$81,0)),"NO"))</f>
        <v/>
      </c>
    </row>
    <row r="660">
      <c r="A660" s="48">
        <f>IF(Offerte!$A23="","",Offerte!$A23)</f>
        <v/>
      </c>
      <c r="B660" s="48">
        <f>IF(Offerte!$A23="","",Offerte!$B23)</f>
        <v/>
      </c>
      <c r="C660" s="48">
        <f>IF(Offerte!$A23="","",Offerte!$C23)</f>
        <v/>
      </c>
      <c r="D660" s="48" t="inlineStr">
        <is>
          <t>B.3.1</t>
        </is>
      </c>
      <c r="E660" s="48" t="inlineStr">
        <is>
          <t>B</t>
        </is>
      </c>
      <c r="F660" s="48" t="inlineStr">
        <is>
          <t>Q</t>
        </is>
      </c>
      <c r="G660" s="48" t="inlineStr">
        <is>
          <t>higher</t>
        </is>
      </c>
      <c r="H660" s="48" t="n">
        <v>2</v>
      </c>
      <c r="I660" s="48" t="inlineStr">
        <is>
          <t>Numero di corse aggiuntive per allungamento dell'arco di servizio giornaliero nelle fasce serali</t>
        </is>
      </c>
      <c r="J660" s="73" t="n"/>
      <c r="K660" s="73" t="n"/>
      <c r="L660" s="73" t="n"/>
      <c r="M660" s="73" t="n"/>
      <c r="N660" s="57">
        <f>IF($A660="","",IFERROR(VALUE($J660),0))</f>
        <v/>
      </c>
      <c r="O660" s="57">
        <f>IF($A660="",0,IF(OR($S660&lt;&gt;1,COUNTA($J660:$M660)=0),0,IF(SUMPRODUCT(MAX(($C$5:$C$2484=$C660)*($D$5:$D$2484=$D660)*($S$5:$S$2484=1)*IFERROR($N$5:$N$2484*1,0)))&gt;0,ROUND($H660*($N660/SUMPRODUCT(MAX(($C$5:$C$2484=$C660)*($D$5:$D$2484=$D660)*($S$5:$S$2484=1)*IFERROR($N$5:$N$2484*1,0)))),4),0)))</f>
        <v/>
      </c>
      <c r="P660" s="48" t="inlineStr">
        <is>
          <t>corse</t>
        </is>
      </c>
      <c r="Q660" s="57">
        <f>IF($A660="","",$A660&amp;"|"&amp;$C660)</f>
        <v/>
      </c>
      <c r="R660" s="57">
        <f>IF($A660="","",$A660&amp;"|"&amp;$C660&amp;"|"&amp;$D660)</f>
        <v/>
      </c>
      <c r="S660" s="57">
        <f>IF($A660="","",IFERROR(INDEX(Offerte!$D$2:$D$81,MATCH($Q660,Offerte!$L$2:$L$81,0)),0))</f>
        <v/>
      </c>
      <c r="T660" s="57">
        <f>IF($A660="","",IFERROR(INDEX(Offerte!$G$2:$G$81,MATCH($Q660,Offerte!$L$2:$L$81,0)),"NO"))</f>
        <v/>
      </c>
    </row>
    <row r="661">
      <c r="A661" s="48">
        <f>IF(Offerte!$A23="","",Offerte!$A23)</f>
        <v/>
      </c>
      <c r="B661" s="48">
        <f>IF(Offerte!$A23="","",Offerte!$B23)</f>
        <v/>
      </c>
      <c r="C661" s="48">
        <f>IF(Offerte!$A23="","",Offerte!$C23)</f>
        <v/>
      </c>
      <c r="D661" s="48" t="inlineStr">
        <is>
          <t>B.4.1</t>
        </is>
      </c>
      <c r="E661" s="48" t="inlineStr">
        <is>
          <t>B</t>
        </is>
      </c>
      <c r="F661" s="48" t="inlineStr">
        <is>
          <t>Q</t>
        </is>
      </c>
      <c r="G661" s="48" t="inlineStr">
        <is>
          <t>higher</t>
        </is>
      </c>
      <c r="H661" s="48" t="n">
        <v>3</v>
      </c>
      <c r="I661" s="48" t="inlineStr">
        <is>
          <t>Percorrenze aggiuntive offerte nel Programma d'esercizio delle prime due fasi attuative</t>
        </is>
      </c>
      <c r="J661" s="73" t="n"/>
      <c r="K661" s="73" t="n"/>
      <c r="L661" s="73" t="n"/>
      <c r="M661" s="73" t="n"/>
      <c r="N661" s="57">
        <f>IF($A661="","",IFERROR(VALUE($J661),0))</f>
        <v/>
      </c>
      <c r="O661" s="57">
        <f>IF($A661="",0,IF(OR($S661&lt;&gt;1,COUNTA($J661:$M661)=0),0,IF(SUMPRODUCT(MAX(($C$5:$C$2484=$C661)*($D$5:$D$2484=$D661)*($S$5:$S$2484=1)*IFERROR($N$5:$N$2484*1,0)))&gt;0,ROUND($H661*($N661/SUMPRODUCT(MAX(($C$5:$C$2484=$C661)*($D$5:$D$2484=$D661)*($S$5:$S$2484=1)*IFERROR($N$5:$N$2484*1,0)))),4),0)))</f>
        <v/>
      </c>
      <c r="P661" s="48" t="inlineStr">
        <is>
          <t>vett*km</t>
        </is>
      </c>
      <c r="Q661" s="57">
        <f>IF($A661="","",$A661&amp;"|"&amp;$C661)</f>
        <v/>
      </c>
      <c r="R661" s="57">
        <f>IF($A661="","",$A661&amp;"|"&amp;$C661&amp;"|"&amp;$D661)</f>
        <v/>
      </c>
      <c r="S661" s="57">
        <f>IF($A661="","",IFERROR(INDEX(Offerte!$D$2:$D$81,MATCH($Q661,Offerte!$L$2:$L$81,0)),0))</f>
        <v/>
      </c>
      <c r="T661" s="57">
        <f>IF($A661="","",IFERROR(INDEX(Offerte!$G$2:$G$81,MATCH($Q661,Offerte!$L$2:$L$81,0)),"NO"))</f>
        <v/>
      </c>
    </row>
    <row r="662">
      <c r="A662" s="48">
        <f>IF(Offerte!$A23="","",Offerte!$A23)</f>
        <v/>
      </c>
      <c r="B662" s="48">
        <f>IF(Offerte!$A23="","",Offerte!$B23)</f>
        <v/>
      </c>
      <c r="C662" s="48">
        <f>IF(Offerte!$A23="","",Offerte!$C23)</f>
        <v/>
      </c>
      <c r="D662" s="48" t="inlineStr">
        <is>
          <t>B.5.1</t>
        </is>
      </c>
      <c r="E662" s="48" t="inlineStr">
        <is>
          <t>B</t>
        </is>
      </c>
      <c r="F662" s="48" t="inlineStr">
        <is>
          <t>D</t>
        </is>
      </c>
      <c r="G662" s="48" t="inlineStr">
        <is>
          <t>discretionary</t>
        </is>
      </c>
      <c r="H662" s="48" t="n">
        <v>2</v>
      </c>
      <c r="I662" s="48" t="inlineStr">
        <is>
          <t>Efficacia del progetto di servizi complementari DRT</t>
        </is>
      </c>
      <c r="J662" s="73" t="n"/>
      <c r="K662" s="73" t="n"/>
      <c r="L662" s="73" t="n"/>
      <c r="M662" s="73" t="n"/>
      <c r="N662" s="57">
        <f>IF($A662="","",MAX(0,MIN(1,IFERROR(VALUE($M662),0))))</f>
        <v/>
      </c>
      <c r="O662" s="57">
        <f>IF($A662="",0,IF(OR($S662&lt;&gt;1,COUNTA($J662:$M662)=0),0,IF(SUMPRODUCT(MAX(($C$5:$C$2484=$C662)*($D$5:$D$2484=$D662)*($S$5:$S$2484=1)*IFERROR($N$5:$N$2484*1,0)))&gt;0,ROUND($H662*($N662/SUMPRODUCT(MAX(($C$5:$C$2484=$C662)*($D$5:$D$2484=$D662)*($S$5:$S$2484=1)*IFERROR($N$5:$N$2484*1,0)))),4),0)))</f>
        <v/>
      </c>
      <c r="P662" s="48" t="inlineStr">
        <is>
          <t>coeff.</t>
        </is>
      </c>
      <c r="Q662" s="57">
        <f>IF($A662="","",$A662&amp;"|"&amp;$C662)</f>
        <v/>
      </c>
      <c r="R662" s="57">
        <f>IF($A662="","",$A662&amp;"|"&amp;$C662&amp;"|"&amp;$D662)</f>
        <v/>
      </c>
      <c r="S662" s="57">
        <f>IF($A662="","",IFERROR(INDEX(Offerte!$D$2:$D$81,MATCH($Q662,Offerte!$L$2:$L$81,0)),0))</f>
        <v/>
      </c>
      <c r="T662" s="57">
        <f>IF($A662="","",IFERROR(INDEX(Offerte!$G$2:$G$81,MATCH($Q662,Offerte!$L$2:$L$81,0)),"NO"))</f>
        <v/>
      </c>
    </row>
    <row r="663">
      <c r="A663" s="48">
        <f>IF(Offerte!$A23="","",Offerte!$A23)</f>
        <v/>
      </c>
      <c r="B663" s="48">
        <f>IF(Offerte!$A23="","",Offerte!$B23)</f>
        <v/>
      </c>
      <c r="C663" s="48">
        <f>IF(Offerte!$A23="","",Offerte!$C23)</f>
        <v/>
      </c>
      <c r="D663" s="48" t="inlineStr">
        <is>
          <t>C.1.1</t>
        </is>
      </c>
      <c r="E663" s="48" t="inlineStr">
        <is>
          <t>C</t>
        </is>
      </c>
      <c r="F663" s="48" t="inlineStr">
        <is>
          <t>Q</t>
        </is>
      </c>
      <c r="G663" s="48" t="inlineStr">
        <is>
          <t>higher</t>
        </is>
      </c>
      <c r="H663" s="48" t="n">
        <v>2</v>
      </c>
      <c r="I663" s="48" t="inlineStr">
        <is>
          <t>Tasso di copertura del servizio con telecamere BSD</t>
        </is>
      </c>
      <c r="J663" s="73" t="n"/>
      <c r="K663" s="73" t="n"/>
      <c r="L663" s="73" t="n"/>
      <c r="M663" s="73" t="n"/>
      <c r="N663" s="57">
        <f>IF($A663="","",IFERROR(VALUE($K663)/VALUE($L663),IFERROR(VALUE($J663),0)))</f>
        <v/>
      </c>
      <c r="O663" s="57">
        <f>IF($A663="",0,IF(OR($S663&lt;&gt;1,COUNTA($J663:$M663)=0),0,IF(SUMPRODUCT(MAX(($C$5:$C$2484=$C663)*($D$5:$D$2484=$D663)*($S$5:$S$2484=1)*IFERROR($N$5:$N$2484*1,0)))&gt;0,ROUND($H663*($N663/SUMPRODUCT(MAX(($C$5:$C$2484=$C663)*($D$5:$D$2484=$D663)*($S$5:$S$2484=1)*IFERROR($N$5:$N$2484*1,0)))),4),0)))</f>
        <v/>
      </c>
      <c r="P663" s="48" t="inlineStr">
        <is>
          <t>Autobus attrezzati con telecamere BSD / Autobus totali in offerta, incluse scorte</t>
        </is>
      </c>
      <c r="Q663" s="57">
        <f>IF($A663="","",$A663&amp;"|"&amp;$C663)</f>
        <v/>
      </c>
      <c r="R663" s="57">
        <f>IF($A663="","",$A663&amp;"|"&amp;$C663&amp;"|"&amp;$D663)</f>
        <v/>
      </c>
      <c r="S663" s="57">
        <f>IF($A663="","",IFERROR(INDEX(Offerte!$D$2:$D$81,MATCH($Q663,Offerte!$L$2:$L$81,0)),0))</f>
        <v/>
      </c>
      <c r="T663" s="57">
        <f>IF($A663="","",IFERROR(INDEX(Offerte!$G$2:$G$81,MATCH($Q663,Offerte!$L$2:$L$81,0)),"NO"))</f>
        <v/>
      </c>
    </row>
    <row r="664">
      <c r="A664" s="48">
        <f>IF(Offerte!$A23="","",Offerte!$A23)</f>
        <v/>
      </c>
      <c r="B664" s="48">
        <f>IF(Offerte!$A23="","",Offerte!$B23)</f>
        <v/>
      </c>
      <c r="C664" s="48">
        <f>IF(Offerte!$A23="","",Offerte!$C23)</f>
        <v/>
      </c>
      <c r="D664" s="48" t="inlineStr">
        <is>
          <t>C.1.2</t>
        </is>
      </c>
      <c r="E664" s="48" t="inlineStr">
        <is>
          <t>C</t>
        </is>
      </c>
      <c r="F664" s="48" t="inlineStr">
        <is>
          <t>Q</t>
        </is>
      </c>
      <c r="G664" s="48" t="inlineStr">
        <is>
          <t>higher</t>
        </is>
      </c>
      <c r="H664" s="48" t="n">
        <v>2</v>
      </c>
      <c r="I664" s="48" t="inlineStr">
        <is>
          <t>Tasso di copertura del servizio con telecamere ADAS</t>
        </is>
      </c>
      <c r="J664" s="73" t="n"/>
      <c r="K664" s="73" t="n"/>
      <c r="L664" s="73" t="n"/>
      <c r="M664" s="73" t="n"/>
      <c r="N664" s="57">
        <f>IF($A664="","",IFERROR(VALUE($K664)/VALUE($L664),IFERROR(VALUE($J664),0)))</f>
        <v/>
      </c>
      <c r="O664" s="57">
        <f>IF($A664="",0,IF(OR($S664&lt;&gt;1,COUNTA($J664:$M664)=0),0,IF(SUMPRODUCT(MAX(($C$5:$C$2484=$C664)*($D$5:$D$2484=$D664)*($S$5:$S$2484=1)*IFERROR($N$5:$N$2484*1,0)))&gt;0,ROUND($H664*($N664/SUMPRODUCT(MAX(($C$5:$C$2484=$C664)*($D$5:$D$2484=$D664)*($S$5:$S$2484=1)*IFERROR($N$5:$N$2484*1,0)))),4),0)))</f>
        <v/>
      </c>
      <c r="P664" s="48" t="inlineStr">
        <is>
          <t>Autobus attrezzati con telecamere ADAS / Autobus totali in offerta, incluse scorte</t>
        </is>
      </c>
      <c r="Q664" s="57">
        <f>IF($A664="","",$A664&amp;"|"&amp;$C664)</f>
        <v/>
      </c>
      <c r="R664" s="57">
        <f>IF($A664="","",$A664&amp;"|"&amp;$C664&amp;"|"&amp;$D664)</f>
        <v/>
      </c>
      <c r="S664" s="57">
        <f>IF($A664="","",IFERROR(INDEX(Offerte!$D$2:$D$81,MATCH($Q664,Offerte!$L$2:$L$81,0)),0))</f>
        <v/>
      </c>
      <c r="T664" s="57">
        <f>IF($A664="","",IFERROR(INDEX(Offerte!$G$2:$G$81,MATCH($Q664,Offerte!$L$2:$L$81,0)),"NO"))</f>
        <v/>
      </c>
    </row>
    <row r="665">
      <c r="A665" s="48">
        <f>IF(Offerte!$A23="","",Offerte!$A23)</f>
        <v/>
      </c>
      <c r="B665" s="48">
        <f>IF(Offerte!$A23="","",Offerte!$B23)</f>
        <v/>
      </c>
      <c r="C665" s="48">
        <f>IF(Offerte!$A23="","",Offerte!$C23)</f>
        <v/>
      </c>
      <c r="D665" s="48" t="inlineStr">
        <is>
          <t>C.2.1</t>
        </is>
      </c>
      <c r="E665" s="48" t="inlineStr">
        <is>
          <t>C</t>
        </is>
      </c>
      <c r="F665" s="48" t="inlineStr">
        <is>
          <t>Q</t>
        </is>
      </c>
      <c r="G665" s="48" t="inlineStr">
        <is>
          <t>higher</t>
        </is>
      </c>
      <c r="H665" s="48" t="n">
        <v>3</v>
      </c>
      <c r="I665" s="48" t="inlineStr">
        <is>
          <t>Tasso di copertura del servizio con telecamere di bordo di videosorveglianza</t>
        </is>
      </c>
      <c r="J665" s="73" t="n"/>
      <c r="K665" s="73" t="n"/>
      <c r="L665" s="73" t="n"/>
      <c r="M665" s="73" t="n"/>
      <c r="N665" s="57">
        <f>IF($A665="","",IFERROR(VALUE($K665)/VALUE($L665),IFERROR(VALUE($J665),0)))</f>
        <v/>
      </c>
      <c r="O665" s="57">
        <f>IF($A665="",0,IF(OR($S665&lt;&gt;1,COUNTA($J665:$M665)=0),0,IF(SUMPRODUCT(MAX(($C$5:$C$2484=$C665)*($D$5:$D$2484=$D665)*($S$5:$S$2484=1)*IFERROR($N$5:$N$2484*1,0)))&gt;0,ROUND($H665*($N665/SUMPRODUCT(MAX(($C$5:$C$2484=$C665)*($D$5:$D$2484=$D665)*($S$5:$S$2484=1)*IFERROR($N$5:$N$2484*1,0)))),4),0)))</f>
        <v/>
      </c>
      <c r="P665" s="48" t="inlineStr">
        <is>
          <t>Autobus attrezzati con videosorveglianza / Autobus totali in offerta, incluse scorte</t>
        </is>
      </c>
      <c r="Q665" s="57">
        <f>IF($A665="","",$A665&amp;"|"&amp;$C665)</f>
        <v/>
      </c>
      <c r="R665" s="57">
        <f>IF($A665="","",$A665&amp;"|"&amp;$C665&amp;"|"&amp;$D665)</f>
        <v/>
      </c>
      <c r="S665" s="57">
        <f>IF($A665="","",IFERROR(INDEX(Offerte!$D$2:$D$81,MATCH($Q665,Offerte!$L$2:$L$81,0)),0))</f>
        <v/>
      </c>
      <c r="T665" s="57">
        <f>IF($A665="","",IFERROR(INDEX(Offerte!$G$2:$G$81,MATCH($Q665,Offerte!$L$2:$L$81,0)),"NO"))</f>
        <v/>
      </c>
    </row>
    <row r="666">
      <c r="A666" s="48">
        <f>IF(Offerte!$A23="","",Offerte!$A23)</f>
        <v/>
      </c>
      <c r="B666" s="48">
        <f>IF(Offerte!$A23="","",Offerte!$B23)</f>
        <v/>
      </c>
      <c r="C666" s="48">
        <f>IF(Offerte!$A23="","",Offerte!$C23)</f>
        <v/>
      </c>
      <c r="D666" s="48" t="inlineStr">
        <is>
          <t>C.2.2</t>
        </is>
      </c>
      <c r="E666" s="48" t="inlineStr">
        <is>
          <t>C</t>
        </is>
      </c>
      <c r="F666" s="48" t="inlineStr">
        <is>
          <t>T</t>
        </is>
      </c>
      <c r="G666" s="48" t="inlineStr">
        <is>
          <t>tabular</t>
        </is>
      </c>
      <c r="H666" s="48" t="n">
        <v>1</v>
      </c>
      <c r="I666" s="48" t="inlineStr">
        <is>
          <t>Software video/audio analisi per situazioni di pericolo</t>
        </is>
      </c>
      <c r="J666" s="73" t="n"/>
      <c r="K666" s="73" t="n"/>
      <c r="L666" s="73" t="n"/>
      <c r="M666" s="73" t="n"/>
      <c r="N666" s="57">
        <f>IF($A666="","",IF(IFERROR(VALUE($M666),0)=1,1,0))</f>
        <v/>
      </c>
      <c r="O666" s="57">
        <f>IF($A666="",0,IF(OR($S666&lt;&gt;1,COUNTA($J666:$M666)=0),0,IF($N666=1,$H666,0)))</f>
        <v/>
      </c>
      <c r="P666" s="48" t="inlineStr">
        <is>
          <t>sì/no</t>
        </is>
      </c>
      <c r="Q666" s="57">
        <f>IF($A666="","",$A666&amp;"|"&amp;$C666)</f>
        <v/>
      </c>
      <c r="R666" s="57">
        <f>IF($A666="","",$A666&amp;"|"&amp;$C666&amp;"|"&amp;$D666)</f>
        <v/>
      </c>
      <c r="S666" s="57">
        <f>IF($A666="","",IFERROR(INDEX(Offerte!$D$2:$D$81,MATCH($Q666,Offerte!$L$2:$L$81,0)),0))</f>
        <v/>
      </c>
      <c r="T666" s="57">
        <f>IF($A666="","",IFERROR(INDEX(Offerte!$G$2:$G$81,MATCH($Q666,Offerte!$L$2:$L$81,0)),"NO"))</f>
        <v/>
      </c>
    </row>
    <row r="667">
      <c r="A667" s="48">
        <f>IF(Offerte!$A23="","",Offerte!$A23)</f>
        <v/>
      </c>
      <c r="B667" s="48">
        <f>IF(Offerte!$A23="","",Offerte!$B23)</f>
        <v/>
      </c>
      <c r="C667" s="48">
        <f>IF(Offerte!$A23="","",Offerte!$C23)</f>
        <v/>
      </c>
      <c r="D667" s="48" t="inlineStr">
        <is>
          <t>C.2.3</t>
        </is>
      </c>
      <c r="E667" s="48" t="inlineStr">
        <is>
          <t>C</t>
        </is>
      </c>
      <c r="F667" s="48" t="inlineStr">
        <is>
          <t>T</t>
        </is>
      </c>
      <c r="G667" s="48" t="inlineStr">
        <is>
          <t>tabular</t>
        </is>
      </c>
      <c r="H667" s="48" t="n">
        <v>1</v>
      </c>
      <c r="I667" s="48" t="inlineStr">
        <is>
          <t>Collegamento con centrale qualificata di pronto intervento</t>
        </is>
      </c>
      <c r="J667" s="73" t="n"/>
      <c r="K667" s="73" t="n"/>
      <c r="L667" s="73" t="n"/>
      <c r="M667" s="73" t="n"/>
      <c r="N667" s="57">
        <f>IF($A667="","",IF(IFERROR(VALUE($M667),0)=1,1,0))</f>
        <v/>
      </c>
      <c r="O667" s="57">
        <f>IF($A667="",0,IF(OR($S667&lt;&gt;1,COUNTA($J667:$M667)=0),0,IF($N667=1,$H667,0)))</f>
        <v/>
      </c>
      <c r="P667" s="48" t="inlineStr">
        <is>
          <t>sì/no</t>
        </is>
      </c>
      <c r="Q667" s="57">
        <f>IF($A667="","",$A667&amp;"|"&amp;$C667)</f>
        <v/>
      </c>
      <c r="R667" s="57">
        <f>IF($A667="","",$A667&amp;"|"&amp;$C667&amp;"|"&amp;$D667)</f>
        <v/>
      </c>
      <c r="S667" s="57">
        <f>IF($A667="","",IFERROR(INDEX(Offerte!$D$2:$D$81,MATCH($Q667,Offerte!$L$2:$L$81,0)),0))</f>
        <v/>
      </c>
      <c r="T667" s="57">
        <f>IF($A667="","",IFERROR(INDEX(Offerte!$G$2:$G$81,MATCH($Q667,Offerte!$L$2:$L$81,0)),"NO"))</f>
        <v/>
      </c>
    </row>
    <row r="668">
      <c r="A668" s="48">
        <f>IF(Offerte!$A23="","",Offerte!$A23)</f>
        <v/>
      </c>
      <c r="B668" s="48">
        <f>IF(Offerte!$A23="","",Offerte!$B23)</f>
        <v/>
      </c>
      <c r="C668" s="48">
        <f>IF(Offerte!$A23="","",Offerte!$C23)</f>
        <v/>
      </c>
      <c r="D668" s="48" t="inlineStr">
        <is>
          <t>C.2.4</t>
        </is>
      </c>
      <c r="E668" s="48" t="inlineStr">
        <is>
          <t>C</t>
        </is>
      </c>
      <c r="F668" s="48" t="inlineStr">
        <is>
          <t>Q</t>
        </is>
      </c>
      <c r="G668" s="48" t="inlineStr">
        <is>
          <t>higher</t>
        </is>
      </c>
      <c r="H668" s="48" t="n">
        <v>1</v>
      </c>
      <c r="I668" s="48" t="inlineStr">
        <is>
          <t>Tasso di copertura del servizio con dispositivi per la chiamata di emergenza del conducente</t>
        </is>
      </c>
      <c r="J668" s="73" t="n"/>
      <c r="K668" s="73" t="n"/>
      <c r="L668" s="73" t="n"/>
      <c r="M668" s="73" t="n"/>
      <c r="N668" s="57">
        <f>IF($A668="","",IFERROR(VALUE($K668)/VALUE($L668),IFERROR(VALUE($J668),0)))</f>
        <v/>
      </c>
      <c r="O668" s="57">
        <f>IF($A668="",0,IF(OR($S668&lt;&gt;1,COUNTA($J668:$M668)=0),0,IF(SUMPRODUCT(MAX(($C$5:$C$2484=$C668)*($D$5:$D$2484=$D668)*($S$5:$S$2484=1)*IFERROR($N$5:$N$2484*1,0)))&gt;0,ROUND($H668*($N668/SUMPRODUCT(MAX(($C$5:$C$2484=$C668)*($D$5:$D$2484=$D668)*($S$5:$S$2484=1)*IFERROR($N$5:$N$2484*1,0)))),4),0)))</f>
        <v/>
      </c>
      <c r="P668" s="48" t="inlineStr">
        <is>
          <t>Autobus attrezzati con chiamata di emergenza / Autobus totali in offerta, incluse scorte</t>
        </is>
      </c>
      <c r="Q668" s="57">
        <f>IF($A668="","",$A668&amp;"|"&amp;$C668)</f>
        <v/>
      </c>
      <c r="R668" s="57">
        <f>IF($A668="","",$A668&amp;"|"&amp;$C668&amp;"|"&amp;$D668)</f>
        <v/>
      </c>
      <c r="S668" s="57">
        <f>IF($A668="","",IFERROR(INDEX(Offerte!$D$2:$D$81,MATCH($Q668,Offerte!$L$2:$L$81,0)),0))</f>
        <v/>
      </c>
      <c r="T668" s="57">
        <f>IF($A668="","",IFERROR(INDEX(Offerte!$G$2:$G$81,MATCH($Q668,Offerte!$L$2:$L$81,0)),"NO"))</f>
        <v/>
      </c>
    </row>
    <row r="669">
      <c r="A669" s="48">
        <f>IF(Offerte!$A23="","",Offerte!$A23)</f>
        <v/>
      </c>
      <c r="B669" s="48">
        <f>IF(Offerte!$A23="","",Offerte!$B23)</f>
        <v/>
      </c>
      <c r="C669" s="48">
        <f>IF(Offerte!$A23="","",Offerte!$C23)</f>
        <v/>
      </c>
      <c r="D669" s="48" t="inlineStr">
        <is>
          <t>C.3.1</t>
        </is>
      </c>
      <c r="E669" s="48" t="inlineStr">
        <is>
          <t>C</t>
        </is>
      </c>
      <c r="F669" s="48" t="inlineStr">
        <is>
          <t>Q</t>
        </is>
      </c>
      <c r="G669" s="48" t="inlineStr">
        <is>
          <t>higher</t>
        </is>
      </c>
      <c r="H669" s="48" t="n">
        <v>2</v>
      </c>
      <c r="I669" s="48" t="inlineStr">
        <is>
          <t>Tasso di copertura del servizio con dispositivi di informazione dinamica a bordo mezzo</t>
        </is>
      </c>
      <c r="J669" s="73" t="n"/>
      <c r="K669" s="73" t="n"/>
      <c r="L669" s="73" t="n"/>
      <c r="M669" s="73" t="n"/>
      <c r="N669" s="57">
        <f>IF($A669="","",IFERROR(VALUE($K669)/VALUE($L669),IFERROR(VALUE($J669),0)))</f>
        <v/>
      </c>
      <c r="O669" s="57">
        <f>IF($A669="",0,IF(OR($S669&lt;&gt;1,COUNTA($J669:$M669)=0),0,IF(SUMPRODUCT(MAX(($C$5:$C$2484=$C669)*($D$5:$D$2484=$D669)*($S$5:$S$2484=1)*IFERROR($N$5:$N$2484*1,0)))&gt;0,ROUND($H669*($N669/SUMPRODUCT(MAX(($C$5:$C$2484=$C669)*($D$5:$D$2484=$D669)*($S$5:$S$2484=1)*IFERROR($N$5:$N$2484*1,0)))),4),0)))</f>
        <v/>
      </c>
      <c r="P669" s="48" t="inlineStr">
        <is>
          <t>Autobus con monitor e indicatori vocali / Autobus totali in offerta, incluse scorte</t>
        </is>
      </c>
      <c r="Q669" s="57">
        <f>IF($A669="","",$A669&amp;"|"&amp;$C669)</f>
        <v/>
      </c>
      <c r="R669" s="57">
        <f>IF($A669="","",$A669&amp;"|"&amp;$C669&amp;"|"&amp;$D669)</f>
        <v/>
      </c>
      <c r="S669" s="57">
        <f>IF($A669="","",IFERROR(INDEX(Offerte!$D$2:$D$81,MATCH($Q669,Offerte!$L$2:$L$81,0)),0))</f>
        <v/>
      </c>
      <c r="T669" s="57">
        <f>IF($A669="","",IFERROR(INDEX(Offerte!$G$2:$G$81,MATCH($Q669,Offerte!$L$2:$L$81,0)),"NO"))</f>
        <v/>
      </c>
    </row>
    <row r="670">
      <c r="A670" s="48">
        <f>IF(Offerte!$A23="","",Offerte!$A23)</f>
        <v/>
      </c>
      <c r="B670" s="48">
        <f>IF(Offerte!$A23="","",Offerte!$B23)</f>
        <v/>
      </c>
      <c r="C670" s="48">
        <f>IF(Offerte!$A23="","",Offerte!$C23)</f>
        <v/>
      </c>
      <c r="D670" s="48" t="inlineStr">
        <is>
          <t>C.3.2</t>
        </is>
      </c>
      <c r="E670" s="48" t="inlineStr">
        <is>
          <t>C</t>
        </is>
      </c>
      <c r="F670" s="48" t="inlineStr">
        <is>
          <t>T</t>
        </is>
      </c>
      <c r="G670" s="48" t="inlineStr">
        <is>
          <t>tabular</t>
        </is>
      </c>
      <c r="H670" s="48" t="n">
        <v>2</v>
      </c>
      <c r="I670" s="48" t="inlineStr">
        <is>
          <t>Informazioni a bordo su coincidenze ai nodi</t>
        </is>
      </c>
      <c r="J670" s="73" t="n"/>
      <c r="K670" s="73" t="n"/>
      <c r="L670" s="73" t="n"/>
      <c r="M670" s="73" t="n"/>
      <c r="N670" s="57">
        <f>IF($A670="","",IF(IFERROR(VALUE($M670),0)=1,1,0))</f>
        <v/>
      </c>
      <c r="O670" s="57">
        <f>IF($A670="",0,IF(OR($S670&lt;&gt;1,COUNTA($J670:$M670)=0),0,IF(AND($N670=1,IFERROR(SUMIFS($N$5:$N$2484,$Q$5:$Q$2484,$Q670,$D$5:$D$2484,"C.3.1"),0)&gt;=0.5),$H670,0)))</f>
        <v/>
      </c>
      <c r="P670" s="48" t="inlineStr">
        <is>
          <t>Dipende da C.3.1 &gt;= 0.5</t>
        </is>
      </c>
      <c r="Q670" s="57">
        <f>IF($A670="","",$A670&amp;"|"&amp;$C670)</f>
        <v/>
      </c>
      <c r="R670" s="57">
        <f>IF($A670="","",$A670&amp;"|"&amp;$C670&amp;"|"&amp;$D670)</f>
        <v/>
      </c>
      <c r="S670" s="57">
        <f>IF($A670="","",IFERROR(INDEX(Offerte!$D$2:$D$81,MATCH($Q670,Offerte!$L$2:$L$81,0)),0))</f>
        <v/>
      </c>
      <c r="T670" s="57">
        <f>IF($A670="","",IFERROR(INDEX(Offerte!$G$2:$G$81,MATCH($Q670,Offerte!$L$2:$L$81,0)),"NO"))</f>
        <v/>
      </c>
    </row>
    <row r="671">
      <c r="A671" s="48">
        <f>IF(Offerte!$A23="","",Offerte!$A23)</f>
        <v/>
      </c>
      <c r="B671" s="48">
        <f>IF(Offerte!$A23="","",Offerte!$B23)</f>
        <v/>
      </c>
      <c r="C671" s="48">
        <f>IF(Offerte!$A23="","",Offerte!$C23)</f>
        <v/>
      </c>
      <c r="D671" s="48" t="inlineStr">
        <is>
          <t>D.1.1</t>
        </is>
      </c>
      <c r="E671" s="48" t="inlineStr">
        <is>
          <t>D</t>
        </is>
      </c>
      <c r="F671" s="48" t="inlineStr">
        <is>
          <t>Q</t>
        </is>
      </c>
      <c r="G671" s="48" t="inlineStr">
        <is>
          <t>higher</t>
        </is>
      </c>
      <c r="H671" s="48" t="n">
        <v>3</v>
      </c>
      <c r="I671" s="48" t="inlineStr">
        <is>
          <t>Installazione di pensiline</t>
        </is>
      </c>
      <c r="J671" s="73" t="n"/>
      <c r="K671" s="73" t="n"/>
      <c r="L671" s="73" t="n"/>
      <c r="M671" s="73" t="n"/>
      <c r="N671" s="57">
        <f>IF($A671="","",IFERROR(VALUE($J671),0))</f>
        <v/>
      </c>
      <c r="O671" s="57">
        <f>IF($A671="",0,IF(OR($S671&lt;&gt;1,COUNTA($J671:$M671)=0),0,IF(SUMPRODUCT(MAX(($C$5:$C$2484=$C671)*($D$5:$D$2484=$D671)*($S$5:$S$2484=1)*IFERROR($N$5:$N$2484*1,0)))&gt;0,ROUND($H671*($N671/SUMPRODUCT(MAX(($C$5:$C$2484=$C671)*($D$5:$D$2484=$D671)*($S$5:$S$2484=1)*IFERROR($N$5:$N$2484*1,0)))),4),0)))</f>
        <v/>
      </c>
      <c r="P671" s="48" t="inlineStr">
        <is>
          <t>fermate</t>
        </is>
      </c>
      <c r="Q671" s="57">
        <f>IF($A671="","",$A671&amp;"|"&amp;$C671)</f>
        <v/>
      </c>
      <c r="R671" s="57">
        <f>IF($A671="","",$A671&amp;"|"&amp;$C671&amp;"|"&amp;$D671)</f>
        <v/>
      </c>
      <c r="S671" s="57">
        <f>IF($A671="","",IFERROR(INDEX(Offerte!$D$2:$D$81,MATCH($Q671,Offerte!$L$2:$L$81,0)),0))</f>
        <v/>
      </c>
      <c r="T671" s="57">
        <f>IF($A671="","",IFERROR(INDEX(Offerte!$G$2:$G$81,MATCH($Q671,Offerte!$L$2:$L$81,0)),"NO"))</f>
        <v/>
      </c>
    </row>
    <row r="672">
      <c r="A672" s="48">
        <f>IF(Offerte!$A23="","",Offerte!$A23)</f>
        <v/>
      </c>
      <c r="B672" s="48">
        <f>IF(Offerte!$A23="","",Offerte!$B23)</f>
        <v/>
      </c>
      <c r="C672" s="48">
        <f>IF(Offerte!$A23="","",Offerte!$C23)</f>
        <v/>
      </c>
      <c r="D672" s="48" t="inlineStr">
        <is>
          <t>D.1.2</t>
        </is>
      </c>
      <c r="E672" s="48" t="inlineStr">
        <is>
          <t>D</t>
        </is>
      </c>
      <c r="F672" s="48" t="inlineStr">
        <is>
          <t>Q</t>
        </is>
      </c>
      <c r="G672" s="48" t="inlineStr">
        <is>
          <t>higher</t>
        </is>
      </c>
      <c r="H672" s="48" t="n">
        <v>3</v>
      </c>
      <c r="I672" s="48" t="inlineStr">
        <is>
          <t>Installazione di paline di fermata conformi alla DGR 581/2023</t>
        </is>
      </c>
      <c r="J672" s="73" t="n"/>
      <c r="K672" s="73" t="n"/>
      <c r="L672" s="73" t="n"/>
      <c r="M672" s="73" t="n"/>
      <c r="N672" s="57">
        <f>IF($A672="","",IFERROR(VALUE($J672),0))</f>
        <v/>
      </c>
      <c r="O672" s="57">
        <f>IF($A672="",0,IF(OR($S672&lt;&gt;1,COUNTA($J672:$M672)=0),0,IF(SUMPRODUCT(MAX(($C$5:$C$2484=$C672)*($D$5:$D$2484=$D672)*($S$5:$S$2484=1)*IFERROR($N$5:$N$2484*1,0)))&gt;0,ROUND($H672*($N672/SUMPRODUCT(MAX(($C$5:$C$2484=$C672)*($D$5:$D$2484=$D672)*($S$5:$S$2484=1)*IFERROR($N$5:$N$2484*1,0)))),4),0)))</f>
        <v/>
      </c>
      <c r="P672" s="48" t="inlineStr">
        <is>
          <t>fermate</t>
        </is>
      </c>
      <c r="Q672" s="57">
        <f>IF($A672="","",$A672&amp;"|"&amp;$C672)</f>
        <v/>
      </c>
      <c r="R672" s="57">
        <f>IF($A672="","",$A672&amp;"|"&amp;$C672&amp;"|"&amp;$D672)</f>
        <v/>
      </c>
      <c r="S672" s="57">
        <f>IF($A672="","",IFERROR(INDEX(Offerte!$D$2:$D$81,MATCH($Q672,Offerte!$L$2:$L$81,0)),0))</f>
        <v/>
      </c>
      <c r="T672" s="57">
        <f>IF($A672="","",IFERROR(INDEX(Offerte!$G$2:$G$81,MATCH($Q672,Offerte!$L$2:$L$81,0)),"NO"))</f>
        <v/>
      </c>
    </row>
    <row r="673">
      <c r="A673" s="48">
        <f>IF(Offerte!$A23="","",Offerte!$A23)</f>
        <v/>
      </c>
      <c r="B673" s="48">
        <f>IF(Offerte!$A23="","",Offerte!$B23)</f>
        <v/>
      </c>
      <c r="C673" s="48">
        <f>IF(Offerte!$A23="","",Offerte!$C23)</f>
        <v/>
      </c>
      <c r="D673" s="48" t="inlineStr">
        <is>
          <t>D.1.3</t>
        </is>
      </c>
      <c r="E673" s="48" t="inlineStr">
        <is>
          <t>D</t>
        </is>
      </c>
      <c r="F673" s="48" t="inlineStr">
        <is>
          <t>Q</t>
        </is>
      </c>
      <c r="G673" s="48" t="inlineStr">
        <is>
          <t>higher</t>
        </is>
      </c>
      <c r="H673" s="48" t="n">
        <v>2</v>
      </c>
      <c r="I673" s="48" t="inlineStr">
        <is>
          <t>Display informativi connessi alle fermate</t>
        </is>
      </c>
      <c r="J673" s="73" t="n"/>
      <c r="K673" s="73" t="n"/>
      <c r="L673" s="73" t="n"/>
      <c r="M673" s="73" t="n"/>
      <c r="N673" s="57">
        <f>IF($A673="","",IFERROR(VALUE($J673),0))</f>
        <v/>
      </c>
      <c r="O673" s="57">
        <f>IF($A673="",0,IF(OR($S673&lt;&gt;1,COUNTA($J673:$M673)=0),0,IF(SUMPRODUCT(MAX(($C$5:$C$2484=$C673)*($D$5:$D$2484=$D673)*($S$5:$S$2484=1)*IFERROR($N$5:$N$2484*1,0)))&gt;0,ROUND($H673*($N673/SUMPRODUCT(MAX(($C$5:$C$2484=$C673)*($D$5:$D$2484=$D673)*($S$5:$S$2484=1)*IFERROR($N$5:$N$2484*1,0)))),4),0)))</f>
        <v/>
      </c>
      <c r="P673" s="48" t="inlineStr">
        <is>
          <t>fermate</t>
        </is>
      </c>
      <c r="Q673" s="57">
        <f>IF($A673="","",$A673&amp;"|"&amp;$C673)</f>
        <v/>
      </c>
      <c r="R673" s="57">
        <f>IF($A673="","",$A673&amp;"|"&amp;$C673&amp;"|"&amp;$D673)</f>
        <v/>
      </c>
      <c r="S673" s="57">
        <f>IF($A673="","",IFERROR(INDEX(Offerte!$D$2:$D$81,MATCH($Q673,Offerte!$L$2:$L$81,0)),0))</f>
        <v/>
      </c>
      <c r="T673" s="57">
        <f>IF($A673="","",IFERROR(INDEX(Offerte!$G$2:$G$81,MATCH($Q673,Offerte!$L$2:$L$81,0)),"NO"))</f>
        <v/>
      </c>
    </row>
    <row r="674">
      <c r="A674" s="48">
        <f>IF(Offerte!$A23="","",Offerte!$A23)</f>
        <v/>
      </c>
      <c r="B674" s="48">
        <f>IF(Offerte!$A23="","",Offerte!$B23)</f>
        <v/>
      </c>
      <c r="C674" s="48">
        <f>IF(Offerte!$A23="","",Offerte!$C23)</f>
        <v/>
      </c>
      <c r="D674" s="48" t="inlineStr">
        <is>
          <t>D.2.1</t>
        </is>
      </c>
      <c r="E674" s="48" t="inlineStr">
        <is>
          <t>D</t>
        </is>
      </c>
      <c r="F674" s="48" t="inlineStr">
        <is>
          <t>Q</t>
        </is>
      </c>
      <c r="G674" s="48" t="inlineStr">
        <is>
          <t>higher</t>
        </is>
      </c>
      <c r="H674" s="48" t="n">
        <v>2</v>
      </c>
      <c r="I674" s="48" t="inlineStr">
        <is>
          <t>Segnali tattili Loges-Vet-Evolution</t>
        </is>
      </c>
      <c r="J674" s="73" t="n"/>
      <c r="K674" s="73" t="n"/>
      <c r="L674" s="73" t="n"/>
      <c r="M674" s="73" t="n"/>
      <c r="N674" s="57">
        <f>IF($A674="","",IFERROR(VALUE($J674),0))</f>
        <v/>
      </c>
      <c r="O674" s="57">
        <f>IF($A674="",0,IF(OR($S674&lt;&gt;1,COUNTA($J674:$M674)=0),0,IF(SUMPRODUCT(MAX(($C$5:$C$2484=$C674)*($D$5:$D$2484=$D674)*($S$5:$S$2484=1)*IFERROR($N$5:$N$2484*1,0)))&gt;0,ROUND($H674*($N674/SUMPRODUCT(MAX(($C$5:$C$2484=$C674)*($D$5:$D$2484=$D674)*($S$5:$S$2484=1)*IFERROR($N$5:$N$2484*1,0)))),4),0)))</f>
        <v/>
      </c>
      <c r="P674" s="48" t="inlineStr">
        <is>
          <t>fermate</t>
        </is>
      </c>
      <c r="Q674" s="57">
        <f>IF($A674="","",$A674&amp;"|"&amp;$C674)</f>
        <v/>
      </c>
      <c r="R674" s="57">
        <f>IF($A674="","",$A674&amp;"|"&amp;$C674&amp;"|"&amp;$D674)</f>
        <v/>
      </c>
      <c r="S674" s="57">
        <f>IF($A674="","",IFERROR(INDEX(Offerte!$D$2:$D$81,MATCH($Q674,Offerte!$L$2:$L$81,0)),0))</f>
        <v/>
      </c>
      <c r="T674" s="57">
        <f>IF($A674="","",IFERROR(INDEX(Offerte!$G$2:$G$81,MATCH($Q674,Offerte!$L$2:$L$81,0)),"NO"))</f>
        <v/>
      </c>
    </row>
    <row r="675">
      <c r="A675" s="48">
        <f>IF(Offerte!$A23="","",Offerte!$A23)</f>
        <v/>
      </c>
      <c r="B675" s="48">
        <f>IF(Offerte!$A23="","",Offerte!$B23)</f>
        <v/>
      </c>
      <c r="C675" s="48">
        <f>IF(Offerte!$A23="","",Offerte!$C23)</f>
        <v/>
      </c>
      <c r="D675" s="48" t="inlineStr">
        <is>
          <t>E.1.1</t>
        </is>
      </c>
      <c r="E675" s="48" t="inlineStr">
        <is>
          <t>E</t>
        </is>
      </c>
      <c r="F675" s="48" t="inlineStr">
        <is>
          <t>T</t>
        </is>
      </c>
      <c r="G675" s="48" t="inlineStr">
        <is>
          <t>tabular</t>
        </is>
      </c>
      <c r="H675" s="48" t="n">
        <v>2</v>
      </c>
      <c r="I675" s="48" t="inlineStr">
        <is>
          <t>Mobile app con travel planner PRM</t>
        </is>
      </c>
      <c r="J675" s="73" t="n"/>
      <c r="K675" s="73" t="n"/>
      <c r="L675" s="73" t="n"/>
      <c r="M675" s="73" t="n"/>
      <c r="N675" s="57">
        <f>IF($A675="","",IF(IFERROR(VALUE($M675),0)=1,1,0))</f>
        <v/>
      </c>
      <c r="O675" s="57">
        <f>IF($A675="",0,IF(OR($S675&lt;&gt;1,COUNTA($J675:$M675)=0),0,IF($N675=1,$H675,0)))</f>
        <v/>
      </c>
      <c r="P675" s="48" t="inlineStr">
        <is>
          <t>sì/no</t>
        </is>
      </c>
      <c r="Q675" s="57">
        <f>IF($A675="","",$A675&amp;"|"&amp;$C675)</f>
        <v/>
      </c>
      <c r="R675" s="57">
        <f>IF($A675="","",$A675&amp;"|"&amp;$C675&amp;"|"&amp;$D675)</f>
        <v/>
      </c>
      <c r="S675" s="57">
        <f>IF($A675="","",IFERROR(INDEX(Offerte!$D$2:$D$81,MATCH($Q675,Offerte!$L$2:$L$81,0)),0))</f>
        <v/>
      </c>
      <c r="T675" s="57">
        <f>IF($A675="","",IFERROR(INDEX(Offerte!$G$2:$G$81,MATCH($Q675,Offerte!$L$2:$L$81,0)),"NO"))</f>
        <v/>
      </c>
    </row>
    <row r="676">
      <c r="A676" s="48">
        <f>IF(Offerte!$A23="","",Offerte!$A23)</f>
        <v/>
      </c>
      <c r="B676" s="48">
        <f>IF(Offerte!$A23="","",Offerte!$B23)</f>
        <v/>
      </c>
      <c r="C676" s="48">
        <f>IF(Offerte!$A23="","",Offerte!$C23)</f>
        <v/>
      </c>
      <c r="D676" s="48" t="inlineStr">
        <is>
          <t>E.2.1</t>
        </is>
      </c>
      <c r="E676" s="48" t="inlineStr">
        <is>
          <t>E</t>
        </is>
      </c>
      <c r="F676" s="48" t="inlineStr">
        <is>
          <t>D</t>
        </is>
      </c>
      <c r="G676" s="48" t="inlineStr">
        <is>
          <t>discretionary</t>
        </is>
      </c>
      <c r="H676" s="48" t="n">
        <v>2</v>
      </c>
      <c r="I676" s="48" t="inlineStr">
        <is>
          <t>Altre azioni informative e rapporti con gli utenti</t>
        </is>
      </c>
      <c r="J676" s="73" t="n"/>
      <c r="K676" s="73" t="n"/>
      <c r="L676" s="73" t="n"/>
      <c r="M676" s="73" t="n"/>
      <c r="N676" s="57">
        <f>IF($A676="","",MAX(0,MIN(1,IFERROR(VALUE($M676),0))))</f>
        <v/>
      </c>
      <c r="O676" s="57">
        <f>IF($A676="",0,IF(OR($S676&lt;&gt;1,COUNTA($J676:$M676)=0),0,IF(SUMPRODUCT(MAX(($C$5:$C$2484=$C676)*($D$5:$D$2484=$D676)*($S$5:$S$2484=1)*IFERROR($N$5:$N$2484*1,0)))&gt;0,ROUND($H676*($N676/SUMPRODUCT(MAX(($C$5:$C$2484=$C676)*($D$5:$D$2484=$D676)*($S$5:$S$2484=1)*IFERROR($N$5:$N$2484*1,0)))),4),0)))</f>
        <v/>
      </c>
      <c r="P676" s="48" t="inlineStr">
        <is>
          <t>coeff.</t>
        </is>
      </c>
      <c r="Q676" s="57">
        <f>IF($A676="","",$A676&amp;"|"&amp;$C676)</f>
        <v/>
      </c>
      <c r="R676" s="57">
        <f>IF($A676="","",$A676&amp;"|"&amp;$C676&amp;"|"&amp;$D676)</f>
        <v/>
      </c>
      <c r="S676" s="57">
        <f>IF($A676="","",IFERROR(INDEX(Offerte!$D$2:$D$81,MATCH($Q676,Offerte!$L$2:$L$81,0)),0))</f>
        <v/>
      </c>
      <c r="T676" s="57">
        <f>IF($A676="","",IFERROR(INDEX(Offerte!$G$2:$G$81,MATCH($Q676,Offerte!$L$2:$L$81,0)),"NO"))</f>
        <v/>
      </c>
    </row>
    <row r="677">
      <c r="A677" s="48">
        <f>IF(Offerte!$A23="","",Offerte!$A23)</f>
        <v/>
      </c>
      <c r="B677" s="48">
        <f>IF(Offerte!$A23="","",Offerte!$B23)</f>
        <v/>
      </c>
      <c r="C677" s="48">
        <f>IF(Offerte!$A23="","",Offerte!$C23)</f>
        <v/>
      </c>
      <c r="D677" s="48" t="inlineStr">
        <is>
          <t>F.1.1</t>
        </is>
      </c>
      <c r="E677" s="48" t="inlineStr">
        <is>
          <t>F</t>
        </is>
      </c>
      <c r="F677" s="48" t="inlineStr">
        <is>
          <t>Q</t>
        </is>
      </c>
      <c r="G677" s="48" t="inlineStr">
        <is>
          <t>lower</t>
        </is>
      </c>
      <c r="H677" s="48" t="n">
        <v>7</v>
      </c>
      <c r="I677" s="48" t="inlineStr">
        <is>
          <t>Performance ambientali del parco mezzi adibito al servizio - I_CEA</t>
        </is>
      </c>
      <c r="J677" s="73" t="n"/>
      <c r="K677" s="73" t="n"/>
      <c r="L677" s="73" t="n"/>
      <c r="M677" s="73" t="n"/>
      <c r="N677" s="57">
        <f>IF($A677="","",IFERROR(VALUE($J677),0))</f>
        <v/>
      </c>
      <c r="O677" s="57">
        <f>IF($A677="",0,IF(OR($S677&lt;&gt;1,COUNTA($J677:$M677)=0),0,IF(AND(IFERROR(AGGREGATE(15,6,$N$5:$N$2484/(($C$5:$C$2484=$C677)*($D$5:$D$2484=$D677)*($S$5:$S$2484=1)*($N$5:$N$2484&gt;0)),1),0)&gt;0,$N677&gt;0),ROUND($H677*(IFERROR(AGGREGATE(15,6,$N$5:$N$2484/(($C$5:$C$2484=$C677)*($D$5:$D$2484=$D677)*($S$5:$S$2484=1)*($N$5:$N$2484&gt;0)),1),0)/$N677),4),0)))</f>
        <v/>
      </c>
      <c r="P677" s="48" t="inlineStr">
        <is>
          <t>indice</t>
        </is>
      </c>
      <c r="Q677" s="57">
        <f>IF($A677="","",$A677&amp;"|"&amp;$C677)</f>
        <v/>
      </c>
      <c r="R677" s="57">
        <f>IF($A677="","",$A677&amp;"|"&amp;$C677&amp;"|"&amp;$D677)</f>
        <v/>
      </c>
      <c r="S677" s="57">
        <f>IF($A677="","",IFERROR(INDEX(Offerte!$D$2:$D$81,MATCH($Q677,Offerte!$L$2:$L$81,0)),0))</f>
        <v/>
      </c>
      <c r="T677" s="57">
        <f>IF($A677="","",IFERROR(INDEX(Offerte!$G$2:$G$81,MATCH($Q677,Offerte!$L$2:$L$81,0)),"NO"))</f>
        <v/>
      </c>
    </row>
    <row r="678">
      <c r="A678" s="48">
        <f>IF(Offerte!$A23="","",Offerte!$A23)</f>
        <v/>
      </c>
      <c r="B678" s="48">
        <f>IF(Offerte!$A23="","",Offerte!$B23)</f>
        <v/>
      </c>
      <c r="C678" s="48">
        <f>IF(Offerte!$A23="","",Offerte!$C23)</f>
        <v/>
      </c>
      <c r="D678" s="48" t="inlineStr">
        <is>
          <t>F.2.1</t>
        </is>
      </c>
      <c r="E678" s="48" t="inlineStr">
        <is>
          <t>F</t>
        </is>
      </c>
      <c r="F678" s="48" t="inlineStr">
        <is>
          <t>Q</t>
        </is>
      </c>
      <c r="G678" s="48" t="inlineStr">
        <is>
          <t>higher</t>
        </is>
      </c>
      <c r="H678" s="48" t="n">
        <v>2</v>
      </c>
      <c r="I678" s="48" t="inlineStr">
        <is>
          <t>Tasso di copertura del servizio con dispositivi ECO-DRIVER</t>
        </is>
      </c>
      <c r="J678" s="73" t="n"/>
      <c r="K678" s="73" t="n"/>
      <c r="L678" s="73" t="n"/>
      <c r="M678" s="73" t="n"/>
      <c r="N678" s="57">
        <f>IF($A678="","",IFERROR(VALUE($K678)/VALUE($L678),IFERROR(VALUE($J678),0)))</f>
        <v/>
      </c>
      <c r="O678" s="57">
        <f>IF($A678="",0,IF(OR($S678&lt;&gt;1,COUNTA($J678:$M678)=0),0,IF(SUMPRODUCT(MAX(($C$5:$C$2484=$C678)*($D$5:$D$2484=$D678)*($S$5:$S$2484=1)*IFERROR($N$5:$N$2484*1,0)))&gt;0,ROUND($H678*($N678/SUMPRODUCT(MAX(($C$5:$C$2484=$C678)*($D$5:$D$2484=$D678)*($S$5:$S$2484=1)*IFERROR($N$5:$N$2484*1,0)))),4),0)))</f>
        <v/>
      </c>
      <c r="P678" s="48" t="inlineStr">
        <is>
          <t>Autobus attrezzati con dispositivi ECO-DRIVER / Autobus totali in offerta, incluse scorte</t>
        </is>
      </c>
      <c r="Q678" s="57">
        <f>IF($A678="","",$A678&amp;"|"&amp;$C678)</f>
        <v/>
      </c>
      <c r="R678" s="57">
        <f>IF($A678="","",$A678&amp;"|"&amp;$C678&amp;"|"&amp;$D678)</f>
        <v/>
      </c>
      <c r="S678" s="57">
        <f>IF($A678="","",IFERROR(INDEX(Offerte!$D$2:$D$81,MATCH($Q678,Offerte!$L$2:$L$81,0)),0))</f>
        <v/>
      </c>
      <c r="T678" s="57">
        <f>IF($A678="","",IFERROR(INDEX(Offerte!$G$2:$G$81,MATCH($Q678,Offerte!$L$2:$L$81,0)),"NO"))</f>
        <v/>
      </c>
    </row>
    <row r="679">
      <c r="A679" s="48">
        <f>IF(Offerte!$A23="","",Offerte!$A23)</f>
        <v/>
      </c>
      <c r="B679" s="48">
        <f>IF(Offerte!$A23="","",Offerte!$B23)</f>
        <v/>
      </c>
      <c r="C679" s="48">
        <f>IF(Offerte!$A23="","",Offerte!$C23)</f>
        <v/>
      </c>
      <c r="D679" s="48" t="inlineStr">
        <is>
          <t>F.3.1</t>
        </is>
      </c>
      <c r="E679" s="48" t="inlineStr">
        <is>
          <t>F</t>
        </is>
      </c>
      <c r="F679" s="48" t="inlineStr">
        <is>
          <t>Q</t>
        </is>
      </c>
      <c r="G679" s="48" t="inlineStr">
        <is>
          <t>higher</t>
        </is>
      </c>
      <c r="H679" s="48" t="n">
        <v>2</v>
      </c>
      <c r="I679" s="48" t="inlineStr">
        <is>
          <t>Autoproduzione consumi elettrici per trazione</t>
        </is>
      </c>
      <c r="J679" s="73" t="n"/>
      <c r="K679" s="73" t="n"/>
      <c r="L679" s="73" t="n"/>
      <c r="M679" s="73" t="n"/>
      <c r="N679" s="57">
        <f>IF($A679="","",IFERROR(VALUE($J679),0))</f>
        <v/>
      </c>
      <c r="O679" s="57">
        <f>IF($A679="",0,IF(OR($S679&lt;&gt;1,COUNTA($J679:$M679)=0),0,IF(SUMPRODUCT(MAX(($C$5:$C$2484=$C679)*($D$5:$D$2484=$D679)*($S$5:$S$2484=1)*IFERROR($N$5:$N$2484*1,0)))&gt;0,ROUND($H679*($N679/SUMPRODUCT(MAX(($C$5:$C$2484=$C679)*($D$5:$D$2484=$D679)*($S$5:$S$2484=1)*IFERROR($N$5:$N$2484*1,0)))),4),0)))</f>
        <v/>
      </c>
      <c r="P679" s="48" t="inlineStr">
        <is>
          <t>kWh/anno</t>
        </is>
      </c>
      <c r="Q679" s="57">
        <f>IF($A679="","",$A679&amp;"|"&amp;$C679)</f>
        <v/>
      </c>
      <c r="R679" s="57">
        <f>IF($A679="","",$A679&amp;"|"&amp;$C679&amp;"|"&amp;$D679)</f>
        <v/>
      </c>
      <c r="S679" s="57">
        <f>IF($A679="","",IFERROR(INDEX(Offerte!$D$2:$D$81,MATCH($Q679,Offerte!$L$2:$L$81,0)),0))</f>
        <v/>
      </c>
      <c r="T679" s="57">
        <f>IF($A679="","",IFERROR(INDEX(Offerte!$G$2:$G$81,MATCH($Q679,Offerte!$L$2:$L$81,0)),"NO"))</f>
        <v/>
      </c>
    </row>
    <row r="680">
      <c r="A680" s="48">
        <f>IF(Offerte!$A23="","",Offerte!$A23)</f>
        <v/>
      </c>
      <c r="B680" s="48">
        <f>IF(Offerte!$A23="","",Offerte!$B23)</f>
        <v/>
      </c>
      <c r="C680" s="48">
        <f>IF(Offerte!$A23="","",Offerte!$C23)</f>
        <v/>
      </c>
      <c r="D680" s="48" t="inlineStr">
        <is>
          <t>F.4.1</t>
        </is>
      </c>
      <c r="E680" s="48" t="inlineStr">
        <is>
          <t>F</t>
        </is>
      </c>
      <c r="F680" s="48" t="inlineStr">
        <is>
          <t>Q</t>
        </is>
      </c>
      <c r="G680" s="48" t="inlineStr">
        <is>
          <t>soil</t>
        </is>
      </c>
      <c r="H680" s="48" t="n">
        <v>2</v>
      </c>
      <c r="I680" s="48" t="inlineStr">
        <is>
          <t>Indice di consumo di suolo</t>
        </is>
      </c>
      <c r="J680" s="73" t="n"/>
      <c r="K680" s="73" t="n"/>
      <c r="L680" s="73" t="n"/>
      <c r="M680" s="73" t="n"/>
      <c r="N680" s="57">
        <f>IF($A680="","",IFERROR(VALUE($J680),0))</f>
        <v/>
      </c>
      <c r="O680" s="57">
        <f>IF($A680="",0,IF(OR($S680&lt;&gt;1,COUNTA($J680:$M680)=0),0,IF($N680&lt;=0,$H680,IF(SUMPRODUCT(MAX(($C$5:$C$2484=$C680)*($D$5:$D$2484=$D680)*($S$5:$S$2484=1)*IFERROR($N$5:$N$2484*1,0)))&gt;0,ROUND($H680*((SUMPRODUCT(MAX(($C$5:$C$2484=$C680)*($D$5:$D$2484=$D680)*($S$5:$S$2484=1)*IFERROR($N$5:$N$2484*1,0)))-$N680)/SUMPRODUCT(MAX(($C$5:$C$2484=$C680)*($D$5:$D$2484=$D680)*($S$5:$S$2484=1)*IFERROR($N$5:$N$2484*1,0)))),4),0))))</f>
        <v/>
      </c>
      <c r="P680" s="48" t="inlineStr">
        <is>
          <t>m2</t>
        </is>
      </c>
      <c r="Q680" s="57">
        <f>IF($A680="","",$A680&amp;"|"&amp;$C680)</f>
        <v/>
      </c>
      <c r="R680" s="57">
        <f>IF($A680="","",$A680&amp;"|"&amp;$C680&amp;"|"&amp;$D680)</f>
        <v/>
      </c>
      <c r="S680" s="57">
        <f>IF($A680="","",IFERROR(INDEX(Offerte!$D$2:$D$81,MATCH($Q680,Offerte!$L$2:$L$81,0)),0))</f>
        <v/>
      </c>
      <c r="T680" s="57">
        <f>IF($A680="","",IFERROR(INDEX(Offerte!$G$2:$G$81,MATCH($Q680,Offerte!$L$2:$L$81,0)),"NO"))</f>
        <v/>
      </c>
    </row>
    <row r="681">
      <c r="A681" s="48">
        <f>IF(Offerte!$A23="","",Offerte!$A23)</f>
        <v/>
      </c>
      <c r="B681" s="48">
        <f>IF(Offerte!$A23="","",Offerte!$B23)</f>
        <v/>
      </c>
      <c r="C681" s="48">
        <f>IF(Offerte!$A23="","",Offerte!$C23)</f>
        <v/>
      </c>
      <c r="D681" s="48" t="inlineStr">
        <is>
          <t>F.5.1</t>
        </is>
      </c>
      <c r="E681" s="48" t="inlineStr">
        <is>
          <t>F</t>
        </is>
      </c>
      <c r="F681" s="48" t="inlineStr">
        <is>
          <t>T</t>
        </is>
      </c>
      <c r="G681" s="48" t="inlineStr">
        <is>
          <t>tabular</t>
        </is>
      </c>
      <c r="H681" s="48" t="n">
        <v>1</v>
      </c>
      <c r="I681" s="48" t="inlineStr">
        <is>
          <t>Rendicontazione di sostenibilità ambientale</t>
        </is>
      </c>
      <c r="J681" s="73" t="n"/>
      <c r="K681" s="73" t="n"/>
      <c r="L681" s="73" t="n"/>
      <c r="M681" s="73" t="n"/>
      <c r="N681" s="57">
        <f>IF($A681="","",IF(IFERROR(VALUE($M681),0)=1,1,0))</f>
        <v/>
      </c>
      <c r="O681" s="57">
        <f>IF($A681="",0,IF(OR($S681&lt;&gt;1,COUNTA($J681:$M681)=0),0,IF($N681=1,$H681,0)))</f>
        <v/>
      </c>
      <c r="P681" s="48" t="inlineStr">
        <is>
          <t>sì/no</t>
        </is>
      </c>
      <c r="Q681" s="57">
        <f>IF($A681="","",$A681&amp;"|"&amp;$C681)</f>
        <v/>
      </c>
      <c r="R681" s="57">
        <f>IF($A681="","",$A681&amp;"|"&amp;$C681&amp;"|"&amp;$D681)</f>
        <v/>
      </c>
      <c r="S681" s="57">
        <f>IF($A681="","",IFERROR(INDEX(Offerte!$D$2:$D$81,MATCH($Q681,Offerte!$L$2:$L$81,0)),0))</f>
        <v/>
      </c>
      <c r="T681" s="57">
        <f>IF($A681="","",IFERROR(INDEX(Offerte!$G$2:$G$81,MATCH($Q681,Offerte!$L$2:$L$81,0)),"NO"))</f>
        <v/>
      </c>
    </row>
    <row r="682">
      <c r="A682" s="48">
        <f>IF(Offerte!$A23="","",Offerte!$A23)</f>
        <v/>
      </c>
      <c r="B682" s="48">
        <f>IF(Offerte!$A23="","",Offerte!$B23)</f>
        <v/>
      </c>
      <c r="C682" s="48">
        <f>IF(Offerte!$A23="","",Offerte!$C23)</f>
        <v/>
      </c>
      <c r="D682" s="48" t="inlineStr">
        <is>
          <t>G.1.1</t>
        </is>
      </c>
      <c r="E682" s="48" t="inlineStr">
        <is>
          <t>G</t>
        </is>
      </c>
      <c r="F682" s="48" t="inlineStr">
        <is>
          <t>D</t>
        </is>
      </c>
      <c r="G682" s="48" t="inlineStr">
        <is>
          <t>discretionary</t>
        </is>
      </c>
      <c r="H682" s="48" t="n">
        <v>2</v>
      </c>
      <c r="I682" s="48" t="inlineStr">
        <is>
          <t>Qualità del progetto di centrale di controllo aziendale</t>
        </is>
      </c>
      <c r="J682" s="73" t="n"/>
      <c r="K682" s="73" t="n"/>
      <c r="L682" s="73" t="n"/>
      <c r="M682" s="73" t="n"/>
      <c r="N682" s="57">
        <f>IF($A682="","",MAX(0,MIN(1,IFERROR(VALUE($M682),0))))</f>
        <v/>
      </c>
      <c r="O682" s="57">
        <f>IF($A682="",0,IF(OR($S682&lt;&gt;1,COUNTA($J682:$M682)=0),0,IF(SUMPRODUCT(MAX(($C$5:$C$2484=$C682)*($D$5:$D$2484=$D682)*($S$5:$S$2484=1)*IFERROR($N$5:$N$2484*1,0)))&gt;0,ROUND($H682*($N682/SUMPRODUCT(MAX(($C$5:$C$2484=$C682)*($D$5:$D$2484=$D682)*($S$5:$S$2484=1)*IFERROR($N$5:$N$2484*1,0)))),4),0)))</f>
        <v/>
      </c>
      <c r="P682" s="48" t="inlineStr">
        <is>
          <t>coeff.</t>
        </is>
      </c>
      <c r="Q682" s="57">
        <f>IF($A682="","",$A682&amp;"|"&amp;$C682)</f>
        <v/>
      </c>
      <c r="R682" s="57">
        <f>IF($A682="","",$A682&amp;"|"&amp;$C682&amp;"|"&amp;$D682)</f>
        <v/>
      </c>
      <c r="S682" s="57">
        <f>IF($A682="","",IFERROR(INDEX(Offerte!$D$2:$D$81,MATCH($Q682,Offerte!$L$2:$L$81,0)),0))</f>
        <v/>
      </c>
      <c r="T682" s="57">
        <f>IF($A682="","",IFERROR(INDEX(Offerte!$G$2:$G$81,MATCH($Q682,Offerte!$L$2:$L$81,0)),"NO"))</f>
        <v/>
      </c>
    </row>
    <row r="683">
      <c r="A683" s="48">
        <f>IF(Offerte!$A23="","",Offerte!$A23)</f>
        <v/>
      </c>
      <c r="B683" s="48">
        <f>IF(Offerte!$A23="","",Offerte!$B23)</f>
        <v/>
      </c>
      <c r="C683" s="48">
        <f>IF(Offerte!$A23="","",Offerte!$C23)</f>
        <v/>
      </c>
      <c r="D683" s="48" t="inlineStr">
        <is>
          <t>G.2.1</t>
        </is>
      </c>
      <c r="E683" s="48" t="inlineStr">
        <is>
          <t>G</t>
        </is>
      </c>
      <c r="F683" s="48" t="inlineStr">
        <is>
          <t>T</t>
        </is>
      </c>
      <c r="G683" s="48" t="inlineStr">
        <is>
          <t>tabular</t>
        </is>
      </c>
      <c r="H683" s="48" t="n">
        <v>1</v>
      </c>
      <c r="I683" s="48" t="inlineStr">
        <is>
          <t>Certificazione ISO 45001</t>
        </is>
      </c>
      <c r="J683" s="73" t="n"/>
      <c r="K683" s="73" t="n"/>
      <c r="L683" s="73" t="n"/>
      <c r="M683" s="73" t="n"/>
      <c r="N683" s="57">
        <f>IF($A683="","",IF(IFERROR(VALUE($M683),0)=1,1,0))</f>
        <v/>
      </c>
      <c r="O683" s="57">
        <f>IF($A683="",0,IF(OR($S683&lt;&gt;1,COUNTA($J683:$M683)=0),0,IF($N683=1,$H683,0)))</f>
        <v/>
      </c>
      <c r="P683" s="48" t="inlineStr">
        <is>
          <t>sì/no</t>
        </is>
      </c>
      <c r="Q683" s="57">
        <f>IF($A683="","",$A683&amp;"|"&amp;$C683)</f>
        <v/>
      </c>
      <c r="R683" s="57">
        <f>IF($A683="","",$A683&amp;"|"&amp;$C683&amp;"|"&amp;$D683)</f>
        <v/>
      </c>
      <c r="S683" s="57">
        <f>IF($A683="","",IFERROR(INDEX(Offerte!$D$2:$D$81,MATCH($Q683,Offerte!$L$2:$L$81,0)),0))</f>
        <v/>
      </c>
      <c r="T683" s="57">
        <f>IF($A683="","",IFERROR(INDEX(Offerte!$G$2:$G$81,MATCH($Q683,Offerte!$L$2:$L$81,0)),"NO"))</f>
        <v/>
      </c>
    </row>
    <row r="684">
      <c r="A684" s="48">
        <f>IF(Offerte!$A23="","",Offerte!$A23)</f>
        <v/>
      </c>
      <c r="B684" s="48">
        <f>IF(Offerte!$A23="","",Offerte!$B23)</f>
        <v/>
      </c>
      <c r="C684" s="48">
        <f>IF(Offerte!$A23="","",Offerte!$C23)</f>
        <v/>
      </c>
      <c r="D684" s="48" t="inlineStr">
        <is>
          <t>G.3.1</t>
        </is>
      </c>
      <c r="E684" s="48" t="inlineStr">
        <is>
          <t>G</t>
        </is>
      </c>
      <c r="F684" s="48" t="inlineStr">
        <is>
          <t>T</t>
        </is>
      </c>
      <c r="G684" s="48" t="inlineStr">
        <is>
          <t>tabular</t>
        </is>
      </c>
      <c r="H684" s="48" t="n">
        <v>1</v>
      </c>
      <c r="I684" s="48" t="inlineStr">
        <is>
          <t>Certificazioni di responsabilità sociale</t>
        </is>
      </c>
      <c r="J684" s="73" t="n"/>
      <c r="K684" s="73" t="n"/>
      <c r="L684" s="73" t="n"/>
      <c r="M684" s="73" t="n"/>
      <c r="N684" s="57">
        <f>IF($A684="","",IF(IFERROR(VALUE($M684),0)=1,1,0))</f>
        <v/>
      </c>
      <c r="O684" s="57">
        <f>IF($A684="",0,IF(OR($S684&lt;&gt;1,COUNTA($J684:$M684)=0),0,IF($N684=1,$H684,0)))</f>
        <v/>
      </c>
      <c r="P684" s="48" t="inlineStr">
        <is>
          <t>sì/no</t>
        </is>
      </c>
      <c r="Q684" s="57">
        <f>IF($A684="","",$A684&amp;"|"&amp;$C684)</f>
        <v/>
      </c>
      <c r="R684" s="57">
        <f>IF($A684="","",$A684&amp;"|"&amp;$C684&amp;"|"&amp;$D684)</f>
        <v/>
      </c>
      <c r="S684" s="57">
        <f>IF($A684="","",IFERROR(INDEX(Offerte!$D$2:$D$81,MATCH($Q684,Offerte!$L$2:$L$81,0)),0))</f>
        <v/>
      </c>
      <c r="T684" s="57">
        <f>IF($A684="","",IFERROR(INDEX(Offerte!$G$2:$G$81,MATCH($Q684,Offerte!$L$2:$L$81,0)),"NO"))</f>
        <v/>
      </c>
    </row>
    <row r="685">
      <c r="A685" s="48">
        <f>IF(Offerte!$A23="","",Offerte!$A23)</f>
        <v/>
      </c>
      <c r="B685" s="48">
        <f>IF(Offerte!$A23="","",Offerte!$B23)</f>
        <v/>
      </c>
      <c r="C685" s="48">
        <f>IF(Offerte!$A23="","",Offerte!$C23)</f>
        <v/>
      </c>
      <c r="D685" s="48" t="inlineStr">
        <is>
          <t>G.4.1</t>
        </is>
      </c>
      <c r="E685" s="48" t="inlineStr">
        <is>
          <t>G</t>
        </is>
      </c>
      <c r="F685" s="48" t="inlineStr">
        <is>
          <t>D</t>
        </is>
      </c>
      <c r="G685" s="48" t="inlineStr">
        <is>
          <t>discretionary</t>
        </is>
      </c>
      <c r="H685" s="48" t="n">
        <v>2</v>
      </c>
      <c r="I685" s="48" t="inlineStr">
        <is>
          <t>Qualità del piano di formazione del personale</t>
        </is>
      </c>
      <c r="J685" s="73" t="n"/>
      <c r="K685" s="73" t="n"/>
      <c r="L685" s="73" t="n"/>
      <c r="M685" s="73" t="n"/>
      <c r="N685" s="57">
        <f>IF($A685="","",MAX(0,MIN(1,IFERROR(VALUE($M685),0))))</f>
        <v/>
      </c>
      <c r="O685" s="57">
        <f>IF($A685="",0,IF(OR($S685&lt;&gt;1,COUNTA($J685:$M685)=0),0,IF(SUMPRODUCT(MAX(($C$5:$C$2484=$C685)*($D$5:$D$2484=$D685)*($S$5:$S$2484=1)*IFERROR($N$5:$N$2484*1,0)))&gt;0,ROUND($H685*($N685/SUMPRODUCT(MAX(($C$5:$C$2484=$C685)*($D$5:$D$2484=$D685)*($S$5:$S$2484=1)*IFERROR($N$5:$N$2484*1,0)))),4),0)))</f>
        <v/>
      </c>
      <c r="P685" s="48" t="inlineStr">
        <is>
          <t>coeff.</t>
        </is>
      </c>
      <c r="Q685" s="57">
        <f>IF($A685="","",$A685&amp;"|"&amp;$C685)</f>
        <v/>
      </c>
      <c r="R685" s="57">
        <f>IF($A685="","",$A685&amp;"|"&amp;$C685&amp;"|"&amp;$D685)</f>
        <v/>
      </c>
      <c r="S685" s="57">
        <f>IF($A685="","",IFERROR(INDEX(Offerte!$D$2:$D$81,MATCH($Q685,Offerte!$L$2:$L$81,0)),0))</f>
        <v/>
      </c>
      <c r="T685" s="57">
        <f>IF($A685="","",IFERROR(INDEX(Offerte!$G$2:$G$81,MATCH($Q685,Offerte!$L$2:$L$81,0)),"NO"))</f>
        <v/>
      </c>
    </row>
    <row r="686">
      <c r="A686" s="48">
        <f>IF(Offerte!$A23="","",Offerte!$A23)</f>
        <v/>
      </c>
      <c r="B686" s="48">
        <f>IF(Offerte!$A23="","",Offerte!$B23)</f>
        <v/>
      </c>
      <c r="C686" s="48">
        <f>IF(Offerte!$A23="","",Offerte!$C23)</f>
        <v/>
      </c>
      <c r="D686" s="48" t="inlineStr">
        <is>
          <t>G.5.1</t>
        </is>
      </c>
      <c r="E686" s="48" t="inlineStr">
        <is>
          <t>G</t>
        </is>
      </c>
      <c r="F686" s="48" t="inlineStr">
        <is>
          <t>T</t>
        </is>
      </c>
      <c r="G686" s="48" t="inlineStr">
        <is>
          <t>tabular</t>
        </is>
      </c>
      <c r="H686" s="48" t="n">
        <v>1</v>
      </c>
      <c r="I686" s="48" t="inlineStr">
        <is>
          <t>Impegno al mantenimento delle garanzie del contratto di secondo livello del gestore uscente</t>
        </is>
      </c>
      <c r="J686" s="73" t="n"/>
      <c r="K686" s="73" t="n"/>
      <c r="L686" s="73" t="n"/>
      <c r="M686" s="73" t="n"/>
      <c r="N686" s="57">
        <f>IF($A686="","",IF(IFERROR(VALUE($M686),0)=1,1,0))</f>
        <v/>
      </c>
      <c r="O686" s="57">
        <f>IF($A686="",0,IF(OR($S686&lt;&gt;1,COUNTA($J686:$M686)=0),0,IF($N686=1,$H686,0)))</f>
        <v/>
      </c>
      <c r="P686" s="48" t="inlineStr">
        <is>
          <t>sì/no</t>
        </is>
      </c>
      <c r="Q686" s="57">
        <f>IF($A686="","",$A686&amp;"|"&amp;$C686)</f>
        <v/>
      </c>
      <c r="R686" s="57">
        <f>IF($A686="","",$A686&amp;"|"&amp;$C686&amp;"|"&amp;$D686)</f>
        <v/>
      </c>
      <c r="S686" s="57">
        <f>IF($A686="","",IFERROR(INDEX(Offerte!$D$2:$D$81,MATCH($Q686,Offerte!$L$2:$L$81,0)),0))</f>
        <v/>
      </c>
      <c r="T686" s="57">
        <f>IF($A686="","",IFERROR(INDEX(Offerte!$G$2:$G$81,MATCH($Q686,Offerte!$L$2:$L$81,0)),"NO"))</f>
        <v/>
      </c>
    </row>
    <row r="687">
      <c r="A687" s="48">
        <f>IF(Offerte!$A24="","",Offerte!$A24)</f>
        <v/>
      </c>
      <c r="B687" s="48">
        <f>IF(Offerte!$A24="","",Offerte!$B24)</f>
        <v/>
      </c>
      <c r="C687" s="48">
        <f>IF(Offerte!$A24="","",Offerte!$C24)</f>
        <v/>
      </c>
      <c r="D687" s="48" t="inlineStr">
        <is>
          <t>A.1.1</t>
        </is>
      </c>
      <c r="E687" s="48" t="inlineStr">
        <is>
          <t>A</t>
        </is>
      </c>
      <c r="F687" s="48" t="inlineStr">
        <is>
          <t>Q</t>
        </is>
      </c>
      <c r="G687" s="48" t="inlineStr">
        <is>
          <t>higher</t>
        </is>
      </c>
      <c r="H687" s="48" t="n">
        <v>3</v>
      </c>
      <c r="I687" s="48" t="inlineStr">
        <is>
          <t>Tasso aggiuntivo di corse controllate</t>
        </is>
      </c>
      <c r="J687" s="73" t="n"/>
      <c r="K687" s="73" t="n"/>
      <c r="L687" s="73" t="n"/>
      <c r="M687" s="73" t="n"/>
      <c r="N687" s="57">
        <f>IF($A687="","",IFERROR(VALUE($K687)/VALUE($L687)*100,IFERROR(VALUE($J687),0)))</f>
        <v/>
      </c>
      <c r="O687" s="57">
        <f>IF($A687="",0,IF(OR($S687&lt;&gt;1,COUNTA($J687:$M687)=0),0,IF(SUMPRODUCT(MAX(($C$5:$C$2484=$C687)*($D$5:$D$2484=$D687)*($S$5:$S$2484=1)*IFERROR($N$5:$N$2484*1,0)))&gt;0,ROUND($H687*($N687/SUMPRODUCT(MAX(($C$5:$C$2484=$C687)*($D$5:$D$2484=$D687)*($S$5:$S$2484=1)*IFERROR($N$5:$N$2484*1,0)))),4),0)))</f>
        <v/>
      </c>
      <c r="P687" s="48" t="inlineStr">
        <is>
          <t>Corse controllate annue / Corse programmate annue</t>
        </is>
      </c>
      <c r="Q687" s="57">
        <f>IF($A687="","",$A687&amp;"|"&amp;$C687)</f>
        <v/>
      </c>
      <c r="R687" s="57">
        <f>IF($A687="","",$A687&amp;"|"&amp;$C687&amp;"|"&amp;$D687)</f>
        <v/>
      </c>
      <c r="S687" s="57">
        <f>IF($A687="","",IFERROR(INDEX(Offerte!$D$2:$D$81,MATCH($Q687,Offerte!$L$2:$L$81,0)),0))</f>
        <v/>
      </c>
      <c r="T687" s="57">
        <f>IF($A687="","",IFERROR(INDEX(Offerte!$G$2:$G$81,MATCH($Q687,Offerte!$L$2:$L$81,0)),"NO"))</f>
        <v/>
      </c>
    </row>
    <row r="688">
      <c r="A688" s="48">
        <f>IF(Offerte!$A24="","",Offerte!$A24)</f>
        <v/>
      </c>
      <c r="B688" s="48">
        <f>IF(Offerte!$A24="","",Offerte!$B24)</f>
        <v/>
      </c>
      <c r="C688" s="48">
        <f>IF(Offerte!$A24="","",Offerte!$C24)</f>
        <v/>
      </c>
      <c r="D688" s="48" t="inlineStr">
        <is>
          <t>A.1.2</t>
        </is>
      </c>
      <c r="E688" s="48" t="inlineStr">
        <is>
          <t>A</t>
        </is>
      </c>
      <c r="F688" s="48" t="inlineStr">
        <is>
          <t>Q</t>
        </is>
      </c>
      <c r="G688" s="48" t="inlineStr">
        <is>
          <t>higher</t>
        </is>
      </c>
      <c r="H688" s="48" t="n">
        <v>4</v>
      </c>
      <c r="I688" s="48" t="inlineStr">
        <is>
          <t>Numero aggiuntivo di passeggeri controllati</t>
        </is>
      </c>
      <c r="J688" s="73" t="n"/>
      <c r="K688" s="73" t="n"/>
      <c r="L688" s="73" t="n"/>
      <c r="M688" s="73" t="n"/>
      <c r="N688" s="57">
        <f>IF($A688="","",IFERROR(VALUE($J688),0))</f>
        <v/>
      </c>
      <c r="O688" s="57">
        <f>IF($A688="",0,IF(OR($S688&lt;&gt;1,COUNTA($J688:$M688)=0),0,IF(SUMPRODUCT(MAX(($C$5:$C$2484=$C688)*($D$5:$D$2484=$D688)*($S$5:$S$2484=1)*IFERROR($N$5:$N$2484*1,0)))&gt;0,ROUND($H688*($N688/SUMPRODUCT(MAX(($C$5:$C$2484=$C688)*($D$5:$D$2484=$D688)*($S$5:$S$2484=1)*IFERROR($N$5:$N$2484*1,0)))),4),0)))</f>
        <v/>
      </c>
      <c r="P688" s="48" t="inlineStr">
        <is>
          <t>passeggeri/anno</t>
        </is>
      </c>
      <c r="Q688" s="57">
        <f>IF($A688="","",$A688&amp;"|"&amp;$C688)</f>
        <v/>
      </c>
      <c r="R688" s="57">
        <f>IF($A688="","",$A688&amp;"|"&amp;$C688&amp;"|"&amp;$D688)</f>
        <v/>
      </c>
      <c r="S688" s="57">
        <f>IF($A688="","",IFERROR(INDEX(Offerte!$D$2:$D$81,MATCH($Q688,Offerte!$L$2:$L$81,0)),0))</f>
        <v/>
      </c>
      <c r="T688" s="57">
        <f>IF($A688="","",IFERROR(INDEX(Offerte!$G$2:$G$81,MATCH($Q688,Offerte!$L$2:$L$81,0)),"NO"))</f>
        <v/>
      </c>
    </row>
    <row r="689">
      <c r="A689" s="48">
        <f>IF(Offerte!$A24="","",Offerte!$A24)</f>
        <v/>
      </c>
      <c r="B689" s="48">
        <f>IF(Offerte!$A24="","",Offerte!$B24)</f>
        <v/>
      </c>
      <c r="C689" s="48">
        <f>IF(Offerte!$A24="","",Offerte!$C24)</f>
        <v/>
      </c>
      <c r="D689" s="48" t="inlineStr">
        <is>
          <t>B.1.1</t>
        </is>
      </c>
      <c r="E689" s="48" t="inlineStr">
        <is>
          <t>B</t>
        </is>
      </c>
      <c r="F689" s="48" t="inlineStr">
        <is>
          <t>Q</t>
        </is>
      </c>
      <c r="G689" s="48" t="inlineStr">
        <is>
          <t>higher</t>
        </is>
      </c>
      <c r="H689" s="48" t="n">
        <v>3</v>
      </c>
      <c r="I689" s="48" t="inlineStr">
        <is>
          <t>Incremento dei posti offerti nelle fasce di punta</t>
        </is>
      </c>
      <c r="J689" s="73" t="n"/>
      <c r="K689" s="73" t="n"/>
      <c r="L689" s="73" t="n"/>
      <c r="M689" s="73" t="n"/>
      <c r="N689" s="57">
        <f>IF($A689="","",IFERROR(VALUE($J689),0))</f>
        <v/>
      </c>
      <c r="O689" s="57">
        <f>IF($A689="",0,IF(OR($S689&lt;&gt;1,COUNTA($J689:$M689)=0),0,IF(SUMPRODUCT(MAX(($C$5:$C$2484=$C689)*($D$5:$D$2484=$D689)*($S$5:$S$2484=1)*IFERROR($N$5:$N$2484*1,0)))&gt;0,ROUND($H689*($N689/SUMPRODUCT(MAX(($C$5:$C$2484=$C689)*($D$5:$D$2484=$D689)*($S$5:$S$2484=1)*IFERROR($N$5:$N$2484*1,0)))),4),0)))</f>
        <v/>
      </c>
      <c r="P689" s="48" t="inlineStr">
        <is>
          <t>posti*km</t>
        </is>
      </c>
      <c r="Q689" s="57">
        <f>IF($A689="","",$A689&amp;"|"&amp;$C689)</f>
        <v/>
      </c>
      <c r="R689" s="57">
        <f>IF($A689="","",$A689&amp;"|"&amp;$C689&amp;"|"&amp;$D689)</f>
        <v/>
      </c>
      <c r="S689" s="57">
        <f>IF($A689="","",IFERROR(INDEX(Offerte!$D$2:$D$81,MATCH($Q689,Offerte!$L$2:$L$81,0)),0))</f>
        <v/>
      </c>
      <c r="T689" s="57">
        <f>IF($A689="","",IFERROR(INDEX(Offerte!$G$2:$G$81,MATCH($Q689,Offerte!$L$2:$L$81,0)),"NO"))</f>
        <v/>
      </c>
    </row>
    <row r="690">
      <c r="A690" s="48">
        <f>IF(Offerte!$A24="","",Offerte!$A24)</f>
        <v/>
      </c>
      <c r="B690" s="48">
        <f>IF(Offerte!$A24="","",Offerte!$B24)</f>
        <v/>
      </c>
      <c r="C690" s="48">
        <f>IF(Offerte!$A24="","",Offerte!$C24)</f>
        <v/>
      </c>
      <c r="D690" s="48" t="inlineStr">
        <is>
          <t>B.2.1</t>
        </is>
      </c>
      <c r="E690" s="48" t="inlineStr">
        <is>
          <t>B</t>
        </is>
      </c>
      <c r="F690" s="48" t="inlineStr">
        <is>
          <t>Q</t>
        </is>
      </c>
      <c r="G690" s="48" t="inlineStr">
        <is>
          <t>higher</t>
        </is>
      </c>
      <c r="H690" s="48" t="n">
        <v>4</v>
      </c>
      <c r="I690" s="48" t="inlineStr">
        <is>
          <t>Corse aggiuntive nell'arco giornaliero base</t>
        </is>
      </c>
      <c r="J690" s="73" t="n"/>
      <c r="K690" s="73" t="n"/>
      <c r="L690" s="73" t="n"/>
      <c r="M690" s="73" t="n"/>
      <c r="N690" s="57">
        <f>IF($A690="","",IFERROR(VALUE($J690),0))</f>
        <v/>
      </c>
      <c r="O690" s="57">
        <f>IF($A690="",0,IF(OR($S690&lt;&gt;1,COUNTA($J690:$M690)=0),0,IF(SUMPRODUCT(MAX(($C$5:$C$2484=$C690)*($D$5:$D$2484=$D690)*($S$5:$S$2484=1)*IFERROR($N$5:$N$2484*1,0)))&gt;0,ROUND($H690*($N690/SUMPRODUCT(MAX(($C$5:$C$2484=$C690)*($D$5:$D$2484=$D690)*($S$5:$S$2484=1)*IFERROR($N$5:$N$2484*1,0)))),4),0)))</f>
        <v/>
      </c>
      <c r="P690" s="48" t="inlineStr">
        <is>
          <t>corse</t>
        </is>
      </c>
      <c r="Q690" s="57">
        <f>IF($A690="","",$A690&amp;"|"&amp;$C690)</f>
        <v/>
      </c>
      <c r="R690" s="57">
        <f>IF($A690="","",$A690&amp;"|"&amp;$C690&amp;"|"&amp;$D690)</f>
        <v/>
      </c>
      <c r="S690" s="57">
        <f>IF($A690="","",IFERROR(INDEX(Offerte!$D$2:$D$81,MATCH($Q690,Offerte!$L$2:$L$81,0)),0))</f>
        <v/>
      </c>
      <c r="T690" s="57">
        <f>IF($A690="","",IFERROR(INDEX(Offerte!$G$2:$G$81,MATCH($Q690,Offerte!$L$2:$L$81,0)),"NO"))</f>
        <v/>
      </c>
    </row>
    <row r="691">
      <c r="A691" s="48">
        <f>IF(Offerte!$A24="","",Offerte!$A24)</f>
        <v/>
      </c>
      <c r="B691" s="48">
        <f>IF(Offerte!$A24="","",Offerte!$B24)</f>
        <v/>
      </c>
      <c r="C691" s="48">
        <f>IF(Offerte!$A24="","",Offerte!$C24)</f>
        <v/>
      </c>
      <c r="D691" s="48" t="inlineStr">
        <is>
          <t>B.3.1</t>
        </is>
      </c>
      <c r="E691" s="48" t="inlineStr">
        <is>
          <t>B</t>
        </is>
      </c>
      <c r="F691" s="48" t="inlineStr">
        <is>
          <t>Q</t>
        </is>
      </c>
      <c r="G691" s="48" t="inlineStr">
        <is>
          <t>higher</t>
        </is>
      </c>
      <c r="H691" s="48" t="n">
        <v>2</v>
      </c>
      <c r="I691" s="48" t="inlineStr">
        <is>
          <t>Numero di corse aggiuntive per allungamento dell'arco di servizio giornaliero nelle fasce serali</t>
        </is>
      </c>
      <c r="J691" s="73" t="n"/>
      <c r="K691" s="73" t="n"/>
      <c r="L691" s="73" t="n"/>
      <c r="M691" s="73" t="n"/>
      <c r="N691" s="57">
        <f>IF($A691="","",IFERROR(VALUE($J691),0))</f>
        <v/>
      </c>
      <c r="O691" s="57">
        <f>IF($A691="",0,IF(OR($S691&lt;&gt;1,COUNTA($J691:$M691)=0),0,IF(SUMPRODUCT(MAX(($C$5:$C$2484=$C691)*($D$5:$D$2484=$D691)*($S$5:$S$2484=1)*IFERROR($N$5:$N$2484*1,0)))&gt;0,ROUND($H691*($N691/SUMPRODUCT(MAX(($C$5:$C$2484=$C691)*($D$5:$D$2484=$D691)*($S$5:$S$2484=1)*IFERROR($N$5:$N$2484*1,0)))),4),0)))</f>
        <v/>
      </c>
      <c r="P691" s="48" t="inlineStr">
        <is>
          <t>corse</t>
        </is>
      </c>
      <c r="Q691" s="57">
        <f>IF($A691="","",$A691&amp;"|"&amp;$C691)</f>
        <v/>
      </c>
      <c r="R691" s="57">
        <f>IF($A691="","",$A691&amp;"|"&amp;$C691&amp;"|"&amp;$D691)</f>
        <v/>
      </c>
      <c r="S691" s="57">
        <f>IF($A691="","",IFERROR(INDEX(Offerte!$D$2:$D$81,MATCH($Q691,Offerte!$L$2:$L$81,0)),0))</f>
        <v/>
      </c>
      <c r="T691" s="57">
        <f>IF($A691="","",IFERROR(INDEX(Offerte!$G$2:$G$81,MATCH($Q691,Offerte!$L$2:$L$81,0)),"NO"))</f>
        <v/>
      </c>
    </row>
    <row r="692">
      <c r="A692" s="48">
        <f>IF(Offerte!$A24="","",Offerte!$A24)</f>
        <v/>
      </c>
      <c r="B692" s="48">
        <f>IF(Offerte!$A24="","",Offerte!$B24)</f>
        <v/>
      </c>
      <c r="C692" s="48">
        <f>IF(Offerte!$A24="","",Offerte!$C24)</f>
        <v/>
      </c>
      <c r="D692" s="48" t="inlineStr">
        <is>
          <t>B.4.1</t>
        </is>
      </c>
      <c r="E692" s="48" t="inlineStr">
        <is>
          <t>B</t>
        </is>
      </c>
      <c r="F692" s="48" t="inlineStr">
        <is>
          <t>Q</t>
        </is>
      </c>
      <c r="G692" s="48" t="inlineStr">
        <is>
          <t>higher</t>
        </is>
      </c>
      <c r="H692" s="48" t="n">
        <v>3</v>
      </c>
      <c r="I692" s="48" t="inlineStr">
        <is>
          <t>Percorrenze aggiuntive offerte nel Programma d'esercizio delle prime due fasi attuative</t>
        </is>
      </c>
      <c r="J692" s="73" t="n"/>
      <c r="K692" s="73" t="n"/>
      <c r="L692" s="73" t="n"/>
      <c r="M692" s="73" t="n"/>
      <c r="N692" s="57">
        <f>IF($A692="","",IFERROR(VALUE($J692),0))</f>
        <v/>
      </c>
      <c r="O692" s="57">
        <f>IF($A692="",0,IF(OR($S692&lt;&gt;1,COUNTA($J692:$M692)=0),0,IF(SUMPRODUCT(MAX(($C$5:$C$2484=$C692)*($D$5:$D$2484=$D692)*($S$5:$S$2484=1)*IFERROR($N$5:$N$2484*1,0)))&gt;0,ROUND($H692*($N692/SUMPRODUCT(MAX(($C$5:$C$2484=$C692)*($D$5:$D$2484=$D692)*($S$5:$S$2484=1)*IFERROR($N$5:$N$2484*1,0)))),4),0)))</f>
        <v/>
      </c>
      <c r="P692" s="48" t="inlineStr">
        <is>
          <t>vett*km</t>
        </is>
      </c>
      <c r="Q692" s="57">
        <f>IF($A692="","",$A692&amp;"|"&amp;$C692)</f>
        <v/>
      </c>
      <c r="R692" s="57">
        <f>IF($A692="","",$A692&amp;"|"&amp;$C692&amp;"|"&amp;$D692)</f>
        <v/>
      </c>
      <c r="S692" s="57">
        <f>IF($A692="","",IFERROR(INDEX(Offerte!$D$2:$D$81,MATCH($Q692,Offerte!$L$2:$L$81,0)),0))</f>
        <v/>
      </c>
      <c r="T692" s="57">
        <f>IF($A692="","",IFERROR(INDEX(Offerte!$G$2:$G$81,MATCH($Q692,Offerte!$L$2:$L$81,0)),"NO"))</f>
        <v/>
      </c>
    </row>
    <row r="693">
      <c r="A693" s="48">
        <f>IF(Offerte!$A24="","",Offerte!$A24)</f>
        <v/>
      </c>
      <c r="B693" s="48">
        <f>IF(Offerte!$A24="","",Offerte!$B24)</f>
        <v/>
      </c>
      <c r="C693" s="48">
        <f>IF(Offerte!$A24="","",Offerte!$C24)</f>
        <v/>
      </c>
      <c r="D693" s="48" t="inlineStr">
        <is>
          <t>B.5.1</t>
        </is>
      </c>
      <c r="E693" s="48" t="inlineStr">
        <is>
          <t>B</t>
        </is>
      </c>
      <c r="F693" s="48" t="inlineStr">
        <is>
          <t>D</t>
        </is>
      </c>
      <c r="G693" s="48" t="inlineStr">
        <is>
          <t>discretionary</t>
        </is>
      </c>
      <c r="H693" s="48" t="n">
        <v>2</v>
      </c>
      <c r="I693" s="48" t="inlineStr">
        <is>
          <t>Efficacia del progetto di servizi complementari DRT</t>
        </is>
      </c>
      <c r="J693" s="73" t="n"/>
      <c r="K693" s="73" t="n"/>
      <c r="L693" s="73" t="n"/>
      <c r="M693" s="73" t="n"/>
      <c r="N693" s="57">
        <f>IF($A693="","",MAX(0,MIN(1,IFERROR(VALUE($M693),0))))</f>
        <v/>
      </c>
      <c r="O693" s="57">
        <f>IF($A693="",0,IF(OR($S693&lt;&gt;1,COUNTA($J693:$M693)=0),0,IF(SUMPRODUCT(MAX(($C$5:$C$2484=$C693)*($D$5:$D$2484=$D693)*($S$5:$S$2484=1)*IFERROR($N$5:$N$2484*1,0)))&gt;0,ROUND($H693*($N693/SUMPRODUCT(MAX(($C$5:$C$2484=$C693)*($D$5:$D$2484=$D693)*($S$5:$S$2484=1)*IFERROR($N$5:$N$2484*1,0)))),4),0)))</f>
        <v/>
      </c>
      <c r="P693" s="48" t="inlineStr">
        <is>
          <t>coeff.</t>
        </is>
      </c>
      <c r="Q693" s="57">
        <f>IF($A693="","",$A693&amp;"|"&amp;$C693)</f>
        <v/>
      </c>
      <c r="R693" s="57">
        <f>IF($A693="","",$A693&amp;"|"&amp;$C693&amp;"|"&amp;$D693)</f>
        <v/>
      </c>
      <c r="S693" s="57">
        <f>IF($A693="","",IFERROR(INDEX(Offerte!$D$2:$D$81,MATCH($Q693,Offerte!$L$2:$L$81,0)),0))</f>
        <v/>
      </c>
      <c r="T693" s="57">
        <f>IF($A693="","",IFERROR(INDEX(Offerte!$G$2:$G$81,MATCH($Q693,Offerte!$L$2:$L$81,0)),"NO"))</f>
        <v/>
      </c>
    </row>
    <row r="694">
      <c r="A694" s="48">
        <f>IF(Offerte!$A24="","",Offerte!$A24)</f>
        <v/>
      </c>
      <c r="B694" s="48">
        <f>IF(Offerte!$A24="","",Offerte!$B24)</f>
        <v/>
      </c>
      <c r="C694" s="48">
        <f>IF(Offerte!$A24="","",Offerte!$C24)</f>
        <v/>
      </c>
      <c r="D694" s="48" t="inlineStr">
        <is>
          <t>C.1.1</t>
        </is>
      </c>
      <c r="E694" s="48" t="inlineStr">
        <is>
          <t>C</t>
        </is>
      </c>
      <c r="F694" s="48" t="inlineStr">
        <is>
          <t>Q</t>
        </is>
      </c>
      <c r="G694" s="48" t="inlineStr">
        <is>
          <t>higher</t>
        </is>
      </c>
      <c r="H694" s="48" t="n">
        <v>2</v>
      </c>
      <c r="I694" s="48" t="inlineStr">
        <is>
          <t>Tasso di copertura del servizio con telecamere BSD</t>
        </is>
      </c>
      <c r="J694" s="73" t="n"/>
      <c r="K694" s="73" t="n"/>
      <c r="L694" s="73" t="n"/>
      <c r="M694" s="73" t="n"/>
      <c r="N694" s="57">
        <f>IF($A694="","",IFERROR(VALUE($K694)/VALUE($L694),IFERROR(VALUE($J694),0)))</f>
        <v/>
      </c>
      <c r="O694" s="57">
        <f>IF($A694="",0,IF(OR($S694&lt;&gt;1,COUNTA($J694:$M694)=0),0,IF(SUMPRODUCT(MAX(($C$5:$C$2484=$C694)*($D$5:$D$2484=$D694)*($S$5:$S$2484=1)*IFERROR($N$5:$N$2484*1,0)))&gt;0,ROUND($H694*($N694/SUMPRODUCT(MAX(($C$5:$C$2484=$C694)*($D$5:$D$2484=$D694)*($S$5:$S$2484=1)*IFERROR($N$5:$N$2484*1,0)))),4),0)))</f>
        <v/>
      </c>
      <c r="P694" s="48" t="inlineStr">
        <is>
          <t>Autobus attrezzati con telecamere BSD / Autobus totali in offerta, incluse scorte</t>
        </is>
      </c>
      <c r="Q694" s="57">
        <f>IF($A694="","",$A694&amp;"|"&amp;$C694)</f>
        <v/>
      </c>
      <c r="R694" s="57">
        <f>IF($A694="","",$A694&amp;"|"&amp;$C694&amp;"|"&amp;$D694)</f>
        <v/>
      </c>
      <c r="S694" s="57">
        <f>IF($A694="","",IFERROR(INDEX(Offerte!$D$2:$D$81,MATCH($Q694,Offerte!$L$2:$L$81,0)),0))</f>
        <v/>
      </c>
      <c r="T694" s="57">
        <f>IF($A694="","",IFERROR(INDEX(Offerte!$G$2:$G$81,MATCH($Q694,Offerte!$L$2:$L$81,0)),"NO"))</f>
        <v/>
      </c>
    </row>
    <row r="695">
      <c r="A695" s="48">
        <f>IF(Offerte!$A24="","",Offerte!$A24)</f>
        <v/>
      </c>
      <c r="B695" s="48">
        <f>IF(Offerte!$A24="","",Offerte!$B24)</f>
        <v/>
      </c>
      <c r="C695" s="48">
        <f>IF(Offerte!$A24="","",Offerte!$C24)</f>
        <v/>
      </c>
      <c r="D695" s="48" t="inlineStr">
        <is>
          <t>C.1.2</t>
        </is>
      </c>
      <c r="E695" s="48" t="inlineStr">
        <is>
          <t>C</t>
        </is>
      </c>
      <c r="F695" s="48" t="inlineStr">
        <is>
          <t>Q</t>
        </is>
      </c>
      <c r="G695" s="48" t="inlineStr">
        <is>
          <t>higher</t>
        </is>
      </c>
      <c r="H695" s="48" t="n">
        <v>2</v>
      </c>
      <c r="I695" s="48" t="inlineStr">
        <is>
          <t>Tasso di copertura del servizio con telecamere ADAS</t>
        </is>
      </c>
      <c r="J695" s="73" t="n"/>
      <c r="K695" s="73" t="n"/>
      <c r="L695" s="73" t="n"/>
      <c r="M695" s="73" t="n"/>
      <c r="N695" s="57">
        <f>IF($A695="","",IFERROR(VALUE($K695)/VALUE($L695),IFERROR(VALUE($J695),0)))</f>
        <v/>
      </c>
      <c r="O695" s="57">
        <f>IF($A695="",0,IF(OR($S695&lt;&gt;1,COUNTA($J695:$M695)=0),0,IF(SUMPRODUCT(MAX(($C$5:$C$2484=$C695)*($D$5:$D$2484=$D695)*($S$5:$S$2484=1)*IFERROR($N$5:$N$2484*1,0)))&gt;0,ROUND($H695*($N695/SUMPRODUCT(MAX(($C$5:$C$2484=$C695)*($D$5:$D$2484=$D695)*($S$5:$S$2484=1)*IFERROR($N$5:$N$2484*1,0)))),4),0)))</f>
        <v/>
      </c>
      <c r="P695" s="48" t="inlineStr">
        <is>
          <t>Autobus attrezzati con telecamere ADAS / Autobus totali in offerta, incluse scorte</t>
        </is>
      </c>
      <c r="Q695" s="57">
        <f>IF($A695="","",$A695&amp;"|"&amp;$C695)</f>
        <v/>
      </c>
      <c r="R695" s="57">
        <f>IF($A695="","",$A695&amp;"|"&amp;$C695&amp;"|"&amp;$D695)</f>
        <v/>
      </c>
      <c r="S695" s="57">
        <f>IF($A695="","",IFERROR(INDEX(Offerte!$D$2:$D$81,MATCH($Q695,Offerte!$L$2:$L$81,0)),0))</f>
        <v/>
      </c>
      <c r="T695" s="57">
        <f>IF($A695="","",IFERROR(INDEX(Offerte!$G$2:$G$81,MATCH($Q695,Offerte!$L$2:$L$81,0)),"NO"))</f>
        <v/>
      </c>
    </row>
    <row r="696">
      <c r="A696" s="48">
        <f>IF(Offerte!$A24="","",Offerte!$A24)</f>
        <v/>
      </c>
      <c r="B696" s="48">
        <f>IF(Offerte!$A24="","",Offerte!$B24)</f>
        <v/>
      </c>
      <c r="C696" s="48">
        <f>IF(Offerte!$A24="","",Offerte!$C24)</f>
        <v/>
      </c>
      <c r="D696" s="48" t="inlineStr">
        <is>
          <t>C.2.1</t>
        </is>
      </c>
      <c r="E696" s="48" t="inlineStr">
        <is>
          <t>C</t>
        </is>
      </c>
      <c r="F696" s="48" t="inlineStr">
        <is>
          <t>Q</t>
        </is>
      </c>
      <c r="G696" s="48" t="inlineStr">
        <is>
          <t>higher</t>
        </is>
      </c>
      <c r="H696" s="48" t="n">
        <v>3</v>
      </c>
      <c r="I696" s="48" t="inlineStr">
        <is>
          <t>Tasso di copertura del servizio con telecamere di bordo di videosorveglianza</t>
        </is>
      </c>
      <c r="J696" s="73" t="n"/>
      <c r="K696" s="73" t="n"/>
      <c r="L696" s="73" t="n"/>
      <c r="M696" s="73" t="n"/>
      <c r="N696" s="57">
        <f>IF($A696="","",IFERROR(VALUE($K696)/VALUE($L696),IFERROR(VALUE($J696),0)))</f>
        <v/>
      </c>
      <c r="O696" s="57">
        <f>IF($A696="",0,IF(OR($S696&lt;&gt;1,COUNTA($J696:$M696)=0),0,IF(SUMPRODUCT(MAX(($C$5:$C$2484=$C696)*($D$5:$D$2484=$D696)*($S$5:$S$2484=1)*IFERROR($N$5:$N$2484*1,0)))&gt;0,ROUND($H696*($N696/SUMPRODUCT(MAX(($C$5:$C$2484=$C696)*($D$5:$D$2484=$D696)*($S$5:$S$2484=1)*IFERROR($N$5:$N$2484*1,0)))),4),0)))</f>
        <v/>
      </c>
      <c r="P696" s="48" t="inlineStr">
        <is>
          <t>Autobus attrezzati con videosorveglianza / Autobus totali in offerta, incluse scorte</t>
        </is>
      </c>
      <c r="Q696" s="57">
        <f>IF($A696="","",$A696&amp;"|"&amp;$C696)</f>
        <v/>
      </c>
      <c r="R696" s="57">
        <f>IF($A696="","",$A696&amp;"|"&amp;$C696&amp;"|"&amp;$D696)</f>
        <v/>
      </c>
      <c r="S696" s="57">
        <f>IF($A696="","",IFERROR(INDEX(Offerte!$D$2:$D$81,MATCH($Q696,Offerte!$L$2:$L$81,0)),0))</f>
        <v/>
      </c>
      <c r="T696" s="57">
        <f>IF($A696="","",IFERROR(INDEX(Offerte!$G$2:$G$81,MATCH($Q696,Offerte!$L$2:$L$81,0)),"NO"))</f>
        <v/>
      </c>
    </row>
    <row r="697">
      <c r="A697" s="48">
        <f>IF(Offerte!$A24="","",Offerte!$A24)</f>
        <v/>
      </c>
      <c r="B697" s="48">
        <f>IF(Offerte!$A24="","",Offerte!$B24)</f>
        <v/>
      </c>
      <c r="C697" s="48">
        <f>IF(Offerte!$A24="","",Offerte!$C24)</f>
        <v/>
      </c>
      <c r="D697" s="48" t="inlineStr">
        <is>
          <t>C.2.2</t>
        </is>
      </c>
      <c r="E697" s="48" t="inlineStr">
        <is>
          <t>C</t>
        </is>
      </c>
      <c r="F697" s="48" t="inlineStr">
        <is>
          <t>T</t>
        </is>
      </c>
      <c r="G697" s="48" t="inlineStr">
        <is>
          <t>tabular</t>
        </is>
      </c>
      <c r="H697" s="48" t="n">
        <v>1</v>
      </c>
      <c r="I697" s="48" t="inlineStr">
        <is>
          <t>Software video/audio analisi per situazioni di pericolo</t>
        </is>
      </c>
      <c r="J697" s="73" t="n"/>
      <c r="K697" s="73" t="n"/>
      <c r="L697" s="73" t="n"/>
      <c r="M697" s="73" t="n"/>
      <c r="N697" s="57">
        <f>IF($A697="","",IF(IFERROR(VALUE($M697),0)=1,1,0))</f>
        <v/>
      </c>
      <c r="O697" s="57">
        <f>IF($A697="",0,IF(OR($S697&lt;&gt;1,COUNTA($J697:$M697)=0),0,IF($N697=1,$H697,0)))</f>
        <v/>
      </c>
      <c r="P697" s="48" t="inlineStr">
        <is>
          <t>sì/no</t>
        </is>
      </c>
      <c r="Q697" s="57">
        <f>IF($A697="","",$A697&amp;"|"&amp;$C697)</f>
        <v/>
      </c>
      <c r="R697" s="57">
        <f>IF($A697="","",$A697&amp;"|"&amp;$C697&amp;"|"&amp;$D697)</f>
        <v/>
      </c>
      <c r="S697" s="57">
        <f>IF($A697="","",IFERROR(INDEX(Offerte!$D$2:$D$81,MATCH($Q697,Offerte!$L$2:$L$81,0)),0))</f>
        <v/>
      </c>
      <c r="T697" s="57">
        <f>IF($A697="","",IFERROR(INDEX(Offerte!$G$2:$G$81,MATCH($Q697,Offerte!$L$2:$L$81,0)),"NO"))</f>
        <v/>
      </c>
    </row>
    <row r="698">
      <c r="A698" s="48">
        <f>IF(Offerte!$A24="","",Offerte!$A24)</f>
        <v/>
      </c>
      <c r="B698" s="48">
        <f>IF(Offerte!$A24="","",Offerte!$B24)</f>
        <v/>
      </c>
      <c r="C698" s="48">
        <f>IF(Offerte!$A24="","",Offerte!$C24)</f>
        <v/>
      </c>
      <c r="D698" s="48" t="inlineStr">
        <is>
          <t>C.2.3</t>
        </is>
      </c>
      <c r="E698" s="48" t="inlineStr">
        <is>
          <t>C</t>
        </is>
      </c>
      <c r="F698" s="48" t="inlineStr">
        <is>
          <t>T</t>
        </is>
      </c>
      <c r="G698" s="48" t="inlineStr">
        <is>
          <t>tabular</t>
        </is>
      </c>
      <c r="H698" s="48" t="n">
        <v>1</v>
      </c>
      <c r="I698" s="48" t="inlineStr">
        <is>
          <t>Collegamento con centrale qualificata di pronto intervento</t>
        </is>
      </c>
      <c r="J698" s="73" t="n"/>
      <c r="K698" s="73" t="n"/>
      <c r="L698" s="73" t="n"/>
      <c r="M698" s="73" t="n"/>
      <c r="N698" s="57">
        <f>IF($A698="","",IF(IFERROR(VALUE($M698),0)=1,1,0))</f>
        <v/>
      </c>
      <c r="O698" s="57">
        <f>IF($A698="",0,IF(OR($S698&lt;&gt;1,COUNTA($J698:$M698)=0),0,IF($N698=1,$H698,0)))</f>
        <v/>
      </c>
      <c r="P698" s="48" t="inlineStr">
        <is>
          <t>sì/no</t>
        </is>
      </c>
      <c r="Q698" s="57">
        <f>IF($A698="","",$A698&amp;"|"&amp;$C698)</f>
        <v/>
      </c>
      <c r="R698" s="57">
        <f>IF($A698="","",$A698&amp;"|"&amp;$C698&amp;"|"&amp;$D698)</f>
        <v/>
      </c>
      <c r="S698" s="57">
        <f>IF($A698="","",IFERROR(INDEX(Offerte!$D$2:$D$81,MATCH($Q698,Offerte!$L$2:$L$81,0)),0))</f>
        <v/>
      </c>
      <c r="T698" s="57">
        <f>IF($A698="","",IFERROR(INDEX(Offerte!$G$2:$G$81,MATCH($Q698,Offerte!$L$2:$L$81,0)),"NO"))</f>
        <v/>
      </c>
    </row>
    <row r="699">
      <c r="A699" s="48">
        <f>IF(Offerte!$A24="","",Offerte!$A24)</f>
        <v/>
      </c>
      <c r="B699" s="48">
        <f>IF(Offerte!$A24="","",Offerte!$B24)</f>
        <v/>
      </c>
      <c r="C699" s="48">
        <f>IF(Offerte!$A24="","",Offerte!$C24)</f>
        <v/>
      </c>
      <c r="D699" s="48" t="inlineStr">
        <is>
          <t>C.2.4</t>
        </is>
      </c>
      <c r="E699" s="48" t="inlineStr">
        <is>
          <t>C</t>
        </is>
      </c>
      <c r="F699" s="48" t="inlineStr">
        <is>
          <t>Q</t>
        </is>
      </c>
      <c r="G699" s="48" t="inlineStr">
        <is>
          <t>higher</t>
        </is>
      </c>
      <c r="H699" s="48" t="n">
        <v>1</v>
      </c>
      <c r="I699" s="48" t="inlineStr">
        <is>
          <t>Tasso di copertura del servizio con dispositivi per la chiamata di emergenza del conducente</t>
        </is>
      </c>
      <c r="J699" s="73" t="n"/>
      <c r="K699" s="73" t="n"/>
      <c r="L699" s="73" t="n"/>
      <c r="M699" s="73" t="n"/>
      <c r="N699" s="57">
        <f>IF($A699="","",IFERROR(VALUE($K699)/VALUE($L699),IFERROR(VALUE($J699),0)))</f>
        <v/>
      </c>
      <c r="O699" s="57">
        <f>IF($A699="",0,IF(OR($S699&lt;&gt;1,COUNTA($J699:$M699)=0),0,IF(SUMPRODUCT(MAX(($C$5:$C$2484=$C699)*($D$5:$D$2484=$D699)*($S$5:$S$2484=1)*IFERROR($N$5:$N$2484*1,0)))&gt;0,ROUND($H699*($N699/SUMPRODUCT(MAX(($C$5:$C$2484=$C699)*($D$5:$D$2484=$D699)*($S$5:$S$2484=1)*IFERROR($N$5:$N$2484*1,0)))),4),0)))</f>
        <v/>
      </c>
      <c r="P699" s="48" t="inlineStr">
        <is>
          <t>Autobus attrezzati con chiamata di emergenza / Autobus totali in offerta, incluse scorte</t>
        </is>
      </c>
      <c r="Q699" s="57">
        <f>IF($A699="","",$A699&amp;"|"&amp;$C699)</f>
        <v/>
      </c>
      <c r="R699" s="57">
        <f>IF($A699="","",$A699&amp;"|"&amp;$C699&amp;"|"&amp;$D699)</f>
        <v/>
      </c>
      <c r="S699" s="57">
        <f>IF($A699="","",IFERROR(INDEX(Offerte!$D$2:$D$81,MATCH($Q699,Offerte!$L$2:$L$81,0)),0))</f>
        <v/>
      </c>
      <c r="T699" s="57">
        <f>IF($A699="","",IFERROR(INDEX(Offerte!$G$2:$G$81,MATCH($Q699,Offerte!$L$2:$L$81,0)),"NO"))</f>
        <v/>
      </c>
    </row>
    <row r="700">
      <c r="A700" s="48">
        <f>IF(Offerte!$A24="","",Offerte!$A24)</f>
        <v/>
      </c>
      <c r="B700" s="48">
        <f>IF(Offerte!$A24="","",Offerte!$B24)</f>
        <v/>
      </c>
      <c r="C700" s="48">
        <f>IF(Offerte!$A24="","",Offerte!$C24)</f>
        <v/>
      </c>
      <c r="D700" s="48" t="inlineStr">
        <is>
          <t>C.3.1</t>
        </is>
      </c>
      <c r="E700" s="48" t="inlineStr">
        <is>
          <t>C</t>
        </is>
      </c>
      <c r="F700" s="48" t="inlineStr">
        <is>
          <t>Q</t>
        </is>
      </c>
      <c r="G700" s="48" t="inlineStr">
        <is>
          <t>higher</t>
        </is>
      </c>
      <c r="H700" s="48" t="n">
        <v>2</v>
      </c>
      <c r="I700" s="48" t="inlineStr">
        <is>
          <t>Tasso di copertura del servizio con dispositivi di informazione dinamica a bordo mezzo</t>
        </is>
      </c>
      <c r="J700" s="73" t="n"/>
      <c r="K700" s="73" t="n"/>
      <c r="L700" s="73" t="n"/>
      <c r="M700" s="73" t="n"/>
      <c r="N700" s="57">
        <f>IF($A700="","",IFERROR(VALUE($K700)/VALUE($L700),IFERROR(VALUE($J700),0)))</f>
        <v/>
      </c>
      <c r="O700" s="57">
        <f>IF($A700="",0,IF(OR($S700&lt;&gt;1,COUNTA($J700:$M700)=0),0,IF(SUMPRODUCT(MAX(($C$5:$C$2484=$C700)*($D$5:$D$2484=$D700)*($S$5:$S$2484=1)*IFERROR($N$5:$N$2484*1,0)))&gt;0,ROUND($H700*($N700/SUMPRODUCT(MAX(($C$5:$C$2484=$C700)*($D$5:$D$2484=$D700)*($S$5:$S$2484=1)*IFERROR($N$5:$N$2484*1,0)))),4),0)))</f>
        <v/>
      </c>
      <c r="P700" s="48" t="inlineStr">
        <is>
          <t>Autobus con monitor e indicatori vocali / Autobus totali in offerta, incluse scorte</t>
        </is>
      </c>
      <c r="Q700" s="57">
        <f>IF($A700="","",$A700&amp;"|"&amp;$C700)</f>
        <v/>
      </c>
      <c r="R700" s="57">
        <f>IF($A700="","",$A700&amp;"|"&amp;$C700&amp;"|"&amp;$D700)</f>
        <v/>
      </c>
      <c r="S700" s="57">
        <f>IF($A700="","",IFERROR(INDEX(Offerte!$D$2:$D$81,MATCH($Q700,Offerte!$L$2:$L$81,0)),0))</f>
        <v/>
      </c>
      <c r="T700" s="57">
        <f>IF($A700="","",IFERROR(INDEX(Offerte!$G$2:$G$81,MATCH($Q700,Offerte!$L$2:$L$81,0)),"NO"))</f>
        <v/>
      </c>
    </row>
    <row r="701">
      <c r="A701" s="48">
        <f>IF(Offerte!$A24="","",Offerte!$A24)</f>
        <v/>
      </c>
      <c r="B701" s="48">
        <f>IF(Offerte!$A24="","",Offerte!$B24)</f>
        <v/>
      </c>
      <c r="C701" s="48">
        <f>IF(Offerte!$A24="","",Offerte!$C24)</f>
        <v/>
      </c>
      <c r="D701" s="48" t="inlineStr">
        <is>
          <t>C.3.2</t>
        </is>
      </c>
      <c r="E701" s="48" t="inlineStr">
        <is>
          <t>C</t>
        </is>
      </c>
      <c r="F701" s="48" t="inlineStr">
        <is>
          <t>T</t>
        </is>
      </c>
      <c r="G701" s="48" t="inlineStr">
        <is>
          <t>tabular</t>
        </is>
      </c>
      <c r="H701" s="48" t="n">
        <v>2</v>
      </c>
      <c r="I701" s="48" t="inlineStr">
        <is>
          <t>Informazioni a bordo su coincidenze ai nodi</t>
        </is>
      </c>
      <c r="J701" s="73" t="n"/>
      <c r="K701" s="73" t="n"/>
      <c r="L701" s="73" t="n"/>
      <c r="M701" s="73" t="n"/>
      <c r="N701" s="57">
        <f>IF($A701="","",IF(IFERROR(VALUE($M701),0)=1,1,0))</f>
        <v/>
      </c>
      <c r="O701" s="57">
        <f>IF($A701="",0,IF(OR($S701&lt;&gt;1,COUNTA($J701:$M701)=0),0,IF(AND($N701=1,IFERROR(SUMIFS($N$5:$N$2484,$Q$5:$Q$2484,$Q701,$D$5:$D$2484,"C.3.1"),0)&gt;=0.5),$H701,0)))</f>
        <v/>
      </c>
      <c r="P701" s="48" t="inlineStr">
        <is>
          <t>Dipende da C.3.1 &gt;= 0.5</t>
        </is>
      </c>
      <c r="Q701" s="57">
        <f>IF($A701="","",$A701&amp;"|"&amp;$C701)</f>
        <v/>
      </c>
      <c r="R701" s="57">
        <f>IF($A701="","",$A701&amp;"|"&amp;$C701&amp;"|"&amp;$D701)</f>
        <v/>
      </c>
      <c r="S701" s="57">
        <f>IF($A701="","",IFERROR(INDEX(Offerte!$D$2:$D$81,MATCH($Q701,Offerte!$L$2:$L$81,0)),0))</f>
        <v/>
      </c>
      <c r="T701" s="57">
        <f>IF($A701="","",IFERROR(INDEX(Offerte!$G$2:$G$81,MATCH($Q701,Offerte!$L$2:$L$81,0)),"NO"))</f>
        <v/>
      </c>
    </row>
    <row r="702">
      <c r="A702" s="48">
        <f>IF(Offerte!$A24="","",Offerte!$A24)</f>
        <v/>
      </c>
      <c r="B702" s="48">
        <f>IF(Offerte!$A24="","",Offerte!$B24)</f>
        <v/>
      </c>
      <c r="C702" s="48">
        <f>IF(Offerte!$A24="","",Offerte!$C24)</f>
        <v/>
      </c>
      <c r="D702" s="48" t="inlineStr">
        <is>
          <t>D.1.1</t>
        </is>
      </c>
      <c r="E702" s="48" t="inlineStr">
        <is>
          <t>D</t>
        </is>
      </c>
      <c r="F702" s="48" t="inlineStr">
        <is>
          <t>Q</t>
        </is>
      </c>
      <c r="G702" s="48" t="inlineStr">
        <is>
          <t>higher</t>
        </is>
      </c>
      <c r="H702" s="48" t="n">
        <v>3</v>
      </c>
      <c r="I702" s="48" t="inlineStr">
        <is>
          <t>Installazione di pensiline</t>
        </is>
      </c>
      <c r="J702" s="73" t="n"/>
      <c r="K702" s="73" t="n"/>
      <c r="L702" s="73" t="n"/>
      <c r="M702" s="73" t="n"/>
      <c r="N702" s="57">
        <f>IF($A702="","",IFERROR(VALUE($J702),0))</f>
        <v/>
      </c>
      <c r="O702" s="57">
        <f>IF($A702="",0,IF(OR($S702&lt;&gt;1,COUNTA($J702:$M702)=0),0,IF(SUMPRODUCT(MAX(($C$5:$C$2484=$C702)*($D$5:$D$2484=$D702)*($S$5:$S$2484=1)*IFERROR($N$5:$N$2484*1,0)))&gt;0,ROUND($H702*($N702/SUMPRODUCT(MAX(($C$5:$C$2484=$C702)*($D$5:$D$2484=$D702)*($S$5:$S$2484=1)*IFERROR($N$5:$N$2484*1,0)))),4),0)))</f>
        <v/>
      </c>
      <c r="P702" s="48" t="inlineStr">
        <is>
          <t>fermate</t>
        </is>
      </c>
      <c r="Q702" s="57">
        <f>IF($A702="","",$A702&amp;"|"&amp;$C702)</f>
        <v/>
      </c>
      <c r="R702" s="57">
        <f>IF($A702="","",$A702&amp;"|"&amp;$C702&amp;"|"&amp;$D702)</f>
        <v/>
      </c>
      <c r="S702" s="57">
        <f>IF($A702="","",IFERROR(INDEX(Offerte!$D$2:$D$81,MATCH($Q702,Offerte!$L$2:$L$81,0)),0))</f>
        <v/>
      </c>
      <c r="T702" s="57">
        <f>IF($A702="","",IFERROR(INDEX(Offerte!$G$2:$G$81,MATCH($Q702,Offerte!$L$2:$L$81,0)),"NO"))</f>
        <v/>
      </c>
    </row>
    <row r="703">
      <c r="A703" s="48">
        <f>IF(Offerte!$A24="","",Offerte!$A24)</f>
        <v/>
      </c>
      <c r="B703" s="48">
        <f>IF(Offerte!$A24="","",Offerte!$B24)</f>
        <v/>
      </c>
      <c r="C703" s="48">
        <f>IF(Offerte!$A24="","",Offerte!$C24)</f>
        <v/>
      </c>
      <c r="D703" s="48" t="inlineStr">
        <is>
          <t>D.1.2</t>
        </is>
      </c>
      <c r="E703" s="48" t="inlineStr">
        <is>
          <t>D</t>
        </is>
      </c>
      <c r="F703" s="48" t="inlineStr">
        <is>
          <t>Q</t>
        </is>
      </c>
      <c r="G703" s="48" t="inlineStr">
        <is>
          <t>higher</t>
        </is>
      </c>
      <c r="H703" s="48" t="n">
        <v>3</v>
      </c>
      <c r="I703" s="48" t="inlineStr">
        <is>
          <t>Installazione di paline di fermata conformi alla DGR 581/2023</t>
        </is>
      </c>
      <c r="J703" s="73" t="n"/>
      <c r="K703" s="73" t="n"/>
      <c r="L703" s="73" t="n"/>
      <c r="M703" s="73" t="n"/>
      <c r="N703" s="57">
        <f>IF($A703="","",IFERROR(VALUE($J703),0))</f>
        <v/>
      </c>
      <c r="O703" s="57">
        <f>IF($A703="",0,IF(OR($S703&lt;&gt;1,COUNTA($J703:$M703)=0),0,IF(SUMPRODUCT(MAX(($C$5:$C$2484=$C703)*($D$5:$D$2484=$D703)*($S$5:$S$2484=1)*IFERROR($N$5:$N$2484*1,0)))&gt;0,ROUND($H703*($N703/SUMPRODUCT(MAX(($C$5:$C$2484=$C703)*($D$5:$D$2484=$D703)*($S$5:$S$2484=1)*IFERROR($N$5:$N$2484*1,0)))),4),0)))</f>
        <v/>
      </c>
      <c r="P703" s="48" t="inlineStr">
        <is>
          <t>fermate</t>
        </is>
      </c>
      <c r="Q703" s="57">
        <f>IF($A703="","",$A703&amp;"|"&amp;$C703)</f>
        <v/>
      </c>
      <c r="R703" s="57">
        <f>IF($A703="","",$A703&amp;"|"&amp;$C703&amp;"|"&amp;$D703)</f>
        <v/>
      </c>
      <c r="S703" s="57">
        <f>IF($A703="","",IFERROR(INDEX(Offerte!$D$2:$D$81,MATCH($Q703,Offerte!$L$2:$L$81,0)),0))</f>
        <v/>
      </c>
      <c r="T703" s="57">
        <f>IF($A703="","",IFERROR(INDEX(Offerte!$G$2:$G$81,MATCH($Q703,Offerte!$L$2:$L$81,0)),"NO"))</f>
        <v/>
      </c>
    </row>
    <row r="704">
      <c r="A704" s="48">
        <f>IF(Offerte!$A24="","",Offerte!$A24)</f>
        <v/>
      </c>
      <c r="B704" s="48">
        <f>IF(Offerte!$A24="","",Offerte!$B24)</f>
        <v/>
      </c>
      <c r="C704" s="48">
        <f>IF(Offerte!$A24="","",Offerte!$C24)</f>
        <v/>
      </c>
      <c r="D704" s="48" t="inlineStr">
        <is>
          <t>D.1.3</t>
        </is>
      </c>
      <c r="E704" s="48" t="inlineStr">
        <is>
          <t>D</t>
        </is>
      </c>
      <c r="F704" s="48" t="inlineStr">
        <is>
          <t>Q</t>
        </is>
      </c>
      <c r="G704" s="48" t="inlineStr">
        <is>
          <t>higher</t>
        </is>
      </c>
      <c r="H704" s="48" t="n">
        <v>2</v>
      </c>
      <c r="I704" s="48" t="inlineStr">
        <is>
          <t>Display informativi connessi alle fermate</t>
        </is>
      </c>
      <c r="J704" s="73" t="n"/>
      <c r="K704" s="73" t="n"/>
      <c r="L704" s="73" t="n"/>
      <c r="M704" s="73" t="n"/>
      <c r="N704" s="57">
        <f>IF($A704="","",IFERROR(VALUE($J704),0))</f>
        <v/>
      </c>
      <c r="O704" s="57">
        <f>IF($A704="",0,IF(OR($S704&lt;&gt;1,COUNTA($J704:$M704)=0),0,IF(SUMPRODUCT(MAX(($C$5:$C$2484=$C704)*($D$5:$D$2484=$D704)*($S$5:$S$2484=1)*IFERROR($N$5:$N$2484*1,0)))&gt;0,ROUND($H704*($N704/SUMPRODUCT(MAX(($C$5:$C$2484=$C704)*($D$5:$D$2484=$D704)*($S$5:$S$2484=1)*IFERROR($N$5:$N$2484*1,0)))),4),0)))</f>
        <v/>
      </c>
      <c r="P704" s="48" t="inlineStr">
        <is>
          <t>fermate</t>
        </is>
      </c>
      <c r="Q704" s="57">
        <f>IF($A704="","",$A704&amp;"|"&amp;$C704)</f>
        <v/>
      </c>
      <c r="R704" s="57">
        <f>IF($A704="","",$A704&amp;"|"&amp;$C704&amp;"|"&amp;$D704)</f>
        <v/>
      </c>
      <c r="S704" s="57">
        <f>IF($A704="","",IFERROR(INDEX(Offerte!$D$2:$D$81,MATCH($Q704,Offerte!$L$2:$L$81,0)),0))</f>
        <v/>
      </c>
      <c r="T704" s="57">
        <f>IF($A704="","",IFERROR(INDEX(Offerte!$G$2:$G$81,MATCH($Q704,Offerte!$L$2:$L$81,0)),"NO"))</f>
        <v/>
      </c>
    </row>
    <row r="705">
      <c r="A705" s="48">
        <f>IF(Offerte!$A24="","",Offerte!$A24)</f>
        <v/>
      </c>
      <c r="B705" s="48">
        <f>IF(Offerte!$A24="","",Offerte!$B24)</f>
        <v/>
      </c>
      <c r="C705" s="48">
        <f>IF(Offerte!$A24="","",Offerte!$C24)</f>
        <v/>
      </c>
      <c r="D705" s="48" t="inlineStr">
        <is>
          <t>D.2.1</t>
        </is>
      </c>
      <c r="E705" s="48" t="inlineStr">
        <is>
          <t>D</t>
        </is>
      </c>
      <c r="F705" s="48" t="inlineStr">
        <is>
          <t>Q</t>
        </is>
      </c>
      <c r="G705" s="48" t="inlineStr">
        <is>
          <t>higher</t>
        </is>
      </c>
      <c r="H705" s="48" t="n">
        <v>2</v>
      </c>
      <c r="I705" s="48" t="inlineStr">
        <is>
          <t>Segnali tattili Loges-Vet-Evolution</t>
        </is>
      </c>
      <c r="J705" s="73" t="n"/>
      <c r="K705" s="73" t="n"/>
      <c r="L705" s="73" t="n"/>
      <c r="M705" s="73" t="n"/>
      <c r="N705" s="57">
        <f>IF($A705="","",IFERROR(VALUE($J705),0))</f>
        <v/>
      </c>
      <c r="O705" s="57">
        <f>IF($A705="",0,IF(OR($S705&lt;&gt;1,COUNTA($J705:$M705)=0),0,IF(SUMPRODUCT(MAX(($C$5:$C$2484=$C705)*($D$5:$D$2484=$D705)*($S$5:$S$2484=1)*IFERROR($N$5:$N$2484*1,0)))&gt;0,ROUND($H705*($N705/SUMPRODUCT(MAX(($C$5:$C$2484=$C705)*($D$5:$D$2484=$D705)*($S$5:$S$2484=1)*IFERROR($N$5:$N$2484*1,0)))),4),0)))</f>
        <v/>
      </c>
      <c r="P705" s="48" t="inlineStr">
        <is>
          <t>fermate</t>
        </is>
      </c>
      <c r="Q705" s="57">
        <f>IF($A705="","",$A705&amp;"|"&amp;$C705)</f>
        <v/>
      </c>
      <c r="R705" s="57">
        <f>IF($A705="","",$A705&amp;"|"&amp;$C705&amp;"|"&amp;$D705)</f>
        <v/>
      </c>
      <c r="S705" s="57">
        <f>IF($A705="","",IFERROR(INDEX(Offerte!$D$2:$D$81,MATCH($Q705,Offerte!$L$2:$L$81,0)),0))</f>
        <v/>
      </c>
      <c r="T705" s="57">
        <f>IF($A705="","",IFERROR(INDEX(Offerte!$G$2:$G$81,MATCH($Q705,Offerte!$L$2:$L$81,0)),"NO"))</f>
        <v/>
      </c>
    </row>
    <row r="706">
      <c r="A706" s="48">
        <f>IF(Offerte!$A24="","",Offerte!$A24)</f>
        <v/>
      </c>
      <c r="B706" s="48">
        <f>IF(Offerte!$A24="","",Offerte!$B24)</f>
        <v/>
      </c>
      <c r="C706" s="48">
        <f>IF(Offerte!$A24="","",Offerte!$C24)</f>
        <v/>
      </c>
      <c r="D706" s="48" t="inlineStr">
        <is>
          <t>E.1.1</t>
        </is>
      </c>
      <c r="E706" s="48" t="inlineStr">
        <is>
          <t>E</t>
        </is>
      </c>
      <c r="F706" s="48" t="inlineStr">
        <is>
          <t>T</t>
        </is>
      </c>
      <c r="G706" s="48" t="inlineStr">
        <is>
          <t>tabular</t>
        </is>
      </c>
      <c r="H706" s="48" t="n">
        <v>2</v>
      </c>
      <c r="I706" s="48" t="inlineStr">
        <is>
          <t>Mobile app con travel planner PRM</t>
        </is>
      </c>
      <c r="J706" s="73" t="n"/>
      <c r="K706" s="73" t="n"/>
      <c r="L706" s="73" t="n"/>
      <c r="M706" s="73" t="n"/>
      <c r="N706" s="57">
        <f>IF($A706="","",IF(IFERROR(VALUE($M706),0)=1,1,0))</f>
        <v/>
      </c>
      <c r="O706" s="57">
        <f>IF($A706="",0,IF(OR($S706&lt;&gt;1,COUNTA($J706:$M706)=0),0,IF($N706=1,$H706,0)))</f>
        <v/>
      </c>
      <c r="P706" s="48" t="inlineStr">
        <is>
          <t>sì/no</t>
        </is>
      </c>
      <c r="Q706" s="57">
        <f>IF($A706="","",$A706&amp;"|"&amp;$C706)</f>
        <v/>
      </c>
      <c r="R706" s="57">
        <f>IF($A706="","",$A706&amp;"|"&amp;$C706&amp;"|"&amp;$D706)</f>
        <v/>
      </c>
      <c r="S706" s="57">
        <f>IF($A706="","",IFERROR(INDEX(Offerte!$D$2:$D$81,MATCH($Q706,Offerte!$L$2:$L$81,0)),0))</f>
        <v/>
      </c>
      <c r="T706" s="57">
        <f>IF($A706="","",IFERROR(INDEX(Offerte!$G$2:$G$81,MATCH($Q706,Offerte!$L$2:$L$81,0)),"NO"))</f>
        <v/>
      </c>
    </row>
    <row r="707">
      <c r="A707" s="48">
        <f>IF(Offerte!$A24="","",Offerte!$A24)</f>
        <v/>
      </c>
      <c r="B707" s="48">
        <f>IF(Offerte!$A24="","",Offerte!$B24)</f>
        <v/>
      </c>
      <c r="C707" s="48">
        <f>IF(Offerte!$A24="","",Offerte!$C24)</f>
        <v/>
      </c>
      <c r="D707" s="48" t="inlineStr">
        <is>
          <t>E.2.1</t>
        </is>
      </c>
      <c r="E707" s="48" t="inlineStr">
        <is>
          <t>E</t>
        </is>
      </c>
      <c r="F707" s="48" t="inlineStr">
        <is>
          <t>D</t>
        </is>
      </c>
      <c r="G707" s="48" t="inlineStr">
        <is>
          <t>discretionary</t>
        </is>
      </c>
      <c r="H707" s="48" t="n">
        <v>2</v>
      </c>
      <c r="I707" s="48" t="inlineStr">
        <is>
          <t>Altre azioni informative e rapporti con gli utenti</t>
        </is>
      </c>
      <c r="J707" s="73" t="n"/>
      <c r="K707" s="73" t="n"/>
      <c r="L707" s="73" t="n"/>
      <c r="M707" s="73" t="n"/>
      <c r="N707" s="57">
        <f>IF($A707="","",MAX(0,MIN(1,IFERROR(VALUE($M707),0))))</f>
        <v/>
      </c>
      <c r="O707" s="57">
        <f>IF($A707="",0,IF(OR($S707&lt;&gt;1,COUNTA($J707:$M707)=0),0,IF(SUMPRODUCT(MAX(($C$5:$C$2484=$C707)*($D$5:$D$2484=$D707)*($S$5:$S$2484=1)*IFERROR($N$5:$N$2484*1,0)))&gt;0,ROUND($H707*($N707/SUMPRODUCT(MAX(($C$5:$C$2484=$C707)*($D$5:$D$2484=$D707)*($S$5:$S$2484=1)*IFERROR($N$5:$N$2484*1,0)))),4),0)))</f>
        <v/>
      </c>
      <c r="P707" s="48" t="inlineStr">
        <is>
          <t>coeff.</t>
        </is>
      </c>
      <c r="Q707" s="57">
        <f>IF($A707="","",$A707&amp;"|"&amp;$C707)</f>
        <v/>
      </c>
      <c r="R707" s="57">
        <f>IF($A707="","",$A707&amp;"|"&amp;$C707&amp;"|"&amp;$D707)</f>
        <v/>
      </c>
      <c r="S707" s="57">
        <f>IF($A707="","",IFERROR(INDEX(Offerte!$D$2:$D$81,MATCH($Q707,Offerte!$L$2:$L$81,0)),0))</f>
        <v/>
      </c>
      <c r="T707" s="57">
        <f>IF($A707="","",IFERROR(INDEX(Offerte!$G$2:$G$81,MATCH($Q707,Offerte!$L$2:$L$81,0)),"NO"))</f>
        <v/>
      </c>
    </row>
    <row r="708">
      <c r="A708" s="48">
        <f>IF(Offerte!$A24="","",Offerte!$A24)</f>
        <v/>
      </c>
      <c r="B708" s="48">
        <f>IF(Offerte!$A24="","",Offerte!$B24)</f>
        <v/>
      </c>
      <c r="C708" s="48">
        <f>IF(Offerte!$A24="","",Offerte!$C24)</f>
        <v/>
      </c>
      <c r="D708" s="48" t="inlineStr">
        <is>
          <t>F.1.1</t>
        </is>
      </c>
      <c r="E708" s="48" t="inlineStr">
        <is>
          <t>F</t>
        </is>
      </c>
      <c r="F708" s="48" t="inlineStr">
        <is>
          <t>Q</t>
        </is>
      </c>
      <c r="G708" s="48" t="inlineStr">
        <is>
          <t>lower</t>
        </is>
      </c>
      <c r="H708" s="48" t="n">
        <v>7</v>
      </c>
      <c r="I708" s="48" t="inlineStr">
        <is>
          <t>Performance ambientali del parco mezzi adibito al servizio - I_CEA</t>
        </is>
      </c>
      <c r="J708" s="73" t="n"/>
      <c r="K708" s="73" t="n"/>
      <c r="L708" s="73" t="n"/>
      <c r="M708" s="73" t="n"/>
      <c r="N708" s="57">
        <f>IF($A708="","",IFERROR(VALUE($J708),0))</f>
        <v/>
      </c>
      <c r="O708" s="57">
        <f>IF($A708="",0,IF(OR($S708&lt;&gt;1,COUNTA($J708:$M708)=0),0,IF(AND(IFERROR(AGGREGATE(15,6,$N$5:$N$2484/(($C$5:$C$2484=$C708)*($D$5:$D$2484=$D708)*($S$5:$S$2484=1)*($N$5:$N$2484&gt;0)),1),0)&gt;0,$N708&gt;0),ROUND($H708*(IFERROR(AGGREGATE(15,6,$N$5:$N$2484/(($C$5:$C$2484=$C708)*($D$5:$D$2484=$D708)*($S$5:$S$2484=1)*($N$5:$N$2484&gt;0)),1),0)/$N708),4),0)))</f>
        <v/>
      </c>
      <c r="P708" s="48" t="inlineStr">
        <is>
          <t>indice</t>
        </is>
      </c>
      <c r="Q708" s="57">
        <f>IF($A708="","",$A708&amp;"|"&amp;$C708)</f>
        <v/>
      </c>
      <c r="R708" s="57">
        <f>IF($A708="","",$A708&amp;"|"&amp;$C708&amp;"|"&amp;$D708)</f>
        <v/>
      </c>
      <c r="S708" s="57">
        <f>IF($A708="","",IFERROR(INDEX(Offerte!$D$2:$D$81,MATCH($Q708,Offerte!$L$2:$L$81,0)),0))</f>
        <v/>
      </c>
      <c r="T708" s="57">
        <f>IF($A708="","",IFERROR(INDEX(Offerte!$G$2:$G$81,MATCH($Q708,Offerte!$L$2:$L$81,0)),"NO"))</f>
        <v/>
      </c>
    </row>
    <row r="709">
      <c r="A709" s="48">
        <f>IF(Offerte!$A24="","",Offerte!$A24)</f>
        <v/>
      </c>
      <c r="B709" s="48">
        <f>IF(Offerte!$A24="","",Offerte!$B24)</f>
        <v/>
      </c>
      <c r="C709" s="48">
        <f>IF(Offerte!$A24="","",Offerte!$C24)</f>
        <v/>
      </c>
      <c r="D709" s="48" t="inlineStr">
        <is>
          <t>F.2.1</t>
        </is>
      </c>
      <c r="E709" s="48" t="inlineStr">
        <is>
          <t>F</t>
        </is>
      </c>
      <c r="F709" s="48" t="inlineStr">
        <is>
          <t>Q</t>
        </is>
      </c>
      <c r="G709" s="48" t="inlineStr">
        <is>
          <t>higher</t>
        </is>
      </c>
      <c r="H709" s="48" t="n">
        <v>2</v>
      </c>
      <c r="I709" s="48" t="inlineStr">
        <is>
          <t>Tasso di copertura del servizio con dispositivi ECO-DRIVER</t>
        </is>
      </c>
      <c r="J709" s="73" t="n"/>
      <c r="K709" s="73" t="n"/>
      <c r="L709" s="73" t="n"/>
      <c r="M709" s="73" t="n"/>
      <c r="N709" s="57">
        <f>IF($A709="","",IFERROR(VALUE($K709)/VALUE($L709),IFERROR(VALUE($J709),0)))</f>
        <v/>
      </c>
      <c r="O709" s="57">
        <f>IF($A709="",0,IF(OR($S709&lt;&gt;1,COUNTA($J709:$M709)=0),0,IF(SUMPRODUCT(MAX(($C$5:$C$2484=$C709)*($D$5:$D$2484=$D709)*($S$5:$S$2484=1)*IFERROR($N$5:$N$2484*1,0)))&gt;0,ROUND($H709*($N709/SUMPRODUCT(MAX(($C$5:$C$2484=$C709)*($D$5:$D$2484=$D709)*($S$5:$S$2484=1)*IFERROR($N$5:$N$2484*1,0)))),4),0)))</f>
        <v/>
      </c>
      <c r="P709" s="48" t="inlineStr">
        <is>
          <t>Autobus attrezzati con dispositivi ECO-DRIVER / Autobus totali in offerta, incluse scorte</t>
        </is>
      </c>
      <c r="Q709" s="57">
        <f>IF($A709="","",$A709&amp;"|"&amp;$C709)</f>
        <v/>
      </c>
      <c r="R709" s="57">
        <f>IF($A709="","",$A709&amp;"|"&amp;$C709&amp;"|"&amp;$D709)</f>
        <v/>
      </c>
      <c r="S709" s="57">
        <f>IF($A709="","",IFERROR(INDEX(Offerte!$D$2:$D$81,MATCH($Q709,Offerte!$L$2:$L$81,0)),0))</f>
        <v/>
      </c>
      <c r="T709" s="57">
        <f>IF($A709="","",IFERROR(INDEX(Offerte!$G$2:$G$81,MATCH($Q709,Offerte!$L$2:$L$81,0)),"NO"))</f>
        <v/>
      </c>
    </row>
    <row r="710">
      <c r="A710" s="48">
        <f>IF(Offerte!$A24="","",Offerte!$A24)</f>
        <v/>
      </c>
      <c r="B710" s="48">
        <f>IF(Offerte!$A24="","",Offerte!$B24)</f>
        <v/>
      </c>
      <c r="C710" s="48">
        <f>IF(Offerte!$A24="","",Offerte!$C24)</f>
        <v/>
      </c>
      <c r="D710" s="48" t="inlineStr">
        <is>
          <t>F.3.1</t>
        </is>
      </c>
      <c r="E710" s="48" t="inlineStr">
        <is>
          <t>F</t>
        </is>
      </c>
      <c r="F710" s="48" t="inlineStr">
        <is>
          <t>Q</t>
        </is>
      </c>
      <c r="G710" s="48" t="inlineStr">
        <is>
          <t>higher</t>
        </is>
      </c>
      <c r="H710" s="48" t="n">
        <v>2</v>
      </c>
      <c r="I710" s="48" t="inlineStr">
        <is>
          <t>Autoproduzione consumi elettrici per trazione</t>
        </is>
      </c>
      <c r="J710" s="73" t="n"/>
      <c r="K710" s="73" t="n"/>
      <c r="L710" s="73" t="n"/>
      <c r="M710" s="73" t="n"/>
      <c r="N710" s="57">
        <f>IF($A710="","",IFERROR(VALUE($J710),0))</f>
        <v/>
      </c>
      <c r="O710" s="57">
        <f>IF($A710="",0,IF(OR($S710&lt;&gt;1,COUNTA($J710:$M710)=0),0,IF(SUMPRODUCT(MAX(($C$5:$C$2484=$C710)*($D$5:$D$2484=$D710)*($S$5:$S$2484=1)*IFERROR($N$5:$N$2484*1,0)))&gt;0,ROUND($H710*($N710/SUMPRODUCT(MAX(($C$5:$C$2484=$C710)*($D$5:$D$2484=$D710)*($S$5:$S$2484=1)*IFERROR($N$5:$N$2484*1,0)))),4),0)))</f>
        <v/>
      </c>
      <c r="P710" s="48" t="inlineStr">
        <is>
          <t>kWh/anno</t>
        </is>
      </c>
      <c r="Q710" s="57">
        <f>IF($A710="","",$A710&amp;"|"&amp;$C710)</f>
        <v/>
      </c>
      <c r="R710" s="57">
        <f>IF($A710="","",$A710&amp;"|"&amp;$C710&amp;"|"&amp;$D710)</f>
        <v/>
      </c>
      <c r="S710" s="57">
        <f>IF($A710="","",IFERROR(INDEX(Offerte!$D$2:$D$81,MATCH($Q710,Offerte!$L$2:$L$81,0)),0))</f>
        <v/>
      </c>
      <c r="T710" s="57">
        <f>IF($A710="","",IFERROR(INDEX(Offerte!$G$2:$G$81,MATCH($Q710,Offerte!$L$2:$L$81,0)),"NO"))</f>
        <v/>
      </c>
    </row>
    <row r="711">
      <c r="A711" s="48">
        <f>IF(Offerte!$A24="","",Offerte!$A24)</f>
        <v/>
      </c>
      <c r="B711" s="48">
        <f>IF(Offerte!$A24="","",Offerte!$B24)</f>
        <v/>
      </c>
      <c r="C711" s="48">
        <f>IF(Offerte!$A24="","",Offerte!$C24)</f>
        <v/>
      </c>
      <c r="D711" s="48" t="inlineStr">
        <is>
          <t>F.4.1</t>
        </is>
      </c>
      <c r="E711" s="48" t="inlineStr">
        <is>
          <t>F</t>
        </is>
      </c>
      <c r="F711" s="48" t="inlineStr">
        <is>
          <t>Q</t>
        </is>
      </c>
      <c r="G711" s="48" t="inlineStr">
        <is>
          <t>soil</t>
        </is>
      </c>
      <c r="H711" s="48" t="n">
        <v>2</v>
      </c>
      <c r="I711" s="48" t="inlineStr">
        <is>
          <t>Indice di consumo di suolo</t>
        </is>
      </c>
      <c r="J711" s="73" t="n"/>
      <c r="K711" s="73" t="n"/>
      <c r="L711" s="73" t="n"/>
      <c r="M711" s="73" t="n"/>
      <c r="N711" s="57">
        <f>IF($A711="","",IFERROR(VALUE($J711),0))</f>
        <v/>
      </c>
      <c r="O711" s="57">
        <f>IF($A711="",0,IF(OR($S711&lt;&gt;1,COUNTA($J711:$M711)=0),0,IF($N711&lt;=0,$H711,IF(SUMPRODUCT(MAX(($C$5:$C$2484=$C711)*($D$5:$D$2484=$D711)*($S$5:$S$2484=1)*IFERROR($N$5:$N$2484*1,0)))&gt;0,ROUND($H711*((SUMPRODUCT(MAX(($C$5:$C$2484=$C711)*($D$5:$D$2484=$D711)*($S$5:$S$2484=1)*IFERROR($N$5:$N$2484*1,0)))-$N711)/SUMPRODUCT(MAX(($C$5:$C$2484=$C711)*($D$5:$D$2484=$D711)*($S$5:$S$2484=1)*IFERROR($N$5:$N$2484*1,0)))),4),0))))</f>
        <v/>
      </c>
      <c r="P711" s="48" t="inlineStr">
        <is>
          <t>m2</t>
        </is>
      </c>
      <c r="Q711" s="57">
        <f>IF($A711="","",$A711&amp;"|"&amp;$C711)</f>
        <v/>
      </c>
      <c r="R711" s="57">
        <f>IF($A711="","",$A711&amp;"|"&amp;$C711&amp;"|"&amp;$D711)</f>
        <v/>
      </c>
      <c r="S711" s="57">
        <f>IF($A711="","",IFERROR(INDEX(Offerte!$D$2:$D$81,MATCH($Q711,Offerte!$L$2:$L$81,0)),0))</f>
        <v/>
      </c>
      <c r="T711" s="57">
        <f>IF($A711="","",IFERROR(INDEX(Offerte!$G$2:$G$81,MATCH($Q711,Offerte!$L$2:$L$81,0)),"NO"))</f>
        <v/>
      </c>
    </row>
    <row r="712">
      <c r="A712" s="48">
        <f>IF(Offerte!$A24="","",Offerte!$A24)</f>
        <v/>
      </c>
      <c r="B712" s="48">
        <f>IF(Offerte!$A24="","",Offerte!$B24)</f>
        <v/>
      </c>
      <c r="C712" s="48">
        <f>IF(Offerte!$A24="","",Offerte!$C24)</f>
        <v/>
      </c>
      <c r="D712" s="48" t="inlineStr">
        <is>
          <t>F.5.1</t>
        </is>
      </c>
      <c r="E712" s="48" t="inlineStr">
        <is>
          <t>F</t>
        </is>
      </c>
      <c r="F712" s="48" t="inlineStr">
        <is>
          <t>T</t>
        </is>
      </c>
      <c r="G712" s="48" t="inlineStr">
        <is>
          <t>tabular</t>
        </is>
      </c>
      <c r="H712" s="48" t="n">
        <v>1</v>
      </c>
      <c r="I712" s="48" t="inlineStr">
        <is>
          <t>Rendicontazione di sostenibilità ambientale</t>
        </is>
      </c>
      <c r="J712" s="73" t="n"/>
      <c r="K712" s="73" t="n"/>
      <c r="L712" s="73" t="n"/>
      <c r="M712" s="73" t="n"/>
      <c r="N712" s="57">
        <f>IF($A712="","",IF(IFERROR(VALUE($M712),0)=1,1,0))</f>
        <v/>
      </c>
      <c r="O712" s="57">
        <f>IF($A712="",0,IF(OR($S712&lt;&gt;1,COUNTA($J712:$M712)=0),0,IF($N712=1,$H712,0)))</f>
        <v/>
      </c>
      <c r="P712" s="48" t="inlineStr">
        <is>
          <t>sì/no</t>
        </is>
      </c>
      <c r="Q712" s="57">
        <f>IF($A712="","",$A712&amp;"|"&amp;$C712)</f>
        <v/>
      </c>
      <c r="R712" s="57">
        <f>IF($A712="","",$A712&amp;"|"&amp;$C712&amp;"|"&amp;$D712)</f>
        <v/>
      </c>
      <c r="S712" s="57">
        <f>IF($A712="","",IFERROR(INDEX(Offerte!$D$2:$D$81,MATCH($Q712,Offerte!$L$2:$L$81,0)),0))</f>
        <v/>
      </c>
      <c r="T712" s="57">
        <f>IF($A712="","",IFERROR(INDEX(Offerte!$G$2:$G$81,MATCH($Q712,Offerte!$L$2:$L$81,0)),"NO"))</f>
        <v/>
      </c>
    </row>
    <row r="713">
      <c r="A713" s="48">
        <f>IF(Offerte!$A24="","",Offerte!$A24)</f>
        <v/>
      </c>
      <c r="B713" s="48">
        <f>IF(Offerte!$A24="","",Offerte!$B24)</f>
        <v/>
      </c>
      <c r="C713" s="48">
        <f>IF(Offerte!$A24="","",Offerte!$C24)</f>
        <v/>
      </c>
      <c r="D713" s="48" t="inlineStr">
        <is>
          <t>G.1.1</t>
        </is>
      </c>
      <c r="E713" s="48" t="inlineStr">
        <is>
          <t>G</t>
        </is>
      </c>
      <c r="F713" s="48" t="inlineStr">
        <is>
          <t>D</t>
        </is>
      </c>
      <c r="G713" s="48" t="inlineStr">
        <is>
          <t>discretionary</t>
        </is>
      </c>
      <c r="H713" s="48" t="n">
        <v>2</v>
      </c>
      <c r="I713" s="48" t="inlineStr">
        <is>
          <t>Qualità del progetto di centrale di controllo aziendale</t>
        </is>
      </c>
      <c r="J713" s="73" t="n"/>
      <c r="K713" s="73" t="n"/>
      <c r="L713" s="73" t="n"/>
      <c r="M713" s="73" t="n"/>
      <c r="N713" s="57">
        <f>IF($A713="","",MAX(0,MIN(1,IFERROR(VALUE($M713),0))))</f>
        <v/>
      </c>
      <c r="O713" s="57">
        <f>IF($A713="",0,IF(OR($S713&lt;&gt;1,COUNTA($J713:$M713)=0),0,IF(SUMPRODUCT(MAX(($C$5:$C$2484=$C713)*($D$5:$D$2484=$D713)*($S$5:$S$2484=1)*IFERROR($N$5:$N$2484*1,0)))&gt;0,ROUND($H713*($N713/SUMPRODUCT(MAX(($C$5:$C$2484=$C713)*($D$5:$D$2484=$D713)*($S$5:$S$2484=1)*IFERROR($N$5:$N$2484*1,0)))),4),0)))</f>
        <v/>
      </c>
      <c r="P713" s="48" t="inlineStr">
        <is>
          <t>coeff.</t>
        </is>
      </c>
      <c r="Q713" s="57">
        <f>IF($A713="","",$A713&amp;"|"&amp;$C713)</f>
        <v/>
      </c>
      <c r="R713" s="57">
        <f>IF($A713="","",$A713&amp;"|"&amp;$C713&amp;"|"&amp;$D713)</f>
        <v/>
      </c>
      <c r="S713" s="57">
        <f>IF($A713="","",IFERROR(INDEX(Offerte!$D$2:$D$81,MATCH($Q713,Offerte!$L$2:$L$81,0)),0))</f>
        <v/>
      </c>
      <c r="T713" s="57">
        <f>IF($A713="","",IFERROR(INDEX(Offerte!$G$2:$G$81,MATCH($Q713,Offerte!$L$2:$L$81,0)),"NO"))</f>
        <v/>
      </c>
    </row>
    <row r="714">
      <c r="A714" s="48">
        <f>IF(Offerte!$A24="","",Offerte!$A24)</f>
        <v/>
      </c>
      <c r="B714" s="48">
        <f>IF(Offerte!$A24="","",Offerte!$B24)</f>
        <v/>
      </c>
      <c r="C714" s="48">
        <f>IF(Offerte!$A24="","",Offerte!$C24)</f>
        <v/>
      </c>
      <c r="D714" s="48" t="inlineStr">
        <is>
          <t>G.2.1</t>
        </is>
      </c>
      <c r="E714" s="48" t="inlineStr">
        <is>
          <t>G</t>
        </is>
      </c>
      <c r="F714" s="48" t="inlineStr">
        <is>
          <t>T</t>
        </is>
      </c>
      <c r="G714" s="48" t="inlineStr">
        <is>
          <t>tabular</t>
        </is>
      </c>
      <c r="H714" s="48" t="n">
        <v>1</v>
      </c>
      <c r="I714" s="48" t="inlineStr">
        <is>
          <t>Certificazione ISO 45001</t>
        </is>
      </c>
      <c r="J714" s="73" t="n"/>
      <c r="K714" s="73" t="n"/>
      <c r="L714" s="73" t="n"/>
      <c r="M714" s="73" t="n"/>
      <c r="N714" s="57">
        <f>IF($A714="","",IF(IFERROR(VALUE($M714),0)=1,1,0))</f>
        <v/>
      </c>
      <c r="O714" s="57">
        <f>IF($A714="",0,IF(OR($S714&lt;&gt;1,COUNTA($J714:$M714)=0),0,IF($N714=1,$H714,0)))</f>
        <v/>
      </c>
      <c r="P714" s="48" t="inlineStr">
        <is>
          <t>sì/no</t>
        </is>
      </c>
      <c r="Q714" s="57">
        <f>IF($A714="","",$A714&amp;"|"&amp;$C714)</f>
        <v/>
      </c>
      <c r="R714" s="57">
        <f>IF($A714="","",$A714&amp;"|"&amp;$C714&amp;"|"&amp;$D714)</f>
        <v/>
      </c>
      <c r="S714" s="57">
        <f>IF($A714="","",IFERROR(INDEX(Offerte!$D$2:$D$81,MATCH($Q714,Offerte!$L$2:$L$81,0)),0))</f>
        <v/>
      </c>
      <c r="T714" s="57">
        <f>IF($A714="","",IFERROR(INDEX(Offerte!$G$2:$G$81,MATCH($Q714,Offerte!$L$2:$L$81,0)),"NO"))</f>
        <v/>
      </c>
    </row>
    <row r="715">
      <c r="A715" s="48">
        <f>IF(Offerte!$A24="","",Offerte!$A24)</f>
        <v/>
      </c>
      <c r="B715" s="48">
        <f>IF(Offerte!$A24="","",Offerte!$B24)</f>
        <v/>
      </c>
      <c r="C715" s="48">
        <f>IF(Offerte!$A24="","",Offerte!$C24)</f>
        <v/>
      </c>
      <c r="D715" s="48" t="inlineStr">
        <is>
          <t>G.3.1</t>
        </is>
      </c>
      <c r="E715" s="48" t="inlineStr">
        <is>
          <t>G</t>
        </is>
      </c>
      <c r="F715" s="48" t="inlineStr">
        <is>
          <t>T</t>
        </is>
      </c>
      <c r="G715" s="48" t="inlineStr">
        <is>
          <t>tabular</t>
        </is>
      </c>
      <c r="H715" s="48" t="n">
        <v>1</v>
      </c>
      <c r="I715" s="48" t="inlineStr">
        <is>
          <t>Certificazioni di responsabilità sociale</t>
        </is>
      </c>
      <c r="J715" s="73" t="n"/>
      <c r="K715" s="73" t="n"/>
      <c r="L715" s="73" t="n"/>
      <c r="M715" s="73" t="n"/>
      <c r="N715" s="57">
        <f>IF($A715="","",IF(IFERROR(VALUE($M715),0)=1,1,0))</f>
        <v/>
      </c>
      <c r="O715" s="57">
        <f>IF($A715="",0,IF(OR($S715&lt;&gt;1,COUNTA($J715:$M715)=0),0,IF($N715=1,$H715,0)))</f>
        <v/>
      </c>
      <c r="P715" s="48" t="inlineStr">
        <is>
          <t>sì/no</t>
        </is>
      </c>
      <c r="Q715" s="57">
        <f>IF($A715="","",$A715&amp;"|"&amp;$C715)</f>
        <v/>
      </c>
      <c r="R715" s="57">
        <f>IF($A715="","",$A715&amp;"|"&amp;$C715&amp;"|"&amp;$D715)</f>
        <v/>
      </c>
      <c r="S715" s="57">
        <f>IF($A715="","",IFERROR(INDEX(Offerte!$D$2:$D$81,MATCH($Q715,Offerte!$L$2:$L$81,0)),0))</f>
        <v/>
      </c>
      <c r="T715" s="57">
        <f>IF($A715="","",IFERROR(INDEX(Offerte!$G$2:$G$81,MATCH($Q715,Offerte!$L$2:$L$81,0)),"NO"))</f>
        <v/>
      </c>
    </row>
    <row r="716">
      <c r="A716" s="48">
        <f>IF(Offerte!$A24="","",Offerte!$A24)</f>
        <v/>
      </c>
      <c r="B716" s="48">
        <f>IF(Offerte!$A24="","",Offerte!$B24)</f>
        <v/>
      </c>
      <c r="C716" s="48">
        <f>IF(Offerte!$A24="","",Offerte!$C24)</f>
        <v/>
      </c>
      <c r="D716" s="48" t="inlineStr">
        <is>
          <t>G.4.1</t>
        </is>
      </c>
      <c r="E716" s="48" t="inlineStr">
        <is>
          <t>G</t>
        </is>
      </c>
      <c r="F716" s="48" t="inlineStr">
        <is>
          <t>D</t>
        </is>
      </c>
      <c r="G716" s="48" t="inlineStr">
        <is>
          <t>discretionary</t>
        </is>
      </c>
      <c r="H716" s="48" t="n">
        <v>2</v>
      </c>
      <c r="I716" s="48" t="inlineStr">
        <is>
          <t>Qualità del piano di formazione del personale</t>
        </is>
      </c>
      <c r="J716" s="73" t="n"/>
      <c r="K716" s="73" t="n"/>
      <c r="L716" s="73" t="n"/>
      <c r="M716" s="73" t="n"/>
      <c r="N716" s="57">
        <f>IF($A716="","",MAX(0,MIN(1,IFERROR(VALUE($M716),0))))</f>
        <v/>
      </c>
      <c r="O716" s="57">
        <f>IF($A716="",0,IF(OR($S716&lt;&gt;1,COUNTA($J716:$M716)=0),0,IF(SUMPRODUCT(MAX(($C$5:$C$2484=$C716)*($D$5:$D$2484=$D716)*($S$5:$S$2484=1)*IFERROR($N$5:$N$2484*1,0)))&gt;0,ROUND($H716*($N716/SUMPRODUCT(MAX(($C$5:$C$2484=$C716)*($D$5:$D$2484=$D716)*($S$5:$S$2484=1)*IFERROR($N$5:$N$2484*1,0)))),4),0)))</f>
        <v/>
      </c>
      <c r="P716" s="48" t="inlineStr">
        <is>
          <t>coeff.</t>
        </is>
      </c>
      <c r="Q716" s="57">
        <f>IF($A716="","",$A716&amp;"|"&amp;$C716)</f>
        <v/>
      </c>
      <c r="R716" s="57">
        <f>IF($A716="","",$A716&amp;"|"&amp;$C716&amp;"|"&amp;$D716)</f>
        <v/>
      </c>
      <c r="S716" s="57">
        <f>IF($A716="","",IFERROR(INDEX(Offerte!$D$2:$D$81,MATCH($Q716,Offerte!$L$2:$L$81,0)),0))</f>
        <v/>
      </c>
      <c r="T716" s="57">
        <f>IF($A716="","",IFERROR(INDEX(Offerte!$G$2:$G$81,MATCH($Q716,Offerte!$L$2:$L$81,0)),"NO"))</f>
        <v/>
      </c>
    </row>
    <row r="717">
      <c r="A717" s="48">
        <f>IF(Offerte!$A24="","",Offerte!$A24)</f>
        <v/>
      </c>
      <c r="B717" s="48">
        <f>IF(Offerte!$A24="","",Offerte!$B24)</f>
        <v/>
      </c>
      <c r="C717" s="48">
        <f>IF(Offerte!$A24="","",Offerte!$C24)</f>
        <v/>
      </c>
      <c r="D717" s="48" t="inlineStr">
        <is>
          <t>G.5.1</t>
        </is>
      </c>
      <c r="E717" s="48" t="inlineStr">
        <is>
          <t>G</t>
        </is>
      </c>
      <c r="F717" s="48" t="inlineStr">
        <is>
          <t>T</t>
        </is>
      </c>
      <c r="G717" s="48" t="inlineStr">
        <is>
          <t>tabular</t>
        </is>
      </c>
      <c r="H717" s="48" t="n">
        <v>1</v>
      </c>
      <c r="I717" s="48" t="inlineStr">
        <is>
          <t>Impegno al mantenimento delle garanzie del contratto di secondo livello del gestore uscente</t>
        </is>
      </c>
      <c r="J717" s="73" t="n"/>
      <c r="K717" s="73" t="n"/>
      <c r="L717" s="73" t="n"/>
      <c r="M717" s="73" t="n"/>
      <c r="N717" s="57">
        <f>IF($A717="","",IF(IFERROR(VALUE($M717),0)=1,1,0))</f>
        <v/>
      </c>
      <c r="O717" s="57">
        <f>IF($A717="",0,IF(OR($S717&lt;&gt;1,COUNTA($J717:$M717)=0),0,IF($N717=1,$H717,0)))</f>
        <v/>
      </c>
      <c r="P717" s="48" t="inlineStr">
        <is>
          <t>sì/no</t>
        </is>
      </c>
      <c r="Q717" s="57">
        <f>IF($A717="","",$A717&amp;"|"&amp;$C717)</f>
        <v/>
      </c>
      <c r="R717" s="57">
        <f>IF($A717="","",$A717&amp;"|"&amp;$C717&amp;"|"&amp;$D717)</f>
        <v/>
      </c>
      <c r="S717" s="57">
        <f>IF($A717="","",IFERROR(INDEX(Offerte!$D$2:$D$81,MATCH($Q717,Offerte!$L$2:$L$81,0)),0))</f>
        <v/>
      </c>
      <c r="T717" s="57">
        <f>IF($A717="","",IFERROR(INDEX(Offerte!$G$2:$G$81,MATCH($Q717,Offerte!$L$2:$L$81,0)),"NO"))</f>
        <v/>
      </c>
    </row>
    <row r="718">
      <c r="A718" s="48">
        <f>IF(Offerte!$A25="","",Offerte!$A25)</f>
        <v/>
      </c>
      <c r="B718" s="48">
        <f>IF(Offerte!$A25="","",Offerte!$B25)</f>
        <v/>
      </c>
      <c r="C718" s="48">
        <f>IF(Offerte!$A25="","",Offerte!$C25)</f>
        <v/>
      </c>
      <c r="D718" s="48" t="inlineStr">
        <is>
          <t>A.1.1</t>
        </is>
      </c>
      <c r="E718" s="48" t="inlineStr">
        <is>
          <t>A</t>
        </is>
      </c>
      <c r="F718" s="48" t="inlineStr">
        <is>
          <t>Q</t>
        </is>
      </c>
      <c r="G718" s="48" t="inlineStr">
        <is>
          <t>higher</t>
        </is>
      </c>
      <c r="H718" s="48" t="n">
        <v>3</v>
      </c>
      <c r="I718" s="48" t="inlineStr">
        <is>
          <t>Tasso aggiuntivo di corse controllate</t>
        </is>
      </c>
      <c r="J718" s="73" t="n"/>
      <c r="K718" s="73" t="n"/>
      <c r="L718" s="73" t="n"/>
      <c r="M718" s="73" t="n"/>
      <c r="N718" s="57">
        <f>IF($A718="","",IFERROR(VALUE($K718)/VALUE($L718)*100,IFERROR(VALUE($J718),0)))</f>
        <v/>
      </c>
      <c r="O718" s="57">
        <f>IF($A718="",0,IF(OR($S718&lt;&gt;1,COUNTA($J718:$M718)=0),0,IF(SUMPRODUCT(MAX(($C$5:$C$2484=$C718)*($D$5:$D$2484=$D718)*($S$5:$S$2484=1)*IFERROR($N$5:$N$2484*1,0)))&gt;0,ROUND($H718*($N718/SUMPRODUCT(MAX(($C$5:$C$2484=$C718)*($D$5:$D$2484=$D718)*($S$5:$S$2484=1)*IFERROR($N$5:$N$2484*1,0)))),4),0)))</f>
        <v/>
      </c>
      <c r="P718" s="48" t="inlineStr">
        <is>
          <t>Corse controllate annue / Corse programmate annue</t>
        </is>
      </c>
      <c r="Q718" s="57">
        <f>IF($A718="","",$A718&amp;"|"&amp;$C718)</f>
        <v/>
      </c>
      <c r="R718" s="57">
        <f>IF($A718="","",$A718&amp;"|"&amp;$C718&amp;"|"&amp;$D718)</f>
        <v/>
      </c>
      <c r="S718" s="57">
        <f>IF($A718="","",IFERROR(INDEX(Offerte!$D$2:$D$81,MATCH($Q718,Offerte!$L$2:$L$81,0)),0))</f>
        <v/>
      </c>
      <c r="T718" s="57">
        <f>IF($A718="","",IFERROR(INDEX(Offerte!$G$2:$G$81,MATCH($Q718,Offerte!$L$2:$L$81,0)),"NO"))</f>
        <v/>
      </c>
    </row>
    <row r="719">
      <c r="A719" s="48">
        <f>IF(Offerte!$A25="","",Offerte!$A25)</f>
        <v/>
      </c>
      <c r="B719" s="48">
        <f>IF(Offerte!$A25="","",Offerte!$B25)</f>
        <v/>
      </c>
      <c r="C719" s="48">
        <f>IF(Offerte!$A25="","",Offerte!$C25)</f>
        <v/>
      </c>
      <c r="D719" s="48" t="inlineStr">
        <is>
          <t>A.1.2</t>
        </is>
      </c>
      <c r="E719" s="48" t="inlineStr">
        <is>
          <t>A</t>
        </is>
      </c>
      <c r="F719" s="48" t="inlineStr">
        <is>
          <t>Q</t>
        </is>
      </c>
      <c r="G719" s="48" t="inlineStr">
        <is>
          <t>higher</t>
        </is>
      </c>
      <c r="H719" s="48" t="n">
        <v>4</v>
      </c>
      <c r="I719" s="48" t="inlineStr">
        <is>
          <t>Numero aggiuntivo di passeggeri controllati</t>
        </is>
      </c>
      <c r="J719" s="73" t="n"/>
      <c r="K719" s="73" t="n"/>
      <c r="L719" s="73" t="n"/>
      <c r="M719" s="73" t="n"/>
      <c r="N719" s="57">
        <f>IF($A719="","",IFERROR(VALUE($J719),0))</f>
        <v/>
      </c>
      <c r="O719" s="57">
        <f>IF($A719="",0,IF(OR($S719&lt;&gt;1,COUNTA($J719:$M719)=0),0,IF(SUMPRODUCT(MAX(($C$5:$C$2484=$C719)*($D$5:$D$2484=$D719)*($S$5:$S$2484=1)*IFERROR($N$5:$N$2484*1,0)))&gt;0,ROUND($H719*($N719/SUMPRODUCT(MAX(($C$5:$C$2484=$C719)*($D$5:$D$2484=$D719)*($S$5:$S$2484=1)*IFERROR($N$5:$N$2484*1,0)))),4),0)))</f>
        <v/>
      </c>
      <c r="P719" s="48" t="inlineStr">
        <is>
          <t>passeggeri/anno</t>
        </is>
      </c>
      <c r="Q719" s="57">
        <f>IF($A719="","",$A719&amp;"|"&amp;$C719)</f>
        <v/>
      </c>
      <c r="R719" s="57">
        <f>IF($A719="","",$A719&amp;"|"&amp;$C719&amp;"|"&amp;$D719)</f>
        <v/>
      </c>
      <c r="S719" s="57">
        <f>IF($A719="","",IFERROR(INDEX(Offerte!$D$2:$D$81,MATCH($Q719,Offerte!$L$2:$L$81,0)),0))</f>
        <v/>
      </c>
      <c r="T719" s="57">
        <f>IF($A719="","",IFERROR(INDEX(Offerte!$G$2:$G$81,MATCH($Q719,Offerte!$L$2:$L$81,0)),"NO"))</f>
        <v/>
      </c>
    </row>
    <row r="720">
      <c r="A720" s="48">
        <f>IF(Offerte!$A25="","",Offerte!$A25)</f>
        <v/>
      </c>
      <c r="B720" s="48">
        <f>IF(Offerte!$A25="","",Offerte!$B25)</f>
        <v/>
      </c>
      <c r="C720" s="48">
        <f>IF(Offerte!$A25="","",Offerte!$C25)</f>
        <v/>
      </c>
      <c r="D720" s="48" t="inlineStr">
        <is>
          <t>B.1.1</t>
        </is>
      </c>
      <c r="E720" s="48" t="inlineStr">
        <is>
          <t>B</t>
        </is>
      </c>
      <c r="F720" s="48" t="inlineStr">
        <is>
          <t>Q</t>
        </is>
      </c>
      <c r="G720" s="48" t="inlineStr">
        <is>
          <t>higher</t>
        </is>
      </c>
      <c r="H720" s="48" t="n">
        <v>3</v>
      </c>
      <c r="I720" s="48" t="inlineStr">
        <is>
          <t>Incremento dei posti offerti nelle fasce di punta</t>
        </is>
      </c>
      <c r="J720" s="73" t="n"/>
      <c r="K720" s="73" t="n"/>
      <c r="L720" s="73" t="n"/>
      <c r="M720" s="73" t="n"/>
      <c r="N720" s="57">
        <f>IF($A720="","",IFERROR(VALUE($J720),0))</f>
        <v/>
      </c>
      <c r="O720" s="57">
        <f>IF($A720="",0,IF(OR($S720&lt;&gt;1,COUNTA($J720:$M720)=0),0,IF(SUMPRODUCT(MAX(($C$5:$C$2484=$C720)*($D$5:$D$2484=$D720)*($S$5:$S$2484=1)*IFERROR($N$5:$N$2484*1,0)))&gt;0,ROUND($H720*($N720/SUMPRODUCT(MAX(($C$5:$C$2484=$C720)*($D$5:$D$2484=$D720)*($S$5:$S$2484=1)*IFERROR($N$5:$N$2484*1,0)))),4),0)))</f>
        <v/>
      </c>
      <c r="P720" s="48" t="inlineStr">
        <is>
          <t>posti*km</t>
        </is>
      </c>
      <c r="Q720" s="57">
        <f>IF($A720="","",$A720&amp;"|"&amp;$C720)</f>
        <v/>
      </c>
      <c r="R720" s="57">
        <f>IF($A720="","",$A720&amp;"|"&amp;$C720&amp;"|"&amp;$D720)</f>
        <v/>
      </c>
      <c r="S720" s="57">
        <f>IF($A720="","",IFERROR(INDEX(Offerte!$D$2:$D$81,MATCH($Q720,Offerte!$L$2:$L$81,0)),0))</f>
        <v/>
      </c>
      <c r="T720" s="57">
        <f>IF($A720="","",IFERROR(INDEX(Offerte!$G$2:$G$81,MATCH($Q720,Offerte!$L$2:$L$81,0)),"NO"))</f>
        <v/>
      </c>
    </row>
    <row r="721">
      <c r="A721" s="48">
        <f>IF(Offerte!$A25="","",Offerte!$A25)</f>
        <v/>
      </c>
      <c r="B721" s="48">
        <f>IF(Offerte!$A25="","",Offerte!$B25)</f>
        <v/>
      </c>
      <c r="C721" s="48">
        <f>IF(Offerte!$A25="","",Offerte!$C25)</f>
        <v/>
      </c>
      <c r="D721" s="48" t="inlineStr">
        <is>
          <t>B.2.1</t>
        </is>
      </c>
      <c r="E721" s="48" t="inlineStr">
        <is>
          <t>B</t>
        </is>
      </c>
      <c r="F721" s="48" t="inlineStr">
        <is>
          <t>Q</t>
        </is>
      </c>
      <c r="G721" s="48" t="inlineStr">
        <is>
          <t>higher</t>
        </is>
      </c>
      <c r="H721" s="48" t="n">
        <v>4</v>
      </c>
      <c r="I721" s="48" t="inlineStr">
        <is>
          <t>Corse aggiuntive nell'arco giornaliero base</t>
        </is>
      </c>
      <c r="J721" s="73" t="n"/>
      <c r="K721" s="73" t="n"/>
      <c r="L721" s="73" t="n"/>
      <c r="M721" s="73" t="n"/>
      <c r="N721" s="57">
        <f>IF($A721="","",IFERROR(VALUE($J721),0))</f>
        <v/>
      </c>
      <c r="O721" s="57">
        <f>IF($A721="",0,IF(OR($S721&lt;&gt;1,COUNTA($J721:$M721)=0),0,IF(SUMPRODUCT(MAX(($C$5:$C$2484=$C721)*($D$5:$D$2484=$D721)*($S$5:$S$2484=1)*IFERROR($N$5:$N$2484*1,0)))&gt;0,ROUND($H721*($N721/SUMPRODUCT(MAX(($C$5:$C$2484=$C721)*($D$5:$D$2484=$D721)*($S$5:$S$2484=1)*IFERROR($N$5:$N$2484*1,0)))),4),0)))</f>
        <v/>
      </c>
      <c r="P721" s="48" t="inlineStr">
        <is>
          <t>corse</t>
        </is>
      </c>
      <c r="Q721" s="57">
        <f>IF($A721="","",$A721&amp;"|"&amp;$C721)</f>
        <v/>
      </c>
      <c r="R721" s="57">
        <f>IF($A721="","",$A721&amp;"|"&amp;$C721&amp;"|"&amp;$D721)</f>
        <v/>
      </c>
      <c r="S721" s="57">
        <f>IF($A721="","",IFERROR(INDEX(Offerte!$D$2:$D$81,MATCH($Q721,Offerte!$L$2:$L$81,0)),0))</f>
        <v/>
      </c>
      <c r="T721" s="57">
        <f>IF($A721="","",IFERROR(INDEX(Offerte!$G$2:$G$81,MATCH($Q721,Offerte!$L$2:$L$81,0)),"NO"))</f>
        <v/>
      </c>
    </row>
    <row r="722">
      <c r="A722" s="48">
        <f>IF(Offerte!$A25="","",Offerte!$A25)</f>
        <v/>
      </c>
      <c r="B722" s="48">
        <f>IF(Offerte!$A25="","",Offerte!$B25)</f>
        <v/>
      </c>
      <c r="C722" s="48">
        <f>IF(Offerte!$A25="","",Offerte!$C25)</f>
        <v/>
      </c>
      <c r="D722" s="48" t="inlineStr">
        <is>
          <t>B.3.1</t>
        </is>
      </c>
      <c r="E722" s="48" t="inlineStr">
        <is>
          <t>B</t>
        </is>
      </c>
      <c r="F722" s="48" t="inlineStr">
        <is>
          <t>Q</t>
        </is>
      </c>
      <c r="G722" s="48" t="inlineStr">
        <is>
          <t>higher</t>
        </is>
      </c>
      <c r="H722" s="48" t="n">
        <v>2</v>
      </c>
      <c r="I722" s="48" t="inlineStr">
        <is>
          <t>Numero di corse aggiuntive per allungamento dell'arco di servizio giornaliero nelle fasce serali</t>
        </is>
      </c>
      <c r="J722" s="73" t="n"/>
      <c r="K722" s="73" t="n"/>
      <c r="L722" s="73" t="n"/>
      <c r="M722" s="73" t="n"/>
      <c r="N722" s="57">
        <f>IF($A722="","",IFERROR(VALUE($J722),0))</f>
        <v/>
      </c>
      <c r="O722" s="57">
        <f>IF($A722="",0,IF(OR($S722&lt;&gt;1,COUNTA($J722:$M722)=0),0,IF(SUMPRODUCT(MAX(($C$5:$C$2484=$C722)*($D$5:$D$2484=$D722)*($S$5:$S$2484=1)*IFERROR($N$5:$N$2484*1,0)))&gt;0,ROUND($H722*($N722/SUMPRODUCT(MAX(($C$5:$C$2484=$C722)*($D$5:$D$2484=$D722)*($S$5:$S$2484=1)*IFERROR($N$5:$N$2484*1,0)))),4),0)))</f>
        <v/>
      </c>
      <c r="P722" s="48" t="inlineStr">
        <is>
          <t>corse</t>
        </is>
      </c>
      <c r="Q722" s="57">
        <f>IF($A722="","",$A722&amp;"|"&amp;$C722)</f>
        <v/>
      </c>
      <c r="R722" s="57">
        <f>IF($A722="","",$A722&amp;"|"&amp;$C722&amp;"|"&amp;$D722)</f>
        <v/>
      </c>
      <c r="S722" s="57">
        <f>IF($A722="","",IFERROR(INDEX(Offerte!$D$2:$D$81,MATCH($Q722,Offerte!$L$2:$L$81,0)),0))</f>
        <v/>
      </c>
      <c r="T722" s="57">
        <f>IF($A722="","",IFERROR(INDEX(Offerte!$G$2:$G$81,MATCH($Q722,Offerte!$L$2:$L$81,0)),"NO"))</f>
        <v/>
      </c>
    </row>
    <row r="723">
      <c r="A723" s="48">
        <f>IF(Offerte!$A25="","",Offerte!$A25)</f>
        <v/>
      </c>
      <c r="B723" s="48">
        <f>IF(Offerte!$A25="","",Offerte!$B25)</f>
        <v/>
      </c>
      <c r="C723" s="48">
        <f>IF(Offerte!$A25="","",Offerte!$C25)</f>
        <v/>
      </c>
      <c r="D723" s="48" t="inlineStr">
        <is>
          <t>B.4.1</t>
        </is>
      </c>
      <c r="E723" s="48" t="inlineStr">
        <is>
          <t>B</t>
        </is>
      </c>
      <c r="F723" s="48" t="inlineStr">
        <is>
          <t>Q</t>
        </is>
      </c>
      <c r="G723" s="48" t="inlineStr">
        <is>
          <t>higher</t>
        </is>
      </c>
      <c r="H723" s="48" t="n">
        <v>3</v>
      </c>
      <c r="I723" s="48" t="inlineStr">
        <is>
          <t>Percorrenze aggiuntive offerte nel Programma d'esercizio delle prime due fasi attuative</t>
        </is>
      </c>
      <c r="J723" s="73" t="n"/>
      <c r="K723" s="73" t="n"/>
      <c r="L723" s="73" t="n"/>
      <c r="M723" s="73" t="n"/>
      <c r="N723" s="57">
        <f>IF($A723="","",IFERROR(VALUE($J723),0))</f>
        <v/>
      </c>
      <c r="O723" s="57">
        <f>IF($A723="",0,IF(OR($S723&lt;&gt;1,COUNTA($J723:$M723)=0),0,IF(SUMPRODUCT(MAX(($C$5:$C$2484=$C723)*($D$5:$D$2484=$D723)*($S$5:$S$2484=1)*IFERROR($N$5:$N$2484*1,0)))&gt;0,ROUND($H723*($N723/SUMPRODUCT(MAX(($C$5:$C$2484=$C723)*($D$5:$D$2484=$D723)*($S$5:$S$2484=1)*IFERROR($N$5:$N$2484*1,0)))),4),0)))</f>
        <v/>
      </c>
      <c r="P723" s="48" t="inlineStr">
        <is>
          <t>vett*km</t>
        </is>
      </c>
      <c r="Q723" s="57">
        <f>IF($A723="","",$A723&amp;"|"&amp;$C723)</f>
        <v/>
      </c>
      <c r="R723" s="57">
        <f>IF($A723="","",$A723&amp;"|"&amp;$C723&amp;"|"&amp;$D723)</f>
        <v/>
      </c>
      <c r="S723" s="57">
        <f>IF($A723="","",IFERROR(INDEX(Offerte!$D$2:$D$81,MATCH($Q723,Offerte!$L$2:$L$81,0)),0))</f>
        <v/>
      </c>
      <c r="T723" s="57">
        <f>IF($A723="","",IFERROR(INDEX(Offerte!$G$2:$G$81,MATCH($Q723,Offerte!$L$2:$L$81,0)),"NO"))</f>
        <v/>
      </c>
    </row>
    <row r="724">
      <c r="A724" s="48">
        <f>IF(Offerte!$A25="","",Offerte!$A25)</f>
        <v/>
      </c>
      <c r="B724" s="48">
        <f>IF(Offerte!$A25="","",Offerte!$B25)</f>
        <v/>
      </c>
      <c r="C724" s="48">
        <f>IF(Offerte!$A25="","",Offerte!$C25)</f>
        <v/>
      </c>
      <c r="D724" s="48" t="inlineStr">
        <is>
          <t>B.5.1</t>
        </is>
      </c>
      <c r="E724" s="48" t="inlineStr">
        <is>
          <t>B</t>
        </is>
      </c>
      <c r="F724" s="48" t="inlineStr">
        <is>
          <t>D</t>
        </is>
      </c>
      <c r="G724" s="48" t="inlineStr">
        <is>
          <t>discretionary</t>
        </is>
      </c>
      <c r="H724" s="48" t="n">
        <v>2</v>
      </c>
      <c r="I724" s="48" t="inlineStr">
        <is>
          <t>Efficacia del progetto di servizi complementari DRT</t>
        </is>
      </c>
      <c r="J724" s="73" t="n"/>
      <c r="K724" s="73" t="n"/>
      <c r="L724" s="73" t="n"/>
      <c r="M724" s="73" t="n"/>
      <c r="N724" s="57">
        <f>IF($A724="","",MAX(0,MIN(1,IFERROR(VALUE($M724),0))))</f>
        <v/>
      </c>
      <c r="O724" s="57">
        <f>IF($A724="",0,IF(OR($S724&lt;&gt;1,COUNTA($J724:$M724)=0),0,IF(SUMPRODUCT(MAX(($C$5:$C$2484=$C724)*($D$5:$D$2484=$D724)*($S$5:$S$2484=1)*IFERROR($N$5:$N$2484*1,0)))&gt;0,ROUND($H724*($N724/SUMPRODUCT(MAX(($C$5:$C$2484=$C724)*($D$5:$D$2484=$D724)*($S$5:$S$2484=1)*IFERROR($N$5:$N$2484*1,0)))),4),0)))</f>
        <v/>
      </c>
      <c r="P724" s="48" t="inlineStr">
        <is>
          <t>coeff.</t>
        </is>
      </c>
      <c r="Q724" s="57">
        <f>IF($A724="","",$A724&amp;"|"&amp;$C724)</f>
        <v/>
      </c>
      <c r="R724" s="57">
        <f>IF($A724="","",$A724&amp;"|"&amp;$C724&amp;"|"&amp;$D724)</f>
        <v/>
      </c>
      <c r="S724" s="57">
        <f>IF($A724="","",IFERROR(INDEX(Offerte!$D$2:$D$81,MATCH($Q724,Offerte!$L$2:$L$81,0)),0))</f>
        <v/>
      </c>
      <c r="T724" s="57">
        <f>IF($A724="","",IFERROR(INDEX(Offerte!$G$2:$G$81,MATCH($Q724,Offerte!$L$2:$L$81,0)),"NO"))</f>
        <v/>
      </c>
    </row>
    <row r="725">
      <c r="A725" s="48">
        <f>IF(Offerte!$A25="","",Offerte!$A25)</f>
        <v/>
      </c>
      <c r="B725" s="48">
        <f>IF(Offerte!$A25="","",Offerte!$B25)</f>
        <v/>
      </c>
      <c r="C725" s="48">
        <f>IF(Offerte!$A25="","",Offerte!$C25)</f>
        <v/>
      </c>
      <c r="D725" s="48" t="inlineStr">
        <is>
          <t>C.1.1</t>
        </is>
      </c>
      <c r="E725" s="48" t="inlineStr">
        <is>
          <t>C</t>
        </is>
      </c>
      <c r="F725" s="48" t="inlineStr">
        <is>
          <t>Q</t>
        </is>
      </c>
      <c r="G725" s="48" t="inlineStr">
        <is>
          <t>higher</t>
        </is>
      </c>
      <c r="H725" s="48" t="n">
        <v>2</v>
      </c>
      <c r="I725" s="48" t="inlineStr">
        <is>
          <t>Tasso di copertura del servizio con telecamere BSD</t>
        </is>
      </c>
      <c r="J725" s="73" t="n"/>
      <c r="K725" s="73" t="n"/>
      <c r="L725" s="73" t="n"/>
      <c r="M725" s="73" t="n"/>
      <c r="N725" s="57">
        <f>IF($A725="","",IFERROR(VALUE($K725)/VALUE($L725),IFERROR(VALUE($J725),0)))</f>
        <v/>
      </c>
      <c r="O725" s="57">
        <f>IF($A725="",0,IF(OR($S725&lt;&gt;1,COUNTA($J725:$M725)=0),0,IF(SUMPRODUCT(MAX(($C$5:$C$2484=$C725)*($D$5:$D$2484=$D725)*($S$5:$S$2484=1)*IFERROR($N$5:$N$2484*1,0)))&gt;0,ROUND($H725*($N725/SUMPRODUCT(MAX(($C$5:$C$2484=$C725)*($D$5:$D$2484=$D725)*($S$5:$S$2484=1)*IFERROR($N$5:$N$2484*1,0)))),4),0)))</f>
        <v/>
      </c>
      <c r="P725" s="48" t="inlineStr">
        <is>
          <t>Autobus attrezzati con telecamere BSD / Autobus totali in offerta, incluse scorte</t>
        </is>
      </c>
      <c r="Q725" s="57">
        <f>IF($A725="","",$A725&amp;"|"&amp;$C725)</f>
        <v/>
      </c>
      <c r="R725" s="57">
        <f>IF($A725="","",$A725&amp;"|"&amp;$C725&amp;"|"&amp;$D725)</f>
        <v/>
      </c>
      <c r="S725" s="57">
        <f>IF($A725="","",IFERROR(INDEX(Offerte!$D$2:$D$81,MATCH($Q725,Offerte!$L$2:$L$81,0)),0))</f>
        <v/>
      </c>
      <c r="T725" s="57">
        <f>IF($A725="","",IFERROR(INDEX(Offerte!$G$2:$G$81,MATCH($Q725,Offerte!$L$2:$L$81,0)),"NO"))</f>
        <v/>
      </c>
    </row>
    <row r="726">
      <c r="A726" s="48">
        <f>IF(Offerte!$A25="","",Offerte!$A25)</f>
        <v/>
      </c>
      <c r="B726" s="48">
        <f>IF(Offerte!$A25="","",Offerte!$B25)</f>
        <v/>
      </c>
      <c r="C726" s="48">
        <f>IF(Offerte!$A25="","",Offerte!$C25)</f>
        <v/>
      </c>
      <c r="D726" s="48" t="inlineStr">
        <is>
          <t>C.1.2</t>
        </is>
      </c>
      <c r="E726" s="48" t="inlineStr">
        <is>
          <t>C</t>
        </is>
      </c>
      <c r="F726" s="48" t="inlineStr">
        <is>
          <t>Q</t>
        </is>
      </c>
      <c r="G726" s="48" t="inlineStr">
        <is>
          <t>higher</t>
        </is>
      </c>
      <c r="H726" s="48" t="n">
        <v>2</v>
      </c>
      <c r="I726" s="48" t="inlineStr">
        <is>
          <t>Tasso di copertura del servizio con telecamere ADAS</t>
        </is>
      </c>
      <c r="J726" s="73" t="n"/>
      <c r="K726" s="73" t="n"/>
      <c r="L726" s="73" t="n"/>
      <c r="M726" s="73" t="n"/>
      <c r="N726" s="57">
        <f>IF($A726="","",IFERROR(VALUE($K726)/VALUE($L726),IFERROR(VALUE($J726),0)))</f>
        <v/>
      </c>
      <c r="O726" s="57">
        <f>IF($A726="",0,IF(OR($S726&lt;&gt;1,COUNTA($J726:$M726)=0),0,IF(SUMPRODUCT(MAX(($C$5:$C$2484=$C726)*($D$5:$D$2484=$D726)*($S$5:$S$2484=1)*IFERROR($N$5:$N$2484*1,0)))&gt;0,ROUND($H726*($N726/SUMPRODUCT(MAX(($C$5:$C$2484=$C726)*($D$5:$D$2484=$D726)*($S$5:$S$2484=1)*IFERROR($N$5:$N$2484*1,0)))),4),0)))</f>
        <v/>
      </c>
      <c r="P726" s="48" t="inlineStr">
        <is>
          <t>Autobus attrezzati con telecamere ADAS / Autobus totali in offerta, incluse scorte</t>
        </is>
      </c>
      <c r="Q726" s="57">
        <f>IF($A726="","",$A726&amp;"|"&amp;$C726)</f>
        <v/>
      </c>
      <c r="R726" s="57">
        <f>IF($A726="","",$A726&amp;"|"&amp;$C726&amp;"|"&amp;$D726)</f>
        <v/>
      </c>
      <c r="S726" s="57">
        <f>IF($A726="","",IFERROR(INDEX(Offerte!$D$2:$D$81,MATCH($Q726,Offerte!$L$2:$L$81,0)),0))</f>
        <v/>
      </c>
      <c r="T726" s="57">
        <f>IF($A726="","",IFERROR(INDEX(Offerte!$G$2:$G$81,MATCH($Q726,Offerte!$L$2:$L$81,0)),"NO"))</f>
        <v/>
      </c>
    </row>
    <row r="727">
      <c r="A727" s="48">
        <f>IF(Offerte!$A25="","",Offerte!$A25)</f>
        <v/>
      </c>
      <c r="B727" s="48">
        <f>IF(Offerte!$A25="","",Offerte!$B25)</f>
        <v/>
      </c>
      <c r="C727" s="48">
        <f>IF(Offerte!$A25="","",Offerte!$C25)</f>
        <v/>
      </c>
      <c r="D727" s="48" t="inlineStr">
        <is>
          <t>C.2.1</t>
        </is>
      </c>
      <c r="E727" s="48" t="inlineStr">
        <is>
          <t>C</t>
        </is>
      </c>
      <c r="F727" s="48" t="inlineStr">
        <is>
          <t>Q</t>
        </is>
      </c>
      <c r="G727" s="48" t="inlineStr">
        <is>
          <t>higher</t>
        </is>
      </c>
      <c r="H727" s="48" t="n">
        <v>3</v>
      </c>
      <c r="I727" s="48" t="inlineStr">
        <is>
          <t>Tasso di copertura del servizio con telecamere di bordo di videosorveglianza</t>
        </is>
      </c>
      <c r="J727" s="73" t="n"/>
      <c r="K727" s="73" t="n"/>
      <c r="L727" s="73" t="n"/>
      <c r="M727" s="73" t="n"/>
      <c r="N727" s="57">
        <f>IF($A727="","",IFERROR(VALUE($K727)/VALUE($L727),IFERROR(VALUE($J727),0)))</f>
        <v/>
      </c>
      <c r="O727" s="57">
        <f>IF($A727="",0,IF(OR($S727&lt;&gt;1,COUNTA($J727:$M727)=0),0,IF(SUMPRODUCT(MAX(($C$5:$C$2484=$C727)*($D$5:$D$2484=$D727)*($S$5:$S$2484=1)*IFERROR($N$5:$N$2484*1,0)))&gt;0,ROUND($H727*($N727/SUMPRODUCT(MAX(($C$5:$C$2484=$C727)*($D$5:$D$2484=$D727)*($S$5:$S$2484=1)*IFERROR($N$5:$N$2484*1,0)))),4),0)))</f>
        <v/>
      </c>
      <c r="P727" s="48" t="inlineStr">
        <is>
          <t>Autobus attrezzati con videosorveglianza / Autobus totali in offerta, incluse scorte</t>
        </is>
      </c>
      <c r="Q727" s="57">
        <f>IF($A727="","",$A727&amp;"|"&amp;$C727)</f>
        <v/>
      </c>
      <c r="R727" s="57">
        <f>IF($A727="","",$A727&amp;"|"&amp;$C727&amp;"|"&amp;$D727)</f>
        <v/>
      </c>
      <c r="S727" s="57">
        <f>IF($A727="","",IFERROR(INDEX(Offerte!$D$2:$D$81,MATCH($Q727,Offerte!$L$2:$L$81,0)),0))</f>
        <v/>
      </c>
      <c r="T727" s="57">
        <f>IF($A727="","",IFERROR(INDEX(Offerte!$G$2:$G$81,MATCH($Q727,Offerte!$L$2:$L$81,0)),"NO"))</f>
        <v/>
      </c>
    </row>
    <row r="728">
      <c r="A728" s="48">
        <f>IF(Offerte!$A25="","",Offerte!$A25)</f>
        <v/>
      </c>
      <c r="B728" s="48">
        <f>IF(Offerte!$A25="","",Offerte!$B25)</f>
        <v/>
      </c>
      <c r="C728" s="48">
        <f>IF(Offerte!$A25="","",Offerte!$C25)</f>
        <v/>
      </c>
      <c r="D728" s="48" t="inlineStr">
        <is>
          <t>C.2.2</t>
        </is>
      </c>
      <c r="E728" s="48" t="inlineStr">
        <is>
          <t>C</t>
        </is>
      </c>
      <c r="F728" s="48" t="inlineStr">
        <is>
          <t>T</t>
        </is>
      </c>
      <c r="G728" s="48" t="inlineStr">
        <is>
          <t>tabular</t>
        </is>
      </c>
      <c r="H728" s="48" t="n">
        <v>1</v>
      </c>
      <c r="I728" s="48" t="inlineStr">
        <is>
          <t>Software video/audio analisi per situazioni di pericolo</t>
        </is>
      </c>
      <c r="J728" s="73" t="n"/>
      <c r="K728" s="73" t="n"/>
      <c r="L728" s="73" t="n"/>
      <c r="M728" s="73" t="n"/>
      <c r="N728" s="57">
        <f>IF($A728="","",IF(IFERROR(VALUE($M728),0)=1,1,0))</f>
        <v/>
      </c>
      <c r="O728" s="57">
        <f>IF($A728="",0,IF(OR($S728&lt;&gt;1,COUNTA($J728:$M728)=0),0,IF($N728=1,$H728,0)))</f>
        <v/>
      </c>
      <c r="P728" s="48" t="inlineStr">
        <is>
          <t>sì/no</t>
        </is>
      </c>
      <c r="Q728" s="57">
        <f>IF($A728="","",$A728&amp;"|"&amp;$C728)</f>
        <v/>
      </c>
      <c r="R728" s="57">
        <f>IF($A728="","",$A728&amp;"|"&amp;$C728&amp;"|"&amp;$D728)</f>
        <v/>
      </c>
      <c r="S728" s="57">
        <f>IF($A728="","",IFERROR(INDEX(Offerte!$D$2:$D$81,MATCH($Q728,Offerte!$L$2:$L$81,0)),0))</f>
        <v/>
      </c>
      <c r="T728" s="57">
        <f>IF($A728="","",IFERROR(INDEX(Offerte!$G$2:$G$81,MATCH($Q728,Offerte!$L$2:$L$81,0)),"NO"))</f>
        <v/>
      </c>
    </row>
    <row r="729">
      <c r="A729" s="48">
        <f>IF(Offerte!$A25="","",Offerte!$A25)</f>
        <v/>
      </c>
      <c r="B729" s="48">
        <f>IF(Offerte!$A25="","",Offerte!$B25)</f>
        <v/>
      </c>
      <c r="C729" s="48">
        <f>IF(Offerte!$A25="","",Offerte!$C25)</f>
        <v/>
      </c>
      <c r="D729" s="48" t="inlineStr">
        <is>
          <t>C.2.3</t>
        </is>
      </c>
      <c r="E729" s="48" t="inlineStr">
        <is>
          <t>C</t>
        </is>
      </c>
      <c r="F729" s="48" t="inlineStr">
        <is>
          <t>T</t>
        </is>
      </c>
      <c r="G729" s="48" t="inlineStr">
        <is>
          <t>tabular</t>
        </is>
      </c>
      <c r="H729" s="48" t="n">
        <v>1</v>
      </c>
      <c r="I729" s="48" t="inlineStr">
        <is>
          <t>Collegamento con centrale qualificata di pronto intervento</t>
        </is>
      </c>
      <c r="J729" s="73" t="n"/>
      <c r="K729" s="73" t="n"/>
      <c r="L729" s="73" t="n"/>
      <c r="M729" s="73" t="n"/>
      <c r="N729" s="57">
        <f>IF($A729="","",IF(IFERROR(VALUE($M729),0)=1,1,0))</f>
        <v/>
      </c>
      <c r="O729" s="57">
        <f>IF($A729="",0,IF(OR($S729&lt;&gt;1,COUNTA($J729:$M729)=0),0,IF($N729=1,$H729,0)))</f>
        <v/>
      </c>
      <c r="P729" s="48" t="inlineStr">
        <is>
          <t>sì/no</t>
        </is>
      </c>
      <c r="Q729" s="57">
        <f>IF($A729="","",$A729&amp;"|"&amp;$C729)</f>
        <v/>
      </c>
      <c r="R729" s="57">
        <f>IF($A729="","",$A729&amp;"|"&amp;$C729&amp;"|"&amp;$D729)</f>
        <v/>
      </c>
      <c r="S729" s="57">
        <f>IF($A729="","",IFERROR(INDEX(Offerte!$D$2:$D$81,MATCH($Q729,Offerte!$L$2:$L$81,0)),0))</f>
        <v/>
      </c>
      <c r="T729" s="57">
        <f>IF($A729="","",IFERROR(INDEX(Offerte!$G$2:$G$81,MATCH($Q729,Offerte!$L$2:$L$81,0)),"NO"))</f>
        <v/>
      </c>
    </row>
    <row r="730">
      <c r="A730" s="48">
        <f>IF(Offerte!$A25="","",Offerte!$A25)</f>
        <v/>
      </c>
      <c r="B730" s="48">
        <f>IF(Offerte!$A25="","",Offerte!$B25)</f>
        <v/>
      </c>
      <c r="C730" s="48">
        <f>IF(Offerte!$A25="","",Offerte!$C25)</f>
        <v/>
      </c>
      <c r="D730" s="48" t="inlineStr">
        <is>
          <t>C.2.4</t>
        </is>
      </c>
      <c r="E730" s="48" t="inlineStr">
        <is>
          <t>C</t>
        </is>
      </c>
      <c r="F730" s="48" t="inlineStr">
        <is>
          <t>Q</t>
        </is>
      </c>
      <c r="G730" s="48" t="inlineStr">
        <is>
          <t>higher</t>
        </is>
      </c>
      <c r="H730" s="48" t="n">
        <v>1</v>
      </c>
      <c r="I730" s="48" t="inlineStr">
        <is>
          <t>Tasso di copertura del servizio con dispositivi per la chiamata di emergenza del conducente</t>
        </is>
      </c>
      <c r="J730" s="73" t="n"/>
      <c r="K730" s="73" t="n"/>
      <c r="L730" s="73" t="n"/>
      <c r="M730" s="73" t="n"/>
      <c r="N730" s="57">
        <f>IF($A730="","",IFERROR(VALUE($K730)/VALUE($L730),IFERROR(VALUE($J730),0)))</f>
        <v/>
      </c>
      <c r="O730" s="57">
        <f>IF($A730="",0,IF(OR($S730&lt;&gt;1,COUNTA($J730:$M730)=0),0,IF(SUMPRODUCT(MAX(($C$5:$C$2484=$C730)*($D$5:$D$2484=$D730)*($S$5:$S$2484=1)*IFERROR($N$5:$N$2484*1,0)))&gt;0,ROUND($H730*($N730/SUMPRODUCT(MAX(($C$5:$C$2484=$C730)*($D$5:$D$2484=$D730)*($S$5:$S$2484=1)*IFERROR($N$5:$N$2484*1,0)))),4),0)))</f>
        <v/>
      </c>
      <c r="P730" s="48" t="inlineStr">
        <is>
          <t>Autobus attrezzati con chiamata di emergenza / Autobus totali in offerta, incluse scorte</t>
        </is>
      </c>
      <c r="Q730" s="57">
        <f>IF($A730="","",$A730&amp;"|"&amp;$C730)</f>
        <v/>
      </c>
      <c r="R730" s="57">
        <f>IF($A730="","",$A730&amp;"|"&amp;$C730&amp;"|"&amp;$D730)</f>
        <v/>
      </c>
      <c r="S730" s="57">
        <f>IF($A730="","",IFERROR(INDEX(Offerte!$D$2:$D$81,MATCH($Q730,Offerte!$L$2:$L$81,0)),0))</f>
        <v/>
      </c>
      <c r="T730" s="57">
        <f>IF($A730="","",IFERROR(INDEX(Offerte!$G$2:$G$81,MATCH($Q730,Offerte!$L$2:$L$81,0)),"NO"))</f>
        <v/>
      </c>
    </row>
    <row r="731">
      <c r="A731" s="48">
        <f>IF(Offerte!$A25="","",Offerte!$A25)</f>
        <v/>
      </c>
      <c r="B731" s="48">
        <f>IF(Offerte!$A25="","",Offerte!$B25)</f>
        <v/>
      </c>
      <c r="C731" s="48">
        <f>IF(Offerte!$A25="","",Offerte!$C25)</f>
        <v/>
      </c>
      <c r="D731" s="48" t="inlineStr">
        <is>
          <t>C.3.1</t>
        </is>
      </c>
      <c r="E731" s="48" t="inlineStr">
        <is>
          <t>C</t>
        </is>
      </c>
      <c r="F731" s="48" t="inlineStr">
        <is>
          <t>Q</t>
        </is>
      </c>
      <c r="G731" s="48" t="inlineStr">
        <is>
          <t>higher</t>
        </is>
      </c>
      <c r="H731" s="48" t="n">
        <v>2</v>
      </c>
      <c r="I731" s="48" t="inlineStr">
        <is>
          <t>Tasso di copertura del servizio con dispositivi di informazione dinamica a bordo mezzo</t>
        </is>
      </c>
      <c r="J731" s="73" t="n"/>
      <c r="K731" s="73" t="n"/>
      <c r="L731" s="73" t="n"/>
      <c r="M731" s="73" t="n"/>
      <c r="N731" s="57">
        <f>IF($A731="","",IFERROR(VALUE($K731)/VALUE($L731),IFERROR(VALUE($J731),0)))</f>
        <v/>
      </c>
      <c r="O731" s="57">
        <f>IF($A731="",0,IF(OR($S731&lt;&gt;1,COUNTA($J731:$M731)=0),0,IF(SUMPRODUCT(MAX(($C$5:$C$2484=$C731)*($D$5:$D$2484=$D731)*($S$5:$S$2484=1)*IFERROR($N$5:$N$2484*1,0)))&gt;0,ROUND($H731*($N731/SUMPRODUCT(MAX(($C$5:$C$2484=$C731)*($D$5:$D$2484=$D731)*($S$5:$S$2484=1)*IFERROR($N$5:$N$2484*1,0)))),4),0)))</f>
        <v/>
      </c>
      <c r="P731" s="48" t="inlineStr">
        <is>
          <t>Autobus con monitor e indicatori vocali / Autobus totali in offerta, incluse scorte</t>
        </is>
      </c>
      <c r="Q731" s="57">
        <f>IF($A731="","",$A731&amp;"|"&amp;$C731)</f>
        <v/>
      </c>
      <c r="R731" s="57">
        <f>IF($A731="","",$A731&amp;"|"&amp;$C731&amp;"|"&amp;$D731)</f>
        <v/>
      </c>
      <c r="S731" s="57">
        <f>IF($A731="","",IFERROR(INDEX(Offerte!$D$2:$D$81,MATCH($Q731,Offerte!$L$2:$L$81,0)),0))</f>
        <v/>
      </c>
      <c r="T731" s="57">
        <f>IF($A731="","",IFERROR(INDEX(Offerte!$G$2:$G$81,MATCH($Q731,Offerte!$L$2:$L$81,0)),"NO"))</f>
        <v/>
      </c>
    </row>
    <row r="732">
      <c r="A732" s="48">
        <f>IF(Offerte!$A25="","",Offerte!$A25)</f>
        <v/>
      </c>
      <c r="B732" s="48">
        <f>IF(Offerte!$A25="","",Offerte!$B25)</f>
        <v/>
      </c>
      <c r="C732" s="48">
        <f>IF(Offerte!$A25="","",Offerte!$C25)</f>
        <v/>
      </c>
      <c r="D732" s="48" t="inlineStr">
        <is>
          <t>C.3.2</t>
        </is>
      </c>
      <c r="E732" s="48" t="inlineStr">
        <is>
          <t>C</t>
        </is>
      </c>
      <c r="F732" s="48" t="inlineStr">
        <is>
          <t>T</t>
        </is>
      </c>
      <c r="G732" s="48" t="inlineStr">
        <is>
          <t>tabular</t>
        </is>
      </c>
      <c r="H732" s="48" t="n">
        <v>2</v>
      </c>
      <c r="I732" s="48" t="inlineStr">
        <is>
          <t>Informazioni a bordo su coincidenze ai nodi</t>
        </is>
      </c>
      <c r="J732" s="73" t="n"/>
      <c r="K732" s="73" t="n"/>
      <c r="L732" s="73" t="n"/>
      <c r="M732" s="73" t="n"/>
      <c r="N732" s="57">
        <f>IF($A732="","",IF(IFERROR(VALUE($M732),0)=1,1,0))</f>
        <v/>
      </c>
      <c r="O732" s="57">
        <f>IF($A732="",0,IF(OR($S732&lt;&gt;1,COUNTA($J732:$M732)=0),0,IF(AND($N732=1,IFERROR(SUMIFS($N$5:$N$2484,$Q$5:$Q$2484,$Q732,$D$5:$D$2484,"C.3.1"),0)&gt;=0.5),$H732,0)))</f>
        <v/>
      </c>
      <c r="P732" s="48" t="inlineStr">
        <is>
          <t>Dipende da C.3.1 &gt;= 0.5</t>
        </is>
      </c>
      <c r="Q732" s="57">
        <f>IF($A732="","",$A732&amp;"|"&amp;$C732)</f>
        <v/>
      </c>
      <c r="R732" s="57">
        <f>IF($A732="","",$A732&amp;"|"&amp;$C732&amp;"|"&amp;$D732)</f>
        <v/>
      </c>
      <c r="S732" s="57">
        <f>IF($A732="","",IFERROR(INDEX(Offerte!$D$2:$D$81,MATCH($Q732,Offerte!$L$2:$L$81,0)),0))</f>
        <v/>
      </c>
      <c r="T732" s="57">
        <f>IF($A732="","",IFERROR(INDEX(Offerte!$G$2:$G$81,MATCH($Q732,Offerte!$L$2:$L$81,0)),"NO"))</f>
        <v/>
      </c>
    </row>
    <row r="733">
      <c r="A733" s="48">
        <f>IF(Offerte!$A25="","",Offerte!$A25)</f>
        <v/>
      </c>
      <c r="B733" s="48">
        <f>IF(Offerte!$A25="","",Offerte!$B25)</f>
        <v/>
      </c>
      <c r="C733" s="48">
        <f>IF(Offerte!$A25="","",Offerte!$C25)</f>
        <v/>
      </c>
      <c r="D733" s="48" t="inlineStr">
        <is>
          <t>D.1.1</t>
        </is>
      </c>
      <c r="E733" s="48" t="inlineStr">
        <is>
          <t>D</t>
        </is>
      </c>
      <c r="F733" s="48" t="inlineStr">
        <is>
          <t>Q</t>
        </is>
      </c>
      <c r="G733" s="48" t="inlineStr">
        <is>
          <t>higher</t>
        </is>
      </c>
      <c r="H733" s="48" t="n">
        <v>3</v>
      </c>
      <c r="I733" s="48" t="inlineStr">
        <is>
          <t>Installazione di pensiline</t>
        </is>
      </c>
      <c r="J733" s="73" t="n"/>
      <c r="K733" s="73" t="n"/>
      <c r="L733" s="73" t="n"/>
      <c r="M733" s="73" t="n"/>
      <c r="N733" s="57">
        <f>IF($A733="","",IFERROR(VALUE($J733),0))</f>
        <v/>
      </c>
      <c r="O733" s="57">
        <f>IF($A733="",0,IF(OR($S733&lt;&gt;1,COUNTA($J733:$M733)=0),0,IF(SUMPRODUCT(MAX(($C$5:$C$2484=$C733)*($D$5:$D$2484=$D733)*($S$5:$S$2484=1)*IFERROR($N$5:$N$2484*1,0)))&gt;0,ROUND($H733*($N733/SUMPRODUCT(MAX(($C$5:$C$2484=$C733)*($D$5:$D$2484=$D733)*($S$5:$S$2484=1)*IFERROR($N$5:$N$2484*1,0)))),4),0)))</f>
        <v/>
      </c>
      <c r="P733" s="48" t="inlineStr">
        <is>
          <t>fermate</t>
        </is>
      </c>
      <c r="Q733" s="57">
        <f>IF($A733="","",$A733&amp;"|"&amp;$C733)</f>
        <v/>
      </c>
      <c r="R733" s="57">
        <f>IF($A733="","",$A733&amp;"|"&amp;$C733&amp;"|"&amp;$D733)</f>
        <v/>
      </c>
      <c r="S733" s="57">
        <f>IF($A733="","",IFERROR(INDEX(Offerte!$D$2:$D$81,MATCH($Q733,Offerte!$L$2:$L$81,0)),0))</f>
        <v/>
      </c>
      <c r="T733" s="57">
        <f>IF($A733="","",IFERROR(INDEX(Offerte!$G$2:$G$81,MATCH($Q733,Offerte!$L$2:$L$81,0)),"NO"))</f>
        <v/>
      </c>
    </row>
    <row r="734">
      <c r="A734" s="48">
        <f>IF(Offerte!$A25="","",Offerte!$A25)</f>
        <v/>
      </c>
      <c r="B734" s="48">
        <f>IF(Offerte!$A25="","",Offerte!$B25)</f>
        <v/>
      </c>
      <c r="C734" s="48">
        <f>IF(Offerte!$A25="","",Offerte!$C25)</f>
        <v/>
      </c>
      <c r="D734" s="48" t="inlineStr">
        <is>
          <t>D.1.2</t>
        </is>
      </c>
      <c r="E734" s="48" t="inlineStr">
        <is>
          <t>D</t>
        </is>
      </c>
      <c r="F734" s="48" t="inlineStr">
        <is>
          <t>Q</t>
        </is>
      </c>
      <c r="G734" s="48" t="inlineStr">
        <is>
          <t>higher</t>
        </is>
      </c>
      <c r="H734" s="48" t="n">
        <v>3</v>
      </c>
      <c r="I734" s="48" t="inlineStr">
        <is>
          <t>Installazione di paline di fermata conformi alla DGR 581/2023</t>
        </is>
      </c>
      <c r="J734" s="73" t="n"/>
      <c r="K734" s="73" t="n"/>
      <c r="L734" s="73" t="n"/>
      <c r="M734" s="73" t="n"/>
      <c r="N734" s="57">
        <f>IF($A734="","",IFERROR(VALUE($J734),0))</f>
        <v/>
      </c>
      <c r="O734" s="57">
        <f>IF($A734="",0,IF(OR($S734&lt;&gt;1,COUNTA($J734:$M734)=0),0,IF(SUMPRODUCT(MAX(($C$5:$C$2484=$C734)*($D$5:$D$2484=$D734)*($S$5:$S$2484=1)*IFERROR($N$5:$N$2484*1,0)))&gt;0,ROUND($H734*($N734/SUMPRODUCT(MAX(($C$5:$C$2484=$C734)*($D$5:$D$2484=$D734)*($S$5:$S$2484=1)*IFERROR($N$5:$N$2484*1,0)))),4),0)))</f>
        <v/>
      </c>
      <c r="P734" s="48" t="inlineStr">
        <is>
          <t>fermate</t>
        </is>
      </c>
      <c r="Q734" s="57">
        <f>IF($A734="","",$A734&amp;"|"&amp;$C734)</f>
        <v/>
      </c>
      <c r="R734" s="57">
        <f>IF($A734="","",$A734&amp;"|"&amp;$C734&amp;"|"&amp;$D734)</f>
        <v/>
      </c>
      <c r="S734" s="57">
        <f>IF($A734="","",IFERROR(INDEX(Offerte!$D$2:$D$81,MATCH($Q734,Offerte!$L$2:$L$81,0)),0))</f>
        <v/>
      </c>
      <c r="T734" s="57">
        <f>IF($A734="","",IFERROR(INDEX(Offerte!$G$2:$G$81,MATCH($Q734,Offerte!$L$2:$L$81,0)),"NO"))</f>
        <v/>
      </c>
    </row>
    <row r="735">
      <c r="A735" s="48">
        <f>IF(Offerte!$A25="","",Offerte!$A25)</f>
        <v/>
      </c>
      <c r="B735" s="48">
        <f>IF(Offerte!$A25="","",Offerte!$B25)</f>
        <v/>
      </c>
      <c r="C735" s="48">
        <f>IF(Offerte!$A25="","",Offerte!$C25)</f>
        <v/>
      </c>
      <c r="D735" s="48" t="inlineStr">
        <is>
          <t>D.1.3</t>
        </is>
      </c>
      <c r="E735" s="48" t="inlineStr">
        <is>
          <t>D</t>
        </is>
      </c>
      <c r="F735" s="48" t="inlineStr">
        <is>
          <t>Q</t>
        </is>
      </c>
      <c r="G735" s="48" t="inlineStr">
        <is>
          <t>higher</t>
        </is>
      </c>
      <c r="H735" s="48" t="n">
        <v>2</v>
      </c>
      <c r="I735" s="48" t="inlineStr">
        <is>
          <t>Display informativi connessi alle fermate</t>
        </is>
      </c>
      <c r="J735" s="73" t="n"/>
      <c r="K735" s="73" t="n"/>
      <c r="L735" s="73" t="n"/>
      <c r="M735" s="73" t="n"/>
      <c r="N735" s="57">
        <f>IF($A735="","",IFERROR(VALUE($J735),0))</f>
        <v/>
      </c>
      <c r="O735" s="57">
        <f>IF($A735="",0,IF(OR($S735&lt;&gt;1,COUNTA($J735:$M735)=0),0,IF(SUMPRODUCT(MAX(($C$5:$C$2484=$C735)*($D$5:$D$2484=$D735)*($S$5:$S$2484=1)*IFERROR($N$5:$N$2484*1,0)))&gt;0,ROUND($H735*($N735/SUMPRODUCT(MAX(($C$5:$C$2484=$C735)*($D$5:$D$2484=$D735)*($S$5:$S$2484=1)*IFERROR($N$5:$N$2484*1,0)))),4),0)))</f>
        <v/>
      </c>
      <c r="P735" s="48" t="inlineStr">
        <is>
          <t>fermate</t>
        </is>
      </c>
      <c r="Q735" s="57">
        <f>IF($A735="","",$A735&amp;"|"&amp;$C735)</f>
        <v/>
      </c>
      <c r="R735" s="57">
        <f>IF($A735="","",$A735&amp;"|"&amp;$C735&amp;"|"&amp;$D735)</f>
        <v/>
      </c>
      <c r="S735" s="57">
        <f>IF($A735="","",IFERROR(INDEX(Offerte!$D$2:$D$81,MATCH($Q735,Offerte!$L$2:$L$81,0)),0))</f>
        <v/>
      </c>
      <c r="T735" s="57">
        <f>IF($A735="","",IFERROR(INDEX(Offerte!$G$2:$G$81,MATCH($Q735,Offerte!$L$2:$L$81,0)),"NO"))</f>
        <v/>
      </c>
    </row>
    <row r="736">
      <c r="A736" s="48">
        <f>IF(Offerte!$A25="","",Offerte!$A25)</f>
        <v/>
      </c>
      <c r="B736" s="48">
        <f>IF(Offerte!$A25="","",Offerte!$B25)</f>
        <v/>
      </c>
      <c r="C736" s="48">
        <f>IF(Offerte!$A25="","",Offerte!$C25)</f>
        <v/>
      </c>
      <c r="D736" s="48" t="inlineStr">
        <is>
          <t>D.2.1</t>
        </is>
      </c>
      <c r="E736" s="48" t="inlineStr">
        <is>
          <t>D</t>
        </is>
      </c>
      <c r="F736" s="48" t="inlineStr">
        <is>
          <t>Q</t>
        </is>
      </c>
      <c r="G736" s="48" t="inlineStr">
        <is>
          <t>higher</t>
        </is>
      </c>
      <c r="H736" s="48" t="n">
        <v>2</v>
      </c>
      <c r="I736" s="48" t="inlineStr">
        <is>
          <t>Segnali tattili Loges-Vet-Evolution</t>
        </is>
      </c>
      <c r="J736" s="73" t="n"/>
      <c r="K736" s="73" t="n"/>
      <c r="L736" s="73" t="n"/>
      <c r="M736" s="73" t="n"/>
      <c r="N736" s="57">
        <f>IF($A736="","",IFERROR(VALUE($J736),0))</f>
        <v/>
      </c>
      <c r="O736" s="57">
        <f>IF($A736="",0,IF(OR($S736&lt;&gt;1,COUNTA($J736:$M736)=0),0,IF(SUMPRODUCT(MAX(($C$5:$C$2484=$C736)*($D$5:$D$2484=$D736)*($S$5:$S$2484=1)*IFERROR($N$5:$N$2484*1,0)))&gt;0,ROUND($H736*($N736/SUMPRODUCT(MAX(($C$5:$C$2484=$C736)*($D$5:$D$2484=$D736)*($S$5:$S$2484=1)*IFERROR($N$5:$N$2484*1,0)))),4),0)))</f>
        <v/>
      </c>
      <c r="P736" s="48" t="inlineStr">
        <is>
          <t>fermate</t>
        </is>
      </c>
      <c r="Q736" s="57">
        <f>IF($A736="","",$A736&amp;"|"&amp;$C736)</f>
        <v/>
      </c>
      <c r="R736" s="57">
        <f>IF($A736="","",$A736&amp;"|"&amp;$C736&amp;"|"&amp;$D736)</f>
        <v/>
      </c>
      <c r="S736" s="57">
        <f>IF($A736="","",IFERROR(INDEX(Offerte!$D$2:$D$81,MATCH($Q736,Offerte!$L$2:$L$81,0)),0))</f>
        <v/>
      </c>
      <c r="T736" s="57">
        <f>IF($A736="","",IFERROR(INDEX(Offerte!$G$2:$G$81,MATCH($Q736,Offerte!$L$2:$L$81,0)),"NO"))</f>
        <v/>
      </c>
    </row>
    <row r="737">
      <c r="A737" s="48">
        <f>IF(Offerte!$A25="","",Offerte!$A25)</f>
        <v/>
      </c>
      <c r="B737" s="48">
        <f>IF(Offerte!$A25="","",Offerte!$B25)</f>
        <v/>
      </c>
      <c r="C737" s="48">
        <f>IF(Offerte!$A25="","",Offerte!$C25)</f>
        <v/>
      </c>
      <c r="D737" s="48" t="inlineStr">
        <is>
          <t>E.1.1</t>
        </is>
      </c>
      <c r="E737" s="48" t="inlineStr">
        <is>
          <t>E</t>
        </is>
      </c>
      <c r="F737" s="48" t="inlineStr">
        <is>
          <t>T</t>
        </is>
      </c>
      <c r="G737" s="48" t="inlineStr">
        <is>
          <t>tabular</t>
        </is>
      </c>
      <c r="H737" s="48" t="n">
        <v>2</v>
      </c>
      <c r="I737" s="48" t="inlineStr">
        <is>
          <t>Mobile app con travel planner PRM</t>
        </is>
      </c>
      <c r="J737" s="73" t="n"/>
      <c r="K737" s="73" t="n"/>
      <c r="L737" s="73" t="n"/>
      <c r="M737" s="73" t="n"/>
      <c r="N737" s="57">
        <f>IF($A737="","",IF(IFERROR(VALUE($M737),0)=1,1,0))</f>
        <v/>
      </c>
      <c r="O737" s="57">
        <f>IF($A737="",0,IF(OR($S737&lt;&gt;1,COUNTA($J737:$M737)=0),0,IF($N737=1,$H737,0)))</f>
        <v/>
      </c>
      <c r="P737" s="48" t="inlineStr">
        <is>
          <t>sì/no</t>
        </is>
      </c>
      <c r="Q737" s="57">
        <f>IF($A737="","",$A737&amp;"|"&amp;$C737)</f>
        <v/>
      </c>
      <c r="R737" s="57">
        <f>IF($A737="","",$A737&amp;"|"&amp;$C737&amp;"|"&amp;$D737)</f>
        <v/>
      </c>
      <c r="S737" s="57">
        <f>IF($A737="","",IFERROR(INDEX(Offerte!$D$2:$D$81,MATCH($Q737,Offerte!$L$2:$L$81,0)),0))</f>
        <v/>
      </c>
      <c r="T737" s="57">
        <f>IF($A737="","",IFERROR(INDEX(Offerte!$G$2:$G$81,MATCH($Q737,Offerte!$L$2:$L$81,0)),"NO"))</f>
        <v/>
      </c>
    </row>
    <row r="738">
      <c r="A738" s="48">
        <f>IF(Offerte!$A25="","",Offerte!$A25)</f>
        <v/>
      </c>
      <c r="B738" s="48">
        <f>IF(Offerte!$A25="","",Offerte!$B25)</f>
        <v/>
      </c>
      <c r="C738" s="48">
        <f>IF(Offerte!$A25="","",Offerte!$C25)</f>
        <v/>
      </c>
      <c r="D738" s="48" t="inlineStr">
        <is>
          <t>E.2.1</t>
        </is>
      </c>
      <c r="E738" s="48" t="inlineStr">
        <is>
          <t>E</t>
        </is>
      </c>
      <c r="F738" s="48" t="inlineStr">
        <is>
          <t>D</t>
        </is>
      </c>
      <c r="G738" s="48" t="inlineStr">
        <is>
          <t>discretionary</t>
        </is>
      </c>
      <c r="H738" s="48" t="n">
        <v>2</v>
      </c>
      <c r="I738" s="48" t="inlineStr">
        <is>
          <t>Altre azioni informative e rapporti con gli utenti</t>
        </is>
      </c>
      <c r="J738" s="73" t="n"/>
      <c r="K738" s="73" t="n"/>
      <c r="L738" s="73" t="n"/>
      <c r="M738" s="73" t="n"/>
      <c r="N738" s="57">
        <f>IF($A738="","",MAX(0,MIN(1,IFERROR(VALUE($M738),0))))</f>
        <v/>
      </c>
      <c r="O738" s="57">
        <f>IF($A738="",0,IF(OR($S738&lt;&gt;1,COUNTA($J738:$M738)=0),0,IF(SUMPRODUCT(MAX(($C$5:$C$2484=$C738)*($D$5:$D$2484=$D738)*($S$5:$S$2484=1)*IFERROR($N$5:$N$2484*1,0)))&gt;0,ROUND($H738*($N738/SUMPRODUCT(MAX(($C$5:$C$2484=$C738)*($D$5:$D$2484=$D738)*($S$5:$S$2484=1)*IFERROR($N$5:$N$2484*1,0)))),4),0)))</f>
        <v/>
      </c>
      <c r="P738" s="48" t="inlineStr">
        <is>
          <t>coeff.</t>
        </is>
      </c>
      <c r="Q738" s="57">
        <f>IF($A738="","",$A738&amp;"|"&amp;$C738)</f>
        <v/>
      </c>
      <c r="R738" s="57">
        <f>IF($A738="","",$A738&amp;"|"&amp;$C738&amp;"|"&amp;$D738)</f>
        <v/>
      </c>
      <c r="S738" s="57">
        <f>IF($A738="","",IFERROR(INDEX(Offerte!$D$2:$D$81,MATCH($Q738,Offerte!$L$2:$L$81,0)),0))</f>
        <v/>
      </c>
      <c r="T738" s="57">
        <f>IF($A738="","",IFERROR(INDEX(Offerte!$G$2:$G$81,MATCH($Q738,Offerte!$L$2:$L$81,0)),"NO"))</f>
        <v/>
      </c>
    </row>
    <row r="739">
      <c r="A739" s="48">
        <f>IF(Offerte!$A25="","",Offerte!$A25)</f>
        <v/>
      </c>
      <c r="B739" s="48">
        <f>IF(Offerte!$A25="","",Offerte!$B25)</f>
        <v/>
      </c>
      <c r="C739" s="48">
        <f>IF(Offerte!$A25="","",Offerte!$C25)</f>
        <v/>
      </c>
      <c r="D739" s="48" t="inlineStr">
        <is>
          <t>F.1.1</t>
        </is>
      </c>
      <c r="E739" s="48" t="inlineStr">
        <is>
          <t>F</t>
        </is>
      </c>
      <c r="F739" s="48" t="inlineStr">
        <is>
          <t>Q</t>
        </is>
      </c>
      <c r="G739" s="48" t="inlineStr">
        <is>
          <t>lower</t>
        </is>
      </c>
      <c r="H739" s="48" t="n">
        <v>7</v>
      </c>
      <c r="I739" s="48" t="inlineStr">
        <is>
          <t>Performance ambientali del parco mezzi adibito al servizio - I_CEA</t>
        </is>
      </c>
      <c r="J739" s="73" t="n"/>
      <c r="K739" s="73" t="n"/>
      <c r="L739" s="73" t="n"/>
      <c r="M739" s="73" t="n"/>
      <c r="N739" s="57">
        <f>IF($A739="","",IFERROR(VALUE($J739),0))</f>
        <v/>
      </c>
      <c r="O739" s="57">
        <f>IF($A739="",0,IF(OR($S739&lt;&gt;1,COUNTA($J739:$M739)=0),0,IF(AND(IFERROR(AGGREGATE(15,6,$N$5:$N$2484/(($C$5:$C$2484=$C739)*($D$5:$D$2484=$D739)*($S$5:$S$2484=1)*($N$5:$N$2484&gt;0)),1),0)&gt;0,$N739&gt;0),ROUND($H739*(IFERROR(AGGREGATE(15,6,$N$5:$N$2484/(($C$5:$C$2484=$C739)*($D$5:$D$2484=$D739)*($S$5:$S$2484=1)*($N$5:$N$2484&gt;0)),1),0)/$N739),4),0)))</f>
        <v/>
      </c>
      <c r="P739" s="48" t="inlineStr">
        <is>
          <t>indice</t>
        </is>
      </c>
      <c r="Q739" s="57">
        <f>IF($A739="","",$A739&amp;"|"&amp;$C739)</f>
        <v/>
      </c>
      <c r="R739" s="57">
        <f>IF($A739="","",$A739&amp;"|"&amp;$C739&amp;"|"&amp;$D739)</f>
        <v/>
      </c>
      <c r="S739" s="57">
        <f>IF($A739="","",IFERROR(INDEX(Offerte!$D$2:$D$81,MATCH($Q739,Offerte!$L$2:$L$81,0)),0))</f>
        <v/>
      </c>
      <c r="T739" s="57">
        <f>IF($A739="","",IFERROR(INDEX(Offerte!$G$2:$G$81,MATCH($Q739,Offerte!$L$2:$L$81,0)),"NO"))</f>
        <v/>
      </c>
    </row>
    <row r="740">
      <c r="A740" s="48">
        <f>IF(Offerte!$A25="","",Offerte!$A25)</f>
        <v/>
      </c>
      <c r="B740" s="48">
        <f>IF(Offerte!$A25="","",Offerte!$B25)</f>
        <v/>
      </c>
      <c r="C740" s="48">
        <f>IF(Offerte!$A25="","",Offerte!$C25)</f>
        <v/>
      </c>
      <c r="D740" s="48" t="inlineStr">
        <is>
          <t>F.2.1</t>
        </is>
      </c>
      <c r="E740" s="48" t="inlineStr">
        <is>
          <t>F</t>
        </is>
      </c>
      <c r="F740" s="48" t="inlineStr">
        <is>
          <t>Q</t>
        </is>
      </c>
      <c r="G740" s="48" t="inlineStr">
        <is>
          <t>higher</t>
        </is>
      </c>
      <c r="H740" s="48" t="n">
        <v>2</v>
      </c>
      <c r="I740" s="48" t="inlineStr">
        <is>
          <t>Tasso di copertura del servizio con dispositivi ECO-DRIVER</t>
        </is>
      </c>
      <c r="J740" s="73" t="n"/>
      <c r="K740" s="73" t="n"/>
      <c r="L740" s="73" t="n"/>
      <c r="M740" s="73" t="n"/>
      <c r="N740" s="57">
        <f>IF($A740="","",IFERROR(VALUE($K740)/VALUE($L740),IFERROR(VALUE($J740),0)))</f>
        <v/>
      </c>
      <c r="O740" s="57">
        <f>IF($A740="",0,IF(OR($S740&lt;&gt;1,COUNTA($J740:$M740)=0),0,IF(SUMPRODUCT(MAX(($C$5:$C$2484=$C740)*($D$5:$D$2484=$D740)*($S$5:$S$2484=1)*IFERROR($N$5:$N$2484*1,0)))&gt;0,ROUND($H740*($N740/SUMPRODUCT(MAX(($C$5:$C$2484=$C740)*($D$5:$D$2484=$D740)*($S$5:$S$2484=1)*IFERROR($N$5:$N$2484*1,0)))),4),0)))</f>
        <v/>
      </c>
      <c r="P740" s="48" t="inlineStr">
        <is>
          <t>Autobus attrezzati con dispositivi ECO-DRIVER / Autobus totali in offerta, incluse scorte</t>
        </is>
      </c>
      <c r="Q740" s="57">
        <f>IF($A740="","",$A740&amp;"|"&amp;$C740)</f>
        <v/>
      </c>
      <c r="R740" s="57">
        <f>IF($A740="","",$A740&amp;"|"&amp;$C740&amp;"|"&amp;$D740)</f>
        <v/>
      </c>
      <c r="S740" s="57">
        <f>IF($A740="","",IFERROR(INDEX(Offerte!$D$2:$D$81,MATCH($Q740,Offerte!$L$2:$L$81,0)),0))</f>
        <v/>
      </c>
      <c r="T740" s="57">
        <f>IF($A740="","",IFERROR(INDEX(Offerte!$G$2:$G$81,MATCH($Q740,Offerte!$L$2:$L$81,0)),"NO"))</f>
        <v/>
      </c>
    </row>
    <row r="741">
      <c r="A741" s="48">
        <f>IF(Offerte!$A25="","",Offerte!$A25)</f>
        <v/>
      </c>
      <c r="B741" s="48">
        <f>IF(Offerte!$A25="","",Offerte!$B25)</f>
        <v/>
      </c>
      <c r="C741" s="48">
        <f>IF(Offerte!$A25="","",Offerte!$C25)</f>
        <v/>
      </c>
      <c r="D741" s="48" t="inlineStr">
        <is>
          <t>F.3.1</t>
        </is>
      </c>
      <c r="E741" s="48" t="inlineStr">
        <is>
          <t>F</t>
        </is>
      </c>
      <c r="F741" s="48" t="inlineStr">
        <is>
          <t>Q</t>
        </is>
      </c>
      <c r="G741" s="48" t="inlineStr">
        <is>
          <t>higher</t>
        </is>
      </c>
      <c r="H741" s="48" t="n">
        <v>2</v>
      </c>
      <c r="I741" s="48" t="inlineStr">
        <is>
          <t>Autoproduzione consumi elettrici per trazione</t>
        </is>
      </c>
      <c r="J741" s="73" t="n"/>
      <c r="K741" s="73" t="n"/>
      <c r="L741" s="73" t="n"/>
      <c r="M741" s="73" t="n"/>
      <c r="N741" s="57">
        <f>IF($A741="","",IFERROR(VALUE($J741),0))</f>
        <v/>
      </c>
      <c r="O741" s="57">
        <f>IF($A741="",0,IF(OR($S741&lt;&gt;1,COUNTA($J741:$M741)=0),0,IF(SUMPRODUCT(MAX(($C$5:$C$2484=$C741)*($D$5:$D$2484=$D741)*($S$5:$S$2484=1)*IFERROR($N$5:$N$2484*1,0)))&gt;0,ROUND($H741*($N741/SUMPRODUCT(MAX(($C$5:$C$2484=$C741)*($D$5:$D$2484=$D741)*($S$5:$S$2484=1)*IFERROR($N$5:$N$2484*1,0)))),4),0)))</f>
        <v/>
      </c>
      <c r="P741" s="48" t="inlineStr">
        <is>
          <t>kWh/anno</t>
        </is>
      </c>
      <c r="Q741" s="57">
        <f>IF($A741="","",$A741&amp;"|"&amp;$C741)</f>
        <v/>
      </c>
      <c r="R741" s="57">
        <f>IF($A741="","",$A741&amp;"|"&amp;$C741&amp;"|"&amp;$D741)</f>
        <v/>
      </c>
      <c r="S741" s="57">
        <f>IF($A741="","",IFERROR(INDEX(Offerte!$D$2:$D$81,MATCH($Q741,Offerte!$L$2:$L$81,0)),0))</f>
        <v/>
      </c>
      <c r="T741" s="57">
        <f>IF($A741="","",IFERROR(INDEX(Offerte!$G$2:$G$81,MATCH($Q741,Offerte!$L$2:$L$81,0)),"NO"))</f>
        <v/>
      </c>
    </row>
    <row r="742">
      <c r="A742" s="48">
        <f>IF(Offerte!$A25="","",Offerte!$A25)</f>
        <v/>
      </c>
      <c r="B742" s="48">
        <f>IF(Offerte!$A25="","",Offerte!$B25)</f>
        <v/>
      </c>
      <c r="C742" s="48">
        <f>IF(Offerte!$A25="","",Offerte!$C25)</f>
        <v/>
      </c>
      <c r="D742" s="48" t="inlineStr">
        <is>
          <t>F.4.1</t>
        </is>
      </c>
      <c r="E742" s="48" t="inlineStr">
        <is>
          <t>F</t>
        </is>
      </c>
      <c r="F742" s="48" t="inlineStr">
        <is>
          <t>Q</t>
        </is>
      </c>
      <c r="G742" s="48" t="inlineStr">
        <is>
          <t>soil</t>
        </is>
      </c>
      <c r="H742" s="48" t="n">
        <v>2</v>
      </c>
      <c r="I742" s="48" t="inlineStr">
        <is>
          <t>Indice di consumo di suolo</t>
        </is>
      </c>
      <c r="J742" s="73" t="n"/>
      <c r="K742" s="73" t="n"/>
      <c r="L742" s="73" t="n"/>
      <c r="M742" s="73" t="n"/>
      <c r="N742" s="57">
        <f>IF($A742="","",IFERROR(VALUE($J742),0))</f>
        <v/>
      </c>
      <c r="O742" s="57">
        <f>IF($A742="",0,IF(OR($S742&lt;&gt;1,COUNTA($J742:$M742)=0),0,IF($N742&lt;=0,$H742,IF(SUMPRODUCT(MAX(($C$5:$C$2484=$C742)*($D$5:$D$2484=$D742)*($S$5:$S$2484=1)*IFERROR($N$5:$N$2484*1,0)))&gt;0,ROUND($H742*((SUMPRODUCT(MAX(($C$5:$C$2484=$C742)*($D$5:$D$2484=$D742)*($S$5:$S$2484=1)*IFERROR($N$5:$N$2484*1,0)))-$N742)/SUMPRODUCT(MAX(($C$5:$C$2484=$C742)*($D$5:$D$2484=$D742)*($S$5:$S$2484=1)*IFERROR($N$5:$N$2484*1,0)))),4),0))))</f>
        <v/>
      </c>
      <c r="P742" s="48" t="inlineStr">
        <is>
          <t>m2</t>
        </is>
      </c>
      <c r="Q742" s="57">
        <f>IF($A742="","",$A742&amp;"|"&amp;$C742)</f>
        <v/>
      </c>
      <c r="R742" s="57">
        <f>IF($A742="","",$A742&amp;"|"&amp;$C742&amp;"|"&amp;$D742)</f>
        <v/>
      </c>
      <c r="S742" s="57">
        <f>IF($A742="","",IFERROR(INDEX(Offerte!$D$2:$D$81,MATCH($Q742,Offerte!$L$2:$L$81,0)),0))</f>
        <v/>
      </c>
      <c r="T742" s="57">
        <f>IF($A742="","",IFERROR(INDEX(Offerte!$G$2:$G$81,MATCH($Q742,Offerte!$L$2:$L$81,0)),"NO"))</f>
        <v/>
      </c>
    </row>
    <row r="743">
      <c r="A743" s="48">
        <f>IF(Offerte!$A25="","",Offerte!$A25)</f>
        <v/>
      </c>
      <c r="B743" s="48">
        <f>IF(Offerte!$A25="","",Offerte!$B25)</f>
        <v/>
      </c>
      <c r="C743" s="48">
        <f>IF(Offerte!$A25="","",Offerte!$C25)</f>
        <v/>
      </c>
      <c r="D743" s="48" t="inlineStr">
        <is>
          <t>F.5.1</t>
        </is>
      </c>
      <c r="E743" s="48" t="inlineStr">
        <is>
          <t>F</t>
        </is>
      </c>
      <c r="F743" s="48" t="inlineStr">
        <is>
          <t>T</t>
        </is>
      </c>
      <c r="G743" s="48" t="inlineStr">
        <is>
          <t>tabular</t>
        </is>
      </c>
      <c r="H743" s="48" t="n">
        <v>1</v>
      </c>
      <c r="I743" s="48" t="inlineStr">
        <is>
          <t>Rendicontazione di sostenibilità ambientale</t>
        </is>
      </c>
      <c r="J743" s="73" t="n"/>
      <c r="K743" s="73" t="n"/>
      <c r="L743" s="73" t="n"/>
      <c r="M743" s="73" t="n"/>
      <c r="N743" s="57">
        <f>IF($A743="","",IF(IFERROR(VALUE($M743),0)=1,1,0))</f>
        <v/>
      </c>
      <c r="O743" s="57">
        <f>IF($A743="",0,IF(OR($S743&lt;&gt;1,COUNTA($J743:$M743)=0),0,IF($N743=1,$H743,0)))</f>
        <v/>
      </c>
      <c r="P743" s="48" t="inlineStr">
        <is>
          <t>sì/no</t>
        </is>
      </c>
      <c r="Q743" s="57">
        <f>IF($A743="","",$A743&amp;"|"&amp;$C743)</f>
        <v/>
      </c>
      <c r="R743" s="57">
        <f>IF($A743="","",$A743&amp;"|"&amp;$C743&amp;"|"&amp;$D743)</f>
        <v/>
      </c>
      <c r="S743" s="57">
        <f>IF($A743="","",IFERROR(INDEX(Offerte!$D$2:$D$81,MATCH($Q743,Offerte!$L$2:$L$81,0)),0))</f>
        <v/>
      </c>
      <c r="T743" s="57">
        <f>IF($A743="","",IFERROR(INDEX(Offerte!$G$2:$G$81,MATCH($Q743,Offerte!$L$2:$L$81,0)),"NO"))</f>
        <v/>
      </c>
    </row>
    <row r="744">
      <c r="A744" s="48">
        <f>IF(Offerte!$A25="","",Offerte!$A25)</f>
        <v/>
      </c>
      <c r="B744" s="48">
        <f>IF(Offerte!$A25="","",Offerte!$B25)</f>
        <v/>
      </c>
      <c r="C744" s="48">
        <f>IF(Offerte!$A25="","",Offerte!$C25)</f>
        <v/>
      </c>
      <c r="D744" s="48" t="inlineStr">
        <is>
          <t>G.1.1</t>
        </is>
      </c>
      <c r="E744" s="48" t="inlineStr">
        <is>
          <t>G</t>
        </is>
      </c>
      <c r="F744" s="48" t="inlineStr">
        <is>
          <t>D</t>
        </is>
      </c>
      <c r="G744" s="48" t="inlineStr">
        <is>
          <t>discretionary</t>
        </is>
      </c>
      <c r="H744" s="48" t="n">
        <v>2</v>
      </c>
      <c r="I744" s="48" t="inlineStr">
        <is>
          <t>Qualità del progetto di centrale di controllo aziendale</t>
        </is>
      </c>
      <c r="J744" s="73" t="n"/>
      <c r="K744" s="73" t="n"/>
      <c r="L744" s="73" t="n"/>
      <c r="M744" s="73" t="n"/>
      <c r="N744" s="57">
        <f>IF($A744="","",MAX(0,MIN(1,IFERROR(VALUE($M744),0))))</f>
        <v/>
      </c>
      <c r="O744" s="57">
        <f>IF($A744="",0,IF(OR($S744&lt;&gt;1,COUNTA($J744:$M744)=0),0,IF(SUMPRODUCT(MAX(($C$5:$C$2484=$C744)*($D$5:$D$2484=$D744)*($S$5:$S$2484=1)*IFERROR($N$5:$N$2484*1,0)))&gt;0,ROUND($H744*($N744/SUMPRODUCT(MAX(($C$5:$C$2484=$C744)*($D$5:$D$2484=$D744)*($S$5:$S$2484=1)*IFERROR($N$5:$N$2484*1,0)))),4),0)))</f>
        <v/>
      </c>
      <c r="P744" s="48" t="inlineStr">
        <is>
          <t>coeff.</t>
        </is>
      </c>
      <c r="Q744" s="57">
        <f>IF($A744="","",$A744&amp;"|"&amp;$C744)</f>
        <v/>
      </c>
      <c r="R744" s="57">
        <f>IF($A744="","",$A744&amp;"|"&amp;$C744&amp;"|"&amp;$D744)</f>
        <v/>
      </c>
      <c r="S744" s="57">
        <f>IF($A744="","",IFERROR(INDEX(Offerte!$D$2:$D$81,MATCH($Q744,Offerte!$L$2:$L$81,0)),0))</f>
        <v/>
      </c>
      <c r="T744" s="57">
        <f>IF($A744="","",IFERROR(INDEX(Offerte!$G$2:$G$81,MATCH($Q744,Offerte!$L$2:$L$81,0)),"NO"))</f>
        <v/>
      </c>
    </row>
    <row r="745">
      <c r="A745" s="48">
        <f>IF(Offerte!$A25="","",Offerte!$A25)</f>
        <v/>
      </c>
      <c r="B745" s="48">
        <f>IF(Offerte!$A25="","",Offerte!$B25)</f>
        <v/>
      </c>
      <c r="C745" s="48">
        <f>IF(Offerte!$A25="","",Offerte!$C25)</f>
        <v/>
      </c>
      <c r="D745" s="48" t="inlineStr">
        <is>
          <t>G.2.1</t>
        </is>
      </c>
      <c r="E745" s="48" t="inlineStr">
        <is>
          <t>G</t>
        </is>
      </c>
      <c r="F745" s="48" t="inlineStr">
        <is>
          <t>T</t>
        </is>
      </c>
      <c r="G745" s="48" t="inlineStr">
        <is>
          <t>tabular</t>
        </is>
      </c>
      <c r="H745" s="48" t="n">
        <v>1</v>
      </c>
      <c r="I745" s="48" t="inlineStr">
        <is>
          <t>Certificazione ISO 45001</t>
        </is>
      </c>
      <c r="J745" s="73" t="n"/>
      <c r="K745" s="73" t="n"/>
      <c r="L745" s="73" t="n"/>
      <c r="M745" s="73" t="n"/>
      <c r="N745" s="57">
        <f>IF($A745="","",IF(IFERROR(VALUE($M745),0)=1,1,0))</f>
        <v/>
      </c>
      <c r="O745" s="57">
        <f>IF($A745="",0,IF(OR($S745&lt;&gt;1,COUNTA($J745:$M745)=0),0,IF($N745=1,$H745,0)))</f>
        <v/>
      </c>
      <c r="P745" s="48" t="inlineStr">
        <is>
          <t>sì/no</t>
        </is>
      </c>
      <c r="Q745" s="57">
        <f>IF($A745="","",$A745&amp;"|"&amp;$C745)</f>
        <v/>
      </c>
      <c r="R745" s="57">
        <f>IF($A745="","",$A745&amp;"|"&amp;$C745&amp;"|"&amp;$D745)</f>
        <v/>
      </c>
      <c r="S745" s="57">
        <f>IF($A745="","",IFERROR(INDEX(Offerte!$D$2:$D$81,MATCH($Q745,Offerte!$L$2:$L$81,0)),0))</f>
        <v/>
      </c>
      <c r="T745" s="57">
        <f>IF($A745="","",IFERROR(INDEX(Offerte!$G$2:$G$81,MATCH($Q745,Offerte!$L$2:$L$81,0)),"NO"))</f>
        <v/>
      </c>
    </row>
    <row r="746">
      <c r="A746" s="48">
        <f>IF(Offerte!$A25="","",Offerte!$A25)</f>
        <v/>
      </c>
      <c r="B746" s="48">
        <f>IF(Offerte!$A25="","",Offerte!$B25)</f>
        <v/>
      </c>
      <c r="C746" s="48">
        <f>IF(Offerte!$A25="","",Offerte!$C25)</f>
        <v/>
      </c>
      <c r="D746" s="48" t="inlineStr">
        <is>
          <t>G.3.1</t>
        </is>
      </c>
      <c r="E746" s="48" t="inlineStr">
        <is>
          <t>G</t>
        </is>
      </c>
      <c r="F746" s="48" t="inlineStr">
        <is>
          <t>T</t>
        </is>
      </c>
      <c r="G746" s="48" t="inlineStr">
        <is>
          <t>tabular</t>
        </is>
      </c>
      <c r="H746" s="48" t="n">
        <v>1</v>
      </c>
      <c r="I746" s="48" t="inlineStr">
        <is>
          <t>Certificazioni di responsabilità sociale</t>
        </is>
      </c>
      <c r="J746" s="73" t="n"/>
      <c r="K746" s="73" t="n"/>
      <c r="L746" s="73" t="n"/>
      <c r="M746" s="73" t="n"/>
      <c r="N746" s="57">
        <f>IF($A746="","",IF(IFERROR(VALUE($M746),0)=1,1,0))</f>
        <v/>
      </c>
      <c r="O746" s="57">
        <f>IF($A746="",0,IF(OR($S746&lt;&gt;1,COUNTA($J746:$M746)=0),0,IF($N746=1,$H746,0)))</f>
        <v/>
      </c>
      <c r="P746" s="48" t="inlineStr">
        <is>
          <t>sì/no</t>
        </is>
      </c>
      <c r="Q746" s="57">
        <f>IF($A746="","",$A746&amp;"|"&amp;$C746)</f>
        <v/>
      </c>
      <c r="R746" s="57">
        <f>IF($A746="","",$A746&amp;"|"&amp;$C746&amp;"|"&amp;$D746)</f>
        <v/>
      </c>
      <c r="S746" s="57">
        <f>IF($A746="","",IFERROR(INDEX(Offerte!$D$2:$D$81,MATCH($Q746,Offerte!$L$2:$L$81,0)),0))</f>
        <v/>
      </c>
      <c r="T746" s="57">
        <f>IF($A746="","",IFERROR(INDEX(Offerte!$G$2:$G$81,MATCH($Q746,Offerte!$L$2:$L$81,0)),"NO"))</f>
        <v/>
      </c>
    </row>
    <row r="747">
      <c r="A747" s="48">
        <f>IF(Offerte!$A25="","",Offerte!$A25)</f>
        <v/>
      </c>
      <c r="B747" s="48">
        <f>IF(Offerte!$A25="","",Offerte!$B25)</f>
        <v/>
      </c>
      <c r="C747" s="48">
        <f>IF(Offerte!$A25="","",Offerte!$C25)</f>
        <v/>
      </c>
      <c r="D747" s="48" t="inlineStr">
        <is>
          <t>G.4.1</t>
        </is>
      </c>
      <c r="E747" s="48" t="inlineStr">
        <is>
          <t>G</t>
        </is>
      </c>
      <c r="F747" s="48" t="inlineStr">
        <is>
          <t>D</t>
        </is>
      </c>
      <c r="G747" s="48" t="inlineStr">
        <is>
          <t>discretionary</t>
        </is>
      </c>
      <c r="H747" s="48" t="n">
        <v>2</v>
      </c>
      <c r="I747" s="48" t="inlineStr">
        <is>
          <t>Qualità del piano di formazione del personale</t>
        </is>
      </c>
      <c r="J747" s="73" t="n"/>
      <c r="K747" s="73" t="n"/>
      <c r="L747" s="73" t="n"/>
      <c r="M747" s="73" t="n"/>
      <c r="N747" s="57">
        <f>IF($A747="","",MAX(0,MIN(1,IFERROR(VALUE($M747),0))))</f>
        <v/>
      </c>
      <c r="O747" s="57">
        <f>IF($A747="",0,IF(OR($S747&lt;&gt;1,COUNTA($J747:$M747)=0),0,IF(SUMPRODUCT(MAX(($C$5:$C$2484=$C747)*($D$5:$D$2484=$D747)*($S$5:$S$2484=1)*IFERROR($N$5:$N$2484*1,0)))&gt;0,ROUND($H747*($N747/SUMPRODUCT(MAX(($C$5:$C$2484=$C747)*($D$5:$D$2484=$D747)*($S$5:$S$2484=1)*IFERROR($N$5:$N$2484*1,0)))),4),0)))</f>
        <v/>
      </c>
      <c r="P747" s="48" t="inlineStr">
        <is>
          <t>coeff.</t>
        </is>
      </c>
      <c r="Q747" s="57">
        <f>IF($A747="","",$A747&amp;"|"&amp;$C747)</f>
        <v/>
      </c>
      <c r="R747" s="57">
        <f>IF($A747="","",$A747&amp;"|"&amp;$C747&amp;"|"&amp;$D747)</f>
        <v/>
      </c>
      <c r="S747" s="57">
        <f>IF($A747="","",IFERROR(INDEX(Offerte!$D$2:$D$81,MATCH($Q747,Offerte!$L$2:$L$81,0)),0))</f>
        <v/>
      </c>
      <c r="T747" s="57">
        <f>IF($A747="","",IFERROR(INDEX(Offerte!$G$2:$G$81,MATCH($Q747,Offerte!$L$2:$L$81,0)),"NO"))</f>
        <v/>
      </c>
    </row>
    <row r="748">
      <c r="A748" s="48">
        <f>IF(Offerte!$A25="","",Offerte!$A25)</f>
        <v/>
      </c>
      <c r="B748" s="48">
        <f>IF(Offerte!$A25="","",Offerte!$B25)</f>
        <v/>
      </c>
      <c r="C748" s="48">
        <f>IF(Offerte!$A25="","",Offerte!$C25)</f>
        <v/>
      </c>
      <c r="D748" s="48" t="inlineStr">
        <is>
          <t>G.5.1</t>
        </is>
      </c>
      <c r="E748" s="48" t="inlineStr">
        <is>
          <t>G</t>
        </is>
      </c>
      <c r="F748" s="48" t="inlineStr">
        <is>
          <t>T</t>
        </is>
      </c>
      <c r="G748" s="48" t="inlineStr">
        <is>
          <t>tabular</t>
        </is>
      </c>
      <c r="H748" s="48" t="n">
        <v>1</v>
      </c>
      <c r="I748" s="48" t="inlineStr">
        <is>
          <t>Impegno al mantenimento delle garanzie del contratto di secondo livello del gestore uscente</t>
        </is>
      </c>
      <c r="J748" s="73" t="n"/>
      <c r="K748" s="73" t="n"/>
      <c r="L748" s="73" t="n"/>
      <c r="M748" s="73" t="n"/>
      <c r="N748" s="57">
        <f>IF($A748="","",IF(IFERROR(VALUE($M748),0)=1,1,0))</f>
        <v/>
      </c>
      <c r="O748" s="57">
        <f>IF($A748="",0,IF(OR($S748&lt;&gt;1,COUNTA($J748:$M748)=0),0,IF($N748=1,$H748,0)))</f>
        <v/>
      </c>
      <c r="P748" s="48" t="inlineStr">
        <is>
          <t>sì/no</t>
        </is>
      </c>
      <c r="Q748" s="57">
        <f>IF($A748="","",$A748&amp;"|"&amp;$C748)</f>
        <v/>
      </c>
      <c r="R748" s="57">
        <f>IF($A748="","",$A748&amp;"|"&amp;$C748&amp;"|"&amp;$D748)</f>
        <v/>
      </c>
      <c r="S748" s="57">
        <f>IF($A748="","",IFERROR(INDEX(Offerte!$D$2:$D$81,MATCH($Q748,Offerte!$L$2:$L$81,0)),0))</f>
        <v/>
      </c>
      <c r="T748" s="57">
        <f>IF($A748="","",IFERROR(INDEX(Offerte!$G$2:$G$81,MATCH($Q748,Offerte!$L$2:$L$81,0)),"NO"))</f>
        <v/>
      </c>
    </row>
    <row r="749">
      <c r="A749" s="48">
        <f>IF(Offerte!$A26="","",Offerte!$A26)</f>
        <v/>
      </c>
      <c r="B749" s="48">
        <f>IF(Offerte!$A26="","",Offerte!$B26)</f>
        <v/>
      </c>
      <c r="C749" s="48">
        <f>IF(Offerte!$A26="","",Offerte!$C26)</f>
        <v/>
      </c>
      <c r="D749" s="48" t="inlineStr">
        <is>
          <t>A.1.1</t>
        </is>
      </c>
      <c r="E749" s="48" t="inlineStr">
        <is>
          <t>A</t>
        </is>
      </c>
      <c r="F749" s="48" t="inlineStr">
        <is>
          <t>Q</t>
        </is>
      </c>
      <c r="G749" s="48" t="inlineStr">
        <is>
          <t>higher</t>
        </is>
      </c>
      <c r="H749" s="48" t="n">
        <v>3</v>
      </c>
      <c r="I749" s="48" t="inlineStr">
        <is>
          <t>Tasso aggiuntivo di corse controllate</t>
        </is>
      </c>
      <c r="J749" s="73" t="n"/>
      <c r="K749" s="73" t="n"/>
      <c r="L749" s="73" t="n"/>
      <c r="M749" s="73" t="n"/>
      <c r="N749" s="57">
        <f>IF($A749="","",IFERROR(VALUE($K749)/VALUE($L749)*100,IFERROR(VALUE($J749),0)))</f>
        <v/>
      </c>
      <c r="O749" s="57">
        <f>IF($A749="",0,IF(OR($S749&lt;&gt;1,COUNTA($J749:$M749)=0),0,IF(SUMPRODUCT(MAX(($C$5:$C$2484=$C749)*($D$5:$D$2484=$D749)*($S$5:$S$2484=1)*IFERROR($N$5:$N$2484*1,0)))&gt;0,ROUND($H749*($N749/SUMPRODUCT(MAX(($C$5:$C$2484=$C749)*($D$5:$D$2484=$D749)*($S$5:$S$2484=1)*IFERROR($N$5:$N$2484*1,0)))),4),0)))</f>
        <v/>
      </c>
      <c r="P749" s="48" t="inlineStr">
        <is>
          <t>Corse controllate annue / Corse programmate annue</t>
        </is>
      </c>
      <c r="Q749" s="57">
        <f>IF($A749="","",$A749&amp;"|"&amp;$C749)</f>
        <v/>
      </c>
      <c r="R749" s="57">
        <f>IF($A749="","",$A749&amp;"|"&amp;$C749&amp;"|"&amp;$D749)</f>
        <v/>
      </c>
      <c r="S749" s="57">
        <f>IF($A749="","",IFERROR(INDEX(Offerte!$D$2:$D$81,MATCH($Q749,Offerte!$L$2:$L$81,0)),0))</f>
        <v/>
      </c>
      <c r="T749" s="57">
        <f>IF($A749="","",IFERROR(INDEX(Offerte!$G$2:$G$81,MATCH($Q749,Offerte!$L$2:$L$81,0)),"NO"))</f>
        <v/>
      </c>
    </row>
    <row r="750">
      <c r="A750" s="48">
        <f>IF(Offerte!$A26="","",Offerte!$A26)</f>
        <v/>
      </c>
      <c r="B750" s="48">
        <f>IF(Offerte!$A26="","",Offerte!$B26)</f>
        <v/>
      </c>
      <c r="C750" s="48">
        <f>IF(Offerte!$A26="","",Offerte!$C26)</f>
        <v/>
      </c>
      <c r="D750" s="48" t="inlineStr">
        <is>
          <t>A.1.2</t>
        </is>
      </c>
      <c r="E750" s="48" t="inlineStr">
        <is>
          <t>A</t>
        </is>
      </c>
      <c r="F750" s="48" t="inlineStr">
        <is>
          <t>Q</t>
        </is>
      </c>
      <c r="G750" s="48" t="inlineStr">
        <is>
          <t>higher</t>
        </is>
      </c>
      <c r="H750" s="48" t="n">
        <v>4</v>
      </c>
      <c r="I750" s="48" t="inlineStr">
        <is>
          <t>Numero aggiuntivo di passeggeri controllati</t>
        </is>
      </c>
      <c r="J750" s="73" t="n"/>
      <c r="K750" s="73" t="n"/>
      <c r="L750" s="73" t="n"/>
      <c r="M750" s="73" t="n"/>
      <c r="N750" s="57">
        <f>IF($A750="","",IFERROR(VALUE($J750),0))</f>
        <v/>
      </c>
      <c r="O750" s="57">
        <f>IF($A750="",0,IF(OR($S750&lt;&gt;1,COUNTA($J750:$M750)=0),0,IF(SUMPRODUCT(MAX(($C$5:$C$2484=$C750)*($D$5:$D$2484=$D750)*($S$5:$S$2484=1)*IFERROR($N$5:$N$2484*1,0)))&gt;0,ROUND($H750*($N750/SUMPRODUCT(MAX(($C$5:$C$2484=$C750)*($D$5:$D$2484=$D750)*($S$5:$S$2484=1)*IFERROR($N$5:$N$2484*1,0)))),4),0)))</f>
        <v/>
      </c>
      <c r="P750" s="48" t="inlineStr">
        <is>
          <t>passeggeri/anno</t>
        </is>
      </c>
      <c r="Q750" s="57">
        <f>IF($A750="","",$A750&amp;"|"&amp;$C750)</f>
        <v/>
      </c>
      <c r="R750" s="57">
        <f>IF($A750="","",$A750&amp;"|"&amp;$C750&amp;"|"&amp;$D750)</f>
        <v/>
      </c>
      <c r="S750" s="57">
        <f>IF($A750="","",IFERROR(INDEX(Offerte!$D$2:$D$81,MATCH($Q750,Offerte!$L$2:$L$81,0)),0))</f>
        <v/>
      </c>
      <c r="T750" s="57">
        <f>IF($A750="","",IFERROR(INDEX(Offerte!$G$2:$G$81,MATCH($Q750,Offerte!$L$2:$L$81,0)),"NO"))</f>
        <v/>
      </c>
    </row>
    <row r="751">
      <c r="A751" s="48">
        <f>IF(Offerte!$A26="","",Offerte!$A26)</f>
        <v/>
      </c>
      <c r="B751" s="48">
        <f>IF(Offerte!$A26="","",Offerte!$B26)</f>
        <v/>
      </c>
      <c r="C751" s="48">
        <f>IF(Offerte!$A26="","",Offerte!$C26)</f>
        <v/>
      </c>
      <c r="D751" s="48" t="inlineStr">
        <is>
          <t>B.1.1</t>
        </is>
      </c>
      <c r="E751" s="48" t="inlineStr">
        <is>
          <t>B</t>
        </is>
      </c>
      <c r="F751" s="48" t="inlineStr">
        <is>
          <t>Q</t>
        </is>
      </c>
      <c r="G751" s="48" t="inlineStr">
        <is>
          <t>higher</t>
        </is>
      </c>
      <c r="H751" s="48" t="n">
        <v>3</v>
      </c>
      <c r="I751" s="48" t="inlineStr">
        <is>
          <t>Incremento dei posti offerti nelle fasce di punta</t>
        </is>
      </c>
      <c r="J751" s="73" t="n"/>
      <c r="K751" s="73" t="n"/>
      <c r="L751" s="73" t="n"/>
      <c r="M751" s="73" t="n"/>
      <c r="N751" s="57">
        <f>IF($A751="","",IFERROR(VALUE($J751),0))</f>
        <v/>
      </c>
      <c r="O751" s="57">
        <f>IF($A751="",0,IF(OR($S751&lt;&gt;1,COUNTA($J751:$M751)=0),0,IF(SUMPRODUCT(MAX(($C$5:$C$2484=$C751)*($D$5:$D$2484=$D751)*($S$5:$S$2484=1)*IFERROR($N$5:$N$2484*1,0)))&gt;0,ROUND($H751*($N751/SUMPRODUCT(MAX(($C$5:$C$2484=$C751)*($D$5:$D$2484=$D751)*($S$5:$S$2484=1)*IFERROR($N$5:$N$2484*1,0)))),4),0)))</f>
        <v/>
      </c>
      <c r="P751" s="48" t="inlineStr">
        <is>
          <t>posti*km</t>
        </is>
      </c>
      <c r="Q751" s="57">
        <f>IF($A751="","",$A751&amp;"|"&amp;$C751)</f>
        <v/>
      </c>
      <c r="R751" s="57">
        <f>IF($A751="","",$A751&amp;"|"&amp;$C751&amp;"|"&amp;$D751)</f>
        <v/>
      </c>
      <c r="S751" s="57">
        <f>IF($A751="","",IFERROR(INDEX(Offerte!$D$2:$D$81,MATCH($Q751,Offerte!$L$2:$L$81,0)),0))</f>
        <v/>
      </c>
      <c r="T751" s="57">
        <f>IF($A751="","",IFERROR(INDEX(Offerte!$G$2:$G$81,MATCH($Q751,Offerte!$L$2:$L$81,0)),"NO"))</f>
        <v/>
      </c>
    </row>
    <row r="752">
      <c r="A752" s="48">
        <f>IF(Offerte!$A26="","",Offerte!$A26)</f>
        <v/>
      </c>
      <c r="B752" s="48">
        <f>IF(Offerte!$A26="","",Offerte!$B26)</f>
        <v/>
      </c>
      <c r="C752" s="48">
        <f>IF(Offerte!$A26="","",Offerte!$C26)</f>
        <v/>
      </c>
      <c r="D752" s="48" t="inlineStr">
        <is>
          <t>B.2.1</t>
        </is>
      </c>
      <c r="E752" s="48" t="inlineStr">
        <is>
          <t>B</t>
        </is>
      </c>
      <c r="F752" s="48" t="inlineStr">
        <is>
          <t>Q</t>
        </is>
      </c>
      <c r="G752" s="48" t="inlineStr">
        <is>
          <t>higher</t>
        </is>
      </c>
      <c r="H752" s="48" t="n">
        <v>4</v>
      </c>
      <c r="I752" s="48" t="inlineStr">
        <is>
          <t>Corse aggiuntive nell'arco giornaliero base</t>
        </is>
      </c>
      <c r="J752" s="73" t="n"/>
      <c r="K752" s="73" t="n"/>
      <c r="L752" s="73" t="n"/>
      <c r="M752" s="73" t="n"/>
      <c r="N752" s="57">
        <f>IF($A752="","",IFERROR(VALUE($J752),0))</f>
        <v/>
      </c>
      <c r="O752" s="57">
        <f>IF($A752="",0,IF(OR($S752&lt;&gt;1,COUNTA($J752:$M752)=0),0,IF(SUMPRODUCT(MAX(($C$5:$C$2484=$C752)*($D$5:$D$2484=$D752)*($S$5:$S$2484=1)*IFERROR($N$5:$N$2484*1,0)))&gt;0,ROUND($H752*($N752/SUMPRODUCT(MAX(($C$5:$C$2484=$C752)*($D$5:$D$2484=$D752)*($S$5:$S$2484=1)*IFERROR($N$5:$N$2484*1,0)))),4),0)))</f>
        <v/>
      </c>
      <c r="P752" s="48" t="inlineStr">
        <is>
          <t>corse</t>
        </is>
      </c>
      <c r="Q752" s="57">
        <f>IF($A752="","",$A752&amp;"|"&amp;$C752)</f>
        <v/>
      </c>
      <c r="R752" s="57">
        <f>IF($A752="","",$A752&amp;"|"&amp;$C752&amp;"|"&amp;$D752)</f>
        <v/>
      </c>
      <c r="S752" s="57">
        <f>IF($A752="","",IFERROR(INDEX(Offerte!$D$2:$D$81,MATCH($Q752,Offerte!$L$2:$L$81,0)),0))</f>
        <v/>
      </c>
      <c r="T752" s="57">
        <f>IF($A752="","",IFERROR(INDEX(Offerte!$G$2:$G$81,MATCH($Q752,Offerte!$L$2:$L$81,0)),"NO"))</f>
        <v/>
      </c>
    </row>
    <row r="753">
      <c r="A753" s="48">
        <f>IF(Offerte!$A26="","",Offerte!$A26)</f>
        <v/>
      </c>
      <c r="B753" s="48">
        <f>IF(Offerte!$A26="","",Offerte!$B26)</f>
        <v/>
      </c>
      <c r="C753" s="48">
        <f>IF(Offerte!$A26="","",Offerte!$C26)</f>
        <v/>
      </c>
      <c r="D753" s="48" t="inlineStr">
        <is>
          <t>B.3.1</t>
        </is>
      </c>
      <c r="E753" s="48" t="inlineStr">
        <is>
          <t>B</t>
        </is>
      </c>
      <c r="F753" s="48" t="inlineStr">
        <is>
          <t>Q</t>
        </is>
      </c>
      <c r="G753" s="48" t="inlineStr">
        <is>
          <t>higher</t>
        </is>
      </c>
      <c r="H753" s="48" t="n">
        <v>2</v>
      </c>
      <c r="I753" s="48" t="inlineStr">
        <is>
          <t>Numero di corse aggiuntive per allungamento dell'arco di servizio giornaliero nelle fasce serali</t>
        </is>
      </c>
      <c r="J753" s="73" t="n"/>
      <c r="K753" s="73" t="n"/>
      <c r="L753" s="73" t="n"/>
      <c r="M753" s="73" t="n"/>
      <c r="N753" s="57">
        <f>IF($A753="","",IFERROR(VALUE($J753),0))</f>
        <v/>
      </c>
      <c r="O753" s="57">
        <f>IF($A753="",0,IF(OR($S753&lt;&gt;1,COUNTA($J753:$M753)=0),0,IF(SUMPRODUCT(MAX(($C$5:$C$2484=$C753)*($D$5:$D$2484=$D753)*($S$5:$S$2484=1)*IFERROR($N$5:$N$2484*1,0)))&gt;0,ROUND($H753*($N753/SUMPRODUCT(MAX(($C$5:$C$2484=$C753)*($D$5:$D$2484=$D753)*($S$5:$S$2484=1)*IFERROR($N$5:$N$2484*1,0)))),4),0)))</f>
        <v/>
      </c>
      <c r="P753" s="48" t="inlineStr">
        <is>
          <t>corse</t>
        </is>
      </c>
      <c r="Q753" s="57">
        <f>IF($A753="","",$A753&amp;"|"&amp;$C753)</f>
        <v/>
      </c>
      <c r="R753" s="57">
        <f>IF($A753="","",$A753&amp;"|"&amp;$C753&amp;"|"&amp;$D753)</f>
        <v/>
      </c>
      <c r="S753" s="57">
        <f>IF($A753="","",IFERROR(INDEX(Offerte!$D$2:$D$81,MATCH($Q753,Offerte!$L$2:$L$81,0)),0))</f>
        <v/>
      </c>
      <c r="T753" s="57">
        <f>IF($A753="","",IFERROR(INDEX(Offerte!$G$2:$G$81,MATCH($Q753,Offerte!$L$2:$L$81,0)),"NO"))</f>
        <v/>
      </c>
    </row>
    <row r="754">
      <c r="A754" s="48">
        <f>IF(Offerte!$A26="","",Offerte!$A26)</f>
        <v/>
      </c>
      <c r="B754" s="48">
        <f>IF(Offerte!$A26="","",Offerte!$B26)</f>
        <v/>
      </c>
      <c r="C754" s="48">
        <f>IF(Offerte!$A26="","",Offerte!$C26)</f>
        <v/>
      </c>
      <c r="D754" s="48" t="inlineStr">
        <is>
          <t>B.4.1</t>
        </is>
      </c>
      <c r="E754" s="48" t="inlineStr">
        <is>
          <t>B</t>
        </is>
      </c>
      <c r="F754" s="48" t="inlineStr">
        <is>
          <t>Q</t>
        </is>
      </c>
      <c r="G754" s="48" t="inlineStr">
        <is>
          <t>higher</t>
        </is>
      </c>
      <c r="H754" s="48" t="n">
        <v>3</v>
      </c>
      <c r="I754" s="48" t="inlineStr">
        <is>
          <t>Percorrenze aggiuntive offerte nel Programma d'esercizio delle prime due fasi attuative</t>
        </is>
      </c>
      <c r="J754" s="73" t="n"/>
      <c r="K754" s="73" t="n"/>
      <c r="L754" s="73" t="n"/>
      <c r="M754" s="73" t="n"/>
      <c r="N754" s="57">
        <f>IF($A754="","",IFERROR(VALUE($J754),0))</f>
        <v/>
      </c>
      <c r="O754" s="57">
        <f>IF($A754="",0,IF(OR($S754&lt;&gt;1,COUNTA($J754:$M754)=0),0,IF(SUMPRODUCT(MAX(($C$5:$C$2484=$C754)*($D$5:$D$2484=$D754)*($S$5:$S$2484=1)*IFERROR($N$5:$N$2484*1,0)))&gt;0,ROUND($H754*($N754/SUMPRODUCT(MAX(($C$5:$C$2484=$C754)*($D$5:$D$2484=$D754)*($S$5:$S$2484=1)*IFERROR($N$5:$N$2484*1,0)))),4),0)))</f>
        <v/>
      </c>
      <c r="P754" s="48" t="inlineStr">
        <is>
          <t>vett*km</t>
        </is>
      </c>
      <c r="Q754" s="57">
        <f>IF($A754="","",$A754&amp;"|"&amp;$C754)</f>
        <v/>
      </c>
      <c r="R754" s="57">
        <f>IF($A754="","",$A754&amp;"|"&amp;$C754&amp;"|"&amp;$D754)</f>
        <v/>
      </c>
      <c r="S754" s="57">
        <f>IF($A754="","",IFERROR(INDEX(Offerte!$D$2:$D$81,MATCH($Q754,Offerte!$L$2:$L$81,0)),0))</f>
        <v/>
      </c>
      <c r="T754" s="57">
        <f>IF($A754="","",IFERROR(INDEX(Offerte!$G$2:$G$81,MATCH($Q754,Offerte!$L$2:$L$81,0)),"NO"))</f>
        <v/>
      </c>
    </row>
    <row r="755">
      <c r="A755" s="48">
        <f>IF(Offerte!$A26="","",Offerte!$A26)</f>
        <v/>
      </c>
      <c r="B755" s="48">
        <f>IF(Offerte!$A26="","",Offerte!$B26)</f>
        <v/>
      </c>
      <c r="C755" s="48">
        <f>IF(Offerte!$A26="","",Offerte!$C26)</f>
        <v/>
      </c>
      <c r="D755" s="48" t="inlineStr">
        <is>
          <t>B.5.1</t>
        </is>
      </c>
      <c r="E755" s="48" t="inlineStr">
        <is>
          <t>B</t>
        </is>
      </c>
      <c r="F755" s="48" t="inlineStr">
        <is>
          <t>D</t>
        </is>
      </c>
      <c r="G755" s="48" t="inlineStr">
        <is>
          <t>discretionary</t>
        </is>
      </c>
      <c r="H755" s="48" t="n">
        <v>2</v>
      </c>
      <c r="I755" s="48" t="inlineStr">
        <is>
          <t>Efficacia del progetto di servizi complementari DRT</t>
        </is>
      </c>
      <c r="J755" s="73" t="n"/>
      <c r="K755" s="73" t="n"/>
      <c r="L755" s="73" t="n"/>
      <c r="M755" s="73" t="n"/>
      <c r="N755" s="57">
        <f>IF($A755="","",MAX(0,MIN(1,IFERROR(VALUE($M755),0))))</f>
        <v/>
      </c>
      <c r="O755" s="57">
        <f>IF($A755="",0,IF(OR($S755&lt;&gt;1,COUNTA($J755:$M755)=0),0,IF(SUMPRODUCT(MAX(($C$5:$C$2484=$C755)*($D$5:$D$2484=$D755)*($S$5:$S$2484=1)*IFERROR($N$5:$N$2484*1,0)))&gt;0,ROUND($H755*($N755/SUMPRODUCT(MAX(($C$5:$C$2484=$C755)*($D$5:$D$2484=$D755)*($S$5:$S$2484=1)*IFERROR($N$5:$N$2484*1,0)))),4),0)))</f>
        <v/>
      </c>
      <c r="P755" s="48" t="inlineStr">
        <is>
          <t>coeff.</t>
        </is>
      </c>
      <c r="Q755" s="57">
        <f>IF($A755="","",$A755&amp;"|"&amp;$C755)</f>
        <v/>
      </c>
      <c r="R755" s="57">
        <f>IF($A755="","",$A755&amp;"|"&amp;$C755&amp;"|"&amp;$D755)</f>
        <v/>
      </c>
      <c r="S755" s="57">
        <f>IF($A755="","",IFERROR(INDEX(Offerte!$D$2:$D$81,MATCH($Q755,Offerte!$L$2:$L$81,0)),0))</f>
        <v/>
      </c>
      <c r="T755" s="57">
        <f>IF($A755="","",IFERROR(INDEX(Offerte!$G$2:$G$81,MATCH($Q755,Offerte!$L$2:$L$81,0)),"NO"))</f>
        <v/>
      </c>
    </row>
    <row r="756">
      <c r="A756" s="48">
        <f>IF(Offerte!$A26="","",Offerte!$A26)</f>
        <v/>
      </c>
      <c r="B756" s="48">
        <f>IF(Offerte!$A26="","",Offerte!$B26)</f>
        <v/>
      </c>
      <c r="C756" s="48">
        <f>IF(Offerte!$A26="","",Offerte!$C26)</f>
        <v/>
      </c>
      <c r="D756" s="48" t="inlineStr">
        <is>
          <t>C.1.1</t>
        </is>
      </c>
      <c r="E756" s="48" t="inlineStr">
        <is>
          <t>C</t>
        </is>
      </c>
      <c r="F756" s="48" t="inlineStr">
        <is>
          <t>Q</t>
        </is>
      </c>
      <c r="G756" s="48" t="inlineStr">
        <is>
          <t>higher</t>
        </is>
      </c>
      <c r="H756" s="48" t="n">
        <v>2</v>
      </c>
      <c r="I756" s="48" t="inlineStr">
        <is>
          <t>Tasso di copertura del servizio con telecamere BSD</t>
        </is>
      </c>
      <c r="J756" s="73" t="n"/>
      <c r="K756" s="73" t="n"/>
      <c r="L756" s="73" t="n"/>
      <c r="M756" s="73" t="n"/>
      <c r="N756" s="57">
        <f>IF($A756="","",IFERROR(VALUE($K756)/VALUE($L756),IFERROR(VALUE($J756),0)))</f>
        <v/>
      </c>
      <c r="O756" s="57">
        <f>IF($A756="",0,IF(OR($S756&lt;&gt;1,COUNTA($J756:$M756)=0),0,IF(SUMPRODUCT(MAX(($C$5:$C$2484=$C756)*($D$5:$D$2484=$D756)*($S$5:$S$2484=1)*IFERROR($N$5:$N$2484*1,0)))&gt;0,ROUND($H756*($N756/SUMPRODUCT(MAX(($C$5:$C$2484=$C756)*($D$5:$D$2484=$D756)*($S$5:$S$2484=1)*IFERROR($N$5:$N$2484*1,0)))),4),0)))</f>
        <v/>
      </c>
      <c r="P756" s="48" t="inlineStr">
        <is>
          <t>Autobus attrezzati con telecamere BSD / Autobus totali in offerta, incluse scorte</t>
        </is>
      </c>
      <c r="Q756" s="57">
        <f>IF($A756="","",$A756&amp;"|"&amp;$C756)</f>
        <v/>
      </c>
      <c r="R756" s="57">
        <f>IF($A756="","",$A756&amp;"|"&amp;$C756&amp;"|"&amp;$D756)</f>
        <v/>
      </c>
      <c r="S756" s="57">
        <f>IF($A756="","",IFERROR(INDEX(Offerte!$D$2:$D$81,MATCH($Q756,Offerte!$L$2:$L$81,0)),0))</f>
        <v/>
      </c>
      <c r="T756" s="57">
        <f>IF($A756="","",IFERROR(INDEX(Offerte!$G$2:$G$81,MATCH($Q756,Offerte!$L$2:$L$81,0)),"NO"))</f>
        <v/>
      </c>
    </row>
    <row r="757">
      <c r="A757" s="48">
        <f>IF(Offerte!$A26="","",Offerte!$A26)</f>
        <v/>
      </c>
      <c r="B757" s="48">
        <f>IF(Offerte!$A26="","",Offerte!$B26)</f>
        <v/>
      </c>
      <c r="C757" s="48">
        <f>IF(Offerte!$A26="","",Offerte!$C26)</f>
        <v/>
      </c>
      <c r="D757" s="48" t="inlineStr">
        <is>
          <t>C.1.2</t>
        </is>
      </c>
      <c r="E757" s="48" t="inlineStr">
        <is>
          <t>C</t>
        </is>
      </c>
      <c r="F757" s="48" t="inlineStr">
        <is>
          <t>Q</t>
        </is>
      </c>
      <c r="G757" s="48" t="inlineStr">
        <is>
          <t>higher</t>
        </is>
      </c>
      <c r="H757" s="48" t="n">
        <v>2</v>
      </c>
      <c r="I757" s="48" t="inlineStr">
        <is>
          <t>Tasso di copertura del servizio con telecamere ADAS</t>
        </is>
      </c>
      <c r="J757" s="73" t="n"/>
      <c r="K757" s="73" t="n"/>
      <c r="L757" s="73" t="n"/>
      <c r="M757" s="73" t="n"/>
      <c r="N757" s="57">
        <f>IF($A757="","",IFERROR(VALUE($K757)/VALUE($L757),IFERROR(VALUE($J757),0)))</f>
        <v/>
      </c>
      <c r="O757" s="57">
        <f>IF($A757="",0,IF(OR($S757&lt;&gt;1,COUNTA($J757:$M757)=0),0,IF(SUMPRODUCT(MAX(($C$5:$C$2484=$C757)*($D$5:$D$2484=$D757)*($S$5:$S$2484=1)*IFERROR($N$5:$N$2484*1,0)))&gt;0,ROUND($H757*($N757/SUMPRODUCT(MAX(($C$5:$C$2484=$C757)*($D$5:$D$2484=$D757)*($S$5:$S$2484=1)*IFERROR($N$5:$N$2484*1,0)))),4),0)))</f>
        <v/>
      </c>
      <c r="P757" s="48" t="inlineStr">
        <is>
          <t>Autobus attrezzati con telecamere ADAS / Autobus totali in offerta, incluse scorte</t>
        </is>
      </c>
      <c r="Q757" s="57">
        <f>IF($A757="","",$A757&amp;"|"&amp;$C757)</f>
        <v/>
      </c>
      <c r="R757" s="57">
        <f>IF($A757="","",$A757&amp;"|"&amp;$C757&amp;"|"&amp;$D757)</f>
        <v/>
      </c>
      <c r="S757" s="57">
        <f>IF($A757="","",IFERROR(INDEX(Offerte!$D$2:$D$81,MATCH($Q757,Offerte!$L$2:$L$81,0)),0))</f>
        <v/>
      </c>
      <c r="T757" s="57">
        <f>IF($A757="","",IFERROR(INDEX(Offerte!$G$2:$G$81,MATCH($Q757,Offerte!$L$2:$L$81,0)),"NO"))</f>
        <v/>
      </c>
    </row>
    <row r="758">
      <c r="A758" s="48">
        <f>IF(Offerte!$A26="","",Offerte!$A26)</f>
        <v/>
      </c>
      <c r="B758" s="48">
        <f>IF(Offerte!$A26="","",Offerte!$B26)</f>
        <v/>
      </c>
      <c r="C758" s="48">
        <f>IF(Offerte!$A26="","",Offerte!$C26)</f>
        <v/>
      </c>
      <c r="D758" s="48" t="inlineStr">
        <is>
          <t>C.2.1</t>
        </is>
      </c>
      <c r="E758" s="48" t="inlineStr">
        <is>
          <t>C</t>
        </is>
      </c>
      <c r="F758" s="48" t="inlineStr">
        <is>
          <t>Q</t>
        </is>
      </c>
      <c r="G758" s="48" t="inlineStr">
        <is>
          <t>higher</t>
        </is>
      </c>
      <c r="H758" s="48" t="n">
        <v>3</v>
      </c>
      <c r="I758" s="48" t="inlineStr">
        <is>
          <t>Tasso di copertura del servizio con telecamere di bordo di videosorveglianza</t>
        </is>
      </c>
      <c r="J758" s="73" t="n"/>
      <c r="K758" s="73" t="n"/>
      <c r="L758" s="73" t="n"/>
      <c r="M758" s="73" t="n"/>
      <c r="N758" s="57">
        <f>IF($A758="","",IFERROR(VALUE($K758)/VALUE($L758),IFERROR(VALUE($J758),0)))</f>
        <v/>
      </c>
      <c r="O758" s="57">
        <f>IF($A758="",0,IF(OR($S758&lt;&gt;1,COUNTA($J758:$M758)=0),0,IF(SUMPRODUCT(MAX(($C$5:$C$2484=$C758)*($D$5:$D$2484=$D758)*($S$5:$S$2484=1)*IFERROR($N$5:$N$2484*1,0)))&gt;0,ROUND($H758*($N758/SUMPRODUCT(MAX(($C$5:$C$2484=$C758)*($D$5:$D$2484=$D758)*($S$5:$S$2484=1)*IFERROR($N$5:$N$2484*1,0)))),4),0)))</f>
        <v/>
      </c>
      <c r="P758" s="48" t="inlineStr">
        <is>
          <t>Autobus attrezzati con videosorveglianza / Autobus totali in offerta, incluse scorte</t>
        </is>
      </c>
      <c r="Q758" s="57">
        <f>IF($A758="","",$A758&amp;"|"&amp;$C758)</f>
        <v/>
      </c>
      <c r="R758" s="57">
        <f>IF($A758="","",$A758&amp;"|"&amp;$C758&amp;"|"&amp;$D758)</f>
        <v/>
      </c>
      <c r="S758" s="57">
        <f>IF($A758="","",IFERROR(INDEX(Offerte!$D$2:$D$81,MATCH($Q758,Offerte!$L$2:$L$81,0)),0))</f>
        <v/>
      </c>
      <c r="T758" s="57">
        <f>IF($A758="","",IFERROR(INDEX(Offerte!$G$2:$G$81,MATCH($Q758,Offerte!$L$2:$L$81,0)),"NO"))</f>
        <v/>
      </c>
    </row>
    <row r="759">
      <c r="A759" s="48">
        <f>IF(Offerte!$A26="","",Offerte!$A26)</f>
        <v/>
      </c>
      <c r="B759" s="48">
        <f>IF(Offerte!$A26="","",Offerte!$B26)</f>
        <v/>
      </c>
      <c r="C759" s="48">
        <f>IF(Offerte!$A26="","",Offerte!$C26)</f>
        <v/>
      </c>
      <c r="D759" s="48" t="inlineStr">
        <is>
          <t>C.2.2</t>
        </is>
      </c>
      <c r="E759" s="48" t="inlineStr">
        <is>
          <t>C</t>
        </is>
      </c>
      <c r="F759" s="48" t="inlineStr">
        <is>
          <t>T</t>
        </is>
      </c>
      <c r="G759" s="48" t="inlineStr">
        <is>
          <t>tabular</t>
        </is>
      </c>
      <c r="H759" s="48" t="n">
        <v>1</v>
      </c>
      <c r="I759" s="48" t="inlineStr">
        <is>
          <t>Software video/audio analisi per situazioni di pericolo</t>
        </is>
      </c>
      <c r="J759" s="73" t="n"/>
      <c r="K759" s="73" t="n"/>
      <c r="L759" s="73" t="n"/>
      <c r="M759" s="73" t="n"/>
      <c r="N759" s="57">
        <f>IF($A759="","",IF(IFERROR(VALUE($M759),0)=1,1,0))</f>
        <v/>
      </c>
      <c r="O759" s="57">
        <f>IF($A759="",0,IF(OR($S759&lt;&gt;1,COUNTA($J759:$M759)=0),0,IF($N759=1,$H759,0)))</f>
        <v/>
      </c>
      <c r="P759" s="48" t="inlineStr">
        <is>
          <t>sì/no</t>
        </is>
      </c>
      <c r="Q759" s="57">
        <f>IF($A759="","",$A759&amp;"|"&amp;$C759)</f>
        <v/>
      </c>
      <c r="R759" s="57">
        <f>IF($A759="","",$A759&amp;"|"&amp;$C759&amp;"|"&amp;$D759)</f>
        <v/>
      </c>
      <c r="S759" s="57">
        <f>IF($A759="","",IFERROR(INDEX(Offerte!$D$2:$D$81,MATCH($Q759,Offerte!$L$2:$L$81,0)),0))</f>
        <v/>
      </c>
      <c r="T759" s="57">
        <f>IF($A759="","",IFERROR(INDEX(Offerte!$G$2:$G$81,MATCH($Q759,Offerte!$L$2:$L$81,0)),"NO"))</f>
        <v/>
      </c>
    </row>
    <row r="760">
      <c r="A760" s="48">
        <f>IF(Offerte!$A26="","",Offerte!$A26)</f>
        <v/>
      </c>
      <c r="B760" s="48">
        <f>IF(Offerte!$A26="","",Offerte!$B26)</f>
        <v/>
      </c>
      <c r="C760" s="48">
        <f>IF(Offerte!$A26="","",Offerte!$C26)</f>
        <v/>
      </c>
      <c r="D760" s="48" t="inlineStr">
        <is>
          <t>C.2.3</t>
        </is>
      </c>
      <c r="E760" s="48" t="inlineStr">
        <is>
          <t>C</t>
        </is>
      </c>
      <c r="F760" s="48" t="inlineStr">
        <is>
          <t>T</t>
        </is>
      </c>
      <c r="G760" s="48" t="inlineStr">
        <is>
          <t>tabular</t>
        </is>
      </c>
      <c r="H760" s="48" t="n">
        <v>1</v>
      </c>
      <c r="I760" s="48" t="inlineStr">
        <is>
          <t>Collegamento con centrale qualificata di pronto intervento</t>
        </is>
      </c>
      <c r="J760" s="73" t="n"/>
      <c r="K760" s="73" t="n"/>
      <c r="L760" s="73" t="n"/>
      <c r="M760" s="73" t="n"/>
      <c r="N760" s="57">
        <f>IF($A760="","",IF(IFERROR(VALUE($M760),0)=1,1,0))</f>
        <v/>
      </c>
      <c r="O760" s="57">
        <f>IF($A760="",0,IF(OR($S760&lt;&gt;1,COUNTA($J760:$M760)=0),0,IF($N760=1,$H760,0)))</f>
        <v/>
      </c>
      <c r="P760" s="48" t="inlineStr">
        <is>
          <t>sì/no</t>
        </is>
      </c>
      <c r="Q760" s="57">
        <f>IF($A760="","",$A760&amp;"|"&amp;$C760)</f>
        <v/>
      </c>
      <c r="R760" s="57">
        <f>IF($A760="","",$A760&amp;"|"&amp;$C760&amp;"|"&amp;$D760)</f>
        <v/>
      </c>
      <c r="S760" s="57">
        <f>IF($A760="","",IFERROR(INDEX(Offerte!$D$2:$D$81,MATCH($Q760,Offerte!$L$2:$L$81,0)),0))</f>
        <v/>
      </c>
      <c r="T760" s="57">
        <f>IF($A760="","",IFERROR(INDEX(Offerte!$G$2:$G$81,MATCH($Q760,Offerte!$L$2:$L$81,0)),"NO"))</f>
        <v/>
      </c>
    </row>
    <row r="761">
      <c r="A761" s="48">
        <f>IF(Offerte!$A26="","",Offerte!$A26)</f>
        <v/>
      </c>
      <c r="B761" s="48">
        <f>IF(Offerte!$A26="","",Offerte!$B26)</f>
        <v/>
      </c>
      <c r="C761" s="48">
        <f>IF(Offerte!$A26="","",Offerte!$C26)</f>
        <v/>
      </c>
      <c r="D761" s="48" t="inlineStr">
        <is>
          <t>C.2.4</t>
        </is>
      </c>
      <c r="E761" s="48" t="inlineStr">
        <is>
          <t>C</t>
        </is>
      </c>
      <c r="F761" s="48" t="inlineStr">
        <is>
          <t>Q</t>
        </is>
      </c>
      <c r="G761" s="48" t="inlineStr">
        <is>
          <t>higher</t>
        </is>
      </c>
      <c r="H761" s="48" t="n">
        <v>1</v>
      </c>
      <c r="I761" s="48" t="inlineStr">
        <is>
          <t>Tasso di copertura del servizio con dispositivi per la chiamata di emergenza del conducente</t>
        </is>
      </c>
      <c r="J761" s="73" t="n"/>
      <c r="K761" s="73" t="n"/>
      <c r="L761" s="73" t="n"/>
      <c r="M761" s="73" t="n"/>
      <c r="N761" s="57">
        <f>IF($A761="","",IFERROR(VALUE($K761)/VALUE($L761),IFERROR(VALUE($J761),0)))</f>
        <v/>
      </c>
      <c r="O761" s="57">
        <f>IF($A761="",0,IF(OR($S761&lt;&gt;1,COUNTA($J761:$M761)=0),0,IF(SUMPRODUCT(MAX(($C$5:$C$2484=$C761)*($D$5:$D$2484=$D761)*($S$5:$S$2484=1)*IFERROR($N$5:$N$2484*1,0)))&gt;0,ROUND($H761*($N761/SUMPRODUCT(MAX(($C$5:$C$2484=$C761)*($D$5:$D$2484=$D761)*($S$5:$S$2484=1)*IFERROR($N$5:$N$2484*1,0)))),4),0)))</f>
        <v/>
      </c>
      <c r="P761" s="48" t="inlineStr">
        <is>
          <t>Autobus attrezzati con chiamata di emergenza / Autobus totali in offerta, incluse scorte</t>
        </is>
      </c>
      <c r="Q761" s="57">
        <f>IF($A761="","",$A761&amp;"|"&amp;$C761)</f>
        <v/>
      </c>
      <c r="R761" s="57">
        <f>IF($A761="","",$A761&amp;"|"&amp;$C761&amp;"|"&amp;$D761)</f>
        <v/>
      </c>
      <c r="S761" s="57">
        <f>IF($A761="","",IFERROR(INDEX(Offerte!$D$2:$D$81,MATCH($Q761,Offerte!$L$2:$L$81,0)),0))</f>
        <v/>
      </c>
      <c r="T761" s="57">
        <f>IF($A761="","",IFERROR(INDEX(Offerte!$G$2:$G$81,MATCH($Q761,Offerte!$L$2:$L$81,0)),"NO"))</f>
        <v/>
      </c>
    </row>
    <row r="762">
      <c r="A762" s="48">
        <f>IF(Offerte!$A26="","",Offerte!$A26)</f>
        <v/>
      </c>
      <c r="B762" s="48">
        <f>IF(Offerte!$A26="","",Offerte!$B26)</f>
        <v/>
      </c>
      <c r="C762" s="48">
        <f>IF(Offerte!$A26="","",Offerte!$C26)</f>
        <v/>
      </c>
      <c r="D762" s="48" t="inlineStr">
        <is>
          <t>C.3.1</t>
        </is>
      </c>
      <c r="E762" s="48" t="inlineStr">
        <is>
          <t>C</t>
        </is>
      </c>
      <c r="F762" s="48" t="inlineStr">
        <is>
          <t>Q</t>
        </is>
      </c>
      <c r="G762" s="48" t="inlineStr">
        <is>
          <t>higher</t>
        </is>
      </c>
      <c r="H762" s="48" t="n">
        <v>2</v>
      </c>
      <c r="I762" s="48" t="inlineStr">
        <is>
          <t>Tasso di copertura del servizio con dispositivi di informazione dinamica a bordo mezzo</t>
        </is>
      </c>
      <c r="J762" s="73" t="n"/>
      <c r="K762" s="73" t="n"/>
      <c r="L762" s="73" t="n"/>
      <c r="M762" s="73" t="n"/>
      <c r="N762" s="57">
        <f>IF($A762="","",IFERROR(VALUE($K762)/VALUE($L762),IFERROR(VALUE($J762),0)))</f>
        <v/>
      </c>
      <c r="O762" s="57">
        <f>IF($A762="",0,IF(OR($S762&lt;&gt;1,COUNTA($J762:$M762)=0),0,IF(SUMPRODUCT(MAX(($C$5:$C$2484=$C762)*($D$5:$D$2484=$D762)*($S$5:$S$2484=1)*IFERROR($N$5:$N$2484*1,0)))&gt;0,ROUND($H762*($N762/SUMPRODUCT(MAX(($C$5:$C$2484=$C762)*($D$5:$D$2484=$D762)*($S$5:$S$2484=1)*IFERROR($N$5:$N$2484*1,0)))),4),0)))</f>
        <v/>
      </c>
      <c r="P762" s="48" t="inlineStr">
        <is>
          <t>Autobus con monitor e indicatori vocali / Autobus totali in offerta, incluse scorte</t>
        </is>
      </c>
      <c r="Q762" s="57">
        <f>IF($A762="","",$A762&amp;"|"&amp;$C762)</f>
        <v/>
      </c>
      <c r="R762" s="57">
        <f>IF($A762="","",$A762&amp;"|"&amp;$C762&amp;"|"&amp;$D762)</f>
        <v/>
      </c>
      <c r="S762" s="57">
        <f>IF($A762="","",IFERROR(INDEX(Offerte!$D$2:$D$81,MATCH($Q762,Offerte!$L$2:$L$81,0)),0))</f>
        <v/>
      </c>
      <c r="T762" s="57">
        <f>IF($A762="","",IFERROR(INDEX(Offerte!$G$2:$G$81,MATCH($Q762,Offerte!$L$2:$L$81,0)),"NO"))</f>
        <v/>
      </c>
    </row>
    <row r="763">
      <c r="A763" s="48">
        <f>IF(Offerte!$A26="","",Offerte!$A26)</f>
        <v/>
      </c>
      <c r="B763" s="48">
        <f>IF(Offerte!$A26="","",Offerte!$B26)</f>
        <v/>
      </c>
      <c r="C763" s="48">
        <f>IF(Offerte!$A26="","",Offerte!$C26)</f>
        <v/>
      </c>
      <c r="D763" s="48" t="inlineStr">
        <is>
          <t>C.3.2</t>
        </is>
      </c>
      <c r="E763" s="48" t="inlineStr">
        <is>
          <t>C</t>
        </is>
      </c>
      <c r="F763" s="48" t="inlineStr">
        <is>
          <t>T</t>
        </is>
      </c>
      <c r="G763" s="48" t="inlineStr">
        <is>
          <t>tabular</t>
        </is>
      </c>
      <c r="H763" s="48" t="n">
        <v>2</v>
      </c>
      <c r="I763" s="48" t="inlineStr">
        <is>
          <t>Informazioni a bordo su coincidenze ai nodi</t>
        </is>
      </c>
      <c r="J763" s="73" t="n"/>
      <c r="K763" s="73" t="n"/>
      <c r="L763" s="73" t="n"/>
      <c r="M763" s="73" t="n"/>
      <c r="N763" s="57">
        <f>IF($A763="","",IF(IFERROR(VALUE($M763),0)=1,1,0))</f>
        <v/>
      </c>
      <c r="O763" s="57">
        <f>IF($A763="",0,IF(OR($S763&lt;&gt;1,COUNTA($J763:$M763)=0),0,IF(AND($N763=1,IFERROR(SUMIFS($N$5:$N$2484,$Q$5:$Q$2484,$Q763,$D$5:$D$2484,"C.3.1"),0)&gt;=0.5),$H763,0)))</f>
        <v/>
      </c>
      <c r="P763" s="48" t="inlineStr">
        <is>
          <t>Dipende da C.3.1 &gt;= 0.5</t>
        </is>
      </c>
      <c r="Q763" s="57">
        <f>IF($A763="","",$A763&amp;"|"&amp;$C763)</f>
        <v/>
      </c>
      <c r="R763" s="57">
        <f>IF($A763="","",$A763&amp;"|"&amp;$C763&amp;"|"&amp;$D763)</f>
        <v/>
      </c>
      <c r="S763" s="57">
        <f>IF($A763="","",IFERROR(INDEX(Offerte!$D$2:$D$81,MATCH($Q763,Offerte!$L$2:$L$81,0)),0))</f>
        <v/>
      </c>
      <c r="T763" s="57">
        <f>IF($A763="","",IFERROR(INDEX(Offerte!$G$2:$G$81,MATCH($Q763,Offerte!$L$2:$L$81,0)),"NO"))</f>
        <v/>
      </c>
    </row>
    <row r="764">
      <c r="A764" s="48">
        <f>IF(Offerte!$A26="","",Offerte!$A26)</f>
        <v/>
      </c>
      <c r="B764" s="48">
        <f>IF(Offerte!$A26="","",Offerte!$B26)</f>
        <v/>
      </c>
      <c r="C764" s="48">
        <f>IF(Offerte!$A26="","",Offerte!$C26)</f>
        <v/>
      </c>
      <c r="D764" s="48" t="inlineStr">
        <is>
          <t>D.1.1</t>
        </is>
      </c>
      <c r="E764" s="48" t="inlineStr">
        <is>
          <t>D</t>
        </is>
      </c>
      <c r="F764" s="48" t="inlineStr">
        <is>
          <t>Q</t>
        </is>
      </c>
      <c r="G764" s="48" t="inlineStr">
        <is>
          <t>higher</t>
        </is>
      </c>
      <c r="H764" s="48" t="n">
        <v>3</v>
      </c>
      <c r="I764" s="48" t="inlineStr">
        <is>
          <t>Installazione di pensiline</t>
        </is>
      </c>
      <c r="J764" s="73" t="n"/>
      <c r="K764" s="73" t="n"/>
      <c r="L764" s="73" t="n"/>
      <c r="M764" s="73" t="n"/>
      <c r="N764" s="57">
        <f>IF($A764="","",IFERROR(VALUE($J764),0))</f>
        <v/>
      </c>
      <c r="O764" s="57">
        <f>IF($A764="",0,IF(OR($S764&lt;&gt;1,COUNTA($J764:$M764)=0),0,IF(SUMPRODUCT(MAX(($C$5:$C$2484=$C764)*($D$5:$D$2484=$D764)*($S$5:$S$2484=1)*IFERROR($N$5:$N$2484*1,0)))&gt;0,ROUND($H764*($N764/SUMPRODUCT(MAX(($C$5:$C$2484=$C764)*($D$5:$D$2484=$D764)*($S$5:$S$2484=1)*IFERROR($N$5:$N$2484*1,0)))),4),0)))</f>
        <v/>
      </c>
      <c r="P764" s="48" t="inlineStr">
        <is>
          <t>fermate</t>
        </is>
      </c>
      <c r="Q764" s="57">
        <f>IF($A764="","",$A764&amp;"|"&amp;$C764)</f>
        <v/>
      </c>
      <c r="R764" s="57">
        <f>IF($A764="","",$A764&amp;"|"&amp;$C764&amp;"|"&amp;$D764)</f>
        <v/>
      </c>
      <c r="S764" s="57">
        <f>IF($A764="","",IFERROR(INDEX(Offerte!$D$2:$D$81,MATCH($Q764,Offerte!$L$2:$L$81,0)),0))</f>
        <v/>
      </c>
      <c r="T764" s="57">
        <f>IF($A764="","",IFERROR(INDEX(Offerte!$G$2:$G$81,MATCH($Q764,Offerte!$L$2:$L$81,0)),"NO"))</f>
        <v/>
      </c>
    </row>
    <row r="765">
      <c r="A765" s="48">
        <f>IF(Offerte!$A26="","",Offerte!$A26)</f>
        <v/>
      </c>
      <c r="B765" s="48">
        <f>IF(Offerte!$A26="","",Offerte!$B26)</f>
        <v/>
      </c>
      <c r="C765" s="48">
        <f>IF(Offerte!$A26="","",Offerte!$C26)</f>
        <v/>
      </c>
      <c r="D765" s="48" t="inlineStr">
        <is>
          <t>D.1.2</t>
        </is>
      </c>
      <c r="E765" s="48" t="inlineStr">
        <is>
          <t>D</t>
        </is>
      </c>
      <c r="F765" s="48" t="inlineStr">
        <is>
          <t>Q</t>
        </is>
      </c>
      <c r="G765" s="48" t="inlineStr">
        <is>
          <t>higher</t>
        </is>
      </c>
      <c r="H765" s="48" t="n">
        <v>3</v>
      </c>
      <c r="I765" s="48" t="inlineStr">
        <is>
          <t>Installazione di paline di fermata conformi alla DGR 581/2023</t>
        </is>
      </c>
      <c r="J765" s="73" t="n"/>
      <c r="K765" s="73" t="n"/>
      <c r="L765" s="73" t="n"/>
      <c r="M765" s="73" t="n"/>
      <c r="N765" s="57">
        <f>IF($A765="","",IFERROR(VALUE($J765),0))</f>
        <v/>
      </c>
      <c r="O765" s="57">
        <f>IF($A765="",0,IF(OR($S765&lt;&gt;1,COUNTA($J765:$M765)=0),0,IF(SUMPRODUCT(MAX(($C$5:$C$2484=$C765)*($D$5:$D$2484=$D765)*($S$5:$S$2484=1)*IFERROR($N$5:$N$2484*1,0)))&gt;0,ROUND($H765*($N765/SUMPRODUCT(MAX(($C$5:$C$2484=$C765)*($D$5:$D$2484=$D765)*($S$5:$S$2484=1)*IFERROR($N$5:$N$2484*1,0)))),4),0)))</f>
        <v/>
      </c>
      <c r="P765" s="48" t="inlineStr">
        <is>
          <t>fermate</t>
        </is>
      </c>
      <c r="Q765" s="57">
        <f>IF($A765="","",$A765&amp;"|"&amp;$C765)</f>
        <v/>
      </c>
      <c r="R765" s="57">
        <f>IF($A765="","",$A765&amp;"|"&amp;$C765&amp;"|"&amp;$D765)</f>
        <v/>
      </c>
      <c r="S765" s="57">
        <f>IF($A765="","",IFERROR(INDEX(Offerte!$D$2:$D$81,MATCH($Q765,Offerte!$L$2:$L$81,0)),0))</f>
        <v/>
      </c>
      <c r="T765" s="57">
        <f>IF($A765="","",IFERROR(INDEX(Offerte!$G$2:$G$81,MATCH($Q765,Offerte!$L$2:$L$81,0)),"NO"))</f>
        <v/>
      </c>
    </row>
    <row r="766">
      <c r="A766" s="48">
        <f>IF(Offerte!$A26="","",Offerte!$A26)</f>
        <v/>
      </c>
      <c r="B766" s="48">
        <f>IF(Offerte!$A26="","",Offerte!$B26)</f>
        <v/>
      </c>
      <c r="C766" s="48">
        <f>IF(Offerte!$A26="","",Offerte!$C26)</f>
        <v/>
      </c>
      <c r="D766" s="48" t="inlineStr">
        <is>
          <t>D.1.3</t>
        </is>
      </c>
      <c r="E766" s="48" t="inlineStr">
        <is>
          <t>D</t>
        </is>
      </c>
      <c r="F766" s="48" t="inlineStr">
        <is>
          <t>Q</t>
        </is>
      </c>
      <c r="G766" s="48" t="inlineStr">
        <is>
          <t>higher</t>
        </is>
      </c>
      <c r="H766" s="48" t="n">
        <v>2</v>
      </c>
      <c r="I766" s="48" t="inlineStr">
        <is>
          <t>Display informativi connessi alle fermate</t>
        </is>
      </c>
      <c r="J766" s="73" t="n"/>
      <c r="K766" s="73" t="n"/>
      <c r="L766" s="73" t="n"/>
      <c r="M766" s="73" t="n"/>
      <c r="N766" s="57">
        <f>IF($A766="","",IFERROR(VALUE($J766),0))</f>
        <v/>
      </c>
      <c r="O766" s="57">
        <f>IF($A766="",0,IF(OR($S766&lt;&gt;1,COUNTA($J766:$M766)=0),0,IF(SUMPRODUCT(MAX(($C$5:$C$2484=$C766)*($D$5:$D$2484=$D766)*($S$5:$S$2484=1)*IFERROR($N$5:$N$2484*1,0)))&gt;0,ROUND($H766*($N766/SUMPRODUCT(MAX(($C$5:$C$2484=$C766)*($D$5:$D$2484=$D766)*($S$5:$S$2484=1)*IFERROR($N$5:$N$2484*1,0)))),4),0)))</f>
        <v/>
      </c>
      <c r="P766" s="48" t="inlineStr">
        <is>
          <t>fermate</t>
        </is>
      </c>
      <c r="Q766" s="57">
        <f>IF($A766="","",$A766&amp;"|"&amp;$C766)</f>
        <v/>
      </c>
      <c r="R766" s="57">
        <f>IF($A766="","",$A766&amp;"|"&amp;$C766&amp;"|"&amp;$D766)</f>
        <v/>
      </c>
      <c r="S766" s="57">
        <f>IF($A766="","",IFERROR(INDEX(Offerte!$D$2:$D$81,MATCH($Q766,Offerte!$L$2:$L$81,0)),0))</f>
        <v/>
      </c>
      <c r="T766" s="57">
        <f>IF($A766="","",IFERROR(INDEX(Offerte!$G$2:$G$81,MATCH($Q766,Offerte!$L$2:$L$81,0)),"NO"))</f>
        <v/>
      </c>
    </row>
    <row r="767">
      <c r="A767" s="48">
        <f>IF(Offerte!$A26="","",Offerte!$A26)</f>
        <v/>
      </c>
      <c r="B767" s="48">
        <f>IF(Offerte!$A26="","",Offerte!$B26)</f>
        <v/>
      </c>
      <c r="C767" s="48">
        <f>IF(Offerte!$A26="","",Offerte!$C26)</f>
        <v/>
      </c>
      <c r="D767" s="48" t="inlineStr">
        <is>
          <t>D.2.1</t>
        </is>
      </c>
      <c r="E767" s="48" t="inlineStr">
        <is>
          <t>D</t>
        </is>
      </c>
      <c r="F767" s="48" t="inlineStr">
        <is>
          <t>Q</t>
        </is>
      </c>
      <c r="G767" s="48" t="inlineStr">
        <is>
          <t>higher</t>
        </is>
      </c>
      <c r="H767" s="48" t="n">
        <v>2</v>
      </c>
      <c r="I767" s="48" t="inlineStr">
        <is>
          <t>Segnali tattili Loges-Vet-Evolution</t>
        </is>
      </c>
      <c r="J767" s="73" t="n"/>
      <c r="K767" s="73" t="n"/>
      <c r="L767" s="73" t="n"/>
      <c r="M767" s="73" t="n"/>
      <c r="N767" s="57">
        <f>IF($A767="","",IFERROR(VALUE($J767),0))</f>
        <v/>
      </c>
      <c r="O767" s="57">
        <f>IF($A767="",0,IF(OR($S767&lt;&gt;1,COUNTA($J767:$M767)=0),0,IF(SUMPRODUCT(MAX(($C$5:$C$2484=$C767)*($D$5:$D$2484=$D767)*($S$5:$S$2484=1)*IFERROR($N$5:$N$2484*1,0)))&gt;0,ROUND($H767*($N767/SUMPRODUCT(MAX(($C$5:$C$2484=$C767)*($D$5:$D$2484=$D767)*($S$5:$S$2484=1)*IFERROR($N$5:$N$2484*1,0)))),4),0)))</f>
        <v/>
      </c>
      <c r="P767" s="48" t="inlineStr">
        <is>
          <t>fermate</t>
        </is>
      </c>
      <c r="Q767" s="57">
        <f>IF($A767="","",$A767&amp;"|"&amp;$C767)</f>
        <v/>
      </c>
      <c r="R767" s="57">
        <f>IF($A767="","",$A767&amp;"|"&amp;$C767&amp;"|"&amp;$D767)</f>
        <v/>
      </c>
      <c r="S767" s="57">
        <f>IF($A767="","",IFERROR(INDEX(Offerte!$D$2:$D$81,MATCH($Q767,Offerte!$L$2:$L$81,0)),0))</f>
        <v/>
      </c>
      <c r="T767" s="57">
        <f>IF($A767="","",IFERROR(INDEX(Offerte!$G$2:$G$81,MATCH($Q767,Offerte!$L$2:$L$81,0)),"NO"))</f>
        <v/>
      </c>
    </row>
    <row r="768">
      <c r="A768" s="48">
        <f>IF(Offerte!$A26="","",Offerte!$A26)</f>
        <v/>
      </c>
      <c r="B768" s="48">
        <f>IF(Offerte!$A26="","",Offerte!$B26)</f>
        <v/>
      </c>
      <c r="C768" s="48">
        <f>IF(Offerte!$A26="","",Offerte!$C26)</f>
        <v/>
      </c>
      <c r="D768" s="48" t="inlineStr">
        <is>
          <t>E.1.1</t>
        </is>
      </c>
      <c r="E768" s="48" t="inlineStr">
        <is>
          <t>E</t>
        </is>
      </c>
      <c r="F768" s="48" t="inlineStr">
        <is>
          <t>T</t>
        </is>
      </c>
      <c r="G768" s="48" t="inlineStr">
        <is>
          <t>tabular</t>
        </is>
      </c>
      <c r="H768" s="48" t="n">
        <v>2</v>
      </c>
      <c r="I768" s="48" t="inlineStr">
        <is>
          <t>Mobile app con travel planner PRM</t>
        </is>
      </c>
      <c r="J768" s="73" t="n"/>
      <c r="K768" s="73" t="n"/>
      <c r="L768" s="73" t="n"/>
      <c r="M768" s="73" t="n"/>
      <c r="N768" s="57">
        <f>IF($A768="","",IF(IFERROR(VALUE($M768),0)=1,1,0))</f>
        <v/>
      </c>
      <c r="O768" s="57">
        <f>IF($A768="",0,IF(OR($S768&lt;&gt;1,COUNTA($J768:$M768)=0),0,IF($N768=1,$H768,0)))</f>
        <v/>
      </c>
      <c r="P768" s="48" t="inlineStr">
        <is>
          <t>sì/no</t>
        </is>
      </c>
      <c r="Q768" s="57">
        <f>IF($A768="","",$A768&amp;"|"&amp;$C768)</f>
        <v/>
      </c>
      <c r="R768" s="57">
        <f>IF($A768="","",$A768&amp;"|"&amp;$C768&amp;"|"&amp;$D768)</f>
        <v/>
      </c>
      <c r="S768" s="57">
        <f>IF($A768="","",IFERROR(INDEX(Offerte!$D$2:$D$81,MATCH($Q768,Offerte!$L$2:$L$81,0)),0))</f>
        <v/>
      </c>
      <c r="T768" s="57">
        <f>IF($A768="","",IFERROR(INDEX(Offerte!$G$2:$G$81,MATCH($Q768,Offerte!$L$2:$L$81,0)),"NO"))</f>
        <v/>
      </c>
    </row>
    <row r="769">
      <c r="A769" s="48">
        <f>IF(Offerte!$A26="","",Offerte!$A26)</f>
        <v/>
      </c>
      <c r="B769" s="48">
        <f>IF(Offerte!$A26="","",Offerte!$B26)</f>
        <v/>
      </c>
      <c r="C769" s="48">
        <f>IF(Offerte!$A26="","",Offerte!$C26)</f>
        <v/>
      </c>
      <c r="D769" s="48" t="inlineStr">
        <is>
          <t>E.2.1</t>
        </is>
      </c>
      <c r="E769" s="48" t="inlineStr">
        <is>
          <t>E</t>
        </is>
      </c>
      <c r="F769" s="48" t="inlineStr">
        <is>
          <t>D</t>
        </is>
      </c>
      <c r="G769" s="48" t="inlineStr">
        <is>
          <t>discretionary</t>
        </is>
      </c>
      <c r="H769" s="48" t="n">
        <v>2</v>
      </c>
      <c r="I769" s="48" t="inlineStr">
        <is>
          <t>Altre azioni informative e rapporti con gli utenti</t>
        </is>
      </c>
      <c r="J769" s="73" t="n"/>
      <c r="K769" s="73" t="n"/>
      <c r="L769" s="73" t="n"/>
      <c r="M769" s="73" t="n"/>
      <c r="N769" s="57">
        <f>IF($A769="","",MAX(0,MIN(1,IFERROR(VALUE($M769),0))))</f>
        <v/>
      </c>
      <c r="O769" s="57">
        <f>IF($A769="",0,IF(OR($S769&lt;&gt;1,COUNTA($J769:$M769)=0),0,IF(SUMPRODUCT(MAX(($C$5:$C$2484=$C769)*($D$5:$D$2484=$D769)*($S$5:$S$2484=1)*IFERROR($N$5:$N$2484*1,0)))&gt;0,ROUND($H769*($N769/SUMPRODUCT(MAX(($C$5:$C$2484=$C769)*($D$5:$D$2484=$D769)*($S$5:$S$2484=1)*IFERROR($N$5:$N$2484*1,0)))),4),0)))</f>
        <v/>
      </c>
      <c r="P769" s="48" t="inlineStr">
        <is>
          <t>coeff.</t>
        </is>
      </c>
      <c r="Q769" s="57">
        <f>IF($A769="","",$A769&amp;"|"&amp;$C769)</f>
        <v/>
      </c>
      <c r="R769" s="57">
        <f>IF($A769="","",$A769&amp;"|"&amp;$C769&amp;"|"&amp;$D769)</f>
        <v/>
      </c>
      <c r="S769" s="57">
        <f>IF($A769="","",IFERROR(INDEX(Offerte!$D$2:$D$81,MATCH($Q769,Offerte!$L$2:$L$81,0)),0))</f>
        <v/>
      </c>
      <c r="T769" s="57">
        <f>IF($A769="","",IFERROR(INDEX(Offerte!$G$2:$G$81,MATCH($Q769,Offerte!$L$2:$L$81,0)),"NO"))</f>
        <v/>
      </c>
    </row>
    <row r="770">
      <c r="A770" s="48">
        <f>IF(Offerte!$A26="","",Offerte!$A26)</f>
        <v/>
      </c>
      <c r="B770" s="48">
        <f>IF(Offerte!$A26="","",Offerte!$B26)</f>
        <v/>
      </c>
      <c r="C770" s="48">
        <f>IF(Offerte!$A26="","",Offerte!$C26)</f>
        <v/>
      </c>
      <c r="D770" s="48" t="inlineStr">
        <is>
          <t>F.1.1</t>
        </is>
      </c>
      <c r="E770" s="48" t="inlineStr">
        <is>
          <t>F</t>
        </is>
      </c>
      <c r="F770" s="48" t="inlineStr">
        <is>
          <t>Q</t>
        </is>
      </c>
      <c r="G770" s="48" t="inlineStr">
        <is>
          <t>lower</t>
        </is>
      </c>
      <c r="H770" s="48" t="n">
        <v>7</v>
      </c>
      <c r="I770" s="48" t="inlineStr">
        <is>
          <t>Performance ambientali del parco mezzi adibito al servizio - I_CEA</t>
        </is>
      </c>
      <c r="J770" s="73" t="n"/>
      <c r="K770" s="73" t="n"/>
      <c r="L770" s="73" t="n"/>
      <c r="M770" s="73" t="n"/>
      <c r="N770" s="57">
        <f>IF($A770="","",IFERROR(VALUE($J770),0))</f>
        <v/>
      </c>
      <c r="O770" s="57">
        <f>IF($A770="",0,IF(OR($S770&lt;&gt;1,COUNTA($J770:$M770)=0),0,IF(AND(IFERROR(AGGREGATE(15,6,$N$5:$N$2484/(($C$5:$C$2484=$C770)*($D$5:$D$2484=$D770)*($S$5:$S$2484=1)*($N$5:$N$2484&gt;0)),1),0)&gt;0,$N770&gt;0),ROUND($H770*(IFERROR(AGGREGATE(15,6,$N$5:$N$2484/(($C$5:$C$2484=$C770)*($D$5:$D$2484=$D770)*($S$5:$S$2484=1)*($N$5:$N$2484&gt;0)),1),0)/$N770),4),0)))</f>
        <v/>
      </c>
      <c r="P770" s="48" t="inlineStr">
        <is>
          <t>indice</t>
        </is>
      </c>
      <c r="Q770" s="57">
        <f>IF($A770="","",$A770&amp;"|"&amp;$C770)</f>
        <v/>
      </c>
      <c r="R770" s="57">
        <f>IF($A770="","",$A770&amp;"|"&amp;$C770&amp;"|"&amp;$D770)</f>
        <v/>
      </c>
      <c r="S770" s="57">
        <f>IF($A770="","",IFERROR(INDEX(Offerte!$D$2:$D$81,MATCH($Q770,Offerte!$L$2:$L$81,0)),0))</f>
        <v/>
      </c>
      <c r="T770" s="57">
        <f>IF($A770="","",IFERROR(INDEX(Offerte!$G$2:$G$81,MATCH($Q770,Offerte!$L$2:$L$81,0)),"NO"))</f>
        <v/>
      </c>
    </row>
    <row r="771">
      <c r="A771" s="48">
        <f>IF(Offerte!$A26="","",Offerte!$A26)</f>
        <v/>
      </c>
      <c r="B771" s="48">
        <f>IF(Offerte!$A26="","",Offerte!$B26)</f>
        <v/>
      </c>
      <c r="C771" s="48">
        <f>IF(Offerte!$A26="","",Offerte!$C26)</f>
        <v/>
      </c>
      <c r="D771" s="48" t="inlineStr">
        <is>
          <t>F.2.1</t>
        </is>
      </c>
      <c r="E771" s="48" t="inlineStr">
        <is>
          <t>F</t>
        </is>
      </c>
      <c r="F771" s="48" t="inlineStr">
        <is>
          <t>Q</t>
        </is>
      </c>
      <c r="G771" s="48" t="inlineStr">
        <is>
          <t>higher</t>
        </is>
      </c>
      <c r="H771" s="48" t="n">
        <v>2</v>
      </c>
      <c r="I771" s="48" t="inlineStr">
        <is>
          <t>Tasso di copertura del servizio con dispositivi ECO-DRIVER</t>
        </is>
      </c>
      <c r="J771" s="73" t="n"/>
      <c r="K771" s="73" t="n"/>
      <c r="L771" s="73" t="n"/>
      <c r="M771" s="73" t="n"/>
      <c r="N771" s="57">
        <f>IF($A771="","",IFERROR(VALUE($K771)/VALUE($L771),IFERROR(VALUE($J771),0)))</f>
        <v/>
      </c>
      <c r="O771" s="57">
        <f>IF($A771="",0,IF(OR($S771&lt;&gt;1,COUNTA($J771:$M771)=0),0,IF(SUMPRODUCT(MAX(($C$5:$C$2484=$C771)*($D$5:$D$2484=$D771)*($S$5:$S$2484=1)*IFERROR($N$5:$N$2484*1,0)))&gt;0,ROUND($H771*($N771/SUMPRODUCT(MAX(($C$5:$C$2484=$C771)*($D$5:$D$2484=$D771)*($S$5:$S$2484=1)*IFERROR($N$5:$N$2484*1,0)))),4),0)))</f>
        <v/>
      </c>
      <c r="P771" s="48" t="inlineStr">
        <is>
          <t>Autobus attrezzati con dispositivi ECO-DRIVER / Autobus totali in offerta, incluse scorte</t>
        </is>
      </c>
      <c r="Q771" s="57">
        <f>IF($A771="","",$A771&amp;"|"&amp;$C771)</f>
        <v/>
      </c>
      <c r="R771" s="57">
        <f>IF($A771="","",$A771&amp;"|"&amp;$C771&amp;"|"&amp;$D771)</f>
        <v/>
      </c>
      <c r="S771" s="57">
        <f>IF($A771="","",IFERROR(INDEX(Offerte!$D$2:$D$81,MATCH($Q771,Offerte!$L$2:$L$81,0)),0))</f>
        <v/>
      </c>
      <c r="T771" s="57">
        <f>IF($A771="","",IFERROR(INDEX(Offerte!$G$2:$G$81,MATCH($Q771,Offerte!$L$2:$L$81,0)),"NO"))</f>
        <v/>
      </c>
    </row>
    <row r="772">
      <c r="A772" s="48">
        <f>IF(Offerte!$A26="","",Offerte!$A26)</f>
        <v/>
      </c>
      <c r="B772" s="48">
        <f>IF(Offerte!$A26="","",Offerte!$B26)</f>
        <v/>
      </c>
      <c r="C772" s="48">
        <f>IF(Offerte!$A26="","",Offerte!$C26)</f>
        <v/>
      </c>
      <c r="D772" s="48" t="inlineStr">
        <is>
          <t>F.3.1</t>
        </is>
      </c>
      <c r="E772" s="48" t="inlineStr">
        <is>
          <t>F</t>
        </is>
      </c>
      <c r="F772" s="48" t="inlineStr">
        <is>
          <t>Q</t>
        </is>
      </c>
      <c r="G772" s="48" t="inlineStr">
        <is>
          <t>higher</t>
        </is>
      </c>
      <c r="H772" s="48" t="n">
        <v>2</v>
      </c>
      <c r="I772" s="48" t="inlineStr">
        <is>
          <t>Autoproduzione consumi elettrici per trazione</t>
        </is>
      </c>
      <c r="J772" s="73" t="n"/>
      <c r="K772" s="73" t="n"/>
      <c r="L772" s="73" t="n"/>
      <c r="M772" s="73" t="n"/>
      <c r="N772" s="57">
        <f>IF($A772="","",IFERROR(VALUE($J772),0))</f>
        <v/>
      </c>
      <c r="O772" s="57">
        <f>IF($A772="",0,IF(OR($S772&lt;&gt;1,COUNTA($J772:$M772)=0),0,IF(SUMPRODUCT(MAX(($C$5:$C$2484=$C772)*($D$5:$D$2484=$D772)*($S$5:$S$2484=1)*IFERROR($N$5:$N$2484*1,0)))&gt;0,ROUND($H772*($N772/SUMPRODUCT(MAX(($C$5:$C$2484=$C772)*($D$5:$D$2484=$D772)*($S$5:$S$2484=1)*IFERROR($N$5:$N$2484*1,0)))),4),0)))</f>
        <v/>
      </c>
      <c r="P772" s="48" t="inlineStr">
        <is>
          <t>kWh/anno</t>
        </is>
      </c>
      <c r="Q772" s="57">
        <f>IF($A772="","",$A772&amp;"|"&amp;$C772)</f>
        <v/>
      </c>
      <c r="R772" s="57">
        <f>IF($A772="","",$A772&amp;"|"&amp;$C772&amp;"|"&amp;$D772)</f>
        <v/>
      </c>
      <c r="S772" s="57">
        <f>IF($A772="","",IFERROR(INDEX(Offerte!$D$2:$D$81,MATCH($Q772,Offerte!$L$2:$L$81,0)),0))</f>
        <v/>
      </c>
      <c r="T772" s="57">
        <f>IF($A772="","",IFERROR(INDEX(Offerte!$G$2:$G$81,MATCH($Q772,Offerte!$L$2:$L$81,0)),"NO"))</f>
        <v/>
      </c>
    </row>
    <row r="773">
      <c r="A773" s="48">
        <f>IF(Offerte!$A26="","",Offerte!$A26)</f>
        <v/>
      </c>
      <c r="B773" s="48">
        <f>IF(Offerte!$A26="","",Offerte!$B26)</f>
        <v/>
      </c>
      <c r="C773" s="48">
        <f>IF(Offerte!$A26="","",Offerte!$C26)</f>
        <v/>
      </c>
      <c r="D773" s="48" t="inlineStr">
        <is>
          <t>F.4.1</t>
        </is>
      </c>
      <c r="E773" s="48" t="inlineStr">
        <is>
          <t>F</t>
        </is>
      </c>
      <c r="F773" s="48" t="inlineStr">
        <is>
          <t>Q</t>
        </is>
      </c>
      <c r="G773" s="48" t="inlineStr">
        <is>
          <t>soil</t>
        </is>
      </c>
      <c r="H773" s="48" t="n">
        <v>2</v>
      </c>
      <c r="I773" s="48" t="inlineStr">
        <is>
          <t>Indice di consumo di suolo</t>
        </is>
      </c>
      <c r="J773" s="73" t="n"/>
      <c r="K773" s="73" t="n"/>
      <c r="L773" s="73" t="n"/>
      <c r="M773" s="73" t="n"/>
      <c r="N773" s="57">
        <f>IF($A773="","",IFERROR(VALUE($J773),0))</f>
        <v/>
      </c>
      <c r="O773" s="57">
        <f>IF($A773="",0,IF(OR($S773&lt;&gt;1,COUNTA($J773:$M773)=0),0,IF($N773&lt;=0,$H773,IF(SUMPRODUCT(MAX(($C$5:$C$2484=$C773)*($D$5:$D$2484=$D773)*($S$5:$S$2484=1)*IFERROR($N$5:$N$2484*1,0)))&gt;0,ROUND($H773*((SUMPRODUCT(MAX(($C$5:$C$2484=$C773)*($D$5:$D$2484=$D773)*($S$5:$S$2484=1)*IFERROR($N$5:$N$2484*1,0)))-$N773)/SUMPRODUCT(MAX(($C$5:$C$2484=$C773)*($D$5:$D$2484=$D773)*($S$5:$S$2484=1)*IFERROR($N$5:$N$2484*1,0)))),4),0))))</f>
        <v/>
      </c>
      <c r="P773" s="48" t="inlineStr">
        <is>
          <t>m2</t>
        </is>
      </c>
      <c r="Q773" s="57">
        <f>IF($A773="","",$A773&amp;"|"&amp;$C773)</f>
        <v/>
      </c>
      <c r="R773" s="57">
        <f>IF($A773="","",$A773&amp;"|"&amp;$C773&amp;"|"&amp;$D773)</f>
        <v/>
      </c>
      <c r="S773" s="57">
        <f>IF($A773="","",IFERROR(INDEX(Offerte!$D$2:$D$81,MATCH($Q773,Offerte!$L$2:$L$81,0)),0))</f>
        <v/>
      </c>
      <c r="T773" s="57">
        <f>IF($A773="","",IFERROR(INDEX(Offerte!$G$2:$G$81,MATCH($Q773,Offerte!$L$2:$L$81,0)),"NO"))</f>
        <v/>
      </c>
    </row>
    <row r="774">
      <c r="A774" s="48">
        <f>IF(Offerte!$A26="","",Offerte!$A26)</f>
        <v/>
      </c>
      <c r="B774" s="48">
        <f>IF(Offerte!$A26="","",Offerte!$B26)</f>
        <v/>
      </c>
      <c r="C774" s="48">
        <f>IF(Offerte!$A26="","",Offerte!$C26)</f>
        <v/>
      </c>
      <c r="D774" s="48" t="inlineStr">
        <is>
          <t>F.5.1</t>
        </is>
      </c>
      <c r="E774" s="48" t="inlineStr">
        <is>
          <t>F</t>
        </is>
      </c>
      <c r="F774" s="48" t="inlineStr">
        <is>
          <t>T</t>
        </is>
      </c>
      <c r="G774" s="48" t="inlineStr">
        <is>
          <t>tabular</t>
        </is>
      </c>
      <c r="H774" s="48" t="n">
        <v>1</v>
      </c>
      <c r="I774" s="48" t="inlineStr">
        <is>
          <t>Rendicontazione di sostenibilità ambientale</t>
        </is>
      </c>
      <c r="J774" s="73" t="n"/>
      <c r="K774" s="73" t="n"/>
      <c r="L774" s="73" t="n"/>
      <c r="M774" s="73" t="n"/>
      <c r="N774" s="57">
        <f>IF($A774="","",IF(IFERROR(VALUE($M774),0)=1,1,0))</f>
        <v/>
      </c>
      <c r="O774" s="57">
        <f>IF($A774="",0,IF(OR($S774&lt;&gt;1,COUNTA($J774:$M774)=0),0,IF($N774=1,$H774,0)))</f>
        <v/>
      </c>
      <c r="P774" s="48" t="inlineStr">
        <is>
          <t>sì/no</t>
        </is>
      </c>
      <c r="Q774" s="57">
        <f>IF($A774="","",$A774&amp;"|"&amp;$C774)</f>
        <v/>
      </c>
      <c r="R774" s="57">
        <f>IF($A774="","",$A774&amp;"|"&amp;$C774&amp;"|"&amp;$D774)</f>
        <v/>
      </c>
      <c r="S774" s="57">
        <f>IF($A774="","",IFERROR(INDEX(Offerte!$D$2:$D$81,MATCH($Q774,Offerte!$L$2:$L$81,0)),0))</f>
        <v/>
      </c>
      <c r="T774" s="57">
        <f>IF($A774="","",IFERROR(INDEX(Offerte!$G$2:$G$81,MATCH($Q774,Offerte!$L$2:$L$81,0)),"NO"))</f>
        <v/>
      </c>
    </row>
    <row r="775">
      <c r="A775" s="48">
        <f>IF(Offerte!$A26="","",Offerte!$A26)</f>
        <v/>
      </c>
      <c r="B775" s="48">
        <f>IF(Offerte!$A26="","",Offerte!$B26)</f>
        <v/>
      </c>
      <c r="C775" s="48">
        <f>IF(Offerte!$A26="","",Offerte!$C26)</f>
        <v/>
      </c>
      <c r="D775" s="48" t="inlineStr">
        <is>
          <t>G.1.1</t>
        </is>
      </c>
      <c r="E775" s="48" t="inlineStr">
        <is>
          <t>G</t>
        </is>
      </c>
      <c r="F775" s="48" t="inlineStr">
        <is>
          <t>D</t>
        </is>
      </c>
      <c r="G775" s="48" t="inlineStr">
        <is>
          <t>discretionary</t>
        </is>
      </c>
      <c r="H775" s="48" t="n">
        <v>2</v>
      </c>
      <c r="I775" s="48" t="inlineStr">
        <is>
          <t>Qualità del progetto di centrale di controllo aziendale</t>
        </is>
      </c>
      <c r="J775" s="73" t="n"/>
      <c r="K775" s="73" t="n"/>
      <c r="L775" s="73" t="n"/>
      <c r="M775" s="73" t="n"/>
      <c r="N775" s="57">
        <f>IF($A775="","",MAX(0,MIN(1,IFERROR(VALUE($M775),0))))</f>
        <v/>
      </c>
      <c r="O775" s="57">
        <f>IF($A775="",0,IF(OR($S775&lt;&gt;1,COUNTA($J775:$M775)=0),0,IF(SUMPRODUCT(MAX(($C$5:$C$2484=$C775)*($D$5:$D$2484=$D775)*($S$5:$S$2484=1)*IFERROR($N$5:$N$2484*1,0)))&gt;0,ROUND($H775*($N775/SUMPRODUCT(MAX(($C$5:$C$2484=$C775)*($D$5:$D$2484=$D775)*($S$5:$S$2484=1)*IFERROR($N$5:$N$2484*1,0)))),4),0)))</f>
        <v/>
      </c>
      <c r="P775" s="48" t="inlineStr">
        <is>
          <t>coeff.</t>
        </is>
      </c>
      <c r="Q775" s="57">
        <f>IF($A775="","",$A775&amp;"|"&amp;$C775)</f>
        <v/>
      </c>
      <c r="R775" s="57">
        <f>IF($A775="","",$A775&amp;"|"&amp;$C775&amp;"|"&amp;$D775)</f>
        <v/>
      </c>
      <c r="S775" s="57">
        <f>IF($A775="","",IFERROR(INDEX(Offerte!$D$2:$D$81,MATCH($Q775,Offerte!$L$2:$L$81,0)),0))</f>
        <v/>
      </c>
      <c r="T775" s="57">
        <f>IF($A775="","",IFERROR(INDEX(Offerte!$G$2:$G$81,MATCH($Q775,Offerte!$L$2:$L$81,0)),"NO"))</f>
        <v/>
      </c>
    </row>
    <row r="776">
      <c r="A776" s="48">
        <f>IF(Offerte!$A26="","",Offerte!$A26)</f>
        <v/>
      </c>
      <c r="B776" s="48">
        <f>IF(Offerte!$A26="","",Offerte!$B26)</f>
        <v/>
      </c>
      <c r="C776" s="48">
        <f>IF(Offerte!$A26="","",Offerte!$C26)</f>
        <v/>
      </c>
      <c r="D776" s="48" t="inlineStr">
        <is>
          <t>G.2.1</t>
        </is>
      </c>
      <c r="E776" s="48" t="inlineStr">
        <is>
          <t>G</t>
        </is>
      </c>
      <c r="F776" s="48" t="inlineStr">
        <is>
          <t>T</t>
        </is>
      </c>
      <c r="G776" s="48" t="inlineStr">
        <is>
          <t>tabular</t>
        </is>
      </c>
      <c r="H776" s="48" t="n">
        <v>1</v>
      </c>
      <c r="I776" s="48" t="inlineStr">
        <is>
          <t>Certificazione ISO 45001</t>
        </is>
      </c>
      <c r="J776" s="73" t="n"/>
      <c r="K776" s="73" t="n"/>
      <c r="L776" s="73" t="n"/>
      <c r="M776" s="73" t="n"/>
      <c r="N776" s="57">
        <f>IF($A776="","",IF(IFERROR(VALUE($M776),0)=1,1,0))</f>
        <v/>
      </c>
      <c r="O776" s="57">
        <f>IF($A776="",0,IF(OR($S776&lt;&gt;1,COUNTA($J776:$M776)=0),0,IF($N776=1,$H776,0)))</f>
        <v/>
      </c>
      <c r="P776" s="48" t="inlineStr">
        <is>
          <t>sì/no</t>
        </is>
      </c>
      <c r="Q776" s="57">
        <f>IF($A776="","",$A776&amp;"|"&amp;$C776)</f>
        <v/>
      </c>
      <c r="R776" s="57">
        <f>IF($A776="","",$A776&amp;"|"&amp;$C776&amp;"|"&amp;$D776)</f>
        <v/>
      </c>
      <c r="S776" s="57">
        <f>IF($A776="","",IFERROR(INDEX(Offerte!$D$2:$D$81,MATCH($Q776,Offerte!$L$2:$L$81,0)),0))</f>
        <v/>
      </c>
      <c r="T776" s="57">
        <f>IF($A776="","",IFERROR(INDEX(Offerte!$G$2:$G$81,MATCH($Q776,Offerte!$L$2:$L$81,0)),"NO"))</f>
        <v/>
      </c>
    </row>
    <row r="777">
      <c r="A777" s="48">
        <f>IF(Offerte!$A26="","",Offerte!$A26)</f>
        <v/>
      </c>
      <c r="B777" s="48">
        <f>IF(Offerte!$A26="","",Offerte!$B26)</f>
        <v/>
      </c>
      <c r="C777" s="48">
        <f>IF(Offerte!$A26="","",Offerte!$C26)</f>
        <v/>
      </c>
      <c r="D777" s="48" t="inlineStr">
        <is>
          <t>G.3.1</t>
        </is>
      </c>
      <c r="E777" s="48" t="inlineStr">
        <is>
          <t>G</t>
        </is>
      </c>
      <c r="F777" s="48" t="inlineStr">
        <is>
          <t>T</t>
        </is>
      </c>
      <c r="G777" s="48" t="inlineStr">
        <is>
          <t>tabular</t>
        </is>
      </c>
      <c r="H777" s="48" t="n">
        <v>1</v>
      </c>
      <c r="I777" s="48" t="inlineStr">
        <is>
          <t>Certificazioni di responsabilità sociale</t>
        </is>
      </c>
      <c r="J777" s="73" t="n"/>
      <c r="K777" s="73" t="n"/>
      <c r="L777" s="73" t="n"/>
      <c r="M777" s="73" t="n"/>
      <c r="N777" s="57">
        <f>IF($A777="","",IF(IFERROR(VALUE($M777),0)=1,1,0))</f>
        <v/>
      </c>
      <c r="O777" s="57">
        <f>IF($A777="",0,IF(OR($S777&lt;&gt;1,COUNTA($J777:$M777)=0),0,IF($N777=1,$H777,0)))</f>
        <v/>
      </c>
      <c r="P777" s="48" t="inlineStr">
        <is>
          <t>sì/no</t>
        </is>
      </c>
      <c r="Q777" s="57">
        <f>IF($A777="","",$A777&amp;"|"&amp;$C777)</f>
        <v/>
      </c>
      <c r="R777" s="57">
        <f>IF($A777="","",$A777&amp;"|"&amp;$C777&amp;"|"&amp;$D777)</f>
        <v/>
      </c>
      <c r="S777" s="57">
        <f>IF($A777="","",IFERROR(INDEX(Offerte!$D$2:$D$81,MATCH($Q777,Offerte!$L$2:$L$81,0)),0))</f>
        <v/>
      </c>
      <c r="T777" s="57">
        <f>IF($A777="","",IFERROR(INDEX(Offerte!$G$2:$G$81,MATCH($Q777,Offerte!$L$2:$L$81,0)),"NO"))</f>
        <v/>
      </c>
    </row>
    <row r="778">
      <c r="A778" s="48">
        <f>IF(Offerte!$A26="","",Offerte!$A26)</f>
        <v/>
      </c>
      <c r="B778" s="48">
        <f>IF(Offerte!$A26="","",Offerte!$B26)</f>
        <v/>
      </c>
      <c r="C778" s="48">
        <f>IF(Offerte!$A26="","",Offerte!$C26)</f>
        <v/>
      </c>
      <c r="D778" s="48" t="inlineStr">
        <is>
          <t>G.4.1</t>
        </is>
      </c>
      <c r="E778" s="48" t="inlineStr">
        <is>
          <t>G</t>
        </is>
      </c>
      <c r="F778" s="48" t="inlineStr">
        <is>
          <t>D</t>
        </is>
      </c>
      <c r="G778" s="48" t="inlineStr">
        <is>
          <t>discretionary</t>
        </is>
      </c>
      <c r="H778" s="48" t="n">
        <v>2</v>
      </c>
      <c r="I778" s="48" t="inlineStr">
        <is>
          <t>Qualità del piano di formazione del personale</t>
        </is>
      </c>
      <c r="J778" s="73" t="n"/>
      <c r="K778" s="73" t="n"/>
      <c r="L778" s="73" t="n"/>
      <c r="M778" s="73" t="n"/>
      <c r="N778" s="57">
        <f>IF($A778="","",MAX(0,MIN(1,IFERROR(VALUE($M778),0))))</f>
        <v/>
      </c>
      <c r="O778" s="57">
        <f>IF($A778="",0,IF(OR($S778&lt;&gt;1,COUNTA($J778:$M778)=0),0,IF(SUMPRODUCT(MAX(($C$5:$C$2484=$C778)*($D$5:$D$2484=$D778)*($S$5:$S$2484=1)*IFERROR($N$5:$N$2484*1,0)))&gt;0,ROUND($H778*($N778/SUMPRODUCT(MAX(($C$5:$C$2484=$C778)*($D$5:$D$2484=$D778)*($S$5:$S$2484=1)*IFERROR($N$5:$N$2484*1,0)))),4),0)))</f>
        <v/>
      </c>
      <c r="P778" s="48" t="inlineStr">
        <is>
          <t>coeff.</t>
        </is>
      </c>
      <c r="Q778" s="57">
        <f>IF($A778="","",$A778&amp;"|"&amp;$C778)</f>
        <v/>
      </c>
      <c r="R778" s="57">
        <f>IF($A778="","",$A778&amp;"|"&amp;$C778&amp;"|"&amp;$D778)</f>
        <v/>
      </c>
      <c r="S778" s="57">
        <f>IF($A778="","",IFERROR(INDEX(Offerte!$D$2:$D$81,MATCH($Q778,Offerte!$L$2:$L$81,0)),0))</f>
        <v/>
      </c>
      <c r="T778" s="57">
        <f>IF($A778="","",IFERROR(INDEX(Offerte!$G$2:$G$81,MATCH($Q778,Offerte!$L$2:$L$81,0)),"NO"))</f>
        <v/>
      </c>
    </row>
    <row r="779">
      <c r="A779" s="48">
        <f>IF(Offerte!$A26="","",Offerte!$A26)</f>
        <v/>
      </c>
      <c r="B779" s="48">
        <f>IF(Offerte!$A26="","",Offerte!$B26)</f>
        <v/>
      </c>
      <c r="C779" s="48">
        <f>IF(Offerte!$A26="","",Offerte!$C26)</f>
        <v/>
      </c>
      <c r="D779" s="48" t="inlineStr">
        <is>
          <t>G.5.1</t>
        </is>
      </c>
      <c r="E779" s="48" t="inlineStr">
        <is>
          <t>G</t>
        </is>
      </c>
      <c r="F779" s="48" t="inlineStr">
        <is>
          <t>T</t>
        </is>
      </c>
      <c r="G779" s="48" t="inlineStr">
        <is>
          <t>tabular</t>
        </is>
      </c>
      <c r="H779" s="48" t="n">
        <v>1</v>
      </c>
      <c r="I779" s="48" t="inlineStr">
        <is>
          <t>Impegno al mantenimento delle garanzie del contratto di secondo livello del gestore uscente</t>
        </is>
      </c>
      <c r="J779" s="73" t="n"/>
      <c r="K779" s="73" t="n"/>
      <c r="L779" s="73" t="n"/>
      <c r="M779" s="73" t="n"/>
      <c r="N779" s="57">
        <f>IF($A779="","",IF(IFERROR(VALUE($M779),0)=1,1,0))</f>
        <v/>
      </c>
      <c r="O779" s="57">
        <f>IF($A779="",0,IF(OR($S779&lt;&gt;1,COUNTA($J779:$M779)=0),0,IF($N779=1,$H779,0)))</f>
        <v/>
      </c>
      <c r="P779" s="48" t="inlineStr">
        <is>
          <t>sì/no</t>
        </is>
      </c>
      <c r="Q779" s="57">
        <f>IF($A779="","",$A779&amp;"|"&amp;$C779)</f>
        <v/>
      </c>
      <c r="R779" s="57">
        <f>IF($A779="","",$A779&amp;"|"&amp;$C779&amp;"|"&amp;$D779)</f>
        <v/>
      </c>
      <c r="S779" s="57">
        <f>IF($A779="","",IFERROR(INDEX(Offerte!$D$2:$D$81,MATCH($Q779,Offerte!$L$2:$L$81,0)),0))</f>
        <v/>
      </c>
      <c r="T779" s="57">
        <f>IF($A779="","",IFERROR(INDEX(Offerte!$G$2:$G$81,MATCH($Q779,Offerte!$L$2:$L$81,0)),"NO"))</f>
        <v/>
      </c>
    </row>
    <row r="780">
      <c r="A780" s="48">
        <f>IF(Offerte!$A27="","",Offerte!$A27)</f>
        <v/>
      </c>
      <c r="B780" s="48">
        <f>IF(Offerte!$A27="","",Offerte!$B27)</f>
        <v/>
      </c>
      <c r="C780" s="48">
        <f>IF(Offerte!$A27="","",Offerte!$C27)</f>
        <v/>
      </c>
      <c r="D780" s="48" t="inlineStr">
        <is>
          <t>A.1.1</t>
        </is>
      </c>
      <c r="E780" s="48" t="inlineStr">
        <is>
          <t>A</t>
        </is>
      </c>
      <c r="F780" s="48" t="inlineStr">
        <is>
          <t>Q</t>
        </is>
      </c>
      <c r="G780" s="48" t="inlineStr">
        <is>
          <t>higher</t>
        </is>
      </c>
      <c r="H780" s="48" t="n">
        <v>3</v>
      </c>
      <c r="I780" s="48" t="inlineStr">
        <is>
          <t>Tasso aggiuntivo di corse controllate</t>
        </is>
      </c>
      <c r="J780" s="73" t="n"/>
      <c r="K780" s="73" t="n"/>
      <c r="L780" s="73" t="n"/>
      <c r="M780" s="73" t="n"/>
      <c r="N780" s="57">
        <f>IF($A780="","",IFERROR(VALUE($K780)/VALUE($L780)*100,IFERROR(VALUE($J780),0)))</f>
        <v/>
      </c>
      <c r="O780" s="57">
        <f>IF($A780="",0,IF(OR($S780&lt;&gt;1,COUNTA($J780:$M780)=0),0,IF(SUMPRODUCT(MAX(($C$5:$C$2484=$C780)*($D$5:$D$2484=$D780)*($S$5:$S$2484=1)*IFERROR($N$5:$N$2484*1,0)))&gt;0,ROUND($H780*($N780/SUMPRODUCT(MAX(($C$5:$C$2484=$C780)*($D$5:$D$2484=$D780)*($S$5:$S$2484=1)*IFERROR($N$5:$N$2484*1,0)))),4),0)))</f>
        <v/>
      </c>
      <c r="P780" s="48" t="inlineStr">
        <is>
          <t>Corse controllate annue / Corse programmate annue</t>
        </is>
      </c>
      <c r="Q780" s="57">
        <f>IF($A780="","",$A780&amp;"|"&amp;$C780)</f>
        <v/>
      </c>
      <c r="R780" s="57">
        <f>IF($A780="","",$A780&amp;"|"&amp;$C780&amp;"|"&amp;$D780)</f>
        <v/>
      </c>
      <c r="S780" s="57">
        <f>IF($A780="","",IFERROR(INDEX(Offerte!$D$2:$D$81,MATCH($Q780,Offerte!$L$2:$L$81,0)),0))</f>
        <v/>
      </c>
      <c r="T780" s="57">
        <f>IF($A780="","",IFERROR(INDEX(Offerte!$G$2:$G$81,MATCH($Q780,Offerte!$L$2:$L$81,0)),"NO"))</f>
        <v/>
      </c>
    </row>
    <row r="781">
      <c r="A781" s="48">
        <f>IF(Offerte!$A27="","",Offerte!$A27)</f>
        <v/>
      </c>
      <c r="B781" s="48">
        <f>IF(Offerte!$A27="","",Offerte!$B27)</f>
        <v/>
      </c>
      <c r="C781" s="48">
        <f>IF(Offerte!$A27="","",Offerte!$C27)</f>
        <v/>
      </c>
      <c r="D781" s="48" t="inlineStr">
        <is>
          <t>A.1.2</t>
        </is>
      </c>
      <c r="E781" s="48" t="inlineStr">
        <is>
          <t>A</t>
        </is>
      </c>
      <c r="F781" s="48" t="inlineStr">
        <is>
          <t>Q</t>
        </is>
      </c>
      <c r="G781" s="48" t="inlineStr">
        <is>
          <t>higher</t>
        </is>
      </c>
      <c r="H781" s="48" t="n">
        <v>4</v>
      </c>
      <c r="I781" s="48" t="inlineStr">
        <is>
          <t>Numero aggiuntivo di passeggeri controllati</t>
        </is>
      </c>
      <c r="J781" s="73" t="n"/>
      <c r="K781" s="73" t="n"/>
      <c r="L781" s="73" t="n"/>
      <c r="M781" s="73" t="n"/>
      <c r="N781" s="57">
        <f>IF($A781="","",IFERROR(VALUE($J781),0))</f>
        <v/>
      </c>
      <c r="O781" s="57">
        <f>IF($A781="",0,IF(OR($S781&lt;&gt;1,COUNTA($J781:$M781)=0),0,IF(SUMPRODUCT(MAX(($C$5:$C$2484=$C781)*($D$5:$D$2484=$D781)*($S$5:$S$2484=1)*IFERROR($N$5:$N$2484*1,0)))&gt;0,ROUND($H781*($N781/SUMPRODUCT(MAX(($C$5:$C$2484=$C781)*($D$5:$D$2484=$D781)*($S$5:$S$2484=1)*IFERROR($N$5:$N$2484*1,0)))),4),0)))</f>
        <v/>
      </c>
      <c r="P781" s="48" t="inlineStr">
        <is>
          <t>passeggeri/anno</t>
        </is>
      </c>
      <c r="Q781" s="57">
        <f>IF($A781="","",$A781&amp;"|"&amp;$C781)</f>
        <v/>
      </c>
      <c r="R781" s="57">
        <f>IF($A781="","",$A781&amp;"|"&amp;$C781&amp;"|"&amp;$D781)</f>
        <v/>
      </c>
      <c r="S781" s="57">
        <f>IF($A781="","",IFERROR(INDEX(Offerte!$D$2:$D$81,MATCH($Q781,Offerte!$L$2:$L$81,0)),0))</f>
        <v/>
      </c>
      <c r="T781" s="57">
        <f>IF($A781="","",IFERROR(INDEX(Offerte!$G$2:$G$81,MATCH($Q781,Offerte!$L$2:$L$81,0)),"NO"))</f>
        <v/>
      </c>
    </row>
    <row r="782">
      <c r="A782" s="48">
        <f>IF(Offerte!$A27="","",Offerte!$A27)</f>
        <v/>
      </c>
      <c r="B782" s="48">
        <f>IF(Offerte!$A27="","",Offerte!$B27)</f>
        <v/>
      </c>
      <c r="C782" s="48">
        <f>IF(Offerte!$A27="","",Offerte!$C27)</f>
        <v/>
      </c>
      <c r="D782" s="48" t="inlineStr">
        <is>
          <t>B.1.1</t>
        </is>
      </c>
      <c r="E782" s="48" t="inlineStr">
        <is>
          <t>B</t>
        </is>
      </c>
      <c r="F782" s="48" t="inlineStr">
        <is>
          <t>Q</t>
        </is>
      </c>
      <c r="G782" s="48" t="inlineStr">
        <is>
          <t>higher</t>
        </is>
      </c>
      <c r="H782" s="48" t="n">
        <v>3</v>
      </c>
      <c r="I782" s="48" t="inlineStr">
        <is>
          <t>Incremento dei posti offerti nelle fasce di punta</t>
        </is>
      </c>
      <c r="J782" s="73" t="n"/>
      <c r="K782" s="73" t="n"/>
      <c r="L782" s="73" t="n"/>
      <c r="M782" s="73" t="n"/>
      <c r="N782" s="57">
        <f>IF($A782="","",IFERROR(VALUE($J782),0))</f>
        <v/>
      </c>
      <c r="O782" s="57">
        <f>IF($A782="",0,IF(OR($S782&lt;&gt;1,COUNTA($J782:$M782)=0),0,IF(SUMPRODUCT(MAX(($C$5:$C$2484=$C782)*($D$5:$D$2484=$D782)*($S$5:$S$2484=1)*IFERROR($N$5:$N$2484*1,0)))&gt;0,ROUND($H782*($N782/SUMPRODUCT(MAX(($C$5:$C$2484=$C782)*($D$5:$D$2484=$D782)*($S$5:$S$2484=1)*IFERROR($N$5:$N$2484*1,0)))),4),0)))</f>
        <v/>
      </c>
      <c r="P782" s="48" t="inlineStr">
        <is>
          <t>posti*km</t>
        </is>
      </c>
      <c r="Q782" s="57">
        <f>IF($A782="","",$A782&amp;"|"&amp;$C782)</f>
        <v/>
      </c>
      <c r="R782" s="57">
        <f>IF($A782="","",$A782&amp;"|"&amp;$C782&amp;"|"&amp;$D782)</f>
        <v/>
      </c>
      <c r="S782" s="57">
        <f>IF($A782="","",IFERROR(INDEX(Offerte!$D$2:$D$81,MATCH($Q782,Offerte!$L$2:$L$81,0)),0))</f>
        <v/>
      </c>
      <c r="T782" s="57">
        <f>IF($A782="","",IFERROR(INDEX(Offerte!$G$2:$G$81,MATCH($Q782,Offerte!$L$2:$L$81,0)),"NO"))</f>
        <v/>
      </c>
    </row>
    <row r="783">
      <c r="A783" s="48">
        <f>IF(Offerte!$A27="","",Offerte!$A27)</f>
        <v/>
      </c>
      <c r="B783" s="48">
        <f>IF(Offerte!$A27="","",Offerte!$B27)</f>
        <v/>
      </c>
      <c r="C783" s="48">
        <f>IF(Offerte!$A27="","",Offerte!$C27)</f>
        <v/>
      </c>
      <c r="D783" s="48" t="inlineStr">
        <is>
          <t>B.2.1</t>
        </is>
      </c>
      <c r="E783" s="48" t="inlineStr">
        <is>
          <t>B</t>
        </is>
      </c>
      <c r="F783" s="48" t="inlineStr">
        <is>
          <t>Q</t>
        </is>
      </c>
      <c r="G783" s="48" t="inlineStr">
        <is>
          <t>higher</t>
        </is>
      </c>
      <c r="H783" s="48" t="n">
        <v>4</v>
      </c>
      <c r="I783" s="48" t="inlineStr">
        <is>
          <t>Corse aggiuntive nell'arco giornaliero base</t>
        </is>
      </c>
      <c r="J783" s="73" t="n"/>
      <c r="K783" s="73" t="n"/>
      <c r="L783" s="73" t="n"/>
      <c r="M783" s="73" t="n"/>
      <c r="N783" s="57">
        <f>IF($A783="","",IFERROR(VALUE($J783),0))</f>
        <v/>
      </c>
      <c r="O783" s="57">
        <f>IF($A783="",0,IF(OR($S783&lt;&gt;1,COUNTA($J783:$M783)=0),0,IF(SUMPRODUCT(MAX(($C$5:$C$2484=$C783)*($D$5:$D$2484=$D783)*($S$5:$S$2484=1)*IFERROR($N$5:$N$2484*1,0)))&gt;0,ROUND($H783*($N783/SUMPRODUCT(MAX(($C$5:$C$2484=$C783)*($D$5:$D$2484=$D783)*($S$5:$S$2484=1)*IFERROR($N$5:$N$2484*1,0)))),4),0)))</f>
        <v/>
      </c>
      <c r="P783" s="48" t="inlineStr">
        <is>
          <t>corse</t>
        </is>
      </c>
      <c r="Q783" s="57">
        <f>IF($A783="","",$A783&amp;"|"&amp;$C783)</f>
        <v/>
      </c>
      <c r="R783" s="57">
        <f>IF($A783="","",$A783&amp;"|"&amp;$C783&amp;"|"&amp;$D783)</f>
        <v/>
      </c>
      <c r="S783" s="57">
        <f>IF($A783="","",IFERROR(INDEX(Offerte!$D$2:$D$81,MATCH($Q783,Offerte!$L$2:$L$81,0)),0))</f>
        <v/>
      </c>
      <c r="T783" s="57">
        <f>IF($A783="","",IFERROR(INDEX(Offerte!$G$2:$G$81,MATCH($Q783,Offerte!$L$2:$L$81,0)),"NO"))</f>
        <v/>
      </c>
    </row>
    <row r="784">
      <c r="A784" s="48">
        <f>IF(Offerte!$A27="","",Offerte!$A27)</f>
        <v/>
      </c>
      <c r="B784" s="48">
        <f>IF(Offerte!$A27="","",Offerte!$B27)</f>
        <v/>
      </c>
      <c r="C784" s="48">
        <f>IF(Offerte!$A27="","",Offerte!$C27)</f>
        <v/>
      </c>
      <c r="D784" s="48" t="inlineStr">
        <is>
          <t>B.3.1</t>
        </is>
      </c>
      <c r="E784" s="48" t="inlineStr">
        <is>
          <t>B</t>
        </is>
      </c>
      <c r="F784" s="48" t="inlineStr">
        <is>
          <t>Q</t>
        </is>
      </c>
      <c r="G784" s="48" t="inlineStr">
        <is>
          <t>higher</t>
        </is>
      </c>
      <c r="H784" s="48" t="n">
        <v>2</v>
      </c>
      <c r="I784" s="48" t="inlineStr">
        <is>
          <t>Numero di corse aggiuntive per allungamento dell'arco di servizio giornaliero nelle fasce serali</t>
        </is>
      </c>
      <c r="J784" s="73" t="n"/>
      <c r="K784" s="73" t="n"/>
      <c r="L784" s="73" t="n"/>
      <c r="M784" s="73" t="n"/>
      <c r="N784" s="57">
        <f>IF($A784="","",IFERROR(VALUE($J784),0))</f>
        <v/>
      </c>
      <c r="O784" s="57">
        <f>IF($A784="",0,IF(OR($S784&lt;&gt;1,COUNTA($J784:$M784)=0),0,IF(SUMPRODUCT(MAX(($C$5:$C$2484=$C784)*($D$5:$D$2484=$D784)*($S$5:$S$2484=1)*IFERROR($N$5:$N$2484*1,0)))&gt;0,ROUND($H784*($N784/SUMPRODUCT(MAX(($C$5:$C$2484=$C784)*($D$5:$D$2484=$D784)*($S$5:$S$2484=1)*IFERROR($N$5:$N$2484*1,0)))),4),0)))</f>
        <v/>
      </c>
      <c r="P784" s="48" t="inlineStr">
        <is>
          <t>corse</t>
        </is>
      </c>
      <c r="Q784" s="57">
        <f>IF($A784="","",$A784&amp;"|"&amp;$C784)</f>
        <v/>
      </c>
      <c r="R784" s="57">
        <f>IF($A784="","",$A784&amp;"|"&amp;$C784&amp;"|"&amp;$D784)</f>
        <v/>
      </c>
      <c r="S784" s="57">
        <f>IF($A784="","",IFERROR(INDEX(Offerte!$D$2:$D$81,MATCH($Q784,Offerte!$L$2:$L$81,0)),0))</f>
        <v/>
      </c>
      <c r="T784" s="57">
        <f>IF($A784="","",IFERROR(INDEX(Offerte!$G$2:$G$81,MATCH($Q784,Offerte!$L$2:$L$81,0)),"NO"))</f>
        <v/>
      </c>
    </row>
    <row r="785">
      <c r="A785" s="48">
        <f>IF(Offerte!$A27="","",Offerte!$A27)</f>
        <v/>
      </c>
      <c r="B785" s="48">
        <f>IF(Offerte!$A27="","",Offerte!$B27)</f>
        <v/>
      </c>
      <c r="C785" s="48">
        <f>IF(Offerte!$A27="","",Offerte!$C27)</f>
        <v/>
      </c>
      <c r="D785" s="48" t="inlineStr">
        <is>
          <t>B.4.1</t>
        </is>
      </c>
      <c r="E785" s="48" t="inlineStr">
        <is>
          <t>B</t>
        </is>
      </c>
      <c r="F785" s="48" t="inlineStr">
        <is>
          <t>Q</t>
        </is>
      </c>
      <c r="G785" s="48" t="inlineStr">
        <is>
          <t>higher</t>
        </is>
      </c>
      <c r="H785" s="48" t="n">
        <v>3</v>
      </c>
      <c r="I785" s="48" t="inlineStr">
        <is>
          <t>Percorrenze aggiuntive offerte nel Programma d'esercizio delle prime due fasi attuative</t>
        </is>
      </c>
      <c r="J785" s="73" t="n"/>
      <c r="K785" s="73" t="n"/>
      <c r="L785" s="73" t="n"/>
      <c r="M785" s="73" t="n"/>
      <c r="N785" s="57">
        <f>IF($A785="","",IFERROR(VALUE($J785),0))</f>
        <v/>
      </c>
      <c r="O785" s="57">
        <f>IF($A785="",0,IF(OR($S785&lt;&gt;1,COUNTA($J785:$M785)=0),0,IF(SUMPRODUCT(MAX(($C$5:$C$2484=$C785)*($D$5:$D$2484=$D785)*($S$5:$S$2484=1)*IFERROR($N$5:$N$2484*1,0)))&gt;0,ROUND($H785*($N785/SUMPRODUCT(MAX(($C$5:$C$2484=$C785)*($D$5:$D$2484=$D785)*($S$5:$S$2484=1)*IFERROR($N$5:$N$2484*1,0)))),4),0)))</f>
        <v/>
      </c>
      <c r="P785" s="48" t="inlineStr">
        <is>
          <t>vett*km</t>
        </is>
      </c>
      <c r="Q785" s="57">
        <f>IF($A785="","",$A785&amp;"|"&amp;$C785)</f>
        <v/>
      </c>
      <c r="R785" s="57">
        <f>IF($A785="","",$A785&amp;"|"&amp;$C785&amp;"|"&amp;$D785)</f>
        <v/>
      </c>
      <c r="S785" s="57">
        <f>IF($A785="","",IFERROR(INDEX(Offerte!$D$2:$D$81,MATCH($Q785,Offerte!$L$2:$L$81,0)),0))</f>
        <v/>
      </c>
      <c r="T785" s="57">
        <f>IF($A785="","",IFERROR(INDEX(Offerte!$G$2:$G$81,MATCH($Q785,Offerte!$L$2:$L$81,0)),"NO"))</f>
        <v/>
      </c>
    </row>
    <row r="786">
      <c r="A786" s="48">
        <f>IF(Offerte!$A27="","",Offerte!$A27)</f>
        <v/>
      </c>
      <c r="B786" s="48">
        <f>IF(Offerte!$A27="","",Offerte!$B27)</f>
        <v/>
      </c>
      <c r="C786" s="48">
        <f>IF(Offerte!$A27="","",Offerte!$C27)</f>
        <v/>
      </c>
      <c r="D786" s="48" t="inlineStr">
        <is>
          <t>B.5.1</t>
        </is>
      </c>
      <c r="E786" s="48" t="inlineStr">
        <is>
          <t>B</t>
        </is>
      </c>
      <c r="F786" s="48" t="inlineStr">
        <is>
          <t>D</t>
        </is>
      </c>
      <c r="G786" s="48" t="inlineStr">
        <is>
          <t>discretionary</t>
        </is>
      </c>
      <c r="H786" s="48" t="n">
        <v>2</v>
      </c>
      <c r="I786" s="48" t="inlineStr">
        <is>
          <t>Efficacia del progetto di servizi complementari DRT</t>
        </is>
      </c>
      <c r="J786" s="73" t="n"/>
      <c r="K786" s="73" t="n"/>
      <c r="L786" s="73" t="n"/>
      <c r="M786" s="73" t="n"/>
      <c r="N786" s="57">
        <f>IF($A786="","",MAX(0,MIN(1,IFERROR(VALUE($M786),0))))</f>
        <v/>
      </c>
      <c r="O786" s="57">
        <f>IF($A786="",0,IF(OR($S786&lt;&gt;1,COUNTA($J786:$M786)=0),0,IF(SUMPRODUCT(MAX(($C$5:$C$2484=$C786)*($D$5:$D$2484=$D786)*($S$5:$S$2484=1)*IFERROR($N$5:$N$2484*1,0)))&gt;0,ROUND($H786*($N786/SUMPRODUCT(MAX(($C$5:$C$2484=$C786)*($D$5:$D$2484=$D786)*($S$5:$S$2484=1)*IFERROR($N$5:$N$2484*1,0)))),4),0)))</f>
        <v/>
      </c>
      <c r="P786" s="48" t="inlineStr">
        <is>
          <t>coeff.</t>
        </is>
      </c>
      <c r="Q786" s="57">
        <f>IF($A786="","",$A786&amp;"|"&amp;$C786)</f>
        <v/>
      </c>
      <c r="R786" s="57">
        <f>IF($A786="","",$A786&amp;"|"&amp;$C786&amp;"|"&amp;$D786)</f>
        <v/>
      </c>
      <c r="S786" s="57">
        <f>IF($A786="","",IFERROR(INDEX(Offerte!$D$2:$D$81,MATCH($Q786,Offerte!$L$2:$L$81,0)),0))</f>
        <v/>
      </c>
      <c r="T786" s="57">
        <f>IF($A786="","",IFERROR(INDEX(Offerte!$G$2:$G$81,MATCH($Q786,Offerte!$L$2:$L$81,0)),"NO"))</f>
        <v/>
      </c>
    </row>
    <row r="787">
      <c r="A787" s="48">
        <f>IF(Offerte!$A27="","",Offerte!$A27)</f>
        <v/>
      </c>
      <c r="B787" s="48">
        <f>IF(Offerte!$A27="","",Offerte!$B27)</f>
        <v/>
      </c>
      <c r="C787" s="48">
        <f>IF(Offerte!$A27="","",Offerte!$C27)</f>
        <v/>
      </c>
      <c r="D787" s="48" t="inlineStr">
        <is>
          <t>C.1.1</t>
        </is>
      </c>
      <c r="E787" s="48" t="inlineStr">
        <is>
          <t>C</t>
        </is>
      </c>
      <c r="F787" s="48" t="inlineStr">
        <is>
          <t>Q</t>
        </is>
      </c>
      <c r="G787" s="48" t="inlineStr">
        <is>
          <t>higher</t>
        </is>
      </c>
      <c r="H787" s="48" t="n">
        <v>2</v>
      </c>
      <c r="I787" s="48" t="inlineStr">
        <is>
          <t>Tasso di copertura del servizio con telecamere BSD</t>
        </is>
      </c>
      <c r="J787" s="73" t="n"/>
      <c r="K787" s="73" t="n"/>
      <c r="L787" s="73" t="n"/>
      <c r="M787" s="73" t="n"/>
      <c r="N787" s="57">
        <f>IF($A787="","",IFERROR(VALUE($K787)/VALUE($L787),IFERROR(VALUE($J787),0)))</f>
        <v/>
      </c>
      <c r="O787" s="57">
        <f>IF($A787="",0,IF(OR($S787&lt;&gt;1,COUNTA($J787:$M787)=0),0,IF(SUMPRODUCT(MAX(($C$5:$C$2484=$C787)*($D$5:$D$2484=$D787)*($S$5:$S$2484=1)*IFERROR($N$5:$N$2484*1,0)))&gt;0,ROUND($H787*($N787/SUMPRODUCT(MAX(($C$5:$C$2484=$C787)*($D$5:$D$2484=$D787)*($S$5:$S$2484=1)*IFERROR($N$5:$N$2484*1,0)))),4),0)))</f>
        <v/>
      </c>
      <c r="P787" s="48" t="inlineStr">
        <is>
          <t>Autobus attrezzati con telecamere BSD / Autobus totali in offerta, incluse scorte</t>
        </is>
      </c>
      <c r="Q787" s="57">
        <f>IF($A787="","",$A787&amp;"|"&amp;$C787)</f>
        <v/>
      </c>
      <c r="R787" s="57">
        <f>IF($A787="","",$A787&amp;"|"&amp;$C787&amp;"|"&amp;$D787)</f>
        <v/>
      </c>
      <c r="S787" s="57">
        <f>IF($A787="","",IFERROR(INDEX(Offerte!$D$2:$D$81,MATCH($Q787,Offerte!$L$2:$L$81,0)),0))</f>
        <v/>
      </c>
      <c r="T787" s="57">
        <f>IF($A787="","",IFERROR(INDEX(Offerte!$G$2:$G$81,MATCH($Q787,Offerte!$L$2:$L$81,0)),"NO"))</f>
        <v/>
      </c>
    </row>
    <row r="788">
      <c r="A788" s="48">
        <f>IF(Offerte!$A27="","",Offerte!$A27)</f>
        <v/>
      </c>
      <c r="B788" s="48">
        <f>IF(Offerte!$A27="","",Offerte!$B27)</f>
        <v/>
      </c>
      <c r="C788" s="48">
        <f>IF(Offerte!$A27="","",Offerte!$C27)</f>
        <v/>
      </c>
      <c r="D788" s="48" t="inlineStr">
        <is>
          <t>C.1.2</t>
        </is>
      </c>
      <c r="E788" s="48" t="inlineStr">
        <is>
          <t>C</t>
        </is>
      </c>
      <c r="F788" s="48" t="inlineStr">
        <is>
          <t>Q</t>
        </is>
      </c>
      <c r="G788" s="48" t="inlineStr">
        <is>
          <t>higher</t>
        </is>
      </c>
      <c r="H788" s="48" t="n">
        <v>2</v>
      </c>
      <c r="I788" s="48" t="inlineStr">
        <is>
          <t>Tasso di copertura del servizio con telecamere ADAS</t>
        </is>
      </c>
      <c r="J788" s="73" t="n"/>
      <c r="K788" s="73" t="n"/>
      <c r="L788" s="73" t="n"/>
      <c r="M788" s="73" t="n"/>
      <c r="N788" s="57">
        <f>IF($A788="","",IFERROR(VALUE($K788)/VALUE($L788),IFERROR(VALUE($J788),0)))</f>
        <v/>
      </c>
      <c r="O788" s="57">
        <f>IF($A788="",0,IF(OR($S788&lt;&gt;1,COUNTA($J788:$M788)=0),0,IF(SUMPRODUCT(MAX(($C$5:$C$2484=$C788)*($D$5:$D$2484=$D788)*($S$5:$S$2484=1)*IFERROR($N$5:$N$2484*1,0)))&gt;0,ROUND($H788*($N788/SUMPRODUCT(MAX(($C$5:$C$2484=$C788)*($D$5:$D$2484=$D788)*($S$5:$S$2484=1)*IFERROR($N$5:$N$2484*1,0)))),4),0)))</f>
        <v/>
      </c>
      <c r="P788" s="48" t="inlineStr">
        <is>
          <t>Autobus attrezzati con telecamere ADAS / Autobus totali in offerta, incluse scorte</t>
        </is>
      </c>
      <c r="Q788" s="57">
        <f>IF($A788="","",$A788&amp;"|"&amp;$C788)</f>
        <v/>
      </c>
      <c r="R788" s="57">
        <f>IF($A788="","",$A788&amp;"|"&amp;$C788&amp;"|"&amp;$D788)</f>
        <v/>
      </c>
      <c r="S788" s="57">
        <f>IF($A788="","",IFERROR(INDEX(Offerte!$D$2:$D$81,MATCH($Q788,Offerte!$L$2:$L$81,0)),0))</f>
        <v/>
      </c>
      <c r="T788" s="57">
        <f>IF($A788="","",IFERROR(INDEX(Offerte!$G$2:$G$81,MATCH($Q788,Offerte!$L$2:$L$81,0)),"NO"))</f>
        <v/>
      </c>
    </row>
    <row r="789">
      <c r="A789" s="48">
        <f>IF(Offerte!$A27="","",Offerte!$A27)</f>
        <v/>
      </c>
      <c r="B789" s="48">
        <f>IF(Offerte!$A27="","",Offerte!$B27)</f>
        <v/>
      </c>
      <c r="C789" s="48">
        <f>IF(Offerte!$A27="","",Offerte!$C27)</f>
        <v/>
      </c>
      <c r="D789" s="48" t="inlineStr">
        <is>
          <t>C.2.1</t>
        </is>
      </c>
      <c r="E789" s="48" t="inlineStr">
        <is>
          <t>C</t>
        </is>
      </c>
      <c r="F789" s="48" t="inlineStr">
        <is>
          <t>Q</t>
        </is>
      </c>
      <c r="G789" s="48" t="inlineStr">
        <is>
          <t>higher</t>
        </is>
      </c>
      <c r="H789" s="48" t="n">
        <v>3</v>
      </c>
      <c r="I789" s="48" t="inlineStr">
        <is>
          <t>Tasso di copertura del servizio con telecamere di bordo di videosorveglianza</t>
        </is>
      </c>
      <c r="J789" s="73" t="n"/>
      <c r="K789" s="73" t="n"/>
      <c r="L789" s="73" t="n"/>
      <c r="M789" s="73" t="n"/>
      <c r="N789" s="57">
        <f>IF($A789="","",IFERROR(VALUE($K789)/VALUE($L789),IFERROR(VALUE($J789),0)))</f>
        <v/>
      </c>
      <c r="O789" s="57">
        <f>IF($A789="",0,IF(OR($S789&lt;&gt;1,COUNTA($J789:$M789)=0),0,IF(SUMPRODUCT(MAX(($C$5:$C$2484=$C789)*($D$5:$D$2484=$D789)*($S$5:$S$2484=1)*IFERROR($N$5:$N$2484*1,0)))&gt;0,ROUND($H789*($N789/SUMPRODUCT(MAX(($C$5:$C$2484=$C789)*($D$5:$D$2484=$D789)*($S$5:$S$2484=1)*IFERROR($N$5:$N$2484*1,0)))),4),0)))</f>
        <v/>
      </c>
      <c r="P789" s="48" t="inlineStr">
        <is>
          <t>Autobus attrezzati con videosorveglianza / Autobus totali in offerta, incluse scorte</t>
        </is>
      </c>
      <c r="Q789" s="57">
        <f>IF($A789="","",$A789&amp;"|"&amp;$C789)</f>
        <v/>
      </c>
      <c r="R789" s="57">
        <f>IF($A789="","",$A789&amp;"|"&amp;$C789&amp;"|"&amp;$D789)</f>
        <v/>
      </c>
      <c r="S789" s="57">
        <f>IF($A789="","",IFERROR(INDEX(Offerte!$D$2:$D$81,MATCH($Q789,Offerte!$L$2:$L$81,0)),0))</f>
        <v/>
      </c>
      <c r="T789" s="57">
        <f>IF($A789="","",IFERROR(INDEX(Offerte!$G$2:$G$81,MATCH($Q789,Offerte!$L$2:$L$81,0)),"NO"))</f>
        <v/>
      </c>
    </row>
    <row r="790">
      <c r="A790" s="48">
        <f>IF(Offerte!$A27="","",Offerte!$A27)</f>
        <v/>
      </c>
      <c r="B790" s="48">
        <f>IF(Offerte!$A27="","",Offerte!$B27)</f>
        <v/>
      </c>
      <c r="C790" s="48">
        <f>IF(Offerte!$A27="","",Offerte!$C27)</f>
        <v/>
      </c>
      <c r="D790" s="48" t="inlineStr">
        <is>
          <t>C.2.2</t>
        </is>
      </c>
      <c r="E790" s="48" t="inlineStr">
        <is>
          <t>C</t>
        </is>
      </c>
      <c r="F790" s="48" t="inlineStr">
        <is>
          <t>T</t>
        </is>
      </c>
      <c r="G790" s="48" t="inlineStr">
        <is>
          <t>tabular</t>
        </is>
      </c>
      <c r="H790" s="48" t="n">
        <v>1</v>
      </c>
      <c r="I790" s="48" t="inlineStr">
        <is>
          <t>Software video/audio analisi per situazioni di pericolo</t>
        </is>
      </c>
      <c r="J790" s="73" t="n"/>
      <c r="K790" s="73" t="n"/>
      <c r="L790" s="73" t="n"/>
      <c r="M790" s="73" t="n"/>
      <c r="N790" s="57">
        <f>IF($A790="","",IF(IFERROR(VALUE($M790),0)=1,1,0))</f>
        <v/>
      </c>
      <c r="O790" s="57">
        <f>IF($A790="",0,IF(OR($S790&lt;&gt;1,COUNTA($J790:$M790)=0),0,IF($N790=1,$H790,0)))</f>
        <v/>
      </c>
      <c r="P790" s="48" t="inlineStr">
        <is>
          <t>sì/no</t>
        </is>
      </c>
      <c r="Q790" s="57">
        <f>IF($A790="","",$A790&amp;"|"&amp;$C790)</f>
        <v/>
      </c>
      <c r="R790" s="57">
        <f>IF($A790="","",$A790&amp;"|"&amp;$C790&amp;"|"&amp;$D790)</f>
        <v/>
      </c>
      <c r="S790" s="57">
        <f>IF($A790="","",IFERROR(INDEX(Offerte!$D$2:$D$81,MATCH($Q790,Offerte!$L$2:$L$81,0)),0))</f>
        <v/>
      </c>
      <c r="T790" s="57">
        <f>IF($A790="","",IFERROR(INDEX(Offerte!$G$2:$G$81,MATCH($Q790,Offerte!$L$2:$L$81,0)),"NO"))</f>
        <v/>
      </c>
    </row>
    <row r="791">
      <c r="A791" s="48">
        <f>IF(Offerte!$A27="","",Offerte!$A27)</f>
        <v/>
      </c>
      <c r="B791" s="48">
        <f>IF(Offerte!$A27="","",Offerte!$B27)</f>
        <v/>
      </c>
      <c r="C791" s="48">
        <f>IF(Offerte!$A27="","",Offerte!$C27)</f>
        <v/>
      </c>
      <c r="D791" s="48" t="inlineStr">
        <is>
          <t>C.2.3</t>
        </is>
      </c>
      <c r="E791" s="48" t="inlineStr">
        <is>
          <t>C</t>
        </is>
      </c>
      <c r="F791" s="48" t="inlineStr">
        <is>
          <t>T</t>
        </is>
      </c>
      <c r="G791" s="48" t="inlineStr">
        <is>
          <t>tabular</t>
        </is>
      </c>
      <c r="H791" s="48" t="n">
        <v>1</v>
      </c>
      <c r="I791" s="48" t="inlineStr">
        <is>
          <t>Collegamento con centrale qualificata di pronto intervento</t>
        </is>
      </c>
      <c r="J791" s="73" t="n"/>
      <c r="K791" s="73" t="n"/>
      <c r="L791" s="73" t="n"/>
      <c r="M791" s="73" t="n"/>
      <c r="N791" s="57">
        <f>IF($A791="","",IF(IFERROR(VALUE($M791),0)=1,1,0))</f>
        <v/>
      </c>
      <c r="O791" s="57">
        <f>IF($A791="",0,IF(OR($S791&lt;&gt;1,COUNTA($J791:$M791)=0),0,IF($N791=1,$H791,0)))</f>
        <v/>
      </c>
      <c r="P791" s="48" t="inlineStr">
        <is>
          <t>sì/no</t>
        </is>
      </c>
      <c r="Q791" s="57">
        <f>IF($A791="","",$A791&amp;"|"&amp;$C791)</f>
        <v/>
      </c>
      <c r="R791" s="57">
        <f>IF($A791="","",$A791&amp;"|"&amp;$C791&amp;"|"&amp;$D791)</f>
        <v/>
      </c>
      <c r="S791" s="57">
        <f>IF($A791="","",IFERROR(INDEX(Offerte!$D$2:$D$81,MATCH($Q791,Offerte!$L$2:$L$81,0)),0))</f>
        <v/>
      </c>
      <c r="T791" s="57">
        <f>IF($A791="","",IFERROR(INDEX(Offerte!$G$2:$G$81,MATCH($Q791,Offerte!$L$2:$L$81,0)),"NO"))</f>
        <v/>
      </c>
    </row>
    <row r="792">
      <c r="A792" s="48">
        <f>IF(Offerte!$A27="","",Offerte!$A27)</f>
        <v/>
      </c>
      <c r="B792" s="48">
        <f>IF(Offerte!$A27="","",Offerte!$B27)</f>
        <v/>
      </c>
      <c r="C792" s="48">
        <f>IF(Offerte!$A27="","",Offerte!$C27)</f>
        <v/>
      </c>
      <c r="D792" s="48" t="inlineStr">
        <is>
          <t>C.2.4</t>
        </is>
      </c>
      <c r="E792" s="48" t="inlineStr">
        <is>
          <t>C</t>
        </is>
      </c>
      <c r="F792" s="48" t="inlineStr">
        <is>
          <t>Q</t>
        </is>
      </c>
      <c r="G792" s="48" t="inlineStr">
        <is>
          <t>higher</t>
        </is>
      </c>
      <c r="H792" s="48" t="n">
        <v>1</v>
      </c>
      <c r="I792" s="48" t="inlineStr">
        <is>
          <t>Tasso di copertura del servizio con dispositivi per la chiamata di emergenza del conducente</t>
        </is>
      </c>
      <c r="J792" s="73" t="n"/>
      <c r="K792" s="73" t="n"/>
      <c r="L792" s="73" t="n"/>
      <c r="M792" s="73" t="n"/>
      <c r="N792" s="57">
        <f>IF($A792="","",IFERROR(VALUE($K792)/VALUE($L792),IFERROR(VALUE($J792),0)))</f>
        <v/>
      </c>
      <c r="O792" s="57">
        <f>IF($A792="",0,IF(OR($S792&lt;&gt;1,COUNTA($J792:$M792)=0),0,IF(SUMPRODUCT(MAX(($C$5:$C$2484=$C792)*($D$5:$D$2484=$D792)*($S$5:$S$2484=1)*IFERROR($N$5:$N$2484*1,0)))&gt;0,ROUND($H792*($N792/SUMPRODUCT(MAX(($C$5:$C$2484=$C792)*($D$5:$D$2484=$D792)*($S$5:$S$2484=1)*IFERROR($N$5:$N$2484*1,0)))),4),0)))</f>
        <v/>
      </c>
      <c r="P792" s="48" t="inlineStr">
        <is>
          <t>Autobus attrezzati con chiamata di emergenza / Autobus totali in offerta, incluse scorte</t>
        </is>
      </c>
      <c r="Q792" s="57">
        <f>IF($A792="","",$A792&amp;"|"&amp;$C792)</f>
        <v/>
      </c>
      <c r="R792" s="57">
        <f>IF($A792="","",$A792&amp;"|"&amp;$C792&amp;"|"&amp;$D792)</f>
        <v/>
      </c>
      <c r="S792" s="57">
        <f>IF($A792="","",IFERROR(INDEX(Offerte!$D$2:$D$81,MATCH($Q792,Offerte!$L$2:$L$81,0)),0))</f>
        <v/>
      </c>
      <c r="T792" s="57">
        <f>IF($A792="","",IFERROR(INDEX(Offerte!$G$2:$G$81,MATCH($Q792,Offerte!$L$2:$L$81,0)),"NO"))</f>
        <v/>
      </c>
    </row>
    <row r="793">
      <c r="A793" s="48">
        <f>IF(Offerte!$A27="","",Offerte!$A27)</f>
        <v/>
      </c>
      <c r="B793" s="48">
        <f>IF(Offerte!$A27="","",Offerte!$B27)</f>
        <v/>
      </c>
      <c r="C793" s="48">
        <f>IF(Offerte!$A27="","",Offerte!$C27)</f>
        <v/>
      </c>
      <c r="D793" s="48" t="inlineStr">
        <is>
          <t>C.3.1</t>
        </is>
      </c>
      <c r="E793" s="48" t="inlineStr">
        <is>
          <t>C</t>
        </is>
      </c>
      <c r="F793" s="48" t="inlineStr">
        <is>
          <t>Q</t>
        </is>
      </c>
      <c r="G793" s="48" t="inlineStr">
        <is>
          <t>higher</t>
        </is>
      </c>
      <c r="H793" s="48" t="n">
        <v>2</v>
      </c>
      <c r="I793" s="48" t="inlineStr">
        <is>
          <t>Tasso di copertura del servizio con dispositivi di informazione dinamica a bordo mezzo</t>
        </is>
      </c>
      <c r="J793" s="73" t="n"/>
      <c r="K793" s="73" t="n"/>
      <c r="L793" s="73" t="n"/>
      <c r="M793" s="73" t="n"/>
      <c r="N793" s="57">
        <f>IF($A793="","",IFERROR(VALUE($K793)/VALUE($L793),IFERROR(VALUE($J793),0)))</f>
        <v/>
      </c>
      <c r="O793" s="57">
        <f>IF($A793="",0,IF(OR($S793&lt;&gt;1,COUNTA($J793:$M793)=0),0,IF(SUMPRODUCT(MAX(($C$5:$C$2484=$C793)*($D$5:$D$2484=$D793)*($S$5:$S$2484=1)*IFERROR($N$5:$N$2484*1,0)))&gt;0,ROUND($H793*($N793/SUMPRODUCT(MAX(($C$5:$C$2484=$C793)*($D$5:$D$2484=$D793)*($S$5:$S$2484=1)*IFERROR($N$5:$N$2484*1,0)))),4),0)))</f>
        <v/>
      </c>
      <c r="P793" s="48" t="inlineStr">
        <is>
          <t>Autobus con monitor e indicatori vocali / Autobus totali in offerta, incluse scorte</t>
        </is>
      </c>
      <c r="Q793" s="57">
        <f>IF($A793="","",$A793&amp;"|"&amp;$C793)</f>
        <v/>
      </c>
      <c r="R793" s="57">
        <f>IF($A793="","",$A793&amp;"|"&amp;$C793&amp;"|"&amp;$D793)</f>
        <v/>
      </c>
      <c r="S793" s="57">
        <f>IF($A793="","",IFERROR(INDEX(Offerte!$D$2:$D$81,MATCH($Q793,Offerte!$L$2:$L$81,0)),0))</f>
        <v/>
      </c>
      <c r="T793" s="57">
        <f>IF($A793="","",IFERROR(INDEX(Offerte!$G$2:$G$81,MATCH($Q793,Offerte!$L$2:$L$81,0)),"NO"))</f>
        <v/>
      </c>
    </row>
    <row r="794">
      <c r="A794" s="48">
        <f>IF(Offerte!$A27="","",Offerte!$A27)</f>
        <v/>
      </c>
      <c r="B794" s="48">
        <f>IF(Offerte!$A27="","",Offerte!$B27)</f>
        <v/>
      </c>
      <c r="C794" s="48">
        <f>IF(Offerte!$A27="","",Offerte!$C27)</f>
        <v/>
      </c>
      <c r="D794" s="48" t="inlineStr">
        <is>
          <t>C.3.2</t>
        </is>
      </c>
      <c r="E794" s="48" t="inlineStr">
        <is>
          <t>C</t>
        </is>
      </c>
      <c r="F794" s="48" t="inlineStr">
        <is>
          <t>T</t>
        </is>
      </c>
      <c r="G794" s="48" t="inlineStr">
        <is>
          <t>tabular</t>
        </is>
      </c>
      <c r="H794" s="48" t="n">
        <v>2</v>
      </c>
      <c r="I794" s="48" t="inlineStr">
        <is>
          <t>Informazioni a bordo su coincidenze ai nodi</t>
        </is>
      </c>
      <c r="J794" s="73" t="n"/>
      <c r="K794" s="73" t="n"/>
      <c r="L794" s="73" t="n"/>
      <c r="M794" s="73" t="n"/>
      <c r="N794" s="57">
        <f>IF($A794="","",IF(IFERROR(VALUE($M794),0)=1,1,0))</f>
        <v/>
      </c>
      <c r="O794" s="57">
        <f>IF($A794="",0,IF(OR($S794&lt;&gt;1,COUNTA($J794:$M794)=0),0,IF(AND($N794=1,IFERROR(SUMIFS($N$5:$N$2484,$Q$5:$Q$2484,$Q794,$D$5:$D$2484,"C.3.1"),0)&gt;=0.5),$H794,0)))</f>
        <v/>
      </c>
      <c r="P794" s="48" t="inlineStr">
        <is>
          <t>Dipende da C.3.1 &gt;= 0.5</t>
        </is>
      </c>
      <c r="Q794" s="57">
        <f>IF($A794="","",$A794&amp;"|"&amp;$C794)</f>
        <v/>
      </c>
      <c r="R794" s="57">
        <f>IF($A794="","",$A794&amp;"|"&amp;$C794&amp;"|"&amp;$D794)</f>
        <v/>
      </c>
      <c r="S794" s="57">
        <f>IF($A794="","",IFERROR(INDEX(Offerte!$D$2:$D$81,MATCH($Q794,Offerte!$L$2:$L$81,0)),0))</f>
        <v/>
      </c>
      <c r="T794" s="57">
        <f>IF($A794="","",IFERROR(INDEX(Offerte!$G$2:$G$81,MATCH($Q794,Offerte!$L$2:$L$81,0)),"NO"))</f>
        <v/>
      </c>
    </row>
    <row r="795">
      <c r="A795" s="48">
        <f>IF(Offerte!$A27="","",Offerte!$A27)</f>
        <v/>
      </c>
      <c r="B795" s="48">
        <f>IF(Offerte!$A27="","",Offerte!$B27)</f>
        <v/>
      </c>
      <c r="C795" s="48">
        <f>IF(Offerte!$A27="","",Offerte!$C27)</f>
        <v/>
      </c>
      <c r="D795" s="48" t="inlineStr">
        <is>
          <t>D.1.1</t>
        </is>
      </c>
      <c r="E795" s="48" t="inlineStr">
        <is>
          <t>D</t>
        </is>
      </c>
      <c r="F795" s="48" t="inlineStr">
        <is>
          <t>Q</t>
        </is>
      </c>
      <c r="G795" s="48" t="inlineStr">
        <is>
          <t>higher</t>
        </is>
      </c>
      <c r="H795" s="48" t="n">
        <v>3</v>
      </c>
      <c r="I795" s="48" t="inlineStr">
        <is>
          <t>Installazione di pensiline</t>
        </is>
      </c>
      <c r="J795" s="73" t="n"/>
      <c r="K795" s="73" t="n"/>
      <c r="L795" s="73" t="n"/>
      <c r="M795" s="73" t="n"/>
      <c r="N795" s="57">
        <f>IF($A795="","",IFERROR(VALUE($J795),0))</f>
        <v/>
      </c>
      <c r="O795" s="57">
        <f>IF($A795="",0,IF(OR($S795&lt;&gt;1,COUNTA($J795:$M795)=0),0,IF(SUMPRODUCT(MAX(($C$5:$C$2484=$C795)*($D$5:$D$2484=$D795)*($S$5:$S$2484=1)*IFERROR($N$5:$N$2484*1,0)))&gt;0,ROUND($H795*($N795/SUMPRODUCT(MAX(($C$5:$C$2484=$C795)*($D$5:$D$2484=$D795)*($S$5:$S$2484=1)*IFERROR($N$5:$N$2484*1,0)))),4),0)))</f>
        <v/>
      </c>
      <c r="P795" s="48" t="inlineStr">
        <is>
          <t>fermate</t>
        </is>
      </c>
      <c r="Q795" s="57">
        <f>IF($A795="","",$A795&amp;"|"&amp;$C795)</f>
        <v/>
      </c>
      <c r="R795" s="57">
        <f>IF($A795="","",$A795&amp;"|"&amp;$C795&amp;"|"&amp;$D795)</f>
        <v/>
      </c>
      <c r="S795" s="57">
        <f>IF($A795="","",IFERROR(INDEX(Offerte!$D$2:$D$81,MATCH($Q795,Offerte!$L$2:$L$81,0)),0))</f>
        <v/>
      </c>
      <c r="T795" s="57">
        <f>IF($A795="","",IFERROR(INDEX(Offerte!$G$2:$G$81,MATCH($Q795,Offerte!$L$2:$L$81,0)),"NO"))</f>
        <v/>
      </c>
    </row>
    <row r="796">
      <c r="A796" s="48">
        <f>IF(Offerte!$A27="","",Offerte!$A27)</f>
        <v/>
      </c>
      <c r="B796" s="48">
        <f>IF(Offerte!$A27="","",Offerte!$B27)</f>
        <v/>
      </c>
      <c r="C796" s="48">
        <f>IF(Offerte!$A27="","",Offerte!$C27)</f>
        <v/>
      </c>
      <c r="D796" s="48" t="inlineStr">
        <is>
          <t>D.1.2</t>
        </is>
      </c>
      <c r="E796" s="48" t="inlineStr">
        <is>
          <t>D</t>
        </is>
      </c>
      <c r="F796" s="48" t="inlineStr">
        <is>
          <t>Q</t>
        </is>
      </c>
      <c r="G796" s="48" t="inlineStr">
        <is>
          <t>higher</t>
        </is>
      </c>
      <c r="H796" s="48" t="n">
        <v>3</v>
      </c>
      <c r="I796" s="48" t="inlineStr">
        <is>
          <t>Installazione di paline di fermata conformi alla DGR 581/2023</t>
        </is>
      </c>
      <c r="J796" s="73" t="n"/>
      <c r="K796" s="73" t="n"/>
      <c r="L796" s="73" t="n"/>
      <c r="M796" s="73" t="n"/>
      <c r="N796" s="57">
        <f>IF($A796="","",IFERROR(VALUE($J796),0))</f>
        <v/>
      </c>
      <c r="O796" s="57">
        <f>IF($A796="",0,IF(OR($S796&lt;&gt;1,COUNTA($J796:$M796)=0),0,IF(SUMPRODUCT(MAX(($C$5:$C$2484=$C796)*($D$5:$D$2484=$D796)*($S$5:$S$2484=1)*IFERROR($N$5:$N$2484*1,0)))&gt;0,ROUND($H796*($N796/SUMPRODUCT(MAX(($C$5:$C$2484=$C796)*($D$5:$D$2484=$D796)*($S$5:$S$2484=1)*IFERROR($N$5:$N$2484*1,0)))),4),0)))</f>
        <v/>
      </c>
      <c r="P796" s="48" t="inlineStr">
        <is>
          <t>fermate</t>
        </is>
      </c>
      <c r="Q796" s="57">
        <f>IF($A796="","",$A796&amp;"|"&amp;$C796)</f>
        <v/>
      </c>
      <c r="R796" s="57">
        <f>IF($A796="","",$A796&amp;"|"&amp;$C796&amp;"|"&amp;$D796)</f>
        <v/>
      </c>
      <c r="S796" s="57">
        <f>IF($A796="","",IFERROR(INDEX(Offerte!$D$2:$D$81,MATCH($Q796,Offerte!$L$2:$L$81,0)),0))</f>
        <v/>
      </c>
      <c r="T796" s="57">
        <f>IF($A796="","",IFERROR(INDEX(Offerte!$G$2:$G$81,MATCH($Q796,Offerte!$L$2:$L$81,0)),"NO"))</f>
        <v/>
      </c>
    </row>
    <row r="797">
      <c r="A797" s="48">
        <f>IF(Offerte!$A27="","",Offerte!$A27)</f>
        <v/>
      </c>
      <c r="B797" s="48">
        <f>IF(Offerte!$A27="","",Offerte!$B27)</f>
        <v/>
      </c>
      <c r="C797" s="48">
        <f>IF(Offerte!$A27="","",Offerte!$C27)</f>
        <v/>
      </c>
      <c r="D797" s="48" t="inlineStr">
        <is>
          <t>D.1.3</t>
        </is>
      </c>
      <c r="E797" s="48" t="inlineStr">
        <is>
          <t>D</t>
        </is>
      </c>
      <c r="F797" s="48" t="inlineStr">
        <is>
          <t>Q</t>
        </is>
      </c>
      <c r="G797" s="48" t="inlineStr">
        <is>
          <t>higher</t>
        </is>
      </c>
      <c r="H797" s="48" t="n">
        <v>2</v>
      </c>
      <c r="I797" s="48" t="inlineStr">
        <is>
          <t>Display informativi connessi alle fermate</t>
        </is>
      </c>
      <c r="J797" s="73" t="n"/>
      <c r="K797" s="73" t="n"/>
      <c r="L797" s="73" t="n"/>
      <c r="M797" s="73" t="n"/>
      <c r="N797" s="57">
        <f>IF($A797="","",IFERROR(VALUE($J797),0))</f>
        <v/>
      </c>
      <c r="O797" s="57">
        <f>IF($A797="",0,IF(OR($S797&lt;&gt;1,COUNTA($J797:$M797)=0),0,IF(SUMPRODUCT(MAX(($C$5:$C$2484=$C797)*($D$5:$D$2484=$D797)*($S$5:$S$2484=1)*IFERROR($N$5:$N$2484*1,0)))&gt;0,ROUND($H797*($N797/SUMPRODUCT(MAX(($C$5:$C$2484=$C797)*($D$5:$D$2484=$D797)*($S$5:$S$2484=1)*IFERROR($N$5:$N$2484*1,0)))),4),0)))</f>
        <v/>
      </c>
      <c r="P797" s="48" t="inlineStr">
        <is>
          <t>fermate</t>
        </is>
      </c>
      <c r="Q797" s="57">
        <f>IF($A797="","",$A797&amp;"|"&amp;$C797)</f>
        <v/>
      </c>
      <c r="R797" s="57">
        <f>IF($A797="","",$A797&amp;"|"&amp;$C797&amp;"|"&amp;$D797)</f>
        <v/>
      </c>
      <c r="S797" s="57">
        <f>IF($A797="","",IFERROR(INDEX(Offerte!$D$2:$D$81,MATCH($Q797,Offerte!$L$2:$L$81,0)),0))</f>
        <v/>
      </c>
      <c r="T797" s="57">
        <f>IF($A797="","",IFERROR(INDEX(Offerte!$G$2:$G$81,MATCH($Q797,Offerte!$L$2:$L$81,0)),"NO"))</f>
        <v/>
      </c>
    </row>
    <row r="798">
      <c r="A798" s="48">
        <f>IF(Offerte!$A27="","",Offerte!$A27)</f>
        <v/>
      </c>
      <c r="B798" s="48">
        <f>IF(Offerte!$A27="","",Offerte!$B27)</f>
        <v/>
      </c>
      <c r="C798" s="48">
        <f>IF(Offerte!$A27="","",Offerte!$C27)</f>
        <v/>
      </c>
      <c r="D798" s="48" t="inlineStr">
        <is>
          <t>D.2.1</t>
        </is>
      </c>
      <c r="E798" s="48" t="inlineStr">
        <is>
          <t>D</t>
        </is>
      </c>
      <c r="F798" s="48" t="inlineStr">
        <is>
          <t>Q</t>
        </is>
      </c>
      <c r="G798" s="48" t="inlineStr">
        <is>
          <t>higher</t>
        </is>
      </c>
      <c r="H798" s="48" t="n">
        <v>2</v>
      </c>
      <c r="I798" s="48" t="inlineStr">
        <is>
          <t>Segnali tattili Loges-Vet-Evolution</t>
        </is>
      </c>
      <c r="J798" s="73" t="n"/>
      <c r="K798" s="73" t="n"/>
      <c r="L798" s="73" t="n"/>
      <c r="M798" s="73" t="n"/>
      <c r="N798" s="57">
        <f>IF($A798="","",IFERROR(VALUE($J798),0))</f>
        <v/>
      </c>
      <c r="O798" s="57">
        <f>IF($A798="",0,IF(OR($S798&lt;&gt;1,COUNTA($J798:$M798)=0),0,IF(SUMPRODUCT(MAX(($C$5:$C$2484=$C798)*($D$5:$D$2484=$D798)*($S$5:$S$2484=1)*IFERROR($N$5:$N$2484*1,0)))&gt;0,ROUND($H798*($N798/SUMPRODUCT(MAX(($C$5:$C$2484=$C798)*($D$5:$D$2484=$D798)*($S$5:$S$2484=1)*IFERROR($N$5:$N$2484*1,0)))),4),0)))</f>
        <v/>
      </c>
      <c r="P798" s="48" t="inlineStr">
        <is>
          <t>fermate</t>
        </is>
      </c>
      <c r="Q798" s="57">
        <f>IF($A798="","",$A798&amp;"|"&amp;$C798)</f>
        <v/>
      </c>
      <c r="R798" s="57">
        <f>IF($A798="","",$A798&amp;"|"&amp;$C798&amp;"|"&amp;$D798)</f>
        <v/>
      </c>
      <c r="S798" s="57">
        <f>IF($A798="","",IFERROR(INDEX(Offerte!$D$2:$D$81,MATCH($Q798,Offerte!$L$2:$L$81,0)),0))</f>
        <v/>
      </c>
      <c r="T798" s="57">
        <f>IF($A798="","",IFERROR(INDEX(Offerte!$G$2:$G$81,MATCH($Q798,Offerte!$L$2:$L$81,0)),"NO"))</f>
        <v/>
      </c>
    </row>
    <row r="799">
      <c r="A799" s="48">
        <f>IF(Offerte!$A27="","",Offerte!$A27)</f>
        <v/>
      </c>
      <c r="B799" s="48">
        <f>IF(Offerte!$A27="","",Offerte!$B27)</f>
        <v/>
      </c>
      <c r="C799" s="48">
        <f>IF(Offerte!$A27="","",Offerte!$C27)</f>
        <v/>
      </c>
      <c r="D799" s="48" t="inlineStr">
        <is>
          <t>E.1.1</t>
        </is>
      </c>
      <c r="E799" s="48" t="inlineStr">
        <is>
          <t>E</t>
        </is>
      </c>
      <c r="F799" s="48" t="inlineStr">
        <is>
          <t>T</t>
        </is>
      </c>
      <c r="G799" s="48" t="inlineStr">
        <is>
          <t>tabular</t>
        </is>
      </c>
      <c r="H799" s="48" t="n">
        <v>2</v>
      </c>
      <c r="I799" s="48" t="inlineStr">
        <is>
          <t>Mobile app con travel planner PRM</t>
        </is>
      </c>
      <c r="J799" s="73" t="n"/>
      <c r="K799" s="73" t="n"/>
      <c r="L799" s="73" t="n"/>
      <c r="M799" s="73" t="n"/>
      <c r="N799" s="57">
        <f>IF($A799="","",IF(IFERROR(VALUE($M799),0)=1,1,0))</f>
        <v/>
      </c>
      <c r="O799" s="57">
        <f>IF($A799="",0,IF(OR($S799&lt;&gt;1,COUNTA($J799:$M799)=0),0,IF($N799=1,$H799,0)))</f>
        <v/>
      </c>
      <c r="P799" s="48" t="inlineStr">
        <is>
          <t>sì/no</t>
        </is>
      </c>
      <c r="Q799" s="57">
        <f>IF($A799="","",$A799&amp;"|"&amp;$C799)</f>
        <v/>
      </c>
      <c r="R799" s="57">
        <f>IF($A799="","",$A799&amp;"|"&amp;$C799&amp;"|"&amp;$D799)</f>
        <v/>
      </c>
      <c r="S799" s="57">
        <f>IF($A799="","",IFERROR(INDEX(Offerte!$D$2:$D$81,MATCH($Q799,Offerte!$L$2:$L$81,0)),0))</f>
        <v/>
      </c>
      <c r="T799" s="57">
        <f>IF($A799="","",IFERROR(INDEX(Offerte!$G$2:$G$81,MATCH($Q799,Offerte!$L$2:$L$81,0)),"NO"))</f>
        <v/>
      </c>
    </row>
    <row r="800">
      <c r="A800" s="48">
        <f>IF(Offerte!$A27="","",Offerte!$A27)</f>
        <v/>
      </c>
      <c r="B800" s="48">
        <f>IF(Offerte!$A27="","",Offerte!$B27)</f>
        <v/>
      </c>
      <c r="C800" s="48">
        <f>IF(Offerte!$A27="","",Offerte!$C27)</f>
        <v/>
      </c>
      <c r="D800" s="48" t="inlineStr">
        <is>
          <t>E.2.1</t>
        </is>
      </c>
      <c r="E800" s="48" t="inlineStr">
        <is>
          <t>E</t>
        </is>
      </c>
      <c r="F800" s="48" t="inlineStr">
        <is>
          <t>D</t>
        </is>
      </c>
      <c r="G800" s="48" t="inlineStr">
        <is>
          <t>discretionary</t>
        </is>
      </c>
      <c r="H800" s="48" t="n">
        <v>2</v>
      </c>
      <c r="I800" s="48" t="inlineStr">
        <is>
          <t>Altre azioni informative e rapporti con gli utenti</t>
        </is>
      </c>
      <c r="J800" s="73" t="n"/>
      <c r="K800" s="73" t="n"/>
      <c r="L800" s="73" t="n"/>
      <c r="M800" s="73" t="n"/>
      <c r="N800" s="57">
        <f>IF($A800="","",MAX(0,MIN(1,IFERROR(VALUE($M800),0))))</f>
        <v/>
      </c>
      <c r="O800" s="57">
        <f>IF($A800="",0,IF(OR($S800&lt;&gt;1,COUNTA($J800:$M800)=0),0,IF(SUMPRODUCT(MAX(($C$5:$C$2484=$C800)*($D$5:$D$2484=$D800)*($S$5:$S$2484=1)*IFERROR($N$5:$N$2484*1,0)))&gt;0,ROUND($H800*($N800/SUMPRODUCT(MAX(($C$5:$C$2484=$C800)*($D$5:$D$2484=$D800)*($S$5:$S$2484=1)*IFERROR($N$5:$N$2484*1,0)))),4),0)))</f>
        <v/>
      </c>
      <c r="P800" s="48" t="inlineStr">
        <is>
          <t>coeff.</t>
        </is>
      </c>
      <c r="Q800" s="57">
        <f>IF($A800="","",$A800&amp;"|"&amp;$C800)</f>
        <v/>
      </c>
      <c r="R800" s="57">
        <f>IF($A800="","",$A800&amp;"|"&amp;$C800&amp;"|"&amp;$D800)</f>
        <v/>
      </c>
      <c r="S800" s="57">
        <f>IF($A800="","",IFERROR(INDEX(Offerte!$D$2:$D$81,MATCH($Q800,Offerte!$L$2:$L$81,0)),0))</f>
        <v/>
      </c>
      <c r="T800" s="57">
        <f>IF($A800="","",IFERROR(INDEX(Offerte!$G$2:$G$81,MATCH($Q800,Offerte!$L$2:$L$81,0)),"NO"))</f>
        <v/>
      </c>
    </row>
    <row r="801">
      <c r="A801" s="48">
        <f>IF(Offerte!$A27="","",Offerte!$A27)</f>
        <v/>
      </c>
      <c r="B801" s="48">
        <f>IF(Offerte!$A27="","",Offerte!$B27)</f>
        <v/>
      </c>
      <c r="C801" s="48">
        <f>IF(Offerte!$A27="","",Offerte!$C27)</f>
        <v/>
      </c>
      <c r="D801" s="48" t="inlineStr">
        <is>
          <t>F.1.1</t>
        </is>
      </c>
      <c r="E801" s="48" t="inlineStr">
        <is>
          <t>F</t>
        </is>
      </c>
      <c r="F801" s="48" t="inlineStr">
        <is>
          <t>Q</t>
        </is>
      </c>
      <c r="G801" s="48" t="inlineStr">
        <is>
          <t>lower</t>
        </is>
      </c>
      <c r="H801" s="48" t="n">
        <v>7</v>
      </c>
      <c r="I801" s="48" t="inlineStr">
        <is>
          <t>Performance ambientali del parco mezzi adibito al servizio - I_CEA</t>
        </is>
      </c>
      <c r="J801" s="73" t="n"/>
      <c r="K801" s="73" t="n"/>
      <c r="L801" s="73" t="n"/>
      <c r="M801" s="73" t="n"/>
      <c r="N801" s="57">
        <f>IF($A801="","",IFERROR(VALUE($J801),0))</f>
        <v/>
      </c>
      <c r="O801" s="57">
        <f>IF($A801="",0,IF(OR($S801&lt;&gt;1,COUNTA($J801:$M801)=0),0,IF(AND(IFERROR(AGGREGATE(15,6,$N$5:$N$2484/(($C$5:$C$2484=$C801)*($D$5:$D$2484=$D801)*($S$5:$S$2484=1)*($N$5:$N$2484&gt;0)),1),0)&gt;0,$N801&gt;0),ROUND($H801*(IFERROR(AGGREGATE(15,6,$N$5:$N$2484/(($C$5:$C$2484=$C801)*($D$5:$D$2484=$D801)*($S$5:$S$2484=1)*($N$5:$N$2484&gt;0)),1),0)/$N801),4),0)))</f>
        <v/>
      </c>
      <c r="P801" s="48" t="inlineStr">
        <is>
          <t>indice</t>
        </is>
      </c>
      <c r="Q801" s="57">
        <f>IF($A801="","",$A801&amp;"|"&amp;$C801)</f>
        <v/>
      </c>
      <c r="R801" s="57">
        <f>IF($A801="","",$A801&amp;"|"&amp;$C801&amp;"|"&amp;$D801)</f>
        <v/>
      </c>
      <c r="S801" s="57">
        <f>IF($A801="","",IFERROR(INDEX(Offerte!$D$2:$D$81,MATCH($Q801,Offerte!$L$2:$L$81,0)),0))</f>
        <v/>
      </c>
      <c r="T801" s="57">
        <f>IF($A801="","",IFERROR(INDEX(Offerte!$G$2:$G$81,MATCH($Q801,Offerte!$L$2:$L$81,0)),"NO"))</f>
        <v/>
      </c>
    </row>
    <row r="802">
      <c r="A802" s="48">
        <f>IF(Offerte!$A27="","",Offerte!$A27)</f>
        <v/>
      </c>
      <c r="B802" s="48">
        <f>IF(Offerte!$A27="","",Offerte!$B27)</f>
        <v/>
      </c>
      <c r="C802" s="48">
        <f>IF(Offerte!$A27="","",Offerte!$C27)</f>
        <v/>
      </c>
      <c r="D802" s="48" t="inlineStr">
        <is>
          <t>F.2.1</t>
        </is>
      </c>
      <c r="E802" s="48" t="inlineStr">
        <is>
          <t>F</t>
        </is>
      </c>
      <c r="F802" s="48" t="inlineStr">
        <is>
          <t>Q</t>
        </is>
      </c>
      <c r="G802" s="48" t="inlineStr">
        <is>
          <t>higher</t>
        </is>
      </c>
      <c r="H802" s="48" t="n">
        <v>2</v>
      </c>
      <c r="I802" s="48" t="inlineStr">
        <is>
          <t>Tasso di copertura del servizio con dispositivi ECO-DRIVER</t>
        </is>
      </c>
      <c r="J802" s="73" t="n"/>
      <c r="K802" s="73" t="n"/>
      <c r="L802" s="73" t="n"/>
      <c r="M802" s="73" t="n"/>
      <c r="N802" s="57">
        <f>IF($A802="","",IFERROR(VALUE($K802)/VALUE($L802),IFERROR(VALUE($J802),0)))</f>
        <v/>
      </c>
      <c r="O802" s="57">
        <f>IF($A802="",0,IF(OR($S802&lt;&gt;1,COUNTA($J802:$M802)=0),0,IF(SUMPRODUCT(MAX(($C$5:$C$2484=$C802)*($D$5:$D$2484=$D802)*($S$5:$S$2484=1)*IFERROR($N$5:$N$2484*1,0)))&gt;0,ROUND($H802*($N802/SUMPRODUCT(MAX(($C$5:$C$2484=$C802)*($D$5:$D$2484=$D802)*($S$5:$S$2484=1)*IFERROR($N$5:$N$2484*1,0)))),4),0)))</f>
        <v/>
      </c>
      <c r="P802" s="48" t="inlineStr">
        <is>
          <t>Autobus attrezzati con dispositivi ECO-DRIVER / Autobus totali in offerta, incluse scorte</t>
        </is>
      </c>
      <c r="Q802" s="57">
        <f>IF($A802="","",$A802&amp;"|"&amp;$C802)</f>
        <v/>
      </c>
      <c r="R802" s="57">
        <f>IF($A802="","",$A802&amp;"|"&amp;$C802&amp;"|"&amp;$D802)</f>
        <v/>
      </c>
      <c r="S802" s="57">
        <f>IF($A802="","",IFERROR(INDEX(Offerte!$D$2:$D$81,MATCH($Q802,Offerte!$L$2:$L$81,0)),0))</f>
        <v/>
      </c>
      <c r="T802" s="57">
        <f>IF($A802="","",IFERROR(INDEX(Offerte!$G$2:$G$81,MATCH($Q802,Offerte!$L$2:$L$81,0)),"NO"))</f>
        <v/>
      </c>
    </row>
    <row r="803">
      <c r="A803" s="48">
        <f>IF(Offerte!$A27="","",Offerte!$A27)</f>
        <v/>
      </c>
      <c r="B803" s="48">
        <f>IF(Offerte!$A27="","",Offerte!$B27)</f>
        <v/>
      </c>
      <c r="C803" s="48">
        <f>IF(Offerte!$A27="","",Offerte!$C27)</f>
        <v/>
      </c>
      <c r="D803" s="48" t="inlineStr">
        <is>
          <t>F.3.1</t>
        </is>
      </c>
      <c r="E803" s="48" t="inlineStr">
        <is>
          <t>F</t>
        </is>
      </c>
      <c r="F803" s="48" t="inlineStr">
        <is>
          <t>Q</t>
        </is>
      </c>
      <c r="G803" s="48" t="inlineStr">
        <is>
          <t>higher</t>
        </is>
      </c>
      <c r="H803" s="48" t="n">
        <v>2</v>
      </c>
      <c r="I803" s="48" t="inlineStr">
        <is>
          <t>Autoproduzione consumi elettrici per trazione</t>
        </is>
      </c>
      <c r="J803" s="73" t="n"/>
      <c r="K803" s="73" t="n"/>
      <c r="L803" s="73" t="n"/>
      <c r="M803" s="73" t="n"/>
      <c r="N803" s="57">
        <f>IF($A803="","",IFERROR(VALUE($J803),0))</f>
        <v/>
      </c>
      <c r="O803" s="57">
        <f>IF($A803="",0,IF(OR($S803&lt;&gt;1,COUNTA($J803:$M803)=0),0,IF(SUMPRODUCT(MAX(($C$5:$C$2484=$C803)*($D$5:$D$2484=$D803)*($S$5:$S$2484=1)*IFERROR($N$5:$N$2484*1,0)))&gt;0,ROUND($H803*($N803/SUMPRODUCT(MAX(($C$5:$C$2484=$C803)*($D$5:$D$2484=$D803)*($S$5:$S$2484=1)*IFERROR($N$5:$N$2484*1,0)))),4),0)))</f>
        <v/>
      </c>
      <c r="P803" s="48" t="inlineStr">
        <is>
          <t>kWh/anno</t>
        </is>
      </c>
      <c r="Q803" s="57">
        <f>IF($A803="","",$A803&amp;"|"&amp;$C803)</f>
        <v/>
      </c>
      <c r="R803" s="57">
        <f>IF($A803="","",$A803&amp;"|"&amp;$C803&amp;"|"&amp;$D803)</f>
        <v/>
      </c>
      <c r="S803" s="57">
        <f>IF($A803="","",IFERROR(INDEX(Offerte!$D$2:$D$81,MATCH($Q803,Offerte!$L$2:$L$81,0)),0))</f>
        <v/>
      </c>
      <c r="T803" s="57">
        <f>IF($A803="","",IFERROR(INDEX(Offerte!$G$2:$G$81,MATCH($Q803,Offerte!$L$2:$L$81,0)),"NO"))</f>
        <v/>
      </c>
    </row>
    <row r="804">
      <c r="A804" s="48">
        <f>IF(Offerte!$A27="","",Offerte!$A27)</f>
        <v/>
      </c>
      <c r="B804" s="48">
        <f>IF(Offerte!$A27="","",Offerte!$B27)</f>
        <v/>
      </c>
      <c r="C804" s="48">
        <f>IF(Offerte!$A27="","",Offerte!$C27)</f>
        <v/>
      </c>
      <c r="D804" s="48" t="inlineStr">
        <is>
          <t>F.4.1</t>
        </is>
      </c>
      <c r="E804" s="48" t="inlineStr">
        <is>
          <t>F</t>
        </is>
      </c>
      <c r="F804" s="48" t="inlineStr">
        <is>
          <t>Q</t>
        </is>
      </c>
      <c r="G804" s="48" t="inlineStr">
        <is>
          <t>soil</t>
        </is>
      </c>
      <c r="H804" s="48" t="n">
        <v>2</v>
      </c>
      <c r="I804" s="48" t="inlineStr">
        <is>
          <t>Indice di consumo di suolo</t>
        </is>
      </c>
      <c r="J804" s="73" t="n"/>
      <c r="K804" s="73" t="n"/>
      <c r="L804" s="73" t="n"/>
      <c r="M804" s="73" t="n"/>
      <c r="N804" s="57">
        <f>IF($A804="","",IFERROR(VALUE($J804),0))</f>
        <v/>
      </c>
      <c r="O804" s="57">
        <f>IF($A804="",0,IF(OR($S804&lt;&gt;1,COUNTA($J804:$M804)=0),0,IF($N804&lt;=0,$H804,IF(SUMPRODUCT(MAX(($C$5:$C$2484=$C804)*($D$5:$D$2484=$D804)*($S$5:$S$2484=1)*IFERROR($N$5:$N$2484*1,0)))&gt;0,ROUND($H804*((SUMPRODUCT(MAX(($C$5:$C$2484=$C804)*($D$5:$D$2484=$D804)*($S$5:$S$2484=1)*IFERROR($N$5:$N$2484*1,0)))-$N804)/SUMPRODUCT(MAX(($C$5:$C$2484=$C804)*($D$5:$D$2484=$D804)*($S$5:$S$2484=1)*IFERROR($N$5:$N$2484*1,0)))),4),0))))</f>
        <v/>
      </c>
      <c r="P804" s="48" t="inlineStr">
        <is>
          <t>m2</t>
        </is>
      </c>
      <c r="Q804" s="57">
        <f>IF($A804="","",$A804&amp;"|"&amp;$C804)</f>
        <v/>
      </c>
      <c r="R804" s="57">
        <f>IF($A804="","",$A804&amp;"|"&amp;$C804&amp;"|"&amp;$D804)</f>
        <v/>
      </c>
      <c r="S804" s="57">
        <f>IF($A804="","",IFERROR(INDEX(Offerte!$D$2:$D$81,MATCH($Q804,Offerte!$L$2:$L$81,0)),0))</f>
        <v/>
      </c>
      <c r="T804" s="57">
        <f>IF($A804="","",IFERROR(INDEX(Offerte!$G$2:$G$81,MATCH($Q804,Offerte!$L$2:$L$81,0)),"NO"))</f>
        <v/>
      </c>
    </row>
    <row r="805">
      <c r="A805" s="48">
        <f>IF(Offerte!$A27="","",Offerte!$A27)</f>
        <v/>
      </c>
      <c r="B805" s="48">
        <f>IF(Offerte!$A27="","",Offerte!$B27)</f>
        <v/>
      </c>
      <c r="C805" s="48">
        <f>IF(Offerte!$A27="","",Offerte!$C27)</f>
        <v/>
      </c>
      <c r="D805" s="48" t="inlineStr">
        <is>
          <t>F.5.1</t>
        </is>
      </c>
      <c r="E805" s="48" t="inlineStr">
        <is>
          <t>F</t>
        </is>
      </c>
      <c r="F805" s="48" t="inlineStr">
        <is>
          <t>T</t>
        </is>
      </c>
      <c r="G805" s="48" t="inlineStr">
        <is>
          <t>tabular</t>
        </is>
      </c>
      <c r="H805" s="48" t="n">
        <v>1</v>
      </c>
      <c r="I805" s="48" t="inlineStr">
        <is>
          <t>Rendicontazione di sostenibilità ambientale</t>
        </is>
      </c>
      <c r="J805" s="73" t="n"/>
      <c r="K805" s="73" t="n"/>
      <c r="L805" s="73" t="n"/>
      <c r="M805" s="73" t="n"/>
      <c r="N805" s="57">
        <f>IF($A805="","",IF(IFERROR(VALUE($M805),0)=1,1,0))</f>
        <v/>
      </c>
      <c r="O805" s="57">
        <f>IF($A805="",0,IF(OR($S805&lt;&gt;1,COUNTA($J805:$M805)=0),0,IF($N805=1,$H805,0)))</f>
        <v/>
      </c>
      <c r="P805" s="48" t="inlineStr">
        <is>
          <t>sì/no</t>
        </is>
      </c>
      <c r="Q805" s="57">
        <f>IF($A805="","",$A805&amp;"|"&amp;$C805)</f>
        <v/>
      </c>
      <c r="R805" s="57">
        <f>IF($A805="","",$A805&amp;"|"&amp;$C805&amp;"|"&amp;$D805)</f>
        <v/>
      </c>
      <c r="S805" s="57">
        <f>IF($A805="","",IFERROR(INDEX(Offerte!$D$2:$D$81,MATCH($Q805,Offerte!$L$2:$L$81,0)),0))</f>
        <v/>
      </c>
      <c r="T805" s="57">
        <f>IF($A805="","",IFERROR(INDEX(Offerte!$G$2:$G$81,MATCH($Q805,Offerte!$L$2:$L$81,0)),"NO"))</f>
        <v/>
      </c>
    </row>
    <row r="806">
      <c r="A806" s="48">
        <f>IF(Offerte!$A27="","",Offerte!$A27)</f>
        <v/>
      </c>
      <c r="B806" s="48">
        <f>IF(Offerte!$A27="","",Offerte!$B27)</f>
        <v/>
      </c>
      <c r="C806" s="48">
        <f>IF(Offerte!$A27="","",Offerte!$C27)</f>
        <v/>
      </c>
      <c r="D806" s="48" t="inlineStr">
        <is>
          <t>G.1.1</t>
        </is>
      </c>
      <c r="E806" s="48" t="inlineStr">
        <is>
          <t>G</t>
        </is>
      </c>
      <c r="F806" s="48" t="inlineStr">
        <is>
          <t>D</t>
        </is>
      </c>
      <c r="G806" s="48" t="inlineStr">
        <is>
          <t>discretionary</t>
        </is>
      </c>
      <c r="H806" s="48" t="n">
        <v>2</v>
      </c>
      <c r="I806" s="48" t="inlineStr">
        <is>
          <t>Qualità del progetto di centrale di controllo aziendale</t>
        </is>
      </c>
      <c r="J806" s="73" t="n"/>
      <c r="K806" s="73" t="n"/>
      <c r="L806" s="73" t="n"/>
      <c r="M806" s="73" t="n"/>
      <c r="N806" s="57">
        <f>IF($A806="","",MAX(0,MIN(1,IFERROR(VALUE($M806),0))))</f>
        <v/>
      </c>
      <c r="O806" s="57">
        <f>IF($A806="",0,IF(OR($S806&lt;&gt;1,COUNTA($J806:$M806)=0),0,IF(SUMPRODUCT(MAX(($C$5:$C$2484=$C806)*($D$5:$D$2484=$D806)*($S$5:$S$2484=1)*IFERROR($N$5:$N$2484*1,0)))&gt;0,ROUND($H806*($N806/SUMPRODUCT(MAX(($C$5:$C$2484=$C806)*($D$5:$D$2484=$D806)*($S$5:$S$2484=1)*IFERROR($N$5:$N$2484*1,0)))),4),0)))</f>
        <v/>
      </c>
      <c r="P806" s="48" t="inlineStr">
        <is>
          <t>coeff.</t>
        </is>
      </c>
      <c r="Q806" s="57">
        <f>IF($A806="","",$A806&amp;"|"&amp;$C806)</f>
        <v/>
      </c>
      <c r="R806" s="57">
        <f>IF($A806="","",$A806&amp;"|"&amp;$C806&amp;"|"&amp;$D806)</f>
        <v/>
      </c>
      <c r="S806" s="57">
        <f>IF($A806="","",IFERROR(INDEX(Offerte!$D$2:$D$81,MATCH($Q806,Offerte!$L$2:$L$81,0)),0))</f>
        <v/>
      </c>
      <c r="T806" s="57">
        <f>IF($A806="","",IFERROR(INDEX(Offerte!$G$2:$G$81,MATCH($Q806,Offerte!$L$2:$L$81,0)),"NO"))</f>
        <v/>
      </c>
    </row>
    <row r="807">
      <c r="A807" s="48">
        <f>IF(Offerte!$A27="","",Offerte!$A27)</f>
        <v/>
      </c>
      <c r="B807" s="48">
        <f>IF(Offerte!$A27="","",Offerte!$B27)</f>
        <v/>
      </c>
      <c r="C807" s="48">
        <f>IF(Offerte!$A27="","",Offerte!$C27)</f>
        <v/>
      </c>
      <c r="D807" s="48" t="inlineStr">
        <is>
          <t>G.2.1</t>
        </is>
      </c>
      <c r="E807" s="48" t="inlineStr">
        <is>
          <t>G</t>
        </is>
      </c>
      <c r="F807" s="48" t="inlineStr">
        <is>
          <t>T</t>
        </is>
      </c>
      <c r="G807" s="48" t="inlineStr">
        <is>
          <t>tabular</t>
        </is>
      </c>
      <c r="H807" s="48" t="n">
        <v>1</v>
      </c>
      <c r="I807" s="48" t="inlineStr">
        <is>
          <t>Certificazione ISO 45001</t>
        </is>
      </c>
      <c r="J807" s="73" t="n"/>
      <c r="K807" s="73" t="n"/>
      <c r="L807" s="73" t="n"/>
      <c r="M807" s="73" t="n"/>
      <c r="N807" s="57">
        <f>IF($A807="","",IF(IFERROR(VALUE($M807),0)=1,1,0))</f>
        <v/>
      </c>
      <c r="O807" s="57">
        <f>IF($A807="",0,IF(OR($S807&lt;&gt;1,COUNTA($J807:$M807)=0),0,IF($N807=1,$H807,0)))</f>
        <v/>
      </c>
      <c r="P807" s="48" t="inlineStr">
        <is>
          <t>sì/no</t>
        </is>
      </c>
      <c r="Q807" s="57">
        <f>IF($A807="","",$A807&amp;"|"&amp;$C807)</f>
        <v/>
      </c>
      <c r="R807" s="57">
        <f>IF($A807="","",$A807&amp;"|"&amp;$C807&amp;"|"&amp;$D807)</f>
        <v/>
      </c>
      <c r="S807" s="57">
        <f>IF($A807="","",IFERROR(INDEX(Offerte!$D$2:$D$81,MATCH($Q807,Offerte!$L$2:$L$81,0)),0))</f>
        <v/>
      </c>
      <c r="T807" s="57">
        <f>IF($A807="","",IFERROR(INDEX(Offerte!$G$2:$G$81,MATCH($Q807,Offerte!$L$2:$L$81,0)),"NO"))</f>
        <v/>
      </c>
    </row>
    <row r="808">
      <c r="A808" s="48">
        <f>IF(Offerte!$A27="","",Offerte!$A27)</f>
        <v/>
      </c>
      <c r="B808" s="48">
        <f>IF(Offerte!$A27="","",Offerte!$B27)</f>
        <v/>
      </c>
      <c r="C808" s="48">
        <f>IF(Offerte!$A27="","",Offerte!$C27)</f>
        <v/>
      </c>
      <c r="D808" s="48" t="inlineStr">
        <is>
          <t>G.3.1</t>
        </is>
      </c>
      <c r="E808" s="48" t="inlineStr">
        <is>
          <t>G</t>
        </is>
      </c>
      <c r="F808" s="48" t="inlineStr">
        <is>
          <t>T</t>
        </is>
      </c>
      <c r="G808" s="48" t="inlineStr">
        <is>
          <t>tabular</t>
        </is>
      </c>
      <c r="H808" s="48" t="n">
        <v>1</v>
      </c>
      <c r="I808" s="48" t="inlineStr">
        <is>
          <t>Certificazioni di responsabilità sociale</t>
        </is>
      </c>
      <c r="J808" s="73" t="n"/>
      <c r="K808" s="73" t="n"/>
      <c r="L808" s="73" t="n"/>
      <c r="M808" s="73" t="n"/>
      <c r="N808" s="57">
        <f>IF($A808="","",IF(IFERROR(VALUE($M808),0)=1,1,0))</f>
        <v/>
      </c>
      <c r="O808" s="57">
        <f>IF($A808="",0,IF(OR($S808&lt;&gt;1,COUNTA($J808:$M808)=0),0,IF($N808=1,$H808,0)))</f>
        <v/>
      </c>
      <c r="P808" s="48" t="inlineStr">
        <is>
          <t>sì/no</t>
        </is>
      </c>
      <c r="Q808" s="57">
        <f>IF($A808="","",$A808&amp;"|"&amp;$C808)</f>
        <v/>
      </c>
      <c r="R808" s="57">
        <f>IF($A808="","",$A808&amp;"|"&amp;$C808&amp;"|"&amp;$D808)</f>
        <v/>
      </c>
      <c r="S808" s="57">
        <f>IF($A808="","",IFERROR(INDEX(Offerte!$D$2:$D$81,MATCH($Q808,Offerte!$L$2:$L$81,0)),0))</f>
        <v/>
      </c>
      <c r="T808" s="57">
        <f>IF($A808="","",IFERROR(INDEX(Offerte!$G$2:$G$81,MATCH($Q808,Offerte!$L$2:$L$81,0)),"NO"))</f>
        <v/>
      </c>
    </row>
    <row r="809">
      <c r="A809" s="48">
        <f>IF(Offerte!$A27="","",Offerte!$A27)</f>
        <v/>
      </c>
      <c r="B809" s="48">
        <f>IF(Offerte!$A27="","",Offerte!$B27)</f>
        <v/>
      </c>
      <c r="C809" s="48">
        <f>IF(Offerte!$A27="","",Offerte!$C27)</f>
        <v/>
      </c>
      <c r="D809" s="48" t="inlineStr">
        <is>
          <t>G.4.1</t>
        </is>
      </c>
      <c r="E809" s="48" t="inlineStr">
        <is>
          <t>G</t>
        </is>
      </c>
      <c r="F809" s="48" t="inlineStr">
        <is>
          <t>D</t>
        </is>
      </c>
      <c r="G809" s="48" t="inlineStr">
        <is>
          <t>discretionary</t>
        </is>
      </c>
      <c r="H809" s="48" t="n">
        <v>2</v>
      </c>
      <c r="I809" s="48" t="inlineStr">
        <is>
          <t>Qualità del piano di formazione del personale</t>
        </is>
      </c>
      <c r="J809" s="73" t="n"/>
      <c r="K809" s="73" t="n"/>
      <c r="L809" s="73" t="n"/>
      <c r="M809" s="73" t="n"/>
      <c r="N809" s="57">
        <f>IF($A809="","",MAX(0,MIN(1,IFERROR(VALUE($M809),0))))</f>
        <v/>
      </c>
      <c r="O809" s="57">
        <f>IF($A809="",0,IF(OR($S809&lt;&gt;1,COUNTA($J809:$M809)=0),0,IF(SUMPRODUCT(MAX(($C$5:$C$2484=$C809)*($D$5:$D$2484=$D809)*($S$5:$S$2484=1)*IFERROR($N$5:$N$2484*1,0)))&gt;0,ROUND($H809*($N809/SUMPRODUCT(MAX(($C$5:$C$2484=$C809)*($D$5:$D$2484=$D809)*($S$5:$S$2484=1)*IFERROR($N$5:$N$2484*1,0)))),4),0)))</f>
        <v/>
      </c>
      <c r="P809" s="48" t="inlineStr">
        <is>
          <t>coeff.</t>
        </is>
      </c>
      <c r="Q809" s="57">
        <f>IF($A809="","",$A809&amp;"|"&amp;$C809)</f>
        <v/>
      </c>
      <c r="R809" s="57">
        <f>IF($A809="","",$A809&amp;"|"&amp;$C809&amp;"|"&amp;$D809)</f>
        <v/>
      </c>
      <c r="S809" s="57">
        <f>IF($A809="","",IFERROR(INDEX(Offerte!$D$2:$D$81,MATCH($Q809,Offerte!$L$2:$L$81,0)),0))</f>
        <v/>
      </c>
      <c r="T809" s="57">
        <f>IF($A809="","",IFERROR(INDEX(Offerte!$G$2:$G$81,MATCH($Q809,Offerte!$L$2:$L$81,0)),"NO"))</f>
        <v/>
      </c>
    </row>
    <row r="810">
      <c r="A810" s="48">
        <f>IF(Offerte!$A27="","",Offerte!$A27)</f>
        <v/>
      </c>
      <c r="B810" s="48">
        <f>IF(Offerte!$A27="","",Offerte!$B27)</f>
        <v/>
      </c>
      <c r="C810" s="48">
        <f>IF(Offerte!$A27="","",Offerte!$C27)</f>
        <v/>
      </c>
      <c r="D810" s="48" t="inlineStr">
        <is>
          <t>G.5.1</t>
        </is>
      </c>
      <c r="E810" s="48" t="inlineStr">
        <is>
          <t>G</t>
        </is>
      </c>
      <c r="F810" s="48" t="inlineStr">
        <is>
          <t>T</t>
        </is>
      </c>
      <c r="G810" s="48" t="inlineStr">
        <is>
          <t>tabular</t>
        </is>
      </c>
      <c r="H810" s="48" t="n">
        <v>1</v>
      </c>
      <c r="I810" s="48" t="inlineStr">
        <is>
          <t>Impegno al mantenimento delle garanzie del contratto di secondo livello del gestore uscente</t>
        </is>
      </c>
      <c r="J810" s="73" t="n"/>
      <c r="K810" s="73" t="n"/>
      <c r="L810" s="73" t="n"/>
      <c r="M810" s="73" t="n"/>
      <c r="N810" s="57">
        <f>IF($A810="","",IF(IFERROR(VALUE($M810),0)=1,1,0))</f>
        <v/>
      </c>
      <c r="O810" s="57">
        <f>IF($A810="",0,IF(OR($S810&lt;&gt;1,COUNTA($J810:$M810)=0),0,IF($N810=1,$H810,0)))</f>
        <v/>
      </c>
      <c r="P810" s="48" t="inlineStr">
        <is>
          <t>sì/no</t>
        </is>
      </c>
      <c r="Q810" s="57">
        <f>IF($A810="","",$A810&amp;"|"&amp;$C810)</f>
        <v/>
      </c>
      <c r="R810" s="57">
        <f>IF($A810="","",$A810&amp;"|"&amp;$C810&amp;"|"&amp;$D810)</f>
        <v/>
      </c>
      <c r="S810" s="57">
        <f>IF($A810="","",IFERROR(INDEX(Offerte!$D$2:$D$81,MATCH($Q810,Offerte!$L$2:$L$81,0)),0))</f>
        <v/>
      </c>
      <c r="T810" s="57">
        <f>IF($A810="","",IFERROR(INDEX(Offerte!$G$2:$G$81,MATCH($Q810,Offerte!$L$2:$L$81,0)),"NO"))</f>
        <v/>
      </c>
    </row>
    <row r="811">
      <c r="A811" s="48">
        <f>IF(Offerte!$A28="","",Offerte!$A28)</f>
        <v/>
      </c>
      <c r="B811" s="48">
        <f>IF(Offerte!$A28="","",Offerte!$B28)</f>
        <v/>
      </c>
      <c r="C811" s="48">
        <f>IF(Offerte!$A28="","",Offerte!$C28)</f>
        <v/>
      </c>
      <c r="D811" s="48" t="inlineStr">
        <is>
          <t>A.1.1</t>
        </is>
      </c>
      <c r="E811" s="48" t="inlineStr">
        <is>
          <t>A</t>
        </is>
      </c>
      <c r="F811" s="48" t="inlineStr">
        <is>
          <t>Q</t>
        </is>
      </c>
      <c r="G811" s="48" t="inlineStr">
        <is>
          <t>higher</t>
        </is>
      </c>
      <c r="H811" s="48" t="n">
        <v>3</v>
      </c>
      <c r="I811" s="48" t="inlineStr">
        <is>
          <t>Tasso aggiuntivo di corse controllate</t>
        </is>
      </c>
      <c r="J811" s="73" t="n"/>
      <c r="K811" s="73" t="n"/>
      <c r="L811" s="73" t="n"/>
      <c r="M811" s="73" t="n"/>
      <c r="N811" s="57">
        <f>IF($A811="","",IFERROR(VALUE($K811)/VALUE($L811)*100,IFERROR(VALUE($J811),0)))</f>
        <v/>
      </c>
      <c r="O811" s="57">
        <f>IF($A811="",0,IF(OR($S811&lt;&gt;1,COUNTA($J811:$M811)=0),0,IF(SUMPRODUCT(MAX(($C$5:$C$2484=$C811)*($D$5:$D$2484=$D811)*($S$5:$S$2484=1)*IFERROR($N$5:$N$2484*1,0)))&gt;0,ROUND($H811*($N811/SUMPRODUCT(MAX(($C$5:$C$2484=$C811)*($D$5:$D$2484=$D811)*($S$5:$S$2484=1)*IFERROR($N$5:$N$2484*1,0)))),4),0)))</f>
        <v/>
      </c>
      <c r="P811" s="48" t="inlineStr">
        <is>
          <t>Corse controllate annue / Corse programmate annue</t>
        </is>
      </c>
      <c r="Q811" s="57">
        <f>IF($A811="","",$A811&amp;"|"&amp;$C811)</f>
        <v/>
      </c>
      <c r="R811" s="57">
        <f>IF($A811="","",$A811&amp;"|"&amp;$C811&amp;"|"&amp;$D811)</f>
        <v/>
      </c>
      <c r="S811" s="57">
        <f>IF($A811="","",IFERROR(INDEX(Offerte!$D$2:$D$81,MATCH($Q811,Offerte!$L$2:$L$81,0)),0))</f>
        <v/>
      </c>
      <c r="T811" s="57">
        <f>IF($A811="","",IFERROR(INDEX(Offerte!$G$2:$G$81,MATCH($Q811,Offerte!$L$2:$L$81,0)),"NO"))</f>
        <v/>
      </c>
    </row>
    <row r="812">
      <c r="A812" s="48">
        <f>IF(Offerte!$A28="","",Offerte!$A28)</f>
        <v/>
      </c>
      <c r="B812" s="48">
        <f>IF(Offerte!$A28="","",Offerte!$B28)</f>
        <v/>
      </c>
      <c r="C812" s="48">
        <f>IF(Offerte!$A28="","",Offerte!$C28)</f>
        <v/>
      </c>
      <c r="D812" s="48" t="inlineStr">
        <is>
          <t>A.1.2</t>
        </is>
      </c>
      <c r="E812" s="48" t="inlineStr">
        <is>
          <t>A</t>
        </is>
      </c>
      <c r="F812" s="48" t="inlineStr">
        <is>
          <t>Q</t>
        </is>
      </c>
      <c r="G812" s="48" t="inlineStr">
        <is>
          <t>higher</t>
        </is>
      </c>
      <c r="H812" s="48" t="n">
        <v>4</v>
      </c>
      <c r="I812" s="48" t="inlineStr">
        <is>
          <t>Numero aggiuntivo di passeggeri controllati</t>
        </is>
      </c>
      <c r="J812" s="73" t="n"/>
      <c r="K812" s="73" t="n"/>
      <c r="L812" s="73" t="n"/>
      <c r="M812" s="73" t="n"/>
      <c r="N812" s="57">
        <f>IF($A812="","",IFERROR(VALUE($J812),0))</f>
        <v/>
      </c>
      <c r="O812" s="57">
        <f>IF($A812="",0,IF(OR($S812&lt;&gt;1,COUNTA($J812:$M812)=0),0,IF(SUMPRODUCT(MAX(($C$5:$C$2484=$C812)*($D$5:$D$2484=$D812)*($S$5:$S$2484=1)*IFERROR($N$5:$N$2484*1,0)))&gt;0,ROUND($H812*($N812/SUMPRODUCT(MAX(($C$5:$C$2484=$C812)*($D$5:$D$2484=$D812)*($S$5:$S$2484=1)*IFERROR($N$5:$N$2484*1,0)))),4),0)))</f>
        <v/>
      </c>
      <c r="P812" s="48" t="inlineStr">
        <is>
          <t>passeggeri/anno</t>
        </is>
      </c>
      <c r="Q812" s="57">
        <f>IF($A812="","",$A812&amp;"|"&amp;$C812)</f>
        <v/>
      </c>
      <c r="R812" s="57">
        <f>IF($A812="","",$A812&amp;"|"&amp;$C812&amp;"|"&amp;$D812)</f>
        <v/>
      </c>
      <c r="S812" s="57">
        <f>IF($A812="","",IFERROR(INDEX(Offerte!$D$2:$D$81,MATCH($Q812,Offerte!$L$2:$L$81,0)),0))</f>
        <v/>
      </c>
      <c r="T812" s="57">
        <f>IF($A812="","",IFERROR(INDEX(Offerte!$G$2:$G$81,MATCH($Q812,Offerte!$L$2:$L$81,0)),"NO"))</f>
        <v/>
      </c>
    </row>
    <row r="813">
      <c r="A813" s="48">
        <f>IF(Offerte!$A28="","",Offerte!$A28)</f>
        <v/>
      </c>
      <c r="B813" s="48">
        <f>IF(Offerte!$A28="","",Offerte!$B28)</f>
        <v/>
      </c>
      <c r="C813" s="48">
        <f>IF(Offerte!$A28="","",Offerte!$C28)</f>
        <v/>
      </c>
      <c r="D813" s="48" t="inlineStr">
        <is>
          <t>B.1.1</t>
        </is>
      </c>
      <c r="E813" s="48" t="inlineStr">
        <is>
          <t>B</t>
        </is>
      </c>
      <c r="F813" s="48" t="inlineStr">
        <is>
          <t>Q</t>
        </is>
      </c>
      <c r="G813" s="48" t="inlineStr">
        <is>
          <t>higher</t>
        </is>
      </c>
      <c r="H813" s="48" t="n">
        <v>3</v>
      </c>
      <c r="I813" s="48" t="inlineStr">
        <is>
          <t>Incremento dei posti offerti nelle fasce di punta</t>
        </is>
      </c>
      <c r="J813" s="73" t="n"/>
      <c r="K813" s="73" t="n"/>
      <c r="L813" s="73" t="n"/>
      <c r="M813" s="73" t="n"/>
      <c r="N813" s="57">
        <f>IF($A813="","",IFERROR(VALUE($J813),0))</f>
        <v/>
      </c>
      <c r="O813" s="57">
        <f>IF($A813="",0,IF(OR($S813&lt;&gt;1,COUNTA($J813:$M813)=0),0,IF(SUMPRODUCT(MAX(($C$5:$C$2484=$C813)*($D$5:$D$2484=$D813)*($S$5:$S$2484=1)*IFERROR($N$5:$N$2484*1,0)))&gt;0,ROUND($H813*($N813/SUMPRODUCT(MAX(($C$5:$C$2484=$C813)*($D$5:$D$2484=$D813)*($S$5:$S$2484=1)*IFERROR($N$5:$N$2484*1,0)))),4),0)))</f>
        <v/>
      </c>
      <c r="P813" s="48" t="inlineStr">
        <is>
          <t>posti*km</t>
        </is>
      </c>
      <c r="Q813" s="57">
        <f>IF($A813="","",$A813&amp;"|"&amp;$C813)</f>
        <v/>
      </c>
      <c r="R813" s="57">
        <f>IF($A813="","",$A813&amp;"|"&amp;$C813&amp;"|"&amp;$D813)</f>
        <v/>
      </c>
      <c r="S813" s="57">
        <f>IF($A813="","",IFERROR(INDEX(Offerte!$D$2:$D$81,MATCH($Q813,Offerte!$L$2:$L$81,0)),0))</f>
        <v/>
      </c>
      <c r="T813" s="57">
        <f>IF($A813="","",IFERROR(INDEX(Offerte!$G$2:$G$81,MATCH($Q813,Offerte!$L$2:$L$81,0)),"NO"))</f>
        <v/>
      </c>
    </row>
    <row r="814">
      <c r="A814" s="48">
        <f>IF(Offerte!$A28="","",Offerte!$A28)</f>
        <v/>
      </c>
      <c r="B814" s="48">
        <f>IF(Offerte!$A28="","",Offerte!$B28)</f>
        <v/>
      </c>
      <c r="C814" s="48">
        <f>IF(Offerte!$A28="","",Offerte!$C28)</f>
        <v/>
      </c>
      <c r="D814" s="48" t="inlineStr">
        <is>
          <t>B.2.1</t>
        </is>
      </c>
      <c r="E814" s="48" t="inlineStr">
        <is>
          <t>B</t>
        </is>
      </c>
      <c r="F814" s="48" t="inlineStr">
        <is>
          <t>Q</t>
        </is>
      </c>
      <c r="G814" s="48" t="inlineStr">
        <is>
          <t>higher</t>
        </is>
      </c>
      <c r="H814" s="48" t="n">
        <v>4</v>
      </c>
      <c r="I814" s="48" t="inlineStr">
        <is>
          <t>Corse aggiuntive nell'arco giornaliero base</t>
        </is>
      </c>
      <c r="J814" s="73" t="n"/>
      <c r="K814" s="73" t="n"/>
      <c r="L814" s="73" t="n"/>
      <c r="M814" s="73" t="n"/>
      <c r="N814" s="57">
        <f>IF($A814="","",IFERROR(VALUE($J814),0))</f>
        <v/>
      </c>
      <c r="O814" s="57">
        <f>IF($A814="",0,IF(OR($S814&lt;&gt;1,COUNTA($J814:$M814)=0),0,IF(SUMPRODUCT(MAX(($C$5:$C$2484=$C814)*($D$5:$D$2484=$D814)*($S$5:$S$2484=1)*IFERROR($N$5:$N$2484*1,0)))&gt;0,ROUND($H814*($N814/SUMPRODUCT(MAX(($C$5:$C$2484=$C814)*($D$5:$D$2484=$D814)*($S$5:$S$2484=1)*IFERROR($N$5:$N$2484*1,0)))),4),0)))</f>
        <v/>
      </c>
      <c r="P814" s="48" t="inlineStr">
        <is>
          <t>corse</t>
        </is>
      </c>
      <c r="Q814" s="57">
        <f>IF($A814="","",$A814&amp;"|"&amp;$C814)</f>
        <v/>
      </c>
      <c r="R814" s="57">
        <f>IF($A814="","",$A814&amp;"|"&amp;$C814&amp;"|"&amp;$D814)</f>
        <v/>
      </c>
      <c r="S814" s="57">
        <f>IF($A814="","",IFERROR(INDEX(Offerte!$D$2:$D$81,MATCH($Q814,Offerte!$L$2:$L$81,0)),0))</f>
        <v/>
      </c>
      <c r="T814" s="57">
        <f>IF($A814="","",IFERROR(INDEX(Offerte!$G$2:$G$81,MATCH($Q814,Offerte!$L$2:$L$81,0)),"NO"))</f>
        <v/>
      </c>
    </row>
    <row r="815">
      <c r="A815" s="48">
        <f>IF(Offerte!$A28="","",Offerte!$A28)</f>
        <v/>
      </c>
      <c r="B815" s="48">
        <f>IF(Offerte!$A28="","",Offerte!$B28)</f>
        <v/>
      </c>
      <c r="C815" s="48">
        <f>IF(Offerte!$A28="","",Offerte!$C28)</f>
        <v/>
      </c>
      <c r="D815" s="48" t="inlineStr">
        <is>
          <t>B.3.1</t>
        </is>
      </c>
      <c r="E815" s="48" t="inlineStr">
        <is>
          <t>B</t>
        </is>
      </c>
      <c r="F815" s="48" t="inlineStr">
        <is>
          <t>Q</t>
        </is>
      </c>
      <c r="G815" s="48" t="inlineStr">
        <is>
          <t>higher</t>
        </is>
      </c>
      <c r="H815" s="48" t="n">
        <v>2</v>
      </c>
      <c r="I815" s="48" t="inlineStr">
        <is>
          <t>Numero di corse aggiuntive per allungamento dell'arco di servizio giornaliero nelle fasce serali</t>
        </is>
      </c>
      <c r="J815" s="73" t="n"/>
      <c r="K815" s="73" t="n"/>
      <c r="L815" s="73" t="n"/>
      <c r="M815" s="73" t="n"/>
      <c r="N815" s="57">
        <f>IF($A815="","",IFERROR(VALUE($J815),0))</f>
        <v/>
      </c>
      <c r="O815" s="57">
        <f>IF($A815="",0,IF(OR($S815&lt;&gt;1,COUNTA($J815:$M815)=0),0,IF(SUMPRODUCT(MAX(($C$5:$C$2484=$C815)*($D$5:$D$2484=$D815)*($S$5:$S$2484=1)*IFERROR($N$5:$N$2484*1,0)))&gt;0,ROUND($H815*($N815/SUMPRODUCT(MAX(($C$5:$C$2484=$C815)*($D$5:$D$2484=$D815)*($S$5:$S$2484=1)*IFERROR($N$5:$N$2484*1,0)))),4),0)))</f>
        <v/>
      </c>
      <c r="P815" s="48" t="inlineStr">
        <is>
          <t>corse</t>
        </is>
      </c>
      <c r="Q815" s="57">
        <f>IF($A815="","",$A815&amp;"|"&amp;$C815)</f>
        <v/>
      </c>
      <c r="R815" s="57">
        <f>IF($A815="","",$A815&amp;"|"&amp;$C815&amp;"|"&amp;$D815)</f>
        <v/>
      </c>
      <c r="S815" s="57">
        <f>IF($A815="","",IFERROR(INDEX(Offerte!$D$2:$D$81,MATCH($Q815,Offerte!$L$2:$L$81,0)),0))</f>
        <v/>
      </c>
      <c r="T815" s="57">
        <f>IF($A815="","",IFERROR(INDEX(Offerte!$G$2:$G$81,MATCH($Q815,Offerte!$L$2:$L$81,0)),"NO"))</f>
        <v/>
      </c>
    </row>
    <row r="816">
      <c r="A816" s="48">
        <f>IF(Offerte!$A28="","",Offerte!$A28)</f>
        <v/>
      </c>
      <c r="B816" s="48">
        <f>IF(Offerte!$A28="","",Offerte!$B28)</f>
        <v/>
      </c>
      <c r="C816" s="48">
        <f>IF(Offerte!$A28="","",Offerte!$C28)</f>
        <v/>
      </c>
      <c r="D816" s="48" t="inlineStr">
        <is>
          <t>B.4.1</t>
        </is>
      </c>
      <c r="E816" s="48" t="inlineStr">
        <is>
          <t>B</t>
        </is>
      </c>
      <c r="F816" s="48" t="inlineStr">
        <is>
          <t>Q</t>
        </is>
      </c>
      <c r="G816" s="48" t="inlineStr">
        <is>
          <t>higher</t>
        </is>
      </c>
      <c r="H816" s="48" t="n">
        <v>3</v>
      </c>
      <c r="I816" s="48" t="inlineStr">
        <is>
          <t>Percorrenze aggiuntive offerte nel Programma d'esercizio delle prime due fasi attuative</t>
        </is>
      </c>
      <c r="J816" s="73" t="n"/>
      <c r="K816" s="73" t="n"/>
      <c r="L816" s="73" t="n"/>
      <c r="M816" s="73" t="n"/>
      <c r="N816" s="57">
        <f>IF($A816="","",IFERROR(VALUE($J816),0))</f>
        <v/>
      </c>
      <c r="O816" s="57">
        <f>IF($A816="",0,IF(OR($S816&lt;&gt;1,COUNTA($J816:$M816)=0),0,IF(SUMPRODUCT(MAX(($C$5:$C$2484=$C816)*($D$5:$D$2484=$D816)*($S$5:$S$2484=1)*IFERROR($N$5:$N$2484*1,0)))&gt;0,ROUND($H816*($N816/SUMPRODUCT(MAX(($C$5:$C$2484=$C816)*($D$5:$D$2484=$D816)*($S$5:$S$2484=1)*IFERROR($N$5:$N$2484*1,0)))),4),0)))</f>
        <v/>
      </c>
      <c r="P816" s="48" t="inlineStr">
        <is>
          <t>vett*km</t>
        </is>
      </c>
      <c r="Q816" s="57">
        <f>IF($A816="","",$A816&amp;"|"&amp;$C816)</f>
        <v/>
      </c>
      <c r="R816" s="57">
        <f>IF($A816="","",$A816&amp;"|"&amp;$C816&amp;"|"&amp;$D816)</f>
        <v/>
      </c>
      <c r="S816" s="57">
        <f>IF($A816="","",IFERROR(INDEX(Offerte!$D$2:$D$81,MATCH($Q816,Offerte!$L$2:$L$81,0)),0))</f>
        <v/>
      </c>
      <c r="T816" s="57">
        <f>IF($A816="","",IFERROR(INDEX(Offerte!$G$2:$G$81,MATCH($Q816,Offerte!$L$2:$L$81,0)),"NO"))</f>
        <v/>
      </c>
    </row>
    <row r="817">
      <c r="A817" s="48">
        <f>IF(Offerte!$A28="","",Offerte!$A28)</f>
        <v/>
      </c>
      <c r="B817" s="48">
        <f>IF(Offerte!$A28="","",Offerte!$B28)</f>
        <v/>
      </c>
      <c r="C817" s="48">
        <f>IF(Offerte!$A28="","",Offerte!$C28)</f>
        <v/>
      </c>
      <c r="D817" s="48" t="inlineStr">
        <is>
          <t>B.5.1</t>
        </is>
      </c>
      <c r="E817" s="48" t="inlineStr">
        <is>
          <t>B</t>
        </is>
      </c>
      <c r="F817" s="48" t="inlineStr">
        <is>
          <t>D</t>
        </is>
      </c>
      <c r="G817" s="48" t="inlineStr">
        <is>
          <t>discretionary</t>
        </is>
      </c>
      <c r="H817" s="48" t="n">
        <v>2</v>
      </c>
      <c r="I817" s="48" t="inlineStr">
        <is>
          <t>Efficacia del progetto di servizi complementari DRT</t>
        </is>
      </c>
      <c r="J817" s="73" t="n"/>
      <c r="K817" s="73" t="n"/>
      <c r="L817" s="73" t="n"/>
      <c r="M817" s="73" t="n"/>
      <c r="N817" s="57">
        <f>IF($A817="","",MAX(0,MIN(1,IFERROR(VALUE($M817),0))))</f>
        <v/>
      </c>
      <c r="O817" s="57">
        <f>IF($A817="",0,IF(OR($S817&lt;&gt;1,COUNTA($J817:$M817)=0),0,IF(SUMPRODUCT(MAX(($C$5:$C$2484=$C817)*($D$5:$D$2484=$D817)*($S$5:$S$2484=1)*IFERROR($N$5:$N$2484*1,0)))&gt;0,ROUND($H817*($N817/SUMPRODUCT(MAX(($C$5:$C$2484=$C817)*($D$5:$D$2484=$D817)*($S$5:$S$2484=1)*IFERROR($N$5:$N$2484*1,0)))),4),0)))</f>
        <v/>
      </c>
      <c r="P817" s="48" t="inlineStr">
        <is>
          <t>coeff.</t>
        </is>
      </c>
      <c r="Q817" s="57">
        <f>IF($A817="","",$A817&amp;"|"&amp;$C817)</f>
        <v/>
      </c>
      <c r="R817" s="57">
        <f>IF($A817="","",$A817&amp;"|"&amp;$C817&amp;"|"&amp;$D817)</f>
        <v/>
      </c>
      <c r="S817" s="57">
        <f>IF($A817="","",IFERROR(INDEX(Offerte!$D$2:$D$81,MATCH($Q817,Offerte!$L$2:$L$81,0)),0))</f>
        <v/>
      </c>
      <c r="T817" s="57">
        <f>IF($A817="","",IFERROR(INDEX(Offerte!$G$2:$G$81,MATCH($Q817,Offerte!$L$2:$L$81,0)),"NO"))</f>
        <v/>
      </c>
    </row>
    <row r="818">
      <c r="A818" s="48">
        <f>IF(Offerte!$A28="","",Offerte!$A28)</f>
        <v/>
      </c>
      <c r="B818" s="48">
        <f>IF(Offerte!$A28="","",Offerte!$B28)</f>
        <v/>
      </c>
      <c r="C818" s="48">
        <f>IF(Offerte!$A28="","",Offerte!$C28)</f>
        <v/>
      </c>
      <c r="D818" s="48" t="inlineStr">
        <is>
          <t>C.1.1</t>
        </is>
      </c>
      <c r="E818" s="48" t="inlineStr">
        <is>
          <t>C</t>
        </is>
      </c>
      <c r="F818" s="48" t="inlineStr">
        <is>
          <t>Q</t>
        </is>
      </c>
      <c r="G818" s="48" t="inlineStr">
        <is>
          <t>higher</t>
        </is>
      </c>
      <c r="H818" s="48" t="n">
        <v>2</v>
      </c>
      <c r="I818" s="48" t="inlineStr">
        <is>
          <t>Tasso di copertura del servizio con telecamere BSD</t>
        </is>
      </c>
      <c r="J818" s="73" t="n"/>
      <c r="K818" s="73" t="n"/>
      <c r="L818" s="73" t="n"/>
      <c r="M818" s="73" t="n"/>
      <c r="N818" s="57">
        <f>IF($A818="","",IFERROR(VALUE($K818)/VALUE($L818),IFERROR(VALUE($J818),0)))</f>
        <v/>
      </c>
      <c r="O818" s="57">
        <f>IF($A818="",0,IF(OR($S818&lt;&gt;1,COUNTA($J818:$M818)=0),0,IF(SUMPRODUCT(MAX(($C$5:$C$2484=$C818)*($D$5:$D$2484=$D818)*($S$5:$S$2484=1)*IFERROR($N$5:$N$2484*1,0)))&gt;0,ROUND($H818*($N818/SUMPRODUCT(MAX(($C$5:$C$2484=$C818)*($D$5:$D$2484=$D818)*($S$5:$S$2484=1)*IFERROR($N$5:$N$2484*1,0)))),4),0)))</f>
        <v/>
      </c>
      <c r="P818" s="48" t="inlineStr">
        <is>
          <t>Autobus attrezzati con telecamere BSD / Autobus totali in offerta, incluse scorte</t>
        </is>
      </c>
      <c r="Q818" s="57">
        <f>IF($A818="","",$A818&amp;"|"&amp;$C818)</f>
        <v/>
      </c>
      <c r="R818" s="57">
        <f>IF($A818="","",$A818&amp;"|"&amp;$C818&amp;"|"&amp;$D818)</f>
        <v/>
      </c>
      <c r="S818" s="57">
        <f>IF($A818="","",IFERROR(INDEX(Offerte!$D$2:$D$81,MATCH($Q818,Offerte!$L$2:$L$81,0)),0))</f>
        <v/>
      </c>
      <c r="T818" s="57">
        <f>IF($A818="","",IFERROR(INDEX(Offerte!$G$2:$G$81,MATCH($Q818,Offerte!$L$2:$L$81,0)),"NO"))</f>
        <v/>
      </c>
    </row>
    <row r="819">
      <c r="A819" s="48">
        <f>IF(Offerte!$A28="","",Offerte!$A28)</f>
        <v/>
      </c>
      <c r="B819" s="48">
        <f>IF(Offerte!$A28="","",Offerte!$B28)</f>
        <v/>
      </c>
      <c r="C819" s="48">
        <f>IF(Offerte!$A28="","",Offerte!$C28)</f>
        <v/>
      </c>
      <c r="D819" s="48" t="inlineStr">
        <is>
          <t>C.1.2</t>
        </is>
      </c>
      <c r="E819" s="48" t="inlineStr">
        <is>
          <t>C</t>
        </is>
      </c>
      <c r="F819" s="48" t="inlineStr">
        <is>
          <t>Q</t>
        </is>
      </c>
      <c r="G819" s="48" t="inlineStr">
        <is>
          <t>higher</t>
        </is>
      </c>
      <c r="H819" s="48" t="n">
        <v>2</v>
      </c>
      <c r="I819" s="48" t="inlineStr">
        <is>
          <t>Tasso di copertura del servizio con telecamere ADAS</t>
        </is>
      </c>
      <c r="J819" s="73" t="n"/>
      <c r="K819" s="73" t="n"/>
      <c r="L819" s="73" t="n"/>
      <c r="M819" s="73" t="n"/>
      <c r="N819" s="57">
        <f>IF($A819="","",IFERROR(VALUE($K819)/VALUE($L819),IFERROR(VALUE($J819),0)))</f>
        <v/>
      </c>
      <c r="O819" s="57">
        <f>IF($A819="",0,IF(OR($S819&lt;&gt;1,COUNTA($J819:$M819)=0),0,IF(SUMPRODUCT(MAX(($C$5:$C$2484=$C819)*($D$5:$D$2484=$D819)*($S$5:$S$2484=1)*IFERROR($N$5:$N$2484*1,0)))&gt;0,ROUND($H819*($N819/SUMPRODUCT(MAX(($C$5:$C$2484=$C819)*($D$5:$D$2484=$D819)*($S$5:$S$2484=1)*IFERROR($N$5:$N$2484*1,0)))),4),0)))</f>
        <v/>
      </c>
      <c r="P819" s="48" t="inlineStr">
        <is>
          <t>Autobus attrezzati con telecamere ADAS / Autobus totali in offerta, incluse scorte</t>
        </is>
      </c>
      <c r="Q819" s="57">
        <f>IF($A819="","",$A819&amp;"|"&amp;$C819)</f>
        <v/>
      </c>
      <c r="R819" s="57">
        <f>IF($A819="","",$A819&amp;"|"&amp;$C819&amp;"|"&amp;$D819)</f>
        <v/>
      </c>
      <c r="S819" s="57">
        <f>IF($A819="","",IFERROR(INDEX(Offerte!$D$2:$D$81,MATCH($Q819,Offerte!$L$2:$L$81,0)),0))</f>
        <v/>
      </c>
      <c r="T819" s="57">
        <f>IF($A819="","",IFERROR(INDEX(Offerte!$G$2:$G$81,MATCH($Q819,Offerte!$L$2:$L$81,0)),"NO"))</f>
        <v/>
      </c>
    </row>
    <row r="820">
      <c r="A820" s="48">
        <f>IF(Offerte!$A28="","",Offerte!$A28)</f>
        <v/>
      </c>
      <c r="B820" s="48">
        <f>IF(Offerte!$A28="","",Offerte!$B28)</f>
        <v/>
      </c>
      <c r="C820" s="48">
        <f>IF(Offerte!$A28="","",Offerte!$C28)</f>
        <v/>
      </c>
      <c r="D820" s="48" t="inlineStr">
        <is>
          <t>C.2.1</t>
        </is>
      </c>
      <c r="E820" s="48" t="inlineStr">
        <is>
          <t>C</t>
        </is>
      </c>
      <c r="F820" s="48" t="inlineStr">
        <is>
          <t>Q</t>
        </is>
      </c>
      <c r="G820" s="48" t="inlineStr">
        <is>
          <t>higher</t>
        </is>
      </c>
      <c r="H820" s="48" t="n">
        <v>3</v>
      </c>
      <c r="I820" s="48" t="inlineStr">
        <is>
          <t>Tasso di copertura del servizio con telecamere di bordo di videosorveglianza</t>
        </is>
      </c>
      <c r="J820" s="73" t="n"/>
      <c r="K820" s="73" t="n"/>
      <c r="L820" s="73" t="n"/>
      <c r="M820" s="73" t="n"/>
      <c r="N820" s="57">
        <f>IF($A820="","",IFERROR(VALUE($K820)/VALUE($L820),IFERROR(VALUE($J820),0)))</f>
        <v/>
      </c>
      <c r="O820" s="57">
        <f>IF($A820="",0,IF(OR($S820&lt;&gt;1,COUNTA($J820:$M820)=0),0,IF(SUMPRODUCT(MAX(($C$5:$C$2484=$C820)*($D$5:$D$2484=$D820)*($S$5:$S$2484=1)*IFERROR($N$5:$N$2484*1,0)))&gt;0,ROUND($H820*($N820/SUMPRODUCT(MAX(($C$5:$C$2484=$C820)*($D$5:$D$2484=$D820)*($S$5:$S$2484=1)*IFERROR($N$5:$N$2484*1,0)))),4),0)))</f>
        <v/>
      </c>
      <c r="P820" s="48" t="inlineStr">
        <is>
          <t>Autobus attrezzati con videosorveglianza / Autobus totali in offerta, incluse scorte</t>
        </is>
      </c>
      <c r="Q820" s="57">
        <f>IF($A820="","",$A820&amp;"|"&amp;$C820)</f>
        <v/>
      </c>
      <c r="R820" s="57">
        <f>IF($A820="","",$A820&amp;"|"&amp;$C820&amp;"|"&amp;$D820)</f>
        <v/>
      </c>
      <c r="S820" s="57">
        <f>IF($A820="","",IFERROR(INDEX(Offerte!$D$2:$D$81,MATCH($Q820,Offerte!$L$2:$L$81,0)),0))</f>
        <v/>
      </c>
      <c r="T820" s="57">
        <f>IF($A820="","",IFERROR(INDEX(Offerte!$G$2:$G$81,MATCH($Q820,Offerte!$L$2:$L$81,0)),"NO"))</f>
        <v/>
      </c>
    </row>
    <row r="821">
      <c r="A821" s="48">
        <f>IF(Offerte!$A28="","",Offerte!$A28)</f>
        <v/>
      </c>
      <c r="B821" s="48">
        <f>IF(Offerte!$A28="","",Offerte!$B28)</f>
        <v/>
      </c>
      <c r="C821" s="48">
        <f>IF(Offerte!$A28="","",Offerte!$C28)</f>
        <v/>
      </c>
      <c r="D821" s="48" t="inlineStr">
        <is>
          <t>C.2.2</t>
        </is>
      </c>
      <c r="E821" s="48" t="inlineStr">
        <is>
          <t>C</t>
        </is>
      </c>
      <c r="F821" s="48" t="inlineStr">
        <is>
          <t>T</t>
        </is>
      </c>
      <c r="G821" s="48" t="inlineStr">
        <is>
          <t>tabular</t>
        </is>
      </c>
      <c r="H821" s="48" t="n">
        <v>1</v>
      </c>
      <c r="I821" s="48" t="inlineStr">
        <is>
          <t>Software video/audio analisi per situazioni di pericolo</t>
        </is>
      </c>
      <c r="J821" s="73" t="n"/>
      <c r="K821" s="73" t="n"/>
      <c r="L821" s="73" t="n"/>
      <c r="M821" s="73" t="n"/>
      <c r="N821" s="57">
        <f>IF($A821="","",IF(IFERROR(VALUE($M821),0)=1,1,0))</f>
        <v/>
      </c>
      <c r="O821" s="57">
        <f>IF($A821="",0,IF(OR($S821&lt;&gt;1,COUNTA($J821:$M821)=0),0,IF($N821=1,$H821,0)))</f>
        <v/>
      </c>
      <c r="P821" s="48" t="inlineStr">
        <is>
          <t>sì/no</t>
        </is>
      </c>
      <c r="Q821" s="57">
        <f>IF($A821="","",$A821&amp;"|"&amp;$C821)</f>
        <v/>
      </c>
      <c r="R821" s="57">
        <f>IF($A821="","",$A821&amp;"|"&amp;$C821&amp;"|"&amp;$D821)</f>
        <v/>
      </c>
      <c r="S821" s="57">
        <f>IF($A821="","",IFERROR(INDEX(Offerte!$D$2:$D$81,MATCH($Q821,Offerte!$L$2:$L$81,0)),0))</f>
        <v/>
      </c>
      <c r="T821" s="57">
        <f>IF($A821="","",IFERROR(INDEX(Offerte!$G$2:$G$81,MATCH($Q821,Offerte!$L$2:$L$81,0)),"NO"))</f>
        <v/>
      </c>
    </row>
    <row r="822">
      <c r="A822" s="48">
        <f>IF(Offerte!$A28="","",Offerte!$A28)</f>
        <v/>
      </c>
      <c r="B822" s="48">
        <f>IF(Offerte!$A28="","",Offerte!$B28)</f>
        <v/>
      </c>
      <c r="C822" s="48">
        <f>IF(Offerte!$A28="","",Offerte!$C28)</f>
        <v/>
      </c>
      <c r="D822" s="48" t="inlineStr">
        <is>
          <t>C.2.3</t>
        </is>
      </c>
      <c r="E822" s="48" t="inlineStr">
        <is>
          <t>C</t>
        </is>
      </c>
      <c r="F822" s="48" t="inlineStr">
        <is>
          <t>T</t>
        </is>
      </c>
      <c r="G822" s="48" t="inlineStr">
        <is>
          <t>tabular</t>
        </is>
      </c>
      <c r="H822" s="48" t="n">
        <v>1</v>
      </c>
      <c r="I822" s="48" t="inlineStr">
        <is>
          <t>Collegamento con centrale qualificata di pronto intervento</t>
        </is>
      </c>
      <c r="J822" s="73" t="n"/>
      <c r="K822" s="73" t="n"/>
      <c r="L822" s="73" t="n"/>
      <c r="M822" s="73" t="n"/>
      <c r="N822" s="57">
        <f>IF($A822="","",IF(IFERROR(VALUE($M822),0)=1,1,0))</f>
        <v/>
      </c>
      <c r="O822" s="57">
        <f>IF($A822="",0,IF(OR($S822&lt;&gt;1,COUNTA($J822:$M822)=0),0,IF($N822=1,$H822,0)))</f>
        <v/>
      </c>
      <c r="P822" s="48" t="inlineStr">
        <is>
          <t>sì/no</t>
        </is>
      </c>
      <c r="Q822" s="57">
        <f>IF($A822="","",$A822&amp;"|"&amp;$C822)</f>
        <v/>
      </c>
      <c r="R822" s="57">
        <f>IF($A822="","",$A822&amp;"|"&amp;$C822&amp;"|"&amp;$D822)</f>
        <v/>
      </c>
      <c r="S822" s="57">
        <f>IF($A822="","",IFERROR(INDEX(Offerte!$D$2:$D$81,MATCH($Q822,Offerte!$L$2:$L$81,0)),0))</f>
        <v/>
      </c>
      <c r="T822" s="57">
        <f>IF($A822="","",IFERROR(INDEX(Offerte!$G$2:$G$81,MATCH($Q822,Offerte!$L$2:$L$81,0)),"NO"))</f>
        <v/>
      </c>
    </row>
    <row r="823">
      <c r="A823" s="48">
        <f>IF(Offerte!$A28="","",Offerte!$A28)</f>
        <v/>
      </c>
      <c r="B823" s="48">
        <f>IF(Offerte!$A28="","",Offerte!$B28)</f>
        <v/>
      </c>
      <c r="C823" s="48">
        <f>IF(Offerte!$A28="","",Offerte!$C28)</f>
        <v/>
      </c>
      <c r="D823" s="48" t="inlineStr">
        <is>
          <t>C.2.4</t>
        </is>
      </c>
      <c r="E823" s="48" t="inlineStr">
        <is>
          <t>C</t>
        </is>
      </c>
      <c r="F823" s="48" t="inlineStr">
        <is>
          <t>Q</t>
        </is>
      </c>
      <c r="G823" s="48" t="inlineStr">
        <is>
          <t>higher</t>
        </is>
      </c>
      <c r="H823" s="48" t="n">
        <v>1</v>
      </c>
      <c r="I823" s="48" t="inlineStr">
        <is>
          <t>Tasso di copertura del servizio con dispositivi per la chiamata di emergenza del conducente</t>
        </is>
      </c>
      <c r="J823" s="73" t="n"/>
      <c r="K823" s="73" t="n"/>
      <c r="L823" s="73" t="n"/>
      <c r="M823" s="73" t="n"/>
      <c r="N823" s="57">
        <f>IF($A823="","",IFERROR(VALUE($K823)/VALUE($L823),IFERROR(VALUE($J823),0)))</f>
        <v/>
      </c>
      <c r="O823" s="57">
        <f>IF($A823="",0,IF(OR($S823&lt;&gt;1,COUNTA($J823:$M823)=0),0,IF(SUMPRODUCT(MAX(($C$5:$C$2484=$C823)*($D$5:$D$2484=$D823)*($S$5:$S$2484=1)*IFERROR($N$5:$N$2484*1,0)))&gt;0,ROUND($H823*($N823/SUMPRODUCT(MAX(($C$5:$C$2484=$C823)*($D$5:$D$2484=$D823)*($S$5:$S$2484=1)*IFERROR($N$5:$N$2484*1,0)))),4),0)))</f>
        <v/>
      </c>
      <c r="P823" s="48" t="inlineStr">
        <is>
          <t>Autobus attrezzati con chiamata di emergenza / Autobus totali in offerta, incluse scorte</t>
        </is>
      </c>
      <c r="Q823" s="57">
        <f>IF($A823="","",$A823&amp;"|"&amp;$C823)</f>
        <v/>
      </c>
      <c r="R823" s="57">
        <f>IF($A823="","",$A823&amp;"|"&amp;$C823&amp;"|"&amp;$D823)</f>
        <v/>
      </c>
      <c r="S823" s="57">
        <f>IF($A823="","",IFERROR(INDEX(Offerte!$D$2:$D$81,MATCH($Q823,Offerte!$L$2:$L$81,0)),0))</f>
        <v/>
      </c>
      <c r="T823" s="57">
        <f>IF($A823="","",IFERROR(INDEX(Offerte!$G$2:$G$81,MATCH($Q823,Offerte!$L$2:$L$81,0)),"NO"))</f>
        <v/>
      </c>
    </row>
    <row r="824">
      <c r="A824" s="48">
        <f>IF(Offerte!$A28="","",Offerte!$A28)</f>
        <v/>
      </c>
      <c r="B824" s="48">
        <f>IF(Offerte!$A28="","",Offerte!$B28)</f>
        <v/>
      </c>
      <c r="C824" s="48">
        <f>IF(Offerte!$A28="","",Offerte!$C28)</f>
        <v/>
      </c>
      <c r="D824" s="48" t="inlineStr">
        <is>
          <t>C.3.1</t>
        </is>
      </c>
      <c r="E824" s="48" t="inlineStr">
        <is>
          <t>C</t>
        </is>
      </c>
      <c r="F824" s="48" t="inlineStr">
        <is>
          <t>Q</t>
        </is>
      </c>
      <c r="G824" s="48" t="inlineStr">
        <is>
          <t>higher</t>
        </is>
      </c>
      <c r="H824" s="48" t="n">
        <v>2</v>
      </c>
      <c r="I824" s="48" t="inlineStr">
        <is>
          <t>Tasso di copertura del servizio con dispositivi di informazione dinamica a bordo mezzo</t>
        </is>
      </c>
      <c r="J824" s="73" t="n"/>
      <c r="K824" s="73" t="n"/>
      <c r="L824" s="73" t="n"/>
      <c r="M824" s="73" t="n"/>
      <c r="N824" s="57">
        <f>IF($A824="","",IFERROR(VALUE($K824)/VALUE($L824),IFERROR(VALUE($J824),0)))</f>
        <v/>
      </c>
      <c r="O824" s="57">
        <f>IF($A824="",0,IF(OR($S824&lt;&gt;1,COUNTA($J824:$M824)=0),0,IF(SUMPRODUCT(MAX(($C$5:$C$2484=$C824)*($D$5:$D$2484=$D824)*($S$5:$S$2484=1)*IFERROR($N$5:$N$2484*1,0)))&gt;0,ROUND($H824*($N824/SUMPRODUCT(MAX(($C$5:$C$2484=$C824)*($D$5:$D$2484=$D824)*($S$5:$S$2484=1)*IFERROR($N$5:$N$2484*1,0)))),4),0)))</f>
        <v/>
      </c>
      <c r="P824" s="48" t="inlineStr">
        <is>
          <t>Autobus con monitor e indicatori vocali / Autobus totali in offerta, incluse scorte</t>
        </is>
      </c>
      <c r="Q824" s="57">
        <f>IF($A824="","",$A824&amp;"|"&amp;$C824)</f>
        <v/>
      </c>
      <c r="R824" s="57">
        <f>IF($A824="","",$A824&amp;"|"&amp;$C824&amp;"|"&amp;$D824)</f>
        <v/>
      </c>
      <c r="S824" s="57">
        <f>IF($A824="","",IFERROR(INDEX(Offerte!$D$2:$D$81,MATCH($Q824,Offerte!$L$2:$L$81,0)),0))</f>
        <v/>
      </c>
      <c r="T824" s="57">
        <f>IF($A824="","",IFERROR(INDEX(Offerte!$G$2:$G$81,MATCH($Q824,Offerte!$L$2:$L$81,0)),"NO"))</f>
        <v/>
      </c>
    </row>
    <row r="825">
      <c r="A825" s="48">
        <f>IF(Offerte!$A28="","",Offerte!$A28)</f>
        <v/>
      </c>
      <c r="B825" s="48">
        <f>IF(Offerte!$A28="","",Offerte!$B28)</f>
        <v/>
      </c>
      <c r="C825" s="48">
        <f>IF(Offerte!$A28="","",Offerte!$C28)</f>
        <v/>
      </c>
      <c r="D825" s="48" t="inlineStr">
        <is>
          <t>C.3.2</t>
        </is>
      </c>
      <c r="E825" s="48" t="inlineStr">
        <is>
          <t>C</t>
        </is>
      </c>
      <c r="F825" s="48" t="inlineStr">
        <is>
          <t>T</t>
        </is>
      </c>
      <c r="G825" s="48" t="inlineStr">
        <is>
          <t>tabular</t>
        </is>
      </c>
      <c r="H825" s="48" t="n">
        <v>2</v>
      </c>
      <c r="I825" s="48" t="inlineStr">
        <is>
          <t>Informazioni a bordo su coincidenze ai nodi</t>
        </is>
      </c>
      <c r="J825" s="73" t="n"/>
      <c r="K825" s="73" t="n"/>
      <c r="L825" s="73" t="n"/>
      <c r="M825" s="73" t="n"/>
      <c r="N825" s="57">
        <f>IF($A825="","",IF(IFERROR(VALUE($M825),0)=1,1,0))</f>
        <v/>
      </c>
      <c r="O825" s="57">
        <f>IF($A825="",0,IF(OR($S825&lt;&gt;1,COUNTA($J825:$M825)=0),0,IF(AND($N825=1,IFERROR(SUMIFS($N$5:$N$2484,$Q$5:$Q$2484,$Q825,$D$5:$D$2484,"C.3.1"),0)&gt;=0.5),$H825,0)))</f>
        <v/>
      </c>
      <c r="P825" s="48" t="inlineStr">
        <is>
          <t>Dipende da C.3.1 &gt;= 0.5</t>
        </is>
      </c>
      <c r="Q825" s="57">
        <f>IF($A825="","",$A825&amp;"|"&amp;$C825)</f>
        <v/>
      </c>
      <c r="R825" s="57">
        <f>IF($A825="","",$A825&amp;"|"&amp;$C825&amp;"|"&amp;$D825)</f>
        <v/>
      </c>
      <c r="S825" s="57">
        <f>IF($A825="","",IFERROR(INDEX(Offerte!$D$2:$D$81,MATCH($Q825,Offerte!$L$2:$L$81,0)),0))</f>
        <v/>
      </c>
      <c r="T825" s="57">
        <f>IF($A825="","",IFERROR(INDEX(Offerte!$G$2:$G$81,MATCH($Q825,Offerte!$L$2:$L$81,0)),"NO"))</f>
        <v/>
      </c>
    </row>
    <row r="826">
      <c r="A826" s="48">
        <f>IF(Offerte!$A28="","",Offerte!$A28)</f>
        <v/>
      </c>
      <c r="B826" s="48">
        <f>IF(Offerte!$A28="","",Offerte!$B28)</f>
        <v/>
      </c>
      <c r="C826" s="48">
        <f>IF(Offerte!$A28="","",Offerte!$C28)</f>
        <v/>
      </c>
      <c r="D826" s="48" t="inlineStr">
        <is>
          <t>D.1.1</t>
        </is>
      </c>
      <c r="E826" s="48" t="inlineStr">
        <is>
          <t>D</t>
        </is>
      </c>
      <c r="F826" s="48" t="inlineStr">
        <is>
          <t>Q</t>
        </is>
      </c>
      <c r="G826" s="48" t="inlineStr">
        <is>
          <t>higher</t>
        </is>
      </c>
      <c r="H826" s="48" t="n">
        <v>3</v>
      </c>
      <c r="I826" s="48" t="inlineStr">
        <is>
          <t>Installazione di pensiline</t>
        </is>
      </c>
      <c r="J826" s="73" t="n"/>
      <c r="K826" s="73" t="n"/>
      <c r="L826" s="73" t="n"/>
      <c r="M826" s="73" t="n"/>
      <c r="N826" s="57">
        <f>IF($A826="","",IFERROR(VALUE($J826),0))</f>
        <v/>
      </c>
      <c r="O826" s="57">
        <f>IF($A826="",0,IF(OR($S826&lt;&gt;1,COUNTA($J826:$M826)=0),0,IF(SUMPRODUCT(MAX(($C$5:$C$2484=$C826)*($D$5:$D$2484=$D826)*($S$5:$S$2484=1)*IFERROR($N$5:$N$2484*1,0)))&gt;0,ROUND($H826*($N826/SUMPRODUCT(MAX(($C$5:$C$2484=$C826)*($D$5:$D$2484=$D826)*($S$5:$S$2484=1)*IFERROR($N$5:$N$2484*1,0)))),4),0)))</f>
        <v/>
      </c>
      <c r="P826" s="48" t="inlineStr">
        <is>
          <t>fermate</t>
        </is>
      </c>
      <c r="Q826" s="57">
        <f>IF($A826="","",$A826&amp;"|"&amp;$C826)</f>
        <v/>
      </c>
      <c r="R826" s="57">
        <f>IF($A826="","",$A826&amp;"|"&amp;$C826&amp;"|"&amp;$D826)</f>
        <v/>
      </c>
      <c r="S826" s="57">
        <f>IF($A826="","",IFERROR(INDEX(Offerte!$D$2:$D$81,MATCH($Q826,Offerte!$L$2:$L$81,0)),0))</f>
        <v/>
      </c>
      <c r="T826" s="57">
        <f>IF($A826="","",IFERROR(INDEX(Offerte!$G$2:$G$81,MATCH($Q826,Offerte!$L$2:$L$81,0)),"NO"))</f>
        <v/>
      </c>
    </row>
    <row r="827">
      <c r="A827" s="48">
        <f>IF(Offerte!$A28="","",Offerte!$A28)</f>
        <v/>
      </c>
      <c r="B827" s="48">
        <f>IF(Offerte!$A28="","",Offerte!$B28)</f>
        <v/>
      </c>
      <c r="C827" s="48">
        <f>IF(Offerte!$A28="","",Offerte!$C28)</f>
        <v/>
      </c>
      <c r="D827" s="48" t="inlineStr">
        <is>
          <t>D.1.2</t>
        </is>
      </c>
      <c r="E827" s="48" t="inlineStr">
        <is>
          <t>D</t>
        </is>
      </c>
      <c r="F827" s="48" t="inlineStr">
        <is>
          <t>Q</t>
        </is>
      </c>
      <c r="G827" s="48" t="inlineStr">
        <is>
          <t>higher</t>
        </is>
      </c>
      <c r="H827" s="48" t="n">
        <v>3</v>
      </c>
      <c r="I827" s="48" t="inlineStr">
        <is>
          <t>Installazione di paline di fermata conformi alla DGR 581/2023</t>
        </is>
      </c>
      <c r="J827" s="73" t="n"/>
      <c r="K827" s="73" t="n"/>
      <c r="L827" s="73" t="n"/>
      <c r="M827" s="73" t="n"/>
      <c r="N827" s="57">
        <f>IF($A827="","",IFERROR(VALUE($J827),0))</f>
        <v/>
      </c>
      <c r="O827" s="57">
        <f>IF($A827="",0,IF(OR($S827&lt;&gt;1,COUNTA($J827:$M827)=0),0,IF(SUMPRODUCT(MAX(($C$5:$C$2484=$C827)*($D$5:$D$2484=$D827)*($S$5:$S$2484=1)*IFERROR($N$5:$N$2484*1,0)))&gt;0,ROUND($H827*($N827/SUMPRODUCT(MAX(($C$5:$C$2484=$C827)*($D$5:$D$2484=$D827)*($S$5:$S$2484=1)*IFERROR($N$5:$N$2484*1,0)))),4),0)))</f>
        <v/>
      </c>
      <c r="P827" s="48" t="inlineStr">
        <is>
          <t>fermate</t>
        </is>
      </c>
      <c r="Q827" s="57">
        <f>IF($A827="","",$A827&amp;"|"&amp;$C827)</f>
        <v/>
      </c>
      <c r="R827" s="57">
        <f>IF($A827="","",$A827&amp;"|"&amp;$C827&amp;"|"&amp;$D827)</f>
        <v/>
      </c>
      <c r="S827" s="57">
        <f>IF($A827="","",IFERROR(INDEX(Offerte!$D$2:$D$81,MATCH($Q827,Offerte!$L$2:$L$81,0)),0))</f>
        <v/>
      </c>
      <c r="T827" s="57">
        <f>IF($A827="","",IFERROR(INDEX(Offerte!$G$2:$G$81,MATCH($Q827,Offerte!$L$2:$L$81,0)),"NO"))</f>
        <v/>
      </c>
    </row>
    <row r="828">
      <c r="A828" s="48">
        <f>IF(Offerte!$A28="","",Offerte!$A28)</f>
        <v/>
      </c>
      <c r="B828" s="48">
        <f>IF(Offerte!$A28="","",Offerte!$B28)</f>
        <v/>
      </c>
      <c r="C828" s="48">
        <f>IF(Offerte!$A28="","",Offerte!$C28)</f>
        <v/>
      </c>
      <c r="D828" s="48" t="inlineStr">
        <is>
          <t>D.1.3</t>
        </is>
      </c>
      <c r="E828" s="48" t="inlineStr">
        <is>
          <t>D</t>
        </is>
      </c>
      <c r="F828" s="48" t="inlineStr">
        <is>
          <t>Q</t>
        </is>
      </c>
      <c r="G828" s="48" t="inlineStr">
        <is>
          <t>higher</t>
        </is>
      </c>
      <c r="H828" s="48" t="n">
        <v>2</v>
      </c>
      <c r="I828" s="48" t="inlineStr">
        <is>
          <t>Display informativi connessi alle fermate</t>
        </is>
      </c>
      <c r="J828" s="73" t="n"/>
      <c r="K828" s="73" t="n"/>
      <c r="L828" s="73" t="n"/>
      <c r="M828" s="73" t="n"/>
      <c r="N828" s="57">
        <f>IF($A828="","",IFERROR(VALUE($J828),0))</f>
        <v/>
      </c>
      <c r="O828" s="57">
        <f>IF($A828="",0,IF(OR($S828&lt;&gt;1,COUNTA($J828:$M828)=0),0,IF(SUMPRODUCT(MAX(($C$5:$C$2484=$C828)*($D$5:$D$2484=$D828)*($S$5:$S$2484=1)*IFERROR($N$5:$N$2484*1,0)))&gt;0,ROUND($H828*($N828/SUMPRODUCT(MAX(($C$5:$C$2484=$C828)*($D$5:$D$2484=$D828)*($S$5:$S$2484=1)*IFERROR($N$5:$N$2484*1,0)))),4),0)))</f>
        <v/>
      </c>
      <c r="P828" s="48" t="inlineStr">
        <is>
          <t>fermate</t>
        </is>
      </c>
      <c r="Q828" s="57">
        <f>IF($A828="","",$A828&amp;"|"&amp;$C828)</f>
        <v/>
      </c>
      <c r="R828" s="57">
        <f>IF($A828="","",$A828&amp;"|"&amp;$C828&amp;"|"&amp;$D828)</f>
        <v/>
      </c>
      <c r="S828" s="57">
        <f>IF($A828="","",IFERROR(INDEX(Offerte!$D$2:$D$81,MATCH($Q828,Offerte!$L$2:$L$81,0)),0))</f>
        <v/>
      </c>
      <c r="T828" s="57">
        <f>IF($A828="","",IFERROR(INDEX(Offerte!$G$2:$G$81,MATCH($Q828,Offerte!$L$2:$L$81,0)),"NO"))</f>
        <v/>
      </c>
    </row>
    <row r="829">
      <c r="A829" s="48">
        <f>IF(Offerte!$A28="","",Offerte!$A28)</f>
        <v/>
      </c>
      <c r="B829" s="48">
        <f>IF(Offerte!$A28="","",Offerte!$B28)</f>
        <v/>
      </c>
      <c r="C829" s="48">
        <f>IF(Offerte!$A28="","",Offerte!$C28)</f>
        <v/>
      </c>
      <c r="D829" s="48" t="inlineStr">
        <is>
          <t>D.2.1</t>
        </is>
      </c>
      <c r="E829" s="48" t="inlineStr">
        <is>
          <t>D</t>
        </is>
      </c>
      <c r="F829" s="48" t="inlineStr">
        <is>
          <t>Q</t>
        </is>
      </c>
      <c r="G829" s="48" t="inlineStr">
        <is>
          <t>higher</t>
        </is>
      </c>
      <c r="H829" s="48" t="n">
        <v>2</v>
      </c>
      <c r="I829" s="48" t="inlineStr">
        <is>
          <t>Segnali tattili Loges-Vet-Evolution</t>
        </is>
      </c>
      <c r="J829" s="73" t="n"/>
      <c r="K829" s="73" t="n"/>
      <c r="L829" s="73" t="n"/>
      <c r="M829" s="73" t="n"/>
      <c r="N829" s="57">
        <f>IF($A829="","",IFERROR(VALUE($J829),0))</f>
        <v/>
      </c>
      <c r="O829" s="57">
        <f>IF($A829="",0,IF(OR($S829&lt;&gt;1,COUNTA($J829:$M829)=0),0,IF(SUMPRODUCT(MAX(($C$5:$C$2484=$C829)*($D$5:$D$2484=$D829)*($S$5:$S$2484=1)*IFERROR($N$5:$N$2484*1,0)))&gt;0,ROUND($H829*($N829/SUMPRODUCT(MAX(($C$5:$C$2484=$C829)*($D$5:$D$2484=$D829)*($S$5:$S$2484=1)*IFERROR($N$5:$N$2484*1,0)))),4),0)))</f>
        <v/>
      </c>
      <c r="P829" s="48" t="inlineStr">
        <is>
          <t>fermate</t>
        </is>
      </c>
      <c r="Q829" s="57">
        <f>IF($A829="","",$A829&amp;"|"&amp;$C829)</f>
        <v/>
      </c>
      <c r="R829" s="57">
        <f>IF($A829="","",$A829&amp;"|"&amp;$C829&amp;"|"&amp;$D829)</f>
        <v/>
      </c>
      <c r="S829" s="57">
        <f>IF($A829="","",IFERROR(INDEX(Offerte!$D$2:$D$81,MATCH($Q829,Offerte!$L$2:$L$81,0)),0))</f>
        <v/>
      </c>
      <c r="T829" s="57">
        <f>IF($A829="","",IFERROR(INDEX(Offerte!$G$2:$G$81,MATCH($Q829,Offerte!$L$2:$L$81,0)),"NO"))</f>
        <v/>
      </c>
    </row>
    <row r="830">
      <c r="A830" s="48">
        <f>IF(Offerte!$A28="","",Offerte!$A28)</f>
        <v/>
      </c>
      <c r="B830" s="48">
        <f>IF(Offerte!$A28="","",Offerte!$B28)</f>
        <v/>
      </c>
      <c r="C830" s="48">
        <f>IF(Offerte!$A28="","",Offerte!$C28)</f>
        <v/>
      </c>
      <c r="D830" s="48" t="inlineStr">
        <is>
          <t>E.1.1</t>
        </is>
      </c>
      <c r="E830" s="48" t="inlineStr">
        <is>
          <t>E</t>
        </is>
      </c>
      <c r="F830" s="48" t="inlineStr">
        <is>
          <t>T</t>
        </is>
      </c>
      <c r="G830" s="48" t="inlineStr">
        <is>
          <t>tabular</t>
        </is>
      </c>
      <c r="H830" s="48" t="n">
        <v>2</v>
      </c>
      <c r="I830" s="48" t="inlineStr">
        <is>
          <t>Mobile app con travel planner PRM</t>
        </is>
      </c>
      <c r="J830" s="73" t="n"/>
      <c r="K830" s="73" t="n"/>
      <c r="L830" s="73" t="n"/>
      <c r="M830" s="73" t="n"/>
      <c r="N830" s="57">
        <f>IF($A830="","",IF(IFERROR(VALUE($M830),0)=1,1,0))</f>
        <v/>
      </c>
      <c r="O830" s="57">
        <f>IF($A830="",0,IF(OR($S830&lt;&gt;1,COUNTA($J830:$M830)=0),0,IF($N830=1,$H830,0)))</f>
        <v/>
      </c>
      <c r="P830" s="48" t="inlineStr">
        <is>
          <t>sì/no</t>
        </is>
      </c>
      <c r="Q830" s="57">
        <f>IF($A830="","",$A830&amp;"|"&amp;$C830)</f>
        <v/>
      </c>
      <c r="R830" s="57">
        <f>IF($A830="","",$A830&amp;"|"&amp;$C830&amp;"|"&amp;$D830)</f>
        <v/>
      </c>
      <c r="S830" s="57">
        <f>IF($A830="","",IFERROR(INDEX(Offerte!$D$2:$D$81,MATCH($Q830,Offerte!$L$2:$L$81,0)),0))</f>
        <v/>
      </c>
      <c r="T830" s="57">
        <f>IF($A830="","",IFERROR(INDEX(Offerte!$G$2:$G$81,MATCH($Q830,Offerte!$L$2:$L$81,0)),"NO"))</f>
        <v/>
      </c>
    </row>
    <row r="831">
      <c r="A831" s="48">
        <f>IF(Offerte!$A28="","",Offerte!$A28)</f>
        <v/>
      </c>
      <c r="B831" s="48">
        <f>IF(Offerte!$A28="","",Offerte!$B28)</f>
        <v/>
      </c>
      <c r="C831" s="48">
        <f>IF(Offerte!$A28="","",Offerte!$C28)</f>
        <v/>
      </c>
      <c r="D831" s="48" t="inlineStr">
        <is>
          <t>E.2.1</t>
        </is>
      </c>
      <c r="E831" s="48" t="inlineStr">
        <is>
          <t>E</t>
        </is>
      </c>
      <c r="F831" s="48" t="inlineStr">
        <is>
          <t>D</t>
        </is>
      </c>
      <c r="G831" s="48" t="inlineStr">
        <is>
          <t>discretionary</t>
        </is>
      </c>
      <c r="H831" s="48" t="n">
        <v>2</v>
      </c>
      <c r="I831" s="48" t="inlineStr">
        <is>
          <t>Altre azioni informative e rapporti con gli utenti</t>
        </is>
      </c>
      <c r="J831" s="73" t="n"/>
      <c r="K831" s="73" t="n"/>
      <c r="L831" s="73" t="n"/>
      <c r="M831" s="73" t="n"/>
      <c r="N831" s="57">
        <f>IF($A831="","",MAX(0,MIN(1,IFERROR(VALUE($M831),0))))</f>
        <v/>
      </c>
      <c r="O831" s="57">
        <f>IF($A831="",0,IF(OR($S831&lt;&gt;1,COUNTA($J831:$M831)=0),0,IF(SUMPRODUCT(MAX(($C$5:$C$2484=$C831)*($D$5:$D$2484=$D831)*($S$5:$S$2484=1)*IFERROR($N$5:$N$2484*1,0)))&gt;0,ROUND($H831*($N831/SUMPRODUCT(MAX(($C$5:$C$2484=$C831)*($D$5:$D$2484=$D831)*($S$5:$S$2484=1)*IFERROR($N$5:$N$2484*1,0)))),4),0)))</f>
        <v/>
      </c>
      <c r="P831" s="48" t="inlineStr">
        <is>
          <t>coeff.</t>
        </is>
      </c>
      <c r="Q831" s="57">
        <f>IF($A831="","",$A831&amp;"|"&amp;$C831)</f>
        <v/>
      </c>
      <c r="R831" s="57">
        <f>IF($A831="","",$A831&amp;"|"&amp;$C831&amp;"|"&amp;$D831)</f>
        <v/>
      </c>
      <c r="S831" s="57">
        <f>IF($A831="","",IFERROR(INDEX(Offerte!$D$2:$D$81,MATCH($Q831,Offerte!$L$2:$L$81,0)),0))</f>
        <v/>
      </c>
      <c r="T831" s="57">
        <f>IF($A831="","",IFERROR(INDEX(Offerte!$G$2:$G$81,MATCH($Q831,Offerte!$L$2:$L$81,0)),"NO"))</f>
        <v/>
      </c>
    </row>
    <row r="832">
      <c r="A832" s="48">
        <f>IF(Offerte!$A28="","",Offerte!$A28)</f>
        <v/>
      </c>
      <c r="B832" s="48">
        <f>IF(Offerte!$A28="","",Offerte!$B28)</f>
        <v/>
      </c>
      <c r="C832" s="48">
        <f>IF(Offerte!$A28="","",Offerte!$C28)</f>
        <v/>
      </c>
      <c r="D832" s="48" t="inlineStr">
        <is>
          <t>F.1.1</t>
        </is>
      </c>
      <c r="E832" s="48" t="inlineStr">
        <is>
          <t>F</t>
        </is>
      </c>
      <c r="F832" s="48" t="inlineStr">
        <is>
          <t>Q</t>
        </is>
      </c>
      <c r="G832" s="48" t="inlineStr">
        <is>
          <t>lower</t>
        </is>
      </c>
      <c r="H832" s="48" t="n">
        <v>7</v>
      </c>
      <c r="I832" s="48" t="inlineStr">
        <is>
          <t>Performance ambientali del parco mezzi adibito al servizio - I_CEA</t>
        </is>
      </c>
      <c r="J832" s="73" t="n"/>
      <c r="K832" s="73" t="n"/>
      <c r="L832" s="73" t="n"/>
      <c r="M832" s="73" t="n"/>
      <c r="N832" s="57">
        <f>IF($A832="","",IFERROR(VALUE($J832),0))</f>
        <v/>
      </c>
      <c r="O832" s="57">
        <f>IF($A832="",0,IF(OR($S832&lt;&gt;1,COUNTA($J832:$M832)=0),0,IF(AND(IFERROR(AGGREGATE(15,6,$N$5:$N$2484/(($C$5:$C$2484=$C832)*($D$5:$D$2484=$D832)*($S$5:$S$2484=1)*($N$5:$N$2484&gt;0)),1),0)&gt;0,$N832&gt;0),ROUND($H832*(IFERROR(AGGREGATE(15,6,$N$5:$N$2484/(($C$5:$C$2484=$C832)*($D$5:$D$2484=$D832)*($S$5:$S$2484=1)*($N$5:$N$2484&gt;0)),1),0)/$N832),4),0)))</f>
        <v/>
      </c>
      <c r="P832" s="48" t="inlineStr">
        <is>
          <t>indice</t>
        </is>
      </c>
      <c r="Q832" s="57">
        <f>IF($A832="","",$A832&amp;"|"&amp;$C832)</f>
        <v/>
      </c>
      <c r="R832" s="57">
        <f>IF($A832="","",$A832&amp;"|"&amp;$C832&amp;"|"&amp;$D832)</f>
        <v/>
      </c>
      <c r="S832" s="57">
        <f>IF($A832="","",IFERROR(INDEX(Offerte!$D$2:$D$81,MATCH($Q832,Offerte!$L$2:$L$81,0)),0))</f>
        <v/>
      </c>
      <c r="T832" s="57">
        <f>IF($A832="","",IFERROR(INDEX(Offerte!$G$2:$G$81,MATCH($Q832,Offerte!$L$2:$L$81,0)),"NO"))</f>
        <v/>
      </c>
    </row>
    <row r="833">
      <c r="A833" s="48">
        <f>IF(Offerte!$A28="","",Offerte!$A28)</f>
        <v/>
      </c>
      <c r="B833" s="48">
        <f>IF(Offerte!$A28="","",Offerte!$B28)</f>
        <v/>
      </c>
      <c r="C833" s="48">
        <f>IF(Offerte!$A28="","",Offerte!$C28)</f>
        <v/>
      </c>
      <c r="D833" s="48" t="inlineStr">
        <is>
          <t>F.2.1</t>
        </is>
      </c>
      <c r="E833" s="48" t="inlineStr">
        <is>
          <t>F</t>
        </is>
      </c>
      <c r="F833" s="48" t="inlineStr">
        <is>
          <t>Q</t>
        </is>
      </c>
      <c r="G833" s="48" t="inlineStr">
        <is>
          <t>higher</t>
        </is>
      </c>
      <c r="H833" s="48" t="n">
        <v>2</v>
      </c>
      <c r="I833" s="48" t="inlineStr">
        <is>
          <t>Tasso di copertura del servizio con dispositivi ECO-DRIVER</t>
        </is>
      </c>
      <c r="J833" s="73" t="n"/>
      <c r="K833" s="73" t="n"/>
      <c r="L833" s="73" t="n"/>
      <c r="M833" s="73" t="n"/>
      <c r="N833" s="57">
        <f>IF($A833="","",IFERROR(VALUE($K833)/VALUE($L833),IFERROR(VALUE($J833),0)))</f>
        <v/>
      </c>
      <c r="O833" s="57">
        <f>IF($A833="",0,IF(OR($S833&lt;&gt;1,COUNTA($J833:$M833)=0),0,IF(SUMPRODUCT(MAX(($C$5:$C$2484=$C833)*($D$5:$D$2484=$D833)*($S$5:$S$2484=1)*IFERROR($N$5:$N$2484*1,0)))&gt;0,ROUND($H833*($N833/SUMPRODUCT(MAX(($C$5:$C$2484=$C833)*($D$5:$D$2484=$D833)*($S$5:$S$2484=1)*IFERROR($N$5:$N$2484*1,0)))),4),0)))</f>
        <v/>
      </c>
      <c r="P833" s="48" t="inlineStr">
        <is>
          <t>Autobus attrezzati con dispositivi ECO-DRIVER / Autobus totali in offerta, incluse scorte</t>
        </is>
      </c>
      <c r="Q833" s="57">
        <f>IF($A833="","",$A833&amp;"|"&amp;$C833)</f>
        <v/>
      </c>
      <c r="R833" s="57">
        <f>IF($A833="","",$A833&amp;"|"&amp;$C833&amp;"|"&amp;$D833)</f>
        <v/>
      </c>
      <c r="S833" s="57">
        <f>IF($A833="","",IFERROR(INDEX(Offerte!$D$2:$D$81,MATCH($Q833,Offerte!$L$2:$L$81,0)),0))</f>
        <v/>
      </c>
      <c r="T833" s="57">
        <f>IF($A833="","",IFERROR(INDEX(Offerte!$G$2:$G$81,MATCH($Q833,Offerte!$L$2:$L$81,0)),"NO"))</f>
        <v/>
      </c>
    </row>
    <row r="834">
      <c r="A834" s="48">
        <f>IF(Offerte!$A28="","",Offerte!$A28)</f>
        <v/>
      </c>
      <c r="B834" s="48">
        <f>IF(Offerte!$A28="","",Offerte!$B28)</f>
        <v/>
      </c>
      <c r="C834" s="48">
        <f>IF(Offerte!$A28="","",Offerte!$C28)</f>
        <v/>
      </c>
      <c r="D834" s="48" t="inlineStr">
        <is>
          <t>F.3.1</t>
        </is>
      </c>
      <c r="E834" s="48" t="inlineStr">
        <is>
          <t>F</t>
        </is>
      </c>
      <c r="F834" s="48" t="inlineStr">
        <is>
          <t>Q</t>
        </is>
      </c>
      <c r="G834" s="48" t="inlineStr">
        <is>
          <t>higher</t>
        </is>
      </c>
      <c r="H834" s="48" t="n">
        <v>2</v>
      </c>
      <c r="I834" s="48" t="inlineStr">
        <is>
          <t>Autoproduzione consumi elettrici per trazione</t>
        </is>
      </c>
      <c r="J834" s="73" t="n"/>
      <c r="K834" s="73" t="n"/>
      <c r="L834" s="73" t="n"/>
      <c r="M834" s="73" t="n"/>
      <c r="N834" s="57">
        <f>IF($A834="","",IFERROR(VALUE($J834),0))</f>
        <v/>
      </c>
      <c r="O834" s="57">
        <f>IF($A834="",0,IF(OR($S834&lt;&gt;1,COUNTA($J834:$M834)=0),0,IF(SUMPRODUCT(MAX(($C$5:$C$2484=$C834)*($D$5:$D$2484=$D834)*($S$5:$S$2484=1)*IFERROR($N$5:$N$2484*1,0)))&gt;0,ROUND($H834*($N834/SUMPRODUCT(MAX(($C$5:$C$2484=$C834)*($D$5:$D$2484=$D834)*($S$5:$S$2484=1)*IFERROR($N$5:$N$2484*1,0)))),4),0)))</f>
        <v/>
      </c>
      <c r="P834" s="48" t="inlineStr">
        <is>
          <t>kWh/anno</t>
        </is>
      </c>
      <c r="Q834" s="57">
        <f>IF($A834="","",$A834&amp;"|"&amp;$C834)</f>
        <v/>
      </c>
      <c r="R834" s="57">
        <f>IF($A834="","",$A834&amp;"|"&amp;$C834&amp;"|"&amp;$D834)</f>
        <v/>
      </c>
      <c r="S834" s="57">
        <f>IF($A834="","",IFERROR(INDEX(Offerte!$D$2:$D$81,MATCH($Q834,Offerte!$L$2:$L$81,0)),0))</f>
        <v/>
      </c>
      <c r="T834" s="57">
        <f>IF($A834="","",IFERROR(INDEX(Offerte!$G$2:$G$81,MATCH($Q834,Offerte!$L$2:$L$81,0)),"NO"))</f>
        <v/>
      </c>
    </row>
    <row r="835">
      <c r="A835" s="48">
        <f>IF(Offerte!$A28="","",Offerte!$A28)</f>
        <v/>
      </c>
      <c r="B835" s="48">
        <f>IF(Offerte!$A28="","",Offerte!$B28)</f>
        <v/>
      </c>
      <c r="C835" s="48">
        <f>IF(Offerte!$A28="","",Offerte!$C28)</f>
        <v/>
      </c>
      <c r="D835" s="48" t="inlineStr">
        <is>
          <t>F.4.1</t>
        </is>
      </c>
      <c r="E835" s="48" t="inlineStr">
        <is>
          <t>F</t>
        </is>
      </c>
      <c r="F835" s="48" t="inlineStr">
        <is>
          <t>Q</t>
        </is>
      </c>
      <c r="G835" s="48" t="inlineStr">
        <is>
          <t>soil</t>
        </is>
      </c>
      <c r="H835" s="48" t="n">
        <v>2</v>
      </c>
      <c r="I835" s="48" t="inlineStr">
        <is>
          <t>Indice di consumo di suolo</t>
        </is>
      </c>
      <c r="J835" s="73" t="n"/>
      <c r="K835" s="73" t="n"/>
      <c r="L835" s="73" t="n"/>
      <c r="M835" s="73" t="n"/>
      <c r="N835" s="57">
        <f>IF($A835="","",IFERROR(VALUE($J835),0))</f>
        <v/>
      </c>
      <c r="O835" s="57">
        <f>IF($A835="",0,IF(OR($S835&lt;&gt;1,COUNTA($J835:$M835)=0),0,IF($N835&lt;=0,$H835,IF(SUMPRODUCT(MAX(($C$5:$C$2484=$C835)*($D$5:$D$2484=$D835)*($S$5:$S$2484=1)*IFERROR($N$5:$N$2484*1,0)))&gt;0,ROUND($H835*((SUMPRODUCT(MAX(($C$5:$C$2484=$C835)*($D$5:$D$2484=$D835)*($S$5:$S$2484=1)*IFERROR($N$5:$N$2484*1,0)))-$N835)/SUMPRODUCT(MAX(($C$5:$C$2484=$C835)*($D$5:$D$2484=$D835)*($S$5:$S$2484=1)*IFERROR($N$5:$N$2484*1,0)))),4),0))))</f>
        <v/>
      </c>
      <c r="P835" s="48" t="inlineStr">
        <is>
          <t>m2</t>
        </is>
      </c>
      <c r="Q835" s="57">
        <f>IF($A835="","",$A835&amp;"|"&amp;$C835)</f>
        <v/>
      </c>
      <c r="R835" s="57">
        <f>IF($A835="","",$A835&amp;"|"&amp;$C835&amp;"|"&amp;$D835)</f>
        <v/>
      </c>
      <c r="S835" s="57">
        <f>IF($A835="","",IFERROR(INDEX(Offerte!$D$2:$D$81,MATCH($Q835,Offerte!$L$2:$L$81,0)),0))</f>
        <v/>
      </c>
      <c r="T835" s="57">
        <f>IF($A835="","",IFERROR(INDEX(Offerte!$G$2:$G$81,MATCH($Q835,Offerte!$L$2:$L$81,0)),"NO"))</f>
        <v/>
      </c>
    </row>
    <row r="836">
      <c r="A836" s="48">
        <f>IF(Offerte!$A28="","",Offerte!$A28)</f>
        <v/>
      </c>
      <c r="B836" s="48">
        <f>IF(Offerte!$A28="","",Offerte!$B28)</f>
        <v/>
      </c>
      <c r="C836" s="48">
        <f>IF(Offerte!$A28="","",Offerte!$C28)</f>
        <v/>
      </c>
      <c r="D836" s="48" t="inlineStr">
        <is>
          <t>F.5.1</t>
        </is>
      </c>
      <c r="E836" s="48" t="inlineStr">
        <is>
          <t>F</t>
        </is>
      </c>
      <c r="F836" s="48" t="inlineStr">
        <is>
          <t>T</t>
        </is>
      </c>
      <c r="G836" s="48" t="inlineStr">
        <is>
          <t>tabular</t>
        </is>
      </c>
      <c r="H836" s="48" t="n">
        <v>1</v>
      </c>
      <c r="I836" s="48" t="inlineStr">
        <is>
          <t>Rendicontazione di sostenibilità ambientale</t>
        </is>
      </c>
      <c r="J836" s="73" t="n"/>
      <c r="K836" s="73" t="n"/>
      <c r="L836" s="73" t="n"/>
      <c r="M836" s="73" t="n"/>
      <c r="N836" s="57">
        <f>IF($A836="","",IF(IFERROR(VALUE($M836),0)=1,1,0))</f>
        <v/>
      </c>
      <c r="O836" s="57">
        <f>IF($A836="",0,IF(OR($S836&lt;&gt;1,COUNTA($J836:$M836)=0),0,IF($N836=1,$H836,0)))</f>
        <v/>
      </c>
      <c r="P836" s="48" t="inlineStr">
        <is>
          <t>sì/no</t>
        </is>
      </c>
      <c r="Q836" s="57">
        <f>IF($A836="","",$A836&amp;"|"&amp;$C836)</f>
        <v/>
      </c>
      <c r="R836" s="57">
        <f>IF($A836="","",$A836&amp;"|"&amp;$C836&amp;"|"&amp;$D836)</f>
        <v/>
      </c>
      <c r="S836" s="57">
        <f>IF($A836="","",IFERROR(INDEX(Offerte!$D$2:$D$81,MATCH($Q836,Offerte!$L$2:$L$81,0)),0))</f>
        <v/>
      </c>
      <c r="T836" s="57">
        <f>IF($A836="","",IFERROR(INDEX(Offerte!$G$2:$G$81,MATCH($Q836,Offerte!$L$2:$L$81,0)),"NO"))</f>
        <v/>
      </c>
    </row>
    <row r="837">
      <c r="A837" s="48">
        <f>IF(Offerte!$A28="","",Offerte!$A28)</f>
        <v/>
      </c>
      <c r="B837" s="48">
        <f>IF(Offerte!$A28="","",Offerte!$B28)</f>
        <v/>
      </c>
      <c r="C837" s="48">
        <f>IF(Offerte!$A28="","",Offerte!$C28)</f>
        <v/>
      </c>
      <c r="D837" s="48" t="inlineStr">
        <is>
          <t>G.1.1</t>
        </is>
      </c>
      <c r="E837" s="48" t="inlineStr">
        <is>
          <t>G</t>
        </is>
      </c>
      <c r="F837" s="48" t="inlineStr">
        <is>
          <t>D</t>
        </is>
      </c>
      <c r="G837" s="48" t="inlineStr">
        <is>
          <t>discretionary</t>
        </is>
      </c>
      <c r="H837" s="48" t="n">
        <v>2</v>
      </c>
      <c r="I837" s="48" t="inlineStr">
        <is>
          <t>Qualità del progetto di centrale di controllo aziendale</t>
        </is>
      </c>
      <c r="J837" s="73" t="n"/>
      <c r="K837" s="73" t="n"/>
      <c r="L837" s="73" t="n"/>
      <c r="M837" s="73" t="n"/>
      <c r="N837" s="57">
        <f>IF($A837="","",MAX(0,MIN(1,IFERROR(VALUE($M837),0))))</f>
        <v/>
      </c>
      <c r="O837" s="57">
        <f>IF($A837="",0,IF(OR($S837&lt;&gt;1,COUNTA($J837:$M837)=0),0,IF(SUMPRODUCT(MAX(($C$5:$C$2484=$C837)*($D$5:$D$2484=$D837)*($S$5:$S$2484=1)*IFERROR($N$5:$N$2484*1,0)))&gt;0,ROUND($H837*($N837/SUMPRODUCT(MAX(($C$5:$C$2484=$C837)*($D$5:$D$2484=$D837)*($S$5:$S$2484=1)*IFERROR($N$5:$N$2484*1,0)))),4),0)))</f>
        <v/>
      </c>
      <c r="P837" s="48" t="inlineStr">
        <is>
          <t>coeff.</t>
        </is>
      </c>
      <c r="Q837" s="57">
        <f>IF($A837="","",$A837&amp;"|"&amp;$C837)</f>
        <v/>
      </c>
      <c r="R837" s="57">
        <f>IF($A837="","",$A837&amp;"|"&amp;$C837&amp;"|"&amp;$D837)</f>
        <v/>
      </c>
      <c r="S837" s="57">
        <f>IF($A837="","",IFERROR(INDEX(Offerte!$D$2:$D$81,MATCH($Q837,Offerte!$L$2:$L$81,0)),0))</f>
        <v/>
      </c>
      <c r="T837" s="57">
        <f>IF($A837="","",IFERROR(INDEX(Offerte!$G$2:$G$81,MATCH($Q837,Offerte!$L$2:$L$81,0)),"NO"))</f>
        <v/>
      </c>
    </row>
    <row r="838">
      <c r="A838" s="48">
        <f>IF(Offerte!$A28="","",Offerte!$A28)</f>
        <v/>
      </c>
      <c r="B838" s="48">
        <f>IF(Offerte!$A28="","",Offerte!$B28)</f>
        <v/>
      </c>
      <c r="C838" s="48">
        <f>IF(Offerte!$A28="","",Offerte!$C28)</f>
        <v/>
      </c>
      <c r="D838" s="48" t="inlineStr">
        <is>
          <t>G.2.1</t>
        </is>
      </c>
      <c r="E838" s="48" t="inlineStr">
        <is>
          <t>G</t>
        </is>
      </c>
      <c r="F838" s="48" t="inlineStr">
        <is>
          <t>T</t>
        </is>
      </c>
      <c r="G838" s="48" t="inlineStr">
        <is>
          <t>tabular</t>
        </is>
      </c>
      <c r="H838" s="48" t="n">
        <v>1</v>
      </c>
      <c r="I838" s="48" t="inlineStr">
        <is>
          <t>Certificazione ISO 45001</t>
        </is>
      </c>
      <c r="J838" s="73" t="n"/>
      <c r="K838" s="73" t="n"/>
      <c r="L838" s="73" t="n"/>
      <c r="M838" s="73" t="n"/>
      <c r="N838" s="57">
        <f>IF($A838="","",IF(IFERROR(VALUE($M838),0)=1,1,0))</f>
        <v/>
      </c>
      <c r="O838" s="57">
        <f>IF($A838="",0,IF(OR($S838&lt;&gt;1,COUNTA($J838:$M838)=0),0,IF($N838=1,$H838,0)))</f>
        <v/>
      </c>
      <c r="P838" s="48" t="inlineStr">
        <is>
          <t>sì/no</t>
        </is>
      </c>
      <c r="Q838" s="57">
        <f>IF($A838="","",$A838&amp;"|"&amp;$C838)</f>
        <v/>
      </c>
      <c r="R838" s="57">
        <f>IF($A838="","",$A838&amp;"|"&amp;$C838&amp;"|"&amp;$D838)</f>
        <v/>
      </c>
      <c r="S838" s="57">
        <f>IF($A838="","",IFERROR(INDEX(Offerte!$D$2:$D$81,MATCH($Q838,Offerte!$L$2:$L$81,0)),0))</f>
        <v/>
      </c>
      <c r="T838" s="57">
        <f>IF($A838="","",IFERROR(INDEX(Offerte!$G$2:$G$81,MATCH($Q838,Offerte!$L$2:$L$81,0)),"NO"))</f>
        <v/>
      </c>
    </row>
    <row r="839">
      <c r="A839" s="48">
        <f>IF(Offerte!$A28="","",Offerte!$A28)</f>
        <v/>
      </c>
      <c r="B839" s="48">
        <f>IF(Offerte!$A28="","",Offerte!$B28)</f>
        <v/>
      </c>
      <c r="C839" s="48">
        <f>IF(Offerte!$A28="","",Offerte!$C28)</f>
        <v/>
      </c>
      <c r="D839" s="48" t="inlineStr">
        <is>
          <t>G.3.1</t>
        </is>
      </c>
      <c r="E839" s="48" t="inlineStr">
        <is>
          <t>G</t>
        </is>
      </c>
      <c r="F839" s="48" t="inlineStr">
        <is>
          <t>T</t>
        </is>
      </c>
      <c r="G839" s="48" t="inlineStr">
        <is>
          <t>tabular</t>
        </is>
      </c>
      <c r="H839" s="48" t="n">
        <v>1</v>
      </c>
      <c r="I839" s="48" t="inlineStr">
        <is>
          <t>Certificazioni di responsabilità sociale</t>
        </is>
      </c>
      <c r="J839" s="73" t="n"/>
      <c r="K839" s="73" t="n"/>
      <c r="L839" s="73" t="n"/>
      <c r="M839" s="73" t="n"/>
      <c r="N839" s="57">
        <f>IF($A839="","",IF(IFERROR(VALUE($M839),0)=1,1,0))</f>
        <v/>
      </c>
      <c r="O839" s="57">
        <f>IF($A839="",0,IF(OR($S839&lt;&gt;1,COUNTA($J839:$M839)=0),0,IF($N839=1,$H839,0)))</f>
        <v/>
      </c>
      <c r="P839" s="48" t="inlineStr">
        <is>
          <t>sì/no</t>
        </is>
      </c>
      <c r="Q839" s="57">
        <f>IF($A839="","",$A839&amp;"|"&amp;$C839)</f>
        <v/>
      </c>
      <c r="R839" s="57">
        <f>IF($A839="","",$A839&amp;"|"&amp;$C839&amp;"|"&amp;$D839)</f>
        <v/>
      </c>
      <c r="S839" s="57">
        <f>IF($A839="","",IFERROR(INDEX(Offerte!$D$2:$D$81,MATCH($Q839,Offerte!$L$2:$L$81,0)),0))</f>
        <v/>
      </c>
      <c r="T839" s="57">
        <f>IF($A839="","",IFERROR(INDEX(Offerte!$G$2:$G$81,MATCH($Q839,Offerte!$L$2:$L$81,0)),"NO"))</f>
        <v/>
      </c>
    </row>
    <row r="840">
      <c r="A840" s="48">
        <f>IF(Offerte!$A28="","",Offerte!$A28)</f>
        <v/>
      </c>
      <c r="B840" s="48">
        <f>IF(Offerte!$A28="","",Offerte!$B28)</f>
        <v/>
      </c>
      <c r="C840" s="48">
        <f>IF(Offerte!$A28="","",Offerte!$C28)</f>
        <v/>
      </c>
      <c r="D840" s="48" t="inlineStr">
        <is>
          <t>G.4.1</t>
        </is>
      </c>
      <c r="E840" s="48" t="inlineStr">
        <is>
          <t>G</t>
        </is>
      </c>
      <c r="F840" s="48" t="inlineStr">
        <is>
          <t>D</t>
        </is>
      </c>
      <c r="G840" s="48" t="inlineStr">
        <is>
          <t>discretionary</t>
        </is>
      </c>
      <c r="H840" s="48" t="n">
        <v>2</v>
      </c>
      <c r="I840" s="48" t="inlineStr">
        <is>
          <t>Qualità del piano di formazione del personale</t>
        </is>
      </c>
      <c r="J840" s="73" t="n"/>
      <c r="K840" s="73" t="n"/>
      <c r="L840" s="73" t="n"/>
      <c r="M840" s="73" t="n"/>
      <c r="N840" s="57">
        <f>IF($A840="","",MAX(0,MIN(1,IFERROR(VALUE($M840),0))))</f>
        <v/>
      </c>
      <c r="O840" s="57">
        <f>IF($A840="",0,IF(OR($S840&lt;&gt;1,COUNTA($J840:$M840)=0),0,IF(SUMPRODUCT(MAX(($C$5:$C$2484=$C840)*($D$5:$D$2484=$D840)*($S$5:$S$2484=1)*IFERROR($N$5:$N$2484*1,0)))&gt;0,ROUND($H840*($N840/SUMPRODUCT(MAX(($C$5:$C$2484=$C840)*($D$5:$D$2484=$D840)*($S$5:$S$2484=1)*IFERROR($N$5:$N$2484*1,0)))),4),0)))</f>
        <v/>
      </c>
      <c r="P840" s="48" t="inlineStr">
        <is>
          <t>coeff.</t>
        </is>
      </c>
      <c r="Q840" s="57">
        <f>IF($A840="","",$A840&amp;"|"&amp;$C840)</f>
        <v/>
      </c>
      <c r="R840" s="57">
        <f>IF($A840="","",$A840&amp;"|"&amp;$C840&amp;"|"&amp;$D840)</f>
        <v/>
      </c>
      <c r="S840" s="57">
        <f>IF($A840="","",IFERROR(INDEX(Offerte!$D$2:$D$81,MATCH($Q840,Offerte!$L$2:$L$81,0)),0))</f>
        <v/>
      </c>
      <c r="T840" s="57">
        <f>IF($A840="","",IFERROR(INDEX(Offerte!$G$2:$G$81,MATCH($Q840,Offerte!$L$2:$L$81,0)),"NO"))</f>
        <v/>
      </c>
    </row>
    <row r="841">
      <c r="A841" s="48">
        <f>IF(Offerte!$A28="","",Offerte!$A28)</f>
        <v/>
      </c>
      <c r="B841" s="48">
        <f>IF(Offerte!$A28="","",Offerte!$B28)</f>
        <v/>
      </c>
      <c r="C841" s="48">
        <f>IF(Offerte!$A28="","",Offerte!$C28)</f>
        <v/>
      </c>
      <c r="D841" s="48" t="inlineStr">
        <is>
          <t>G.5.1</t>
        </is>
      </c>
      <c r="E841" s="48" t="inlineStr">
        <is>
          <t>G</t>
        </is>
      </c>
      <c r="F841" s="48" t="inlineStr">
        <is>
          <t>T</t>
        </is>
      </c>
      <c r="G841" s="48" t="inlineStr">
        <is>
          <t>tabular</t>
        </is>
      </c>
      <c r="H841" s="48" t="n">
        <v>1</v>
      </c>
      <c r="I841" s="48" t="inlineStr">
        <is>
          <t>Impegno al mantenimento delle garanzie del contratto di secondo livello del gestore uscente</t>
        </is>
      </c>
      <c r="J841" s="73" t="n"/>
      <c r="K841" s="73" t="n"/>
      <c r="L841" s="73" t="n"/>
      <c r="M841" s="73" t="n"/>
      <c r="N841" s="57">
        <f>IF($A841="","",IF(IFERROR(VALUE($M841),0)=1,1,0))</f>
        <v/>
      </c>
      <c r="O841" s="57">
        <f>IF($A841="",0,IF(OR($S841&lt;&gt;1,COUNTA($J841:$M841)=0),0,IF($N841=1,$H841,0)))</f>
        <v/>
      </c>
      <c r="P841" s="48" t="inlineStr">
        <is>
          <t>sì/no</t>
        </is>
      </c>
      <c r="Q841" s="57">
        <f>IF($A841="","",$A841&amp;"|"&amp;$C841)</f>
        <v/>
      </c>
      <c r="R841" s="57">
        <f>IF($A841="","",$A841&amp;"|"&amp;$C841&amp;"|"&amp;$D841)</f>
        <v/>
      </c>
      <c r="S841" s="57">
        <f>IF($A841="","",IFERROR(INDEX(Offerte!$D$2:$D$81,MATCH($Q841,Offerte!$L$2:$L$81,0)),0))</f>
        <v/>
      </c>
      <c r="T841" s="57">
        <f>IF($A841="","",IFERROR(INDEX(Offerte!$G$2:$G$81,MATCH($Q841,Offerte!$L$2:$L$81,0)),"NO"))</f>
        <v/>
      </c>
    </row>
    <row r="842">
      <c r="A842" s="48">
        <f>IF(Offerte!$A29="","",Offerte!$A29)</f>
        <v/>
      </c>
      <c r="B842" s="48">
        <f>IF(Offerte!$A29="","",Offerte!$B29)</f>
        <v/>
      </c>
      <c r="C842" s="48">
        <f>IF(Offerte!$A29="","",Offerte!$C29)</f>
        <v/>
      </c>
      <c r="D842" s="48" t="inlineStr">
        <is>
          <t>A.1.1</t>
        </is>
      </c>
      <c r="E842" s="48" t="inlineStr">
        <is>
          <t>A</t>
        </is>
      </c>
      <c r="F842" s="48" t="inlineStr">
        <is>
          <t>Q</t>
        </is>
      </c>
      <c r="G842" s="48" t="inlineStr">
        <is>
          <t>higher</t>
        </is>
      </c>
      <c r="H842" s="48" t="n">
        <v>3</v>
      </c>
      <c r="I842" s="48" t="inlineStr">
        <is>
          <t>Tasso aggiuntivo di corse controllate</t>
        </is>
      </c>
      <c r="J842" s="73" t="n"/>
      <c r="K842" s="73" t="n"/>
      <c r="L842" s="73" t="n"/>
      <c r="M842" s="73" t="n"/>
      <c r="N842" s="57">
        <f>IF($A842="","",IFERROR(VALUE($K842)/VALUE($L842)*100,IFERROR(VALUE($J842),0)))</f>
        <v/>
      </c>
      <c r="O842" s="57">
        <f>IF($A842="",0,IF(OR($S842&lt;&gt;1,COUNTA($J842:$M842)=0),0,IF(SUMPRODUCT(MAX(($C$5:$C$2484=$C842)*($D$5:$D$2484=$D842)*($S$5:$S$2484=1)*IFERROR($N$5:$N$2484*1,0)))&gt;0,ROUND($H842*($N842/SUMPRODUCT(MAX(($C$5:$C$2484=$C842)*($D$5:$D$2484=$D842)*($S$5:$S$2484=1)*IFERROR($N$5:$N$2484*1,0)))),4),0)))</f>
        <v/>
      </c>
      <c r="P842" s="48" t="inlineStr">
        <is>
          <t>Corse controllate annue / Corse programmate annue</t>
        </is>
      </c>
      <c r="Q842" s="57">
        <f>IF($A842="","",$A842&amp;"|"&amp;$C842)</f>
        <v/>
      </c>
      <c r="R842" s="57">
        <f>IF($A842="","",$A842&amp;"|"&amp;$C842&amp;"|"&amp;$D842)</f>
        <v/>
      </c>
      <c r="S842" s="57">
        <f>IF($A842="","",IFERROR(INDEX(Offerte!$D$2:$D$81,MATCH($Q842,Offerte!$L$2:$L$81,0)),0))</f>
        <v/>
      </c>
      <c r="T842" s="57">
        <f>IF($A842="","",IFERROR(INDEX(Offerte!$G$2:$G$81,MATCH($Q842,Offerte!$L$2:$L$81,0)),"NO"))</f>
        <v/>
      </c>
    </row>
    <row r="843">
      <c r="A843" s="48">
        <f>IF(Offerte!$A29="","",Offerte!$A29)</f>
        <v/>
      </c>
      <c r="B843" s="48">
        <f>IF(Offerte!$A29="","",Offerte!$B29)</f>
        <v/>
      </c>
      <c r="C843" s="48">
        <f>IF(Offerte!$A29="","",Offerte!$C29)</f>
        <v/>
      </c>
      <c r="D843" s="48" t="inlineStr">
        <is>
          <t>A.1.2</t>
        </is>
      </c>
      <c r="E843" s="48" t="inlineStr">
        <is>
          <t>A</t>
        </is>
      </c>
      <c r="F843" s="48" t="inlineStr">
        <is>
          <t>Q</t>
        </is>
      </c>
      <c r="G843" s="48" t="inlineStr">
        <is>
          <t>higher</t>
        </is>
      </c>
      <c r="H843" s="48" t="n">
        <v>4</v>
      </c>
      <c r="I843" s="48" t="inlineStr">
        <is>
          <t>Numero aggiuntivo di passeggeri controllati</t>
        </is>
      </c>
      <c r="J843" s="73" t="n"/>
      <c r="K843" s="73" t="n"/>
      <c r="L843" s="73" t="n"/>
      <c r="M843" s="73" t="n"/>
      <c r="N843" s="57">
        <f>IF($A843="","",IFERROR(VALUE($J843),0))</f>
        <v/>
      </c>
      <c r="O843" s="57">
        <f>IF($A843="",0,IF(OR($S843&lt;&gt;1,COUNTA($J843:$M843)=0),0,IF(SUMPRODUCT(MAX(($C$5:$C$2484=$C843)*($D$5:$D$2484=$D843)*($S$5:$S$2484=1)*IFERROR($N$5:$N$2484*1,0)))&gt;0,ROUND($H843*($N843/SUMPRODUCT(MAX(($C$5:$C$2484=$C843)*($D$5:$D$2484=$D843)*($S$5:$S$2484=1)*IFERROR($N$5:$N$2484*1,0)))),4),0)))</f>
        <v/>
      </c>
      <c r="P843" s="48" t="inlineStr">
        <is>
          <t>passeggeri/anno</t>
        </is>
      </c>
      <c r="Q843" s="57">
        <f>IF($A843="","",$A843&amp;"|"&amp;$C843)</f>
        <v/>
      </c>
      <c r="R843" s="57">
        <f>IF($A843="","",$A843&amp;"|"&amp;$C843&amp;"|"&amp;$D843)</f>
        <v/>
      </c>
      <c r="S843" s="57">
        <f>IF($A843="","",IFERROR(INDEX(Offerte!$D$2:$D$81,MATCH($Q843,Offerte!$L$2:$L$81,0)),0))</f>
        <v/>
      </c>
      <c r="T843" s="57">
        <f>IF($A843="","",IFERROR(INDEX(Offerte!$G$2:$G$81,MATCH($Q843,Offerte!$L$2:$L$81,0)),"NO"))</f>
        <v/>
      </c>
    </row>
    <row r="844">
      <c r="A844" s="48">
        <f>IF(Offerte!$A29="","",Offerte!$A29)</f>
        <v/>
      </c>
      <c r="B844" s="48">
        <f>IF(Offerte!$A29="","",Offerte!$B29)</f>
        <v/>
      </c>
      <c r="C844" s="48">
        <f>IF(Offerte!$A29="","",Offerte!$C29)</f>
        <v/>
      </c>
      <c r="D844" s="48" t="inlineStr">
        <is>
          <t>B.1.1</t>
        </is>
      </c>
      <c r="E844" s="48" t="inlineStr">
        <is>
          <t>B</t>
        </is>
      </c>
      <c r="F844" s="48" t="inlineStr">
        <is>
          <t>Q</t>
        </is>
      </c>
      <c r="G844" s="48" t="inlineStr">
        <is>
          <t>higher</t>
        </is>
      </c>
      <c r="H844" s="48" t="n">
        <v>3</v>
      </c>
      <c r="I844" s="48" t="inlineStr">
        <is>
          <t>Incremento dei posti offerti nelle fasce di punta</t>
        </is>
      </c>
      <c r="J844" s="73" t="n"/>
      <c r="K844" s="73" t="n"/>
      <c r="L844" s="73" t="n"/>
      <c r="M844" s="73" t="n"/>
      <c r="N844" s="57">
        <f>IF($A844="","",IFERROR(VALUE($J844),0))</f>
        <v/>
      </c>
      <c r="O844" s="57">
        <f>IF($A844="",0,IF(OR($S844&lt;&gt;1,COUNTA($J844:$M844)=0),0,IF(SUMPRODUCT(MAX(($C$5:$C$2484=$C844)*($D$5:$D$2484=$D844)*($S$5:$S$2484=1)*IFERROR($N$5:$N$2484*1,0)))&gt;0,ROUND($H844*($N844/SUMPRODUCT(MAX(($C$5:$C$2484=$C844)*($D$5:$D$2484=$D844)*($S$5:$S$2484=1)*IFERROR($N$5:$N$2484*1,0)))),4),0)))</f>
        <v/>
      </c>
      <c r="P844" s="48" t="inlineStr">
        <is>
          <t>posti*km</t>
        </is>
      </c>
      <c r="Q844" s="57">
        <f>IF($A844="","",$A844&amp;"|"&amp;$C844)</f>
        <v/>
      </c>
      <c r="R844" s="57">
        <f>IF($A844="","",$A844&amp;"|"&amp;$C844&amp;"|"&amp;$D844)</f>
        <v/>
      </c>
      <c r="S844" s="57">
        <f>IF($A844="","",IFERROR(INDEX(Offerte!$D$2:$D$81,MATCH($Q844,Offerte!$L$2:$L$81,0)),0))</f>
        <v/>
      </c>
      <c r="T844" s="57">
        <f>IF($A844="","",IFERROR(INDEX(Offerte!$G$2:$G$81,MATCH($Q844,Offerte!$L$2:$L$81,0)),"NO"))</f>
        <v/>
      </c>
    </row>
    <row r="845">
      <c r="A845" s="48">
        <f>IF(Offerte!$A29="","",Offerte!$A29)</f>
        <v/>
      </c>
      <c r="B845" s="48">
        <f>IF(Offerte!$A29="","",Offerte!$B29)</f>
        <v/>
      </c>
      <c r="C845" s="48">
        <f>IF(Offerte!$A29="","",Offerte!$C29)</f>
        <v/>
      </c>
      <c r="D845" s="48" t="inlineStr">
        <is>
          <t>B.2.1</t>
        </is>
      </c>
      <c r="E845" s="48" t="inlineStr">
        <is>
          <t>B</t>
        </is>
      </c>
      <c r="F845" s="48" t="inlineStr">
        <is>
          <t>Q</t>
        </is>
      </c>
      <c r="G845" s="48" t="inlineStr">
        <is>
          <t>higher</t>
        </is>
      </c>
      <c r="H845" s="48" t="n">
        <v>4</v>
      </c>
      <c r="I845" s="48" t="inlineStr">
        <is>
          <t>Corse aggiuntive nell'arco giornaliero base</t>
        </is>
      </c>
      <c r="J845" s="73" t="n"/>
      <c r="K845" s="73" t="n"/>
      <c r="L845" s="73" t="n"/>
      <c r="M845" s="73" t="n"/>
      <c r="N845" s="57">
        <f>IF($A845="","",IFERROR(VALUE($J845),0))</f>
        <v/>
      </c>
      <c r="O845" s="57">
        <f>IF($A845="",0,IF(OR($S845&lt;&gt;1,COUNTA($J845:$M845)=0),0,IF(SUMPRODUCT(MAX(($C$5:$C$2484=$C845)*($D$5:$D$2484=$D845)*($S$5:$S$2484=1)*IFERROR($N$5:$N$2484*1,0)))&gt;0,ROUND($H845*($N845/SUMPRODUCT(MAX(($C$5:$C$2484=$C845)*($D$5:$D$2484=$D845)*($S$5:$S$2484=1)*IFERROR($N$5:$N$2484*1,0)))),4),0)))</f>
        <v/>
      </c>
      <c r="P845" s="48" t="inlineStr">
        <is>
          <t>corse</t>
        </is>
      </c>
      <c r="Q845" s="57">
        <f>IF($A845="","",$A845&amp;"|"&amp;$C845)</f>
        <v/>
      </c>
      <c r="R845" s="57">
        <f>IF($A845="","",$A845&amp;"|"&amp;$C845&amp;"|"&amp;$D845)</f>
        <v/>
      </c>
      <c r="S845" s="57">
        <f>IF($A845="","",IFERROR(INDEX(Offerte!$D$2:$D$81,MATCH($Q845,Offerte!$L$2:$L$81,0)),0))</f>
        <v/>
      </c>
      <c r="T845" s="57">
        <f>IF($A845="","",IFERROR(INDEX(Offerte!$G$2:$G$81,MATCH($Q845,Offerte!$L$2:$L$81,0)),"NO"))</f>
        <v/>
      </c>
    </row>
    <row r="846">
      <c r="A846" s="48">
        <f>IF(Offerte!$A29="","",Offerte!$A29)</f>
        <v/>
      </c>
      <c r="B846" s="48">
        <f>IF(Offerte!$A29="","",Offerte!$B29)</f>
        <v/>
      </c>
      <c r="C846" s="48">
        <f>IF(Offerte!$A29="","",Offerte!$C29)</f>
        <v/>
      </c>
      <c r="D846" s="48" t="inlineStr">
        <is>
          <t>B.3.1</t>
        </is>
      </c>
      <c r="E846" s="48" t="inlineStr">
        <is>
          <t>B</t>
        </is>
      </c>
      <c r="F846" s="48" t="inlineStr">
        <is>
          <t>Q</t>
        </is>
      </c>
      <c r="G846" s="48" t="inlineStr">
        <is>
          <t>higher</t>
        </is>
      </c>
      <c r="H846" s="48" t="n">
        <v>2</v>
      </c>
      <c r="I846" s="48" t="inlineStr">
        <is>
          <t>Numero di corse aggiuntive per allungamento dell'arco di servizio giornaliero nelle fasce serali</t>
        </is>
      </c>
      <c r="J846" s="73" t="n"/>
      <c r="K846" s="73" t="n"/>
      <c r="L846" s="73" t="n"/>
      <c r="M846" s="73" t="n"/>
      <c r="N846" s="57">
        <f>IF($A846="","",IFERROR(VALUE($J846),0))</f>
        <v/>
      </c>
      <c r="O846" s="57">
        <f>IF($A846="",0,IF(OR($S846&lt;&gt;1,COUNTA($J846:$M846)=0),0,IF(SUMPRODUCT(MAX(($C$5:$C$2484=$C846)*($D$5:$D$2484=$D846)*($S$5:$S$2484=1)*IFERROR($N$5:$N$2484*1,0)))&gt;0,ROUND($H846*($N846/SUMPRODUCT(MAX(($C$5:$C$2484=$C846)*($D$5:$D$2484=$D846)*($S$5:$S$2484=1)*IFERROR($N$5:$N$2484*1,0)))),4),0)))</f>
        <v/>
      </c>
      <c r="P846" s="48" t="inlineStr">
        <is>
          <t>corse</t>
        </is>
      </c>
      <c r="Q846" s="57">
        <f>IF($A846="","",$A846&amp;"|"&amp;$C846)</f>
        <v/>
      </c>
      <c r="R846" s="57">
        <f>IF($A846="","",$A846&amp;"|"&amp;$C846&amp;"|"&amp;$D846)</f>
        <v/>
      </c>
      <c r="S846" s="57">
        <f>IF($A846="","",IFERROR(INDEX(Offerte!$D$2:$D$81,MATCH($Q846,Offerte!$L$2:$L$81,0)),0))</f>
        <v/>
      </c>
      <c r="T846" s="57">
        <f>IF($A846="","",IFERROR(INDEX(Offerte!$G$2:$G$81,MATCH($Q846,Offerte!$L$2:$L$81,0)),"NO"))</f>
        <v/>
      </c>
    </row>
    <row r="847">
      <c r="A847" s="48">
        <f>IF(Offerte!$A29="","",Offerte!$A29)</f>
        <v/>
      </c>
      <c r="B847" s="48">
        <f>IF(Offerte!$A29="","",Offerte!$B29)</f>
        <v/>
      </c>
      <c r="C847" s="48">
        <f>IF(Offerte!$A29="","",Offerte!$C29)</f>
        <v/>
      </c>
      <c r="D847" s="48" t="inlineStr">
        <is>
          <t>B.4.1</t>
        </is>
      </c>
      <c r="E847" s="48" t="inlineStr">
        <is>
          <t>B</t>
        </is>
      </c>
      <c r="F847" s="48" t="inlineStr">
        <is>
          <t>Q</t>
        </is>
      </c>
      <c r="G847" s="48" t="inlineStr">
        <is>
          <t>higher</t>
        </is>
      </c>
      <c r="H847" s="48" t="n">
        <v>3</v>
      </c>
      <c r="I847" s="48" t="inlineStr">
        <is>
          <t>Percorrenze aggiuntive offerte nel Programma d'esercizio delle prime due fasi attuative</t>
        </is>
      </c>
      <c r="J847" s="73" t="n"/>
      <c r="K847" s="73" t="n"/>
      <c r="L847" s="73" t="n"/>
      <c r="M847" s="73" t="n"/>
      <c r="N847" s="57">
        <f>IF($A847="","",IFERROR(VALUE($J847),0))</f>
        <v/>
      </c>
      <c r="O847" s="57">
        <f>IF($A847="",0,IF(OR($S847&lt;&gt;1,COUNTA($J847:$M847)=0),0,IF(SUMPRODUCT(MAX(($C$5:$C$2484=$C847)*($D$5:$D$2484=$D847)*($S$5:$S$2484=1)*IFERROR($N$5:$N$2484*1,0)))&gt;0,ROUND($H847*($N847/SUMPRODUCT(MAX(($C$5:$C$2484=$C847)*($D$5:$D$2484=$D847)*($S$5:$S$2484=1)*IFERROR($N$5:$N$2484*1,0)))),4),0)))</f>
        <v/>
      </c>
      <c r="P847" s="48" t="inlineStr">
        <is>
          <t>vett*km</t>
        </is>
      </c>
      <c r="Q847" s="57">
        <f>IF($A847="","",$A847&amp;"|"&amp;$C847)</f>
        <v/>
      </c>
      <c r="R847" s="57">
        <f>IF($A847="","",$A847&amp;"|"&amp;$C847&amp;"|"&amp;$D847)</f>
        <v/>
      </c>
      <c r="S847" s="57">
        <f>IF($A847="","",IFERROR(INDEX(Offerte!$D$2:$D$81,MATCH($Q847,Offerte!$L$2:$L$81,0)),0))</f>
        <v/>
      </c>
      <c r="T847" s="57">
        <f>IF($A847="","",IFERROR(INDEX(Offerte!$G$2:$G$81,MATCH($Q847,Offerte!$L$2:$L$81,0)),"NO"))</f>
        <v/>
      </c>
    </row>
    <row r="848">
      <c r="A848" s="48">
        <f>IF(Offerte!$A29="","",Offerte!$A29)</f>
        <v/>
      </c>
      <c r="B848" s="48">
        <f>IF(Offerte!$A29="","",Offerte!$B29)</f>
        <v/>
      </c>
      <c r="C848" s="48">
        <f>IF(Offerte!$A29="","",Offerte!$C29)</f>
        <v/>
      </c>
      <c r="D848" s="48" t="inlineStr">
        <is>
          <t>B.5.1</t>
        </is>
      </c>
      <c r="E848" s="48" t="inlineStr">
        <is>
          <t>B</t>
        </is>
      </c>
      <c r="F848" s="48" t="inlineStr">
        <is>
          <t>D</t>
        </is>
      </c>
      <c r="G848" s="48" t="inlineStr">
        <is>
          <t>discretionary</t>
        </is>
      </c>
      <c r="H848" s="48" t="n">
        <v>2</v>
      </c>
      <c r="I848" s="48" t="inlineStr">
        <is>
          <t>Efficacia del progetto di servizi complementari DRT</t>
        </is>
      </c>
      <c r="J848" s="73" t="n"/>
      <c r="K848" s="73" t="n"/>
      <c r="L848" s="73" t="n"/>
      <c r="M848" s="73" t="n"/>
      <c r="N848" s="57">
        <f>IF($A848="","",MAX(0,MIN(1,IFERROR(VALUE($M848),0))))</f>
        <v/>
      </c>
      <c r="O848" s="57">
        <f>IF($A848="",0,IF(OR($S848&lt;&gt;1,COUNTA($J848:$M848)=0),0,IF(SUMPRODUCT(MAX(($C$5:$C$2484=$C848)*($D$5:$D$2484=$D848)*($S$5:$S$2484=1)*IFERROR($N$5:$N$2484*1,0)))&gt;0,ROUND($H848*($N848/SUMPRODUCT(MAX(($C$5:$C$2484=$C848)*($D$5:$D$2484=$D848)*($S$5:$S$2484=1)*IFERROR($N$5:$N$2484*1,0)))),4),0)))</f>
        <v/>
      </c>
      <c r="P848" s="48" t="inlineStr">
        <is>
          <t>coeff.</t>
        </is>
      </c>
      <c r="Q848" s="57">
        <f>IF($A848="","",$A848&amp;"|"&amp;$C848)</f>
        <v/>
      </c>
      <c r="R848" s="57">
        <f>IF($A848="","",$A848&amp;"|"&amp;$C848&amp;"|"&amp;$D848)</f>
        <v/>
      </c>
      <c r="S848" s="57">
        <f>IF($A848="","",IFERROR(INDEX(Offerte!$D$2:$D$81,MATCH($Q848,Offerte!$L$2:$L$81,0)),0))</f>
        <v/>
      </c>
      <c r="T848" s="57">
        <f>IF($A848="","",IFERROR(INDEX(Offerte!$G$2:$G$81,MATCH($Q848,Offerte!$L$2:$L$81,0)),"NO"))</f>
        <v/>
      </c>
    </row>
    <row r="849">
      <c r="A849" s="48">
        <f>IF(Offerte!$A29="","",Offerte!$A29)</f>
        <v/>
      </c>
      <c r="B849" s="48">
        <f>IF(Offerte!$A29="","",Offerte!$B29)</f>
        <v/>
      </c>
      <c r="C849" s="48">
        <f>IF(Offerte!$A29="","",Offerte!$C29)</f>
        <v/>
      </c>
      <c r="D849" s="48" t="inlineStr">
        <is>
          <t>C.1.1</t>
        </is>
      </c>
      <c r="E849" s="48" t="inlineStr">
        <is>
          <t>C</t>
        </is>
      </c>
      <c r="F849" s="48" t="inlineStr">
        <is>
          <t>Q</t>
        </is>
      </c>
      <c r="G849" s="48" t="inlineStr">
        <is>
          <t>higher</t>
        </is>
      </c>
      <c r="H849" s="48" t="n">
        <v>2</v>
      </c>
      <c r="I849" s="48" t="inlineStr">
        <is>
          <t>Tasso di copertura del servizio con telecamere BSD</t>
        </is>
      </c>
      <c r="J849" s="73" t="n"/>
      <c r="K849" s="73" t="n"/>
      <c r="L849" s="73" t="n"/>
      <c r="M849" s="73" t="n"/>
      <c r="N849" s="57">
        <f>IF($A849="","",IFERROR(VALUE($K849)/VALUE($L849),IFERROR(VALUE($J849),0)))</f>
        <v/>
      </c>
      <c r="O849" s="57">
        <f>IF($A849="",0,IF(OR($S849&lt;&gt;1,COUNTA($J849:$M849)=0),0,IF(SUMPRODUCT(MAX(($C$5:$C$2484=$C849)*($D$5:$D$2484=$D849)*($S$5:$S$2484=1)*IFERROR($N$5:$N$2484*1,0)))&gt;0,ROUND($H849*($N849/SUMPRODUCT(MAX(($C$5:$C$2484=$C849)*($D$5:$D$2484=$D849)*($S$5:$S$2484=1)*IFERROR($N$5:$N$2484*1,0)))),4),0)))</f>
        <v/>
      </c>
      <c r="P849" s="48" t="inlineStr">
        <is>
          <t>Autobus attrezzati con telecamere BSD / Autobus totali in offerta, incluse scorte</t>
        </is>
      </c>
      <c r="Q849" s="57">
        <f>IF($A849="","",$A849&amp;"|"&amp;$C849)</f>
        <v/>
      </c>
      <c r="R849" s="57">
        <f>IF($A849="","",$A849&amp;"|"&amp;$C849&amp;"|"&amp;$D849)</f>
        <v/>
      </c>
      <c r="S849" s="57">
        <f>IF($A849="","",IFERROR(INDEX(Offerte!$D$2:$D$81,MATCH($Q849,Offerte!$L$2:$L$81,0)),0))</f>
        <v/>
      </c>
      <c r="T849" s="57">
        <f>IF($A849="","",IFERROR(INDEX(Offerte!$G$2:$G$81,MATCH($Q849,Offerte!$L$2:$L$81,0)),"NO"))</f>
        <v/>
      </c>
    </row>
    <row r="850">
      <c r="A850" s="48">
        <f>IF(Offerte!$A29="","",Offerte!$A29)</f>
        <v/>
      </c>
      <c r="B850" s="48">
        <f>IF(Offerte!$A29="","",Offerte!$B29)</f>
        <v/>
      </c>
      <c r="C850" s="48">
        <f>IF(Offerte!$A29="","",Offerte!$C29)</f>
        <v/>
      </c>
      <c r="D850" s="48" t="inlineStr">
        <is>
          <t>C.1.2</t>
        </is>
      </c>
      <c r="E850" s="48" t="inlineStr">
        <is>
          <t>C</t>
        </is>
      </c>
      <c r="F850" s="48" t="inlineStr">
        <is>
          <t>Q</t>
        </is>
      </c>
      <c r="G850" s="48" t="inlineStr">
        <is>
          <t>higher</t>
        </is>
      </c>
      <c r="H850" s="48" t="n">
        <v>2</v>
      </c>
      <c r="I850" s="48" t="inlineStr">
        <is>
          <t>Tasso di copertura del servizio con telecamere ADAS</t>
        </is>
      </c>
      <c r="J850" s="73" t="n"/>
      <c r="K850" s="73" t="n"/>
      <c r="L850" s="73" t="n"/>
      <c r="M850" s="73" t="n"/>
      <c r="N850" s="57">
        <f>IF($A850="","",IFERROR(VALUE($K850)/VALUE($L850),IFERROR(VALUE($J850),0)))</f>
        <v/>
      </c>
      <c r="O850" s="57">
        <f>IF($A850="",0,IF(OR($S850&lt;&gt;1,COUNTA($J850:$M850)=0),0,IF(SUMPRODUCT(MAX(($C$5:$C$2484=$C850)*($D$5:$D$2484=$D850)*($S$5:$S$2484=1)*IFERROR($N$5:$N$2484*1,0)))&gt;0,ROUND($H850*($N850/SUMPRODUCT(MAX(($C$5:$C$2484=$C850)*($D$5:$D$2484=$D850)*($S$5:$S$2484=1)*IFERROR($N$5:$N$2484*1,0)))),4),0)))</f>
        <v/>
      </c>
      <c r="P850" s="48" t="inlineStr">
        <is>
          <t>Autobus attrezzati con telecamere ADAS / Autobus totali in offerta, incluse scorte</t>
        </is>
      </c>
      <c r="Q850" s="57">
        <f>IF($A850="","",$A850&amp;"|"&amp;$C850)</f>
        <v/>
      </c>
      <c r="R850" s="57">
        <f>IF($A850="","",$A850&amp;"|"&amp;$C850&amp;"|"&amp;$D850)</f>
        <v/>
      </c>
      <c r="S850" s="57">
        <f>IF($A850="","",IFERROR(INDEX(Offerte!$D$2:$D$81,MATCH($Q850,Offerte!$L$2:$L$81,0)),0))</f>
        <v/>
      </c>
      <c r="T850" s="57">
        <f>IF($A850="","",IFERROR(INDEX(Offerte!$G$2:$G$81,MATCH($Q850,Offerte!$L$2:$L$81,0)),"NO"))</f>
        <v/>
      </c>
    </row>
    <row r="851">
      <c r="A851" s="48">
        <f>IF(Offerte!$A29="","",Offerte!$A29)</f>
        <v/>
      </c>
      <c r="B851" s="48">
        <f>IF(Offerte!$A29="","",Offerte!$B29)</f>
        <v/>
      </c>
      <c r="C851" s="48">
        <f>IF(Offerte!$A29="","",Offerte!$C29)</f>
        <v/>
      </c>
      <c r="D851" s="48" t="inlineStr">
        <is>
          <t>C.2.1</t>
        </is>
      </c>
      <c r="E851" s="48" t="inlineStr">
        <is>
          <t>C</t>
        </is>
      </c>
      <c r="F851" s="48" t="inlineStr">
        <is>
          <t>Q</t>
        </is>
      </c>
      <c r="G851" s="48" t="inlineStr">
        <is>
          <t>higher</t>
        </is>
      </c>
      <c r="H851" s="48" t="n">
        <v>3</v>
      </c>
      <c r="I851" s="48" t="inlineStr">
        <is>
          <t>Tasso di copertura del servizio con telecamere di bordo di videosorveglianza</t>
        </is>
      </c>
      <c r="J851" s="73" t="n"/>
      <c r="K851" s="73" t="n"/>
      <c r="L851" s="73" t="n"/>
      <c r="M851" s="73" t="n"/>
      <c r="N851" s="57">
        <f>IF($A851="","",IFERROR(VALUE($K851)/VALUE($L851),IFERROR(VALUE($J851),0)))</f>
        <v/>
      </c>
      <c r="O851" s="57">
        <f>IF($A851="",0,IF(OR($S851&lt;&gt;1,COUNTA($J851:$M851)=0),0,IF(SUMPRODUCT(MAX(($C$5:$C$2484=$C851)*($D$5:$D$2484=$D851)*($S$5:$S$2484=1)*IFERROR($N$5:$N$2484*1,0)))&gt;0,ROUND($H851*($N851/SUMPRODUCT(MAX(($C$5:$C$2484=$C851)*($D$5:$D$2484=$D851)*($S$5:$S$2484=1)*IFERROR($N$5:$N$2484*1,0)))),4),0)))</f>
        <v/>
      </c>
      <c r="P851" s="48" t="inlineStr">
        <is>
          <t>Autobus attrezzati con videosorveglianza / Autobus totali in offerta, incluse scorte</t>
        </is>
      </c>
      <c r="Q851" s="57">
        <f>IF($A851="","",$A851&amp;"|"&amp;$C851)</f>
        <v/>
      </c>
      <c r="R851" s="57">
        <f>IF($A851="","",$A851&amp;"|"&amp;$C851&amp;"|"&amp;$D851)</f>
        <v/>
      </c>
      <c r="S851" s="57">
        <f>IF($A851="","",IFERROR(INDEX(Offerte!$D$2:$D$81,MATCH($Q851,Offerte!$L$2:$L$81,0)),0))</f>
        <v/>
      </c>
      <c r="T851" s="57">
        <f>IF($A851="","",IFERROR(INDEX(Offerte!$G$2:$G$81,MATCH($Q851,Offerte!$L$2:$L$81,0)),"NO"))</f>
        <v/>
      </c>
    </row>
    <row r="852">
      <c r="A852" s="48">
        <f>IF(Offerte!$A29="","",Offerte!$A29)</f>
        <v/>
      </c>
      <c r="B852" s="48">
        <f>IF(Offerte!$A29="","",Offerte!$B29)</f>
        <v/>
      </c>
      <c r="C852" s="48">
        <f>IF(Offerte!$A29="","",Offerte!$C29)</f>
        <v/>
      </c>
      <c r="D852" s="48" t="inlineStr">
        <is>
          <t>C.2.2</t>
        </is>
      </c>
      <c r="E852" s="48" t="inlineStr">
        <is>
          <t>C</t>
        </is>
      </c>
      <c r="F852" s="48" t="inlineStr">
        <is>
          <t>T</t>
        </is>
      </c>
      <c r="G852" s="48" t="inlineStr">
        <is>
          <t>tabular</t>
        </is>
      </c>
      <c r="H852" s="48" t="n">
        <v>1</v>
      </c>
      <c r="I852" s="48" t="inlineStr">
        <is>
          <t>Software video/audio analisi per situazioni di pericolo</t>
        </is>
      </c>
      <c r="J852" s="73" t="n"/>
      <c r="K852" s="73" t="n"/>
      <c r="L852" s="73" t="n"/>
      <c r="M852" s="73" t="n"/>
      <c r="N852" s="57">
        <f>IF($A852="","",IF(IFERROR(VALUE($M852),0)=1,1,0))</f>
        <v/>
      </c>
      <c r="O852" s="57">
        <f>IF($A852="",0,IF(OR($S852&lt;&gt;1,COUNTA($J852:$M852)=0),0,IF($N852=1,$H852,0)))</f>
        <v/>
      </c>
      <c r="P852" s="48" t="inlineStr">
        <is>
          <t>sì/no</t>
        </is>
      </c>
      <c r="Q852" s="57">
        <f>IF($A852="","",$A852&amp;"|"&amp;$C852)</f>
        <v/>
      </c>
      <c r="R852" s="57">
        <f>IF($A852="","",$A852&amp;"|"&amp;$C852&amp;"|"&amp;$D852)</f>
        <v/>
      </c>
      <c r="S852" s="57">
        <f>IF($A852="","",IFERROR(INDEX(Offerte!$D$2:$D$81,MATCH($Q852,Offerte!$L$2:$L$81,0)),0))</f>
        <v/>
      </c>
      <c r="T852" s="57">
        <f>IF($A852="","",IFERROR(INDEX(Offerte!$G$2:$G$81,MATCH($Q852,Offerte!$L$2:$L$81,0)),"NO"))</f>
        <v/>
      </c>
    </row>
    <row r="853">
      <c r="A853" s="48">
        <f>IF(Offerte!$A29="","",Offerte!$A29)</f>
        <v/>
      </c>
      <c r="B853" s="48">
        <f>IF(Offerte!$A29="","",Offerte!$B29)</f>
        <v/>
      </c>
      <c r="C853" s="48">
        <f>IF(Offerte!$A29="","",Offerte!$C29)</f>
        <v/>
      </c>
      <c r="D853" s="48" t="inlineStr">
        <is>
          <t>C.2.3</t>
        </is>
      </c>
      <c r="E853" s="48" t="inlineStr">
        <is>
          <t>C</t>
        </is>
      </c>
      <c r="F853" s="48" t="inlineStr">
        <is>
          <t>T</t>
        </is>
      </c>
      <c r="G853" s="48" t="inlineStr">
        <is>
          <t>tabular</t>
        </is>
      </c>
      <c r="H853" s="48" t="n">
        <v>1</v>
      </c>
      <c r="I853" s="48" t="inlineStr">
        <is>
          <t>Collegamento con centrale qualificata di pronto intervento</t>
        </is>
      </c>
      <c r="J853" s="73" t="n"/>
      <c r="K853" s="73" t="n"/>
      <c r="L853" s="73" t="n"/>
      <c r="M853" s="73" t="n"/>
      <c r="N853" s="57">
        <f>IF($A853="","",IF(IFERROR(VALUE($M853),0)=1,1,0))</f>
        <v/>
      </c>
      <c r="O853" s="57">
        <f>IF($A853="",0,IF(OR($S853&lt;&gt;1,COUNTA($J853:$M853)=0),0,IF($N853=1,$H853,0)))</f>
        <v/>
      </c>
      <c r="P853" s="48" t="inlineStr">
        <is>
          <t>sì/no</t>
        </is>
      </c>
      <c r="Q853" s="57">
        <f>IF($A853="","",$A853&amp;"|"&amp;$C853)</f>
        <v/>
      </c>
      <c r="R853" s="57">
        <f>IF($A853="","",$A853&amp;"|"&amp;$C853&amp;"|"&amp;$D853)</f>
        <v/>
      </c>
      <c r="S853" s="57">
        <f>IF($A853="","",IFERROR(INDEX(Offerte!$D$2:$D$81,MATCH($Q853,Offerte!$L$2:$L$81,0)),0))</f>
        <v/>
      </c>
      <c r="T853" s="57">
        <f>IF($A853="","",IFERROR(INDEX(Offerte!$G$2:$G$81,MATCH($Q853,Offerte!$L$2:$L$81,0)),"NO"))</f>
        <v/>
      </c>
    </row>
    <row r="854">
      <c r="A854" s="48">
        <f>IF(Offerte!$A29="","",Offerte!$A29)</f>
        <v/>
      </c>
      <c r="B854" s="48">
        <f>IF(Offerte!$A29="","",Offerte!$B29)</f>
        <v/>
      </c>
      <c r="C854" s="48">
        <f>IF(Offerte!$A29="","",Offerte!$C29)</f>
        <v/>
      </c>
      <c r="D854" s="48" t="inlineStr">
        <is>
          <t>C.2.4</t>
        </is>
      </c>
      <c r="E854" s="48" t="inlineStr">
        <is>
          <t>C</t>
        </is>
      </c>
      <c r="F854" s="48" t="inlineStr">
        <is>
          <t>Q</t>
        </is>
      </c>
      <c r="G854" s="48" t="inlineStr">
        <is>
          <t>higher</t>
        </is>
      </c>
      <c r="H854" s="48" t="n">
        <v>1</v>
      </c>
      <c r="I854" s="48" t="inlineStr">
        <is>
          <t>Tasso di copertura del servizio con dispositivi per la chiamata di emergenza del conducente</t>
        </is>
      </c>
      <c r="J854" s="73" t="n"/>
      <c r="K854" s="73" t="n"/>
      <c r="L854" s="73" t="n"/>
      <c r="M854" s="73" t="n"/>
      <c r="N854" s="57">
        <f>IF($A854="","",IFERROR(VALUE($K854)/VALUE($L854),IFERROR(VALUE($J854),0)))</f>
        <v/>
      </c>
      <c r="O854" s="57">
        <f>IF($A854="",0,IF(OR($S854&lt;&gt;1,COUNTA($J854:$M854)=0),0,IF(SUMPRODUCT(MAX(($C$5:$C$2484=$C854)*($D$5:$D$2484=$D854)*($S$5:$S$2484=1)*IFERROR($N$5:$N$2484*1,0)))&gt;0,ROUND($H854*($N854/SUMPRODUCT(MAX(($C$5:$C$2484=$C854)*($D$5:$D$2484=$D854)*($S$5:$S$2484=1)*IFERROR($N$5:$N$2484*1,0)))),4),0)))</f>
        <v/>
      </c>
      <c r="P854" s="48" t="inlineStr">
        <is>
          <t>Autobus attrezzati con chiamata di emergenza / Autobus totali in offerta, incluse scorte</t>
        </is>
      </c>
      <c r="Q854" s="57">
        <f>IF($A854="","",$A854&amp;"|"&amp;$C854)</f>
        <v/>
      </c>
      <c r="R854" s="57">
        <f>IF($A854="","",$A854&amp;"|"&amp;$C854&amp;"|"&amp;$D854)</f>
        <v/>
      </c>
      <c r="S854" s="57">
        <f>IF($A854="","",IFERROR(INDEX(Offerte!$D$2:$D$81,MATCH($Q854,Offerte!$L$2:$L$81,0)),0))</f>
        <v/>
      </c>
      <c r="T854" s="57">
        <f>IF($A854="","",IFERROR(INDEX(Offerte!$G$2:$G$81,MATCH($Q854,Offerte!$L$2:$L$81,0)),"NO"))</f>
        <v/>
      </c>
    </row>
    <row r="855">
      <c r="A855" s="48">
        <f>IF(Offerte!$A29="","",Offerte!$A29)</f>
        <v/>
      </c>
      <c r="B855" s="48">
        <f>IF(Offerte!$A29="","",Offerte!$B29)</f>
        <v/>
      </c>
      <c r="C855" s="48">
        <f>IF(Offerte!$A29="","",Offerte!$C29)</f>
        <v/>
      </c>
      <c r="D855" s="48" t="inlineStr">
        <is>
          <t>C.3.1</t>
        </is>
      </c>
      <c r="E855" s="48" t="inlineStr">
        <is>
          <t>C</t>
        </is>
      </c>
      <c r="F855" s="48" t="inlineStr">
        <is>
          <t>Q</t>
        </is>
      </c>
      <c r="G855" s="48" t="inlineStr">
        <is>
          <t>higher</t>
        </is>
      </c>
      <c r="H855" s="48" t="n">
        <v>2</v>
      </c>
      <c r="I855" s="48" t="inlineStr">
        <is>
          <t>Tasso di copertura del servizio con dispositivi di informazione dinamica a bordo mezzo</t>
        </is>
      </c>
      <c r="J855" s="73" t="n"/>
      <c r="K855" s="73" t="n"/>
      <c r="L855" s="73" t="n"/>
      <c r="M855" s="73" t="n"/>
      <c r="N855" s="57">
        <f>IF($A855="","",IFERROR(VALUE($K855)/VALUE($L855),IFERROR(VALUE($J855),0)))</f>
        <v/>
      </c>
      <c r="O855" s="57">
        <f>IF($A855="",0,IF(OR($S855&lt;&gt;1,COUNTA($J855:$M855)=0),0,IF(SUMPRODUCT(MAX(($C$5:$C$2484=$C855)*($D$5:$D$2484=$D855)*($S$5:$S$2484=1)*IFERROR($N$5:$N$2484*1,0)))&gt;0,ROUND($H855*($N855/SUMPRODUCT(MAX(($C$5:$C$2484=$C855)*($D$5:$D$2484=$D855)*($S$5:$S$2484=1)*IFERROR($N$5:$N$2484*1,0)))),4),0)))</f>
        <v/>
      </c>
      <c r="P855" s="48" t="inlineStr">
        <is>
          <t>Autobus con monitor e indicatori vocali / Autobus totali in offerta, incluse scorte</t>
        </is>
      </c>
      <c r="Q855" s="57">
        <f>IF($A855="","",$A855&amp;"|"&amp;$C855)</f>
        <v/>
      </c>
      <c r="R855" s="57">
        <f>IF($A855="","",$A855&amp;"|"&amp;$C855&amp;"|"&amp;$D855)</f>
        <v/>
      </c>
      <c r="S855" s="57">
        <f>IF($A855="","",IFERROR(INDEX(Offerte!$D$2:$D$81,MATCH($Q855,Offerte!$L$2:$L$81,0)),0))</f>
        <v/>
      </c>
      <c r="T855" s="57">
        <f>IF($A855="","",IFERROR(INDEX(Offerte!$G$2:$G$81,MATCH($Q855,Offerte!$L$2:$L$81,0)),"NO"))</f>
        <v/>
      </c>
    </row>
    <row r="856">
      <c r="A856" s="48">
        <f>IF(Offerte!$A29="","",Offerte!$A29)</f>
        <v/>
      </c>
      <c r="B856" s="48">
        <f>IF(Offerte!$A29="","",Offerte!$B29)</f>
        <v/>
      </c>
      <c r="C856" s="48">
        <f>IF(Offerte!$A29="","",Offerte!$C29)</f>
        <v/>
      </c>
      <c r="D856" s="48" t="inlineStr">
        <is>
          <t>C.3.2</t>
        </is>
      </c>
      <c r="E856" s="48" t="inlineStr">
        <is>
          <t>C</t>
        </is>
      </c>
      <c r="F856" s="48" t="inlineStr">
        <is>
          <t>T</t>
        </is>
      </c>
      <c r="G856" s="48" t="inlineStr">
        <is>
          <t>tabular</t>
        </is>
      </c>
      <c r="H856" s="48" t="n">
        <v>2</v>
      </c>
      <c r="I856" s="48" t="inlineStr">
        <is>
          <t>Informazioni a bordo su coincidenze ai nodi</t>
        </is>
      </c>
      <c r="J856" s="73" t="n"/>
      <c r="K856" s="73" t="n"/>
      <c r="L856" s="73" t="n"/>
      <c r="M856" s="73" t="n"/>
      <c r="N856" s="57">
        <f>IF($A856="","",IF(IFERROR(VALUE($M856),0)=1,1,0))</f>
        <v/>
      </c>
      <c r="O856" s="57">
        <f>IF($A856="",0,IF(OR($S856&lt;&gt;1,COUNTA($J856:$M856)=0),0,IF(AND($N856=1,IFERROR(SUMIFS($N$5:$N$2484,$Q$5:$Q$2484,$Q856,$D$5:$D$2484,"C.3.1"),0)&gt;=0.5),$H856,0)))</f>
        <v/>
      </c>
      <c r="P856" s="48" t="inlineStr">
        <is>
          <t>Dipende da C.3.1 &gt;= 0.5</t>
        </is>
      </c>
      <c r="Q856" s="57">
        <f>IF($A856="","",$A856&amp;"|"&amp;$C856)</f>
        <v/>
      </c>
      <c r="R856" s="57">
        <f>IF($A856="","",$A856&amp;"|"&amp;$C856&amp;"|"&amp;$D856)</f>
        <v/>
      </c>
      <c r="S856" s="57">
        <f>IF($A856="","",IFERROR(INDEX(Offerte!$D$2:$D$81,MATCH($Q856,Offerte!$L$2:$L$81,0)),0))</f>
        <v/>
      </c>
      <c r="T856" s="57">
        <f>IF($A856="","",IFERROR(INDEX(Offerte!$G$2:$G$81,MATCH($Q856,Offerte!$L$2:$L$81,0)),"NO"))</f>
        <v/>
      </c>
    </row>
    <row r="857">
      <c r="A857" s="48">
        <f>IF(Offerte!$A29="","",Offerte!$A29)</f>
        <v/>
      </c>
      <c r="B857" s="48">
        <f>IF(Offerte!$A29="","",Offerte!$B29)</f>
        <v/>
      </c>
      <c r="C857" s="48">
        <f>IF(Offerte!$A29="","",Offerte!$C29)</f>
        <v/>
      </c>
      <c r="D857" s="48" t="inlineStr">
        <is>
          <t>D.1.1</t>
        </is>
      </c>
      <c r="E857" s="48" t="inlineStr">
        <is>
          <t>D</t>
        </is>
      </c>
      <c r="F857" s="48" t="inlineStr">
        <is>
          <t>Q</t>
        </is>
      </c>
      <c r="G857" s="48" t="inlineStr">
        <is>
          <t>higher</t>
        </is>
      </c>
      <c r="H857" s="48" t="n">
        <v>3</v>
      </c>
      <c r="I857" s="48" t="inlineStr">
        <is>
          <t>Installazione di pensiline</t>
        </is>
      </c>
      <c r="J857" s="73" t="n"/>
      <c r="K857" s="73" t="n"/>
      <c r="L857" s="73" t="n"/>
      <c r="M857" s="73" t="n"/>
      <c r="N857" s="57">
        <f>IF($A857="","",IFERROR(VALUE($J857),0))</f>
        <v/>
      </c>
      <c r="O857" s="57">
        <f>IF($A857="",0,IF(OR($S857&lt;&gt;1,COUNTA($J857:$M857)=0),0,IF(SUMPRODUCT(MAX(($C$5:$C$2484=$C857)*($D$5:$D$2484=$D857)*($S$5:$S$2484=1)*IFERROR($N$5:$N$2484*1,0)))&gt;0,ROUND($H857*($N857/SUMPRODUCT(MAX(($C$5:$C$2484=$C857)*($D$5:$D$2484=$D857)*($S$5:$S$2484=1)*IFERROR($N$5:$N$2484*1,0)))),4),0)))</f>
        <v/>
      </c>
      <c r="P857" s="48" t="inlineStr">
        <is>
          <t>fermate</t>
        </is>
      </c>
      <c r="Q857" s="57">
        <f>IF($A857="","",$A857&amp;"|"&amp;$C857)</f>
        <v/>
      </c>
      <c r="R857" s="57">
        <f>IF($A857="","",$A857&amp;"|"&amp;$C857&amp;"|"&amp;$D857)</f>
        <v/>
      </c>
      <c r="S857" s="57">
        <f>IF($A857="","",IFERROR(INDEX(Offerte!$D$2:$D$81,MATCH($Q857,Offerte!$L$2:$L$81,0)),0))</f>
        <v/>
      </c>
      <c r="T857" s="57">
        <f>IF($A857="","",IFERROR(INDEX(Offerte!$G$2:$G$81,MATCH($Q857,Offerte!$L$2:$L$81,0)),"NO"))</f>
        <v/>
      </c>
    </row>
    <row r="858">
      <c r="A858" s="48">
        <f>IF(Offerte!$A29="","",Offerte!$A29)</f>
        <v/>
      </c>
      <c r="B858" s="48">
        <f>IF(Offerte!$A29="","",Offerte!$B29)</f>
        <v/>
      </c>
      <c r="C858" s="48">
        <f>IF(Offerte!$A29="","",Offerte!$C29)</f>
        <v/>
      </c>
      <c r="D858" s="48" t="inlineStr">
        <is>
          <t>D.1.2</t>
        </is>
      </c>
      <c r="E858" s="48" t="inlineStr">
        <is>
          <t>D</t>
        </is>
      </c>
      <c r="F858" s="48" t="inlineStr">
        <is>
          <t>Q</t>
        </is>
      </c>
      <c r="G858" s="48" t="inlineStr">
        <is>
          <t>higher</t>
        </is>
      </c>
      <c r="H858" s="48" t="n">
        <v>3</v>
      </c>
      <c r="I858" s="48" t="inlineStr">
        <is>
          <t>Installazione di paline di fermata conformi alla DGR 581/2023</t>
        </is>
      </c>
      <c r="J858" s="73" t="n"/>
      <c r="K858" s="73" t="n"/>
      <c r="L858" s="73" t="n"/>
      <c r="M858" s="73" t="n"/>
      <c r="N858" s="57">
        <f>IF($A858="","",IFERROR(VALUE($J858),0))</f>
        <v/>
      </c>
      <c r="O858" s="57">
        <f>IF($A858="",0,IF(OR($S858&lt;&gt;1,COUNTA($J858:$M858)=0),0,IF(SUMPRODUCT(MAX(($C$5:$C$2484=$C858)*($D$5:$D$2484=$D858)*($S$5:$S$2484=1)*IFERROR($N$5:$N$2484*1,0)))&gt;0,ROUND($H858*($N858/SUMPRODUCT(MAX(($C$5:$C$2484=$C858)*($D$5:$D$2484=$D858)*($S$5:$S$2484=1)*IFERROR($N$5:$N$2484*1,0)))),4),0)))</f>
        <v/>
      </c>
      <c r="P858" s="48" t="inlineStr">
        <is>
          <t>fermate</t>
        </is>
      </c>
      <c r="Q858" s="57">
        <f>IF($A858="","",$A858&amp;"|"&amp;$C858)</f>
        <v/>
      </c>
      <c r="R858" s="57">
        <f>IF($A858="","",$A858&amp;"|"&amp;$C858&amp;"|"&amp;$D858)</f>
        <v/>
      </c>
      <c r="S858" s="57">
        <f>IF($A858="","",IFERROR(INDEX(Offerte!$D$2:$D$81,MATCH($Q858,Offerte!$L$2:$L$81,0)),0))</f>
        <v/>
      </c>
      <c r="T858" s="57">
        <f>IF($A858="","",IFERROR(INDEX(Offerte!$G$2:$G$81,MATCH($Q858,Offerte!$L$2:$L$81,0)),"NO"))</f>
        <v/>
      </c>
    </row>
    <row r="859">
      <c r="A859" s="48">
        <f>IF(Offerte!$A29="","",Offerte!$A29)</f>
        <v/>
      </c>
      <c r="B859" s="48">
        <f>IF(Offerte!$A29="","",Offerte!$B29)</f>
        <v/>
      </c>
      <c r="C859" s="48">
        <f>IF(Offerte!$A29="","",Offerte!$C29)</f>
        <v/>
      </c>
      <c r="D859" s="48" t="inlineStr">
        <is>
          <t>D.1.3</t>
        </is>
      </c>
      <c r="E859" s="48" t="inlineStr">
        <is>
          <t>D</t>
        </is>
      </c>
      <c r="F859" s="48" t="inlineStr">
        <is>
          <t>Q</t>
        </is>
      </c>
      <c r="G859" s="48" t="inlineStr">
        <is>
          <t>higher</t>
        </is>
      </c>
      <c r="H859" s="48" t="n">
        <v>2</v>
      </c>
      <c r="I859" s="48" t="inlineStr">
        <is>
          <t>Display informativi connessi alle fermate</t>
        </is>
      </c>
      <c r="J859" s="73" t="n"/>
      <c r="K859" s="73" t="n"/>
      <c r="L859" s="73" t="n"/>
      <c r="M859" s="73" t="n"/>
      <c r="N859" s="57">
        <f>IF($A859="","",IFERROR(VALUE($J859),0))</f>
        <v/>
      </c>
      <c r="O859" s="57">
        <f>IF($A859="",0,IF(OR($S859&lt;&gt;1,COUNTA($J859:$M859)=0),0,IF(SUMPRODUCT(MAX(($C$5:$C$2484=$C859)*($D$5:$D$2484=$D859)*($S$5:$S$2484=1)*IFERROR($N$5:$N$2484*1,0)))&gt;0,ROUND($H859*($N859/SUMPRODUCT(MAX(($C$5:$C$2484=$C859)*($D$5:$D$2484=$D859)*($S$5:$S$2484=1)*IFERROR($N$5:$N$2484*1,0)))),4),0)))</f>
        <v/>
      </c>
      <c r="P859" s="48" t="inlineStr">
        <is>
          <t>fermate</t>
        </is>
      </c>
      <c r="Q859" s="57">
        <f>IF($A859="","",$A859&amp;"|"&amp;$C859)</f>
        <v/>
      </c>
      <c r="R859" s="57">
        <f>IF($A859="","",$A859&amp;"|"&amp;$C859&amp;"|"&amp;$D859)</f>
        <v/>
      </c>
      <c r="S859" s="57">
        <f>IF($A859="","",IFERROR(INDEX(Offerte!$D$2:$D$81,MATCH($Q859,Offerte!$L$2:$L$81,0)),0))</f>
        <v/>
      </c>
      <c r="T859" s="57">
        <f>IF($A859="","",IFERROR(INDEX(Offerte!$G$2:$G$81,MATCH($Q859,Offerte!$L$2:$L$81,0)),"NO"))</f>
        <v/>
      </c>
    </row>
    <row r="860">
      <c r="A860" s="48">
        <f>IF(Offerte!$A29="","",Offerte!$A29)</f>
        <v/>
      </c>
      <c r="B860" s="48">
        <f>IF(Offerte!$A29="","",Offerte!$B29)</f>
        <v/>
      </c>
      <c r="C860" s="48">
        <f>IF(Offerte!$A29="","",Offerte!$C29)</f>
        <v/>
      </c>
      <c r="D860" s="48" t="inlineStr">
        <is>
          <t>D.2.1</t>
        </is>
      </c>
      <c r="E860" s="48" t="inlineStr">
        <is>
          <t>D</t>
        </is>
      </c>
      <c r="F860" s="48" t="inlineStr">
        <is>
          <t>Q</t>
        </is>
      </c>
      <c r="G860" s="48" t="inlineStr">
        <is>
          <t>higher</t>
        </is>
      </c>
      <c r="H860" s="48" t="n">
        <v>2</v>
      </c>
      <c r="I860" s="48" t="inlineStr">
        <is>
          <t>Segnali tattili Loges-Vet-Evolution</t>
        </is>
      </c>
      <c r="J860" s="73" t="n"/>
      <c r="K860" s="73" t="n"/>
      <c r="L860" s="73" t="n"/>
      <c r="M860" s="73" t="n"/>
      <c r="N860" s="57">
        <f>IF($A860="","",IFERROR(VALUE($J860),0))</f>
        <v/>
      </c>
      <c r="O860" s="57">
        <f>IF($A860="",0,IF(OR($S860&lt;&gt;1,COUNTA($J860:$M860)=0),0,IF(SUMPRODUCT(MAX(($C$5:$C$2484=$C860)*($D$5:$D$2484=$D860)*($S$5:$S$2484=1)*IFERROR($N$5:$N$2484*1,0)))&gt;0,ROUND($H860*($N860/SUMPRODUCT(MAX(($C$5:$C$2484=$C860)*($D$5:$D$2484=$D860)*($S$5:$S$2484=1)*IFERROR($N$5:$N$2484*1,0)))),4),0)))</f>
        <v/>
      </c>
      <c r="P860" s="48" t="inlineStr">
        <is>
          <t>fermate</t>
        </is>
      </c>
      <c r="Q860" s="57">
        <f>IF($A860="","",$A860&amp;"|"&amp;$C860)</f>
        <v/>
      </c>
      <c r="R860" s="57">
        <f>IF($A860="","",$A860&amp;"|"&amp;$C860&amp;"|"&amp;$D860)</f>
        <v/>
      </c>
      <c r="S860" s="57">
        <f>IF($A860="","",IFERROR(INDEX(Offerte!$D$2:$D$81,MATCH($Q860,Offerte!$L$2:$L$81,0)),0))</f>
        <v/>
      </c>
      <c r="T860" s="57">
        <f>IF($A860="","",IFERROR(INDEX(Offerte!$G$2:$G$81,MATCH($Q860,Offerte!$L$2:$L$81,0)),"NO"))</f>
        <v/>
      </c>
    </row>
    <row r="861">
      <c r="A861" s="48">
        <f>IF(Offerte!$A29="","",Offerte!$A29)</f>
        <v/>
      </c>
      <c r="B861" s="48">
        <f>IF(Offerte!$A29="","",Offerte!$B29)</f>
        <v/>
      </c>
      <c r="C861" s="48">
        <f>IF(Offerte!$A29="","",Offerte!$C29)</f>
        <v/>
      </c>
      <c r="D861" s="48" t="inlineStr">
        <is>
          <t>E.1.1</t>
        </is>
      </c>
      <c r="E861" s="48" t="inlineStr">
        <is>
          <t>E</t>
        </is>
      </c>
      <c r="F861" s="48" t="inlineStr">
        <is>
          <t>T</t>
        </is>
      </c>
      <c r="G861" s="48" t="inlineStr">
        <is>
          <t>tabular</t>
        </is>
      </c>
      <c r="H861" s="48" t="n">
        <v>2</v>
      </c>
      <c r="I861" s="48" t="inlineStr">
        <is>
          <t>Mobile app con travel planner PRM</t>
        </is>
      </c>
      <c r="J861" s="73" t="n"/>
      <c r="K861" s="73" t="n"/>
      <c r="L861" s="73" t="n"/>
      <c r="M861" s="73" t="n"/>
      <c r="N861" s="57">
        <f>IF($A861="","",IF(IFERROR(VALUE($M861),0)=1,1,0))</f>
        <v/>
      </c>
      <c r="O861" s="57">
        <f>IF($A861="",0,IF(OR($S861&lt;&gt;1,COUNTA($J861:$M861)=0),0,IF($N861=1,$H861,0)))</f>
        <v/>
      </c>
      <c r="P861" s="48" t="inlineStr">
        <is>
          <t>sì/no</t>
        </is>
      </c>
      <c r="Q861" s="57">
        <f>IF($A861="","",$A861&amp;"|"&amp;$C861)</f>
        <v/>
      </c>
      <c r="R861" s="57">
        <f>IF($A861="","",$A861&amp;"|"&amp;$C861&amp;"|"&amp;$D861)</f>
        <v/>
      </c>
      <c r="S861" s="57">
        <f>IF($A861="","",IFERROR(INDEX(Offerte!$D$2:$D$81,MATCH($Q861,Offerte!$L$2:$L$81,0)),0))</f>
        <v/>
      </c>
      <c r="T861" s="57">
        <f>IF($A861="","",IFERROR(INDEX(Offerte!$G$2:$G$81,MATCH($Q861,Offerte!$L$2:$L$81,0)),"NO"))</f>
        <v/>
      </c>
    </row>
    <row r="862">
      <c r="A862" s="48">
        <f>IF(Offerte!$A29="","",Offerte!$A29)</f>
        <v/>
      </c>
      <c r="B862" s="48">
        <f>IF(Offerte!$A29="","",Offerte!$B29)</f>
        <v/>
      </c>
      <c r="C862" s="48">
        <f>IF(Offerte!$A29="","",Offerte!$C29)</f>
        <v/>
      </c>
      <c r="D862" s="48" t="inlineStr">
        <is>
          <t>E.2.1</t>
        </is>
      </c>
      <c r="E862" s="48" t="inlineStr">
        <is>
          <t>E</t>
        </is>
      </c>
      <c r="F862" s="48" t="inlineStr">
        <is>
          <t>D</t>
        </is>
      </c>
      <c r="G862" s="48" t="inlineStr">
        <is>
          <t>discretionary</t>
        </is>
      </c>
      <c r="H862" s="48" t="n">
        <v>2</v>
      </c>
      <c r="I862" s="48" t="inlineStr">
        <is>
          <t>Altre azioni informative e rapporti con gli utenti</t>
        </is>
      </c>
      <c r="J862" s="73" t="n"/>
      <c r="K862" s="73" t="n"/>
      <c r="L862" s="73" t="n"/>
      <c r="M862" s="73" t="n"/>
      <c r="N862" s="57">
        <f>IF($A862="","",MAX(0,MIN(1,IFERROR(VALUE($M862),0))))</f>
        <v/>
      </c>
      <c r="O862" s="57">
        <f>IF($A862="",0,IF(OR($S862&lt;&gt;1,COUNTA($J862:$M862)=0),0,IF(SUMPRODUCT(MAX(($C$5:$C$2484=$C862)*($D$5:$D$2484=$D862)*($S$5:$S$2484=1)*IFERROR($N$5:$N$2484*1,0)))&gt;0,ROUND($H862*($N862/SUMPRODUCT(MAX(($C$5:$C$2484=$C862)*($D$5:$D$2484=$D862)*($S$5:$S$2484=1)*IFERROR($N$5:$N$2484*1,0)))),4),0)))</f>
        <v/>
      </c>
      <c r="P862" s="48" t="inlineStr">
        <is>
          <t>coeff.</t>
        </is>
      </c>
      <c r="Q862" s="57">
        <f>IF($A862="","",$A862&amp;"|"&amp;$C862)</f>
        <v/>
      </c>
      <c r="R862" s="57">
        <f>IF($A862="","",$A862&amp;"|"&amp;$C862&amp;"|"&amp;$D862)</f>
        <v/>
      </c>
      <c r="S862" s="57">
        <f>IF($A862="","",IFERROR(INDEX(Offerte!$D$2:$D$81,MATCH($Q862,Offerte!$L$2:$L$81,0)),0))</f>
        <v/>
      </c>
      <c r="T862" s="57">
        <f>IF($A862="","",IFERROR(INDEX(Offerte!$G$2:$G$81,MATCH($Q862,Offerte!$L$2:$L$81,0)),"NO"))</f>
        <v/>
      </c>
    </row>
    <row r="863">
      <c r="A863" s="48">
        <f>IF(Offerte!$A29="","",Offerte!$A29)</f>
        <v/>
      </c>
      <c r="B863" s="48">
        <f>IF(Offerte!$A29="","",Offerte!$B29)</f>
        <v/>
      </c>
      <c r="C863" s="48">
        <f>IF(Offerte!$A29="","",Offerte!$C29)</f>
        <v/>
      </c>
      <c r="D863" s="48" t="inlineStr">
        <is>
          <t>F.1.1</t>
        </is>
      </c>
      <c r="E863" s="48" t="inlineStr">
        <is>
          <t>F</t>
        </is>
      </c>
      <c r="F863" s="48" t="inlineStr">
        <is>
          <t>Q</t>
        </is>
      </c>
      <c r="G863" s="48" t="inlineStr">
        <is>
          <t>lower</t>
        </is>
      </c>
      <c r="H863" s="48" t="n">
        <v>7</v>
      </c>
      <c r="I863" s="48" t="inlineStr">
        <is>
          <t>Performance ambientali del parco mezzi adibito al servizio - I_CEA</t>
        </is>
      </c>
      <c r="J863" s="73" t="n"/>
      <c r="K863" s="73" t="n"/>
      <c r="L863" s="73" t="n"/>
      <c r="M863" s="73" t="n"/>
      <c r="N863" s="57">
        <f>IF($A863="","",IFERROR(VALUE($J863),0))</f>
        <v/>
      </c>
      <c r="O863" s="57">
        <f>IF($A863="",0,IF(OR($S863&lt;&gt;1,COUNTA($J863:$M863)=0),0,IF(AND(IFERROR(AGGREGATE(15,6,$N$5:$N$2484/(($C$5:$C$2484=$C863)*($D$5:$D$2484=$D863)*($S$5:$S$2484=1)*($N$5:$N$2484&gt;0)),1),0)&gt;0,$N863&gt;0),ROUND($H863*(IFERROR(AGGREGATE(15,6,$N$5:$N$2484/(($C$5:$C$2484=$C863)*($D$5:$D$2484=$D863)*($S$5:$S$2484=1)*($N$5:$N$2484&gt;0)),1),0)/$N863),4),0)))</f>
        <v/>
      </c>
      <c r="P863" s="48" t="inlineStr">
        <is>
          <t>indice</t>
        </is>
      </c>
      <c r="Q863" s="57">
        <f>IF($A863="","",$A863&amp;"|"&amp;$C863)</f>
        <v/>
      </c>
      <c r="R863" s="57">
        <f>IF($A863="","",$A863&amp;"|"&amp;$C863&amp;"|"&amp;$D863)</f>
        <v/>
      </c>
      <c r="S863" s="57">
        <f>IF($A863="","",IFERROR(INDEX(Offerte!$D$2:$D$81,MATCH($Q863,Offerte!$L$2:$L$81,0)),0))</f>
        <v/>
      </c>
      <c r="T863" s="57">
        <f>IF($A863="","",IFERROR(INDEX(Offerte!$G$2:$G$81,MATCH($Q863,Offerte!$L$2:$L$81,0)),"NO"))</f>
        <v/>
      </c>
    </row>
    <row r="864">
      <c r="A864" s="48">
        <f>IF(Offerte!$A29="","",Offerte!$A29)</f>
        <v/>
      </c>
      <c r="B864" s="48">
        <f>IF(Offerte!$A29="","",Offerte!$B29)</f>
        <v/>
      </c>
      <c r="C864" s="48">
        <f>IF(Offerte!$A29="","",Offerte!$C29)</f>
        <v/>
      </c>
      <c r="D864" s="48" t="inlineStr">
        <is>
          <t>F.2.1</t>
        </is>
      </c>
      <c r="E864" s="48" t="inlineStr">
        <is>
          <t>F</t>
        </is>
      </c>
      <c r="F864" s="48" t="inlineStr">
        <is>
          <t>Q</t>
        </is>
      </c>
      <c r="G864" s="48" t="inlineStr">
        <is>
          <t>higher</t>
        </is>
      </c>
      <c r="H864" s="48" t="n">
        <v>2</v>
      </c>
      <c r="I864" s="48" t="inlineStr">
        <is>
          <t>Tasso di copertura del servizio con dispositivi ECO-DRIVER</t>
        </is>
      </c>
      <c r="J864" s="73" t="n"/>
      <c r="K864" s="73" t="n"/>
      <c r="L864" s="73" t="n"/>
      <c r="M864" s="73" t="n"/>
      <c r="N864" s="57">
        <f>IF($A864="","",IFERROR(VALUE($K864)/VALUE($L864),IFERROR(VALUE($J864),0)))</f>
        <v/>
      </c>
      <c r="O864" s="57">
        <f>IF($A864="",0,IF(OR($S864&lt;&gt;1,COUNTA($J864:$M864)=0),0,IF(SUMPRODUCT(MAX(($C$5:$C$2484=$C864)*($D$5:$D$2484=$D864)*($S$5:$S$2484=1)*IFERROR($N$5:$N$2484*1,0)))&gt;0,ROUND($H864*($N864/SUMPRODUCT(MAX(($C$5:$C$2484=$C864)*($D$5:$D$2484=$D864)*($S$5:$S$2484=1)*IFERROR($N$5:$N$2484*1,0)))),4),0)))</f>
        <v/>
      </c>
      <c r="P864" s="48" t="inlineStr">
        <is>
          <t>Autobus attrezzati con dispositivi ECO-DRIVER / Autobus totali in offerta, incluse scorte</t>
        </is>
      </c>
      <c r="Q864" s="57">
        <f>IF($A864="","",$A864&amp;"|"&amp;$C864)</f>
        <v/>
      </c>
      <c r="R864" s="57">
        <f>IF($A864="","",$A864&amp;"|"&amp;$C864&amp;"|"&amp;$D864)</f>
        <v/>
      </c>
      <c r="S864" s="57">
        <f>IF($A864="","",IFERROR(INDEX(Offerte!$D$2:$D$81,MATCH($Q864,Offerte!$L$2:$L$81,0)),0))</f>
        <v/>
      </c>
      <c r="T864" s="57">
        <f>IF($A864="","",IFERROR(INDEX(Offerte!$G$2:$G$81,MATCH($Q864,Offerte!$L$2:$L$81,0)),"NO"))</f>
        <v/>
      </c>
    </row>
    <row r="865">
      <c r="A865" s="48">
        <f>IF(Offerte!$A29="","",Offerte!$A29)</f>
        <v/>
      </c>
      <c r="B865" s="48">
        <f>IF(Offerte!$A29="","",Offerte!$B29)</f>
        <v/>
      </c>
      <c r="C865" s="48">
        <f>IF(Offerte!$A29="","",Offerte!$C29)</f>
        <v/>
      </c>
      <c r="D865" s="48" t="inlineStr">
        <is>
          <t>F.3.1</t>
        </is>
      </c>
      <c r="E865" s="48" t="inlineStr">
        <is>
          <t>F</t>
        </is>
      </c>
      <c r="F865" s="48" t="inlineStr">
        <is>
          <t>Q</t>
        </is>
      </c>
      <c r="G865" s="48" t="inlineStr">
        <is>
          <t>higher</t>
        </is>
      </c>
      <c r="H865" s="48" t="n">
        <v>2</v>
      </c>
      <c r="I865" s="48" t="inlineStr">
        <is>
          <t>Autoproduzione consumi elettrici per trazione</t>
        </is>
      </c>
      <c r="J865" s="73" t="n"/>
      <c r="K865" s="73" t="n"/>
      <c r="L865" s="73" t="n"/>
      <c r="M865" s="73" t="n"/>
      <c r="N865" s="57">
        <f>IF($A865="","",IFERROR(VALUE($J865),0))</f>
        <v/>
      </c>
      <c r="O865" s="57">
        <f>IF($A865="",0,IF(OR($S865&lt;&gt;1,COUNTA($J865:$M865)=0),0,IF(SUMPRODUCT(MAX(($C$5:$C$2484=$C865)*($D$5:$D$2484=$D865)*($S$5:$S$2484=1)*IFERROR($N$5:$N$2484*1,0)))&gt;0,ROUND($H865*($N865/SUMPRODUCT(MAX(($C$5:$C$2484=$C865)*($D$5:$D$2484=$D865)*($S$5:$S$2484=1)*IFERROR($N$5:$N$2484*1,0)))),4),0)))</f>
        <v/>
      </c>
      <c r="P865" s="48" t="inlineStr">
        <is>
          <t>kWh/anno</t>
        </is>
      </c>
      <c r="Q865" s="57">
        <f>IF($A865="","",$A865&amp;"|"&amp;$C865)</f>
        <v/>
      </c>
      <c r="R865" s="57">
        <f>IF($A865="","",$A865&amp;"|"&amp;$C865&amp;"|"&amp;$D865)</f>
        <v/>
      </c>
      <c r="S865" s="57">
        <f>IF($A865="","",IFERROR(INDEX(Offerte!$D$2:$D$81,MATCH($Q865,Offerte!$L$2:$L$81,0)),0))</f>
        <v/>
      </c>
      <c r="T865" s="57">
        <f>IF($A865="","",IFERROR(INDEX(Offerte!$G$2:$G$81,MATCH($Q865,Offerte!$L$2:$L$81,0)),"NO"))</f>
        <v/>
      </c>
    </row>
    <row r="866">
      <c r="A866" s="48">
        <f>IF(Offerte!$A29="","",Offerte!$A29)</f>
        <v/>
      </c>
      <c r="B866" s="48">
        <f>IF(Offerte!$A29="","",Offerte!$B29)</f>
        <v/>
      </c>
      <c r="C866" s="48">
        <f>IF(Offerte!$A29="","",Offerte!$C29)</f>
        <v/>
      </c>
      <c r="D866" s="48" t="inlineStr">
        <is>
          <t>F.4.1</t>
        </is>
      </c>
      <c r="E866" s="48" t="inlineStr">
        <is>
          <t>F</t>
        </is>
      </c>
      <c r="F866" s="48" t="inlineStr">
        <is>
          <t>Q</t>
        </is>
      </c>
      <c r="G866" s="48" t="inlineStr">
        <is>
          <t>soil</t>
        </is>
      </c>
      <c r="H866" s="48" t="n">
        <v>2</v>
      </c>
      <c r="I866" s="48" t="inlineStr">
        <is>
          <t>Indice di consumo di suolo</t>
        </is>
      </c>
      <c r="J866" s="73" t="n"/>
      <c r="K866" s="73" t="n"/>
      <c r="L866" s="73" t="n"/>
      <c r="M866" s="73" t="n"/>
      <c r="N866" s="57">
        <f>IF($A866="","",IFERROR(VALUE($J866),0))</f>
        <v/>
      </c>
      <c r="O866" s="57">
        <f>IF($A866="",0,IF(OR($S866&lt;&gt;1,COUNTA($J866:$M866)=0),0,IF($N866&lt;=0,$H866,IF(SUMPRODUCT(MAX(($C$5:$C$2484=$C866)*($D$5:$D$2484=$D866)*($S$5:$S$2484=1)*IFERROR($N$5:$N$2484*1,0)))&gt;0,ROUND($H866*((SUMPRODUCT(MAX(($C$5:$C$2484=$C866)*($D$5:$D$2484=$D866)*($S$5:$S$2484=1)*IFERROR($N$5:$N$2484*1,0)))-$N866)/SUMPRODUCT(MAX(($C$5:$C$2484=$C866)*($D$5:$D$2484=$D866)*($S$5:$S$2484=1)*IFERROR($N$5:$N$2484*1,0)))),4),0))))</f>
        <v/>
      </c>
      <c r="P866" s="48" t="inlineStr">
        <is>
          <t>m2</t>
        </is>
      </c>
      <c r="Q866" s="57">
        <f>IF($A866="","",$A866&amp;"|"&amp;$C866)</f>
        <v/>
      </c>
      <c r="R866" s="57">
        <f>IF($A866="","",$A866&amp;"|"&amp;$C866&amp;"|"&amp;$D866)</f>
        <v/>
      </c>
      <c r="S866" s="57">
        <f>IF($A866="","",IFERROR(INDEX(Offerte!$D$2:$D$81,MATCH($Q866,Offerte!$L$2:$L$81,0)),0))</f>
        <v/>
      </c>
      <c r="T866" s="57">
        <f>IF($A866="","",IFERROR(INDEX(Offerte!$G$2:$G$81,MATCH($Q866,Offerte!$L$2:$L$81,0)),"NO"))</f>
        <v/>
      </c>
    </row>
    <row r="867">
      <c r="A867" s="48">
        <f>IF(Offerte!$A29="","",Offerte!$A29)</f>
        <v/>
      </c>
      <c r="B867" s="48">
        <f>IF(Offerte!$A29="","",Offerte!$B29)</f>
        <v/>
      </c>
      <c r="C867" s="48">
        <f>IF(Offerte!$A29="","",Offerte!$C29)</f>
        <v/>
      </c>
      <c r="D867" s="48" t="inlineStr">
        <is>
          <t>F.5.1</t>
        </is>
      </c>
      <c r="E867" s="48" t="inlineStr">
        <is>
          <t>F</t>
        </is>
      </c>
      <c r="F867" s="48" t="inlineStr">
        <is>
          <t>T</t>
        </is>
      </c>
      <c r="G867" s="48" t="inlineStr">
        <is>
          <t>tabular</t>
        </is>
      </c>
      <c r="H867" s="48" t="n">
        <v>1</v>
      </c>
      <c r="I867" s="48" t="inlineStr">
        <is>
          <t>Rendicontazione di sostenibilità ambientale</t>
        </is>
      </c>
      <c r="J867" s="73" t="n"/>
      <c r="K867" s="73" t="n"/>
      <c r="L867" s="73" t="n"/>
      <c r="M867" s="73" t="n"/>
      <c r="N867" s="57">
        <f>IF($A867="","",IF(IFERROR(VALUE($M867),0)=1,1,0))</f>
        <v/>
      </c>
      <c r="O867" s="57">
        <f>IF($A867="",0,IF(OR($S867&lt;&gt;1,COUNTA($J867:$M867)=0),0,IF($N867=1,$H867,0)))</f>
        <v/>
      </c>
      <c r="P867" s="48" t="inlineStr">
        <is>
          <t>sì/no</t>
        </is>
      </c>
      <c r="Q867" s="57">
        <f>IF($A867="","",$A867&amp;"|"&amp;$C867)</f>
        <v/>
      </c>
      <c r="R867" s="57">
        <f>IF($A867="","",$A867&amp;"|"&amp;$C867&amp;"|"&amp;$D867)</f>
        <v/>
      </c>
      <c r="S867" s="57">
        <f>IF($A867="","",IFERROR(INDEX(Offerte!$D$2:$D$81,MATCH($Q867,Offerte!$L$2:$L$81,0)),0))</f>
        <v/>
      </c>
      <c r="T867" s="57">
        <f>IF($A867="","",IFERROR(INDEX(Offerte!$G$2:$G$81,MATCH($Q867,Offerte!$L$2:$L$81,0)),"NO"))</f>
        <v/>
      </c>
    </row>
    <row r="868">
      <c r="A868" s="48">
        <f>IF(Offerte!$A29="","",Offerte!$A29)</f>
        <v/>
      </c>
      <c r="B868" s="48">
        <f>IF(Offerte!$A29="","",Offerte!$B29)</f>
        <v/>
      </c>
      <c r="C868" s="48">
        <f>IF(Offerte!$A29="","",Offerte!$C29)</f>
        <v/>
      </c>
      <c r="D868" s="48" t="inlineStr">
        <is>
          <t>G.1.1</t>
        </is>
      </c>
      <c r="E868" s="48" t="inlineStr">
        <is>
          <t>G</t>
        </is>
      </c>
      <c r="F868" s="48" t="inlineStr">
        <is>
          <t>D</t>
        </is>
      </c>
      <c r="G868" s="48" t="inlineStr">
        <is>
          <t>discretionary</t>
        </is>
      </c>
      <c r="H868" s="48" t="n">
        <v>2</v>
      </c>
      <c r="I868" s="48" t="inlineStr">
        <is>
          <t>Qualità del progetto di centrale di controllo aziendale</t>
        </is>
      </c>
      <c r="J868" s="73" t="n"/>
      <c r="K868" s="73" t="n"/>
      <c r="L868" s="73" t="n"/>
      <c r="M868" s="73" t="n"/>
      <c r="N868" s="57">
        <f>IF($A868="","",MAX(0,MIN(1,IFERROR(VALUE($M868),0))))</f>
        <v/>
      </c>
      <c r="O868" s="57">
        <f>IF($A868="",0,IF(OR($S868&lt;&gt;1,COUNTA($J868:$M868)=0),0,IF(SUMPRODUCT(MAX(($C$5:$C$2484=$C868)*($D$5:$D$2484=$D868)*($S$5:$S$2484=1)*IFERROR($N$5:$N$2484*1,0)))&gt;0,ROUND($H868*($N868/SUMPRODUCT(MAX(($C$5:$C$2484=$C868)*($D$5:$D$2484=$D868)*($S$5:$S$2484=1)*IFERROR($N$5:$N$2484*1,0)))),4),0)))</f>
        <v/>
      </c>
      <c r="P868" s="48" t="inlineStr">
        <is>
          <t>coeff.</t>
        </is>
      </c>
      <c r="Q868" s="57">
        <f>IF($A868="","",$A868&amp;"|"&amp;$C868)</f>
        <v/>
      </c>
      <c r="R868" s="57">
        <f>IF($A868="","",$A868&amp;"|"&amp;$C868&amp;"|"&amp;$D868)</f>
        <v/>
      </c>
      <c r="S868" s="57">
        <f>IF($A868="","",IFERROR(INDEX(Offerte!$D$2:$D$81,MATCH($Q868,Offerte!$L$2:$L$81,0)),0))</f>
        <v/>
      </c>
      <c r="T868" s="57">
        <f>IF($A868="","",IFERROR(INDEX(Offerte!$G$2:$G$81,MATCH($Q868,Offerte!$L$2:$L$81,0)),"NO"))</f>
        <v/>
      </c>
    </row>
    <row r="869">
      <c r="A869" s="48">
        <f>IF(Offerte!$A29="","",Offerte!$A29)</f>
        <v/>
      </c>
      <c r="B869" s="48">
        <f>IF(Offerte!$A29="","",Offerte!$B29)</f>
        <v/>
      </c>
      <c r="C869" s="48">
        <f>IF(Offerte!$A29="","",Offerte!$C29)</f>
        <v/>
      </c>
      <c r="D869" s="48" t="inlineStr">
        <is>
          <t>G.2.1</t>
        </is>
      </c>
      <c r="E869" s="48" t="inlineStr">
        <is>
          <t>G</t>
        </is>
      </c>
      <c r="F869" s="48" t="inlineStr">
        <is>
          <t>T</t>
        </is>
      </c>
      <c r="G869" s="48" t="inlineStr">
        <is>
          <t>tabular</t>
        </is>
      </c>
      <c r="H869" s="48" t="n">
        <v>1</v>
      </c>
      <c r="I869" s="48" t="inlineStr">
        <is>
          <t>Certificazione ISO 45001</t>
        </is>
      </c>
      <c r="J869" s="73" t="n"/>
      <c r="K869" s="73" t="n"/>
      <c r="L869" s="73" t="n"/>
      <c r="M869" s="73" t="n"/>
      <c r="N869" s="57">
        <f>IF($A869="","",IF(IFERROR(VALUE($M869),0)=1,1,0))</f>
        <v/>
      </c>
      <c r="O869" s="57">
        <f>IF($A869="",0,IF(OR($S869&lt;&gt;1,COUNTA($J869:$M869)=0),0,IF($N869=1,$H869,0)))</f>
        <v/>
      </c>
      <c r="P869" s="48" t="inlineStr">
        <is>
          <t>sì/no</t>
        </is>
      </c>
      <c r="Q869" s="57">
        <f>IF($A869="","",$A869&amp;"|"&amp;$C869)</f>
        <v/>
      </c>
      <c r="R869" s="57">
        <f>IF($A869="","",$A869&amp;"|"&amp;$C869&amp;"|"&amp;$D869)</f>
        <v/>
      </c>
      <c r="S869" s="57">
        <f>IF($A869="","",IFERROR(INDEX(Offerte!$D$2:$D$81,MATCH($Q869,Offerte!$L$2:$L$81,0)),0))</f>
        <v/>
      </c>
      <c r="T869" s="57">
        <f>IF($A869="","",IFERROR(INDEX(Offerte!$G$2:$G$81,MATCH($Q869,Offerte!$L$2:$L$81,0)),"NO"))</f>
        <v/>
      </c>
    </row>
    <row r="870">
      <c r="A870" s="48">
        <f>IF(Offerte!$A29="","",Offerte!$A29)</f>
        <v/>
      </c>
      <c r="B870" s="48">
        <f>IF(Offerte!$A29="","",Offerte!$B29)</f>
        <v/>
      </c>
      <c r="C870" s="48">
        <f>IF(Offerte!$A29="","",Offerte!$C29)</f>
        <v/>
      </c>
      <c r="D870" s="48" t="inlineStr">
        <is>
          <t>G.3.1</t>
        </is>
      </c>
      <c r="E870" s="48" t="inlineStr">
        <is>
          <t>G</t>
        </is>
      </c>
      <c r="F870" s="48" t="inlineStr">
        <is>
          <t>T</t>
        </is>
      </c>
      <c r="G870" s="48" t="inlineStr">
        <is>
          <t>tabular</t>
        </is>
      </c>
      <c r="H870" s="48" t="n">
        <v>1</v>
      </c>
      <c r="I870" s="48" t="inlineStr">
        <is>
          <t>Certificazioni di responsabilità sociale</t>
        </is>
      </c>
      <c r="J870" s="73" t="n"/>
      <c r="K870" s="73" t="n"/>
      <c r="L870" s="73" t="n"/>
      <c r="M870" s="73" t="n"/>
      <c r="N870" s="57">
        <f>IF($A870="","",IF(IFERROR(VALUE($M870),0)=1,1,0))</f>
        <v/>
      </c>
      <c r="O870" s="57">
        <f>IF($A870="",0,IF(OR($S870&lt;&gt;1,COUNTA($J870:$M870)=0),0,IF($N870=1,$H870,0)))</f>
        <v/>
      </c>
      <c r="P870" s="48" t="inlineStr">
        <is>
          <t>sì/no</t>
        </is>
      </c>
      <c r="Q870" s="57">
        <f>IF($A870="","",$A870&amp;"|"&amp;$C870)</f>
        <v/>
      </c>
      <c r="R870" s="57">
        <f>IF($A870="","",$A870&amp;"|"&amp;$C870&amp;"|"&amp;$D870)</f>
        <v/>
      </c>
      <c r="S870" s="57">
        <f>IF($A870="","",IFERROR(INDEX(Offerte!$D$2:$D$81,MATCH($Q870,Offerte!$L$2:$L$81,0)),0))</f>
        <v/>
      </c>
      <c r="T870" s="57">
        <f>IF($A870="","",IFERROR(INDEX(Offerte!$G$2:$G$81,MATCH($Q870,Offerte!$L$2:$L$81,0)),"NO"))</f>
        <v/>
      </c>
    </row>
    <row r="871">
      <c r="A871" s="48">
        <f>IF(Offerte!$A29="","",Offerte!$A29)</f>
        <v/>
      </c>
      <c r="B871" s="48">
        <f>IF(Offerte!$A29="","",Offerte!$B29)</f>
        <v/>
      </c>
      <c r="C871" s="48">
        <f>IF(Offerte!$A29="","",Offerte!$C29)</f>
        <v/>
      </c>
      <c r="D871" s="48" t="inlineStr">
        <is>
          <t>G.4.1</t>
        </is>
      </c>
      <c r="E871" s="48" t="inlineStr">
        <is>
          <t>G</t>
        </is>
      </c>
      <c r="F871" s="48" t="inlineStr">
        <is>
          <t>D</t>
        </is>
      </c>
      <c r="G871" s="48" t="inlineStr">
        <is>
          <t>discretionary</t>
        </is>
      </c>
      <c r="H871" s="48" t="n">
        <v>2</v>
      </c>
      <c r="I871" s="48" t="inlineStr">
        <is>
          <t>Qualità del piano di formazione del personale</t>
        </is>
      </c>
      <c r="J871" s="73" t="n"/>
      <c r="K871" s="73" t="n"/>
      <c r="L871" s="73" t="n"/>
      <c r="M871" s="73" t="n"/>
      <c r="N871" s="57">
        <f>IF($A871="","",MAX(0,MIN(1,IFERROR(VALUE($M871),0))))</f>
        <v/>
      </c>
      <c r="O871" s="57">
        <f>IF($A871="",0,IF(OR($S871&lt;&gt;1,COUNTA($J871:$M871)=0),0,IF(SUMPRODUCT(MAX(($C$5:$C$2484=$C871)*($D$5:$D$2484=$D871)*($S$5:$S$2484=1)*IFERROR($N$5:$N$2484*1,0)))&gt;0,ROUND($H871*($N871/SUMPRODUCT(MAX(($C$5:$C$2484=$C871)*($D$5:$D$2484=$D871)*($S$5:$S$2484=1)*IFERROR($N$5:$N$2484*1,0)))),4),0)))</f>
        <v/>
      </c>
      <c r="P871" s="48" t="inlineStr">
        <is>
          <t>coeff.</t>
        </is>
      </c>
      <c r="Q871" s="57">
        <f>IF($A871="","",$A871&amp;"|"&amp;$C871)</f>
        <v/>
      </c>
      <c r="R871" s="57">
        <f>IF($A871="","",$A871&amp;"|"&amp;$C871&amp;"|"&amp;$D871)</f>
        <v/>
      </c>
      <c r="S871" s="57">
        <f>IF($A871="","",IFERROR(INDEX(Offerte!$D$2:$D$81,MATCH($Q871,Offerte!$L$2:$L$81,0)),0))</f>
        <v/>
      </c>
      <c r="T871" s="57">
        <f>IF($A871="","",IFERROR(INDEX(Offerte!$G$2:$G$81,MATCH($Q871,Offerte!$L$2:$L$81,0)),"NO"))</f>
        <v/>
      </c>
    </row>
    <row r="872">
      <c r="A872" s="48">
        <f>IF(Offerte!$A29="","",Offerte!$A29)</f>
        <v/>
      </c>
      <c r="B872" s="48">
        <f>IF(Offerte!$A29="","",Offerte!$B29)</f>
        <v/>
      </c>
      <c r="C872" s="48">
        <f>IF(Offerte!$A29="","",Offerte!$C29)</f>
        <v/>
      </c>
      <c r="D872" s="48" t="inlineStr">
        <is>
          <t>G.5.1</t>
        </is>
      </c>
      <c r="E872" s="48" t="inlineStr">
        <is>
          <t>G</t>
        </is>
      </c>
      <c r="F872" s="48" t="inlineStr">
        <is>
          <t>T</t>
        </is>
      </c>
      <c r="G872" s="48" t="inlineStr">
        <is>
          <t>tabular</t>
        </is>
      </c>
      <c r="H872" s="48" t="n">
        <v>1</v>
      </c>
      <c r="I872" s="48" t="inlineStr">
        <is>
          <t>Impegno al mantenimento delle garanzie del contratto di secondo livello del gestore uscente</t>
        </is>
      </c>
      <c r="J872" s="73" t="n"/>
      <c r="K872" s="73" t="n"/>
      <c r="L872" s="73" t="n"/>
      <c r="M872" s="73" t="n"/>
      <c r="N872" s="57">
        <f>IF($A872="","",IF(IFERROR(VALUE($M872),0)=1,1,0))</f>
        <v/>
      </c>
      <c r="O872" s="57">
        <f>IF($A872="",0,IF(OR($S872&lt;&gt;1,COUNTA($J872:$M872)=0),0,IF($N872=1,$H872,0)))</f>
        <v/>
      </c>
      <c r="P872" s="48" t="inlineStr">
        <is>
          <t>sì/no</t>
        </is>
      </c>
      <c r="Q872" s="57">
        <f>IF($A872="","",$A872&amp;"|"&amp;$C872)</f>
        <v/>
      </c>
      <c r="R872" s="57">
        <f>IF($A872="","",$A872&amp;"|"&amp;$C872&amp;"|"&amp;$D872)</f>
        <v/>
      </c>
      <c r="S872" s="57">
        <f>IF($A872="","",IFERROR(INDEX(Offerte!$D$2:$D$81,MATCH($Q872,Offerte!$L$2:$L$81,0)),0))</f>
        <v/>
      </c>
      <c r="T872" s="57">
        <f>IF($A872="","",IFERROR(INDEX(Offerte!$G$2:$G$81,MATCH($Q872,Offerte!$L$2:$L$81,0)),"NO"))</f>
        <v/>
      </c>
    </row>
    <row r="873">
      <c r="A873" s="48">
        <f>IF(Offerte!$A30="","",Offerte!$A30)</f>
        <v/>
      </c>
      <c r="B873" s="48">
        <f>IF(Offerte!$A30="","",Offerte!$B30)</f>
        <v/>
      </c>
      <c r="C873" s="48">
        <f>IF(Offerte!$A30="","",Offerte!$C30)</f>
        <v/>
      </c>
      <c r="D873" s="48" t="inlineStr">
        <is>
          <t>A.1.1</t>
        </is>
      </c>
      <c r="E873" s="48" t="inlineStr">
        <is>
          <t>A</t>
        </is>
      </c>
      <c r="F873" s="48" t="inlineStr">
        <is>
          <t>Q</t>
        </is>
      </c>
      <c r="G873" s="48" t="inlineStr">
        <is>
          <t>higher</t>
        </is>
      </c>
      <c r="H873" s="48" t="n">
        <v>3</v>
      </c>
      <c r="I873" s="48" t="inlineStr">
        <is>
          <t>Tasso aggiuntivo di corse controllate</t>
        </is>
      </c>
      <c r="J873" s="73" t="n"/>
      <c r="K873" s="73" t="n"/>
      <c r="L873" s="73" t="n"/>
      <c r="M873" s="73" t="n"/>
      <c r="N873" s="57">
        <f>IF($A873="","",IFERROR(VALUE($K873)/VALUE($L873)*100,IFERROR(VALUE($J873),0)))</f>
        <v/>
      </c>
      <c r="O873" s="57">
        <f>IF($A873="",0,IF(OR($S873&lt;&gt;1,COUNTA($J873:$M873)=0),0,IF(SUMPRODUCT(MAX(($C$5:$C$2484=$C873)*($D$5:$D$2484=$D873)*($S$5:$S$2484=1)*IFERROR($N$5:$N$2484*1,0)))&gt;0,ROUND($H873*($N873/SUMPRODUCT(MAX(($C$5:$C$2484=$C873)*($D$5:$D$2484=$D873)*($S$5:$S$2484=1)*IFERROR($N$5:$N$2484*1,0)))),4),0)))</f>
        <v/>
      </c>
      <c r="P873" s="48" t="inlineStr">
        <is>
          <t>Corse controllate annue / Corse programmate annue</t>
        </is>
      </c>
      <c r="Q873" s="57">
        <f>IF($A873="","",$A873&amp;"|"&amp;$C873)</f>
        <v/>
      </c>
      <c r="R873" s="57">
        <f>IF($A873="","",$A873&amp;"|"&amp;$C873&amp;"|"&amp;$D873)</f>
        <v/>
      </c>
      <c r="S873" s="57">
        <f>IF($A873="","",IFERROR(INDEX(Offerte!$D$2:$D$81,MATCH($Q873,Offerte!$L$2:$L$81,0)),0))</f>
        <v/>
      </c>
      <c r="T873" s="57">
        <f>IF($A873="","",IFERROR(INDEX(Offerte!$G$2:$G$81,MATCH($Q873,Offerte!$L$2:$L$81,0)),"NO"))</f>
        <v/>
      </c>
    </row>
    <row r="874">
      <c r="A874" s="48">
        <f>IF(Offerte!$A30="","",Offerte!$A30)</f>
        <v/>
      </c>
      <c r="B874" s="48">
        <f>IF(Offerte!$A30="","",Offerte!$B30)</f>
        <v/>
      </c>
      <c r="C874" s="48">
        <f>IF(Offerte!$A30="","",Offerte!$C30)</f>
        <v/>
      </c>
      <c r="D874" s="48" t="inlineStr">
        <is>
          <t>A.1.2</t>
        </is>
      </c>
      <c r="E874" s="48" t="inlineStr">
        <is>
          <t>A</t>
        </is>
      </c>
      <c r="F874" s="48" t="inlineStr">
        <is>
          <t>Q</t>
        </is>
      </c>
      <c r="G874" s="48" t="inlineStr">
        <is>
          <t>higher</t>
        </is>
      </c>
      <c r="H874" s="48" t="n">
        <v>4</v>
      </c>
      <c r="I874" s="48" t="inlineStr">
        <is>
          <t>Numero aggiuntivo di passeggeri controllati</t>
        </is>
      </c>
      <c r="J874" s="73" t="n"/>
      <c r="K874" s="73" t="n"/>
      <c r="L874" s="73" t="n"/>
      <c r="M874" s="73" t="n"/>
      <c r="N874" s="57">
        <f>IF($A874="","",IFERROR(VALUE($J874),0))</f>
        <v/>
      </c>
      <c r="O874" s="57">
        <f>IF($A874="",0,IF(OR($S874&lt;&gt;1,COUNTA($J874:$M874)=0),0,IF(SUMPRODUCT(MAX(($C$5:$C$2484=$C874)*($D$5:$D$2484=$D874)*($S$5:$S$2484=1)*IFERROR($N$5:$N$2484*1,0)))&gt;0,ROUND($H874*($N874/SUMPRODUCT(MAX(($C$5:$C$2484=$C874)*($D$5:$D$2484=$D874)*($S$5:$S$2484=1)*IFERROR($N$5:$N$2484*1,0)))),4),0)))</f>
        <v/>
      </c>
      <c r="P874" s="48" t="inlineStr">
        <is>
          <t>passeggeri/anno</t>
        </is>
      </c>
      <c r="Q874" s="57">
        <f>IF($A874="","",$A874&amp;"|"&amp;$C874)</f>
        <v/>
      </c>
      <c r="R874" s="57">
        <f>IF($A874="","",$A874&amp;"|"&amp;$C874&amp;"|"&amp;$D874)</f>
        <v/>
      </c>
      <c r="S874" s="57">
        <f>IF($A874="","",IFERROR(INDEX(Offerte!$D$2:$D$81,MATCH($Q874,Offerte!$L$2:$L$81,0)),0))</f>
        <v/>
      </c>
      <c r="T874" s="57">
        <f>IF($A874="","",IFERROR(INDEX(Offerte!$G$2:$G$81,MATCH($Q874,Offerte!$L$2:$L$81,0)),"NO"))</f>
        <v/>
      </c>
    </row>
    <row r="875">
      <c r="A875" s="48">
        <f>IF(Offerte!$A30="","",Offerte!$A30)</f>
        <v/>
      </c>
      <c r="B875" s="48">
        <f>IF(Offerte!$A30="","",Offerte!$B30)</f>
        <v/>
      </c>
      <c r="C875" s="48">
        <f>IF(Offerte!$A30="","",Offerte!$C30)</f>
        <v/>
      </c>
      <c r="D875" s="48" t="inlineStr">
        <is>
          <t>B.1.1</t>
        </is>
      </c>
      <c r="E875" s="48" t="inlineStr">
        <is>
          <t>B</t>
        </is>
      </c>
      <c r="F875" s="48" t="inlineStr">
        <is>
          <t>Q</t>
        </is>
      </c>
      <c r="G875" s="48" t="inlineStr">
        <is>
          <t>higher</t>
        </is>
      </c>
      <c r="H875" s="48" t="n">
        <v>3</v>
      </c>
      <c r="I875" s="48" t="inlineStr">
        <is>
          <t>Incremento dei posti offerti nelle fasce di punta</t>
        </is>
      </c>
      <c r="J875" s="73" t="n"/>
      <c r="K875" s="73" t="n"/>
      <c r="L875" s="73" t="n"/>
      <c r="M875" s="73" t="n"/>
      <c r="N875" s="57">
        <f>IF($A875="","",IFERROR(VALUE($J875),0))</f>
        <v/>
      </c>
      <c r="O875" s="57">
        <f>IF($A875="",0,IF(OR($S875&lt;&gt;1,COUNTA($J875:$M875)=0),0,IF(SUMPRODUCT(MAX(($C$5:$C$2484=$C875)*($D$5:$D$2484=$D875)*($S$5:$S$2484=1)*IFERROR($N$5:$N$2484*1,0)))&gt;0,ROUND($H875*($N875/SUMPRODUCT(MAX(($C$5:$C$2484=$C875)*($D$5:$D$2484=$D875)*($S$5:$S$2484=1)*IFERROR($N$5:$N$2484*1,0)))),4),0)))</f>
        <v/>
      </c>
      <c r="P875" s="48" t="inlineStr">
        <is>
          <t>posti*km</t>
        </is>
      </c>
      <c r="Q875" s="57">
        <f>IF($A875="","",$A875&amp;"|"&amp;$C875)</f>
        <v/>
      </c>
      <c r="R875" s="57">
        <f>IF($A875="","",$A875&amp;"|"&amp;$C875&amp;"|"&amp;$D875)</f>
        <v/>
      </c>
      <c r="S875" s="57">
        <f>IF($A875="","",IFERROR(INDEX(Offerte!$D$2:$D$81,MATCH($Q875,Offerte!$L$2:$L$81,0)),0))</f>
        <v/>
      </c>
      <c r="T875" s="57">
        <f>IF($A875="","",IFERROR(INDEX(Offerte!$G$2:$G$81,MATCH($Q875,Offerte!$L$2:$L$81,0)),"NO"))</f>
        <v/>
      </c>
    </row>
    <row r="876">
      <c r="A876" s="48">
        <f>IF(Offerte!$A30="","",Offerte!$A30)</f>
        <v/>
      </c>
      <c r="B876" s="48">
        <f>IF(Offerte!$A30="","",Offerte!$B30)</f>
        <v/>
      </c>
      <c r="C876" s="48">
        <f>IF(Offerte!$A30="","",Offerte!$C30)</f>
        <v/>
      </c>
      <c r="D876" s="48" t="inlineStr">
        <is>
          <t>B.2.1</t>
        </is>
      </c>
      <c r="E876" s="48" t="inlineStr">
        <is>
          <t>B</t>
        </is>
      </c>
      <c r="F876" s="48" t="inlineStr">
        <is>
          <t>Q</t>
        </is>
      </c>
      <c r="G876" s="48" t="inlineStr">
        <is>
          <t>higher</t>
        </is>
      </c>
      <c r="H876" s="48" t="n">
        <v>4</v>
      </c>
      <c r="I876" s="48" t="inlineStr">
        <is>
          <t>Corse aggiuntive nell'arco giornaliero base</t>
        </is>
      </c>
      <c r="J876" s="73" t="n"/>
      <c r="K876" s="73" t="n"/>
      <c r="L876" s="73" t="n"/>
      <c r="M876" s="73" t="n"/>
      <c r="N876" s="57">
        <f>IF($A876="","",IFERROR(VALUE($J876),0))</f>
        <v/>
      </c>
      <c r="O876" s="57">
        <f>IF($A876="",0,IF(OR($S876&lt;&gt;1,COUNTA($J876:$M876)=0),0,IF(SUMPRODUCT(MAX(($C$5:$C$2484=$C876)*($D$5:$D$2484=$D876)*($S$5:$S$2484=1)*IFERROR($N$5:$N$2484*1,0)))&gt;0,ROUND($H876*($N876/SUMPRODUCT(MAX(($C$5:$C$2484=$C876)*($D$5:$D$2484=$D876)*($S$5:$S$2484=1)*IFERROR($N$5:$N$2484*1,0)))),4),0)))</f>
        <v/>
      </c>
      <c r="P876" s="48" t="inlineStr">
        <is>
          <t>corse</t>
        </is>
      </c>
      <c r="Q876" s="57">
        <f>IF($A876="","",$A876&amp;"|"&amp;$C876)</f>
        <v/>
      </c>
      <c r="R876" s="57">
        <f>IF($A876="","",$A876&amp;"|"&amp;$C876&amp;"|"&amp;$D876)</f>
        <v/>
      </c>
      <c r="S876" s="57">
        <f>IF($A876="","",IFERROR(INDEX(Offerte!$D$2:$D$81,MATCH($Q876,Offerte!$L$2:$L$81,0)),0))</f>
        <v/>
      </c>
      <c r="T876" s="57">
        <f>IF($A876="","",IFERROR(INDEX(Offerte!$G$2:$G$81,MATCH($Q876,Offerte!$L$2:$L$81,0)),"NO"))</f>
        <v/>
      </c>
    </row>
    <row r="877">
      <c r="A877" s="48">
        <f>IF(Offerte!$A30="","",Offerte!$A30)</f>
        <v/>
      </c>
      <c r="B877" s="48">
        <f>IF(Offerte!$A30="","",Offerte!$B30)</f>
        <v/>
      </c>
      <c r="C877" s="48">
        <f>IF(Offerte!$A30="","",Offerte!$C30)</f>
        <v/>
      </c>
      <c r="D877" s="48" t="inlineStr">
        <is>
          <t>B.3.1</t>
        </is>
      </c>
      <c r="E877" s="48" t="inlineStr">
        <is>
          <t>B</t>
        </is>
      </c>
      <c r="F877" s="48" t="inlineStr">
        <is>
          <t>Q</t>
        </is>
      </c>
      <c r="G877" s="48" t="inlineStr">
        <is>
          <t>higher</t>
        </is>
      </c>
      <c r="H877" s="48" t="n">
        <v>2</v>
      </c>
      <c r="I877" s="48" t="inlineStr">
        <is>
          <t>Numero di corse aggiuntive per allungamento dell'arco di servizio giornaliero nelle fasce serali</t>
        </is>
      </c>
      <c r="J877" s="73" t="n"/>
      <c r="K877" s="73" t="n"/>
      <c r="L877" s="73" t="n"/>
      <c r="M877" s="73" t="n"/>
      <c r="N877" s="57">
        <f>IF($A877="","",IFERROR(VALUE($J877),0))</f>
        <v/>
      </c>
      <c r="O877" s="57">
        <f>IF($A877="",0,IF(OR($S877&lt;&gt;1,COUNTA($J877:$M877)=0),0,IF(SUMPRODUCT(MAX(($C$5:$C$2484=$C877)*($D$5:$D$2484=$D877)*($S$5:$S$2484=1)*IFERROR($N$5:$N$2484*1,0)))&gt;0,ROUND($H877*($N877/SUMPRODUCT(MAX(($C$5:$C$2484=$C877)*($D$5:$D$2484=$D877)*($S$5:$S$2484=1)*IFERROR($N$5:$N$2484*1,0)))),4),0)))</f>
        <v/>
      </c>
      <c r="P877" s="48" t="inlineStr">
        <is>
          <t>corse</t>
        </is>
      </c>
      <c r="Q877" s="57">
        <f>IF($A877="","",$A877&amp;"|"&amp;$C877)</f>
        <v/>
      </c>
      <c r="R877" s="57">
        <f>IF($A877="","",$A877&amp;"|"&amp;$C877&amp;"|"&amp;$D877)</f>
        <v/>
      </c>
      <c r="S877" s="57">
        <f>IF($A877="","",IFERROR(INDEX(Offerte!$D$2:$D$81,MATCH($Q877,Offerte!$L$2:$L$81,0)),0))</f>
        <v/>
      </c>
      <c r="T877" s="57">
        <f>IF($A877="","",IFERROR(INDEX(Offerte!$G$2:$G$81,MATCH($Q877,Offerte!$L$2:$L$81,0)),"NO"))</f>
        <v/>
      </c>
    </row>
    <row r="878">
      <c r="A878" s="48">
        <f>IF(Offerte!$A30="","",Offerte!$A30)</f>
        <v/>
      </c>
      <c r="B878" s="48">
        <f>IF(Offerte!$A30="","",Offerte!$B30)</f>
        <v/>
      </c>
      <c r="C878" s="48">
        <f>IF(Offerte!$A30="","",Offerte!$C30)</f>
        <v/>
      </c>
      <c r="D878" s="48" t="inlineStr">
        <is>
          <t>B.4.1</t>
        </is>
      </c>
      <c r="E878" s="48" t="inlineStr">
        <is>
          <t>B</t>
        </is>
      </c>
      <c r="F878" s="48" t="inlineStr">
        <is>
          <t>Q</t>
        </is>
      </c>
      <c r="G878" s="48" t="inlineStr">
        <is>
          <t>higher</t>
        </is>
      </c>
      <c r="H878" s="48" t="n">
        <v>3</v>
      </c>
      <c r="I878" s="48" t="inlineStr">
        <is>
          <t>Percorrenze aggiuntive offerte nel Programma d'esercizio delle prime due fasi attuative</t>
        </is>
      </c>
      <c r="J878" s="73" t="n"/>
      <c r="K878" s="73" t="n"/>
      <c r="L878" s="73" t="n"/>
      <c r="M878" s="73" t="n"/>
      <c r="N878" s="57">
        <f>IF($A878="","",IFERROR(VALUE($J878),0))</f>
        <v/>
      </c>
      <c r="O878" s="57">
        <f>IF($A878="",0,IF(OR($S878&lt;&gt;1,COUNTA($J878:$M878)=0),0,IF(SUMPRODUCT(MAX(($C$5:$C$2484=$C878)*($D$5:$D$2484=$D878)*($S$5:$S$2484=1)*IFERROR($N$5:$N$2484*1,0)))&gt;0,ROUND($H878*($N878/SUMPRODUCT(MAX(($C$5:$C$2484=$C878)*($D$5:$D$2484=$D878)*($S$5:$S$2484=1)*IFERROR($N$5:$N$2484*1,0)))),4),0)))</f>
        <v/>
      </c>
      <c r="P878" s="48" t="inlineStr">
        <is>
          <t>vett*km</t>
        </is>
      </c>
      <c r="Q878" s="57">
        <f>IF($A878="","",$A878&amp;"|"&amp;$C878)</f>
        <v/>
      </c>
      <c r="R878" s="57">
        <f>IF($A878="","",$A878&amp;"|"&amp;$C878&amp;"|"&amp;$D878)</f>
        <v/>
      </c>
      <c r="S878" s="57">
        <f>IF($A878="","",IFERROR(INDEX(Offerte!$D$2:$D$81,MATCH($Q878,Offerte!$L$2:$L$81,0)),0))</f>
        <v/>
      </c>
      <c r="T878" s="57">
        <f>IF($A878="","",IFERROR(INDEX(Offerte!$G$2:$G$81,MATCH($Q878,Offerte!$L$2:$L$81,0)),"NO"))</f>
        <v/>
      </c>
    </row>
    <row r="879">
      <c r="A879" s="48">
        <f>IF(Offerte!$A30="","",Offerte!$A30)</f>
        <v/>
      </c>
      <c r="B879" s="48">
        <f>IF(Offerte!$A30="","",Offerte!$B30)</f>
        <v/>
      </c>
      <c r="C879" s="48">
        <f>IF(Offerte!$A30="","",Offerte!$C30)</f>
        <v/>
      </c>
      <c r="D879" s="48" t="inlineStr">
        <is>
          <t>B.5.1</t>
        </is>
      </c>
      <c r="E879" s="48" t="inlineStr">
        <is>
          <t>B</t>
        </is>
      </c>
      <c r="F879" s="48" t="inlineStr">
        <is>
          <t>D</t>
        </is>
      </c>
      <c r="G879" s="48" t="inlineStr">
        <is>
          <t>discretionary</t>
        </is>
      </c>
      <c r="H879" s="48" t="n">
        <v>2</v>
      </c>
      <c r="I879" s="48" t="inlineStr">
        <is>
          <t>Efficacia del progetto di servizi complementari DRT</t>
        </is>
      </c>
      <c r="J879" s="73" t="n"/>
      <c r="K879" s="73" t="n"/>
      <c r="L879" s="73" t="n"/>
      <c r="M879" s="73" t="n"/>
      <c r="N879" s="57">
        <f>IF($A879="","",MAX(0,MIN(1,IFERROR(VALUE($M879),0))))</f>
        <v/>
      </c>
      <c r="O879" s="57">
        <f>IF($A879="",0,IF(OR($S879&lt;&gt;1,COUNTA($J879:$M879)=0),0,IF(SUMPRODUCT(MAX(($C$5:$C$2484=$C879)*($D$5:$D$2484=$D879)*($S$5:$S$2484=1)*IFERROR($N$5:$N$2484*1,0)))&gt;0,ROUND($H879*($N879/SUMPRODUCT(MAX(($C$5:$C$2484=$C879)*($D$5:$D$2484=$D879)*($S$5:$S$2484=1)*IFERROR($N$5:$N$2484*1,0)))),4),0)))</f>
        <v/>
      </c>
      <c r="P879" s="48" t="inlineStr">
        <is>
          <t>coeff.</t>
        </is>
      </c>
      <c r="Q879" s="57">
        <f>IF($A879="","",$A879&amp;"|"&amp;$C879)</f>
        <v/>
      </c>
      <c r="R879" s="57">
        <f>IF($A879="","",$A879&amp;"|"&amp;$C879&amp;"|"&amp;$D879)</f>
        <v/>
      </c>
      <c r="S879" s="57">
        <f>IF($A879="","",IFERROR(INDEX(Offerte!$D$2:$D$81,MATCH($Q879,Offerte!$L$2:$L$81,0)),0))</f>
        <v/>
      </c>
      <c r="T879" s="57">
        <f>IF($A879="","",IFERROR(INDEX(Offerte!$G$2:$G$81,MATCH($Q879,Offerte!$L$2:$L$81,0)),"NO"))</f>
        <v/>
      </c>
    </row>
    <row r="880">
      <c r="A880" s="48">
        <f>IF(Offerte!$A30="","",Offerte!$A30)</f>
        <v/>
      </c>
      <c r="B880" s="48">
        <f>IF(Offerte!$A30="","",Offerte!$B30)</f>
        <v/>
      </c>
      <c r="C880" s="48">
        <f>IF(Offerte!$A30="","",Offerte!$C30)</f>
        <v/>
      </c>
      <c r="D880" s="48" t="inlineStr">
        <is>
          <t>C.1.1</t>
        </is>
      </c>
      <c r="E880" s="48" t="inlineStr">
        <is>
          <t>C</t>
        </is>
      </c>
      <c r="F880" s="48" t="inlineStr">
        <is>
          <t>Q</t>
        </is>
      </c>
      <c r="G880" s="48" t="inlineStr">
        <is>
          <t>higher</t>
        </is>
      </c>
      <c r="H880" s="48" t="n">
        <v>2</v>
      </c>
      <c r="I880" s="48" t="inlineStr">
        <is>
          <t>Tasso di copertura del servizio con telecamere BSD</t>
        </is>
      </c>
      <c r="J880" s="73" t="n"/>
      <c r="K880" s="73" t="n"/>
      <c r="L880" s="73" t="n"/>
      <c r="M880" s="73" t="n"/>
      <c r="N880" s="57">
        <f>IF($A880="","",IFERROR(VALUE($K880)/VALUE($L880),IFERROR(VALUE($J880),0)))</f>
        <v/>
      </c>
      <c r="O880" s="57">
        <f>IF($A880="",0,IF(OR($S880&lt;&gt;1,COUNTA($J880:$M880)=0),0,IF(SUMPRODUCT(MAX(($C$5:$C$2484=$C880)*($D$5:$D$2484=$D880)*($S$5:$S$2484=1)*IFERROR($N$5:$N$2484*1,0)))&gt;0,ROUND($H880*($N880/SUMPRODUCT(MAX(($C$5:$C$2484=$C880)*($D$5:$D$2484=$D880)*($S$5:$S$2484=1)*IFERROR($N$5:$N$2484*1,0)))),4),0)))</f>
        <v/>
      </c>
      <c r="P880" s="48" t="inlineStr">
        <is>
          <t>Autobus attrezzati con telecamere BSD / Autobus totali in offerta, incluse scorte</t>
        </is>
      </c>
      <c r="Q880" s="57">
        <f>IF($A880="","",$A880&amp;"|"&amp;$C880)</f>
        <v/>
      </c>
      <c r="R880" s="57">
        <f>IF($A880="","",$A880&amp;"|"&amp;$C880&amp;"|"&amp;$D880)</f>
        <v/>
      </c>
      <c r="S880" s="57">
        <f>IF($A880="","",IFERROR(INDEX(Offerte!$D$2:$D$81,MATCH($Q880,Offerte!$L$2:$L$81,0)),0))</f>
        <v/>
      </c>
      <c r="T880" s="57">
        <f>IF($A880="","",IFERROR(INDEX(Offerte!$G$2:$G$81,MATCH($Q880,Offerte!$L$2:$L$81,0)),"NO"))</f>
        <v/>
      </c>
    </row>
    <row r="881">
      <c r="A881" s="48">
        <f>IF(Offerte!$A30="","",Offerte!$A30)</f>
        <v/>
      </c>
      <c r="B881" s="48">
        <f>IF(Offerte!$A30="","",Offerte!$B30)</f>
        <v/>
      </c>
      <c r="C881" s="48">
        <f>IF(Offerte!$A30="","",Offerte!$C30)</f>
        <v/>
      </c>
      <c r="D881" s="48" t="inlineStr">
        <is>
          <t>C.1.2</t>
        </is>
      </c>
      <c r="E881" s="48" t="inlineStr">
        <is>
          <t>C</t>
        </is>
      </c>
      <c r="F881" s="48" t="inlineStr">
        <is>
          <t>Q</t>
        </is>
      </c>
      <c r="G881" s="48" t="inlineStr">
        <is>
          <t>higher</t>
        </is>
      </c>
      <c r="H881" s="48" t="n">
        <v>2</v>
      </c>
      <c r="I881" s="48" t="inlineStr">
        <is>
          <t>Tasso di copertura del servizio con telecamere ADAS</t>
        </is>
      </c>
      <c r="J881" s="73" t="n"/>
      <c r="K881" s="73" t="n"/>
      <c r="L881" s="73" t="n"/>
      <c r="M881" s="73" t="n"/>
      <c r="N881" s="57">
        <f>IF($A881="","",IFERROR(VALUE($K881)/VALUE($L881),IFERROR(VALUE($J881),0)))</f>
        <v/>
      </c>
      <c r="O881" s="57">
        <f>IF($A881="",0,IF(OR($S881&lt;&gt;1,COUNTA($J881:$M881)=0),0,IF(SUMPRODUCT(MAX(($C$5:$C$2484=$C881)*($D$5:$D$2484=$D881)*($S$5:$S$2484=1)*IFERROR($N$5:$N$2484*1,0)))&gt;0,ROUND($H881*($N881/SUMPRODUCT(MAX(($C$5:$C$2484=$C881)*($D$5:$D$2484=$D881)*($S$5:$S$2484=1)*IFERROR($N$5:$N$2484*1,0)))),4),0)))</f>
        <v/>
      </c>
      <c r="P881" s="48" t="inlineStr">
        <is>
          <t>Autobus attrezzati con telecamere ADAS / Autobus totali in offerta, incluse scorte</t>
        </is>
      </c>
      <c r="Q881" s="57">
        <f>IF($A881="","",$A881&amp;"|"&amp;$C881)</f>
        <v/>
      </c>
      <c r="R881" s="57">
        <f>IF($A881="","",$A881&amp;"|"&amp;$C881&amp;"|"&amp;$D881)</f>
        <v/>
      </c>
      <c r="S881" s="57">
        <f>IF($A881="","",IFERROR(INDEX(Offerte!$D$2:$D$81,MATCH($Q881,Offerte!$L$2:$L$81,0)),0))</f>
        <v/>
      </c>
      <c r="T881" s="57">
        <f>IF($A881="","",IFERROR(INDEX(Offerte!$G$2:$G$81,MATCH($Q881,Offerte!$L$2:$L$81,0)),"NO"))</f>
        <v/>
      </c>
    </row>
    <row r="882">
      <c r="A882" s="48">
        <f>IF(Offerte!$A30="","",Offerte!$A30)</f>
        <v/>
      </c>
      <c r="B882" s="48">
        <f>IF(Offerte!$A30="","",Offerte!$B30)</f>
        <v/>
      </c>
      <c r="C882" s="48">
        <f>IF(Offerte!$A30="","",Offerte!$C30)</f>
        <v/>
      </c>
      <c r="D882" s="48" t="inlineStr">
        <is>
          <t>C.2.1</t>
        </is>
      </c>
      <c r="E882" s="48" t="inlineStr">
        <is>
          <t>C</t>
        </is>
      </c>
      <c r="F882" s="48" t="inlineStr">
        <is>
          <t>Q</t>
        </is>
      </c>
      <c r="G882" s="48" t="inlineStr">
        <is>
          <t>higher</t>
        </is>
      </c>
      <c r="H882" s="48" t="n">
        <v>3</v>
      </c>
      <c r="I882" s="48" t="inlineStr">
        <is>
          <t>Tasso di copertura del servizio con telecamere di bordo di videosorveglianza</t>
        </is>
      </c>
      <c r="J882" s="73" t="n"/>
      <c r="K882" s="73" t="n"/>
      <c r="L882" s="73" t="n"/>
      <c r="M882" s="73" t="n"/>
      <c r="N882" s="57">
        <f>IF($A882="","",IFERROR(VALUE($K882)/VALUE($L882),IFERROR(VALUE($J882),0)))</f>
        <v/>
      </c>
      <c r="O882" s="57">
        <f>IF($A882="",0,IF(OR($S882&lt;&gt;1,COUNTA($J882:$M882)=0),0,IF(SUMPRODUCT(MAX(($C$5:$C$2484=$C882)*($D$5:$D$2484=$D882)*($S$5:$S$2484=1)*IFERROR($N$5:$N$2484*1,0)))&gt;0,ROUND($H882*($N882/SUMPRODUCT(MAX(($C$5:$C$2484=$C882)*($D$5:$D$2484=$D882)*($S$5:$S$2484=1)*IFERROR($N$5:$N$2484*1,0)))),4),0)))</f>
        <v/>
      </c>
      <c r="P882" s="48" t="inlineStr">
        <is>
          <t>Autobus attrezzati con videosorveglianza / Autobus totali in offerta, incluse scorte</t>
        </is>
      </c>
      <c r="Q882" s="57">
        <f>IF($A882="","",$A882&amp;"|"&amp;$C882)</f>
        <v/>
      </c>
      <c r="R882" s="57">
        <f>IF($A882="","",$A882&amp;"|"&amp;$C882&amp;"|"&amp;$D882)</f>
        <v/>
      </c>
      <c r="S882" s="57">
        <f>IF($A882="","",IFERROR(INDEX(Offerte!$D$2:$D$81,MATCH($Q882,Offerte!$L$2:$L$81,0)),0))</f>
        <v/>
      </c>
      <c r="T882" s="57">
        <f>IF($A882="","",IFERROR(INDEX(Offerte!$G$2:$G$81,MATCH($Q882,Offerte!$L$2:$L$81,0)),"NO"))</f>
        <v/>
      </c>
    </row>
    <row r="883">
      <c r="A883" s="48">
        <f>IF(Offerte!$A30="","",Offerte!$A30)</f>
        <v/>
      </c>
      <c r="B883" s="48">
        <f>IF(Offerte!$A30="","",Offerte!$B30)</f>
        <v/>
      </c>
      <c r="C883" s="48">
        <f>IF(Offerte!$A30="","",Offerte!$C30)</f>
        <v/>
      </c>
      <c r="D883" s="48" t="inlineStr">
        <is>
          <t>C.2.2</t>
        </is>
      </c>
      <c r="E883" s="48" t="inlineStr">
        <is>
          <t>C</t>
        </is>
      </c>
      <c r="F883" s="48" t="inlineStr">
        <is>
          <t>T</t>
        </is>
      </c>
      <c r="G883" s="48" t="inlineStr">
        <is>
          <t>tabular</t>
        </is>
      </c>
      <c r="H883" s="48" t="n">
        <v>1</v>
      </c>
      <c r="I883" s="48" t="inlineStr">
        <is>
          <t>Software video/audio analisi per situazioni di pericolo</t>
        </is>
      </c>
      <c r="J883" s="73" t="n"/>
      <c r="K883" s="73" t="n"/>
      <c r="L883" s="73" t="n"/>
      <c r="M883" s="73" t="n"/>
      <c r="N883" s="57">
        <f>IF($A883="","",IF(IFERROR(VALUE($M883),0)=1,1,0))</f>
        <v/>
      </c>
      <c r="O883" s="57">
        <f>IF($A883="",0,IF(OR($S883&lt;&gt;1,COUNTA($J883:$M883)=0),0,IF($N883=1,$H883,0)))</f>
        <v/>
      </c>
      <c r="P883" s="48" t="inlineStr">
        <is>
          <t>sì/no</t>
        </is>
      </c>
      <c r="Q883" s="57">
        <f>IF($A883="","",$A883&amp;"|"&amp;$C883)</f>
        <v/>
      </c>
      <c r="R883" s="57">
        <f>IF($A883="","",$A883&amp;"|"&amp;$C883&amp;"|"&amp;$D883)</f>
        <v/>
      </c>
      <c r="S883" s="57">
        <f>IF($A883="","",IFERROR(INDEX(Offerte!$D$2:$D$81,MATCH($Q883,Offerte!$L$2:$L$81,0)),0))</f>
        <v/>
      </c>
      <c r="T883" s="57">
        <f>IF($A883="","",IFERROR(INDEX(Offerte!$G$2:$G$81,MATCH($Q883,Offerte!$L$2:$L$81,0)),"NO"))</f>
        <v/>
      </c>
    </row>
    <row r="884">
      <c r="A884" s="48">
        <f>IF(Offerte!$A30="","",Offerte!$A30)</f>
        <v/>
      </c>
      <c r="B884" s="48">
        <f>IF(Offerte!$A30="","",Offerte!$B30)</f>
        <v/>
      </c>
      <c r="C884" s="48">
        <f>IF(Offerte!$A30="","",Offerte!$C30)</f>
        <v/>
      </c>
      <c r="D884" s="48" t="inlineStr">
        <is>
          <t>C.2.3</t>
        </is>
      </c>
      <c r="E884" s="48" t="inlineStr">
        <is>
          <t>C</t>
        </is>
      </c>
      <c r="F884" s="48" t="inlineStr">
        <is>
          <t>T</t>
        </is>
      </c>
      <c r="G884" s="48" t="inlineStr">
        <is>
          <t>tabular</t>
        </is>
      </c>
      <c r="H884" s="48" t="n">
        <v>1</v>
      </c>
      <c r="I884" s="48" t="inlineStr">
        <is>
          <t>Collegamento con centrale qualificata di pronto intervento</t>
        </is>
      </c>
      <c r="J884" s="73" t="n"/>
      <c r="K884" s="73" t="n"/>
      <c r="L884" s="73" t="n"/>
      <c r="M884" s="73" t="n"/>
      <c r="N884" s="57">
        <f>IF($A884="","",IF(IFERROR(VALUE($M884),0)=1,1,0))</f>
        <v/>
      </c>
      <c r="O884" s="57">
        <f>IF($A884="",0,IF(OR($S884&lt;&gt;1,COUNTA($J884:$M884)=0),0,IF($N884=1,$H884,0)))</f>
        <v/>
      </c>
      <c r="P884" s="48" t="inlineStr">
        <is>
          <t>sì/no</t>
        </is>
      </c>
      <c r="Q884" s="57">
        <f>IF($A884="","",$A884&amp;"|"&amp;$C884)</f>
        <v/>
      </c>
      <c r="R884" s="57">
        <f>IF($A884="","",$A884&amp;"|"&amp;$C884&amp;"|"&amp;$D884)</f>
        <v/>
      </c>
      <c r="S884" s="57">
        <f>IF($A884="","",IFERROR(INDEX(Offerte!$D$2:$D$81,MATCH($Q884,Offerte!$L$2:$L$81,0)),0))</f>
        <v/>
      </c>
      <c r="T884" s="57">
        <f>IF($A884="","",IFERROR(INDEX(Offerte!$G$2:$G$81,MATCH($Q884,Offerte!$L$2:$L$81,0)),"NO"))</f>
        <v/>
      </c>
    </row>
    <row r="885">
      <c r="A885" s="48">
        <f>IF(Offerte!$A30="","",Offerte!$A30)</f>
        <v/>
      </c>
      <c r="B885" s="48">
        <f>IF(Offerte!$A30="","",Offerte!$B30)</f>
        <v/>
      </c>
      <c r="C885" s="48">
        <f>IF(Offerte!$A30="","",Offerte!$C30)</f>
        <v/>
      </c>
      <c r="D885" s="48" t="inlineStr">
        <is>
          <t>C.2.4</t>
        </is>
      </c>
      <c r="E885" s="48" t="inlineStr">
        <is>
          <t>C</t>
        </is>
      </c>
      <c r="F885" s="48" t="inlineStr">
        <is>
          <t>Q</t>
        </is>
      </c>
      <c r="G885" s="48" t="inlineStr">
        <is>
          <t>higher</t>
        </is>
      </c>
      <c r="H885" s="48" t="n">
        <v>1</v>
      </c>
      <c r="I885" s="48" t="inlineStr">
        <is>
          <t>Tasso di copertura del servizio con dispositivi per la chiamata di emergenza del conducente</t>
        </is>
      </c>
      <c r="J885" s="73" t="n"/>
      <c r="K885" s="73" t="n"/>
      <c r="L885" s="73" t="n"/>
      <c r="M885" s="73" t="n"/>
      <c r="N885" s="57">
        <f>IF($A885="","",IFERROR(VALUE($K885)/VALUE($L885),IFERROR(VALUE($J885),0)))</f>
        <v/>
      </c>
      <c r="O885" s="57">
        <f>IF($A885="",0,IF(OR($S885&lt;&gt;1,COUNTA($J885:$M885)=0),0,IF(SUMPRODUCT(MAX(($C$5:$C$2484=$C885)*($D$5:$D$2484=$D885)*($S$5:$S$2484=1)*IFERROR($N$5:$N$2484*1,0)))&gt;0,ROUND($H885*($N885/SUMPRODUCT(MAX(($C$5:$C$2484=$C885)*($D$5:$D$2484=$D885)*($S$5:$S$2484=1)*IFERROR($N$5:$N$2484*1,0)))),4),0)))</f>
        <v/>
      </c>
      <c r="P885" s="48" t="inlineStr">
        <is>
          <t>Autobus attrezzati con chiamata di emergenza / Autobus totali in offerta, incluse scorte</t>
        </is>
      </c>
      <c r="Q885" s="57">
        <f>IF($A885="","",$A885&amp;"|"&amp;$C885)</f>
        <v/>
      </c>
      <c r="R885" s="57">
        <f>IF($A885="","",$A885&amp;"|"&amp;$C885&amp;"|"&amp;$D885)</f>
        <v/>
      </c>
      <c r="S885" s="57">
        <f>IF($A885="","",IFERROR(INDEX(Offerte!$D$2:$D$81,MATCH($Q885,Offerte!$L$2:$L$81,0)),0))</f>
        <v/>
      </c>
      <c r="T885" s="57">
        <f>IF($A885="","",IFERROR(INDEX(Offerte!$G$2:$G$81,MATCH($Q885,Offerte!$L$2:$L$81,0)),"NO"))</f>
        <v/>
      </c>
    </row>
    <row r="886">
      <c r="A886" s="48">
        <f>IF(Offerte!$A30="","",Offerte!$A30)</f>
        <v/>
      </c>
      <c r="B886" s="48">
        <f>IF(Offerte!$A30="","",Offerte!$B30)</f>
        <v/>
      </c>
      <c r="C886" s="48">
        <f>IF(Offerte!$A30="","",Offerte!$C30)</f>
        <v/>
      </c>
      <c r="D886" s="48" t="inlineStr">
        <is>
          <t>C.3.1</t>
        </is>
      </c>
      <c r="E886" s="48" t="inlineStr">
        <is>
          <t>C</t>
        </is>
      </c>
      <c r="F886" s="48" t="inlineStr">
        <is>
          <t>Q</t>
        </is>
      </c>
      <c r="G886" s="48" t="inlineStr">
        <is>
          <t>higher</t>
        </is>
      </c>
      <c r="H886" s="48" t="n">
        <v>2</v>
      </c>
      <c r="I886" s="48" t="inlineStr">
        <is>
          <t>Tasso di copertura del servizio con dispositivi di informazione dinamica a bordo mezzo</t>
        </is>
      </c>
      <c r="J886" s="73" t="n"/>
      <c r="K886" s="73" t="n"/>
      <c r="L886" s="73" t="n"/>
      <c r="M886" s="73" t="n"/>
      <c r="N886" s="57">
        <f>IF($A886="","",IFERROR(VALUE($K886)/VALUE($L886),IFERROR(VALUE($J886),0)))</f>
        <v/>
      </c>
      <c r="O886" s="57">
        <f>IF($A886="",0,IF(OR($S886&lt;&gt;1,COUNTA($J886:$M886)=0),0,IF(SUMPRODUCT(MAX(($C$5:$C$2484=$C886)*($D$5:$D$2484=$D886)*($S$5:$S$2484=1)*IFERROR($N$5:$N$2484*1,0)))&gt;0,ROUND($H886*($N886/SUMPRODUCT(MAX(($C$5:$C$2484=$C886)*($D$5:$D$2484=$D886)*($S$5:$S$2484=1)*IFERROR($N$5:$N$2484*1,0)))),4),0)))</f>
        <v/>
      </c>
      <c r="P886" s="48" t="inlineStr">
        <is>
          <t>Autobus con monitor e indicatori vocali / Autobus totali in offerta, incluse scorte</t>
        </is>
      </c>
      <c r="Q886" s="57">
        <f>IF($A886="","",$A886&amp;"|"&amp;$C886)</f>
        <v/>
      </c>
      <c r="R886" s="57">
        <f>IF($A886="","",$A886&amp;"|"&amp;$C886&amp;"|"&amp;$D886)</f>
        <v/>
      </c>
      <c r="S886" s="57">
        <f>IF($A886="","",IFERROR(INDEX(Offerte!$D$2:$D$81,MATCH($Q886,Offerte!$L$2:$L$81,0)),0))</f>
        <v/>
      </c>
      <c r="T886" s="57">
        <f>IF($A886="","",IFERROR(INDEX(Offerte!$G$2:$G$81,MATCH($Q886,Offerte!$L$2:$L$81,0)),"NO"))</f>
        <v/>
      </c>
    </row>
    <row r="887">
      <c r="A887" s="48">
        <f>IF(Offerte!$A30="","",Offerte!$A30)</f>
        <v/>
      </c>
      <c r="B887" s="48">
        <f>IF(Offerte!$A30="","",Offerte!$B30)</f>
        <v/>
      </c>
      <c r="C887" s="48">
        <f>IF(Offerte!$A30="","",Offerte!$C30)</f>
        <v/>
      </c>
      <c r="D887" s="48" t="inlineStr">
        <is>
          <t>C.3.2</t>
        </is>
      </c>
      <c r="E887" s="48" t="inlineStr">
        <is>
          <t>C</t>
        </is>
      </c>
      <c r="F887" s="48" t="inlineStr">
        <is>
          <t>T</t>
        </is>
      </c>
      <c r="G887" s="48" t="inlineStr">
        <is>
          <t>tabular</t>
        </is>
      </c>
      <c r="H887" s="48" t="n">
        <v>2</v>
      </c>
      <c r="I887" s="48" t="inlineStr">
        <is>
          <t>Informazioni a bordo su coincidenze ai nodi</t>
        </is>
      </c>
      <c r="J887" s="73" t="n"/>
      <c r="K887" s="73" t="n"/>
      <c r="L887" s="73" t="n"/>
      <c r="M887" s="73" t="n"/>
      <c r="N887" s="57">
        <f>IF($A887="","",IF(IFERROR(VALUE($M887),0)=1,1,0))</f>
        <v/>
      </c>
      <c r="O887" s="57">
        <f>IF($A887="",0,IF(OR($S887&lt;&gt;1,COUNTA($J887:$M887)=0),0,IF(AND($N887=1,IFERROR(SUMIFS($N$5:$N$2484,$Q$5:$Q$2484,$Q887,$D$5:$D$2484,"C.3.1"),0)&gt;=0.5),$H887,0)))</f>
        <v/>
      </c>
      <c r="P887" s="48" t="inlineStr">
        <is>
          <t>Dipende da C.3.1 &gt;= 0.5</t>
        </is>
      </c>
      <c r="Q887" s="57">
        <f>IF($A887="","",$A887&amp;"|"&amp;$C887)</f>
        <v/>
      </c>
      <c r="R887" s="57">
        <f>IF($A887="","",$A887&amp;"|"&amp;$C887&amp;"|"&amp;$D887)</f>
        <v/>
      </c>
      <c r="S887" s="57">
        <f>IF($A887="","",IFERROR(INDEX(Offerte!$D$2:$D$81,MATCH($Q887,Offerte!$L$2:$L$81,0)),0))</f>
        <v/>
      </c>
      <c r="T887" s="57">
        <f>IF($A887="","",IFERROR(INDEX(Offerte!$G$2:$G$81,MATCH($Q887,Offerte!$L$2:$L$81,0)),"NO"))</f>
        <v/>
      </c>
    </row>
    <row r="888">
      <c r="A888" s="48">
        <f>IF(Offerte!$A30="","",Offerte!$A30)</f>
        <v/>
      </c>
      <c r="B888" s="48">
        <f>IF(Offerte!$A30="","",Offerte!$B30)</f>
        <v/>
      </c>
      <c r="C888" s="48">
        <f>IF(Offerte!$A30="","",Offerte!$C30)</f>
        <v/>
      </c>
      <c r="D888" s="48" t="inlineStr">
        <is>
          <t>D.1.1</t>
        </is>
      </c>
      <c r="E888" s="48" t="inlineStr">
        <is>
          <t>D</t>
        </is>
      </c>
      <c r="F888" s="48" t="inlineStr">
        <is>
          <t>Q</t>
        </is>
      </c>
      <c r="G888" s="48" t="inlineStr">
        <is>
          <t>higher</t>
        </is>
      </c>
      <c r="H888" s="48" t="n">
        <v>3</v>
      </c>
      <c r="I888" s="48" t="inlineStr">
        <is>
          <t>Installazione di pensiline</t>
        </is>
      </c>
      <c r="J888" s="73" t="n"/>
      <c r="K888" s="73" t="n"/>
      <c r="L888" s="73" t="n"/>
      <c r="M888" s="73" t="n"/>
      <c r="N888" s="57">
        <f>IF($A888="","",IFERROR(VALUE($J888),0))</f>
        <v/>
      </c>
      <c r="O888" s="57">
        <f>IF($A888="",0,IF(OR($S888&lt;&gt;1,COUNTA($J888:$M888)=0),0,IF(SUMPRODUCT(MAX(($C$5:$C$2484=$C888)*($D$5:$D$2484=$D888)*($S$5:$S$2484=1)*IFERROR($N$5:$N$2484*1,0)))&gt;0,ROUND($H888*($N888/SUMPRODUCT(MAX(($C$5:$C$2484=$C888)*($D$5:$D$2484=$D888)*($S$5:$S$2484=1)*IFERROR($N$5:$N$2484*1,0)))),4),0)))</f>
        <v/>
      </c>
      <c r="P888" s="48" t="inlineStr">
        <is>
          <t>fermate</t>
        </is>
      </c>
      <c r="Q888" s="57">
        <f>IF($A888="","",$A888&amp;"|"&amp;$C888)</f>
        <v/>
      </c>
      <c r="R888" s="57">
        <f>IF($A888="","",$A888&amp;"|"&amp;$C888&amp;"|"&amp;$D888)</f>
        <v/>
      </c>
      <c r="S888" s="57">
        <f>IF($A888="","",IFERROR(INDEX(Offerte!$D$2:$D$81,MATCH($Q888,Offerte!$L$2:$L$81,0)),0))</f>
        <v/>
      </c>
      <c r="T888" s="57">
        <f>IF($A888="","",IFERROR(INDEX(Offerte!$G$2:$G$81,MATCH($Q888,Offerte!$L$2:$L$81,0)),"NO"))</f>
        <v/>
      </c>
    </row>
    <row r="889">
      <c r="A889" s="48">
        <f>IF(Offerte!$A30="","",Offerte!$A30)</f>
        <v/>
      </c>
      <c r="B889" s="48">
        <f>IF(Offerte!$A30="","",Offerte!$B30)</f>
        <v/>
      </c>
      <c r="C889" s="48">
        <f>IF(Offerte!$A30="","",Offerte!$C30)</f>
        <v/>
      </c>
      <c r="D889" s="48" t="inlineStr">
        <is>
          <t>D.1.2</t>
        </is>
      </c>
      <c r="E889" s="48" t="inlineStr">
        <is>
          <t>D</t>
        </is>
      </c>
      <c r="F889" s="48" t="inlineStr">
        <is>
          <t>Q</t>
        </is>
      </c>
      <c r="G889" s="48" t="inlineStr">
        <is>
          <t>higher</t>
        </is>
      </c>
      <c r="H889" s="48" t="n">
        <v>3</v>
      </c>
      <c r="I889" s="48" t="inlineStr">
        <is>
          <t>Installazione di paline di fermata conformi alla DGR 581/2023</t>
        </is>
      </c>
      <c r="J889" s="73" t="n"/>
      <c r="K889" s="73" t="n"/>
      <c r="L889" s="73" t="n"/>
      <c r="M889" s="73" t="n"/>
      <c r="N889" s="57">
        <f>IF($A889="","",IFERROR(VALUE($J889),0))</f>
        <v/>
      </c>
      <c r="O889" s="57">
        <f>IF($A889="",0,IF(OR($S889&lt;&gt;1,COUNTA($J889:$M889)=0),0,IF(SUMPRODUCT(MAX(($C$5:$C$2484=$C889)*($D$5:$D$2484=$D889)*($S$5:$S$2484=1)*IFERROR($N$5:$N$2484*1,0)))&gt;0,ROUND($H889*($N889/SUMPRODUCT(MAX(($C$5:$C$2484=$C889)*($D$5:$D$2484=$D889)*($S$5:$S$2484=1)*IFERROR($N$5:$N$2484*1,0)))),4),0)))</f>
        <v/>
      </c>
      <c r="P889" s="48" t="inlineStr">
        <is>
          <t>fermate</t>
        </is>
      </c>
      <c r="Q889" s="57">
        <f>IF($A889="","",$A889&amp;"|"&amp;$C889)</f>
        <v/>
      </c>
      <c r="R889" s="57">
        <f>IF($A889="","",$A889&amp;"|"&amp;$C889&amp;"|"&amp;$D889)</f>
        <v/>
      </c>
      <c r="S889" s="57">
        <f>IF($A889="","",IFERROR(INDEX(Offerte!$D$2:$D$81,MATCH($Q889,Offerte!$L$2:$L$81,0)),0))</f>
        <v/>
      </c>
      <c r="T889" s="57">
        <f>IF($A889="","",IFERROR(INDEX(Offerte!$G$2:$G$81,MATCH($Q889,Offerte!$L$2:$L$81,0)),"NO"))</f>
        <v/>
      </c>
    </row>
    <row r="890">
      <c r="A890" s="48">
        <f>IF(Offerte!$A30="","",Offerte!$A30)</f>
        <v/>
      </c>
      <c r="B890" s="48">
        <f>IF(Offerte!$A30="","",Offerte!$B30)</f>
        <v/>
      </c>
      <c r="C890" s="48">
        <f>IF(Offerte!$A30="","",Offerte!$C30)</f>
        <v/>
      </c>
      <c r="D890" s="48" t="inlineStr">
        <is>
          <t>D.1.3</t>
        </is>
      </c>
      <c r="E890" s="48" t="inlineStr">
        <is>
          <t>D</t>
        </is>
      </c>
      <c r="F890" s="48" t="inlineStr">
        <is>
          <t>Q</t>
        </is>
      </c>
      <c r="G890" s="48" t="inlineStr">
        <is>
          <t>higher</t>
        </is>
      </c>
      <c r="H890" s="48" t="n">
        <v>2</v>
      </c>
      <c r="I890" s="48" t="inlineStr">
        <is>
          <t>Display informativi connessi alle fermate</t>
        </is>
      </c>
      <c r="J890" s="73" t="n"/>
      <c r="K890" s="73" t="n"/>
      <c r="L890" s="73" t="n"/>
      <c r="M890" s="73" t="n"/>
      <c r="N890" s="57">
        <f>IF($A890="","",IFERROR(VALUE($J890),0))</f>
        <v/>
      </c>
      <c r="O890" s="57">
        <f>IF($A890="",0,IF(OR($S890&lt;&gt;1,COUNTA($J890:$M890)=0),0,IF(SUMPRODUCT(MAX(($C$5:$C$2484=$C890)*($D$5:$D$2484=$D890)*($S$5:$S$2484=1)*IFERROR($N$5:$N$2484*1,0)))&gt;0,ROUND($H890*($N890/SUMPRODUCT(MAX(($C$5:$C$2484=$C890)*($D$5:$D$2484=$D890)*($S$5:$S$2484=1)*IFERROR($N$5:$N$2484*1,0)))),4),0)))</f>
        <v/>
      </c>
      <c r="P890" s="48" t="inlineStr">
        <is>
          <t>fermate</t>
        </is>
      </c>
      <c r="Q890" s="57">
        <f>IF($A890="","",$A890&amp;"|"&amp;$C890)</f>
        <v/>
      </c>
      <c r="R890" s="57">
        <f>IF($A890="","",$A890&amp;"|"&amp;$C890&amp;"|"&amp;$D890)</f>
        <v/>
      </c>
      <c r="S890" s="57">
        <f>IF($A890="","",IFERROR(INDEX(Offerte!$D$2:$D$81,MATCH($Q890,Offerte!$L$2:$L$81,0)),0))</f>
        <v/>
      </c>
      <c r="T890" s="57">
        <f>IF($A890="","",IFERROR(INDEX(Offerte!$G$2:$G$81,MATCH($Q890,Offerte!$L$2:$L$81,0)),"NO"))</f>
        <v/>
      </c>
    </row>
    <row r="891">
      <c r="A891" s="48">
        <f>IF(Offerte!$A30="","",Offerte!$A30)</f>
        <v/>
      </c>
      <c r="B891" s="48">
        <f>IF(Offerte!$A30="","",Offerte!$B30)</f>
        <v/>
      </c>
      <c r="C891" s="48">
        <f>IF(Offerte!$A30="","",Offerte!$C30)</f>
        <v/>
      </c>
      <c r="D891" s="48" t="inlineStr">
        <is>
          <t>D.2.1</t>
        </is>
      </c>
      <c r="E891" s="48" t="inlineStr">
        <is>
          <t>D</t>
        </is>
      </c>
      <c r="F891" s="48" t="inlineStr">
        <is>
          <t>Q</t>
        </is>
      </c>
      <c r="G891" s="48" t="inlineStr">
        <is>
          <t>higher</t>
        </is>
      </c>
      <c r="H891" s="48" t="n">
        <v>2</v>
      </c>
      <c r="I891" s="48" t="inlineStr">
        <is>
          <t>Segnali tattili Loges-Vet-Evolution</t>
        </is>
      </c>
      <c r="J891" s="73" t="n"/>
      <c r="K891" s="73" t="n"/>
      <c r="L891" s="73" t="n"/>
      <c r="M891" s="73" t="n"/>
      <c r="N891" s="57">
        <f>IF($A891="","",IFERROR(VALUE($J891),0))</f>
        <v/>
      </c>
      <c r="O891" s="57">
        <f>IF($A891="",0,IF(OR($S891&lt;&gt;1,COUNTA($J891:$M891)=0),0,IF(SUMPRODUCT(MAX(($C$5:$C$2484=$C891)*($D$5:$D$2484=$D891)*($S$5:$S$2484=1)*IFERROR($N$5:$N$2484*1,0)))&gt;0,ROUND($H891*($N891/SUMPRODUCT(MAX(($C$5:$C$2484=$C891)*($D$5:$D$2484=$D891)*($S$5:$S$2484=1)*IFERROR($N$5:$N$2484*1,0)))),4),0)))</f>
        <v/>
      </c>
      <c r="P891" s="48" t="inlineStr">
        <is>
          <t>fermate</t>
        </is>
      </c>
      <c r="Q891" s="57">
        <f>IF($A891="","",$A891&amp;"|"&amp;$C891)</f>
        <v/>
      </c>
      <c r="R891" s="57">
        <f>IF($A891="","",$A891&amp;"|"&amp;$C891&amp;"|"&amp;$D891)</f>
        <v/>
      </c>
      <c r="S891" s="57">
        <f>IF($A891="","",IFERROR(INDEX(Offerte!$D$2:$D$81,MATCH($Q891,Offerte!$L$2:$L$81,0)),0))</f>
        <v/>
      </c>
      <c r="T891" s="57">
        <f>IF($A891="","",IFERROR(INDEX(Offerte!$G$2:$G$81,MATCH($Q891,Offerte!$L$2:$L$81,0)),"NO"))</f>
        <v/>
      </c>
    </row>
    <row r="892">
      <c r="A892" s="48">
        <f>IF(Offerte!$A30="","",Offerte!$A30)</f>
        <v/>
      </c>
      <c r="B892" s="48">
        <f>IF(Offerte!$A30="","",Offerte!$B30)</f>
        <v/>
      </c>
      <c r="C892" s="48">
        <f>IF(Offerte!$A30="","",Offerte!$C30)</f>
        <v/>
      </c>
      <c r="D892" s="48" t="inlineStr">
        <is>
          <t>E.1.1</t>
        </is>
      </c>
      <c r="E892" s="48" t="inlineStr">
        <is>
          <t>E</t>
        </is>
      </c>
      <c r="F892" s="48" t="inlineStr">
        <is>
          <t>T</t>
        </is>
      </c>
      <c r="G892" s="48" t="inlineStr">
        <is>
          <t>tabular</t>
        </is>
      </c>
      <c r="H892" s="48" t="n">
        <v>2</v>
      </c>
      <c r="I892" s="48" t="inlineStr">
        <is>
          <t>Mobile app con travel planner PRM</t>
        </is>
      </c>
      <c r="J892" s="73" t="n"/>
      <c r="K892" s="73" t="n"/>
      <c r="L892" s="73" t="n"/>
      <c r="M892" s="73" t="n"/>
      <c r="N892" s="57">
        <f>IF($A892="","",IF(IFERROR(VALUE($M892),0)=1,1,0))</f>
        <v/>
      </c>
      <c r="O892" s="57">
        <f>IF($A892="",0,IF(OR($S892&lt;&gt;1,COUNTA($J892:$M892)=0),0,IF($N892=1,$H892,0)))</f>
        <v/>
      </c>
      <c r="P892" s="48" t="inlineStr">
        <is>
          <t>sì/no</t>
        </is>
      </c>
      <c r="Q892" s="57">
        <f>IF($A892="","",$A892&amp;"|"&amp;$C892)</f>
        <v/>
      </c>
      <c r="R892" s="57">
        <f>IF($A892="","",$A892&amp;"|"&amp;$C892&amp;"|"&amp;$D892)</f>
        <v/>
      </c>
      <c r="S892" s="57">
        <f>IF($A892="","",IFERROR(INDEX(Offerte!$D$2:$D$81,MATCH($Q892,Offerte!$L$2:$L$81,0)),0))</f>
        <v/>
      </c>
      <c r="T892" s="57">
        <f>IF($A892="","",IFERROR(INDEX(Offerte!$G$2:$G$81,MATCH($Q892,Offerte!$L$2:$L$81,0)),"NO"))</f>
        <v/>
      </c>
    </row>
    <row r="893">
      <c r="A893" s="48">
        <f>IF(Offerte!$A30="","",Offerte!$A30)</f>
        <v/>
      </c>
      <c r="B893" s="48">
        <f>IF(Offerte!$A30="","",Offerte!$B30)</f>
        <v/>
      </c>
      <c r="C893" s="48">
        <f>IF(Offerte!$A30="","",Offerte!$C30)</f>
        <v/>
      </c>
      <c r="D893" s="48" t="inlineStr">
        <is>
          <t>E.2.1</t>
        </is>
      </c>
      <c r="E893" s="48" t="inlineStr">
        <is>
          <t>E</t>
        </is>
      </c>
      <c r="F893" s="48" t="inlineStr">
        <is>
          <t>D</t>
        </is>
      </c>
      <c r="G893" s="48" t="inlineStr">
        <is>
          <t>discretionary</t>
        </is>
      </c>
      <c r="H893" s="48" t="n">
        <v>2</v>
      </c>
      <c r="I893" s="48" t="inlineStr">
        <is>
          <t>Altre azioni informative e rapporti con gli utenti</t>
        </is>
      </c>
      <c r="J893" s="73" t="n"/>
      <c r="K893" s="73" t="n"/>
      <c r="L893" s="73" t="n"/>
      <c r="M893" s="73" t="n"/>
      <c r="N893" s="57">
        <f>IF($A893="","",MAX(0,MIN(1,IFERROR(VALUE($M893),0))))</f>
        <v/>
      </c>
      <c r="O893" s="57">
        <f>IF($A893="",0,IF(OR($S893&lt;&gt;1,COUNTA($J893:$M893)=0),0,IF(SUMPRODUCT(MAX(($C$5:$C$2484=$C893)*($D$5:$D$2484=$D893)*($S$5:$S$2484=1)*IFERROR($N$5:$N$2484*1,0)))&gt;0,ROUND($H893*($N893/SUMPRODUCT(MAX(($C$5:$C$2484=$C893)*($D$5:$D$2484=$D893)*($S$5:$S$2484=1)*IFERROR($N$5:$N$2484*1,0)))),4),0)))</f>
        <v/>
      </c>
      <c r="P893" s="48" t="inlineStr">
        <is>
          <t>coeff.</t>
        </is>
      </c>
      <c r="Q893" s="57">
        <f>IF($A893="","",$A893&amp;"|"&amp;$C893)</f>
        <v/>
      </c>
      <c r="R893" s="57">
        <f>IF($A893="","",$A893&amp;"|"&amp;$C893&amp;"|"&amp;$D893)</f>
        <v/>
      </c>
      <c r="S893" s="57">
        <f>IF($A893="","",IFERROR(INDEX(Offerte!$D$2:$D$81,MATCH($Q893,Offerte!$L$2:$L$81,0)),0))</f>
        <v/>
      </c>
      <c r="T893" s="57">
        <f>IF($A893="","",IFERROR(INDEX(Offerte!$G$2:$G$81,MATCH($Q893,Offerte!$L$2:$L$81,0)),"NO"))</f>
        <v/>
      </c>
    </row>
    <row r="894">
      <c r="A894" s="48">
        <f>IF(Offerte!$A30="","",Offerte!$A30)</f>
        <v/>
      </c>
      <c r="B894" s="48">
        <f>IF(Offerte!$A30="","",Offerte!$B30)</f>
        <v/>
      </c>
      <c r="C894" s="48">
        <f>IF(Offerte!$A30="","",Offerte!$C30)</f>
        <v/>
      </c>
      <c r="D894" s="48" t="inlineStr">
        <is>
          <t>F.1.1</t>
        </is>
      </c>
      <c r="E894" s="48" t="inlineStr">
        <is>
          <t>F</t>
        </is>
      </c>
      <c r="F894" s="48" t="inlineStr">
        <is>
          <t>Q</t>
        </is>
      </c>
      <c r="G894" s="48" t="inlineStr">
        <is>
          <t>lower</t>
        </is>
      </c>
      <c r="H894" s="48" t="n">
        <v>7</v>
      </c>
      <c r="I894" s="48" t="inlineStr">
        <is>
          <t>Performance ambientali del parco mezzi adibito al servizio - I_CEA</t>
        </is>
      </c>
      <c r="J894" s="73" t="n"/>
      <c r="K894" s="73" t="n"/>
      <c r="L894" s="73" t="n"/>
      <c r="M894" s="73" t="n"/>
      <c r="N894" s="57">
        <f>IF($A894="","",IFERROR(VALUE($J894),0))</f>
        <v/>
      </c>
      <c r="O894" s="57">
        <f>IF($A894="",0,IF(OR($S894&lt;&gt;1,COUNTA($J894:$M894)=0),0,IF(AND(IFERROR(AGGREGATE(15,6,$N$5:$N$2484/(($C$5:$C$2484=$C894)*($D$5:$D$2484=$D894)*($S$5:$S$2484=1)*($N$5:$N$2484&gt;0)),1),0)&gt;0,$N894&gt;0),ROUND($H894*(IFERROR(AGGREGATE(15,6,$N$5:$N$2484/(($C$5:$C$2484=$C894)*($D$5:$D$2484=$D894)*($S$5:$S$2484=1)*($N$5:$N$2484&gt;0)),1),0)/$N894),4),0)))</f>
        <v/>
      </c>
      <c r="P894" s="48" t="inlineStr">
        <is>
          <t>indice</t>
        </is>
      </c>
      <c r="Q894" s="57">
        <f>IF($A894="","",$A894&amp;"|"&amp;$C894)</f>
        <v/>
      </c>
      <c r="R894" s="57">
        <f>IF($A894="","",$A894&amp;"|"&amp;$C894&amp;"|"&amp;$D894)</f>
        <v/>
      </c>
      <c r="S894" s="57">
        <f>IF($A894="","",IFERROR(INDEX(Offerte!$D$2:$D$81,MATCH($Q894,Offerte!$L$2:$L$81,0)),0))</f>
        <v/>
      </c>
      <c r="T894" s="57">
        <f>IF($A894="","",IFERROR(INDEX(Offerte!$G$2:$G$81,MATCH($Q894,Offerte!$L$2:$L$81,0)),"NO"))</f>
        <v/>
      </c>
    </row>
    <row r="895">
      <c r="A895" s="48">
        <f>IF(Offerte!$A30="","",Offerte!$A30)</f>
        <v/>
      </c>
      <c r="B895" s="48">
        <f>IF(Offerte!$A30="","",Offerte!$B30)</f>
        <v/>
      </c>
      <c r="C895" s="48">
        <f>IF(Offerte!$A30="","",Offerte!$C30)</f>
        <v/>
      </c>
      <c r="D895" s="48" t="inlineStr">
        <is>
          <t>F.2.1</t>
        </is>
      </c>
      <c r="E895" s="48" t="inlineStr">
        <is>
          <t>F</t>
        </is>
      </c>
      <c r="F895" s="48" t="inlineStr">
        <is>
          <t>Q</t>
        </is>
      </c>
      <c r="G895" s="48" t="inlineStr">
        <is>
          <t>higher</t>
        </is>
      </c>
      <c r="H895" s="48" t="n">
        <v>2</v>
      </c>
      <c r="I895" s="48" t="inlineStr">
        <is>
          <t>Tasso di copertura del servizio con dispositivi ECO-DRIVER</t>
        </is>
      </c>
      <c r="J895" s="73" t="n"/>
      <c r="K895" s="73" t="n"/>
      <c r="L895" s="73" t="n"/>
      <c r="M895" s="73" t="n"/>
      <c r="N895" s="57">
        <f>IF($A895="","",IFERROR(VALUE($K895)/VALUE($L895),IFERROR(VALUE($J895),0)))</f>
        <v/>
      </c>
      <c r="O895" s="57">
        <f>IF($A895="",0,IF(OR($S895&lt;&gt;1,COUNTA($J895:$M895)=0),0,IF(SUMPRODUCT(MAX(($C$5:$C$2484=$C895)*($D$5:$D$2484=$D895)*($S$5:$S$2484=1)*IFERROR($N$5:$N$2484*1,0)))&gt;0,ROUND($H895*($N895/SUMPRODUCT(MAX(($C$5:$C$2484=$C895)*($D$5:$D$2484=$D895)*($S$5:$S$2484=1)*IFERROR($N$5:$N$2484*1,0)))),4),0)))</f>
        <v/>
      </c>
      <c r="P895" s="48" t="inlineStr">
        <is>
          <t>Autobus attrezzati con dispositivi ECO-DRIVER / Autobus totali in offerta, incluse scorte</t>
        </is>
      </c>
      <c r="Q895" s="57">
        <f>IF($A895="","",$A895&amp;"|"&amp;$C895)</f>
        <v/>
      </c>
      <c r="R895" s="57">
        <f>IF($A895="","",$A895&amp;"|"&amp;$C895&amp;"|"&amp;$D895)</f>
        <v/>
      </c>
      <c r="S895" s="57">
        <f>IF($A895="","",IFERROR(INDEX(Offerte!$D$2:$D$81,MATCH($Q895,Offerte!$L$2:$L$81,0)),0))</f>
        <v/>
      </c>
      <c r="T895" s="57">
        <f>IF($A895="","",IFERROR(INDEX(Offerte!$G$2:$G$81,MATCH($Q895,Offerte!$L$2:$L$81,0)),"NO"))</f>
        <v/>
      </c>
    </row>
    <row r="896">
      <c r="A896" s="48">
        <f>IF(Offerte!$A30="","",Offerte!$A30)</f>
        <v/>
      </c>
      <c r="B896" s="48">
        <f>IF(Offerte!$A30="","",Offerte!$B30)</f>
        <v/>
      </c>
      <c r="C896" s="48">
        <f>IF(Offerte!$A30="","",Offerte!$C30)</f>
        <v/>
      </c>
      <c r="D896" s="48" t="inlineStr">
        <is>
          <t>F.3.1</t>
        </is>
      </c>
      <c r="E896" s="48" t="inlineStr">
        <is>
          <t>F</t>
        </is>
      </c>
      <c r="F896" s="48" t="inlineStr">
        <is>
          <t>Q</t>
        </is>
      </c>
      <c r="G896" s="48" t="inlineStr">
        <is>
          <t>higher</t>
        </is>
      </c>
      <c r="H896" s="48" t="n">
        <v>2</v>
      </c>
      <c r="I896" s="48" t="inlineStr">
        <is>
          <t>Autoproduzione consumi elettrici per trazione</t>
        </is>
      </c>
      <c r="J896" s="73" t="n"/>
      <c r="K896" s="73" t="n"/>
      <c r="L896" s="73" t="n"/>
      <c r="M896" s="73" t="n"/>
      <c r="N896" s="57">
        <f>IF($A896="","",IFERROR(VALUE($J896),0))</f>
        <v/>
      </c>
      <c r="O896" s="57">
        <f>IF($A896="",0,IF(OR($S896&lt;&gt;1,COUNTA($J896:$M896)=0),0,IF(SUMPRODUCT(MAX(($C$5:$C$2484=$C896)*($D$5:$D$2484=$D896)*($S$5:$S$2484=1)*IFERROR($N$5:$N$2484*1,0)))&gt;0,ROUND($H896*($N896/SUMPRODUCT(MAX(($C$5:$C$2484=$C896)*($D$5:$D$2484=$D896)*($S$5:$S$2484=1)*IFERROR($N$5:$N$2484*1,0)))),4),0)))</f>
        <v/>
      </c>
      <c r="P896" s="48" t="inlineStr">
        <is>
          <t>kWh/anno</t>
        </is>
      </c>
      <c r="Q896" s="57">
        <f>IF($A896="","",$A896&amp;"|"&amp;$C896)</f>
        <v/>
      </c>
      <c r="R896" s="57">
        <f>IF($A896="","",$A896&amp;"|"&amp;$C896&amp;"|"&amp;$D896)</f>
        <v/>
      </c>
      <c r="S896" s="57">
        <f>IF($A896="","",IFERROR(INDEX(Offerte!$D$2:$D$81,MATCH($Q896,Offerte!$L$2:$L$81,0)),0))</f>
        <v/>
      </c>
      <c r="T896" s="57">
        <f>IF($A896="","",IFERROR(INDEX(Offerte!$G$2:$G$81,MATCH($Q896,Offerte!$L$2:$L$81,0)),"NO"))</f>
        <v/>
      </c>
    </row>
    <row r="897">
      <c r="A897" s="48">
        <f>IF(Offerte!$A30="","",Offerte!$A30)</f>
        <v/>
      </c>
      <c r="B897" s="48">
        <f>IF(Offerte!$A30="","",Offerte!$B30)</f>
        <v/>
      </c>
      <c r="C897" s="48">
        <f>IF(Offerte!$A30="","",Offerte!$C30)</f>
        <v/>
      </c>
      <c r="D897" s="48" t="inlineStr">
        <is>
          <t>F.4.1</t>
        </is>
      </c>
      <c r="E897" s="48" t="inlineStr">
        <is>
          <t>F</t>
        </is>
      </c>
      <c r="F897" s="48" t="inlineStr">
        <is>
          <t>Q</t>
        </is>
      </c>
      <c r="G897" s="48" t="inlineStr">
        <is>
          <t>soil</t>
        </is>
      </c>
      <c r="H897" s="48" t="n">
        <v>2</v>
      </c>
      <c r="I897" s="48" t="inlineStr">
        <is>
          <t>Indice di consumo di suolo</t>
        </is>
      </c>
      <c r="J897" s="73" t="n"/>
      <c r="K897" s="73" t="n"/>
      <c r="L897" s="73" t="n"/>
      <c r="M897" s="73" t="n"/>
      <c r="N897" s="57">
        <f>IF($A897="","",IFERROR(VALUE($J897),0))</f>
        <v/>
      </c>
      <c r="O897" s="57">
        <f>IF($A897="",0,IF(OR($S897&lt;&gt;1,COUNTA($J897:$M897)=0),0,IF($N897&lt;=0,$H897,IF(SUMPRODUCT(MAX(($C$5:$C$2484=$C897)*($D$5:$D$2484=$D897)*($S$5:$S$2484=1)*IFERROR($N$5:$N$2484*1,0)))&gt;0,ROUND($H897*((SUMPRODUCT(MAX(($C$5:$C$2484=$C897)*($D$5:$D$2484=$D897)*($S$5:$S$2484=1)*IFERROR($N$5:$N$2484*1,0)))-$N897)/SUMPRODUCT(MAX(($C$5:$C$2484=$C897)*($D$5:$D$2484=$D897)*($S$5:$S$2484=1)*IFERROR($N$5:$N$2484*1,0)))),4),0))))</f>
        <v/>
      </c>
      <c r="P897" s="48" t="inlineStr">
        <is>
          <t>m2</t>
        </is>
      </c>
      <c r="Q897" s="57">
        <f>IF($A897="","",$A897&amp;"|"&amp;$C897)</f>
        <v/>
      </c>
      <c r="R897" s="57">
        <f>IF($A897="","",$A897&amp;"|"&amp;$C897&amp;"|"&amp;$D897)</f>
        <v/>
      </c>
      <c r="S897" s="57">
        <f>IF($A897="","",IFERROR(INDEX(Offerte!$D$2:$D$81,MATCH($Q897,Offerte!$L$2:$L$81,0)),0))</f>
        <v/>
      </c>
      <c r="T897" s="57">
        <f>IF($A897="","",IFERROR(INDEX(Offerte!$G$2:$G$81,MATCH($Q897,Offerte!$L$2:$L$81,0)),"NO"))</f>
        <v/>
      </c>
    </row>
    <row r="898">
      <c r="A898" s="48">
        <f>IF(Offerte!$A30="","",Offerte!$A30)</f>
        <v/>
      </c>
      <c r="B898" s="48">
        <f>IF(Offerte!$A30="","",Offerte!$B30)</f>
        <v/>
      </c>
      <c r="C898" s="48">
        <f>IF(Offerte!$A30="","",Offerte!$C30)</f>
        <v/>
      </c>
      <c r="D898" s="48" t="inlineStr">
        <is>
          <t>F.5.1</t>
        </is>
      </c>
      <c r="E898" s="48" t="inlineStr">
        <is>
          <t>F</t>
        </is>
      </c>
      <c r="F898" s="48" t="inlineStr">
        <is>
          <t>T</t>
        </is>
      </c>
      <c r="G898" s="48" t="inlineStr">
        <is>
          <t>tabular</t>
        </is>
      </c>
      <c r="H898" s="48" t="n">
        <v>1</v>
      </c>
      <c r="I898" s="48" t="inlineStr">
        <is>
          <t>Rendicontazione di sostenibilità ambientale</t>
        </is>
      </c>
      <c r="J898" s="73" t="n"/>
      <c r="K898" s="73" t="n"/>
      <c r="L898" s="73" t="n"/>
      <c r="M898" s="73" t="n"/>
      <c r="N898" s="57">
        <f>IF($A898="","",IF(IFERROR(VALUE($M898),0)=1,1,0))</f>
        <v/>
      </c>
      <c r="O898" s="57">
        <f>IF($A898="",0,IF(OR($S898&lt;&gt;1,COUNTA($J898:$M898)=0),0,IF($N898=1,$H898,0)))</f>
        <v/>
      </c>
      <c r="P898" s="48" t="inlineStr">
        <is>
          <t>sì/no</t>
        </is>
      </c>
      <c r="Q898" s="57">
        <f>IF($A898="","",$A898&amp;"|"&amp;$C898)</f>
        <v/>
      </c>
      <c r="R898" s="57">
        <f>IF($A898="","",$A898&amp;"|"&amp;$C898&amp;"|"&amp;$D898)</f>
        <v/>
      </c>
      <c r="S898" s="57">
        <f>IF($A898="","",IFERROR(INDEX(Offerte!$D$2:$D$81,MATCH($Q898,Offerte!$L$2:$L$81,0)),0))</f>
        <v/>
      </c>
      <c r="T898" s="57">
        <f>IF($A898="","",IFERROR(INDEX(Offerte!$G$2:$G$81,MATCH($Q898,Offerte!$L$2:$L$81,0)),"NO"))</f>
        <v/>
      </c>
    </row>
    <row r="899">
      <c r="A899" s="48">
        <f>IF(Offerte!$A30="","",Offerte!$A30)</f>
        <v/>
      </c>
      <c r="B899" s="48">
        <f>IF(Offerte!$A30="","",Offerte!$B30)</f>
        <v/>
      </c>
      <c r="C899" s="48">
        <f>IF(Offerte!$A30="","",Offerte!$C30)</f>
        <v/>
      </c>
      <c r="D899" s="48" t="inlineStr">
        <is>
          <t>G.1.1</t>
        </is>
      </c>
      <c r="E899" s="48" t="inlineStr">
        <is>
          <t>G</t>
        </is>
      </c>
      <c r="F899" s="48" t="inlineStr">
        <is>
          <t>D</t>
        </is>
      </c>
      <c r="G899" s="48" t="inlineStr">
        <is>
          <t>discretionary</t>
        </is>
      </c>
      <c r="H899" s="48" t="n">
        <v>2</v>
      </c>
      <c r="I899" s="48" t="inlineStr">
        <is>
          <t>Qualità del progetto di centrale di controllo aziendale</t>
        </is>
      </c>
      <c r="J899" s="73" t="n"/>
      <c r="K899" s="73" t="n"/>
      <c r="L899" s="73" t="n"/>
      <c r="M899" s="73" t="n"/>
      <c r="N899" s="57">
        <f>IF($A899="","",MAX(0,MIN(1,IFERROR(VALUE($M899),0))))</f>
        <v/>
      </c>
      <c r="O899" s="57">
        <f>IF($A899="",0,IF(OR($S899&lt;&gt;1,COUNTA($J899:$M899)=0),0,IF(SUMPRODUCT(MAX(($C$5:$C$2484=$C899)*($D$5:$D$2484=$D899)*($S$5:$S$2484=1)*IFERROR($N$5:$N$2484*1,0)))&gt;0,ROUND($H899*($N899/SUMPRODUCT(MAX(($C$5:$C$2484=$C899)*($D$5:$D$2484=$D899)*($S$5:$S$2484=1)*IFERROR($N$5:$N$2484*1,0)))),4),0)))</f>
        <v/>
      </c>
      <c r="P899" s="48" t="inlineStr">
        <is>
          <t>coeff.</t>
        </is>
      </c>
      <c r="Q899" s="57">
        <f>IF($A899="","",$A899&amp;"|"&amp;$C899)</f>
        <v/>
      </c>
      <c r="R899" s="57">
        <f>IF($A899="","",$A899&amp;"|"&amp;$C899&amp;"|"&amp;$D899)</f>
        <v/>
      </c>
      <c r="S899" s="57">
        <f>IF($A899="","",IFERROR(INDEX(Offerte!$D$2:$D$81,MATCH($Q899,Offerte!$L$2:$L$81,0)),0))</f>
        <v/>
      </c>
      <c r="T899" s="57">
        <f>IF($A899="","",IFERROR(INDEX(Offerte!$G$2:$G$81,MATCH($Q899,Offerte!$L$2:$L$81,0)),"NO"))</f>
        <v/>
      </c>
    </row>
    <row r="900">
      <c r="A900" s="48">
        <f>IF(Offerte!$A30="","",Offerte!$A30)</f>
        <v/>
      </c>
      <c r="B900" s="48">
        <f>IF(Offerte!$A30="","",Offerte!$B30)</f>
        <v/>
      </c>
      <c r="C900" s="48">
        <f>IF(Offerte!$A30="","",Offerte!$C30)</f>
        <v/>
      </c>
      <c r="D900" s="48" t="inlineStr">
        <is>
          <t>G.2.1</t>
        </is>
      </c>
      <c r="E900" s="48" t="inlineStr">
        <is>
          <t>G</t>
        </is>
      </c>
      <c r="F900" s="48" t="inlineStr">
        <is>
          <t>T</t>
        </is>
      </c>
      <c r="G900" s="48" t="inlineStr">
        <is>
          <t>tabular</t>
        </is>
      </c>
      <c r="H900" s="48" t="n">
        <v>1</v>
      </c>
      <c r="I900" s="48" t="inlineStr">
        <is>
          <t>Certificazione ISO 45001</t>
        </is>
      </c>
      <c r="J900" s="73" t="n"/>
      <c r="K900" s="73" t="n"/>
      <c r="L900" s="73" t="n"/>
      <c r="M900" s="73" t="n"/>
      <c r="N900" s="57">
        <f>IF($A900="","",IF(IFERROR(VALUE($M900),0)=1,1,0))</f>
        <v/>
      </c>
      <c r="O900" s="57">
        <f>IF($A900="",0,IF(OR($S900&lt;&gt;1,COUNTA($J900:$M900)=0),0,IF($N900=1,$H900,0)))</f>
        <v/>
      </c>
      <c r="P900" s="48" t="inlineStr">
        <is>
          <t>sì/no</t>
        </is>
      </c>
      <c r="Q900" s="57">
        <f>IF($A900="","",$A900&amp;"|"&amp;$C900)</f>
        <v/>
      </c>
      <c r="R900" s="57">
        <f>IF($A900="","",$A900&amp;"|"&amp;$C900&amp;"|"&amp;$D900)</f>
        <v/>
      </c>
      <c r="S900" s="57">
        <f>IF($A900="","",IFERROR(INDEX(Offerte!$D$2:$D$81,MATCH($Q900,Offerte!$L$2:$L$81,0)),0))</f>
        <v/>
      </c>
      <c r="T900" s="57">
        <f>IF($A900="","",IFERROR(INDEX(Offerte!$G$2:$G$81,MATCH($Q900,Offerte!$L$2:$L$81,0)),"NO"))</f>
        <v/>
      </c>
    </row>
    <row r="901">
      <c r="A901" s="48">
        <f>IF(Offerte!$A30="","",Offerte!$A30)</f>
        <v/>
      </c>
      <c r="B901" s="48">
        <f>IF(Offerte!$A30="","",Offerte!$B30)</f>
        <v/>
      </c>
      <c r="C901" s="48">
        <f>IF(Offerte!$A30="","",Offerte!$C30)</f>
        <v/>
      </c>
      <c r="D901" s="48" t="inlineStr">
        <is>
          <t>G.3.1</t>
        </is>
      </c>
      <c r="E901" s="48" t="inlineStr">
        <is>
          <t>G</t>
        </is>
      </c>
      <c r="F901" s="48" t="inlineStr">
        <is>
          <t>T</t>
        </is>
      </c>
      <c r="G901" s="48" t="inlineStr">
        <is>
          <t>tabular</t>
        </is>
      </c>
      <c r="H901" s="48" t="n">
        <v>1</v>
      </c>
      <c r="I901" s="48" t="inlineStr">
        <is>
          <t>Certificazioni di responsabilità sociale</t>
        </is>
      </c>
      <c r="J901" s="73" t="n"/>
      <c r="K901" s="73" t="n"/>
      <c r="L901" s="73" t="n"/>
      <c r="M901" s="73" t="n"/>
      <c r="N901" s="57">
        <f>IF($A901="","",IF(IFERROR(VALUE($M901),0)=1,1,0))</f>
        <v/>
      </c>
      <c r="O901" s="57">
        <f>IF($A901="",0,IF(OR($S901&lt;&gt;1,COUNTA($J901:$M901)=0),0,IF($N901=1,$H901,0)))</f>
        <v/>
      </c>
      <c r="P901" s="48" t="inlineStr">
        <is>
          <t>sì/no</t>
        </is>
      </c>
      <c r="Q901" s="57">
        <f>IF($A901="","",$A901&amp;"|"&amp;$C901)</f>
        <v/>
      </c>
      <c r="R901" s="57">
        <f>IF($A901="","",$A901&amp;"|"&amp;$C901&amp;"|"&amp;$D901)</f>
        <v/>
      </c>
      <c r="S901" s="57">
        <f>IF($A901="","",IFERROR(INDEX(Offerte!$D$2:$D$81,MATCH($Q901,Offerte!$L$2:$L$81,0)),0))</f>
        <v/>
      </c>
      <c r="T901" s="57">
        <f>IF($A901="","",IFERROR(INDEX(Offerte!$G$2:$G$81,MATCH($Q901,Offerte!$L$2:$L$81,0)),"NO"))</f>
        <v/>
      </c>
    </row>
    <row r="902">
      <c r="A902" s="48">
        <f>IF(Offerte!$A30="","",Offerte!$A30)</f>
        <v/>
      </c>
      <c r="B902" s="48">
        <f>IF(Offerte!$A30="","",Offerte!$B30)</f>
        <v/>
      </c>
      <c r="C902" s="48">
        <f>IF(Offerte!$A30="","",Offerte!$C30)</f>
        <v/>
      </c>
      <c r="D902" s="48" t="inlineStr">
        <is>
          <t>G.4.1</t>
        </is>
      </c>
      <c r="E902" s="48" t="inlineStr">
        <is>
          <t>G</t>
        </is>
      </c>
      <c r="F902" s="48" t="inlineStr">
        <is>
          <t>D</t>
        </is>
      </c>
      <c r="G902" s="48" t="inlineStr">
        <is>
          <t>discretionary</t>
        </is>
      </c>
      <c r="H902" s="48" t="n">
        <v>2</v>
      </c>
      <c r="I902" s="48" t="inlineStr">
        <is>
          <t>Qualità del piano di formazione del personale</t>
        </is>
      </c>
      <c r="J902" s="73" t="n"/>
      <c r="K902" s="73" t="n"/>
      <c r="L902" s="73" t="n"/>
      <c r="M902" s="73" t="n"/>
      <c r="N902" s="57">
        <f>IF($A902="","",MAX(0,MIN(1,IFERROR(VALUE($M902),0))))</f>
        <v/>
      </c>
      <c r="O902" s="57">
        <f>IF($A902="",0,IF(OR($S902&lt;&gt;1,COUNTA($J902:$M902)=0),0,IF(SUMPRODUCT(MAX(($C$5:$C$2484=$C902)*($D$5:$D$2484=$D902)*($S$5:$S$2484=1)*IFERROR($N$5:$N$2484*1,0)))&gt;0,ROUND($H902*($N902/SUMPRODUCT(MAX(($C$5:$C$2484=$C902)*($D$5:$D$2484=$D902)*($S$5:$S$2484=1)*IFERROR($N$5:$N$2484*1,0)))),4),0)))</f>
        <v/>
      </c>
      <c r="P902" s="48" t="inlineStr">
        <is>
          <t>coeff.</t>
        </is>
      </c>
      <c r="Q902" s="57">
        <f>IF($A902="","",$A902&amp;"|"&amp;$C902)</f>
        <v/>
      </c>
      <c r="R902" s="57">
        <f>IF($A902="","",$A902&amp;"|"&amp;$C902&amp;"|"&amp;$D902)</f>
        <v/>
      </c>
      <c r="S902" s="57">
        <f>IF($A902="","",IFERROR(INDEX(Offerte!$D$2:$D$81,MATCH($Q902,Offerte!$L$2:$L$81,0)),0))</f>
        <v/>
      </c>
      <c r="T902" s="57">
        <f>IF($A902="","",IFERROR(INDEX(Offerte!$G$2:$G$81,MATCH($Q902,Offerte!$L$2:$L$81,0)),"NO"))</f>
        <v/>
      </c>
    </row>
    <row r="903">
      <c r="A903" s="48">
        <f>IF(Offerte!$A30="","",Offerte!$A30)</f>
        <v/>
      </c>
      <c r="B903" s="48">
        <f>IF(Offerte!$A30="","",Offerte!$B30)</f>
        <v/>
      </c>
      <c r="C903" s="48">
        <f>IF(Offerte!$A30="","",Offerte!$C30)</f>
        <v/>
      </c>
      <c r="D903" s="48" t="inlineStr">
        <is>
          <t>G.5.1</t>
        </is>
      </c>
      <c r="E903" s="48" t="inlineStr">
        <is>
          <t>G</t>
        </is>
      </c>
      <c r="F903" s="48" t="inlineStr">
        <is>
          <t>T</t>
        </is>
      </c>
      <c r="G903" s="48" t="inlineStr">
        <is>
          <t>tabular</t>
        </is>
      </c>
      <c r="H903" s="48" t="n">
        <v>1</v>
      </c>
      <c r="I903" s="48" t="inlineStr">
        <is>
          <t>Impegno al mantenimento delle garanzie del contratto di secondo livello del gestore uscente</t>
        </is>
      </c>
      <c r="J903" s="73" t="n"/>
      <c r="K903" s="73" t="n"/>
      <c r="L903" s="73" t="n"/>
      <c r="M903" s="73" t="n"/>
      <c r="N903" s="57">
        <f>IF($A903="","",IF(IFERROR(VALUE($M903),0)=1,1,0))</f>
        <v/>
      </c>
      <c r="O903" s="57">
        <f>IF($A903="",0,IF(OR($S903&lt;&gt;1,COUNTA($J903:$M903)=0),0,IF($N903=1,$H903,0)))</f>
        <v/>
      </c>
      <c r="P903" s="48" t="inlineStr">
        <is>
          <t>sì/no</t>
        </is>
      </c>
      <c r="Q903" s="57">
        <f>IF($A903="","",$A903&amp;"|"&amp;$C903)</f>
        <v/>
      </c>
      <c r="R903" s="57">
        <f>IF($A903="","",$A903&amp;"|"&amp;$C903&amp;"|"&amp;$D903)</f>
        <v/>
      </c>
      <c r="S903" s="57">
        <f>IF($A903="","",IFERROR(INDEX(Offerte!$D$2:$D$81,MATCH($Q903,Offerte!$L$2:$L$81,0)),0))</f>
        <v/>
      </c>
      <c r="T903" s="57">
        <f>IF($A903="","",IFERROR(INDEX(Offerte!$G$2:$G$81,MATCH($Q903,Offerte!$L$2:$L$81,0)),"NO"))</f>
        <v/>
      </c>
    </row>
    <row r="904">
      <c r="A904" s="48">
        <f>IF(Offerte!$A31="","",Offerte!$A31)</f>
        <v/>
      </c>
      <c r="B904" s="48">
        <f>IF(Offerte!$A31="","",Offerte!$B31)</f>
        <v/>
      </c>
      <c r="C904" s="48">
        <f>IF(Offerte!$A31="","",Offerte!$C31)</f>
        <v/>
      </c>
      <c r="D904" s="48" t="inlineStr">
        <is>
          <t>A.1.1</t>
        </is>
      </c>
      <c r="E904" s="48" t="inlineStr">
        <is>
          <t>A</t>
        </is>
      </c>
      <c r="F904" s="48" t="inlineStr">
        <is>
          <t>Q</t>
        </is>
      </c>
      <c r="G904" s="48" t="inlineStr">
        <is>
          <t>higher</t>
        </is>
      </c>
      <c r="H904" s="48" t="n">
        <v>3</v>
      </c>
      <c r="I904" s="48" t="inlineStr">
        <is>
          <t>Tasso aggiuntivo di corse controllate</t>
        </is>
      </c>
      <c r="J904" s="73" t="n"/>
      <c r="K904" s="73" t="n"/>
      <c r="L904" s="73" t="n"/>
      <c r="M904" s="73" t="n"/>
      <c r="N904" s="57">
        <f>IF($A904="","",IFERROR(VALUE($K904)/VALUE($L904)*100,IFERROR(VALUE($J904),0)))</f>
        <v/>
      </c>
      <c r="O904" s="57">
        <f>IF($A904="",0,IF(OR($S904&lt;&gt;1,COUNTA($J904:$M904)=0),0,IF(SUMPRODUCT(MAX(($C$5:$C$2484=$C904)*($D$5:$D$2484=$D904)*($S$5:$S$2484=1)*IFERROR($N$5:$N$2484*1,0)))&gt;0,ROUND($H904*($N904/SUMPRODUCT(MAX(($C$5:$C$2484=$C904)*($D$5:$D$2484=$D904)*($S$5:$S$2484=1)*IFERROR($N$5:$N$2484*1,0)))),4),0)))</f>
        <v/>
      </c>
      <c r="P904" s="48" t="inlineStr">
        <is>
          <t>Corse controllate annue / Corse programmate annue</t>
        </is>
      </c>
      <c r="Q904" s="57">
        <f>IF($A904="","",$A904&amp;"|"&amp;$C904)</f>
        <v/>
      </c>
      <c r="R904" s="57">
        <f>IF($A904="","",$A904&amp;"|"&amp;$C904&amp;"|"&amp;$D904)</f>
        <v/>
      </c>
      <c r="S904" s="57">
        <f>IF($A904="","",IFERROR(INDEX(Offerte!$D$2:$D$81,MATCH($Q904,Offerte!$L$2:$L$81,0)),0))</f>
        <v/>
      </c>
      <c r="T904" s="57">
        <f>IF($A904="","",IFERROR(INDEX(Offerte!$G$2:$G$81,MATCH($Q904,Offerte!$L$2:$L$81,0)),"NO"))</f>
        <v/>
      </c>
    </row>
    <row r="905">
      <c r="A905" s="48">
        <f>IF(Offerte!$A31="","",Offerte!$A31)</f>
        <v/>
      </c>
      <c r="B905" s="48">
        <f>IF(Offerte!$A31="","",Offerte!$B31)</f>
        <v/>
      </c>
      <c r="C905" s="48">
        <f>IF(Offerte!$A31="","",Offerte!$C31)</f>
        <v/>
      </c>
      <c r="D905" s="48" t="inlineStr">
        <is>
          <t>A.1.2</t>
        </is>
      </c>
      <c r="E905" s="48" t="inlineStr">
        <is>
          <t>A</t>
        </is>
      </c>
      <c r="F905" s="48" t="inlineStr">
        <is>
          <t>Q</t>
        </is>
      </c>
      <c r="G905" s="48" t="inlineStr">
        <is>
          <t>higher</t>
        </is>
      </c>
      <c r="H905" s="48" t="n">
        <v>4</v>
      </c>
      <c r="I905" s="48" t="inlineStr">
        <is>
          <t>Numero aggiuntivo di passeggeri controllati</t>
        </is>
      </c>
      <c r="J905" s="73" t="n"/>
      <c r="K905" s="73" t="n"/>
      <c r="L905" s="73" t="n"/>
      <c r="M905" s="73" t="n"/>
      <c r="N905" s="57">
        <f>IF($A905="","",IFERROR(VALUE($J905),0))</f>
        <v/>
      </c>
      <c r="O905" s="57">
        <f>IF($A905="",0,IF(OR($S905&lt;&gt;1,COUNTA($J905:$M905)=0),0,IF(SUMPRODUCT(MAX(($C$5:$C$2484=$C905)*($D$5:$D$2484=$D905)*($S$5:$S$2484=1)*IFERROR($N$5:$N$2484*1,0)))&gt;0,ROUND($H905*($N905/SUMPRODUCT(MAX(($C$5:$C$2484=$C905)*($D$5:$D$2484=$D905)*($S$5:$S$2484=1)*IFERROR($N$5:$N$2484*1,0)))),4),0)))</f>
        <v/>
      </c>
      <c r="P905" s="48" t="inlineStr">
        <is>
          <t>passeggeri/anno</t>
        </is>
      </c>
      <c r="Q905" s="57">
        <f>IF($A905="","",$A905&amp;"|"&amp;$C905)</f>
        <v/>
      </c>
      <c r="R905" s="57">
        <f>IF($A905="","",$A905&amp;"|"&amp;$C905&amp;"|"&amp;$D905)</f>
        <v/>
      </c>
      <c r="S905" s="57">
        <f>IF($A905="","",IFERROR(INDEX(Offerte!$D$2:$D$81,MATCH($Q905,Offerte!$L$2:$L$81,0)),0))</f>
        <v/>
      </c>
      <c r="T905" s="57">
        <f>IF($A905="","",IFERROR(INDEX(Offerte!$G$2:$G$81,MATCH($Q905,Offerte!$L$2:$L$81,0)),"NO"))</f>
        <v/>
      </c>
    </row>
    <row r="906">
      <c r="A906" s="48">
        <f>IF(Offerte!$A31="","",Offerte!$A31)</f>
        <v/>
      </c>
      <c r="B906" s="48">
        <f>IF(Offerte!$A31="","",Offerte!$B31)</f>
        <v/>
      </c>
      <c r="C906" s="48">
        <f>IF(Offerte!$A31="","",Offerte!$C31)</f>
        <v/>
      </c>
      <c r="D906" s="48" t="inlineStr">
        <is>
          <t>B.1.1</t>
        </is>
      </c>
      <c r="E906" s="48" t="inlineStr">
        <is>
          <t>B</t>
        </is>
      </c>
      <c r="F906" s="48" t="inlineStr">
        <is>
          <t>Q</t>
        </is>
      </c>
      <c r="G906" s="48" t="inlineStr">
        <is>
          <t>higher</t>
        </is>
      </c>
      <c r="H906" s="48" t="n">
        <v>3</v>
      </c>
      <c r="I906" s="48" t="inlineStr">
        <is>
          <t>Incremento dei posti offerti nelle fasce di punta</t>
        </is>
      </c>
      <c r="J906" s="73" t="n"/>
      <c r="K906" s="73" t="n"/>
      <c r="L906" s="73" t="n"/>
      <c r="M906" s="73" t="n"/>
      <c r="N906" s="57">
        <f>IF($A906="","",IFERROR(VALUE($J906),0))</f>
        <v/>
      </c>
      <c r="O906" s="57">
        <f>IF($A906="",0,IF(OR($S906&lt;&gt;1,COUNTA($J906:$M906)=0),0,IF(SUMPRODUCT(MAX(($C$5:$C$2484=$C906)*($D$5:$D$2484=$D906)*($S$5:$S$2484=1)*IFERROR($N$5:$N$2484*1,0)))&gt;0,ROUND($H906*($N906/SUMPRODUCT(MAX(($C$5:$C$2484=$C906)*($D$5:$D$2484=$D906)*($S$5:$S$2484=1)*IFERROR($N$5:$N$2484*1,0)))),4),0)))</f>
        <v/>
      </c>
      <c r="P906" s="48" t="inlineStr">
        <is>
          <t>posti*km</t>
        </is>
      </c>
      <c r="Q906" s="57">
        <f>IF($A906="","",$A906&amp;"|"&amp;$C906)</f>
        <v/>
      </c>
      <c r="R906" s="57">
        <f>IF($A906="","",$A906&amp;"|"&amp;$C906&amp;"|"&amp;$D906)</f>
        <v/>
      </c>
      <c r="S906" s="57">
        <f>IF($A906="","",IFERROR(INDEX(Offerte!$D$2:$D$81,MATCH($Q906,Offerte!$L$2:$L$81,0)),0))</f>
        <v/>
      </c>
      <c r="T906" s="57">
        <f>IF($A906="","",IFERROR(INDEX(Offerte!$G$2:$G$81,MATCH($Q906,Offerte!$L$2:$L$81,0)),"NO"))</f>
        <v/>
      </c>
    </row>
    <row r="907">
      <c r="A907" s="48">
        <f>IF(Offerte!$A31="","",Offerte!$A31)</f>
        <v/>
      </c>
      <c r="B907" s="48">
        <f>IF(Offerte!$A31="","",Offerte!$B31)</f>
        <v/>
      </c>
      <c r="C907" s="48">
        <f>IF(Offerte!$A31="","",Offerte!$C31)</f>
        <v/>
      </c>
      <c r="D907" s="48" t="inlineStr">
        <is>
          <t>B.2.1</t>
        </is>
      </c>
      <c r="E907" s="48" t="inlineStr">
        <is>
          <t>B</t>
        </is>
      </c>
      <c r="F907" s="48" t="inlineStr">
        <is>
          <t>Q</t>
        </is>
      </c>
      <c r="G907" s="48" t="inlineStr">
        <is>
          <t>higher</t>
        </is>
      </c>
      <c r="H907" s="48" t="n">
        <v>4</v>
      </c>
      <c r="I907" s="48" t="inlineStr">
        <is>
          <t>Corse aggiuntive nell'arco giornaliero base</t>
        </is>
      </c>
      <c r="J907" s="73" t="n"/>
      <c r="K907" s="73" t="n"/>
      <c r="L907" s="73" t="n"/>
      <c r="M907" s="73" t="n"/>
      <c r="N907" s="57">
        <f>IF($A907="","",IFERROR(VALUE($J907),0))</f>
        <v/>
      </c>
      <c r="O907" s="57">
        <f>IF($A907="",0,IF(OR($S907&lt;&gt;1,COUNTA($J907:$M907)=0),0,IF(SUMPRODUCT(MAX(($C$5:$C$2484=$C907)*($D$5:$D$2484=$D907)*($S$5:$S$2484=1)*IFERROR($N$5:$N$2484*1,0)))&gt;0,ROUND($H907*($N907/SUMPRODUCT(MAX(($C$5:$C$2484=$C907)*($D$5:$D$2484=$D907)*($S$5:$S$2484=1)*IFERROR($N$5:$N$2484*1,0)))),4),0)))</f>
        <v/>
      </c>
      <c r="P907" s="48" t="inlineStr">
        <is>
          <t>corse</t>
        </is>
      </c>
      <c r="Q907" s="57">
        <f>IF($A907="","",$A907&amp;"|"&amp;$C907)</f>
        <v/>
      </c>
      <c r="R907" s="57">
        <f>IF($A907="","",$A907&amp;"|"&amp;$C907&amp;"|"&amp;$D907)</f>
        <v/>
      </c>
      <c r="S907" s="57">
        <f>IF($A907="","",IFERROR(INDEX(Offerte!$D$2:$D$81,MATCH($Q907,Offerte!$L$2:$L$81,0)),0))</f>
        <v/>
      </c>
      <c r="T907" s="57">
        <f>IF($A907="","",IFERROR(INDEX(Offerte!$G$2:$G$81,MATCH($Q907,Offerte!$L$2:$L$81,0)),"NO"))</f>
        <v/>
      </c>
    </row>
    <row r="908">
      <c r="A908" s="48">
        <f>IF(Offerte!$A31="","",Offerte!$A31)</f>
        <v/>
      </c>
      <c r="B908" s="48">
        <f>IF(Offerte!$A31="","",Offerte!$B31)</f>
        <v/>
      </c>
      <c r="C908" s="48">
        <f>IF(Offerte!$A31="","",Offerte!$C31)</f>
        <v/>
      </c>
      <c r="D908" s="48" t="inlineStr">
        <is>
          <t>B.3.1</t>
        </is>
      </c>
      <c r="E908" s="48" t="inlineStr">
        <is>
          <t>B</t>
        </is>
      </c>
      <c r="F908" s="48" t="inlineStr">
        <is>
          <t>Q</t>
        </is>
      </c>
      <c r="G908" s="48" t="inlineStr">
        <is>
          <t>higher</t>
        </is>
      </c>
      <c r="H908" s="48" t="n">
        <v>2</v>
      </c>
      <c r="I908" s="48" t="inlineStr">
        <is>
          <t>Numero di corse aggiuntive per allungamento dell'arco di servizio giornaliero nelle fasce serali</t>
        </is>
      </c>
      <c r="J908" s="73" t="n"/>
      <c r="K908" s="73" t="n"/>
      <c r="L908" s="73" t="n"/>
      <c r="M908" s="73" t="n"/>
      <c r="N908" s="57">
        <f>IF($A908="","",IFERROR(VALUE($J908),0))</f>
        <v/>
      </c>
      <c r="O908" s="57">
        <f>IF($A908="",0,IF(OR($S908&lt;&gt;1,COUNTA($J908:$M908)=0),0,IF(SUMPRODUCT(MAX(($C$5:$C$2484=$C908)*($D$5:$D$2484=$D908)*($S$5:$S$2484=1)*IFERROR($N$5:$N$2484*1,0)))&gt;0,ROUND($H908*($N908/SUMPRODUCT(MAX(($C$5:$C$2484=$C908)*($D$5:$D$2484=$D908)*($S$5:$S$2484=1)*IFERROR($N$5:$N$2484*1,0)))),4),0)))</f>
        <v/>
      </c>
      <c r="P908" s="48" t="inlineStr">
        <is>
          <t>corse</t>
        </is>
      </c>
      <c r="Q908" s="57">
        <f>IF($A908="","",$A908&amp;"|"&amp;$C908)</f>
        <v/>
      </c>
      <c r="R908" s="57">
        <f>IF($A908="","",$A908&amp;"|"&amp;$C908&amp;"|"&amp;$D908)</f>
        <v/>
      </c>
      <c r="S908" s="57">
        <f>IF($A908="","",IFERROR(INDEX(Offerte!$D$2:$D$81,MATCH($Q908,Offerte!$L$2:$L$81,0)),0))</f>
        <v/>
      </c>
      <c r="T908" s="57">
        <f>IF($A908="","",IFERROR(INDEX(Offerte!$G$2:$G$81,MATCH($Q908,Offerte!$L$2:$L$81,0)),"NO"))</f>
        <v/>
      </c>
    </row>
    <row r="909">
      <c r="A909" s="48">
        <f>IF(Offerte!$A31="","",Offerte!$A31)</f>
        <v/>
      </c>
      <c r="B909" s="48">
        <f>IF(Offerte!$A31="","",Offerte!$B31)</f>
        <v/>
      </c>
      <c r="C909" s="48">
        <f>IF(Offerte!$A31="","",Offerte!$C31)</f>
        <v/>
      </c>
      <c r="D909" s="48" t="inlineStr">
        <is>
          <t>B.4.1</t>
        </is>
      </c>
      <c r="E909" s="48" t="inlineStr">
        <is>
          <t>B</t>
        </is>
      </c>
      <c r="F909" s="48" t="inlineStr">
        <is>
          <t>Q</t>
        </is>
      </c>
      <c r="G909" s="48" t="inlineStr">
        <is>
          <t>higher</t>
        </is>
      </c>
      <c r="H909" s="48" t="n">
        <v>3</v>
      </c>
      <c r="I909" s="48" t="inlineStr">
        <is>
          <t>Percorrenze aggiuntive offerte nel Programma d'esercizio delle prime due fasi attuative</t>
        </is>
      </c>
      <c r="J909" s="73" t="n"/>
      <c r="K909" s="73" t="n"/>
      <c r="L909" s="73" t="n"/>
      <c r="M909" s="73" t="n"/>
      <c r="N909" s="57">
        <f>IF($A909="","",IFERROR(VALUE($J909),0))</f>
        <v/>
      </c>
      <c r="O909" s="57">
        <f>IF($A909="",0,IF(OR($S909&lt;&gt;1,COUNTA($J909:$M909)=0),0,IF(SUMPRODUCT(MAX(($C$5:$C$2484=$C909)*($D$5:$D$2484=$D909)*($S$5:$S$2484=1)*IFERROR($N$5:$N$2484*1,0)))&gt;0,ROUND($H909*($N909/SUMPRODUCT(MAX(($C$5:$C$2484=$C909)*($D$5:$D$2484=$D909)*($S$5:$S$2484=1)*IFERROR($N$5:$N$2484*1,0)))),4),0)))</f>
        <v/>
      </c>
      <c r="P909" s="48" t="inlineStr">
        <is>
          <t>vett*km</t>
        </is>
      </c>
      <c r="Q909" s="57">
        <f>IF($A909="","",$A909&amp;"|"&amp;$C909)</f>
        <v/>
      </c>
      <c r="R909" s="57">
        <f>IF($A909="","",$A909&amp;"|"&amp;$C909&amp;"|"&amp;$D909)</f>
        <v/>
      </c>
      <c r="S909" s="57">
        <f>IF($A909="","",IFERROR(INDEX(Offerte!$D$2:$D$81,MATCH($Q909,Offerte!$L$2:$L$81,0)),0))</f>
        <v/>
      </c>
      <c r="T909" s="57">
        <f>IF($A909="","",IFERROR(INDEX(Offerte!$G$2:$G$81,MATCH($Q909,Offerte!$L$2:$L$81,0)),"NO"))</f>
        <v/>
      </c>
    </row>
    <row r="910">
      <c r="A910" s="48">
        <f>IF(Offerte!$A31="","",Offerte!$A31)</f>
        <v/>
      </c>
      <c r="B910" s="48">
        <f>IF(Offerte!$A31="","",Offerte!$B31)</f>
        <v/>
      </c>
      <c r="C910" s="48">
        <f>IF(Offerte!$A31="","",Offerte!$C31)</f>
        <v/>
      </c>
      <c r="D910" s="48" t="inlineStr">
        <is>
          <t>B.5.1</t>
        </is>
      </c>
      <c r="E910" s="48" t="inlineStr">
        <is>
          <t>B</t>
        </is>
      </c>
      <c r="F910" s="48" t="inlineStr">
        <is>
          <t>D</t>
        </is>
      </c>
      <c r="G910" s="48" t="inlineStr">
        <is>
          <t>discretionary</t>
        </is>
      </c>
      <c r="H910" s="48" t="n">
        <v>2</v>
      </c>
      <c r="I910" s="48" t="inlineStr">
        <is>
          <t>Efficacia del progetto di servizi complementari DRT</t>
        </is>
      </c>
      <c r="J910" s="73" t="n"/>
      <c r="K910" s="73" t="n"/>
      <c r="L910" s="73" t="n"/>
      <c r="M910" s="73" t="n"/>
      <c r="N910" s="57">
        <f>IF($A910="","",MAX(0,MIN(1,IFERROR(VALUE($M910),0))))</f>
        <v/>
      </c>
      <c r="O910" s="57">
        <f>IF($A910="",0,IF(OR($S910&lt;&gt;1,COUNTA($J910:$M910)=0),0,IF(SUMPRODUCT(MAX(($C$5:$C$2484=$C910)*($D$5:$D$2484=$D910)*($S$5:$S$2484=1)*IFERROR($N$5:$N$2484*1,0)))&gt;0,ROUND($H910*($N910/SUMPRODUCT(MAX(($C$5:$C$2484=$C910)*($D$5:$D$2484=$D910)*($S$5:$S$2484=1)*IFERROR($N$5:$N$2484*1,0)))),4),0)))</f>
        <v/>
      </c>
      <c r="P910" s="48" t="inlineStr">
        <is>
          <t>coeff.</t>
        </is>
      </c>
      <c r="Q910" s="57">
        <f>IF($A910="","",$A910&amp;"|"&amp;$C910)</f>
        <v/>
      </c>
      <c r="R910" s="57">
        <f>IF($A910="","",$A910&amp;"|"&amp;$C910&amp;"|"&amp;$D910)</f>
        <v/>
      </c>
      <c r="S910" s="57">
        <f>IF($A910="","",IFERROR(INDEX(Offerte!$D$2:$D$81,MATCH($Q910,Offerte!$L$2:$L$81,0)),0))</f>
        <v/>
      </c>
      <c r="T910" s="57">
        <f>IF($A910="","",IFERROR(INDEX(Offerte!$G$2:$G$81,MATCH($Q910,Offerte!$L$2:$L$81,0)),"NO"))</f>
        <v/>
      </c>
    </row>
    <row r="911">
      <c r="A911" s="48">
        <f>IF(Offerte!$A31="","",Offerte!$A31)</f>
        <v/>
      </c>
      <c r="B911" s="48">
        <f>IF(Offerte!$A31="","",Offerte!$B31)</f>
        <v/>
      </c>
      <c r="C911" s="48">
        <f>IF(Offerte!$A31="","",Offerte!$C31)</f>
        <v/>
      </c>
      <c r="D911" s="48" t="inlineStr">
        <is>
          <t>C.1.1</t>
        </is>
      </c>
      <c r="E911" s="48" t="inlineStr">
        <is>
          <t>C</t>
        </is>
      </c>
      <c r="F911" s="48" t="inlineStr">
        <is>
          <t>Q</t>
        </is>
      </c>
      <c r="G911" s="48" t="inlineStr">
        <is>
          <t>higher</t>
        </is>
      </c>
      <c r="H911" s="48" t="n">
        <v>2</v>
      </c>
      <c r="I911" s="48" t="inlineStr">
        <is>
          <t>Tasso di copertura del servizio con telecamere BSD</t>
        </is>
      </c>
      <c r="J911" s="73" t="n"/>
      <c r="K911" s="73" t="n"/>
      <c r="L911" s="73" t="n"/>
      <c r="M911" s="73" t="n"/>
      <c r="N911" s="57">
        <f>IF($A911="","",IFERROR(VALUE($K911)/VALUE($L911),IFERROR(VALUE($J911),0)))</f>
        <v/>
      </c>
      <c r="O911" s="57">
        <f>IF($A911="",0,IF(OR($S911&lt;&gt;1,COUNTA($J911:$M911)=0),0,IF(SUMPRODUCT(MAX(($C$5:$C$2484=$C911)*($D$5:$D$2484=$D911)*($S$5:$S$2484=1)*IFERROR($N$5:$N$2484*1,0)))&gt;0,ROUND($H911*($N911/SUMPRODUCT(MAX(($C$5:$C$2484=$C911)*($D$5:$D$2484=$D911)*($S$5:$S$2484=1)*IFERROR($N$5:$N$2484*1,0)))),4),0)))</f>
        <v/>
      </c>
      <c r="P911" s="48" t="inlineStr">
        <is>
          <t>Autobus attrezzati con telecamere BSD / Autobus totali in offerta, incluse scorte</t>
        </is>
      </c>
      <c r="Q911" s="57">
        <f>IF($A911="","",$A911&amp;"|"&amp;$C911)</f>
        <v/>
      </c>
      <c r="R911" s="57">
        <f>IF($A911="","",$A911&amp;"|"&amp;$C911&amp;"|"&amp;$D911)</f>
        <v/>
      </c>
      <c r="S911" s="57">
        <f>IF($A911="","",IFERROR(INDEX(Offerte!$D$2:$D$81,MATCH($Q911,Offerte!$L$2:$L$81,0)),0))</f>
        <v/>
      </c>
      <c r="T911" s="57">
        <f>IF($A911="","",IFERROR(INDEX(Offerte!$G$2:$G$81,MATCH($Q911,Offerte!$L$2:$L$81,0)),"NO"))</f>
        <v/>
      </c>
    </row>
    <row r="912">
      <c r="A912" s="48">
        <f>IF(Offerte!$A31="","",Offerte!$A31)</f>
        <v/>
      </c>
      <c r="B912" s="48">
        <f>IF(Offerte!$A31="","",Offerte!$B31)</f>
        <v/>
      </c>
      <c r="C912" s="48">
        <f>IF(Offerte!$A31="","",Offerte!$C31)</f>
        <v/>
      </c>
      <c r="D912" s="48" t="inlineStr">
        <is>
          <t>C.1.2</t>
        </is>
      </c>
      <c r="E912" s="48" t="inlineStr">
        <is>
          <t>C</t>
        </is>
      </c>
      <c r="F912" s="48" t="inlineStr">
        <is>
          <t>Q</t>
        </is>
      </c>
      <c r="G912" s="48" t="inlineStr">
        <is>
          <t>higher</t>
        </is>
      </c>
      <c r="H912" s="48" t="n">
        <v>2</v>
      </c>
      <c r="I912" s="48" t="inlineStr">
        <is>
          <t>Tasso di copertura del servizio con telecamere ADAS</t>
        </is>
      </c>
      <c r="J912" s="73" t="n"/>
      <c r="K912" s="73" t="n"/>
      <c r="L912" s="73" t="n"/>
      <c r="M912" s="73" t="n"/>
      <c r="N912" s="57">
        <f>IF($A912="","",IFERROR(VALUE($K912)/VALUE($L912),IFERROR(VALUE($J912),0)))</f>
        <v/>
      </c>
      <c r="O912" s="57">
        <f>IF($A912="",0,IF(OR($S912&lt;&gt;1,COUNTA($J912:$M912)=0),0,IF(SUMPRODUCT(MAX(($C$5:$C$2484=$C912)*($D$5:$D$2484=$D912)*($S$5:$S$2484=1)*IFERROR($N$5:$N$2484*1,0)))&gt;0,ROUND($H912*($N912/SUMPRODUCT(MAX(($C$5:$C$2484=$C912)*($D$5:$D$2484=$D912)*($S$5:$S$2484=1)*IFERROR($N$5:$N$2484*1,0)))),4),0)))</f>
        <v/>
      </c>
      <c r="P912" s="48" t="inlineStr">
        <is>
          <t>Autobus attrezzati con telecamere ADAS / Autobus totali in offerta, incluse scorte</t>
        </is>
      </c>
      <c r="Q912" s="57">
        <f>IF($A912="","",$A912&amp;"|"&amp;$C912)</f>
        <v/>
      </c>
      <c r="R912" s="57">
        <f>IF($A912="","",$A912&amp;"|"&amp;$C912&amp;"|"&amp;$D912)</f>
        <v/>
      </c>
      <c r="S912" s="57">
        <f>IF($A912="","",IFERROR(INDEX(Offerte!$D$2:$D$81,MATCH($Q912,Offerte!$L$2:$L$81,0)),0))</f>
        <v/>
      </c>
      <c r="T912" s="57">
        <f>IF($A912="","",IFERROR(INDEX(Offerte!$G$2:$G$81,MATCH($Q912,Offerte!$L$2:$L$81,0)),"NO"))</f>
        <v/>
      </c>
    </row>
    <row r="913">
      <c r="A913" s="48">
        <f>IF(Offerte!$A31="","",Offerte!$A31)</f>
        <v/>
      </c>
      <c r="B913" s="48">
        <f>IF(Offerte!$A31="","",Offerte!$B31)</f>
        <v/>
      </c>
      <c r="C913" s="48">
        <f>IF(Offerte!$A31="","",Offerte!$C31)</f>
        <v/>
      </c>
      <c r="D913" s="48" t="inlineStr">
        <is>
          <t>C.2.1</t>
        </is>
      </c>
      <c r="E913" s="48" t="inlineStr">
        <is>
          <t>C</t>
        </is>
      </c>
      <c r="F913" s="48" t="inlineStr">
        <is>
          <t>Q</t>
        </is>
      </c>
      <c r="G913" s="48" t="inlineStr">
        <is>
          <t>higher</t>
        </is>
      </c>
      <c r="H913" s="48" t="n">
        <v>3</v>
      </c>
      <c r="I913" s="48" t="inlineStr">
        <is>
          <t>Tasso di copertura del servizio con telecamere di bordo di videosorveglianza</t>
        </is>
      </c>
      <c r="J913" s="73" t="n"/>
      <c r="K913" s="73" t="n"/>
      <c r="L913" s="73" t="n"/>
      <c r="M913" s="73" t="n"/>
      <c r="N913" s="57">
        <f>IF($A913="","",IFERROR(VALUE($K913)/VALUE($L913),IFERROR(VALUE($J913),0)))</f>
        <v/>
      </c>
      <c r="O913" s="57">
        <f>IF($A913="",0,IF(OR($S913&lt;&gt;1,COUNTA($J913:$M913)=0),0,IF(SUMPRODUCT(MAX(($C$5:$C$2484=$C913)*($D$5:$D$2484=$D913)*($S$5:$S$2484=1)*IFERROR($N$5:$N$2484*1,0)))&gt;0,ROUND($H913*($N913/SUMPRODUCT(MAX(($C$5:$C$2484=$C913)*($D$5:$D$2484=$D913)*($S$5:$S$2484=1)*IFERROR($N$5:$N$2484*1,0)))),4),0)))</f>
        <v/>
      </c>
      <c r="P913" s="48" t="inlineStr">
        <is>
          <t>Autobus attrezzati con videosorveglianza / Autobus totali in offerta, incluse scorte</t>
        </is>
      </c>
      <c r="Q913" s="57">
        <f>IF($A913="","",$A913&amp;"|"&amp;$C913)</f>
        <v/>
      </c>
      <c r="R913" s="57">
        <f>IF($A913="","",$A913&amp;"|"&amp;$C913&amp;"|"&amp;$D913)</f>
        <v/>
      </c>
      <c r="S913" s="57">
        <f>IF($A913="","",IFERROR(INDEX(Offerte!$D$2:$D$81,MATCH($Q913,Offerte!$L$2:$L$81,0)),0))</f>
        <v/>
      </c>
      <c r="T913" s="57">
        <f>IF($A913="","",IFERROR(INDEX(Offerte!$G$2:$G$81,MATCH($Q913,Offerte!$L$2:$L$81,0)),"NO"))</f>
        <v/>
      </c>
    </row>
    <row r="914">
      <c r="A914" s="48">
        <f>IF(Offerte!$A31="","",Offerte!$A31)</f>
        <v/>
      </c>
      <c r="B914" s="48">
        <f>IF(Offerte!$A31="","",Offerte!$B31)</f>
        <v/>
      </c>
      <c r="C914" s="48">
        <f>IF(Offerte!$A31="","",Offerte!$C31)</f>
        <v/>
      </c>
      <c r="D914" s="48" t="inlineStr">
        <is>
          <t>C.2.2</t>
        </is>
      </c>
      <c r="E914" s="48" t="inlineStr">
        <is>
          <t>C</t>
        </is>
      </c>
      <c r="F914" s="48" t="inlineStr">
        <is>
          <t>T</t>
        </is>
      </c>
      <c r="G914" s="48" t="inlineStr">
        <is>
          <t>tabular</t>
        </is>
      </c>
      <c r="H914" s="48" t="n">
        <v>1</v>
      </c>
      <c r="I914" s="48" t="inlineStr">
        <is>
          <t>Software video/audio analisi per situazioni di pericolo</t>
        </is>
      </c>
      <c r="J914" s="73" t="n"/>
      <c r="K914" s="73" t="n"/>
      <c r="L914" s="73" t="n"/>
      <c r="M914" s="73" t="n"/>
      <c r="N914" s="57">
        <f>IF($A914="","",IF(IFERROR(VALUE($M914),0)=1,1,0))</f>
        <v/>
      </c>
      <c r="O914" s="57">
        <f>IF($A914="",0,IF(OR($S914&lt;&gt;1,COUNTA($J914:$M914)=0),0,IF($N914=1,$H914,0)))</f>
        <v/>
      </c>
      <c r="P914" s="48" t="inlineStr">
        <is>
          <t>sì/no</t>
        </is>
      </c>
      <c r="Q914" s="57">
        <f>IF($A914="","",$A914&amp;"|"&amp;$C914)</f>
        <v/>
      </c>
      <c r="R914" s="57">
        <f>IF($A914="","",$A914&amp;"|"&amp;$C914&amp;"|"&amp;$D914)</f>
        <v/>
      </c>
      <c r="S914" s="57">
        <f>IF($A914="","",IFERROR(INDEX(Offerte!$D$2:$D$81,MATCH($Q914,Offerte!$L$2:$L$81,0)),0))</f>
        <v/>
      </c>
      <c r="T914" s="57">
        <f>IF($A914="","",IFERROR(INDEX(Offerte!$G$2:$G$81,MATCH($Q914,Offerte!$L$2:$L$81,0)),"NO"))</f>
        <v/>
      </c>
    </row>
    <row r="915">
      <c r="A915" s="48">
        <f>IF(Offerte!$A31="","",Offerte!$A31)</f>
        <v/>
      </c>
      <c r="B915" s="48">
        <f>IF(Offerte!$A31="","",Offerte!$B31)</f>
        <v/>
      </c>
      <c r="C915" s="48">
        <f>IF(Offerte!$A31="","",Offerte!$C31)</f>
        <v/>
      </c>
      <c r="D915" s="48" t="inlineStr">
        <is>
          <t>C.2.3</t>
        </is>
      </c>
      <c r="E915" s="48" t="inlineStr">
        <is>
          <t>C</t>
        </is>
      </c>
      <c r="F915" s="48" t="inlineStr">
        <is>
          <t>T</t>
        </is>
      </c>
      <c r="G915" s="48" t="inlineStr">
        <is>
          <t>tabular</t>
        </is>
      </c>
      <c r="H915" s="48" t="n">
        <v>1</v>
      </c>
      <c r="I915" s="48" t="inlineStr">
        <is>
          <t>Collegamento con centrale qualificata di pronto intervento</t>
        </is>
      </c>
      <c r="J915" s="73" t="n"/>
      <c r="K915" s="73" t="n"/>
      <c r="L915" s="73" t="n"/>
      <c r="M915" s="73" t="n"/>
      <c r="N915" s="57">
        <f>IF($A915="","",IF(IFERROR(VALUE($M915),0)=1,1,0))</f>
        <v/>
      </c>
      <c r="O915" s="57">
        <f>IF($A915="",0,IF(OR($S915&lt;&gt;1,COUNTA($J915:$M915)=0),0,IF($N915=1,$H915,0)))</f>
        <v/>
      </c>
      <c r="P915" s="48" t="inlineStr">
        <is>
          <t>sì/no</t>
        </is>
      </c>
      <c r="Q915" s="57">
        <f>IF($A915="","",$A915&amp;"|"&amp;$C915)</f>
        <v/>
      </c>
      <c r="R915" s="57">
        <f>IF($A915="","",$A915&amp;"|"&amp;$C915&amp;"|"&amp;$D915)</f>
        <v/>
      </c>
      <c r="S915" s="57">
        <f>IF($A915="","",IFERROR(INDEX(Offerte!$D$2:$D$81,MATCH($Q915,Offerte!$L$2:$L$81,0)),0))</f>
        <v/>
      </c>
      <c r="T915" s="57">
        <f>IF($A915="","",IFERROR(INDEX(Offerte!$G$2:$G$81,MATCH($Q915,Offerte!$L$2:$L$81,0)),"NO"))</f>
        <v/>
      </c>
    </row>
    <row r="916">
      <c r="A916" s="48">
        <f>IF(Offerte!$A31="","",Offerte!$A31)</f>
        <v/>
      </c>
      <c r="B916" s="48">
        <f>IF(Offerte!$A31="","",Offerte!$B31)</f>
        <v/>
      </c>
      <c r="C916" s="48">
        <f>IF(Offerte!$A31="","",Offerte!$C31)</f>
        <v/>
      </c>
      <c r="D916" s="48" t="inlineStr">
        <is>
          <t>C.2.4</t>
        </is>
      </c>
      <c r="E916" s="48" t="inlineStr">
        <is>
          <t>C</t>
        </is>
      </c>
      <c r="F916" s="48" t="inlineStr">
        <is>
          <t>Q</t>
        </is>
      </c>
      <c r="G916" s="48" t="inlineStr">
        <is>
          <t>higher</t>
        </is>
      </c>
      <c r="H916" s="48" t="n">
        <v>1</v>
      </c>
      <c r="I916" s="48" t="inlineStr">
        <is>
          <t>Tasso di copertura del servizio con dispositivi per la chiamata di emergenza del conducente</t>
        </is>
      </c>
      <c r="J916" s="73" t="n"/>
      <c r="K916" s="73" t="n"/>
      <c r="L916" s="73" t="n"/>
      <c r="M916" s="73" t="n"/>
      <c r="N916" s="57">
        <f>IF($A916="","",IFERROR(VALUE($K916)/VALUE($L916),IFERROR(VALUE($J916),0)))</f>
        <v/>
      </c>
      <c r="O916" s="57">
        <f>IF($A916="",0,IF(OR($S916&lt;&gt;1,COUNTA($J916:$M916)=0),0,IF(SUMPRODUCT(MAX(($C$5:$C$2484=$C916)*($D$5:$D$2484=$D916)*($S$5:$S$2484=1)*IFERROR($N$5:$N$2484*1,0)))&gt;0,ROUND($H916*($N916/SUMPRODUCT(MAX(($C$5:$C$2484=$C916)*($D$5:$D$2484=$D916)*($S$5:$S$2484=1)*IFERROR($N$5:$N$2484*1,0)))),4),0)))</f>
        <v/>
      </c>
      <c r="P916" s="48" t="inlineStr">
        <is>
          <t>Autobus attrezzati con chiamata di emergenza / Autobus totali in offerta, incluse scorte</t>
        </is>
      </c>
      <c r="Q916" s="57">
        <f>IF($A916="","",$A916&amp;"|"&amp;$C916)</f>
        <v/>
      </c>
      <c r="R916" s="57">
        <f>IF($A916="","",$A916&amp;"|"&amp;$C916&amp;"|"&amp;$D916)</f>
        <v/>
      </c>
      <c r="S916" s="57">
        <f>IF($A916="","",IFERROR(INDEX(Offerte!$D$2:$D$81,MATCH($Q916,Offerte!$L$2:$L$81,0)),0))</f>
        <v/>
      </c>
      <c r="T916" s="57">
        <f>IF($A916="","",IFERROR(INDEX(Offerte!$G$2:$G$81,MATCH($Q916,Offerte!$L$2:$L$81,0)),"NO"))</f>
        <v/>
      </c>
    </row>
    <row r="917">
      <c r="A917" s="48">
        <f>IF(Offerte!$A31="","",Offerte!$A31)</f>
        <v/>
      </c>
      <c r="B917" s="48">
        <f>IF(Offerte!$A31="","",Offerte!$B31)</f>
        <v/>
      </c>
      <c r="C917" s="48">
        <f>IF(Offerte!$A31="","",Offerte!$C31)</f>
        <v/>
      </c>
      <c r="D917" s="48" t="inlineStr">
        <is>
          <t>C.3.1</t>
        </is>
      </c>
      <c r="E917" s="48" t="inlineStr">
        <is>
          <t>C</t>
        </is>
      </c>
      <c r="F917" s="48" t="inlineStr">
        <is>
          <t>Q</t>
        </is>
      </c>
      <c r="G917" s="48" t="inlineStr">
        <is>
          <t>higher</t>
        </is>
      </c>
      <c r="H917" s="48" t="n">
        <v>2</v>
      </c>
      <c r="I917" s="48" t="inlineStr">
        <is>
          <t>Tasso di copertura del servizio con dispositivi di informazione dinamica a bordo mezzo</t>
        </is>
      </c>
      <c r="J917" s="73" t="n"/>
      <c r="K917" s="73" t="n"/>
      <c r="L917" s="73" t="n"/>
      <c r="M917" s="73" t="n"/>
      <c r="N917" s="57">
        <f>IF($A917="","",IFERROR(VALUE($K917)/VALUE($L917),IFERROR(VALUE($J917),0)))</f>
        <v/>
      </c>
      <c r="O917" s="57">
        <f>IF($A917="",0,IF(OR($S917&lt;&gt;1,COUNTA($J917:$M917)=0),0,IF(SUMPRODUCT(MAX(($C$5:$C$2484=$C917)*($D$5:$D$2484=$D917)*($S$5:$S$2484=1)*IFERROR($N$5:$N$2484*1,0)))&gt;0,ROUND($H917*($N917/SUMPRODUCT(MAX(($C$5:$C$2484=$C917)*($D$5:$D$2484=$D917)*($S$5:$S$2484=1)*IFERROR($N$5:$N$2484*1,0)))),4),0)))</f>
        <v/>
      </c>
      <c r="P917" s="48" t="inlineStr">
        <is>
          <t>Autobus con monitor e indicatori vocali / Autobus totali in offerta, incluse scorte</t>
        </is>
      </c>
      <c r="Q917" s="57">
        <f>IF($A917="","",$A917&amp;"|"&amp;$C917)</f>
        <v/>
      </c>
      <c r="R917" s="57">
        <f>IF($A917="","",$A917&amp;"|"&amp;$C917&amp;"|"&amp;$D917)</f>
        <v/>
      </c>
      <c r="S917" s="57">
        <f>IF($A917="","",IFERROR(INDEX(Offerte!$D$2:$D$81,MATCH($Q917,Offerte!$L$2:$L$81,0)),0))</f>
        <v/>
      </c>
      <c r="T917" s="57">
        <f>IF($A917="","",IFERROR(INDEX(Offerte!$G$2:$G$81,MATCH($Q917,Offerte!$L$2:$L$81,0)),"NO"))</f>
        <v/>
      </c>
    </row>
    <row r="918">
      <c r="A918" s="48">
        <f>IF(Offerte!$A31="","",Offerte!$A31)</f>
        <v/>
      </c>
      <c r="B918" s="48">
        <f>IF(Offerte!$A31="","",Offerte!$B31)</f>
        <v/>
      </c>
      <c r="C918" s="48">
        <f>IF(Offerte!$A31="","",Offerte!$C31)</f>
        <v/>
      </c>
      <c r="D918" s="48" t="inlineStr">
        <is>
          <t>C.3.2</t>
        </is>
      </c>
      <c r="E918" s="48" t="inlineStr">
        <is>
          <t>C</t>
        </is>
      </c>
      <c r="F918" s="48" t="inlineStr">
        <is>
          <t>T</t>
        </is>
      </c>
      <c r="G918" s="48" t="inlineStr">
        <is>
          <t>tabular</t>
        </is>
      </c>
      <c r="H918" s="48" t="n">
        <v>2</v>
      </c>
      <c r="I918" s="48" t="inlineStr">
        <is>
          <t>Informazioni a bordo su coincidenze ai nodi</t>
        </is>
      </c>
      <c r="J918" s="73" t="n"/>
      <c r="K918" s="73" t="n"/>
      <c r="L918" s="73" t="n"/>
      <c r="M918" s="73" t="n"/>
      <c r="N918" s="57">
        <f>IF($A918="","",IF(IFERROR(VALUE($M918),0)=1,1,0))</f>
        <v/>
      </c>
      <c r="O918" s="57">
        <f>IF($A918="",0,IF(OR($S918&lt;&gt;1,COUNTA($J918:$M918)=0),0,IF(AND($N918=1,IFERROR(SUMIFS($N$5:$N$2484,$Q$5:$Q$2484,$Q918,$D$5:$D$2484,"C.3.1"),0)&gt;=0.5),$H918,0)))</f>
        <v/>
      </c>
      <c r="P918" s="48" t="inlineStr">
        <is>
          <t>Dipende da C.3.1 &gt;= 0.5</t>
        </is>
      </c>
      <c r="Q918" s="57">
        <f>IF($A918="","",$A918&amp;"|"&amp;$C918)</f>
        <v/>
      </c>
      <c r="R918" s="57">
        <f>IF($A918="","",$A918&amp;"|"&amp;$C918&amp;"|"&amp;$D918)</f>
        <v/>
      </c>
      <c r="S918" s="57">
        <f>IF($A918="","",IFERROR(INDEX(Offerte!$D$2:$D$81,MATCH($Q918,Offerte!$L$2:$L$81,0)),0))</f>
        <v/>
      </c>
      <c r="T918" s="57">
        <f>IF($A918="","",IFERROR(INDEX(Offerte!$G$2:$G$81,MATCH($Q918,Offerte!$L$2:$L$81,0)),"NO"))</f>
        <v/>
      </c>
    </row>
    <row r="919">
      <c r="A919" s="48">
        <f>IF(Offerte!$A31="","",Offerte!$A31)</f>
        <v/>
      </c>
      <c r="B919" s="48">
        <f>IF(Offerte!$A31="","",Offerte!$B31)</f>
        <v/>
      </c>
      <c r="C919" s="48">
        <f>IF(Offerte!$A31="","",Offerte!$C31)</f>
        <v/>
      </c>
      <c r="D919" s="48" t="inlineStr">
        <is>
          <t>D.1.1</t>
        </is>
      </c>
      <c r="E919" s="48" t="inlineStr">
        <is>
          <t>D</t>
        </is>
      </c>
      <c r="F919" s="48" t="inlineStr">
        <is>
          <t>Q</t>
        </is>
      </c>
      <c r="G919" s="48" t="inlineStr">
        <is>
          <t>higher</t>
        </is>
      </c>
      <c r="H919" s="48" t="n">
        <v>3</v>
      </c>
      <c r="I919" s="48" t="inlineStr">
        <is>
          <t>Installazione di pensiline</t>
        </is>
      </c>
      <c r="J919" s="73" t="n"/>
      <c r="K919" s="73" t="n"/>
      <c r="L919" s="73" t="n"/>
      <c r="M919" s="73" t="n"/>
      <c r="N919" s="57">
        <f>IF($A919="","",IFERROR(VALUE($J919),0))</f>
        <v/>
      </c>
      <c r="O919" s="57">
        <f>IF($A919="",0,IF(OR($S919&lt;&gt;1,COUNTA($J919:$M919)=0),0,IF(SUMPRODUCT(MAX(($C$5:$C$2484=$C919)*($D$5:$D$2484=$D919)*($S$5:$S$2484=1)*IFERROR($N$5:$N$2484*1,0)))&gt;0,ROUND($H919*($N919/SUMPRODUCT(MAX(($C$5:$C$2484=$C919)*($D$5:$D$2484=$D919)*($S$5:$S$2484=1)*IFERROR($N$5:$N$2484*1,0)))),4),0)))</f>
        <v/>
      </c>
      <c r="P919" s="48" t="inlineStr">
        <is>
          <t>fermate</t>
        </is>
      </c>
      <c r="Q919" s="57">
        <f>IF($A919="","",$A919&amp;"|"&amp;$C919)</f>
        <v/>
      </c>
      <c r="R919" s="57">
        <f>IF($A919="","",$A919&amp;"|"&amp;$C919&amp;"|"&amp;$D919)</f>
        <v/>
      </c>
      <c r="S919" s="57">
        <f>IF($A919="","",IFERROR(INDEX(Offerte!$D$2:$D$81,MATCH($Q919,Offerte!$L$2:$L$81,0)),0))</f>
        <v/>
      </c>
      <c r="T919" s="57">
        <f>IF($A919="","",IFERROR(INDEX(Offerte!$G$2:$G$81,MATCH($Q919,Offerte!$L$2:$L$81,0)),"NO"))</f>
        <v/>
      </c>
    </row>
    <row r="920">
      <c r="A920" s="48">
        <f>IF(Offerte!$A31="","",Offerte!$A31)</f>
        <v/>
      </c>
      <c r="B920" s="48">
        <f>IF(Offerte!$A31="","",Offerte!$B31)</f>
        <v/>
      </c>
      <c r="C920" s="48">
        <f>IF(Offerte!$A31="","",Offerte!$C31)</f>
        <v/>
      </c>
      <c r="D920" s="48" t="inlineStr">
        <is>
          <t>D.1.2</t>
        </is>
      </c>
      <c r="E920" s="48" t="inlineStr">
        <is>
          <t>D</t>
        </is>
      </c>
      <c r="F920" s="48" t="inlineStr">
        <is>
          <t>Q</t>
        </is>
      </c>
      <c r="G920" s="48" t="inlineStr">
        <is>
          <t>higher</t>
        </is>
      </c>
      <c r="H920" s="48" t="n">
        <v>3</v>
      </c>
      <c r="I920" s="48" t="inlineStr">
        <is>
          <t>Installazione di paline di fermata conformi alla DGR 581/2023</t>
        </is>
      </c>
      <c r="J920" s="73" t="n"/>
      <c r="K920" s="73" t="n"/>
      <c r="L920" s="73" t="n"/>
      <c r="M920" s="73" t="n"/>
      <c r="N920" s="57">
        <f>IF($A920="","",IFERROR(VALUE($J920),0))</f>
        <v/>
      </c>
      <c r="O920" s="57">
        <f>IF($A920="",0,IF(OR($S920&lt;&gt;1,COUNTA($J920:$M920)=0),0,IF(SUMPRODUCT(MAX(($C$5:$C$2484=$C920)*($D$5:$D$2484=$D920)*($S$5:$S$2484=1)*IFERROR($N$5:$N$2484*1,0)))&gt;0,ROUND($H920*($N920/SUMPRODUCT(MAX(($C$5:$C$2484=$C920)*($D$5:$D$2484=$D920)*($S$5:$S$2484=1)*IFERROR($N$5:$N$2484*1,0)))),4),0)))</f>
        <v/>
      </c>
      <c r="P920" s="48" t="inlineStr">
        <is>
          <t>fermate</t>
        </is>
      </c>
      <c r="Q920" s="57">
        <f>IF($A920="","",$A920&amp;"|"&amp;$C920)</f>
        <v/>
      </c>
      <c r="R920" s="57">
        <f>IF($A920="","",$A920&amp;"|"&amp;$C920&amp;"|"&amp;$D920)</f>
        <v/>
      </c>
      <c r="S920" s="57">
        <f>IF($A920="","",IFERROR(INDEX(Offerte!$D$2:$D$81,MATCH($Q920,Offerte!$L$2:$L$81,0)),0))</f>
        <v/>
      </c>
      <c r="T920" s="57">
        <f>IF($A920="","",IFERROR(INDEX(Offerte!$G$2:$G$81,MATCH($Q920,Offerte!$L$2:$L$81,0)),"NO"))</f>
        <v/>
      </c>
    </row>
    <row r="921">
      <c r="A921" s="48">
        <f>IF(Offerte!$A31="","",Offerte!$A31)</f>
        <v/>
      </c>
      <c r="B921" s="48">
        <f>IF(Offerte!$A31="","",Offerte!$B31)</f>
        <v/>
      </c>
      <c r="C921" s="48">
        <f>IF(Offerte!$A31="","",Offerte!$C31)</f>
        <v/>
      </c>
      <c r="D921" s="48" t="inlineStr">
        <is>
          <t>D.1.3</t>
        </is>
      </c>
      <c r="E921" s="48" t="inlineStr">
        <is>
          <t>D</t>
        </is>
      </c>
      <c r="F921" s="48" t="inlineStr">
        <is>
          <t>Q</t>
        </is>
      </c>
      <c r="G921" s="48" t="inlineStr">
        <is>
          <t>higher</t>
        </is>
      </c>
      <c r="H921" s="48" t="n">
        <v>2</v>
      </c>
      <c r="I921" s="48" t="inlineStr">
        <is>
          <t>Display informativi connessi alle fermate</t>
        </is>
      </c>
      <c r="J921" s="73" t="n"/>
      <c r="K921" s="73" t="n"/>
      <c r="L921" s="73" t="n"/>
      <c r="M921" s="73" t="n"/>
      <c r="N921" s="57">
        <f>IF($A921="","",IFERROR(VALUE($J921),0))</f>
        <v/>
      </c>
      <c r="O921" s="57">
        <f>IF($A921="",0,IF(OR($S921&lt;&gt;1,COUNTA($J921:$M921)=0),0,IF(SUMPRODUCT(MAX(($C$5:$C$2484=$C921)*($D$5:$D$2484=$D921)*($S$5:$S$2484=1)*IFERROR($N$5:$N$2484*1,0)))&gt;0,ROUND($H921*($N921/SUMPRODUCT(MAX(($C$5:$C$2484=$C921)*($D$5:$D$2484=$D921)*($S$5:$S$2484=1)*IFERROR($N$5:$N$2484*1,0)))),4),0)))</f>
        <v/>
      </c>
      <c r="P921" s="48" t="inlineStr">
        <is>
          <t>fermate</t>
        </is>
      </c>
      <c r="Q921" s="57">
        <f>IF($A921="","",$A921&amp;"|"&amp;$C921)</f>
        <v/>
      </c>
      <c r="R921" s="57">
        <f>IF($A921="","",$A921&amp;"|"&amp;$C921&amp;"|"&amp;$D921)</f>
        <v/>
      </c>
      <c r="S921" s="57">
        <f>IF($A921="","",IFERROR(INDEX(Offerte!$D$2:$D$81,MATCH($Q921,Offerte!$L$2:$L$81,0)),0))</f>
        <v/>
      </c>
      <c r="T921" s="57">
        <f>IF($A921="","",IFERROR(INDEX(Offerte!$G$2:$G$81,MATCH($Q921,Offerte!$L$2:$L$81,0)),"NO"))</f>
        <v/>
      </c>
    </row>
    <row r="922">
      <c r="A922" s="48">
        <f>IF(Offerte!$A31="","",Offerte!$A31)</f>
        <v/>
      </c>
      <c r="B922" s="48">
        <f>IF(Offerte!$A31="","",Offerte!$B31)</f>
        <v/>
      </c>
      <c r="C922" s="48">
        <f>IF(Offerte!$A31="","",Offerte!$C31)</f>
        <v/>
      </c>
      <c r="D922" s="48" t="inlineStr">
        <is>
          <t>D.2.1</t>
        </is>
      </c>
      <c r="E922" s="48" t="inlineStr">
        <is>
          <t>D</t>
        </is>
      </c>
      <c r="F922" s="48" t="inlineStr">
        <is>
          <t>Q</t>
        </is>
      </c>
      <c r="G922" s="48" t="inlineStr">
        <is>
          <t>higher</t>
        </is>
      </c>
      <c r="H922" s="48" t="n">
        <v>2</v>
      </c>
      <c r="I922" s="48" t="inlineStr">
        <is>
          <t>Segnali tattili Loges-Vet-Evolution</t>
        </is>
      </c>
      <c r="J922" s="73" t="n"/>
      <c r="K922" s="73" t="n"/>
      <c r="L922" s="73" t="n"/>
      <c r="M922" s="73" t="n"/>
      <c r="N922" s="57">
        <f>IF($A922="","",IFERROR(VALUE($J922),0))</f>
        <v/>
      </c>
      <c r="O922" s="57">
        <f>IF($A922="",0,IF(OR($S922&lt;&gt;1,COUNTA($J922:$M922)=0),0,IF(SUMPRODUCT(MAX(($C$5:$C$2484=$C922)*($D$5:$D$2484=$D922)*($S$5:$S$2484=1)*IFERROR($N$5:$N$2484*1,0)))&gt;0,ROUND($H922*($N922/SUMPRODUCT(MAX(($C$5:$C$2484=$C922)*($D$5:$D$2484=$D922)*($S$5:$S$2484=1)*IFERROR($N$5:$N$2484*1,0)))),4),0)))</f>
        <v/>
      </c>
      <c r="P922" s="48" t="inlineStr">
        <is>
          <t>fermate</t>
        </is>
      </c>
      <c r="Q922" s="57">
        <f>IF($A922="","",$A922&amp;"|"&amp;$C922)</f>
        <v/>
      </c>
      <c r="R922" s="57">
        <f>IF($A922="","",$A922&amp;"|"&amp;$C922&amp;"|"&amp;$D922)</f>
        <v/>
      </c>
      <c r="S922" s="57">
        <f>IF($A922="","",IFERROR(INDEX(Offerte!$D$2:$D$81,MATCH($Q922,Offerte!$L$2:$L$81,0)),0))</f>
        <v/>
      </c>
      <c r="T922" s="57">
        <f>IF($A922="","",IFERROR(INDEX(Offerte!$G$2:$G$81,MATCH($Q922,Offerte!$L$2:$L$81,0)),"NO"))</f>
        <v/>
      </c>
    </row>
    <row r="923">
      <c r="A923" s="48">
        <f>IF(Offerte!$A31="","",Offerte!$A31)</f>
        <v/>
      </c>
      <c r="B923" s="48">
        <f>IF(Offerte!$A31="","",Offerte!$B31)</f>
        <v/>
      </c>
      <c r="C923" s="48">
        <f>IF(Offerte!$A31="","",Offerte!$C31)</f>
        <v/>
      </c>
      <c r="D923" s="48" t="inlineStr">
        <is>
          <t>E.1.1</t>
        </is>
      </c>
      <c r="E923" s="48" t="inlineStr">
        <is>
          <t>E</t>
        </is>
      </c>
      <c r="F923" s="48" t="inlineStr">
        <is>
          <t>T</t>
        </is>
      </c>
      <c r="G923" s="48" t="inlineStr">
        <is>
          <t>tabular</t>
        </is>
      </c>
      <c r="H923" s="48" t="n">
        <v>2</v>
      </c>
      <c r="I923" s="48" t="inlineStr">
        <is>
          <t>Mobile app con travel planner PRM</t>
        </is>
      </c>
      <c r="J923" s="73" t="n"/>
      <c r="K923" s="73" t="n"/>
      <c r="L923" s="73" t="n"/>
      <c r="M923" s="73" t="n"/>
      <c r="N923" s="57">
        <f>IF($A923="","",IF(IFERROR(VALUE($M923),0)=1,1,0))</f>
        <v/>
      </c>
      <c r="O923" s="57">
        <f>IF($A923="",0,IF(OR($S923&lt;&gt;1,COUNTA($J923:$M923)=0),0,IF($N923=1,$H923,0)))</f>
        <v/>
      </c>
      <c r="P923" s="48" t="inlineStr">
        <is>
          <t>sì/no</t>
        </is>
      </c>
      <c r="Q923" s="57">
        <f>IF($A923="","",$A923&amp;"|"&amp;$C923)</f>
        <v/>
      </c>
      <c r="R923" s="57">
        <f>IF($A923="","",$A923&amp;"|"&amp;$C923&amp;"|"&amp;$D923)</f>
        <v/>
      </c>
      <c r="S923" s="57">
        <f>IF($A923="","",IFERROR(INDEX(Offerte!$D$2:$D$81,MATCH($Q923,Offerte!$L$2:$L$81,0)),0))</f>
        <v/>
      </c>
      <c r="T923" s="57">
        <f>IF($A923="","",IFERROR(INDEX(Offerte!$G$2:$G$81,MATCH($Q923,Offerte!$L$2:$L$81,0)),"NO"))</f>
        <v/>
      </c>
    </row>
    <row r="924">
      <c r="A924" s="48">
        <f>IF(Offerte!$A31="","",Offerte!$A31)</f>
        <v/>
      </c>
      <c r="B924" s="48">
        <f>IF(Offerte!$A31="","",Offerte!$B31)</f>
        <v/>
      </c>
      <c r="C924" s="48">
        <f>IF(Offerte!$A31="","",Offerte!$C31)</f>
        <v/>
      </c>
      <c r="D924" s="48" t="inlineStr">
        <is>
          <t>E.2.1</t>
        </is>
      </c>
      <c r="E924" s="48" t="inlineStr">
        <is>
          <t>E</t>
        </is>
      </c>
      <c r="F924" s="48" t="inlineStr">
        <is>
          <t>D</t>
        </is>
      </c>
      <c r="G924" s="48" t="inlineStr">
        <is>
          <t>discretionary</t>
        </is>
      </c>
      <c r="H924" s="48" t="n">
        <v>2</v>
      </c>
      <c r="I924" s="48" t="inlineStr">
        <is>
          <t>Altre azioni informative e rapporti con gli utenti</t>
        </is>
      </c>
      <c r="J924" s="73" t="n"/>
      <c r="K924" s="73" t="n"/>
      <c r="L924" s="73" t="n"/>
      <c r="M924" s="73" t="n"/>
      <c r="N924" s="57">
        <f>IF($A924="","",MAX(0,MIN(1,IFERROR(VALUE($M924),0))))</f>
        <v/>
      </c>
      <c r="O924" s="57">
        <f>IF($A924="",0,IF(OR($S924&lt;&gt;1,COUNTA($J924:$M924)=0),0,IF(SUMPRODUCT(MAX(($C$5:$C$2484=$C924)*($D$5:$D$2484=$D924)*($S$5:$S$2484=1)*IFERROR($N$5:$N$2484*1,0)))&gt;0,ROUND($H924*($N924/SUMPRODUCT(MAX(($C$5:$C$2484=$C924)*($D$5:$D$2484=$D924)*($S$5:$S$2484=1)*IFERROR($N$5:$N$2484*1,0)))),4),0)))</f>
        <v/>
      </c>
      <c r="P924" s="48" t="inlineStr">
        <is>
          <t>coeff.</t>
        </is>
      </c>
      <c r="Q924" s="57">
        <f>IF($A924="","",$A924&amp;"|"&amp;$C924)</f>
        <v/>
      </c>
      <c r="R924" s="57">
        <f>IF($A924="","",$A924&amp;"|"&amp;$C924&amp;"|"&amp;$D924)</f>
        <v/>
      </c>
      <c r="S924" s="57">
        <f>IF($A924="","",IFERROR(INDEX(Offerte!$D$2:$D$81,MATCH($Q924,Offerte!$L$2:$L$81,0)),0))</f>
        <v/>
      </c>
      <c r="T924" s="57">
        <f>IF($A924="","",IFERROR(INDEX(Offerte!$G$2:$G$81,MATCH($Q924,Offerte!$L$2:$L$81,0)),"NO"))</f>
        <v/>
      </c>
    </row>
    <row r="925">
      <c r="A925" s="48">
        <f>IF(Offerte!$A31="","",Offerte!$A31)</f>
        <v/>
      </c>
      <c r="B925" s="48">
        <f>IF(Offerte!$A31="","",Offerte!$B31)</f>
        <v/>
      </c>
      <c r="C925" s="48">
        <f>IF(Offerte!$A31="","",Offerte!$C31)</f>
        <v/>
      </c>
      <c r="D925" s="48" t="inlineStr">
        <is>
          <t>F.1.1</t>
        </is>
      </c>
      <c r="E925" s="48" t="inlineStr">
        <is>
          <t>F</t>
        </is>
      </c>
      <c r="F925" s="48" t="inlineStr">
        <is>
          <t>Q</t>
        </is>
      </c>
      <c r="G925" s="48" t="inlineStr">
        <is>
          <t>lower</t>
        </is>
      </c>
      <c r="H925" s="48" t="n">
        <v>7</v>
      </c>
      <c r="I925" s="48" t="inlineStr">
        <is>
          <t>Performance ambientali del parco mezzi adibito al servizio - I_CEA</t>
        </is>
      </c>
      <c r="J925" s="73" t="n"/>
      <c r="K925" s="73" t="n"/>
      <c r="L925" s="73" t="n"/>
      <c r="M925" s="73" t="n"/>
      <c r="N925" s="57">
        <f>IF($A925="","",IFERROR(VALUE($J925),0))</f>
        <v/>
      </c>
      <c r="O925" s="57">
        <f>IF($A925="",0,IF(OR($S925&lt;&gt;1,COUNTA($J925:$M925)=0),0,IF(AND(IFERROR(AGGREGATE(15,6,$N$5:$N$2484/(($C$5:$C$2484=$C925)*($D$5:$D$2484=$D925)*($S$5:$S$2484=1)*($N$5:$N$2484&gt;0)),1),0)&gt;0,$N925&gt;0),ROUND($H925*(IFERROR(AGGREGATE(15,6,$N$5:$N$2484/(($C$5:$C$2484=$C925)*($D$5:$D$2484=$D925)*($S$5:$S$2484=1)*($N$5:$N$2484&gt;0)),1),0)/$N925),4),0)))</f>
        <v/>
      </c>
      <c r="P925" s="48" t="inlineStr">
        <is>
          <t>indice</t>
        </is>
      </c>
      <c r="Q925" s="57">
        <f>IF($A925="","",$A925&amp;"|"&amp;$C925)</f>
        <v/>
      </c>
      <c r="R925" s="57">
        <f>IF($A925="","",$A925&amp;"|"&amp;$C925&amp;"|"&amp;$D925)</f>
        <v/>
      </c>
      <c r="S925" s="57">
        <f>IF($A925="","",IFERROR(INDEX(Offerte!$D$2:$D$81,MATCH($Q925,Offerte!$L$2:$L$81,0)),0))</f>
        <v/>
      </c>
      <c r="T925" s="57">
        <f>IF($A925="","",IFERROR(INDEX(Offerte!$G$2:$G$81,MATCH($Q925,Offerte!$L$2:$L$81,0)),"NO"))</f>
        <v/>
      </c>
    </row>
    <row r="926">
      <c r="A926" s="48">
        <f>IF(Offerte!$A31="","",Offerte!$A31)</f>
        <v/>
      </c>
      <c r="B926" s="48">
        <f>IF(Offerte!$A31="","",Offerte!$B31)</f>
        <v/>
      </c>
      <c r="C926" s="48">
        <f>IF(Offerte!$A31="","",Offerte!$C31)</f>
        <v/>
      </c>
      <c r="D926" s="48" t="inlineStr">
        <is>
          <t>F.2.1</t>
        </is>
      </c>
      <c r="E926" s="48" t="inlineStr">
        <is>
          <t>F</t>
        </is>
      </c>
      <c r="F926" s="48" t="inlineStr">
        <is>
          <t>Q</t>
        </is>
      </c>
      <c r="G926" s="48" t="inlineStr">
        <is>
          <t>higher</t>
        </is>
      </c>
      <c r="H926" s="48" t="n">
        <v>2</v>
      </c>
      <c r="I926" s="48" t="inlineStr">
        <is>
          <t>Tasso di copertura del servizio con dispositivi ECO-DRIVER</t>
        </is>
      </c>
      <c r="J926" s="73" t="n"/>
      <c r="K926" s="73" t="n"/>
      <c r="L926" s="73" t="n"/>
      <c r="M926" s="73" t="n"/>
      <c r="N926" s="57">
        <f>IF($A926="","",IFERROR(VALUE($K926)/VALUE($L926),IFERROR(VALUE($J926),0)))</f>
        <v/>
      </c>
      <c r="O926" s="57">
        <f>IF($A926="",0,IF(OR($S926&lt;&gt;1,COUNTA($J926:$M926)=0),0,IF(SUMPRODUCT(MAX(($C$5:$C$2484=$C926)*($D$5:$D$2484=$D926)*($S$5:$S$2484=1)*IFERROR($N$5:$N$2484*1,0)))&gt;0,ROUND($H926*($N926/SUMPRODUCT(MAX(($C$5:$C$2484=$C926)*($D$5:$D$2484=$D926)*($S$5:$S$2484=1)*IFERROR($N$5:$N$2484*1,0)))),4),0)))</f>
        <v/>
      </c>
      <c r="P926" s="48" t="inlineStr">
        <is>
          <t>Autobus attrezzati con dispositivi ECO-DRIVER / Autobus totali in offerta, incluse scorte</t>
        </is>
      </c>
      <c r="Q926" s="57">
        <f>IF($A926="","",$A926&amp;"|"&amp;$C926)</f>
        <v/>
      </c>
      <c r="R926" s="57">
        <f>IF($A926="","",$A926&amp;"|"&amp;$C926&amp;"|"&amp;$D926)</f>
        <v/>
      </c>
      <c r="S926" s="57">
        <f>IF($A926="","",IFERROR(INDEX(Offerte!$D$2:$D$81,MATCH($Q926,Offerte!$L$2:$L$81,0)),0))</f>
        <v/>
      </c>
      <c r="T926" s="57">
        <f>IF($A926="","",IFERROR(INDEX(Offerte!$G$2:$G$81,MATCH($Q926,Offerte!$L$2:$L$81,0)),"NO"))</f>
        <v/>
      </c>
    </row>
    <row r="927">
      <c r="A927" s="48">
        <f>IF(Offerte!$A31="","",Offerte!$A31)</f>
        <v/>
      </c>
      <c r="B927" s="48">
        <f>IF(Offerte!$A31="","",Offerte!$B31)</f>
        <v/>
      </c>
      <c r="C927" s="48">
        <f>IF(Offerte!$A31="","",Offerte!$C31)</f>
        <v/>
      </c>
      <c r="D927" s="48" t="inlineStr">
        <is>
          <t>F.3.1</t>
        </is>
      </c>
      <c r="E927" s="48" t="inlineStr">
        <is>
          <t>F</t>
        </is>
      </c>
      <c r="F927" s="48" t="inlineStr">
        <is>
          <t>Q</t>
        </is>
      </c>
      <c r="G927" s="48" t="inlineStr">
        <is>
          <t>higher</t>
        </is>
      </c>
      <c r="H927" s="48" t="n">
        <v>2</v>
      </c>
      <c r="I927" s="48" t="inlineStr">
        <is>
          <t>Autoproduzione consumi elettrici per trazione</t>
        </is>
      </c>
      <c r="J927" s="73" t="n"/>
      <c r="K927" s="73" t="n"/>
      <c r="L927" s="73" t="n"/>
      <c r="M927" s="73" t="n"/>
      <c r="N927" s="57">
        <f>IF($A927="","",IFERROR(VALUE($J927),0))</f>
        <v/>
      </c>
      <c r="O927" s="57">
        <f>IF($A927="",0,IF(OR($S927&lt;&gt;1,COUNTA($J927:$M927)=0),0,IF(SUMPRODUCT(MAX(($C$5:$C$2484=$C927)*($D$5:$D$2484=$D927)*($S$5:$S$2484=1)*IFERROR($N$5:$N$2484*1,0)))&gt;0,ROUND($H927*($N927/SUMPRODUCT(MAX(($C$5:$C$2484=$C927)*($D$5:$D$2484=$D927)*($S$5:$S$2484=1)*IFERROR($N$5:$N$2484*1,0)))),4),0)))</f>
        <v/>
      </c>
      <c r="P927" s="48" t="inlineStr">
        <is>
          <t>kWh/anno</t>
        </is>
      </c>
      <c r="Q927" s="57">
        <f>IF($A927="","",$A927&amp;"|"&amp;$C927)</f>
        <v/>
      </c>
      <c r="R927" s="57">
        <f>IF($A927="","",$A927&amp;"|"&amp;$C927&amp;"|"&amp;$D927)</f>
        <v/>
      </c>
      <c r="S927" s="57">
        <f>IF($A927="","",IFERROR(INDEX(Offerte!$D$2:$D$81,MATCH($Q927,Offerte!$L$2:$L$81,0)),0))</f>
        <v/>
      </c>
      <c r="T927" s="57">
        <f>IF($A927="","",IFERROR(INDEX(Offerte!$G$2:$G$81,MATCH($Q927,Offerte!$L$2:$L$81,0)),"NO"))</f>
        <v/>
      </c>
    </row>
    <row r="928">
      <c r="A928" s="48">
        <f>IF(Offerte!$A31="","",Offerte!$A31)</f>
        <v/>
      </c>
      <c r="B928" s="48">
        <f>IF(Offerte!$A31="","",Offerte!$B31)</f>
        <v/>
      </c>
      <c r="C928" s="48">
        <f>IF(Offerte!$A31="","",Offerte!$C31)</f>
        <v/>
      </c>
      <c r="D928" s="48" t="inlineStr">
        <is>
          <t>F.4.1</t>
        </is>
      </c>
      <c r="E928" s="48" t="inlineStr">
        <is>
          <t>F</t>
        </is>
      </c>
      <c r="F928" s="48" t="inlineStr">
        <is>
          <t>Q</t>
        </is>
      </c>
      <c r="G928" s="48" t="inlineStr">
        <is>
          <t>soil</t>
        </is>
      </c>
      <c r="H928" s="48" t="n">
        <v>2</v>
      </c>
      <c r="I928" s="48" t="inlineStr">
        <is>
          <t>Indice di consumo di suolo</t>
        </is>
      </c>
      <c r="J928" s="73" t="n"/>
      <c r="K928" s="73" t="n"/>
      <c r="L928" s="73" t="n"/>
      <c r="M928" s="73" t="n"/>
      <c r="N928" s="57">
        <f>IF($A928="","",IFERROR(VALUE($J928),0))</f>
        <v/>
      </c>
      <c r="O928" s="57">
        <f>IF($A928="",0,IF(OR($S928&lt;&gt;1,COUNTA($J928:$M928)=0),0,IF($N928&lt;=0,$H928,IF(SUMPRODUCT(MAX(($C$5:$C$2484=$C928)*($D$5:$D$2484=$D928)*($S$5:$S$2484=1)*IFERROR($N$5:$N$2484*1,0)))&gt;0,ROUND($H928*((SUMPRODUCT(MAX(($C$5:$C$2484=$C928)*($D$5:$D$2484=$D928)*($S$5:$S$2484=1)*IFERROR($N$5:$N$2484*1,0)))-$N928)/SUMPRODUCT(MAX(($C$5:$C$2484=$C928)*($D$5:$D$2484=$D928)*($S$5:$S$2484=1)*IFERROR($N$5:$N$2484*1,0)))),4),0))))</f>
        <v/>
      </c>
      <c r="P928" s="48" t="inlineStr">
        <is>
          <t>m2</t>
        </is>
      </c>
      <c r="Q928" s="57">
        <f>IF($A928="","",$A928&amp;"|"&amp;$C928)</f>
        <v/>
      </c>
      <c r="R928" s="57">
        <f>IF($A928="","",$A928&amp;"|"&amp;$C928&amp;"|"&amp;$D928)</f>
        <v/>
      </c>
      <c r="S928" s="57">
        <f>IF($A928="","",IFERROR(INDEX(Offerte!$D$2:$D$81,MATCH($Q928,Offerte!$L$2:$L$81,0)),0))</f>
        <v/>
      </c>
      <c r="T928" s="57">
        <f>IF($A928="","",IFERROR(INDEX(Offerte!$G$2:$G$81,MATCH($Q928,Offerte!$L$2:$L$81,0)),"NO"))</f>
        <v/>
      </c>
    </row>
    <row r="929">
      <c r="A929" s="48">
        <f>IF(Offerte!$A31="","",Offerte!$A31)</f>
        <v/>
      </c>
      <c r="B929" s="48">
        <f>IF(Offerte!$A31="","",Offerte!$B31)</f>
        <v/>
      </c>
      <c r="C929" s="48">
        <f>IF(Offerte!$A31="","",Offerte!$C31)</f>
        <v/>
      </c>
      <c r="D929" s="48" t="inlineStr">
        <is>
          <t>F.5.1</t>
        </is>
      </c>
      <c r="E929" s="48" t="inlineStr">
        <is>
          <t>F</t>
        </is>
      </c>
      <c r="F929" s="48" t="inlineStr">
        <is>
          <t>T</t>
        </is>
      </c>
      <c r="G929" s="48" t="inlineStr">
        <is>
          <t>tabular</t>
        </is>
      </c>
      <c r="H929" s="48" t="n">
        <v>1</v>
      </c>
      <c r="I929" s="48" t="inlineStr">
        <is>
          <t>Rendicontazione di sostenibilità ambientale</t>
        </is>
      </c>
      <c r="J929" s="73" t="n"/>
      <c r="K929" s="73" t="n"/>
      <c r="L929" s="73" t="n"/>
      <c r="M929" s="73" t="n"/>
      <c r="N929" s="57">
        <f>IF($A929="","",IF(IFERROR(VALUE($M929),0)=1,1,0))</f>
        <v/>
      </c>
      <c r="O929" s="57">
        <f>IF($A929="",0,IF(OR($S929&lt;&gt;1,COUNTA($J929:$M929)=0),0,IF($N929=1,$H929,0)))</f>
        <v/>
      </c>
      <c r="P929" s="48" t="inlineStr">
        <is>
          <t>sì/no</t>
        </is>
      </c>
      <c r="Q929" s="57">
        <f>IF($A929="","",$A929&amp;"|"&amp;$C929)</f>
        <v/>
      </c>
      <c r="R929" s="57">
        <f>IF($A929="","",$A929&amp;"|"&amp;$C929&amp;"|"&amp;$D929)</f>
        <v/>
      </c>
      <c r="S929" s="57">
        <f>IF($A929="","",IFERROR(INDEX(Offerte!$D$2:$D$81,MATCH($Q929,Offerte!$L$2:$L$81,0)),0))</f>
        <v/>
      </c>
      <c r="T929" s="57">
        <f>IF($A929="","",IFERROR(INDEX(Offerte!$G$2:$G$81,MATCH($Q929,Offerte!$L$2:$L$81,0)),"NO"))</f>
        <v/>
      </c>
    </row>
    <row r="930">
      <c r="A930" s="48">
        <f>IF(Offerte!$A31="","",Offerte!$A31)</f>
        <v/>
      </c>
      <c r="B930" s="48">
        <f>IF(Offerte!$A31="","",Offerte!$B31)</f>
        <v/>
      </c>
      <c r="C930" s="48">
        <f>IF(Offerte!$A31="","",Offerte!$C31)</f>
        <v/>
      </c>
      <c r="D930" s="48" t="inlineStr">
        <is>
          <t>G.1.1</t>
        </is>
      </c>
      <c r="E930" s="48" t="inlineStr">
        <is>
          <t>G</t>
        </is>
      </c>
      <c r="F930" s="48" t="inlineStr">
        <is>
          <t>D</t>
        </is>
      </c>
      <c r="G930" s="48" t="inlineStr">
        <is>
          <t>discretionary</t>
        </is>
      </c>
      <c r="H930" s="48" t="n">
        <v>2</v>
      </c>
      <c r="I930" s="48" t="inlineStr">
        <is>
          <t>Qualità del progetto di centrale di controllo aziendale</t>
        </is>
      </c>
      <c r="J930" s="73" t="n"/>
      <c r="K930" s="73" t="n"/>
      <c r="L930" s="73" t="n"/>
      <c r="M930" s="73" t="n"/>
      <c r="N930" s="57">
        <f>IF($A930="","",MAX(0,MIN(1,IFERROR(VALUE($M930),0))))</f>
        <v/>
      </c>
      <c r="O930" s="57">
        <f>IF($A930="",0,IF(OR($S930&lt;&gt;1,COUNTA($J930:$M930)=0),0,IF(SUMPRODUCT(MAX(($C$5:$C$2484=$C930)*($D$5:$D$2484=$D930)*($S$5:$S$2484=1)*IFERROR($N$5:$N$2484*1,0)))&gt;0,ROUND($H930*($N930/SUMPRODUCT(MAX(($C$5:$C$2484=$C930)*($D$5:$D$2484=$D930)*($S$5:$S$2484=1)*IFERROR($N$5:$N$2484*1,0)))),4),0)))</f>
        <v/>
      </c>
      <c r="P930" s="48" t="inlineStr">
        <is>
          <t>coeff.</t>
        </is>
      </c>
      <c r="Q930" s="57">
        <f>IF($A930="","",$A930&amp;"|"&amp;$C930)</f>
        <v/>
      </c>
      <c r="R930" s="57">
        <f>IF($A930="","",$A930&amp;"|"&amp;$C930&amp;"|"&amp;$D930)</f>
        <v/>
      </c>
      <c r="S930" s="57">
        <f>IF($A930="","",IFERROR(INDEX(Offerte!$D$2:$D$81,MATCH($Q930,Offerte!$L$2:$L$81,0)),0))</f>
        <v/>
      </c>
      <c r="T930" s="57">
        <f>IF($A930="","",IFERROR(INDEX(Offerte!$G$2:$G$81,MATCH($Q930,Offerte!$L$2:$L$81,0)),"NO"))</f>
        <v/>
      </c>
    </row>
    <row r="931">
      <c r="A931" s="48">
        <f>IF(Offerte!$A31="","",Offerte!$A31)</f>
        <v/>
      </c>
      <c r="B931" s="48">
        <f>IF(Offerte!$A31="","",Offerte!$B31)</f>
        <v/>
      </c>
      <c r="C931" s="48">
        <f>IF(Offerte!$A31="","",Offerte!$C31)</f>
        <v/>
      </c>
      <c r="D931" s="48" t="inlineStr">
        <is>
          <t>G.2.1</t>
        </is>
      </c>
      <c r="E931" s="48" t="inlineStr">
        <is>
          <t>G</t>
        </is>
      </c>
      <c r="F931" s="48" t="inlineStr">
        <is>
          <t>T</t>
        </is>
      </c>
      <c r="G931" s="48" t="inlineStr">
        <is>
          <t>tabular</t>
        </is>
      </c>
      <c r="H931" s="48" t="n">
        <v>1</v>
      </c>
      <c r="I931" s="48" t="inlineStr">
        <is>
          <t>Certificazione ISO 45001</t>
        </is>
      </c>
      <c r="J931" s="73" t="n"/>
      <c r="K931" s="73" t="n"/>
      <c r="L931" s="73" t="n"/>
      <c r="M931" s="73" t="n"/>
      <c r="N931" s="57">
        <f>IF($A931="","",IF(IFERROR(VALUE($M931),0)=1,1,0))</f>
        <v/>
      </c>
      <c r="O931" s="57">
        <f>IF($A931="",0,IF(OR($S931&lt;&gt;1,COUNTA($J931:$M931)=0),0,IF($N931=1,$H931,0)))</f>
        <v/>
      </c>
      <c r="P931" s="48" t="inlineStr">
        <is>
          <t>sì/no</t>
        </is>
      </c>
      <c r="Q931" s="57">
        <f>IF($A931="","",$A931&amp;"|"&amp;$C931)</f>
        <v/>
      </c>
      <c r="R931" s="57">
        <f>IF($A931="","",$A931&amp;"|"&amp;$C931&amp;"|"&amp;$D931)</f>
        <v/>
      </c>
      <c r="S931" s="57">
        <f>IF($A931="","",IFERROR(INDEX(Offerte!$D$2:$D$81,MATCH($Q931,Offerte!$L$2:$L$81,0)),0))</f>
        <v/>
      </c>
      <c r="T931" s="57">
        <f>IF($A931="","",IFERROR(INDEX(Offerte!$G$2:$G$81,MATCH($Q931,Offerte!$L$2:$L$81,0)),"NO"))</f>
        <v/>
      </c>
    </row>
    <row r="932">
      <c r="A932" s="48">
        <f>IF(Offerte!$A31="","",Offerte!$A31)</f>
        <v/>
      </c>
      <c r="B932" s="48">
        <f>IF(Offerte!$A31="","",Offerte!$B31)</f>
        <v/>
      </c>
      <c r="C932" s="48">
        <f>IF(Offerte!$A31="","",Offerte!$C31)</f>
        <v/>
      </c>
      <c r="D932" s="48" t="inlineStr">
        <is>
          <t>G.3.1</t>
        </is>
      </c>
      <c r="E932" s="48" t="inlineStr">
        <is>
          <t>G</t>
        </is>
      </c>
      <c r="F932" s="48" t="inlineStr">
        <is>
          <t>T</t>
        </is>
      </c>
      <c r="G932" s="48" t="inlineStr">
        <is>
          <t>tabular</t>
        </is>
      </c>
      <c r="H932" s="48" t="n">
        <v>1</v>
      </c>
      <c r="I932" s="48" t="inlineStr">
        <is>
          <t>Certificazioni di responsabilità sociale</t>
        </is>
      </c>
      <c r="J932" s="73" t="n"/>
      <c r="K932" s="73" t="n"/>
      <c r="L932" s="73" t="n"/>
      <c r="M932" s="73" t="n"/>
      <c r="N932" s="57">
        <f>IF($A932="","",IF(IFERROR(VALUE($M932),0)=1,1,0))</f>
        <v/>
      </c>
      <c r="O932" s="57">
        <f>IF($A932="",0,IF(OR($S932&lt;&gt;1,COUNTA($J932:$M932)=0),0,IF($N932=1,$H932,0)))</f>
        <v/>
      </c>
      <c r="P932" s="48" t="inlineStr">
        <is>
          <t>sì/no</t>
        </is>
      </c>
      <c r="Q932" s="57">
        <f>IF($A932="","",$A932&amp;"|"&amp;$C932)</f>
        <v/>
      </c>
      <c r="R932" s="57">
        <f>IF($A932="","",$A932&amp;"|"&amp;$C932&amp;"|"&amp;$D932)</f>
        <v/>
      </c>
      <c r="S932" s="57">
        <f>IF($A932="","",IFERROR(INDEX(Offerte!$D$2:$D$81,MATCH($Q932,Offerte!$L$2:$L$81,0)),0))</f>
        <v/>
      </c>
      <c r="T932" s="57">
        <f>IF($A932="","",IFERROR(INDEX(Offerte!$G$2:$G$81,MATCH($Q932,Offerte!$L$2:$L$81,0)),"NO"))</f>
        <v/>
      </c>
    </row>
    <row r="933">
      <c r="A933" s="48">
        <f>IF(Offerte!$A31="","",Offerte!$A31)</f>
        <v/>
      </c>
      <c r="B933" s="48">
        <f>IF(Offerte!$A31="","",Offerte!$B31)</f>
        <v/>
      </c>
      <c r="C933" s="48">
        <f>IF(Offerte!$A31="","",Offerte!$C31)</f>
        <v/>
      </c>
      <c r="D933" s="48" t="inlineStr">
        <is>
          <t>G.4.1</t>
        </is>
      </c>
      <c r="E933" s="48" t="inlineStr">
        <is>
          <t>G</t>
        </is>
      </c>
      <c r="F933" s="48" t="inlineStr">
        <is>
          <t>D</t>
        </is>
      </c>
      <c r="G933" s="48" t="inlineStr">
        <is>
          <t>discretionary</t>
        </is>
      </c>
      <c r="H933" s="48" t="n">
        <v>2</v>
      </c>
      <c r="I933" s="48" t="inlineStr">
        <is>
          <t>Qualità del piano di formazione del personale</t>
        </is>
      </c>
      <c r="J933" s="73" t="n"/>
      <c r="K933" s="73" t="n"/>
      <c r="L933" s="73" t="n"/>
      <c r="M933" s="73" t="n"/>
      <c r="N933" s="57">
        <f>IF($A933="","",MAX(0,MIN(1,IFERROR(VALUE($M933),0))))</f>
        <v/>
      </c>
      <c r="O933" s="57">
        <f>IF($A933="",0,IF(OR($S933&lt;&gt;1,COUNTA($J933:$M933)=0),0,IF(SUMPRODUCT(MAX(($C$5:$C$2484=$C933)*($D$5:$D$2484=$D933)*($S$5:$S$2484=1)*IFERROR($N$5:$N$2484*1,0)))&gt;0,ROUND($H933*($N933/SUMPRODUCT(MAX(($C$5:$C$2484=$C933)*($D$5:$D$2484=$D933)*($S$5:$S$2484=1)*IFERROR($N$5:$N$2484*1,0)))),4),0)))</f>
        <v/>
      </c>
      <c r="P933" s="48" t="inlineStr">
        <is>
          <t>coeff.</t>
        </is>
      </c>
      <c r="Q933" s="57">
        <f>IF($A933="","",$A933&amp;"|"&amp;$C933)</f>
        <v/>
      </c>
      <c r="R933" s="57">
        <f>IF($A933="","",$A933&amp;"|"&amp;$C933&amp;"|"&amp;$D933)</f>
        <v/>
      </c>
      <c r="S933" s="57">
        <f>IF($A933="","",IFERROR(INDEX(Offerte!$D$2:$D$81,MATCH($Q933,Offerte!$L$2:$L$81,0)),0))</f>
        <v/>
      </c>
      <c r="T933" s="57">
        <f>IF($A933="","",IFERROR(INDEX(Offerte!$G$2:$G$81,MATCH($Q933,Offerte!$L$2:$L$81,0)),"NO"))</f>
        <v/>
      </c>
    </row>
    <row r="934">
      <c r="A934" s="48">
        <f>IF(Offerte!$A31="","",Offerte!$A31)</f>
        <v/>
      </c>
      <c r="B934" s="48">
        <f>IF(Offerte!$A31="","",Offerte!$B31)</f>
        <v/>
      </c>
      <c r="C934" s="48">
        <f>IF(Offerte!$A31="","",Offerte!$C31)</f>
        <v/>
      </c>
      <c r="D934" s="48" t="inlineStr">
        <is>
          <t>G.5.1</t>
        </is>
      </c>
      <c r="E934" s="48" t="inlineStr">
        <is>
          <t>G</t>
        </is>
      </c>
      <c r="F934" s="48" t="inlineStr">
        <is>
          <t>T</t>
        </is>
      </c>
      <c r="G934" s="48" t="inlineStr">
        <is>
          <t>tabular</t>
        </is>
      </c>
      <c r="H934" s="48" t="n">
        <v>1</v>
      </c>
      <c r="I934" s="48" t="inlineStr">
        <is>
          <t>Impegno al mantenimento delle garanzie del contratto di secondo livello del gestore uscente</t>
        </is>
      </c>
      <c r="J934" s="73" t="n"/>
      <c r="K934" s="73" t="n"/>
      <c r="L934" s="73" t="n"/>
      <c r="M934" s="73" t="n"/>
      <c r="N934" s="57">
        <f>IF($A934="","",IF(IFERROR(VALUE($M934),0)=1,1,0))</f>
        <v/>
      </c>
      <c r="O934" s="57">
        <f>IF($A934="",0,IF(OR($S934&lt;&gt;1,COUNTA($J934:$M934)=0),0,IF($N934=1,$H934,0)))</f>
        <v/>
      </c>
      <c r="P934" s="48" t="inlineStr">
        <is>
          <t>sì/no</t>
        </is>
      </c>
      <c r="Q934" s="57">
        <f>IF($A934="","",$A934&amp;"|"&amp;$C934)</f>
        <v/>
      </c>
      <c r="R934" s="57">
        <f>IF($A934="","",$A934&amp;"|"&amp;$C934&amp;"|"&amp;$D934)</f>
        <v/>
      </c>
      <c r="S934" s="57">
        <f>IF($A934="","",IFERROR(INDEX(Offerte!$D$2:$D$81,MATCH($Q934,Offerte!$L$2:$L$81,0)),0))</f>
        <v/>
      </c>
      <c r="T934" s="57">
        <f>IF($A934="","",IFERROR(INDEX(Offerte!$G$2:$G$81,MATCH($Q934,Offerte!$L$2:$L$81,0)),"NO"))</f>
        <v/>
      </c>
    </row>
    <row r="935">
      <c r="A935" s="48">
        <f>IF(Offerte!$A32="","",Offerte!$A32)</f>
        <v/>
      </c>
      <c r="B935" s="48">
        <f>IF(Offerte!$A32="","",Offerte!$B32)</f>
        <v/>
      </c>
      <c r="C935" s="48">
        <f>IF(Offerte!$A32="","",Offerte!$C32)</f>
        <v/>
      </c>
      <c r="D935" s="48" t="inlineStr">
        <is>
          <t>A.1.1</t>
        </is>
      </c>
      <c r="E935" s="48" t="inlineStr">
        <is>
          <t>A</t>
        </is>
      </c>
      <c r="F935" s="48" t="inlineStr">
        <is>
          <t>Q</t>
        </is>
      </c>
      <c r="G935" s="48" t="inlineStr">
        <is>
          <t>higher</t>
        </is>
      </c>
      <c r="H935" s="48" t="n">
        <v>3</v>
      </c>
      <c r="I935" s="48" t="inlineStr">
        <is>
          <t>Tasso aggiuntivo di corse controllate</t>
        </is>
      </c>
      <c r="J935" s="73" t="n"/>
      <c r="K935" s="73" t="n"/>
      <c r="L935" s="73" t="n"/>
      <c r="M935" s="73" t="n"/>
      <c r="N935" s="57">
        <f>IF($A935="","",IFERROR(VALUE($K935)/VALUE($L935)*100,IFERROR(VALUE($J935),0)))</f>
        <v/>
      </c>
      <c r="O935" s="57">
        <f>IF($A935="",0,IF(OR($S935&lt;&gt;1,COUNTA($J935:$M935)=0),0,IF(SUMPRODUCT(MAX(($C$5:$C$2484=$C935)*($D$5:$D$2484=$D935)*($S$5:$S$2484=1)*IFERROR($N$5:$N$2484*1,0)))&gt;0,ROUND($H935*($N935/SUMPRODUCT(MAX(($C$5:$C$2484=$C935)*($D$5:$D$2484=$D935)*($S$5:$S$2484=1)*IFERROR($N$5:$N$2484*1,0)))),4),0)))</f>
        <v/>
      </c>
      <c r="P935" s="48" t="inlineStr">
        <is>
          <t>Corse controllate annue / Corse programmate annue</t>
        </is>
      </c>
      <c r="Q935" s="57">
        <f>IF($A935="","",$A935&amp;"|"&amp;$C935)</f>
        <v/>
      </c>
      <c r="R935" s="57">
        <f>IF($A935="","",$A935&amp;"|"&amp;$C935&amp;"|"&amp;$D935)</f>
        <v/>
      </c>
      <c r="S935" s="57">
        <f>IF($A935="","",IFERROR(INDEX(Offerte!$D$2:$D$81,MATCH($Q935,Offerte!$L$2:$L$81,0)),0))</f>
        <v/>
      </c>
      <c r="T935" s="57">
        <f>IF($A935="","",IFERROR(INDEX(Offerte!$G$2:$G$81,MATCH($Q935,Offerte!$L$2:$L$81,0)),"NO"))</f>
        <v/>
      </c>
    </row>
    <row r="936">
      <c r="A936" s="48">
        <f>IF(Offerte!$A32="","",Offerte!$A32)</f>
        <v/>
      </c>
      <c r="B936" s="48">
        <f>IF(Offerte!$A32="","",Offerte!$B32)</f>
        <v/>
      </c>
      <c r="C936" s="48">
        <f>IF(Offerte!$A32="","",Offerte!$C32)</f>
        <v/>
      </c>
      <c r="D936" s="48" t="inlineStr">
        <is>
          <t>A.1.2</t>
        </is>
      </c>
      <c r="E936" s="48" t="inlineStr">
        <is>
          <t>A</t>
        </is>
      </c>
      <c r="F936" s="48" t="inlineStr">
        <is>
          <t>Q</t>
        </is>
      </c>
      <c r="G936" s="48" t="inlineStr">
        <is>
          <t>higher</t>
        </is>
      </c>
      <c r="H936" s="48" t="n">
        <v>4</v>
      </c>
      <c r="I936" s="48" t="inlineStr">
        <is>
          <t>Numero aggiuntivo di passeggeri controllati</t>
        </is>
      </c>
      <c r="J936" s="73" t="n"/>
      <c r="K936" s="73" t="n"/>
      <c r="L936" s="73" t="n"/>
      <c r="M936" s="73" t="n"/>
      <c r="N936" s="57">
        <f>IF($A936="","",IFERROR(VALUE($J936),0))</f>
        <v/>
      </c>
      <c r="O936" s="57">
        <f>IF($A936="",0,IF(OR($S936&lt;&gt;1,COUNTA($J936:$M936)=0),0,IF(SUMPRODUCT(MAX(($C$5:$C$2484=$C936)*($D$5:$D$2484=$D936)*($S$5:$S$2484=1)*IFERROR($N$5:$N$2484*1,0)))&gt;0,ROUND($H936*($N936/SUMPRODUCT(MAX(($C$5:$C$2484=$C936)*($D$5:$D$2484=$D936)*($S$5:$S$2484=1)*IFERROR($N$5:$N$2484*1,0)))),4),0)))</f>
        <v/>
      </c>
      <c r="P936" s="48" t="inlineStr">
        <is>
          <t>passeggeri/anno</t>
        </is>
      </c>
      <c r="Q936" s="57">
        <f>IF($A936="","",$A936&amp;"|"&amp;$C936)</f>
        <v/>
      </c>
      <c r="R936" s="57">
        <f>IF($A936="","",$A936&amp;"|"&amp;$C936&amp;"|"&amp;$D936)</f>
        <v/>
      </c>
      <c r="S936" s="57">
        <f>IF($A936="","",IFERROR(INDEX(Offerte!$D$2:$D$81,MATCH($Q936,Offerte!$L$2:$L$81,0)),0))</f>
        <v/>
      </c>
      <c r="T936" s="57">
        <f>IF($A936="","",IFERROR(INDEX(Offerte!$G$2:$G$81,MATCH($Q936,Offerte!$L$2:$L$81,0)),"NO"))</f>
        <v/>
      </c>
    </row>
    <row r="937">
      <c r="A937" s="48">
        <f>IF(Offerte!$A32="","",Offerte!$A32)</f>
        <v/>
      </c>
      <c r="B937" s="48">
        <f>IF(Offerte!$A32="","",Offerte!$B32)</f>
        <v/>
      </c>
      <c r="C937" s="48">
        <f>IF(Offerte!$A32="","",Offerte!$C32)</f>
        <v/>
      </c>
      <c r="D937" s="48" t="inlineStr">
        <is>
          <t>B.1.1</t>
        </is>
      </c>
      <c r="E937" s="48" t="inlineStr">
        <is>
          <t>B</t>
        </is>
      </c>
      <c r="F937" s="48" t="inlineStr">
        <is>
          <t>Q</t>
        </is>
      </c>
      <c r="G937" s="48" t="inlineStr">
        <is>
          <t>higher</t>
        </is>
      </c>
      <c r="H937" s="48" t="n">
        <v>3</v>
      </c>
      <c r="I937" s="48" t="inlineStr">
        <is>
          <t>Incremento dei posti offerti nelle fasce di punta</t>
        </is>
      </c>
      <c r="J937" s="73" t="n"/>
      <c r="K937" s="73" t="n"/>
      <c r="L937" s="73" t="n"/>
      <c r="M937" s="73" t="n"/>
      <c r="N937" s="57">
        <f>IF($A937="","",IFERROR(VALUE($J937),0))</f>
        <v/>
      </c>
      <c r="O937" s="57">
        <f>IF($A937="",0,IF(OR($S937&lt;&gt;1,COUNTA($J937:$M937)=0),0,IF(SUMPRODUCT(MAX(($C$5:$C$2484=$C937)*($D$5:$D$2484=$D937)*($S$5:$S$2484=1)*IFERROR($N$5:$N$2484*1,0)))&gt;0,ROUND($H937*($N937/SUMPRODUCT(MAX(($C$5:$C$2484=$C937)*($D$5:$D$2484=$D937)*($S$5:$S$2484=1)*IFERROR($N$5:$N$2484*1,0)))),4),0)))</f>
        <v/>
      </c>
      <c r="P937" s="48" t="inlineStr">
        <is>
          <t>posti*km</t>
        </is>
      </c>
      <c r="Q937" s="57">
        <f>IF($A937="","",$A937&amp;"|"&amp;$C937)</f>
        <v/>
      </c>
      <c r="R937" s="57">
        <f>IF($A937="","",$A937&amp;"|"&amp;$C937&amp;"|"&amp;$D937)</f>
        <v/>
      </c>
      <c r="S937" s="57">
        <f>IF($A937="","",IFERROR(INDEX(Offerte!$D$2:$D$81,MATCH($Q937,Offerte!$L$2:$L$81,0)),0))</f>
        <v/>
      </c>
      <c r="T937" s="57">
        <f>IF($A937="","",IFERROR(INDEX(Offerte!$G$2:$G$81,MATCH($Q937,Offerte!$L$2:$L$81,0)),"NO"))</f>
        <v/>
      </c>
    </row>
    <row r="938">
      <c r="A938" s="48">
        <f>IF(Offerte!$A32="","",Offerte!$A32)</f>
        <v/>
      </c>
      <c r="B938" s="48">
        <f>IF(Offerte!$A32="","",Offerte!$B32)</f>
        <v/>
      </c>
      <c r="C938" s="48">
        <f>IF(Offerte!$A32="","",Offerte!$C32)</f>
        <v/>
      </c>
      <c r="D938" s="48" t="inlineStr">
        <is>
          <t>B.2.1</t>
        </is>
      </c>
      <c r="E938" s="48" t="inlineStr">
        <is>
          <t>B</t>
        </is>
      </c>
      <c r="F938" s="48" t="inlineStr">
        <is>
          <t>Q</t>
        </is>
      </c>
      <c r="G938" s="48" t="inlineStr">
        <is>
          <t>higher</t>
        </is>
      </c>
      <c r="H938" s="48" t="n">
        <v>4</v>
      </c>
      <c r="I938" s="48" t="inlineStr">
        <is>
          <t>Corse aggiuntive nell'arco giornaliero base</t>
        </is>
      </c>
      <c r="J938" s="73" t="n"/>
      <c r="K938" s="73" t="n"/>
      <c r="L938" s="73" t="n"/>
      <c r="M938" s="73" t="n"/>
      <c r="N938" s="57">
        <f>IF($A938="","",IFERROR(VALUE($J938),0))</f>
        <v/>
      </c>
      <c r="O938" s="57">
        <f>IF($A938="",0,IF(OR($S938&lt;&gt;1,COUNTA($J938:$M938)=0),0,IF(SUMPRODUCT(MAX(($C$5:$C$2484=$C938)*($D$5:$D$2484=$D938)*($S$5:$S$2484=1)*IFERROR($N$5:$N$2484*1,0)))&gt;0,ROUND($H938*($N938/SUMPRODUCT(MAX(($C$5:$C$2484=$C938)*($D$5:$D$2484=$D938)*($S$5:$S$2484=1)*IFERROR($N$5:$N$2484*1,0)))),4),0)))</f>
        <v/>
      </c>
      <c r="P938" s="48" t="inlineStr">
        <is>
          <t>corse</t>
        </is>
      </c>
      <c r="Q938" s="57">
        <f>IF($A938="","",$A938&amp;"|"&amp;$C938)</f>
        <v/>
      </c>
      <c r="R938" s="57">
        <f>IF($A938="","",$A938&amp;"|"&amp;$C938&amp;"|"&amp;$D938)</f>
        <v/>
      </c>
      <c r="S938" s="57">
        <f>IF($A938="","",IFERROR(INDEX(Offerte!$D$2:$D$81,MATCH($Q938,Offerte!$L$2:$L$81,0)),0))</f>
        <v/>
      </c>
      <c r="T938" s="57">
        <f>IF($A938="","",IFERROR(INDEX(Offerte!$G$2:$G$81,MATCH($Q938,Offerte!$L$2:$L$81,0)),"NO"))</f>
        <v/>
      </c>
    </row>
    <row r="939">
      <c r="A939" s="48">
        <f>IF(Offerte!$A32="","",Offerte!$A32)</f>
        <v/>
      </c>
      <c r="B939" s="48">
        <f>IF(Offerte!$A32="","",Offerte!$B32)</f>
        <v/>
      </c>
      <c r="C939" s="48">
        <f>IF(Offerte!$A32="","",Offerte!$C32)</f>
        <v/>
      </c>
      <c r="D939" s="48" t="inlineStr">
        <is>
          <t>B.3.1</t>
        </is>
      </c>
      <c r="E939" s="48" t="inlineStr">
        <is>
          <t>B</t>
        </is>
      </c>
      <c r="F939" s="48" t="inlineStr">
        <is>
          <t>Q</t>
        </is>
      </c>
      <c r="G939" s="48" t="inlineStr">
        <is>
          <t>higher</t>
        </is>
      </c>
      <c r="H939" s="48" t="n">
        <v>2</v>
      </c>
      <c r="I939" s="48" t="inlineStr">
        <is>
          <t>Numero di corse aggiuntive per allungamento dell'arco di servizio giornaliero nelle fasce serali</t>
        </is>
      </c>
      <c r="J939" s="73" t="n"/>
      <c r="K939" s="73" t="n"/>
      <c r="L939" s="73" t="n"/>
      <c r="M939" s="73" t="n"/>
      <c r="N939" s="57">
        <f>IF($A939="","",IFERROR(VALUE($J939),0))</f>
        <v/>
      </c>
      <c r="O939" s="57">
        <f>IF($A939="",0,IF(OR($S939&lt;&gt;1,COUNTA($J939:$M939)=0),0,IF(SUMPRODUCT(MAX(($C$5:$C$2484=$C939)*($D$5:$D$2484=$D939)*($S$5:$S$2484=1)*IFERROR($N$5:$N$2484*1,0)))&gt;0,ROUND($H939*($N939/SUMPRODUCT(MAX(($C$5:$C$2484=$C939)*($D$5:$D$2484=$D939)*($S$5:$S$2484=1)*IFERROR($N$5:$N$2484*1,0)))),4),0)))</f>
        <v/>
      </c>
      <c r="P939" s="48" t="inlineStr">
        <is>
          <t>corse</t>
        </is>
      </c>
      <c r="Q939" s="57">
        <f>IF($A939="","",$A939&amp;"|"&amp;$C939)</f>
        <v/>
      </c>
      <c r="R939" s="57">
        <f>IF($A939="","",$A939&amp;"|"&amp;$C939&amp;"|"&amp;$D939)</f>
        <v/>
      </c>
      <c r="S939" s="57">
        <f>IF($A939="","",IFERROR(INDEX(Offerte!$D$2:$D$81,MATCH($Q939,Offerte!$L$2:$L$81,0)),0))</f>
        <v/>
      </c>
      <c r="T939" s="57">
        <f>IF($A939="","",IFERROR(INDEX(Offerte!$G$2:$G$81,MATCH($Q939,Offerte!$L$2:$L$81,0)),"NO"))</f>
        <v/>
      </c>
    </row>
    <row r="940">
      <c r="A940" s="48">
        <f>IF(Offerte!$A32="","",Offerte!$A32)</f>
        <v/>
      </c>
      <c r="B940" s="48">
        <f>IF(Offerte!$A32="","",Offerte!$B32)</f>
        <v/>
      </c>
      <c r="C940" s="48">
        <f>IF(Offerte!$A32="","",Offerte!$C32)</f>
        <v/>
      </c>
      <c r="D940" s="48" t="inlineStr">
        <is>
          <t>B.4.1</t>
        </is>
      </c>
      <c r="E940" s="48" t="inlineStr">
        <is>
          <t>B</t>
        </is>
      </c>
      <c r="F940" s="48" t="inlineStr">
        <is>
          <t>Q</t>
        </is>
      </c>
      <c r="G940" s="48" t="inlineStr">
        <is>
          <t>higher</t>
        </is>
      </c>
      <c r="H940" s="48" t="n">
        <v>3</v>
      </c>
      <c r="I940" s="48" t="inlineStr">
        <is>
          <t>Percorrenze aggiuntive offerte nel Programma d'esercizio delle prime due fasi attuative</t>
        </is>
      </c>
      <c r="J940" s="73" t="n"/>
      <c r="K940" s="73" t="n"/>
      <c r="L940" s="73" t="n"/>
      <c r="M940" s="73" t="n"/>
      <c r="N940" s="57">
        <f>IF($A940="","",IFERROR(VALUE($J940),0))</f>
        <v/>
      </c>
      <c r="O940" s="57">
        <f>IF($A940="",0,IF(OR($S940&lt;&gt;1,COUNTA($J940:$M940)=0),0,IF(SUMPRODUCT(MAX(($C$5:$C$2484=$C940)*($D$5:$D$2484=$D940)*($S$5:$S$2484=1)*IFERROR($N$5:$N$2484*1,0)))&gt;0,ROUND($H940*($N940/SUMPRODUCT(MAX(($C$5:$C$2484=$C940)*($D$5:$D$2484=$D940)*($S$5:$S$2484=1)*IFERROR($N$5:$N$2484*1,0)))),4),0)))</f>
        <v/>
      </c>
      <c r="P940" s="48" t="inlineStr">
        <is>
          <t>vett*km</t>
        </is>
      </c>
      <c r="Q940" s="57">
        <f>IF($A940="","",$A940&amp;"|"&amp;$C940)</f>
        <v/>
      </c>
      <c r="R940" s="57">
        <f>IF($A940="","",$A940&amp;"|"&amp;$C940&amp;"|"&amp;$D940)</f>
        <v/>
      </c>
      <c r="S940" s="57">
        <f>IF($A940="","",IFERROR(INDEX(Offerte!$D$2:$D$81,MATCH($Q940,Offerte!$L$2:$L$81,0)),0))</f>
        <v/>
      </c>
      <c r="T940" s="57">
        <f>IF($A940="","",IFERROR(INDEX(Offerte!$G$2:$G$81,MATCH($Q940,Offerte!$L$2:$L$81,0)),"NO"))</f>
        <v/>
      </c>
    </row>
    <row r="941">
      <c r="A941" s="48">
        <f>IF(Offerte!$A32="","",Offerte!$A32)</f>
        <v/>
      </c>
      <c r="B941" s="48">
        <f>IF(Offerte!$A32="","",Offerte!$B32)</f>
        <v/>
      </c>
      <c r="C941" s="48">
        <f>IF(Offerte!$A32="","",Offerte!$C32)</f>
        <v/>
      </c>
      <c r="D941" s="48" t="inlineStr">
        <is>
          <t>B.5.1</t>
        </is>
      </c>
      <c r="E941" s="48" t="inlineStr">
        <is>
          <t>B</t>
        </is>
      </c>
      <c r="F941" s="48" t="inlineStr">
        <is>
          <t>D</t>
        </is>
      </c>
      <c r="G941" s="48" t="inlineStr">
        <is>
          <t>discretionary</t>
        </is>
      </c>
      <c r="H941" s="48" t="n">
        <v>2</v>
      </c>
      <c r="I941" s="48" t="inlineStr">
        <is>
          <t>Efficacia del progetto di servizi complementari DRT</t>
        </is>
      </c>
      <c r="J941" s="73" t="n"/>
      <c r="K941" s="73" t="n"/>
      <c r="L941" s="73" t="n"/>
      <c r="M941" s="73" t="n"/>
      <c r="N941" s="57">
        <f>IF($A941="","",MAX(0,MIN(1,IFERROR(VALUE($M941),0))))</f>
        <v/>
      </c>
      <c r="O941" s="57">
        <f>IF($A941="",0,IF(OR($S941&lt;&gt;1,COUNTA($J941:$M941)=0),0,IF(SUMPRODUCT(MAX(($C$5:$C$2484=$C941)*($D$5:$D$2484=$D941)*($S$5:$S$2484=1)*IFERROR($N$5:$N$2484*1,0)))&gt;0,ROUND($H941*($N941/SUMPRODUCT(MAX(($C$5:$C$2484=$C941)*($D$5:$D$2484=$D941)*($S$5:$S$2484=1)*IFERROR($N$5:$N$2484*1,0)))),4),0)))</f>
        <v/>
      </c>
      <c r="P941" s="48" t="inlineStr">
        <is>
          <t>coeff.</t>
        </is>
      </c>
      <c r="Q941" s="57">
        <f>IF($A941="","",$A941&amp;"|"&amp;$C941)</f>
        <v/>
      </c>
      <c r="R941" s="57">
        <f>IF($A941="","",$A941&amp;"|"&amp;$C941&amp;"|"&amp;$D941)</f>
        <v/>
      </c>
      <c r="S941" s="57">
        <f>IF($A941="","",IFERROR(INDEX(Offerte!$D$2:$D$81,MATCH($Q941,Offerte!$L$2:$L$81,0)),0))</f>
        <v/>
      </c>
      <c r="T941" s="57">
        <f>IF($A941="","",IFERROR(INDEX(Offerte!$G$2:$G$81,MATCH($Q941,Offerte!$L$2:$L$81,0)),"NO"))</f>
        <v/>
      </c>
    </row>
    <row r="942">
      <c r="A942" s="48">
        <f>IF(Offerte!$A32="","",Offerte!$A32)</f>
        <v/>
      </c>
      <c r="B942" s="48">
        <f>IF(Offerte!$A32="","",Offerte!$B32)</f>
        <v/>
      </c>
      <c r="C942" s="48">
        <f>IF(Offerte!$A32="","",Offerte!$C32)</f>
        <v/>
      </c>
      <c r="D942" s="48" t="inlineStr">
        <is>
          <t>C.1.1</t>
        </is>
      </c>
      <c r="E942" s="48" t="inlineStr">
        <is>
          <t>C</t>
        </is>
      </c>
      <c r="F942" s="48" t="inlineStr">
        <is>
          <t>Q</t>
        </is>
      </c>
      <c r="G942" s="48" t="inlineStr">
        <is>
          <t>higher</t>
        </is>
      </c>
      <c r="H942" s="48" t="n">
        <v>2</v>
      </c>
      <c r="I942" s="48" t="inlineStr">
        <is>
          <t>Tasso di copertura del servizio con telecamere BSD</t>
        </is>
      </c>
      <c r="J942" s="73" t="n"/>
      <c r="K942" s="73" t="n"/>
      <c r="L942" s="73" t="n"/>
      <c r="M942" s="73" t="n"/>
      <c r="N942" s="57">
        <f>IF($A942="","",IFERROR(VALUE($K942)/VALUE($L942),IFERROR(VALUE($J942),0)))</f>
        <v/>
      </c>
      <c r="O942" s="57">
        <f>IF($A942="",0,IF(OR($S942&lt;&gt;1,COUNTA($J942:$M942)=0),0,IF(SUMPRODUCT(MAX(($C$5:$C$2484=$C942)*($D$5:$D$2484=$D942)*($S$5:$S$2484=1)*IFERROR($N$5:$N$2484*1,0)))&gt;0,ROUND($H942*($N942/SUMPRODUCT(MAX(($C$5:$C$2484=$C942)*($D$5:$D$2484=$D942)*($S$5:$S$2484=1)*IFERROR($N$5:$N$2484*1,0)))),4),0)))</f>
        <v/>
      </c>
      <c r="P942" s="48" t="inlineStr">
        <is>
          <t>Autobus attrezzati con telecamere BSD / Autobus totali in offerta, incluse scorte</t>
        </is>
      </c>
      <c r="Q942" s="57">
        <f>IF($A942="","",$A942&amp;"|"&amp;$C942)</f>
        <v/>
      </c>
      <c r="R942" s="57">
        <f>IF($A942="","",$A942&amp;"|"&amp;$C942&amp;"|"&amp;$D942)</f>
        <v/>
      </c>
      <c r="S942" s="57">
        <f>IF($A942="","",IFERROR(INDEX(Offerte!$D$2:$D$81,MATCH($Q942,Offerte!$L$2:$L$81,0)),0))</f>
        <v/>
      </c>
      <c r="T942" s="57">
        <f>IF($A942="","",IFERROR(INDEX(Offerte!$G$2:$G$81,MATCH($Q942,Offerte!$L$2:$L$81,0)),"NO"))</f>
        <v/>
      </c>
    </row>
    <row r="943">
      <c r="A943" s="48">
        <f>IF(Offerte!$A32="","",Offerte!$A32)</f>
        <v/>
      </c>
      <c r="B943" s="48">
        <f>IF(Offerte!$A32="","",Offerte!$B32)</f>
        <v/>
      </c>
      <c r="C943" s="48">
        <f>IF(Offerte!$A32="","",Offerte!$C32)</f>
        <v/>
      </c>
      <c r="D943" s="48" t="inlineStr">
        <is>
          <t>C.1.2</t>
        </is>
      </c>
      <c r="E943" s="48" t="inlineStr">
        <is>
          <t>C</t>
        </is>
      </c>
      <c r="F943" s="48" t="inlineStr">
        <is>
          <t>Q</t>
        </is>
      </c>
      <c r="G943" s="48" t="inlineStr">
        <is>
          <t>higher</t>
        </is>
      </c>
      <c r="H943" s="48" t="n">
        <v>2</v>
      </c>
      <c r="I943" s="48" t="inlineStr">
        <is>
          <t>Tasso di copertura del servizio con telecamere ADAS</t>
        </is>
      </c>
      <c r="J943" s="73" t="n"/>
      <c r="K943" s="73" t="n"/>
      <c r="L943" s="73" t="n"/>
      <c r="M943" s="73" t="n"/>
      <c r="N943" s="57">
        <f>IF($A943="","",IFERROR(VALUE($K943)/VALUE($L943),IFERROR(VALUE($J943),0)))</f>
        <v/>
      </c>
      <c r="O943" s="57">
        <f>IF($A943="",0,IF(OR($S943&lt;&gt;1,COUNTA($J943:$M943)=0),0,IF(SUMPRODUCT(MAX(($C$5:$C$2484=$C943)*($D$5:$D$2484=$D943)*($S$5:$S$2484=1)*IFERROR($N$5:$N$2484*1,0)))&gt;0,ROUND($H943*($N943/SUMPRODUCT(MAX(($C$5:$C$2484=$C943)*($D$5:$D$2484=$D943)*($S$5:$S$2484=1)*IFERROR($N$5:$N$2484*1,0)))),4),0)))</f>
        <v/>
      </c>
      <c r="P943" s="48" t="inlineStr">
        <is>
          <t>Autobus attrezzati con telecamere ADAS / Autobus totali in offerta, incluse scorte</t>
        </is>
      </c>
      <c r="Q943" s="57">
        <f>IF($A943="","",$A943&amp;"|"&amp;$C943)</f>
        <v/>
      </c>
      <c r="R943" s="57">
        <f>IF($A943="","",$A943&amp;"|"&amp;$C943&amp;"|"&amp;$D943)</f>
        <v/>
      </c>
      <c r="S943" s="57">
        <f>IF($A943="","",IFERROR(INDEX(Offerte!$D$2:$D$81,MATCH($Q943,Offerte!$L$2:$L$81,0)),0))</f>
        <v/>
      </c>
      <c r="T943" s="57">
        <f>IF($A943="","",IFERROR(INDEX(Offerte!$G$2:$G$81,MATCH($Q943,Offerte!$L$2:$L$81,0)),"NO"))</f>
        <v/>
      </c>
    </row>
    <row r="944">
      <c r="A944" s="48">
        <f>IF(Offerte!$A32="","",Offerte!$A32)</f>
        <v/>
      </c>
      <c r="B944" s="48">
        <f>IF(Offerte!$A32="","",Offerte!$B32)</f>
        <v/>
      </c>
      <c r="C944" s="48">
        <f>IF(Offerte!$A32="","",Offerte!$C32)</f>
        <v/>
      </c>
      <c r="D944" s="48" t="inlineStr">
        <is>
          <t>C.2.1</t>
        </is>
      </c>
      <c r="E944" s="48" t="inlineStr">
        <is>
          <t>C</t>
        </is>
      </c>
      <c r="F944" s="48" t="inlineStr">
        <is>
          <t>Q</t>
        </is>
      </c>
      <c r="G944" s="48" t="inlineStr">
        <is>
          <t>higher</t>
        </is>
      </c>
      <c r="H944" s="48" t="n">
        <v>3</v>
      </c>
      <c r="I944" s="48" t="inlineStr">
        <is>
          <t>Tasso di copertura del servizio con telecamere di bordo di videosorveglianza</t>
        </is>
      </c>
      <c r="J944" s="73" t="n"/>
      <c r="K944" s="73" t="n"/>
      <c r="L944" s="73" t="n"/>
      <c r="M944" s="73" t="n"/>
      <c r="N944" s="57">
        <f>IF($A944="","",IFERROR(VALUE($K944)/VALUE($L944),IFERROR(VALUE($J944),0)))</f>
        <v/>
      </c>
      <c r="O944" s="57">
        <f>IF($A944="",0,IF(OR($S944&lt;&gt;1,COUNTA($J944:$M944)=0),0,IF(SUMPRODUCT(MAX(($C$5:$C$2484=$C944)*($D$5:$D$2484=$D944)*($S$5:$S$2484=1)*IFERROR($N$5:$N$2484*1,0)))&gt;0,ROUND($H944*($N944/SUMPRODUCT(MAX(($C$5:$C$2484=$C944)*($D$5:$D$2484=$D944)*($S$5:$S$2484=1)*IFERROR($N$5:$N$2484*1,0)))),4),0)))</f>
        <v/>
      </c>
      <c r="P944" s="48" t="inlineStr">
        <is>
          <t>Autobus attrezzati con videosorveglianza / Autobus totali in offerta, incluse scorte</t>
        </is>
      </c>
      <c r="Q944" s="57">
        <f>IF($A944="","",$A944&amp;"|"&amp;$C944)</f>
        <v/>
      </c>
      <c r="R944" s="57">
        <f>IF($A944="","",$A944&amp;"|"&amp;$C944&amp;"|"&amp;$D944)</f>
        <v/>
      </c>
      <c r="S944" s="57">
        <f>IF($A944="","",IFERROR(INDEX(Offerte!$D$2:$D$81,MATCH($Q944,Offerte!$L$2:$L$81,0)),0))</f>
        <v/>
      </c>
      <c r="T944" s="57">
        <f>IF($A944="","",IFERROR(INDEX(Offerte!$G$2:$G$81,MATCH($Q944,Offerte!$L$2:$L$81,0)),"NO"))</f>
        <v/>
      </c>
    </row>
    <row r="945">
      <c r="A945" s="48">
        <f>IF(Offerte!$A32="","",Offerte!$A32)</f>
        <v/>
      </c>
      <c r="B945" s="48">
        <f>IF(Offerte!$A32="","",Offerte!$B32)</f>
        <v/>
      </c>
      <c r="C945" s="48">
        <f>IF(Offerte!$A32="","",Offerte!$C32)</f>
        <v/>
      </c>
      <c r="D945" s="48" t="inlineStr">
        <is>
          <t>C.2.2</t>
        </is>
      </c>
      <c r="E945" s="48" t="inlineStr">
        <is>
          <t>C</t>
        </is>
      </c>
      <c r="F945" s="48" t="inlineStr">
        <is>
          <t>T</t>
        </is>
      </c>
      <c r="G945" s="48" t="inlineStr">
        <is>
          <t>tabular</t>
        </is>
      </c>
      <c r="H945" s="48" t="n">
        <v>1</v>
      </c>
      <c r="I945" s="48" t="inlineStr">
        <is>
          <t>Software video/audio analisi per situazioni di pericolo</t>
        </is>
      </c>
      <c r="J945" s="73" t="n"/>
      <c r="K945" s="73" t="n"/>
      <c r="L945" s="73" t="n"/>
      <c r="M945" s="73" t="n"/>
      <c r="N945" s="57">
        <f>IF($A945="","",IF(IFERROR(VALUE($M945),0)=1,1,0))</f>
        <v/>
      </c>
      <c r="O945" s="57">
        <f>IF($A945="",0,IF(OR($S945&lt;&gt;1,COUNTA($J945:$M945)=0),0,IF($N945=1,$H945,0)))</f>
        <v/>
      </c>
      <c r="P945" s="48" t="inlineStr">
        <is>
          <t>sì/no</t>
        </is>
      </c>
      <c r="Q945" s="57">
        <f>IF($A945="","",$A945&amp;"|"&amp;$C945)</f>
        <v/>
      </c>
      <c r="R945" s="57">
        <f>IF($A945="","",$A945&amp;"|"&amp;$C945&amp;"|"&amp;$D945)</f>
        <v/>
      </c>
      <c r="S945" s="57">
        <f>IF($A945="","",IFERROR(INDEX(Offerte!$D$2:$D$81,MATCH($Q945,Offerte!$L$2:$L$81,0)),0))</f>
        <v/>
      </c>
      <c r="T945" s="57">
        <f>IF($A945="","",IFERROR(INDEX(Offerte!$G$2:$G$81,MATCH($Q945,Offerte!$L$2:$L$81,0)),"NO"))</f>
        <v/>
      </c>
    </row>
    <row r="946">
      <c r="A946" s="48">
        <f>IF(Offerte!$A32="","",Offerte!$A32)</f>
        <v/>
      </c>
      <c r="B946" s="48">
        <f>IF(Offerte!$A32="","",Offerte!$B32)</f>
        <v/>
      </c>
      <c r="C946" s="48">
        <f>IF(Offerte!$A32="","",Offerte!$C32)</f>
        <v/>
      </c>
      <c r="D946" s="48" t="inlineStr">
        <is>
          <t>C.2.3</t>
        </is>
      </c>
      <c r="E946" s="48" t="inlineStr">
        <is>
          <t>C</t>
        </is>
      </c>
      <c r="F946" s="48" t="inlineStr">
        <is>
          <t>T</t>
        </is>
      </c>
      <c r="G946" s="48" t="inlineStr">
        <is>
          <t>tabular</t>
        </is>
      </c>
      <c r="H946" s="48" t="n">
        <v>1</v>
      </c>
      <c r="I946" s="48" t="inlineStr">
        <is>
          <t>Collegamento con centrale qualificata di pronto intervento</t>
        </is>
      </c>
      <c r="J946" s="73" t="n"/>
      <c r="K946" s="73" t="n"/>
      <c r="L946" s="73" t="n"/>
      <c r="M946" s="73" t="n"/>
      <c r="N946" s="57">
        <f>IF($A946="","",IF(IFERROR(VALUE($M946),0)=1,1,0))</f>
        <v/>
      </c>
      <c r="O946" s="57">
        <f>IF($A946="",0,IF(OR($S946&lt;&gt;1,COUNTA($J946:$M946)=0),0,IF($N946=1,$H946,0)))</f>
        <v/>
      </c>
      <c r="P946" s="48" t="inlineStr">
        <is>
          <t>sì/no</t>
        </is>
      </c>
      <c r="Q946" s="57">
        <f>IF($A946="","",$A946&amp;"|"&amp;$C946)</f>
        <v/>
      </c>
      <c r="R946" s="57">
        <f>IF($A946="","",$A946&amp;"|"&amp;$C946&amp;"|"&amp;$D946)</f>
        <v/>
      </c>
      <c r="S946" s="57">
        <f>IF($A946="","",IFERROR(INDEX(Offerte!$D$2:$D$81,MATCH($Q946,Offerte!$L$2:$L$81,0)),0))</f>
        <v/>
      </c>
      <c r="T946" s="57">
        <f>IF($A946="","",IFERROR(INDEX(Offerte!$G$2:$G$81,MATCH($Q946,Offerte!$L$2:$L$81,0)),"NO"))</f>
        <v/>
      </c>
    </row>
    <row r="947">
      <c r="A947" s="48">
        <f>IF(Offerte!$A32="","",Offerte!$A32)</f>
        <v/>
      </c>
      <c r="B947" s="48">
        <f>IF(Offerte!$A32="","",Offerte!$B32)</f>
        <v/>
      </c>
      <c r="C947" s="48">
        <f>IF(Offerte!$A32="","",Offerte!$C32)</f>
        <v/>
      </c>
      <c r="D947" s="48" t="inlineStr">
        <is>
          <t>C.2.4</t>
        </is>
      </c>
      <c r="E947" s="48" t="inlineStr">
        <is>
          <t>C</t>
        </is>
      </c>
      <c r="F947" s="48" t="inlineStr">
        <is>
          <t>Q</t>
        </is>
      </c>
      <c r="G947" s="48" t="inlineStr">
        <is>
          <t>higher</t>
        </is>
      </c>
      <c r="H947" s="48" t="n">
        <v>1</v>
      </c>
      <c r="I947" s="48" t="inlineStr">
        <is>
          <t>Tasso di copertura del servizio con dispositivi per la chiamata di emergenza del conducente</t>
        </is>
      </c>
      <c r="J947" s="73" t="n"/>
      <c r="K947" s="73" t="n"/>
      <c r="L947" s="73" t="n"/>
      <c r="M947" s="73" t="n"/>
      <c r="N947" s="57">
        <f>IF($A947="","",IFERROR(VALUE($K947)/VALUE($L947),IFERROR(VALUE($J947),0)))</f>
        <v/>
      </c>
      <c r="O947" s="57">
        <f>IF($A947="",0,IF(OR($S947&lt;&gt;1,COUNTA($J947:$M947)=0),0,IF(SUMPRODUCT(MAX(($C$5:$C$2484=$C947)*($D$5:$D$2484=$D947)*($S$5:$S$2484=1)*IFERROR($N$5:$N$2484*1,0)))&gt;0,ROUND($H947*($N947/SUMPRODUCT(MAX(($C$5:$C$2484=$C947)*($D$5:$D$2484=$D947)*($S$5:$S$2484=1)*IFERROR($N$5:$N$2484*1,0)))),4),0)))</f>
        <v/>
      </c>
      <c r="P947" s="48" t="inlineStr">
        <is>
          <t>Autobus attrezzati con chiamata di emergenza / Autobus totali in offerta, incluse scorte</t>
        </is>
      </c>
      <c r="Q947" s="57">
        <f>IF($A947="","",$A947&amp;"|"&amp;$C947)</f>
        <v/>
      </c>
      <c r="R947" s="57">
        <f>IF($A947="","",$A947&amp;"|"&amp;$C947&amp;"|"&amp;$D947)</f>
        <v/>
      </c>
      <c r="S947" s="57">
        <f>IF($A947="","",IFERROR(INDEX(Offerte!$D$2:$D$81,MATCH($Q947,Offerte!$L$2:$L$81,0)),0))</f>
        <v/>
      </c>
      <c r="T947" s="57">
        <f>IF($A947="","",IFERROR(INDEX(Offerte!$G$2:$G$81,MATCH($Q947,Offerte!$L$2:$L$81,0)),"NO"))</f>
        <v/>
      </c>
    </row>
    <row r="948">
      <c r="A948" s="48">
        <f>IF(Offerte!$A32="","",Offerte!$A32)</f>
        <v/>
      </c>
      <c r="B948" s="48">
        <f>IF(Offerte!$A32="","",Offerte!$B32)</f>
        <v/>
      </c>
      <c r="C948" s="48">
        <f>IF(Offerte!$A32="","",Offerte!$C32)</f>
        <v/>
      </c>
      <c r="D948" s="48" t="inlineStr">
        <is>
          <t>C.3.1</t>
        </is>
      </c>
      <c r="E948" s="48" t="inlineStr">
        <is>
          <t>C</t>
        </is>
      </c>
      <c r="F948" s="48" t="inlineStr">
        <is>
          <t>Q</t>
        </is>
      </c>
      <c r="G948" s="48" t="inlineStr">
        <is>
          <t>higher</t>
        </is>
      </c>
      <c r="H948" s="48" t="n">
        <v>2</v>
      </c>
      <c r="I948" s="48" t="inlineStr">
        <is>
          <t>Tasso di copertura del servizio con dispositivi di informazione dinamica a bordo mezzo</t>
        </is>
      </c>
      <c r="J948" s="73" t="n"/>
      <c r="K948" s="73" t="n"/>
      <c r="L948" s="73" t="n"/>
      <c r="M948" s="73" t="n"/>
      <c r="N948" s="57">
        <f>IF($A948="","",IFERROR(VALUE($K948)/VALUE($L948),IFERROR(VALUE($J948),0)))</f>
        <v/>
      </c>
      <c r="O948" s="57">
        <f>IF($A948="",0,IF(OR($S948&lt;&gt;1,COUNTA($J948:$M948)=0),0,IF(SUMPRODUCT(MAX(($C$5:$C$2484=$C948)*($D$5:$D$2484=$D948)*($S$5:$S$2484=1)*IFERROR($N$5:$N$2484*1,0)))&gt;0,ROUND($H948*($N948/SUMPRODUCT(MAX(($C$5:$C$2484=$C948)*($D$5:$D$2484=$D948)*($S$5:$S$2484=1)*IFERROR($N$5:$N$2484*1,0)))),4),0)))</f>
        <v/>
      </c>
      <c r="P948" s="48" t="inlineStr">
        <is>
          <t>Autobus con monitor e indicatori vocali / Autobus totali in offerta, incluse scorte</t>
        </is>
      </c>
      <c r="Q948" s="57">
        <f>IF($A948="","",$A948&amp;"|"&amp;$C948)</f>
        <v/>
      </c>
      <c r="R948" s="57">
        <f>IF($A948="","",$A948&amp;"|"&amp;$C948&amp;"|"&amp;$D948)</f>
        <v/>
      </c>
      <c r="S948" s="57">
        <f>IF($A948="","",IFERROR(INDEX(Offerte!$D$2:$D$81,MATCH($Q948,Offerte!$L$2:$L$81,0)),0))</f>
        <v/>
      </c>
      <c r="T948" s="57">
        <f>IF($A948="","",IFERROR(INDEX(Offerte!$G$2:$G$81,MATCH($Q948,Offerte!$L$2:$L$81,0)),"NO"))</f>
        <v/>
      </c>
    </row>
    <row r="949">
      <c r="A949" s="48">
        <f>IF(Offerte!$A32="","",Offerte!$A32)</f>
        <v/>
      </c>
      <c r="B949" s="48">
        <f>IF(Offerte!$A32="","",Offerte!$B32)</f>
        <v/>
      </c>
      <c r="C949" s="48">
        <f>IF(Offerte!$A32="","",Offerte!$C32)</f>
        <v/>
      </c>
      <c r="D949" s="48" t="inlineStr">
        <is>
          <t>C.3.2</t>
        </is>
      </c>
      <c r="E949" s="48" t="inlineStr">
        <is>
          <t>C</t>
        </is>
      </c>
      <c r="F949" s="48" t="inlineStr">
        <is>
          <t>T</t>
        </is>
      </c>
      <c r="G949" s="48" t="inlineStr">
        <is>
          <t>tabular</t>
        </is>
      </c>
      <c r="H949" s="48" t="n">
        <v>2</v>
      </c>
      <c r="I949" s="48" t="inlineStr">
        <is>
          <t>Informazioni a bordo su coincidenze ai nodi</t>
        </is>
      </c>
      <c r="J949" s="73" t="n"/>
      <c r="K949" s="73" t="n"/>
      <c r="L949" s="73" t="n"/>
      <c r="M949" s="73" t="n"/>
      <c r="N949" s="57">
        <f>IF($A949="","",IF(IFERROR(VALUE($M949),0)=1,1,0))</f>
        <v/>
      </c>
      <c r="O949" s="57">
        <f>IF($A949="",0,IF(OR($S949&lt;&gt;1,COUNTA($J949:$M949)=0),0,IF(AND($N949=1,IFERROR(SUMIFS($N$5:$N$2484,$Q$5:$Q$2484,$Q949,$D$5:$D$2484,"C.3.1"),0)&gt;=0.5),$H949,0)))</f>
        <v/>
      </c>
      <c r="P949" s="48" t="inlineStr">
        <is>
          <t>Dipende da C.3.1 &gt;= 0.5</t>
        </is>
      </c>
      <c r="Q949" s="57">
        <f>IF($A949="","",$A949&amp;"|"&amp;$C949)</f>
        <v/>
      </c>
      <c r="R949" s="57">
        <f>IF($A949="","",$A949&amp;"|"&amp;$C949&amp;"|"&amp;$D949)</f>
        <v/>
      </c>
      <c r="S949" s="57">
        <f>IF($A949="","",IFERROR(INDEX(Offerte!$D$2:$D$81,MATCH($Q949,Offerte!$L$2:$L$81,0)),0))</f>
        <v/>
      </c>
      <c r="T949" s="57">
        <f>IF($A949="","",IFERROR(INDEX(Offerte!$G$2:$G$81,MATCH($Q949,Offerte!$L$2:$L$81,0)),"NO"))</f>
        <v/>
      </c>
    </row>
    <row r="950">
      <c r="A950" s="48">
        <f>IF(Offerte!$A32="","",Offerte!$A32)</f>
        <v/>
      </c>
      <c r="B950" s="48">
        <f>IF(Offerte!$A32="","",Offerte!$B32)</f>
        <v/>
      </c>
      <c r="C950" s="48">
        <f>IF(Offerte!$A32="","",Offerte!$C32)</f>
        <v/>
      </c>
      <c r="D950" s="48" t="inlineStr">
        <is>
          <t>D.1.1</t>
        </is>
      </c>
      <c r="E950" s="48" t="inlineStr">
        <is>
          <t>D</t>
        </is>
      </c>
      <c r="F950" s="48" t="inlineStr">
        <is>
          <t>Q</t>
        </is>
      </c>
      <c r="G950" s="48" t="inlineStr">
        <is>
          <t>higher</t>
        </is>
      </c>
      <c r="H950" s="48" t="n">
        <v>3</v>
      </c>
      <c r="I950" s="48" t="inlineStr">
        <is>
          <t>Installazione di pensiline</t>
        </is>
      </c>
      <c r="J950" s="73" t="n"/>
      <c r="K950" s="73" t="n"/>
      <c r="L950" s="73" t="n"/>
      <c r="M950" s="73" t="n"/>
      <c r="N950" s="57">
        <f>IF($A950="","",IFERROR(VALUE($J950),0))</f>
        <v/>
      </c>
      <c r="O950" s="57">
        <f>IF($A950="",0,IF(OR($S950&lt;&gt;1,COUNTA($J950:$M950)=0),0,IF(SUMPRODUCT(MAX(($C$5:$C$2484=$C950)*($D$5:$D$2484=$D950)*($S$5:$S$2484=1)*IFERROR($N$5:$N$2484*1,0)))&gt;0,ROUND($H950*($N950/SUMPRODUCT(MAX(($C$5:$C$2484=$C950)*($D$5:$D$2484=$D950)*($S$5:$S$2484=1)*IFERROR($N$5:$N$2484*1,0)))),4),0)))</f>
        <v/>
      </c>
      <c r="P950" s="48" t="inlineStr">
        <is>
          <t>fermate</t>
        </is>
      </c>
      <c r="Q950" s="57">
        <f>IF($A950="","",$A950&amp;"|"&amp;$C950)</f>
        <v/>
      </c>
      <c r="R950" s="57">
        <f>IF($A950="","",$A950&amp;"|"&amp;$C950&amp;"|"&amp;$D950)</f>
        <v/>
      </c>
      <c r="S950" s="57">
        <f>IF($A950="","",IFERROR(INDEX(Offerte!$D$2:$D$81,MATCH($Q950,Offerte!$L$2:$L$81,0)),0))</f>
        <v/>
      </c>
      <c r="T950" s="57">
        <f>IF($A950="","",IFERROR(INDEX(Offerte!$G$2:$G$81,MATCH($Q950,Offerte!$L$2:$L$81,0)),"NO"))</f>
        <v/>
      </c>
    </row>
    <row r="951">
      <c r="A951" s="48">
        <f>IF(Offerte!$A32="","",Offerte!$A32)</f>
        <v/>
      </c>
      <c r="B951" s="48">
        <f>IF(Offerte!$A32="","",Offerte!$B32)</f>
        <v/>
      </c>
      <c r="C951" s="48">
        <f>IF(Offerte!$A32="","",Offerte!$C32)</f>
        <v/>
      </c>
      <c r="D951" s="48" t="inlineStr">
        <is>
          <t>D.1.2</t>
        </is>
      </c>
      <c r="E951" s="48" t="inlineStr">
        <is>
          <t>D</t>
        </is>
      </c>
      <c r="F951" s="48" t="inlineStr">
        <is>
          <t>Q</t>
        </is>
      </c>
      <c r="G951" s="48" t="inlineStr">
        <is>
          <t>higher</t>
        </is>
      </c>
      <c r="H951" s="48" t="n">
        <v>3</v>
      </c>
      <c r="I951" s="48" t="inlineStr">
        <is>
          <t>Installazione di paline di fermata conformi alla DGR 581/2023</t>
        </is>
      </c>
      <c r="J951" s="73" t="n"/>
      <c r="K951" s="73" t="n"/>
      <c r="L951" s="73" t="n"/>
      <c r="M951" s="73" t="n"/>
      <c r="N951" s="57">
        <f>IF($A951="","",IFERROR(VALUE($J951),0))</f>
        <v/>
      </c>
      <c r="O951" s="57">
        <f>IF($A951="",0,IF(OR($S951&lt;&gt;1,COUNTA($J951:$M951)=0),0,IF(SUMPRODUCT(MAX(($C$5:$C$2484=$C951)*($D$5:$D$2484=$D951)*($S$5:$S$2484=1)*IFERROR($N$5:$N$2484*1,0)))&gt;0,ROUND($H951*($N951/SUMPRODUCT(MAX(($C$5:$C$2484=$C951)*($D$5:$D$2484=$D951)*($S$5:$S$2484=1)*IFERROR($N$5:$N$2484*1,0)))),4),0)))</f>
        <v/>
      </c>
      <c r="P951" s="48" t="inlineStr">
        <is>
          <t>fermate</t>
        </is>
      </c>
      <c r="Q951" s="57">
        <f>IF($A951="","",$A951&amp;"|"&amp;$C951)</f>
        <v/>
      </c>
      <c r="R951" s="57">
        <f>IF($A951="","",$A951&amp;"|"&amp;$C951&amp;"|"&amp;$D951)</f>
        <v/>
      </c>
      <c r="S951" s="57">
        <f>IF($A951="","",IFERROR(INDEX(Offerte!$D$2:$D$81,MATCH($Q951,Offerte!$L$2:$L$81,0)),0))</f>
        <v/>
      </c>
      <c r="T951" s="57">
        <f>IF($A951="","",IFERROR(INDEX(Offerte!$G$2:$G$81,MATCH($Q951,Offerte!$L$2:$L$81,0)),"NO"))</f>
        <v/>
      </c>
    </row>
    <row r="952">
      <c r="A952" s="48">
        <f>IF(Offerte!$A32="","",Offerte!$A32)</f>
        <v/>
      </c>
      <c r="B952" s="48">
        <f>IF(Offerte!$A32="","",Offerte!$B32)</f>
        <v/>
      </c>
      <c r="C952" s="48">
        <f>IF(Offerte!$A32="","",Offerte!$C32)</f>
        <v/>
      </c>
      <c r="D952" s="48" t="inlineStr">
        <is>
          <t>D.1.3</t>
        </is>
      </c>
      <c r="E952" s="48" t="inlineStr">
        <is>
          <t>D</t>
        </is>
      </c>
      <c r="F952" s="48" t="inlineStr">
        <is>
          <t>Q</t>
        </is>
      </c>
      <c r="G952" s="48" t="inlineStr">
        <is>
          <t>higher</t>
        </is>
      </c>
      <c r="H952" s="48" t="n">
        <v>2</v>
      </c>
      <c r="I952" s="48" t="inlineStr">
        <is>
          <t>Display informativi connessi alle fermate</t>
        </is>
      </c>
      <c r="J952" s="73" t="n"/>
      <c r="K952" s="73" t="n"/>
      <c r="L952" s="73" t="n"/>
      <c r="M952" s="73" t="n"/>
      <c r="N952" s="57">
        <f>IF($A952="","",IFERROR(VALUE($J952),0))</f>
        <v/>
      </c>
      <c r="O952" s="57">
        <f>IF($A952="",0,IF(OR($S952&lt;&gt;1,COUNTA($J952:$M952)=0),0,IF(SUMPRODUCT(MAX(($C$5:$C$2484=$C952)*($D$5:$D$2484=$D952)*($S$5:$S$2484=1)*IFERROR($N$5:$N$2484*1,0)))&gt;0,ROUND($H952*($N952/SUMPRODUCT(MAX(($C$5:$C$2484=$C952)*($D$5:$D$2484=$D952)*($S$5:$S$2484=1)*IFERROR($N$5:$N$2484*1,0)))),4),0)))</f>
        <v/>
      </c>
      <c r="P952" s="48" t="inlineStr">
        <is>
          <t>fermate</t>
        </is>
      </c>
      <c r="Q952" s="57">
        <f>IF($A952="","",$A952&amp;"|"&amp;$C952)</f>
        <v/>
      </c>
      <c r="R952" s="57">
        <f>IF($A952="","",$A952&amp;"|"&amp;$C952&amp;"|"&amp;$D952)</f>
        <v/>
      </c>
      <c r="S952" s="57">
        <f>IF($A952="","",IFERROR(INDEX(Offerte!$D$2:$D$81,MATCH($Q952,Offerte!$L$2:$L$81,0)),0))</f>
        <v/>
      </c>
      <c r="T952" s="57">
        <f>IF($A952="","",IFERROR(INDEX(Offerte!$G$2:$G$81,MATCH($Q952,Offerte!$L$2:$L$81,0)),"NO"))</f>
        <v/>
      </c>
    </row>
    <row r="953">
      <c r="A953" s="48">
        <f>IF(Offerte!$A32="","",Offerte!$A32)</f>
        <v/>
      </c>
      <c r="B953" s="48">
        <f>IF(Offerte!$A32="","",Offerte!$B32)</f>
        <v/>
      </c>
      <c r="C953" s="48">
        <f>IF(Offerte!$A32="","",Offerte!$C32)</f>
        <v/>
      </c>
      <c r="D953" s="48" t="inlineStr">
        <is>
          <t>D.2.1</t>
        </is>
      </c>
      <c r="E953" s="48" t="inlineStr">
        <is>
          <t>D</t>
        </is>
      </c>
      <c r="F953" s="48" t="inlineStr">
        <is>
          <t>Q</t>
        </is>
      </c>
      <c r="G953" s="48" t="inlineStr">
        <is>
          <t>higher</t>
        </is>
      </c>
      <c r="H953" s="48" t="n">
        <v>2</v>
      </c>
      <c r="I953" s="48" t="inlineStr">
        <is>
          <t>Segnali tattili Loges-Vet-Evolution</t>
        </is>
      </c>
      <c r="J953" s="73" t="n"/>
      <c r="K953" s="73" t="n"/>
      <c r="L953" s="73" t="n"/>
      <c r="M953" s="73" t="n"/>
      <c r="N953" s="57">
        <f>IF($A953="","",IFERROR(VALUE($J953),0))</f>
        <v/>
      </c>
      <c r="O953" s="57">
        <f>IF($A953="",0,IF(OR($S953&lt;&gt;1,COUNTA($J953:$M953)=0),0,IF(SUMPRODUCT(MAX(($C$5:$C$2484=$C953)*($D$5:$D$2484=$D953)*($S$5:$S$2484=1)*IFERROR($N$5:$N$2484*1,0)))&gt;0,ROUND($H953*($N953/SUMPRODUCT(MAX(($C$5:$C$2484=$C953)*($D$5:$D$2484=$D953)*($S$5:$S$2484=1)*IFERROR($N$5:$N$2484*1,0)))),4),0)))</f>
        <v/>
      </c>
      <c r="P953" s="48" t="inlineStr">
        <is>
          <t>fermate</t>
        </is>
      </c>
      <c r="Q953" s="57">
        <f>IF($A953="","",$A953&amp;"|"&amp;$C953)</f>
        <v/>
      </c>
      <c r="R953" s="57">
        <f>IF($A953="","",$A953&amp;"|"&amp;$C953&amp;"|"&amp;$D953)</f>
        <v/>
      </c>
      <c r="S953" s="57">
        <f>IF($A953="","",IFERROR(INDEX(Offerte!$D$2:$D$81,MATCH($Q953,Offerte!$L$2:$L$81,0)),0))</f>
        <v/>
      </c>
      <c r="T953" s="57">
        <f>IF($A953="","",IFERROR(INDEX(Offerte!$G$2:$G$81,MATCH($Q953,Offerte!$L$2:$L$81,0)),"NO"))</f>
        <v/>
      </c>
    </row>
    <row r="954">
      <c r="A954" s="48">
        <f>IF(Offerte!$A32="","",Offerte!$A32)</f>
        <v/>
      </c>
      <c r="B954" s="48">
        <f>IF(Offerte!$A32="","",Offerte!$B32)</f>
        <v/>
      </c>
      <c r="C954" s="48">
        <f>IF(Offerte!$A32="","",Offerte!$C32)</f>
        <v/>
      </c>
      <c r="D954" s="48" t="inlineStr">
        <is>
          <t>E.1.1</t>
        </is>
      </c>
      <c r="E954" s="48" t="inlineStr">
        <is>
          <t>E</t>
        </is>
      </c>
      <c r="F954" s="48" t="inlineStr">
        <is>
          <t>T</t>
        </is>
      </c>
      <c r="G954" s="48" t="inlineStr">
        <is>
          <t>tabular</t>
        </is>
      </c>
      <c r="H954" s="48" t="n">
        <v>2</v>
      </c>
      <c r="I954" s="48" t="inlineStr">
        <is>
          <t>Mobile app con travel planner PRM</t>
        </is>
      </c>
      <c r="J954" s="73" t="n"/>
      <c r="K954" s="73" t="n"/>
      <c r="L954" s="73" t="n"/>
      <c r="M954" s="73" t="n"/>
      <c r="N954" s="57">
        <f>IF($A954="","",IF(IFERROR(VALUE($M954),0)=1,1,0))</f>
        <v/>
      </c>
      <c r="O954" s="57">
        <f>IF($A954="",0,IF(OR($S954&lt;&gt;1,COUNTA($J954:$M954)=0),0,IF($N954=1,$H954,0)))</f>
        <v/>
      </c>
      <c r="P954" s="48" t="inlineStr">
        <is>
          <t>sì/no</t>
        </is>
      </c>
      <c r="Q954" s="57">
        <f>IF($A954="","",$A954&amp;"|"&amp;$C954)</f>
        <v/>
      </c>
      <c r="R954" s="57">
        <f>IF($A954="","",$A954&amp;"|"&amp;$C954&amp;"|"&amp;$D954)</f>
        <v/>
      </c>
      <c r="S954" s="57">
        <f>IF($A954="","",IFERROR(INDEX(Offerte!$D$2:$D$81,MATCH($Q954,Offerte!$L$2:$L$81,0)),0))</f>
        <v/>
      </c>
      <c r="T954" s="57">
        <f>IF($A954="","",IFERROR(INDEX(Offerte!$G$2:$G$81,MATCH($Q954,Offerte!$L$2:$L$81,0)),"NO"))</f>
        <v/>
      </c>
    </row>
    <row r="955">
      <c r="A955" s="48">
        <f>IF(Offerte!$A32="","",Offerte!$A32)</f>
        <v/>
      </c>
      <c r="B955" s="48">
        <f>IF(Offerte!$A32="","",Offerte!$B32)</f>
        <v/>
      </c>
      <c r="C955" s="48">
        <f>IF(Offerte!$A32="","",Offerte!$C32)</f>
        <v/>
      </c>
      <c r="D955" s="48" t="inlineStr">
        <is>
          <t>E.2.1</t>
        </is>
      </c>
      <c r="E955" s="48" t="inlineStr">
        <is>
          <t>E</t>
        </is>
      </c>
      <c r="F955" s="48" t="inlineStr">
        <is>
          <t>D</t>
        </is>
      </c>
      <c r="G955" s="48" t="inlineStr">
        <is>
          <t>discretionary</t>
        </is>
      </c>
      <c r="H955" s="48" t="n">
        <v>2</v>
      </c>
      <c r="I955" s="48" t="inlineStr">
        <is>
          <t>Altre azioni informative e rapporti con gli utenti</t>
        </is>
      </c>
      <c r="J955" s="73" t="n"/>
      <c r="K955" s="73" t="n"/>
      <c r="L955" s="73" t="n"/>
      <c r="M955" s="73" t="n"/>
      <c r="N955" s="57">
        <f>IF($A955="","",MAX(0,MIN(1,IFERROR(VALUE($M955),0))))</f>
        <v/>
      </c>
      <c r="O955" s="57">
        <f>IF($A955="",0,IF(OR($S955&lt;&gt;1,COUNTA($J955:$M955)=0),0,IF(SUMPRODUCT(MAX(($C$5:$C$2484=$C955)*($D$5:$D$2484=$D955)*($S$5:$S$2484=1)*IFERROR($N$5:$N$2484*1,0)))&gt;0,ROUND($H955*($N955/SUMPRODUCT(MAX(($C$5:$C$2484=$C955)*($D$5:$D$2484=$D955)*($S$5:$S$2484=1)*IFERROR($N$5:$N$2484*1,0)))),4),0)))</f>
        <v/>
      </c>
      <c r="P955" s="48" t="inlineStr">
        <is>
          <t>coeff.</t>
        </is>
      </c>
      <c r="Q955" s="57">
        <f>IF($A955="","",$A955&amp;"|"&amp;$C955)</f>
        <v/>
      </c>
      <c r="R955" s="57">
        <f>IF($A955="","",$A955&amp;"|"&amp;$C955&amp;"|"&amp;$D955)</f>
        <v/>
      </c>
      <c r="S955" s="57">
        <f>IF($A955="","",IFERROR(INDEX(Offerte!$D$2:$D$81,MATCH($Q955,Offerte!$L$2:$L$81,0)),0))</f>
        <v/>
      </c>
      <c r="T955" s="57">
        <f>IF($A955="","",IFERROR(INDEX(Offerte!$G$2:$G$81,MATCH($Q955,Offerte!$L$2:$L$81,0)),"NO"))</f>
        <v/>
      </c>
    </row>
    <row r="956">
      <c r="A956" s="48">
        <f>IF(Offerte!$A32="","",Offerte!$A32)</f>
        <v/>
      </c>
      <c r="B956" s="48">
        <f>IF(Offerte!$A32="","",Offerte!$B32)</f>
        <v/>
      </c>
      <c r="C956" s="48">
        <f>IF(Offerte!$A32="","",Offerte!$C32)</f>
        <v/>
      </c>
      <c r="D956" s="48" t="inlineStr">
        <is>
          <t>F.1.1</t>
        </is>
      </c>
      <c r="E956" s="48" t="inlineStr">
        <is>
          <t>F</t>
        </is>
      </c>
      <c r="F956" s="48" t="inlineStr">
        <is>
          <t>Q</t>
        </is>
      </c>
      <c r="G956" s="48" t="inlineStr">
        <is>
          <t>lower</t>
        </is>
      </c>
      <c r="H956" s="48" t="n">
        <v>7</v>
      </c>
      <c r="I956" s="48" t="inlineStr">
        <is>
          <t>Performance ambientali del parco mezzi adibito al servizio - I_CEA</t>
        </is>
      </c>
      <c r="J956" s="73" t="n"/>
      <c r="K956" s="73" t="n"/>
      <c r="L956" s="73" t="n"/>
      <c r="M956" s="73" t="n"/>
      <c r="N956" s="57">
        <f>IF($A956="","",IFERROR(VALUE($J956),0))</f>
        <v/>
      </c>
      <c r="O956" s="57">
        <f>IF($A956="",0,IF(OR($S956&lt;&gt;1,COUNTA($J956:$M956)=0),0,IF(AND(IFERROR(AGGREGATE(15,6,$N$5:$N$2484/(($C$5:$C$2484=$C956)*($D$5:$D$2484=$D956)*($S$5:$S$2484=1)*($N$5:$N$2484&gt;0)),1),0)&gt;0,$N956&gt;0),ROUND($H956*(IFERROR(AGGREGATE(15,6,$N$5:$N$2484/(($C$5:$C$2484=$C956)*($D$5:$D$2484=$D956)*($S$5:$S$2484=1)*($N$5:$N$2484&gt;0)),1),0)/$N956),4),0)))</f>
        <v/>
      </c>
      <c r="P956" s="48" t="inlineStr">
        <is>
          <t>indice</t>
        </is>
      </c>
      <c r="Q956" s="57">
        <f>IF($A956="","",$A956&amp;"|"&amp;$C956)</f>
        <v/>
      </c>
      <c r="R956" s="57">
        <f>IF($A956="","",$A956&amp;"|"&amp;$C956&amp;"|"&amp;$D956)</f>
        <v/>
      </c>
      <c r="S956" s="57">
        <f>IF($A956="","",IFERROR(INDEX(Offerte!$D$2:$D$81,MATCH($Q956,Offerte!$L$2:$L$81,0)),0))</f>
        <v/>
      </c>
      <c r="T956" s="57">
        <f>IF($A956="","",IFERROR(INDEX(Offerte!$G$2:$G$81,MATCH($Q956,Offerte!$L$2:$L$81,0)),"NO"))</f>
        <v/>
      </c>
    </row>
    <row r="957">
      <c r="A957" s="48">
        <f>IF(Offerte!$A32="","",Offerte!$A32)</f>
        <v/>
      </c>
      <c r="B957" s="48">
        <f>IF(Offerte!$A32="","",Offerte!$B32)</f>
        <v/>
      </c>
      <c r="C957" s="48">
        <f>IF(Offerte!$A32="","",Offerte!$C32)</f>
        <v/>
      </c>
      <c r="D957" s="48" t="inlineStr">
        <is>
          <t>F.2.1</t>
        </is>
      </c>
      <c r="E957" s="48" t="inlineStr">
        <is>
          <t>F</t>
        </is>
      </c>
      <c r="F957" s="48" t="inlineStr">
        <is>
          <t>Q</t>
        </is>
      </c>
      <c r="G957" s="48" t="inlineStr">
        <is>
          <t>higher</t>
        </is>
      </c>
      <c r="H957" s="48" t="n">
        <v>2</v>
      </c>
      <c r="I957" s="48" t="inlineStr">
        <is>
          <t>Tasso di copertura del servizio con dispositivi ECO-DRIVER</t>
        </is>
      </c>
      <c r="J957" s="73" t="n"/>
      <c r="K957" s="73" t="n"/>
      <c r="L957" s="73" t="n"/>
      <c r="M957" s="73" t="n"/>
      <c r="N957" s="57">
        <f>IF($A957="","",IFERROR(VALUE($K957)/VALUE($L957),IFERROR(VALUE($J957),0)))</f>
        <v/>
      </c>
      <c r="O957" s="57">
        <f>IF($A957="",0,IF(OR($S957&lt;&gt;1,COUNTA($J957:$M957)=0),0,IF(SUMPRODUCT(MAX(($C$5:$C$2484=$C957)*($D$5:$D$2484=$D957)*($S$5:$S$2484=1)*IFERROR($N$5:$N$2484*1,0)))&gt;0,ROUND($H957*($N957/SUMPRODUCT(MAX(($C$5:$C$2484=$C957)*($D$5:$D$2484=$D957)*($S$5:$S$2484=1)*IFERROR($N$5:$N$2484*1,0)))),4),0)))</f>
        <v/>
      </c>
      <c r="P957" s="48" t="inlineStr">
        <is>
          <t>Autobus attrezzati con dispositivi ECO-DRIVER / Autobus totali in offerta, incluse scorte</t>
        </is>
      </c>
      <c r="Q957" s="57">
        <f>IF($A957="","",$A957&amp;"|"&amp;$C957)</f>
        <v/>
      </c>
      <c r="R957" s="57">
        <f>IF($A957="","",$A957&amp;"|"&amp;$C957&amp;"|"&amp;$D957)</f>
        <v/>
      </c>
      <c r="S957" s="57">
        <f>IF($A957="","",IFERROR(INDEX(Offerte!$D$2:$D$81,MATCH($Q957,Offerte!$L$2:$L$81,0)),0))</f>
        <v/>
      </c>
      <c r="T957" s="57">
        <f>IF($A957="","",IFERROR(INDEX(Offerte!$G$2:$G$81,MATCH($Q957,Offerte!$L$2:$L$81,0)),"NO"))</f>
        <v/>
      </c>
    </row>
    <row r="958">
      <c r="A958" s="48">
        <f>IF(Offerte!$A32="","",Offerte!$A32)</f>
        <v/>
      </c>
      <c r="B958" s="48">
        <f>IF(Offerte!$A32="","",Offerte!$B32)</f>
        <v/>
      </c>
      <c r="C958" s="48">
        <f>IF(Offerte!$A32="","",Offerte!$C32)</f>
        <v/>
      </c>
      <c r="D958" s="48" t="inlineStr">
        <is>
          <t>F.3.1</t>
        </is>
      </c>
      <c r="E958" s="48" t="inlineStr">
        <is>
          <t>F</t>
        </is>
      </c>
      <c r="F958" s="48" t="inlineStr">
        <is>
          <t>Q</t>
        </is>
      </c>
      <c r="G958" s="48" t="inlineStr">
        <is>
          <t>higher</t>
        </is>
      </c>
      <c r="H958" s="48" t="n">
        <v>2</v>
      </c>
      <c r="I958" s="48" t="inlineStr">
        <is>
          <t>Autoproduzione consumi elettrici per trazione</t>
        </is>
      </c>
      <c r="J958" s="73" t="n"/>
      <c r="K958" s="73" t="n"/>
      <c r="L958" s="73" t="n"/>
      <c r="M958" s="73" t="n"/>
      <c r="N958" s="57">
        <f>IF($A958="","",IFERROR(VALUE($J958),0))</f>
        <v/>
      </c>
      <c r="O958" s="57">
        <f>IF($A958="",0,IF(OR($S958&lt;&gt;1,COUNTA($J958:$M958)=0),0,IF(SUMPRODUCT(MAX(($C$5:$C$2484=$C958)*($D$5:$D$2484=$D958)*($S$5:$S$2484=1)*IFERROR($N$5:$N$2484*1,0)))&gt;0,ROUND($H958*($N958/SUMPRODUCT(MAX(($C$5:$C$2484=$C958)*($D$5:$D$2484=$D958)*($S$5:$S$2484=1)*IFERROR($N$5:$N$2484*1,0)))),4),0)))</f>
        <v/>
      </c>
      <c r="P958" s="48" t="inlineStr">
        <is>
          <t>kWh/anno</t>
        </is>
      </c>
      <c r="Q958" s="57">
        <f>IF($A958="","",$A958&amp;"|"&amp;$C958)</f>
        <v/>
      </c>
      <c r="R958" s="57">
        <f>IF($A958="","",$A958&amp;"|"&amp;$C958&amp;"|"&amp;$D958)</f>
        <v/>
      </c>
      <c r="S958" s="57">
        <f>IF($A958="","",IFERROR(INDEX(Offerte!$D$2:$D$81,MATCH($Q958,Offerte!$L$2:$L$81,0)),0))</f>
        <v/>
      </c>
      <c r="T958" s="57">
        <f>IF($A958="","",IFERROR(INDEX(Offerte!$G$2:$G$81,MATCH($Q958,Offerte!$L$2:$L$81,0)),"NO"))</f>
        <v/>
      </c>
    </row>
    <row r="959">
      <c r="A959" s="48">
        <f>IF(Offerte!$A32="","",Offerte!$A32)</f>
        <v/>
      </c>
      <c r="B959" s="48">
        <f>IF(Offerte!$A32="","",Offerte!$B32)</f>
        <v/>
      </c>
      <c r="C959" s="48">
        <f>IF(Offerte!$A32="","",Offerte!$C32)</f>
        <v/>
      </c>
      <c r="D959" s="48" t="inlineStr">
        <is>
          <t>F.4.1</t>
        </is>
      </c>
      <c r="E959" s="48" t="inlineStr">
        <is>
          <t>F</t>
        </is>
      </c>
      <c r="F959" s="48" t="inlineStr">
        <is>
          <t>Q</t>
        </is>
      </c>
      <c r="G959" s="48" t="inlineStr">
        <is>
          <t>soil</t>
        </is>
      </c>
      <c r="H959" s="48" t="n">
        <v>2</v>
      </c>
      <c r="I959" s="48" t="inlineStr">
        <is>
          <t>Indice di consumo di suolo</t>
        </is>
      </c>
      <c r="J959" s="73" t="n"/>
      <c r="K959" s="73" t="n"/>
      <c r="L959" s="73" t="n"/>
      <c r="M959" s="73" t="n"/>
      <c r="N959" s="57">
        <f>IF($A959="","",IFERROR(VALUE($J959),0))</f>
        <v/>
      </c>
      <c r="O959" s="57">
        <f>IF($A959="",0,IF(OR($S959&lt;&gt;1,COUNTA($J959:$M959)=0),0,IF($N959&lt;=0,$H959,IF(SUMPRODUCT(MAX(($C$5:$C$2484=$C959)*($D$5:$D$2484=$D959)*($S$5:$S$2484=1)*IFERROR($N$5:$N$2484*1,0)))&gt;0,ROUND($H959*((SUMPRODUCT(MAX(($C$5:$C$2484=$C959)*($D$5:$D$2484=$D959)*($S$5:$S$2484=1)*IFERROR($N$5:$N$2484*1,0)))-$N959)/SUMPRODUCT(MAX(($C$5:$C$2484=$C959)*($D$5:$D$2484=$D959)*($S$5:$S$2484=1)*IFERROR($N$5:$N$2484*1,0)))),4),0))))</f>
        <v/>
      </c>
      <c r="P959" s="48" t="inlineStr">
        <is>
          <t>m2</t>
        </is>
      </c>
      <c r="Q959" s="57">
        <f>IF($A959="","",$A959&amp;"|"&amp;$C959)</f>
        <v/>
      </c>
      <c r="R959" s="57">
        <f>IF($A959="","",$A959&amp;"|"&amp;$C959&amp;"|"&amp;$D959)</f>
        <v/>
      </c>
      <c r="S959" s="57">
        <f>IF($A959="","",IFERROR(INDEX(Offerte!$D$2:$D$81,MATCH($Q959,Offerte!$L$2:$L$81,0)),0))</f>
        <v/>
      </c>
      <c r="T959" s="57">
        <f>IF($A959="","",IFERROR(INDEX(Offerte!$G$2:$G$81,MATCH($Q959,Offerte!$L$2:$L$81,0)),"NO"))</f>
        <v/>
      </c>
    </row>
    <row r="960">
      <c r="A960" s="48">
        <f>IF(Offerte!$A32="","",Offerte!$A32)</f>
        <v/>
      </c>
      <c r="B960" s="48">
        <f>IF(Offerte!$A32="","",Offerte!$B32)</f>
        <v/>
      </c>
      <c r="C960" s="48">
        <f>IF(Offerte!$A32="","",Offerte!$C32)</f>
        <v/>
      </c>
      <c r="D960" s="48" t="inlineStr">
        <is>
          <t>F.5.1</t>
        </is>
      </c>
      <c r="E960" s="48" t="inlineStr">
        <is>
          <t>F</t>
        </is>
      </c>
      <c r="F960" s="48" t="inlineStr">
        <is>
          <t>T</t>
        </is>
      </c>
      <c r="G960" s="48" t="inlineStr">
        <is>
          <t>tabular</t>
        </is>
      </c>
      <c r="H960" s="48" t="n">
        <v>1</v>
      </c>
      <c r="I960" s="48" t="inlineStr">
        <is>
          <t>Rendicontazione di sostenibilità ambientale</t>
        </is>
      </c>
      <c r="J960" s="73" t="n"/>
      <c r="K960" s="73" t="n"/>
      <c r="L960" s="73" t="n"/>
      <c r="M960" s="73" t="n"/>
      <c r="N960" s="57">
        <f>IF($A960="","",IF(IFERROR(VALUE($M960),0)=1,1,0))</f>
        <v/>
      </c>
      <c r="O960" s="57">
        <f>IF($A960="",0,IF(OR($S960&lt;&gt;1,COUNTA($J960:$M960)=0),0,IF($N960=1,$H960,0)))</f>
        <v/>
      </c>
      <c r="P960" s="48" t="inlineStr">
        <is>
          <t>sì/no</t>
        </is>
      </c>
      <c r="Q960" s="57">
        <f>IF($A960="","",$A960&amp;"|"&amp;$C960)</f>
        <v/>
      </c>
      <c r="R960" s="57">
        <f>IF($A960="","",$A960&amp;"|"&amp;$C960&amp;"|"&amp;$D960)</f>
        <v/>
      </c>
      <c r="S960" s="57">
        <f>IF($A960="","",IFERROR(INDEX(Offerte!$D$2:$D$81,MATCH($Q960,Offerte!$L$2:$L$81,0)),0))</f>
        <v/>
      </c>
      <c r="T960" s="57">
        <f>IF($A960="","",IFERROR(INDEX(Offerte!$G$2:$G$81,MATCH($Q960,Offerte!$L$2:$L$81,0)),"NO"))</f>
        <v/>
      </c>
    </row>
    <row r="961">
      <c r="A961" s="48">
        <f>IF(Offerte!$A32="","",Offerte!$A32)</f>
        <v/>
      </c>
      <c r="B961" s="48">
        <f>IF(Offerte!$A32="","",Offerte!$B32)</f>
        <v/>
      </c>
      <c r="C961" s="48">
        <f>IF(Offerte!$A32="","",Offerte!$C32)</f>
        <v/>
      </c>
      <c r="D961" s="48" t="inlineStr">
        <is>
          <t>G.1.1</t>
        </is>
      </c>
      <c r="E961" s="48" t="inlineStr">
        <is>
          <t>G</t>
        </is>
      </c>
      <c r="F961" s="48" t="inlineStr">
        <is>
          <t>D</t>
        </is>
      </c>
      <c r="G961" s="48" t="inlineStr">
        <is>
          <t>discretionary</t>
        </is>
      </c>
      <c r="H961" s="48" t="n">
        <v>2</v>
      </c>
      <c r="I961" s="48" t="inlineStr">
        <is>
          <t>Qualità del progetto di centrale di controllo aziendale</t>
        </is>
      </c>
      <c r="J961" s="73" t="n"/>
      <c r="K961" s="73" t="n"/>
      <c r="L961" s="73" t="n"/>
      <c r="M961" s="73" t="n"/>
      <c r="N961" s="57">
        <f>IF($A961="","",MAX(0,MIN(1,IFERROR(VALUE($M961),0))))</f>
        <v/>
      </c>
      <c r="O961" s="57">
        <f>IF($A961="",0,IF(OR($S961&lt;&gt;1,COUNTA($J961:$M961)=0),0,IF(SUMPRODUCT(MAX(($C$5:$C$2484=$C961)*($D$5:$D$2484=$D961)*($S$5:$S$2484=1)*IFERROR($N$5:$N$2484*1,0)))&gt;0,ROUND($H961*($N961/SUMPRODUCT(MAX(($C$5:$C$2484=$C961)*($D$5:$D$2484=$D961)*($S$5:$S$2484=1)*IFERROR($N$5:$N$2484*1,0)))),4),0)))</f>
        <v/>
      </c>
      <c r="P961" s="48" t="inlineStr">
        <is>
          <t>coeff.</t>
        </is>
      </c>
      <c r="Q961" s="57">
        <f>IF($A961="","",$A961&amp;"|"&amp;$C961)</f>
        <v/>
      </c>
      <c r="R961" s="57">
        <f>IF($A961="","",$A961&amp;"|"&amp;$C961&amp;"|"&amp;$D961)</f>
        <v/>
      </c>
      <c r="S961" s="57">
        <f>IF($A961="","",IFERROR(INDEX(Offerte!$D$2:$D$81,MATCH($Q961,Offerte!$L$2:$L$81,0)),0))</f>
        <v/>
      </c>
      <c r="T961" s="57">
        <f>IF($A961="","",IFERROR(INDEX(Offerte!$G$2:$G$81,MATCH($Q961,Offerte!$L$2:$L$81,0)),"NO"))</f>
        <v/>
      </c>
    </row>
    <row r="962">
      <c r="A962" s="48">
        <f>IF(Offerte!$A32="","",Offerte!$A32)</f>
        <v/>
      </c>
      <c r="B962" s="48">
        <f>IF(Offerte!$A32="","",Offerte!$B32)</f>
        <v/>
      </c>
      <c r="C962" s="48">
        <f>IF(Offerte!$A32="","",Offerte!$C32)</f>
        <v/>
      </c>
      <c r="D962" s="48" t="inlineStr">
        <is>
          <t>G.2.1</t>
        </is>
      </c>
      <c r="E962" s="48" t="inlineStr">
        <is>
          <t>G</t>
        </is>
      </c>
      <c r="F962" s="48" t="inlineStr">
        <is>
          <t>T</t>
        </is>
      </c>
      <c r="G962" s="48" t="inlineStr">
        <is>
          <t>tabular</t>
        </is>
      </c>
      <c r="H962" s="48" t="n">
        <v>1</v>
      </c>
      <c r="I962" s="48" t="inlineStr">
        <is>
          <t>Certificazione ISO 45001</t>
        </is>
      </c>
      <c r="J962" s="73" t="n"/>
      <c r="K962" s="73" t="n"/>
      <c r="L962" s="73" t="n"/>
      <c r="M962" s="73" t="n"/>
      <c r="N962" s="57">
        <f>IF($A962="","",IF(IFERROR(VALUE($M962),0)=1,1,0))</f>
        <v/>
      </c>
      <c r="O962" s="57">
        <f>IF($A962="",0,IF(OR($S962&lt;&gt;1,COUNTA($J962:$M962)=0),0,IF($N962=1,$H962,0)))</f>
        <v/>
      </c>
      <c r="P962" s="48" t="inlineStr">
        <is>
          <t>sì/no</t>
        </is>
      </c>
      <c r="Q962" s="57">
        <f>IF($A962="","",$A962&amp;"|"&amp;$C962)</f>
        <v/>
      </c>
      <c r="R962" s="57">
        <f>IF($A962="","",$A962&amp;"|"&amp;$C962&amp;"|"&amp;$D962)</f>
        <v/>
      </c>
      <c r="S962" s="57">
        <f>IF($A962="","",IFERROR(INDEX(Offerte!$D$2:$D$81,MATCH($Q962,Offerte!$L$2:$L$81,0)),0))</f>
        <v/>
      </c>
      <c r="T962" s="57">
        <f>IF($A962="","",IFERROR(INDEX(Offerte!$G$2:$G$81,MATCH($Q962,Offerte!$L$2:$L$81,0)),"NO"))</f>
        <v/>
      </c>
    </row>
    <row r="963">
      <c r="A963" s="48">
        <f>IF(Offerte!$A32="","",Offerte!$A32)</f>
        <v/>
      </c>
      <c r="B963" s="48">
        <f>IF(Offerte!$A32="","",Offerte!$B32)</f>
        <v/>
      </c>
      <c r="C963" s="48">
        <f>IF(Offerte!$A32="","",Offerte!$C32)</f>
        <v/>
      </c>
      <c r="D963" s="48" t="inlineStr">
        <is>
          <t>G.3.1</t>
        </is>
      </c>
      <c r="E963" s="48" t="inlineStr">
        <is>
          <t>G</t>
        </is>
      </c>
      <c r="F963" s="48" t="inlineStr">
        <is>
          <t>T</t>
        </is>
      </c>
      <c r="G963" s="48" t="inlineStr">
        <is>
          <t>tabular</t>
        </is>
      </c>
      <c r="H963" s="48" t="n">
        <v>1</v>
      </c>
      <c r="I963" s="48" t="inlineStr">
        <is>
          <t>Certificazioni di responsabilità sociale</t>
        </is>
      </c>
      <c r="J963" s="73" t="n"/>
      <c r="K963" s="73" t="n"/>
      <c r="L963" s="73" t="n"/>
      <c r="M963" s="73" t="n"/>
      <c r="N963" s="57">
        <f>IF($A963="","",IF(IFERROR(VALUE($M963),0)=1,1,0))</f>
        <v/>
      </c>
      <c r="O963" s="57">
        <f>IF($A963="",0,IF(OR($S963&lt;&gt;1,COUNTA($J963:$M963)=0),0,IF($N963=1,$H963,0)))</f>
        <v/>
      </c>
      <c r="P963" s="48" t="inlineStr">
        <is>
          <t>sì/no</t>
        </is>
      </c>
      <c r="Q963" s="57">
        <f>IF($A963="","",$A963&amp;"|"&amp;$C963)</f>
        <v/>
      </c>
      <c r="R963" s="57">
        <f>IF($A963="","",$A963&amp;"|"&amp;$C963&amp;"|"&amp;$D963)</f>
        <v/>
      </c>
      <c r="S963" s="57">
        <f>IF($A963="","",IFERROR(INDEX(Offerte!$D$2:$D$81,MATCH($Q963,Offerte!$L$2:$L$81,0)),0))</f>
        <v/>
      </c>
      <c r="T963" s="57">
        <f>IF($A963="","",IFERROR(INDEX(Offerte!$G$2:$G$81,MATCH($Q963,Offerte!$L$2:$L$81,0)),"NO"))</f>
        <v/>
      </c>
    </row>
    <row r="964">
      <c r="A964" s="48">
        <f>IF(Offerte!$A32="","",Offerte!$A32)</f>
        <v/>
      </c>
      <c r="B964" s="48">
        <f>IF(Offerte!$A32="","",Offerte!$B32)</f>
        <v/>
      </c>
      <c r="C964" s="48">
        <f>IF(Offerte!$A32="","",Offerte!$C32)</f>
        <v/>
      </c>
      <c r="D964" s="48" t="inlineStr">
        <is>
          <t>G.4.1</t>
        </is>
      </c>
      <c r="E964" s="48" t="inlineStr">
        <is>
          <t>G</t>
        </is>
      </c>
      <c r="F964" s="48" t="inlineStr">
        <is>
          <t>D</t>
        </is>
      </c>
      <c r="G964" s="48" t="inlineStr">
        <is>
          <t>discretionary</t>
        </is>
      </c>
      <c r="H964" s="48" t="n">
        <v>2</v>
      </c>
      <c r="I964" s="48" t="inlineStr">
        <is>
          <t>Qualità del piano di formazione del personale</t>
        </is>
      </c>
      <c r="J964" s="73" t="n"/>
      <c r="K964" s="73" t="n"/>
      <c r="L964" s="73" t="n"/>
      <c r="M964" s="73" t="n"/>
      <c r="N964" s="57">
        <f>IF($A964="","",MAX(0,MIN(1,IFERROR(VALUE($M964),0))))</f>
        <v/>
      </c>
      <c r="O964" s="57">
        <f>IF($A964="",0,IF(OR($S964&lt;&gt;1,COUNTA($J964:$M964)=0),0,IF(SUMPRODUCT(MAX(($C$5:$C$2484=$C964)*($D$5:$D$2484=$D964)*($S$5:$S$2484=1)*IFERROR($N$5:$N$2484*1,0)))&gt;0,ROUND($H964*($N964/SUMPRODUCT(MAX(($C$5:$C$2484=$C964)*($D$5:$D$2484=$D964)*($S$5:$S$2484=1)*IFERROR($N$5:$N$2484*1,0)))),4),0)))</f>
        <v/>
      </c>
      <c r="P964" s="48" t="inlineStr">
        <is>
          <t>coeff.</t>
        </is>
      </c>
      <c r="Q964" s="57">
        <f>IF($A964="","",$A964&amp;"|"&amp;$C964)</f>
        <v/>
      </c>
      <c r="R964" s="57">
        <f>IF($A964="","",$A964&amp;"|"&amp;$C964&amp;"|"&amp;$D964)</f>
        <v/>
      </c>
      <c r="S964" s="57">
        <f>IF($A964="","",IFERROR(INDEX(Offerte!$D$2:$D$81,MATCH($Q964,Offerte!$L$2:$L$81,0)),0))</f>
        <v/>
      </c>
      <c r="T964" s="57">
        <f>IF($A964="","",IFERROR(INDEX(Offerte!$G$2:$G$81,MATCH($Q964,Offerte!$L$2:$L$81,0)),"NO"))</f>
        <v/>
      </c>
    </row>
    <row r="965">
      <c r="A965" s="48">
        <f>IF(Offerte!$A32="","",Offerte!$A32)</f>
        <v/>
      </c>
      <c r="B965" s="48">
        <f>IF(Offerte!$A32="","",Offerte!$B32)</f>
        <v/>
      </c>
      <c r="C965" s="48">
        <f>IF(Offerte!$A32="","",Offerte!$C32)</f>
        <v/>
      </c>
      <c r="D965" s="48" t="inlineStr">
        <is>
          <t>G.5.1</t>
        </is>
      </c>
      <c r="E965" s="48" t="inlineStr">
        <is>
          <t>G</t>
        </is>
      </c>
      <c r="F965" s="48" t="inlineStr">
        <is>
          <t>T</t>
        </is>
      </c>
      <c r="G965" s="48" t="inlineStr">
        <is>
          <t>tabular</t>
        </is>
      </c>
      <c r="H965" s="48" t="n">
        <v>1</v>
      </c>
      <c r="I965" s="48" t="inlineStr">
        <is>
          <t>Impegno al mantenimento delle garanzie del contratto di secondo livello del gestore uscente</t>
        </is>
      </c>
      <c r="J965" s="73" t="n"/>
      <c r="K965" s="73" t="n"/>
      <c r="L965" s="73" t="n"/>
      <c r="M965" s="73" t="n"/>
      <c r="N965" s="57">
        <f>IF($A965="","",IF(IFERROR(VALUE($M965),0)=1,1,0))</f>
        <v/>
      </c>
      <c r="O965" s="57">
        <f>IF($A965="",0,IF(OR($S965&lt;&gt;1,COUNTA($J965:$M965)=0),0,IF($N965=1,$H965,0)))</f>
        <v/>
      </c>
      <c r="P965" s="48" t="inlineStr">
        <is>
          <t>sì/no</t>
        </is>
      </c>
      <c r="Q965" s="57">
        <f>IF($A965="","",$A965&amp;"|"&amp;$C965)</f>
        <v/>
      </c>
      <c r="R965" s="57">
        <f>IF($A965="","",$A965&amp;"|"&amp;$C965&amp;"|"&amp;$D965)</f>
        <v/>
      </c>
      <c r="S965" s="57">
        <f>IF($A965="","",IFERROR(INDEX(Offerte!$D$2:$D$81,MATCH($Q965,Offerte!$L$2:$L$81,0)),0))</f>
        <v/>
      </c>
      <c r="T965" s="57">
        <f>IF($A965="","",IFERROR(INDEX(Offerte!$G$2:$G$81,MATCH($Q965,Offerte!$L$2:$L$81,0)),"NO"))</f>
        <v/>
      </c>
    </row>
    <row r="966">
      <c r="A966" s="48">
        <f>IF(Offerte!$A33="","",Offerte!$A33)</f>
        <v/>
      </c>
      <c r="B966" s="48">
        <f>IF(Offerte!$A33="","",Offerte!$B33)</f>
        <v/>
      </c>
      <c r="C966" s="48">
        <f>IF(Offerte!$A33="","",Offerte!$C33)</f>
        <v/>
      </c>
      <c r="D966" s="48" t="inlineStr">
        <is>
          <t>A.1.1</t>
        </is>
      </c>
      <c r="E966" s="48" t="inlineStr">
        <is>
          <t>A</t>
        </is>
      </c>
      <c r="F966" s="48" t="inlineStr">
        <is>
          <t>Q</t>
        </is>
      </c>
      <c r="G966" s="48" t="inlineStr">
        <is>
          <t>higher</t>
        </is>
      </c>
      <c r="H966" s="48" t="n">
        <v>3</v>
      </c>
      <c r="I966" s="48" t="inlineStr">
        <is>
          <t>Tasso aggiuntivo di corse controllate</t>
        </is>
      </c>
      <c r="J966" s="73" t="n"/>
      <c r="K966" s="73" t="n"/>
      <c r="L966" s="73" t="n"/>
      <c r="M966" s="73" t="n"/>
      <c r="N966" s="57">
        <f>IF($A966="","",IFERROR(VALUE($K966)/VALUE($L966)*100,IFERROR(VALUE($J966),0)))</f>
        <v/>
      </c>
      <c r="O966" s="57">
        <f>IF($A966="",0,IF(OR($S966&lt;&gt;1,COUNTA($J966:$M966)=0),0,IF(SUMPRODUCT(MAX(($C$5:$C$2484=$C966)*($D$5:$D$2484=$D966)*($S$5:$S$2484=1)*IFERROR($N$5:$N$2484*1,0)))&gt;0,ROUND($H966*($N966/SUMPRODUCT(MAX(($C$5:$C$2484=$C966)*($D$5:$D$2484=$D966)*($S$5:$S$2484=1)*IFERROR($N$5:$N$2484*1,0)))),4),0)))</f>
        <v/>
      </c>
      <c r="P966" s="48" t="inlineStr">
        <is>
          <t>Corse controllate annue / Corse programmate annue</t>
        </is>
      </c>
      <c r="Q966" s="57">
        <f>IF($A966="","",$A966&amp;"|"&amp;$C966)</f>
        <v/>
      </c>
      <c r="R966" s="57">
        <f>IF($A966="","",$A966&amp;"|"&amp;$C966&amp;"|"&amp;$D966)</f>
        <v/>
      </c>
      <c r="S966" s="57">
        <f>IF($A966="","",IFERROR(INDEX(Offerte!$D$2:$D$81,MATCH($Q966,Offerte!$L$2:$L$81,0)),0))</f>
        <v/>
      </c>
      <c r="T966" s="57">
        <f>IF($A966="","",IFERROR(INDEX(Offerte!$G$2:$G$81,MATCH($Q966,Offerte!$L$2:$L$81,0)),"NO"))</f>
        <v/>
      </c>
    </row>
    <row r="967">
      <c r="A967" s="48">
        <f>IF(Offerte!$A33="","",Offerte!$A33)</f>
        <v/>
      </c>
      <c r="B967" s="48">
        <f>IF(Offerte!$A33="","",Offerte!$B33)</f>
        <v/>
      </c>
      <c r="C967" s="48">
        <f>IF(Offerte!$A33="","",Offerte!$C33)</f>
        <v/>
      </c>
      <c r="D967" s="48" t="inlineStr">
        <is>
          <t>A.1.2</t>
        </is>
      </c>
      <c r="E967" s="48" t="inlineStr">
        <is>
          <t>A</t>
        </is>
      </c>
      <c r="F967" s="48" t="inlineStr">
        <is>
          <t>Q</t>
        </is>
      </c>
      <c r="G967" s="48" t="inlineStr">
        <is>
          <t>higher</t>
        </is>
      </c>
      <c r="H967" s="48" t="n">
        <v>4</v>
      </c>
      <c r="I967" s="48" t="inlineStr">
        <is>
          <t>Numero aggiuntivo di passeggeri controllati</t>
        </is>
      </c>
      <c r="J967" s="73" t="n"/>
      <c r="K967" s="73" t="n"/>
      <c r="L967" s="73" t="n"/>
      <c r="M967" s="73" t="n"/>
      <c r="N967" s="57">
        <f>IF($A967="","",IFERROR(VALUE($J967),0))</f>
        <v/>
      </c>
      <c r="O967" s="57">
        <f>IF($A967="",0,IF(OR($S967&lt;&gt;1,COUNTA($J967:$M967)=0),0,IF(SUMPRODUCT(MAX(($C$5:$C$2484=$C967)*($D$5:$D$2484=$D967)*($S$5:$S$2484=1)*IFERROR($N$5:$N$2484*1,0)))&gt;0,ROUND($H967*($N967/SUMPRODUCT(MAX(($C$5:$C$2484=$C967)*($D$5:$D$2484=$D967)*($S$5:$S$2484=1)*IFERROR($N$5:$N$2484*1,0)))),4),0)))</f>
        <v/>
      </c>
      <c r="P967" s="48" t="inlineStr">
        <is>
          <t>passeggeri/anno</t>
        </is>
      </c>
      <c r="Q967" s="57">
        <f>IF($A967="","",$A967&amp;"|"&amp;$C967)</f>
        <v/>
      </c>
      <c r="R967" s="57">
        <f>IF($A967="","",$A967&amp;"|"&amp;$C967&amp;"|"&amp;$D967)</f>
        <v/>
      </c>
      <c r="S967" s="57">
        <f>IF($A967="","",IFERROR(INDEX(Offerte!$D$2:$D$81,MATCH($Q967,Offerte!$L$2:$L$81,0)),0))</f>
        <v/>
      </c>
      <c r="T967" s="57">
        <f>IF($A967="","",IFERROR(INDEX(Offerte!$G$2:$G$81,MATCH($Q967,Offerte!$L$2:$L$81,0)),"NO"))</f>
        <v/>
      </c>
    </row>
    <row r="968">
      <c r="A968" s="48">
        <f>IF(Offerte!$A33="","",Offerte!$A33)</f>
        <v/>
      </c>
      <c r="B968" s="48">
        <f>IF(Offerte!$A33="","",Offerte!$B33)</f>
        <v/>
      </c>
      <c r="C968" s="48">
        <f>IF(Offerte!$A33="","",Offerte!$C33)</f>
        <v/>
      </c>
      <c r="D968" s="48" t="inlineStr">
        <is>
          <t>B.1.1</t>
        </is>
      </c>
      <c r="E968" s="48" t="inlineStr">
        <is>
          <t>B</t>
        </is>
      </c>
      <c r="F968" s="48" t="inlineStr">
        <is>
          <t>Q</t>
        </is>
      </c>
      <c r="G968" s="48" t="inlineStr">
        <is>
          <t>higher</t>
        </is>
      </c>
      <c r="H968" s="48" t="n">
        <v>3</v>
      </c>
      <c r="I968" s="48" t="inlineStr">
        <is>
          <t>Incremento dei posti offerti nelle fasce di punta</t>
        </is>
      </c>
      <c r="J968" s="73" t="n"/>
      <c r="K968" s="73" t="n"/>
      <c r="L968" s="73" t="n"/>
      <c r="M968" s="73" t="n"/>
      <c r="N968" s="57">
        <f>IF($A968="","",IFERROR(VALUE($J968),0))</f>
        <v/>
      </c>
      <c r="O968" s="57">
        <f>IF($A968="",0,IF(OR($S968&lt;&gt;1,COUNTA($J968:$M968)=0),0,IF(SUMPRODUCT(MAX(($C$5:$C$2484=$C968)*($D$5:$D$2484=$D968)*($S$5:$S$2484=1)*IFERROR($N$5:$N$2484*1,0)))&gt;0,ROUND($H968*($N968/SUMPRODUCT(MAX(($C$5:$C$2484=$C968)*($D$5:$D$2484=$D968)*($S$5:$S$2484=1)*IFERROR($N$5:$N$2484*1,0)))),4),0)))</f>
        <v/>
      </c>
      <c r="P968" s="48" t="inlineStr">
        <is>
          <t>posti*km</t>
        </is>
      </c>
      <c r="Q968" s="57">
        <f>IF($A968="","",$A968&amp;"|"&amp;$C968)</f>
        <v/>
      </c>
      <c r="R968" s="57">
        <f>IF($A968="","",$A968&amp;"|"&amp;$C968&amp;"|"&amp;$D968)</f>
        <v/>
      </c>
      <c r="S968" s="57">
        <f>IF($A968="","",IFERROR(INDEX(Offerte!$D$2:$D$81,MATCH($Q968,Offerte!$L$2:$L$81,0)),0))</f>
        <v/>
      </c>
      <c r="T968" s="57">
        <f>IF($A968="","",IFERROR(INDEX(Offerte!$G$2:$G$81,MATCH($Q968,Offerte!$L$2:$L$81,0)),"NO"))</f>
        <v/>
      </c>
    </row>
    <row r="969">
      <c r="A969" s="48">
        <f>IF(Offerte!$A33="","",Offerte!$A33)</f>
        <v/>
      </c>
      <c r="B969" s="48">
        <f>IF(Offerte!$A33="","",Offerte!$B33)</f>
        <v/>
      </c>
      <c r="C969" s="48">
        <f>IF(Offerte!$A33="","",Offerte!$C33)</f>
        <v/>
      </c>
      <c r="D969" s="48" t="inlineStr">
        <is>
          <t>B.2.1</t>
        </is>
      </c>
      <c r="E969" s="48" t="inlineStr">
        <is>
          <t>B</t>
        </is>
      </c>
      <c r="F969" s="48" t="inlineStr">
        <is>
          <t>Q</t>
        </is>
      </c>
      <c r="G969" s="48" t="inlineStr">
        <is>
          <t>higher</t>
        </is>
      </c>
      <c r="H969" s="48" t="n">
        <v>4</v>
      </c>
      <c r="I969" s="48" t="inlineStr">
        <is>
          <t>Corse aggiuntive nell'arco giornaliero base</t>
        </is>
      </c>
      <c r="J969" s="73" t="n"/>
      <c r="K969" s="73" t="n"/>
      <c r="L969" s="73" t="n"/>
      <c r="M969" s="73" t="n"/>
      <c r="N969" s="57">
        <f>IF($A969="","",IFERROR(VALUE($J969),0))</f>
        <v/>
      </c>
      <c r="O969" s="57">
        <f>IF($A969="",0,IF(OR($S969&lt;&gt;1,COUNTA($J969:$M969)=0),0,IF(SUMPRODUCT(MAX(($C$5:$C$2484=$C969)*($D$5:$D$2484=$D969)*($S$5:$S$2484=1)*IFERROR($N$5:$N$2484*1,0)))&gt;0,ROUND($H969*($N969/SUMPRODUCT(MAX(($C$5:$C$2484=$C969)*($D$5:$D$2484=$D969)*($S$5:$S$2484=1)*IFERROR($N$5:$N$2484*1,0)))),4),0)))</f>
        <v/>
      </c>
      <c r="P969" s="48" t="inlineStr">
        <is>
          <t>corse</t>
        </is>
      </c>
      <c r="Q969" s="57">
        <f>IF($A969="","",$A969&amp;"|"&amp;$C969)</f>
        <v/>
      </c>
      <c r="R969" s="57">
        <f>IF($A969="","",$A969&amp;"|"&amp;$C969&amp;"|"&amp;$D969)</f>
        <v/>
      </c>
      <c r="S969" s="57">
        <f>IF($A969="","",IFERROR(INDEX(Offerte!$D$2:$D$81,MATCH($Q969,Offerte!$L$2:$L$81,0)),0))</f>
        <v/>
      </c>
      <c r="T969" s="57">
        <f>IF($A969="","",IFERROR(INDEX(Offerte!$G$2:$G$81,MATCH($Q969,Offerte!$L$2:$L$81,0)),"NO"))</f>
        <v/>
      </c>
    </row>
    <row r="970">
      <c r="A970" s="48">
        <f>IF(Offerte!$A33="","",Offerte!$A33)</f>
        <v/>
      </c>
      <c r="B970" s="48">
        <f>IF(Offerte!$A33="","",Offerte!$B33)</f>
        <v/>
      </c>
      <c r="C970" s="48">
        <f>IF(Offerte!$A33="","",Offerte!$C33)</f>
        <v/>
      </c>
      <c r="D970" s="48" t="inlineStr">
        <is>
          <t>B.3.1</t>
        </is>
      </c>
      <c r="E970" s="48" t="inlineStr">
        <is>
          <t>B</t>
        </is>
      </c>
      <c r="F970" s="48" t="inlineStr">
        <is>
          <t>Q</t>
        </is>
      </c>
      <c r="G970" s="48" t="inlineStr">
        <is>
          <t>higher</t>
        </is>
      </c>
      <c r="H970" s="48" t="n">
        <v>2</v>
      </c>
      <c r="I970" s="48" t="inlineStr">
        <is>
          <t>Numero di corse aggiuntive per allungamento dell'arco di servizio giornaliero nelle fasce serali</t>
        </is>
      </c>
      <c r="J970" s="73" t="n"/>
      <c r="K970" s="73" t="n"/>
      <c r="L970" s="73" t="n"/>
      <c r="M970" s="73" t="n"/>
      <c r="N970" s="57">
        <f>IF($A970="","",IFERROR(VALUE($J970),0))</f>
        <v/>
      </c>
      <c r="O970" s="57">
        <f>IF($A970="",0,IF(OR($S970&lt;&gt;1,COUNTA($J970:$M970)=0),0,IF(SUMPRODUCT(MAX(($C$5:$C$2484=$C970)*($D$5:$D$2484=$D970)*($S$5:$S$2484=1)*IFERROR($N$5:$N$2484*1,0)))&gt;0,ROUND($H970*($N970/SUMPRODUCT(MAX(($C$5:$C$2484=$C970)*($D$5:$D$2484=$D970)*($S$5:$S$2484=1)*IFERROR($N$5:$N$2484*1,0)))),4),0)))</f>
        <v/>
      </c>
      <c r="P970" s="48" t="inlineStr">
        <is>
          <t>corse</t>
        </is>
      </c>
      <c r="Q970" s="57">
        <f>IF($A970="","",$A970&amp;"|"&amp;$C970)</f>
        <v/>
      </c>
      <c r="R970" s="57">
        <f>IF($A970="","",$A970&amp;"|"&amp;$C970&amp;"|"&amp;$D970)</f>
        <v/>
      </c>
      <c r="S970" s="57">
        <f>IF($A970="","",IFERROR(INDEX(Offerte!$D$2:$D$81,MATCH($Q970,Offerte!$L$2:$L$81,0)),0))</f>
        <v/>
      </c>
      <c r="T970" s="57">
        <f>IF($A970="","",IFERROR(INDEX(Offerte!$G$2:$G$81,MATCH($Q970,Offerte!$L$2:$L$81,0)),"NO"))</f>
        <v/>
      </c>
    </row>
    <row r="971">
      <c r="A971" s="48">
        <f>IF(Offerte!$A33="","",Offerte!$A33)</f>
        <v/>
      </c>
      <c r="B971" s="48">
        <f>IF(Offerte!$A33="","",Offerte!$B33)</f>
        <v/>
      </c>
      <c r="C971" s="48">
        <f>IF(Offerte!$A33="","",Offerte!$C33)</f>
        <v/>
      </c>
      <c r="D971" s="48" t="inlineStr">
        <is>
          <t>B.4.1</t>
        </is>
      </c>
      <c r="E971" s="48" t="inlineStr">
        <is>
          <t>B</t>
        </is>
      </c>
      <c r="F971" s="48" t="inlineStr">
        <is>
          <t>Q</t>
        </is>
      </c>
      <c r="G971" s="48" t="inlineStr">
        <is>
          <t>higher</t>
        </is>
      </c>
      <c r="H971" s="48" t="n">
        <v>3</v>
      </c>
      <c r="I971" s="48" t="inlineStr">
        <is>
          <t>Percorrenze aggiuntive offerte nel Programma d'esercizio delle prime due fasi attuative</t>
        </is>
      </c>
      <c r="J971" s="73" t="n"/>
      <c r="K971" s="73" t="n"/>
      <c r="L971" s="73" t="n"/>
      <c r="M971" s="73" t="n"/>
      <c r="N971" s="57">
        <f>IF($A971="","",IFERROR(VALUE($J971),0))</f>
        <v/>
      </c>
      <c r="O971" s="57">
        <f>IF($A971="",0,IF(OR($S971&lt;&gt;1,COUNTA($J971:$M971)=0),0,IF(SUMPRODUCT(MAX(($C$5:$C$2484=$C971)*($D$5:$D$2484=$D971)*($S$5:$S$2484=1)*IFERROR($N$5:$N$2484*1,0)))&gt;0,ROUND($H971*($N971/SUMPRODUCT(MAX(($C$5:$C$2484=$C971)*($D$5:$D$2484=$D971)*($S$5:$S$2484=1)*IFERROR($N$5:$N$2484*1,0)))),4),0)))</f>
        <v/>
      </c>
      <c r="P971" s="48" t="inlineStr">
        <is>
          <t>vett*km</t>
        </is>
      </c>
      <c r="Q971" s="57">
        <f>IF($A971="","",$A971&amp;"|"&amp;$C971)</f>
        <v/>
      </c>
      <c r="R971" s="57">
        <f>IF($A971="","",$A971&amp;"|"&amp;$C971&amp;"|"&amp;$D971)</f>
        <v/>
      </c>
      <c r="S971" s="57">
        <f>IF($A971="","",IFERROR(INDEX(Offerte!$D$2:$D$81,MATCH($Q971,Offerte!$L$2:$L$81,0)),0))</f>
        <v/>
      </c>
      <c r="T971" s="57">
        <f>IF($A971="","",IFERROR(INDEX(Offerte!$G$2:$G$81,MATCH($Q971,Offerte!$L$2:$L$81,0)),"NO"))</f>
        <v/>
      </c>
    </row>
    <row r="972">
      <c r="A972" s="48">
        <f>IF(Offerte!$A33="","",Offerte!$A33)</f>
        <v/>
      </c>
      <c r="B972" s="48">
        <f>IF(Offerte!$A33="","",Offerte!$B33)</f>
        <v/>
      </c>
      <c r="C972" s="48">
        <f>IF(Offerte!$A33="","",Offerte!$C33)</f>
        <v/>
      </c>
      <c r="D972" s="48" t="inlineStr">
        <is>
          <t>B.5.1</t>
        </is>
      </c>
      <c r="E972" s="48" t="inlineStr">
        <is>
          <t>B</t>
        </is>
      </c>
      <c r="F972" s="48" t="inlineStr">
        <is>
          <t>D</t>
        </is>
      </c>
      <c r="G972" s="48" t="inlineStr">
        <is>
          <t>discretionary</t>
        </is>
      </c>
      <c r="H972" s="48" t="n">
        <v>2</v>
      </c>
      <c r="I972" s="48" t="inlineStr">
        <is>
          <t>Efficacia del progetto di servizi complementari DRT</t>
        </is>
      </c>
      <c r="J972" s="73" t="n"/>
      <c r="K972" s="73" t="n"/>
      <c r="L972" s="73" t="n"/>
      <c r="M972" s="73" t="n"/>
      <c r="N972" s="57">
        <f>IF($A972="","",MAX(0,MIN(1,IFERROR(VALUE($M972),0))))</f>
        <v/>
      </c>
      <c r="O972" s="57">
        <f>IF($A972="",0,IF(OR($S972&lt;&gt;1,COUNTA($J972:$M972)=0),0,IF(SUMPRODUCT(MAX(($C$5:$C$2484=$C972)*($D$5:$D$2484=$D972)*($S$5:$S$2484=1)*IFERROR($N$5:$N$2484*1,0)))&gt;0,ROUND($H972*($N972/SUMPRODUCT(MAX(($C$5:$C$2484=$C972)*($D$5:$D$2484=$D972)*($S$5:$S$2484=1)*IFERROR($N$5:$N$2484*1,0)))),4),0)))</f>
        <v/>
      </c>
      <c r="P972" s="48" t="inlineStr">
        <is>
          <t>coeff.</t>
        </is>
      </c>
      <c r="Q972" s="57">
        <f>IF($A972="","",$A972&amp;"|"&amp;$C972)</f>
        <v/>
      </c>
      <c r="R972" s="57">
        <f>IF($A972="","",$A972&amp;"|"&amp;$C972&amp;"|"&amp;$D972)</f>
        <v/>
      </c>
      <c r="S972" s="57">
        <f>IF($A972="","",IFERROR(INDEX(Offerte!$D$2:$D$81,MATCH($Q972,Offerte!$L$2:$L$81,0)),0))</f>
        <v/>
      </c>
      <c r="T972" s="57">
        <f>IF($A972="","",IFERROR(INDEX(Offerte!$G$2:$G$81,MATCH($Q972,Offerte!$L$2:$L$81,0)),"NO"))</f>
        <v/>
      </c>
    </row>
    <row r="973">
      <c r="A973" s="48">
        <f>IF(Offerte!$A33="","",Offerte!$A33)</f>
        <v/>
      </c>
      <c r="B973" s="48">
        <f>IF(Offerte!$A33="","",Offerte!$B33)</f>
        <v/>
      </c>
      <c r="C973" s="48">
        <f>IF(Offerte!$A33="","",Offerte!$C33)</f>
        <v/>
      </c>
      <c r="D973" s="48" t="inlineStr">
        <is>
          <t>C.1.1</t>
        </is>
      </c>
      <c r="E973" s="48" t="inlineStr">
        <is>
          <t>C</t>
        </is>
      </c>
      <c r="F973" s="48" t="inlineStr">
        <is>
          <t>Q</t>
        </is>
      </c>
      <c r="G973" s="48" t="inlineStr">
        <is>
          <t>higher</t>
        </is>
      </c>
      <c r="H973" s="48" t="n">
        <v>2</v>
      </c>
      <c r="I973" s="48" t="inlineStr">
        <is>
          <t>Tasso di copertura del servizio con telecamere BSD</t>
        </is>
      </c>
      <c r="J973" s="73" t="n"/>
      <c r="K973" s="73" t="n"/>
      <c r="L973" s="73" t="n"/>
      <c r="M973" s="73" t="n"/>
      <c r="N973" s="57">
        <f>IF($A973="","",IFERROR(VALUE($K973)/VALUE($L973),IFERROR(VALUE($J973),0)))</f>
        <v/>
      </c>
      <c r="O973" s="57">
        <f>IF($A973="",0,IF(OR($S973&lt;&gt;1,COUNTA($J973:$M973)=0),0,IF(SUMPRODUCT(MAX(($C$5:$C$2484=$C973)*($D$5:$D$2484=$D973)*($S$5:$S$2484=1)*IFERROR($N$5:$N$2484*1,0)))&gt;0,ROUND($H973*($N973/SUMPRODUCT(MAX(($C$5:$C$2484=$C973)*($D$5:$D$2484=$D973)*($S$5:$S$2484=1)*IFERROR($N$5:$N$2484*1,0)))),4),0)))</f>
        <v/>
      </c>
      <c r="P973" s="48" t="inlineStr">
        <is>
          <t>Autobus attrezzati con telecamere BSD / Autobus totali in offerta, incluse scorte</t>
        </is>
      </c>
      <c r="Q973" s="57">
        <f>IF($A973="","",$A973&amp;"|"&amp;$C973)</f>
        <v/>
      </c>
      <c r="R973" s="57">
        <f>IF($A973="","",$A973&amp;"|"&amp;$C973&amp;"|"&amp;$D973)</f>
        <v/>
      </c>
      <c r="S973" s="57">
        <f>IF($A973="","",IFERROR(INDEX(Offerte!$D$2:$D$81,MATCH($Q973,Offerte!$L$2:$L$81,0)),0))</f>
        <v/>
      </c>
      <c r="T973" s="57">
        <f>IF($A973="","",IFERROR(INDEX(Offerte!$G$2:$G$81,MATCH($Q973,Offerte!$L$2:$L$81,0)),"NO"))</f>
        <v/>
      </c>
    </row>
    <row r="974">
      <c r="A974" s="48">
        <f>IF(Offerte!$A33="","",Offerte!$A33)</f>
        <v/>
      </c>
      <c r="B974" s="48">
        <f>IF(Offerte!$A33="","",Offerte!$B33)</f>
        <v/>
      </c>
      <c r="C974" s="48">
        <f>IF(Offerte!$A33="","",Offerte!$C33)</f>
        <v/>
      </c>
      <c r="D974" s="48" t="inlineStr">
        <is>
          <t>C.1.2</t>
        </is>
      </c>
      <c r="E974" s="48" t="inlineStr">
        <is>
          <t>C</t>
        </is>
      </c>
      <c r="F974" s="48" t="inlineStr">
        <is>
          <t>Q</t>
        </is>
      </c>
      <c r="G974" s="48" t="inlineStr">
        <is>
          <t>higher</t>
        </is>
      </c>
      <c r="H974" s="48" t="n">
        <v>2</v>
      </c>
      <c r="I974" s="48" t="inlineStr">
        <is>
          <t>Tasso di copertura del servizio con telecamere ADAS</t>
        </is>
      </c>
      <c r="J974" s="73" t="n"/>
      <c r="K974" s="73" t="n"/>
      <c r="L974" s="73" t="n"/>
      <c r="M974" s="73" t="n"/>
      <c r="N974" s="57">
        <f>IF($A974="","",IFERROR(VALUE($K974)/VALUE($L974),IFERROR(VALUE($J974),0)))</f>
        <v/>
      </c>
      <c r="O974" s="57">
        <f>IF($A974="",0,IF(OR($S974&lt;&gt;1,COUNTA($J974:$M974)=0),0,IF(SUMPRODUCT(MAX(($C$5:$C$2484=$C974)*($D$5:$D$2484=$D974)*($S$5:$S$2484=1)*IFERROR($N$5:$N$2484*1,0)))&gt;0,ROUND($H974*($N974/SUMPRODUCT(MAX(($C$5:$C$2484=$C974)*($D$5:$D$2484=$D974)*($S$5:$S$2484=1)*IFERROR($N$5:$N$2484*1,0)))),4),0)))</f>
        <v/>
      </c>
      <c r="P974" s="48" t="inlineStr">
        <is>
          <t>Autobus attrezzati con telecamere ADAS / Autobus totali in offerta, incluse scorte</t>
        </is>
      </c>
      <c r="Q974" s="57">
        <f>IF($A974="","",$A974&amp;"|"&amp;$C974)</f>
        <v/>
      </c>
      <c r="R974" s="57">
        <f>IF($A974="","",$A974&amp;"|"&amp;$C974&amp;"|"&amp;$D974)</f>
        <v/>
      </c>
      <c r="S974" s="57">
        <f>IF($A974="","",IFERROR(INDEX(Offerte!$D$2:$D$81,MATCH($Q974,Offerte!$L$2:$L$81,0)),0))</f>
        <v/>
      </c>
      <c r="T974" s="57">
        <f>IF($A974="","",IFERROR(INDEX(Offerte!$G$2:$G$81,MATCH($Q974,Offerte!$L$2:$L$81,0)),"NO"))</f>
        <v/>
      </c>
    </row>
    <row r="975">
      <c r="A975" s="48">
        <f>IF(Offerte!$A33="","",Offerte!$A33)</f>
        <v/>
      </c>
      <c r="B975" s="48">
        <f>IF(Offerte!$A33="","",Offerte!$B33)</f>
        <v/>
      </c>
      <c r="C975" s="48">
        <f>IF(Offerte!$A33="","",Offerte!$C33)</f>
        <v/>
      </c>
      <c r="D975" s="48" t="inlineStr">
        <is>
          <t>C.2.1</t>
        </is>
      </c>
      <c r="E975" s="48" t="inlineStr">
        <is>
          <t>C</t>
        </is>
      </c>
      <c r="F975" s="48" t="inlineStr">
        <is>
          <t>Q</t>
        </is>
      </c>
      <c r="G975" s="48" t="inlineStr">
        <is>
          <t>higher</t>
        </is>
      </c>
      <c r="H975" s="48" t="n">
        <v>3</v>
      </c>
      <c r="I975" s="48" t="inlineStr">
        <is>
          <t>Tasso di copertura del servizio con telecamere di bordo di videosorveglianza</t>
        </is>
      </c>
      <c r="J975" s="73" t="n"/>
      <c r="K975" s="73" t="n"/>
      <c r="L975" s="73" t="n"/>
      <c r="M975" s="73" t="n"/>
      <c r="N975" s="57">
        <f>IF($A975="","",IFERROR(VALUE($K975)/VALUE($L975),IFERROR(VALUE($J975),0)))</f>
        <v/>
      </c>
      <c r="O975" s="57">
        <f>IF($A975="",0,IF(OR($S975&lt;&gt;1,COUNTA($J975:$M975)=0),0,IF(SUMPRODUCT(MAX(($C$5:$C$2484=$C975)*($D$5:$D$2484=$D975)*($S$5:$S$2484=1)*IFERROR($N$5:$N$2484*1,0)))&gt;0,ROUND($H975*($N975/SUMPRODUCT(MAX(($C$5:$C$2484=$C975)*($D$5:$D$2484=$D975)*($S$5:$S$2484=1)*IFERROR($N$5:$N$2484*1,0)))),4),0)))</f>
        <v/>
      </c>
      <c r="P975" s="48" t="inlineStr">
        <is>
          <t>Autobus attrezzati con videosorveglianza / Autobus totali in offerta, incluse scorte</t>
        </is>
      </c>
      <c r="Q975" s="57">
        <f>IF($A975="","",$A975&amp;"|"&amp;$C975)</f>
        <v/>
      </c>
      <c r="R975" s="57">
        <f>IF($A975="","",$A975&amp;"|"&amp;$C975&amp;"|"&amp;$D975)</f>
        <v/>
      </c>
      <c r="S975" s="57">
        <f>IF($A975="","",IFERROR(INDEX(Offerte!$D$2:$D$81,MATCH($Q975,Offerte!$L$2:$L$81,0)),0))</f>
        <v/>
      </c>
      <c r="T975" s="57">
        <f>IF($A975="","",IFERROR(INDEX(Offerte!$G$2:$G$81,MATCH($Q975,Offerte!$L$2:$L$81,0)),"NO"))</f>
        <v/>
      </c>
    </row>
    <row r="976">
      <c r="A976" s="48">
        <f>IF(Offerte!$A33="","",Offerte!$A33)</f>
        <v/>
      </c>
      <c r="B976" s="48">
        <f>IF(Offerte!$A33="","",Offerte!$B33)</f>
        <v/>
      </c>
      <c r="C976" s="48">
        <f>IF(Offerte!$A33="","",Offerte!$C33)</f>
        <v/>
      </c>
      <c r="D976" s="48" t="inlineStr">
        <is>
          <t>C.2.2</t>
        </is>
      </c>
      <c r="E976" s="48" t="inlineStr">
        <is>
          <t>C</t>
        </is>
      </c>
      <c r="F976" s="48" t="inlineStr">
        <is>
          <t>T</t>
        </is>
      </c>
      <c r="G976" s="48" t="inlineStr">
        <is>
          <t>tabular</t>
        </is>
      </c>
      <c r="H976" s="48" t="n">
        <v>1</v>
      </c>
      <c r="I976" s="48" t="inlineStr">
        <is>
          <t>Software video/audio analisi per situazioni di pericolo</t>
        </is>
      </c>
      <c r="J976" s="73" t="n"/>
      <c r="K976" s="73" t="n"/>
      <c r="L976" s="73" t="n"/>
      <c r="M976" s="73" t="n"/>
      <c r="N976" s="57">
        <f>IF($A976="","",IF(IFERROR(VALUE($M976),0)=1,1,0))</f>
        <v/>
      </c>
      <c r="O976" s="57">
        <f>IF($A976="",0,IF(OR($S976&lt;&gt;1,COUNTA($J976:$M976)=0),0,IF($N976=1,$H976,0)))</f>
        <v/>
      </c>
      <c r="P976" s="48" t="inlineStr">
        <is>
          <t>sì/no</t>
        </is>
      </c>
      <c r="Q976" s="57">
        <f>IF($A976="","",$A976&amp;"|"&amp;$C976)</f>
        <v/>
      </c>
      <c r="R976" s="57">
        <f>IF($A976="","",$A976&amp;"|"&amp;$C976&amp;"|"&amp;$D976)</f>
        <v/>
      </c>
      <c r="S976" s="57">
        <f>IF($A976="","",IFERROR(INDEX(Offerte!$D$2:$D$81,MATCH($Q976,Offerte!$L$2:$L$81,0)),0))</f>
        <v/>
      </c>
      <c r="T976" s="57">
        <f>IF($A976="","",IFERROR(INDEX(Offerte!$G$2:$G$81,MATCH($Q976,Offerte!$L$2:$L$81,0)),"NO"))</f>
        <v/>
      </c>
    </row>
    <row r="977">
      <c r="A977" s="48">
        <f>IF(Offerte!$A33="","",Offerte!$A33)</f>
        <v/>
      </c>
      <c r="B977" s="48">
        <f>IF(Offerte!$A33="","",Offerte!$B33)</f>
        <v/>
      </c>
      <c r="C977" s="48">
        <f>IF(Offerte!$A33="","",Offerte!$C33)</f>
        <v/>
      </c>
      <c r="D977" s="48" t="inlineStr">
        <is>
          <t>C.2.3</t>
        </is>
      </c>
      <c r="E977" s="48" t="inlineStr">
        <is>
          <t>C</t>
        </is>
      </c>
      <c r="F977" s="48" t="inlineStr">
        <is>
          <t>T</t>
        </is>
      </c>
      <c r="G977" s="48" t="inlineStr">
        <is>
          <t>tabular</t>
        </is>
      </c>
      <c r="H977" s="48" t="n">
        <v>1</v>
      </c>
      <c r="I977" s="48" t="inlineStr">
        <is>
          <t>Collegamento con centrale qualificata di pronto intervento</t>
        </is>
      </c>
      <c r="J977" s="73" t="n"/>
      <c r="K977" s="73" t="n"/>
      <c r="L977" s="73" t="n"/>
      <c r="M977" s="73" t="n"/>
      <c r="N977" s="57">
        <f>IF($A977="","",IF(IFERROR(VALUE($M977),0)=1,1,0))</f>
        <v/>
      </c>
      <c r="O977" s="57">
        <f>IF($A977="",0,IF(OR($S977&lt;&gt;1,COUNTA($J977:$M977)=0),0,IF($N977=1,$H977,0)))</f>
        <v/>
      </c>
      <c r="P977" s="48" t="inlineStr">
        <is>
          <t>sì/no</t>
        </is>
      </c>
      <c r="Q977" s="57">
        <f>IF($A977="","",$A977&amp;"|"&amp;$C977)</f>
        <v/>
      </c>
      <c r="R977" s="57">
        <f>IF($A977="","",$A977&amp;"|"&amp;$C977&amp;"|"&amp;$D977)</f>
        <v/>
      </c>
      <c r="S977" s="57">
        <f>IF($A977="","",IFERROR(INDEX(Offerte!$D$2:$D$81,MATCH($Q977,Offerte!$L$2:$L$81,0)),0))</f>
        <v/>
      </c>
      <c r="T977" s="57">
        <f>IF($A977="","",IFERROR(INDEX(Offerte!$G$2:$G$81,MATCH($Q977,Offerte!$L$2:$L$81,0)),"NO"))</f>
        <v/>
      </c>
    </row>
    <row r="978">
      <c r="A978" s="48">
        <f>IF(Offerte!$A33="","",Offerte!$A33)</f>
        <v/>
      </c>
      <c r="B978" s="48">
        <f>IF(Offerte!$A33="","",Offerte!$B33)</f>
        <v/>
      </c>
      <c r="C978" s="48">
        <f>IF(Offerte!$A33="","",Offerte!$C33)</f>
        <v/>
      </c>
      <c r="D978" s="48" t="inlineStr">
        <is>
          <t>C.2.4</t>
        </is>
      </c>
      <c r="E978" s="48" t="inlineStr">
        <is>
          <t>C</t>
        </is>
      </c>
      <c r="F978" s="48" t="inlineStr">
        <is>
          <t>Q</t>
        </is>
      </c>
      <c r="G978" s="48" t="inlineStr">
        <is>
          <t>higher</t>
        </is>
      </c>
      <c r="H978" s="48" t="n">
        <v>1</v>
      </c>
      <c r="I978" s="48" t="inlineStr">
        <is>
          <t>Tasso di copertura del servizio con dispositivi per la chiamata di emergenza del conducente</t>
        </is>
      </c>
      <c r="J978" s="73" t="n"/>
      <c r="K978" s="73" t="n"/>
      <c r="L978" s="73" t="n"/>
      <c r="M978" s="73" t="n"/>
      <c r="N978" s="57">
        <f>IF($A978="","",IFERROR(VALUE($K978)/VALUE($L978),IFERROR(VALUE($J978),0)))</f>
        <v/>
      </c>
      <c r="O978" s="57">
        <f>IF($A978="",0,IF(OR($S978&lt;&gt;1,COUNTA($J978:$M978)=0),0,IF(SUMPRODUCT(MAX(($C$5:$C$2484=$C978)*($D$5:$D$2484=$D978)*($S$5:$S$2484=1)*IFERROR($N$5:$N$2484*1,0)))&gt;0,ROUND($H978*($N978/SUMPRODUCT(MAX(($C$5:$C$2484=$C978)*($D$5:$D$2484=$D978)*($S$5:$S$2484=1)*IFERROR($N$5:$N$2484*1,0)))),4),0)))</f>
        <v/>
      </c>
      <c r="P978" s="48" t="inlineStr">
        <is>
          <t>Autobus attrezzati con chiamata di emergenza / Autobus totali in offerta, incluse scorte</t>
        </is>
      </c>
      <c r="Q978" s="57">
        <f>IF($A978="","",$A978&amp;"|"&amp;$C978)</f>
        <v/>
      </c>
      <c r="R978" s="57">
        <f>IF($A978="","",$A978&amp;"|"&amp;$C978&amp;"|"&amp;$D978)</f>
        <v/>
      </c>
      <c r="S978" s="57">
        <f>IF($A978="","",IFERROR(INDEX(Offerte!$D$2:$D$81,MATCH($Q978,Offerte!$L$2:$L$81,0)),0))</f>
        <v/>
      </c>
      <c r="T978" s="57">
        <f>IF($A978="","",IFERROR(INDEX(Offerte!$G$2:$G$81,MATCH($Q978,Offerte!$L$2:$L$81,0)),"NO"))</f>
        <v/>
      </c>
    </row>
    <row r="979">
      <c r="A979" s="48">
        <f>IF(Offerte!$A33="","",Offerte!$A33)</f>
        <v/>
      </c>
      <c r="B979" s="48">
        <f>IF(Offerte!$A33="","",Offerte!$B33)</f>
        <v/>
      </c>
      <c r="C979" s="48">
        <f>IF(Offerte!$A33="","",Offerte!$C33)</f>
        <v/>
      </c>
      <c r="D979" s="48" t="inlineStr">
        <is>
          <t>C.3.1</t>
        </is>
      </c>
      <c r="E979" s="48" t="inlineStr">
        <is>
          <t>C</t>
        </is>
      </c>
      <c r="F979" s="48" t="inlineStr">
        <is>
          <t>Q</t>
        </is>
      </c>
      <c r="G979" s="48" t="inlineStr">
        <is>
          <t>higher</t>
        </is>
      </c>
      <c r="H979" s="48" t="n">
        <v>2</v>
      </c>
      <c r="I979" s="48" t="inlineStr">
        <is>
          <t>Tasso di copertura del servizio con dispositivi di informazione dinamica a bordo mezzo</t>
        </is>
      </c>
      <c r="J979" s="73" t="n"/>
      <c r="K979" s="73" t="n"/>
      <c r="L979" s="73" t="n"/>
      <c r="M979" s="73" t="n"/>
      <c r="N979" s="57">
        <f>IF($A979="","",IFERROR(VALUE($K979)/VALUE($L979),IFERROR(VALUE($J979),0)))</f>
        <v/>
      </c>
      <c r="O979" s="57">
        <f>IF($A979="",0,IF(OR($S979&lt;&gt;1,COUNTA($J979:$M979)=0),0,IF(SUMPRODUCT(MAX(($C$5:$C$2484=$C979)*($D$5:$D$2484=$D979)*($S$5:$S$2484=1)*IFERROR($N$5:$N$2484*1,0)))&gt;0,ROUND($H979*($N979/SUMPRODUCT(MAX(($C$5:$C$2484=$C979)*($D$5:$D$2484=$D979)*($S$5:$S$2484=1)*IFERROR($N$5:$N$2484*1,0)))),4),0)))</f>
        <v/>
      </c>
      <c r="P979" s="48" t="inlineStr">
        <is>
          <t>Autobus con monitor e indicatori vocali / Autobus totali in offerta, incluse scorte</t>
        </is>
      </c>
      <c r="Q979" s="57">
        <f>IF($A979="","",$A979&amp;"|"&amp;$C979)</f>
        <v/>
      </c>
      <c r="R979" s="57">
        <f>IF($A979="","",$A979&amp;"|"&amp;$C979&amp;"|"&amp;$D979)</f>
        <v/>
      </c>
      <c r="S979" s="57">
        <f>IF($A979="","",IFERROR(INDEX(Offerte!$D$2:$D$81,MATCH($Q979,Offerte!$L$2:$L$81,0)),0))</f>
        <v/>
      </c>
      <c r="T979" s="57">
        <f>IF($A979="","",IFERROR(INDEX(Offerte!$G$2:$G$81,MATCH($Q979,Offerte!$L$2:$L$81,0)),"NO"))</f>
        <v/>
      </c>
    </row>
    <row r="980">
      <c r="A980" s="48">
        <f>IF(Offerte!$A33="","",Offerte!$A33)</f>
        <v/>
      </c>
      <c r="B980" s="48">
        <f>IF(Offerte!$A33="","",Offerte!$B33)</f>
        <v/>
      </c>
      <c r="C980" s="48">
        <f>IF(Offerte!$A33="","",Offerte!$C33)</f>
        <v/>
      </c>
      <c r="D980" s="48" t="inlineStr">
        <is>
          <t>C.3.2</t>
        </is>
      </c>
      <c r="E980" s="48" t="inlineStr">
        <is>
          <t>C</t>
        </is>
      </c>
      <c r="F980" s="48" t="inlineStr">
        <is>
          <t>T</t>
        </is>
      </c>
      <c r="G980" s="48" t="inlineStr">
        <is>
          <t>tabular</t>
        </is>
      </c>
      <c r="H980" s="48" t="n">
        <v>2</v>
      </c>
      <c r="I980" s="48" t="inlineStr">
        <is>
          <t>Informazioni a bordo su coincidenze ai nodi</t>
        </is>
      </c>
      <c r="J980" s="73" t="n"/>
      <c r="K980" s="73" t="n"/>
      <c r="L980" s="73" t="n"/>
      <c r="M980" s="73" t="n"/>
      <c r="N980" s="57">
        <f>IF($A980="","",IF(IFERROR(VALUE($M980),0)=1,1,0))</f>
        <v/>
      </c>
      <c r="O980" s="57">
        <f>IF($A980="",0,IF(OR($S980&lt;&gt;1,COUNTA($J980:$M980)=0),0,IF(AND($N980=1,IFERROR(SUMIFS($N$5:$N$2484,$Q$5:$Q$2484,$Q980,$D$5:$D$2484,"C.3.1"),0)&gt;=0.5),$H980,0)))</f>
        <v/>
      </c>
      <c r="P980" s="48" t="inlineStr">
        <is>
          <t>Dipende da C.3.1 &gt;= 0.5</t>
        </is>
      </c>
      <c r="Q980" s="57">
        <f>IF($A980="","",$A980&amp;"|"&amp;$C980)</f>
        <v/>
      </c>
      <c r="R980" s="57">
        <f>IF($A980="","",$A980&amp;"|"&amp;$C980&amp;"|"&amp;$D980)</f>
        <v/>
      </c>
      <c r="S980" s="57">
        <f>IF($A980="","",IFERROR(INDEX(Offerte!$D$2:$D$81,MATCH($Q980,Offerte!$L$2:$L$81,0)),0))</f>
        <v/>
      </c>
      <c r="T980" s="57">
        <f>IF($A980="","",IFERROR(INDEX(Offerte!$G$2:$G$81,MATCH($Q980,Offerte!$L$2:$L$81,0)),"NO"))</f>
        <v/>
      </c>
    </row>
    <row r="981">
      <c r="A981" s="48">
        <f>IF(Offerte!$A33="","",Offerte!$A33)</f>
        <v/>
      </c>
      <c r="B981" s="48">
        <f>IF(Offerte!$A33="","",Offerte!$B33)</f>
        <v/>
      </c>
      <c r="C981" s="48">
        <f>IF(Offerte!$A33="","",Offerte!$C33)</f>
        <v/>
      </c>
      <c r="D981" s="48" t="inlineStr">
        <is>
          <t>D.1.1</t>
        </is>
      </c>
      <c r="E981" s="48" t="inlineStr">
        <is>
          <t>D</t>
        </is>
      </c>
      <c r="F981" s="48" t="inlineStr">
        <is>
          <t>Q</t>
        </is>
      </c>
      <c r="G981" s="48" t="inlineStr">
        <is>
          <t>higher</t>
        </is>
      </c>
      <c r="H981" s="48" t="n">
        <v>3</v>
      </c>
      <c r="I981" s="48" t="inlineStr">
        <is>
          <t>Installazione di pensiline</t>
        </is>
      </c>
      <c r="J981" s="73" t="n"/>
      <c r="K981" s="73" t="n"/>
      <c r="L981" s="73" t="n"/>
      <c r="M981" s="73" t="n"/>
      <c r="N981" s="57">
        <f>IF($A981="","",IFERROR(VALUE($J981),0))</f>
        <v/>
      </c>
      <c r="O981" s="57">
        <f>IF($A981="",0,IF(OR($S981&lt;&gt;1,COUNTA($J981:$M981)=0),0,IF(SUMPRODUCT(MAX(($C$5:$C$2484=$C981)*($D$5:$D$2484=$D981)*($S$5:$S$2484=1)*IFERROR($N$5:$N$2484*1,0)))&gt;0,ROUND($H981*($N981/SUMPRODUCT(MAX(($C$5:$C$2484=$C981)*($D$5:$D$2484=$D981)*($S$5:$S$2484=1)*IFERROR($N$5:$N$2484*1,0)))),4),0)))</f>
        <v/>
      </c>
      <c r="P981" s="48" t="inlineStr">
        <is>
          <t>fermate</t>
        </is>
      </c>
      <c r="Q981" s="57">
        <f>IF($A981="","",$A981&amp;"|"&amp;$C981)</f>
        <v/>
      </c>
      <c r="R981" s="57">
        <f>IF($A981="","",$A981&amp;"|"&amp;$C981&amp;"|"&amp;$D981)</f>
        <v/>
      </c>
      <c r="S981" s="57">
        <f>IF($A981="","",IFERROR(INDEX(Offerte!$D$2:$D$81,MATCH($Q981,Offerte!$L$2:$L$81,0)),0))</f>
        <v/>
      </c>
      <c r="T981" s="57">
        <f>IF($A981="","",IFERROR(INDEX(Offerte!$G$2:$G$81,MATCH($Q981,Offerte!$L$2:$L$81,0)),"NO"))</f>
        <v/>
      </c>
    </row>
    <row r="982">
      <c r="A982" s="48">
        <f>IF(Offerte!$A33="","",Offerte!$A33)</f>
        <v/>
      </c>
      <c r="B982" s="48">
        <f>IF(Offerte!$A33="","",Offerte!$B33)</f>
        <v/>
      </c>
      <c r="C982" s="48">
        <f>IF(Offerte!$A33="","",Offerte!$C33)</f>
        <v/>
      </c>
      <c r="D982" s="48" t="inlineStr">
        <is>
          <t>D.1.2</t>
        </is>
      </c>
      <c r="E982" s="48" t="inlineStr">
        <is>
          <t>D</t>
        </is>
      </c>
      <c r="F982" s="48" t="inlineStr">
        <is>
          <t>Q</t>
        </is>
      </c>
      <c r="G982" s="48" t="inlineStr">
        <is>
          <t>higher</t>
        </is>
      </c>
      <c r="H982" s="48" t="n">
        <v>3</v>
      </c>
      <c r="I982" s="48" t="inlineStr">
        <is>
          <t>Installazione di paline di fermata conformi alla DGR 581/2023</t>
        </is>
      </c>
      <c r="J982" s="73" t="n"/>
      <c r="K982" s="73" t="n"/>
      <c r="L982" s="73" t="n"/>
      <c r="M982" s="73" t="n"/>
      <c r="N982" s="57">
        <f>IF($A982="","",IFERROR(VALUE($J982),0))</f>
        <v/>
      </c>
      <c r="O982" s="57">
        <f>IF($A982="",0,IF(OR($S982&lt;&gt;1,COUNTA($J982:$M982)=0),0,IF(SUMPRODUCT(MAX(($C$5:$C$2484=$C982)*($D$5:$D$2484=$D982)*($S$5:$S$2484=1)*IFERROR($N$5:$N$2484*1,0)))&gt;0,ROUND($H982*($N982/SUMPRODUCT(MAX(($C$5:$C$2484=$C982)*($D$5:$D$2484=$D982)*($S$5:$S$2484=1)*IFERROR($N$5:$N$2484*1,0)))),4),0)))</f>
        <v/>
      </c>
      <c r="P982" s="48" t="inlineStr">
        <is>
          <t>fermate</t>
        </is>
      </c>
      <c r="Q982" s="57">
        <f>IF($A982="","",$A982&amp;"|"&amp;$C982)</f>
        <v/>
      </c>
      <c r="R982" s="57">
        <f>IF($A982="","",$A982&amp;"|"&amp;$C982&amp;"|"&amp;$D982)</f>
        <v/>
      </c>
      <c r="S982" s="57">
        <f>IF($A982="","",IFERROR(INDEX(Offerte!$D$2:$D$81,MATCH($Q982,Offerte!$L$2:$L$81,0)),0))</f>
        <v/>
      </c>
      <c r="T982" s="57">
        <f>IF($A982="","",IFERROR(INDEX(Offerte!$G$2:$G$81,MATCH($Q982,Offerte!$L$2:$L$81,0)),"NO"))</f>
        <v/>
      </c>
    </row>
    <row r="983">
      <c r="A983" s="48">
        <f>IF(Offerte!$A33="","",Offerte!$A33)</f>
        <v/>
      </c>
      <c r="B983" s="48">
        <f>IF(Offerte!$A33="","",Offerte!$B33)</f>
        <v/>
      </c>
      <c r="C983" s="48">
        <f>IF(Offerte!$A33="","",Offerte!$C33)</f>
        <v/>
      </c>
      <c r="D983" s="48" t="inlineStr">
        <is>
          <t>D.1.3</t>
        </is>
      </c>
      <c r="E983" s="48" t="inlineStr">
        <is>
          <t>D</t>
        </is>
      </c>
      <c r="F983" s="48" t="inlineStr">
        <is>
          <t>Q</t>
        </is>
      </c>
      <c r="G983" s="48" t="inlineStr">
        <is>
          <t>higher</t>
        </is>
      </c>
      <c r="H983" s="48" t="n">
        <v>2</v>
      </c>
      <c r="I983" s="48" t="inlineStr">
        <is>
          <t>Display informativi connessi alle fermate</t>
        </is>
      </c>
      <c r="J983" s="73" t="n"/>
      <c r="K983" s="73" t="n"/>
      <c r="L983" s="73" t="n"/>
      <c r="M983" s="73" t="n"/>
      <c r="N983" s="57">
        <f>IF($A983="","",IFERROR(VALUE($J983),0))</f>
        <v/>
      </c>
      <c r="O983" s="57">
        <f>IF($A983="",0,IF(OR($S983&lt;&gt;1,COUNTA($J983:$M983)=0),0,IF(SUMPRODUCT(MAX(($C$5:$C$2484=$C983)*($D$5:$D$2484=$D983)*($S$5:$S$2484=1)*IFERROR($N$5:$N$2484*1,0)))&gt;0,ROUND($H983*($N983/SUMPRODUCT(MAX(($C$5:$C$2484=$C983)*($D$5:$D$2484=$D983)*($S$5:$S$2484=1)*IFERROR($N$5:$N$2484*1,0)))),4),0)))</f>
        <v/>
      </c>
      <c r="P983" s="48" t="inlineStr">
        <is>
          <t>fermate</t>
        </is>
      </c>
      <c r="Q983" s="57">
        <f>IF($A983="","",$A983&amp;"|"&amp;$C983)</f>
        <v/>
      </c>
      <c r="R983" s="57">
        <f>IF($A983="","",$A983&amp;"|"&amp;$C983&amp;"|"&amp;$D983)</f>
        <v/>
      </c>
      <c r="S983" s="57">
        <f>IF($A983="","",IFERROR(INDEX(Offerte!$D$2:$D$81,MATCH($Q983,Offerte!$L$2:$L$81,0)),0))</f>
        <v/>
      </c>
      <c r="T983" s="57">
        <f>IF($A983="","",IFERROR(INDEX(Offerte!$G$2:$G$81,MATCH($Q983,Offerte!$L$2:$L$81,0)),"NO"))</f>
        <v/>
      </c>
    </row>
    <row r="984">
      <c r="A984" s="48">
        <f>IF(Offerte!$A33="","",Offerte!$A33)</f>
        <v/>
      </c>
      <c r="B984" s="48">
        <f>IF(Offerte!$A33="","",Offerte!$B33)</f>
        <v/>
      </c>
      <c r="C984" s="48">
        <f>IF(Offerte!$A33="","",Offerte!$C33)</f>
        <v/>
      </c>
      <c r="D984" s="48" t="inlineStr">
        <is>
          <t>D.2.1</t>
        </is>
      </c>
      <c r="E984" s="48" t="inlineStr">
        <is>
          <t>D</t>
        </is>
      </c>
      <c r="F984" s="48" t="inlineStr">
        <is>
          <t>Q</t>
        </is>
      </c>
      <c r="G984" s="48" t="inlineStr">
        <is>
          <t>higher</t>
        </is>
      </c>
      <c r="H984" s="48" t="n">
        <v>2</v>
      </c>
      <c r="I984" s="48" t="inlineStr">
        <is>
          <t>Segnali tattili Loges-Vet-Evolution</t>
        </is>
      </c>
      <c r="J984" s="73" t="n"/>
      <c r="K984" s="73" t="n"/>
      <c r="L984" s="73" t="n"/>
      <c r="M984" s="73" t="n"/>
      <c r="N984" s="57">
        <f>IF($A984="","",IFERROR(VALUE($J984),0))</f>
        <v/>
      </c>
      <c r="O984" s="57">
        <f>IF($A984="",0,IF(OR($S984&lt;&gt;1,COUNTA($J984:$M984)=0),0,IF(SUMPRODUCT(MAX(($C$5:$C$2484=$C984)*($D$5:$D$2484=$D984)*($S$5:$S$2484=1)*IFERROR($N$5:$N$2484*1,0)))&gt;0,ROUND($H984*($N984/SUMPRODUCT(MAX(($C$5:$C$2484=$C984)*($D$5:$D$2484=$D984)*($S$5:$S$2484=1)*IFERROR($N$5:$N$2484*1,0)))),4),0)))</f>
        <v/>
      </c>
      <c r="P984" s="48" t="inlineStr">
        <is>
          <t>fermate</t>
        </is>
      </c>
      <c r="Q984" s="57">
        <f>IF($A984="","",$A984&amp;"|"&amp;$C984)</f>
        <v/>
      </c>
      <c r="R984" s="57">
        <f>IF($A984="","",$A984&amp;"|"&amp;$C984&amp;"|"&amp;$D984)</f>
        <v/>
      </c>
      <c r="S984" s="57">
        <f>IF($A984="","",IFERROR(INDEX(Offerte!$D$2:$D$81,MATCH($Q984,Offerte!$L$2:$L$81,0)),0))</f>
        <v/>
      </c>
      <c r="T984" s="57">
        <f>IF($A984="","",IFERROR(INDEX(Offerte!$G$2:$G$81,MATCH($Q984,Offerte!$L$2:$L$81,0)),"NO"))</f>
        <v/>
      </c>
    </row>
    <row r="985">
      <c r="A985" s="48">
        <f>IF(Offerte!$A33="","",Offerte!$A33)</f>
        <v/>
      </c>
      <c r="B985" s="48">
        <f>IF(Offerte!$A33="","",Offerte!$B33)</f>
        <v/>
      </c>
      <c r="C985" s="48">
        <f>IF(Offerte!$A33="","",Offerte!$C33)</f>
        <v/>
      </c>
      <c r="D985" s="48" t="inlineStr">
        <is>
          <t>E.1.1</t>
        </is>
      </c>
      <c r="E985" s="48" t="inlineStr">
        <is>
          <t>E</t>
        </is>
      </c>
      <c r="F985" s="48" t="inlineStr">
        <is>
          <t>T</t>
        </is>
      </c>
      <c r="G985" s="48" t="inlineStr">
        <is>
          <t>tabular</t>
        </is>
      </c>
      <c r="H985" s="48" t="n">
        <v>2</v>
      </c>
      <c r="I985" s="48" t="inlineStr">
        <is>
          <t>Mobile app con travel planner PRM</t>
        </is>
      </c>
      <c r="J985" s="73" t="n"/>
      <c r="K985" s="73" t="n"/>
      <c r="L985" s="73" t="n"/>
      <c r="M985" s="73" t="n"/>
      <c r="N985" s="57">
        <f>IF($A985="","",IF(IFERROR(VALUE($M985),0)=1,1,0))</f>
        <v/>
      </c>
      <c r="O985" s="57">
        <f>IF($A985="",0,IF(OR($S985&lt;&gt;1,COUNTA($J985:$M985)=0),0,IF($N985=1,$H985,0)))</f>
        <v/>
      </c>
      <c r="P985" s="48" t="inlineStr">
        <is>
          <t>sì/no</t>
        </is>
      </c>
      <c r="Q985" s="57">
        <f>IF($A985="","",$A985&amp;"|"&amp;$C985)</f>
        <v/>
      </c>
      <c r="R985" s="57">
        <f>IF($A985="","",$A985&amp;"|"&amp;$C985&amp;"|"&amp;$D985)</f>
        <v/>
      </c>
      <c r="S985" s="57">
        <f>IF($A985="","",IFERROR(INDEX(Offerte!$D$2:$D$81,MATCH($Q985,Offerte!$L$2:$L$81,0)),0))</f>
        <v/>
      </c>
      <c r="T985" s="57">
        <f>IF($A985="","",IFERROR(INDEX(Offerte!$G$2:$G$81,MATCH($Q985,Offerte!$L$2:$L$81,0)),"NO"))</f>
        <v/>
      </c>
    </row>
    <row r="986">
      <c r="A986" s="48">
        <f>IF(Offerte!$A33="","",Offerte!$A33)</f>
        <v/>
      </c>
      <c r="B986" s="48">
        <f>IF(Offerte!$A33="","",Offerte!$B33)</f>
        <v/>
      </c>
      <c r="C986" s="48">
        <f>IF(Offerte!$A33="","",Offerte!$C33)</f>
        <v/>
      </c>
      <c r="D986" s="48" t="inlineStr">
        <is>
          <t>E.2.1</t>
        </is>
      </c>
      <c r="E986" s="48" t="inlineStr">
        <is>
          <t>E</t>
        </is>
      </c>
      <c r="F986" s="48" t="inlineStr">
        <is>
          <t>D</t>
        </is>
      </c>
      <c r="G986" s="48" t="inlineStr">
        <is>
          <t>discretionary</t>
        </is>
      </c>
      <c r="H986" s="48" t="n">
        <v>2</v>
      </c>
      <c r="I986" s="48" t="inlineStr">
        <is>
          <t>Altre azioni informative e rapporti con gli utenti</t>
        </is>
      </c>
      <c r="J986" s="73" t="n"/>
      <c r="K986" s="73" t="n"/>
      <c r="L986" s="73" t="n"/>
      <c r="M986" s="73" t="n"/>
      <c r="N986" s="57">
        <f>IF($A986="","",MAX(0,MIN(1,IFERROR(VALUE($M986),0))))</f>
        <v/>
      </c>
      <c r="O986" s="57">
        <f>IF($A986="",0,IF(OR($S986&lt;&gt;1,COUNTA($J986:$M986)=0),0,IF(SUMPRODUCT(MAX(($C$5:$C$2484=$C986)*($D$5:$D$2484=$D986)*($S$5:$S$2484=1)*IFERROR($N$5:$N$2484*1,0)))&gt;0,ROUND($H986*($N986/SUMPRODUCT(MAX(($C$5:$C$2484=$C986)*($D$5:$D$2484=$D986)*($S$5:$S$2484=1)*IFERROR($N$5:$N$2484*1,0)))),4),0)))</f>
        <v/>
      </c>
      <c r="P986" s="48" t="inlineStr">
        <is>
          <t>coeff.</t>
        </is>
      </c>
      <c r="Q986" s="57">
        <f>IF($A986="","",$A986&amp;"|"&amp;$C986)</f>
        <v/>
      </c>
      <c r="R986" s="57">
        <f>IF($A986="","",$A986&amp;"|"&amp;$C986&amp;"|"&amp;$D986)</f>
        <v/>
      </c>
      <c r="S986" s="57">
        <f>IF($A986="","",IFERROR(INDEX(Offerte!$D$2:$D$81,MATCH($Q986,Offerte!$L$2:$L$81,0)),0))</f>
        <v/>
      </c>
      <c r="T986" s="57">
        <f>IF($A986="","",IFERROR(INDEX(Offerte!$G$2:$G$81,MATCH($Q986,Offerte!$L$2:$L$81,0)),"NO"))</f>
        <v/>
      </c>
    </row>
    <row r="987">
      <c r="A987" s="48">
        <f>IF(Offerte!$A33="","",Offerte!$A33)</f>
        <v/>
      </c>
      <c r="B987" s="48">
        <f>IF(Offerte!$A33="","",Offerte!$B33)</f>
        <v/>
      </c>
      <c r="C987" s="48">
        <f>IF(Offerte!$A33="","",Offerte!$C33)</f>
        <v/>
      </c>
      <c r="D987" s="48" t="inlineStr">
        <is>
          <t>F.1.1</t>
        </is>
      </c>
      <c r="E987" s="48" t="inlineStr">
        <is>
          <t>F</t>
        </is>
      </c>
      <c r="F987" s="48" t="inlineStr">
        <is>
          <t>Q</t>
        </is>
      </c>
      <c r="G987" s="48" t="inlineStr">
        <is>
          <t>lower</t>
        </is>
      </c>
      <c r="H987" s="48" t="n">
        <v>7</v>
      </c>
      <c r="I987" s="48" t="inlineStr">
        <is>
          <t>Performance ambientali del parco mezzi adibito al servizio - I_CEA</t>
        </is>
      </c>
      <c r="J987" s="73" t="n"/>
      <c r="K987" s="73" t="n"/>
      <c r="L987" s="73" t="n"/>
      <c r="M987" s="73" t="n"/>
      <c r="N987" s="57">
        <f>IF($A987="","",IFERROR(VALUE($J987),0))</f>
        <v/>
      </c>
      <c r="O987" s="57">
        <f>IF($A987="",0,IF(OR($S987&lt;&gt;1,COUNTA($J987:$M987)=0),0,IF(AND(IFERROR(AGGREGATE(15,6,$N$5:$N$2484/(($C$5:$C$2484=$C987)*($D$5:$D$2484=$D987)*($S$5:$S$2484=1)*($N$5:$N$2484&gt;0)),1),0)&gt;0,$N987&gt;0),ROUND($H987*(IFERROR(AGGREGATE(15,6,$N$5:$N$2484/(($C$5:$C$2484=$C987)*($D$5:$D$2484=$D987)*($S$5:$S$2484=1)*($N$5:$N$2484&gt;0)),1),0)/$N987),4),0)))</f>
        <v/>
      </c>
      <c r="P987" s="48" t="inlineStr">
        <is>
          <t>indice</t>
        </is>
      </c>
      <c r="Q987" s="57">
        <f>IF($A987="","",$A987&amp;"|"&amp;$C987)</f>
        <v/>
      </c>
      <c r="R987" s="57">
        <f>IF($A987="","",$A987&amp;"|"&amp;$C987&amp;"|"&amp;$D987)</f>
        <v/>
      </c>
      <c r="S987" s="57">
        <f>IF($A987="","",IFERROR(INDEX(Offerte!$D$2:$D$81,MATCH($Q987,Offerte!$L$2:$L$81,0)),0))</f>
        <v/>
      </c>
      <c r="T987" s="57">
        <f>IF($A987="","",IFERROR(INDEX(Offerte!$G$2:$G$81,MATCH($Q987,Offerte!$L$2:$L$81,0)),"NO"))</f>
        <v/>
      </c>
    </row>
    <row r="988">
      <c r="A988" s="48">
        <f>IF(Offerte!$A33="","",Offerte!$A33)</f>
        <v/>
      </c>
      <c r="B988" s="48">
        <f>IF(Offerte!$A33="","",Offerte!$B33)</f>
        <v/>
      </c>
      <c r="C988" s="48">
        <f>IF(Offerte!$A33="","",Offerte!$C33)</f>
        <v/>
      </c>
      <c r="D988" s="48" t="inlineStr">
        <is>
          <t>F.2.1</t>
        </is>
      </c>
      <c r="E988" s="48" t="inlineStr">
        <is>
          <t>F</t>
        </is>
      </c>
      <c r="F988" s="48" t="inlineStr">
        <is>
          <t>Q</t>
        </is>
      </c>
      <c r="G988" s="48" t="inlineStr">
        <is>
          <t>higher</t>
        </is>
      </c>
      <c r="H988" s="48" t="n">
        <v>2</v>
      </c>
      <c r="I988" s="48" t="inlineStr">
        <is>
          <t>Tasso di copertura del servizio con dispositivi ECO-DRIVER</t>
        </is>
      </c>
      <c r="J988" s="73" t="n"/>
      <c r="K988" s="73" t="n"/>
      <c r="L988" s="73" t="n"/>
      <c r="M988" s="73" t="n"/>
      <c r="N988" s="57">
        <f>IF($A988="","",IFERROR(VALUE($K988)/VALUE($L988),IFERROR(VALUE($J988),0)))</f>
        <v/>
      </c>
      <c r="O988" s="57">
        <f>IF($A988="",0,IF(OR($S988&lt;&gt;1,COUNTA($J988:$M988)=0),0,IF(SUMPRODUCT(MAX(($C$5:$C$2484=$C988)*($D$5:$D$2484=$D988)*($S$5:$S$2484=1)*IFERROR($N$5:$N$2484*1,0)))&gt;0,ROUND($H988*($N988/SUMPRODUCT(MAX(($C$5:$C$2484=$C988)*($D$5:$D$2484=$D988)*($S$5:$S$2484=1)*IFERROR($N$5:$N$2484*1,0)))),4),0)))</f>
        <v/>
      </c>
      <c r="P988" s="48" t="inlineStr">
        <is>
          <t>Autobus attrezzati con dispositivi ECO-DRIVER / Autobus totali in offerta, incluse scorte</t>
        </is>
      </c>
      <c r="Q988" s="57">
        <f>IF($A988="","",$A988&amp;"|"&amp;$C988)</f>
        <v/>
      </c>
      <c r="R988" s="57">
        <f>IF($A988="","",$A988&amp;"|"&amp;$C988&amp;"|"&amp;$D988)</f>
        <v/>
      </c>
      <c r="S988" s="57">
        <f>IF($A988="","",IFERROR(INDEX(Offerte!$D$2:$D$81,MATCH($Q988,Offerte!$L$2:$L$81,0)),0))</f>
        <v/>
      </c>
      <c r="T988" s="57">
        <f>IF($A988="","",IFERROR(INDEX(Offerte!$G$2:$G$81,MATCH($Q988,Offerte!$L$2:$L$81,0)),"NO"))</f>
        <v/>
      </c>
    </row>
    <row r="989">
      <c r="A989" s="48">
        <f>IF(Offerte!$A33="","",Offerte!$A33)</f>
        <v/>
      </c>
      <c r="B989" s="48">
        <f>IF(Offerte!$A33="","",Offerte!$B33)</f>
        <v/>
      </c>
      <c r="C989" s="48">
        <f>IF(Offerte!$A33="","",Offerte!$C33)</f>
        <v/>
      </c>
      <c r="D989" s="48" t="inlineStr">
        <is>
          <t>F.3.1</t>
        </is>
      </c>
      <c r="E989" s="48" t="inlineStr">
        <is>
          <t>F</t>
        </is>
      </c>
      <c r="F989" s="48" t="inlineStr">
        <is>
          <t>Q</t>
        </is>
      </c>
      <c r="G989" s="48" t="inlineStr">
        <is>
          <t>higher</t>
        </is>
      </c>
      <c r="H989" s="48" t="n">
        <v>2</v>
      </c>
      <c r="I989" s="48" t="inlineStr">
        <is>
          <t>Autoproduzione consumi elettrici per trazione</t>
        </is>
      </c>
      <c r="J989" s="73" t="n"/>
      <c r="K989" s="73" t="n"/>
      <c r="L989" s="73" t="n"/>
      <c r="M989" s="73" t="n"/>
      <c r="N989" s="57">
        <f>IF($A989="","",IFERROR(VALUE($J989),0))</f>
        <v/>
      </c>
      <c r="O989" s="57">
        <f>IF($A989="",0,IF(OR($S989&lt;&gt;1,COUNTA($J989:$M989)=0),0,IF(SUMPRODUCT(MAX(($C$5:$C$2484=$C989)*($D$5:$D$2484=$D989)*($S$5:$S$2484=1)*IFERROR($N$5:$N$2484*1,0)))&gt;0,ROUND($H989*($N989/SUMPRODUCT(MAX(($C$5:$C$2484=$C989)*($D$5:$D$2484=$D989)*($S$5:$S$2484=1)*IFERROR($N$5:$N$2484*1,0)))),4),0)))</f>
        <v/>
      </c>
      <c r="P989" s="48" t="inlineStr">
        <is>
          <t>kWh/anno</t>
        </is>
      </c>
      <c r="Q989" s="57">
        <f>IF($A989="","",$A989&amp;"|"&amp;$C989)</f>
        <v/>
      </c>
      <c r="R989" s="57">
        <f>IF($A989="","",$A989&amp;"|"&amp;$C989&amp;"|"&amp;$D989)</f>
        <v/>
      </c>
      <c r="S989" s="57">
        <f>IF($A989="","",IFERROR(INDEX(Offerte!$D$2:$D$81,MATCH($Q989,Offerte!$L$2:$L$81,0)),0))</f>
        <v/>
      </c>
      <c r="T989" s="57">
        <f>IF($A989="","",IFERROR(INDEX(Offerte!$G$2:$G$81,MATCH($Q989,Offerte!$L$2:$L$81,0)),"NO"))</f>
        <v/>
      </c>
    </row>
    <row r="990">
      <c r="A990" s="48">
        <f>IF(Offerte!$A33="","",Offerte!$A33)</f>
        <v/>
      </c>
      <c r="B990" s="48">
        <f>IF(Offerte!$A33="","",Offerte!$B33)</f>
        <v/>
      </c>
      <c r="C990" s="48">
        <f>IF(Offerte!$A33="","",Offerte!$C33)</f>
        <v/>
      </c>
      <c r="D990" s="48" t="inlineStr">
        <is>
          <t>F.4.1</t>
        </is>
      </c>
      <c r="E990" s="48" t="inlineStr">
        <is>
          <t>F</t>
        </is>
      </c>
      <c r="F990" s="48" t="inlineStr">
        <is>
          <t>Q</t>
        </is>
      </c>
      <c r="G990" s="48" t="inlineStr">
        <is>
          <t>soil</t>
        </is>
      </c>
      <c r="H990" s="48" t="n">
        <v>2</v>
      </c>
      <c r="I990" s="48" t="inlineStr">
        <is>
          <t>Indice di consumo di suolo</t>
        </is>
      </c>
      <c r="J990" s="73" t="n"/>
      <c r="K990" s="73" t="n"/>
      <c r="L990" s="73" t="n"/>
      <c r="M990" s="73" t="n"/>
      <c r="N990" s="57">
        <f>IF($A990="","",IFERROR(VALUE($J990),0))</f>
        <v/>
      </c>
      <c r="O990" s="57">
        <f>IF($A990="",0,IF(OR($S990&lt;&gt;1,COUNTA($J990:$M990)=0),0,IF($N990&lt;=0,$H990,IF(SUMPRODUCT(MAX(($C$5:$C$2484=$C990)*($D$5:$D$2484=$D990)*($S$5:$S$2484=1)*IFERROR($N$5:$N$2484*1,0)))&gt;0,ROUND($H990*((SUMPRODUCT(MAX(($C$5:$C$2484=$C990)*($D$5:$D$2484=$D990)*($S$5:$S$2484=1)*IFERROR($N$5:$N$2484*1,0)))-$N990)/SUMPRODUCT(MAX(($C$5:$C$2484=$C990)*($D$5:$D$2484=$D990)*($S$5:$S$2484=1)*IFERROR($N$5:$N$2484*1,0)))),4),0))))</f>
        <v/>
      </c>
      <c r="P990" s="48" t="inlineStr">
        <is>
          <t>m2</t>
        </is>
      </c>
      <c r="Q990" s="57">
        <f>IF($A990="","",$A990&amp;"|"&amp;$C990)</f>
        <v/>
      </c>
      <c r="R990" s="57">
        <f>IF($A990="","",$A990&amp;"|"&amp;$C990&amp;"|"&amp;$D990)</f>
        <v/>
      </c>
      <c r="S990" s="57">
        <f>IF($A990="","",IFERROR(INDEX(Offerte!$D$2:$D$81,MATCH($Q990,Offerte!$L$2:$L$81,0)),0))</f>
        <v/>
      </c>
      <c r="T990" s="57">
        <f>IF($A990="","",IFERROR(INDEX(Offerte!$G$2:$G$81,MATCH($Q990,Offerte!$L$2:$L$81,0)),"NO"))</f>
        <v/>
      </c>
    </row>
    <row r="991">
      <c r="A991" s="48">
        <f>IF(Offerte!$A33="","",Offerte!$A33)</f>
        <v/>
      </c>
      <c r="B991" s="48">
        <f>IF(Offerte!$A33="","",Offerte!$B33)</f>
        <v/>
      </c>
      <c r="C991" s="48">
        <f>IF(Offerte!$A33="","",Offerte!$C33)</f>
        <v/>
      </c>
      <c r="D991" s="48" t="inlineStr">
        <is>
          <t>F.5.1</t>
        </is>
      </c>
      <c r="E991" s="48" t="inlineStr">
        <is>
          <t>F</t>
        </is>
      </c>
      <c r="F991" s="48" t="inlineStr">
        <is>
          <t>T</t>
        </is>
      </c>
      <c r="G991" s="48" t="inlineStr">
        <is>
          <t>tabular</t>
        </is>
      </c>
      <c r="H991" s="48" t="n">
        <v>1</v>
      </c>
      <c r="I991" s="48" t="inlineStr">
        <is>
          <t>Rendicontazione di sostenibilità ambientale</t>
        </is>
      </c>
      <c r="J991" s="73" t="n"/>
      <c r="K991" s="73" t="n"/>
      <c r="L991" s="73" t="n"/>
      <c r="M991" s="73" t="n"/>
      <c r="N991" s="57">
        <f>IF($A991="","",IF(IFERROR(VALUE($M991),0)=1,1,0))</f>
        <v/>
      </c>
      <c r="O991" s="57">
        <f>IF($A991="",0,IF(OR($S991&lt;&gt;1,COUNTA($J991:$M991)=0),0,IF($N991=1,$H991,0)))</f>
        <v/>
      </c>
      <c r="P991" s="48" t="inlineStr">
        <is>
          <t>sì/no</t>
        </is>
      </c>
      <c r="Q991" s="57">
        <f>IF($A991="","",$A991&amp;"|"&amp;$C991)</f>
        <v/>
      </c>
      <c r="R991" s="57">
        <f>IF($A991="","",$A991&amp;"|"&amp;$C991&amp;"|"&amp;$D991)</f>
        <v/>
      </c>
      <c r="S991" s="57">
        <f>IF($A991="","",IFERROR(INDEX(Offerte!$D$2:$D$81,MATCH($Q991,Offerte!$L$2:$L$81,0)),0))</f>
        <v/>
      </c>
      <c r="T991" s="57">
        <f>IF($A991="","",IFERROR(INDEX(Offerte!$G$2:$G$81,MATCH($Q991,Offerte!$L$2:$L$81,0)),"NO"))</f>
        <v/>
      </c>
    </row>
    <row r="992">
      <c r="A992" s="48">
        <f>IF(Offerte!$A33="","",Offerte!$A33)</f>
        <v/>
      </c>
      <c r="B992" s="48">
        <f>IF(Offerte!$A33="","",Offerte!$B33)</f>
        <v/>
      </c>
      <c r="C992" s="48">
        <f>IF(Offerte!$A33="","",Offerte!$C33)</f>
        <v/>
      </c>
      <c r="D992" s="48" t="inlineStr">
        <is>
          <t>G.1.1</t>
        </is>
      </c>
      <c r="E992" s="48" t="inlineStr">
        <is>
          <t>G</t>
        </is>
      </c>
      <c r="F992" s="48" t="inlineStr">
        <is>
          <t>D</t>
        </is>
      </c>
      <c r="G992" s="48" t="inlineStr">
        <is>
          <t>discretionary</t>
        </is>
      </c>
      <c r="H992" s="48" t="n">
        <v>2</v>
      </c>
      <c r="I992" s="48" t="inlineStr">
        <is>
          <t>Qualità del progetto di centrale di controllo aziendale</t>
        </is>
      </c>
      <c r="J992" s="73" t="n"/>
      <c r="K992" s="73" t="n"/>
      <c r="L992" s="73" t="n"/>
      <c r="M992" s="73" t="n"/>
      <c r="N992" s="57">
        <f>IF($A992="","",MAX(0,MIN(1,IFERROR(VALUE($M992),0))))</f>
        <v/>
      </c>
      <c r="O992" s="57">
        <f>IF($A992="",0,IF(OR($S992&lt;&gt;1,COUNTA($J992:$M992)=0),0,IF(SUMPRODUCT(MAX(($C$5:$C$2484=$C992)*($D$5:$D$2484=$D992)*($S$5:$S$2484=1)*IFERROR($N$5:$N$2484*1,0)))&gt;0,ROUND($H992*($N992/SUMPRODUCT(MAX(($C$5:$C$2484=$C992)*($D$5:$D$2484=$D992)*($S$5:$S$2484=1)*IFERROR($N$5:$N$2484*1,0)))),4),0)))</f>
        <v/>
      </c>
      <c r="P992" s="48" t="inlineStr">
        <is>
          <t>coeff.</t>
        </is>
      </c>
      <c r="Q992" s="57">
        <f>IF($A992="","",$A992&amp;"|"&amp;$C992)</f>
        <v/>
      </c>
      <c r="R992" s="57">
        <f>IF($A992="","",$A992&amp;"|"&amp;$C992&amp;"|"&amp;$D992)</f>
        <v/>
      </c>
      <c r="S992" s="57">
        <f>IF($A992="","",IFERROR(INDEX(Offerte!$D$2:$D$81,MATCH($Q992,Offerte!$L$2:$L$81,0)),0))</f>
        <v/>
      </c>
      <c r="T992" s="57">
        <f>IF($A992="","",IFERROR(INDEX(Offerte!$G$2:$G$81,MATCH($Q992,Offerte!$L$2:$L$81,0)),"NO"))</f>
        <v/>
      </c>
    </row>
    <row r="993">
      <c r="A993" s="48">
        <f>IF(Offerte!$A33="","",Offerte!$A33)</f>
        <v/>
      </c>
      <c r="B993" s="48">
        <f>IF(Offerte!$A33="","",Offerte!$B33)</f>
        <v/>
      </c>
      <c r="C993" s="48">
        <f>IF(Offerte!$A33="","",Offerte!$C33)</f>
        <v/>
      </c>
      <c r="D993" s="48" t="inlineStr">
        <is>
          <t>G.2.1</t>
        </is>
      </c>
      <c r="E993" s="48" t="inlineStr">
        <is>
          <t>G</t>
        </is>
      </c>
      <c r="F993" s="48" t="inlineStr">
        <is>
          <t>T</t>
        </is>
      </c>
      <c r="G993" s="48" t="inlineStr">
        <is>
          <t>tabular</t>
        </is>
      </c>
      <c r="H993" s="48" t="n">
        <v>1</v>
      </c>
      <c r="I993" s="48" t="inlineStr">
        <is>
          <t>Certificazione ISO 45001</t>
        </is>
      </c>
      <c r="J993" s="73" t="n"/>
      <c r="K993" s="73" t="n"/>
      <c r="L993" s="73" t="n"/>
      <c r="M993" s="73" t="n"/>
      <c r="N993" s="57">
        <f>IF($A993="","",IF(IFERROR(VALUE($M993),0)=1,1,0))</f>
        <v/>
      </c>
      <c r="O993" s="57">
        <f>IF($A993="",0,IF(OR($S993&lt;&gt;1,COUNTA($J993:$M993)=0),0,IF($N993=1,$H993,0)))</f>
        <v/>
      </c>
      <c r="P993" s="48" t="inlineStr">
        <is>
          <t>sì/no</t>
        </is>
      </c>
      <c r="Q993" s="57">
        <f>IF($A993="","",$A993&amp;"|"&amp;$C993)</f>
        <v/>
      </c>
      <c r="R993" s="57">
        <f>IF($A993="","",$A993&amp;"|"&amp;$C993&amp;"|"&amp;$D993)</f>
        <v/>
      </c>
      <c r="S993" s="57">
        <f>IF($A993="","",IFERROR(INDEX(Offerte!$D$2:$D$81,MATCH($Q993,Offerte!$L$2:$L$81,0)),0))</f>
        <v/>
      </c>
      <c r="T993" s="57">
        <f>IF($A993="","",IFERROR(INDEX(Offerte!$G$2:$G$81,MATCH($Q993,Offerte!$L$2:$L$81,0)),"NO"))</f>
        <v/>
      </c>
    </row>
    <row r="994">
      <c r="A994" s="48">
        <f>IF(Offerte!$A33="","",Offerte!$A33)</f>
        <v/>
      </c>
      <c r="B994" s="48">
        <f>IF(Offerte!$A33="","",Offerte!$B33)</f>
        <v/>
      </c>
      <c r="C994" s="48">
        <f>IF(Offerte!$A33="","",Offerte!$C33)</f>
        <v/>
      </c>
      <c r="D994" s="48" t="inlineStr">
        <is>
          <t>G.3.1</t>
        </is>
      </c>
      <c r="E994" s="48" t="inlineStr">
        <is>
          <t>G</t>
        </is>
      </c>
      <c r="F994" s="48" t="inlineStr">
        <is>
          <t>T</t>
        </is>
      </c>
      <c r="G994" s="48" t="inlineStr">
        <is>
          <t>tabular</t>
        </is>
      </c>
      <c r="H994" s="48" t="n">
        <v>1</v>
      </c>
      <c r="I994" s="48" t="inlineStr">
        <is>
          <t>Certificazioni di responsabilità sociale</t>
        </is>
      </c>
      <c r="J994" s="73" t="n"/>
      <c r="K994" s="73" t="n"/>
      <c r="L994" s="73" t="n"/>
      <c r="M994" s="73" t="n"/>
      <c r="N994" s="57">
        <f>IF($A994="","",IF(IFERROR(VALUE($M994),0)=1,1,0))</f>
        <v/>
      </c>
      <c r="O994" s="57">
        <f>IF($A994="",0,IF(OR($S994&lt;&gt;1,COUNTA($J994:$M994)=0),0,IF($N994=1,$H994,0)))</f>
        <v/>
      </c>
      <c r="P994" s="48" t="inlineStr">
        <is>
          <t>sì/no</t>
        </is>
      </c>
      <c r="Q994" s="57">
        <f>IF($A994="","",$A994&amp;"|"&amp;$C994)</f>
        <v/>
      </c>
      <c r="R994" s="57">
        <f>IF($A994="","",$A994&amp;"|"&amp;$C994&amp;"|"&amp;$D994)</f>
        <v/>
      </c>
      <c r="S994" s="57">
        <f>IF($A994="","",IFERROR(INDEX(Offerte!$D$2:$D$81,MATCH($Q994,Offerte!$L$2:$L$81,0)),0))</f>
        <v/>
      </c>
      <c r="T994" s="57">
        <f>IF($A994="","",IFERROR(INDEX(Offerte!$G$2:$G$81,MATCH($Q994,Offerte!$L$2:$L$81,0)),"NO"))</f>
        <v/>
      </c>
    </row>
    <row r="995">
      <c r="A995" s="48">
        <f>IF(Offerte!$A33="","",Offerte!$A33)</f>
        <v/>
      </c>
      <c r="B995" s="48">
        <f>IF(Offerte!$A33="","",Offerte!$B33)</f>
        <v/>
      </c>
      <c r="C995" s="48">
        <f>IF(Offerte!$A33="","",Offerte!$C33)</f>
        <v/>
      </c>
      <c r="D995" s="48" t="inlineStr">
        <is>
          <t>G.4.1</t>
        </is>
      </c>
      <c r="E995" s="48" t="inlineStr">
        <is>
          <t>G</t>
        </is>
      </c>
      <c r="F995" s="48" t="inlineStr">
        <is>
          <t>D</t>
        </is>
      </c>
      <c r="G995" s="48" t="inlineStr">
        <is>
          <t>discretionary</t>
        </is>
      </c>
      <c r="H995" s="48" t="n">
        <v>2</v>
      </c>
      <c r="I995" s="48" t="inlineStr">
        <is>
          <t>Qualità del piano di formazione del personale</t>
        </is>
      </c>
      <c r="J995" s="73" t="n"/>
      <c r="K995" s="73" t="n"/>
      <c r="L995" s="73" t="n"/>
      <c r="M995" s="73" t="n"/>
      <c r="N995" s="57">
        <f>IF($A995="","",MAX(0,MIN(1,IFERROR(VALUE($M995),0))))</f>
        <v/>
      </c>
      <c r="O995" s="57">
        <f>IF($A995="",0,IF(OR($S995&lt;&gt;1,COUNTA($J995:$M995)=0),0,IF(SUMPRODUCT(MAX(($C$5:$C$2484=$C995)*($D$5:$D$2484=$D995)*($S$5:$S$2484=1)*IFERROR($N$5:$N$2484*1,0)))&gt;0,ROUND($H995*($N995/SUMPRODUCT(MAX(($C$5:$C$2484=$C995)*($D$5:$D$2484=$D995)*($S$5:$S$2484=1)*IFERROR($N$5:$N$2484*1,0)))),4),0)))</f>
        <v/>
      </c>
      <c r="P995" s="48" t="inlineStr">
        <is>
          <t>coeff.</t>
        </is>
      </c>
      <c r="Q995" s="57">
        <f>IF($A995="","",$A995&amp;"|"&amp;$C995)</f>
        <v/>
      </c>
      <c r="R995" s="57">
        <f>IF($A995="","",$A995&amp;"|"&amp;$C995&amp;"|"&amp;$D995)</f>
        <v/>
      </c>
      <c r="S995" s="57">
        <f>IF($A995="","",IFERROR(INDEX(Offerte!$D$2:$D$81,MATCH($Q995,Offerte!$L$2:$L$81,0)),0))</f>
        <v/>
      </c>
      <c r="T995" s="57">
        <f>IF($A995="","",IFERROR(INDEX(Offerte!$G$2:$G$81,MATCH($Q995,Offerte!$L$2:$L$81,0)),"NO"))</f>
        <v/>
      </c>
    </row>
    <row r="996">
      <c r="A996" s="48">
        <f>IF(Offerte!$A33="","",Offerte!$A33)</f>
        <v/>
      </c>
      <c r="B996" s="48">
        <f>IF(Offerte!$A33="","",Offerte!$B33)</f>
        <v/>
      </c>
      <c r="C996" s="48">
        <f>IF(Offerte!$A33="","",Offerte!$C33)</f>
        <v/>
      </c>
      <c r="D996" s="48" t="inlineStr">
        <is>
          <t>G.5.1</t>
        </is>
      </c>
      <c r="E996" s="48" t="inlineStr">
        <is>
          <t>G</t>
        </is>
      </c>
      <c r="F996" s="48" t="inlineStr">
        <is>
          <t>T</t>
        </is>
      </c>
      <c r="G996" s="48" t="inlineStr">
        <is>
          <t>tabular</t>
        </is>
      </c>
      <c r="H996" s="48" t="n">
        <v>1</v>
      </c>
      <c r="I996" s="48" t="inlineStr">
        <is>
          <t>Impegno al mantenimento delle garanzie del contratto di secondo livello del gestore uscente</t>
        </is>
      </c>
      <c r="J996" s="73" t="n"/>
      <c r="K996" s="73" t="n"/>
      <c r="L996" s="73" t="n"/>
      <c r="M996" s="73" t="n"/>
      <c r="N996" s="57">
        <f>IF($A996="","",IF(IFERROR(VALUE($M996),0)=1,1,0))</f>
        <v/>
      </c>
      <c r="O996" s="57">
        <f>IF($A996="",0,IF(OR($S996&lt;&gt;1,COUNTA($J996:$M996)=0),0,IF($N996=1,$H996,0)))</f>
        <v/>
      </c>
      <c r="P996" s="48" t="inlineStr">
        <is>
          <t>sì/no</t>
        </is>
      </c>
      <c r="Q996" s="57">
        <f>IF($A996="","",$A996&amp;"|"&amp;$C996)</f>
        <v/>
      </c>
      <c r="R996" s="57">
        <f>IF($A996="","",$A996&amp;"|"&amp;$C996&amp;"|"&amp;$D996)</f>
        <v/>
      </c>
      <c r="S996" s="57">
        <f>IF($A996="","",IFERROR(INDEX(Offerte!$D$2:$D$81,MATCH($Q996,Offerte!$L$2:$L$81,0)),0))</f>
        <v/>
      </c>
      <c r="T996" s="57">
        <f>IF($A996="","",IFERROR(INDEX(Offerte!$G$2:$G$81,MATCH($Q996,Offerte!$L$2:$L$81,0)),"NO"))</f>
        <v/>
      </c>
    </row>
    <row r="997">
      <c r="A997" s="48">
        <f>IF(Offerte!$A34="","",Offerte!$A34)</f>
        <v/>
      </c>
      <c r="B997" s="48">
        <f>IF(Offerte!$A34="","",Offerte!$B34)</f>
        <v/>
      </c>
      <c r="C997" s="48">
        <f>IF(Offerte!$A34="","",Offerte!$C34)</f>
        <v/>
      </c>
      <c r="D997" s="48" t="inlineStr">
        <is>
          <t>A.1.1</t>
        </is>
      </c>
      <c r="E997" s="48" t="inlineStr">
        <is>
          <t>A</t>
        </is>
      </c>
      <c r="F997" s="48" t="inlineStr">
        <is>
          <t>Q</t>
        </is>
      </c>
      <c r="G997" s="48" t="inlineStr">
        <is>
          <t>higher</t>
        </is>
      </c>
      <c r="H997" s="48" t="n">
        <v>3</v>
      </c>
      <c r="I997" s="48" t="inlineStr">
        <is>
          <t>Tasso aggiuntivo di corse controllate</t>
        </is>
      </c>
      <c r="J997" s="73" t="n"/>
      <c r="K997" s="73" t="n"/>
      <c r="L997" s="73" t="n"/>
      <c r="M997" s="73" t="n"/>
      <c r="N997" s="57">
        <f>IF($A997="","",IFERROR(VALUE($K997)/VALUE($L997)*100,IFERROR(VALUE($J997),0)))</f>
        <v/>
      </c>
      <c r="O997" s="57">
        <f>IF($A997="",0,IF(OR($S997&lt;&gt;1,COUNTA($J997:$M997)=0),0,IF(SUMPRODUCT(MAX(($C$5:$C$2484=$C997)*($D$5:$D$2484=$D997)*($S$5:$S$2484=1)*IFERROR($N$5:$N$2484*1,0)))&gt;0,ROUND($H997*($N997/SUMPRODUCT(MAX(($C$5:$C$2484=$C997)*($D$5:$D$2484=$D997)*($S$5:$S$2484=1)*IFERROR($N$5:$N$2484*1,0)))),4),0)))</f>
        <v/>
      </c>
      <c r="P997" s="48" t="inlineStr">
        <is>
          <t>Corse controllate annue / Corse programmate annue</t>
        </is>
      </c>
      <c r="Q997" s="57">
        <f>IF($A997="","",$A997&amp;"|"&amp;$C997)</f>
        <v/>
      </c>
      <c r="R997" s="57">
        <f>IF($A997="","",$A997&amp;"|"&amp;$C997&amp;"|"&amp;$D997)</f>
        <v/>
      </c>
      <c r="S997" s="57">
        <f>IF($A997="","",IFERROR(INDEX(Offerte!$D$2:$D$81,MATCH($Q997,Offerte!$L$2:$L$81,0)),0))</f>
        <v/>
      </c>
      <c r="T997" s="57">
        <f>IF($A997="","",IFERROR(INDEX(Offerte!$G$2:$G$81,MATCH($Q997,Offerte!$L$2:$L$81,0)),"NO"))</f>
        <v/>
      </c>
    </row>
    <row r="998">
      <c r="A998" s="48">
        <f>IF(Offerte!$A34="","",Offerte!$A34)</f>
        <v/>
      </c>
      <c r="B998" s="48">
        <f>IF(Offerte!$A34="","",Offerte!$B34)</f>
        <v/>
      </c>
      <c r="C998" s="48">
        <f>IF(Offerte!$A34="","",Offerte!$C34)</f>
        <v/>
      </c>
      <c r="D998" s="48" t="inlineStr">
        <is>
          <t>A.1.2</t>
        </is>
      </c>
      <c r="E998" s="48" t="inlineStr">
        <is>
          <t>A</t>
        </is>
      </c>
      <c r="F998" s="48" t="inlineStr">
        <is>
          <t>Q</t>
        </is>
      </c>
      <c r="G998" s="48" t="inlineStr">
        <is>
          <t>higher</t>
        </is>
      </c>
      <c r="H998" s="48" t="n">
        <v>4</v>
      </c>
      <c r="I998" s="48" t="inlineStr">
        <is>
          <t>Numero aggiuntivo di passeggeri controllati</t>
        </is>
      </c>
      <c r="J998" s="73" t="n"/>
      <c r="K998" s="73" t="n"/>
      <c r="L998" s="73" t="n"/>
      <c r="M998" s="73" t="n"/>
      <c r="N998" s="57">
        <f>IF($A998="","",IFERROR(VALUE($J998),0))</f>
        <v/>
      </c>
      <c r="O998" s="57">
        <f>IF($A998="",0,IF(OR($S998&lt;&gt;1,COUNTA($J998:$M998)=0),0,IF(SUMPRODUCT(MAX(($C$5:$C$2484=$C998)*($D$5:$D$2484=$D998)*($S$5:$S$2484=1)*IFERROR($N$5:$N$2484*1,0)))&gt;0,ROUND($H998*($N998/SUMPRODUCT(MAX(($C$5:$C$2484=$C998)*($D$5:$D$2484=$D998)*($S$5:$S$2484=1)*IFERROR($N$5:$N$2484*1,0)))),4),0)))</f>
        <v/>
      </c>
      <c r="P998" s="48" t="inlineStr">
        <is>
          <t>passeggeri/anno</t>
        </is>
      </c>
      <c r="Q998" s="57">
        <f>IF($A998="","",$A998&amp;"|"&amp;$C998)</f>
        <v/>
      </c>
      <c r="R998" s="57">
        <f>IF($A998="","",$A998&amp;"|"&amp;$C998&amp;"|"&amp;$D998)</f>
        <v/>
      </c>
      <c r="S998" s="57">
        <f>IF($A998="","",IFERROR(INDEX(Offerte!$D$2:$D$81,MATCH($Q998,Offerte!$L$2:$L$81,0)),0))</f>
        <v/>
      </c>
      <c r="T998" s="57">
        <f>IF($A998="","",IFERROR(INDEX(Offerte!$G$2:$G$81,MATCH($Q998,Offerte!$L$2:$L$81,0)),"NO"))</f>
        <v/>
      </c>
    </row>
    <row r="999">
      <c r="A999" s="48">
        <f>IF(Offerte!$A34="","",Offerte!$A34)</f>
        <v/>
      </c>
      <c r="B999" s="48">
        <f>IF(Offerte!$A34="","",Offerte!$B34)</f>
        <v/>
      </c>
      <c r="C999" s="48">
        <f>IF(Offerte!$A34="","",Offerte!$C34)</f>
        <v/>
      </c>
      <c r="D999" s="48" t="inlineStr">
        <is>
          <t>B.1.1</t>
        </is>
      </c>
      <c r="E999" s="48" t="inlineStr">
        <is>
          <t>B</t>
        </is>
      </c>
      <c r="F999" s="48" t="inlineStr">
        <is>
          <t>Q</t>
        </is>
      </c>
      <c r="G999" s="48" t="inlineStr">
        <is>
          <t>higher</t>
        </is>
      </c>
      <c r="H999" s="48" t="n">
        <v>3</v>
      </c>
      <c r="I999" s="48" t="inlineStr">
        <is>
          <t>Incremento dei posti offerti nelle fasce di punta</t>
        </is>
      </c>
      <c r="J999" s="73" t="n"/>
      <c r="K999" s="73" t="n"/>
      <c r="L999" s="73" t="n"/>
      <c r="M999" s="73" t="n"/>
      <c r="N999" s="57">
        <f>IF($A999="","",IFERROR(VALUE($J999),0))</f>
        <v/>
      </c>
      <c r="O999" s="57">
        <f>IF($A999="",0,IF(OR($S999&lt;&gt;1,COUNTA($J999:$M999)=0),0,IF(SUMPRODUCT(MAX(($C$5:$C$2484=$C999)*($D$5:$D$2484=$D999)*($S$5:$S$2484=1)*IFERROR($N$5:$N$2484*1,0)))&gt;0,ROUND($H999*($N999/SUMPRODUCT(MAX(($C$5:$C$2484=$C999)*($D$5:$D$2484=$D999)*($S$5:$S$2484=1)*IFERROR($N$5:$N$2484*1,0)))),4),0)))</f>
        <v/>
      </c>
      <c r="P999" s="48" t="inlineStr">
        <is>
          <t>posti*km</t>
        </is>
      </c>
      <c r="Q999" s="57">
        <f>IF($A999="","",$A999&amp;"|"&amp;$C999)</f>
        <v/>
      </c>
      <c r="R999" s="57">
        <f>IF($A999="","",$A999&amp;"|"&amp;$C999&amp;"|"&amp;$D999)</f>
        <v/>
      </c>
      <c r="S999" s="57">
        <f>IF($A999="","",IFERROR(INDEX(Offerte!$D$2:$D$81,MATCH($Q999,Offerte!$L$2:$L$81,0)),0))</f>
        <v/>
      </c>
      <c r="T999" s="57">
        <f>IF($A999="","",IFERROR(INDEX(Offerte!$G$2:$G$81,MATCH($Q999,Offerte!$L$2:$L$81,0)),"NO"))</f>
        <v/>
      </c>
    </row>
    <row r="1000">
      <c r="A1000" s="48">
        <f>IF(Offerte!$A34="","",Offerte!$A34)</f>
        <v/>
      </c>
      <c r="B1000" s="48">
        <f>IF(Offerte!$A34="","",Offerte!$B34)</f>
        <v/>
      </c>
      <c r="C1000" s="48">
        <f>IF(Offerte!$A34="","",Offerte!$C34)</f>
        <v/>
      </c>
      <c r="D1000" s="48" t="inlineStr">
        <is>
          <t>B.2.1</t>
        </is>
      </c>
      <c r="E1000" s="48" t="inlineStr">
        <is>
          <t>B</t>
        </is>
      </c>
      <c r="F1000" s="48" t="inlineStr">
        <is>
          <t>Q</t>
        </is>
      </c>
      <c r="G1000" s="48" t="inlineStr">
        <is>
          <t>higher</t>
        </is>
      </c>
      <c r="H1000" s="48" t="n">
        <v>4</v>
      </c>
      <c r="I1000" s="48" t="inlineStr">
        <is>
          <t>Corse aggiuntive nell'arco giornaliero base</t>
        </is>
      </c>
      <c r="J1000" s="73" t="n"/>
      <c r="K1000" s="73" t="n"/>
      <c r="L1000" s="73" t="n"/>
      <c r="M1000" s="73" t="n"/>
      <c r="N1000" s="57">
        <f>IF($A1000="","",IFERROR(VALUE($J1000),0))</f>
        <v/>
      </c>
      <c r="O1000" s="57">
        <f>IF($A1000="",0,IF(OR($S1000&lt;&gt;1,COUNTA($J1000:$M1000)=0),0,IF(SUMPRODUCT(MAX(($C$5:$C$2484=$C1000)*($D$5:$D$2484=$D1000)*($S$5:$S$2484=1)*IFERROR($N$5:$N$2484*1,0)))&gt;0,ROUND($H1000*($N1000/SUMPRODUCT(MAX(($C$5:$C$2484=$C1000)*($D$5:$D$2484=$D1000)*($S$5:$S$2484=1)*IFERROR($N$5:$N$2484*1,0)))),4),0)))</f>
        <v/>
      </c>
      <c r="P1000" s="48" t="inlineStr">
        <is>
          <t>corse</t>
        </is>
      </c>
      <c r="Q1000" s="57">
        <f>IF($A1000="","",$A1000&amp;"|"&amp;$C1000)</f>
        <v/>
      </c>
      <c r="R1000" s="57">
        <f>IF($A1000="","",$A1000&amp;"|"&amp;$C1000&amp;"|"&amp;$D1000)</f>
        <v/>
      </c>
      <c r="S1000" s="57">
        <f>IF($A1000="","",IFERROR(INDEX(Offerte!$D$2:$D$81,MATCH($Q1000,Offerte!$L$2:$L$81,0)),0))</f>
        <v/>
      </c>
      <c r="T1000" s="57">
        <f>IF($A1000="","",IFERROR(INDEX(Offerte!$G$2:$G$81,MATCH($Q1000,Offerte!$L$2:$L$81,0)),"NO"))</f>
        <v/>
      </c>
    </row>
    <row r="1001">
      <c r="A1001" s="48">
        <f>IF(Offerte!$A34="","",Offerte!$A34)</f>
        <v/>
      </c>
      <c r="B1001" s="48">
        <f>IF(Offerte!$A34="","",Offerte!$B34)</f>
        <v/>
      </c>
      <c r="C1001" s="48">
        <f>IF(Offerte!$A34="","",Offerte!$C34)</f>
        <v/>
      </c>
      <c r="D1001" s="48" t="inlineStr">
        <is>
          <t>B.3.1</t>
        </is>
      </c>
      <c r="E1001" s="48" t="inlineStr">
        <is>
          <t>B</t>
        </is>
      </c>
      <c r="F1001" s="48" t="inlineStr">
        <is>
          <t>Q</t>
        </is>
      </c>
      <c r="G1001" s="48" t="inlineStr">
        <is>
          <t>higher</t>
        </is>
      </c>
      <c r="H1001" s="48" t="n">
        <v>2</v>
      </c>
      <c r="I1001" s="48" t="inlineStr">
        <is>
          <t>Numero di corse aggiuntive per allungamento dell'arco di servizio giornaliero nelle fasce serali</t>
        </is>
      </c>
      <c r="J1001" s="73" t="n"/>
      <c r="K1001" s="73" t="n"/>
      <c r="L1001" s="73" t="n"/>
      <c r="M1001" s="73" t="n"/>
      <c r="N1001" s="57">
        <f>IF($A1001="","",IFERROR(VALUE($J1001),0))</f>
        <v/>
      </c>
      <c r="O1001" s="57">
        <f>IF($A1001="",0,IF(OR($S1001&lt;&gt;1,COUNTA($J1001:$M1001)=0),0,IF(SUMPRODUCT(MAX(($C$5:$C$2484=$C1001)*($D$5:$D$2484=$D1001)*($S$5:$S$2484=1)*IFERROR($N$5:$N$2484*1,0)))&gt;0,ROUND($H1001*($N1001/SUMPRODUCT(MAX(($C$5:$C$2484=$C1001)*($D$5:$D$2484=$D1001)*($S$5:$S$2484=1)*IFERROR($N$5:$N$2484*1,0)))),4),0)))</f>
        <v/>
      </c>
      <c r="P1001" s="48" t="inlineStr">
        <is>
          <t>corse</t>
        </is>
      </c>
      <c r="Q1001" s="57">
        <f>IF($A1001="","",$A1001&amp;"|"&amp;$C1001)</f>
        <v/>
      </c>
      <c r="R1001" s="57">
        <f>IF($A1001="","",$A1001&amp;"|"&amp;$C1001&amp;"|"&amp;$D1001)</f>
        <v/>
      </c>
      <c r="S1001" s="57">
        <f>IF($A1001="","",IFERROR(INDEX(Offerte!$D$2:$D$81,MATCH($Q1001,Offerte!$L$2:$L$81,0)),0))</f>
        <v/>
      </c>
      <c r="T1001" s="57">
        <f>IF($A1001="","",IFERROR(INDEX(Offerte!$G$2:$G$81,MATCH($Q1001,Offerte!$L$2:$L$81,0)),"NO"))</f>
        <v/>
      </c>
    </row>
    <row r="1002">
      <c r="A1002" s="48">
        <f>IF(Offerte!$A34="","",Offerte!$A34)</f>
        <v/>
      </c>
      <c r="B1002" s="48">
        <f>IF(Offerte!$A34="","",Offerte!$B34)</f>
        <v/>
      </c>
      <c r="C1002" s="48">
        <f>IF(Offerte!$A34="","",Offerte!$C34)</f>
        <v/>
      </c>
      <c r="D1002" s="48" t="inlineStr">
        <is>
          <t>B.4.1</t>
        </is>
      </c>
      <c r="E1002" s="48" t="inlineStr">
        <is>
          <t>B</t>
        </is>
      </c>
      <c r="F1002" s="48" t="inlineStr">
        <is>
          <t>Q</t>
        </is>
      </c>
      <c r="G1002" s="48" t="inlineStr">
        <is>
          <t>higher</t>
        </is>
      </c>
      <c r="H1002" s="48" t="n">
        <v>3</v>
      </c>
      <c r="I1002" s="48" t="inlineStr">
        <is>
          <t>Percorrenze aggiuntive offerte nel Programma d'esercizio delle prime due fasi attuative</t>
        </is>
      </c>
      <c r="J1002" s="73" t="n"/>
      <c r="K1002" s="73" t="n"/>
      <c r="L1002" s="73" t="n"/>
      <c r="M1002" s="73" t="n"/>
      <c r="N1002" s="57">
        <f>IF($A1002="","",IFERROR(VALUE($J1002),0))</f>
        <v/>
      </c>
      <c r="O1002" s="57">
        <f>IF($A1002="",0,IF(OR($S1002&lt;&gt;1,COUNTA($J1002:$M1002)=0),0,IF(SUMPRODUCT(MAX(($C$5:$C$2484=$C1002)*($D$5:$D$2484=$D1002)*($S$5:$S$2484=1)*IFERROR($N$5:$N$2484*1,0)))&gt;0,ROUND($H1002*($N1002/SUMPRODUCT(MAX(($C$5:$C$2484=$C1002)*($D$5:$D$2484=$D1002)*($S$5:$S$2484=1)*IFERROR($N$5:$N$2484*1,0)))),4),0)))</f>
        <v/>
      </c>
      <c r="P1002" s="48" t="inlineStr">
        <is>
          <t>vett*km</t>
        </is>
      </c>
      <c r="Q1002" s="57">
        <f>IF($A1002="","",$A1002&amp;"|"&amp;$C1002)</f>
        <v/>
      </c>
      <c r="R1002" s="57">
        <f>IF($A1002="","",$A1002&amp;"|"&amp;$C1002&amp;"|"&amp;$D1002)</f>
        <v/>
      </c>
      <c r="S1002" s="57">
        <f>IF($A1002="","",IFERROR(INDEX(Offerte!$D$2:$D$81,MATCH($Q1002,Offerte!$L$2:$L$81,0)),0))</f>
        <v/>
      </c>
      <c r="T1002" s="57">
        <f>IF($A1002="","",IFERROR(INDEX(Offerte!$G$2:$G$81,MATCH($Q1002,Offerte!$L$2:$L$81,0)),"NO"))</f>
        <v/>
      </c>
    </row>
    <row r="1003">
      <c r="A1003" s="48">
        <f>IF(Offerte!$A34="","",Offerte!$A34)</f>
        <v/>
      </c>
      <c r="B1003" s="48">
        <f>IF(Offerte!$A34="","",Offerte!$B34)</f>
        <v/>
      </c>
      <c r="C1003" s="48">
        <f>IF(Offerte!$A34="","",Offerte!$C34)</f>
        <v/>
      </c>
      <c r="D1003" s="48" t="inlineStr">
        <is>
          <t>B.5.1</t>
        </is>
      </c>
      <c r="E1003" s="48" t="inlineStr">
        <is>
          <t>B</t>
        </is>
      </c>
      <c r="F1003" s="48" t="inlineStr">
        <is>
          <t>D</t>
        </is>
      </c>
      <c r="G1003" s="48" t="inlineStr">
        <is>
          <t>discretionary</t>
        </is>
      </c>
      <c r="H1003" s="48" t="n">
        <v>2</v>
      </c>
      <c r="I1003" s="48" t="inlineStr">
        <is>
          <t>Efficacia del progetto di servizi complementari DRT</t>
        </is>
      </c>
      <c r="J1003" s="73" t="n"/>
      <c r="K1003" s="73" t="n"/>
      <c r="L1003" s="73" t="n"/>
      <c r="M1003" s="73" t="n"/>
      <c r="N1003" s="57">
        <f>IF($A1003="","",MAX(0,MIN(1,IFERROR(VALUE($M1003),0))))</f>
        <v/>
      </c>
      <c r="O1003" s="57">
        <f>IF($A1003="",0,IF(OR($S1003&lt;&gt;1,COUNTA($J1003:$M1003)=0),0,IF(SUMPRODUCT(MAX(($C$5:$C$2484=$C1003)*($D$5:$D$2484=$D1003)*($S$5:$S$2484=1)*IFERROR($N$5:$N$2484*1,0)))&gt;0,ROUND($H1003*($N1003/SUMPRODUCT(MAX(($C$5:$C$2484=$C1003)*($D$5:$D$2484=$D1003)*($S$5:$S$2484=1)*IFERROR($N$5:$N$2484*1,0)))),4),0)))</f>
        <v/>
      </c>
      <c r="P1003" s="48" t="inlineStr">
        <is>
          <t>coeff.</t>
        </is>
      </c>
      <c r="Q1003" s="57">
        <f>IF($A1003="","",$A1003&amp;"|"&amp;$C1003)</f>
        <v/>
      </c>
      <c r="R1003" s="57">
        <f>IF($A1003="","",$A1003&amp;"|"&amp;$C1003&amp;"|"&amp;$D1003)</f>
        <v/>
      </c>
      <c r="S1003" s="57">
        <f>IF($A1003="","",IFERROR(INDEX(Offerte!$D$2:$D$81,MATCH($Q1003,Offerte!$L$2:$L$81,0)),0))</f>
        <v/>
      </c>
      <c r="T1003" s="57">
        <f>IF($A1003="","",IFERROR(INDEX(Offerte!$G$2:$G$81,MATCH($Q1003,Offerte!$L$2:$L$81,0)),"NO"))</f>
        <v/>
      </c>
    </row>
    <row r="1004">
      <c r="A1004" s="48">
        <f>IF(Offerte!$A34="","",Offerte!$A34)</f>
        <v/>
      </c>
      <c r="B1004" s="48">
        <f>IF(Offerte!$A34="","",Offerte!$B34)</f>
        <v/>
      </c>
      <c r="C1004" s="48">
        <f>IF(Offerte!$A34="","",Offerte!$C34)</f>
        <v/>
      </c>
      <c r="D1004" s="48" t="inlineStr">
        <is>
          <t>C.1.1</t>
        </is>
      </c>
      <c r="E1004" s="48" t="inlineStr">
        <is>
          <t>C</t>
        </is>
      </c>
      <c r="F1004" s="48" t="inlineStr">
        <is>
          <t>Q</t>
        </is>
      </c>
      <c r="G1004" s="48" t="inlineStr">
        <is>
          <t>higher</t>
        </is>
      </c>
      <c r="H1004" s="48" t="n">
        <v>2</v>
      </c>
      <c r="I1004" s="48" t="inlineStr">
        <is>
          <t>Tasso di copertura del servizio con telecamere BSD</t>
        </is>
      </c>
      <c r="J1004" s="73" t="n"/>
      <c r="K1004" s="73" t="n"/>
      <c r="L1004" s="73" t="n"/>
      <c r="M1004" s="73" t="n"/>
      <c r="N1004" s="57">
        <f>IF($A1004="","",IFERROR(VALUE($K1004)/VALUE($L1004),IFERROR(VALUE($J1004),0)))</f>
        <v/>
      </c>
      <c r="O1004" s="57">
        <f>IF($A1004="",0,IF(OR($S1004&lt;&gt;1,COUNTA($J1004:$M1004)=0),0,IF(SUMPRODUCT(MAX(($C$5:$C$2484=$C1004)*($D$5:$D$2484=$D1004)*($S$5:$S$2484=1)*IFERROR($N$5:$N$2484*1,0)))&gt;0,ROUND($H1004*($N1004/SUMPRODUCT(MAX(($C$5:$C$2484=$C1004)*($D$5:$D$2484=$D1004)*($S$5:$S$2484=1)*IFERROR($N$5:$N$2484*1,0)))),4),0)))</f>
        <v/>
      </c>
      <c r="P1004" s="48" t="inlineStr">
        <is>
          <t>Autobus attrezzati con telecamere BSD / Autobus totali in offerta, incluse scorte</t>
        </is>
      </c>
      <c r="Q1004" s="57">
        <f>IF($A1004="","",$A1004&amp;"|"&amp;$C1004)</f>
        <v/>
      </c>
      <c r="R1004" s="57">
        <f>IF($A1004="","",$A1004&amp;"|"&amp;$C1004&amp;"|"&amp;$D1004)</f>
        <v/>
      </c>
      <c r="S1004" s="57">
        <f>IF($A1004="","",IFERROR(INDEX(Offerte!$D$2:$D$81,MATCH($Q1004,Offerte!$L$2:$L$81,0)),0))</f>
        <v/>
      </c>
      <c r="T1004" s="57">
        <f>IF($A1004="","",IFERROR(INDEX(Offerte!$G$2:$G$81,MATCH($Q1004,Offerte!$L$2:$L$81,0)),"NO"))</f>
        <v/>
      </c>
    </row>
    <row r="1005">
      <c r="A1005" s="48">
        <f>IF(Offerte!$A34="","",Offerte!$A34)</f>
        <v/>
      </c>
      <c r="B1005" s="48">
        <f>IF(Offerte!$A34="","",Offerte!$B34)</f>
        <v/>
      </c>
      <c r="C1005" s="48">
        <f>IF(Offerte!$A34="","",Offerte!$C34)</f>
        <v/>
      </c>
      <c r="D1005" s="48" t="inlineStr">
        <is>
          <t>C.1.2</t>
        </is>
      </c>
      <c r="E1005" s="48" t="inlineStr">
        <is>
          <t>C</t>
        </is>
      </c>
      <c r="F1005" s="48" t="inlineStr">
        <is>
          <t>Q</t>
        </is>
      </c>
      <c r="G1005" s="48" t="inlineStr">
        <is>
          <t>higher</t>
        </is>
      </c>
      <c r="H1005" s="48" t="n">
        <v>2</v>
      </c>
      <c r="I1005" s="48" t="inlineStr">
        <is>
          <t>Tasso di copertura del servizio con telecamere ADAS</t>
        </is>
      </c>
      <c r="J1005" s="73" t="n"/>
      <c r="K1005" s="73" t="n"/>
      <c r="L1005" s="73" t="n"/>
      <c r="M1005" s="73" t="n"/>
      <c r="N1005" s="57">
        <f>IF($A1005="","",IFERROR(VALUE($K1005)/VALUE($L1005),IFERROR(VALUE($J1005),0)))</f>
        <v/>
      </c>
      <c r="O1005" s="57">
        <f>IF($A1005="",0,IF(OR($S1005&lt;&gt;1,COUNTA($J1005:$M1005)=0),0,IF(SUMPRODUCT(MAX(($C$5:$C$2484=$C1005)*($D$5:$D$2484=$D1005)*($S$5:$S$2484=1)*IFERROR($N$5:$N$2484*1,0)))&gt;0,ROUND($H1005*($N1005/SUMPRODUCT(MAX(($C$5:$C$2484=$C1005)*($D$5:$D$2484=$D1005)*($S$5:$S$2484=1)*IFERROR($N$5:$N$2484*1,0)))),4),0)))</f>
        <v/>
      </c>
      <c r="P1005" s="48" t="inlineStr">
        <is>
          <t>Autobus attrezzati con telecamere ADAS / Autobus totali in offerta, incluse scorte</t>
        </is>
      </c>
      <c r="Q1005" s="57">
        <f>IF($A1005="","",$A1005&amp;"|"&amp;$C1005)</f>
        <v/>
      </c>
      <c r="R1005" s="57">
        <f>IF($A1005="","",$A1005&amp;"|"&amp;$C1005&amp;"|"&amp;$D1005)</f>
        <v/>
      </c>
      <c r="S1005" s="57">
        <f>IF($A1005="","",IFERROR(INDEX(Offerte!$D$2:$D$81,MATCH($Q1005,Offerte!$L$2:$L$81,0)),0))</f>
        <v/>
      </c>
      <c r="T1005" s="57">
        <f>IF($A1005="","",IFERROR(INDEX(Offerte!$G$2:$G$81,MATCH($Q1005,Offerte!$L$2:$L$81,0)),"NO"))</f>
        <v/>
      </c>
    </row>
    <row r="1006">
      <c r="A1006" s="48">
        <f>IF(Offerte!$A34="","",Offerte!$A34)</f>
        <v/>
      </c>
      <c r="B1006" s="48">
        <f>IF(Offerte!$A34="","",Offerte!$B34)</f>
        <v/>
      </c>
      <c r="C1006" s="48">
        <f>IF(Offerte!$A34="","",Offerte!$C34)</f>
        <v/>
      </c>
      <c r="D1006" s="48" t="inlineStr">
        <is>
          <t>C.2.1</t>
        </is>
      </c>
      <c r="E1006" s="48" t="inlineStr">
        <is>
          <t>C</t>
        </is>
      </c>
      <c r="F1006" s="48" t="inlineStr">
        <is>
          <t>Q</t>
        </is>
      </c>
      <c r="G1006" s="48" t="inlineStr">
        <is>
          <t>higher</t>
        </is>
      </c>
      <c r="H1006" s="48" t="n">
        <v>3</v>
      </c>
      <c r="I1006" s="48" t="inlineStr">
        <is>
          <t>Tasso di copertura del servizio con telecamere di bordo di videosorveglianza</t>
        </is>
      </c>
      <c r="J1006" s="73" t="n"/>
      <c r="K1006" s="73" t="n"/>
      <c r="L1006" s="73" t="n"/>
      <c r="M1006" s="73" t="n"/>
      <c r="N1006" s="57">
        <f>IF($A1006="","",IFERROR(VALUE($K1006)/VALUE($L1006),IFERROR(VALUE($J1006),0)))</f>
        <v/>
      </c>
      <c r="O1006" s="57">
        <f>IF($A1006="",0,IF(OR($S1006&lt;&gt;1,COUNTA($J1006:$M1006)=0),0,IF(SUMPRODUCT(MAX(($C$5:$C$2484=$C1006)*($D$5:$D$2484=$D1006)*($S$5:$S$2484=1)*IFERROR($N$5:$N$2484*1,0)))&gt;0,ROUND($H1006*($N1006/SUMPRODUCT(MAX(($C$5:$C$2484=$C1006)*($D$5:$D$2484=$D1006)*($S$5:$S$2484=1)*IFERROR($N$5:$N$2484*1,0)))),4),0)))</f>
        <v/>
      </c>
      <c r="P1006" s="48" t="inlineStr">
        <is>
          <t>Autobus attrezzati con videosorveglianza / Autobus totali in offerta, incluse scorte</t>
        </is>
      </c>
      <c r="Q1006" s="57">
        <f>IF($A1006="","",$A1006&amp;"|"&amp;$C1006)</f>
        <v/>
      </c>
      <c r="R1006" s="57">
        <f>IF($A1006="","",$A1006&amp;"|"&amp;$C1006&amp;"|"&amp;$D1006)</f>
        <v/>
      </c>
      <c r="S1006" s="57">
        <f>IF($A1006="","",IFERROR(INDEX(Offerte!$D$2:$D$81,MATCH($Q1006,Offerte!$L$2:$L$81,0)),0))</f>
        <v/>
      </c>
      <c r="T1006" s="57">
        <f>IF($A1006="","",IFERROR(INDEX(Offerte!$G$2:$G$81,MATCH($Q1006,Offerte!$L$2:$L$81,0)),"NO"))</f>
        <v/>
      </c>
    </row>
    <row r="1007">
      <c r="A1007" s="48">
        <f>IF(Offerte!$A34="","",Offerte!$A34)</f>
        <v/>
      </c>
      <c r="B1007" s="48">
        <f>IF(Offerte!$A34="","",Offerte!$B34)</f>
        <v/>
      </c>
      <c r="C1007" s="48">
        <f>IF(Offerte!$A34="","",Offerte!$C34)</f>
        <v/>
      </c>
      <c r="D1007" s="48" t="inlineStr">
        <is>
          <t>C.2.2</t>
        </is>
      </c>
      <c r="E1007" s="48" t="inlineStr">
        <is>
          <t>C</t>
        </is>
      </c>
      <c r="F1007" s="48" t="inlineStr">
        <is>
          <t>T</t>
        </is>
      </c>
      <c r="G1007" s="48" t="inlineStr">
        <is>
          <t>tabular</t>
        </is>
      </c>
      <c r="H1007" s="48" t="n">
        <v>1</v>
      </c>
      <c r="I1007" s="48" t="inlineStr">
        <is>
          <t>Software video/audio analisi per situazioni di pericolo</t>
        </is>
      </c>
      <c r="J1007" s="73" t="n"/>
      <c r="K1007" s="73" t="n"/>
      <c r="L1007" s="73" t="n"/>
      <c r="M1007" s="73" t="n"/>
      <c r="N1007" s="57">
        <f>IF($A1007="","",IF(IFERROR(VALUE($M1007),0)=1,1,0))</f>
        <v/>
      </c>
      <c r="O1007" s="57">
        <f>IF($A1007="",0,IF(OR($S1007&lt;&gt;1,COUNTA($J1007:$M1007)=0),0,IF($N1007=1,$H1007,0)))</f>
        <v/>
      </c>
      <c r="P1007" s="48" t="inlineStr">
        <is>
          <t>sì/no</t>
        </is>
      </c>
      <c r="Q1007" s="57">
        <f>IF($A1007="","",$A1007&amp;"|"&amp;$C1007)</f>
        <v/>
      </c>
      <c r="R1007" s="57">
        <f>IF($A1007="","",$A1007&amp;"|"&amp;$C1007&amp;"|"&amp;$D1007)</f>
        <v/>
      </c>
      <c r="S1007" s="57">
        <f>IF($A1007="","",IFERROR(INDEX(Offerte!$D$2:$D$81,MATCH($Q1007,Offerte!$L$2:$L$81,0)),0))</f>
        <v/>
      </c>
      <c r="T1007" s="57">
        <f>IF($A1007="","",IFERROR(INDEX(Offerte!$G$2:$G$81,MATCH($Q1007,Offerte!$L$2:$L$81,0)),"NO"))</f>
        <v/>
      </c>
    </row>
    <row r="1008">
      <c r="A1008" s="48">
        <f>IF(Offerte!$A34="","",Offerte!$A34)</f>
        <v/>
      </c>
      <c r="B1008" s="48">
        <f>IF(Offerte!$A34="","",Offerte!$B34)</f>
        <v/>
      </c>
      <c r="C1008" s="48">
        <f>IF(Offerte!$A34="","",Offerte!$C34)</f>
        <v/>
      </c>
      <c r="D1008" s="48" t="inlineStr">
        <is>
          <t>C.2.3</t>
        </is>
      </c>
      <c r="E1008" s="48" t="inlineStr">
        <is>
          <t>C</t>
        </is>
      </c>
      <c r="F1008" s="48" t="inlineStr">
        <is>
          <t>T</t>
        </is>
      </c>
      <c r="G1008" s="48" t="inlineStr">
        <is>
          <t>tabular</t>
        </is>
      </c>
      <c r="H1008" s="48" t="n">
        <v>1</v>
      </c>
      <c r="I1008" s="48" t="inlineStr">
        <is>
          <t>Collegamento con centrale qualificata di pronto intervento</t>
        </is>
      </c>
      <c r="J1008" s="73" t="n"/>
      <c r="K1008" s="73" t="n"/>
      <c r="L1008" s="73" t="n"/>
      <c r="M1008" s="73" t="n"/>
      <c r="N1008" s="57">
        <f>IF($A1008="","",IF(IFERROR(VALUE($M1008),0)=1,1,0))</f>
        <v/>
      </c>
      <c r="O1008" s="57">
        <f>IF($A1008="",0,IF(OR($S1008&lt;&gt;1,COUNTA($J1008:$M1008)=0),0,IF($N1008=1,$H1008,0)))</f>
        <v/>
      </c>
      <c r="P1008" s="48" t="inlineStr">
        <is>
          <t>sì/no</t>
        </is>
      </c>
      <c r="Q1008" s="57">
        <f>IF($A1008="","",$A1008&amp;"|"&amp;$C1008)</f>
        <v/>
      </c>
      <c r="R1008" s="57">
        <f>IF($A1008="","",$A1008&amp;"|"&amp;$C1008&amp;"|"&amp;$D1008)</f>
        <v/>
      </c>
      <c r="S1008" s="57">
        <f>IF($A1008="","",IFERROR(INDEX(Offerte!$D$2:$D$81,MATCH($Q1008,Offerte!$L$2:$L$81,0)),0))</f>
        <v/>
      </c>
      <c r="T1008" s="57">
        <f>IF($A1008="","",IFERROR(INDEX(Offerte!$G$2:$G$81,MATCH($Q1008,Offerte!$L$2:$L$81,0)),"NO"))</f>
        <v/>
      </c>
    </row>
    <row r="1009">
      <c r="A1009" s="48">
        <f>IF(Offerte!$A34="","",Offerte!$A34)</f>
        <v/>
      </c>
      <c r="B1009" s="48">
        <f>IF(Offerte!$A34="","",Offerte!$B34)</f>
        <v/>
      </c>
      <c r="C1009" s="48">
        <f>IF(Offerte!$A34="","",Offerte!$C34)</f>
        <v/>
      </c>
      <c r="D1009" s="48" t="inlineStr">
        <is>
          <t>C.2.4</t>
        </is>
      </c>
      <c r="E1009" s="48" t="inlineStr">
        <is>
          <t>C</t>
        </is>
      </c>
      <c r="F1009" s="48" t="inlineStr">
        <is>
          <t>Q</t>
        </is>
      </c>
      <c r="G1009" s="48" t="inlineStr">
        <is>
          <t>higher</t>
        </is>
      </c>
      <c r="H1009" s="48" t="n">
        <v>1</v>
      </c>
      <c r="I1009" s="48" t="inlineStr">
        <is>
          <t>Tasso di copertura del servizio con dispositivi per la chiamata di emergenza del conducente</t>
        </is>
      </c>
      <c r="J1009" s="73" t="n"/>
      <c r="K1009" s="73" t="n"/>
      <c r="L1009" s="73" t="n"/>
      <c r="M1009" s="73" t="n"/>
      <c r="N1009" s="57">
        <f>IF($A1009="","",IFERROR(VALUE($K1009)/VALUE($L1009),IFERROR(VALUE($J1009),0)))</f>
        <v/>
      </c>
      <c r="O1009" s="57">
        <f>IF($A1009="",0,IF(OR($S1009&lt;&gt;1,COUNTA($J1009:$M1009)=0),0,IF(SUMPRODUCT(MAX(($C$5:$C$2484=$C1009)*($D$5:$D$2484=$D1009)*($S$5:$S$2484=1)*IFERROR($N$5:$N$2484*1,0)))&gt;0,ROUND($H1009*($N1009/SUMPRODUCT(MAX(($C$5:$C$2484=$C1009)*($D$5:$D$2484=$D1009)*($S$5:$S$2484=1)*IFERROR($N$5:$N$2484*1,0)))),4),0)))</f>
        <v/>
      </c>
      <c r="P1009" s="48" t="inlineStr">
        <is>
          <t>Autobus attrezzati con chiamata di emergenza / Autobus totali in offerta, incluse scorte</t>
        </is>
      </c>
      <c r="Q1009" s="57">
        <f>IF($A1009="","",$A1009&amp;"|"&amp;$C1009)</f>
        <v/>
      </c>
      <c r="R1009" s="57">
        <f>IF($A1009="","",$A1009&amp;"|"&amp;$C1009&amp;"|"&amp;$D1009)</f>
        <v/>
      </c>
      <c r="S1009" s="57">
        <f>IF($A1009="","",IFERROR(INDEX(Offerte!$D$2:$D$81,MATCH($Q1009,Offerte!$L$2:$L$81,0)),0))</f>
        <v/>
      </c>
      <c r="T1009" s="57">
        <f>IF($A1009="","",IFERROR(INDEX(Offerte!$G$2:$G$81,MATCH($Q1009,Offerte!$L$2:$L$81,0)),"NO"))</f>
        <v/>
      </c>
    </row>
    <row r="1010">
      <c r="A1010" s="48">
        <f>IF(Offerte!$A34="","",Offerte!$A34)</f>
        <v/>
      </c>
      <c r="B1010" s="48">
        <f>IF(Offerte!$A34="","",Offerte!$B34)</f>
        <v/>
      </c>
      <c r="C1010" s="48">
        <f>IF(Offerte!$A34="","",Offerte!$C34)</f>
        <v/>
      </c>
      <c r="D1010" s="48" t="inlineStr">
        <is>
          <t>C.3.1</t>
        </is>
      </c>
      <c r="E1010" s="48" t="inlineStr">
        <is>
          <t>C</t>
        </is>
      </c>
      <c r="F1010" s="48" t="inlineStr">
        <is>
          <t>Q</t>
        </is>
      </c>
      <c r="G1010" s="48" t="inlineStr">
        <is>
          <t>higher</t>
        </is>
      </c>
      <c r="H1010" s="48" t="n">
        <v>2</v>
      </c>
      <c r="I1010" s="48" t="inlineStr">
        <is>
          <t>Tasso di copertura del servizio con dispositivi di informazione dinamica a bordo mezzo</t>
        </is>
      </c>
      <c r="J1010" s="73" t="n"/>
      <c r="K1010" s="73" t="n"/>
      <c r="L1010" s="73" t="n"/>
      <c r="M1010" s="73" t="n"/>
      <c r="N1010" s="57">
        <f>IF($A1010="","",IFERROR(VALUE($K1010)/VALUE($L1010),IFERROR(VALUE($J1010),0)))</f>
        <v/>
      </c>
      <c r="O1010" s="57">
        <f>IF($A1010="",0,IF(OR($S1010&lt;&gt;1,COUNTA($J1010:$M1010)=0),0,IF(SUMPRODUCT(MAX(($C$5:$C$2484=$C1010)*($D$5:$D$2484=$D1010)*($S$5:$S$2484=1)*IFERROR($N$5:$N$2484*1,0)))&gt;0,ROUND($H1010*($N1010/SUMPRODUCT(MAX(($C$5:$C$2484=$C1010)*($D$5:$D$2484=$D1010)*($S$5:$S$2484=1)*IFERROR($N$5:$N$2484*1,0)))),4),0)))</f>
        <v/>
      </c>
      <c r="P1010" s="48" t="inlineStr">
        <is>
          <t>Autobus con monitor e indicatori vocali / Autobus totali in offerta, incluse scorte</t>
        </is>
      </c>
      <c r="Q1010" s="57">
        <f>IF($A1010="","",$A1010&amp;"|"&amp;$C1010)</f>
        <v/>
      </c>
      <c r="R1010" s="57">
        <f>IF($A1010="","",$A1010&amp;"|"&amp;$C1010&amp;"|"&amp;$D1010)</f>
        <v/>
      </c>
      <c r="S1010" s="57">
        <f>IF($A1010="","",IFERROR(INDEX(Offerte!$D$2:$D$81,MATCH($Q1010,Offerte!$L$2:$L$81,0)),0))</f>
        <v/>
      </c>
      <c r="T1010" s="57">
        <f>IF($A1010="","",IFERROR(INDEX(Offerte!$G$2:$G$81,MATCH($Q1010,Offerte!$L$2:$L$81,0)),"NO"))</f>
        <v/>
      </c>
    </row>
    <row r="1011">
      <c r="A1011" s="48">
        <f>IF(Offerte!$A34="","",Offerte!$A34)</f>
        <v/>
      </c>
      <c r="B1011" s="48">
        <f>IF(Offerte!$A34="","",Offerte!$B34)</f>
        <v/>
      </c>
      <c r="C1011" s="48">
        <f>IF(Offerte!$A34="","",Offerte!$C34)</f>
        <v/>
      </c>
      <c r="D1011" s="48" t="inlineStr">
        <is>
          <t>C.3.2</t>
        </is>
      </c>
      <c r="E1011" s="48" t="inlineStr">
        <is>
          <t>C</t>
        </is>
      </c>
      <c r="F1011" s="48" t="inlineStr">
        <is>
          <t>T</t>
        </is>
      </c>
      <c r="G1011" s="48" t="inlineStr">
        <is>
          <t>tabular</t>
        </is>
      </c>
      <c r="H1011" s="48" t="n">
        <v>2</v>
      </c>
      <c r="I1011" s="48" t="inlineStr">
        <is>
          <t>Informazioni a bordo su coincidenze ai nodi</t>
        </is>
      </c>
      <c r="J1011" s="73" t="n"/>
      <c r="K1011" s="73" t="n"/>
      <c r="L1011" s="73" t="n"/>
      <c r="M1011" s="73" t="n"/>
      <c r="N1011" s="57">
        <f>IF($A1011="","",IF(IFERROR(VALUE($M1011),0)=1,1,0))</f>
        <v/>
      </c>
      <c r="O1011" s="57">
        <f>IF($A1011="",0,IF(OR($S1011&lt;&gt;1,COUNTA($J1011:$M1011)=0),0,IF(AND($N1011=1,IFERROR(SUMIFS($N$5:$N$2484,$Q$5:$Q$2484,$Q1011,$D$5:$D$2484,"C.3.1"),0)&gt;=0.5),$H1011,0)))</f>
        <v/>
      </c>
      <c r="P1011" s="48" t="inlineStr">
        <is>
          <t>Dipende da C.3.1 &gt;= 0.5</t>
        </is>
      </c>
      <c r="Q1011" s="57">
        <f>IF($A1011="","",$A1011&amp;"|"&amp;$C1011)</f>
        <v/>
      </c>
      <c r="R1011" s="57">
        <f>IF($A1011="","",$A1011&amp;"|"&amp;$C1011&amp;"|"&amp;$D1011)</f>
        <v/>
      </c>
      <c r="S1011" s="57">
        <f>IF($A1011="","",IFERROR(INDEX(Offerte!$D$2:$D$81,MATCH($Q1011,Offerte!$L$2:$L$81,0)),0))</f>
        <v/>
      </c>
      <c r="T1011" s="57">
        <f>IF($A1011="","",IFERROR(INDEX(Offerte!$G$2:$G$81,MATCH($Q1011,Offerte!$L$2:$L$81,0)),"NO"))</f>
        <v/>
      </c>
    </row>
    <row r="1012">
      <c r="A1012" s="48">
        <f>IF(Offerte!$A34="","",Offerte!$A34)</f>
        <v/>
      </c>
      <c r="B1012" s="48">
        <f>IF(Offerte!$A34="","",Offerte!$B34)</f>
        <v/>
      </c>
      <c r="C1012" s="48">
        <f>IF(Offerte!$A34="","",Offerte!$C34)</f>
        <v/>
      </c>
      <c r="D1012" s="48" t="inlineStr">
        <is>
          <t>D.1.1</t>
        </is>
      </c>
      <c r="E1012" s="48" t="inlineStr">
        <is>
          <t>D</t>
        </is>
      </c>
      <c r="F1012" s="48" t="inlineStr">
        <is>
          <t>Q</t>
        </is>
      </c>
      <c r="G1012" s="48" t="inlineStr">
        <is>
          <t>higher</t>
        </is>
      </c>
      <c r="H1012" s="48" t="n">
        <v>3</v>
      </c>
      <c r="I1012" s="48" t="inlineStr">
        <is>
          <t>Installazione di pensiline</t>
        </is>
      </c>
      <c r="J1012" s="73" t="n"/>
      <c r="K1012" s="73" t="n"/>
      <c r="L1012" s="73" t="n"/>
      <c r="M1012" s="73" t="n"/>
      <c r="N1012" s="57">
        <f>IF($A1012="","",IFERROR(VALUE($J1012),0))</f>
        <v/>
      </c>
      <c r="O1012" s="57">
        <f>IF($A1012="",0,IF(OR($S1012&lt;&gt;1,COUNTA($J1012:$M1012)=0),0,IF(SUMPRODUCT(MAX(($C$5:$C$2484=$C1012)*($D$5:$D$2484=$D1012)*($S$5:$S$2484=1)*IFERROR($N$5:$N$2484*1,0)))&gt;0,ROUND($H1012*($N1012/SUMPRODUCT(MAX(($C$5:$C$2484=$C1012)*($D$5:$D$2484=$D1012)*($S$5:$S$2484=1)*IFERROR($N$5:$N$2484*1,0)))),4),0)))</f>
        <v/>
      </c>
      <c r="P1012" s="48" t="inlineStr">
        <is>
          <t>fermate</t>
        </is>
      </c>
      <c r="Q1012" s="57">
        <f>IF($A1012="","",$A1012&amp;"|"&amp;$C1012)</f>
        <v/>
      </c>
      <c r="R1012" s="57">
        <f>IF($A1012="","",$A1012&amp;"|"&amp;$C1012&amp;"|"&amp;$D1012)</f>
        <v/>
      </c>
      <c r="S1012" s="57">
        <f>IF($A1012="","",IFERROR(INDEX(Offerte!$D$2:$D$81,MATCH($Q1012,Offerte!$L$2:$L$81,0)),0))</f>
        <v/>
      </c>
      <c r="T1012" s="57">
        <f>IF($A1012="","",IFERROR(INDEX(Offerte!$G$2:$G$81,MATCH($Q1012,Offerte!$L$2:$L$81,0)),"NO"))</f>
        <v/>
      </c>
    </row>
    <row r="1013">
      <c r="A1013" s="48">
        <f>IF(Offerte!$A34="","",Offerte!$A34)</f>
        <v/>
      </c>
      <c r="B1013" s="48">
        <f>IF(Offerte!$A34="","",Offerte!$B34)</f>
        <v/>
      </c>
      <c r="C1013" s="48">
        <f>IF(Offerte!$A34="","",Offerte!$C34)</f>
        <v/>
      </c>
      <c r="D1013" s="48" t="inlineStr">
        <is>
          <t>D.1.2</t>
        </is>
      </c>
      <c r="E1013" s="48" t="inlineStr">
        <is>
          <t>D</t>
        </is>
      </c>
      <c r="F1013" s="48" t="inlineStr">
        <is>
          <t>Q</t>
        </is>
      </c>
      <c r="G1013" s="48" t="inlineStr">
        <is>
          <t>higher</t>
        </is>
      </c>
      <c r="H1013" s="48" t="n">
        <v>3</v>
      </c>
      <c r="I1013" s="48" t="inlineStr">
        <is>
          <t>Installazione di paline di fermata conformi alla DGR 581/2023</t>
        </is>
      </c>
      <c r="J1013" s="73" t="n"/>
      <c r="K1013" s="73" t="n"/>
      <c r="L1013" s="73" t="n"/>
      <c r="M1013" s="73" t="n"/>
      <c r="N1013" s="57">
        <f>IF($A1013="","",IFERROR(VALUE($J1013),0))</f>
        <v/>
      </c>
      <c r="O1013" s="57">
        <f>IF($A1013="",0,IF(OR($S1013&lt;&gt;1,COUNTA($J1013:$M1013)=0),0,IF(SUMPRODUCT(MAX(($C$5:$C$2484=$C1013)*($D$5:$D$2484=$D1013)*($S$5:$S$2484=1)*IFERROR($N$5:$N$2484*1,0)))&gt;0,ROUND($H1013*($N1013/SUMPRODUCT(MAX(($C$5:$C$2484=$C1013)*($D$5:$D$2484=$D1013)*($S$5:$S$2484=1)*IFERROR($N$5:$N$2484*1,0)))),4),0)))</f>
        <v/>
      </c>
      <c r="P1013" s="48" t="inlineStr">
        <is>
          <t>fermate</t>
        </is>
      </c>
      <c r="Q1013" s="57">
        <f>IF($A1013="","",$A1013&amp;"|"&amp;$C1013)</f>
        <v/>
      </c>
      <c r="R1013" s="57">
        <f>IF($A1013="","",$A1013&amp;"|"&amp;$C1013&amp;"|"&amp;$D1013)</f>
        <v/>
      </c>
      <c r="S1013" s="57">
        <f>IF($A1013="","",IFERROR(INDEX(Offerte!$D$2:$D$81,MATCH($Q1013,Offerte!$L$2:$L$81,0)),0))</f>
        <v/>
      </c>
      <c r="T1013" s="57">
        <f>IF($A1013="","",IFERROR(INDEX(Offerte!$G$2:$G$81,MATCH($Q1013,Offerte!$L$2:$L$81,0)),"NO"))</f>
        <v/>
      </c>
    </row>
    <row r="1014">
      <c r="A1014" s="48">
        <f>IF(Offerte!$A34="","",Offerte!$A34)</f>
        <v/>
      </c>
      <c r="B1014" s="48">
        <f>IF(Offerte!$A34="","",Offerte!$B34)</f>
        <v/>
      </c>
      <c r="C1014" s="48">
        <f>IF(Offerte!$A34="","",Offerte!$C34)</f>
        <v/>
      </c>
      <c r="D1014" s="48" t="inlineStr">
        <is>
          <t>D.1.3</t>
        </is>
      </c>
      <c r="E1014" s="48" t="inlineStr">
        <is>
          <t>D</t>
        </is>
      </c>
      <c r="F1014" s="48" t="inlineStr">
        <is>
          <t>Q</t>
        </is>
      </c>
      <c r="G1014" s="48" t="inlineStr">
        <is>
          <t>higher</t>
        </is>
      </c>
      <c r="H1014" s="48" t="n">
        <v>2</v>
      </c>
      <c r="I1014" s="48" t="inlineStr">
        <is>
          <t>Display informativi connessi alle fermate</t>
        </is>
      </c>
      <c r="J1014" s="73" t="n"/>
      <c r="K1014" s="73" t="n"/>
      <c r="L1014" s="73" t="n"/>
      <c r="M1014" s="73" t="n"/>
      <c r="N1014" s="57">
        <f>IF($A1014="","",IFERROR(VALUE($J1014),0))</f>
        <v/>
      </c>
      <c r="O1014" s="57">
        <f>IF($A1014="",0,IF(OR($S1014&lt;&gt;1,COUNTA($J1014:$M1014)=0),0,IF(SUMPRODUCT(MAX(($C$5:$C$2484=$C1014)*($D$5:$D$2484=$D1014)*($S$5:$S$2484=1)*IFERROR($N$5:$N$2484*1,0)))&gt;0,ROUND($H1014*($N1014/SUMPRODUCT(MAX(($C$5:$C$2484=$C1014)*($D$5:$D$2484=$D1014)*($S$5:$S$2484=1)*IFERROR($N$5:$N$2484*1,0)))),4),0)))</f>
        <v/>
      </c>
      <c r="P1014" s="48" t="inlineStr">
        <is>
          <t>fermate</t>
        </is>
      </c>
      <c r="Q1014" s="57">
        <f>IF($A1014="","",$A1014&amp;"|"&amp;$C1014)</f>
        <v/>
      </c>
      <c r="R1014" s="57">
        <f>IF($A1014="","",$A1014&amp;"|"&amp;$C1014&amp;"|"&amp;$D1014)</f>
        <v/>
      </c>
      <c r="S1014" s="57">
        <f>IF($A1014="","",IFERROR(INDEX(Offerte!$D$2:$D$81,MATCH($Q1014,Offerte!$L$2:$L$81,0)),0))</f>
        <v/>
      </c>
      <c r="T1014" s="57">
        <f>IF($A1014="","",IFERROR(INDEX(Offerte!$G$2:$G$81,MATCH($Q1014,Offerte!$L$2:$L$81,0)),"NO"))</f>
        <v/>
      </c>
    </row>
    <row r="1015">
      <c r="A1015" s="48">
        <f>IF(Offerte!$A34="","",Offerte!$A34)</f>
        <v/>
      </c>
      <c r="B1015" s="48">
        <f>IF(Offerte!$A34="","",Offerte!$B34)</f>
        <v/>
      </c>
      <c r="C1015" s="48">
        <f>IF(Offerte!$A34="","",Offerte!$C34)</f>
        <v/>
      </c>
      <c r="D1015" s="48" t="inlineStr">
        <is>
          <t>D.2.1</t>
        </is>
      </c>
      <c r="E1015" s="48" t="inlineStr">
        <is>
          <t>D</t>
        </is>
      </c>
      <c r="F1015" s="48" t="inlineStr">
        <is>
          <t>Q</t>
        </is>
      </c>
      <c r="G1015" s="48" t="inlineStr">
        <is>
          <t>higher</t>
        </is>
      </c>
      <c r="H1015" s="48" t="n">
        <v>2</v>
      </c>
      <c r="I1015" s="48" t="inlineStr">
        <is>
          <t>Segnali tattili Loges-Vet-Evolution</t>
        </is>
      </c>
      <c r="J1015" s="73" t="n"/>
      <c r="K1015" s="73" t="n"/>
      <c r="L1015" s="73" t="n"/>
      <c r="M1015" s="73" t="n"/>
      <c r="N1015" s="57">
        <f>IF($A1015="","",IFERROR(VALUE($J1015),0))</f>
        <v/>
      </c>
      <c r="O1015" s="57">
        <f>IF($A1015="",0,IF(OR($S1015&lt;&gt;1,COUNTA($J1015:$M1015)=0),0,IF(SUMPRODUCT(MAX(($C$5:$C$2484=$C1015)*($D$5:$D$2484=$D1015)*($S$5:$S$2484=1)*IFERROR($N$5:$N$2484*1,0)))&gt;0,ROUND($H1015*($N1015/SUMPRODUCT(MAX(($C$5:$C$2484=$C1015)*($D$5:$D$2484=$D1015)*($S$5:$S$2484=1)*IFERROR($N$5:$N$2484*1,0)))),4),0)))</f>
        <v/>
      </c>
      <c r="P1015" s="48" t="inlineStr">
        <is>
          <t>fermate</t>
        </is>
      </c>
      <c r="Q1015" s="57">
        <f>IF($A1015="","",$A1015&amp;"|"&amp;$C1015)</f>
        <v/>
      </c>
      <c r="R1015" s="57">
        <f>IF($A1015="","",$A1015&amp;"|"&amp;$C1015&amp;"|"&amp;$D1015)</f>
        <v/>
      </c>
      <c r="S1015" s="57">
        <f>IF($A1015="","",IFERROR(INDEX(Offerte!$D$2:$D$81,MATCH($Q1015,Offerte!$L$2:$L$81,0)),0))</f>
        <v/>
      </c>
      <c r="T1015" s="57">
        <f>IF($A1015="","",IFERROR(INDEX(Offerte!$G$2:$G$81,MATCH($Q1015,Offerte!$L$2:$L$81,0)),"NO"))</f>
        <v/>
      </c>
    </row>
    <row r="1016">
      <c r="A1016" s="48">
        <f>IF(Offerte!$A34="","",Offerte!$A34)</f>
        <v/>
      </c>
      <c r="B1016" s="48">
        <f>IF(Offerte!$A34="","",Offerte!$B34)</f>
        <v/>
      </c>
      <c r="C1016" s="48">
        <f>IF(Offerte!$A34="","",Offerte!$C34)</f>
        <v/>
      </c>
      <c r="D1016" s="48" t="inlineStr">
        <is>
          <t>E.1.1</t>
        </is>
      </c>
      <c r="E1016" s="48" t="inlineStr">
        <is>
          <t>E</t>
        </is>
      </c>
      <c r="F1016" s="48" t="inlineStr">
        <is>
          <t>T</t>
        </is>
      </c>
      <c r="G1016" s="48" t="inlineStr">
        <is>
          <t>tabular</t>
        </is>
      </c>
      <c r="H1016" s="48" t="n">
        <v>2</v>
      </c>
      <c r="I1016" s="48" t="inlineStr">
        <is>
          <t>Mobile app con travel planner PRM</t>
        </is>
      </c>
      <c r="J1016" s="73" t="n"/>
      <c r="K1016" s="73" t="n"/>
      <c r="L1016" s="73" t="n"/>
      <c r="M1016" s="73" t="n"/>
      <c r="N1016" s="57">
        <f>IF($A1016="","",IF(IFERROR(VALUE($M1016),0)=1,1,0))</f>
        <v/>
      </c>
      <c r="O1016" s="57">
        <f>IF($A1016="",0,IF(OR($S1016&lt;&gt;1,COUNTA($J1016:$M1016)=0),0,IF($N1016=1,$H1016,0)))</f>
        <v/>
      </c>
      <c r="P1016" s="48" t="inlineStr">
        <is>
          <t>sì/no</t>
        </is>
      </c>
      <c r="Q1016" s="57">
        <f>IF($A1016="","",$A1016&amp;"|"&amp;$C1016)</f>
        <v/>
      </c>
      <c r="R1016" s="57">
        <f>IF($A1016="","",$A1016&amp;"|"&amp;$C1016&amp;"|"&amp;$D1016)</f>
        <v/>
      </c>
      <c r="S1016" s="57">
        <f>IF($A1016="","",IFERROR(INDEX(Offerte!$D$2:$D$81,MATCH($Q1016,Offerte!$L$2:$L$81,0)),0))</f>
        <v/>
      </c>
      <c r="T1016" s="57">
        <f>IF($A1016="","",IFERROR(INDEX(Offerte!$G$2:$G$81,MATCH($Q1016,Offerte!$L$2:$L$81,0)),"NO"))</f>
        <v/>
      </c>
    </row>
    <row r="1017">
      <c r="A1017" s="48">
        <f>IF(Offerte!$A34="","",Offerte!$A34)</f>
        <v/>
      </c>
      <c r="B1017" s="48">
        <f>IF(Offerte!$A34="","",Offerte!$B34)</f>
        <v/>
      </c>
      <c r="C1017" s="48">
        <f>IF(Offerte!$A34="","",Offerte!$C34)</f>
        <v/>
      </c>
      <c r="D1017" s="48" t="inlineStr">
        <is>
          <t>E.2.1</t>
        </is>
      </c>
      <c r="E1017" s="48" t="inlineStr">
        <is>
          <t>E</t>
        </is>
      </c>
      <c r="F1017" s="48" t="inlineStr">
        <is>
          <t>D</t>
        </is>
      </c>
      <c r="G1017" s="48" t="inlineStr">
        <is>
          <t>discretionary</t>
        </is>
      </c>
      <c r="H1017" s="48" t="n">
        <v>2</v>
      </c>
      <c r="I1017" s="48" t="inlineStr">
        <is>
          <t>Altre azioni informative e rapporti con gli utenti</t>
        </is>
      </c>
      <c r="J1017" s="73" t="n"/>
      <c r="K1017" s="73" t="n"/>
      <c r="L1017" s="73" t="n"/>
      <c r="M1017" s="73" t="n"/>
      <c r="N1017" s="57">
        <f>IF($A1017="","",MAX(0,MIN(1,IFERROR(VALUE($M1017),0))))</f>
        <v/>
      </c>
      <c r="O1017" s="57">
        <f>IF($A1017="",0,IF(OR($S1017&lt;&gt;1,COUNTA($J1017:$M1017)=0),0,IF(SUMPRODUCT(MAX(($C$5:$C$2484=$C1017)*($D$5:$D$2484=$D1017)*($S$5:$S$2484=1)*IFERROR($N$5:$N$2484*1,0)))&gt;0,ROUND($H1017*($N1017/SUMPRODUCT(MAX(($C$5:$C$2484=$C1017)*($D$5:$D$2484=$D1017)*($S$5:$S$2484=1)*IFERROR($N$5:$N$2484*1,0)))),4),0)))</f>
        <v/>
      </c>
      <c r="P1017" s="48" t="inlineStr">
        <is>
          <t>coeff.</t>
        </is>
      </c>
      <c r="Q1017" s="57">
        <f>IF($A1017="","",$A1017&amp;"|"&amp;$C1017)</f>
        <v/>
      </c>
      <c r="R1017" s="57">
        <f>IF($A1017="","",$A1017&amp;"|"&amp;$C1017&amp;"|"&amp;$D1017)</f>
        <v/>
      </c>
      <c r="S1017" s="57">
        <f>IF($A1017="","",IFERROR(INDEX(Offerte!$D$2:$D$81,MATCH($Q1017,Offerte!$L$2:$L$81,0)),0))</f>
        <v/>
      </c>
      <c r="T1017" s="57">
        <f>IF($A1017="","",IFERROR(INDEX(Offerte!$G$2:$G$81,MATCH($Q1017,Offerte!$L$2:$L$81,0)),"NO"))</f>
        <v/>
      </c>
    </row>
    <row r="1018">
      <c r="A1018" s="48">
        <f>IF(Offerte!$A34="","",Offerte!$A34)</f>
        <v/>
      </c>
      <c r="B1018" s="48">
        <f>IF(Offerte!$A34="","",Offerte!$B34)</f>
        <v/>
      </c>
      <c r="C1018" s="48">
        <f>IF(Offerte!$A34="","",Offerte!$C34)</f>
        <v/>
      </c>
      <c r="D1018" s="48" t="inlineStr">
        <is>
          <t>F.1.1</t>
        </is>
      </c>
      <c r="E1018" s="48" t="inlineStr">
        <is>
          <t>F</t>
        </is>
      </c>
      <c r="F1018" s="48" t="inlineStr">
        <is>
          <t>Q</t>
        </is>
      </c>
      <c r="G1018" s="48" t="inlineStr">
        <is>
          <t>lower</t>
        </is>
      </c>
      <c r="H1018" s="48" t="n">
        <v>7</v>
      </c>
      <c r="I1018" s="48" t="inlineStr">
        <is>
          <t>Performance ambientali del parco mezzi adibito al servizio - I_CEA</t>
        </is>
      </c>
      <c r="J1018" s="73" t="n"/>
      <c r="K1018" s="73" t="n"/>
      <c r="L1018" s="73" t="n"/>
      <c r="M1018" s="73" t="n"/>
      <c r="N1018" s="57">
        <f>IF($A1018="","",IFERROR(VALUE($J1018),0))</f>
        <v/>
      </c>
      <c r="O1018" s="57">
        <f>IF($A1018="",0,IF(OR($S1018&lt;&gt;1,COUNTA($J1018:$M1018)=0),0,IF(AND(IFERROR(AGGREGATE(15,6,$N$5:$N$2484/(($C$5:$C$2484=$C1018)*($D$5:$D$2484=$D1018)*($S$5:$S$2484=1)*($N$5:$N$2484&gt;0)),1),0)&gt;0,$N1018&gt;0),ROUND($H1018*(IFERROR(AGGREGATE(15,6,$N$5:$N$2484/(($C$5:$C$2484=$C1018)*($D$5:$D$2484=$D1018)*($S$5:$S$2484=1)*($N$5:$N$2484&gt;0)),1),0)/$N1018),4),0)))</f>
        <v/>
      </c>
      <c r="P1018" s="48" t="inlineStr">
        <is>
          <t>indice</t>
        </is>
      </c>
      <c r="Q1018" s="57">
        <f>IF($A1018="","",$A1018&amp;"|"&amp;$C1018)</f>
        <v/>
      </c>
      <c r="R1018" s="57">
        <f>IF($A1018="","",$A1018&amp;"|"&amp;$C1018&amp;"|"&amp;$D1018)</f>
        <v/>
      </c>
      <c r="S1018" s="57">
        <f>IF($A1018="","",IFERROR(INDEX(Offerte!$D$2:$D$81,MATCH($Q1018,Offerte!$L$2:$L$81,0)),0))</f>
        <v/>
      </c>
      <c r="T1018" s="57">
        <f>IF($A1018="","",IFERROR(INDEX(Offerte!$G$2:$G$81,MATCH($Q1018,Offerte!$L$2:$L$81,0)),"NO"))</f>
        <v/>
      </c>
    </row>
    <row r="1019">
      <c r="A1019" s="48">
        <f>IF(Offerte!$A34="","",Offerte!$A34)</f>
        <v/>
      </c>
      <c r="B1019" s="48">
        <f>IF(Offerte!$A34="","",Offerte!$B34)</f>
        <v/>
      </c>
      <c r="C1019" s="48">
        <f>IF(Offerte!$A34="","",Offerte!$C34)</f>
        <v/>
      </c>
      <c r="D1019" s="48" t="inlineStr">
        <is>
          <t>F.2.1</t>
        </is>
      </c>
      <c r="E1019" s="48" t="inlineStr">
        <is>
          <t>F</t>
        </is>
      </c>
      <c r="F1019" s="48" t="inlineStr">
        <is>
          <t>Q</t>
        </is>
      </c>
      <c r="G1019" s="48" t="inlineStr">
        <is>
          <t>higher</t>
        </is>
      </c>
      <c r="H1019" s="48" t="n">
        <v>2</v>
      </c>
      <c r="I1019" s="48" t="inlineStr">
        <is>
          <t>Tasso di copertura del servizio con dispositivi ECO-DRIVER</t>
        </is>
      </c>
      <c r="J1019" s="73" t="n"/>
      <c r="K1019" s="73" t="n"/>
      <c r="L1019" s="73" t="n"/>
      <c r="M1019" s="73" t="n"/>
      <c r="N1019" s="57">
        <f>IF($A1019="","",IFERROR(VALUE($K1019)/VALUE($L1019),IFERROR(VALUE($J1019),0)))</f>
        <v/>
      </c>
      <c r="O1019" s="57">
        <f>IF($A1019="",0,IF(OR($S1019&lt;&gt;1,COUNTA($J1019:$M1019)=0),0,IF(SUMPRODUCT(MAX(($C$5:$C$2484=$C1019)*($D$5:$D$2484=$D1019)*($S$5:$S$2484=1)*IFERROR($N$5:$N$2484*1,0)))&gt;0,ROUND($H1019*($N1019/SUMPRODUCT(MAX(($C$5:$C$2484=$C1019)*($D$5:$D$2484=$D1019)*($S$5:$S$2484=1)*IFERROR($N$5:$N$2484*1,0)))),4),0)))</f>
        <v/>
      </c>
      <c r="P1019" s="48" t="inlineStr">
        <is>
          <t>Autobus attrezzati con dispositivi ECO-DRIVER / Autobus totali in offerta, incluse scorte</t>
        </is>
      </c>
      <c r="Q1019" s="57">
        <f>IF($A1019="","",$A1019&amp;"|"&amp;$C1019)</f>
        <v/>
      </c>
      <c r="R1019" s="57">
        <f>IF($A1019="","",$A1019&amp;"|"&amp;$C1019&amp;"|"&amp;$D1019)</f>
        <v/>
      </c>
      <c r="S1019" s="57">
        <f>IF($A1019="","",IFERROR(INDEX(Offerte!$D$2:$D$81,MATCH($Q1019,Offerte!$L$2:$L$81,0)),0))</f>
        <v/>
      </c>
      <c r="T1019" s="57">
        <f>IF($A1019="","",IFERROR(INDEX(Offerte!$G$2:$G$81,MATCH($Q1019,Offerte!$L$2:$L$81,0)),"NO"))</f>
        <v/>
      </c>
    </row>
    <row r="1020">
      <c r="A1020" s="48">
        <f>IF(Offerte!$A34="","",Offerte!$A34)</f>
        <v/>
      </c>
      <c r="B1020" s="48">
        <f>IF(Offerte!$A34="","",Offerte!$B34)</f>
        <v/>
      </c>
      <c r="C1020" s="48">
        <f>IF(Offerte!$A34="","",Offerte!$C34)</f>
        <v/>
      </c>
      <c r="D1020" s="48" t="inlineStr">
        <is>
          <t>F.3.1</t>
        </is>
      </c>
      <c r="E1020" s="48" t="inlineStr">
        <is>
          <t>F</t>
        </is>
      </c>
      <c r="F1020" s="48" t="inlineStr">
        <is>
          <t>Q</t>
        </is>
      </c>
      <c r="G1020" s="48" t="inlineStr">
        <is>
          <t>higher</t>
        </is>
      </c>
      <c r="H1020" s="48" t="n">
        <v>2</v>
      </c>
      <c r="I1020" s="48" t="inlineStr">
        <is>
          <t>Autoproduzione consumi elettrici per trazione</t>
        </is>
      </c>
      <c r="J1020" s="73" t="n"/>
      <c r="K1020" s="73" t="n"/>
      <c r="L1020" s="73" t="n"/>
      <c r="M1020" s="73" t="n"/>
      <c r="N1020" s="57">
        <f>IF($A1020="","",IFERROR(VALUE($J1020),0))</f>
        <v/>
      </c>
      <c r="O1020" s="57">
        <f>IF($A1020="",0,IF(OR($S1020&lt;&gt;1,COUNTA($J1020:$M1020)=0),0,IF(SUMPRODUCT(MAX(($C$5:$C$2484=$C1020)*($D$5:$D$2484=$D1020)*($S$5:$S$2484=1)*IFERROR($N$5:$N$2484*1,0)))&gt;0,ROUND($H1020*($N1020/SUMPRODUCT(MAX(($C$5:$C$2484=$C1020)*($D$5:$D$2484=$D1020)*($S$5:$S$2484=1)*IFERROR($N$5:$N$2484*1,0)))),4),0)))</f>
        <v/>
      </c>
      <c r="P1020" s="48" t="inlineStr">
        <is>
          <t>kWh/anno</t>
        </is>
      </c>
      <c r="Q1020" s="57">
        <f>IF($A1020="","",$A1020&amp;"|"&amp;$C1020)</f>
        <v/>
      </c>
      <c r="R1020" s="57">
        <f>IF($A1020="","",$A1020&amp;"|"&amp;$C1020&amp;"|"&amp;$D1020)</f>
        <v/>
      </c>
      <c r="S1020" s="57">
        <f>IF($A1020="","",IFERROR(INDEX(Offerte!$D$2:$D$81,MATCH($Q1020,Offerte!$L$2:$L$81,0)),0))</f>
        <v/>
      </c>
      <c r="T1020" s="57">
        <f>IF($A1020="","",IFERROR(INDEX(Offerte!$G$2:$G$81,MATCH($Q1020,Offerte!$L$2:$L$81,0)),"NO"))</f>
        <v/>
      </c>
    </row>
    <row r="1021">
      <c r="A1021" s="48">
        <f>IF(Offerte!$A34="","",Offerte!$A34)</f>
        <v/>
      </c>
      <c r="B1021" s="48">
        <f>IF(Offerte!$A34="","",Offerte!$B34)</f>
        <v/>
      </c>
      <c r="C1021" s="48">
        <f>IF(Offerte!$A34="","",Offerte!$C34)</f>
        <v/>
      </c>
      <c r="D1021" s="48" t="inlineStr">
        <is>
          <t>F.4.1</t>
        </is>
      </c>
      <c r="E1021" s="48" t="inlineStr">
        <is>
          <t>F</t>
        </is>
      </c>
      <c r="F1021" s="48" t="inlineStr">
        <is>
          <t>Q</t>
        </is>
      </c>
      <c r="G1021" s="48" t="inlineStr">
        <is>
          <t>soil</t>
        </is>
      </c>
      <c r="H1021" s="48" t="n">
        <v>2</v>
      </c>
      <c r="I1021" s="48" t="inlineStr">
        <is>
          <t>Indice di consumo di suolo</t>
        </is>
      </c>
      <c r="J1021" s="73" t="n"/>
      <c r="K1021" s="73" t="n"/>
      <c r="L1021" s="73" t="n"/>
      <c r="M1021" s="73" t="n"/>
      <c r="N1021" s="57">
        <f>IF($A1021="","",IFERROR(VALUE($J1021),0))</f>
        <v/>
      </c>
      <c r="O1021" s="57">
        <f>IF($A1021="",0,IF(OR($S1021&lt;&gt;1,COUNTA($J1021:$M1021)=0),0,IF($N1021&lt;=0,$H1021,IF(SUMPRODUCT(MAX(($C$5:$C$2484=$C1021)*($D$5:$D$2484=$D1021)*($S$5:$S$2484=1)*IFERROR($N$5:$N$2484*1,0)))&gt;0,ROUND($H1021*((SUMPRODUCT(MAX(($C$5:$C$2484=$C1021)*($D$5:$D$2484=$D1021)*($S$5:$S$2484=1)*IFERROR($N$5:$N$2484*1,0)))-$N1021)/SUMPRODUCT(MAX(($C$5:$C$2484=$C1021)*($D$5:$D$2484=$D1021)*($S$5:$S$2484=1)*IFERROR($N$5:$N$2484*1,0)))),4),0))))</f>
        <v/>
      </c>
      <c r="P1021" s="48" t="inlineStr">
        <is>
          <t>m2</t>
        </is>
      </c>
      <c r="Q1021" s="57">
        <f>IF($A1021="","",$A1021&amp;"|"&amp;$C1021)</f>
        <v/>
      </c>
      <c r="R1021" s="57">
        <f>IF($A1021="","",$A1021&amp;"|"&amp;$C1021&amp;"|"&amp;$D1021)</f>
        <v/>
      </c>
      <c r="S1021" s="57">
        <f>IF($A1021="","",IFERROR(INDEX(Offerte!$D$2:$D$81,MATCH($Q1021,Offerte!$L$2:$L$81,0)),0))</f>
        <v/>
      </c>
      <c r="T1021" s="57">
        <f>IF($A1021="","",IFERROR(INDEX(Offerte!$G$2:$G$81,MATCH($Q1021,Offerte!$L$2:$L$81,0)),"NO"))</f>
        <v/>
      </c>
    </row>
    <row r="1022">
      <c r="A1022" s="48">
        <f>IF(Offerte!$A34="","",Offerte!$A34)</f>
        <v/>
      </c>
      <c r="B1022" s="48">
        <f>IF(Offerte!$A34="","",Offerte!$B34)</f>
        <v/>
      </c>
      <c r="C1022" s="48">
        <f>IF(Offerte!$A34="","",Offerte!$C34)</f>
        <v/>
      </c>
      <c r="D1022" s="48" t="inlineStr">
        <is>
          <t>F.5.1</t>
        </is>
      </c>
      <c r="E1022" s="48" t="inlineStr">
        <is>
          <t>F</t>
        </is>
      </c>
      <c r="F1022" s="48" t="inlineStr">
        <is>
          <t>T</t>
        </is>
      </c>
      <c r="G1022" s="48" t="inlineStr">
        <is>
          <t>tabular</t>
        </is>
      </c>
      <c r="H1022" s="48" t="n">
        <v>1</v>
      </c>
      <c r="I1022" s="48" t="inlineStr">
        <is>
          <t>Rendicontazione di sostenibilità ambientale</t>
        </is>
      </c>
      <c r="J1022" s="73" t="n"/>
      <c r="K1022" s="73" t="n"/>
      <c r="L1022" s="73" t="n"/>
      <c r="M1022" s="73" t="n"/>
      <c r="N1022" s="57">
        <f>IF($A1022="","",IF(IFERROR(VALUE($M1022),0)=1,1,0))</f>
        <v/>
      </c>
      <c r="O1022" s="57">
        <f>IF($A1022="",0,IF(OR($S1022&lt;&gt;1,COUNTA($J1022:$M1022)=0),0,IF($N1022=1,$H1022,0)))</f>
        <v/>
      </c>
      <c r="P1022" s="48" t="inlineStr">
        <is>
          <t>sì/no</t>
        </is>
      </c>
      <c r="Q1022" s="57">
        <f>IF($A1022="","",$A1022&amp;"|"&amp;$C1022)</f>
        <v/>
      </c>
      <c r="R1022" s="57">
        <f>IF($A1022="","",$A1022&amp;"|"&amp;$C1022&amp;"|"&amp;$D1022)</f>
        <v/>
      </c>
      <c r="S1022" s="57">
        <f>IF($A1022="","",IFERROR(INDEX(Offerte!$D$2:$D$81,MATCH($Q1022,Offerte!$L$2:$L$81,0)),0))</f>
        <v/>
      </c>
      <c r="T1022" s="57">
        <f>IF($A1022="","",IFERROR(INDEX(Offerte!$G$2:$G$81,MATCH($Q1022,Offerte!$L$2:$L$81,0)),"NO"))</f>
        <v/>
      </c>
    </row>
    <row r="1023">
      <c r="A1023" s="48">
        <f>IF(Offerte!$A34="","",Offerte!$A34)</f>
        <v/>
      </c>
      <c r="B1023" s="48">
        <f>IF(Offerte!$A34="","",Offerte!$B34)</f>
        <v/>
      </c>
      <c r="C1023" s="48">
        <f>IF(Offerte!$A34="","",Offerte!$C34)</f>
        <v/>
      </c>
      <c r="D1023" s="48" t="inlineStr">
        <is>
          <t>G.1.1</t>
        </is>
      </c>
      <c r="E1023" s="48" t="inlineStr">
        <is>
          <t>G</t>
        </is>
      </c>
      <c r="F1023" s="48" t="inlineStr">
        <is>
          <t>D</t>
        </is>
      </c>
      <c r="G1023" s="48" t="inlineStr">
        <is>
          <t>discretionary</t>
        </is>
      </c>
      <c r="H1023" s="48" t="n">
        <v>2</v>
      </c>
      <c r="I1023" s="48" t="inlineStr">
        <is>
          <t>Qualità del progetto di centrale di controllo aziendale</t>
        </is>
      </c>
      <c r="J1023" s="73" t="n"/>
      <c r="K1023" s="73" t="n"/>
      <c r="L1023" s="73" t="n"/>
      <c r="M1023" s="73" t="n"/>
      <c r="N1023" s="57">
        <f>IF($A1023="","",MAX(0,MIN(1,IFERROR(VALUE($M1023),0))))</f>
        <v/>
      </c>
      <c r="O1023" s="57">
        <f>IF($A1023="",0,IF(OR($S1023&lt;&gt;1,COUNTA($J1023:$M1023)=0),0,IF(SUMPRODUCT(MAX(($C$5:$C$2484=$C1023)*($D$5:$D$2484=$D1023)*($S$5:$S$2484=1)*IFERROR($N$5:$N$2484*1,0)))&gt;0,ROUND($H1023*($N1023/SUMPRODUCT(MAX(($C$5:$C$2484=$C1023)*($D$5:$D$2484=$D1023)*($S$5:$S$2484=1)*IFERROR($N$5:$N$2484*1,0)))),4),0)))</f>
        <v/>
      </c>
      <c r="P1023" s="48" t="inlineStr">
        <is>
          <t>coeff.</t>
        </is>
      </c>
      <c r="Q1023" s="57">
        <f>IF($A1023="","",$A1023&amp;"|"&amp;$C1023)</f>
        <v/>
      </c>
      <c r="R1023" s="57">
        <f>IF($A1023="","",$A1023&amp;"|"&amp;$C1023&amp;"|"&amp;$D1023)</f>
        <v/>
      </c>
      <c r="S1023" s="57">
        <f>IF($A1023="","",IFERROR(INDEX(Offerte!$D$2:$D$81,MATCH($Q1023,Offerte!$L$2:$L$81,0)),0))</f>
        <v/>
      </c>
      <c r="T1023" s="57">
        <f>IF($A1023="","",IFERROR(INDEX(Offerte!$G$2:$G$81,MATCH($Q1023,Offerte!$L$2:$L$81,0)),"NO"))</f>
        <v/>
      </c>
    </row>
    <row r="1024">
      <c r="A1024" s="48">
        <f>IF(Offerte!$A34="","",Offerte!$A34)</f>
        <v/>
      </c>
      <c r="B1024" s="48">
        <f>IF(Offerte!$A34="","",Offerte!$B34)</f>
        <v/>
      </c>
      <c r="C1024" s="48">
        <f>IF(Offerte!$A34="","",Offerte!$C34)</f>
        <v/>
      </c>
      <c r="D1024" s="48" t="inlineStr">
        <is>
          <t>G.2.1</t>
        </is>
      </c>
      <c r="E1024" s="48" t="inlineStr">
        <is>
          <t>G</t>
        </is>
      </c>
      <c r="F1024" s="48" t="inlineStr">
        <is>
          <t>T</t>
        </is>
      </c>
      <c r="G1024" s="48" t="inlineStr">
        <is>
          <t>tabular</t>
        </is>
      </c>
      <c r="H1024" s="48" t="n">
        <v>1</v>
      </c>
      <c r="I1024" s="48" t="inlineStr">
        <is>
          <t>Certificazione ISO 45001</t>
        </is>
      </c>
      <c r="J1024" s="73" t="n"/>
      <c r="K1024" s="73" t="n"/>
      <c r="L1024" s="73" t="n"/>
      <c r="M1024" s="73" t="n"/>
      <c r="N1024" s="57">
        <f>IF($A1024="","",IF(IFERROR(VALUE($M1024),0)=1,1,0))</f>
        <v/>
      </c>
      <c r="O1024" s="57">
        <f>IF($A1024="",0,IF(OR($S1024&lt;&gt;1,COUNTA($J1024:$M1024)=0),0,IF($N1024=1,$H1024,0)))</f>
        <v/>
      </c>
      <c r="P1024" s="48" t="inlineStr">
        <is>
          <t>sì/no</t>
        </is>
      </c>
      <c r="Q1024" s="57">
        <f>IF($A1024="","",$A1024&amp;"|"&amp;$C1024)</f>
        <v/>
      </c>
      <c r="R1024" s="57">
        <f>IF($A1024="","",$A1024&amp;"|"&amp;$C1024&amp;"|"&amp;$D1024)</f>
        <v/>
      </c>
      <c r="S1024" s="57">
        <f>IF($A1024="","",IFERROR(INDEX(Offerte!$D$2:$D$81,MATCH($Q1024,Offerte!$L$2:$L$81,0)),0))</f>
        <v/>
      </c>
      <c r="T1024" s="57">
        <f>IF($A1024="","",IFERROR(INDEX(Offerte!$G$2:$G$81,MATCH($Q1024,Offerte!$L$2:$L$81,0)),"NO"))</f>
        <v/>
      </c>
    </row>
    <row r="1025">
      <c r="A1025" s="48">
        <f>IF(Offerte!$A34="","",Offerte!$A34)</f>
        <v/>
      </c>
      <c r="B1025" s="48">
        <f>IF(Offerte!$A34="","",Offerte!$B34)</f>
        <v/>
      </c>
      <c r="C1025" s="48">
        <f>IF(Offerte!$A34="","",Offerte!$C34)</f>
        <v/>
      </c>
      <c r="D1025" s="48" t="inlineStr">
        <is>
          <t>G.3.1</t>
        </is>
      </c>
      <c r="E1025" s="48" t="inlineStr">
        <is>
          <t>G</t>
        </is>
      </c>
      <c r="F1025" s="48" t="inlineStr">
        <is>
          <t>T</t>
        </is>
      </c>
      <c r="G1025" s="48" t="inlineStr">
        <is>
          <t>tabular</t>
        </is>
      </c>
      <c r="H1025" s="48" t="n">
        <v>1</v>
      </c>
      <c r="I1025" s="48" t="inlineStr">
        <is>
          <t>Certificazioni di responsabilità sociale</t>
        </is>
      </c>
      <c r="J1025" s="73" t="n"/>
      <c r="K1025" s="73" t="n"/>
      <c r="L1025" s="73" t="n"/>
      <c r="M1025" s="73" t="n"/>
      <c r="N1025" s="57">
        <f>IF($A1025="","",IF(IFERROR(VALUE($M1025),0)=1,1,0))</f>
        <v/>
      </c>
      <c r="O1025" s="57">
        <f>IF($A1025="",0,IF(OR($S1025&lt;&gt;1,COUNTA($J1025:$M1025)=0),0,IF($N1025=1,$H1025,0)))</f>
        <v/>
      </c>
      <c r="P1025" s="48" t="inlineStr">
        <is>
          <t>sì/no</t>
        </is>
      </c>
      <c r="Q1025" s="57">
        <f>IF($A1025="","",$A1025&amp;"|"&amp;$C1025)</f>
        <v/>
      </c>
      <c r="R1025" s="57">
        <f>IF($A1025="","",$A1025&amp;"|"&amp;$C1025&amp;"|"&amp;$D1025)</f>
        <v/>
      </c>
      <c r="S1025" s="57">
        <f>IF($A1025="","",IFERROR(INDEX(Offerte!$D$2:$D$81,MATCH($Q1025,Offerte!$L$2:$L$81,0)),0))</f>
        <v/>
      </c>
      <c r="T1025" s="57">
        <f>IF($A1025="","",IFERROR(INDEX(Offerte!$G$2:$G$81,MATCH($Q1025,Offerte!$L$2:$L$81,0)),"NO"))</f>
        <v/>
      </c>
    </row>
    <row r="1026">
      <c r="A1026" s="48">
        <f>IF(Offerte!$A34="","",Offerte!$A34)</f>
        <v/>
      </c>
      <c r="B1026" s="48">
        <f>IF(Offerte!$A34="","",Offerte!$B34)</f>
        <v/>
      </c>
      <c r="C1026" s="48">
        <f>IF(Offerte!$A34="","",Offerte!$C34)</f>
        <v/>
      </c>
      <c r="D1026" s="48" t="inlineStr">
        <is>
          <t>G.4.1</t>
        </is>
      </c>
      <c r="E1026" s="48" t="inlineStr">
        <is>
          <t>G</t>
        </is>
      </c>
      <c r="F1026" s="48" t="inlineStr">
        <is>
          <t>D</t>
        </is>
      </c>
      <c r="G1026" s="48" t="inlineStr">
        <is>
          <t>discretionary</t>
        </is>
      </c>
      <c r="H1026" s="48" t="n">
        <v>2</v>
      </c>
      <c r="I1026" s="48" t="inlineStr">
        <is>
          <t>Qualità del piano di formazione del personale</t>
        </is>
      </c>
      <c r="J1026" s="73" t="n"/>
      <c r="K1026" s="73" t="n"/>
      <c r="L1026" s="73" t="n"/>
      <c r="M1026" s="73" t="n"/>
      <c r="N1026" s="57">
        <f>IF($A1026="","",MAX(0,MIN(1,IFERROR(VALUE($M1026),0))))</f>
        <v/>
      </c>
      <c r="O1026" s="57">
        <f>IF($A1026="",0,IF(OR($S1026&lt;&gt;1,COUNTA($J1026:$M1026)=0),0,IF(SUMPRODUCT(MAX(($C$5:$C$2484=$C1026)*($D$5:$D$2484=$D1026)*($S$5:$S$2484=1)*IFERROR($N$5:$N$2484*1,0)))&gt;0,ROUND($H1026*($N1026/SUMPRODUCT(MAX(($C$5:$C$2484=$C1026)*($D$5:$D$2484=$D1026)*($S$5:$S$2484=1)*IFERROR($N$5:$N$2484*1,0)))),4),0)))</f>
        <v/>
      </c>
      <c r="P1026" s="48" t="inlineStr">
        <is>
          <t>coeff.</t>
        </is>
      </c>
      <c r="Q1026" s="57">
        <f>IF($A1026="","",$A1026&amp;"|"&amp;$C1026)</f>
        <v/>
      </c>
      <c r="R1026" s="57">
        <f>IF($A1026="","",$A1026&amp;"|"&amp;$C1026&amp;"|"&amp;$D1026)</f>
        <v/>
      </c>
      <c r="S1026" s="57">
        <f>IF($A1026="","",IFERROR(INDEX(Offerte!$D$2:$D$81,MATCH($Q1026,Offerte!$L$2:$L$81,0)),0))</f>
        <v/>
      </c>
      <c r="T1026" s="57">
        <f>IF($A1026="","",IFERROR(INDEX(Offerte!$G$2:$G$81,MATCH($Q1026,Offerte!$L$2:$L$81,0)),"NO"))</f>
        <v/>
      </c>
    </row>
    <row r="1027">
      <c r="A1027" s="48">
        <f>IF(Offerte!$A34="","",Offerte!$A34)</f>
        <v/>
      </c>
      <c r="B1027" s="48">
        <f>IF(Offerte!$A34="","",Offerte!$B34)</f>
        <v/>
      </c>
      <c r="C1027" s="48">
        <f>IF(Offerte!$A34="","",Offerte!$C34)</f>
        <v/>
      </c>
      <c r="D1027" s="48" t="inlineStr">
        <is>
          <t>G.5.1</t>
        </is>
      </c>
      <c r="E1027" s="48" t="inlineStr">
        <is>
          <t>G</t>
        </is>
      </c>
      <c r="F1027" s="48" t="inlineStr">
        <is>
          <t>T</t>
        </is>
      </c>
      <c r="G1027" s="48" t="inlineStr">
        <is>
          <t>tabular</t>
        </is>
      </c>
      <c r="H1027" s="48" t="n">
        <v>1</v>
      </c>
      <c r="I1027" s="48" t="inlineStr">
        <is>
          <t>Impegno al mantenimento delle garanzie del contratto di secondo livello del gestore uscente</t>
        </is>
      </c>
      <c r="J1027" s="73" t="n"/>
      <c r="K1027" s="73" t="n"/>
      <c r="L1027" s="73" t="n"/>
      <c r="M1027" s="73" t="n"/>
      <c r="N1027" s="57">
        <f>IF($A1027="","",IF(IFERROR(VALUE($M1027),0)=1,1,0))</f>
        <v/>
      </c>
      <c r="O1027" s="57">
        <f>IF($A1027="",0,IF(OR($S1027&lt;&gt;1,COUNTA($J1027:$M1027)=0),0,IF($N1027=1,$H1027,0)))</f>
        <v/>
      </c>
      <c r="P1027" s="48" t="inlineStr">
        <is>
          <t>sì/no</t>
        </is>
      </c>
      <c r="Q1027" s="57">
        <f>IF($A1027="","",$A1027&amp;"|"&amp;$C1027)</f>
        <v/>
      </c>
      <c r="R1027" s="57">
        <f>IF($A1027="","",$A1027&amp;"|"&amp;$C1027&amp;"|"&amp;$D1027)</f>
        <v/>
      </c>
      <c r="S1027" s="57">
        <f>IF($A1027="","",IFERROR(INDEX(Offerte!$D$2:$D$81,MATCH($Q1027,Offerte!$L$2:$L$81,0)),0))</f>
        <v/>
      </c>
      <c r="T1027" s="57">
        <f>IF($A1027="","",IFERROR(INDEX(Offerte!$G$2:$G$81,MATCH($Q1027,Offerte!$L$2:$L$81,0)),"NO"))</f>
        <v/>
      </c>
    </row>
    <row r="1028">
      <c r="A1028" s="48">
        <f>IF(Offerte!$A35="","",Offerte!$A35)</f>
        <v/>
      </c>
      <c r="B1028" s="48">
        <f>IF(Offerte!$A35="","",Offerte!$B35)</f>
        <v/>
      </c>
      <c r="C1028" s="48">
        <f>IF(Offerte!$A35="","",Offerte!$C35)</f>
        <v/>
      </c>
      <c r="D1028" s="48" t="inlineStr">
        <is>
          <t>A.1.1</t>
        </is>
      </c>
      <c r="E1028" s="48" t="inlineStr">
        <is>
          <t>A</t>
        </is>
      </c>
      <c r="F1028" s="48" t="inlineStr">
        <is>
          <t>Q</t>
        </is>
      </c>
      <c r="G1028" s="48" t="inlineStr">
        <is>
          <t>higher</t>
        </is>
      </c>
      <c r="H1028" s="48" t="n">
        <v>3</v>
      </c>
      <c r="I1028" s="48" t="inlineStr">
        <is>
          <t>Tasso aggiuntivo di corse controllate</t>
        </is>
      </c>
      <c r="J1028" s="73" t="n"/>
      <c r="K1028" s="73" t="n"/>
      <c r="L1028" s="73" t="n"/>
      <c r="M1028" s="73" t="n"/>
      <c r="N1028" s="57">
        <f>IF($A1028="","",IFERROR(VALUE($K1028)/VALUE($L1028)*100,IFERROR(VALUE($J1028),0)))</f>
        <v/>
      </c>
      <c r="O1028" s="57">
        <f>IF($A1028="",0,IF(OR($S1028&lt;&gt;1,COUNTA($J1028:$M1028)=0),0,IF(SUMPRODUCT(MAX(($C$5:$C$2484=$C1028)*($D$5:$D$2484=$D1028)*($S$5:$S$2484=1)*IFERROR($N$5:$N$2484*1,0)))&gt;0,ROUND($H1028*($N1028/SUMPRODUCT(MAX(($C$5:$C$2484=$C1028)*($D$5:$D$2484=$D1028)*($S$5:$S$2484=1)*IFERROR($N$5:$N$2484*1,0)))),4),0)))</f>
        <v/>
      </c>
      <c r="P1028" s="48" t="inlineStr">
        <is>
          <t>Corse controllate annue / Corse programmate annue</t>
        </is>
      </c>
      <c r="Q1028" s="57">
        <f>IF($A1028="","",$A1028&amp;"|"&amp;$C1028)</f>
        <v/>
      </c>
      <c r="R1028" s="57">
        <f>IF($A1028="","",$A1028&amp;"|"&amp;$C1028&amp;"|"&amp;$D1028)</f>
        <v/>
      </c>
      <c r="S1028" s="57">
        <f>IF($A1028="","",IFERROR(INDEX(Offerte!$D$2:$D$81,MATCH($Q1028,Offerte!$L$2:$L$81,0)),0))</f>
        <v/>
      </c>
      <c r="T1028" s="57">
        <f>IF($A1028="","",IFERROR(INDEX(Offerte!$G$2:$G$81,MATCH($Q1028,Offerte!$L$2:$L$81,0)),"NO"))</f>
        <v/>
      </c>
    </row>
    <row r="1029">
      <c r="A1029" s="48">
        <f>IF(Offerte!$A35="","",Offerte!$A35)</f>
        <v/>
      </c>
      <c r="B1029" s="48">
        <f>IF(Offerte!$A35="","",Offerte!$B35)</f>
        <v/>
      </c>
      <c r="C1029" s="48">
        <f>IF(Offerte!$A35="","",Offerte!$C35)</f>
        <v/>
      </c>
      <c r="D1029" s="48" t="inlineStr">
        <is>
          <t>A.1.2</t>
        </is>
      </c>
      <c r="E1029" s="48" t="inlineStr">
        <is>
          <t>A</t>
        </is>
      </c>
      <c r="F1029" s="48" t="inlineStr">
        <is>
          <t>Q</t>
        </is>
      </c>
      <c r="G1029" s="48" t="inlineStr">
        <is>
          <t>higher</t>
        </is>
      </c>
      <c r="H1029" s="48" t="n">
        <v>4</v>
      </c>
      <c r="I1029" s="48" t="inlineStr">
        <is>
          <t>Numero aggiuntivo di passeggeri controllati</t>
        </is>
      </c>
      <c r="J1029" s="73" t="n"/>
      <c r="K1029" s="73" t="n"/>
      <c r="L1029" s="73" t="n"/>
      <c r="M1029" s="73" t="n"/>
      <c r="N1029" s="57">
        <f>IF($A1029="","",IFERROR(VALUE($J1029),0))</f>
        <v/>
      </c>
      <c r="O1029" s="57">
        <f>IF($A1029="",0,IF(OR($S1029&lt;&gt;1,COUNTA($J1029:$M1029)=0),0,IF(SUMPRODUCT(MAX(($C$5:$C$2484=$C1029)*($D$5:$D$2484=$D1029)*($S$5:$S$2484=1)*IFERROR($N$5:$N$2484*1,0)))&gt;0,ROUND($H1029*($N1029/SUMPRODUCT(MAX(($C$5:$C$2484=$C1029)*($D$5:$D$2484=$D1029)*($S$5:$S$2484=1)*IFERROR($N$5:$N$2484*1,0)))),4),0)))</f>
        <v/>
      </c>
      <c r="P1029" s="48" t="inlineStr">
        <is>
          <t>passeggeri/anno</t>
        </is>
      </c>
      <c r="Q1029" s="57">
        <f>IF($A1029="","",$A1029&amp;"|"&amp;$C1029)</f>
        <v/>
      </c>
      <c r="R1029" s="57">
        <f>IF($A1029="","",$A1029&amp;"|"&amp;$C1029&amp;"|"&amp;$D1029)</f>
        <v/>
      </c>
      <c r="S1029" s="57">
        <f>IF($A1029="","",IFERROR(INDEX(Offerte!$D$2:$D$81,MATCH($Q1029,Offerte!$L$2:$L$81,0)),0))</f>
        <v/>
      </c>
      <c r="T1029" s="57">
        <f>IF($A1029="","",IFERROR(INDEX(Offerte!$G$2:$G$81,MATCH($Q1029,Offerte!$L$2:$L$81,0)),"NO"))</f>
        <v/>
      </c>
    </row>
    <row r="1030">
      <c r="A1030" s="48">
        <f>IF(Offerte!$A35="","",Offerte!$A35)</f>
        <v/>
      </c>
      <c r="B1030" s="48">
        <f>IF(Offerte!$A35="","",Offerte!$B35)</f>
        <v/>
      </c>
      <c r="C1030" s="48">
        <f>IF(Offerte!$A35="","",Offerte!$C35)</f>
        <v/>
      </c>
      <c r="D1030" s="48" t="inlineStr">
        <is>
          <t>B.1.1</t>
        </is>
      </c>
      <c r="E1030" s="48" t="inlineStr">
        <is>
          <t>B</t>
        </is>
      </c>
      <c r="F1030" s="48" t="inlineStr">
        <is>
          <t>Q</t>
        </is>
      </c>
      <c r="G1030" s="48" t="inlineStr">
        <is>
          <t>higher</t>
        </is>
      </c>
      <c r="H1030" s="48" t="n">
        <v>3</v>
      </c>
      <c r="I1030" s="48" t="inlineStr">
        <is>
          <t>Incremento dei posti offerti nelle fasce di punta</t>
        </is>
      </c>
      <c r="J1030" s="73" t="n"/>
      <c r="K1030" s="73" t="n"/>
      <c r="L1030" s="73" t="n"/>
      <c r="M1030" s="73" t="n"/>
      <c r="N1030" s="57">
        <f>IF($A1030="","",IFERROR(VALUE($J1030),0))</f>
        <v/>
      </c>
      <c r="O1030" s="57">
        <f>IF($A1030="",0,IF(OR($S1030&lt;&gt;1,COUNTA($J1030:$M1030)=0),0,IF(SUMPRODUCT(MAX(($C$5:$C$2484=$C1030)*($D$5:$D$2484=$D1030)*($S$5:$S$2484=1)*IFERROR($N$5:$N$2484*1,0)))&gt;0,ROUND($H1030*($N1030/SUMPRODUCT(MAX(($C$5:$C$2484=$C1030)*($D$5:$D$2484=$D1030)*($S$5:$S$2484=1)*IFERROR($N$5:$N$2484*1,0)))),4),0)))</f>
        <v/>
      </c>
      <c r="P1030" s="48" t="inlineStr">
        <is>
          <t>posti*km</t>
        </is>
      </c>
      <c r="Q1030" s="57">
        <f>IF($A1030="","",$A1030&amp;"|"&amp;$C1030)</f>
        <v/>
      </c>
      <c r="R1030" s="57">
        <f>IF($A1030="","",$A1030&amp;"|"&amp;$C1030&amp;"|"&amp;$D1030)</f>
        <v/>
      </c>
      <c r="S1030" s="57">
        <f>IF($A1030="","",IFERROR(INDEX(Offerte!$D$2:$D$81,MATCH($Q1030,Offerte!$L$2:$L$81,0)),0))</f>
        <v/>
      </c>
      <c r="T1030" s="57">
        <f>IF($A1030="","",IFERROR(INDEX(Offerte!$G$2:$G$81,MATCH($Q1030,Offerte!$L$2:$L$81,0)),"NO"))</f>
        <v/>
      </c>
    </row>
    <row r="1031">
      <c r="A1031" s="48">
        <f>IF(Offerte!$A35="","",Offerte!$A35)</f>
        <v/>
      </c>
      <c r="B1031" s="48">
        <f>IF(Offerte!$A35="","",Offerte!$B35)</f>
        <v/>
      </c>
      <c r="C1031" s="48">
        <f>IF(Offerte!$A35="","",Offerte!$C35)</f>
        <v/>
      </c>
      <c r="D1031" s="48" t="inlineStr">
        <is>
          <t>B.2.1</t>
        </is>
      </c>
      <c r="E1031" s="48" t="inlineStr">
        <is>
          <t>B</t>
        </is>
      </c>
      <c r="F1031" s="48" t="inlineStr">
        <is>
          <t>Q</t>
        </is>
      </c>
      <c r="G1031" s="48" t="inlineStr">
        <is>
          <t>higher</t>
        </is>
      </c>
      <c r="H1031" s="48" t="n">
        <v>4</v>
      </c>
      <c r="I1031" s="48" t="inlineStr">
        <is>
          <t>Corse aggiuntive nell'arco giornaliero base</t>
        </is>
      </c>
      <c r="J1031" s="73" t="n"/>
      <c r="K1031" s="73" t="n"/>
      <c r="L1031" s="73" t="n"/>
      <c r="M1031" s="73" t="n"/>
      <c r="N1031" s="57">
        <f>IF($A1031="","",IFERROR(VALUE($J1031),0))</f>
        <v/>
      </c>
      <c r="O1031" s="57">
        <f>IF($A1031="",0,IF(OR($S1031&lt;&gt;1,COUNTA($J1031:$M1031)=0),0,IF(SUMPRODUCT(MAX(($C$5:$C$2484=$C1031)*($D$5:$D$2484=$D1031)*($S$5:$S$2484=1)*IFERROR($N$5:$N$2484*1,0)))&gt;0,ROUND($H1031*($N1031/SUMPRODUCT(MAX(($C$5:$C$2484=$C1031)*($D$5:$D$2484=$D1031)*($S$5:$S$2484=1)*IFERROR($N$5:$N$2484*1,0)))),4),0)))</f>
        <v/>
      </c>
      <c r="P1031" s="48" t="inlineStr">
        <is>
          <t>corse</t>
        </is>
      </c>
      <c r="Q1031" s="57">
        <f>IF($A1031="","",$A1031&amp;"|"&amp;$C1031)</f>
        <v/>
      </c>
      <c r="R1031" s="57">
        <f>IF($A1031="","",$A1031&amp;"|"&amp;$C1031&amp;"|"&amp;$D1031)</f>
        <v/>
      </c>
      <c r="S1031" s="57">
        <f>IF($A1031="","",IFERROR(INDEX(Offerte!$D$2:$D$81,MATCH($Q1031,Offerte!$L$2:$L$81,0)),0))</f>
        <v/>
      </c>
      <c r="T1031" s="57">
        <f>IF($A1031="","",IFERROR(INDEX(Offerte!$G$2:$G$81,MATCH($Q1031,Offerte!$L$2:$L$81,0)),"NO"))</f>
        <v/>
      </c>
    </row>
    <row r="1032">
      <c r="A1032" s="48">
        <f>IF(Offerte!$A35="","",Offerte!$A35)</f>
        <v/>
      </c>
      <c r="B1032" s="48">
        <f>IF(Offerte!$A35="","",Offerte!$B35)</f>
        <v/>
      </c>
      <c r="C1032" s="48">
        <f>IF(Offerte!$A35="","",Offerte!$C35)</f>
        <v/>
      </c>
      <c r="D1032" s="48" t="inlineStr">
        <is>
          <t>B.3.1</t>
        </is>
      </c>
      <c r="E1032" s="48" t="inlineStr">
        <is>
          <t>B</t>
        </is>
      </c>
      <c r="F1032" s="48" t="inlineStr">
        <is>
          <t>Q</t>
        </is>
      </c>
      <c r="G1032" s="48" t="inlineStr">
        <is>
          <t>higher</t>
        </is>
      </c>
      <c r="H1032" s="48" t="n">
        <v>2</v>
      </c>
      <c r="I1032" s="48" t="inlineStr">
        <is>
          <t>Numero di corse aggiuntive per allungamento dell'arco di servizio giornaliero nelle fasce serali</t>
        </is>
      </c>
      <c r="J1032" s="73" t="n"/>
      <c r="K1032" s="73" t="n"/>
      <c r="L1032" s="73" t="n"/>
      <c r="M1032" s="73" t="n"/>
      <c r="N1032" s="57">
        <f>IF($A1032="","",IFERROR(VALUE($J1032),0))</f>
        <v/>
      </c>
      <c r="O1032" s="57">
        <f>IF($A1032="",0,IF(OR($S1032&lt;&gt;1,COUNTA($J1032:$M1032)=0),0,IF(SUMPRODUCT(MAX(($C$5:$C$2484=$C1032)*($D$5:$D$2484=$D1032)*($S$5:$S$2484=1)*IFERROR($N$5:$N$2484*1,0)))&gt;0,ROUND($H1032*($N1032/SUMPRODUCT(MAX(($C$5:$C$2484=$C1032)*($D$5:$D$2484=$D1032)*($S$5:$S$2484=1)*IFERROR($N$5:$N$2484*1,0)))),4),0)))</f>
        <v/>
      </c>
      <c r="P1032" s="48" t="inlineStr">
        <is>
          <t>corse</t>
        </is>
      </c>
      <c r="Q1032" s="57">
        <f>IF($A1032="","",$A1032&amp;"|"&amp;$C1032)</f>
        <v/>
      </c>
      <c r="R1032" s="57">
        <f>IF($A1032="","",$A1032&amp;"|"&amp;$C1032&amp;"|"&amp;$D1032)</f>
        <v/>
      </c>
      <c r="S1032" s="57">
        <f>IF($A1032="","",IFERROR(INDEX(Offerte!$D$2:$D$81,MATCH($Q1032,Offerte!$L$2:$L$81,0)),0))</f>
        <v/>
      </c>
      <c r="T1032" s="57">
        <f>IF($A1032="","",IFERROR(INDEX(Offerte!$G$2:$G$81,MATCH($Q1032,Offerte!$L$2:$L$81,0)),"NO"))</f>
        <v/>
      </c>
    </row>
    <row r="1033">
      <c r="A1033" s="48">
        <f>IF(Offerte!$A35="","",Offerte!$A35)</f>
        <v/>
      </c>
      <c r="B1033" s="48">
        <f>IF(Offerte!$A35="","",Offerte!$B35)</f>
        <v/>
      </c>
      <c r="C1033" s="48">
        <f>IF(Offerte!$A35="","",Offerte!$C35)</f>
        <v/>
      </c>
      <c r="D1033" s="48" t="inlineStr">
        <is>
          <t>B.4.1</t>
        </is>
      </c>
      <c r="E1033" s="48" t="inlineStr">
        <is>
          <t>B</t>
        </is>
      </c>
      <c r="F1033" s="48" t="inlineStr">
        <is>
          <t>Q</t>
        </is>
      </c>
      <c r="G1033" s="48" t="inlineStr">
        <is>
          <t>higher</t>
        </is>
      </c>
      <c r="H1033" s="48" t="n">
        <v>3</v>
      </c>
      <c r="I1033" s="48" t="inlineStr">
        <is>
          <t>Percorrenze aggiuntive offerte nel Programma d'esercizio delle prime due fasi attuative</t>
        </is>
      </c>
      <c r="J1033" s="73" t="n"/>
      <c r="K1033" s="73" t="n"/>
      <c r="L1033" s="73" t="n"/>
      <c r="M1033" s="73" t="n"/>
      <c r="N1033" s="57">
        <f>IF($A1033="","",IFERROR(VALUE($J1033),0))</f>
        <v/>
      </c>
      <c r="O1033" s="57">
        <f>IF($A1033="",0,IF(OR($S1033&lt;&gt;1,COUNTA($J1033:$M1033)=0),0,IF(SUMPRODUCT(MAX(($C$5:$C$2484=$C1033)*($D$5:$D$2484=$D1033)*($S$5:$S$2484=1)*IFERROR($N$5:$N$2484*1,0)))&gt;0,ROUND($H1033*($N1033/SUMPRODUCT(MAX(($C$5:$C$2484=$C1033)*($D$5:$D$2484=$D1033)*($S$5:$S$2484=1)*IFERROR($N$5:$N$2484*1,0)))),4),0)))</f>
        <v/>
      </c>
      <c r="P1033" s="48" t="inlineStr">
        <is>
          <t>vett*km</t>
        </is>
      </c>
      <c r="Q1033" s="57">
        <f>IF($A1033="","",$A1033&amp;"|"&amp;$C1033)</f>
        <v/>
      </c>
      <c r="R1033" s="57">
        <f>IF($A1033="","",$A1033&amp;"|"&amp;$C1033&amp;"|"&amp;$D1033)</f>
        <v/>
      </c>
      <c r="S1033" s="57">
        <f>IF($A1033="","",IFERROR(INDEX(Offerte!$D$2:$D$81,MATCH($Q1033,Offerte!$L$2:$L$81,0)),0))</f>
        <v/>
      </c>
      <c r="T1033" s="57">
        <f>IF($A1033="","",IFERROR(INDEX(Offerte!$G$2:$G$81,MATCH($Q1033,Offerte!$L$2:$L$81,0)),"NO"))</f>
        <v/>
      </c>
    </row>
    <row r="1034">
      <c r="A1034" s="48">
        <f>IF(Offerte!$A35="","",Offerte!$A35)</f>
        <v/>
      </c>
      <c r="B1034" s="48">
        <f>IF(Offerte!$A35="","",Offerte!$B35)</f>
        <v/>
      </c>
      <c r="C1034" s="48">
        <f>IF(Offerte!$A35="","",Offerte!$C35)</f>
        <v/>
      </c>
      <c r="D1034" s="48" t="inlineStr">
        <is>
          <t>B.5.1</t>
        </is>
      </c>
      <c r="E1034" s="48" t="inlineStr">
        <is>
          <t>B</t>
        </is>
      </c>
      <c r="F1034" s="48" t="inlineStr">
        <is>
          <t>D</t>
        </is>
      </c>
      <c r="G1034" s="48" t="inlineStr">
        <is>
          <t>discretionary</t>
        </is>
      </c>
      <c r="H1034" s="48" t="n">
        <v>2</v>
      </c>
      <c r="I1034" s="48" t="inlineStr">
        <is>
          <t>Efficacia del progetto di servizi complementari DRT</t>
        </is>
      </c>
      <c r="J1034" s="73" t="n"/>
      <c r="K1034" s="73" t="n"/>
      <c r="L1034" s="73" t="n"/>
      <c r="M1034" s="73" t="n"/>
      <c r="N1034" s="57">
        <f>IF($A1034="","",MAX(0,MIN(1,IFERROR(VALUE($M1034),0))))</f>
        <v/>
      </c>
      <c r="O1034" s="57">
        <f>IF($A1034="",0,IF(OR($S1034&lt;&gt;1,COUNTA($J1034:$M1034)=0),0,IF(SUMPRODUCT(MAX(($C$5:$C$2484=$C1034)*($D$5:$D$2484=$D1034)*($S$5:$S$2484=1)*IFERROR($N$5:$N$2484*1,0)))&gt;0,ROUND($H1034*($N1034/SUMPRODUCT(MAX(($C$5:$C$2484=$C1034)*($D$5:$D$2484=$D1034)*($S$5:$S$2484=1)*IFERROR($N$5:$N$2484*1,0)))),4),0)))</f>
        <v/>
      </c>
      <c r="P1034" s="48" t="inlineStr">
        <is>
          <t>coeff.</t>
        </is>
      </c>
      <c r="Q1034" s="57">
        <f>IF($A1034="","",$A1034&amp;"|"&amp;$C1034)</f>
        <v/>
      </c>
      <c r="R1034" s="57">
        <f>IF($A1034="","",$A1034&amp;"|"&amp;$C1034&amp;"|"&amp;$D1034)</f>
        <v/>
      </c>
      <c r="S1034" s="57">
        <f>IF($A1034="","",IFERROR(INDEX(Offerte!$D$2:$D$81,MATCH($Q1034,Offerte!$L$2:$L$81,0)),0))</f>
        <v/>
      </c>
      <c r="T1034" s="57">
        <f>IF($A1034="","",IFERROR(INDEX(Offerte!$G$2:$G$81,MATCH($Q1034,Offerte!$L$2:$L$81,0)),"NO"))</f>
        <v/>
      </c>
    </row>
    <row r="1035">
      <c r="A1035" s="48">
        <f>IF(Offerte!$A35="","",Offerte!$A35)</f>
        <v/>
      </c>
      <c r="B1035" s="48">
        <f>IF(Offerte!$A35="","",Offerte!$B35)</f>
        <v/>
      </c>
      <c r="C1035" s="48">
        <f>IF(Offerte!$A35="","",Offerte!$C35)</f>
        <v/>
      </c>
      <c r="D1035" s="48" t="inlineStr">
        <is>
          <t>C.1.1</t>
        </is>
      </c>
      <c r="E1035" s="48" t="inlineStr">
        <is>
          <t>C</t>
        </is>
      </c>
      <c r="F1035" s="48" t="inlineStr">
        <is>
          <t>Q</t>
        </is>
      </c>
      <c r="G1035" s="48" t="inlineStr">
        <is>
          <t>higher</t>
        </is>
      </c>
      <c r="H1035" s="48" t="n">
        <v>2</v>
      </c>
      <c r="I1035" s="48" t="inlineStr">
        <is>
          <t>Tasso di copertura del servizio con telecamere BSD</t>
        </is>
      </c>
      <c r="J1035" s="73" t="n"/>
      <c r="K1035" s="73" t="n"/>
      <c r="L1035" s="73" t="n"/>
      <c r="M1035" s="73" t="n"/>
      <c r="N1035" s="57">
        <f>IF($A1035="","",IFERROR(VALUE($K1035)/VALUE($L1035),IFERROR(VALUE($J1035),0)))</f>
        <v/>
      </c>
      <c r="O1035" s="57">
        <f>IF($A1035="",0,IF(OR($S1035&lt;&gt;1,COUNTA($J1035:$M1035)=0),0,IF(SUMPRODUCT(MAX(($C$5:$C$2484=$C1035)*($D$5:$D$2484=$D1035)*($S$5:$S$2484=1)*IFERROR($N$5:$N$2484*1,0)))&gt;0,ROUND($H1035*($N1035/SUMPRODUCT(MAX(($C$5:$C$2484=$C1035)*($D$5:$D$2484=$D1035)*($S$5:$S$2484=1)*IFERROR($N$5:$N$2484*1,0)))),4),0)))</f>
        <v/>
      </c>
      <c r="P1035" s="48" t="inlineStr">
        <is>
          <t>Autobus attrezzati con telecamere BSD / Autobus totali in offerta, incluse scorte</t>
        </is>
      </c>
      <c r="Q1035" s="57">
        <f>IF($A1035="","",$A1035&amp;"|"&amp;$C1035)</f>
        <v/>
      </c>
      <c r="R1035" s="57">
        <f>IF($A1035="","",$A1035&amp;"|"&amp;$C1035&amp;"|"&amp;$D1035)</f>
        <v/>
      </c>
      <c r="S1035" s="57">
        <f>IF($A1035="","",IFERROR(INDEX(Offerte!$D$2:$D$81,MATCH($Q1035,Offerte!$L$2:$L$81,0)),0))</f>
        <v/>
      </c>
      <c r="T1035" s="57">
        <f>IF($A1035="","",IFERROR(INDEX(Offerte!$G$2:$G$81,MATCH($Q1035,Offerte!$L$2:$L$81,0)),"NO"))</f>
        <v/>
      </c>
    </row>
    <row r="1036">
      <c r="A1036" s="48">
        <f>IF(Offerte!$A35="","",Offerte!$A35)</f>
        <v/>
      </c>
      <c r="B1036" s="48">
        <f>IF(Offerte!$A35="","",Offerte!$B35)</f>
        <v/>
      </c>
      <c r="C1036" s="48">
        <f>IF(Offerte!$A35="","",Offerte!$C35)</f>
        <v/>
      </c>
      <c r="D1036" s="48" t="inlineStr">
        <is>
          <t>C.1.2</t>
        </is>
      </c>
      <c r="E1036" s="48" t="inlineStr">
        <is>
          <t>C</t>
        </is>
      </c>
      <c r="F1036" s="48" t="inlineStr">
        <is>
          <t>Q</t>
        </is>
      </c>
      <c r="G1036" s="48" t="inlineStr">
        <is>
          <t>higher</t>
        </is>
      </c>
      <c r="H1036" s="48" t="n">
        <v>2</v>
      </c>
      <c r="I1036" s="48" t="inlineStr">
        <is>
          <t>Tasso di copertura del servizio con telecamere ADAS</t>
        </is>
      </c>
      <c r="J1036" s="73" t="n"/>
      <c r="K1036" s="73" t="n"/>
      <c r="L1036" s="73" t="n"/>
      <c r="M1036" s="73" t="n"/>
      <c r="N1036" s="57">
        <f>IF($A1036="","",IFERROR(VALUE($K1036)/VALUE($L1036),IFERROR(VALUE($J1036),0)))</f>
        <v/>
      </c>
      <c r="O1036" s="57">
        <f>IF($A1036="",0,IF(OR($S1036&lt;&gt;1,COUNTA($J1036:$M1036)=0),0,IF(SUMPRODUCT(MAX(($C$5:$C$2484=$C1036)*($D$5:$D$2484=$D1036)*($S$5:$S$2484=1)*IFERROR($N$5:$N$2484*1,0)))&gt;0,ROUND($H1036*($N1036/SUMPRODUCT(MAX(($C$5:$C$2484=$C1036)*($D$5:$D$2484=$D1036)*($S$5:$S$2484=1)*IFERROR($N$5:$N$2484*1,0)))),4),0)))</f>
        <v/>
      </c>
      <c r="P1036" s="48" t="inlineStr">
        <is>
          <t>Autobus attrezzati con telecamere ADAS / Autobus totali in offerta, incluse scorte</t>
        </is>
      </c>
      <c r="Q1036" s="57">
        <f>IF($A1036="","",$A1036&amp;"|"&amp;$C1036)</f>
        <v/>
      </c>
      <c r="R1036" s="57">
        <f>IF($A1036="","",$A1036&amp;"|"&amp;$C1036&amp;"|"&amp;$D1036)</f>
        <v/>
      </c>
      <c r="S1036" s="57">
        <f>IF($A1036="","",IFERROR(INDEX(Offerte!$D$2:$D$81,MATCH($Q1036,Offerte!$L$2:$L$81,0)),0))</f>
        <v/>
      </c>
      <c r="T1036" s="57">
        <f>IF($A1036="","",IFERROR(INDEX(Offerte!$G$2:$G$81,MATCH($Q1036,Offerte!$L$2:$L$81,0)),"NO"))</f>
        <v/>
      </c>
    </row>
    <row r="1037">
      <c r="A1037" s="48">
        <f>IF(Offerte!$A35="","",Offerte!$A35)</f>
        <v/>
      </c>
      <c r="B1037" s="48">
        <f>IF(Offerte!$A35="","",Offerte!$B35)</f>
        <v/>
      </c>
      <c r="C1037" s="48">
        <f>IF(Offerte!$A35="","",Offerte!$C35)</f>
        <v/>
      </c>
      <c r="D1037" s="48" t="inlineStr">
        <is>
          <t>C.2.1</t>
        </is>
      </c>
      <c r="E1037" s="48" t="inlineStr">
        <is>
          <t>C</t>
        </is>
      </c>
      <c r="F1037" s="48" t="inlineStr">
        <is>
          <t>Q</t>
        </is>
      </c>
      <c r="G1037" s="48" t="inlineStr">
        <is>
          <t>higher</t>
        </is>
      </c>
      <c r="H1037" s="48" t="n">
        <v>3</v>
      </c>
      <c r="I1037" s="48" t="inlineStr">
        <is>
          <t>Tasso di copertura del servizio con telecamere di bordo di videosorveglianza</t>
        </is>
      </c>
      <c r="J1037" s="73" t="n"/>
      <c r="K1037" s="73" t="n"/>
      <c r="L1037" s="73" t="n"/>
      <c r="M1037" s="73" t="n"/>
      <c r="N1037" s="57">
        <f>IF($A1037="","",IFERROR(VALUE($K1037)/VALUE($L1037),IFERROR(VALUE($J1037),0)))</f>
        <v/>
      </c>
      <c r="O1037" s="57">
        <f>IF($A1037="",0,IF(OR($S1037&lt;&gt;1,COUNTA($J1037:$M1037)=0),0,IF(SUMPRODUCT(MAX(($C$5:$C$2484=$C1037)*($D$5:$D$2484=$D1037)*($S$5:$S$2484=1)*IFERROR($N$5:$N$2484*1,0)))&gt;0,ROUND($H1037*($N1037/SUMPRODUCT(MAX(($C$5:$C$2484=$C1037)*($D$5:$D$2484=$D1037)*($S$5:$S$2484=1)*IFERROR($N$5:$N$2484*1,0)))),4),0)))</f>
        <v/>
      </c>
      <c r="P1037" s="48" t="inlineStr">
        <is>
          <t>Autobus attrezzati con videosorveglianza / Autobus totali in offerta, incluse scorte</t>
        </is>
      </c>
      <c r="Q1037" s="57">
        <f>IF($A1037="","",$A1037&amp;"|"&amp;$C1037)</f>
        <v/>
      </c>
      <c r="R1037" s="57">
        <f>IF($A1037="","",$A1037&amp;"|"&amp;$C1037&amp;"|"&amp;$D1037)</f>
        <v/>
      </c>
      <c r="S1037" s="57">
        <f>IF($A1037="","",IFERROR(INDEX(Offerte!$D$2:$D$81,MATCH($Q1037,Offerte!$L$2:$L$81,0)),0))</f>
        <v/>
      </c>
      <c r="T1037" s="57">
        <f>IF($A1037="","",IFERROR(INDEX(Offerte!$G$2:$G$81,MATCH($Q1037,Offerte!$L$2:$L$81,0)),"NO"))</f>
        <v/>
      </c>
    </row>
    <row r="1038">
      <c r="A1038" s="48">
        <f>IF(Offerte!$A35="","",Offerte!$A35)</f>
        <v/>
      </c>
      <c r="B1038" s="48">
        <f>IF(Offerte!$A35="","",Offerte!$B35)</f>
        <v/>
      </c>
      <c r="C1038" s="48">
        <f>IF(Offerte!$A35="","",Offerte!$C35)</f>
        <v/>
      </c>
      <c r="D1038" s="48" t="inlineStr">
        <is>
          <t>C.2.2</t>
        </is>
      </c>
      <c r="E1038" s="48" t="inlineStr">
        <is>
          <t>C</t>
        </is>
      </c>
      <c r="F1038" s="48" t="inlineStr">
        <is>
          <t>T</t>
        </is>
      </c>
      <c r="G1038" s="48" t="inlineStr">
        <is>
          <t>tabular</t>
        </is>
      </c>
      <c r="H1038" s="48" t="n">
        <v>1</v>
      </c>
      <c r="I1038" s="48" t="inlineStr">
        <is>
          <t>Software video/audio analisi per situazioni di pericolo</t>
        </is>
      </c>
      <c r="J1038" s="73" t="n"/>
      <c r="K1038" s="73" t="n"/>
      <c r="L1038" s="73" t="n"/>
      <c r="M1038" s="73" t="n"/>
      <c r="N1038" s="57">
        <f>IF($A1038="","",IF(IFERROR(VALUE($M1038),0)=1,1,0))</f>
        <v/>
      </c>
      <c r="O1038" s="57">
        <f>IF($A1038="",0,IF(OR($S1038&lt;&gt;1,COUNTA($J1038:$M1038)=0),0,IF($N1038=1,$H1038,0)))</f>
        <v/>
      </c>
      <c r="P1038" s="48" t="inlineStr">
        <is>
          <t>sì/no</t>
        </is>
      </c>
      <c r="Q1038" s="57">
        <f>IF($A1038="","",$A1038&amp;"|"&amp;$C1038)</f>
        <v/>
      </c>
      <c r="R1038" s="57">
        <f>IF($A1038="","",$A1038&amp;"|"&amp;$C1038&amp;"|"&amp;$D1038)</f>
        <v/>
      </c>
      <c r="S1038" s="57">
        <f>IF($A1038="","",IFERROR(INDEX(Offerte!$D$2:$D$81,MATCH($Q1038,Offerte!$L$2:$L$81,0)),0))</f>
        <v/>
      </c>
      <c r="T1038" s="57">
        <f>IF($A1038="","",IFERROR(INDEX(Offerte!$G$2:$G$81,MATCH($Q1038,Offerte!$L$2:$L$81,0)),"NO"))</f>
        <v/>
      </c>
    </row>
    <row r="1039">
      <c r="A1039" s="48">
        <f>IF(Offerte!$A35="","",Offerte!$A35)</f>
        <v/>
      </c>
      <c r="B1039" s="48">
        <f>IF(Offerte!$A35="","",Offerte!$B35)</f>
        <v/>
      </c>
      <c r="C1039" s="48">
        <f>IF(Offerte!$A35="","",Offerte!$C35)</f>
        <v/>
      </c>
      <c r="D1039" s="48" t="inlineStr">
        <is>
          <t>C.2.3</t>
        </is>
      </c>
      <c r="E1039" s="48" t="inlineStr">
        <is>
          <t>C</t>
        </is>
      </c>
      <c r="F1039" s="48" t="inlineStr">
        <is>
          <t>T</t>
        </is>
      </c>
      <c r="G1039" s="48" t="inlineStr">
        <is>
          <t>tabular</t>
        </is>
      </c>
      <c r="H1039" s="48" t="n">
        <v>1</v>
      </c>
      <c r="I1039" s="48" t="inlineStr">
        <is>
          <t>Collegamento con centrale qualificata di pronto intervento</t>
        </is>
      </c>
      <c r="J1039" s="73" t="n"/>
      <c r="K1039" s="73" t="n"/>
      <c r="L1039" s="73" t="n"/>
      <c r="M1039" s="73" t="n"/>
      <c r="N1039" s="57">
        <f>IF($A1039="","",IF(IFERROR(VALUE($M1039),0)=1,1,0))</f>
        <v/>
      </c>
      <c r="O1039" s="57">
        <f>IF($A1039="",0,IF(OR($S1039&lt;&gt;1,COUNTA($J1039:$M1039)=0),0,IF($N1039=1,$H1039,0)))</f>
        <v/>
      </c>
      <c r="P1039" s="48" t="inlineStr">
        <is>
          <t>sì/no</t>
        </is>
      </c>
      <c r="Q1039" s="57">
        <f>IF($A1039="","",$A1039&amp;"|"&amp;$C1039)</f>
        <v/>
      </c>
      <c r="R1039" s="57">
        <f>IF($A1039="","",$A1039&amp;"|"&amp;$C1039&amp;"|"&amp;$D1039)</f>
        <v/>
      </c>
      <c r="S1039" s="57">
        <f>IF($A1039="","",IFERROR(INDEX(Offerte!$D$2:$D$81,MATCH($Q1039,Offerte!$L$2:$L$81,0)),0))</f>
        <v/>
      </c>
      <c r="T1039" s="57">
        <f>IF($A1039="","",IFERROR(INDEX(Offerte!$G$2:$G$81,MATCH($Q1039,Offerte!$L$2:$L$81,0)),"NO"))</f>
        <v/>
      </c>
    </row>
    <row r="1040">
      <c r="A1040" s="48">
        <f>IF(Offerte!$A35="","",Offerte!$A35)</f>
        <v/>
      </c>
      <c r="B1040" s="48">
        <f>IF(Offerte!$A35="","",Offerte!$B35)</f>
        <v/>
      </c>
      <c r="C1040" s="48">
        <f>IF(Offerte!$A35="","",Offerte!$C35)</f>
        <v/>
      </c>
      <c r="D1040" s="48" t="inlineStr">
        <is>
          <t>C.2.4</t>
        </is>
      </c>
      <c r="E1040" s="48" t="inlineStr">
        <is>
          <t>C</t>
        </is>
      </c>
      <c r="F1040" s="48" t="inlineStr">
        <is>
          <t>Q</t>
        </is>
      </c>
      <c r="G1040" s="48" t="inlineStr">
        <is>
          <t>higher</t>
        </is>
      </c>
      <c r="H1040" s="48" t="n">
        <v>1</v>
      </c>
      <c r="I1040" s="48" t="inlineStr">
        <is>
          <t>Tasso di copertura del servizio con dispositivi per la chiamata di emergenza del conducente</t>
        </is>
      </c>
      <c r="J1040" s="73" t="n"/>
      <c r="K1040" s="73" t="n"/>
      <c r="L1040" s="73" t="n"/>
      <c r="M1040" s="73" t="n"/>
      <c r="N1040" s="57">
        <f>IF($A1040="","",IFERROR(VALUE($K1040)/VALUE($L1040),IFERROR(VALUE($J1040),0)))</f>
        <v/>
      </c>
      <c r="O1040" s="57">
        <f>IF($A1040="",0,IF(OR($S1040&lt;&gt;1,COUNTA($J1040:$M1040)=0),0,IF(SUMPRODUCT(MAX(($C$5:$C$2484=$C1040)*($D$5:$D$2484=$D1040)*($S$5:$S$2484=1)*IFERROR($N$5:$N$2484*1,0)))&gt;0,ROUND($H1040*($N1040/SUMPRODUCT(MAX(($C$5:$C$2484=$C1040)*($D$5:$D$2484=$D1040)*($S$5:$S$2484=1)*IFERROR($N$5:$N$2484*1,0)))),4),0)))</f>
        <v/>
      </c>
      <c r="P1040" s="48" t="inlineStr">
        <is>
          <t>Autobus attrezzati con chiamata di emergenza / Autobus totali in offerta, incluse scorte</t>
        </is>
      </c>
      <c r="Q1040" s="57">
        <f>IF($A1040="","",$A1040&amp;"|"&amp;$C1040)</f>
        <v/>
      </c>
      <c r="R1040" s="57">
        <f>IF($A1040="","",$A1040&amp;"|"&amp;$C1040&amp;"|"&amp;$D1040)</f>
        <v/>
      </c>
      <c r="S1040" s="57">
        <f>IF($A1040="","",IFERROR(INDEX(Offerte!$D$2:$D$81,MATCH($Q1040,Offerte!$L$2:$L$81,0)),0))</f>
        <v/>
      </c>
      <c r="T1040" s="57">
        <f>IF($A1040="","",IFERROR(INDEX(Offerte!$G$2:$G$81,MATCH($Q1040,Offerte!$L$2:$L$81,0)),"NO"))</f>
        <v/>
      </c>
    </row>
    <row r="1041">
      <c r="A1041" s="48">
        <f>IF(Offerte!$A35="","",Offerte!$A35)</f>
        <v/>
      </c>
      <c r="B1041" s="48">
        <f>IF(Offerte!$A35="","",Offerte!$B35)</f>
        <v/>
      </c>
      <c r="C1041" s="48">
        <f>IF(Offerte!$A35="","",Offerte!$C35)</f>
        <v/>
      </c>
      <c r="D1041" s="48" t="inlineStr">
        <is>
          <t>C.3.1</t>
        </is>
      </c>
      <c r="E1041" s="48" t="inlineStr">
        <is>
          <t>C</t>
        </is>
      </c>
      <c r="F1041" s="48" t="inlineStr">
        <is>
          <t>Q</t>
        </is>
      </c>
      <c r="G1041" s="48" t="inlineStr">
        <is>
          <t>higher</t>
        </is>
      </c>
      <c r="H1041" s="48" t="n">
        <v>2</v>
      </c>
      <c r="I1041" s="48" t="inlineStr">
        <is>
          <t>Tasso di copertura del servizio con dispositivi di informazione dinamica a bordo mezzo</t>
        </is>
      </c>
      <c r="J1041" s="73" t="n"/>
      <c r="K1041" s="73" t="n"/>
      <c r="L1041" s="73" t="n"/>
      <c r="M1041" s="73" t="n"/>
      <c r="N1041" s="57">
        <f>IF($A1041="","",IFERROR(VALUE($K1041)/VALUE($L1041),IFERROR(VALUE($J1041),0)))</f>
        <v/>
      </c>
      <c r="O1041" s="57">
        <f>IF($A1041="",0,IF(OR($S1041&lt;&gt;1,COUNTA($J1041:$M1041)=0),0,IF(SUMPRODUCT(MAX(($C$5:$C$2484=$C1041)*($D$5:$D$2484=$D1041)*($S$5:$S$2484=1)*IFERROR($N$5:$N$2484*1,0)))&gt;0,ROUND($H1041*($N1041/SUMPRODUCT(MAX(($C$5:$C$2484=$C1041)*($D$5:$D$2484=$D1041)*($S$5:$S$2484=1)*IFERROR($N$5:$N$2484*1,0)))),4),0)))</f>
        <v/>
      </c>
      <c r="P1041" s="48" t="inlineStr">
        <is>
          <t>Autobus con monitor e indicatori vocali / Autobus totali in offerta, incluse scorte</t>
        </is>
      </c>
      <c r="Q1041" s="57">
        <f>IF($A1041="","",$A1041&amp;"|"&amp;$C1041)</f>
        <v/>
      </c>
      <c r="R1041" s="57">
        <f>IF($A1041="","",$A1041&amp;"|"&amp;$C1041&amp;"|"&amp;$D1041)</f>
        <v/>
      </c>
      <c r="S1041" s="57">
        <f>IF($A1041="","",IFERROR(INDEX(Offerte!$D$2:$D$81,MATCH($Q1041,Offerte!$L$2:$L$81,0)),0))</f>
        <v/>
      </c>
      <c r="T1041" s="57">
        <f>IF($A1041="","",IFERROR(INDEX(Offerte!$G$2:$G$81,MATCH($Q1041,Offerte!$L$2:$L$81,0)),"NO"))</f>
        <v/>
      </c>
    </row>
    <row r="1042">
      <c r="A1042" s="48">
        <f>IF(Offerte!$A35="","",Offerte!$A35)</f>
        <v/>
      </c>
      <c r="B1042" s="48">
        <f>IF(Offerte!$A35="","",Offerte!$B35)</f>
        <v/>
      </c>
      <c r="C1042" s="48">
        <f>IF(Offerte!$A35="","",Offerte!$C35)</f>
        <v/>
      </c>
      <c r="D1042" s="48" t="inlineStr">
        <is>
          <t>C.3.2</t>
        </is>
      </c>
      <c r="E1042" s="48" t="inlineStr">
        <is>
          <t>C</t>
        </is>
      </c>
      <c r="F1042" s="48" t="inlineStr">
        <is>
          <t>T</t>
        </is>
      </c>
      <c r="G1042" s="48" t="inlineStr">
        <is>
          <t>tabular</t>
        </is>
      </c>
      <c r="H1042" s="48" t="n">
        <v>2</v>
      </c>
      <c r="I1042" s="48" t="inlineStr">
        <is>
          <t>Informazioni a bordo su coincidenze ai nodi</t>
        </is>
      </c>
      <c r="J1042" s="73" t="n"/>
      <c r="K1042" s="73" t="n"/>
      <c r="L1042" s="73" t="n"/>
      <c r="M1042" s="73" t="n"/>
      <c r="N1042" s="57">
        <f>IF($A1042="","",IF(IFERROR(VALUE($M1042),0)=1,1,0))</f>
        <v/>
      </c>
      <c r="O1042" s="57">
        <f>IF($A1042="",0,IF(OR($S1042&lt;&gt;1,COUNTA($J1042:$M1042)=0),0,IF(AND($N1042=1,IFERROR(SUMIFS($N$5:$N$2484,$Q$5:$Q$2484,$Q1042,$D$5:$D$2484,"C.3.1"),0)&gt;=0.5),$H1042,0)))</f>
        <v/>
      </c>
      <c r="P1042" s="48" t="inlineStr">
        <is>
          <t>Dipende da C.3.1 &gt;= 0.5</t>
        </is>
      </c>
      <c r="Q1042" s="57">
        <f>IF($A1042="","",$A1042&amp;"|"&amp;$C1042)</f>
        <v/>
      </c>
      <c r="R1042" s="57">
        <f>IF($A1042="","",$A1042&amp;"|"&amp;$C1042&amp;"|"&amp;$D1042)</f>
        <v/>
      </c>
      <c r="S1042" s="57">
        <f>IF($A1042="","",IFERROR(INDEX(Offerte!$D$2:$D$81,MATCH($Q1042,Offerte!$L$2:$L$81,0)),0))</f>
        <v/>
      </c>
      <c r="T1042" s="57">
        <f>IF($A1042="","",IFERROR(INDEX(Offerte!$G$2:$G$81,MATCH($Q1042,Offerte!$L$2:$L$81,0)),"NO"))</f>
        <v/>
      </c>
    </row>
    <row r="1043">
      <c r="A1043" s="48">
        <f>IF(Offerte!$A35="","",Offerte!$A35)</f>
        <v/>
      </c>
      <c r="B1043" s="48">
        <f>IF(Offerte!$A35="","",Offerte!$B35)</f>
        <v/>
      </c>
      <c r="C1043" s="48">
        <f>IF(Offerte!$A35="","",Offerte!$C35)</f>
        <v/>
      </c>
      <c r="D1043" s="48" t="inlineStr">
        <is>
          <t>D.1.1</t>
        </is>
      </c>
      <c r="E1043" s="48" t="inlineStr">
        <is>
          <t>D</t>
        </is>
      </c>
      <c r="F1043" s="48" t="inlineStr">
        <is>
          <t>Q</t>
        </is>
      </c>
      <c r="G1043" s="48" t="inlineStr">
        <is>
          <t>higher</t>
        </is>
      </c>
      <c r="H1043" s="48" t="n">
        <v>3</v>
      </c>
      <c r="I1043" s="48" t="inlineStr">
        <is>
          <t>Installazione di pensiline</t>
        </is>
      </c>
      <c r="J1043" s="73" t="n"/>
      <c r="K1043" s="73" t="n"/>
      <c r="L1043" s="73" t="n"/>
      <c r="M1043" s="73" t="n"/>
      <c r="N1043" s="57">
        <f>IF($A1043="","",IFERROR(VALUE($J1043),0))</f>
        <v/>
      </c>
      <c r="O1043" s="57">
        <f>IF($A1043="",0,IF(OR($S1043&lt;&gt;1,COUNTA($J1043:$M1043)=0),0,IF(SUMPRODUCT(MAX(($C$5:$C$2484=$C1043)*($D$5:$D$2484=$D1043)*($S$5:$S$2484=1)*IFERROR($N$5:$N$2484*1,0)))&gt;0,ROUND($H1043*($N1043/SUMPRODUCT(MAX(($C$5:$C$2484=$C1043)*($D$5:$D$2484=$D1043)*($S$5:$S$2484=1)*IFERROR($N$5:$N$2484*1,0)))),4),0)))</f>
        <v/>
      </c>
      <c r="P1043" s="48" t="inlineStr">
        <is>
          <t>fermate</t>
        </is>
      </c>
      <c r="Q1043" s="57">
        <f>IF($A1043="","",$A1043&amp;"|"&amp;$C1043)</f>
        <v/>
      </c>
      <c r="R1043" s="57">
        <f>IF($A1043="","",$A1043&amp;"|"&amp;$C1043&amp;"|"&amp;$D1043)</f>
        <v/>
      </c>
      <c r="S1043" s="57">
        <f>IF($A1043="","",IFERROR(INDEX(Offerte!$D$2:$D$81,MATCH($Q1043,Offerte!$L$2:$L$81,0)),0))</f>
        <v/>
      </c>
      <c r="T1043" s="57">
        <f>IF($A1043="","",IFERROR(INDEX(Offerte!$G$2:$G$81,MATCH($Q1043,Offerte!$L$2:$L$81,0)),"NO"))</f>
        <v/>
      </c>
    </row>
    <row r="1044">
      <c r="A1044" s="48">
        <f>IF(Offerte!$A35="","",Offerte!$A35)</f>
        <v/>
      </c>
      <c r="B1044" s="48">
        <f>IF(Offerte!$A35="","",Offerte!$B35)</f>
        <v/>
      </c>
      <c r="C1044" s="48">
        <f>IF(Offerte!$A35="","",Offerte!$C35)</f>
        <v/>
      </c>
      <c r="D1044" s="48" t="inlineStr">
        <is>
          <t>D.1.2</t>
        </is>
      </c>
      <c r="E1044" s="48" t="inlineStr">
        <is>
          <t>D</t>
        </is>
      </c>
      <c r="F1044" s="48" t="inlineStr">
        <is>
          <t>Q</t>
        </is>
      </c>
      <c r="G1044" s="48" t="inlineStr">
        <is>
          <t>higher</t>
        </is>
      </c>
      <c r="H1044" s="48" t="n">
        <v>3</v>
      </c>
      <c r="I1044" s="48" t="inlineStr">
        <is>
          <t>Installazione di paline di fermata conformi alla DGR 581/2023</t>
        </is>
      </c>
      <c r="J1044" s="73" t="n"/>
      <c r="K1044" s="73" t="n"/>
      <c r="L1044" s="73" t="n"/>
      <c r="M1044" s="73" t="n"/>
      <c r="N1044" s="57">
        <f>IF($A1044="","",IFERROR(VALUE($J1044),0))</f>
        <v/>
      </c>
      <c r="O1044" s="57">
        <f>IF($A1044="",0,IF(OR($S1044&lt;&gt;1,COUNTA($J1044:$M1044)=0),0,IF(SUMPRODUCT(MAX(($C$5:$C$2484=$C1044)*($D$5:$D$2484=$D1044)*($S$5:$S$2484=1)*IFERROR($N$5:$N$2484*1,0)))&gt;0,ROUND($H1044*($N1044/SUMPRODUCT(MAX(($C$5:$C$2484=$C1044)*($D$5:$D$2484=$D1044)*($S$5:$S$2484=1)*IFERROR($N$5:$N$2484*1,0)))),4),0)))</f>
        <v/>
      </c>
      <c r="P1044" s="48" t="inlineStr">
        <is>
          <t>fermate</t>
        </is>
      </c>
      <c r="Q1044" s="57">
        <f>IF($A1044="","",$A1044&amp;"|"&amp;$C1044)</f>
        <v/>
      </c>
      <c r="R1044" s="57">
        <f>IF($A1044="","",$A1044&amp;"|"&amp;$C1044&amp;"|"&amp;$D1044)</f>
        <v/>
      </c>
      <c r="S1044" s="57">
        <f>IF($A1044="","",IFERROR(INDEX(Offerte!$D$2:$D$81,MATCH($Q1044,Offerte!$L$2:$L$81,0)),0))</f>
        <v/>
      </c>
      <c r="T1044" s="57">
        <f>IF($A1044="","",IFERROR(INDEX(Offerte!$G$2:$G$81,MATCH($Q1044,Offerte!$L$2:$L$81,0)),"NO"))</f>
        <v/>
      </c>
    </row>
    <row r="1045">
      <c r="A1045" s="48">
        <f>IF(Offerte!$A35="","",Offerte!$A35)</f>
        <v/>
      </c>
      <c r="B1045" s="48">
        <f>IF(Offerte!$A35="","",Offerte!$B35)</f>
        <v/>
      </c>
      <c r="C1045" s="48">
        <f>IF(Offerte!$A35="","",Offerte!$C35)</f>
        <v/>
      </c>
      <c r="D1045" s="48" t="inlineStr">
        <is>
          <t>D.1.3</t>
        </is>
      </c>
      <c r="E1045" s="48" t="inlineStr">
        <is>
          <t>D</t>
        </is>
      </c>
      <c r="F1045" s="48" t="inlineStr">
        <is>
          <t>Q</t>
        </is>
      </c>
      <c r="G1045" s="48" t="inlineStr">
        <is>
          <t>higher</t>
        </is>
      </c>
      <c r="H1045" s="48" t="n">
        <v>2</v>
      </c>
      <c r="I1045" s="48" t="inlineStr">
        <is>
          <t>Display informativi connessi alle fermate</t>
        </is>
      </c>
      <c r="J1045" s="73" t="n"/>
      <c r="K1045" s="73" t="n"/>
      <c r="L1045" s="73" t="n"/>
      <c r="M1045" s="73" t="n"/>
      <c r="N1045" s="57">
        <f>IF($A1045="","",IFERROR(VALUE($J1045),0))</f>
        <v/>
      </c>
      <c r="O1045" s="57">
        <f>IF($A1045="",0,IF(OR($S1045&lt;&gt;1,COUNTA($J1045:$M1045)=0),0,IF(SUMPRODUCT(MAX(($C$5:$C$2484=$C1045)*($D$5:$D$2484=$D1045)*($S$5:$S$2484=1)*IFERROR($N$5:$N$2484*1,0)))&gt;0,ROUND($H1045*($N1045/SUMPRODUCT(MAX(($C$5:$C$2484=$C1045)*($D$5:$D$2484=$D1045)*($S$5:$S$2484=1)*IFERROR($N$5:$N$2484*1,0)))),4),0)))</f>
        <v/>
      </c>
      <c r="P1045" s="48" t="inlineStr">
        <is>
          <t>fermate</t>
        </is>
      </c>
      <c r="Q1045" s="57">
        <f>IF($A1045="","",$A1045&amp;"|"&amp;$C1045)</f>
        <v/>
      </c>
      <c r="R1045" s="57">
        <f>IF($A1045="","",$A1045&amp;"|"&amp;$C1045&amp;"|"&amp;$D1045)</f>
        <v/>
      </c>
      <c r="S1045" s="57">
        <f>IF($A1045="","",IFERROR(INDEX(Offerte!$D$2:$D$81,MATCH($Q1045,Offerte!$L$2:$L$81,0)),0))</f>
        <v/>
      </c>
      <c r="T1045" s="57">
        <f>IF($A1045="","",IFERROR(INDEX(Offerte!$G$2:$G$81,MATCH($Q1045,Offerte!$L$2:$L$81,0)),"NO"))</f>
        <v/>
      </c>
    </row>
    <row r="1046">
      <c r="A1046" s="48">
        <f>IF(Offerte!$A35="","",Offerte!$A35)</f>
        <v/>
      </c>
      <c r="B1046" s="48">
        <f>IF(Offerte!$A35="","",Offerte!$B35)</f>
        <v/>
      </c>
      <c r="C1046" s="48">
        <f>IF(Offerte!$A35="","",Offerte!$C35)</f>
        <v/>
      </c>
      <c r="D1046" s="48" t="inlineStr">
        <is>
          <t>D.2.1</t>
        </is>
      </c>
      <c r="E1046" s="48" t="inlineStr">
        <is>
          <t>D</t>
        </is>
      </c>
      <c r="F1046" s="48" t="inlineStr">
        <is>
          <t>Q</t>
        </is>
      </c>
      <c r="G1046" s="48" t="inlineStr">
        <is>
          <t>higher</t>
        </is>
      </c>
      <c r="H1046" s="48" t="n">
        <v>2</v>
      </c>
      <c r="I1046" s="48" t="inlineStr">
        <is>
          <t>Segnali tattili Loges-Vet-Evolution</t>
        </is>
      </c>
      <c r="J1046" s="73" t="n"/>
      <c r="K1046" s="73" t="n"/>
      <c r="L1046" s="73" t="n"/>
      <c r="M1046" s="73" t="n"/>
      <c r="N1046" s="57">
        <f>IF($A1046="","",IFERROR(VALUE($J1046),0))</f>
        <v/>
      </c>
      <c r="O1046" s="57">
        <f>IF($A1046="",0,IF(OR($S1046&lt;&gt;1,COUNTA($J1046:$M1046)=0),0,IF(SUMPRODUCT(MAX(($C$5:$C$2484=$C1046)*($D$5:$D$2484=$D1046)*($S$5:$S$2484=1)*IFERROR($N$5:$N$2484*1,0)))&gt;0,ROUND($H1046*($N1046/SUMPRODUCT(MAX(($C$5:$C$2484=$C1046)*($D$5:$D$2484=$D1046)*($S$5:$S$2484=1)*IFERROR($N$5:$N$2484*1,0)))),4),0)))</f>
        <v/>
      </c>
      <c r="P1046" s="48" t="inlineStr">
        <is>
          <t>fermate</t>
        </is>
      </c>
      <c r="Q1046" s="57">
        <f>IF($A1046="","",$A1046&amp;"|"&amp;$C1046)</f>
        <v/>
      </c>
      <c r="R1046" s="57">
        <f>IF($A1046="","",$A1046&amp;"|"&amp;$C1046&amp;"|"&amp;$D1046)</f>
        <v/>
      </c>
      <c r="S1046" s="57">
        <f>IF($A1046="","",IFERROR(INDEX(Offerte!$D$2:$D$81,MATCH($Q1046,Offerte!$L$2:$L$81,0)),0))</f>
        <v/>
      </c>
      <c r="T1046" s="57">
        <f>IF($A1046="","",IFERROR(INDEX(Offerte!$G$2:$G$81,MATCH($Q1046,Offerte!$L$2:$L$81,0)),"NO"))</f>
        <v/>
      </c>
    </row>
    <row r="1047">
      <c r="A1047" s="48">
        <f>IF(Offerte!$A35="","",Offerte!$A35)</f>
        <v/>
      </c>
      <c r="B1047" s="48">
        <f>IF(Offerte!$A35="","",Offerte!$B35)</f>
        <v/>
      </c>
      <c r="C1047" s="48">
        <f>IF(Offerte!$A35="","",Offerte!$C35)</f>
        <v/>
      </c>
      <c r="D1047" s="48" t="inlineStr">
        <is>
          <t>E.1.1</t>
        </is>
      </c>
      <c r="E1047" s="48" t="inlineStr">
        <is>
          <t>E</t>
        </is>
      </c>
      <c r="F1047" s="48" t="inlineStr">
        <is>
          <t>T</t>
        </is>
      </c>
      <c r="G1047" s="48" t="inlineStr">
        <is>
          <t>tabular</t>
        </is>
      </c>
      <c r="H1047" s="48" t="n">
        <v>2</v>
      </c>
      <c r="I1047" s="48" t="inlineStr">
        <is>
          <t>Mobile app con travel planner PRM</t>
        </is>
      </c>
      <c r="J1047" s="73" t="n"/>
      <c r="K1047" s="73" t="n"/>
      <c r="L1047" s="73" t="n"/>
      <c r="M1047" s="73" t="n"/>
      <c r="N1047" s="57">
        <f>IF($A1047="","",IF(IFERROR(VALUE($M1047),0)=1,1,0))</f>
        <v/>
      </c>
      <c r="O1047" s="57">
        <f>IF($A1047="",0,IF(OR($S1047&lt;&gt;1,COUNTA($J1047:$M1047)=0),0,IF($N1047=1,$H1047,0)))</f>
        <v/>
      </c>
      <c r="P1047" s="48" t="inlineStr">
        <is>
          <t>sì/no</t>
        </is>
      </c>
      <c r="Q1047" s="57">
        <f>IF($A1047="","",$A1047&amp;"|"&amp;$C1047)</f>
        <v/>
      </c>
      <c r="R1047" s="57">
        <f>IF($A1047="","",$A1047&amp;"|"&amp;$C1047&amp;"|"&amp;$D1047)</f>
        <v/>
      </c>
      <c r="S1047" s="57">
        <f>IF($A1047="","",IFERROR(INDEX(Offerte!$D$2:$D$81,MATCH($Q1047,Offerte!$L$2:$L$81,0)),0))</f>
        <v/>
      </c>
      <c r="T1047" s="57">
        <f>IF($A1047="","",IFERROR(INDEX(Offerte!$G$2:$G$81,MATCH($Q1047,Offerte!$L$2:$L$81,0)),"NO"))</f>
        <v/>
      </c>
    </row>
    <row r="1048">
      <c r="A1048" s="48">
        <f>IF(Offerte!$A35="","",Offerte!$A35)</f>
        <v/>
      </c>
      <c r="B1048" s="48">
        <f>IF(Offerte!$A35="","",Offerte!$B35)</f>
        <v/>
      </c>
      <c r="C1048" s="48">
        <f>IF(Offerte!$A35="","",Offerte!$C35)</f>
        <v/>
      </c>
      <c r="D1048" s="48" t="inlineStr">
        <is>
          <t>E.2.1</t>
        </is>
      </c>
      <c r="E1048" s="48" t="inlineStr">
        <is>
          <t>E</t>
        </is>
      </c>
      <c r="F1048" s="48" t="inlineStr">
        <is>
          <t>D</t>
        </is>
      </c>
      <c r="G1048" s="48" t="inlineStr">
        <is>
          <t>discretionary</t>
        </is>
      </c>
      <c r="H1048" s="48" t="n">
        <v>2</v>
      </c>
      <c r="I1048" s="48" t="inlineStr">
        <is>
          <t>Altre azioni informative e rapporti con gli utenti</t>
        </is>
      </c>
      <c r="J1048" s="73" t="n"/>
      <c r="K1048" s="73" t="n"/>
      <c r="L1048" s="73" t="n"/>
      <c r="M1048" s="73" t="n"/>
      <c r="N1048" s="57">
        <f>IF($A1048="","",MAX(0,MIN(1,IFERROR(VALUE($M1048),0))))</f>
        <v/>
      </c>
      <c r="O1048" s="57">
        <f>IF($A1048="",0,IF(OR($S1048&lt;&gt;1,COUNTA($J1048:$M1048)=0),0,IF(SUMPRODUCT(MAX(($C$5:$C$2484=$C1048)*($D$5:$D$2484=$D1048)*($S$5:$S$2484=1)*IFERROR($N$5:$N$2484*1,0)))&gt;0,ROUND($H1048*($N1048/SUMPRODUCT(MAX(($C$5:$C$2484=$C1048)*($D$5:$D$2484=$D1048)*($S$5:$S$2484=1)*IFERROR($N$5:$N$2484*1,0)))),4),0)))</f>
        <v/>
      </c>
      <c r="P1048" s="48" t="inlineStr">
        <is>
          <t>coeff.</t>
        </is>
      </c>
      <c r="Q1048" s="57">
        <f>IF($A1048="","",$A1048&amp;"|"&amp;$C1048)</f>
        <v/>
      </c>
      <c r="R1048" s="57">
        <f>IF($A1048="","",$A1048&amp;"|"&amp;$C1048&amp;"|"&amp;$D1048)</f>
        <v/>
      </c>
      <c r="S1048" s="57">
        <f>IF($A1048="","",IFERROR(INDEX(Offerte!$D$2:$D$81,MATCH($Q1048,Offerte!$L$2:$L$81,0)),0))</f>
        <v/>
      </c>
      <c r="T1048" s="57">
        <f>IF($A1048="","",IFERROR(INDEX(Offerte!$G$2:$G$81,MATCH($Q1048,Offerte!$L$2:$L$81,0)),"NO"))</f>
        <v/>
      </c>
    </row>
    <row r="1049">
      <c r="A1049" s="48">
        <f>IF(Offerte!$A35="","",Offerte!$A35)</f>
        <v/>
      </c>
      <c r="B1049" s="48">
        <f>IF(Offerte!$A35="","",Offerte!$B35)</f>
        <v/>
      </c>
      <c r="C1049" s="48">
        <f>IF(Offerte!$A35="","",Offerte!$C35)</f>
        <v/>
      </c>
      <c r="D1049" s="48" t="inlineStr">
        <is>
          <t>F.1.1</t>
        </is>
      </c>
      <c r="E1049" s="48" t="inlineStr">
        <is>
          <t>F</t>
        </is>
      </c>
      <c r="F1049" s="48" t="inlineStr">
        <is>
          <t>Q</t>
        </is>
      </c>
      <c r="G1049" s="48" t="inlineStr">
        <is>
          <t>lower</t>
        </is>
      </c>
      <c r="H1049" s="48" t="n">
        <v>7</v>
      </c>
      <c r="I1049" s="48" t="inlineStr">
        <is>
          <t>Performance ambientali del parco mezzi adibito al servizio - I_CEA</t>
        </is>
      </c>
      <c r="J1049" s="73" t="n"/>
      <c r="K1049" s="73" t="n"/>
      <c r="L1049" s="73" t="n"/>
      <c r="M1049" s="73" t="n"/>
      <c r="N1049" s="57">
        <f>IF($A1049="","",IFERROR(VALUE($J1049),0))</f>
        <v/>
      </c>
      <c r="O1049" s="57">
        <f>IF($A1049="",0,IF(OR($S1049&lt;&gt;1,COUNTA($J1049:$M1049)=0),0,IF(AND(IFERROR(AGGREGATE(15,6,$N$5:$N$2484/(($C$5:$C$2484=$C1049)*($D$5:$D$2484=$D1049)*($S$5:$S$2484=1)*($N$5:$N$2484&gt;0)),1),0)&gt;0,$N1049&gt;0),ROUND($H1049*(IFERROR(AGGREGATE(15,6,$N$5:$N$2484/(($C$5:$C$2484=$C1049)*($D$5:$D$2484=$D1049)*($S$5:$S$2484=1)*($N$5:$N$2484&gt;0)),1),0)/$N1049),4),0)))</f>
        <v/>
      </c>
      <c r="P1049" s="48" t="inlineStr">
        <is>
          <t>indice</t>
        </is>
      </c>
      <c r="Q1049" s="57">
        <f>IF($A1049="","",$A1049&amp;"|"&amp;$C1049)</f>
        <v/>
      </c>
      <c r="R1049" s="57">
        <f>IF($A1049="","",$A1049&amp;"|"&amp;$C1049&amp;"|"&amp;$D1049)</f>
        <v/>
      </c>
      <c r="S1049" s="57">
        <f>IF($A1049="","",IFERROR(INDEX(Offerte!$D$2:$D$81,MATCH($Q1049,Offerte!$L$2:$L$81,0)),0))</f>
        <v/>
      </c>
      <c r="T1049" s="57">
        <f>IF($A1049="","",IFERROR(INDEX(Offerte!$G$2:$G$81,MATCH($Q1049,Offerte!$L$2:$L$81,0)),"NO"))</f>
        <v/>
      </c>
    </row>
    <row r="1050">
      <c r="A1050" s="48">
        <f>IF(Offerte!$A35="","",Offerte!$A35)</f>
        <v/>
      </c>
      <c r="B1050" s="48">
        <f>IF(Offerte!$A35="","",Offerte!$B35)</f>
        <v/>
      </c>
      <c r="C1050" s="48">
        <f>IF(Offerte!$A35="","",Offerte!$C35)</f>
        <v/>
      </c>
      <c r="D1050" s="48" t="inlineStr">
        <is>
          <t>F.2.1</t>
        </is>
      </c>
      <c r="E1050" s="48" t="inlineStr">
        <is>
          <t>F</t>
        </is>
      </c>
      <c r="F1050" s="48" t="inlineStr">
        <is>
          <t>Q</t>
        </is>
      </c>
      <c r="G1050" s="48" t="inlineStr">
        <is>
          <t>higher</t>
        </is>
      </c>
      <c r="H1050" s="48" t="n">
        <v>2</v>
      </c>
      <c r="I1050" s="48" t="inlineStr">
        <is>
          <t>Tasso di copertura del servizio con dispositivi ECO-DRIVER</t>
        </is>
      </c>
      <c r="J1050" s="73" t="n"/>
      <c r="K1050" s="73" t="n"/>
      <c r="L1050" s="73" t="n"/>
      <c r="M1050" s="73" t="n"/>
      <c r="N1050" s="57">
        <f>IF($A1050="","",IFERROR(VALUE($K1050)/VALUE($L1050),IFERROR(VALUE($J1050),0)))</f>
        <v/>
      </c>
      <c r="O1050" s="57">
        <f>IF($A1050="",0,IF(OR($S1050&lt;&gt;1,COUNTA($J1050:$M1050)=0),0,IF(SUMPRODUCT(MAX(($C$5:$C$2484=$C1050)*($D$5:$D$2484=$D1050)*($S$5:$S$2484=1)*IFERROR($N$5:$N$2484*1,0)))&gt;0,ROUND($H1050*($N1050/SUMPRODUCT(MAX(($C$5:$C$2484=$C1050)*($D$5:$D$2484=$D1050)*($S$5:$S$2484=1)*IFERROR($N$5:$N$2484*1,0)))),4),0)))</f>
        <v/>
      </c>
      <c r="P1050" s="48" t="inlineStr">
        <is>
          <t>Autobus attrezzati con dispositivi ECO-DRIVER / Autobus totali in offerta, incluse scorte</t>
        </is>
      </c>
      <c r="Q1050" s="57">
        <f>IF($A1050="","",$A1050&amp;"|"&amp;$C1050)</f>
        <v/>
      </c>
      <c r="R1050" s="57">
        <f>IF($A1050="","",$A1050&amp;"|"&amp;$C1050&amp;"|"&amp;$D1050)</f>
        <v/>
      </c>
      <c r="S1050" s="57">
        <f>IF($A1050="","",IFERROR(INDEX(Offerte!$D$2:$D$81,MATCH($Q1050,Offerte!$L$2:$L$81,0)),0))</f>
        <v/>
      </c>
      <c r="T1050" s="57">
        <f>IF($A1050="","",IFERROR(INDEX(Offerte!$G$2:$G$81,MATCH($Q1050,Offerte!$L$2:$L$81,0)),"NO"))</f>
        <v/>
      </c>
    </row>
    <row r="1051">
      <c r="A1051" s="48">
        <f>IF(Offerte!$A35="","",Offerte!$A35)</f>
        <v/>
      </c>
      <c r="B1051" s="48">
        <f>IF(Offerte!$A35="","",Offerte!$B35)</f>
        <v/>
      </c>
      <c r="C1051" s="48">
        <f>IF(Offerte!$A35="","",Offerte!$C35)</f>
        <v/>
      </c>
      <c r="D1051" s="48" t="inlineStr">
        <is>
          <t>F.3.1</t>
        </is>
      </c>
      <c r="E1051" s="48" t="inlineStr">
        <is>
          <t>F</t>
        </is>
      </c>
      <c r="F1051" s="48" t="inlineStr">
        <is>
          <t>Q</t>
        </is>
      </c>
      <c r="G1051" s="48" t="inlineStr">
        <is>
          <t>higher</t>
        </is>
      </c>
      <c r="H1051" s="48" t="n">
        <v>2</v>
      </c>
      <c r="I1051" s="48" t="inlineStr">
        <is>
          <t>Autoproduzione consumi elettrici per trazione</t>
        </is>
      </c>
      <c r="J1051" s="73" t="n"/>
      <c r="K1051" s="73" t="n"/>
      <c r="L1051" s="73" t="n"/>
      <c r="M1051" s="73" t="n"/>
      <c r="N1051" s="57">
        <f>IF($A1051="","",IFERROR(VALUE($J1051),0))</f>
        <v/>
      </c>
      <c r="O1051" s="57">
        <f>IF($A1051="",0,IF(OR($S1051&lt;&gt;1,COUNTA($J1051:$M1051)=0),0,IF(SUMPRODUCT(MAX(($C$5:$C$2484=$C1051)*($D$5:$D$2484=$D1051)*($S$5:$S$2484=1)*IFERROR($N$5:$N$2484*1,0)))&gt;0,ROUND($H1051*($N1051/SUMPRODUCT(MAX(($C$5:$C$2484=$C1051)*($D$5:$D$2484=$D1051)*($S$5:$S$2484=1)*IFERROR($N$5:$N$2484*1,0)))),4),0)))</f>
        <v/>
      </c>
      <c r="P1051" s="48" t="inlineStr">
        <is>
          <t>kWh/anno</t>
        </is>
      </c>
      <c r="Q1051" s="57">
        <f>IF($A1051="","",$A1051&amp;"|"&amp;$C1051)</f>
        <v/>
      </c>
      <c r="R1051" s="57">
        <f>IF($A1051="","",$A1051&amp;"|"&amp;$C1051&amp;"|"&amp;$D1051)</f>
        <v/>
      </c>
      <c r="S1051" s="57">
        <f>IF($A1051="","",IFERROR(INDEX(Offerte!$D$2:$D$81,MATCH($Q1051,Offerte!$L$2:$L$81,0)),0))</f>
        <v/>
      </c>
      <c r="T1051" s="57">
        <f>IF($A1051="","",IFERROR(INDEX(Offerte!$G$2:$G$81,MATCH($Q1051,Offerte!$L$2:$L$81,0)),"NO"))</f>
        <v/>
      </c>
    </row>
    <row r="1052">
      <c r="A1052" s="48">
        <f>IF(Offerte!$A35="","",Offerte!$A35)</f>
        <v/>
      </c>
      <c r="B1052" s="48">
        <f>IF(Offerte!$A35="","",Offerte!$B35)</f>
        <v/>
      </c>
      <c r="C1052" s="48">
        <f>IF(Offerte!$A35="","",Offerte!$C35)</f>
        <v/>
      </c>
      <c r="D1052" s="48" t="inlineStr">
        <is>
          <t>F.4.1</t>
        </is>
      </c>
      <c r="E1052" s="48" t="inlineStr">
        <is>
          <t>F</t>
        </is>
      </c>
      <c r="F1052" s="48" t="inlineStr">
        <is>
          <t>Q</t>
        </is>
      </c>
      <c r="G1052" s="48" t="inlineStr">
        <is>
          <t>soil</t>
        </is>
      </c>
      <c r="H1052" s="48" t="n">
        <v>2</v>
      </c>
      <c r="I1052" s="48" t="inlineStr">
        <is>
          <t>Indice di consumo di suolo</t>
        </is>
      </c>
      <c r="J1052" s="73" t="n"/>
      <c r="K1052" s="73" t="n"/>
      <c r="L1052" s="73" t="n"/>
      <c r="M1052" s="73" t="n"/>
      <c r="N1052" s="57">
        <f>IF($A1052="","",IFERROR(VALUE($J1052),0))</f>
        <v/>
      </c>
      <c r="O1052" s="57">
        <f>IF($A1052="",0,IF(OR($S1052&lt;&gt;1,COUNTA($J1052:$M1052)=0),0,IF($N1052&lt;=0,$H1052,IF(SUMPRODUCT(MAX(($C$5:$C$2484=$C1052)*($D$5:$D$2484=$D1052)*($S$5:$S$2484=1)*IFERROR($N$5:$N$2484*1,0)))&gt;0,ROUND($H1052*((SUMPRODUCT(MAX(($C$5:$C$2484=$C1052)*($D$5:$D$2484=$D1052)*($S$5:$S$2484=1)*IFERROR($N$5:$N$2484*1,0)))-$N1052)/SUMPRODUCT(MAX(($C$5:$C$2484=$C1052)*($D$5:$D$2484=$D1052)*($S$5:$S$2484=1)*IFERROR($N$5:$N$2484*1,0)))),4),0))))</f>
        <v/>
      </c>
      <c r="P1052" s="48" t="inlineStr">
        <is>
          <t>m2</t>
        </is>
      </c>
      <c r="Q1052" s="57">
        <f>IF($A1052="","",$A1052&amp;"|"&amp;$C1052)</f>
        <v/>
      </c>
      <c r="R1052" s="57">
        <f>IF($A1052="","",$A1052&amp;"|"&amp;$C1052&amp;"|"&amp;$D1052)</f>
        <v/>
      </c>
      <c r="S1052" s="57">
        <f>IF($A1052="","",IFERROR(INDEX(Offerte!$D$2:$D$81,MATCH($Q1052,Offerte!$L$2:$L$81,0)),0))</f>
        <v/>
      </c>
      <c r="T1052" s="57">
        <f>IF($A1052="","",IFERROR(INDEX(Offerte!$G$2:$G$81,MATCH($Q1052,Offerte!$L$2:$L$81,0)),"NO"))</f>
        <v/>
      </c>
    </row>
    <row r="1053">
      <c r="A1053" s="48">
        <f>IF(Offerte!$A35="","",Offerte!$A35)</f>
        <v/>
      </c>
      <c r="B1053" s="48">
        <f>IF(Offerte!$A35="","",Offerte!$B35)</f>
        <v/>
      </c>
      <c r="C1053" s="48">
        <f>IF(Offerte!$A35="","",Offerte!$C35)</f>
        <v/>
      </c>
      <c r="D1053" s="48" t="inlineStr">
        <is>
          <t>F.5.1</t>
        </is>
      </c>
      <c r="E1053" s="48" t="inlineStr">
        <is>
          <t>F</t>
        </is>
      </c>
      <c r="F1053" s="48" t="inlineStr">
        <is>
          <t>T</t>
        </is>
      </c>
      <c r="G1053" s="48" t="inlineStr">
        <is>
          <t>tabular</t>
        </is>
      </c>
      <c r="H1053" s="48" t="n">
        <v>1</v>
      </c>
      <c r="I1053" s="48" t="inlineStr">
        <is>
          <t>Rendicontazione di sostenibilità ambientale</t>
        </is>
      </c>
      <c r="J1053" s="73" t="n"/>
      <c r="K1053" s="73" t="n"/>
      <c r="L1053" s="73" t="n"/>
      <c r="M1053" s="73" t="n"/>
      <c r="N1053" s="57">
        <f>IF($A1053="","",IF(IFERROR(VALUE($M1053),0)=1,1,0))</f>
        <v/>
      </c>
      <c r="O1053" s="57">
        <f>IF($A1053="",0,IF(OR($S1053&lt;&gt;1,COUNTA($J1053:$M1053)=0),0,IF($N1053=1,$H1053,0)))</f>
        <v/>
      </c>
      <c r="P1053" s="48" t="inlineStr">
        <is>
          <t>sì/no</t>
        </is>
      </c>
      <c r="Q1053" s="57">
        <f>IF($A1053="","",$A1053&amp;"|"&amp;$C1053)</f>
        <v/>
      </c>
      <c r="R1053" s="57">
        <f>IF($A1053="","",$A1053&amp;"|"&amp;$C1053&amp;"|"&amp;$D1053)</f>
        <v/>
      </c>
      <c r="S1053" s="57">
        <f>IF($A1053="","",IFERROR(INDEX(Offerte!$D$2:$D$81,MATCH($Q1053,Offerte!$L$2:$L$81,0)),0))</f>
        <v/>
      </c>
      <c r="T1053" s="57">
        <f>IF($A1053="","",IFERROR(INDEX(Offerte!$G$2:$G$81,MATCH($Q1053,Offerte!$L$2:$L$81,0)),"NO"))</f>
        <v/>
      </c>
    </row>
    <row r="1054">
      <c r="A1054" s="48">
        <f>IF(Offerte!$A35="","",Offerte!$A35)</f>
        <v/>
      </c>
      <c r="B1054" s="48">
        <f>IF(Offerte!$A35="","",Offerte!$B35)</f>
        <v/>
      </c>
      <c r="C1054" s="48">
        <f>IF(Offerte!$A35="","",Offerte!$C35)</f>
        <v/>
      </c>
      <c r="D1054" s="48" t="inlineStr">
        <is>
          <t>G.1.1</t>
        </is>
      </c>
      <c r="E1054" s="48" t="inlineStr">
        <is>
          <t>G</t>
        </is>
      </c>
      <c r="F1054" s="48" t="inlineStr">
        <is>
          <t>D</t>
        </is>
      </c>
      <c r="G1054" s="48" t="inlineStr">
        <is>
          <t>discretionary</t>
        </is>
      </c>
      <c r="H1054" s="48" t="n">
        <v>2</v>
      </c>
      <c r="I1054" s="48" t="inlineStr">
        <is>
          <t>Qualità del progetto di centrale di controllo aziendale</t>
        </is>
      </c>
      <c r="J1054" s="73" t="n"/>
      <c r="K1054" s="73" t="n"/>
      <c r="L1054" s="73" t="n"/>
      <c r="M1054" s="73" t="n"/>
      <c r="N1054" s="57">
        <f>IF($A1054="","",MAX(0,MIN(1,IFERROR(VALUE($M1054),0))))</f>
        <v/>
      </c>
      <c r="O1054" s="57">
        <f>IF($A1054="",0,IF(OR($S1054&lt;&gt;1,COUNTA($J1054:$M1054)=0),0,IF(SUMPRODUCT(MAX(($C$5:$C$2484=$C1054)*($D$5:$D$2484=$D1054)*($S$5:$S$2484=1)*IFERROR($N$5:$N$2484*1,0)))&gt;0,ROUND($H1054*($N1054/SUMPRODUCT(MAX(($C$5:$C$2484=$C1054)*($D$5:$D$2484=$D1054)*($S$5:$S$2484=1)*IFERROR($N$5:$N$2484*1,0)))),4),0)))</f>
        <v/>
      </c>
      <c r="P1054" s="48" t="inlineStr">
        <is>
          <t>coeff.</t>
        </is>
      </c>
      <c r="Q1054" s="57">
        <f>IF($A1054="","",$A1054&amp;"|"&amp;$C1054)</f>
        <v/>
      </c>
      <c r="R1054" s="57">
        <f>IF($A1054="","",$A1054&amp;"|"&amp;$C1054&amp;"|"&amp;$D1054)</f>
        <v/>
      </c>
      <c r="S1054" s="57">
        <f>IF($A1054="","",IFERROR(INDEX(Offerte!$D$2:$D$81,MATCH($Q1054,Offerte!$L$2:$L$81,0)),0))</f>
        <v/>
      </c>
      <c r="T1054" s="57">
        <f>IF($A1054="","",IFERROR(INDEX(Offerte!$G$2:$G$81,MATCH($Q1054,Offerte!$L$2:$L$81,0)),"NO"))</f>
        <v/>
      </c>
    </row>
    <row r="1055">
      <c r="A1055" s="48">
        <f>IF(Offerte!$A35="","",Offerte!$A35)</f>
        <v/>
      </c>
      <c r="B1055" s="48">
        <f>IF(Offerte!$A35="","",Offerte!$B35)</f>
        <v/>
      </c>
      <c r="C1055" s="48">
        <f>IF(Offerte!$A35="","",Offerte!$C35)</f>
        <v/>
      </c>
      <c r="D1055" s="48" t="inlineStr">
        <is>
          <t>G.2.1</t>
        </is>
      </c>
      <c r="E1055" s="48" t="inlineStr">
        <is>
          <t>G</t>
        </is>
      </c>
      <c r="F1055" s="48" t="inlineStr">
        <is>
          <t>T</t>
        </is>
      </c>
      <c r="G1055" s="48" t="inlineStr">
        <is>
          <t>tabular</t>
        </is>
      </c>
      <c r="H1055" s="48" t="n">
        <v>1</v>
      </c>
      <c r="I1055" s="48" t="inlineStr">
        <is>
          <t>Certificazione ISO 45001</t>
        </is>
      </c>
      <c r="J1055" s="73" t="n"/>
      <c r="K1055" s="73" t="n"/>
      <c r="L1055" s="73" t="n"/>
      <c r="M1055" s="73" t="n"/>
      <c r="N1055" s="57">
        <f>IF($A1055="","",IF(IFERROR(VALUE($M1055),0)=1,1,0))</f>
        <v/>
      </c>
      <c r="O1055" s="57">
        <f>IF($A1055="",0,IF(OR($S1055&lt;&gt;1,COUNTA($J1055:$M1055)=0),0,IF($N1055=1,$H1055,0)))</f>
        <v/>
      </c>
      <c r="P1055" s="48" t="inlineStr">
        <is>
          <t>sì/no</t>
        </is>
      </c>
      <c r="Q1055" s="57">
        <f>IF($A1055="","",$A1055&amp;"|"&amp;$C1055)</f>
        <v/>
      </c>
      <c r="R1055" s="57">
        <f>IF($A1055="","",$A1055&amp;"|"&amp;$C1055&amp;"|"&amp;$D1055)</f>
        <v/>
      </c>
      <c r="S1055" s="57">
        <f>IF($A1055="","",IFERROR(INDEX(Offerte!$D$2:$D$81,MATCH($Q1055,Offerte!$L$2:$L$81,0)),0))</f>
        <v/>
      </c>
      <c r="T1055" s="57">
        <f>IF($A1055="","",IFERROR(INDEX(Offerte!$G$2:$G$81,MATCH($Q1055,Offerte!$L$2:$L$81,0)),"NO"))</f>
        <v/>
      </c>
    </row>
    <row r="1056">
      <c r="A1056" s="48">
        <f>IF(Offerte!$A35="","",Offerte!$A35)</f>
        <v/>
      </c>
      <c r="B1056" s="48">
        <f>IF(Offerte!$A35="","",Offerte!$B35)</f>
        <v/>
      </c>
      <c r="C1056" s="48">
        <f>IF(Offerte!$A35="","",Offerte!$C35)</f>
        <v/>
      </c>
      <c r="D1056" s="48" t="inlineStr">
        <is>
          <t>G.3.1</t>
        </is>
      </c>
      <c r="E1056" s="48" t="inlineStr">
        <is>
          <t>G</t>
        </is>
      </c>
      <c r="F1056" s="48" t="inlineStr">
        <is>
          <t>T</t>
        </is>
      </c>
      <c r="G1056" s="48" t="inlineStr">
        <is>
          <t>tabular</t>
        </is>
      </c>
      <c r="H1056" s="48" t="n">
        <v>1</v>
      </c>
      <c r="I1056" s="48" t="inlineStr">
        <is>
          <t>Certificazioni di responsabilità sociale</t>
        </is>
      </c>
      <c r="J1056" s="73" t="n"/>
      <c r="K1056" s="73" t="n"/>
      <c r="L1056" s="73" t="n"/>
      <c r="M1056" s="73" t="n"/>
      <c r="N1056" s="57">
        <f>IF($A1056="","",IF(IFERROR(VALUE($M1056),0)=1,1,0))</f>
        <v/>
      </c>
      <c r="O1056" s="57">
        <f>IF($A1056="",0,IF(OR($S1056&lt;&gt;1,COUNTA($J1056:$M1056)=0),0,IF($N1056=1,$H1056,0)))</f>
        <v/>
      </c>
      <c r="P1056" s="48" t="inlineStr">
        <is>
          <t>sì/no</t>
        </is>
      </c>
      <c r="Q1056" s="57">
        <f>IF($A1056="","",$A1056&amp;"|"&amp;$C1056)</f>
        <v/>
      </c>
      <c r="R1056" s="57">
        <f>IF($A1056="","",$A1056&amp;"|"&amp;$C1056&amp;"|"&amp;$D1056)</f>
        <v/>
      </c>
      <c r="S1056" s="57">
        <f>IF($A1056="","",IFERROR(INDEX(Offerte!$D$2:$D$81,MATCH($Q1056,Offerte!$L$2:$L$81,0)),0))</f>
        <v/>
      </c>
      <c r="T1056" s="57">
        <f>IF($A1056="","",IFERROR(INDEX(Offerte!$G$2:$G$81,MATCH($Q1056,Offerte!$L$2:$L$81,0)),"NO"))</f>
        <v/>
      </c>
    </row>
    <row r="1057">
      <c r="A1057" s="48">
        <f>IF(Offerte!$A35="","",Offerte!$A35)</f>
        <v/>
      </c>
      <c r="B1057" s="48">
        <f>IF(Offerte!$A35="","",Offerte!$B35)</f>
        <v/>
      </c>
      <c r="C1057" s="48">
        <f>IF(Offerte!$A35="","",Offerte!$C35)</f>
        <v/>
      </c>
      <c r="D1057" s="48" t="inlineStr">
        <is>
          <t>G.4.1</t>
        </is>
      </c>
      <c r="E1057" s="48" t="inlineStr">
        <is>
          <t>G</t>
        </is>
      </c>
      <c r="F1057" s="48" t="inlineStr">
        <is>
          <t>D</t>
        </is>
      </c>
      <c r="G1057" s="48" t="inlineStr">
        <is>
          <t>discretionary</t>
        </is>
      </c>
      <c r="H1057" s="48" t="n">
        <v>2</v>
      </c>
      <c r="I1057" s="48" t="inlineStr">
        <is>
          <t>Qualità del piano di formazione del personale</t>
        </is>
      </c>
      <c r="J1057" s="73" t="n"/>
      <c r="K1057" s="73" t="n"/>
      <c r="L1057" s="73" t="n"/>
      <c r="M1057" s="73" t="n"/>
      <c r="N1057" s="57">
        <f>IF($A1057="","",MAX(0,MIN(1,IFERROR(VALUE($M1057),0))))</f>
        <v/>
      </c>
      <c r="O1057" s="57">
        <f>IF($A1057="",0,IF(OR($S1057&lt;&gt;1,COUNTA($J1057:$M1057)=0),0,IF(SUMPRODUCT(MAX(($C$5:$C$2484=$C1057)*($D$5:$D$2484=$D1057)*($S$5:$S$2484=1)*IFERROR($N$5:$N$2484*1,0)))&gt;0,ROUND($H1057*($N1057/SUMPRODUCT(MAX(($C$5:$C$2484=$C1057)*($D$5:$D$2484=$D1057)*($S$5:$S$2484=1)*IFERROR($N$5:$N$2484*1,0)))),4),0)))</f>
        <v/>
      </c>
      <c r="P1057" s="48" t="inlineStr">
        <is>
          <t>coeff.</t>
        </is>
      </c>
      <c r="Q1057" s="57">
        <f>IF($A1057="","",$A1057&amp;"|"&amp;$C1057)</f>
        <v/>
      </c>
      <c r="R1057" s="57">
        <f>IF($A1057="","",$A1057&amp;"|"&amp;$C1057&amp;"|"&amp;$D1057)</f>
        <v/>
      </c>
      <c r="S1057" s="57">
        <f>IF($A1057="","",IFERROR(INDEX(Offerte!$D$2:$D$81,MATCH($Q1057,Offerte!$L$2:$L$81,0)),0))</f>
        <v/>
      </c>
      <c r="T1057" s="57">
        <f>IF($A1057="","",IFERROR(INDEX(Offerte!$G$2:$G$81,MATCH($Q1057,Offerte!$L$2:$L$81,0)),"NO"))</f>
        <v/>
      </c>
    </row>
    <row r="1058">
      <c r="A1058" s="48">
        <f>IF(Offerte!$A35="","",Offerte!$A35)</f>
        <v/>
      </c>
      <c r="B1058" s="48">
        <f>IF(Offerte!$A35="","",Offerte!$B35)</f>
        <v/>
      </c>
      <c r="C1058" s="48">
        <f>IF(Offerte!$A35="","",Offerte!$C35)</f>
        <v/>
      </c>
      <c r="D1058" s="48" t="inlineStr">
        <is>
          <t>G.5.1</t>
        </is>
      </c>
      <c r="E1058" s="48" t="inlineStr">
        <is>
          <t>G</t>
        </is>
      </c>
      <c r="F1058" s="48" t="inlineStr">
        <is>
          <t>T</t>
        </is>
      </c>
      <c r="G1058" s="48" t="inlineStr">
        <is>
          <t>tabular</t>
        </is>
      </c>
      <c r="H1058" s="48" t="n">
        <v>1</v>
      </c>
      <c r="I1058" s="48" t="inlineStr">
        <is>
          <t>Impegno al mantenimento delle garanzie del contratto di secondo livello del gestore uscente</t>
        </is>
      </c>
      <c r="J1058" s="73" t="n"/>
      <c r="K1058" s="73" t="n"/>
      <c r="L1058" s="73" t="n"/>
      <c r="M1058" s="73" t="n"/>
      <c r="N1058" s="57">
        <f>IF($A1058="","",IF(IFERROR(VALUE($M1058),0)=1,1,0))</f>
        <v/>
      </c>
      <c r="O1058" s="57">
        <f>IF($A1058="",0,IF(OR($S1058&lt;&gt;1,COUNTA($J1058:$M1058)=0),0,IF($N1058=1,$H1058,0)))</f>
        <v/>
      </c>
      <c r="P1058" s="48" t="inlineStr">
        <is>
          <t>sì/no</t>
        </is>
      </c>
      <c r="Q1058" s="57">
        <f>IF($A1058="","",$A1058&amp;"|"&amp;$C1058)</f>
        <v/>
      </c>
      <c r="R1058" s="57">
        <f>IF($A1058="","",$A1058&amp;"|"&amp;$C1058&amp;"|"&amp;$D1058)</f>
        <v/>
      </c>
      <c r="S1058" s="57">
        <f>IF($A1058="","",IFERROR(INDEX(Offerte!$D$2:$D$81,MATCH($Q1058,Offerte!$L$2:$L$81,0)),0))</f>
        <v/>
      </c>
      <c r="T1058" s="57">
        <f>IF($A1058="","",IFERROR(INDEX(Offerte!$G$2:$G$81,MATCH($Q1058,Offerte!$L$2:$L$81,0)),"NO"))</f>
        <v/>
      </c>
    </row>
    <row r="1059">
      <c r="A1059" s="48">
        <f>IF(Offerte!$A36="","",Offerte!$A36)</f>
        <v/>
      </c>
      <c r="B1059" s="48">
        <f>IF(Offerte!$A36="","",Offerte!$B36)</f>
        <v/>
      </c>
      <c r="C1059" s="48">
        <f>IF(Offerte!$A36="","",Offerte!$C36)</f>
        <v/>
      </c>
      <c r="D1059" s="48" t="inlineStr">
        <is>
          <t>A.1.1</t>
        </is>
      </c>
      <c r="E1059" s="48" t="inlineStr">
        <is>
          <t>A</t>
        </is>
      </c>
      <c r="F1059" s="48" t="inlineStr">
        <is>
          <t>Q</t>
        </is>
      </c>
      <c r="G1059" s="48" t="inlineStr">
        <is>
          <t>higher</t>
        </is>
      </c>
      <c r="H1059" s="48" t="n">
        <v>3</v>
      </c>
      <c r="I1059" s="48" t="inlineStr">
        <is>
          <t>Tasso aggiuntivo di corse controllate</t>
        </is>
      </c>
      <c r="J1059" s="73" t="n"/>
      <c r="K1059" s="73" t="n"/>
      <c r="L1059" s="73" t="n"/>
      <c r="M1059" s="73" t="n"/>
      <c r="N1059" s="57">
        <f>IF($A1059="","",IFERROR(VALUE($K1059)/VALUE($L1059)*100,IFERROR(VALUE($J1059),0)))</f>
        <v/>
      </c>
      <c r="O1059" s="57">
        <f>IF($A1059="",0,IF(OR($S1059&lt;&gt;1,COUNTA($J1059:$M1059)=0),0,IF(SUMPRODUCT(MAX(($C$5:$C$2484=$C1059)*($D$5:$D$2484=$D1059)*($S$5:$S$2484=1)*IFERROR($N$5:$N$2484*1,0)))&gt;0,ROUND($H1059*($N1059/SUMPRODUCT(MAX(($C$5:$C$2484=$C1059)*($D$5:$D$2484=$D1059)*($S$5:$S$2484=1)*IFERROR($N$5:$N$2484*1,0)))),4),0)))</f>
        <v/>
      </c>
      <c r="P1059" s="48" t="inlineStr">
        <is>
          <t>Corse controllate annue / Corse programmate annue</t>
        </is>
      </c>
      <c r="Q1059" s="57">
        <f>IF($A1059="","",$A1059&amp;"|"&amp;$C1059)</f>
        <v/>
      </c>
      <c r="R1059" s="57">
        <f>IF($A1059="","",$A1059&amp;"|"&amp;$C1059&amp;"|"&amp;$D1059)</f>
        <v/>
      </c>
      <c r="S1059" s="57">
        <f>IF($A1059="","",IFERROR(INDEX(Offerte!$D$2:$D$81,MATCH($Q1059,Offerte!$L$2:$L$81,0)),0))</f>
        <v/>
      </c>
      <c r="T1059" s="57">
        <f>IF($A1059="","",IFERROR(INDEX(Offerte!$G$2:$G$81,MATCH($Q1059,Offerte!$L$2:$L$81,0)),"NO"))</f>
        <v/>
      </c>
    </row>
    <row r="1060">
      <c r="A1060" s="48">
        <f>IF(Offerte!$A36="","",Offerte!$A36)</f>
        <v/>
      </c>
      <c r="B1060" s="48">
        <f>IF(Offerte!$A36="","",Offerte!$B36)</f>
        <v/>
      </c>
      <c r="C1060" s="48">
        <f>IF(Offerte!$A36="","",Offerte!$C36)</f>
        <v/>
      </c>
      <c r="D1060" s="48" t="inlineStr">
        <is>
          <t>A.1.2</t>
        </is>
      </c>
      <c r="E1060" s="48" t="inlineStr">
        <is>
          <t>A</t>
        </is>
      </c>
      <c r="F1060" s="48" t="inlineStr">
        <is>
          <t>Q</t>
        </is>
      </c>
      <c r="G1060" s="48" t="inlineStr">
        <is>
          <t>higher</t>
        </is>
      </c>
      <c r="H1060" s="48" t="n">
        <v>4</v>
      </c>
      <c r="I1060" s="48" t="inlineStr">
        <is>
          <t>Numero aggiuntivo di passeggeri controllati</t>
        </is>
      </c>
      <c r="J1060" s="73" t="n"/>
      <c r="K1060" s="73" t="n"/>
      <c r="L1060" s="73" t="n"/>
      <c r="M1060" s="73" t="n"/>
      <c r="N1060" s="57">
        <f>IF($A1060="","",IFERROR(VALUE($J1060),0))</f>
        <v/>
      </c>
      <c r="O1060" s="57">
        <f>IF($A1060="",0,IF(OR($S1060&lt;&gt;1,COUNTA($J1060:$M1060)=0),0,IF(SUMPRODUCT(MAX(($C$5:$C$2484=$C1060)*($D$5:$D$2484=$D1060)*($S$5:$S$2484=1)*IFERROR($N$5:$N$2484*1,0)))&gt;0,ROUND($H1060*($N1060/SUMPRODUCT(MAX(($C$5:$C$2484=$C1060)*($D$5:$D$2484=$D1060)*($S$5:$S$2484=1)*IFERROR($N$5:$N$2484*1,0)))),4),0)))</f>
        <v/>
      </c>
      <c r="P1060" s="48" t="inlineStr">
        <is>
          <t>passeggeri/anno</t>
        </is>
      </c>
      <c r="Q1060" s="57">
        <f>IF($A1060="","",$A1060&amp;"|"&amp;$C1060)</f>
        <v/>
      </c>
      <c r="R1060" s="57">
        <f>IF($A1060="","",$A1060&amp;"|"&amp;$C1060&amp;"|"&amp;$D1060)</f>
        <v/>
      </c>
      <c r="S1060" s="57">
        <f>IF($A1060="","",IFERROR(INDEX(Offerte!$D$2:$D$81,MATCH($Q1060,Offerte!$L$2:$L$81,0)),0))</f>
        <v/>
      </c>
      <c r="T1060" s="57">
        <f>IF($A1060="","",IFERROR(INDEX(Offerte!$G$2:$G$81,MATCH($Q1060,Offerte!$L$2:$L$81,0)),"NO"))</f>
        <v/>
      </c>
    </row>
    <row r="1061">
      <c r="A1061" s="48">
        <f>IF(Offerte!$A36="","",Offerte!$A36)</f>
        <v/>
      </c>
      <c r="B1061" s="48">
        <f>IF(Offerte!$A36="","",Offerte!$B36)</f>
        <v/>
      </c>
      <c r="C1061" s="48">
        <f>IF(Offerte!$A36="","",Offerte!$C36)</f>
        <v/>
      </c>
      <c r="D1061" s="48" t="inlineStr">
        <is>
          <t>B.1.1</t>
        </is>
      </c>
      <c r="E1061" s="48" t="inlineStr">
        <is>
          <t>B</t>
        </is>
      </c>
      <c r="F1061" s="48" t="inlineStr">
        <is>
          <t>Q</t>
        </is>
      </c>
      <c r="G1061" s="48" t="inlineStr">
        <is>
          <t>higher</t>
        </is>
      </c>
      <c r="H1061" s="48" t="n">
        <v>3</v>
      </c>
      <c r="I1061" s="48" t="inlineStr">
        <is>
          <t>Incremento dei posti offerti nelle fasce di punta</t>
        </is>
      </c>
      <c r="J1061" s="73" t="n"/>
      <c r="K1061" s="73" t="n"/>
      <c r="L1061" s="73" t="n"/>
      <c r="M1061" s="73" t="n"/>
      <c r="N1061" s="57">
        <f>IF($A1061="","",IFERROR(VALUE($J1061),0))</f>
        <v/>
      </c>
      <c r="O1061" s="57">
        <f>IF($A1061="",0,IF(OR($S1061&lt;&gt;1,COUNTA($J1061:$M1061)=0),0,IF(SUMPRODUCT(MAX(($C$5:$C$2484=$C1061)*($D$5:$D$2484=$D1061)*($S$5:$S$2484=1)*IFERROR($N$5:$N$2484*1,0)))&gt;0,ROUND($H1061*($N1061/SUMPRODUCT(MAX(($C$5:$C$2484=$C1061)*($D$5:$D$2484=$D1061)*($S$5:$S$2484=1)*IFERROR($N$5:$N$2484*1,0)))),4),0)))</f>
        <v/>
      </c>
      <c r="P1061" s="48" t="inlineStr">
        <is>
          <t>posti*km</t>
        </is>
      </c>
      <c r="Q1061" s="57">
        <f>IF($A1061="","",$A1061&amp;"|"&amp;$C1061)</f>
        <v/>
      </c>
      <c r="R1061" s="57">
        <f>IF($A1061="","",$A1061&amp;"|"&amp;$C1061&amp;"|"&amp;$D1061)</f>
        <v/>
      </c>
      <c r="S1061" s="57">
        <f>IF($A1061="","",IFERROR(INDEX(Offerte!$D$2:$D$81,MATCH($Q1061,Offerte!$L$2:$L$81,0)),0))</f>
        <v/>
      </c>
      <c r="T1061" s="57">
        <f>IF($A1061="","",IFERROR(INDEX(Offerte!$G$2:$G$81,MATCH($Q1061,Offerte!$L$2:$L$81,0)),"NO"))</f>
        <v/>
      </c>
    </row>
    <row r="1062">
      <c r="A1062" s="48">
        <f>IF(Offerte!$A36="","",Offerte!$A36)</f>
        <v/>
      </c>
      <c r="B1062" s="48">
        <f>IF(Offerte!$A36="","",Offerte!$B36)</f>
        <v/>
      </c>
      <c r="C1062" s="48">
        <f>IF(Offerte!$A36="","",Offerte!$C36)</f>
        <v/>
      </c>
      <c r="D1062" s="48" t="inlineStr">
        <is>
          <t>B.2.1</t>
        </is>
      </c>
      <c r="E1062" s="48" t="inlineStr">
        <is>
          <t>B</t>
        </is>
      </c>
      <c r="F1062" s="48" t="inlineStr">
        <is>
          <t>Q</t>
        </is>
      </c>
      <c r="G1062" s="48" t="inlineStr">
        <is>
          <t>higher</t>
        </is>
      </c>
      <c r="H1062" s="48" t="n">
        <v>4</v>
      </c>
      <c r="I1062" s="48" t="inlineStr">
        <is>
          <t>Corse aggiuntive nell'arco giornaliero base</t>
        </is>
      </c>
      <c r="J1062" s="73" t="n"/>
      <c r="K1062" s="73" t="n"/>
      <c r="L1062" s="73" t="n"/>
      <c r="M1062" s="73" t="n"/>
      <c r="N1062" s="57">
        <f>IF($A1062="","",IFERROR(VALUE($J1062),0))</f>
        <v/>
      </c>
      <c r="O1062" s="57">
        <f>IF($A1062="",0,IF(OR($S1062&lt;&gt;1,COUNTA($J1062:$M1062)=0),0,IF(SUMPRODUCT(MAX(($C$5:$C$2484=$C1062)*($D$5:$D$2484=$D1062)*($S$5:$S$2484=1)*IFERROR($N$5:$N$2484*1,0)))&gt;0,ROUND($H1062*($N1062/SUMPRODUCT(MAX(($C$5:$C$2484=$C1062)*($D$5:$D$2484=$D1062)*($S$5:$S$2484=1)*IFERROR($N$5:$N$2484*1,0)))),4),0)))</f>
        <v/>
      </c>
      <c r="P1062" s="48" t="inlineStr">
        <is>
          <t>corse</t>
        </is>
      </c>
      <c r="Q1062" s="57">
        <f>IF($A1062="","",$A1062&amp;"|"&amp;$C1062)</f>
        <v/>
      </c>
      <c r="R1062" s="57">
        <f>IF($A1062="","",$A1062&amp;"|"&amp;$C1062&amp;"|"&amp;$D1062)</f>
        <v/>
      </c>
      <c r="S1062" s="57">
        <f>IF($A1062="","",IFERROR(INDEX(Offerte!$D$2:$D$81,MATCH($Q1062,Offerte!$L$2:$L$81,0)),0))</f>
        <v/>
      </c>
      <c r="T1062" s="57">
        <f>IF($A1062="","",IFERROR(INDEX(Offerte!$G$2:$G$81,MATCH($Q1062,Offerte!$L$2:$L$81,0)),"NO"))</f>
        <v/>
      </c>
    </row>
    <row r="1063">
      <c r="A1063" s="48">
        <f>IF(Offerte!$A36="","",Offerte!$A36)</f>
        <v/>
      </c>
      <c r="B1063" s="48">
        <f>IF(Offerte!$A36="","",Offerte!$B36)</f>
        <v/>
      </c>
      <c r="C1063" s="48">
        <f>IF(Offerte!$A36="","",Offerte!$C36)</f>
        <v/>
      </c>
      <c r="D1063" s="48" t="inlineStr">
        <is>
          <t>B.3.1</t>
        </is>
      </c>
      <c r="E1063" s="48" t="inlineStr">
        <is>
          <t>B</t>
        </is>
      </c>
      <c r="F1063" s="48" t="inlineStr">
        <is>
          <t>Q</t>
        </is>
      </c>
      <c r="G1063" s="48" t="inlineStr">
        <is>
          <t>higher</t>
        </is>
      </c>
      <c r="H1063" s="48" t="n">
        <v>2</v>
      </c>
      <c r="I1063" s="48" t="inlineStr">
        <is>
          <t>Numero di corse aggiuntive per allungamento dell'arco di servizio giornaliero nelle fasce serali</t>
        </is>
      </c>
      <c r="J1063" s="73" t="n"/>
      <c r="K1063" s="73" t="n"/>
      <c r="L1063" s="73" t="n"/>
      <c r="M1063" s="73" t="n"/>
      <c r="N1063" s="57">
        <f>IF($A1063="","",IFERROR(VALUE($J1063),0))</f>
        <v/>
      </c>
      <c r="O1063" s="57">
        <f>IF($A1063="",0,IF(OR($S1063&lt;&gt;1,COUNTA($J1063:$M1063)=0),0,IF(SUMPRODUCT(MAX(($C$5:$C$2484=$C1063)*($D$5:$D$2484=$D1063)*($S$5:$S$2484=1)*IFERROR($N$5:$N$2484*1,0)))&gt;0,ROUND($H1063*($N1063/SUMPRODUCT(MAX(($C$5:$C$2484=$C1063)*($D$5:$D$2484=$D1063)*($S$5:$S$2484=1)*IFERROR($N$5:$N$2484*1,0)))),4),0)))</f>
        <v/>
      </c>
      <c r="P1063" s="48" t="inlineStr">
        <is>
          <t>corse</t>
        </is>
      </c>
      <c r="Q1063" s="57">
        <f>IF($A1063="","",$A1063&amp;"|"&amp;$C1063)</f>
        <v/>
      </c>
      <c r="R1063" s="57">
        <f>IF($A1063="","",$A1063&amp;"|"&amp;$C1063&amp;"|"&amp;$D1063)</f>
        <v/>
      </c>
      <c r="S1063" s="57">
        <f>IF($A1063="","",IFERROR(INDEX(Offerte!$D$2:$D$81,MATCH($Q1063,Offerte!$L$2:$L$81,0)),0))</f>
        <v/>
      </c>
      <c r="T1063" s="57">
        <f>IF($A1063="","",IFERROR(INDEX(Offerte!$G$2:$G$81,MATCH($Q1063,Offerte!$L$2:$L$81,0)),"NO"))</f>
        <v/>
      </c>
    </row>
    <row r="1064">
      <c r="A1064" s="48">
        <f>IF(Offerte!$A36="","",Offerte!$A36)</f>
        <v/>
      </c>
      <c r="B1064" s="48">
        <f>IF(Offerte!$A36="","",Offerte!$B36)</f>
        <v/>
      </c>
      <c r="C1064" s="48">
        <f>IF(Offerte!$A36="","",Offerte!$C36)</f>
        <v/>
      </c>
      <c r="D1064" s="48" t="inlineStr">
        <is>
          <t>B.4.1</t>
        </is>
      </c>
      <c r="E1064" s="48" t="inlineStr">
        <is>
          <t>B</t>
        </is>
      </c>
      <c r="F1064" s="48" t="inlineStr">
        <is>
          <t>Q</t>
        </is>
      </c>
      <c r="G1064" s="48" t="inlineStr">
        <is>
          <t>higher</t>
        </is>
      </c>
      <c r="H1064" s="48" t="n">
        <v>3</v>
      </c>
      <c r="I1064" s="48" t="inlineStr">
        <is>
          <t>Percorrenze aggiuntive offerte nel Programma d'esercizio delle prime due fasi attuative</t>
        </is>
      </c>
      <c r="J1064" s="73" t="n"/>
      <c r="K1064" s="73" t="n"/>
      <c r="L1064" s="73" t="n"/>
      <c r="M1064" s="73" t="n"/>
      <c r="N1064" s="57">
        <f>IF($A1064="","",IFERROR(VALUE($J1064),0))</f>
        <v/>
      </c>
      <c r="O1064" s="57">
        <f>IF($A1064="",0,IF(OR($S1064&lt;&gt;1,COUNTA($J1064:$M1064)=0),0,IF(SUMPRODUCT(MAX(($C$5:$C$2484=$C1064)*($D$5:$D$2484=$D1064)*($S$5:$S$2484=1)*IFERROR($N$5:$N$2484*1,0)))&gt;0,ROUND($H1064*($N1064/SUMPRODUCT(MAX(($C$5:$C$2484=$C1064)*($D$5:$D$2484=$D1064)*($S$5:$S$2484=1)*IFERROR($N$5:$N$2484*1,0)))),4),0)))</f>
        <v/>
      </c>
      <c r="P1064" s="48" t="inlineStr">
        <is>
          <t>vett*km</t>
        </is>
      </c>
      <c r="Q1064" s="57">
        <f>IF($A1064="","",$A1064&amp;"|"&amp;$C1064)</f>
        <v/>
      </c>
      <c r="R1064" s="57">
        <f>IF($A1064="","",$A1064&amp;"|"&amp;$C1064&amp;"|"&amp;$D1064)</f>
        <v/>
      </c>
      <c r="S1064" s="57">
        <f>IF($A1064="","",IFERROR(INDEX(Offerte!$D$2:$D$81,MATCH($Q1064,Offerte!$L$2:$L$81,0)),0))</f>
        <v/>
      </c>
      <c r="T1064" s="57">
        <f>IF($A1064="","",IFERROR(INDEX(Offerte!$G$2:$G$81,MATCH($Q1064,Offerte!$L$2:$L$81,0)),"NO"))</f>
        <v/>
      </c>
    </row>
    <row r="1065">
      <c r="A1065" s="48">
        <f>IF(Offerte!$A36="","",Offerte!$A36)</f>
        <v/>
      </c>
      <c r="B1065" s="48">
        <f>IF(Offerte!$A36="","",Offerte!$B36)</f>
        <v/>
      </c>
      <c r="C1065" s="48">
        <f>IF(Offerte!$A36="","",Offerte!$C36)</f>
        <v/>
      </c>
      <c r="D1065" s="48" t="inlineStr">
        <is>
          <t>B.5.1</t>
        </is>
      </c>
      <c r="E1065" s="48" t="inlineStr">
        <is>
          <t>B</t>
        </is>
      </c>
      <c r="F1065" s="48" t="inlineStr">
        <is>
          <t>D</t>
        </is>
      </c>
      <c r="G1065" s="48" t="inlineStr">
        <is>
          <t>discretionary</t>
        </is>
      </c>
      <c r="H1065" s="48" t="n">
        <v>2</v>
      </c>
      <c r="I1065" s="48" t="inlineStr">
        <is>
          <t>Efficacia del progetto di servizi complementari DRT</t>
        </is>
      </c>
      <c r="J1065" s="73" t="n"/>
      <c r="K1065" s="73" t="n"/>
      <c r="L1065" s="73" t="n"/>
      <c r="M1065" s="73" t="n"/>
      <c r="N1065" s="57">
        <f>IF($A1065="","",MAX(0,MIN(1,IFERROR(VALUE($M1065),0))))</f>
        <v/>
      </c>
      <c r="O1065" s="57">
        <f>IF($A1065="",0,IF(OR($S1065&lt;&gt;1,COUNTA($J1065:$M1065)=0),0,IF(SUMPRODUCT(MAX(($C$5:$C$2484=$C1065)*($D$5:$D$2484=$D1065)*($S$5:$S$2484=1)*IFERROR($N$5:$N$2484*1,0)))&gt;0,ROUND($H1065*($N1065/SUMPRODUCT(MAX(($C$5:$C$2484=$C1065)*($D$5:$D$2484=$D1065)*($S$5:$S$2484=1)*IFERROR($N$5:$N$2484*1,0)))),4),0)))</f>
        <v/>
      </c>
      <c r="P1065" s="48" t="inlineStr">
        <is>
          <t>coeff.</t>
        </is>
      </c>
      <c r="Q1065" s="57">
        <f>IF($A1065="","",$A1065&amp;"|"&amp;$C1065)</f>
        <v/>
      </c>
      <c r="R1065" s="57">
        <f>IF($A1065="","",$A1065&amp;"|"&amp;$C1065&amp;"|"&amp;$D1065)</f>
        <v/>
      </c>
      <c r="S1065" s="57">
        <f>IF($A1065="","",IFERROR(INDEX(Offerte!$D$2:$D$81,MATCH($Q1065,Offerte!$L$2:$L$81,0)),0))</f>
        <v/>
      </c>
      <c r="T1065" s="57">
        <f>IF($A1065="","",IFERROR(INDEX(Offerte!$G$2:$G$81,MATCH($Q1065,Offerte!$L$2:$L$81,0)),"NO"))</f>
        <v/>
      </c>
    </row>
    <row r="1066">
      <c r="A1066" s="48">
        <f>IF(Offerte!$A36="","",Offerte!$A36)</f>
        <v/>
      </c>
      <c r="B1066" s="48">
        <f>IF(Offerte!$A36="","",Offerte!$B36)</f>
        <v/>
      </c>
      <c r="C1066" s="48">
        <f>IF(Offerte!$A36="","",Offerte!$C36)</f>
        <v/>
      </c>
      <c r="D1066" s="48" t="inlineStr">
        <is>
          <t>C.1.1</t>
        </is>
      </c>
      <c r="E1066" s="48" t="inlineStr">
        <is>
          <t>C</t>
        </is>
      </c>
      <c r="F1066" s="48" t="inlineStr">
        <is>
          <t>Q</t>
        </is>
      </c>
      <c r="G1066" s="48" t="inlineStr">
        <is>
          <t>higher</t>
        </is>
      </c>
      <c r="H1066" s="48" t="n">
        <v>2</v>
      </c>
      <c r="I1066" s="48" t="inlineStr">
        <is>
          <t>Tasso di copertura del servizio con telecamere BSD</t>
        </is>
      </c>
      <c r="J1066" s="73" t="n"/>
      <c r="K1066" s="73" t="n"/>
      <c r="L1066" s="73" t="n"/>
      <c r="M1066" s="73" t="n"/>
      <c r="N1066" s="57">
        <f>IF($A1066="","",IFERROR(VALUE($K1066)/VALUE($L1066),IFERROR(VALUE($J1066),0)))</f>
        <v/>
      </c>
      <c r="O1066" s="57">
        <f>IF($A1066="",0,IF(OR($S1066&lt;&gt;1,COUNTA($J1066:$M1066)=0),0,IF(SUMPRODUCT(MAX(($C$5:$C$2484=$C1066)*($D$5:$D$2484=$D1066)*($S$5:$S$2484=1)*IFERROR($N$5:$N$2484*1,0)))&gt;0,ROUND($H1066*($N1066/SUMPRODUCT(MAX(($C$5:$C$2484=$C1066)*($D$5:$D$2484=$D1066)*($S$5:$S$2484=1)*IFERROR($N$5:$N$2484*1,0)))),4),0)))</f>
        <v/>
      </c>
      <c r="P1066" s="48" t="inlineStr">
        <is>
          <t>Autobus attrezzati con telecamere BSD / Autobus totali in offerta, incluse scorte</t>
        </is>
      </c>
      <c r="Q1066" s="57">
        <f>IF($A1066="","",$A1066&amp;"|"&amp;$C1066)</f>
        <v/>
      </c>
      <c r="R1066" s="57">
        <f>IF($A1066="","",$A1066&amp;"|"&amp;$C1066&amp;"|"&amp;$D1066)</f>
        <v/>
      </c>
      <c r="S1066" s="57">
        <f>IF($A1066="","",IFERROR(INDEX(Offerte!$D$2:$D$81,MATCH($Q1066,Offerte!$L$2:$L$81,0)),0))</f>
        <v/>
      </c>
      <c r="T1066" s="57">
        <f>IF($A1066="","",IFERROR(INDEX(Offerte!$G$2:$G$81,MATCH($Q1066,Offerte!$L$2:$L$81,0)),"NO"))</f>
        <v/>
      </c>
    </row>
    <row r="1067">
      <c r="A1067" s="48">
        <f>IF(Offerte!$A36="","",Offerte!$A36)</f>
        <v/>
      </c>
      <c r="B1067" s="48">
        <f>IF(Offerte!$A36="","",Offerte!$B36)</f>
        <v/>
      </c>
      <c r="C1067" s="48">
        <f>IF(Offerte!$A36="","",Offerte!$C36)</f>
        <v/>
      </c>
      <c r="D1067" s="48" t="inlineStr">
        <is>
          <t>C.1.2</t>
        </is>
      </c>
      <c r="E1067" s="48" t="inlineStr">
        <is>
          <t>C</t>
        </is>
      </c>
      <c r="F1067" s="48" t="inlineStr">
        <is>
          <t>Q</t>
        </is>
      </c>
      <c r="G1067" s="48" t="inlineStr">
        <is>
          <t>higher</t>
        </is>
      </c>
      <c r="H1067" s="48" t="n">
        <v>2</v>
      </c>
      <c r="I1067" s="48" t="inlineStr">
        <is>
          <t>Tasso di copertura del servizio con telecamere ADAS</t>
        </is>
      </c>
      <c r="J1067" s="73" t="n"/>
      <c r="K1067" s="73" t="n"/>
      <c r="L1067" s="73" t="n"/>
      <c r="M1067" s="73" t="n"/>
      <c r="N1067" s="57">
        <f>IF($A1067="","",IFERROR(VALUE($K1067)/VALUE($L1067),IFERROR(VALUE($J1067),0)))</f>
        <v/>
      </c>
      <c r="O1067" s="57">
        <f>IF($A1067="",0,IF(OR($S1067&lt;&gt;1,COUNTA($J1067:$M1067)=0),0,IF(SUMPRODUCT(MAX(($C$5:$C$2484=$C1067)*($D$5:$D$2484=$D1067)*($S$5:$S$2484=1)*IFERROR($N$5:$N$2484*1,0)))&gt;0,ROUND($H1067*($N1067/SUMPRODUCT(MAX(($C$5:$C$2484=$C1067)*($D$5:$D$2484=$D1067)*($S$5:$S$2484=1)*IFERROR($N$5:$N$2484*1,0)))),4),0)))</f>
        <v/>
      </c>
      <c r="P1067" s="48" t="inlineStr">
        <is>
          <t>Autobus attrezzati con telecamere ADAS / Autobus totali in offerta, incluse scorte</t>
        </is>
      </c>
      <c r="Q1067" s="57">
        <f>IF($A1067="","",$A1067&amp;"|"&amp;$C1067)</f>
        <v/>
      </c>
      <c r="R1067" s="57">
        <f>IF($A1067="","",$A1067&amp;"|"&amp;$C1067&amp;"|"&amp;$D1067)</f>
        <v/>
      </c>
      <c r="S1067" s="57">
        <f>IF($A1067="","",IFERROR(INDEX(Offerte!$D$2:$D$81,MATCH($Q1067,Offerte!$L$2:$L$81,0)),0))</f>
        <v/>
      </c>
      <c r="T1067" s="57">
        <f>IF($A1067="","",IFERROR(INDEX(Offerte!$G$2:$G$81,MATCH($Q1067,Offerte!$L$2:$L$81,0)),"NO"))</f>
        <v/>
      </c>
    </row>
    <row r="1068">
      <c r="A1068" s="48">
        <f>IF(Offerte!$A36="","",Offerte!$A36)</f>
        <v/>
      </c>
      <c r="B1068" s="48">
        <f>IF(Offerte!$A36="","",Offerte!$B36)</f>
        <v/>
      </c>
      <c r="C1068" s="48">
        <f>IF(Offerte!$A36="","",Offerte!$C36)</f>
        <v/>
      </c>
      <c r="D1068" s="48" t="inlineStr">
        <is>
          <t>C.2.1</t>
        </is>
      </c>
      <c r="E1068" s="48" t="inlineStr">
        <is>
          <t>C</t>
        </is>
      </c>
      <c r="F1068" s="48" t="inlineStr">
        <is>
          <t>Q</t>
        </is>
      </c>
      <c r="G1068" s="48" t="inlineStr">
        <is>
          <t>higher</t>
        </is>
      </c>
      <c r="H1068" s="48" t="n">
        <v>3</v>
      </c>
      <c r="I1068" s="48" t="inlineStr">
        <is>
          <t>Tasso di copertura del servizio con telecamere di bordo di videosorveglianza</t>
        </is>
      </c>
      <c r="J1068" s="73" t="n"/>
      <c r="K1068" s="73" t="n"/>
      <c r="L1068" s="73" t="n"/>
      <c r="M1068" s="73" t="n"/>
      <c r="N1068" s="57">
        <f>IF($A1068="","",IFERROR(VALUE($K1068)/VALUE($L1068),IFERROR(VALUE($J1068),0)))</f>
        <v/>
      </c>
      <c r="O1068" s="57">
        <f>IF($A1068="",0,IF(OR($S1068&lt;&gt;1,COUNTA($J1068:$M1068)=0),0,IF(SUMPRODUCT(MAX(($C$5:$C$2484=$C1068)*($D$5:$D$2484=$D1068)*($S$5:$S$2484=1)*IFERROR($N$5:$N$2484*1,0)))&gt;0,ROUND($H1068*($N1068/SUMPRODUCT(MAX(($C$5:$C$2484=$C1068)*($D$5:$D$2484=$D1068)*($S$5:$S$2484=1)*IFERROR($N$5:$N$2484*1,0)))),4),0)))</f>
        <v/>
      </c>
      <c r="P1068" s="48" t="inlineStr">
        <is>
          <t>Autobus attrezzati con videosorveglianza / Autobus totali in offerta, incluse scorte</t>
        </is>
      </c>
      <c r="Q1068" s="57">
        <f>IF($A1068="","",$A1068&amp;"|"&amp;$C1068)</f>
        <v/>
      </c>
      <c r="R1068" s="57">
        <f>IF($A1068="","",$A1068&amp;"|"&amp;$C1068&amp;"|"&amp;$D1068)</f>
        <v/>
      </c>
      <c r="S1068" s="57">
        <f>IF($A1068="","",IFERROR(INDEX(Offerte!$D$2:$D$81,MATCH($Q1068,Offerte!$L$2:$L$81,0)),0))</f>
        <v/>
      </c>
      <c r="T1068" s="57">
        <f>IF($A1068="","",IFERROR(INDEX(Offerte!$G$2:$G$81,MATCH($Q1068,Offerte!$L$2:$L$81,0)),"NO"))</f>
        <v/>
      </c>
    </row>
    <row r="1069">
      <c r="A1069" s="48">
        <f>IF(Offerte!$A36="","",Offerte!$A36)</f>
        <v/>
      </c>
      <c r="B1069" s="48">
        <f>IF(Offerte!$A36="","",Offerte!$B36)</f>
        <v/>
      </c>
      <c r="C1069" s="48">
        <f>IF(Offerte!$A36="","",Offerte!$C36)</f>
        <v/>
      </c>
      <c r="D1069" s="48" t="inlineStr">
        <is>
          <t>C.2.2</t>
        </is>
      </c>
      <c r="E1069" s="48" t="inlineStr">
        <is>
          <t>C</t>
        </is>
      </c>
      <c r="F1069" s="48" t="inlineStr">
        <is>
          <t>T</t>
        </is>
      </c>
      <c r="G1069" s="48" t="inlineStr">
        <is>
          <t>tabular</t>
        </is>
      </c>
      <c r="H1069" s="48" t="n">
        <v>1</v>
      </c>
      <c r="I1069" s="48" t="inlineStr">
        <is>
          <t>Software video/audio analisi per situazioni di pericolo</t>
        </is>
      </c>
      <c r="J1069" s="73" t="n"/>
      <c r="K1069" s="73" t="n"/>
      <c r="L1069" s="73" t="n"/>
      <c r="M1069" s="73" t="n"/>
      <c r="N1069" s="57">
        <f>IF($A1069="","",IF(IFERROR(VALUE($M1069),0)=1,1,0))</f>
        <v/>
      </c>
      <c r="O1069" s="57">
        <f>IF($A1069="",0,IF(OR($S1069&lt;&gt;1,COUNTA($J1069:$M1069)=0),0,IF($N1069=1,$H1069,0)))</f>
        <v/>
      </c>
      <c r="P1069" s="48" t="inlineStr">
        <is>
          <t>sì/no</t>
        </is>
      </c>
      <c r="Q1069" s="57">
        <f>IF($A1069="","",$A1069&amp;"|"&amp;$C1069)</f>
        <v/>
      </c>
      <c r="R1069" s="57">
        <f>IF($A1069="","",$A1069&amp;"|"&amp;$C1069&amp;"|"&amp;$D1069)</f>
        <v/>
      </c>
      <c r="S1069" s="57">
        <f>IF($A1069="","",IFERROR(INDEX(Offerte!$D$2:$D$81,MATCH($Q1069,Offerte!$L$2:$L$81,0)),0))</f>
        <v/>
      </c>
      <c r="T1069" s="57">
        <f>IF($A1069="","",IFERROR(INDEX(Offerte!$G$2:$G$81,MATCH($Q1069,Offerte!$L$2:$L$81,0)),"NO"))</f>
        <v/>
      </c>
    </row>
    <row r="1070">
      <c r="A1070" s="48">
        <f>IF(Offerte!$A36="","",Offerte!$A36)</f>
        <v/>
      </c>
      <c r="B1070" s="48">
        <f>IF(Offerte!$A36="","",Offerte!$B36)</f>
        <v/>
      </c>
      <c r="C1070" s="48">
        <f>IF(Offerte!$A36="","",Offerte!$C36)</f>
        <v/>
      </c>
      <c r="D1070" s="48" t="inlineStr">
        <is>
          <t>C.2.3</t>
        </is>
      </c>
      <c r="E1070" s="48" t="inlineStr">
        <is>
          <t>C</t>
        </is>
      </c>
      <c r="F1070" s="48" t="inlineStr">
        <is>
          <t>T</t>
        </is>
      </c>
      <c r="G1070" s="48" t="inlineStr">
        <is>
          <t>tabular</t>
        </is>
      </c>
      <c r="H1070" s="48" t="n">
        <v>1</v>
      </c>
      <c r="I1070" s="48" t="inlineStr">
        <is>
          <t>Collegamento con centrale qualificata di pronto intervento</t>
        </is>
      </c>
      <c r="J1070" s="73" t="n"/>
      <c r="K1070" s="73" t="n"/>
      <c r="L1070" s="73" t="n"/>
      <c r="M1070" s="73" t="n"/>
      <c r="N1070" s="57">
        <f>IF($A1070="","",IF(IFERROR(VALUE($M1070),0)=1,1,0))</f>
        <v/>
      </c>
      <c r="O1070" s="57">
        <f>IF($A1070="",0,IF(OR($S1070&lt;&gt;1,COUNTA($J1070:$M1070)=0),0,IF($N1070=1,$H1070,0)))</f>
        <v/>
      </c>
      <c r="P1070" s="48" t="inlineStr">
        <is>
          <t>sì/no</t>
        </is>
      </c>
      <c r="Q1070" s="57">
        <f>IF($A1070="","",$A1070&amp;"|"&amp;$C1070)</f>
        <v/>
      </c>
      <c r="R1070" s="57">
        <f>IF($A1070="","",$A1070&amp;"|"&amp;$C1070&amp;"|"&amp;$D1070)</f>
        <v/>
      </c>
      <c r="S1070" s="57">
        <f>IF($A1070="","",IFERROR(INDEX(Offerte!$D$2:$D$81,MATCH($Q1070,Offerte!$L$2:$L$81,0)),0))</f>
        <v/>
      </c>
      <c r="T1070" s="57">
        <f>IF($A1070="","",IFERROR(INDEX(Offerte!$G$2:$G$81,MATCH($Q1070,Offerte!$L$2:$L$81,0)),"NO"))</f>
        <v/>
      </c>
    </row>
    <row r="1071">
      <c r="A1071" s="48">
        <f>IF(Offerte!$A36="","",Offerte!$A36)</f>
        <v/>
      </c>
      <c r="B1071" s="48">
        <f>IF(Offerte!$A36="","",Offerte!$B36)</f>
        <v/>
      </c>
      <c r="C1071" s="48">
        <f>IF(Offerte!$A36="","",Offerte!$C36)</f>
        <v/>
      </c>
      <c r="D1071" s="48" t="inlineStr">
        <is>
          <t>C.2.4</t>
        </is>
      </c>
      <c r="E1071" s="48" t="inlineStr">
        <is>
          <t>C</t>
        </is>
      </c>
      <c r="F1071" s="48" t="inlineStr">
        <is>
          <t>Q</t>
        </is>
      </c>
      <c r="G1071" s="48" t="inlineStr">
        <is>
          <t>higher</t>
        </is>
      </c>
      <c r="H1071" s="48" t="n">
        <v>1</v>
      </c>
      <c r="I1071" s="48" t="inlineStr">
        <is>
          <t>Tasso di copertura del servizio con dispositivi per la chiamata di emergenza del conducente</t>
        </is>
      </c>
      <c r="J1071" s="73" t="n"/>
      <c r="K1071" s="73" t="n"/>
      <c r="L1071" s="73" t="n"/>
      <c r="M1071" s="73" t="n"/>
      <c r="N1071" s="57">
        <f>IF($A1071="","",IFERROR(VALUE($K1071)/VALUE($L1071),IFERROR(VALUE($J1071),0)))</f>
        <v/>
      </c>
      <c r="O1071" s="57">
        <f>IF($A1071="",0,IF(OR($S1071&lt;&gt;1,COUNTA($J1071:$M1071)=0),0,IF(SUMPRODUCT(MAX(($C$5:$C$2484=$C1071)*($D$5:$D$2484=$D1071)*($S$5:$S$2484=1)*IFERROR($N$5:$N$2484*1,0)))&gt;0,ROUND($H1071*($N1071/SUMPRODUCT(MAX(($C$5:$C$2484=$C1071)*($D$5:$D$2484=$D1071)*($S$5:$S$2484=1)*IFERROR($N$5:$N$2484*1,0)))),4),0)))</f>
        <v/>
      </c>
      <c r="P1071" s="48" t="inlineStr">
        <is>
          <t>Autobus attrezzati con chiamata di emergenza / Autobus totali in offerta, incluse scorte</t>
        </is>
      </c>
      <c r="Q1071" s="57">
        <f>IF($A1071="","",$A1071&amp;"|"&amp;$C1071)</f>
        <v/>
      </c>
      <c r="R1071" s="57">
        <f>IF($A1071="","",$A1071&amp;"|"&amp;$C1071&amp;"|"&amp;$D1071)</f>
        <v/>
      </c>
      <c r="S1071" s="57">
        <f>IF($A1071="","",IFERROR(INDEX(Offerte!$D$2:$D$81,MATCH($Q1071,Offerte!$L$2:$L$81,0)),0))</f>
        <v/>
      </c>
      <c r="T1071" s="57">
        <f>IF($A1071="","",IFERROR(INDEX(Offerte!$G$2:$G$81,MATCH($Q1071,Offerte!$L$2:$L$81,0)),"NO"))</f>
        <v/>
      </c>
    </row>
    <row r="1072">
      <c r="A1072" s="48">
        <f>IF(Offerte!$A36="","",Offerte!$A36)</f>
        <v/>
      </c>
      <c r="B1072" s="48">
        <f>IF(Offerte!$A36="","",Offerte!$B36)</f>
        <v/>
      </c>
      <c r="C1072" s="48">
        <f>IF(Offerte!$A36="","",Offerte!$C36)</f>
        <v/>
      </c>
      <c r="D1072" s="48" t="inlineStr">
        <is>
          <t>C.3.1</t>
        </is>
      </c>
      <c r="E1072" s="48" t="inlineStr">
        <is>
          <t>C</t>
        </is>
      </c>
      <c r="F1072" s="48" t="inlineStr">
        <is>
          <t>Q</t>
        </is>
      </c>
      <c r="G1072" s="48" t="inlineStr">
        <is>
          <t>higher</t>
        </is>
      </c>
      <c r="H1072" s="48" t="n">
        <v>2</v>
      </c>
      <c r="I1072" s="48" t="inlineStr">
        <is>
          <t>Tasso di copertura del servizio con dispositivi di informazione dinamica a bordo mezzo</t>
        </is>
      </c>
      <c r="J1072" s="73" t="n"/>
      <c r="K1072" s="73" t="n"/>
      <c r="L1072" s="73" t="n"/>
      <c r="M1072" s="73" t="n"/>
      <c r="N1072" s="57">
        <f>IF($A1072="","",IFERROR(VALUE($K1072)/VALUE($L1072),IFERROR(VALUE($J1072),0)))</f>
        <v/>
      </c>
      <c r="O1072" s="57">
        <f>IF($A1072="",0,IF(OR($S1072&lt;&gt;1,COUNTA($J1072:$M1072)=0),0,IF(SUMPRODUCT(MAX(($C$5:$C$2484=$C1072)*($D$5:$D$2484=$D1072)*($S$5:$S$2484=1)*IFERROR($N$5:$N$2484*1,0)))&gt;0,ROUND($H1072*($N1072/SUMPRODUCT(MAX(($C$5:$C$2484=$C1072)*($D$5:$D$2484=$D1072)*($S$5:$S$2484=1)*IFERROR($N$5:$N$2484*1,0)))),4),0)))</f>
        <v/>
      </c>
      <c r="P1072" s="48" t="inlineStr">
        <is>
          <t>Autobus con monitor e indicatori vocali / Autobus totali in offerta, incluse scorte</t>
        </is>
      </c>
      <c r="Q1072" s="57">
        <f>IF($A1072="","",$A1072&amp;"|"&amp;$C1072)</f>
        <v/>
      </c>
      <c r="R1072" s="57">
        <f>IF($A1072="","",$A1072&amp;"|"&amp;$C1072&amp;"|"&amp;$D1072)</f>
        <v/>
      </c>
      <c r="S1072" s="57">
        <f>IF($A1072="","",IFERROR(INDEX(Offerte!$D$2:$D$81,MATCH($Q1072,Offerte!$L$2:$L$81,0)),0))</f>
        <v/>
      </c>
      <c r="T1072" s="57">
        <f>IF($A1072="","",IFERROR(INDEX(Offerte!$G$2:$G$81,MATCH($Q1072,Offerte!$L$2:$L$81,0)),"NO"))</f>
        <v/>
      </c>
    </row>
    <row r="1073">
      <c r="A1073" s="48">
        <f>IF(Offerte!$A36="","",Offerte!$A36)</f>
        <v/>
      </c>
      <c r="B1073" s="48">
        <f>IF(Offerte!$A36="","",Offerte!$B36)</f>
        <v/>
      </c>
      <c r="C1073" s="48">
        <f>IF(Offerte!$A36="","",Offerte!$C36)</f>
        <v/>
      </c>
      <c r="D1073" s="48" t="inlineStr">
        <is>
          <t>C.3.2</t>
        </is>
      </c>
      <c r="E1073" s="48" t="inlineStr">
        <is>
          <t>C</t>
        </is>
      </c>
      <c r="F1073" s="48" t="inlineStr">
        <is>
          <t>T</t>
        </is>
      </c>
      <c r="G1073" s="48" t="inlineStr">
        <is>
          <t>tabular</t>
        </is>
      </c>
      <c r="H1073" s="48" t="n">
        <v>2</v>
      </c>
      <c r="I1073" s="48" t="inlineStr">
        <is>
          <t>Informazioni a bordo su coincidenze ai nodi</t>
        </is>
      </c>
      <c r="J1073" s="73" t="n"/>
      <c r="K1073" s="73" t="n"/>
      <c r="L1073" s="73" t="n"/>
      <c r="M1073" s="73" t="n"/>
      <c r="N1073" s="57">
        <f>IF($A1073="","",IF(IFERROR(VALUE($M1073),0)=1,1,0))</f>
        <v/>
      </c>
      <c r="O1073" s="57">
        <f>IF($A1073="",0,IF(OR($S1073&lt;&gt;1,COUNTA($J1073:$M1073)=0),0,IF(AND($N1073=1,IFERROR(SUMIFS($N$5:$N$2484,$Q$5:$Q$2484,$Q1073,$D$5:$D$2484,"C.3.1"),0)&gt;=0.5),$H1073,0)))</f>
        <v/>
      </c>
      <c r="P1073" s="48" t="inlineStr">
        <is>
          <t>Dipende da C.3.1 &gt;= 0.5</t>
        </is>
      </c>
      <c r="Q1073" s="57">
        <f>IF($A1073="","",$A1073&amp;"|"&amp;$C1073)</f>
        <v/>
      </c>
      <c r="R1073" s="57">
        <f>IF($A1073="","",$A1073&amp;"|"&amp;$C1073&amp;"|"&amp;$D1073)</f>
        <v/>
      </c>
      <c r="S1073" s="57">
        <f>IF($A1073="","",IFERROR(INDEX(Offerte!$D$2:$D$81,MATCH($Q1073,Offerte!$L$2:$L$81,0)),0))</f>
        <v/>
      </c>
      <c r="T1073" s="57">
        <f>IF($A1073="","",IFERROR(INDEX(Offerte!$G$2:$G$81,MATCH($Q1073,Offerte!$L$2:$L$81,0)),"NO"))</f>
        <v/>
      </c>
    </row>
    <row r="1074">
      <c r="A1074" s="48">
        <f>IF(Offerte!$A36="","",Offerte!$A36)</f>
        <v/>
      </c>
      <c r="B1074" s="48">
        <f>IF(Offerte!$A36="","",Offerte!$B36)</f>
        <v/>
      </c>
      <c r="C1074" s="48">
        <f>IF(Offerte!$A36="","",Offerte!$C36)</f>
        <v/>
      </c>
      <c r="D1074" s="48" t="inlineStr">
        <is>
          <t>D.1.1</t>
        </is>
      </c>
      <c r="E1074" s="48" t="inlineStr">
        <is>
          <t>D</t>
        </is>
      </c>
      <c r="F1074" s="48" t="inlineStr">
        <is>
          <t>Q</t>
        </is>
      </c>
      <c r="G1074" s="48" t="inlineStr">
        <is>
          <t>higher</t>
        </is>
      </c>
      <c r="H1074" s="48" t="n">
        <v>3</v>
      </c>
      <c r="I1074" s="48" t="inlineStr">
        <is>
          <t>Installazione di pensiline</t>
        </is>
      </c>
      <c r="J1074" s="73" t="n"/>
      <c r="K1074" s="73" t="n"/>
      <c r="L1074" s="73" t="n"/>
      <c r="M1074" s="73" t="n"/>
      <c r="N1074" s="57">
        <f>IF($A1074="","",IFERROR(VALUE($J1074),0))</f>
        <v/>
      </c>
      <c r="O1074" s="57">
        <f>IF($A1074="",0,IF(OR($S1074&lt;&gt;1,COUNTA($J1074:$M1074)=0),0,IF(SUMPRODUCT(MAX(($C$5:$C$2484=$C1074)*($D$5:$D$2484=$D1074)*($S$5:$S$2484=1)*IFERROR($N$5:$N$2484*1,0)))&gt;0,ROUND($H1074*($N1074/SUMPRODUCT(MAX(($C$5:$C$2484=$C1074)*($D$5:$D$2484=$D1074)*($S$5:$S$2484=1)*IFERROR($N$5:$N$2484*1,0)))),4),0)))</f>
        <v/>
      </c>
      <c r="P1074" s="48" t="inlineStr">
        <is>
          <t>fermate</t>
        </is>
      </c>
      <c r="Q1074" s="57">
        <f>IF($A1074="","",$A1074&amp;"|"&amp;$C1074)</f>
        <v/>
      </c>
      <c r="R1074" s="57">
        <f>IF($A1074="","",$A1074&amp;"|"&amp;$C1074&amp;"|"&amp;$D1074)</f>
        <v/>
      </c>
      <c r="S1074" s="57">
        <f>IF($A1074="","",IFERROR(INDEX(Offerte!$D$2:$D$81,MATCH($Q1074,Offerte!$L$2:$L$81,0)),0))</f>
        <v/>
      </c>
      <c r="T1074" s="57">
        <f>IF($A1074="","",IFERROR(INDEX(Offerte!$G$2:$G$81,MATCH($Q1074,Offerte!$L$2:$L$81,0)),"NO"))</f>
        <v/>
      </c>
    </row>
    <row r="1075">
      <c r="A1075" s="48">
        <f>IF(Offerte!$A36="","",Offerte!$A36)</f>
        <v/>
      </c>
      <c r="B1075" s="48">
        <f>IF(Offerte!$A36="","",Offerte!$B36)</f>
        <v/>
      </c>
      <c r="C1075" s="48">
        <f>IF(Offerte!$A36="","",Offerte!$C36)</f>
        <v/>
      </c>
      <c r="D1075" s="48" t="inlineStr">
        <is>
          <t>D.1.2</t>
        </is>
      </c>
      <c r="E1075" s="48" t="inlineStr">
        <is>
          <t>D</t>
        </is>
      </c>
      <c r="F1075" s="48" t="inlineStr">
        <is>
          <t>Q</t>
        </is>
      </c>
      <c r="G1075" s="48" t="inlineStr">
        <is>
          <t>higher</t>
        </is>
      </c>
      <c r="H1075" s="48" t="n">
        <v>3</v>
      </c>
      <c r="I1075" s="48" t="inlineStr">
        <is>
          <t>Installazione di paline di fermata conformi alla DGR 581/2023</t>
        </is>
      </c>
      <c r="J1075" s="73" t="n"/>
      <c r="K1075" s="73" t="n"/>
      <c r="L1075" s="73" t="n"/>
      <c r="M1075" s="73" t="n"/>
      <c r="N1075" s="57">
        <f>IF($A1075="","",IFERROR(VALUE($J1075),0))</f>
        <v/>
      </c>
      <c r="O1075" s="57">
        <f>IF($A1075="",0,IF(OR($S1075&lt;&gt;1,COUNTA($J1075:$M1075)=0),0,IF(SUMPRODUCT(MAX(($C$5:$C$2484=$C1075)*($D$5:$D$2484=$D1075)*($S$5:$S$2484=1)*IFERROR($N$5:$N$2484*1,0)))&gt;0,ROUND($H1075*($N1075/SUMPRODUCT(MAX(($C$5:$C$2484=$C1075)*($D$5:$D$2484=$D1075)*($S$5:$S$2484=1)*IFERROR($N$5:$N$2484*1,0)))),4),0)))</f>
        <v/>
      </c>
      <c r="P1075" s="48" t="inlineStr">
        <is>
          <t>fermate</t>
        </is>
      </c>
      <c r="Q1075" s="57">
        <f>IF($A1075="","",$A1075&amp;"|"&amp;$C1075)</f>
        <v/>
      </c>
      <c r="R1075" s="57">
        <f>IF($A1075="","",$A1075&amp;"|"&amp;$C1075&amp;"|"&amp;$D1075)</f>
        <v/>
      </c>
      <c r="S1075" s="57">
        <f>IF($A1075="","",IFERROR(INDEX(Offerte!$D$2:$D$81,MATCH($Q1075,Offerte!$L$2:$L$81,0)),0))</f>
        <v/>
      </c>
      <c r="T1075" s="57">
        <f>IF($A1075="","",IFERROR(INDEX(Offerte!$G$2:$G$81,MATCH($Q1075,Offerte!$L$2:$L$81,0)),"NO"))</f>
        <v/>
      </c>
    </row>
    <row r="1076">
      <c r="A1076" s="48">
        <f>IF(Offerte!$A36="","",Offerte!$A36)</f>
        <v/>
      </c>
      <c r="B1076" s="48">
        <f>IF(Offerte!$A36="","",Offerte!$B36)</f>
        <v/>
      </c>
      <c r="C1076" s="48">
        <f>IF(Offerte!$A36="","",Offerte!$C36)</f>
        <v/>
      </c>
      <c r="D1076" s="48" t="inlineStr">
        <is>
          <t>D.1.3</t>
        </is>
      </c>
      <c r="E1076" s="48" t="inlineStr">
        <is>
          <t>D</t>
        </is>
      </c>
      <c r="F1076" s="48" t="inlineStr">
        <is>
          <t>Q</t>
        </is>
      </c>
      <c r="G1076" s="48" t="inlineStr">
        <is>
          <t>higher</t>
        </is>
      </c>
      <c r="H1076" s="48" t="n">
        <v>2</v>
      </c>
      <c r="I1076" s="48" t="inlineStr">
        <is>
          <t>Display informativi connessi alle fermate</t>
        </is>
      </c>
      <c r="J1076" s="73" t="n"/>
      <c r="K1076" s="73" t="n"/>
      <c r="L1076" s="73" t="n"/>
      <c r="M1076" s="73" t="n"/>
      <c r="N1076" s="57">
        <f>IF($A1076="","",IFERROR(VALUE($J1076),0))</f>
        <v/>
      </c>
      <c r="O1076" s="57">
        <f>IF($A1076="",0,IF(OR($S1076&lt;&gt;1,COUNTA($J1076:$M1076)=0),0,IF(SUMPRODUCT(MAX(($C$5:$C$2484=$C1076)*($D$5:$D$2484=$D1076)*($S$5:$S$2484=1)*IFERROR($N$5:$N$2484*1,0)))&gt;0,ROUND($H1076*($N1076/SUMPRODUCT(MAX(($C$5:$C$2484=$C1076)*($D$5:$D$2484=$D1076)*($S$5:$S$2484=1)*IFERROR($N$5:$N$2484*1,0)))),4),0)))</f>
        <v/>
      </c>
      <c r="P1076" s="48" t="inlineStr">
        <is>
          <t>fermate</t>
        </is>
      </c>
      <c r="Q1076" s="57">
        <f>IF($A1076="","",$A1076&amp;"|"&amp;$C1076)</f>
        <v/>
      </c>
      <c r="R1076" s="57">
        <f>IF($A1076="","",$A1076&amp;"|"&amp;$C1076&amp;"|"&amp;$D1076)</f>
        <v/>
      </c>
      <c r="S1076" s="57">
        <f>IF($A1076="","",IFERROR(INDEX(Offerte!$D$2:$D$81,MATCH($Q1076,Offerte!$L$2:$L$81,0)),0))</f>
        <v/>
      </c>
      <c r="T1076" s="57">
        <f>IF($A1076="","",IFERROR(INDEX(Offerte!$G$2:$G$81,MATCH($Q1076,Offerte!$L$2:$L$81,0)),"NO"))</f>
        <v/>
      </c>
    </row>
    <row r="1077">
      <c r="A1077" s="48">
        <f>IF(Offerte!$A36="","",Offerte!$A36)</f>
        <v/>
      </c>
      <c r="B1077" s="48">
        <f>IF(Offerte!$A36="","",Offerte!$B36)</f>
        <v/>
      </c>
      <c r="C1077" s="48">
        <f>IF(Offerte!$A36="","",Offerte!$C36)</f>
        <v/>
      </c>
      <c r="D1077" s="48" t="inlineStr">
        <is>
          <t>D.2.1</t>
        </is>
      </c>
      <c r="E1077" s="48" t="inlineStr">
        <is>
          <t>D</t>
        </is>
      </c>
      <c r="F1077" s="48" t="inlineStr">
        <is>
          <t>Q</t>
        </is>
      </c>
      <c r="G1077" s="48" t="inlineStr">
        <is>
          <t>higher</t>
        </is>
      </c>
      <c r="H1077" s="48" t="n">
        <v>2</v>
      </c>
      <c r="I1077" s="48" t="inlineStr">
        <is>
          <t>Segnali tattili Loges-Vet-Evolution</t>
        </is>
      </c>
      <c r="J1077" s="73" t="n"/>
      <c r="K1077" s="73" t="n"/>
      <c r="L1077" s="73" t="n"/>
      <c r="M1077" s="73" t="n"/>
      <c r="N1077" s="57">
        <f>IF($A1077="","",IFERROR(VALUE($J1077),0))</f>
        <v/>
      </c>
      <c r="O1077" s="57">
        <f>IF($A1077="",0,IF(OR($S1077&lt;&gt;1,COUNTA($J1077:$M1077)=0),0,IF(SUMPRODUCT(MAX(($C$5:$C$2484=$C1077)*($D$5:$D$2484=$D1077)*($S$5:$S$2484=1)*IFERROR($N$5:$N$2484*1,0)))&gt;0,ROUND($H1077*($N1077/SUMPRODUCT(MAX(($C$5:$C$2484=$C1077)*($D$5:$D$2484=$D1077)*($S$5:$S$2484=1)*IFERROR($N$5:$N$2484*1,0)))),4),0)))</f>
        <v/>
      </c>
      <c r="P1077" s="48" t="inlineStr">
        <is>
          <t>fermate</t>
        </is>
      </c>
      <c r="Q1077" s="57">
        <f>IF($A1077="","",$A1077&amp;"|"&amp;$C1077)</f>
        <v/>
      </c>
      <c r="R1077" s="57">
        <f>IF($A1077="","",$A1077&amp;"|"&amp;$C1077&amp;"|"&amp;$D1077)</f>
        <v/>
      </c>
      <c r="S1077" s="57">
        <f>IF($A1077="","",IFERROR(INDEX(Offerte!$D$2:$D$81,MATCH($Q1077,Offerte!$L$2:$L$81,0)),0))</f>
        <v/>
      </c>
      <c r="T1077" s="57">
        <f>IF($A1077="","",IFERROR(INDEX(Offerte!$G$2:$G$81,MATCH($Q1077,Offerte!$L$2:$L$81,0)),"NO"))</f>
        <v/>
      </c>
    </row>
    <row r="1078">
      <c r="A1078" s="48">
        <f>IF(Offerte!$A36="","",Offerte!$A36)</f>
        <v/>
      </c>
      <c r="B1078" s="48">
        <f>IF(Offerte!$A36="","",Offerte!$B36)</f>
        <v/>
      </c>
      <c r="C1078" s="48">
        <f>IF(Offerte!$A36="","",Offerte!$C36)</f>
        <v/>
      </c>
      <c r="D1078" s="48" t="inlineStr">
        <is>
          <t>E.1.1</t>
        </is>
      </c>
      <c r="E1078" s="48" t="inlineStr">
        <is>
          <t>E</t>
        </is>
      </c>
      <c r="F1078" s="48" t="inlineStr">
        <is>
          <t>T</t>
        </is>
      </c>
      <c r="G1078" s="48" t="inlineStr">
        <is>
          <t>tabular</t>
        </is>
      </c>
      <c r="H1078" s="48" t="n">
        <v>2</v>
      </c>
      <c r="I1078" s="48" t="inlineStr">
        <is>
          <t>Mobile app con travel planner PRM</t>
        </is>
      </c>
      <c r="J1078" s="73" t="n"/>
      <c r="K1078" s="73" t="n"/>
      <c r="L1078" s="73" t="n"/>
      <c r="M1078" s="73" t="n"/>
      <c r="N1078" s="57">
        <f>IF($A1078="","",IF(IFERROR(VALUE($M1078),0)=1,1,0))</f>
        <v/>
      </c>
      <c r="O1078" s="57">
        <f>IF($A1078="",0,IF(OR($S1078&lt;&gt;1,COUNTA($J1078:$M1078)=0),0,IF($N1078=1,$H1078,0)))</f>
        <v/>
      </c>
      <c r="P1078" s="48" t="inlineStr">
        <is>
          <t>sì/no</t>
        </is>
      </c>
      <c r="Q1078" s="57">
        <f>IF($A1078="","",$A1078&amp;"|"&amp;$C1078)</f>
        <v/>
      </c>
      <c r="R1078" s="57">
        <f>IF($A1078="","",$A1078&amp;"|"&amp;$C1078&amp;"|"&amp;$D1078)</f>
        <v/>
      </c>
      <c r="S1078" s="57">
        <f>IF($A1078="","",IFERROR(INDEX(Offerte!$D$2:$D$81,MATCH($Q1078,Offerte!$L$2:$L$81,0)),0))</f>
        <v/>
      </c>
      <c r="T1078" s="57">
        <f>IF($A1078="","",IFERROR(INDEX(Offerte!$G$2:$G$81,MATCH($Q1078,Offerte!$L$2:$L$81,0)),"NO"))</f>
        <v/>
      </c>
    </row>
    <row r="1079">
      <c r="A1079" s="48">
        <f>IF(Offerte!$A36="","",Offerte!$A36)</f>
        <v/>
      </c>
      <c r="B1079" s="48">
        <f>IF(Offerte!$A36="","",Offerte!$B36)</f>
        <v/>
      </c>
      <c r="C1079" s="48">
        <f>IF(Offerte!$A36="","",Offerte!$C36)</f>
        <v/>
      </c>
      <c r="D1079" s="48" t="inlineStr">
        <is>
          <t>E.2.1</t>
        </is>
      </c>
      <c r="E1079" s="48" t="inlineStr">
        <is>
          <t>E</t>
        </is>
      </c>
      <c r="F1079" s="48" t="inlineStr">
        <is>
          <t>D</t>
        </is>
      </c>
      <c r="G1079" s="48" t="inlineStr">
        <is>
          <t>discretionary</t>
        </is>
      </c>
      <c r="H1079" s="48" t="n">
        <v>2</v>
      </c>
      <c r="I1079" s="48" t="inlineStr">
        <is>
          <t>Altre azioni informative e rapporti con gli utenti</t>
        </is>
      </c>
      <c r="J1079" s="73" t="n"/>
      <c r="K1079" s="73" t="n"/>
      <c r="L1079" s="73" t="n"/>
      <c r="M1079" s="73" t="n"/>
      <c r="N1079" s="57">
        <f>IF($A1079="","",MAX(0,MIN(1,IFERROR(VALUE($M1079),0))))</f>
        <v/>
      </c>
      <c r="O1079" s="57">
        <f>IF($A1079="",0,IF(OR($S1079&lt;&gt;1,COUNTA($J1079:$M1079)=0),0,IF(SUMPRODUCT(MAX(($C$5:$C$2484=$C1079)*($D$5:$D$2484=$D1079)*($S$5:$S$2484=1)*IFERROR($N$5:$N$2484*1,0)))&gt;0,ROUND($H1079*($N1079/SUMPRODUCT(MAX(($C$5:$C$2484=$C1079)*($D$5:$D$2484=$D1079)*($S$5:$S$2484=1)*IFERROR($N$5:$N$2484*1,0)))),4),0)))</f>
        <v/>
      </c>
      <c r="P1079" s="48" t="inlineStr">
        <is>
          <t>coeff.</t>
        </is>
      </c>
      <c r="Q1079" s="57">
        <f>IF($A1079="","",$A1079&amp;"|"&amp;$C1079)</f>
        <v/>
      </c>
      <c r="R1079" s="57">
        <f>IF($A1079="","",$A1079&amp;"|"&amp;$C1079&amp;"|"&amp;$D1079)</f>
        <v/>
      </c>
      <c r="S1079" s="57">
        <f>IF($A1079="","",IFERROR(INDEX(Offerte!$D$2:$D$81,MATCH($Q1079,Offerte!$L$2:$L$81,0)),0))</f>
        <v/>
      </c>
      <c r="T1079" s="57">
        <f>IF($A1079="","",IFERROR(INDEX(Offerte!$G$2:$G$81,MATCH($Q1079,Offerte!$L$2:$L$81,0)),"NO"))</f>
        <v/>
      </c>
    </row>
    <row r="1080">
      <c r="A1080" s="48">
        <f>IF(Offerte!$A36="","",Offerte!$A36)</f>
        <v/>
      </c>
      <c r="B1080" s="48">
        <f>IF(Offerte!$A36="","",Offerte!$B36)</f>
        <v/>
      </c>
      <c r="C1080" s="48">
        <f>IF(Offerte!$A36="","",Offerte!$C36)</f>
        <v/>
      </c>
      <c r="D1080" s="48" t="inlineStr">
        <is>
          <t>F.1.1</t>
        </is>
      </c>
      <c r="E1080" s="48" t="inlineStr">
        <is>
          <t>F</t>
        </is>
      </c>
      <c r="F1080" s="48" t="inlineStr">
        <is>
          <t>Q</t>
        </is>
      </c>
      <c r="G1080" s="48" t="inlineStr">
        <is>
          <t>lower</t>
        </is>
      </c>
      <c r="H1080" s="48" t="n">
        <v>7</v>
      </c>
      <c r="I1080" s="48" t="inlineStr">
        <is>
          <t>Performance ambientali del parco mezzi adibito al servizio - I_CEA</t>
        </is>
      </c>
      <c r="J1080" s="73" t="n"/>
      <c r="K1080" s="73" t="n"/>
      <c r="L1080" s="73" t="n"/>
      <c r="M1080" s="73" t="n"/>
      <c r="N1080" s="57">
        <f>IF($A1080="","",IFERROR(VALUE($J1080),0))</f>
        <v/>
      </c>
      <c r="O1080" s="57">
        <f>IF($A1080="",0,IF(OR($S1080&lt;&gt;1,COUNTA($J1080:$M1080)=0),0,IF(AND(IFERROR(AGGREGATE(15,6,$N$5:$N$2484/(($C$5:$C$2484=$C1080)*($D$5:$D$2484=$D1080)*($S$5:$S$2484=1)*($N$5:$N$2484&gt;0)),1),0)&gt;0,$N1080&gt;0),ROUND($H1080*(IFERROR(AGGREGATE(15,6,$N$5:$N$2484/(($C$5:$C$2484=$C1080)*($D$5:$D$2484=$D1080)*($S$5:$S$2484=1)*($N$5:$N$2484&gt;0)),1),0)/$N1080),4),0)))</f>
        <v/>
      </c>
      <c r="P1080" s="48" t="inlineStr">
        <is>
          <t>indice</t>
        </is>
      </c>
      <c r="Q1080" s="57">
        <f>IF($A1080="","",$A1080&amp;"|"&amp;$C1080)</f>
        <v/>
      </c>
      <c r="R1080" s="57">
        <f>IF($A1080="","",$A1080&amp;"|"&amp;$C1080&amp;"|"&amp;$D1080)</f>
        <v/>
      </c>
      <c r="S1080" s="57">
        <f>IF($A1080="","",IFERROR(INDEX(Offerte!$D$2:$D$81,MATCH($Q1080,Offerte!$L$2:$L$81,0)),0))</f>
        <v/>
      </c>
      <c r="T1080" s="57">
        <f>IF($A1080="","",IFERROR(INDEX(Offerte!$G$2:$G$81,MATCH($Q1080,Offerte!$L$2:$L$81,0)),"NO"))</f>
        <v/>
      </c>
    </row>
    <row r="1081">
      <c r="A1081" s="48">
        <f>IF(Offerte!$A36="","",Offerte!$A36)</f>
        <v/>
      </c>
      <c r="B1081" s="48">
        <f>IF(Offerte!$A36="","",Offerte!$B36)</f>
        <v/>
      </c>
      <c r="C1081" s="48">
        <f>IF(Offerte!$A36="","",Offerte!$C36)</f>
        <v/>
      </c>
      <c r="D1081" s="48" t="inlineStr">
        <is>
          <t>F.2.1</t>
        </is>
      </c>
      <c r="E1081" s="48" t="inlineStr">
        <is>
          <t>F</t>
        </is>
      </c>
      <c r="F1081" s="48" t="inlineStr">
        <is>
          <t>Q</t>
        </is>
      </c>
      <c r="G1081" s="48" t="inlineStr">
        <is>
          <t>higher</t>
        </is>
      </c>
      <c r="H1081" s="48" t="n">
        <v>2</v>
      </c>
      <c r="I1081" s="48" t="inlineStr">
        <is>
          <t>Tasso di copertura del servizio con dispositivi ECO-DRIVER</t>
        </is>
      </c>
      <c r="J1081" s="73" t="n"/>
      <c r="K1081" s="73" t="n"/>
      <c r="L1081" s="73" t="n"/>
      <c r="M1081" s="73" t="n"/>
      <c r="N1081" s="57">
        <f>IF($A1081="","",IFERROR(VALUE($K1081)/VALUE($L1081),IFERROR(VALUE($J1081),0)))</f>
        <v/>
      </c>
      <c r="O1081" s="57">
        <f>IF($A1081="",0,IF(OR($S1081&lt;&gt;1,COUNTA($J1081:$M1081)=0),0,IF(SUMPRODUCT(MAX(($C$5:$C$2484=$C1081)*($D$5:$D$2484=$D1081)*($S$5:$S$2484=1)*IFERROR($N$5:$N$2484*1,0)))&gt;0,ROUND($H1081*($N1081/SUMPRODUCT(MAX(($C$5:$C$2484=$C1081)*($D$5:$D$2484=$D1081)*($S$5:$S$2484=1)*IFERROR($N$5:$N$2484*1,0)))),4),0)))</f>
        <v/>
      </c>
      <c r="P1081" s="48" t="inlineStr">
        <is>
          <t>Autobus attrezzati con dispositivi ECO-DRIVER / Autobus totali in offerta, incluse scorte</t>
        </is>
      </c>
      <c r="Q1081" s="57">
        <f>IF($A1081="","",$A1081&amp;"|"&amp;$C1081)</f>
        <v/>
      </c>
      <c r="R1081" s="57">
        <f>IF($A1081="","",$A1081&amp;"|"&amp;$C1081&amp;"|"&amp;$D1081)</f>
        <v/>
      </c>
      <c r="S1081" s="57">
        <f>IF($A1081="","",IFERROR(INDEX(Offerte!$D$2:$D$81,MATCH($Q1081,Offerte!$L$2:$L$81,0)),0))</f>
        <v/>
      </c>
      <c r="T1081" s="57">
        <f>IF($A1081="","",IFERROR(INDEX(Offerte!$G$2:$G$81,MATCH($Q1081,Offerte!$L$2:$L$81,0)),"NO"))</f>
        <v/>
      </c>
    </row>
    <row r="1082">
      <c r="A1082" s="48">
        <f>IF(Offerte!$A36="","",Offerte!$A36)</f>
        <v/>
      </c>
      <c r="B1082" s="48">
        <f>IF(Offerte!$A36="","",Offerte!$B36)</f>
        <v/>
      </c>
      <c r="C1082" s="48">
        <f>IF(Offerte!$A36="","",Offerte!$C36)</f>
        <v/>
      </c>
      <c r="D1082" s="48" t="inlineStr">
        <is>
          <t>F.3.1</t>
        </is>
      </c>
      <c r="E1082" s="48" t="inlineStr">
        <is>
          <t>F</t>
        </is>
      </c>
      <c r="F1082" s="48" t="inlineStr">
        <is>
          <t>Q</t>
        </is>
      </c>
      <c r="G1082" s="48" t="inlineStr">
        <is>
          <t>higher</t>
        </is>
      </c>
      <c r="H1082" s="48" t="n">
        <v>2</v>
      </c>
      <c r="I1082" s="48" t="inlineStr">
        <is>
          <t>Autoproduzione consumi elettrici per trazione</t>
        </is>
      </c>
      <c r="J1082" s="73" t="n"/>
      <c r="K1082" s="73" t="n"/>
      <c r="L1082" s="73" t="n"/>
      <c r="M1082" s="73" t="n"/>
      <c r="N1082" s="57">
        <f>IF($A1082="","",IFERROR(VALUE($J1082),0))</f>
        <v/>
      </c>
      <c r="O1082" s="57">
        <f>IF($A1082="",0,IF(OR($S1082&lt;&gt;1,COUNTA($J1082:$M1082)=0),0,IF(SUMPRODUCT(MAX(($C$5:$C$2484=$C1082)*($D$5:$D$2484=$D1082)*($S$5:$S$2484=1)*IFERROR($N$5:$N$2484*1,0)))&gt;0,ROUND($H1082*($N1082/SUMPRODUCT(MAX(($C$5:$C$2484=$C1082)*($D$5:$D$2484=$D1082)*($S$5:$S$2484=1)*IFERROR($N$5:$N$2484*1,0)))),4),0)))</f>
        <v/>
      </c>
      <c r="P1082" s="48" t="inlineStr">
        <is>
          <t>kWh/anno</t>
        </is>
      </c>
      <c r="Q1082" s="57">
        <f>IF($A1082="","",$A1082&amp;"|"&amp;$C1082)</f>
        <v/>
      </c>
      <c r="R1082" s="57">
        <f>IF($A1082="","",$A1082&amp;"|"&amp;$C1082&amp;"|"&amp;$D1082)</f>
        <v/>
      </c>
      <c r="S1082" s="57">
        <f>IF($A1082="","",IFERROR(INDEX(Offerte!$D$2:$D$81,MATCH($Q1082,Offerte!$L$2:$L$81,0)),0))</f>
        <v/>
      </c>
      <c r="T1082" s="57">
        <f>IF($A1082="","",IFERROR(INDEX(Offerte!$G$2:$G$81,MATCH($Q1082,Offerte!$L$2:$L$81,0)),"NO"))</f>
        <v/>
      </c>
    </row>
    <row r="1083">
      <c r="A1083" s="48">
        <f>IF(Offerte!$A36="","",Offerte!$A36)</f>
        <v/>
      </c>
      <c r="B1083" s="48">
        <f>IF(Offerte!$A36="","",Offerte!$B36)</f>
        <v/>
      </c>
      <c r="C1083" s="48">
        <f>IF(Offerte!$A36="","",Offerte!$C36)</f>
        <v/>
      </c>
      <c r="D1083" s="48" t="inlineStr">
        <is>
          <t>F.4.1</t>
        </is>
      </c>
      <c r="E1083" s="48" t="inlineStr">
        <is>
          <t>F</t>
        </is>
      </c>
      <c r="F1083" s="48" t="inlineStr">
        <is>
          <t>Q</t>
        </is>
      </c>
      <c r="G1083" s="48" t="inlineStr">
        <is>
          <t>soil</t>
        </is>
      </c>
      <c r="H1083" s="48" t="n">
        <v>2</v>
      </c>
      <c r="I1083" s="48" t="inlineStr">
        <is>
          <t>Indice di consumo di suolo</t>
        </is>
      </c>
      <c r="J1083" s="73" t="n"/>
      <c r="K1083" s="73" t="n"/>
      <c r="L1083" s="73" t="n"/>
      <c r="M1083" s="73" t="n"/>
      <c r="N1083" s="57">
        <f>IF($A1083="","",IFERROR(VALUE($J1083),0))</f>
        <v/>
      </c>
      <c r="O1083" s="57">
        <f>IF($A1083="",0,IF(OR($S1083&lt;&gt;1,COUNTA($J1083:$M1083)=0),0,IF($N1083&lt;=0,$H1083,IF(SUMPRODUCT(MAX(($C$5:$C$2484=$C1083)*($D$5:$D$2484=$D1083)*($S$5:$S$2484=1)*IFERROR($N$5:$N$2484*1,0)))&gt;0,ROUND($H1083*((SUMPRODUCT(MAX(($C$5:$C$2484=$C1083)*($D$5:$D$2484=$D1083)*($S$5:$S$2484=1)*IFERROR($N$5:$N$2484*1,0)))-$N1083)/SUMPRODUCT(MAX(($C$5:$C$2484=$C1083)*($D$5:$D$2484=$D1083)*($S$5:$S$2484=1)*IFERROR($N$5:$N$2484*1,0)))),4),0))))</f>
        <v/>
      </c>
      <c r="P1083" s="48" t="inlineStr">
        <is>
          <t>m2</t>
        </is>
      </c>
      <c r="Q1083" s="57">
        <f>IF($A1083="","",$A1083&amp;"|"&amp;$C1083)</f>
        <v/>
      </c>
      <c r="R1083" s="57">
        <f>IF($A1083="","",$A1083&amp;"|"&amp;$C1083&amp;"|"&amp;$D1083)</f>
        <v/>
      </c>
      <c r="S1083" s="57">
        <f>IF($A1083="","",IFERROR(INDEX(Offerte!$D$2:$D$81,MATCH($Q1083,Offerte!$L$2:$L$81,0)),0))</f>
        <v/>
      </c>
      <c r="T1083" s="57">
        <f>IF($A1083="","",IFERROR(INDEX(Offerte!$G$2:$G$81,MATCH($Q1083,Offerte!$L$2:$L$81,0)),"NO"))</f>
        <v/>
      </c>
    </row>
    <row r="1084">
      <c r="A1084" s="48">
        <f>IF(Offerte!$A36="","",Offerte!$A36)</f>
        <v/>
      </c>
      <c r="B1084" s="48">
        <f>IF(Offerte!$A36="","",Offerte!$B36)</f>
        <v/>
      </c>
      <c r="C1084" s="48">
        <f>IF(Offerte!$A36="","",Offerte!$C36)</f>
        <v/>
      </c>
      <c r="D1084" s="48" t="inlineStr">
        <is>
          <t>F.5.1</t>
        </is>
      </c>
      <c r="E1084" s="48" t="inlineStr">
        <is>
          <t>F</t>
        </is>
      </c>
      <c r="F1084" s="48" t="inlineStr">
        <is>
          <t>T</t>
        </is>
      </c>
      <c r="G1084" s="48" t="inlineStr">
        <is>
          <t>tabular</t>
        </is>
      </c>
      <c r="H1084" s="48" t="n">
        <v>1</v>
      </c>
      <c r="I1084" s="48" t="inlineStr">
        <is>
          <t>Rendicontazione di sostenibilità ambientale</t>
        </is>
      </c>
      <c r="J1084" s="73" t="n"/>
      <c r="K1084" s="73" t="n"/>
      <c r="L1084" s="73" t="n"/>
      <c r="M1084" s="73" t="n"/>
      <c r="N1084" s="57">
        <f>IF($A1084="","",IF(IFERROR(VALUE($M1084),0)=1,1,0))</f>
        <v/>
      </c>
      <c r="O1084" s="57">
        <f>IF($A1084="",0,IF(OR($S1084&lt;&gt;1,COUNTA($J1084:$M1084)=0),0,IF($N1084=1,$H1084,0)))</f>
        <v/>
      </c>
      <c r="P1084" s="48" t="inlineStr">
        <is>
          <t>sì/no</t>
        </is>
      </c>
      <c r="Q1084" s="57">
        <f>IF($A1084="","",$A1084&amp;"|"&amp;$C1084)</f>
        <v/>
      </c>
      <c r="R1084" s="57">
        <f>IF($A1084="","",$A1084&amp;"|"&amp;$C1084&amp;"|"&amp;$D1084)</f>
        <v/>
      </c>
      <c r="S1084" s="57">
        <f>IF($A1084="","",IFERROR(INDEX(Offerte!$D$2:$D$81,MATCH($Q1084,Offerte!$L$2:$L$81,0)),0))</f>
        <v/>
      </c>
      <c r="T1084" s="57">
        <f>IF($A1084="","",IFERROR(INDEX(Offerte!$G$2:$G$81,MATCH($Q1084,Offerte!$L$2:$L$81,0)),"NO"))</f>
        <v/>
      </c>
    </row>
    <row r="1085">
      <c r="A1085" s="48">
        <f>IF(Offerte!$A36="","",Offerte!$A36)</f>
        <v/>
      </c>
      <c r="B1085" s="48">
        <f>IF(Offerte!$A36="","",Offerte!$B36)</f>
        <v/>
      </c>
      <c r="C1085" s="48">
        <f>IF(Offerte!$A36="","",Offerte!$C36)</f>
        <v/>
      </c>
      <c r="D1085" s="48" t="inlineStr">
        <is>
          <t>G.1.1</t>
        </is>
      </c>
      <c r="E1085" s="48" t="inlineStr">
        <is>
          <t>G</t>
        </is>
      </c>
      <c r="F1085" s="48" t="inlineStr">
        <is>
          <t>D</t>
        </is>
      </c>
      <c r="G1085" s="48" t="inlineStr">
        <is>
          <t>discretionary</t>
        </is>
      </c>
      <c r="H1085" s="48" t="n">
        <v>2</v>
      </c>
      <c r="I1085" s="48" t="inlineStr">
        <is>
          <t>Qualità del progetto di centrale di controllo aziendale</t>
        </is>
      </c>
      <c r="J1085" s="73" t="n"/>
      <c r="K1085" s="73" t="n"/>
      <c r="L1085" s="73" t="n"/>
      <c r="M1085" s="73" t="n"/>
      <c r="N1085" s="57">
        <f>IF($A1085="","",MAX(0,MIN(1,IFERROR(VALUE($M1085),0))))</f>
        <v/>
      </c>
      <c r="O1085" s="57">
        <f>IF($A1085="",0,IF(OR($S1085&lt;&gt;1,COUNTA($J1085:$M1085)=0),0,IF(SUMPRODUCT(MAX(($C$5:$C$2484=$C1085)*($D$5:$D$2484=$D1085)*($S$5:$S$2484=1)*IFERROR($N$5:$N$2484*1,0)))&gt;0,ROUND($H1085*($N1085/SUMPRODUCT(MAX(($C$5:$C$2484=$C1085)*($D$5:$D$2484=$D1085)*($S$5:$S$2484=1)*IFERROR($N$5:$N$2484*1,0)))),4),0)))</f>
        <v/>
      </c>
      <c r="P1085" s="48" t="inlineStr">
        <is>
          <t>coeff.</t>
        </is>
      </c>
      <c r="Q1085" s="57">
        <f>IF($A1085="","",$A1085&amp;"|"&amp;$C1085)</f>
        <v/>
      </c>
      <c r="R1085" s="57">
        <f>IF($A1085="","",$A1085&amp;"|"&amp;$C1085&amp;"|"&amp;$D1085)</f>
        <v/>
      </c>
      <c r="S1085" s="57">
        <f>IF($A1085="","",IFERROR(INDEX(Offerte!$D$2:$D$81,MATCH($Q1085,Offerte!$L$2:$L$81,0)),0))</f>
        <v/>
      </c>
      <c r="T1085" s="57">
        <f>IF($A1085="","",IFERROR(INDEX(Offerte!$G$2:$G$81,MATCH($Q1085,Offerte!$L$2:$L$81,0)),"NO"))</f>
        <v/>
      </c>
    </row>
    <row r="1086">
      <c r="A1086" s="48">
        <f>IF(Offerte!$A36="","",Offerte!$A36)</f>
        <v/>
      </c>
      <c r="B1086" s="48">
        <f>IF(Offerte!$A36="","",Offerte!$B36)</f>
        <v/>
      </c>
      <c r="C1086" s="48">
        <f>IF(Offerte!$A36="","",Offerte!$C36)</f>
        <v/>
      </c>
      <c r="D1086" s="48" t="inlineStr">
        <is>
          <t>G.2.1</t>
        </is>
      </c>
      <c r="E1086" s="48" t="inlineStr">
        <is>
          <t>G</t>
        </is>
      </c>
      <c r="F1086" s="48" t="inlineStr">
        <is>
          <t>T</t>
        </is>
      </c>
      <c r="G1086" s="48" t="inlineStr">
        <is>
          <t>tabular</t>
        </is>
      </c>
      <c r="H1086" s="48" t="n">
        <v>1</v>
      </c>
      <c r="I1086" s="48" t="inlineStr">
        <is>
          <t>Certificazione ISO 45001</t>
        </is>
      </c>
      <c r="J1086" s="73" t="n"/>
      <c r="K1086" s="73" t="n"/>
      <c r="L1086" s="73" t="n"/>
      <c r="M1086" s="73" t="n"/>
      <c r="N1086" s="57">
        <f>IF($A1086="","",IF(IFERROR(VALUE($M1086),0)=1,1,0))</f>
        <v/>
      </c>
      <c r="O1086" s="57">
        <f>IF($A1086="",0,IF(OR($S1086&lt;&gt;1,COUNTA($J1086:$M1086)=0),0,IF($N1086=1,$H1086,0)))</f>
        <v/>
      </c>
      <c r="P1086" s="48" t="inlineStr">
        <is>
          <t>sì/no</t>
        </is>
      </c>
      <c r="Q1086" s="57">
        <f>IF($A1086="","",$A1086&amp;"|"&amp;$C1086)</f>
        <v/>
      </c>
      <c r="R1086" s="57">
        <f>IF($A1086="","",$A1086&amp;"|"&amp;$C1086&amp;"|"&amp;$D1086)</f>
        <v/>
      </c>
      <c r="S1086" s="57">
        <f>IF($A1086="","",IFERROR(INDEX(Offerte!$D$2:$D$81,MATCH($Q1086,Offerte!$L$2:$L$81,0)),0))</f>
        <v/>
      </c>
      <c r="T1086" s="57">
        <f>IF($A1086="","",IFERROR(INDEX(Offerte!$G$2:$G$81,MATCH($Q1086,Offerte!$L$2:$L$81,0)),"NO"))</f>
        <v/>
      </c>
    </row>
    <row r="1087">
      <c r="A1087" s="48">
        <f>IF(Offerte!$A36="","",Offerte!$A36)</f>
        <v/>
      </c>
      <c r="B1087" s="48">
        <f>IF(Offerte!$A36="","",Offerte!$B36)</f>
        <v/>
      </c>
      <c r="C1087" s="48">
        <f>IF(Offerte!$A36="","",Offerte!$C36)</f>
        <v/>
      </c>
      <c r="D1087" s="48" t="inlineStr">
        <is>
          <t>G.3.1</t>
        </is>
      </c>
      <c r="E1087" s="48" t="inlineStr">
        <is>
          <t>G</t>
        </is>
      </c>
      <c r="F1087" s="48" t="inlineStr">
        <is>
          <t>T</t>
        </is>
      </c>
      <c r="G1087" s="48" t="inlineStr">
        <is>
          <t>tabular</t>
        </is>
      </c>
      <c r="H1087" s="48" t="n">
        <v>1</v>
      </c>
      <c r="I1087" s="48" t="inlineStr">
        <is>
          <t>Certificazioni di responsabilità sociale</t>
        </is>
      </c>
      <c r="J1087" s="73" t="n"/>
      <c r="K1087" s="73" t="n"/>
      <c r="L1087" s="73" t="n"/>
      <c r="M1087" s="73" t="n"/>
      <c r="N1087" s="57">
        <f>IF($A1087="","",IF(IFERROR(VALUE($M1087),0)=1,1,0))</f>
        <v/>
      </c>
      <c r="O1087" s="57">
        <f>IF($A1087="",0,IF(OR($S1087&lt;&gt;1,COUNTA($J1087:$M1087)=0),0,IF($N1087=1,$H1087,0)))</f>
        <v/>
      </c>
      <c r="P1087" s="48" t="inlineStr">
        <is>
          <t>sì/no</t>
        </is>
      </c>
      <c r="Q1087" s="57">
        <f>IF($A1087="","",$A1087&amp;"|"&amp;$C1087)</f>
        <v/>
      </c>
      <c r="R1087" s="57">
        <f>IF($A1087="","",$A1087&amp;"|"&amp;$C1087&amp;"|"&amp;$D1087)</f>
        <v/>
      </c>
      <c r="S1087" s="57">
        <f>IF($A1087="","",IFERROR(INDEX(Offerte!$D$2:$D$81,MATCH($Q1087,Offerte!$L$2:$L$81,0)),0))</f>
        <v/>
      </c>
      <c r="T1087" s="57">
        <f>IF($A1087="","",IFERROR(INDEX(Offerte!$G$2:$G$81,MATCH($Q1087,Offerte!$L$2:$L$81,0)),"NO"))</f>
        <v/>
      </c>
    </row>
    <row r="1088">
      <c r="A1088" s="48">
        <f>IF(Offerte!$A36="","",Offerte!$A36)</f>
        <v/>
      </c>
      <c r="B1088" s="48">
        <f>IF(Offerte!$A36="","",Offerte!$B36)</f>
        <v/>
      </c>
      <c r="C1088" s="48">
        <f>IF(Offerte!$A36="","",Offerte!$C36)</f>
        <v/>
      </c>
      <c r="D1088" s="48" t="inlineStr">
        <is>
          <t>G.4.1</t>
        </is>
      </c>
      <c r="E1088" s="48" t="inlineStr">
        <is>
          <t>G</t>
        </is>
      </c>
      <c r="F1088" s="48" t="inlineStr">
        <is>
          <t>D</t>
        </is>
      </c>
      <c r="G1088" s="48" t="inlineStr">
        <is>
          <t>discretionary</t>
        </is>
      </c>
      <c r="H1088" s="48" t="n">
        <v>2</v>
      </c>
      <c r="I1088" s="48" t="inlineStr">
        <is>
          <t>Qualità del piano di formazione del personale</t>
        </is>
      </c>
      <c r="J1088" s="73" t="n"/>
      <c r="K1088" s="73" t="n"/>
      <c r="L1088" s="73" t="n"/>
      <c r="M1088" s="73" t="n"/>
      <c r="N1088" s="57">
        <f>IF($A1088="","",MAX(0,MIN(1,IFERROR(VALUE($M1088),0))))</f>
        <v/>
      </c>
      <c r="O1088" s="57">
        <f>IF($A1088="",0,IF(OR($S1088&lt;&gt;1,COUNTA($J1088:$M1088)=0),0,IF(SUMPRODUCT(MAX(($C$5:$C$2484=$C1088)*($D$5:$D$2484=$D1088)*($S$5:$S$2484=1)*IFERROR($N$5:$N$2484*1,0)))&gt;0,ROUND($H1088*($N1088/SUMPRODUCT(MAX(($C$5:$C$2484=$C1088)*($D$5:$D$2484=$D1088)*($S$5:$S$2484=1)*IFERROR($N$5:$N$2484*1,0)))),4),0)))</f>
        <v/>
      </c>
      <c r="P1088" s="48" t="inlineStr">
        <is>
          <t>coeff.</t>
        </is>
      </c>
      <c r="Q1088" s="57">
        <f>IF($A1088="","",$A1088&amp;"|"&amp;$C1088)</f>
        <v/>
      </c>
      <c r="R1088" s="57">
        <f>IF($A1088="","",$A1088&amp;"|"&amp;$C1088&amp;"|"&amp;$D1088)</f>
        <v/>
      </c>
      <c r="S1088" s="57">
        <f>IF($A1088="","",IFERROR(INDEX(Offerte!$D$2:$D$81,MATCH($Q1088,Offerte!$L$2:$L$81,0)),0))</f>
        <v/>
      </c>
      <c r="T1088" s="57">
        <f>IF($A1088="","",IFERROR(INDEX(Offerte!$G$2:$G$81,MATCH($Q1088,Offerte!$L$2:$L$81,0)),"NO"))</f>
        <v/>
      </c>
    </row>
    <row r="1089">
      <c r="A1089" s="48">
        <f>IF(Offerte!$A36="","",Offerte!$A36)</f>
        <v/>
      </c>
      <c r="B1089" s="48">
        <f>IF(Offerte!$A36="","",Offerte!$B36)</f>
        <v/>
      </c>
      <c r="C1089" s="48">
        <f>IF(Offerte!$A36="","",Offerte!$C36)</f>
        <v/>
      </c>
      <c r="D1089" s="48" t="inlineStr">
        <is>
          <t>G.5.1</t>
        </is>
      </c>
      <c r="E1089" s="48" t="inlineStr">
        <is>
          <t>G</t>
        </is>
      </c>
      <c r="F1089" s="48" t="inlineStr">
        <is>
          <t>T</t>
        </is>
      </c>
      <c r="G1089" s="48" t="inlineStr">
        <is>
          <t>tabular</t>
        </is>
      </c>
      <c r="H1089" s="48" t="n">
        <v>1</v>
      </c>
      <c r="I1089" s="48" t="inlineStr">
        <is>
          <t>Impegno al mantenimento delle garanzie del contratto di secondo livello del gestore uscente</t>
        </is>
      </c>
      <c r="J1089" s="73" t="n"/>
      <c r="K1089" s="73" t="n"/>
      <c r="L1089" s="73" t="n"/>
      <c r="M1089" s="73" t="n"/>
      <c r="N1089" s="57">
        <f>IF($A1089="","",IF(IFERROR(VALUE($M1089),0)=1,1,0))</f>
        <v/>
      </c>
      <c r="O1089" s="57">
        <f>IF($A1089="",0,IF(OR($S1089&lt;&gt;1,COUNTA($J1089:$M1089)=0),0,IF($N1089=1,$H1089,0)))</f>
        <v/>
      </c>
      <c r="P1089" s="48" t="inlineStr">
        <is>
          <t>sì/no</t>
        </is>
      </c>
      <c r="Q1089" s="57">
        <f>IF($A1089="","",$A1089&amp;"|"&amp;$C1089)</f>
        <v/>
      </c>
      <c r="R1089" s="57">
        <f>IF($A1089="","",$A1089&amp;"|"&amp;$C1089&amp;"|"&amp;$D1089)</f>
        <v/>
      </c>
      <c r="S1089" s="57">
        <f>IF($A1089="","",IFERROR(INDEX(Offerte!$D$2:$D$81,MATCH($Q1089,Offerte!$L$2:$L$81,0)),0))</f>
        <v/>
      </c>
      <c r="T1089" s="57">
        <f>IF($A1089="","",IFERROR(INDEX(Offerte!$G$2:$G$81,MATCH($Q1089,Offerte!$L$2:$L$81,0)),"NO"))</f>
        <v/>
      </c>
    </row>
    <row r="1090">
      <c r="A1090" s="48">
        <f>IF(Offerte!$A37="","",Offerte!$A37)</f>
        <v/>
      </c>
      <c r="B1090" s="48">
        <f>IF(Offerte!$A37="","",Offerte!$B37)</f>
        <v/>
      </c>
      <c r="C1090" s="48">
        <f>IF(Offerte!$A37="","",Offerte!$C37)</f>
        <v/>
      </c>
      <c r="D1090" s="48" t="inlineStr">
        <is>
          <t>A.1.1</t>
        </is>
      </c>
      <c r="E1090" s="48" t="inlineStr">
        <is>
          <t>A</t>
        </is>
      </c>
      <c r="F1090" s="48" t="inlineStr">
        <is>
          <t>Q</t>
        </is>
      </c>
      <c r="G1090" s="48" t="inlineStr">
        <is>
          <t>higher</t>
        </is>
      </c>
      <c r="H1090" s="48" t="n">
        <v>3</v>
      </c>
      <c r="I1090" s="48" t="inlineStr">
        <is>
          <t>Tasso aggiuntivo di corse controllate</t>
        </is>
      </c>
      <c r="J1090" s="73" t="n"/>
      <c r="K1090" s="73" t="n"/>
      <c r="L1090" s="73" t="n"/>
      <c r="M1090" s="73" t="n"/>
      <c r="N1090" s="57">
        <f>IF($A1090="","",IFERROR(VALUE($K1090)/VALUE($L1090)*100,IFERROR(VALUE($J1090),0)))</f>
        <v/>
      </c>
      <c r="O1090" s="57">
        <f>IF($A1090="",0,IF(OR($S1090&lt;&gt;1,COUNTA($J1090:$M1090)=0),0,IF(SUMPRODUCT(MAX(($C$5:$C$2484=$C1090)*($D$5:$D$2484=$D1090)*($S$5:$S$2484=1)*IFERROR($N$5:$N$2484*1,0)))&gt;0,ROUND($H1090*($N1090/SUMPRODUCT(MAX(($C$5:$C$2484=$C1090)*($D$5:$D$2484=$D1090)*($S$5:$S$2484=1)*IFERROR($N$5:$N$2484*1,0)))),4),0)))</f>
        <v/>
      </c>
      <c r="P1090" s="48" t="inlineStr">
        <is>
          <t>Corse controllate annue / Corse programmate annue</t>
        </is>
      </c>
      <c r="Q1090" s="57">
        <f>IF($A1090="","",$A1090&amp;"|"&amp;$C1090)</f>
        <v/>
      </c>
      <c r="R1090" s="57">
        <f>IF($A1090="","",$A1090&amp;"|"&amp;$C1090&amp;"|"&amp;$D1090)</f>
        <v/>
      </c>
      <c r="S1090" s="57">
        <f>IF($A1090="","",IFERROR(INDEX(Offerte!$D$2:$D$81,MATCH($Q1090,Offerte!$L$2:$L$81,0)),0))</f>
        <v/>
      </c>
      <c r="T1090" s="57">
        <f>IF($A1090="","",IFERROR(INDEX(Offerte!$G$2:$G$81,MATCH($Q1090,Offerte!$L$2:$L$81,0)),"NO"))</f>
        <v/>
      </c>
    </row>
    <row r="1091">
      <c r="A1091" s="48">
        <f>IF(Offerte!$A37="","",Offerte!$A37)</f>
        <v/>
      </c>
      <c r="B1091" s="48">
        <f>IF(Offerte!$A37="","",Offerte!$B37)</f>
        <v/>
      </c>
      <c r="C1091" s="48">
        <f>IF(Offerte!$A37="","",Offerte!$C37)</f>
        <v/>
      </c>
      <c r="D1091" s="48" t="inlineStr">
        <is>
          <t>A.1.2</t>
        </is>
      </c>
      <c r="E1091" s="48" t="inlineStr">
        <is>
          <t>A</t>
        </is>
      </c>
      <c r="F1091" s="48" t="inlineStr">
        <is>
          <t>Q</t>
        </is>
      </c>
      <c r="G1091" s="48" t="inlineStr">
        <is>
          <t>higher</t>
        </is>
      </c>
      <c r="H1091" s="48" t="n">
        <v>4</v>
      </c>
      <c r="I1091" s="48" t="inlineStr">
        <is>
          <t>Numero aggiuntivo di passeggeri controllati</t>
        </is>
      </c>
      <c r="J1091" s="73" t="n"/>
      <c r="K1091" s="73" t="n"/>
      <c r="L1091" s="73" t="n"/>
      <c r="M1091" s="73" t="n"/>
      <c r="N1091" s="57">
        <f>IF($A1091="","",IFERROR(VALUE($J1091),0))</f>
        <v/>
      </c>
      <c r="O1091" s="57">
        <f>IF($A1091="",0,IF(OR($S1091&lt;&gt;1,COUNTA($J1091:$M1091)=0),0,IF(SUMPRODUCT(MAX(($C$5:$C$2484=$C1091)*($D$5:$D$2484=$D1091)*($S$5:$S$2484=1)*IFERROR($N$5:$N$2484*1,0)))&gt;0,ROUND($H1091*($N1091/SUMPRODUCT(MAX(($C$5:$C$2484=$C1091)*($D$5:$D$2484=$D1091)*($S$5:$S$2484=1)*IFERROR($N$5:$N$2484*1,0)))),4),0)))</f>
        <v/>
      </c>
      <c r="P1091" s="48" t="inlineStr">
        <is>
          <t>passeggeri/anno</t>
        </is>
      </c>
      <c r="Q1091" s="57">
        <f>IF($A1091="","",$A1091&amp;"|"&amp;$C1091)</f>
        <v/>
      </c>
      <c r="R1091" s="57">
        <f>IF($A1091="","",$A1091&amp;"|"&amp;$C1091&amp;"|"&amp;$D1091)</f>
        <v/>
      </c>
      <c r="S1091" s="57">
        <f>IF($A1091="","",IFERROR(INDEX(Offerte!$D$2:$D$81,MATCH($Q1091,Offerte!$L$2:$L$81,0)),0))</f>
        <v/>
      </c>
      <c r="T1091" s="57">
        <f>IF($A1091="","",IFERROR(INDEX(Offerte!$G$2:$G$81,MATCH($Q1091,Offerte!$L$2:$L$81,0)),"NO"))</f>
        <v/>
      </c>
    </row>
    <row r="1092">
      <c r="A1092" s="48">
        <f>IF(Offerte!$A37="","",Offerte!$A37)</f>
        <v/>
      </c>
      <c r="B1092" s="48">
        <f>IF(Offerte!$A37="","",Offerte!$B37)</f>
        <v/>
      </c>
      <c r="C1092" s="48">
        <f>IF(Offerte!$A37="","",Offerte!$C37)</f>
        <v/>
      </c>
      <c r="D1092" s="48" t="inlineStr">
        <is>
          <t>B.1.1</t>
        </is>
      </c>
      <c r="E1092" s="48" t="inlineStr">
        <is>
          <t>B</t>
        </is>
      </c>
      <c r="F1092" s="48" t="inlineStr">
        <is>
          <t>Q</t>
        </is>
      </c>
      <c r="G1092" s="48" t="inlineStr">
        <is>
          <t>higher</t>
        </is>
      </c>
      <c r="H1092" s="48" t="n">
        <v>3</v>
      </c>
      <c r="I1092" s="48" t="inlineStr">
        <is>
          <t>Incremento dei posti offerti nelle fasce di punta</t>
        </is>
      </c>
      <c r="J1092" s="73" t="n"/>
      <c r="K1092" s="73" t="n"/>
      <c r="L1092" s="73" t="n"/>
      <c r="M1092" s="73" t="n"/>
      <c r="N1092" s="57">
        <f>IF($A1092="","",IFERROR(VALUE($J1092),0))</f>
        <v/>
      </c>
      <c r="O1092" s="57">
        <f>IF($A1092="",0,IF(OR($S1092&lt;&gt;1,COUNTA($J1092:$M1092)=0),0,IF(SUMPRODUCT(MAX(($C$5:$C$2484=$C1092)*($D$5:$D$2484=$D1092)*($S$5:$S$2484=1)*IFERROR($N$5:$N$2484*1,0)))&gt;0,ROUND($H1092*($N1092/SUMPRODUCT(MAX(($C$5:$C$2484=$C1092)*($D$5:$D$2484=$D1092)*($S$5:$S$2484=1)*IFERROR($N$5:$N$2484*1,0)))),4),0)))</f>
        <v/>
      </c>
      <c r="P1092" s="48" t="inlineStr">
        <is>
          <t>posti*km</t>
        </is>
      </c>
      <c r="Q1092" s="57">
        <f>IF($A1092="","",$A1092&amp;"|"&amp;$C1092)</f>
        <v/>
      </c>
      <c r="R1092" s="57">
        <f>IF($A1092="","",$A1092&amp;"|"&amp;$C1092&amp;"|"&amp;$D1092)</f>
        <v/>
      </c>
      <c r="S1092" s="57">
        <f>IF($A1092="","",IFERROR(INDEX(Offerte!$D$2:$D$81,MATCH($Q1092,Offerte!$L$2:$L$81,0)),0))</f>
        <v/>
      </c>
      <c r="T1092" s="57">
        <f>IF($A1092="","",IFERROR(INDEX(Offerte!$G$2:$G$81,MATCH($Q1092,Offerte!$L$2:$L$81,0)),"NO"))</f>
        <v/>
      </c>
    </row>
    <row r="1093">
      <c r="A1093" s="48">
        <f>IF(Offerte!$A37="","",Offerte!$A37)</f>
        <v/>
      </c>
      <c r="B1093" s="48">
        <f>IF(Offerte!$A37="","",Offerte!$B37)</f>
        <v/>
      </c>
      <c r="C1093" s="48">
        <f>IF(Offerte!$A37="","",Offerte!$C37)</f>
        <v/>
      </c>
      <c r="D1093" s="48" t="inlineStr">
        <is>
          <t>B.2.1</t>
        </is>
      </c>
      <c r="E1093" s="48" t="inlineStr">
        <is>
          <t>B</t>
        </is>
      </c>
      <c r="F1093" s="48" t="inlineStr">
        <is>
          <t>Q</t>
        </is>
      </c>
      <c r="G1093" s="48" t="inlineStr">
        <is>
          <t>higher</t>
        </is>
      </c>
      <c r="H1093" s="48" t="n">
        <v>4</v>
      </c>
      <c r="I1093" s="48" t="inlineStr">
        <is>
          <t>Corse aggiuntive nell'arco giornaliero base</t>
        </is>
      </c>
      <c r="J1093" s="73" t="n"/>
      <c r="K1093" s="73" t="n"/>
      <c r="L1093" s="73" t="n"/>
      <c r="M1093" s="73" t="n"/>
      <c r="N1093" s="57">
        <f>IF($A1093="","",IFERROR(VALUE($J1093),0))</f>
        <v/>
      </c>
      <c r="O1093" s="57">
        <f>IF($A1093="",0,IF(OR($S1093&lt;&gt;1,COUNTA($J1093:$M1093)=0),0,IF(SUMPRODUCT(MAX(($C$5:$C$2484=$C1093)*($D$5:$D$2484=$D1093)*($S$5:$S$2484=1)*IFERROR($N$5:$N$2484*1,0)))&gt;0,ROUND($H1093*($N1093/SUMPRODUCT(MAX(($C$5:$C$2484=$C1093)*($D$5:$D$2484=$D1093)*($S$5:$S$2484=1)*IFERROR($N$5:$N$2484*1,0)))),4),0)))</f>
        <v/>
      </c>
      <c r="P1093" s="48" t="inlineStr">
        <is>
          <t>corse</t>
        </is>
      </c>
      <c r="Q1093" s="57">
        <f>IF($A1093="","",$A1093&amp;"|"&amp;$C1093)</f>
        <v/>
      </c>
      <c r="R1093" s="57">
        <f>IF($A1093="","",$A1093&amp;"|"&amp;$C1093&amp;"|"&amp;$D1093)</f>
        <v/>
      </c>
      <c r="S1093" s="57">
        <f>IF($A1093="","",IFERROR(INDEX(Offerte!$D$2:$D$81,MATCH($Q1093,Offerte!$L$2:$L$81,0)),0))</f>
        <v/>
      </c>
      <c r="T1093" s="57">
        <f>IF($A1093="","",IFERROR(INDEX(Offerte!$G$2:$G$81,MATCH($Q1093,Offerte!$L$2:$L$81,0)),"NO"))</f>
        <v/>
      </c>
    </row>
    <row r="1094">
      <c r="A1094" s="48">
        <f>IF(Offerte!$A37="","",Offerte!$A37)</f>
        <v/>
      </c>
      <c r="B1094" s="48">
        <f>IF(Offerte!$A37="","",Offerte!$B37)</f>
        <v/>
      </c>
      <c r="C1094" s="48">
        <f>IF(Offerte!$A37="","",Offerte!$C37)</f>
        <v/>
      </c>
      <c r="D1094" s="48" t="inlineStr">
        <is>
          <t>B.3.1</t>
        </is>
      </c>
      <c r="E1094" s="48" t="inlineStr">
        <is>
          <t>B</t>
        </is>
      </c>
      <c r="F1094" s="48" t="inlineStr">
        <is>
          <t>Q</t>
        </is>
      </c>
      <c r="G1094" s="48" t="inlineStr">
        <is>
          <t>higher</t>
        </is>
      </c>
      <c r="H1094" s="48" t="n">
        <v>2</v>
      </c>
      <c r="I1094" s="48" t="inlineStr">
        <is>
          <t>Numero di corse aggiuntive per allungamento dell'arco di servizio giornaliero nelle fasce serali</t>
        </is>
      </c>
      <c r="J1094" s="73" t="n"/>
      <c r="K1094" s="73" t="n"/>
      <c r="L1094" s="73" t="n"/>
      <c r="M1094" s="73" t="n"/>
      <c r="N1094" s="57">
        <f>IF($A1094="","",IFERROR(VALUE($J1094),0))</f>
        <v/>
      </c>
      <c r="O1094" s="57">
        <f>IF($A1094="",0,IF(OR($S1094&lt;&gt;1,COUNTA($J1094:$M1094)=0),0,IF(SUMPRODUCT(MAX(($C$5:$C$2484=$C1094)*($D$5:$D$2484=$D1094)*($S$5:$S$2484=1)*IFERROR($N$5:$N$2484*1,0)))&gt;0,ROUND($H1094*($N1094/SUMPRODUCT(MAX(($C$5:$C$2484=$C1094)*($D$5:$D$2484=$D1094)*($S$5:$S$2484=1)*IFERROR($N$5:$N$2484*1,0)))),4),0)))</f>
        <v/>
      </c>
      <c r="P1094" s="48" t="inlineStr">
        <is>
          <t>corse</t>
        </is>
      </c>
      <c r="Q1094" s="57">
        <f>IF($A1094="","",$A1094&amp;"|"&amp;$C1094)</f>
        <v/>
      </c>
      <c r="R1094" s="57">
        <f>IF($A1094="","",$A1094&amp;"|"&amp;$C1094&amp;"|"&amp;$D1094)</f>
        <v/>
      </c>
      <c r="S1094" s="57">
        <f>IF($A1094="","",IFERROR(INDEX(Offerte!$D$2:$D$81,MATCH($Q1094,Offerte!$L$2:$L$81,0)),0))</f>
        <v/>
      </c>
      <c r="T1094" s="57">
        <f>IF($A1094="","",IFERROR(INDEX(Offerte!$G$2:$G$81,MATCH($Q1094,Offerte!$L$2:$L$81,0)),"NO"))</f>
        <v/>
      </c>
    </row>
    <row r="1095">
      <c r="A1095" s="48">
        <f>IF(Offerte!$A37="","",Offerte!$A37)</f>
        <v/>
      </c>
      <c r="B1095" s="48">
        <f>IF(Offerte!$A37="","",Offerte!$B37)</f>
        <v/>
      </c>
      <c r="C1095" s="48">
        <f>IF(Offerte!$A37="","",Offerte!$C37)</f>
        <v/>
      </c>
      <c r="D1095" s="48" t="inlineStr">
        <is>
          <t>B.4.1</t>
        </is>
      </c>
      <c r="E1095" s="48" t="inlineStr">
        <is>
          <t>B</t>
        </is>
      </c>
      <c r="F1095" s="48" t="inlineStr">
        <is>
          <t>Q</t>
        </is>
      </c>
      <c r="G1095" s="48" t="inlineStr">
        <is>
          <t>higher</t>
        </is>
      </c>
      <c r="H1095" s="48" t="n">
        <v>3</v>
      </c>
      <c r="I1095" s="48" t="inlineStr">
        <is>
          <t>Percorrenze aggiuntive offerte nel Programma d'esercizio delle prime due fasi attuative</t>
        </is>
      </c>
      <c r="J1095" s="73" t="n"/>
      <c r="K1095" s="73" t="n"/>
      <c r="L1095" s="73" t="n"/>
      <c r="M1095" s="73" t="n"/>
      <c r="N1095" s="57">
        <f>IF($A1095="","",IFERROR(VALUE($J1095),0))</f>
        <v/>
      </c>
      <c r="O1095" s="57">
        <f>IF($A1095="",0,IF(OR($S1095&lt;&gt;1,COUNTA($J1095:$M1095)=0),0,IF(SUMPRODUCT(MAX(($C$5:$C$2484=$C1095)*($D$5:$D$2484=$D1095)*($S$5:$S$2484=1)*IFERROR($N$5:$N$2484*1,0)))&gt;0,ROUND($H1095*($N1095/SUMPRODUCT(MAX(($C$5:$C$2484=$C1095)*($D$5:$D$2484=$D1095)*($S$5:$S$2484=1)*IFERROR($N$5:$N$2484*1,0)))),4),0)))</f>
        <v/>
      </c>
      <c r="P1095" s="48" t="inlineStr">
        <is>
          <t>vett*km</t>
        </is>
      </c>
      <c r="Q1095" s="57">
        <f>IF($A1095="","",$A1095&amp;"|"&amp;$C1095)</f>
        <v/>
      </c>
      <c r="R1095" s="57">
        <f>IF($A1095="","",$A1095&amp;"|"&amp;$C1095&amp;"|"&amp;$D1095)</f>
        <v/>
      </c>
      <c r="S1095" s="57">
        <f>IF($A1095="","",IFERROR(INDEX(Offerte!$D$2:$D$81,MATCH($Q1095,Offerte!$L$2:$L$81,0)),0))</f>
        <v/>
      </c>
      <c r="T1095" s="57">
        <f>IF($A1095="","",IFERROR(INDEX(Offerte!$G$2:$G$81,MATCH($Q1095,Offerte!$L$2:$L$81,0)),"NO"))</f>
        <v/>
      </c>
    </row>
    <row r="1096">
      <c r="A1096" s="48">
        <f>IF(Offerte!$A37="","",Offerte!$A37)</f>
        <v/>
      </c>
      <c r="B1096" s="48">
        <f>IF(Offerte!$A37="","",Offerte!$B37)</f>
        <v/>
      </c>
      <c r="C1096" s="48">
        <f>IF(Offerte!$A37="","",Offerte!$C37)</f>
        <v/>
      </c>
      <c r="D1096" s="48" t="inlineStr">
        <is>
          <t>B.5.1</t>
        </is>
      </c>
      <c r="E1096" s="48" t="inlineStr">
        <is>
          <t>B</t>
        </is>
      </c>
      <c r="F1096" s="48" t="inlineStr">
        <is>
          <t>D</t>
        </is>
      </c>
      <c r="G1096" s="48" t="inlineStr">
        <is>
          <t>discretionary</t>
        </is>
      </c>
      <c r="H1096" s="48" t="n">
        <v>2</v>
      </c>
      <c r="I1096" s="48" t="inlineStr">
        <is>
          <t>Efficacia del progetto di servizi complementari DRT</t>
        </is>
      </c>
      <c r="J1096" s="73" t="n"/>
      <c r="K1096" s="73" t="n"/>
      <c r="L1096" s="73" t="n"/>
      <c r="M1096" s="73" t="n"/>
      <c r="N1096" s="57">
        <f>IF($A1096="","",MAX(0,MIN(1,IFERROR(VALUE($M1096),0))))</f>
        <v/>
      </c>
      <c r="O1096" s="57">
        <f>IF($A1096="",0,IF(OR($S1096&lt;&gt;1,COUNTA($J1096:$M1096)=0),0,IF(SUMPRODUCT(MAX(($C$5:$C$2484=$C1096)*($D$5:$D$2484=$D1096)*($S$5:$S$2484=1)*IFERROR($N$5:$N$2484*1,0)))&gt;0,ROUND($H1096*($N1096/SUMPRODUCT(MAX(($C$5:$C$2484=$C1096)*($D$5:$D$2484=$D1096)*($S$5:$S$2484=1)*IFERROR($N$5:$N$2484*1,0)))),4),0)))</f>
        <v/>
      </c>
      <c r="P1096" s="48" t="inlineStr">
        <is>
          <t>coeff.</t>
        </is>
      </c>
      <c r="Q1096" s="57">
        <f>IF($A1096="","",$A1096&amp;"|"&amp;$C1096)</f>
        <v/>
      </c>
      <c r="R1096" s="57">
        <f>IF($A1096="","",$A1096&amp;"|"&amp;$C1096&amp;"|"&amp;$D1096)</f>
        <v/>
      </c>
      <c r="S1096" s="57">
        <f>IF($A1096="","",IFERROR(INDEX(Offerte!$D$2:$D$81,MATCH($Q1096,Offerte!$L$2:$L$81,0)),0))</f>
        <v/>
      </c>
      <c r="T1096" s="57">
        <f>IF($A1096="","",IFERROR(INDEX(Offerte!$G$2:$G$81,MATCH($Q1096,Offerte!$L$2:$L$81,0)),"NO"))</f>
        <v/>
      </c>
    </row>
    <row r="1097">
      <c r="A1097" s="48">
        <f>IF(Offerte!$A37="","",Offerte!$A37)</f>
        <v/>
      </c>
      <c r="B1097" s="48">
        <f>IF(Offerte!$A37="","",Offerte!$B37)</f>
        <v/>
      </c>
      <c r="C1097" s="48">
        <f>IF(Offerte!$A37="","",Offerte!$C37)</f>
        <v/>
      </c>
      <c r="D1097" s="48" t="inlineStr">
        <is>
          <t>C.1.1</t>
        </is>
      </c>
      <c r="E1097" s="48" t="inlineStr">
        <is>
          <t>C</t>
        </is>
      </c>
      <c r="F1097" s="48" t="inlineStr">
        <is>
          <t>Q</t>
        </is>
      </c>
      <c r="G1097" s="48" t="inlineStr">
        <is>
          <t>higher</t>
        </is>
      </c>
      <c r="H1097" s="48" t="n">
        <v>2</v>
      </c>
      <c r="I1097" s="48" t="inlineStr">
        <is>
          <t>Tasso di copertura del servizio con telecamere BSD</t>
        </is>
      </c>
      <c r="J1097" s="73" t="n"/>
      <c r="K1097" s="73" t="n"/>
      <c r="L1097" s="73" t="n"/>
      <c r="M1097" s="73" t="n"/>
      <c r="N1097" s="57">
        <f>IF($A1097="","",IFERROR(VALUE($K1097)/VALUE($L1097),IFERROR(VALUE($J1097),0)))</f>
        <v/>
      </c>
      <c r="O1097" s="57">
        <f>IF($A1097="",0,IF(OR($S1097&lt;&gt;1,COUNTA($J1097:$M1097)=0),0,IF(SUMPRODUCT(MAX(($C$5:$C$2484=$C1097)*($D$5:$D$2484=$D1097)*($S$5:$S$2484=1)*IFERROR($N$5:$N$2484*1,0)))&gt;0,ROUND($H1097*($N1097/SUMPRODUCT(MAX(($C$5:$C$2484=$C1097)*($D$5:$D$2484=$D1097)*($S$5:$S$2484=1)*IFERROR($N$5:$N$2484*1,0)))),4),0)))</f>
        <v/>
      </c>
      <c r="P1097" s="48" t="inlineStr">
        <is>
          <t>Autobus attrezzati con telecamere BSD / Autobus totali in offerta, incluse scorte</t>
        </is>
      </c>
      <c r="Q1097" s="57">
        <f>IF($A1097="","",$A1097&amp;"|"&amp;$C1097)</f>
        <v/>
      </c>
      <c r="R1097" s="57">
        <f>IF($A1097="","",$A1097&amp;"|"&amp;$C1097&amp;"|"&amp;$D1097)</f>
        <v/>
      </c>
      <c r="S1097" s="57">
        <f>IF($A1097="","",IFERROR(INDEX(Offerte!$D$2:$D$81,MATCH($Q1097,Offerte!$L$2:$L$81,0)),0))</f>
        <v/>
      </c>
      <c r="T1097" s="57">
        <f>IF($A1097="","",IFERROR(INDEX(Offerte!$G$2:$G$81,MATCH($Q1097,Offerte!$L$2:$L$81,0)),"NO"))</f>
        <v/>
      </c>
    </row>
    <row r="1098">
      <c r="A1098" s="48">
        <f>IF(Offerte!$A37="","",Offerte!$A37)</f>
        <v/>
      </c>
      <c r="B1098" s="48">
        <f>IF(Offerte!$A37="","",Offerte!$B37)</f>
        <v/>
      </c>
      <c r="C1098" s="48">
        <f>IF(Offerte!$A37="","",Offerte!$C37)</f>
        <v/>
      </c>
      <c r="D1098" s="48" t="inlineStr">
        <is>
          <t>C.1.2</t>
        </is>
      </c>
      <c r="E1098" s="48" t="inlineStr">
        <is>
          <t>C</t>
        </is>
      </c>
      <c r="F1098" s="48" t="inlineStr">
        <is>
          <t>Q</t>
        </is>
      </c>
      <c r="G1098" s="48" t="inlineStr">
        <is>
          <t>higher</t>
        </is>
      </c>
      <c r="H1098" s="48" t="n">
        <v>2</v>
      </c>
      <c r="I1098" s="48" t="inlineStr">
        <is>
          <t>Tasso di copertura del servizio con telecamere ADAS</t>
        </is>
      </c>
      <c r="J1098" s="73" t="n"/>
      <c r="K1098" s="73" t="n"/>
      <c r="L1098" s="73" t="n"/>
      <c r="M1098" s="73" t="n"/>
      <c r="N1098" s="57">
        <f>IF($A1098="","",IFERROR(VALUE($K1098)/VALUE($L1098),IFERROR(VALUE($J1098),0)))</f>
        <v/>
      </c>
      <c r="O1098" s="57">
        <f>IF($A1098="",0,IF(OR($S1098&lt;&gt;1,COUNTA($J1098:$M1098)=0),0,IF(SUMPRODUCT(MAX(($C$5:$C$2484=$C1098)*($D$5:$D$2484=$D1098)*($S$5:$S$2484=1)*IFERROR($N$5:$N$2484*1,0)))&gt;0,ROUND($H1098*($N1098/SUMPRODUCT(MAX(($C$5:$C$2484=$C1098)*($D$5:$D$2484=$D1098)*($S$5:$S$2484=1)*IFERROR($N$5:$N$2484*1,0)))),4),0)))</f>
        <v/>
      </c>
      <c r="P1098" s="48" t="inlineStr">
        <is>
          <t>Autobus attrezzati con telecamere ADAS / Autobus totali in offerta, incluse scorte</t>
        </is>
      </c>
      <c r="Q1098" s="57">
        <f>IF($A1098="","",$A1098&amp;"|"&amp;$C1098)</f>
        <v/>
      </c>
      <c r="R1098" s="57">
        <f>IF($A1098="","",$A1098&amp;"|"&amp;$C1098&amp;"|"&amp;$D1098)</f>
        <v/>
      </c>
      <c r="S1098" s="57">
        <f>IF($A1098="","",IFERROR(INDEX(Offerte!$D$2:$D$81,MATCH($Q1098,Offerte!$L$2:$L$81,0)),0))</f>
        <v/>
      </c>
      <c r="T1098" s="57">
        <f>IF($A1098="","",IFERROR(INDEX(Offerte!$G$2:$G$81,MATCH($Q1098,Offerte!$L$2:$L$81,0)),"NO"))</f>
        <v/>
      </c>
    </row>
    <row r="1099">
      <c r="A1099" s="48">
        <f>IF(Offerte!$A37="","",Offerte!$A37)</f>
        <v/>
      </c>
      <c r="B1099" s="48">
        <f>IF(Offerte!$A37="","",Offerte!$B37)</f>
        <v/>
      </c>
      <c r="C1099" s="48">
        <f>IF(Offerte!$A37="","",Offerte!$C37)</f>
        <v/>
      </c>
      <c r="D1099" s="48" t="inlineStr">
        <is>
          <t>C.2.1</t>
        </is>
      </c>
      <c r="E1099" s="48" t="inlineStr">
        <is>
          <t>C</t>
        </is>
      </c>
      <c r="F1099" s="48" t="inlineStr">
        <is>
          <t>Q</t>
        </is>
      </c>
      <c r="G1099" s="48" t="inlineStr">
        <is>
          <t>higher</t>
        </is>
      </c>
      <c r="H1099" s="48" t="n">
        <v>3</v>
      </c>
      <c r="I1099" s="48" t="inlineStr">
        <is>
          <t>Tasso di copertura del servizio con telecamere di bordo di videosorveglianza</t>
        </is>
      </c>
      <c r="J1099" s="73" t="n"/>
      <c r="K1099" s="73" t="n"/>
      <c r="L1099" s="73" t="n"/>
      <c r="M1099" s="73" t="n"/>
      <c r="N1099" s="57">
        <f>IF($A1099="","",IFERROR(VALUE($K1099)/VALUE($L1099),IFERROR(VALUE($J1099),0)))</f>
        <v/>
      </c>
      <c r="O1099" s="57">
        <f>IF($A1099="",0,IF(OR($S1099&lt;&gt;1,COUNTA($J1099:$M1099)=0),0,IF(SUMPRODUCT(MAX(($C$5:$C$2484=$C1099)*($D$5:$D$2484=$D1099)*($S$5:$S$2484=1)*IFERROR($N$5:$N$2484*1,0)))&gt;0,ROUND($H1099*($N1099/SUMPRODUCT(MAX(($C$5:$C$2484=$C1099)*($D$5:$D$2484=$D1099)*($S$5:$S$2484=1)*IFERROR($N$5:$N$2484*1,0)))),4),0)))</f>
        <v/>
      </c>
      <c r="P1099" s="48" t="inlineStr">
        <is>
          <t>Autobus attrezzati con videosorveglianza / Autobus totali in offerta, incluse scorte</t>
        </is>
      </c>
      <c r="Q1099" s="57">
        <f>IF($A1099="","",$A1099&amp;"|"&amp;$C1099)</f>
        <v/>
      </c>
      <c r="R1099" s="57">
        <f>IF($A1099="","",$A1099&amp;"|"&amp;$C1099&amp;"|"&amp;$D1099)</f>
        <v/>
      </c>
      <c r="S1099" s="57">
        <f>IF($A1099="","",IFERROR(INDEX(Offerte!$D$2:$D$81,MATCH($Q1099,Offerte!$L$2:$L$81,0)),0))</f>
        <v/>
      </c>
      <c r="T1099" s="57">
        <f>IF($A1099="","",IFERROR(INDEX(Offerte!$G$2:$G$81,MATCH($Q1099,Offerte!$L$2:$L$81,0)),"NO"))</f>
        <v/>
      </c>
    </row>
    <row r="1100">
      <c r="A1100" s="48">
        <f>IF(Offerte!$A37="","",Offerte!$A37)</f>
        <v/>
      </c>
      <c r="B1100" s="48">
        <f>IF(Offerte!$A37="","",Offerte!$B37)</f>
        <v/>
      </c>
      <c r="C1100" s="48">
        <f>IF(Offerte!$A37="","",Offerte!$C37)</f>
        <v/>
      </c>
      <c r="D1100" s="48" t="inlineStr">
        <is>
          <t>C.2.2</t>
        </is>
      </c>
      <c r="E1100" s="48" t="inlineStr">
        <is>
          <t>C</t>
        </is>
      </c>
      <c r="F1100" s="48" t="inlineStr">
        <is>
          <t>T</t>
        </is>
      </c>
      <c r="G1100" s="48" t="inlineStr">
        <is>
          <t>tabular</t>
        </is>
      </c>
      <c r="H1100" s="48" t="n">
        <v>1</v>
      </c>
      <c r="I1100" s="48" t="inlineStr">
        <is>
          <t>Software video/audio analisi per situazioni di pericolo</t>
        </is>
      </c>
      <c r="J1100" s="73" t="n"/>
      <c r="K1100" s="73" t="n"/>
      <c r="L1100" s="73" t="n"/>
      <c r="M1100" s="73" t="n"/>
      <c r="N1100" s="57">
        <f>IF($A1100="","",IF(IFERROR(VALUE($M1100),0)=1,1,0))</f>
        <v/>
      </c>
      <c r="O1100" s="57">
        <f>IF($A1100="",0,IF(OR($S1100&lt;&gt;1,COUNTA($J1100:$M1100)=0),0,IF($N1100=1,$H1100,0)))</f>
        <v/>
      </c>
      <c r="P1100" s="48" t="inlineStr">
        <is>
          <t>sì/no</t>
        </is>
      </c>
      <c r="Q1100" s="57">
        <f>IF($A1100="","",$A1100&amp;"|"&amp;$C1100)</f>
        <v/>
      </c>
      <c r="R1100" s="57">
        <f>IF($A1100="","",$A1100&amp;"|"&amp;$C1100&amp;"|"&amp;$D1100)</f>
        <v/>
      </c>
      <c r="S1100" s="57">
        <f>IF($A1100="","",IFERROR(INDEX(Offerte!$D$2:$D$81,MATCH($Q1100,Offerte!$L$2:$L$81,0)),0))</f>
        <v/>
      </c>
      <c r="T1100" s="57">
        <f>IF($A1100="","",IFERROR(INDEX(Offerte!$G$2:$G$81,MATCH($Q1100,Offerte!$L$2:$L$81,0)),"NO"))</f>
        <v/>
      </c>
    </row>
    <row r="1101">
      <c r="A1101" s="48">
        <f>IF(Offerte!$A37="","",Offerte!$A37)</f>
        <v/>
      </c>
      <c r="B1101" s="48">
        <f>IF(Offerte!$A37="","",Offerte!$B37)</f>
        <v/>
      </c>
      <c r="C1101" s="48">
        <f>IF(Offerte!$A37="","",Offerte!$C37)</f>
        <v/>
      </c>
      <c r="D1101" s="48" t="inlineStr">
        <is>
          <t>C.2.3</t>
        </is>
      </c>
      <c r="E1101" s="48" t="inlineStr">
        <is>
          <t>C</t>
        </is>
      </c>
      <c r="F1101" s="48" t="inlineStr">
        <is>
          <t>T</t>
        </is>
      </c>
      <c r="G1101" s="48" t="inlineStr">
        <is>
          <t>tabular</t>
        </is>
      </c>
      <c r="H1101" s="48" t="n">
        <v>1</v>
      </c>
      <c r="I1101" s="48" t="inlineStr">
        <is>
          <t>Collegamento con centrale qualificata di pronto intervento</t>
        </is>
      </c>
      <c r="J1101" s="73" t="n"/>
      <c r="K1101" s="73" t="n"/>
      <c r="L1101" s="73" t="n"/>
      <c r="M1101" s="73" t="n"/>
      <c r="N1101" s="57">
        <f>IF($A1101="","",IF(IFERROR(VALUE($M1101),0)=1,1,0))</f>
        <v/>
      </c>
      <c r="O1101" s="57">
        <f>IF($A1101="",0,IF(OR($S1101&lt;&gt;1,COUNTA($J1101:$M1101)=0),0,IF($N1101=1,$H1101,0)))</f>
        <v/>
      </c>
      <c r="P1101" s="48" t="inlineStr">
        <is>
          <t>sì/no</t>
        </is>
      </c>
      <c r="Q1101" s="57">
        <f>IF($A1101="","",$A1101&amp;"|"&amp;$C1101)</f>
        <v/>
      </c>
      <c r="R1101" s="57">
        <f>IF($A1101="","",$A1101&amp;"|"&amp;$C1101&amp;"|"&amp;$D1101)</f>
        <v/>
      </c>
      <c r="S1101" s="57">
        <f>IF($A1101="","",IFERROR(INDEX(Offerte!$D$2:$D$81,MATCH($Q1101,Offerte!$L$2:$L$81,0)),0))</f>
        <v/>
      </c>
      <c r="T1101" s="57">
        <f>IF($A1101="","",IFERROR(INDEX(Offerte!$G$2:$G$81,MATCH($Q1101,Offerte!$L$2:$L$81,0)),"NO"))</f>
        <v/>
      </c>
    </row>
    <row r="1102">
      <c r="A1102" s="48">
        <f>IF(Offerte!$A37="","",Offerte!$A37)</f>
        <v/>
      </c>
      <c r="B1102" s="48">
        <f>IF(Offerte!$A37="","",Offerte!$B37)</f>
        <v/>
      </c>
      <c r="C1102" s="48">
        <f>IF(Offerte!$A37="","",Offerte!$C37)</f>
        <v/>
      </c>
      <c r="D1102" s="48" t="inlineStr">
        <is>
          <t>C.2.4</t>
        </is>
      </c>
      <c r="E1102" s="48" t="inlineStr">
        <is>
          <t>C</t>
        </is>
      </c>
      <c r="F1102" s="48" t="inlineStr">
        <is>
          <t>Q</t>
        </is>
      </c>
      <c r="G1102" s="48" t="inlineStr">
        <is>
          <t>higher</t>
        </is>
      </c>
      <c r="H1102" s="48" t="n">
        <v>1</v>
      </c>
      <c r="I1102" s="48" t="inlineStr">
        <is>
          <t>Tasso di copertura del servizio con dispositivi per la chiamata di emergenza del conducente</t>
        </is>
      </c>
      <c r="J1102" s="73" t="n"/>
      <c r="K1102" s="73" t="n"/>
      <c r="L1102" s="73" t="n"/>
      <c r="M1102" s="73" t="n"/>
      <c r="N1102" s="57">
        <f>IF($A1102="","",IFERROR(VALUE($K1102)/VALUE($L1102),IFERROR(VALUE($J1102),0)))</f>
        <v/>
      </c>
      <c r="O1102" s="57">
        <f>IF($A1102="",0,IF(OR($S1102&lt;&gt;1,COUNTA($J1102:$M1102)=0),0,IF(SUMPRODUCT(MAX(($C$5:$C$2484=$C1102)*($D$5:$D$2484=$D1102)*($S$5:$S$2484=1)*IFERROR($N$5:$N$2484*1,0)))&gt;0,ROUND($H1102*($N1102/SUMPRODUCT(MAX(($C$5:$C$2484=$C1102)*($D$5:$D$2484=$D1102)*($S$5:$S$2484=1)*IFERROR($N$5:$N$2484*1,0)))),4),0)))</f>
        <v/>
      </c>
      <c r="P1102" s="48" t="inlineStr">
        <is>
          <t>Autobus attrezzati con chiamata di emergenza / Autobus totali in offerta, incluse scorte</t>
        </is>
      </c>
      <c r="Q1102" s="57">
        <f>IF($A1102="","",$A1102&amp;"|"&amp;$C1102)</f>
        <v/>
      </c>
      <c r="R1102" s="57">
        <f>IF($A1102="","",$A1102&amp;"|"&amp;$C1102&amp;"|"&amp;$D1102)</f>
        <v/>
      </c>
      <c r="S1102" s="57">
        <f>IF($A1102="","",IFERROR(INDEX(Offerte!$D$2:$D$81,MATCH($Q1102,Offerte!$L$2:$L$81,0)),0))</f>
        <v/>
      </c>
      <c r="T1102" s="57">
        <f>IF($A1102="","",IFERROR(INDEX(Offerte!$G$2:$G$81,MATCH($Q1102,Offerte!$L$2:$L$81,0)),"NO"))</f>
        <v/>
      </c>
    </row>
    <row r="1103">
      <c r="A1103" s="48">
        <f>IF(Offerte!$A37="","",Offerte!$A37)</f>
        <v/>
      </c>
      <c r="B1103" s="48">
        <f>IF(Offerte!$A37="","",Offerte!$B37)</f>
        <v/>
      </c>
      <c r="C1103" s="48">
        <f>IF(Offerte!$A37="","",Offerte!$C37)</f>
        <v/>
      </c>
      <c r="D1103" s="48" t="inlineStr">
        <is>
          <t>C.3.1</t>
        </is>
      </c>
      <c r="E1103" s="48" t="inlineStr">
        <is>
          <t>C</t>
        </is>
      </c>
      <c r="F1103" s="48" t="inlineStr">
        <is>
          <t>Q</t>
        </is>
      </c>
      <c r="G1103" s="48" t="inlineStr">
        <is>
          <t>higher</t>
        </is>
      </c>
      <c r="H1103" s="48" t="n">
        <v>2</v>
      </c>
      <c r="I1103" s="48" t="inlineStr">
        <is>
          <t>Tasso di copertura del servizio con dispositivi di informazione dinamica a bordo mezzo</t>
        </is>
      </c>
      <c r="J1103" s="73" t="n"/>
      <c r="K1103" s="73" t="n"/>
      <c r="L1103" s="73" t="n"/>
      <c r="M1103" s="73" t="n"/>
      <c r="N1103" s="57">
        <f>IF($A1103="","",IFERROR(VALUE($K1103)/VALUE($L1103),IFERROR(VALUE($J1103),0)))</f>
        <v/>
      </c>
      <c r="O1103" s="57">
        <f>IF($A1103="",0,IF(OR($S1103&lt;&gt;1,COUNTA($J1103:$M1103)=0),0,IF(SUMPRODUCT(MAX(($C$5:$C$2484=$C1103)*($D$5:$D$2484=$D1103)*($S$5:$S$2484=1)*IFERROR($N$5:$N$2484*1,0)))&gt;0,ROUND($H1103*($N1103/SUMPRODUCT(MAX(($C$5:$C$2484=$C1103)*($D$5:$D$2484=$D1103)*($S$5:$S$2484=1)*IFERROR($N$5:$N$2484*1,0)))),4),0)))</f>
        <v/>
      </c>
      <c r="P1103" s="48" t="inlineStr">
        <is>
          <t>Autobus con monitor e indicatori vocali / Autobus totali in offerta, incluse scorte</t>
        </is>
      </c>
      <c r="Q1103" s="57">
        <f>IF($A1103="","",$A1103&amp;"|"&amp;$C1103)</f>
        <v/>
      </c>
      <c r="R1103" s="57">
        <f>IF($A1103="","",$A1103&amp;"|"&amp;$C1103&amp;"|"&amp;$D1103)</f>
        <v/>
      </c>
      <c r="S1103" s="57">
        <f>IF($A1103="","",IFERROR(INDEX(Offerte!$D$2:$D$81,MATCH($Q1103,Offerte!$L$2:$L$81,0)),0))</f>
        <v/>
      </c>
      <c r="T1103" s="57">
        <f>IF($A1103="","",IFERROR(INDEX(Offerte!$G$2:$G$81,MATCH($Q1103,Offerte!$L$2:$L$81,0)),"NO"))</f>
        <v/>
      </c>
    </row>
    <row r="1104">
      <c r="A1104" s="48">
        <f>IF(Offerte!$A37="","",Offerte!$A37)</f>
        <v/>
      </c>
      <c r="B1104" s="48">
        <f>IF(Offerte!$A37="","",Offerte!$B37)</f>
        <v/>
      </c>
      <c r="C1104" s="48">
        <f>IF(Offerte!$A37="","",Offerte!$C37)</f>
        <v/>
      </c>
      <c r="D1104" s="48" t="inlineStr">
        <is>
          <t>C.3.2</t>
        </is>
      </c>
      <c r="E1104" s="48" t="inlineStr">
        <is>
          <t>C</t>
        </is>
      </c>
      <c r="F1104" s="48" t="inlineStr">
        <is>
          <t>T</t>
        </is>
      </c>
      <c r="G1104" s="48" t="inlineStr">
        <is>
          <t>tabular</t>
        </is>
      </c>
      <c r="H1104" s="48" t="n">
        <v>2</v>
      </c>
      <c r="I1104" s="48" t="inlineStr">
        <is>
          <t>Informazioni a bordo su coincidenze ai nodi</t>
        </is>
      </c>
      <c r="J1104" s="73" t="n"/>
      <c r="K1104" s="73" t="n"/>
      <c r="L1104" s="73" t="n"/>
      <c r="M1104" s="73" t="n"/>
      <c r="N1104" s="57">
        <f>IF($A1104="","",IF(IFERROR(VALUE($M1104),0)=1,1,0))</f>
        <v/>
      </c>
      <c r="O1104" s="57">
        <f>IF($A1104="",0,IF(OR($S1104&lt;&gt;1,COUNTA($J1104:$M1104)=0),0,IF(AND($N1104=1,IFERROR(SUMIFS($N$5:$N$2484,$Q$5:$Q$2484,$Q1104,$D$5:$D$2484,"C.3.1"),0)&gt;=0.5),$H1104,0)))</f>
        <v/>
      </c>
      <c r="P1104" s="48" t="inlineStr">
        <is>
          <t>Dipende da C.3.1 &gt;= 0.5</t>
        </is>
      </c>
      <c r="Q1104" s="57">
        <f>IF($A1104="","",$A1104&amp;"|"&amp;$C1104)</f>
        <v/>
      </c>
      <c r="R1104" s="57">
        <f>IF($A1104="","",$A1104&amp;"|"&amp;$C1104&amp;"|"&amp;$D1104)</f>
        <v/>
      </c>
      <c r="S1104" s="57">
        <f>IF($A1104="","",IFERROR(INDEX(Offerte!$D$2:$D$81,MATCH($Q1104,Offerte!$L$2:$L$81,0)),0))</f>
        <v/>
      </c>
      <c r="T1104" s="57">
        <f>IF($A1104="","",IFERROR(INDEX(Offerte!$G$2:$G$81,MATCH($Q1104,Offerte!$L$2:$L$81,0)),"NO"))</f>
        <v/>
      </c>
    </row>
    <row r="1105">
      <c r="A1105" s="48">
        <f>IF(Offerte!$A37="","",Offerte!$A37)</f>
        <v/>
      </c>
      <c r="B1105" s="48">
        <f>IF(Offerte!$A37="","",Offerte!$B37)</f>
        <v/>
      </c>
      <c r="C1105" s="48">
        <f>IF(Offerte!$A37="","",Offerte!$C37)</f>
        <v/>
      </c>
      <c r="D1105" s="48" t="inlineStr">
        <is>
          <t>D.1.1</t>
        </is>
      </c>
      <c r="E1105" s="48" t="inlineStr">
        <is>
          <t>D</t>
        </is>
      </c>
      <c r="F1105" s="48" t="inlineStr">
        <is>
          <t>Q</t>
        </is>
      </c>
      <c r="G1105" s="48" t="inlineStr">
        <is>
          <t>higher</t>
        </is>
      </c>
      <c r="H1105" s="48" t="n">
        <v>3</v>
      </c>
      <c r="I1105" s="48" t="inlineStr">
        <is>
          <t>Installazione di pensiline</t>
        </is>
      </c>
      <c r="J1105" s="73" t="n"/>
      <c r="K1105" s="73" t="n"/>
      <c r="L1105" s="73" t="n"/>
      <c r="M1105" s="73" t="n"/>
      <c r="N1105" s="57">
        <f>IF($A1105="","",IFERROR(VALUE($J1105),0))</f>
        <v/>
      </c>
      <c r="O1105" s="57">
        <f>IF($A1105="",0,IF(OR($S1105&lt;&gt;1,COUNTA($J1105:$M1105)=0),0,IF(SUMPRODUCT(MAX(($C$5:$C$2484=$C1105)*($D$5:$D$2484=$D1105)*($S$5:$S$2484=1)*IFERROR($N$5:$N$2484*1,0)))&gt;0,ROUND($H1105*($N1105/SUMPRODUCT(MAX(($C$5:$C$2484=$C1105)*($D$5:$D$2484=$D1105)*($S$5:$S$2484=1)*IFERROR($N$5:$N$2484*1,0)))),4),0)))</f>
        <v/>
      </c>
      <c r="P1105" s="48" t="inlineStr">
        <is>
          <t>fermate</t>
        </is>
      </c>
      <c r="Q1105" s="57">
        <f>IF($A1105="","",$A1105&amp;"|"&amp;$C1105)</f>
        <v/>
      </c>
      <c r="R1105" s="57">
        <f>IF($A1105="","",$A1105&amp;"|"&amp;$C1105&amp;"|"&amp;$D1105)</f>
        <v/>
      </c>
      <c r="S1105" s="57">
        <f>IF($A1105="","",IFERROR(INDEX(Offerte!$D$2:$D$81,MATCH($Q1105,Offerte!$L$2:$L$81,0)),0))</f>
        <v/>
      </c>
      <c r="T1105" s="57">
        <f>IF($A1105="","",IFERROR(INDEX(Offerte!$G$2:$G$81,MATCH($Q1105,Offerte!$L$2:$L$81,0)),"NO"))</f>
        <v/>
      </c>
    </row>
    <row r="1106">
      <c r="A1106" s="48">
        <f>IF(Offerte!$A37="","",Offerte!$A37)</f>
        <v/>
      </c>
      <c r="B1106" s="48">
        <f>IF(Offerte!$A37="","",Offerte!$B37)</f>
        <v/>
      </c>
      <c r="C1106" s="48">
        <f>IF(Offerte!$A37="","",Offerte!$C37)</f>
        <v/>
      </c>
      <c r="D1106" s="48" t="inlineStr">
        <is>
          <t>D.1.2</t>
        </is>
      </c>
      <c r="E1106" s="48" t="inlineStr">
        <is>
          <t>D</t>
        </is>
      </c>
      <c r="F1106" s="48" t="inlineStr">
        <is>
          <t>Q</t>
        </is>
      </c>
      <c r="G1106" s="48" t="inlineStr">
        <is>
          <t>higher</t>
        </is>
      </c>
      <c r="H1106" s="48" t="n">
        <v>3</v>
      </c>
      <c r="I1106" s="48" t="inlineStr">
        <is>
          <t>Installazione di paline di fermata conformi alla DGR 581/2023</t>
        </is>
      </c>
      <c r="J1106" s="73" t="n"/>
      <c r="K1106" s="73" t="n"/>
      <c r="L1106" s="73" t="n"/>
      <c r="M1106" s="73" t="n"/>
      <c r="N1106" s="57">
        <f>IF($A1106="","",IFERROR(VALUE($J1106),0))</f>
        <v/>
      </c>
      <c r="O1106" s="57">
        <f>IF($A1106="",0,IF(OR($S1106&lt;&gt;1,COUNTA($J1106:$M1106)=0),0,IF(SUMPRODUCT(MAX(($C$5:$C$2484=$C1106)*($D$5:$D$2484=$D1106)*($S$5:$S$2484=1)*IFERROR($N$5:$N$2484*1,0)))&gt;0,ROUND($H1106*($N1106/SUMPRODUCT(MAX(($C$5:$C$2484=$C1106)*($D$5:$D$2484=$D1106)*($S$5:$S$2484=1)*IFERROR($N$5:$N$2484*1,0)))),4),0)))</f>
        <v/>
      </c>
      <c r="P1106" s="48" t="inlineStr">
        <is>
          <t>fermate</t>
        </is>
      </c>
      <c r="Q1106" s="57">
        <f>IF($A1106="","",$A1106&amp;"|"&amp;$C1106)</f>
        <v/>
      </c>
      <c r="R1106" s="57">
        <f>IF($A1106="","",$A1106&amp;"|"&amp;$C1106&amp;"|"&amp;$D1106)</f>
        <v/>
      </c>
      <c r="S1106" s="57">
        <f>IF($A1106="","",IFERROR(INDEX(Offerte!$D$2:$D$81,MATCH($Q1106,Offerte!$L$2:$L$81,0)),0))</f>
        <v/>
      </c>
      <c r="T1106" s="57">
        <f>IF($A1106="","",IFERROR(INDEX(Offerte!$G$2:$G$81,MATCH($Q1106,Offerte!$L$2:$L$81,0)),"NO"))</f>
        <v/>
      </c>
    </row>
    <row r="1107">
      <c r="A1107" s="48">
        <f>IF(Offerte!$A37="","",Offerte!$A37)</f>
        <v/>
      </c>
      <c r="B1107" s="48">
        <f>IF(Offerte!$A37="","",Offerte!$B37)</f>
        <v/>
      </c>
      <c r="C1107" s="48">
        <f>IF(Offerte!$A37="","",Offerte!$C37)</f>
        <v/>
      </c>
      <c r="D1107" s="48" t="inlineStr">
        <is>
          <t>D.1.3</t>
        </is>
      </c>
      <c r="E1107" s="48" t="inlineStr">
        <is>
          <t>D</t>
        </is>
      </c>
      <c r="F1107" s="48" t="inlineStr">
        <is>
          <t>Q</t>
        </is>
      </c>
      <c r="G1107" s="48" t="inlineStr">
        <is>
          <t>higher</t>
        </is>
      </c>
      <c r="H1107" s="48" t="n">
        <v>2</v>
      </c>
      <c r="I1107" s="48" t="inlineStr">
        <is>
          <t>Display informativi connessi alle fermate</t>
        </is>
      </c>
      <c r="J1107" s="73" t="n"/>
      <c r="K1107" s="73" t="n"/>
      <c r="L1107" s="73" t="n"/>
      <c r="M1107" s="73" t="n"/>
      <c r="N1107" s="57">
        <f>IF($A1107="","",IFERROR(VALUE($J1107),0))</f>
        <v/>
      </c>
      <c r="O1107" s="57">
        <f>IF($A1107="",0,IF(OR($S1107&lt;&gt;1,COUNTA($J1107:$M1107)=0),0,IF(SUMPRODUCT(MAX(($C$5:$C$2484=$C1107)*($D$5:$D$2484=$D1107)*($S$5:$S$2484=1)*IFERROR($N$5:$N$2484*1,0)))&gt;0,ROUND($H1107*($N1107/SUMPRODUCT(MAX(($C$5:$C$2484=$C1107)*($D$5:$D$2484=$D1107)*($S$5:$S$2484=1)*IFERROR($N$5:$N$2484*1,0)))),4),0)))</f>
        <v/>
      </c>
      <c r="P1107" s="48" t="inlineStr">
        <is>
          <t>fermate</t>
        </is>
      </c>
      <c r="Q1107" s="57">
        <f>IF($A1107="","",$A1107&amp;"|"&amp;$C1107)</f>
        <v/>
      </c>
      <c r="R1107" s="57">
        <f>IF($A1107="","",$A1107&amp;"|"&amp;$C1107&amp;"|"&amp;$D1107)</f>
        <v/>
      </c>
      <c r="S1107" s="57">
        <f>IF($A1107="","",IFERROR(INDEX(Offerte!$D$2:$D$81,MATCH($Q1107,Offerte!$L$2:$L$81,0)),0))</f>
        <v/>
      </c>
      <c r="T1107" s="57">
        <f>IF($A1107="","",IFERROR(INDEX(Offerte!$G$2:$G$81,MATCH($Q1107,Offerte!$L$2:$L$81,0)),"NO"))</f>
        <v/>
      </c>
    </row>
    <row r="1108">
      <c r="A1108" s="48">
        <f>IF(Offerte!$A37="","",Offerte!$A37)</f>
        <v/>
      </c>
      <c r="B1108" s="48">
        <f>IF(Offerte!$A37="","",Offerte!$B37)</f>
        <v/>
      </c>
      <c r="C1108" s="48">
        <f>IF(Offerte!$A37="","",Offerte!$C37)</f>
        <v/>
      </c>
      <c r="D1108" s="48" t="inlineStr">
        <is>
          <t>D.2.1</t>
        </is>
      </c>
      <c r="E1108" s="48" t="inlineStr">
        <is>
          <t>D</t>
        </is>
      </c>
      <c r="F1108" s="48" t="inlineStr">
        <is>
          <t>Q</t>
        </is>
      </c>
      <c r="G1108" s="48" t="inlineStr">
        <is>
          <t>higher</t>
        </is>
      </c>
      <c r="H1108" s="48" t="n">
        <v>2</v>
      </c>
      <c r="I1108" s="48" t="inlineStr">
        <is>
          <t>Segnali tattili Loges-Vet-Evolution</t>
        </is>
      </c>
      <c r="J1108" s="73" t="n"/>
      <c r="K1108" s="73" t="n"/>
      <c r="L1108" s="73" t="n"/>
      <c r="M1108" s="73" t="n"/>
      <c r="N1108" s="57">
        <f>IF($A1108="","",IFERROR(VALUE($J1108),0))</f>
        <v/>
      </c>
      <c r="O1108" s="57">
        <f>IF($A1108="",0,IF(OR($S1108&lt;&gt;1,COUNTA($J1108:$M1108)=0),0,IF(SUMPRODUCT(MAX(($C$5:$C$2484=$C1108)*($D$5:$D$2484=$D1108)*($S$5:$S$2484=1)*IFERROR($N$5:$N$2484*1,0)))&gt;0,ROUND($H1108*($N1108/SUMPRODUCT(MAX(($C$5:$C$2484=$C1108)*($D$5:$D$2484=$D1108)*($S$5:$S$2484=1)*IFERROR($N$5:$N$2484*1,0)))),4),0)))</f>
        <v/>
      </c>
      <c r="P1108" s="48" t="inlineStr">
        <is>
          <t>fermate</t>
        </is>
      </c>
      <c r="Q1108" s="57">
        <f>IF($A1108="","",$A1108&amp;"|"&amp;$C1108)</f>
        <v/>
      </c>
      <c r="R1108" s="57">
        <f>IF($A1108="","",$A1108&amp;"|"&amp;$C1108&amp;"|"&amp;$D1108)</f>
        <v/>
      </c>
      <c r="S1108" s="57">
        <f>IF($A1108="","",IFERROR(INDEX(Offerte!$D$2:$D$81,MATCH($Q1108,Offerte!$L$2:$L$81,0)),0))</f>
        <v/>
      </c>
      <c r="T1108" s="57">
        <f>IF($A1108="","",IFERROR(INDEX(Offerte!$G$2:$G$81,MATCH($Q1108,Offerte!$L$2:$L$81,0)),"NO"))</f>
        <v/>
      </c>
    </row>
    <row r="1109">
      <c r="A1109" s="48">
        <f>IF(Offerte!$A37="","",Offerte!$A37)</f>
        <v/>
      </c>
      <c r="B1109" s="48">
        <f>IF(Offerte!$A37="","",Offerte!$B37)</f>
        <v/>
      </c>
      <c r="C1109" s="48">
        <f>IF(Offerte!$A37="","",Offerte!$C37)</f>
        <v/>
      </c>
      <c r="D1109" s="48" t="inlineStr">
        <is>
          <t>E.1.1</t>
        </is>
      </c>
      <c r="E1109" s="48" t="inlineStr">
        <is>
          <t>E</t>
        </is>
      </c>
      <c r="F1109" s="48" t="inlineStr">
        <is>
          <t>T</t>
        </is>
      </c>
      <c r="G1109" s="48" t="inlineStr">
        <is>
          <t>tabular</t>
        </is>
      </c>
      <c r="H1109" s="48" t="n">
        <v>2</v>
      </c>
      <c r="I1109" s="48" t="inlineStr">
        <is>
          <t>Mobile app con travel planner PRM</t>
        </is>
      </c>
      <c r="J1109" s="73" t="n"/>
      <c r="K1109" s="73" t="n"/>
      <c r="L1109" s="73" t="n"/>
      <c r="M1109" s="73" t="n"/>
      <c r="N1109" s="57">
        <f>IF($A1109="","",IF(IFERROR(VALUE($M1109),0)=1,1,0))</f>
        <v/>
      </c>
      <c r="O1109" s="57">
        <f>IF($A1109="",0,IF(OR($S1109&lt;&gt;1,COUNTA($J1109:$M1109)=0),0,IF($N1109=1,$H1109,0)))</f>
        <v/>
      </c>
      <c r="P1109" s="48" t="inlineStr">
        <is>
          <t>sì/no</t>
        </is>
      </c>
      <c r="Q1109" s="57">
        <f>IF($A1109="","",$A1109&amp;"|"&amp;$C1109)</f>
        <v/>
      </c>
      <c r="R1109" s="57">
        <f>IF($A1109="","",$A1109&amp;"|"&amp;$C1109&amp;"|"&amp;$D1109)</f>
        <v/>
      </c>
      <c r="S1109" s="57">
        <f>IF($A1109="","",IFERROR(INDEX(Offerte!$D$2:$D$81,MATCH($Q1109,Offerte!$L$2:$L$81,0)),0))</f>
        <v/>
      </c>
      <c r="T1109" s="57">
        <f>IF($A1109="","",IFERROR(INDEX(Offerte!$G$2:$G$81,MATCH($Q1109,Offerte!$L$2:$L$81,0)),"NO"))</f>
        <v/>
      </c>
    </row>
    <row r="1110">
      <c r="A1110" s="48">
        <f>IF(Offerte!$A37="","",Offerte!$A37)</f>
        <v/>
      </c>
      <c r="B1110" s="48">
        <f>IF(Offerte!$A37="","",Offerte!$B37)</f>
        <v/>
      </c>
      <c r="C1110" s="48">
        <f>IF(Offerte!$A37="","",Offerte!$C37)</f>
        <v/>
      </c>
      <c r="D1110" s="48" t="inlineStr">
        <is>
          <t>E.2.1</t>
        </is>
      </c>
      <c r="E1110" s="48" t="inlineStr">
        <is>
          <t>E</t>
        </is>
      </c>
      <c r="F1110" s="48" t="inlineStr">
        <is>
          <t>D</t>
        </is>
      </c>
      <c r="G1110" s="48" t="inlineStr">
        <is>
          <t>discretionary</t>
        </is>
      </c>
      <c r="H1110" s="48" t="n">
        <v>2</v>
      </c>
      <c r="I1110" s="48" t="inlineStr">
        <is>
          <t>Altre azioni informative e rapporti con gli utenti</t>
        </is>
      </c>
      <c r="J1110" s="73" t="n"/>
      <c r="K1110" s="73" t="n"/>
      <c r="L1110" s="73" t="n"/>
      <c r="M1110" s="73" t="n"/>
      <c r="N1110" s="57">
        <f>IF($A1110="","",MAX(0,MIN(1,IFERROR(VALUE($M1110),0))))</f>
        <v/>
      </c>
      <c r="O1110" s="57">
        <f>IF($A1110="",0,IF(OR($S1110&lt;&gt;1,COUNTA($J1110:$M1110)=0),0,IF(SUMPRODUCT(MAX(($C$5:$C$2484=$C1110)*($D$5:$D$2484=$D1110)*($S$5:$S$2484=1)*IFERROR($N$5:$N$2484*1,0)))&gt;0,ROUND($H1110*($N1110/SUMPRODUCT(MAX(($C$5:$C$2484=$C1110)*($D$5:$D$2484=$D1110)*($S$5:$S$2484=1)*IFERROR($N$5:$N$2484*1,0)))),4),0)))</f>
        <v/>
      </c>
      <c r="P1110" s="48" t="inlineStr">
        <is>
          <t>coeff.</t>
        </is>
      </c>
      <c r="Q1110" s="57">
        <f>IF($A1110="","",$A1110&amp;"|"&amp;$C1110)</f>
        <v/>
      </c>
      <c r="R1110" s="57">
        <f>IF($A1110="","",$A1110&amp;"|"&amp;$C1110&amp;"|"&amp;$D1110)</f>
        <v/>
      </c>
      <c r="S1110" s="57">
        <f>IF($A1110="","",IFERROR(INDEX(Offerte!$D$2:$D$81,MATCH($Q1110,Offerte!$L$2:$L$81,0)),0))</f>
        <v/>
      </c>
      <c r="T1110" s="57">
        <f>IF($A1110="","",IFERROR(INDEX(Offerte!$G$2:$G$81,MATCH($Q1110,Offerte!$L$2:$L$81,0)),"NO"))</f>
        <v/>
      </c>
    </row>
    <row r="1111">
      <c r="A1111" s="48">
        <f>IF(Offerte!$A37="","",Offerte!$A37)</f>
        <v/>
      </c>
      <c r="B1111" s="48">
        <f>IF(Offerte!$A37="","",Offerte!$B37)</f>
        <v/>
      </c>
      <c r="C1111" s="48">
        <f>IF(Offerte!$A37="","",Offerte!$C37)</f>
        <v/>
      </c>
      <c r="D1111" s="48" t="inlineStr">
        <is>
          <t>F.1.1</t>
        </is>
      </c>
      <c r="E1111" s="48" t="inlineStr">
        <is>
          <t>F</t>
        </is>
      </c>
      <c r="F1111" s="48" t="inlineStr">
        <is>
          <t>Q</t>
        </is>
      </c>
      <c r="G1111" s="48" t="inlineStr">
        <is>
          <t>lower</t>
        </is>
      </c>
      <c r="H1111" s="48" t="n">
        <v>7</v>
      </c>
      <c r="I1111" s="48" t="inlineStr">
        <is>
          <t>Performance ambientali del parco mezzi adibito al servizio - I_CEA</t>
        </is>
      </c>
      <c r="J1111" s="73" t="n"/>
      <c r="K1111" s="73" t="n"/>
      <c r="L1111" s="73" t="n"/>
      <c r="M1111" s="73" t="n"/>
      <c r="N1111" s="57">
        <f>IF($A1111="","",IFERROR(VALUE($J1111),0))</f>
        <v/>
      </c>
      <c r="O1111" s="57">
        <f>IF($A1111="",0,IF(OR($S1111&lt;&gt;1,COUNTA($J1111:$M1111)=0),0,IF(AND(IFERROR(AGGREGATE(15,6,$N$5:$N$2484/(($C$5:$C$2484=$C1111)*($D$5:$D$2484=$D1111)*($S$5:$S$2484=1)*($N$5:$N$2484&gt;0)),1),0)&gt;0,$N1111&gt;0),ROUND($H1111*(IFERROR(AGGREGATE(15,6,$N$5:$N$2484/(($C$5:$C$2484=$C1111)*($D$5:$D$2484=$D1111)*($S$5:$S$2484=1)*($N$5:$N$2484&gt;0)),1),0)/$N1111),4),0)))</f>
        <v/>
      </c>
      <c r="P1111" s="48" t="inlineStr">
        <is>
          <t>indice</t>
        </is>
      </c>
      <c r="Q1111" s="57">
        <f>IF($A1111="","",$A1111&amp;"|"&amp;$C1111)</f>
        <v/>
      </c>
      <c r="R1111" s="57">
        <f>IF($A1111="","",$A1111&amp;"|"&amp;$C1111&amp;"|"&amp;$D1111)</f>
        <v/>
      </c>
      <c r="S1111" s="57">
        <f>IF($A1111="","",IFERROR(INDEX(Offerte!$D$2:$D$81,MATCH($Q1111,Offerte!$L$2:$L$81,0)),0))</f>
        <v/>
      </c>
      <c r="T1111" s="57">
        <f>IF($A1111="","",IFERROR(INDEX(Offerte!$G$2:$G$81,MATCH($Q1111,Offerte!$L$2:$L$81,0)),"NO"))</f>
        <v/>
      </c>
    </row>
    <row r="1112">
      <c r="A1112" s="48">
        <f>IF(Offerte!$A37="","",Offerte!$A37)</f>
        <v/>
      </c>
      <c r="B1112" s="48">
        <f>IF(Offerte!$A37="","",Offerte!$B37)</f>
        <v/>
      </c>
      <c r="C1112" s="48">
        <f>IF(Offerte!$A37="","",Offerte!$C37)</f>
        <v/>
      </c>
      <c r="D1112" s="48" t="inlineStr">
        <is>
          <t>F.2.1</t>
        </is>
      </c>
      <c r="E1112" s="48" t="inlineStr">
        <is>
          <t>F</t>
        </is>
      </c>
      <c r="F1112" s="48" t="inlineStr">
        <is>
          <t>Q</t>
        </is>
      </c>
      <c r="G1112" s="48" t="inlineStr">
        <is>
          <t>higher</t>
        </is>
      </c>
      <c r="H1112" s="48" t="n">
        <v>2</v>
      </c>
      <c r="I1112" s="48" t="inlineStr">
        <is>
          <t>Tasso di copertura del servizio con dispositivi ECO-DRIVER</t>
        </is>
      </c>
      <c r="J1112" s="73" t="n"/>
      <c r="K1112" s="73" t="n"/>
      <c r="L1112" s="73" t="n"/>
      <c r="M1112" s="73" t="n"/>
      <c r="N1112" s="57">
        <f>IF($A1112="","",IFERROR(VALUE($K1112)/VALUE($L1112),IFERROR(VALUE($J1112),0)))</f>
        <v/>
      </c>
      <c r="O1112" s="57">
        <f>IF($A1112="",0,IF(OR($S1112&lt;&gt;1,COUNTA($J1112:$M1112)=0),0,IF(SUMPRODUCT(MAX(($C$5:$C$2484=$C1112)*($D$5:$D$2484=$D1112)*($S$5:$S$2484=1)*IFERROR($N$5:$N$2484*1,0)))&gt;0,ROUND($H1112*($N1112/SUMPRODUCT(MAX(($C$5:$C$2484=$C1112)*($D$5:$D$2484=$D1112)*($S$5:$S$2484=1)*IFERROR($N$5:$N$2484*1,0)))),4),0)))</f>
        <v/>
      </c>
      <c r="P1112" s="48" t="inlineStr">
        <is>
          <t>Autobus attrezzati con dispositivi ECO-DRIVER / Autobus totali in offerta, incluse scorte</t>
        </is>
      </c>
      <c r="Q1112" s="57">
        <f>IF($A1112="","",$A1112&amp;"|"&amp;$C1112)</f>
        <v/>
      </c>
      <c r="R1112" s="57">
        <f>IF($A1112="","",$A1112&amp;"|"&amp;$C1112&amp;"|"&amp;$D1112)</f>
        <v/>
      </c>
      <c r="S1112" s="57">
        <f>IF($A1112="","",IFERROR(INDEX(Offerte!$D$2:$D$81,MATCH($Q1112,Offerte!$L$2:$L$81,0)),0))</f>
        <v/>
      </c>
      <c r="T1112" s="57">
        <f>IF($A1112="","",IFERROR(INDEX(Offerte!$G$2:$G$81,MATCH($Q1112,Offerte!$L$2:$L$81,0)),"NO"))</f>
        <v/>
      </c>
    </row>
    <row r="1113">
      <c r="A1113" s="48">
        <f>IF(Offerte!$A37="","",Offerte!$A37)</f>
        <v/>
      </c>
      <c r="B1113" s="48">
        <f>IF(Offerte!$A37="","",Offerte!$B37)</f>
        <v/>
      </c>
      <c r="C1113" s="48">
        <f>IF(Offerte!$A37="","",Offerte!$C37)</f>
        <v/>
      </c>
      <c r="D1113" s="48" t="inlineStr">
        <is>
          <t>F.3.1</t>
        </is>
      </c>
      <c r="E1113" s="48" t="inlineStr">
        <is>
          <t>F</t>
        </is>
      </c>
      <c r="F1113" s="48" t="inlineStr">
        <is>
          <t>Q</t>
        </is>
      </c>
      <c r="G1113" s="48" t="inlineStr">
        <is>
          <t>higher</t>
        </is>
      </c>
      <c r="H1113" s="48" t="n">
        <v>2</v>
      </c>
      <c r="I1113" s="48" t="inlineStr">
        <is>
          <t>Autoproduzione consumi elettrici per trazione</t>
        </is>
      </c>
      <c r="J1113" s="73" t="n"/>
      <c r="K1113" s="73" t="n"/>
      <c r="L1113" s="73" t="n"/>
      <c r="M1113" s="73" t="n"/>
      <c r="N1113" s="57">
        <f>IF($A1113="","",IFERROR(VALUE($J1113),0))</f>
        <v/>
      </c>
      <c r="O1113" s="57">
        <f>IF($A1113="",0,IF(OR($S1113&lt;&gt;1,COUNTA($J1113:$M1113)=0),0,IF(SUMPRODUCT(MAX(($C$5:$C$2484=$C1113)*($D$5:$D$2484=$D1113)*($S$5:$S$2484=1)*IFERROR($N$5:$N$2484*1,0)))&gt;0,ROUND($H1113*($N1113/SUMPRODUCT(MAX(($C$5:$C$2484=$C1113)*($D$5:$D$2484=$D1113)*($S$5:$S$2484=1)*IFERROR($N$5:$N$2484*1,0)))),4),0)))</f>
        <v/>
      </c>
      <c r="P1113" s="48" t="inlineStr">
        <is>
          <t>kWh/anno</t>
        </is>
      </c>
      <c r="Q1113" s="57">
        <f>IF($A1113="","",$A1113&amp;"|"&amp;$C1113)</f>
        <v/>
      </c>
      <c r="R1113" s="57">
        <f>IF($A1113="","",$A1113&amp;"|"&amp;$C1113&amp;"|"&amp;$D1113)</f>
        <v/>
      </c>
      <c r="S1113" s="57">
        <f>IF($A1113="","",IFERROR(INDEX(Offerte!$D$2:$D$81,MATCH($Q1113,Offerte!$L$2:$L$81,0)),0))</f>
        <v/>
      </c>
      <c r="T1113" s="57">
        <f>IF($A1113="","",IFERROR(INDEX(Offerte!$G$2:$G$81,MATCH($Q1113,Offerte!$L$2:$L$81,0)),"NO"))</f>
        <v/>
      </c>
    </row>
    <row r="1114">
      <c r="A1114" s="48">
        <f>IF(Offerte!$A37="","",Offerte!$A37)</f>
        <v/>
      </c>
      <c r="B1114" s="48">
        <f>IF(Offerte!$A37="","",Offerte!$B37)</f>
        <v/>
      </c>
      <c r="C1114" s="48">
        <f>IF(Offerte!$A37="","",Offerte!$C37)</f>
        <v/>
      </c>
      <c r="D1114" s="48" t="inlineStr">
        <is>
          <t>F.4.1</t>
        </is>
      </c>
      <c r="E1114" s="48" t="inlineStr">
        <is>
          <t>F</t>
        </is>
      </c>
      <c r="F1114" s="48" t="inlineStr">
        <is>
          <t>Q</t>
        </is>
      </c>
      <c r="G1114" s="48" t="inlineStr">
        <is>
          <t>soil</t>
        </is>
      </c>
      <c r="H1114" s="48" t="n">
        <v>2</v>
      </c>
      <c r="I1114" s="48" t="inlineStr">
        <is>
          <t>Indice di consumo di suolo</t>
        </is>
      </c>
      <c r="J1114" s="73" t="n"/>
      <c r="K1114" s="73" t="n"/>
      <c r="L1114" s="73" t="n"/>
      <c r="M1114" s="73" t="n"/>
      <c r="N1114" s="57">
        <f>IF($A1114="","",IFERROR(VALUE($J1114),0))</f>
        <v/>
      </c>
      <c r="O1114" s="57">
        <f>IF($A1114="",0,IF(OR($S1114&lt;&gt;1,COUNTA($J1114:$M1114)=0),0,IF($N1114&lt;=0,$H1114,IF(SUMPRODUCT(MAX(($C$5:$C$2484=$C1114)*($D$5:$D$2484=$D1114)*($S$5:$S$2484=1)*IFERROR($N$5:$N$2484*1,0)))&gt;0,ROUND($H1114*((SUMPRODUCT(MAX(($C$5:$C$2484=$C1114)*($D$5:$D$2484=$D1114)*($S$5:$S$2484=1)*IFERROR($N$5:$N$2484*1,0)))-$N1114)/SUMPRODUCT(MAX(($C$5:$C$2484=$C1114)*($D$5:$D$2484=$D1114)*($S$5:$S$2484=1)*IFERROR($N$5:$N$2484*1,0)))),4),0))))</f>
        <v/>
      </c>
      <c r="P1114" s="48" t="inlineStr">
        <is>
          <t>m2</t>
        </is>
      </c>
      <c r="Q1114" s="57">
        <f>IF($A1114="","",$A1114&amp;"|"&amp;$C1114)</f>
        <v/>
      </c>
      <c r="R1114" s="57">
        <f>IF($A1114="","",$A1114&amp;"|"&amp;$C1114&amp;"|"&amp;$D1114)</f>
        <v/>
      </c>
      <c r="S1114" s="57">
        <f>IF($A1114="","",IFERROR(INDEX(Offerte!$D$2:$D$81,MATCH($Q1114,Offerte!$L$2:$L$81,0)),0))</f>
        <v/>
      </c>
      <c r="T1114" s="57">
        <f>IF($A1114="","",IFERROR(INDEX(Offerte!$G$2:$G$81,MATCH($Q1114,Offerte!$L$2:$L$81,0)),"NO"))</f>
        <v/>
      </c>
    </row>
    <row r="1115">
      <c r="A1115" s="48">
        <f>IF(Offerte!$A37="","",Offerte!$A37)</f>
        <v/>
      </c>
      <c r="B1115" s="48">
        <f>IF(Offerte!$A37="","",Offerte!$B37)</f>
        <v/>
      </c>
      <c r="C1115" s="48">
        <f>IF(Offerte!$A37="","",Offerte!$C37)</f>
        <v/>
      </c>
      <c r="D1115" s="48" t="inlineStr">
        <is>
          <t>F.5.1</t>
        </is>
      </c>
      <c r="E1115" s="48" t="inlineStr">
        <is>
          <t>F</t>
        </is>
      </c>
      <c r="F1115" s="48" t="inlineStr">
        <is>
          <t>T</t>
        </is>
      </c>
      <c r="G1115" s="48" t="inlineStr">
        <is>
          <t>tabular</t>
        </is>
      </c>
      <c r="H1115" s="48" t="n">
        <v>1</v>
      </c>
      <c r="I1115" s="48" t="inlineStr">
        <is>
          <t>Rendicontazione di sostenibilità ambientale</t>
        </is>
      </c>
      <c r="J1115" s="73" t="n"/>
      <c r="K1115" s="73" t="n"/>
      <c r="L1115" s="73" t="n"/>
      <c r="M1115" s="73" t="n"/>
      <c r="N1115" s="57">
        <f>IF($A1115="","",IF(IFERROR(VALUE($M1115),0)=1,1,0))</f>
        <v/>
      </c>
      <c r="O1115" s="57">
        <f>IF($A1115="",0,IF(OR($S1115&lt;&gt;1,COUNTA($J1115:$M1115)=0),0,IF($N1115=1,$H1115,0)))</f>
        <v/>
      </c>
      <c r="P1115" s="48" t="inlineStr">
        <is>
          <t>sì/no</t>
        </is>
      </c>
      <c r="Q1115" s="57">
        <f>IF($A1115="","",$A1115&amp;"|"&amp;$C1115)</f>
        <v/>
      </c>
      <c r="R1115" s="57">
        <f>IF($A1115="","",$A1115&amp;"|"&amp;$C1115&amp;"|"&amp;$D1115)</f>
        <v/>
      </c>
      <c r="S1115" s="57">
        <f>IF($A1115="","",IFERROR(INDEX(Offerte!$D$2:$D$81,MATCH($Q1115,Offerte!$L$2:$L$81,0)),0))</f>
        <v/>
      </c>
      <c r="T1115" s="57">
        <f>IF($A1115="","",IFERROR(INDEX(Offerte!$G$2:$G$81,MATCH($Q1115,Offerte!$L$2:$L$81,0)),"NO"))</f>
        <v/>
      </c>
    </row>
    <row r="1116">
      <c r="A1116" s="48">
        <f>IF(Offerte!$A37="","",Offerte!$A37)</f>
        <v/>
      </c>
      <c r="B1116" s="48">
        <f>IF(Offerte!$A37="","",Offerte!$B37)</f>
        <v/>
      </c>
      <c r="C1116" s="48">
        <f>IF(Offerte!$A37="","",Offerte!$C37)</f>
        <v/>
      </c>
      <c r="D1116" s="48" t="inlineStr">
        <is>
          <t>G.1.1</t>
        </is>
      </c>
      <c r="E1116" s="48" t="inlineStr">
        <is>
          <t>G</t>
        </is>
      </c>
      <c r="F1116" s="48" t="inlineStr">
        <is>
          <t>D</t>
        </is>
      </c>
      <c r="G1116" s="48" t="inlineStr">
        <is>
          <t>discretionary</t>
        </is>
      </c>
      <c r="H1116" s="48" t="n">
        <v>2</v>
      </c>
      <c r="I1116" s="48" t="inlineStr">
        <is>
          <t>Qualità del progetto di centrale di controllo aziendale</t>
        </is>
      </c>
      <c r="J1116" s="73" t="n"/>
      <c r="K1116" s="73" t="n"/>
      <c r="L1116" s="73" t="n"/>
      <c r="M1116" s="73" t="n"/>
      <c r="N1116" s="57">
        <f>IF($A1116="","",MAX(0,MIN(1,IFERROR(VALUE($M1116),0))))</f>
        <v/>
      </c>
      <c r="O1116" s="57">
        <f>IF($A1116="",0,IF(OR($S1116&lt;&gt;1,COUNTA($J1116:$M1116)=0),0,IF(SUMPRODUCT(MAX(($C$5:$C$2484=$C1116)*($D$5:$D$2484=$D1116)*($S$5:$S$2484=1)*IFERROR($N$5:$N$2484*1,0)))&gt;0,ROUND($H1116*($N1116/SUMPRODUCT(MAX(($C$5:$C$2484=$C1116)*($D$5:$D$2484=$D1116)*($S$5:$S$2484=1)*IFERROR($N$5:$N$2484*1,0)))),4),0)))</f>
        <v/>
      </c>
      <c r="P1116" s="48" t="inlineStr">
        <is>
          <t>coeff.</t>
        </is>
      </c>
      <c r="Q1116" s="57">
        <f>IF($A1116="","",$A1116&amp;"|"&amp;$C1116)</f>
        <v/>
      </c>
      <c r="R1116" s="57">
        <f>IF($A1116="","",$A1116&amp;"|"&amp;$C1116&amp;"|"&amp;$D1116)</f>
        <v/>
      </c>
      <c r="S1116" s="57">
        <f>IF($A1116="","",IFERROR(INDEX(Offerte!$D$2:$D$81,MATCH($Q1116,Offerte!$L$2:$L$81,0)),0))</f>
        <v/>
      </c>
      <c r="T1116" s="57">
        <f>IF($A1116="","",IFERROR(INDEX(Offerte!$G$2:$G$81,MATCH($Q1116,Offerte!$L$2:$L$81,0)),"NO"))</f>
        <v/>
      </c>
    </row>
    <row r="1117">
      <c r="A1117" s="48">
        <f>IF(Offerte!$A37="","",Offerte!$A37)</f>
        <v/>
      </c>
      <c r="B1117" s="48">
        <f>IF(Offerte!$A37="","",Offerte!$B37)</f>
        <v/>
      </c>
      <c r="C1117" s="48">
        <f>IF(Offerte!$A37="","",Offerte!$C37)</f>
        <v/>
      </c>
      <c r="D1117" s="48" t="inlineStr">
        <is>
          <t>G.2.1</t>
        </is>
      </c>
      <c r="E1117" s="48" t="inlineStr">
        <is>
          <t>G</t>
        </is>
      </c>
      <c r="F1117" s="48" t="inlineStr">
        <is>
          <t>T</t>
        </is>
      </c>
      <c r="G1117" s="48" t="inlineStr">
        <is>
          <t>tabular</t>
        </is>
      </c>
      <c r="H1117" s="48" t="n">
        <v>1</v>
      </c>
      <c r="I1117" s="48" t="inlineStr">
        <is>
          <t>Certificazione ISO 45001</t>
        </is>
      </c>
      <c r="J1117" s="73" t="n"/>
      <c r="K1117" s="73" t="n"/>
      <c r="L1117" s="73" t="n"/>
      <c r="M1117" s="73" t="n"/>
      <c r="N1117" s="57">
        <f>IF($A1117="","",IF(IFERROR(VALUE($M1117),0)=1,1,0))</f>
        <v/>
      </c>
      <c r="O1117" s="57">
        <f>IF($A1117="",0,IF(OR($S1117&lt;&gt;1,COUNTA($J1117:$M1117)=0),0,IF($N1117=1,$H1117,0)))</f>
        <v/>
      </c>
      <c r="P1117" s="48" t="inlineStr">
        <is>
          <t>sì/no</t>
        </is>
      </c>
      <c r="Q1117" s="57">
        <f>IF($A1117="","",$A1117&amp;"|"&amp;$C1117)</f>
        <v/>
      </c>
      <c r="R1117" s="57">
        <f>IF($A1117="","",$A1117&amp;"|"&amp;$C1117&amp;"|"&amp;$D1117)</f>
        <v/>
      </c>
      <c r="S1117" s="57">
        <f>IF($A1117="","",IFERROR(INDEX(Offerte!$D$2:$D$81,MATCH($Q1117,Offerte!$L$2:$L$81,0)),0))</f>
        <v/>
      </c>
      <c r="T1117" s="57">
        <f>IF($A1117="","",IFERROR(INDEX(Offerte!$G$2:$G$81,MATCH($Q1117,Offerte!$L$2:$L$81,0)),"NO"))</f>
        <v/>
      </c>
    </row>
    <row r="1118">
      <c r="A1118" s="48">
        <f>IF(Offerte!$A37="","",Offerte!$A37)</f>
        <v/>
      </c>
      <c r="B1118" s="48">
        <f>IF(Offerte!$A37="","",Offerte!$B37)</f>
        <v/>
      </c>
      <c r="C1118" s="48">
        <f>IF(Offerte!$A37="","",Offerte!$C37)</f>
        <v/>
      </c>
      <c r="D1118" s="48" t="inlineStr">
        <is>
          <t>G.3.1</t>
        </is>
      </c>
      <c r="E1118" s="48" t="inlineStr">
        <is>
          <t>G</t>
        </is>
      </c>
      <c r="F1118" s="48" t="inlineStr">
        <is>
          <t>T</t>
        </is>
      </c>
      <c r="G1118" s="48" t="inlineStr">
        <is>
          <t>tabular</t>
        </is>
      </c>
      <c r="H1118" s="48" t="n">
        <v>1</v>
      </c>
      <c r="I1118" s="48" t="inlineStr">
        <is>
          <t>Certificazioni di responsabilità sociale</t>
        </is>
      </c>
      <c r="J1118" s="73" t="n"/>
      <c r="K1118" s="73" t="n"/>
      <c r="L1118" s="73" t="n"/>
      <c r="M1118" s="73" t="n"/>
      <c r="N1118" s="57">
        <f>IF($A1118="","",IF(IFERROR(VALUE($M1118),0)=1,1,0))</f>
        <v/>
      </c>
      <c r="O1118" s="57">
        <f>IF($A1118="",0,IF(OR($S1118&lt;&gt;1,COUNTA($J1118:$M1118)=0),0,IF($N1118=1,$H1118,0)))</f>
        <v/>
      </c>
      <c r="P1118" s="48" t="inlineStr">
        <is>
          <t>sì/no</t>
        </is>
      </c>
      <c r="Q1118" s="57">
        <f>IF($A1118="","",$A1118&amp;"|"&amp;$C1118)</f>
        <v/>
      </c>
      <c r="R1118" s="57">
        <f>IF($A1118="","",$A1118&amp;"|"&amp;$C1118&amp;"|"&amp;$D1118)</f>
        <v/>
      </c>
      <c r="S1118" s="57">
        <f>IF($A1118="","",IFERROR(INDEX(Offerte!$D$2:$D$81,MATCH($Q1118,Offerte!$L$2:$L$81,0)),0))</f>
        <v/>
      </c>
      <c r="T1118" s="57">
        <f>IF($A1118="","",IFERROR(INDEX(Offerte!$G$2:$G$81,MATCH($Q1118,Offerte!$L$2:$L$81,0)),"NO"))</f>
        <v/>
      </c>
    </row>
    <row r="1119">
      <c r="A1119" s="48">
        <f>IF(Offerte!$A37="","",Offerte!$A37)</f>
        <v/>
      </c>
      <c r="B1119" s="48">
        <f>IF(Offerte!$A37="","",Offerte!$B37)</f>
        <v/>
      </c>
      <c r="C1119" s="48">
        <f>IF(Offerte!$A37="","",Offerte!$C37)</f>
        <v/>
      </c>
      <c r="D1119" s="48" t="inlineStr">
        <is>
          <t>G.4.1</t>
        </is>
      </c>
      <c r="E1119" s="48" t="inlineStr">
        <is>
          <t>G</t>
        </is>
      </c>
      <c r="F1119" s="48" t="inlineStr">
        <is>
          <t>D</t>
        </is>
      </c>
      <c r="G1119" s="48" t="inlineStr">
        <is>
          <t>discretionary</t>
        </is>
      </c>
      <c r="H1119" s="48" t="n">
        <v>2</v>
      </c>
      <c r="I1119" s="48" t="inlineStr">
        <is>
          <t>Qualità del piano di formazione del personale</t>
        </is>
      </c>
      <c r="J1119" s="73" t="n"/>
      <c r="K1119" s="73" t="n"/>
      <c r="L1119" s="73" t="n"/>
      <c r="M1119" s="73" t="n"/>
      <c r="N1119" s="57">
        <f>IF($A1119="","",MAX(0,MIN(1,IFERROR(VALUE($M1119),0))))</f>
        <v/>
      </c>
      <c r="O1119" s="57">
        <f>IF($A1119="",0,IF(OR($S1119&lt;&gt;1,COUNTA($J1119:$M1119)=0),0,IF(SUMPRODUCT(MAX(($C$5:$C$2484=$C1119)*($D$5:$D$2484=$D1119)*($S$5:$S$2484=1)*IFERROR($N$5:$N$2484*1,0)))&gt;0,ROUND($H1119*($N1119/SUMPRODUCT(MAX(($C$5:$C$2484=$C1119)*($D$5:$D$2484=$D1119)*($S$5:$S$2484=1)*IFERROR($N$5:$N$2484*1,0)))),4),0)))</f>
        <v/>
      </c>
      <c r="P1119" s="48" t="inlineStr">
        <is>
          <t>coeff.</t>
        </is>
      </c>
      <c r="Q1119" s="57">
        <f>IF($A1119="","",$A1119&amp;"|"&amp;$C1119)</f>
        <v/>
      </c>
      <c r="R1119" s="57">
        <f>IF($A1119="","",$A1119&amp;"|"&amp;$C1119&amp;"|"&amp;$D1119)</f>
        <v/>
      </c>
      <c r="S1119" s="57">
        <f>IF($A1119="","",IFERROR(INDEX(Offerte!$D$2:$D$81,MATCH($Q1119,Offerte!$L$2:$L$81,0)),0))</f>
        <v/>
      </c>
      <c r="T1119" s="57">
        <f>IF($A1119="","",IFERROR(INDEX(Offerte!$G$2:$G$81,MATCH($Q1119,Offerte!$L$2:$L$81,0)),"NO"))</f>
        <v/>
      </c>
    </row>
    <row r="1120">
      <c r="A1120" s="48">
        <f>IF(Offerte!$A37="","",Offerte!$A37)</f>
        <v/>
      </c>
      <c r="B1120" s="48">
        <f>IF(Offerte!$A37="","",Offerte!$B37)</f>
        <v/>
      </c>
      <c r="C1120" s="48">
        <f>IF(Offerte!$A37="","",Offerte!$C37)</f>
        <v/>
      </c>
      <c r="D1120" s="48" t="inlineStr">
        <is>
          <t>G.5.1</t>
        </is>
      </c>
      <c r="E1120" s="48" t="inlineStr">
        <is>
          <t>G</t>
        </is>
      </c>
      <c r="F1120" s="48" t="inlineStr">
        <is>
          <t>T</t>
        </is>
      </c>
      <c r="G1120" s="48" t="inlineStr">
        <is>
          <t>tabular</t>
        </is>
      </c>
      <c r="H1120" s="48" t="n">
        <v>1</v>
      </c>
      <c r="I1120" s="48" t="inlineStr">
        <is>
          <t>Impegno al mantenimento delle garanzie del contratto di secondo livello del gestore uscente</t>
        </is>
      </c>
      <c r="J1120" s="73" t="n"/>
      <c r="K1120" s="73" t="n"/>
      <c r="L1120" s="73" t="n"/>
      <c r="M1120" s="73" t="n"/>
      <c r="N1120" s="57">
        <f>IF($A1120="","",IF(IFERROR(VALUE($M1120),0)=1,1,0))</f>
        <v/>
      </c>
      <c r="O1120" s="57">
        <f>IF($A1120="",0,IF(OR($S1120&lt;&gt;1,COUNTA($J1120:$M1120)=0),0,IF($N1120=1,$H1120,0)))</f>
        <v/>
      </c>
      <c r="P1120" s="48" t="inlineStr">
        <is>
          <t>sì/no</t>
        </is>
      </c>
      <c r="Q1120" s="57">
        <f>IF($A1120="","",$A1120&amp;"|"&amp;$C1120)</f>
        <v/>
      </c>
      <c r="R1120" s="57">
        <f>IF($A1120="","",$A1120&amp;"|"&amp;$C1120&amp;"|"&amp;$D1120)</f>
        <v/>
      </c>
      <c r="S1120" s="57">
        <f>IF($A1120="","",IFERROR(INDEX(Offerte!$D$2:$D$81,MATCH($Q1120,Offerte!$L$2:$L$81,0)),0))</f>
        <v/>
      </c>
      <c r="T1120" s="57">
        <f>IF($A1120="","",IFERROR(INDEX(Offerte!$G$2:$G$81,MATCH($Q1120,Offerte!$L$2:$L$81,0)),"NO"))</f>
        <v/>
      </c>
    </row>
    <row r="1121">
      <c r="A1121" s="48">
        <f>IF(Offerte!$A38="","",Offerte!$A38)</f>
        <v/>
      </c>
      <c r="B1121" s="48">
        <f>IF(Offerte!$A38="","",Offerte!$B38)</f>
        <v/>
      </c>
      <c r="C1121" s="48">
        <f>IF(Offerte!$A38="","",Offerte!$C38)</f>
        <v/>
      </c>
      <c r="D1121" s="48" t="inlineStr">
        <is>
          <t>A.1.1</t>
        </is>
      </c>
      <c r="E1121" s="48" t="inlineStr">
        <is>
          <t>A</t>
        </is>
      </c>
      <c r="F1121" s="48" t="inlineStr">
        <is>
          <t>Q</t>
        </is>
      </c>
      <c r="G1121" s="48" t="inlineStr">
        <is>
          <t>higher</t>
        </is>
      </c>
      <c r="H1121" s="48" t="n">
        <v>3</v>
      </c>
      <c r="I1121" s="48" t="inlineStr">
        <is>
          <t>Tasso aggiuntivo di corse controllate</t>
        </is>
      </c>
      <c r="J1121" s="73" t="n"/>
      <c r="K1121" s="73" t="n"/>
      <c r="L1121" s="73" t="n"/>
      <c r="M1121" s="73" t="n"/>
      <c r="N1121" s="57">
        <f>IF($A1121="","",IFERROR(VALUE($K1121)/VALUE($L1121)*100,IFERROR(VALUE($J1121),0)))</f>
        <v/>
      </c>
      <c r="O1121" s="57">
        <f>IF($A1121="",0,IF(OR($S1121&lt;&gt;1,COUNTA($J1121:$M1121)=0),0,IF(SUMPRODUCT(MAX(($C$5:$C$2484=$C1121)*($D$5:$D$2484=$D1121)*($S$5:$S$2484=1)*IFERROR($N$5:$N$2484*1,0)))&gt;0,ROUND($H1121*($N1121/SUMPRODUCT(MAX(($C$5:$C$2484=$C1121)*($D$5:$D$2484=$D1121)*($S$5:$S$2484=1)*IFERROR($N$5:$N$2484*1,0)))),4),0)))</f>
        <v/>
      </c>
      <c r="P1121" s="48" t="inlineStr">
        <is>
          <t>Corse controllate annue / Corse programmate annue</t>
        </is>
      </c>
      <c r="Q1121" s="57">
        <f>IF($A1121="","",$A1121&amp;"|"&amp;$C1121)</f>
        <v/>
      </c>
      <c r="R1121" s="57">
        <f>IF($A1121="","",$A1121&amp;"|"&amp;$C1121&amp;"|"&amp;$D1121)</f>
        <v/>
      </c>
      <c r="S1121" s="57">
        <f>IF($A1121="","",IFERROR(INDEX(Offerte!$D$2:$D$81,MATCH($Q1121,Offerte!$L$2:$L$81,0)),0))</f>
        <v/>
      </c>
      <c r="T1121" s="57">
        <f>IF($A1121="","",IFERROR(INDEX(Offerte!$G$2:$G$81,MATCH($Q1121,Offerte!$L$2:$L$81,0)),"NO"))</f>
        <v/>
      </c>
    </row>
    <row r="1122">
      <c r="A1122" s="48">
        <f>IF(Offerte!$A38="","",Offerte!$A38)</f>
        <v/>
      </c>
      <c r="B1122" s="48">
        <f>IF(Offerte!$A38="","",Offerte!$B38)</f>
        <v/>
      </c>
      <c r="C1122" s="48">
        <f>IF(Offerte!$A38="","",Offerte!$C38)</f>
        <v/>
      </c>
      <c r="D1122" s="48" t="inlineStr">
        <is>
          <t>A.1.2</t>
        </is>
      </c>
      <c r="E1122" s="48" t="inlineStr">
        <is>
          <t>A</t>
        </is>
      </c>
      <c r="F1122" s="48" t="inlineStr">
        <is>
          <t>Q</t>
        </is>
      </c>
      <c r="G1122" s="48" t="inlineStr">
        <is>
          <t>higher</t>
        </is>
      </c>
      <c r="H1122" s="48" t="n">
        <v>4</v>
      </c>
      <c r="I1122" s="48" t="inlineStr">
        <is>
          <t>Numero aggiuntivo di passeggeri controllati</t>
        </is>
      </c>
      <c r="J1122" s="73" t="n"/>
      <c r="K1122" s="73" t="n"/>
      <c r="L1122" s="73" t="n"/>
      <c r="M1122" s="73" t="n"/>
      <c r="N1122" s="57">
        <f>IF($A1122="","",IFERROR(VALUE($J1122),0))</f>
        <v/>
      </c>
      <c r="O1122" s="57">
        <f>IF($A1122="",0,IF(OR($S1122&lt;&gt;1,COUNTA($J1122:$M1122)=0),0,IF(SUMPRODUCT(MAX(($C$5:$C$2484=$C1122)*($D$5:$D$2484=$D1122)*($S$5:$S$2484=1)*IFERROR($N$5:$N$2484*1,0)))&gt;0,ROUND($H1122*($N1122/SUMPRODUCT(MAX(($C$5:$C$2484=$C1122)*($D$5:$D$2484=$D1122)*($S$5:$S$2484=1)*IFERROR($N$5:$N$2484*1,0)))),4),0)))</f>
        <v/>
      </c>
      <c r="P1122" s="48" t="inlineStr">
        <is>
          <t>passeggeri/anno</t>
        </is>
      </c>
      <c r="Q1122" s="57">
        <f>IF($A1122="","",$A1122&amp;"|"&amp;$C1122)</f>
        <v/>
      </c>
      <c r="R1122" s="57">
        <f>IF($A1122="","",$A1122&amp;"|"&amp;$C1122&amp;"|"&amp;$D1122)</f>
        <v/>
      </c>
      <c r="S1122" s="57">
        <f>IF($A1122="","",IFERROR(INDEX(Offerte!$D$2:$D$81,MATCH($Q1122,Offerte!$L$2:$L$81,0)),0))</f>
        <v/>
      </c>
      <c r="T1122" s="57">
        <f>IF($A1122="","",IFERROR(INDEX(Offerte!$G$2:$G$81,MATCH($Q1122,Offerte!$L$2:$L$81,0)),"NO"))</f>
        <v/>
      </c>
    </row>
    <row r="1123">
      <c r="A1123" s="48">
        <f>IF(Offerte!$A38="","",Offerte!$A38)</f>
        <v/>
      </c>
      <c r="B1123" s="48">
        <f>IF(Offerte!$A38="","",Offerte!$B38)</f>
        <v/>
      </c>
      <c r="C1123" s="48">
        <f>IF(Offerte!$A38="","",Offerte!$C38)</f>
        <v/>
      </c>
      <c r="D1123" s="48" t="inlineStr">
        <is>
          <t>B.1.1</t>
        </is>
      </c>
      <c r="E1123" s="48" t="inlineStr">
        <is>
          <t>B</t>
        </is>
      </c>
      <c r="F1123" s="48" t="inlineStr">
        <is>
          <t>Q</t>
        </is>
      </c>
      <c r="G1123" s="48" t="inlineStr">
        <is>
          <t>higher</t>
        </is>
      </c>
      <c r="H1123" s="48" t="n">
        <v>3</v>
      </c>
      <c r="I1123" s="48" t="inlineStr">
        <is>
          <t>Incremento dei posti offerti nelle fasce di punta</t>
        </is>
      </c>
      <c r="J1123" s="73" t="n"/>
      <c r="K1123" s="73" t="n"/>
      <c r="L1123" s="73" t="n"/>
      <c r="M1123" s="73" t="n"/>
      <c r="N1123" s="57">
        <f>IF($A1123="","",IFERROR(VALUE($J1123),0))</f>
        <v/>
      </c>
      <c r="O1123" s="57">
        <f>IF($A1123="",0,IF(OR($S1123&lt;&gt;1,COUNTA($J1123:$M1123)=0),0,IF(SUMPRODUCT(MAX(($C$5:$C$2484=$C1123)*($D$5:$D$2484=$D1123)*($S$5:$S$2484=1)*IFERROR($N$5:$N$2484*1,0)))&gt;0,ROUND($H1123*($N1123/SUMPRODUCT(MAX(($C$5:$C$2484=$C1123)*($D$5:$D$2484=$D1123)*($S$5:$S$2484=1)*IFERROR($N$5:$N$2484*1,0)))),4),0)))</f>
        <v/>
      </c>
      <c r="P1123" s="48" t="inlineStr">
        <is>
          <t>posti*km</t>
        </is>
      </c>
      <c r="Q1123" s="57">
        <f>IF($A1123="","",$A1123&amp;"|"&amp;$C1123)</f>
        <v/>
      </c>
      <c r="R1123" s="57">
        <f>IF($A1123="","",$A1123&amp;"|"&amp;$C1123&amp;"|"&amp;$D1123)</f>
        <v/>
      </c>
      <c r="S1123" s="57">
        <f>IF($A1123="","",IFERROR(INDEX(Offerte!$D$2:$D$81,MATCH($Q1123,Offerte!$L$2:$L$81,0)),0))</f>
        <v/>
      </c>
      <c r="T1123" s="57">
        <f>IF($A1123="","",IFERROR(INDEX(Offerte!$G$2:$G$81,MATCH($Q1123,Offerte!$L$2:$L$81,0)),"NO"))</f>
        <v/>
      </c>
    </row>
    <row r="1124">
      <c r="A1124" s="48">
        <f>IF(Offerte!$A38="","",Offerte!$A38)</f>
        <v/>
      </c>
      <c r="B1124" s="48">
        <f>IF(Offerte!$A38="","",Offerte!$B38)</f>
        <v/>
      </c>
      <c r="C1124" s="48">
        <f>IF(Offerte!$A38="","",Offerte!$C38)</f>
        <v/>
      </c>
      <c r="D1124" s="48" t="inlineStr">
        <is>
          <t>B.2.1</t>
        </is>
      </c>
      <c r="E1124" s="48" t="inlineStr">
        <is>
          <t>B</t>
        </is>
      </c>
      <c r="F1124" s="48" t="inlineStr">
        <is>
          <t>Q</t>
        </is>
      </c>
      <c r="G1124" s="48" t="inlineStr">
        <is>
          <t>higher</t>
        </is>
      </c>
      <c r="H1124" s="48" t="n">
        <v>4</v>
      </c>
      <c r="I1124" s="48" t="inlineStr">
        <is>
          <t>Corse aggiuntive nell'arco giornaliero base</t>
        </is>
      </c>
      <c r="J1124" s="73" t="n"/>
      <c r="K1124" s="73" t="n"/>
      <c r="L1124" s="73" t="n"/>
      <c r="M1124" s="73" t="n"/>
      <c r="N1124" s="57">
        <f>IF($A1124="","",IFERROR(VALUE($J1124),0))</f>
        <v/>
      </c>
      <c r="O1124" s="57">
        <f>IF($A1124="",0,IF(OR($S1124&lt;&gt;1,COUNTA($J1124:$M1124)=0),0,IF(SUMPRODUCT(MAX(($C$5:$C$2484=$C1124)*($D$5:$D$2484=$D1124)*($S$5:$S$2484=1)*IFERROR($N$5:$N$2484*1,0)))&gt;0,ROUND($H1124*($N1124/SUMPRODUCT(MAX(($C$5:$C$2484=$C1124)*($D$5:$D$2484=$D1124)*($S$5:$S$2484=1)*IFERROR($N$5:$N$2484*1,0)))),4),0)))</f>
        <v/>
      </c>
      <c r="P1124" s="48" t="inlineStr">
        <is>
          <t>corse</t>
        </is>
      </c>
      <c r="Q1124" s="57">
        <f>IF($A1124="","",$A1124&amp;"|"&amp;$C1124)</f>
        <v/>
      </c>
      <c r="R1124" s="57">
        <f>IF($A1124="","",$A1124&amp;"|"&amp;$C1124&amp;"|"&amp;$D1124)</f>
        <v/>
      </c>
      <c r="S1124" s="57">
        <f>IF($A1124="","",IFERROR(INDEX(Offerte!$D$2:$D$81,MATCH($Q1124,Offerte!$L$2:$L$81,0)),0))</f>
        <v/>
      </c>
      <c r="T1124" s="57">
        <f>IF($A1124="","",IFERROR(INDEX(Offerte!$G$2:$G$81,MATCH($Q1124,Offerte!$L$2:$L$81,0)),"NO"))</f>
        <v/>
      </c>
    </row>
    <row r="1125">
      <c r="A1125" s="48">
        <f>IF(Offerte!$A38="","",Offerte!$A38)</f>
        <v/>
      </c>
      <c r="B1125" s="48">
        <f>IF(Offerte!$A38="","",Offerte!$B38)</f>
        <v/>
      </c>
      <c r="C1125" s="48">
        <f>IF(Offerte!$A38="","",Offerte!$C38)</f>
        <v/>
      </c>
      <c r="D1125" s="48" t="inlineStr">
        <is>
          <t>B.3.1</t>
        </is>
      </c>
      <c r="E1125" s="48" t="inlineStr">
        <is>
          <t>B</t>
        </is>
      </c>
      <c r="F1125" s="48" t="inlineStr">
        <is>
          <t>Q</t>
        </is>
      </c>
      <c r="G1125" s="48" t="inlineStr">
        <is>
          <t>higher</t>
        </is>
      </c>
      <c r="H1125" s="48" t="n">
        <v>2</v>
      </c>
      <c r="I1125" s="48" t="inlineStr">
        <is>
          <t>Numero di corse aggiuntive per allungamento dell'arco di servizio giornaliero nelle fasce serali</t>
        </is>
      </c>
      <c r="J1125" s="73" t="n"/>
      <c r="K1125" s="73" t="n"/>
      <c r="L1125" s="73" t="n"/>
      <c r="M1125" s="73" t="n"/>
      <c r="N1125" s="57">
        <f>IF($A1125="","",IFERROR(VALUE($J1125),0))</f>
        <v/>
      </c>
      <c r="O1125" s="57">
        <f>IF($A1125="",0,IF(OR($S1125&lt;&gt;1,COUNTA($J1125:$M1125)=0),0,IF(SUMPRODUCT(MAX(($C$5:$C$2484=$C1125)*($D$5:$D$2484=$D1125)*($S$5:$S$2484=1)*IFERROR($N$5:$N$2484*1,0)))&gt;0,ROUND($H1125*($N1125/SUMPRODUCT(MAX(($C$5:$C$2484=$C1125)*($D$5:$D$2484=$D1125)*($S$5:$S$2484=1)*IFERROR($N$5:$N$2484*1,0)))),4),0)))</f>
        <v/>
      </c>
      <c r="P1125" s="48" t="inlineStr">
        <is>
          <t>corse</t>
        </is>
      </c>
      <c r="Q1125" s="57">
        <f>IF($A1125="","",$A1125&amp;"|"&amp;$C1125)</f>
        <v/>
      </c>
      <c r="R1125" s="57">
        <f>IF($A1125="","",$A1125&amp;"|"&amp;$C1125&amp;"|"&amp;$D1125)</f>
        <v/>
      </c>
      <c r="S1125" s="57">
        <f>IF($A1125="","",IFERROR(INDEX(Offerte!$D$2:$D$81,MATCH($Q1125,Offerte!$L$2:$L$81,0)),0))</f>
        <v/>
      </c>
      <c r="T1125" s="57">
        <f>IF($A1125="","",IFERROR(INDEX(Offerte!$G$2:$G$81,MATCH($Q1125,Offerte!$L$2:$L$81,0)),"NO"))</f>
        <v/>
      </c>
    </row>
    <row r="1126">
      <c r="A1126" s="48">
        <f>IF(Offerte!$A38="","",Offerte!$A38)</f>
        <v/>
      </c>
      <c r="B1126" s="48">
        <f>IF(Offerte!$A38="","",Offerte!$B38)</f>
        <v/>
      </c>
      <c r="C1126" s="48">
        <f>IF(Offerte!$A38="","",Offerte!$C38)</f>
        <v/>
      </c>
      <c r="D1126" s="48" t="inlineStr">
        <is>
          <t>B.4.1</t>
        </is>
      </c>
      <c r="E1126" s="48" t="inlineStr">
        <is>
          <t>B</t>
        </is>
      </c>
      <c r="F1126" s="48" t="inlineStr">
        <is>
          <t>Q</t>
        </is>
      </c>
      <c r="G1126" s="48" t="inlineStr">
        <is>
          <t>higher</t>
        </is>
      </c>
      <c r="H1126" s="48" t="n">
        <v>3</v>
      </c>
      <c r="I1126" s="48" t="inlineStr">
        <is>
          <t>Percorrenze aggiuntive offerte nel Programma d'esercizio delle prime due fasi attuative</t>
        </is>
      </c>
      <c r="J1126" s="73" t="n"/>
      <c r="K1126" s="73" t="n"/>
      <c r="L1126" s="73" t="n"/>
      <c r="M1126" s="73" t="n"/>
      <c r="N1126" s="57">
        <f>IF($A1126="","",IFERROR(VALUE($J1126),0))</f>
        <v/>
      </c>
      <c r="O1126" s="57">
        <f>IF($A1126="",0,IF(OR($S1126&lt;&gt;1,COUNTA($J1126:$M1126)=0),0,IF(SUMPRODUCT(MAX(($C$5:$C$2484=$C1126)*($D$5:$D$2484=$D1126)*($S$5:$S$2484=1)*IFERROR($N$5:$N$2484*1,0)))&gt;0,ROUND($H1126*($N1126/SUMPRODUCT(MAX(($C$5:$C$2484=$C1126)*($D$5:$D$2484=$D1126)*($S$5:$S$2484=1)*IFERROR($N$5:$N$2484*1,0)))),4),0)))</f>
        <v/>
      </c>
      <c r="P1126" s="48" t="inlineStr">
        <is>
          <t>vett*km</t>
        </is>
      </c>
      <c r="Q1126" s="57">
        <f>IF($A1126="","",$A1126&amp;"|"&amp;$C1126)</f>
        <v/>
      </c>
      <c r="R1126" s="57">
        <f>IF($A1126="","",$A1126&amp;"|"&amp;$C1126&amp;"|"&amp;$D1126)</f>
        <v/>
      </c>
      <c r="S1126" s="57">
        <f>IF($A1126="","",IFERROR(INDEX(Offerte!$D$2:$D$81,MATCH($Q1126,Offerte!$L$2:$L$81,0)),0))</f>
        <v/>
      </c>
      <c r="T1126" s="57">
        <f>IF($A1126="","",IFERROR(INDEX(Offerte!$G$2:$G$81,MATCH($Q1126,Offerte!$L$2:$L$81,0)),"NO"))</f>
        <v/>
      </c>
    </row>
    <row r="1127">
      <c r="A1127" s="48">
        <f>IF(Offerte!$A38="","",Offerte!$A38)</f>
        <v/>
      </c>
      <c r="B1127" s="48">
        <f>IF(Offerte!$A38="","",Offerte!$B38)</f>
        <v/>
      </c>
      <c r="C1127" s="48">
        <f>IF(Offerte!$A38="","",Offerte!$C38)</f>
        <v/>
      </c>
      <c r="D1127" s="48" t="inlineStr">
        <is>
          <t>B.5.1</t>
        </is>
      </c>
      <c r="E1127" s="48" t="inlineStr">
        <is>
          <t>B</t>
        </is>
      </c>
      <c r="F1127" s="48" t="inlineStr">
        <is>
          <t>D</t>
        </is>
      </c>
      <c r="G1127" s="48" t="inlineStr">
        <is>
          <t>discretionary</t>
        </is>
      </c>
      <c r="H1127" s="48" t="n">
        <v>2</v>
      </c>
      <c r="I1127" s="48" t="inlineStr">
        <is>
          <t>Efficacia del progetto di servizi complementari DRT</t>
        </is>
      </c>
      <c r="J1127" s="73" t="n"/>
      <c r="K1127" s="73" t="n"/>
      <c r="L1127" s="73" t="n"/>
      <c r="M1127" s="73" t="n"/>
      <c r="N1127" s="57">
        <f>IF($A1127="","",MAX(0,MIN(1,IFERROR(VALUE($M1127),0))))</f>
        <v/>
      </c>
      <c r="O1127" s="57">
        <f>IF($A1127="",0,IF(OR($S1127&lt;&gt;1,COUNTA($J1127:$M1127)=0),0,IF(SUMPRODUCT(MAX(($C$5:$C$2484=$C1127)*($D$5:$D$2484=$D1127)*($S$5:$S$2484=1)*IFERROR($N$5:$N$2484*1,0)))&gt;0,ROUND($H1127*($N1127/SUMPRODUCT(MAX(($C$5:$C$2484=$C1127)*($D$5:$D$2484=$D1127)*($S$5:$S$2484=1)*IFERROR($N$5:$N$2484*1,0)))),4),0)))</f>
        <v/>
      </c>
      <c r="P1127" s="48" t="inlineStr">
        <is>
          <t>coeff.</t>
        </is>
      </c>
      <c r="Q1127" s="57">
        <f>IF($A1127="","",$A1127&amp;"|"&amp;$C1127)</f>
        <v/>
      </c>
      <c r="R1127" s="57">
        <f>IF($A1127="","",$A1127&amp;"|"&amp;$C1127&amp;"|"&amp;$D1127)</f>
        <v/>
      </c>
      <c r="S1127" s="57">
        <f>IF($A1127="","",IFERROR(INDEX(Offerte!$D$2:$D$81,MATCH($Q1127,Offerte!$L$2:$L$81,0)),0))</f>
        <v/>
      </c>
      <c r="T1127" s="57">
        <f>IF($A1127="","",IFERROR(INDEX(Offerte!$G$2:$G$81,MATCH($Q1127,Offerte!$L$2:$L$81,0)),"NO"))</f>
        <v/>
      </c>
    </row>
    <row r="1128">
      <c r="A1128" s="48">
        <f>IF(Offerte!$A38="","",Offerte!$A38)</f>
        <v/>
      </c>
      <c r="B1128" s="48">
        <f>IF(Offerte!$A38="","",Offerte!$B38)</f>
        <v/>
      </c>
      <c r="C1128" s="48">
        <f>IF(Offerte!$A38="","",Offerte!$C38)</f>
        <v/>
      </c>
      <c r="D1128" s="48" t="inlineStr">
        <is>
          <t>C.1.1</t>
        </is>
      </c>
      <c r="E1128" s="48" t="inlineStr">
        <is>
          <t>C</t>
        </is>
      </c>
      <c r="F1128" s="48" t="inlineStr">
        <is>
          <t>Q</t>
        </is>
      </c>
      <c r="G1128" s="48" t="inlineStr">
        <is>
          <t>higher</t>
        </is>
      </c>
      <c r="H1128" s="48" t="n">
        <v>2</v>
      </c>
      <c r="I1128" s="48" t="inlineStr">
        <is>
          <t>Tasso di copertura del servizio con telecamere BSD</t>
        </is>
      </c>
      <c r="J1128" s="73" t="n"/>
      <c r="K1128" s="73" t="n"/>
      <c r="L1128" s="73" t="n"/>
      <c r="M1128" s="73" t="n"/>
      <c r="N1128" s="57">
        <f>IF($A1128="","",IFERROR(VALUE($K1128)/VALUE($L1128),IFERROR(VALUE($J1128),0)))</f>
        <v/>
      </c>
      <c r="O1128" s="57">
        <f>IF($A1128="",0,IF(OR($S1128&lt;&gt;1,COUNTA($J1128:$M1128)=0),0,IF(SUMPRODUCT(MAX(($C$5:$C$2484=$C1128)*($D$5:$D$2484=$D1128)*($S$5:$S$2484=1)*IFERROR($N$5:$N$2484*1,0)))&gt;0,ROUND($H1128*($N1128/SUMPRODUCT(MAX(($C$5:$C$2484=$C1128)*($D$5:$D$2484=$D1128)*($S$5:$S$2484=1)*IFERROR($N$5:$N$2484*1,0)))),4),0)))</f>
        <v/>
      </c>
      <c r="P1128" s="48" t="inlineStr">
        <is>
          <t>Autobus attrezzati con telecamere BSD / Autobus totali in offerta, incluse scorte</t>
        </is>
      </c>
      <c r="Q1128" s="57">
        <f>IF($A1128="","",$A1128&amp;"|"&amp;$C1128)</f>
        <v/>
      </c>
      <c r="R1128" s="57">
        <f>IF($A1128="","",$A1128&amp;"|"&amp;$C1128&amp;"|"&amp;$D1128)</f>
        <v/>
      </c>
      <c r="S1128" s="57">
        <f>IF($A1128="","",IFERROR(INDEX(Offerte!$D$2:$D$81,MATCH($Q1128,Offerte!$L$2:$L$81,0)),0))</f>
        <v/>
      </c>
      <c r="T1128" s="57">
        <f>IF($A1128="","",IFERROR(INDEX(Offerte!$G$2:$G$81,MATCH($Q1128,Offerte!$L$2:$L$81,0)),"NO"))</f>
        <v/>
      </c>
    </row>
    <row r="1129">
      <c r="A1129" s="48">
        <f>IF(Offerte!$A38="","",Offerte!$A38)</f>
        <v/>
      </c>
      <c r="B1129" s="48">
        <f>IF(Offerte!$A38="","",Offerte!$B38)</f>
        <v/>
      </c>
      <c r="C1129" s="48">
        <f>IF(Offerte!$A38="","",Offerte!$C38)</f>
        <v/>
      </c>
      <c r="D1129" s="48" t="inlineStr">
        <is>
          <t>C.1.2</t>
        </is>
      </c>
      <c r="E1129" s="48" t="inlineStr">
        <is>
          <t>C</t>
        </is>
      </c>
      <c r="F1129" s="48" t="inlineStr">
        <is>
          <t>Q</t>
        </is>
      </c>
      <c r="G1129" s="48" t="inlineStr">
        <is>
          <t>higher</t>
        </is>
      </c>
      <c r="H1129" s="48" t="n">
        <v>2</v>
      </c>
      <c r="I1129" s="48" t="inlineStr">
        <is>
          <t>Tasso di copertura del servizio con telecamere ADAS</t>
        </is>
      </c>
      <c r="J1129" s="73" t="n"/>
      <c r="K1129" s="73" t="n"/>
      <c r="L1129" s="73" t="n"/>
      <c r="M1129" s="73" t="n"/>
      <c r="N1129" s="57">
        <f>IF($A1129="","",IFERROR(VALUE($K1129)/VALUE($L1129),IFERROR(VALUE($J1129),0)))</f>
        <v/>
      </c>
      <c r="O1129" s="57">
        <f>IF($A1129="",0,IF(OR($S1129&lt;&gt;1,COUNTA($J1129:$M1129)=0),0,IF(SUMPRODUCT(MAX(($C$5:$C$2484=$C1129)*($D$5:$D$2484=$D1129)*($S$5:$S$2484=1)*IFERROR($N$5:$N$2484*1,0)))&gt;0,ROUND($H1129*($N1129/SUMPRODUCT(MAX(($C$5:$C$2484=$C1129)*($D$5:$D$2484=$D1129)*($S$5:$S$2484=1)*IFERROR($N$5:$N$2484*1,0)))),4),0)))</f>
        <v/>
      </c>
      <c r="P1129" s="48" t="inlineStr">
        <is>
          <t>Autobus attrezzati con telecamere ADAS / Autobus totali in offerta, incluse scorte</t>
        </is>
      </c>
      <c r="Q1129" s="57">
        <f>IF($A1129="","",$A1129&amp;"|"&amp;$C1129)</f>
        <v/>
      </c>
      <c r="R1129" s="57">
        <f>IF($A1129="","",$A1129&amp;"|"&amp;$C1129&amp;"|"&amp;$D1129)</f>
        <v/>
      </c>
      <c r="S1129" s="57">
        <f>IF($A1129="","",IFERROR(INDEX(Offerte!$D$2:$D$81,MATCH($Q1129,Offerte!$L$2:$L$81,0)),0))</f>
        <v/>
      </c>
      <c r="T1129" s="57">
        <f>IF($A1129="","",IFERROR(INDEX(Offerte!$G$2:$G$81,MATCH($Q1129,Offerte!$L$2:$L$81,0)),"NO"))</f>
        <v/>
      </c>
    </row>
    <row r="1130">
      <c r="A1130" s="48">
        <f>IF(Offerte!$A38="","",Offerte!$A38)</f>
        <v/>
      </c>
      <c r="B1130" s="48">
        <f>IF(Offerte!$A38="","",Offerte!$B38)</f>
        <v/>
      </c>
      <c r="C1130" s="48">
        <f>IF(Offerte!$A38="","",Offerte!$C38)</f>
        <v/>
      </c>
      <c r="D1130" s="48" t="inlineStr">
        <is>
          <t>C.2.1</t>
        </is>
      </c>
      <c r="E1130" s="48" t="inlineStr">
        <is>
          <t>C</t>
        </is>
      </c>
      <c r="F1130" s="48" t="inlineStr">
        <is>
          <t>Q</t>
        </is>
      </c>
      <c r="G1130" s="48" t="inlineStr">
        <is>
          <t>higher</t>
        </is>
      </c>
      <c r="H1130" s="48" t="n">
        <v>3</v>
      </c>
      <c r="I1130" s="48" t="inlineStr">
        <is>
          <t>Tasso di copertura del servizio con telecamere di bordo di videosorveglianza</t>
        </is>
      </c>
      <c r="J1130" s="73" t="n"/>
      <c r="K1130" s="73" t="n"/>
      <c r="L1130" s="73" t="n"/>
      <c r="M1130" s="73" t="n"/>
      <c r="N1130" s="57">
        <f>IF($A1130="","",IFERROR(VALUE($K1130)/VALUE($L1130),IFERROR(VALUE($J1130),0)))</f>
        <v/>
      </c>
      <c r="O1130" s="57">
        <f>IF($A1130="",0,IF(OR($S1130&lt;&gt;1,COUNTA($J1130:$M1130)=0),0,IF(SUMPRODUCT(MAX(($C$5:$C$2484=$C1130)*($D$5:$D$2484=$D1130)*($S$5:$S$2484=1)*IFERROR($N$5:$N$2484*1,0)))&gt;0,ROUND($H1130*($N1130/SUMPRODUCT(MAX(($C$5:$C$2484=$C1130)*($D$5:$D$2484=$D1130)*($S$5:$S$2484=1)*IFERROR($N$5:$N$2484*1,0)))),4),0)))</f>
        <v/>
      </c>
      <c r="P1130" s="48" t="inlineStr">
        <is>
          <t>Autobus attrezzati con videosorveglianza / Autobus totali in offerta, incluse scorte</t>
        </is>
      </c>
      <c r="Q1130" s="57">
        <f>IF($A1130="","",$A1130&amp;"|"&amp;$C1130)</f>
        <v/>
      </c>
      <c r="R1130" s="57">
        <f>IF($A1130="","",$A1130&amp;"|"&amp;$C1130&amp;"|"&amp;$D1130)</f>
        <v/>
      </c>
      <c r="S1130" s="57">
        <f>IF($A1130="","",IFERROR(INDEX(Offerte!$D$2:$D$81,MATCH($Q1130,Offerte!$L$2:$L$81,0)),0))</f>
        <v/>
      </c>
      <c r="T1130" s="57">
        <f>IF($A1130="","",IFERROR(INDEX(Offerte!$G$2:$G$81,MATCH($Q1130,Offerte!$L$2:$L$81,0)),"NO"))</f>
        <v/>
      </c>
    </row>
    <row r="1131">
      <c r="A1131" s="48">
        <f>IF(Offerte!$A38="","",Offerte!$A38)</f>
        <v/>
      </c>
      <c r="B1131" s="48">
        <f>IF(Offerte!$A38="","",Offerte!$B38)</f>
        <v/>
      </c>
      <c r="C1131" s="48">
        <f>IF(Offerte!$A38="","",Offerte!$C38)</f>
        <v/>
      </c>
      <c r="D1131" s="48" t="inlineStr">
        <is>
          <t>C.2.2</t>
        </is>
      </c>
      <c r="E1131" s="48" t="inlineStr">
        <is>
          <t>C</t>
        </is>
      </c>
      <c r="F1131" s="48" t="inlineStr">
        <is>
          <t>T</t>
        </is>
      </c>
      <c r="G1131" s="48" t="inlineStr">
        <is>
          <t>tabular</t>
        </is>
      </c>
      <c r="H1131" s="48" t="n">
        <v>1</v>
      </c>
      <c r="I1131" s="48" t="inlineStr">
        <is>
          <t>Software video/audio analisi per situazioni di pericolo</t>
        </is>
      </c>
      <c r="J1131" s="73" t="n"/>
      <c r="K1131" s="73" t="n"/>
      <c r="L1131" s="73" t="n"/>
      <c r="M1131" s="73" t="n"/>
      <c r="N1131" s="57">
        <f>IF($A1131="","",IF(IFERROR(VALUE($M1131),0)=1,1,0))</f>
        <v/>
      </c>
      <c r="O1131" s="57">
        <f>IF($A1131="",0,IF(OR($S1131&lt;&gt;1,COUNTA($J1131:$M1131)=0),0,IF($N1131=1,$H1131,0)))</f>
        <v/>
      </c>
      <c r="P1131" s="48" t="inlineStr">
        <is>
          <t>sì/no</t>
        </is>
      </c>
      <c r="Q1131" s="57">
        <f>IF($A1131="","",$A1131&amp;"|"&amp;$C1131)</f>
        <v/>
      </c>
      <c r="R1131" s="57">
        <f>IF($A1131="","",$A1131&amp;"|"&amp;$C1131&amp;"|"&amp;$D1131)</f>
        <v/>
      </c>
      <c r="S1131" s="57">
        <f>IF($A1131="","",IFERROR(INDEX(Offerte!$D$2:$D$81,MATCH($Q1131,Offerte!$L$2:$L$81,0)),0))</f>
        <v/>
      </c>
      <c r="T1131" s="57">
        <f>IF($A1131="","",IFERROR(INDEX(Offerte!$G$2:$G$81,MATCH($Q1131,Offerte!$L$2:$L$81,0)),"NO"))</f>
        <v/>
      </c>
    </row>
    <row r="1132">
      <c r="A1132" s="48">
        <f>IF(Offerte!$A38="","",Offerte!$A38)</f>
        <v/>
      </c>
      <c r="B1132" s="48">
        <f>IF(Offerte!$A38="","",Offerte!$B38)</f>
        <v/>
      </c>
      <c r="C1132" s="48">
        <f>IF(Offerte!$A38="","",Offerte!$C38)</f>
        <v/>
      </c>
      <c r="D1132" s="48" t="inlineStr">
        <is>
          <t>C.2.3</t>
        </is>
      </c>
      <c r="E1132" s="48" t="inlineStr">
        <is>
          <t>C</t>
        </is>
      </c>
      <c r="F1132" s="48" t="inlineStr">
        <is>
          <t>T</t>
        </is>
      </c>
      <c r="G1132" s="48" t="inlineStr">
        <is>
          <t>tabular</t>
        </is>
      </c>
      <c r="H1132" s="48" t="n">
        <v>1</v>
      </c>
      <c r="I1132" s="48" t="inlineStr">
        <is>
          <t>Collegamento con centrale qualificata di pronto intervento</t>
        </is>
      </c>
      <c r="J1132" s="73" t="n"/>
      <c r="K1132" s="73" t="n"/>
      <c r="L1132" s="73" t="n"/>
      <c r="M1132" s="73" t="n"/>
      <c r="N1132" s="57">
        <f>IF($A1132="","",IF(IFERROR(VALUE($M1132),0)=1,1,0))</f>
        <v/>
      </c>
      <c r="O1132" s="57">
        <f>IF($A1132="",0,IF(OR($S1132&lt;&gt;1,COUNTA($J1132:$M1132)=0),0,IF($N1132=1,$H1132,0)))</f>
        <v/>
      </c>
      <c r="P1132" s="48" t="inlineStr">
        <is>
          <t>sì/no</t>
        </is>
      </c>
      <c r="Q1132" s="57">
        <f>IF($A1132="","",$A1132&amp;"|"&amp;$C1132)</f>
        <v/>
      </c>
      <c r="R1132" s="57">
        <f>IF($A1132="","",$A1132&amp;"|"&amp;$C1132&amp;"|"&amp;$D1132)</f>
        <v/>
      </c>
      <c r="S1132" s="57">
        <f>IF($A1132="","",IFERROR(INDEX(Offerte!$D$2:$D$81,MATCH($Q1132,Offerte!$L$2:$L$81,0)),0))</f>
        <v/>
      </c>
      <c r="T1132" s="57">
        <f>IF($A1132="","",IFERROR(INDEX(Offerte!$G$2:$G$81,MATCH($Q1132,Offerte!$L$2:$L$81,0)),"NO"))</f>
        <v/>
      </c>
    </row>
    <row r="1133">
      <c r="A1133" s="48">
        <f>IF(Offerte!$A38="","",Offerte!$A38)</f>
        <v/>
      </c>
      <c r="B1133" s="48">
        <f>IF(Offerte!$A38="","",Offerte!$B38)</f>
        <v/>
      </c>
      <c r="C1133" s="48">
        <f>IF(Offerte!$A38="","",Offerte!$C38)</f>
        <v/>
      </c>
      <c r="D1133" s="48" t="inlineStr">
        <is>
          <t>C.2.4</t>
        </is>
      </c>
      <c r="E1133" s="48" t="inlineStr">
        <is>
          <t>C</t>
        </is>
      </c>
      <c r="F1133" s="48" t="inlineStr">
        <is>
          <t>Q</t>
        </is>
      </c>
      <c r="G1133" s="48" t="inlineStr">
        <is>
          <t>higher</t>
        </is>
      </c>
      <c r="H1133" s="48" t="n">
        <v>1</v>
      </c>
      <c r="I1133" s="48" t="inlineStr">
        <is>
          <t>Tasso di copertura del servizio con dispositivi per la chiamata di emergenza del conducente</t>
        </is>
      </c>
      <c r="J1133" s="73" t="n"/>
      <c r="K1133" s="73" t="n"/>
      <c r="L1133" s="73" t="n"/>
      <c r="M1133" s="73" t="n"/>
      <c r="N1133" s="57">
        <f>IF($A1133="","",IFERROR(VALUE($K1133)/VALUE($L1133),IFERROR(VALUE($J1133),0)))</f>
        <v/>
      </c>
      <c r="O1133" s="57">
        <f>IF($A1133="",0,IF(OR($S1133&lt;&gt;1,COUNTA($J1133:$M1133)=0),0,IF(SUMPRODUCT(MAX(($C$5:$C$2484=$C1133)*($D$5:$D$2484=$D1133)*($S$5:$S$2484=1)*IFERROR($N$5:$N$2484*1,0)))&gt;0,ROUND($H1133*($N1133/SUMPRODUCT(MAX(($C$5:$C$2484=$C1133)*($D$5:$D$2484=$D1133)*($S$5:$S$2484=1)*IFERROR($N$5:$N$2484*1,0)))),4),0)))</f>
        <v/>
      </c>
      <c r="P1133" s="48" t="inlineStr">
        <is>
          <t>Autobus attrezzati con chiamata di emergenza / Autobus totali in offerta, incluse scorte</t>
        </is>
      </c>
      <c r="Q1133" s="57">
        <f>IF($A1133="","",$A1133&amp;"|"&amp;$C1133)</f>
        <v/>
      </c>
      <c r="R1133" s="57">
        <f>IF($A1133="","",$A1133&amp;"|"&amp;$C1133&amp;"|"&amp;$D1133)</f>
        <v/>
      </c>
      <c r="S1133" s="57">
        <f>IF($A1133="","",IFERROR(INDEX(Offerte!$D$2:$D$81,MATCH($Q1133,Offerte!$L$2:$L$81,0)),0))</f>
        <v/>
      </c>
      <c r="T1133" s="57">
        <f>IF($A1133="","",IFERROR(INDEX(Offerte!$G$2:$G$81,MATCH($Q1133,Offerte!$L$2:$L$81,0)),"NO"))</f>
        <v/>
      </c>
    </row>
    <row r="1134">
      <c r="A1134" s="48">
        <f>IF(Offerte!$A38="","",Offerte!$A38)</f>
        <v/>
      </c>
      <c r="B1134" s="48">
        <f>IF(Offerte!$A38="","",Offerte!$B38)</f>
        <v/>
      </c>
      <c r="C1134" s="48">
        <f>IF(Offerte!$A38="","",Offerte!$C38)</f>
        <v/>
      </c>
      <c r="D1134" s="48" t="inlineStr">
        <is>
          <t>C.3.1</t>
        </is>
      </c>
      <c r="E1134" s="48" t="inlineStr">
        <is>
          <t>C</t>
        </is>
      </c>
      <c r="F1134" s="48" t="inlineStr">
        <is>
          <t>Q</t>
        </is>
      </c>
      <c r="G1134" s="48" t="inlineStr">
        <is>
          <t>higher</t>
        </is>
      </c>
      <c r="H1134" s="48" t="n">
        <v>2</v>
      </c>
      <c r="I1134" s="48" t="inlineStr">
        <is>
          <t>Tasso di copertura del servizio con dispositivi di informazione dinamica a bordo mezzo</t>
        </is>
      </c>
      <c r="J1134" s="73" t="n"/>
      <c r="K1134" s="73" t="n"/>
      <c r="L1134" s="73" t="n"/>
      <c r="M1134" s="73" t="n"/>
      <c r="N1134" s="57">
        <f>IF($A1134="","",IFERROR(VALUE($K1134)/VALUE($L1134),IFERROR(VALUE($J1134),0)))</f>
        <v/>
      </c>
      <c r="O1134" s="57">
        <f>IF($A1134="",0,IF(OR($S1134&lt;&gt;1,COUNTA($J1134:$M1134)=0),0,IF(SUMPRODUCT(MAX(($C$5:$C$2484=$C1134)*($D$5:$D$2484=$D1134)*($S$5:$S$2484=1)*IFERROR($N$5:$N$2484*1,0)))&gt;0,ROUND($H1134*($N1134/SUMPRODUCT(MAX(($C$5:$C$2484=$C1134)*($D$5:$D$2484=$D1134)*($S$5:$S$2484=1)*IFERROR($N$5:$N$2484*1,0)))),4),0)))</f>
        <v/>
      </c>
      <c r="P1134" s="48" t="inlineStr">
        <is>
          <t>Autobus con monitor e indicatori vocali / Autobus totali in offerta, incluse scorte</t>
        </is>
      </c>
      <c r="Q1134" s="57">
        <f>IF($A1134="","",$A1134&amp;"|"&amp;$C1134)</f>
        <v/>
      </c>
      <c r="R1134" s="57">
        <f>IF($A1134="","",$A1134&amp;"|"&amp;$C1134&amp;"|"&amp;$D1134)</f>
        <v/>
      </c>
      <c r="S1134" s="57">
        <f>IF($A1134="","",IFERROR(INDEX(Offerte!$D$2:$D$81,MATCH($Q1134,Offerte!$L$2:$L$81,0)),0))</f>
        <v/>
      </c>
      <c r="T1134" s="57">
        <f>IF($A1134="","",IFERROR(INDEX(Offerte!$G$2:$G$81,MATCH($Q1134,Offerte!$L$2:$L$81,0)),"NO"))</f>
        <v/>
      </c>
    </row>
    <row r="1135">
      <c r="A1135" s="48">
        <f>IF(Offerte!$A38="","",Offerte!$A38)</f>
        <v/>
      </c>
      <c r="B1135" s="48">
        <f>IF(Offerte!$A38="","",Offerte!$B38)</f>
        <v/>
      </c>
      <c r="C1135" s="48">
        <f>IF(Offerte!$A38="","",Offerte!$C38)</f>
        <v/>
      </c>
      <c r="D1135" s="48" t="inlineStr">
        <is>
          <t>C.3.2</t>
        </is>
      </c>
      <c r="E1135" s="48" t="inlineStr">
        <is>
          <t>C</t>
        </is>
      </c>
      <c r="F1135" s="48" t="inlineStr">
        <is>
          <t>T</t>
        </is>
      </c>
      <c r="G1135" s="48" t="inlineStr">
        <is>
          <t>tabular</t>
        </is>
      </c>
      <c r="H1135" s="48" t="n">
        <v>2</v>
      </c>
      <c r="I1135" s="48" t="inlineStr">
        <is>
          <t>Informazioni a bordo su coincidenze ai nodi</t>
        </is>
      </c>
      <c r="J1135" s="73" t="n"/>
      <c r="K1135" s="73" t="n"/>
      <c r="L1135" s="73" t="n"/>
      <c r="M1135" s="73" t="n"/>
      <c r="N1135" s="57">
        <f>IF($A1135="","",IF(IFERROR(VALUE($M1135),0)=1,1,0))</f>
        <v/>
      </c>
      <c r="O1135" s="57">
        <f>IF($A1135="",0,IF(OR($S1135&lt;&gt;1,COUNTA($J1135:$M1135)=0),0,IF(AND($N1135=1,IFERROR(SUMIFS($N$5:$N$2484,$Q$5:$Q$2484,$Q1135,$D$5:$D$2484,"C.3.1"),0)&gt;=0.5),$H1135,0)))</f>
        <v/>
      </c>
      <c r="P1135" s="48" t="inlineStr">
        <is>
          <t>Dipende da C.3.1 &gt;= 0.5</t>
        </is>
      </c>
      <c r="Q1135" s="57">
        <f>IF($A1135="","",$A1135&amp;"|"&amp;$C1135)</f>
        <v/>
      </c>
      <c r="R1135" s="57">
        <f>IF($A1135="","",$A1135&amp;"|"&amp;$C1135&amp;"|"&amp;$D1135)</f>
        <v/>
      </c>
      <c r="S1135" s="57">
        <f>IF($A1135="","",IFERROR(INDEX(Offerte!$D$2:$D$81,MATCH($Q1135,Offerte!$L$2:$L$81,0)),0))</f>
        <v/>
      </c>
      <c r="T1135" s="57">
        <f>IF($A1135="","",IFERROR(INDEX(Offerte!$G$2:$G$81,MATCH($Q1135,Offerte!$L$2:$L$81,0)),"NO"))</f>
        <v/>
      </c>
    </row>
    <row r="1136">
      <c r="A1136" s="48">
        <f>IF(Offerte!$A38="","",Offerte!$A38)</f>
        <v/>
      </c>
      <c r="B1136" s="48">
        <f>IF(Offerte!$A38="","",Offerte!$B38)</f>
        <v/>
      </c>
      <c r="C1136" s="48">
        <f>IF(Offerte!$A38="","",Offerte!$C38)</f>
        <v/>
      </c>
      <c r="D1136" s="48" t="inlineStr">
        <is>
          <t>D.1.1</t>
        </is>
      </c>
      <c r="E1136" s="48" t="inlineStr">
        <is>
          <t>D</t>
        </is>
      </c>
      <c r="F1136" s="48" t="inlineStr">
        <is>
          <t>Q</t>
        </is>
      </c>
      <c r="G1136" s="48" t="inlineStr">
        <is>
          <t>higher</t>
        </is>
      </c>
      <c r="H1136" s="48" t="n">
        <v>3</v>
      </c>
      <c r="I1136" s="48" t="inlineStr">
        <is>
          <t>Installazione di pensiline</t>
        </is>
      </c>
      <c r="J1136" s="73" t="n"/>
      <c r="K1136" s="73" t="n"/>
      <c r="L1136" s="73" t="n"/>
      <c r="M1136" s="73" t="n"/>
      <c r="N1136" s="57">
        <f>IF($A1136="","",IFERROR(VALUE($J1136),0))</f>
        <v/>
      </c>
      <c r="O1136" s="57">
        <f>IF($A1136="",0,IF(OR($S1136&lt;&gt;1,COUNTA($J1136:$M1136)=0),0,IF(SUMPRODUCT(MAX(($C$5:$C$2484=$C1136)*($D$5:$D$2484=$D1136)*($S$5:$S$2484=1)*IFERROR($N$5:$N$2484*1,0)))&gt;0,ROUND($H1136*($N1136/SUMPRODUCT(MAX(($C$5:$C$2484=$C1136)*($D$5:$D$2484=$D1136)*($S$5:$S$2484=1)*IFERROR($N$5:$N$2484*1,0)))),4),0)))</f>
        <v/>
      </c>
      <c r="P1136" s="48" t="inlineStr">
        <is>
          <t>fermate</t>
        </is>
      </c>
      <c r="Q1136" s="57">
        <f>IF($A1136="","",$A1136&amp;"|"&amp;$C1136)</f>
        <v/>
      </c>
      <c r="R1136" s="57">
        <f>IF($A1136="","",$A1136&amp;"|"&amp;$C1136&amp;"|"&amp;$D1136)</f>
        <v/>
      </c>
      <c r="S1136" s="57">
        <f>IF($A1136="","",IFERROR(INDEX(Offerte!$D$2:$D$81,MATCH($Q1136,Offerte!$L$2:$L$81,0)),0))</f>
        <v/>
      </c>
      <c r="T1136" s="57">
        <f>IF($A1136="","",IFERROR(INDEX(Offerte!$G$2:$G$81,MATCH($Q1136,Offerte!$L$2:$L$81,0)),"NO"))</f>
        <v/>
      </c>
    </row>
    <row r="1137">
      <c r="A1137" s="48">
        <f>IF(Offerte!$A38="","",Offerte!$A38)</f>
        <v/>
      </c>
      <c r="B1137" s="48">
        <f>IF(Offerte!$A38="","",Offerte!$B38)</f>
        <v/>
      </c>
      <c r="C1137" s="48">
        <f>IF(Offerte!$A38="","",Offerte!$C38)</f>
        <v/>
      </c>
      <c r="D1137" s="48" t="inlineStr">
        <is>
          <t>D.1.2</t>
        </is>
      </c>
      <c r="E1137" s="48" t="inlineStr">
        <is>
          <t>D</t>
        </is>
      </c>
      <c r="F1137" s="48" t="inlineStr">
        <is>
          <t>Q</t>
        </is>
      </c>
      <c r="G1137" s="48" t="inlineStr">
        <is>
          <t>higher</t>
        </is>
      </c>
      <c r="H1137" s="48" t="n">
        <v>3</v>
      </c>
      <c r="I1137" s="48" t="inlineStr">
        <is>
          <t>Installazione di paline di fermata conformi alla DGR 581/2023</t>
        </is>
      </c>
      <c r="J1137" s="73" t="n"/>
      <c r="K1137" s="73" t="n"/>
      <c r="L1137" s="73" t="n"/>
      <c r="M1137" s="73" t="n"/>
      <c r="N1137" s="57">
        <f>IF($A1137="","",IFERROR(VALUE($J1137),0))</f>
        <v/>
      </c>
      <c r="O1137" s="57">
        <f>IF($A1137="",0,IF(OR($S1137&lt;&gt;1,COUNTA($J1137:$M1137)=0),0,IF(SUMPRODUCT(MAX(($C$5:$C$2484=$C1137)*($D$5:$D$2484=$D1137)*($S$5:$S$2484=1)*IFERROR($N$5:$N$2484*1,0)))&gt;0,ROUND($H1137*($N1137/SUMPRODUCT(MAX(($C$5:$C$2484=$C1137)*($D$5:$D$2484=$D1137)*($S$5:$S$2484=1)*IFERROR($N$5:$N$2484*1,0)))),4),0)))</f>
        <v/>
      </c>
      <c r="P1137" s="48" t="inlineStr">
        <is>
          <t>fermate</t>
        </is>
      </c>
      <c r="Q1137" s="57">
        <f>IF($A1137="","",$A1137&amp;"|"&amp;$C1137)</f>
        <v/>
      </c>
      <c r="R1137" s="57">
        <f>IF($A1137="","",$A1137&amp;"|"&amp;$C1137&amp;"|"&amp;$D1137)</f>
        <v/>
      </c>
      <c r="S1137" s="57">
        <f>IF($A1137="","",IFERROR(INDEX(Offerte!$D$2:$D$81,MATCH($Q1137,Offerte!$L$2:$L$81,0)),0))</f>
        <v/>
      </c>
      <c r="T1137" s="57">
        <f>IF($A1137="","",IFERROR(INDEX(Offerte!$G$2:$G$81,MATCH($Q1137,Offerte!$L$2:$L$81,0)),"NO"))</f>
        <v/>
      </c>
    </row>
    <row r="1138">
      <c r="A1138" s="48">
        <f>IF(Offerte!$A38="","",Offerte!$A38)</f>
        <v/>
      </c>
      <c r="B1138" s="48">
        <f>IF(Offerte!$A38="","",Offerte!$B38)</f>
        <v/>
      </c>
      <c r="C1138" s="48">
        <f>IF(Offerte!$A38="","",Offerte!$C38)</f>
        <v/>
      </c>
      <c r="D1138" s="48" t="inlineStr">
        <is>
          <t>D.1.3</t>
        </is>
      </c>
      <c r="E1138" s="48" t="inlineStr">
        <is>
          <t>D</t>
        </is>
      </c>
      <c r="F1138" s="48" t="inlineStr">
        <is>
          <t>Q</t>
        </is>
      </c>
      <c r="G1138" s="48" t="inlineStr">
        <is>
          <t>higher</t>
        </is>
      </c>
      <c r="H1138" s="48" t="n">
        <v>2</v>
      </c>
      <c r="I1138" s="48" t="inlineStr">
        <is>
          <t>Display informativi connessi alle fermate</t>
        </is>
      </c>
      <c r="J1138" s="73" t="n"/>
      <c r="K1138" s="73" t="n"/>
      <c r="L1138" s="73" t="n"/>
      <c r="M1138" s="73" t="n"/>
      <c r="N1138" s="57">
        <f>IF($A1138="","",IFERROR(VALUE($J1138),0))</f>
        <v/>
      </c>
      <c r="O1138" s="57">
        <f>IF($A1138="",0,IF(OR($S1138&lt;&gt;1,COUNTA($J1138:$M1138)=0),0,IF(SUMPRODUCT(MAX(($C$5:$C$2484=$C1138)*($D$5:$D$2484=$D1138)*($S$5:$S$2484=1)*IFERROR($N$5:$N$2484*1,0)))&gt;0,ROUND($H1138*($N1138/SUMPRODUCT(MAX(($C$5:$C$2484=$C1138)*($D$5:$D$2484=$D1138)*($S$5:$S$2484=1)*IFERROR($N$5:$N$2484*1,0)))),4),0)))</f>
        <v/>
      </c>
      <c r="P1138" s="48" t="inlineStr">
        <is>
          <t>fermate</t>
        </is>
      </c>
      <c r="Q1138" s="57">
        <f>IF($A1138="","",$A1138&amp;"|"&amp;$C1138)</f>
        <v/>
      </c>
      <c r="R1138" s="57">
        <f>IF($A1138="","",$A1138&amp;"|"&amp;$C1138&amp;"|"&amp;$D1138)</f>
        <v/>
      </c>
      <c r="S1138" s="57">
        <f>IF($A1138="","",IFERROR(INDEX(Offerte!$D$2:$D$81,MATCH($Q1138,Offerte!$L$2:$L$81,0)),0))</f>
        <v/>
      </c>
      <c r="T1138" s="57">
        <f>IF($A1138="","",IFERROR(INDEX(Offerte!$G$2:$G$81,MATCH($Q1138,Offerte!$L$2:$L$81,0)),"NO"))</f>
        <v/>
      </c>
    </row>
    <row r="1139">
      <c r="A1139" s="48">
        <f>IF(Offerte!$A38="","",Offerte!$A38)</f>
        <v/>
      </c>
      <c r="B1139" s="48">
        <f>IF(Offerte!$A38="","",Offerte!$B38)</f>
        <v/>
      </c>
      <c r="C1139" s="48">
        <f>IF(Offerte!$A38="","",Offerte!$C38)</f>
        <v/>
      </c>
      <c r="D1139" s="48" t="inlineStr">
        <is>
          <t>D.2.1</t>
        </is>
      </c>
      <c r="E1139" s="48" t="inlineStr">
        <is>
          <t>D</t>
        </is>
      </c>
      <c r="F1139" s="48" t="inlineStr">
        <is>
          <t>Q</t>
        </is>
      </c>
      <c r="G1139" s="48" t="inlineStr">
        <is>
          <t>higher</t>
        </is>
      </c>
      <c r="H1139" s="48" t="n">
        <v>2</v>
      </c>
      <c r="I1139" s="48" t="inlineStr">
        <is>
          <t>Segnali tattili Loges-Vet-Evolution</t>
        </is>
      </c>
      <c r="J1139" s="73" t="n"/>
      <c r="K1139" s="73" t="n"/>
      <c r="L1139" s="73" t="n"/>
      <c r="M1139" s="73" t="n"/>
      <c r="N1139" s="57">
        <f>IF($A1139="","",IFERROR(VALUE($J1139),0))</f>
        <v/>
      </c>
      <c r="O1139" s="57">
        <f>IF($A1139="",0,IF(OR($S1139&lt;&gt;1,COUNTA($J1139:$M1139)=0),0,IF(SUMPRODUCT(MAX(($C$5:$C$2484=$C1139)*($D$5:$D$2484=$D1139)*($S$5:$S$2484=1)*IFERROR($N$5:$N$2484*1,0)))&gt;0,ROUND($H1139*($N1139/SUMPRODUCT(MAX(($C$5:$C$2484=$C1139)*($D$5:$D$2484=$D1139)*($S$5:$S$2484=1)*IFERROR($N$5:$N$2484*1,0)))),4),0)))</f>
        <v/>
      </c>
      <c r="P1139" s="48" t="inlineStr">
        <is>
          <t>fermate</t>
        </is>
      </c>
      <c r="Q1139" s="57">
        <f>IF($A1139="","",$A1139&amp;"|"&amp;$C1139)</f>
        <v/>
      </c>
      <c r="R1139" s="57">
        <f>IF($A1139="","",$A1139&amp;"|"&amp;$C1139&amp;"|"&amp;$D1139)</f>
        <v/>
      </c>
      <c r="S1139" s="57">
        <f>IF($A1139="","",IFERROR(INDEX(Offerte!$D$2:$D$81,MATCH($Q1139,Offerte!$L$2:$L$81,0)),0))</f>
        <v/>
      </c>
      <c r="T1139" s="57">
        <f>IF($A1139="","",IFERROR(INDEX(Offerte!$G$2:$G$81,MATCH($Q1139,Offerte!$L$2:$L$81,0)),"NO"))</f>
        <v/>
      </c>
    </row>
    <row r="1140">
      <c r="A1140" s="48">
        <f>IF(Offerte!$A38="","",Offerte!$A38)</f>
        <v/>
      </c>
      <c r="B1140" s="48">
        <f>IF(Offerte!$A38="","",Offerte!$B38)</f>
        <v/>
      </c>
      <c r="C1140" s="48">
        <f>IF(Offerte!$A38="","",Offerte!$C38)</f>
        <v/>
      </c>
      <c r="D1140" s="48" t="inlineStr">
        <is>
          <t>E.1.1</t>
        </is>
      </c>
      <c r="E1140" s="48" t="inlineStr">
        <is>
          <t>E</t>
        </is>
      </c>
      <c r="F1140" s="48" t="inlineStr">
        <is>
          <t>T</t>
        </is>
      </c>
      <c r="G1140" s="48" t="inlineStr">
        <is>
          <t>tabular</t>
        </is>
      </c>
      <c r="H1140" s="48" t="n">
        <v>2</v>
      </c>
      <c r="I1140" s="48" t="inlineStr">
        <is>
          <t>Mobile app con travel planner PRM</t>
        </is>
      </c>
      <c r="J1140" s="73" t="n"/>
      <c r="K1140" s="73" t="n"/>
      <c r="L1140" s="73" t="n"/>
      <c r="M1140" s="73" t="n"/>
      <c r="N1140" s="57">
        <f>IF($A1140="","",IF(IFERROR(VALUE($M1140),0)=1,1,0))</f>
        <v/>
      </c>
      <c r="O1140" s="57">
        <f>IF($A1140="",0,IF(OR($S1140&lt;&gt;1,COUNTA($J1140:$M1140)=0),0,IF($N1140=1,$H1140,0)))</f>
        <v/>
      </c>
      <c r="P1140" s="48" t="inlineStr">
        <is>
          <t>sì/no</t>
        </is>
      </c>
      <c r="Q1140" s="57">
        <f>IF($A1140="","",$A1140&amp;"|"&amp;$C1140)</f>
        <v/>
      </c>
      <c r="R1140" s="57">
        <f>IF($A1140="","",$A1140&amp;"|"&amp;$C1140&amp;"|"&amp;$D1140)</f>
        <v/>
      </c>
      <c r="S1140" s="57">
        <f>IF($A1140="","",IFERROR(INDEX(Offerte!$D$2:$D$81,MATCH($Q1140,Offerte!$L$2:$L$81,0)),0))</f>
        <v/>
      </c>
      <c r="T1140" s="57">
        <f>IF($A1140="","",IFERROR(INDEX(Offerte!$G$2:$G$81,MATCH($Q1140,Offerte!$L$2:$L$81,0)),"NO"))</f>
        <v/>
      </c>
    </row>
    <row r="1141">
      <c r="A1141" s="48">
        <f>IF(Offerte!$A38="","",Offerte!$A38)</f>
        <v/>
      </c>
      <c r="B1141" s="48">
        <f>IF(Offerte!$A38="","",Offerte!$B38)</f>
        <v/>
      </c>
      <c r="C1141" s="48">
        <f>IF(Offerte!$A38="","",Offerte!$C38)</f>
        <v/>
      </c>
      <c r="D1141" s="48" t="inlineStr">
        <is>
          <t>E.2.1</t>
        </is>
      </c>
      <c r="E1141" s="48" t="inlineStr">
        <is>
          <t>E</t>
        </is>
      </c>
      <c r="F1141" s="48" t="inlineStr">
        <is>
          <t>D</t>
        </is>
      </c>
      <c r="G1141" s="48" t="inlineStr">
        <is>
          <t>discretionary</t>
        </is>
      </c>
      <c r="H1141" s="48" t="n">
        <v>2</v>
      </c>
      <c r="I1141" s="48" t="inlineStr">
        <is>
          <t>Altre azioni informative e rapporti con gli utenti</t>
        </is>
      </c>
      <c r="J1141" s="73" t="n"/>
      <c r="K1141" s="73" t="n"/>
      <c r="L1141" s="73" t="n"/>
      <c r="M1141" s="73" t="n"/>
      <c r="N1141" s="57">
        <f>IF($A1141="","",MAX(0,MIN(1,IFERROR(VALUE($M1141),0))))</f>
        <v/>
      </c>
      <c r="O1141" s="57">
        <f>IF($A1141="",0,IF(OR($S1141&lt;&gt;1,COUNTA($J1141:$M1141)=0),0,IF(SUMPRODUCT(MAX(($C$5:$C$2484=$C1141)*($D$5:$D$2484=$D1141)*($S$5:$S$2484=1)*IFERROR($N$5:$N$2484*1,0)))&gt;0,ROUND($H1141*($N1141/SUMPRODUCT(MAX(($C$5:$C$2484=$C1141)*($D$5:$D$2484=$D1141)*($S$5:$S$2484=1)*IFERROR($N$5:$N$2484*1,0)))),4),0)))</f>
        <v/>
      </c>
      <c r="P1141" s="48" t="inlineStr">
        <is>
          <t>coeff.</t>
        </is>
      </c>
      <c r="Q1141" s="57">
        <f>IF($A1141="","",$A1141&amp;"|"&amp;$C1141)</f>
        <v/>
      </c>
      <c r="R1141" s="57">
        <f>IF($A1141="","",$A1141&amp;"|"&amp;$C1141&amp;"|"&amp;$D1141)</f>
        <v/>
      </c>
      <c r="S1141" s="57">
        <f>IF($A1141="","",IFERROR(INDEX(Offerte!$D$2:$D$81,MATCH($Q1141,Offerte!$L$2:$L$81,0)),0))</f>
        <v/>
      </c>
      <c r="T1141" s="57">
        <f>IF($A1141="","",IFERROR(INDEX(Offerte!$G$2:$G$81,MATCH($Q1141,Offerte!$L$2:$L$81,0)),"NO"))</f>
        <v/>
      </c>
    </row>
    <row r="1142">
      <c r="A1142" s="48">
        <f>IF(Offerte!$A38="","",Offerte!$A38)</f>
        <v/>
      </c>
      <c r="B1142" s="48">
        <f>IF(Offerte!$A38="","",Offerte!$B38)</f>
        <v/>
      </c>
      <c r="C1142" s="48">
        <f>IF(Offerte!$A38="","",Offerte!$C38)</f>
        <v/>
      </c>
      <c r="D1142" s="48" t="inlineStr">
        <is>
          <t>F.1.1</t>
        </is>
      </c>
      <c r="E1142" s="48" t="inlineStr">
        <is>
          <t>F</t>
        </is>
      </c>
      <c r="F1142" s="48" t="inlineStr">
        <is>
          <t>Q</t>
        </is>
      </c>
      <c r="G1142" s="48" t="inlineStr">
        <is>
          <t>lower</t>
        </is>
      </c>
      <c r="H1142" s="48" t="n">
        <v>7</v>
      </c>
      <c r="I1142" s="48" t="inlineStr">
        <is>
          <t>Performance ambientali del parco mezzi adibito al servizio - I_CEA</t>
        </is>
      </c>
      <c r="J1142" s="73" t="n"/>
      <c r="K1142" s="73" t="n"/>
      <c r="L1142" s="73" t="n"/>
      <c r="M1142" s="73" t="n"/>
      <c r="N1142" s="57">
        <f>IF($A1142="","",IFERROR(VALUE($J1142),0))</f>
        <v/>
      </c>
      <c r="O1142" s="57">
        <f>IF($A1142="",0,IF(OR($S1142&lt;&gt;1,COUNTA($J1142:$M1142)=0),0,IF(AND(IFERROR(AGGREGATE(15,6,$N$5:$N$2484/(($C$5:$C$2484=$C1142)*($D$5:$D$2484=$D1142)*($S$5:$S$2484=1)*($N$5:$N$2484&gt;0)),1),0)&gt;0,$N1142&gt;0),ROUND($H1142*(IFERROR(AGGREGATE(15,6,$N$5:$N$2484/(($C$5:$C$2484=$C1142)*($D$5:$D$2484=$D1142)*($S$5:$S$2484=1)*($N$5:$N$2484&gt;0)),1),0)/$N1142),4),0)))</f>
        <v/>
      </c>
      <c r="P1142" s="48" t="inlineStr">
        <is>
          <t>indice</t>
        </is>
      </c>
      <c r="Q1142" s="57">
        <f>IF($A1142="","",$A1142&amp;"|"&amp;$C1142)</f>
        <v/>
      </c>
      <c r="R1142" s="57">
        <f>IF($A1142="","",$A1142&amp;"|"&amp;$C1142&amp;"|"&amp;$D1142)</f>
        <v/>
      </c>
      <c r="S1142" s="57">
        <f>IF($A1142="","",IFERROR(INDEX(Offerte!$D$2:$D$81,MATCH($Q1142,Offerte!$L$2:$L$81,0)),0))</f>
        <v/>
      </c>
      <c r="T1142" s="57">
        <f>IF($A1142="","",IFERROR(INDEX(Offerte!$G$2:$G$81,MATCH($Q1142,Offerte!$L$2:$L$81,0)),"NO"))</f>
        <v/>
      </c>
    </row>
    <row r="1143">
      <c r="A1143" s="48">
        <f>IF(Offerte!$A38="","",Offerte!$A38)</f>
        <v/>
      </c>
      <c r="B1143" s="48">
        <f>IF(Offerte!$A38="","",Offerte!$B38)</f>
        <v/>
      </c>
      <c r="C1143" s="48">
        <f>IF(Offerte!$A38="","",Offerte!$C38)</f>
        <v/>
      </c>
      <c r="D1143" s="48" t="inlineStr">
        <is>
          <t>F.2.1</t>
        </is>
      </c>
      <c r="E1143" s="48" t="inlineStr">
        <is>
          <t>F</t>
        </is>
      </c>
      <c r="F1143" s="48" t="inlineStr">
        <is>
          <t>Q</t>
        </is>
      </c>
      <c r="G1143" s="48" t="inlineStr">
        <is>
          <t>higher</t>
        </is>
      </c>
      <c r="H1143" s="48" t="n">
        <v>2</v>
      </c>
      <c r="I1143" s="48" t="inlineStr">
        <is>
          <t>Tasso di copertura del servizio con dispositivi ECO-DRIVER</t>
        </is>
      </c>
      <c r="J1143" s="73" t="n"/>
      <c r="K1143" s="73" t="n"/>
      <c r="L1143" s="73" t="n"/>
      <c r="M1143" s="73" t="n"/>
      <c r="N1143" s="57">
        <f>IF($A1143="","",IFERROR(VALUE($K1143)/VALUE($L1143),IFERROR(VALUE($J1143),0)))</f>
        <v/>
      </c>
      <c r="O1143" s="57">
        <f>IF($A1143="",0,IF(OR($S1143&lt;&gt;1,COUNTA($J1143:$M1143)=0),0,IF(SUMPRODUCT(MAX(($C$5:$C$2484=$C1143)*($D$5:$D$2484=$D1143)*($S$5:$S$2484=1)*IFERROR($N$5:$N$2484*1,0)))&gt;0,ROUND($H1143*($N1143/SUMPRODUCT(MAX(($C$5:$C$2484=$C1143)*($D$5:$D$2484=$D1143)*($S$5:$S$2484=1)*IFERROR($N$5:$N$2484*1,0)))),4),0)))</f>
        <v/>
      </c>
      <c r="P1143" s="48" t="inlineStr">
        <is>
          <t>Autobus attrezzati con dispositivi ECO-DRIVER / Autobus totali in offerta, incluse scorte</t>
        </is>
      </c>
      <c r="Q1143" s="57">
        <f>IF($A1143="","",$A1143&amp;"|"&amp;$C1143)</f>
        <v/>
      </c>
      <c r="R1143" s="57">
        <f>IF($A1143="","",$A1143&amp;"|"&amp;$C1143&amp;"|"&amp;$D1143)</f>
        <v/>
      </c>
      <c r="S1143" s="57">
        <f>IF($A1143="","",IFERROR(INDEX(Offerte!$D$2:$D$81,MATCH($Q1143,Offerte!$L$2:$L$81,0)),0))</f>
        <v/>
      </c>
      <c r="T1143" s="57">
        <f>IF($A1143="","",IFERROR(INDEX(Offerte!$G$2:$G$81,MATCH($Q1143,Offerte!$L$2:$L$81,0)),"NO"))</f>
        <v/>
      </c>
    </row>
    <row r="1144">
      <c r="A1144" s="48">
        <f>IF(Offerte!$A38="","",Offerte!$A38)</f>
        <v/>
      </c>
      <c r="B1144" s="48">
        <f>IF(Offerte!$A38="","",Offerte!$B38)</f>
        <v/>
      </c>
      <c r="C1144" s="48">
        <f>IF(Offerte!$A38="","",Offerte!$C38)</f>
        <v/>
      </c>
      <c r="D1144" s="48" t="inlineStr">
        <is>
          <t>F.3.1</t>
        </is>
      </c>
      <c r="E1144" s="48" t="inlineStr">
        <is>
          <t>F</t>
        </is>
      </c>
      <c r="F1144" s="48" t="inlineStr">
        <is>
          <t>Q</t>
        </is>
      </c>
      <c r="G1144" s="48" t="inlineStr">
        <is>
          <t>higher</t>
        </is>
      </c>
      <c r="H1144" s="48" t="n">
        <v>2</v>
      </c>
      <c r="I1144" s="48" t="inlineStr">
        <is>
          <t>Autoproduzione consumi elettrici per trazione</t>
        </is>
      </c>
      <c r="J1144" s="73" t="n"/>
      <c r="K1144" s="73" t="n"/>
      <c r="L1144" s="73" t="n"/>
      <c r="M1144" s="73" t="n"/>
      <c r="N1144" s="57">
        <f>IF($A1144="","",IFERROR(VALUE($J1144),0))</f>
        <v/>
      </c>
      <c r="O1144" s="57">
        <f>IF($A1144="",0,IF(OR($S1144&lt;&gt;1,COUNTA($J1144:$M1144)=0),0,IF(SUMPRODUCT(MAX(($C$5:$C$2484=$C1144)*($D$5:$D$2484=$D1144)*($S$5:$S$2484=1)*IFERROR($N$5:$N$2484*1,0)))&gt;0,ROUND($H1144*($N1144/SUMPRODUCT(MAX(($C$5:$C$2484=$C1144)*($D$5:$D$2484=$D1144)*($S$5:$S$2484=1)*IFERROR($N$5:$N$2484*1,0)))),4),0)))</f>
        <v/>
      </c>
      <c r="P1144" s="48" t="inlineStr">
        <is>
          <t>kWh/anno</t>
        </is>
      </c>
      <c r="Q1144" s="57">
        <f>IF($A1144="","",$A1144&amp;"|"&amp;$C1144)</f>
        <v/>
      </c>
      <c r="R1144" s="57">
        <f>IF($A1144="","",$A1144&amp;"|"&amp;$C1144&amp;"|"&amp;$D1144)</f>
        <v/>
      </c>
      <c r="S1144" s="57">
        <f>IF($A1144="","",IFERROR(INDEX(Offerte!$D$2:$D$81,MATCH($Q1144,Offerte!$L$2:$L$81,0)),0))</f>
        <v/>
      </c>
      <c r="T1144" s="57">
        <f>IF($A1144="","",IFERROR(INDEX(Offerte!$G$2:$G$81,MATCH($Q1144,Offerte!$L$2:$L$81,0)),"NO"))</f>
        <v/>
      </c>
    </row>
    <row r="1145">
      <c r="A1145" s="48">
        <f>IF(Offerte!$A38="","",Offerte!$A38)</f>
        <v/>
      </c>
      <c r="B1145" s="48">
        <f>IF(Offerte!$A38="","",Offerte!$B38)</f>
        <v/>
      </c>
      <c r="C1145" s="48">
        <f>IF(Offerte!$A38="","",Offerte!$C38)</f>
        <v/>
      </c>
      <c r="D1145" s="48" t="inlineStr">
        <is>
          <t>F.4.1</t>
        </is>
      </c>
      <c r="E1145" s="48" t="inlineStr">
        <is>
          <t>F</t>
        </is>
      </c>
      <c r="F1145" s="48" t="inlineStr">
        <is>
          <t>Q</t>
        </is>
      </c>
      <c r="G1145" s="48" t="inlineStr">
        <is>
          <t>soil</t>
        </is>
      </c>
      <c r="H1145" s="48" t="n">
        <v>2</v>
      </c>
      <c r="I1145" s="48" t="inlineStr">
        <is>
          <t>Indice di consumo di suolo</t>
        </is>
      </c>
      <c r="J1145" s="73" t="n"/>
      <c r="K1145" s="73" t="n"/>
      <c r="L1145" s="73" t="n"/>
      <c r="M1145" s="73" t="n"/>
      <c r="N1145" s="57">
        <f>IF($A1145="","",IFERROR(VALUE($J1145),0))</f>
        <v/>
      </c>
      <c r="O1145" s="57">
        <f>IF($A1145="",0,IF(OR($S1145&lt;&gt;1,COUNTA($J1145:$M1145)=0),0,IF($N1145&lt;=0,$H1145,IF(SUMPRODUCT(MAX(($C$5:$C$2484=$C1145)*($D$5:$D$2484=$D1145)*($S$5:$S$2484=1)*IFERROR($N$5:$N$2484*1,0)))&gt;0,ROUND($H1145*((SUMPRODUCT(MAX(($C$5:$C$2484=$C1145)*($D$5:$D$2484=$D1145)*($S$5:$S$2484=1)*IFERROR($N$5:$N$2484*1,0)))-$N1145)/SUMPRODUCT(MAX(($C$5:$C$2484=$C1145)*($D$5:$D$2484=$D1145)*($S$5:$S$2484=1)*IFERROR($N$5:$N$2484*1,0)))),4),0))))</f>
        <v/>
      </c>
      <c r="P1145" s="48" t="inlineStr">
        <is>
          <t>m2</t>
        </is>
      </c>
      <c r="Q1145" s="57">
        <f>IF($A1145="","",$A1145&amp;"|"&amp;$C1145)</f>
        <v/>
      </c>
      <c r="R1145" s="57">
        <f>IF($A1145="","",$A1145&amp;"|"&amp;$C1145&amp;"|"&amp;$D1145)</f>
        <v/>
      </c>
      <c r="S1145" s="57">
        <f>IF($A1145="","",IFERROR(INDEX(Offerte!$D$2:$D$81,MATCH($Q1145,Offerte!$L$2:$L$81,0)),0))</f>
        <v/>
      </c>
      <c r="T1145" s="57">
        <f>IF($A1145="","",IFERROR(INDEX(Offerte!$G$2:$G$81,MATCH($Q1145,Offerte!$L$2:$L$81,0)),"NO"))</f>
        <v/>
      </c>
    </row>
    <row r="1146">
      <c r="A1146" s="48">
        <f>IF(Offerte!$A38="","",Offerte!$A38)</f>
        <v/>
      </c>
      <c r="B1146" s="48">
        <f>IF(Offerte!$A38="","",Offerte!$B38)</f>
        <v/>
      </c>
      <c r="C1146" s="48">
        <f>IF(Offerte!$A38="","",Offerte!$C38)</f>
        <v/>
      </c>
      <c r="D1146" s="48" t="inlineStr">
        <is>
          <t>F.5.1</t>
        </is>
      </c>
      <c r="E1146" s="48" t="inlineStr">
        <is>
          <t>F</t>
        </is>
      </c>
      <c r="F1146" s="48" t="inlineStr">
        <is>
          <t>T</t>
        </is>
      </c>
      <c r="G1146" s="48" t="inlineStr">
        <is>
          <t>tabular</t>
        </is>
      </c>
      <c r="H1146" s="48" t="n">
        <v>1</v>
      </c>
      <c r="I1146" s="48" t="inlineStr">
        <is>
          <t>Rendicontazione di sostenibilità ambientale</t>
        </is>
      </c>
      <c r="J1146" s="73" t="n"/>
      <c r="K1146" s="73" t="n"/>
      <c r="L1146" s="73" t="n"/>
      <c r="M1146" s="73" t="n"/>
      <c r="N1146" s="57">
        <f>IF($A1146="","",IF(IFERROR(VALUE($M1146),0)=1,1,0))</f>
        <v/>
      </c>
      <c r="O1146" s="57">
        <f>IF($A1146="",0,IF(OR($S1146&lt;&gt;1,COUNTA($J1146:$M1146)=0),0,IF($N1146=1,$H1146,0)))</f>
        <v/>
      </c>
      <c r="P1146" s="48" t="inlineStr">
        <is>
          <t>sì/no</t>
        </is>
      </c>
      <c r="Q1146" s="57">
        <f>IF($A1146="","",$A1146&amp;"|"&amp;$C1146)</f>
        <v/>
      </c>
      <c r="R1146" s="57">
        <f>IF($A1146="","",$A1146&amp;"|"&amp;$C1146&amp;"|"&amp;$D1146)</f>
        <v/>
      </c>
      <c r="S1146" s="57">
        <f>IF($A1146="","",IFERROR(INDEX(Offerte!$D$2:$D$81,MATCH($Q1146,Offerte!$L$2:$L$81,0)),0))</f>
        <v/>
      </c>
      <c r="T1146" s="57">
        <f>IF($A1146="","",IFERROR(INDEX(Offerte!$G$2:$G$81,MATCH($Q1146,Offerte!$L$2:$L$81,0)),"NO"))</f>
        <v/>
      </c>
    </row>
    <row r="1147">
      <c r="A1147" s="48">
        <f>IF(Offerte!$A38="","",Offerte!$A38)</f>
        <v/>
      </c>
      <c r="B1147" s="48">
        <f>IF(Offerte!$A38="","",Offerte!$B38)</f>
        <v/>
      </c>
      <c r="C1147" s="48">
        <f>IF(Offerte!$A38="","",Offerte!$C38)</f>
        <v/>
      </c>
      <c r="D1147" s="48" t="inlineStr">
        <is>
          <t>G.1.1</t>
        </is>
      </c>
      <c r="E1147" s="48" t="inlineStr">
        <is>
          <t>G</t>
        </is>
      </c>
      <c r="F1147" s="48" t="inlineStr">
        <is>
          <t>D</t>
        </is>
      </c>
      <c r="G1147" s="48" t="inlineStr">
        <is>
          <t>discretionary</t>
        </is>
      </c>
      <c r="H1147" s="48" t="n">
        <v>2</v>
      </c>
      <c r="I1147" s="48" t="inlineStr">
        <is>
          <t>Qualità del progetto di centrale di controllo aziendale</t>
        </is>
      </c>
      <c r="J1147" s="73" t="n"/>
      <c r="K1147" s="73" t="n"/>
      <c r="L1147" s="73" t="n"/>
      <c r="M1147" s="73" t="n"/>
      <c r="N1147" s="57">
        <f>IF($A1147="","",MAX(0,MIN(1,IFERROR(VALUE($M1147),0))))</f>
        <v/>
      </c>
      <c r="O1147" s="57">
        <f>IF($A1147="",0,IF(OR($S1147&lt;&gt;1,COUNTA($J1147:$M1147)=0),0,IF(SUMPRODUCT(MAX(($C$5:$C$2484=$C1147)*($D$5:$D$2484=$D1147)*($S$5:$S$2484=1)*IFERROR($N$5:$N$2484*1,0)))&gt;0,ROUND($H1147*($N1147/SUMPRODUCT(MAX(($C$5:$C$2484=$C1147)*($D$5:$D$2484=$D1147)*($S$5:$S$2484=1)*IFERROR($N$5:$N$2484*1,0)))),4),0)))</f>
        <v/>
      </c>
      <c r="P1147" s="48" t="inlineStr">
        <is>
          <t>coeff.</t>
        </is>
      </c>
      <c r="Q1147" s="57">
        <f>IF($A1147="","",$A1147&amp;"|"&amp;$C1147)</f>
        <v/>
      </c>
      <c r="R1147" s="57">
        <f>IF($A1147="","",$A1147&amp;"|"&amp;$C1147&amp;"|"&amp;$D1147)</f>
        <v/>
      </c>
      <c r="S1147" s="57">
        <f>IF($A1147="","",IFERROR(INDEX(Offerte!$D$2:$D$81,MATCH($Q1147,Offerte!$L$2:$L$81,0)),0))</f>
        <v/>
      </c>
      <c r="T1147" s="57">
        <f>IF($A1147="","",IFERROR(INDEX(Offerte!$G$2:$G$81,MATCH($Q1147,Offerte!$L$2:$L$81,0)),"NO"))</f>
        <v/>
      </c>
    </row>
    <row r="1148">
      <c r="A1148" s="48">
        <f>IF(Offerte!$A38="","",Offerte!$A38)</f>
        <v/>
      </c>
      <c r="B1148" s="48">
        <f>IF(Offerte!$A38="","",Offerte!$B38)</f>
        <v/>
      </c>
      <c r="C1148" s="48">
        <f>IF(Offerte!$A38="","",Offerte!$C38)</f>
        <v/>
      </c>
      <c r="D1148" s="48" t="inlineStr">
        <is>
          <t>G.2.1</t>
        </is>
      </c>
      <c r="E1148" s="48" t="inlineStr">
        <is>
          <t>G</t>
        </is>
      </c>
      <c r="F1148" s="48" t="inlineStr">
        <is>
          <t>T</t>
        </is>
      </c>
      <c r="G1148" s="48" t="inlineStr">
        <is>
          <t>tabular</t>
        </is>
      </c>
      <c r="H1148" s="48" t="n">
        <v>1</v>
      </c>
      <c r="I1148" s="48" t="inlineStr">
        <is>
          <t>Certificazione ISO 45001</t>
        </is>
      </c>
      <c r="J1148" s="73" t="n"/>
      <c r="K1148" s="73" t="n"/>
      <c r="L1148" s="73" t="n"/>
      <c r="M1148" s="73" t="n"/>
      <c r="N1148" s="57">
        <f>IF($A1148="","",IF(IFERROR(VALUE($M1148),0)=1,1,0))</f>
        <v/>
      </c>
      <c r="O1148" s="57">
        <f>IF($A1148="",0,IF(OR($S1148&lt;&gt;1,COUNTA($J1148:$M1148)=0),0,IF($N1148=1,$H1148,0)))</f>
        <v/>
      </c>
      <c r="P1148" s="48" t="inlineStr">
        <is>
          <t>sì/no</t>
        </is>
      </c>
      <c r="Q1148" s="57">
        <f>IF($A1148="","",$A1148&amp;"|"&amp;$C1148)</f>
        <v/>
      </c>
      <c r="R1148" s="57">
        <f>IF($A1148="","",$A1148&amp;"|"&amp;$C1148&amp;"|"&amp;$D1148)</f>
        <v/>
      </c>
      <c r="S1148" s="57">
        <f>IF($A1148="","",IFERROR(INDEX(Offerte!$D$2:$D$81,MATCH($Q1148,Offerte!$L$2:$L$81,0)),0))</f>
        <v/>
      </c>
      <c r="T1148" s="57">
        <f>IF($A1148="","",IFERROR(INDEX(Offerte!$G$2:$G$81,MATCH($Q1148,Offerte!$L$2:$L$81,0)),"NO"))</f>
        <v/>
      </c>
    </row>
    <row r="1149">
      <c r="A1149" s="48">
        <f>IF(Offerte!$A38="","",Offerte!$A38)</f>
        <v/>
      </c>
      <c r="B1149" s="48">
        <f>IF(Offerte!$A38="","",Offerte!$B38)</f>
        <v/>
      </c>
      <c r="C1149" s="48">
        <f>IF(Offerte!$A38="","",Offerte!$C38)</f>
        <v/>
      </c>
      <c r="D1149" s="48" t="inlineStr">
        <is>
          <t>G.3.1</t>
        </is>
      </c>
      <c r="E1149" s="48" t="inlineStr">
        <is>
          <t>G</t>
        </is>
      </c>
      <c r="F1149" s="48" t="inlineStr">
        <is>
          <t>T</t>
        </is>
      </c>
      <c r="G1149" s="48" t="inlineStr">
        <is>
          <t>tabular</t>
        </is>
      </c>
      <c r="H1149" s="48" t="n">
        <v>1</v>
      </c>
      <c r="I1149" s="48" t="inlineStr">
        <is>
          <t>Certificazioni di responsabilità sociale</t>
        </is>
      </c>
      <c r="J1149" s="73" t="n"/>
      <c r="K1149" s="73" t="n"/>
      <c r="L1149" s="73" t="n"/>
      <c r="M1149" s="73" t="n"/>
      <c r="N1149" s="57">
        <f>IF($A1149="","",IF(IFERROR(VALUE($M1149),0)=1,1,0))</f>
        <v/>
      </c>
      <c r="O1149" s="57">
        <f>IF($A1149="",0,IF(OR($S1149&lt;&gt;1,COUNTA($J1149:$M1149)=0),0,IF($N1149=1,$H1149,0)))</f>
        <v/>
      </c>
      <c r="P1149" s="48" t="inlineStr">
        <is>
          <t>sì/no</t>
        </is>
      </c>
      <c r="Q1149" s="57">
        <f>IF($A1149="","",$A1149&amp;"|"&amp;$C1149)</f>
        <v/>
      </c>
      <c r="R1149" s="57">
        <f>IF($A1149="","",$A1149&amp;"|"&amp;$C1149&amp;"|"&amp;$D1149)</f>
        <v/>
      </c>
      <c r="S1149" s="57">
        <f>IF($A1149="","",IFERROR(INDEX(Offerte!$D$2:$D$81,MATCH($Q1149,Offerte!$L$2:$L$81,0)),0))</f>
        <v/>
      </c>
      <c r="T1149" s="57">
        <f>IF($A1149="","",IFERROR(INDEX(Offerte!$G$2:$G$81,MATCH($Q1149,Offerte!$L$2:$L$81,0)),"NO"))</f>
        <v/>
      </c>
    </row>
    <row r="1150">
      <c r="A1150" s="48">
        <f>IF(Offerte!$A38="","",Offerte!$A38)</f>
        <v/>
      </c>
      <c r="B1150" s="48">
        <f>IF(Offerte!$A38="","",Offerte!$B38)</f>
        <v/>
      </c>
      <c r="C1150" s="48">
        <f>IF(Offerte!$A38="","",Offerte!$C38)</f>
        <v/>
      </c>
      <c r="D1150" s="48" t="inlineStr">
        <is>
          <t>G.4.1</t>
        </is>
      </c>
      <c r="E1150" s="48" t="inlineStr">
        <is>
          <t>G</t>
        </is>
      </c>
      <c r="F1150" s="48" t="inlineStr">
        <is>
          <t>D</t>
        </is>
      </c>
      <c r="G1150" s="48" t="inlineStr">
        <is>
          <t>discretionary</t>
        </is>
      </c>
      <c r="H1150" s="48" t="n">
        <v>2</v>
      </c>
      <c r="I1150" s="48" t="inlineStr">
        <is>
          <t>Qualità del piano di formazione del personale</t>
        </is>
      </c>
      <c r="J1150" s="73" t="n"/>
      <c r="K1150" s="73" t="n"/>
      <c r="L1150" s="73" t="n"/>
      <c r="M1150" s="73" t="n"/>
      <c r="N1150" s="57">
        <f>IF($A1150="","",MAX(0,MIN(1,IFERROR(VALUE($M1150),0))))</f>
        <v/>
      </c>
      <c r="O1150" s="57">
        <f>IF($A1150="",0,IF(OR($S1150&lt;&gt;1,COUNTA($J1150:$M1150)=0),0,IF(SUMPRODUCT(MAX(($C$5:$C$2484=$C1150)*($D$5:$D$2484=$D1150)*($S$5:$S$2484=1)*IFERROR($N$5:$N$2484*1,0)))&gt;0,ROUND($H1150*($N1150/SUMPRODUCT(MAX(($C$5:$C$2484=$C1150)*($D$5:$D$2484=$D1150)*($S$5:$S$2484=1)*IFERROR($N$5:$N$2484*1,0)))),4),0)))</f>
        <v/>
      </c>
      <c r="P1150" s="48" t="inlineStr">
        <is>
          <t>coeff.</t>
        </is>
      </c>
      <c r="Q1150" s="57">
        <f>IF($A1150="","",$A1150&amp;"|"&amp;$C1150)</f>
        <v/>
      </c>
      <c r="R1150" s="57">
        <f>IF($A1150="","",$A1150&amp;"|"&amp;$C1150&amp;"|"&amp;$D1150)</f>
        <v/>
      </c>
      <c r="S1150" s="57">
        <f>IF($A1150="","",IFERROR(INDEX(Offerte!$D$2:$D$81,MATCH($Q1150,Offerte!$L$2:$L$81,0)),0))</f>
        <v/>
      </c>
      <c r="T1150" s="57">
        <f>IF($A1150="","",IFERROR(INDEX(Offerte!$G$2:$G$81,MATCH($Q1150,Offerte!$L$2:$L$81,0)),"NO"))</f>
        <v/>
      </c>
    </row>
    <row r="1151">
      <c r="A1151" s="48">
        <f>IF(Offerte!$A38="","",Offerte!$A38)</f>
        <v/>
      </c>
      <c r="B1151" s="48">
        <f>IF(Offerte!$A38="","",Offerte!$B38)</f>
        <v/>
      </c>
      <c r="C1151" s="48">
        <f>IF(Offerte!$A38="","",Offerte!$C38)</f>
        <v/>
      </c>
      <c r="D1151" s="48" t="inlineStr">
        <is>
          <t>G.5.1</t>
        </is>
      </c>
      <c r="E1151" s="48" t="inlineStr">
        <is>
          <t>G</t>
        </is>
      </c>
      <c r="F1151" s="48" t="inlineStr">
        <is>
          <t>T</t>
        </is>
      </c>
      <c r="G1151" s="48" t="inlineStr">
        <is>
          <t>tabular</t>
        </is>
      </c>
      <c r="H1151" s="48" t="n">
        <v>1</v>
      </c>
      <c r="I1151" s="48" t="inlineStr">
        <is>
          <t>Impegno al mantenimento delle garanzie del contratto di secondo livello del gestore uscente</t>
        </is>
      </c>
      <c r="J1151" s="73" t="n"/>
      <c r="K1151" s="73" t="n"/>
      <c r="L1151" s="73" t="n"/>
      <c r="M1151" s="73" t="n"/>
      <c r="N1151" s="57">
        <f>IF($A1151="","",IF(IFERROR(VALUE($M1151),0)=1,1,0))</f>
        <v/>
      </c>
      <c r="O1151" s="57">
        <f>IF($A1151="",0,IF(OR($S1151&lt;&gt;1,COUNTA($J1151:$M1151)=0),0,IF($N1151=1,$H1151,0)))</f>
        <v/>
      </c>
      <c r="P1151" s="48" t="inlineStr">
        <is>
          <t>sì/no</t>
        </is>
      </c>
      <c r="Q1151" s="57">
        <f>IF($A1151="","",$A1151&amp;"|"&amp;$C1151)</f>
        <v/>
      </c>
      <c r="R1151" s="57">
        <f>IF($A1151="","",$A1151&amp;"|"&amp;$C1151&amp;"|"&amp;$D1151)</f>
        <v/>
      </c>
      <c r="S1151" s="57">
        <f>IF($A1151="","",IFERROR(INDEX(Offerte!$D$2:$D$81,MATCH($Q1151,Offerte!$L$2:$L$81,0)),0))</f>
        <v/>
      </c>
      <c r="T1151" s="57">
        <f>IF($A1151="","",IFERROR(INDEX(Offerte!$G$2:$G$81,MATCH($Q1151,Offerte!$L$2:$L$81,0)),"NO"))</f>
        <v/>
      </c>
    </row>
    <row r="1152">
      <c r="A1152" s="48">
        <f>IF(Offerte!$A39="","",Offerte!$A39)</f>
        <v/>
      </c>
      <c r="B1152" s="48">
        <f>IF(Offerte!$A39="","",Offerte!$B39)</f>
        <v/>
      </c>
      <c r="C1152" s="48">
        <f>IF(Offerte!$A39="","",Offerte!$C39)</f>
        <v/>
      </c>
      <c r="D1152" s="48" t="inlineStr">
        <is>
          <t>A.1.1</t>
        </is>
      </c>
      <c r="E1152" s="48" t="inlineStr">
        <is>
          <t>A</t>
        </is>
      </c>
      <c r="F1152" s="48" t="inlineStr">
        <is>
          <t>Q</t>
        </is>
      </c>
      <c r="G1152" s="48" t="inlineStr">
        <is>
          <t>higher</t>
        </is>
      </c>
      <c r="H1152" s="48" t="n">
        <v>3</v>
      </c>
      <c r="I1152" s="48" t="inlineStr">
        <is>
          <t>Tasso aggiuntivo di corse controllate</t>
        </is>
      </c>
      <c r="J1152" s="73" t="n"/>
      <c r="K1152" s="73" t="n"/>
      <c r="L1152" s="73" t="n"/>
      <c r="M1152" s="73" t="n"/>
      <c r="N1152" s="57">
        <f>IF($A1152="","",IFERROR(VALUE($K1152)/VALUE($L1152)*100,IFERROR(VALUE($J1152),0)))</f>
        <v/>
      </c>
      <c r="O1152" s="57">
        <f>IF($A1152="",0,IF(OR($S1152&lt;&gt;1,COUNTA($J1152:$M1152)=0),0,IF(SUMPRODUCT(MAX(($C$5:$C$2484=$C1152)*($D$5:$D$2484=$D1152)*($S$5:$S$2484=1)*IFERROR($N$5:$N$2484*1,0)))&gt;0,ROUND($H1152*($N1152/SUMPRODUCT(MAX(($C$5:$C$2484=$C1152)*($D$5:$D$2484=$D1152)*($S$5:$S$2484=1)*IFERROR($N$5:$N$2484*1,0)))),4),0)))</f>
        <v/>
      </c>
      <c r="P1152" s="48" t="inlineStr">
        <is>
          <t>Corse controllate annue / Corse programmate annue</t>
        </is>
      </c>
      <c r="Q1152" s="57">
        <f>IF($A1152="","",$A1152&amp;"|"&amp;$C1152)</f>
        <v/>
      </c>
      <c r="R1152" s="57">
        <f>IF($A1152="","",$A1152&amp;"|"&amp;$C1152&amp;"|"&amp;$D1152)</f>
        <v/>
      </c>
      <c r="S1152" s="57">
        <f>IF($A1152="","",IFERROR(INDEX(Offerte!$D$2:$D$81,MATCH($Q1152,Offerte!$L$2:$L$81,0)),0))</f>
        <v/>
      </c>
      <c r="T1152" s="57">
        <f>IF($A1152="","",IFERROR(INDEX(Offerte!$G$2:$G$81,MATCH($Q1152,Offerte!$L$2:$L$81,0)),"NO"))</f>
        <v/>
      </c>
    </row>
    <row r="1153">
      <c r="A1153" s="48">
        <f>IF(Offerte!$A39="","",Offerte!$A39)</f>
        <v/>
      </c>
      <c r="B1153" s="48">
        <f>IF(Offerte!$A39="","",Offerte!$B39)</f>
        <v/>
      </c>
      <c r="C1153" s="48">
        <f>IF(Offerte!$A39="","",Offerte!$C39)</f>
        <v/>
      </c>
      <c r="D1153" s="48" t="inlineStr">
        <is>
          <t>A.1.2</t>
        </is>
      </c>
      <c r="E1153" s="48" t="inlineStr">
        <is>
          <t>A</t>
        </is>
      </c>
      <c r="F1153" s="48" t="inlineStr">
        <is>
          <t>Q</t>
        </is>
      </c>
      <c r="G1153" s="48" t="inlineStr">
        <is>
          <t>higher</t>
        </is>
      </c>
      <c r="H1153" s="48" t="n">
        <v>4</v>
      </c>
      <c r="I1153" s="48" t="inlineStr">
        <is>
          <t>Numero aggiuntivo di passeggeri controllati</t>
        </is>
      </c>
      <c r="J1153" s="73" t="n"/>
      <c r="K1153" s="73" t="n"/>
      <c r="L1153" s="73" t="n"/>
      <c r="M1153" s="73" t="n"/>
      <c r="N1153" s="57">
        <f>IF($A1153="","",IFERROR(VALUE($J1153),0))</f>
        <v/>
      </c>
      <c r="O1153" s="57">
        <f>IF($A1153="",0,IF(OR($S1153&lt;&gt;1,COUNTA($J1153:$M1153)=0),0,IF(SUMPRODUCT(MAX(($C$5:$C$2484=$C1153)*($D$5:$D$2484=$D1153)*($S$5:$S$2484=1)*IFERROR($N$5:$N$2484*1,0)))&gt;0,ROUND($H1153*($N1153/SUMPRODUCT(MAX(($C$5:$C$2484=$C1153)*($D$5:$D$2484=$D1153)*($S$5:$S$2484=1)*IFERROR($N$5:$N$2484*1,0)))),4),0)))</f>
        <v/>
      </c>
      <c r="P1153" s="48" t="inlineStr">
        <is>
          <t>passeggeri/anno</t>
        </is>
      </c>
      <c r="Q1153" s="57">
        <f>IF($A1153="","",$A1153&amp;"|"&amp;$C1153)</f>
        <v/>
      </c>
      <c r="R1153" s="57">
        <f>IF($A1153="","",$A1153&amp;"|"&amp;$C1153&amp;"|"&amp;$D1153)</f>
        <v/>
      </c>
      <c r="S1153" s="57">
        <f>IF($A1153="","",IFERROR(INDEX(Offerte!$D$2:$D$81,MATCH($Q1153,Offerte!$L$2:$L$81,0)),0))</f>
        <v/>
      </c>
      <c r="T1153" s="57">
        <f>IF($A1153="","",IFERROR(INDEX(Offerte!$G$2:$G$81,MATCH($Q1153,Offerte!$L$2:$L$81,0)),"NO"))</f>
        <v/>
      </c>
    </row>
    <row r="1154">
      <c r="A1154" s="48">
        <f>IF(Offerte!$A39="","",Offerte!$A39)</f>
        <v/>
      </c>
      <c r="B1154" s="48">
        <f>IF(Offerte!$A39="","",Offerte!$B39)</f>
        <v/>
      </c>
      <c r="C1154" s="48">
        <f>IF(Offerte!$A39="","",Offerte!$C39)</f>
        <v/>
      </c>
      <c r="D1154" s="48" t="inlineStr">
        <is>
          <t>B.1.1</t>
        </is>
      </c>
      <c r="E1154" s="48" t="inlineStr">
        <is>
          <t>B</t>
        </is>
      </c>
      <c r="F1154" s="48" t="inlineStr">
        <is>
          <t>Q</t>
        </is>
      </c>
      <c r="G1154" s="48" t="inlineStr">
        <is>
          <t>higher</t>
        </is>
      </c>
      <c r="H1154" s="48" t="n">
        <v>3</v>
      </c>
      <c r="I1154" s="48" t="inlineStr">
        <is>
          <t>Incremento dei posti offerti nelle fasce di punta</t>
        </is>
      </c>
      <c r="J1154" s="73" t="n"/>
      <c r="K1154" s="73" t="n"/>
      <c r="L1154" s="73" t="n"/>
      <c r="M1154" s="73" t="n"/>
      <c r="N1154" s="57">
        <f>IF($A1154="","",IFERROR(VALUE($J1154),0))</f>
        <v/>
      </c>
      <c r="O1154" s="57">
        <f>IF($A1154="",0,IF(OR($S1154&lt;&gt;1,COUNTA($J1154:$M1154)=0),0,IF(SUMPRODUCT(MAX(($C$5:$C$2484=$C1154)*($D$5:$D$2484=$D1154)*($S$5:$S$2484=1)*IFERROR($N$5:$N$2484*1,0)))&gt;0,ROUND($H1154*($N1154/SUMPRODUCT(MAX(($C$5:$C$2484=$C1154)*($D$5:$D$2484=$D1154)*($S$5:$S$2484=1)*IFERROR($N$5:$N$2484*1,0)))),4),0)))</f>
        <v/>
      </c>
      <c r="P1154" s="48" t="inlineStr">
        <is>
          <t>posti*km</t>
        </is>
      </c>
      <c r="Q1154" s="57">
        <f>IF($A1154="","",$A1154&amp;"|"&amp;$C1154)</f>
        <v/>
      </c>
      <c r="R1154" s="57">
        <f>IF($A1154="","",$A1154&amp;"|"&amp;$C1154&amp;"|"&amp;$D1154)</f>
        <v/>
      </c>
      <c r="S1154" s="57">
        <f>IF($A1154="","",IFERROR(INDEX(Offerte!$D$2:$D$81,MATCH($Q1154,Offerte!$L$2:$L$81,0)),0))</f>
        <v/>
      </c>
      <c r="T1154" s="57">
        <f>IF($A1154="","",IFERROR(INDEX(Offerte!$G$2:$G$81,MATCH($Q1154,Offerte!$L$2:$L$81,0)),"NO"))</f>
        <v/>
      </c>
    </row>
    <row r="1155">
      <c r="A1155" s="48">
        <f>IF(Offerte!$A39="","",Offerte!$A39)</f>
        <v/>
      </c>
      <c r="B1155" s="48">
        <f>IF(Offerte!$A39="","",Offerte!$B39)</f>
        <v/>
      </c>
      <c r="C1155" s="48">
        <f>IF(Offerte!$A39="","",Offerte!$C39)</f>
        <v/>
      </c>
      <c r="D1155" s="48" t="inlineStr">
        <is>
          <t>B.2.1</t>
        </is>
      </c>
      <c r="E1155" s="48" t="inlineStr">
        <is>
          <t>B</t>
        </is>
      </c>
      <c r="F1155" s="48" t="inlineStr">
        <is>
          <t>Q</t>
        </is>
      </c>
      <c r="G1155" s="48" t="inlineStr">
        <is>
          <t>higher</t>
        </is>
      </c>
      <c r="H1155" s="48" t="n">
        <v>4</v>
      </c>
      <c r="I1155" s="48" t="inlineStr">
        <is>
          <t>Corse aggiuntive nell'arco giornaliero base</t>
        </is>
      </c>
      <c r="J1155" s="73" t="n"/>
      <c r="K1155" s="73" t="n"/>
      <c r="L1155" s="73" t="n"/>
      <c r="M1155" s="73" t="n"/>
      <c r="N1155" s="57">
        <f>IF($A1155="","",IFERROR(VALUE($J1155),0))</f>
        <v/>
      </c>
      <c r="O1155" s="57">
        <f>IF($A1155="",0,IF(OR($S1155&lt;&gt;1,COUNTA($J1155:$M1155)=0),0,IF(SUMPRODUCT(MAX(($C$5:$C$2484=$C1155)*($D$5:$D$2484=$D1155)*($S$5:$S$2484=1)*IFERROR($N$5:$N$2484*1,0)))&gt;0,ROUND($H1155*($N1155/SUMPRODUCT(MAX(($C$5:$C$2484=$C1155)*($D$5:$D$2484=$D1155)*($S$5:$S$2484=1)*IFERROR($N$5:$N$2484*1,0)))),4),0)))</f>
        <v/>
      </c>
      <c r="P1155" s="48" t="inlineStr">
        <is>
          <t>corse</t>
        </is>
      </c>
      <c r="Q1155" s="57">
        <f>IF($A1155="","",$A1155&amp;"|"&amp;$C1155)</f>
        <v/>
      </c>
      <c r="R1155" s="57">
        <f>IF($A1155="","",$A1155&amp;"|"&amp;$C1155&amp;"|"&amp;$D1155)</f>
        <v/>
      </c>
      <c r="S1155" s="57">
        <f>IF($A1155="","",IFERROR(INDEX(Offerte!$D$2:$D$81,MATCH($Q1155,Offerte!$L$2:$L$81,0)),0))</f>
        <v/>
      </c>
      <c r="T1155" s="57">
        <f>IF($A1155="","",IFERROR(INDEX(Offerte!$G$2:$G$81,MATCH($Q1155,Offerte!$L$2:$L$81,0)),"NO"))</f>
        <v/>
      </c>
    </row>
    <row r="1156">
      <c r="A1156" s="48">
        <f>IF(Offerte!$A39="","",Offerte!$A39)</f>
        <v/>
      </c>
      <c r="B1156" s="48">
        <f>IF(Offerte!$A39="","",Offerte!$B39)</f>
        <v/>
      </c>
      <c r="C1156" s="48">
        <f>IF(Offerte!$A39="","",Offerte!$C39)</f>
        <v/>
      </c>
      <c r="D1156" s="48" t="inlineStr">
        <is>
          <t>B.3.1</t>
        </is>
      </c>
      <c r="E1156" s="48" t="inlineStr">
        <is>
          <t>B</t>
        </is>
      </c>
      <c r="F1156" s="48" t="inlineStr">
        <is>
          <t>Q</t>
        </is>
      </c>
      <c r="G1156" s="48" t="inlineStr">
        <is>
          <t>higher</t>
        </is>
      </c>
      <c r="H1156" s="48" t="n">
        <v>2</v>
      </c>
      <c r="I1156" s="48" t="inlineStr">
        <is>
          <t>Numero di corse aggiuntive per allungamento dell'arco di servizio giornaliero nelle fasce serali</t>
        </is>
      </c>
      <c r="J1156" s="73" t="n"/>
      <c r="K1156" s="73" t="n"/>
      <c r="L1156" s="73" t="n"/>
      <c r="M1156" s="73" t="n"/>
      <c r="N1156" s="57">
        <f>IF($A1156="","",IFERROR(VALUE($J1156),0))</f>
        <v/>
      </c>
      <c r="O1156" s="57">
        <f>IF($A1156="",0,IF(OR($S1156&lt;&gt;1,COUNTA($J1156:$M1156)=0),0,IF(SUMPRODUCT(MAX(($C$5:$C$2484=$C1156)*($D$5:$D$2484=$D1156)*($S$5:$S$2484=1)*IFERROR($N$5:$N$2484*1,0)))&gt;0,ROUND($H1156*($N1156/SUMPRODUCT(MAX(($C$5:$C$2484=$C1156)*($D$5:$D$2484=$D1156)*($S$5:$S$2484=1)*IFERROR($N$5:$N$2484*1,0)))),4),0)))</f>
        <v/>
      </c>
      <c r="P1156" s="48" t="inlineStr">
        <is>
          <t>corse</t>
        </is>
      </c>
      <c r="Q1156" s="57">
        <f>IF($A1156="","",$A1156&amp;"|"&amp;$C1156)</f>
        <v/>
      </c>
      <c r="R1156" s="57">
        <f>IF($A1156="","",$A1156&amp;"|"&amp;$C1156&amp;"|"&amp;$D1156)</f>
        <v/>
      </c>
      <c r="S1156" s="57">
        <f>IF($A1156="","",IFERROR(INDEX(Offerte!$D$2:$D$81,MATCH($Q1156,Offerte!$L$2:$L$81,0)),0))</f>
        <v/>
      </c>
      <c r="T1156" s="57">
        <f>IF($A1156="","",IFERROR(INDEX(Offerte!$G$2:$G$81,MATCH($Q1156,Offerte!$L$2:$L$81,0)),"NO"))</f>
        <v/>
      </c>
    </row>
    <row r="1157">
      <c r="A1157" s="48">
        <f>IF(Offerte!$A39="","",Offerte!$A39)</f>
        <v/>
      </c>
      <c r="B1157" s="48">
        <f>IF(Offerte!$A39="","",Offerte!$B39)</f>
        <v/>
      </c>
      <c r="C1157" s="48">
        <f>IF(Offerte!$A39="","",Offerte!$C39)</f>
        <v/>
      </c>
      <c r="D1157" s="48" t="inlineStr">
        <is>
          <t>B.4.1</t>
        </is>
      </c>
      <c r="E1157" s="48" t="inlineStr">
        <is>
          <t>B</t>
        </is>
      </c>
      <c r="F1157" s="48" t="inlineStr">
        <is>
          <t>Q</t>
        </is>
      </c>
      <c r="G1157" s="48" t="inlineStr">
        <is>
          <t>higher</t>
        </is>
      </c>
      <c r="H1157" s="48" t="n">
        <v>3</v>
      </c>
      <c r="I1157" s="48" t="inlineStr">
        <is>
          <t>Percorrenze aggiuntive offerte nel Programma d'esercizio delle prime due fasi attuative</t>
        </is>
      </c>
      <c r="J1157" s="73" t="n"/>
      <c r="K1157" s="73" t="n"/>
      <c r="L1157" s="73" t="n"/>
      <c r="M1157" s="73" t="n"/>
      <c r="N1157" s="57">
        <f>IF($A1157="","",IFERROR(VALUE($J1157),0))</f>
        <v/>
      </c>
      <c r="O1157" s="57">
        <f>IF($A1157="",0,IF(OR($S1157&lt;&gt;1,COUNTA($J1157:$M1157)=0),0,IF(SUMPRODUCT(MAX(($C$5:$C$2484=$C1157)*($D$5:$D$2484=$D1157)*($S$5:$S$2484=1)*IFERROR($N$5:$N$2484*1,0)))&gt;0,ROUND($H1157*($N1157/SUMPRODUCT(MAX(($C$5:$C$2484=$C1157)*($D$5:$D$2484=$D1157)*($S$5:$S$2484=1)*IFERROR($N$5:$N$2484*1,0)))),4),0)))</f>
        <v/>
      </c>
      <c r="P1157" s="48" t="inlineStr">
        <is>
          <t>vett*km</t>
        </is>
      </c>
      <c r="Q1157" s="57">
        <f>IF($A1157="","",$A1157&amp;"|"&amp;$C1157)</f>
        <v/>
      </c>
      <c r="R1157" s="57">
        <f>IF($A1157="","",$A1157&amp;"|"&amp;$C1157&amp;"|"&amp;$D1157)</f>
        <v/>
      </c>
      <c r="S1157" s="57">
        <f>IF($A1157="","",IFERROR(INDEX(Offerte!$D$2:$D$81,MATCH($Q1157,Offerte!$L$2:$L$81,0)),0))</f>
        <v/>
      </c>
      <c r="T1157" s="57">
        <f>IF($A1157="","",IFERROR(INDEX(Offerte!$G$2:$G$81,MATCH($Q1157,Offerte!$L$2:$L$81,0)),"NO"))</f>
        <v/>
      </c>
    </row>
    <row r="1158">
      <c r="A1158" s="48">
        <f>IF(Offerte!$A39="","",Offerte!$A39)</f>
        <v/>
      </c>
      <c r="B1158" s="48">
        <f>IF(Offerte!$A39="","",Offerte!$B39)</f>
        <v/>
      </c>
      <c r="C1158" s="48">
        <f>IF(Offerte!$A39="","",Offerte!$C39)</f>
        <v/>
      </c>
      <c r="D1158" s="48" t="inlineStr">
        <is>
          <t>B.5.1</t>
        </is>
      </c>
      <c r="E1158" s="48" t="inlineStr">
        <is>
          <t>B</t>
        </is>
      </c>
      <c r="F1158" s="48" t="inlineStr">
        <is>
          <t>D</t>
        </is>
      </c>
      <c r="G1158" s="48" t="inlineStr">
        <is>
          <t>discretionary</t>
        </is>
      </c>
      <c r="H1158" s="48" t="n">
        <v>2</v>
      </c>
      <c r="I1158" s="48" t="inlineStr">
        <is>
          <t>Efficacia del progetto di servizi complementari DRT</t>
        </is>
      </c>
      <c r="J1158" s="73" t="n"/>
      <c r="K1158" s="73" t="n"/>
      <c r="L1158" s="73" t="n"/>
      <c r="M1158" s="73" t="n"/>
      <c r="N1158" s="57">
        <f>IF($A1158="","",MAX(0,MIN(1,IFERROR(VALUE($M1158),0))))</f>
        <v/>
      </c>
      <c r="O1158" s="57">
        <f>IF($A1158="",0,IF(OR($S1158&lt;&gt;1,COUNTA($J1158:$M1158)=0),0,IF(SUMPRODUCT(MAX(($C$5:$C$2484=$C1158)*($D$5:$D$2484=$D1158)*($S$5:$S$2484=1)*IFERROR($N$5:$N$2484*1,0)))&gt;0,ROUND($H1158*($N1158/SUMPRODUCT(MAX(($C$5:$C$2484=$C1158)*($D$5:$D$2484=$D1158)*($S$5:$S$2484=1)*IFERROR($N$5:$N$2484*1,0)))),4),0)))</f>
        <v/>
      </c>
      <c r="P1158" s="48" t="inlineStr">
        <is>
          <t>coeff.</t>
        </is>
      </c>
      <c r="Q1158" s="57">
        <f>IF($A1158="","",$A1158&amp;"|"&amp;$C1158)</f>
        <v/>
      </c>
      <c r="R1158" s="57">
        <f>IF($A1158="","",$A1158&amp;"|"&amp;$C1158&amp;"|"&amp;$D1158)</f>
        <v/>
      </c>
      <c r="S1158" s="57">
        <f>IF($A1158="","",IFERROR(INDEX(Offerte!$D$2:$D$81,MATCH($Q1158,Offerte!$L$2:$L$81,0)),0))</f>
        <v/>
      </c>
      <c r="T1158" s="57">
        <f>IF($A1158="","",IFERROR(INDEX(Offerte!$G$2:$G$81,MATCH($Q1158,Offerte!$L$2:$L$81,0)),"NO"))</f>
        <v/>
      </c>
    </row>
    <row r="1159">
      <c r="A1159" s="48">
        <f>IF(Offerte!$A39="","",Offerte!$A39)</f>
        <v/>
      </c>
      <c r="B1159" s="48">
        <f>IF(Offerte!$A39="","",Offerte!$B39)</f>
        <v/>
      </c>
      <c r="C1159" s="48">
        <f>IF(Offerte!$A39="","",Offerte!$C39)</f>
        <v/>
      </c>
      <c r="D1159" s="48" t="inlineStr">
        <is>
          <t>C.1.1</t>
        </is>
      </c>
      <c r="E1159" s="48" t="inlineStr">
        <is>
          <t>C</t>
        </is>
      </c>
      <c r="F1159" s="48" t="inlineStr">
        <is>
          <t>Q</t>
        </is>
      </c>
      <c r="G1159" s="48" t="inlineStr">
        <is>
          <t>higher</t>
        </is>
      </c>
      <c r="H1159" s="48" t="n">
        <v>2</v>
      </c>
      <c r="I1159" s="48" t="inlineStr">
        <is>
          <t>Tasso di copertura del servizio con telecamere BSD</t>
        </is>
      </c>
      <c r="J1159" s="73" t="n"/>
      <c r="K1159" s="73" t="n"/>
      <c r="L1159" s="73" t="n"/>
      <c r="M1159" s="73" t="n"/>
      <c r="N1159" s="57">
        <f>IF($A1159="","",IFERROR(VALUE($K1159)/VALUE($L1159),IFERROR(VALUE($J1159),0)))</f>
        <v/>
      </c>
      <c r="O1159" s="57">
        <f>IF($A1159="",0,IF(OR($S1159&lt;&gt;1,COUNTA($J1159:$M1159)=0),0,IF(SUMPRODUCT(MAX(($C$5:$C$2484=$C1159)*($D$5:$D$2484=$D1159)*($S$5:$S$2484=1)*IFERROR($N$5:$N$2484*1,0)))&gt;0,ROUND($H1159*($N1159/SUMPRODUCT(MAX(($C$5:$C$2484=$C1159)*($D$5:$D$2484=$D1159)*($S$5:$S$2484=1)*IFERROR($N$5:$N$2484*1,0)))),4),0)))</f>
        <v/>
      </c>
      <c r="P1159" s="48" t="inlineStr">
        <is>
          <t>Autobus attrezzati con telecamere BSD / Autobus totali in offerta, incluse scorte</t>
        </is>
      </c>
      <c r="Q1159" s="57">
        <f>IF($A1159="","",$A1159&amp;"|"&amp;$C1159)</f>
        <v/>
      </c>
      <c r="R1159" s="57">
        <f>IF($A1159="","",$A1159&amp;"|"&amp;$C1159&amp;"|"&amp;$D1159)</f>
        <v/>
      </c>
      <c r="S1159" s="57">
        <f>IF($A1159="","",IFERROR(INDEX(Offerte!$D$2:$D$81,MATCH($Q1159,Offerte!$L$2:$L$81,0)),0))</f>
        <v/>
      </c>
      <c r="T1159" s="57">
        <f>IF($A1159="","",IFERROR(INDEX(Offerte!$G$2:$G$81,MATCH($Q1159,Offerte!$L$2:$L$81,0)),"NO"))</f>
        <v/>
      </c>
    </row>
    <row r="1160">
      <c r="A1160" s="48">
        <f>IF(Offerte!$A39="","",Offerte!$A39)</f>
        <v/>
      </c>
      <c r="B1160" s="48">
        <f>IF(Offerte!$A39="","",Offerte!$B39)</f>
        <v/>
      </c>
      <c r="C1160" s="48">
        <f>IF(Offerte!$A39="","",Offerte!$C39)</f>
        <v/>
      </c>
      <c r="D1160" s="48" t="inlineStr">
        <is>
          <t>C.1.2</t>
        </is>
      </c>
      <c r="E1160" s="48" t="inlineStr">
        <is>
          <t>C</t>
        </is>
      </c>
      <c r="F1160" s="48" t="inlineStr">
        <is>
          <t>Q</t>
        </is>
      </c>
      <c r="G1160" s="48" t="inlineStr">
        <is>
          <t>higher</t>
        </is>
      </c>
      <c r="H1160" s="48" t="n">
        <v>2</v>
      </c>
      <c r="I1160" s="48" t="inlineStr">
        <is>
          <t>Tasso di copertura del servizio con telecamere ADAS</t>
        </is>
      </c>
      <c r="J1160" s="73" t="n"/>
      <c r="K1160" s="73" t="n"/>
      <c r="L1160" s="73" t="n"/>
      <c r="M1160" s="73" t="n"/>
      <c r="N1160" s="57">
        <f>IF($A1160="","",IFERROR(VALUE($K1160)/VALUE($L1160),IFERROR(VALUE($J1160),0)))</f>
        <v/>
      </c>
      <c r="O1160" s="57">
        <f>IF($A1160="",0,IF(OR($S1160&lt;&gt;1,COUNTA($J1160:$M1160)=0),0,IF(SUMPRODUCT(MAX(($C$5:$C$2484=$C1160)*($D$5:$D$2484=$D1160)*($S$5:$S$2484=1)*IFERROR($N$5:$N$2484*1,0)))&gt;0,ROUND($H1160*($N1160/SUMPRODUCT(MAX(($C$5:$C$2484=$C1160)*($D$5:$D$2484=$D1160)*($S$5:$S$2484=1)*IFERROR($N$5:$N$2484*1,0)))),4),0)))</f>
        <v/>
      </c>
      <c r="P1160" s="48" t="inlineStr">
        <is>
          <t>Autobus attrezzati con telecamere ADAS / Autobus totali in offerta, incluse scorte</t>
        </is>
      </c>
      <c r="Q1160" s="57">
        <f>IF($A1160="","",$A1160&amp;"|"&amp;$C1160)</f>
        <v/>
      </c>
      <c r="R1160" s="57">
        <f>IF($A1160="","",$A1160&amp;"|"&amp;$C1160&amp;"|"&amp;$D1160)</f>
        <v/>
      </c>
      <c r="S1160" s="57">
        <f>IF($A1160="","",IFERROR(INDEX(Offerte!$D$2:$D$81,MATCH($Q1160,Offerte!$L$2:$L$81,0)),0))</f>
        <v/>
      </c>
      <c r="T1160" s="57">
        <f>IF($A1160="","",IFERROR(INDEX(Offerte!$G$2:$G$81,MATCH($Q1160,Offerte!$L$2:$L$81,0)),"NO"))</f>
        <v/>
      </c>
    </row>
    <row r="1161">
      <c r="A1161" s="48">
        <f>IF(Offerte!$A39="","",Offerte!$A39)</f>
        <v/>
      </c>
      <c r="B1161" s="48">
        <f>IF(Offerte!$A39="","",Offerte!$B39)</f>
        <v/>
      </c>
      <c r="C1161" s="48">
        <f>IF(Offerte!$A39="","",Offerte!$C39)</f>
        <v/>
      </c>
      <c r="D1161" s="48" t="inlineStr">
        <is>
          <t>C.2.1</t>
        </is>
      </c>
      <c r="E1161" s="48" t="inlineStr">
        <is>
          <t>C</t>
        </is>
      </c>
      <c r="F1161" s="48" t="inlineStr">
        <is>
          <t>Q</t>
        </is>
      </c>
      <c r="G1161" s="48" t="inlineStr">
        <is>
          <t>higher</t>
        </is>
      </c>
      <c r="H1161" s="48" t="n">
        <v>3</v>
      </c>
      <c r="I1161" s="48" t="inlineStr">
        <is>
          <t>Tasso di copertura del servizio con telecamere di bordo di videosorveglianza</t>
        </is>
      </c>
      <c r="J1161" s="73" t="n"/>
      <c r="K1161" s="73" t="n"/>
      <c r="L1161" s="73" t="n"/>
      <c r="M1161" s="73" t="n"/>
      <c r="N1161" s="57">
        <f>IF($A1161="","",IFERROR(VALUE($K1161)/VALUE($L1161),IFERROR(VALUE($J1161),0)))</f>
        <v/>
      </c>
      <c r="O1161" s="57">
        <f>IF($A1161="",0,IF(OR($S1161&lt;&gt;1,COUNTA($J1161:$M1161)=0),0,IF(SUMPRODUCT(MAX(($C$5:$C$2484=$C1161)*($D$5:$D$2484=$D1161)*($S$5:$S$2484=1)*IFERROR($N$5:$N$2484*1,0)))&gt;0,ROUND($H1161*($N1161/SUMPRODUCT(MAX(($C$5:$C$2484=$C1161)*($D$5:$D$2484=$D1161)*($S$5:$S$2484=1)*IFERROR($N$5:$N$2484*1,0)))),4),0)))</f>
        <v/>
      </c>
      <c r="P1161" s="48" t="inlineStr">
        <is>
          <t>Autobus attrezzati con videosorveglianza / Autobus totali in offerta, incluse scorte</t>
        </is>
      </c>
      <c r="Q1161" s="57">
        <f>IF($A1161="","",$A1161&amp;"|"&amp;$C1161)</f>
        <v/>
      </c>
      <c r="R1161" s="57">
        <f>IF($A1161="","",$A1161&amp;"|"&amp;$C1161&amp;"|"&amp;$D1161)</f>
        <v/>
      </c>
      <c r="S1161" s="57">
        <f>IF($A1161="","",IFERROR(INDEX(Offerte!$D$2:$D$81,MATCH($Q1161,Offerte!$L$2:$L$81,0)),0))</f>
        <v/>
      </c>
      <c r="T1161" s="57">
        <f>IF($A1161="","",IFERROR(INDEX(Offerte!$G$2:$G$81,MATCH($Q1161,Offerte!$L$2:$L$81,0)),"NO"))</f>
        <v/>
      </c>
    </row>
    <row r="1162">
      <c r="A1162" s="48">
        <f>IF(Offerte!$A39="","",Offerte!$A39)</f>
        <v/>
      </c>
      <c r="B1162" s="48">
        <f>IF(Offerte!$A39="","",Offerte!$B39)</f>
        <v/>
      </c>
      <c r="C1162" s="48">
        <f>IF(Offerte!$A39="","",Offerte!$C39)</f>
        <v/>
      </c>
      <c r="D1162" s="48" t="inlineStr">
        <is>
          <t>C.2.2</t>
        </is>
      </c>
      <c r="E1162" s="48" t="inlineStr">
        <is>
          <t>C</t>
        </is>
      </c>
      <c r="F1162" s="48" t="inlineStr">
        <is>
          <t>T</t>
        </is>
      </c>
      <c r="G1162" s="48" t="inlineStr">
        <is>
          <t>tabular</t>
        </is>
      </c>
      <c r="H1162" s="48" t="n">
        <v>1</v>
      </c>
      <c r="I1162" s="48" t="inlineStr">
        <is>
          <t>Software video/audio analisi per situazioni di pericolo</t>
        </is>
      </c>
      <c r="J1162" s="73" t="n"/>
      <c r="K1162" s="73" t="n"/>
      <c r="L1162" s="73" t="n"/>
      <c r="M1162" s="73" t="n"/>
      <c r="N1162" s="57">
        <f>IF($A1162="","",IF(IFERROR(VALUE($M1162),0)=1,1,0))</f>
        <v/>
      </c>
      <c r="O1162" s="57">
        <f>IF($A1162="",0,IF(OR($S1162&lt;&gt;1,COUNTA($J1162:$M1162)=0),0,IF($N1162=1,$H1162,0)))</f>
        <v/>
      </c>
      <c r="P1162" s="48" t="inlineStr">
        <is>
          <t>sì/no</t>
        </is>
      </c>
      <c r="Q1162" s="57">
        <f>IF($A1162="","",$A1162&amp;"|"&amp;$C1162)</f>
        <v/>
      </c>
      <c r="R1162" s="57">
        <f>IF($A1162="","",$A1162&amp;"|"&amp;$C1162&amp;"|"&amp;$D1162)</f>
        <v/>
      </c>
      <c r="S1162" s="57">
        <f>IF($A1162="","",IFERROR(INDEX(Offerte!$D$2:$D$81,MATCH($Q1162,Offerte!$L$2:$L$81,0)),0))</f>
        <v/>
      </c>
      <c r="T1162" s="57">
        <f>IF($A1162="","",IFERROR(INDEX(Offerte!$G$2:$G$81,MATCH($Q1162,Offerte!$L$2:$L$81,0)),"NO"))</f>
        <v/>
      </c>
    </row>
    <row r="1163">
      <c r="A1163" s="48">
        <f>IF(Offerte!$A39="","",Offerte!$A39)</f>
        <v/>
      </c>
      <c r="B1163" s="48">
        <f>IF(Offerte!$A39="","",Offerte!$B39)</f>
        <v/>
      </c>
      <c r="C1163" s="48">
        <f>IF(Offerte!$A39="","",Offerte!$C39)</f>
        <v/>
      </c>
      <c r="D1163" s="48" t="inlineStr">
        <is>
          <t>C.2.3</t>
        </is>
      </c>
      <c r="E1163" s="48" t="inlineStr">
        <is>
          <t>C</t>
        </is>
      </c>
      <c r="F1163" s="48" t="inlineStr">
        <is>
          <t>T</t>
        </is>
      </c>
      <c r="G1163" s="48" t="inlineStr">
        <is>
          <t>tabular</t>
        </is>
      </c>
      <c r="H1163" s="48" t="n">
        <v>1</v>
      </c>
      <c r="I1163" s="48" t="inlineStr">
        <is>
          <t>Collegamento con centrale qualificata di pronto intervento</t>
        </is>
      </c>
      <c r="J1163" s="73" t="n"/>
      <c r="K1163" s="73" t="n"/>
      <c r="L1163" s="73" t="n"/>
      <c r="M1163" s="73" t="n"/>
      <c r="N1163" s="57">
        <f>IF($A1163="","",IF(IFERROR(VALUE($M1163),0)=1,1,0))</f>
        <v/>
      </c>
      <c r="O1163" s="57">
        <f>IF($A1163="",0,IF(OR($S1163&lt;&gt;1,COUNTA($J1163:$M1163)=0),0,IF($N1163=1,$H1163,0)))</f>
        <v/>
      </c>
      <c r="P1163" s="48" t="inlineStr">
        <is>
          <t>sì/no</t>
        </is>
      </c>
      <c r="Q1163" s="57">
        <f>IF($A1163="","",$A1163&amp;"|"&amp;$C1163)</f>
        <v/>
      </c>
      <c r="R1163" s="57">
        <f>IF($A1163="","",$A1163&amp;"|"&amp;$C1163&amp;"|"&amp;$D1163)</f>
        <v/>
      </c>
      <c r="S1163" s="57">
        <f>IF($A1163="","",IFERROR(INDEX(Offerte!$D$2:$D$81,MATCH($Q1163,Offerte!$L$2:$L$81,0)),0))</f>
        <v/>
      </c>
      <c r="T1163" s="57">
        <f>IF($A1163="","",IFERROR(INDEX(Offerte!$G$2:$G$81,MATCH($Q1163,Offerte!$L$2:$L$81,0)),"NO"))</f>
        <v/>
      </c>
    </row>
    <row r="1164">
      <c r="A1164" s="48">
        <f>IF(Offerte!$A39="","",Offerte!$A39)</f>
        <v/>
      </c>
      <c r="B1164" s="48">
        <f>IF(Offerte!$A39="","",Offerte!$B39)</f>
        <v/>
      </c>
      <c r="C1164" s="48">
        <f>IF(Offerte!$A39="","",Offerte!$C39)</f>
        <v/>
      </c>
      <c r="D1164" s="48" t="inlineStr">
        <is>
          <t>C.2.4</t>
        </is>
      </c>
      <c r="E1164" s="48" t="inlineStr">
        <is>
          <t>C</t>
        </is>
      </c>
      <c r="F1164" s="48" t="inlineStr">
        <is>
          <t>Q</t>
        </is>
      </c>
      <c r="G1164" s="48" t="inlineStr">
        <is>
          <t>higher</t>
        </is>
      </c>
      <c r="H1164" s="48" t="n">
        <v>1</v>
      </c>
      <c r="I1164" s="48" t="inlineStr">
        <is>
          <t>Tasso di copertura del servizio con dispositivi per la chiamata di emergenza del conducente</t>
        </is>
      </c>
      <c r="J1164" s="73" t="n"/>
      <c r="K1164" s="73" t="n"/>
      <c r="L1164" s="73" t="n"/>
      <c r="M1164" s="73" t="n"/>
      <c r="N1164" s="57">
        <f>IF($A1164="","",IFERROR(VALUE($K1164)/VALUE($L1164),IFERROR(VALUE($J1164),0)))</f>
        <v/>
      </c>
      <c r="O1164" s="57">
        <f>IF($A1164="",0,IF(OR($S1164&lt;&gt;1,COUNTA($J1164:$M1164)=0),0,IF(SUMPRODUCT(MAX(($C$5:$C$2484=$C1164)*($D$5:$D$2484=$D1164)*($S$5:$S$2484=1)*IFERROR($N$5:$N$2484*1,0)))&gt;0,ROUND($H1164*($N1164/SUMPRODUCT(MAX(($C$5:$C$2484=$C1164)*($D$5:$D$2484=$D1164)*($S$5:$S$2484=1)*IFERROR($N$5:$N$2484*1,0)))),4),0)))</f>
        <v/>
      </c>
      <c r="P1164" s="48" t="inlineStr">
        <is>
          <t>Autobus attrezzati con chiamata di emergenza / Autobus totali in offerta, incluse scorte</t>
        </is>
      </c>
      <c r="Q1164" s="57">
        <f>IF($A1164="","",$A1164&amp;"|"&amp;$C1164)</f>
        <v/>
      </c>
      <c r="R1164" s="57">
        <f>IF($A1164="","",$A1164&amp;"|"&amp;$C1164&amp;"|"&amp;$D1164)</f>
        <v/>
      </c>
      <c r="S1164" s="57">
        <f>IF($A1164="","",IFERROR(INDEX(Offerte!$D$2:$D$81,MATCH($Q1164,Offerte!$L$2:$L$81,0)),0))</f>
        <v/>
      </c>
      <c r="T1164" s="57">
        <f>IF($A1164="","",IFERROR(INDEX(Offerte!$G$2:$G$81,MATCH($Q1164,Offerte!$L$2:$L$81,0)),"NO"))</f>
        <v/>
      </c>
    </row>
    <row r="1165">
      <c r="A1165" s="48">
        <f>IF(Offerte!$A39="","",Offerte!$A39)</f>
        <v/>
      </c>
      <c r="B1165" s="48">
        <f>IF(Offerte!$A39="","",Offerte!$B39)</f>
        <v/>
      </c>
      <c r="C1165" s="48">
        <f>IF(Offerte!$A39="","",Offerte!$C39)</f>
        <v/>
      </c>
      <c r="D1165" s="48" t="inlineStr">
        <is>
          <t>C.3.1</t>
        </is>
      </c>
      <c r="E1165" s="48" t="inlineStr">
        <is>
          <t>C</t>
        </is>
      </c>
      <c r="F1165" s="48" t="inlineStr">
        <is>
          <t>Q</t>
        </is>
      </c>
      <c r="G1165" s="48" t="inlineStr">
        <is>
          <t>higher</t>
        </is>
      </c>
      <c r="H1165" s="48" t="n">
        <v>2</v>
      </c>
      <c r="I1165" s="48" t="inlineStr">
        <is>
          <t>Tasso di copertura del servizio con dispositivi di informazione dinamica a bordo mezzo</t>
        </is>
      </c>
      <c r="J1165" s="73" t="n"/>
      <c r="K1165" s="73" t="n"/>
      <c r="L1165" s="73" t="n"/>
      <c r="M1165" s="73" t="n"/>
      <c r="N1165" s="57">
        <f>IF($A1165="","",IFERROR(VALUE($K1165)/VALUE($L1165),IFERROR(VALUE($J1165),0)))</f>
        <v/>
      </c>
      <c r="O1165" s="57">
        <f>IF($A1165="",0,IF(OR($S1165&lt;&gt;1,COUNTA($J1165:$M1165)=0),0,IF(SUMPRODUCT(MAX(($C$5:$C$2484=$C1165)*($D$5:$D$2484=$D1165)*($S$5:$S$2484=1)*IFERROR($N$5:$N$2484*1,0)))&gt;0,ROUND($H1165*($N1165/SUMPRODUCT(MAX(($C$5:$C$2484=$C1165)*($D$5:$D$2484=$D1165)*($S$5:$S$2484=1)*IFERROR($N$5:$N$2484*1,0)))),4),0)))</f>
        <v/>
      </c>
      <c r="P1165" s="48" t="inlineStr">
        <is>
          <t>Autobus con monitor e indicatori vocali / Autobus totali in offerta, incluse scorte</t>
        </is>
      </c>
      <c r="Q1165" s="57">
        <f>IF($A1165="","",$A1165&amp;"|"&amp;$C1165)</f>
        <v/>
      </c>
      <c r="R1165" s="57">
        <f>IF($A1165="","",$A1165&amp;"|"&amp;$C1165&amp;"|"&amp;$D1165)</f>
        <v/>
      </c>
      <c r="S1165" s="57">
        <f>IF($A1165="","",IFERROR(INDEX(Offerte!$D$2:$D$81,MATCH($Q1165,Offerte!$L$2:$L$81,0)),0))</f>
        <v/>
      </c>
      <c r="T1165" s="57">
        <f>IF($A1165="","",IFERROR(INDEX(Offerte!$G$2:$G$81,MATCH($Q1165,Offerte!$L$2:$L$81,0)),"NO"))</f>
        <v/>
      </c>
    </row>
    <row r="1166">
      <c r="A1166" s="48">
        <f>IF(Offerte!$A39="","",Offerte!$A39)</f>
        <v/>
      </c>
      <c r="B1166" s="48">
        <f>IF(Offerte!$A39="","",Offerte!$B39)</f>
        <v/>
      </c>
      <c r="C1166" s="48">
        <f>IF(Offerte!$A39="","",Offerte!$C39)</f>
        <v/>
      </c>
      <c r="D1166" s="48" t="inlineStr">
        <is>
          <t>C.3.2</t>
        </is>
      </c>
      <c r="E1166" s="48" t="inlineStr">
        <is>
          <t>C</t>
        </is>
      </c>
      <c r="F1166" s="48" t="inlineStr">
        <is>
          <t>T</t>
        </is>
      </c>
      <c r="G1166" s="48" t="inlineStr">
        <is>
          <t>tabular</t>
        </is>
      </c>
      <c r="H1166" s="48" t="n">
        <v>2</v>
      </c>
      <c r="I1166" s="48" t="inlineStr">
        <is>
          <t>Informazioni a bordo su coincidenze ai nodi</t>
        </is>
      </c>
      <c r="J1166" s="73" t="n"/>
      <c r="K1166" s="73" t="n"/>
      <c r="L1166" s="73" t="n"/>
      <c r="M1166" s="73" t="n"/>
      <c r="N1166" s="57">
        <f>IF($A1166="","",IF(IFERROR(VALUE($M1166),0)=1,1,0))</f>
        <v/>
      </c>
      <c r="O1166" s="57">
        <f>IF($A1166="",0,IF(OR($S1166&lt;&gt;1,COUNTA($J1166:$M1166)=0),0,IF(AND($N1166=1,IFERROR(SUMIFS($N$5:$N$2484,$Q$5:$Q$2484,$Q1166,$D$5:$D$2484,"C.3.1"),0)&gt;=0.5),$H1166,0)))</f>
        <v/>
      </c>
      <c r="P1166" s="48" t="inlineStr">
        <is>
          <t>Dipende da C.3.1 &gt;= 0.5</t>
        </is>
      </c>
      <c r="Q1166" s="57">
        <f>IF($A1166="","",$A1166&amp;"|"&amp;$C1166)</f>
        <v/>
      </c>
      <c r="R1166" s="57">
        <f>IF($A1166="","",$A1166&amp;"|"&amp;$C1166&amp;"|"&amp;$D1166)</f>
        <v/>
      </c>
      <c r="S1166" s="57">
        <f>IF($A1166="","",IFERROR(INDEX(Offerte!$D$2:$D$81,MATCH($Q1166,Offerte!$L$2:$L$81,0)),0))</f>
        <v/>
      </c>
      <c r="T1166" s="57">
        <f>IF($A1166="","",IFERROR(INDEX(Offerte!$G$2:$G$81,MATCH($Q1166,Offerte!$L$2:$L$81,0)),"NO"))</f>
        <v/>
      </c>
    </row>
    <row r="1167">
      <c r="A1167" s="48">
        <f>IF(Offerte!$A39="","",Offerte!$A39)</f>
        <v/>
      </c>
      <c r="B1167" s="48">
        <f>IF(Offerte!$A39="","",Offerte!$B39)</f>
        <v/>
      </c>
      <c r="C1167" s="48">
        <f>IF(Offerte!$A39="","",Offerte!$C39)</f>
        <v/>
      </c>
      <c r="D1167" s="48" t="inlineStr">
        <is>
          <t>D.1.1</t>
        </is>
      </c>
      <c r="E1167" s="48" t="inlineStr">
        <is>
          <t>D</t>
        </is>
      </c>
      <c r="F1167" s="48" t="inlineStr">
        <is>
          <t>Q</t>
        </is>
      </c>
      <c r="G1167" s="48" t="inlineStr">
        <is>
          <t>higher</t>
        </is>
      </c>
      <c r="H1167" s="48" t="n">
        <v>3</v>
      </c>
      <c r="I1167" s="48" t="inlineStr">
        <is>
          <t>Installazione di pensiline</t>
        </is>
      </c>
      <c r="J1167" s="73" t="n"/>
      <c r="K1167" s="73" t="n"/>
      <c r="L1167" s="73" t="n"/>
      <c r="M1167" s="73" t="n"/>
      <c r="N1167" s="57">
        <f>IF($A1167="","",IFERROR(VALUE($J1167),0))</f>
        <v/>
      </c>
      <c r="O1167" s="57">
        <f>IF($A1167="",0,IF(OR($S1167&lt;&gt;1,COUNTA($J1167:$M1167)=0),0,IF(SUMPRODUCT(MAX(($C$5:$C$2484=$C1167)*($D$5:$D$2484=$D1167)*($S$5:$S$2484=1)*IFERROR($N$5:$N$2484*1,0)))&gt;0,ROUND($H1167*($N1167/SUMPRODUCT(MAX(($C$5:$C$2484=$C1167)*($D$5:$D$2484=$D1167)*($S$5:$S$2484=1)*IFERROR($N$5:$N$2484*1,0)))),4),0)))</f>
        <v/>
      </c>
      <c r="P1167" s="48" t="inlineStr">
        <is>
          <t>fermate</t>
        </is>
      </c>
      <c r="Q1167" s="57">
        <f>IF($A1167="","",$A1167&amp;"|"&amp;$C1167)</f>
        <v/>
      </c>
      <c r="R1167" s="57">
        <f>IF($A1167="","",$A1167&amp;"|"&amp;$C1167&amp;"|"&amp;$D1167)</f>
        <v/>
      </c>
      <c r="S1167" s="57">
        <f>IF($A1167="","",IFERROR(INDEX(Offerte!$D$2:$D$81,MATCH($Q1167,Offerte!$L$2:$L$81,0)),0))</f>
        <v/>
      </c>
      <c r="T1167" s="57">
        <f>IF($A1167="","",IFERROR(INDEX(Offerte!$G$2:$G$81,MATCH($Q1167,Offerte!$L$2:$L$81,0)),"NO"))</f>
        <v/>
      </c>
    </row>
    <row r="1168">
      <c r="A1168" s="48">
        <f>IF(Offerte!$A39="","",Offerte!$A39)</f>
        <v/>
      </c>
      <c r="B1168" s="48">
        <f>IF(Offerte!$A39="","",Offerte!$B39)</f>
        <v/>
      </c>
      <c r="C1168" s="48">
        <f>IF(Offerte!$A39="","",Offerte!$C39)</f>
        <v/>
      </c>
      <c r="D1168" s="48" t="inlineStr">
        <is>
          <t>D.1.2</t>
        </is>
      </c>
      <c r="E1168" s="48" t="inlineStr">
        <is>
          <t>D</t>
        </is>
      </c>
      <c r="F1168" s="48" t="inlineStr">
        <is>
          <t>Q</t>
        </is>
      </c>
      <c r="G1168" s="48" t="inlineStr">
        <is>
          <t>higher</t>
        </is>
      </c>
      <c r="H1168" s="48" t="n">
        <v>3</v>
      </c>
      <c r="I1168" s="48" t="inlineStr">
        <is>
          <t>Installazione di paline di fermata conformi alla DGR 581/2023</t>
        </is>
      </c>
      <c r="J1168" s="73" t="n"/>
      <c r="K1168" s="73" t="n"/>
      <c r="L1168" s="73" t="n"/>
      <c r="M1168" s="73" t="n"/>
      <c r="N1168" s="57">
        <f>IF($A1168="","",IFERROR(VALUE($J1168),0))</f>
        <v/>
      </c>
      <c r="O1168" s="57">
        <f>IF($A1168="",0,IF(OR($S1168&lt;&gt;1,COUNTA($J1168:$M1168)=0),0,IF(SUMPRODUCT(MAX(($C$5:$C$2484=$C1168)*($D$5:$D$2484=$D1168)*($S$5:$S$2484=1)*IFERROR($N$5:$N$2484*1,0)))&gt;0,ROUND($H1168*($N1168/SUMPRODUCT(MAX(($C$5:$C$2484=$C1168)*($D$5:$D$2484=$D1168)*($S$5:$S$2484=1)*IFERROR($N$5:$N$2484*1,0)))),4),0)))</f>
        <v/>
      </c>
      <c r="P1168" s="48" t="inlineStr">
        <is>
          <t>fermate</t>
        </is>
      </c>
      <c r="Q1168" s="57">
        <f>IF($A1168="","",$A1168&amp;"|"&amp;$C1168)</f>
        <v/>
      </c>
      <c r="R1168" s="57">
        <f>IF($A1168="","",$A1168&amp;"|"&amp;$C1168&amp;"|"&amp;$D1168)</f>
        <v/>
      </c>
      <c r="S1168" s="57">
        <f>IF($A1168="","",IFERROR(INDEX(Offerte!$D$2:$D$81,MATCH($Q1168,Offerte!$L$2:$L$81,0)),0))</f>
        <v/>
      </c>
      <c r="T1168" s="57">
        <f>IF($A1168="","",IFERROR(INDEX(Offerte!$G$2:$G$81,MATCH($Q1168,Offerte!$L$2:$L$81,0)),"NO"))</f>
        <v/>
      </c>
    </row>
    <row r="1169">
      <c r="A1169" s="48">
        <f>IF(Offerte!$A39="","",Offerte!$A39)</f>
        <v/>
      </c>
      <c r="B1169" s="48">
        <f>IF(Offerte!$A39="","",Offerte!$B39)</f>
        <v/>
      </c>
      <c r="C1169" s="48">
        <f>IF(Offerte!$A39="","",Offerte!$C39)</f>
        <v/>
      </c>
      <c r="D1169" s="48" t="inlineStr">
        <is>
          <t>D.1.3</t>
        </is>
      </c>
      <c r="E1169" s="48" t="inlineStr">
        <is>
          <t>D</t>
        </is>
      </c>
      <c r="F1169" s="48" t="inlineStr">
        <is>
          <t>Q</t>
        </is>
      </c>
      <c r="G1169" s="48" t="inlineStr">
        <is>
          <t>higher</t>
        </is>
      </c>
      <c r="H1169" s="48" t="n">
        <v>2</v>
      </c>
      <c r="I1169" s="48" t="inlineStr">
        <is>
          <t>Display informativi connessi alle fermate</t>
        </is>
      </c>
      <c r="J1169" s="73" t="n"/>
      <c r="K1169" s="73" t="n"/>
      <c r="L1169" s="73" t="n"/>
      <c r="M1169" s="73" t="n"/>
      <c r="N1169" s="57">
        <f>IF($A1169="","",IFERROR(VALUE($J1169),0))</f>
        <v/>
      </c>
      <c r="O1169" s="57">
        <f>IF($A1169="",0,IF(OR($S1169&lt;&gt;1,COUNTA($J1169:$M1169)=0),0,IF(SUMPRODUCT(MAX(($C$5:$C$2484=$C1169)*($D$5:$D$2484=$D1169)*($S$5:$S$2484=1)*IFERROR($N$5:$N$2484*1,0)))&gt;0,ROUND($H1169*($N1169/SUMPRODUCT(MAX(($C$5:$C$2484=$C1169)*($D$5:$D$2484=$D1169)*($S$5:$S$2484=1)*IFERROR($N$5:$N$2484*1,0)))),4),0)))</f>
        <v/>
      </c>
      <c r="P1169" s="48" t="inlineStr">
        <is>
          <t>fermate</t>
        </is>
      </c>
      <c r="Q1169" s="57">
        <f>IF($A1169="","",$A1169&amp;"|"&amp;$C1169)</f>
        <v/>
      </c>
      <c r="R1169" s="57">
        <f>IF($A1169="","",$A1169&amp;"|"&amp;$C1169&amp;"|"&amp;$D1169)</f>
        <v/>
      </c>
      <c r="S1169" s="57">
        <f>IF($A1169="","",IFERROR(INDEX(Offerte!$D$2:$D$81,MATCH($Q1169,Offerte!$L$2:$L$81,0)),0))</f>
        <v/>
      </c>
      <c r="T1169" s="57">
        <f>IF($A1169="","",IFERROR(INDEX(Offerte!$G$2:$G$81,MATCH($Q1169,Offerte!$L$2:$L$81,0)),"NO"))</f>
        <v/>
      </c>
    </row>
    <row r="1170">
      <c r="A1170" s="48">
        <f>IF(Offerte!$A39="","",Offerte!$A39)</f>
        <v/>
      </c>
      <c r="B1170" s="48">
        <f>IF(Offerte!$A39="","",Offerte!$B39)</f>
        <v/>
      </c>
      <c r="C1170" s="48">
        <f>IF(Offerte!$A39="","",Offerte!$C39)</f>
        <v/>
      </c>
      <c r="D1170" s="48" t="inlineStr">
        <is>
          <t>D.2.1</t>
        </is>
      </c>
      <c r="E1170" s="48" t="inlineStr">
        <is>
          <t>D</t>
        </is>
      </c>
      <c r="F1170" s="48" t="inlineStr">
        <is>
          <t>Q</t>
        </is>
      </c>
      <c r="G1170" s="48" t="inlineStr">
        <is>
          <t>higher</t>
        </is>
      </c>
      <c r="H1170" s="48" t="n">
        <v>2</v>
      </c>
      <c r="I1170" s="48" t="inlineStr">
        <is>
          <t>Segnali tattili Loges-Vet-Evolution</t>
        </is>
      </c>
      <c r="J1170" s="73" t="n"/>
      <c r="K1170" s="73" t="n"/>
      <c r="L1170" s="73" t="n"/>
      <c r="M1170" s="73" t="n"/>
      <c r="N1170" s="57">
        <f>IF($A1170="","",IFERROR(VALUE($J1170),0))</f>
        <v/>
      </c>
      <c r="O1170" s="57">
        <f>IF($A1170="",0,IF(OR($S1170&lt;&gt;1,COUNTA($J1170:$M1170)=0),0,IF(SUMPRODUCT(MAX(($C$5:$C$2484=$C1170)*($D$5:$D$2484=$D1170)*($S$5:$S$2484=1)*IFERROR($N$5:$N$2484*1,0)))&gt;0,ROUND($H1170*($N1170/SUMPRODUCT(MAX(($C$5:$C$2484=$C1170)*($D$5:$D$2484=$D1170)*($S$5:$S$2484=1)*IFERROR($N$5:$N$2484*1,0)))),4),0)))</f>
        <v/>
      </c>
      <c r="P1170" s="48" t="inlineStr">
        <is>
          <t>fermate</t>
        </is>
      </c>
      <c r="Q1170" s="57">
        <f>IF($A1170="","",$A1170&amp;"|"&amp;$C1170)</f>
        <v/>
      </c>
      <c r="R1170" s="57">
        <f>IF($A1170="","",$A1170&amp;"|"&amp;$C1170&amp;"|"&amp;$D1170)</f>
        <v/>
      </c>
      <c r="S1170" s="57">
        <f>IF($A1170="","",IFERROR(INDEX(Offerte!$D$2:$D$81,MATCH($Q1170,Offerte!$L$2:$L$81,0)),0))</f>
        <v/>
      </c>
      <c r="T1170" s="57">
        <f>IF($A1170="","",IFERROR(INDEX(Offerte!$G$2:$G$81,MATCH($Q1170,Offerte!$L$2:$L$81,0)),"NO"))</f>
        <v/>
      </c>
    </row>
    <row r="1171">
      <c r="A1171" s="48">
        <f>IF(Offerte!$A39="","",Offerte!$A39)</f>
        <v/>
      </c>
      <c r="B1171" s="48">
        <f>IF(Offerte!$A39="","",Offerte!$B39)</f>
        <v/>
      </c>
      <c r="C1171" s="48">
        <f>IF(Offerte!$A39="","",Offerte!$C39)</f>
        <v/>
      </c>
      <c r="D1171" s="48" t="inlineStr">
        <is>
          <t>E.1.1</t>
        </is>
      </c>
      <c r="E1171" s="48" t="inlineStr">
        <is>
          <t>E</t>
        </is>
      </c>
      <c r="F1171" s="48" t="inlineStr">
        <is>
          <t>T</t>
        </is>
      </c>
      <c r="G1171" s="48" t="inlineStr">
        <is>
          <t>tabular</t>
        </is>
      </c>
      <c r="H1171" s="48" t="n">
        <v>2</v>
      </c>
      <c r="I1171" s="48" t="inlineStr">
        <is>
          <t>Mobile app con travel planner PRM</t>
        </is>
      </c>
      <c r="J1171" s="73" t="n"/>
      <c r="K1171" s="73" t="n"/>
      <c r="L1171" s="73" t="n"/>
      <c r="M1171" s="73" t="n"/>
      <c r="N1171" s="57">
        <f>IF($A1171="","",IF(IFERROR(VALUE($M1171),0)=1,1,0))</f>
        <v/>
      </c>
      <c r="O1171" s="57">
        <f>IF($A1171="",0,IF(OR($S1171&lt;&gt;1,COUNTA($J1171:$M1171)=0),0,IF($N1171=1,$H1171,0)))</f>
        <v/>
      </c>
      <c r="P1171" s="48" t="inlineStr">
        <is>
          <t>sì/no</t>
        </is>
      </c>
      <c r="Q1171" s="57">
        <f>IF($A1171="","",$A1171&amp;"|"&amp;$C1171)</f>
        <v/>
      </c>
      <c r="R1171" s="57">
        <f>IF($A1171="","",$A1171&amp;"|"&amp;$C1171&amp;"|"&amp;$D1171)</f>
        <v/>
      </c>
      <c r="S1171" s="57">
        <f>IF($A1171="","",IFERROR(INDEX(Offerte!$D$2:$D$81,MATCH($Q1171,Offerte!$L$2:$L$81,0)),0))</f>
        <v/>
      </c>
      <c r="T1171" s="57">
        <f>IF($A1171="","",IFERROR(INDEX(Offerte!$G$2:$G$81,MATCH($Q1171,Offerte!$L$2:$L$81,0)),"NO"))</f>
        <v/>
      </c>
    </row>
    <row r="1172">
      <c r="A1172" s="48">
        <f>IF(Offerte!$A39="","",Offerte!$A39)</f>
        <v/>
      </c>
      <c r="B1172" s="48">
        <f>IF(Offerte!$A39="","",Offerte!$B39)</f>
        <v/>
      </c>
      <c r="C1172" s="48">
        <f>IF(Offerte!$A39="","",Offerte!$C39)</f>
        <v/>
      </c>
      <c r="D1172" s="48" t="inlineStr">
        <is>
          <t>E.2.1</t>
        </is>
      </c>
      <c r="E1172" s="48" t="inlineStr">
        <is>
          <t>E</t>
        </is>
      </c>
      <c r="F1172" s="48" t="inlineStr">
        <is>
          <t>D</t>
        </is>
      </c>
      <c r="G1172" s="48" t="inlineStr">
        <is>
          <t>discretionary</t>
        </is>
      </c>
      <c r="H1172" s="48" t="n">
        <v>2</v>
      </c>
      <c r="I1172" s="48" t="inlineStr">
        <is>
          <t>Altre azioni informative e rapporti con gli utenti</t>
        </is>
      </c>
      <c r="J1172" s="73" t="n"/>
      <c r="K1172" s="73" t="n"/>
      <c r="L1172" s="73" t="n"/>
      <c r="M1172" s="73" t="n"/>
      <c r="N1172" s="57">
        <f>IF($A1172="","",MAX(0,MIN(1,IFERROR(VALUE($M1172),0))))</f>
        <v/>
      </c>
      <c r="O1172" s="57">
        <f>IF($A1172="",0,IF(OR($S1172&lt;&gt;1,COUNTA($J1172:$M1172)=0),0,IF(SUMPRODUCT(MAX(($C$5:$C$2484=$C1172)*($D$5:$D$2484=$D1172)*($S$5:$S$2484=1)*IFERROR($N$5:$N$2484*1,0)))&gt;0,ROUND($H1172*($N1172/SUMPRODUCT(MAX(($C$5:$C$2484=$C1172)*($D$5:$D$2484=$D1172)*($S$5:$S$2484=1)*IFERROR($N$5:$N$2484*1,0)))),4),0)))</f>
        <v/>
      </c>
      <c r="P1172" s="48" t="inlineStr">
        <is>
          <t>coeff.</t>
        </is>
      </c>
      <c r="Q1172" s="57">
        <f>IF($A1172="","",$A1172&amp;"|"&amp;$C1172)</f>
        <v/>
      </c>
      <c r="R1172" s="57">
        <f>IF($A1172="","",$A1172&amp;"|"&amp;$C1172&amp;"|"&amp;$D1172)</f>
        <v/>
      </c>
      <c r="S1172" s="57">
        <f>IF($A1172="","",IFERROR(INDEX(Offerte!$D$2:$D$81,MATCH($Q1172,Offerte!$L$2:$L$81,0)),0))</f>
        <v/>
      </c>
      <c r="T1172" s="57">
        <f>IF($A1172="","",IFERROR(INDEX(Offerte!$G$2:$G$81,MATCH($Q1172,Offerte!$L$2:$L$81,0)),"NO"))</f>
        <v/>
      </c>
    </row>
    <row r="1173">
      <c r="A1173" s="48">
        <f>IF(Offerte!$A39="","",Offerte!$A39)</f>
        <v/>
      </c>
      <c r="B1173" s="48">
        <f>IF(Offerte!$A39="","",Offerte!$B39)</f>
        <v/>
      </c>
      <c r="C1173" s="48">
        <f>IF(Offerte!$A39="","",Offerte!$C39)</f>
        <v/>
      </c>
      <c r="D1173" s="48" t="inlineStr">
        <is>
          <t>F.1.1</t>
        </is>
      </c>
      <c r="E1173" s="48" t="inlineStr">
        <is>
          <t>F</t>
        </is>
      </c>
      <c r="F1173" s="48" t="inlineStr">
        <is>
          <t>Q</t>
        </is>
      </c>
      <c r="G1173" s="48" t="inlineStr">
        <is>
          <t>lower</t>
        </is>
      </c>
      <c r="H1173" s="48" t="n">
        <v>7</v>
      </c>
      <c r="I1173" s="48" t="inlineStr">
        <is>
          <t>Performance ambientali del parco mezzi adibito al servizio - I_CEA</t>
        </is>
      </c>
      <c r="J1173" s="73" t="n"/>
      <c r="K1173" s="73" t="n"/>
      <c r="L1173" s="73" t="n"/>
      <c r="M1173" s="73" t="n"/>
      <c r="N1173" s="57">
        <f>IF($A1173="","",IFERROR(VALUE($J1173),0))</f>
        <v/>
      </c>
      <c r="O1173" s="57">
        <f>IF($A1173="",0,IF(OR($S1173&lt;&gt;1,COUNTA($J1173:$M1173)=0),0,IF(AND(IFERROR(AGGREGATE(15,6,$N$5:$N$2484/(($C$5:$C$2484=$C1173)*($D$5:$D$2484=$D1173)*($S$5:$S$2484=1)*($N$5:$N$2484&gt;0)),1),0)&gt;0,$N1173&gt;0),ROUND($H1173*(IFERROR(AGGREGATE(15,6,$N$5:$N$2484/(($C$5:$C$2484=$C1173)*($D$5:$D$2484=$D1173)*($S$5:$S$2484=1)*($N$5:$N$2484&gt;0)),1),0)/$N1173),4),0)))</f>
        <v/>
      </c>
      <c r="P1173" s="48" t="inlineStr">
        <is>
          <t>indice</t>
        </is>
      </c>
      <c r="Q1173" s="57">
        <f>IF($A1173="","",$A1173&amp;"|"&amp;$C1173)</f>
        <v/>
      </c>
      <c r="R1173" s="57">
        <f>IF($A1173="","",$A1173&amp;"|"&amp;$C1173&amp;"|"&amp;$D1173)</f>
        <v/>
      </c>
      <c r="S1173" s="57">
        <f>IF($A1173="","",IFERROR(INDEX(Offerte!$D$2:$D$81,MATCH($Q1173,Offerte!$L$2:$L$81,0)),0))</f>
        <v/>
      </c>
      <c r="T1173" s="57">
        <f>IF($A1173="","",IFERROR(INDEX(Offerte!$G$2:$G$81,MATCH($Q1173,Offerte!$L$2:$L$81,0)),"NO"))</f>
        <v/>
      </c>
    </row>
    <row r="1174">
      <c r="A1174" s="48">
        <f>IF(Offerte!$A39="","",Offerte!$A39)</f>
        <v/>
      </c>
      <c r="B1174" s="48">
        <f>IF(Offerte!$A39="","",Offerte!$B39)</f>
        <v/>
      </c>
      <c r="C1174" s="48">
        <f>IF(Offerte!$A39="","",Offerte!$C39)</f>
        <v/>
      </c>
      <c r="D1174" s="48" t="inlineStr">
        <is>
          <t>F.2.1</t>
        </is>
      </c>
      <c r="E1174" s="48" t="inlineStr">
        <is>
          <t>F</t>
        </is>
      </c>
      <c r="F1174" s="48" t="inlineStr">
        <is>
          <t>Q</t>
        </is>
      </c>
      <c r="G1174" s="48" t="inlineStr">
        <is>
          <t>higher</t>
        </is>
      </c>
      <c r="H1174" s="48" t="n">
        <v>2</v>
      </c>
      <c r="I1174" s="48" t="inlineStr">
        <is>
          <t>Tasso di copertura del servizio con dispositivi ECO-DRIVER</t>
        </is>
      </c>
      <c r="J1174" s="73" t="n"/>
      <c r="K1174" s="73" t="n"/>
      <c r="L1174" s="73" t="n"/>
      <c r="M1174" s="73" t="n"/>
      <c r="N1174" s="57">
        <f>IF($A1174="","",IFERROR(VALUE($K1174)/VALUE($L1174),IFERROR(VALUE($J1174),0)))</f>
        <v/>
      </c>
      <c r="O1174" s="57">
        <f>IF($A1174="",0,IF(OR($S1174&lt;&gt;1,COUNTA($J1174:$M1174)=0),0,IF(SUMPRODUCT(MAX(($C$5:$C$2484=$C1174)*($D$5:$D$2484=$D1174)*($S$5:$S$2484=1)*IFERROR($N$5:$N$2484*1,0)))&gt;0,ROUND($H1174*($N1174/SUMPRODUCT(MAX(($C$5:$C$2484=$C1174)*($D$5:$D$2484=$D1174)*($S$5:$S$2484=1)*IFERROR($N$5:$N$2484*1,0)))),4),0)))</f>
        <v/>
      </c>
      <c r="P1174" s="48" t="inlineStr">
        <is>
          <t>Autobus attrezzati con dispositivi ECO-DRIVER / Autobus totali in offerta, incluse scorte</t>
        </is>
      </c>
      <c r="Q1174" s="57">
        <f>IF($A1174="","",$A1174&amp;"|"&amp;$C1174)</f>
        <v/>
      </c>
      <c r="R1174" s="57">
        <f>IF($A1174="","",$A1174&amp;"|"&amp;$C1174&amp;"|"&amp;$D1174)</f>
        <v/>
      </c>
      <c r="S1174" s="57">
        <f>IF($A1174="","",IFERROR(INDEX(Offerte!$D$2:$D$81,MATCH($Q1174,Offerte!$L$2:$L$81,0)),0))</f>
        <v/>
      </c>
      <c r="T1174" s="57">
        <f>IF($A1174="","",IFERROR(INDEX(Offerte!$G$2:$G$81,MATCH($Q1174,Offerte!$L$2:$L$81,0)),"NO"))</f>
        <v/>
      </c>
    </row>
    <row r="1175">
      <c r="A1175" s="48">
        <f>IF(Offerte!$A39="","",Offerte!$A39)</f>
        <v/>
      </c>
      <c r="B1175" s="48">
        <f>IF(Offerte!$A39="","",Offerte!$B39)</f>
        <v/>
      </c>
      <c r="C1175" s="48">
        <f>IF(Offerte!$A39="","",Offerte!$C39)</f>
        <v/>
      </c>
      <c r="D1175" s="48" t="inlineStr">
        <is>
          <t>F.3.1</t>
        </is>
      </c>
      <c r="E1175" s="48" t="inlineStr">
        <is>
          <t>F</t>
        </is>
      </c>
      <c r="F1175" s="48" t="inlineStr">
        <is>
          <t>Q</t>
        </is>
      </c>
      <c r="G1175" s="48" t="inlineStr">
        <is>
          <t>higher</t>
        </is>
      </c>
      <c r="H1175" s="48" t="n">
        <v>2</v>
      </c>
      <c r="I1175" s="48" t="inlineStr">
        <is>
          <t>Autoproduzione consumi elettrici per trazione</t>
        </is>
      </c>
      <c r="J1175" s="73" t="n"/>
      <c r="K1175" s="73" t="n"/>
      <c r="L1175" s="73" t="n"/>
      <c r="M1175" s="73" t="n"/>
      <c r="N1175" s="57">
        <f>IF($A1175="","",IFERROR(VALUE($J1175),0))</f>
        <v/>
      </c>
      <c r="O1175" s="57">
        <f>IF($A1175="",0,IF(OR($S1175&lt;&gt;1,COUNTA($J1175:$M1175)=0),0,IF(SUMPRODUCT(MAX(($C$5:$C$2484=$C1175)*($D$5:$D$2484=$D1175)*($S$5:$S$2484=1)*IFERROR($N$5:$N$2484*1,0)))&gt;0,ROUND($H1175*($N1175/SUMPRODUCT(MAX(($C$5:$C$2484=$C1175)*($D$5:$D$2484=$D1175)*($S$5:$S$2484=1)*IFERROR($N$5:$N$2484*1,0)))),4),0)))</f>
        <v/>
      </c>
      <c r="P1175" s="48" t="inlineStr">
        <is>
          <t>kWh/anno</t>
        </is>
      </c>
      <c r="Q1175" s="57">
        <f>IF($A1175="","",$A1175&amp;"|"&amp;$C1175)</f>
        <v/>
      </c>
      <c r="R1175" s="57">
        <f>IF($A1175="","",$A1175&amp;"|"&amp;$C1175&amp;"|"&amp;$D1175)</f>
        <v/>
      </c>
      <c r="S1175" s="57">
        <f>IF($A1175="","",IFERROR(INDEX(Offerte!$D$2:$D$81,MATCH($Q1175,Offerte!$L$2:$L$81,0)),0))</f>
        <v/>
      </c>
      <c r="T1175" s="57">
        <f>IF($A1175="","",IFERROR(INDEX(Offerte!$G$2:$G$81,MATCH($Q1175,Offerte!$L$2:$L$81,0)),"NO"))</f>
        <v/>
      </c>
    </row>
    <row r="1176">
      <c r="A1176" s="48">
        <f>IF(Offerte!$A39="","",Offerte!$A39)</f>
        <v/>
      </c>
      <c r="B1176" s="48">
        <f>IF(Offerte!$A39="","",Offerte!$B39)</f>
        <v/>
      </c>
      <c r="C1176" s="48">
        <f>IF(Offerte!$A39="","",Offerte!$C39)</f>
        <v/>
      </c>
      <c r="D1176" s="48" t="inlineStr">
        <is>
          <t>F.4.1</t>
        </is>
      </c>
      <c r="E1176" s="48" t="inlineStr">
        <is>
          <t>F</t>
        </is>
      </c>
      <c r="F1176" s="48" t="inlineStr">
        <is>
          <t>Q</t>
        </is>
      </c>
      <c r="G1176" s="48" t="inlineStr">
        <is>
          <t>soil</t>
        </is>
      </c>
      <c r="H1176" s="48" t="n">
        <v>2</v>
      </c>
      <c r="I1176" s="48" t="inlineStr">
        <is>
          <t>Indice di consumo di suolo</t>
        </is>
      </c>
      <c r="J1176" s="73" t="n"/>
      <c r="K1176" s="73" t="n"/>
      <c r="L1176" s="73" t="n"/>
      <c r="M1176" s="73" t="n"/>
      <c r="N1176" s="57">
        <f>IF($A1176="","",IFERROR(VALUE($J1176),0))</f>
        <v/>
      </c>
      <c r="O1176" s="57">
        <f>IF($A1176="",0,IF(OR($S1176&lt;&gt;1,COUNTA($J1176:$M1176)=0),0,IF($N1176&lt;=0,$H1176,IF(SUMPRODUCT(MAX(($C$5:$C$2484=$C1176)*($D$5:$D$2484=$D1176)*($S$5:$S$2484=1)*IFERROR($N$5:$N$2484*1,0)))&gt;0,ROUND($H1176*((SUMPRODUCT(MAX(($C$5:$C$2484=$C1176)*($D$5:$D$2484=$D1176)*($S$5:$S$2484=1)*IFERROR($N$5:$N$2484*1,0)))-$N1176)/SUMPRODUCT(MAX(($C$5:$C$2484=$C1176)*($D$5:$D$2484=$D1176)*($S$5:$S$2484=1)*IFERROR($N$5:$N$2484*1,0)))),4),0))))</f>
        <v/>
      </c>
      <c r="P1176" s="48" t="inlineStr">
        <is>
          <t>m2</t>
        </is>
      </c>
      <c r="Q1176" s="57">
        <f>IF($A1176="","",$A1176&amp;"|"&amp;$C1176)</f>
        <v/>
      </c>
      <c r="R1176" s="57">
        <f>IF($A1176="","",$A1176&amp;"|"&amp;$C1176&amp;"|"&amp;$D1176)</f>
        <v/>
      </c>
      <c r="S1176" s="57">
        <f>IF($A1176="","",IFERROR(INDEX(Offerte!$D$2:$D$81,MATCH($Q1176,Offerte!$L$2:$L$81,0)),0))</f>
        <v/>
      </c>
      <c r="T1176" s="57">
        <f>IF($A1176="","",IFERROR(INDEX(Offerte!$G$2:$G$81,MATCH($Q1176,Offerte!$L$2:$L$81,0)),"NO"))</f>
        <v/>
      </c>
    </row>
    <row r="1177">
      <c r="A1177" s="48">
        <f>IF(Offerte!$A39="","",Offerte!$A39)</f>
        <v/>
      </c>
      <c r="B1177" s="48">
        <f>IF(Offerte!$A39="","",Offerte!$B39)</f>
        <v/>
      </c>
      <c r="C1177" s="48">
        <f>IF(Offerte!$A39="","",Offerte!$C39)</f>
        <v/>
      </c>
      <c r="D1177" s="48" t="inlineStr">
        <is>
          <t>F.5.1</t>
        </is>
      </c>
      <c r="E1177" s="48" t="inlineStr">
        <is>
          <t>F</t>
        </is>
      </c>
      <c r="F1177" s="48" t="inlineStr">
        <is>
          <t>T</t>
        </is>
      </c>
      <c r="G1177" s="48" t="inlineStr">
        <is>
          <t>tabular</t>
        </is>
      </c>
      <c r="H1177" s="48" t="n">
        <v>1</v>
      </c>
      <c r="I1177" s="48" t="inlineStr">
        <is>
          <t>Rendicontazione di sostenibilità ambientale</t>
        </is>
      </c>
      <c r="J1177" s="73" t="n"/>
      <c r="K1177" s="73" t="n"/>
      <c r="L1177" s="73" t="n"/>
      <c r="M1177" s="73" t="n"/>
      <c r="N1177" s="57">
        <f>IF($A1177="","",IF(IFERROR(VALUE($M1177),0)=1,1,0))</f>
        <v/>
      </c>
      <c r="O1177" s="57">
        <f>IF($A1177="",0,IF(OR($S1177&lt;&gt;1,COUNTA($J1177:$M1177)=0),0,IF($N1177=1,$H1177,0)))</f>
        <v/>
      </c>
      <c r="P1177" s="48" t="inlineStr">
        <is>
          <t>sì/no</t>
        </is>
      </c>
      <c r="Q1177" s="57">
        <f>IF($A1177="","",$A1177&amp;"|"&amp;$C1177)</f>
        <v/>
      </c>
      <c r="R1177" s="57">
        <f>IF($A1177="","",$A1177&amp;"|"&amp;$C1177&amp;"|"&amp;$D1177)</f>
        <v/>
      </c>
      <c r="S1177" s="57">
        <f>IF($A1177="","",IFERROR(INDEX(Offerte!$D$2:$D$81,MATCH($Q1177,Offerte!$L$2:$L$81,0)),0))</f>
        <v/>
      </c>
      <c r="T1177" s="57">
        <f>IF($A1177="","",IFERROR(INDEX(Offerte!$G$2:$G$81,MATCH($Q1177,Offerte!$L$2:$L$81,0)),"NO"))</f>
        <v/>
      </c>
    </row>
    <row r="1178">
      <c r="A1178" s="48">
        <f>IF(Offerte!$A39="","",Offerte!$A39)</f>
        <v/>
      </c>
      <c r="B1178" s="48">
        <f>IF(Offerte!$A39="","",Offerte!$B39)</f>
        <v/>
      </c>
      <c r="C1178" s="48">
        <f>IF(Offerte!$A39="","",Offerte!$C39)</f>
        <v/>
      </c>
      <c r="D1178" s="48" t="inlineStr">
        <is>
          <t>G.1.1</t>
        </is>
      </c>
      <c r="E1178" s="48" t="inlineStr">
        <is>
          <t>G</t>
        </is>
      </c>
      <c r="F1178" s="48" t="inlineStr">
        <is>
          <t>D</t>
        </is>
      </c>
      <c r="G1178" s="48" t="inlineStr">
        <is>
          <t>discretionary</t>
        </is>
      </c>
      <c r="H1178" s="48" t="n">
        <v>2</v>
      </c>
      <c r="I1178" s="48" t="inlineStr">
        <is>
          <t>Qualità del progetto di centrale di controllo aziendale</t>
        </is>
      </c>
      <c r="J1178" s="73" t="n"/>
      <c r="K1178" s="73" t="n"/>
      <c r="L1178" s="73" t="n"/>
      <c r="M1178" s="73" t="n"/>
      <c r="N1178" s="57">
        <f>IF($A1178="","",MAX(0,MIN(1,IFERROR(VALUE($M1178),0))))</f>
        <v/>
      </c>
      <c r="O1178" s="57">
        <f>IF($A1178="",0,IF(OR($S1178&lt;&gt;1,COUNTA($J1178:$M1178)=0),0,IF(SUMPRODUCT(MAX(($C$5:$C$2484=$C1178)*($D$5:$D$2484=$D1178)*($S$5:$S$2484=1)*IFERROR($N$5:$N$2484*1,0)))&gt;0,ROUND($H1178*($N1178/SUMPRODUCT(MAX(($C$5:$C$2484=$C1178)*($D$5:$D$2484=$D1178)*($S$5:$S$2484=1)*IFERROR($N$5:$N$2484*1,0)))),4),0)))</f>
        <v/>
      </c>
      <c r="P1178" s="48" t="inlineStr">
        <is>
          <t>coeff.</t>
        </is>
      </c>
      <c r="Q1178" s="57">
        <f>IF($A1178="","",$A1178&amp;"|"&amp;$C1178)</f>
        <v/>
      </c>
      <c r="R1178" s="57">
        <f>IF($A1178="","",$A1178&amp;"|"&amp;$C1178&amp;"|"&amp;$D1178)</f>
        <v/>
      </c>
      <c r="S1178" s="57">
        <f>IF($A1178="","",IFERROR(INDEX(Offerte!$D$2:$D$81,MATCH($Q1178,Offerte!$L$2:$L$81,0)),0))</f>
        <v/>
      </c>
      <c r="T1178" s="57">
        <f>IF($A1178="","",IFERROR(INDEX(Offerte!$G$2:$G$81,MATCH($Q1178,Offerte!$L$2:$L$81,0)),"NO"))</f>
        <v/>
      </c>
    </row>
    <row r="1179">
      <c r="A1179" s="48">
        <f>IF(Offerte!$A39="","",Offerte!$A39)</f>
        <v/>
      </c>
      <c r="B1179" s="48">
        <f>IF(Offerte!$A39="","",Offerte!$B39)</f>
        <v/>
      </c>
      <c r="C1179" s="48">
        <f>IF(Offerte!$A39="","",Offerte!$C39)</f>
        <v/>
      </c>
      <c r="D1179" s="48" t="inlineStr">
        <is>
          <t>G.2.1</t>
        </is>
      </c>
      <c r="E1179" s="48" t="inlineStr">
        <is>
          <t>G</t>
        </is>
      </c>
      <c r="F1179" s="48" t="inlineStr">
        <is>
          <t>T</t>
        </is>
      </c>
      <c r="G1179" s="48" t="inlineStr">
        <is>
          <t>tabular</t>
        </is>
      </c>
      <c r="H1179" s="48" t="n">
        <v>1</v>
      </c>
      <c r="I1179" s="48" t="inlineStr">
        <is>
          <t>Certificazione ISO 45001</t>
        </is>
      </c>
      <c r="J1179" s="73" t="n"/>
      <c r="K1179" s="73" t="n"/>
      <c r="L1179" s="73" t="n"/>
      <c r="M1179" s="73" t="n"/>
      <c r="N1179" s="57">
        <f>IF($A1179="","",IF(IFERROR(VALUE($M1179),0)=1,1,0))</f>
        <v/>
      </c>
      <c r="O1179" s="57">
        <f>IF($A1179="",0,IF(OR($S1179&lt;&gt;1,COUNTA($J1179:$M1179)=0),0,IF($N1179=1,$H1179,0)))</f>
        <v/>
      </c>
      <c r="P1179" s="48" t="inlineStr">
        <is>
          <t>sì/no</t>
        </is>
      </c>
      <c r="Q1179" s="57">
        <f>IF($A1179="","",$A1179&amp;"|"&amp;$C1179)</f>
        <v/>
      </c>
      <c r="R1179" s="57">
        <f>IF($A1179="","",$A1179&amp;"|"&amp;$C1179&amp;"|"&amp;$D1179)</f>
        <v/>
      </c>
      <c r="S1179" s="57">
        <f>IF($A1179="","",IFERROR(INDEX(Offerte!$D$2:$D$81,MATCH($Q1179,Offerte!$L$2:$L$81,0)),0))</f>
        <v/>
      </c>
      <c r="T1179" s="57">
        <f>IF($A1179="","",IFERROR(INDEX(Offerte!$G$2:$G$81,MATCH($Q1179,Offerte!$L$2:$L$81,0)),"NO"))</f>
        <v/>
      </c>
    </row>
    <row r="1180">
      <c r="A1180" s="48">
        <f>IF(Offerte!$A39="","",Offerte!$A39)</f>
        <v/>
      </c>
      <c r="B1180" s="48">
        <f>IF(Offerte!$A39="","",Offerte!$B39)</f>
        <v/>
      </c>
      <c r="C1180" s="48">
        <f>IF(Offerte!$A39="","",Offerte!$C39)</f>
        <v/>
      </c>
      <c r="D1180" s="48" t="inlineStr">
        <is>
          <t>G.3.1</t>
        </is>
      </c>
      <c r="E1180" s="48" t="inlineStr">
        <is>
          <t>G</t>
        </is>
      </c>
      <c r="F1180" s="48" t="inlineStr">
        <is>
          <t>T</t>
        </is>
      </c>
      <c r="G1180" s="48" t="inlineStr">
        <is>
          <t>tabular</t>
        </is>
      </c>
      <c r="H1180" s="48" t="n">
        <v>1</v>
      </c>
      <c r="I1180" s="48" t="inlineStr">
        <is>
          <t>Certificazioni di responsabilità sociale</t>
        </is>
      </c>
      <c r="J1180" s="73" t="n"/>
      <c r="K1180" s="73" t="n"/>
      <c r="L1180" s="73" t="n"/>
      <c r="M1180" s="73" t="n"/>
      <c r="N1180" s="57">
        <f>IF($A1180="","",IF(IFERROR(VALUE($M1180),0)=1,1,0))</f>
        <v/>
      </c>
      <c r="O1180" s="57">
        <f>IF($A1180="",0,IF(OR($S1180&lt;&gt;1,COUNTA($J1180:$M1180)=0),0,IF($N1180=1,$H1180,0)))</f>
        <v/>
      </c>
      <c r="P1180" s="48" t="inlineStr">
        <is>
          <t>sì/no</t>
        </is>
      </c>
      <c r="Q1180" s="57">
        <f>IF($A1180="","",$A1180&amp;"|"&amp;$C1180)</f>
        <v/>
      </c>
      <c r="R1180" s="57">
        <f>IF($A1180="","",$A1180&amp;"|"&amp;$C1180&amp;"|"&amp;$D1180)</f>
        <v/>
      </c>
      <c r="S1180" s="57">
        <f>IF($A1180="","",IFERROR(INDEX(Offerte!$D$2:$D$81,MATCH($Q1180,Offerte!$L$2:$L$81,0)),0))</f>
        <v/>
      </c>
      <c r="T1180" s="57">
        <f>IF($A1180="","",IFERROR(INDEX(Offerte!$G$2:$G$81,MATCH($Q1180,Offerte!$L$2:$L$81,0)),"NO"))</f>
        <v/>
      </c>
    </row>
    <row r="1181">
      <c r="A1181" s="48">
        <f>IF(Offerte!$A39="","",Offerte!$A39)</f>
        <v/>
      </c>
      <c r="B1181" s="48">
        <f>IF(Offerte!$A39="","",Offerte!$B39)</f>
        <v/>
      </c>
      <c r="C1181" s="48">
        <f>IF(Offerte!$A39="","",Offerte!$C39)</f>
        <v/>
      </c>
      <c r="D1181" s="48" t="inlineStr">
        <is>
          <t>G.4.1</t>
        </is>
      </c>
      <c r="E1181" s="48" t="inlineStr">
        <is>
          <t>G</t>
        </is>
      </c>
      <c r="F1181" s="48" t="inlineStr">
        <is>
          <t>D</t>
        </is>
      </c>
      <c r="G1181" s="48" t="inlineStr">
        <is>
          <t>discretionary</t>
        </is>
      </c>
      <c r="H1181" s="48" t="n">
        <v>2</v>
      </c>
      <c r="I1181" s="48" t="inlineStr">
        <is>
          <t>Qualità del piano di formazione del personale</t>
        </is>
      </c>
      <c r="J1181" s="73" t="n"/>
      <c r="K1181" s="73" t="n"/>
      <c r="L1181" s="73" t="n"/>
      <c r="M1181" s="73" t="n"/>
      <c r="N1181" s="57">
        <f>IF($A1181="","",MAX(0,MIN(1,IFERROR(VALUE($M1181),0))))</f>
        <v/>
      </c>
      <c r="O1181" s="57">
        <f>IF($A1181="",0,IF(OR($S1181&lt;&gt;1,COUNTA($J1181:$M1181)=0),0,IF(SUMPRODUCT(MAX(($C$5:$C$2484=$C1181)*($D$5:$D$2484=$D1181)*($S$5:$S$2484=1)*IFERROR($N$5:$N$2484*1,0)))&gt;0,ROUND($H1181*($N1181/SUMPRODUCT(MAX(($C$5:$C$2484=$C1181)*($D$5:$D$2484=$D1181)*($S$5:$S$2484=1)*IFERROR($N$5:$N$2484*1,0)))),4),0)))</f>
        <v/>
      </c>
      <c r="P1181" s="48" t="inlineStr">
        <is>
          <t>coeff.</t>
        </is>
      </c>
      <c r="Q1181" s="57">
        <f>IF($A1181="","",$A1181&amp;"|"&amp;$C1181)</f>
        <v/>
      </c>
      <c r="R1181" s="57">
        <f>IF($A1181="","",$A1181&amp;"|"&amp;$C1181&amp;"|"&amp;$D1181)</f>
        <v/>
      </c>
      <c r="S1181" s="57">
        <f>IF($A1181="","",IFERROR(INDEX(Offerte!$D$2:$D$81,MATCH($Q1181,Offerte!$L$2:$L$81,0)),0))</f>
        <v/>
      </c>
      <c r="T1181" s="57">
        <f>IF($A1181="","",IFERROR(INDEX(Offerte!$G$2:$G$81,MATCH($Q1181,Offerte!$L$2:$L$81,0)),"NO"))</f>
        <v/>
      </c>
    </row>
    <row r="1182">
      <c r="A1182" s="48">
        <f>IF(Offerte!$A39="","",Offerte!$A39)</f>
        <v/>
      </c>
      <c r="B1182" s="48">
        <f>IF(Offerte!$A39="","",Offerte!$B39)</f>
        <v/>
      </c>
      <c r="C1182" s="48">
        <f>IF(Offerte!$A39="","",Offerte!$C39)</f>
        <v/>
      </c>
      <c r="D1182" s="48" t="inlineStr">
        <is>
          <t>G.5.1</t>
        </is>
      </c>
      <c r="E1182" s="48" t="inlineStr">
        <is>
          <t>G</t>
        </is>
      </c>
      <c r="F1182" s="48" t="inlineStr">
        <is>
          <t>T</t>
        </is>
      </c>
      <c r="G1182" s="48" t="inlineStr">
        <is>
          <t>tabular</t>
        </is>
      </c>
      <c r="H1182" s="48" t="n">
        <v>1</v>
      </c>
      <c r="I1182" s="48" t="inlineStr">
        <is>
          <t>Impegno al mantenimento delle garanzie del contratto di secondo livello del gestore uscente</t>
        </is>
      </c>
      <c r="J1182" s="73" t="n"/>
      <c r="K1182" s="73" t="n"/>
      <c r="L1182" s="73" t="n"/>
      <c r="M1182" s="73" t="n"/>
      <c r="N1182" s="57">
        <f>IF($A1182="","",IF(IFERROR(VALUE($M1182),0)=1,1,0))</f>
        <v/>
      </c>
      <c r="O1182" s="57">
        <f>IF($A1182="",0,IF(OR($S1182&lt;&gt;1,COUNTA($J1182:$M1182)=0),0,IF($N1182=1,$H1182,0)))</f>
        <v/>
      </c>
      <c r="P1182" s="48" t="inlineStr">
        <is>
          <t>sì/no</t>
        </is>
      </c>
      <c r="Q1182" s="57">
        <f>IF($A1182="","",$A1182&amp;"|"&amp;$C1182)</f>
        <v/>
      </c>
      <c r="R1182" s="57">
        <f>IF($A1182="","",$A1182&amp;"|"&amp;$C1182&amp;"|"&amp;$D1182)</f>
        <v/>
      </c>
      <c r="S1182" s="57">
        <f>IF($A1182="","",IFERROR(INDEX(Offerte!$D$2:$D$81,MATCH($Q1182,Offerte!$L$2:$L$81,0)),0))</f>
        <v/>
      </c>
      <c r="T1182" s="57">
        <f>IF($A1182="","",IFERROR(INDEX(Offerte!$G$2:$G$81,MATCH($Q1182,Offerte!$L$2:$L$81,0)),"NO"))</f>
        <v/>
      </c>
    </row>
    <row r="1183">
      <c r="A1183" s="48">
        <f>IF(Offerte!$A40="","",Offerte!$A40)</f>
        <v/>
      </c>
      <c r="B1183" s="48">
        <f>IF(Offerte!$A40="","",Offerte!$B40)</f>
        <v/>
      </c>
      <c r="C1183" s="48">
        <f>IF(Offerte!$A40="","",Offerte!$C40)</f>
        <v/>
      </c>
      <c r="D1183" s="48" t="inlineStr">
        <is>
          <t>A.1.1</t>
        </is>
      </c>
      <c r="E1183" s="48" t="inlineStr">
        <is>
          <t>A</t>
        </is>
      </c>
      <c r="F1183" s="48" t="inlineStr">
        <is>
          <t>Q</t>
        </is>
      </c>
      <c r="G1183" s="48" t="inlineStr">
        <is>
          <t>higher</t>
        </is>
      </c>
      <c r="H1183" s="48" t="n">
        <v>3</v>
      </c>
      <c r="I1183" s="48" t="inlineStr">
        <is>
          <t>Tasso aggiuntivo di corse controllate</t>
        </is>
      </c>
      <c r="J1183" s="73" t="n"/>
      <c r="K1183" s="73" t="n"/>
      <c r="L1183" s="73" t="n"/>
      <c r="M1183" s="73" t="n"/>
      <c r="N1183" s="57">
        <f>IF($A1183="","",IFERROR(VALUE($K1183)/VALUE($L1183)*100,IFERROR(VALUE($J1183),0)))</f>
        <v/>
      </c>
      <c r="O1183" s="57">
        <f>IF($A1183="",0,IF(OR($S1183&lt;&gt;1,COUNTA($J1183:$M1183)=0),0,IF(SUMPRODUCT(MAX(($C$5:$C$2484=$C1183)*($D$5:$D$2484=$D1183)*($S$5:$S$2484=1)*IFERROR($N$5:$N$2484*1,0)))&gt;0,ROUND($H1183*($N1183/SUMPRODUCT(MAX(($C$5:$C$2484=$C1183)*($D$5:$D$2484=$D1183)*($S$5:$S$2484=1)*IFERROR($N$5:$N$2484*1,0)))),4),0)))</f>
        <v/>
      </c>
      <c r="P1183" s="48" t="inlineStr">
        <is>
          <t>Corse controllate annue / Corse programmate annue</t>
        </is>
      </c>
      <c r="Q1183" s="57">
        <f>IF($A1183="","",$A1183&amp;"|"&amp;$C1183)</f>
        <v/>
      </c>
      <c r="R1183" s="57">
        <f>IF($A1183="","",$A1183&amp;"|"&amp;$C1183&amp;"|"&amp;$D1183)</f>
        <v/>
      </c>
      <c r="S1183" s="57">
        <f>IF($A1183="","",IFERROR(INDEX(Offerte!$D$2:$D$81,MATCH($Q1183,Offerte!$L$2:$L$81,0)),0))</f>
        <v/>
      </c>
      <c r="T1183" s="57">
        <f>IF($A1183="","",IFERROR(INDEX(Offerte!$G$2:$G$81,MATCH($Q1183,Offerte!$L$2:$L$81,0)),"NO"))</f>
        <v/>
      </c>
    </row>
    <row r="1184">
      <c r="A1184" s="48">
        <f>IF(Offerte!$A40="","",Offerte!$A40)</f>
        <v/>
      </c>
      <c r="B1184" s="48">
        <f>IF(Offerte!$A40="","",Offerte!$B40)</f>
        <v/>
      </c>
      <c r="C1184" s="48">
        <f>IF(Offerte!$A40="","",Offerte!$C40)</f>
        <v/>
      </c>
      <c r="D1184" s="48" t="inlineStr">
        <is>
          <t>A.1.2</t>
        </is>
      </c>
      <c r="E1184" s="48" t="inlineStr">
        <is>
          <t>A</t>
        </is>
      </c>
      <c r="F1184" s="48" t="inlineStr">
        <is>
          <t>Q</t>
        </is>
      </c>
      <c r="G1184" s="48" t="inlineStr">
        <is>
          <t>higher</t>
        </is>
      </c>
      <c r="H1184" s="48" t="n">
        <v>4</v>
      </c>
      <c r="I1184" s="48" t="inlineStr">
        <is>
          <t>Numero aggiuntivo di passeggeri controllati</t>
        </is>
      </c>
      <c r="J1184" s="73" t="n"/>
      <c r="K1184" s="73" t="n"/>
      <c r="L1184" s="73" t="n"/>
      <c r="M1184" s="73" t="n"/>
      <c r="N1184" s="57">
        <f>IF($A1184="","",IFERROR(VALUE($J1184),0))</f>
        <v/>
      </c>
      <c r="O1184" s="57">
        <f>IF($A1184="",0,IF(OR($S1184&lt;&gt;1,COUNTA($J1184:$M1184)=0),0,IF(SUMPRODUCT(MAX(($C$5:$C$2484=$C1184)*($D$5:$D$2484=$D1184)*($S$5:$S$2484=1)*IFERROR($N$5:$N$2484*1,0)))&gt;0,ROUND($H1184*($N1184/SUMPRODUCT(MAX(($C$5:$C$2484=$C1184)*($D$5:$D$2484=$D1184)*($S$5:$S$2484=1)*IFERROR($N$5:$N$2484*1,0)))),4),0)))</f>
        <v/>
      </c>
      <c r="P1184" s="48" t="inlineStr">
        <is>
          <t>passeggeri/anno</t>
        </is>
      </c>
      <c r="Q1184" s="57">
        <f>IF($A1184="","",$A1184&amp;"|"&amp;$C1184)</f>
        <v/>
      </c>
      <c r="R1184" s="57">
        <f>IF($A1184="","",$A1184&amp;"|"&amp;$C1184&amp;"|"&amp;$D1184)</f>
        <v/>
      </c>
      <c r="S1184" s="57">
        <f>IF($A1184="","",IFERROR(INDEX(Offerte!$D$2:$D$81,MATCH($Q1184,Offerte!$L$2:$L$81,0)),0))</f>
        <v/>
      </c>
      <c r="T1184" s="57">
        <f>IF($A1184="","",IFERROR(INDEX(Offerte!$G$2:$G$81,MATCH($Q1184,Offerte!$L$2:$L$81,0)),"NO"))</f>
        <v/>
      </c>
    </row>
    <row r="1185">
      <c r="A1185" s="48">
        <f>IF(Offerte!$A40="","",Offerte!$A40)</f>
        <v/>
      </c>
      <c r="B1185" s="48">
        <f>IF(Offerte!$A40="","",Offerte!$B40)</f>
        <v/>
      </c>
      <c r="C1185" s="48">
        <f>IF(Offerte!$A40="","",Offerte!$C40)</f>
        <v/>
      </c>
      <c r="D1185" s="48" t="inlineStr">
        <is>
          <t>B.1.1</t>
        </is>
      </c>
      <c r="E1185" s="48" t="inlineStr">
        <is>
          <t>B</t>
        </is>
      </c>
      <c r="F1185" s="48" t="inlineStr">
        <is>
          <t>Q</t>
        </is>
      </c>
      <c r="G1185" s="48" t="inlineStr">
        <is>
          <t>higher</t>
        </is>
      </c>
      <c r="H1185" s="48" t="n">
        <v>3</v>
      </c>
      <c r="I1185" s="48" t="inlineStr">
        <is>
          <t>Incremento dei posti offerti nelle fasce di punta</t>
        </is>
      </c>
      <c r="J1185" s="73" t="n"/>
      <c r="K1185" s="73" t="n"/>
      <c r="L1185" s="73" t="n"/>
      <c r="M1185" s="73" t="n"/>
      <c r="N1185" s="57">
        <f>IF($A1185="","",IFERROR(VALUE($J1185),0))</f>
        <v/>
      </c>
      <c r="O1185" s="57">
        <f>IF($A1185="",0,IF(OR($S1185&lt;&gt;1,COUNTA($J1185:$M1185)=0),0,IF(SUMPRODUCT(MAX(($C$5:$C$2484=$C1185)*($D$5:$D$2484=$D1185)*($S$5:$S$2484=1)*IFERROR($N$5:$N$2484*1,0)))&gt;0,ROUND($H1185*($N1185/SUMPRODUCT(MAX(($C$5:$C$2484=$C1185)*($D$5:$D$2484=$D1185)*($S$5:$S$2484=1)*IFERROR($N$5:$N$2484*1,0)))),4),0)))</f>
        <v/>
      </c>
      <c r="P1185" s="48" t="inlineStr">
        <is>
          <t>posti*km</t>
        </is>
      </c>
      <c r="Q1185" s="57">
        <f>IF($A1185="","",$A1185&amp;"|"&amp;$C1185)</f>
        <v/>
      </c>
      <c r="R1185" s="57">
        <f>IF($A1185="","",$A1185&amp;"|"&amp;$C1185&amp;"|"&amp;$D1185)</f>
        <v/>
      </c>
      <c r="S1185" s="57">
        <f>IF($A1185="","",IFERROR(INDEX(Offerte!$D$2:$D$81,MATCH($Q1185,Offerte!$L$2:$L$81,0)),0))</f>
        <v/>
      </c>
      <c r="T1185" s="57">
        <f>IF($A1185="","",IFERROR(INDEX(Offerte!$G$2:$G$81,MATCH($Q1185,Offerte!$L$2:$L$81,0)),"NO"))</f>
        <v/>
      </c>
    </row>
    <row r="1186">
      <c r="A1186" s="48">
        <f>IF(Offerte!$A40="","",Offerte!$A40)</f>
        <v/>
      </c>
      <c r="B1186" s="48">
        <f>IF(Offerte!$A40="","",Offerte!$B40)</f>
        <v/>
      </c>
      <c r="C1186" s="48">
        <f>IF(Offerte!$A40="","",Offerte!$C40)</f>
        <v/>
      </c>
      <c r="D1186" s="48" t="inlineStr">
        <is>
          <t>B.2.1</t>
        </is>
      </c>
      <c r="E1186" s="48" t="inlineStr">
        <is>
          <t>B</t>
        </is>
      </c>
      <c r="F1186" s="48" t="inlineStr">
        <is>
          <t>Q</t>
        </is>
      </c>
      <c r="G1186" s="48" t="inlineStr">
        <is>
          <t>higher</t>
        </is>
      </c>
      <c r="H1186" s="48" t="n">
        <v>4</v>
      </c>
      <c r="I1186" s="48" t="inlineStr">
        <is>
          <t>Corse aggiuntive nell'arco giornaliero base</t>
        </is>
      </c>
      <c r="J1186" s="73" t="n"/>
      <c r="K1186" s="73" t="n"/>
      <c r="L1186" s="73" t="n"/>
      <c r="M1186" s="73" t="n"/>
      <c r="N1186" s="57">
        <f>IF($A1186="","",IFERROR(VALUE($J1186),0))</f>
        <v/>
      </c>
      <c r="O1186" s="57">
        <f>IF($A1186="",0,IF(OR($S1186&lt;&gt;1,COUNTA($J1186:$M1186)=0),0,IF(SUMPRODUCT(MAX(($C$5:$C$2484=$C1186)*($D$5:$D$2484=$D1186)*($S$5:$S$2484=1)*IFERROR($N$5:$N$2484*1,0)))&gt;0,ROUND($H1186*($N1186/SUMPRODUCT(MAX(($C$5:$C$2484=$C1186)*($D$5:$D$2484=$D1186)*($S$5:$S$2484=1)*IFERROR($N$5:$N$2484*1,0)))),4),0)))</f>
        <v/>
      </c>
      <c r="P1186" s="48" t="inlineStr">
        <is>
          <t>corse</t>
        </is>
      </c>
      <c r="Q1186" s="57">
        <f>IF($A1186="","",$A1186&amp;"|"&amp;$C1186)</f>
        <v/>
      </c>
      <c r="R1186" s="57">
        <f>IF($A1186="","",$A1186&amp;"|"&amp;$C1186&amp;"|"&amp;$D1186)</f>
        <v/>
      </c>
      <c r="S1186" s="57">
        <f>IF($A1186="","",IFERROR(INDEX(Offerte!$D$2:$D$81,MATCH($Q1186,Offerte!$L$2:$L$81,0)),0))</f>
        <v/>
      </c>
      <c r="T1186" s="57">
        <f>IF($A1186="","",IFERROR(INDEX(Offerte!$G$2:$G$81,MATCH($Q1186,Offerte!$L$2:$L$81,0)),"NO"))</f>
        <v/>
      </c>
    </row>
    <row r="1187">
      <c r="A1187" s="48">
        <f>IF(Offerte!$A40="","",Offerte!$A40)</f>
        <v/>
      </c>
      <c r="B1187" s="48">
        <f>IF(Offerte!$A40="","",Offerte!$B40)</f>
        <v/>
      </c>
      <c r="C1187" s="48">
        <f>IF(Offerte!$A40="","",Offerte!$C40)</f>
        <v/>
      </c>
      <c r="D1187" s="48" t="inlineStr">
        <is>
          <t>B.3.1</t>
        </is>
      </c>
      <c r="E1187" s="48" t="inlineStr">
        <is>
          <t>B</t>
        </is>
      </c>
      <c r="F1187" s="48" t="inlineStr">
        <is>
          <t>Q</t>
        </is>
      </c>
      <c r="G1187" s="48" t="inlineStr">
        <is>
          <t>higher</t>
        </is>
      </c>
      <c r="H1187" s="48" t="n">
        <v>2</v>
      </c>
      <c r="I1187" s="48" t="inlineStr">
        <is>
          <t>Numero di corse aggiuntive per allungamento dell'arco di servizio giornaliero nelle fasce serali</t>
        </is>
      </c>
      <c r="J1187" s="73" t="n"/>
      <c r="K1187" s="73" t="n"/>
      <c r="L1187" s="73" t="n"/>
      <c r="M1187" s="73" t="n"/>
      <c r="N1187" s="57">
        <f>IF($A1187="","",IFERROR(VALUE($J1187),0))</f>
        <v/>
      </c>
      <c r="O1187" s="57">
        <f>IF($A1187="",0,IF(OR($S1187&lt;&gt;1,COUNTA($J1187:$M1187)=0),0,IF(SUMPRODUCT(MAX(($C$5:$C$2484=$C1187)*($D$5:$D$2484=$D1187)*($S$5:$S$2484=1)*IFERROR($N$5:$N$2484*1,0)))&gt;0,ROUND($H1187*($N1187/SUMPRODUCT(MAX(($C$5:$C$2484=$C1187)*($D$5:$D$2484=$D1187)*($S$5:$S$2484=1)*IFERROR($N$5:$N$2484*1,0)))),4),0)))</f>
        <v/>
      </c>
      <c r="P1187" s="48" t="inlineStr">
        <is>
          <t>corse</t>
        </is>
      </c>
      <c r="Q1187" s="57">
        <f>IF($A1187="","",$A1187&amp;"|"&amp;$C1187)</f>
        <v/>
      </c>
      <c r="R1187" s="57">
        <f>IF($A1187="","",$A1187&amp;"|"&amp;$C1187&amp;"|"&amp;$D1187)</f>
        <v/>
      </c>
      <c r="S1187" s="57">
        <f>IF($A1187="","",IFERROR(INDEX(Offerte!$D$2:$D$81,MATCH($Q1187,Offerte!$L$2:$L$81,0)),0))</f>
        <v/>
      </c>
      <c r="T1187" s="57">
        <f>IF($A1187="","",IFERROR(INDEX(Offerte!$G$2:$G$81,MATCH($Q1187,Offerte!$L$2:$L$81,0)),"NO"))</f>
        <v/>
      </c>
    </row>
    <row r="1188">
      <c r="A1188" s="48">
        <f>IF(Offerte!$A40="","",Offerte!$A40)</f>
        <v/>
      </c>
      <c r="B1188" s="48">
        <f>IF(Offerte!$A40="","",Offerte!$B40)</f>
        <v/>
      </c>
      <c r="C1188" s="48">
        <f>IF(Offerte!$A40="","",Offerte!$C40)</f>
        <v/>
      </c>
      <c r="D1188" s="48" t="inlineStr">
        <is>
          <t>B.4.1</t>
        </is>
      </c>
      <c r="E1188" s="48" t="inlineStr">
        <is>
          <t>B</t>
        </is>
      </c>
      <c r="F1188" s="48" t="inlineStr">
        <is>
          <t>Q</t>
        </is>
      </c>
      <c r="G1188" s="48" t="inlineStr">
        <is>
          <t>higher</t>
        </is>
      </c>
      <c r="H1188" s="48" t="n">
        <v>3</v>
      </c>
      <c r="I1188" s="48" t="inlineStr">
        <is>
          <t>Percorrenze aggiuntive offerte nel Programma d'esercizio delle prime due fasi attuative</t>
        </is>
      </c>
      <c r="J1188" s="73" t="n"/>
      <c r="K1188" s="73" t="n"/>
      <c r="L1188" s="73" t="n"/>
      <c r="M1188" s="73" t="n"/>
      <c r="N1188" s="57">
        <f>IF($A1188="","",IFERROR(VALUE($J1188),0))</f>
        <v/>
      </c>
      <c r="O1188" s="57">
        <f>IF($A1188="",0,IF(OR($S1188&lt;&gt;1,COUNTA($J1188:$M1188)=0),0,IF(SUMPRODUCT(MAX(($C$5:$C$2484=$C1188)*($D$5:$D$2484=$D1188)*($S$5:$S$2484=1)*IFERROR($N$5:$N$2484*1,0)))&gt;0,ROUND($H1188*($N1188/SUMPRODUCT(MAX(($C$5:$C$2484=$C1188)*($D$5:$D$2484=$D1188)*($S$5:$S$2484=1)*IFERROR($N$5:$N$2484*1,0)))),4),0)))</f>
        <v/>
      </c>
      <c r="P1188" s="48" t="inlineStr">
        <is>
          <t>vett*km</t>
        </is>
      </c>
      <c r="Q1188" s="57">
        <f>IF($A1188="","",$A1188&amp;"|"&amp;$C1188)</f>
        <v/>
      </c>
      <c r="R1188" s="57">
        <f>IF($A1188="","",$A1188&amp;"|"&amp;$C1188&amp;"|"&amp;$D1188)</f>
        <v/>
      </c>
      <c r="S1188" s="57">
        <f>IF($A1188="","",IFERROR(INDEX(Offerte!$D$2:$D$81,MATCH($Q1188,Offerte!$L$2:$L$81,0)),0))</f>
        <v/>
      </c>
      <c r="T1188" s="57">
        <f>IF($A1188="","",IFERROR(INDEX(Offerte!$G$2:$G$81,MATCH($Q1188,Offerte!$L$2:$L$81,0)),"NO"))</f>
        <v/>
      </c>
    </row>
    <row r="1189">
      <c r="A1189" s="48">
        <f>IF(Offerte!$A40="","",Offerte!$A40)</f>
        <v/>
      </c>
      <c r="B1189" s="48">
        <f>IF(Offerte!$A40="","",Offerte!$B40)</f>
        <v/>
      </c>
      <c r="C1189" s="48">
        <f>IF(Offerte!$A40="","",Offerte!$C40)</f>
        <v/>
      </c>
      <c r="D1189" s="48" t="inlineStr">
        <is>
          <t>B.5.1</t>
        </is>
      </c>
      <c r="E1189" s="48" t="inlineStr">
        <is>
          <t>B</t>
        </is>
      </c>
      <c r="F1189" s="48" t="inlineStr">
        <is>
          <t>D</t>
        </is>
      </c>
      <c r="G1189" s="48" t="inlineStr">
        <is>
          <t>discretionary</t>
        </is>
      </c>
      <c r="H1189" s="48" t="n">
        <v>2</v>
      </c>
      <c r="I1189" s="48" t="inlineStr">
        <is>
          <t>Efficacia del progetto di servizi complementari DRT</t>
        </is>
      </c>
      <c r="J1189" s="73" t="n"/>
      <c r="K1189" s="73" t="n"/>
      <c r="L1189" s="73" t="n"/>
      <c r="M1189" s="73" t="n"/>
      <c r="N1189" s="57">
        <f>IF($A1189="","",MAX(0,MIN(1,IFERROR(VALUE($M1189),0))))</f>
        <v/>
      </c>
      <c r="O1189" s="57">
        <f>IF($A1189="",0,IF(OR($S1189&lt;&gt;1,COUNTA($J1189:$M1189)=0),0,IF(SUMPRODUCT(MAX(($C$5:$C$2484=$C1189)*($D$5:$D$2484=$D1189)*($S$5:$S$2484=1)*IFERROR($N$5:$N$2484*1,0)))&gt;0,ROUND($H1189*($N1189/SUMPRODUCT(MAX(($C$5:$C$2484=$C1189)*($D$5:$D$2484=$D1189)*($S$5:$S$2484=1)*IFERROR($N$5:$N$2484*1,0)))),4),0)))</f>
        <v/>
      </c>
      <c r="P1189" s="48" t="inlineStr">
        <is>
          <t>coeff.</t>
        </is>
      </c>
      <c r="Q1189" s="57">
        <f>IF($A1189="","",$A1189&amp;"|"&amp;$C1189)</f>
        <v/>
      </c>
      <c r="R1189" s="57">
        <f>IF($A1189="","",$A1189&amp;"|"&amp;$C1189&amp;"|"&amp;$D1189)</f>
        <v/>
      </c>
      <c r="S1189" s="57">
        <f>IF($A1189="","",IFERROR(INDEX(Offerte!$D$2:$D$81,MATCH($Q1189,Offerte!$L$2:$L$81,0)),0))</f>
        <v/>
      </c>
      <c r="T1189" s="57">
        <f>IF($A1189="","",IFERROR(INDEX(Offerte!$G$2:$G$81,MATCH($Q1189,Offerte!$L$2:$L$81,0)),"NO"))</f>
        <v/>
      </c>
    </row>
    <row r="1190">
      <c r="A1190" s="48">
        <f>IF(Offerte!$A40="","",Offerte!$A40)</f>
        <v/>
      </c>
      <c r="B1190" s="48">
        <f>IF(Offerte!$A40="","",Offerte!$B40)</f>
        <v/>
      </c>
      <c r="C1190" s="48">
        <f>IF(Offerte!$A40="","",Offerte!$C40)</f>
        <v/>
      </c>
      <c r="D1190" s="48" t="inlineStr">
        <is>
          <t>C.1.1</t>
        </is>
      </c>
      <c r="E1190" s="48" t="inlineStr">
        <is>
          <t>C</t>
        </is>
      </c>
      <c r="F1190" s="48" t="inlineStr">
        <is>
          <t>Q</t>
        </is>
      </c>
      <c r="G1190" s="48" t="inlineStr">
        <is>
          <t>higher</t>
        </is>
      </c>
      <c r="H1190" s="48" t="n">
        <v>2</v>
      </c>
      <c r="I1190" s="48" t="inlineStr">
        <is>
          <t>Tasso di copertura del servizio con telecamere BSD</t>
        </is>
      </c>
      <c r="J1190" s="73" t="n"/>
      <c r="K1190" s="73" t="n"/>
      <c r="L1190" s="73" t="n"/>
      <c r="M1190" s="73" t="n"/>
      <c r="N1190" s="57">
        <f>IF($A1190="","",IFERROR(VALUE($K1190)/VALUE($L1190),IFERROR(VALUE($J1190),0)))</f>
        <v/>
      </c>
      <c r="O1190" s="57">
        <f>IF($A1190="",0,IF(OR($S1190&lt;&gt;1,COUNTA($J1190:$M1190)=0),0,IF(SUMPRODUCT(MAX(($C$5:$C$2484=$C1190)*($D$5:$D$2484=$D1190)*($S$5:$S$2484=1)*IFERROR($N$5:$N$2484*1,0)))&gt;0,ROUND($H1190*($N1190/SUMPRODUCT(MAX(($C$5:$C$2484=$C1190)*($D$5:$D$2484=$D1190)*($S$5:$S$2484=1)*IFERROR($N$5:$N$2484*1,0)))),4),0)))</f>
        <v/>
      </c>
      <c r="P1190" s="48" t="inlineStr">
        <is>
          <t>Autobus attrezzati con telecamere BSD / Autobus totali in offerta, incluse scorte</t>
        </is>
      </c>
      <c r="Q1190" s="57">
        <f>IF($A1190="","",$A1190&amp;"|"&amp;$C1190)</f>
        <v/>
      </c>
      <c r="R1190" s="57">
        <f>IF($A1190="","",$A1190&amp;"|"&amp;$C1190&amp;"|"&amp;$D1190)</f>
        <v/>
      </c>
      <c r="S1190" s="57">
        <f>IF($A1190="","",IFERROR(INDEX(Offerte!$D$2:$D$81,MATCH($Q1190,Offerte!$L$2:$L$81,0)),0))</f>
        <v/>
      </c>
      <c r="T1190" s="57">
        <f>IF($A1190="","",IFERROR(INDEX(Offerte!$G$2:$G$81,MATCH($Q1190,Offerte!$L$2:$L$81,0)),"NO"))</f>
        <v/>
      </c>
    </row>
    <row r="1191">
      <c r="A1191" s="48">
        <f>IF(Offerte!$A40="","",Offerte!$A40)</f>
        <v/>
      </c>
      <c r="B1191" s="48">
        <f>IF(Offerte!$A40="","",Offerte!$B40)</f>
        <v/>
      </c>
      <c r="C1191" s="48">
        <f>IF(Offerte!$A40="","",Offerte!$C40)</f>
        <v/>
      </c>
      <c r="D1191" s="48" t="inlineStr">
        <is>
          <t>C.1.2</t>
        </is>
      </c>
      <c r="E1191" s="48" t="inlineStr">
        <is>
          <t>C</t>
        </is>
      </c>
      <c r="F1191" s="48" t="inlineStr">
        <is>
          <t>Q</t>
        </is>
      </c>
      <c r="G1191" s="48" t="inlineStr">
        <is>
          <t>higher</t>
        </is>
      </c>
      <c r="H1191" s="48" t="n">
        <v>2</v>
      </c>
      <c r="I1191" s="48" t="inlineStr">
        <is>
          <t>Tasso di copertura del servizio con telecamere ADAS</t>
        </is>
      </c>
      <c r="J1191" s="73" t="n"/>
      <c r="K1191" s="73" t="n"/>
      <c r="L1191" s="73" t="n"/>
      <c r="M1191" s="73" t="n"/>
      <c r="N1191" s="57">
        <f>IF($A1191="","",IFERROR(VALUE($K1191)/VALUE($L1191),IFERROR(VALUE($J1191),0)))</f>
        <v/>
      </c>
      <c r="O1191" s="57">
        <f>IF($A1191="",0,IF(OR($S1191&lt;&gt;1,COUNTA($J1191:$M1191)=0),0,IF(SUMPRODUCT(MAX(($C$5:$C$2484=$C1191)*($D$5:$D$2484=$D1191)*($S$5:$S$2484=1)*IFERROR($N$5:$N$2484*1,0)))&gt;0,ROUND($H1191*($N1191/SUMPRODUCT(MAX(($C$5:$C$2484=$C1191)*($D$5:$D$2484=$D1191)*($S$5:$S$2484=1)*IFERROR($N$5:$N$2484*1,0)))),4),0)))</f>
        <v/>
      </c>
      <c r="P1191" s="48" t="inlineStr">
        <is>
          <t>Autobus attrezzati con telecamere ADAS / Autobus totali in offerta, incluse scorte</t>
        </is>
      </c>
      <c r="Q1191" s="57">
        <f>IF($A1191="","",$A1191&amp;"|"&amp;$C1191)</f>
        <v/>
      </c>
      <c r="R1191" s="57">
        <f>IF($A1191="","",$A1191&amp;"|"&amp;$C1191&amp;"|"&amp;$D1191)</f>
        <v/>
      </c>
      <c r="S1191" s="57">
        <f>IF($A1191="","",IFERROR(INDEX(Offerte!$D$2:$D$81,MATCH($Q1191,Offerte!$L$2:$L$81,0)),0))</f>
        <v/>
      </c>
      <c r="T1191" s="57">
        <f>IF($A1191="","",IFERROR(INDEX(Offerte!$G$2:$G$81,MATCH($Q1191,Offerte!$L$2:$L$81,0)),"NO"))</f>
        <v/>
      </c>
    </row>
    <row r="1192">
      <c r="A1192" s="48">
        <f>IF(Offerte!$A40="","",Offerte!$A40)</f>
        <v/>
      </c>
      <c r="B1192" s="48">
        <f>IF(Offerte!$A40="","",Offerte!$B40)</f>
        <v/>
      </c>
      <c r="C1192" s="48">
        <f>IF(Offerte!$A40="","",Offerte!$C40)</f>
        <v/>
      </c>
      <c r="D1192" s="48" t="inlineStr">
        <is>
          <t>C.2.1</t>
        </is>
      </c>
      <c r="E1192" s="48" t="inlineStr">
        <is>
          <t>C</t>
        </is>
      </c>
      <c r="F1192" s="48" t="inlineStr">
        <is>
          <t>Q</t>
        </is>
      </c>
      <c r="G1192" s="48" t="inlineStr">
        <is>
          <t>higher</t>
        </is>
      </c>
      <c r="H1192" s="48" t="n">
        <v>3</v>
      </c>
      <c r="I1192" s="48" t="inlineStr">
        <is>
          <t>Tasso di copertura del servizio con telecamere di bordo di videosorveglianza</t>
        </is>
      </c>
      <c r="J1192" s="73" t="n"/>
      <c r="K1192" s="73" t="n"/>
      <c r="L1192" s="73" t="n"/>
      <c r="M1192" s="73" t="n"/>
      <c r="N1192" s="57">
        <f>IF($A1192="","",IFERROR(VALUE($K1192)/VALUE($L1192),IFERROR(VALUE($J1192),0)))</f>
        <v/>
      </c>
      <c r="O1192" s="57">
        <f>IF($A1192="",0,IF(OR($S1192&lt;&gt;1,COUNTA($J1192:$M1192)=0),0,IF(SUMPRODUCT(MAX(($C$5:$C$2484=$C1192)*($D$5:$D$2484=$D1192)*($S$5:$S$2484=1)*IFERROR($N$5:$N$2484*1,0)))&gt;0,ROUND($H1192*($N1192/SUMPRODUCT(MAX(($C$5:$C$2484=$C1192)*($D$5:$D$2484=$D1192)*($S$5:$S$2484=1)*IFERROR($N$5:$N$2484*1,0)))),4),0)))</f>
        <v/>
      </c>
      <c r="P1192" s="48" t="inlineStr">
        <is>
          <t>Autobus attrezzati con videosorveglianza / Autobus totali in offerta, incluse scorte</t>
        </is>
      </c>
      <c r="Q1192" s="57">
        <f>IF($A1192="","",$A1192&amp;"|"&amp;$C1192)</f>
        <v/>
      </c>
      <c r="R1192" s="57">
        <f>IF($A1192="","",$A1192&amp;"|"&amp;$C1192&amp;"|"&amp;$D1192)</f>
        <v/>
      </c>
      <c r="S1192" s="57">
        <f>IF($A1192="","",IFERROR(INDEX(Offerte!$D$2:$D$81,MATCH($Q1192,Offerte!$L$2:$L$81,0)),0))</f>
        <v/>
      </c>
      <c r="T1192" s="57">
        <f>IF($A1192="","",IFERROR(INDEX(Offerte!$G$2:$G$81,MATCH($Q1192,Offerte!$L$2:$L$81,0)),"NO"))</f>
        <v/>
      </c>
    </row>
    <row r="1193">
      <c r="A1193" s="48">
        <f>IF(Offerte!$A40="","",Offerte!$A40)</f>
        <v/>
      </c>
      <c r="B1193" s="48">
        <f>IF(Offerte!$A40="","",Offerte!$B40)</f>
        <v/>
      </c>
      <c r="C1193" s="48">
        <f>IF(Offerte!$A40="","",Offerte!$C40)</f>
        <v/>
      </c>
      <c r="D1193" s="48" t="inlineStr">
        <is>
          <t>C.2.2</t>
        </is>
      </c>
      <c r="E1193" s="48" t="inlineStr">
        <is>
          <t>C</t>
        </is>
      </c>
      <c r="F1193" s="48" t="inlineStr">
        <is>
          <t>T</t>
        </is>
      </c>
      <c r="G1193" s="48" t="inlineStr">
        <is>
          <t>tabular</t>
        </is>
      </c>
      <c r="H1193" s="48" t="n">
        <v>1</v>
      </c>
      <c r="I1193" s="48" t="inlineStr">
        <is>
          <t>Software video/audio analisi per situazioni di pericolo</t>
        </is>
      </c>
      <c r="J1193" s="73" t="n"/>
      <c r="K1193" s="73" t="n"/>
      <c r="L1193" s="73" t="n"/>
      <c r="M1193" s="73" t="n"/>
      <c r="N1193" s="57">
        <f>IF($A1193="","",IF(IFERROR(VALUE($M1193),0)=1,1,0))</f>
        <v/>
      </c>
      <c r="O1193" s="57">
        <f>IF($A1193="",0,IF(OR($S1193&lt;&gt;1,COUNTA($J1193:$M1193)=0),0,IF($N1193=1,$H1193,0)))</f>
        <v/>
      </c>
      <c r="P1193" s="48" t="inlineStr">
        <is>
          <t>sì/no</t>
        </is>
      </c>
      <c r="Q1193" s="57">
        <f>IF($A1193="","",$A1193&amp;"|"&amp;$C1193)</f>
        <v/>
      </c>
      <c r="R1193" s="57">
        <f>IF($A1193="","",$A1193&amp;"|"&amp;$C1193&amp;"|"&amp;$D1193)</f>
        <v/>
      </c>
      <c r="S1193" s="57">
        <f>IF($A1193="","",IFERROR(INDEX(Offerte!$D$2:$D$81,MATCH($Q1193,Offerte!$L$2:$L$81,0)),0))</f>
        <v/>
      </c>
      <c r="T1193" s="57">
        <f>IF($A1193="","",IFERROR(INDEX(Offerte!$G$2:$G$81,MATCH($Q1193,Offerte!$L$2:$L$81,0)),"NO"))</f>
        <v/>
      </c>
    </row>
    <row r="1194">
      <c r="A1194" s="48">
        <f>IF(Offerte!$A40="","",Offerte!$A40)</f>
        <v/>
      </c>
      <c r="B1194" s="48">
        <f>IF(Offerte!$A40="","",Offerte!$B40)</f>
        <v/>
      </c>
      <c r="C1194" s="48">
        <f>IF(Offerte!$A40="","",Offerte!$C40)</f>
        <v/>
      </c>
      <c r="D1194" s="48" t="inlineStr">
        <is>
          <t>C.2.3</t>
        </is>
      </c>
      <c r="E1194" s="48" t="inlineStr">
        <is>
          <t>C</t>
        </is>
      </c>
      <c r="F1194" s="48" t="inlineStr">
        <is>
          <t>T</t>
        </is>
      </c>
      <c r="G1194" s="48" t="inlineStr">
        <is>
          <t>tabular</t>
        </is>
      </c>
      <c r="H1194" s="48" t="n">
        <v>1</v>
      </c>
      <c r="I1194" s="48" t="inlineStr">
        <is>
          <t>Collegamento con centrale qualificata di pronto intervento</t>
        </is>
      </c>
      <c r="J1194" s="73" t="n"/>
      <c r="K1194" s="73" t="n"/>
      <c r="L1194" s="73" t="n"/>
      <c r="M1194" s="73" t="n"/>
      <c r="N1194" s="57">
        <f>IF($A1194="","",IF(IFERROR(VALUE($M1194),0)=1,1,0))</f>
        <v/>
      </c>
      <c r="O1194" s="57">
        <f>IF($A1194="",0,IF(OR($S1194&lt;&gt;1,COUNTA($J1194:$M1194)=0),0,IF($N1194=1,$H1194,0)))</f>
        <v/>
      </c>
      <c r="P1194" s="48" t="inlineStr">
        <is>
          <t>sì/no</t>
        </is>
      </c>
      <c r="Q1194" s="57">
        <f>IF($A1194="","",$A1194&amp;"|"&amp;$C1194)</f>
        <v/>
      </c>
      <c r="R1194" s="57">
        <f>IF($A1194="","",$A1194&amp;"|"&amp;$C1194&amp;"|"&amp;$D1194)</f>
        <v/>
      </c>
      <c r="S1194" s="57">
        <f>IF($A1194="","",IFERROR(INDEX(Offerte!$D$2:$D$81,MATCH($Q1194,Offerte!$L$2:$L$81,0)),0))</f>
        <v/>
      </c>
      <c r="T1194" s="57">
        <f>IF($A1194="","",IFERROR(INDEX(Offerte!$G$2:$G$81,MATCH($Q1194,Offerte!$L$2:$L$81,0)),"NO"))</f>
        <v/>
      </c>
    </row>
    <row r="1195">
      <c r="A1195" s="48">
        <f>IF(Offerte!$A40="","",Offerte!$A40)</f>
        <v/>
      </c>
      <c r="B1195" s="48">
        <f>IF(Offerte!$A40="","",Offerte!$B40)</f>
        <v/>
      </c>
      <c r="C1195" s="48">
        <f>IF(Offerte!$A40="","",Offerte!$C40)</f>
        <v/>
      </c>
      <c r="D1195" s="48" t="inlineStr">
        <is>
          <t>C.2.4</t>
        </is>
      </c>
      <c r="E1195" s="48" t="inlineStr">
        <is>
          <t>C</t>
        </is>
      </c>
      <c r="F1195" s="48" t="inlineStr">
        <is>
          <t>Q</t>
        </is>
      </c>
      <c r="G1195" s="48" t="inlineStr">
        <is>
          <t>higher</t>
        </is>
      </c>
      <c r="H1195" s="48" t="n">
        <v>1</v>
      </c>
      <c r="I1195" s="48" t="inlineStr">
        <is>
          <t>Tasso di copertura del servizio con dispositivi per la chiamata di emergenza del conducente</t>
        </is>
      </c>
      <c r="J1195" s="73" t="n"/>
      <c r="K1195" s="73" t="n"/>
      <c r="L1195" s="73" t="n"/>
      <c r="M1195" s="73" t="n"/>
      <c r="N1195" s="57">
        <f>IF($A1195="","",IFERROR(VALUE($K1195)/VALUE($L1195),IFERROR(VALUE($J1195),0)))</f>
        <v/>
      </c>
      <c r="O1195" s="57">
        <f>IF($A1195="",0,IF(OR($S1195&lt;&gt;1,COUNTA($J1195:$M1195)=0),0,IF(SUMPRODUCT(MAX(($C$5:$C$2484=$C1195)*($D$5:$D$2484=$D1195)*($S$5:$S$2484=1)*IFERROR($N$5:$N$2484*1,0)))&gt;0,ROUND($H1195*($N1195/SUMPRODUCT(MAX(($C$5:$C$2484=$C1195)*($D$5:$D$2484=$D1195)*($S$5:$S$2484=1)*IFERROR($N$5:$N$2484*1,0)))),4),0)))</f>
        <v/>
      </c>
      <c r="P1195" s="48" t="inlineStr">
        <is>
          <t>Autobus attrezzati con chiamata di emergenza / Autobus totali in offerta, incluse scorte</t>
        </is>
      </c>
      <c r="Q1195" s="57">
        <f>IF($A1195="","",$A1195&amp;"|"&amp;$C1195)</f>
        <v/>
      </c>
      <c r="R1195" s="57">
        <f>IF($A1195="","",$A1195&amp;"|"&amp;$C1195&amp;"|"&amp;$D1195)</f>
        <v/>
      </c>
      <c r="S1195" s="57">
        <f>IF($A1195="","",IFERROR(INDEX(Offerte!$D$2:$D$81,MATCH($Q1195,Offerte!$L$2:$L$81,0)),0))</f>
        <v/>
      </c>
      <c r="T1195" s="57">
        <f>IF($A1195="","",IFERROR(INDEX(Offerte!$G$2:$G$81,MATCH($Q1195,Offerte!$L$2:$L$81,0)),"NO"))</f>
        <v/>
      </c>
    </row>
    <row r="1196">
      <c r="A1196" s="48">
        <f>IF(Offerte!$A40="","",Offerte!$A40)</f>
        <v/>
      </c>
      <c r="B1196" s="48">
        <f>IF(Offerte!$A40="","",Offerte!$B40)</f>
        <v/>
      </c>
      <c r="C1196" s="48">
        <f>IF(Offerte!$A40="","",Offerte!$C40)</f>
        <v/>
      </c>
      <c r="D1196" s="48" t="inlineStr">
        <is>
          <t>C.3.1</t>
        </is>
      </c>
      <c r="E1196" s="48" t="inlineStr">
        <is>
          <t>C</t>
        </is>
      </c>
      <c r="F1196" s="48" t="inlineStr">
        <is>
          <t>Q</t>
        </is>
      </c>
      <c r="G1196" s="48" t="inlineStr">
        <is>
          <t>higher</t>
        </is>
      </c>
      <c r="H1196" s="48" t="n">
        <v>2</v>
      </c>
      <c r="I1196" s="48" t="inlineStr">
        <is>
          <t>Tasso di copertura del servizio con dispositivi di informazione dinamica a bordo mezzo</t>
        </is>
      </c>
      <c r="J1196" s="73" t="n"/>
      <c r="K1196" s="73" t="n"/>
      <c r="L1196" s="73" t="n"/>
      <c r="M1196" s="73" t="n"/>
      <c r="N1196" s="57">
        <f>IF($A1196="","",IFERROR(VALUE($K1196)/VALUE($L1196),IFERROR(VALUE($J1196),0)))</f>
        <v/>
      </c>
      <c r="O1196" s="57">
        <f>IF($A1196="",0,IF(OR($S1196&lt;&gt;1,COUNTA($J1196:$M1196)=0),0,IF(SUMPRODUCT(MAX(($C$5:$C$2484=$C1196)*($D$5:$D$2484=$D1196)*($S$5:$S$2484=1)*IFERROR($N$5:$N$2484*1,0)))&gt;0,ROUND($H1196*($N1196/SUMPRODUCT(MAX(($C$5:$C$2484=$C1196)*($D$5:$D$2484=$D1196)*($S$5:$S$2484=1)*IFERROR($N$5:$N$2484*1,0)))),4),0)))</f>
        <v/>
      </c>
      <c r="P1196" s="48" t="inlineStr">
        <is>
          <t>Autobus con monitor e indicatori vocali / Autobus totali in offerta, incluse scorte</t>
        </is>
      </c>
      <c r="Q1196" s="57">
        <f>IF($A1196="","",$A1196&amp;"|"&amp;$C1196)</f>
        <v/>
      </c>
      <c r="R1196" s="57">
        <f>IF($A1196="","",$A1196&amp;"|"&amp;$C1196&amp;"|"&amp;$D1196)</f>
        <v/>
      </c>
      <c r="S1196" s="57">
        <f>IF($A1196="","",IFERROR(INDEX(Offerte!$D$2:$D$81,MATCH($Q1196,Offerte!$L$2:$L$81,0)),0))</f>
        <v/>
      </c>
      <c r="T1196" s="57">
        <f>IF($A1196="","",IFERROR(INDEX(Offerte!$G$2:$G$81,MATCH($Q1196,Offerte!$L$2:$L$81,0)),"NO"))</f>
        <v/>
      </c>
    </row>
    <row r="1197">
      <c r="A1197" s="48">
        <f>IF(Offerte!$A40="","",Offerte!$A40)</f>
        <v/>
      </c>
      <c r="B1197" s="48">
        <f>IF(Offerte!$A40="","",Offerte!$B40)</f>
        <v/>
      </c>
      <c r="C1197" s="48">
        <f>IF(Offerte!$A40="","",Offerte!$C40)</f>
        <v/>
      </c>
      <c r="D1197" s="48" t="inlineStr">
        <is>
          <t>C.3.2</t>
        </is>
      </c>
      <c r="E1197" s="48" t="inlineStr">
        <is>
          <t>C</t>
        </is>
      </c>
      <c r="F1197" s="48" t="inlineStr">
        <is>
          <t>T</t>
        </is>
      </c>
      <c r="G1197" s="48" t="inlineStr">
        <is>
          <t>tabular</t>
        </is>
      </c>
      <c r="H1197" s="48" t="n">
        <v>2</v>
      </c>
      <c r="I1197" s="48" t="inlineStr">
        <is>
          <t>Informazioni a bordo su coincidenze ai nodi</t>
        </is>
      </c>
      <c r="J1197" s="73" t="n"/>
      <c r="K1197" s="73" t="n"/>
      <c r="L1197" s="73" t="n"/>
      <c r="M1197" s="73" t="n"/>
      <c r="N1197" s="57">
        <f>IF($A1197="","",IF(IFERROR(VALUE($M1197),0)=1,1,0))</f>
        <v/>
      </c>
      <c r="O1197" s="57">
        <f>IF($A1197="",0,IF(OR($S1197&lt;&gt;1,COUNTA($J1197:$M1197)=0),0,IF(AND($N1197=1,IFERROR(SUMIFS($N$5:$N$2484,$Q$5:$Q$2484,$Q1197,$D$5:$D$2484,"C.3.1"),0)&gt;=0.5),$H1197,0)))</f>
        <v/>
      </c>
      <c r="P1197" s="48" t="inlineStr">
        <is>
          <t>Dipende da C.3.1 &gt;= 0.5</t>
        </is>
      </c>
      <c r="Q1197" s="57">
        <f>IF($A1197="","",$A1197&amp;"|"&amp;$C1197)</f>
        <v/>
      </c>
      <c r="R1197" s="57">
        <f>IF($A1197="","",$A1197&amp;"|"&amp;$C1197&amp;"|"&amp;$D1197)</f>
        <v/>
      </c>
      <c r="S1197" s="57">
        <f>IF($A1197="","",IFERROR(INDEX(Offerte!$D$2:$D$81,MATCH($Q1197,Offerte!$L$2:$L$81,0)),0))</f>
        <v/>
      </c>
      <c r="T1197" s="57">
        <f>IF($A1197="","",IFERROR(INDEX(Offerte!$G$2:$G$81,MATCH($Q1197,Offerte!$L$2:$L$81,0)),"NO"))</f>
        <v/>
      </c>
    </row>
    <row r="1198">
      <c r="A1198" s="48">
        <f>IF(Offerte!$A40="","",Offerte!$A40)</f>
        <v/>
      </c>
      <c r="B1198" s="48">
        <f>IF(Offerte!$A40="","",Offerte!$B40)</f>
        <v/>
      </c>
      <c r="C1198" s="48">
        <f>IF(Offerte!$A40="","",Offerte!$C40)</f>
        <v/>
      </c>
      <c r="D1198" s="48" t="inlineStr">
        <is>
          <t>D.1.1</t>
        </is>
      </c>
      <c r="E1198" s="48" t="inlineStr">
        <is>
          <t>D</t>
        </is>
      </c>
      <c r="F1198" s="48" t="inlineStr">
        <is>
          <t>Q</t>
        </is>
      </c>
      <c r="G1198" s="48" t="inlineStr">
        <is>
          <t>higher</t>
        </is>
      </c>
      <c r="H1198" s="48" t="n">
        <v>3</v>
      </c>
      <c r="I1198" s="48" t="inlineStr">
        <is>
          <t>Installazione di pensiline</t>
        </is>
      </c>
      <c r="J1198" s="73" t="n"/>
      <c r="K1198" s="73" t="n"/>
      <c r="L1198" s="73" t="n"/>
      <c r="M1198" s="73" t="n"/>
      <c r="N1198" s="57">
        <f>IF($A1198="","",IFERROR(VALUE($J1198),0))</f>
        <v/>
      </c>
      <c r="O1198" s="57">
        <f>IF($A1198="",0,IF(OR($S1198&lt;&gt;1,COUNTA($J1198:$M1198)=0),0,IF(SUMPRODUCT(MAX(($C$5:$C$2484=$C1198)*($D$5:$D$2484=$D1198)*($S$5:$S$2484=1)*IFERROR($N$5:$N$2484*1,0)))&gt;0,ROUND($H1198*($N1198/SUMPRODUCT(MAX(($C$5:$C$2484=$C1198)*($D$5:$D$2484=$D1198)*($S$5:$S$2484=1)*IFERROR($N$5:$N$2484*1,0)))),4),0)))</f>
        <v/>
      </c>
      <c r="P1198" s="48" t="inlineStr">
        <is>
          <t>fermate</t>
        </is>
      </c>
      <c r="Q1198" s="57">
        <f>IF($A1198="","",$A1198&amp;"|"&amp;$C1198)</f>
        <v/>
      </c>
      <c r="R1198" s="57">
        <f>IF($A1198="","",$A1198&amp;"|"&amp;$C1198&amp;"|"&amp;$D1198)</f>
        <v/>
      </c>
      <c r="S1198" s="57">
        <f>IF($A1198="","",IFERROR(INDEX(Offerte!$D$2:$D$81,MATCH($Q1198,Offerte!$L$2:$L$81,0)),0))</f>
        <v/>
      </c>
      <c r="T1198" s="57">
        <f>IF($A1198="","",IFERROR(INDEX(Offerte!$G$2:$G$81,MATCH($Q1198,Offerte!$L$2:$L$81,0)),"NO"))</f>
        <v/>
      </c>
    </row>
    <row r="1199">
      <c r="A1199" s="48">
        <f>IF(Offerte!$A40="","",Offerte!$A40)</f>
        <v/>
      </c>
      <c r="B1199" s="48">
        <f>IF(Offerte!$A40="","",Offerte!$B40)</f>
        <v/>
      </c>
      <c r="C1199" s="48">
        <f>IF(Offerte!$A40="","",Offerte!$C40)</f>
        <v/>
      </c>
      <c r="D1199" s="48" t="inlineStr">
        <is>
          <t>D.1.2</t>
        </is>
      </c>
      <c r="E1199" s="48" t="inlineStr">
        <is>
          <t>D</t>
        </is>
      </c>
      <c r="F1199" s="48" t="inlineStr">
        <is>
          <t>Q</t>
        </is>
      </c>
      <c r="G1199" s="48" t="inlineStr">
        <is>
          <t>higher</t>
        </is>
      </c>
      <c r="H1199" s="48" t="n">
        <v>3</v>
      </c>
      <c r="I1199" s="48" t="inlineStr">
        <is>
          <t>Installazione di paline di fermata conformi alla DGR 581/2023</t>
        </is>
      </c>
      <c r="J1199" s="73" t="n"/>
      <c r="K1199" s="73" t="n"/>
      <c r="L1199" s="73" t="n"/>
      <c r="M1199" s="73" t="n"/>
      <c r="N1199" s="57">
        <f>IF($A1199="","",IFERROR(VALUE($J1199),0))</f>
        <v/>
      </c>
      <c r="O1199" s="57">
        <f>IF($A1199="",0,IF(OR($S1199&lt;&gt;1,COUNTA($J1199:$M1199)=0),0,IF(SUMPRODUCT(MAX(($C$5:$C$2484=$C1199)*($D$5:$D$2484=$D1199)*($S$5:$S$2484=1)*IFERROR($N$5:$N$2484*1,0)))&gt;0,ROUND($H1199*($N1199/SUMPRODUCT(MAX(($C$5:$C$2484=$C1199)*($D$5:$D$2484=$D1199)*($S$5:$S$2484=1)*IFERROR($N$5:$N$2484*1,0)))),4),0)))</f>
        <v/>
      </c>
      <c r="P1199" s="48" t="inlineStr">
        <is>
          <t>fermate</t>
        </is>
      </c>
      <c r="Q1199" s="57">
        <f>IF($A1199="","",$A1199&amp;"|"&amp;$C1199)</f>
        <v/>
      </c>
      <c r="R1199" s="57">
        <f>IF($A1199="","",$A1199&amp;"|"&amp;$C1199&amp;"|"&amp;$D1199)</f>
        <v/>
      </c>
      <c r="S1199" s="57">
        <f>IF($A1199="","",IFERROR(INDEX(Offerte!$D$2:$D$81,MATCH($Q1199,Offerte!$L$2:$L$81,0)),0))</f>
        <v/>
      </c>
      <c r="T1199" s="57">
        <f>IF($A1199="","",IFERROR(INDEX(Offerte!$G$2:$G$81,MATCH($Q1199,Offerte!$L$2:$L$81,0)),"NO"))</f>
        <v/>
      </c>
    </row>
    <row r="1200">
      <c r="A1200" s="48">
        <f>IF(Offerte!$A40="","",Offerte!$A40)</f>
        <v/>
      </c>
      <c r="B1200" s="48">
        <f>IF(Offerte!$A40="","",Offerte!$B40)</f>
        <v/>
      </c>
      <c r="C1200" s="48">
        <f>IF(Offerte!$A40="","",Offerte!$C40)</f>
        <v/>
      </c>
      <c r="D1200" s="48" t="inlineStr">
        <is>
          <t>D.1.3</t>
        </is>
      </c>
      <c r="E1200" s="48" t="inlineStr">
        <is>
          <t>D</t>
        </is>
      </c>
      <c r="F1200" s="48" t="inlineStr">
        <is>
          <t>Q</t>
        </is>
      </c>
      <c r="G1200" s="48" t="inlineStr">
        <is>
          <t>higher</t>
        </is>
      </c>
      <c r="H1200" s="48" t="n">
        <v>2</v>
      </c>
      <c r="I1200" s="48" t="inlineStr">
        <is>
          <t>Display informativi connessi alle fermate</t>
        </is>
      </c>
      <c r="J1200" s="73" t="n"/>
      <c r="K1200" s="73" t="n"/>
      <c r="L1200" s="73" t="n"/>
      <c r="M1200" s="73" t="n"/>
      <c r="N1200" s="57">
        <f>IF($A1200="","",IFERROR(VALUE($J1200),0))</f>
        <v/>
      </c>
      <c r="O1200" s="57">
        <f>IF($A1200="",0,IF(OR($S1200&lt;&gt;1,COUNTA($J1200:$M1200)=0),0,IF(SUMPRODUCT(MAX(($C$5:$C$2484=$C1200)*($D$5:$D$2484=$D1200)*($S$5:$S$2484=1)*IFERROR($N$5:$N$2484*1,0)))&gt;0,ROUND($H1200*($N1200/SUMPRODUCT(MAX(($C$5:$C$2484=$C1200)*($D$5:$D$2484=$D1200)*($S$5:$S$2484=1)*IFERROR($N$5:$N$2484*1,0)))),4),0)))</f>
        <v/>
      </c>
      <c r="P1200" s="48" t="inlineStr">
        <is>
          <t>fermate</t>
        </is>
      </c>
      <c r="Q1200" s="57">
        <f>IF($A1200="","",$A1200&amp;"|"&amp;$C1200)</f>
        <v/>
      </c>
      <c r="R1200" s="57">
        <f>IF($A1200="","",$A1200&amp;"|"&amp;$C1200&amp;"|"&amp;$D1200)</f>
        <v/>
      </c>
      <c r="S1200" s="57">
        <f>IF($A1200="","",IFERROR(INDEX(Offerte!$D$2:$D$81,MATCH($Q1200,Offerte!$L$2:$L$81,0)),0))</f>
        <v/>
      </c>
      <c r="T1200" s="57">
        <f>IF($A1200="","",IFERROR(INDEX(Offerte!$G$2:$G$81,MATCH($Q1200,Offerte!$L$2:$L$81,0)),"NO"))</f>
        <v/>
      </c>
    </row>
    <row r="1201">
      <c r="A1201" s="48">
        <f>IF(Offerte!$A40="","",Offerte!$A40)</f>
        <v/>
      </c>
      <c r="B1201" s="48">
        <f>IF(Offerte!$A40="","",Offerte!$B40)</f>
        <v/>
      </c>
      <c r="C1201" s="48">
        <f>IF(Offerte!$A40="","",Offerte!$C40)</f>
        <v/>
      </c>
      <c r="D1201" s="48" t="inlineStr">
        <is>
          <t>D.2.1</t>
        </is>
      </c>
      <c r="E1201" s="48" t="inlineStr">
        <is>
          <t>D</t>
        </is>
      </c>
      <c r="F1201" s="48" t="inlineStr">
        <is>
          <t>Q</t>
        </is>
      </c>
      <c r="G1201" s="48" t="inlineStr">
        <is>
          <t>higher</t>
        </is>
      </c>
      <c r="H1201" s="48" t="n">
        <v>2</v>
      </c>
      <c r="I1201" s="48" t="inlineStr">
        <is>
          <t>Segnali tattili Loges-Vet-Evolution</t>
        </is>
      </c>
      <c r="J1201" s="73" t="n"/>
      <c r="K1201" s="73" t="n"/>
      <c r="L1201" s="73" t="n"/>
      <c r="M1201" s="73" t="n"/>
      <c r="N1201" s="57">
        <f>IF($A1201="","",IFERROR(VALUE($J1201),0))</f>
        <v/>
      </c>
      <c r="O1201" s="57">
        <f>IF($A1201="",0,IF(OR($S1201&lt;&gt;1,COUNTA($J1201:$M1201)=0),0,IF(SUMPRODUCT(MAX(($C$5:$C$2484=$C1201)*($D$5:$D$2484=$D1201)*($S$5:$S$2484=1)*IFERROR($N$5:$N$2484*1,0)))&gt;0,ROUND($H1201*($N1201/SUMPRODUCT(MAX(($C$5:$C$2484=$C1201)*($D$5:$D$2484=$D1201)*($S$5:$S$2484=1)*IFERROR($N$5:$N$2484*1,0)))),4),0)))</f>
        <v/>
      </c>
      <c r="P1201" s="48" t="inlineStr">
        <is>
          <t>fermate</t>
        </is>
      </c>
      <c r="Q1201" s="57">
        <f>IF($A1201="","",$A1201&amp;"|"&amp;$C1201)</f>
        <v/>
      </c>
      <c r="R1201" s="57">
        <f>IF($A1201="","",$A1201&amp;"|"&amp;$C1201&amp;"|"&amp;$D1201)</f>
        <v/>
      </c>
      <c r="S1201" s="57">
        <f>IF($A1201="","",IFERROR(INDEX(Offerte!$D$2:$D$81,MATCH($Q1201,Offerte!$L$2:$L$81,0)),0))</f>
        <v/>
      </c>
      <c r="T1201" s="57">
        <f>IF($A1201="","",IFERROR(INDEX(Offerte!$G$2:$G$81,MATCH($Q1201,Offerte!$L$2:$L$81,0)),"NO"))</f>
        <v/>
      </c>
    </row>
    <row r="1202">
      <c r="A1202" s="48">
        <f>IF(Offerte!$A40="","",Offerte!$A40)</f>
        <v/>
      </c>
      <c r="B1202" s="48">
        <f>IF(Offerte!$A40="","",Offerte!$B40)</f>
        <v/>
      </c>
      <c r="C1202" s="48">
        <f>IF(Offerte!$A40="","",Offerte!$C40)</f>
        <v/>
      </c>
      <c r="D1202" s="48" t="inlineStr">
        <is>
          <t>E.1.1</t>
        </is>
      </c>
      <c r="E1202" s="48" t="inlineStr">
        <is>
          <t>E</t>
        </is>
      </c>
      <c r="F1202" s="48" t="inlineStr">
        <is>
          <t>T</t>
        </is>
      </c>
      <c r="G1202" s="48" t="inlineStr">
        <is>
          <t>tabular</t>
        </is>
      </c>
      <c r="H1202" s="48" t="n">
        <v>2</v>
      </c>
      <c r="I1202" s="48" t="inlineStr">
        <is>
          <t>Mobile app con travel planner PRM</t>
        </is>
      </c>
      <c r="J1202" s="73" t="n"/>
      <c r="K1202" s="73" t="n"/>
      <c r="L1202" s="73" t="n"/>
      <c r="M1202" s="73" t="n"/>
      <c r="N1202" s="57">
        <f>IF($A1202="","",IF(IFERROR(VALUE($M1202),0)=1,1,0))</f>
        <v/>
      </c>
      <c r="O1202" s="57">
        <f>IF($A1202="",0,IF(OR($S1202&lt;&gt;1,COUNTA($J1202:$M1202)=0),0,IF($N1202=1,$H1202,0)))</f>
        <v/>
      </c>
      <c r="P1202" s="48" t="inlineStr">
        <is>
          <t>sì/no</t>
        </is>
      </c>
      <c r="Q1202" s="57">
        <f>IF($A1202="","",$A1202&amp;"|"&amp;$C1202)</f>
        <v/>
      </c>
      <c r="R1202" s="57">
        <f>IF($A1202="","",$A1202&amp;"|"&amp;$C1202&amp;"|"&amp;$D1202)</f>
        <v/>
      </c>
      <c r="S1202" s="57">
        <f>IF($A1202="","",IFERROR(INDEX(Offerte!$D$2:$D$81,MATCH($Q1202,Offerte!$L$2:$L$81,0)),0))</f>
        <v/>
      </c>
      <c r="T1202" s="57">
        <f>IF($A1202="","",IFERROR(INDEX(Offerte!$G$2:$G$81,MATCH($Q1202,Offerte!$L$2:$L$81,0)),"NO"))</f>
        <v/>
      </c>
    </row>
    <row r="1203">
      <c r="A1203" s="48">
        <f>IF(Offerte!$A40="","",Offerte!$A40)</f>
        <v/>
      </c>
      <c r="B1203" s="48">
        <f>IF(Offerte!$A40="","",Offerte!$B40)</f>
        <v/>
      </c>
      <c r="C1203" s="48">
        <f>IF(Offerte!$A40="","",Offerte!$C40)</f>
        <v/>
      </c>
      <c r="D1203" s="48" t="inlineStr">
        <is>
          <t>E.2.1</t>
        </is>
      </c>
      <c r="E1203" s="48" t="inlineStr">
        <is>
          <t>E</t>
        </is>
      </c>
      <c r="F1203" s="48" t="inlineStr">
        <is>
          <t>D</t>
        </is>
      </c>
      <c r="G1203" s="48" t="inlineStr">
        <is>
          <t>discretionary</t>
        </is>
      </c>
      <c r="H1203" s="48" t="n">
        <v>2</v>
      </c>
      <c r="I1203" s="48" t="inlineStr">
        <is>
          <t>Altre azioni informative e rapporti con gli utenti</t>
        </is>
      </c>
      <c r="J1203" s="73" t="n"/>
      <c r="K1203" s="73" t="n"/>
      <c r="L1203" s="73" t="n"/>
      <c r="M1203" s="73" t="n"/>
      <c r="N1203" s="57">
        <f>IF($A1203="","",MAX(0,MIN(1,IFERROR(VALUE($M1203),0))))</f>
        <v/>
      </c>
      <c r="O1203" s="57">
        <f>IF($A1203="",0,IF(OR($S1203&lt;&gt;1,COUNTA($J1203:$M1203)=0),0,IF(SUMPRODUCT(MAX(($C$5:$C$2484=$C1203)*($D$5:$D$2484=$D1203)*($S$5:$S$2484=1)*IFERROR($N$5:$N$2484*1,0)))&gt;0,ROUND($H1203*($N1203/SUMPRODUCT(MAX(($C$5:$C$2484=$C1203)*($D$5:$D$2484=$D1203)*($S$5:$S$2484=1)*IFERROR($N$5:$N$2484*1,0)))),4),0)))</f>
        <v/>
      </c>
      <c r="P1203" s="48" t="inlineStr">
        <is>
          <t>coeff.</t>
        </is>
      </c>
      <c r="Q1203" s="57">
        <f>IF($A1203="","",$A1203&amp;"|"&amp;$C1203)</f>
        <v/>
      </c>
      <c r="R1203" s="57">
        <f>IF($A1203="","",$A1203&amp;"|"&amp;$C1203&amp;"|"&amp;$D1203)</f>
        <v/>
      </c>
      <c r="S1203" s="57">
        <f>IF($A1203="","",IFERROR(INDEX(Offerte!$D$2:$D$81,MATCH($Q1203,Offerte!$L$2:$L$81,0)),0))</f>
        <v/>
      </c>
      <c r="T1203" s="57">
        <f>IF($A1203="","",IFERROR(INDEX(Offerte!$G$2:$G$81,MATCH($Q1203,Offerte!$L$2:$L$81,0)),"NO"))</f>
        <v/>
      </c>
    </row>
    <row r="1204">
      <c r="A1204" s="48">
        <f>IF(Offerte!$A40="","",Offerte!$A40)</f>
        <v/>
      </c>
      <c r="B1204" s="48">
        <f>IF(Offerte!$A40="","",Offerte!$B40)</f>
        <v/>
      </c>
      <c r="C1204" s="48">
        <f>IF(Offerte!$A40="","",Offerte!$C40)</f>
        <v/>
      </c>
      <c r="D1204" s="48" t="inlineStr">
        <is>
          <t>F.1.1</t>
        </is>
      </c>
      <c r="E1204" s="48" t="inlineStr">
        <is>
          <t>F</t>
        </is>
      </c>
      <c r="F1204" s="48" t="inlineStr">
        <is>
          <t>Q</t>
        </is>
      </c>
      <c r="G1204" s="48" t="inlineStr">
        <is>
          <t>lower</t>
        </is>
      </c>
      <c r="H1204" s="48" t="n">
        <v>7</v>
      </c>
      <c r="I1204" s="48" t="inlineStr">
        <is>
          <t>Performance ambientali del parco mezzi adibito al servizio - I_CEA</t>
        </is>
      </c>
      <c r="J1204" s="73" t="n"/>
      <c r="K1204" s="73" t="n"/>
      <c r="L1204" s="73" t="n"/>
      <c r="M1204" s="73" t="n"/>
      <c r="N1204" s="57">
        <f>IF($A1204="","",IFERROR(VALUE($J1204),0))</f>
        <v/>
      </c>
      <c r="O1204" s="57">
        <f>IF($A1204="",0,IF(OR($S1204&lt;&gt;1,COUNTA($J1204:$M1204)=0),0,IF(AND(IFERROR(AGGREGATE(15,6,$N$5:$N$2484/(($C$5:$C$2484=$C1204)*($D$5:$D$2484=$D1204)*($S$5:$S$2484=1)*($N$5:$N$2484&gt;0)),1),0)&gt;0,$N1204&gt;0),ROUND($H1204*(IFERROR(AGGREGATE(15,6,$N$5:$N$2484/(($C$5:$C$2484=$C1204)*($D$5:$D$2484=$D1204)*($S$5:$S$2484=1)*($N$5:$N$2484&gt;0)),1),0)/$N1204),4),0)))</f>
        <v/>
      </c>
      <c r="P1204" s="48" t="inlineStr">
        <is>
          <t>indice</t>
        </is>
      </c>
      <c r="Q1204" s="57">
        <f>IF($A1204="","",$A1204&amp;"|"&amp;$C1204)</f>
        <v/>
      </c>
      <c r="R1204" s="57">
        <f>IF($A1204="","",$A1204&amp;"|"&amp;$C1204&amp;"|"&amp;$D1204)</f>
        <v/>
      </c>
      <c r="S1204" s="57">
        <f>IF($A1204="","",IFERROR(INDEX(Offerte!$D$2:$D$81,MATCH($Q1204,Offerte!$L$2:$L$81,0)),0))</f>
        <v/>
      </c>
      <c r="T1204" s="57">
        <f>IF($A1204="","",IFERROR(INDEX(Offerte!$G$2:$G$81,MATCH($Q1204,Offerte!$L$2:$L$81,0)),"NO"))</f>
        <v/>
      </c>
    </row>
    <row r="1205">
      <c r="A1205" s="48">
        <f>IF(Offerte!$A40="","",Offerte!$A40)</f>
        <v/>
      </c>
      <c r="B1205" s="48">
        <f>IF(Offerte!$A40="","",Offerte!$B40)</f>
        <v/>
      </c>
      <c r="C1205" s="48">
        <f>IF(Offerte!$A40="","",Offerte!$C40)</f>
        <v/>
      </c>
      <c r="D1205" s="48" t="inlineStr">
        <is>
          <t>F.2.1</t>
        </is>
      </c>
      <c r="E1205" s="48" t="inlineStr">
        <is>
          <t>F</t>
        </is>
      </c>
      <c r="F1205" s="48" t="inlineStr">
        <is>
          <t>Q</t>
        </is>
      </c>
      <c r="G1205" s="48" t="inlineStr">
        <is>
          <t>higher</t>
        </is>
      </c>
      <c r="H1205" s="48" t="n">
        <v>2</v>
      </c>
      <c r="I1205" s="48" t="inlineStr">
        <is>
          <t>Tasso di copertura del servizio con dispositivi ECO-DRIVER</t>
        </is>
      </c>
      <c r="J1205" s="73" t="n"/>
      <c r="K1205" s="73" t="n"/>
      <c r="L1205" s="73" t="n"/>
      <c r="M1205" s="73" t="n"/>
      <c r="N1205" s="57">
        <f>IF($A1205="","",IFERROR(VALUE($K1205)/VALUE($L1205),IFERROR(VALUE($J1205),0)))</f>
        <v/>
      </c>
      <c r="O1205" s="57">
        <f>IF($A1205="",0,IF(OR($S1205&lt;&gt;1,COUNTA($J1205:$M1205)=0),0,IF(SUMPRODUCT(MAX(($C$5:$C$2484=$C1205)*($D$5:$D$2484=$D1205)*($S$5:$S$2484=1)*IFERROR($N$5:$N$2484*1,0)))&gt;0,ROUND($H1205*($N1205/SUMPRODUCT(MAX(($C$5:$C$2484=$C1205)*($D$5:$D$2484=$D1205)*($S$5:$S$2484=1)*IFERROR($N$5:$N$2484*1,0)))),4),0)))</f>
        <v/>
      </c>
      <c r="P1205" s="48" t="inlineStr">
        <is>
          <t>Autobus attrezzati con dispositivi ECO-DRIVER / Autobus totali in offerta, incluse scorte</t>
        </is>
      </c>
      <c r="Q1205" s="57">
        <f>IF($A1205="","",$A1205&amp;"|"&amp;$C1205)</f>
        <v/>
      </c>
      <c r="R1205" s="57">
        <f>IF($A1205="","",$A1205&amp;"|"&amp;$C1205&amp;"|"&amp;$D1205)</f>
        <v/>
      </c>
      <c r="S1205" s="57">
        <f>IF($A1205="","",IFERROR(INDEX(Offerte!$D$2:$D$81,MATCH($Q1205,Offerte!$L$2:$L$81,0)),0))</f>
        <v/>
      </c>
      <c r="T1205" s="57">
        <f>IF($A1205="","",IFERROR(INDEX(Offerte!$G$2:$G$81,MATCH($Q1205,Offerte!$L$2:$L$81,0)),"NO"))</f>
        <v/>
      </c>
    </row>
    <row r="1206">
      <c r="A1206" s="48">
        <f>IF(Offerte!$A40="","",Offerte!$A40)</f>
        <v/>
      </c>
      <c r="B1206" s="48">
        <f>IF(Offerte!$A40="","",Offerte!$B40)</f>
        <v/>
      </c>
      <c r="C1206" s="48">
        <f>IF(Offerte!$A40="","",Offerte!$C40)</f>
        <v/>
      </c>
      <c r="D1206" s="48" t="inlineStr">
        <is>
          <t>F.3.1</t>
        </is>
      </c>
      <c r="E1206" s="48" t="inlineStr">
        <is>
          <t>F</t>
        </is>
      </c>
      <c r="F1206" s="48" t="inlineStr">
        <is>
          <t>Q</t>
        </is>
      </c>
      <c r="G1206" s="48" t="inlineStr">
        <is>
          <t>higher</t>
        </is>
      </c>
      <c r="H1206" s="48" t="n">
        <v>2</v>
      </c>
      <c r="I1206" s="48" t="inlineStr">
        <is>
          <t>Autoproduzione consumi elettrici per trazione</t>
        </is>
      </c>
      <c r="J1206" s="73" t="n"/>
      <c r="K1206" s="73" t="n"/>
      <c r="L1206" s="73" t="n"/>
      <c r="M1206" s="73" t="n"/>
      <c r="N1206" s="57">
        <f>IF($A1206="","",IFERROR(VALUE($J1206),0))</f>
        <v/>
      </c>
      <c r="O1206" s="57">
        <f>IF($A1206="",0,IF(OR($S1206&lt;&gt;1,COUNTA($J1206:$M1206)=0),0,IF(SUMPRODUCT(MAX(($C$5:$C$2484=$C1206)*($D$5:$D$2484=$D1206)*($S$5:$S$2484=1)*IFERROR($N$5:$N$2484*1,0)))&gt;0,ROUND($H1206*($N1206/SUMPRODUCT(MAX(($C$5:$C$2484=$C1206)*($D$5:$D$2484=$D1206)*($S$5:$S$2484=1)*IFERROR($N$5:$N$2484*1,0)))),4),0)))</f>
        <v/>
      </c>
      <c r="P1206" s="48" t="inlineStr">
        <is>
          <t>kWh/anno</t>
        </is>
      </c>
      <c r="Q1206" s="57">
        <f>IF($A1206="","",$A1206&amp;"|"&amp;$C1206)</f>
        <v/>
      </c>
      <c r="R1206" s="57">
        <f>IF($A1206="","",$A1206&amp;"|"&amp;$C1206&amp;"|"&amp;$D1206)</f>
        <v/>
      </c>
      <c r="S1206" s="57">
        <f>IF($A1206="","",IFERROR(INDEX(Offerte!$D$2:$D$81,MATCH($Q1206,Offerte!$L$2:$L$81,0)),0))</f>
        <v/>
      </c>
      <c r="T1206" s="57">
        <f>IF($A1206="","",IFERROR(INDEX(Offerte!$G$2:$G$81,MATCH($Q1206,Offerte!$L$2:$L$81,0)),"NO"))</f>
        <v/>
      </c>
    </row>
    <row r="1207">
      <c r="A1207" s="48">
        <f>IF(Offerte!$A40="","",Offerte!$A40)</f>
        <v/>
      </c>
      <c r="B1207" s="48">
        <f>IF(Offerte!$A40="","",Offerte!$B40)</f>
        <v/>
      </c>
      <c r="C1207" s="48">
        <f>IF(Offerte!$A40="","",Offerte!$C40)</f>
        <v/>
      </c>
      <c r="D1207" s="48" t="inlineStr">
        <is>
          <t>F.4.1</t>
        </is>
      </c>
      <c r="E1207" s="48" t="inlineStr">
        <is>
          <t>F</t>
        </is>
      </c>
      <c r="F1207" s="48" t="inlineStr">
        <is>
          <t>Q</t>
        </is>
      </c>
      <c r="G1207" s="48" t="inlineStr">
        <is>
          <t>soil</t>
        </is>
      </c>
      <c r="H1207" s="48" t="n">
        <v>2</v>
      </c>
      <c r="I1207" s="48" t="inlineStr">
        <is>
          <t>Indice di consumo di suolo</t>
        </is>
      </c>
      <c r="J1207" s="73" t="n"/>
      <c r="K1207" s="73" t="n"/>
      <c r="L1207" s="73" t="n"/>
      <c r="M1207" s="73" t="n"/>
      <c r="N1207" s="57">
        <f>IF($A1207="","",IFERROR(VALUE($J1207),0))</f>
        <v/>
      </c>
      <c r="O1207" s="57">
        <f>IF($A1207="",0,IF(OR($S1207&lt;&gt;1,COUNTA($J1207:$M1207)=0),0,IF($N1207&lt;=0,$H1207,IF(SUMPRODUCT(MAX(($C$5:$C$2484=$C1207)*($D$5:$D$2484=$D1207)*($S$5:$S$2484=1)*IFERROR($N$5:$N$2484*1,0)))&gt;0,ROUND($H1207*((SUMPRODUCT(MAX(($C$5:$C$2484=$C1207)*($D$5:$D$2484=$D1207)*($S$5:$S$2484=1)*IFERROR($N$5:$N$2484*1,0)))-$N1207)/SUMPRODUCT(MAX(($C$5:$C$2484=$C1207)*($D$5:$D$2484=$D1207)*($S$5:$S$2484=1)*IFERROR($N$5:$N$2484*1,0)))),4),0))))</f>
        <v/>
      </c>
      <c r="P1207" s="48" t="inlineStr">
        <is>
          <t>m2</t>
        </is>
      </c>
      <c r="Q1207" s="57">
        <f>IF($A1207="","",$A1207&amp;"|"&amp;$C1207)</f>
        <v/>
      </c>
      <c r="R1207" s="57">
        <f>IF($A1207="","",$A1207&amp;"|"&amp;$C1207&amp;"|"&amp;$D1207)</f>
        <v/>
      </c>
      <c r="S1207" s="57">
        <f>IF($A1207="","",IFERROR(INDEX(Offerte!$D$2:$D$81,MATCH($Q1207,Offerte!$L$2:$L$81,0)),0))</f>
        <v/>
      </c>
      <c r="T1207" s="57">
        <f>IF($A1207="","",IFERROR(INDEX(Offerte!$G$2:$G$81,MATCH($Q1207,Offerte!$L$2:$L$81,0)),"NO"))</f>
        <v/>
      </c>
    </row>
    <row r="1208">
      <c r="A1208" s="48">
        <f>IF(Offerte!$A40="","",Offerte!$A40)</f>
        <v/>
      </c>
      <c r="B1208" s="48">
        <f>IF(Offerte!$A40="","",Offerte!$B40)</f>
        <v/>
      </c>
      <c r="C1208" s="48">
        <f>IF(Offerte!$A40="","",Offerte!$C40)</f>
        <v/>
      </c>
      <c r="D1208" s="48" t="inlineStr">
        <is>
          <t>F.5.1</t>
        </is>
      </c>
      <c r="E1208" s="48" t="inlineStr">
        <is>
          <t>F</t>
        </is>
      </c>
      <c r="F1208" s="48" t="inlineStr">
        <is>
          <t>T</t>
        </is>
      </c>
      <c r="G1208" s="48" t="inlineStr">
        <is>
          <t>tabular</t>
        </is>
      </c>
      <c r="H1208" s="48" t="n">
        <v>1</v>
      </c>
      <c r="I1208" s="48" t="inlineStr">
        <is>
          <t>Rendicontazione di sostenibilità ambientale</t>
        </is>
      </c>
      <c r="J1208" s="73" t="n"/>
      <c r="K1208" s="73" t="n"/>
      <c r="L1208" s="73" t="n"/>
      <c r="M1208" s="73" t="n"/>
      <c r="N1208" s="57">
        <f>IF($A1208="","",IF(IFERROR(VALUE($M1208),0)=1,1,0))</f>
        <v/>
      </c>
      <c r="O1208" s="57">
        <f>IF($A1208="",0,IF(OR($S1208&lt;&gt;1,COUNTA($J1208:$M1208)=0),0,IF($N1208=1,$H1208,0)))</f>
        <v/>
      </c>
      <c r="P1208" s="48" t="inlineStr">
        <is>
          <t>sì/no</t>
        </is>
      </c>
      <c r="Q1208" s="57">
        <f>IF($A1208="","",$A1208&amp;"|"&amp;$C1208)</f>
        <v/>
      </c>
      <c r="R1208" s="57">
        <f>IF($A1208="","",$A1208&amp;"|"&amp;$C1208&amp;"|"&amp;$D1208)</f>
        <v/>
      </c>
      <c r="S1208" s="57">
        <f>IF($A1208="","",IFERROR(INDEX(Offerte!$D$2:$D$81,MATCH($Q1208,Offerte!$L$2:$L$81,0)),0))</f>
        <v/>
      </c>
      <c r="T1208" s="57">
        <f>IF($A1208="","",IFERROR(INDEX(Offerte!$G$2:$G$81,MATCH($Q1208,Offerte!$L$2:$L$81,0)),"NO"))</f>
        <v/>
      </c>
    </row>
    <row r="1209">
      <c r="A1209" s="48">
        <f>IF(Offerte!$A40="","",Offerte!$A40)</f>
        <v/>
      </c>
      <c r="B1209" s="48">
        <f>IF(Offerte!$A40="","",Offerte!$B40)</f>
        <v/>
      </c>
      <c r="C1209" s="48">
        <f>IF(Offerte!$A40="","",Offerte!$C40)</f>
        <v/>
      </c>
      <c r="D1209" s="48" t="inlineStr">
        <is>
          <t>G.1.1</t>
        </is>
      </c>
      <c r="E1209" s="48" t="inlineStr">
        <is>
          <t>G</t>
        </is>
      </c>
      <c r="F1209" s="48" t="inlineStr">
        <is>
          <t>D</t>
        </is>
      </c>
      <c r="G1209" s="48" t="inlineStr">
        <is>
          <t>discretionary</t>
        </is>
      </c>
      <c r="H1209" s="48" t="n">
        <v>2</v>
      </c>
      <c r="I1209" s="48" t="inlineStr">
        <is>
          <t>Qualità del progetto di centrale di controllo aziendale</t>
        </is>
      </c>
      <c r="J1209" s="73" t="n"/>
      <c r="K1209" s="73" t="n"/>
      <c r="L1209" s="73" t="n"/>
      <c r="M1209" s="73" t="n"/>
      <c r="N1209" s="57">
        <f>IF($A1209="","",MAX(0,MIN(1,IFERROR(VALUE($M1209),0))))</f>
        <v/>
      </c>
      <c r="O1209" s="57">
        <f>IF($A1209="",0,IF(OR($S1209&lt;&gt;1,COUNTA($J1209:$M1209)=0),0,IF(SUMPRODUCT(MAX(($C$5:$C$2484=$C1209)*($D$5:$D$2484=$D1209)*($S$5:$S$2484=1)*IFERROR($N$5:$N$2484*1,0)))&gt;0,ROUND($H1209*($N1209/SUMPRODUCT(MAX(($C$5:$C$2484=$C1209)*($D$5:$D$2484=$D1209)*($S$5:$S$2484=1)*IFERROR($N$5:$N$2484*1,0)))),4),0)))</f>
        <v/>
      </c>
      <c r="P1209" s="48" t="inlineStr">
        <is>
          <t>coeff.</t>
        </is>
      </c>
      <c r="Q1209" s="57">
        <f>IF($A1209="","",$A1209&amp;"|"&amp;$C1209)</f>
        <v/>
      </c>
      <c r="R1209" s="57">
        <f>IF($A1209="","",$A1209&amp;"|"&amp;$C1209&amp;"|"&amp;$D1209)</f>
        <v/>
      </c>
      <c r="S1209" s="57">
        <f>IF($A1209="","",IFERROR(INDEX(Offerte!$D$2:$D$81,MATCH($Q1209,Offerte!$L$2:$L$81,0)),0))</f>
        <v/>
      </c>
      <c r="T1209" s="57">
        <f>IF($A1209="","",IFERROR(INDEX(Offerte!$G$2:$G$81,MATCH($Q1209,Offerte!$L$2:$L$81,0)),"NO"))</f>
        <v/>
      </c>
    </row>
    <row r="1210">
      <c r="A1210" s="48">
        <f>IF(Offerte!$A40="","",Offerte!$A40)</f>
        <v/>
      </c>
      <c r="B1210" s="48">
        <f>IF(Offerte!$A40="","",Offerte!$B40)</f>
        <v/>
      </c>
      <c r="C1210" s="48">
        <f>IF(Offerte!$A40="","",Offerte!$C40)</f>
        <v/>
      </c>
      <c r="D1210" s="48" t="inlineStr">
        <is>
          <t>G.2.1</t>
        </is>
      </c>
      <c r="E1210" s="48" t="inlineStr">
        <is>
          <t>G</t>
        </is>
      </c>
      <c r="F1210" s="48" t="inlineStr">
        <is>
          <t>T</t>
        </is>
      </c>
      <c r="G1210" s="48" t="inlineStr">
        <is>
          <t>tabular</t>
        </is>
      </c>
      <c r="H1210" s="48" t="n">
        <v>1</v>
      </c>
      <c r="I1210" s="48" t="inlineStr">
        <is>
          <t>Certificazione ISO 45001</t>
        </is>
      </c>
      <c r="J1210" s="73" t="n"/>
      <c r="K1210" s="73" t="n"/>
      <c r="L1210" s="73" t="n"/>
      <c r="M1210" s="73" t="n"/>
      <c r="N1210" s="57">
        <f>IF($A1210="","",IF(IFERROR(VALUE($M1210),0)=1,1,0))</f>
        <v/>
      </c>
      <c r="O1210" s="57">
        <f>IF($A1210="",0,IF(OR($S1210&lt;&gt;1,COUNTA($J1210:$M1210)=0),0,IF($N1210=1,$H1210,0)))</f>
        <v/>
      </c>
      <c r="P1210" s="48" t="inlineStr">
        <is>
          <t>sì/no</t>
        </is>
      </c>
      <c r="Q1210" s="57">
        <f>IF($A1210="","",$A1210&amp;"|"&amp;$C1210)</f>
        <v/>
      </c>
      <c r="R1210" s="57">
        <f>IF($A1210="","",$A1210&amp;"|"&amp;$C1210&amp;"|"&amp;$D1210)</f>
        <v/>
      </c>
      <c r="S1210" s="57">
        <f>IF($A1210="","",IFERROR(INDEX(Offerte!$D$2:$D$81,MATCH($Q1210,Offerte!$L$2:$L$81,0)),0))</f>
        <v/>
      </c>
      <c r="T1210" s="57">
        <f>IF($A1210="","",IFERROR(INDEX(Offerte!$G$2:$G$81,MATCH($Q1210,Offerte!$L$2:$L$81,0)),"NO"))</f>
        <v/>
      </c>
    </row>
    <row r="1211">
      <c r="A1211" s="48">
        <f>IF(Offerte!$A40="","",Offerte!$A40)</f>
        <v/>
      </c>
      <c r="B1211" s="48">
        <f>IF(Offerte!$A40="","",Offerte!$B40)</f>
        <v/>
      </c>
      <c r="C1211" s="48">
        <f>IF(Offerte!$A40="","",Offerte!$C40)</f>
        <v/>
      </c>
      <c r="D1211" s="48" t="inlineStr">
        <is>
          <t>G.3.1</t>
        </is>
      </c>
      <c r="E1211" s="48" t="inlineStr">
        <is>
          <t>G</t>
        </is>
      </c>
      <c r="F1211" s="48" t="inlineStr">
        <is>
          <t>T</t>
        </is>
      </c>
      <c r="G1211" s="48" t="inlineStr">
        <is>
          <t>tabular</t>
        </is>
      </c>
      <c r="H1211" s="48" t="n">
        <v>1</v>
      </c>
      <c r="I1211" s="48" t="inlineStr">
        <is>
          <t>Certificazioni di responsabilità sociale</t>
        </is>
      </c>
      <c r="J1211" s="73" t="n"/>
      <c r="K1211" s="73" t="n"/>
      <c r="L1211" s="73" t="n"/>
      <c r="M1211" s="73" t="n"/>
      <c r="N1211" s="57">
        <f>IF($A1211="","",IF(IFERROR(VALUE($M1211),0)=1,1,0))</f>
        <v/>
      </c>
      <c r="O1211" s="57">
        <f>IF($A1211="",0,IF(OR($S1211&lt;&gt;1,COUNTA($J1211:$M1211)=0),0,IF($N1211=1,$H1211,0)))</f>
        <v/>
      </c>
      <c r="P1211" s="48" t="inlineStr">
        <is>
          <t>sì/no</t>
        </is>
      </c>
      <c r="Q1211" s="57">
        <f>IF($A1211="","",$A1211&amp;"|"&amp;$C1211)</f>
        <v/>
      </c>
      <c r="R1211" s="57">
        <f>IF($A1211="","",$A1211&amp;"|"&amp;$C1211&amp;"|"&amp;$D1211)</f>
        <v/>
      </c>
      <c r="S1211" s="57">
        <f>IF($A1211="","",IFERROR(INDEX(Offerte!$D$2:$D$81,MATCH($Q1211,Offerte!$L$2:$L$81,0)),0))</f>
        <v/>
      </c>
      <c r="T1211" s="57">
        <f>IF($A1211="","",IFERROR(INDEX(Offerte!$G$2:$G$81,MATCH($Q1211,Offerte!$L$2:$L$81,0)),"NO"))</f>
        <v/>
      </c>
    </row>
    <row r="1212">
      <c r="A1212" s="48">
        <f>IF(Offerte!$A40="","",Offerte!$A40)</f>
        <v/>
      </c>
      <c r="B1212" s="48">
        <f>IF(Offerte!$A40="","",Offerte!$B40)</f>
        <v/>
      </c>
      <c r="C1212" s="48">
        <f>IF(Offerte!$A40="","",Offerte!$C40)</f>
        <v/>
      </c>
      <c r="D1212" s="48" t="inlineStr">
        <is>
          <t>G.4.1</t>
        </is>
      </c>
      <c r="E1212" s="48" t="inlineStr">
        <is>
          <t>G</t>
        </is>
      </c>
      <c r="F1212" s="48" t="inlineStr">
        <is>
          <t>D</t>
        </is>
      </c>
      <c r="G1212" s="48" t="inlineStr">
        <is>
          <t>discretionary</t>
        </is>
      </c>
      <c r="H1212" s="48" t="n">
        <v>2</v>
      </c>
      <c r="I1212" s="48" t="inlineStr">
        <is>
          <t>Qualità del piano di formazione del personale</t>
        </is>
      </c>
      <c r="J1212" s="73" t="n"/>
      <c r="K1212" s="73" t="n"/>
      <c r="L1212" s="73" t="n"/>
      <c r="M1212" s="73" t="n"/>
      <c r="N1212" s="57">
        <f>IF($A1212="","",MAX(0,MIN(1,IFERROR(VALUE($M1212),0))))</f>
        <v/>
      </c>
      <c r="O1212" s="57">
        <f>IF($A1212="",0,IF(OR($S1212&lt;&gt;1,COUNTA($J1212:$M1212)=0),0,IF(SUMPRODUCT(MAX(($C$5:$C$2484=$C1212)*($D$5:$D$2484=$D1212)*($S$5:$S$2484=1)*IFERROR($N$5:$N$2484*1,0)))&gt;0,ROUND($H1212*($N1212/SUMPRODUCT(MAX(($C$5:$C$2484=$C1212)*($D$5:$D$2484=$D1212)*($S$5:$S$2484=1)*IFERROR($N$5:$N$2484*1,0)))),4),0)))</f>
        <v/>
      </c>
      <c r="P1212" s="48" t="inlineStr">
        <is>
          <t>coeff.</t>
        </is>
      </c>
      <c r="Q1212" s="57">
        <f>IF($A1212="","",$A1212&amp;"|"&amp;$C1212)</f>
        <v/>
      </c>
      <c r="R1212" s="57">
        <f>IF($A1212="","",$A1212&amp;"|"&amp;$C1212&amp;"|"&amp;$D1212)</f>
        <v/>
      </c>
      <c r="S1212" s="57">
        <f>IF($A1212="","",IFERROR(INDEX(Offerte!$D$2:$D$81,MATCH($Q1212,Offerte!$L$2:$L$81,0)),0))</f>
        <v/>
      </c>
      <c r="T1212" s="57">
        <f>IF($A1212="","",IFERROR(INDEX(Offerte!$G$2:$G$81,MATCH($Q1212,Offerte!$L$2:$L$81,0)),"NO"))</f>
        <v/>
      </c>
    </row>
    <row r="1213">
      <c r="A1213" s="48">
        <f>IF(Offerte!$A40="","",Offerte!$A40)</f>
        <v/>
      </c>
      <c r="B1213" s="48">
        <f>IF(Offerte!$A40="","",Offerte!$B40)</f>
        <v/>
      </c>
      <c r="C1213" s="48">
        <f>IF(Offerte!$A40="","",Offerte!$C40)</f>
        <v/>
      </c>
      <c r="D1213" s="48" t="inlineStr">
        <is>
          <t>G.5.1</t>
        </is>
      </c>
      <c r="E1213" s="48" t="inlineStr">
        <is>
          <t>G</t>
        </is>
      </c>
      <c r="F1213" s="48" t="inlineStr">
        <is>
          <t>T</t>
        </is>
      </c>
      <c r="G1213" s="48" t="inlineStr">
        <is>
          <t>tabular</t>
        </is>
      </c>
      <c r="H1213" s="48" t="n">
        <v>1</v>
      </c>
      <c r="I1213" s="48" t="inlineStr">
        <is>
          <t>Impegno al mantenimento delle garanzie del contratto di secondo livello del gestore uscente</t>
        </is>
      </c>
      <c r="J1213" s="73" t="n"/>
      <c r="K1213" s="73" t="n"/>
      <c r="L1213" s="73" t="n"/>
      <c r="M1213" s="73" t="n"/>
      <c r="N1213" s="57">
        <f>IF($A1213="","",IF(IFERROR(VALUE($M1213),0)=1,1,0))</f>
        <v/>
      </c>
      <c r="O1213" s="57">
        <f>IF($A1213="",0,IF(OR($S1213&lt;&gt;1,COUNTA($J1213:$M1213)=0),0,IF($N1213=1,$H1213,0)))</f>
        <v/>
      </c>
      <c r="P1213" s="48" t="inlineStr">
        <is>
          <t>sì/no</t>
        </is>
      </c>
      <c r="Q1213" s="57">
        <f>IF($A1213="","",$A1213&amp;"|"&amp;$C1213)</f>
        <v/>
      </c>
      <c r="R1213" s="57">
        <f>IF($A1213="","",$A1213&amp;"|"&amp;$C1213&amp;"|"&amp;$D1213)</f>
        <v/>
      </c>
      <c r="S1213" s="57">
        <f>IF($A1213="","",IFERROR(INDEX(Offerte!$D$2:$D$81,MATCH($Q1213,Offerte!$L$2:$L$81,0)),0))</f>
        <v/>
      </c>
      <c r="T1213" s="57">
        <f>IF($A1213="","",IFERROR(INDEX(Offerte!$G$2:$G$81,MATCH($Q1213,Offerte!$L$2:$L$81,0)),"NO"))</f>
        <v/>
      </c>
    </row>
    <row r="1214">
      <c r="A1214" s="48">
        <f>IF(Offerte!$A41="","",Offerte!$A41)</f>
        <v/>
      </c>
      <c r="B1214" s="48">
        <f>IF(Offerte!$A41="","",Offerte!$B41)</f>
        <v/>
      </c>
      <c r="C1214" s="48">
        <f>IF(Offerte!$A41="","",Offerte!$C41)</f>
        <v/>
      </c>
      <c r="D1214" s="48" t="inlineStr">
        <is>
          <t>A.1.1</t>
        </is>
      </c>
      <c r="E1214" s="48" t="inlineStr">
        <is>
          <t>A</t>
        </is>
      </c>
      <c r="F1214" s="48" t="inlineStr">
        <is>
          <t>Q</t>
        </is>
      </c>
      <c r="G1214" s="48" t="inlineStr">
        <is>
          <t>higher</t>
        </is>
      </c>
      <c r="H1214" s="48" t="n">
        <v>3</v>
      </c>
      <c r="I1214" s="48" t="inlineStr">
        <is>
          <t>Tasso aggiuntivo di corse controllate</t>
        </is>
      </c>
      <c r="J1214" s="73" t="n"/>
      <c r="K1214" s="73" t="n"/>
      <c r="L1214" s="73" t="n"/>
      <c r="M1214" s="73" t="n"/>
      <c r="N1214" s="57">
        <f>IF($A1214="","",IFERROR(VALUE($K1214)/VALUE($L1214)*100,IFERROR(VALUE($J1214),0)))</f>
        <v/>
      </c>
      <c r="O1214" s="57">
        <f>IF($A1214="",0,IF(OR($S1214&lt;&gt;1,COUNTA($J1214:$M1214)=0),0,IF(SUMPRODUCT(MAX(($C$5:$C$2484=$C1214)*($D$5:$D$2484=$D1214)*($S$5:$S$2484=1)*IFERROR($N$5:$N$2484*1,0)))&gt;0,ROUND($H1214*($N1214/SUMPRODUCT(MAX(($C$5:$C$2484=$C1214)*($D$5:$D$2484=$D1214)*($S$5:$S$2484=1)*IFERROR($N$5:$N$2484*1,0)))),4),0)))</f>
        <v/>
      </c>
      <c r="P1214" s="48" t="inlineStr">
        <is>
          <t>Corse controllate annue / Corse programmate annue</t>
        </is>
      </c>
      <c r="Q1214" s="57">
        <f>IF($A1214="","",$A1214&amp;"|"&amp;$C1214)</f>
        <v/>
      </c>
      <c r="R1214" s="57">
        <f>IF($A1214="","",$A1214&amp;"|"&amp;$C1214&amp;"|"&amp;$D1214)</f>
        <v/>
      </c>
      <c r="S1214" s="57">
        <f>IF($A1214="","",IFERROR(INDEX(Offerte!$D$2:$D$81,MATCH($Q1214,Offerte!$L$2:$L$81,0)),0))</f>
        <v/>
      </c>
      <c r="T1214" s="57">
        <f>IF($A1214="","",IFERROR(INDEX(Offerte!$G$2:$G$81,MATCH($Q1214,Offerte!$L$2:$L$81,0)),"NO"))</f>
        <v/>
      </c>
    </row>
    <row r="1215">
      <c r="A1215" s="48">
        <f>IF(Offerte!$A41="","",Offerte!$A41)</f>
        <v/>
      </c>
      <c r="B1215" s="48">
        <f>IF(Offerte!$A41="","",Offerte!$B41)</f>
        <v/>
      </c>
      <c r="C1215" s="48">
        <f>IF(Offerte!$A41="","",Offerte!$C41)</f>
        <v/>
      </c>
      <c r="D1215" s="48" t="inlineStr">
        <is>
          <t>A.1.2</t>
        </is>
      </c>
      <c r="E1215" s="48" t="inlineStr">
        <is>
          <t>A</t>
        </is>
      </c>
      <c r="F1215" s="48" t="inlineStr">
        <is>
          <t>Q</t>
        </is>
      </c>
      <c r="G1215" s="48" t="inlineStr">
        <is>
          <t>higher</t>
        </is>
      </c>
      <c r="H1215" s="48" t="n">
        <v>4</v>
      </c>
      <c r="I1215" s="48" t="inlineStr">
        <is>
          <t>Numero aggiuntivo di passeggeri controllati</t>
        </is>
      </c>
      <c r="J1215" s="73" t="n"/>
      <c r="K1215" s="73" t="n"/>
      <c r="L1215" s="73" t="n"/>
      <c r="M1215" s="73" t="n"/>
      <c r="N1215" s="57">
        <f>IF($A1215="","",IFERROR(VALUE($J1215),0))</f>
        <v/>
      </c>
      <c r="O1215" s="57">
        <f>IF($A1215="",0,IF(OR($S1215&lt;&gt;1,COUNTA($J1215:$M1215)=0),0,IF(SUMPRODUCT(MAX(($C$5:$C$2484=$C1215)*($D$5:$D$2484=$D1215)*($S$5:$S$2484=1)*IFERROR($N$5:$N$2484*1,0)))&gt;0,ROUND($H1215*($N1215/SUMPRODUCT(MAX(($C$5:$C$2484=$C1215)*($D$5:$D$2484=$D1215)*($S$5:$S$2484=1)*IFERROR($N$5:$N$2484*1,0)))),4),0)))</f>
        <v/>
      </c>
      <c r="P1215" s="48" t="inlineStr">
        <is>
          <t>passeggeri/anno</t>
        </is>
      </c>
      <c r="Q1215" s="57">
        <f>IF($A1215="","",$A1215&amp;"|"&amp;$C1215)</f>
        <v/>
      </c>
      <c r="R1215" s="57">
        <f>IF($A1215="","",$A1215&amp;"|"&amp;$C1215&amp;"|"&amp;$D1215)</f>
        <v/>
      </c>
      <c r="S1215" s="57">
        <f>IF($A1215="","",IFERROR(INDEX(Offerte!$D$2:$D$81,MATCH($Q1215,Offerte!$L$2:$L$81,0)),0))</f>
        <v/>
      </c>
      <c r="T1215" s="57">
        <f>IF($A1215="","",IFERROR(INDEX(Offerte!$G$2:$G$81,MATCH($Q1215,Offerte!$L$2:$L$81,0)),"NO"))</f>
        <v/>
      </c>
    </row>
    <row r="1216">
      <c r="A1216" s="48">
        <f>IF(Offerte!$A41="","",Offerte!$A41)</f>
        <v/>
      </c>
      <c r="B1216" s="48">
        <f>IF(Offerte!$A41="","",Offerte!$B41)</f>
        <v/>
      </c>
      <c r="C1216" s="48">
        <f>IF(Offerte!$A41="","",Offerte!$C41)</f>
        <v/>
      </c>
      <c r="D1216" s="48" t="inlineStr">
        <is>
          <t>B.1.1</t>
        </is>
      </c>
      <c r="E1216" s="48" t="inlineStr">
        <is>
          <t>B</t>
        </is>
      </c>
      <c r="F1216" s="48" t="inlineStr">
        <is>
          <t>Q</t>
        </is>
      </c>
      <c r="G1216" s="48" t="inlineStr">
        <is>
          <t>higher</t>
        </is>
      </c>
      <c r="H1216" s="48" t="n">
        <v>3</v>
      </c>
      <c r="I1216" s="48" t="inlineStr">
        <is>
          <t>Incremento dei posti offerti nelle fasce di punta</t>
        </is>
      </c>
      <c r="J1216" s="73" t="n"/>
      <c r="K1216" s="73" t="n"/>
      <c r="L1216" s="73" t="n"/>
      <c r="M1216" s="73" t="n"/>
      <c r="N1216" s="57">
        <f>IF($A1216="","",IFERROR(VALUE($J1216),0))</f>
        <v/>
      </c>
      <c r="O1216" s="57">
        <f>IF($A1216="",0,IF(OR($S1216&lt;&gt;1,COUNTA($J1216:$M1216)=0),0,IF(SUMPRODUCT(MAX(($C$5:$C$2484=$C1216)*($D$5:$D$2484=$D1216)*($S$5:$S$2484=1)*IFERROR($N$5:$N$2484*1,0)))&gt;0,ROUND($H1216*($N1216/SUMPRODUCT(MAX(($C$5:$C$2484=$C1216)*($D$5:$D$2484=$D1216)*($S$5:$S$2484=1)*IFERROR($N$5:$N$2484*1,0)))),4),0)))</f>
        <v/>
      </c>
      <c r="P1216" s="48" t="inlineStr">
        <is>
          <t>posti*km</t>
        </is>
      </c>
      <c r="Q1216" s="57">
        <f>IF($A1216="","",$A1216&amp;"|"&amp;$C1216)</f>
        <v/>
      </c>
      <c r="R1216" s="57">
        <f>IF($A1216="","",$A1216&amp;"|"&amp;$C1216&amp;"|"&amp;$D1216)</f>
        <v/>
      </c>
      <c r="S1216" s="57">
        <f>IF($A1216="","",IFERROR(INDEX(Offerte!$D$2:$D$81,MATCH($Q1216,Offerte!$L$2:$L$81,0)),0))</f>
        <v/>
      </c>
      <c r="T1216" s="57">
        <f>IF($A1216="","",IFERROR(INDEX(Offerte!$G$2:$G$81,MATCH($Q1216,Offerte!$L$2:$L$81,0)),"NO"))</f>
        <v/>
      </c>
    </row>
    <row r="1217">
      <c r="A1217" s="48">
        <f>IF(Offerte!$A41="","",Offerte!$A41)</f>
        <v/>
      </c>
      <c r="B1217" s="48">
        <f>IF(Offerte!$A41="","",Offerte!$B41)</f>
        <v/>
      </c>
      <c r="C1217" s="48">
        <f>IF(Offerte!$A41="","",Offerte!$C41)</f>
        <v/>
      </c>
      <c r="D1217" s="48" t="inlineStr">
        <is>
          <t>B.2.1</t>
        </is>
      </c>
      <c r="E1217" s="48" t="inlineStr">
        <is>
          <t>B</t>
        </is>
      </c>
      <c r="F1217" s="48" t="inlineStr">
        <is>
          <t>Q</t>
        </is>
      </c>
      <c r="G1217" s="48" t="inlineStr">
        <is>
          <t>higher</t>
        </is>
      </c>
      <c r="H1217" s="48" t="n">
        <v>4</v>
      </c>
      <c r="I1217" s="48" t="inlineStr">
        <is>
          <t>Corse aggiuntive nell'arco giornaliero base</t>
        </is>
      </c>
      <c r="J1217" s="73" t="n"/>
      <c r="K1217" s="73" t="n"/>
      <c r="L1217" s="73" t="n"/>
      <c r="M1217" s="73" t="n"/>
      <c r="N1217" s="57">
        <f>IF($A1217="","",IFERROR(VALUE($J1217),0))</f>
        <v/>
      </c>
      <c r="O1217" s="57">
        <f>IF($A1217="",0,IF(OR($S1217&lt;&gt;1,COUNTA($J1217:$M1217)=0),0,IF(SUMPRODUCT(MAX(($C$5:$C$2484=$C1217)*($D$5:$D$2484=$D1217)*($S$5:$S$2484=1)*IFERROR($N$5:$N$2484*1,0)))&gt;0,ROUND($H1217*($N1217/SUMPRODUCT(MAX(($C$5:$C$2484=$C1217)*($D$5:$D$2484=$D1217)*($S$5:$S$2484=1)*IFERROR($N$5:$N$2484*1,0)))),4),0)))</f>
        <v/>
      </c>
      <c r="P1217" s="48" t="inlineStr">
        <is>
          <t>corse</t>
        </is>
      </c>
      <c r="Q1217" s="57">
        <f>IF($A1217="","",$A1217&amp;"|"&amp;$C1217)</f>
        <v/>
      </c>
      <c r="R1217" s="57">
        <f>IF($A1217="","",$A1217&amp;"|"&amp;$C1217&amp;"|"&amp;$D1217)</f>
        <v/>
      </c>
      <c r="S1217" s="57">
        <f>IF($A1217="","",IFERROR(INDEX(Offerte!$D$2:$D$81,MATCH($Q1217,Offerte!$L$2:$L$81,0)),0))</f>
        <v/>
      </c>
      <c r="T1217" s="57">
        <f>IF($A1217="","",IFERROR(INDEX(Offerte!$G$2:$G$81,MATCH($Q1217,Offerte!$L$2:$L$81,0)),"NO"))</f>
        <v/>
      </c>
    </row>
    <row r="1218">
      <c r="A1218" s="48">
        <f>IF(Offerte!$A41="","",Offerte!$A41)</f>
        <v/>
      </c>
      <c r="B1218" s="48">
        <f>IF(Offerte!$A41="","",Offerte!$B41)</f>
        <v/>
      </c>
      <c r="C1218" s="48">
        <f>IF(Offerte!$A41="","",Offerte!$C41)</f>
        <v/>
      </c>
      <c r="D1218" s="48" t="inlineStr">
        <is>
          <t>B.3.1</t>
        </is>
      </c>
      <c r="E1218" s="48" t="inlineStr">
        <is>
          <t>B</t>
        </is>
      </c>
      <c r="F1218" s="48" t="inlineStr">
        <is>
          <t>Q</t>
        </is>
      </c>
      <c r="G1218" s="48" t="inlineStr">
        <is>
          <t>higher</t>
        </is>
      </c>
      <c r="H1218" s="48" t="n">
        <v>2</v>
      </c>
      <c r="I1218" s="48" t="inlineStr">
        <is>
          <t>Numero di corse aggiuntive per allungamento dell'arco di servizio giornaliero nelle fasce serali</t>
        </is>
      </c>
      <c r="J1218" s="73" t="n"/>
      <c r="K1218" s="73" t="n"/>
      <c r="L1218" s="73" t="n"/>
      <c r="M1218" s="73" t="n"/>
      <c r="N1218" s="57">
        <f>IF($A1218="","",IFERROR(VALUE($J1218),0))</f>
        <v/>
      </c>
      <c r="O1218" s="57">
        <f>IF($A1218="",0,IF(OR($S1218&lt;&gt;1,COUNTA($J1218:$M1218)=0),0,IF(SUMPRODUCT(MAX(($C$5:$C$2484=$C1218)*($D$5:$D$2484=$D1218)*($S$5:$S$2484=1)*IFERROR($N$5:$N$2484*1,0)))&gt;0,ROUND($H1218*($N1218/SUMPRODUCT(MAX(($C$5:$C$2484=$C1218)*($D$5:$D$2484=$D1218)*($S$5:$S$2484=1)*IFERROR($N$5:$N$2484*1,0)))),4),0)))</f>
        <v/>
      </c>
      <c r="P1218" s="48" t="inlineStr">
        <is>
          <t>corse</t>
        </is>
      </c>
      <c r="Q1218" s="57">
        <f>IF($A1218="","",$A1218&amp;"|"&amp;$C1218)</f>
        <v/>
      </c>
      <c r="R1218" s="57">
        <f>IF($A1218="","",$A1218&amp;"|"&amp;$C1218&amp;"|"&amp;$D1218)</f>
        <v/>
      </c>
      <c r="S1218" s="57">
        <f>IF($A1218="","",IFERROR(INDEX(Offerte!$D$2:$D$81,MATCH($Q1218,Offerte!$L$2:$L$81,0)),0))</f>
        <v/>
      </c>
      <c r="T1218" s="57">
        <f>IF($A1218="","",IFERROR(INDEX(Offerte!$G$2:$G$81,MATCH($Q1218,Offerte!$L$2:$L$81,0)),"NO"))</f>
        <v/>
      </c>
    </row>
    <row r="1219">
      <c r="A1219" s="48">
        <f>IF(Offerte!$A41="","",Offerte!$A41)</f>
        <v/>
      </c>
      <c r="B1219" s="48">
        <f>IF(Offerte!$A41="","",Offerte!$B41)</f>
        <v/>
      </c>
      <c r="C1219" s="48">
        <f>IF(Offerte!$A41="","",Offerte!$C41)</f>
        <v/>
      </c>
      <c r="D1219" s="48" t="inlineStr">
        <is>
          <t>B.4.1</t>
        </is>
      </c>
      <c r="E1219" s="48" t="inlineStr">
        <is>
          <t>B</t>
        </is>
      </c>
      <c r="F1219" s="48" t="inlineStr">
        <is>
          <t>Q</t>
        </is>
      </c>
      <c r="G1219" s="48" t="inlineStr">
        <is>
          <t>higher</t>
        </is>
      </c>
      <c r="H1219" s="48" t="n">
        <v>3</v>
      </c>
      <c r="I1219" s="48" t="inlineStr">
        <is>
          <t>Percorrenze aggiuntive offerte nel Programma d'esercizio delle prime due fasi attuative</t>
        </is>
      </c>
      <c r="J1219" s="73" t="n"/>
      <c r="K1219" s="73" t="n"/>
      <c r="L1219" s="73" t="n"/>
      <c r="M1219" s="73" t="n"/>
      <c r="N1219" s="57">
        <f>IF($A1219="","",IFERROR(VALUE($J1219),0))</f>
        <v/>
      </c>
      <c r="O1219" s="57">
        <f>IF($A1219="",0,IF(OR($S1219&lt;&gt;1,COUNTA($J1219:$M1219)=0),0,IF(SUMPRODUCT(MAX(($C$5:$C$2484=$C1219)*($D$5:$D$2484=$D1219)*($S$5:$S$2484=1)*IFERROR($N$5:$N$2484*1,0)))&gt;0,ROUND($H1219*($N1219/SUMPRODUCT(MAX(($C$5:$C$2484=$C1219)*($D$5:$D$2484=$D1219)*($S$5:$S$2484=1)*IFERROR($N$5:$N$2484*1,0)))),4),0)))</f>
        <v/>
      </c>
      <c r="P1219" s="48" t="inlineStr">
        <is>
          <t>vett*km</t>
        </is>
      </c>
      <c r="Q1219" s="57">
        <f>IF($A1219="","",$A1219&amp;"|"&amp;$C1219)</f>
        <v/>
      </c>
      <c r="R1219" s="57">
        <f>IF($A1219="","",$A1219&amp;"|"&amp;$C1219&amp;"|"&amp;$D1219)</f>
        <v/>
      </c>
      <c r="S1219" s="57">
        <f>IF($A1219="","",IFERROR(INDEX(Offerte!$D$2:$D$81,MATCH($Q1219,Offerte!$L$2:$L$81,0)),0))</f>
        <v/>
      </c>
      <c r="T1219" s="57">
        <f>IF($A1219="","",IFERROR(INDEX(Offerte!$G$2:$G$81,MATCH($Q1219,Offerte!$L$2:$L$81,0)),"NO"))</f>
        <v/>
      </c>
    </row>
    <row r="1220">
      <c r="A1220" s="48">
        <f>IF(Offerte!$A41="","",Offerte!$A41)</f>
        <v/>
      </c>
      <c r="B1220" s="48">
        <f>IF(Offerte!$A41="","",Offerte!$B41)</f>
        <v/>
      </c>
      <c r="C1220" s="48">
        <f>IF(Offerte!$A41="","",Offerte!$C41)</f>
        <v/>
      </c>
      <c r="D1220" s="48" t="inlineStr">
        <is>
          <t>B.5.1</t>
        </is>
      </c>
      <c r="E1220" s="48" t="inlineStr">
        <is>
          <t>B</t>
        </is>
      </c>
      <c r="F1220" s="48" t="inlineStr">
        <is>
          <t>D</t>
        </is>
      </c>
      <c r="G1220" s="48" t="inlineStr">
        <is>
          <t>discretionary</t>
        </is>
      </c>
      <c r="H1220" s="48" t="n">
        <v>2</v>
      </c>
      <c r="I1220" s="48" t="inlineStr">
        <is>
          <t>Efficacia del progetto di servizi complementari DRT</t>
        </is>
      </c>
      <c r="J1220" s="73" t="n"/>
      <c r="K1220" s="73" t="n"/>
      <c r="L1220" s="73" t="n"/>
      <c r="M1220" s="73" t="n"/>
      <c r="N1220" s="57">
        <f>IF($A1220="","",MAX(0,MIN(1,IFERROR(VALUE($M1220),0))))</f>
        <v/>
      </c>
      <c r="O1220" s="57">
        <f>IF($A1220="",0,IF(OR($S1220&lt;&gt;1,COUNTA($J1220:$M1220)=0),0,IF(SUMPRODUCT(MAX(($C$5:$C$2484=$C1220)*($D$5:$D$2484=$D1220)*($S$5:$S$2484=1)*IFERROR($N$5:$N$2484*1,0)))&gt;0,ROUND($H1220*($N1220/SUMPRODUCT(MAX(($C$5:$C$2484=$C1220)*($D$5:$D$2484=$D1220)*($S$5:$S$2484=1)*IFERROR($N$5:$N$2484*1,0)))),4),0)))</f>
        <v/>
      </c>
      <c r="P1220" s="48" t="inlineStr">
        <is>
          <t>coeff.</t>
        </is>
      </c>
      <c r="Q1220" s="57">
        <f>IF($A1220="","",$A1220&amp;"|"&amp;$C1220)</f>
        <v/>
      </c>
      <c r="R1220" s="57">
        <f>IF($A1220="","",$A1220&amp;"|"&amp;$C1220&amp;"|"&amp;$D1220)</f>
        <v/>
      </c>
      <c r="S1220" s="57">
        <f>IF($A1220="","",IFERROR(INDEX(Offerte!$D$2:$D$81,MATCH($Q1220,Offerte!$L$2:$L$81,0)),0))</f>
        <v/>
      </c>
      <c r="T1220" s="57">
        <f>IF($A1220="","",IFERROR(INDEX(Offerte!$G$2:$G$81,MATCH($Q1220,Offerte!$L$2:$L$81,0)),"NO"))</f>
        <v/>
      </c>
    </row>
    <row r="1221">
      <c r="A1221" s="48">
        <f>IF(Offerte!$A41="","",Offerte!$A41)</f>
        <v/>
      </c>
      <c r="B1221" s="48">
        <f>IF(Offerte!$A41="","",Offerte!$B41)</f>
        <v/>
      </c>
      <c r="C1221" s="48">
        <f>IF(Offerte!$A41="","",Offerte!$C41)</f>
        <v/>
      </c>
      <c r="D1221" s="48" t="inlineStr">
        <is>
          <t>C.1.1</t>
        </is>
      </c>
      <c r="E1221" s="48" t="inlineStr">
        <is>
          <t>C</t>
        </is>
      </c>
      <c r="F1221" s="48" t="inlineStr">
        <is>
          <t>Q</t>
        </is>
      </c>
      <c r="G1221" s="48" t="inlineStr">
        <is>
          <t>higher</t>
        </is>
      </c>
      <c r="H1221" s="48" t="n">
        <v>2</v>
      </c>
      <c r="I1221" s="48" t="inlineStr">
        <is>
          <t>Tasso di copertura del servizio con telecamere BSD</t>
        </is>
      </c>
      <c r="J1221" s="73" t="n"/>
      <c r="K1221" s="73" t="n"/>
      <c r="L1221" s="73" t="n"/>
      <c r="M1221" s="73" t="n"/>
      <c r="N1221" s="57">
        <f>IF($A1221="","",IFERROR(VALUE($K1221)/VALUE($L1221),IFERROR(VALUE($J1221),0)))</f>
        <v/>
      </c>
      <c r="O1221" s="57">
        <f>IF($A1221="",0,IF(OR($S1221&lt;&gt;1,COUNTA($J1221:$M1221)=0),0,IF(SUMPRODUCT(MAX(($C$5:$C$2484=$C1221)*($D$5:$D$2484=$D1221)*($S$5:$S$2484=1)*IFERROR($N$5:$N$2484*1,0)))&gt;0,ROUND($H1221*($N1221/SUMPRODUCT(MAX(($C$5:$C$2484=$C1221)*($D$5:$D$2484=$D1221)*($S$5:$S$2484=1)*IFERROR($N$5:$N$2484*1,0)))),4),0)))</f>
        <v/>
      </c>
      <c r="P1221" s="48" t="inlineStr">
        <is>
          <t>Autobus attrezzati con telecamere BSD / Autobus totali in offerta, incluse scorte</t>
        </is>
      </c>
      <c r="Q1221" s="57">
        <f>IF($A1221="","",$A1221&amp;"|"&amp;$C1221)</f>
        <v/>
      </c>
      <c r="R1221" s="57">
        <f>IF($A1221="","",$A1221&amp;"|"&amp;$C1221&amp;"|"&amp;$D1221)</f>
        <v/>
      </c>
      <c r="S1221" s="57">
        <f>IF($A1221="","",IFERROR(INDEX(Offerte!$D$2:$D$81,MATCH($Q1221,Offerte!$L$2:$L$81,0)),0))</f>
        <v/>
      </c>
      <c r="T1221" s="57">
        <f>IF($A1221="","",IFERROR(INDEX(Offerte!$G$2:$G$81,MATCH($Q1221,Offerte!$L$2:$L$81,0)),"NO"))</f>
        <v/>
      </c>
    </row>
    <row r="1222">
      <c r="A1222" s="48">
        <f>IF(Offerte!$A41="","",Offerte!$A41)</f>
        <v/>
      </c>
      <c r="B1222" s="48">
        <f>IF(Offerte!$A41="","",Offerte!$B41)</f>
        <v/>
      </c>
      <c r="C1222" s="48">
        <f>IF(Offerte!$A41="","",Offerte!$C41)</f>
        <v/>
      </c>
      <c r="D1222" s="48" t="inlineStr">
        <is>
          <t>C.1.2</t>
        </is>
      </c>
      <c r="E1222" s="48" t="inlineStr">
        <is>
          <t>C</t>
        </is>
      </c>
      <c r="F1222" s="48" t="inlineStr">
        <is>
          <t>Q</t>
        </is>
      </c>
      <c r="G1222" s="48" t="inlineStr">
        <is>
          <t>higher</t>
        </is>
      </c>
      <c r="H1222" s="48" t="n">
        <v>2</v>
      </c>
      <c r="I1222" s="48" t="inlineStr">
        <is>
          <t>Tasso di copertura del servizio con telecamere ADAS</t>
        </is>
      </c>
      <c r="J1222" s="73" t="n"/>
      <c r="K1222" s="73" t="n"/>
      <c r="L1222" s="73" t="n"/>
      <c r="M1222" s="73" t="n"/>
      <c r="N1222" s="57">
        <f>IF($A1222="","",IFERROR(VALUE($K1222)/VALUE($L1222),IFERROR(VALUE($J1222),0)))</f>
        <v/>
      </c>
      <c r="O1222" s="57">
        <f>IF($A1222="",0,IF(OR($S1222&lt;&gt;1,COUNTA($J1222:$M1222)=0),0,IF(SUMPRODUCT(MAX(($C$5:$C$2484=$C1222)*($D$5:$D$2484=$D1222)*($S$5:$S$2484=1)*IFERROR($N$5:$N$2484*1,0)))&gt;0,ROUND($H1222*($N1222/SUMPRODUCT(MAX(($C$5:$C$2484=$C1222)*($D$5:$D$2484=$D1222)*($S$5:$S$2484=1)*IFERROR($N$5:$N$2484*1,0)))),4),0)))</f>
        <v/>
      </c>
      <c r="P1222" s="48" t="inlineStr">
        <is>
          <t>Autobus attrezzati con telecamere ADAS / Autobus totali in offerta, incluse scorte</t>
        </is>
      </c>
      <c r="Q1222" s="57">
        <f>IF($A1222="","",$A1222&amp;"|"&amp;$C1222)</f>
        <v/>
      </c>
      <c r="R1222" s="57">
        <f>IF($A1222="","",$A1222&amp;"|"&amp;$C1222&amp;"|"&amp;$D1222)</f>
        <v/>
      </c>
      <c r="S1222" s="57">
        <f>IF($A1222="","",IFERROR(INDEX(Offerte!$D$2:$D$81,MATCH($Q1222,Offerte!$L$2:$L$81,0)),0))</f>
        <v/>
      </c>
      <c r="T1222" s="57">
        <f>IF($A1222="","",IFERROR(INDEX(Offerte!$G$2:$G$81,MATCH($Q1222,Offerte!$L$2:$L$81,0)),"NO"))</f>
        <v/>
      </c>
    </row>
    <row r="1223">
      <c r="A1223" s="48">
        <f>IF(Offerte!$A41="","",Offerte!$A41)</f>
        <v/>
      </c>
      <c r="B1223" s="48">
        <f>IF(Offerte!$A41="","",Offerte!$B41)</f>
        <v/>
      </c>
      <c r="C1223" s="48">
        <f>IF(Offerte!$A41="","",Offerte!$C41)</f>
        <v/>
      </c>
      <c r="D1223" s="48" t="inlineStr">
        <is>
          <t>C.2.1</t>
        </is>
      </c>
      <c r="E1223" s="48" t="inlineStr">
        <is>
          <t>C</t>
        </is>
      </c>
      <c r="F1223" s="48" t="inlineStr">
        <is>
          <t>Q</t>
        </is>
      </c>
      <c r="G1223" s="48" t="inlineStr">
        <is>
          <t>higher</t>
        </is>
      </c>
      <c r="H1223" s="48" t="n">
        <v>3</v>
      </c>
      <c r="I1223" s="48" t="inlineStr">
        <is>
          <t>Tasso di copertura del servizio con telecamere di bordo di videosorveglianza</t>
        </is>
      </c>
      <c r="J1223" s="73" t="n"/>
      <c r="K1223" s="73" t="n"/>
      <c r="L1223" s="73" t="n"/>
      <c r="M1223" s="73" t="n"/>
      <c r="N1223" s="57">
        <f>IF($A1223="","",IFERROR(VALUE($K1223)/VALUE($L1223),IFERROR(VALUE($J1223),0)))</f>
        <v/>
      </c>
      <c r="O1223" s="57">
        <f>IF($A1223="",0,IF(OR($S1223&lt;&gt;1,COUNTA($J1223:$M1223)=0),0,IF(SUMPRODUCT(MAX(($C$5:$C$2484=$C1223)*($D$5:$D$2484=$D1223)*($S$5:$S$2484=1)*IFERROR($N$5:$N$2484*1,0)))&gt;0,ROUND($H1223*($N1223/SUMPRODUCT(MAX(($C$5:$C$2484=$C1223)*($D$5:$D$2484=$D1223)*($S$5:$S$2484=1)*IFERROR($N$5:$N$2484*1,0)))),4),0)))</f>
        <v/>
      </c>
      <c r="P1223" s="48" t="inlineStr">
        <is>
          <t>Autobus attrezzati con videosorveglianza / Autobus totali in offerta, incluse scorte</t>
        </is>
      </c>
      <c r="Q1223" s="57">
        <f>IF($A1223="","",$A1223&amp;"|"&amp;$C1223)</f>
        <v/>
      </c>
      <c r="R1223" s="57">
        <f>IF($A1223="","",$A1223&amp;"|"&amp;$C1223&amp;"|"&amp;$D1223)</f>
        <v/>
      </c>
      <c r="S1223" s="57">
        <f>IF($A1223="","",IFERROR(INDEX(Offerte!$D$2:$D$81,MATCH($Q1223,Offerte!$L$2:$L$81,0)),0))</f>
        <v/>
      </c>
      <c r="T1223" s="57">
        <f>IF($A1223="","",IFERROR(INDEX(Offerte!$G$2:$G$81,MATCH($Q1223,Offerte!$L$2:$L$81,0)),"NO"))</f>
        <v/>
      </c>
    </row>
    <row r="1224">
      <c r="A1224" s="48">
        <f>IF(Offerte!$A41="","",Offerte!$A41)</f>
        <v/>
      </c>
      <c r="B1224" s="48">
        <f>IF(Offerte!$A41="","",Offerte!$B41)</f>
        <v/>
      </c>
      <c r="C1224" s="48">
        <f>IF(Offerte!$A41="","",Offerte!$C41)</f>
        <v/>
      </c>
      <c r="D1224" s="48" t="inlineStr">
        <is>
          <t>C.2.2</t>
        </is>
      </c>
      <c r="E1224" s="48" t="inlineStr">
        <is>
          <t>C</t>
        </is>
      </c>
      <c r="F1224" s="48" t="inlineStr">
        <is>
          <t>T</t>
        </is>
      </c>
      <c r="G1224" s="48" t="inlineStr">
        <is>
          <t>tabular</t>
        </is>
      </c>
      <c r="H1224" s="48" t="n">
        <v>1</v>
      </c>
      <c r="I1224" s="48" t="inlineStr">
        <is>
          <t>Software video/audio analisi per situazioni di pericolo</t>
        </is>
      </c>
      <c r="J1224" s="73" t="n"/>
      <c r="K1224" s="73" t="n"/>
      <c r="L1224" s="73" t="n"/>
      <c r="M1224" s="73" t="n"/>
      <c r="N1224" s="57">
        <f>IF($A1224="","",IF(IFERROR(VALUE($M1224),0)=1,1,0))</f>
        <v/>
      </c>
      <c r="O1224" s="57">
        <f>IF($A1224="",0,IF(OR($S1224&lt;&gt;1,COUNTA($J1224:$M1224)=0),0,IF($N1224=1,$H1224,0)))</f>
        <v/>
      </c>
      <c r="P1224" s="48" t="inlineStr">
        <is>
          <t>sì/no</t>
        </is>
      </c>
      <c r="Q1224" s="57">
        <f>IF($A1224="","",$A1224&amp;"|"&amp;$C1224)</f>
        <v/>
      </c>
      <c r="R1224" s="57">
        <f>IF($A1224="","",$A1224&amp;"|"&amp;$C1224&amp;"|"&amp;$D1224)</f>
        <v/>
      </c>
      <c r="S1224" s="57">
        <f>IF($A1224="","",IFERROR(INDEX(Offerte!$D$2:$D$81,MATCH($Q1224,Offerte!$L$2:$L$81,0)),0))</f>
        <v/>
      </c>
      <c r="T1224" s="57">
        <f>IF($A1224="","",IFERROR(INDEX(Offerte!$G$2:$G$81,MATCH($Q1224,Offerte!$L$2:$L$81,0)),"NO"))</f>
        <v/>
      </c>
    </row>
    <row r="1225">
      <c r="A1225" s="48">
        <f>IF(Offerte!$A41="","",Offerte!$A41)</f>
        <v/>
      </c>
      <c r="B1225" s="48">
        <f>IF(Offerte!$A41="","",Offerte!$B41)</f>
        <v/>
      </c>
      <c r="C1225" s="48">
        <f>IF(Offerte!$A41="","",Offerte!$C41)</f>
        <v/>
      </c>
      <c r="D1225" s="48" t="inlineStr">
        <is>
          <t>C.2.3</t>
        </is>
      </c>
      <c r="E1225" s="48" t="inlineStr">
        <is>
          <t>C</t>
        </is>
      </c>
      <c r="F1225" s="48" t="inlineStr">
        <is>
          <t>T</t>
        </is>
      </c>
      <c r="G1225" s="48" t="inlineStr">
        <is>
          <t>tabular</t>
        </is>
      </c>
      <c r="H1225" s="48" t="n">
        <v>1</v>
      </c>
      <c r="I1225" s="48" t="inlineStr">
        <is>
          <t>Collegamento con centrale qualificata di pronto intervento</t>
        </is>
      </c>
      <c r="J1225" s="73" t="n"/>
      <c r="K1225" s="73" t="n"/>
      <c r="L1225" s="73" t="n"/>
      <c r="M1225" s="73" t="n"/>
      <c r="N1225" s="57">
        <f>IF($A1225="","",IF(IFERROR(VALUE($M1225),0)=1,1,0))</f>
        <v/>
      </c>
      <c r="O1225" s="57">
        <f>IF($A1225="",0,IF(OR($S1225&lt;&gt;1,COUNTA($J1225:$M1225)=0),0,IF($N1225=1,$H1225,0)))</f>
        <v/>
      </c>
      <c r="P1225" s="48" t="inlineStr">
        <is>
          <t>sì/no</t>
        </is>
      </c>
      <c r="Q1225" s="57">
        <f>IF($A1225="","",$A1225&amp;"|"&amp;$C1225)</f>
        <v/>
      </c>
      <c r="R1225" s="57">
        <f>IF($A1225="","",$A1225&amp;"|"&amp;$C1225&amp;"|"&amp;$D1225)</f>
        <v/>
      </c>
      <c r="S1225" s="57">
        <f>IF($A1225="","",IFERROR(INDEX(Offerte!$D$2:$D$81,MATCH($Q1225,Offerte!$L$2:$L$81,0)),0))</f>
        <v/>
      </c>
      <c r="T1225" s="57">
        <f>IF($A1225="","",IFERROR(INDEX(Offerte!$G$2:$G$81,MATCH($Q1225,Offerte!$L$2:$L$81,0)),"NO"))</f>
        <v/>
      </c>
    </row>
    <row r="1226">
      <c r="A1226" s="48">
        <f>IF(Offerte!$A41="","",Offerte!$A41)</f>
        <v/>
      </c>
      <c r="B1226" s="48">
        <f>IF(Offerte!$A41="","",Offerte!$B41)</f>
        <v/>
      </c>
      <c r="C1226" s="48">
        <f>IF(Offerte!$A41="","",Offerte!$C41)</f>
        <v/>
      </c>
      <c r="D1226" s="48" t="inlineStr">
        <is>
          <t>C.2.4</t>
        </is>
      </c>
      <c r="E1226" s="48" t="inlineStr">
        <is>
          <t>C</t>
        </is>
      </c>
      <c r="F1226" s="48" t="inlineStr">
        <is>
          <t>Q</t>
        </is>
      </c>
      <c r="G1226" s="48" t="inlineStr">
        <is>
          <t>higher</t>
        </is>
      </c>
      <c r="H1226" s="48" t="n">
        <v>1</v>
      </c>
      <c r="I1226" s="48" t="inlineStr">
        <is>
          <t>Tasso di copertura del servizio con dispositivi per la chiamata di emergenza del conducente</t>
        </is>
      </c>
      <c r="J1226" s="73" t="n"/>
      <c r="K1226" s="73" t="n"/>
      <c r="L1226" s="73" t="n"/>
      <c r="M1226" s="73" t="n"/>
      <c r="N1226" s="57">
        <f>IF($A1226="","",IFERROR(VALUE($K1226)/VALUE($L1226),IFERROR(VALUE($J1226),0)))</f>
        <v/>
      </c>
      <c r="O1226" s="57">
        <f>IF($A1226="",0,IF(OR($S1226&lt;&gt;1,COUNTA($J1226:$M1226)=0),0,IF(SUMPRODUCT(MAX(($C$5:$C$2484=$C1226)*($D$5:$D$2484=$D1226)*($S$5:$S$2484=1)*IFERROR($N$5:$N$2484*1,0)))&gt;0,ROUND($H1226*($N1226/SUMPRODUCT(MAX(($C$5:$C$2484=$C1226)*($D$5:$D$2484=$D1226)*($S$5:$S$2484=1)*IFERROR($N$5:$N$2484*1,0)))),4),0)))</f>
        <v/>
      </c>
      <c r="P1226" s="48" t="inlineStr">
        <is>
          <t>Autobus attrezzati con chiamata di emergenza / Autobus totali in offerta, incluse scorte</t>
        </is>
      </c>
      <c r="Q1226" s="57">
        <f>IF($A1226="","",$A1226&amp;"|"&amp;$C1226)</f>
        <v/>
      </c>
      <c r="R1226" s="57">
        <f>IF($A1226="","",$A1226&amp;"|"&amp;$C1226&amp;"|"&amp;$D1226)</f>
        <v/>
      </c>
      <c r="S1226" s="57">
        <f>IF($A1226="","",IFERROR(INDEX(Offerte!$D$2:$D$81,MATCH($Q1226,Offerte!$L$2:$L$81,0)),0))</f>
        <v/>
      </c>
      <c r="T1226" s="57">
        <f>IF($A1226="","",IFERROR(INDEX(Offerte!$G$2:$G$81,MATCH($Q1226,Offerte!$L$2:$L$81,0)),"NO"))</f>
        <v/>
      </c>
    </row>
    <row r="1227">
      <c r="A1227" s="48">
        <f>IF(Offerte!$A41="","",Offerte!$A41)</f>
        <v/>
      </c>
      <c r="B1227" s="48">
        <f>IF(Offerte!$A41="","",Offerte!$B41)</f>
        <v/>
      </c>
      <c r="C1227" s="48">
        <f>IF(Offerte!$A41="","",Offerte!$C41)</f>
        <v/>
      </c>
      <c r="D1227" s="48" t="inlineStr">
        <is>
          <t>C.3.1</t>
        </is>
      </c>
      <c r="E1227" s="48" t="inlineStr">
        <is>
          <t>C</t>
        </is>
      </c>
      <c r="F1227" s="48" t="inlineStr">
        <is>
          <t>Q</t>
        </is>
      </c>
      <c r="G1227" s="48" t="inlineStr">
        <is>
          <t>higher</t>
        </is>
      </c>
      <c r="H1227" s="48" t="n">
        <v>2</v>
      </c>
      <c r="I1227" s="48" t="inlineStr">
        <is>
          <t>Tasso di copertura del servizio con dispositivi di informazione dinamica a bordo mezzo</t>
        </is>
      </c>
      <c r="J1227" s="73" t="n"/>
      <c r="K1227" s="73" t="n"/>
      <c r="L1227" s="73" t="n"/>
      <c r="M1227" s="73" t="n"/>
      <c r="N1227" s="57">
        <f>IF($A1227="","",IFERROR(VALUE($K1227)/VALUE($L1227),IFERROR(VALUE($J1227),0)))</f>
        <v/>
      </c>
      <c r="O1227" s="57">
        <f>IF($A1227="",0,IF(OR($S1227&lt;&gt;1,COUNTA($J1227:$M1227)=0),0,IF(SUMPRODUCT(MAX(($C$5:$C$2484=$C1227)*($D$5:$D$2484=$D1227)*($S$5:$S$2484=1)*IFERROR($N$5:$N$2484*1,0)))&gt;0,ROUND($H1227*($N1227/SUMPRODUCT(MAX(($C$5:$C$2484=$C1227)*($D$5:$D$2484=$D1227)*($S$5:$S$2484=1)*IFERROR($N$5:$N$2484*1,0)))),4),0)))</f>
        <v/>
      </c>
      <c r="P1227" s="48" t="inlineStr">
        <is>
          <t>Autobus con monitor e indicatori vocali / Autobus totali in offerta, incluse scorte</t>
        </is>
      </c>
      <c r="Q1227" s="57">
        <f>IF($A1227="","",$A1227&amp;"|"&amp;$C1227)</f>
        <v/>
      </c>
      <c r="R1227" s="57">
        <f>IF($A1227="","",$A1227&amp;"|"&amp;$C1227&amp;"|"&amp;$D1227)</f>
        <v/>
      </c>
      <c r="S1227" s="57">
        <f>IF($A1227="","",IFERROR(INDEX(Offerte!$D$2:$D$81,MATCH($Q1227,Offerte!$L$2:$L$81,0)),0))</f>
        <v/>
      </c>
      <c r="T1227" s="57">
        <f>IF($A1227="","",IFERROR(INDEX(Offerte!$G$2:$G$81,MATCH($Q1227,Offerte!$L$2:$L$81,0)),"NO"))</f>
        <v/>
      </c>
    </row>
    <row r="1228">
      <c r="A1228" s="48">
        <f>IF(Offerte!$A41="","",Offerte!$A41)</f>
        <v/>
      </c>
      <c r="B1228" s="48">
        <f>IF(Offerte!$A41="","",Offerte!$B41)</f>
        <v/>
      </c>
      <c r="C1228" s="48">
        <f>IF(Offerte!$A41="","",Offerte!$C41)</f>
        <v/>
      </c>
      <c r="D1228" s="48" t="inlineStr">
        <is>
          <t>C.3.2</t>
        </is>
      </c>
      <c r="E1228" s="48" t="inlineStr">
        <is>
          <t>C</t>
        </is>
      </c>
      <c r="F1228" s="48" t="inlineStr">
        <is>
          <t>T</t>
        </is>
      </c>
      <c r="G1228" s="48" t="inlineStr">
        <is>
          <t>tabular</t>
        </is>
      </c>
      <c r="H1228" s="48" t="n">
        <v>2</v>
      </c>
      <c r="I1228" s="48" t="inlineStr">
        <is>
          <t>Informazioni a bordo su coincidenze ai nodi</t>
        </is>
      </c>
      <c r="J1228" s="73" t="n"/>
      <c r="K1228" s="73" t="n"/>
      <c r="L1228" s="73" t="n"/>
      <c r="M1228" s="73" t="n"/>
      <c r="N1228" s="57">
        <f>IF($A1228="","",IF(IFERROR(VALUE($M1228),0)=1,1,0))</f>
        <v/>
      </c>
      <c r="O1228" s="57">
        <f>IF($A1228="",0,IF(OR($S1228&lt;&gt;1,COUNTA($J1228:$M1228)=0),0,IF(AND($N1228=1,IFERROR(SUMIFS($N$5:$N$2484,$Q$5:$Q$2484,$Q1228,$D$5:$D$2484,"C.3.1"),0)&gt;=0.5),$H1228,0)))</f>
        <v/>
      </c>
      <c r="P1228" s="48" t="inlineStr">
        <is>
          <t>Dipende da C.3.1 &gt;= 0.5</t>
        </is>
      </c>
      <c r="Q1228" s="57">
        <f>IF($A1228="","",$A1228&amp;"|"&amp;$C1228)</f>
        <v/>
      </c>
      <c r="R1228" s="57">
        <f>IF($A1228="","",$A1228&amp;"|"&amp;$C1228&amp;"|"&amp;$D1228)</f>
        <v/>
      </c>
      <c r="S1228" s="57">
        <f>IF($A1228="","",IFERROR(INDEX(Offerte!$D$2:$D$81,MATCH($Q1228,Offerte!$L$2:$L$81,0)),0))</f>
        <v/>
      </c>
      <c r="T1228" s="57">
        <f>IF($A1228="","",IFERROR(INDEX(Offerte!$G$2:$G$81,MATCH($Q1228,Offerte!$L$2:$L$81,0)),"NO"))</f>
        <v/>
      </c>
    </row>
    <row r="1229">
      <c r="A1229" s="48">
        <f>IF(Offerte!$A41="","",Offerte!$A41)</f>
        <v/>
      </c>
      <c r="B1229" s="48">
        <f>IF(Offerte!$A41="","",Offerte!$B41)</f>
        <v/>
      </c>
      <c r="C1229" s="48">
        <f>IF(Offerte!$A41="","",Offerte!$C41)</f>
        <v/>
      </c>
      <c r="D1229" s="48" t="inlineStr">
        <is>
          <t>D.1.1</t>
        </is>
      </c>
      <c r="E1229" s="48" t="inlineStr">
        <is>
          <t>D</t>
        </is>
      </c>
      <c r="F1229" s="48" t="inlineStr">
        <is>
          <t>Q</t>
        </is>
      </c>
      <c r="G1229" s="48" t="inlineStr">
        <is>
          <t>higher</t>
        </is>
      </c>
      <c r="H1229" s="48" t="n">
        <v>3</v>
      </c>
      <c r="I1229" s="48" t="inlineStr">
        <is>
          <t>Installazione di pensiline</t>
        </is>
      </c>
      <c r="J1229" s="73" t="n"/>
      <c r="K1229" s="73" t="n"/>
      <c r="L1229" s="73" t="n"/>
      <c r="M1229" s="73" t="n"/>
      <c r="N1229" s="57">
        <f>IF($A1229="","",IFERROR(VALUE($J1229),0))</f>
        <v/>
      </c>
      <c r="O1229" s="57">
        <f>IF($A1229="",0,IF(OR($S1229&lt;&gt;1,COUNTA($J1229:$M1229)=0),0,IF(SUMPRODUCT(MAX(($C$5:$C$2484=$C1229)*($D$5:$D$2484=$D1229)*($S$5:$S$2484=1)*IFERROR($N$5:$N$2484*1,0)))&gt;0,ROUND($H1229*($N1229/SUMPRODUCT(MAX(($C$5:$C$2484=$C1229)*($D$5:$D$2484=$D1229)*($S$5:$S$2484=1)*IFERROR($N$5:$N$2484*1,0)))),4),0)))</f>
        <v/>
      </c>
      <c r="P1229" s="48" t="inlineStr">
        <is>
          <t>fermate</t>
        </is>
      </c>
      <c r="Q1229" s="57">
        <f>IF($A1229="","",$A1229&amp;"|"&amp;$C1229)</f>
        <v/>
      </c>
      <c r="R1229" s="57">
        <f>IF($A1229="","",$A1229&amp;"|"&amp;$C1229&amp;"|"&amp;$D1229)</f>
        <v/>
      </c>
      <c r="S1229" s="57">
        <f>IF($A1229="","",IFERROR(INDEX(Offerte!$D$2:$D$81,MATCH($Q1229,Offerte!$L$2:$L$81,0)),0))</f>
        <v/>
      </c>
      <c r="T1229" s="57">
        <f>IF($A1229="","",IFERROR(INDEX(Offerte!$G$2:$G$81,MATCH($Q1229,Offerte!$L$2:$L$81,0)),"NO"))</f>
        <v/>
      </c>
    </row>
    <row r="1230">
      <c r="A1230" s="48">
        <f>IF(Offerte!$A41="","",Offerte!$A41)</f>
        <v/>
      </c>
      <c r="B1230" s="48">
        <f>IF(Offerte!$A41="","",Offerte!$B41)</f>
        <v/>
      </c>
      <c r="C1230" s="48">
        <f>IF(Offerte!$A41="","",Offerte!$C41)</f>
        <v/>
      </c>
      <c r="D1230" s="48" t="inlineStr">
        <is>
          <t>D.1.2</t>
        </is>
      </c>
      <c r="E1230" s="48" t="inlineStr">
        <is>
          <t>D</t>
        </is>
      </c>
      <c r="F1230" s="48" t="inlineStr">
        <is>
          <t>Q</t>
        </is>
      </c>
      <c r="G1230" s="48" t="inlineStr">
        <is>
          <t>higher</t>
        </is>
      </c>
      <c r="H1230" s="48" t="n">
        <v>3</v>
      </c>
      <c r="I1230" s="48" t="inlineStr">
        <is>
          <t>Installazione di paline di fermata conformi alla DGR 581/2023</t>
        </is>
      </c>
      <c r="J1230" s="73" t="n"/>
      <c r="K1230" s="73" t="n"/>
      <c r="L1230" s="73" t="n"/>
      <c r="M1230" s="73" t="n"/>
      <c r="N1230" s="57">
        <f>IF($A1230="","",IFERROR(VALUE($J1230),0))</f>
        <v/>
      </c>
      <c r="O1230" s="57">
        <f>IF($A1230="",0,IF(OR($S1230&lt;&gt;1,COUNTA($J1230:$M1230)=0),0,IF(SUMPRODUCT(MAX(($C$5:$C$2484=$C1230)*($D$5:$D$2484=$D1230)*($S$5:$S$2484=1)*IFERROR($N$5:$N$2484*1,0)))&gt;0,ROUND($H1230*($N1230/SUMPRODUCT(MAX(($C$5:$C$2484=$C1230)*($D$5:$D$2484=$D1230)*($S$5:$S$2484=1)*IFERROR($N$5:$N$2484*1,0)))),4),0)))</f>
        <v/>
      </c>
      <c r="P1230" s="48" t="inlineStr">
        <is>
          <t>fermate</t>
        </is>
      </c>
      <c r="Q1230" s="57">
        <f>IF($A1230="","",$A1230&amp;"|"&amp;$C1230)</f>
        <v/>
      </c>
      <c r="R1230" s="57">
        <f>IF($A1230="","",$A1230&amp;"|"&amp;$C1230&amp;"|"&amp;$D1230)</f>
        <v/>
      </c>
      <c r="S1230" s="57">
        <f>IF($A1230="","",IFERROR(INDEX(Offerte!$D$2:$D$81,MATCH($Q1230,Offerte!$L$2:$L$81,0)),0))</f>
        <v/>
      </c>
      <c r="T1230" s="57">
        <f>IF($A1230="","",IFERROR(INDEX(Offerte!$G$2:$G$81,MATCH($Q1230,Offerte!$L$2:$L$81,0)),"NO"))</f>
        <v/>
      </c>
    </row>
    <row r="1231">
      <c r="A1231" s="48">
        <f>IF(Offerte!$A41="","",Offerte!$A41)</f>
        <v/>
      </c>
      <c r="B1231" s="48">
        <f>IF(Offerte!$A41="","",Offerte!$B41)</f>
        <v/>
      </c>
      <c r="C1231" s="48">
        <f>IF(Offerte!$A41="","",Offerte!$C41)</f>
        <v/>
      </c>
      <c r="D1231" s="48" t="inlineStr">
        <is>
          <t>D.1.3</t>
        </is>
      </c>
      <c r="E1231" s="48" t="inlineStr">
        <is>
          <t>D</t>
        </is>
      </c>
      <c r="F1231" s="48" t="inlineStr">
        <is>
          <t>Q</t>
        </is>
      </c>
      <c r="G1231" s="48" t="inlineStr">
        <is>
          <t>higher</t>
        </is>
      </c>
      <c r="H1231" s="48" t="n">
        <v>2</v>
      </c>
      <c r="I1231" s="48" t="inlineStr">
        <is>
          <t>Display informativi connessi alle fermate</t>
        </is>
      </c>
      <c r="J1231" s="73" t="n"/>
      <c r="K1231" s="73" t="n"/>
      <c r="L1231" s="73" t="n"/>
      <c r="M1231" s="73" t="n"/>
      <c r="N1231" s="57">
        <f>IF($A1231="","",IFERROR(VALUE($J1231),0))</f>
        <v/>
      </c>
      <c r="O1231" s="57">
        <f>IF($A1231="",0,IF(OR($S1231&lt;&gt;1,COUNTA($J1231:$M1231)=0),0,IF(SUMPRODUCT(MAX(($C$5:$C$2484=$C1231)*($D$5:$D$2484=$D1231)*($S$5:$S$2484=1)*IFERROR($N$5:$N$2484*1,0)))&gt;0,ROUND($H1231*($N1231/SUMPRODUCT(MAX(($C$5:$C$2484=$C1231)*($D$5:$D$2484=$D1231)*($S$5:$S$2484=1)*IFERROR($N$5:$N$2484*1,0)))),4),0)))</f>
        <v/>
      </c>
      <c r="P1231" s="48" t="inlineStr">
        <is>
          <t>fermate</t>
        </is>
      </c>
      <c r="Q1231" s="57">
        <f>IF($A1231="","",$A1231&amp;"|"&amp;$C1231)</f>
        <v/>
      </c>
      <c r="R1231" s="57">
        <f>IF($A1231="","",$A1231&amp;"|"&amp;$C1231&amp;"|"&amp;$D1231)</f>
        <v/>
      </c>
      <c r="S1231" s="57">
        <f>IF($A1231="","",IFERROR(INDEX(Offerte!$D$2:$D$81,MATCH($Q1231,Offerte!$L$2:$L$81,0)),0))</f>
        <v/>
      </c>
      <c r="T1231" s="57">
        <f>IF($A1231="","",IFERROR(INDEX(Offerte!$G$2:$G$81,MATCH($Q1231,Offerte!$L$2:$L$81,0)),"NO"))</f>
        <v/>
      </c>
    </row>
    <row r="1232">
      <c r="A1232" s="48">
        <f>IF(Offerte!$A41="","",Offerte!$A41)</f>
        <v/>
      </c>
      <c r="B1232" s="48">
        <f>IF(Offerte!$A41="","",Offerte!$B41)</f>
        <v/>
      </c>
      <c r="C1232" s="48">
        <f>IF(Offerte!$A41="","",Offerte!$C41)</f>
        <v/>
      </c>
      <c r="D1232" s="48" t="inlineStr">
        <is>
          <t>D.2.1</t>
        </is>
      </c>
      <c r="E1232" s="48" t="inlineStr">
        <is>
          <t>D</t>
        </is>
      </c>
      <c r="F1232" s="48" t="inlineStr">
        <is>
          <t>Q</t>
        </is>
      </c>
      <c r="G1232" s="48" t="inlineStr">
        <is>
          <t>higher</t>
        </is>
      </c>
      <c r="H1232" s="48" t="n">
        <v>2</v>
      </c>
      <c r="I1232" s="48" t="inlineStr">
        <is>
          <t>Segnali tattili Loges-Vet-Evolution</t>
        </is>
      </c>
      <c r="J1232" s="73" t="n"/>
      <c r="K1232" s="73" t="n"/>
      <c r="L1232" s="73" t="n"/>
      <c r="M1232" s="73" t="n"/>
      <c r="N1232" s="57">
        <f>IF($A1232="","",IFERROR(VALUE($J1232),0))</f>
        <v/>
      </c>
      <c r="O1232" s="57">
        <f>IF($A1232="",0,IF(OR($S1232&lt;&gt;1,COUNTA($J1232:$M1232)=0),0,IF(SUMPRODUCT(MAX(($C$5:$C$2484=$C1232)*($D$5:$D$2484=$D1232)*($S$5:$S$2484=1)*IFERROR($N$5:$N$2484*1,0)))&gt;0,ROUND($H1232*($N1232/SUMPRODUCT(MAX(($C$5:$C$2484=$C1232)*($D$5:$D$2484=$D1232)*($S$5:$S$2484=1)*IFERROR($N$5:$N$2484*1,0)))),4),0)))</f>
        <v/>
      </c>
      <c r="P1232" s="48" t="inlineStr">
        <is>
          <t>fermate</t>
        </is>
      </c>
      <c r="Q1232" s="57">
        <f>IF($A1232="","",$A1232&amp;"|"&amp;$C1232)</f>
        <v/>
      </c>
      <c r="R1232" s="57">
        <f>IF($A1232="","",$A1232&amp;"|"&amp;$C1232&amp;"|"&amp;$D1232)</f>
        <v/>
      </c>
      <c r="S1232" s="57">
        <f>IF($A1232="","",IFERROR(INDEX(Offerte!$D$2:$D$81,MATCH($Q1232,Offerte!$L$2:$L$81,0)),0))</f>
        <v/>
      </c>
      <c r="T1232" s="57">
        <f>IF($A1232="","",IFERROR(INDEX(Offerte!$G$2:$G$81,MATCH($Q1232,Offerte!$L$2:$L$81,0)),"NO"))</f>
        <v/>
      </c>
    </row>
    <row r="1233">
      <c r="A1233" s="48">
        <f>IF(Offerte!$A41="","",Offerte!$A41)</f>
        <v/>
      </c>
      <c r="B1233" s="48">
        <f>IF(Offerte!$A41="","",Offerte!$B41)</f>
        <v/>
      </c>
      <c r="C1233" s="48">
        <f>IF(Offerte!$A41="","",Offerte!$C41)</f>
        <v/>
      </c>
      <c r="D1233" s="48" t="inlineStr">
        <is>
          <t>E.1.1</t>
        </is>
      </c>
      <c r="E1233" s="48" t="inlineStr">
        <is>
          <t>E</t>
        </is>
      </c>
      <c r="F1233" s="48" t="inlineStr">
        <is>
          <t>T</t>
        </is>
      </c>
      <c r="G1233" s="48" t="inlineStr">
        <is>
          <t>tabular</t>
        </is>
      </c>
      <c r="H1233" s="48" t="n">
        <v>2</v>
      </c>
      <c r="I1233" s="48" t="inlineStr">
        <is>
          <t>Mobile app con travel planner PRM</t>
        </is>
      </c>
      <c r="J1233" s="73" t="n"/>
      <c r="K1233" s="73" t="n"/>
      <c r="L1233" s="73" t="n"/>
      <c r="M1233" s="73" t="n"/>
      <c r="N1233" s="57">
        <f>IF($A1233="","",IF(IFERROR(VALUE($M1233),0)=1,1,0))</f>
        <v/>
      </c>
      <c r="O1233" s="57">
        <f>IF($A1233="",0,IF(OR($S1233&lt;&gt;1,COUNTA($J1233:$M1233)=0),0,IF($N1233=1,$H1233,0)))</f>
        <v/>
      </c>
      <c r="P1233" s="48" t="inlineStr">
        <is>
          <t>sì/no</t>
        </is>
      </c>
      <c r="Q1233" s="57">
        <f>IF($A1233="","",$A1233&amp;"|"&amp;$C1233)</f>
        <v/>
      </c>
      <c r="R1233" s="57">
        <f>IF($A1233="","",$A1233&amp;"|"&amp;$C1233&amp;"|"&amp;$D1233)</f>
        <v/>
      </c>
      <c r="S1233" s="57">
        <f>IF($A1233="","",IFERROR(INDEX(Offerte!$D$2:$D$81,MATCH($Q1233,Offerte!$L$2:$L$81,0)),0))</f>
        <v/>
      </c>
      <c r="T1233" s="57">
        <f>IF($A1233="","",IFERROR(INDEX(Offerte!$G$2:$G$81,MATCH($Q1233,Offerte!$L$2:$L$81,0)),"NO"))</f>
        <v/>
      </c>
    </row>
    <row r="1234">
      <c r="A1234" s="48">
        <f>IF(Offerte!$A41="","",Offerte!$A41)</f>
        <v/>
      </c>
      <c r="B1234" s="48">
        <f>IF(Offerte!$A41="","",Offerte!$B41)</f>
        <v/>
      </c>
      <c r="C1234" s="48">
        <f>IF(Offerte!$A41="","",Offerte!$C41)</f>
        <v/>
      </c>
      <c r="D1234" s="48" t="inlineStr">
        <is>
          <t>E.2.1</t>
        </is>
      </c>
      <c r="E1234" s="48" t="inlineStr">
        <is>
          <t>E</t>
        </is>
      </c>
      <c r="F1234" s="48" t="inlineStr">
        <is>
          <t>D</t>
        </is>
      </c>
      <c r="G1234" s="48" t="inlineStr">
        <is>
          <t>discretionary</t>
        </is>
      </c>
      <c r="H1234" s="48" t="n">
        <v>2</v>
      </c>
      <c r="I1234" s="48" t="inlineStr">
        <is>
          <t>Altre azioni informative e rapporti con gli utenti</t>
        </is>
      </c>
      <c r="J1234" s="73" t="n"/>
      <c r="K1234" s="73" t="n"/>
      <c r="L1234" s="73" t="n"/>
      <c r="M1234" s="73" t="n"/>
      <c r="N1234" s="57">
        <f>IF($A1234="","",MAX(0,MIN(1,IFERROR(VALUE($M1234),0))))</f>
        <v/>
      </c>
      <c r="O1234" s="57">
        <f>IF($A1234="",0,IF(OR($S1234&lt;&gt;1,COUNTA($J1234:$M1234)=0),0,IF(SUMPRODUCT(MAX(($C$5:$C$2484=$C1234)*($D$5:$D$2484=$D1234)*($S$5:$S$2484=1)*IFERROR($N$5:$N$2484*1,0)))&gt;0,ROUND($H1234*($N1234/SUMPRODUCT(MAX(($C$5:$C$2484=$C1234)*($D$5:$D$2484=$D1234)*($S$5:$S$2484=1)*IFERROR($N$5:$N$2484*1,0)))),4),0)))</f>
        <v/>
      </c>
      <c r="P1234" s="48" t="inlineStr">
        <is>
          <t>coeff.</t>
        </is>
      </c>
      <c r="Q1234" s="57">
        <f>IF($A1234="","",$A1234&amp;"|"&amp;$C1234)</f>
        <v/>
      </c>
      <c r="R1234" s="57">
        <f>IF($A1234="","",$A1234&amp;"|"&amp;$C1234&amp;"|"&amp;$D1234)</f>
        <v/>
      </c>
      <c r="S1234" s="57">
        <f>IF($A1234="","",IFERROR(INDEX(Offerte!$D$2:$D$81,MATCH($Q1234,Offerte!$L$2:$L$81,0)),0))</f>
        <v/>
      </c>
      <c r="T1234" s="57">
        <f>IF($A1234="","",IFERROR(INDEX(Offerte!$G$2:$G$81,MATCH($Q1234,Offerte!$L$2:$L$81,0)),"NO"))</f>
        <v/>
      </c>
    </row>
    <row r="1235">
      <c r="A1235" s="48">
        <f>IF(Offerte!$A41="","",Offerte!$A41)</f>
        <v/>
      </c>
      <c r="B1235" s="48">
        <f>IF(Offerte!$A41="","",Offerte!$B41)</f>
        <v/>
      </c>
      <c r="C1235" s="48">
        <f>IF(Offerte!$A41="","",Offerte!$C41)</f>
        <v/>
      </c>
      <c r="D1235" s="48" t="inlineStr">
        <is>
          <t>F.1.1</t>
        </is>
      </c>
      <c r="E1235" s="48" t="inlineStr">
        <is>
          <t>F</t>
        </is>
      </c>
      <c r="F1235" s="48" t="inlineStr">
        <is>
          <t>Q</t>
        </is>
      </c>
      <c r="G1235" s="48" t="inlineStr">
        <is>
          <t>lower</t>
        </is>
      </c>
      <c r="H1235" s="48" t="n">
        <v>7</v>
      </c>
      <c r="I1235" s="48" t="inlineStr">
        <is>
          <t>Performance ambientali del parco mezzi adibito al servizio - I_CEA</t>
        </is>
      </c>
      <c r="J1235" s="73" t="n"/>
      <c r="K1235" s="73" t="n"/>
      <c r="L1235" s="73" t="n"/>
      <c r="M1235" s="73" t="n"/>
      <c r="N1235" s="57">
        <f>IF($A1235="","",IFERROR(VALUE($J1235),0))</f>
        <v/>
      </c>
      <c r="O1235" s="57">
        <f>IF($A1235="",0,IF(OR($S1235&lt;&gt;1,COUNTA($J1235:$M1235)=0),0,IF(AND(IFERROR(AGGREGATE(15,6,$N$5:$N$2484/(($C$5:$C$2484=$C1235)*($D$5:$D$2484=$D1235)*($S$5:$S$2484=1)*($N$5:$N$2484&gt;0)),1),0)&gt;0,$N1235&gt;0),ROUND($H1235*(IFERROR(AGGREGATE(15,6,$N$5:$N$2484/(($C$5:$C$2484=$C1235)*($D$5:$D$2484=$D1235)*($S$5:$S$2484=1)*($N$5:$N$2484&gt;0)),1),0)/$N1235),4),0)))</f>
        <v/>
      </c>
      <c r="P1235" s="48" t="inlineStr">
        <is>
          <t>indice</t>
        </is>
      </c>
      <c r="Q1235" s="57">
        <f>IF($A1235="","",$A1235&amp;"|"&amp;$C1235)</f>
        <v/>
      </c>
      <c r="R1235" s="57">
        <f>IF($A1235="","",$A1235&amp;"|"&amp;$C1235&amp;"|"&amp;$D1235)</f>
        <v/>
      </c>
      <c r="S1235" s="57">
        <f>IF($A1235="","",IFERROR(INDEX(Offerte!$D$2:$D$81,MATCH($Q1235,Offerte!$L$2:$L$81,0)),0))</f>
        <v/>
      </c>
      <c r="T1235" s="57">
        <f>IF($A1235="","",IFERROR(INDEX(Offerte!$G$2:$G$81,MATCH($Q1235,Offerte!$L$2:$L$81,0)),"NO"))</f>
        <v/>
      </c>
    </row>
    <row r="1236">
      <c r="A1236" s="48">
        <f>IF(Offerte!$A41="","",Offerte!$A41)</f>
        <v/>
      </c>
      <c r="B1236" s="48">
        <f>IF(Offerte!$A41="","",Offerte!$B41)</f>
        <v/>
      </c>
      <c r="C1236" s="48">
        <f>IF(Offerte!$A41="","",Offerte!$C41)</f>
        <v/>
      </c>
      <c r="D1236" s="48" t="inlineStr">
        <is>
          <t>F.2.1</t>
        </is>
      </c>
      <c r="E1236" s="48" t="inlineStr">
        <is>
          <t>F</t>
        </is>
      </c>
      <c r="F1236" s="48" t="inlineStr">
        <is>
          <t>Q</t>
        </is>
      </c>
      <c r="G1236" s="48" t="inlineStr">
        <is>
          <t>higher</t>
        </is>
      </c>
      <c r="H1236" s="48" t="n">
        <v>2</v>
      </c>
      <c r="I1236" s="48" t="inlineStr">
        <is>
          <t>Tasso di copertura del servizio con dispositivi ECO-DRIVER</t>
        </is>
      </c>
      <c r="J1236" s="73" t="n"/>
      <c r="K1236" s="73" t="n"/>
      <c r="L1236" s="73" t="n"/>
      <c r="M1236" s="73" t="n"/>
      <c r="N1236" s="57">
        <f>IF($A1236="","",IFERROR(VALUE($K1236)/VALUE($L1236),IFERROR(VALUE($J1236),0)))</f>
        <v/>
      </c>
      <c r="O1236" s="57">
        <f>IF($A1236="",0,IF(OR($S1236&lt;&gt;1,COUNTA($J1236:$M1236)=0),0,IF(SUMPRODUCT(MAX(($C$5:$C$2484=$C1236)*($D$5:$D$2484=$D1236)*($S$5:$S$2484=1)*IFERROR($N$5:$N$2484*1,0)))&gt;0,ROUND($H1236*($N1236/SUMPRODUCT(MAX(($C$5:$C$2484=$C1236)*($D$5:$D$2484=$D1236)*($S$5:$S$2484=1)*IFERROR($N$5:$N$2484*1,0)))),4),0)))</f>
        <v/>
      </c>
      <c r="P1236" s="48" t="inlineStr">
        <is>
          <t>Autobus attrezzati con dispositivi ECO-DRIVER / Autobus totali in offerta, incluse scorte</t>
        </is>
      </c>
      <c r="Q1236" s="57">
        <f>IF($A1236="","",$A1236&amp;"|"&amp;$C1236)</f>
        <v/>
      </c>
      <c r="R1236" s="57">
        <f>IF($A1236="","",$A1236&amp;"|"&amp;$C1236&amp;"|"&amp;$D1236)</f>
        <v/>
      </c>
      <c r="S1236" s="57">
        <f>IF($A1236="","",IFERROR(INDEX(Offerte!$D$2:$D$81,MATCH($Q1236,Offerte!$L$2:$L$81,0)),0))</f>
        <v/>
      </c>
      <c r="T1236" s="57">
        <f>IF($A1236="","",IFERROR(INDEX(Offerte!$G$2:$G$81,MATCH($Q1236,Offerte!$L$2:$L$81,0)),"NO"))</f>
        <v/>
      </c>
    </row>
    <row r="1237">
      <c r="A1237" s="48">
        <f>IF(Offerte!$A41="","",Offerte!$A41)</f>
        <v/>
      </c>
      <c r="B1237" s="48">
        <f>IF(Offerte!$A41="","",Offerte!$B41)</f>
        <v/>
      </c>
      <c r="C1237" s="48">
        <f>IF(Offerte!$A41="","",Offerte!$C41)</f>
        <v/>
      </c>
      <c r="D1237" s="48" t="inlineStr">
        <is>
          <t>F.3.1</t>
        </is>
      </c>
      <c r="E1237" s="48" t="inlineStr">
        <is>
          <t>F</t>
        </is>
      </c>
      <c r="F1237" s="48" t="inlineStr">
        <is>
          <t>Q</t>
        </is>
      </c>
      <c r="G1237" s="48" t="inlineStr">
        <is>
          <t>higher</t>
        </is>
      </c>
      <c r="H1237" s="48" t="n">
        <v>2</v>
      </c>
      <c r="I1237" s="48" t="inlineStr">
        <is>
          <t>Autoproduzione consumi elettrici per trazione</t>
        </is>
      </c>
      <c r="J1237" s="73" t="n"/>
      <c r="K1237" s="73" t="n"/>
      <c r="L1237" s="73" t="n"/>
      <c r="M1237" s="73" t="n"/>
      <c r="N1237" s="57">
        <f>IF($A1237="","",IFERROR(VALUE($J1237),0))</f>
        <v/>
      </c>
      <c r="O1237" s="57">
        <f>IF($A1237="",0,IF(OR($S1237&lt;&gt;1,COUNTA($J1237:$M1237)=0),0,IF(SUMPRODUCT(MAX(($C$5:$C$2484=$C1237)*($D$5:$D$2484=$D1237)*($S$5:$S$2484=1)*IFERROR($N$5:$N$2484*1,0)))&gt;0,ROUND($H1237*($N1237/SUMPRODUCT(MAX(($C$5:$C$2484=$C1237)*($D$5:$D$2484=$D1237)*($S$5:$S$2484=1)*IFERROR($N$5:$N$2484*1,0)))),4),0)))</f>
        <v/>
      </c>
      <c r="P1237" s="48" t="inlineStr">
        <is>
          <t>kWh/anno</t>
        </is>
      </c>
      <c r="Q1237" s="57">
        <f>IF($A1237="","",$A1237&amp;"|"&amp;$C1237)</f>
        <v/>
      </c>
      <c r="R1237" s="57">
        <f>IF($A1237="","",$A1237&amp;"|"&amp;$C1237&amp;"|"&amp;$D1237)</f>
        <v/>
      </c>
      <c r="S1237" s="57">
        <f>IF($A1237="","",IFERROR(INDEX(Offerte!$D$2:$D$81,MATCH($Q1237,Offerte!$L$2:$L$81,0)),0))</f>
        <v/>
      </c>
      <c r="T1237" s="57">
        <f>IF($A1237="","",IFERROR(INDEX(Offerte!$G$2:$G$81,MATCH($Q1237,Offerte!$L$2:$L$81,0)),"NO"))</f>
        <v/>
      </c>
    </row>
    <row r="1238">
      <c r="A1238" s="48">
        <f>IF(Offerte!$A41="","",Offerte!$A41)</f>
        <v/>
      </c>
      <c r="B1238" s="48">
        <f>IF(Offerte!$A41="","",Offerte!$B41)</f>
        <v/>
      </c>
      <c r="C1238" s="48">
        <f>IF(Offerte!$A41="","",Offerte!$C41)</f>
        <v/>
      </c>
      <c r="D1238" s="48" t="inlineStr">
        <is>
          <t>F.4.1</t>
        </is>
      </c>
      <c r="E1238" s="48" t="inlineStr">
        <is>
          <t>F</t>
        </is>
      </c>
      <c r="F1238" s="48" t="inlineStr">
        <is>
          <t>Q</t>
        </is>
      </c>
      <c r="G1238" s="48" t="inlineStr">
        <is>
          <t>soil</t>
        </is>
      </c>
      <c r="H1238" s="48" t="n">
        <v>2</v>
      </c>
      <c r="I1238" s="48" t="inlineStr">
        <is>
          <t>Indice di consumo di suolo</t>
        </is>
      </c>
      <c r="J1238" s="73" t="n"/>
      <c r="K1238" s="73" t="n"/>
      <c r="L1238" s="73" t="n"/>
      <c r="M1238" s="73" t="n"/>
      <c r="N1238" s="57">
        <f>IF($A1238="","",IFERROR(VALUE($J1238),0))</f>
        <v/>
      </c>
      <c r="O1238" s="57">
        <f>IF($A1238="",0,IF(OR($S1238&lt;&gt;1,COUNTA($J1238:$M1238)=0),0,IF($N1238&lt;=0,$H1238,IF(SUMPRODUCT(MAX(($C$5:$C$2484=$C1238)*($D$5:$D$2484=$D1238)*($S$5:$S$2484=1)*IFERROR($N$5:$N$2484*1,0)))&gt;0,ROUND($H1238*((SUMPRODUCT(MAX(($C$5:$C$2484=$C1238)*($D$5:$D$2484=$D1238)*($S$5:$S$2484=1)*IFERROR($N$5:$N$2484*1,0)))-$N1238)/SUMPRODUCT(MAX(($C$5:$C$2484=$C1238)*($D$5:$D$2484=$D1238)*($S$5:$S$2484=1)*IFERROR($N$5:$N$2484*1,0)))),4),0))))</f>
        <v/>
      </c>
      <c r="P1238" s="48" t="inlineStr">
        <is>
          <t>m2</t>
        </is>
      </c>
      <c r="Q1238" s="57">
        <f>IF($A1238="","",$A1238&amp;"|"&amp;$C1238)</f>
        <v/>
      </c>
      <c r="R1238" s="57">
        <f>IF($A1238="","",$A1238&amp;"|"&amp;$C1238&amp;"|"&amp;$D1238)</f>
        <v/>
      </c>
      <c r="S1238" s="57">
        <f>IF($A1238="","",IFERROR(INDEX(Offerte!$D$2:$D$81,MATCH($Q1238,Offerte!$L$2:$L$81,0)),0))</f>
        <v/>
      </c>
      <c r="T1238" s="57">
        <f>IF($A1238="","",IFERROR(INDEX(Offerte!$G$2:$G$81,MATCH($Q1238,Offerte!$L$2:$L$81,0)),"NO"))</f>
        <v/>
      </c>
    </row>
    <row r="1239">
      <c r="A1239" s="48">
        <f>IF(Offerte!$A41="","",Offerte!$A41)</f>
        <v/>
      </c>
      <c r="B1239" s="48">
        <f>IF(Offerte!$A41="","",Offerte!$B41)</f>
        <v/>
      </c>
      <c r="C1239" s="48">
        <f>IF(Offerte!$A41="","",Offerte!$C41)</f>
        <v/>
      </c>
      <c r="D1239" s="48" t="inlineStr">
        <is>
          <t>F.5.1</t>
        </is>
      </c>
      <c r="E1239" s="48" t="inlineStr">
        <is>
          <t>F</t>
        </is>
      </c>
      <c r="F1239" s="48" t="inlineStr">
        <is>
          <t>T</t>
        </is>
      </c>
      <c r="G1239" s="48" t="inlineStr">
        <is>
          <t>tabular</t>
        </is>
      </c>
      <c r="H1239" s="48" t="n">
        <v>1</v>
      </c>
      <c r="I1239" s="48" t="inlineStr">
        <is>
          <t>Rendicontazione di sostenibilità ambientale</t>
        </is>
      </c>
      <c r="J1239" s="73" t="n"/>
      <c r="K1239" s="73" t="n"/>
      <c r="L1239" s="73" t="n"/>
      <c r="M1239" s="73" t="n"/>
      <c r="N1239" s="57">
        <f>IF($A1239="","",IF(IFERROR(VALUE($M1239),0)=1,1,0))</f>
        <v/>
      </c>
      <c r="O1239" s="57">
        <f>IF($A1239="",0,IF(OR($S1239&lt;&gt;1,COUNTA($J1239:$M1239)=0),0,IF($N1239=1,$H1239,0)))</f>
        <v/>
      </c>
      <c r="P1239" s="48" t="inlineStr">
        <is>
          <t>sì/no</t>
        </is>
      </c>
      <c r="Q1239" s="57">
        <f>IF($A1239="","",$A1239&amp;"|"&amp;$C1239)</f>
        <v/>
      </c>
      <c r="R1239" s="57">
        <f>IF($A1239="","",$A1239&amp;"|"&amp;$C1239&amp;"|"&amp;$D1239)</f>
        <v/>
      </c>
      <c r="S1239" s="57">
        <f>IF($A1239="","",IFERROR(INDEX(Offerte!$D$2:$D$81,MATCH($Q1239,Offerte!$L$2:$L$81,0)),0))</f>
        <v/>
      </c>
      <c r="T1239" s="57">
        <f>IF($A1239="","",IFERROR(INDEX(Offerte!$G$2:$G$81,MATCH($Q1239,Offerte!$L$2:$L$81,0)),"NO"))</f>
        <v/>
      </c>
    </row>
    <row r="1240">
      <c r="A1240" s="48">
        <f>IF(Offerte!$A41="","",Offerte!$A41)</f>
        <v/>
      </c>
      <c r="B1240" s="48">
        <f>IF(Offerte!$A41="","",Offerte!$B41)</f>
        <v/>
      </c>
      <c r="C1240" s="48">
        <f>IF(Offerte!$A41="","",Offerte!$C41)</f>
        <v/>
      </c>
      <c r="D1240" s="48" t="inlineStr">
        <is>
          <t>G.1.1</t>
        </is>
      </c>
      <c r="E1240" s="48" t="inlineStr">
        <is>
          <t>G</t>
        </is>
      </c>
      <c r="F1240" s="48" t="inlineStr">
        <is>
          <t>D</t>
        </is>
      </c>
      <c r="G1240" s="48" t="inlineStr">
        <is>
          <t>discretionary</t>
        </is>
      </c>
      <c r="H1240" s="48" t="n">
        <v>2</v>
      </c>
      <c r="I1240" s="48" t="inlineStr">
        <is>
          <t>Qualità del progetto di centrale di controllo aziendale</t>
        </is>
      </c>
      <c r="J1240" s="73" t="n"/>
      <c r="K1240" s="73" t="n"/>
      <c r="L1240" s="73" t="n"/>
      <c r="M1240" s="73" t="n"/>
      <c r="N1240" s="57">
        <f>IF($A1240="","",MAX(0,MIN(1,IFERROR(VALUE($M1240),0))))</f>
        <v/>
      </c>
      <c r="O1240" s="57">
        <f>IF($A1240="",0,IF(OR($S1240&lt;&gt;1,COUNTA($J1240:$M1240)=0),0,IF(SUMPRODUCT(MAX(($C$5:$C$2484=$C1240)*($D$5:$D$2484=$D1240)*($S$5:$S$2484=1)*IFERROR($N$5:$N$2484*1,0)))&gt;0,ROUND($H1240*($N1240/SUMPRODUCT(MAX(($C$5:$C$2484=$C1240)*($D$5:$D$2484=$D1240)*($S$5:$S$2484=1)*IFERROR($N$5:$N$2484*1,0)))),4),0)))</f>
        <v/>
      </c>
      <c r="P1240" s="48" t="inlineStr">
        <is>
          <t>coeff.</t>
        </is>
      </c>
      <c r="Q1240" s="57">
        <f>IF($A1240="","",$A1240&amp;"|"&amp;$C1240)</f>
        <v/>
      </c>
      <c r="R1240" s="57">
        <f>IF($A1240="","",$A1240&amp;"|"&amp;$C1240&amp;"|"&amp;$D1240)</f>
        <v/>
      </c>
      <c r="S1240" s="57">
        <f>IF($A1240="","",IFERROR(INDEX(Offerte!$D$2:$D$81,MATCH($Q1240,Offerte!$L$2:$L$81,0)),0))</f>
        <v/>
      </c>
      <c r="T1240" s="57">
        <f>IF($A1240="","",IFERROR(INDEX(Offerte!$G$2:$G$81,MATCH($Q1240,Offerte!$L$2:$L$81,0)),"NO"))</f>
        <v/>
      </c>
    </row>
    <row r="1241">
      <c r="A1241" s="48">
        <f>IF(Offerte!$A41="","",Offerte!$A41)</f>
        <v/>
      </c>
      <c r="B1241" s="48">
        <f>IF(Offerte!$A41="","",Offerte!$B41)</f>
        <v/>
      </c>
      <c r="C1241" s="48">
        <f>IF(Offerte!$A41="","",Offerte!$C41)</f>
        <v/>
      </c>
      <c r="D1241" s="48" t="inlineStr">
        <is>
          <t>G.2.1</t>
        </is>
      </c>
      <c r="E1241" s="48" t="inlineStr">
        <is>
          <t>G</t>
        </is>
      </c>
      <c r="F1241" s="48" t="inlineStr">
        <is>
          <t>T</t>
        </is>
      </c>
      <c r="G1241" s="48" t="inlineStr">
        <is>
          <t>tabular</t>
        </is>
      </c>
      <c r="H1241" s="48" t="n">
        <v>1</v>
      </c>
      <c r="I1241" s="48" t="inlineStr">
        <is>
          <t>Certificazione ISO 45001</t>
        </is>
      </c>
      <c r="J1241" s="73" t="n"/>
      <c r="K1241" s="73" t="n"/>
      <c r="L1241" s="73" t="n"/>
      <c r="M1241" s="73" t="n"/>
      <c r="N1241" s="57">
        <f>IF($A1241="","",IF(IFERROR(VALUE($M1241),0)=1,1,0))</f>
        <v/>
      </c>
      <c r="O1241" s="57">
        <f>IF($A1241="",0,IF(OR($S1241&lt;&gt;1,COUNTA($J1241:$M1241)=0),0,IF($N1241=1,$H1241,0)))</f>
        <v/>
      </c>
      <c r="P1241" s="48" t="inlineStr">
        <is>
          <t>sì/no</t>
        </is>
      </c>
      <c r="Q1241" s="57">
        <f>IF($A1241="","",$A1241&amp;"|"&amp;$C1241)</f>
        <v/>
      </c>
      <c r="R1241" s="57">
        <f>IF($A1241="","",$A1241&amp;"|"&amp;$C1241&amp;"|"&amp;$D1241)</f>
        <v/>
      </c>
      <c r="S1241" s="57">
        <f>IF($A1241="","",IFERROR(INDEX(Offerte!$D$2:$D$81,MATCH($Q1241,Offerte!$L$2:$L$81,0)),0))</f>
        <v/>
      </c>
      <c r="T1241" s="57">
        <f>IF($A1241="","",IFERROR(INDEX(Offerte!$G$2:$G$81,MATCH($Q1241,Offerte!$L$2:$L$81,0)),"NO"))</f>
        <v/>
      </c>
    </row>
    <row r="1242">
      <c r="A1242" s="48">
        <f>IF(Offerte!$A41="","",Offerte!$A41)</f>
        <v/>
      </c>
      <c r="B1242" s="48">
        <f>IF(Offerte!$A41="","",Offerte!$B41)</f>
        <v/>
      </c>
      <c r="C1242" s="48">
        <f>IF(Offerte!$A41="","",Offerte!$C41)</f>
        <v/>
      </c>
      <c r="D1242" s="48" t="inlineStr">
        <is>
          <t>G.3.1</t>
        </is>
      </c>
      <c r="E1242" s="48" t="inlineStr">
        <is>
          <t>G</t>
        </is>
      </c>
      <c r="F1242" s="48" t="inlineStr">
        <is>
          <t>T</t>
        </is>
      </c>
      <c r="G1242" s="48" t="inlineStr">
        <is>
          <t>tabular</t>
        </is>
      </c>
      <c r="H1242" s="48" t="n">
        <v>1</v>
      </c>
      <c r="I1242" s="48" t="inlineStr">
        <is>
          <t>Certificazioni di responsabilità sociale</t>
        </is>
      </c>
      <c r="J1242" s="73" t="n"/>
      <c r="K1242" s="73" t="n"/>
      <c r="L1242" s="73" t="n"/>
      <c r="M1242" s="73" t="n"/>
      <c r="N1242" s="57">
        <f>IF($A1242="","",IF(IFERROR(VALUE($M1242),0)=1,1,0))</f>
        <v/>
      </c>
      <c r="O1242" s="57">
        <f>IF($A1242="",0,IF(OR($S1242&lt;&gt;1,COUNTA($J1242:$M1242)=0),0,IF($N1242=1,$H1242,0)))</f>
        <v/>
      </c>
      <c r="P1242" s="48" t="inlineStr">
        <is>
          <t>sì/no</t>
        </is>
      </c>
      <c r="Q1242" s="57">
        <f>IF($A1242="","",$A1242&amp;"|"&amp;$C1242)</f>
        <v/>
      </c>
      <c r="R1242" s="57">
        <f>IF($A1242="","",$A1242&amp;"|"&amp;$C1242&amp;"|"&amp;$D1242)</f>
        <v/>
      </c>
      <c r="S1242" s="57">
        <f>IF($A1242="","",IFERROR(INDEX(Offerte!$D$2:$D$81,MATCH($Q1242,Offerte!$L$2:$L$81,0)),0))</f>
        <v/>
      </c>
      <c r="T1242" s="57">
        <f>IF($A1242="","",IFERROR(INDEX(Offerte!$G$2:$G$81,MATCH($Q1242,Offerte!$L$2:$L$81,0)),"NO"))</f>
        <v/>
      </c>
    </row>
    <row r="1243">
      <c r="A1243" s="48">
        <f>IF(Offerte!$A41="","",Offerte!$A41)</f>
        <v/>
      </c>
      <c r="B1243" s="48">
        <f>IF(Offerte!$A41="","",Offerte!$B41)</f>
        <v/>
      </c>
      <c r="C1243" s="48">
        <f>IF(Offerte!$A41="","",Offerte!$C41)</f>
        <v/>
      </c>
      <c r="D1243" s="48" t="inlineStr">
        <is>
          <t>G.4.1</t>
        </is>
      </c>
      <c r="E1243" s="48" t="inlineStr">
        <is>
          <t>G</t>
        </is>
      </c>
      <c r="F1243" s="48" t="inlineStr">
        <is>
          <t>D</t>
        </is>
      </c>
      <c r="G1243" s="48" t="inlineStr">
        <is>
          <t>discretionary</t>
        </is>
      </c>
      <c r="H1243" s="48" t="n">
        <v>2</v>
      </c>
      <c r="I1243" s="48" t="inlineStr">
        <is>
          <t>Qualità del piano di formazione del personale</t>
        </is>
      </c>
      <c r="J1243" s="73" t="n"/>
      <c r="K1243" s="73" t="n"/>
      <c r="L1243" s="73" t="n"/>
      <c r="M1243" s="73" t="n"/>
      <c r="N1243" s="57">
        <f>IF($A1243="","",MAX(0,MIN(1,IFERROR(VALUE($M1243),0))))</f>
        <v/>
      </c>
      <c r="O1243" s="57">
        <f>IF($A1243="",0,IF(OR($S1243&lt;&gt;1,COUNTA($J1243:$M1243)=0),0,IF(SUMPRODUCT(MAX(($C$5:$C$2484=$C1243)*($D$5:$D$2484=$D1243)*($S$5:$S$2484=1)*IFERROR($N$5:$N$2484*1,0)))&gt;0,ROUND($H1243*($N1243/SUMPRODUCT(MAX(($C$5:$C$2484=$C1243)*($D$5:$D$2484=$D1243)*($S$5:$S$2484=1)*IFERROR($N$5:$N$2484*1,0)))),4),0)))</f>
        <v/>
      </c>
      <c r="P1243" s="48" t="inlineStr">
        <is>
          <t>coeff.</t>
        </is>
      </c>
      <c r="Q1243" s="57">
        <f>IF($A1243="","",$A1243&amp;"|"&amp;$C1243)</f>
        <v/>
      </c>
      <c r="R1243" s="57">
        <f>IF($A1243="","",$A1243&amp;"|"&amp;$C1243&amp;"|"&amp;$D1243)</f>
        <v/>
      </c>
      <c r="S1243" s="57">
        <f>IF($A1243="","",IFERROR(INDEX(Offerte!$D$2:$D$81,MATCH($Q1243,Offerte!$L$2:$L$81,0)),0))</f>
        <v/>
      </c>
      <c r="T1243" s="57">
        <f>IF($A1243="","",IFERROR(INDEX(Offerte!$G$2:$G$81,MATCH($Q1243,Offerte!$L$2:$L$81,0)),"NO"))</f>
        <v/>
      </c>
    </row>
    <row r="1244">
      <c r="A1244" s="48">
        <f>IF(Offerte!$A41="","",Offerte!$A41)</f>
        <v/>
      </c>
      <c r="B1244" s="48">
        <f>IF(Offerte!$A41="","",Offerte!$B41)</f>
        <v/>
      </c>
      <c r="C1244" s="48">
        <f>IF(Offerte!$A41="","",Offerte!$C41)</f>
        <v/>
      </c>
      <c r="D1244" s="48" t="inlineStr">
        <is>
          <t>G.5.1</t>
        </is>
      </c>
      <c r="E1244" s="48" t="inlineStr">
        <is>
          <t>G</t>
        </is>
      </c>
      <c r="F1244" s="48" t="inlineStr">
        <is>
          <t>T</t>
        </is>
      </c>
      <c r="G1244" s="48" t="inlineStr">
        <is>
          <t>tabular</t>
        </is>
      </c>
      <c r="H1244" s="48" t="n">
        <v>1</v>
      </c>
      <c r="I1244" s="48" t="inlineStr">
        <is>
          <t>Impegno al mantenimento delle garanzie del contratto di secondo livello del gestore uscente</t>
        </is>
      </c>
      <c r="J1244" s="73" t="n"/>
      <c r="K1244" s="73" t="n"/>
      <c r="L1244" s="73" t="n"/>
      <c r="M1244" s="73" t="n"/>
      <c r="N1244" s="57">
        <f>IF($A1244="","",IF(IFERROR(VALUE($M1244),0)=1,1,0))</f>
        <v/>
      </c>
      <c r="O1244" s="57">
        <f>IF($A1244="",0,IF(OR($S1244&lt;&gt;1,COUNTA($J1244:$M1244)=0),0,IF($N1244=1,$H1244,0)))</f>
        <v/>
      </c>
      <c r="P1244" s="48" t="inlineStr">
        <is>
          <t>sì/no</t>
        </is>
      </c>
      <c r="Q1244" s="57">
        <f>IF($A1244="","",$A1244&amp;"|"&amp;$C1244)</f>
        <v/>
      </c>
      <c r="R1244" s="57">
        <f>IF($A1244="","",$A1244&amp;"|"&amp;$C1244&amp;"|"&amp;$D1244)</f>
        <v/>
      </c>
      <c r="S1244" s="57">
        <f>IF($A1244="","",IFERROR(INDEX(Offerte!$D$2:$D$81,MATCH($Q1244,Offerte!$L$2:$L$81,0)),0))</f>
        <v/>
      </c>
      <c r="T1244" s="57">
        <f>IF($A1244="","",IFERROR(INDEX(Offerte!$G$2:$G$81,MATCH($Q1244,Offerte!$L$2:$L$81,0)),"NO"))</f>
        <v/>
      </c>
    </row>
    <row r="1245">
      <c r="A1245" s="48">
        <f>IF(Offerte!$A42="","",Offerte!$A42)</f>
        <v/>
      </c>
      <c r="B1245" s="48">
        <f>IF(Offerte!$A42="","",Offerte!$B42)</f>
        <v/>
      </c>
      <c r="C1245" s="48">
        <f>IF(Offerte!$A42="","",Offerte!$C42)</f>
        <v/>
      </c>
      <c r="D1245" s="48" t="inlineStr">
        <is>
          <t>A.1.1</t>
        </is>
      </c>
      <c r="E1245" s="48" t="inlineStr">
        <is>
          <t>A</t>
        </is>
      </c>
      <c r="F1245" s="48" t="inlineStr">
        <is>
          <t>Q</t>
        </is>
      </c>
      <c r="G1245" s="48" t="inlineStr">
        <is>
          <t>higher</t>
        </is>
      </c>
      <c r="H1245" s="48" t="n">
        <v>3</v>
      </c>
      <c r="I1245" s="48" t="inlineStr">
        <is>
          <t>Tasso aggiuntivo di corse controllate</t>
        </is>
      </c>
      <c r="J1245" s="73" t="n"/>
      <c r="K1245" s="73" t="n"/>
      <c r="L1245" s="73" t="n"/>
      <c r="M1245" s="73" t="n"/>
      <c r="N1245" s="57">
        <f>IF($A1245="","",IFERROR(VALUE($K1245)/VALUE($L1245)*100,IFERROR(VALUE($J1245),0)))</f>
        <v/>
      </c>
      <c r="O1245" s="57">
        <f>IF($A1245="",0,IF(OR($S1245&lt;&gt;1,COUNTA($J1245:$M1245)=0),0,IF(SUMPRODUCT(MAX(($C$5:$C$2484=$C1245)*($D$5:$D$2484=$D1245)*($S$5:$S$2484=1)*IFERROR($N$5:$N$2484*1,0)))&gt;0,ROUND($H1245*($N1245/SUMPRODUCT(MAX(($C$5:$C$2484=$C1245)*($D$5:$D$2484=$D1245)*($S$5:$S$2484=1)*IFERROR($N$5:$N$2484*1,0)))),4),0)))</f>
        <v/>
      </c>
      <c r="P1245" s="48" t="inlineStr">
        <is>
          <t>Corse controllate annue / Corse programmate annue</t>
        </is>
      </c>
      <c r="Q1245" s="57">
        <f>IF($A1245="","",$A1245&amp;"|"&amp;$C1245)</f>
        <v/>
      </c>
      <c r="R1245" s="57">
        <f>IF($A1245="","",$A1245&amp;"|"&amp;$C1245&amp;"|"&amp;$D1245)</f>
        <v/>
      </c>
      <c r="S1245" s="57">
        <f>IF($A1245="","",IFERROR(INDEX(Offerte!$D$2:$D$81,MATCH($Q1245,Offerte!$L$2:$L$81,0)),0))</f>
        <v/>
      </c>
      <c r="T1245" s="57">
        <f>IF($A1245="","",IFERROR(INDEX(Offerte!$G$2:$G$81,MATCH($Q1245,Offerte!$L$2:$L$81,0)),"NO"))</f>
        <v/>
      </c>
    </row>
    <row r="1246">
      <c r="A1246" s="48">
        <f>IF(Offerte!$A42="","",Offerte!$A42)</f>
        <v/>
      </c>
      <c r="B1246" s="48">
        <f>IF(Offerte!$A42="","",Offerte!$B42)</f>
        <v/>
      </c>
      <c r="C1246" s="48">
        <f>IF(Offerte!$A42="","",Offerte!$C42)</f>
        <v/>
      </c>
      <c r="D1246" s="48" t="inlineStr">
        <is>
          <t>A.1.2</t>
        </is>
      </c>
      <c r="E1246" s="48" t="inlineStr">
        <is>
          <t>A</t>
        </is>
      </c>
      <c r="F1246" s="48" t="inlineStr">
        <is>
          <t>Q</t>
        </is>
      </c>
      <c r="G1246" s="48" t="inlineStr">
        <is>
          <t>higher</t>
        </is>
      </c>
      <c r="H1246" s="48" t="n">
        <v>4</v>
      </c>
      <c r="I1246" s="48" t="inlineStr">
        <is>
          <t>Numero aggiuntivo di passeggeri controllati</t>
        </is>
      </c>
      <c r="J1246" s="73" t="n"/>
      <c r="K1246" s="73" t="n"/>
      <c r="L1246" s="73" t="n"/>
      <c r="M1246" s="73" t="n"/>
      <c r="N1246" s="57">
        <f>IF($A1246="","",IFERROR(VALUE($J1246),0))</f>
        <v/>
      </c>
      <c r="O1246" s="57">
        <f>IF($A1246="",0,IF(OR($S1246&lt;&gt;1,COUNTA($J1246:$M1246)=0),0,IF(SUMPRODUCT(MAX(($C$5:$C$2484=$C1246)*($D$5:$D$2484=$D1246)*($S$5:$S$2484=1)*IFERROR($N$5:$N$2484*1,0)))&gt;0,ROUND($H1246*($N1246/SUMPRODUCT(MAX(($C$5:$C$2484=$C1246)*($D$5:$D$2484=$D1246)*($S$5:$S$2484=1)*IFERROR($N$5:$N$2484*1,0)))),4),0)))</f>
        <v/>
      </c>
      <c r="P1246" s="48" t="inlineStr">
        <is>
          <t>passeggeri/anno</t>
        </is>
      </c>
      <c r="Q1246" s="57">
        <f>IF($A1246="","",$A1246&amp;"|"&amp;$C1246)</f>
        <v/>
      </c>
      <c r="R1246" s="57">
        <f>IF($A1246="","",$A1246&amp;"|"&amp;$C1246&amp;"|"&amp;$D1246)</f>
        <v/>
      </c>
      <c r="S1246" s="57">
        <f>IF($A1246="","",IFERROR(INDEX(Offerte!$D$2:$D$81,MATCH($Q1246,Offerte!$L$2:$L$81,0)),0))</f>
        <v/>
      </c>
      <c r="T1246" s="57">
        <f>IF($A1246="","",IFERROR(INDEX(Offerte!$G$2:$G$81,MATCH($Q1246,Offerte!$L$2:$L$81,0)),"NO"))</f>
        <v/>
      </c>
    </row>
    <row r="1247">
      <c r="A1247" s="48">
        <f>IF(Offerte!$A42="","",Offerte!$A42)</f>
        <v/>
      </c>
      <c r="B1247" s="48">
        <f>IF(Offerte!$A42="","",Offerte!$B42)</f>
        <v/>
      </c>
      <c r="C1247" s="48">
        <f>IF(Offerte!$A42="","",Offerte!$C42)</f>
        <v/>
      </c>
      <c r="D1247" s="48" t="inlineStr">
        <is>
          <t>B.1.1</t>
        </is>
      </c>
      <c r="E1247" s="48" t="inlineStr">
        <is>
          <t>B</t>
        </is>
      </c>
      <c r="F1247" s="48" t="inlineStr">
        <is>
          <t>Q</t>
        </is>
      </c>
      <c r="G1247" s="48" t="inlineStr">
        <is>
          <t>higher</t>
        </is>
      </c>
      <c r="H1247" s="48" t="n">
        <v>3</v>
      </c>
      <c r="I1247" s="48" t="inlineStr">
        <is>
          <t>Incremento dei posti offerti nelle fasce di punta</t>
        </is>
      </c>
      <c r="J1247" s="73" t="n"/>
      <c r="K1247" s="73" t="n"/>
      <c r="L1247" s="73" t="n"/>
      <c r="M1247" s="73" t="n"/>
      <c r="N1247" s="57">
        <f>IF($A1247="","",IFERROR(VALUE($J1247),0))</f>
        <v/>
      </c>
      <c r="O1247" s="57">
        <f>IF($A1247="",0,IF(OR($S1247&lt;&gt;1,COUNTA($J1247:$M1247)=0),0,IF(SUMPRODUCT(MAX(($C$5:$C$2484=$C1247)*($D$5:$D$2484=$D1247)*($S$5:$S$2484=1)*IFERROR($N$5:$N$2484*1,0)))&gt;0,ROUND($H1247*($N1247/SUMPRODUCT(MAX(($C$5:$C$2484=$C1247)*($D$5:$D$2484=$D1247)*($S$5:$S$2484=1)*IFERROR($N$5:$N$2484*1,0)))),4),0)))</f>
        <v/>
      </c>
      <c r="P1247" s="48" t="inlineStr">
        <is>
          <t>posti*km</t>
        </is>
      </c>
      <c r="Q1247" s="57">
        <f>IF($A1247="","",$A1247&amp;"|"&amp;$C1247)</f>
        <v/>
      </c>
      <c r="R1247" s="57">
        <f>IF($A1247="","",$A1247&amp;"|"&amp;$C1247&amp;"|"&amp;$D1247)</f>
        <v/>
      </c>
      <c r="S1247" s="57">
        <f>IF($A1247="","",IFERROR(INDEX(Offerte!$D$2:$D$81,MATCH($Q1247,Offerte!$L$2:$L$81,0)),0))</f>
        <v/>
      </c>
      <c r="T1247" s="57">
        <f>IF($A1247="","",IFERROR(INDEX(Offerte!$G$2:$G$81,MATCH($Q1247,Offerte!$L$2:$L$81,0)),"NO"))</f>
        <v/>
      </c>
    </row>
    <row r="1248">
      <c r="A1248" s="48">
        <f>IF(Offerte!$A42="","",Offerte!$A42)</f>
        <v/>
      </c>
      <c r="B1248" s="48">
        <f>IF(Offerte!$A42="","",Offerte!$B42)</f>
        <v/>
      </c>
      <c r="C1248" s="48">
        <f>IF(Offerte!$A42="","",Offerte!$C42)</f>
        <v/>
      </c>
      <c r="D1248" s="48" t="inlineStr">
        <is>
          <t>B.2.1</t>
        </is>
      </c>
      <c r="E1248" s="48" t="inlineStr">
        <is>
          <t>B</t>
        </is>
      </c>
      <c r="F1248" s="48" t="inlineStr">
        <is>
          <t>Q</t>
        </is>
      </c>
      <c r="G1248" s="48" t="inlineStr">
        <is>
          <t>higher</t>
        </is>
      </c>
      <c r="H1248" s="48" t="n">
        <v>4</v>
      </c>
      <c r="I1248" s="48" t="inlineStr">
        <is>
          <t>Corse aggiuntive nell'arco giornaliero base</t>
        </is>
      </c>
      <c r="J1248" s="73" t="n"/>
      <c r="K1248" s="73" t="n"/>
      <c r="L1248" s="73" t="n"/>
      <c r="M1248" s="73" t="n"/>
      <c r="N1248" s="57">
        <f>IF($A1248="","",IFERROR(VALUE($J1248),0))</f>
        <v/>
      </c>
      <c r="O1248" s="57">
        <f>IF($A1248="",0,IF(OR($S1248&lt;&gt;1,COUNTA($J1248:$M1248)=0),0,IF(SUMPRODUCT(MAX(($C$5:$C$2484=$C1248)*($D$5:$D$2484=$D1248)*($S$5:$S$2484=1)*IFERROR($N$5:$N$2484*1,0)))&gt;0,ROUND($H1248*($N1248/SUMPRODUCT(MAX(($C$5:$C$2484=$C1248)*($D$5:$D$2484=$D1248)*($S$5:$S$2484=1)*IFERROR($N$5:$N$2484*1,0)))),4),0)))</f>
        <v/>
      </c>
      <c r="P1248" s="48" t="inlineStr">
        <is>
          <t>corse</t>
        </is>
      </c>
      <c r="Q1248" s="57">
        <f>IF($A1248="","",$A1248&amp;"|"&amp;$C1248)</f>
        <v/>
      </c>
      <c r="R1248" s="57">
        <f>IF($A1248="","",$A1248&amp;"|"&amp;$C1248&amp;"|"&amp;$D1248)</f>
        <v/>
      </c>
      <c r="S1248" s="57">
        <f>IF($A1248="","",IFERROR(INDEX(Offerte!$D$2:$D$81,MATCH($Q1248,Offerte!$L$2:$L$81,0)),0))</f>
        <v/>
      </c>
      <c r="T1248" s="57">
        <f>IF($A1248="","",IFERROR(INDEX(Offerte!$G$2:$G$81,MATCH($Q1248,Offerte!$L$2:$L$81,0)),"NO"))</f>
        <v/>
      </c>
    </row>
    <row r="1249">
      <c r="A1249" s="48">
        <f>IF(Offerte!$A42="","",Offerte!$A42)</f>
        <v/>
      </c>
      <c r="B1249" s="48">
        <f>IF(Offerte!$A42="","",Offerte!$B42)</f>
        <v/>
      </c>
      <c r="C1249" s="48">
        <f>IF(Offerte!$A42="","",Offerte!$C42)</f>
        <v/>
      </c>
      <c r="D1249" s="48" t="inlineStr">
        <is>
          <t>B.3.1</t>
        </is>
      </c>
      <c r="E1249" s="48" t="inlineStr">
        <is>
          <t>B</t>
        </is>
      </c>
      <c r="F1249" s="48" t="inlineStr">
        <is>
          <t>Q</t>
        </is>
      </c>
      <c r="G1249" s="48" t="inlineStr">
        <is>
          <t>higher</t>
        </is>
      </c>
      <c r="H1249" s="48" t="n">
        <v>2</v>
      </c>
      <c r="I1249" s="48" t="inlineStr">
        <is>
          <t>Numero di corse aggiuntive per allungamento dell'arco di servizio giornaliero nelle fasce serali</t>
        </is>
      </c>
      <c r="J1249" s="73" t="n"/>
      <c r="K1249" s="73" t="n"/>
      <c r="L1249" s="73" t="n"/>
      <c r="M1249" s="73" t="n"/>
      <c r="N1249" s="57">
        <f>IF($A1249="","",IFERROR(VALUE($J1249),0))</f>
        <v/>
      </c>
      <c r="O1249" s="57">
        <f>IF($A1249="",0,IF(OR($S1249&lt;&gt;1,COUNTA($J1249:$M1249)=0),0,IF(SUMPRODUCT(MAX(($C$5:$C$2484=$C1249)*($D$5:$D$2484=$D1249)*($S$5:$S$2484=1)*IFERROR($N$5:$N$2484*1,0)))&gt;0,ROUND($H1249*($N1249/SUMPRODUCT(MAX(($C$5:$C$2484=$C1249)*($D$5:$D$2484=$D1249)*($S$5:$S$2484=1)*IFERROR($N$5:$N$2484*1,0)))),4),0)))</f>
        <v/>
      </c>
      <c r="P1249" s="48" t="inlineStr">
        <is>
          <t>corse</t>
        </is>
      </c>
      <c r="Q1249" s="57">
        <f>IF($A1249="","",$A1249&amp;"|"&amp;$C1249)</f>
        <v/>
      </c>
      <c r="R1249" s="57">
        <f>IF($A1249="","",$A1249&amp;"|"&amp;$C1249&amp;"|"&amp;$D1249)</f>
        <v/>
      </c>
      <c r="S1249" s="57">
        <f>IF($A1249="","",IFERROR(INDEX(Offerte!$D$2:$D$81,MATCH($Q1249,Offerte!$L$2:$L$81,0)),0))</f>
        <v/>
      </c>
      <c r="T1249" s="57">
        <f>IF($A1249="","",IFERROR(INDEX(Offerte!$G$2:$G$81,MATCH($Q1249,Offerte!$L$2:$L$81,0)),"NO"))</f>
        <v/>
      </c>
    </row>
    <row r="1250">
      <c r="A1250" s="48">
        <f>IF(Offerte!$A42="","",Offerte!$A42)</f>
        <v/>
      </c>
      <c r="B1250" s="48">
        <f>IF(Offerte!$A42="","",Offerte!$B42)</f>
        <v/>
      </c>
      <c r="C1250" s="48">
        <f>IF(Offerte!$A42="","",Offerte!$C42)</f>
        <v/>
      </c>
      <c r="D1250" s="48" t="inlineStr">
        <is>
          <t>B.4.1</t>
        </is>
      </c>
      <c r="E1250" s="48" t="inlineStr">
        <is>
          <t>B</t>
        </is>
      </c>
      <c r="F1250" s="48" t="inlineStr">
        <is>
          <t>Q</t>
        </is>
      </c>
      <c r="G1250" s="48" t="inlineStr">
        <is>
          <t>higher</t>
        </is>
      </c>
      <c r="H1250" s="48" t="n">
        <v>3</v>
      </c>
      <c r="I1250" s="48" t="inlineStr">
        <is>
          <t>Percorrenze aggiuntive offerte nel Programma d'esercizio delle prime due fasi attuative</t>
        </is>
      </c>
      <c r="J1250" s="73" t="n"/>
      <c r="K1250" s="73" t="n"/>
      <c r="L1250" s="73" t="n"/>
      <c r="M1250" s="73" t="n"/>
      <c r="N1250" s="57">
        <f>IF($A1250="","",IFERROR(VALUE($J1250),0))</f>
        <v/>
      </c>
      <c r="O1250" s="57">
        <f>IF($A1250="",0,IF(OR($S1250&lt;&gt;1,COUNTA($J1250:$M1250)=0),0,IF(SUMPRODUCT(MAX(($C$5:$C$2484=$C1250)*($D$5:$D$2484=$D1250)*($S$5:$S$2484=1)*IFERROR($N$5:$N$2484*1,0)))&gt;0,ROUND($H1250*($N1250/SUMPRODUCT(MAX(($C$5:$C$2484=$C1250)*($D$5:$D$2484=$D1250)*($S$5:$S$2484=1)*IFERROR($N$5:$N$2484*1,0)))),4),0)))</f>
        <v/>
      </c>
      <c r="P1250" s="48" t="inlineStr">
        <is>
          <t>vett*km</t>
        </is>
      </c>
      <c r="Q1250" s="57">
        <f>IF($A1250="","",$A1250&amp;"|"&amp;$C1250)</f>
        <v/>
      </c>
      <c r="R1250" s="57">
        <f>IF($A1250="","",$A1250&amp;"|"&amp;$C1250&amp;"|"&amp;$D1250)</f>
        <v/>
      </c>
      <c r="S1250" s="57">
        <f>IF($A1250="","",IFERROR(INDEX(Offerte!$D$2:$D$81,MATCH($Q1250,Offerte!$L$2:$L$81,0)),0))</f>
        <v/>
      </c>
      <c r="T1250" s="57">
        <f>IF($A1250="","",IFERROR(INDEX(Offerte!$G$2:$G$81,MATCH($Q1250,Offerte!$L$2:$L$81,0)),"NO"))</f>
        <v/>
      </c>
    </row>
    <row r="1251">
      <c r="A1251" s="48">
        <f>IF(Offerte!$A42="","",Offerte!$A42)</f>
        <v/>
      </c>
      <c r="B1251" s="48">
        <f>IF(Offerte!$A42="","",Offerte!$B42)</f>
        <v/>
      </c>
      <c r="C1251" s="48">
        <f>IF(Offerte!$A42="","",Offerte!$C42)</f>
        <v/>
      </c>
      <c r="D1251" s="48" t="inlineStr">
        <is>
          <t>B.5.1</t>
        </is>
      </c>
      <c r="E1251" s="48" t="inlineStr">
        <is>
          <t>B</t>
        </is>
      </c>
      <c r="F1251" s="48" t="inlineStr">
        <is>
          <t>D</t>
        </is>
      </c>
      <c r="G1251" s="48" t="inlineStr">
        <is>
          <t>discretionary</t>
        </is>
      </c>
      <c r="H1251" s="48" t="n">
        <v>2</v>
      </c>
      <c r="I1251" s="48" t="inlineStr">
        <is>
          <t>Efficacia del progetto di servizi complementari DRT</t>
        </is>
      </c>
      <c r="J1251" s="73" t="n"/>
      <c r="K1251" s="73" t="n"/>
      <c r="L1251" s="73" t="n"/>
      <c r="M1251" s="73" t="n"/>
      <c r="N1251" s="57">
        <f>IF($A1251="","",MAX(0,MIN(1,IFERROR(VALUE($M1251),0))))</f>
        <v/>
      </c>
      <c r="O1251" s="57">
        <f>IF($A1251="",0,IF(OR($S1251&lt;&gt;1,COUNTA($J1251:$M1251)=0),0,IF(SUMPRODUCT(MAX(($C$5:$C$2484=$C1251)*($D$5:$D$2484=$D1251)*($S$5:$S$2484=1)*IFERROR($N$5:$N$2484*1,0)))&gt;0,ROUND($H1251*($N1251/SUMPRODUCT(MAX(($C$5:$C$2484=$C1251)*($D$5:$D$2484=$D1251)*($S$5:$S$2484=1)*IFERROR($N$5:$N$2484*1,0)))),4),0)))</f>
        <v/>
      </c>
      <c r="P1251" s="48" t="inlineStr">
        <is>
          <t>coeff.</t>
        </is>
      </c>
      <c r="Q1251" s="57">
        <f>IF($A1251="","",$A1251&amp;"|"&amp;$C1251)</f>
        <v/>
      </c>
      <c r="R1251" s="57">
        <f>IF($A1251="","",$A1251&amp;"|"&amp;$C1251&amp;"|"&amp;$D1251)</f>
        <v/>
      </c>
      <c r="S1251" s="57">
        <f>IF($A1251="","",IFERROR(INDEX(Offerte!$D$2:$D$81,MATCH($Q1251,Offerte!$L$2:$L$81,0)),0))</f>
        <v/>
      </c>
      <c r="T1251" s="57">
        <f>IF($A1251="","",IFERROR(INDEX(Offerte!$G$2:$G$81,MATCH($Q1251,Offerte!$L$2:$L$81,0)),"NO"))</f>
        <v/>
      </c>
    </row>
    <row r="1252">
      <c r="A1252" s="48">
        <f>IF(Offerte!$A42="","",Offerte!$A42)</f>
        <v/>
      </c>
      <c r="B1252" s="48">
        <f>IF(Offerte!$A42="","",Offerte!$B42)</f>
        <v/>
      </c>
      <c r="C1252" s="48">
        <f>IF(Offerte!$A42="","",Offerte!$C42)</f>
        <v/>
      </c>
      <c r="D1252" s="48" t="inlineStr">
        <is>
          <t>C.1.1</t>
        </is>
      </c>
      <c r="E1252" s="48" t="inlineStr">
        <is>
          <t>C</t>
        </is>
      </c>
      <c r="F1252" s="48" t="inlineStr">
        <is>
          <t>Q</t>
        </is>
      </c>
      <c r="G1252" s="48" t="inlineStr">
        <is>
          <t>higher</t>
        </is>
      </c>
      <c r="H1252" s="48" t="n">
        <v>2</v>
      </c>
      <c r="I1252" s="48" t="inlineStr">
        <is>
          <t>Tasso di copertura del servizio con telecamere BSD</t>
        </is>
      </c>
      <c r="J1252" s="73" t="n"/>
      <c r="K1252" s="73" t="n"/>
      <c r="L1252" s="73" t="n"/>
      <c r="M1252" s="73" t="n"/>
      <c r="N1252" s="57">
        <f>IF($A1252="","",IFERROR(VALUE($K1252)/VALUE($L1252),IFERROR(VALUE($J1252),0)))</f>
        <v/>
      </c>
      <c r="O1252" s="57">
        <f>IF($A1252="",0,IF(OR($S1252&lt;&gt;1,COUNTA($J1252:$M1252)=0),0,IF(SUMPRODUCT(MAX(($C$5:$C$2484=$C1252)*($D$5:$D$2484=$D1252)*($S$5:$S$2484=1)*IFERROR($N$5:$N$2484*1,0)))&gt;0,ROUND($H1252*($N1252/SUMPRODUCT(MAX(($C$5:$C$2484=$C1252)*($D$5:$D$2484=$D1252)*($S$5:$S$2484=1)*IFERROR($N$5:$N$2484*1,0)))),4),0)))</f>
        <v/>
      </c>
      <c r="P1252" s="48" t="inlineStr">
        <is>
          <t>Autobus attrezzati con telecamere BSD / Autobus totali in offerta, incluse scorte</t>
        </is>
      </c>
      <c r="Q1252" s="57">
        <f>IF($A1252="","",$A1252&amp;"|"&amp;$C1252)</f>
        <v/>
      </c>
      <c r="R1252" s="57">
        <f>IF($A1252="","",$A1252&amp;"|"&amp;$C1252&amp;"|"&amp;$D1252)</f>
        <v/>
      </c>
      <c r="S1252" s="57">
        <f>IF($A1252="","",IFERROR(INDEX(Offerte!$D$2:$D$81,MATCH($Q1252,Offerte!$L$2:$L$81,0)),0))</f>
        <v/>
      </c>
      <c r="T1252" s="57">
        <f>IF($A1252="","",IFERROR(INDEX(Offerte!$G$2:$G$81,MATCH($Q1252,Offerte!$L$2:$L$81,0)),"NO"))</f>
        <v/>
      </c>
    </row>
    <row r="1253">
      <c r="A1253" s="48">
        <f>IF(Offerte!$A42="","",Offerte!$A42)</f>
        <v/>
      </c>
      <c r="B1253" s="48">
        <f>IF(Offerte!$A42="","",Offerte!$B42)</f>
        <v/>
      </c>
      <c r="C1253" s="48">
        <f>IF(Offerte!$A42="","",Offerte!$C42)</f>
        <v/>
      </c>
      <c r="D1253" s="48" t="inlineStr">
        <is>
          <t>C.1.2</t>
        </is>
      </c>
      <c r="E1253" s="48" t="inlineStr">
        <is>
          <t>C</t>
        </is>
      </c>
      <c r="F1253" s="48" t="inlineStr">
        <is>
          <t>Q</t>
        </is>
      </c>
      <c r="G1253" s="48" t="inlineStr">
        <is>
          <t>higher</t>
        </is>
      </c>
      <c r="H1253" s="48" t="n">
        <v>2</v>
      </c>
      <c r="I1253" s="48" t="inlineStr">
        <is>
          <t>Tasso di copertura del servizio con telecamere ADAS</t>
        </is>
      </c>
      <c r="J1253" s="73" t="n"/>
      <c r="K1253" s="73" t="n"/>
      <c r="L1253" s="73" t="n"/>
      <c r="M1253" s="73" t="n"/>
      <c r="N1253" s="57">
        <f>IF($A1253="","",IFERROR(VALUE($K1253)/VALUE($L1253),IFERROR(VALUE($J1253),0)))</f>
        <v/>
      </c>
      <c r="O1253" s="57">
        <f>IF($A1253="",0,IF(OR($S1253&lt;&gt;1,COUNTA($J1253:$M1253)=0),0,IF(SUMPRODUCT(MAX(($C$5:$C$2484=$C1253)*($D$5:$D$2484=$D1253)*($S$5:$S$2484=1)*IFERROR($N$5:$N$2484*1,0)))&gt;0,ROUND($H1253*($N1253/SUMPRODUCT(MAX(($C$5:$C$2484=$C1253)*($D$5:$D$2484=$D1253)*($S$5:$S$2484=1)*IFERROR($N$5:$N$2484*1,0)))),4),0)))</f>
        <v/>
      </c>
      <c r="P1253" s="48" t="inlineStr">
        <is>
          <t>Autobus attrezzati con telecamere ADAS / Autobus totali in offerta, incluse scorte</t>
        </is>
      </c>
      <c r="Q1253" s="57">
        <f>IF($A1253="","",$A1253&amp;"|"&amp;$C1253)</f>
        <v/>
      </c>
      <c r="R1253" s="57">
        <f>IF($A1253="","",$A1253&amp;"|"&amp;$C1253&amp;"|"&amp;$D1253)</f>
        <v/>
      </c>
      <c r="S1253" s="57">
        <f>IF($A1253="","",IFERROR(INDEX(Offerte!$D$2:$D$81,MATCH($Q1253,Offerte!$L$2:$L$81,0)),0))</f>
        <v/>
      </c>
      <c r="T1253" s="57">
        <f>IF($A1253="","",IFERROR(INDEX(Offerte!$G$2:$G$81,MATCH($Q1253,Offerte!$L$2:$L$81,0)),"NO"))</f>
        <v/>
      </c>
    </row>
    <row r="1254">
      <c r="A1254" s="48">
        <f>IF(Offerte!$A42="","",Offerte!$A42)</f>
        <v/>
      </c>
      <c r="B1254" s="48">
        <f>IF(Offerte!$A42="","",Offerte!$B42)</f>
        <v/>
      </c>
      <c r="C1254" s="48">
        <f>IF(Offerte!$A42="","",Offerte!$C42)</f>
        <v/>
      </c>
      <c r="D1254" s="48" t="inlineStr">
        <is>
          <t>C.2.1</t>
        </is>
      </c>
      <c r="E1254" s="48" t="inlineStr">
        <is>
          <t>C</t>
        </is>
      </c>
      <c r="F1254" s="48" t="inlineStr">
        <is>
          <t>Q</t>
        </is>
      </c>
      <c r="G1254" s="48" t="inlineStr">
        <is>
          <t>higher</t>
        </is>
      </c>
      <c r="H1254" s="48" t="n">
        <v>3</v>
      </c>
      <c r="I1254" s="48" t="inlineStr">
        <is>
          <t>Tasso di copertura del servizio con telecamere di bordo di videosorveglianza</t>
        </is>
      </c>
      <c r="J1254" s="73" t="n"/>
      <c r="K1254" s="73" t="n"/>
      <c r="L1254" s="73" t="n"/>
      <c r="M1254" s="73" t="n"/>
      <c r="N1254" s="57">
        <f>IF($A1254="","",IFERROR(VALUE($K1254)/VALUE($L1254),IFERROR(VALUE($J1254),0)))</f>
        <v/>
      </c>
      <c r="O1254" s="57">
        <f>IF($A1254="",0,IF(OR($S1254&lt;&gt;1,COUNTA($J1254:$M1254)=0),0,IF(SUMPRODUCT(MAX(($C$5:$C$2484=$C1254)*($D$5:$D$2484=$D1254)*($S$5:$S$2484=1)*IFERROR($N$5:$N$2484*1,0)))&gt;0,ROUND($H1254*($N1254/SUMPRODUCT(MAX(($C$5:$C$2484=$C1254)*($D$5:$D$2484=$D1254)*($S$5:$S$2484=1)*IFERROR($N$5:$N$2484*1,0)))),4),0)))</f>
        <v/>
      </c>
      <c r="P1254" s="48" t="inlineStr">
        <is>
          <t>Autobus attrezzati con videosorveglianza / Autobus totali in offerta, incluse scorte</t>
        </is>
      </c>
      <c r="Q1254" s="57">
        <f>IF($A1254="","",$A1254&amp;"|"&amp;$C1254)</f>
        <v/>
      </c>
      <c r="R1254" s="57">
        <f>IF($A1254="","",$A1254&amp;"|"&amp;$C1254&amp;"|"&amp;$D1254)</f>
        <v/>
      </c>
      <c r="S1254" s="57">
        <f>IF($A1254="","",IFERROR(INDEX(Offerte!$D$2:$D$81,MATCH($Q1254,Offerte!$L$2:$L$81,0)),0))</f>
        <v/>
      </c>
      <c r="T1254" s="57">
        <f>IF($A1254="","",IFERROR(INDEX(Offerte!$G$2:$G$81,MATCH($Q1254,Offerte!$L$2:$L$81,0)),"NO"))</f>
        <v/>
      </c>
    </row>
    <row r="1255">
      <c r="A1255" s="48">
        <f>IF(Offerte!$A42="","",Offerte!$A42)</f>
        <v/>
      </c>
      <c r="B1255" s="48">
        <f>IF(Offerte!$A42="","",Offerte!$B42)</f>
        <v/>
      </c>
      <c r="C1255" s="48">
        <f>IF(Offerte!$A42="","",Offerte!$C42)</f>
        <v/>
      </c>
      <c r="D1255" s="48" t="inlineStr">
        <is>
          <t>C.2.2</t>
        </is>
      </c>
      <c r="E1255" s="48" t="inlineStr">
        <is>
          <t>C</t>
        </is>
      </c>
      <c r="F1255" s="48" t="inlineStr">
        <is>
          <t>T</t>
        </is>
      </c>
      <c r="G1255" s="48" t="inlineStr">
        <is>
          <t>tabular</t>
        </is>
      </c>
      <c r="H1255" s="48" t="n">
        <v>1</v>
      </c>
      <c r="I1255" s="48" t="inlineStr">
        <is>
          <t>Software video/audio analisi per situazioni di pericolo</t>
        </is>
      </c>
      <c r="J1255" s="73" t="n"/>
      <c r="K1255" s="73" t="n"/>
      <c r="L1255" s="73" t="n"/>
      <c r="M1255" s="73" t="n"/>
      <c r="N1255" s="57">
        <f>IF($A1255="","",IF(IFERROR(VALUE($M1255),0)=1,1,0))</f>
        <v/>
      </c>
      <c r="O1255" s="57">
        <f>IF($A1255="",0,IF(OR($S1255&lt;&gt;1,COUNTA($J1255:$M1255)=0),0,IF($N1255=1,$H1255,0)))</f>
        <v/>
      </c>
      <c r="P1255" s="48" t="inlineStr">
        <is>
          <t>sì/no</t>
        </is>
      </c>
      <c r="Q1255" s="57">
        <f>IF($A1255="","",$A1255&amp;"|"&amp;$C1255)</f>
        <v/>
      </c>
      <c r="R1255" s="57">
        <f>IF($A1255="","",$A1255&amp;"|"&amp;$C1255&amp;"|"&amp;$D1255)</f>
        <v/>
      </c>
      <c r="S1255" s="57">
        <f>IF($A1255="","",IFERROR(INDEX(Offerte!$D$2:$D$81,MATCH($Q1255,Offerte!$L$2:$L$81,0)),0))</f>
        <v/>
      </c>
      <c r="T1255" s="57">
        <f>IF($A1255="","",IFERROR(INDEX(Offerte!$G$2:$G$81,MATCH($Q1255,Offerte!$L$2:$L$81,0)),"NO"))</f>
        <v/>
      </c>
    </row>
    <row r="1256">
      <c r="A1256" s="48">
        <f>IF(Offerte!$A42="","",Offerte!$A42)</f>
        <v/>
      </c>
      <c r="B1256" s="48">
        <f>IF(Offerte!$A42="","",Offerte!$B42)</f>
        <v/>
      </c>
      <c r="C1256" s="48">
        <f>IF(Offerte!$A42="","",Offerte!$C42)</f>
        <v/>
      </c>
      <c r="D1256" s="48" t="inlineStr">
        <is>
          <t>C.2.3</t>
        </is>
      </c>
      <c r="E1256" s="48" t="inlineStr">
        <is>
          <t>C</t>
        </is>
      </c>
      <c r="F1256" s="48" t="inlineStr">
        <is>
          <t>T</t>
        </is>
      </c>
      <c r="G1256" s="48" t="inlineStr">
        <is>
          <t>tabular</t>
        </is>
      </c>
      <c r="H1256" s="48" t="n">
        <v>1</v>
      </c>
      <c r="I1256" s="48" t="inlineStr">
        <is>
          <t>Collegamento con centrale qualificata di pronto intervento</t>
        </is>
      </c>
      <c r="J1256" s="73" t="n"/>
      <c r="K1256" s="73" t="n"/>
      <c r="L1256" s="73" t="n"/>
      <c r="M1256" s="73" t="n"/>
      <c r="N1256" s="57">
        <f>IF($A1256="","",IF(IFERROR(VALUE($M1256),0)=1,1,0))</f>
        <v/>
      </c>
      <c r="O1256" s="57">
        <f>IF($A1256="",0,IF(OR($S1256&lt;&gt;1,COUNTA($J1256:$M1256)=0),0,IF($N1256=1,$H1256,0)))</f>
        <v/>
      </c>
      <c r="P1256" s="48" t="inlineStr">
        <is>
          <t>sì/no</t>
        </is>
      </c>
      <c r="Q1256" s="57">
        <f>IF($A1256="","",$A1256&amp;"|"&amp;$C1256)</f>
        <v/>
      </c>
      <c r="R1256" s="57">
        <f>IF($A1256="","",$A1256&amp;"|"&amp;$C1256&amp;"|"&amp;$D1256)</f>
        <v/>
      </c>
      <c r="S1256" s="57">
        <f>IF($A1256="","",IFERROR(INDEX(Offerte!$D$2:$D$81,MATCH($Q1256,Offerte!$L$2:$L$81,0)),0))</f>
        <v/>
      </c>
      <c r="T1256" s="57">
        <f>IF($A1256="","",IFERROR(INDEX(Offerte!$G$2:$G$81,MATCH($Q1256,Offerte!$L$2:$L$81,0)),"NO"))</f>
        <v/>
      </c>
    </row>
    <row r="1257">
      <c r="A1257" s="48">
        <f>IF(Offerte!$A42="","",Offerte!$A42)</f>
        <v/>
      </c>
      <c r="B1257" s="48">
        <f>IF(Offerte!$A42="","",Offerte!$B42)</f>
        <v/>
      </c>
      <c r="C1257" s="48">
        <f>IF(Offerte!$A42="","",Offerte!$C42)</f>
        <v/>
      </c>
      <c r="D1257" s="48" t="inlineStr">
        <is>
          <t>C.2.4</t>
        </is>
      </c>
      <c r="E1257" s="48" t="inlineStr">
        <is>
          <t>C</t>
        </is>
      </c>
      <c r="F1257" s="48" t="inlineStr">
        <is>
          <t>Q</t>
        </is>
      </c>
      <c r="G1257" s="48" t="inlineStr">
        <is>
          <t>higher</t>
        </is>
      </c>
      <c r="H1257" s="48" t="n">
        <v>1</v>
      </c>
      <c r="I1257" s="48" t="inlineStr">
        <is>
          <t>Tasso di copertura del servizio con dispositivi per la chiamata di emergenza del conducente</t>
        </is>
      </c>
      <c r="J1257" s="73" t="n"/>
      <c r="K1257" s="73" t="n"/>
      <c r="L1257" s="73" t="n"/>
      <c r="M1257" s="73" t="n"/>
      <c r="N1257" s="57">
        <f>IF($A1257="","",IFERROR(VALUE($K1257)/VALUE($L1257),IFERROR(VALUE($J1257),0)))</f>
        <v/>
      </c>
      <c r="O1257" s="57">
        <f>IF($A1257="",0,IF(OR($S1257&lt;&gt;1,COUNTA($J1257:$M1257)=0),0,IF(SUMPRODUCT(MAX(($C$5:$C$2484=$C1257)*($D$5:$D$2484=$D1257)*($S$5:$S$2484=1)*IFERROR($N$5:$N$2484*1,0)))&gt;0,ROUND($H1257*($N1257/SUMPRODUCT(MAX(($C$5:$C$2484=$C1257)*($D$5:$D$2484=$D1257)*($S$5:$S$2484=1)*IFERROR($N$5:$N$2484*1,0)))),4),0)))</f>
        <v/>
      </c>
      <c r="P1257" s="48" t="inlineStr">
        <is>
          <t>Autobus attrezzati con chiamata di emergenza / Autobus totali in offerta, incluse scorte</t>
        </is>
      </c>
      <c r="Q1257" s="57">
        <f>IF($A1257="","",$A1257&amp;"|"&amp;$C1257)</f>
        <v/>
      </c>
      <c r="R1257" s="57">
        <f>IF($A1257="","",$A1257&amp;"|"&amp;$C1257&amp;"|"&amp;$D1257)</f>
        <v/>
      </c>
      <c r="S1257" s="57">
        <f>IF($A1257="","",IFERROR(INDEX(Offerte!$D$2:$D$81,MATCH($Q1257,Offerte!$L$2:$L$81,0)),0))</f>
        <v/>
      </c>
      <c r="T1257" s="57">
        <f>IF($A1257="","",IFERROR(INDEX(Offerte!$G$2:$G$81,MATCH($Q1257,Offerte!$L$2:$L$81,0)),"NO"))</f>
        <v/>
      </c>
    </row>
    <row r="1258">
      <c r="A1258" s="48">
        <f>IF(Offerte!$A42="","",Offerte!$A42)</f>
        <v/>
      </c>
      <c r="B1258" s="48">
        <f>IF(Offerte!$A42="","",Offerte!$B42)</f>
        <v/>
      </c>
      <c r="C1258" s="48">
        <f>IF(Offerte!$A42="","",Offerte!$C42)</f>
        <v/>
      </c>
      <c r="D1258" s="48" t="inlineStr">
        <is>
          <t>C.3.1</t>
        </is>
      </c>
      <c r="E1258" s="48" t="inlineStr">
        <is>
          <t>C</t>
        </is>
      </c>
      <c r="F1258" s="48" t="inlineStr">
        <is>
          <t>Q</t>
        </is>
      </c>
      <c r="G1258" s="48" t="inlineStr">
        <is>
          <t>higher</t>
        </is>
      </c>
      <c r="H1258" s="48" t="n">
        <v>2</v>
      </c>
      <c r="I1258" s="48" t="inlineStr">
        <is>
          <t>Tasso di copertura del servizio con dispositivi di informazione dinamica a bordo mezzo</t>
        </is>
      </c>
      <c r="J1258" s="73" t="n"/>
      <c r="K1258" s="73" t="n"/>
      <c r="L1258" s="73" t="n"/>
      <c r="M1258" s="73" t="n"/>
      <c r="N1258" s="57">
        <f>IF($A1258="","",IFERROR(VALUE($K1258)/VALUE($L1258),IFERROR(VALUE($J1258),0)))</f>
        <v/>
      </c>
      <c r="O1258" s="57">
        <f>IF($A1258="",0,IF(OR($S1258&lt;&gt;1,COUNTA($J1258:$M1258)=0),0,IF(SUMPRODUCT(MAX(($C$5:$C$2484=$C1258)*($D$5:$D$2484=$D1258)*($S$5:$S$2484=1)*IFERROR($N$5:$N$2484*1,0)))&gt;0,ROUND($H1258*($N1258/SUMPRODUCT(MAX(($C$5:$C$2484=$C1258)*($D$5:$D$2484=$D1258)*($S$5:$S$2484=1)*IFERROR($N$5:$N$2484*1,0)))),4),0)))</f>
        <v/>
      </c>
      <c r="P1258" s="48" t="inlineStr">
        <is>
          <t>Autobus con monitor e indicatori vocali / Autobus totali in offerta, incluse scorte</t>
        </is>
      </c>
      <c r="Q1258" s="57">
        <f>IF($A1258="","",$A1258&amp;"|"&amp;$C1258)</f>
        <v/>
      </c>
      <c r="R1258" s="57">
        <f>IF($A1258="","",$A1258&amp;"|"&amp;$C1258&amp;"|"&amp;$D1258)</f>
        <v/>
      </c>
      <c r="S1258" s="57">
        <f>IF($A1258="","",IFERROR(INDEX(Offerte!$D$2:$D$81,MATCH($Q1258,Offerte!$L$2:$L$81,0)),0))</f>
        <v/>
      </c>
      <c r="T1258" s="57">
        <f>IF($A1258="","",IFERROR(INDEX(Offerte!$G$2:$G$81,MATCH($Q1258,Offerte!$L$2:$L$81,0)),"NO"))</f>
        <v/>
      </c>
    </row>
    <row r="1259">
      <c r="A1259" s="48">
        <f>IF(Offerte!$A42="","",Offerte!$A42)</f>
        <v/>
      </c>
      <c r="B1259" s="48">
        <f>IF(Offerte!$A42="","",Offerte!$B42)</f>
        <v/>
      </c>
      <c r="C1259" s="48">
        <f>IF(Offerte!$A42="","",Offerte!$C42)</f>
        <v/>
      </c>
      <c r="D1259" s="48" t="inlineStr">
        <is>
          <t>C.3.2</t>
        </is>
      </c>
      <c r="E1259" s="48" t="inlineStr">
        <is>
          <t>C</t>
        </is>
      </c>
      <c r="F1259" s="48" t="inlineStr">
        <is>
          <t>T</t>
        </is>
      </c>
      <c r="G1259" s="48" t="inlineStr">
        <is>
          <t>tabular</t>
        </is>
      </c>
      <c r="H1259" s="48" t="n">
        <v>2</v>
      </c>
      <c r="I1259" s="48" t="inlineStr">
        <is>
          <t>Informazioni a bordo su coincidenze ai nodi</t>
        </is>
      </c>
      <c r="J1259" s="73" t="n"/>
      <c r="K1259" s="73" t="n"/>
      <c r="L1259" s="73" t="n"/>
      <c r="M1259" s="73" t="n"/>
      <c r="N1259" s="57">
        <f>IF($A1259="","",IF(IFERROR(VALUE($M1259),0)=1,1,0))</f>
        <v/>
      </c>
      <c r="O1259" s="57">
        <f>IF($A1259="",0,IF(OR($S1259&lt;&gt;1,COUNTA($J1259:$M1259)=0),0,IF(AND($N1259=1,IFERROR(SUMIFS($N$5:$N$2484,$Q$5:$Q$2484,$Q1259,$D$5:$D$2484,"C.3.1"),0)&gt;=0.5),$H1259,0)))</f>
        <v/>
      </c>
      <c r="P1259" s="48" t="inlineStr">
        <is>
          <t>Dipende da C.3.1 &gt;= 0.5</t>
        </is>
      </c>
      <c r="Q1259" s="57">
        <f>IF($A1259="","",$A1259&amp;"|"&amp;$C1259)</f>
        <v/>
      </c>
      <c r="R1259" s="57">
        <f>IF($A1259="","",$A1259&amp;"|"&amp;$C1259&amp;"|"&amp;$D1259)</f>
        <v/>
      </c>
      <c r="S1259" s="57">
        <f>IF($A1259="","",IFERROR(INDEX(Offerte!$D$2:$D$81,MATCH($Q1259,Offerte!$L$2:$L$81,0)),0))</f>
        <v/>
      </c>
      <c r="T1259" s="57">
        <f>IF($A1259="","",IFERROR(INDEX(Offerte!$G$2:$G$81,MATCH($Q1259,Offerte!$L$2:$L$81,0)),"NO"))</f>
        <v/>
      </c>
    </row>
    <row r="1260">
      <c r="A1260" s="48">
        <f>IF(Offerte!$A42="","",Offerte!$A42)</f>
        <v/>
      </c>
      <c r="B1260" s="48">
        <f>IF(Offerte!$A42="","",Offerte!$B42)</f>
        <v/>
      </c>
      <c r="C1260" s="48">
        <f>IF(Offerte!$A42="","",Offerte!$C42)</f>
        <v/>
      </c>
      <c r="D1260" s="48" t="inlineStr">
        <is>
          <t>D.1.1</t>
        </is>
      </c>
      <c r="E1260" s="48" t="inlineStr">
        <is>
          <t>D</t>
        </is>
      </c>
      <c r="F1260" s="48" t="inlineStr">
        <is>
          <t>Q</t>
        </is>
      </c>
      <c r="G1260" s="48" t="inlineStr">
        <is>
          <t>higher</t>
        </is>
      </c>
      <c r="H1260" s="48" t="n">
        <v>3</v>
      </c>
      <c r="I1260" s="48" t="inlineStr">
        <is>
          <t>Installazione di pensiline</t>
        </is>
      </c>
      <c r="J1260" s="73" t="n"/>
      <c r="K1260" s="73" t="n"/>
      <c r="L1260" s="73" t="n"/>
      <c r="M1260" s="73" t="n"/>
      <c r="N1260" s="57">
        <f>IF($A1260="","",IFERROR(VALUE($J1260),0))</f>
        <v/>
      </c>
      <c r="O1260" s="57">
        <f>IF($A1260="",0,IF(OR($S1260&lt;&gt;1,COUNTA($J1260:$M1260)=0),0,IF(SUMPRODUCT(MAX(($C$5:$C$2484=$C1260)*($D$5:$D$2484=$D1260)*($S$5:$S$2484=1)*IFERROR($N$5:$N$2484*1,0)))&gt;0,ROUND($H1260*($N1260/SUMPRODUCT(MAX(($C$5:$C$2484=$C1260)*($D$5:$D$2484=$D1260)*($S$5:$S$2484=1)*IFERROR($N$5:$N$2484*1,0)))),4),0)))</f>
        <v/>
      </c>
      <c r="P1260" s="48" t="inlineStr">
        <is>
          <t>fermate</t>
        </is>
      </c>
      <c r="Q1260" s="57">
        <f>IF($A1260="","",$A1260&amp;"|"&amp;$C1260)</f>
        <v/>
      </c>
      <c r="R1260" s="57">
        <f>IF($A1260="","",$A1260&amp;"|"&amp;$C1260&amp;"|"&amp;$D1260)</f>
        <v/>
      </c>
      <c r="S1260" s="57">
        <f>IF($A1260="","",IFERROR(INDEX(Offerte!$D$2:$D$81,MATCH($Q1260,Offerte!$L$2:$L$81,0)),0))</f>
        <v/>
      </c>
      <c r="T1260" s="57">
        <f>IF($A1260="","",IFERROR(INDEX(Offerte!$G$2:$G$81,MATCH($Q1260,Offerte!$L$2:$L$81,0)),"NO"))</f>
        <v/>
      </c>
    </row>
    <row r="1261">
      <c r="A1261" s="48">
        <f>IF(Offerte!$A42="","",Offerte!$A42)</f>
        <v/>
      </c>
      <c r="B1261" s="48">
        <f>IF(Offerte!$A42="","",Offerte!$B42)</f>
        <v/>
      </c>
      <c r="C1261" s="48">
        <f>IF(Offerte!$A42="","",Offerte!$C42)</f>
        <v/>
      </c>
      <c r="D1261" s="48" t="inlineStr">
        <is>
          <t>D.1.2</t>
        </is>
      </c>
      <c r="E1261" s="48" t="inlineStr">
        <is>
          <t>D</t>
        </is>
      </c>
      <c r="F1261" s="48" t="inlineStr">
        <is>
          <t>Q</t>
        </is>
      </c>
      <c r="G1261" s="48" t="inlineStr">
        <is>
          <t>higher</t>
        </is>
      </c>
      <c r="H1261" s="48" t="n">
        <v>3</v>
      </c>
      <c r="I1261" s="48" t="inlineStr">
        <is>
          <t>Installazione di paline di fermata conformi alla DGR 581/2023</t>
        </is>
      </c>
      <c r="J1261" s="73" t="n"/>
      <c r="K1261" s="73" t="n"/>
      <c r="L1261" s="73" t="n"/>
      <c r="M1261" s="73" t="n"/>
      <c r="N1261" s="57">
        <f>IF($A1261="","",IFERROR(VALUE($J1261),0))</f>
        <v/>
      </c>
      <c r="O1261" s="57">
        <f>IF($A1261="",0,IF(OR($S1261&lt;&gt;1,COUNTA($J1261:$M1261)=0),0,IF(SUMPRODUCT(MAX(($C$5:$C$2484=$C1261)*($D$5:$D$2484=$D1261)*($S$5:$S$2484=1)*IFERROR($N$5:$N$2484*1,0)))&gt;0,ROUND($H1261*($N1261/SUMPRODUCT(MAX(($C$5:$C$2484=$C1261)*($D$5:$D$2484=$D1261)*($S$5:$S$2484=1)*IFERROR($N$5:$N$2484*1,0)))),4),0)))</f>
        <v/>
      </c>
      <c r="P1261" s="48" t="inlineStr">
        <is>
          <t>fermate</t>
        </is>
      </c>
      <c r="Q1261" s="57">
        <f>IF($A1261="","",$A1261&amp;"|"&amp;$C1261)</f>
        <v/>
      </c>
      <c r="R1261" s="57">
        <f>IF($A1261="","",$A1261&amp;"|"&amp;$C1261&amp;"|"&amp;$D1261)</f>
        <v/>
      </c>
      <c r="S1261" s="57">
        <f>IF($A1261="","",IFERROR(INDEX(Offerte!$D$2:$D$81,MATCH($Q1261,Offerte!$L$2:$L$81,0)),0))</f>
        <v/>
      </c>
      <c r="T1261" s="57">
        <f>IF($A1261="","",IFERROR(INDEX(Offerte!$G$2:$G$81,MATCH($Q1261,Offerte!$L$2:$L$81,0)),"NO"))</f>
        <v/>
      </c>
    </row>
    <row r="1262">
      <c r="A1262" s="48">
        <f>IF(Offerte!$A42="","",Offerte!$A42)</f>
        <v/>
      </c>
      <c r="B1262" s="48">
        <f>IF(Offerte!$A42="","",Offerte!$B42)</f>
        <v/>
      </c>
      <c r="C1262" s="48">
        <f>IF(Offerte!$A42="","",Offerte!$C42)</f>
        <v/>
      </c>
      <c r="D1262" s="48" t="inlineStr">
        <is>
          <t>D.1.3</t>
        </is>
      </c>
      <c r="E1262" s="48" t="inlineStr">
        <is>
          <t>D</t>
        </is>
      </c>
      <c r="F1262" s="48" t="inlineStr">
        <is>
          <t>Q</t>
        </is>
      </c>
      <c r="G1262" s="48" t="inlineStr">
        <is>
          <t>higher</t>
        </is>
      </c>
      <c r="H1262" s="48" t="n">
        <v>2</v>
      </c>
      <c r="I1262" s="48" t="inlineStr">
        <is>
          <t>Display informativi connessi alle fermate</t>
        </is>
      </c>
      <c r="J1262" s="73" t="n"/>
      <c r="K1262" s="73" t="n"/>
      <c r="L1262" s="73" t="n"/>
      <c r="M1262" s="73" t="n"/>
      <c r="N1262" s="57">
        <f>IF($A1262="","",IFERROR(VALUE($J1262),0))</f>
        <v/>
      </c>
      <c r="O1262" s="57">
        <f>IF($A1262="",0,IF(OR($S1262&lt;&gt;1,COUNTA($J1262:$M1262)=0),0,IF(SUMPRODUCT(MAX(($C$5:$C$2484=$C1262)*($D$5:$D$2484=$D1262)*($S$5:$S$2484=1)*IFERROR($N$5:$N$2484*1,0)))&gt;0,ROUND($H1262*($N1262/SUMPRODUCT(MAX(($C$5:$C$2484=$C1262)*($D$5:$D$2484=$D1262)*($S$5:$S$2484=1)*IFERROR($N$5:$N$2484*1,0)))),4),0)))</f>
        <v/>
      </c>
      <c r="P1262" s="48" t="inlineStr">
        <is>
          <t>fermate</t>
        </is>
      </c>
      <c r="Q1262" s="57">
        <f>IF($A1262="","",$A1262&amp;"|"&amp;$C1262)</f>
        <v/>
      </c>
      <c r="R1262" s="57">
        <f>IF($A1262="","",$A1262&amp;"|"&amp;$C1262&amp;"|"&amp;$D1262)</f>
        <v/>
      </c>
      <c r="S1262" s="57">
        <f>IF($A1262="","",IFERROR(INDEX(Offerte!$D$2:$D$81,MATCH($Q1262,Offerte!$L$2:$L$81,0)),0))</f>
        <v/>
      </c>
      <c r="T1262" s="57">
        <f>IF($A1262="","",IFERROR(INDEX(Offerte!$G$2:$G$81,MATCH($Q1262,Offerte!$L$2:$L$81,0)),"NO"))</f>
        <v/>
      </c>
    </row>
    <row r="1263">
      <c r="A1263" s="48">
        <f>IF(Offerte!$A42="","",Offerte!$A42)</f>
        <v/>
      </c>
      <c r="B1263" s="48">
        <f>IF(Offerte!$A42="","",Offerte!$B42)</f>
        <v/>
      </c>
      <c r="C1263" s="48">
        <f>IF(Offerte!$A42="","",Offerte!$C42)</f>
        <v/>
      </c>
      <c r="D1263" s="48" t="inlineStr">
        <is>
          <t>D.2.1</t>
        </is>
      </c>
      <c r="E1263" s="48" t="inlineStr">
        <is>
          <t>D</t>
        </is>
      </c>
      <c r="F1263" s="48" t="inlineStr">
        <is>
          <t>Q</t>
        </is>
      </c>
      <c r="G1263" s="48" t="inlineStr">
        <is>
          <t>higher</t>
        </is>
      </c>
      <c r="H1263" s="48" t="n">
        <v>2</v>
      </c>
      <c r="I1263" s="48" t="inlineStr">
        <is>
          <t>Segnali tattili Loges-Vet-Evolution</t>
        </is>
      </c>
      <c r="J1263" s="73" t="n"/>
      <c r="K1263" s="73" t="n"/>
      <c r="L1263" s="73" t="n"/>
      <c r="M1263" s="73" t="n"/>
      <c r="N1263" s="57">
        <f>IF($A1263="","",IFERROR(VALUE($J1263),0))</f>
        <v/>
      </c>
      <c r="O1263" s="57">
        <f>IF($A1263="",0,IF(OR($S1263&lt;&gt;1,COUNTA($J1263:$M1263)=0),0,IF(SUMPRODUCT(MAX(($C$5:$C$2484=$C1263)*($D$5:$D$2484=$D1263)*($S$5:$S$2484=1)*IFERROR($N$5:$N$2484*1,0)))&gt;0,ROUND($H1263*($N1263/SUMPRODUCT(MAX(($C$5:$C$2484=$C1263)*($D$5:$D$2484=$D1263)*($S$5:$S$2484=1)*IFERROR($N$5:$N$2484*1,0)))),4),0)))</f>
        <v/>
      </c>
      <c r="P1263" s="48" t="inlineStr">
        <is>
          <t>fermate</t>
        </is>
      </c>
      <c r="Q1263" s="57">
        <f>IF($A1263="","",$A1263&amp;"|"&amp;$C1263)</f>
        <v/>
      </c>
      <c r="R1263" s="57">
        <f>IF($A1263="","",$A1263&amp;"|"&amp;$C1263&amp;"|"&amp;$D1263)</f>
        <v/>
      </c>
      <c r="S1263" s="57">
        <f>IF($A1263="","",IFERROR(INDEX(Offerte!$D$2:$D$81,MATCH($Q1263,Offerte!$L$2:$L$81,0)),0))</f>
        <v/>
      </c>
      <c r="T1263" s="57">
        <f>IF($A1263="","",IFERROR(INDEX(Offerte!$G$2:$G$81,MATCH($Q1263,Offerte!$L$2:$L$81,0)),"NO"))</f>
        <v/>
      </c>
    </row>
    <row r="1264">
      <c r="A1264" s="48">
        <f>IF(Offerte!$A42="","",Offerte!$A42)</f>
        <v/>
      </c>
      <c r="B1264" s="48">
        <f>IF(Offerte!$A42="","",Offerte!$B42)</f>
        <v/>
      </c>
      <c r="C1264" s="48">
        <f>IF(Offerte!$A42="","",Offerte!$C42)</f>
        <v/>
      </c>
      <c r="D1264" s="48" t="inlineStr">
        <is>
          <t>E.1.1</t>
        </is>
      </c>
      <c r="E1264" s="48" t="inlineStr">
        <is>
          <t>E</t>
        </is>
      </c>
      <c r="F1264" s="48" t="inlineStr">
        <is>
          <t>T</t>
        </is>
      </c>
      <c r="G1264" s="48" t="inlineStr">
        <is>
          <t>tabular</t>
        </is>
      </c>
      <c r="H1264" s="48" t="n">
        <v>2</v>
      </c>
      <c r="I1264" s="48" t="inlineStr">
        <is>
          <t>Mobile app con travel planner PRM</t>
        </is>
      </c>
      <c r="J1264" s="73" t="n"/>
      <c r="K1264" s="73" t="n"/>
      <c r="L1264" s="73" t="n"/>
      <c r="M1264" s="73" t="n"/>
      <c r="N1264" s="57">
        <f>IF($A1264="","",IF(IFERROR(VALUE($M1264),0)=1,1,0))</f>
        <v/>
      </c>
      <c r="O1264" s="57">
        <f>IF($A1264="",0,IF(OR($S1264&lt;&gt;1,COUNTA($J1264:$M1264)=0),0,IF($N1264=1,$H1264,0)))</f>
        <v/>
      </c>
      <c r="P1264" s="48" t="inlineStr">
        <is>
          <t>sì/no</t>
        </is>
      </c>
      <c r="Q1264" s="57">
        <f>IF($A1264="","",$A1264&amp;"|"&amp;$C1264)</f>
        <v/>
      </c>
      <c r="R1264" s="57">
        <f>IF($A1264="","",$A1264&amp;"|"&amp;$C1264&amp;"|"&amp;$D1264)</f>
        <v/>
      </c>
      <c r="S1264" s="57">
        <f>IF($A1264="","",IFERROR(INDEX(Offerte!$D$2:$D$81,MATCH($Q1264,Offerte!$L$2:$L$81,0)),0))</f>
        <v/>
      </c>
      <c r="T1264" s="57">
        <f>IF($A1264="","",IFERROR(INDEX(Offerte!$G$2:$G$81,MATCH($Q1264,Offerte!$L$2:$L$81,0)),"NO"))</f>
        <v/>
      </c>
    </row>
    <row r="1265">
      <c r="A1265" s="48">
        <f>IF(Offerte!$A42="","",Offerte!$A42)</f>
        <v/>
      </c>
      <c r="B1265" s="48">
        <f>IF(Offerte!$A42="","",Offerte!$B42)</f>
        <v/>
      </c>
      <c r="C1265" s="48">
        <f>IF(Offerte!$A42="","",Offerte!$C42)</f>
        <v/>
      </c>
      <c r="D1265" s="48" t="inlineStr">
        <is>
          <t>E.2.1</t>
        </is>
      </c>
      <c r="E1265" s="48" t="inlineStr">
        <is>
          <t>E</t>
        </is>
      </c>
      <c r="F1265" s="48" t="inlineStr">
        <is>
          <t>D</t>
        </is>
      </c>
      <c r="G1265" s="48" t="inlineStr">
        <is>
          <t>discretionary</t>
        </is>
      </c>
      <c r="H1265" s="48" t="n">
        <v>2</v>
      </c>
      <c r="I1265" s="48" t="inlineStr">
        <is>
          <t>Altre azioni informative e rapporti con gli utenti</t>
        </is>
      </c>
      <c r="J1265" s="73" t="n"/>
      <c r="K1265" s="73" t="n"/>
      <c r="L1265" s="73" t="n"/>
      <c r="M1265" s="73" t="n"/>
      <c r="N1265" s="57">
        <f>IF($A1265="","",MAX(0,MIN(1,IFERROR(VALUE($M1265),0))))</f>
        <v/>
      </c>
      <c r="O1265" s="57">
        <f>IF($A1265="",0,IF(OR($S1265&lt;&gt;1,COUNTA($J1265:$M1265)=0),0,IF(SUMPRODUCT(MAX(($C$5:$C$2484=$C1265)*($D$5:$D$2484=$D1265)*($S$5:$S$2484=1)*IFERROR($N$5:$N$2484*1,0)))&gt;0,ROUND($H1265*($N1265/SUMPRODUCT(MAX(($C$5:$C$2484=$C1265)*($D$5:$D$2484=$D1265)*($S$5:$S$2484=1)*IFERROR($N$5:$N$2484*1,0)))),4),0)))</f>
        <v/>
      </c>
      <c r="P1265" s="48" t="inlineStr">
        <is>
          <t>coeff.</t>
        </is>
      </c>
      <c r="Q1265" s="57">
        <f>IF($A1265="","",$A1265&amp;"|"&amp;$C1265)</f>
        <v/>
      </c>
      <c r="R1265" s="57">
        <f>IF($A1265="","",$A1265&amp;"|"&amp;$C1265&amp;"|"&amp;$D1265)</f>
        <v/>
      </c>
      <c r="S1265" s="57">
        <f>IF($A1265="","",IFERROR(INDEX(Offerte!$D$2:$D$81,MATCH($Q1265,Offerte!$L$2:$L$81,0)),0))</f>
        <v/>
      </c>
      <c r="T1265" s="57">
        <f>IF($A1265="","",IFERROR(INDEX(Offerte!$G$2:$G$81,MATCH($Q1265,Offerte!$L$2:$L$81,0)),"NO"))</f>
        <v/>
      </c>
    </row>
    <row r="1266">
      <c r="A1266" s="48">
        <f>IF(Offerte!$A42="","",Offerte!$A42)</f>
        <v/>
      </c>
      <c r="B1266" s="48">
        <f>IF(Offerte!$A42="","",Offerte!$B42)</f>
        <v/>
      </c>
      <c r="C1266" s="48">
        <f>IF(Offerte!$A42="","",Offerte!$C42)</f>
        <v/>
      </c>
      <c r="D1266" s="48" t="inlineStr">
        <is>
          <t>F.1.1</t>
        </is>
      </c>
      <c r="E1266" s="48" t="inlineStr">
        <is>
          <t>F</t>
        </is>
      </c>
      <c r="F1266" s="48" t="inlineStr">
        <is>
          <t>Q</t>
        </is>
      </c>
      <c r="G1266" s="48" t="inlineStr">
        <is>
          <t>lower</t>
        </is>
      </c>
      <c r="H1266" s="48" t="n">
        <v>7</v>
      </c>
      <c r="I1266" s="48" t="inlineStr">
        <is>
          <t>Performance ambientali del parco mezzi adibito al servizio - I_CEA</t>
        </is>
      </c>
      <c r="J1266" s="73" t="n"/>
      <c r="K1266" s="73" t="n"/>
      <c r="L1266" s="73" t="n"/>
      <c r="M1266" s="73" t="n"/>
      <c r="N1266" s="57">
        <f>IF($A1266="","",IFERROR(VALUE($J1266),0))</f>
        <v/>
      </c>
      <c r="O1266" s="57">
        <f>IF($A1266="",0,IF(OR($S1266&lt;&gt;1,COUNTA($J1266:$M1266)=0),0,IF(AND(IFERROR(AGGREGATE(15,6,$N$5:$N$2484/(($C$5:$C$2484=$C1266)*($D$5:$D$2484=$D1266)*($S$5:$S$2484=1)*($N$5:$N$2484&gt;0)),1),0)&gt;0,$N1266&gt;0),ROUND($H1266*(IFERROR(AGGREGATE(15,6,$N$5:$N$2484/(($C$5:$C$2484=$C1266)*($D$5:$D$2484=$D1266)*($S$5:$S$2484=1)*($N$5:$N$2484&gt;0)),1),0)/$N1266),4),0)))</f>
        <v/>
      </c>
      <c r="P1266" s="48" t="inlineStr">
        <is>
          <t>indice</t>
        </is>
      </c>
      <c r="Q1266" s="57">
        <f>IF($A1266="","",$A1266&amp;"|"&amp;$C1266)</f>
        <v/>
      </c>
      <c r="R1266" s="57">
        <f>IF($A1266="","",$A1266&amp;"|"&amp;$C1266&amp;"|"&amp;$D1266)</f>
        <v/>
      </c>
      <c r="S1266" s="57">
        <f>IF($A1266="","",IFERROR(INDEX(Offerte!$D$2:$D$81,MATCH($Q1266,Offerte!$L$2:$L$81,0)),0))</f>
        <v/>
      </c>
      <c r="T1266" s="57">
        <f>IF($A1266="","",IFERROR(INDEX(Offerte!$G$2:$G$81,MATCH($Q1266,Offerte!$L$2:$L$81,0)),"NO"))</f>
        <v/>
      </c>
    </row>
    <row r="1267">
      <c r="A1267" s="48">
        <f>IF(Offerte!$A42="","",Offerte!$A42)</f>
        <v/>
      </c>
      <c r="B1267" s="48">
        <f>IF(Offerte!$A42="","",Offerte!$B42)</f>
        <v/>
      </c>
      <c r="C1267" s="48">
        <f>IF(Offerte!$A42="","",Offerte!$C42)</f>
        <v/>
      </c>
      <c r="D1267" s="48" t="inlineStr">
        <is>
          <t>F.2.1</t>
        </is>
      </c>
      <c r="E1267" s="48" t="inlineStr">
        <is>
          <t>F</t>
        </is>
      </c>
      <c r="F1267" s="48" t="inlineStr">
        <is>
          <t>Q</t>
        </is>
      </c>
      <c r="G1267" s="48" t="inlineStr">
        <is>
          <t>higher</t>
        </is>
      </c>
      <c r="H1267" s="48" t="n">
        <v>2</v>
      </c>
      <c r="I1267" s="48" t="inlineStr">
        <is>
          <t>Tasso di copertura del servizio con dispositivi ECO-DRIVER</t>
        </is>
      </c>
      <c r="J1267" s="73" t="n"/>
      <c r="K1267" s="73" t="n"/>
      <c r="L1267" s="73" t="n"/>
      <c r="M1267" s="73" t="n"/>
      <c r="N1267" s="57">
        <f>IF($A1267="","",IFERROR(VALUE($K1267)/VALUE($L1267),IFERROR(VALUE($J1267),0)))</f>
        <v/>
      </c>
      <c r="O1267" s="57">
        <f>IF($A1267="",0,IF(OR($S1267&lt;&gt;1,COUNTA($J1267:$M1267)=0),0,IF(SUMPRODUCT(MAX(($C$5:$C$2484=$C1267)*($D$5:$D$2484=$D1267)*($S$5:$S$2484=1)*IFERROR($N$5:$N$2484*1,0)))&gt;0,ROUND($H1267*($N1267/SUMPRODUCT(MAX(($C$5:$C$2484=$C1267)*($D$5:$D$2484=$D1267)*($S$5:$S$2484=1)*IFERROR($N$5:$N$2484*1,0)))),4),0)))</f>
        <v/>
      </c>
      <c r="P1267" s="48" t="inlineStr">
        <is>
          <t>Autobus attrezzati con dispositivi ECO-DRIVER / Autobus totali in offerta, incluse scorte</t>
        </is>
      </c>
      <c r="Q1267" s="57">
        <f>IF($A1267="","",$A1267&amp;"|"&amp;$C1267)</f>
        <v/>
      </c>
      <c r="R1267" s="57">
        <f>IF($A1267="","",$A1267&amp;"|"&amp;$C1267&amp;"|"&amp;$D1267)</f>
        <v/>
      </c>
      <c r="S1267" s="57">
        <f>IF($A1267="","",IFERROR(INDEX(Offerte!$D$2:$D$81,MATCH($Q1267,Offerte!$L$2:$L$81,0)),0))</f>
        <v/>
      </c>
      <c r="T1267" s="57">
        <f>IF($A1267="","",IFERROR(INDEX(Offerte!$G$2:$G$81,MATCH($Q1267,Offerte!$L$2:$L$81,0)),"NO"))</f>
        <v/>
      </c>
    </row>
    <row r="1268">
      <c r="A1268" s="48">
        <f>IF(Offerte!$A42="","",Offerte!$A42)</f>
        <v/>
      </c>
      <c r="B1268" s="48">
        <f>IF(Offerte!$A42="","",Offerte!$B42)</f>
        <v/>
      </c>
      <c r="C1268" s="48">
        <f>IF(Offerte!$A42="","",Offerte!$C42)</f>
        <v/>
      </c>
      <c r="D1268" s="48" t="inlineStr">
        <is>
          <t>F.3.1</t>
        </is>
      </c>
      <c r="E1268" s="48" t="inlineStr">
        <is>
          <t>F</t>
        </is>
      </c>
      <c r="F1268" s="48" t="inlineStr">
        <is>
          <t>Q</t>
        </is>
      </c>
      <c r="G1268" s="48" t="inlineStr">
        <is>
          <t>higher</t>
        </is>
      </c>
      <c r="H1268" s="48" t="n">
        <v>2</v>
      </c>
      <c r="I1268" s="48" t="inlineStr">
        <is>
          <t>Autoproduzione consumi elettrici per trazione</t>
        </is>
      </c>
      <c r="J1268" s="73" t="n"/>
      <c r="K1268" s="73" t="n"/>
      <c r="L1268" s="73" t="n"/>
      <c r="M1268" s="73" t="n"/>
      <c r="N1268" s="57">
        <f>IF($A1268="","",IFERROR(VALUE($J1268),0))</f>
        <v/>
      </c>
      <c r="O1268" s="57">
        <f>IF($A1268="",0,IF(OR($S1268&lt;&gt;1,COUNTA($J1268:$M1268)=0),0,IF(SUMPRODUCT(MAX(($C$5:$C$2484=$C1268)*($D$5:$D$2484=$D1268)*($S$5:$S$2484=1)*IFERROR($N$5:$N$2484*1,0)))&gt;0,ROUND($H1268*($N1268/SUMPRODUCT(MAX(($C$5:$C$2484=$C1268)*($D$5:$D$2484=$D1268)*($S$5:$S$2484=1)*IFERROR($N$5:$N$2484*1,0)))),4),0)))</f>
        <v/>
      </c>
      <c r="P1268" s="48" t="inlineStr">
        <is>
          <t>kWh/anno</t>
        </is>
      </c>
      <c r="Q1268" s="57">
        <f>IF($A1268="","",$A1268&amp;"|"&amp;$C1268)</f>
        <v/>
      </c>
      <c r="R1268" s="57">
        <f>IF($A1268="","",$A1268&amp;"|"&amp;$C1268&amp;"|"&amp;$D1268)</f>
        <v/>
      </c>
      <c r="S1268" s="57">
        <f>IF($A1268="","",IFERROR(INDEX(Offerte!$D$2:$D$81,MATCH($Q1268,Offerte!$L$2:$L$81,0)),0))</f>
        <v/>
      </c>
      <c r="T1268" s="57">
        <f>IF($A1268="","",IFERROR(INDEX(Offerte!$G$2:$G$81,MATCH($Q1268,Offerte!$L$2:$L$81,0)),"NO"))</f>
        <v/>
      </c>
    </row>
    <row r="1269">
      <c r="A1269" s="48">
        <f>IF(Offerte!$A42="","",Offerte!$A42)</f>
        <v/>
      </c>
      <c r="B1269" s="48">
        <f>IF(Offerte!$A42="","",Offerte!$B42)</f>
        <v/>
      </c>
      <c r="C1269" s="48">
        <f>IF(Offerte!$A42="","",Offerte!$C42)</f>
        <v/>
      </c>
      <c r="D1269" s="48" t="inlineStr">
        <is>
          <t>F.4.1</t>
        </is>
      </c>
      <c r="E1269" s="48" t="inlineStr">
        <is>
          <t>F</t>
        </is>
      </c>
      <c r="F1269" s="48" t="inlineStr">
        <is>
          <t>Q</t>
        </is>
      </c>
      <c r="G1269" s="48" t="inlineStr">
        <is>
          <t>soil</t>
        </is>
      </c>
      <c r="H1269" s="48" t="n">
        <v>2</v>
      </c>
      <c r="I1269" s="48" t="inlineStr">
        <is>
          <t>Indice di consumo di suolo</t>
        </is>
      </c>
      <c r="J1269" s="73" t="n"/>
      <c r="K1269" s="73" t="n"/>
      <c r="L1269" s="73" t="n"/>
      <c r="M1269" s="73" t="n"/>
      <c r="N1269" s="57">
        <f>IF($A1269="","",IFERROR(VALUE($J1269),0))</f>
        <v/>
      </c>
      <c r="O1269" s="57">
        <f>IF($A1269="",0,IF(OR($S1269&lt;&gt;1,COUNTA($J1269:$M1269)=0),0,IF($N1269&lt;=0,$H1269,IF(SUMPRODUCT(MAX(($C$5:$C$2484=$C1269)*($D$5:$D$2484=$D1269)*($S$5:$S$2484=1)*IFERROR($N$5:$N$2484*1,0)))&gt;0,ROUND($H1269*((SUMPRODUCT(MAX(($C$5:$C$2484=$C1269)*($D$5:$D$2484=$D1269)*($S$5:$S$2484=1)*IFERROR($N$5:$N$2484*1,0)))-$N1269)/SUMPRODUCT(MAX(($C$5:$C$2484=$C1269)*($D$5:$D$2484=$D1269)*($S$5:$S$2484=1)*IFERROR($N$5:$N$2484*1,0)))),4),0))))</f>
        <v/>
      </c>
      <c r="P1269" s="48" t="inlineStr">
        <is>
          <t>m2</t>
        </is>
      </c>
      <c r="Q1269" s="57">
        <f>IF($A1269="","",$A1269&amp;"|"&amp;$C1269)</f>
        <v/>
      </c>
      <c r="R1269" s="57">
        <f>IF($A1269="","",$A1269&amp;"|"&amp;$C1269&amp;"|"&amp;$D1269)</f>
        <v/>
      </c>
      <c r="S1269" s="57">
        <f>IF($A1269="","",IFERROR(INDEX(Offerte!$D$2:$D$81,MATCH($Q1269,Offerte!$L$2:$L$81,0)),0))</f>
        <v/>
      </c>
      <c r="T1269" s="57">
        <f>IF($A1269="","",IFERROR(INDEX(Offerte!$G$2:$G$81,MATCH($Q1269,Offerte!$L$2:$L$81,0)),"NO"))</f>
        <v/>
      </c>
    </row>
    <row r="1270">
      <c r="A1270" s="48">
        <f>IF(Offerte!$A42="","",Offerte!$A42)</f>
        <v/>
      </c>
      <c r="B1270" s="48">
        <f>IF(Offerte!$A42="","",Offerte!$B42)</f>
        <v/>
      </c>
      <c r="C1270" s="48">
        <f>IF(Offerte!$A42="","",Offerte!$C42)</f>
        <v/>
      </c>
      <c r="D1270" s="48" t="inlineStr">
        <is>
          <t>F.5.1</t>
        </is>
      </c>
      <c r="E1270" s="48" t="inlineStr">
        <is>
          <t>F</t>
        </is>
      </c>
      <c r="F1270" s="48" t="inlineStr">
        <is>
          <t>T</t>
        </is>
      </c>
      <c r="G1270" s="48" t="inlineStr">
        <is>
          <t>tabular</t>
        </is>
      </c>
      <c r="H1270" s="48" t="n">
        <v>1</v>
      </c>
      <c r="I1270" s="48" t="inlineStr">
        <is>
          <t>Rendicontazione di sostenibilità ambientale</t>
        </is>
      </c>
      <c r="J1270" s="73" t="n"/>
      <c r="K1270" s="73" t="n"/>
      <c r="L1270" s="73" t="n"/>
      <c r="M1270" s="73" t="n"/>
      <c r="N1270" s="57">
        <f>IF($A1270="","",IF(IFERROR(VALUE($M1270),0)=1,1,0))</f>
        <v/>
      </c>
      <c r="O1270" s="57">
        <f>IF($A1270="",0,IF(OR($S1270&lt;&gt;1,COUNTA($J1270:$M1270)=0),0,IF($N1270=1,$H1270,0)))</f>
        <v/>
      </c>
      <c r="P1270" s="48" t="inlineStr">
        <is>
          <t>sì/no</t>
        </is>
      </c>
      <c r="Q1270" s="57">
        <f>IF($A1270="","",$A1270&amp;"|"&amp;$C1270)</f>
        <v/>
      </c>
      <c r="R1270" s="57">
        <f>IF($A1270="","",$A1270&amp;"|"&amp;$C1270&amp;"|"&amp;$D1270)</f>
        <v/>
      </c>
      <c r="S1270" s="57">
        <f>IF($A1270="","",IFERROR(INDEX(Offerte!$D$2:$D$81,MATCH($Q1270,Offerte!$L$2:$L$81,0)),0))</f>
        <v/>
      </c>
      <c r="T1270" s="57">
        <f>IF($A1270="","",IFERROR(INDEX(Offerte!$G$2:$G$81,MATCH($Q1270,Offerte!$L$2:$L$81,0)),"NO"))</f>
        <v/>
      </c>
    </row>
    <row r="1271">
      <c r="A1271" s="48">
        <f>IF(Offerte!$A42="","",Offerte!$A42)</f>
        <v/>
      </c>
      <c r="B1271" s="48">
        <f>IF(Offerte!$A42="","",Offerte!$B42)</f>
        <v/>
      </c>
      <c r="C1271" s="48">
        <f>IF(Offerte!$A42="","",Offerte!$C42)</f>
        <v/>
      </c>
      <c r="D1271" s="48" t="inlineStr">
        <is>
          <t>G.1.1</t>
        </is>
      </c>
      <c r="E1271" s="48" t="inlineStr">
        <is>
          <t>G</t>
        </is>
      </c>
      <c r="F1271" s="48" t="inlineStr">
        <is>
          <t>D</t>
        </is>
      </c>
      <c r="G1271" s="48" t="inlineStr">
        <is>
          <t>discretionary</t>
        </is>
      </c>
      <c r="H1271" s="48" t="n">
        <v>2</v>
      </c>
      <c r="I1271" s="48" t="inlineStr">
        <is>
          <t>Qualità del progetto di centrale di controllo aziendale</t>
        </is>
      </c>
      <c r="J1271" s="73" t="n"/>
      <c r="K1271" s="73" t="n"/>
      <c r="L1271" s="73" t="n"/>
      <c r="M1271" s="73" t="n"/>
      <c r="N1271" s="57">
        <f>IF($A1271="","",MAX(0,MIN(1,IFERROR(VALUE($M1271),0))))</f>
        <v/>
      </c>
      <c r="O1271" s="57">
        <f>IF($A1271="",0,IF(OR($S1271&lt;&gt;1,COUNTA($J1271:$M1271)=0),0,IF(SUMPRODUCT(MAX(($C$5:$C$2484=$C1271)*($D$5:$D$2484=$D1271)*($S$5:$S$2484=1)*IFERROR($N$5:$N$2484*1,0)))&gt;0,ROUND($H1271*($N1271/SUMPRODUCT(MAX(($C$5:$C$2484=$C1271)*($D$5:$D$2484=$D1271)*($S$5:$S$2484=1)*IFERROR($N$5:$N$2484*1,0)))),4),0)))</f>
        <v/>
      </c>
      <c r="P1271" s="48" t="inlineStr">
        <is>
          <t>coeff.</t>
        </is>
      </c>
      <c r="Q1271" s="57">
        <f>IF($A1271="","",$A1271&amp;"|"&amp;$C1271)</f>
        <v/>
      </c>
      <c r="R1271" s="57">
        <f>IF($A1271="","",$A1271&amp;"|"&amp;$C1271&amp;"|"&amp;$D1271)</f>
        <v/>
      </c>
      <c r="S1271" s="57">
        <f>IF($A1271="","",IFERROR(INDEX(Offerte!$D$2:$D$81,MATCH($Q1271,Offerte!$L$2:$L$81,0)),0))</f>
        <v/>
      </c>
      <c r="T1271" s="57">
        <f>IF($A1271="","",IFERROR(INDEX(Offerte!$G$2:$G$81,MATCH($Q1271,Offerte!$L$2:$L$81,0)),"NO"))</f>
        <v/>
      </c>
    </row>
    <row r="1272">
      <c r="A1272" s="48">
        <f>IF(Offerte!$A42="","",Offerte!$A42)</f>
        <v/>
      </c>
      <c r="B1272" s="48">
        <f>IF(Offerte!$A42="","",Offerte!$B42)</f>
        <v/>
      </c>
      <c r="C1272" s="48">
        <f>IF(Offerte!$A42="","",Offerte!$C42)</f>
        <v/>
      </c>
      <c r="D1272" s="48" t="inlineStr">
        <is>
          <t>G.2.1</t>
        </is>
      </c>
      <c r="E1272" s="48" t="inlineStr">
        <is>
          <t>G</t>
        </is>
      </c>
      <c r="F1272" s="48" t="inlineStr">
        <is>
          <t>T</t>
        </is>
      </c>
      <c r="G1272" s="48" t="inlineStr">
        <is>
          <t>tabular</t>
        </is>
      </c>
      <c r="H1272" s="48" t="n">
        <v>1</v>
      </c>
      <c r="I1272" s="48" t="inlineStr">
        <is>
          <t>Certificazione ISO 45001</t>
        </is>
      </c>
      <c r="J1272" s="73" t="n"/>
      <c r="K1272" s="73" t="n"/>
      <c r="L1272" s="73" t="n"/>
      <c r="M1272" s="73" t="n"/>
      <c r="N1272" s="57">
        <f>IF($A1272="","",IF(IFERROR(VALUE($M1272),0)=1,1,0))</f>
        <v/>
      </c>
      <c r="O1272" s="57">
        <f>IF($A1272="",0,IF(OR($S1272&lt;&gt;1,COUNTA($J1272:$M1272)=0),0,IF($N1272=1,$H1272,0)))</f>
        <v/>
      </c>
      <c r="P1272" s="48" t="inlineStr">
        <is>
          <t>sì/no</t>
        </is>
      </c>
      <c r="Q1272" s="57">
        <f>IF($A1272="","",$A1272&amp;"|"&amp;$C1272)</f>
        <v/>
      </c>
      <c r="R1272" s="57">
        <f>IF($A1272="","",$A1272&amp;"|"&amp;$C1272&amp;"|"&amp;$D1272)</f>
        <v/>
      </c>
      <c r="S1272" s="57">
        <f>IF($A1272="","",IFERROR(INDEX(Offerte!$D$2:$D$81,MATCH($Q1272,Offerte!$L$2:$L$81,0)),0))</f>
        <v/>
      </c>
      <c r="T1272" s="57">
        <f>IF($A1272="","",IFERROR(INDEX(Offerte!$G$2:$G$81,MATCH($Q1272,Offerte!$L$2:$L$81,0)),"NO"))</f>
        <v/>
      </c>
    </row>
    <row r="1273">
      <c r="A1273" s="48">
        <f>IF(Offerte!$A42="","",Offerte!$A42)</f>
        <v/>
      </c>
      <c r="B1273" s="48">
        <f>IF(Offerte!$A42="","",Offerte!$B42)</f>
        <v/>
      </c>
      <c r="C1273" s="48">
        <f>IF(Offerte!$A42="","",Offerte!$C42)</f>
        <v/>
      </c>
      <c r="D1273" s="48" t="inlineStr">
        <is>
          <t>G.3.1</t>
        </is>
      </c>
      <c r="E1273" s="48" t="inlineStr">
        <is>
          <t>G</t>
        </is>
      </c>
      <c r="F1273" s="48" t="inlineStr">
        <is>
          <t>T</t>
        </is>
      </c>
      <c r="G1273" s="48" t="inlineStr">
        <is>
          <t>tabular</t>
        </is>
      </c>
      <c r="H1273" s="48" t="n">
        <v>1</v>
      </c>
      <c r="I1273" s="48" t="inlineStr">
        <is>
          <t>Certificazioni di responsabilità sociale</t>
        </is>
      </c>
      <c r="J1273" s="73" t="n"/>
      <c r="K1273" s="73" t="n"/>
      <c r="L1273" s="73" t="n"/>
      <c r="M1273" s="73" t="n"/>
      <c r="N1273" s="57">
        <f>IF($A1273="","",IF(IFERROR(VALUE($M1273),0)=1,1,0))</f>
        <v/>
      </c>
      <c r="O1273" s="57">
        <f>IF($A1273="",0,IF(OR($S1273&lt;&gt;1,COUNTA($J1273:$M1273)=0),0,IF($N1273=1,$H1273,0)))</f>
        <v/>
      </c>
      <c r="P1273" s="48" t="inlineStr">
        <is>
          <t>sì/no</t>
        </is>
      </c>
      <c r="Q1273" s="57">
        <f>IF($A1273="","",$A1273&amp;"|"&amp;$C1273)</f>
        <v/>
      </c>
      <c r="R1273" s="57">
        <f>IF($A1273="","",$A1273&amp;"|"&amp;$C1273&amp;"|"&amp;$D1273)</f>
        <v/>
      </c>
      <c r="S1273" s="57">
        <f>IF($A1273="","",IFERROR(INDEX(Offerte!$D$2:$D$81,MATCH($Q1273,Offerte!$L$2:$L$81,0)),0))</f>
        <v/>
      </c>
      <c r="T1273" s="57">
        <f>IF($A1273="","",IFERROR(INDEX(Offerte!$G$2:$G$81,MATCH($Q1273,Offerte!$L$2:$L$81,0)),"NO"))</f>
        <v/>
      </c>
    </row>
    <row r="1274">
      <c r="A1274" s="48">
        <f>IF(Offerte!$A42="","",Offerte!$A42)</f>
        <v/>
      </c>
      <c r="B1274" s="48">
        <f>IF(Offerte!$A42="","",Offerte!$B42)</f>
        <v/>
      </c>
      <c r="C1274" s="48">
        <f>IF(Offerte!$A42="","",Offerte!$C42)</f>
        <v/>
      </c>
      <c r="D1274" s="48" t="inlineStr">
        <is>
          <t>G.4.1</t>
        </is>
      </c>
      <c r="E1274" s="48" t="inlineStr">
        <is>
          <t>G</t>
        </is>
      </c>
      <c r="F1274" s="48" t="inlineStr">
        <is>
          <t>D</t>
        </is>
      </c>
      <c r="G1274" s="48" t="inlineStr">
        <is>
          <t>discretionary</t>
        </is>
      </c>
      <c r="H1274" s="48" t="n">
        <v>2</v>
      </c>
      <c r="I1274" s="48" t="inlineStr">
        <is>
          <t>Qualità del piano di formazione del personale</t>
        </is>
      </c>
      <c r="J1274" s="73" t="n"/>
      <c r="K1274" s="73" t="n"/>
      <c r="L1274" s="73" t="n"/>
      <c r="M1274" s="73" t="n"/>
      <c r="N1274" s="57">
        <f>IF($A1274="","",MAX(0,MIN(1,IFERROR(VALUE($M1274),0))))</f>
        <v/>
      </c>
      <c r="O1274" s="57">
        <f>IF($A1274="",0,IF(OR($S1274&lt;&gt;1,COUNTA($J1274:$M1274)=0),0,IF(SUMPRODUCT(MAX(($C$5:$C$2484=$C1274)*($D$5:$D$2484=$D1274)*($S$5:$S$2484=1)*IFERROR($N$5:$N$2484*1,0)))&gt;0,ROUND($H1274*($N1274/SUMPRODUCT(MAX(($C$5:$C$2484=$C1274)*($D$5:$D$2484=$D1274)*($S$5:$S$2484=1)*IFERROR($N$5:$N$2484*1,0)))),4),0)))</f>
        <v/>
      </c>
      <c r="P1274" s="48" t="inlineStr">
        <is>
          <t>coeff.</t>
        </is>
      </c>
      <c r="Q1274" s="57">
        <f>IF($A1274="","",$A1274&amp;"|"&amp;$C1274)</f>
        <v/>
      </c>
      <c r="R1274" s="57">
        <f>IF($A1274="","",$A1274&amp;"|"&amp;$C1274&amp;"|"&amp;$D1274)</f>
        <v/>
      </c>
      <c r="S1274" s="57">
        <f>IF($A1274="","",IFERROR(INDEX(Offerte!$D$2:$D$81,MATCH($Q1274,Offerte!$L$2:$L$81,0)),0))</f>
        <v/>
      </c>
      <c r="T1274" s="57">
        <f>IF($A1274="","",IFERROR(INDEX(Offerte!$G$2:$G$81,MATCH($Q1274,Offerte!$L$2:$L$81,0)),"NO"))</f>
        <v/>
      </c>
    </row>
    <row r="1275">
      <c r="A1275" s="48">
        <f>IF(Offerte!$A42="","",Offerte!$A42)</f>
        <v/>
      </c>
      <c r="B1275" s="48">
        <f>IF(Offerte!$A42="","",Offerte!$B42)</f>
        <v/>
      </c>
      <c r="C1275" s="48">
        <f>IF(Offerte!$A42="","",Offerte!$C42)</f>
        <v/>
      </c>
      <c r="D1275" s="48" t="inlineStr">
        <is>
          <t>G.5.1</t>
        </is>
      </c>
      <c r="E1275" s="48" t="inlineStr">
        <is>
          <t>G</t>
        </is>
      </c>
      <c r="F1275" s="48" t="inlineStr">
        <is>
          <t>T</t>
        </is>
      </c>
      <c r="G1275" s="48" t="inlineStr">
        <is>
          <t>tabular</t>
        </is>
      </c>
      <c r="H1275" s="48" t="n">
        <v>1</v>
      </c>
      <c r="I1275" s="48" t="inlineStr">
        <is>
          <t>Impegno al mantenimento delle garanzie del contratto di secondo livello del gestore uscente</t>
        </is>
      </c>
      <c r="J1275" s="73" t="n"/>
      <c r="K1275" s="73" t="n"/>
      <c r="L1275" s="73" t="n"/>
      <c r="M1275" s="73" t="n"/>
      <c r="N1275" s="57">
        <f>IF($A1275="","",IF(IFERROR(VALUE($M1275),0)=1,1,0))</f>
        <v/>
      </c>
      <c r="O1275" s="57">
        <f>IF($A1275="",0,IF(OR($S1275&lt;&gt;1,COUNTA($J1275:$M1275)=0),0,IF($N1275=1,$H1275,0)))</f>
        <v/>
      </c>
      <c r="P1275" s="48" t="inlineStr">
        <is>
          <t>sì/no</t>
        </is>
      </c>
      <c r="Q1275" s="57">
        <f>IF($A1275="","",$A1275&amp;"|"&amp;$C1275)</f>
        <v/>
      </c>
      <c r="R1275" s="57">
        <f>IF($A1275="","",$A1275&amp;"|"&amp;$C1275&amp;"|"&amp;$D1275)</f>
        <v/>
      </c>
      <c r="S1275" s="57">
        <f>IF($A1275="","",IFERROR(INDEX(Offerte!$D$2:$D$81,MATCH($Q1275,Offerte!$L$2:$L$81,0)),0))</f>
        <v/>
      </c>
      <c r="T1275" s="57">
        <f>IF($A1275="","",IFERROR(INDEX(Offerte!$G$2:$G$81,MATCH($Q1275,Offerte!$L$2:$L$81,0)),"NO"))</f>
        <v/>
      </c>
    </row>
    <row r="1276">
      <c r="A1276" s="48">
        <f>IF(Offerte!$A43="","",Offerte!$A43)</f>
        <v/>
      </c>
      <c r="B1276" s="48">
        <f>IF(Offerte!$A43="","",Offerte!$B43)</f>
        <v/>
      </c>
      <c r="C1276" s="48">
        <f>IF(Offerte!$A43="","",Offerte!$C43)</f>
        <v/>
      </c>
      <c r="D1276" s="48" t="inlineStr">
        <is>
          <t>A.1.1</t>
        </is>
      </c>
      <c r="E1276" s="48" t="inlineStr">
        <is>
          <t>A</t>
        </is>
      </c>
      <c r="F1276" s="48" t="inlineStr">
        <is>
          <t>Q</t>
        </is>
      </c>
      <c r="G1276" s="48" t="inlineStr">
        <is>
          <t>higher</t>
        </is>
      </c>
      <c r="H1276" s="48" t="n">
        <v>3</v>
      </c>
      <c r="I1276" s="48" t="inlineStr">
        <is>
          <t>Tasso aggiuntivo di corse controllate</t>
        </is>
      </c>
      <c r="J1276" s="73" t="n"/>
      <c r="K1276" s="73" t="n"/>
      <c r="L1276" s="73" t="n"/>
      <c r="M1276" s="73" t="n"/>
      <c r="N1276" s="57">
        <f>IF($A1276="","",IFERROR(VALUE($K1276)/VALUE($L1276)*100,IFERROR(VALUE($J1276),0)))</f>
        <v/>
      </c>
      <c r="O1276" s="57">
        <f>IF($A1276="",0,IF(OR($S1276&lt;&gt;1,COUNTA($J1276:$M1276)=0),0,IF(SUMPRODUCT(MAX(($C$5:$C$2484=$C1276)*($D$5:$D$2484=$D1276)*($S$5:$S$2484=1)*IFERROR($N$5:$N$2484*1,0)))&gt;0,ROUND($H1276*($N1276/SUMPRODUCT(MAX(($C$5:$C$2484=$C1276)*($D$5:$D$2484=$D1276)*($S$5:$S$2484=1)*IFERROR($N$5:$N$2484*1,0)))),4),0)))</f>
        <v/>
      </c>
      <c r="P1276" s="48" t="inlineStr">
        <is>
          <t>Corse controllate annue / Corse programmate annue</t>
        </is>
      </c>
      <c r="Q1276" s="57">
        <f>IF($A1276="","",$A1276&amp;"|"&amp;$C1276)</f>
        <v/>
      </c>
      <c r="R1276" s="57">
        <f>IF($A1276="","",$A1276&amp;"|"&amp;$C1276&amp;"|"&amp;$D1276)</f>
        <v/>
      </c>
      <c r="S1276" s="57">
        <f>IF($A1276="","",IFERROR(INDEX(Offerte!$D$2:$D$81,MATCH($Q1276,Offerte!$L$2:$L$81,0)),0))</f>
        <v/>
      </c>
      <c r="T1276" s="57">
        <f>IF($A1276="","",IFERROR(INDEX(Offerte!$G$2:$G$81,MATCH($Q1276,Offerte!$L$2:$L$81,0)),"NO"))</f>
        <v/>
      </c>
    </row>
    <row r="1277">
      <c r="A1277" s="48">
        <f>IF(Offerte!$A43="","",Offerte!$A43)</f>
        <v/>
      </c>
      <c r="B1277" s="48">
        <f>IF(Offerte!$A43="","",Offerte!$B43)</f>
        <v/>
      </c>
      <c r="C1277" s="48">
        <f>IF(Offerte!$A43="","",Offerte!$C43)</f>
        <v/>
      </c>
      <c r="D1277" s="48" t="inlineStr">
        <is>
          <t>A.1.2</t>
        </is>
      </c>
      <c r="E1277" s="48" t="inlineStr">
        <is>
          <t>A</t>
        </is>
      </c>
      <c r="F1277" s="48" t="inlineStr">
        <is>
          <t>Q</t>
        </is>
      </c>
      <c r="G1277" s="48" t="inlineStr">
        <is>
          <t>higher</t>
        </is>
      </c>
      <c r="H1277" s="48" t="n">
        <v>4</v>
      </c>
      <c r="I1277" s="48" t="inlineStr">
        <is>
          <t>Numero aggiuntivo di passeggeri controllati</t>
        </is>
      </c>
      <c r="J1277" s="73" t="n"/>
      <c r="K1277" s="73" t="n"/>
      <c r="L1277" s="73" t="n"/>
      <c r="M1277" s="73" t="n"/>
      <c r="N1277" s="57">
        <f>IF($A1277="","",IFERROR(VALUE($J1277),0))</f>
        <v/>
      </c>
      <c r="O1277" s="57">
        <f>IF($A1277="",0,IF(OR($S1277&lt;&gt;1,COUNTA($J1277:$M1277)=0),0,IF(SUMPRODUCT(MAX(($C$5:$C$2484=$C1277)*($D$5:$D$2484=$D1277)*($S$5:$S$2484=1)*IFERROR($N$5:$N$2484*1,0)))&gt;0,ROUND($H1277*($N1277/SUMPRODUCT(MAX(($C$5:$C$2484=$C1277)*($D$5:$D$2484=$D1277)*($S$5:$S$2484=1)*IFERROR($N$5:$N$2484*1,0)))),4),0)))</f>
        <v/>
      </c>
      <c r="P1277" s="48" t="inlineStr">
        <is>
          <t>passeggeri/anno</t>
        </is>
      </c>
      <c r="Q1277" s="57">
        <f>IF($A1277="","",$A1277&amp;"|"&amp;$C1277)</f>
        <v/>
      </c>
      <c r="R1277" s="57">
        <f>IF($A1277="","",$A1277&amp;"|"&amp;$C1277&amp;"|"&amp;$D1277)</f>
        <v/>
      </c>
      <c r="S1277" s="57">
        <f>IF($A1277="","",IFERROR(INDEX(Offerte!$D$2:$D$81,MATCH($Q1277,Offerte!$L$2:$L$81,0)),0))</f>
        <v/>
      </c>
      <c r="T1277" s="57">
        <f>IF($A1277="","",IFERROR(INDEX(Offerte!$G$2:$G$81,MATCH($Q1277,Offerte!$L$2:$L$81,0)),"NO"))</f>
        <v/>
      </c>
    </row>
    <row r="1278">
      <c r="A1278" s="48">
        <f>IF(Offerte!$A43="","",Offerte!$A43)</f>
        <v/>
      </c>
      <c r="B1278" s="48">
        <f>IF(Offerte!$A43="","",Offerte!$B43)</f>
        <v/>
      </c>
      <c r="C1278" s="48">
        <f>IF(Offerte!$A43="","",Offerte!$C43)</f>
        <v/>
      </c>
      <c r="D1278" s="48" t="inlineStr">
        <is>
          <t>B.1.1</t>
        </is>
      </c>
      <c r="E1278" s="48" t="inlineStr">
        <is>
          <t>B</t>
        </is>
      </c>
      <c r="F1278" s="48" t="inlineStr">
        <is>
          <t>Q</t>
        </is>
      </c>
      <c r="G1278" s="48" t="inlineStr">
        <is>
          <t>higher</t>
        </is>
      </c>
      <c r="H1278" s="48" t="n">
        <v>3</v>
      </c>
      <c r="I1278" s="48" t="inlineStr">
        <is>
          <t>Incremento dei posti offerti nelle fasce di punta</t>
        </is>
      </c>
      <c r="J1278" s="73" t="n"/>
      <c r="K1278" s="73" t="n"/>
      <c r="L1278" s="73" t="n"/>
      <c r="M1278" s="73" t="n"/>
      <c r="N1278" s="57">
        <f>IF($A1278="","",IFERROR(VALUE($J1278),0))</f>
        <v/>
      </c>
      <c r="O1278" s="57">
        <f>IF($A1278="",0,IF(OR($S1278&lt;&gt;1,COUNTA($J1278:$M1278)=0),0,IF(SUMPRODUCT(MAX(($C$5:$C$2484=$C1278)*($D$5:$D$2484=$D1278)*($S$5:$S$2484=1)*IFERROR($N$5:$N$2484*1,0)))&gt;0,ROUND($H1278*($N1278/SUMPRODUCT(MAX(($C$5:$C$2484=$C1278)*($D$5:$D$2484=$D1278)*($S$5:$S$2484=1)*IFERROR($N$5:$N$2484*1,0)))),4),0)))</f>
        <v/>
      </c>
      <c r="P1278" s="48" t="inlineStr">
        <is>
          <t>posti*km</t>
        </is>
      </c>
      <c r="Q1278" s="57">
        <f>IF($A1278="","",$A1278&amp;"|"&amp;$C1278)</f>
        <v/>
      </c>
      <c r="R1278" s="57">
        <f>IF($A1278="","",$A1278&amp;"|"&amp;$C1278&amp;"|"&amp;$D1278)</f>
        <v/>
      </c>
      <c r="S1278" s="57">
        <f>IF($A1278="","",IFERROR(INDEX(Offerte!$D$2:$D$81,MATCH($Q1278,Offerte!$L$2:$L$81,0)),0))</f>
        <v/>
      </c>
      <c r="T1278" s="57">
        <f>IF($A1278="","",IFERROR(INDEX(Offerte!$G$2:$G$81,MATCH($Q1278,Offerte!$L$2:$L$81,0)),"NO"))</f>
        <v/>
      </c>
    </row>
    <row r="1279">
      <c r="A1279" s="48">
        <f>IF(Offerte!$A43="","",Offerte!$A43)</f>
        <v/>
      </c>
      <c r="B1279" s="48">
        <f>IF(Offerte!$A43="","",Offerte!$B43)</f>
        <v/>
      </c>
      <c r="C1279" s="48">
        <f>IF(Offerte!$A43="","",Offerte!$C43)</f>
        <v/>
      </c>
      <c r="D1279" s="48" t="inlineStr">
        <is>
          <t>B.2.1</t>
        </is>
      </c>
      <c r="E1279" s="48" t="inlineStr">
        <is>
          <t>B</t>
        </is>
      </c>
      <c r="F1279" s="48" t="inlineStr">
        <is>
          <t>Q</t>
        </is>
      </c>
      <c r="G1279" s="48" t="inlineStr">
        <is>
          <t>higher</t>
        </is>
      </c>
      <c r="H1279" s="48" t="n">
        <v>4</v>
      </c>
      <c r="I1279" s="48" t="inlineStr">
        <is>
          <t>Corse aggiuntive nell'arco giornaliero base</t>
        </is>
      </c>
      <c r="J1279" s="73" t="n"/>
      <c r="K1279" s="73" t="n"/>
      <c r="L1279" s="73" t="n"/>
      <c r="M1279" s="73" t="n"/>
      <c r="N1279" s="57">
        <f>IF($A1279="","",IFERROR(VALUE($J1279),0))</f>
        <v/>
      </c>
      <c r="O1279" s="57">
        <f>IF($A1279="",0,IF(OR($S1279&lt;&gt;1,COUNTA($J1279:$M1279)=0),0,IF(SUMPRODUCT(MAX(($C$5:$C$2484=$C1279)*($D$5:$D$2484=$D1279)*($S$5:$S$2484=1)*IFERROR($N$5:$N$2484*1,0)))&gt;0,ROUND($H1279*($N1279/SUMPRODUCT(MAX(($C$5:$C$2484=$C1279)*($D$5:$D$2484=$D1279)*($S$5:$S$2484=1)*IFERROR($N$5:$N$2484*1,0)))),4),0)))</f>
        <v/>
      </c>
      <c r="P1279" s="48" t="inlineStr">
        <is>
          <t>corse</t>
        </is>
      </c>
      <c r="Q1279" s="57">
        <f>IF($A1279="","",$A1279&amp;"|"&amp;$C1279)</f>
        <v/>
      </c>
      <c r="R1279" s="57">
        <f>IF($A1279="","",$A1279&amp;"|"&amp;$C1279&amp;"|"&amp;$D1279)</f>
        <v/>
      </c>
      <c r="S1279" s="57">
        <f>IF($A1279="","",IFERROR(INDEX(Offerte!$D$2:$D$81,MATCH($Q1279,Offerte!$L$2:$L$81,0)),0))</f>
        <v/>
      </c>
      <c r="T1279" s="57">
        <f>IF($A1279="","",IFERROR(INDEX(Offerte!$G$2:$G$81,MATCH($Q1279,Offerte!$L$2:$L$81,0)),"NO"))</f>
        <v/>
      </c>
    </row>
    <row r="1280">
      <c r="A1280" s="48">
        <f>IF(Offerte!$A43="","",Offerte!$A43)</f>
        <v/>
      </c>
      <c r="B1280" s="48">
        <f>IF(Offerte!$A43="","",Offerte!$B43)</f>
        <v/>
      </c>
      <c r="C1280" s="48">
        <f>IF(Offerte!$A43="","",Offerte!$C43)</f>
        <v/>
      </c>
      <c r="D1280" s="48" t="inlineStr">
        <is>
          <t>B.3.1</t>
        </is>
      </c>
      <c r="E1280" s="48" t="inlineStr">
        <is>
          <t>B</t>
        </is>
      </c>
      <c r="F1280" s="48" t="inlineStr">
        <is>
          <t>Q</t>
        </is>
      </c>
      <c r="G1280" s="48" t="inlineStr">
        <is>
          <t>higher</t>
        </is>
      </c>
      <c r="H1280" s="48" t="n">
        <v>2</v>
      </c>
      <c r="I1280" s="48" t="inlineStr">
        <is>
          <t>Numero di corse aggiuntive per allungamento dell'arco di servizio giornaliero nelle fasce serali</t>
        </is>
      </c>
      <c r="J1280" s="73" t="n"/>
      <c r="K1280" s="73" t="n"/>
      <c r="L1280" s="73" t="n"/>
      <c r="M1280" s="73" t="n"/>
      <c r="N1280" s="57">
        <f>IF($A1280="","",IFERROR(VALUE($J1280),0))</f>
        <v/>
      </c>
      <c r="O1280" s="57">
        <f>IF($A1280="",0,IF(OR($S1280&lt;&gt;1,COUNTA($J1280:$M1280)=0),0,IF(SUMPRODUCT(MAX(($C$5:$C$2484=$C1280)*($D$5:$D$2484=$D1280)*($S$5:$S$2484=1)*IFERROR($N$5:$N$2484*1,0)))&gt;0,ROUND($H1280*($N1280/SUMPRODUCT(MAX(($C$5:$C$2484=$C1280)*($D$5:$D$2484=$D1280)*($S$5:$S$2484=1)*IFERROR($N$5:$N$2484*1,0)))),4),0)))</f>
        <v/>
      </c>
      <c r="P1280" s="48" t="inlineStr">
        <is>
          <t>corse</t>
        </is>
      </c>
      <c r="Q1280" s="57">
        <f>IF($A1280="","",$A1280&amp;"|"&amp;$C1280)</f>
        <v/>
      </c>
      <c r="R1280" s="57">
        <f>IF($A1280="","",$A1280&amp;"|"&amp;$C1280&amp;"|"&amp;$D1280)</f>
        <v/>
      </c>
      <c r="S1280" s="57">
        <f>IF($A1280="","",IFERROR(INDEX(Offerte!$D$2:$D$81,MATCH($Q1280,Offerte!$L$2:$L$81,0)),0))</f>
        <v/>
      </c>
      <c r="T1280" s="57">
        <f>IF($A1280="","",IFERROR(INDEX(Offerte!$G$2:$G$81,MATCH($Q1280,Offerte!$L$2:$L$81,0)),"NO"))</f>
        <v/>
      </c>
    </row>
    <row r="1281">
      <c r="A1281" s="48">
        <f>IF(Offerte!$A43="","",Offerte!$A43)</f>
        <v/>
      </c>
      <c r="B1281" s="48">
        <f>IF(Offerte!$A43="","",Offerte!$B43)</f>
        <v/>
      </c>
      <c r="C1281" s="48">
        <f>IF(Offerte!$A43="","",Offerte!$C43)</f>
        <v/>
      </c>
      <c r="D1281" s="48" t="inlineStr">
        <is>
          <t>B.4.1</t>
        </is>
      </c>
      <c r="E1281" s="48" t="inlineStr">
        <is>
          <t>B</t>
        </is>
      </c>
      <c r="F1281" s="48" t="inlineStr">
        <is>
          <t>Q</t>
        </is>
      </c>
      <c r="G1281" s="48" t="inlineStr">
        <is>
          <t>higher</t>
        </is>
      </c>
      <c r="H1281" s="48" t="n">
        <v>3</v>
      </c>
      <c r="I1281" s="48" t="inlineStr">
        <is>
          <t>Percorrenze aggiuntive offerte nel Programma d'esercizio delle prime due fasi attuative</t>
        </is>
      </c>
      <c r="J1281" s="73" t="n"/>
      <c r="K1281" s="73" t="n"/>
      <c r="L1281" s="73" t="n"/>
      <c r="M1281" s="73" t="n"/>
      <c r="N1281" s="57">
        <f>IF($A1281="","",IFERROR(VALUE($J1281),0))</f>
        <v/>
      </c>
      <c r="O1281" s="57">
        <f>IF($A1281="",0,IF(OR($S1281&lt;&gt;1,COUNTA($J1281:$M1281)=0),0,IF(SUMPRODUCT(MAX(($C$5:$C$2484=$C1281)*($D$5:$D$2484=$D1281)*($S$5:$S$2484=1)*IFERROR($N$5:$N$2484*1,0)))&gt;0,ROUND($H1281*($N1281/SUMPRODUCT(MAX(($C$5:$C$2484=$C1281)*($D$5:$D$2484=$D1281)*($S$5:$S$2484=1)*IFERROR($N$5:$N$2484*1,0)))),4),0)))</f>
        <v/>
      </c>
      <c r="P1281" s="48" t="inlineStr">
        <is>
          <t>vett*km</t>
        </is>
      </c>
      <c r="Q1281" s="57">
        <f>IF($A1281="","",$A1281&amp;"|"&amp;$C1281)</f>
        <v/>
      </c>
      <c r="R1281" s="57">
        <f>IF($A1281="","",$A1281&amp;"|"&amp;$C1281&amp;"|"&amp;$D1281)</f>
        <v/>
      </c>
      <c r="S1281" s="57">
        <f>IF($A1281="","",IFERROR(INDEX(Offerte!$D$2:$D$81,MATCH($Q1281,Offerte!$L$2:$L$81,0)),0))</f>
        <v/>
      </c>
      <c r="T1281" s="57">
        <f>IF($A1281="","",IFERROR(INDEX(Offerte!$G$2:$G$81,MATCH($Q1281,Offerte!$L$2:$L$81,0)),"NO"))</f>
        <v/>
      </c>
    </row>
    <row r="1282">
      <c r="A1282" s="48">
        <f>IF(Offerte!$A43="","",Offerte!$A43)</f>
        <v/>
      </c>
      <c r="B1282" s="48">
        <f>IF(Offerte!$A43="","",Offerte!$B43)</f>
        <v/>
      </c>
      <c r="C1282" s="48">
        <f>IF(Offerte!$A43="","",Offerte!$C43)</f>
        <v/>
      </c>
      <c r="D1282" s="48" t="inlineStr">
        <is>
          <t>B.5.1</t>
        </is>
      </c>
      <c r="E1282" s="48" t="inlineStr">
        <is>
          <t>B</t>
        </is>
      </c>
      <c r="F1282" s="48" t="inlineStr">
        <is>
          <t>D</t>
        </is>
      </c>
      <c r="G1282" s="48" t="inlineStr">
        <is>
          <t>discretionary</t>
        </is>
      </c>
      <c r="H1282" s="48" t="n">
        <v>2</v>
      </c>
      <c r="I1282" s="48" t="inlineStr">
        <is>
          <t>Efficacia del progetto di servizi complementari DRT</t>
        </is>
      </c>
      <c r="J1282" s="73" t="n"/>
      <c r="K1282" s="73" t="n"/>
      <c r="L1282" s="73" t="n"/>
      <c r="M1282" s="73" t="n"/>
      <c r="N1282" s="57">
        <f>IF($A1282="","",MAX(0,MIN(1,IFERROR(VALUE($M1282),0))))</f>
        <v/>
      </c>
      <c r="O1282" s="57">
        <f>IF($A1282="",0,IF(OR($S1282&lt;&gt;1,COUNTA($J1282:$M1282)=0),0,IF(SUMPRODUCT(MAX(($C$5:$C$2484=$C1282)*($D$5:$D$2484=$D1282)*($S$5:$S$2484=1)*IFERROR($N$5:$N$2484*1,0)))&gt;0,ROUND($H1282*($N1282/SUMPRODUCT(MAX(($C$5:$C$2484=$C1282)*($D$5:$D$2484=$D1282)*($S$5:$S$2484=1)*IFERROR($N$5:$N$2484*1,0)))),4),0)))</f>
        <v/>
      </c>
      <c r="P1282" s="48" t="inlineStr">
        <is>
          <t>coeff.</t>
        </is>
      </c>
      <c r="Q1282" s="57">
        <f>IF($A1282="","",$A1282&amp;"|"&amp;$C1282)</f>
        <v/>
      </c>
      <c r="R1282" s="57">
        <f>IF($A1282="","",$A1282&amp;"|"&amp;$C1282&amp;"|"&amp;$D1282)</f>
        <v/>
      </c>
      <c r="S1282" s="57">
        <f>IF($A1282="","",IFERROR(INDEX(Offerte!$D$2:$D$81,MATCH($Q1282,Offerte!$L$2:$L$81,0)),0))</f>
        <v/>
      </c>
      <c r="T1282" s="57">
        <f>IF($A1282="","",IFERROR(INDEX(Offerte!$G$2:$G$81,MATCH($Q1282,Offerte!$L$2:$L$81,0)),"NO"))</f>
        <v/>
      </c>
    </row>
    <row r="1283">
      <c r="A1283" s="48">
        <f>IF(Offerte!$A43="","",Offerte!$A43)</f>
        <v/>
      </c>
      <c r="B1283" s="48">
        <f>IF(Offerte!$A43="","",Offerte!$B43)</f>
        <v/>
      </c>
      <c r="C1283" s="48">
        <f>IF(Offerte!$A43="","",Offerte!$C43)</f>
        <v/>
      </c>
      <c r="D1283" s="48" t="inlineStr">
        <is>
          <t>C.1.1</t>
        </is>
      </c>
      <c r="E1283" s="48" t="inlineStr">
        <is>
          <t>C</t>
        </is>
      </c>
      <c r="F1283" s="48" t="inlineStr">
        <is>
          <t>Q</t>
        </is>
      </c>
      <c r="G1283" s="48" t="inlineStr">
        <is>
          <t>higher</t>
        </is>
      </c>
      <c r="H1283" s="48" t="n">
        <v>2</v>
      </c>
      <c r="I1283" s="48" t="inlineStr">
        <is>
          <t>Tasso di copertura del servizio con telecamere BSD</t>
        </is>
      </c>
      <c r="J1283" s="73" t="n"/>
      <c r="K1283" s="73" t="n"/>
      <c r="L1283" s="73" t="n"/>
      <c r="M1283" s="73" t="n"/>
      <c r="N1283" s="57">
        <f>IF($A1283="","",IFERROR(VALUE($K1283)/VALUE($L1283),IFERROR(VALUE($J1283),0)))</f>
        <v/>
      </c>
      <c r="O1283" s="57">
        <f>IF($A1283="",0,IF(OR($S1283&lt;&gt;1,COUNTA($J1283:$M1283)=0),0,IF(SUMPRODUCT(MAX(($C$5:$C$2484=$C1283)*($D$5:$D$2484=$D1283)*($S$5:$S$2484=1)*IFERROR($N$5:$N$2484*1,0)))&gt;0,ROUND($H1283*($N1283/SUMPRODUCT(MAX(($C$5:$C$2484=$C1283)*($D$5:$D$2484=$D1283)*($S$5:$S$2484=1)*IFERROR($N$5:$N$2484*1,0)))),4),0)))</f>
        <v/>
      </c>
      <c r="P1283" s="48" t="inlineStr">
        <is>
          <t>Autobus attrezzati con telecamere BSD / Autobus totali in offerta, incluse scorte</t>
        </is>
      </c>
      <c r="Q1283" s="57">
        <f>IF($A1283="","",$A1283&amp;"|"&amp;$C1283)</f>
        <v/>
      </c>
      <c r="R1283" s="57">
        <f>IF($A1283="","",$A1283&amp;"|"&amp;$C1283&amp;"|"&amp;$D1283)</f>
        <v/>
      </c>
      <c r="S1283" s="57">
        <f>IF($A1283="","",IFERROR(INDEX(Offerte!$D$2:$D$81,MATCH($Q1283,Offerte!$L$2:$L$81,0)),0))</f>
        <v/>
      </c>
      <c r="T1283" s="57">
        <f>IF($A1283="","",IFERROR(INDEX(Offerte!$G$2:$G$81,MATCH($Q1283,Offerte!$L$2:$L$81,0)),"NO"))</f>
        <v/>
      </c>
    </row>
    <row r="1284">
      <c r="A1284" s="48">
        <f>IF(Offerte!$A43="","",Offerte!$A43)</f>
        <v/>
      </c>
      <c r="B1284" s="48">
        <f>IF(Offerte!$A43="","",Offerte!$B43)</f>
        <v/>
      </c>
      <c r="C1284" s="48">
        <f>IF(Offerte!$A43="","",Offerte!$C43)</f>
        <v/>
      </c>
      <c r="D1284" s="48" t="inlineStr">
        <is>
          <t>C.1.2</t>
        </is>
      </c>
      <c r="E1284" s="48" t="inlineStr">
        <is>
          <t>C</t>
        </is>
      </c>
      <c r="F1284" s="48" t="inlineStr">
        <is>
          <t>Q</t>
        </is>
      </c>
      <c r="G1284" s="48" t="inlineStr">
        <is>
          <t>higher</t>
        </is>
      </c>
      <c r="H1284" s="48" t="n">
        <v>2</v>
      </c>
      <c r="I1284" s="48" t="inlineStr">
        <is>
          <t>Tasso di copertura del servizio con telecamere ADAS</t>
        </is>
      </c>
      <c r="J1284" s="73" t="n"/>
      <c r="K1284" s="73" t="n"/>
      <c r="L1284" s="73" t="n"/>
      <c r="M1284" s="73" t="n"/>
      <c r="N1284" s="57">
        <f>IF($A1284="","",IFERROR(VALUE($K1284)/VALUE($L1284),IFERROR(VALUE($J1284),0)))</f>
        <v/>
      </c>
      <c r="O1284" s="57">
        <f>IF($A1284="",0,IF(OR($S1284&lt;&gt;1,COUNTA($J1284:$M1284)=0),0,IF(SUMPRODUCT(MAX(($C$5:$C$2484=$C1284)*($D$5:$D$2484=$D1284)*($S$5:$S$2484=1)*IFERROR($N$5:$N$2484*1,0)))&gt;0,ROUND($H1284*($N1284/SUMPRODUCT(MAX(($C$5:$C$2484=$C1284)*($D$5:$D$2484=$D1284)*($S$5:$S$2484=1)*IFERROR($N$5:$N$2484*1,0)))),4),0)))</f>
        <v/>
      </c>
      <c r="P1284" s="48" t="inlineStr">
        <is>
          <t>Autobus attrezzati con telecamere ADAS / Autobus totali in offerta, incluse scorte</t>
        </is>
      </c>
      <c r="Q1284" s="57">
        <f>IF($A1284="","",$A1284&amp;"|"&amp;$C1284)</f>
        <v/>
      </c>
      <c r="R1284" s="57">
        <f>IF($A1284="","",$A1284&amp;"|"&amp;$C1284&amp;"|"&amp;$D1284)</f>
        <v/>
      </c>
      <c r="S1284" s="57">
        <f>IF($A1284="","",IFERROR(INDEX(Offerte!$D$2:$D$81,MATCH($Q1284,Offerte!$L$2:$L$81,0)),0))</f>
        <v/>
      </c>
      <c r="T1284" s="57">
        <f>IF($A1284="","",IFERROR(INDEX(Offerte!$G$2:$G$81,MATCH($Q1284,Offerte!$L$2:$L$81,0)),"NO"))</f>
        <v/>
      </c>
    </row>
    <row r="1285">
      <c r="A1285" s="48">
        <f>IF(Offerte!$A43="","",Offerte!$A43)</f>
        <v/>
      </c>
      <c r="B1285" s="48">
        <f>IF(Offerte!$A43="","",Offerte!$B43)</f>
        <v/>
      </c>
      <c r="C1285" s="48">
        <f>IF(Offerte!$A43="","",Offerte!$C43)</f>
        <v/>
      </c>
      <c r="D1285" s="48" t="inlineStr">
        <is>
          <t>C.2.1</t>
        </is>
      </c>
      <c r="E1285" s="48" t="inlineStr">
        <is>
          <t>C</t>
        </is>
      </c>
      <c r="F1285" s="48" t="inlineStr">
        <is>
          <t>Q</t>
        </is>
      </c>
      <c r="G1285" s="48" t="inlineStr">
        <is>
          <t>higher</t>
        </is>
      </c>
      <c r="H1285" s="48" t="n">
        <v>3</v>
      </c>
      <c r="I1285" s="48" t="inlineStr">
        <is>
          <t>Tasso di copertura del servizio con telecamere di bordo di videosorveglianza</t>
        </is>
      </c>
      <c r="J1285" s="73" t="n"/>
      <c r="K1285" s="73" t="n"/>
      <c r="L1285" s="73" t="n"/>
      <c r="M1285" s="73" t="n"/>
      <c r="N1285" s="57">
        <f>IF($A1285="","",IFERROR(VALUE($K1285)/VALUE($L1285),IFERROR(VALUE($J1285),0)))</f>
        <v/>
      </c>
      <c r="O1285" s="57">
        <f>IF($A1285="",0,IF(OR($S1285&lt;&gt;1,COUNTA($J1285:$M1285)=0),0,IF(SUMPRODUCT(MAX(($C$5:$C$2484=$C1285)*($D$5:$D$2484=$D1285)*($S$5:$S$2484=1)*IFERROR($N$5:$N$2484*1,0)))&gt;0,ROUND($H1285*($N1285/SUMPRODUCT(MAX(($C$5:$C$2484=$C1285)*($D$5:$D$2484=$D1285)*($S$5:$S$2484=1)*IFERROR($N$5:$N$2484*1,0)))),4),0)))</f>
        <v/>
      </c>
      <c r="P1285" s="48" t="inlineStr">
        <is>
          <t>Autobus attrezzati con videosorveglianza / Autobus totali in offerta, incluse scorte</t>
        </is>
      </c>
      <c r="Q1285" s="57">
        <f>IF($A1285="","",$A1285&amp;"|"&amp;$C1285)</f>
        <v/>
      </c>
      <c r="R1285" s="57">
        <f>IF($A1285="","",$A1285&amp;"|"&amp;$C1285&amp;"|"&amp;$D1285)</f>
        <v/>
      </c>
      <c r="S1285" s="57">
        <f>IF($A1285="","",IFERROR(INDEX(Offerte!$D$2:$D$81,MATCH($Q1285,Offerte!$L$2:$L$81,0)),0))</f>
        <v/>
      </c>
      <c r="T1285" s="57">
        <f>IF($A1285="","",IFERROR(INDEX(Offerte!$G$2:$G$81,MATCH($Q1285,Offerte!$L$2:$L$81,0)),"NO"))</f>
        <v/>
      </c>
    </row>
    <row r="1286">
      <c r="A1286" s="48">
        <f>IF(Offerte!$A43="","",Offerte!$A43)</f>
        <v/>
      </c>
      <c r="B1286" s="48">
        <f>IF(Offerte!$A43="","",Offerte!$B43)</f>
        <v/>
      </c>
      <c r="C1286" s="48">
        <f>IF(Offerte!$A43="","",Offerte!$C43)</f>
        <v/>
      </c>
      <c r="D1286" s="48" t="inlineStr">
        <is>
          <t>C.2.2</t>
        </is>
      </c>
      <c r="E1286" s="48" t="inlineStr">
        <is>
          <t>C</t>
        </is>
      </c>
      <c r="F1286" s="48" t="inlineStr">
        <is>
          <t>T</t>
        </is>
      </c>
      <c r="G1286" s="48" t="inlineStr">
        <is>
          <t>tabular</t>
        </is>
      </c>
      <c r="H1286" s="48" t="n">
        <v>1</v>
      </c>
      <c r="I1286" s="48" t="inlineStr">
        <is>
          <t>Software video/audio analisi per situazioni di pericolo</t>
        </is>
      </c>
      <c r="J1286" s="73" t="n"/>
      <c r="K1286" s="73" t="n"/>
      <c r="L1286" s="73" t="n"/>
      <c r="M1286" s="73" t="n"/>
      <c r="N1286" s="57">
        <f>IF($A1286="","",IF(IFERROR(VALUE($M1286),0)=1,1,0))</f>
        <v/>
      </c>
      <c r="O1286" s="57">
        <f>IF($A1286="",0,IF(OR($S1286&lt;&gt;1,COUNTA($J1286:$M1286)=0),0,IF($N1286=1,$H1286,0)))</f>
        <v/>
      </c>
      <c r="P1286" s="48" t="inlineStr">
        <is>
          <t>sì/no</t>
        </is>
      </c>
      <c r="Q1286" s="57">
        <f>IF($A1286="","",$A1286&amp;"|"&amp;$C1286)</f>
        <v/>
      </c>
      <c r="R1286" s="57">
        <f>IF($A1286="","",$A1286&amp;"|"&amp;$C1286&amp;"|"&amp;$D1286)</f>
        <v/>
      </c>
      <c r="S1286" s="57">
        <f>IF($A1286="","",IFERROR(INDEX(Offerte!$D$2:$D$81,MATCH($Q1286,Offerte!$L$2:$L$81,0)),0))</f>
        <v/>
      </c>
      <c r="T1286" s="57">
        <f>IF($A1286="","",IFERROR(INDEX(Offerte!$G$2:$G$81,MATCH($Q1286,Offerte!$L$2:$L$81,0)),"NO"))</f>
        <v/>
      </c>
    </row>
    <row r="1287">
      <c r="A1287" s="48">
        <f>IF(Offerte!$A43="","",Offerte!$A43)</f>
        <v/>
      </c>
      <c r="B1287" s="48">
        <f>IF(Offerte!$A43="","",Offerte!$B43)</f>
        <v/>
      </c>
      <c r="C1287" s="48">
        <f>IF(Offerte!$A43="","",Offerte!$C43)</f>
        <v/>
      </c>
      <c r="D1287" s="48" t="inlineStr">
        <is>
          <t>C.2.3</t>
        </is>
      </c>
      <c r="E1287" s="48" t="inlineStr">
        <is>
          <t>C</t>
        </is>
      </c>
      <c r="F1287" s="48" t="inlineStr">
        <is>
          <t>T</t>
        </is>
      </c>
      <c r="G1287" s="48" t="inlineStr">
        <is>
          <t>tabular</t>
        </is>
      </c>
      <c r="H1287" s="48" t="n">
        <v>1</v>
      </c>
      <c r="I1287" s="48" t="inlineStr">
        <is>
          <t>Collegamento con centrale qualificata di pronto intervento</t>
        </is>
      </c>
      <c r="J1287" s="73" t="n"/>
      <c r="K1287" s="73" t="n"/>
      <c r="L1287" s="73" t="n"/>
      <c r="M1287" s="73" t="n"/>
      <c r="N1287" s="57">
        <f>IF($A1287="","",IF(IFERROR(VALUE($M1287),0)=1,1,0))</f>
        <v/>
      </c>
      <c r="O1287" s="57">
        <f>IF($A1287="",0,IF(OR($S1287&lt;&gt;1,COUNTA($J1287:$M1287)=0),0,IF($N1287=1,$H1287,0)))</f>
        <v/>
      </c>
      <c r="P1287" s="48" t="inlineStr">
        <is>
          <t>sì/no</t>
        </is>
      </c>
      <c r="Q1287" s="57">
        <f>IF($A1287="","",$A1287&amp;"|"&amp;$C1287)</f>
        <v/>
      </c>
      <c r="R1287" s="57">
        <f>IF($A1287="","",$A1287&amp;"|"&amp;$C1287&amp;"|"&amp;$D1287)</f>
        <v/>
      </c>
      <c r="S1287" s="57">
        <f>IF($A1287="","",IFERROR(INDEX(Offerte!$D$2:$D$81,MATCH($Q1287,Offerte!$L$2:$L$81,0)),0))</f>
        <v/>
      </c>
      <c r="T1287" s="57">
        <f>IF($A1287="","",IFERROR(INDEX(Offerte!$G$2:$G$81,MATCH($Q1287,Offerte!$L$2:$L$81,0)),"NO"))</f>
        <v/>
      </c>
    </row>
    <row r="1288">
      <c r="A1288" s="48">
        <f>IF(Offerte!$A43="","",Offerte!$A43)</f>
        <v/>
      </c>
      <c r="B1288" s="48">
        <f>IF(Offerte!$A43="","",Offerte!$B43)</f>
        <v/>
      </c>
      <c r="C1288" s="48">
        <f>IF(Offerte!$A43="","",Offerte!$C43)</f>
        <v/>
      </c>
      <c r="D1288" s="48" t="inlineStr">
        <is>
          <t>C.2.4</t>
        </is>
      </c>
      <c r="E1288" s="48" t="inlineStr">
        <is>
          <t>C</t>
        </is>
      </c>
      <c r="F1288" s="48" t="inlineStr">
        <is>
          <t>Q</t>
        </is>
      </c>
      <c r="G1288" s="48" t="inlineStr">
        <is>
          <t>higher</t>
        </is>
      </c>
      <c r="H1288" s="48" t="n">
        <v>1</v>
      </c>
      <c r="I1288" s="48" t="inlineStr">
        <is>
          <t>Tasso di copertura del servizio con dispositivi per la chiamata di emergenza del conducente</t>
        </is>
      </c>
      <c r="J1288" s="73" t="n"/>
      <c r="K1288" s="73" t="n"/>
      <c r="L1288" s="73" t="n"/>
      <c r="M1288" s="73" t="n"/>
      <c r="N1288" s="57">
        <f>IF($A1288="","",IFERROR(VALUE($K1288)/VALUE($L1288),IFERROR(VALUE($J1288),0)))</f>
        <v/>
      </c>
      <c r="O1288" s="57">
        <f>IF($A1288="",0,IF(OR($S1288&lt;&gt;1,COUNTA($J1288:$M1288)=0),0,IF(SUMPRODUCT(MAX(($C$5:$C$2484=$C1288)*($D$5:$D$2484=$D1288)*($S$5:$S$2484=1)*IFERROR($N$5:$N$2484*1,0)))&gt;0,ROUND($H1288*($N1288/SUMPRODUCT(MAX(($C$5:$C$2484=$C1288)*($D$5:$D$2484=$D1288)*($S$5:$S$2484=1)*IFERROR($N$5:$N$2484*1,0)))),4),0)))</f>
        <v/>
      </c>
      <c r="P1288" s="48" t="inlineStr">
        <is>
          <t>Autobus attrezzati con chiamata di emergenza / Autobus totali in offerta, incluse scorte</t>
        </is>
      </c>
      <c r="Q1288" s="57">
        <f>IF($A1288="","",$A1288&amp;"|"&amp;$C1288)</f>
        <v/>
      </c>
      <c r="R1288" s="57">
        <f>IF($A1288="","",$A1288&amp;"|"&amp;$C1288&amp;"|"&amp;$D1288)</f>
        <v/>
      </c>
      <c r="S1288" s="57">
        <f>IF($A1288="","",IFERROR(INDEX(Offerte!$D$2:$D$81,MATCH($Q1288,Offerte!$L$2:$L$81,0)),0))</f>
        <v/>
      </c>
      <c r="T1288" s="57">
        <f>IF($A1288="","",IFERROR(INDEX(Offerte!$G$2:$G$81,MATCH($Q1288,Offerte!$L$2:$L$81,0)),"NO"))</f>
        <v/>
      </c>
    </row>
    <row r="1289">
      <c r="A1289" s="48">
        <f>IF(Offerte!$A43="","",Offerte!$A43)</f>
        <v/>
      </c>
      <c r="B1289" s="48">
        <f>IF(Offerte!$A43="","",Offerte!$B43)</f>
        <v/>
      </c>
      <c r="C1289" s="48">
        <f>IF(Offerte!$A43="","",Offerte!$C43)</f>
        <v/>
      </c>
      <c r="D1289" s="48" t="inlineStr">
        <is>
          <t>C.3.1</t>
        </is>
      </c>
      <c r="E1289" s="48" t="inlineStr">
        <is>
          <t>C</t>
        </is>
      </c>
      <c r="F1289" s="48" t="inlineStr">
        <is>
          <t>Q</t>
        </is>
      </c>
      <c r="G1289" s="48" t="inlineStr">
        <is>
          <t>higher</t>
        </is>
      </c>
      <c r="H1289" s="48" t="n">
        <v>2</v>
      </c>
      <c r="I1289" s="48" t="inlineStr">
        <is>
          <t>Tasso di copertura del servizio con dispositivi di informazione dinamica a bordo mezzo</t>
        </is>
      </c>
      <c r="J1289" s="73" t="n"/>
      <c r="K1289" s="73" t="n"/>
      <c r="L1289" s="73" t="n"/>
      <c r="M1289" s="73" t="n"/>
      <c r="N1289" s="57">
        <f>IF($A1289="","",IFERROR(VALUE($K1289)/VALUE($L1289),IFERROR(VALUE($J1289),0)))</f>
        <v/>
      </c>
      <c r="O1289" s="57">
        <f>IF($A1289="",0,IF(OR($S1289&lt;&gt;1,COUNTA($J1289:$M1289)=0),0,IF(SUMPRODUCT(MAX(($C$5:$C$2484=$C1289)*($D$5:$D$2484=$D1289)*($S$5:$S$2484=1)*IFERROR($N$5:$N$2484*1,0)))&gt;0,ROUND($H1289*($N1289/SUMPRODUCT(MAX(($C$5:$C$2484=$C1289)*($D$5:$D$2484=$D1289)*($S$5:$S$2484=1)*IFERROR($N$5:$N$2484*1,0)))),4),0)))</f>
        <v/>
      </c>
      <c r="P1289" s="48" t="inlineStr">
        <is>
          <t>Autobus con monitor e indicatori vocali / Autobus totali in offerta, incluse scorte</t>
        </is>
      </c>
      <c r="Q1289" s="57">
        <f>IF($A1289="","",$A1289&amp;"|"&amp;$C1289)</f>
        <v/>
      </c>
      <c r="R1289" s="57">
        <f>IF($A1289="","",$A1289&amp;"|"&amp;$C1289&amp;"|"&amp;$D1289)</f>
        <v/>
      </c>
      <c r="S1289" s="57">
        <f>IF($A1289="","",IFERROR(INDEX(Offerte!$D$2:$D$81,MATCH($Q1289,Offerte!$L$2:$L$81,0)),0))</f>
        <v/>
      </c>
      <c r="T1289" s="57">
        <f>IF($A1289="","",IFERROR(INDEX(Offerte!$G$2:$G$81,MATCH($Q1289,Offerte!$L$2:$L$81,0)),"NO"))</f>
        <v/>
      </c>
    </row>
    <row r="1290">
      <c r="A1290" s="48">
        <f>IF(Offerte!$A43="","",Offerte!$A43)</f>
        <v/>
      </c>
      <c r="B1290" s="48">
        <f>IF(Offerte!$A43="","",Offerte!$B43)</f>
        <v/>
      </c>
      <c r="C1290" s="48">
        <f>IF(Offerte!$A43="","",Offerte!$C43)</f>
        <v/>
      </c>
      <c r="D1290" s="48" t="inlineStr">
        <is>
          <t>C.3.2</t>
        </is>
      </c>
      <c r="E1290" s="48" t="inlineStr">
        <is>
          <t>C</t>
        </is>
      </c>
      <c r="F1290" s="48" t="inlineStr">
        <is>
          <t>T</t>
        </is>
      </c>
      <c r="G1290" s="48" t="inlineStr">
        <is>
          <t>tabular</t>
        </is>
      </c>
      <c r="H1290" s="48" t="n">
        <v>2</v>
      </c>
      <c r="I1290" s="48" t="inlineStr">
        <is>
          <t>Informazioni a bordo su coincidenze ai nodi</t>
        </is>
      </c>
      <c r="J1290" s="73" t="n"/>
      <c r="K1290" s="73" t="n"/>
      <c r="L1290" s="73" t="n"/>
      <c r="M1290" s="73" t="n"/>
      <c r="N1290" s="57">
        <f>IF($A1290="","",IF(IFERROR(VALUE($M1290),0)=1,1,0))</f>
        <v/>
      </c>
      <c r="O1290" s="57">
        <f>IF($A1290="",0,IF(OR($S1290&lt;&gt;1,COUNTA($J1290:$M1290)=0),0,IF(AND($N1290=1,IFERROR(SUMIFS($N$5:$N$2484,$Q$5:$Q$2484,$Q1290,$D$5:$D$2484,"C.3.1"),0)&gt;=0.5),$H1290,0)))</f>
        <v/>
      </c>
      <c r="P1290" s="48" t="inlineStr">
        <is>
          <t>Dipende da C.3.1 &gt;= 0.5</t>
        </is>
      </c>
      <c r="Q1290" s="57">
        <f>IF($A1290="","",$A1290&amp;"|"&amp;$C1290)</f>
        <v/>
      </c>
      <c r="R1290" s="57">
        <f>IF($A1290="","",$A1290&amp;"|"&amp;$C1290&amp;"|"&amp;$D1290)</f>
        <v/>
      </c>
      <c r="S1290" s="57">
        <f>IF($A1290="","",IFERROR(INDEX(Offerte!$D$2:$D$81,MATCH($Q1290,Offerte!$L$2:$L$81,0)),0))</f>
        <v/>
      </c>
      <c r="T1290" s="57">
        <f>IF($A1290="","",IFERROR(INDEX(Offerte!$G$2:$G$81,MATCH($Q1290,Offerte!$L$2:$L$81,0)),"NO"))</f>
        <v/>
      </c>
    </row>
    <row r="1291">
      <c r="A1291" s="48">
        <f>IF(Offerte!$A43="","",Offerte!$A43)</f>
        <v/>
      </c>
      <c r="B1291" s="48">
        <f>IF(Offerte!$A43="","",Offerte!$B43)</f>
        <v/>
      </c>
      <c r="C1291" s="48">
        <f>IF(Offerte!$A43="","",Offerte!$C43)</f>
        <v/>
      </c>
      <c r="D1291" s="48" t="inlineStr">
        <is>
          <t>D.1.1</t>
        </is>
      </c>
      <c r="E1291" s="48" t="inlineStr">
        <is>
          <t>D</t>
        </is>
      </c>
      <c r="F1291" s="48" t="inlineStr">
        <is>
          <t>Q</t>
        </is>
      </c>
      <c r="G1291" s="48" t="inlineStr">
        <is>
          <t>higher</t>
        </is>
      </c>
      <c r="H1291" s="48" t="n">
        <v>3</v>
      </c>
      <c r="I1291" s="48" t="inlineStr">
        <is>
          <t>Installazione di pensiline</t>
        </is>
      </c>
      <c r="J1291" s="73" t="n"/>
      <c r="K1291" s="73" t="n"/>
      <c r="L1291" s="73" t="n"/>
      <c r="M1291" s="73" t="n"/>
      <c r="N1291" s="57">
        <f>IF($A1291="","",IFERROR(VALUE($J1291),0))</f>
        <v/>
      </c>
      <c r="O1291" s="57">
        <f>IF($A1291="",0,IF(OR($S1291&lt;&gt;1,COUNTA($J1291:$M1291)=0),0,IF(SUMPRODUCT(MAX(($C$5:$C$2484=$C1291)*($D$5:$D$2484=$D1291)*($S$5:$S$2484=1)*IFERROR($N$5:$N$2484*1,0)))&gt;0,ROUND($H1291*($N1291/SUMPRODUCT(MAX(($C$5:$C$2484=$C1291)*($D$5:$D$2484=$D1291)*($S$5:$S$2484=1)*IFERROR($N$5:$N$2484*1,0)))),4),0)))</f>
        <v/>
      </c>
      <c r="P1291" s="48" t="inlineStr">
        <is>
          <t>fermate</t>
        </is>
      </c>
      <c r="Q1291" s="57">
        <f>IF($A1291="","",$A1291&amp;"|"&amp;$C1291)</f>
        <v/>
      </c>
      <c r="R1291" s="57">
        <f>IF($A1291="","",$A1291&amp;"|"&amp;$C1291&amp;"|"&amp;$D1291)</f>
        <v/>
      </c>
      <c r="S1291" s="57">
        <f>IF($A1291="","",IFERROR(INDEX(Offerte!$D$2:$D$81,MATCH($Q1291,Offerte!$L$2:$L$81,0)),0))</f>
        <v/>
      </c>
      <c r="T1291" s="57">
        <f>IF($A1291="","",IFERROR(INDEX(Offerte!$G$2:$G$81,MATCH($Q1291,Offerte!$L$2:$L$81,0)),"NO"))</f>
        <v/>
      </c>
    </row>
    <row r="1292">
      <c r="A1292" s="48">
        <f>IF(Offerte!$A43="","",Offerte!$A43)</f>
        <v/>
      </c>
      <c r="B1292" s="48">
        <f>IF(Offerte!$A43="","",Offerte!$B43)</f>
        <v/>
      </c>
      <c r="C1292" s="48">
        <f>IF(Offerte!$A43="","",Offerte!$C43)</f>
        <v/>
      </c>
      <c r="D1292" s="48" t="inlineStr">
        <is>
          <t>D.1.2</t>
        </is>
      </c>
      <c r="E1292" s="48" t="inlineStr">
        <is>
          <t>D</t>
        </is>
      </c>
      <c r="F1292" s="48" t="inlineStr">
        <is>
          <t>Q</t>
        </is>
      </c>
      <c r="G1292" s="48" t="inlineStr">
        <is>
          <t>higher</t>
        </is>
      </c>
      <c r="H1292" s="48" t="n">
        <v>3</v>
      </c>
      <c r="I1292" s="48" t="inlineStr">
        <is>
          <t>Installazione di paline di fermata conformi alla DGR 581/2023</t>
        </is>
      </c>
      <c r="J1292" s="73" t="n"/>
      <c r="K1292" s="73" t="n"/>
      <c r="L1292" s="73" t="n"/>
      <c r="M1292" s="73" t="n"/>
      <c r="N1292" s="57">
        <f>IF($A1292="","",IFERROR(VALUE($J1292),0))</f>
        <v/>
      </c>
      <c r="O1292" s="57">
        <f>IF($A1292="",0,IF(OR($S1292&lt;&gt;1,COUNTA($J1292:$M1292)=0),0,IF(SUMPRODUCT(MAX(($C$5:$C$2484=$C1292)*($D$5:$D$2484=$D1292)*($S$5:$S$2484=1)*IFERROR($N$5:$N$2484*1,0)))&gt;0,ROUND($H1292*($N1292/SUMPRODUCT(MAX(($C$5:$C$2484=$C1292)*($D$5:$D$2484=$D1292)*($S$5:$S$2484=1)*IFERROR($N$5:$N$2484*1,0)))),4),0)))</f>
        <v/>
      </c>
      <c r="P1292" s="48" t="inlineStr">
        <is>
          <t>fermate</t>
        </is>
      </c>
      <c r="Q1292" s="57">
        <f>IF($A1292="","",$A1292&amp;"|"&amp;$C1292)</f>
        <v/>
      </c>
      <c r="R1292" s="57">
        <f>IF($A1292="","",$A1292&amp;"|"&amp;$C1292&amp;"|"&amp;$D1292)</f>
        <v/>
      </c>
      <c r="S1292" s="57">
        <f>IF($A1292="","",IFERROR(INDEX(Offerte!$D$2:$D$81,MATCH($Q1292,Offerte!$L$2:$L$81,0)),0))</f>
        <v/>
      </c>
      <c r="T1292" s="57">
        <f>IF($A1292="","",IFERROR(INDEX(Offerte!$G$2:$G$81,MATCH($Q1292,Offerte!$L$2:$L$81,0)),"NO"))</f>
        <v/>
      </c>
    </row>
    <row r="1293">
      <c r="A1293" s="48">
        <f>IF(Offerte!$A43="","",Offerte!$A43)</f>
        <v/>
      </c>
      <c r="B1293" s="48">
        <f>IF(Offerte!$A43="","",Offerte!$B43)</f>
        <v/>
      </c>
      <c r="C1293" s="48">
        <f>IF(Offerte!$A43="","",Offerte!$C43)</f>
        <v/>
      </c>
      <c r="D1293" s="48" t="inlineStr">
        <is>
          <t>D.1.3</t>
        </is>
      </c>
      <c r="E1293" s="48" t="inlineStr">
        <is>
          <t>D</t>
        </is>
      </c>
      <c r="F1293" s="48" t="inlineStr">
        <is>
          <t>Q</t>
        </is>
      </c>
      <c r="G1293" s="48" t="inlineStr">
        <is>
          <t>higher</t>
        </is>
      </c>
      <c r="H1293" s="48" t="n">
        <v>2</v>
      </c>
      <c r="I1293" s="48" t="inlineStr">
        <is>
          <t>Display informativi connessi alle fermate</t>
        </is>
      </c>
      <c r="J1293" s="73" t="n"/>
      <c r="K1293" s="73" t="n"/>
      <c r="L1293" s="73" t="n"/>
      <c r="M1293" s="73" t="n"/>
      <c r="N1293" s="57">
        <f>IF($A1293="","",IFERROR(VALUE($J1293),0))</f>
        <v/>
      </c>
      <c r="O1293" s="57">
        <f>IF($A1293="",0,IF(OR($S1293&lt;&gt;1,COUNTA($J1293:$M1293)=0),0,IF(SUMPRODUCT(MAX(($C$5:$C$2484=$C1293)*($D$5:$D$2484=$D1293)*($S$5:$S$2484=1)*IFERROR($N$5:$N$2484*1,0)))&gt;0,ROUND($H1293*($N1293/SUMPRODUCT(MAX(($C$5:$C$2484=$C1293)*($D$5:$D$2484=$D1293)*($S$5:$S$2484=1)*IFERROR($N$5:$N$2484*1,0)))),4),0)))</f>
        <v/>
      </c>
      <c r="P1293" s="48" t="inlineStr">
        <is>
          <t>fermate</t>
        </is>
      </c>
      <c r="Q1293" s="57">
        <f>IF($A1293="","",$A1293&amp;"|"&amp;$C1293)</f>
        <v/>
      </c>
      <c r="R1293" s="57">
        <f>IF($A1293="","",$A1293&amp;"|"&amp;$C1293&amp;"|"&amp;$D1293)</f>
        <v/>
      </c>
      <c r="S1293" s="57">
        <f>IF($A1293="","",IFERROR(INDEX(Offerte!$D$2:$D$81,MATCH($Q1293,Offerte!$L$2:$L$81,0)),0))</f>
        <v/>
      </c>
      <c r="T1293" s="57">
        <f>IF($A1293="","",IFERROR(INDEX(Offerte!$G$2:$G$81,MATCH($Q1293,Offerte!$L$2:$L$81,0)),"NO"))</f>
        <v/>
      </c>
    </row>
    <row r="1294">
      <c r="A1294" s="48">
        <f>IF(Offerte!$A43="","",Offerte!$A43)</f>
        <v/>
      </c>
      <c r="B1294" s="48">
        <f>IF(Offerte!$A43="","",Offerte!$B43)</f>
        <v/>
      </c>
      <c r="C1294" s="48">
        <f>IF(Offerte!$A43="","",Offerte!$C43)</f>
        <v/>
      </c>
      <c r="D1294" s="48" t="inlineStr">
        <is>
          <t>D.2.1</t>
        </is>
      </c>
      <c r="E1294" s="48" t="inlineStr">
        <is>
          <t>D</t>
        </is>
      </c>
      <c r="F1294" s="48" t="inlineStr">
        <is>
          <t>Q</t>
        </is>
      </c>
      <c r="G1294" s="48" t="inlineStr">
        <is>
          <t>higher</t>
        </is>
      </c>
      <c r="H1294" s="48" t="n">
        <v>2</v>
      </c>
      <c r="I1294" s="48" t="inlineStr">
        <is>
          <t>Segnali tattili Loges-Vet-Evolution</t>
        </is>
      </c>
      <c r="J1294" s="73" t="n"/>
      <c r="K1294" s="73" t="n"/>
      <c r="L1294" s="73" t="n"/>
      <c r="M1294" s="73" t="n"/>
      <c r="N1294" s="57">
        <f>IF($A1294="","",IFERROR(VALUE($J1294),0))</f>
        <v/>
      </c>
      <c r="O1294" s="57">
        <f>IF($A1294="",0,IF(OR($S1294&lt;&gt;1,COUNTA($J1294:$M1294)=0),0,IF(SUMPRODUCT(MAX(($C$5:$C$2484=$C1294)*($D$5:$D$2484=$D1294)*($S$5:$S$2484=1)*IFERROR($N$5:$N$2484*1,0)))&gt;0,ROUND($H1294*($N1294/SUMPRODUCT(MAX(($C$5:$C$2484=$C1294)*($D$5:$D$2484=$D1294)*($S$5:$S$2484=1)*IFERROR($N$5:$N$2484*1,0)))),4),0)))</f>
        <v/>
      </c>
      <c r="P1294" s="48" t="inlineStr">
        <is>
          <t>fermate</t>
        </is>
      </c>
      <c r="Q1294" s="57">
        <f>IF($A1294="","",$A1294&amp;"|"&amp;$C1294)</f>
        <v/>
      </c>
      <c r="R1294" s="57">
        <f>IF($A1294="","",$A1294&amp;"|"&amp;$C1294&amp;"|"&amp;$D1294)</f>
        <v/>
      </c>
      <c r="S1294" s="57">
        <f>IF($A1294="","",IFERROR(INDEX(Offerte!$D$2:$D$81,MATCH($Q1294,Offerte!$L$2:$L$81,0)),0))</f>
        <v/>
      </c>
      <c r="T1294" s="57">
        <f>IF($A1294="","",IFERROR(INDEX(Offerte!$G$2:$G$81,MATCH($Q1294,Offerte!$L$2:$L$81,0)),"NO"))</f>
        <v/>
      </c>
    </row>
    <row r="1295">
      <c r="A1295" s="48">
        <f>IF(Offerte!$A43="","",Offerte!$A43)</f>
        <v/>
      </c>
      <c r="B1295" s="48">
        <f>IF(Offerte!$A43="","",Offerte!$B43)</f>
        <v/>
      </c>
      <c r="C1295" s="48">
        <f>IF(Offerte!$A43="","",Offerte!$C43)</f>
        <v/>
      </c>
      <c r="D1295" s="48" t="inlineStr">
        <is>
          <t>E.1.1</t>
        </is>
      </c>
      <c r="E1295" s="48" t="inlineStr">
        <is>
          <t>E</t>
        </is>
      </c>
      <c r="F1295" s="48" t="inlineStr">
        <is>
          <t>T</t>
        </is>
      </c>
      <c r="G1295" s="48" t="inlineStr">
        <is>
          <t>tabular</t>
        </is>
      </c>
      <c r="H1295" s="48" t="n">
        <v>2</v>
      </c>
      <c r="I1295" s="48" t="inlineStr">
        <is>
          <t>Mobile app con travel planner PRM</t>
        </is>
      </c>
      <c r="J1295" s="73" t="n"/>
      <c r="K1295" s="73" t="n"/>
      <c r="L1295" s="73" t="n"/>
      <c r="M1295" s="73" t="n"/>
      <c r="N1295" s="57">
        <f>IF($A1295="","",IF(IFERROR(VALUE($M1295),0)=1,1,0))</f>
        <v/>
      </c>
      <c r="O1295" s="57">
        <f>IF($A1295="",0,IF(OR($S1295&lt;&gt;1,COUNTA($J1295:$M1295)=0),0,IF($N1295=1,$H1295,0)))</f>
        <v/>
      </c>
      <c r="P1295" s="48" t="inlineStr">
        <is>
          <t>sì/no</t>
        </is>
      </c>
      <c r="Q1295" s="57">
        <f>IF($A1295="","",$A1295&amp;"|"&amp;$C1295)</f>
        <v/>
      </c>
      <c r="R1295" s="57">
        <f>IF($A1295="","",$A1295&amp;"|"&amp;$C1295&amp;"|"&amp;$D1295)</f>
        <v/>
      </c>
      <c r="S1295" s="57">
        <f>IF($A1295="","",IFERROR(INDEX(Offerte!$D$2:$D$81,MATCH($Q1295,Offerte!$L$2:$L$81,0)),0))</f>
        <v/>
      </c>
      <c r="T1295" s="57">
        <f>IF($A1295="","",IFERROR(INDEX(Offerte!$G$2:$G$81,MATCH($Q1295,Offerte!$L$2:$L$81,0)),"NO"))</f>
        <v/>
      </c>
    </row>
    <row r="1296">
      <c r="A1296" s="48">
        <f>IF(Offerte!$A43="","",Offerte!$A43)</f>
        <v/>
      </c>
      <c r="B1296" s="48">
        <f>IF(Offerte!$A43="","",Offerte!$B43)</f>
        <v/>
      </c>
      <c r="C1296" s="48">
        <f>IF(Offerte!$A43="","",Offerte!$C43)</f>
        <v/>
      </c>
      <c r="D1296" s="48" t="inlineStr">
        <is>
          <t>E.2.1</t>
        </is>
      </c>
      <c r="E1296" s="48" t="inlineStr">
        <is>
          <t>E</t>
        </is>
      </c>
      <c r="F1296" s="48" t="inlineStr">
        <is>
          <t>D</t>
        </is>
      </c>
      <c r="G1296" s="48" t="inlineStr">
        <is>
          <t>discretionary</t>
        </is>
      </c>
      <c r="H1296" s="48" t="n">
        <v>2</v>
      </c>
      <c r="I1296" s="48" t="inlineStr">
        <is>
          <t>Altre azioni informative e rapporti con gli utenti</t>
        </is>
      </c>
      <c r="J1296" s="73" t="n"/>
      <c r="K1296" s="73" t="n"/>
      <c r="L1296" s="73" t="n"/>
      <c r="M1296" s="73" t="n"/>
      <c r="N1296" s="57">
        <f>IF($A1296="","",MAX(0,MIN(1,IFERROR(VALUE($M1296),0))))</f>
        <v/>
      </c>
      <c r="O1296" s="57">
        <f>IF($A1296="",0,IF(OR($S1296&lt;&gt;1,COUNTA($J1296:$M1296)=0),0,IF(SUMPRODUCT(MAX(($C$5:$C$2484=$C1296)*($D$5:$D$2484=$D1296)*($S$5:$S$2484=1)*IFERROR($N$5:$N$2484*1,0)))&gt;0,ROUND($H1296*($N1296/SUMPRODUCT(MAX(($C$5:$C$2484=$C1296)*($D$5:$D$2484=$D1296)*($S$5:$S$2484=1)*IFERROR($N$5:$N$2484*1,0)))),4),0)))</f>
        <v/>
      </c>
      <c r="P1296" s="48" t="inlineStr">
        <is>
          <t>coeff.</t>
        </is>
      </c>
      <c r="Q1296" s="57">
        <f>IF($A1296="","",$A1296&amp;"|"&amp;$C1296)</f>
        <v/>
      </c>
      <c r="R1296" s="57">
        <f>IF($A1296="","",$A1296&amp;"|"&amp;$C1296&amp;"|"&amp;$D1296)</f>
        <v/>
      </c>
      <c r="S1296" s="57">
        <f>IF($A1296="","",IFERROR(INDEX(Offerte!$D$2:$D$81,MATCH($Q1296,Offerte!$L$2:$L$81,0)),0))</f>
        <v/>
      </c>
      <c r="T1296" s="57">
        <f>IF($A1296="","",IFERROR(INDEX(Offerte!$G$2:$G$81,MATCH($Q1296,Offerte!$L$2:$L$81,0)),"NO"))</f>
        <v/>
      </c>
    </row>
    <row r="1297">
      <c r="A1297" s="48">
        <f>IF(Offerte!$A43="","",Offerte!$A43)</f>
        <v/>
      </c>
      <c r="B1297" s="48">
        <f>IF(Offerte!$A43="","",Offerte!$B43)</f>
        <v/>
      </c>
      <c r="C1297" s="48">
        <f>IF(Offerte!$A43="","",Offerte!$C43)</f>
        <v/>
      </c>
      <c r="D1297" s="48" t="inlineStr">
        <is>
          <t>F.1.1</t>
        </is>
      </c>
      <c r="E1297" s="48" t="inlineStr">
        <is>
          <t>F</t>
        </is>
      </c>
      <c r="F1297" s="48" t="inlineStr">
        <is>
          <t>Q</t>
        </is>
      </c>
      <c r="G1297" s="48" t="inlineStr">
        <is>
          <t>lower</t>
        </is>
      </c>
      <c r="H1297" s="48" t="n">
        <v>7</v>
      </c>
      <c r="I1297" s="48" t="inlineStr">
        <is>
          <t>Performance ambientali del parco mezzi adibito al servizio - I_CEA</t>
        </is>
      </c>
      <c r="J1297" s="73" t="n"/>
      <c r="K1297" s="73" t="n"/>
      <c r="L1297" s="73" t="n"/>
      <c r="M1297" s="73" t="n"/>
      <c r="N1297" s="57">
        <f>IF($A1297="","",IFERROR(VALUE($J1297),0))</f>
        <v/>
      </c>
      <c r="O1297" s="57">
        <f>IF($A1297="",0,IF(OR($S1297&lt;&gt;1,COUNTA($J1297:$M1297)=0),0,IF(AND(IFERROR(AGGREGATE(15,6,$N$5:$N$2484/(($C$5:$C$2484=$C1297)*($D$5:$D$2484=$D1297)*($S$5:$S$2484=1)*($N$5:$N$2484&gt;0)),1),0)&gt;0,$N1297&gt;0),ROUND($H1297*(IFERROR(AGGREGATE(15,6,$N$5:$N$2484/(($C$5:$C$2484=$C1297)*($D$5:$D$2484=$D1297)*($S$5:$S$2484=1)*($N$5:$N$2484&gt;0)),1),0)/$N1297),4),0)))</f>
        <v/>
      </c>
      <c r="P1297" s="48" t="inlineStr">
        <is>
          <t>indice</t>
        </is>
      </c>
      <c r="Q1297" s="57">
        <f>IF($A1297="","",$A1297&amp;"|"&amp;$C1297)</f>
        <v/>
      </c>
      <c r="R1297" s="57">
        <f>IF($A1297="","",$A1297&amp;"|"&amp;$C1297&amp;"|"&amp;$D1297)</f>
        <v/>
      </c>
      <c r="S1297" s="57">
        <f>IF($A1297="","",IFERROR(INDEX(Offerte!$D$2:$D$81,MATCH($Q1297,Offerte!$L$2:$L$81,0)),0))</f>
        <v/>
      </c>
      <c r="T1297" s="57">
        <f>IF($A1297="","",IFERROR(INDEX(Offerte!$G$2:$G$81,MATCH($Q1297,Offerte!$L$2:$L$81,0)),"NO"))</f>
        <v/>
      </c>
    </row>
    <row r="1298">
      <c r="A1298" s="48">
        <f>IF(Offerte!$A43="","",Offerte!$A43)</f>
        <v/>
      </c>
      <c r="B1298" s="48">
        <f>IF(Offerte!$A43="","",Offerte!$B43)</f>
        <v/>
      </c>
      <c r="C1298" s="48">
        <f>IF(Offerte!$A43="","",Offerte!$C43)</f>
        <v/>
      </c>
      <c r="D1298" s="48" t="inlineStr">
        <is>
          <t>F.2.1</t>
        </is>
      </c>
      <c r="E1298" s="48" t="inlineStr">
        <is>
          <t>F</t>
        </is>
      </c>
      <c r="F1298" s="48" t="inlineStr">
        <is>
          <t>Q</t>
        </is>
      </c>
      <c r="G1298" s="48" t="inlineStr">
        <is>
          <t>higher</t>
        </is>
      </c>
      <c r="H1298" s="48" t="n">
        <v>2</v>
      </c>
      <c r="I1298" s="48" t="inlineStr">
        <is>
          <t>Tasso di copertura del servizio con dispositivi ECO-DRIVER</t>
        </is>
      </c>
      <c r="J1298" s="73" t="n"/>
      <c r="K1298" s="73" t="n"/>
      <c r="L1298" s="73" t="n"/>
      <c r="M1298" s="73" t="n"/>
      <c r="N1298" s="57">
        <f>IF($A1298="","",IFERROR(VALUE($K1298)/VALUE($L1298),IFERROR(VALUE($J1298),0)))</f>
        <v/>
      </c>
      <c r="O1298" s="57">
        <f>IF($A1298="",0,IF(OR($S1298&lt;&gt;1,COUNTA($J1298:$M1298)=0),0,IF(SUMPRODUCT(MAX(($C$5:$C$2484=$C1298)*($D$5:$D$2484=$D1298)*($S$5:$S$2484=1)*IFERROR($N$5:$N$2484*1,0)))&gt;0,ROUND($H1298*($N1298/SUMPRODUCT(MAX(($C$5:$C$2484=$C1298)*($D$5:$D$2484=$D1298)*($S$5:$S$2484=1)*IFERROR($N$5:$N$2484*1,0)))),4),0)))</f>
        <v/>
      </c>
      <c r="P1298" s="48" t="inlineStr">
        <is>
          <t>Autobus attrezzati con dispositivi ECO-DRIVER / Autobus totali in offerta, incluse scorte</t>
        </is>
      </c>
      <c r="Q1298" s="57">
        <f>IF($A1298="","",$A1298&amp;"|"&amp;$C1298)</f>
        <v/>
      </c>
      <c r="R1298" s="57">
        <f>IF($A1298="","",$A1298&amp;"|"&amp;$C1298&amp;"|"&amp;$D1298)</f>
        <v/>
      </c>
      <c r="S1298" s="57">
        <f>IF($A1298="","",IFERROR(INDEX(Offerte!$D$2:$D$81,MATCH($Q1298,Offerte!$L$2:$L$81,0)),0))</f>
        <v/>
      </c>
      <c r="T1298" s="57">
        <f>IF($A1298="","",IFERROR(INDEX(Offerte!$G$2:$G$81,MATCH($Q1298,Offerte!$L$2:$L$81,0)),"NO"))</f>
        <v/>
      </c>
    </row>
    <row r="1299">
      <c r="A1299" s="48">
        <f>IF(Offerte!$A43="","",Offerte!$A43)</f>
        <v/>
      </c>
      <c r="B1299" s="48">
        <f>IF(Offerte!$A43="","",Offerte!$B43)</f>
        <v/>
      </c>
      <c r="C1299" s="48">
        <f>IF(Offerte!$A43="","",Offerte!$C43)</f>
        <v/>
      </c>
      <c r="D1299" s="48" t="inlineStr">
        <is>
          <t>F.3.1</t>
        </is>
      </c>
      <c r="E1299" s="48" t="inlineStr">
        <is>
          <t>F</t>
        </is>
      </c>
      <c r="F1299" s="48" t="inlineStr">
        <is>
          <t>Q</t>
        </is>
      </c>
      <c r="G1299" s="48" t="inlineStr">
        <is>
          <t>higher</t>
        </is>
      </c>
      <c r="H1299" s="48" t="n">
        <v>2</v>
      </c>
      <c r="I1299" s="48" t="inlineStr">
        <is>
          <t>Autoproduzione consumi elettrici per trazione</t>
        </is>
      </c>
      <c r="J1299" s="73" t="n"/>
      <c r="K1299" s="73" t="n"/>
      <c r="L1299" s="73" t="n"/>
      <c r="M1299" s="73" t="n"/>
      <c r="N1299" s="57">
        <f>IF($A1299="","",IFERROR(VALUE($J1299),0))</f>
        <v/>
      </c>
      <c r="O1299" s="57">
        <f>IF($A1299="",0,IF(OR($S1299&lt;&gt;1,COUNTA($J1299:$M1299)=0),0,IF(SUMPRODUCT(MAX(($C$5:$C$2484=$C1299)*($D$5:$D$2484=$D1299)*($S$5:$S$2484=1)*IFERROR($N$5:$N$2484*1,0)))&gt;0,ROUND($H1299*($N1299/SUMPRODUCT(MAX(($C$5:$C$2484=$C1299)*($D$5:$D$2484=$D1299)*($S$5:$S$2484=1)*IFERROR($N$5:$N$2484*1,0)))),4),0)))</f>
        <v/>
      </c>
      <c r="P1299" s="48" t="inlineStr">
        <is>
          <t>kWh/anno</t>
        </is>
      </c>
      <c r="Q1299" s="57">
        <f>IF($A1299="","",$A1299&amp;"|"&amp;$C1299)</f>
        <v/>
      </c>
      <c r="R1299" s="57">
        <f>IF($A1299="","",$A1299&amp;"|"&amp;$C1299&amp;"|"&amp;$D1299)</f>
        <v/>
      </c>
      <c r="S1299" s="57">
        <f>IF($A1299="","",IFERROR(INDEX(Offerte!$D$2:$D$81,MATCH($Q1299,Offerte!$L$2:$L$81,0)),0))</f>
        <v/>
      </c>
      <c r="T1299" s="57">
        <f>IF($A1299="","",IFERROR(INDEX(Offerte!$G$2:$G$81,MATCH($Q1299,Offerte!$L$2:$L$81,0)),"NO"))</f>
        <v/>
      </c>
    </row>
    <row r="1300">
      <c r="A1300" s="48">
        <f>IF(Offerte!$A43="","",Offerte!$A43)</f>
        <v/>
      </c>
      <c r="B1300" s="48">
        <f>IF(Offerte!$A43="","",Offerte!$B43)</f>
        <v/>
      </c>
      <c r="C1300" s="48">
        <f>IF(Offerte!$A43="","",Offerte!$C43)</f>
        <v/>
      </c>
      <c r="D1300" s="48" t="inlineStr">
        <is>
          <t>F.4.1</t>
        </is>
      </c>
      <c r="E1300" s="48" t="inlineStr">
        <is>
          <t>F</t>
        </is>
      </c>
      <c r="F1300" s="48" t="inlineStr">
        <is>
          <t>Q</t>
        </is>
      </c>
      <c r="G1300" s="48" t="inlineStr">
        <is>
          <t>soil</t>
        </is>
      </c>
      <c r="H1300" s="48" t="n">
        <v>2</v>
      </c>
      <c r="I1300" s="48" t="inlineStr">
        <is>
          <t>Indice di consumo di suolo</t>
        </is>
      </c>
      <c r="J1300" s="73" t="n"/>
      <c r="K1300" s="73" t="n"/>
      <c r="L1300" s="73" t="n"/>
      <c r="M1300" s="73" t="n"/>
      <c r="N1300" s="57">
        <f>IF($A1300="","",IFERROR(VALUE($J1300),0))</f>
        <v/>
      </c>
      <c r="O1300" s="57">
        <f>IF($A1300="",0,IF(OR($S1300&lt;&gt;1,COUNTA($J1300:$M1300)=0),0,IF($N1300&lt;=0,$H1300,IF(SUMPRODUCT(MAX(($C$5:$C$2484=$C1300)*($D$5:$D$2484=$D1300)*($S$5:$S$2484=1)*IFERROR($N$5:$N$2484*1,0)))&gt;0,ROUND($H1300*((SUMPRODUCT(MAX(($C$5:$C$2484=$C1300)*($D$5:$D$2484=$D1300)*($S$5:$S$2484=1)*IFERROR($N$5:$N$2484*1,0)))-$N1300)/SUMPRODUCT(MAX(($C$5:$C$2484=$C1300)*($D$5:$D$2484=$D1300)*($S$5:$S$2484=1)*IFERROR($N$5:$N$2484*1,0)))),4),0))))</f>
        <v/>
      </c>
      <c r="P1300" s="48" t="inlineStr">
        <is>
          <t>m2</t>
        </is>
      </c>
      <c r="Q1300" s="57">
        <f>IF($A1300="","",$A1300&amp;"|"&amp;$C1300)</f>
        <v/>
      </c>
      <c r="R1300" s="57">
        <f>IF($A1300="","",$A1300&amp;"|"&amp;$C1300&amp;"|"&amp;$D1300)</f>
        <v/>
      </c>
      <c r="S1300" s="57">
        <f>IF($A1300="","",IFERROR(INDEX(Offerte!$D$2:$D$81,MATCH($Q1300,Offerte!$L$2:$L$81,0)),0))</f>
        <v/>
      </c>
      <c r="T1300" s="57">
        <f>IF($A1300="","",IFERROR(INDEX(Offerte!$G$2:$G$81,MATCH($Q1300,Offerte!$L$2:$L$81,0)),"NO"))</f>
        <v/>
      </c>
    </row>
    <row r="1301">
      <c r="A1301" s="48">
        <f>IF(Offerte!$A43="","",Offerte!$A43)</f>
        <v/>
      </c>
      <c r="B1301" s="48">
        <f>IF(Offerte!$A43="","",Offerte!$B43)</f>
        <v/>
      </c>
      <c r="C1301" s="48">
        <f>IF(Offerte!$A43="","",Offerte!$C43)</f>
        <v/>
      </c>
      <c r="D1301" s="48" t="inlineStr">
        <is>
          <t>F.5.1</t>
        </is>
      </c>
      <c r="E1301" s="48" t="inlineStr">
        <is>
          <t>F</t>
        </is>
      </c>
      <c r="F1301" s="48" t="inlineStr">
        <is>
          <t>T</t>
        </is>
      </c>
      <c r="G1301" s="48" t="inlineStr">
        <is>
          <t>tabular</t>
        </is>
      </c>
      <c r="H1301" s="48" t="n">
        <v>1</v>
      </c>
      <c r="I1301" s="48" t="inlineStr">
        <is>
          <t>Rendicontazione di sostenibilità ambientale</t>
        </is>
      </c>
      <c r="J1301" s="73" t="n"/>
      <c r="K1301" s="73" t="n"/>
      <c r="L1301" s="73" t="n"/>
      <c r="M1301" s="73" t="n"/>
      <c r="N1301" s="57">
        <f>IF($A1301="","",IF(IFERROR(VALUE($M1301),0)=1,1,0))</f>
        <v/>
      </c>
      <c r="O1301" s="57">
        <f>IF($A1301="",0,IF(OR($S1301&lt;&gt;1,COUNTA($J1301:$M1301)=0),0,IF($N1301=1,$H1301,0)))</f>
        <v/>
      </c>
      <c r="P1301" s="48" t="inlineStr">
        <is>
          <t>sì/no</t>
        </is>
      </c>
      <c r="Q1301" s="57">
        <f>IF($A1301="","",$A1301&amp;"|"&amp;$C1301)</f>
        <v/>
      </c>
      <c r="R1301" s="57">
        <f>IF($A1301="","",$A1301&amp;"|"&amp;$C1301&amp;"|"&amp;$D1301)</f>
        <v/>
      </c>
      <c r="S1301" s="57">
        <f>IF($A1301="","",IFERROR(INDEX(Offerte!$D$2:$D$81,MATCH($Q1301,Offerte!$L$2:$L$81,0)),0))</f>
        <v/>
      </c>
      <c r="T1301" s="57">
        <f>IF($A1301="","",IFERROR(INDEX(Offerte!$G$2:$G$81,MATCH($Q1301,Offerte!$L$2:$L$81,0)),"NO"))</f>
        <v/>
      </c>
    </row>
    <row r="1302">
      <c r="A1302" s="48">
        <f>IF(Offerte!$A43="","",Offerte!$A43)</f>
        <v/>
      </c>
      <c r="B1302" s="48">
        <f>IF(Offerte!$A43="","",Offerte!$B43)</f>
        <v/>
      </c>
      <c r="C1302" s="48">
        <f>IF(Offerte!$A43="","",Offerte!$C43)</f>
        <v/>
      </c>
      <c r="D1302" s="48" t="inlineStr">
        <is>
          <t>G.1.1</t>
        </is>
      </c>
      <c r="E1302" s="48" t="inlineStr">
        <is>
          <t>G</t>
        </is>
      </c>
      <c r="F1302" s="48" t="inlineStr">
        <is>
          <t>D</t>
        </is>
      </c>
      <c r="G1302" s="48" t="inlineStr">
        <is>
          <t>discretionary</t>
        </is>
      </c>
      <c r="H1302" s="48" t="n">
        <v>2</v>
      </c>
      <c r="I1302" s="48" t="inlineStr">
        <is>
          <t>Qualità del progetto di centrale di controllo aziendale</t>
        </is>
      </c>
      <c r="J1302" s="73" t="n"/>
      <c r="K1302" s="73" t="n"/>
      <c r="L1302" s="73" t="n"/>
      <c r="M1302" s="73" t="n"/>
      <c r="N1302" s="57">
        <f>IF($A1302="","",MAX(0,MIN(1,IFERROR(VALUE($M1302),0))))</f>
        <v/>
      </c>
      <c r="O1302" s="57">
        <f>IF($A1302="",0,IF(OR($S1302&lt;&gt;1,COUNTA($J1302:$M1302)=0),0,IF(SUMPRODUCT(MAX(($C$5:$C$2484=$C1302)*($D$5:$D$2484=$D1302)*($S$5:$S$2484=1)*IFERROR($N$5:$N$2484*1,0)))&gt;0,ROUND($H1302*($N1302/SUMPRODUCT(MAX(($C$5:$C$2484=$C1302)*($D$5:$D$2484=$D1302)*($S$5:$S$2484=1)*IFERROR($N$5:$N$2484*1,0)))),4),0)))</f>
        <v/>
      </c>
      <c r="P1302" s="48" t="inlineStr">
        <is>
          <t>coeff.</t>
        </is>
      </c>
      <c r="Q1302" s="57">
        <f>IF($A1302="","",$A1302&amp;"|"&amp;$C1302)</f>
        <v/>
      </c>
      <c r="R1302" s="57">
        <f>IF($A1302="","",$A1302&amp;"|"&amp;$C1302&amp;"|"&amp;$D1302)</f>
        <v/>
      </c>
      <c r="S1302" s="57">
        <f>IF($A1302="","",IFERROR(INDEX(Offerte!$D$2:$D$81,MATCH($Q1302,Offerte!$L$2:$L$81,0)),0))</f>
        <v/>
      </c>
      <c r="T1302" s="57">
        <f>IF($A1302="","",IFERROR(INDEX(Offerte!$G$2:$G$81,MATCH($Q1302,Offerte!$L$2:$L$81,0)),"NO"))</f>
        <v/>
      </c>
    </row>
    <row r="1303">
      <c r="A1303" s="48">
        <f>IF(Offerte!$A43="","",Offerte!$A43)</f>
        <v/>
      </c>
      <c r="B1303" s="48">
        <f>IF(Offerte!$A43="","",Offerte!$B43)</f>
        <v/>
      </c>
      <c r="C1303" s="48">
        <f>IF(Offerte!$A43="","",Offerte!$C43)</f>
        <v/>
      </c>
      <c r="D1303" s="48" t="inlineStr">
        <is>
          <t>G.2.1</t>
        </is>
      </c>
      <c r="E1303" s="48" t="inlineStr">
        <is>
          <t>G</t>
        </is>
      </c>
      <c r="F1303" s="48" t="inlineStr">
        <is>
          <t>T</t>
        </is>
      </c>
      <c r="G1303" s="48" t="inlineStr">
        <is>
          <t>tabular</t>
        </is>
      </c>
      <c r="H1303" s="48" t="n">
        <v>1</v>
      </c>
      <c r="I1303" s="48" t="inlineStr">
        <is>
          <t>Certificazione ISO 45001</t>
        </is>
      </c>
      <c r="J1303" s="73" t="n"/>
      <c r="K1303" s="73" t="n"/>
      <c r="L1303" s="73" t="n"/>
      <c r="M1303" s="73" t="n"/>
      <c r="N1303" s="57">
        <f>IF($A1303="","",IF(IFERROR(VALUE($M1303),0)=1,1,0))</f>
        <v/>
      </c>
      <c r="O1303" s="57">
        <f>IF($A1303="",0,IF(OR($S1303&lt;&gt;1,COUNTA($J1303:$M1303)=0),0,IF($N1303=1,$H1303,0)))</f>
        <v/>
      </c>
      <c r="P1303" s="48" t="inlineStr">
        <is>
          <t>sì/no</t>
        </is>
      </c>
      <c r="Q1303" s="57">
        <f>IF($A1303="","",$A1303&amp;"|"&amp;$C1303)</f>
        <v/>
      </c>
      <c r="R1303" s="57">
        <f>IF($A1303="","",$A1303&amp;"|"&amp;$C1303&amp;"|"&amp;$D1303)</f>
        <v/>
      </c>
      <c r="S1303" s="57">
        <f>IF($A1303="","",IFERROR(INDEX(Offerte!$D$2:$D$81,MATCH($Q1303,Offerte!$L$2:$L$81,0)),0))</f>
        <v/>
      </c>
      <c r="T1303" s="57">
        <f>IF($A1303="","",IFERROR(INDEX(Offerte!$G$2:$G$81,MATCH($Q1303,Offerte!$L$2:$L$81,0)),"NO"))</f>
        <v/>
      </c>
    </row>
    <row r="1304">
      <c r="A1304" s="48">
        <f>IF(Offerte!$A43="","",Offerte!$A43)</f>
        <v/>
      </c>
      <c r="B1304" s="48">
        <f>IF(Offerte!$A43="","",Offerte!$B43)</f>
        <v/>
      </c>
      <c r="C1304" s="48">
        <f>IF(Offerte!$A43="","",Offerte!$C43)</f>
        <v/>
      </c>
      <c r="D1304" s="48" t="inlineStr">
        <is>
          <t>G.3.1</t>
        </is>
      </c>
      <c r="E1304" s="48" t="inlineStr">
        <is>
          <t>G</t>
        </is>
      </c>
      <c r="F1304" s="48" t="inlineStr">
        <is>
          <t>T</t>
        </is>
      </c>
      <c r="G1304" s="48" t="inlineStr">
        <is>
          <t>tabular</t>
        </is>
      </c>
      <c r="H1304" s="48" t="n">
        <v>1</v>
      </c>
      <c r="I1304" s="48" t="inlineStr">
        <is>
          <t>Certificazioni di responsabilità sociale</t>
        </is>
      </c>
      <c r="J1304" s="73" t="n"/>
      <c r="K1304" s="73" t="n"/>
      <c r="L1304" s="73" t="n"/>
      <c r="M1304" s="73" t="n"/>
      <c r="N1304" s="57">
        <f>IF($A1304="","",IF(IFERROR(VALUE($M1304),0)=1,1,0))</f>
        <v/>
      </c>
      <c r="O1304" s="57">
        <f>IF($A1304="",0,IF(OR($S1304&lt;&gt;1,COUNTA($J1304:$M1304)=0),0,IF($N1304=1,$H1304,0)))</f>
        <v/>
      </c>
      <c r="P1304" s="48" t="inlineStr">
        <is>
          <t>sì/no</t>
        </is>
      </c>
      <c r="Q1304" s="57">
        <f>IF($A1304="","",$A1304&amp;"|"&amp;$C1304)</f>
        <v/>
      </c>
      <c r="R1304" s="57">
        <f>IF($A1304="","",$A1304&amp;"|"&amp;$C1304&amp;"|"&amp;$D1304)</f>
        <v/>
      </c>
      <c r="S1304" s="57">
        <f>IF($A1304="","",IFERROR(INDEX(Offerte!$D$2:$D$81,MATCH($Q1304,Offerte!$L$2:$L$81,0)),0))</f>
        <v/>
      </c>
      <c r="T1304" s="57">
        <f>IF($A1304="","",IFERROR(INDEX(Offerte!$G$2:$G$81,MATCH($Q1304,Offerte!$L$2:$L$81,0)),"NO"))</f>
        <v/>
      </c>
    </row>
    <row r="1305">
      <c r="A1305" s="48">
        <f>IF(Offerte!$A43="","",Offerte!$A43)</f>
        <v/>
      </c>
      <c r="B1305" s="48">
        <f>IF(Offerte!$A43="","",Offerte!$B43)</f>
        <v/>
      </c>
      <c r="C1305" s="48">
        <f>IF(Offerte!$A43="","",Offerte!$C43)</f>
        <v/>
      </c>
      <c r="D1305" s="48" t="inlineStr">
        <is>
          <t>G.4.1</t>
        </is>
      </c>
      <c r="E1305" s="48" t="inlineStr">
        <is>
          <t>G</t>
        </is>
      </c>
      <c r="F1305" s="48" t="inlineStr">
        <is>
          <t>D</t>
        </is>
      </c>
      <c r="G1305" s="48" t="inlineStr">
        <is>
          <t>discretionary</t>
        </is>
      </c>
      <c r="H1305" s="48" t="n">
        <v>2</v>
      </c>
      <c r="I1305" s="48" t="inlineStr">
        <is>
          <t>Qualità del piano di formazione del personale</t>
        </is>
      </c>
      <c r="J1305" s="73" t="n"/>
      <c r="K1305" s="73" t="n"/>
      <c r="L1305" s="73" t="n"/>
      <c r="M1305" s="73" t="n"/>
      <c r="N1305" s="57">
        <f>IF($A1305="","",MAX(0,MIN(1,IFERROR(VALUE($M1305),0))))</f>
        <v/>
      </c>
      <c r="O1305" s="57">
        <f>IF($A1305="",0,IF(OR($S1305&lt;&gt;1,COUNTA($J1305:$M1305)=0),0,IF(SUMPRODUCT(MAX(($C$5:$C$2484=$C1305)*($D$5:$D$2484=$D1305)*($S$5:$S$2484=1)*IFERROR($N$5:$N$2484*1,0)))&gt;0,ROUND($H1305*($N1305/SUMPRODUCT(MAX(($C$5:$C$2484=$C1305)*($D$5:$D$2484=$D1305)*($S$5:$S$2484=1)*IFERROR($N$5:$N$2484*1,0)))),4),0)))</f>
        <v/>
      </c>
      <c r="P1305" s="48" t="inlineStr">
        <is>
          <t>coeff.</t>
        </is>
      </c>
      <c r="Q1305" s="57">
        <f>IF($A1305="","",$A1305&amp;"|"&amp;$C1305)</f>
        <v/>
      </c>
      <c r="R1305" s="57">
        <f>IF($A1305="","",$A1305&amp;"|"&amp;$C1305&amp;"|"&amp;$D1305)</f>
        <v/>
      </c>
      <c r="S1305" s="57">
        <f>IF($A1305="","",IFERROR(INDEX(Offerte!$D$2:$D$81,MATCH($Q1305,Offerte!$L$2:$L$81,0)),0))</f>
        <v/>
      </c>
      <c r="T1305" s="57">
        <f>IF($A1305="","",IFERROR(INDEX(Offerte!$G$2:$G$81,MATCH($Q1305,Offerte!$L$2:$L$81,0)),"NO"))</f>
        <v/>
      </c>
    </row>
    <row r="1306">
      <c r="A1306" s="48">
        <f>IF(Offerte!$A43="","",Offerte!$A43)</f>
        <v/>
      </c>
      <c r="B1306" s="48">
        <f>IF(Offerte!$A43="","",Offerte!$B43)</f>
        <v/>
      </c>
      <c r="C1306" s="48">
        <f>IF(Offerte!$A43="","",Offerte!$C43)</f>
        <v/>
      </c>
      <c r="D1306" s="48" t="inlineStr">
        <is>
          <t>G.5.1</t>
        </is>
      </c>
      <c r="E1306" s="48" t="inlineStr">
        <is>
          <t>G</t>
        </is>
      </c>
      <c r="F1306" s="48" t="inlineStr">
        <is>
          <t>T</t>
        </is>
      </c>
      <c r="G1306" s="48" t="inlineStr">
        <is>
          <t>tabular</t>
        </is>
      </c>
      <c r="H1306" s="48" t="n">
        <v>1</v>
      </c>
      <c r="I1306" s="48" t="inlineStr">
        <is>
          <t>Impegno al mantenimento delle garanzie del contratto di secondo livello del gestore uscente</t>
        </is>
      </c>
      <c r="J1306" s="73" t="n"/>
      <c r="K1306" s="73" t="n"/>
      <c r="L1306" s="73" t="n"/>
      <c r="M1306" s="73" t="n"/>
      <c r="N1306" s="57">
        <f>IF($A1306="","",IF(IFERROR(VALUE($M1306),0)=1,1,0))</f>
        <v/>
      </c>
      <c r="O1306" s="57">
        <f>IF($A1306="",0,IF(OR($S1306&lt;&gt;1,COUNTA($J1306:$M1306)=0),0,IF($N1306=1,$H1306,0)))</f>
        <v/>
      </c>
      <c r="P1306" s="48" t="inlineStr">
        <is>
          <t>sì/no</t>
        </is>
      </c>
      <c r="Q1306" s="57">
        <f>IF($A1306="","",$A1306&amp;"|"&amp;$C1306)</f>
        <v/>
      </c>
      <c r="R1306" s="57">
        <f>IF($A1306="","",$A1306&amp;"|"&amp;$C1306&amp;"|"&amp;$D1306)</f>
        <v/>
      </c>
      <c r="S1306" s="57">
        <f>IF($A1306="","",IFERROR(INDEX(Offerte!$D$2:$D$81,MATCH($Q1306,Offerte!$L$2:$L$81,0)),0))</f>
        <v/>
      </c>
      <c r="T1306" s="57">
        <f>IF($A1306="","",IFERROR(INDEX(Offerte!$G$2:$G$81,MATCH($Q1306,Offerte!$L$2:$L$81,0)),"NO"))</f>
        <v/>
      </c>
    </row>
    <row r="1307">
      <c r="A1307" s="48">
        <f>IF(Offerte!$A44="","",Offerte!$A44)</f>
        <v/>
      </c>
      <c r="B1307" s="48">
        <f>IF(Offerte!$A44="","",Offerte!$B44)</f>
        <v/>
      </c>
      <c r="C1307" s="48">
        <f>IF(Offerte!$A44="","",Offerte!$C44)</f>
        <v/>
      </c>
      <c r="D1307" s="48" t="inlineStr">
        <is>
          <t>A.1.1</t>
        </is>
      </c>
      <c r="E1307" s="48" t="inlineStr">
        <is>
          <t>A</t>
        </is>
      </c>
      <c r="F1307" s="48" t="inlineStr">
        <is>
          <t>Q</t>
        </is>
      </c>
      <c r="G1307" s="48" t="inlineStr">
        <is>
          <t>higher</t>
        </is>
      </c>
      <c r="H1307" s="48" t="n">
        <v>3</v>
      </c>
      <c r="I1307" s="48" t="inlineStr">
        <is>
          <t>Tasso aggiuntivo di corse controllate</t>
        </is>
      </c>
      <c r="J1307" s="73" t="n"/>
      <c r="K1307" s="73" t="n"/>
      <c r="L1307" s="73" t="n"/>
      <c r="M1307" s="73" t="n"/>
      <c r="N1307" s="57">
        <f>IF($A1307="","",IFERROR(VALUE($K1307)/VALUE($L1307)*100,IFERROR(VALUE($J1307),0)))</f>
        <v/>
      </c>
      <c r="O1307" s="57">
        <f>IF($A1307="",0,IF(OR($S1307&lt;&gt;1,COUNTA($J1307:$M1307)=0),0,IF(SUMPRODUCT(MAX(($C$5:$C$2484=$C1307)*($D$5:$D$2484=$D1307)*($S$5:$S$2484=1)*IFERROR($N$5:$N$2484*1,0)))&gt;0,ROUND($H1307*($N1307/SUMPRODUCT(MAX(($C$5:$C$2484=$C1307)*($D$5:$D$2484=$D1307)*($S$5:$S$2484=1)*IFERROR($N$5:$N$2484*1,0)))),4),0)))</f>
        <v/>
      </c>
      <c r="P1307" s="48" t="inlineStr">
        <is>
          <t>Corse controllate annue / Corse programmate annue</t>
        </is>
      </c>
      <c r="Q1307" s="57">
        <f>IF($A1307="","",$A1307&amp;"|"&amp;$C1307)</f>
        <v/>
      </c>
      <c r="R1307" s="57">
        <f>IF($A1307="","",$A1307&amp;"|"&amp;$C1307&amp;"|"&amp;$D1307)</f>
        <v/>
      </c>
      <c r="S1307" s="57">
        <f>IF($A1307="","",IFERROR(INDEX(Offerte!$D$2:$D$81,MATCH($Q1307,Offerte!$L$2:$L$81,0)),0))</f>
        <v/>
      </c>
      <c r="T1307" s="57">
        <f>IF($A1307="","",IFERROR(INDEX(Offerte!$G$2:$G$81,MATCH($Q1307,Offerte!$L$2:$L$81,0)),"NO"))</f>
        <v/>
      </c>
    </row>
    <row r="1308">
      <c r="A1308" s="48">
        <f>IF(Offerte!$A44="","",Offerte!$A44)</f>
        <v/>
      </c>
      <c r="B1308" s="48">
        <f>IF(Offerte!$A44="","",Offerte!$B44)</f>
        <v/>
      </c>
      <c r="C1308" s="48">
        <f>IF(Offerte!$A44="","",Offerte!$C44)</f>
        <v/>
      </c>
      <c r="D1308" s="48" t="inlineStr">
        <is>
          <t>A.1.2</t>
        </is>
      </c>
      <c r="E1308" s="48" t="inlineStr">
        <is>
          <t>A</t>
        </is>
      </c>
      <c r="F1308" s="48" t="inlineStr">
        <is>
          <t>Q</t>
        </is>
      </c>
      <c r="G1308" s="48" t="inlineStr">
        <is>
          <t>higher</t>
        </is>
      </c>
      <c r="H1308" s="48" t="n">
        <v>4</v>
      </c>
      <c r="I1308" s="48" t="inlineStr">
        <is>
          <t>Numero aggiuntivo di passeggeri controllati</t>
        </is>
      </c>
      <c r="J1308" s="73" t="n"/>
      <c r="K1308" s="73" t="n"/>
      <c r="L1308" s="73" t="n"/>
      <c r="M1308" s="73" t="n"/>
      <c r="N1308" s="57">
        <f>IF($A1308="","",IFERROR(VALUE($J1308),0))</f>
        <v/>
      </c>
      <c r="O1308" s="57">
        <f>IF($A1308="",0,IF(OR($S1308&lt;&gt;1,COUNTA($J1308:$M1308)=0),0,IF(SUMPRODUCT(MAX(($C$5:$C$2484=$C1308)*($D$5:$D$2484=$D1308)*($S$5:$S$2484=1)*IFERROR($N$5:$N$2484*1,0)))&gt;0,ROUND($H1308*($N1308/SUMPRODUCT(MAX(($C$5:$C$2484=$C1308)*($D$5:$D$2484=$D1308)*($S$5:$S$2484=1)*IFERROR($N$5:$N$2484*1,0)))),4),0)))</f>
        <v/>
      </c>
      <c r="P1308" s="48" t="inlineStr">
        <is>
          <t>passeggeri/anno</t>
        </is>
      </c>
      <c r="Q1308" s="57">
        <f>IF($A1308="","",$A1308&amp;"|"&amp;$C1308)</f>
        <v/>
      </c>
      <c r="R1308" s="57">
        <f>IF($A1308="","",$A1308&amp;"|"&amp;$C1308&amp;"|"&amp;$D1308)</f>
        <v/>
      </c>
      <c r="S1308" s="57">
        <f>IF($A1308="","",IFERROR(INDEX(Offerte!$D$2:$D$81,MATCH($Q1308,Offerte!$L$2:$L$81,0)),0))</f>
        <v/>
      </c>
      <c r="T1308" s="57">
        <f>IF($A1308="","",IFERROR(INDEX(Offerte!$G$2:$G$81,MATCH($Q1308,Offerte!$L$2:$L$81,0)),"NO"))</f>
        <v/>
      </c>
    </row>
    <row r="1309">
      <c r="A1309" s="48">
        <f>IF(Offerte!$A44="","",Offerte!$A44)</f>
        <v/>
      </c>
      <c r="B1309" s="48">
        <f>IF(Offerte!$A44="","",Offerte!$B44)</f>
        <v/>
      </c>
      <c r="C1309" s="48">
        <f>IF(Offerte!$A44="","",Offerte!$C44)</f>
        <v/>
      </c>
      <c r="D1309" s="48" t="inlineStr">
        <is>
          <t>B.1.1</t>
        </is>
      </c>
      <c r="E1309" s="48" t="inlineStr">
        <is>
          <t>B</t>
        </is>
      </c>
      <c r="F1309" s="48" t="inlineStr">
        <is>
          <t>Q</t>
        </is>
      </c>
      <c r="G1309" s="48" t="inlineStr">
        <is>
          <t>higher</t>
        </is>
      </c>
      <c r="H1309" s="48" t="n">
        <v>3</v>
      </c>
      <c r="I1309" s="48" t="inlineStr">
        <is>
          <t>Incremento dei posti offerti nelle fasce di punta</t>
        </is>
      </c>
      <c r="J1309" s="73" t="n"/>
      <c r="K1309" s="73" t="n"/>
      <c r="L1309" s="73" t="n"/>
      <c r="M1309" s="73" t="n"/>
      <c r="N1309" s="57">
        <f>IF($A1309="","",IFERROR(VALUE($J1309),0))</f>
        <v/>
      </c>
      <c r="O1309" s="57">
        <f>IF($A1309="",0,IF(OR($S1309&lt;&gt;1,COUNTA($J1309:$M1309)=0),0,IF(SUMPRODUCT(MAX(($C$5:$C$2484=$C1309)*($D$5:$D$2484=$D1309)*($S$5:$S$2484=1)*IFERROR($N$5:$N$2484*1,0)))&gt;0,ROUND($H1309*($N1309/SUMPRODUCT(MAX(($C$5:$C$2484=$C1309)*($D$5:$D$2484=$D1309)*($S$5:$S$2484=1)*IFERROR($N$5:$N$2484*1,0)))),4),0)))</f>
        <v/>
      </c>
      <c r="P1309" s="48" t="inlineStr">
        <is>
          <t>posti*km</t>
        </is>
      </c>
      <c r="Q1309" s="57">
        <f>IF($A1309="","",$A1309&amp;"|"&amp;$C1309)</f>
        <v/>
      </c>
      <c r="R1309" s="57">
        <f>IF($A1309="","",$A1309&amp;"|"&amp;$C1309&amp;"|"&amp;$D1309)</f>
        <v/>
      </c>
      <c r="S1309" s="57">
        <f>IF($A1309="","",IFERROR(INDEX(Offerte!$D$2:$D$81,MATCH($Q1309,Offerte!$L$2:$L$81,0)),0))</f>
        <v/>
      </c>
      <c r="T1309" s="57">
        <f>IF($A1309="","",IFERROR(INDEX(Offerte!$G$2:$G$81,MATCH($Q1309,Offerte!$L$2:$L$81,0)),"NO"))</f>
        <v/>
      </c>
    </row>
    <row r="1310">
      <c r="A1310" s="48">
        <f>IF(Offerte!$A44="","",Offerte!$A44)</f>
        <v/>
      </c>
      <c r="B1310" s="48">
        <f>IF(Offerte!$A44="","",Offerte!$B44)</f>
        <v/>
      </c>
      <c r="C1310" s="48">
        <f>IF(Offerte!$A44="","",Offerte!$C44)</f>
        <v/>
      </c>
      <c r="D1310" s="48" t="inlineStr">
        <is>
          <t>B.2.1</t>
        </is>
      </c>
      <c r="E1310" s="48" t="inlineStr">
        <is>
          <t>B</t>
        </is>
      </c>
      <c r="F1310" s="48" t="inlineStr">
        <is>
          <t>Q</t>
        </is>
      </c>
      <c r="G1310" s="48" t="inlineStr">
        <is>
          <t>higher</t>
        </is>
      </c>
      <c r="H1310" s="48" t="n">
        <v>4</v>
      </c>
      <c r="I1310" s="48" t="inlineStr">
        <is>
          <t>Corse aggiuntive nell'arco giornaliero base</t>
        </is>
      </c>
      <c r="J1310" s="73" t="n"/>
      <c r="K1310" s="73" t="n"/>
      <c r="L1310" s="73" t="n"/>
      <c r="M1310" s="73" t="n"/>
      <c r="N1310" s="57">
        <f>IF($A1310="","",IFERROR(VALUE($J1310),0))</f>
        <v/>
      </c>
      <c r="O1310" s="57">
        <f>IF($A1310="",0,IF(OR($S1310&lt;&gt;1,COUNTA($J1310:$M1310)=0),0,IF(SUMPRODUCT(MAX(($C$5:$C$2484=$C1310)*($D$5:$D$2484=$D1310)*($S$5:$S$2484=1)*IFERROR($N$5:$N$2484*1,0)))&gt;0,ROUND($H1310*($N1310/SUMPRODUCT(MAX(($C$5:$C$2484=$C1310)*($D$5:$D$2484=$D1310)*($S$5:$S$2484=1)*IFERROR($N$5:$N$2484*1,0)))),4),0)))</f>
        <v/>
      </c>
      <c r="P1310" s="48" t="inlineStr">
        <is>
          <t>corse</t>
        </is>
      </c>
      <c r="Q1310" s="57">
        <f>IF($A1310="","",$A1310&amp;"|"&amp;$C1310)</f>
        <v/>
      </c>
      <c r="R1310" s="57">
        <f>IF($A1310="","",$A1310&amp;"|"&amp;$C1310&amp;"|"&amp;$D1310)</f>
        <v/>
      </c>
      <c r="S1310" s="57">
        <f>IF($A1310="","",IFERROR(INDEX(Offerte!$D$2:$D$81,MATCH($Q1310,Offerte!$L$2:$L$81,0)),0))</f>
        <v/>
      </c>
      <c r="T1310" s="57">
        <f>IF($A1310="","",IFERROR(INDEX(Offerte!$G$2:$G$81,MATCH($Q1310,Offerte!$L$2:$L$81,0)),"NO"))</f>
        <v/>
      </c>
    </row>
    <row r="1311">
      <c r="A1311" s="48">
        <f>IF(Offerte!$A44="","",Offerte!$A44)</f>
        <v/>
      </c>
      <c r="B1311" s="48">
        <f>IF(Offerte!$A44="","",Offerte!$B44)</f>
        <v/>
      </c>
      <c r="C1311" s="48">
        <f>IF(Offerte!$A44="","",Offerte!$C44)</f>
        <v/>
      </c>
      <c r="D1311" s="48" t="inlineStr">
        <is>
          <t>B.3.1</t>
        </is>
      </c>
      <c r="E1311" s="48" t="inlineStr">
        <is>
          <t>B</t>
        </is>
      </c>
      <c r="F1311" s="48" t="inlineStr">
        <is>
          <t>Q</t>
        </is>
      </c>
      <c r="G1311" s="48" t="inlineStr">
        <is>
          <t>higher</t>
        </is>
      </c>
      <c r="H1311" s="48" t="n">
        <v>2</v>
      </c>
      <c r="I1311" s="48" t="inlineStr">
        <is>
          <t>Numero di corse aggiuntive per allungamento dell'arco di servizio giornaliero nelle fasce serali</t>
        </is>
      </c>
      <c r="J1311" s="73" t="n"/>
      <c r="K1311" s="73" t="n"/>
      <c r="L1311" s="73" t="n"/>
      <c r="M1311" s="73" t="n"/>
      <c r="N1311" s="57">
        <f>IF($A1311="","",IFERROR(VALUE($J1311),0))</f>
        <v/>
      </c>
      <c r="O1311" s="57">
        <f>IF($A1311="",0,IF(OR($S1311&lt;&gt;1,COUNTA($J1311:$M1311)=0),0,IF(SUMPRODUCT(MAX(($C$5:$C$2484=$C1311)*($D$5:$D$2484=$D1311)*($S$5:$S$2484=1)*IFERROR($N$5:$N$2484*1,0)))&gt;0,ROUND($H1311*($N1311/SUMPRODUCT(MAX(($C$5:$C$2484=$C1311)*($D$5:$D$2484=$D1311)*($S$5:$S$2484=1)*IFERROR($N$5:$N$2484*1,0)))),4),0)))</f>
        <v/>
      </c>
      <c r="P1311" s="48" t="inlineStr">
        <is>
          <t>corse</t>
        </is>
      </c>
      <c r="Q1311" s="57">
        <f>IF($A1311="","",$A1311&amp;"|"&amp;$C1311)</f>
        <v/>
      </c>
      <c r="R1311" s="57">
        <f>IF($A1311="","",$A1311&amp;"|"&amp;$C1311&amp;"|"&amp;$D1311)</f>
        <v/>
      </c>
      <c r="S1311" s="57">
        <f>IF($A1311="","",IFERROR(INDEX(Offerte!$D$2:$D$81,MATCH($Q1311,Offerte!$L$2:$L$81,0)),0))</f>
        <v/>
      </c>
      <c r="T1311" s="57">
        <f>IF($A1311="","",IFERROR(INDEX(Offerte!$G$2:$G$81,MATCH($Q1311,Offerte!$L$2:$L$81,0)),"NO"))</f>
        <v/>
      </c>
    </row>
    <row r="1312">
      <c r="A1312" s="48">
        <f>IF(Offerte!$A44="","",Offerte!$A44)</f>
        <v/>
      </c>
      <c r="B1312" s="48">
        <f>IF(Offerte!$A44="","",Offerte!$B44)</f>
        <v/>
      </c>
      <c r="C1312" s="48">
        <f>IF(Offerte!$A44="","",Offerte!$C44)</f>
        <v/>
      </c>
      <c r="D1312" s="48" t="inlineStr">
        <is>
          <t>B.4.1</t>
        </is>
      </c>
      <c r="E1312" s="48" t="inlineStr">
        <is>
          <t>B</t>
        </is>
      </c>
      <c r="F1312" s="48" t="inlineStr">
        <is>
          <t>Q</t>
        </is>
      </c>
      <c r="G1312" s="48" t="inlineStr">
        <is>
          <t>higher</t>
        </is>
      </c>
      <c r="H1312" s="48" t="n">
        <v>3</v>
      </c>
      <c r="I1312" s="48" t="inlineStr">
        <is>
          <t>Percorrenze aggiuntive offerte nel Programma d'esercizio delle prime due fasi attuative</t>
        </is>
      </c>
      <c r="J1312" s="73" t="n"/>
      <c r="K1312" s="73" t="n"/>
      <c r="L1312" s="73" t="n"/>
      <c r="M1312" s="73" t="n"/>
      <c r="N1312" s="57">
        <f>IF($A1312="","",IFERROR(VALUE($J1312),0))</f>
        <v/>
      </c>
      <c r="O1312" s="57">
        <f>IF($A1312="",0,IF(OR($S1312&lt;&gt;1,COUNTA($J1312:$M1312)=0),0,IF(SUMPRODUCT(MAX(($C$5:$C$2484=$C1312)*($D$5:$D$2484=$D1312)*($S$5:$S$2484=1)*IFERROR($N$5:$N$2484*1,0)))&gt;0,ROUND($H1312*($N1312/SUMPRODUCT(MAX(($C$5:$C$2484=$C1312)*($D$5:$D$2484=$D1312)*($S$5:$S$2484=1)*IFERROR($N$5:$N$2484*1,0)))),4),0)))</f>
        <v/>
      </c>
      <c r="P1312" s="48" t="inlineStr">
        <is>
          <t>vett*km</t>
        </is>
      </c>
      <c r="Q1312" s="57">
        <f>IF($A1312="","",$A1312&amp;"|"&amp;$C1312)</f>
        <v/>
      </c>
      <c r="R1312" s="57">
        <f>IF($A1312="","",$A1312&amp;"|"&amp;$C1312&amp;"|"&amp;$D1312)</f>
        <v/>
      </c>
      <c r="S1312" s="57">
        <f>IF($A1312="","",IFERROR(INDEX(Offerte!$D$2:$D$81,MATCH($Q1312,Offerte!$L$2:$L$81,0)),0))</f>
        <v/>
      </c>
      <c r="T1312" s="57">
        <f>IF($A1312="","",IFERROR(INDEX(Offerte!$G$2:$G$81,MATCH($Q1312,Offerte!$L$2:$L$81,0)),"NO"))</f>
        <v/>
      </c>
    </row>
    <row r="1313">
      <c r="A1313" s="48">
        <f>IF(Offerte!$A44="","",Offerte!$A44)</f>
        <v/>
      </c>
      <c r="B1313" s="48">
        <f>IF(Offerte!$A44="","",Offerte!$B44)</f>
        <v/>
      </c>
      <c r="C1313" s="48">
        <f>IF(Offerte!$A44="","",Offerte!$C44)</f>
        <v/>
      </c>
      <c r="D1313" s="48" t="inlineStr">
        <is>
          <t>B.5.1</t>
        </is>
      </c>
      <c r="E1313" s="48" t="inlineStr">
        <is>
          <t>B</t>
        </is>
      </c>
      <c r="F1313" s="48" t="inlineStr">
        <is>
          <t>D</t>
        </is>
      </c>
      <c r="G1313" s="48" t="inlineStr">
        <is>
          <t>discretionary</t>
        </is>
      </c>
      <c r="H1313" s="48" t="n">
        <v>2</v>
      </c>
      <c r="I1313" s="48" t="inlineStr">
        <is>
          <t>Efficacia del progetto di servizi complementari DRT</t>
        </is>
      </c>
      <c r="J1313" s="73" t="n"/>
      <c r="K1313" s="73" t="n"/>
      <c r="L1313" s="73" t="n"/>
      <c r="M1313" s="73" t="n"/>
      <c r="N1313" s="57">
        <f>IF($A1313="","",MAX(0,MIN(1,IFERROR(VALUE($M1313),0))))</f>
        <v/>
      </c>
      <c r="O1313" s="57">
        <f>IF($A1313="",0,IF(OR($S1313&lt;&gt;1,COUNTA($J1313:$M1313)=0),0,IF(SUMPRODUCT(MAX(($C$5:$C$2484=$C1313)*($D$5:$D$2484=$D1313)*($S$5:$S$2484=1)*IFERROR($N$5:$N$2484*1,0)))&gt;0,ROUND($H1313*($N1313/SUMPRODUCT(MAX(($C$5:$C$2484=$C1313)*($D$5:$D$2484=$D1313)*($S$5:$S$2484=1)*IFERROR($N$5:$N$2484*1,0)))),4),0)))</f>
        <v/>
      </c>
      <c r="P1313" s="48" t="inlineStr">
        <is>
          <t>coeff.</t>
        </is>
      </c>
      <c r="Q1313" s="57">
        <f>IF($A1313="","",$A1313&amp;"|"&amp;$C1313)</f>
        <v/>
      </c>
      <c r="R1313" s="57">
        <f>IF($A1313="","",$A1313&amp;"|"&amp;$C1313&amp;"|"&amp;$D1313)</f>
        <v/>
      </c>
      <c r="S1313" s="57">
        <f>IF($A1313="","",IFERROR(INDEX(Offerte!$D$2:$D$81,MATCH($Q1313,Offerte!$L$2:$L$81,0)),0))</f>
        <v/>
      </c>
      <c r="T1313" s="57">
        <f>IF($A1313="","",IFERROR(INDEX(Offerte!$G$2:$G$81,MATCH($Q1313,Offerte!$L$2:$L$81,0)),"NO"))</f>
        <v/>
      </c>
    </row>
    <row r="1314">
      <c r="A1314" s="48">
        <f>IF(Offerte!$A44="","",Offerte!$A44)</f>
        <v/>
      </c>
      <c r="B1314" s="48">
        <f>IF(Offerte!$A44="","",Offerte!$B44)</f>
        <v/>
      </c>
      <c r="C1314" s="48">
        <f>IF(Offerte!$A44="","",Offerte!$C44)</f>
        <v/>
      </c>
      <c r="D1314" s="48" t="inlineStr">
        <is>
          <t>C.1.1</t>
        </is>
      </c>
      <c r="E1314" s="48" t="inlineStr">
        <is>
          <t>C</t>
        </is>
      </c>
      <c r="F1314" s="48" t="inlineStr">
        <is>
          <t>Q</t>
        </is>
      </c>
      <c r="G1314" s="48" t="inlineStr">
        <is>
          <t>higher</t>
        </is>
      </c>
      <c r="H1314" s="48" t="n">
        <v>2</v>
      </c>
      <c r="I1314" s="48" t="inlineStr">
        <is>
          <t>Tasso di copertura del servizio con telecamere BSD</t>
        </is>
      </c>
      <c r="J1314" s="73" t="n"/>
      <c r="K1314" s="73" t="n"/>
      <c r="L1314" s="73" t="n"/>
      <c r="M1314" s="73" t="n"/>
      <c r="N1314" s="57">
        <f>IF($A1314="","",IFERROR(VALUE($K1314)/VALUE($L1314),IFERROR(VALUE($J1314),0)))</f>
        <v/>
      </c>
      <c r="O1314" s="57">
        <f>IF($A1314="",0,IF(OR($S1314&lt;&gt;1,COUNTA($J1314:$M1314)=0),0,IF(SUMPRODUCT(MAX(($C$5:$C$2484=$C1314)*($D$5:$D$2484=$D1314)*($S$5:$S$2484=1)*IFERROR($N$5:$N$2484*1,0)))&gt;0,ROUND($H1314*($N1314/SUMPRODUCT(MAX(($C$5:$C$2484=$C1314)*($D$5:$D$2484=$D1314)*($S$5:$S$2484=1)*IFERROR($N$5:$N$2484*1,0)))),4),0)))</f>
        <v/>
      </c>
      <c r="P1314" s="48" t="inlineStr">
        <is>
          <t>Autobus attrezzati con telecamere BSD / Autobus totali in offerta, incluse scorte</t>
        </is>
      </c>
      <c r="Q1314" s="57">
        <f>IF($A1314="","",$A1314&amp;"|"&amp;$C1314)</f>
        <v/>
      </c>
      <c r="R1314" s="57">
        <f>IF($A1314="","",$A1314&amp;"|"&amp;$C1314&amp;"|"&amp;$D1314)</f>
        <v/>
      </c>
      <c r="S1314" s="57">
        <f>IF($A1314="","",IFERROR(INDEX(Offerte!$D$2:$D$81,MATCH($Q1314,Offerte!$L$2:$L$81,0)),0))</f>
        <v/>
      </c>
      <c r="T1314" s="57">
        <f>IF($A1314="","",IFERROR(INDEX(Offerte!$G$2:$G$81,MATCH($Q1314,Offerte!$L$2:$L$81,0)),"NO"))</f>
        <v/>
      </c>
    </row>
    <row r="1315">
      <c r="A1315" s="48">
        <f>IF(Offerte!$A44="","",Offerte!$A44)</f>
        <v/>
      </c>
      <c r="B1315" s="48">
        <f>IF(Offerte!$A44="","",Offerte!$B44)</f>
        <v/>
      </c>
      <c r="C1315" s="48">
        <f>IF(Offerte!$A44="","",Offerte!$C44)</f>
        <v/>
      </c>
      <c r="D1315" s="48" t="inlineStr">
        <is>
          <t>C.1.2</t>
        </is>
      </c>
      <c r="E1315" s="48" t="inlineStr">
        <is>
          <t>C</t>
        </is>
      </c>
      <c r="F1315" s="48" t="inlineStr">
        <is>
          <t>Q</t>
        </is>
      </c>
      <c r="G1315" s="48" t="inlineStr">
        <is>
          <t>higher</t>
        </is>
      </c>
      <c r="H1315" s="48" t="n">
        <v>2</v>
      </c>
      <c r="I1315" s="48" t="inlineStr">
        <is>
          <t>Tasso di copertura del servizio con telecamere ADAS</t>
        </is>
      </c>
      <c r="J1315" s="73" t="n"/>
      <c r="K1315" s="73" t="n"/>
      <c r="L1315" s="73" t="n"/>
      <c r="M1315" s="73" t="n"/>
      <c r="N1315" s="57">
        <f>IF($A1315="","",IFERROR(VALUE($K1315)/VALUE($L1315),IFERROR(VALUE($J1315),0)))</f>
        <v/>
      </c>
      <c r="O1315" s="57">
        <f>IF($A1315="",0,IF(OR($S1315&lt;&gt;1,COUNTA($J1315:$M1315)=0),0,IF(SUMPRODUCT(MAX(($C$5:$C$2484=$C1315)*($D$5:$D$2484=$D1315)*($S$5:$S$2484=1)*IFERROR($N$5:$N$2484*1,0)))&gt;0,ROUND($H1315*($N1315/SUMPRODUCT(MAX(($C$5:$C$2484=$C1315)*($D$5:$D$2484=$D1315)*($S$5:$S$2484=1)*IFERROR($N$5:$N$2484*1,0)))),4),0)))</f>
        <v/>
      </c>
      <c r="P1315" s="48" t="inlineStr">
        <is>
          <t>Autobus attrezzati con telecamere ADAS / Autobus totali in offerta, incluse scorte</t>
        </is>
      </c>
      <c r="Q1315" s="57">
        <f>IF($A1315="","",$A1315&amp;"|"&amp;$C1315)</f>
        <v/>
      </c>
      <c r="R1315" s="57">
        <f>IF($A1315="","",$A1315&amp;"|"&amp;$C1315&amp;"|"&amp;$D1315)</f>
        <v/>
      </c>
      <c r="S1315" s="57">
        <f>IF($A1315="","",IFERROR(INDEX(Offerte!$D$2:$D$81,MATCH($Q1315,Offerte!$L$2:$L$81,0)),0))</f>
        <v/>
      </c>
      <c r="T1315" s="57">
        <f>IF($A1315="","",IFERROR(INDEX(Offerte!$G$2:$G$81,MATCH($Q1315,Offerte!$L$2:$L$81,0)),"NO"))</f>
        <v/>
      </c>
    </row>
    <row r="1316">
      <c r="A1316" s="48">
        <f>IF(Offerte!$A44="","",Offerte!$A44)</f>
        <v/>
      </c>
      <c r="B1316" s="48">
        <f>IF(Offerte!$A44="","",Offerte!$B44)</f>
        <v/>
      </c>
      <c r="C1316" s="48">
        <f>IF(Offerte!$A44="","",Offerte!$C44)</f>
        <v/>
      </c>
      <c r="D1316" s="48" t="inlineStr">
        <is>
          <t>C.2.1</t>
        </is>
      </c>
      <c r="E1316" s="48" t="inlineStr">
        <is>
          <t>C</t>
        </is>
      </c>
      <c r="F1316" s="48" t="inlineStr">
        <is>
          <t>Q</t>
        </is>
      </c>
      <c r="G1316" s="48" t="inlineStr">
        <is>
          <t>higher</t>
        </is>
      </c>
      <c r="H1316" s="48" t="n">
        <v>3</v>
      </c>
      <c r="I1316" s="48" t="inlineStr">
        <is>
          <t>Tasso di copertura del servizio con telecamere di bordo di videosorveglianza</t>
        </is>
      </c>
      <c r="J1316" s="73" t="n"/>
      <c r="K1316" s="73" t="n"/>
      <c r="L1316" s="73" t="n"/>
      <c r="M1316" s="73" t="n"/>
      <c r="N1316" s="57">
        <f>IF($A1316="","",IFERROR(VALUE($K1316)/VALUE($L1316),IFERROR(VALUE($J1316),0)))</f>
        <v/>
      </c>
      <c r="O1316" s="57">
        <f>IF($A1316="",0,IF(OR($S1316&lt;&gt;1,COUNTA($J1316:$M1316)=0),0,IF(SUMPRODUCT(MAX(($C$5:$C$2484=$C1316)*($D$5:$D$2484=$D1316)*($S$5:$S$2484=1)*IFERROR($N$5:$N$2484*1,0)))&gt;0,ROUND($H1316*($N1316/SUMPRODUCT(MAX(($C$5:$C$2484=$C1316)*($D$5:$D$2484=$D1316)*($S$5:$S$2484=1)*IFERROR($N$5:$N$2484*1,0)))),4),0)))</f>
        <v/>
      </c>
      <c r="P1316" s="48" t="inlineStr">
        <is>
          <t>Autobus attrezzati con videosorveglianza / Autobus totali in offerta, incluse scorte</t>
        </is>
      </c>
      <c r="Q1316" s="57">
        <f>IF($A1316="","",$A1316&amp;"|"&amp;$C1316)</f>
        <v/>
      </c>
      <c r="R1316" s="57">
        <f>IF($A1316="","",$A1316&amp;"|"&amp;$C1316&amp;"|"&amp;$D1316)</f>
        <v/>
      </c>
      <c r="S1316" s="57">
        <f>IF($A1316="","",IFERROR(INDEX(Offerte!$D$2:$D$81,MATCH($Q1316,Offerte!$L$2:$L$81,0)),0))</f>
        <v/>
      </c>
      <c r="T1316" s="57">
        <f>IF($A1316="","",IFERROR(INDEX(Offerte!$G$2:$G$81,MATCH($Q1316,Offerte!$L$2:$L$81,0)),"NO"))</f>
        <v/>
      </c>
    </row>
    <row r="1317">
      <c r="A1317" s="48">
        <f>IF(Offerte!$A44="","",Offerte!$A44)</f>
        <v/>
      </c>
      <c r="B1317" s="48">
        <f>IF(Offerte!$A44="","",Offerte!$B44)</f>
        <v/>
      </c>
      <c r="C1317" s="48">
        <f>IF(Offerte!$A44="","",Offerte!$C44)</f>
        <v/>
      </c>
      <c r="D1317" s="48" t="inlineStr">
        <is>
          <t>C.2.2</t>
        </is>
      </c>
      <c r="E1317" s="48" t="inlineStr">
        <is>
          <t>C</t>
        </is>
      </c>
      <c r="F1317" s="48" t="inlineStr">
        <is>
          <t>T</t>
        </is>
      </c>
      <c r="G1317" s="48" t="inlineStr">
        <is>
          <t>tabular</t>
        </is>
      </c>
      <c r="H1317" s="48" t="n">
        <v>1</v>
      </c>
      <c r="I1317" s="48" t="inlineStr">
        <is>
          <t>Software video/audio analisi per situazioni di pericolo</t>
        </is>
      </c>
      <c r="J1317" s="73" t="n"/>
      <c r="K1317" s="73" t="n"/>
      <c r="L1317" s="73" t="n"/>
      <c r="M1317" s="73" t="n"/>
      <c r="N1317" s="57">
        <f>IF($A1317="","",IF(IFERROR(VALUE($M1317),0)=1,1,0))</f>
        <v/>
      </c>
      <c r="O1317" s="57">
        <f>IF($A1317="",0,IF(OR($S1317&lt;&gt;1,COUNTA($J1317:$M1317)=0),0,IF($N1317=1,$H1317,0)))</f>
        <v/>
      </c>
      <c r="P1317" s="48" t="inlineStr">
        <is>
          <t>sì/no</t>
        </is>
      </c>
      <c r="Q1317" s="57">
        <f>IF($A1317="","",$A1317&amp;"|"&amp;$C1317)</f>
        <v/>
      </c>
      <c r="R1317" s="57">
        <f>IF($A1317="","",$A1317&amp;"|"&amp;$C1317&amp;"|"&amp;$D1317)</f>
        <v/>
      </c>
      <c r="S1317" s="57">
        <f>IF($A1317="","",IFERROR(INDEX(Offerte!$D$2:$D$81,MATCH($Q1317,Offerte!$L$2:$L$81,0)),0))</f>
        <v/>
      </c>
      <c r="T1317" s="57">
        <f>IF($A1317="","",IFERROR(INDEX(Offerte!$G$2:$G$81,MATCH($Q1317,Offerte!$L$2:$L$81,0)),"NO"))</f>
        <v/>
      </c>
    </row>
    <row r="1318">
      <c r="A1318" s="48">
        <f>IF(Offerte!$A44="","",Offerte!$A44)</f>
        <v/>
      </c>
      <c r="B1318" s="48">
        <f>IF(Offerte!$A44="","",Offerte!$B44)</f>
        <v/>
      </c>
      <c r="C1318" s="48">
        <f>IF(Offerte!$A44="","",Offerte!$C44)</f>
        <v/>
      </c>
      <c r="D1318" s="48" t="inlineStr">
        <is>
          <t>C.2.3</t>
        </is>
      </c>
      <c r="E1318" s="48" t="inlineStr">
        <is>
          <t>C</t>
        </is>
      </c>
      <c r="F1318" s="48" t="inlineStr">
        <is>
          <t>T</t>
        </is>
      </c>
      <c r="G1318" s="48" t="inlineStr">
        <is>
          <t>tabular</t>
        </is>
      </c>
      <c r="H1318" s="48" t="n">
        <v>1</v>
      </c>
      <c r="I1318" s="48" t="inlineStr">
        <is>
          <t>Collegamento con centrale qualificata di pronto intervento</t>
        </is>
      </c>
      <c r="J1318" s="73" t="n"/>
      <c r="K1318" s="73" t="n"/>
      <c r="L1318" s="73" t="n"/>
      <c r="M1318" s="73" t="n"/>
      <c r="N1318" s="57">
        <f>IF($A1318="","",IF(IFERROR(VALUE($M1318),0)=1,1,0))</f>
        <v/>
      </c>
      <c r="O1318" s="57">
        <f>IF($A1318="",0,IF(OR($S1318&lt;&gt;1,COUNTA($J1318:$M1318)=0),0,IF($N1318=1,$H1318,0)))</f>
        <v/>
      </c>
      <c r="P1318" s="48" t="inlineStr">
        <is>
          <t>sì/no</t>
        </is>
      </c>
      <c r="Q1318" s="57">
        <f>IF($A1318="","",$A1318&amp;"|"&amp;$C1318)</f>
        <v/>
      </c>
      <c r="R1318" s="57">
        <f>IF($A1318="","",$A1318&amp;"|"&amp;$C1318&amp;"|"&amp;$D1318)</f>
        <v/>
      </c>
      <c r="S1318" s="57">
        <f>IF($A1318="","",IFERROR(INDEX(Offerte!$D$2:$D$81,MATCH($Q1318,Offerte!$L$2:$L$81,0)),0))</f>
        <v/>
      </c>
      <c r="T1318" s="57">
        <f>IF($A1318="","",IFERROR(INDEX(Offerte!$G$2:$G$81,MATCH($Q1318,Offerte!$L$2:$L$81,0)),"NO"))</f>
        <v/>
      </c>
    </row>
    <row r="1319">
      <c r="A1319" s="48">
        <f>IF(Offerte!$A44="","",Offerte!$A44)</f>
        <v/>
      </c>
      <c r="B1319" s="48">
        <f>IF(Offerte!$A44="","",Offerte!$B44)</f>
        <v/>
      </c>
      <c r="C1319" s="48">
        <f>IF(Offerte!$A44="","",Offerte!$C44)</f>
        <v/>
      </c>
      <c r="D1319" s="48" t="inlineStr">
        <is>
          <t>C.2.4</t>
        </is>
      </c>
      <c r="E1319" s="48" t="inlineStr">
        <is>
          <t>C</t>
        </is>
      </c>
      <c r="F1319" s="48" t="inlineStr">
        <is>
          <t>Q</t>
        </is>
      </c>
      <c r="G1319" s="48" t="inlineStr">
        <is>
          <t>higher</t>
        </is>
      </c>
      <c r="H1319" s="48" t="n">
        <v>1</v>
      </c>
      <c r="I1319" s="48" t="inlineStr">
        <is>
          <t>Tasso di copertura del servizio con dispositivi per la chiamata di emergenza del conducente</t>
        </is>
      </c>
      <c r="J1319" s="73" t="n"/>
      <c r="K1319" s="73" t="n"/>
      <c r="L1319" s="73" t="n"/>
      <c r="M1319" s="73" t="n"/>
      <c r="N1319" s="57">
        <f>IF($A1319="","",IFERROR(VALUE($K1319)/VALUE($L1319),IFERROR(VALUE($J1319),0)))</f>
        <v/>
      </c>
      <c r="O1319" s="57">
        <f>IF($A1319="",0,IF(OR($S1319&lt;&gt;1,COUNTA($J1319:$M1319)=0),0,IF(SUMPRODUCT(MAX(($C$5:$C$2484=$C1319)*($D$5:$D$2484=$D1319)*($S$5:$S$2484=1)*IFERROR($N$5:$N$2484*1,0)))&gt;0,ROUND($H1319*($N1319/SUMPRODUCT(MAX(($C$5:$C$2484=$C1319)*($D$5:$D$2484=$D1319)*($S$5:$S$2484=1)*IFERROR($N$5:$N$2484*1,0)))),4),0)))</f>
        <v/>
      </c>
      <c r="P1319" s="48" t="inlineStr">
        <is>
          <t>Autobus attrezzati con chiamata di emergenza / Autobus totali in offerta, incluse scorte</t>
        </is>
      </c>
      <c r="Q1319" s="57">
        <f>IF($A1319="","",$A1319&amp;"|"&amp;$C1319)</f>
        <v/>
      </c>
      <c r="R1319" s="57">
        <f>IF($A1319="","",$A1319&amp;"|"&amp;$C1319&amp;"|"&amp;$D1319)</f>
        <v/>
      </c>
      <c r="S1319" s="57">
        <f>IF($A1319="","",IFERROR(INDEX(Offerte!$D$2:$D$81,MATCH($Q1319,Offerte!$L$2:$L$81,0)),0))</f>
        <v/>
      </c>
      <c r="T1319" s="57">
        <f>IF($A1319="","",IFERROR(INDEX(Offerte!$G$2:$G$81,MATCH($Q1319,Offerte!$L$2:$L$81,0)),"NO"))</f>
        <v/>
      </c>
    </row>
    <row r="1320">
      <c r="A1320" s="48">
        <f>IF(Offerte!$A44="","",Offerte!$A44)</f>
        <v/>
      </c>
      <c r="B1320" s="48">
        <f>IF(Offerte!$A44="","",Offerte!$B44)</f>
        <v/>
      </c>
      <c r="C1320" s="48">
        <f>IF(Offerte!$A44="","",Offerte!$C44)</f>
        <v/>
      </c>
      <c r="D1320" s="48" t="inlineStr">
        <is>
          <t>C.3.1</t>
        </is>
      </c>
      <c r="E1320" s="48" t="inlineStr">
        <is>
          <t>C</t>
        </is>
      </c>
      <c r="F1320" s="48" t="inlineStr">
        <is>
          <t>Q</t>
        </is>
      </c>
      <c r="G1320" s="48" t="inlineStr">
        <is>
          <t>higher</t>
        </is>
      </c>
      <c r="H1320" s="48" t="n">
        <v>2</v>
      </c>
      <c r="I1320" s="48" t="inlineStr">
        <is>
          <t>Tasso di copertura del servizio con dispositivi di informazione dinamica a bordo mezzo</t>
        </is>
      </c>
      <c r="J1320" s="73" t="n"/>
      <c r="K1320" s="73" t="n"/>
      <c r="L1320" s="73" t="n"/>
      <c r="M1320" s="73" t="n"/>
      <c r="N1320" s="57">
        <f>IF($A1320="","",IFERROR(VALUE($K1320)/VALUE($L1320),IFERROR(VALUE($J1320),0)))</f>
        <v/>
      </c>
      <c r="O1320" s="57">
        <f>IF($A1320="",0,IF(OR($S1320&lt;&gt;1,COUNTA($J1320:$M1320)=0),0,IF(SUMPRODUCT(MAX(($C$5:$C$2484=$C1320)*($D$5:$D$2484=$D1320)*($S$5:$S$2484=1)*IFERROR($N$5:$N$2484*1,0)))&gt;0,ROUND($H1320*($N1320/SUMPRODUCT(MAX(($C$5:$C$2484=$C1320)*($D$5:$D$2484=$D1320)*($S$5:$S$2484=1)*IFERROR($N$5:$N$2484*1,0)))),4),0)))</f>
        <v/>
      </c>
      <c r="P1320" s="48" t="inlineStr">
        <is>
          <t>Autobus con monitor e indicatori vocali / Autobus totali in offerta, incluse scorte</t>
        </is>
      </c>
      <c r="Q1320" s="57">
        <f>IF($A1320="","",$A1320&amp;"|"&amp;$C1320)</f>
        <v/>
      </c>
      <c r="R1320" s="57">
        <f>IF($A1320="","",$A1320&amp;"|"&amp;$C1320&amp;"|"&amp;$D1320)</f>
        <v/>
      </c>
      <c r="S1320" s="57">
        <f>IF($A1320="","",IFERROR(INDEX(Offerte!$D$2:$D$81,MATCH($Q1320,Offerte!$L$2:$L$81,0)),0))</f>
        <v/>
      </c>
      <c r="T1320" s="57">
        <f>IF($A1320="","",IFERROR(INDEX(Offerte!$G$2:$G$81,MATCH($Q1320,Offerte!$L$2:$L$81,0)),"NO"))</f>
        <v/>
      </c>
    </row>
    <row r="1321">
      <c r="A1321" s="48">
        <f>IF(Offerte!$A44="","",Offerte!$A44)</f>
        <v/>
      </c>
      <c r="B1321" s="48">
        <f>IF(Offerte!$A44="","",Offerte!$B44)</f>
        <v/>
      </c>
      <c r="C1321" s="48">
        <f>IF(Offerte!$A44="","",Offerte!$C44)</f>
        <v/>
      </c>
      <c r="D1321" s="48" t="inlineStr">
        <is>
          <t>C.3.2</t>
        </is>
      </c>
      <c r="E1321" s="48" t="inlineStr">
        <is>
          <t>C</t>
        </is>
      </c>
      <c r="F1321" s="48" t="inlineStr">
        <is>
          <t>T</t>
        </is>
      </c>
      <c r="G1321" s="48" t="inlineStr">
        <is>
          <t>tabular</t>
        </is>
      </c>
      <c r="H1321" s="48" t="n">
        <v>2</v>
      </c>
      <c r="I1321" s="48" t="inlineStr">
        <is>
          <t>Informazioni a bordo su coincidenze ai nodi</t>
        </is>
      </c>
      <c r="J1321" s="73" t="n"/>
      <c r="K1321" s="73" t="n"/>
      <c r="L1321" s="73" t="n"/>
      <c r="M1321" s="73" t="n"/>
      <c r="N1321" s="57">
        <f>IF($A1321="","",IF(IFERROR(VALUE($M1321),0)=1,1,0))</f>
        <v/>
      </c>
      <c r="O1321" s="57">
        <f>IF($A1321="",0,IF(OR($S1321&lt;&gt;1,COUNTA($J1321:$M1321)=0),0,IF(AND($N1321=1,IFERROR(SUMIFS($N$5:$N$2484,$Q$5:$Q$2484,$Q1321,$D$5:$D$2484,"C.3.1"),0)&gt;=0.5),$H1321,0)))</f>
        <v/>
      </c>
      <c r="P1321" s="48" t="inlineStr">
        <is>
          <t>Dipende da C.3.1 &gt;= 0.5</t>
        </is>
      </c>
      <c r="Q1321" s="57">
        <f>IF($A1321="","",$A1321&amp;"|"&amp;$C1321)</f>
        <v/>
      </c>
      <c r="R1321" s="57">
        <f>IF($A1321="","",$A1321&amp;"|"&amp;$C1321&amp;"|"&amp;$D1321)</f>
        <v/>
      </c>
      <c r="S1321" s="57">
        <f>IF($A1321="","",IFERROR(INDEX(Offerte!$D$2:$D$81,MATCH($Q1321,Offerte!$L$2:$L$81,0)),0))</f>
        <v/>
      </c>
      <c r="T1321" s="57">
        <f>IF($A1321="","",IFERROR(INDEX(Offerte!$G$2:$G$81,MATCH($Q1321,Offerte!$L$2:$L$81,0)),"NO"))</f>
        <v/>
      </c>
    </row>
    <row r="1322">
      <c r="A1322" s="48">
        <f>IF(Offerte!$A44="","",Offerte!$A44)</f>
        <v/>
      </c>
      <c r="B1322" s="48">
        <f>IF(Offerte!$A44="","",Offerte!$B44)</f>
        <v/>
      </c>
      <c r="C1322" s="48">
        <f>IF(Offerte!$A44="","",Offerte!$C44)</f>
        <v/>
      </c>
      <c r="D1322" s="48" t="inlineStr">
        <is>
          <t>D.1.1</t>
        </is>
      </c>
      <c r="E1322" s="48" t="inlineStr">
        <is>
          <t>D</t>
        </is>
      </c>
      <c r="F1322" s="48" t="inlineStr">
        <is>
          <t>Q</t>
        </is>
      </c>
      <c r="G1322" s="48" t="inlineStr">
        <is>
          <t>higher</t>
        </is>
      </c>
      <c r="H1322" s="48" t="n">
        <v>3</v>
      </c>
      <c r="I1322" s="48" t="inlineStr">
        <is>
          <t>Installazione di pensiline</t>
        </is>
      </c>
      <c r="J1322" s="73" t="n"/>
      <c r="K1322" s="73" t="n"/>
      <c r="L1322" s="73" t="n"/>
      <c r="M1322" s="73" t="n"/>
      <c r="N1322" s="57">
        <f>IF($A1322="","",IFERROR(VALUE($J1322),0))</f>
        <v/>
      </c>
      <c r="O1322" s="57">
        <f>IF($A1322="",0,IF(OR($S1322&lt;&gt;1,COUNTA($J1322:$M1322)=0),0,IF(SUMPRODUCT(MAX(($C$5:$C$2484=$C1322)*($D$5:$D$2484=$D1322)*($S$5:$S$2484=1)*IFERROR($N$5:$N$2484*1,0)))&gt;0,ROUND($H1322*($N1322/SUMPRODUCT(MAX(($C$5:$C$2484=$C1322)*($D$5:$D$2484=$D1322)*($S$5:$S$2484=1)*IFERROR($N$5:$N$2484*1,0)))),4),0)))</f>
        <v/>
      </c>
      <c r="P1322" s="48" t="inlineStr">
        <is>
          <t>fermate</t>
        </is>
      </c>
      <c r="Q1322" s="57">
        <f>IF($A1322="","",$A1322&amp;"|"&amp;$C1322)</f>
        <v/>
      </c>
      <c r="R1322" s="57">
        <f>IF($A1322="","",$A1322&amp;"|"&amp;$C1322&amp;"|"&amp;$D1322)</f>
        <v/>
      </c>
      <c r="S1322" s="57">
        <f>IF($A1322="","",IFERROR(INDEX(Offerte!$D$2:$D$81,MATCH($Q1322,Offerte!$L$2:$L$81,0)),0))</f>
        <v/>
      </c>
      <c r="T1322" s="57">
        <f>IF($A1322="","",IFERROR(INDEX(Offerte!$G$2:$G$81,MATCH($Q1322,Offerte!$L$2:$L$81,0)),"NO"))</f>
        <v/>
      </c>
    </row>
    <row r="1323">
      <c r="A1323" s="48">
        <f>IF(Offerte!$A44="","",Offerte!$A44)</f>
        <v/>
      </c>
      <c r="B1323" s="48">
        <f>IF(Offerte!$A44="","",Offerte!$B44)</f>
        <v/>
      </c>
      <c r="C1323" s="48">
        <f>IF(Offerte!$A44="","",Offerte!$C44)</f>
        <v/>
      </c>
      <c r="D1323" s="48" t="inlineStr">
        <is>
          <t>D.1.2</t>
        </is>
      </c>
      <c r="E1323" s="48" t="inlineStr">
        <is>
          <t>D</t>
        </is>
      </c>
      <c r="F1323" s="48" t="inlineStr">
        <is>
          <t>Q</t>
        </is>
      </c>
      <c r="G1323" s="48" t="inlineStr">
        <is>
          <t>higher</t>
        </is>
      </c>
      <c r="H1323" s="48" t="n">
        <v>3</v>
      </c>
      <c r="I1323" s="48" t="inlineStr">
        <is>
          <t>Installazione di paline di fermata conformi alla DGR 581/2023</t>
        </is>
      </c>
      <c r="J1323" s="73" t="n"/>
      <c r="K1323" s="73" t="n"/>
      <c r="L1323" s="73" t="n"/>
      <c r="M1323" s="73" t="n"/>
      <c r="N1323" s="57">
        <f>IF($A1323="","",IFERROR(VALUE($J1323),0))</f>
        <v/>
      </c>
      <c r="O1323" s="57">
        <f>IF($A1323="",0,IF(OR($S1323&lt;&gt;1,COUNTA($J1323:$M1323)=0),0,IF(SUMPRODUCT(MAX(($C$5:$C$2484=$C1323)*($D$5:$D$2484=$D1323)*($S$5:$S$2484=1)*IFERROR($N$5:$N$2484*1,0)))&gt;0,ROUND($H1323*($N1323/SUMPRODUCT(MAX(($C$5:$C$2484=$C1323)*($D$5:$D$2484=$D1323)*($S$5:$S$2484=1)*IFERROR($N$5:$N$2484*1,0)))),4),0)))</f>
        <v/>
      </c>
      <c r="P1323" s="48" t="inlineStr">
        <is>
          <t>fermate</t>
        </is>
      </c>
      <c r="Q1323" s="57">
        <f>IF($A1323="","",$A1323&amp;"|"&amp;$C1323)</f>
        <v/>
      </c>
      <c r="R1323" s="57">
        <f>IF($A1323="","",$A1323&amp;"|"&amp;$C1323&amp;"|"&amp;$D1323)</f>
        <v/>
      </c>
      <c r="S1323" s="57">
        <f>IF($A1323="","",IFERROR(INDEX(Offerte!$D$2:$D$81,MATCH($Q1323,Offerte!$L$2:$L$81,0)),0))</f>
        <v/>
      </c>
      <c r="T1323" s="57">
        <f>IF($A1323="","",IFERROR(INDEX(Offerte!$G$2:$G$81,MATCH($Q1323,Offerte!$L$2:$L$81,0)),"NO"))</f>
        <v/>
      </c>
    </row>
    <row r="1324">
      <c r="A1324" s="48">
        <f>IF(Offerte!$A44="","",Offerte!$A44)</f>
        <v/>
      </c>
      <c r="B1324" s="48">
        <f>IF(Offerte!$A44="","",Offerte!$B44)</f>
        <v/>
      </c>
      <c r="C1324" s="48">
        <f>IF(Offerte!$A44="","",Offerte!$C44)</f>
        <v/>
      </c>
      <c r="D1324" s="48" t="inlineStr">
        <is>
          <t>D.1.3</t>
        </is>
      </c>
      <c r="E1324" s="48" t="inlineStr">
        <is>
          <t>D</t>
        </is>
      </c>
      <c r="F1324" s="48" t="inlineStr">
        <is>
          <t>Q</t>
        </is>
      </c>
      <c r="G1324" s="48" t="inlineStr">
        <is>
          <t>higher</t>
        </is>
      </c>
      <c r="H1324" s="48" t="n">
        <v>2</v>
      </c>
      <c r="I1324" s="48" t="inlineStr">
        <is>
          <t>Display informativi connessi alle fermate</t>
        </is>
      </c>
      <c r="J1324" s="73" t="n"/>
      <c r="K1324" s="73" t="n"/>
      <c r="L1324" s="73" t="n"/>
      <c r="M1324" s="73" t="n"/>
      <c r="N1324" s="57">
        <f>IF($A1324="","",IFERROR(VALUE($J1324),0))</f>
        <v/>
      </c>
      <c r="O1324" s="57">
        <f>IF($A1324="",0,IF(OR($S1324&lt;&gt;1,COUNTA($J1324:$M1324)=0),0,IF(SUMPRODUCT(MAX(($C$5:$C$2484=$C1324)*($D$5:$D$2484=$D1324)*($S$5:$S$2484=1)*IFERROR($N$5:$N$2484*1,0)))&gt;0,ROUND($H1324*($N1324/SUMPRODUCT(MAX(($C$5:$C$2484=$C1324)*($D$5:$D$2484=$D1324)*($S$5:$S$2484=1)*IFERROR($N$5:$N$2484*1,0)))),4),0)))</f>
        <v/>
      </c>
      <c r="P1324" s="48" t="inlineStr">
        <is>
          <t>fermate</t>
        </is>
      </c>
      <c r="Q1324" s="57">
        <f>IF($A1324="","",$A1324&amp;"|"&amp;$C1324)</f>
        <v/>
      </c>
      <c r="R1324" s="57">
        <f>IF($A1324="","",$A1324&amp;"|"&amp;$C1324&amp;"|"&amp;$D1324)</f>
        <v/>
      </c>
      <c r="S1324" s="57">
        <f>IF($A1324="","",IFERROR(INDEX(Offerte!$D$2:$D$81,MATCH($Q1324,Offerte!$L$2:$L$81,0)),0))</f>
        <v/>
      </c>
      <c r="T1324" s="57">
        <f>IF($A1324="","",IFERROR(INDEX(Offerte!$G$2:$G$81,MATCH($Q1324,Offerte!$L$2:$L$81,0)),"NO"))</f>
        <v/>
      </c>
    </row>
    <row r="1325">
      <c r="A1325" s="48">
        <f>IF(Offerte!$A44="","",Offerte!$A44)</f>
        <v/>
      </c>
      <c r="B1325" s="48">
        <f>IF(Offerte!$A44="","",Offerte!$B44)</f>
        <v/>
      </c>
      <c r="C1325" s="48">
        <f>IF(Offerte!$A44="","",Offerte!$C44)</f>
        <v/>
      </c>
      <c r="D1325" s="48" t="inlineStr">
        <is>
          <t>D.2.1</t>
        </is>
      </c>
      <c r="E1325" s="48" t="inlineStr">
        <is>
          <t>D</t>
        </is>
      </c>
      <c r="F1325" s="48" t="inlineStr">
        <is>
          <t>Q</t>
        </is>
      </c>
      <c r="G1325" s="48" t="inlineStr">
        <is>
          <t>higher</t>
        </is>
      </c>
      <c r="H1325" s="48" t="n">
        <v>2</v>
      </c>
      <c r="I1325" s="48" t="inlineStr">
        <is>
          <t>Segnali tattili Loges-Vet-Evolution</t>
        </is>
      </c>
      <c r="J1325" s="73" t="n"/>
      <c r="K1325" s="73" t="n"/>
      <c r="L1325" s="73" t="n"/>
      <c r="M1325" s="73" t="n"/>
      <c r="N1325" s="57">
        <f>IF($A1325="","",IFERROR(VALUE($J1325),0))</f>
        <v/>
      </c>
      <c r="O1325" s="57">
        <f>IF($A1325="",0,IF(OR($S1325&lt;&gt;1,COUNTA($J1325:$M1325)=0),0,IF(SUMPRODUCT(MAX(($C$5:$C$2484=$C1325)*($D$5:$D$2484=$D1325)*($S$5:$S$2484=1)*IFERROR($N$5:$N$2484*1,0)))&gt;0,ROUND($H1325*($N1325/SUMPRODUCT(MAX(($C$5:$C$2484=$C1325)*($D$5:$D$2484=$D1325)*($S$5:$S$2484=1)*IFERROR($N$5:$N$2484*1,0)))),4),0)))</f>
        <v/>
      </c>
      <c r="P1325" s="48" t="inlineStr">
        <is>
          <t>fermate</t>
        </is>
      </c>
      <c r="Q1325" s="57">
        <f>IF($A1325="","",$A1325&amp;"|"&amp;$C1325)</f>
        <v/>
      </c>
      <c r="R1325" s="57">
        <f>IF($A1325="","",$A1325&amp;"|"&amp;$C1325&amp;"|"&amp;$D1325)</f>
        <v/>
      </c>
      <c r="S1325" s="57">
        <f>IF($A1325="","",IFERROR(INDEX(Offerte!$D$2:$D$81,MATCH($Q1325,Offerte!$L$2:$L$81,0)),0))</f>
        <v/>
      </c>
      <c r="T1325" s="57">
        <f>IF($A1325="","",IFERROR(INDEX(Offerte!$G$2:$G$81,MATCH($Q1325,Offerte!$L$2:$L$81,0)),"NO"))</f>
        <v/>
      </c>
    </row>
    <row r="1326">
      <c r="A1326" s="48">
        <f>IF(Offerte!$A44="","",Offerte!$A44)</f>
        <v/>
      </c>
      <c r="B1326" s="48">
        <f>IF(Offerte!$A44="","",Offerte!$B44)</f>
        <v/>
      </c>
      <c r="C1326" s="48">
        <f>IF(Offerte!$A44="","",Offerte!$C44)</f>
        <v/>
      </c>
      <c r="D1326" s="48" t="inlineStr">
        <is>
          <t>E.1.1</t>
        </is>
      </c>
      <c r="E1326" s="48" t="inlineStr">
        <is>
          <t>E</t>
        </is>
      </c>
      <c r="F1326" s="48" t="inlineStr">
        <is>
          <t>T</t>
        </is>
      </c>
      <c r="G1326" s="48" t="inlineStr">
        <is>
          <t>tabular</t>
        </is>
      </c>
      <c r="H1326" s="48" t="n">
        <v>2</v>
      </c>
      <c r="I1326" s="48" t="inlineStr">
        <is>
          <t>Mobile app con travel planner PRM</t>
        </is>
      </c>
      <c r="J1326" s="73" t="n"/>
      <c r="K1326" s="73" t="n"/>
      <c r="L1326" s="73" t="n"/>
      <c r="M1326" s="73" t="n"/>
      <c r="N1326" s="57">
        <f>IF($A1326="","",IF(IFERROR(VALUE($M1326),0)=1,1,0))</f>
        <v/>
      </c>
      <c r="O1326" s="57">
        <f>IF($A1326="",0,IF(OR($S1326&lt;&gt;1,COUNTA($J1326:$M1326)=0),0,IF($N1326=1,$H1326,0)))</f>
        <v/>
      </c>
      <c r="P1326" s="48" t="inlineStr">
        <is>
          <t>sì/no</t>
        </is>
      </c>
      <c r="Q1326" s="57">
        <f>IF($A1326="","",$A1326&amp;"|"&amp;$C1326)</f>
        <v/>
      </c>
      <c r="R1326" s="57">
        <f>IF($A1326="","",$A1326&amp;"|"&amp;$C1326&amp;"|"&amp;$D1326)</f>
        <v/>
      </c>
      <c r="S1326" s="57">
        <f>IF($A1326="","",IFERROR(INDEX(Offerte!$D$2:$D$81,MATCH($Q1326,Offerte!$L$2:$L$81,0)),0))</f>
        <v/>
      </c>
      <c r="T1326" s="57">
        <f>IF($A1326="","",IFERROR(INDEX(Offerte!$G$2:$G$81,MATCH($Q1326,Offerte!$L$2:$L$81,0)),"NO"))</f>
        <v/>
      </c>
    </row>
    <row r="1327">
      <c r="A1327" s="48">
        <f>IF(Offerte!$A44="","",Offerte!$A44)</f>
        <v/>
      </c>
      <c r="B1327" s="48">
        <f>IF(Offerte!$A44="","",Offerte!$B44)</f>
        <v/>
      </c>
      <c r="C1327" s="48">
        <f>IF(Offerte!$A44="","",Offerte!$C44)</f>
        <v/>
      </c>
      <c r="D1327" s="48" t="inlineStr">
        <is>
          <t>E.2.1</t>
        </is>
      </c>
      <c r="E1327" s="48" t="inlineStr">
        <is>
          <t>E</t>
        </is>
      </c>
      <c r="F1327" s="48" t="inlineStr">
        <is>
          <t>D</t>
        </is>
      </c>
      <c r="G1327" s="48" t="inlineStr">
        <is>
          <t>discretionary</t>
        </is>
      </c>
      <c r="H1327" s="48" t="n">
        <v>2</v>
      </c>
      <c r="I1327" s="48" t="inlineStr">
        <is>
          <t>Altre azioni informative e rapporti con gli utenti</t>
        </is>
      </c>
      <c r="J1327" s="73" t="n"/>
      <c r="K1327" s="73" t="n"/>
      <c r="L1327" s="73" t="n"/>
      <c r="M1327" s="73" t="n"/>
      <c r="N1327" s="57">
        <f>IF($A1327="","",MAX(0,MIN(1,IFERROR(VALUE($M1327),0))))</f>
        <v/>
      </c>
      <c r="O1327" s="57">
        <f>IF($A1327="",0,IF(OR($S1327&lt;&gt;1,COUNTA($J1327:$M1327)=0),0,IF(SUMPRODUCT(MAX(($C$5:$C$2484=$C1327)*($D$5:$D$2484=$D1327)*($S$5:$S$2484=1)*IFERROR($N$5:$N$2484*1,0)))&gt;0,ROUND($H1327*($N1327/SUMPRODUCT(MAX(($C$5:$C$2484=$C1327)*($D$5:$D$2484=$D1327)*($S$5:$S$2484=1)*IFERROR($N$5:$N$2484*1,0)))),4),0)))</f>
        <v/>
      </c>
      <c r="P1327" s="48" t="inlineStr">
        <is>
          <t>coeff.</t>
        </is>
      </c>
      <c r="Q1327" s="57">
        <f>IF($A1327="","",$A1327&amp;"|"&amp;$C1327)</f>
        <v/>
      </c>
      <c r="R1327" s="57">
        <f>IF($A1327="","",$A1327&amp;"|"&amp;$C1327&amp;"|"&amp;$D1327)</f>
        <v/>
      </c>
      <c r="S1327" s="57">
        <f>IF($A1327="","",IFERROR(INDEX(Offerte!$D$2:$D$81,MATCH($Q1327,Offerte!$L$2:$L$81,0)),0))</f>
        <v/>
      </c>
      <c r="T1327" s="57">
        <f>IF($A1327="","",IFERROR(INDEX(Offerte!$G$2:$G$81,MATCH($Q1327,Offerte!$L$2:$L$81,0)),"NO"))</f>
        <v/>
      </c>
    </row>
    <row r="1328">
      <c r="A1328" s="48">
        <f>IF(Offerte!$A44="","",Offerte!$A44)</f>
        <v/>
      </c>
      <c r="B1328" s="48">
        <f>IF(Offerte!$A44="","",Offerte!$B44)</f>
        <v/>
      </c>
      <c r="C1328" s="48">
        <f>IF(Offerte!$A44="","",Offerte!$C44)</f>
        <v/>
      </c>
      <c r="D1328" s="48" t="inlineStr">
        <is>
          <t>F.1.1</t>
        </is>
      </c>
      <c r="E1328" s="48" t="inlineStr">
        <is>
          <t>F</t>
        </is>
      </c>
      <c r="F1328" s="48" t="inlineStr">
        <is>
          <t>Q</t>
        </is>
      </c>
      <c r="G1328" s="48" t="inlineStr">
        <is>
          <t>lower</t>
        </is>
      </c>
      <c r="H1328" s="48" t="n">
        <v>7</v>
      </c>
      <c r="I1328" s="48" t="inlineStr">
        <is>
          <t>Performance ambientali del parco mezzi adibito al servizio - I_CEA</t>
        </is>
      </c>
      <c r="J1328" s="73" t="n"/>
      <c r="K1328" s="73" t="n"/>
      <c r="L1328" s="73" t="n"/>
      <c r="M1328" s="73" t="n"/>
      <c r="N1328" s="57">
        <f>IF($A1328="","",IFERROR(VALUE($J1328),0))</f>
        <v/>
      </c>
      <c r="O1328" s="57">
        <f>IF($A1328="",0,IF(OR($S1328&lt;&gt;1,COUNTA($J1328:$M1328)=0),0,IF(AND(IFERROR(AGGREGATE(15,6,$N$5:$N$2484/(($C$5:$C$2484=$C1328)*($D$5:$D$2484=$D1328)*($S$5:$S$2484=1)*($N$5:$N$2484&gt;0)),1),0)&gt;0,$N1328&gt;0),ROUND($H1328*(IFERROR(AGGREGATE(15,6,$N$5:$N$2484/(($C$5:$C$2484=$C1328)*($D$5:$D$2484=$D1328)*($S$5:$S$2484=1)*($N$5:$N$2484&gt;0)),1),0)/$N1328),4),0)))</f>
        <v/>
      </c>
      <c r="P1328" s="48" t="inlineStr">
        <is>
          <t>indice</t>
        </is>
      </c>
      <c r="Q1328" s="57">
        <f>IF($A1328="","",$A1328&amp;"|"&amp;$C1328)</f>
        <v/>
      </c>
      <c r="R1328" s="57">
        <f>IF($A1328="","",$A1328&amp;"|"&amp;$C1328&amp;"|"&amp;$D1328)</f>
        <v/>
      </c>
      <c r="S1328" s="57">
        <f>IF($A1328="","",IFERROR(INDEX(Offerte!$D$2:$D$81,MATCH($Q1328,Offerte!$L$2:$L$81,0)),0))</f>
        <v/>
      </c>
      <c r="T1328" s="57">
        <f>IF($A1328="","",IFERROR(INDEX(Offerte!$G$2:$G$81,MATCH($Q1328,Offerte!$L$2:$L$81,0)),"NO"))</f>
        <v/>
      </c>
    </row>
    <row r="1329">
      <c r="A1329" s="48">
        <f>IF(Offerte!$A44="","",Offerte!$A44)</f>
        <v/>
      </c>
      <c r="B1329" s="48">
        <f>IF(Offerte!$A44="","",Offerte!$B44)</f>
        <v/>
      </c>
      <c r="C1329" s="48">
        <f>IF(Offerte!$A44="","",Offerte!$C44)</f>
        <v/>
      </c>
      <c r="D1329" s="48" t="inlineStr">
        <is>
          <t>F.2.1</t>
        </is>
      </c>
      <c r="E1329" s="48" t="inlineStr">
        <is>
          <t>F</t>
        </is>
      </c>
      <c r="F1329" s="48" t="inlineStr">
        <is>
          <t>Q</t>
        </is>
      </c>
      <c r="G1329" s="48" t="inlineStr">
        <is>
          <t>higher</t>
        </is>
      </c>
      <c r="H1329" s="48" t="n">
        <v>2</v>
      </c>
      <c r="I1329" s="48" t="inlineStr">
        <is>
          <t>Tasso di copertura del servizio con dispositivi ECO-DRIVER</t>
        </is>
      </c>
      <c r="J1329" s="73" t="n"/>
      <c r="K1329" s="73" t="n"/>
      <c r="L1329" s="73" t="n"/>
      <c r="M1329" s="73" t="n"/>
      <c r="N1329" s="57">
        <f>IF($A1329="","",IFERROR(VALUE($K1329)/VALUE($L1329),IFERROR(VALUE($J1329),0)))</f>
        <v/>
      </c>
      <c r="O1329" s="57">
        <f>IF($A1329="",0,IF(OR($S1329&lt;&gt;1,COUNTA($J1329:$M1329)=0),0,IF(SUMPRODUCT(MAX(($C$5:$C$2484=$C1329)*($D$5:$D$2484=$D1329)*($S$5:$S$2484=1)*IFERROR($N$5:$N$2484*1,0)))&gt;0,ROUND($H1329*($N1329/SUMPRODUCT(MAX(($C$5:$C$2484=$C1329)*($D$5:$D$2484=$D1329)*($S$5:$S$2484=1)*IFERROR($N$5:$N$2484*1,0)))),4),0)))</f>
        <v/>
      </c>
      <c r="P1329" s="48" t="inlineStr">
        <is>
          <t>Autobus attrezzati con dispositivi ECO-DRIVER / Autobus totali in offerta, incluse scorte</t>
        </is>
      </c>
      <c r="Q1329" s="57">
        <f>IF($A1329="","",$A1329&amp;"|"&amp;$C1329)</f>
        <v/>
      </c>
      <c r="R1329" s="57">
        <f>IF($A1329="","",$A1329&amp;"|"&amp;$C1329&amp;"|"&amp;$D1329)</f>
        <v/>
      </c>
      <c r="S1329" s="57">
        <f>IF($A1329="","",IFERROR(INDEX(Offerte!$D$2:$D$81,MATCH($Q1329,Offerte!$L$2:$L$81,0)),0))</f>
        <v/>
      </c>
      <c r="T1329" s="57">
        <f>IF($A1329="","",IFERROR(INDEX(Offerte!$G$2:$G$81,MATCH($Q1329,Offerte!$L$2:$L$81,0)),"NO"))</f>
        <v/>
      </c>
    </row>
    <row r="1330">
      <c r="A1330" s="48">
        <f>IF(Offerte!$A44="","",Offerte!$A44)</f>
        <v/>
      </c>
      <c r="B1330" s="48">
        <f>IF(Offerte!$A44="","",Offerte!$B44)</f>
        <v/>
      </c>
      <c r="C1330" s="48">
        <f>IF(Offerte!$A44="","",Offerte!$C44)</f>
        <v/>
      </c>
      <c r="D1330" s="48" t="inlineStr">
        <is>
          <t>F.3.1</t>
        </is>
      </c>
      <c r="E1330" s="48" t="inlineStr">
        <is>
          <t>F</t>
        </is>
      </c>
      <c r="F1330" s="48" t="inlineStr">
        <is>
          <t>Q</t>
        </is>
      </c>
      <c r="G1330" s="48" t="inlineStr">
        <is>
          <t>higher</t>
        </is>
      </c>
      <c r="H1330" s="48" t="n">
        <v>2</v>
      </c>
      <c r="I1330" s="48" t="inlineStr">
        <is>
          <t>Autoproduzione consumi elettrici per trazione</t>
        </is>
      </c>
      <c r="J1330" s="73" t="n"/>
      <c r="K1330" s="73" t="n"/>
      <c r="L1330" s="73" t="n"/>
      <c r="M1330" s="73" t="n"/>
      <c r="N1330" s="57">
        <f>IF($A1330="","",IFERROR(VALUE($J1330),0))</f>
        <v/>
      </c>
      <c r="O1330" s="57">
        <f>IF($A1330="",0,IF(OR($S1330&lt;&gt;1,COUNTA($J1330:$M1330)=0),0,IF(SUMPRODUCT(MAX(($C$5:$C$2484=$C1330)*($D$5:$D$2484=$D1330)*($S$5:$S$2484=1)*IFERROR($N$5:$N$2484*1,0)))&gt;0,ROUND($H1330*($N1330/SUMPRODUCT(MAX(($C$5:$C$2484=$C1330)*($D$5:$D$2484=$D1330)*($S$5:$S$2484=1)*IFERROR($N$5:$N$2484*1,0)))),4),0)))</f>
        <v/>
      </c>
      <c r="P1330" s="48" t="inlineStr">
        <is>
          <t>kWh/anno</t>
        </is>
      </c>
      <c r="Q1330" s="57">
        <f>IF($A1330="","",$A1330&amp;"|"&amp;$C1330)</f>
        <v/>
      </c>
      <c r="R1330" s="57">
        <f>IF($A1330="","",$A1330&amp;"|"&amp;$C1330&amp;"|"&amp;$D1330)</f>
        <v/>
      </c>
      <c r="S1330" s="57">
        <f>IF($A1330="","",IFERROR(INDEX(Offerte!$D$2:$D$81,MATCH($Q1330,Offerte!$L$2:$L$81,0)),0))</f>
        <v/>
      </c>
      <c r="T1330" s="57">
        <f>IF($A1330="","",IFERROR(INDEX(Offerte!$G$2:$G$81,MATCH($Q1330,Offerte!$L$2:$L$81,0)),"NO"))</f>
        <v/>
      </c>
    </row>
    <row r="1331">
      <c r="A1331" s="48">
        <f>IF(Offerte!$A44="","",Offerte!$A44)</f>
        <v/>
      </c>
      <c r="B1331" s="48">
        <f>IF(Offerte!$A44="","",Offerte!$B44)</f>
        <v/>
      </c>
      <c r="C1331" s="48">
        <f>IF(Offerte!$A44="","",Offerte!$C44)</f>
        <v/>
      </c>
      <c r="D1331" s="48" t="inlineStr">
        <is>
          <t>F.4.1</t>
        </is>
      </c>
      <c r="E1331" s="48" t="inlineStr">
        <is>
          <t>F</t>
        </is>
      </c>
      <c r="F1331" s="48" t="inlineStr">
        <is>
          <t>Q</t>
        </is>
      </c>
      <c r="G1331" s="48" t="inlineStr">
        <is>
          <t>soil</t>
        </is>
      </c>
      <c r="H1331" s="48" t="n">
        <v>2</v>
      </c>
      <c r="I1331" s="48" t="inlineStr">
        <is>
          <t>Indice di consumo di suolo</t>
        </is>
      </c>
      <c r="J1331" s="73" t="n"/>
      <c r="K1331" s="73" t="n"/>
      <c r="L1331" s="73" t="n"/>
      <c r="M1331" s="73" t="n"/>
      <c r="N1331" s="57">
        <f>IF($A1331="","",IFERROR(VALUE($J1331),0))</f>
        <v/>
      </c>
      <c r="O1331" s="57">
        <f>IF($A1331="",0,IF(OR($S1331&lt;&gt;1,COUNTA($J1331:$M1331)=0),0,IF($N1331&lt;=0,$H1331,IF(SUMPRODUCT(MAX(($C$5:$C$2484=$C1331)*($D$5:$D$2484=$D1331)*($S$5:$S$2484=1)*IFERROR($N$5:$N$2484*1,0)))&gt;0,ROUND($H1331*((SUMPRODUCT(MAX(($C$5:$C$2484=$C1331)*($D$5:$D$2484=$D1331)*($S$5:$S$2484=1)*IFERROR($N$5:$N$2484*1,0)))-$N1331)/SUMPRODUCT(MAX(($C$5:$C$2484=$C1331)*($D$5:$D$2484=$D1331)*($S$5:$S$2484=1)*IFERROR($N$5:$N$2484*1,0)))),4),0))))</f>
        <v/>
      </c>
      <c r="P1331" s="48" t="inlineStr">
        <is>
          <t>m2</t>
        </is>
      </c>
      <c r="Q1331" s="57">
        <f>IF($A1331="","",$A1331&amp;"|"&amp;$C1331)</f>
        <v/>
      </c>
      <c r="R1331" s="57">
        <f>IF($A1331="","",$A1331&amp;"|"&amp;$C1331&amp;"|"&amp;$D1331)</f>
        <v/>
      </c>
      <c r="S1331" s="57">
        <f>IF($A1331="","",IFERROR(INDEX(Offerte!$D$2:$D$81,MATCH($Q1331,Offerte!$L$2:$L$81,0)),0))</f>
        <v/>
      </c>
      <c r="T1331" s="57">
        <f>IF($A1331="","",IFERROR(INDEX(Offerte!$G$2:$G$81,MATCH($Q1331,Offerte!$L$2:$L$81,0)),"NO"))</f>
        <v/>
      </c>
    </row>
    <row r="1332">
      <c r="A1332" s="48">
        <f>IF(Offerte!$A44="","",Offerte!$A44)</f>
        <v/>
      </c>
      <c r="B1332" s="48">
        <f>IF(Offerte!$A44="","",Offerte!$B44)</f>
        <v/>
      </c>
      <c r="C1332" s="48">
        <f>IF(Offerte!$A44="","",Offerte!$C44)</f>
        <v/>
      </c>
      <c r="D1332" s="48" t="inlineStr">
        <is>
          <t>F.5.1</t>
        </is>
      </c>
      <c r="E1332" s="48" t="inlineStr">
        <is>
          <t>F</t>
        </is>
      </c>
      <c r="F1332" s="48" t="inlineStr">
        <is>
          <t>T</t>
        </is>
      </c>
      <c r="G1332" s="48" t="inlineStr">
        <is>
          <t>tabular</t>
        </is>
      </c>
      <c r="H1332" s="48" t="n">
        <v>1</v>
      </c>
      <c r="I1332" s="48" t="inlineStr">
        <is>
          <t>Rendicontazione di sostenibilità ambientale</t>
        </is>
      </c>
      <c r="J1332" s="73" t="n"/>
      <c r="K1332" s="73" t="n"/>
      <c r="L1332" s="73" t="n"/>
      <c r="M1332" s="73" t="n"/>
      <c r="N1332" s="57">
        <f>IF($A1332="","",IF(IFERROR(VALUE($M1332),0)=1,1,0))</f>
        <v/>
      </c>
      <c r="O1332" s="57">
        <f>IF($A1332="",0,IF(OR($S1332&lt;&gt;1,COUNTA($J1332:$M1332)=0),0,IF($N1332=1,$H1332,0)))</f>
        <v/>
      </c>
      <c r="P1332" s="48" t="inlineStr">
        <is>
          <t>sì/no</t>
        </is>
      </c>
      <c r="Q1332" s="57">
        <f>IF($A1332="","",$A1332&amp;"|"&amp;$C1332)</f>
        <v/>
      </c>
      <c r="R1332" s="57">
        <f>IF($A1332="","",$A1332&amp;"|"&amp;$C1332&amp;"|"&amp;$D1332)</f>
        <v/>
      </c>
      <c r="S1332" s="57">
        <f>IF($A1332="","",IFERROR(INDEX(Offerte!$D$2:$D$81,MATCH($Q1332,Offerte!$L$2:$L$81,0)),0))</f>
        <v/>
      </c>
      <c r="T1332" s="57">
        <f>IF($A1332="","",IFERROR(INDEX(Offerte!$G$2:$G$81,MATCH($Q1332,Offerte!$L$2:$L$81,0)),"NO"))</f>
        <v/>
      </c>
    </row>
    <row r="1333">
      <c r="A1333" s="48">
        <f>IF(Offerte!$A44="","",Offerte!$A44)</f>
        <v/>
      </c>
      <c r="B1333" s="48">
        <f>IF(Offerte!$A44="","",Offerte!$B44)</f>
        <v/>
      </c>
      <c r="C1333" s="48">
        <f>IF(Offerte!$A44="","",Offerte!$C44)</f>
        <v/>
      </c>
      <c r="D1333" s="48" t="inlineStr">
        <is>
          <t>G.1.1</t>
        </is>
      </c>
      <c r="E1333" s="48" t="inlineStr">
        <is>
          <t>G</t>
        </is>
      </c>
      <c r="F1333" s="48" t="inlineStr">
        <is>
          <t>D</t>
        </is>
      </c>
      <c r="G1333" s="48" t="inlineStr">
        <is>
          <t>discretionary</t>
        </is>
      </c>
      <c r="H1333" s="48" t="n">
        <v>2</v>
      </c>
      <c r="I1333" s="48" t="inlineStr">
        <is>
          <t>Qualità del progetto di centrale di controllo aziendale</t>
        </is>
      </c>
      <c r="J1333" s="73" t="n"/>
      <c r="K1333" s="73" t="n"/>
      <c r="L1333" s="73" t="n"/>
      <c r="M1333" s="73" t="n"/>
      <c r="N1333" s="57">
        <f>IF($A1333="","",MAX(0,MIN(1,IFERROR(VALUE($M1333),0))))</f>
        <v/>
      </c>
      <c r="O1333" s="57">
        <f>IF($A1333="",0,IF(OR($S1333&lt;&gt;1,COUNTA($J1333:$M1333)=0),0,IF(SUMPRODUCT(MAX(($C$5:$C$2484=$C1333)*($D$5:$D$2484=$D1333)*($S$5:$S$2484=1)*IFERROR($N$5:$N$2484*1,0)))&gt;0,ROUND($H1333*($N1333/SUMPRODUCT(MAX(($C$5:$C$2484=$C1333)*($D$5:$D$2484=$D1333)*($S$5:$S$2484=1)*IFERROR($N$5:$N$2484*1,0)))),4),0)))</f>
        <v/>
      </c>
      <c r="P1333" s="48" t="inlineStr">
        <is>
          <t>coeff.</t>
        </is>
      </c>
      <c r="Q1333" s="57">
        <f>IF($A1333="","",$A1333&amp;"|"&amp;$C1333)</f>
        <v/>
      </c>
      <c r="R1333" s="57">
        <f>IF($A1333="","",$A1333&amp;"|"&amp;$C1333&amp;"|"&amp;$D1333)</f>
        <v/>
      </c>
      <c r="S1333" s="57">
        <f>IF($A1333="","",IFERROR(INDEX(Offerte!$D$2:$D$81,MATCH($Q1333,Offerte!$L$2:$L$81,0)),0))</f>
        <v/>
      </c>
      <c r="T1333" s="57">
        <f>IF($A1333="","",IFERROR(INDEX(Offerte!$G$2:$G$81,MATCH($Q1333,Offerte!$L$2:$L$81,0)),"NO"))</f>
        <v/>
      </c>
    </row>
    <row r="1334">
      <c r="A1334" s="48">
        <f>IF(Offerte!$A44="","",Offerte!$A44)</f>
        <v/>
      </c>
      <c r="B1334" s="48">
        <f>IF(Offerte!$A44="","",Offerte!$B44)</f>
        <v/>
      </c>
      <c r="C1334" s="48">
        <f>IF(Offerte!$A44="","",Offerte!$C44)</f>
        <v/>
      </c>
      <c r="D1334" s="48" t="inlineStr">
        <is>
          <t>G.2.1</t>
        </is>
      </c>
      <c r="E1334" s="48" t="inlineStr">
        <is>
          <t>G</t>
        </is>
      </c>
      <c r="F1334" s="48" t="inlineStr">
        <is>
          <t>T</t>
        </is>
      </c>
      <c r="G1334" s="48" t="inlineStr">
        <is>
          <t>tabular</t>
        </is>
      </c>
      <c r="H1334" s="48" t="n">
        <v>1</v>
      </c>
      <c r="I1334" s="48" t="inlineStr">
        <is>
          <t>Certificazione ISO 45001</t>
        </is>
      </c>
      <c r="J1334" s="73" t="n"/>
      <c r="K1334" s="73" t="n"/>
      <c r="L1334" s="73" t="n"/>
      <c r="M1334" s="73" t="n"/>
      <c r="N1334" s="57">
        <f>IF($A1334="","",IF(IFERROR(VALUE($M1334),0)=1,1,0))</f>
        <v/>
      </c>
      <c r="O1334" s="57">
        <f>IF($A1334="",0,IF(OR($S1334&lt;&gt;1,COUNTA($J1334:$M1334)=0),0,IF($N1334=1,$H1334,0)))</f>
        <v/>
      </c>
      <c r="P1334" s="48" t="inlineStr">
        <is>
          <t>sì/no</t>
        </is>
      </c>
      <c r="Q1334" s="57">
        <f>IF($A1334="","",$A1334&amp;"|"&amp;$C1334)</f>
        <v/>
      </c>
      <c r="R1334" s="57">
        <f>IF($A1334="","",$A1334&amp;"|"&amp;$C1334&amp;"|"&amp;$D1334)</f>
        <v/>
      </c>
      <c r="S1334" s="57">
        <f>IF($A1334="","",IFERROR(INDEX(Offerte!$D$2:$D$81,MATCH($Q1334,Offerte!$L$2:$L$81,0)),0))</f>
        <v/>
      </c>
      <c r="T1334" s="57">
        <f>IF($A1334="","",IFERROR(INDEX(Offerte!$G$2:$G$81,MATCH($Q1334,Offerte!$L$2:$L$81,0)),"NO"))</f>
        <v/>
      </c>
    </row>
    <row r="1335">
      <c r="A1335" s="48">
        <f>IF(Offerte!$A44="","",Offerte!$A44)</f>
        <v/>
      </c>
      <c r="B1335" s="48">
        <f>IF(Offerte!$A44="","",Offerte!$B44)</f>
        <v/>
      </c>
      <c r="C1335" s="48">
        <f>IF(Offerte!$A44="","",Offerte!$C44)</f>
        <v/>
      </c>
      <c r="D1335" s="48" t="inlineStr">
        <is>
          <t>G.3.1</t>
        </is>
      </c>
      <c r="E1335" s="48" t="inlineStr">
        <is>
          <t>G</t>
        </is>
      </c>
      <c r="F1335" s="48" t="inlineStr">
        <is>
          <t>T</t>
        </is>
      </c>
      <c r="G1335" s="48" t="inlineStr">
        <is>
          <t>tabular</t>
        </is>
      </c>
      <c r="H1335" s="48" t="n">
        <v>1</v>
      </c>
      <c r="I1335" s="48" t="inlineStr">
        <is>
          <t>Certificazioni di responsabilità sociale</t>
        </is>
      </c>
      <c r="J1335" s="73" t="n"/>
      <c r="K1335" s="73" t="n"/>
      <c r="L1335" s="73" t="n"/>
      <c r="M1335" s="73" t="n"/>
      <c r="N1335" s="57">
        <f>IF($A1335="","",IF(IFERROR(VALUE($M1335),0)=1,1,0))</f>
        <v/>
      </c>
      <c r="O1335" s="57">
        <f>IF($A1335="",0,IF(OR($S1335&lt;&gt;1,COUNTA($J1335:$M1335)=0),0,IF($N1335=1,$H1335,0)))</f>
        <v/>
      </c>
      <c r="P1335" s="48" t="inlineStr">
        <is>
          <t>sì/no</t>
        </is>
      </c>
      <c r="Q1335" s="57">
        <f>IF($A1335="","",$A1335&amp;"|"&amp;$C1335)</f>
        <v/>
      </c>
      <c r="R1335" s="57">
        <f>IF($A1335="","",$A1335&amp;"|"&amp;$C1335&amp;"|"&amp;$D1335)</f>
        <v/>
      </c>
      <c r="S1335" s="57">
        <f>IF($A1335="","",IFERROR(INDEX(Offerte!$D$2:$D$81,MATCH($Q1335,Offerte!$L$2:$L$81,0)),0))</f>
        <v/>
      </c>
      <c r="T1335" s="57">
        <f>IF($A1335="","",IFERROR(INDEX(Offerte!$G$2:$G$81,MATCH($Q1335,Offerte!$L$2:$L$81,0)),"NO"))</f>
        <v/>
      </c>
    </row>
    <row r="1336">
      <c r="A1336" s="48">
        <f>IF(Offerte!$A44="","",Offerte!$A44)</f>
        <v/>
      </c>
      <c r="B1336" s="48">
        <f>IF(Offerte!$A44="","",Offerte!$B44)</f>
        <v/>
      </c>
      <c r="C1336" s="48">
        <f>IF(Offerte!$A44="","",Offerte!$C44)</f>
        <v/>
      </c>
      <c r="D1336" s="48" t="inlineStr">
        <is>
          <t>G.4.1</t>
        </is>
      </c>
      <c r="E1336" s="48" t="inlineStr">
        <is>
          <t>G</t>
        </is>
      </c>
      <c r="F1336" s="48" t="inlineStr">
        <is>
          <t>D</t>
        </is>
      </c>
      <c r="G1336" s="48" t="inlineStr">
        <is>
          <t>discretionary</t>
        </is>
      </c>
      <c r="H1336" s="48" t="n">
        <v>2</v>
      </c>
      <c r="I1336" s="48" t="inlineStr">
        <is>
          <t>Qualità del piano di formazione del personale</t>
        </is>
      </c>
      <c r="J1336" s="73" t="n"/>
      <c r="K1336" s="73" t="n"/>
      <c r="L1336" s="73" t="n"/>
      <c r="M1336" s="73" t="n"/>
      <c r="N1336" s="57">
        <f>IF($A1336="","",MAX(0,MIN(1,IFERROR(VALUE($M1336),0))))</f>
        <v/>
      </c>
      <c r="O1336" s="57">
        <f>IF($A1336="",0,IF(OR($S1336&lt;&gt;1,COUNTA($J1336:$M1336)=0),0,IF(SUMPRODUCT(MAX(($C$5:$C$2484=$C1336)*($D$5:$D$2484=$D1336)*($S$5:$S$2484=1)*IFERROR($N$5:$N$2484*1,0)))&gt;0,ROUND($H1336*($N1336/SUMPRODUCT(MAX(($C$5:$C$2484=$C1336)*($D$5:$D$2484=$D1336)*($S$5:$S$2484=1)*IFERROR($N$5:$N$2484*1,0)))),4),0)))</f>
        <v/>
      </c>
      <c r="P1336" s="48" t="inlineStr">
        <is>
          <t>coeff.</t>
        </is>
      </c>
      <c r="Q1336" s="57">
        <f>IF($A1336="","",$A1336&amp;"|"&amp;$C1336)</f>
        <v/>
      </c>
      <c r="R1336" s="57">
        <f>IF($A1336="","",$A1336&amp;"|"&amp;$C1336&amp;"|"&amp;$D1336)</f>
        <v/>
      </c>
      <c r="S1336" s="57">
        <f>IF($A1336="","",IFERROR(INDEX(Offerte!$D$2:$D$81,MATCH($Q1336,Offerte!$L$2:$L$81,0)),0))</f>
        <v/>
      </c>
      <c r="T1336" s="57">
        <f>IF($A1336="","",IFERROR(INDEX(Offerte!$G$2:$G$81,MATCH($Q1336,Offerte!$L$2:$L$81,0)),"NO"))</f>
        <v/>
      </c>
    </row>
    <row r="1337">
      <c r="A1337" s="48">
        <f>IF(Offerte!$A44="","",Offerte!$A44)</f>
        <v/>
      </c>
      <c r="B1337" s="48">
        <f>IF(Offerte!$A44="","",Offerte!$B44)</f>
        <v/>
      </c>
      <c r="C1337" s="48">
        <f>IF(Offerte!$A44="","",Offerte!$C44)</f>
        <v/>
      </c>
      <c r="D1337" s="48" t="inlineStr">
        <is>
          <t>G.5.1</t>
        </is>
      </c>
      <c r="E1337" s="48" t="inlineStr">
        <is>
          <t>G</t>
        </is>
      </c>
      <c r="F1337" s="48" t="inlineStr">
        <is>
          <t>T</t>
        </is>
      </c>
      <c r="G1337" s="48" t="inlineStr">
        <is>
          <t>tabular</t>
        </is>
      </c>
      <c r="H1337" s="48" t="n">
        <v>1</v>
      </c>
      <c r="I1337" s="48" t="inlineStr">
        <is>
          <t>Impegno al mantenimento delle garanzie del contratto di secondo livello del gestore uscente</t>
        </is>
      </c>
      <c r="J1337" s="73" t="n"/>
      <c r="K1337" s="73" t="n"/>
      <c r="L1337" s="73" t="n"/>
      <c r="M1337" s="73" t="n"/>
      <c r="N1337" s="57">
        <f>IF($A1337="","",IF(IFERROR(VALUE($M1337),0)=1,1,0))</f>
        <v/>
      </c>
      <c r="O1337" s="57">
        <f>IF($A1337="",0,IF(OR($S1337&lt;&gt;1,COUNTA($J1337:$M1337)=0),0,IF($N1337=1,$H1337,0)))</f>
        <v/>
      </c>
      <c r="P1337" s="48" t="inlineStr">
        <is>
          <t>sì/no</t>
        </is>
      </c>
      <c r="Q1337" s="57">
        <f>IF($A1337="","",$A1337&amp;"|"&amp;$C1337)</f>
        <v/>
      </c>
      <c r="R1337" s="57">
        <f>IF($A1337="","",$A1337&amp;"|"&amp;$C1337&amp;"|"&amp;$D1337)</f>
        <v/>
      </c>
      <c r="S1337" s="57">
        <f>IF($A1337="","",IFERROR(INDEX(Offerte!$D$2:$D$81,MATCH($Q1337,Offerte!$L$2:$L$81,0)),0))</f>
        <v/>
      </c>
      <c r="T1337" s="57">
        <f>IF($A1337="","",IFERROR(INDEX(Offerte!$G$2:$G$81,MATCH($Q1337,Offerte!$L$2:$L$81,0)),"NO"))</f>
        <v/>
      </c>
    </row>
    <row r="1338">
      <c r="A1338" s="48">
        <f>IF(Offerte!$A45="","",Offerte!$A45)</f>
        <v/>
      </c>
      <c r="B1338" s="48">
        <f>IF(Offerte!$A45="","",Offerte!$B45)</f>
        <v/>
      </c>
      <c r="C1338" s="48">
        <f>IF(Offerte!$A45="","",Offerte!$C45)</f>
        <v/>
      </c>
      <c r="D1338" s="48" t="inlineStr">
        <is>
          <t>A.1.1</t>
        </is>
      </c>
      <c r="E1338" s="48" t="inlineStr">
        <is>
          <t>A</t>
        </is>
      </c>
      <c r="F1338" s="48" t="inlineStr">
        <is>
          <t>Q</t>
        </is>
      </c>
      <c r="G1338" s="48" t="inlineStr">
        <is>
          <t>higher</t>
        </is>
      </c>
      <c r="H1338" s="48" t="n">
        <v>3</v>
      </c>
      <c r="I1338" s="48" t="inlineStr">
        <is>
          <t>Tasso aggiuntivo di corse controllate</t>
        </is>
      </c>
      <c r="J1338" s="73" t="n"/>
      <c r="K1338" s="73" t="n"/>
      <c r="L1338" s="73" t="n"/>
      <c r="M1338" s="73" t="n"/>
      <c r="N1338" s="57">
        <f>IF($A1338="","",IFERROR(VALUE($K1338)/VALUE($L1338)*100,IFERROR(VALUE($J1338),0)))</f>
        <v/>
      </c>
      <c r="O1338" s="57">
        <f>IF($A1338="",0,IF(OR($S1338&lt;&gt;1,COUNTA($J1338:$M1338)=0),0,IF(SUMPRODUCT(MAX(($C$5:$C$2484=$C1338)*($D$5:$D$2484=$D1338)*($S$5:$S$2484=1)*IFERROR($N$5:$N$2484*1,0)))&gt;0,ROUND($H1338*($N1338/SUMPRODUCT(MAX(($C$5:$C$2484=$C1338)*($D$5:$D$2484=$D1338)*($S$5:$S$2484=1)*IFERROR($N$5:$N$2484*1,0)))),4),0)))</f>
        <v/>
      </c>
      <c r="P1338" s="48" t="inlineStr">
        <is>
          <t>Corse controllate annue / Corse programmate annue</t>
        </is>
      </c>
      <c r="Q1338" s="57">
        <f>IF($A1338="","",$A1338&amp;"|"&amp;$C1338)</f>
        <v/>
      </c>
      <c r="R1338" s="57">
        <f>IF($A1338="","",$A1338&amp;"|"&amp;$C1338&amp;"|"&amp;$D1338)</f>
        <v/>
      </c>
      <c r="S1338" s="57">
        <f>IF($A1338="","",IFERROR(INDEX(Offerte!$D$2:$D$81,MATCH($Q1338,Offerte!$L$2:$L$81,0)),0))</f>
        <v/>
      </c>
      <c r="T1338" s="57">
        <f>IF($A1338="","",IFERROR(INDEX(Offerte!$G$2:$G$81,MATCH($Q1338,Offerte!$L$2:$L$81,0)),"NO"))</f>
        <v/>
      </c>
    </row>
    <row r="1339">
      <c r="A1339" s="48">
        <f>IF(Offerte!$A45="","",Offerte!$A45)</f>
        <v/>
      </c>
      <c r="B1339" s="48">
        <f>IF(Offerte!$A45="","",Offerte!$B45)</f>
        <v/>
      </c>
      <c r="C1339" s="48">
        <f>IF(Offerte!$A45="","",Offerte!$C45)</f>
        <v/>
      </c>
      <c r="D1339" s="48" t="inlineStr">
        <is>
          <t>A.1.2</t>
        </is>
      </c>
      <c r="E1339" s="48" t="inlineStr">
        <is>
          <t>A</t>
        </is>
      </c>
      <c r="F1339" s="48" t="inlineStr">
        <is>
          <t>Q</t>
        </is>
      </c>
      <c r="G1339" s="48" t="inlineStr">
        <is>
          <t>higher</t>
        </is>
      </c>
      <c r="H1339" s="48" t="n">
        <v>4</v>
      </c>
      <c r="I1339" s="48" t="inlineStr">
        <is>
          <t>Numero aggiuntivo di passeggeri controllati</t>
        </is>
      </c>
      <c r="J1339" s="73" t="n"/>
      <c r="K1339" s="73" t="n"/>
      <c r="L1339" s="73" t="n"/>
      <c r="M1339" s="73" t="n"/>
      <c r="N1339" s="57">
        <f>IF($A1339="","",IFERROR(VALUE($J1339),0))</f>
        <v/>
      </c>
      <c r="O1339" s="57">
        <f>IF($A1339="",0,IF(OR($S1339&lt;&gt;1,COUNTA($J1339:$M1339)=0),0,IF(SUMPRODUCT(MAX(($C$5:$C$2484=$C1339)*($D$5:$D$2484=$D1339)*($S$5:$S$2484=1)*IFERROR($N$5:$N$2484*1,0)))&gt;0,ROUND($H1339*($N1339/SUMPRODUCT(MAX(($C$5:$C$2484=$C1339)*($D$5:$D$2484=$D1339)*($S$5:$S$2484=1)*IFERROR($N$5:$N$2484*1,0)))),4),0)))</f>
        <v/>
      </c>
      <c r="P1339" s="48" t="inlineStr">
        <is>
          <t>passeggeri/anno</t>
        </is>
      </c>
      <c r="Q1339" s="57">
        <f>IF($A1339="","",$A1339&amp;"|"&amp;$C1339)</f>
        <v/>
      </c>
      <c r="R1339" s="57">
        <f>IF($A1339="","",$A1339&amp;"|"&amp;$C1339&amp;"|"&amp;$D1339)</f>
        <v/>
      </c>
      <c r="S1339" s="57">
        <f>IF($A1339="","",IFERROR(INDEX(Offerte!$D$2:$D$81,MATCH($Q1339,Offerte!$L$2:$L$81,0)),0))</f>
        <v/>
      </c>
      <c r="T1339" s="57">
        <f>IF($A1339="","",IFERROR(INDEX(Offerte!$G$2:$G$81,MATCH($Q1339,Offerte!$L$2:$L$81,0)),"NO"))</f>
        <v/>
      </c>
    </row>
    <row r="1340">
      <c r="A1340" s="48">
        <f>IF(Offerte!$A45="","",Offerte!$A45)</f>
        <v/>
      </c>
      <c r="B1340" s="48">
        <f>IF(Offerte!$A45="","",Offerte!$B45)</f>
        <v/>
      </c>
      <c r="C1340" s="48">
        <f>IF(Offerte!$A45="","",Offerte!$C45)</f>
        <v/>
      </c>
      <c r="D1340" s="48" t="inlineStr">
        <is>
          <t>B.1.1</t>
        </is>
      </c>
      <c r="E1340" s="48" t="inlineStr">
        <is>
          <t>B</t>
        </is>
      </c>
      <c r="F1340" s="48" t="inlineStr">
        <is>
          <t>Q</t>
        </is>
      </c>
      <c r="G1340" s="48" t="inlineStr">
        <is>
          <t>higher</t>
        </is>
      </c>
      <c r="H1340" s="48" t="n">
        <v>3</v>
      </c>
      <c r="I1340" s="48" t="inlineStr">
        <is>
          <t>Incremento dei posti offerti nelle fasce di punta</t>
        </is>
      </c>
      <c r="J1340" s="73" t="n"/>
      <c r="K1340" s="73" t="n"/>
      <c r="L1340" s="73" t="n"/>
      <c r="M1340" s="73" t="n"/>
      <c r="N1340" s="57">
        <f>IF($A1340="","",IFERROR(VALUE($J1340),0))</f>
        <v/>
      </c>
      <c r="O1340" s="57">
        <f>IF($A1340="",0,IF(OR($S1340&lt;&gt;1,COUNTA($J1340:$M1340)=0),0,IF(SUMPRODUCT(MAX(($C$5:$C$2484=$C1340)*($D$5:$D$2484=$D1340)*($S$5:$S$2484=1)*IFERROR($N$5:$N$2484*1,0)))&gt;0,ROUND($H1340*($N1340/SUMPRODUCT(MAX(($C$5:$C$2484=$C1340)*($D$5:$D$2484=$D1340)*($S$5:$S$2484=1)*IFERROR($N$5:$N$2484*1,0)))),4),0)))</f>
        <v/>
      </c>
      <c r="P1340" s="48" t="inlineStr">
        <is>
          <t>posti*km</t>
        </is>
      </c>
      <c r="Q1340" s="57">
        <f>IF($A1340="","",$A1340&amp;"|"&amp;$C1340)</f>
        <v/>
      </c>
      <c r="R1340" s="57">
        <f>IF($A1340="","",$A1340&amp;"|"&amp;$C1340&amp;"|"&amp;$D1340)</f>
        <v/>
      </c>
      <c r="S1340" s="57">
        <f>IF($A1340="","",IFERROR(INDEX(Offerte!$D$2:$D$81,MATCH($Q1340,Offerte!$L$2:$L$81,0)),0))</f>
        <v/>
      </c>
      <c r="T1340" s="57">
        <f>IF($A1340="","",IFERROR(INDEX(Offerte!$G$2:$G$81,MATCH($Q1340,Offerte!$L$2:$L$81,0)),"NO"))</f>
        <v/>
      </c>
    </row>
    <row r="1341">
      <c r="A1341" s="48">
        <f>IF(Offerte!$A45="","",Offerte!$A45)</f>
        <v/>
      </c>
      <c r="B1341" s="48">
        <f>IF(Offerte!$A45="","",Offerte!$B45)</f>
        <v/>
      </c>
      <c r="C1341" s="48">
        <f>IF(Offerte!$A45="","",Offerte!$C45)</f>
        <v/>
      </c>
      <c r="D1341" s="48" t="inlineStr">
        <is>
          <t>B.2.1</t>
        </is>
      </c>
      <c r="E1341" s="48" t="inlineStr">
        <is>
          <t>B</t>
        </is>
      </c>
      <c r="F1341" s="48" t="inlineStr">
        <is>
          <t>Q</t>
        </is>
      </c>
      <c r="G1341" s="48" t="inlineStr">
        <is>
          <t>higher</t>
        </is>
      </c>
      <c r="H1341" s="48" t="n">
        <v>4</v>
      </c>
      <c r="I1341" s="48" t="inlineStr">
        <is>
          <t>Corse aggiuntive nell'arco giornaliero base</t>
        </is>
      </c>
      <c r="J1341" s="73" t="n"/>
      <c r="K1341" s="73" t="n"/>
      <c r="L1341" s="73" t="n"/>
      <c r="M1341" s="73" t="n"/>
      <c r="N1341" s="57">
        <f>IF($A1341="","",IFERROR(VALUE($J1341),0))</f>
        <v/>
      </c>
      <c r="O1341" s="57">
        <f>IF($A1341="",0,IF(OR($S1341&lt;&gt;1,COUNTA($J1341:$M1341)=0),0,IF(SUMPRODUCT(MAX(($C$5:$C$2484=$C1341)*($D$5:$D$2484=$D1341)*($S$5:$S$2484=1)*IFERROR($N$5:$N$2484*1,0)))&gt;0,ROUND($H1341*($N1341/SUMPRODUCT(MAX(($C$5:$C$2484=$C1341)*($D$5:$D$2484=$D1341)*($S$5:$S$2484=1)*IFERROR($N$5:$N$2484*1,0)))),4),0)))</f>
        <v/>
      </c>
      <c r="P1341" s="48" t="inlineStr">
        <is>
          <t>corse</t>
        </is>
      </c>
      <c r="Q1341" s="57">
        <f>IF($A1341="","",$A1341&amp;"|"&amp;$C1341)</f>
        <v/>
      </c>
      <c r="R1341" s="57">
        <f>IF($A1341="","",$A1341&amp;"|"&amp;$C1341&amp;"|"&amp;$D1341)</f>
        <v/>
      </c>
      <c r="S1341" s="57">
        <f>IF($A1341="","",IFERROR(INDEX(Offerte!$D$2:$D$81,MATCH($Q1341,Offerte!$L$2:$L$81,0)),0))</f>
        <v/>
      </c>
      <c r="T1341" s="57">
        <f>IF($A1341="","",IFERROR(INDEX(Offerte!$G$2:$G$81,MATCH($Q1341,Offerte!$L$2:$L$81,0)),"NO"))</f>
        <v/>
      </c>
    </row>
    <row r="1342">
      <c r="A1342" s="48">
        <f>IF(Offerte!$A45="","",Offerte!$A45)</f>
        <v/>
      </c>
      <c r="B1342" s="48">
        <f>IF(Offerte!$A45="","",Offerte!$B45)</f>
        <v/>
      </c>
      <c r="C1342" s="48">
        <f>IF(Offerte!$A45="","",Offerte!$C45)</f>
        <v/>
      </c>
      <c r="D1342" s="48" t="inlineStr">
        <is>
          <t>B.3.1</t>
        </is>
      </c>
      <c r="E1342" s="48" t="inlineStr">
        <is>
          <t>B</t>
        </is>
      </c>
      <c r="F1342" s="48" t="inlineStr">
        <is>
          <t>Q</t>
        </is>
      </c>
      <c r="G1342" s="48" t="inlineStr">
        <is>
          <t>higher</t>
        </is>
      </c>
      <c r="H1342" s="48" t="n">
        <v>2</v>
      </c>
      <c r="I1342" s="48" t="inlineStr">
        <is>
          <t>Numero di corse aggiuntive per allungamento dell'arco di servizio giornaliero nelle fasce serali</t>
        </is>
      </c>
      <c r="J1342" s="73" t="n"/>
      <c r="K1342" s="73" t="n"/>
      <c r="L1342" s="73" t="n"/>
      <c r="M1342" s="73" t="n"/>
      <c r="N1342" s="57">
        <f>IF($A1342="","",IFERROR(VALUE($J1342),0))</f>
        <v/>
      </c>
      <c r="O1342" s="57">
        <f>IF($A1342="",0,IF(OR($S1342&lt;&gt;1,COUNTA($J1342:$M1342)=0),0,IF(SUMPRODUCT(MAX(($C$5:$C$2484=$C1342)*($D$5:$D$2484=$D1342)*($S$5:$S$2484=1)*IFERROR($N$5:$N$2484*1,0)))&gt;0,ROUND($H1342*($N1342/SUMPRODUCT(MAX(($C$5:$C$2484=$C1342)*($D$5:$D$2484=$D1342)*($S$5:$S$2484=1)*IFERROR($N$5:$N$2484*1,0)))),4),0)))</f>
        <v/>
      </c>
      <c r="P1342" s="48" t="inlineStr">
        <is>
          <t>corse</t>
        </is>
      </c>
      <c r="Q1342" s="57">
        <f>IF($A1342="","",$A1342&amp;"|"&amp;$C1342)</f>
        <v/>
      </c>
      <c r="R1342" s="57">
        <f>IF($A1342="","",$A1342&amp;"|"&amp;$C1342&amp;"|"&amp;$D1342)</f>
        <v/>
      </c>
      <c r="S1342" s="57">
        <f>IF($A1342="","",IFERROR(INDEX(Offerte!$D$2:$D$81,MATCH($Q1342,Offerte!$L$2:$L$81,0)),0))</f>
        <v/>
      </c>
      <c r="T1342" s="57">
        <f>IF($A1342="","",IFERROR(INDEX(Offerte!$G$2:$G$81,MATCH($Q1342,Offerte!$L$2:$L$81,0)),"NO"))</f>
        <v/>
      </c>
    </row>
    <row r="1343">
      <c r="A1343" s="48">
        <f>IF(Offerte!$A45="","",Offerte!$A45)</f>
        <v/>
      </c>
      <c r="B1343" s="48">
        <f>IF(Offerte!$A45="","",Offerte!$B45)</f>
        <v/>
      </c>
      <c r="C1343" s="48">
        <f>IF(Offerte!$A45="","",Offerte!$C45)</f>
        <v/>
      </c>
      <c r="D1343" s="48" t="inlineStr">
        <is>
          <t>B.4.1</t>
        </is>
      </c>
      <c r="E1343" s="48" t="inlineStr">
        <is>
          <t>B</t>
        </is>
      </c>
      <c r="F1343" s="48" t="inlineStr">
        <is>
          <t>Q</t>
        </is>
      </c>
      <c r="G1343" s="48" t="inlineStr">
        <is>
          <t>higher</t>
        </is>
      </c>
      <c r="H1343" s="48" t="n">
        <v>3</v>
      </c>
      <c r="I1343" s="48" t="inlineStr">
        <is>
          <t>Percorrenze aggiuntive offerte nel Programma d'esercizio delle prime due fasi attuative</t>
        </is>
      </c>
      <c r="J1343" s="73" t="n"/>
      <c r="K1343" s="73" t="n"/>
      <c r="L1343" s="73" t="n"/>
      <c r="M1343" s="73" t="n"/>
      <c r="N1343" s="57">
        <f>IF($A1343="","",IFERROR(VALUE($J1343),0))</f>
        <v/>
      </c>
      <c r="O1343" s="57">
        <f>IF($A1343="",0,IF(OR($S1343&lt;&gt;1,COUNTA($J1343:$M1343)=0),0,IF(SUMPRODUCT(MAX(($C$5:$C$2484=$C1343)*($D$5:$D$2484=$D1343)*($S$5:$S$2484=1)*IFERROR($N$5:$N$2484*1,0)))&gt;0,ROUND($H1343*($N1343/SUMPRODUCT(MAX(($C$5:$C$2484=$C1343)*($D$5:$D$2484=$D1343)*($S$5:$S$2484=1)*IFERROR($N$5:$N$2484*1,0)))),4),0)))</f>
        <v/>
      </c>
      <c r="P1343" s="48" t="inlineStr">
        <is>
          <t>vett*km</t>
        </is>
      </c>
      <c r="Q1343" s="57">
        <f>IF($A1343="","",$A1343&amp;"|"&amp;$C1343)</f>
        <v/>
      </c>
      <c r="R1343" s="57">
        <f>IF($A1343="","",$A1343&amp;"|"&amp;$C1343&amp;"|"&amp;$D1343)</f>
        <v/>
      </c>
      <c r="S1343" s="57">
        <f>IF($A1343="","",IFERROR(INDEX(Offerte!$D$2:$D$81,MATCH($Q1343,Offerte!$L$2:$L$81,0)),0))</f>
        <v/>
      </c>
      <c r="T1343" s="57">
        <f>IF($A1343="","",IFERROR(INDEX(Offerte!$G$2:$G$81,MATCH($Q1343,Offerte!$L$2:$L$81,0)),"NO"))</f>
        <v/>
      </c>
    </row>
    <row r="1344">
      <c r="A1344" s="48">
        <f>IF(Offerte!$A45="","",Offerte!$A45)</f>
        <v/>
      </c>
      <c r="B1344" s="48">
        <f>IF(Offerte!$A45="","",Offerte!$B45)</f>
        <v/>
      </c>
      <c r="C1344" s="48">
        <f>IF(Offerte!$A45="","",Offerte!$C45)</f>
        <v/>
      </c>
      <c r="D1344" s="48" t="inlineStr">
        <is>
          <t>B.5.1</t>
        </is>
      </c>
      <c r="E1344" s="48" t="inlineStr">
        <is>
          <t>B</t>
        </is>
      </c>
      <c r="F1344" s="48" t="inlineStr">
        <is>
          <t>D</t>
        </is>
      </c>
      <c r="G1344" s="48" t="inlineStr">
        <is>
          <t>discretionary</t>
        </is>
      </c>
      <c r="H1344" s="48" t="n">
        <v>2</v>
      </c>
      <c r="I1344" s="48" t="inlineStr">
        <is>
          <t>Efficacia del progetto di servizi complementari DRT</t>
        </is>
      </c>
      <c r="J1344" s="73" t="n"/>
      <c r="K1344" s="73" t="n"/>
      <c r="L1344" s="73" t="n"/>
      <c r="M1344" s="73" t="n"/>
      <c r="N1344" s="57">
        <f>IF($A1344="","",MAX(0,MIN(1,IFERROR(VALUE($M1344),0))))</f>
        <v/>
      </c>
      <c r="O1344" s="57">
        <f>IF($A1344="",0,IF(OR($S1344&lt;&gt;1,COUNTA($J1344:$M1344)=0),0,IF(SUMPRODUCT(MAX(($C$5:$C$2484=$C1344)*($D$5:$D$2484=$D1344)*($S$5:$S$2484=1)*IFERROR($N$5:$N$2484*1,0)))&gt;0,ROUND($H1344*($N1344/SUMPRODUCT(MAX(($C$5:$C$2484=$C1344)*($D$5:$D$2484=$D1344)*($S$5:$S$2484=1)*IFERROR($N$5:$N$2484*1,0)))),4),0)))</f>
        <v/>
      </c>
      <c r="P1344" s="48" t="inlineStr">
        <is>
          <t>coeff.</t>
        </is>
      </c>
      <c r="Q1344" s="57">
        <f>IF($A1344="","",$A1344&amp;"|"&amp;$C1344)</f>
        <v/>
      </c>
      <c r="R1344" s="57">
        <f>IF($A1344="","",$A1344&amp;"|"&amp;$C1344&amp;"|"&amp;$D1344)</f>
        <v/>
      </c>
      <c r="S1344" s="57">
        <f>IF($A1344="","",IFERROR(INDEX(Offerte!$D$2:$D$81,MATCH($Q1344,Offerte!$L$2:$L$81,0)),0))</f>
        <v/>
      </c>
      <c r="T1344" s="57">
        <f>IF($A1344="","",IFERROR(INDEX(Offerte!$G$2:$G$81,MATCH($Q1344,Offerte!$L$2:$L$81,0)),"NO"))</f>
        <v/>
      </c>
    </row>
    <row r="1345">
      <c r="A1345" s="48">
        <f>IF(Offerte!$A45="","",Offerte!$A45)</f>
        <v/>
      </c>
      <c r="B1345" s="48">
        <f>IF(Offerte!$A45="","",Offerte!$B45)</f>
        <v/>
      </c>
      <c r="C1345" s="48">
        <f>IF(Offerte!$A45="","",Offerte!$C45)</f>
        <v/>
      </c>
      <c r="D1345" s="48" t="inlineStr">
        <is>
          <t>C.1.1</t>
        </is>
      </c>
      <c r="E1345" s="48" t="inlineStr">
        <is>
          <t>C</t>
        </is>
      </c>
      <c r="F1345" s="48" t="inlineStr">
        <is>
          <t>Q</t>
        </is>
      </c>
      <c r="G1345" s="48" t="inlineStr">
        <is>
          <t>higher</t>
        </is>
      </c>
      <c r="H1345" s="48" t="n">
        <v>2</v>
      </c>
      <c r="I1345" s="48" t="inlineStr">
        <is>
          <t>Tasso di copertura del servizio con telecamere BSD</t>
        </is>
      </c>
      <c r="J1345" s="73" t="n"/>
      <c r="K1345" s="73" t="n"/>
      <c r="L1345" s="73" t="n"/>
      <c r="M1345" s="73" t="n"/>
      <c r="N1345" s="57">
        <f>IF($A1345="","",IFERROR(VALUE($K1345)/VALUE($L1345),IFERROR(VALUE($J1345),0)))</f>
        <v/>
      </c>
      <c r="O1345" s="57">
        <f>IF($A1345="",0,IF(OR($S1345&lt;&gt;1,COUNTA($J1345:$M1345)=0),0,IF(SUMPRODUCT(MAX(($C$5:$C$2484=$C1345)*($D$5:$D$2484=$D1345)*($S$5:$S$2484=1)*IFERROR($N$5:$N$2484*1,0)))&gt;0,ROUND($H1345*($N1345/SUMPRODUCT(MAX(($C$5:$C$2484=$C1345)*($D$5:$D$2484=$D1345)*($S$5:$S$2484=1)*IFERROR($N$5:$N$2484*1,0)))),4),0)))</f>
        <v/>
      </c>
      <c r="P1345" s="48" t="inlineStr">
        <is>
          <t>Autobus attrezzati con telecamere BSD / Autobus totali in offerta, incluse scorte</t>
        </is>
      </c>
      <c r="Q1345" s="57">
        <f>IF($A1345="","",$A1345&amp;"|"&amp;$C1345)</f>
        <v/>
      </c>
      <c r="R1345" s="57">
        <f>IF($A1345="","",$A1345&amp;"|"&amp;$C1345&amp;"|"&amp;$D1345)</f>
        <v/>
      </c>
      <c r="S1345" s="57">
        <f>IF($A1345="","",IFERROR(INDEX(Offerte!$D$2:$D$81,MATCH($Q1345,Offerte!$L$2:$L$81,0)),0))</f>
        <v/>
      </c>
      <c r="T1345" s="57">
        <f>IF($A1345="","",IFERROR(INDEX(Offerte!$G$2:$G$81,MATCH($Q1345,Offerte!$L$2:$L$81,0)),"NO"))</f>
        <v/>
      </c>
    </row>
    <row r="1346">
      <c r="A1346" s="48">
        <f>IF(Offerte!$A45="","",Offerte!$A45)</f>
        <v/>
      </c>
      <c r="B1346" s="48">
        <f>IF(Offerte!$A45="","",Offerte!$B45)</f>
        <v/>
      </c>
      <c r="C1346" s="48">
        <f>IF(Offerte!$A45="","",Offerte!$C45)</f>
        <v/>
      </c>
      <c r="D1346" s="48" t="inlineStr">
        <is>
          <t>C.1.2</t>
        </is>
      </c>
      <c r="E1346" s="48" t="inlineStr">
        <is>
          <t>C</t>
        </is>
      </c>
      <c r="F1346" s="48" t="inlineStr">
        <is>
          <t>Q</t>
        </is>
      </c>
      <c r="G1346" s="48" t="inlineStr">
        <is>
          <t>higher</t>
        </is>
      </c>
      <c r="H1346" s="48" t="n">
        <v>2</v>
      </c>
      <c r="I1346" s="48" t="inlineStr">
        <is>
          <t>Tasso di copertura del servizio con telecamere ADAS</t>
        </is>
      </c>
      <c r="J1346" s="73" t="n"/>
      <c r="K1346" s="73" t="n"/>
      <c r="L1346" s="73" t="n"/>
      <c r="M1346" s="73" t="n"/>
      <c r="N1346" s="57">
        <f>IF($A1346="","",IFERROR(VALUE($K1346)/VALUE($L1346),IFERROR(VALUE($J1346),0)))</f>
        <v/>
      </c>
      <c r="O1346" s="57">
        <f>IF($A1346="",0,IF(OR($S1346&lt;&gt;1,COUNTA($J1346:$M1346)=0),0,IF(SUMPRODUCT(MAX(($C$5:$C$2484=$C1346)*($D$5:$D$2484=$D1346)*($S$5:$S$2484=1)*IFERROR($N$5:$N$2484*1,0)))&gt;0,ROUND($H1346*($N1346/SUMPRODUCT(MAX(($C$5:$C$2484=$C1346)*($D$5:$D$2484=$D1346)*($S$5:$S$2484=1)*IFERROR($N$5:$N$2484*1,0)))),4),0)))</f>
        <v/>
      </c>
      <c r="P1346" s="48" t="inlineStr">
        <is>
          <t>Autobus attrezzati con telecamere ADAS / Autobus totali in offerta, incluse scorte</t>
        </is>
      </c>
      <c r="Q1346" s="57">
        <f>IF($A1346="","",$A1346&amp;"|"&amp;$C1346)</f>
        <v/>
      </c>
      <c r="R1346" s="57">
        <f>IF($A1346="","",$A1346&amp;"|"&amp;$C1346&amp;"|"&amp;$D1346)</f>
        <v/>
      </c>
      <c r="S1346" s="57">
        <f>IF($A1346="","",IFERROR(INDEX(Offerte!$D$2:$D$81,MATCH($Q1346,Offerte!$L$2:$L$81,0)),0))</f>
        <v/>
      </c>
      <c r="T1346" s="57">
        <f>IF($A1346="","",IFERROR(INDEX(Offerte!$G$2:$G$81,MATCH($Q1346,Offerte!$L$2:$L$81,0)),"NO"))</f>
        <v/>
      </c>
    </row>
    <row r="1347">
      <c r="A1347" s="48">
        <f>IF(Offerte!$A45="","",Offerte!$A45)</f>
        <v/>
      </c>
      <c r="B1347" s="48">
        <f>IF(Offerte!$A45="","",Offerte!$B45)</f>
        <v/>
      </c>
      <c r="C1347" s="48">
        <f>IF(Offerte!$A45="","",Offerte!$C45)</f>
        <v/>
      </c>
      <c r="D1347" s="48" t="inlineStr">
        <is>
          <t>C.2.1</t>
        </is>
      </c>
      <c r="E1347" s="48" t="inlineStr">
        <is>
          <t>C</t>
        </is>
      </c>
      <c r="F1347" s="48" t="inlineStr">
        <is>
          <t>Q</t>
        </is>
      </c>
      <c r="G1347" s="48" t="inlineStr">
        <is>
          <t>higher</t>
        </is>
      </c>
      <c r="H1347" s="48" t="n">
        <v>3</v>
      </c>
      <c r="I1347" s="48" t="inlineStr">
        <is>
          <t>Tasso di copertura del servizio con telecamere di bordo di videosorveglianza</t>
        </is>
      </c>
      <c r="J1347" s="73" t="n"/>
      <c r="K1347" s="73" t="n"/>
      <c r="L1347" s="73" t="n"/>
      <c r="M1347" s="73" t="n"/>
      <c r="N1347" s="57">
        <f>IF($A1347="","",IFERROR(VALUE($K1347)/VALUE($L1347),IFERROR(VALUE($J1347),0)))</f>
        <v/>
      </c>
      <c r="O1347" s="57">
        <f>IF($A1347="",0,IF(OR($S1347&lt;&gt;1,COUNTA($J1347:$M1347)=0),0,IF(SUMPRODUCT(MAX(($C$5:$C$2484=$C1347)*($D$5:$D$2484=$D1347)*($S$5:$S$2484=1)*IFERROR($N$5:$N$2484*1,0)))&gt;0,ROUND($H1347*($N1347/SUMPRODUCT(MAX(($C$5:$C$2484=$C1347)*($D$5:$D$2484=$D1347)*($S$5:$S$2484=1)*IFERROR($N$5:$N$2484*1,0)))),4),0)))</f>
        <v/>
      </c>
      <c r="P1347" s="48" t="inlineStr">
        <is>
          <t>Autobus attrezzati con videosorveglianza / Autobus totali in offerta, incluse scorte</t>
        </is>
      </c>
      <c r="Q1347" s="57">
        <f>IF($A1347="","",$A1347&amp;"|"&amp;$C1347)</f>
        <v/>
      </c>
      <c r="R1347" s="57">
        <f>IF($A1347="","",$A1347&amp;"|"&amp;$C1347&amp;"|"&amp;$D1347)</f>
        <v/>
      </c>
      <c r="S1347" s="57">
        <f>IF($A1347="","",IFERROR(INDEX(Offerte!$D$2:$D$81,MATCH($Q1347,Offerte!$L$2:$L$81,0)),0))</f>
        <v/>
      </c>
      <c r="T1347" s="57">
        <f>IF($A1347="","",IFERROR(INDEX(Offerte!$G$2:$G$81,MATCH($Q1347,Offerte!$L$2:$L$81,0)),"NO"))</f>
        <v/>
      </c>
    </row>
    <row r="1348">
      <c r="A1348" s="48">
        <f>IF(Offerte!$A45="","",Offerte!$A45)</f>
        <v/>
      </c>
      <c r="B1348" s="48">
        <f>IF(Offerte!$A45="","",Offerte!$B45)</f>
        <v/>
      </c>
      <c r="C1348" s="48">
        <f>IF(Offerte!$A45="","",Offerte!$C45)</f>
        <v/>
      </c>
      <c r="D1348" s="48" t="inlineStr">
        <is>
          <t>C.2.2</t>
        </is>
      </c>
      <c r="E1348" s="48" t="inlineStr">
        <is>
          <t>C</t>
        </is>
      </c>
      <c r="F1348" s="48" t="inlineStr">
        <is>
          <t>T</t>
        </is>
      </c>
      <c r="G1348" s="48" t="inlineStr">
        <is>
          <t>tabular</t>
        </is>
      </c>
      <c r="H1348" s="48" t="n">
        <v>1</v>
      </c>
      <c r="I1348" s="48" t="inlineStr">
        <is>
          <t>Software video/audio analisi per situazioni di pericolo</t>
        </is>
      </c>
      <c r="J1348" s="73" t="n"/>
      <c r="K1348" s="73" t="n"/>
      <c r="L1348" s="73" t="n"/>
      <c r="M1348" s="73" t="n"/>
      <c r="N1348" s="57">
        <f>IF($A1348="","",IF(IFERROR(VALUE($M1348),0)=1,1,0))</f>
        <v/>
      </c>
      <c r="O1348" s="57">
        <f>IF($A1348="",0,IF(OR($S1348&lt;&gt;1,COUNTA($J1348:$M1348)=0),0,IF($N1348=1,$H1348,0)))</f>
        <v/>
      </c>
      <c r="P1348" s="48" t="inlineStr">
        <is>
          <t>sì/no</t>
        </is>
      </c>
      <c r="Q1348" s="57">
        <f>IF($A1348="","",$A1348&amp;"|"&amp;$C1348)</f>
        <v/>
      </c>
      <c r="R1348" s="57">
        <f>IF($A1348="","",$A1348&amp;"|"&amp;$C1348&amp;"|"&amp;$D1348)</f>
        <v/>
      </c>
      <c r="S1348" s="57">
        <f>IF($A1348="","",IFERROR(INDEX(Offerte!$D$2:$D$81,MATCH($Q1348,Offerte!$L$2:$L$81,0)),0))</f>
        <v/>
      </c>
      <c r="T1348" s="57">
        <f>IF($A1348="","",IFERROR(INDEX(Offerte!$G$2:$G$81,MATCH($Q1348,Offerte!$L$2:$L$81,0)),"NO"))</f>
        <v/>
      </c>
    </row>
    <row r="1349">
      <c r="A1349" s="48">
        <f>IF(Offerte!$A45="","",Offerte!$A45)</f>
        <v/>
      </c>
      <c r="B1349" s="48">
        <f>IF(Offerte!$A45="","",Offerte!$B45)</f>
        <v/>
      </c>
      <c r="C1349" s="48">
        <f>IF(Offerte!$A45="","",Offerte!$C45)</f>
        <v/>
      </c>
      <c r="D1349" s="48" t="inlineStr">
        <is>
          <t>C.2.3</t>
        </is>
      </c>
      <c r="E1349" s="48" t="inlineStr">
        <is>
          <t>C</t>
        </is>
      </c>
      <c r="F1349" s="48" t="inlineStr">
        <is>
          <t>T</t>
        </is>
      </c>
      <c r="G1349" s="48" t="inlineStr">
        <is>
          <t>tabular</t>
        </is>
      </c>
      <c r="H1349" s="48" t="n">
        <v>1</v>
      </c>
      <c r="I1349" s="48" t="inlineStr">
        <is>
          <t>Collegamento con centrale qualificata di pronto intervento</t>
        </is>
      </c>
      <c r="J1349" s="73" t="n"/>
      <c r="K1349" s="73" t="n"/>
      <c r="L1349" s="73" t="n"/>
      <c r="M1349" s="73" t="n"/>
      <c r="N1349" s="57">
        <f>IF($A1349="","",IF(IFERROR(VALUE($M1349),0)=1,1,0))</f>
        <v/>
      </c>
      <c r="O1349" s="57">
        <f>IF($A1349="",0,IF(OR($S1349&lt;&gt;1,COUNTA($J1349:$M1349)=0),0,IF($N1349=1,$H1349,0)))</f>
        <v/>
      </c>
      <c r="P1349" s="48" t="inlineStr">
        <is>
          <t>sì/no</t>
        </is>
      </c>
      <c r="Q1349" s="57">
        <f>IF($A1349="","",$A1349&amp;"|"&amp;$C1349)</f>
        <v/>
      </c>
      <c r="R1349" s="57">
        <f>IF($A1349="","",$A1349&amp;"|"&amp;$C1349&amp;"|"&amp;$D1349)</f>
        <v/>
      </c>
      <c r="S1349" s="57">
        <f>IF($A1349="","",IFERROR(INDEX(Offerte!$D$2:$D$81,MATCH($Q1349,Offerte!$L$2:$L$81,0)),0))</f>
        <v/>
      </c>
      <c r="T1349" s="57">
        <f>IF($A1349="","",IFERROR(INDEX(Offerte!$G$2:$G$81,MATCH($Q1349,Offerte!$L$2:$L$81,0)),"NO"))</f>
        <v/>
      </c>
    </row>
    <row r="1350">
      <c r="A1350" s="48">
        <f>IF(Offerte!$A45="","",Offerte!$A45)</f>
        <v/>
      </c>
      <c r="B1350" s="48">
        <f>IF(Offerte!$A45="","",Offerte!$B45)</f>
        <v/>
      </c>
      <c r="C1350" s="48">
        <f>IF(Offerte!$A45="","",Offerte!$C45)</f>
        <v/>
      </c>
      <c r="D1350" s="48" t="inlineStr">
        <is>
          <t>C.2.4</t>
        </is>
      </c>
      <c r="E1350" s="48" t="inlineStr">
        <is>
          <t>C</t>
        </is>
      </c>
      <c r="F1350" s="48" t="inlineStr">
        <is>
          <t>Q</t>
        </is>
      </c>
      <c r="G1350" s="48" t="inlineStr">
        <is>
          <t>higher</t>
        </is>
      </c>
      <c r="H1350" s="48" t="n">
        <v>1</v>
      </c>
      <c r="I1350" s="48" t="inlineStr">
        <is>
          <t>Tasso di copertura del servizio con dispositivi per la chiamata di emergenza del conducente</t>
        </is>
      </c>
      <c r="J1350" s="73" t="n"/>
      <c r="K1350" s="73" t="n"/>
      <c r="L1350" s="73" t="n"/>
      <c r="M1350" s="73" t="n"/>
      <c r="N1350" s="57">
        <f>IF($A1350="","",IFERROR(VALUE($K1350)/VALUE($L1350),IFERROR(VALUE($J1350),0)))</f>
        <v/>
      </c>
      <c r="O1350" s="57">
        <f>IF($A1350="",0,IF(OR($S1350&lt;&gt;1,COUNTA($J1350:$M1350)=0),0,IF(SUMPRODUCT(MAX(($C$5:$C$2484=$C1350)*($D$5:$D$2484=$D1350)*($S$5:$S$2484=1)*IFERROR($N$5:$N$2484*1,0)))&gt;0,ROUND($H1350*($N1350/SUMPRODUCT(MAX(($C$5:$C$2484=$C1350)*($D$5:$D$2484=$D1350)*($S$5:$S$2484=1)*IFERROR($N$5:$N$2484*1,0)))),4),0)))</f>
        <v/>
      </c>
      <c r="P1350" s="48" t="inlineStr">
        <is>
          <t>Autobus attrezzati con chiamata di emergenza / Autobus totali in offerta, incluse scorte</t>
        </is>
      </c>
      <c r="Q1350" s="57">
        <f>IF($A1350="","",$A1350&amp;"|"&amp;$C1350)</f>
        <v/>
      </c>
      <c r="R1350" s="57">
        <f>IF($A1350="","",$A1350&amp;"|"&amp;$C1350&amp;"|"&amp;$D1350)</f>
        <v/>
      </c>
      <c r="S1350" s="57">
        <f>IF($A1350="","",IFERROR(INDEX(Offerte!$D$2:$D$81,MATCH($Q1350,Offerte!$L$2:$L$81,0)),0))</f>
        <v/>
      </c>
      <c r="T1350" s="57">
        <f>IF($A1350="","",IFERROR(INDEX(Offerte!$G$2:$G$81,MATCH($Q1350,Offerte!$L$2:$L$81,0)),"NO"))</f>
        <v/>
      </c>
    </row>
    <row r="1351">
      <c r="A1351" s="48">
        <f>IF(Offerte!$A45="","",Offerte!$A45)</f>
        <v/>
      </c>
      <c r="B1351" s="48">
        <f>IF(Offerte!$A45="","",Offerte!$B45)</f>
        <v/>
      </c>
      <c r="C1351" s="48">
        <f>IF(Offerte!$A45="","",Offerte!$C45)</f>
        <v/>
      </c>
      <c r="D1351" s="48" t="inlineStr">
        <is>
          <t>C.3.1</t>
        </is>
      </c>
      <c r="E1351" s="48" t="inlineStr">
        <is>
          <t>C</t>
        </is>
      </c>
      <c r="F1351" s="48" t="inlineStr">
        <is>
          <t>Q</t>
        </is>
      </c>
      <c r="G1351" s="48" t="inlineStr">
        <is>
          <t>higher</t>
        </is>
      </c>
      <c r="H1351" s="48" t="n">
        <v>2</v>
      </c>
      <c r="I1351" s="48" t="inlineStr">
        <is>
          <t>Tasso di copertura del servizio con dispositivi di informazione dinamica a bordo mezzo</t>
        </is>
      </c>
      <c r="J1351" s="73" t="n"/>
      <c r="K1351" s="73" t="n"/>
      <c r="L1351" s="73" t="n"/>
      <c r="M1351" s="73" t="n"/>
      <c r="N1351" s="57">
        <f>IF($A1351="","",IFERROR(VALUE($K1351)/VALUE($L1351),IFERROR(VALUE($J1351),0)))</f>
        <v/>
      </c>
      <c r="O1351" s="57">
        <f>IF($A1351="",0,IF(OR($S1351&lt;&gt;1,COUNTA($J1351:$M1351)=0),0,IF(SUMPRODUCT(MAX(($C$5:$C$2484=$C1351)*($D$5:$D$2484=$D1351)*($S$5:$S$2484=1)*IFERROR($N$5:$N$2484*1,0)))&gt;0,ROUND($H1351*($N1351/SUMPRODUCT(MAX(($C$5:$C$2484=$C1351)*($D$5:$D$2484=$D1351)*($S$5:$S$2484=1)*IFERROR($N$5:$N$2484*1,0)))),4),0)))</f>
        <v/>
      </c>
      <c r="P1351" s="48" t="inlineStr">
        <is>
          <t>Autobus con monitor e indicatori vocali / Autobus totali in offerta, incluse scorte</t>
        </is>
      </c>
      <c r="Q1351" s="57">
        <f>IF($A1351="","",$A1351&amp;"|"&amp;$C1351)</f>
        <v/>
      </c>
      <c r="R1351" s="57">
        <f>IF($A1351="","",$A1351&amp;"|"&amp;$C1351&amp;"|"&amp;$D1351)</f>
        <v/>
      </c>
      <c r="S1351" s="57">
        <f>IF($A1351="","",IFERROR(INDEX(Offerte!$D$2:$D$81,MATCH($Q1351,Offerte!$L$2:$L$81,0)),0))</f>
        <v/>
      </c>
      <c r="T1351" s="57">
        <f>IF($A1351="","",IFERROR(INDEX(Offerte!$G$2:$G$81,MATCH($Q1351,Offerte!$L$2:$L$81,0)),"NO"))</f>
        <v/>
      </c>
    </row>
    <row r="1352">
      <c r="A1352" s="48">
        <f>IF(Offerte!$A45="","",Offerte!$A45)</f>
        <v/>
      </c>
      <c r="B1352" s="48">
        <f>IF(Offerte!$A45="","",Offerte!$B45)</f>
        <v/>
      </c>
      <c r="C1352" s="48">
        <f>IF(Offerte!$A45="","",Offerte!$C45)</f>
        <v/>
      </c>
      <c r="D1352" s="48" t="inlineStr">
        <is>
          <t>C.3.2</t>
        </is>
      </c>
      <c r="E1352" s="48" t="inlineStr">
        <is>
          <t>C</t>
        </is>
      </c>
      <c r="F1352" s="48" t="inlineStr">
        <is>
          <t>T</t>
        </is>
      </c>
      <c r="G1352" s="48" t="inlineStr">
        <is>
          <t>tabular</t>
        </is>
      </c>
      <c r="H1352" s="48" t="n">
        <v>2</v>
      </c>
      <c r="I1352" s="48" t="inlineStr">
        <is>
          <t>Informazioni a bordo su coincidenze ai nodi</t>
        </is>
      </c>
      <c r="J1352" s="73" t="n"/>
      <c r="K1352" s="73" t="n"/>
      <c r="L1352" s="73" t="n"/>
      <c r="M1352" s="73" t="n"/>
      <c r="N1352" s="57">
        <f>IF($A1352="","",IF(IFERROR(VALUE($M1352),0)=1,1,0))</f>
        <v/>
      </c>
      <c r="O1352" s="57">
        <f>IF($A1352="",0,IF(OR($S1352&lt;&gt;1,COUNTA($J1352:$M1352)=0),0,IF(AND($N1352=1,IFERROR(SUMIFS($N$5:$N$2484,$Q$5:$Q$2484,$Q1352,$D$5:$D$2484,"C.3.1"),0)&gt;=0.5),$H1352,0)))</f>
        <v/>
      </c>
      <c r="P1352" s="48" t="inlineStr">
        <is>
          <t>Dipende da C.3.1 &gt;= 0.5</t>
        </is>
      </c>
      <c r="Q1352" s="57">
        <f>IF($A1352="","",$A1352&amp;"|"&amp;$C1352)</f>
        <v/>
      </c>
      <c r="R1352" s="57">
        <f>IF($A1352="","",$A1352&amp;"|"&amp;$C1352&amp;"|"&amp;$D1352)</f>
        <v/>
      </c>
      <c r="S1352" s="57">
        <f>IF($A1352="","",IFERROR(INDEX(Offerte!$D$2:$D$81,MATCH($Q1352,Offerte!$L$2:$L$81,0)),0))</f>
        <v/>
      </c>
      <c r="T1352" s="57">
        <f>IF($A1352="","",IFERROR(INDEX(Offerte!$G$2:$G$81,MATCH($Q1352,Offerte!$L$2:$L$81,0)),"NO"))</f>
        <v/>
      </c>
    </row>
    <row r="1353">
      <c r="A1353" s="48">
        <f>IF(Offerte!$A45="","",Offerte!$A45)</f>
        <v/>
      </c>
      <c r="B1353" s="48">
        <f>IF(Offerte!$A45="","",Offerte!$B45)</f>
        <v/>
      </c>
      <c r="C1353" s="48">
        <f>IF(Offerte!$A45="","",Offerte!$C45)</f>
        <v/>
      </c>
      <c r="D1353" s="48" t="inlineStr">
        <is>
          <t>D.1.1</t>
        </is>
      </c>
      <c r="E1353" s="48" t="inlineStr">
        <is>
          <t>D</t>
        </is>
      </c>
      <c r="F1353" s="48" t="inlineStr">
        <is>
          <t>Q</t>
        </is>
      </c>
      <c r="G1353" s="48" t="inlineStr">
        <is>
          <t>higher</t>
        </is>
      </c>
      <c r="H1353" s="48" t="n">
        <v>3</v>
      </c>
      <c r="I1353" s="48" t="inlineStr">
        <is>
          <t>Installazione di pensiline</t>
        </is>
      </c>
      <c r="J1353" s="73" t="n"/>
      <c r="K1353" s="73" t="n"/>
      <c r="L1353" s="73" t="n"/>
      <c r="M1353" s="73" t="n"/>
      <c r="N1353" s="57">
        <f>IF($A1353="","",IFERROR(VALUE($J1353),0))</f>
        <v/>
      </c>
      <c r="O1353" s="57">
        <f>IF($A1353="",0,IF(OR($S1353&lt;&gt;1,COUNTA($J1353:$M1353)=0),0,IF(SUMPRODUCT(MAX(($C$5:$C$2484=$C1353)*($D$5:$D$2484=$D1353)*($S$5:$S$2484=1)*IFERROR($N$5:$N$2484*1,0)))&gt;0,ROUND($H1353*($N1353/SUMPRODUCT(MAX(($C$5:$C$2484=$C1353)*($D$5:$D$2484=$D1353)*($S$5:$S$2484=1)*IFERROR($N$5:$N$2484*1,0)))),4),0)))</f>
        <v/>
      </c>
      <c r="P1353" s="48" t="inlineStr">
        <is>
          <t>fermate</t>
        </is>
      </c>
      <c r="Q1353" s="57">
        <f>IF($A1353="","",$A1353&amp;"|"&amp;$C1353)</f>
        <v/>
      </c>
      <c r="R1353" s="57">
        <f>IF($A1353="","",$A1353&amp;"|"&amp;$C1353&amp;"|"&amp;$D1353)</f>
        <v/>
      </c>
      <c r="S1353" s="57">
        <f>IF($A1353="","",IFERROR(INDEX(Offerte!$D$2:$D$81,MATCH($Q1353,Offerte!$L$2:$L$81,0)),0))</f>
        <v/>
      </c>
      <c r="T1353" s="57">
        <f>IF($A1353="","",IFERROR(INDEX(Offerte!$G$2:$G$81,MATCH($Q1353,Offerte!$L$2:$L$81,0)),"NO"))</f>
        <v/>
      </c>
    </row>
    <row r="1354">
      <c r="A1354" s="48">
        <f>IF(Offerte!$A45="","",Offerte!$A45)</f>
        <v/>
      </c>
      <c r="B1354" s="48">
        <f>IF(Offerte!$A45="","",Offerte!$B45)</f>
        <v/>
      </c>
      <c r="C1354" s="48">
        <f>IF(Offerte!$A45="","",Offerte!$C45)</f>
        <v/>
      </c>
      <c r="D1354" s="48" t="inlineStr">
        <is>
          <t>D.1.2</t>
        </is>
      </c>
      <c r="E1354" s="48" t="inlineStr">
        <is>
          <t>D</t>
        </is>
      </c>
      <c r="F1354" s="48" t="inlineStr">
        <is>
          <t>Q</t>
        </is>
      </c>
      <c r="G1354" s="48" t="inlineStr">
        <is>
          <t>higher</t>
        </is>
      </c>
      <c r="H1354" s="48" t="n">
        <v>3</v>
      </c>
      <c r="I1354" s="48" t="inlineStr">
        <is>
          <t>Installazione di paline di fermata conformi alla DGR 581/2023</t>
        </is>
      </c>
      <c r="J1354" s="73" t="n"/>
      <c r="K1354" s="73" t="n"/>
      <c r="L1354" s="73" t="n"/>
      <c r="M1354" s="73" t="n"/>
      <c r="N1354" s="57">
        <f>IF($A1354="","",IFERROR(VALUE($J1354),0))</f>
        <v/>
      </c>
      <c r="O1354" s="57">
        <f>IF($A1354="",0,IF(OR($S1354&lt;&gt;1,COUNTA($J1354:$M1354)=0),0,IF(SUMPRODUCT(MAX(($C$5:$C$2484=$C1354)*($D$5:$D$2484=$D1354)*($S$5:$S$2484=1)*IFERROR($N$5:$N$2484*1,0)))&gt;0,ROUND($H1354*($N1354/SUMPRODUCT(MAX(($C$5:$C$2484=$C1354)*($D$5:$D$2484=$D1354)*($S$5:$S$2484=1)*IFERROR($N$5:$N$2484*1,0)))),4),0)))</f>
        <v/>
      </c>
      <c r="P1354" s="48" t="inlineStr">
        <is>
          <t>fermate</t>
        </is>
      </c>
      <c r="Q1354" s="57">
        <f>IF($A1354="","",$A1354&amp;"|"&amp;$C1354)</f>
        <v/>
      </c>
      <c r="R1354" s="57">
        <f>IF($A1354="","",$A1354&amp;"|"&amp;$C1354&amp;"|"&amp;$D1354)</f>
        <v/>
      </c>
      <c r="S1354" s="57">
        <f>IF($A1354="","",IFERROR(INDEX(Offerte!$D$2:$D$81,MATCH($Q1354,Offerte!$L$2:$L$81,0)),0))</f>
        <v/>
      </c>
      <c r="T1354" s="57">
        <f>IF($A1354="","",IFERROR(INDEX(Offerte!$G$2:$G$81,MATCH($Q1354,Offerte!$L$2:$L$81,0)),"NO"))</f>
        <v/>
      </c>
    </row>
    <row r="1355">
      <c r="A1355" s="48">
        <f>IF(Offerte!$A45="","",Offerte!$A45)</f>
        <v/>
      </c>
      <c r="B1355" s="48">
        <f>IF(Offerte!$A45="","",Offerte!$B45)</f>
        <v/>
      </c>
      <c r="C1355" s="48">
        <f>IF(Offerte!$A45="","",Offerte!$C45)</f>
        <v/>
      </c>
      <c r="D1355" s="48" t="inlineStr">
        <is>
          <t>D.1.3</t>
        </is>
      </c>
      <c r="E1355" s="48" t="inlineStr">
        <is>
          <t>D</t>
        </is>
      </c>
      <c r="F1355" s="48" t="inlineStr">
        <is>
          <t>Q</t>
        </is>
      </c>
      <c r="G1355" s="48" t="inlineStr">
        <is>
          <t>higher</t>
        </is>
      </c>
      <c r="H1355" s="48" t="n">
        <v>2</v>
      </c>
      <c r="I1355" s="48" t="inlineStr">
        <is>
          <t>Display informativi connessi alle fermate</t>
        </is>
      </c>
      <c r="J1355" s="73" t="n"/>
      <c r="K1355" s="73" t="n"/>
      <c r="L1355" s="73" t="n"/>
      <c r="M1355" s="73" t="n"/>
      <c r="N1355" s="57">
        <f>IF($A1355="","",IFERROR(VALUE($J1355),0))</f>
        <v/>
      </c>
      <c r="O1355" s="57">
        <f>IF($A1355="",0,IF(OR($S1355&lt;&gt;1,COUNTA($J1355:$M1355)=0),0,IF(SUMPRODUCT(MAX(($C$5:$C$2484=$C1355)*($D$5:$D$2484=$D1355)*($S$5:$S$2484=1)*IFERROR($N$5:$N$2484*1,0)))&gt;0,ROUND($H1355*($N1355/SUMPRODUCT(MAX(($C$5:$C$2484=$C1355)*($D$5:$D$2484=$D1355)*($S$5:$S$2484=1)*IFERROR($N$5:$N$2484*1,0)))),4),0)))</f>
        <v/>
      </c>
      <c r="P1355" s="48" t="inlineStr">
        <is>
          <t>fermate</t>
        </is>
      </c>
      <c r="Q1355" s="57">
        <f>IF($A1355="","",$A1355&amp;"|"&amp;$C1355)</f>
        <v/>
      </c>
      <c r="R1355" s="57">
        <f>IF($A1355="","",$A1355&amp;"|"&amp;$C1355&amp;"|"&amp;$D1355)</f>
        <v/>
      </c>
      <c r="S1355" s="57">
        <f>IF($A1355="","",IFERROR(INDEX(Offerte!$D$2:$D$81,MATCH($Q1355,Offerte!$L$2:$L$81,0)),0))</f>
        <v/>
      </c>
      <c r="T1355" s="57">
        <f>IF($A1355="","",IFERROR(INDEX(Offerte!$G$2:$G$81,MATCH($Q1355,Offerte!$L$2:$L$81,0)),"NO"))</f>
        <v/>
      </c>
    </row>
    <row r="1356">
      <c r="A1356" s="48">
        <f>IF(Offerte!$A45="","",Offerte!$A45)</f>
        <v/>
      </c>
      <c r="B1356" s="48">
        <f>IF(Offerte!$A45="","",Offerte!$B45)</f>
        <v/>
      </c>
      <c r="C1356" s="48">
        <f>IF(Offerte!$A45="","",Offerte!$C45)</f>
        <v/>
      </c>
      <c r="D1356" s="48" t="inlineStr">
        <is>
          <t>D.2.1</t>
        </is>
      </c>
      <c r="E1356" s="48" t="inlineStr">
        <is>
          <t>D</t>
        </is>
      </c>
      <c r="F1356" s="48" t="inlineStr">
        <is>
          <t>Q</t>
        </is>
      </c>
      <c r="G1356" s="48" t="inlineStr">
        <is>
          <t>higher</t>
        </is>
      </c>
      <c r="H1356" s="48" t="n">
        <v>2</v>
      </c>
      <c r="I1356" s="48" t="inlineStr">
        <is>
          <t>Segnali tattili Loges-Vet-Evolution</t>
        </is>
      </c>
      <c r="J1356" s="73" t="n"/>
      <c r="K1356" s="73" t="n"/>
      <c r="L1356" s="73" t="n"/>
      <c r="M1356" s="73" t="n"/>
      <c r="N1356" s="57">
        <f>IF($A1356="","",IFERROR(VALUE($J1356),0))</f>
        <v/>
      </c>
      <c r="O1356" s="57">
        <f>IF($A1356="",0,IF(OR($S1356&lt;&gt;1,COUNTA($J1356:$M1356)=0),0,IF(SUMPRODUCT(MAX(($C$5:$C$2484=$C1356)*($D$5:$D$2484=$D1356)*($S$5:$S$2484=1)*IFERROR($N$5:$N$2484*1,0)))&gt;0,ROUND($H1356*($N1356/SUMPRODUCT(MAX(($C$5:$C$2484=$C1356)*($D$5:$D$2484=$D1356)*($S$5:$S$2484=1)*IFERROR($N$5:$N$2484*1,0)))),4),0)))</f>
        <v/>
      </c>
      <c r="P1356" s="48" t="inlineStr">
        <is>
          <t>fermate</t>
        </is>
      </c>
      <c r="Q1356" s="57">
        <f>IF($A1356="","",$A1356&amp;"|"&amp;$C1356)</f>
        <v/>
      </c>
      <c r="R1356" s="57">
        <f>IF($A1356="","",$A1356&amp;"|"&amp;$C1356&amp;"|"&amp;$D1356)</f>
        <v/>
      </c>
      <c r="S1356" s="57">
        <f>IF($A1356="","",IFERROR(INDEX(Offerte!$D$2:$D$81,MATCH($Q1356,Offerte!$L$2:$L$81,0)),0))</f>
        <v/>
      </c>
      <c r="T1356" s="57">
        <f>IF($A1356="","",IFERROR(INDEX(Offerte!$G$2:$G$81,MATCH($Q1356,Offerte!$L$2:$L$81,0)),"NO"))</f>
        <v/>
      </c>
    </row>
    <row r="1357">
      <c r="A1357" s="48">
        <f>IF(Offerte!$A45="","",Offerte!$A45)</f>
        <v/>
      </c>
      <c r="B1357" s="48">
        <f>IF(Offerte!$A45="","",Offerte!$B45)</f>
        <v/>
      </c>
      <c r="C1357" s="48">
        <f>IF(Offerte!$A45="","",Offerte!$C45)</f>
        <v/>
      </c>
      <c r="D1357" s="48" t="inlineStr">
        <is>
          <t>E.1.1</t>
        </is>
      </c>
      <c r="E1357" s="48" t="inlineStr">
        <is>
          <t>E</t>
        </is>
      </c>
      <c r="F1357" s="48" t="inlineStr">
        <is>
          <t>T</t>
        </is>
      </c>
      <c r="G1357" s="48" t="inlineStr">
        <is>
          <t>tabular</t>
        </is>
      </c>
      <c r="H1357" s="48" t="n">
        <v>2</v>
      </c>
      <c r="I1357" s="48" t="inlineStr">
        <is>
          <t>Mobile app con travel planner PRM</t>
        </is>
      </c>
      <c r="J1357" s="73" t="n"/>
      <c r="K1357" s="73" t="n"/>
      <c r="L1357" s="73" t="n"/>
      <c r="M1357" s="73" t="n"/>
      <c r="N1357" s="57">
        <f>IF($A1357="","",IF(IFERROR(VALUE($M1357),0)=1,1,0))</f>
        <v/>
      </c>
      <c r="O1357" s="57">
        <f>IF($A1357="",0,IF(OR($S1357&lt;&gt;1,COUNTA($J1357:$M1357)=0),0,IF($N1357=1,$H1357,0)))</f>
        <v/>
      </c>
      <c r="P1357" s="48" t="inlineStr">
        <is>
          <t>sì/no</t>
        </is>
      </c>
      <c r="Q1357" s="57">
        <f>IF($A1357="","",$A1357&amp;"|"&amp;$C1357)</f>
        <v/>
      </c>
      <c r="R1357" s="57">
        <f>IF($A1357="","",$A1357&amp;"|"&amp;$C1357&amp;"|"&amp;$D1357)</f>
        <v/>
      </c>
      <c r="S1357" s="57">
        <f>IF($A1357="","",IFERROR(INDEX(Offerte!$D$2:$D$81,MATCH($Q1357,Offerte!$L$2:$L$81,0)),0))</f>
        <v/>
      </c>
      <c r="T1357" s="57">
        <f>IF($A1357="","",IFERROR(INDEX(Offerte!$G$2:$G$81,MATCH($Q1357,Offerte!$L$2:$L$81,0)),"NO"))</f>
        <v/>
      </c>
    </row>
    <row r="1358">
      <c r="A1358" s="48">
        <f>IF(Offerte!$A45="","",Offerte!$A45)</f>
        <v/>
      </c>
      <c r="B1358" s="48">
        <f>IF(Offerte!$A45="","",Offerte!$B45)</f>
        <v/>
      </c>
      <c r="C1358" s="48">
        <f>IF(Offerte!$A45="","",Offerte!$C45)</f>
        <v/>
      </c>
      <c r="D1358" s="48" t="inlineStr">
        <is>
          <t>E.2.1</t>
        </is>
      </c>
      <c r="E1358" s="48" t="inlineStr">
        <is>
          <t>E</t>
        </is>
      </c>
      <c r="F1358" s="48" t="inlineStr">
        <is>
          <t>D</t>
        </is>
      </c>
      <c r="G1358" s="48" t="inlineStr">
        <is>
          <t>discretionary</t>
        </is>
      </c>
      <c r="H1358" s="48" t="n">
        <v>2</v>
      </c>
      <c r="I1358" s="48" t="inlineStr">
        <is>
          <t>Altre azioni informative e rapporti con gli utenti</t>
        </is>
      </c>
      <c r="J1358" s="73" t="n"/>
      <c r="K1358" s="73" t="n"/>
      <c r="L1358" s="73" t="n"/>
      <c r="M1358" s="73" t="n"/>
      <c r="N1358" s="57">
        <f>IF($A1358="","",MAX(0,MIN(1,IFERROR(VALUE($M1358),0))))</f>
        <v/>
      </c>
      <c r="O1358" s="57">
        <f>IF($A1358="",0,IF(OR($S1358&lt;&gt;1,COUNTA($J1358:$M1358)=0),0,IF(SUMPRODUCT(MAX(($C$5:$C$2484=$C1358)*($D$5:$D$2484=$D1358)*($S$5:$S$2484=1)*IFERROR($N$5:$N$2484*1,0)))&gt;0,ROUND($H1358*($N1358/SUMPRODUCT(MAX(($C$5:$C$2484=$C1358)*($D$5:$D$2484=$D1358)*($S$5:$S$2484=1)*IFERROR($N$5:$N$2484*1,0)))),4),0)))</f>
        <v/>
      </c>
      <c r="P1358" s="48" t="inlineStr">
        <is>
          <t>coeff.</t>
        </is>
      </c>
      <c r="Q1358" s="57">
        <f>IF($A1358="","",$A1358&amp;"|"&amp;$C1358)</f>
        <v/>
      </c>
      <c r="R1358" s="57">
        <f>IF($A1358="","",$A1358&amp;"|"&amp;$C1358&amp;"|"&amp;$D1358)</f>
        <v/>
      </c>
      <c r="S1358" s="57">
        <f>IF($A1358="","",IFERROR(INDEX(Offerte!$D$2:$D$81,MATCH($Q1358,Offerte!$L$2:$L$81,0)),0))</f>
        <v/>
      </c>
      <c r="T1358" s="57">
        <f>IF($A1358="","",IFERROR(INDEX(Offerte!$G$2:$G$81,MATCH($Q1358,Offerte!$L$2:$L$81,0)),"NO"))</f>
        <v/>
      </c>
    </row>
    <row r="1359">
      <c r="A1359" s="48">
        <f>IF(Offerte!$A45="","",Offerte!$A45)</f>
        <v/>
      </c>
      <c r="B1359" s="48">
        <f>IF(Offerte!$A45="","",Offerte!$B45)</f>
        <v/>
      </c>
      <c r="C1359" s="48">
        <f>IF(Offerte!$A45="","",Offerte!$C45)</f>
        <v/>
      </c>
      <c r="D1359" s="48" t="inlineStr">
        <is>
          <t>F.1.1</t>
        </is>
      </c>
      <c r="E1359" s="48" t="inlineStr">
        <is>
          <t>F</t>
        </is>
      </c>
      <c r="F1359" s="48" t="inlineStr">
        <is>
          <t>Q</t>
        </is>
      </c>
      <c r="G1359" s="48" t="inlineStr">
        <is>
          <t>lower</t>
        </is>
      </c>
      <c r="H1359" s="48" t="n">
        <v>7</v>
      </c>
      <c r="I1359" s="48" t="inlineStr">
        <is>
          <t>Performance ambientali del parco mezzi adibito al servizio - I_CEA</t>
        </is>
      </c>
      <c r="J1359" s="73" t="n"/>
      <c r="K1359" s="73" t="n"/>
      <c r="L1359" s="73" t="n"/>
      <c r="M1359" s="73" t="n"/>
      <c r="N1359" s="57">
        <f>IF($A1359="","",IFERROR(VALUE($J1359),0))</f>
        <v/>
      </c>
      <c r="O1359" s="57">
        <f>IF($A1359="",0,IF(OR($S1359&lt;&gt;1,COUNTA($J1359:$M1359)=0),0,IF(AND(IFERROR(AGGREGATE(15,6,$N$5:$N$2484/(($C$5:$C$2484=$C1359)*($D$5:$D$2484=$D1359)*($S$5:$S$2484=1)*($N$5:$N$2484&gt;0)),1),0)&gt;0,$N1359&gt;0),ROUND($H1359*(IFERROR(AGGREGATE(15,6,$N$5:$N$2484/(($C$5:$C$2484=$C1359)*($D$5:$D$2484=$D1359)*($S$5:$S$2484=1)*($N$5:$N$2484&gt;0)),1),0)/$N1359),4),0)))</f>
        <v/>
      </c>
      <c r="P1359" s="48" t="inlineStr">
        <is>
          <t>indice</t>
        </is>
      </c>
      <c r="Q1359" s="57">
        <f>IF($A1359="","",$A1359&amp;"|"&amp;$C1359)</f>
        <v/>
      </c>
      <c r="R1359" s="57">
        <f>IF($A1359="","",$A1359&amp;"|"&amp;$C1359&amp;"|"&amp;$D1359)</f>
        <v/>
      </c>
      <c r="S1359" s="57">
        <f>IF($A1359="","",IFERROR(INDEX(Offerte!$D$2:$D$81,MATCH($Q1359,Offerte!$L$2:$L$81,0)),0))</f>
        <v/>
      </c>
      <c r="T1359" s="57">
        <f>IF($A1359="","",IFERROR(INDEX(Offerte!$G$2:$G$81,MATCH($Q1359,Offerte!$L$2:$L$81,0)),"NO"))</f>
        <v/>
      </c>
    </row>
    <row r="1360">
      <c r="A1360" s="48">
        <f>IF(Offerte!$A45="","",Offerte!$A45)</f>
        <v/>
      </c>
      <c r="B1360" s="48">
        <f>IF(Offerte!$A45="","",Offerte!$B45)</f>
        <v/>
      </c>
      <c r="C1360" s="48">
        <f>IF(Offerte!$A45="","",Offerte!$C45)</f>
        <v/>
      </c>
      <c r="D1360" s="48" t="inlineStr">
        <is>
          <t>F.2.1</t>
        </is>
      </c>
      <c r="E1360" s="48" t="inlineStr">
        <is>
          <t>F</t>
        </is>
      </c>
      <c r="F1360" s="48" t="inlineStr">
        <is>
          <t>Q</t>
        </is>
      </c>
      <c r="G1360" s="48" t="inlineStr">
        <is>
          <t>higher</t>
        </is>
      </c>
      <c r="H1360" s="48" t="n">
        <v>2</v>
      </c>
      <c r="I1360" s="48" t="inlineStr">
        <is>
          <t>Tasso di copertura del servizio con dispositivi ECO-DRIVER</t>
        </is>
      </c>
      <c r="J1360" s="73" t="n"/>
      <c r="K1360" s="73" t="n"/>
      <c r="L1360" s="73" t="n"/>
      <c r="M1360" s="73" t="n"/>
      <c r="N1360" s="57">
        <f>IF($A1360="","",IFERROR(VALUE($K1360)/VALUE($L1360),IFERROR(VALUE($J1360),0)))</f>
        <v/>
      </c>
      <c r="O1360" s="57">
        <f>IF($A1360="",0,IF(OR($S1360&lt;&gt;1,COUNTA($J1360:$M1360)=0),0,IF(SUMPRODUCT(MAX(($C$5:$C$2484=$C1360)*($D$5:$D$2484=$D1360)*($S$5:$S$2484=1)*IFERROR($N$5:$N$2484*1,0)))&gt;0,ROUND($H1360*($N1360/SUMPRODUCT(MAX(($C$5:$C$2484=$C1360)*($D$5:$D$2484=$D1360)*($S$5:$S$2484=1)*IFERROR($N$5:$N$2484*1,0)))),4),0)))</f>
        <v/>
      </c>
      <c r="P1360" s="48" t="inlineStr">
        <is>
          <t>Autobus attrezzati con dispositivi ECO-DRIVER / Autobus totali in offerta, incluse scorte</t>
        </is>
      </c>
      <c r="Q1360" s="57">
        <f>IF($A1360="","",$A1360&amp;"|"&amp;$C1360)</f>
        <v/>
      </c>
      <c r="R1360" s="57">
        <f>IF($A1360="","",$A1360&amp;"|"&amp;$C1360&amp;"|"&amp;$D1360)</f>
        <v/>
      </c>
      <c r="S1360" s="57">
        <f>IF($A1360="","",IFERROR(INDEX(Offerte!$D$2:$D$81,MATCH($Q1360,Offerte!$L$2:$L$81,0)),0))</f>
        <v/>
      </c>
      <c r="T1360" s="57">
        <f>IF($A1360="","",IFERROR(INDEX(Offerte!$G$2:$G$81,MATCH($Q1360,Offerte!$L$2:$L$81,0)),"NO"))</f>
        <v/>
      </c>
    </row>
    <row r="1361">
      <c r="A1361" s="48">
        <f>IF(Offerte!$A45="","",Offerte!$A45)</f>
        <v/>
      </c>
      <c r="B1361" s="48">
        <f>IF(Offerte!$A45="","",Offerte!$B45)</f>
        <v/>
      </c>
      <c r="C1361" s="48">
        <f>IF(Offerte!$A45="","",Offerte!$C45)</f>
        <v/>
      </c>
      <c r="D1361" s="48" t="inlineStr">
        <is>
          <t>F.3.1</t>
        </is>
      </c>
      <c r="E1361" s="48" t="inlineStr">
        <is>
          <t>F</t>
        </is>
      </c>
      <c r="F1361" s="48" t="inlineStr">
        <is>
          <t>Q</t>
        </is>
      </c>
      <c r="G1361" s="48" t="inlineStr">
        <is>
          <t>higher</t>
        </is>
      </c>
      <c r="H1361" s="48" t="n">
        <v>2</v>
      </c>
      <c r="I1361" s="48" t="inlineStr">
        <is>
          <t>Autoproduzione consumi elettrici per trazione</t>
        </is>
      </c>
      <c r="J1361" s="73" t="n"/>
      <c r="K1361" s="73" t="n"/>
      <c r="L1361" s="73" t="n"/>
      <c r="M1361" s="73" t="n"/>
      <c r="N1361" s="57">
        <f>IF($A1361="","",IFERROR(VALUE($J1361),0))</f>
        <v/>
      </c>
      <c r="O1361" s="57">
        <f>IF($A1361="",0,IF(OR($S1361&lt;&gt;1,COUNTA($J1361:$M1361)=0),0,IF(SUMPRODUCT(MAX(($C$5:$C$2484=$C1361)*($D$5:$D$2484=$D1361)*($S$5:$S$2484=1)*IFERROR($N$5:$N$2484*1,0)))&gt;0,ROUND($H1361*($N1361/SUMPRODUCT(MAX(($C$5:$C$2484=$C1361)*($D$5:$D$2484=$D1361)*($S$5:$S$2484=1)*IFERROR($N$5:$N$2484*1,0)))),4),0)))</f>
        <v/>
      </c>
      <c r="P1361" s="48" t="inlineStr">
        <is>
          <t>kWh/anno</t>
        </is>
      </c>
      <c r="Q1361" s="57">
        <f>IF($A1361="","",$A1361&amp;"|"&amp;$C1361)</f>
        <v/>
      </c>
      <c r="R1361" s="57">
        <f>IF($A1361="","",$A1361&amp;"|"&amp;$C1361&amp;"|"&amp;$D1361)</f>
        <v/>
      </c>
      <c r="S1361" s="57">
        <f>IF($A1361="","",IFERROR(INDEX(Offerte!$D$2:$D$81,MATCH($Q1361,Offerte!$L$2:$L$81,0)),0))</f>
        <v/>
      </c>
      <c r="T1361" s="57">
        <f>IF($A1361="","",IFERROR(INDEX(Offerte!$G$2:$G$81,MATCH($Q1361,Offerte!$L$2:$L$81,0)),"NO"))</f>
        <v/>
      </c>
    </row>
    <row r="1362">
      <c r="A1362" s="48">
        <f>IF(Offerte!$A45="","",Offerte!$A45)</f>
        <v/>
      </c>
      <c r="B1362" s="48">
        <f>IF(Offerte!$A45="","",Offerte!$B45)</f>
        <v/>
      </c>
      <c r="C1362" s="48">
        <f>IF(Offerte!$A45="","",Offerte!$C45)</f>
        <v/>
      </c>
      <c r="D1362" s="48" t="inlineStr">
        <is>
          <t>F.4.1</t>
        </is>
      </c>
      <c r="E1362" s="48" t="inlineStr">
        <is>
          <t>F</t>
        </is>
      </c>
      <c r="F1362" s="48" t="inlineStr">
        <is>
          <t>Q</t>
        </is>
      </c>
      <c r="G1362" s="48" t="inlineStr">
        <is>
          <t>soil</t>
        </is>
      </c>
      <c r="H1362" s="48" t="n">
        <v>2</v>
      </c>
      <c r="I1362" s="48" t="inlineStr">
        <is>
          <t>Indice di consumo di suolo</t>
        </is>
      </c>
      <c r="J1362" s="73" t="n"/>
      <c r="K1362" s="73" t="n"/>
      <c r="L1362" s="73" t="n"/>
      <c r="M1362" s="73" t="n"/>
      <c r="N1362" s="57">
        <f>IF($A1362="","",IFERROR(VALUE($J1362),0))</f>
        <v/>
      </c>
      <c r="O1362" s="57">
        <f>IF($A1362="",0,IF(OR($S1362&lt;&gt;1,COUNTA($J1362:$M1362)=0),0,IF($N1362&lt;=0,$H1362,IF(SUMPRODUCT(MAX(($C$5:$C$2484=$C1362)*($D$5:$D$2484=$D1362)*($S$5:$S$2484=1)*IFERROR($N$5:$N$2484*1,0)))&gt;0,ROUND($H1362*((SUMPRODUCT(MAX(($C$5:$C$2484=$C1362)*($D$5:$D$2484=$D1362)*($S$5:$S$2484=1)*IFERROR($N$5:$N$2484*1,0)))-$N1362)/SUMPRODUCT(MAX(($C$5:$C$2484=$C1362)*($D$5:$D$2484=$D1362)*($S$5:$S$2484=1)*IFERROR($N$5:$N$2484*1,0)))),4),0))))</f>
        <v/>
      </c>
      <c r="P1362" s="48" t="inlineStr">
        <is>
          <t>m2</t>
        </is>
      </c>
      <c r="Q1362" s="57">
        <f>IF($A1362="","",$A1362&amp;"|"&amp;$C1362)</f>
        <v/>
      </c>
      <c r="R1362" s="57">
        <f>IF($A1362="","",$A1362&amp;"|"&amp;$C1362&amp;"|"&amp;$D1362)</f>
        <v/>
      </c>
      <c r="S1362" s="57">
        <f>IF($A1362="","",IFERROR(INDEX(Offerte!$D$2:$D$81,MATCH($Q1362,Offerte!$L$2:$L$81,0)),0))</f>
        <v/>
      </c>
      <c r="T1362" s="57">
        <f>IF($A1362="","",IFERROR(INDEX(Offerte!$G$2:$G$81,MATCH($Q1362,Offerte!$L$2:$L$81,0)),"NO"))</f>
        <v/>
      </c>
    </row>
    <row r="1363">
      <c r="A1363" s="48">
        <f>IF(Offerte!$A45="","",Offerte!$A45)</f>
        <v/>
      </c>
      <c r="B1363" s="48">
        <f>IF(Offerte!$A45="","",Offerte!$B45)</f>
        <v/>
      </c>
      <c r="C1363" s="48">
        <f>IF(Offerte!$A45="","",Offerte!$C45)</f>
        <v/>
      </c>
      <c r="D1363" s="48" t="inlineStr">
        <is>
          <t>F.5.1</t>
        </is>
      </c>
      <c r="E1363" s="48" t="inlineStr">
        <is>
          <t>F</t>
        </is>
      </c>
      <c r="F1363" s="48" t="inlineStr">
        <is>
          <t>T</t>
        </is>
      </c>
      <c r="G1363" s="48" t="inlineStr">
        <is>
          <t>tabular</t>
        </is>
      </c>
      <c r="H1363" s="48" t="n">
        <v>1</v>
      </c>
      <c r="I1363" s="48" t="inlineStr">
        <is>
          <t>Rendicontazione di sostenibilità ambientale</t>
        </is>
      </c>
      <c r="J1363" s="73" t="n"/>
      <c r="K1363" s="73" t="n"/>
      <c r="L1363" s="73" t="n"/>
      <c r="M1363" s="73" t="n"/>
      <c r="N1363" s="57">
        <f>IF($A1363="","",IF(IFERROR(VALUE($M1363),0)=1,1,0))</f>
        <v/>
      </c>
      <c r="O1363" s="57">
        <f>IF($A1363="",0,IF(OR($S1363&lt;&gt;1,COUNTA($J1363:$M1363)=0),0,IF($N1363=1,$H1363,0)))</f>
        <v/>
      </c>
      <c r="P1363" s="48" t="inlineStr">
        <is>
          <t>sì/no</t>
        </is>
      </c>
      <c r="Q1363" s="57">
        <f>IF($A1363="","",$A1363&amp;"|"&amp;$C1363)</f>
        <v/>
      </c>
      <c r="R1363" s="57">
        <f>IF($A1363="","",$A1363&amp;"|"&amp;$C1363&amp;"|"&amp;$D1363)</f>
        <v/>
      </c>
      <c r="S1363" s="57">
        <f>IF($A1363="","",IFERROR(INDEX(Offerte!$D$2:$D$81,MATCH($Q1363,Offerte!$L$2:$L$81,0)),0))</f>
        <v/>
      </c>
      <c r="T1363" s="57">
        <f>IF($A1363="","",IFERROR(INDEX(Offerte!$G$2:$G$81,MATCH($Q1363,Offerte!$L$2:$L$81,0)),"NO"))</f>
        <v/>
      </c>
    </row>
    <row r="1364">
      <c r="A1364" s="48">
        <f>IF(Offerte!$A45="","",Offerte!$A45)</f>
        <v/>
      </c>
      <c r="B1364" s="48">
        <f>IF(Offerte!$A45="","",Offerte!$B45)</f>
        <v/>
      </c>
      <c r="C1364" s="48">
        <f>IF(Offerte!$A45="","",Offerte!$C45)</f>
        <v/>
      </c>
      <c r="D1364" s="48" t="inlineStr">
        <is>
          <t>G.1.1</t>
        </is>
      </c>
      <c r="E1364" s="48" t="inlineStr">
        <is>
          <t>G</t>
        </is>
      </c>
      <c r="F1364" s="48" t="inlineStr">
        <is>
          <t>D</t>
        </is>
      </c>
      <c r="G1364" s="48" t="inlineStr">
        <is>
          <t>discretionary</t>
        </is>
      </c>
      <c r="H1364" s="48" t="n">
        <v>2</v>
      </c>
      <c r="I1364" s="48" t="inlineStr">
        <is>
          <t>Qualità del progetto di centrale di controllo aziendale</t>
        </is>
      </c>
      <c r="J1364" s="73" t="n"/>
      <c r="K1364" s="73" t="n"/>
      <c r="L1364" s="73" t="n"/>
      <c r="M1364" s="73" t="n"/>
      <c r="N1364" s="57">
        <f>IF($A1364="","",MAX(0,MIN(1,IFERROR(VALUE($M1364),0))))</f>
        <v/>
      </c>
      <c r="O1364" s="57">
        <f>IF($A1364="",0,IF(OR($S1364&lt;&gt;1,COUNTA($J1364:$M1364)=0),0,IF(SUMPRODUCT(MAX(($C$5:$C$2484=$C1364)*($D$5:$D$2484=$D1364)*($S$5:$S$2484=1)*IFERROR($N$5:$N$2484*1,0)))&gt;0,ROUND($H1364*($N1364/SUMPRODUCT(MAX(($C$5:$C$2484=$C1364)*($D$5:$D$2484=$D1364)*($S$5:$S$2484=1)*IFERROR($N$5:$N$2484*1,0)))),4),0)))</f>
        <v/>
      </c>
      <c r="P1364" s="48" t="inlineStr">
        <is>
          <t>coeff.</t>
        </is>
      </c>
      <c r="Q1364" s="57">
        <f>IF($A1364="","",$A1364&amp;"|"&amp;$C1364)</f>
        <v/>
      </c>
      <c r="R1364" s="57">
        <f>IF($A1364="","",$A1364&amp;"|"&amp;$C1364&amp;"|"&amp;$D1364)</f>
        <v/>
      </c>
      <c r="S1364" s="57">
        <f>IF($A1364="","",IFERROR(INDEX(Offerte!$D$2:$D$81,MATCH($Q1364,Offerte!$L$2:$L$81,0)),0))</f>
        <v/>
      </c>
      <c r="T1364" s="57">
        <f>IF($A1364="","",IFERROR(INDEX(Offerte!$G$2:$G$81,MATCH($Q1364,Offerte!$L$2:$L$81,0)),"NO"))</f>
        <v/>
      </c>
    </row>
    <row r="1365">
      <c r="A1365" s="48">
        <f>IF(Offerte!$A45="","",Offerte!$A45)</f>
        <v/>
      </c>
      <c r="B1365" s="48">
        <f>IF(Offerte!$A45="","",Offerte!$B45)</f>
        <v/>
      </c>
      <c r="C1365" s="48">
        <f>IF(Offerte!$A45="","",Offerte!$C45)</f>
        <v/>
      </c>
      <c r="D1365" s="48" t="inlineStr">
        <is>
          <t>G.2.1</t>
        </is>
      </c>
      <c r="E1365" s="48" t="inlineStr">
        <is>
          <t>G</t>
        </is>
      </c>
      <c r="F1365" s="48" t="inlineStr">
        <is>
          <t>T</t>
        </is>
      </c>
      <c r="G1365" s="48" t="inlineStr">
        <is>
          <t>tabular</t>
        </is>
      </c>
      <c r="H1365" s="48" t="n">
        <v>1</v>
      </c>
      <c r="I1365" s="48" t="inlineStr">
        <is>
          <t>Certificazione ISO 45001</t>
        </is>
      </c>
      <c r="J1365" s="73" t="n"/>
      <c r="K1365" s="73" t="n"/>
      <c r="L1365" s="73" t="n"/>
      <c r="M1365" s="73" t="n"/>
      <c r="N1365" s="57">
        <f>IF($A1365="","",IF(IFERROR(VALUE($M1365),0)=1,1,0))</f>
        <v/>
      </c>
      <c r="O1365" s="57">
        <f>IF($A1365="",0,IF(OR($S1365&lt;&gt;1,COUNTA($J1365:$M1365)=0),0,IF($N1365=1,$H1365,0)))</f>
        <v/>
      </c>
      <c r="P1365" s="48" t="inlineStr">
        <is>
          <t>sì/no</t>
        </is>
      </c>
      <c r="Q1365" s="57">
        <f>IF($A1365="","",$A1365&amp;"|"&amp;$C1365)</f>
        <v/>
      </c>
      <c r="R1365" s="57">
        <f>IF($A1365="","",$A1365&amp;"|"&amp;$C1365&amp;"|"&amp;$D1365)</f>
        <v/>
      </c>
      <c r="S1365" s="57">
        <f>IF($A1365="","",IFERROR(INDEX(Offerte!$D$2:$D$81,MATCH($Q1365,Offerte!$L$2:$L$81,0)),0))</f>
        <v/>
      </c>
      <c r="T1365" s="57">
        <f>IF($A1365="","",IFERROR(INDEX(Offerte!$G$2:$G$81,MATCH($Q1365,Offerte!$L$2:$L$81,0)),"NO"))</f>
        <v/>
      </c>
    </row>
    <row r="1366">
      <c r="A1366" s="48">
        <f>IF(Offerte!$A45="","",Offerte!$A45)</f>
        <v/>
      </c>
      <c r="B1366" s="48">
        <f>IF(Offerte!$A45="","",Offerte!$B45)</f>
        <v/>
      </c>
      <c r="C1366" s="48">
        <f>IF(Offerte!$A45="","",Offerte!$C45)</f>
        <v/>
      </c>
      <c r="D1366" s="48" t="inlineStr">
        <is>
          <t>G.3.1</t>
        </is>
      </c>
      <c r="E1366" s="48" t="inlineStr">
        <is>
          <t>G</t>
        </is>
      </c>
      <c r="F1366" s="48" t="inlineStr">
        <is>
          <t>T</t>
        </is>
      </c>
      <c r="G1366" s="48" t="inlineStr">
        <is>
          <t>tabular</t>
        </is>
      </c>
      <c r="H1366" s="48" t="n">
        <v>1</v>
      </c>
      <c r="I1366" s="48" t="inlineStr">
        <is>
          <t>Certificazioni di responsabilità sociale</t>
        </is>
      </c>
      <c r="J1366" s="73" t="n"/>
      <c r="K1366" s="73" t="n"/>
      <c r="L1366" s="73" t="n"/>
      <c r="M1366" s="73" t="n"/>
      <c r="N1366" s="57">
        <f>IF($A1366="","",IF(IFERROR(VALUE($M1366),0)=1,1,0))</f>
        <v/>
      </c>
      <c r="O1366" s="57">
        <f>IF($A1366="",0,IF(OR($S1366&lt;&gt;1,COUNTA($J1366:$M1366)=0),0,IF($N1366=1,$H1366,0)))</f>
        <v/>
      </c>
      <c r="P1366" s="48" t="inlineStr">
        <is>
          <t>sì/no</t>
        </is>
      </c>
      <c r="Q1366" s="57">
        <f>IF($A1366="","",$A1366&amp;"|"&amp;$C1366)</f>
        <v/>
      </c>
      <c r="R1366" s="57">
        <f>IF($A1366="","",$A1366&amp;"|"&amp;$C1366&amp;"|"&amp;$D1366)</f>
        <v/>
      </c>
      <c r="S1366" s="57">
        <f>IF($A1366="","",IFERROR(INDEX(Offerte!$D$2:$D$81,MATCH($Q1366,Offerte!$L$2:$L$81,0)),0))</f>
        <v/>
      </c>
      <c r="T1366" s="57">
        <f>IF($A1366="","",IFERROR(INDEX(Offerte!$G$2:$G$81,MATCH($Q1366,Offerte!$L$2:$L$81,0)),"NO"))</f>
        <v/>
      </c>
    </row>
    <row r="1367">
      <c r="A1367" s="48">
        <f>IF(Offerte!$A45="","",Offerte!$A45)</f>
        <v/>
      </c>
      <c r="B1367" s="48">
        <f>IF(Offerte!$A45="","",Offerte!$B45)</f>
        <v/>
      </c>
      <c r="C1367" s="48">
        <f>IF(Offerte!$A45="","",Offerte!$C45)</f>
        <v/>
      </c>
      <c r="D1367" s="48" t="inlineStr">
        <is>
          <t>G.4.1</t>
        </is>
      </c>
      <c r="E1367" s="48" t="inlineStr">
        <is>
          <t>G</t>
        </is>
      </c>
      <c r="F1367" s="48" t="inlineStr">
        <is>
          <t>D</t>
        </is>
      </c>
      <c r="G1367" s="48" t="inlineStr">
        <is>
          <t>discretionary</t>
        </is>
      </c>
      <c r="H1367" s="48" t="n">
        <v>2</v>
      </c>
      <c r="I1367" s="48" t="inlineStr">
        <is>
          <t>Qualità del piano di formazione del personale</t>
        </is>
      </c>
      <c r="J1367" s="73" t="n"/>
      <c r="K1367" s="73" t="n"/>
      <c r="L1367" s="73" t="n"/>
      <c r="M1367" s="73" t="n"/>
      <c r="N1367" s="57">
        <f>IF($A1367="","",MAX(0,MIN(1,IFERROR(VALUE($M1367),0))))</f>
        <v/>
      </c>
      <c r="O1367" s="57">
        <f>IF($A1367="",0,IF(OR($S1367&lt;&gt;1,COUNTA($J1367:$M1367)=0),0,IF(SUMPRODUCT(MAX(($C$5:$C$2484=$C1367)*($D$5:$D$2484=$D1367)*($S$5:$S$2484=1)*IFERROR($N$5:$N$2484*1,0)))&gt;0,ROUND($H1367*($N1367/SUMPRODUCT(MAX(($C$5:$C$2484=$C1367)*($D$5:$D$2484=$D1367)*($S$5:$S$2484=1)*IFERROR($N$5:$N$2484*1,0)))),4),0)))</f>
        <v/>
      </c>
      <c r="P1367" s="48" t="inlineStr">
        <is>
          <t>coeff.</t>
        </is>
      </c>
      <c r="Q1367" s="57">
        <f>IF($A1367="","",$A1367&amp;"|"&amp;$C1367)</f>
        <v/>
      </c>
      <c r="R1367" s="57">
        <f>IF($A1367="","",$A1367&amp;"|"&amp;$C1367&amp;"|"&amp;$D1367)</f>
        <v/>
      </c>
      <c r="S1367" s="57">
        <f>IF($A1367="","",IFERROR(INDEX(Offerte!$D$2:$D$81,MATCH($Q1367,Offerte!$L$2:$L$81,0)),0))</f>
        <v/>
      </c>
      <c r="T1367" s="57">
        <f>IF($A1367="","",IFERROR(INDEX(Offerte!$G$2:$G$81,MATCH($Q1367,Offerte!$L$2:$L$81,0)),"NO"))</f>
        <v/>
      </c>
    </row>
    <row r="1368">
      <c r="A1368" s="48">
        <f>IF(Offerte!$A45="","",Offerte!$A45)</f>
        <v/>
      </c>
      <c r="B1368" s="48">
        <f>IF(Offerte!$A45="","",Offerte!$B45)</f>
        <v/>
      </c>
      <c r="C1368" s="48">
        <f>IF(Offerte!$A45="","",Offerte!$C45)</f>
        <v/>
      </c>
      <c r="D1368" s="48" t="inlineStr">
        <is>
          <t>G.5.1</t>
        </is>
      </c>
      <c r="E1368" s="48" t="inlineStr">
        <is>
          <t>G</t>
        </is>
      </c>
      <c r="F1368" s="48" t="inlineStr">
        <is>
          <t>T</t>
        </is>
      </c>
      <c r="G1368" s="48" t="inlineStr">
        <is>
          <t>tabular</t>
        </is>
      </c>
      <c r="H1368" s="48" t="n">
        <v>1</v>
      </c>
      <c r="I1368" s="48" t="inlineStr">
        <is>
          <t>Impegno al mantenimento delle garanzie del contratto di secondo livello del gestore uscente</t>
        </is>
      </c>
      <c r="J1368" s="73" t="n"/>
      <c r="K1368" s="73" t="n"/>
      <c r="L1368" s="73" t="n"/>
      <c r="M1368" s="73" t="n"/>
      <c r="N1368" s="57">
        <f>IF($A1368="","",IF(IFERROR(VALUE($M1368),0)=1,1,0))</f>
        <v/>
      </c>
      <c r="O1368" s="57">
        <f>IF($A1368="",0,IF(OR($S1368&lt;&gt;1,COUNTA($J1368:$M1368)=0),0,IF($N1368=1,$H1368,0)))</f>
        <v/>
      </c>
      <c r="P1368" s="48" t="inlineStr">
        <is>
          <t>sì/no</t>
        </is>
      </c>
      <c r="Q1368" s="57">
        <f>IF($A1368="","",$A1368&amp;"|"&amp;$C1368)</f>
        <v/>
      </c>
      <c r="R1368" s="57">
        <f>IF($A1368="","",$A1368&amp;"|"&amp;$C1368&amp;"|"&amp;$D1368)</f>
        <v/>
      </c>
      <c r="S1368" s="57">
        <f>IF($A1368="","",IFERROR(INDEX(Offerte!$D$2:$D$81,MATCH($Q1368,Offerte!$L$2:$L$81,0)),0))</f>
        <v/>
      </c>
      <c r="T1368" s="57">
        <f>IF($A1368="","",IFERROR(INDEX(Offerte!$G$2:$G$81,MATCH($Q1368,Offerte!$L$2:$L$81,0)),"NO"))</f>
        <v/>
      </c>
    </row>
    <row r="1369">
      <c r="A1369" s="48">
        <f>IF(Offerte!$A46="","",Offerte!$A46)</f>
        <v/>
      </c>
      <c r="B1369" s="48">
        <f>IF(Offerte!$A46="","",Offerte!$B46)</f>
        <v/>
      </c>
      <c r="C1369" s="48">
        <f>IF(Offerte!$A46="","",Offerte!$C46)</f>
        <v/>
      </c>
      <c r="D1369" s="48" t="inlineStr">
        <is>
          <t>A.1.1</t>
        </is>
      </c>
      <c r="E1369" s="48" t="inlineStr">
        <is>
          <t>A</t>
        </is>
      </c>
      <c r="F1369" s="48" t="inlineStr">
        <is>
          <t>Q</t>
        </is>
      </c>
      <c r="G1369" s="48" t="inlineStr">
        <is>
          <t>higher</t>
        </is>
      </c>
      <c r="H1369" s="48" t="n">
        <v>3</v>
      </c>
      <c r="I1369" s="48" t="inlineStr">
        <is>
          <t>Tasso aggiuntivo di corse controllate</t>
        </is>
      </c>
      <c r="J1369" s="73" t="n"/>
      <c r="K1369" s="73" t="n"/>
      <c r="L1369" s="73" t="n"/>
      <c r="M1369" s="73" t="n"/>
      <c r="N1369" s="57">
        <f>IF($A1369="","",IFERROR(VALUE($K1369)/VALUE($L1369)*100,IFERROR(VALUE($J1369),0)))</f>
        <v/>
      </c>
      <c r="O1369" s="57">
        <f>IF($A1369="",0,IF(OR($S1369&lt;&gt;1,COUNTA($J1369:$M1369)=0),0,IF(SUMPRODUCT(MAX(($C$5:$C$2484=$C1369)*($D$5:$D$2484=$D1369)*($S$5:$S$2484=1)*IFERROR($N$5:$N$2484*1,0)))&gt;0,ROUND($H1369*($N1369/SUMPRODUCT(MAX(($C$5:$C$2484=$C1369)*($D$5:$D$2484=$D1369)*($S$5:$S$2484=1)*IFERROR($N$5:$N$2484*1,0)))),4),0)))</f>
        <v/>
      </c>
      <c r="P1369" s="48" t="inlineStr">
        <is>
          <t>Corse controllate annue / Corse programmate annue</t>
        </is>
      </c>
      <c r="Q1369" s="57">
        <f>IF($A1369="","",$A1369&amp;"|"&amp;$C1369)</f>
        <v/>
      </c>
      <c r="R1369" s="57">
        <f>IF($A1369="","",$A1369&amp;"|"&amp;$C1369&amp;"|"&amp;$D1369)</f>
        <v/>
      </c>
      <c r="S1369" s="57">
        <f>IF($A1369="","",IFERROR(INDEX(Offerte!$D$2:$D$81,MATCH($Q1369,Offerte!$L$2:$L$81,0)),0))</f>
        <v/>
      </c>
      <c r="T1369" s="57">
        <f>IF($A1369="","",IFERROR(INDEX(Offerte!$G$2:$G$81,MATCH($Q1369,Offerte!$L$2:$L$81,0)),"NO"))</f>
        <v/>
      </c>
    </row>
    <row r="1370">
      <c r="A1370" s="48">
        <f>IF(Offerte!$A46="","",Offerte!$A46)</f>
        <v/>
      </c>
      <c r="B1370" s="48">
        <f>IF(Offerte!$A46="","",Offerte!$B46)</f>
        <v/>
      </c>
      <c r="C1370" s="48">
        <f>IF(Offerte!$A46="","",Offerte!$C46)</f>
        <v/>
      </c>
      <c r="D1370" s="48" t="inlineStr">
        <is>
          <t>A.1.2</t>
        </is>
      </c>
      <c r="E1370" s="48" t="inlineStr">
        <is>
          <t>A</t>
        </is>
      </c>
      <c r="F1370" s="48" t="inlineStr">
        <is>
          <t>Q</t>
        </is>
      </c>
      <c r="G1370" s="48" t="inlineStr">
        <is>
          <t>higher</t>
        </is>
      </c>
      <c r="H1370" s="48" t="n">
        <v>4</v>
      </c>
      <c r="I1370" s="48" t="inlineStr">
        <is>
          <t>Numero aggiuntivo di passeggeri controllati</t>
        </is>
      </c>
      <c r="J1370" s="73" t="n"/>
      <c r="K1370" s="73" t="n"/>
      <c r="L1370" s="73" t="n"/>
      <c r="M1370" s="73" t="n"/>
      <c r="N1370" s="57">
        <f>IF($A1370="","",IFERROR(VALUE($J1370),0))</f>
        <v/>
      </c>
      <c r="O1370" s="57">
        <f>IF($A1370="",0,IF(OR($S1370&lt;&gt;1,COUNTA($J1370:$M1370)=0),0,IF(SUMPRODUCT(MAX(($C$5:$C$2484=$C1370)*($D$5:$D$2484=$D1370)*($S$5:$S$2484=1)*IFERROR($N$5:$N$2484*1,0)))&gt;0,ROUND($H1370*($N1370/SUMPRODUCT(MAX(($C$5:$C$2484=$C1370)*($D$5:$D$2484=$D1370)*($S$5:$S$2484=1)*IFERROR($N$5:$N$2484*1,0)))),4),0)))</f>
        <v/>
      </c>
      <c r="P1370" s="48" t="inlineStr">
        <is>
          <t>passeggeri/anno</t>
        </is>
      </c>
      <c r="Q1370" s="57">
        <f>IF($A1370="","",$A1370&amp;"|"&amp;$C1370)</f>
        <v/>
      </c>
      <c r="R1370" s="57">
        <f>IF($A1370="","",$A1370&amp;"|"&amp;$C1370&amp;"|"&amp;$D1370)</f>
        <v/>
      </c>
      <c r="S1370" s="57">
        <f>IF($A1370="","",IFERROR(INDEX(Offerte!$D$2:$D$81,MATCH($Q1370,Offerte!$L$2:$L$81,0)),0))</f>
        <v/>
      </c>
      <c r="T1370" s="57">
        <f>IF($A1370="","",IFERROR(INDEX(Offerte!$G$2:$G$81,MATCH($Q1370,Offerte!$L$2:$L$81,0)),"NO"))</f>
        <v/>
      </c>
    </row>
    <row r="1371">
      <c r="A1371" s="48">
        <f>IF(Offerte!$A46="","",Offerte!$A46)</f>
        <v/>
      </c>
      <c r="B1371" s="48">
        <f>IF(Offerte!$A46="","",Offerte!$B46)</f>
        <v/>
      </c>
      <c r="C1371" s="48">
        <f>IF(Offerte!$A46="","",Offerte!$C46)</f>
        <v/>
      </c>
      <c r="D1371" s="48" t="inlineStr">
        <is>
          <t>B.1.1</t>
        </is>
      </c>
      <c r="E1371" s="48" t="inlineStr">
        <is>
          <t>B</t>
        </is>
      </c>
      <c r="F1371" s="48" t="inlineStr">
        <is>
          <t>Q</t>
        </is>
      </c>
      <c r="G1371" s="48" t="inlineStr">
        <is>
          <t>higher</t>
        </is>
      </c>
      <c r="H1371" s="48" t="n">
        <v>3</v>
      </c>
      <c r="I1371" s="48" t="inlineStr">
        <is>
          <t>Incremento dei posti offerti nelle fasce di punta</t>
        </is>
      </c>
      <c r="J1371" s="73" t="n"/>
      <c r="K1371" s="73" t="n"/>
      <c r="L1371" s="73" t="n"/>
      <c r="M1371" s="73" t="n"/>
      <c r="N1371" s="57">
        <f>IF($A1371="","",IFERROR(VALUE($J1371),0))</f>
        <v/>
      </c>
      <c r="O1371" s="57">
        <f>IF($A1371="",0,IF(OR($S1371&lt;&gt;1,COUNTA($J1371:$M1371)=0),0,IF(SUMPRODUCT(MAX(($C$5:$C$2484=$C1371)*($D$5:$D$2484=$D1371)*($S$5:$S$2484=1)*IFERROR($N$5:$N$2484*1,0)))&gt;0,ROUND($H1371*($N1371/SUMPRODUCT(MAX(($C$5:$C$2484=$C1371)*($D$5:$D$2484=$D1371)*($S$5:$S$2484=1)*IFERROR($N$5:$N$2484*1,0)))),4),0)))</f>
        <v/>
      </c>
      <c r="P1371" s="48" t="inlineStr">
        <is>
          <t>posti*km</t>
        </is>
      </c>
      <c r="Q1371" s="57">
        <f>IF($A1371="","",$A1371&amp;"|"&amp;$C1371)</f>
        <v/>
      </c>
      <c r="R1371" s="57">
        <f>IF($A1371="","",$A1371&amp;"|"&amp;$C1371&amp;"|"&amp;$D1371)</f>
        <v/>
      </c>
      <c r="S1371" s="57">
        <f>IF($A1371="","",IFERROR(INDEX(Offerte!$D$2:$D$81,MATCH($Q1371,Offerte!$L$2:$L$81,0)),0))</f>
        <v/>
      </c>
      <c r="T1371" s="57">
        <f>IF($A1371="","",IFERROR(INDEX(Offerte!$G$2:$G$81,MATCH($Q1371,Offerte!$L$2:$L$81,0)),"NO"))</f>
        <v/>
      </c>
    </row>
    <row r="1372">
      <c r="A1372" s="48">
        <f>IF(Offerte!$A46="","",Offerte!$A46)</f>
        <v/>
      </c>
      <c r="B1372" s="48">
        <f>IF(Offerte!$A46="","",Offerte!$B46)</f>
        <v/>
      </c>
      <c r="C1372" s="48">
        <f>IF(Offerte!$A46="","",Offerte!$C46)</f>
        <v/>
      </c>
      <c r="D1372" s="48" t="inlineStr">
        <is>
          <t>B.2.1</t>
        </is>
      </c>
      <c r="E1372" s="48" t="inlineStr">
        <is>
          <t>B</t>
        </is>
      </c>
      <c r="F1372" s="48" t="inlineStr">
        <is>
          <t>Q</t>
        </is>
      </c>
      <c r="G1372" s="48" t="inlineStr">
        <is>
          <t>higher</t>
        </is>
      </c>
      <c r="H1372" s="48" t="n">
        <v>4</v>
      </c>
      <c r="I1372" s="48" t="inlineStr">
        <is>
          <t>Corse aggiuntive nell'arco giornaliero base</t>
        </is>
      </c>
      <c r="J1372" s="73" t="n"/>
      <c r="K1372" s="73" t="n"/>
      <c r="L1372" s="73" t="n"/>
      <c r="M1372" s="73" t="n"/>
      <c r="N1372" s="57">
        <f>IF($A1372="","",IFERROR(VALUE($J1372),0))</f>
        <v/>
      </c>
      <c r="O1372" s="57">
        <f>IF($A1372="",0,IF(OR($S1372&lt;&gt;1,COUNTA($J1372:$M1372)=0),0,IF(SUMPRODUCT(MAX(($C$5:$C$2484=$C1372)*($D$5:$D$2484=$D1372)*($S$5:$S$2484=1)*IFERROR($N$5:$N$2484*1,0)))&gt;0,ROUND($H1372*($N1372/SUMPRODUCT(MAX(($C$5:$C$2484=$C1372)*($D$5:$D$2484=$D1372)*($S$5:$S$2484=1)*IFERROR($N$5:$N$2484*1,0)))),4),0)))</f>
        <v/>
      </c>
      <c r="P1372" s="48" t="inlineStr">
        <is>
          <t>corse</t>
        </is>
      </c>
      <c r="Q1372" s="57">
        <f>IF($A1372="","",$A1372&amp;"|"&amp;$C1372)</f>
        <v/>
      </c>
      <c r="R1372" s="57">
        <f>IF($A1372="","",$A1372&amp;"|"&amp;$C1372&amp;"|"&amp;$D1372)</f>
        <v/>
      </c>
      <c r="S1372" s="57">
        <f>IF($A1372="","",IFERROR(INDEX(Offerte!$D$2:$D$81,MATCH($Q1372,Offerte!$L$2:$L$81,0)),0))</f>
        <v/>
      </c>
      <c r="T1372" s="57">
        <f>IF($A1372="","",IFERROR(INDEX(Offerte!$G$2:$G$81,MATCH($Q1372,Offerte!$L$2:$L$81,0)),"NO"))</f>
        <v/>
      </c>
    </row>
    <row r="1373">
      <c r="A1373" s="48">
        <f>IF(Offerte!$A46="","",Offerte!$A46)</f>
        <v/>
      </c>
      <c r="B1373" s="48">
        <f>IF(Offerte!$A46="","",Offerte!$B46)</f>
        <v/>
      </c>
      <c r="C1373" s="48">
        <f>IF(Offerte!$A46="","",Offerte!$C46)</f>
        <v/>
      </c>
      <c r="D1373" s="48" t="inlineStr">
        <is>
          <t>B.3.1</t>
        </is>
      </c>
      <c r="E1373" s="48" t="inlineStr">
        <is>
          <t>B</t>
        </is>
      </c>
      <c r="F1373" s="48" t="inlineStr">
        <is>
          <t>Q</t>
        </is>
      </c>
      <c r="G1373" s="48" t="inlineStr">
        <is>
          <t>higher</t>
        </is>
      </c>
      <c r="H1373" s="48" t="n">
        <v>2</v>
      </c>
      <c r="I1373" s="48" t="inlineStr">
        <is>
          <t>Numero di corse aggiuntive per allungamento dell'arco di servizio giornaliero nelle fasce serali</t>
        </is>
      </c>
      <c r="J1373" s="73" t="n"/>
      <c r="K1373" s="73" t="n"/>
      <c r="L1373" s="73" t="n"/>
      <c r="M1373" s="73" t="n"/>
      <c r="N1373" s="57">
        <f>IF($A1373="","",IFERROR(VALUE($J1373),0))</f>
        <v/>
      </c>
      <c r="O1373" s="57">
        <f>IF($A1373="",0,IF(OR($S1373&lt;&gt;1,COUNTA($J1373:$M1373)=0),0,IF(SUMPRODUCT(MAX(($C$5:$C$2484=$C1373)*($D$5:$D$2484=$D1373)*($S$5:$S$2484=1)*IFERROR($N$5:$N$2484*1,0)))&gt;0,ROUND($H1373*($N1373/SUMPRODUCT(MAX(($C$5:$C$2484=$C1373)*($D$5:$D$2484=$D1373)*($S$5:$S$2484=1)*IFERROR($N$5:$N$2484*1,0)))),4),0)))</f>
        <v/>
      </c>
      <c r="P1373" s="48" t="inlineStr">
        <is>
          <t>corse</t>
        </is>
      </c>
      <c r="Q1373" s="57">
        <f>IF($A1373="","",$A1373&amp;"|"&amp;$C1373)</f>
        <v/>
      </c>
      <c r="R1373" s="57">
        <f>IF($A1373="","",$A1373&amp;"|"&amp;$C1373&amp;"|"&amp;$D1373)</f>
        <v/>
      </c>
      <c r="S1373" s="57">
        <f>IF($A1373="","",IFERROR(INDEX(Offerte!$D$2:$D$81,MATCH($Q1373,Offerte!$L$2:$L$81,0)),0))</f>
        <v/>
      </c>
      <c r="T1373" s="57">
        <f>IF($A1373="","",IFERROR(INDEX(Offerte!$G$2:$G$81,MATCH($Q1373,Offerte!$L$2:$L$81,0)),"NO"))</f>
        <v/>
      </c>
    </row>
    <row r="1374">
      <c r="A1374" s="48">
        <f>IF(Offerte!$A46="","",Offerte!$A46)</f>
        <v/>
      </c>
      <c r="B1374" s="48">
        <f>IF(Offerte!$A46="","",Offerte!$B46)</f>
        <v/>
      </c>
      <c r="C1374" s="48">
        <f>IF(Offerte!$A46="","",Offerte!$C46)</f>
        <v/>
      </c>
      <c r="D1374" s="48" t="inlineStr">
        <is>
          <t>B.4.1</t>
        </is>
      </c>
      <c r="E1374" s="48" t="inlineStr">
        <is>
          <t>B</t>
        </is>
      </c>
      <c r="F1374" s="48" t="inlineStr">
        <is>
          <t>Q</t>
        </is>
      </c>
      <c r="G1374" s="48" t="inlineStr">
        <is>
          <t>higher</t>
        </is>
      </c>
      <c r="H1374" s="48" t="n">
        <v>3</v>
      </c>
      <c r="I1374" s="48" t="inlineStr">
        <is>
          <t>Percorrenze aggiuntive offerte nel Programma d'esercizio delle prime due fasi attuative</t>
        </is>
      </c>
      <c r="J1374" s="73" t="n"/>
      <c r="K1374" s="73" t="n"/>
      <c r="L1374" s="73" t="n"/>
      <c r="M1374" s="73" t="n"/>
      <c r="N1374" s="57">
        <f>IF($A1374="","",IFERROR(VALUE($J1374),0))</f>
        <v/>
      </c>
      <c r="O1374" s="57">
        <f>IF($A1374="",0,IF(OR($S1374&lt;&gt;1,COUNTA($J1374:$M1374)=0),0,IF(SUMPRODUCT(MAX(($C$5:$C$2484=$C1374)*($D$5:$D$2484=$D1374)*($S$5:$S$2484=1)*IFERROR($N$5:$N$2484*1,0)))&gt;0,ROUND($H1374*($N1374/SUMPRODUCT(MAX(($C$5:$C$2484=$C1374)*($D$5:$D$2484=$D1374)*($S$5:$S$2484=1)*IFERROR($N$5:$N$2484*1,0)))),4),0)))</f>
        <v/>
      </c>
      <c r="P1374" s="48" t="inlineStr">
        <is>
          <t>vett*km</t>
        </is>
      </c>
      <c r="Q1374" s="57">
        <f>IF($A1374="","",$A1374&amp;"|"&amp;$C1374)</f>
        <v/>
      </c>
      <c r="R1374" s="57">
        <f>IF($A1374="","",$A1374&amp;"|"&amp;$C1374&amp;"|"&amp;$D1374)</f>
        <v/>
      </c>
      <c r="S1374" s="57">
        <f>IF($A1374="","",IFERROR(INDEX(Offerte!$D$2:$D$81,MATCH($Q1374,Offerte!$L$2:$L$81,0)),0))</f>
        <v/>
      </c>
      <c r="T1374" s="57">
        <f>IF($A1374="","",IFERROR(INDEX(Offerte!$G$2:$G$81,MATCH($Q1374,Offerte!$L$2:$L$81,0)),"NO"))</f>
        <v/>
      </c>
    </row>
    <row r="1375">
      <c r="A1375" s="48">
        <f>IF(Offerte!$A46="","",Offerte!$A46)</f>
        <v/>
      </c>
      <c r="B1375" s="48">
        <f>IF(Offerte!$A46="","",Offerte!$B46)</f>
        <v/>
      </c>
      <c r="C1375" s="48">
        <f>IF(Offerte!$A46="","",Offerte!$C46)</f>
        <v/>
      </c>
      <c r="D1375" s="48" t="inlineStr">
        <is>
          <t>B.5.1</t>
        </is>
      </c>
      <c r="E1375" s="48" t="inlineStr">
        <is>
          <t>B</t>
        </is>
      </c>
      <c r="F1375" s="48" t="inlineStr">
        <is>
          <t>D</t>
        </is>
      </c>
      <c r="G1375" s="48" t="inlineStr">
        <is>
          <t>discretionary</t>
        </is>
      </c>
      <c r="H1375" s="48" t="n">
        <v>2</v>
      </c>
      <c r="I1375" s="48" t="inlineStr">
        <is>
          <t>Efficacia del progetto di servizi complementari DRT</t>
        </is>
      </c>
      <c r="J1375" s="73" t="n"/>
      <c r="K1375" s="73" t="n"/>
      <c r="L1375" s="73" t="n"/>
      <c r="M1375" s="73" t="n"/>
      <c r="N1375" s="57">
        <f>IF($A1375="","",MAX(0,MIN(1,IFERROR(VALUE($M1375),0))))</f>
        <v/>
      </c>
      <c r="O1375" s="57">
        <f>IF($A1375="",0,IF(OR($S1375&lt;&gt;1,COUNTA($J1375:$M1375)=0),0,IF(SUMPRODUCT(MAX(($C$5:$C$2484=$C1375)*($D$5:$D$2484=$D1375)*($S$5:$S$2484=1)*IFERROR($N$5:$N$2484*1,0)))&gt;0,ROUND($H1375*($N1375/SUMPRODUCT(MAX(($C$5:$C$2484=$C1375)*($D$5:$D$2484=$D1375)*($S$5:$S$2484=1)*IFERROR($N$5:$N$2484*1,0)))),4),0)))</f>
        <v/>
      </c>
      <c r="P1375" s="48" t="inlineStr">
        <is>
          <t>coeff.</t>
        </is>
      </c>
      <c r="Q1375" s="57">
        <f>IF($A1375="","",$A1375&amp;"|"&amp;$C1375)</f>
        <v/>
      </c>
      <c r="R1375" s="57">
        <f>IF($A1375="","",$A1375&amp;"|"&amp;$C1375&amp;"|"&amp;$D1375)</f>
        <v/>
      </c>
      <c r="S1375" s="57">
        <f>IF($A1375="","",IFERROR(INDEX(Offerte!$D$2:$D$81,MATCH($Q1375,Offerte!$L$2:$L$81,0)),0))</f>
        <v/>
      </c>
      <c r="T1375" s="57">
        <f>IF($A1375="","",IFERROR(INDEX(Offerte!$G$2:$G$81,MATCH($Q1375,Offerte!$L$2:$L$81,0)),"NO"))</f>
        <v/>
      </c>
    </row>
    <row r="1376">
      <c r="A1376" s="48">
        <f>IF(Offerte!$A46="","",Offerte!$A46)</f>
        <v/>
      </c>
      <c r="B1376" s="48">
        <f>IF(Offerte!$A46="","",Offerte!$B46)</f>
        <v/>
      </c>
      <c r="C1376" s="48">
        <f>IF(Offerte!$A46="","",Offerte!$C46)</f>
        <v/>
      </c>
      <c r="D1376" s="48" t="inlineStr">
        <is>
          <t>C.1.1</t>
        </is>
      </c>
      <c r="E1376" s="48" t="inlineStr">
        <is>
          <t>C</t>
        </is>
      </c>
      <c r="F1376" s="48" t="inlineStr">
        <is>
          <t>Q</t>
        </is>
      </c>
      <c r="G1376" s="48" t="inlineStr">
        <is>
          <t>higher</t>
        </is>
      </c>
      <c r="H1376" s="48" t="n">
        <v>2</v>
      </c>
      <c r="I1376" s="48" t="inlineStr">
        <is>
          <t>Tasso di copertura del servizio con telecamere BSD</t>
        </is>
      </c>
      <c r="J1376" s="73" t="n"/>
      <c r="K1376" s="73" t="n"/>
      <c r="L1376" s="73" t="n"/>
      <c r="M1376" s="73" t="n"/>
      <c r="N1376" s="57">
        <f>IF($A1376="","",IFERROR(VALUE($K1376)/VALUE($L1376),IFERROR(VALUE($J1376),0)))</f>
        <v/>
      </c>
      <c r="O1376" s="57">
        <f>IF($A1376="",0,IF(OR($S1376&lt;&gt;1,COUNTA($J1376:$M1376)=0),0,IF(SUMPRODUCT(MAX(($C$5:$C$2484=$C1376)*($D$5:$D$2484=$D1376)*($S$5:$S$2484=1)*IFERROR($N$5:$N$2484*1,0)))&gt;0,ROUND($H1376*($N1376/SUMPRODUCT(MAX(($C$5:$C$2484=$C1376)*($D$5:$D$2484=$D1376)*($S$5:$S$2484=1)*IFERROR($N$5:$N$2484*1,0)))),4),0)))</f>
        <v/>
      </c>
      <c r="P1376" s="48" t="inlineStr">
        <is>
          <t>Autobus attrezzati con telecamere BSD / Autobus totali in offerta, incluse scorte</t>
        </is>
      </c>
      <c r="Q1376" s="57">
        <f>IF($A1376="","",$A1376&amp;"|"&amp;$C1376)</f>
        <v/>
      </c>
      <c r="R1376" s="57">
        <f>IF($A1376="","",$A1376&amp;"|"&amp;$C1376&amp;"|"&amp;$D1376)</f>
        <v/>
      </c>
      <c r="S1376" s="57">
        <f>IF($A1376="","",IFERROR(INDEX(Offerte!$D$2:$D$81,MATCH($Q1376,Offerte!$L$2:$L$81,0)),0))</f>
        <v/>
      </c>
      <c r="T1376" s="57">
        <f>IF($A1376="","",IFERROR(INDEX(Offerte!$G$2:$G$81,MATCH($Q1376,Offerte!$L$2:$L$81,0)),"NO"))</f>
        <v/>
      </c>
    </row>
    <row r="1377">
      <c r="A1377" s="48">
        <f>IF(Offerte!$A46="","",Offerte!$A46)</f>
        <v/>
      </c>
      <c r="B1377" s="48">
        <f>IF(Offerte!$A46="","",Offerte!$B46)</f>
        <v/>
      </c>
      <c r="C1377" s="48">
        <f>IF(Offerte!$A46="","",Offerte!$C46)</f>
        <v/>
      </c>
      <c r="D1377" s="48" t="inlineStr">
        <is>
          <t>C.1.2</t>
        </is>
      </c>
      <c r="E1377" s="48" t="inlineStr">
        <is>
          <t>C</t>
        </is>
      </c>
      <c r="F1377" s="48" t="inlineStr">
        <is>
          <t>Q</t>
        </is>
      </c>
      <c r="G1377" s="48" t="inlineStr">
        <is>
          <t>higher</t>
        </is>
      </c>
      <c r="H1377" s="48" t="n">
        <v>2</v>
      </c>
      <c r="I1377" s="48" t="inlineStr">
        <is>
          <t>Tasso di copertura del servizio con telecamere ADAS</t>
        </is>
      </c>
      <c r="J1377" s="73" t="n"/>
      <c r="K1377" s="73" t="n"/>
      <c r="L1377" s="73" t="n"/>
      <c r="M1377" s="73" t="n"/>
      <c r="N1377" s="57">
        <f>IF($A1377="","",IFERROR(VALUE($K1377)/VALUE($L1377),IFERROR(VALUE($J1377),0)))</f>
        <v/>
      </c>
      <c r="O1377" s="57">
        <f>IF($A1377="",0,IF(OR($S1377&lt;&gt;1,COUNTA($J1377:$M1377)=0),0,IF(SUMPRODUCT(MAX(($C$5:$C$2484=$C1377)*($D$5:$D$2484=$D1377)*($S$5:$S$2484=1)*IFERROR($N$5:$N$2484*1,0)))&gt;0,ROUND($H1377*($N1377/SUMPRODUCT(MAX(($C$5:$C$2484=$C1377)*($D$5:$D$2484=$D1377)*($S$5:$S$2484=1)*IFERROR($N$5:$N$2484*1,0)))),4),0)))</f>
        <v/>
      </c>
      <c r="P1377" s="48" t="inlineStr">
        <is>
          <t>Autobus attrezzati con telecamere ADAS / Autobus totali in offerta, incluse scorte</t>
        </is>
      </c>
      <c r="Q1377" s="57">
        <f>IF($A1377="","",$A1377&amp;"|"&amp;$C1377)</f>
        <v/>
      </c>
      <c r="R1377" s="57">
        <f>IF($A1377="","",$A1377&amp;"|"&amp;$C1377&amp;"|"&amp;$D1377)</f>
        <v/>
      </c>
      <c r="S1377" s="57">
        <f>IF($A1377="","",IFERROR(INDEX(Offerte!$D$2:$D$81,MATCH($Q1377,Offerte!$L$2:$L$81,0)),0))</f>
        <v/>
      </c>
      <c r="T1377" s="57">
        <f>IF($A1377="","",IFERROR(INDEX(Offerte!$G$2:$G$81,MATCH($Q1377,Offerte!$L$2:$L$81,0)),"NO"))</f>
        <v/>
      </c>
    </row>
    <row r="1378">
      <c r="A1378" s="48">
        <f>IF(Offerte!$A46="","",Offerte!$A46)</f>
        <v/>
      </c>
      <c r="B1378" s="48">
        <f>IF(Offerte!$A46="","",Offerte!$B46)</f>
        <v/>
      </c>
      <c r="C1378" s="48">
        <f>IF(Offerte!$A46="","",Offerte!$C46)</f>
        <v/>
      </c>
      <c r="D1378" s="48" t="inlineStr">
        <is>
          <t>C.2.1</t>
        </is>
      </c>
      <c r="E1378" s="48" t="inlineStr">
        <is>
          <t>C</t>
        </is>
      </c>
      <c r="F1378" s="48" t="inlineStr">
        <is>
          <t>Q</t>
        </is>
      </c>
      <c r="G1378" s="48" t="inlineStr">
        <is>
          <t>higher</t>
        </is>
      </c>
      <c r="H1378" s="48" t="n">
        <v>3</v>
      </c>
      <c r="I1378" s="48" t="inlineStr">
        <is>
          <t>Tasso di copertura del servizio con telecamere di bordo di videosorveglianza</t>
        </is>
      </c>
      <c r="J1378" s="73" t="n"/>
      <c r="K1378" s="73" t="n"/>
      <c r="L1378" s="73" t="n"/>
      <c r="M1378" s="73" t="n"/>
      <c r="N1378" s="57">
        <f>IF($A1378="","",IFERROR(VALUE($K1378)/VALUE($L1378),IFERROR(VALUE($J1378),0)))</f>
        <v/>
      </c>
      <c r="O1378" s="57">
        <f>IF($A1378="",0,IF(OR($S1378&lt;&gt;1,COUNTA($J1378:$M1378)=0),0,IF(SUMPRODUCT(MAX(($C$5:$C$2484=$C1378)*($D$5:$D$2484=$D1378)*($S$5:$S$2484=1)*IFERROR($N$5:$N$2484*1,0)))&gt;0,ROUND($H1378*($N1378/SUMPRODUCT(MAX(($C$5:$C$2484=$C1378)*($D$5:$D$2484=$D1378)*($S$5:$S$2484=1)*IFERROR($N$5:$N$2484*1,0)))),4),0)))</f>
        <v/>
      </c>
      <c r="P1378" s="48" t="inlineStr">
        <is>
          <t>Autobus attrezzati con videosorveglianza / Autobus totali in offerta, incluse scorte</t>
        </is>
      </c>
      <c r="Q1378" s="57">
        <f>IF($A1378="","",$A1378&amp;"|"&amp;$C1378)</f>
        <v/>
      </c>
      <c r="R1378" s="57">
        <f>IF($A1378="","",$A1378&amp;"|"&amp;$C1378&amp;"|"&amp;$D1378)</f>
        <v/>
      </c>
      <c r="S1378" s="57">
        <f>IF($A1378="","",IFERROR(INDEX(Offerte!$D$2:$D$81,MATCH($Q1378,Offerte!$L$2:$L$81,0)),0))</f>
        <v/>
      </c>
      <c r="T1378" s="57">
        <f>IF($A1378="","",IFERROR(INDEX(Offerte!$G$2:$G$81,MATCH($Q1378,Offerte!$L$2:$L$81,0)),"NO"))</f>
        <v/>
      </c>
    </row>
    <row r="1379">
      <c r="A1379" s="48">
        <f>IF(Offerte!$A46="","",Offerte!$A46)</f>
        <v/>
      </c>
      <c r="B1379" s="48">
        <f>IF(Offerte!$A46="","",Offerte!$B46)</f>
        <v/>
      </c>
      <c r="C1379" s="48">
        <f>IF(Offerte!$A46="","",Offerte!$C46)</f>
        <v/>
      </c>
      <c r="D1379" s="48" t="inlineStr">
        <is>
          <t>C.2.2</t>
        </is>
      </c>
      <c r="E1379" s="48" t="inlineStr">
        <is>
          <t>C</t>
        </is>
      </c>
      <c r="F1379" s="48" t="inlineStr">
        <is>
          <t>T</t>
        </is>
      </c>
      <c r="G1379" s="48" t="inlineStr">
        <is>
          <t>tabular</t>
        </is>
      </c>
      <c r="H1379" s="48" t="n">
        <v>1</v>
      </c>
      <c r="I1379" s="48" t="inlineStr">
        <is>
          <t>Software video/audio analisi per situazioni di pericolo</t>
        </is>
      </c>
      <c r="J1379" s="73" t="n"/>
      <c r="K1379" s="73" t="n"/>
      <c r="L1379" s="73" t="n"/>
      <c r="M1379" s="73" t="n"/>
      <c r="N1379" s="57">
        <f>IF($A1379="","",IF(IFERROR(VALUE($M1379),0)=1,1,0))</f>
        <v/>
      </c>
      <c r="O1379" s="57">
        <f>IF($A1379="",0,IF(OR($S1379&lt;&gt;1,COUNTA($J1379:$M1379)=0),0,IF($N1379=1,$H1379,0)))</f>
        <v/>
      </c>
      <c r="P1379" s="48" t="inlineStr">
        <is>
          <t>sì/no</t>
        </is>
      </c>
      <c r="Q1379" s="57">
        <f>IF($A1379="","",$A1379&amp;"|"&amp;$C1379)</f>
        <v/>
      </c>
      <c r="R1379" s="57">
        <f>IF($A1379="","",$A1379&amp;"|"&amp;$C1379&amp;"|"&amp;$D1379)</f>
        <v/>
      </c>
      <c r="S1379" s="57">
        <f>IF($A1379="","",IFERROR(INDEX(Offerte!$D$2:$D$81,MATCH($Q1379,Offerte!$L$2:$L$81,0)),0))</f>
        <v/>
      </c>
      <c r="T1379" s="57">
        <f>IF($A1379="","",IFERROR(INDEX(Offerte!$G$2:$G$81,MATCH($Q1379,Offerte!$L$2:$L$81,0)),"NO"))</f>
        <v/>
      </c>
    </row>
    <row r="1380">
      <c r="A1380" s="48">
        <f>IF(Offerte!$A46="","",Offerte!$A46)</f>
        <v/>
      </c>
      <c r="B1380" s="48">
        <f>IF(Offerte!$A46="","",Offerte!$B46)</f>
        <v/>
      </c>
      <c r="C1380" s="48">
        <f>IF(Offerte!$A46="","",Offerte!$C46)</f>
        <v/>
      </c>
      <c r="D1380" s="48" t="inlineStr">
        <is>
          <t>C.2.3</t>
        </is>
      </c>
      <c r="E1380" s="48" t="inlineStr">
        <is>
          <t>C</t>
        </is>
      </c>
      <c r="F1380" s="48" t="inlineStr">
        <is>
          <t>T</t>
        </is>
      </c>
      <c r="G1380" s="48" t="inlineStr">
        <is>
          <t>tabular</t>
        </is>
      </c>
      <c r="H1380" s="48" t="n">
        <v>1</v>
      </c>
      <c r="I1380" s="48" t="inlineStr">
        <is>
          <t>Collegamento con centrale qualificata di pronto intervento</t>
        </is>
      </c>
      <c r="J1380" s="73" t="n"/>
      <c r="K1380" s="73" t="n"/>
      <c r="L1380" s="73" t="n"/>
      <c r="M1380" s="73" t="n"/>
      <c r="N1380" s="57">
        <f>IF($A1380="","",IF(IFERROR(VALUE($M1380),0)=1,1,0))</f>
        <v/>
      </c>
      <c r="O1380" s="57">
        <f>IF($A1380="",0,IF(OR($S1380&lt;&gt;1,COUNTA($J1380:$M1380)=0),0,IF($N1380=1,$H1380,0)))</f>
        <v/>
      </c>
      <c r="P1380" s="48" t="inlineStr">
        <is>
          <t>sì/no</t>
        </is>
      </c>
      <c r="Q1380" s="57">
        <f>IF($A1380="","",$A1380&amp;"|"&amp;$C1380)</f>
        <v/>
      </c>
      <c r="R1380" s="57">
        <f>IF($A1380="","",$A1380&amp;"|"&amp;$C1380&amp;"|"&amp;$D1380)</f>
        <v/>
      </c>
      <c r="S1380" s="57">
        <f>IF($A1380="","",IFERROR(INDEX(Offerte!$D$2:$D$81,MATCH($Q1380,Offerte!$L$2:$L$81,0)),0))</f>
        <v/>
      </c>
      <c r="T1380" s="57">
        <f>IF($A1380="","",IFERROR(INDEX(Offerte!$G$2:$G$81,MATCH($Q1380,Offerte!$L$2:$L$81,0)),"NO"))</f>
        <v/>
      </c>
    </row>
    <row r="1381">
      <c r="A1381" s="48">
        <f>IF(Offerte!$A46="","",Offerte!$A46)</f>
        <v/>
      </c>
      <c r="B1381" s="48">
        <f>IF(Offerte!$A46="","",Offerte!$B46)</f>
        <v/>
      </c>
      <c r="C1381" s="48">
        <f>IF(Offerte!$A46="","",Offerte!$C46)</f>
        <v/>
      </c>
      <c r="D1381" s="48" t="inlineStr">
        <is>
          <t>C.2.4</t>
        </is>
      </c>
      <c r="E1381" s="48" t="inlineStr">
        <is>
          <t>C</t>
        </is>
      </c>
      <c r="F1381" s="48" t="inlineStr">
        <is>
          <t>Q</t>
        </is>
      </c>
      <c r="G1381" s="48" t="inlineStr">
        <is>
          <t>higher</t>
        </is>
      </c>
      <c r="H1381" s="48" t="n">
        <v>1</v>
      </c>
      <c r="I1381" s="48" t="inlineStr">
        <is>
          <t>Tasso di copertura del servizio con dispositivi per la chiamata di emergenza del conducente</t>
        </is>
      </c>
      <c r="J1381" s="73" t="n"/>
      <c r="K1381" s="73" t="n"/>
      <c r="L1381" s="73" t="n"/>
      <c r="M1381" s="73" t="n"/>
      <c r="N1381" s="57">
        <f>IF($A1381="","",IFERROR(VALUE($K1381)/VALUE($L1381),IFERROR(VALUE($J1381),0)))</f>
        <v/>
      </c>
      <c r="O1381" s="57">
        <f>IF($A1381="",0,IF(OR($S1381&lt;&gt;1,COUNTA($J1381:$M1381)=0),0,IF(SUMPRODUCT(MAX(($C$5:$C$2484=$C1381)*($D$5:$D$2484=$D1381)*($S$5:$S$2484=1)*IFERROR($N$5:$N$2484*1,0)))&gt;0,ROUND($H1381*($N1381/SUMPRODUCT(MAX(($C$5:$C$2484=$C1381)*($D$5:$D$2484=$D1381)*($S$5:$S$2484=1)*IFERROR($N$5:$N$2484*1,0)))),4),0)))</f>
        <v/>
      </c>
      <c r="P1381" s="48" t="inlineStr">
        <is>
          <t>Autobus attrezzati con chiamata di emergenza / Autobus totali in offerta, incluse scorte</t>
        </is>
      </c>
      <c r="Q1381" s="57">
        <f>IF($A1381="","",$A1381&amp;"|"&amp;$C1381)</f>
        <v/>
      </c>
      <c r="R1381" s="57">
        <f>IF($A1381="","",$A1381&amp;"|"&amp;$C1381&amp;"|"&amp;$D1381)</f>
        <v/>
      </c>
      <c r="S1381" s="57">
        <f>IF($A1381="","",IFERROR(INDEX(Offerte!$D$2:$D$81,MATCH($Q1381,Offerte!$L$2:$L$81,0)),0))</f>
        <v/>
      </c>
      <c r="T1381" s="57">
        <f>IF($A1381="","",IFERROR(INDEX(Offerte!$G$2:$G$81,MATCH($Q1381,Offerte!$L$2:$L$81,0)),"NO"))</f>
        <v/>
      </c>
    </row>
    <row r="1382">
      <c r="A1382" s="48">
        <f>IF(Offerte!$A46="","",Offerte!$A46)</f>
        <v/>
      </c>
      <c r="B1382" s="48">
        <f>IF(Offerte!$A46="","",Offerte!$B46)</f>
        <v/>
      </c>
      <c r="C1382" s="48">
        <f>IF(Offerte!$A46="","",Offerte!$C46)</f>
        <v/>
      </c>
      <c r="D1382" s="48" t="inlineStr">
        <is>
          <t>C.3.1</t>
        </is>
      </c>
      <c r="E1382" s="48" t="inlineStr">
        <is>
          <t>C</t>
        </is>
      </c>
      <c r="F1382" s="48" t="inlineStr">
        <is>
          <t>Q</t>
        </is>
      </c>
      <c r="G1382" s="48" t="inlineStr">
        <is>
          <t>higher</t>
        </is>
      </c>
      <c r="H1382" s="48" t="n">
        <v>2</v>
      </c>
      <c r="I1382" s="48" t="inlineStr">
        <is>
          <t>Tasso di copertura del servizio con dispositivi di informazione dinamica a bordo mezzo</t>
        </is>
      </c>
      <c r="J1382" s="73" t="n"/>
      <c r="K1382" s="73" t="n"/>
      <c r="L1382" s="73" t="n"/>
      <c r="M1382" s="73" t="n"/>
      <c r="N1382" s="57">
        <f>IF($A1382="","",IFERROR(VALUE($K1382)/VALUE($L1382),IFERROR(VALUE($J1382),0)))</f>
        <v/>
      </c>
      <c r="O1382" s="57">
        <f>IF($A1382="",0,IF(OR($S1382&lt;&gt;1,COUNTA($J1382:$M1382)=0),0,IF(SUMPRODUCT(MAX(($C$5:$C$2484=$C1382)*($D$5:$D$2484=$D1382)*($S$5:$S$2484=1)*IFERROR($N$5:$N$2484*1,0)))&gt;0,ROUND($H1382*($N1382/SUMPRODUCT(MAX(($C$5:$C$2484=$C1382)*($D$5:$D$2484=$D1382)*($S$5:$S$2484=1)*IFERROR($N$5:$N$2484*1,0)))),4),0)))</f>
        <v/>
      </c>
      <c r="P1382" s="48" t="inlineStr">
        <is>
          <t>Autobus con monitor e indicatori vocali / Autobus totali in offerta, incluse scorte</t>
        </is>
      </c>
      <c r="Q1382" s="57">
        <f>IF($A1382="","",$A1382&amp;"|"&amp;$C1382)</f>
        <v/>
      </c>
      <c r="R1382" s="57">
        <f>IF($A1382="","",$A1382&amp;"|"&amp;$C1382&amp;"|"&amp;$D1382)</f>
        <v/>
      </c>
      <c r="S1382" s="57">
        <f>IF($A1382="","",IFERROR(INDEX(Offerte!$D$2:$D$81,MATCH($Q1382,Offerte!$L$2:$L$81,0)),0))</f>
        <v/>
      </c>
      <c r="T1382" s="57">
        <f>IF($A1382="","",IFERROR(INDEX(Offerte!$G$2:$G$81,MATCH($Q1382,Offerte!$L$2:$L$81,0)),"NO"))</f>
        <v/>
      </c>
    </row>
    <row r="1383">
      <c r="A1383" s="48">
        <f>IF(Offerte!$A46="","",Offerte!$A46)</f>
        <v/>
      </c>
      <c r="B1383" s="48">
        <f>IF(Offerte!$A46="","",Offerte!$B46)</f>
        <v/>
      </c>
      <c r="C1383" s="48">
        <f>IF(Offerte!$A46="","",Offerte!$C46)</f>
        <v/>
      </c>
      <c r="D1383" s="48" t="inlineStr">
        <is>
          <t>C.3.2</t>
        </is>
      </c>
      <c r="E1383" s="48" t="inlineStr">
        <is>
          <t>C</t>
        </is>
      </c>
      <c r="F1383" s="48" t="inlineStr">
        <is>
          <t>T</t>
        </is>
      </c>
      <c r="G1383" s="48" t="inlineStr">
        <is>
          <t>tabular</t>
        </is>
      </c>
      <c r="H1383" s="48" t="n">
        <v>2</v>
      </c>
      <c r="I1383" s="48" t="inlineStr">
        <is>
          <t>Informazioni a bordo su coincidenze ai nodi</t>
        </is>
      </c>
      <c r="J1383" s="73" t="n"/>
      <c r="K1383" s="73" t="n"/>
      <c r="L1383" s="73" t="n"/>
      <c r="M1383" s="73" t="n"/>
      <c r="N1383" s="57">
        <f>IF($A1383="","",IF(IFERROR(VALUE($M1383),0)=1,1,0))</f>
        <v/>
      </c>
      <c r="O1383" s="57">
        <f>IF($A1383="",0,IF(OR($S1383&lt;&gt;1,COUNTA($J1383:$M1383)=0),0,IF(AND($N1383=1,IFERROR(SUMIFS($N$5:$N$2484,$Q$5:$Q$2484,$Q1383,$D$5:$D$2484,"C.3.1"),0)&gt;=0.5),$H1383,0)))</f>
        <v/>
      </c>
      <c r="P1383" s="48" t="inlineStr">
        <is>
          <t>Dipende da C.3.1 &gt;= 0.5</t>
        </is>
      </c>
      <c r="Q1383" s="57">
        <f>IF($A1383="","",$A1383&amp;"|"&amp;$C1383)</f>
        <v/>
      </c>
      <c r="R1383" s="57">
        <f>IF($A1383="","",$A1383&amp;"|"&amp;$C1383&amp;"|"&amp;$D1383)</f>
        <v/>
      </c>
      <c r="S1383" s="57">
        <f>IF($A1383="","",IFERROR(INDEX(Offerte!$D$2:$D$81,MATCH($Q1383,Offerte!$L$2:$L$81,0)),0))</f>
        <v/>
      </c>
      <c r="T1383" s="57">
        <f>IF($A1383="","",IFERROR(INDEX(Offerte!$G$2:$G$81,MATCH($Q1383,Offerte!$L$2:$L$81,0)),"NO"))</f>
        <v/>
      </c>
    </row>
    <row r="1384">
      <c r="A1384" s="48">
        <f>IF(Offerte!$A46="","",Offerte!$A46)</f>
        <v/>
      </c>
      <c r="B1384" s="48">
        <f>IF(Offerte!$A46="","",Offerte!$B46)</f>
        <v/>
      </c>
      <c r="C1384" s="48">
        <f>IF(Offerte!$A46="","",Offerte!$C46)</f>
        <v/>
      </c>
      <c r="D1384" s="48" t="inlineStr">
        <is>
          <t>D.1.1</t>
        </is>
      </c>
      <c r="E1384" s="48" t="inlineStr">
        <is>
          <t>D</t>
        </is>
      </c>
      <c r="F1384" s="48" t="inlineStr">
        <is>
          <t>Q</t>
        </is>
      </c>
      <c r="G1384" s="48" t="inlineStr">
        <is>
          <t>higher</t>
        </is>
      </c>
      <c r="H1384" s="48" t="n">
        <v>3</v>
      </c>
      <c r="I1384" s="48" t="inlineStr">
        <is>
          <t>Installazione di pensiline</t>
        </is>
      </c>
      <c r="J1384" s="73" t="n"/>
      <c r="K1384" s="73" t="n"/>
      <c r="L1384" s="73" t="n"/>
      <c r="M1384" s="73" t="n"/>
      <c r="N1384" s="57">
        <f>IF($A1384="","",IFERROR(VALUE($J1384),0))</f>
        <v/>
      </c>
      <c r="O1384" s="57">
        <f>IF($A1384="",0,IF(OR($S1384&lt;&gt;1,COUNTA($J1384:$M1384)=0),0,IF(SUMPRODUCT(MAX(($C$5:$C$2484=$C1384)*($D$5:$D$2484=$D1384)*($S$5:$S$2484=1)*IFERROR($N$5:$N$2484*1,0)))&gt;0,ROUND($H1384*($N1384/SUMPRODUCT(MAX(($C$5:$C$2484=$C1384)*($D$5:$D$2484=$D1384)*($S$5:$S$2484=1)*IFERROR($N$5:$N$2484*1,0)))),4),0)))</f>
        <v/>
      </c>
      <c r="P1384" s="48" t="inlineStr">
        <is>
          <t>fermate</t>
        </is>
      </c>
      <c r="Q1384" s="57">
        <f>IF($A1384="","",$A1384&amp;"|"&amp;$C1384)</f>
        <v/>
      </c>
      <c r="R1384" s="57">
        <f>IF($A1384="","",$A1384&amp;"|"&amp;$C1384&amp;"|"&amp;$D1384)</f>
        <v/>
      </c>
      <c r="S1384" s="57">
        <f>IF($A1384="","",IFERROR(INDEX(Offerte!$D$2:$D$81,MATCH($Q1384,Offerte!$L$2:$L$81,0)),0))</f>
        <v/>
      </c>
      <c r="T1384" s="57">
        <f>IF($A1384="","",IFERROR(INDEX(Offerte!$G$2:$G$81,MATCH($Q1384,Offerte!$L$2:$L$81,0)),"NO"))</f>
        <v/>
      </c>
    </row>
    <row r="1385">
      <c r="A1385" s="48">
        <f>IF(Offerte!$A46="","",Offerte!$A46)</f>
        <v/>
      </c>
      <c r="B1385" s="48">
        <f>IF(Offerte!$A46="","",Offerte!$B46)</f>
        <v/>
      </c>
      <c r="C1385" s="48">
        <f>IF(Offerte!$A46="","",Offerte!$C46)</f>
        <v/>
      </c>
      <c r="D1385" s="48" t="inlineStr">
        <is>
          <t>D.1.2</t>
        </is>
      </c>
      <c r="E1385" s="48" t="inlineStr">
        <is>
          <t>D</t>
        </is>
      </c>
      <c r="F1385" s="48" t="inlineStr">
        <is>
          <t>Q</t>
        </is>
      </c>
      <c r="G1385" s="48" t="inlineStr">
        <is>
          <t>higher</t>
        </is>
      </c>
      <c r="H1385" s="48" t="n">
        <v>3</v>
      </c>
      <c r="I1385" s="48" t="inlineStr">
        <is>
          <t>Installazione di paline di fermata conformi alla DGR 581/2023</t>
        </is>
      </c>
      <c r="J1385" s="73" t="n"/>
      <c r="K1385" s="73" t="n"/>
      <c r="L1385" s="73" t="n"/>
      <c r="M1385" s="73" t="n"/>
      <c r="N1385" s="57">
        <f>IF($A1385="","",IFERROR(VALUE($J1385),0))</f>
        <v/>
      </c>
      <c r="O1385" s="57">
        <f>IF($A1385="",0,IF(OR($S1385&lt;&gt;1,COUNTA($J1385:$M1385)=0),0,IF(SUMPRODUCT(MAX(($C$5:$C$2484=$C1385)*($D$5:$D$2484=$D1385)*($S$5:$S$2484=1)*IFERROR($N$5:$N$2484*1,0)))&gt;0,ROUND($H1385*($N1385/SUMPRODUCT(MAX(($C$5:$C$2484=$C1385)*($D$5:$D$2484=$D1385)*($S$5:$S$2484=1)*IFERROR($N$5:$N$2484*1,0)))),4),0)))</f>
        <v/>
      </c>
      <c r="P1385" s="48" t="inlineStr">
        <is>
          <t>fermate</t>
        </is>
      </c>
      <c r="Q1385" s="57">
        <f>IF($A1385="","",$A1385&amp;"|"&amp;$C1385)</f>
        <v/>
      </c>
      <c r="R1385" s="57">
        <f>IF($A1385="","",$A1385&amp;"|"&amp;$C1385&amp;"|"&amp;$D1385)</f>
        <v/>
      </c>
      <c r="S1385" s="57">
        <f>IF($A1385="","",IFERROR(INDEX(Offerte!$D$2:$D$81,MATCH($Q1385,Offerte!$L$2:$L$81,0)),0))</f>
        <v/>
      </c>
      <c r="T1385" s="57">
        <f>IF($A1385="","",IFERROR(INDEX(Offerte!$G$2:$G$81,MATCH($Q1385,Offerte!$L$2:$L$81,0)),"NO"))</f>
        <v/>
      </c>
    </row>
    <row r="1386">
      <c r="A1386" s="48">
        <f>IF(Offerte!$A46="","",Offerte!$A46)</f>
        <v/>
      </c>
      <c r="B1386" s="48">
        <f>IF(Offerte!$A46="","",Offerte!$B46)</f>
        <v/>
      </c>
      <c r="C1386" s="48">
        <f>IF(Offerte!$A46="","",Offerte!$C46)</f>
        <v/>
      </c>
      <c r="D1386" s="48" t="inlineStr">
        <is>
          <t>D.1.3</t>
        </is>
      </c>
      <c r="E1386" s="48" t="inlineStr">
        <is>
          <t>D</t>
        </is>
      </c>
      <c r="F1386" s="48" t="inlineStr">
        <is>
          <t>Q</t>
        </is>
      </c>
      <c r="G1386" s="48" t="inlineStr">
        <is>
          <t>higher</t>
        </is>
      </c>
      <c r="H1386" s="48" t="n">
        <v>2</v>
      </c>
      <c r="I1386" s="48" t="inlineStr">
        <is>
          <t>Display informativi connessi alle fermate</t>
        </is>
      </c>
      <c r="J1386" s="73" t="n"/>
      <c r="K1386" s="73" t="n"/>
      <c r="L1386" s="73" t="n"/>
      <c r="M1386" s="73" t="n"/>
      <c r="N1386" s="57">
        <f>IF($A1386="","",IFERROR(VALUE($J1386),0))</f>
        <v/>
      </c>
      <c r="O1386" s="57">
        <f>IF($A1386="",0,IF(OR($S1386&lt;&gt;1,COUNTA($J1386:$M1386)=0),0,IF(SUMPRODUCT(MAX(($C$5:$C$2484=$C1386)*($D$5:$D$2484=$D1386)*($S$5:$S$2484=1)*IFERROR($N$5:$N$2484*1,0)))&gt;0,ROUND($H1386*($N1386/SUMPRODUCT(MAX(($C$5:$C$2484=$C1386)*($D$5:$D$2484=$D1386)*($S$5:$S$2484=1)*IFERROR($N$5:$N$2484*1,0)))),4),0)))</f>
        <v/>
      </c>
      <c r="P1386" s="48" t="inlineStr">
        <is>
          <t>fermate</t>
        </is>
      </c>
      <c r="Q1386" s="57">
        <f>IF($A1386="","",$A1386&amp;"|"&amp;$C1386)</f>
        <v/>
      </c>
      <c r="R1386" s="57">
        <f>IF($A1386="","",$A1386&amp;"|"&amp;$C1386&amp;"|"&amp;$D1386)</f>
        <v/>
      </c>
      <c r="S1386" s="57">
        <f>IF($A1386="","",IFERROR(INDEX(Offerte!$D$2:$D$81,MATCH($Q1386,Offerte!$L$2:$L$81,0)),0))</f>
        <v/>
      </c>
      <c r="T1386" s="57">
        <f>IF($A1386="","",IFERROR(INDEX(Offerte!$G$2:$G$81,MATCH($Q1386,Offerte!$L$2:$L$81,0)),"NO"))</f>
        <v/>
      </c>
    </row>
    <row r="1387">
      <c r="A1387" s="48">
        <f>IF(Offerte!$A46="","",Offerte!$A46)</f>
        <v/>
      </c>
      <c r="B1387" s="48">
        <f>IF(Offerte!$A46="","",Offerte!$B46)</f>
        <v/>
      </c>
      <c r="C1387" s="48">
        <f>IF(Offerte!$A46="","",Offerte!$C46)</f>
        <v/>
      </c>
      <c r="D1387" s="48" t="inlineStr">
        <is>
          <t>D.2.1</t>
        </is>
      </c>
      <c r="E1387" s="48" t="inlineStr">
        <is>
          <t>D</t>
        </is>
      </c>
      <c r="F1387" s="48" t="inlineStr">
        <is>
          <t>Q</t>
        </is>
      </c>
      <c r="G1387" s="48" t="inlineStr">
        <is>
          <t>higher</t>
        </is>
      </c>
      <c r="H1387" s="48" t="n">
        <v>2</v>
      </c>
      <c r="I1387" s="48" t="inlineStr">
        <is>
          <t>Segnali tattili Loges-Vet-Evolution</t>
        </is>
      </c>
      <c r="J1387" s="73" t="n"/>
      <c r="K1387" s="73" t="n"/>
      <c r="L1387" s="73" t="n"/>
      <c r="M1387" s="73" t="n"/>
      <c r="N1387" s="57">
        <f>IF($A1387="","",IFERROR(VALUE($J1387),0))</f>
        <v/>
      </c>
      <c r="O1387" s="57">
        <f>IF($A1387="",0,IF(OR($S1387&lt;&gt;1,COUNTA($J1387:$M1387)=0),0,IF(SUMPRODUCT(MAX(($C$5:$C$2484=$C1387)*($D$5:$D$2484=$D1387)*($S$5:$S$2484=1)*IFERROR($N$5:$N$2484*1,0)))&gt;0,ROUND($H1387*($N1387/SUMPRODUCT(MAX(($C$5:$C$2484=$C1387)*($D$5:$D$2484=$D1387)*($S$5:$S$2484=1)*IFERROR($N$5:$N$2484*1,0)))),4),0)))</f>
        <v/>
      </c>
      <c r="P1387" s="48" t="inlineStr">
        <is>
          <t>fermate</t>
        </is>
      </c>
      <c r="Q1387" s="57">
        <f>IF($A1387="","",$A1387&amp;"|"&amp;$C1387)</f>
        <v/>
      </c>
      <c r="R1387" s="57">
        <f>IF($A1387="","",$A1387&amp;"|"&amp;$C1387&amp;"|"&amp;$D1387)</f>
        <v/>
      </c>
      <c r="S1387" s="57">
        <f>IF($A1387="","",IFERROR(INDEX(Offerte!$D$2:$D$81,MATCH($Q1387,Offerte!$L$2:$L$81,0)),0))</f>
        <v/>
      </c>
      <c r="T1387" s="57">
        <f>IF($A1387="","",IFERROR(INDEX(Offerte!$G$2:$G$81,MATCH($Q1387,Offerte!$L$2:$L$81,0)),"NO"))</f>
        <v/>
      </c>
    </row>
    <row r="1388">
      <c r="A1388" s="48">
        <f>IF(Offerte!$A46="","",Offerte!$A46)</f>
        <v/>
      </c>
      <c r="B1388" s="48">
        <f>IF(Offerte!$A46="","",Offerte!$B46)</f>
        <v/>
      </c>
      <c r="C1388" s="48">
        <f>IF(Offerte!$A46="","",Offerte!$C46)</f>
        <v/>
      </c>
      <c r="D1388" s="48" t="inlineStr">
        <is>
          <t>E.1.1</t>
        </is>
      </c>
      <c r="E1388" s="48" t="inlineStr">
        <is>
          <t>E</t>
        </is>
      </c>
      <c r="F1388" s="48" t="inlineStr">
        <is>
          <t>T</t>
        </is>
      </c>
      <c r="G1388" s="48" t="inlineStr">
        <is>
          <t>tabular</t>
        </is>
      </c>
      <c r="H1388" s="48" t="n">
        <v>2</v>
      </c>
      <c r="I1388" s="48" t="inlineStr">
        <is>
          <t>Mobile app con travel planner PRM</t>
        </is>
      </c>
      <c r="J1388" s="73" t="n"/>
      <c r="K1388" s="73" t="n"/>
      <c r="L1388" s="73" t="n"/>
      <c r="M1388" s="73" t="n"/>
      <c r="N1388" s="57">
        <f>IF($A1388="","",IF(IFERROR(VALUE($M1388),0)=1,1,0))</f>
        <v/>
      </c>
      <c r="O1388" s="57">
        <f>IF($A1388="",0,IF(OR($S1388&lt;&gt;1,COUNTA($J1388:$M1388)=0),0,IF($N1388=1,$H1388,0)))</f>
        <v/>
      </c>
      <c r="P1388" s="48" t="inlineStr">
        <is>
          <t>sì/no</t>
        </is>
      </c>
      <c r="Q1388" s="57">
        <f>IF($A1388="","",$A1388&amp;"|"&amp;$C1388)</f>
        <v/>
      </c>
      <c r="R1388" s="57">
        <f>IF($A1388="","",$A1388&amp;"|"&amp;$C1388&amp;"|"&amp;$D1388)</f>
        <v/>
      </c>
      <c r="S1388" s="57">
        <f>IF($A1388="","",IFERROR(INDEX(Offerte!$D$2:$D$81,MATCH($Q1388,Offerte!$L$2:$L$81,0)),0))</f>
        <v/>
      </c>
      <c r="T1388" s="57">
        <f>IF($A1388="","",IFERROR(INDEX(Offerte!$G$2:$G$81,MATCH($Q1388,Offerte!$L$2:$L$81,0)),"NO"))</f>
        <v/>
      </c>
    </row>
    <row r="1389">
      <c r="A1389" s="48">
        <f>IF(Offerte!$A46="","",Offerte!$A46)</f>
        <v/>
      </c>
      <c r="B1389" s="48">
        <f>IF(Offerte!$A46="","",Offerte!$B46)</f>
        <v/>
      </c>
      <c r="C1389" s="48">
        <f>IF(Offerte!$A46="","",Offerte!$C46)</f>
        <v/>
      </c>
      <c r="D1389" s="48" t="inlineStr">
        <is>
          <t>E.2.1</t>
        </is>
      </c>
      <c r="E1389" s="48" t="inlineStr">
        <is>
          <t>E</t>
        </is>
      </c>
      <c r="F1389" s="48" t="inlineStr">
        <is>
          <t>D</t>
        </is>
      </c>
      <c r="G1389" s="48" t="inlineStr">
        <is>
          <t>discretionary</t>
        </is>
      </c>
      <c r="H1389" s="48" t="n">
        <v>2</v>
      </c>
      <c r="I1389" s="48" t="inlineStr">
        <is>
          <t>Altre azioni informative e rapporti con gli utenti</t>
        </is>
      </c>
      <c r="J1389" s="73" t="n"/>
      <c r="K1389" s="73" t="n"/>
      <c r="L1389" s="73" t="n"/>
      <c r="M1389" s="73" t="n"/>
      <c r="N1389" s="57">
        <f>IF($A1389="","",MAX(0,MIN(1,IFERROR(VALUE($M1389),0))))</f>
        <v/>
      </c>
      <c r="O1389" s="57">
        <f>IF($A1389="",0,IF(OR($S1389&lt;&gt;1,COUNTA($J1389:$M1389)=0),0,IF(SUMPRODUCT(MAX(($C$5:$C$2484=$C1389)*($D$5:$D$2484=$D1389)*($S$5:$S$2484=1)*IFERROR($N$5:$N$2484*1,0)))&gt;0,ROUND($H1389*($N1389/SUMPRODUCT(MAX(($C$5:$C$2484=$C1389)*($D$5:$D$2484=$D1389)*($S$5:$S$2484=1)*IFERROR($N$5:$N$2484*1,0)))),4),0)))</f>
        <v/>
      </c>
      <c r="P1389" s="48" t="inlineStr">
        <is>
          <t>coeff.</t>
        </is>
      </c>
      <c r="Q1389" s="57">
        <f>IF($A1389="","",$A1389&amp;"|"&amp;$C1389)</f>
        <v/>
      </c>
      <c r="R1389" s="57">
        <f>IF($A1389="","",$A1389&amp;"|"&amp;$C1389&amp;"|"&amp;$D1389)</f>
        <v/>
      </c>
      <c r="S1389" s="57">
        <f>IF($A1389="","",IFERROR(INDEX(Offerte!$D$2:$D$81,MATCH($Q1389,Offerte!$L$2:$L$81,0)),0))</f>
        <v/>
      </c>
      <c r="T1389" s="57">
        <f>IF($A1389="","",IFERROR(INDEX(Offerte!$G$2:$G$81,MATCH($Q1389,Offerte!$L$2:$L$81,0)),"NO"))</f>
        <v/>
      </c>
    </row>
    <row r="1390">
      <c r="A1390" s="48">
        <f>IF(Offerte!$A46="","",Offerte!$A46)</f>
        <v/>
      </c>
      <c r="B1390" s="48">
        <f>IF(Offerte!$A46="","",Offerte!$B46)</f>
        <v/>
      </c>
      <c r="C1390" s="48">
        <f>IF(Offerte!$A46="","",Offerte!$C46)</f>
        <v/>
      </c>
      <c r="D1390" s="48" t="inlineStr">
        <is>
          <t>F.1.1</t>
        </is>
      </c>
      <c r="E1390" s="48" t="inlineStr">
        <is>
          <t>F</t>
        </is>
      </c>
      <c r="F1390" s="48" t="inlineStr">
        <is>
          <t>Q</t>
        </is>
      </c>
      <c r="G1390" s="48" t="inlineStr">
        <is>
          <t>lower</t>
        </is>
      </c>
      <c r="H1390" s="48" t="n">
        <v>7</v>
      </c>
      <c r="I1390" s="48" t="inlineStr">
        <is>
          <t>Performance ambientali del parco mezzi adibito al servizio - I_CEA</t>
        </is>
      </c>
      <c r="J1390" s="73" t="n"/>
      <c r="K1390" s="73" t="n"/>
      <c r="L1390" s="73" t="n"/>
      <c r="M1390" s="73" t="n"/>
      <c r="N1390" s="57">
        <f>IF($A1390="","",IFERROR(VALUE($J1390),0))</f>
        <v/>
      </c>
      <c r="O1390" s="57">
        <f>IF($A1390="",0,IF(OR($S1390&lt;&gt;1,COUNTA($J1390:$M1390)=0),0,IF(AND(IFERROR(AGGREGATE(15,6,$N$5:$N$2484/(($C$5:$C$2484=$C1390)*($D$5:$D$2484=$D1390)*($S$5:$S$2484=1)*($N$5:$N$2484&gt;0)),1),0)&gt;0,$N1390&gt;0),ROUND($H1390*(IFERROR(AGGREGATE(15,6,$N$5:$N$2484/(($C$5:$C$2484=$C1390)*($D$5:$D$2484=$D1390)*($S$5:$S$2484=1)*($N$5:$N$2484&gt;0)),1),0)/$N1390),4),0)))</f>
        <v/>
      </c>
      <c r="P1390" s="48" t="inlineStr">
        <is>
          <t>indice</t>
        </is>
      </c>
      <c r="Q1390" s="57">
        <f>IF($A1390="","",$A1390&amp;"|"&amp;$C1390)</f>
        <v/>
      </c>
      <c r="R1390" s="57">
        <f>IF($A1390="","",$A1390&amp;"|"&amp;$C1390&amp;"|"&amp;$D1390)</f>
        <v/>
      </c>
      <c r="S1390" s="57">
        <f>IF($A1390="","",IFERROR(INDEX(Offerte!$D$2:$D$81,MATCH($Q1390,Offerte!$L$2:$L$81,0)),0))</f>
        <v/>
      </c>
      <c r="T1390" s="57">
        <f>IF($A1390="","",IFERROR(INDEX(Offerte!$G$2:$G$81,MATCH($Q1390,Offerte!$L$2:$L$81,0)),"NO"))</f>
        <v/>
      </c>
    </row>
    <row r="1391">
      <c r="A1391" s="48">
        <f>IF(Offerte!$A46="","",Offerte!$A46)</f>
        <v/>
      </c>
      <c r="B1391" s="48">
        <f>IF(Offerte!$A46="","",Offerte!$B46)</f>
        <v/>
      </c>
      <c r="C1391" s="48">
        <f>IF(Offerte!$A46="","",Offerte!$C46)</f>
        <v/>
      </c>
      <c r="D1391" s="48" t="inlineStr">
        <is>
          <t>F.2.1</t>
        </is>
      </c>
      <c r="E1391" s="48" t="inlineStr">
        <is>
          <t>F</t>
        </is>
      </c>
      <c r="F1391" s="48" t="inlineStr">
        <is>
          <t>Q</t>
        </is>
      </c>
      <c r="G1391" s="48" t="inlineStr">
        <is>
          <t>higher</t>
        </is>
      </c>
      <c r="H1391" s="48" t="n">
        <v>2</v>
      </c>
      <c r="I1391" s="48" t="inlineStr">
        <is>
          <t>Tasso di copertura del servizio con dispositivi ECO-DRIVER</t>
        </is>
      </c>
      <c r="J1391" s="73" t="n"/>
      <c r="K1391" s="73" t="n"/>
      <c r="L1391" s="73" t="n"/>
      <c r="M1391" s="73" t="n"/>
      <c r="N1391" s="57">
        <f>IF($A1391="","",IFERROR(VALUE($K1391)/VALUE($L1391),IFERROR(VALUE($J1391),0)))</f>
        <v/>
      </c>
      <c r="O1391" s="57">
        <f>IF($A1391="",0,IF(OR($S1391&lt;&gt;1,COUNTA($J1391:$M1391)=0),0,IF(SUMPRODUCT(MAX(($C$5:$C$2484=$C1391)*($D$5:$D$2484=$D1391)*($S$5:$S$2484=1)*IFERROR($N$5:$N$2484*1,0)))&gt;0,ROUND($H1391*($N1391/SUMPRODUCT(MAX(($C$5:$C$2484=$C1391)*($D$5:$D$2484=$D1391)*($S$5:$S$2484=1)*IFERROR($N$5:$N$2484*1,0)))),4),0)))</f>
        <v/>
      </c>
      <c r="P1391" s="48" t="inlineStr">
        <is>
          <t>Autobus attrezzati con dispositivi ECO-DRIVER / Autobus totali in offerta, incluse scorte</t>
        </is>
      </c>
      <c r="Q1391" s="57">
        <f>IF($A1391="","",$A1391&amp;"|"&amp;$C1391)</f>
        <v/>
      </c>
      <c r="R1391" s="57">
        <f>IF($A1391="","",$A1391&amp;"|"&amp;$C1391&amp;"|"&amp;$D1391)</f>
        <v/>
      </c>
      <c r="S1391" s="57">
        <f>IF($A1391="","",IFERROR(INDEX(Offerte!$D$2:$D$81,MATCH($Q1391,Offerte!$L$2:$L$81,0)),0))</f>
        <v/>
      </c>
      <c r="T1391" s="57">
        <f>IF($A1391="","",IFERROR(INDEX(Offerte!$G$2:$G$81,MATCH($Q1391,Offerte!$L$2:$L$81,0)),"NO"))</f>
        <v/>
      </c>
    </row>
    <row r="1392">
      <c r="A1392" s="48">
        <f>IF(Offerte!$A46="","",Offerte!$A46)</f>
        <v/>
      </c>
      <c r="B1392" s="48">
        <f>IF(Offerte!$A46="","",Offerte!$B46)</f>
        <v/>
      </c>
      <c r="C1392" s="48">
        <f>IF(Offerte!$A46="","",Offerte!$C46)</f>
        <v/>
      </c>
      <c r="D1392" s="48" t="inlineStr">
        <is>
          <t>F.3.1</t>
        </is>
      </c>
      <c r="E1392" s="48" t="inlineStr">
        <is>
          <t>F</t>
        </is>
      </c>
      <c r="F1392" s="48" t="inlineStr">
        <is>
          <t>Q</t>
        </is>
      </c>
      <c r="G1392" s="48" t="inlineStr">
        <is>
          <t>higher</t>
        </is>
      </c>
      <c r="H1392" s="48" t="n">
        <v>2</v>
      </c>
      <c r="I1392" s="48" t="inlineStr">
        <is>
          <t>Autoproduzione consumi elettrici per trazione</t>
        </is>
      </c>
      <c r="J1392" s="73" t="n"/>
      <c r="K1392" s="73" t="n"/>
      <c r="L1392" s="73" t="n"/>
      <c r="M1392" s="73" t="n"/>
      <c r="N1392" s="57">
        <f>IF($A1392="","",IFERROR(VALUE($J1392),0))</f>
        <v/>
      </c>
      <c r="O1392" s="57">
        <f>IF($A1392="",0,IF(OR($S1392&lt;&gt;1,COUNTA($J1392:$M1392)=0),0,IF(SUMPRODUCT(MAX(($C$5:$C$2484=$C1392)*($D$5:$D$2484=$D1392)*($S$5:$S$2484=1)*IFERROR($N$5:$N$2484*1,0)))&gt;0,ROUND($H1392*($N1392/SUMPRODUCT(MAX(($C$5:$C$2484=$C1392)*($D$5:$D$2484=$D1392)*($S$5:$S$2484=1)*IFERROR($N$5:$N$2484*1,0)))),4),0)))</f>
        <v/>
      </c>
      <c r="P1392" s="48" t="inlineStr">
        <is>
          <t>kWh/anno</t>
        </is>
      </c>
      <c r="Q1392" s="57">
        <f>IF($A1392="","",$A1392&amp;"|"&amp;$C1392)</f>
        <v/>
      </c>
      <c r="R1392" s="57">
        <f>IF($A1392="","",$A1392&amp;"|"&amp;$C1392&amp;"|"&amp;$D1392)</f>
        <v/>
      </c>
      <c r="S1392" s="57">
        <f>IF($A1392="","",IFERROR(INDEX(Offerte!$D$2:$D$81,MATCH($Q1392,Offerte!$L$2:$L$81,0)),0))</f>
        <v/>
      </c>
      <c r="T1392" s="57">
        <f>IF($A1392="","",IFERROR(INDEX(Offerte!$G$2:$G$81,MATCH($Q1392,Offerte!$L$2:$L$81,0)),"NO"))</f>
        <v/>
      </c>
    </row>
    <row r="1393">
      <c r="A1393" s="48">
        <f>IF(Offerte!$A46="","",Offerte!$A46)</f>
        <v/>
      </c>
      <c r="B1393" s="48">
        <f>IF(Offerte!$A46="","",Offerte!$B46)</f>
        <v/>
      </c>
      <c r="C1393" s="48">
        <f>IF(Offerte!$A46="","",Offerte!$C46)</f>
        <v/>
      </c>
      <c r="D1393" s="48" t="inlineStr">
        <is>
          <t>F.4.1</t>
        </is>
      </c>
      <c r="E1393" s="48" t="inlineStr">
        <is>
          <t>F</t>
        </is>
      </c>
      <c r="F1393" s="48" t="inlineStr">
        <is>
          <t>Q</t>
        </is>
      </c>
      <c r="G1393" s="48" t="inlineStr">
        <is>
          <t>soil</t>
        </is>
      </c>
      <c r="H1393" s="48" t="n">
        <v>2</v>
      </c>
      <c r="I1393" s="48" t="inlineStr">
        <is>
          <t>Indice di consumo di suolo</t>
        </is>
      </c>
      <c r="J1393" s="73" t="n"/>
      <c r="K1393" s="73" t="n"/>
      <c r="L1393" s="73" t="n"/>
      <c r="M1393" s="73" t="n"/>
      <c r="N1393" s="57">
        <f>IF($A1393="","",IFERROR(VALUE($J1393),0))</f>
        <v/>
      </c>
      <c r="O1393" s="57">
        <f>IF($A1393="",0,IF(OR($S1393&lt;&gt;1,COUNTA($J1393:$M1393)=0),0,IF($N1393&lt;=0,$H1393,IF(SUMPRODUCT(MAX(($C$5:$C$2484=$C1393)*($D$5:$D$2484=$D1393)*($S$5:$S$2484=1)*IFERROR($N$5:$N$2484*1,0)))&gt;0,ROUND($H1393*((SUMPRODUCT(MAX(($C$5:$C$2484=$C1393)*($D$5:$D$2484=$D1393)*($S$5:$S$2484=1)*IFERROR($N$5:$N$2484*1,0)))-$N1393)/SUMPRODUCT(MAX(($C$5:$C$2484=$C1393)*($D$5:$D$2484=$D1393)*($S$5:$S$2484=1)*IFERROR($N$5:$N$2484*1,0)))),4),0))))</f>
        <v/>
      </c>
      <c r="P1393" s="48" t="inlineStr">
        <is>
          <t>m2</t>
        </is>
      </c>
      <c r="Q1393" s="57">
        <f>IF($A1393="","",$A1393&amp;"|"&amp;$C1393)</f>
        <v/>
      </c>
      <c r="R1393" s="57">
        <f>IF($A1393="","",$A1393&amp;"|"&amp;$C1393&amp;"|"&amp;$D1393)</f>
        <v/>
      </c>
      <c r="S1393" s="57">
        <f>IF($A1393="","",IFERROR(INDEX(Offerte!$D$2:$D$81,MATCH($Q1393,Offerte!$L$2:$L$81,0)),0))</f>
        <v/>
      </c>
      <c r="T1393" s="57">
        <f>IF($A1393="","",IFERROR(INDEX(Offerte!$G$2:$G$81,MATCH($Q1393,Offerte!$L$2:$L$81,0)),"NO"))</f>
        <v/>
      </c>
    </row>
    <row r="1394">
      <c r="A1394" s="48">
        <f>IF(Offerte!$A46="","",Offerte!$A46)</f>
        <v/>
      </c>
      <c r="B1394" s="48">
        <f>IF(Offerte!$A46="","",Offerte!$B46)</f>
        <v/>
      </c>
      <c r="C1394" s="48">
        <f>IF(Offerte!$A46="","",Offerte!$C46)</f>
        <v/>
      </c>
      <c r="D1394" s="48" t="inlineStr">
        <is>
          <t>F.5.1</t>
        </is>
      </c>
      <c r="E1394" s="48" t="inlineStr">
        <is>
          <t>F</t>
        </is>
      </c>
      <c r="F1394" s="48" t="inlineStr">
        <is>
          <t>T</t>
        </is>
      </c>
      <c r="G1394" s="48" t="inlineStr">
        <is>
          <t>tabular</t>
        </is>
      </c>
      <c r="H1394" s="48" t="n">
        <v>1</v>
      </c>
      <c r="I1394" s="48" t="inlineStr">
        <is>
          <t>Rendicontazione di sostenibilità ambientale</t>
        </is>
      </c>
      <c r="J1394" s="73" t="n"/>
      <c r="K1394" s="73" t="n"/>
      <c r="L1394" s="73" t="n"/>
      <c r="M1394" s="73" t="n"/>
      <c r="N1394" s="57">
        <f>IF($A1394="","",IF(IFERROR(VALUE($M1394),0)=1,1,0))</f>
        <v/>
      </c>
      <c r="O1394" s="57">
        <f>IF($A1394="",0,IF(OR($S1394&lt;&gt;1,COUNTA($J1394:$M1394)=0),0,IF($N1394=1,$H1394,0)))</f>
        <v/>
      </c>
      <c r="P1394" s="48" t="inlineStr">
        <is>
          <t>sì/no</t>
        </is>
      </c>
      <c r="Q1394" s="57">
        <f>IF($A1394="","",$A1394&amp;"|"&amp;$C1394)</f>
        <v/>
      </c>
      <c r="R1394" s="57">
        <f>IF($A1394="","",$A1394&amp;"|"&amp;$C1394&amp;"|"&amp;$D1394)</f>
        <v/>
      </c>
      <c r="S1394" s="57">
        <f>IF($A1394="","",IFERROR(INDEX(Offerte!$D$2:$D$81,MATCH($Q1394,Offerte!$L$2:$L$81,0)),0))</f>
        <v/>
      </c>
      <c r="T1394" s="57">
        <f>IF($A1394="","",IFERROR(INDEX(Offerte!$G$2:$G$81,MATCH($Q1394,Offerte!$L$2:$L$81,0)),"NO"))</f>
        <v/>
      </c>
    </row>
    <row r="1395">
      <c r="A1395" s="48">
        <f>IF(Offerte!$A46="","",Offerte!$A46)</f>
        <v/>
      </c>
      <c r="B1395" s="48">
        <f>IF(Offerte!$A46="","",Offerte!$B46)</f>
        <v/>
      </c>
      <c r="C1395" s="48">
        <f>IF(Offerte!$A46="","",Offerte!$C46)</f>
        <v/>
      </c>
      <c r="D1395" s="48" t="inlineStr">
        <is>
          <t>G.1.1</t>
        </is>
      </c>
      <c r="E1395" s="48" t="inlineStr">
        <is>
          <t>G</t>
        </is>
      </c>
      <c r="F1395" s="48" t="inlineStr">
        <is>
          <t>D</t>
        </is>
      </c>
      <c r="G1395" s="48" t="inlineStr">
        <is>
          <t>discretionary</t>
        </is>
      </c>
      <c r="H1395" s="48" t="n">
        <v>2</v>
      </c>
      <c r="I1395" s="48" t="inlineStr">
        <is>
          <t>Qualità del progetto di centrale di controllo aziendale</t>
        </is>
      </c>
      <c r="J1395" s="73" t="n"/>
      <c r="K1395" s="73" t="n"/>
      <c r="L1395" s="73" t="n"/>
      <c r="M1395" s="73" t="n"/>
      <c r="N1395" s="57">
        <f>IF($A1395="","",MAX(0,MIN(1,IFERROR(VALUE($M1395),0))))</f>
        <v/>
      </c>
      <c r="O1395" s="57">
        <f>IF($A1395="",0,IF(OR($S1395&lt;&gt;1,COUNTA($J1395:$M1395)=0),0,IF(SUMPRODUCT(MAX(($C$5:$C$2484=$C1395)*($D$5:$D$2484=$D1395)*($S$5:$S$2484=1)*IFERROR($N$5:$N$2484*1,0)))&gt;0,ROUND($H1395*($N1395/SUMPRODUCT(MAX(($C$5:$C$2484=$C1395)*($D$5:$D$2484=$D1395)*($S$5:$S$2484=1)*IFERROR($N$5:$N$2484*1,0)))),4),0)))</f>
        <v/>
      </c>
      <c r="P1395" s="48" t="inlineStr">
        <is>
          <t>coeff.</t>
        </is>
      </c>
      <c r="Q1395" s="57">
        <f>IF($A1395="","",$A1395&amp;"|"&amp;$C1395)</f>
        <v/>
      </c>
      <c r="R1395" s="57">
        <f>IF($A1395="","",$A1395&amp;"|"&amp;$C1395&amp;"|"&amp;$D1395)</f>
        <v/>
      </c>
      <c r="S1395" s="57">
        <f>IF($A1395="","",IFERROR(INDEX(Offerte!$D$2:$D$81,MATCH($Q1395,Offerte!$L$2:$L$81,0)),0))</f>
        <v/>
      </c>
      <c r="T1395" s="57">
        <f>IF($A1395="","",IFERROR(INDEX(Offerte!$G$2:$G$81,MATCH($Q1395,Offerte!$L$2:$L$81,0)),"NO"))</f>
        <v/>
      </c>
    </row>
    <row r="1396">
      <c r="A1396" s="48">
        <f>IF(Offerte!$A46="","",Offerte!$A46)</f>
        <v/>
      </c>
      <c r="B1396" s="48">
        <f>IF(Offerte!$A46="","",Offerte!$B46)</f>
        <v/>
      </c>
      <c r="C1396" s="48">
        <f>IF(Offerte!$A46="","",Offerte!$C46)</f>
        <v/>
      </c>
      <c r="D1396" s="48" t="inlineStr">
        <is>
          <t>G.2.1</t>
        </is>
      </c>
      <c r="E1396" s="48" t="inlineStr">
        <is>
          <t>G</t>
        </is>
      </c>
      <c r="F1396" s="48" t="inlineStr">
        <is>
          <t>T</t>
        </is>
      </c>
      <c r="G1396" s="48" t="inlineStr">
        <is>
          <t>tabular</t>
        </is>
      </c>
      <c r="H1396" s="48" t="n">
        <v>1</v>
      </c>
      <c r="I1396" s="48" t="inlineStr">
        <is>
          <t>Certificazione ISO 45001</t>
        </is>
      </c>
      <c r="J1396" s="73" t="n"/>
      <c r="K1396" s="73" t="n"/>
      <c r="L1396" s="73" t="n"/>
      <c r="M1396" s="73" t="n"/>
      <c r="N1396" s="57">
        <f>IF($A1396="","",IF(IFERROR(VALUE($M1396),0)=1,1,0))</f>
        <v/>
      </c>
      <c r="O1396" s="57">
        <f>IF($A1396="",0,IF(OR($S1396&lt;&gt;1,COUNTA($J1396:$M1396)=0),0,IF($N1396=1,$H1396,0)))</f>
        <v/>
      </c>
      <c r="P1396" s="48" t="inlineStr">
        <is>
          <t>sì/no</t>
        </is>
      </c>
      <c r="Q1396" s="57">
        <f>IF($A1396="","",$A1396&amp;"|"&amp;$C1396)</f>
        <v/>
      </c>
      <c r="R1396" s="57">
        <f>IF($A1396="","",$A1396&amp;"|"&amp;$C1396&amp;"|"&amp;$D1396)</f>
        <v/>
      </c>
      <c r="S1396" s="57">
        <f>IF($A1396="","",IFERROR(INDEX(Offerte!$D$2:$D$81,MATCH($Q1396,Offerte!$L$2:$L$81,0)),0))</f>
        <v/>
      </c>
      <c r="T1396" s="57">
        <f>IF($A1396="","",IFERROR(INDEX(Offerte!$G$2:$G$81,MATCH($Q1396,Offerte!$L$2:$L$81,0)),"NO"))</f>
        <v/>
      </c>
    </row>
    <row r="1397">
      <c r="A1397" s="48">
        <f>IF(Offerte!$A46="","",Offerte!$A46)</f>
        <v/>
      </c>
      <c r="B1397" s="48">
        <f>IF(Offerte!$A46="","",Offerte!$B46)</f>
        <v/>
      </c>
      <c r="C1397" s="48">
        <f>IF(Offerte!$A46="","",Offerte!$C46)</f>
        <v/>
      </c>
      <c r="D1397" s="48" t="inlineStr">
        <is>
          <t>G.3.1</t>
        </is>
      </c>
      <c r="E1397" s="48" t="inlineStr">
        <is>
          <t>G</t>
        </is>
      </c>
      <c r="F1397" s="48" t="inlineStr">
        <is>
          <t>T</t>
        </is>
      </c>
      <c r="G1397" s="48" t="inlineStr">
        <is>
          <t>tabular</t>
        </is>
      </c>
      <c r="H1397" s="48" t="n">
        <v>1</v>
      </c>
      <c r="I1397" s="48" t="inlineStr">
        <is>
          <t>Certificazioni di responsabilità sociale</t>
        </is>
      </c>
      <c r="J1397" s="73" t="n"/>
      <c r="K1397" s="73" t="n"/>
      <c r="L1397" s="73" t="n"/>
      <c r="M1397" s="73" t="n"/>
      <c r="N1397" s="57">
        <f>IF($A1397="","",IF(IFERROR(VALUE($M1397),0)=1,1,0))</f>
        <v/>
      </c>
      <c r="O1397" s="57">
        <f>IF($A1397="",0,IF(OR($S1397&lt;&gt;1,COUNTA($J1397:$M1397)=0),0,IF($N1397=1,$H1397,0)))</f>
        <v/>
      </c>
      <c r="P1397" s="48" t="inlineStr">
        <is>
          <t>sì/no</t>
        </is>
      </c>
      <c r="Q1397" s="57">
        <f>IF($A1397="","",$A1397&amp;"|"&amp;$C1397)</f>
        <v/>
      </c>
      <c r="R1397" s="57">
        <f>IF($A1397="","",$A1397&amp;"|"&amp;$C1397&amp;"|"&amp;$D1397)</f>
        <v/>
      </c>
      <c r="S1397" s="57">
        <f>IF($A1397="","",IFERROR(INDEX(Offerte!$D$2:$D$81,MATCH($Q1397,Offerte!$L$2:$L$81,0)),0))</f>
        <v/>
      </c>
      <c r="T1397" s="57">
        <f>IF($A1397="","",IFERROR(INDEX(Offerte!$G$2:$G$81,MATCH($Q1397,Offerte!$L$2:$L$81,0)),"NO"))</f>
        <v/>
      </c>
    </row>
    <row r="1398">
      <c r="A1398" s="48">
        <f>IF(Offerte!$A46="","",Offerte!$A46)</f>
        <v/>
      </c>
      <c r="B1398" s="48">
        <f>IF(Offerte!$A46="","",Offerte!$B46)</f>
        <v/>
      </c>
      <c r="C1398" s="48">
        <f>IF(Offerte!$A46="","",Offerte!$C46)</f>
        <v/>
      </c>
      <c r="D1398" s="48" t="inlineStr">
        <is>
          <t>G.4.1</t>
        </is>
      </c>
      <c r="E1398" s="48" t="inlineStr">
        <is>
          <t>G</t>
        </is>
      </c>
      <c r="F1398" s="48" t="inlineStr">
        <is>
          <t>D</t>
        </is>
      </c>
      <c r="G1398" s="48" t="inlineStr">
        <is>
          <t>discretionary</t>
        </is>
      </c>
      <c r="H1398" s="48" t="n">
        <v>2</v>
      </c>
      <c r="I1398" s="48" t="inlineStr">
        <is>
          <t>Qualità del piano di formazione del personale</t>
        </is>
      </c>
      <c r="J1398" s="73" t="n"/>
      <c r="K1398" s="73" t="n"/>
      <c r="L1398" s="73" t="n"/>
      <c r="M1398" s="73" t="n"/>
      <c r="N1398" s="57">
        <f>IF($A1398="","",MAX(0,MIN(1,IFERROR(VALUE($M1398),0))))</f>
        <v/>
      </c>
      <c r="O1398" s="57">
        <f>IF($A1398="",0,IF(OR($S1398&lt;&gt;1,COUNTA($J1398:$M1398)=0),0,IF(SUMPRODUCT(MAX(($C$5:$C$2484=$C1398)*($D$5:$D$2484=$D1398)*($S$5:$S$2484=1)*IFERROR($N$5:$N$2484*1,0)))&gt;0,ROUND($H1398*($N1398/SUMPRODUCT(MAX(($C$5:$C$2484=$C1398)*($D$5:$D$2484=$D1398)*($S$5:$S$2484=1)*IFERROR($N$5:$N$2484*1,0)))),4),0)))</f>
        <v/>
      </c>
      <c r="P1398" s="48" t="inlineStr">
        <is>
          <t>coeff.</t>
        </is>
      </c>
      <c r="Q1398" s="57">
        <f>IF($A1398="","",$A1398&amp;"|"&amp;$C1398)</f>
        <v/>
      </c>
      <c r="R1398" s="57">
        <f>IF($A1398="","",$A1398&amp;"|"&amp;$C1398&amp;"|"&amp;$D1398)</f>
        <v/>
      </c>
      <c r="S1398" s="57">
        <f>IF($A1398="","",IFERROR(INDEX(Offerte!$D$2:$D$81,MATCH($Q1398,Offerte!$L$2:$L$81,0)),0))</f>
        <v/>
      </c>
      <c r="T1398" s="57">
        <f>IF($A1398="","",IFERROR(INDEX(Offerte!$G$2:$G$81,MATCH($Q1398,Offerte!$L$2:$L$81,0)),"NO"))</f>
        <v/>
      </c>
    </row>
    <row r="1399">
      <c r="A1399" s="48">
        <f>IF(Offerte!$A46="","",Offerte!$A46)</f>
        <v/>
      </c>
      <c r="B1399" s="48">
        <f>IF(Offerte!$A46="","",Offerte!$B46)</f>
        <v/>
      </c>
      <c r="C1399" s="48">
        <f>IF(Offerte!$A46="","",Offerte!$C46)</f>
        <v/>
      </c>
      <c r="D1399" s="48" t="inlineStr">
        <is>
          <t>G.5.1</t>
        </is>
      </c>
      <c r="E1399" s="48" t="inlineStr">
        <is>
          <t>G</t>
        </is>
      </c>
      <c r="F1399" s="48" t="inlineStr">
        <is>
          <t>T</t>
        </is>
      </c>
      <c r="G1399" s="48" t="inlineStr">
        <is>
          <t>tabular</t>
        </is>
      </c>
      <c r="H1399" s="48" t="n">
        <v>1</v>
      </c>
      <c r="I1399" s="48" t="inlineStr">
        <is>
          <t>Impegno al mantenimento delle garanzie del contratto di secondo livello del gestore uscente</t>
        </is>
      </c>
      <c r="J1399" s="73" t="n"/>
      <c r="K1399" s="73" t="n"/>
      <c r="L1399" s="73" t="n"/>
      <c r="M1399" s="73" t="n"/>
      <c r="N1399" s="57">
        <f>IF($A1399="","",IF(IFERROR(VALUE($M1399),0)=1,1,0))</f>
        <v/>
      </c>
      <c r="O1399" s="57">
        <f>IF($A1399="",0,IF(OR($S1399&lt;&gt;1,COUNTA($J1399:$M1399)=0),0,IF($N1399=1,$H1399,0)))</f>
        <v/>
      </c>
      <c r="P1399" s="48" t="inlineStr">
        <is>
          <t>sì/no</t>
        </is>
      </c>
      <c r="Q1399" s="57">
        <f>IF($A1399="","",$A1399&amp;"|"&amp;$C1399)</f>
        <v/>
      </c>
      <c r="R1399" s="57">
        <f>IF($A1399="","",$A1399&amp;"|"&amp;$C1399&amp;"|"&amp;$D1399)</f>
        <v/>
      </c>
      <c r="S1399" s="57">
        <f>IF($A1399="","",IFERROR(INDEX(Offerte!$D$2:$D$81,MATCH($Q1399,Offerte!$L$2:$L$81,0)),0))</f>
        <v/>
      </c>
      <c r="T1399" s="57">
        <f>IF($A1399="","",IFERROR(INDEX(Offerte!$G$2:$G$81,MATCH($Q1399,Offerte!$L$2:$L$81,0)),"NO"))</f>
        <v/>
      </c>
    </row>
    <row r="1400">
      <c r="A1400" s="48">
        <f>IF(Offerte!$A47="","",Offerte!$A47)</f>
        <v/>
      </c>
      <c r="B1400" s="48">
        <f>IF(Offerte!$A47="","",Offerte!$B47)</f>
        <v/>
      </c>
      <c r="C1400" s="48">
        <f>IF(Offerte!$A47="","",Offerte!$C47)</f>
        <v/>
      </c>
      <c r="D1400" s="48" t="inlineStr">
        <is>
          <t>A.1.1</t>
        </is>
      </c>
      <c r="E1400" s="48" t="inlineStr">
        <is>
          <t>A</t>
        </is>
      </c>
      <c r="F1400" s="48" t="inlineStr">
        <is>
          <t>Q</t>
        </is>
      </c>
      <c r="G1400" s="48" t="inlineStr">
        <is>
          <t>higher</t>
        </is>
      </c>
      <c r="H1400" s="48" t="n">
        <v>3</v>
      </c>
      <c r="I1400" s="48" t="inlineStr">
        <is>
          <t>Tasso aggiuntivo di corse controllate</t>
        </is>
      </c>
      <c r="J1400" s="73" t="n"/>
      <c r="K1400" s="73" t="n"/>
      <c r="L1400" s="73" t="n"/>
      <c r="M1400" s="73" t="n"/>
      <c r="N1400" s="57">
        <f>IF($A1400="","",IFERROR(VALUE($K1400)/VALUE($L1400)*100,IFERROR(VALUE($J1400),0)))</f>
        <v/>
      </c>
      <c r="O1400" s="57">
        <f>IF($A1400="",0,IF(OR($S1400&lt;&gt;1,COUNTA($J1400:$M1400)=0),0,IF(SUMPRODUCT(MAX(($C$5:$C$2484=$C1400)*($D$5:$D$2484=$D1400)*($S$5:$S$2484=1)*IFERROR($N$5:$N$2484*1,0)))&gt;0,ROUND($H1400*($N1400/SUMPRODUCT(MAX(($C$5:$C$2484=$C1400)*($D$5:$D$2484=$D1400)*($S$5:$S$2484=1)*IFERROR($N$5:$N$2484*1,0)))),4),0)))</f>
        <v/>
      </c>
      <c r="P1400" s="48" t="inlineStr">
        <is>
          <t>Corse controllate annue / Corse programmate annue</t>
        </is>
      </c>
      <c r="Q1400" s="57">
        <f>IF($A1400="","",$A1400&amp;"|"&amp;$C1400)</f>
        <v/>
      </c>
      <c r="R1400" s="57">
        <f>IF($A1400="","",$A1400&amp;"|"&amp;$C1400&amp;"|"&amp;$D1400)</f>
        <v/>
      </c>
      <c r="S1400" s="57">
        <f>IF($A1400="","",IFERROR(INDEX(Offerte!$D$2:$D$81,MATCH($Q1400,Offerte!$L$2:$L$81,0)),0))</f>
        <v/>
      </c>
      <c r="T1400" s="57">
        <f>IF($A1400="","",IFERROR(INDEX(Offerte!$G$2:$G$81,MATCH($Q1400,Offerte!$L$2:$L$81,0)),"NO"))</f>
        <v/>
      </c>
    </row>
    <row r="1401">
      <c r="A1401" s="48">
        <f>IF(Offerte!$A47="","",Offerte!$A47)</f>
        <v/>
      </c>
      <c r="B1401" s="48">
        <f>IF(Offerte!$A47="","",Offerte!$B47)</f>
        <v/>
      </c>
      <c r="C1401" s="48">
        <f>IF(Offerte!$A47="","",Offerte!$C47)</f>
        <v/>
      </c>
      <c r="D1401" s="48" t="inlineStr">
        <is>
          <t>A.1.2</t>
        </is>
      </c>
      <c r="E1401" s="48" t="inlineStr">
        <is>
          <t>A</t>
        </is>
      </c>
      <c r="F1401" s="48" t="inlineStr">
        <is>
          <t>Q</t>
        </is>
      </c>
      <c r="G1401" s="48" t="inlineStr">
        <is>
          <t>higher</t>
        </is>
      </c>
      <c r="H1401" s="48" t="n">
        <v>4</v>
      </c>
      <c r="I1401" s="48" t="inlineStr">
        <is>
          <t>Numero aggiuntivo di passeggeri controllati</t>
        </is>
      </c>
      <c r="J1401" s="73" t="n"/>
      <c r="K1401" s="73" t="n"/>
      <c r="L1401" s="73" t="n"/>
      <c r="M1401" s="73" t="n"/>
      <c r="N1401" s="57">
        <f>IF($A1401="","",IFERROR(VALUE($J1401),0))</f>
        <v/>
      </c>
      <c r="O1401" s="57">
        <f>IF($A1401="",0,IF(OR($S1401&lt;&gt;1,COUNTA($J1401:$M1401)=0),0,IF(SUMPRODUCT(MAX(($C$5:$C$2484=$C1401)*($D$5:$D$2484=$D1401)*($S$5:$S$2484=1)*IFERROR($N$5:$N$2484*1,0)))&gt;0,ROUND($H1401*($N1401/SUMPRODUCT(MAX(($C$5:$C$2484=$C1401)*($D$5:$D$2484=$D1401)*($S$5:$S$2484=1)*IFERROR($N$5:$N$2484*1,0)))),4),0)))</f>
        <v/>
      </c>
      <c r="P1401" s="48" t="inlineStr">
        <is>
          <t>passeggeri/anno</t>
        </is>
      </c>
      <c r="Q1401" s="57">
        <f>IF($A1401="","",$A1401&amp;"|"&amp;$C1401)</f>
        <v/>
      </c>
      <c r="R1401" s="57">
        <f>IF($A1401="","",$A1401&amp;"|"&amp;$C1401&amp;"|"&amp;$D1401)</f>
        <v/>
      </c>
      <c r="S1401" s="57">
        <f>IF($A1401="","",IFERROR(INDEX(Offerte!$D$2:$D$81,MATCH($Q1401,Offerte!$L$2:$L$81,0)),0))</f>
        <v/>
      </c>
      <c r="T1401" s="57">
        <f>IF($A1401="","",IFERROR(INDEX(Offerte!$G$2:$G$81,MATCH($Q1401,Offerte!$L$2:$L$81,0)),"NO"))</f>
        <v/>
      </c>
    </row>
    <row r="1402">
      <c r="A1402" s="48">
        <f>IF(Offerte!$A47="","",Offerte!$A47)</f>
        <v/>
      </c>
      <c r="B1402" s="48">
        <f>IF(Offerte!$A47="","",Offerte!$B47)</f>
        <v/>
      </c>
      <c r="C1402" s="48">
        <f>IF(Offerte!$A47="","",Offerte!$C47)</f>
        <v/>
      </c>
      <c r="D1402" s="48" t="inlineStr">
        <is>
          <t>B.1.1</t>
        </is>
      </c>
      <c r="E1402" s="48" t="inlineStr">
        <is>
          <t>B</t>
        </is>
      </c>
      <c r="F1402" s="48" t="inlineStr">
        <is>
          <t>Q</t>
        </is>
      </c>
      <c r="G1402" s="48" t="inlineStr">
        <is>
          <t>higher</t>
        </is>
      </c>
      <c r="H1402" s="48" t="n">
        <v>3</v>
      </c>
      <c r="I1402" s="48" t="inlineStr">
        <is>
          <t>Incremento dei posti offerti nelle fasce di punta</t>
        </is>
      </c>
      <c r="J1402" s="73" t="n"/>
      <c r="K1402" s="73" t="n"/>
      <c r="L1402" s="73" t="n"/>
      <c r="M1402" s="73" t="n"/>
      <c r="N1402" s="57">
        <f>IF($A1402="","",IFERROR(VALUE($J1402),0))</f>
        <v/>
      </c>
      <c r="O1402" s="57">
        <f>IF($A1402="",0,IF(OR($S1402&lt;&gt;1,COUNTA($J1402:$M1402)=0),0,IF(SUMPRODUCT(MAX(($C$5:$C$2484=$C1402)*($D$5:$D$2484=$D1402)*($S$5:$S$2484=1)*IFERROR($N$5:$N$2484*1,0)))&gt;0,ROUND($H1402*($N1402/SUMPRODUCT(MAX(($C$5:$C$2484=$C1402)*($D$5:$D$2484=$D1402)*($S$5:$S$2484=1)*IFERROR($N$5:$N$2484*1,0)))),4),0)))</f>
        <v/>
      </c>
      <c r="P1402" s="48" t="inlineStr">
        <is>
          <t>posti*km</t>
        </is>
      </c>
      <c r="Q1402" s="57">
        <f>IF($A1402="","",$A1402&amp;"|"&amp;$C1402)</f>
        <v/>
      </c>
      <c r="R1402" s="57">
        <f>IF($A1402="","",$A1402&amp;"|"&amp;$C1402&amp;"|"&amp;$D1402)</f>
        <v/>
      </c>
      <c r="S1402" s="57">
        <f>IF($A1402="","",IFERROR(INDEX(Offerte!$D$2:$D$81,MATCH($Q1402,Offerte!$L$2:$L$81,0)),0))</f>
        <v/>
      </c>
      <c r="T1402" s="57">
        <f>IF($A1402="","",IFERROR(INDEX(Offerte!$G$2:$G$81,MATCH($Q1402,Offerte!$L$2:$L$81,0)),"NO"))</f>
        <v/>
      </c>
    </row>
    <row r="1403">
      <c r="A1403" s="48">
        <f>IF(Offerte!$A47="","",Offerte!$A47)</f>
        <v/>
      </c>
      <c r="B1403" s="48">
        <f>IF(Offerte!$A47="","",Offerte!$B47)</f>
        <v/>
      </c>
      <c r="C1403" s="48">
        <f>IF(Offerte!$A47="","",Offerte!$C47)</f>
        <v/>
      </c>
      <c r="D1403" s="48" t="inlineStr">
        <is>
          <t>B.2.1</t>
        </is>
      </c>
      <c r="E1403" s="48" t="inlineStr">
        <is>
          <t>B</t>
        </is>
      </c>
      <c r="F1403" s="48" t="inlineStr">
        <is>
          <t>Q</t>
        </is>
      </c>
      <c r="G1403" s="48" t="inlineStr">
        <is>
          <t>higher</t>
        </is>
      </c>
      <c r="H1403" s="48" t="n">
        <v>4</v>
      </c>
      <c r="I1403" s="48" t="inlineStr">
        <is>
          <t>Corse aggiuntive nell'arco giornaliero base</t>
        </is>
      </c>
      <c r="J1403" s="73" t="n"/>
      <c r="K1403" s="73" t="n"/>
      <c r="L1403" s="73" t="n"/>
      <c r="M1403" s="73" t="n"/>
      <c r="N1403" s="57">
        <f>IF($A1403="","",IFERROR(VALUE($J1403),0))</f>
        <v/>
      </c>
      <c r="O1403" s="57">
        <f>IF($A1403="",0,IF(OR($S1403&lt;&gt;1,COUNTA($J1403:$M1403)=0),0,IF(SUMPRODUCT(MAX(($C$5:$C$2484=$C1403)*($D$5:$D$2484=$D1403)*($S$5:$S$2484=1)*IFERROR($N$5:$N$2484*1,0)))&gt;0,ROUND($H1403*($N1403/SUMPRODUCT(MAX(($C$5:$C$2484=$C1403)*($D$5:$D$2484=$D1403)*($S$5:$S$2484=1)*IFERROR($N$5:$N$2484*1,0)))),4),0)))</f>
        <v/>
      </c>
      <c r="P1403" s="48" t="inlineStr">
        <is>
          <t>corse</t>
        </is>
      </c>
      <c r="Q1403" s="57">
        <f>IF($A1403="","",$A1403&amp;"|"&amp;$C1403)</f>
        <v/>
      </c>
      <c r="R1403" s="57">
        <f>IF($A1403="","",$A1403&amp;"|"&amp;$C1403&amp;"|"&amp;$D1403)</f>
        <v/>
      </c>
      <c r="S1403" s="57">
        <f>IF($A1403="","",IFERROR(INDEX(Offerte!$D$2:$D$81,MATCH($Q1403,Offerte!$L$2:$L$81,0)),0))</f>
        <v/>
      </c>
      <c r="T1403" s="57">
        <f>IF($A1403="","",IFERROR(INDEX(Offerte!$G$2:$G$81,MATCH($Q1403,Offerte!$L$2:$L$81,0)),"NO"))</f>
        <v/>
      </c>
    </row>
    <row r="1404">
      <c r="A1404" s="48">
        <f>IF(Offerte!$A47="","",Offerte!$A47)</f>
        <v/>
      </c>
      <c r="B1404" s="48">
        <f>IF(Offerte!$A47="","",Offerte!$B47)</f>
        <v/>
      </c>
      <c r="C1404" s="48">
        <f>IF(Offerte!$A47="","",Offerte!$C47)</f>
        <v/>
      </c>
      <c r="D1404" s="48" t="inlineStr">
        <is>
          <t>B.3.1</t>
        </is>
      </c>
      <c r="E1404" s="48" t="inlineStr">
        <is>
          <t>B</t>
        </is>
      </c>
      <c r="F1404" s="48" t="inlineStr">
        <is>
          <t>Q</t>
        </is>
      </c>
      <c r="G1404" s="48" t="inlineStr">
        <is>
          <t>higher</t>
        </is>
      </c>
      <c r="H1404" s="48" t="n">
        <v>2</v>
      </c>
      <c r="I1404" s="48" t="inlineStr">
        <is>
          <t>Numero di corse aggiuntive per allungamento dell'arco di servizio giornaliero nelle fasce serali</t>
        </is>
      </c>
      <c r="J1404" s="73" t="n"/>
      <c r="K1404" s="73" t="n"/>
      <c r="L1404" s="73" t="n"/>
      <c r="M1404" s="73" t="n"/>
      <c r="N1404" s="57">
        <f>IF($A1404="","",IFERROR(VALUE($J1404),0))</f>
        <v/>
      </c>
      <c r="O1404" s="57">
        <f>IF($A1404="",0,IF(OR($S1404&lt;&gt;1,COUNTA($J1404:$M1404)=0),0,IF(SUMPRODUCT(MAX(($C$5:$C$2484=$C1404)*($D$5:$D$2484=$D1404)*($S$5:$S$2484=1)*IFERROR($N$5:$N$2484*1,0)))&gt;0,ROUND($H1404*($N1404/SUMPRODUCT(MAX(($C$5:$C$2484=$C1404)*($D$5:$D$2484=$D1404)*($S$5:$S$2484=1)*IFERROR($N$5:$N$2484*1,0)))),4),0)))</f>
        <v/>
      </c>
      <c r="P1404" s="48" t="inlineStr">
        <is>
          <t>corse</t>
        </is>
      </c>
      <c r="Q1404" s="57">
        <f>IF($A1404="","",$A1404&amp;"|"&amp;$C1404)</f>
        <v/>
      </c>
      <c r="R1404" s="57">
        <f>IF($A1404="","",$A1404&amp;"|"&amp;$C1404&amp;"|"&amp;$D1404)</f>
        <v/>
      </c>
      <c r="S1404" s="57">
        <f>IF($A1404="","",IFERROR(INDEX(Offerte!$D$2:$D$81,MATCH($Q1404,Offerte!$L$2:$L$81,0)),0))</f>
        <v/>
      </c>
      <c r="T1404" s="57">
        <f>IF($A1404="","",IFERROR(INDEX(Offerte!$G$2:$G$81,MATCH($Q1404,Offerte!$L$2:$L$81,0)),"NO"))</f>
        <v/>
      </c>
    </row>
    <row r="1405">
      <c r="A1405" s="48">
        <f>IF(Offerte!$A47="","",Offerte!$A47)</f>
        <v/>
      </c>
      <c r="B1405" s="48">
        <f>IF(Offerte!$A47="","",Offerte!$B47)</f>
        <v/>
      </c>
      <c r="C1405" s="48">
        <f>IF(Offerte!$A47="","",Offerte!$C47)</f>
        <v/>
      </c>
      <c r="D1405" s="48" t="inlineStr">
        <is>
          <t>B.4.1</t>
        </is>
      </c>
      <c r="E1405" s="48" t="inlineStr">
        <is>
          <t>B</t>
        </is>
      </c>
      <c r="F1405" s="48" t="inlineStr">
        <is>
          <t>Q</t>
        </is>
      </c>
      <c r="G1405" s="48" t="inlineStr">
        <is>
          <t>higher</t>
        </is>
      </c>
      <c r="H1405" s="48" t="n">
        <v>3</v>
      </c>
      <c r="I1405" s="48" t="inlineStr">
        <is>
          <t>Percorrenze aggiuntive offerte nel Programma d'esercizio delle prime due fasi attuative</t>
        </is>
      </c>
      <c r="J1405" s="73" t="n"/>
      <c r="K1405" s="73" t="n"/>
      <c r="L1405" s="73" t="n"/>
      <c r="M1405" s="73" t="n"/>
      <c r="N1405" s="57">
        <f>IF($A1405="","",IFERROR(VALUE($J1405),0))</f>
        <v/>
      </c>
      <c r="O1405" s="57">
        <f>IF($A1405="",0,IF(OR($S1405&lt;&gt;1,COUNTA($J1405:$M1405)=0),0,IF(SUMPRODUCT(MAX(($C$5:$C$2484=$C1405)*($D$5:$D$2484=$D1405)*($S$5:$S$2484=1)*IFERROR($N$5:$N$2484*1,0)))&gt;0,ROUND($H1405*($N1405/SUMPRODUCT(MAX(($C$5:$C$2484=$C1405)*($D$5:$D$2484=$D1405)*($S$5:$S$2484=1)*IFERROR($N$5:$N$2484*1,0)))),4),0)))</f>
        <v/>
      </c>
      <c r="P1405" s="48" t="inlineStr">
        <is>
          <t>vett*km</t>
        </is>
      </c>
      <c r="Q1405" s="57">
        <f>IF($A1405="","",$A1405&amp;"|"&amp;$C1405)</f>
        <v/>
      </c>
      <c r="R1405" s="57">
        <f>IF($A1405="","",$A1405&amp;"|"&amp;$C1405&amp;"|"&amp;$D1405)</f>
        <v/>
      </c>
      <c r="S1405" s="57">
        <f>IF($A1405="","",IFERROR(INDEX(Offerte!$D$2:$D$81,MATCH($Q1405,Offerte!$L$2:$L$81,0)),0))</f>
        <v/>
      </c>
      <c r="T1405" s="57">
        <f>IF($A1405="","",IFERROR(INDEX(Offerte!$G$2:$G$81,MATCH($Q1405,Offerte!$L$2:$L$81,0)),"NO"))</f>
        <v/>
      </c>
    </row>
    <row r="1406">
      <c r="A1406" s="48">
        <f>IF(Offerte!$A47="","",Offerte!$A47)</f>
        <v/>
      </c>
      <c r="B1406" s="48">
        <f>IF(Offerte!$A47="","",Offerte!$B47)</f>
        <v/>
      </c>
      <c r="C1406" s="48">
        <f>IF(Offerte!$A47="","",Offerte!$C47)</f>
        <v/>
      </c>
      <c r="D1406" s="48" t="inlineStr">
        <is>
          <t>B.5.1</t>
        </is>
      </c>
      <c r="E1406" s="48" t="inlineStr">
        <is>
          <t>B</t>
        </is>
      </c>
      <c r="F1406" s="48" t="inlineStr">
        <is>
          <t>D</t>
        </is>
      </c>
      <c r="G1406" s="48" t="inlineStr">
        <is>
          <t>discretionary</t>
        </is>
      </c>
      <c r="H1406" s="48" t="n">
        <v>2</v>
      </c>
      <c r="I1406" s="48" t="inlineStr">
        <is>
          <t>Efficacia del progetto di servizi complementari DRT</t>
        </is>
      </c>
      <c r="J1406" s="73" t="n"/>
      <c r="K1406" s="73" t="n"/>
      <c r="L1406" s="73" t="n"/>
      <c r="M1406" s="73" t="n"/>
      <c r="N1406" s="57">
        <f>IF($A1406="","",MAX(0,MIN(1,IFERROR(VALUE($M1406),0))))</f>
        <v/>
      </c>
      <c r="O1406" s="57">
        <f>IF($A1406="",0,IF(OR($S1406&lt;&gt;1,COUNTA($J1406:$M1406)=0),0,IF(SUMPRODUCT(MAX(($C$5:$C$2484=$C1406)*($D$5:$D$2484=$D1406)*($S$5:$S$2484=1)*IFERROR($N$5:$N$2484*1,0)))&gt;0,ROUND($H1406*($N1406/SUMPRODUCT(MAX(($C$5:$C$2484=$C1406)*($D$5:$D$2484=$D1406)*($S$5:$S$2484=1)*IFERROR($N$5:$N$2484*1,0)))),4),0)))</f>
        <v/>
      </c>
      <c r="P1406" s="48" t="inlineStr">
        <is>
          <t>coeff.</t>
        </is>
      </c>
      <c r="Q1406" s="57">
        <f>IF($A1406="","",$A1406&amp;"|"&amp;$C1406)</f>
        <v/>
      </c>
      <c r="R1406" s="57">
        <f>IF($A1406="","",$A1406&amp;"|"&amp;$C1406&amp;"|"&amp;$D1406)</f>
        <v/>
      </c>
      <c r="S1406" s="57">
        <f>IF($A1406="","",IFERROR(INDEX(Offerte!$D$2:$D$81,MATCH($Q1406,Offerte!$L$2:$L$81,0)),0))</f>
        <v/>
      </c>
      <c r="T1406" s="57">
        <f>IF($A1406="","",IFERROR(INDEX(Offerte!$G$2:$G$81,MATCH($Q1406,Offerte!$L$2:$L$81,0)),"NO"))</f>
        <v/>
      </c>
    </row>
    <row r="1407">
      <c r="A1407" s="48">
        <f>IF(Offerte!$A47="","",Offerte!$A47)</f>
        <v/>
      </c>
      <c r="B1407" s="48">
        <f>IF(Offerte!$A47="","",Offerte!$B47)</f>
        <v/>
      </c>
      <c r="C1407" s="48">
        <f>IF(Offerte!$A47="","",Offerte!$C47)</f>
        <v/>
      </c>
      <c r="D1407" s="48" t="inlineStr">
        <is>
          <t>C.1.1</t>
        </is>
      </c>
      <c r="E1407" s="48" t="inlineStr">
        <is>
          <t>C</t>
        </is>
      </c>
      <c r="F1407" s="48" t="inlineStr">
        <is>
          <t>Q</t>
        </is>
      </c>
      <c r="G1407" s="48" t="inlineStr">
        <is>
          <t>higher</t>
        </is>
      </c>
      <c r="H1407" s="48" t="n">
        <v>2</v>
      </c>
      <c r="I1407" s="48" t="inlineStr">
        <is>
          <t>Tasso di copertura del servizio con telecamere BSD</t>
        </is>
      </c>
      <c r="J1407" s="73" t="n"/>
      <c r="K1407" s="73" t="n"/>
      <c r="L1407" s="73" t="n"/>
      <c r="M1407" s="73" t="n"/>
      <c r="N1407" s="57">
        <f>IF($A1407="","",IFERROR(VALUE($K1407)/VALUE($L1407),IFERROR(VALUE($J1407),0)))</f>
        <v/>
      </c>
      <c r="O1407" s="57">
        <f>IF($A1407="",0,IF(OR($S1407&lt;&gt;1,COUNTA($J1407:$M1407)=0),0,IF(SUMPRODUCT(MAX(($C$5:$C$2484=$C1407)*($D$5:$D$2484=$D1407)*($S$5:$S$2484=1)*IFERROR($N$5:$N$2484*1,0)))&gt;0,ROUND($H1407*($N1407/SUMPRODUCT(MAX(($C$5:$C$2484=$C1407)*($D$5:$D$2484=$D1407)*($S$5:$S$2484=1)*IFERROR($N$5:$N$2484*1,0)))),4),0)))</f>
        <v/>
      </c>
      <c r="P1407" s="48" t="inlineStr">
        <is>
          <t>Autobus attrezzati con telecamere BSD / Autobus totali in offerta, incluse scorte</t>
        </is>
      </c>
      <c r="Q1407" s="57">
        <f>IF($A1407="","",$A1407&amp;"|"&amp;$C1407)</f>
        <v/>
      </c>
      <c r="R1407" s="57">
        <f>IF($A1407="","",$A1407&amp;"|"&amp;$C1407&amp;"|"&amp;$D1407)</f>
        <v/>
      </c>
      <c r="S1407" s="57">
        <f>IF($A1407="","",IFERROR(INDEX(Offerte!$D$2:$D$81,MATCH($Q1407,Offerte!$L$2:$L$81,0)),0))</f>
        <v/>
      </c>
      <c r="T1407" s="57">
        <f>IF($A1407="","",IFERROR(INDEX(Offerte!$G$2:$G$81,MATCH($Q1407,Offerte!$L$2:$L$81,0)),"NO"))</f>
        <v/>
      </c>
    </row>
    <row r="1408">
      <c r="A1408" s="48">
        <f>IF(Offerte!$A47="","",Offerte!$A47)</f>
        <v/>
      </c>
      <c r="B1408" s="48">
        <f>IF(Offerte!$A47="","",Offerte!$B47)</f>
        <v/>
      </c>
      <c r="C1408" s="48">
        <f>IF(Offerte!$A47="","",Offerte!$C47)</f>
        <v/>
      </c>
      <c r="D1408" s="48" t="inlineStr">
        <is>
          <t>C.1.2</t>
        </is>
      </c>
      <c r="E1408" s="48" t="inlineStr">
        <is>
          <t>C</t>
        </is>
      </c>
      <c r="F1408" s="48" t="inlineStr">
        <is>
          <t>Q</t>
        </is>
      </c>
      <c r="G1408" s="48" t="inlineStr">
        <is>
          <t>higher</t>
        </is>
      </c>
      <c r="H1408" s="48" t="n">
        <v>2</v>
      </c>
      <c r="I1408" s="48" t="inlineStr">
        <is>
          <t>Tasso di copertura del servizio con telecamere ADAS</t>
        </is>
      </c>
      <c r="J1408" s="73" t="n"/>
      <c r="K1408" s="73" t="n"/>
      <c r="L1408" s="73" t="n"/>
      <c r="M1408" s="73" t="n"/>
      <c r="N1408" s="57">
        <f>IF($A1408="","",IFERROR(VALUE($K1408)/VALUE($L1408),IFERROR(VALUE($J1408),0)))</f>
        <v/>
      </c>
      <c r="O1408" s="57">
        <f>IF($A1408="",0,IF(OR($S1408&lt;&gt;1,COUNTA($J1408:$M1408)=0),0,IF(SUMPRODUCT(MAX(($C$5:$C$2484=$C1408)*($D$5:$D$2484=$D1408)*($S$5:$S$2484=1)*IFERROR($N$5:$N$2484*1,0)))&gt;0,ROUND($H1408*($N1408/SUMPRODUCT(MAX(($C$5:$C$2484=$C1408)*($D$5:$D$2484=$D1408)*($S$5:$S$2484=1)*IFERROR($N$5:$N$2484*1,0)))),4),0)))</f>
        <v/>
      </c>
      <c r="P1408" s="48" t="inlineStr">
        <is>
          <t>Autobus attrezzati con telecamere ADAS / Autobus totali in offerta, incluse scorte</t>
        </is>
      </c>
      <c r="Q1408" s="57">
        <f>IF($A1408="","",$A1408&amp;"|"&amp;$C1408)</f>
        <v/>
      </c>
      <c r="R1408" s="57">
        <f>IF($A1408="","",$A1408&amp;"|"&amp;$C1408&amp;"|"&amp;$D1408)</f>
        <v/>
      </c>
      <c r="S1408" s="57">
        <f>IF($A1408="","",IFERROR(INDEX(Offerte!$D$2:$D$81,MATCH($Q1408,Offerte!$L$2:$L$81,0)),0))</f>
        <v/>
      </c>
      <c r="T1408" s="57">
        <f>IF($A1408="","",IFERROR(INDEX(Offerte!$G$2:$G$81,MATCH($Q1408,Offerte!$L$2:$L$81,0)),"NO"))</f>
        <v/>
      </c>
    </row>
    <row r="1409">
      <c r="A1409" s="48">
        <f>IF(Offerte!$A47="","",Offerte!$A47)</f>
        <v/>
      </c>
      <c r="B1409" s="48">
        <f>IF(Offerte!$A47="","",Offerte!$B47)</f>
        <v/>
      </c>
      <c r="C1409" s="48">
        <f>IF(Offerte!$A47="","",Offerte!$C47)</f>
        <v/>
      </c>
      <c r="D1409" s="48" t="inlineStr">
        <is>
          <t>C.2.1</t>
        </is>
      </c>
      <c r="E1409" s="48" t="inlineStr">
        <is>
          <t>C</t>
        </is>
      </c>
      <c r="F1409" s="48" t="inlineStr">
        <is>
          <t>Q</t>
        </is>
      </c>
      <c r="G1409" s="48" t="inlineStr">
        <is>
          <t>higher</t>
        </is>
      </c>
      <c r="H1409" s="48" t="n">
        <v>3</v>
      </c>
      <c r="I1409" s="48" t="inlineStr">
        <is>
          <t>Tasso di copertura del servizio con telecamere di bordo di videosorveglianza</t>
        </is>
      </c>
      <c r="J1409" s="73" t="n"/>
      <c r="K1409" s="73" t="n"/>
      <c r="L1409" s="73" t="n"/>
      <c r="M1409" s="73" t="n"/>
      <c r="N1409" s="57">
        <f>IF($A1409="","",IFERROR(VALUE($K1409)/VALUE($L1409),IFERROR(VALUE($J1409),0)))</f>
        <v/>
      </c>
      <c r="O1409" s="57">
        <f>IF($A1409="",0,IF(OR($S1409&lt;&gt;1,COUNTA($J1409:$M1409)=0),0,IF(SUMPRODUCT(MAX(($C$5:$C$2484=$C1409)*($D$5:$D$2484=$D1409)*($S$5:$S$2484=1)*IFERROR($N$5:$N$2484*1,0)))&gt;0,ROUND($H1409*($N1409/SUMPRODUCT(MAX(($C$5:$C$2484=$C1409)*($D$5:$D$2484=$D1409)*($S$5:$S$2484=1)*IFERROR($N$5:$N$2484*1,0)))),4),0)))</f>
        <v/>
      </c>
      <c r="P1409" s="48" t="inlineStr">
        <is>
          <t>Autobus attrezzati con videosorveglianza / Autobus totali in offerta, incluse scorte</t>
        </is>
      </c>
      <c r="Q1409" s="57">
        <f>IF($A1409="","",$A1409&amp;"|"&amp;$C1409)</f>
        <v/>
      </c>
      <c r="R1409" s="57">
        <f>IF($A1409="","",$A1409&amp;"|"&amp;$C1409&amp;"|"&amp;$D1409)</f>
        <v/>
      </c>
      <c r="S1409" s="57">
        <f>IF($A1409="","",IFERROR(INDEX(Offerte!$D$2:$D$81,MATCH($Q1409,Offerte!$L$2:$L$81,0)),0))</f>
        <v/>
      </c>
      <c r="T1409" s="57">
        <f>IF($A1409="","",IFERROR(INDEX(Offerte!$G$2:$G$81,MATCH($Q1409,Offerte!$L$2:$L$81,0)),"NO"))</f>
        <v/>
      </c>
    </row>
    <row r="1410">
      <c r="A1410" s="48">
        <f>IF(Offerte!$A47="","",Offerte!$A47)</f>
        <v/>
      </c>
      <c r="B1410" s="48">
        <f>IF(Offerte!$A47="","",Offerte!$B47)</f>
        <v/>
      </c>
      <c r="C1410" s="48">
        <f>IF(Offerte!$A47="","",Offerte!$C47)</f>
        <v/>
      </c>
      <c r="D1410" s="48" t="inlineStr">
        <is>
          <t>C.2.2</t>
        </is>
      </c>
      <c r="E1410" s="48" t="inlineStr">
        <is>
          <t>C</t>
        </is>
      </c>
      <c r="F1410" s="48" t="inlineStr">
        <is>
          <t>T</t>
        </is>
      </c>
      <c r="G1410" s="48" t="inlineStr">
        <is>
          <t>tabular</t>
        </is>
      </c>
      <c r="H1410" s="48" t="n">
        <v>1</v>
      </c>
      <c r="I1410" s="48" t="inlineStr">
        <is>
          <t>Software video/audio analisi per situazioni di pericolo</t>
        </is>
      </c>
      <c r="J1410" s="73" t="n"/>
      <c r="K1410" s="73" t="n"/>
      <c r="L1410" s="73" t="n"/>
      <c r="M1410" s="73" t="n"/>
      <c r="N1410" s="57">
        <f>IF($A1410="","",IF(IFERROR(VALUE($M1410),0)=1,1,0))</f>
        <v/>
      </c>
      <c r="O1410" s="57">
        <f>IF($A1410="",0,IF(OR($S1410&lt;&gt;1,COUNTA($J1410:$M1410)=0),0,IF($N1410=1,$H1410,0)))</f>
        <v/>
      </c>
      <c r="P1410" s="48" t="inlineStr">
        <is>
          <t>sì/no</t>
        </is>
      </c>
      <c r="Q1410" s="57">
        <f>IF($A1410="","",$A1410&amp;"|"&amp;$C1410)</f>
        <v/>
      </c>
      <c r="R1410" s="57">
        <f>IF($A1410="","",$A1410&amp;"|"&amp;$C1410&amp;"|"&amp;$D1410)</f>
        <v/>
      </c>
      <c r="S1410" s="57">
        <f>IF($A1410="","",IFERROR(INDEX(Offerte!$D$2:$D$81,MATCH($Q1410,Offerte!$L$2:$L$81,0)),0))</f>
        <v/>
      </c>
      <c r="T1410" s="57">
        <f>IF($A1410="","",IFERROR(INDEX(Offerte!$G$2:$G$81,MATCH($Q1410,Offerte!$L$2:$L$81,0)),"NO"))</f>
        <v/>
      </c>
    </row>
    <row r="1411">
      <c r="A1411" s="48">
        <f>IF(Offerte!$A47="","",Offerte!$A47)</f>
        <v/>
      </c>
      <c r="B1411" s="48">
        <f>IF(Offerte!$A47="","",Offerte!$B47)</f>
        <v/>
      </c>
      <c r="C1411" s="48">
        <f>IF(Offerte!$A47="","",Offerte!$C47)</f>
        <v/>
      </c>
      <c r="D1411" s="48" t="inlineStr">
        <is>
          <t>C.2.3</t>
        </is>
      </c>
      <c r="E1411" s="48" t="inlineStr">
        <is>
          <t>C</t>
        </is>
      </c>
      <c r="F1411" s="48" t="inlineStr">
        <is>
          <t>T</t>
        </is>
      </c>
      <c r="G1411" s="48" t="inlineStr">
        <is>
          <t>tabular</t>
        </is>
      </c>
      <c r="H1411" s="48" t="n">
        <v>1</v>
      </c>
      <c r="I1411" s="48" t="inlineStr">
        <is>
          <t>Collegamento con centrale qualificata di pronto intervento</t>
        </is>
      </c>
      <c r="J1411" s="73" t="n"/>
      <c r="K1411" s="73" t="n"/>
      <c r="L1411" s="73" t="n"/>
      <c r="M1411" s="73" t="n"/>
      <c r="N1411" s="57">
        <f>IF($A1411="","",IF(IFERROR(VALUE($M1411),0)=1,1,0))</f>
        <v/>
      </c>
      <c r="O1411" s="57">
        <f>IF($A1411="",0,IF(OR($S1411&lt;&gt;1,COUNTA($J1411:$M1411)=0),0,IF($N1411=1,$H1411,0)))</f>
        <v/>
      </c>
      <c r="P1411" s="48" t="inlineStr">
        <is>
          <t>sì/no</t>
        </is>
      </c>
      <c r="Q1411" s="57">
        <f>IF($A1411="","",$A1411&amp;"|"&amp;$C1411)</f>
        <v/>
      </c>
      <c r="R1411" s="57">
        <f>IF($A1411="","",$A1411&amp;"|"&amp;$C1411&amp;"|"&amp;$D1411)</f>
        <v/>
      </c>
      <c r="S1411" s="57">
        <f>IF($A1411="","",IFERROR(INDEX(Offerte!$D$2:$D$81,MATCH($Q1411,Offerte!$L$2:$L$81,0)),0))</f>
        <v/>
      </c>
      <c r="T1411" s="57">
        <f>IF($A1411="","",IFERROR(INDEX(Offerte!$G$2:$G$81,MATCH($Q1411,Offerte!$L$2:$L$81,0)),"NO"))</f>
        <v/>
      </c>
    </row>
    <row r="1412">
      <c r="A1412" s="48">
        <f>IF(Offerte!$A47="","",Offerte!$A47)</f>
        <v/>
      </c>
      <c r="B1412" s="48">
        <f>IF(Offerte!$A47="","",Offerte!$B47)</f>
        <v/>
      </c>
      <c r="C1412" s="48">
        <f>IF(Offerte!$A47="","",Offerte!$C47)</f>
        <v/>
      </c>
      <c r="D1412" s="48" t="inlineStr">
        <is>
          <t>C.2.4</t>
        </is>
      </c>
      <c r="E1412" s="48" t="inlineStr">
        <is>
          <t>C</t>
        </is>
      </c>
      <c r="F1412" s="48" t="inlineStr">
        <is>
          <t>Q</t>
        </is>
      </c>
      <c r="G1412" s="48" t="inlineStr">
        <is>
          <t>higher</t>
        </is>
      </c>
      <c r="H1412" s="48" t="n">
        <v>1</v>
      </c>
      <c r="I1412" s="48" t="inlineStr">
        <is>
          <t>Tasso di copertura del servizio con dispositivi per la chiamata di emergenza del conducente</t>
        </is>
      </c>
      <c r="J1412" s="73" t="n"/>
      <c r="K1412" s="73" t="n"/>
      <c r="L1412" s="73" t="n"/>
      <c r="M1412" s="73" t="n"/>
      <c r="N1412" s="57">
        <f>IF($A1412="","",IFERROR(VALUE($K1412)/VALUE($L1412),IFERROR(VALUE($J1412),0)))</f>
        <v/>
      </c>
      <c r="O1412" s="57">
        <f>IF($A1412="",0,IF(OR($S1412&lt;&gt;1,COUNTA($J1412:$M1412)=0),0,IF(SUMPRODUCT(MAX(($C$5:$C$2484=$C1412)*($D$5:$D$2484=$D1412)*($S$5:$S$2484=1)*IFERROR($N$5:$N$2484*1,0)))&gt;0,ROUND($H1412*($N1412/SUMPRODUCT(MAX(($C$5:$C$2484=$C1412)*($D$5:$D$2484=$D1412)*($S$5:$S$2484=1)*IFERROR($N$5:$N$2484*1,0)))),4),0)))</f>
        <v/>
      </c>
      <c r="P1412" s="48" t="inlineStr">
        <is>
          <t>Autobus attrezzati con chiamata di emergenza / Autobus totali in offerta, incluse scorte</t>
        </is>
      </c>
      <c r="Q1412" s="57">
        <f>IF($A1412="","",$A1412&amp;"|"&amp;$C1412)</f>
        <v/>
      </c>
      <c r="R1412" s="57">
        <f>IF($A1412="","",$A1412&amp;"|"&amp;$C1412&amp;"|"&amp;$D1412)</f>
        <v/>
      </c>
      <c r="S1412" s="57">
        <f>IF($A1412="","",IFERROR(INDEX(Offerte!$D$2:$D$81,MATCH($Q1412,Offerte!$L$2:$L$81,0)),0))</f>
        <v/>
      </c>
      <c r="T1412" s="57">
        <f>IF($A1412="","",IFERROR(INDEX(Offerte!$G$2:$G$81,MATCH($Q1412,Offerte!$L$2:$L$81,0)),"NO"))</f>
        <v/>
      </c>
    </row>
    <row r="1413">
      <c r="A1413" s="48">
        <f>IF(Offerte!$A47="","",Offerte!$A47)</f>
        <v/>
      </c>
      <c r="B1413" s="48">
        <f>IF(Offerte!$A47="","",Offerte!$B47)</f>
        <v/>
      </c>
      <c r="C1413" s="48">
        <f>IF(Offerte!$A47="","",Offerte!$C47)</f>
        <v/>
      </c>
      <c r="D1413" s="48" t="inlineStr">
        <is>
          <t>C.3.1</t>
        </is>
      </c>
      <c r="E1413" s="48" t="inlineStr">
        <is>
          <t>C</t>
        </is>
      </c>
      <c r="F1413" s="48" t="inlineStr">
        <is>
          <t>Q</t>
        </is>
      </c>
      <c r="G1413" s="48" t="inlineStr">
        <is>
          <t>higher</t>
        </is>
      </c>
      <c r="H1413" s="48" t="n">
        <v>2</v>
      </c>
      <c r="I1413" s="48" t="inlineStr">
        <is>
          <t>Tasso di copertura del servizio con dispositivi di informazione dinamica a bordo mezzo</t>
        </is>
      </c>
      <c r="J1413" s="73" t="n"/>
      <c r="K1413" s="73" t="n"/>
      <c r="L1413" s="73" t="n"/>
      <c r="M1413" s="73" t="n"/>
      <c r="N1413" s="57">
        <f>IF($A1413="","",IFERROR(VALUE($K1413)/VALUE($L1413),IFERROR(VALUE($J1413),0)))</f>
        <v/>
      </c>
      <c r="O1413" s="57">
        <f>IF($A1413="",0,IF(OR($S1413&lt;&gt;1,COUNTA($J1413:$M1413)=0),0,IF(SUMPRODUCT(MAX(($C$5:$C$2484=$C1413)*($D$5:$D$2484=$D1413)*($S$5:$S$2484=1)*IFERROR($N$5:$N$2484*1,0)))&gt;0,ROUND($H1413*($N1413/SUMPRODUCT(MAX(($C$5:$C$2484=$C1413)*($D$5:$D$2484=$D1413)*($S$5:$S$2484=1)*IFERROR($N$5:$N$2484*1,0)))),4),0)))</f>
        <v/>
      </c>
      <c r="P1413" s="48" t="inlineStr">
        <is>
          <t>Autobus con monitor e indicatori vocali / Autobus totali in offerta, incluse scorte</t>
        </is>
      </c>
      <c r="Q1413" s="57">
        <f>IF($A1413="","",$A1413&amp;"|"&amp;$C1413)</f>
        <v/>
      </c>
      <c r="R1413" s="57">
        <f>IF($A1413="","",$A1413&amp;"|"&amp;$C1413&amp;"|"&amp;$D1413)</f>
        <v/>
      </c>
      <c r="S1413" s="57">
        <f>IF($A1413="","",IFERROR(INDEX(Offerte!$D$2:$D$81,MATCH($Q1413,Offerte!$L$2:$L$81,0)),0))</f>
        <v/>
      </c>
      <c r="T1413" s="57">
        <f>IF($A1413="","",IFERROR(INDEX(Offerte!$G$2:$G$81,MATCH($Q1413,Offerte!$L$2:$L$81,0)),"NO"))</f>
        <v/>
      </c>
    </row>
    <row r="1414">
      <c r="A1414" s="48">
        <f>IF(Offerte!$A47="","",Offerte!$A47)</f>
        <v/>
      </c>
      <c r="B1414" s="48">
        <f>IF(Offerte!$A47="","",Offerte!$B47)</f>
        <v/>
      </c>
      <c r="C1414" s="48">
        <f>IF(Offerte!$A47="","",Offerte!$C47)</f>
        <v/>
      </c>
      <c r="D1414" s="48" t="inlineStr">
        <is>
          <t>C.3.2</t>
        </is>
      </c>
      <c r="E1414" s="48" t="inlineStr">
        <is>
          <t>C</t>
        </is>
      </c>
      <c r="F1414" s="48" t="inlineStr">
        <is>
          <t>T</t>
        </is>
      </c>
      <c r="G1414" s="48" t="inlineStr">
        <is>
          <t>tabular</t>
        </is>
      </c>
      <c r="H1414" s="48" t="n">
        <v>2</v>
      </c>
      <c r="I1414" s="48" t="inlineStr">
        <is>
          <t>Informazioni a bordo su coincidenze ai nodi</t>
        </is>
      </c>
      <c r="J1414" s="73" t="n"/>
      <c r="K1414" s="73" t="n"/>
      <c r="L1414" s="73" t="n"/>
      <c r="M1414" s="73" t="n"/>
      <c r="N1414" s="57">
        <f>IF($A1414="","",IF(IFERROR(VALUE($M1414),0)=1,1,0))</f>
        <v/>
      </c>
      <c r="O1414" s="57">
        <f>IF($A1414="",0,IF(OR($S1414&lt;&gt;1,COUNTA($J1414:$M1414)=0),0,IF(AND($N1414=1,IFERROR(SUMIFS($N$5:$N$2484,$Q$5:$Q$2484,$Q1414,$D$5:$D$2484,"C.3.1"),0)&gt;=0.5),$H1414,0)))</f>
        <v/>
      </c>
      <c r="P1414" s="48" t="inlineStr">
        <is>
          <t>Dipende da C.3.1 &gt;= 0.5</t>
        </is>
      </c>
      <c r="Q1414" s="57">
        <f>IF($A1414="","",$A1414&amp;"|"&amp;$C1414)</f>
        <v/>
      </c>
      <c r="R1414" s="57">
        <f>IF($A1414="","",$A1414&amp;"|"&amp;$C1414&amp;"|"&amp;$D1414)</f>
        <v/>
      </c>
      <c r="S1414" s="57">
        <f>IF($A1414="","",IFERROR(INDEX(Offerte!$D$2:$D$81,MATCH($Q1414,Offerte!$L$2:$L$81,0)),0))</f>
        <v/>
      </c>
      <c r="T1414" s="57">
        <f>IF($A1414="","",IFERROR(INDEX(Offerte!$G$2:$G$81,MATCH($Q1414,Offerte!$L$2:$L$81,0)),"NO"))</f>
        <v/>
      </c>
    </row>
    <row r="1415">
      <c r="A1415" s="48">
        <f>IF(Offerte!$A47="","",Offerte!$A47)</f>
        <v/>
      </c>
      <c r="B1415" s="48">
        <f>IF(Offerte!$A47="","",Offerte!$B47)</f>
        <v/>
      </c>
      <c r="C1415" s="48">
        <f>IF(Offerte!$A47="","",Offerte!$C47)</f>
        <v/>
      </c>
      <c r="D1415" s="48" t="inlineStr">
        <is>
          <t>D.1.1</t>
        </is>
      </c>
      <c r="E1415" s="48" t="inlineStr">
        <is>
          <t>D</t>
        </is>
      </c>
      <c r="F1415" s="48" t="inlineStr">
        <is>
          <t>Q</t>
        </is>
      </c>
      <c r="G1415" s="48" t="inlineStr">
        <is>
          <t>higher</t>
        </is>
      </c>
      <c r="H1415" s="48" t="n">
        <v>3</v>
      </c>
      <c r="I1415" s="48" t="inlineStr">
        <is>
          <t>Installazione di pensiline</t>
        </is>
      </c>
      <c r="J1415" s="73" t="n"/>
      <c r="K1415" s="73" t="n"/>
      <c r="L1415" s="73" t="n"/>
      <c r="M1415" s="73" t="n"/>
      <c r="N1415" s="57">
        <f>IF($A1415="","",IFERROR(VALUE($J1415),0))</f>
        <v/>
      </c>
      <c r="O1415" s="57">
        <f>IF($A1415="",0,IF(OR($S1415&lt;&gt;1,COUNTA($J1415:$M1415)=0),0,IF(SUMPRODUCT(MAX(($C$5:$C$2484=$C1415)*($D$5:$D$2484=$D1415)*($S$5:$S$2484=1)*IFERROR($N$5:$N$2484*1,0)))&gt;0,ROUND($H1415*($N1415/SUMPRODUCT(MAX(($C$5:$C$2484=$C1415)*($D$5:$D$2484=$D1415)*($S$5:$S$2484=1)*IFERROR($N$5:$N$2484*1,0)))),4),0)))</f>
        <v/>
      </c>
      <c r="P1415" s="48" t="inlineStr">
        <is>
          <t>fermate</t>
        </is>
      </c>
      <c r="Q1415" s="57">
        <f>IF($A1415="","",$A1415&amp;"|"&amp;$C1415)</f>
        <v/>
      </c>
      <c r="R1415" s="57">
        <f>IF($A1415="","",$A1415&amp;"|"&amp;$C1415&amp;"|"&amp;$D1415)</f>
        <v/>
      </c>
      <c r="S1415" s="57">
        <f>IF($A1415="","",IFERROR(INDEX(Offerte!$D$2:$D$81,MATCH($Q1415,Offerte!$L$2:$L$81,0)),0))</f>
        <v/>
      </c>
      <c r="T1415" s="57">
        <f>IF($A1415="","",IFERROR(INDEX(Offerte!$G$2:$G$81,MATCH($Q1415,Offerte!$L$2:$L$81,0)),"NO"))</f>
        <v/>
      </c>
    </row>
    <row r="1416">
      <c r="A1416" s="48">
        <f>IF(Offerte!$A47="","",Offerte!$A47)</f>
        <v/>
      </c>
      <c r="B1416" s="48">
        <f>IF(Offerte!$A47="","",Offerte!$B47)</f>
        <v/>
      </c>
      <c r="C1416" s="48">
        <f>IF(Offerte!$A47="","",Offerte!$C47)</f>
        <v/>
      </c>
      <c r="D1416" s="48" t="inlineStr">
        <is>
          <t>D.1.2</t>
        </is>
      </c>
      <c r="E1416" s="48" t="inlineStr">
        <is>
          <t>D</t>
        </is>
      </c>
      <c r="F1416" s="48" t="inlineStr">
        <is>
          <t>Q</t>
        </is>
      </c>
      <c r="G1416" s="48" t="inlineStr">
        <is>
          <t>higher</t>
        </is>
      </c>
      <c r="H1416" s="48" t="n">
        <v>3</v>
      </c>
      <c r="I1416" s="48" t="inlineStr">
        <is>
          <t>Installazione di paline di fermata conformi alla DGR 581/2023</t>
        </is>
      </c>
      <c r="J1416" s="73" t="n"/>
      <c r="K1416" s="73" t="n"/>
      <c r="L1416" s="73" t="n"/>
      <c r="M1416" s="73" t="n"/>
      <c r="N1416" s="57">
        <f>IF($A1416="","",IFERROR(VALUE($J1416),0))</f>
        <v/>
      </c>
      <c r="O1416" s="57">
        <f>IF($A1416="",0,IF(OR($S1416&lt;&gt;1,COUNTA($J1416:$M1416)=0),0,IF(SUMPRODUCT(MAX(($C$5:$C$2484=$C1416)*($D$5:$D$2484=$D1416)*($S$5:$S$2484=1)*IFERROR($N$5:$N$2484*1,0)))&gt;0,ROUND($H1416*($N1416/SUMPRODUCT(MAX(($C$5:$C$2484=$C1416)*($D$5:$D$2484=$D1416)*($S$5:$S$2484=1)*IFERROR($N$5:$N$2484*1,0)))),4),0)))</f>
        <v/>
      </c>
      <c r="P1416" s="48" t="inlineStr">
        <is>
          <t>fermate</t>
        </is>
      </c>
      <c r="Q1416" s="57">
        <f>IF($A1416="","",$A1416&amp;"|"&amp;$C1416)</f>
        <v/>
      </c>
      <c r="R1416" s="57">
        <f>IF($A1416="","",$A1416&amp;"|"&amp;$C1416&amp;"|"&amp;$D1416)</f>
        <v/>
      </c>
      <c r="S1416" s="57">
        <f>IF($A1416="","",IFERROR(INDEX(Offerte!$D$2:$D$81,MATCH($Q1416,Offerte!$L$2:$L$81,0)),0))</f>
        <v/>
      </c>
      <c r="T1416" s="57">
        <f>IF($A1416="","",IFERROR(INDEX(Offerte!$G$2:$G$81,MATCH($Q1416,Offerte!$L$2:$L$81,0)),"NO"))</f>
        <v/>
      </c>
    </row>
    <row r="1417">
      <c r="A1417" s="48">
        <f>IF(Offerte!$A47="","",Offerte!$A47)</f>
        <v/>
      </c>
      <c r="B1417" s="48">
        <f>IF(Offerte!$A47="","",Offerte!$B47)</f>
        <v/>
      </c>
      <c r="C1417" s="48">
        <f>IF(Offerte!$A47="","",Offerte!$C47)</f>
        <v/>
      </c>
      <c r="D1417" s="48" t="inlineStr">
        <is>
          <t>D.1.3</t>
        </is>
      </c>
      <c r="E1417" s="48" t="inlineStr">
        <is>
          <t>D</t>
        </is>
      </c>
      <c r="F1417" s="48" t="inlineStr">
        <is>
          <t>Q</t>
        </is>
      </c>
      <c r="G1417" s="48" t="inlineStr">
        <is>
          <t>higher</t>
        </is>
      </c>
      <c r="H1417" s="48" t="n">
        <v>2</v>
      </c>
      <c r="I1417" s="48" t="inlineStr">
        <is>
          <t>Display informativi connessi alle fermate</t>
        </is>
      </c>
      <c r="J1417" s="73" t="n"/>
      <c r="K1417" s="73" t="n"/>
      <c r="L1417" s="73" t="n"/>
      <c r="M1417" s="73" t="n"/>
      <c r="N1417" s="57">
        <f>IF($A1417="","",IFERROR(VALUE($J1417),0))</f>
        <v/>
      </c>
      <c r="O1417" s="57">
        <f>IF($A1417="",0,IF(OR($S1417&lt;&gt;1,COUNTA($J1417:$M1417)=0),0,IF(SUMPRODUCT(MAX(($C$5:$C$2484=$C1417)*($D$5:$D$2484=$D1417)*($S$5:$S$2484=1)*IFERROR($N$5:$N$2484*1,0)))&gt;0,ROUND($H1417*($N1417/SUMPRODUCT(MAX(($C$5:$C$2484=$C1417)*($D$5:$D$2484=$D1417)*($S$5:$S$2484=1)*IFERROR($N$5:$N$2484*1,0)))),4),0)))</f>
        <v/>
      </c>
      <c r="P1417" s="48" t="inlineStr">
        <is>
          <t>fermate</t>
        </is>
      </c>
      <c r="Q1417" s="57">
        <f>IF($A1417="","",$A1417&amp;"|"&amp;$C1417)</f>
        <v/>
      </c>
      <c r="R1417" s="57">
        <f>IF($A1417="","",$A1417&amp;"|"&amp;$C1417&amp;"|"&amp;$D1417)</f>
        <v/>
      </c>
      <c r="S1417" s="57">
        <f>IF($A1417="","",IFERROR(INDEX(Offerte!$D$2:$D$81,MATCH($Q1417,Offerte!$L$2:$L$81,0)),0))</f>
        <v/>
      </c>
      <c r="T1417" s="57">
        <f>IF($A1417="","",IFERROR(INDEX(Offerte!$G$2:$G$81,MATCH($Q1417,Offerte!$L$2:$L$81,0)),"NO"))</f>
        <v/>
      </c>
    </row>
    <row r="1418">
      <c r="A1418" s="48">
        <f>IF(Offerte!$A47="","",Offerte!$A47)</f>
        <v/>
      </c>
      <c r="B1418" s="48">
        <f>IF(Offerte!$A47="","",Offerte!$B47)</f>
        <v/>
      </c>
      <c r="C1418" s="48">
        <f>IF(Offerte!$A47="","",Offerte!$C47)</f>
        <v/>
      </c>
      <c r="D1418" s="48" t="inlineStr">
        <is>
          <t>D.2.1</t>
        </is>
      </c>
      <c r="E1418" s="48" t="inlineStr">
        <is>
          <t>D</t>
        </is>
      </c>
      <c r="F1418" s="48" t="inlineStr">
        <is>
          <t>Q</t>
        </is>
      </c>
      <c r="G1418" s="48" t="inlineStr">
        <is>
          <t>higher</t>
        </is>
      </c>
      <c r="H1418" s="48" t="n">
        <v>2</v>
      </c>
      <c r="I1418" s="48" t="inlineStr">
        <is>
          <t>Segnali tattili Loges-Vet-Evolution</t>
        </is>
      </c>
      <c r="J1418" s="73" t="n"/>
      <c r="K1418" s="73" t="n"/>
      <c r="L1418" s="73" t="n"/>
      <c r="M1418" s="73" t="n"/>
      <c r="N1418" s="57">
        <f>IF($A1418="","",IFERROR(VALUE($J1418),0))</f>
        <v/>
      </c>
      <c r="O1418" s="57">
        <f>IF($A1418="",0,IF(OR($S1418&lt;&gt;1,COUNTA($J1418:$M1418)=0),0,IF(SUMPRODUCT(MAX(($C$5:$C$2484=$C1418)*($D$5:$D$2484=$D1418)*($S$5:$S$2484=1)*IFERROR($N$5:$N$2484*1,0)))&gt;0,ROUND($H1418*($N1418/SUMPRODUCT(MAX(($C$5:$C$2484=$C1418)*($D$5:$D$2484=$D1418)*($S$5:$S$2484=1)*IFERROR($N$5:$N$2484*1,0)))),4),0)))</f>
        <v/>
      </c>
      <c r="P1418" s="48" t="inlineStr">
        <is>
          <t>fermate</t>
        </is>
      </c>
      <c r="Q1418" s="57">
        <f>IF($A1418="","",$A1418&amp;"|"&amp;$C1418)</f>
        <v/>
      </c>
      <c r="R1418" s="57">
        <f>IF($A1418="","",$A1418&amp;"|"&amp;$C1418&amp;"|"&amp;$D1418)</f>
        <v/>
      </c>
      <c r="S1418" s="57">
        <f>IF($A1418="","",IFERROR(INDEX(Offerte!$D$2:$D$81,MATCH($Q1418,Offerte!$L$2:$L$81,0)),0))</f>
        <v/>
      </c>
      <c r="T1418" s="57">
        <f>IF($A1418="","",IFERROR(INDEX(Offerte!$G$2:$G$81,MATCH($Q1418,Offerte!$L$2:$L$81,0)),"NO"))</f>
        <v/>
      </c>
    </row>
    <row r="1419">
      <c r="A1419" s="48">
        <f>IF(Offerte!$A47="","",Offerte!$A47)</f>
        <v/>
      </c>
      <c r="B1419" s="48">
        <f>IF(Offerte!$A47="","",Offerte!$B47)</f>
        <v/>
      </c>
      <c r="C1419" s="48">
        <f>IF(Offerte!$A47="","",Offerte!$C47)</f>
        <v/>
      </c>
      <c r="D1419" s="48" t="inlineStr">
        <is>
          <t>E.1.1</t>
        </is>
      </c>
      <c r="E1419" s="48" t="inlineStr">
        <is>
          <t>E</t>
        </is>
      </c>
      <c r="F1419" s="48" t="inlineStr">
        <is>
          <t>T</t>
        </is>
      </c>
      <c r="G1419" s="48" t="inlineStr">
        <is>
          <t>tabular</t>
        </is>
      </c>
      <c r="H1419" s="48" t="n">
        <v>2</v>
      </c>
      <c r="I1419" s="48" t="inlineStr">
        <is>
          <t>Mobile app con travel planner PRM</t>
        </is>
      </c>
      <c r="J1419" s="73" t="n"/>
      <c r="K1419" s="73" t="n"/>
      <c r="L1419" s="73" t="n"/>
      <c r="M1419" s="73" t="n"/>
      <c r="N1419" s="57">
        <f>IF($A1419="","",IF(IFERROR(VALUE($M1419),0)=1,1,0))</f>
        <v/>
      </c>
      <c r="O1419" s="57">
        <f>IF($A1419="",0,IF(OR($S1419&lt;&gt;1,COUNTA($J1419:$M1419)=0),0,IF($N1419=1,$H1419,0)))</f>
        <v/>
      </c>
      <c r="P1419" s="48" t="inlineStr">
        <is>
          <t>sì/no</t>
        </is>
      </c>
      <c r="Q1419" s="57">
        <f>IF($A1419="","",$A1419&amp;"|"&amp;$C1419)</f>
        <v/>
      </c>
      <c r="R1419" s="57">
        <f>IF($A1419="","",$A1419&amp;"|"&amp;$C1419&amp;"|"&amp;$D1419)</f>
        <v/>
      </c>
      <c r="S1419" s="57">
        <f>IF($A1419="","",IFERROR(INDEX(Offerte!$D$2:$D$81,MATCH($Q1419,Offerte!$L$2:$L$81,0)),0))</f>
        <v/>
      </c>
      <c r="T1419" s="57">
        <f>IF($A1419="","",IFERROR(INDEX(Offerte!$G$2:$G$81,MATCH($Q1419,Offerte!$L$2:$L$81,0)),"NO"))</f>
        <v/>
      </c>
    </row>
    <row r="1420">
      <c r="A1420" s="48">
        <f>IF(Offerte!$A47="","",Offerte!$A47)</f>
        <v/>
      </c>
      <c r="B1420" s="48">
        <f>IF(Offerte!$A47="","",Offerte!$B47)</f>
        <v/>
      </c>
      <c r="C1420" s="48">
        <f>IF(Offerte!$A47="","",Offerte!$C47)</f>
        <v/>
      </c>
      <c r="D1420" s="48" t="inlineStr">
        <is>
          <t>E.2.1</t>
        </is>
      </c>
      <c r="E1420" s="48" t="inlineStr">
        <is>
          <t>E</t>
        </is>
      </c>
      <c r="F1420" s="48" t="inlineStr">
        <is>
          <t>D</t>
        </is>
      </c>
      <c r="G1420" s="48" t="inlineStr">
        <is>
          <t>discretionary</t>
        </is>
      </c>
      <c r="H1420" s="48" t="n">
        <v>2</v>
      </c>
      <c r="I1420" s="48" t="inlineStr">
        <is>
          <t>Altre azioni informative e rapporti con gli utenti</t>
        </is>
      </c>
      <c r="J1420" s="73" t="n"/>
      <c r="K1420" s="73" t="n"/>
      <c r="L1420" s="73" t="n"/>
      <c r="M1420" s="73" t="n"/>
      <c r="N1420" s="57">
        <f>IF($A1420="","",MAX(0,MIN(1,IFERROR(VALUE($M1420),0))))</f>
        <v/>
      </c>
      <c r="O1420" s="57">
        <f>IF($A1420="",0,IF(OR($S1420&lt;&gt;1,COUNTA($J1420:$M1420)=0),0,IF(SUMPRODUCT(MAX(($C$5:$C$2484=$C1420)*($D$5:$D$2484=$D1420)*($S$5:$S$2484=1)*IFERROR($N$5:$N$2484*1,0)))&gt;0,ROUND($H1420*($N1420/SUMPRODUCT(MAX(($C$5:$C$2484=$C1420)*($D$5:$D$2484=$D1420)*($S$5:$S$2484=1)*IFERROR($N$5:$N$2484*1,0)))),4),0)))</f>
        <v/>
      </c>
      <c r="P1420" s="48" t="inlineStr">
        <is>
          <t>coeff.</t>
        </is>
      </c>
      <c r="Q1420" s="57">
        <f>IF($A1420="","",$A1420&amp;"|"&amp;$C1420)</f>
        <v/>
      </c>
      <c r="R1420" s="57">
        <f>IF($A1420="","",$A1420&amp;"|"&amp;$C1420&amp;"|"&amp;$D1420)</f>
        <v/>
      </c>
      <c r="S1420" s="57">
        <f>IF($A1420="","",IFERROR(INDEX(Offerte!$D$2:$D$81,MATCH($Q1420,Offerte!$L$2:$L$81,0)),0))</f>
        <v/>
      </c>
      <c r="T1420" s="57">
        <f>IF($A1420="","",IFERROR(INDEX(Offerte!$G$2:$G$81,MATCH($Q1420,Offerte!$L$2:$L$81,0)),"NO"))</f>
        <v/>
      </c>
    </row>
    <row r="1421">
      <c r="A1421" s="48">
        <f>IF(Offerte!$A47="","",Offerte!$A47)</f>
        <v/>
      </c>
      <c r="B1421" s="48">
        <f>IF(Offerte!$A47="","",Offerte!$B47)</f>
        <v/>
      </c>
      <c r="C1421" s="48">
        <f>IF(Offerte!$A47="","",Offerte!$C47)</f>
        <v/>
      </c>
      <c r="D1421" s="48" t="inlineStr">
        <is>
          <t>F.1.1</t>
        </is>
      </c>
      <c r="E1421" s="48" t="inlineStr">
        <is>
          <t>F</t>
        </is>
      </c>
      <c r="F1421" s="48" t="inlineStr">
        <is>
          <t>Q</t>
        </is>
      </c>
      <c r="G1421" s="48" t="inlineStr">
        <is>
          <t>lower</t>
        </is>
      </c>
      <c r="H1421" s="48" t="n">
        <v>7</v>
      </c>
      <c r="I1421" s="48" t="inlineStr">
        <is>
          <t>Performance ambientali del parco mezzi adibito al servizio - I_CEA</t>
        </is>
      </c>
      <c r="J1421" s="73" t="n"/>
      <c r="K1421" s="73" t="n"/>
      <c r="L1421" s="73" t="n"/>
      <c r="M1421" s="73" t="n"/>
      <c r="N1421" s="57">
        <f>IF($A1421="","",IFERROR(VALUE($J1421),0))</f>
        <v/>
      </c>
      <c r="O1421" s="57">
        <f>IF($A1421="",0,IF(OR($S1421&lt;&gt;1,COUNTA($J1421:$M1421)=0),0,IF(AND(IFERROR(AGGREGATE(15,6,$N$5:$N$2484/(($C$5:$C$2484=$C1421)*($D$5:$D$2484=$D1421)*($S$5:$S$2484=1)*($N$5:$N$2484&gt;0)),1),0)&gt;0,$N1421&gt;0),ROUND($H1421*(IFERROR(AGGREGATE(15,6,$N$5:$N$2484/(($C$5:$C$2484=$C1421)*($D$5:$D$2484=$D1421)*($S$5:$S$2484=1)*($N$5:$N$2484&gt;0)),1),0)/$N1421),4),0)))</f>
        <v/>
      </c>
      <c r="P1421" s="48" t="inlineStr">
        <is>
          <t>indice</t>
        </is>
      </c>
      <c r="Q1421" s="57">
        <f>IF($A1421="","",$A1421&amp;"|"&amp;$C1421)</f>
        <v/>
      </c>
      <c r="R1421" s="57">
        <f>IF($A1421="","",$A1421&amp;"|"&amp;$C1421&amp;"|"&amp;$D1421)</f>
        <v/>
      </c>
      <c r="S1421" s="57">
        <f>IF($A1421="","",IFERROR(INDEX(Offerte!$D$2:$D$81,MATCH($Q1421,Offerte!$L$2:$L$81,0)),0))</f>
        <v/>
      </c>
      <c r="T1421" s="57">
        <f>IF($A1421="","",IFERROR(INDEX(Offerte!$G$2:$G$81,MATCH($Q1421,Offerte!$L$2:$L$81,0)),"NO"))</f>
        <v/>
      </c>
    </row>
    <row r="1422">
      <c r="A1422" s="48">
        <f>IF(Offerte!$A47="","",Offerte!$A47)</f>
        <v/>
      </c>
      <c r="B1422" s="48">
        <f>IF(Offerte!$A47="","",Offerte!$B47)</f>
        <v/>
      </c>
      <c r="C1422" s="48">
        <f>IF(Offerte!$A47="","",Offerte!$C47)</f>
        <v/>
      </c>
      <c r="D1422" s="48" t="inlineStr">
        <is>
          <t>F.2.1</t>
        </is>
      </c>
      <c r="E1422" s="48" t="inlineStr">
        <is>
          <t>F</t>
        </is>
      </c>
      <c r="F1422" s="48" t="inlineStr">
        <is>
          <t>Q</t>
        </is>
      </c>
      <c r="G1422" s="48" t="inlineStr">
        <is>
          <t>higher</t>
        </is>
      </c>
      <c r="H1422" s="48" t="n">
        <v>2</v>
      </c>
      <c r="I1422" s="48" t="inlineStr">
        <is>
          <t>Tasso di copertura del servizio con dispositivi ECO-DRIVER</t>
        </is>
      </c>
      <c r="J1422" s="73" t="n"/>
      <c r="K1422" s="73" t="n"/>
      <c r="L1422" s="73" t="n"/>
      <c r="M1422" s="73" t="n"/>
      <c r="N1422" s="57">
        <f>IF($A1422="","",IFERROR(VALUE($K1422)/VALUE($L1422),IFERROR(VALUE($J1422),0)))</f>
        <v/>
      </c>
      <c r="O1422" s="57">
        <f>IF($A1422="",0,IF(OR($S1422&lt;&gt;1,COUNTA($J1422:$M1422)=0),0,IF(SUMPRODUCT(MAX(($C$5:$C$2484=$C1422)*($D$5:$D$2484=$D1422)*($S$5:$S$2484=1)*IFERROR($N$5:$N$2484*1,0)))&gt;0,ROUND($H1422*($N1422/SUMPRODUCT(MAX(($C$5:$C$2484=$C1422)*($D$5:$D$2484=$D1422)*($S$5:$S$2484=1)*IFERROR($N$5:$N$2484*1,0)))),4),0)))</f>
        <v/>
      </c>
      <c r="P1422" s="48" t="inlineStr">
        <is>
          <t>Autobus attrezzati con dispositivi ECO-DRIVER / Autobus totali in offerta, incluse scorte</t>
        </is>
      </c>
      <c r="Q1422" s="57">
        <f>IF($A1422="","",$A1422&amp;"|"&amp;$C1422)</f>
        <v/>
      </c>
      <c r="R1422" s="57">
        <f>IF($A1422="","",$A1422&amp;"|"&amp;$C1422&amp;"|"&amp;$D1422)</f>
        <v/>
      </c>
      <c r="S1422" s="57">
        <f>IF($A1422="","",IFERROR(INDEX(Offerte!$D$2:$D$81,MATCH($Q1422,Offerte!$L$2:$L$81,0)),0))</f>
        <v/>
      </c>
      <c r="T1422" s="57">
        <f>IF($A1422="","",IFERROR(INDEX(Offerte!$G$2:$G$81,MATCH($Q1422,Offerte!$L$2:$L$81,0)),"NO"))</f>
        <v/>
      </c>
    </row>
    <row r="1423">
      <c r="A1423" s="48">
        <f>IF(Offerte!$A47="","",Offerte!$A47)</f>
        <v/>
      </c>
      <c r="B1423" s="48">
        <f>IF(Offerte!$A47="","",Offerte!$B47)</f>
        <v/>
      </c>
      <c r="C1423" s="48">
        <f>IF(Offerte!$A47="","",Offerte!$C47)</f>
        <v/>
      </c>
      <c r="D1423" s="48" t="inlineStr">
        <is>
          <t>F.3.1</t>
        </is>
      </c>
      <c r="E1423" s="48" t="inlineStr">
        <is>
          <t>F</t>
        </is>
      </c>
      <c r="F1423" s="48" t="inlineStr">
        <is>
          <t>Q</t>
        </is>
      </c>
      <c r="G1423" s="48" t="inlineStr">
        <is>
          <t>higher</t>
        </is>
      </c>
      <c r="H1423" s="48" t="n">
        <v>2</v>
      </c>
      <c r="I1423" s="48" t="inlineStr">
        <is>
          <t>Autoproduzione consumi elettrici per trazione</t>
        </is>
      </c>
      <c r="J1423" s="73" t="n"/>
      <c r="K1423" s="73" t="n"/>
      <c r="L1423" s="73" t="n"/>
      <c r="M1423" s="73" t="n"/>
      <c r="N1423" s="57">
        <f>IF($A1423="","",IFERROR(VALUE($J1423),0))</f>
        <v/>
      </c>
      <c r="O1423" s="57">
        <f>IF($A1423="",0,IF(OR($S1423&lt;&gt;1,COUNTA($J1423:$M1423)=0),0,IF(SUMPRODUCT(MAX(($C$5:$C$2484=$C1423)*($D$5:$D$2484=$D1423)*($S$5:$S$2484=1)*IFERROR($N$5:$N$2484*1,0)))&gt;0,ROUND($H1423*($N1423/SUMPRODUCT(MAX(($C$5:$C$2484=$C1423)*($D$5:$D$2484=$D1423)*($S$5:$S$2484=1)*IFERROR($N$5:$N$2484*1,0)))),4),0)))</f>
        <v/>
      </c>
      <c r="P1423" s="48" t="inlineStr">
        <is>
          <t>kWh/anno</t>
        </is>
      </c>
      <c r="Q1423" s="57">
        <f>IF($A1423="","",$A1423&amp;"|"&amp;$C1423)</f>
        <v/>
      </c>
      <c r="R1423" s="57">
        <f>IF($A1423="","",$A1423&amp;"|"&amp;$C1423&amp;"|"&amp;$D1423)</f>
        <v/>
      </c>
      <c r="S1423" s="57">
        <f>IF($A1423="","",IFERROR(INDEX(Offerte!$D$2:$D$81,MATCH($Q1423,Offerte!$L$2:$L$81,0)),0))</f>
        <v/>
      </c>
      <c r="T1423" s="57">
        <f>IF($A1423="","",IFERROR(INDEX(Offerte!$G$2:$G$81,MATCH($Q1423,Offerte!$L$2:$L$81,0)),"NO"))</f>
        <v/>
      </c>
    </row>
    <row r="1424">
      <c r="A1424" s="48">
        <f>IF(Offerte!$A47="","",Offerte!$A47)</f>
        <v/>
      </c>
      <c r="B1424" s="48">
        <f>IF(Offerte!$A47="","",Offerte!$B47)</f>
        <v/>
      </c>
      <c r="C1424" s="48">
        <f>IF(Offerte!$A47="","",Offerte!$C47)</f>
        <v/>
      </c>
      <c r="D1424" s="48" t="inlineStr">
        <is>
          <t>F.4.1</t>
        </is>
      </c>
      <c r="E1424" s="48" t="inlineStr">
        <is>
          <t>F</t>
        </is>
      </c>
      <c r="F1424" s="48" t="inlineStr">
        <is>
          <t>Q</t>
        </is>
      </c>
      <c r="G1424" s="48" t="inlineStr">
        <is>
          <t>soil</t>
        </is>
      </c>
      <c r="H1424" s="48" t="n">
        <v>2</v>
      </c>
      <c r="I1424" s="48" t="inlineStr">
        <is>
          <t>Indice di consumo di suolo</t>
        </is>
      </c>
      <c r="J1424" s="73" t="n"/>
      <c r="K1424" s="73" t="n"/>
      <c r="L1424" s="73" t="n"/>
      <c r="M1424" s="73" t="n"/>
      <c r="N1424" s="57">
        <f>IF($A1424="","",IFERROR(VALUE($J1424),0))</f>
        <v/>
      </c>
      <c r="O1424" s="57">
        <f>IF($A1424="",0,IF(OR($S1424&lt;&gt;1,COUNTA($J1424:$M1424)=0),0,IF($N1424&lt;=0,$H1424,IF(SUMPRODUCT(MAX(($C$5:$C$2484=$C1424)*($D$5:$D$2484=$D1424)*($S$5:$S$2484=1)*IFERROR($N$5:$N$2484*1,0)))&gt;0,ROUND($H1424*((SUMPRODUCT(MAX(($C$5:$C$2484=$C1424)*($D$5:$D$2484=$D1424)*($S$5:$S$2484=1)*IFERROR($N$5:$N$2484*1,0)))-$N1424)/SUMPRODUCT(MAX(($C$5:$C$2484=$C1424)*($D$5:$D$2484=$D1424)*($S$5:$S$2484=1)*IFERROR($N$5:$N$2484*1,0)))),4),0))))</f>
        <v/>
      </c>
      <c r="P1424" s="48" t="inlineStr">
        <is>
          <t>m2</t>
        </is>
      </c>
      <c r="Q1424" s="57">
        <f>IF($A1424="","",$A1424&amp;"|"&amp;$C1424)</f>
        <v/>
      </c>
      <c r="R1424" s="57">
        <f>IF($A1424="","",$A1424&amp;"|"&amp;$C1424&amp;"|"&amp;$D1424)</f>
        <v/>
      </c>
      <c r="S1424" s="57">
        <f>IF($A1424="","",IFERROR(INDEX(Offerte!$D$2:$D$81,MATCH($Q1424,Offerte!$L$2:$L$81,0)),0))</f>
        <v/>
      </c>
      <c r="T1424" s="57">
        <f>IF($A1424="","",IFERROR(INDEX(Offerte!$G$2:$G$81,MATCH($Q1424,Offerte!$L$2:$L$81,0)),"NO"))</f>
        <v/>
      </c>
    </row>
    <row r="1425">
      <c r="A1425" s="48">
        <f>IF(Offerte!$A47="","",Offerte!$A47)</f>
        <v/>
      </c>
      <c r="B1425" s="48">
        <f>IF(Offerte!$A47="","",Offerte!$B47)</f>
        <v/>
      </c>
      <c r="C1425" s="48">
        <f>IF(Offerte!$A47="","",Offerte!$C47)</f>
        <v/>
      </c>
      <c r="D1425" s="48" t="inlineStr">
        <is>
          <t>F.5.1</t>
        </is>
      </c>
      <c r="E1425" s="48" t="inlineStr">
        <is>
          <t>F</t>
        </is>
      </c>
      <c r="F1425" s="48" t="inlineStr">
        <is>
          <t>T</t>
        </is>
      </c>
      <c r="G1425" s="48" t="inlineStr">
        <is>
          <t>tabular</t>
        </is>
      </c>
      <c r="H1425" s="48" t="n">
        <v>1</v>
      </c>
      <c r="I1425" s="48" t="inlineStr">
        <is>
          <t>Rendicontazione di sostenibilità ambientale</t>
        </is>
      </c>
      <c r="J1425" s="73" t="n"/>
      <c r="K1425" s="73" t="n"/>
      <c r="L1425" s="73" t="n"/>
      <c r="M1425" s="73" t="n"/>
      <c r="N1425" s="57">
        <f>IF($A1425="","",IF(IFERROR(VALUE($M1425),0)=1,1,0))</f>
        <v/>
      </c>
      <c r="O1425" s="57">
        <f>IF($A1425="",0,IF(OR($S1425&lt;&gt;1,COUNTA($J1425:$M1425)=0),0,IF($N1425=1,$H1425,0)))</f>
        <v/>
      </c>
      <c r="P1425" s="48" t="inlineStr">
        <is>
          <t>sì/no</t>
        </is>
      </c>
      <c r="Q1425" s="57">
        <f>IF($A1425="","",$A1425&amp;"|"&amp;$C1425)</f>
        <v/>
      </c>
      <c r="R1425" s="57">
        <f>IF($A1425="","",$A1425&amp;"|"&amp;$C1425&amp;"|"&amp;$D1425)</f>
        <v/>
      </c>
      <c r="S1425" s="57">
        <f>IF($A1425="","",IFERROR(INDEX(Offerte!$D$2:$D$81,MATCH($Q1425,Offerte!$L$2:$L$81,0)),0))</f>
        <v/>
      </c>
      <c r="T1425" s="57">
        <f>IF($A1425="","",IFERROR(INDEX(Offerte!$G$2:$G$81,MATCH($Q1425,Offerte!$L$2:$L$81,0)),"NO"))</f>
        <v/>
      </c>
    </row>
    <row r="1426">
      <c r="A1426" s="48">
        <f>IF(Offerte!$A47="","",Offerte!$A47)</f>
        <v/>
      </c>
      <c r="B1426" s="48">
        <f>IF(Offerte!$A47="","",Offerte!$B47)</f>
        <v/>
      </c>
      <c r="C1426" s="48">
        <f>IF(Offerte!$A47="","",Offerte!$C47)</f>
        <v/>
      </c>
      <c r="D1426" s="48" t="inlineStr">
        <is>
          <t>G.1.1</t>
        </is>
      </c>
      <c r="E1426" s="48" t="inlineStr">
        <is>
          <t>G</t>
        </is>
      </c>
      <c r="F1426" s="48" t="inlineStr">
        <is>
          <t>D</t>
        </is>
      </c>
      <c r="G1426" s="48" t="inlineStr">
        <is>
          <t>discretionary</t>
        </is>
      </c>
      <c r="H1426" s="48" t="n">
        <v>2</v>
      </c>
      <c r="I1426" s="48" t="inlineStr">
        <is>
          <t>Qualità del progetto di centrale di controllo aziendale</t>
        </is>
      </c>
      <c r="J1426" s="73" t="n"/>
      <c r="K1426" s="73" t="n"/>
      <c r="L1426" s="73" t="n"/>
      <c r="M1426" s="73" t="n"/>
      <c r="N1426" s="57">
        <f>IF($A1426="","",MAX(0,MIN(1,IFERROR(VALUE($M1426),0))))</f>
        <v/>
      </c>
      <c r="O1426" s="57">
        <f>IF($A1426="",0,IF(OR($S1426&lt;&gt;1,COUNTA($J1426:$M1426)=0),0,IF(SUMPRODUCT(MAX(($C$5:$C$2484=$C1426)*($D$5:$D$2484=$D1426)*($S$5:$S$2484=1)*IFERROR($N$5:$N$2484*1,0)))&gt;0,ROUND($H1426*($N1426/SUMPRODUCT(MAX(($C$5:$C$2484=$C1426)*($D$5:$D$2484=$D1426)*($S$5:$S$2484=1)*IFERROR($N$5:$N$2484*1,0)))),4),0)))</f>
        <v/>
      </c>
      <c r="P1426" s="48" t="inlineStr">
        <is>
          <t>coeff.</t>
        </is>
      </c>
      <c r="Q1426" s="57">
        <f>IF($A1426="","",$A1426&amp;"|"&amp;$C1426)</f>
        <v/>
      </c>
      <c r="R1426" s="57">
        <f>IF($A1426="","",$A1426&amp;"|"&amp;$C1426&amp;"|"&amp;$D1426)</f>
        <v/>
      </c>
      <c r="S1426" s="57">
        <f>IF($A1426="","",IFERROR(INDEX(Offerte!$D$2:$D$81,MATCH($Q1426,Offerte!$L$2:$L$81,0)),0))</f>
        <v/>
      </c>
      <c r="T1426" s="57">
        <f>IF($A1426="","",IFERROR(INDEX(Offerte!$G$2:$G$81,MATCH($Q1426,Offerte!$L$2:$L$81,0)),"NO"))</f>
        <v/>
      </c>
    </row>
    <row r="1427">
      <c r="A1427" s="48">
        <f>IF(Offerte!$A47="","",Offerte!$A47)</f>
        <v/>
      </c>
      <c r="B1427" s="48">
        <f>IF(Offerte!$A47="","",Offerte!$B47)</f>
        <v/>
      </c>
      <c r="C1427" s="48">
        <f>IF(Offerte!$A47="","",Offerte!$C47)</f>
        <v/>
      </c>
      <c r="D1427" s="48" t="inlineStr">
        <is>
          <t>G.2.1</t>
        </is>
      </c>
      <c r="E1427" s="48" t="inlineStr">
        <is>
          <t>G</t>
        </is>
      </c>
      <c r="F1427" s="48" t="inlineStr">
        <is>
          <t>T</t>
        </is>
      </c>
      <c r="G1427" s="48" t="inlineStr">
        <is>
          <t>tabular</t>
        </is>
      </c>
      <c r="H1427" s="48" t="n">
        <v>1</v>
      </c>
      <c r="I1427" s="48" t="inlineStr">
        <is>
          <t>Certificazione ISO 45001</t>
        </is>
      </c>
      <c r="J1427" s="73" t="n"/>
      <c r="K1427" s="73" t="n"/>
      <c r="L1427" s="73" t="n"/>
      <c r="M1427" s="73" t="n"/>
      <c r="N1427" s="57">
        <f>IF($A1427="","",IF(IFERROR(VALUE($M1427),0)=1,1,0))</f>
        <v/>
      </c>
      <c r="O1427" s="57">
        <f>IF($A1427="",0,IF(OR($S1427&lt;&gt;1,COUNTA($J1427:$M1427)=0),0,IF($N1427=1,$H1427,0)))</f>
        <v/>
      </c>
      <c r="P1427" s="48" t="inlineStr">
        <is>
          <t>sì/no</t>
        </is>
      </c>
      <c r="Q1427" s="57">
        <f>IF($A1427="","",$A1427&amp;"|"&amp;$C1427)</f>
        <v/>
      </c>
      <c r="R1427" s="57">
        <f>IF($A1427="","",$A1427&amp;"|"&amp;$C1427&amp;"|"&amp;$D1427)</f>
        <v/>
      </c>
      <c r="S1427" s="57">
        <f>IF($A1427="","",IFERROR(INDEX(Offerte!$D$2:$D$81,MATCH($Q1427,Offerte!$L$2:$L$81,0)),0))</f>
        <v/>
      </c>
      <c r="T1427" s="57">
        <f>IF($A1427="","",IFERROR(INDEX(Offerte!$G$2:$G$81,MATCH($Q1427,Offerte!$L$2:$L$81,0)),"NO"))</f>
        <v/>
      </c>
    </row>
    <row r="1428">
      <c r="A1428" s="48">
        <f>IF(Offerte!$A47="","",Offerte!$A47)</f>
        <v/>
      </c>
      <c r="B1428" s="48">
        <f>IF(Offerte!$A47="","",Offerte!$B47)</f>
        <v/>
      </c>
      <c r="C1428" s="48">
        <f>IF(Offerte!$A47="","",Offerte!$C47)</f>
        <v/>
      </c>
      <c r="D1428" s="48" t="inlineStr">
        <is>
          <t>G.3.1</t>
        </is>
      </c>
      <c r="E1428" s="48" t="inlineStr">
        <is>
          <t>G</t>
        </is>
      </c>
      <c r="F1428" s="48" t="inlineStr">
        <is>
          <t>T</t>
        </is>
      </c>
      <c r="G1428" s="48" t="inlineStr">
        <is>
          <t>tabular</t>
        </is>
      </c>
      <c r="H1428" s="48" t="n">
        <v>1</v>
      </c>
      <c r="I1428" s="48" t="inlineStr">
        <is>
          <t>Certificazioni di responsabilità sociale</t>
        </is>
      </c>
      <c r="J1428" s="73" t="n"/>
      <c r="K1428" s="73" t="n"/>
      <c r="L1428" s="73" t="n"/>
      <c r="M1428" s="73" t="n"/>
      <c r="N1428" s="57">
        <f>IF($A1428="","",IF(IFERROR(VALUE($M1428),0)=1,1,0))</f>
        <v/>
      </c>
      <c r="O1428" s="57">
        <f>IF($A1428="",0,IF(OR($S1428&lt;&gt;1,COUNTA($J1428:$M1428)=0),0,IF($N1428=1,$H1428,0)))</f>
        <v/>
      </c>
      <c r="P1428" s="48" t="inlineStr">
        <is>
          <t>sì/no</t>
        </is>
      </c>
      <c r="Q1428" s="57">
        <f>IF($A1428="","",$A1428&amp;"|"&amp;$C1428)</f>
        <v/>
      </c>
      <c r="R1428" s="57">
        <f>IF($A1428="","",$A1428&amp;"|"&amp;$C1428&amp;"|"&amp;$D1428)</f>
        <v/>
      </c>
      <c r="S1428" s="57">
        <f>IF($A1428="","",IFERROR(INDEX(Offerte!$D$2:$D$81,MATCH($Q1428,Offerte!$L$2:$L$81,0)),0))</f>
        <v/>
      </c>
      <c r="T1428" s="57">
        <f>IF($A1428="","",IFERROR(INDEX(Offerte!$G$2:$G$81,MATCH($Q1428,Offerte!$L$2:$L$81,0)),"NO"))</f>
        <v/>
      </c>
    </row>
    <row r="1429">
      <c r="A1429" s="48">
        <f>IF(Offerte!$A47="","",Offerte!$A47)</f>
        <v/>
      </c>
      <c r="B1429" s="48">
        <f>IF(Offerte!$A47="","",Offerte!$B47)</f>
        <v/>
      </c>
      <c r="C1429" s="48">
        <f>IF(Offerte!$A47="","",Offerte!$C47)</f>
        <v/>
      </c>
      <c r="D1429" s="48" t="inlineStr">
        <is>
          <t>G.4.1</t>
        </is>
      </c>
      <c r="E1429" s="48" t="inlineStr">
        <is>
          <t>G</t>
        </is>
      </c>
      <c r="F1429" s="48" t="inlineStr">
        <is>
          <t>D</t>
        </is>
      </c>
      <c r="G1429" s="48" t="inlineStr">
        <is>
          <t>discretionary</t>
        </is>
      </c>
      <c r="H1429" s="48" t="n">
        <v>2</v>
      </c>
      <c r="I1429" s="48" t="inlineStr">
        <is>
          <t>Qualità del piano di formazione del personale</t>
        </is>
      </c>
      <c r="J1429" s="73" t="n"/>
      <c r="K1429" s="73" t="n"/>
      <c r="L1429" s="73" t="n"/>
      <c r="M1429" s="73" t="n"/>
      <c r="N1429" s="57">
        <f>IF($A1429="","",MAX(0,MIN(1,IFERROR(VALUE($M1429),0))))</f>
        <v/>
      </c>
      <c r="O1429" s="57">
        <f>IF($A1429="",0,IF(OR($S1429&lt;&gt;1,COUNTA($J1429:$M1429)=0),0,IF(SUMPRODUCT(MAX(($C$5:$C$2484=$C1429)*($D$5:$D$2484=$D1429)*($S$5:$S$2484=1)*IFERROR($N$5:$N$2484*1,0)))&gt;0,ROUND($H1429*($N1429/SUMPRODUCT(MAX(($C$5:$C$2484=$C1429)*($D$5:$D$2484=$D1429)*($S$5:$S$2484=1)*IFERROR($N$5:$N$2484*1,0)))),4),0)))</f>
        <v/>
      </c>
      <c r="P1429" s="48" t="inlineStr">
        <is>
          <t>coeff.</t>
        </is>
      </c>
      <c r="Q1429" s="57">
        <f>IF($A1429="","",$A1429&amp;"|"&amp;$C1429)</f>
        <v/>
      </c>
      <c r="R1429" s="57">
        <f>IF($A1429="","",$A1429&amp;"|"&amp;$C1429&amp;"|"&amp;$D1429)</f>
        <v/>
      </c>
      <c r="S1429" s="57">
        <f>IF($A1429="","",IFERROR(INDEX(Offerte!$D$2:$D$81,MATCH($Q1429,Offerte!$L$2:$L$81,0)),0))</f>
        <v/>
      </c>
      <c r="T1429" s="57">
        <f>IF($A1429="","",IFERROR(INDEX(Offerte!$G$2:$G$81,MATCH($Q1429,Offerte!$L$2:$L$81,0)),"NO"))</f>
        <v/>
      </c>
    </row>
    <row r="1430">
      <c r="A1430" s="48">
        <f>IF(Offerte!$A47="","",Offerte!$A47)</f>
        <v/>
      </c>
      <c r="B1430" s="48">
        <f>IF(Offerte!$A47="","",Offerte!$B47)</f>
        <v/>
      </c>
      <c r="C1430" s="48">
        <f>IF(Offerte!$A47="","",Offerte!$C47)</f>
        <v/>
      </c>
      <c r="D1430" s="48" t="inlineStr">
        <is>
          <t>G.5.1</t>
        </is>
      </c>
      <c r="E1430" s="48" t="inlineStr">
        <is>
          <t>G</t>
        </is>
      </c>
      <c r="F1430" s="48" t="inlineStr">
        <is>
          <t>T</t>
        </is>
      </c>
      <c r="G1430" s="48" t="inlineStr">
        <is>
          <t>tabular</t>
        </is>
      </c>
      <c r="H1430" s="48" t="n">
        <v>1</v>
      </c>
      <c r="I1430" s="48" t="inlineStr">
        <is>
          <t>Impegno al mantenimento delle garanzie del contratto di secondo livello del gestore uscente</t>
        </is>
      </c>
      <c r="J1430" s="73" t="n"/>
      <c r="K1430" s="73" t="n"/>
      <c r="L1430" s="73" t="n"/>
      <c r="M1430" s="73" t="n"/>
      <c r="N1430" s="57">
        <f>IF($A1430="","",IF(IFERROR(VALUE($M1430),0)=1,1,0))</f>
        <v/>
      </c>
      <c r="O1430" s="57">
        <f>IF($A1430="",0,IF(OR($S1430&lt;&gt;1,COUNTA($J1430:$M1430)=0),0,IF($N1430=1,$H1430,0)))</f>
        <v/>
      </c>
      <c r="P1430" s="48" t="inlineStr">
        <is>
          <t>sì/no</t>
        </is>
      </c>
      <c r="Q1430" s="57">
        <f>IF($A1430="","",$A1430&amp;"|"&amp;$C1430)</f>
        <v/>
      </c>
      <c r="R1430" s="57">
        <f>IF($A1430="","",$A1430&amp;"|"&amp;$C1430&amp;"|"&amp;$D1430)</f>
        <v/>
      </c>
      <c r="S1430" s="57">
        <f>IF($A1430="","",IFERROR(INDEX(Offerte!$D$2:$D$81,MATCH($Q1430,Offerte!$L$2:$L$81,0)),0))</f>
        <v/>
      </c>
      <c r="T1430" s="57">
        <f>IF($A1430="","",IFERROR(INDEX(Offerte!$G$2:$G$81,MATCH($Q1430,Offerte!$L$2:$L$81,0)),"NO"))</f>
        <v/>
      </c>
    </row>
    <row r="1431">
      <c r="A1431" s="48">
        <f>IF(Offerte!$A48="","",Offerte!$A48)</f>
        <v/>
      </c>
      <c r="B1431" s="48">
        <f>IF(Offerte!$A48="","",Offerte!$B48)</f>
        <v/>
      </c>
      <c r="C1431" s="48">
        <f>IF(Offerte!$A48="","",Offerte!$C48)</f>
        <v/>
      </c>
      <c r="D1431" s="48" t="inlineStr">
        <is>
          <t>A.1.1</t>
        </is>
      </c>
      <c r="E1431" s="48" t="inlineStr">
        <is>
          <t>A</t>
        </is>
      </c>
      <c r="F1431" s="48" t="inlineStr">
        <is>
          <t>Q</t>
        </is>
      </c>
      <c r="G1431" s="48" t="inlineStr">
        <is>
          <t>higher</t>
        </is>
      </c>
      <c r="H1431" s="48" t="n">
        <v>3</v>
      </c>
      <c r="I1431" s="48" t="inlineStr">
        <is>
          <t>Tasso aggiuntivo di corse controllate</t>
        </is>
      </c>
      <c r="J1431" s="73" t="n"/>
      <c r="K1431" s="73" t="n"/>
      <c r="L1431" s="73" t="n"/>
      <c r="M1431" s="73" t="n"/>
      <c r="N1431" s="57">
        <f>IF($A1431="","",IFERROR(VALUE($K1431)/VALUE($L1431)*100,IFERROR(VALUE($J1431),0)))</f>
        <v/>
      </c>
      <c r="O1431" s="57">
        <f>IF($A1431="",0,IF(OR($S1431&lt;&gt;1,COUNTA($J1431:$M1431)=0),0,IF(SUMPRODUCT(MAX(($C$5:$C$2484=$C1431)*($D$5:$D$2484=$D1431)*($S$5:$S$2484=1)*IFERROR($N$5:$N$2484*1,0)))&gt;0,ROUND($H1431*($N1431/SUMPRODUCT(MAX(($C$5:$C$2484=$C1431)*($D$5:$D$2484=$D1431)*($S$5:$S$2484=1)*IFERROR($N$5:$N$2484*1,0)))),4),0)))</f>
        <v/>
      </c>
      <c r="P1431" s="48" t="inlineStr">
        <is>
          <t>Corse controllate annue / Corse programmate annue</t>
        </is>
      </c>
      <c r="Q1431" s="57">
        <f>IF($A1431="","",$A1431&amp;"|"&amp;$C1431)</f>
        <v/>
      </c>
      <c r="R1431" s="57">
        <f>IF($A1431="","",$A1431&amp;"|"&amp;$C1431&amp;"|"&amp;$D1431)</f>
        <v/>
      </c>
      <c r="S1431" s="57">
        <f>IF($A1431="","",IFERROR(INDEX(Offerte!$D$2:$D$81,MATCH($Q1431,Offerte!$L$2:$L$81,0)),0))</f>
        <v/>
      </c>
      <c r="T1431" s="57">
        <f>IF($A1431="","",IFERROR(INDEX(Offerte!$G$2:$G$81,MATCH($Q1431,Offerte!$L$2:$L$81,0)),"NO"))</f>
        <v/>
      </c>
    </row>
    <row r="1432">
      <c r="A1432" s="48">
        <f>IF(Offerte!$A48="","",Offerte!$A48)</f>
        <v/>
      </c>
      <c r="B1432" s="48">
        <f>IF(Offerte!$A48="","",Offerte!$B48)</f>
        <v/>
      </c>
      <c r="C1432" s="48">
        <f>IF(Offerte!$A48="","",Offerte!$C48)</f>
        <v/>
      </c>
      <c r="D1432" s="48" t="inlineStr">
        <is>
          <t>A.1.2</t>
        </is>
      </c>
      <c r="E1432" s="48" t="inlineStr">
        <is>
          <t>A</t>
        </is>
      </c>
      <c r="F1432" s="48" t="inlineStr">
        <is>
          <t>Q</t>
        </is>
      </c>
      <c r="G1432" s="48" t="inlineStr">
        <is>
          <t>higher</t>
        </is>
      </c>
      <c r="H1432" s="48" t="n">
        <v>4</v>
      </c>
      <c r="I1432" s="48" t="inlineStr">
        <is>
          <t>Numero aggiuntivo di passeggeri controllati</t>
        </is>
      </c>
      <c r="J1432" s="73" t="n"/>
      <c r="K1432" s="73" t="n"/>
      <c r="L1432" s="73" t="n"/>
      <c r="M1432" s="73" t="n"/>
      <c r="N1432" s="57">
        <f>IF($A1432="","",IFERROR(VALUE($J1432),0))</f>
        <v/>
      </c>
      <c r="O1432" s="57">
        <f>IF($A1432="",0,IF(OR($S1432&lt;&gt;1,COUNTA($J1432:$M1432)=0),0,IF(SUMPRODUCT(MAX(($C$5:$C$2484=$C1432)*($D$5:$D$2484=$D1432)*($S$5:$S$2484=1)*IFERROR($N$5:$N$2484*1,0)))&gt;0,ROUND($H1432*($N1432/SUMPRODUCT(MAX(($C$5:$C$2484=$C1432)*($D$5:$D$2484=$D1432)*($S$5:$S$2484=1)*IFERROR($N$5:$N$2484*1,0)))),4),0)))</f>
        <v/>
      </c>
      <c r="P1432" s="48" t="inlineStr">
        <is>
          <t>passeggeri/anno</t>
        </is>
      </c>
      <c r="Q1432" s="57">
        <f>IF($A1432="","",$A1432&amp;"|"&amp;$C1432)</f>
        <v/>
      </c>
      <c r="R1432" s="57">
        <f>IF($A1432="","",$A1432&amp;"|"&amp;$C1432&amp;"|"&amp;$D1432)</f>
        <v/>
      </c>
      <c r="S1432" s="57">
        <f>IF($A1432="","",IFERROR(INDEX(Offerte!$D$2:$D$81,MATCH($Q1432,Offerte!$L$2:$L$81,0)),0))</f>
        <v/>
      </c>
      <c r="T1432" s="57">
        <f>IF($A1432="","",IFERROR(INDEX(Offerte!$G$2:$G$81,MATCH($Q1432,Offerte!$L$2:$L$81,0)),"NO"))</f>
        <v/>
      </c>
    </row>
    <row r="1433">
      <c r="A1433" s="48">
        <f>IF(Offerte!$A48="","",Offerte!$A48)</f>
        <v/>
      </c>
      <c r="B1433" s="48">
        <f>IF(Offerte!$A48="","",Offerte!$B48)</f>
        <v/>
      </c>
      <c r="C1433" s="48">
        <f>IF(Offerte!$A48="","",Offerte!$C48)</f>
        <v/>
      </c>
      <c r="D1433" s="48" t="inlineStr">
        <is>
          <t>B.1.1</t>
        </is>
      </c>
      <c r="E1433" s="48" t="inlineStr">
        <is>
          <t>B</t>
        </is>
      </c>
      <c r="F1433" s="48" t="inlineStr">
        <is>
          <t>Q</t>
        </is>
      </c>
      <c r="G1433" s="48" t="inlineStr">
        <is>
          <t>higher</t>
        </is>
      </c>
      <c r="H1433" s="48" t="n">
        <v>3</v>
      </c>
      <c r="I1433" s="48" t="inlineStr">
        <is>
          <t>Incremento dei posti offerti nelle fasce di punta</t>
        </is>
      </c>
      <c r="J1433" s="73" t="n"/>
      <c r="K1433" s="73" t="n"/>
      <c r="L1433" s="73" t="n"/>
      <c r="M1433" s="73" t="n"/>
      <c r="N1433" s="57">
        <f>IF($A1433="","",IFERROR(VALUE($J1433),0))</f>
        <v/>
      </c>
      <c r="O1433" s="57">
        <f>IF($A1433="",0,IF(OR($S1433&lt;&gt;1,COUNTA($J1433:$M1433)=0),0,IF(SUMPRODUCT(MAX(($C$5:$C$2484=$C1433)*($D$5:$D$2484=$D1433)*($S$5:$S$2484=1)*IFERROR($N$5:$N$2484*1,0)))&gt;0,ROUND($H1433*($N1433/SUMPRODUCT(MAX(($C$5:$C$2484=$C1433)*($D$5:$D$2484=$D1433)*($S$5:$S$2484=1)*IFERROR($N$5:$N$2484*1,0)))),4),0)))</f>
        <v/>
      </c>
      <c r="P1433" s="48" t="inlineStr">
        <is>
          <t>posti*km</t>
        </is>
      </c>
      <c r="Q1433" s="57">
        <f>IF($A1433="","",$A1433&amp;"|"&amp;$C1433)</f>
        <v/>
      </c>
      <c r="R1433" s="57">
        <f>IF($A1433="","",$A1433&amp;"|"&amp;$C1433&amp;"|"&amp;$D1433)</f>
        <v/>
      </c>
      <c r="S1433" s="57">
        <f>IF($A1433="","",IFERROR(INDEX(Offerte!$D$2:$D$81,MATCH($Q1433,Offerte!$L$2:$L$81,0)),0))</f>
        <v/>
      </c>
      <c r="T1433" s="57">
        <f>IF($A1433="","",IFERROR(INDEX(Offerte!$G$2:$G$81,MATCH($Q1433,Offerte!$L$2:$L$81,0)),"NO"))</f>
        <v/>
      </c>
    </row>
    <row r="1434">
      <c r="A1434" s="48">
        <f>IF(Offerte!$A48="","",Offerte!$A48)</f>
        <v/>
      </c>
      <c r="B1434" s="48">
        <f>IF(Offerte!$A48="","",Offerte!$B48)</f>
        <v/>
      </c>
      <c r="C1434" s="48">
        <f>IF(Offerte!$A48="","",Offerte!$C48)</f>
        <v/>
      </c>
      <c r="D1434" s="48" t="inlineStr">
        <is>
          <t>B.2.1</t>
        </is>
      </c>
      <c r="E1434" s="48" t="inlineStr">
        <is>
          <t>B</t>
        </is>
      </c>
      <c r="F1434" s="48" t="inlineStr">
        <is>
          <t>Q</t>
        </is>
      </c>
      <c r="G1434" s="48" t="inlineStr">
        <is>
          <t>higher</t>
        </is>
      </c>
      <c r="H1434" s="48" t="n">
        <v>4</v>
      </c>
      <c r="I1434" s="48" t="inlineStr">
        <is>
          <t>Corse aggiuntive nell'arco giornaliero base</t>
        </is>
      </c>
      <c r="J1434" s="73" t="n"/>
      <c r="K1434" s="73" t="n"/>
      <c r="L1434" s="73" t="n"/>
      <c r="M1434" s="73" t="n"/>
      <c r="N1434" s="57">
        <f>IF($A1434="","",IFERROR(VALUE($J1434),0))</f>
        <v/>
      </c>
      <c r="O1434" s="57">
        <f>IF($A1434="",0,IF(OR($S1434&lt;&gt;1,COUNTA($J1434:$M1434)=0),0,IF(SUMPRODUCT(MAX(($C$5:$C$2484=$C1434)*($D$5:$D$2484=$D1434)*($S$5:$S$2484=1)*IFERROR($N$5:$N$2484*1,0)))&gt;0,ROUND($H1434*($N1434/SUMPRODUCT(MAX(($C$5:$C$2484=$C1434)*($D$5:$D$2484=$D1434)*($S$5:$S$2484=1)*IFERROR($N$5:$N$2484*1,0)))),4),0)))</f>
        <v/>
      </c>
      <c r="P1434" s="48" t="inlineStr">
        <is>
          <t>corse</t>
        </is>
      </c>
      <c r="Q1434" s="57">
        <f>IF($A1434="","",$A1434&amp;"|"&amp;$C1434)</f>
        <v/>
      </c>
      <c r="R1434" s="57">
        <f>IF($A1434="","",$A1434&amp;"|"&amp;$C1434&amp;"|"&amp;$D1434)</f>
        <v/>
      </c>
      <c r="S1434" s="57">
        <f>IF($A1434="","",IFERROR(INDEX(Offerte!$D$2:$D$81,MATCH($Q1434,Offerte!$L$2:$L$81,0)),0))</f>
        <v/>
      </c>
      <c r="T1434" s="57">
        <f>IF($A1434="","",IFERROR(INDEX(Offerte!$G$2:$G$81,MATCH($Q1434,Offerte!$L$2:$L$81,0)),"NO"))</f>
        <v/>
      </c>
    </row>
    <row r="1435">
      <c r="A1435" s="48">
        <f>IF(Offerte!$A48="","",Offerte!$A48)</f>
        <v/>
      </c>
      <c r="B1435" s="48">
        <f>IF(Offerte!$A48="","",Offerte!$B48)</f>
        <v/>
      </c>
      <c r="C1435" s="48">
        <f>IF(Offerte!$A48="","",Offerte!$C48)</f>
        <v/>
      </c>
      <c r="D1435" s="48" t="inlineStr">
        <is>
          <t>B.3.1</t>
        </is>
      </c>
      <c r="E1435" s="48" t="inlineStr">
        <is>
          <t>B</t>
        </is>
      </c>
      <c r="F1435" s="48" t="inlineStr">
        <is>
          <t>Q</t>
        </is>
      </c>
      <c r="G1435" s="48" t="inlineStr">
        <is>
          <t>higher</t>
        </is>
      </c>
      <c r="H1435" s="48" t="n">
        <v>2</v>
      </c>
      <c r="I1435" s="48" t="inlineStr">
        <is>
          <t>Numero di corse aggiuntive per allungamento dell'arco di servizio giornaliero nelle fasce serali</t>
        </is>
      </c>
      <c r="J1435" s="73" t="n"/>
      <c r="K1435" s="73" t="n"/>
      <c r="L1435" s="73" t="n"/>
      <c r="M1435" s="73" t="n"/>
      <c r="N1435" s="57">
        <f>IF($A1435="","",IFERROR(VALUE($J1435),0))</f>
        <v/>
      </c>
      <c r="O1435" s="57">
        <f>IF($A1435="",0,IF(OR($S1435&lt;&gt;1,COUNTA($J1435:$M1435)=0),0,IF(SUMPRODUCT(MAX(($C$5:$C$2484=$C1435)*($D$5:$D$2484=$D1435)*($S$5:$S$2484=1)*IFERROR($N$5:$N$2484*1,0)))&gt;0,ROUND($H1435*($N1435/SUMPRODUCT(MAX(($C$5:$C$2484=$C1435)*($D$5:$D$2484=$D1435)*($S$5:$S$2484=1)*IFERROR($N$5:$N$2484*1,0)))),4),0)))</f>
        <v/>
      </c>
      <c r="P1435" s="48" t="inlineStr">
        <is>
          <t>corse</t>
        </is>
      </c>
      <c r="Q1435" s="57">
        <f>IF($A1435="","",$A1435&amp;"|"&amp;$C1435)</f>
        <v/>
      </c>
      <c r="R1435" s="57">
        <f>IF($A1435="","",$A1435&amp;"|"&amp;$C1435&amp;"|"&amp;$D1435)</f>
        <v/>
      </c>
      <c r="S1435" s="57">
        <f>IF($A1435="","",IFERROR(INDEX(Offerte!$D$2:$D$81,MATCH($Q1435,Offerte!$L$2:$L$81,0)),0))</f>
        <v/>
      </c>
      <c r="T1435" s="57">
        <f>IF($A1435="","",IFERROR(INDEX(Offerte!$G$2:$G$81,MATCH($Q1435,Offerte!$L$2:$L$81,0)),"NO"))</f>
        <v/>
      </c>
    </row>
    <row r="1436">
      <c r="A1436" s="48">
        <f>IF(Offerte!$A48="","",Offerte!$A48)</f>
        <v/>
      </c>
      <c r="B1436" s="48">
        <f>IF(Offerte!$A48="","",Offerte!$B48)</f>
        <v/>
      </c>
      <c r="C1436" s="48">
        <f>IF(Offerte!$A48="","",Offerte!$C48)</f>
        <v/>
      </c>
      <c r="D1436" s="48" t="inlineStr">
        <is>
          <t>B.4.1</t>
        </is>
      </c>
      <c r="E1436" s="48" t="inlineStr">
        <is>
          <t>B</t>
        </is>
      </c>
      <c r="F1436" s="48" t="inlineStr">
        <is>
          <t>Q</t>
        </is>
      </c>
      <c r="G1436" s="48" t="inlineStr">
        <is>
          <t>higher</t>
        </is>
      </c>
      <c r="H1436" s="48" t="n">
        <v>3</v>
      </c>
      <c r="I1436" s="48" t="inlineStr">
        <is>
          <t>Percorrenze aggiuntive offerte nel Programma d'esercizio delle prime due fasi attuative</t>
        </is>
      </c>
      <c r="J1436" s="73" t="n"/>
      <c r="K1436" s="73" t="n"/>
      <c r="L1436" s="73" t="n"/>
      <c r="M1436" s="73" t="n"/>
      <c r="N1436" s="57">
        <f>IF($A1436="","",IFERROR(VALUE($J1436),0))</f>
        <v/>
      </c>
      <c r="O1436" s="57">
        <f>IF($A1436="",0,IF(OR($S1436&lt;&gt;1,COUNTA($J1436:$M1436)=0),0,IF(SUMPRODUCT(MAX(($C$5:$C$2484=$C1436)*($D$5:$D$2484=$D1436)*($S$5:$S$2484=1)*IFERROR($N$5:$N$2484*1,0)))&gt;0,ROUND($H1436*($N1436/SUMPRODUCT(MAX(($C$5:$C$2484=$C1436)*($D$5:$D$2484=$D1436)*($S$5:$S$2484=1)*IFERROR($N$5:$N$2484*1,0)))),4),0)))</f>
        <v/>
      </c>
      <c r="P1436" s="48" t="inlineStr">
        <is>
          <t>vett*km</t>
        </is>
      </c>
      <c r="Q1436" s="57">
        <f>IF($A1436="","",$A1436&amp;"|"&amp;$C1436)</f>
        <v/>
      </c>
      <c r="R1436" s="57">
        <f>IF($A1436="","",$A1436&amp;"|"&amp;$C1436&amp;"|"&amp;$D1436)</f>
        <v/>
      </c>
      <c r="S1436" s="57">
        <f>IF($A1436="","",IFERROR(INDEX(Offerte!$D$2:$D$81,MATCH($Q1436,Offerte!$L$2:$L$81,0)),0))</f>
        <v/>
      </c>
      <c r="T1436" s="57">
        <f>IF($A1436="","",IFERROR(INDEX(Offerte!$G$2:$G$81,MATCH($Q1436,Offerte!$L$2:$L$81,0)),"NO"))</f>
        <v/>
      </c>
    </row>
    <row r="1437">
      <c r="A1437" s="48">
        <f>IF(Offerte!$A48="","",Offerte!$A48)</f>
        <v/>
      </c>
      <c r="B1437" s="48">
        <f>IF(Offerte!$A48="","",Offerte!$B48)</f>
        <v/>
      </c>
      <c r="C1437" s="48">
        <f>IF(Offerte!$A48="","",Offerte!$C48)</f>
        <v/>
      </c>
      <c r="D1437" s="48" t="inlineStr">
        <is>
          <t>B.5.1</t>
        </is>
      </c>
      <c r="E1437" s="48" t="inlineStr">
        <is>
          <t>B</t>
        </is>
      </c>
      <c r="F1437" s="48" t="inlineStr">
        <is>
          <t>D</t>
        </is>
      </c>
      <c r="G1437" s="48" t="inlineStr">
        <is>
          <t>discretionary</t>
        </is>
      </c>
      <c r="H1437" s="48" t="n">
        <v>2</v>
      </c>
      <c r="I1437" s="48" t="inlineStr">
        <is>
          <t>Efficacia del progetto di servizi complementari DRT</t>
        </is>
      </c>
      <c r="J1437" s="73" t="n"/>
      <c r="K1437" s="73" t="n"/>
      <c r="L1437" s="73" t="n"/>
      <c r="M1437" s="73" t="n"/>
      <c r="N1437" s="57">
        <f>IF($A1437="","",MAX(0,MIN(1,IFERROR(VALUE($M1437),0))))</f>
        <v/>
      </c>
      <c r="O1437" s="57">
        <f>IF($A1437="",0,IF(OR($S1437&lt;&gt;1,COUNTA($J1437:$M1437)=0),0,IF(SUMPRODUCT(MAX(($C$5:$C$2484=$C1437)*($D$5:$D$2484=$D1437)*($S$5:$S$2484=1)*IFERROR($N$5:$N$2484*1,0)))&gt;0,ROUND($H1437*($N1437/SUMPRODUCT(MAX(($C$5:$C$2484=$C1437)*($D$5:$D$2484=$D1437)*($S$5:$S$2484=1)*IFERROR($N$5:$N$2484*1,0)))),4),0)))</f>
        <v/>
      </c>
      <c r="P1437" s="48" t="inlineStr">
        <is>
          <t>coeff.</t>
        </is>
      </c>
      <c r="Q1437" s="57">
        <f>IF($A1437="","",$A1437&amp;"|"&amp;$C1437)</f>
        <v/>
      </c>
      <c r="R1437" s="57">
        <f>IF($A1437="","",$A1437&amp;"|"&amp;$C1437&amp;"|"&amp;$D1437)</f>
        <v/>
      </c>
      <c r="S1437" s="57">
        <f>IF($A1437="","",IFERROR(INDEX(Offerte!$D$2:$D$81,MATCH($Q1437,Offerte!$L$2:$L$81,0)),0))</f>
        <v/>
      </c>
      <c r="T1437" s="57">
        <f>IF($A1437="","",IFERROR(INDEX(Offerte!$G$2:$G$81,MATCH($Q1437,Offerte!$L$2:$L$81,0)),"NO"))</f>
        <v/>
      </c>
    </row>
    <row r="1438">
      <c r="A1438" s="48">
        <f>IF(Offerte!$A48="","",Offerte!$A48)</f>
        <v/>
      </c>
      <c r="B1438" s="48">
        <f>IF(Offerte!$A48="","",Offerte!$B48)</f>
        <v/>
      </c>
      <c r="C1438" s="48">
        <f>IF(Offerte!$A48="","",Offerte!$C48)</f>
        <v/>
      </c>
      <c r="D1438" s="48" t="inlineStr">
        <is>
          <t>C.1.1</t>
        </is>
      </c>
      <c r="E1438" s="48" t="inlineStr">
        <is>
          <t>C</t>
        </is>
      </c>
      <c r="F1438" s="48" t="inlineStr">
        <is>
          <t>Q</t>
        </is>
      </c>
      <c r="G1438" s="48" t="inlineStr">
        <is>
          <t>higher</t>
        </is>
      </c>
      <c r="H1438" s="48" t="n">
        <v>2</v>
      </c>
      <c r="I1438" s="48" t="inlineStr">
        <is>
          <t>Tasso di copertura del servizio con telecamere BSD</t>
        </is>
      </c>
      <c r="J1438" s="73" t="n"/>
      <c r="K1438" s="73" t="n"/>
      <c r="L1438" s="73" t="n"/>
      <c r="M1438" s="73" t="n"/>
      <c r="N1438" s="57">
        <f>IF($A1438="","",IFERROR(VALUE($K1438)/VALUE($L1438),IFERROR(VALUE($J1438),0)))</f>
        <v/>
      </c>
      <c r="O1438" s="57">
        <f>IF($A1438="",0,IF(OR($S1438&lt;&gt;1,COUNTA($J1438:$M1438)=0),0,IF(SUMPRODUCT(MAX(($C$5:$C$2484=$C1438)*($D$5:$D$2484=$D1438)*($S$5:$S$2484=1)*IFERROR($N$5:$N$2484*1,0)))&gt;0,ROUND($H1438*($N1438/SUMPRODUCT(MAX(($C$5:$C$2484=$C1438)*($D$5:$D$2484=$D1438)*($S$5:$S$2484=1)*IFERROR($N$5:$N$2484*1,0)))),4),0)))</f>
        <v/>
      </c>
      <c r="P1438" s="48" t="inlineStr">
        <is>
          <t>Autobus attrezzati con telecamere BSD / Autobus totali in offerta, incluse scorte</t>
        </is>
      </c>
      <c r="Q1438" s="57">
        <f>IF($A1438="","",$A1438&amp;"|"&amp;$C1438)</f>
        <v/>
      </c>
      <c r="R1438" s="57">
        <f>IF($A1438="","",$A1438&amp;"|"&amp;$C1438&amp;"|"&amp;$D1438)</f>
        <v/>
      </c>
      <c r="S1438" s="57">
        <f>IF($A1438="","",IFERROR(INDEX(Offerte!$D$2:$D$81,MATCH($Q1438,Offerte!$L$2:$L$81,0)),0))</f>
        <v/>
      </c>
      <c r="T1438" s="57">
        <f>IF($A1438="","",IFERROR(INDEX(Offerte!$G$2:$G$81,MATCH($Q1438,Offerte!$L$2:$L$81,0)),"NO"))</f>
        <v/>
      </c>
    </row>
    <row r="1439">
      <c r="A1439" s="48">
        <f>IF(Offerte!$A48="","",Offerte!$A48)</f>
        <v/>
      </c>
      <c r="B1439" s="48">
        <f>IF(Offerte!$A48="","",Offerte!$B48)</f>
        <v/>
      </c>
      <c r="C1439" s="48">
        <f>IF(Offerte!$A48="","",Offerte!$C48)</f>
        <v/>
      </c>
      <c r="D1439" s="48" t="inlineStr">
        <is>
          <t>C.1.2</t>
        </is>
      </c>
      <c r="E1439" s="48" t="inlineStr">
        <is>
          <t>C</t>
        </is>
      </c>
      <c r="F1439" s="48" t="inlineStr">
        <is>
          <t>Q</t>
        </is>
      </c>
      <c r="G1439" s="48" t="inlineStr">
        <is>
          <t>higher</t>
        </is>
      </c>
      <c r="H1439" s="48" t="n">
        <v>2</v>
      </c>
      <c r="I1439" s="48" t="inlineStr">
        <is>
          <t>Tasso di copertura del servizio con telecamere ADAS</t>
        </is>
      </c>
      <c r="J1439" s="73" t="n"/>
      <c r="K1439" s="73" t="n"/>
      <c r="L1439" s="73" t="n"/>
      <c r="M1439" s="73" t="n"/>
      <c r="N1439" s="57">
        <f>IF($A1439="","",IFERROR(VALUE($K1439)/VALUE($L1439),IFERROR(VALUE($J1439),0)))</f>
        <v/>
      </c>
      <c r="O1439" s="57">
        <f>IF($A1439="",0,IF(OR($S1439&lt;&gt;1,COUNTA($J1439:$M1439)=0),0,IF(SUMPRODUCT(MAX(($C$5:$C$2484=$C1439)*($D$5:$D$2484=$D1439)*($S$5:$S$2484=1)*IFERROR($N$5:$N$2484*1,0)))&gt;0,ROUND($H1439*($N1439/SUMPRODUCT(MAX(($C$5:$C$2484=$C1439)*($D$5:$D$2484=$D1439)*($S$5:$S$2484=1)*IFERROR($N$5:$N$2484*1,0)))),4),0)))</f>
        <v/>
      </c>
      <c r="P1439" s="48" t="inlineStr">
        <is>
          <t>Autobus attrezzati con telecamere ADAS / Autobus totali in offerta, incluse scorte</t>
        </is>
      </c>
      <c r="Q1439" s="57">
        <f>IF($A1439="","",$A1439&amp;"|"&amp;$C1439)</f>
        <v/>
      </c>
      <c r="R1439" s="57">
        <f>IF($A1439="","",$A1439&amp;"|"&amp;$C1439&amp;"|"&amp;$D1439)</f>
        <v/>
      </c>
      <c r="S1439" s="57">
        <f>IF($A1439="","",IFERROR(INDEX(Offerte!$D$2:$D$81,MATCH($Q1439,Offerte!$L$2:$L$81,0)),0))</f>
        <v/>
      </c>
      <c r="T1439" s="57">
        <f>IF($A1439="","",IFERROR(INDEX(Offerte!$G$2:$G$81,MATCH($Q1439,Offerte!$L$2:$L$81,0)),"NO"))</f>
        <v/>
      </c>
    </row>
    <row r="1440">
      <c r="A1440" s="48">
        <f>IF(Offerte!$A48="","",Offerte!$A48)</f>
        <v/>
      </c>
      <c r="B1440" s="48">
        <f>IF(Offerte!$A48="","",Offerte!$B48)</f>
        <v/>
      </c>
      <c r="C1440" s="48">
        <f>IF(Offerte!$A48="","",Offerte!$C48)</f>
        <v/>
      </c>
      <c r="D1440" s="48" t="inlineStr">
        <is>
          <t>C.2.1</t>
        </is>
      </c>
      <c r="E1440" s="48" t="inlineStr">
        <is>
          <t>C</t>
        </is>
      </c>
      <c r="F1440" s="48" t="inlineStr">
        <is>
          <t>Q</t>
        </is>
      </c>
      <c r="G1440" s="48" t="inlineStr">
        <is>
          <t>higher</t>
        </is>
      </c>
      <c r="H1440" s="48" t="n">
        <v>3</v>
      </c>
      <c r="I1440" s="48" t="inlineStr">
        <is>
          <t>Tasso di copertura del servizio con telecamere di bordo di videosorveglianza</t>
        </is>
      </c>
      <c r="J1440" s="73" t="n"/>
      <c r="K1440" s="73" t="n"/>
      <c r="L1440" s="73" t="n"/>
      <c r="M1440" s="73" t="n"/>
      <c r="N1440" s="57">
        <f>IF($A1440="","",IFERROR(VALUE($K1440)/VALUE($L1440),IFERROR(VALUE($J1440),0)))</f>
        <v/>
      </c>
      <c r="O1440" s="57">
        <f>IF($A1440="",0,IF(OR($S1440&lt;&gt;1,COUNTA($J1440:$M1440)=0),0,IF(SUMPRODUCT(MAX(($C$5:$C$2484=$C1440)*($D$5:$D$2484=$D1440)*($S$5:$S$2484=1)*IFERROR($N$5:$N$2484*1,0)))&gt;0,ROUND($H1440*($N1440/SUMPRODUCT(MAX(($C$5:$C$2484=$C1440)*($D$5:$D$2484=$D1440)*($S$5:$S$2484=1)*IFERROR($N$5:$N$2484*1,0)))),4),0)))</f>
        <v/>
      </c>
      <c r="P1440" s="48" t="inlineStr">
        <is>
          <t>Autobus attrezzati con videosorveglianza / Autobus totali in offerta, incluse scorte</t>
        </is>
      </c>
      <c r="Q1440" s="57">
        <f>IF($A1440="","",$A1440&amp;"|"&amp;$C1440)</f>
        <v/>
      </c>
      <c r="R1440" s="57">
        <f>IF($A1440="","",$A1440&amp;"|"&amp;$C1440&amp;"|"&amp;$D1440)</f>
        <v/>
      </c>
      <c r="S1440" s="57">
        <f>IF($A1440="","",IFERROR(INDEX(Offerte!$D$2:$D$81,MATCH($Q1440,Offerte!$L$2:$L$81,0)),0))</f>
        <v/>
      </c>
      <c r="T1440" s="57">
        <f>IF($A1440="","",IFERROR(INDEX(Offerte!$G$2:$G$81,MATCH($Q1440,Offerte!$L$2:$L$81,0)),"NO"))</f>
        <v/>
      </c>
    </row>
    <row r="1441">
      <c r="A1441" s="48">
        <f>IF(Offerte!$A48="","",Offerte!$A48)</f>
        <v/>
      </c>
      <c r="B1441" s="48">
        <f>IF(Offerte!$A48="","",Offerte!$B48)</f>
        <v/>
      </c>
      <c r="C1441" s="48">
        <f>IF(Offerte!$A48="","",Offerte!$C48)</f>
        <v/>
      </c>
      <c r="D1441" s="48" t="inlineStr">
        <is>
          <t>C.2.2</t>
        </is>
      </c>
      <c r="E1441" s="48" t="inlineStr">
        <is>
          <t>C</t>
        </is>
      </c>
      <c r="F1441" s="48" t="inlineStr">
        <is>
          <t>T</t>
        </is>
      </c>
      <c r="G1441" s="48" t="inlineStr">
        <is>
          <t>tabular</t>
        </is>
      </c>
      <c r="H1441" s="48" t="n">
        <v>1</v>
      </c>
      <c r="I1441" s="48" t="inlineStr">
        <is>
          <t>Software video/audio analisi per situazioni di pericolo</t>
        </is>
      </c>
      <c r="J1441" s="73" t="n"/>
      <c r="K1441" s="73" t="n"/>
      <c r="L1441" s="73" t="n"/>
      <c r="M1441" s="73" t="n"/>
      <c r="N1441" s="57">
        <f>IF($A1441="","",IF(IFERROR(VALUE($M1441),0)=1,1,0))</f>
        <v/>
      </c>
      <c r="O1441" s="57">
        <f>IF($A1441="",0,IF(OR($S1441&lt;&gt;1,COUNTA($J1441:$M1441)=0),0,IF($N1441=1,$H1441,0)))</f>
        <v/>
      </c>
      <c r="P1441" s="48" t="inlineStr">
        <is>
          <t>sì/no</t>
        </is>
      </c>
      <c r="Q1441" s="57">
        <f>IF($A1441="","",$A1441&amp;"|"&amp;$C1441)</f>
        <v/>
      </c>
      <c r="R1441" s="57">
        <f>IF($A1441="","",$A1441&amp;"|"&amp;$C1441&amp;"|"&amp;$D1441)</f>
        <v/>
      </c>
      <c r="S1441" s="57">
        <f>IF($A1441="","",IFERROR(INDEX(Offerte!$D$2:$D$81,MATCH($Q1441,Offerte!$L$2:$L$81,0)),0))</f>
        <v/>
      </c>
      <c r="T1441" s="57">
        <f>IF($A1441="","",IFERROR(INDEX(Offerte!$G$2:$G$81,MATCH($Q1441,Offerte!$L$2:$L$81,0)),"NO"))</f>
        <v/>
      </c>
    </row>
    <row r="1442">
      <c r="A1442" s="48">
        <f>IF(Offerte!$A48="","",Offerte!$A48)</f>
        <v/>
      </c>
      <c r="B1442" s="48">
        <f>IF(Offerte!$A48="","",Offerte!$B48)</f>
        <v/>
      </c>
      <c r="C1442" s="48">
        <f>IF(Offerte!$A48="","",Offerte!$C48)</f>
        <v/>
      </c>
      <c r="D1442" s="48" t="inlineStr">
        <is>
          <t>C.2.3</t>
        </is>
      </c>
      <c r="E1442" s="48" t="inlineStr">
        <is>
          <t>C</t>
        </is>
      </c>
      <c r="F1442" s="48" t="inlineStr">
        <is>
          <t>T</t>
        </is>
      </c>
      <c r="G1442" s="48" t="inlineStr">
        <is>
          <t>tabular</t>
        </is>
      </c>
      <c r="H1442" s="48" t="n">
        <v>1</v>
      </c>
      <c r="I1442" s="48" t="inlineStr">
        <is>
          <t>Collegamento con centrale qualificata di pronto intervento</t>
        </is>
      </c>
      <c r="J1442" s="73" t="n"/>
      <c r="K1442" s="73" t="n"/>
      <c r="L1442" s="73" t="n"/>
      <c r="M1442" s="73" t="n"/>
      <c r="N1442" s="57">
        <f>IF($A1442="","",IF(IFERROR(VALUE($M1442),0)=1,1,0))</f>
        <v/>
      </c>
      <c r="O1442" s="57">
        <f>IF($A1442="",0,IF(OR($S1442&lt;&gt;1,COUNTA($J1442:$M1442)=0),0,IF($N1442=1,$H1442,0)))</f>
        <v/>
      </c>
      <c r="P1442" s="48" t="inlineStr">
        <is>
          <t>sì/no</t>
        </is>
      </c>
      <c r="Q1442" s="57">
        <f>IF($A1442="","",$A1442&amp;"|"&amp;$C1442)</f>
        <v/>
      </c>
      <c r="R1442" s="57">
        <f>IF($A1442="","",$A1442&amp;"|"&amp;$C1442&amp;"|"&amp;$D1442)</f>
        <v/>
      </c>
      <c r="S1442" s="57">
        <f>IF($A1442="","",IFERROR(INDEX(Offerte!$D$2:$D$81,MATCH($Q1442,Offerte!$L$2:$L$81,0)),0))</f>
        <v/>
      </c>
      <c r="T1442" s="57">
        <f>IF($A1442="","",IFERROR(INDEX(Offerte!$G$2:$G$81,MATCH($Q1442,Offerte!$L$2:$L$81,0)),"NO"))</f>
        <v/>
      </c>
    </row>
    <row r="1443">
      <c r="A1443" s="48">
        <f>IF(Offerte!$A48="","",Offerte!$A48)</f>
        <v/>
      </c>
      <c r="B1443" s="48">
        <f>IF(Offerte!$A48="","",Offerte!$B48)</f>
        <v/>
      </c>
      <c r="C1443" s="48">
        <f>IF(Offerte!$A48="","",Offerte!$C48)</f>
        <v/>
      </c>
      <c r="D1443" s="48" t="inlineStr">
        <is>
          <t>C.2.4</t>
        </is>
      </c>
      <c r="E1443" s="48" t="inlineStr">
        <is>
          <t>C</t>
        </is>
      </c>
      <c r="F1443" s="48" t="inlineStr">
        <is>
          <t>Q</t>
        </is>
      </c>
      <c r="G1443" s="48" t="inlineStr">
        <is>
          <t>higher</t>
        </is>
      </c>
      <c r="H1443" s="48" t="n">
        <v>1</v>
      </c>
      <c r="I1443" s="48" t="inlineStr">
        <is>
          <t>Tasso di copertura del servizio con dispositivi per la chiamata di emergenza del conducente</t>
        </is>
      </c>
      <c r="J1443" s="73" t="n"/>
      <c r="K1443" s="73" t="n"/>
      <c r="L1443" s="73" t="n"/>
      <c r="M1443" s="73" t="n"/>
      <c r="N1443" s="57">
        <f>IF($A1443="","",IFERROR(VALUE($K1443)/VALUE($L1443),IFERROR(VALUE($J1443),0)))</f>
        <v/>
      </c>
      <c r="O1443" s="57">
        <f>IF($A1443="",0,IF(OR($S1443&lt;&gt;1,COUNTA($J1443:$M1443)=0),0,IF(SUMPRODUCT(MAX(($C$5:$C$2484=$C1443)*($D$5:$D$2484=$D1443)*($S$5:$S$2484=1)*IFERROR($N$5:$N$2484*1,0)))&gt;0,ROUND($H1443*($N1443/SUMPRODUCT(MAX(($C$5:$C$2484=$C1443)*($D$5:$D$2484=$D1443)*($S$5:$S$2484=1)*IFERROR($N$5:$N$2484*1,0)))),4),0)))</f>
        <v/>
      </c>
      <c r="P1443" s="48" t="inlineStr">
        <is>
          <t>Autobus attrezzati con chiamata di emergenza / Autobus totali in offerta, incluse scorte</t>
        </is>
      </c>
      <c r="Q1443" s="57">
        <f>IF($A1443="","",$A1443&amp;"|"&amp;$C1443)</f>
        <v/>
      </c>
      <c r="R1443" s="57">
        <f>IF($A1443="","",$A1443&amp;"|"&amp;$C1443&amp;"|"&amp;$D1443)</f>
        <v/>
      </c>
      <c r="S1443" s="57">
        <f>IF($A1443="","",IFERROR(INDEX(Offerte!$D$2:$D$81,MATCH($Q1443,Offerte!$L$2:$L$81,0)),0))</f>
        <v/>
      </c>
      <c r="T1443" s="57">
        <f>IF($A1443="","",IFERROR(INDEX(Offerte!$G$2:$G$81,MATCH($Q1443,Offerte!$L$2:$L$81,0)),"NO"))</f>
        <v/>
      </c>
    </row>
    <row r="1444">
      <c r="A1444" s="48">
        <f>IF(Offerte!$A48="","",Offerte!$A48)</f>
        <v/>
      </c>
      <c r="B1444" s="48">
        <f>IF(Offerte!$A48="","",Offerte!$B48)</f>
        <v/>
      </c>
      <c r="C1444" s="48">
        <f>IF(Offerte!$A48="","",Offerte!$C48)</f>
        <v/>
      </c>
      <c r="D1444" s="48" t="inlineStr">
        <is>
          <t>C.3.1</t>
        </is>
      </c>
      <c r="E1444" s="48" t="inlineStr">
        <is>
          <t>C</t>
        </is>
      </c>
      <c r="F1444" s="48" t="inlineStr">
        <is>
          <t>Q</t>
        </is>
      </c>
      <c r="G1444" s="48" t="inlineStr">
        <is>
          <t>higher</t>
        </is>
      </c>
      <c r="H1444" s="48" t="n">
        <v>2</v>
      </c>
      <c r="I1444" s="48" t="inlineStr">
        <is>
          <t>Tasso di copertura del servizio con dispositivi di informazione dinamica a bordo mezzo</t>
        </is>
      </c>
      <c r="J1444" s="73" t="n"/>
      <c r="K1444" s="73" t="n"/>
      <c r="L1444" s="73" t="n"/>
      <c r="M1444" s="73" t="n"/>
      <c r="N1444" s="57">
        <f>IF($A1444="","",IFERROR(VALUE($K1444)/VALUE($L1444),IFERROR(VALUE($J1444),0)))</f>
        <v/>
      </c>
      <c r="O1444" s="57">
        <f>IF($A1444="",0,IF(OR($S1444&lt;&gt;1,COUNTA($J1444:$M1444)=0),0,IF(SUMPRODUCT(MAX(($C$5:$C$2484=$C1444)*($D$5:$D$2484=$D1444)*($S$5:$S$2484=1)*IFERROR($N$5:$N$2484*1,0)))&gt;0,ROUND($H1444*($N1444/SUMPRODUCT(MAX(($C$5:$C$2484=$C1444)*($D$5:$D$2484=$D1444)*($S$5:$S$2484=1)*IFERROR($N$5:$N$2484*1,0)))),4),0)))</f>
        <v/>
      </c>
      <c r="P1444" s="48" t="inlineStr">
        <is>
          <t>Autobus con monitor e indicatori vocali / Autobus totali in offerta, incluse scorte</t>
        </is>
      </c>
      <c r="Q1444" s="57">
        <f>IF($A1444="","",$A1444&amp;"|"&amp;$C1444)</f>
        <v/>
      </c>
      <c r="R1444" s="57">
        <f>IF($A1444="","",$A1444&amp;"|"&amp;$C1444&amp;"|"&amp;$D1444)</f>
        <v/>
      </c>
      <c r="S1444" s="57">
        <f>IF($A1444="","",IFERROR(INDEX(Offerte!$D$2:$D$81,MATCH($Q1444,Offerte!$L$2:$L$81,0)),0))</f>
        <v/>
      </c>
      <c r="T1444" s="57">
        <f>IF($A1444="","",IFERROR(INDEX(Offerte!$G$2:$G$81,MATCH($Q1444,Offerte!$L$2:$L$81,0)),"NO"))</f>
        <v/>
      </c>
    </row>
    <row r="1445">
      <c r="A1445" s="48">
        <f>IF(Offerte!$A48="","",Offerte!$A48)</f>
        <v/>
      </c>
      <c r="B1445" s="48">
        <f>IF(Offerte!$A48="","",Offerte!$B48)</f>
        <v/>
      </c>
      <c r="C1445" s="48">
        <f>IF(Offerte!$A48="","",Offerte!$C48)</f>
        <v/>
      </c>
      <c r="D1445" s="48" t="inlineStr">
        <is>
          <t>C.3.2</t>
        </is>
      </c>
      <c r="E1445" s="48" t="inlineStr">
        <is>
          <t>C</t>
        </is>
      </c>
      <c r="F1445" s="48" t="inlineStr">
        <is>
          <t>T</t>
        </is>
      </c>
      <c r="G1445" s="48" t="inlineStr">
        <is>
          <t>tabular</t>
        </is>
      </c>
      <c r="H1445" s="48" t="n">
        <v>2</v>
      </c>
      <c r="I1445" s="48" t="inlineStr">
        <is>
          <t>Informazioni a bordo su coincidenze ai nodi</t>
        </is>
      </c>
      <c r="J1445" s="73" t="n"/>
      <c r="K1445" s="73" t="n"/>
      <c r="L1445" s="73" t="n"/>
      <c r="M1445" s="73" t="n"/>
      <c r="N1445" s="57">
        <f>IF($A1445="","",IF(IFERROR(VALUE($M1445),0)=1,1,0))</f>
        <v/>
      </c>
      <c r="O1445" s="57">
        <f>IF($A1445="",0,IF(OR($S1445&lt;&gt;1,COUNTA($J1445:$M1445)=0),0,IF(AND($N1445=1,IFERROR(SUMIFS($N$5:$N$2484,$Q$5:$Q$2484,$Q1445,$D$5:$D$2484,"C.3.1"),0)&gt;=0.5),$H1445,0)))</f>
        <v/>
      </c>
      <c r="P1445" s="48" t="inlineStr">
        <is>
          <t>Dipende da C.3.1 &gt;= 0.5</t>
        </is>
      </c>
      <c r="Q1445" s="57">
        <f>IF($A1445="","",$A1445&amp;"|"&amp;$C1445)</f>
        <v/>
      </c>
      <c r="R1445" s="57">
        <f>IF($A1445="","",$A1445&amp;"|"&amp;$C1445&amp;"|"&amp;$D1445)</f>
        <v/>
      </c>
      <c r="S1445" s="57">
        <f>IF($A1445="","",IFERROR(INDEX(Offerte!$D$2:$D$81,MATCH($Q1445,Offerte!$L$2:$L$81,0)),0))</f>
        <v/>
      </c>
      <c r="T1445" s="57">
        <f>IF($A1445="","",IFERROR(INDEX(Offerte!$G$2:$G$81,MATCH($Q1445,Offerte!$L$2:$L$81,0)),"NO"))</f>
        <v/>
      </c>
    </row>
    <row r="1446">
      <c r="A1446" s="48">
        <f>IF(Offerte!$A48="","",Offerte!$A48)</f>
        <v/>
      </c>
      <c r="B1446" s="48">
        <f>IF(Offerte!$A48="","",Offerte!$B48)</f>
        <v/>
      </c>
      <c r="C1446" s="48">
        <f>IF(Offerte!$A48="","",Offerte!$C48)</f>
        <v/>
      </c>
      <c r="D1446" s="48" t="inlineStr">
        <is>
          <t>D.1.1</t>
        </is>
      </c>
      <c r="E1446" s="48" t="inlineStr">
        <is>
          <t>D</t>
        </is>
      </c>
      <c r="F1446" s="48" t="inlineStr">
        <is>
          <t>Q</t>
        </is>
      </c>
      <c r="G1446" s="48" t="inlineStr">
        <is>
          <t>higher</t>
        </is>
      </c>
      <c r="H1446" s="48" t="n">
        <v>3</v>
      </c>
      <c r="I1446" s="48" t="inlineStr">
        <is>
          <t>Installazione di pensiline</t>
        </is>
      </c>
      <c r="J1446" s="73" t="n"/>
      <c r="K1446" s="73" t="n"/>
      <c r="L1446" s="73" t="n"/>
      <c r="M1446" s="73" t="n"/>
      <c r="N1446" s="57">
        <f>IF($A1446="","",IFERROR(VALUE($J1446),0))</f>
        <v/>
      </c>
      <c r="O1446" s="57">
        <f>IF($A1446="",0,IF(OR($S1446&lt;&gt;1,COUNTA($J1446:$M1446)=0),0,IF(SUMPRODUCT(MAX(($C$5:$C$2484=$C1446)*($D$5:$D$2484=$D1446)*($S$5:$S$2484=1)*IFERROR($N$5:$N$2484*1,0)))&gt;0,ROUND($H1446*($N1446/SUMPRODUCT(MAX(($C$5:$C$2484=$C1446)*($D$5:$D$2484=$D1446)*($S$5:$S$2484=1)*IFERROR($N$5:$N$2484*1,0)))),4),0)))</f>
        <v/>
      </c>
      <c r="P1446" s="48" t="inlineStr">
        <is>
          <t>fermate</t>
        </is>
      </c>
      <c r="Q1446" s="57">
        <f>IF($A1446="","",$A1446&amp;"|"&amp;$C1446)</f>
        <v/>
      </c>
      <c r="R1446" s="57">
        <f>IF($A1446="","",$A1446&amp;"|"&amp;$C1446&amp;"|"&amp;$D1446)</f>
        <v/>
      </c>
      <c r="S1446" s="57">
        <f>IF($A1446="","",IFERROR(INDEX(Offerte!$D$2:$D$81,MATCH($Q1446,Offerte!$L$2:$L$81,0)),0))</f>
        <v/>
      </c>
      <c r="T1446" s="57">
        <f>IF($A1446="","",IFERROR(INDEX(Offerte!$G$2:$G$81,MATCH($Q1446,Offerte!$L$2:$L$81,0)),"NO"))</f>
        <v/>
      </c>
    </row>
    <row r="1447">
      <c r="A1447" s="48">
        <f>IF(Offerte!$A48="","",Offerte!$A48)</f>
        <v/>
      </c>
      <c r="B1447" s="48">
        <f>IF(Offerte!$A48="","",Offerte!$B48)</f>
        <v/>
      </c>
      <c r="C1447" s="48">
        <f>IF(Offerte!$A48="","",Offerte!$C48)</f>
        <v/>
      </c>
      <c r="D1447" s="48" t="inlineStr">
        <is>
          <t>D.1.2</t>
        </is>
      </c>
      <c r="E1447" s="48" t="inlineStr">
        <is>
          <t>D</t>
        </is>
      </c>
      <c r="F1447" s="48" t="inlineStr">
        <is>
          <t>Q</t>
        </is>
      </c>
      <c r="G1447" s="48" t="inlineStr">
        <is>
          <t>higher</t>
        </is>
      </c>
      <c r="H1447" s="48" t="n">
        <v>3</v>
      </c>
      <c r="I1447" s="48" t="inlineStr">
        <is>
          <t>Installazione di paline di fermata conformi alla DGR 581/2023</t>
        </is>
      </c>
      <c r="J1447" s="73" t="n"/>
      <c r="K1447" s="73" t="n"/>
      <c r="L1447" s="73" t="n"/>
      <c r="M1447" s="73" t="n"/>
      <c r="N1447" s="57">
        <f>IF($A1447="","",IFERROR(VALUE($J1447),0))</f>
        <v/>
      </c>
      <c r="O1447" s="57">
        <f>IF($A1447="",0,IF(OR($S1447&lt;&gt;1,COUNTA($J1447:$M1447)=0),0,IF(SUMPRODUCT(MAX(($C$5:$C$2484=$C1447)*($D$5:$D$2484=$D1447)*($S$5:$S$2484=1)*IFERROR($N$5:$N$2484*1,0)))&gt;0,ROUND($H1447*($N1447/SUMPRODUCT(MAX(($C$5:$C$2484=$C1447)*($D$5:$D$2484=$D1447)*($S$5:$S$2484=1)*IFERROR($N$5:$N$2484*1,0)))),4),0)))</f>
        <v/>
      </c>
      <c r="P1447" s="48" t="inlineStr">
        <is>
          <t>fermate</t>
        </is>
      </c>
      <c r="Q1447" s="57">
        <f>IF($A1447="","",$A1447&amp;"|"&amp;$C1447)</f>
        <v/>
      </c>
      <c r="R1447" s="57">
        <f>IF($A1447="","",$A1447&amp;"|"&amp;$C1447&amp;"|"&amp;$D1447)</f>
        <v/>
      </c>
      <c r="S1447" s="57">
        <f>IF($A1447="","",IFERROR(INDEX(Offerte!$D$2:$D$81,MATCH($Q1447,Offerte!$L$2:$L$81,0)),0))</f>
        <v/>
      </c>
      <c r="T1447" s="57">
        <f>IF($A1447="","",IFERROR(INDEX(Offerte!$G$2:$G$81,MATCH($Q1447,Offerte!$L$2:$L$81,0)),"NO"))</f>
        <v/>
      </c>
    </row>
    <row r="1448">
      <c r="A1448" s="48">
        <f>IF(Offerte!$A48="","",Offerte!$A48)</f>
        <v/>
      </c>
      <c r="B1448" s="48">
        <f>IF(Offerte!$A48="","",Offerte!$B48)</f>
        <v/>
      </c>
      <c r="C1448" s="48">
        <f>IF(Offerte!$A48="","",Offerte!$C48)</f>
        <v/>
      </c>
      <c r="D1448" s="48" t="inlineStr">
        <is>
          <t>D.1.3</t>
        </is>
      </c>
      <c r="E1448" s="48" t="inlineStr">
        <is>
          <t>D</t>
        </is>
      </c>
      <c r="F1448" s="48" t="inlineStr">
        <is>
          <t>Q</t>
        </is>
      </c>
      <c r="G1448" s="48" t="inlineStr">
        <is>
          <t>higher</t>
        </is>
      </c>
      <c r="H1448" s="48" t="n">
        <v>2</v>
      </c>
      <c r="I1448" s="48" t="inlineStr">
        <is>
          <t>Display informativi connessi alle fermate</t>
        </is>
      </c>
      <c r="J1448" s="73" t="n"/>
      <c r="K1448" s="73" t="n"/>
      <c r="L1448" s="73" t="n"/>
      <c r="M1448" s="73" t="n"/>
      <c r="N1448" s="57">
        <f>IF($A1448="","",IFERROR(VALUE($J1448),0))</f>
        <v/>
      </c>
      <c r="O1448" s="57">
        <f>IF($A1448="",0,IF(OR($S1448&lt;&gt;1,COUNTA($J1448:$M1448)=0),0,IF(SUMPRODUCT(MAX(($C$5:$C$2484=$C1448)*($D$5:$D$2484=$D1448)*($S$5:$S$2484=1)*IFERROR($N$5:$N$2484*1,0)))&gt;0,ROUND($H1448*($N1448/SUMPRODUCT(MAX(($C$5:$C$2484=$C1448)*($D$5:$D$2484=$D1448)*($S$5:$S$2484=1)*IFERROR($N$5:$N$2484*1,0)))),4),0)))</f>
        <v/>
      </c>
      <c r="P1448" s="48" t="inlineStr">
        <is>
          <t>fermate</t>
        </is>
      </c>
      <c r="Q1448" s="57">
        <f>IF($A1448="","",$A1448&amp;"|"&amp;$C1448)</f>
        <v/>
      </c>
      <c r="R1448" s="57">
        <f>IF($A1448="","",$A1448&amp;"|"&amp;$C1448&amp;"|"&amp;$D1448)</f>
        <v/>
      </c>
      <c r="S1448" s="57">
        <f>IF($A1448="","",IFERROR(INDEX(Offerte!$D$2:$D$81,MATCH($Q1448,Offerte!$L$2:$L$81,0)),0))</f>
        <v/>
      </c>
      <c r="T1448" s="57">
        <f>IF($A1448="","",IFERROR(INDEX(Offerte!$G$2:$G$81,MATCH($Q1448,Offerte!$L$2:$L$81,0)),"NO"))</f>
        <v/>
      </c>
    </row>
    <row r="1449">
      <c r="A1449" s="48">
        <f>IF(Offerte!$A48="","",Offerte!$A48)</f>
        <v/>
      </c>
      <c r="B1449" s="48">
        <f>IF(Offerte!$A48="","",Offerte!$B48)</f>
        <v/>
      </c>
      <c r="C1449" s="48">
        <f>IF(Offerte!$A48="","",Offerte!$C48)</f>
        <v/>
      </c>
      <c r="D1449" s="48" t="inlineStr">
        <is>
          <t>D.2.1</t>
        </is>
      </c>
      <c r="E1449" s="48" t="inlineStr">
        <is>
          <t>D</t>
        </is>
      </c>
      <c r="F1449" s="48" t="inlineStr">
        <is>
          <t>Q</t>
        </is>
      </c>
      <c r="G1449" s="48" t="inlineStr">
        <is>
          <t>higher</t>
        </is>
      </c>
      <c r="H1449" s="48" t="n">
        <v>2</v>
      </c>
      <c r="I1449" s="48" t="inlineStr">
        <is>
          <t>Segnali tattili Loges-Vet-Evolution</t>
        </is>
      </c>
      <c r="J1449" s="73" t="n"/>
      <c r="K1449" s="73" t="n"/>
      <c r="L1449" s="73" t="n"/>
      <c r="M1449" s="73" t="n"/>
      <c r="N1449" s="57">
        <f>IF($A1449="","",IFERROR(VALUE($J1449),0))</f>
        <v/>
      </c>
      <c r="O1449" s="57">
        <f>IF($A1449="",0,IF(OR($S1449&lt;&gt;1,COUNTA($J1449:$M1449)=0),0,IF(SUMPRODUCT(MAX(($C$5:$C$2484=$C1449)*($D$5:$D$2484=$D1449)*($S$5:$S$2484=1)*IFERROR($N$5:$N$2484*1,0)))&gt;0,ROUND($H1449*($N1449/SUMPRODUCT(MAX(($C$5:$C$2484=$C1449)*($D$5:$D$2484=$D1449)*($S$5:$S$2484=1)*IFERROR($N$5:$N$2484*1,0)))),4),0)))</f>
        <v/>
      </c>
      <c r="P1449" s="48" t="inlineStr">
        <is>
          <t>fermate</t>
        </is>
      </c>
      <c r="Q1449" s="57">
        <f>IF($A1449="","",$A1449&amp;"|"&amp;$C1449)</f>
        <v/>
      </c>
      <c r="R1449" s="57">
        <f>IF($A1449="","",$A1449&amp;"|"&amp;$C1449&amp;"|"&amp;$D1449)</f>
        <v/>
      </c>
      <c r="S1449" s="57">
        <f>IF($A1449="","",IFERROR(INDEX(Offerte!$D$2:$D$81,MATCH($Q1449,Offerte!$L$2:$L$81,0)),0))</f>
        <v/>
      </c>
      <c r="T1449" s="57">
        <f>IF($A1449="","",IFERROR(INDEX(Offerte!$G$2:$G$81,MATCH($Q1449,Offerte!$L$2:$L$81,0)),"NO"))</f>
        <v/>
      </c>
    </row>
    <row r="1450">
      <c r="A1450" s="48">
        <f>IF(Offerte!$A48="","",Offerte!$A48)</f>
        <v/>
      </c>
      <c r="B1450" s="48">
        <f>IF(Offerte!$A48="","",Offerte!$B48)</f>
        <v/>
      </c>
      <c r="C1450" s="48">
        <f>IF(Offerte!$A48="","",Offerte!$C48)</f>
        <v/>
      </c>
      <c r="D1450" s="48" t="inlineStr">
        <is>
          <t>E.1.1</t>
        </is>
      </c>
      <c r="E1450" s="48" t="inlineStr">
        <is>
          <t>E</t>
        </is>
      </c>
      <c r="F1450" s="48" t="inlineStr">
        <is>
          <t>T</t>
        </is>
      </c>
      <c r="G1450" s="48" t="inlineStr">
        <is>
          <t>tabular</t>
        </is>
      </c>
      <c r="H1450" s="48" t="n">
        <v>2</v>
      </c>
      <c r="I1450" s="48" t="inlineStr">
        <is>
          <t>Mobile app con travel planner PRM</t>
        </is>
      </c>
      <c r="J1450" s="73" t="n"/>
      <c r="K1450" s="73" t="n"/>
      <c r="L1450" s="73" t="n"/>
      <c r="M1450" s="73" t="n"/>
      <c r="N1450" s="57">
        <f>IF($A1450="","",IF(IFERROR(VALUE($M1450),0)=1,1,0))</f>
        <v/>
      </c>
      <c r="O1450" s="57">
        <f>IF($A1450="",0,IF(OR($S1450&lt;&gt;1,COUNTA($J1450:$M1450)=0),0,IF($N1450=1,$H1450,0)))</f>
        <v/>
      </c>
      <c r="P1450" s="48" t="inlineStr">
        <is>
          <t>sì/no</t>
        </is>
      </c>
      <c r="Q1450" s="57">
        <f>IF($A1450="","",$A1450&amp;"|"&amp;$C1450)</f>
        <v/>
      </c>
      <c r="R1450" s="57">
        <f>IF($A1450="","",$A1450&amp;"|"&amp;$C1450&amp;"|"&amp;$D1450)</f>
        <v/>
      </c>
      <c r="S1450" s="57">
        <f>IF($A1450="","",IFERROR(INDEX(Offerte!$D$2:$D$81,MATCH($Q1450,Offerte!$L$2:$L$81,0)),0))</f>
        <v/>
      </c>
      <c r="T1450" s="57">
        <f>IF($A1450="","",IFERROR(INDEX(Offerte!$G$2:$G$81,MATCH($Q1450,Offerte!$L$2:$L$81,0)),"NO"))</f>
        <v/>
      </c>
    </row>
    <row r="1451">
      <c r="A1451" s="48">
        <f>IF(Offerte!$A48="","",Offerte!$A48)</f>
        <v/>
      </c>
      <c r="B1451" s="48">
        <f>IF(Offerte!$A48="","",Offerte!$B48)</f>
        <v/>
      </c>
      <c r="C1451" s="48">
        <f>IF(Offerte!$A48="","",Offerte!$C48)</f>
        <v/>
      </c>
      <c r="D1451" s="48" t="inlineStr">
        <is>
          <t>E.2.1</t>
        </is>
      </c>
      <c r="E1451" s="48" t="inlineStr">
        <is>
          <t>E</t>
        </is>
      </c>
      <c r="F1451" s="48" t="inlineStr">
        <is>
          <t>D</t>
        </is>
      </c>
      <c r="G1451" s="48" t="inlineStr">
        <is>
          <t>discretionary</t>
        </is>
      </c>
      <c r="H1451" s="48" t="n">
        <v>2</v>
      </c>
      <c r="I1451" s="48" t="inlineStr">
        <is>
          <t>Altre azioni informative e rapporti con gli utenti</t>
        </is>
      </c>
      <c r="J1451" s="73" t="n"/>
      <c r="K1451" s="73" t="n"/>
      <c r="L1451" s="73" t="n"/>
      <c r="M1451" s="73" t="n"/>
      <c r="N1451" s="57">
        <f>IF($A1451="","",MAX(0,MIN(1,IFERROR(VALUE($M1451),0))))</f>
        <v/>
      </c>
      <c r="O1451" s="57">
        <f>IF($A1451="",0,IF(OR($S1451&lt;&gt;1,COUNTA($J1451:$M1451)=0),0,IF(SUMPRODUCT(MAX(($C$5:$C$2484=$C1451)*($D$5:$D$2484=$D1451)*($S$5:$S$2484=1)*IFERROR($N$5:$N$2484*1,0)))&gt;0,ROUND($H1451*($N1451/SUMPRODUCT(MAX(($C$5:$C$2484=$C1451)*($D$5:$D$2484=$D1451)*($S$5:$S$2484=1)*IFERROR($N$5:$N$2484*1,0)))),4),0)))</f>
        <v/>
      </c>
      <c r="P1451" s="48" t="inlineStr">
        <is>
          <t>coeff.</t>
        </is>
      </c>
      <c r="Q1451" s="57">
        <f>IF($A1451="","",$A1451&amp;"|"&amp;$C1451)</f>
        <v/>
      </c>
      <c r="R1451" s="57">
        <f>IF($A1451="","",$A1451&amp;"|"&amp;$C1451&amp;"|"&amp;$D1451)</f>
        <v/>
      </c>
      <c r="S1451" s="57">
        <f>IF($A1451="","",IFERROR(INDEX(Offerte!$D$2:$D$81,MATCH($Q1451,Offerte!$L$2:$L$81,0)),0))</f>
        <v/>
      </c>
      <c r="T1451" s="57">
        <f>IF($A1451="","",IFERROR(INDEX(Offerte!$G$2:$G$81,MATCH($Q1451,Offerte!$L$2:$L$81,0)),"NO"))</f>
        <v/>
      </c>
    </row>
    <row r="1452">
      <c r="A1452" s="48">
        <f>IF(Offerte!$A48="","",Offerte!$A48)</f>
        <v/>
      </c>
      <c r="B1452" s="48">
        <f>IF(Offerte!$A48="","",Offerte!$B48)</f>
        <v/>
      </c>
      <c r="C1452" s="48">
        <f>IF(Offerte!$A48="","",Offerte!$C48)</f>
        <v/>
      </c>
      <c r="D1452" s="48" t="inlineStr">
        <is>
          <t>F.1.1</t>
        </is>
      </c>
      <c r="E1452" s="48" t="inlineStr">
        <is>
          <t>F</t>
        </is>
      </c>
      <c r="F1452" s="48" t="inlineStr">
        <is>
          <t>Q</t>
        </is>
      </c>
      <c r="G1452" s="48" t="inlineStr">
        <is>
          <t>lower</t>
        </is>
      </c>
      <c r="H1452" s="48" t="n">
        <v>7</v>
      </c>
      <c r="I1452" s="48" t="inlineStr">
        <is>
          <t>Performance ambientali del parco mezzi adibito al servizio - I_CEA</t>
        </is>
      </c>
      <c r="J1452" s="73" t="n"/>
      <c r="K1452" s="73" t="n"/>
      <c r="L1452" s="73" t="n"/>
      <c r="M1452" s="73" t="n"/>
      <c r="N1452" s="57">
        <f>IF($A1452="","",IFERROR(VALUE($J1452),0))</f>
        <v/>
      </c>
      <c r="O1452" s="57">
        <f>IF($A1452="",0,IF(OR($S1452&lt;&gt;1,COUNTA($J1452:$M1452)=0),0,IF(AND(IFERROR(AGGREGATE(15,6,$N$5:$N$2484/(($C$5:$C$2484=$C1452)*($D$5:$D$2484=$D1452)*($S$5:$S$2484=1)*($N$5:$N$2484&gt;0)),1),0)&gt;0,$N1452&gt;0),ROUND($H1452*(IFERROR(AGGREGATE(15,6,$N$5:$N$2484/(($C$5:$C$2484=$C1452)*($D$5:$D$2484=$D1452)*($S$5:$S$2484=1)*($N$5:$N$2484&gt;0)),1),0)/$N1452),4),0)))</f>
        <v/>
      </c>
      <c r="P1452" s="48" t="inlineStr">
        <is>
          <t>indice</t>
        </is>
      </c>
      <c r="Q1452" s="57">
        <f>IF($A1452="","",$A1452&amp;"|"&amp;$C1452)</f>
        <v/>
      </c>
      <c r="R1452" s="57">
        <f>IF($A1452="","",$A1452&amp;"|"&amp;$C1452&amp;"|"&amp;$D1452)</f>
        <v/>
      </c>
      <c r="S1452" s="57">
        <f>IF($A1452="","",IFERROR(INDEX(Offerte!$D$2:$D$81,MATCH($Q1452,Offerte!$L$2:$L$81,0)),0))</f>
        <v/>
      </c>
      <c r="T1452" s="57">
        <f>IF($A1452="","",IFERROR(INDEX(Offerte!$G$2:$G$81,MATCH($Q1452,Offerte!$L$2:$L$81,0)),"NO"))</f>
        <v/>
      </c>
    </row>
    <row r="1453">
      <c r="A1453" s="48">
        <f>IF(Offerte!$A48="","",Offerte!$A48)</f>
        <v/>
      </c>
      <c r="B1453" s="48">
        <f>IF(Offerte!$A48="","",Offerte!$B48)</f>
        <v/>
      </c>
      <c r="C1453" s="48">
        <f>IF(Offerte!$A48="","",Offerte!$C48)</f>
        <v/>
      </c>
      <c r="D1453" s="48" t="inlineStr">
        <is>
          <t>F.2.1</t>
        </is>
      </c>
      <c r="E1453" s="48" t="inlineStr">
        <is>
          <t>F</t>
        </is>
      </c>
      <c r="F1453" s="48" t="inlineStr">
        <is>
          <t>Q</t>
        </is>
      </c>
      <c r="G1453" s="48" t="inlineStr">
        <is>
          <t>higher</t>
        </is>
      </c>
      <c r="H1453" s="48" t="n">
        <v>2</v>
      </c>
      <c r="I1453" s="48" t="inlineStr">
        <is>
          <t>Tasso di copertura del servizio con dispositivi ECO-DRIVER</t>
        </is>
      </c>
      <c r="J1453" s="73" t="n"/>
      <c r="K1453" s="73" t="n"/>
      <c r="L1453" s="73" t="n"/>
      <c r="M1453" s="73" t="n"/>
      <c r="N1453" s="57">
        <f>IF($A1453="","",IFERROR(VALUE($K1453)/VALUE($L1453),IFERROR(VALUE($J1453),0)))</f>
        <v/>
      </c>
      <c r="O1453" s="57">
        <f>IF($A1453="",0,IF(OR($S1453&lt;&gt;1,COUNTA($J1453:$M1453)=0),0,IF(SUMPRODUCT(MAX(($C$5:$C$2484=$C1453)*($D$5:$D$2484=$D1453)*($S$5:$S$2484=1)*IFERROR($N$5:$N$2484*1,0)))&gt;0,ROUND($H1453*($N1453/SUMPRODUCT(MAX(($C$5:$C$2484=$C1453)*($D$5:$D$2484=$D1453)*($S$5:$S$2484=1)*IFERROR($N$5:$N$2484*1,0)))),4),0)))</f>
        <v/>
      </c>
      <c r="P1453" s="48" t="inlineStr">
        <is>
          <t>Autobus attrezzati con dispositivi ECO-DRIVER / Autobus totali in offerta, incluse scorte</t>
        </is>
      </c>
      <c r="Q1453" s="57">
        <f>IF($A1453="","",$A1453&amp;"|"&amp;$C1453)</f>
        <v/>
      </c>
      <c r="R1453" s="57">
        <f>IF($A1453="","",$A1453&amp;"|"&amp;$C1453&amp;"|"&amp;$D1453)</f>
        <v/>
      </c>
      <c r="S1453" s="57">
        <f>IF($A1453="","",IFERROR(INDEX(Offerte!$D$2:$D$81,MATCH($Q1453,Offerte!$L$2:$L$81,0)),0))</f>
        <v/>
      </c>
      <c r="T1453" s="57">
        <f>IF($A1453="","",IFERROR(INDEX(Offerte!$G$2:$G$81,MATCH($Q1453,Offerte!$L$2:$L$81,0)),"NO"))</f>
        <v/>
      </c>
    </row>
    <row r="1454">
      <c r="A1454" s="48">
        <f>IF(Offerte!$A48="","",Offerte!$A48)</f>
        <v/>
      </c>
      <c r="B1454" s="48">
        <f>IF(Offerte!$A48="","",Offerte!$B48)</f>
        <v/>
      </c>
      <c r="C1454" s="48">
        <f>IF(Offerte!$A48="","",Offerte!$C48)</f>
        <v/>
      </c>
      <c r="D1454" s="48" t="inlineStr">
        <is>
          <t>F.3.1</t>
        </is>
      </c>
      <c r="E1454" s="48" t="inlineStr">
        <is>
          <t>F</t>
        </is>
      </c>
      <c r="F1454" s="48" t="inlineStr">
        <is>
          <t>Q</t>
        </is>
      </c>
      <c r="G1454" s="48" t="inlineStr">
        <is>
          <t>higher</t>
        </is>
      </c>
      <c r="H1454" s="48" t="n">
        <v>2</v>
      </c>
      <c r="I1454" s="48" t="inlineStr">
        <is>
          <t>Autoproduzione consumi elettrici per trazione</t>
        </is>
      </c>
      <c r="J1454" s="73" t="n"/>
      <c r="K1454" s="73" t="n"/>
      <c r="L1454" s="73" t="n"/>
      <c r="M1454" s="73" t="n"/>
      <c r="N1454" s="57">
        <f>IF($A1454="","",IFERROR(VALUE($J1454),0))</f>
        <v/>
      </c>
      <c r="O1454" s="57">
        <f>IF($A1454="",0,IF(OR($S1454&lt;&gt;1,COUNTA($J1454:$M1454)=0),0,IF(SUMPRODUCT(MAX(($C$5:$C$2484=$C1454)*($D$5:$D$2484=$D1454)*($S$5:$S$2484=1)*IFERROR($N$5:$N$2484*1,0)))&gt;0,ROUND($H1454*($N1454/SUMPRODUCT(MAX(($C$5:$C$2484=$C1454)*($D$5:$D$2484=$D1454)*($S$5:$S$2484=1)*IFERROR($N$5:$N$2484*1,0)))),4),0)))</f>
        <v/>
      </c>
      <c r="P1454" s="48" t="inlineStr">
        <is>
          <t>kWh/anno</t>
        </is>
      </c>
      <c r="Q1454" s="57">
        <f>IF($A1454="","",$A1454&amp;"|"&amp;$C1454)</f>
        <v/>
      </c>
      <c r="R1454" s="57">
        <f>IF($A1454="","",$A1454&amp;"|"&amp;$C1454&amp;"|"&amp;$D1454)</f>
        <v/>
      </c>
      <c r="S1454" s="57">
        <f>IF($A1454="","",IFERROR(INDEX(Offerte!$D$2:$D$81,MATCH($Q1454,Offerte!$L$2:$L$81,0)),0))</f>
        <v/>
      </c>
      <c r="T1454" s="57">
        <f>IF($A1454="","",IFERROR(INDEX(Offerte!$G$2:$G$81,MATCH($Q1454,Offerte!$L$2:$L$81,0)),"NO"))</f>
        <v/>
      </c>
    </row>
    <row r="1455">
      <c r="A1455" s="48">
        <f>IF(Offerte!$A48="","",Offerte!$A48)</f>
        <v/>
      </c>
      <c r="B1455" s="48">
        <f>IF(Offerte!$A48="","",Offerte!$B48)</f>
        <v/>
      </c>
      <c r="C1455" s="48">
        <f>IF(Offerte!$A48="","",Offerte!$C48)</f>
        <v/>
      </c>
      <c r="D1455" s="48" t="inlineStr">
        <is>
          <t>F.4.1</t>
        </is>
      </c>
      <c r="E1455" s="48" t="inlineStr">
        <is>
          <t>F</t>
        </is>
      </c>
      <c r="F1455" s="48" t="inlineStr">
        <is>
          <t>Q</t>
        </is>
      </c>
      <c r="G1455" s="48" t="inlineStr">
        <is>
          <t>soil</t>
        </is>
      </c>
      <c r="H1455" s="48" t="n">
        <v>2</v>
      </c>
      <c r="I1455" s="48" t="inlineStr">
        <is>
          <t>Indice di consumo di suolo</t>
        </is>
      </c>
      <c r="J1455" s="73" t="n"/>
      <c r="K1455" s="73" t="n"/>
      <c r="L1455" s="73" t="n"/>
      <c r="M1455" s="73" t="n"/>
      <c r="N1455" s="57">
        <f>IF($A1455="","",IFERROR(VALUE($J1455),0))</f>
        <v/>
      </c>
      <c r="O1455" s="57">
        <f>IF($A1455="",0,IF(OR($S1455&lt;&gt;1,COUNTA($J1455:$M1455)=0),0,IF($N1455&lt;=0,$H1455,IF(SUMPRODUCT(MAX(($C$5:$C$2484=$C1455)*($D$5:$D$2484=$D1455)*($S$5:$S$2484=1)*IFERROR($N$5:$N$2484*1,0)))&gt;0,ROUND($H1455*((SUMPRODUCT(MAX(($C$5:$C$2484=$C1455)*($D$5:$D$2484=$D1455)*($S$5:$S$2484=1)*IFERROR($N$5:$N$2484*1,0)))-$N1455)/SUMPRODUCT(MAX(($C$5:$C$2484=$C1455)*($D$5:$D$2484=$D1455)*($S$5:$S$2484=1)*IFERROR($N$5:$N$2484*1,0)))),4),0))))</f>
        <v/>
      </c>
      <c r="P1455" s="48" t="inlineStr">
        <is>
          <t>m2</t>
        </is>
      </c>
      <c r="Q1455" s="57">
        <f>IF($A1455="","",$A1455&amp;"|"&amp;$C1455)</f>
        <v/>
      </c>
      <c r="R1455" s="57">
        <f>IF($A1455="","",$A1455&amp;"|"&amp;$C1455&amp;"|"&amp;$D1455)</f>
        <v/>
      </c>
      <c r="S1455" s="57">
        <f>IF($A1455="","",IFERROR(INDEX(Offerte!$D$2:$D$81,MATCH($Q1455,Offerte!$L$2:$L$81,0)),0))</f>
        <v/>
      </c>
      <c r="T1455" s="57">
        <f>IF($A1455="","",IFERROR(INDEX(Offerte!$G$2:$G$81,MATCH($Q1455,Offerte!$L$2:$L$81,0)),"NO"))</f>
        <v/>
      </c>
    </row>
    <row r="1456">
      <c r="A1456" s="48">
        <f>IF(Offerte!$A48="","",Offerte!$A48)</f>
        <v/>
      </c>
      <c r="B1456" s="48">
        <f>IF(Offerte!$A48="","",Offerte!$B48)</f>
        <v/>
      </c>
      <c r="C1456" s="48">
        <f>IF(Offerte!$A48="","",Offerte!$C48)</f>
        <v/>
      </c>
      <c r="D1456" s="48" t="inlineStr">
        <is>
          <t>F.5.1</t>
        </is>
      </c>
      <c r="E1456" s="48" t="inlineStr">
        <is>
          <t>F</t>
        </is>
      </c>
      <c r="F1456" s="48" t="inlineStr">
        <is>
          <t>T</t>
        </is>
      </c>
      <c r="G1456" s="48" t="inlineStr">
        <is>
          <t>tabular</t>
        </is>
      </c>
      <c r="H1456" s="48" t="n">
        <v>1</v>
      </c>
      <c r="I1456" s="48" t="inlineStr">
        <is>
          <t>Rendicontazione di sostenibilità ambientale</t>
        </is>
      </c>
      <c r="J1456" s="73" t="n"/>
      <c r="K1456" s="73" t="n"/>
      <c r="L1456" s="73" t="n"/>
      <c r="M1456" s="73" t="n"/>
      <c r="N1456" s="57">
        <f>IF($A1456="","",IF(IFERROR(VALUE($M1456),0)=1,1,0))</f>
        <v/>
      </c>
      <c r="O1456" s="57">
        <f>IF($A1456="",0,IF(OR($S1456&lt;&gt;1,COUNTA($J1456:$M1456)=0),0,IF($N1456=1,$H1456,0)))</f>
        <v/>
      </c>
      <c r="P1456" s="48" t="inlineStr">
        <is>
          <t>sì/no</t>
        </is>
      </c>
      <c r="Q1456" s="57">
        <f>IF($A1456="","",$A1456&amp;"|"&amp;$C1456)</f>
        <v/>
      </c>
      <c r="R1456" s="57">
        <f>IF($A1456="","",$A1456&amp;"|"&amp;$C1456&amp;"|"&amp;$D1456)</f>
        <v/>
      </c>
      <c r="S1456" s="57">
        <f>IF($A1456="","",IFERROR(INDEX(Offerte!$D$2:$D$81,MATCH($Q1456,Offerte!$L$2:$L$81,0)),0))</f>
        <v/>
      </c>
      <c r="T1456" s="57">
        <f>IF($A1456="","",IFERROR(INDEX(Offerte!$G$2:$G$81,MATCH($Q1456,Offerte!$L$2:$L$81,0)),"NO"))</f>
        <v/>
      </c>
    </row>
    <row r="1457">
      <c r="A1457" s="48">
        <f>IF(Offerte!$A48="","",Offerte!$A48)</f>
        <v/>
      </c>
      <c r="B1457" s="48">
        <f>IF(Offerte!$A48="","",Offerte!$B48)</f>
        <v/>
      </c>
      <c r="C1457" s="48">
        <f>IF(Offerte!$A48="","",Offerte!$C48)</f>
        <v/>
      </c>
      <c r="D1457" s="48" t="inlineStr">
        <is>
          <t>G.1.1</t>
        </is>
      </c>
      <c r="E1457" s="48" t="inlineStr">
        <is>
          <t>G</t>
        </is>
      </c>
      <c r="F1457" s="48" t="inlineStr">
        <is>
          <t>D</t>
        </is>
      </c>
      <c r="G1457" s="48" t="inlineStr">
        <is>
          <t>discretionary</t>
        </is>
      </c>
      <c r="H1457" s="48" t="n">
        <v>2</v>
      </c>
      <c r="I1457" s="48" t="inlineStr">
        <is>
          <t>Qualità del progetto di centrale di controllo aziendale</t>
        </is>
      </c>
      <c r="J1457" s="73" t="n"/>
      <c r="K1457" s="73" t="n"/>
      <c r="L1457" s="73" t="n"/>
      <c r="M1457" s="73" t="n"/>
      <c r="N1457" s="57">
        <f>IF($A1457="","",MAX(0,MIN(1,IFERROR(VALUE($M1457),0))))</f>
        <v/>
      </c>
      <c r="O1457" s="57">
        <f>IF($A1457="",0,IF(OR($S1457&lt;&gt;1,COUNTA($J1457:$M1457)=0),0,IF(SUMPRODUCT(MAX(($C$5:$C$2484=$C1457)*($D$5:$D$2484=$D1457)*($S$5:$S$2484=1)*IFERROR($N$5:$N$2484*1,0)))&gt;0,ROUND($H1457*($N1457/SUMPRODUCT(MAX(($C$5:$C$2484=$C1457)*($D$5:$D$2484=$D1457)*($S$5:$S$2484=1)*IFERROR($N$5:$N$2484*1,0)))),4),0)))</f>
        <v/>
      </c>
      <c r="P1457" s="48" t="inlineStr">
        <is>
          <t>coeff.</t>
        </is>
      </c>
      <c r="Q1457" s="57">
        <f>IF($A1457="","",$A1457&amp;"|"&amp;$C1457)</f>
        <v/>
      </c>
      <c r="R1457" s="57">
        <f>IF($A1457="","",$A1457&amp;"|"&amp;$C1457&amp;"|"&amp;$D1457)</f>
        <v/>
      </c>
      <c r="S1457" s="57">
        <f>IF($A1457="","",IFERROR(INDEX(Offerte!$D$2:$D$81,MATCH($Q1457,Offerte!$L$2:$L$81,0)),0))</f>
        <v/>
      </c>
      <c r="T1457" s="57">
        <f>IF($A1457="","",IFERROR(INDEX(Offerte!$G$2:$G$81,MATCH($Q1457,Offerte!$L$2:$L$81,0)),"NO"))</f>
        <v/>
      </c>
    </row>
    <row r="1458">
      <c r="A1458" s="48">
        <f>IF(Offerte!$A48="","",Offerte!$A48)</f>
        <v/>
      </c>
      <c r="B1458" s="48">
        <f>IF(Offerte!$A48="","",Offerte!$B48)</f>
        <v/>
      </c>
      <c r="C1458" s="48">
        <f>IF(Offerte!$A48="","",Offerte!$C48)</f>
        <v/>
      </c>
      <c r="D1458" s="48" t="inlineStr">
        <is>
          <t>G.2.1</t>
        </is>
      </c>
      <c r="E1458" s="48" t="inlineStr">
        <is>
          <t>G</t>
        </is>
      </c>
      <c r="F1458" s="48" t="inlineStr">
        <is>
          <t>T</t>
        </is>
      </c>
      <c r="G1458" s="48" t="inlineStr">
        <is>
          <t>tabular</t>
        </is>
      </c>
      <c r="H1458" s="48" t="n">
        <v>1</v>
      </c>
      <c r="I1458" s="48" t="inlineStr">
        <is>
          <t>Certificazione ISO 45001</t>
        </is>
      </c>
      <c r="J1458" s="73" t="n"/>
      <c r="K1458" s="73" t="n"/>
      <c r="L1458" s="73" t="n"/>
      <c r="M1458" s="73" t="n"/>
      <c r="N1458" s="57">
        <f>IF($A1458="","",IF(IFERROR(VALUE($M1458),0)=1,1,0))</f>
        <v/>
      </c>
      <c r="O1458" s="57">
        <f>IF($A1458="",0,IF(OR($S1458&lt;&gt;1,COUNTA($J1458:$M1458)=0),0,IF($N1458=1,$H1458,0)))</f>
        <v/>
      </c>
      <c r="P1458" s="48" t="inlineStr">
        <is>
          <t>sì/no</t>
        </is>
      </c>
      <c r="Q1458" s="57">
        <f>IF($A1458="","",$A1458&amp;"|"&amp;$C1458)</f>
        <v/>
      </c>
      <c r="R1458" s="57">
        <f>IF($A1458="","",$A1458&amp;"|"&amp;$C1458&amp;"|"&amp;$D1458)</f>
        <v/>
      </c>
      <c r="S1458" s="57">
        <f>IF($A1458="","",IFERROR(INDEX(Offerte!$D$2:$D$81,MATCH($Q1458,Offerte!$L$2:$L$81,0)),0))</f>
        <v/>
      </c>
      <c r="T1458" s="57">
        <f>IF($A1458="","",IFERROR(INDEX(Offerte!$G$2:$G$81,MATCH($Q1458,Offerte!$L$2:$L$81,0)),"NO"))</f>
        <v/>
      </c>
    </row>
    <row r="1459">
      <c r="A1459" s="48">
        <f>IF(Offerte!$A48="","",Offerte!$A48)</f>
        <v/>
      </c>
      <c r="B1459" s="48">
        <f>IF(Offerte!$A48="","",Offerte!$B48)</f>
        <v/>
      </c>
      <c r="C1459" s="48">
        <f>IF(Offerte!$A48="","",Offerte!$C48)</f>
        <v/>
      </c>
      <c r="D1459" s="48" t="inlineStr">
        <is>
          <t>G.3.1</t>
        </is>
      </c>
      <c r="E1459" s="48" t="inlineStr">
        <is>
          <t>G</t>
        </is>
      </c>
      <c r="F1459" s="48" t="inlineStr">
        <is>
          <t>T</t>
        </is>
      </c>
      <c r="G1459" s="48" t="inlineStr">
        <is>
          <t>tabular</t>
        </is>
      </c>
      <c r="H1459" s="48" t="n">
        <v>1</v>
      </c>
      <c r="I1459" s="48" t="inlineStr">
        <is>
          <t>Certificazioni di responsabilità sociale</t>
        </is>
      </c>
      <c r="J1459" s="73" t="n"/>
      <c r="K1459" s="73" t="n"/>
      <c r="L1459" s="73" t="n"/>
      <c r="M1459" s="73" t="n"/>
      <c r="N1459" s="57">
        <f>IF($A1459="","",IF(IFERROR(VALUE($M1459),0)=1,1,0))</f>
        <v/>
      </c>
      <c r="O1459" s="57">
        <f>IF($A1459="",0,IF(OR($S1459&lt;&gt;1,COUNTA($J1459:$M1459)=0),0,IF($N1459=1,$H1459,0)))</f>
        <v/>
      </c>
      <c r="P1459" s="48" t="inlineStr">
        <is>
          <t>sì/no</t>
        </is>
      </c>
      <c r="Q1459" s="57">
        <f>IF($A1459="","",$A1459&amp;"|"&amp;$C1459)</f>
        <v/>
      </c>
      <c r="R1459" s="57">
        <f>IF($A1459="","",$A1459&amp;"|"&amp;$C1459&amp;"|"&amp;$D1459)</f>
        <v/>
      </c>
      <c r="S1459" s="57">
        <f>IF($A1459="","",IFERROR(INDEX(Offerte!$D$2:$D$81,MATCH($Q1459,Offerte!$L$2:$L$81,0)),0))</f>
        <v/>
      </c>
      <c r="T1459" s="57">
        <f>IF($A1459="","",IFERROR(INDEX(Offerte!$G$2:$G$81,MATCH($Q1459,Offerte!$L$2:$L$81,0)),"NO"))</f>
        <v/>
      </c>
    </row>
    <row r="1460">
      <c r="A1460" s="48">
        <f>IF(Offerte!$A48="","",Offerte!$A48)</f>
        <v/>
      </c>
      <c r="B1460" s="48">
        <f>IF(Offerte!$A48="","",Offerte!$B48)</f>
        <v/>
      </c>
      <c r="C1460" s="48">
        <f>IF(Offerte!$A48="","",Offerte!$C48)</f>
        <v/>
      </c>
      <c r="D1460" s="48" t="inlineStr">
        <is>
          <t>G.4.1</t>
        </is>
      </c>
      <c r="E1460" s="48" t="inlineStr">
        <is>
          <t>G</t>
        </is>
      </c>
      <c r="F1460" s="48" t="inlineStr">
        <is>
          <t>D</t>
        </is>
      </c>
      <c r="G1460" s="48" t="inlineStr">
        <is>
          <t>discretionary</t>
        </is>
      </c>
      <c r="H1460" s="48" t="n">
        <v>2</v>
      </c>
      <c r="I1460" s="48" t="inlineStr">
        <is>
          <t>Qualità del piano di formazione del personale</t>
        </is>
      </c>
      <c r="J1460" s="73" t="n"/>
      <c r="K1460" s="73" t="n"/>
      <c r="L1460" s="73" t="n"/>
      <c r="M1460" s="73" t="n"/>
      <c r="N1460" s="57">
        <f>IF($A1460="","",MAX(0,MIN(1,IFERROR(VALUE($M1460),0))))</f>
        <v/>
      </c>
      <c r="O1460" s="57">
        <f>IF($A1460="",0,IF(OR($S1460&lt;&gt;1,COUNTA($J1460:$M1460)=0),0,IF(SUMPRODUCT(MAX(($C$5:$C$2484=$C1460)*($D$5:$D$2484=$D1460)*($S$5:$S$2484=1)*IFERROR($N$5:$N$2484*1,0)))&gt;0,ROUND($H1460*($N1460/SUMPRODUCT(MAX(($C$5:$C$2484=$C1460)*($D$5:$D$2484=$D1460)*($S$5:$S$2484=1)*IFERROR($N$5:$N$2484*1,0)))),4),0)))</f>
        <v/>
      </c>
      <c r="P1460" s="48" t="inlineStr">
        <is>
          <t>coeff.</t>
        </is>
      </c>
      <c r="Q1460" s="57">
        <f>IF($A1460="","",$A1460&amp;"|"&amp;$C1460)</f>
        <v/>
      </c>
      <c r="R1460" s="57">
        <f>IF($A1460="","",$A1460&amp;"|"&amp;$C1460&amp;"|"&amp;$D1460)</f>
        <v/>
      </c>
      <c r="S1460" s="57">
        <f>IF($A1460="","",IFERROR(INDEX(Offerte!$D$2:$D$81,MATCH($Q1460,Offerte!$L$2:$L$81,0)),0))</f>
        <v/>
      </c>
      <c r="T1460" s="57">
        <f>IF($A1460="","",IFERROR(INDEX(Offerte!$G$2:$G$81,MATCH($Q1460,Offerte!$L$2:$L$81,0)),"NO"))</f>
        <v/>
      </c>
    </row>
    <row r="1461">
      <c r="A1461" s="48">
        <f>IF(Offerte!$A48="","",Offerte!$A48)</f>
        <v/>
      </c>
      <c r="B1461" s="48">
        <f>IF(Offerte!$A48="","",Offerte!$B48)</f>
        <v/>
      </c>
      <c r="C1461" s="48">
        <f>IF(Offerte!$A48="","",Offerte!$C48)</f>
        <v/>
      </c>
      <c r="D1461" s="48" t="inlineStr">
        <is>
          <t>G.5.1</t>
        </is>
      </c>
      <c r="E1461" s="48" t="inlineStr">
        <is>
          <t>G</t>
        </is>
      </c>
      <c r="F1461" s="48" t="inlineStr">
        <is>
          <t>T</t>
        </is>
      </c>
      <c r="G1461" s="48" t="inlineStr">
        <is>
          <t>tabular</t>
        </is>
      </c>
      <c r="H1461" s="48" t="n">
        <v>1</v>
      </c>
      <c r="I1461" s="48" t="inlineStr">
        <is>
          <t>Impegno al mantenimento delle garanzie del contratto di secondo livello del gestore uscente</t>
        </is>
      </c>
      <c r="J1461" s="73" t="n"/>
      <c r="K1461" s="73" t="n"/>
      <c r="L1461" s="73" t="n"/>
      <c r="M1461" s="73" t="n"/>
      <c r="N1461" s="57">
        <f>IF($A1461="","",IF(IFERROR(VALUE($M1461),0)=1,1,0))</f>
        <v/>
      </c>
      <c r="O1461" s="57">
        <f>IF($A1461="",0,IF(OR($S1461&lt;&gt;1,COUNTA($J1461:$M1461)=0),0,IF($N1461=1,$H1461,0)))</f>
        <v/>
      </c>
      <c r="P1461" s="48" t="inlineStr">
        <is>
          <t>sì/no</t>
        </is>
      </c>
      <c r="Q1461" s="57">
        <f>IF($A1461="","",$A1461&amp;"|"&amp;$C1461)</f>
        <v/>
      </c>
      <c r="R1461" s="57">
        <f>IF($A1461="","",$A1461&amp;"|"&amp;$C1461&amp;"|"&amp;$D1461)</f>
        <v/>
      </c>
      <c r="S1461" s="57">
        <f>IF($A1461="","",IFERROR(INDEX(Offerte!$D$2:$D$81,MATCH($Q1461,Offerte!$L$2:$L$81,0)),0))</f>
        <v/>
      </c>
      <c r="T1461" s="57">
        <f>IF($A1461="","",IFERROR(INDEX(Offerte!$G$2:$G$81,MATCH($Q1461,Offerte!$L$2:$L$81,0)),"NO"))</f>
        <v/>
      </c>
    </row>
    <row r="1462">
      <c r="A1462" s="48">
        <f>IF(Offerte!$A49="","",Offerte!$A49)</f>
        <v/>
      </c>
      <c r="B1462" s="48">
        <f>IF(Offerte!$A49="","",Offerte!$B49)</f>
        <v/>
      </c>
      <c r="C1462" s="48">
        <f>IF(Offerte!$A49="","",Offerte!$C49)</f>
        <v/>
      </c>
      <c r="D1462" s="48" t="inlineStr">
        <is>
          <t>A.1.1</t>
        </is>
      </c>
      <c r="E1462" s="48" t="inlineStr">
        <is>
          <t>A</t>
        </is>
      </c>
      <c r="F1462" s="48" t="inlineStr">
        <is>
          <t>Q</t>
        </is>
      </c>
      <c r="G1462" s="48" t="inlineStr">
        <is>
          <t>higher</t>
        </is>
      </c>
      <c r="H1462" s="48" t="n">
        <v>3</v>
      </c>
      <c r="I1462" s="48" t="inlineStr">
        <is>
          <t>Tasso aggiuntivo di corse controllate</t>
        </is>
      </c>
      <c r="J1462" s="73" t="n"/>
      <c r="K1462" s="73" t="n"/>
      <c r="L1462" s="73" t="n"/>
      <c r="M1462" s="73" t="n"/>
      <c r="N1462" s="57">
        <f>IF($A1462="","",IFERROR(VALUE($K1462)/VALUE($L1462)*100,IFERROR(VALUE($J1462),0)))</f>
        <v/>
      </c>
      <c r="O1462" s="57">
        <f>IF($A1462="",0,IF(OR($S1462&lt;&gt;1,COUNTA($J1462:$M1462)=0),0,IF(SUMPRODUCT(MAX(($C$5:$C$2484=$C1462)*($D$5:$D$2484=$D1462)*($S$5:$S$2484=1)*IFERROR($N$5:$N$2484*1,0)))&gt;0,ROUND($H1462*($N1462/SUMPRODUCT(MAX(($C$5:$C$2484=$C1462)*($D$5:$D$2484=$D1462)*($S$5:$S$2484=1)*IFERROR($N$5:$N$2484*1,0)))),4),0)))</f>
        <v/>
      </c>
      <c r="P1462" s="48" t="inlineStr">
        <is>
          <t>Corse controllate annue / Corse programmate annue</t>
        </is>
      </c>
      <c r="Q1462" s="57">
        <f>IF($A1462="","",$A1462&amp;"|"&amp;$C1462)</f>
        <v/>
      </c>
      <c r="R1462" s="57">
        <f>IF($A1462="","",$A1462&amp;"|"&amp;$C1462&amp;"|"&amp;$D1462)</f>
        <v/>
      </c>
      <c r="S1462" s="57">
        <f>IF($A1462="","",IFERROR(INDEX(Offerte!$D$2:$D$81,MATCH($Q1462,Offerte!$L$2:$L$81,0)),0))</f>
        <v/>
      </c>
      <c r="T1462" s="57">
        <f>IF($A1462="","",IFERROR(INDEX(Offerte!$G$2:$G$81,MATCH($Q1462,Offerte!$L$2:$L$81,0)),"NO"))</f>
        <v/>
      </c>
    </row>
    <row r="1463">
      <c r="A1463" s="48">
        <f>IF(Offerte!$A49="","",Offerte!$A49)</f>
        <v/>
      </c>
      <c r="B1463" s="48">
        <f>IF(Offerte!$A49="","",Offerte!$B49)</f>
        <v/>
      </c>
      <c r="C1463" s="48">
        <f>IF(Offerte!$A49="","",Offerte!$C49)</f>
        <v/>
      </c>
      <c r="D1463" s="48" t="inlineStr">
        <is>
          <t>A.1.2</t>
        </is>
      </c>
      <c r="E1463" s="48" t="inlineStr">
        <is>
          <t>A</t>
        </is>
      </c>
      <c r="F1463" s="48" t="inlineStr">
        <is>
          <t>Q</t>
        </is>
      </c>
      <c r="G1463" s="48" t="inlineStr">
        <is>
          <t>higher</t>
        </is>
      </c>
      <c r="H1463" s="48" t="n">
        <v>4</v>
      </c>
      <c r="I1463" s="48" t="inlineStr">
        <is>
          <t>Numero aggiuntivo di passeggeri controllati</t>
        </is>
      </c>
      <c r="J1463" s="73" t="n"/>
      <c r="K1463" s="73" t="n"/>
      <c r="L1463" s="73" t="n"/>
      <c r="M1463" s="73" t="n"/>
      <c r="N1463" s="57">
        <f>IF($A1463="","",IFERROR(VALUE($J1463),0))</f>
        <v/>
      </c>
      <c r="O1463" s="57">
        <f>IF($A1463="",0,IF(OR($S1463&lt;&gt;1,COUNTA($J1463:$M1463)=0),0,IF(SUMPRODUCT(MAX(($C$5:$C$2484=$C1463)*($D$5:$D$2484=$D1463)*($S$5:$S$2484=1)*IFERROR($N$5:$N$2484*1,0)))&gt;0,ROUND($H1463*($N1463/SUMPRODUCT(MAX(($C$5:$C$2484=$C1463)*($D$5:$D$2484=$D1463)*($S$5:$S$2484=1)*IFERROR($N$5:$N$2484*1,0)))),4),0)))</f>
        <v/>
      </c>
      <c r="P1463" s="48" t="inlineStr">
        <is>
          <t>passeggeri/anno</t>
        </is>
      </c>
      <c r="Q1463" s="57">
        <f>IF($A1463="","",$A1463&amp;"|"&amp;$C1463)</f>
        <v/>
      </c>
      <c r="R1463" s="57">
        <f>IF($A1463="","",$A1463&amp;"|"&amp;$C1463&amp;"|"&amp;$D1463)</f>
        <v/>
      </c>
      <c r="S1463" s="57">
        <f>IF($A1463="","",IFERROR(INDEX(Offerte!$D$2:$D$81,MATCH($Q1463,Offerte!$L$2:$L$81,0)),0))</f>
        <v/>
      </c>
      <c r="T1463" s="57">
        <f>IF($A1463="","",IFERROR(INDEX(Offerte!$G$2:$G$81,MATCH($Q1463,Offerte!$L$2:$L$81,0)),"NO"))</f>
        <v/>
      </c>
    </row>
    <row r="1464">
      <c r="A1464" s="48">
        <f>IF(Offerte!$A49="","",Offerte!$A49)</f>
        <v/>
      </c>
      <c r="B1464" s="48">
        <f>IF(Offerte!$A49="","",Offerte!$B49)</f>
        <v/>
      </c>
      <c r="C1464" s="48">
        <f>IF(Offerte!$A49="","",Offerte!$C49)</f>
        <v/>
      </c>
      <c r="D1464" s="48" t="inlineStr">
        <is>
          <t>B.1.1</t>
        </is>
      </c>
      <c r="E1464" s="48" t="inlineStr">
        <is>
          <t>B</t>
        </is>
      </c>
      <c r="F1464" s="48" t="inlineStr">
        <is>
          <t>Q</t>
        </is>
      </c>
      <c r="G1464" s="48" t="inlineStr">
        <is>
          <t>higher</t>
        </is>
      </c>
      <c r="H1464" s="48" t="n">
        <v>3</v>
      </c>
      <c r="I1464" s="48" t="inlineStr">
        <is>
          <t>Incremento dei posti offerti nelle fasce di punta</t>
        </is>
      </c>
      <c r="J1464" s="73" t="n"/>
      <c r="K1464" s="73" t="n"/>
      <c r="L1464" s="73" t="n"/>
      <c r="M1464" s="73" t="n"/>
      <c r="N1464" s="57">
        <f>IF($A1464="","",IFERROR(VALUE($J1464),0))</f>
        <v/>
      </c>
      <c r="O1464" s="57">
        <f>IF($A1464="",0,IF(OR($S1464&lt;&gt;1,COUNTA($J1464:$M1464)=0),0,IF(SUMPRODUCT(MAX(($C$5:$C$2484=$C1464)*($D$5:$D$2484=$D1464)*($S$5:$S$2484=1)*IFERROR($N$5:$N$2484*1,0)))&gt;0,ROUND($H1464*($N1464/SUMPRODUCT(MAX(($C$5:$C$2484=$C1464)*($D$5:$D$2484=$D1464)*($S$5:$S$2484=1)*IFERROR($N$5:$N$2484*1,0)))),4),0)))</f>
        <v/>
      </c>
      <c r="P1464" s="48" t="inlineStr">
        <is>
          <t>posti*km</t>
        </is>
      </c>
      <c r="Q1464" s="57">
        <f>IF($A1464="","",$A1464&amp;"|"&amp;$C1464)</f>
        <v/>
      </c>
      <c r="R1464" s="57">
        <f>IF($A1464="","",$A1464&amp;"|"&amp;$C1464&amp;"|"&amp;$D1464)</f>
        <v/>
      </c>
      <c r="S1464" s="57">
        <f>IF($A1464="","",IFERROR(INDEX(Offerte!$D$2:$D$81,MATCH($Q1464,Offerte!$L$2:$L$81,0)),0))</f>
        <v/>
      </c>
      <c r="T1464" s="57">
        <f>IF($A1464="","",IFERROR(INDEX(Offerte!$G$2:$G$81,MATCH($Q1464,Offerte!$L$2:$L$81,0)),"NO"))</f>
        <v/>
      </c>
    </row>
    <row r="1465">
      <c r="A1465" s="48">
        <f>IF(Offerte!$A49="","",Offerte!$A49)</f>
        <v/>
      </c>
      <c r="B1465" s="48">
        <f>IF(Offerte!$A49="","",Offerte!$B49)</f>
        <v/>
      </c>
      <c r="C1465" s="48">
        <f>IF(Offerte!$A49="","",Offerte!$C49)</f>
        <v/>
      </c>
      <c r="D1465" s="48" t="inlineStr">
        <is>
          <t>B.2.1</t>
        </is>
      </c>
      <c r="E1465" s="48" t="inlineStr">
        <is>
          <t>B</t>
        </is>
      </c>
      <c r="F1465" s="48" t="inlineStr">
        <is>
          <t>Q</t>
        </is>
      </c>
      <c r="G1465" s="48" t="inlineStr">
        <is>
          <t>higher</t>
        </is>
      </c>
      <c r="H1465" s="48" t="n">
        <v>4</v>
      </c>
      <c r="I1465" s="48" t="inlineStr">
        <is>
          <t>Corse aggiuntive nell'arco giornaliero base</t>
        </is>
      </c>
      <c r="J1465" s="73" t="n"/>
      <c r="K1465" s="73" t="n"/>
      <c r="L1465" s="73" t="n"/>
      <c r="M1465" s="73" t="n"/>
      <c r="N1465" s="57">
        <f>IF($A1465="","",IFERROR(VALUE($J1465),0))</f>
        <v/>
      </c>
      <c r="O1465" s="57">
        <f>IF($A1465="",0,IF(OR($S1465&lt;&gt;1,COUNTA($J1465:$M1465)=0),0,IF(SUMPRODUCT(MAX(($C$5:$C$2484=$C1465)*($D$5:$D$2484=$D1465)*($S$5:$S$2484=1)*IFERROR($N$5:$N$2484*1,0)))&gt;0,ROUND($H1465*($N1465/SUMPRODUCT(MAX(($C$5:$C$2484=$C1465)*($D$5:$D$2484=$D1465)*($S$5:$S$2484=1)*IFERROR($N$5:$N$2484*1,0)))),4),0)))</f>
        <v/>
      </c>
      <c r="P1465" s="48" t="inlineStr">
        <is>
          <t>corse</t>
        </is>
      </c>
      <c r="Q1465" s="57">
        <f>IF($A1465="","",$A1465&amp;"|"&amp;$C1465)</f>
        <v/>
      </c>
      <c r="R1465" s="57">
        <f>IF($A1465="","",$A1465&amp;"|"&amp;$C1465&amp;"|"&amp;$D1465)</f>
        <v/>
      </c>
      <c r="S1465" s="57">
        <f>IF($A1465="","",IFERROR(INDEX(Offerte!$D$2:$D$81,MATCH($Q1465,Offerte!$L$2:$L$81,0)),0))</f>
        <v/>
      </c>
      <c r="T1465" s="57">
        <f>IF($A1465="","",IFERROR(INDEX(Offerte!$G$2:$G$81,MATCH($Q1465,Offerte!$L$2:$L$81,0)),"NO"))</f>
        <v/>
      </c>
    </row>
    <row r="1466">
      <c r="A1466" s="48">
        <f>IF(Offerte!$A49="","",Offerte!$A49)</f>
        <v/>
      </c>
      <c r="B1466" s="48">
        <f>IF(Offerte!$A49="","",Offerte!$B49)</f>
        <v/>
      </c>
      <c r="C1466" s="48">
        <f>IF(Offerte!$A49="","",Offerte!$C49)</f>
        <v/>
      </c>
      <c r="D1466" s="48" t="inlineStr">
        <is>
          <t>B.3.1</t>
        </is>
      </c>
      <c r="E1466" s="48" t="inlineStr">
        <is>
          <t>B</t>
        </is>
      </c>
      <c r="F1466" s="48" t="inlineStr">
        <is>
          <t>Q</t>
        </is>
      </c>
      <c r="G1466" s="48" t="inlineStr">
        <is>
          <t>higher</t>
        </is>
      </c>
      <c r="H1466" s="48" t="n">
        <v>2</v>
      </c>
      <c r="I1466" s="48" t="inlineStr">
        <is>
          <t>Numero di corse aggiuntive per allungamento dell'arco di servizio giornaliero nelle fasce serali</t>
        </is>
      </c>
      <c r="J1466" s="73" t="n"/>
      <c r="K1466" s="73" t="n"/>
      <c r="L1466" s="73" t="n"/>
      <c r="M1466" s="73" t="n"/>
      <c r="N1466" s="57">
        <f>IF($A1466="","",IFERROR(VALUE($J1466),0))</f>
        <v/>
      </c>
      <c r="O1466" s="57">
        <f>IF($A1466="",0,IF(OR($S1466&lt;&gt;1,COUNTA($J1466:$M1466)=0),0,IF(SUMPRODUCT(MAX(($C$5:$C$2484=$C1466)*($D$5:$D$2484=$D1466)*($S$5:$S$2484=1)*IFERROR($N$5:$N$2484*1,0)))&gt;0,ROUND($H1466*($N1466/SUMPRODUCT(MAX(($C$5:$C$2484=$C1466)*($D$5:$D$2484=$D1466)*($S$5:$S$2484=1)*IFERROR($N$5:$N$2484*1,0)))),4),0)))</f>
        <v/>
      </c>
      <c r="P1466" s="48" t="inlineStr">
        <is>
          <t>corse</t>
        </is>
      </c>
      <c r="Q1466" s="57">
        <f>IF($A1466="","",$A1466&amp;"|"&amp;$C1466)</f>
        <v/>
      </c>
      <c r="R1466" s="57">
        <f>IF($A1466="","",$A1466&amp;"|"&amp;$C1466&amp;"|"&amp;$D1466)</f>
        <v/>
      </c>
      <c r="S1466" s="57">
        <f>IF($A1466="","",IFERROR(INDEX(Offerte!$D$2:$D$81,MATCH($Q1466,Offerte!$L$2:$L$81,0)),0))</f>
        <v/>
      </c>
      <c r="T1466" s="57">
        <f>IF($A1466="","",IFERROR(INDEX(Offerte!$G$2:$G$81,MATCH($Q1466,Offerte!$L$2:$L$81,0)),"NO"))</f>
        <v/>
      </c>
    </row>
    <row r="1467">
      <c r="A1467" s="48">
        <f>IF(Offerte!$A49="","",Offerte!$A49)</f>
        <v/>
      </c>
      <c r="B1467" s="48">
        <f>IF(Offerte!$A49="","",Offerte!$B49)</f>
        <v/>
      </c>
      <c r="C1467" s="48">
        <f>IF(Offerte!$A49="","",Offerte!$C49)</f>
        <v/>
      </c>
      <c r="D1467" s="48" t="inlineStr">
        <is>
          <t>B.4.1</t>
        </is>
      </c>
      <c r="E1467" s="48" t="inlineStr">
        <is>
          <t>B</t>
        </is>
      </c>
      <c r="F1467" s="48" t="inlineStr">
        <is>
          <t>Q</t>
        </is>
      </c>
      <c r="G1467" s="48" t="inlineStr">
        <is>
          <t>higher</t>
        </is>
      </c>
      <c r="H1467" s="48" t="n">
        <v>3</v>
      </c>
      <c r="I1467" s="48" t="inlineStr">
        <is>
          <t>Percorrenze aggiuntive offerte nel Programma d'esercizio delle prime due fasi attuative</t>
        </is>
      </c>
      <c r="J1467" s="73" t="n"/>
      <c r="K1467" s="73" t="n"/>
      <c r="L1467" s="73" t="n"/>
      <c r="M1467" s="73" t="n"/>
      <c r="N1467" s="57">
        <f>IF($A1467="","",IFERROR(VALUE($J1467),0))</f>
        <v/>
      </c>
      <c r="O1467" s="57">
        <f>IF($A1467="",0,IF(OR($S1467&lt;&gt;1,COUNTA($J1467:$M1467)=0),0,IF(SUMPRODUCT(MAX(($C$5:$C$2484=$C1467)*($D$5:$D$2484=$D1467)*($S$5:$S$2484=1)*IFERROR($N$5:$N$2484*1,0)))&gt;0,ROUND($H1467*($N1467/SUMPRODUCT(MAX(($C$5:$C$2484=$C1467)*($D$5:$D$2484=$D1467)*($S$5:$S$2484=1)*IFERROR($N$5:$N$2484*1,0)))),4),0)))</f>
        <v/>
      </c>
      <c r="P1467" s="48" t="inlineStr">
        <is>
          <t>vett*km</t>
        </is>
      </c>
      <c r="Q1467" s="57">
        <f>IF($A1467="","",$A1467&amp;"|"&amp;$C1467)</f>
        <v/>
      </c>
      <c r="R1467" s="57">
        <f>IF($A1467="","",$A1467&amp;"|"&amp;$C1467&amp;"|"&amp;$D1467)</f>
        <v/>
      </c>
      <c r="S1467" s="57">
        <f>IF($A1467="","",IFERROR(INDEX(Offerte!$D$2:$D$81,MATCH($Q1467,Offerte!$L$2:$L$81,0)),0))</f>
        <v/>
      </c>
      <c r="T1467" s="57">
        <f>IF($A1467="","",IFERROR(INDEX(Offerte!$G$2:$G$81,MATCH($Q1467,Offerte!$L$2:$L$81,0)),"NO"))</f>
        <v/>
      </c>
    </row>
    <row r="1468">
      <c r="A1468" s="48">
        <f>IF(Offerte!$A49="","",Offerte!$A49)</f>
        <v/>
      </c>
      <c r="B1468" s="48">
        <f>IF(Offerte!$A49="","",Offerte!$B49)</f>
        <v/>
      </c>
      <c r="C1468" s="48">
        <f>IF(Offerte!$A49="","",Offerte!$C49)</f>
        <v/>
      </c>
      <c r="D1468" s="48" t="inlineStr">
        <is>
          <t>B.5.1</t>
        </is>
      </c>
      <c r="E1468" s="48" t="inlineStr">
        <is>
          <t>B</t>
        </is>
      </c>
      <c r="F1468" s="48" t="inlineStr">
        <is>
          <t>D</t>
        </is>
      </c>
      <c r="G1468" s="48" t="inlineStr">
        <is>
          <t>discretionary</t>
        </is>
      </c>
      <c r="H1468" s="48" t="n">
        <v>2</v>
      </c>
      <c r="I1468" s="48" t="inlineStr">
        <is>
          <t>Efficacia del progetto di servizi complementari DRT</t>
        </is>
      </c>
      <c r="J1468" s="73" t="n"/>
      <c r="K1468" s="73" t="n"/>
      <c r="L1468" s="73" t="n"/>
      <c r="M1468" s="73" t="n"/>
      <c r="N1468" s="57">
        <f>IF($A1468="","",MAX(0,MIN(1,IFERROR(VALUE($M1468),0))))</f>
        <v/>
      </c>
      <c r="O1468" s="57">
        <f>IF($A1468="",0,IF(OR($S1468&lt;&gt;1,COUNTA($J1468:$M1468)=0),0,IF(SUMPRODUCT(MAX(($C$5:$C$2484=$C1468)*($D$5:$D$2484=$D1468)*($S$5:$S$2484=1)*IFERROR($N$5:$N$2484*1,0)))&gt;0,ROUND($H1468*($N1468/SUMPRODUCT(MAX(($C$5:$C$2484=$C1468)*($D$5:$D$2484=$D1468)*($S$5:$S$2484=1)*IFERROR($N$5:$N$2484*1,0)))),4),0)))</f>
        <v/>
      </c>
      <c r="P1468" s="48" t="inlineStr">
        <is>
          <t>coeff.</t>
        </is>
      </c>
      <c r="Q1468" s="57">
        <f>IF($A1468="","",$A1468&amp;"|"&amp;$C1468)</f>
        <v/>
      </c>
      <c r="R1468" s="57">
        <f>IF($A1468="","",$A1468&amp;"|"&amp;$C1468&amp;"|"&amp;$D1468)</f>
        <v/>
      </c>
      <c r="S1468" s="57">
        <f>IF($A1468="","",IFERROR(INDEX(Offerte!$D$2:$D$81,MATCH($Q1468,Offerte!$L$2:$L$81,0)),0))</f>
        <v/>
      </c>
      <c r="T1468" s="57">
        <f>IF($A1468="","",IFERROR(INDEX(Offerte!$G$2:$G$81,MATCH($Q1468,Offerte!$L$2:$L$81,0)),"NO"))</f>
        <v/>
      </c>
    </row>
    <row r="1469">
      <c r="A1469" s="48">
        <f>IF(Offerte!$A49="","",Offerte!$A49)</f>
        <v/>
      </c>
      <c r="B1469" s="48">
        <f>IF(Offerte!$A49="","",Offerte!$B49)</f>
        <v/>
      </c>
      <c r="C1469" s="48">
        <f>IF(Offerte!$A49="","",Offerte!$C49)</f>
        <v/>
      </c>
      <c r="D1469" s="48" t="inlineStr">
        <is>
          <t>C.1.1</t>
        </is>
      </c>
      <c r="E1469" s="48" t="inlineStr">
        <is>
          <t>C</t>
        </is>
      </c>
      <c r="F1469" s="48" t="inlineStr">
        <is>
          <t>Q</t>
        </is>
      </c>
      <c r="G1469" s="48" t="inlineStr">
        <is>
          <t>higher</t>
        </is>
      </c>
      <c r="H1469" s="48" t="n">
        <v>2</v>
      </c>
      <c r="I1469" s="48" t="inlineStr">
        <is>
          <t>Tasso di copertura del servizio con telecamere BSD</t>
        </is>
      </c>
      <c r="J1469" s="73" t="n"/>
      <c r="K1469" s="73" t="n"/>
      <c r="L1469" s="73" t="n"/>
      <c r="M1469" s="73" t="n"/>
      <c r="N1469" s="57">
        <f>IF($A1469="","",IFERROR(VALUE($K1469)/VALUE($L1469),IFERROR(VALUE($J1469),0)))</f>
        <v/>
      </c>
      <c r="O1469" s="57">
        <f>IF($A1469="",0,IF(OR($S1469&lt;&gt;1,COUNTA($J1469:$M1469)=0),0,IF(SUMPRODUCT(MAX(($C$5:$C$2484=$C1469)*($D$5:$D$2484=$D1469)*($S$5:$S$2484=1)*IFERROR($N$5:$N$2484*1,0)))&gt;0,ROUND($H1469*($N1469/SUMPRODUCT(MAX(($C$5:$C$2484=$C1469)*($D$5:$D$2484=$D1469)*($S$5:$S$2484=1)*IFERROR($N$5:$N$2484*1,0)))),4),0)))</f>
        <v/>
      </c>
      <c r="P1469" s="48" t="inlineStr">
        <is>
          <t>Autobus attrezzati con telecamere BSD / Autobus totali in offerta, incluse scorte</t>
        </is>
      </c>
      <c r="Q1469" s="57">
        <f>IF($A1469="","",$A1469&amp;"|"&amp;$C1469)</f>
        <v/>
      </c>
      <c r="R1469" s="57">
        <f>IF($A1469="","",$A1469&amp;"|"&amp;$C1469&amp;"|"&amp;$D1469)</f>
        <v/>
      </c>
      <c r="S1469" s="57">
        <f>IF($A1469="","",IFERROR(INDEX(Offerte!$D$2:$D$81,MATCH($Q1469,Offerte!$L$2:$L$81,0)),0))</f>
        <v/>
      </c>
      <c r="T1469" s="57">
        <f>IF($A1469="","",IFERROR(INDEX(Offerte!$G$2:$G$81,MATCH($Q1469,Offerte!$L$2:$L$81,0)),"NO"))</f>
        <v/>
      </c>
    </row>
    <row r="1470">
      <c r="A1470" s="48">
        <f>IF(Offerte!$A49="","",Offerte!$A49)</f>
        <v/>
      </c>
      <c r="B1470" s="48">
        <f>IF(Offerte!$A49="","",Offerte!$B49)</f>
        <v/>
      </c>
      <c r="C1470" s="48">
        <f>IF(Offerte!$A49="","",Offerte!$C49)</f>
        <v/>
      </c>
      <c r="D1470" s="48" t="inlineStr">
        <is>
          <t>C.1.2</t>
        </is>
      </c>
      <c r="E1470" s="48" t="inlineStr">
        <is>
          <t>C</t>
        </is>
      </c>
      <c r="F1470" s="48" t="inlineStr">
        <is>
          <t>Q</t>
        </is>
      </c>
      <c r="G1470" s="48" t="inlineStr">
        <is>
          <t>higher</t>
        </is>
      </c>
      <c r="H1470" s="48" t="n">
        <v>2</v>
      </c>
      <c r="I1470" s="48" t="inlineStr">
        <is>
          <t>Tasso di copertura del servizio con telecamere ADAS</t>
        </is>
      </c>
      <c r="J1470" s="73" t="n"/>
      <c r="K1470" s="73" t="n"/>
      <c r="L1470" s="73" t="n"/>
      <c r="M1470" s="73" t="n"/>
      <c r="N1470" s="57">
        <f>IF($A1470="","",IFERROR(VALUE($K1470)/VALUE($L1470),IFERROR(VALUE($J1470),0)))</f>
        <v/>
      </c>
      <c r="O1470" s="57">
        <f>IF($A1470="",0,IF(OR($S1470&lt;&gt;1,COUNTA($J1470:$M1470)=0),0,IF(SUMPRODUCT(MAX(($C$5:$C$2484=$C1470)*($D$5:$D$2484=$D1470)*($S$5:$S$2484=1)*IFERROR($N$5:$N$2484*1,0)))&gt;0,ROUND($H1470*($N1470/SUMPRODUCT(MAX(($C$5:$C$2484=$C1470)*($D$5:$D$2484=$D1470)*($S$5:$S$2484=1)*IFERROR($N$5:$N$2484*1,0)))),4),0)))</f>
        <v/>
      </c>
      <c r="P1470" s="48" t="inlineStr">
        <is>
          <t>Autobus attrezzati con telecamere ADAS / Autobus totali in offerta, incluse scorte</t>
        </is>
      </c>
      <c r="Q1470" s="57">
        <f>IF($A1470="","",$A1470&amp;"|"&amp;$C1470)</f>
        <v/>
      </c>
      <c r="R1470" s="57">
        <f>IF($A1470="","",$A1470&amp;"|"&amp;$C1470&amp;"|"&amp;$D1470)</f>
        <v/>
      </c>
      <c r="S1470" s="57">
        <f>IF($A1470="","",IFERROR(INDEX(Offerte!$D$2:$D$81,MATCH($Q1470,Offerte!$L$2:$L$81,0)),0))</f>
        <v/>
      </c>
      <c r="T1470" s="57">
        <f>IF($A1470="","",IFERROR(INDEX(Offerte!$G$2:$G$81,MATCH($Q1470,Offerte!$L$2:$L$81,0)),"NO"))</f>
        <v/>
      </c>
    </row>
    <row r="1471">
      <c r="A1471" s="48">
        <f>IF(Offerte!$A49="","",Offerte!$A49)</f>
        <v/>
      </c>
      <c r="B1471" s="48">
        <f>IF(Offerte!$A49="","",Offerte!$B49)</f>
        <v/>
      </c>
      <c r="C1471" s="48">
        <f>IF(Offerte!$A49="","",Offerte!$C49)</f>
        <v/>
      </c>
      <c r="D1471" s="48" t="inlineStr">
        <is>
          <t>C.2.1</t>
        </is>
      </c>
      <c r="E1471" s="48" t="inlineStr">
        <is>
          <t>C</t>
        </is>
      </c>
      <c r="F1471" s="48" t="inlineStr">
        <is>
          <t>Q</t>
        </is>
      </c>
      <c r="G1471" s="48" t="inlineStr">
        <is>
          <t>higher</t>
        </is>
      </c>
      <c r="H1471" s="48" t="n">
        <v>3</v>
      </c>
      <c r="I1471" s="48" t="inlineStr">
        <is>
          <t>Tasso di copertura del servizio con telecamere di bordo di videosorveglianza</t>
        </is>
      </c>
      <c r="J1471" s="73" t="n"/>
      <c r="K1471" s="73" t="n"/>
      <c r="L1471" s="73" t="n"/>
      <c r="M1471" s="73" t="n"/>
      <c r="N1471" s="57">
        <f>IF($A1471="","",IFERROR(VALUE($K1471)/VALUE($L1471),IFERROR(VALUE($J1471),0)))</f>
        <v/>
      </c>
      <c r="O1471" s="57">
        <f>IF($A1471="",0,IF(OR($S1471&lt;&gt;1,COUNTA($J1471:$M1471)=0),0,IF(SUMPRODUCT(MAX(($C$5:$C$2484=$C1471)*($D$5:$D$2484=$D1471)*($S$5:$S$2484=1)*IFERROR($N$5:$N$2484*1,0)))&gt;0,ROUND($H1471*($N1471/SUMPRODUCT(MAX(($C$5:$C$2484=$C1471)*($D$5:$D$2484=$D1471)*($S$5:$S$2484=1)*IFERROR($N$5:$N$2484*1,0)))),4),0)))</f>
        <v/>
      </c>
      <c r="P1471" s="48" t="inlineStr">
        <is>
          <t>Autobus attrezzati con videosorveglianza / Autobus totali in offerta, incluse scorte</t>
        </is>
      </c>
      <c r="Q1471" s="57">
        <f>IF($A1471="","",$A1471&amp;"|"&amp;$C1471)</f>
        <v/>
      </c>
      <c r="R1471" s="57">
        <f>IF($A1471="","",$A1471&amp;"|"&amp;$C1471&amp;"|"&amp;$D1471)</f>
        <v/>
      </c>
      <c r="S1471" s="57">
        <f>IF($A1471="","",IFERROR(INDEX(Offerte!$D$2:$D$81,MATCH($Q1471,Offerte!$L$2:$L$81,0)),0))</f>
        <v/>
      </c>
      <c r="T1471" s="57">
        <f>IF($A1471="","",IFERROR(INDEX(Offerte!$G$2:$G$81,MATCH($Q1471,Offerte!$L$2:$L$81,0)),"NO"))</f>
        <v/>
      </c>
    </row>
    <row r="1472">
      <c r="A1472" s="48">
        <f>IF(Offerte!$A49="","",Offerte!$A49)</f>
        <v/>
      </c>
      <c r="B1472" s="48">
        <f>IF(Offerte!$A49="","",Offerte!$B49)</f>
        <v/>
      </c>
      <c r="C1472" s="48">
        <f>IF(Offerte!$A49="","",Offerte!$C49)</f>
        <v/>
      </c>
      <c r="D1472" s="48" t="inlineStr">
        <is>
          <t>C.2.2</t>
        </is>
      </c>
      <c r="E1472" s="48" t="inlineStr">
        <is>
          <t>C</t>
        </is>
      </c>
      <c r="F1472" s="48" t="inlineStr">
        <is>
          <t>T</t>
        </is>
      </c>
      <c r="G1472" s="48" t="inlineStr">
        <is>
          <t>tabular</t>
        </is>
      </c>
      <c r="H1472" s="48" t="n">
        <v>1</v>
      </c>
      <c r="I1472" s="48" t="inlineStr">
        <is>
          <t>Software video/audio analisi per situazioni di pericolo</t>
        </is>
      </c>
      <c r="J1472" s="73" t="n"/>
      <c r="K1472" s="73" t="n"/>
      <c r="L1472" s="73" t="n"/>
      <c r="M1472" s="73" t="n"/>
      <c r="N1472" s="57">
        <f>IF($A1472="","",IF(IFERROR(VALUE($M1472),0)=1,1,0))</f>
        <v/>
      </c>
      <c r="O1472" s="57">
        <f>IF($A1472="",0,IF(OR($S1472&lt;&gt;1,COUNTA($J1472:$M1472)=0),0,IF($N1472=1,$H1472,0)))</f>
        <v/>
      </c>
      <c r="P1472" s="48" t="inlineStr">
        <is>
          <t>sì/no</t>
        </is>
      </c>
      <c r="Q1472" s="57">
        <f>IF($A1472="","",$A1472&amp;"|"&amp;$C1472)</f>
        <v/>
      </c>
      <c r="R1472" s="57">
        <f>IF($A1472="","",$A1472&amp;"|"&amp;$C1472&amp;"|"&amp;$D1472)</f>
        <v/>
      </c>
      <c r="S1472" s="57">
        <f>IF($A1472="","",IFERROR(INDEX(Offerte!$D$2:$D$81,MATCH($Q1472,Offerte!$L$2:$L$81,0)),0))</f>
        <v/>
      </c>
      <c r="T1472" s="57">
        <f>IF($A1472="","",IFERROR(INDEX(Offerte!$G$2:$G$81,MATCH($Q1472,Offerte!$L$2:$L$81,0)),"NO"))</f>
        <v/>
      </c>
    </row>
    <row r="1473">
      <c r="A1473" s="48">
        <f>IF(Offerte!$A49="","",Offerte!$A49)</f>
        <v/>
      </c>
      <c r="B1473" s="48">
        <f>IF(Offerte!$A49="","",Offerte!$B49)</f>
        <v/>
      </c>
      <c r="C1473" s="48">
        <f>IF(Offerte!$A49="","",Offerte!$C49)</f>
        <v/>
      </c>
      <c r="D1473" s="48" t="inlineStr">
        <is>
          <t>C.2.3</t>
        </is>
      </c>
      <c r="E1473" s="48" t="inlineStr">
        <is>
          <t>C</t>
        </is>
      </c>
      <c r="F1473" s="48" t="inlineStr">
        <is>
          <t>T</t>
        </is>
      </c>
      <c r="G1473" s="48" t="inlineStr">
        <is>
          <t>tabular</t>
        </is>
      </c>
      <c r="H1473" s="48" t="n">
        <v>1</v>
      </c>
      <c r="I1473" s="48" t="inlineStr">
        <is>
          <t>Collegamento con centrale qualificata di pronto intervento</t>
        </is>
      </c>
      <c r="J1473" s="73" t="n"/>
      <c r="K1473" s="73" t="n"/>
      <c r="L1473" s="73" t="n"/>
      <c r="M1473" s="73" t="n"/>
      <c r="N1473" s="57">
        <f>IF($A1473="","",IF(IFERROR(VALUE($M1473),0)=1,1,0))</f>
        <v/>
      </c>
      <c r="O1473" s="57">
        <f>IF($A1473="",0,IF(OR($S1473&lt;&gt;1,COUNTA($J1473:$M1473)=0),0,IF($N1473=1,$H1473,0)))</f>
        <v/>
      </c>
      <c r="P1473" s="48" t="inlineStr">
        <is>
          <t>sì/no</t>
        </is>
      </c>
      <c r="Q1473" s="57">
        <f>IF($A1473="","",$A1473&amp;"|"&amp;$C1473)</f>
        <v/>
      </c>
      <c r="R1473" s="57">
        <f>IF($A1473="","",$A1473&amp;"|"&amp;$C1473&amp;"|"&amp;$D1473)</f>
        <v/>
      </c>
      <c r="S1473" s="57">
        <f>IF($A1473="","",IFERROR(INDEX(Offerte!$D$2:$D$81,MATCH($Q1473,Offerte!$L$2:$L$81,0)),0))</f>
        <v/>
      </c>
      <c r="T1473" s="57">
        <f>IF($A1473="","",IFERROR(INDEX(Offerte!$G$2:$G$81,MATCH($Q1473,Offerte!$L$2:$L$81,0)),"NO"))</f>
        <v/>
      </c>
    </row>
    <row r="1474">
      <c r="A1474" s="48">
        <f>IF(Offerte!$A49="","",Offerte!$A49)</f>
        <v/>
      </c>
      <c r="B1474" s="48">
        <f>IF(Offerte!$A49="","",Offerte!$B49)</f>
        <v/>
      </c>
      <c r="C1474" s="48">
        <f>IF(Offerte!$A49="","",Offerte!$C49)</f>
        <v/>
      </c>
      <c r="D1474" s="48" t="inlineStr">
        <is>
          <t>C.2.4</t>
        </is>
      </c>
      <c r="E1474" s="48" t="inlineStr">
        <is>
          <t>C</t>
        </is>
      </c>
      <c r="F1474" s="48" t="inlineStr">
        <is>
          <t>Q</t>
        </is>
      </c>
      <c r="G1474" s="48" t="inlineStr">
        <is>
          <t>higher</t>
        </is>
      </c>
      <c r="H1474" s="48" t="n">
        <v>1</v>
      </c>
      <c r="I1474" s="48" t="inlineStr">
        <is>
          <t>Tasso di copertura del servizio con dispositivi per la chiamata di emergenza del conducente</t>
        </is>
      </c>
      <c r="J1474" s="73" t="n"/>
      <c r="K1474" s="73" t="n"/>
      <c r="L1474" s="73" t="n"/>
      <c r="M1474" s="73" t="n"/>
      <c r="N1474" s="57">
        <f>IF($A1474="","",IFERROR(VALUE($K1474)/VALUE($L1474),IFERROR(VALUE($J1474),0)))</f>
        <v/>
      </c>
      <c r="O1474" s="57">
        <f>IF($A1474="",0,IF(OR($S1474&lt;&gt;1,COUNTA($J1474:$M1474)=0),0,IF(SUMPRODUCT(MAX(($C$5:$C$2484=$C1474)*($D$5:$D$2484=$D1474)*($S$5:$S$2484=1)*IFERROR($N$5:$N$2484*1,0)))&gt;0,ROUND($H1474*($N1474/SUMPRODUCT(MAX(($C$5:$C$2484=$C1474)*($D$5:$D$2484=$D1474)*($S$5:$S$2484=1)*IFERROR($N$5:$N$2484*1,0)))),4),0)))</f>
        <v/>
      </c>
      <c r="P1474" s="48" t="inlineStr">
        <is>
          <t>Autobus attrezzati con chiamata di emergenza / Autobus totali in offerta, incluse scorte</t>
        </is>
      </c>
      <c r="Q1474" s="57">
        <f>IF($A1474="","",$A1474&amp;"|"&amp;$C1474)</f>
        <v/>
      </c>
      <c r="R1474" s="57">
        <f>IF($A1474="","",$A1474&amp;"|"&amp;$C1474&amp;"|"&amp;$D1474)</f>
        <v/>
      </c>
      <c r="S1474" s="57">
        <f>IF($A1474="","",IFERROR(INDEX(Offerte!$D$2:$D$81,MATCH($Q1474,Offerte!$L$2:$L$81,0)),0))</f>
        <v/>
      </c>
      <c r="T1474" s="57">
        <f>IF($A1474="","",IFERROR(INDEX(Offerte!$G$2:$G$81,MATCH($Q1474,Offerte!$L$2:$L$81,0)),"NO"))</f>
        <v/>
      </c>
    </row>
    <row r="1475">
      <c r="A1475" s="48">
        <f>IF(Offerte!$A49="","",Offerte!$A49)</f>
        <v/>
      </c>
      <c r="B1475" s="48">
        <f>IF(Offerte!$A49="","",Offerte!$B49)</f>
        <v/>
      </c>
      <c r="C1475" s="48">
        <f>IF(Offerte!$A49="","",Offerte!$C49)</f>
        <v/>
      </c>
      <c r="D1475" s="48" t="inlineStr">
        <is>
          <t>C.3.1</t>
        </is>
      </c>
      <c r="E1475" s="48" t="inlineStr">
        <is>
          <t>C</t>
        </is>
      </c>
      <c r="F1475" s="48" t="inlineStr">
        <is>
          <t>Q</t>
        </is>
      </c>
      <c r="G1475" s="48" t="inlineStr">
        <is>
          <t>higher</t>
        </is>
      </c>
      <c r="H1475" s="48" t="n">
        <v>2</v>
      </c>
      <c r="I1475" s="48" t="inlineStr">
        <is>
          <t>Tasso di copertura del servizio con dispositivi di informazione dinamica a bordo mezzo</t>
        </is>
      </c>
      <c r="J1475" s="73" t="n"/>
      <c r="K1475" s="73" t="n"/>
      <c r="L1475" s="73" t="n"/>
      <c r="M1475" s="73" t="n"/>
      <c r="N1475" s="57">
        <f>IF($A1475="","",IFERROR(VALUE($K1475)/VALUE($L1475),IFERROR(VALUE($J1475),0)))</f>
        <v/>
      </c>
      <c r="O1475" s="57">
        <f>IF($A1475="",0,IF(OR($S1475&lt;&gt;1,COUNTA($J1475:$M1475)=0),0,IF(SUMPRODUCT(MAX(($C$5:$C$2484=$C1475)*($D$5:$D$2484=$D1475)*($S$5:$S$2484=1)*IFERROR($N$5:$N$2484*1,0)))&gt;0,ROUND($H1475*($N1475/SUMPRODUCT(MAX(($C$5:$C$2484=$C1475)*($D$5:$D$2484=$D1475)*($S$5:$S$2484=1)*IFERROR($N$5:$N$2484*1,0)))),4),0)))</f>
        <v/>
      </c>
      <c r="P1475" s="48" t="inlineStr">
        <is>
          <t>Autobus con monitor e indicatori vocali / Autobus totali in offerta, incluse scorte</t>
        </is>
      </c>
      <c r="Q1475" s="57">
        <f>IF($A1475="","",$A1475&amp;"|"&amp;$C1475)</f>
        <v/>
      </c>
      <c r="R1475" s="57">
        <f>IF($A1475="","",$A1475&amp;"|"&amp;$C1475&amp;"|"&amp;$D1475)</f>
        <v/>
      </c>
      <c r="S1475" s="57">
        <f>IF($A1475="","",IFERROR(INDEX(Offerte!$D$2:$D$81,MATCH($Q1475,Offerte!$L$2:$L$81,0)),0))</f>
        <v/>
      </c>
      <c r="T1475" s="57">
        <f>IF($A1475="","",IFERROR(INDEX(Offerte!$G$2:$G$81,MATCH($Q1475,Offerte!$L$2:$L$81,0)),"NO"))</f>
        <v/>
      </c>
    </row>
    <row r="1476">
      <c r="A1476" s="48">
        <f>IF(Offerte!$A49="","",Offerte!$A49)</f>
        <v/>
      </c>
      <c r="B1476" s="48">
        <f>IF(Offerte!$A49="","",Offerte!$B49)</f>
        <v/>
      </c>
      <c r="C1476" s="48">
        <f>IF(Offerte!$A49="","",Offerte!$C49)</f>
        <v/>
      </c>
      <c r="D1476" s="48" t="inlineStr">
        <is>
          <t>C.3.2</t>
        </is>
      </c>
      <c r="E1476" s="48" t="inlineStr">
        <is>
          <t>C</t>
        </is>
      </c>
      <c r="F1476" s="48" t="inlineStr">
        <is>
          <t>T</t>
        </is>
      </c>
      <c r="G1476" s="48" t="inlineStr">
        <is>
          <t>tabular</t>
        </is>
      </c>
      <c r="H1476" s="48" t="n">
        <v>2</v>
      </c>
      <c r="I1476" s="48" t="inlineStr">
        <is>
          <t>Informazioni a bordo su coincidenze ai nodi</t>
        </is>
      </c>
      <c r="J1476" s="73" t="n"/>
      <c r="K1476" s="73" t="n"/>
      <c r="L1476" s="73" t="n"/>
      <c r="M1476" s="73" t="n"/>
      <c r="N1476" s="57">
        <f>IF($A1476="","",IF(IFERROR(VALUE($M1476),0)=1,1,0))</f>
        <v/>
      </c>
      <c r="O1476" s="57">
        <f>IF($A1476="",0,IF(OR($S1476&lt;&gt;1,COUNTA($J1476:$M1476)=0),0,IF(AND($N1476=1,IFERROR(SUMIFS($N$5:$N$2484,$Q$5:$Q$2484,$Q1476,$D$5:$D$2484,"C.3.1"),0)&gt;=0.5),$H1476,0)))</f>
        <v/>
      </c>
      <c r="P1476" s="48" t="inlineStr">
        <is>
          <t>Dipende da C.3.1 &gt;= 0.5</t>
        </is>
      </c>
      <c r="Q1476" s="57">
        <f>IF($A1476="","",$A1476&amp;"|"&amp;$C1476)</f>
        <v/>
      </c>
      <c r="R1476" s="57">
        <f>IF($A1476="","",$A1476&amp;"|"&amp;$C1476&amp;"|"&amp;$D1476)</f>
        <v/>
      </c>
      <c r="S1476" s="57">
        <f>IF($A1476="","",IFERROR(INDEX(Offerte!$D$2:$D$81,MATCH($Q1476,Offerte!$L$2:$L$81,0)),0))</f>
        <v/>
      </c>
      <c r="T1476" s="57">
        <f>IF($A1476="","",IFERROR(INDEX(Offerte!$G$2:$G$81,MATCH($Q1476,Offerte!$L$2:$L$81,0)),"NO"))</f>
        <v/>
      </c>
    </row>
    <row r="1477">
      <c r="A1477" s="48">
        <f>IF(Offerte!$A49="","",Offerte!$A49)</f>
        <v/>
      </c>
      <c r="B1477" s="48">
        <f>IF(Offerte!$A49="","",Offerte!$B49)</f>
        <v/>
      </c>
      <c r="C1477" s="48">
        <f>IF(Offerte!$A49="","",Offerte!$C49)</f>
        <v/>
      </c>
      <c r="D1477" s="48" t="inlineStr">
        <is>
          <t>D.1.1</t>
        </is>
      </c>
      <c r="E1477" s="48" t="inlineStr">
        <is>
          <t>D</t>
        </is>
      </c>
      <c r="F1477" s="48" t="inlineStr">
        <is>
          <t>Q</t>
        </is>
      </c>
      <c r="G1477" s="48" t="inlineStr">
        <is>
          <t>higher</t>
        </is>
      </c>
      <c r="H1477" s="48" t="n">
        <v>3</v>
      </c>
      <c r="I1477" s="48" t="inlineStr">
        <is>
          <t>Installazione di pensiline</t>
        </is>
      </c>
      <c r="J1477" s="73" t="n"/>
      <c r="K1477" s="73" t="n"/>
      <c r="L1477" s="73" t="n"/>
      <c r="M1477" s="73" t="n"/>
      <c r="N1477" s="57">
        <f>IF($A1477="","",IFERROR(VALUE($J1477),0))</f>
        <v/>
      </c>
      <c r="O1477" s="57">
        <f>IF($A1477="",0,IF(OR($S1477&lt;&gt;1,COUNTA($J1477:$M1477)=0),0,IF(SUMPRODUCT(MAX(($C$5:$C$2484=$C1477)*($D$5:$D$2484=$D1477)*($S$5:$S$2484=1)*IFERROR($N$5:$N$2484*1,0)))&gt;0,ROUND($H1477*($N1477/SUMPRODUCT(MAX(($C$5:$C$2484=$C1477)*($D$5:$D$2484=$D1477)*($S$5:$S$2484=1)*IFERROR($N$5:$N$2484*1,0)))),4),0)))</f>
        <v/>
      </c>
      <c r="P1477" s="48" t="inlineStr">
        <is>
          <t>fermate</t>
        </is>
      </c>
      <c r="Q1477" s="57">
        <f>IF($A1477="","",$A1477&amp;"|"&amp;$C1477)</f>
        <v/>
      </c>
      <c r="R1477" s="57">
        <f>IF($A1477="","",$A1477&amp;"|"&amp;$C1477&amp;"|"&amp;$D1477)</f>
        <v/>
      </c>
      <c r="S1477" s="57">
        <f>IF($A1477="","",IFERROR(INDEX(Offerte!$D$2:$D$81,MATCH($Q1477,Offerte!$L$2:$L$81,0)),0))</f>
        <v/>
      </c>
      <c r="T1477" s="57">
        <f>IF($A1477="","",IFERROR(INDEX(Offerte!$G$2:$G$81,MATCH($Q1477,Offerte!$L$2:$L$81,0)),"NO"))</f>
        <v/>
      </c>
    </row>
    <row r="1478">
      <c r="A1478" s="48">
        <f>IF(Offerte!$A49="","",Offerte!$A49)</f>
        <v/>
      </c>
      <c r="B1478" s="48">
        <f>IF(Offerte!$A49="","",Offerte!$B49)</f>
        <v/>
      </c>
      <c r="C1478" s="48">
        <f>IF(Offerte!$A49="","",Offerte!$C49)</f>
        <v/>
      </c>
      <c r="D1478" s="48" t="inlineStr">
        <is>
          <t>D.1.2</t>
        </is>
      </c>
      <c r="E1478" s="48" t="inlineStr">
        <is>
          <t>D</t>
        </is>
      </c>
      <c r="F1478" s="48" t="inlineStr">
        <is>
          <t>Q</t>
        </is>
      </c>
      <c r="G1478" s="48" t="inlineStr">
        <is>
          <t>higher</t>
        </is>
      </c>
      <c r="H1478" s="48" t="n">
        <v>3</v>
      </c>
      <c r="I1478" s="48" t="inlineStr">
        <is>
          <t>Installazione di paline di fermata conformi alla DGR 581/2023</t>
        </is>
      </c>
      <c r="J1478" s="73" t="n"/>
      <c r="K1478" s="73" t="n"/>
      <c r="L1478" s="73" t="n"/>
      <c r="M1478" s="73" t="n"/>
      <c r="N1478" s="57">
        <f>IF($A1478="","",IFERROR(VALUE($J1478),0))</f>
        <v/>
      </c>
      <c r="O1478" s="57">
        <f>IF($A1478="",0,IF(OR($S1478&lt;&gt;1,COUNTA($J1478:$M1478)=0),0,IF(SUMPRODUCT(MAX(($C$5:$C$2484=$C1478)*($D$5:$D$2484=$D1478)*($S$5:$S$2484=1)*IFERROR($N$5:$N$2484*1,0)))&gt;0,ROUND($H1478*($N1478/SUMPRODUCT(MAX(($C$5:$C$2484=$C1478)*($D$5:$D$2484=$D1478)*($S$5:$S$2484=1)*IFERROR($N$5:$N$2484*1,0)))),4),0)))</f>
        <v/>
      </c>
      <c r="P1478" s="48" t="inlineStr">
        <is>
          <t>fermate</t>
        </is>
      </c>
      <c r="Q1478" s="57">
        <f>IF($A1478="","",$A1478&amp;"|"&amp;$C1478)</f>
        <v/>
      </c>
      <c r="R1478" s="57">
        <f>IF($A1478="","",$A1478&amp;"|"&amp;$C1478&amp;"|"&amp;$D1478)</f>
        <v/>
      </c>
      <c r="S1478" s="57">
        <f>IF($A1478="","",IFERROR(INDEX(Offerte!$D$2:$D$81,MATCH($Q1478,Offerte!$L$2:$L$81,0)),0))</f>
        <v/>
      </c>
      <c r="T1478" s="57">
        <f>IF($A1478="","",IFERROR(INDEX(Offerte!$G$2:$G$81,MATCH($Q1478,Offerte!$L$2:$L$81,0)),"NO"))</f>
        <v/>
      </c>
    </row>
    <row r="1479">
      <c r="A1479" s="48">
        <f>IF(Offerte!$A49="","",Offerte!$A49)</f>
        <v/>
      </c>
      <c r="B1479" s="48">
        <f>IF(Offerte!$A49="","",Offerte!$B49)</f>
        <v/>
      </c>
      <c r="C1479" s="48">
        <f>IF(Offerte!$A49="","",Offerte!$C49)</f>
        <v/>
      </c>
      <c r="D1479" s="48" t="inlineStr">
        <is>
          <t>D.1.3</t>
        </is>
      </c>
      <c r="E1479" s="48" t="inlineStr">
        <is>
          <t>D</t>
        </is>
      </c>
      <c r="F1479" s="48" t="inlineStr">
        <is>
          <t>Q</t>
        </is>
      </c>
      <c r="G1479" s="48" t="inlineStr">
        <is>
          <t>higher</t>
        </is>
      </c>
      <c r="H1479" s="48" t="n">
        <v>2</v>
      </c>
      <c r="I1479" s="48" t="inlineStr">
        <is>
          <t>Display informativi connessi alle fermate</t>
        </is>
      </c>
      <c r="J1479" s="73" t="n"/>
      <c r="K1479" s="73" t="n"/>
      <c r="L1479" s="73" t="n"/>
      <c r="M1479" s="73" t="n"/>
      <c r="N1479" s="57">
        <f>IF($A1479="","",IFERROR(VALUE($J1479),0))</f>
        <v/>
      </c>
      <c r="O1479" s="57">
        <f>IF($A1479="",0,IF(OR($S1479&lt;&gt;1,COUNTA($J1479:$M1479)=0),0,IF(SUMPRODUCT(MAX(($C$5:$C$2484=$C1479)*($D$5:$D$2484=$D1479)*($S$5:$S$2484=1)*IFERROR($N$5:$N$2484*1,0)))&gt;0,ROUND($H1479*($N1479/SUMPRODUCT(MAX(($C$5:$C$2484=$C1479)*($D$5:$D$2484=$D1479)*($S$5:$S$2484=1)*IFERROR($N$5:$N$2484*1,0)))),4),0)))</f>
        <v/>
      </c>
      <c r="P1479" s="48" t="inlineStr">
        <is>
          <t>fermate</t>
        </is>
      </c>
      <c r="Q1479" s="57">
        <f>IF($A1479="","",$A1479&amp;"|"&amp;$C1479)</f>
        <v/>
      </c>
      <c r="R1479" s="57">
        <f>IF($A1479="","",$A1479&amp;"|"&amp;$C1479&amp;"|"&amp;$D1479)</f>
        <v/>
      </c>
      <c r="S1479" s="57">
        <f>IF($A1479="","",IFERROR(INDEX(Offerte!$D$2:$D$81,MATCH($Q1479,Offerte!$L$2:$L$81,0)),0))</f>
        <v/>
      </c>
      <c r="T1479" s="57">
        <f>IF($A1479="","",IFERROR(INDEX(Offerte!$G$2:$G$81,MATCH($Q1479,Offerte!$L$2:$L$81,0)),"NO"))</f>
        <v/>
      </c>
    </row>
    <row r="1480">
      <c r="A1480" s="48">
        <f>IF(Offerte!$A49="","",Offerte!$A49)</f>
        <v/>
      </c>
      <c r="B1480" s="48">
        <f>IF(Offerte!$A49="","",Offerte!$B49)</f>
        <v/>
      </c>
      <c r="C1480" s="48">
        <f>IF(Offerte!$A49="","",Offerte!$C49)</f>
        <v/>
      </c>
      <c r="D1480" s="48" t="inlineStr">
        <is>
          <t>D.2.1</t>
        </is>
      </c>
      <c r="E1480" s="48" t="inlineStr">
        <is>
          <t>D</t>
        </is>
      </c>
      <c r="F1480" s="48" t="inlineStr">
        <is>
          <t>Q</t>
        </is>
      </c>
      <c r="G1480" s="48" t="inlineStr">
        <is>
          <t>higher</t>
        </is>
      </c>
      <c r="H1480" s="48" t="n">
        <v>2</v>
      </c>
      <c r="I1480" s="48" t="inlineStr">
        <is>
          <t>Segnali tattili Loges-Vet-Evolution</t>
        </is>
      </c>
      <c r="J1480" s="73" t="n"/>
      <c r="K1480" s="73" t="n"/>
      <c r="L1480" s="73" t="n"/>
      <c r="M1480" s="73" t="n"/>
      <c r="N1480" s="57">
        <f>IF($A1480="","",IFERROR(VALUE($J1480),0))</f>
        <v/>
      </c>
      <c r="O1480" s="57">
        <f>IF($A1480="",0,IF(OR($S1480&lt;&gt;1,COUNTA($J1480:$M1480)=0),0,IF(SUMPRODUCT(MAX(($C$5:$C$2484=$C1480)*($D$5:$D$2484=$D1480)*($S$5:$S$2484=1)*IFERROR($N$5:$N$2484*1,0)))&gt;0,ROUND($H1480*($N1480/SUMPRODUCT(MAX(($C$5:$C$2484=$C1480)*($D$5:$D$2484=$D1480)*($S$5:$S$2484=1)*IFERROR($N$5:$N$2484*1,0)))),4),0)))</f>
        <v/>
      </c>
      <c r="P1480" s="48" t="inlineStr">
        <is>
          <t>fermate</t>
        </is>
      </c>
      <c r="Q1480" s="57">
        <f>IF($A1480="","",$A1480&amp;"|"&amp;$C1480)</f>
        <v/>
      </c>
      <c r="R1480" s="57">
        <f>IF($A1480="","",$A1480&amp;"|"&amp;$C1480&amp;"|"&amp;$D1480)</f>
        <v/>
      </c>
      <c r="S1480" s="57">
        <f>IF($A1480="","",IFERROR(INDEX(Offerte!$D$2:$D$81,MATCH($Q1480,Offerte!$L$2:$L$81,0)),0))</f>
        <v/>
      </c>
      <c r="T1480" s="57">
        <f>IF($A1480="","",IFERROR(INDEX(Offerte!$G$2:$G$81,MATCH($Q1480,Offerte!$L$2:$L$81,0)),"NO"))</f>
        <v/>
      </c>
    </row>
    <row r="1481">
      <c r="A1481" s="48">
        <f>IF(Offerte!$A49="","",Offerte!$A49)</f>
        <v/>
      </c>
      <c r="B1481" s="48">
        <f>IF(Offerte!$A49="","",Offerte!$B49)</f>
        <v/>
      </c>
      <c r="C1481" s="48">
        <f>IF(Offerte!$A49="","",Offerte!$C49)</f>
        <v/>
      </c>
      <c r="D1481" s="48" t="inlineStr">
        <is>
          <t>E.1.1</t>
        </is>
      </c>
      <c r="E1481" s="48" t="inlineStr">
        <is>
          <t>E</t>
        </is>
      </c>
      <c r="F1481" s="48" t="inlineStr">
        <is>
          <t>T</t>
        </is>
      </c>
      <c r="G1481" s="48" t="inlineStr">
        <is>
          <t>tabular</t>
        </is>
      </c>
      <c r="H1481" s="48" t="n">
        <v>2</v>
      </c>
      <c r="I1481" s="48" t="inlineStr">
        <is>
          <t>Mobile app con travel planner PRM</t>
        </is>
      </c>
      <c r="J1481" s="73" t="n"/>
      <c r="K1481" s="73" t="n"/>
      <c r="L1481" s="73" t="n"/>
      <c r="M1481" s="73" t="n"/>
      <c r="N1481" s="57">
        <f>IF($A1481="","",IF(IFERROR(VALUE($M1481),0)=1,1,0))</f>
        <v/>
      </c>
      <c r="O1481" s="57">
        <f>IF($A1481="",0,IF(OR($S1481&lt;&gt;1,COUNTA($J1481:$M1481)=0),0,IF($N1481=1,$H1481,0)))</f>
        <v/>
      </c>
      <c r="P1481" s="48" t="inlineStr">
        <is>
          <t>sì/no</t>
        </is>
      </c>
      <c r="Q1481" s="57">
        <f>IF($A1481="","",$A1481&amp;"|"&amp;$C1481)</f>
        <v/>
      </c>
      <c r="R1481" s="57">
        <f>IF($A1481="","",$A1481&amp;"|"&amp;$C1481&amp;"|"&amp;$D1481)</f>
        <v/>
      </c>
      <c r="S1481" s="57">
        <f>IF($A1481="","",IFERROR(INDEX(Offerte!$D$2:$D$81,MATCH($Q1481,Offerte!$L$2:$L$81,0)),0))</f>
        <v/>
      </c>
      <c r="T1481" s="57">
        <f>IF($A1481="","",IFERROR(INDEX(Offerte!$G$2:$G$81,MATCH($Q1481,Offerte!$L$2:$L$81,0)),"NO"))</f>
        <v/>
      </c>
    </row>
    <row r="1482">
      <c r="A1482" s="48">
        <f>IF(Offerte!$A49="","",Offerte!$A49)</f>
        <v/>
      </c>
      <c r="B1482" s="48">
        <f>IF(Offerte!$A49="","",Offerte!$B49)</f>
        <v/>
      </c>
      <c r="C1482" s="48">
        <f>IF(Offerte!$A49="","",Offerte!$C49)</f>
        <v/>
      </c>
      <c r="D1482" s="48" t="inlineStr">
        <is>
          <t>E.2.1</t>
        </is>
      </c>
      <c r="E1482" s="48" t="inlineStr">
        <is>
          <t>E</t>
        </is>
      </c>
      <c r="F1482" s="48" t="inlineStr">
        <is>
          <t>D</t>
        </is>
      </c>
      <c r="G1482" s="48" t="inlineStr">
        <is>
          <t>discretionary</t>
        </is>
      </c>
      <c r="H1482" s="48" t="n">
        <v>2</v>
      </c>
      <c r="I1482" s="48" t="inlineStr">
        <is>
          <t>Altre azioni informative e rapporti con gli utenti</t>
        </is>
      </c>
      <c r="J1482" s="73" t="n"/>
      <c r="K1482" s="73" t="n"/>
      <c r="L1482" s="73" t="n"/>
      <c r="M1482" s="73" t="n"/>
      <c r="N1482" s="57">
        <f>IF($A1482="","",MAX(0,MIN(1,IFERROR(VALUE($M1482),0))))</f>
        <v/>
      </c>
      <c r="O1482" s="57">
        <f>IF($A1482="",0,IF(OR($S1482&lt;&gt;1,COUNTA($J1482:$M1482)=0),0,IF(SUMPRODUCT(MAX(($C$5:$C$2484=$C1482)*($D$5:$D$2484=$D1482)*($S$5:$S$2484=1)*IFERROR($N$5:$N$2484*1,0)))&gt;0,ROUND($H1482*($N1482/SUMPRODUCT(MAX(($C$5:$C$2484=$C1482)*($D$5:$D$2484=$D1482)*($S$5:$S$2484=1)*IFERROR($N$5:$N$2484*1,0)))),4),0)))</f>
        <v/>
      </c>
      <c r="P1482" s="48" t="inlineStr">
        <is>
          <t>coeff.</t>
        </is>
      </c>
      <c r="Q1482" s="57">
        <f>IF($A1482="","",$A1482&amp;"|"&amp;$C1482)</f>
        <v/>
      </c>
      <c r="R1482" s="57">
        <f>IF($A1482="","",$A1482&amp;"|"&amp;$C1482&amp;"|"&amp;$D1482)</f>
        <v/>
      </c>
      <c r="S1482" s="57">
        <f>IF($A1482="","",IFERROR(INDEX(Offerte!$D$2:$D$81,MATCH($Q1482,Offerte!$L$2:$L$81,0)),0))</f>
        <v/>
      </c>
      <c r="T1482" s="57">
        <f>IF($A1482="","",IFERROR(INDEX(Offerte!$G$2:$G$81,MATCH($Q1482,Offerte!$L$2:$L$81,0)),"NO"))</f>
        <v/>
      </c>
    </row>
    <row r="1483">
      <c r="A1483" s="48">
        <f>IF(Offerte!$A49="","",Offerte!$A49)</f>
        <v/>
      </c>
      <c r="B1483" s="48">
        <f>IF(Offerte!$A49="","",Offerte!$B49)</f>
        <v/>
      </c>
      <c r="C1483" s="48">
        <f>IF(Offerte!$A49="","",Offerte!$C49)</f>
        <v/>
      </c>
      <c r="D1483" s="48" t="inlineStr">
        <is>
          <t>F.1.1</t>
        </is>
      </c>
      <c r="E1483" s="48" t="inlineStr">
        <is>
          <t>F</t>
        </is>
      </c>
      <c r="F1483" s="48" t="inlineStr">
        <is>
          <t>Q</t>
        </is>
      </c>
      <c r="G1483" s="48" t="inlineStr">
        <is>
          <t>lower</t>
        </is>
      </c>
      <c r="H1483" s="48" t="n">
        <v>7</v>
      </c>
      <c r="I1483" s="48" t="inlineStr">
        <is>
          <t>Performance ambientali del parco mezzi adibito al servizio - I_CEA</t>
        </is>
      </c>
      <c r="J1483" s="73" t="n"/>
      <c r="K1483" s="73" t="n"/>
      <c r="L1483" s="73" t="n"/>
      <c r="M1483" s="73" t="n"/>
      <c r="N1483" s="57">
        <f>IF($A1483="","",IFERROR(VALUE($J1483),0))</f>
        <v/>
      </c>
      <c r="O1483" s="57">
        <f>IF($A1483="",0,IF(OR($S1483&lt;&gt;1,COUNTA($J1483:$M1483)=0),0,IF(AND(IFERROR(AGGREGATE(15,6,$N$5:$N$2484/(($C$5:$C$2484=$C1483)*($D$5:$D$2484=$D1483)*($S$5:$S$2484=1)*($N$5:$N$2484&gt;0)),1),0)&gt;0,$N1483&gt;0),ROUND($H1483*(IFERROR(AGGREGATE(15,6,$N$5:$N$2484/(($C$5:$C$2484=$C1483)*($D$5:$D$2484=$D1483)*($S$5:$S$2484=1)*($N$5:$N$2484&gt;0)),1),0)/$N1483),4),0)))</f>
        <v/>
      </c>
      <c r="P1483" s="48" t="inlineStr">
        <is>
          <t>indice</t>
        </is>
      </c>
      <c r="Q1483" s="57">
        <f>IF($A1483="","",$A1483&amp;"|"&amp;$C1483)</f>
        <v/>
      </c>
      <c r="R1483" s="57">
        <f>IF($A1483="","",$A1483&amp;"|"&amp;$C1483&amp;"|"&amp;$D1483)</f>
        <v/>
      </c>
      <c r="S1483" s="57">
        <f>IF($A1483="","",IFERROR(INDEX(Offerte!$D$2:$D$81,MATCH($Q1483,Offerte!$L$2:$L$81,0)),0))</f>
        <v/>
      </c>
      <c r="T1483" s="57">
        <f>IF($A1483="","",IFERROR(INDEX(Offerte!$G$2:$G$81,MATCH($Q1483,Offerte!$L$2:$L$81,0)),"NO"))</f>
        <v/>
      </c>
    </row>
    <row r="1484">
      <c r="A1484" s="48">
        <f>IF(Offerte!$A49="","",Offerte!$A49)</f>
        <v/>
      </c>
      <c r="B1484" s="48">
        <f>IF(Offerte!$A49="","",Offerte!$B49)</f>
        <v/>
      </c>
      <c r="C1484" s="48">
        <f>IF(Offerte!$A49="","",Offerte!$C49)</f>
        <v/>
      </c>
      <c r="D1484" s="48" t="inlineStr">
        <is>
          <t>F.2.1</t>
        </is>
      </c>
      <c r="E1484" s="48" t="inlineStr">
        <is>
          <t>F</t>
        </is>
      </c>
      <c r="F1484" s="48" t="inlineStr">
        <is>
          <t>Q</t>
        </is>
      </c>
      <c r="G1484" s="48" t="inlineStr">
        <is>
          <t>higher</t>
        </is>
      </c>
      <c r="H1484" s="48" t="n">
        <v>2</v>
      </c>
      <c r="I1484" s="48" t="inlineStr">
        <is>
          <t>Tasso di copertura del servizio con dispositivi ECO-DRIVER</t>
        </is>
      </c>
      <c r="J1484" s="73" t="n"/>
      <c r="K1484" s="73" t="n"/>
      <c r="L1484" s="73" t="n"/>
      <c r="M1484" s="73" t="n"/>
      <c r="N1484" s="57">
        <f>IF($A1484="","",IFERROR(VALUE($K1484)/VALUE($L1484),IFERROR(VALUE($J1484),0)))</f>
        <v/>
      </c>
      <c r="O1484" s="57">
        <f>IF($A1484="",0,IF(OR($S1484&lt;&gt;1,COUNTA($J1484:$M1484)=0),0,IF(SUMPRODUCT(MAX(($C$5:$C$2484=$C1484)*($D$5:$D$2484=$D1484)*($S$5:$S$2484=1)*IFERROR($N$5:$N$2484*1,0)))&gt;0,ROUND($H1484*($N1484/SUMPRODUCT(MAX(($C$5:$C$2484=$C1484)*($D$5:$D$2484=$D1484)*($S$5:$S$2484=1)*IFERROR($N$5:$N$2484*1,0)))),4),0)))</f>
        <v/>
      </c>
      <c r="P1484" s="48" t="inlineStr">
        <is>
          <t>Autobus attrezzati con dispositivi ECO-DRIVER / Autobus totali in offerta, incluse scorte</t>
        </is>
      </c>
      <c r="Q1484" s="57">
        <f>IF($A1484="","",$A1484&amp;"|"&amp;$C1484)</f>
        <v/>
      </c>
      <c r="R1484" s="57">
        <f>IF($A1484="","",$A1484&amp;"|"&amp;$C1484&amp;"|"&amp;$D1484)</f>
        <v/>
      </c>
      <c r="S1484" s="57">
        <f>IF($A1484="","",IFERROR(INDEX(Offerte!$D$2:$D$81,MATCH($Q1484,Offerte!$L$2:$L$81,0)),0))</f>
        <v/>
      </c>
      <c r="T1484" s="57">
        <f>IF($A1484="","",IFERROR(INDEX(Offerte!$G$2:$G$81,MATCH($Q1484,Offerte!$L$2:$L$81,0)),"NO"))</f>
        <v/>
      </c>
    </row>
    <row r="1485">
      <c r="A1485" s="48">
        <f>IF(Offerte!$A49="","",Offerte!$A49)</f>
        <v/>
      </c>
      <c r="B1485" s="48">
        <f>IF(Offerte!$A49="","",Offerte!$B49)</f>
        <v/>
      </c>
      <c r="C1485" s="48">
        <f>IF(Offerte!$A49="","",Offerte!$C49)</f>
        <v/>
      </c>
      <c r="D1485" s="48" t="inlineStr">
        <is>
          <t>F.3.1</t>
        </is>
      </c>
      <c r="E1485" s="48" t="inlineStr">
        <is>
          <t>F</t>
        </is>
      </c>
      <c r="F1485" s="48" t="inlineStr">
        <is>
          <t>Q</t>
        </is>
      </c>
      <c r="G1485" s="48" t="inlineStr">
        <is>
          <t>higher</t>
        </is>
      </c>
      <c r="H1485" s="48" t="n">
        <v>2</v>
      </c>
      <c r="I1485" s="48" t="inlineStr">
        <is>
          <t>Autoproduzione consumi elettrici per trazione</t>
        </is>
      </c>
      <c r="J1485" s="73" t="n"/>
      <c r="K1485" s="73" t="n"/>
      <c r="L1485" s="73" t="n"/>
      <c r="M1485" s="73" t="n"/>
      <c r="N1485" s="57">
        <f>IF($A1485="","",IFERROR(VALUE($J1485),0))</f>
        <v/>
      </c>
      <c r="O1485" s="57">
        <f>IF($A1485="",0,IF(OR($S1485&lt;&gt;1,COUNTA($J1485:$M1485)=0),0,IF(SUMPRODUCT(MAX(($C$5:$C$2484=$C1485)*($D$5:$D$2484=$D1485)*($S$5:$S$2484=1)*IFERROR($N$5:$N$2484*1,0)))&gt;0,ROUND($H1485*($N1485/SUMPRODUCT(MAX(($C$5:$C$2484=$C1485)*($D$5:$D$2484=$D1485)*($S$5:$S$2484=1)*IFERROR($N$5:$N$2484*1,0)))),4),0)))</f>
        <v/>
      </c>
      <c r="P1485" s="48" t="inlineStr">
        <is>
          <t>kWh/anno</t>
        </is>
      </c>
      <c r="Q1485" s="57">
        <f>IF($A1485="","",$A1485&amp;"|"&amp;$C1485)</f>
        <v/>
      </c>
      <c r="R1485" s="57">
        <f>IF($A1485="","",$A1485&amp;"|"&amp;$C1485&amp;"|"&amp;$D1485)</f>
        <v/>
      </c>
      <c r="S1485" s="57">
        <f>IF($A1485="","",IFERROR(INDEX(Offerte!$D$2:$D$81,MATCH($Q1485,Offerte!$L$2:$L$81,0)),0))</f>
        <v/>
      </c>
      <c r="T1485" s="57">
        <f>IF($A1485="","",IFERROR(INDEX(Offerte!$G$2:$G$81,MATCH($Q1485,Offerte!$L$2:$L$81,0)),"NO"))</f>
        <v/>
      </c>
    </row>
    <row r="1486">
      <c r="A1486" s="48">
        <f>IF(Offerte!$A49="","",Offerte!$A49)</f>
        <v/>
      </c>
      <c r="B1486" s="48">
        <f>IF(Offerte!$A49="","",Offerte!$B49)</f>
        <v/>
      </c>
      <c r="C1486" s="48">
        <f>IF(Offerte!$A49="","",Offerte!$C49)</f>
        <v/>
      </c>
      <c r="D1486" s="48" t="inlineStr">
        <is>
          <t>F.4.1</t>
        </is>
      </c>
      <c r="E1486" s="48" t="inlineStr">
        <is>
          <t>F</t>
        </is>
      </c>
      <c r="F1486" s="48" t="inlineStr">
        <is>
          <t>Q</t>
        </is>
      </c>
      <c r="G1486" s="48" t="inlineStr">
        <is>
          <t>soil</t>
        </is>
      </c>
      <c r="H1486" s="48" t="n">
        <v>2</v>
      </c>
      <c r="I1486" s="48" t="inlineStr">
        <is>
          <t>Indice di consumo di suolo</t>
        </is>
      </c>
      <c r="J1486" s="73" t="n"/>
      <c r="K1486" s="73" t="n"/>
      <c r="L1486" s="73" t="n"/>
      <c r="M1486" s="73" t="n"/>
      <c r="N1486" s="57">
        <f>IF($A1486="","",IFERROR(VALUE($J1486),0))</f>
        <v/>
      </c>
      <c r="O1486" s="57">
        <f>IF($A1486="",0,IF(OR($S1486&lt;&gt;1,COUNTA($J1486:$M1486)=0),0,IF($N1486&lt;=0,$H1486,IF(SUMPRODUCT(MAX(($C$5:$C$2484=$C1486)*($D$5:$D$2484=$D1486)*($S$5:$S$2484=1)*IFERROR($N$5:$N$2484*1,0)))&gt;0,ROUND($H1486*((SUMPRODUCT(MAX(($C$5:$C$2484=$C1486)*($D$5:$D$2484=$D1486)*($S$5:$S$2484=1)*IFERROR($N$5:$N$2484*1,0)))-$N1486)/SUMPRODUCT(MAX(($C$5:$C$2484=$C1486)*($D$5:$D$2484=$D1486)*($S$5:$S$2484=1)*IFERROR($N$5:$N$2484*1,0)))),4),0))))</f>
        <v/>
      </c>
      <c r="P1486" s="48" t="inlineStr">
        <is>
          <t>m2</t>
        </is>
      </c>
      <c r="Q1486" s="57">
        <f>IF($A1486="","",$A1486&amp;"|"&amp;$C1486)</f>
        <v/>
      </c>
      <c r="R1486" s="57">
        <f>IF($A1486="","",$A1486&amp;"|"&amp;$C1486&amp;"|"&amp;$D1486)</f>
        <v/>
      </c>
      <c r="S1486" s="57">
        <f>IF($A1486="","",IFERROR(INDEX(Offerte!$D$2:$D$81,MATCH($Q1486,Offerte!$L$2:$L$81,0)),0))</f>
        <v/>
      </c>
      <c r="T1486" s="57">
        <f>IF($A1486="","",IFERROR(INDEX(Offerte!$G$2:$G$81,MATCH($Q1486,Offerte!$L$2:$L$81,0)),"NO"))</f>
        <v/>
      </c>
    </row>
    <row r="1487">
      <c r="A1487" s="48">
        <f>IF(Offerte!$A49="","",Offerte!$A49)</f>
        <v/>
      </c>
      <c r="B1487" s="48">
        <f>IF(Offerte!$A49="","",Offerte!$B49)</f>
        <v/>
      </c>
      <c r="C1487" s="48">
        <f>IF(Offerte!$A49="","",Offerte!$C49)</f>
        <v/>
      </c>
      <c r="D1487" s="48" t="inlineStr">
        <is>
          <t>F.5.1</t>
        </is>
      </c>
      <c r="E1487" s="48" t="inlineStr">
        <is>
          <t>F</t>
        </is>
      </c>
      <c r="F1487" s="48" t="inlineStr">
        <is>
          <t>T</t>
        </is>
      </c>
      <c r="G1487" s="48" t="inlineStr">
        <is>
          <t>tabular</t>
        </is>
      </c>
      <c r="H1487" s="48" t="n">
        <v>1</v>
      </c>
      <c r="I1487" s="48" t="inlineStr">
        <is>
          <t>Rendicontazione di sostenibilità ambientale</t>
        </is>
      </c>
      <c r="J1487" s="73" t="n"/>
      <c r="K1487" s="73" t="n"/>
      <c r="L1487" s="73" t="n"/>
      <c r="M1487" s="73" t="n"/>
      <c r="N1487" s="57">
        <f>IF($A1487="","",IF(IFERROR(VALUE($M1487),0)=1,1,0))</f>
        <v/>
      </c>
      <c r="O1487" s="57">
        <f>IF($A1487="",0,IF(OR($S1487&lt;&gt;1,COUNTA($J1487:$M1487)=0),0,IF($N1487=1,$H1487,0)))</f>
        <v/>
      </c>
      <c r="P1487" s="48" t="inlineStr">
        <is>
          <t>sì/no</t>
        </is>
      </c>
      <c r="Q1487" s="57">
        <f>IF($A1487="","",$A1487&amp;"|"&amp;$C1487)</f>
        <v/>
      </c>
      <c r="R1487" s="57">
        <f>IF($A1487="","",$A1487&amp;"|"&amp;$C1487&amp;"|"&amp;$D1487)</f>
        <v/>
      </c>
      <c r="S1487" s="57">
        <f>IF($A1487="","",IFERROR(INDEX(Offerte!$D$2:$D$81,MATCH($Q1487,Offerte!$L$2:$L$81,0)),0))</f>
        <v/>
      </c>
      <c r="T1487" s="57">
        <f>IF($A1487="","",IFERROR(INDEX(Offerte!$G$2:$G$81,MATCH($Q1487,Offerte!$L$2:$L$81,0)),"NO"))</f>
        <v/>
      </c>
    </row>
    <row r="1488">
      <c r="A1488" s="48">
        <f>IF(Offerte!$A49="","",Offerte!$A49)</f>
        <v/>
      </c>
      <c r="B1488" s="48">
        <f>IF(Offerte!$A49="","",Offerte!$B49)</f>
        <v/>
      </c>
      <c r="C1488" s="48">
        <f>IF(Offerte!$A49="","",Offerte!$C49)</f>
        <v/>
      </c>
      <c r="D1488" s="48" t="inlineStr">
        <is>
          <t>G.1.1</t>
        </is>
      </c>
      <c r="E1488" s="48" t="inlineStr">
        <is>
          <t>G</t>
        </is>
      </c>
      <c r="F1488" s="48" t="inlineStr">
        <is>
          <t>D</t>
        </is>
      </c>
      <c r="G1488" s="48" t="inlineStr">
        <is>
          <t>discretionary</t>
        </is>
      </c>
      <c r="H1488" s="48" t="n">
        <v>2</v>
      </c>
      <c r="I1488" s="48" t="inlineStr">
        <is>
          <t>Qualità del progetto di centrale di controllo aziendale</t>
        </is>
      </c>
      <c r="J1488" s="73" t="n"/>
      <c r="K1488" s="73" t="n"/>
      <c r="L1488" s="73" t="n"/>
      <c r="M1488" s="73" t="n"/>
      <c r="N1488" s="57">
        <f>IF($A1488="","",MAX(0,MIN(1,IFERROR(VALUE($M1488),0))))</f>
        <v/>
      </c>
      <c r="O1488" s="57">
        <f>IF($A1488="",0,IF(OR($S1488&lt;&gt;1,COUNTA($J1488:$M1488)=0),0,IF(SUMPRODUCT(MAX(($C$5:$C$2484=$C1488)*($D$5:$D$2484=$D1488)*($S$5:$S$2484=1)*IFERROR($N$5:$N$2484*1,0)))&gt;0,ROUND($H1488*($N1488/SUMPRODUCT(MAX(($C$5:$C$2484=$C1488)*($D$5:$D$2484=$D1488)*($S$5:$S$2484=1)*IFERROR($N$5:$N$2484*1,0)))),4),0)))</f>
        <v/>
      </c>
      <c r="P1488" s="48" t="inlineStr">
        <is>
          <t>coeff.</t>
        </is>
      </c>
      <c r="Q1488" s="57">
        <f>IF($A1488="","",$A1488&amp;"|"&amp;$C1488)</f>
        <v/>
      </c>
      <c r="R1488" s="57">
        <f>IF($A1488="","",$A1488&amp;"|"&amp;$C1488&amp;"|"&amp;$D1488)</f>
        <v/>
      </c>
      <c r="S1488" s="57">
        <f>IF($A1488="","",IFERROR(INDEX(Offerte!$D$2:$D$81,MATCH($Q1488,Offerte!$L$2:$L$81,0)),0))</f>
        <v/>
      </c>
      <c r="T1488" s="57">
        <f>IF($A1488="","",IFERROR(INDEX(Offerte!$G$2:$G$81,MATCH($Q1488,Offerte!$L$2:$L$81,0)),"NO"))</f>
        <v/>
      </c>
    </row>
    <row r="1489">
      <c r="A1489" s="48">
        <f>IF(Offerte!$A49="","",Offerte!$A49)</f>
        <v/>
      </c>
      <c r="B1489" s="48">
        <f>IF(Offerte!$A49="","",Offerte!$B49)</f>
        <v/>
      </c>
      <c r="C1489" s="48">
        <f>IF(Offerte!$A49="","",Offerte!$C49)</f>
        <v/>
      </c>
      <c r="D1489" s="48" t="inlineStr">
        <is>
          <t>G.2.1</t>
        </is>
      </c>
      <c r="E1489" s="48" t="inlineStr">
        <is>
          <t>G</t>
        </is>
      </c>
      <c r="F1489" s="48" t="inlineStr">
        <is>
          <t>T</t>
        </is>
      </c>
      <c r="G1489" s="48" t="inlineStr">
        <is>
          <t>tabular</t>
        </is>
      </c>
      <c r="H1489" s="48" t="n">
        <v>1</v>
      </c>
      <c r="I1489" s="48" t="inlineStr">
        <is>
          <t>Certificazione ISO 45001</t>
        </is>
      </c>
      <c r="J1489" s="73" t="n"/>
      <c r="K1489" s="73" t="n"/>
      <c r="L1489" s="73" t="n"/>
      <c r="M1489" s="73" t="n"/>
      <c r="N1489" s="57">
        <f>IF($A1489="","",IF(IFERROR(VALUE($M1489),0)=1,1,0))</f>
        <v/>
      </c>
      <c r="O1489" s="57">
        <f>IF($A1489="",0,IF(OR($S1489&lt;&gt;1,COUNTA($J1489:$M1489)=0),0,IF($N1489=1,$H1489,0)))</f>
        <v/>
      </c>
      <c r="P1489" s="48" t="inlineStr">
        <is>
          <t>sì/no</t>
        </is>
      </c>
      <c r="Q1489" s="57">
        <f>IF($A1489="","",$A1489&amp;"|"&amp;$C1489)</f>
        <v/>
      </c>
      <c r="R1489" s="57">
        <f>IF($A1489="","",$A1489&amp;"|"&amp;$C1489&amp;"|"&amp;$D1489)</f>
        <v/>
      </c>
      <c r="S1489" s="57">
        <f>IF($A1489="","",IFERROR(INDEX(Offerte!$D$2:$D$81,MATCH($Q1489,Offerte!$L$2:$L$81,0)),0))</f>
        <v/>
      </c>
      <c r="T1489" s="57">
        <f>IF($A1489="","",IFERROR(INDEX(Offerte!$G$2:$G$81,MATCH($Q1489,Offerte!$L$2:$L$81,0)),"NO"))</f>
        <v/>
      </c>
    </row>
    <row r="1490">
      <c r="A1490" s="48">
        <f>IF(Offerte!$A49="","",Offerte!$A49)</f>
        <v/>
      </c>
      <c r="B1490" s="48">
        <f>IF(Offerte!$A49="","",Offerte!$B49)</f>
        <v/>
      </c>
      <c r="C1490" s="48">
        <f>IF(Offerte!$A49="","",Offerte!$C49)</f>
        <v/>
      </c>
      <c r="D1490" s="48" t="inlineStr">
        <is>
          <t>G.3.1</t>
        </is>
      </c>
      <c r="E1490" s="48" t="inlineStr">
        <is>
          <t>G</t>
        </is>
      </c>
      <c r="F1490" s="48" t="inlineStr">
        <is>
          <t>T</t>
        </is>
      </c>
      <c r="G1490" s="48" t="inlineStr">
        <is>
          <t>tabular</t>
        </is>
      </c>
      <c r="H1490" s="48" t="n">
        <v>1</v>
      </c>
      <c r="I1490" s="48" t="inlineStr">
        <is>
          <t>Certificazioni di responsabilità sociale</t>
        </is>
      </c>
      <c r="J1490" s="73" t="n"/>
      <c r="K1490" s="73" t="n"/>
      <c r="L1490" s="73" t="n"/>
      <c r="M1490" s="73" t="n"/>
      <c r="N1490" s="57">
        <f>IF($A1490="","",IF(IFERROR(VALUE($M1490),0)=1,1,0))</f>
        <v/>
      </c>
      <c r="O1490" s="57">
        <f>IF($A1490="",0,IF(OR($S1490&lt;&gt;1,COUNTA($J1490:$M1490)=0),0,IF($N1490=1,$H1490,0)))</f>
        <v/>
      </c>
      <c r="P1490" s="48" t="inlineStr">
        <is>
          <t>sì/no</t>
        </is>
      </c>
      <c r="Q1490" s="57">
        <f>IF($A1490="","",$A1490&amp;"|"&amp;$C1490)</f>
        <v/>
      </c>
      <c r="R1490" s="57">
        <f>IF($A1490="","",$A1490&amp;"|"&amp;$C1490&amp;"|"&amp;$D1490)</f>
        <v/>
      </c>
      <c r="S1490" s="57">
        <f>IF($A1490="","",IFERROR(INDEX(Offerte!$D$2:$D$81,MATCH($Q1490,Offerte!$L$2:$L$81,0)),0))</f>
        <v/>
      </c>
      <c r="T1490" s="57">
        <f>IF($A1490="","",IFERROR(INDEX(Offerte!$G$2:$G$81,MATCH($Q1490,Offerte!$L$2:$L$81,0)),"NO"))</f>
        <v/>
      </c>
    </row>
    <row r="1491">
      <c r="A1491" s="48">
        <f>IF(Offerte!$A49="","",Offerte!$A49)</f>
        <v/>
      </c>
      <c r="B1491" s="48">
        <f>IF(Offerte!$A49="","",Offerte!$B49)</f>
        <v/>
      </c>
      <c r="C1491" s="48">
        <f>IF(Offerte!$A49="","",Offerte!$C49)</f>
        <v/>
      </c>
      <c r="D1491" s="48" t="inlineStr">
        <is>
          <t>G.4.1</t>
        </is>
      </c>
      <c r="E1491" s="48" t="inlineStr">
        <is>
          <t>G</t>
        </is>
      </c>
      <c r="F1491" s="48" t="inlineStr">
        <is>
          <t>D</t>
        </is>
      </c>
      <c r="G1491" s="48" t="inlineStr">
        <is>
          <t>discretionary</t>
        </is>
      </c>
      <c r="H1491" s="48" t="n">
        <v>2</v>
      </c>
      <c r="I1491" s="48" t="inlineStr">
        <is>
          <t>Qualità del piano di formazione del personale</t>
        </is>
      </c>
      <c r="J1491" s="73" t="n"/>
      <c r="K1491" s="73" t="n"/>
      <c r="L1491" s="73" t="n"/>
      <c r="M1491" s="73" t="n"/>
      <c r="N1491" s="57">
        <f>IF($A1491="","",MAX(0,MIN(1,IFERROR(VALUE($M1491),0))))</f>
        <v/>
      </c>
      <c r="O1491" s="57">
        <f>IF($A1491="",0,IF(OR($S1491&lt;&gt;1,COUNTA($J1491:$M1491)=0),0,IF(SUMPRODUCT(MAX(($C$5:$C$2484=$C1491)*($D$5:$D$2484=$D1491)*($S$5:$S$2484=1)*IFERROR($N$5:$N$2484*1,0)))&gt;0,ROUND($H1491*($N1491/SUMPRODUCT(MAX(($C$5:$C$2484=$C1491)*($D$5:$D$2484=$D1491)*($S$5:$S$2484=1)*IFERROR($N$5:$N$2484*1,0)))),4),0)))</f>
        <v/>
      </c>
      <c r="P1491" s="48" t="inlineStr">
        <is>
          <t>coeff.</t>
        </is>
      </c>
      <c r="Q1491" s="57">
        <f>IF($A1491="","",$A1491&amp;"|"&amp;$C1491)</f>
        <v/>
      </c>
      <c r="R1491" s="57">
        <f>IF($A1491="","",$A1491&amp;"|"&amp;$C1491&amp;"|"&amp;$D1491)</f>
        <v/>
      </c>
      <c r="S1491" s="57">
        <f>IF($A1491="","",IFERROR(INDEX(Offerte!$D$2:$D$81,MATCH($Q1491,Offerte!$L$2:$L$81,0)),0))</f>
        <v/>
      </c>
      <c r="T1491" s="57">
        <f>IF($A1491="","",IFERROR(INDEX(Offerte!$G$2:$G$81,MATCH($Q1491,Offerte!$L$2:$L$81,0)),"NO"))</f>
        <v/>
      </c>
    </row>
    <row r="1492">
      <c r="A1492" s="48">
        <f>IF(Offerte!$A49="","",Offerte!$A49)</f>
        <v/>
      </c>
      <c r="B1492" s="48">
        <f>IF(Offerte!$A49="","",Offerte!$B49)</f>
        <v/>
      </c>
      <c r="C1492" s="48">
        <f>IF(Offerte!$A49="","",Offerte!$C49)</f>
        <v/>
      </c>
      <c r="D1492" s="48" t="inlineStr">
        <is>
          <t>G.5.1</t>
        </is>
      </c>
      <c r="E1492" s="48" t="inlineStr">
        <is>
          <t>G</t>
        </is>
      </c>
      <c r="F1492" s="48" t="inlineStr">
        <is>
          <t>T</t>
        </is>
      </c>
      <c r="G1492" s="48" t="inlineStr">
        <is>
          <t>tabular</t>
        </is>
      </c>
      <c r="H1492" s="48" t="n">
        <v>1</v>
      </c>
      <c r="I1492" s="48" t="inlineStr">
        <is>
          <t>Impegno al mantenimento delle garanzie del contratto di secondo livello del gestore uscente</t>
        </is>
      </c>
      <c r="J1492" s="73" t="n"/>
      <c r="K1492" s="73" t="n"/>
      <c r="L1492" s="73" t="n"/>
      <c r="M1492" s="73" t="n"/>
      <c r="N1492" s="57">
        <f>IF($A1492="","",IF(IFERROR(VALUE($M1492),0)=1,1,0))</f>
        <v/>
      </c>
      <c r="O1492" s="57">
        <f>IF($A1492="",0,IF(OR($S1492&lt;&gt;1,COUNTA($J1492:$M1492)=0),0,IF($N1492=1,$H1492,0)))</f>
        <v/>
      </c>
      <c r="P1492" s="48" t="inlineStr">
        <is>
          <t>sì/no</t>
        </is>
      </c>
      <c r="Q1492" s="57">
        <f>IF($A1492="","",$A1492&amp;"|"&amp;$C1492)</f>
        <v/>
      </c>
      <c r="R1492" s="57">
        <f>IF($A1492="","",$A1492&amp;"|"&amp;$C1492&amp;"|"&amp;$D1492)</f>
        <v/>
      </c>
      <c r="S1492" s="57">
        <f>IF($A1492="","",IFERROR(INDEX(Offerte!$D$2:$D$81,MATCH($Q1492,Offerte!$L$2:$L$81,0)),0))</f>
        <v/>
      </c>
      <c r="T1492" s="57">
        <f>IF($A1492="","",IFERROR(INDEX(Offerte!$G$2:$G$81,MATCH($Q1492,Offerte!$L$2:$L$81,0)),"NO"))</f>
        <v/>
      </c>
    </row>
    <row r="1493">
      <c r="A1493" s="48">
        <f>IF(Offerte!$A50="","",Offerte!$A50)</f>
        <v/>
      </c>
      <c r="B1493" s="48">
        <f>IF(Offerte!$A50="","",Offerte!$B50)</f>
        <v/>
      </c>
      <c r="C1493" s="48">
        <f>IF(Offerte!$A50="","",Offerte!$C50)</f>
        <v/>
      </c>
      <c r="D1493" s="48" t="inlineStr">
        <is>
          <t>A.1.1</t>
        </is>
      </c>
      <c r="E1493" s="48" t="inlineStr">
        <is>
          <t>A</t>
        </is>
      </c>
      <c r="F1493" s="48" t="inlineStr">
        <is>
          <t>Q</t>
        </is>
      </c>
      <c r="G1493" s="48" t="inlineStr">
        <is>
          <t>higher</t>
        </is>
      </c>
      <c r="H1493" s="48" t="n">
        <v>3</v>
      </c>
      <c r="I1493" s="48" t="inlineStr">
        <is>
          <t>Tasso aggiuntivo di corse controllate</t>
        </is>
      </c>
      <c r="J1493" s="73" t="n"/>
      <c r="K1493" s="73" t="n"/>
      <c r="L1493" s="73" t="n"/>
      <c r="M1493" s="73" t="n"/>
      <c r="N1493" s="57">
        <f>IF($A1493="","",IFERROR(VALUE($K1493)/VALUE($L1493)*100,IFERROR(VALUE($J1493),0)))</f>
        <v/>
      </c>
      <c r="O1493" s="57">
        <f>IF($A1493="",0,IF(OR($S1493&lt;&gt;1,COUNTA($J1493:$M1493)=0),0,IF(SUMPRODUCT(MAX(($C$5:$C$2484=$C1493)*($D$5:$D$2484=$D1493)*($S$5:$S$2484=1)*IFERROR($N$5:$N$2484*1,0)))&gt;0,ROUND($H1493*($N1493/SUMPRODUCT(MAX(($C$5:$C$2484=$C1493)*($D$5:$D$2484=$D1493)*($S$5:$S$2484=1)*IFERROR($N$5:$N$2484*1,0)))),4),0)))</f>
        <v/>
      </c>
      <c r="P1493" s="48" t="inlineStr">
        <is>
          <t>Corse controllate annue / Corse programmate annue</t>
        </is>
      </c>
      <c r="Q1493" s="57">
        <f>IF($A1493="","",$A1493&amp;"|"&amp;$C1493)</f>
        <v/>
      </c>
      <c r="R1493" s="57">
        <f>IF($A1493="","",$A1493&amp;"|"&amp;$C1493&amp;"|"&amp;$D1493)</f>
        <v/>
      </c>
      <c r="S1493" s="57">
        <f>IF($A1493="","",IFERROR(INDEX(Offerte!$D$2:$D$81,MATCH($Q1493,Offerte!$L$2:$L$81,0)),0))</f>
        <v/>
      </c>
      <c r="T1493" s="57">
        <f>IF($A1493="","",IFERROR(INDEX(Offerte!$G$2:$G$81,MATCH($Q1493,Offerte!$L$2:$L$81,0)),"NO"))</f>
        <v/>
      </c>
    </row>
    <row r="1494">
      <c r="A1494" s="48">
        <f>IF(Offerte!$A50="","",Offerte!$A50)</f>
        <v/>
      </c>
      <c r="B1494" s="48">
        <f>IF(Offerte!$A50="","",Offerte!$B50)</f>
        <v/>
      </c>
      <c r="C1494" s="48">
        <f>IF(Offerte!$A50="","",Offerte!$C50)</f>
        <v/>
      </c>
      <c r="D1494" s="48" t="inlineStr">
        <is>
          <t>A.1.2</t>
        </is>
      </c>
      <c r="E1494" s="48" t="inlineStr">
        <is>
          <t>A</t>
        </is>
      </c>
      <c r="F1494" s="48" t="inlineStr">
        <is>
          <t>Q</t>
        </is>
      </c>
      <c r="G1494" s="48" t="inlineStr">
        <is>
          <t>higher</t>
        </is>
      </c>
      <c r="H1494" s="48" t="n">
        <v>4</v>
      </c>
      <c r="I1494" s="48" t="inlineStr">
        <is>
          <t>Numero aggiuntivo di passeggeri controllati</t>
        </is>
      </c>
      <c r="J1494" s="73" t="n"/>
      <c r="K1494" s="73" t="n"/>
      <c r="L1494" s="73" t="n"/>
      <c r="M1494" s="73" t="n"/>
      <c r="N1494" s="57">
        <f>IF($A1494="","",IFERROR(VALUE($J1494),0))</f>
        <v/>
      </c>
      <c r="O1494" s="57">
        <f>IF($A1494="",0,IF(OR($S1494&lt;&gt;1,COUNTA($J1494:$M1494)=0),0,IF(SUMPRODUCT(MAX(($C$5:$C$2484=$C1494)*($D$5:$D$2484=$D1494)*($S$5:$S$2484=1)*IFERROR($N$5:$N$2484*1,0)))&gt;0,ROUND($H1494*($N1494/SUMPRODUCT(MAX(($C$5:$C$2484=$C1494)*($D$5:$D$2484=$D1494)*($S$5:$S$2484=1)*IFERROR($N$5:$N$2484*1,0)))),4),0)))</f>
        <v/>
      </c>
      <c r="P1494" s="48" t="inlineStr">
        <is>
          <t>passeggeri/anno</t>
        </is>
      </c>
      <c r="Q1494" s="57">
        <f>IF($A1494="","",$A1494&amp;"|"&amp;$C1494)</f>
        <v/>
      </c>
      <c r="R1494" s="57">
        <f>IF($A1494="","",$A1494&amp;"|"&amp;$C1494&amp;"|"&amp;$D1494)</f>
        <v/>
      </c>
      <c r="S1494" s="57">
        <f>IF($A1494="","",IFERROR(INDEX(Offerte!$D$2:$D$81,MATCH($Q1494,Offerte!$L$2:$L$81,0)),0))</f>
        <v/>
      </c>
      <c r="T1494" s="57">
        <f>IF($A1494="","",IFERROR(INDEX(Offerte!$G$2:$G$81,MATCH($Q1494,Offerte!$L$2:$L$81,0)),"NO"))</f>
        <v/>
      </c>
    </row>
    <row r="1495">
      <c r="A1495" s="48">
        <f>IF(Offerte!$A50="","",Offerte!$A50)</f>
        <v/>
      </c>
      <c r="B1495" s="48">
        <f>IF(Offerte!$A50="","",Offerte!$B50)</f>
        <v/>
      </c>
      <c r="C1495" s="48">
        <f>IF(Offerte!$A50="","",Offerte!$C50)</f>
        <v/>
      </c>
      <c r="D1495" s="48" t="inlineStr">
        <is>
          <t>B.1.1</t>
        </is>
      </c>
      <c r="E1495" s="48" t="inlineStr">
        <is>
          <t>B</t>
        </is>
      </c>
      <c r="F1495" s="48" t="inlineStr">
        <is>
          <t>Q</t>
        </is>
      </c>
      <c r="G1495" s="48" t="inlineStr">
        <is>
          <t>higher</t>
        </is>
      </c>
      <c r="H1495" s="48" t="n">
        <v>3</v>
      </c>
      <c r="I1495" s="48" t="inlineStr">
        <is>
          <t>Incremento dei posti offerti nelle fasce di punta</t>
        </is>
      </c>
      <c r="J1495" s="73" t="n"/>
      <c r="K1495" s="73" t="n"/>
      <c r="L1495" s="73" t="n"/>
      <c r="M1495" s="73" t="n"/>
      <c r="N1495" s="57">
        <f>IF($A1495="","",IFERROR(VALUE($J1495),0))</f>
        <v/>
      </c>
      <c r="O1495" s="57">
        <f>IF($A1495="",0,IF(OR($S1495&lt;&gt;1,COUNTA($J1495:$M1495)=0),0,IF(SUMPRODUCT(MAX(($C$5:$C$2484=$C1495)*($D$5:$D$2484=$D1495)*($S$5:$S$2484=1)*IFERROR($N$5:$N$2484*1,0)))&gt;0,ROUND($H1495*($N1495/SUMPRODUCT(MAX(($C$5:$C$2484=$C1495)*($D$5:$D$2484=$D1495)*($S$5:$S$2484=1)*IFERROR($N$5:$N$2484*1,0)))),4),0)))</f>
        <v/>
      </c>
      <c r="P1495" s="48" t="inlineStr">
        <is>
          <t>posti*km</t>
        </is>
      </c>
      <c r="Q1495" s="57">
        <f>IF($A1495="","",$A1495&amp;"|"&amp;$C1495)</f>
        <v/>
      </c>
      <c r="R1495" s="57">
        <f>IF($A1495="","",$A1495&amp;"|"&amp;$C1495&amp;"|"&amp;$D1495)</f>
        <v/>
      </c>
      <c r="S1495" s="57">
        <f>IF($A1495="","",IFERROR(INDEX(Offerte!$D$2:$D$81,MATCH($Q1495,Offerte!$L$2:$L$81,0)),0))</f>
        <v/>
      </c>
      <c r="T1495" s="57">
        <f>IF($A1495="","",IFERROR(INDEX(Offerte!$G$2:$G$81,MATCH($Q1495,Offerte!$L$2:$L$81,0)),"NO"))</f>
        <v/>
      </c>
    </row>
    <row r="1496">
      <c r="A1496" s="48">
        <f>IF(Offerte!$A50="","",Offerte!$A50)</f>
        <v/>
      </c>
      <c r="B1496" s="48">
        <f>IF(Offerte!$A50="","",Offerte!$B50)</f>
        <v/>
      </c>
      <c r="C1496" s="48">
        <f>IF(Offerte!$A50="","",Offerte!$C50)</f>
        <v/>
      </c>
      <c r="D1496" s="48" t="inlineStr">
        <is>
          <t>B.2.1</t>
        </is>
      </c>
      <c r="E1496" s="48" t="inlineStr">
        <is>
          <t>B</t>
        </is>
      </c>
      <c r="F1496" s="48" t="inlineStr">
        <is>
          <t>Q</t>
        </is>
      </c>
      <c r="G1496" s="48" t="inlineStr">
        <is>
          <t>higher</t>
        </is>
      </c>
      <c r="H1496" s="48" t="n">
        <v>4</v>
      </c>
      <c r="I1496" s="48" t="inlineStr">
        <is>
          <t>Corse aggiuntive nell'arco giornaliero base</t>
        </is>
      </c>
      <c r="J1496" s="73" t="n"/>
      <c r="K1496" s="73" t="n"/>
      <c r="L1496" s="73" t="n"/>
      <c r="M1496" s="73" t="n"/>
      <c r="N1496" s="57">
        <f>IF($A1496="","",IFERROR(VALUE($J1496),0))</f>
        <v/>
      </c>
      <c r="O1496" s="57">
        <f>IF($A1496="",0,IF(OR($S1496&lt;&gt;1,COUNTA($J1496:$M1496)=0),0,IF(SUMPRODUCT(MAX(($C$5:$C$2484=$C1496)*($D$5:$D$2484=$D1496)*($S$5:$S$2484=1)*IFERROR($N$5:$N$2484*1,0)))&gt;0,ROUND($H1496*($N1496/SUMPRODUCT(MAX(($C$5:$C$2484=$C1496)*($D$5:$D$2484=$D1496)*($S$5:$S$2484=1)*IFERROR($N$5:$N$2484*1,0)))),4),0)))</f>
        <v/>
      </c>
      <c r="P1496" s="48" t="inlineStr">
        <is>
          <t>corse</t>
        </is>
      </c>
      <c r="Q1496" s="57">
        <f>IF($A1496="","",$A1496&amp;"|"&amp;$C1496)</f>
        <v/>
      </c>
      <c r="R1496" s="57">
        <f>IF($A1496="","",$A1496&amp;"|"&amp;$C1496&amp;"|"&amp;$D1496)</f>
        <v/>
      </c>
      <c r="S1496" s="57">
        <f>IF($A1496="","",IFERROR(INDEX(Offerte!$D$2:$D$81,MATCH($Q1496,Offerte!$L$2:$L$81,0)),0))</f>
        <v/>
      </c>
      <c r="T1496" s="57">
        <f>IF($A1496="","",IFERROR(INDEX(Offerte!$G$2:$G$81,MATCH($Q1496,Offerte!$L$2:$L$81,0)),"NO"))</f>
        <v/>
      </c>
    </row>
    <row r="1497">
      <c r="A1497" s="48">
        <f>IF(Offerte!$A50="","",Offerte!$A50)</f>
        <v/>
      </c>
      <c r="B1497" s="48">
        <f>IF(Offerte!$A50="","",Offerte!$B50)</f>
        <v/>
      </c>
      <c r="C1497" s="48">
        <f>IF(Offerte!$A50="","",Offerte!$C50)</f>
        <v/>
      </c>
      <c r="D1497" s="48" t="inlineStr">
        <is>
          <t>B.3.1</t>
        </is>
      </c>
      <c r="E1497" s="48" t="inlineStr">
        <is>
          <t>B</t>
        </is>
      </c>
      <c r="F1497" s="48" t="inlineStr">
        <is>
          <t>Q</t>
        </is>
      </c>
      <c r="G1497" s="48" t="inlineStr">
        <is>
          <t>higher</t>
        </is>
      </c>
      <c r="H1497" s="48" t="n">
        <v>2</v>
      </c>
      <c r="I1497" s="48" t="inlineStr">
        <is>
          <t>Numero di corse aggiuntive per allungamento dell'arco di servizio giornaliero nelle fasce serali</t>
        </is>
      </c>
      <c r="J1497" s="73" t="n"/>
      <c r="K1497" s="73" t="n"/>
      <c r="L1497" s="73" t="n"/>
      <c r="M1497" s="73" t="n"/>
      <c r="N1497" s="57">
        <f>IF($A1497="","",IFERROR(VALUE($J1497),0))</f>
        <v/>
      </c>
      <c r="O1497" s="57">
        <f>IF($A1497="",0,IF(OR($S1497&lt;&gt;1,COUNTA($J1497:$M1497)=0),0,IF(SUMPRODUCT(MAX(($C$5:$C$2484=$C1497)*($D$5:$D$2484=$D1497)*($S$5:$S$2484=1)*IFERROR($N$5:$N$2484*1,0)))&gt;0,ROUND($H1497*($N1497/SUMPRODUCT(MAX(($C$5:$C$2484=$C1497)*($D$5:$D$2484=$D1497)*($S$5:$S$2484=1)*IFERROR($N$5:$N$2484*1,0)))),4),0)))</f>
        <v/>
      </c>
      <c r="P1497" s="48" t="inlineStr">
        <is>
          <t>corse</t>
        </is>
      </c>
      <c r="Q1497" s="57">
        <f>IF($A1497="","",$A1497&amp;"|"&amp;$C1497)</f>
        <v/>
      </c>
      <c r="R1497" s="57">
        <f>IF($A1497="","",$A1497&amp;"|"&amp;$C1497&amp;"|"&amp;$D1497)</f>
        <v/>
      </c>
      <c r="S1497" s="57">
        <f>IF($A1497="","",IFERROR(INDEX(Offerte!$D$2:$D$81,MATCH($Q1497,Offerte!$L$2:$L$81,0)),0))</f>
        <v/>
      </c>
      <c r="T1497" s="57">
        <f>IF($A1497="","",IFERROR(INDEX(Offerte!$G$2:$G$81,MATCH($Q1497,Offerte!$L$2:$L$81,0)),"NO"))</f>
        <v/>
      </c>
    </row>
    <row r="1498">
      <c r="A1498" s="48">
        <f>IF(Offerte!$A50="","",Offerte!$A50)</f>
        <v/>
      </c>
      <c r="B1498" s="48">
        <f>IF(Offerte!$A50="","",Offerte!$B50)</f>
        <v/>
      </c>
      <c r="C1498" s="48">
        <f>IF(Offerte!$A50="","",Offerte!$C50)</f>
        <v/>
      </c>
      <c r="D1498" s="48" t="inlineStr">
        <is>
          <t>B.4.1</t>
        </is>
      </c>
      <c r="E1498" s="48" t="inlineStr">
        <is>
          <t>B</t>
        </is>
      </c>
      <c r="F1498" s="48" t="inlineStr">
        <is>
          <t>Q</t>
        </is>
      </c>
      <c r="G1498" s="48" t="inlineStr">
        <is>
          <t>higher</t>
        </is>
      </c>
      <c r="H1498" s="48" t="n">
        <v>3</v>
      </c>
      <c r="I1498" s="48" t="inlineStr">
        <is>
          <t>Percorrenze aggiuntive offerte nel Programma d'esercizio delle prime due fasi attuative</t>
        </is>
      </c>
      <c r="J1498" s="73" t="n"/>
      <c r="K1498" s="73" t="n"/>
      <c r="L1498" s="73" t="n"/>
      <c r="M1498" s="73" t="n"/>
      <c r="N1498" s="57">
        <f>IF($A1498="","",IFERROR(VALUE($J1498),0))</f>
        <v/>
      </c>
      <c r="O1498" s="57">
        <f>IF($A1498="",0,IF(OR($S1498&lt;&gt;1,COUNTA($J1498:$M1498)=0),0,IF(SUMPRODUCT(MAX(($C$5:$C$2484=$C1498)*($D$5:$D$2484=$D1498)*($S$5:$S$2484=1)*IFERROR($N$5:$N$2484*1,0)))&gt;0,ROUND($H1498*($N1498/SUMPRODUCT(MAX(($C$5:$C$2484=$C1498)*($D$5:$D$2484=$D1498)*($S$5:$S$2484=1)*IFERROR($N$5:$N$2484*1,0)))),4),0)))</f>
        <v/>
      </c>
      <c r="P1498" s="48" t="inlineStr">
        <is>
          <t>vett*km</t>
        </is>
      </c>
      <c r="Q1498" s="57">
        <f>IF($A1498="","",$A1498&amp;"|"&amp;$C1498)</f>
        <v/>
      </c>
      <c r="R1498" s="57">
        <f>IF($A1498="","",$A1498&amp;"|"&amp;$C1498&amp;"|"&amp;$D1498)</f>
        <v/>
      </c>
      <c r="S1498" s="57">
        <f>IF($A1498="","",IFERROR(INDEX(Offerte!$D$2:$D$81,MATCH($Q1498,Offerte!$L$2:$L$81,0)),0))</f>
        <v/>
      </c>
      <c r="T1498" s="57">
        <f>IF($A1498="","",IFERROR(INDEX(Offerte!$G$2:$G$81,MATCH($Q1498,Offerte!$L$2:$L$81,0)),"NO"))</f>
        <v/>
      </c>
    </row>
    <row r="1499">
      <c r="A1499" s="48">
        <f>IF(Offerte!$A50="","",Offerte!$A50)</f>
        <v/>
      </c>
      <c r="B1499" s="48">
        <f>IF(Offerte!$A50="","",Offerte!$B50)</f>
        <v/>
      </c>
      <c r="C1499" s="48">
        <f>IF(Offerte!$A50="","",Offerte!$C50)</f>
        <v/>
      </c>
      <c r="D1499" s="48" t="inlineStr">
        <is>
          <t>B.5.1</t>
        </is>
      </c>
      <c r="E1499" s="48" t="inlineStr">
        <is>
          <t>B</t>
        </is>
      </c>
      <c r="F1499" s="48" t="inlineStr">
        <is>
          <t>D</t>
        </is>
      </c>
      <c r="G1499" s="48" t="inlineStr">
        <is>
          <t>discretionary</t>
        </is>
      </c>
      <c r="H1499" s="48" t="n">
        <v>2</v>
      </c>
      <c r="I1499" s="48" t="inlineStr">
        <is>
          <t>Efficacia del progetto di servizi complementari DRT</t>
        </is>
      </c>
      <c r="J1499" s="73" t="n"/>
      <c r="K1499" s="73" t="n"/>
      <c r="L1499" s="73" t="n"/>
      <c r="M1499" s="73" t="n"/>
      <c r="N1499" s="57">
        <f>IF($A1499="","",MAX(0,MIN(1,IFERROR(VALUE($M1499),0))))</f>
        <v/>
      </c>
      <c r="O1499" s="57">
        <f>IF($A1499="",0,IF(OR($S1499&lt;&gt;1,COUNTA($J1499:$M1499)=0),0,IF(SUMPRODUCT(MAX(($C$5:$C$2484=$C1499)*($D$5:$D$2484=$D1499)*($S$5:$S$2484=1)*IFERROR($N$5:$N$2484*1,0)))&gt;0,ROUND($H1499*($N1499/SUMPRODUCT(MAX(($C$5:$C$2484=$C1499)*($D$5:$D$2484=$D1499)*($S$5:$S$2484=1)*IFERROR($N$5:$N$2484*1,0)))),4),0)))</f>
        <v/>
      </c>
      <c r="P1499" s="48" t="inlineStr">
        <is>
          <t>coeff.</t>
        </is>
      </c>
      <c r="Q1499" s="57">
        <f>IF($A1499="","",$A1499&amp;"|"&amp;$C1499)</f>
        <v/>
      </c>
      <c r="R1499" s="57">
        <f>IF($A1499="","",$A1499&amp;"|"&amp;$C1499&amp;"|"&amp;$D1499)</f>
        <v/>
      </c>
      <c r="S1499" s="57">
        <f>IF($A1499="","",IFERROR(INDEX(Offerte!$D$2:$D$81,MATCH($Q1499,Offerte!$L$2:$L$81,0)),0))</f>
        <v/>
      </c>
      <c r="T1499" s="57">
        <f>IF($A1499="","",IFERROR(INDEX(Offerte!$G$2:$G$81,MATCH($Q1499,Offerte!$L$2:$L$81,0)),"NO"))</f>
        <v/>
      </c>
    </row>
    <row r="1500">
      <c r="A1500" s="48">
        <f>IF(Offerte!$A50="","",Offerte!$A50)</f>
        <v/>
      </c>
      <c r="B1500" s="48">
        <f>IF(Offerte!$A50="","",Offerte!$B50)</f>
        <v/>
      </c>
      <c r="C1500" s="48">
        <f>IF(Offerte!$A50="","",Offerte!$C50)</f>
        <v/>
      </c>
      <c r="D1500" s="48" t="inlineStr">
        <is>
          <t>C.1.1</t>
        </is>
      </c>
      <c r="E1500" s="48" t="inlineStr">
        <is>
          <t>C</t>
        </is>
      </c>
      <c r="F1500" s="48" t="inlineStr">
        <is>
          <t>Q</t>
        </is>
      </c>
      <c r="G1500" s="48" t="inlineStr">
        <is>
          <t>higher</t>
        </is>
      </c>
      <c r="H1500" s="48" t="n">
        <v>2</v>
      </c>
      <c r="I1500" s="48" t="inlineStr">
        <is>
          <t>Tasso di copertura del servizio con telecamere BSD</t>
        </is>
      </c>
      <c r="J1500" s="73" t="n"/>
      <c r="K1500" s="73" t="n"/>
      <c r="L1500" s="73" t="n"/>
      <c r="M1500" s="73" t="n"/>
      <c r="N1500" s="57">
        <f>IF($A1500="","",IFERROR(VALUE($K1500)/VALUE($L1500),IFERROR(VALUE($J1500),0)))</f>
        <v/>
      </c>
      <c r="O1500" s="57">
        <f>IF($A1500="",0,IF(OR($S1500&lt;&gt;1,COUNTA($J1500:$M1500)=0),0,IF(SUMPRODUCT(MAX(($C$5:$C$2484=$C1500)*($D$5:$D$2484=$D1500)*($S$5:$S$2484=1)*IFERROR($N$5:$N$2484*1,0)))&gt;0,ROUND($H1500*($N1500/SUMPRODUCT(MAX(($C$5:$C$2484=$C1500)*($D$5:$D$2484=$D1500)*($S$5:$S$2484=1)*IFERROR($N$5:$N$2484*1,0)))),4),0)))</f>
        <v/>
      </c>
      <c r="P1500" s="48" t="inlineStr">
        <is>
          <t>Autobus attrezzati con telecamere BSD / Autobus totali in offerta, incluse scorte</t>
        </is>
      </c>
      <c r="Q1500" s="57">
        <f>IF($A1500="","",$A1500&amp;"|"&amp;$C1500)</f>
        <v/>
      </c>
      <c r="R1500" s="57">
        <f>IF($A1500="","",$A1500&amp;"|"&amp;$C1500&amp;"|"&amp;$D1500)</f>
        <v/>
      </c>
      <c r="S1500" s="57">
        <f>IF($A1500="","",IFERROR(INDEX(Offerte!$D$2:$D$81,MATCH($Q1500,Offerte!$L$2:$L$81,0)),0))</f>
        <v/>
      </c>
      <c r="T1500" s="57">
        <f>IF($A1500="","",IFERROR(INDEX(Offerte!$G$2:$G$81,MATCH($Q1500,Offerte!$L$2:$L$81,0)),"NO"))</f>
        <v/>
      </c>
    </row>
    <row r="1501">
      <c r="A1501" s="48">
        <f>IF(Offerte!$A50="","",Offerte!$A50)</f>
        <v/>
      </c>
      <c r="B1501" s="48">
        <f>IF(Offerte!$A50="","",Offerte!$B50)</f>
        <v/>
      </c>
      <c r="C1501" s="48">
        <f>IF(Offerte!$A50="","",Offerte!$C50)</f>
        <v/>
      </c>
      <c r="D1501" s="48" t="inlineStr">
        <is>
          <t>C.1.2</t>
        </is>
      </c>
      <c r="E1501" s="48" t="inlineStr">
        <is>
          <t>C</t>
        </is>
      </c>
      <c r="F1501" s="48" t="inlineStr">
        <is>
          <t>Q</t>
        </is>
      </c>
      <c r="G1501" s="48" t="inlineStr">
        <is>
          <t>higher</t>
        </is>
      </c>
      <c r="H1501" s="48" t="n">
        <v>2</v>
      </c>
      <c r="I1501" s="48" t="inlineStr">
        <is>
          <t>Tasso di copertura del servizio con telecamere ADAS</t>
        </is>
      </c>
      <c r="J1501" s="73" t="n"/>
      <c r="K1501" s="73" t="n"/>
      <c r="L1501" s="73" t="n"/>
      <c r="M1501" s="73" t="n"/>
      <c r="N1501" s="57">
        <f>IF($A1501="","",IFERROR(VALUE($K1501)/VALUE($L1501),IFERROR(VALUE($J1501),0)))</f>
        <v/>
      </c>
      <c r="O1501" s="57">
        <f>IF($A1501="",0,IF(OR($S1501&lt;&gt;1,COUNTA($J1501:$M1501)=0),0,IF(SUMPRODUCT(MAX(($C$5:$C$2484=$C1501)*($D$5:$D$2484=$D1501)*($S$5:$S$2484=1)*IFERROR($N$5:$N$2484*1,0)))&gt;0,ROUND($H1501*($N1501/SUMPRODUCT(MAX(($C$5:$C$2484=$C1501)*($D$5:$D$2484=$D1501)*($S$5:$S$2484=1)*IFERROR($N$5:$N$2484*1,0)))),4),0)))</f>
        <v/>
      </c>
      <c r="P1501" s="48" t="inlineStr">
        <is>
          <t>Autobus attrezzati con telecamere ADAS / Autobus totali in offerta, incluse scorte</t>
        </is>
      </c>
      <c r="Q1501" s="57">
        <f>IF($A1501="","",$A1501&amp;"|"&amp;$C1501)</f>
        <v/>
      </c>
      <c r="R1501" s="57">
        <f>IF($A1501="","",$A1501&amp;"|"&amp;$C1501&amp;"|"&amp;$D1501)</f>
        <v/>
      </c>
      <c r="S1501" s="57">
        <f>IF($A1501="","",IFERROR(INDEX(Offerte!$D$2:$D$81,MATCH($Q1501,Offerte!$L$2:$L$81,0)),0))</f>
        <v/>
      </c>
      <c r="T1501" s="57">
        <f>IF($A1501="","",IFERROR(INDEX(Offerte!$G$2:$G$81,MATCH($Q1501,Offerte!$L$2:$L$81,0)),"NO"))</f>
        <v/>
      </c>
    </row>
    <row r="1502">
      <c r="A1502" s="48">
        <f>IF(Offerte!$A50="","",Offerte!$A50)</f>
        <v/>
      </c>
      <c r="B1502" s="48">
        <f>IF(Offerte!$A50="","",Offerte!$B50)</f>
        <v/>
      </c>
      <c r="C1502" s="48">
        <f>IF(Offerte!$A50="","",Offerte!$C50)</f>
        <v/>
      </c>
      <c r="D1502" s="48" t="inlineStr">
        <is>
          <t>C.2.1</t>
        </is>
      </c>
      <c r="E1502" s="48" t="inlineStr">
        <is>
          <t>C</t>
        </is>
      </c>
      <c r="F1502" s="48" t="inlineStr">
        <is>
          <t>Q</t>
        </is>
      </c>
      <c r="G1502" s="48" t="inlineStr">
        <is>
          <t>higher</t>
        </is>
      </c>
      <c r="H1502" s="48" t="n">
        <v>3</v>
      </c>
      <c r="I1502" s="48" t="inlineStr">
        <is>
          <t>Tasso di copertura del servizio con telecamere di bordo di videosorveglianza</t>
        </is>
      </c>
      <c r="J1502" s="73" t="n"/>
      <c r="K1502" s="73" t="n"/>
      <c r="L1502" s="73" t="n"/>
      <c r="M1502" s="73" t="n"/>
      <c r="N1502" s="57">
        <f>IF($A1502="","",IFERROR(VALUE($K1502)/VALUE($L1502),IFERROR(VALUE($J1502),0)))</f>
        <v/>
      </c>
      <c r="O1502" s="57">
        <f>IF($A1502="",0,IF(OR($S1502&lt;&gt;1,COUNTA($J1502:$M1502)=0),0,IF(SUMPRODUCT(MAX(($C$5:$C$2484=$C1502)*($D$5:$D$2484=$D1502)*($S$5:$S$2484=1)*IFERROR($N$5:$N$2484*1,0)))&gt;0,ROUND($H1502*($N1502/SUMPRODUCT(MAX(($C$5:$C$2484=$C1502)*($D$5:$D$2484=$D1502)*($S$5:$S$2484=1)*IFERROR($N$5:$N$2484*1,0)))),4),0)))</f>
        <v/>
      </c>
      <c r="P1502" s="48" t="inlineStr">
        <is>
          <t>Autobus attrezzati con videosorveglianza / Autobus totali in offerta, incluse scorte</t>
        </is>
      </c>
      <c r="Q1502" s="57">
        <f>IF($A1502="","",$A1502&amp;"|"&amp;$C1502)</f>
        <v/>
      </c>
      <c r="R1502" s="57">
        <f>IF($A1502="","",$A1502&amp;"|"&amp;$C1502&amp;"|"&amp;$D1502)</f>
        <v/>
      </c>
      <c r="S1502" s="57">
        <f>IF($A1502="","",IFERROR(INDEX(Offerte!$D$2:$D$81,MATCH($Q1502,Offerte!$L$2:$L$81,0)),0))</f>
        <v/>
      </c>
      <c r="T1502" s="57">
        <f>IF($A1502="","",IFERROR(INDEX(Offerte!$G$2:$G$81,MATCH($Q1502,Offerte!$L$2:$L$81,0)),"NO"))</f>
        <v/>
      </c>
    </row>
    <row r="1503">
      <c r="A1503" s="48">
        <f>IF(Offerte!$A50="","",Offerte!$A50)</f>
        <v/>
      </c>
      <c r="B1503" s="48">
        <f>IF(Offerte!$A50="","",Offerte!$B50)</f>
        <v/>
      </c>
      <c r="C1503" s="48">
        <f>IF(Offerte!$A50="","",Offerte!$C50)</f>
        <v/>
      </c>
      <c r="D1503" s="48" t="inlineStr">
        <is>
          <t>C.2.2</t>
        </is>
      </c>
      <c r="E1503" s="48" t="inlineStr">
        <is>
          <t>C</t>
        </is>
      </c>
      <c r="F1503" s="48" t="inlineStr">
        <is>
          <t>T</t>
        </is>
      </c>
      <c r="G1503" s="48" t="inlineStr">
        <is>
          <t>tabular</t>
        </is>
      </c>
      <c r="H1503" s="48" t="n">
        <v>1</v>
      </c>
      <c r="I1503" s="48" t="inlineStr">
        <is>
          <t>Software video/audio analisi per situazioni di pericolo</t>
        </is>
      </c>
      <c r="J1503" s="73" t="n"/>
      <c r="K1503" s="73" t="n"/>
      <c r="L1503" s="73" t="n"/>
      <c r="M1503" s="73" t="n"/>
      <c r="N1503" s="57">
        <f>IF($A1503="","",IF(IFERROR(VALUE($M1503),0)=1,1,0))</f>
        <v/>
      </c>
      <c r="O1503" s="57">
        <f>IF($A1503="",0,IF(OR($S1503&lt;&gt;1,COUNTA($J1503:$M1503)=0),0,IF($N1503=1,$H1503,0)))</f>
        <v/>
      </c>
      <c r="P1503" s="48" t="inlineStr">
        <is>
          <t>sì/no</t>
        </is>
      </c>
      <c r="Q1503" s="57">
        <f>IF($A1503="","",$A1503&amp;"|"&amp;$C1503)</f>
        <v/>
      </c>
      <c r="R1503" s="57">
        <f>IF($A1503="","",$A1503&amp;"|"&amp;$C1503&amp;"|"&amp;$D1503)</f>
        <v/>
      </c>
      <c r="S1503" s="57">
        <f>IF($A1503="","",IFERROR(INDEX(Offerte!$D$2:$D$81,MATCH($Q1503,Offerte!$L$2:$L$81,0)),0))</f>
        <v/>
      </c>
      <c r="T1503" s="57">
        <f>IF($A1503="","",IFERROR(INDEX(Offerte!$G$2:$G$81,MATCH($Q1503,Offerte!$L$2:$L$81,0)),"NO"))</f>
        <v/>
      </c>
    </row>
    <row r="1504">
      <c r="A1504" s="48">
        <f>IF(Offerte!$A50="","",Offerte!$A50)</f>
        <v/>
      </c>
      <c r="B1504" s="48">
        <f>IF(Offerte!$A50="","",Offerte!$B50)</f>
        <v/>
      </c>
      <c r="C1504" s="48">
        <f>IF(Offerte!$A50="","",Offerte!$C50)</f>
        <v/>
      </c>
      <c r="D1504" s="48" t="inlineStr">
        <is>
          <t>C.2.3</t>
        </is>
      </c>
      <c r="E1504" s="48" t="inlineStr">
        <is>
          <t>C</t>
        </is>
      </c>
      <c r="F1504" s="48" t="inlineStr">
        <is>
          <t>T</t>
        </is>
      </c>
      <c r="G1504" s="48" t="inlineStr">
        <is>
          <t>tabular</t>
        </is>
      </c>
      <c r="H1504" s="48" t="n">
        <v>1</v>
      </c>
      <c r="I1504" s="48" t="inlineStr">
        <is>
          <t>Collegamento con centrale qualificata di pronto intervento</t>
        </is>
      </c>
      <c r="J1504" s="73" t="n"/>
      <c r="K1504" s="73" t="n"/>
      <c r="L1504" s="73" t="n"/>
      <c r="M1504" s="73" t="n"/>
      <c r="N1504" s="57">
        <f>IF($A1504="","",IF(IFERROR(VALUE($M1504),0)=1,1,0))</f>
        <v/>
      </c>
      <c r="O1504" s="57">
        <f>IF($A1504="",0,IF(OR($S1504&lt;&gt;1,COUNTA($J1504:$M1504)=0),0,IF($N1504=1,$H1504,0)))</f>
        <v/>
      </c>
      <c r="P1504" s="48" t="inlineStr">
        <is>
          <t>sì/no</t>
        </is>
      </c>
      <c r="Q1504" s="57">
        <f>IF($A1504="","",$A1504&amp;"|"&amp;$C1504)</f>
        <v/>
      </c>
      <c r="R1504" s="57">
        <f>IF($A1504="","",$A1504&amp;"|"&amp;$C1504&amp;"|"&amp;$D1504)</f>
        <v/>
      </c>
      <c r="S1504" s="57">
        <f>IF($A1504="","",IFERROR(INDEX(Offerte!$D$2:$D$81,MATCH($Q1504,Offerte!$L$2:$L$81,0)),0))</f>
        <v/>
      </c>
      <c r="T1504" s="57">
        <f>IF($A1504="","",IFERROR(INDEX(Offerte!$G$2:$G$81,MATCH($Q1504,Offerte!$L$2:$L$81,0)),"NO"))</f>
        <v/>
      </c>
    </row>
    <row r="1505">
      <c r="A1505" s="48">
        <f>IF(Offerte!$A50="","",Offerte!$A50)</f>
        <v/>
      </c>
      <c r="B1505" s="48">
        <f>IF(Offerte!$A50="","",Offerte!$B50)</f>
        <v/>
      </c>
      <c r="C1505" s="48">
        <f>IF(Offerte!$A50="","",Offerte!$C50)</f>
        <v/>
      </c>
      <c r="D1505" s="48" t="inlineStr">
        <is>
          <t>C.2.4</t>
        </is>
      </c>
      <c r="E1505" s="48" t="inlineStr">
        <is>
          <t>C</t>
        </is>
      </c>
      <c r="F1505" s="48" t="inlineStr">
        <is>
          <t>Q</t>
        </is>
      </c>
      <c r="G1505" s="48" t="inlineStr">
        <is>
          <t>higher</t>
        </is>
      </c>
      <c r="H1505" s="48" t="n">
        <v>1</v>
      </c>
      <c r="I1505" s="48" t="inlineStr">
        <is>
          <t>Tasso di copertura del servizio con dispositivi per la chiamata di emergenza del conducente</t>
        </is>
      </c>
      <c r="J1505" s="73" t="n"/>
      <c r="K1505" s="73" t="n"/>
      <c r="L1505" s="73" t="n"/>
      <c r="M1505" s="73" t="n"/>
      <c r="N1505" s="57">
        <f>IF($A1505="","",IFERROR(VALUE($K1505)/VALUE($L1505),IFERROR(VALUE($J1505),0)))</f>
        <v/>
      </c>
      <c r="O1505" s="57">
        <f>IF($A1505="",0,IF(OR($S1505&lt;&gt;1,COUNTA($J1505:$M1505)=0),0,IF(SUMPRODUCT(MAX(($C$5:$C$2484=$C1505)*($D$5:$D$2484=$D1505)*($S$5:$S$2484=1)*IFERROR($N$5:$N$2484*1,0)))&gt;0,ROUND($H1505*($N1505/SUMPRODUCT(MAX(($C$5:$C$2484=$C1505)*($D$5:$D$2484=$D1505)*($S$5:$S$2484=1)*IFERROR($N$5:$N$2484*1,0)))),4),0)))</f>
        <v/>
      </c>
      <c r="P1505" s="48" t="inlineStr">
        <is>
          <t>Autobus attrezzati con chiamata di emergenza / Autobus totali in offerta, incluse scorte</t>
        </is>
      </c>
      <c r="Q1505" s="57">
        <f>IF($A1505="","",$A1505&amp;"|"&amp;$C1505)</f>
        <v/>
      </c>
      <c r="R1505" s="57">
        <f>IF($A1505="","",$A1505&amp;"|"&amp;$C1505&amp;"|"&amp;$D1505)</f>
        <v/>
      </c>
      <c r="S1505" s="57">
        <f>IF($A1505="","",IFERROR(INDEX(Offerte!$D$2:$D$81,MATCH($Q1505,Offerte!$L$2:$L$81,0)),0))</f>
        <v/>
      </c>
      <c r="T1505" s="57">
        <f>IF($A1505="","",IFERROR(INDEX(Offerte!$G$2:$G$81,MATCH($Q1505,Offerte!$L$2:$L$81,0)),"NO"))</f>
        <v/>
      </c>
    </row>
    <row r="1506">
      <c r="A1506" s="48">
        <f>IF(Offerte!$A50="","",Offerte!$A50)</f>
        <v/>
      </c>
      <c r="B1506" s="48">
        <f>IF(Offerte!$A50="","",Offerte!$B50)</f>
        <v/>
      </c>
      <c r="C1506" s="48">
        <f>IF(Offerte!$A50="","",Offerte!$C50)</f>
        <v/>
      </c>
      <c r="D1506" s="48" t="inlineStr">
        <is>
          <t>C.3.1</t>
        </is>
      </c>
      <c r="E1506" s="48" t="inlineStr">
        <is>
          <t>C</t>
        </is>
      </c>
      <c r="F1506" s="48" t="inlineStr">
        <is>
          <t>Q</t>
        </is>
      </c>
      <c r="G1506" s="48" t="inlineStr">
        <is>
          <t>higher</t>
        </is>
      </c>
      <c r="H1506" s="48" t="n">
        <v>2</v>
      </c>
      <c r="I1506" s="48" t="inlineStr">
        <is>
          <t>Tasso di copertura del servizio con dispositivi di informazione dinamica a bordo mezzo</t>
        </is>
      </c>
      <c r="J1506" s="73" t="n"/>
      <c r="K1506" s="73" t="n"/>
      <c r="L1506" s="73" t="n"/>
      <c r="M1506" s="73" t="n"/>
      <c r="N1506" s="57">
        <f>IF($A1506="","",IFERROR(VALUE($K1506)/VALUE($L1506),IFERROR(VALUE($J1506),0)))</f>
        <v/>
      </c>
      <c r="O1506" s="57">
        <f>IF($A1506="",0,IF(OR($S1506&lt;&gt;1,COUNTA($J1506:$M1506)=0),0,IF(SUMPRODUCT(MAX(($C$5:$C$2484=$C1506)*($D$5:$D$2484=$D1506)*($S$5:$S$2484=1)*IFERROR($N$5:$N$2484*1,0)))&gt;0,ROUND($H1506*($N1506/SUMPRODUCT(MAX(($C$5:$C$2484=$C1506)*($D$5:$D$2484=$D1506)*($S$5:$S$2484=1)*IFERROR($N$5:$N$2484*1,0)))),4),0)))</f>
        <v/>
      </c>
      <c r="P1506" s="48" t="inlineStr">
        <is>
          <t>Autobus con monitor e indicatori vocali / Autobus totali in offerta, incluse scorte</t>
        </is>
      </c>
      <c r="Q1506" s="57">
        <f>IF($A1506="","",$A1506&amp;"|"&amp;$C1506)</f>
        <v/>
      </c>
      <c r="R1506" s="57">
        <f>IF($A1506="","",$A1506&amp;"|"&amp;$C1506&amp;"|"&amp;$D1506)</f>
        <v/>
      </c>
      <c r="S1506" s="57">
        <f>IF($A1506="","",IFERROR(INDEX(Offerte!$D$2:$D$81,MATCH($Q1506,Offerte!$L$2:$L$81,0)),0))</f>
        <v/>
      </c>
      <c r="T1506" s="57">
        <f>IF($A1506="","",IFERROR(INDEX(Offerte!$G$2:$G$81,MATCH($Q1506,Offerte!$L$2:$L$81,0)),"NO"))</f>
        <v/>
      </c>
    </row>
    <row r="1507">
      <c r="A1507" s="48">
        <f>IF(Offerte!$A50="","",Offerte!$A50)</f>
        <v/>
      </c>
      <c r="B1507" s="48">
        <f>IF(Offerte!$A50="","",Offerte!$B50)</f>
        <v/>
      </c>
      <c r="C1507" s="48">
        <f>IF(Offerte!$A50="","",Offerte!$C50)</f>
        <v/>
      </c>
      <c r="D1507" s="48" t="inlineStr">
        <is>
          <t>C.3.2</t>
        </is>
      </c>
      <c r="E1507" s="48" t="inlineStr">
        <is>
          <t>C</t>
        </is>
      </c>
      <c r="F1507" s="48" t="inlineStr">
        <is>
          <t>T</t>
        </is>
      </c>
      <c r="G1507" s="48" t="inlineStr">
        <is>
          <t>tabular</t>
        </is>
      </c>
      <c r="H1507" s="48" t="n">
        <v>2</v>
      </c>
      <c r="I1507" s="48" t="inlineStr">
        <is>
          <t>Informazioni a bordo su coincidenze ai nodi</t>
        </is>
      </c>
      <c r="J1507" s="73" t="n"/>
      <c r="K1507" s="73" t="n"/>
      <c r="L1507" s="73" t="n"/>
      <c r="M1507" s="73" t="n"/>
      <c r="N1507" s="57">
        <f>IF($A1507="","",IF(IFERROR(VALUE($M1507),0)=1,1,0))</f>
        <v/>
      </c>
      <c r="O1507" s="57">
        <f>IF($A1507="",0,IF(OR($S1507&lt;&gt;1,COUNTA($J1507:$M1507)=0),0,IF(AND($N1507=1,IFERROR(SUMIFS($N$5:$N$2484,$Q$5:$Q$2484,$Q1507,$D$5:$D$2484,"C.3.1"),0)&gt;=0.5),$H1507,0)))</f>
        <v/>
      </c>
      <c r="P1507" s="48" t="inlineStr">
        <is>
          <t>Dipende da C.3.1 &gt;= 0.5</t>
        </is>
      </c>
      <c r="Q1507" s="57">
        <f>IF($A1507="","",$A1507&amp;"|"&amp;$C1507)</f>
        <v/>
      </c>
      <c r="R1507" s="57">
        <f>IF($A1507="","",$A1507&amp;"|"&amp;$C1507&amp;"|"&amp;$D1507)</f>
        <v/>
      </c>
      <c r="S1507" s="57">
        <f>IF($A1507="","",IFERROR(INDEX(Offerte!$D$2:$D$81,MATCH($Q1507,Offerte!$L$2:$L$81,0)),0))</f>
        <v/>
      </c>
      <c r="T1507" s="57">
        <f>IF($A1507="","",IFERROR(INDEX(Offerte!$G$2:$G$81,MATCH($Q1507,Offerte!$L$2:$L$81,0)),"NO"))</f>
        <v/>
      </c>
    </row>
    <row r="1508">
      <c r="A1508" s="48">
        <f>IF(Offerte!$A50="","",Offerte!$A50)</f>
        <v/>
      </c>
      <c r="B1508" s="48">
        <f>IF(Offerte!$A50="","",Offerte!$B50)</f>
        <v/>
      </c>
      <c r="C1508" s="48">
        <f>IF(Offerte!$A50="","",Offerte!$C50)</f>
        <v/>
      </c>
      <c r="D1508" s="48" t="inlineStr">
        <is>
          <t>D.1.1</t>
        </is>
      </c>
      <c r="E1508" s="48" t="inlineStr">
        <is>
          <t>D</t>
        </is>
      </c>
      <c r="F1508" s="48" t="inlineStr">
        <is>
          <t>Q</t>
        </is>
      </c>
      <c r="G1508" s="48" t="inlineStr">
        <is>
          <t>higher</t>
        </is>
      </c>
      <c r="H1508" s="48" t="n">
        <v>3</v>
      </c>
      <c r="I1508" s="48" t="inlineStr">
        <is>
          <t>Installazione di pensiline</t>
        </is>
      </c>
      <c r="J1508" s="73" t="n"/>
      <c r="K1508" s="73" t="n"/>
      <c r="L1508" s="73" t="n"/>
      <c r="M1508" s="73" t="n"/>
      <c r="N1508" s="57">
        <f>IF($A1508="","",IFERROR(VALUE($J1508),0))</f>
        <v/>
      </c>
      <c r="O1508" s="57">
        <f>IF($A1508="",0,IF(OR($S1508&lt;&gt;1,COUNTA($J1508:$M1508)=0),0,IF(SUMPRODUCT(MAX(($C$5:$C$2484=$C1508)*($D$5:$D$2484=$D1508)*($S$5:$S$2484=1)*IFERROR($N$5:$N$2484*1,0)))&gt;0,ROUND($H1508*($N1508/SUMPRODUCT(MAX(($C$5:$C$2484=$C1508)*($D$5:$D$2484=$D1508)*($S$5:$S$2484=1)*IFERROR($N$5:$N$2484*1,0)))),4),0)))</f>
        <v/>
      </c>
      <c r="P1508" s="48" t="inlineStr">
        <is>
          <t>fermate</t>
        </is>
      </c>
      <c r="Q1508" s="57">
        <f>IF($A1508="","",$A1508&amp;"|"&amp;$C1508)</f>
        <v/>
      </c>
      <c r="R1508" s="57">
        <f>IF($A1508="","",$A1508&amp;"|"&amp;$C1508&amp;"|"&amp;$D1508)</f>
        <v/>
      </c>
      <c r="S1508" s="57">
        <f>IF($A1508="","",IFERROR(INDEX(Offerte!$D$2:$D$81,MATCH($Q1508,Offerte!$L$2:$L$81,0)),0))</f>
        <v/>
      </c>
      <c r="T1508" s="57">
        <f>IF($A1508="","",IFERROR(INDEX(Offerte!$G$2:$G$81,MATCH($Q1508,Offerte!$L$2:$L$81,0)),"NO"))</f>
        <v/>
      </c>
    </row>
    <row r="1509">
      <c r="A1509" s="48">
        <f>IF(Offerte!$A50="","",Offerte!$A50)</f>
        <v/>
      </c>
      <c r="B1509" s="48">
        <f>IF(Offerte!$A50="","",Offerte!$B50)</f>
        <v/>
      </c>
      <c r="C1509" s="48">
        <f>IF(Offerte!$A50="","",Offerte!$C50)</f>
        <v/>
      </c>
      <c r="D1509" s="48" t="inlineStr">
        <is>
          <t>D.1.2</t>
        </is>
      </c>
      <c r="E1509" s="48" t="inlineStr">
        <is>
          <t>D</t>
        </is>
      </c>
      <c r="F1509" s="48" t="inlineStr">
        <is>
          <t>Q</t>
        </is>
      </c>
      <c r="G1509" s="48" t="inlineStr">
        <is>
          <t>higher</t>
        </is>
      </c>
      <c r="H1509" s="48" t="n">
        <v>3</v>
      </c>
      <c r="I1509" s="48" t="inlineStr">
        <is>
          <t>Installazione di paline di fermata conformi alla DGR 581/2023</t>
        </is>
      </c>
      <c r="J1509" s="73" t="n"/>
      <c r="K1509" s="73" t="n"/>
      <c r="L1509" s="73" t="n"/>
      <c r="M1509" s="73" t="n"/>
      <c r="N1509" s="57">
        <f>IF($A1509="","",IFERROR(VALUE($J1509),0))</f>
        <v/>
      </c>
      <c r="O1509" s="57">
        <f>IF($A1509="",0,IF(OR($S1509&lt;&gt;1,COUNTA($J1509:$M1509)=0),0,IF(SUMPRODUCT(MAX(($C$5:$C$2484=$C1509)*($D$5:$D$2484=$D1509)*($S$5:$S$2484=1)*IFERROR($N$5:$N$2484*1,0)))&gt;0,ROUND($H1509*($N1509/SUMPRODUCT(MAX(($C$5:$C$2484=$C1509)*($D$5:$D$2484=$D1509)*($S$5:$S$2484=1)*IFERROR($N$5:$N$2484*1,0)))),4),0)))</f>
        <v/>
      </c>
      <c r="P1509" s="48" t="inlineStr">
        <is>
          <t>fermate</t>
        </is>
      </c>
      <c r="Q1509" s="57">
        <f>IF($A1509="","",$A1509&amp;"|"&amp;$C1509)</f>
        <v/>
      </c>
      <c r="R1509" s="57">
        <f>IF($A1509="","",$A1509&amp;"|"&amp;$C1509&amp;"|"&amp;$D1509)</f>
        <v/>
      </c>
      <c r="S1509" s="57">
        <f>IF($A1509="","",IFERROR(INDEX(Offerte!$D$2:$D$81,MATCH($Q1509,Offerte!$L$2:$L$81,0)),0))</f>
        <v/>
      </c>
      <c r="T1509" s="57">
        <f>IF($A1509="","",IFERROR(INDEX(Offerte!$G$2:$G$81,MATCH($Q1509,Offerte!$L$2:$L$81,0)),"NO"))</f>
        <v/>
      </c>
    </row>
    <row r="1510">
      <c r="A1510" s="48">
        <f>IF(Offerte!$A50="","",Offerte!$A50)</f>
        <v/>
      </c>
      <c r="B1510" s="48">
        <f>IF(Offerte!$A50="","",Offerte!$B50)</f>
        <v/>
      </c>
      <c r="C1510" s="48">
        <f>IF(Offerte!$A50="","",Offerte!$C50)</f>
        <v/>
      </c>
      <c r="D1510" s="48" t="inlineStr">
        <is>
          <t>D.1.3</t>
        </is>
      </c>
      <c r="E1510" s="48" t="inlineStr">
        <is>
          <t>D</t>
        </is>
      </c>
      <c r="F1510" s="48" t="inlineStr">
        <is>
          <t>Q</t>
        </is>
      </c>
      <c r="G1510" s="48" t="inlineStr">
        <is>
          <t>higher</t>
        </is>
      </c>
      <c r="H1510" s="48" t="n">
        <v>2</v>
      </c>
      <c r="I1510" s="48" t="inlineStr">
        <is>
          <t>Display informativi connessi alle fermate</t>
        </is>
      </c>
      <c r="J1510" s="73" t="n"/>
      <c r="K1510" s="73" t="n"/>
      <c r="L1510" s="73" t="n"/>
      <c r="M1510" s="73" t="n"/>
      <c r="N1510" s="57">
        <f>IF($A1510="","",IFERROR(VALUE($J1510),0))</f>
        <v/>
      </c>
      <c r="O1510" s="57">
        <f>IF($A1510="",0,IF(OR($S1510&lt;&gt;1,COUNTA($J1510:$M1510)=0),0,IF(SUMPRODUCT(MAX(($C$5:$C$2484=$C1510)*($D$5:$D$2484=$D1510)*($S$5:$S$2484=1)*IFERROR($N$5:$N$2484*1,0)))&gt;0,ROUND($H1510*($N1510/SUMPRODUCT(MAX(($C$5:$C$2484=$C1510)*($D$5:$D$2484=$D1510)*($S$5:$S$2484=1)*IFERROR($N$5:$N$2484*1,0)))),4),0)))</f>
        <v/>
      </c>
      <c r="P1510" s="48" t="inlineStr">
        <is>
          <t>fermate</t>
        </is>
      </c>
      <c r="Q1510" s="57">
        <f>IF($A1510="","",$A1510&amp;"|"&amp;$C1510)</f>
        <v/>
      </c>
      <c r="R1510" s="57">
        <f>IF($A1510="","",$A1510&amp;"|"&amp;$C1510&amp;"|"&amp;$D1510)</f>
        <v/>
      </c>
      <c r="S1510" s="57">
        <f>IF($A1510="","",IFERROR(INDEX(Offerte!$D$2:$D$81,MATCH($Q1510,Offerte!$L$2:$L$81,0)),0))</f>
        <v/>
      </c>
      <c r="T1510" s="57">
        <f>IF($A1510="","",IFERROR(INDEX(Offerte!$G$2:$G$81,MATCH($Q1510,Offerte!$L$2:$L$81,0)),"NO"))</f>
        <v/>
      </c>
    </row>
    <row r="1511">
      <c r="A1511" s="48">
        <f>IF(Offerte!$A50="","",Offerte!$A50)</f>
        <v/>
      </c>
      <c r="B1511" s="48">
        <f>IF(Offerte!$A50="","",Offerte!$B50)</f>
        <v/>
      </c>
      <c r="C1511" s="48">
        <f>IF(Offerte!$A50="","",Offerte!$C50)</f>
        <v/>
      </c>
      <c r="D1511" s="48" t="inlineStr">
        <is>
          <t>D.2.1</t>
        </is>
      </c>
      <c r="E1511" s="48" t="inlineStr">
        <is>
          <t>D</t>
        </is>
      </c>
      <c r="F1511" s="48" t="inlineStr">
        <is>
          <t>Q</t>
        </is>
      </c>
      <c r="G1511" s="48" t="inlineStr">
        <is>
          <t>higher</t>
        </is>
      </c>
      <c r="H1511" s="48" t="n">
        <v>2</v>
      </c>
      <c r="I1511" s="48" t="inlineStr">
        <is>
          <t>Segnali tattili Loges-Vet-Evolution</t>
        </is>
      </c>
      <c r="J1511" s="73" t="n"/>
      <c r="K1511" s="73" t="n"/>
      <c r="L1511" s="73" t="n"/>
      <c r="M1511" s="73" t="n"/>
      <c r="N1511" s="57">
        <f>IF($A1511="","",IFERROR(VALUE($J1511),0))</f>
        <v/>
      </c>
      <c r="O1511" s="57">
        <f>IF($A1511="",0,IF(OR($S1511&lt;&gt;1,COUNTA($J1511:$M1511)=0),0,IF(SUMPRODUCT(MAX(($C$5:$C$2484=$C1511)*($D$5:$D$2484=$D1511)*($S$5:$S$2484=1)*IFERROR($N$5:$N$2484*1,0)))&gt;0,ROUND($H1511*($N1511/SUMPRODUCT(MAX(($C$5:$C$2484=$C1511)*($D$5:$D$2484=$D1511)*($S$5:$S$2484=1)*IFERROR($N$5:$N$2484*1,0)))),4),0)))</f>
        <v/>
      </c>
      <c r="P1511" s="48" t="inlineStr">
        <is>
          <t>fermate</t>
        </is>
      </c>
      <c r="Q1511" s="57">
        <f>IF($A1511="","",$A1511&amp;"|"&amp;$C1511)</f>
        <v/>
      </c>
      <c r="R1511" s="57">
        <f>IF($A1511="","",$A1511&amp;"|"&amp;$C1511&amp;"|"&amp;$D1511)</f>
        <v/>
      </c>
      <c r="S1511" s="57">
        <f>IF($A1511="","",IFERROR(INDEX(Offerte!$D$2:$D$81,MATCH($Q1511,Offerte!$L$2:$L$81,0)),0))</f>
        <v/>
      </c>
      <c r="T1511" s="57">
        <f>IF($A1511="","",IFERROR(INDEX(Offerte!$G$2:$G$81,MATCH($Q1511,Offerte!$L$2:$L$81,0)),"NO"))</f>
        <v/>
      </c>
    </row>
    <row r="1512">
      <c r="A1512" s="48">
        <f>IF(Offerte!$A50="","",Offerte!$A50)</f>
        <v/>
      </c>
      <c r="B1512" s="48">
        <f>IF(Offerte!$A50="","",Offerte!$B50)</f>
        <v/>
      </c>
      <c r="C1512" s="48">
        <f>IF(Offerte!$A50="","",Offerte!$C50)</f>
        <v/>
      </c>
      <c r="D1512" s="48" t="inlineStr">
        <is>
          <t>E.1.1</t>
        </is>
      </c>
      <c r="E1512" s="48" t="inlineStr">
        <is>
          <t>E</t>
        </is>
      </c>
      <c r="F1512" s="48" t="inlineStr">
        <is>
          <t>T</t>
        </is>
      </c>
      <c r="G1512" s="48" t="inlineStr">
        <is>
          <t>tabular</t>
        </is>
      </c>
      <c r="H1512" s="48" t="n">
        <v>2</v>
      </c>
      <c r="I1512" s="48" t="inlineStr">
        <is>
          <t>Mobile app con travel planner PRM</t>
        </is>
      </c>
      <c r="J1512" s="73" t="n"/>
      <c r="K1512" s="73" t="n"/>
      <c r="L1512" s="73" t="n"/>
      <c r="M1512" s="73" t="n"/>
      <c r="N1512" s="57">
        <f>IF($A1512="","",IF(IFERROR(VALUE($M1512),0)=1,1,0))</f>
        <v/>
      </c>
      <c r="O1512" s="57">
        <f>IF($A1512="",0,IF(OR($S1512&lt;&gt;1,COUNTA($J1512:$M1512)=0),0,IF($N1512=1,$H1512,0)))</f>
        <v/>
      </c>
      <c r="P1512" s="48" t="inlineStr">
        <is>
          <t>sì/no</t>
        </is>
      </c>
      <c r="Q1512" s="57">
        <f>IF($A1512="","",$A1512&amp;"|"&amp;$C1512)</f>
        <v/>
      </c>
      <c r="R1512" s="57">
        <f>IF($A1512="","",$A1512&amp;"|"&amp;$C1512&amp;"|"&amp;$D1512)</f>
        <v/>
      </c>
      <c r="S1512" s="57">
        <f>IF($A1512="","",IFERROR(INDEX(Offerte!$D$2:$D$81,MATCH($Q1512,Offerte!$L$2:$L$81,0)),0))</f>
        <v/>
      </c>
      <c r="T1512" s="57">
        <f>IF($A1512="","",IFERROR(INDEX(Offerte!$G$2:$G$81,MATCH($Q1512,Offerte!$L$2:$L$81,0)),"NO"))</f>
        <v/>
      </c>
    </row>
    <row r="1513">
      <c r="A1513" s="48">
        <f>IF(Offerte!$A50="","",Offerte!$A50)</f>
        <v/>
      </c>
      <c r="B1513" s="48">
        <f>IF(Offerte!$A50="","",Offerte!$B50)</f>
        <v/>
      </c>
      <c r="C1513" s="48">
        <f>IF(Offerte!$A50="","",Offerte!$C50)</f>
        <v/>
      </c>
      <c r="D1513" s="48" t="inlineStr">
        <is>
          <t>E.2.1</t>
        </is>
      </c>
      <c r="E1513" s="48" t="inlineStr">
        <is>
          <t>E</t>
        </is>
      </c>
      <c r="F1513" s="48" t="inlineStr">
        <is>
          <t>D</t>
        </is>
      </c>
      <c r="G1513" s="48" t="inlineStr">
        <is>
          <t>discretionary</t>
        </is>
      </c>
      <c r="H1513" s="48" t="n">
        <v>2</v>
      </c>
      <c r="I1513" s="48" t="inlineStr">
        <is>
          <t>Altre azioni informative e rapporti con gli utenti</t>
        </is>
      </c>
      <c r="J1513" s="73" t="n"/>
      <c r="K1513" s="73" t="n"/>
      <c r="L1513" s="73" t="n"/>
      <c r="M1513" s="73" t="n"/>
      <c r="N1513" s="57">
        <f>IF($A1513="","",MAX(0,MIN(1,IFERROR(VALUE($M1513),0))))</f>
        <v/>
      </c>
      <c r="O1513" s="57">
        <f>IF($A1513="",0,IF(OR($S1513&lt;&gt;1,COUNTA($J1513:$M1513)=0),0,IF(SUMPRODUCT(MAX(($C$5:$C$2484=$C1513)*($D$5:$D$2484=$D1513)*($S$5:$S$2484=1)*IFERROR($N$5:$N$2484*1,0)))&gt;0,ROUND($H1513*($N1513/SUMPRODUCT(MAX(($C$5:$C$2484=$C1513)*($D$5:$D$2484=$D1513)*($S$5:$S$2484=1)*IFERROR($N$5:$N$2484*1,0)))),4),0)))</f>
        <v/>
      </c>
      <c r="P1513" s="48" t="inlineStr">
        <is>
          <t>coeff.</t>
        </is>
      </c>
      <c r="Q1513" s="57">
        <f>IF($A1513="","",$A1513&amp;"|"&amp;$C1513)</f>
        <v/>
      </c>
      <c r="R1513" s="57">
        <f>IF($A1513="","",$A1513&amp;"|"&amp;$C1513&amp;"|"&amp;$D1513)</f>
        <v/>
      </c>
      <c r="S1513" s="57">
        <f>IF($A1513="","",IFERROR(INDEX(Offerte!$D$2:$D$81,MATCH($Q1513,Offerte!$L$2:$L$81,0)),0))</f>
        <v/>
      </c>
      <c r="T1513" s="57">
        <f>IF($A1513="","",IFERROR(INDEX(Offerte!$G$2:$G$81,MATCH($Q1513,Offerte!$L$2:$L$81,0)),"NO"))</f>
        <v/>
      </c>
    </row>
    <row r="1514">
      <c r="A1514" s="48">
        <f>IF(Offerte!$A50="","",Offerte!$A50)</f>
        <v/>
      </c>
      <c r="B1514" s="48">
        <f>IF(Offerte!$A50="","",Offerte!$B50)</f>
        <v/>
      </c>
      <c r="C1514" s="48">
        <f>IF(Offerte!$A50="","",Offerte!$C50)</f>
        <v/>
      </c>
      <c r="D1514" s="48" t="inlineStr">
        <is>
          <t>F.1.1</t>
        </is>
      </c>
      <c r="E1514" s="48" t="inlineStr">
        <is>
          <t>F</t>
        </is>
      </c>
      <c r="F1514" s="48" t="inlineStr">
        <is>
          <t>Q</t>
        </is>
      </c>
      <c r="G1514" s="48" t="inlineStr">
        <is>
          <t>lower</t>
        </is>
      </c>
      <c r="H1514" s="48" t="n">
        <v>7</v>
      </c>
      <c r="I1514" s="48" t="inlineStr">
        <is>
          <t>Performance ambientali del parco mezzi adibito al servizio - I_CEA</t>
        </is>
      </c>
      <c r="J1514" s="73" t="n"/>
      <c r="K1514" s="73" t="n"/>
      <c r="L1514" s="73" t="n"/>
      <c r="M1514" s="73" t="n"/>
      <c r="N1514" s="57">
        <f>IF($A1514="","",IFERROR(VALUE($J1514),0))</f>
        <v/>
      </c>
      <c r="O1514" s="57">
        <f>IF($A1514="",0,IF(OR($S1514&lt;&gt;1,COUNTA($J1514:$M1514)=0),0,IF(AND(IFERROR(AGGREGATE(15,6,$N$5:$N$2484/(($C$5:$C$2484=$C1514)*($D$5:$D$2484=$D1514)*($S$5:$S$2484=1)*($N$5:$N$2484&gt;0)),1),0)&gt;0,$N1514&gt;0),ROUND($H1514*(IFERROR(AGGREGATE(15,6,$N$5:$N$2484/(($C$5:$C$2484=$C1514)*($D$5:$D$2484=$D1514)*($S$5:$S$2484=1)*($N$5:$N$2484&gt;0)),1),0)/$N1514),4),0)))</f>
        <v/>
      </c>
      <c r="P1514" s="48" t="inlineStr">
        <is>
          <t>indice</t>
        </is>
      </c>
      <c r="Q1514" s="57">
        <f>IF($A1514="","",$A1514&amp;"|"&amp;$C1514)</f>
        <v/>
      </c>
      <c r="R1514" s="57">
        <f>IF($A1514="","",$A1514&amp;"|"&amp;$C1514&amp;"|"&amp;$D1514)</f>
        <v/>
      </c>
      <c r="S1514" s="57">
        <f>IF($A1514="","",IFERROR(INDEX(Offerte!$D$2:$D$81,MATCH($Q1514,Offerte!$L$2:$L$81,0)),0))</f>
        <v/>
      </c>
      <c r="T1514" s="57">
        <f>IF($A1514="","",IFERROR(INDEX(Offerte!$G$2:$G$81,MATCH($Q1514,Offerte!$L$2:$L$81,0)),"NO"))</f>
        <v/>
      </c>
    </row>
    <row r="1515">
      <c r="A1515" s="48">
        <f>IF(Offerte!$A50="","",Offerte!$A50)</f>
        <v/>
      </c>
      <c r="B1515" s="48">
        <f>IF(Offerte!$A50="","",Offerte!$B50)</f>
        <v/>
      </c>
      <c r="C1515" s="48">
        <f>IF(Offerte!$A50="","",Offerte!$C50)</f>
        <v/>
      </c>
      <c r="D1515" s="48" t="inlineStr">
        <is>
          <t>F.2.1</t>
        </is>
      </c>
      <c r="E1515" s="48" t="inlineStr">
        <is>
          <t>F</t>
        </is>
      </c>
      <c r="F1515" s="48" t="inlineStr">
        <is>
          <t>Q</t>
        </is>
      </c>
      <c r="G1515" s="48" t="inlineStr">
        <is>
          <t>higher</t>
        </is>
      </c>
      <c r="H1515" s="48" t="n">
        <v>2</v>
      </c>
      <c r="I1515" s="48" t="inlineStr">
        <is>
          <t>Tasso di copertura del servizio con dispositivi ECO-DRIVER</t>
        </is>
      </c>
      <c r="J1515" s="73" t="n"/>
      <c r="K1515" s="73" t="n"/>
      <c r="L1515" s="73" t="n"/>
      <c r="M1515" s="73" t="n"/>
      <c r="N1515" s="57">
        <f>IF($A1515="","",IFERROR(VALUE($K1515)/VALUE($L1515),IFERROR(VALUE($J1515),0)))</f>
        <v/>
      </c>
      <c r="O1515" s="57">
        <f>IF($A1515="",0,IF(OR($S1515&lt;&gt;1,COUNTA($J1515:$M1515)=0),0,IF(SUMPRODUCT(MAX(($C$5:$C$2484=$C1515)*($D$5:$D$2484=$D1515)*($S$5:$S$2484=1)*IFERROR($N$5:$N$2484*1,0)))&gt;0,ROUND($H1515*($N1515/SUMPRODUCT(MAX(($C$5:$C$2484=$C1515)*($D$5:$D$2484=$D1515)*($S$5:$S$2484=1)*IFERROR($N$5:$N$2484*1,0)))),4),0)))</f>
        <v/>
      </c>
      <c r="P1515" s="48" t="inlineStr">
        <is>
          <t>Autobus attrezzati con dispositivi ECO-DRIVER / Autobus totali in offerta, incluse scorte</t>
        </is>
      </c>
      <c r="Q1515" s="57">
        <f>IF($A1515="","",$A1515&amp;"|"&amp;$C1515)</f>
        <v/>
      </c>
      <c r="R1515" s="57">
        <f>IF($A1515="","",$A1515&amp;"|"&amp;$C1515&amp;"|"&amp;$D1515)</f>
        <v/>
      </c>
      <c r="S1515" s="57">
        <f>IF($A1515="","",IFERROR(INDEX(Offerte!$D$2:$D$81,MATCH($Q1515,Offerte!$L$2:$L$81,0)),0))</f>
        <v/>
      </c>
      <c r="T1515" s="57">
        <f>IF($A1515="","",IFERROR(INDEX(Offerte!$G$2:$G$81,MATCH($Q1515,Offerte!$L$2:$L$81,0)),"NO"))</f>
        <v/>
      </c>
    </row>
    <row r="1516">
      <c r="A1516" s="48">
        <f>IF(Offerte!$A50="","",Offerte!$A50)</f>
        <v/>
      </c>
      <c r="B1516" s="48">
        <f>IF(Offerte!$A50="","",Offerte!$B50)</f>
        <v/>
      </c>
      <c r="C1516" s="48">
        <f>IF(Offerte!$A50="","",Offerte!$C50)</f>
        <v/>
      </c>
      <c r="D1516" s="48" t="inlineStr">
        <is>
          <t>F.3.1</t>
        </is>
      </c>
      <c r="E1516" s="48" t="inlineStr">
        <is>
          <t>F</t>
        </is>
      </c>
      <c r="F1516" s="48" t="inlineStr">
        <is>
          <t>Q</t>
        </is>
      </c>
      <c r="G1516" s="48" t="inlineStr">
        <is>
          <t>higher</t>
        </is>
      </c>
      <c r="H1516" s="48" t="n">
        <v>2</v>
      </c>
      <c r="I1516" s="48" t="inlineStr">
        <is>
          <t>Autoproduzione consumi elettrici per trazione</t>
        </is>
      </c>
      <c r="J1516" s="73" t="n"/>
      <c r="K1516" s="73" t="n"/>
      <c r="L1516" s="73" t="n"/>
      <c r="M1516" s="73" t="n"/>
      <c r="N1516" s="57">
        <f>IF($A1516="","",IFERROR(VALUE($J1516),0))</f>
        <v/>
      </c>
      <c r="O1516" s="57">
        <f>IF($A1516="",0,IF(OR($S1516&lt;&gt;1,COUNTA($J1516:$M1516)=0),0,IF(SUMPRODUCT(MAX(($C$5:$C$2484=$C1516)*($D$5:$D$2484=$D1516)*($S$5:$S$2484=1)*IFERROR($N$5:$N$2484*1,0)))&gt;0,ROUND($H1516*($N1516/SUMPRODUCT(MAX(($C$5:$C$2484=$C1516)*($D$5:$D$2484=$D1516)*($S$5:$S$2484=1)*IFERROR($N$5:$N$2484*1,0)))),4),0)))</f>
        <v/>
      </c>
      <c r="P1516" s="48" t="inlineStr">
        <is>
          <t>kWh/anno</t>
        </is>
      </c>
      <c r="Q1516" s="57">
        <f>IF($A1516="","",$A1516&amp;"|"&amp;$C1516)</f>
        <v/>
      </c>
      <c r="R1516" s="57">
        <f>IF($A1516="","",$A1516&amp;"|"&amp;$C1516&amp;"|"&amp;$D1516)</f>
        <v/>
      </c>
      <c r="S1516" s="57">
        <f>IF($A1516="","",IFERROR(INDEX(Offerte!$D$2:$D$81,MATCH($Q1516,Offerte!$L$2:$L$81,0)),0))</f>
        <v/>
      </c>
      <c r="T1516" s="57">
        <f>IF($A1516="","",IFERROR(INDEX(Offerte!$G$2:$G$81,MATCH($Q1516,Offerte!$L$2:$L$81,0)),"NO"))</f>
        <v/>
      </c>
    </row>
    <row r="1517">
      <c r="A1517" s="48">
        <f>IF(Offerte!$A50="","",Offerte!$A50)</f>
        <v/>
      </c>
      <c r="B1517" s="48">
        <f>IF(Offerte!$A50="","",Offerte!$B50)</f>
        <v/>
      </c>
      <c r="C1517" s="48">
        <f>IF(Offerte!$A50="","",Offerte!$C50)</f>
        <v/>
      </c>
      <c r="D1517" s="48" t="inlineStr">
        <is>
          <t>F.4.1</t>
        </is>
      </c>
      <c r="E1517" s="48" t="inlineStr">
        <is>
          <t>F</t>
        </is>
      </c>
      <c r="F1517" s="48" t="inlineStr">
        <is>
          <t>Q</t>
        </is>
      </c>
      <c r="G1517" s="48" t="inlineStr">
        <is>
          <t>soil</t>
        </is>
      </c>
      <c r="H1517" s="48" t="n">
        <v>2</v>
      </c>
      <c r="I1517" s="48" t="inlineStr">
        <is>
          <t>Indice di consumo di suolo</t>
        </is>
      </c>
      <c r="J1517" s="73" t="n"/>
      <c r="K1517" s="73" t="n"/>
      <c r="L1517" s="73" t="n"/>
      <c r="M1517" s="73" t="n"/>
      <c r="N1517" s="57">
        <f>IF($A1517="","",IFERROR(VALUE($J1517),0))</f>
        <v/>
      </c>
      <c r="O1517" s="57">
        <f>IF($A1517="",0,IF(OR($S1517&lt;&gt;1,COUNTA($J1517:$M1517)=0),0,IF($N1517&lt;=0,$H1517,IF(SUMPRODUCT(MAX(($C$5:$C$2484=$C1517)*($D$5:$D$2484=$D1517)*($S$5:$S$2484=1)*IFERROR($N$5:$N$2484*1,0)))&gt;0,ROUND($H1517*((SUMPRODUCT(MAX(($C$5:$C$2484=$C1517)*($D$5:$D$2484=$D1517)*($S$5:$S$2484=1)*IFERROR($N$5:$N$2484*1,0)))-$N1517)/SUMPRODUCT(MAX(($C$5:$C$2484=$C1517)*($D$5:$D$2484=$D1517)*($S$5:$S$2484=1)*IFERROR($N$5:$N$2484*1,0)))),4),0))))</f>
        <v/>
      </c>
      <c r="P1517" s="48" t="inlineStr">
        <is>
          <t>m2</t>
        </is>
      </c>
      <c r="Q1517" s="57">
        <f>IF($A1517="","",$A1517&amp;"|"&amp;$C1517)</f>
        <v/>
      </c>
      <c r="R1517" s="57">
        <f>IF($A1517="","",$A1517&amp;"|"&amp;$C1517&amp;"|"&amp;$D1517)</f>
        <v/>
      </c>
      <c r="S1517" s="57">
        <f>IF($A1517="","",IFERROR(INDEX(Offerte!$D$2:$D$81,MATCH($Q1517,Offerte!$L$2:$L$81,0)),0))</f>
        <v/>
      </c>
      <c r="T1517" s="57">
        <f>IF($A1517="","",IFERROR(INDEX(Offerte!$G$2:$G$81,MATCH($Q1517,Offerte!$L$2:$L$81,0)),"NO"))</f>
        <v/>
      </c>
    </row>
    <row r="1518">
      <c r="A1518" s="48">
        <f>IF(Offerte!$A50="","",Offerte!$A50)</f>
        <v/>
      </c>
      <c r="B1518" s="48">
        <f>IF(Offerte!$A50="","",Offerte!$B50)</f>
        <v/>
      </c>
      <c r="C1518" s="48">
        <f>IF(Offerte!$A50="","",Offerte!$C50)</f>
        <v/>
      </c>
      <c r="D1518" s="48" t="inlineStr">
        <is>
          <t>F.5.1</t>
        </is>
      </c>
      <c r="E1518" s="48" t="inlineStr">
        <is>
          <t>F</t>
        </is>
      </c>
      <c r="F1518" s="48" t="inlineStr">
        <is>
          <t>T</t>
        </is>
      </c>
      <c r="G1518" s="48" t="inlineStr">
        <is>
          <t>tabular</t>
        </is>
      </c>
      <c r="H1518" s="48" t="n">
        <v>1</v>
      </c>
      <c r="I1518" s="48" t="inlineStr">
        <is>
          <t>Rendicontazione di sostenibilità ambientale</t>
        </is>
      </c>
      <c r="J1518" s="73" t="n"/>
      <c r="K1518" s="73" t="n"/>
      <c r="L1518" s="73" t="n"/>
      <c r="M1518" s="73" t="n"/>
      <c r="N1518" s="57">
        <f>IF($A1518="","",IF(IFERROR(VALUE($M1518),0)=1,1,0))</f>
        <v/>
      </c>
      <c r="O1518" s="57">
        <f>IF($A1518="",0,IF(OR($S1518&lt;&gt;1,COUNTA($J1518:$M1518)=0),0,IF($N1518=1,$H1518,0)))</f>
        <v/>
      </c>
      <c r="P1518" s="48" t="inlineStr">
        <is>
          <t>sì/no</t>
        </is>
      </c>
      <c r="Q1518" s="57">
        <f>IF($A1518="","",$A1518&amp;"|"&amp;$C1518)</f>
        <v/>
      </c>
      <c r="R1518" s="57">
        <f>IF($A1518="","",$A1518&amp;"|"&amp;$C1518&amp;"|"&amp;$D1518)</f>
        <v/>
      </c>
      <c r="S1518" s="57">
        <f>IF($A1518="","",IFERROR(INDEX(Offerte!$D$2:$D$81,MATCH($Q1518,Offerte!$L$2:$L$81,0)),0))</f>
        <v/>
      </c>
      <c r="T1518" s="57">
        <f>IF($A1518="","",IFERROR(INDEX(Offerte!$G$2:$G$81,MATCH($Q1518,Offerte!$L$2:$L$81,0)),"NO"))</f>
        <v/>
      </c>
    </row>
    <row r="1519">
      <c r="A1519" s="48">
        <f>IF(Offerte!$A50="","",Offerte!$A50)</f>
        <v/>
      </c>
      <c r="B1519" s="48">
        <f>IF(Offerte!$A50="","",Offerte!$B50)</f>
        <v/>
      </c>
      <c r="C1519" s="48">
        <f>IF(Offerte!$A50="","",Offerte!$C50)</f>
        <v/>
      </c>
      <c r="D1519" s="48" t="inlineStr">
        <is>
          <t>G.1.1</t>
        </is>
      </c>
      <c r="E1519" s="48" t="inlineStr">
        <is>
          <t>G</t>
        </is>
      </c>
      <c r="F1519" s="48" t="inlineStr">
        <is>
          <t>D</t>
        </is>
      </c>
      <c r="G1519" s="48" t="inlineStr">
        <is>
          <t>discretionary</t>
        </is>
      </c>
      <c r="H1519" s="48" t="n">
        <v>2</v>
      </c>
      <c r="I1519" s="48" t="inlineStr">
        <is>
          <t>Qualità del progetto di centrale di controllo aziendale</t>
        </is>
      </c>
      <c r="J1519" s="73" t="n"/>
      <c r="K1519" s="73" t="n"/>
      <c r="L1519" s="73" t="n"/>
      <c r="M1519" s="73" t="n"/>
      <c r="N1519" s="57">
        <f>IF($A1519="","",MAX(0,MIN(1,IFERROR(VALUE($M1519),0))))</f>
        <v/>
      </c>
      <c r="O1519" s="57">
        <f>IF($A1519="",0,IF(OR($S1519&lt;&gt;1,COUNTA($J1519:$M1519)=0),0,IF(SUMPRODUCT(MAX(($C$5:$C$2484=$C1519)*($D$5:$D$2484=$D1519)*($S$5:$S$2484=1)*IFERROR($N$5:$N$2484*1,0)))&gt;0,ROUND($H1519*($N1519/SUMPRODUCT(MAX(($C$5:$C$2484=$C1519)*($D$5:$D$2484=$D1519)*($S$5:$S$2484=1)*IFERROR($N$5:$N$2484*1,0)))),4),0)))</f>
        <v/>
      </c>
      <c r="P1519" s="48" t="inlineStr">
        <is>
          <t>coeff.</t>
        </is>
      </c>
      <c r="Q1519" s="57">
        <f>IF($A1519="","",$A1519&amp;"|"&amp;$C1519)</f>
        <v/>
      </c>
      <c r="R1519" s="57">
        <f>IF($A1519="","",$A1519&amp;"|"&amp;$C1519&amp;"|"&amp;$D1519)</f>
        <v/>
      </c>
      <c r="S1519" s="57">
        <f>IF($A1519="","",IFERROR(INDEX(Offerte!$D$2:$D$81,MATCH($Q1519,Offerte!$L$2:$L$81,0)),0))</f>
        <v/>
      </c>
      <c r="T1519" s="57">
        <f>IF($A1519="","",IFERROR(INDEX(Offerte!$G$2:$G$81,MATCH($Q1519,Offerte!$L$2:$L$81,0)),"NO"))</f>
        <v/>
      </c>
    </row>
    <row r="1520">
      <c r="A1520" s="48">
        <f>IF(Offerte!$A50="","",Offerte!$A50)</f>
        <v/>
      </c>
      <c r="B1520" s="48">
        <f>IF(Offerte!$A50="","",Offerte!$B50)</f>
        <v/>
      </c>
      <c r="C1520" s="48">
        <f>IF(Offerte!$A50="","",Offerte!$C50)</f>
        <v/>
      </c>
      <c r="D1520" s="48" t="inlineStr">
        <is>
          <t>G.2.1</t>
        </is>
      </c>
      <c r="E1520" s="48" t="inlineStr">
        <is>
          <t>G</t>
        </is>
      </c>
      <c r="F1520" s="48" t="inlineStr">
        <is>
          <t>T</t>
        </is>
      </c>
      <c r="G1520" s="48" t="inlineStr">
        <is>
          <t>tabular</t>
        </is>
      </c>
      <c r="H1520" s="48" t="n">
        <v>1</v>
      </c>
      <c r="I1520" s="48" t="inlineStr">
        <is>
          <t>Certificazione ISO 45001</t>
        </is>
      </c>
      <c r="J1520" s="73" t="n"/>
      <c r="K1520" s="73" t="n"/>
      <c r="L1520" s="73" t="n"/>
      <c r="M1520" s="73" t="n"/>
      <c r="N1520" s="57">
        <f>IF($A1520="","",IF(IFERROR(VALUE($M1520),0)=1,1,0))</f>
        <v/>
      </c>
      <c r="O1520" s="57">
        <f>IF($A1520="",0,IF(OR($S1520&lt;&gt;1,COUNTA($J1520:$M1520)=0),0,IF($N1520=1,$H1520,0)))</f>
        <v/>
      </c>
      <c r="P1520" s="48" t="inlineStr">
        <is>
          <t>sì/no</t>
        </is>
      </c>
      <c r="Q1520" s="57">
        <f>IF($A1520="","",$A1520&amp;"|"&amp;$C1520)</f>
        <v/>
      </c>
      <c r="R1520" s="57">
        <f>IF($A1520="","",$A1520&amp;"|"&amp;$C1520&amp;"|"&amp;$D1520)</f>
        <v/>
      </c>
      <c r="S1520" s="57">
        <f>IF($A1520="","",IFERROR(INDEX(Offerte!$D$2:$D$81,MATCH($Q1520,Offerte!$L$2:$L$81,0)),0))</f>
        <v/>
      </c>
      <c r="T1520" s="57">
        <f>IF($A1520="","",IFERROR(INDEX(Offerte!$G$2:$G$81,MATCH($Q1520,Offerte!$L$2:$L$81,0)),"NO"))</f>
        <v/>
      </c>
    </row>
    <row r="1521">
      <c r="A1521" s="48">
        <f>IF(Offerte!$A50="","",Offerte!$A50)</f>
        <v/>
      </c>
      <c r="B1521" s="48">
        <f>IF(Offerte!$A50="","",Offerte!$B50)</f>
        <v/>
      </c>
      <c r="C1521" s="48">
        <f>IF(Offerte!$A50="","",Offerte!$C50)</f>
        <v/>
      </c>
      <c r="D1521" s="48" t="inlineStr">
        <is>
          <t>G.3.1</t>
        </is>
      </c>
      <c r="E1521" s="48" t="inlineStr">
        <is>
          <t>G</t>
        </is>
      </c>
      <c r="F1521" s="48" t="inlineStr">
        <is>
          <t>T</t>
        </is>
      </c>
      <c r="G1521" s="48" t="inlineStr">
        <is>
          <t>tabular</t>
        </is>
      </c>
      <c r="H1521" s="48" t="n">
        <v>1</v>
      </c>
      <c r="I1521" s="48" t="inlineStr">
        <is>
          <t>Certificazioni di responsabilità sociale</t>
        </is>
      </c>
      <c r="J1521" s="73" t="n"/>
      <c r="K1521" s="73" t="n"/>
      <c r="L1521" s="73" t="n"/>
      <c r="M1521" s="73" t="n"/>
      <c r="N1521" s="57">
        <f>IF($A1521="","",IF(IFERROR(VALUE($M1521),0)=1,1,0))</f>
        <v/>
      </c>
      <c r="O1521" s="57">
        <f>IF($A1521="",0,IF(OR($S1521&lt;&gt;1,COUNTA($J1521:$M1521)=0),0,IF($N1521=1,$H1521,0)))</f>
        <v/>
      </c>
      <c r="P1521" s="48" t="inlineStr">
        <is>
          <t>sì/no</t>
        </is>
      </c>
      <c r="Q1521" s="57">
        <f>IF($A1521="","",$A1521&amp;"|"&amp;$C1521)</f>
        <v/>
      </c>
      <c r="R1521" s="57">
        <f>IF($A1521="","",$A1521&amp;"|"&amp;$C1521&amp;"|"&amp;$D1521)</f>
        <v/>
      </c>
      <c r="S1521" s="57">
        <f>IF($A1521="","",IFERROR(INDEX(Offerte!$D$2:$D$81,MATCH($Q1521,Offerte!$L$2:$L$81,0)),0))</f>
        <v/>
      </c>
      <c r="T1521" s="57">
        <f>IF($A1521="","",IFERROR(INDEX(Offerte!$G$2:$G$81,MATCH($Q1521,Offerte!$L$2:$L$81,0)),"NO"))</f>
        <v/>
      </c>
    </row>
    <row r="1522">
      <c r="A1522" s="48">
        <f>IF(Offerte!$A50="","",Offerte!$A50)</f>
        <v/>
      </c>
      <c r="B1522" s="48">
        <f>IF(Offerte!$A50="","",Offerte!$B50)</f>
        <v/>
      </c>
      <c r="C1522" s="48">
        <f>IF(Offerte!$A50="","",Offerte!$C50)</f>
        <v/>
      </c>
      <c r="D1522" s="48" t="inlineStr">
        <is>
          <t>G.4.1</t>
        </is>
      </c>
      <c r="E1522" s="48" t="inlineStr">
        <is>
          <t>G</t>
        </is>
      </c>
      <c r="F1522" s="48" t="inlineStr">
        <is>
          <t>D</t>
        </is>
      </c>
      <c r="G1522" s="48" t="inlineStr">
        <is>
          <t>discretionary</t>
        </is>
      </c>
      <c r="H1522" s="48" t="n">
        <v>2</v>
      </c>
      <c r="I1522" s="48" t="inlineStr">
        <is>
          <t>Qualità del piano di formazione del personale</t>
        </is>
      </c>
      <c r="J1522" s="73" t="n"/>
      <c r="K1522" s="73" t="n"/>
      <c r="L1522" s="73" t="n"/>
      <c r="M1522" s="73" t="n"/>
      <c r="N1522" s="57">
        <f>IF($A1522="","",MAX(0,MIN(1,IFERROR(VALUE($M1522),0))))</f>
        <v/>
      </c>
      <c r="O1522" s="57">
        <f>IF($A1522="",0,IF(OR($S1522&lt;&gt;1,COUNTA($J1522:$M1522)=0),0,IF(SUMPRODUCT(MAX(($C$5:$C$2484=$C1522)*($D$5:$D$2484=$D1522)*($S$5:$S$2484=1)*IFERROR($N$5:$N$2484*1,0)))&gt;0,ROUND($H1522*($N1522/SUMPRODUCT(MAX(($C$5:$C$2484=$C1522)*($D$5:$D$2484=$D1522)*($S$5:$S$2484=1)*IFERROR($N$5:$N$2484*1,0)))),4),0)))</f>
        <v/>
      </c>
      <c r="P1522" s="48" t="inlineStr">
        <is>
          <t>coeff.</t>
        </is>
      </c>
      <c r="Q1522" s="57">
        <f>IF($A1522="","",$A1522&amp;"|"&amp;$C1522)</f>
        <v/>
      </c>
      <c r="R1522" s="57">
        <f>IF($A1522="","",$A1522&amp;"|"&amp;$C1522&amp;"|"&amp;$D1522)</f>
        <v/>
      </c>
      <c r="S1522" s="57">
        <f>IF($A1522="","",IFERROR(INDEX(Offerte!$D$2:$D$81,MATCH($Q1522,Offerte!$L$2:$L$81,0)),0))</f>
        <v/>
      </c>
      <c r="T1522" s="57">
        <f>IF($A1522="","",IFERROR(INDEX(Offerte!$G$2:$G$81,MATCH($Q1522,Offerte!$L$2:$L$81,0)),"NO"))</f>
        <v/>
      </c>
    </row>
    <row r="1523">
      <c r="A1523" s="48">
        <f>IF(Offerte!$A50="","",Offerte!$A50)</f>
        <v/>
      </c>
      <c r="B1523" s="48">
        <f>IF(Offerte!$A50="","",Offerte!$B50)</f>
        <v/>
      </c>
      <c r="C1523" s="48">
        <f>IF(Offerte!$A50="","",Offerte!$C50)</f>
        <v/>
      </c>
      <c r="D1523" s="48" t="inlineStr">
        <is>
          <t>G.5.1</t>
        </is>
      </c>
      <c r="E1523" s="48" t="inlineStr">
        <is>
          <t>G</t>
        </is>
      </c>
      <c r="F1523" s="48" t="inlineStr">
        <is>
          <t>T</t>
        </is>
      </c>
      <c r="G1523" s="48" t="inlineStr">
        <is>
          <t>tabular</t>
        </is>
      </c>
      <c r="H1523" s="48" t="n">
        <v>1</v>
      </c>
      <c r="I1523" s="48" t="inlineStr">
        <is>
          <t>Impegno al mantenimento delle garanzie del contratto di secondo livello del gestore uscente</t>
        </is>
      </c>
      <c r="J1523" s="73" t="n"/>
      <c r="K1523" s="73" t="n"/>
      <c r="L1523" s="73" t="n"/>
      <c r="M1523" s="73" t="n"/>
      <c r="N1523" s="57">
        <f>IF($A1523="","",IF(IFERROR(VALUE($M1523),0)=1,1,0))</f>
        <v/>
      </c>
      <c r="O1523" s="57">
        <f>IF($A1523="",0,IF(OR($S1523&lt;&gt;1,COUNTA($J1523:$M1523)=0),0,IF($N1523=1,$H1523,0)))</f>
        <v/>
      </c>
      <c r="P1523" s="48" t="inlineStr">
        <is>
          <t>sì/no</t>
        </is>
      </c>
      <c r="Q1523" s="57">
        <f>IF($A1523="","",$A1523&amp;"|"&amp;$C1523)</f>
        <v/>
      </c>
      <c r="R1523" s="57">
        <f>IF($A1523="","",$A1523&amp;"|"&amp;$C1523&amp;"|"&amp;$D1523)</f>
        <v/>
      </c>
      <c r="S1523" s="57">
        <f>IF($A1523="","",IFERROR(INDEX(Offerte!$D$2:$D$81,MATCH($Q1523,Offerte!$L$2:$L$81,0)),0))</f>
        <v/>
      </c>
      <c r="T1523" s="57">
        <f>IF($A1523="","",IFERROR(INDEX(Offerte!$G$2:$G$81,MATCH($Q1523,Offerte!$L$2:$L$81,0)),"NO"))</f>
        <v/>
      </c>
    </row>
    <row r="1524">
      <c r="A1524" s="48">
        <f>IF(Offerte!$A51="","",Offerte!$A51)</f>
        <v/>
      </c>
      <c r="B1524" s="48">
        <f>IF(Offerte!$A51="","",Offerte!$B51)</f>
        <v/>
      </c>
      <c r="C1524" s="48">
        <f>IF(Offerte!$A51="","",Offerte!$C51)</f>
        <v/>
      </c>
      <c r="D1524" s="48" t="inlineStr">
        <is>
          <t>A.1.1</t>
        </is>
      </c>
      <c r="E1524" s="48" t="inlineStr">
        <is>
          <t>A</t>
        </is>
      </c>
      <c r="F1524" s="48" t="inlineStr">
        <is>
          <t>Q</t>
        </is>
      </c>
      <c r="G1524" s="48" t="inlineStr">
        <is>
          <t>higher</t>
        </is>
      </c>
      <c r="H1524" s="48" t="n">
        <v>3</v>
      </c>
      <c r="I1524" s="48" t="inlineStr">
        <is>
          <t>Tasso aggiuntivo di corse controllate</t>
        </is>
      </c>
      <c r="J1524" s="73" t="n"/>
      <c r="K1524" s="73" t="n"/>
      <c r="L1524" s="73" t="n"/>
      <c r="M1524" s="73" t="n"/>
      <c r="N1524" s="57">
        <f>IF($A1524="","",IFERROR(VALUE($K1524)/VALUE($L1524)*100,IFERROR(VALUE($J1524),0)))</f>
        <v/>
      </c>
      <c r="O1524" s="57">
        <f>IF($A1524="",0,IF(OR($S1524&lt;&gt;1,COUNTA($J1524:$M1524)=0),0,IF(SUMPRODUCT(MAX(($C$5:$C$2484=$C1524)*($D$5:$D$2484=$D1524)*($S$5:$S$2484=1)*IFERROR($N$5:$N$2484*1,0)))&gt;0,ROUND($H1524*($N1524/SUMPRODUCT(MAX(($C$5:$C$2484=$C1524)*($D$5:$D$2484=$D1524)*($S$5:$S$2484=1)*IFERROR($N$5:$N$2484*1,0)))),4),0)))</f>
        <v/>
      </c>
      <c r="P1524" s="48" t="inlineStr">
        <is>
          <t>Corse controllate annue / Corse programmate annue</t>
        </is>
      </c>
      <c r="Q1524" s="57">
        <f>IF($A1524="","",$A1524&amp;"|"&amp;$C1524)</f>
        <v/>
      </c>
      <c r="R1524" s="57">
        <f>IF($A1524="","",$A1524&amp;"|"&amp;$C1524&amp;"|"&amp;$D1524)</f>
        <v/>
      </c>
      <c r="S1524" s="57">
        <f>IF($A1524="","",IFERROR(INDEX(Offerte!$D$2:$D$81,MATCH($Q1524,Offerte!$L$2:$L$81,0)),0))</f>
        <v/>
      </c>
      <c r="T1524" s="57">
        <f>IF($A1524="","",IFERROR(INDEX(Offerte!$G$2:$G$81,MATCH($Q1524,Offerte!$L$2:$L$81,0)),"NO"))</f>
        <v/>
      </c>
    </row>
    <row r="1525">
      <c r="A1525" s="48">
        <f>IF(Offerte!$A51="","",Offerte!$A51)</f>
        <v/>
      </c>
      <c r="B1525" s="48">
        <f>IF(Offerte!$A51="","",Offerte!$B51)</f>
        <v/>
      </c>
      <c r="C1525" s="48">
        <f>IF(Offerte!$A51="","",Offerte!$C51)</f>
        <v/>
      </c>
      <c r="D1525" s="48" t="inlineStr">
        <is>
          <t>A.1.2</t>
        </is>
      </c>
      <c r="E1525" s="48" t="inlineStr">
        <is>
          <t>A</t>
        </is>
      </c>
      <c r="F1525" s="48" t="inlineStr">
        <is>
          <t>Q</t>
        </is>
      </c>
      <c r="G1525" s="48" t="inlineStr">
        <is>
          <t>higher</t>
        </is>
      </c>
      <c r="H1525" s="48" t="n">
        <v>4</v>
      </c>
      <c r="I1525" s="48" t="inlineStr">
        <is>
          <t>Numero aggiuntivo di passeggeri controllati</t>
        </is>
      </c>
      <c r="J1525" s="73" t="n"/>
      <c r="K1525" s="73" t="n"/>
      <c r="L1525" s="73" t="n"/>
      <c r="M1525" s="73" t="n"/>
      <c r="N1525" s="57">
        <f>IF($A1525="","",IFERROR(VALUE($J1525),0))</f>
        <v/>
      </c>
      <c r="O1525" s="57">
        <f>IF($A1525="",0,IF(OR($S1525&lt;&gt;1,COUNTA($J1525:$M1525)=0),0,IF(SUMPRODUCT(MAX(($C$5:$C$2484=$C1525)*($D$5:$D$2484=$D1525)*($S$5:$S$2484=1)*IFERROR($N$5:$N$2484*1,0)))&gt;0,ROUND($H1525*($N1525/SUMPRODUCT(MAX(($C$5:$C$2484=$C1525)*($D$5:$D$2484=$D1525)*($S$5:$S$2484=1)*IFERROR($N$5:$N$2484*1,0)))),4),0)))</f>
        <v/>
      </c>
      <c r="P1525" s="48" t="inlineStr">
        <is>
          <t>passeggeri/anno</t>
        </is>
      </c>
      <c r="Q1525" s="57">
        <f>IF($A1525="","",$A1525&amp;"|"&amp;$C1525)</f>
        <v/>
      </c>
      <c r="R1525" s="57">
        <f>IF($A1525="","",$A1525&amp;"|"&amp;$C1525&amp;"|"&amp;$D1525)</f>
        <v/>
      </c>
      <c r="S1525" s="57">
        <f>IF($A1525="","",IFERROR(INDEX(Offerte!$D$2:$D$81,MATCH($Q1525,Offerte!$L$2:$L$81,0)),0))</f>
        <v/>
      </c>
      <c r="T1525" s="57">
        <f>IF($A1525="","",IFERROR(INDEX(Offerte!$G$2:$G$81,MATCH($Q1525,Offerte!$L$2:$L$81,0)),"NO"))</f>
        <v/>
      </c>
    </row>
    <row r="1526">
      <c r="A1526" s="48">
        <f>IF(Offerte!$A51="","",Offerte!$A51)</f>
        <v/>
      </c>
      <c r="B1526" s="48">
        <f>IF(Offerte!$A51="","",Offerte!$B51)</f>
        <v/>
      </c>
      <c r="C1526" s="48">
        <f>IF(Offerte!$A51="","",Offerte!$C51)</f>
        <v/>
      </c>
      <c r="D1526" s="48" t="inlineStr">
        <is>
          <t>B.1.1</t>
        </is>
      </c>
      <c r="E1526" s="48" t="inlineStr">
        <is>
          <t>B</t>
        </is>
      </c>
      <c r="F1526" s="48" t="inlineStr">
        <is>
          <t>Q</t>
        </is>
      </c>
      <c r="G1526" s="48" t="inlineStr">
        <is>
          <t>higher</t>
        </is>
      </c>
      <c r="H1526" s="48" t="n">
        <v>3</v>
      </c>
      <c r="I1526" s="48" t="inlineStr">
        <is>
          <t>Incremento dei posti offerti nelle fasce di punta</t>
        </is>
      </c>
      <c r="J1526" s="73" t="n"/>
      <c r="K1526" s="73" t="n"/>
      <c r="L1526" s="73" t="n"/>
      <c r="M1526" s="73" t="n"/>
      <c r="N1526" s="57">
        <f>IF($A1526="","",IFERROR(VALUE($J1526),0))</f>
        <v/>
      </c>
      <c r="O1526" s="57">
        <f>IF($A1526="",0,IF(OR($S1526&lt;&gt;1,COUNTA($J1526:$M1526)=0),0,IF(SUMPRODUCT(MAX(($C$5:$C$2484=$C1526)*($D$5:$D$2484=$D1526)*($S$5:$S$2484=1)*IFERROR($N$5:$N$2484*1,0)))&gt;0,ROUND($H1526*($N1526/SUMPRODUCT(MAX(($C$5:$C$2484=$C1526)*($D$5:$D$2484=$D1526)*($S$5:$S$2484=1)*IFERROR($N$5:$N$2484*1,0)))),4),0)))</f>
        <v/>
      </c>
      <c r="P1526" s="48" t="inlineStr">
        <is>
          <t>posti*km</t>
        </is>
      </c>
      <c r="Q1526" s="57">
        <f>IF($A1526="","",$A1526&amp;"|"&amp;$C1526)</f>
        <v/>
      </c>
      <c r="R1526" s="57">
        <f>IF($A1526="","",$A1526&amp;"|"&amp;$C1526&amp;"|"&amp;$D1526)</f>
        <v/>
      </c>
      <c r="S1526" s="57">
        <f>IF($A1526="","",IFERROR(INDEX(Offerte!$D$2:$D$81,MATCH($Q1526,Offerte!$L$2:$L$81,0)),0))</f>
        <v/>
      </c>
      <c r="T1526" s="57">
        <f>IF($A1526="","",IFERROR(INDEX(Offerte!$G$2:$G$81,MATCH($Q1526,Offerte!$L$2:$L$81,0)),"NO"))</f>
        <v/>
      </c>
    </row>
    <row r="1527">
      <c r="A1527" s="48">
        <f>IF(Offerte!$A51="","",Offerte!$A51)</f>
        <v/>
      </c>
      <c r="B1527" s="48">
        <f>IF(Offerte!$A51="","",Offerte!$B51)</f>
        <v/>
      </c>
      <c r="C1527" s="48">
        <f>IF(Offerte!$A51="","",Offerte!$C51)</f>
        <v/>
      </c>
      <c r="D1527" s="48" t="inlineStr">
        <is>
          <t>B.2.1</t>
        </is>
      </c>
      <c r="E1527" s="48" t="inlineStr">
        <is>
          <t>B</t>
        </is>
      </c>
      <c r="F1527" s="48" t="inlineStr">
        <is>
          <t>Q</t>
        </is>
      </c>
      <c r="G1527" s="48" t="inlineStr">
        <is>
          <t>higher</t>
        </is>
      </c>
      <c r="H1527" s="48" t="n">
        <v>4</v>
      </c>
      <c r="I1527" s="48" t="inlineStr">
        <is>
          <t>Corse aggiuntive nell'arco giornaliero base</t>
        </is>
      </c>
      <c r="J1527" s="73" t="n"/>
      <c r="K1527" s="73" t="n"/>
      <c r="L1527" s="73" t="n"/>
      <c r="M1527" s="73" t="n"/>
      <c r="N1527" s="57">
        <f>IF($A1527="","",IFERROR(VALUE($J1527),0))</f>
        <v/>
      </c>
      <c r="O1527" s="57">
        <f>IF($A1527="",0,IF(OR($S1527&lt;&gt;1,COUNTA($J1527:$M1527)=0),0,IF(SUMPRODUCT(MAX(($C$5:$C$2484=$C1527)*($D$5:$D$2484=$D1527)*($S$5:$S$2484=1)*IFERROR($N$5:$N$2484*1,0)))&gt;0,ROUND($H1527*($N1527/SUMPRODUCT(MAX(($C$5:$C$2484=$C1527)*($D$5:$D$2484=$D1527)*($S$5:$S$2484=1)*IFERROR($N$5:$N$2484*1,0)))),4),0)))</f>
        <v/>
      </c>
      <c r="P1527" s="48" t="inlineStr">
        <is>
          <t>corse</t>
        </is>
      </c>
      <c r="Q1527" s="57">
        <f>IF($A1527="","",$A1527&amp;"|"&amp;$C1527)</f>
        <v/>
      </c>
      <c r="R1527" s="57">
        <f>IF($A1527="","",$A1527&amp;"|"&amp;$C1527&amp;"|"&amp;$D1527)</f>
        <v/>
      </c>
      <c r="S1527" s="57">
        <f>IF($A1527="","",IFERROR(INDEX(Offerte!$D$2:$D$81,MATCH($Q1527,Offerte!$L$2:$L$81,0)),0))</f>
        <v/>
      </c>
      <c r="T1527" s="57">
        <f>IF($A1527="","",IFERROR(INDEX(Offerte!$G$2:$G$81,MATCH($Q1527,Offerte!$L$2:$L$81,0)),"NO"))</f>
        <v/>
      </c>
    </row>
    <row r="1528">
      <c r="A1528" s="48">
        <f>IF(Offerte!$A51="","",Offerte!$A51)</f>
        <v/>
      </c>
      <c r="B1528" s="48">
        <f>IF(Offerte!$A51="","",Offerte!$B51)</f>
        <v/>
      </c>
      <c r="C1528" s="48">
        <f>IF(Offerte!$A51="","",Offerte!$C51)</f>
        <v/>
      </c>
      <c r="D1528" s="48" t="inlineStr">
        <is>
          <t>B.3.1</t>
        </is>
      </c>
      <c r="E1528" s="48" t="inlineStr">
        <is>
          <t>B</t>
        </is>
      </c>
      <c r="F1528" s="48" t="inlineStr">
        <is>
          <t>Q</t>
        </is>
      </c>
      <c r="G1528" s="48" t="inlineStr">
        <is>
          <t>higher</t>
        </is>
      </c>
      <c r="H1528" s="48" t="n">
        <v>2</v>
      </c>
      <c r="I1528" s="48" t="inlineStr">
        <is>
          <t>Numero di corse aggiuntive per allungamento dell'arco di servizio giornaliero nelle fasce serali</t>
        </is>
      </c>
      <c r="J1528" s="73" t="n"/>
      <c r="K1528" s="73" t="n"/>
      <c r="L1528" s="73" t="n"/>
      <c r="M1528" s="73" t="n"/>
      <c r="N1528" s="57">
        <f>IF($A1528="","",IFERROR(VALUE($J1528),0))</f>
        <v/>
      </c>
      <c r="O1528" s="57">
        <f>IF($A1528="",0,IF(OR($S1528&lt;&gt;1,COUNTA($J1528:$M1528)=0),0,IF(SUMPRODUCT(MAX(($C$5:$C$2484=$C1528)*($D$5:$D$2484=$D1528)*($S$5:$S$2484=1)*IFERROR($N$5:$N$2484*1,0)))&gt;0,ROUND($H1528*($N1528/SUMPRODUCT(MAX(($C$5:$C$2484=$C1528)*($D$5:$D$2484=$D1528)*($S$5:$S$2484=1)*IFERROR($N$5:$N$2484*1,0)))),4),0)))</f>
        <v/>
      </c>
      <c r="P1528" s="48" t="inlineStr">
        <is>
          <t>corse</t>
        </is>
      </c>
      <c r="Q1528" s="57">
        <f>IF($A1528="","",$A1528&amp;"|"&amp;$C1528)</f>
        <v/>
      </c>
      <c r="R1528" s="57">
        <f>IF($A1528="","",$A1528&amp;"|"&amp;$C1528&amp;"|"&amp;$D1528)</f>
        <v/>
      </c>
      <c r="S1528" s="57">
        <f>IF($A1528="","",IFERROR(INDEX(Offerte!$D$2:$D$81,MATCH($Q1528,Offerte!$L$2:$L$81,0)),0))</f>
        <v/>
      </c>
      <c r="T1528" s="57">
        <f>IF($A1528="","",IFERROR(INDEX(Offerte!$G$2:$G$81,MATCH($Q1528,Offerte!$L$2:$L$81,0)),"NO"))</f>
        <v/>
      </c>
    </row>
    <row r="1529">
      <c r="A1529" s="48">
        <f>IF(Offerte!$A51="","",Offerte!$A51)</f>
        <v/>
      </c>
      <c r="B1529" s="48">
        <f>IF(Offerte!$A51="","",Offerte!$B51)</f>
        <v/>
      </c>
      <c r="C1529" s="48">
        <f>IF(Offerte!$A51="","",Offerte!$C51)</f>
        <v/>
      </c>
      <c r="D1529" s="48" t="inlineStr">
        <is>
          <t>B.4.1</t>
        </is>
      </c>
      <c r="E1529" s="48" t="inlineStr">
        <is>
          <t>B</t>
        </is>
      </c>
      <c r="F1529" s="48" t="inlineStr">
        <is>
          <t>Q</t>
        </is>
      </c>
      <c r="G1529" s="48" t="inlineStr">
        <is>
          <t>higher</t>
        </is>
      </c>
      <c r="H1529" s="48" t="n">
        <v>3</v>
      </c>
      <c r="I1529" s="48" t="inlineStr">
        <is>
          <t>Percorrenze aggiuntive offerte nel Programma d'esercizio delle prime due fasi attuative</t>
        </is>
      </c>
      <c r="J1529" s="73" t="n"/>
      <c r="K1529" s="73" t="n"/>
      <c r="L1529" s="73" t="n"/>
      <c r="M1529" s="73" t="n"/>
      <c r="N1529" s="57">
        <f>IF($A1529="","",IFERROR(VALUE($J1529),0))</f>
        <v/>
      </c>
      <c r="O1529" s="57">
        <f>IF($A1529="",0,IF(OR($S1529&lt;&gt;1,COUNTA($J1529:$M1529)=0),0,IF(SUMPRODUCT(MAX(($C$5:$C$2484=$C1529)*($D$5:$D$2484=$D1529)*($S$5:$S$2484=1)*IFERROR($N$5:$N$2484*1,0)))&gt;0,ROUND($H1529*($N1529/SUMPRODUCT(MAX(($C$5:$C$2484=$C1529)*($D$5:$D$2484=$D1529)*($S$5:$S$2484=1)*IFERROR($N$5:$N$2484*1,0)))),4),0)))</f>
        <v/>
      </c>
      <c r="P1529" s="48" t="inlineStr">
        <is>
          <t>vett*km</t>
        </is>
      </c>
      <c r="Q1529" s="57">
        <f>IF($A1529="","",$A1529&amp;"|"&amp;$C1529)</f>
        <v/>
      </c>
      <c r="R1529" s="57">
        <f>IF($A1529="","",$A1529&amp;"|"&amp;$C1529&amp;"|"&amp;$D1529)</f>
        <v/>
      </c>
      <c r="S1529" s="57">
        <f>IF($A1529="","",IFERROR(INDEX(Offerte!$D$2:$D$81,MATCH($Q1529,Offerte!$L$2:$L$81,0)),0))</f>
        <v/>
      </c>
      <c r="T1529" s="57">
        <f>IF($A1529="","",IFERROR(INDEX(Offerte!$G$2:$G$81,MATCH($Q1529,Offerte!$L$2:$L$81,0)),"NO"))</f>
        <v/>
      </c>
    </row>
    <row r="1530">
      <c r="A1530" s="48">
        <f>IF(Offerte!$A51="","",Offerte!$A51)</f>
        <v/>
      </c>
      <c r="B1530" s="48">
        <f>IF(Offerte!$A51="","",Offerte!$B51)</f>
        <v/>
      </c>
      <c r="C1530" s="48">
        <f>IF(Offerte!$A51="","",Offerte!$C51)</f>
        <v/>
      </c>
      <c r="D1530" s="48" t="inlineStr">
        <is>
          <t>B.5.1</t>
        </is>
      </c>
      <c r="E1530" s="48" t="inlineStr">
        <is>
          <t>B</t>
        </is>
      </c>
      <c r="F1530" s="48" t="inlineStr">
        <is>
          <t>D</t>
        </is>
      </c>
      <c r="G1530" s="48" t="inlineStr">
        <is>
          <t>discretionary</t>
        </is>
      </c>
      <c r="H1530" s="48" t="n">
        <v>2</v>
      </c>
      <c r="I1530" s="48" t="inlineStr">
        <is>
          <t>Efficacia del progetto di servizi complementari DRT</t>
        </is>
      </c>
      <c r="J1530" s="73" t="n"/>
      <c r="K1530" s="73" t="n"/>
      <c r="L1530" s="73" t="n"/>
      <c r="M1530" s="73" t="n"/>
      <c r="N1530" s="57">
        <f>IF($A1530="","",MAX(0,MIN(1,IFERROR(VALUE($M1530),0))))</f>
        <v/>
      </c>
      <c r="O1530" s="57">
        <f>IF($A1530="",0,IF(OR($S1530&lt;&gt;1,COUNTA($J1530:$M1530)=0),0,IF(SUMPRODUCT(MAX(($C$5:$C$2484=$C1530)*($D$5:$D$2484=$D1530)*($S$5:$S$2484=1)*IFERROR($N$5:$N$2484*1,0)))&gt;0,ROUND($H1530*($N1530/SUMPRODUCT(MAX(($C$5:$C$2484=$C1530)*($D$5:$D$2484=$D1530)*($S$5:$S$2484=1)*IFERROR($N$5:$N$2484*1,0)))),4),0)))</f>
        <v/>
      </c>
      <c r="P1530" s="48" t="inlineStr">
        <is>
          <t>coeff.</t>
        </is>
      </c>
      <c r="Q1530" s="57">
        <f>IF($A1530="","",$A1530&amp;"|"&amp;$C1530)</f>
        <v/>
      </c>
      <c r="R1530" s="57">
        <f>IF($A1530="","",$A1530&amp;"|"&amp;$C1530&amp;"|"&amp;$D1530)</f>
        <v/>
      </c>
      <c r="S1530" s="57">
        <f>IF($A1530="","",IFERROR(INDEX(Offerte!$D$2:$D$81,MATCH($Q1530,Offerte!$L$2:$L$81,0)),0))</f>
        <v/>
      </c>
      <c r="T1530" s="57">
        <f>IF($A1530="","",IFERROR(INDEX(Offerte!$G$2:$G$81,MATCH($Q1530,Offerte!$L$2:$L$81,0)),"NO"))</f>
        <v/>
      </c>
    </row>
    <row r="1531">
      <c r="A1531" s="48">
        <f>IF(Offerte!$A51="","",Offerte!$A51)</f>
        <v/>
      </c>
      <c r="B1531" s="48">
        <f>IF(Offerte!$A51="","",Offerte!$B51)</f>
        <v/>
      </c>
      <c r="C1531" s="48">
        <f>IF(Offerte!$A51="","",Offerte!$C51)</f>
        <v/>
      </c>
      <c r="D1531" s="48" t="inlineStr">
        <is>
          <t>C.1.1</t>
        </is>
      </c>
      <c r="E1531" s="48" t="inlineStr">
        <is>
          <t>C</t>
        </is>
      </c>
      <c r="F1531" s="48" t="inlineStr">
        <is>
          <t>Q</t>
        </is>
      </c>
      <c r="G1531" s="48" t="inlineStr">
        <is>
          <t>higher</t>
        </is>
      </c>
      <c r="H1531" s="48" t="n">
        <v>2</v>
      </c>
      <c r="I1531" s="48" t="inlineStr">
        <is>
          <t>Tasso di copertura del servizio con telecamere BSD</t>
        </is>
      </c>
      <c r="J1531" s="73" t="n"/>
      <c r="K1531" s="73" t="n"/>
      <c r="L1531" s="73" t="n"/>
      <c r="M1531" s="73" t="n"/>
      <c r="N1531" s="57">
        <f>IF($A1531="","",IFERROR(VALUE($K1531)/VALUE($L1531),IFERROR(VALUE($J1531),0)))</f>
        <v/>
      </c>
      <c r="O1531" s="57">
        <f>IF($A1531="",0,IF(OR($S1531&lt;&gt;1,COUNTA($J1531:$M1531)=0),0,IF(SUMPRODUCT(MAX(($C$5:$C$2484=$C1531)*($D$5:$D$2484=$D1531)*($S$5:$S$2484=1)*IFERROR($N$5:$N$2484*1,0)))&gt;0,ROUND($H1531*($N1531/SUMPRODUCT(MAX(($C$5:$C$2484=$C1531)*($D$5:$D$2484=$D1531)*($S$5:$S$2484=1)*IFERROR($N$5:$N$2484*1,0)))),4),0)))</f>
        <v/>
      </c>
      <c r="P1531" s="48" t="inlineStr">
        <is>
          <t>Autobus attrezzati con telecamere BSD / Autobus totali in offerta, incluse scorte</t>
        </is>
      </c>
      <c r="Q1531" s="57">
        <f>IF($A1531="","",$A1531&amp;"|"&amp;$C1531)</f>
        <v/>
      </c>
      <c r="R1531" s="57">
        <f>IF($A1531="","",$A1531&amp;"|"&amp;$C1531&amp;"|"&amp;$D1531)</f>
        <v/>
      </c>
      <c r="S1531" s="57">
        <f>IF($A1531="","",IFERROR(INDEX(Offerte!$D$2:$D$81,MATCH($Q1531,Offerte!$L$2:$L$81,0)),0))</f>
        <v/>
      </c>
      <c r="T1531" s="57">
        <f>IF($A1531="","",IFERROR(INDEX(Offerte!$G$2:$G$81,MATCH($Q1531,Offerte!$L$2:$L$81,0)),"NO"))</f>
        <v/>
      </c>
    </row>
    <row r="1532">
      <c r="A1532" s="48">
        <f>IF(Offerte!$A51="","",Offerte!$A51)</f>
        <v/>
      </c>
      <c r="B1532" s="48">
        <f>IF(Offerte!$A51="","",Offerte!$B51)</f>
        <v/>
      </c>
      <c r="C1532" s="48">
        <f>IF(Offerte!$A51="","",Offerte!$C51)</f>
        <v/>
      </c>
      <c r="D1532" s="48" t="inlineStr">
        <is>
          <t>C.1.2</t>
        </is>
      </c>
      <c r="E1532" s="48" t="inlineStr">
        <is>
          <t>C</t>
        </is>
      </c>
      <c r="F1532" s="48" t="inlineStr">
        <is>
          <t>Q</t>
        </is>
      </c>
      <c r="G1532" s="48" t="inlineStr">
        <is>
          <t>higher</t>
        </is>
      </c>
      <c r="H1532" s="48" t="n">
        <v>2</v>
      </c>
      <c r="I1532" s="48" t="inlineStr">
        <is>
          <t>Tasso di copertura del servizio con telecamere ADAS</t>
        </is>
      </c>
      <c r="J1532" s="73" t="n"/>
      <c r="K1532" s="73" t="n"/>
      <c r="L1532" s="73" t="n"/>
      <c r="M1532" s="73" t="n"/>
      <c r="N1532" s="57">
        <f>IF($A1532="","",IFERROR(VALUE($K1532)/VALUE($L1532),IFERROR(VALUE($J1532),0)))</f>
        <v/>
      </c>
      <c r="O1532" s="57">
        <f>IF($A1532="",0,IF(OR($S1532&lt;&gt;1,COUNTA($J1532:$M1532)=0),0,IF(SUMPRODUCT(MAX(($C$5:$C$2484=$C1532)*($D$5:$D$2484=$D1532)*($S$5:$S$2484=1)*IFERROR($N$5:$N$2484*1,0)))&gt;0,ROUND($H1532*($N1532/SUMPRODUCT(MAX(($C$5:$C$2484=$C1532)*($D$5:$D$2484=$D1532)*($S$5:$S$2484=1)*IFERROR($N$5:$N$2484*1,0)))),4),0)))</f>
        <v/>
      </c>
      <c r="P1532" s="48" t="inlineStr">
        <is>
          <t>Autobus attrezzati con telecamere ADAS / Autobus totali in offerta, incluse scorte</t>
        </is>
      </c>
      <c r="Q1532" s="57">
        <f>IF($A1532="","",$A1532&amp;"|"&amp;$C1532)</f>
        <v/>
      </c>
      <c r="R1532" s="57">
        <f>IF($A1532="","",$A1532&amp;"|"&amp;$C1532&amp;"|"&amp;$D1532)</f>
        <v/>
      </c>
      <c r="S1532" s="57">
        <f>IF($A1532="","",IFERROR(INDEX(Offerte!$D$2:$D$81,MATCH($Q1532,Offerte!$L$2:$L$81,0)),0))</f>
        <v/>
      </c>
      <c r="T1532" s="57">
        <f>IF($A1532="","",IFERROR(INDEX(Offerte!$G$2:$G$81,MATCH($Q1532,Offerte!$L$2:$L$81,0)),"NO"))</f>
        <v/>
      </c>
    </row>
    <row r="1533">
      <c r="A1533" s="48">
        <f>IF(Offerte!$A51="","",Offerte!$A51)</f>
        <v/>
      </c>
      <c r="B1533" s="48">
        <f>IF(Offerte!$A51="","",Offerte!$B51)</f>
        <v/>
      </c>
      <c r="C1533" s="48">
        <f>IF(Offerte!$A51="","",Offerte!$C51)</f>
        <v/>
      </c>
      <c r="D1533" s="48" t="inlineStr">
        <is>
          <t>C.2.1</t>
        </is>
      </c>
      <c r="E1533" s="48" t="inlineStr">
        <is>
          <t>C</t>
        </is>
      </c>
      <c r="F1533" s="48" t="inlineStr">
        <is>
          <t>Q</t>
        </is>
      </c>
      <c r="G1533" s="48" t="inlineStr">
        <is>
          <t>higher</t>
        </is>
      </c>
      <c r="H1533" s="48" t="n">
        <v>3</v>
      </c>
      <c r="I1533" s="48" t="inlineStr">
        <is>
          <t>Tasso di copertura del servizio con telecamere di bordo di videosorveglianza</t>
        </is>
      </c>
      <c r="J1533" s="73" t="n"/>
      <c r="K1533" s="73" t="n"/>
      <c r="L1533" s="73" t="n"/>
      <c r="M1533" s="73" t="n"/>
      <c r="N1533" s="57">
        <f>IF($A1533="","",IFERROR(VALUE($K1533)/VALUE($L1533),IFERROR(VALUE($J1533),0)))</f>
        <v/>
      </c>
      <c r="O1533" s="57">
        <f>IF($A1533="",0,IF(OR($S1533&lt;&gt;1,COUNTA($J1533:$M1533)=0),0,IF(SUMPRODUCT(MAX(($C$5:$C$2484=$C1533)*($D$5:$D$2484=$D1533)*($S$5:$S$2484=1)*IFERROR($N$5:$N$2484*1,0)))&gt;0,ROUND($H1533*($N1533/SUMPRODUCT(MAX(($C$5:$C$2484=$C1533)*($D$5:$D$2484=$D1533)*($S$5:$S$2484=1)*IFERROR($N$5:$N$2484*1,0)))),4),0)))</f>
        <v/>
      </c>
      <c r="P1533" s="48" t="inlineStr">
        <is>
          <t>Autobus attrezzati con videosorveglianza / Autobus totali in offerta, incluse scorte</t>
        </is>
      </c>
      <c r="Q1533" s="57">
        <f>IF($A1533="","",$A1533&amp;"|"&amp;$C1533)</f>
        <v/>
      </c>
      <c r="R1533" s="57">
        <f>IF($A1533="","",$A1533&amp;"|"&amp;$C1533&amp;"|"&amp;$D1533)</f>
        <v/>
      </c>
      <c r="S1533" s="57">
        <f>IF($A1533="","",IFERROR(INDEX(Offerte!$D$2:$D$81,MATCH($Q1533,Offerte!$L$2:$L$81,0)),0))</f>
        <v/>
      </c>
      <c r="T1533" s="57">
        <f>IF($A1533="","",IFERROR(INDEX(Offerte!$G$2:$G$81,MATCH($Q1533,Offerte!$L$2:$L$81,0)),"NO"))</f>
        <v/>
      </c>
    </row>
    <row r="1534">
      <c r="A1534" s="48">
        <f>IF(Offerte!$A51="","",Offerte!$A51)</f>
        <v/>
      </c>
      <c r="B1534" s="48">
        <f>IF(Offerte!$A51="","",Offerte!$B51)</f>
        <v/>
      </c>
      <c r="C1534" s="48">
        <f>IF(Offerte!$A51="","",Offerte!$C51)</f>
        <v/>
      </c>
      <c r="D1534" s="48" t="inlineStr">
        <is>
          <t>C.2.2</t>
        </is>
      </c>
      <c r="E1534" s="48" t="inlineStr">
        <is>
          <t>C</t>
        </is>
      </c>
      <c r="F1534" s="48" t="inlineStr">
        <is>
          <t>T</t>
        </is>
      </c>
      <c r="G1534" s="48" t="inlineStr">
        <is>
          <t>tabular</t>
        </is>
      </c>
      <c r="H1534" s="48" t="n">
        <v>1</v>
      </c>
      <c r="I1534" s="48" t="inlineStr">
        <is>
          <t>Software video/audio analisi per situazioni di pericolo</t>
        </is>
      </c>
      <c r="J1534" s="73" t="n"/>
      <c r="K1534" s="73" t="n"/>
      <c r="L1534" s="73" t="n"/>
      <c r="M1534" s="73" t="n"/>
      <c r="N1534" s="57">
        <f>IF($A1534="","",IF(IFERROR(VALUE($M1534),0)=1,1,0))</f>
        <v/>
      </c>
      <c r="O1534" s="57">
        <f>IF($A1534="",0,IF(OR($S1534&lt;&gt;1,COUNTA($J1534:$M1534)=0),0,IF($N1534=1,$H1534,0)))</f>
        <v/>
      </c>
      <c r="P1534" s="48" t="inlineStr">
        <is>
          <t>sì/no</t>
        </is>
      </c>
      <c r="Q1534" s="57">
        <f>IF($A1534="","",$A1534&amp;"|"&amp;$C1534)</f>
        <v/>
      </c>
      <c r="R1534" s="57">
        <f>IF($A1534="","",$A1534&amp;"|"&amp;$C1534&amp;"|"&amp;$D1534)</f>
        <v/>
      </c>
      <c r="S1534" s="57">
        <f>IF($A1534="","",IFERROR(INDEX(Offerte!$D$2:$D$81,MATCH($Q1534,Offerte!$L$2:$L$81,0)),0))</f>
        <v/>
      </c>
      <c r="T1534" s="57">
        <f>IF($A1534="","",IFERROR(INDEX(Offerte!$G$2:$G$81,MATCH($Q1534,Offerte!$L$2:$L$81,0)),"NO"))</f>
        <v/>
      </c>
    </row>
    <row r="1535">
      <c r="A1535" s="48">
        <f>IF(Offerte!$A51="","",Offerte!$A51)</f>
        <v/>
      </c>
      <c r="B1535" s="48">
        <f>IF(Offerte!$A51="","",Offerte!$B51)</f>
        <v/>
      </c>
      <c r="C1535" s="48">
        <f>IF(Offerte!$A51="","",Offerte!$C51)</f>
        <v/>
      </c>
      <c r="D1535" s="48" t="inlineStr">
        <is>
          <t>C.2.3</t>
        </is>
      </c>
      <c r="E1535" s="48" t="inlineStr">
        <is>
          <t>C</t>
        </is>
      </c>
      <c r="F1535" s="48" t="inlineStr">
        <is>
          <t>T</t>
        </is>
      </c>
      <c r="G1535" s="48" t="inlineStr">
        <is>
          <t>tabular</t>
        </is>
      </c>
      <c r="H1535" s="48" t="n">
        <v>1</v>
      </c>
      <c r="I1535" s="48" t="inlineStr">
        <is>
          <t>Collegamento con centrale qualificata di pronto intervento</t>
        </is>
      </c>
      <c r="J1535" s="73" t="n"/>
      <c r="K1535" s="73" t="n"/>
      <c r="L1535" s="73" t="n"/>
      <c r="M1535" s="73" t="n"/>
      <c r="N1535" s="57">
        <f>IF($A1535="","",IF(IFERROR(VALUE($M1535),0)=1,1,0))</f>
        <v/>
      </c>
      <c r="O1535" s="57">
        <f>IF($A1535="",0,IF(OR($S1535&lt;&gt;1,COUNTA($J1535:$M1535)=0),0,IF($N1535=1,$H1535,0)))</f>
        <v/>
      </c>
      <c r="P1535" s="48" t="inlineStr">
        <is>
          <t>sì/no</t>
        </is>
      </c>
      <c r="Q1535" s="57">
        <f>IF($A1535="","",$A1535&amp;"|"&amp;$C1535)</f>
        <v/>
      </c>
      <c r="R1535" s="57">
        <f>IF($A1535="","",$A1535&amp;"|"&amp;$C1535&amp;"|"&amp;$D1535)</f>
        <v/>
      </c>
      <c r="S1535" s="57">
        <f>IF($A1535="","",IFERROR(INDEX(Offerte!$D$2:$D$81,MATCH($Q1535,Offerte!$L$2:$L$81,0)),0))</f>
        <v/>
      </c>
      <c r="T1535" s="57">
        <f>IF($A1535="","",IFERROR(INDEX(Offerte!$G$2:$G$81,MATCH($Q1535,Offerte!$L$2:$L$81,0)),"NO"))</f>
        <v/>
      </c>
    </row>
    <row r="1536">
      <c r="A1536" s="48">
        <f>IF(Offerte!$A51="","",Offerte!$A51)</f>
        <v/>
      </c>
      <c r="B1536" s="48">
        <f>IF(Offerte!$A51="","",Offerte!$B51)</f>
        <v/>
      </c>
      <c r="C1536" s="48">
        <f>IF(Offerte!$A51="","",Offerte!$C51)</f>
        <v/>
      </c>
      <c r="D1536" s="48" t="inlineStr">
        <is>
          <t>C.2.4</t>
        </is>
      </c>
      <c r="E1536" s="48" t="inlineStr">
        <is>
          <t>C</t>
        </is>
      </c>
      <c r="F1536" s="48" t="inlineStr">
        <is>
          <t>Q</t>
        </is>
      </c>
      <c r="G1536" s="48" t="inlineStr">
        <is>
          <t>higher</t>
        </is>
      </c>
      <c r="H1536" s="48" t="n">
        <v>1</v>
      </c>
      <c r="I1536" s="48" t="inlineStr">
        <is>
          <t>Tasso di copertura del servizio con dispositivi per la chiamata di emergenza del conducente</t>
        </is>
      </c>
      <c r="J1536" s="73" t="n"/>
      <c r="K1536" s="73" t="n"/>
      <c r="L1536" s="73" t="n"/>
      <c r="M1536" s="73" t="n"/>
      <c r="N1536" s="57">
        <f>IF($A1536="","",IFERROR(VALUE($K1536)/VALUE($L1536),IFERROR(VALUE($J1536),0)))</f>
        <v/>
      </c>
      <c r="O1536" s="57">
        <f>IF($A1536="",0,IF(OR($S1536&lt;&gt;1,COUNTA($J1536:$M1536)=0),0,IF(SUMPRODUCT(MAX(($C$5:$C$2484=$C1536)*($D$5:$D$2484=$D1536)*($S$5:$S$2484=1)*IFERROR($N$5:$N$2484*1,0)))&gt;0,ROUND($H1536*($N1536/SUMPRODUCT(MAX(($C$5:$C$2484=$C1536)*($D$5:$D$2484=$D1536)*($S$5:$S$2484=1)*IFERROR($N$5:$N$2484*1,0)))),4),0)))</f>
        <v/>
      </c>
      <c r="P1536" s="48" t="inlineStr">
        <is>
          <t>Autobus attrezzati con chiamata di emergenza / Autobus totali in offerta, incluse scorte</t>
        </is>
      </c>
      <c r="Q1536" s="57">
        <f>IF($A1536="","",$A1536&amp;"|"&amp;$C1536)</f>
        <v/>
      </c>
      <c r="R1536" s="57">
        <f>IF($A1536="","",$A1536&amp;"|"&amp;$C1536&amp;"|"&amp;$D1536)</f>
        <v/>
      </c>
      <c r="S1536" s="57">
        <f>IF($A1536="","",IFERROR(INDEX(Offerte!$D$2:$D$81,MATCH($Q1536,Offerte!$L$2:$L$81,0)),0))</f>
        <v/>
      </c>
      <c r="T1536" s="57">
        <f>IF($A1536="","",IFERROR(INDEX(Offerte!$G$2:$G$81,MATCH($Q1536,Offerte!$L$2:$L$81,0)),"NO"))</f>
        <v/>
      </c>
    </row>
    <row r="1537">
      <c r="A1537" s="48">
        <f>IF(Offerte!$A51="","",Offerte!$A51)</f>
        <v/>
      </c>
      <c r="B1537" s="48">
        <f>IF(Offerte!$A51="","",Offerte!$B51)</f>
        <v/>
      </c>
      <c r="C1537" s="48">
        <f>IF(Offerte!$A51="","",Offerte!$C51)</f>
        <v/>
      </c>
      <c r="D1537" s="48" t="inlineStr">
        <is>
          <t>C.3.1</t>
        </is>
      </c>
      <c r="E1537" s="48" t="inlineStr">
        <is>
          <t>C</t>
        </is>
      </c>
      <c r="F1537" s="48" t="inlineStr">
        <is>
          <t>Q</t>
        </is>
      </c>
      <c r="G1537" s="48" t="inlineStr">
        <is>
          <t>higher</t>
        </is>
      </c>
      <c r="H1537" s="48" t="n">
        <v>2</v>
      </c>
      <c r="I1537" s="48" t="inlineStr">
        <is>
          <t>Tasso di copertura del servizio con dispositivi di informazione dinamica a bordo mezzo</t>
        </is>
      </c>
      <c r="J1537" s="73" t="n"/>
      <c r="K1537" s="73" t="n"/>
      <c r="L1537" s="73" t="n"/>
      <c r="M1537" s="73" t="n"/>
      <c r="N1537" s="57">
        <f>IF($A1537="","",IFERROR(VALUE($K1537)/VALUE($L1537),IFERROR(VALUE($J1537),0)))</f>
        <v/>
      </c>
      <c r="O1537" s="57">
        <f>IF($A1537="",0,IF(OR($S1537&lt;&gt;1,COUNTA($J1537:$M1537)=0),0,IF(SUMPRODUCT(MAX(($C$5:$C$2484=$C1537)*($D$5:$D$2484=$D1537)*($S$5:$S$2484=1)*IFERROR($N$5:$N$2484*1,0)))&gt;0,ROUND($H1537*($N1537/SUMPRODUCT(MAX(($C$5:$C$2484=$C1537)*($D$5:$D$2484=$D1537)*($S$5:$S$2484=1)*IFERROR($N$5:$N$2484*1,0)))),4),0)))</f>
        <v/>
      </c>
      <c r="P1537" s="48" t="inlineStr">
        <is>
          <t>Autobus con monitor e indicatori vocali / Autobus totali in offerta, incluse scorte</t>
        </is>
      </c>
      <c r="Q1537" s="57">
        <f>IF($A1537="","",$A1537&amp;"|"&amp;$C1537)</f>
        <v/>
      </c>
      <c r="R1537" s="57">
        <f>IF($A1537="","",$A1537&amp;"|"&amp;$C1537&amp;"|"&amp;$D1537)</f>
        <v/>
      </c>
      <c r="S1537" s="57">
        <f>IF($A1537="","",IFERROR(INDEX(Offerte!$D$2:$D$81,MATCH($Q1537,Offerte!$L$2:$L$81,0)),0))</f>
        <v/>
      </c>
      <c r="T1537" s="57">
        <f>IF($A1537="","",IFERROR(INDEX(Offerte!$G$2:$G$81,MATCH($Q1537,Offerte!$L$2:$L$81,0)),"NO"))</f>
        <v/>
      </c>
    </row>
    <row r="1538">
      <c r="A1538" s="48">
        <f>IF(Offerte!$A51="","",Offerte!$A51)</f>
        <v/>
      </c>
      <c r="B1538" s="48">
        <f>IF(Offerte!$A51="","",Offerte!$B51)</f>
        <v/>
      </c>
      <c r="C1538" s="48">
        <f>IF(Offerte!$A51="","",Offerte!$C51)</f>
        <v/>
      </c>
      <c r="D1538" s="48" t="inlineStr">
        <is>
          <t>C.3.2</t>
        </is>
      </c>
      <c r="E1538" s="48" t="inlineStr">
        <is>
          <t>C</t>
        </is>
      </c>
      <c r="F1538" s="48" t="inlineStr">
        <is>
          <t>T</t>
        </is>
      </c>
      <c r="G1538" s="48" t="inlineStr">
        <is>
          <t>tabular</t>
        </is>
      </c>
      <c r="H1538" s="48" t="n">
        <v>2</v>
      </c>
      <c r="I1538" s="48" t="inlineStr">
        <is>
          <t>Informazioni a bordo su coincidenze ai nodi</t>
        </is>
      </c>
      <c r="J1538" s="73" t="n"/>
      <c r="K1538" s="73" t="n"/>
      <c r="L1538" s="73" t="n"/>
      <c r="M1538" s="73" t="n"/>
      <c r="N1538" s="57">
        <f>IF($A1538="","",IF(IFERROR(VALUE($M1538),0)=1,1,0))</f>
        <v/>
      </c>
      <c r="O1538" s="57">
        <f>IF($A1538="",0,IF(OR($S1538&lt;&gt;1,COUNTA($J1538:$M1538)=0),0,IF(AND($N1538=1,IFERROR(SUMIFS($N$5:$N$2484,$Q$5:$Q$2484,$Q1538,$D$5:$D$2484,"C.3.1"),0)&gt;=0.5),$H1538,0)))</f>
        <v/>
      </c>
      <c r="P1538" s="48" t="inlineStr">
        <is>
          <t>Dipende da C.3.1 &gt;= 0.5</t>
        </is>
      </c>
      <c r="Q1538" s="57">
        <f>IF($A1538="","",$A1538&amp;"|"&amp;$C1538)</f>
        <v/>
      </c>
      <c r="R1538" s="57">
        <f>IF($A1538="","",$A1538&amp;"|"&amp;$C1538&amp;"|"&amp;$D1538)</f>
        <v/>
      </c>
      <c r="S1538" s="57">
        <f>IF($A1538="","",IFERROR(INDEX(Offerte!$D$2:$D$81,MATCH($Q1538,Offerte!$L$2:$L$81,0)),0))</f>
        <v/>
      </c>
      <c r="T1538" s="57">
        <f>IF($A1538="","",IFERROR(INDEX(Offerte!$G$2:$G$81,MATCH($Q1538,Offerte!$L$2:$L$81,0)),"NO"))</f>
        <v/>
      </c>
    </row>
    <row r="1539">
      <c r="A1539" s="48">
        <f>IF(Offerte!$A51="","",Offerte!$A51)</f>
        <v/>
      </c>
      <c r="B1539" s="48">
        <f>IF(Offerte!$A51="","",Offerte!$B51)</f>
        <v/>
      </c>
      <c r="C1539" s="48">
        <f>IF(Offerte!$A51="","",Offerte!$C51)</f>
        <v/>
      </c>
      <c r="D1539" s="48" t="inlineStr">
        <is>
          <t>D.1.1</t>
        </is>
      </c>
      <c r="E1539" s="48" t="inlineStr">
        <is>
          <t>D</t>
        </is>
      </c>
      <c r="F1539" s="48" t="inlineStr">
        <is>
          <t>Q</t>
        </is>
      </c>
      <c r="G1539" s="48" t="inlineStr">
        <is>
          <t>higher</t>
        </is>
      </c>
      <c r="H1539" s="48" t="n">
        <v>3</v>
      </c>
      <c r="I1539" s="48" t="inlineStr">
        <is>
          <t>Installazione di pensiline</t>
        </is>
      </c>
      <c r="J1539" s="73" t="n"/>
      <c r="K1539" s="73" t="n"/>
      <c r="L1539" s="73" t="n"/>
      <c r="M1539" s="73" t="n"/>
      <c r="N1539" s="57">
        <f>IF($A1539="","",IFERROR(VALUE($J1539),0))</f>
        <v/>
      </c>
      <c r="O1539" s="57">
        <f>IF($A1539="",0,IF(OR($S1539&lt;&gt;1,COUNTA($J1539:$M1539)=0),0,IF(SUMPRODUCT(MAX(($C$5:$C$2484=$C1539)*($D$5:$D$2484=$D1539)*($S$5:$S$2484=1)*IFERROR($N$5:$N$2484*1,0)))&gt;0,ROUND($H1539*($N1539/SUMPRODUCT(MAX(($C$5:$C$2484=$C1539)*($D$5:$D$2484=$D1539)*($S$5:$S$2484=1)*IFERROR($N$5:$N$2484*1,0)))),4),0)))</f>
        <v/>
      </c>
      <c r="P1539" s="48" t="inlineStr">
        <is>
          <t>fermate</t>
        </is>
      </c>
      <c r="Q1539" s="57">
        <f>IF($A1539="","",$A1539&amp;"|"&amp;$C1539)</f>
        <v/>
      </c>
      <c r="R1539" s="57">
        <f>IF($A1539="","",$A1539&amp;"|"&amp;$C1539&amp;"|"&amp;$D1539)</f>
        <v/>
      </c>
      <c r="S1539" s="57">
        <f>IF($A1539="","",IFERROR(INDEX(Offerte!$D$2:$D$81,MATCH($Q1539,Offerte!$L$2:$L$81,0)),0))</f>
        <v/>
      </c>
      <c r="T1539" s="57">
        <f>IF($A1539="","",IFERROR(INDEX(Offerte!$G$2:$G$81,MATCH($Q1539,Offerte!$L$2:$L$81,0)),"NO"))</f>
        <v/>
      </c>
    </row>
    <row r="1540">
      <c r="A1540" s="48">
        <f>IF(Offerte!$A51="","",Offerte!$A51)</f>
        <v/>
      </c>
      <c r="B1540" s="48">
        <f>IF(Offerte!$A51="","",Offerte!$B51)</f>
        <v/>
      </c>
      <c r="C1540" s="48">
        <f>IF(Offerte!$A51="","",Offerte!$C51)</f>
        <v/>
      </c>
      <c r="D1540" s="48" t="inlineStr">
        <is>
          <t>D.1.2</t>
        </is>
      </c>
      <c r="E1540" s="48" t="inlineStr">
        <is>
          <t>D</t>
        </is>
      </c>
      <c r="F1540" s="48" t="inlineStr">
        <is>
          <t>Q</t>
        </is>
      </c>
      <c r="G1540" s="48" t="inlineStr">
        <is>
          <t>higher</t>
        </is>
      </c>
      <c r="H1540" s="48" t="n">
        <v>3</v>
      </c>
      <c r="I1540" s="48" t="inlineStr">
        <is>
          <t>Installazione di paline di fermata conformi alla DGR 581/2023</t>
        </is>
      </c>
      <c r="J1540" s="73" t="n"/>
      <c r="K1540" s="73" t="n"/>
      <c r="L1540" s="73" t="n"/>
      <c r="M1540" s="73" t="n"/>
      <c r="N1540" s="57">
        <f>IF($A1540="","",IFERROR(VALUE($J1540),0))</f>
        <v/>
      </c>
      <c r="O1540" s="57">
        <f>IF($A1540="",0,IF(OR($S1540&lt;&gt;1,COUNTA($J1540:$M1540)=0),0,IF(SUMPRODUCT(MAX(($C$5:$C$2484=$C1540)*($D$5:$D$2484=$D1540)*($S$5:$S$2484=1)*IFERROR($N$5:$N$2484*1,0)))&gt;0,ROUND($H1540*($N1540/SUMPRODUCT(MAX(($C$5:$C$2484=$C1540)*($D$5:$D$2484=$D1540)*($S$5:$S$2484=1)*IFERROR($N$5:$N$2484*1,0)))),4),0)))</f>
        <v/>
      </c>
      <c r="P1540" s="48" t="inlineStr">
        <is>
          <t>fermate</t>
        </is>
      </c>
      <c r="Q1540" s="57">
        <f>IF($A1540="","",$A1540&amp;"|"&amp;$C1540)</f>
        <v/>
      </c>
      <c r="R1540" s="57">
        <f>IF($A1540="","",$A1540&amp;"|"&amp;$C1540&amp;"|"&amp;$D1540)</f>
        <v/>
      </c>
      <c r="S1540" s="57">
        <f>IF($A1540="","",IFERROR(INDEX(Offerte!$D$2:$D$81,MATCH($Q1540,Offerte!$L$2:$L$81,0)),0))</f>
        <v/>
      </c>
      <c r="T1540" s="57">
        <f>IF($A1540="","",IFERROR(INDEX(Offerte!$G$2:$G$81,MATCH($Q1540,Offerte!$L$2:$L$81,0)),"NO"))</f>
        <v/>
      </c>
    </row>
    <row r="1541">
      <c r="A1541" s="48">
        <f>IF(Offerte!$A51="","",Offerte!$A51)</f>
        <v/>
      </c>
      <c r="B1541" s="48">
        <f>IF(Offerte!$A51="","",Offerte!$B51)</f>
        <v/>
      </c>
      <c r="C1541" s="48">
        <f>IF(Offerte!$A51="","",Offerte!$C51)</f>
        <v/>
      </c>
      <c r="D1541" s="48" t="inlineStr">
        <is>
          <t>D.1.3</t>
        </is>
      </c>
      <c r="E1541" s="48" t="inlineStr">
        <is>
          <t>D</t>
        </is>
      </c>
      <c r="F1541" s="48" t="inlineStr">
        <is>
          <t>Q</t>
        </is>
      </c>
      <c r="G1541" s="48" t="inlineStr">
        <is>
          <t>higher</t>
        </is>
      </c>
      <c r="H1541" s="48" t="n">
        <v>2</v>
      </c>
      <c r="I1541" s="48" t="inlineStr">
        <is>
          <t>Display informativi connessi alle fermate</t>
        </is>
      </c>
      <c r="J1541" s="73" t="n"/>
      <c r="K1541" s="73" t="n"/>
      <c r="L1541" s="73" t="n"/>
      <c r="M1541" s="73" t="n"/>
      <c r="N1541" s="57">
        <f>IF($A1541="","",IFERROR(VALUE($J1541),0))</f>
        <v/>
      </c>
      <c r="O1541" s="57">
        <f>IF($A1541="",0,IF(OR($S1541&lt;&gt;1,COUNTA($J1541:$M1541)=0),0,IF(SUMPRODUCT(MAX(($C$5:$C$2484=$C1541)*($D$5:$D$2484=$D1541)*($S$5:$S$2484=1)*IFERROR($N$5:$N$2484*1,0)))&gt;0,ROUND($H1541*($N1541/SUMPRODUCT(MAX(($C$5:$C$2484=$C1541)*($D$5:$D$2484=$D1541)*($S$5:$S$2484=1)*IFERROR($N$5:$N$2484*1,0)))),4),0)))</f>
        <v/>
      </c>
      <c r="P1541" s="48" t="inlineStr">
        <is>
          <t>fermate</t>
        </is>
      </c>
      <c r="Q1541" s="57">
        <f>IF($A1541="","",$A1541&amp;"|"&amp;$C1541)</f>
        <v/>
      </c>
      <c r="R1541" s="57">
        <f>IF($A1541="","",$A1541&amp;"|"&amp;$C1541&amp;"|"&amp;$D1541)</f>
        <v/>
      </c>
      <c r="S1541" s="57">
        <f>IF($A1541="","",IFERROR(INDEX(Offerte!$D$2:$D$81,MATCH($Q1541,Offerte!$L$2:$L$81,0)),0))</f>
        <v/>
      </c>
      <c r="T1541" s="57">
        <f>IF($A1541="","",IFERROR(INDEX(Offerte!$G$2:$G$81,MATCH($Q1541,Offerte!$L$2:$L$81,0)),"NO"))</f>
        <v/>
      </c>
    </row>
    <row r="1542">
      <c r="A1542" s="48">
        <f>IF(Offerte!$A51="","",Offerte!$A51)</f>
        <v/>
      </c>
      <c r="B1542" s="48">
        <f>IF(Offerte!$A51="","",Offerte!$B51)</f>
        <v/>
      </c>
      <c r="C1542" s="48">
        <f>IF(Offerte!$A51="","",Offerte!$C51)</f>
        <v/>
      </c>
      <c r="D1542" s="48" t="inlineStr">
        <is>
          <t>D.2.1</t>
        </is>
      </c>
      <c r="E1542" s="48" t="inlineStr">
        <is>
          <t>D</t>
        </is>
      </c>
      <c r="F1542" s="48" t="inlineStr">
        <is>
          <t>Q</t>
        </is>
      </c>
      <c r="G1542" s="48" t="inlineStr">
        <is>
          <t>higher</t>
        </is>
      </c>
      <c r="H1542" s="48" t="n">
        <v>2</v>
      </c>
      <c r="I1542" s="48" t="inlineStr">
        <is>
          <t>Segnali tattili Loges-Vet-Evolution</t>
        </is>
      </c>
      <c r="J1542" s="73" t="n"/>
      <c r="K1542" s="73" t="n"/>
      <c r="L1542" s="73" t="n"/>
      <c r="M1542" s="73" t="n"/>
      <c r="N1542" s="57">
        <f>IF($A1542="","",IFERROR(VALUE($J1542),0))</f>
        <v/>
      </c>
      <c r="O1542" s="57">
        <f>IF($A1542="",0,IF(OR($S1542&lt;&gt;1,COUNTA($J1542:$M1542)=0),0,IF(SUMPRODUCT(MAX(($C$5:$C$2484=$C1542)*($D$5:$D$2484=$D1542)*($S$5:$S$2484=1)*IFERROR($N$5:$N$2484*1,0)))&gt;0,ROUND($H1542*($N1542/SUMPRODUCT(MAX(($C$5:$C$2484=$C1542)*($D$5:$D$2484=$D1542)*($S$5:$S$2484=1)*IFERROR($N$5:$N$2484*1,0)))),4),0)))</f>
        <v/>
      </c>
      <c r="P1542" s="48" t="inlineStr">
        <is>
          <t>fermate</t>
        </is>
      </c>
      <c r="Q1542" s="57">
        <f>IF($A1542="","",$A1542&amp;"|"&amp;$C1542)</f>
        <v/>
      </c>
      <c r="R1542" s="57">
        <f>IF($A1542="","",$A1542&amp;"|"&amp;$C1542&amp;"|"&amp;$D1542)</f>
        <v/>
      </c>
      <c r="S1542" s="57">
        <f>IF($A1542="","",IFERROR(INDEX(Offerte!$D$2:$D$81,MATCH($Q1542,Offerte!$L$2:$L$81,0)),0))</f>
        <v/>
      </c>
      <c r="T1542" s="57">
        <f>IF($A1542="","",IFERROR(INDEX(Offerte!$G$2:$G$81,MATCH($Q1542,Offerte!$L$2:$L$81,0)),"NO"))</f>
        <v/>
      </c>
    </row>
    <row r="1543">
      <c r="A1543" s="48">
        <f>IF(Offerte!$A51="","",Offerte!$A51)</f>
        <v/>
      </c>
      <c r="B1543" s="48">
        <f>IF(Offerte!$A51="","",Offerte!$B51)</f>
        <v/>
      </c>
      <c r="C1543" s="48">
        <f>IF(Offerte!$A51="","",Offerte!$C51)</f>
        <v/>
      </c>
      <c r="D1543" s="48" t="inlineStr">
        <is>
          <t>E.1.1</t>
        </is>
      </c>
      <c r="E1543" s="48" t="inlineStr">
        <is>
          <t>E</t>
        </is>
      </c>
      <c r="F1543" s="48" t="inlineStr">
        <is>
          <t>T</t>
        </is>
      </c>
      <c r="G1543" s="48" t="inlineStr">
        <is>
          <t>tabular</t>
        </is>
      </c>
      <c r="H1543" s="48" t="n">
        <v>2</v>
      </c>
      <c r="I1543" s="48" t="inlineStr">
        <is>
          <t>Mobile app con travel planner PRM</t>
        </is>
      </c>
      <c r="J1543" s="73" t="n"/>
      <c r="K1543" s="73" t="n"/>
      <c r="L1543" s="73" t="n"/>
      <c r="M1543" s="73" t="n"/>
      <c r="N1543" s="57">
        <f>IF($A1543="","",IF(IFERROR(VALUE($M1543),0)=1,1,0))</f>
        <v/>
      </c>
      <c r="O1543" s="57">
        <f>IF($A1543="",0,IF(OR($S1543&lt;&gt;1,COUNTA($J1543:$M1543)=0),0,IF($N1543=1,$H1543,0)))</f>
        <v/>
      </c>
      <c r="P1543" s="48" t="inlineStr">
        <is>
          <t>sì/no</t>
        </is>
      </c>
      <c r="Q1543" s="57">
        <f>IF($A1543="","",$A1543&amp;"|"&amp;$C1543)</f>
        <v/>
      </c>
      <c r="R1543" s="57">
        <f>IF($A1543="","",$A1543&amp;"|"&amp;$C1543&amp;"|"&amp;$D1543)</f>
        <v/>
      </c>
      <c r="S1543" s="57">
        <f>IF($A1543="","",IFERROR(INDEX(Offerte!$D$2:$D$81,MATCH($Q1543,Offerte!$L$2:$L$81,0)),0))</f>
        <v/>
      </c>
      <c r="T1543" s="57">
        <f>IF($A1543="","",IFERROR(INDEX(Offerte!$G$2:$G$81,MATCH($Q1543,Offerte!$L$2:$L$81,0)),"NO"))</f>
        <v/>
      </c>
    </row>
    <row r="1544">
      <c r="A1544" s="48">
        <f>IF(Offerte!$A51="","",Offerte!$A51)</f>
        <v/>
      </c>
      <c r="B1544" s="48">
        <f>IF(Offerte!$A51="","",Offerte!$B51)</f>
        <v/>
      </c>
      <c r="C1544" s="48">
        <f>IF(Offerte!$A51="","",Offerte!$C51)</f>
        <v/>
      </c>
      <c r="D1544" s="48" t="inlineStr">
        <is>
          <t>E.2.1</t>
        </is>
      </c>
      <c r="E1544" s="48" t="inlineStr">
        <is>
          <t>E</t>
        </is>
      </c>
      <c r="F1544" s="48" t="inlineStr">
        <is>
          <t>D</t>
        </is>
      </c>
      <c r="G1544" s="48" t="inlineStr">
        <is>
          <t>discretionary</t>
        </is>
      </c>
      <c r="H1544" s="48" t="n">
        <v>2</v>
      </c>
      <c r="I1544" s="48" t="inlineStr">
        <is>
          <t>Altre azioni informative e rapporti con gli utenti</t>
        </is>
      </c>
      <c r="J1544" s="73" t="n"/>
      <c r="K1544" s="73" t="n"/>
      <c r="L1544" s="73" t="n"/>
      <c r="M1544" s="73" t="n"/>
      <c r="N1544" s="57">
        <f>IF($A1544="","",MAX(0,MIN(1,IFERROR(VALUE($M1544),0))))</f>
        <v/>
      </c>
      <c r="O1544" s="57">
        <f>IF($A1544="",0,IF(OR($S1544&lt;&gt;1,COUNTA($J1544:$M1544)=0),0,IF(SUMPRODUCT(MAX(($C$5:$C$2484=$C1544)*($D$5:$D$2484=$D1544)*($S$5:$S$2484=1)*IFERROR($N$5:$N$2484*1,0)))&gt;0,ROUND($H1544*($N1544/SUMPRODUCT(MAX(($C$5:$C$2484=$C1544)*($D$5:$D$2484=$D1544)*($S$5:$S$2484=1)*IFERROR($N$5:$N$2484*1,0)))),4),0)))</f>
        <v/>
      </c>
      <c r="P1544" s="48" t="inlineStr">
        <is>
          <t>coeff.</t>
        </is>
      </c>
      <c r="Q1544" s="57">
        <f>IF($A1544="","",$A1544&amp;"|"&amp;$C1544)</f>
        <v/>
      </c>
      <c r="R1544" s="57">
        <f>IF($A1544="","",$A1544&amp;"|"&amp;$C1544&amp;"|"&amp;$D1544)</f>
        <v/>
      </c>
      <c r="S1544" s="57">
        <f>IF($A1544="","",IFERROR(INDEX(Offerte!$D$2:$D$81,MATCH($Q1544,Offerte!$L$2:$L$81,0)),0))</f>
        <v/>
      </c>
      <c r="T1544" s="57">
        <f>IF($A1544="","",IFERROR(INDEX(Offerte!$G$2:$G$81,MATCH($Q1544,Offerte!$L$2:$L$81,0)),"NO"))</f>
        <v/>
      </c>
    </row>
    <row r="1545">
      <c r="A1545" s="48">
        <f>IF(Offerte!$A51="","",Offerte!$A51)</f>
        <v/>
      </c>
      <c r="B1545" s="48">
        <f>IF(Offerte!$A51="","",Offerte!$B51)</f>
        <v/>
      </c>
      <c r="C1545" s="48">
        <f>IF(Offerte!$A51="","",Offerte!$C51)</f>
        <v/>
      </c>
      <c r="D1545" s="48" t="inlineStr">
        <is>
          <t>F.1.1</t>
        </is>
      </c>
      <c r="E1545" s="48" t="inlineStr">
        <is>
          <t>F</t>
        </is>
      </c>
      <c r="F1545" s="48" t="inlineStr">
        <is>
          <t>Q</t>
        </is>
      </c>
      <c r="G1545" s="48" t="inlineStr">
        <is>
          <t>lower</t>
        </is>
      </c>
      <c r="H1545" s="48" t="n">
        <v>7</v>
      </c>
      <c r="I1545" s="48" t="inlineStr">
        <is>
          <t>Performance ambientali del parco mezzi adibito al servizio - I_CEA</t>
        </is>
      </c>
      <c r="J1545" s="73" t="n"/>
      <c r="K1545" s="73" t="n"/>
      <c r="L1545" s="73" t="n"/>
      <c r="M1545" s="73" t="n"/>
      <c r="N1545" s="57">
        <f>IF($A1545="","",IFERROR(VALUE($J1545),0))</f>
        <v/>
      </c>
      <c r="O1545" s="57">
        <f>IF($A1545="",0,IF(OR($S1545&lt;&gt;1,COUNTA($J1545:$M1545)=0),0,IF(AND(IFERROR(AGGREGATE(15,6,$N$5:$N$2484/(($C$5:$C$2484=$C1545)*($D$5:$D$2484=$D1545)*($S$5:$S$2484=1)*($N$5:$N$2484&gt;0)),1),0)&gt;0,$N1545&gt;0),ROUND($H1545*(IFERROR(AGGREGATE(15,6,$N$5:$N$2484/(($C$5:$C$2484=$C1545)*($D$5:$D$2484=$D1545)*($S$5:$S$2484=1)*($N$5:$N$2484&gt;0)),1),0)/$N1545),4),0)))</f>
        <v/>
      </c>
      <c r="P1545" s="48" t="inlineStr">
        <is>
          <t>indice</t>
        </is>
      </c>
      <c r="Q1545" s="57">
        <f>IF($A1545="","",$A1545&amp;"|"&amp;$C1545)</f>
        <v/>
      </c>
      <c r="R1545" s="57">
        <f>IF($A1545="","",$A1545&amp;"|"&amp;$C1545&amp;"|"&amp;$D1545)</f>
        <v/>
      </c>
      <c r="S1545" s="57">
        <f>IF($A1545="","",IFERROR(INDEX(Offerte!$D$2:$D$81,MATCH($Q1545,Offerte!$L$2:$L$81,0)),0))</f>
        <v/>
      </c>
      <c r="T1545" s="57">
        <f>IF($A1545="","",IFERROR(INDEX(Offerte!$G$2:$G$81,MATCH($Q1545,Offerte!$L$2:$L$81,0)),"NO"))</f>
        <v/>
      </c>
    </row>
    <row r="1546">
      <c r="A1546" s="48">
        <f>IF(Offerte!$A51="","",Offerte!$A51)</f>
        <v/>
      </c>
      <c r="B1546" s="48">
        <f>IF(Offerte!$A51="","",Offerte!$B51)</f>
        <v/>
      </c>
      <c r="C1546" s="48">
        <f>IF(Offerte!$A51="","",Offerte!$C51)</f>
        <v/>
      </c>
      <c r="D1546" s="48" t="inlineStr">
        <is>
          <t>F.2.1</t>
        </is>
      </c>
      <c r="E1546" s="48" t="inlineStr">
        <is>
          <t>F</t>
        </is>
      </c>
      <c r="F1546" s="48" t="inlineStr">
        <is>
          <t>Q</t>
        </is>
      </c>
      <c r="G1546" s="48" t="inlineStr">
        <is>
          <t>higher</t>
        </is>
      </c>
      <c r="H1546" s="48" t="n">
        <v>2</v>
      </c>
      <c r="I1546" s="48" t="inlineStr">
        <is>
          <t>Tasso di copertura del servizio con dispositivi ECO-DRIVER</t>
        </is>
      </c>
      <c r="J1546" s="73" t="n"/>
      <c r="K1546" s="73" t="n"/>
      <c r="L1546" s="73" t="n"/>
      <c r="M1546" s="73" t="n"/>
      <c r="N1546" s="57">
        <f>IF($A1546="","",IFERROR(VALUE($K1546)/VALUE($L1546),IFERROR(VALUE($J1546),0)))</f>
        <v/>
      </c>
      <c r="O1546" s="57">
        <f>IF($A1546="",0,IF(OR($S1546&lt;&gt;1,COUNTA($J1546:$M1546)=0),0,IF(SUMPRODUCT(MAX(($C$5:$C$2484=$C1546)*($D$5:$D$2484=$D1546)*($S$5:$S$2484=1)*IFERROR($N$5:$N$2484*1,0)))&gt;0,ROUND($H1546*($N1546/SUMPRODUCT(MAX(($C$5:$C$2484=$C1546)*($D$5:$D$2484=$D1546)*($S$5:$S$2484=1)*IFERROR($N$5:$N$2484*1,0)))),4),0)))</f>
        <v/>
      </c>
      <c r="P1546" s="48" t="inlineStr">
        <is>
          <t>Autobus attrezzati con dispositivi ECO-DRIVER / Autobus totali in offerta, incluse scorte</t>
        </is>
      </c>
      <c r="Q1546" s="57">
        <f>IF($A1546="","",$A1546&amp;"|"&amp;$C1546)</f>
        <v/>
      </c>
      <c r="R1546" s="57">
        <f>IF($A1546="","",$A1546&amp;"|"&amp;$C1546&amp;"|"&amp;$D1546)</f>
        <v/>
      </c>
      <c r="S1546" s="57">
        <f>IF($A1546="","",IFERROR(INDEX(Offerte!$D$2:$D$81,MATCH($Q1546,Offerte!$L$2:$L$81,0)),0))</f>
        <v/>
      </c>
      <c r="T1546" s="57">
        <f>IF($A1546="","",IFERROR(INDEX(Offerte!$G$2:$G$81,MATCH($Q1546,Offerte!$L$2:$L$81,0)),"NO"))</f>
        <v/>
      </c>
    </row>
    <row r="1547">
      <c r="A1547" s="48">
        <f>IF(Offerte!$A51="","",Offerte!$A51)</f>
        <v/>
      </c>
      <c r="B1547" s="48">
        <f>IF(Offerte!$A51="","",Offerte!$B51)</f>
        <v/>
      </c>
      <c r="C1547" s="48">
        <f>IF(Offerte!$A51="","",Offerte!$C51)</f>
        <v/>
      </c>
      <c r="D1547" s="48" t="inlineStr">
        <is>
          <t>F.3.1</t>
        </is>
      </c>
      <c r="E1547" s="48" t="inlineStr">
        <is>
          <t>F</t>
        </is>
      </c>
      <c r="F1547" s="48" t="inlineStr">
        <is>
          <t>Q</t>
        </is>
      </c>
      <c r="G1547" s="48" t="inlineStr">
        <is>
          <t>higher</t>
        </is>
      </c>
      <c r="H1547" s="48" t="n">
        <v>2</v>
      </c>
      <c r="I1547" s="48" t="inlineStr">
        <is>
          <t>Autoproduzione consumi elettrici per trazione</t>
        </is>
      </c>
      <c r="J1547" s="73" t="n"/>
      <c r="K1547" s="73" t="n"/>
      <c r="L1547" s="73" t="n"/>
      <c r="M1547" s="73" t="n"/>
      <c r="N1547" s="57">
        <f>IF($A1547="","",IFERROR(VALUE($J1547),0))</f>
        <v/>
      </c>
      <c r="O1547" s="57">
        <f>IF($A1547="",0,IF(OR($S1547&lt;&gt;1,COUNTA($J1547:$M1547)=0),0,IF(SUMPRODUCT(MAX(($C$5:$C$2484=$C1547)*($D$5:$D$2484=$D1547)*($S$5:$S$2484=1)*IFERROR($N$5:$N$2484*1,0)))&gt;0,ROUND($H1547*($N1547/SUMPRODUCT(MAX(($C$5:$C$2484=$C1547)*($D$5:$D$2484=$D1547)*($S$5:$S$2484=1)*IFERROR($N$5:$N$2484*1,0)))),4),0)))</f>
        <v/>
      </c>
      <c r="P1547" s="48" t="inlineStr">
        <is>
          <t>kWh/anno</t>
        </is>
      </c>
      <c r="Q1547" s="57">
        <f>IF($A1547="","",$A1547&amp;"|"&amp;$C1547)</f>
        <v/>
      </c>
      <c r="R1547" s="57">
        <f>IF($A1547="","",$A1547&amp;"|"&amp;$C1547&amp;"|"&amp;$D1547)</f>
        <v/>
      </c>
      <c r="S1547" s="57">
        <f>IF($A1547="","",IFERROR(INDEX(Offerte!$D$2:$D$81,MATCH($Q1547,Offerte!$L$2:$L$81,0)),0))</f>
        <v/>
      </c>
      <c r="T1547" s="57">
        <f>IF($A1547="","",IFERROR(INDEX(Offerte!$G$2:$G$81,MATCH($Q1547,Offerte!$L$2:$L$81,0)),"NO"))</f>
        <v/>
      </c>
    </row>
    <row r="1548">
      <c r="A1548" s="48">
        <f>IF(Offerte!$A51="","",Offerte!$A51)</f>
        <v/>
      </c>
      <c r="B1548" s="48">
        <f>IF(Offerte!$A51="","",Offerte!$B51)</f>
        <v/>
      </c>
      <c r="C1548" s="48">
        <f>IF(Offerte!$A51="","",Offerte!$C51)</f>
        <v/>
      </c>
      <c r="D1548" s="48" t="inlineStr">
        <is>
          <t>F.4.1</t>
        </is>
      </c>
      <c r="E1548" s="48" t="inlineStr">
        <is>
          <t>F</t>
        </is>
      </c>
      <c r="F1548" s="48" t="inlineStr">
        <is>
          <t>Q</t>
        </is>
      </c>
      <c r="G1548" s="48" t="inlineStr">
        <is>
          <t>soil</t>
        </is>
      </c>
      <c r="H1548" s="48" t="n">
        <v>2</v>
      </c>
      <c r="I1548" s="48" t="inlineStr">
        <is>
          <t>Indice di consumo di suolo</t>
        </is>
      </c>
      <c r="J1548" s="73" t="n"/>
      <c r="K1548" s="73" t="n"/>
      <c r="L1548" s="73" t="n"/>
      <c r="M1548" s="73" t="n"/>
      <c r="N1548" s="57">
        <f>IF($A1548="","",IFERROR(VALUE($J1548),0))</f>
        <v/>
      </c>
      <c r="O1548" s="57">
        <f>IF($A1548="",0,IF(OR($S1548&lt;&gt;1,COUNTA($J1548:$M1548)=0),0,IF($N1548&lt;=0,$H1548,IF(SUMPRODUCT(MAX(($C$5:$C$2484=$C1548)*($D$5:$D$2484=$D1548)*($S$5:$S$2484=1)*IFERROR($N$5:$N$2484*1,0)))&gt;0,ROUND($H1548*((SUMPRODUCT(MAX(($C$5:$C$2484=$C1548)*($D$5:$D$2484=$D1548)*($S$5:$S$2484=1)*IFERROR($N$5:$N$2484*1,0)))-$N1548)/SUMPRODUCT(MAX(($C$5:$C$2484=$C1548)*($D$5:$D$2484=$D1548)*($S$5:$S$2484=1)*IFERROR($N$5:$N$2484*1,0)))),4),0))))</f>
        <v/>
      </c>
      <c r="P1548" s="48" t="inlineStr">
        <is>
          <t>m2</t>
        </is>
      </c>
      <c r="Q1548" s="57">
        <f>IF($A1548="","",$A1548&amp;"|"&amp;$C1548)</f>
        <v/>
      </c>
      <c r="R1548" s="57">
        <f>IF($A1548="","",$A1548&amp;"|"&amp;$C1548&amp;"|"&amp;$D1548)</f>
        <v/>
      </c>
      <c r="S1548" s="57">
        <f>IF($A1548="","",IFERROR(INDEX(Offerte!$D$2:$D$81,MATCH($Q1548,Offerte!$L$2:$L$81,0)),0))</f>
        <v/>
      </c>
      <c r="T1548" s="57">
        <f>IF($A1548="","",IFERROR(INDEX(Offerte!$G$2:$G$81,MATCH($Q1548,Offerte!$L$2:$L$81,0)),"NO"))</f>
        <v/>
      </c>
    </row>
    <row r="1549">
      <c r="A1549" s="48">
        <f>IF(Offerte!$A51="","",Offerte!$A51)</f>
        <v/>
      </c>
      <c r="B1549" s="48">
        <f>IF(Offerte!$A51="","",Offerte!$B51)</f>
        <v/>
      </c>
      <c r="C1549" s="48">
        <f>IF(Offerte!$A51="","",Offerte!$C51)</f>
        <v/>
      </c>
      <c r="D1549" s="48" t="inlineStr">
        <is>
          <t>F.5.1</t>
        </is>
      </c>
      <c r="E1549" s="48" t="inlineStr">
        <is>
          <t>F</t>
        </is>
      </c>
      <c r="F1549" s="48" t="inlineStr">
        <is>
          <t>T</t>
        </is>
      </c>
      <c r="G1549" s="48" t="inlineStr">
        <is>
          <t>tabular</t>
        </is>
      </c>
      <c r="H1549" s="48" t="n">
        <v>1</v>
      </c>
      <c r="I1549" s="48" t="inlineStr">
        <is>
          <t>Rendicontazione di sostenibilità ambientale</t>
        </is>
      </c>
      <c r="J1549" s="73" t="n"/>
      <c r="K1549" s="73" t="n"/>
      <c r="L1549" s="73" t="n"/>
      <c r="M1549" s="73" t="n"/>
      <c r="N1549" s="57">
        <f>IF($A1549="","",IF(IFERROR(VALUE($M1549),0)=1,1,0))</f>
        <v/>
      </c>
      <c r="O1549" s="57">
        <f>IF($A1549="",0,IF(OR($S1549&lt;&gt;1,COUNTA($J1549:$M1549)=0),0,IF($N1549=1,$H1549,0)))</f>
        <v/>
      </c>
      <c r="P1549" s="48" t="inlineStr">
        <is>
          <t>sì/no</t>
        </is>
      </c>
      <c r="Q1549" s="57">
        <f>IF($A1549="","",$A1549&amp;"|"&amp;$C1549)</f>
        <v/>
      </c>
      <c r="R1549" s="57">
        <f>IF($A1549="","",$A1549&amp;"|"&amp;$C1549&amp;"|"&amp;$D1549)</f>
        <v/>
      </c>
      <c r="S1549" s="57">
        <f>IF($A1549="","",IFERROR(INDEX(Offerte!$D$2:$D$81,MATCH($Q1549,Offerte!$L$2:$L$81,0)),0))</f>
        <v/>
      </c>
      <c r="T1549" s="57">
        <f>IF($A1549="","",IFERROR(INDEX(Offerte!$G$2:$G$81,MATCH($Q1549,Offerte!$L$2:$L$81,0)),"NO"))</f>
        <v/>
      </c>
    </row>
    <row r="1550">
      <c r="A1550" s="48">
        <f>IF(Offerte!$A51="","",Offerte!$A51)</f>
        <v/>
      </c>
      <c r="B1550" s="48">
        <f>IF(Offerte!$A51="","",Offerte!$B51)</f>
        <v/>
      </c>
      <c r="C1550" s="48">
        <f>IF(Offerte!$A51="","",Offerte!$C51)</f>
        <v/>
      </c>
      <c r="D1550" s="48" t="inlineStr">
        <is>
          <t>G.1.1</t>
        </is>
      </c>
      <c r="E1550" s="48" t="inlineStr">
        <is>
          <t>G</t>
        </is>
      </c>
      <c r="F1550" s="48" t="inlineStr">
        <is>
          <t>D</t>
        </is>
      </c>
      <c r="G1550" s="48" t="inlineStr">
        <is>
          <t>discretionary</t>
        </is>
      </c>
      <c r="H1550" s="48" t="n">
        <v>2</v>
      </c>
      <c r="I1550" s="48" t="inlineStr">
        <is>
          <t>Qualità del progetto di centrale di controllo aziendale</t>
        </is>
      </c>
      <c r="J1550" s="73" t="n"/>
      <c r="K1550" s="73" t="n"/>
      <c r="L1550" s="73" t="n"/>
      <c r="M1550" s="73" t="n"/>
      <c r="N1550" s="57">
        <f>IF($A1550="","",MAX(0,MIN(1,IFERROR(VALUE($M1550),0))))</f>
        <v/>
      </c>
      <c r="O1550" s="57">
        <f>IF($A1550="",0,IF(OR($S1550&lt;&gt;1,COUNTA($J1550:$M1550)=0),0,IF(SUMPRODUCT(MAX(($C$5:$C$2484=$C1550)*($D$5:$D$2484=$D1550)*($S$5:$S$2484=1)*IFERROR($N$5:$N$2484*1,0)))&gt;0,ROUND($H1550*($N1550/SUMPRODUCT(MAX(($C$5:$C$2484=$C1550)*($D$5:$D$2484=$D1550)*($S$5:$S$2484=1)*IFERROR($N$5:$N$2484*1,0)))),4),0)))</f>
        <v/>
      </c>
      <c r="P1550" s="48" t="inlineStr">
        <is>
          <t>coeff.</t>
        </is>
      </c>
      <c r="Q1550" s="57">
        <f>IF($A1550="","",$A1550&amp;"|"&amp;$C1550)</f>
        <v/>
      </c>
      <c r="R1550" s="57">
        <f>IF($A1550="","",$A1550&amp;"|"&amp;$C1550&amp;"|"&amp;$D1550)</f>
        <v/>
      </c>
      <c r="S1550" s="57">
        <f>IF($A1550="","",IFERROR(INDEX(Offerte!$D$2:$D$81,MATCH($Q1550,Offerte!$L$2:$L$81,0)),0))</f>
        <v/>
      </c>
      <c r="T1550" s="57">
        <f>IF($A1550="","",IFERROR(INDEX(Offerte!$G$2:$G$81,MATCH($Q1550,Offerte!$L$2:$L$81,0)),"NO"))</f>
        <v/>
      </c>
    </row>
    <row r="1551">
      <c r="A1551" s="48">
        <f>IF(Offerte!$A51="","",Offerte!$A51)</f>
        <v/>
      </c>
      <c r="B1551" s="48">
        <f>IF(Offerte!$A51="","",Offerte!$B51)</f>
        <v/>
      </c>
      <c r="C1551" s="48">
        <f>IF(Offerte!$A51="","",Offerte!$C51)</f>
        <v/>
      </c>
      <c r="D1551" s="48" t="inlineStr">
        <is>
          <t>G.2.1</t>
        </is>
      </c>
      <c r="E1551" s="48" t="inlineStr">
        <is>
          <t>G</t>
        </is>
      </c>
      <c r="F1551" s="48" t="inlineStr">
        <is>
          <t>T</t>
        </is>
      </c>
      <c r="G1551" s="48" t="inlineStr">
        <is>
          <t>tabular</t>
        </is>
      </c>
      <c r="H1551" s="48" t="n">
        <v>1</v>
      </c>
      <c r="I1551" s="48" t="inlineStr">
        <is>
          <t>Certificazione ISO 45001</t>
        </is>
      </c>
      <c r="J1551" s="73" t="n"/>
      <c r="K1551" s="73" t="n"/>
      <c r="L1551" s="73" t="n"/>
      <c r="M1551" s="73" t="n"/>
      <c r="N1551" s="57">
        <f>IF($A1551="","",IF(IFERROR(VALUE($M1551),0)=1,1,0))</f>
        <v/>
      </c>
      <c r="O1551" s="57">
        <f>IF($A1551="",0,IF(OR($S1551&lt;&gt;1,COUNTA($J1551:$M1551)=0),0,IF($N1551=1,$H1551,0)))</f>
        <v/>
      </c>
      <c r="P1551" s="48" t="inlineStr">
        <is>
          <t>sì/no</t>
        </is>
      </c>
      <c r="Q1551" s="57">
        <f>IF($A1551="","",$A1551&amp;"|"&amp;$C1551)</f>
        <v/>
      </c>
      <c r="R1551" s="57">
        <f>IF($A1551="","",$A1551&amp;"|"&amp;$C1551&amp;"|"&amp;$D1551)</f>
        <v/>
      </c>
      <c r="S1551" s="57">
        <f>IF($A1551="","",IFERROR(INDEX(Offerte!$D$2:$D$81,MATCH($Q1551,Offerte!$L$2:$L$81,0)),0))</f>
        <v/>
      </c>
      <c r="T1551" s="57">
        <f>IF($A1551="","",IFERROR(INDEX(Offerte!$G$2:$G$81,MATCH($Q1551,Offerte!$L$2:$L$81,0)),"NO"))</f>
        <v/>
      </c>
    </row>
    <row r="1552">
      <c r="A1552" s="48">
        <f>IF(Offerte!$A51="","",Offerte!$A51)</f>
        <v/>
      </c>
      <c r="B1552" s="48">
        <f>IF(Offerte!$A51="","",Offerte!$B51)</f>
        <v/>
      </c>
      <c r="C1552" s="48">
        <f>IF(Offerte!$A51="","",Offerte!$C51)</f>
        <v/>
      </c>
      <c r="D1552" s="48" t="inlineStr">
        <is>
          <t>G.3.1</t>
        </is>
      </c>
      <c r="E1552" s="48" t="inlineStr">
        <is>
          <t>G</t>
        </is>
      </c>
      <c r="F1552" s="48" t="inlineStr">
        <is>
          <t>T</t>
        </is>
      </c>
      <c r="G1552" s="48" t="inlineStr">
        <is>
          <t>tabular</t>
        </is>
      </c>
      <c r="H1552" s="48" t="n">
        <v>1</v>
      </c>
      <c r="I1552" s="48" t="inlineStr">
        <is>
          <t>Certificazioni di responsabilità sociale</t>
        </is>
      </c>
      <c r="J1552" s="73" t="n"/>
      <c r="K1552" s="73" t="n"/>
      <c r="L1552" s="73" t="n"/>
      <c r="M1552" s="73" t="n"/>
      <c r="N1552" s="57">
        <f>IF($A1552="","",IF(IFERROR(VALUE($M1552),0)=1,1,0))</f>
        <v/>
      </c>
      <c r="O1552" s="57">
        <f>IF($A1552="",0,IF(OR($S1552&lt;&gt;1,COUNTA($J1552:$M1552)=0),0,IF($N1552=1,$H1552,0)))</f>
        <v/>
      </c>
      <c r="P1552" s="48" t="inlineStr">
        <is>
          <t>sì/no</t>
        </is>
      </c>
      <c r="Q1552" s="57">
        <f>IF($A1552="","",$A1552&amp;"|"&amp;$C1552)</f>
        <v/>
      </c>
      <c r="R1552" s="57">
        <f>IF($A1552="","",$A1552&amp;"|"&amp;$C1552&amp;"|"&amp;$D1552)</f>
        <v/>
      </c>
      <c r="S1552" s="57">
        <f>IF($A1552="","",IFERROR(INDEX(Offerte!$D$2:$D$81,MATCH($Q1552,Offerte!$L$2:$L$81,0)),0))</f>
        <v/>
      </c>
      <c r="T1552" s="57">
        <f>IF($A1552="","",IFERROR(INDEX(Offerte!$G$2:$G$81,MATCH($Q1552,Offerte!$L$2:$L$81,0)),"NO"))</f>
        <v/>
      </c>
    </row>
    <row r="1553">
      <c r="A1553" s="48">
        <f>IF(Offerte!$A51="","",Offerte!$A51)</f>
        <v/>
      </c>
      <c r="B1553" s="48">
        <f>IF(Offerte!$A51="","",Offerte!$B51)</f>
        <v/>
      </c>
      <c r="C1553" s="48">
        <f>IF(Offerte!$A51="","",Offerte!$C51)</f>
        <v/>
      </c>
      <c r="D1553" s="48" t="inlineStr">
        <is>
          <t>G.4.1</t>
        </is>
      </c>
      <c r="E1553" s="48" t="inlineStr">
        <is>
          <t>G</t>
        </is>
      </c>
      <c r="F1553" s="48" t="inlineStr">
        <is>
          <t>D</t>
        </is>
      </c>
      <c r="G1553" s="48" t="inlineStr">
        <is>
          <t>discretionary</t>
        </is>
      </c>
      <c r="H1553" s="48" t="n">
        <v>2</v>
      </c>
      <c r="I1553" s="48" t="inlineStr">
        <is>
          <t>Qualità del piano di formazione del personale</t>
        </is>
      </c>
      <c r="J1553" s="73" t="n"/>
      <c r="K1553" s="73" t="n"/>
      <c r="L1553" s="73" t="n"/>
      <c r="M1553" s="73" t="n"/>
      <c r="N1553" s="57">
        <f>IF($A1553="","",MAX(0,MIN(1,IFERROR(VALUE($M1553),0))))</f>
        <v/>
      </c>
      <c r="O1553" s="57">
        <f>IF($A1553="",0,IF(OR($S1553&lt;&gt;1,COUNTA($J1553:$M1553)=0),0,IF(SUMPRODUCT(MAX(($C$5:$C$2484=$C1553)*($D$5:$D$2484=$D1553)*($S$5:$S$2484=1)*IFERROR($N$5:$N$2484*1,0)))&gt;0,ROUND($H1553*($N1553/SUMPRODUCT(MAX(($C$5:$C$2484=$C1553)*($D$5:$D$2484=$D1553)*($S$5:$S$2484=1)*IFERROR($N$5:$N$2484*1,0)))),4),0)))</f>
        <v/>
      </c>
      <c r="P1553" s="48" t="inlineStr">
        <is>
          <t>coeff.</t>
        </is>
      </c>
      <c r="Q1553" s="57">
        <f>IF($A1553="","",$A1553&amp;"|"&amp;$C1553)</f>
        <v/>
      </c>
      <c r="R1553" s="57">
        <f>IF($A1553="","",$A1553&amp;"|"&amp;$C1553&amp;"|"&amp;$D1553)</f>
        <v/>
      </c>
      <c r="S1553" s="57">
        <f>IF($A1553="","",IFERROR(INDEX(Offerte!$D$2:$D$81,MATCH($Q1553,Offerte!$L$2:$L$81,0)),0))</f>
        <v/>
      </c>
      <c r="T1553" s="57">
        <f>IF($A1553="","",IFERROR(INDEX(Offerte!$G$2:$G$81,MATCH($Q1553,Offerte!$L$2:$L$81,0)),"NO"))</f>
        <v/>
      </c>
    </row>
    <row r="1554">
      <c r="A1554" s="48">
        <f>IF(Offerte!$A51="","",Offerte!$A51)</f>
        <v/>
      </c>
      <c r="B1554" s="48">
        <f>IF(Offerte!$A51="","",Offerte!$B51)</f>
        <v/>
      </c>
      <c r="C1554" s="48">
        <f>IF(Offerte!$A51="","",Offerte!$C51)</f>
        <v/>
      </c>
      <c r="D1554" s="48" t="inlineStr">
        <is>
          <t>G.5.1</t>
        </is>
      </c>
      <c r="E1554" s="48" t="inlineStr">
        <is>
          <t>G</t>
        </is>
      </c>
      <c r="F1554" s="48" t="inlineStr">
        <is>
          <t>T</t>
        </is>
      </c>
      <c r="G1554" s="48" t="inlineStr">
        <is>
          <t>tabular</t>
        </is>
      </c>
      <c r="H1554" s="48" t="n">
        <v>1</v>
      </c>
      <c r="I1554" s="48" t="inlineStr">
        <is>
          <t>Impegno al mantenimento delle garanzie del contratto di secondo livello del gestore uscente</t>
        </is>
      </c>
      <c r="J1554" s="73" t="n"/>
      <c r="K1554" s="73" t="n"/>
      <c r="L1554" s="73" t="n"/>
      <c r="M1554" s="73" t="n"/>
      <c r="N1554" s="57">
        <f>IF($A1554="","",IF(IFERROR(VALUE($M1554),0)=1,1,0))</f>
        <v/>
      </c>
      <c r="O1554" s="57">
        <f>IF($A1554="",0,IF(OR($S1554&lt;&gt;1,COUNTA($J1554:$M1554)=0),0,IF($N1554=1,$H1554,0)))</f>
        <v/>
      </c>
      <c r="P1554" s="48" t="inlineStr">
        <is>
          <t>sì/no</t>
        </is>
      </c>
      <c r="Q1554" s="57">
        <f>IF($A1554="","",$A1554&amp;"|"&amp;$C1554)</f>
        <v/>
      </c>
      <c r="R1554" s="57">
        <f>IF($A1554="","",$A1554&amp;"|"&amp;$C1554&amp;"|"&amp;$D1554)</f>
        <v/>
      </c>
      <c r="S1554" s="57">
        <f>IF($A1554="","",IFERROR(INDEX(Offerte!$D$2:$D$81,MATCH($Q1554,Offerte!$L$2:$L$81,0)),0))</f>
        <v/>
      </c>
      <c r="T1554" s="57">
        <f>IF($A1554="","",IFERROR(INDEX(Offerte!$G$2:$G$81,MATCH($Q1554,Offerte!$L$2:$L$81,0)),"NO"))</f>
        <v/>
      </c>
    </row>
    <row r="1555">
      <c r="A1555" s="48">
        <f>IF(Offerte!$A52="","",Offerte!$A52)</f>
        <v/>
      </c>
      <c r="B1555" s="48">
        <f>IF(Offerte!$A52="","",Offerte!$B52)</f>
        <v/>
      </c>
      <c r="C1555" s="48">
        <f>IF(Offerte!$A52="","",Offerte!$C52)</f>
        <v/>
      </c>
      <c r="D1555" s="48" t="inlineStr">
        <is>
          <t>A.1.1</t>
        </is>
      </c>
      <c r="E1555" s="48" t="inlineStr">
        <is>
          <t>A</t>
        </is>
      </c>
      <c r="F1555" s="48" t="inlineStr">
        <is>
          <t>Q</t>
        </is>
      </c>
      <c r="G1555" s="48" t="inlineStr">
        <is>
          <t>higher</t>
        </is>
      </c>
      <c r="H1555" s="48" t="n">
        <v>3</v>
      </c>
      <c r="I1555" s="48" t="inlineStr">
        <is>
          <t>Tasso aggiuntivo di corse controllate</t>
        </is>
      </c>
      <c r="J1555" s="73" t="n"/>
      <c r="K1555" s="73" t="n"/>
      <c r="L1555" s="73" t="n"/>
      <c r="M1555" s="73" t="n"/>
      <c r="N1555" s="57">
        <f>IF($A1555="","",IFERROR(VALUE($K1555)/VALUE($L1555)*100,IFERROR(VALUE($J1555),0)))</f>
        <v/>
      </c>
      <c r="O1555" s="57">
        <f>IF($A1555="",0,IF(OR($S1555&lt;&gt;1,COUNTA($J1555:$M1555)=0),0,IF(SUMPRODUCT(MAX(($C$5:$C$2484=$C1555)*($D$5:$D$2484=$D1555)*($S$5:$S$2484=1)*IFERROR($N$5:$N$2484*1,0)))&gt;0,ROUND($H1555*($N1555/SUMPRODUCT(MAX(($C$5:$C$2484=$C1555)*($D$5:$D$2484=$D1555)*($S$5:$S$2484=1)*IFERROR($N$5:$N$2484*1,0)))),4),0)))</f>
        <v/>
      </c>
      <c r="P1555" s="48" t="inlineStr">
        <is>
          <t>Corse controllate annue / Corse programmate annue</t>
        </is>
      </c>
      <c r="Q1555" s="57">
        <f>IF($A1555="","",$A1555&amp;"|"&amp;$C1555)</f>
        <v/>
      </c>
      <c r="R1555" s="57">
        <f>IF($A1555="","",$A1555&amp;"|"&amp;$C1555&amp;"|"&amp;$D1555)</f>
        <v/>
      </c>
      <c r="S1555" s="57">
        <f>IF($A1555="","",IFERROR(INDEX(Offerte!$D$2:$D$81,MATCH($Q1555,Offerte!$L$2:$L$81,0)),0))</f>
        <v/>
      </c>
      <c r="T1555" s="57">
        <f>IF($A1555="","",IFERROR(INDEX(Offerte!$G$2:$G$81,MATCH($Q1555,Offerte!$L$2:$L$81,0)),"NO"))</f>
        <v/>
      </c>
    </row>
    <row r="1556">
      <c r="A1556" s="48">
        <f>IF(Offerte!$A52="","",Offerte!$A52)</f>
        <v/>
      </c>
      <c r="B1556" s="48">
        <f>IF(Offerte!$A52="","",Offerte!$B52)</f>
        <v/>
      </c>
      <c r="C1556" s="48">
        <f>IF(Offerte!$A52="","",Offerte!$C52)</f>
        <v/>
      </c>
      <c r="D1556" s="48" t="inlineStr">
        <is>
          <t>A.1.2</t>
        </is>
      </c>
      <c r="E1556" s="48" t="inlineStr">
        <is>
          <t>A</t>
        </is>
      </c>
      <c r="F1556" s="48" t="inlineStr">
        <is>
          <t>Q</t>
        </is>
      </c>
      <c r="G1556" s="48" t="inlineStr">
        <is>
          <t>higher</t>
        </is>
      </c>
      <c r="H1556" s="48" t="n">
        <v>4</v>
      </c>
      <c r="I1556" s="48" t="inlineStr">
        <is>
          <t>Numero aggiuntivo di passeggeri controllati</t>
        </is>
      </c>
      <c r="J1556" s="73" t="n"/>
      <c r="K1556" s="73" t="n"/>
      <c r="L1556" s="73" t="n"/>
      <c r="M1556" s="73" t="n"/>
      <c r="N1556" s="57">
        <f>IF($A1556="","",IFERROR(VALUE($J1556),0))</f>
        <v/>
      </c>
      <c r="O1556" s="57">
        <f>IF($A1556="",0,IF(OR($S1556&lt;&gt;1,COUNTA($J1556:$M1556)=0),0,IF(SUMPRODUCT(MAX(($C$5:$C$2484=$C1556)*($D$5:$D$2484=$D1556)*($S$5:$S$2484=1)*IFERROR($N$5:$N$2484*1,0)))&gt;0,ROUND($H1556*($N1556/SUMPRODUCT(MAX(($C$5:$C$2484=$C1556)*($D$5:$D$2484=$D1556)*($S$5:$S$2484=1)*IFERROR($N$5:$N$2484*1,0)))),4),0)))</f>
        <v/>
      </c>
      <c r="P1556" s="48" t="inlineStr">
        <is>
          <t>passeggeri/anno</t>
        </is>
      </c>
      <c r="Q1556" s="57">
        <f>IF($A1556="","",$A1556&amp;"|"&amp;$C1556)</f>
        <v/>
      </c>
      <c r="R1556" s="57">
        <f>IF($A1556="","",$A1556&amp;"|"&amp;$C1556&amp;"|"&amp;$D1556)</f>
        <v/>
      </c>
      <c r="S1556" s="57">
        <f>IF($A1556="","",IFERROR(INDEX(Offerte!$D$2:$D$81,MATCH($Q1556,Offerte!$L$2:$L$81,0)),0))</f>
        <v/>
      </c>
      <c r="T1556" s="57">
        <f>IF($A1556="","",IFERROR(INDEX(Offerte!$G$2:$G$81,MATCH($Q1556,Offerte!$L$2:$L$81,0)),"NO"))</f>
        <v/>
      </c>
    </row>
    <row r="1557">
      <c r="A1557" s="48">
        <f>IF(Offerte!$A52="","",Offerte!$A52)</f>
        <v/>
      </c>
      <c r="B1557" s="48">
        <f>IF(Offerte!$A52="","",Offerte!$B52)</f>
        <v/>
      </c>
      <c r="C1557" s="48">
        <f>IF(Offerte!$A52="","",Offerte!$C52)</f>
        <v/>
      </c>
      <c r="D1557" s="48" t="inlineStr">
        <is>
          <t>B.1.1</t>
        </is>
      </c>
      <c r="E1557" s="48" t="inlineStr">
        <is>
          <t>B</t>
        </is>
      </c>
      <c r="F1557" s="48" t="inlineStr">
        <is>
          <t>Q</t>
        </is>
      </c>
      <c r="G1557" s="48" t="inlineStr">
        <is>
          <t>higher</t>
        </is>
      </c>
      <c r="H1557" s="48" t="n">
        <v>3</v>
      </c>
      <c r="I1557" s="48" t="inlineStr">
        <is>
          <t>Incremento dei posti offerti nelle fasce di punta</t>
        </is>
      </c>
      <c r="J1557" s="73" t="n"/>
      <c r="K1557" s="73" t="n"/>
      <c r="L1557" s="73" t="n"/>
      <c r="M1557" s="73" t="n"/>
      <c r="N1557" s="57">
        <f>IF($A1557="","",IFERROR(VALUE($J1557),0))</f>
        <v/>
      </c>
      <c r="O1557" s="57">
        <f>IF($A1557="",0,IF(OR($S1557&lt;&gt;1,COUNTA($J1557:$M1557)=0),0,IF(SUMPRODUCT(MAX(($C$5:$C$2484=$C1557)*($D$5:$D$2484=$D1557)*($S$5:$S$2484=1)*IFERROR($N$5:$N$2484*1,0)))&gt;0,ROUND($H1557*($N1557/SUMPRODUCT(MAX(($C$5:$C$2484=$C1557)*($D$5:$D$2484=$D1557)*($S$5:$S$2484=1)*IFERROR($N$5:$N$2484*1,0)))),4),0)))</f>
        <v/>
      </c>
      <c r="P1557" s="48" t="inlineStr">
        <is>
          <t>posti*km</t>
        </is>
      </c>
      <c r="Q1557" s="57">
        <f>IF($A1557="","",$A1557&amp;"|"&amp;$C1557)</f>
        <v/>
      </c>
      <c r="R1557" s="57">
        <f>IF($A1557="","",$A1557&amp;"|"&amp;$C1557&amp;"|"&amp;$D1557)</f>
        <v/>
      </c>
      <c r="S1557" s="57">
        <f>IF($A1557="","",IFERROR(INDEX(Offerte!$D$2:$D$81,MATCH($Q1557,Offerte!$L$2:$L$81,0)),0))</f>
        <v/>
      </c>
      <c r="T1557" s="57">
        <f>IF($A1557="","",IFERROR(INDEX(Offerte!$G$2:$G$81,MATCH($Q1557,Offerte!$L$2:$L$81,0)),"NO"))</f>
        <v/>
      </c>
    </row>
    <row r="1558">
      <c r="A1558" s="48">
        <f>IF(Offerte!$A52="","",Offerte!$A52)</f>
        <v/>
      </c>
      <c r="B1558" s="48">
        <f>IF(Offerte!$A52="","",Offerte!$B52)</f>
        <v/>
      </c>
      <c r="C1558" s="48">
        <f>IF(Offerte!$A52="","",Offerte!$C52)</f>
        <v/>
      </c>
      <c r="D1558" s="48" t="inlineStr">
        <is>
          <t>B.2.1</t>
        </is>
      </c>
      <c r="E1558" s="48" t="inlineStr">
        <is>
          <t>B</t>
        </is>
      </c>
      <c r="F1558" s="48" t="inlineStr">
        <is>
          <t>Q</t>
        </is>
      </c>
      <c r="G1558" s="48" t="inlineStr">
        <is>
          <t>higher</t>
        </is>
      </c>
      <c r="H1558" s="48" t="n">
        <v>4</v>
      </c>
      <c r="I1558" s="48" t="inlineStr">
        <is>
          <t>Corse aggiuntive nell'arco giornaliero base</t>
        </is>
      </c>
      <c r="J1558" s="73" t="n"/>
      <c r="K1558" s="73" t="n"/>
      <c r="L1558" s="73" t="n"/>
      <c r="M1558" s="73" t="n"/>
      <c r="N1558" s="57">
        <f>IF($A1558="","",IFERROR(VALUE($J1558),0))</f>
        <v/>
      </c>
      <c r="O1558" s="57">
        <f>IF($A1558="",0,IF(OR($S1558&lt;&gt;1,COUNTA($J1558:$M1558)=0),0,IF(SUMPRODUCT(MAX(($C$5:$C$2484=$C1558)*($D$5:$D$2484=$D1558)*($S$5:$S$2484=1)*IFERROR($N$5:$N$2484*1,0)))&gt;0,ROUND($H1558*($N1558/SUMPRODUCT(MAX(($C$5:$C$2484=$C1558)*($D$5:$D$2484=$D1558)*($S$5:$S$2484=1)*IFERROR($N$5:$N$2484*1,0)))),4),0)))</f>
        <v/>
      </c>
      <c r="P1558" s="48" t="inlineStr">
        <is>
          <t>corse</t>
        </is>
      </c>
      <c r="Q1558" s="57">
        <f>IF($A1558="","",$A1558&amp;"|"&amp;$C1558)</f>
        <v/>
      </c>
      <c r="R1558" s="57">
        <f>IF($A1558="","",$A1558&amp;"|"&amp;$C1558&amp;"|"&amp;$D1558)</f>
        <v/>
      </c>
      <c r="S1558" s="57">
        <f>IF($A1558="","",IFERROR(INDEX(Offerte!$D$2:$D$81,MATCH($Q1558,Offerte!$L$2:$L$81,0)),0))</f>
        <v/>
      </c>
      <c r="T1558" s="57">
        <f>IF($A1558="","",IFERROR(INDEX(Offerte!$G$2:$G$81,MATCH($Q1558,Offerte!$L$2:$L$81,0)),"NO"))</f>
        <v/>
      </c>
    </row>
    <row r="1559">
      <c r="A1559" s="48">
        <f>IF(Offerte!$A52="","",Offerte!$A52)</f>
        <v/>
      </c>
      <c r="B1559" s="48">
        <f>IF(Offerte!$A52="","",Offerte!$B52)</f>
        <v/>
      </c>
      <c r="C1559" s="48">
        <f>IF(Offerte!$A52="","",Offerte!$C52)</f>
        <v/>
      </c>
      <c r="D1559" s="48" t="inlineStr">
        <is>
          <t>B.3.1</t>
        </is>
      </c>
      <c r="E1559" s="48" t="inlineStr">
        <is>
          <t>B</t>
        </is>
      </c>
      <c r="F1559" s="48" t="inlineStr">
        <is>
          <t>Q</t>
        </is>
      </c>
      <c r="G1559" s="48" t="inlineStr">
        <is>
          <t>higher</t>
        </is>
      </c>
      <c r="H1559" s="48" t="n">
        <v>2</v>
      </c>
      <c r="I1559" s="48" t="inlineStr">
        <is>
          <t>Numero di corse aggiuntive per allungamento dell'arco di servizio giornaliero nelle fasce serali</t>
        </is>
      </c>
      <c r="J1559" s="73" t="n"/>
      <c r="K1559" s="73" t="n"/>
      <c r="L1559" s="73" t="n"/>
      <c r="M1559" s="73" t="n"/>
      <c r="N1559" s="57">
        <f>IF($A1559="","",IFERROR(VALUE($J1559),0))</f>
        <v/>
      </c>
      <c r="O1559" s="57">
        <f>IF($A1559="",0,IF(OR($S1559&lt;&gt;1,COUNTA($J1559:$M1559)=0),0,IF(SUMPRODUCT(MAX(($C$5:$C$2484=$C1559)*($D$5:$D$2484=$D1559)*($S$5:$S$2484=1)*IFERROR($N$5:$N$2484*1,0)))&gt;0,ROUND($H1559*($N1559/SUMPRODUCT(MAX(($C$5:$C$2484=$C1559)*($D$5:$D$2484=$D1559)*($S$5:$S$2484=1)*IFERROR($N$5:$N$2484*1,0)))),4),0)))</f>
        <v/>
      </c>
      <c r="P1559" s="48" t="inlineStr">
        <is>
          <t>corse</t>
        </is>
      </c>
      <c r="Q1559" s="57">
        <f>IF($A1559="","",$A1559&amp;"|"&amp;$C1559)</f>
        <v/>
      </c>
      <c r="R1559" s="57">
        <f>IF($A1559="","",$A1559&amp;"|"&amp;$C1559&amp;"|"&amp;$D1559)</f>
        <v/>
      </c>
      <c r="S1559" s="57">
        <f>IF($A1559="","",IFERROR(INDEX(Offerte!$D$2:$D$81,MATCH($Q1559,Offerte!$L$2:$L$81,0)),0))</f>
        <v/>
      </c>
      <c r="T1559" s="57">
        <f>IF($A1559="","",IFERROR(INDEX(Offerte!$G$2:$G$81,MATCH($Q1559,Offerte!$L$2:$L$81,0)),"NO"))</f>
        <v/>
      </c>
    </row>
    <row r="1560">
      <c r="A1560" s="48">
        <f>IF(Offerte!$A52="","",Offerte!$A52)</f>
        <v/>
      </c>
      <c r="B1560" s="48">
        <f>IF(Offerte!$A52="","",Offerte!$B52)</f>
        <v/>
      </c>
      <c r="C1560" s="48">
        <f>IF(Offerte!$A52="","",Offerte!$C52)</f>
        <v/>
      </c>
      <c r="D1560" s="48" t="inlineStr">
        <is>
          <t>B.4.1</t>
        </is>
      </c>
      <c r="E1560" s="48" t="inlineStr">
        <is>
          <t>B</t>
        </is>
      </c>
      <c r="F1560" s="48" t="inlineStr">
        <is>
          <t>Q</t>
        </is>
      </c>
      <c r="G1560" s="48" t="inlineStr">
        <is>
          <t>higher</t>
        </is>
      </c>
      <c r="H1560" s="48" t="n">
        <v>3</v>
      </c>
      <c r="I1560" s="48" t="inlineStr">
        <is>
          <t>Percorrenze aggiuntive offerte nel Programma d'esercizio delle prime due fasi attuative</t>
        </is>
      </c>
      <c r="J1560" s="73" t="n"/>
      <c r="K1560" s="73" t="n"/>
      <c r="L1560" s="73" t="n"/>
      <c r="M1560" s="73" t="n"/>
      <c r="N1560" s="57">
        <f>IF($A1560="","",IFERROR(VALUE($J1560),0))</f>
        <v/>
      </c>
      <c r="O1560" s="57">
        <f>IF($A1560="",0,IF(OR($S1560&lt;&gt;1,COUNTA($J1560:$M1560)=0),0,IF(SUMPRODUCT(MAX(($C$5:$C$2484=$C1560)*($D$5:$D$2484=$D1560)*($S$5:$S$2484=1)*IFERROR($N$5:$N$2484*1,0)))&gt;0,ROUND($H1560*($N1560/SUMPRODUCT(MAX(($C$5:$C$2484=$C1560)*($D$5:$D$2484=$D1560)*($S$5:$S$2484=1)*IFERROR($N$5:$N$2484*1,0)))),4),0)))</f>
        <v/>
      </c>
      <c r="P1560" s="48" t="inlineStr">
        <is>
          <t>vett*km</t>
        </is>
      </c>
      <c r="Q1560" s="57">
        <f>IF($A1560="","",$A1560&amp;"|"&amp;$C1560)</f>
        <v/>
      </c>
      <c r="R1560" s="57">
        <f>IF($A1560="","",$A1560&amp;"|"&amp;$C1560&amp;"|"&amp;$D1560)</f>
        <v/>
      </c>
      <c r="S1560" s="57">
        <f>IF($A1560="","",IFERROR(INDEX(Offerte!$D$2:$D$81,MATCH($Q1560,Offerte!$L$2:$L$81,0)),0))</f>
        <v/>
      </c>
      <c r="T1560" s="57">
        <f>IF($A1560="","",IFERROR(INDEX(Offerte!$G$2:$G$81,MATCH($Q1560,Offerte!$L$2:$L$81,0)),"NO"))</f>
        <v/>
      </c>
    </row>
    <row r="1561">
      <c r="A1561" s="48">
        <f>IF(Offerte!$A52="","",Offerte!$A52)</f>
        <v/>
      </c>
      <c r="B1561" s="48">
        <f>IF(Offerte!$A52="","",Offerte!$B52)</f>
        <v/>
      </c>
      <c r="C1561" s="48">
        <f>IF(Offerte!$A52="","",Offerte!$C52)</f>
        <v/>
      </c>
      <c r="D1561" s="48" t="inlineStr">
        <is>
          <t>B.5.1</t>
        </is>
      </c>
      <c r="E1561" s="48" t="inlineStr">
        <is>
          <t>B</t>
        </is>
      </c>
      <c r="F1561" s="48" t="inlineStr">
        <is>
          <t>D</t>
        </is>
      </c>
      <c r="G1561" s="48" t="inlineStr">
        <is>
          <t>discretionary</t>
        </is>
      </c>
      <c r="H1561" s="48" t="n">
        <v>2</v>
      </c>
      <c r="I1561" s="48" t="inlineStr">
        <is>
          <t>Efficacia del progetto di servizi complementari DRT</t>
        </is>
      </c>
      <c r="J1561" s="73" t="n"/>
      <c r="K1561" s="73" t="n"/>
      <c r="L1561" s="73" t="n"/>
      <c r="M1561" s="73" t="n"/>
      <c r="N1561" s="57">
        <f>IF($A1561="","",MAX(0,MIN(1,IFERROR(VALUE($M1561),0))))</f>
        <v/>
      </c>
      <c r="O1561" s="57">
        <f>IF($A1561="",0,IF(OR($S1561&lt;&gt;1,COUNTA($J1561:$M1561)=0),0,IF(SUMPRODUCT(MAX(($C$5:$C$2484=$C1561)*($D$5:$D$2484=$D1561)*($S$5:$S$2484=1)*IFERROR($N$5:$N$2484*1,0)))&gt;0,ROUND($H1561*($N1561/SUMPRODUCT(MAX(($C$5:$C$2484=$C1561)*($D$5:$D$2484=$D1561)*($S$5:$S$2484=1)*IFERROR($N$5:$N$2484*1,0)))),4),0)))</f>
        <v/>
      </c>
      <c r="P1561" s="48" t="inlineStr">
        <is>
          <t>coeff.</t>
        </is>
      </c>
      <c r="Q1561" s="57">
        <f>IF($A1561="","",$A1561&amp;"|"&amp;$C1561)</f>
        <v/>
      </c>
      <c r="R1561" s="57">
        <f>IF($A1561="","",$A1561&amp;"|"&amp;$C1561&amp;"|"&amp;$D1561)</f>
        <v/>
      </c>
      <c r="S1561" s="57">
        <f>IF($A1561="","",IFERROR(INDEX(Offerte!$D$2:$D$81,MATCH($Q1561,Offerte!$L$2:$L$81,0)),0))</f>
        <v/>
      </c>
      <c r="T1561" s="57">
        <f>IF($A1561="","",IFERROR(INDEX(Offerte!$G$2:$G$81,MATCH($Q1561,Offerte!$L$2:$L$81,0)),"NO"))</f>
        <v/>
      </c>
    </row>
    <row r="1562">
      <c r="A1562" s="48">
        <f>IF(Offerte!$A52="","",Offerte!$A52)</f>
        <v/>
      </c>
      <c r="B1562" s="48">
        <f>IF(Offerte!$A52="","",Offerte!$B52)</f>
        <v/>
      </c>
      <c r="C1562" s="48">
        <f>IF(Offerte!$A52="","",Offerte!$C52)</f>
        <v/>
      </c>
      <c r="D1562" s="48" t="inlineStr">
        <is>
          <t>C.1.1</t>
        </is>
      </c>
      <c r="E1562" s="48" t="inlineStr">
        <is>
          <t>C</t>
        </is>
      </c>
      <c r="F1562" s="48" t="inlineStr">
        <is>
          <t>Q</t>
        </is>
      </c>
      <c r="G1562" s="48" t="inlineStr">
        <is>
          <t>higher</t>
        </is>
      </c>
      <c r="H1562" s="48" t="n">
        <v>2</v>
      </c>
      <c r="I1562" s="48" t="inlineStr">
        <is>
          <t>Tasso di copertura del servizio con telecamere BSD</t>
        </is>
      </c>
      <c r="J1562" s="73" t="n"/>
      <c r="K1562" s="73" t="n"/>
      <c r="L1562" s="73" t="n"/>
      <c r="M1562" s="73" t="n"/>
      <c r="N1562" s="57">
        <f>IF($A1562="","",IFERROR(VALUE($K1562)/VALUE($L1562),IFERROR(VALUE($J1562),0)))</f>
        <v/>
      </c>
      <c r="O1562" s="57">
        <f>IF($A1562="",0,IF(OR($S1562&lt;&gt;1,COUNTA($J1562:$M1562)=0),0,IF(SUMPRODUCT(MAX(($C$5:$C$2484=$C1562)*($D$5:$D$2484=$D1562)*($S$5:$S$2484=1)*IFERROR($N$5:$N$2484*1,0)))&gt;0,ROUND($H1562*($N1562/SUMPRODUCT(MAX(($C$5:$C$2484=$C1562)*($D$5:$D$2484=$D1562)*($S$5:$S$2484=1)*IFERROR($N$5:$N$2484*1,0)))),4),0)))</f>
        <v/>
      </c>
      <c r="P1562" s="48" t="inlineStr">
        <is>
          <t>Autobus attrezzati con telecamere BSD / Autobus totali in offerta, incluse scorte</t>
        </is>
      </c>
      <c r="Q1562" s="57">
        <f>IF($A1562="","",$A1562&amp;"|"&amp;$C1562)</f>
        <v/>
      </c>
      <c r="R1562" s="57">
        <f>IF($A1562="","",$A1562&amp;"|"&amp;$C1562&amp;"|"&amp;$D1562)</f>
        <v/>
      </c>
      <c r="S1562" s="57">
        <f>IF($A1562="","",IFERROR(INDEX(Offerte!$D$2:$D$81,MATCH($Q1562,Offerte!$L$2:$L$81,0)),0))</f>
        <v/>
      </c>
      <c r="T1562" s="57">
        <f>IF($A1562="","",IFERROR(INDEX(Offerte!$G$2:$G$81,MATCH($Q1562,Offerte!$L$2:$L$81,0)),"NO"))</f>
        <v/>
      </c>
    </row>
    <row r="1563">
      <c r="A1563" s="48">
        <f>IF(Offerte!$A52="","",Offerte!$A52)</f>
        <v/>
      </c>
      <c r="B1563" s="48">
        <f>IF(Offerte!$A52="","",Offerte!$B52)</f>
        <v/>
      </c>
      <c r="C1563" s="48">
        <f>IF(Offerte!$A52="","",Offerte!$C52)</f>
        <v/>
      </c>
      <c r="D1563" s="48" t="inlineStr">
        <is>
          <t>C.1.2</t>
        </is>
      </c>
      <c r="E1563" s="48" t="inlineStr">
        <is>
          <t>C</t>
        </is>
      </c>
      <c r="F1563" s="48" t="inlineStr">
        <is>
          <t>Q</t>
        </is>
      </c>
      <c r="G1563" s="48" t="inlineStr">
        <is>
          <t>higher</t>
        </is>
      </c>
      <c r="H1563" s="48" t="n">
        <v>2</v>
      </c>
      <c r="I1563" s="48" t="inlineStr">
        <is>
          <t>Tasso di copertura del servizio con telecamere ADAS</t>
        </is>
      </c>
      <c r="J1563" s="73" t="n"/>
      <c r="K1563" s="73" t="n"/>
      <c r="L1563" s="73" t="n"/>
      <c r="M1563" s="73" t="n"/>
      <c r="N1563" s="57">
        <f>IF($A1563="","",IFERROR(VALUE($K1563)/VALUE($L1563),IFERROR(VALUE($J1563),0)))</f>
        <v/>
      </c>
      <c r="O1563" s="57">
        <f>IF($A1563="",0,IF(OR($S1563&lt;&gt;1,COUNTA($J1563:$M1563)=0),0,IF(SUMPRODUCT(MAX(($C$5:$C$2484=$C1563)*($D$5:$D$2484=$D1563)*($S$5:$S$2484=1)*IFERROR($N$5:$N$2484*1,0)))&gt;0,ROUND($H1563*($N1563/SUMPRODUCT(MAX(($C$5:$C$2484=$C1563)*($D$5:$D$2484=$D1563)*($S$5:$S$2484=1)*IFERROR($N$5:$N$2484*1,0)))),4),0)))</f>
        <v/>
      </c>
      <c r="P1563" s="48" t="inlineStr">
        <is>
          <t>Autobus attrezzati con telecamere ADAS / Autobus totali in offerta, incluse scorte</t>
        </is>
      </c>
      <c r="Q1563" s="57">
        <f>IF($A1563="","",$A1563&amp;"|"&amp;$C1563)</f>
        <v/>
      </c>
      <c r="R1563" s="57">
        <f>IF($A1563="","",$A1563&amp;"|"&amp;$C1563&amp;"|"&amp;$D1563)</f>
        <v/>
      </c>
      <c r="S1563" s="57">
        <f>IF($A1563="","",IFERROR(INDEX(Offerte!$D$2:$D$81,MATCH($Q1563,Offerte!$L$2:$L$81,0)),0))</f>
        <v/>
      </c>
      <c r="T1563" s="57">
        <f>IF($A1563="","",IFERROR(INDEX(Offerte!$G$2:$G$81,MATCH($Q1563,Offerte!$L$2:$L$81,0)),"NO"))</f>
        <v/>
      </c>
    </row>
    <row r="1564">
      <c r="A1564" s="48">
        <f>IF(Offerte!$A52="","",Offerte!$A52)</f>
        <v/>
      </c>
      <c r="B1564" s="48">
        <f>IF(Offerte!$A52="","",Offerte!$B52)</f>
        <v/>
      </c>
      <c r="C1564" s="48">
        <f>IF(Offerte!$A52="","",Offerte!$C52)</f>
        <v/>
      </c>
      <c r="D1564" s="48" t="inlineStr">
        <is>
          <t>C.2.1</t>
        </is>
      </c>
      <c r="E1564" s="48" t="inlineStr">
        <is>
          <t>C</t>
        </is>
      </c>
      <c r="F1564" s="48" t="inlineStr">
        <is>
          <t>Q</t>
        </is>
      </c>
      <c r="G1564" s="48" t="inlineStr">
        <is>
          <t>higher</t>
        </is>
      </c>
      <c r="H1564" s="48" t="n">
        <v>3</v>
      </c>
      <c r="I1564" s="48" t="inlineStr">
        <is>
          <t>Tasso di copertura del servizio con telecamere di bordo di videosorveglianza</t>
        </is>
      </c>
      <c r="J1564" s="73" t="n"/>
      <c r="K1564" s="73" t="n"/>
      <c r="L1564" s="73" t="n"/>
      <c r="M1564" s="73" t="n"/>
      <c r="N1564" s="57">
        <f>IF($A1564="","",IFERROR(VALUE($K1564)/VALUE($L1564),IFERROR(VALUE($J1564),0)))</f>
        <v/>
      </c>
      <c r="O1564" s="57">
        <f>IF($A1564="",0,IF(OR($S1564&lt;&gt;1,COUNTA($J1564:$M1564)=0),0,IF(SUMPRODUCT(MAX(($C$5:$C$2484=$C1564)*($D$5:$D$2484=$D1564)*($S$5:$S$2484=1)*IFERROR($N$5:$N$2484*1,0)))&gt;0,ROUND($H1564*($N1564/SUMPRODUCT(MAX(($C$5:$C$2484=$C1564)*($D$5:$D$2484=$D1564)*($S$5:$S$2484=1)*IFERROR($N$5:$N$2484*1,0)))),4),0)))</f>
        <v/>
      </c>
      <c r="P1564" s="48" t="inlineStr">
        <is>
          <t>Autobus attrezzati con videosorveglianza / Autobus totali in offerta, incluse scorte</t>
        </is>
      </c>
      <c r="Q1564" s="57">
        <f>IF($A1564="","",$A1564&amp;"|"&amp;$C1564)</f>
        <v/>
      </c>
      <c r="R1564" s="57">
        <f>IF($A1564="","",$A1564&amp;"|"&amp;$C1564&amp;"|"&amp;$D1564)</f>
        <v/>
      </c>
      <c r="S1564" s="57">
        <f>IF($A1564="","",IFERROR(INDEX(Offerte!$D$2:$D$81,MATCH($Q1564,Offerte!$L$2:$L$81,0)),0))</f>
        <v/>
      </c>
      <c r="T1564" s="57">
        <f>IF($A1564="","",IFERROR(INDEX(Offerte!$G$2:$G$81,MATCH($Q1564,Offerte!$L$2:$L$81,0)),"NO"))</f>
        <v/>
      </c>
    </row>
    <row r="1565">
      <c r="A1565" s="48">
        <f>IF(Offerte!$A52="","",Offerte!$A52)</f>
        <v/>
      </c>
      <c r="B1565" s="48">
        <f>IF(Offerte!$A52="","",Offerte!$B52)</f>
        <v/>
      </c>
      <c r="C1565" s="48">
        <f>IF(Offerte!$A52="","",Offerte!$C52)</f>
        <v/>
      </c>
      <c r="D1565" s="48" t="inlineStr">
        <is>
          <t>C.2.2</t>
        </is>
      </c>
      <c r="E1565" s="48" t="inlineStr">
        <is>
          <t>C</t>
        </is>
      </c>
      <c r="F1565" s="48" t="inlineStr">
        <is>
          <t>T</t>
        </is>
      </c>
      <c r="G1565" s="48" t="inlineStr">
        <is>
          <t>tabular</t>
        </is>
      </c>
      <c r="H1565" s="48" t="n">
        <v>1</v>
      </c>
      <c r="I1565" s="48" t="inlineStr">
        <is>
          <t>Software video/audio analisi per situazioni di pericolo</t>
        </is>
      </c>
      <c r="J1565" s="73" t="n"/>
      <c r="K1565" s="73" t="n"/>
      <c r="L1565" s="73" t="n"/>
      <c r="M1565" s="73" t="n"/>
      <c r="N1565" s="57">
        <f>IF($A1565="","",IF(IFERROR(VALUE($M1565),0)=1,1,0))</f>
        <v/>
      </c>
      <c r="O1565" s="57">
        <f>IF($A1565="",0,IF(OR($S1565&lt;&gt;1,COUNTA($J1565:$M1565)=0),0,IF($N1565=1,$H1565,0)))</f>
        <v/>
      </c>
      <c r="P1565" s="48" t="inlineStr">
        <is>
          <t>sì/no</t>
        </is>
      </c>
      <c r="Q1565" s="57">
        <f>IF($A1565="","",$A1565&amp;"|"&amp;$C1565)</f>
        <v/>
      </c>
      <c r="R1565" s="57">
        <f>IF($A1565="","",$A1565&amp;"|"&amp;$C1565&amp;"|"&amp;$D1565)</f>
        <v/>
      </c>
      <c r="S1565" s="57">
        <f>IF($A1565="","",IFERROR(INDEX(Offerte!$D$2:$D$81,MATCH($Q1565,Offerte!$L$2:$L$81,0)),0))</f>
        <v/>
      </c>
      <c r="T1565" s="57">
        <f>IF($A1565="","",IFERROR(INDEX(Offerte!$G$2:$G$81,MATCH($Q1565,Offerte!$L$2:$L$81,0)),"NO"))</f>
        <v/>
      </c>
    </row>
    <row r="1566">
      <c r="A1566" s="48">
        <f>IF(Offerte!$A52="","",Offerte!$A52)</f>
        <v/>
      </c>
      <c r="B1566" s="48">
        <f>IF(Offerte!$A52="","",Offerte!$B52)</f>
        <v/>
      </c>
      <c r="C1566" s="48">
        <f>IF(Offerte!$A52="","",Offerte!$C52)</f>
        <v/>
      </c>
      <c r="D1566" s="48" t="inlineStr">
        <is>
          <t>C.2.3</t>
        </is>
      </c>
      <c r="E1566" s="48" t="inlineStr">
        <is>
          <t>C</t>
        </is>
      </c>
      <c r="F1566" s="48" t="inlineStr">
        <is>
          <t>T</t>
        </is>
      </c>
      <c r="G1566" s="48" t="inlineStr">
        <is>
          <t>tabular</t>
        </is>
      </c>
      <c r="H1566" s="48" t="n">
        <v>1</v>
      </c>
      <c r="I1566" s="48" t="inlineStr">
        <is>
          <t>Collegamento con centrale qualificata di pronto intervento</t>
        </is>
      </c>
      <c r="J1566" s="73" t="n"/>
      <c r="K1566" s="73" t="n"/>
      <c r="L1566" s="73" t="n"/>
      <c r="M1566" s="73" t="n"/>
      <c r="N1566" s="57">
        <f>IF($A1566="","",IF(IFERROR(VALUE($M1566),0)=1,1,0))</f>
        <v/>
      </c>
      <c r="O1566" s="57">
        <f>IF($A1566="",0,IF(OR($S1566&lt;&gt;1,COUNTA($J1566:$M1566)=0),0,IF($N1566=1,$H1566,0)))</f>
        <v/>
      </c>
      <c r="P1566" s="48" t="inlineStr">
        <is>
          <t>sì/no</t>
        </is>
      </c>
      <c r="Q1566" s="57">
        <f>IF($A1566="","",$A1566&amp;"|"&amp;$C1566)</f>
        <v/>
      </c>
      <c r="R1566" s="57">
        <f>IF($A1566="","",$A1566&amp;"|"&amp;$C1566&amp;"|"&amp;$D1566)</f>
        <v/>
      </c>
      <c r="S1566" s="57">
        <f>IF($A1566="","",IFERROR(INDEX(Offerte!$D$2:$D$81,MATCH($Q1566,Offerte!$L$2:$L$81,0)),0))</f>
        <v/>
      </c>
      <c r="T1566" s="57">
        <f>IF($A1566="","",IFERROR(INDEX(Offerte!$G$2:$G$81,MATCH($Q1566,Offerte!$L$2:$L$81,0)),"NO"))</f>
        <v/>
      </c>
    </row>
    <row r="1567">
      <c r="A1567" s="48">
        <f>IF(Offerte!$A52="","",Offerte!$A52)</f>
        <v/>
      </c>
      <c r="B1567" s="48">
        <f>IF(Offerte!$A52="","",Offerte!$B52)</f>
        <v/>
      </c>
      <c r="C1567" s="48">
        <f>IF(Offerte!$A52="","",Offerte!$C52)</f>
        <v/>
      </c>
      <c r="D1567" s="48" t="inlineStr">
        <is>
          <t>C.2.4</t>
        </is>
      </c>
      <c r="E1567" s="48" t="inlineStr">
        <is>
          <t>C</t>
        </is>
      </c>
      <c r="F1567" s="48" t="inlineStr">
        <is>
          <t>Q</t>
        </is>
      </c>
      <c r="G1567" s="48" t="inlineStr">
        <is>
          <t>higher</t>
        </is>
      </c>
      <c r="H1567" s="48" t="n">
        <v>1</v>
      </c>
      <c r="I1567" s="48" t="inlineStr">
        <is>
          <t>Tasso di copertura del servizio con dispositivi per la chiamata di emergenza del conducente</t>
        </is>
      </c>
      <c r="J1567" s="73" t="n"/>
      <c r="K1567" s="73" t="n"/>
      <c r="L1567" s="73" t="n"/>
      <c r="M1567" s="73" t="n"/>
      <c r="N1567" s="57">
        <f>IF($A1567="","",IFERROR(VALUE($K1567)/VALUE($L1567),IFERROR(VALUE($J1567),0)))</f>
        <v/>
      </c>
      <c r="O1567" s="57">
        <f>IF($A1567="",0,IF(OR($S1567&lt;&gt;1,COUNTA($J1567:$M1567)=0),0,IF(SUMPRODUCT(MAX(($C$5:$C$2484=$C1567)*($D$5:$D$2484=$D1567)*($S$5:$S$2484=1)*IFERROR($N$5:$N$2484*1,0)))&gt;0,ROUND($H1567*($N1567/SUMPRODUCT(MAX(($C$5:$C$2484=$C1567)*($D$5:$D$2484=$D1567)*($S$5:$S$2484=1)*IFERROR($N$5:$N$2484*1,0)))),4),0)))</f>
        <v/>
      </c>
      <c r="P1567" s="48" t="inlineStr">
        <is>
          <t>Autobus attrezzati con chiamata di emergenza / Autobus totali in offerta, incluse scorte</t>
        </is>
      </c>
      <c r="Q1567" s="57">
        <f>IF($A1567="","",$A1567&amp;"|"&amp;$C1567)</f>
        <v/>
      </c>
      <c r="R1567" s="57">
        <f>IF($A1567="","",$A1567&amp;"|"&amp;$C1567&amp;"|"&amp;$D1567)</f>
        <v/>
      </c>
      <c r="S1567" s="57">
        <f>IF($A1567="","",IFERROR(INDEX(Offerte!$D$2:$D$81,MATCH($Q1567,Offerte!$L$2:$L$81,0)),0))</f>
        <v/>
      </c>
      <c r="T1567" s="57">
        <f>IF($A1567="","",IFERROR(INDEX(Offerte!$G$2:$G$81,MATCH($Q1567,Offerte!$L$2:$L$81,0)),"NO"))</f>
        <v/>
      </c>
    </row>
    <row r="1568">
      <c r="A1568" s="48">
        <f>IF(Offerte!$A52="","",Offerte!$A52)</f>
        <v/>
      </c>
      <c r="B1568" s="48">
        <f>IF(Offerte!$A52="","",Offerte!$B52)</f>
        <v/>
      </c>
      <c r="C1568" s="48">
        <f>IF(Offerte!$A52="","",Offerte!$C52)</f>
        <v/>
      </c>
      <c r="D1568" s="48" t="inlineStr">
        <is>
          <t>C.3.1</t>
        </is>
      </c>
      <c r="E1568" s="48" t="inlineStr">
        <is>
          <t>C</t>
        </is>
      </c>
      <c r="F1568" s="48" t="inlineStr">
        <is>
          <t>Q</t>
        </is>
      </c>
      <c r="G1568" s="48" t="inlineStr">
        <is>
          <t>higher</t>
        </is>
      </c>
      <c r="H1568" s="48" t="n">
        <v>2</v>
      </c>
      <c r="I1568" s="48" t="inlineStr">
        <is>
          <t>Tasso di copertura del servizio con dispositivi di informazione dinamica a bordo mezzo</t>
        </is>
      </c>
      <c r="J1568" s="73" t="n"/>
      <c r="K1568" s="73" t="n"/>
      <c r="L1568" s="73" t="n"/>
      <c r="M1568" s="73" t="n"/>
      <c r="N1568" s="57">
        <f>IF($A1568="","",IFERROR(VALUE($K1568)/VALUE($L1568),IFERROR(VALUE($J1568),0)))</f>
        <v/>
      </c>
      <c r="O1568" s="57">
        <f>IF($A1568="",0,IF(OR($S1568&lt;&gt;1,COUNTA($J1568:$M1568)=0),0,IF(SUMPRODUCT(MAX(($C$5:$C$2484=$C1568)*($D$5:$D$2484=$D1568)*($S$5:$S$2484=1)*IFERROR($N$5:$N$2484*1,0)))&gt;0,ROUND($H1568*($N1568/SUMPRODUCT(MAX(($C$5:$C$2484=$C1568)*($D$5:$D$2484=$D1568)*($S$5:$S$2484=1)*IFERROR($N$5:$N$2484*1,0)))),4),0)))</f>
        <v/>
      </c>
      <c r="P1568" s="48" t="inlineStr">
        <is>
          <t>Autobus con monitor e indicatori vocali / Autobus totali in offerta, incluse scorte</t>
        </is>
      </c>
      <c r="Q1568" s="57">
        <f>IF($A1568="","",$A1568&amp;"|"&amp;$C1568)</f>
        <v/>
      </c>
      <c r="R1568" s="57">
        <f>IF($A1568="","",$A1568&amp;"|"&amp;$C1568&amp;"|"&amp;$D1568)</f>
        <v/>
      </c>
      <c r="S1568" s="57">
        <f>IF($A1568="","",IFERROR(INDEX(Offerte!$D$2:$D$81,MATCH($Q1568,Offerte!$L$2:$L$81,0)),0))</f>
        <v/>
      </c>
      <c r="T1568" s="57">
        <f>IF($A1568="","",IFERROR(INDEX(Offerte!$G$2:$G$81,MATCH($Q1568,Offerte!$L$2:$L$81,0)),"NO"))</f>
        <v/>
      </c>
    </row>
    <row r="1569">
      <c r="A1569" s="48">
        <f>IF(Offerte!$A52="","",Offerte!$A52)</f>
        <v/>
      </c>
      <c r="B1569" s="48">
        <f>IF(Offerte!$A52="","",Offerte!$B52)</f>
        <v/>
      </c>
      <c r="C1569" s="48">
        <f>IF(Offerte!$A52="","",Offerte!$C52)</f>
        <v/>
      </c>
      <c r="D1569" s="48" t="inlineStr">
        <is>
          <t>C.3.2</t>
        </is>
      </c>
      <c r="E1569" s="48" t="inlineStr">
        <is>
          <t>C</t>
        </is>
      </c>
      <c r="F1569" s="48" t="inlineStr">
        <is>
          <t>T</t>
        </is>
      </c>
      <c r="G1569" s="48" t="inlineStr">
        <is>
          <t>tabular</t>
        </is>
      </c>
      <c r="H1569" s="48" t="n">
        <v>2</v>
      </c>
      <c r="I1569" s="48" t="inlineStr">
        <is>
          <t>Informazioni a bordo su coincidenze ai nodi</t>
        </is>
      </c>
      <c r="J1569" s="73" t="n"/>
      <c r="K1569" s="73" t="n"/>
      <c r="L1569" s="73" t="n"/>
      <c r="M1569" s="73" t="n"/>
      <c r="N1569" s="57">
        <f>IF($A1569="","",IF(IFERROR(VALUE($M1569),0)=1,1,0))</f>
        <v/>
      </c>
      <c r="O1569" s="57">
        <f>IF($A1569="",0,IF(OR($S1569&lt;&gt;1,COUNTA($J1569:$M1569)=0),0,IF(AND($N1569=1,IFERROR(SUMIFS($N$5:$N$2484,$Q$5:$Q$2484,$Q1569,$D$5:$D$2484,"C.3.1"),0)&gt;=0.5),$H1569,0)))</f>
        <v/>
      </c>
      <c r="P1569" s="48" t="inlineStr">
        <is>
          <t>Dipende da C.3.1 &gt;= 0.5</t>
        </is>
      </c>
      <c r="Q1569" s="57">
        <f>IF($A1569="","",$A1569&amp;"|"&amp;$C1569)</f>
        <v/>
      </c>
      <c r="R1569" s="57">
        <f>IF($A1569="","",$A1569&amp;"|"&amp;$C1569&amp;"|"&amp;$D1569)</f>
        <v/>
      </c>
      <c r="S1569" s="57">
        <f>IF($A1569="","",IFERROR(INDEX(Offerte!$D$2:$D$81,MATCH($Q1569,Offerte!$L$2:$L$81,0)),0))</f>
        <v/>
      </c>
      <c r="T1569" s="57">
        <f>IF($A1569="","",IFERROR(INDEX(Offerte!$G$2:$G$81,MATCH($Q1569,Offerte!$L$2:$L$81,0)),"NO"))</f>
        <v/>
      </c>
    </row>
    <row r="1570">
      <c r="A1570" s="48">
        <f>IF(Offerte!$A52="","",Offerte!$A52)</f>
        <v/>
      </c>
      <c r="B1570" s="48">
        <f>IF(Offerte!$A52="","",Offerte!$B52)</f>
        <v/>
      </c>
      <c r="C1570" s="48">
        <f>IF(Offerte!$A52="","",Offerte!$C52)</f>
        <v/>
      </c>
      <c r="D1570" s="48" t="inlineStr">
        <is>
          <t>D.1.1</t>
        </is>
      </c>
      <c r="E1570" s="48" t="inlineStr">
        <is>
          <t>D</t>
        </is>
      </c>
      <c r="F1570" s="48" t="inlineStr">
        <is>
          <t>Q</t>
        </is>
      </c>
      <c r="G1570" s="48" t="inlineStr">
        <is>
          <t>higher</t>
        </is>
      </c>
      <c r="H1570" s="48" t="n">
        <v>3</v>
      </c>
      <c r="I1570" s="48" t="inlineStr">
        <is>
          <t>Installazione di pensiline</t>
        </is>
      </c>
      <c r="J1570" s="73" t="n"/>
      <c r="K1570" s="73" t="n"/>
      <c r="L1570" s="73" t="n"/>
      <c r="M1570" s="73" t="n"/>
      <c r="N1570" s="57">
        <f>IF($A1570="","",IFERROR(VALUE($J1570),0))</f>
        <v/>
      </c>
      <c r="O1570" s="57">
        <f>IF($A1570="",0,IF(OR($S1570&lt;&gt;1,COUNTA($J1570:$M1570)=0),0,IF(SUMPRODUCT(MAX(($C$5:$C$2484=$C1570)*($D$5:$D$2484=$D1570)*($S$5:$S$2484=1)*IFERROR($N$5:$N$2484*1,0)))&gt;0,ROUND($H1570*($N1570/SUMPRODUCT(MAX(($C$5:$C$2484=$C1570)*($D$5:$D$2484=$D1570)*($S$5:$S$2484=1)*IFERROR($N$5:$N$2484*1,0)))),4),0)))</f>
        <v/>
      </c>
      <c r="P1570" s="48" t="inlineStr">
        <is>
          <t>fermate</t>
        </is>
      </c>
      <c r="Q1570" s="57">
        <f>IF($A1570="","",$A1570&amp;"|"&amp;$C1570)</f>
        <v/>
      </c>
      <c r="R1570" s="57">
        <f>IF($A1570="","",$A1570&amp;"|"&amp;$C1570&amp;"|"&amp;$D1570)</f>
        <v/>
      </c>
      <c r="S1570" s="57">
        <f>IF($A1570="","",IFERROR(INDEX(Offerte!$D$2:$D$81,MATCH($Q1570,Offerte!$L$2:$L$81,0)),0))</f>
        <v/>
      </c>
      <c r="T1570" s="57">
        <f>IF($A1570="","",IFERROR(INDEX(Offerte!$G$2:$G$81,MATCH($Q1570,Offerte!$L$2:$L$81,0)),"NO"))</f>
        <v/>
      </c>
    </row>
    <row r="1571">
      <c r="A1571" s="48">
        <f>IF(Offerte!$A52="","",Offerte!$A52)</f>
        <v/>
      </c>
      <c r="B1571" s="48">
        <f>IF(Offerte!$A52="","",Offerte!$B52)</f>
        <v/>
      </c>
      <c r="C1571" s="48">
        <f>IF(Offerte!$A52="","",Offerte!$C52)</f>
        <v/>
      </c>
      <c r="D1571" s="48" t="inlineStr">
        <is>
          <t>D.1.2</t>
        </is>
      </c>
      <c r="E1571" s="48" t="inlineStr">
        <is>
          <t>D</t>
        </is>
      </c>
      <c r="F1571" s="48" t="inlineStr">
        <is>
          <t>Q</t>
        </is>
      </c>
      <c r="G1571" s="48" t="inlineStr">
        <is>
          <t>higher</t>
        </is>
      </c>
      <c r="H1571" s="48" t="n">
        <v>3</v>
      </c>
      <c r="I1571" s="48" t="inlineStr">
        <is>
          <t>Installazione di paline di fermata conformi alla DGR 581/2023</t>
        </is>
      </c>
      <c r="J1571" s="73" t="n"/>
      <c r="K1571" s="73" t="n"/>
      <c r="L1571" s="73" t="n"/>
      <c r="M1571" s="73" t="n"/>
      <c r="N1571" s="57">
        <f>IF($A1571="","",IFERROR(VALUE($J1571),0))</f>
        <v/>
      </c>
      <c r="O1571" s="57">
        <f>IF($A1571="",0,IF(OR($S1571&lt;&gt;1,COUNTA($J1571:$M1571)=0),0,IF(SUMPRODUCT(MAX(($C$5:$C$2484=$C1571)*($D$5:$D$2484=$D1571)*($S$5:$S$2484=1)*IFERROR($N$5:$N$2484*1,0)))&gt;0,ROUND($H1571*($N1571/SUMPRODUCT(MAX(($C$5:$C$2484=$C1571)*($D$5:$D$2484=$D1571)*($S$5:$S$2484=1)*IFERROR($N$5:$N$2484*1,0)))),4),0)))</f>
        <v/>
      </c>
      <c r="P1571" s="48" t="inlineStr">
        <is>
          <t>fermate</t>
        </is>
      </c>
      <c r="Q1571" s="57">
        <f>IF($A1571="","",$A1571&amp;"|"&amp;$C1571)</f>
        <v/>
      </c>
      <c r="R1571" s="57">
        <f>IF($A1571="","",$A1571&amp;"|"&amp;$C1571&amp;"|"&amp;$D1571)</f>
        <v/>
      </c>
      <c r="S1571" s="57">
        <f>IF($A1571="","",IFERROR(INDEX(Offerte!$D$2:$D$81,MATCH($Q1571,Offerte!$L$2:$L$81,0)),0))</f>
        <v/>
      </c>
      <c r="T1571" s="57">
        <f>IF($A1571="","",IFERROR(INDEX(Offerte!$G$2:$G$81,MATCH($Q1571,Offerte!$L$2:$L$81,0)),"NO"))</f>
        <v/>
      </c>
    </row>
    <row r="1572">
      <c r="A1572" s="48">
        <f>IF(Offerte!$A52="","",Offerte!$A52)</f>
        <v/>
      </c>
      <c r="B1572" s="48">
        <f>IF(Offerte!$A52="","",Offerte!$B52)</f>
        <v/>
      </c>
      <c r="C1572" s="48">
        <f>IF(Offerte!$A52="","",Offerte!$C52)</f>
        <v/>
      </c>
      <c r="D1572" s="48" t="inlineStr">
        <is>
          <t>D.1.3</t>
        </is>
      </c>
      <c r="E1572" s="48" t="inlineStr">
        <is>
          <t>D</t>
        </is>
      </c>
      <c r="F1572" s="48" t="inlineStr">
        <is>
          <t>Q</t>
        </is>
      </c>
      <c r="G1572" s="48" t="inlineStr">
        <is>
          <t>higher</t>
        </is>
      </c>
      <c r="H1572" s="48" t="n">
        <v>2</v>
      </c>
      <c r="I1572" s="48" t="inlineStr">
        <is>
          <t>Display informativi connessi alle fermate</t>
        </is>
      </c>
      <c r="J1572" s="73" t="n"/>
      <c r="K1572" s="73" t="n"/>
      <c r="L1572" s="73" t="n"/>
      <c r="M1572" s="73" t="n"/>
      <c r="N1572" s="57">
        <f>IF($A1572="","",IFERROR(VALUE($J1572),0))</f>
        <v/>
      </c>
      <c r="O1572" s="57">
        <f>IF($A1572="",0,IF(OR($S1572&lt;&gt;1,COUNTA($J1572:$M1572)=0),0,IF(SUMPRODUCT(MAX(($C$5:$C$2484=$C1572)*($D$5:$D$2484=$D1572)*($S$5:$S$2484=1)*IFERROR($N$5:$N$2484*1,0)))&gt;0,ROUND($H1572*($N1572/SUMPRODUCT(MAX(($C$5:$C$2484=$C1572)*($D$5:$D$2484=$D1572)*($S$5:$S$2484=1)*IFERROR($N$5:$N$2484*1,0)))),4),0)))</f>
        <v/>
      </c>
      <c r="P1572" s="48" t="inlineStr">
        <is>
          <t>fermate</t>
        </is>
      </c>
      <c r="Q1572" s="57">
        <f>IF($A1572="","",$A1572&amp;"|"&amp;$C1572)</f>
        <v/>
      </c>
      <c r="R1572" s="57">
        <f>IF($A1572="","",$A1572&amp;"|"&amp;$C1572&amp;"|"&amp;$D1572)</f>
        <v/>
      </c>
      <c r="S1572" s="57">
        <f>IF($A1572="","",IFERROR(INDEX(Offerte!$D$2:$D$81,MATCH($Q1572,Offerte!$L$2:$L$81,0)),0))</f>
        <v/>
      </c>
      <c r="T1572" s="57">
        <f>IF($A1572="","",IFERROR(INDEX(Offerte!$G$2:$G$81,MATCH($Q1572,Offerte!$L$2:$L$81,0)),"NO"))</f>
        <v/>
      </c>
    </row>
    <row r="1573">
      <c r="A1573" s="48">
        <f>IF(Offerte!$A52="","",Offerte!$A52)</f>
        <v/>
      </c>
      <c r="B1573" s="48">
        <f>IF(Offerte!$A52="","",Offerte!$B52)</f>
        <v/>
      </c>
      <c r="C1573" s="48">
        <f>IF(Offerte!$A52="","",Offerte!$C52)</f>
        <v/>
      </c>
      <c r="D1573" s="48" t="inlineStr">
        <is>
          <t>D.2.1</t>
        </is>
      </c>
      <c r="E1573" s="48" t="inlineStr">
        <is>
          <t>D</t>
        </is>
      </c>
      <c r="F1573" s="48" t="inlineStr">
        <is>
          <t>Q</t>
        </is>
      </c>
      <c r="G1573" s="48" t="inlineStr">
        <is>
          <t>higher</t>
        </is>
      </c>
      <c r="H1573" s="48" t="n">
        <v>2</v>
      </c>
      <c r="I1573" s="48" t="inlineStr">
        <is>
          <t>Segnali tattili Loges-Vet-Evolution</t>
        </is>
      </c>
      <c r="J1573" s="73" t="n"/>
      <c r="K1573" s="73" t="n"/>
      <c r="L1573" s="73" t="n"/>
      <c r="M1573" s="73" t="n"/>
      <c r="N1573" s="57">
        <f>IF($A1573="","",IFERROR(VALUE($J1573),0))</f>
        <v/>
      </c>
      <c r="O1573" s="57">
        <f>IF($A1573="",0,IF(OR($S1573&lt;&gt;1,COUNTA($J1573:$M1573)=0),0,IF(SUMPRODUCT(MAX(($C$5:$C$2484=$C1573)*($D$5:$D$2484=$D1573)*($S$5:$S$2484=1)*IFERROR($N$5:$N$2484*1,0)))&gt;0,ROUND($H1573*($N1573/SUMPRODUCT(MAX(($C$5:$C$2484=$C1573)*($D$5:$D$2484=$D1573)*($S$5:$S$2484=1)*IFERROR($N$5:$N$2484*1,0)))),4),0)))</f>
        <v/>
      </c>
      <c r="P1573" s="48" t="inlineStr">
        <is>
          <t>fermate</t>
        </is>
      </c>
      <c r="Q1573" s="57">
        <f>IF($A1573="","",$A1573&amp;"|"&amp;$C1573)</f>
        <v/>
      </c>
      <c r="R1573" s="57">
        <f>IF($A1573="","",$A1573&amp;"|"&amp;$C1573&amp;"|"&amp;$D1573)</f>
        <v/>
      </c>
      <c r="S1573" s="57">
        <f>IF($A1573="","",IFERROR(INDEX(Offerte!$D$2:$D$81,MATCH($Q1573,Offerte!$L$2:$L$81,0)),0))</f>
        <v/>
      </c>
      <c r="T1573" s="57">
        <f>IF($A1573="","",IFERROR(INDEX(Offerte!$G$2:$G$81,MATCH($Q1573,Offerte!$L$2:$L$81,0)),"NO"))</f>
        <v/>
      </c>
    </row>
    <row r="1574">
      <c r="A1574" s="48">
        <f>IF(Offerte!$A52="","",Offerte!$A52)</f>
        <v/>
      </c>
      <c r="B1574" s="48">
        <f>IF(Offerte!$A52="","",Offerte!$B52)</f>
        <v/>
      </c>
      <c r="C1574" s="48">
        <f>IF(Offerte!$A52="","",Offerte!$C52)</f>
        <v/>
      </c>
      <c r="D1574" s="48" t="inlineStr">
        <is>
          <t>E.1.1</t>
        </is>
      </c>
      <c r="E1574" s="48" t="inlineStr">
        <is>
          <t>E</t>
        </is>
      </c>
      <c r="F1574" s="48" t="inlineStr">
        <is>
          <t>T</t>
        </is>
      </c>
      <c r="G1574" s="48" t="inlineStr">
        <is>
          <t>tabular</t>
        </is>
      </c>
      <c r="H1574" s="48" t="n">
        <v>2</v>
      </c>
      <c r="I1574" s="48" t="inlineStr">
        <is>
          <t>Mobile app con travel planner PRM</t>
        </is>
      </c>
      <c r="J1574" s="73" t="n"/>
      <c r="K1574" s="73" t="n"/>
      <c r="L1574" s="73" t="n"/>
      <c r="M1574" s="73" t="n"/>
      <c r="N1574" s="57">
        <f>IF($A1574="","",IF(IFERROR(VALUE($M1574),0)=1,1,0))</f>
        <v/>
      </c>
      <c r="O1574" s="57">
        <f>IF($A1574="",0,IF(OR($S1574&lt;&gt;1,COUNTA($J1574:$M1574)=0),0,IF($N1574=1,$H1574,0)))</f>
        <v/>
      </c>
      <c r="P1574" s="48" t="inlineStr">
        <is>
          <t>sì/no</t>
        </is>
      </c>
      <c r="Q1574" s="57">
        <f>IF($A1574="","",$A1574&amp;"|"&amp;$C1574)</f>
        <v/>
      </c>
      <c r="R1574" s="57">
        <f>IF($A1574="","",$A1574&amp;"|"&amp;$C1574&amp;"|"&amp;$D1574)</f>
        <v/>
      </c>
      <c r="S1574" s="57">
        <f>IF($A1574="","",IFERROR(INDEX(Offerte!$D$2:$D$81,MATCH($Q1574,Offerte!$L$2:$L$81,0)),0))</f>
        <v/>
      </c>
      <c r="T1574" s="57">
        <f>IF($A1574="","",IFERROR(INDEX(Offerte!$G$2:$G$81,MATCH($Q1574,Offerte!$L$2:$L$81,0)),"NO"))</f>
        <v/>
      </c>
    </row>
    <row r="1575">
      <c r="A1575" s="48">
        <f>IF(Offerte!$A52="","",Offerte!$A52)</f>
        <v/>
      </c>
      <c r="B1575" s="48">
        <f>IF(Offerte!$A52="","",Offerte!$B52)</f>
        <v/>
      </c>
      <c r="C1575" s="48">
        <f>IF(Offerte!$A52="","",Offerte!$C52)</f>
        <v/>
      </c>
      <c r="D1575" s="48" t="inlineStr">
        <is>
          <t>E.2.1</t>
        </is>
      </c>
      <c r="E1575" s="48" t="inlineStr">
        <is>
          <t>E</t>
        </is>
      </c>
      <c r="F1575" s="48" t="inlineStr">
        <is>
          <t>D</t>
        </is>
      </c>
      <c r="G1575" s="48" t="inlineStr">
        <is>
          <t>discretionary</t>
        </is>
      </c>
      <c r="H1575" s="48" t="n">
        <v>2</v>
      </c>
      <c r="I1575" s="48" t="inlineStr">
        <is>
          <t>Altre azioni informative e rapporti con gli utenti</t>
        </is>
      </c>
      <c r="J1575" s="73" t="n"/>
      <c r="K1575" s="73" t="n"/>
      <c r="L1575" s="73" t="n"/>
      <c r="M1575" s="73" t="n"/>
      <c r="N1575" s="57">
        <f>IF($A1575="","",MAX(0,MIN(1,IFERROR(VALUE($M1575),0))))</f>
        <v/>
      </c>
      <c r="O1575" s="57">
        <f>IF($A1575="",0,IF(OR($S1575&lt;&gt;1,COUNTA($J1575:$M1575)=0),0,IF(SUMPRODUCT(MAX(($C$5:$C$2484=$C1575)*($D$5:$D$2484=$D1575)*($S$5:$S$2484=1)*IFERROR($N$5:$N$2484*1,0)))&gt;0,ROUND($H1575*($N1575/SUMPRODUCT(MAX(($C$5:$C$2484=$C1575)*($D$5:$D$2484=$D1575)*($S$5:$S$2484=1)*IFERROR($N$5:$N$2484*1,0)))),4),0)))</f>
        <v/>
      </c>
      <c r="P1575" s="48" t="inlineStr">
        <is>
          <t>coeff.</t>
        </is>
      </c>
      <c r="Q1575" s="57">
        <f>IF($A1575="","",$A1575&amp;"|"&amp;$C1575)</f>
        <v/>
      </c>
      <c r="R1575" s="57">
        <f>IF($A1575="","",$A1575&amp;"|"&amp;$C1575&amp;"|"&amp;$D1575)</f>
        <v/>
      </c>
      <c r="S1575" s="57">
        <f>IF($A1575="","",IFERROR(INDEX(Offerte!$D$2:$D$81,MATCH($Q1575,Offerte!$L$2:$L$81,0)),0))</f>
        <v/>
      </c>
      <c r="T1575" s="57">
        <f>IF($A1575="","",IFERROR(INDEX(Offerte!$G$2:$G$81,MATCH($Q1575,Offerte!$L$2:$L$81,0)),"NO"))</f>
        <v/>
      </c>
    </row>
    <row r="1576">
      <c r="A1576" s="48">
        <f>IF(Offerte!$A52="","",Offerte!$A52)</f>
        <v/>
      </c>
      <c r="B1576" s="48">
        <f>IF(Offerte!$A52="","",Offerte!$B52)</f>
        <v/>
      </c>
      <c r="C1576" s="48">
        <f>IF(Offerte!$A52="","",Offerte!$C52)</f>
        <v/>
      </c>
      <c r="D1576" s="48" t="inlineStr">
        <is>
          <t>F.1.1</t>
        </is>
      </c>
      <c r="E1576" s="48" t="inlineStr">
        <is>
          <t>F</t>
        </is>
      </c>
      <c r="F1576" s="48" t="inlineStr">
        <is>
          <t>Q</t>
        </is>
      </c>
      <c r="G1576" s="48" t="inlineStr">
        <is>
          <t>lower</t>
        </is>
      </c>
      <c r="H1576" s="48" t="n">
        <v>7</v>
      </c>
      <c r="I1576" s="48" t="inlineStr">
        <is>
          <t>Performance ambientali del parco mezzi adibito al servizio - I_CEA</t>
        </is>
      </c>
      <c r="J1576" s="73" t="n"/>
      <c r="K1576" s="73" t="n"/>
      <c r="L1576" s="73" t="n"/>
      <c r="M1576" s="73" t="n"/>
      <c r="N1576" s="57">
        <f>IF($A1576="","",IFERROR(VALUE($J1576),0))</f>
        <v/>
      </c>
      <c r="O1576" s="57">
        <f>IF($A1576="",0,IF(OR($S1576&lt;&gt;1,COUNTA($J1576:$M1576)=0),0,IF(AND(IFERROR(AGGREGATE(15,6,$N$5:$N$2484/(($C$5:$C$2484=$C1576)*($D$5:$D$2484=$D1576)*($S$5:$S$2484=1)*($N$5:$N$2484&gt;0)),1),0)&gt;0,$N1576&gt;0),ROUND($H1576*(IFERROR(AGGREGATE(15,6,$N$5:$N$2484/(($C$5:$C$2484=$C1576)*($D$5:$D$2484=$D1576)*($S$5:$S$2484=1)*($N$5:$N$2484&gt;0)),1),0)/$N1576),4),0)))</f>
        <v/>
      </c>
      <c r="P1576" s="48" t="inlineStr">
        <is>
          <t>indice</t>
        </is>
      </c>
      <c r="Q1576" s="57">
        <f>IF($A1576="","",$A1576&amp;"|"&amp;$C1576)</f>
        <v/>
      </c>
      <c r="R1576" s="57">
        <f>IF($A1576="","",$A1576&amp;"|"&amp;$C1576&amp;"|"&amp;$D1576)</f>
        <v/>
      </c>
      <c r="S1576" s="57">
        <f>IF($A1576="","",IFERROR(INDEX(Offerte!$D$2:$D$81,MATCH($Q1576,Offerte!$L$2:$L$81,0)),0))</f>
        <v/>
      </c>
      <c r="T1576" s="57">
        <f>IF($A1576="","",IFERROR(INDEX(Offerte!$G$2:$G$81,MATCH($Q1576,Offerte!$L$2:$L$81,0)),"NO"))</f>
        <v/>
      </c>
    </row>
    <row r="1577">
      <c r="A1577" s="48">
        <f>IF(Offerte!$A52="","",Offerte!$A52)</f>
        <v/>
      </c>
      <c r="B1577" s="48">
        <f>IF(Offerte!$A52="","",Offerte!$B52)</f>
        <v/>
      </c>
      <c r="C1577" s="48">
        <f>IF(Offerte!$A52="","",Offerte!$C52)</f>
        <v/>
      </c>
      <c r="D1577" s="48" t="inlineStr">
        <is>
          <t>F.2.1</t>
        </is>
      </c>
      <c r="E1577" s="48" t="inlineStr">
        <is>
          <t>F</t>
        </is>
      </c>
      <c r="F1577" s="48" t="inlineStr">
        <is>
          <t>Q</t>
        </is>
      </c>
      <c r="G1577" s="48" t="inlineStr">
        <is>
          <t>higher</t>
        </is>
      </c>
      <c r="H1577" s="48" t="n">
        <v>2</v>
      </c>
      <c r="I1577" s="48" t="inlineStr">
        <is>
          <t>Tasso di copertura del servizio con dispositivi ECO-DRIVER</t>
        </is>
      </c>
      <c r="J1577" s="73" t="n"/>
      <c r="K1577" s="73" t="n"/>
      <c r="L1577" s="73" t="n"/>
      <c r="M1577" s="73" t="n"/>
      <c r="N1577" s="57">
        <f>IF($A1577="","",IFERROR(VALUE($K1577)/VALUE($L1577),IFERROR(VALUE($J1577),0)))</f>
        <v/>
      </c>
      <c r="O1577" s="57">
        <f>IF($A1577="",0,IF(OR($S1577&lt;&gt;1,COUNTA($J1577:$M1577)=0),0,IF(SUMPRODUCT(MAX(($C$5:$C$2484=$C1577)*($D$5:$D$2484=$D1577)*($S$5:$S$2484=1)*IFERROR($N$5:$N$2484*1,0)))&gt;0,ROUND($H1577*($N1577/SUMPRODUCT(MAX(($C$5:$C$2484=$C1577)*($D$5:$D$2484=$D1577)*($S$5:$S$2484=1)*IFERROR($N$5:$N$2484*1,0)))),4),0)))</f>
        <v/>
      </c>
      <c r="P1577" s="48" t="inlineStr">
        <is>
          <t>Autobus attrezzati con dispositivi ECO-DRIVER / Autobus totali in offerta, incluse scorte</t>
        </is>
      </c>
      <c r="Q1577" s="57">
        <f>IF($A1577="","",$A1577&amp;"|"&amp;$C1577)</f>
        <v/>
      </c>
      <c r="R1577" s="57">
        <f>IF($A1577="","",$A1577&amp;"|"&amp;$C1577&amp;"|"&amp;$D1577)</f>
        <v/>
      </c>
      <c r="S1577" s="57">
        <f>IF($A1577="","",IFERROR(INDEX(Offerte!$D$2:$D$81,MATCH($Q1577,Offerte!$L$2:$L$81,0)),0))</f>
        <v/>
      </c>
      <c r="T1577" s="57">
        <f>IF($A1577="","",IFERROR(INDEX(Offerte!$G$2:$G$81,MATCH($Q1577,Offerte!$L$2:$L$81,0)),"NO"))</f>
        <v/>
      </c>
    </row>
    <row r="1578">
      <c r="A1578" s="48">
        <f>IF(Offerte!$A52="","",Offerte!$A52)</f>
        <v/>
      </c>
      <c r="B1578" s="48">
        <f>IF(Offerte!$A52="","",Offerte!$B52)</f>
        <v/>
      </c>
      <c r="C1578" s="48">
        <f>IF(Offerte!$A52="","",Offerte!$C52)</f>
        <v/>
      </c>
      <c r="D1578" s="48" t="inlineStr">
        <is>
          <t>F.3.1</t>
        </is>
      </c>
      <c r="E1578" s="48" t="inlineStr">
        <is>
          <t>F</t>
        </is>
      </c>
      <c r="F1578" s="48" t="inlineStr">
        <is>
          <t>Q</t>
        </is>
      </c>
      <c r="G1578" s="48" t="inlineStr">
        <is>
          <t>higher</t>
        </is>
      </c>
      <c r="H1578" s="48" t="n">
        <v>2</v>
      </c>
      <c r="I1578" s="48" t="inlineStr">
        <is>
          <t>Autoproduzione consumi elettrici per trazione</t>
        </is>
      </c>
      <c r="J1578" s="73" t="n"/>
      <c r="K1578" s="73" t="n"/>
      <c r="L1578" s="73" t="n"/>
      <c r="M1578" s="73" t="n"/>
      <c r="N1578" s="57">
        <f>IF($A1578="","",IFERROR(VALUE($J1578),0))</f>
        <v/>
      </c>
      <c r="O1578" s="57">
        <f>IF($A1578="",0,IF(OR($S1578&lt;&gt;1,COUNTA($J1578:$M1578)=0),0,IF(SUMPRODUCT(MAX(($C$5:$C$2484=$C1578)*($D$5:$D$2484=$D1578)*($S$5:$S$2484=1)*IFERROR($N$5:$N$2484*1,0)))&gt;0,ROUND($H1578*($N1578/SUMPRODUCT(MAX(($C$5:$C$2484=$C1578)*($D$5:$D$2484=$D1578)*($S$5:$S$2484=1)*IFERROR($N$5:$N$2484*1,0)))),4),0)))</f>
        <v/>
      </c>
      <c r="P1578" s="48" t="inlineStr">
        <is>
          <t>kWh/anno</t>
        </is>
      </c>
      <c r="Q1578" s="57">
        <f>IF($A1578="","",$A1578&amp;"|"&amp;$C1578)</f>
        <v/>
      </c>
      <c r="R1578" s="57">
        <f>IF($A1578="","",$A1578&amp;"|"&amp;$C1578&amp;"|"&amp;$D1578)</f>
        <v/>
      </c>
      <c r="S1578" s="57">
        <f>IF($A1578="","",IFERROR(INDEX(Offerte!$D$2:$D$81,MATCH($Q1578,Offerte!$L$2:$L$81,0)),0))</f>
        <v/>
      </c>
      <c r="T1578" s="57">
        <f>IF($A1578="","",IFERROR(INDEX(Offerte!$G$2:$G$81,MATCH($Q1578,Offerte!$L$2:$L$81,0)),"NO"))</f>
        <v/>
      </c>
    </row>
    <row r="1579">
      <c r="A1579" s="48">
        <f>IF(Offerte!$A52="","",Offerte!$A52)</f>
        <v/>
      </c>
      <c r="B1579" s="48">
        <f>IF(Offerte!$A52="","",Offerte!$B52)</f>
        <v/>
      </c>
      <c r="C1579" s="48">
        <f>IF(Offerte!$A52="","",Offerte!$C52)</f>
        <v/>
      </c>
      <c r="D1579" s="48" t="inlineStr">
        <is>
          <t>F.4.1</t>
        </is>
      </c>
      <c r="E1579" s="48" t="inlineStr">
        <is>
          <t>F</t>
        </is>
      </c>
      <c r="F1579" s="48" t="inlineStr">
        <is>
          <t>Q</t>
        </is>
      </c>
      <c r="G1579" s="48" t="inlineStr">
        <is>
          <t>soil</t>
        </is>
      </c>
      <c r="H1579" s="48" t="n">
        <v>2</v>
      </c>
      <c r="I1579" s="48" t="inlineStr">
        <is>
          <t>Indice di consumo di suolo</t>
        </is>
      </c>
      <c r="J1579" s="73" t="n"/>
      <c r="K1579" s="73" t="n"/>
      <c r="L1579" s="73" t="n"/>
      <c r="M1579" s="73" t="n"/>
      <c r="N1579" s="57">
        <f>IF($A1579="","",IFERROR(VALUE($J1579),0))</f>
        <v/>
      </c>
      <c r="O1579" s="57">
        <f>IF($A1579="",0,IF(OR($S1579&lt;&gt;1,COUNTA($J1579:$M1579)=0),0,IF($N1579&lt;=0,$H1579,IF(SUMPRODUCT(MAX(($C$5:$C$2484=$C1579)*($D$5:$D$2484=$D1579)*($S$5:$S$2484=1)*IFERROR($N$5:$N$2484*1,0)))&gt;0,ROUND($H1579*((SUMPRODUCT(MAX(($C$5:$C$2484=$C1579)*($D$5:$D$2484=$D1579)*($S$5:$S$2484=1)*IFERROR($N$5:$N$2484*1,0)))-$N1579)/SUMPRODUCT(MAX(($C$5:$C$2484=$C1579)*($D$5:$D$2484=$D1579)*($S$5:$S$2484=1)*IFERROR($N$5:$N$2484*1,0)))),4),0))))</f>
        <v/>
      </c>
      <c r="P1579" s="48" t="inlineStr">
        <is>
          <t>m2</t>
        </is>
      </c>
      <c r="Q1579" s="57">
        <f>IF($A1579="","",$A1579&amp;"|"&amp;$C1579)</f>
        <v/>
      </c>
      <c r="R1579" s="57">
        <f>IF($A1579="","",$A1579&amp;"|"&amp;$C1579&amp;"|"&amp;$D1579)</f>
        <v/>
      </c>
      <c r="S1579" s="57">
        <f>IF($A1579="","",IFERROR(INDEX(Offerte!$D$2:$D$81,MATCH($Q1579,Offerte!$L$2:$L$81,0)),0))</f>
        <v/>
      </c>
      <c r="T1579" s="57">
        <f>IF($A1579="","",IFERROR(INDEX(Offerte!$G$2:$G$81,MATCH($Q1579,Offerte!$L$2:$L$81,0)),"NO"))</f>
        <v/>
      </c>
    </row>
    <row r="1580">
      <c r="A1580" s="48">
        <f>IF(Offerte!$A52="","",Offerte!$A52)</f>
        <v/>
      </c>
      <c r="B1580" s="48">
        <f>IF(Offerte!$A52="","",Offerte!$B52)</f>
        <v/>
      </c>
      <c r="C1580" s="48">
        <f>IF(Offerte!$A52="","",Offerte!$C52)</f>
        <v/>
      </c>
      <c r="D1580" s="48" t="inlineStr">
        <is>
          <t>F.5.1</t>
        </is>
      </c>
      <c r="E1580" s="48" t="inlineStr">
        <is>
          <t>F</t>
        </is>
      </c>
      <c r="F1580" s="48" t="inlineStr">
        <is>
          <t>T</t>
        </is>
      </c>
      <c r="G1580" s="48" t="inlineStr">
        <is>
          <t>tabular</t>
        </is>
      </c>
      <c r="H1580" s="48" t="n">
        <v>1</v>
      </c>
      <c r="I1580" s="48" t="inlineStr">
        <is>
          <t>Rendicontazione di sostenibilità ambientale</t>
        </is>
      </c>
      <c r="J1580" s="73" t="n"/>
      <c r="K1580" s="73" t="n"/>
      <c r="L1580" s="73" t="n"/>
      <c r="M1580" s="73" t="n"/>
      <c r="N1580" s="57">
        <f>IF($A1580="","",IF(IFERROR(VALUE($M1580),0)=1,1,0))</f>
        <v/>
      </c>
      <c r="O1580" s="57">
        <f>IF($A1580="",0,IF(OR($S1580&lt;&gt;1,COUNTA($J1580:$M1580)=0),0,IF($N1580=1,$H1580,0)))</f>
        <v/>
      </c>
      <c r="P1580" s="48" t="inlineStr">
        <is>
          <t>sì/no</t>
        </is>
      </c>
      <c r="Q1580" s="57">
        <f>IF($A1580="","",$A1580&amp;"|"&amp;$C1580)</f>
        <v/>
      </c>
      <c r="R1580" s="57">
        <f>IF($A1580="","",$A1580&amp;"|"&amp;$C1580&amp;"|"&amp;$D1580)</f>
        <v/>
      </c>
      <c r="S1580" s="57">
        <f>IF($A1580="","",IFERROR(INDEX(Offerte!$D$2:$D$81,MATCH($Q1580,Offerte!$L$2:$L$81,0)),0))</f>
        <v/>
      </c>
      <c r="T1580" s="57">
        <f>IF($A1580="","",IFERROR(INDEX(Offerte!$G$2:$G$81,MATCH($Q1580,Offerte!$L$2:$L$81,0)),"NO"))</f>
        <v/>
      </c>
    </row>
    <row r="1581">
      <c r="A1581" s="48">
        <f>IF(Offerte!$A52="","",Offerte!$A52)</f>
        <v/>
      </c>
      <c r="B1581" s="48">
        <f>IF(Offerte!$A52="","",Offerte!$B52)</f>
        <v/>
      </c>
      <c r="C1581" s="48">
        <f>IF(Offerte!$A52="","",Offerte!$C52)</f>
        <v/>
      </c>
      <c r="D1581" s="48" t="inlineStr">
        <is>
          <t>G.1.1</t>
        </is>
      </c>
      <c r="E1581" s="48" t="inlineStr">
        <is>
          <t>G</t>
        </is>
      </c>
      <c r="F1581" s="48" t="inlineStr">
        <is>
          <t>D</t>
        </is>
      </c>
      <c r="G1581" s="48" t="inlineStr">
        <is>
          <t>discretionary</t>
        </is>
      </c>
      <c r="H1581" s="48" t="n">
        <v>2</v>
      </c>
      <c r="I1581" s="48" t="inlineStr">
        <is>
          <t>Qualità del progetto di centrale di controllo aziendale</t>
        </is>
      </c>
      <c r="J1581" s="73" t="n"/>
      <c r="K1581" s="73" t="n"/>
      <c r="L1581" s="73" t="n"/>
      <c r="M1581" s="73" t="n"/>
      <c r="N1581" s="57">
        <f>IF($A1581="","",MAX(0,MIN(1,IFERROR(VALUE($M1581),0))))</f>
        <v/>
      </c>
      <c r="O1581" s="57">
        <f>IF($A1581="",0,IF(OR($S1581&lt;&gt;1,COUNTA($J1581:$M1581)=0),0,IF(SUMPRODUCT(MAX(($C$5:$C$2484=$C1581)*($D$5:$D$2484=$D1581)*($S$5:$S$2484=1)*IFERROR($N$5:$N$2484*1,0)))&gt;0,ROUND($H1581*($N1581/SUMPRODUCT(MAX(($C$5:$C$2484=$C1581)*($D$5:$D$2484=$D1581)*($S$5:$S$2484=1)*IFERROR($N$5:$N$2484*1,0)))),4),0)))</f>
        <v/>
      </c>
      <c r="P1581" s="48" t="inlineStr">
        <is>
          <t>coeff.</t>
        </is>
      </c>
      <c r="Q1581" s="57">
        <f>IF($A1581="","",$A1581&amp;"|"&amp;$C1581)</f>
        <v/>
      </c>
      <c r="R1581" s="57">
        <f>IF($A1581="","",$A1581&amp;"|"&amp;$C1581&amp;"|"&amp;$D1581)</f>
        <v/>
      </c>
      <c r="S1581" s="57">
        <f>IF($A1581="","",IFERROR(INDEX(Offerte!$D$2:$D$81,MATCH($Q1581,Offerte!$L$2:$L$81,0)),0))</f>
        <v/>
      </c>
      <c r="T1581" s="57">
        <f>IF($A1581="","",IFERROR(INDEX(Offerte!$G$2:$G$81,MATCH($Q1581,Offerte!$L$2:$L$81,0)),"NO"))</f>
        <v/>
      </c>
    </row>
    <row r="1582">
      <c r="A1582" s="48">
        <f>IF(Offerte!$A52="","",Offerte!$A52)</f>
        <v/>
      </c>
      <c r="B1582" s="48">
        <f>IF(Offerte!$A52="","",Offerte!$B52)</f>
        <v/>
      </c>
      <c r="C1582" s="48">
        <f>IF(Offerte!$A52="","",Offerte!$C52)</f>
        <v/>
      </c>
      <c r="D1582" s="48" t="inlineStr">
        <is>
          <t>G.2.1</t>
        </is>
      </c>
      <c r="E1582" s="48" t="inlineStr">
        <is>
          <t>G</t>
        </is>
      </c>
      <c r="F1582" s="48" t="inlineStr">
        <is>
          <t>T</t>
        </is>
      </c>
      <c r="G1582" s="48" t="inlineStr">
        <is>
          <t>tabular</t>
        </is>
      </c>
      <c r="H1582" s="48" t="n">
        <v>1</v>
      </c>
      <c r="I1582" s="48" t="inlineStr">
        <is>
          <t>Certificazione ISO 45001</t>
        </is>
      </c>
      <c r="J1582" s="73" t="n"/>
      <c r="K1582" s="73" t="n"/>
      <c r="L1582" s="73" t="n"/>
      <c r="M1582" s="73" t="n"/>
      <c r="N1582" s="57">
        <f>IF($A1582="","",IF(IFERROR(VALUE($M1582),0)=1,1,0))</f>
        <v/>
      </c>
      <c r="O1582" s="57">
        <f>IF($A1582="",0,IF(OR($S1582&lt;&gt;1,COUNTA($J1582:$M1582)=0),0,IF($N1582=1,$H1582,0)))</f>
        <v/>
      </c>
      <c r="P1582" s="48" t="inlineStr">
        <is>
          <t>sì/no</t>
        </is>
      </c>
      <c r="Q1582" s="57">
        <f>IF($A1582="","",$A1582&amp;"|"&amp;$C1582)</f>
        <v/>
      </c>
      <c r="R1582" s="57">
        <f>IF($A1582="","",$A1582&amp;"|"&amp;$C1582&amp;"|"&amp;$D1582)</f>
        <v/>
      </c>
      <c r="S1582" s="57">
        <f>IF($A1582="","",IFERROR(INDEX(Offerte!$D$2:$D$81,MATCH($Q1582,Offerte!$L$2:$L$81,0)),0))</f>
        <v/>
      </c>
      <c r="T1582" s="57">
        <f>IF($A1582="","",IFERROR(INDEX(Offerte!$G$2:$G$81,MATCH($Q1582,Offerte!$L$2:$L$81,0)),"NO"))</f>
        <v/>
      </c>
    </row>
    <row r="1583">
      <c r="A1583" s="48">
        <f>IF(Offerte!$A52="","",Offerte!$A52)</f>
        <v/>
      </c>
      <c r="B1583" s="48">
        <f>IF(Offerte!$A52="","",Offerte!$B52)</f>
        <v/>
      </c>
      <c r="C1583" s="48">
        <f>IF(Offerte!$A52="","",Offerte!$C52)</f>
        <v/>
      </c>
      <c r="D1583" s="48" t="inlineStr">
        <is>
          <t>G.3.1</t>
        </is>
      </c>
      <c r="E1583" s="48" t="inlineStr">
        <is>
          <t>G</t>
        </is>
      </c>
      <c r="F1583" s="48" t="inlineStr">
        <is>
          <t>T</t>
        </is>
      </c>
      <c r="G1583" s="48" t="inlineStr">
        <is>
          <t>tabular</t>
        </is>
      </c>
      <c r="H1583" s="48" t="n">
        <v>1</v>
      </c>
      <c r="I1583" s="48" t="inlineStr">
        <is>
          <t>Certificazioni di responsabilità sociale</t>
        </is>
      </c>
      <c r="J1583" s="73" t="n"/>
      <c r="K1583" s="73" t="n"/>
      <c r="L1583" s="73" t="n"/>
      <c r="M1583" s="73" t="n"/>
      <c r="N1583" s="57">
        <f>IF($A1583="","",IF(IFERROR(VALUE($M1583),0)=1,1,0))</f>
        <v/>
      </c>
      <c r="O1583" s="57">
        <f>IF($A1583="",0,IF(OR($S1583&lt;&gt;1,COUNTA($J1583:$M1583)=0),0,IF($N1583=1,$H1583,0)))</f>
        <v/>
      </c>
      <c r="P1583" s="48" t="inlineStr">
        <is>
          <t>sì/no</t>
        </is>
      </c>
      <c r="Q1583" s="57">
        <f>IF($A1583="","",$A1583&amp;"|"&amp;$C1583)</f>
        <v/>
      </c>
      <c r="R1583" s="57">
        <f>IF($A1583="","",$A1583&amp;"|"&amp;$C1583&amp;"|"&amp;$D1583)</f>
        <v/>
      </c>
      <c r="S1583" s="57">
        <f>IF($A1583="","",IFERROR(INDEX(Offerte!$D$2:$D$81,MATCH($Q1583,Offerte!$L$2:$L$81,0)),0))</f>
        <v/>
      </c>
      <c r="T1583" s="57">
        <f>IF($A1583="","",IFERROR(INDEX(Offerte!$G$2:$G$81,MATCH($Q1583,Offerte!$L$2:$L$81,0)),"NO"))</f>
        <v/>
      </c>
    </row>
    <row r="1584">
      <c r="A1584" s="48">
        <f>IF(Offerte!$A52="","",Offerte!$A52)</f>
        <v/>
      </c>
      <c r="B1584" s="48">
        <f>IF(Offerte!$A52="","",Offerte!$B52)</f>
        <v/>
      </c>
      <c r="C1584" s="48">
        <f>IF(Offerte!$A52="","",Offerte!$C52)</f>
        <v/>
      </c>
      <c r="D1584" s="48" t="inlineStr">
        <is>
          <t>G.4.1</t>
        </is>
      </c>
      <c r="E1584" s="48" t="inlineStr">
        <is>
          <t>G</t>
        </is>
      </c>
      <c r="F1584" s="48" t="inlineStr">
        <is>
          <t>D</t>
        </is>
      </c>
      <c r="G1584" s="48" t="inlineStr">
        <is>
          <t>discretionary</t>
        </is>
      </c>
      <c r="H1584" s="48" t="n">
        <v>2</v>
      </c>
      <c r="I1584" s="48" t="inlineStr">
        <is>
          <t>Qualità del piano di formazione del personale</t>
        </is>
      </c>
      <c r="J1584" s="73" t="n"/>
      <c r="K1584" s="73" t="n"/>
      <c r="L1584" s="73" t="n"/>
      <c r="M1584" s="73" t="n"/>
      <c r="N1584" s="57">
        <f>IF($A1584="","",MAX(0,MIN(1,IFERROR(VALUE($M1584),0))))</f>
        <v/>
      </c>
      <c r="O1584" s="57">
        <f>IF($A1584="",0,IF(OR($S1584&lt;&gt;1,COUNTA($J1584:$M1584)=0),0,IF(SUMPRODUCT(MAX(($C$5:$C$2484=$C1584)*($D$5:$D$2484=$D1584)*($S$5:$S$2484=1)*IFERROR($N$5:$N$2484*1,0)))&gt;0,ROUND($H1584*($N1584/SUMPRODUCT(MAX(($C$5:$C$2484=$C1584)*($D$5:$D$2484=$D1584)*($S$5:$S$2484=1)*IFERROR($N$5:$N$2484*1,0)))),4),0)))</f>
        <v/>
      </c>
      <c r="P1584" s="48" t="inlineStr">
        <is>
          <t>coeff.</t>
        </is>
      </c>
      <c r="Q1584" s="57">
        <f>IF($A1584="","",$A1584&amp;"|"&amp;$C1584)</f>
        <v/>
      </c>
      <c r="R1584" s="57">
        <f>IF($A1584="","",$A1584&amp;"|"&amp;$C1584&amp;"|"&amp;$D1584)</f>
        <v/>
      </c>
      <c r="S1584" s="57">
        <f>IF($A1584="","",IFERROR(INDEX(Offerte!$D$2:$D$81,MATCH($Q1584,Offerte!$L$2:$L$81,0)),0))</f>
        <v/>
      </c>
      <c r="T1584" s="57">
        <f>IF($A1584="","",IFERROR(INDEX(Offerte!$G$2:$G$81,MATCH($Q1584,Offerte!$L$2:$L$81,0)),"NO"))</f>
        <v/>
      </c>
    </row>
    <row r="1585">
      <c r="A1585" s="48">
        <f>IF(Offerte!$A52="","",Offerte!$A52)</f>
        <v/>
      </c>
      <c r="B1585" s="48">
        <f>IF(Offerte!$A52="","",Offerte!$B52)</f>
        <v/>
      </c>
      <c r="C1585" s="48">
        <f>IF(Offerte!$A52="","",Offerte!$C52)</f>
        <v/>
      </c>
      <c r="D1585" s="48" t="inlineStr">
        <is>
          <t>G.5.1</t>
        </is>
      </c>
      <c r="E1585" s="48" t="inlineStr">
        <is>
          <t>G</t>
        </is>
      </c>
      <c r="F1585" s="48" t="inlineStr">
        <is>
          <t>T</t>
        </is>
      </c>
      <c r="G1585" s="48" t="inlineStr">
        <is>
          <t>tabular</t>
        </is>
      </c>
      <c r="H1585" s="48" t="n">
        <v>1</v>
      </c>
      <c r="I1585" s="48" t="inlineStr">
        <is>
          <t>Impegno al mantenimento delle garanzie del contratto di secondo livello del gestore uscente</t>
        </is>
      </c>
      <c r="J1585" s="73" t="n"/>
      <c r="K1585" s="73" t="n"/>
      <c r="L1585" s="73" t="n"/>
      <c r="M1585" s="73" t="n"/>
      <c r="N1585" s="57">
        <f>IF($A1585="","",IF(IFERROR(VALUE($M1585),0)=1,1,0))</f>
        <v/>
      </c>
      <c r="O1585" s="57">
        <f>IF($A1585="",0,IF(OR($S1585&lt;&gt;1,COUNTA($J1585:$M1585)=0),0,IF($N1585=1,$H1585,0)))</f>
        <v/>
      </c>
      <c r="P1585" s="48" t="inlineStr">
        <is>
          <t>sì/no</t>
        </is>
      </c>
      <c r="Q1585" s="57">
        <f>IF($A1585="","",$A1585&amp;"|"&amp;$C1585)</f>
        <v/>
      </c>
      <c r="R1585" s="57">
        <f>IF($A1585="","",$A1585&amp;"|"&amp;$C1585&amp;"|"&amp;$D1585)</f>
        <v/>
      </c>
      <c r="S1585" s="57">
        <f>IF($A1585="","",IFERROR(INDEX(Offerte!$D$2:$D$81,MATCH($Q1585,Offerte!$L$2:$L$81,0)),0))</f>
        <v/>
      </c>
      <c r="T1585" s="57">
        <f>IF($A1585="","",IFERROR(INDEX(Offerte!$G$2:$G$81,MATCH($Q1585,Offerte!$L$2:$L$81,0)),"NO"))</f>
        <v/>
      </c>
    </row>
    <row r="1586">
      <c r="A1586" s="48">
        <f>IF(Offerte!$A53="","",Offerte!$A53)</f>
        <v/>
      </c>
      <c r="B1586" s="48">
        <f>IF(Offerte!$A53="","",Offerte!$B53)</f>
        <v/>
      </c>
      <c r="C1586" s="48">
        <f>IF(Offerte!$A53="","",Offerte!$C53)</f>
        <v/>
      </c>
      <c r="D1586" s="48" t="inlineStr">
        <is>
          <t>A.1.1</t>
        </is>
      </c>
      <c r="E1586" s="48" t="inlineStr">
        <is>
          <t>A</t>
        </is>
      </c>
      <c r="F1586" s="48" t="inlineStr">
        <is>
          <t>Q</t>
        </is>
      </c>
      <c r="G1586" s="48" t="inlineStr">
        <is>
          <t>higher</t>
        </is>
      </c>
      <c r="H1586" s="48" t="n">
        <v>3</v>
      </c>
      <c r="I1586" s="48" t="inlineStr">
        <is>
          <t>Tasso aggiuntivo di corse controllate</t>
        </is>
      </c>
      <c r="J1586" s="73" t="n"/>
      <c r="K1586" s="73" t="n"/>
      <c r="L1586" s="73" t="n"/>
      <c r="M1586" s="73" t="n"/>
      <c r="N1586" s="57">
        <f>IF($A1586="","",IFERROR(VALUE($K1586)/VALUE($L1586)*100,IFERROR(VALUE($J1586),0)))</f>
        <v/>
      </c>
      <c r="O1586" s="57">
        <f>IF($A1586="",0,IF(OR($S1586&lt;&gt;1,COUNTA($J1586:$M1586)=0),0,IF(SUMPRODUCT(MAX(($C$5:$C$2484=$C1586)*($D$5:$D$2484=$D1586)*($S$5:$S$2484=1)*IFERROR($N$5:$N$2484*1,0)))&gt;0,ROUND($H1586*($N1586/SUMPRODUCT(MAX(($C$5:$C$2484=$C1586)*($D$5:$D$2484=$D1586)*($S$5:$S$2484=1)*IFERROR($N$5:$N$2484*1,0)))),4),0)))</f>
        <v/>
      </c>
      <c r="P1586" s="48" t="inlineStr">
        <is>
          <t>Corse controllate annue / Corse programmate annue</t>
        </is>
      </c>
      <c r="Q1586" s="57">
        <f>IF($A1586="","",$A1586&amp;"|"&amp;$C1586)</f>
        <v/>
      </c>
      <c r="R1586" s="57">
        <f>IF($A1586="","",$A1586&amp;"|"&amp;$C1586&amp;"|"&amp;$D1586)</f>
        <v/>
      </c>
      <c r="S1586" s="57">
        <f>IF($A1586="","",IFERROR(INDEX(Offerte!$D$2:$D$81,MATCH($Q1586,Offerte!$L$2:$L$81,0)),0))</f>
        <v/>
      </c>
      <c r="T1586" s="57">
        <f>IF($A1586="","",IFERROR(INDEX(Offerte!$G$2:$G$81,MATCH($Q1586,Offerte!$L$2:$L$81,0)),"NO"))</f>
        <v/>
      </c>
    </row>
    <row r="1587">
      <c r="A1587" s="48">
        <f>IF(Offerte!$A53="","",Offerte!$A53)</f>
        <v/>
      </c>
      <c r="B1587" s="48">
        <f>IF(Offerte!$A53="","",Offerte!$B53)</f>
        <v/>
      </c>
      <c r="C1587" s="48">
        <f>IF(Offerte!$A53="","",Offerte!$C53)</f>
        <v/>
      </c>
      <c r="D1587" s="48" t="inlineStr">
        <is>
          <t>A.1.2</t>
        </is>
      </c>
      <c r="E1587" s="48" t="inlineStr">
        <is>
          <t>A</t>
        </is>
      </c>
      <c r="F1587" s="48" t="inlineStr">
        <is>
          <t>Q</t>
        </is>
      </c>
      <c r="G1587" s="48" t="inlineStr">
        <is>
          <t>higher</t>
        </is>
      </c>
      <c r="H1587" s="48" t="n">
        <v>4</v>
      </c>
      <c r="I1587" s="48" t="inlineStr">
        <is>
          <t>Numero aggiuntivo di passeggeri controllati</t>
        </is>
      </c>
      <c r="J1587" s="73" t="n"/>
      <c r="K1587" s="73" t="n"/>
      <c r="L1587" s="73" t="n"/>
      <c r="M1587" s="73" t="n"/>
      <c r="N1587" s="57">
        <f>IF($A1587="","",IFERROR(VALUE($J1587),0))</f>
        <v/>
      </c>
      <c r="O1587" s="57">
        <f>IF($A1587="",0,IF(OR($S1587&lt;&gt;1,COUNTA($J1587:$M1587)=0),0,IF(SUMPRODUCT(MAX(($C$5:$C$2484=$C1587)*($D$5:$D$2484=$D1587)*($S$5:$S$2484=1)*IFERROR($N$5:$N$2484*1,0)))&gt;0,ROUND($H1587*($N1587/SUMPRODUCT(MAX(($C$5:$C$2484=$C1587)*($D$5:$D$2484=$D1587)*($S$5:$S$2484=1)*IFERROR($N$5:$N$2484*1,0)))),4),0)))</f>
        <v/>
      </c>
      <c r="P1587" s="48" t="inlineStr">
        <is>
          <t>passeggeri/anno</t>
        </is>
      </c>
      <c r="Q1587" s="57">
        <f>IF($A1587="","",$A1587&amp;"|"&amp;$C1587)</f>
        <v/>
      </c>
      <c r="R1587" s="57">
        <f>IF($A1587="","",$A1587&amp;"|"&amp;$C1587&amp;"|"&amp;$D1587)</f>
        <v/>
      </c>
      <c r="S1587" s="57">
        <f>IF($A1587="","",IFERROR(INDEX(Offerte!$D$2:$D$81,MATCH($Q1587,Offerte!$L$2:$L$81,0)),0))</f>
        <v/>
      </c>
      <c r="T1587" s="57">
        <f>IF($A1587="","",IFERROR(INDEX(Offerte!$G$2:$G$81,MATCH($Q1587,Offerte!$L$2:$L$81,0)),"NO"))</f>
        <v/>
      </c>
    </row>
    <row r="1588">
      <c r="A1588" s="48">
        <f>IF(Offerte!$A53="","",Offerte!$A53)</f>
        <v/>
      </c>
      <c r="B1588" s="48">
        <f>IF(Offerte!$A53="","",Offerte!$B53)</f>
        <v/>
      </c>
      <c r="C1588" s="48">
        <f>IF(Offerte!$A53="","",Offerte!$C53)</f>
        <v/>
      </c>
      <c r="D1588" s="48" t="inlineStr">
        <is>
          <t>B.1.1</t>
        </is>
      </c>
      <c r="E1588" s="48" t="inlineStr">
        <is>
          <t>B</t>
        </is>
      </c>
      <c r="F1588" s="48" t="inlineStr">
        <is>
          <t>Q</t>
        </is>
      </c>
      <c r="G1588" s="48" t="inlineStr">
        <is>
          <t>higher</t>
        </is>
      </c>
      <c r="H1588" s="48" t="n">
        <v>3</v>
      </c>
      <c r="I1588" s="48" t="inlineStr">
        <is>
          <t>Incremento dei posti offerti nelle fasce di punta</t>
        </is>
      </c>
      <c r="J1588" s="73" t="n"/>
      <c r="K1588" s="73" t="n"/>
      <c r="L1588" s="73" t="n"/>
      <c r="M1588" s="73" t="n"/>
      <c r="N1588" s="57">
        <f>IF($A1588="","",IFERROR(VALUE($J1588),0))</f>
        <v/>
      </c>
      <c r="O1588" s="57">
        <f>IF($A1588="",0,IF(OR($S1588&lt;&gt;1,COUNTA($J1588:$M1588)=0),0,IF(SUMPRODUCT(MAX(($C$5:$C$2484=$C1588)*($D$5:$D$2484=$D1588)*($S$5:$S$2484=1)*IFERROR($N$5:$N$2484*1,0)))&gt;0,ROUND($H1588*($N1588/SUMPRODUCT(MAX(($C$5:$C$2484=$C1588)*($D$5:$D$2484=$D1588)*($S$5:$S$2484=1)*IFERROR($N$5:$N$2484*1,0)))),4),0)))</f>
        <v/>
      </c>
      <c r="P1588" s="48" t="inlineStr">
        <is>
          <t>posti*km</t>
        </is>
      </c>
      <c r="Q1588" s="57">
        <f>IF($A1588="","",$A1588&amp;"|"&amp;$C1588)</f>
        <v/>
      </c>
      <c r="R1588" s="57">
        <f>IF($A1588="","",$A1588&amp;"|"&amp;$C1588&amp;"|"&amp;$D1588)</f>
        <v/>
      </c>
      <c r="S1588" s="57">
        <f>IF($A1588="","",IFERROR(INDEX(Offerte!$D$2:$D$81,MATCH($Q1588,Offerte!$L$2:$L$81,0)),0))</f>
        <v/>
      </c>
      <c r="T1588" s="57">
        <f>IF($A1588="","",IFERROR(INDEX(Offerte!$G$2:$G$81,MATCH($Q1588,Offerte!$L$2:$L$81,0)),"NO"))</f>
        <v/>
      </c>
    </row>
    <row r="1589">
      <c r="A1589" s="48">
        <f>IF(Offerte!$A53="","",Offerte!$A53)</f>
        <v/>
      </c>
      <c r="B1589" s="48">
        <f>IF(Offerte!$A53="","",Offerte!$B53)</f>
        <v/>
      </c>
      <c r="C1589" s="48">
        <f>IF(Offerte!$A53="","",Offerte!$C53)</f>
        <v/>
      </c>
      <c r="D1589" s="48" t="inlineStr">
        <is>
          <t>B.2.1</t>
        </is>
      </c>
      <c r="E1589" s="48" t="inlineStr">
        <is>
          <t>B</t>
        </is>
      </c>
      <c r="F1589" s="48" t="inlineStr">
        <is>
          <t>Q</t>
        </is>
      </c>
      <c r="G1589" s="48" t="inlineStr">
        <is>
          <t>higher</t>
        </is>
      </c>
      <c r="H1589" s="48" t="n">
        <v>4</v>
      </c>
      <c r="I1589" s="48" t="inlineStr">
        <is>
          <t>Corse aggiuntive nell'arco giornaliero base</t>
        </is>
      </c>
      <c r="J1589" s="73" t="n"/>
      <c r="K1589" s="73" t="n"/>
      <c r="L1589" s="73" t="n"/>
      <c r="M1589" s="73" t="n"/>
      <c r="N1589" s="57">
        <f>IF($A1589="","",IFERROR(VALUE($J1589),0))</f>
        <v/>
      </c>
      <c r="O1589" s="57">
        <f>IF($A1589="",0,IF(OR($S1589&lt;&gt;1,COUNTA($J1589:$M1589)=0),0,IF(SUMPRODUCT(MAX(($C$5:$C$2484=$C1589)*($D$5:$D$2484=$D1589)*($S$5:$S$2484=1)*IFERROR($N$5:$N$2484*1,0)))&gt;0,ROUND($H1589*($N1589/SUMPRODUCT(MAX(($C$5:$C$2484=$C1589)*($D$5:$D$2484=$D1589)*($S$5:$S$2484=1)*IFERROR($N$5:$N$2484*1,0)))),4),0)))</f>
        <v/>
      </c>
      <c r="P1589" s="48" t="inlineStr">
        <is>
          <t>corse</t>
        </is>
      </c>
      <c r="Q1589" s="57">
        <f>IF($A1589="","",$A1589&amp;"|"&amp;$C1589)</f>
        <v/>
      </c>
      <c r="R1589" s="57">
        <f>IF($A1589="","",$A1589&amp;"|"&amp;$C1589&amp;"|"&amp;$D1589)</f>
        <v/>
      </c>
      <c r="S1589" s="57">
        <f>IF($A1589="","",IFERROR(INDEX(Offerte!$D$2:$D$81,MATCH($Q1589,Offerte!$L$2:$L$81,0)),0))</f>
        <v/>
      </c>
      <c r="T1589" s="57">
        <f>IF($A1589="","",IFERROR(INDEX(Offerte!$G$2:$G$81,MATCH($Q1589,Offerte!$L$2:$L$81,0)),"NO"))</f>
        <v/>
      </c>
    </row>
    <row r="1590">
      <c r="A1590" s="48">
        <f>IF(Offerte!$A53="","",Offerte!$A53)</f>
        <v/>
      </c>
      <c r="B1590" s="48">
        <f>IF(Offerte!$A53="","",Offerte!$B53)</f>
        <v/>
      </c>
      <c r="C1590" s="48">
        <f>IF(Offerte!$A53="","",Offerte!$C53)</f>
        <v/>
      </c>
      <c r="D1590" s="48" t="inlineStr">
        <is>
          <t>B.3.1</t>
        </is>
      </c>
      <c r="E1590" s="48" t="inlineStr">
        <is>
          <t>B</t>
        </is>
      </c>
      <c r="F1590" s="48" t="inlineStr">
        <is>
          <t>Q</t>
        </is>
      </c>
      <c r="G1590" s="48" t="inlineStr">
        <is>
          <t>higher</t>
        </is>
      </c>
      <c r="H1590" s="48" t="n">
        <v>2</v>
      </c>
      <c r="I1590" s="48" t="inlineStr">
        <is>
          <t>Numero di corse aggiuntive per allungamento dell'arco di servizio giornaliero nelle fasce serali</t>
        </is>
      </c>
      <c r="J1590" s="73" t="n"/>
      <c r="K1590" s="73" t="n"/>
      <c r="L1590" s="73" t="n"/>
      <c r="M1590" s="73" t="n"/>
      <c r="N1590" s="57">
        <f>IF($A1590="","",IFERROR(VALUE($J1590),0))</f>
        <v/>
      </c>
      <c r="O1590" s="57">
        <f>IF($A1590="",0,IF(OR($S1590&lt;&gt;1,COUNTA($J1590:$M1590)=0),0,IF(SUMPRODUCT(MAX(($C$5:$C$2484=$C1590)*($D$5:$D$2484=$D1590)*($S$5:$S$2484=1)*IFERROR($N$5:$N$2484*1,0)))&gt;0,ROUND($H1590*($N1590/SUMPRODUCT(MAX(($C$5:$C$2484=$C1590)*($D$5:$D$2484=$D1590)*($S$5:$S$2484=1)*IFERROR($N$5:$N$2484*1,0)))),4),0)))</f>
        <v/>
      </c>
      <c r="P1590" s="48" t="inlineStr">
        <is>
          <t>corse</t>
        </is>
      </c>
      <c r="Q1590" s="57">
        <f>IF($A1590="","",$A1590&amp;"|"&amp;$C1590)</f>
        <v/>
      </c>
      <c r="R1590" s="57">
        <f>IF($A1590="","",$A1590&amp;"|"&amp;$C1590&amp;"|"&amp;$D1590)</f>
        <v/>
      </c>
      <c r="S1590" s="57">
        <f>IF($A1590="","",IFERROR(INDEX(Offerte!$D$2:$D$81,MATCH($Q1590,Offerte!$L$2:$L$81,0)),0))</f>
        <v/>
      </c>
      <c r="T1590" s="57">
        <f>IF($A1590="","",IFERROR(INDEX(Offerte!$G$2:$G$81,MATCH($Q1590,Offerte!$L$2:$L$81,0)),"NO"))</f>
        <v/>
      </c>
    </row>
    <row r="1591">
      <c r="A1591" s="48">
        <f>IF(Offerte!$A53="","",Offerte!$A53)</f>
        <v/>
      </c>
      <c r="B1591" s="48">
        <f>IF(Offerte!$A53="","",Offerte!$B53)</f>
        <v/>
      </c>
      <c r="C1591" s="48">
        <f>IF(Offerte!$A53="","",Offerte!$C53)</f>
        <v/>
      </c>
      <c r="D1591" s="48" t="inlineStr">
        <is>
          <t>B.4.1</t>
        </is>
      </c>
      <c r="E1591" s="48" t="inlineStr">
        <is>
          <t>B</t>
        </is>
      </c>
      <c r="F1591" s="48" t="inlineStr">
        <is>
          <t>Q</t>
        </is>
      </c>
      <c r="G1591" s="48" t="inlineStr">
        <is>
          <t>higher</t>
        </is>
      </c>
      <c r="H1591" s="48" t="n">
        <v>3</v>
      </c>
      <c r="I1591" s="48" t="inlineStr">
        <is>
          <t>Percorrenze aggiuntive offerte nel Programma d'esercizio delle prime due fasi attuative</t>
        </is>
      </c>
      <c r="J1591" s="73" t="n"/>
      <c r="K1591" s="73" t="n"/>
      <c r="L1591" s="73" t="n"/>
      <c r="M1591" s="73" t="n"/>
      <c r="N1591" s="57">
        <f>IF($A1591="","",IFERROR(VALUE($J1591),0))</f>
        <v/>
      </c>
      <c r="O1591" s="57">
        <f>IF($A1591="",0,IF(OR($S1591&lt;&gt;1,COUNTA($J1591:$M1591)=0),0,IF(SUMPRODUCT(MAX(($C$5:$C$2484=$C1591)*($D$5:$D$2484=$D1591)*($S$5:$S$2484=1)*IFERROR($N$5:$N$2484*1,0)))&gt;0,ROUND($H1591*($N1591/SUMPRODUCT(MAX(($C$5:$C$2484=$C1591)*($D$5:$D$2484=$D1591)*($S$5:$S$2484=1)*IFERROR($N$5:$N$2484*1,0)))),4),0)))</f>
        <v/>
      </c>
      <c r="P1591" s="48" t="inlineStr">
        <is>
          <t>vett*km</t>
        </is>
      </c>
      <c r="Q1591" s="57">
        <f>IF($A1591="","",$A1591&amp;"|"&amp;$C1591)</f>
        <v/>
      </c>
      <c r="R1591" s="57">
        <f>IF($A1591="","",$A1591&amp;"|"&amp;$C1591&amp;"|"&amp;$D1591)</f>
        <v/>
      </c>
      <c r="S1591" s="57">
        <f>IF($A1591="","",IFERROR(INDEX(Offerte!$D$2:$D$81,MATCH($Q1591,Offerte!$L$2:$L$81,0)),0))</f>
        <v/>
      </c>
      <c r="T1591" s="57">
        <f>IF($A1591="","",IFERROR(INDEX(Offerte!$G$2:$G$81,MATCH($Q1591,Offerte!$L$2:$L$81,0)),"NO"))</f>
        <v/>
      </c>
    </row>
    <row r="1592">
      <c r="A1592" s="48">
        <f>IF(Offerte!$A53="","",Offerte!$A53)</f>
        <v/>
      </c>
      <c r="B1592" s="48">
        <f>IF(Offerte!$A53="","",Offerte!$B53)</f>
        <v/>
      </c>
      <c r="C1592" s="48">
        <f>IF(Offerte!$A53="","",Offerte!$C53)</f>
        <v/>
      </c>
      <c r="D1592" s="48" t="inlineStr">
        <is>
          <t>B.5.1</t>
        </is>
      </c>
      <c r="E1592" s="48" t="inlineStr">
        <is>
          <t>B</t>
        </is>
      </c>
      <c r="F1592" s="48" t="inlineStr">
        <is>
          <t>D</t>
        </is>
      </c>
      <c r="G1592" s="48" t="inlineStr">
        <is>
          <t>discretionary</t>
        </is>
      </c>
      <c r="H1592" s="48" t="n">
        <v>2</v>
      </c>
      <c r="I1592" s="48" t="inlineStr">
        <is>
          <t>Efficacia del progetto di servizi complementari DRT</t>
        </is>
      </c>
      <c r="J1592" s="73" t="n"/>
      <c r="K1592" s="73" t="n"/>
      <c r="L1592" s="73" t="n"/>
      <c r="M1592" s="73" t="n"/>
      <c r="N1592" s="57">
        <f>IF($A1592="","",MAX(0,MIN(1,IFERROR(VALUE($M1592),0))))</f>
        <v/>
      </c>
      <c r="O1592" s="57">
        <f>IF($A1592="",0,IF(OR($S1592&lt;&gt;1,COUNTA($J1592:$M1592)=0),0,IF(SUMPRODUCT(MAX(($C$5:$C$2484=$C1592)*($D$5:$D$2484=$D1592)*($S$5:$S$2484=1)*IFERROR($N$5:$N$2484*1,0)))&gt;0,ROUND($H1592*($N1592/SUMPRODUCT(MAX(($C$5:$C$2484=$C1592)*($D$5:$D$2484=$D1592)*($S$5:$S$2484=1)*IFERROR($N$5:$N$2484*1,0)))),4),0)))</f>
        <v/>
      </c>
      <c r="P1592" s="48" t="inlineStr">
        <is>
          <t>coeff.</t>
        </is>
      </c>
      <c r="Q1592" s="57">
        <f>IF($A1592="","",$A1592&amp;"|"&amp;$C1592)</f>
        <v/>
      </c>
      <c r="R1592" s="57">
        <f>IF($A1592="","",$A1592&amp;"|"&amp;$C1592&amp;"|"&amp;$D1592)</f>
        <v/>
      </c>
      <c r="S1592" s="57">
        <f>IF($A1592="","",IFERROR(INDEX(Offerte!$D$2:$D$81,MATCH($Q1592,Offerte!$L$2:$L$81,0)),0))</f>
        <v/>
      </c>
      <c r="T1592" s="57">
        <f>IF($A1592="","",IFERROR(INDEX(Offerte!$G$2:$G$81,MATCH($Q1592,Offerte!$L$2:$L$81,0)),"NO"))</f>
        <v/>
      </c>
    </row>
    <row r="1593">
      <c r="A1593" s="48">
        <f>IF(Offerte!$A53="","",Offerte!$A53)</f>
        <v/>
      </c>
      <c r="B1593" s="48">
        <f>IF(Offerte!$A53="","",Offerte!$B53)</f>
        <v/>
      </c>
      <c r="C1593" s="48">
        <f>IF(Offerte!$A53="","",Offerte!$C53)</f>
        <v/>
      </c>
      <c r="D1593" s="48" t="inlineStr">
        <is>
          <t>C.1.1</t>
        </is>
      </c>
      <c r="E1593" s="48" t="inlineStr">
        <is>
          <t>C</t>
        </is>
      </c>
      <c r="F1593" s="48" t="inlineStr">
        <is>
          <t>Q</t>
        </is>
      </c>
      <c r="G1593" s="48" t="inlineStr">
        <is>
          <t>higher</t>
        </is>
      </c>
      <c r="H1593" s="48" t="n">
        <v>2</v>
      </c>
      <c r="I1593" s="48" t="inlineStr">
        <is>
          <t>Tasso di copertura del servizio con telecamere BSD</t>
        </is>
      </c>
      <c r="J1593" s="73" t="n"/>
      <c r="K1593" s="73" t="n"/>
      <c r="L1593" s="73" t="n"/>
      <c r="M1593" s="73" t="n"/>
      <c r="N1593" s="57">
        <f>IF($A1593="","",IFERROR(VALUE($K1593)/VALUE($L1593),IFERROR(VALUE($J1593),0)))</f>
        <v/>
      </c>
      <c r="O1593" s="57">
        <f>IF($A1593="",0,IF(OR($S1593&lt;&gt;1,COUNTA($J1593:$M1593)=0),0,IF(SUMPRODUCT(MAX(($C$5:$C$2484=$C1593)*($D$5:$D$2484=$D1593)*($S$5:$S$2484=1)*IFERROR($N$5:$N$2484*1,0)))&gt;0,ROUND($H1593*($N1593/SUMPRODUCT(MAX(($C$5:$C$2484=$C1593)*($D$5:$D$2484=$D1593)*($S$5:$S$2484=1)*IFERROR($N$5:$N$2484*1,0)))),4),0)))</f>
        <v/>
      </c>
      <c r="P1593" s="48" t="inlineStr">
        <is>
          <t>Autobus attrezzati con telecamere BSD / Autobus totali in offerta, incluse scorte</t>
        </is>
      </c>
      <c r="Q1593" s="57">
        <f>IF($A1593="","",$A1593&amp;"|"&amp;$C1593)</f>
        <v/>
      </c>
      <c r="R1593" s="57">
        <f>IF($A1593="","",$A1593&amp;"|"&amp;$C1593&amp;"|"&amp;$D1593)</f>
        <v/>
      </c>
      <c r="S1593" s="57">
        <f>IF($A1593="","",IFERROR(INDEX(Offerte!$D$2:$D$81,MATCH($Q1593,Offerte!$L$2:$L$81,0)),0))</f>
        <v/>
      </c>
      <c r="T1593" s="57">
        <f>IF($A1593="","",IFERROR(INDEX(Offerte!$G$2:$G$81,MATCH($Q1593,Offerte!$L$2:$L$81,0)),"NO"))</f>
        <v/>
      </c>
    </row>
    <row r="1594">
      <c r="A1594" s="48">
        <f>IF(Offerte!$A53="","",Offerte!$A53)</f>
        <v/>
      </c>
      <c r="B1594" s="48">
        <f>IF(Offerte!$A53="","",Offerte!$B53)</f>
        <v/>
      </c>
      <c r="C1594" s="48">
        <f>IF(Offerte!$A53="","",Offerte!$C53)</f>
        <v/>
      </c>
      <c r="D1594" s="48" t="inlineStr">
        <is>
          <t>C.1.2</t>
        </is>
      </c>
      <c r="E1594" s="48" t="inlineStr">
        <is>
          <t>C</t>
        </is>
      </c>
      <c r="F1594" s="48" t="inlineStr">
        <is>
          <t>Q</t>
        </is>
      </c>
      <c r="G1594" s="48" t="inlineStr">
        <is>
          <t>higher</t>
        </is>
      </c>
      <c r="H1594" s="48" t="n">
        <v>2</v>
      </c>
      <c r="I1594" s="48" t="inlineStr">
        <is>
          <t>Tasso di copertura del servizio con telecamere ADAS</t>
        </is>
      </c>
      <c r="J1594" s="73" t="n"/>
      <c r="K1594" s="73" t="n"/>
      <c r="L1594" s="73" t="n"/>
      <c r="M1594" s="73" t="n"/>
      <c r="N1594" s="57">
        <f>IF($A1594="","",IFERROR(VALUE($K1594)/VALUE($L1594),IFERROR(VALUE($J1594),0)))</f>
        <v/>
      </c>
      <c r="O1594" s="57">
        <f>IF($A1594="",0,IF(OR($S1594&lt;&gt;1,COUNTA($J1594:$M1594)=0),0,IF(SUMPRODUCT(MAX(($C$5:$C$2484=$C1594)*($D$5:$D$2484=$D1594)*($S$5:$S$2484=1)*IFERROR($N$5:$N$2484*1,0)))&gt;0,ROUND($H1594*($N1594/SUMPRODUCT(MAX(($C$5:$C$2484=$C1594)*($D$5:$D$2484=$D1594)*($S$5:$S$2484=1)*IFERROR($N$5:$N$2484*1,0)))),4),0)))</f>
        <v/>
      </c>
      <c r="P1594" s="48" t="inlineStr">
        <is>
          <t>Autobus attrezzati con telecamere ADAS / Autobus totali in offerta, incluse scorte</t>
        </is>
      </c>
      <c r="Q1594" s="57">
        <f>IF($A1594="","",$A1594&amp;"|"&amp;$C1594)</f>
        <v/>
      </c>
      <c r="R1594" s="57">
        <f>IF($A1594="","",$A1594&amp;"|"&amp;$C1594&amp;"|"&amp;$D1594)</f>
        <v/>
      </c>
      <c r="S1594" s="57">
        <f>IF($A1594="","",IFERROR(INDEX(Offerte!$D$2:$D$81,MATCH($Q1594,Offerte!$L$2:$L$81,0)),0))</f>
        <v/>
      </c>
      <c r="T1594" s="57">
        <f>IF($A1594="","",IFERROR(INDEX(Offerte!$G$2:$G$81,MATCH($Q1594,Offerte!$L$2:$L$81,0)),"NO"))</f>
        <v/>
      </c>
    </row>
    <row r="1595">
      <c r="A1595" s="48">
        <f>IF(Offerte!$A53="","",Offerte!$A53)</f>
        <v/>
      </c>
      <c r="B1595" s="48">
        <f>IF(Offerte!$A53="","",Offerte!$B53)</f>
        <v/>
      </c>
      <c r="C1595" s="48">
        <f>IF(Offerte!$A53="","",Offerte!$C53)</f>
        <v/>
      </c>
      <c r="D1595" s="48" t="inlineStr">
        <is>
          <t>C.2.1</t>
        </is>
      </c>
      <c r="E1595" s="48" t="inlineStr">
        <is>
          <t>C</t>
        </is>
      </c>
      <c r="F1595" s="48" t="inlineStr">
        <is>
          <t>Q</t>
        </is>
      </c>
      <c r="G1595" s="48" t="inlineStr">
        <is>
          <t>higher</t>
        </is>
      </c>
      <c r="H1595" s="48" t="n">
        <v>3</v>
      </c>
      <c r="I1595" s="48" t="inlineStr">
        <is>
          <t>Tasso di copertura del servizio con telecamere di bordo di videosorveglianza</t>
        </is>
      </c>
      <c r="J1595" s="73" t="n"/>
      <c r="K1595" s="73" t="n"/>
      <c r="L1595" s="73" t="n"/>
      <c r="M1595" s="73" t="n"/>
      <c r="N1595" s="57">
        <f>IF($A1595="","",IFERROR(VALUE($K1595)/VALUE($L1595),IFERROR(VALUE($J1595),0)))</f>
        <v/>
      </c>
      <c r="O1595" s="57">
        <f>IF($A1595="",0,IF(OR($S1595&lt;&gt;1,COUNTA($J1595:$M1595)=0),0,IF(SUMPRODUCT(MAX(($C$5:$C$2484=$C1595)*($D$5:$D$2484=$D1595)*($S$5:$S$2484=1)*IFERROR($N$5:$N$2484*1,0)))&gt;0,ROUND($H1595*($N1595/SUMPRODUCT(MAX(($C$5:$C$2484=$C1595)*($D$5:$D$2484=$D1595)*($S$5:$S$2484=1)*IFERROR($N$5:$N$2484*1,0)))),4),0)))</f>
        <v/>
      </c>
      <c r="P1595" s="48" t="inlineStr">
        <is>
          <t>Autobus attrezzati con videosorveglianza / Autobus totali in offerta, incluse scorte</t>
        </is>
      </c>
      <c r="Q1595" s="57">
        <f>IF($A1595="","",$A1595&amp;"|"&amp;$C1595)</f>
        <v/>
      </c>
      <c r="R1595" s="57">
        <f>IF($A1595="","",$A1595&amp;"|"&amp;$C1595&amp;"|"&amp;$D1595)</f>
        <v/>
      </c>
      <c r="S1595" s="57">
        <f>IF($A1595="","",IFERROR(INDEX(Offerte!$D$2:$D$81,MATCH($Q1595,Offerte!$L$2:$L$81,0)),0))</f>
        <v/>
      </c>
      <c r="T1595" s="57">
        <f>IF($A1595="","",IFERROR(INDEX(Offerte!$G$2:$G$81,MATCH($Q1595,Offerte!$L$2:$L$81,0)),"NO"))</f>
        <v/>
      </c>
    </row>
    <row r="1596">
      <c r="A1596" s="48">
        <f>IF(Offerte!$A53="","",Offerte!$A53)</f>
        <v/>
      </c>
      <c r="B1596" s="48">
        <f>IF(Offerte!$A53="","",Offerte!$B53)</f>
        <v/>
      </c>
      <c r="C1596" s="48">
        <f>IF(Offerte!$A53="","",Offerte!$C53)</f>
        <v/>
      </c>
      <c r="D1596" s="48" t="inlineStr">
        <is>
          <t>C.2.2</t>
        </is>
      </c>
      <c r="E1596" s="48" t="inlineStr">
        <is>
          <t>C</t>
        </is>
      </c>
      <c r="F1596" s="48" t="inlineStr">
        <is>
          <t>T</t>
        </is>
      </c>
      <c r="G1596" s="48" t="inlineStr">
        <is>
          <t>tabular</t>
        </is>
      </c>
      <c r="H1596" s="48" t="n">
        <v>1</v>
      </c>
      <c r="I1596" s="48" t="inlineStr">
        <is>
          <t>Software video/audio analisi per situazioni di pericolo</t>
        </is>
      </c>
      <c r="J1596" s="73" t="n"/>
      <c r="K1596" s="73" t="n"/>
      <c r="L1596" s="73" t="n"/>
      <c r="M1596" s="73" t="n"/>
      <c r="N1596" s="57">
        <f>IF($A1596="","",IF(IFERROR(VALUE($M1596),0)=1,1,0))</f>
        <v/>
      </c>
      <c r="O1596" s="57">
        <f>IF($A1596="",0,IF(OR($S1596&lt;&gt;1,COUNTA($J1596:$M1596)=0),0,IF($N1596=1,$H1596,0)))</f>
        <v/>
      </c>
      <c r="P1596" s="48" t="inlineStr">
        <is>
          <t>sì/no</t>
        </is>
      </c>
      <c r="Q1596" s="57">
        <f>IF($A1596="","",$A1596&amp;"|"&amp;$C1596)</f>
        <v/>
      </c>
      <c r="R1596" s="57">
        <f>IF($A1596="","",$A1596&amp;"|"&amp;$C1596&amp;"|"&amp;$D1596)</f>
        <v/>
      </c>
      <c r="S1596" s="57">
        <f>IF($A1596="","",IFERROR(INDEX(Offerte!$D$2:$D$81,MATCH($Q1596,Offerte!$L$2:$L$81,0)),0))</f>
        <v/>
      </c>
      <c r="T1596" s="57">
        <f>IF($A1596="","",IFERROR(INDEX(Offerte!$G$2:$G$81,MATCH($Q1596,Offerte!$L$2:$L$81,0)),"NO"))</f>
        <v/>
      </c>
    </row>
    <row r="1597">
      <c r="A1597" s="48">
        <f>IF(Offerte!$A53="","",Offerte!$A53)</f>
        <v/>
      </c>
      <c r="B1597" s="48">
        <f>IF(Offerte!$A53="","",Offerte!$B53)</f>
        <v/>
      </c>
      <c r="C1597" s="48">
        <f>IF(Offerte!$A53="","",Offerte!$C53)</f>
        <v/>
      </c>
      <c r="D1597" s="48" t="inlineStr">
        <is>
          <t>C.2.3</t>
        </is>
      </c>
      <c r="E1597" s="48" t="inlineStr">
        <is>
          <t>C</t>
        </is>
      </c>
      <c r="F1597" s="48" t="inlineStr">
        <is>
          <t>T</t>
        </is>
      </c>
      <c r="G1597" s="48" t="inlineStr">
        <is>
          <t>tabular</t>
        </is>
      </c>
      <c r="H1597" s="48" t="n">
        <v>1</v>
      </c>
      <c r="I1597" s="48" t="inlineStr">
        <is>
          <t>Collegamento con centrale qualificata di pronto intervento</t>
        </is>
      </c>
      <c r="J1597" s="73" t="n"/>
      <c r="K1597" s="73" t="n"/>
      <c r="L1597" s="73" t="n"/>
      <c r="M1597" s="73" t="n"/>
      <c r="N1597" s="57">
        <f>IF($A1597="","",IF(IFERROR(VALUE($M1597),0)=1,1,0))</f>
        <v/>
      </c>
      <c r="O1597" s="57">
        <f>IF($A1597="",0,IF(OR($S1597&lt;&gt;1,COUNTA($J1597:$M1597)=0),0,IF($N1597=1,$H1597,0)))</f>
        <v/>
      </c>
      <c r="P1597" s="48" t="inlineStr">
        <is>
          <t>sì/no</t>
        </is>
      </c>
      <c r="Q1597" s="57">
        <f>IF($A1597="","",$A1597&amp;"|"&amp;$C1597)</f>
        <v/>
      </c>
      <c r="R1597" s="57">
        <f>IF($A1597="","",$A1597&amp;"|"&amp;$C1597&amp;"|"&amp;$D1597)</f>
        <v/>
      </c>
      <c r="S1597" s="57">
        <f>IF($A1597="","",IFERROR(INDEX(Offerte!$D$2:$D$81,MATCH($Q1597,Offerte!$L$2:$L$81,0)),0))</f>
        <v/>
      </c>
      <c r="T1597" s="57">
        <f>IF($A1597="","",IFERROR(INDEX(Offerte!$G$2:$G$81,MATCH($Q1597,Offerte!$L$2:$L$81,0)),"NO"))</f>
        <v/>
      </c>
    </row>
    <row r="1598">
      <c r="A1598" s="48">
        <f>IF(Offerte!$A53="","",Offerte!$A53)</f>
        <v/>
      </c>
      <c r="B1598" s="48">
        <f>IF(Offerte!$A53="","",Offerte!$B53)</f>
        <v/>
      </c>
      <c r="C1598" s="48">
        <f>IF(Offerte!$A53="","",Offerte!$C53)</f>
        <v/>
      </c>
      <c r="D1598" s="48" t="inlineStr">
        <is>
          <t>C.2.4</t>
        </is>
      </c>
      <c r="E1598" s="48" t="inlineStr">
        <is>
          <t>C</t>
        </is>
      </c>
      <c r="F1598" s="48" t="inlineStr">
        <is>
          <t>Q</t>
        </is>
      </c>
      <c r="G1598" s="48" t="inlineStr">
        <is>
          <t>higher</t>
        </is>
      </c>
      <c r="H1598" s="48" t="n">
        <v>1</v>
      </c>
      <c r="I1598" s="48" t="inlineStr">
        <is>
          <t>Tasso di copertura del servizio con dispositivi per la chiamata di emergenza del conducente</t>
        </is>
      </c>
      <c r="J1598" s="73" t="n"/>
      <c r="K1598" s="73" t="n"/>
      <c r="L1598" s="73" t="n"/>
      <c r="M1598" s="73" t="n"/>
      <c r="N1598" s="57">
        <f>IF($A1598="","",IFERROR(VALUE($K1598)/VALUE($L1598),IFERROR(VALUE($J1598),0)))</f>
        <v/>
      </c>
      <c r="O1598" s="57">
        <f>IF($A1598="",0,IF(OR($S1598&lt;&gt;1,COUNTA($J1598:$M1598)=0),0,IF(SUMPRODUCT(MAX(($C$5:$C$2484=$C1598)*($D$5:$D$2484=$D1598)*($S$5:$S$2484=1)*IFERROR($N$5:$N$2484*1,0)))&gt;0,ROUND($H1598*($N1598/SUMPRODUCT(MAX(($C$5:$C$2484=$C1598)*($D$5:$D$2484=$D1598)*($S$5:$S$2484=1)*IFERROR($N$5:$N$2484*1,0)))),4),0)))</f>
        <v/>
      </c>
      <c r="P1598" s="48" t="inlineStr">
        <is>
          <t>Autobus attrezzati con chiamata di emergenza / Autobus totali in offerta, incluse scorte</t>
        </is>
      </c>
      <c r="Q1598" s="57">
        <f>IF($A1598="","",$A1598&amp;"|"&amp;$C1598)</f>
        <v/>
      </c>
      <c r="R1598" s="57">
        <f>IF($A1598="","",$A1598&amp;"|"&amp;$C1598&amp;"|"&amp;$D1598)</f>
        <v/>
      </c>
      <c r="S1598" s="57">
        <f>IF($A1598="","",IFERROR(INDEX(Offerte!$D$2:$D$81,MATCH($Q1598,Offerte!$L$2:$L$81,0)),0))</f>
        <v/>
      </c>
      <c r="T1598" s="57">
        <f>IF($A1598="","",IFERROR(INDEX(Offerte!$G$2:$G$81,MATCH($Q1598,Offerte!$L$2:$L$81,0)),"NO"))</f>
        <v/>
      </c>
    </row>
    <row r="1599">
      <c r="A1599" s="48">
        <f>IF(Offerte!$A53="","",Offerte!$A53)</f>
        <v/>
      </c>
      <c r="B1599" s="48">
        <f>IF(Offerte!$A53="","",Offerte!$B53)</f>
        <v/>
      </c>
      <c r="C1599" s="48">
        <f>IF(Offerte!$A53="","",Offerte!$C53)</f>
        <v/>
      </c>
      <c r="D1599" s="48" t="inlineStr">
        <is>
          <t>C.3.1</t>
        </is>
      </c>
      <c r="E1599" s="48" t="inlineStr">
        <is>
          <t>C</t>
        </is>
      </c>
      <c r="F1599" s="48" t="inlineStr">
        <is>
          <t>Q</t>
        </is>
      </c>
      <c r="G1599" s="48" t="inlineStr">
        <is>
          <t>higher</t>
        </is>
      </c>
      <c r="H1599" s="48" t="n">
        <v>2</v>
      </c>
      <c r="I1599" s="48" t="inlineStr">
        <is>
          <t>Tasso di copertura del servizio con dispositivi di informazione dinamica a bordo mezzo</t>
        </is>
      </c>
      <c r="J1599" s="73" t="n"/>
      <c r="K1599" s="73" t="n"/>
      <c r="L1599" s="73" t="n"/>
      <c r="M1599" s="73" t="n"/>
      <c r="N1599" s="57">
        <f>IF($A1599="","",IFERROR(VALUE($K1599)/VALUE($L1599),IFERROR(VALUE($J1599),0)))</f>
        <v/>
      </c>
      <c r="O1599" s="57">
        <f>IF($A1599="",0,IF(OR($S1599&lt;&gt;1,COUNTA($J1599:$M1599)=0),0,IF(SUMPRODUCT(MAX(($C$5:$C$2484=$C1599)*($D$5:$D$2484=$D1599)*($S$5:$S$2484=1)*IFERROR($N$5:$N$2484*1,0)))&gt;0,ROUND($H1599*($N1599/SUMPRODUCT(MAX(($C$5:$C$2484=$C1599)*($D$5:$D$2484=$D1599)*($S$5:$S$2484=1)*IFERROR($N$5:$N$2484*1,0)))),4),0)))</f>
        <v/>
      </c>
      <c r="P1599" s="48" t="inlineStr">
        <is>
          <t>Autobus con monitor e indicatori vocali / Autobus totali in offerta, incluse scorte</t>
        </is>
      </c>
      <c r="Q1599" s="57">
        <f>IF($A1599="","",$A1599&amp;"|"&amp;$C1599)</f>
        <v/>
      </c>
      <c r="R1599" s="57">
        <f>IF($A1599="","",$A1599&amp;"|"&amp;$C1599&amp;"|"&amp;$D1599)</f>
        <v/>
      </c>
      <c r="S1599" s="57">
        <f>IF($A1599="","",IFERROR(INDEX(Offerte!$D$2:$D$81,MATCH($Q1599,Offerte!$L$2:$L$81,0)),0))</f>
        <v/>
      </c>
      <c r="T1599" s="57">
        <f>IF($A1599="","",IFERROR(INDEX(Offerte!$G$2:$G$81,MATCH($Q1599,Offerte!$L$2:$L$81,0)),"NO"))</f>
        <v/>
      </c>
    </row>
    <row r="1600">
      <c r="A1600" s="48">
        <f>IF(Offerte!$A53="","",Offerte!$A53)</f>
        <v/>
      </c>
      <c r="B1600" s="48">
        <f>IF(Offerte!$A53="","",Offerte!$B53)</f>
        <v/>
      </c>
      <c r="C1600" s="48">
        <f>IF(Offerte!$A53="","",Offerte!$C53)</f>
        <v/>
      </c>
      <c r="D1600" s="48" t="inlineStr">
        <is>
          <t>C.3.2</t>
        </is>
      </c>
      <c r="E1600" s="48" t="inlineStr">
        <is>
          <t>C</t>
        </is>
      </c>
      <c r="F1600" s="48" t="inlineStr">
        <is>
          <t>T</t>
        </is>
      </c>
      <c r="G1600" s="48" t="inlineStr">
        <is>
          <t>tabular</t>
        </is>
      </c>
      <c r="H1600" s="48" t="n">
        <v>2</v>
      </c>
      <c r="I1600" s="48" t="inlineStr">
        <is>
          <t>Informazioni a bordo su coincidenze ai nodi</t>
        </is>
      </c>
      <c r="J1600" s="73" t="n"/>
      <c r="K1600" s="73" t="n"/>
      <c r="L1600" s="73" t="n"/>
      <c r="M1600" s="73" t="n"/>
      <c r="N1600" s="57">
        <f>IF($A1600="","",IF(IFERROR(VALUE($M1600),0)=1,1,0))</f>
        <v/>
      </c>
      <c r="O1600" s="57">
        <f>IF($A1600="",0,IF(OR($S1600&lt;&gt;1,COUNTA($J1600:$M1600)=0),0,IF(AND($N1600=1,IFERROR(SUMIFS($N$5:$N$2484,$Q$5:$Q$2484,$Q1600,$D$5:$D$2484,"C.3.1"),0)&gt;=0.5),$H1600,0)))</f>
        <v/>
      </c>
      <c r="P1600" s="48" t="inlineStr">
        <is>
          <t>Dipende da C.3.1 &gt;= 0.5</t>
        </is>
      </c>
      <c r="Q1600" s="57">
        <f>IF($A1600="","",$A1600&amp;"|"&amp;$C1600)</f>
        <v/>
      </c>
      <c r="R1600" s="57">
        <f>IF($A1600="","",$A1600&amp;"|"&amp;$C1600&amp;"|"&amp;$D1600)</f>
        <v/>
      </c>
      <c r="S1600" s="57">
        <f>IF($A1600="","",IFERROR(INDEX(Offerte!$D$2:$D$81,MATCH($Q1600,Offerte!$L$2:$L$81,0)),0))</f>
        <v/>
      </c>
      <c r="T1600" s="57">
        <f>IF($A1600="","",IFERROR(INDEX(Offerte!$G$2:$G$81,MATCH($Q1600,Offerte!$L$2:$L$81,0)),"NO"))</f>
        <v/>
      </c>
    </row>
    <row r="1601">
      <c r="A1601" s="48">
        <f>IF(Offerte!$A53="","",Offerte!$A53)</f>
        <v/>
      </c>
      <c r="B1601" s="48">
        <f>IF(Offerte!$A53="","",Offerte!$B53)</f>
        <v/>
      </c>
      <c r="C1601" s="48">
        <f>IF(Offerte!$A53="","",Offerte!$C53)</f>
        <v/>
      </c>
      <c r="D1601" s="48" t="inlineStr">
        <is>
          <t>D.1.1</t>
        </is>
      </c>
      <c r="E1601" s="48" t="inlineStr">
        <is>
          <t>D</t>
        </is>
      </c>
      <c r="F1601" s="48" t="inlineStr">
        <is>
          <t>Q</t>
        </is>
      </c>
      <c r="G1601" s="48" t="inlineStr">
        <is>
          <t>higher</t>
        </is>
      </c>
      <c r="H1601" s="48" t="n">
        <v>3</v>
      </c>
      <c r="I1601" s="48" t="inlineStr">
        <is>
          <t>Installazione di pensiline</t>
        </is>
      </c>
      <c r="J1601" s="73" t="n"/>
      <c r="K1601" s="73" t="n"/>
      <c r="L1601" s="73" t="n"/>
      <c r="M1601" s="73" t="n"/>
      <c r="N1601" s="57">
        <f>IF($A1601="","",IFERROR(VALUE($J1601),0))</f>
        <v/>
      </c>
      <c r="O1601" s="57">
        <f>IF($A1601="",0,IF(OR($S1601&lt;&gt;1,COUNTA($J1601:$M1601)=0),0,IF(SUMPRODUCT(MAX(($C$5:$C$2484=$C1601)*($D$5:$D$2484=$D1601)*($S$5:$S$2484=1)*IFERROR($N$5:$N$2484*1,0)))&gt;0,ROUND($H1601*($N1601/SUMPRODUCT(MAX(($C$5:$C$2484=$C1601)*($D$5:$D$2484=$D1601)*($S$5:$S$2484=1)*IFERROR($N$5:$N$2484*1,0)))),4),0)))</f>
        <v/>
      </c>
      <c r="P1601" s="48" t="inlineStr">
        <is>
          <t>fermate</t>
        </is>
      </c>
      <c r="Q1601" s="57">
        <f>IF($A1601="","",$A1601&amp;"|"&amp;$C1601)</f>
        <v/>
      </c>
      <c r="R1601" s="57">
        <f>IF($A1601="","",$A1601&amp;"|"&amp;$C1601&amp;"|"&amp;$D1601)</f>
        <v/>
      </c>
      <c r="S1601" s="57">
        <f>IF($A1601="","",IFERROR(INDEX(Offerte!$D$2:$D$81,MATCH($Q1601,Offerte!$L$2:$L$81,0)),0))</f>
        <v/>
      </c>
      <c r="T1601" s="57">
        <f>IF($A1601="","",IFERROR(INDEX(Offerte!$G$2:$G$81,MATCH($Q1601,Offerte!$L$2:$L$81,0)),"NO"))</f>
        <v/>
      </c>
    </row>
    <row r="1602">
      <c r="A1602" s="48">
        <f>IF(Offerte!$A53="","",Offerte!$A53)</f>
        <v/>
      </c>
      <c r="B1602" s="48">
        <f>IF(Offerte!$A53="","",Offerte!$B53)</f>
        <v/>
      </c>
      <c r="C1602" s="48">
        <f>IF(Offerte!$A53="","",Offerte!$C53)</f>
        <v/>
      </c>
      <c r="D1602" s="48" t="inlineStr">
        <is>
          <t>D.1.2</t>
        </is>
      </c>
      <c r="E1602" s="48" t="inlineStr">
        <is>
          <t>D</t>
        </is>
      </c>
      <c r="F1602" s="48" t="inlineStr">
        <is>
          <t>Q</t>
        </is>
      </c>
      <c r="G1602" s="48" t="inlineStr">
        <is>
          <t>higher</t>
        </is>
      </c>
      <c r="H1602" s="48" t="n">
        <v>3</v>
      </c>
      <c r="I1602" s="48" t="inlineStr">
        <is>
          <t>Installazione di paline di fermata conformi alla DGR 581/2023</t>
        </is>
      </c>
      <c r="J1602" s="73" t="n"/>
      <c r="K1602" s="73" t="n"/>
      <c r="L1602" s="73" t="n"/>
      <c r="M1602" s="73" t="n"/>
      <c r="N1602" s="57">
        <f>IF($A1602="","",IFERROR(VALUE($J1602),0))</f>
        <v/>
      </c>
      <c r="O1602" s="57">
        <f>IF($A1602="",0,IF(OR($S1602&lt;&gt;1,COUNTA($J1602:$M1602)=0),0,IF(SUMPRODUCT(MAX(($C$5:$C$2484=$C1602)*($D$5:$D$2484=$D1602)*($S$5:$S$2484=1)*IFERROR($N$5:$N$2484*1,0)))&gt;0,ROUND($H1602*($N1602/SUMPRODUCT(MAX(($C$5:$C$2484=$C1602)*($D$5:$D$2484=$D1602)*($S$5:$S$2484=1)*IFERROR($N$5:$N$2484*1,0)))),4),0)))</f>
        <v/>
      </c>
      <c r="P1602" s="48" t="inlineStr">
        <is>
          <t>fermate</t>
        </is>
      </c>
      <c r="Q1602" s="57">
        <f>IF($A1602="","",$A1602&amp;"|"&amp;$C1602)</f>
        <v/>
      </c>
      <c r="R1602" s="57">
        <f>IF($A1602="","",$A1602&amp;"|"&amp;$C1602&amp;"|"&amp;$D1602)</f>
        <v/>
      </c>
      <c r="S1602" s="57">
        <f>IF($A1602="","",IFERROR(INDEX(Offerte!$D$2:$D$81,MATCH($Q1602,Offerte!$L$2:$L$81,0)),0))</f>
        <v/>
      </c>
      <c r="T1602" s="57">
        <f>IF($A1602="","",IFERROR(INDEX(Offerte!$G$2:$G$81,MATCH($Q1602,Offerte!$L$2:$L$81,0)),"NO"))</f>
        <v/>
      </c>
    </row>
    <row r="1603">
      <c r="A1603" s="48">
        <f>IF(Offerte!$A53="","",Offerte!$A53)</f>
        <v/>
      </c>
      <c r="B1603" s="48">
        <f>IF(Offerte!$A53="","",Offerte!$B53)</f>
        <v/>
      </c>
      <c r="C1603" s="48">
        <f>IF(Offerte!$A53="","",Offerte!$C53)</f>
        <v/>
      </c>
      <c r="D1603" s="48" t="inlineStr">
        <is>
          <t>D.1.3</t>
        </is>
      </c>
      <c r="E1603" s="48" t="inlineStr">
        <is>
          <t>D</t>
        </is>
      </c>
      <c r="F1603" s="48" t="inlineStr">
        <is>
          <t>Q</t>
        </is>
      </c>
      <c r="G1603" s="48" t="inlineStr">
        <is>
          <t>higher</t>
        </is>
      </c>
      <c r="H1603" s="48" t="n">
        <v>2</v>
      </c>
      <c r="I1603" s="48" t="inlineStr">
        <is>
          <t>Display informativi connessi alle fermate</t>
        </is>
      </c>
      <c r="J1603" s="73" t="n"/>
      <c r="K1603" s="73" t="n"/>
      <c r="L1603" s="73" t="n"/>
      <c r="M1603" s="73" t="n"/>
      <c r="N1603" s="57">
        <f>IF($A1603="","",IFERROR(VALUE($J1603),0))</f>
        <v/>
      </c>
      <c r="O1603" s="57">
        <f>IF($A1603="",0,IF(OR($S1603&lt;&gt;1,COUNTA($J1603:$M1603)=0),0,IF(SUMPRODUCT(MAX(($C$5:$C$2484=$C1603)*($D$5:$D$2484=$D1603)*($S$5:$S$2484=1)*IFERROR($N$5:$N$2484*1,0)))&gt;0,ROUND($H1603*($N1603/SUMPRODUCT(MAX(($C$5:$C$2484=$C1603)*($D$5:$D$2484=$D1603)*($S$5:$S$2484=1)*IFERROR($N$5:$N$2484*1,0)))),4),0)))</f>
        <v/>
      </c>
      <c r="P1603" s="48" t="inlineStr">
        <is>
          <t>fermate</t>
        </is>
      </c>
      <c r="Q1603" s="57">
        <f>IF($A1603="","",$A1603&amp;"|"&amp;$C1603)</f>
        <v/>
      </c>
      <c r="R1603" s="57">
        <f>IF($A1603="","",$A1603&amp;"|"&amp;$C1603&amp;"|"&amp;$D1603)</f>
        <v/>
      </c>
      <c r="S1603" s="57">
        <f>IF($A1603="","",IFERROR(INDEX(Offerte!$D$2:$D$81,MATCH($Q1603,Offerte!$L$2:$L$81,0)),0))</f>
        <v/>
      </c>
      <c r="T1603" s="57">
        <f>IF($A1603="","",IFERROR(INDEX(Offerte!$G$2:$G$81,MATCH($Q1603,Offerte!$L$2:$L$81,0)),"NO"))</f>
        <v/>
      </c>
    </row>
    <row r="1604">
      <c r="A1604" s="48">
        <f>IF(Offerte!$A53="","",Offerte!$A53)</f>
        <v/>
      </c>
      <c r="B1604" s="48">
        <f>IF(Offerte!$A53="","",Offerte!$B53)</f>
        <v/>
      </c>
      <c r="C1604" s="48">
        <f>IF(Offerte!$A53="","",Offerte!$C53)</f>
        <v/>
      </c>
      <c r="D1604" s="48" t="inlineStr">
        <is>
          <t>D.2.1</t>
        </is>
      </c>
      <c r="E1604" s="48" t="inlineStr">
        <is>
          <t>D</t>
        </is>
      </c>
      <c r="F1604" s="48" t="inlineStr">
        <is>
          <t>Q</t>
        </is>
      </c>
      <c r="G1604" s="48" t="inlineStr">
        <is>
          <t>higher</t>
        </is>
      </c>
      <c r="H1604" s="48" t="n">
        <v>2</v>
      </c>
      <c r="I1604" s="48" t="inlineStr">
        <is>
          <t>Segnali tattili Loges-Vet-Evolution</t>
        </is>
      </c>
      <c r="J1604" s="73" t="n"/>
      <c r="K1604" s="73" t="n"/>
      <c r="L1604" s="73" t="n"/>
      <c r="M1604" s="73" t="n"/>
      <c r="N1604" s="57">
        <f>IF($A1604="","",IFERROR(VALUE($J1604),0))</f>
        <v/>
      </c>
      <c r="O1604" s="57">
        <f>IF($A1604="",0,IF(OR($S1604&lt;&gt;1,COUNTA($J1604:$M1604)=0),0,IF(SUMPRODUCT(MAX(($C$5:$C$2484=$C1604)*($D$5:$D$2484=$D1604)*($S$5:$S$2484=1)*IFERROR($N$5:$N$2484*1,0)))&gt;0,ROUND($H1604*($N1604/SUMPRODUCT(MAX(($C$5:$C$2484=$C1604)*($D$5:$D$2484=$D1604)*($S$5:$S$2484=1)*IFERROR($N$5:$N$2484*1,0)))),4),0)))</f>
        <v/>
      </c>
      <c r="P1604" s="48" t="inlineStr">
        <is>
          <t>fermate</t>
        </is>
      </c>
      <c r="Q1604" s="57">
        <f>IF($A1604="","",$A1604&amp;"|"&amp;$C1604)</f>
        <v/>
      </c>
      <c r="R1604" s="57">
        <f>IF($A1604="","",$A1604&amp;"|"&amp;$C1604&amp;"|"&amp;$D1604)</f>
        <v/>
      </c>
      <c r="S1604" s="57">
        <f>IF($A1604="","",IFERROR(INDEX(Offerte!$D$2:$D$81,MATCH($Q1604,Offerte!$L$2:$L$81,0)),0))</f>
        <v/>
      </c>
      <c r="T1604" s="57">
        <f>IF($A1604="","",IFERROR(INDEX(Offerte!$G$2:$G$81,MATCH($Q1604,Offerte!$L$2:$L$81,0)),"NO"))</f>
        <v/>
      </c>
    </row>
    <row r="1605">
      <c r="A1605" s="48">
        <f>IF(Offerte!$A53="","",Offerte!$A53)</f>
        <v/>
      </c>
      <c r="B1605" s="48">
        <f>IF(Offerte!$A53="","",Offerte!$B53)</f>
        <v/>
      </c>
      <c r="C1605" s="48">
        <f>IF(Offerte!$A53="","",Offerte!$C53)</f>
        <v/>
      </c>
      <c r="D1605" s="48" t="inlineStr">
        <is>
          <t>E.1.1</t>
        </is>
      </c>
      <c r="E1605" s="48" t="inlineStr">
        <is>
          <t>E</t>
        </is>
      </c>
      <c r="F1605" s="48" t="inlineStr">
        <is>
          <t>T</t>
        </is>
      </c>
      <c r="G1605" s="48" t="inlineStr">
        <is>
          <t>tabular</t>
        </is>
      </c>
      <c r="H1605" s="48" t="n">
        <v>2</v>
      </c>
      <c r="I1605" s="48" t="inlineStr">
        <is>
          <t>Mobile app con travel planner PRM</t>
        </is>
      </c>
      <c r="J1605" s="73" t="n"/>
      <c r="K1605" s="73" t="n"/>
      <c r="L1605" s="73" t="n"/>
      <c r="M1605" s="73" t="n"/>
      <c r="N1605" s="57">
        <f>IF($A1605="","",IF(IFERROR(VALUE($M1605),0)=1,1,0))</f>
        <v/>
      </c>
      <c r="O1605" s="57">
        <f>IF($A1605="",0,IF(OR($S1605&lt;&gt;1,COUNTA($J1605:$M1605)=0),0,IF($N1605=1,$H1605,0)))</f>
        <v/>
      </c>
      <c r="P1605" s="48" t="inlineStr">
        <is>
          <t>sì/no</t>
        </is>
      </c>
      <c r="Q1605" s="57">
        <f>IF($A1605="","",$A1605&amp;"|"&amp;$C1605)</f>
        <v/>
      </c>
      <c r="R1605" s="57">
        <f>IF($A1605="","",$A1605&amp;"|"&amp;$C1605&amp;"|"&amp;$D1605)</f>
        <v/>
      </c>
      <c r="S1605" s="57">
        <f>IF($A1605="","",IFERROR(INDEX(Offerte!$D$2:$D$81,MATCH($Q1605,Offerte!$L$2:$L$81,0)),0))</f>
        <v/>
      </c>
      <c r="T1605" s="57">
        <f>IF($A1605="","",IFERROR(INDEX(Offerte!$G$2:$G$81,MATCH($Q1605,Offerte!$L$2:$L$81,0)),"NO"))</f>
        <v/>
      </c>
    </row>
    <row r="1606">
      <c r="A1606" s="48">
        <f>IF(Offerte!$A53="","",Offerte!$A53)</f>
        <v/>
      </c>
      <c r="B1606" s="48">
        <f>IF(Offerte!$A53="","",Offerte!$B53)</f>
        <v/>
      </c>
      <c r="C1606" s="48">
        <f>IF(Offerte!$A53="","",Offerte!$C53)</f>
        <v/>
      </c>
      <c r="D1606" s="48" t="inlineStr">
        <is>
          <t>E.2.1</t>
        </is>
      </c>
      <c r="E1606" s="48" t="inlineStr">
        <is>
          <t>E</t>
        </is>
      </c>
      <c r="F1606" s="48" t="inlineStr">
        <is>
          <t>D</t>
        </is>
      </c>
      <c r="G1606" s="48" t="inlineStr">
        <is>
          <t>discretionary</t>
        </is>
      </c>
      <c r="H1606" s="48" t="n">
        <v>2</v>
      </c>
      <c r="I1606" s="48" t="inlineStr">
        <is>
          <t>Altre azioni informative e rapporti con gli utenti</t>
        </is>
      </c>
      <c r="J1606" s="73" t="n"/>
      <c r="K1606" s="73" t="n"/>
      <c r="L1606" s="73" t="n"/>
      <c r="M1606" s="73" t="n"/>
      <c r="N1606" s="57">
        <f>IF($A1606="","",MAX(0,MIN(1,IFERROR(VALUE($M1606),0))))</f>
        <v/>
      </c>
      <c r="O1606" s="57">
        <f>IF($A1606="",0,IF(OR($S1606&lt;&gt;1,COUNTA($J1606:$M1606)=0),0,IF(SUMPRODUCT(MAX(($C$5:$C$2484=$C1606)*($D$5:$D$2484=$D1606)*($S$5:$S$2484=1)*IFERROR($N$5:$N$2484*1,0)))&gt;0,ROUND($H1606*($N1606/SUMPRODUCT(MAX(($C$5:$C$2484=$C1606)*($D$5:$D$2484=$D1606)*($S$5:$S$2484=1)*IFERROR($N$5:$N$2484*1,0)))),4),0)))</f>
        <v/>
      </c>
      <c r="P1606" s="48" t="inlineStr">
        <is>
          <t>coeff.</t>
        </is>
      </c>
      <c r="Q1606" s="57">
        <f>IF($A1606="","",$A1606&amp;"|"&amp;$C1606)</f>
        <v/>
      </c>
      <c r="R1606" s="57">
        <f>IF($A1606="","",$A1606&amp;"|"&amp;$C1606&amp;"|"&amp;$D1606)</f>
        <v/>
      </c>
      <c r="S1606" s="57">
        <f>IF($A1606="","",IFERROR(INDEX(Offerte!$D$2:$D$81,MATCH($Q1606,Offerte!$L$2:$L$81,0)),0))</f>
        <v/>
      </c>
      <c r="T1606" s="57">
        <f>IF($A1606="","",IFERROR(INDEX(Offerte!$G$2:$G$81,MATCH($Q1606,Offerte!$L$2:$L$81,0)),"NO"))</f>
        <v/>
      </c>
    </row>
    <row r="1607">
      <c r="A1607" s="48">
        <f>IF(Offerte!$A53="","",Offerte!$A53)</f>
        <v/>
      </c>
      <c r="B1607" s="48">
        <f>IF(Offerte!$A53="","",Offerte!$B53)</f>
        <v/>
      </c>
      <c r="C1607" s="48">
        <f>IF(Offerte!$A53="","",Offerte!$C53)</f>
        <v/>
      </c>
      <c r="D1607" s="48" t="inlineStr">
        <is>
          <t>F.1.1</t>
        </is>
      </c>
      <c r="E1607" s="48" t="inlineStr">
        <is>
          <t>F</t>
        </is>
      </c>
      <c r="F1607" s="48" t="inlineStr">
        <is>
          <t>Q</t>
        </is>
      </c>
      <c r="G1607" s="48" t="inlineStr">
        <is>
          <t>lower</t>
        </is>
      </c>
      <c r="H1607" s="48" t="n">
        <v>7</v>
      </c>
      <c r="I1607" s="48" t="inlineStr">
        <is>
          <t>Performance ambientali del parco mezzi adibito al servizio - I_CEA</t>
        </is>
      </c>
      <c r="J1607" s="73" t="n"/>
      <c r="K1607" s="73" t="n"/>
      <c r="L1607" s="73" t="n"/>
      <c r="M1607" s="73" t="n"/>
      <c r="N1607" s="57">
        <f>IF($A1607="","",IFERROR(VALUE($J1607),0))</f>
        <v/>
      </c>
      <c r="O1607" s="57">
        <f>IF($A1607="",0,IF(OR($S1607&lt;&gt;1,COUNTA($J1607:$M1607)=0),0,IF(AND(IFERROR(AGGREGATE(15,6,$N$5:$N$2484/(($C$5:$C$2484=$C1607)*($D$5:$D$2484=$D1607)*($S$5:$S$2484=1)*($N$5:$N$2484&gt;0)),1),0)&gt;0,$N1607&gt;0),ROUND($H1607*(IFERROR(AGGREGATE(15,6,$N$5:$N$2484/(($C$5:$C$2484=$C1607)*($D$5:$D$2484=$D1607)*($S$5:$S$2484=1)*($N$5:$N$2484&gt;0)),1),0)/$N1607),4),0)))</f>
        <v/>
      </c>
      <c r="P1607" s="48" t="inlineStr">
        <is>
          <t>indice</t>
        </is>
      </c>
      <c r="Q1607" s="57">
        <f>IF($A1607="","",$A1607&amp;"|"&amp;$C1607)</f>
        <v/>
      </c>
      <c r="R1607" s="57">
        <f>IF($A1607="","",$A1607&amp;"|"&amp;$C1607&amp;"|"&amp;$D1607)</f>
        <v/>
      </c>
      <c r="S1607" s="57">
        <f>IF($A1607="","",IFERROR(INDEX(Offerte!$D$2:$D$81,MATCH($Q1607,Offerte!$L$2:$L$81,0)),0))</f>
        <v/>
      </c>
      <c r="T1607" s="57">
        <f>IF($A1607="","",IFERROR(INDEX(Offerte!$G$2:$G$81,MATCH($Q1607,Offerte!$L$2:$L$81,0)),"NO"))</f>
        <v/>
      </c>
    </row>
    <row r="1608">
      <c r="A1608" s="48">
        <f>IF(Offerte!$A53="","",Offerte!$A53)</f>
        <v/>
      </c>
      <c r="B1608" s="48">
        <f>IF(Offerte!$A53="","",Offerte!$B53)</f>
        <v/>
      </c>
      <c r="C1608" s="48">
        <f>IF(Offerte!$A53="","",Offerte!$C53)</f>
        <v/>
      </c>
      <c r="D1608" s="48" t="inlineStr">
        <is>
          <t>F.2.1</t>
        </is>
      </c>
      <c r="E1608" s="48" t="inlineStr">
        <is>
          <t>F</t>
        </is>
      </c>
      <c r="F1608" s="48" t="inlineStr">
        <is>
          <t>Q</t>
        </is>
      </c>
      <c r="G1608" s="48" t="inlineStr">
        <is>
          <t>higher</t>
        </is>
      </c>
      <c r="H1608" s="48" t="n">
        <v>2</v>
      </c>
      <c r="I1608" s="48" t="inlineStr">
        <is>
          <t>Tasso di copertura del servizio con dispositivi ECO-DRIVER</t>
        </is>
      </c>
      <c r="J1608" s="73" t="n"/>
      <c r="K1608" s="73" t="n"/>
      <c r="L1608" s="73" t="n"/>
      <c r="M1608" s="73" t="n"/>
      <c r="N1608" s="57">
        <f>IF($A1608="","",IFERROR(VALUE($K1608)/VALUE($L1608),IFERROR(VALUE($J1608),0)))</f>
        <v/>
      </c>
      <c r="O1608" s="57">
        <f>IF($A1608="",0,IF(OR($S1608&lt;&gt;1,COUNTA($J1608:$M1608)=0),0,IF(SUMPRODUCT(MAX(($C$5:$C$2484=$C1608)*($D$5:$D$2484=$D1608)*($S$5:$S$2484=1)*IFERROR($N$5:$N$2484*1,0)))&gt;0,ROUND($H1608*($N1608/SUMPRODUCT(MAX(($C$5:$C$2484=$C1608)*($D$5:$D$2484=$D1608)*($S$5:$S$2484=1)*IFERROR($N$5:$N$2484*1,0)))),4),0)))</f>
        <v/>
      </c>
      <c r="P1608" s="48" t="inlineStr">
        <is>
          <t>Autobus attrezzati con dispositivi ECO-DRIVER / Autobus totali in offerta, incluse scorte</t>
        </is>
      </c>
      <c r="Q1608" s="57">
        <f>IF($A1608="","",$A1608&amp;"|"&amp;$C1608)</f>
        <v/>
      </c>
      <c r="R1608" s="57">
        <f>IF($A1608="","",$A1608&amp;"|"&amp;$C1608&amp;"|"&amp;$D1608)</f>
        <v/>
      </c>
      <c r="S1608" s="57">
        <f>IF($A1608="","",IFERROR(INDEX(Offerte!$D$2:$D$81,MATCH($Q1608,Offerte!$L$2:$L$81,0)),0))</f>
        <v/>
      </c>
      <c r="T1608" s="57">
        <f>IF($A1608="","",IFERROR(INDEX(Offerte!$G$2:$G$81,MATCH($Q1608,Offerte!$L$2:$L$81,0)),"NO"))</f>
        <v/>
      </c>
    </row>
    <row r="1609">
      <c r="A1609" s="48">
        <f>IF(Offerte!$A53="","",Offerte!$A53)</f>
        <v/>
      </c>
      <c r="B1609" s="48">
        <f>IF(Offerte!$A53="","",Offerte!$B53)</f>
        <v/>
      </c>
      <c r="C1609" s="48">
        <f>IF(Offerte!$A53="","",Offerte!$C53)</f>
        <v/>
      </c>
      <c r="D1609" s="48" t="inlineStr">
        <is>
          <t>F.3.1</t>
        </is>
      </c>
      <c r="E1609" s="48" t="inlineStr">
        <is>
          <t>F</t>
        </is>
      </c>
      <c r="F1609" s="48" t="inlineStr">
        <is>
          <t>Q</t>
        </is>
      </c>
      <c r="G1609" s="48" t="inlineStr">
        <is>
          <t>higher</t>
        </is>
      </c>
      <c r="H1609" s="48" t="n">
        <v>2</v>
      </c>
      <c r="I1609" s="48" t="inlineStr">
        <is>
          <t>Autoproduzione consumi elettrici per trazione</t>
        </is>
      </c>
      <c r="J1609" s="73" t="n"/>
      <c r="K1609" s="73" t="n"/>
      <c r="L1609" s="73" t="n"/>
      <c r="M1609" s="73" t="n"/>
      <c r="N1609" s="57">
        <f>IF($A1609="","",IFERROR(VALUE($J1609),0))</f>
        <v/>
      </c>
      <c r="O1609" s="57">
        <f>IF($A1609="",0,IF(OR($S1609&lt;&gt;1,COUNTA($J1609:$M1609)=0),0,IF(SUMPRODUCT(MAX(($C$5:$C$2484=$C1609)*($D$5:$D$2484=$D1609)*($S$5:$S$2484=1)*IFERROR($N$5:$N$2484*1,0)))&gt;0,ROUND($H1609*($N1609/SUMPRODUCT(MAX(($C$5:$C$2484=$C1609)*($D$5:$D$2484=$D1609)*($S$5:$S$2484=1)*IFERROR($N$5:$N$2484*1,0)))),4),0)))</f>
        <v/>
      </c>
      <c r="P1609" s="48" t="inlineStr">
        <is>
          <t>kWh/anno</t>
        </is>
      </c>
      <c r="Q1609" s="57">
        <f>IF($A1609="","",$A1609&amp;"|"&amp;$C1609)</f>
        <v/>
      </c>
      <c r="R1609" s="57">
        <f>IF($A1609="","",$A1609&amp;"|"&amp;$C1609&amp;"|"&amp;$D1609)</f>
        <v/>
      </c>
      <c r="S1609" s="57">
        <f>IF($A1609="","",IFERROR(INDEX(Offerte!$D$2:$D$81,MATCH($Q1609,Offerte!$L$2:$L$81,0)),0))</f>
        <v/>
      </c>
      <c r="T1609" s="57">
        <f>IF($A1609="","",IFERROR(INDEX(Offerte!$G$2:$G$81,MATCH($Q1609,Offerte!$L$2:$L$81,0)),"NO"))</f>
        <v/>
      </c>
    </row>
    <row r="1610">
      <c r="A1610" s="48">
        <f>IF(Offerte!$A53="","",Offerte!$A53)</f>
        <v/>
      </c>
      <c r="B1610" s="48">
        <f>IF(Offerte!$A53="","",Offerte!$B53)</f>
        <v/>
      </c>
      <c r="C1610" s="48">
        <f>IF(Offerte!$A53="","",Offerte!$C53)</f>
        <v/>
      </c>
      <c r="D1610" s="48" t="inlineStr">
        <is>
          <t>F.4.1</t>
        </is>
      </c>
      <c r="E1610" s="48" t="inlineStr">
        <is>
          <t>F</t>
        </is>
      </c>
      <c r="F1610" s="48" t="inlineStr">
        <is>
          <t>Q</t>
        </is>
      </c>
      <c r="G1610" s="48" t="inlineStr">
        <is>
          <t>soil</t>
        </is>
      </c>
      <c r="H1610" s="48" t="n">
        <v>2</v>
      </c>
      <c r="I1610" s="48" t="inlineStr">
        <is>
          <t>Indice di consumo di suolo</t>
        </is>
      </c>
      <c r="J1610" s="73" t="n"/>
      <c r="K1610" s="73" t="n"/>
      <c r="L1610" s="73" t="n"/>
      <c r="M1610" s="73" t="n"/>
      <c r="N1610" s="57">
        <f>IF($A1610="","",IFERROR(VALUE($J1610),0))</f>
        <v/>
      </c>
      <c r="O1610" s="57">
        <f>IF($A1610="",0,IF(OR($S1610&lt;&gt;1,COUNTA($J1610:$M1610)=0),0,IF($N1610&lt;=0,$H1610,IF(SUMPRODUCT(MAX(($C$5:$C$2484=$C1610)*($D$5:$D$2484=$D1610)*($S$5:$S$2484=1)*IFERROR($N$5:$N$2484*1,0)))&gt;0,ROUND($H1610*((SUMPRODUCT(MAX(($C$5:$C$2484=$C1610)*($D$5:$D$2484=$D1610)*($S$5:$S$2484=1)*IFERROR($N$5:$N$2484*1,0)))-$N1610)/SUMPRODUCT(MAX(($C$5:$C$2484=$C1610)*($D$5:$D$2484=$D1610)*($S$5:$S$2484=1)*IFERROR($N$5:$N$2484*1,0)))),4),0))))</f>
        <v/>
      </c>
      <c r="P1610" s="48" t="inlineStr">
        <is>
          <t>m2</t>
        </is>
      </c>
      <c r="Q1610" s="57">
        <f>IF($A1610="","",$A1610&amp;"|"&amp;$C1610)</f>
        <v/>
      </c>
      <c r="R1610" s="57">
        <f>IF($A1610="","",$A1610&amp;"|"&amp;$C1610&amp;"|"&amp;$D1610)</f>
        <v/>
      </c>
      <c r="S1610" s="57">
        <f>IF($A1610="","",IFERROR(INDEX(Offerte!$D$2:$D$81,MATCH($Q1610,Offerte!$L$2:$L$81,0)),0))</f>
        <v/>
      </c>
      <c r="T1610" s="57">
        <f>IF($A1610="","",IFERROR(INDEX(Offerte!$G$2:$G$81,MATCH($Q1610,Offerte!$L$2:$L$81,0)),"NO"))</f>
        <v/>
      </c>
    </row>
    <row r="1611">
      <c r="A1611" s="48">
        <f>IF(Offerte!$A53="","",Offerte!$A53)</f>
        <v/>
      </c>
      <c r="B1611" s="48">
        <f>IF(Offerte!$A53="","",Offerte!$B53)</f>
        <v/>
      </c>
      <c r="C1611" s="48">
        <f>IF(Offerte!$A53="","",Offerte!$C53)</f>
        <v/>
      </c>
      <c r="D1611" s="48" t="inlineStr">
        <is>
          <t>F.5.1</t>
        </is>
      </c>
      <c r="E1611" s="48" t="inlineStr">
        <is>
          <t>F</t>
        </is>
      </c>
      <c r="F1611" s="48" t="inlineStr">
        <is>
          <t>T</t>
        </is>
      </c>
      <c r="G1611" s="48" t="inlineStr">
        <is>
          <t>tabular</t>
        </is>
      </c>
      <c r="H1611" s="48" t="n">
        <v>1</v>
      </c>
      <c r="I1611" s="48" t="inlineStr">
        <is>
          <t>Rendicontazione di sostenibilità ambientale</t>
        </is>
      </c>
      <c r="J1611" s="73" t="n"/>
      <c r="K1611" s="73" t="n"/>
      <c r="L1611" s="73" t="n"/>
      <c r="M1611" s="73" t="n"/>
      <c r="N1611" s="57">
        <f>IF($A1611="","",IF(IFERROR(VALUE($M1611),0)=1,1,0))</f>
        <v/>
      </c>
      <c r="O1611" s="57">
        <f>IF($A1611="",0,IF(OR($S1611&lt;&gt;1,COUNTA($J1611:$M1611)=0),0,IF($N1611=1,$H1611,0)))</f>
        <v/>
      </c>
      <c r="P1611" s="48" t="inlineStr">
        <is>
          <t>sì/no</t>
        </is>
      </c>
      <c r="Q1611" s="57">
        <f>IF($A1611="","",$A1611&amp;"|"&amp;$C1611)</f>
        <v/>
      </c>
      <c r="R1611" s="57">
        <f>IF($A1611="","",$A1611&amp;"|"&amp;$C1611&amp;"|"&amp;$D1611)</f>
        <v/>
      </c>
      <c r="S1611" s="57">
        <f>IF($A1611="","",IFERROR(INDEX(Offerte!$D$2:$D$81,MATCH($Q1611,Offerte!$L$2:$L$81,0)),0))</f>
        <v/>
      </c>
      <c r="T1611" s="57">
        <f>IF($A1611="","",IFERROR(INDEX(Offerte!$G$2:$G$81,MATCH($Q1611,Offerte!$L$2:$L$81,0)),"NO"))</f>
        <v/>
      </c>
    </row>
    <row r="1612">
      <c r="A1612" s="48">
        <f>IF(Offerte!$A53="","",Offerte!$A53)</f>
        <v/>
      </c>
      <c r="B1612" s="48">
        <f>IF(Offerte!$A53="","",Offerte!$B53)</f>
        <v/>
      </c>
      <c r="C1612" s="48">
        <f>IF(Offerte!$A53="","",Offerte!$C53)</f>
        <v/>
      </c>
      <c r="D1612" s="48" t="inlineStr">
        <is>
          <t>G.1.1</t>
        </is>
      </c>
      <c r="E1612" s="48" t="inlineStr">
        <is>
          <t>G</t>
        </is>
      </c>
      <c r="F1612" s="48" t="inlineStr">
        <is>
          <t>D</t>
        </is>
      </c>
      <c r="G1612" s="48" t="inlineStr">
        <is>
          <t>discretionary</t>
        </is>
      </c>
      <c r="H1612" s="48" t="n">
        <v>2</v>
      </c>
      <c r="I1612" s="48" t="inlineStr">
        <is>
          <t>Qualità del progetto di centrale di controllo aziendale</t>
        </is>
      </c>
      <c r="J1612" s="73" t="n"/>
      <c r="K1612" s="73" t="n"/>
      <c r="L1612" s="73" t="n"/>
      <c r="M1612" s="73" t="n"/>
      <c r="N1612" s="57">
        <f>IF($A1612="","",MAX(0,MIN(1,IFERROR(VALUE($M1612),0))))</f>
        <v/>
      </c>
      <c r="O1612" s="57">
        <f>IF($A1612="",0,IF(OR($S1612&lt;&gt;1,COUNTA($J1612:$M1612)=0),0,IF(SUMPRODUCT(MAX(($C$5:$C$2484=$C1612)*($D$5:$D$2484=$D1612)*($S$5:$S$2484=1)*IFERROR($N$5:$N$2484*1,0)))&gt;0,ROUND($H1612*($N1612/SUMPRODUCT(MAX(($C$5:$C$2484=$C1612)*($D$5:$D$2484=$D1612)*($S$5:$S$2484=1)*IFERROR($N$5:$N$2484*1,0)))),4),0)))</f>
        <v/>
      </c>
      <c r="P1612" s="48" t="inlineStr">
        <is>
          <t>coeff.</t>
        </is>
      </c>
      <c r="Q1612" s="57">
        <f>IF($A1612="","",$A1612&amp;"|"&amp;$C1612)</f>
        <v/>
      </c>
      <c r="R1612" s="57">
        <f>IF($A1612="","",$A1612&amp;"|"&amp;$C1612&amp;"|"&amp;$D1612)</f>
        <v/>
      </c>
      <c r="S1612" s="57">
        <f>IF($A1612="","",IFERROR(INDEX(Offerte!$D$2:$D$81,MATCH($Q1612,Offerte!$L$2:$L$81,0)),0))</f>
        <v/>
      </c>
      <c r="T1612" s="57">
        <f>IF($A1612="","",IFERROR(INDEX(Offerte!$G$2:$G$81,MATCH($Q1612,Offerte!$L$2:$L$81,0)),"NO"))</f>
        <v/>
      </c>
    </row>
    <row r="1613">
      <c r="A1613" s="48">
        <f>IF(Offerte!$A53="","",Offerte!$A53)</f>
        <v/>
      </c>
      <c r="B1613" s="48">
        <f>IF(Offerte!$A53="","",Offerte!$B53)</f>
        <v/>
      </c>
      <c r="C1613" s="48">
        <f>IF(Offerte!$A53="","",Offerte!$C53)</f>
        <v/>
      </c>
      <c r="D1613" s="48" t="inlineStr">
        <is>
          <t>G.2.1</t>
        </is>
      </c>
      <c r="E1613" s="48" t="inlineStr">
        <is>
          <t>G</t>
        </is>
      </c>
      <c r="F1613" s="48" t="inlineStr">
        <is>
          <t>T</t>
        </is>
      </c>
      <c r="G1613" s="48" t="inlineStr">
        <is>
          <t>tabular</t>
        </is>
      </c>
      <c r="H1613" s="48" t="n">
        <v>1</v>
      </c>
      <c r="I1613" s="48" t="inlineStr">
        <is>
          <t>Certificazione ISO 45001</t>
        </is>
      </c>
      <c r="J1613" s="73" t="n"/>
      <c r="K1613" s="73" t="n"/>
      <c r="L1613" s="73" t="n"/>
      <c r="M1613" s="73" t="n"/>
      <c r="N1613" s="57">
        <f>IF($A1613="","",IF(IFERROR(VALUE($M1613),0)=1,1,0))</f>
        <v/>
      </c>
      <c r="O1613" s="57">
        <f>IF($A1613="",0,IF(OR($S1613&lt;&gt;1,COUNTA($J1613:$M1613)=0),0,IF($N1613=1,$H1613,0)))</f>
        <v/>
      </c>
      <c r="P1613" s="48" t="inlineStr">
        <is>
          <t>sì/no</t>
        </is>
      </c>
      <c r="Q1613" s="57">
        <f>IF($A1613="","",$A1613&amp;"|"&amp;$C1613)</f>
        <v/>
      </c>
      <c r="R1613" s="57">
        <f>IF($A1613="","",$A1613&amp;"|"&amp;$C1613&amp;"|"&amp;$D1613)</f>
        <v/>
      </c>
      <c r="S1613" s="57">
        <f>IF($A1613="","",IFERROR(INDEX(Offerte!$D$2:$D$81,MATCH($Q1613,Offerte!$L$2:$L$81,0)),0))</f>
        <v/>
      </c>
      <c r="T1613" s="57">
        <f>IF($A1613="","",IFERROR(INDEX(Offerte!$G$2:$G$81,MATCH($Q1613,Offerte!$L$2:$L$81,0)),"NO"))</f>
        <v/>
      </c>
    </row>
    <row r="1614">
      <c r="A1614" s="48">
        <f>IF(Offerte!$A53="","",Offerte!$A53)</f>
        <v/>
      </c>
      <c r="B1614" s="48">
        <f>IF(Offerte!$A53="","",Offerte!$B53)</f>
        <v/>
      </c>
      <c r="C1614" s="48">
        <f>IF(Offerte!$A53="","",Offerte!$C53)</f>
        <v/>
      </c>
      <c r="D1614" s="48" t="inlineStr">
        <is>
          <t>G.3.1</t>
        </is>
      </c>
      <c r="E1614" s="48" t="inlineStr">
        <is>
          <t>G</t>
        </is>
      </c>
      <c r="F1614" s="48" t="inlineStr">
        <is>
          <t>T</t>
        </is>
      </c>
      <c r="G1614" s="48" t="inlineStr">
        <is>
          <t>tabular</t>
        </is>
      </c>
      <c r="H1614" s="48" t="n">
        <v>1</v>
      </c>
      <c r="I1614" s="48" t="inlineStr">
        <is>
          <t>Certificazioni di responsabilità sociale</t>
        </is>
      </c>
      <c r="J1614" s="73" t="n"/>
      <c r="K1614" s="73" t="n"/>
      <c r="L1614" s="73" t="n"/>
      <c r="M1614" s="73" t="n"/>
      <c r="N1614" s="57">
        <f>IF($A1614="","",IF(IFERROR(VALUE($M1614),0)=1,1,0))</f>
        <v/>
      </c>
      <c r="O1614" s="57">
        <f>IF($A1614="",0,IF(OR($S1614&lt;&gt;1,COUNTA($J1614:$M1614)=0),0,IF($N1614=1,$H1614,0)))</f>
        <v/>
      </c>
      <c r="P1614" s="48" t="inlineStr">
        <is>
          <t>sì/no</t>
        </is>
      </c>
      <c r="Q1614" s="57">
        <f>IF($A1614="","",$A1614&amp;"|"&amp;$C1614)</f>
        <v/>
      </c>
      <c r="R1614" s="57">
        <f>IF($A1614="","",$A1614&amp;"|"&amp;$C1614&amp;"|"&amp;$D1614)</f>
        <v/>
      </c>
      <c r="S1614" s="57">
        <f>IF($A1614="","",IFERROR(INDEX(Offerte!$D$2:$D$81,MATCH($Q1614,Offerte!$L$2:$L$81,0)),0))</f>
        <v/>
      </c>
      <c r="T1614" s="57">
        <f>IF($A1614="","",IFERROR(INDEX(Offerte!$G$2:$G$81,MATCH($Q1614,Offerte!$L$2:$L$81,0)),"NO"))</f>
        <v/>
      </c>
    </row>
    <row r="1615">
      <c r="A1615" s="48">
        <f>IF(Offerte!$A53="","",Offerte!$A53)</f>
        <v/>
      </c>
      <c r="B1615" s="48">
        <f>IF(Offerte!$A53="","",Offerte!$B53)</f>
        <v/>
      </c>
      <c r="C1615" s="48">
        <f>IF(Offerte!$A53="","",Offerte!$C53)</f>
        <v/>
      </c>
      <c r="D1615" s="48" t="inlineStr">
        <is>
          <t>G.4.1</t>
        </is>
      </c>
      <c r="E1615" s="48" t="inlineStr">
        <is>
          <t>G</t>
        </is>
      </c>
      <c r="F1615" s="48" t="inlineStr">
        <is>
          <t>D</t>
        </is>
      </c>
      <c r="G1615" s="48" t="inlineStr">
        <is>
          <t>discretionary</t>
        </is>
      </c>
      <c r="H1615" s="48" t="n">
        <v>2</v>
      </c>
      <c r="I1615" s="48" t="inlineStr">
        <is>
          <t>Qualità del piano di formazione del personale</t>
        </is>
      </c>
      <c r="J1615" s="73" t="n"/>
      <c r="K1615" s="73" t="n"/>
      <c r="L1615" s="73" t="n"/>
      <c r="M1615" s="73" t="n"/>
      <c r="N1615" s="57">
        <f>IF($A1615="","",MAX(0,MIN(1,IFERROR(VALUE($M1615),0))))</f>
        <v/>
      </c>
      <c r="O1615" s="57">
        <f>IF($A1615="",0,IF(OR($S1615&lt;&gt;1,COUNTA($J1615:$M1615)=0),0,IF(SUMPRODUCT(MAX(($C$5:$C$2484=$C1615)*($D$5:$D$2484=$D1615)*($S$5:$S$2484=1)*IFERROR($N$5:$N$2484*1,0)))&gt;0,ROUND($H1615*($N1615/SUMPRODUCT(MAX(($C$5:$C$2484=$C1615)*($D$5:$D$2484=$D1615)*($S$5:$S$2484=1)*IFERROR($N$5:$N$2484*1,0)))),4),0)))</f>
        <v/>
      </c>
      <c r="P1615" s="48" t="inlineStr">
        <is>
          <t>coeff.</t>
        </is>
      </c>
      <c r="Q1615" s="57">
        <f>IF($A1615="","",$A1615&amp;"|"&amp;$C1615)</f>
        <v/>
      </c>
      <c r="R1615" s="57">
        <f>IF($A1615="","",$A1615&amp;"|"&amp;$C1615&amp;"|"&amp;$D1615)</f>
        <v/>
      </c>
      <c r="S1615" s="57">
        <f>IF($A1615="","",IFERROR(INDEX(Offerte!$D$2:$D$81,MATCH($Q1615,Offerte!$L$2:$L$81,0)),0))</f>
        <v/>
      </c>
      <c r="T1615" s="57">
        <f>IF($A1615="","",IFERROR(INDEX(Offerte!$G$2:$G$81,MATCH($Q1615,Offerte!$L$2:$L$81,0)),"NO"))</f>
        <v/>
      </c>
    </row>
    <row r="1616">
      <c r="A1616" s="48">
        <f>IF(Offerte!$A53="","",Offerte!$A53)</f>
        <v/>
      </c>
      <c r="B1616" s="48">
        <f>IF(Offerte!$A53="","",Offerte!$B53)</f>
        <v/>
      </c>
      <c r="C1616" s="48">
        <f>IF(Offerte!$A53="","",Offerte!$C53)</f>
        <v/>
      </c>
      <c r="D1616" s="48" t="inlineStr">
        <is>
          <t>G.5.1</t>
        </is>
      </c>
      <c r="E1616" s="48" t="inlineStr">
        <is>
          <t>G</t>
        </is>
      </c>
      <c r="F1616" s="48" t="inlineStr">
        <is>
          <t>T</t>
        </is>
      </c>
      <c r="G1616" s="48" t="inlineStr">
        <is>
          <t>tabular</t>
        </is>
      </c>
      <c r="H1616" s="48" t="n">
        <v>1</v>
      </c>
      <c r="I1616" s="48" t="inlineStr">
        <is>
          <t>Impegno al mantenimento delle garanzie del contratto di secondo livello del gestore uscente</t>
        </is>
      </c>
      <c r="J1616" s="73" t="n"/>
      <c r="K1616" s="73" t="n"/>
      <c r="L1616" s="73" t="n"/>
      <c r="M1616" s="73" t="n"/>
      <c r="N1616" s="57">
        <f>IF($A1616="","",IF(IFERROR(VALUE($M1616),0)=1,1,0))</f>
        <v/>
      </c>
      <c r="O1616" s="57">
        <f>IF($A1616="",0,IF(OR($S1616&lt;&gt;1,COUNTA($J1616:$M1616)=0),0,IF($N1616=1,$H1616,0)))</f>
        <v/>
      </c>
      <c r="P1616" s="48" t="inlineStr">
        <is>
          <t>sì/no</t>
        </is>
      </c>
      <c r="Q1616" s="57">
        <f>IF($A1616="","",$A1616&amp;"|"&amp;$C1616)</f>
        <v/>
      </c>
      <c r="R1616" s="57">
        <f>IF($A1616="","",$A1616&amp;"|"&amp;$C1616&amp;"|"&amp;$D1616)</f>
        <v/>
      </c>
      <c r="S1616" s="57">
        <f>IF($A1616="","",IFERROR(INDEX(Offerte!$D$2:$D$81,MATCH($Q1616,Offerte!$L$2:$L$81,0)),0))</f>
        <v/>
      </c>
      <c r="T1616" s="57">
        <f>IF($A1616="","",IFERROR(INDEX(Offerte!$G$2:$G$81,MATCH($Q1616,Offerte!$L$2:$L$81,0)),"NO"))</f>
        <v/>
      </c>
    </row>
    <row r="1617">
      <c r="A1617" s="48">
        <f>IF(Offerte!$A54="","",Offerte!$A54)</f>
        <v/>
      </c>
      <c r="B1617" s="48">
        <f>IF(Offerte!$A54="","",Offerte!$B54)</f>
        <v/>
      </c>
      <c r="C1617" s="48">
        <f>IF(Offerte!$A54="","",Offerte!$C54)</f>
        <v/>
      </c>
      <c r="D1617" s="48" t="inlineStr">
        <is>
          <t>A.1.1</t>
        </is>
      </c>
      <c r="E1617" s="48" t="inlineStr">
        <is>
          <t>A</t>
        </is>
      </c>
      <c r="F1617" s="48" t="inlineStr">
        <is>
          <t>Q</t>
        </is>
      </c>
      <c r="G1617" s="48" t="inlineStr">
        <is>
          <t>higher</t>
        </is>
      </c>
      <c r="H1617" s="48" t="n">
        <v>3</v>
      </c>
      <c r="I1617" s="48" t="inlineStr">
        <is>
          <t>Tasso aggiuntivo di corse controllate</t>
        </is>
      </c>
      <c r="J1617" s="73" t="n"/>
      <c r="K1617" s="73" t="n"/>
      <c r="L1617" s="73" t="n"/>
      <c r="M1617" s="73" t="n"/>
      <c r="N1617" s="57">
        <f>IF($A1617="","",IFERROR(VALUE($K1617)/VALUE($L1617)*100,IFERROR(VALUE($J1617),0)))</f>
        <v/>
      </c>
      <c r="O1617" s="57">
        <f>IF($A1617="",0,IF(OR($S1617&lt;&gt;1,COUNTA($J1617:$M1617)=0),0,IF(SUMPRODUCT(MAX(($C$5:$C$2484=$C1617)*($D$5:$D$2484=$D1617)*($S$5:$S$2484=1)*IFERROR($N$5:$N$2484*1,0)))&gt;0,ROUND($H1617*($N1617/SUMPRODUCT(MAX(($C$5:$C$2484=$C1617)*($D$5:$D$2484=$D1617)*($S$5:$S$2484=1)*IFERROR($N$5:$N$2484*1,0)))),4),0)))</f>
        <v/>
      </c>
      <c r="P1617" s="48" t="inlineStr">
        <is>
          <t>Corse controllate annue / Corse programmate annue</t>
        </is>
      </c>
      <c r="Q1617" s="57">
        <f>IF($A1617="","",$A1617&amp;"|"&amp;$C1617)</f>
        <v/>
      </c>
      <c r="R1617" s="57">
        <f>IF($A1617="","",$A1617&amp;"|"&amp;$C1617&amp;"|"&amp;$D1617)</f>
        <v/>
      </c>
      <c r="S1617" s="57">
        <f>IF($A1617="","",IFERROR(INDEX(Offerte!$D$2:$D$81,MATCH($Q1617,Offerte!$L$2:$L$81,0)),0))</f>
        <v/>
      </c>
      <c r="T1617" s="57">
        <f>IF($A1617="","",IFERROR(INDEX(Offerte!$G$2:$G$81,MATCH($Q1617,Offerte!$L$2:$L$81,0)),"NO"))</f>
        <v/>
      </c>
    </row>
    <row r="1618">
      <c r="A1618" s="48">
        <f>IF(Offerte!$A54="","",Offerte!$A54)</f>
        <v/>
      </c>
      <c r="B1618" s="48">
        <f>IF(Offerte!$A54="","",Offerte!$B54)</f>
        <v/>
      </c>
      <c r="C1618" s="48">
        <f>IF(Offerte!$A54="","",Offerte!$C54)</f>
        <v/>
      </c>
      <c r="D1618" s="48" t="inlineStr">
        <is>
          <t>A.1.2</t>
        </is>
      </c>
      <c r="E1618" s="48" t="inlineStr">
        <is>
          <t>A</t>
        </is>
      </c>
      <c r="F1618" s="48" t="inlineStr">
        <is>
          <t>Q</t>
        </is>
      </c>
      <c r="G1618" s="48" t="inlineStr">
        <is>
          <t>higher</t>
        </is>
      </c>
      <c r="H1618" s="48" t="n">
        <v>4</v>
      </c>
      <c r="I1618" s="48" t="inlineStr">
        <is>
          <t>Numero aggiuntivo di passeggeri controllati</t>
        </is>
      </c>
      <c r="J1618" s="73" t="n"/>
      <c r="K1618" s="73" t="n"/>
      <c r="L1618" s="73" t="n"/>
      <c r="M1618" s="73" t="n"/>
      <c r="N1618" s="57">
        <f>IF($A1618="","",IFERROR(VALUE($J1618),0))</f>
        <v/>
      </c>
      <c r="O1618" s="57">
        <f>IF($A1618="",0,IF(OR($S1618&lt;&gt;1,COUNTA($J1618:$M1618)=0),0,IF(SUMPRODUCT(MAX(($C$5:$C$2484=$C1618)*($D$5:$D$2484=$D1618)*($S$5:$S$2484=1)*IFERROR($N$5:$N$2484*1,0)))&gt;0,ROUND($H1618*($N1618/SUMPRODUCT(MAX(($C$5:$C$2484=$C1618)*($D$5:$D$2484=$D1618)*($S$5:$S$2484=1)*IFERROR($N$5:$N$2484*1,0)))),4),0)))</f>
        <v/>
      </c>
      <c r="P1618" s="48" t="inlineStr">
        <is>
          <t>passeggeri/anno</t>
        </is>
      </c>
      <c r="Q1618" s="57">
        <f>IF($A1618="","",$A1618&amp;"|"&amp;$C1618)</f>
        <v/>
      </c>
      <c r="R1618" s="57">
        <f>IF($A1618="","",$A1618&amp;"|"&amp;$C1618&amp;"|"&amp;$D1618)</f>
        <v/>
      </c>
      <c r="S1618" s="57">
        <f>IF($A1618="","",IFERROR(INDEX(Offerte!$D$2:$D$81,MATCH($Q1618,Offerte!$L$2:$L$81,0)),0))</f>
        <v/>
      </c>
      <c r="T1618" s="57">
        <f>IF($A1618="","",IFERROR(INDEX(Offerte!$G$2:$G$81,MATCH($Q1618,Offerte!$L$2:$L$81,0)),"NO"))</f>
        <v/>
      </c>
    </row>
    <row r="1619">
      <c r="A1619" s="48">
        <f>IF(Offerte!$A54="","",Offerte!$A54)</f>
        <v/>
      </c>
      <c r="B1619" s="48">
        <f>IF(Offerte!$A54="","",Offerte!$B54)</f>
        <v/>
      </c>
      <c r="C1619" s="48">
        <f>IF(Offerte!$A54="","",Offerte!$C54)</f>
        <v/>
      </c>
      <c r="D1619" s="48" t="inlineStr">
        <is>
          <t>B.1.1</t>
        </is>
      </c>
      <c r="E1619" s="48" t="inlineStr">
        <is>
          <t>B</t>
        </is>
      </c>
      <c r="F1619" s="48" t="inlineStr">
        <is>
          <t>Q</t>
        </is>
      </c>
      <c r="G1619" s="48" t="inlineStr">
        <is>
          <t>higher</t>
        </is>
      </c>
      <c r="H1619" s="48" t="n">
        <v>3</v>
      </c>
      <c r="I1619" s="48" t="inlineStr">
        <is>
          <t>Incremento dei posti offerti nelle fasce di punta</t>
        </is>
      </c>
      <c r="J1619" s="73" t="n"/>
      <c r="K1619" s="73" t="n"/>
      <c r="L1619" s="73" t="n"/>
      <c r="M1619" s="73" t="n"/>
      <c r="N1619" s="57">
        <f>IF($A1619="","",IFERROR(VALUE($J1619),0))</f>
        <v/>
      </c>
      <c r="O1619" s="57">
        <f>IF($A1619="",0,IF(OR($S1619&lt;&gt;1,COUNTA($J1619:$M1619)=0),0,IF(SUMPRODUCT(MAX(($C$5:$C$2484=$C1619)*($D$5:$D$2484=$D1619)*($S$5:$S$2484=1)*IFERROR($N$5:$N$2484*1,0)))&gt;0,ROUND($H1619*($N1619/SUMPRODUCT(MAX(($C$5:$C$2484=$C1619)*($D$5:$D$2484=$D1619)*($S$5:$S$2484=1)*IFERROR($N$5:$N$2484*1,0)))),4),0)))</f>
        <v/>
      </c>
      <c r="P1619" s="48" t="inlineStr">
        <is>
          <t>posti*km</t>
        </is>
      </c>
      <c r="Q1619" s="57">
        <f>IF($A1619="","",$A1619&amp;"|"&amp;$C1619)</f>
        <v/>
      </c>
      <c r="R1619" s="57">
        <f>IF($A1619="","",$A1619&amp;"|"&amp;$C1619&amp;"|"&amp;$D1619)</f>
        <v/>
      </c>
      <c r="S1619" s="57">
        <f>IF($A1619="","",IFERROR(INDEX(Offerte!$D$2:$D$81,MATCH($Q1619,Offerte!$L$2:$L$81,0)),0))</f>
        <v/>
      </c>
      <c r="T1619" s="57">
        <f>IF($A1619="","",IFERROR(INDEX(Offerte!$G$2:$G$81,MATCH($Q1619,Offerte!$L$2:$L$81,0)),"NO"))</f>
        <v/>
      </c>
    </row>
    <row r="1620">
      <c r="A1620" s="48">
        <f>IF(Offerte!$A54="","",Offerte!$A54)</f>
        <v/>
      </c>
      <c r="B1620" s="48">
        <f>IF(Offerte!$A54="","",Offerte!$B54)</f>
        <v/>
      </c>
      <c r="C1620" s="48">
        <f>IF(Offerte!$A54="","",Offerte!$C54)</f>
        <v/>
      </c>
      <c r="D1620" s="48" t="inlineStr">
        <is>
          <t>B.2.1</t>
        </is>
      </c>
      <c r="E1620" s="48" t="inlineStr">
        <is>
          <t>B</t>
        </is>
      </c>
      <c r="F1620" s="48" t="inlineStr">
        <is>
          <t>Q</t>
        </is>
      </c>
      <c r="G1620" s="48" t="inlineStr">
        <is>
          <t>higher</t>
        </is>
      </c>
      <c r="H1620" s="48" t="n">
        <v>4</v>
      </c>
      <c r="I1620" s="48" t="inlineStr">
        <is>
          <t>Corse aggiuntive nell'arco giornaliero base</t>
        </is>
      </c>
      <c r="J1620" s="73" t="n"/>
      <c r="K1620" s="73" t="n"/>
      <c r="L1620" s="73" t="n"/>
      <c r="M1620" s="73" t="n"/>
      <c r="N1620" s="57">
        <f>IF($A1620="","",IFERROR(VALUE($J1620),0))</f>
        <v/>
      </c>
      <c r="O1620" s="57">
        <f>IF($A1620="",0,IF(OR($S1620&lt;&gt;1,COUNTA($J1620:$M1620)=0),0,IF(SUMPRODUCT(MAX(($C$5:$C$2484=$C1620)*($D$5:$D$2484=$D1620)*($S$5:$S$2484=1)*IFERROR($N$5:$N$2484*1,0)))&gt;0,ROUND($H1620*($N1620/SUMPRODUCT(MAX(($C$5:$C$2484=$C1620)*($D$5:$D$2484=$D1620)*($S$5:$S$2484=1)*IFERROR($N$5:$N$2484*1,0)))),4),0)))</f>
        <v/>
      </c>
      <c r="P1620" s="48" t="inlineStr">
        <is>
          <t>corse</t>
        </is>
      </c>
      <c r="Q1620" s="57">
        <f>IF($A1620="","",$A1620&amp;"|"&amp;$C1620)</f>
        <v/>
      </c>
      <c r="R1620" s="57">
        <f>IF($A1620="","",$A1620&amp;"|"&amp;$C1620&amp;"|"&amp;$D1620)</f>
        <v/>
      </c>
      <c r="S1620" s="57">
        <f>IF($A1620="","",IFERROR(INDEX(Offerte!$D$2:$D$81,MATCH($Q1620,Offerte!$L$2:$L$81,0)),0))</f>
        <v/>
      </c>
      <c r="T1620" s="57">
        <f>IF($A1620="","",IFERROR(INDEX(Offerte!$G$2:$G$81,MATCH($Q1620,Offerte!$L$2:$L$81,0)),"NO"))</f>
        <v/>
      </c>
    </row>
    <row r="1621">
      <c r="A1621" s="48">
        <f>IF(Offerte!$A54="","",Offerte!$A54)</f>
        <v/>
      </c>
      <c r="B1621" s="48">
        <f>IF(Offerte!$A54="","",Offerte!$B54)</f>
        <v/>
      </c>
      <c r="C1621" s="48">
        <f>IF(Offerte!$A54="","",Offerte!$C54)</f>
        <v/>
      </c>
      <c r="D1621" s="48" t="inlineStr">
        <is>
          <t>B.3.1</t>
        </is>
      </c>
      <c r="E1621" s="48" t="inlineStr">
        <is>
          <t>B</t>
        </is>
      </c>
      <c r="F1621" s="48" t="inlineStr">
        <is>
          <t>Q</t>
        </is>
      </c>
      <c r="G1621" s="48" t="inlineStr">
        <is>
          <t>higher</t>
        </is>
      </c>
      <c r="H1621" s="48" t="n">
        <v>2</v>
      </c>
      <c r="I1621" s="48" t="inlineStr">
        <is>
          <t>Numero di corse aggiuntive per allungamento dell'arco di servizio giornaliero nelle fasce serali</t>
        </is>
      </c>
      <c r="J1621" s="73" t="n"/>
      <c r="K1621" s="73" t="n"/>
      <c r="L1621" s="73" t="n"/>
      <c r="M1621" s="73" t="n"/>
      <c r="N1621" s="57">
        <f>IF($A1621="","",IFERROR(VALUE($J1621),0))</f>
        <v/>
      </c>
      <c r="O1621" s="57">
        <f>IF($A1621="",0,IF(OR($S1621&lt;&gt;1,COUNTA($J1621:$M1621)=0),0,IF(SUMPRODUCT(MAX(($C$5:$C$2484=$C1621)*($D$5:$D$2484=$D1621)*($S$5:$S$2484=1)*IFERROR($N$5:$N$2484*1,0)))&gt;0,ROUND($H1621*($N1621/SUMPRODUCT(MAX(($C$5:$C$2484=$C1621)*($D$5:$D$2484=$D1621)*($S$5:$S$2484=1)*IFERROR($N$5:$N$2484*1,0)))),4),0)))</f>
        <v/>
      </c>
      <c r="P1621" s="48" t="inlineStr">
        <is>
          <t>corse</t>
        </is>
      </c>
      <c r="Q1621" s="57">
        <f>IF($A1621="","",$A1621&amp;"|"&amp;$C1621)</f>
        <v/>
      </c>
      <c r="R1621" s="57">
        <f>IF($A1621="","",$A1621&amp;"|"&amp;$C1621&amp;"|"&amp;$D1621)</f>
        <v/>
      </c>
      <c r="S1621" s="57">
        <f>IF($A1621="","",IFERROR(INDEX(Offerte!$D$2:$D$81,MATCH($Q1621,Offerte!$L$2:$L$81,0)),0))</f>
        <v/>
      </c>
      <c r="T1621" s="57">
        <f>IF($A1621="","",IFERROR(INDEX(Offerte!$G$2:$G$81,MATCH($Q1621,Offerte!$L$2:$L$81,0)),"NO"))</f>
        <v/>
      </c>
    </row>
    <row r="1622">
      <c r="A1622" s="48">
        <f>IF(Offerte!$A54="","",Offerte!$A54)</f>
        <v/>
      </c>
      <c r="B1622" s="48">
        <f>IF(Offerte!$A54="","",Offerte!$B54)</f>
        <v/>
      </c>
      <c r="C1622" s="48">
        <f>IF(Offerte!$A54="","",Offerte!$C54)</f>
        <v/>
      </c>
      <c r="D1622" s="48" t="inlineStr">
        <is>
          <t>B.4.1</t>
        </is>
      </c>
      <c r="E1622" s="48" t="inlineStr">
        <is>
          <t>B</t>
        </is>
      </c>
      <c r="F1622" s="48" t="inlineStr">
        <is>
          <t>Q</t>
        </is>
      </c>
      <c r="G1622" s="48" t="inlineStr">
        <is>
          <t>higher</t>
        </is>
      </c>
      <c r="H1622" s="48" t="n">
        <v>3</v>
      </c>
      <c r="I1622" s="48" t="inlineStr">
        <is>
          <t>Percorrenze aggiuntive offerte nel Programma d'esercizio delle prime due fasi attuative</t>
        </is>
      </c>
      <c r="J1622" s="73" t="n"/>
      <c r="K1622" s="73" t="n"/>
      <c r="L1622" s="73" t="n"/>
      <c r="M1622" s="73" t="n"/>
      <c r="N1622" s="57">
        <f>IF($A1622="","",IFERROR(VALUE($J1622),0))</f>
        <v/>
      </c>
      <c r="O1622" s="57">
        <f>IF($A1622="",0,IF(OR($S1622&lt;&gt;1,COUNTA($J1622:$M1622)=0),0,IF(SUMPRODUCT(MAX(($C$5:$C$2484=$C1622)*($D$5:$D$2484=$D1622)*($S$5:$S$2484=1)*IFERROR($N$5:$N$2484*1,0)))&gt;0,ROUND($H1622*($N1622/SUMPRODUCT(MAX(($C$5:$C$2484=$C1622)*($D$5:$D$2484=$D1622)*($S$5:$S$2484=1)*IFERROR($N$5:$N$2484*1,0)))),4),0)))</f>
        <v/>
      </c>
      <c r="P1622" s="48" t="inlineStr">
        <is>
          <t>vett*km</t>
        </is>
      </c>
      <c r="Q1622" s="57">
        <f>IF($A1622="","",$A1622&amp;"|"&amp;$C1622)</f>
        <v/>
      </c>
      <c r="R1622" s="57">
        <f>IF($A1622="","",$A1622&amp;"|"&amp;$C1622&amp;"|"&amp;$D1622)</f>
        <v/>
      </c>
      <c r="S1622" s="57">
        <f>IF($A1622="","",IFERROR(INDEX(Offerte!$D$2:$D$81,MATCH($Q1622,Offerte!$L$2:$L$81,0)),0))</f>
        <v/>
      </c>
      <c r="T1622" s="57">
        <f>IF($A1622="","",IFERROR(INDEX(Offerte!$G$2:$G$81,MATCH($Q1622,Offerte!$L$2:$L$81,0)),"NO"))</f>
        <v/>
      </c>
    </row>
    <row r="1623">
      <c r="A1623" s="48">
        <f>IF(Offerte!$A54="","",Offerte!$A54)</f>
        <v/>
      </c>
      <c r="B1623" s="48">
        <f>IF(Offerte!$A54="","",Offerte!$B54)</f>
        <v/>
      </c>
      <c r="C1623" s="48">
        <f>IF(Offerte!$A54="","",Offerte!$C54)</f>
        <v/>
      </c>
      <c r="D1623" s="48" t="inlineStr">
        <is>
          <t>B.5.1</t>
        </is>
      </c>
      <c r="E1623" s="48" t="inlineStr">
        <is>
          <t>B</t>
        </is>
      </c>
      <c r="F1623" s="48" t="inlineStr">
        <is>
          <t>D</t>
        </is>
      </c>
      <c r="G1623" s="48" t="inlineStr">
        <is>
          <t>discretionary</t>
        </is>
      </c>
      <c r="H1623" s="48" t="n">
        <v>2</v>
      </c>
      <c r="I1623" s="48" t="inlineStr">
        <is>
          <t>Efficacia del progetto di servizi complementari DRT</t>
        </is>
      </c>
      <c r="J1623" s="73" t="n"/>
      <c r="K1623" s="73" t="n"/>
      <c r="L1623" s="73" t="n"/>
      <c r="M1623" s="73" t="n"/>
      <c r="N1623" s="57">
        <f>IF($A1623="","",MAX(0,MIN(1,IFERROR(VALUE($M1623),0))))</f>
        <v/>
      </c>
      <c r="O1623" s="57">
        <f>IF($A1623="",0,IF(OR($S1623&lt;&gt;1,COUNTA($J1623:$M1623)=0),0,IF(SUMPRODUCT(MAX(($C$5:$C$2484=$C1623)*($D$5:$D$2484=$D1623)*($S$5:$S$2484=1)*IFERROR($N$5:$N$2484*1,0)))&gt;0,ROUND($H1623*($N1623/SUMPRODUCT(MAX(($C$5:$C$2484=$C1623)*($D$5:$D$2484=$D1623)*($S$5:$S$2484=1)*IFERROR($N$5:$N$2484*1,0)))),4),0)))</f>
        <v/>
      </c>
      <c r="P1623" s="48" t="inlineStr">
        <is>
          <t>coeff.</t>
        </is>
      </c>
      <c r="Q1623" s="57">
        <f>IF($A1623="","",$A1623&amp;"|"&amp;$C1623)</f>
        <v/>
      </c>
      <c r="R1623" s="57">
        <f>IF($A1623="","",$A1623&amp;"|"&amp;$C1623&amp;"|"&amp;$D1623)</f>
        <v/>
      </c>
      <c r="S1623" s="57">
        <f>IF($A1623="","",IFERROR(INDEX(Offerte!$D$2:$D$81,MATCH($Q1623,Offerte!$L$2:$L$81,0)),0))</f>
        <v/>
      </c>
      <c r="T1623" s="57">
        <f>IF($A1623="","",IFERROR(INDEX(Offerte!$G$2:$G$81,MATCH($Q1623,Offerte!$L$2:$L$81,0)),"NO"))</f>
        <v/>
      </c>
    </row>
    <row r="1624">
      <c r="A1624" s="48">
        <f>IF(Offerte!$A54="","",Offerte!$A54)</f>
        <v/>
      </c>
      <c r="B1624" s="48">
        <f>IF(Offerte!$A54="","",Offerte!$B54)</f>
        <v/>
      </c>
      <c r="C1624" s="48">
        <f>IF(Offerte!$A54="","",Offerte!$C54)</f>
        <v/>
      </c>
      <c r="D1624" s="48" t="inlineStr">
        <is>
          <t>C.1.1</t>
        </is>
      </c>
      <c r="E1624" s="48" t="inlineStr">
        <is>
          <t>C</t>
        </is>
      </c>
      <c r="F1624" s="48" t="inlineStr">
        <is>
          <t>Q</t>
        </is>
      </c>
      <c r="G1624" s="48" t="inlineStr">
        <is>
          <t>higher</t>
        </is>
      </c>
      <c r="H1624" s="48" t="n">
        <v>2</v>
      </c>
      <c r="I1624" s="48" t="inlineStr">
        <is>
          <t>Tasso di copertura del servizio con telecamere BSD</t>
        </is>
      </c>
      <c r="J1624" s="73" t="n"/>
      <c r="K1624" s="73" t="n"/>
      <c r="L1624" s="73" t="n"/>
      <c r="M1624" s="73" t="n"/>
      <c r="N1624" s="57">
        <f>IF($A1624="","",IFERROR(VALUE($K1624)/VALUE($L1624),IFERROR(VALUE($J1624),0)))</f>
        <v/>
      </c>
      <c r="O1624" s="57">
        <f>IF($A1624="",0,IF(OR($S1624&lt;&gt;1,COUNTA($J1624:$M1624)=0),0,IF(SUMPRODUCT(MAX(($C$5:$C$2484=$C1624)*($D$5:$D$2484=$D1624)*($S$5:$S$2484=1)*IFERROR($N$5:$N$2484*1,0)))&gt;0,ROUND($H1624*($N1624/SUMPRODUCT(MAX(($C$5:$C$2484=$C1624)*($D$5:$D$2484=$D1624)*($S$5:$S$2484=1)*IFERROR($N$5:$N$2484*1,0)))),4),0)))</f>
        <v/>
      </c>
      <c r="P1624" s="48" t="inlineStr">
        <is>
          <t>Autobus attrezzati con telecamere BSD / Autobus totali in offerta, incluse scorte</t>
        </is>
      </c>
      <c r="Q1624" s="57">
        <f>IF($A1624="","",$A1624&amp;"|"&amp;$C1624)</f>
        <v/>
      </c>
      <c r="R1624" s="57">
        <f>IF($A1624="","",$A1624&amp;"|"&amp;$C1624&amp;"|"&amp;$D1624)</f>
        <v/>
      </c>
      <c r="S1624" s="57">
        <f>IF($A1624="","",IFERROR(INDEX(Offerte!$D$2:$D$81,MATCH($Q1624,Offerte!$L$2:$L$81,0)),0))</f>
        <v/>
      </c>
      <c r="T1624" s="57">
        <f>IF($A1624="","",IFERROR(INDEX(Offerte!$G$2:$G$81,MATCH($Q1624,Offerte!$L$2:$L$81,0)),"NO"))</f>
        <v/>
      </c>
    </row>
    <row r="1625">
      <c r="A1625" s="48">
        <f>IF(Offerte!$A54="","",Offerte!$A54)</f>
        <v/>
      </c>
      <c r="B1625" s="48">
        <f>IF(Offerte!$A54="","",Offerte!$B54)</f>
        <v/>
      </c>
      <c r="C1625" s="48">
        <f>IF(Offerte!$A54="","",Offerte!$C54)</f>
        <v/>
      </c>
      <c r="D1625" s="48" t="inlineStr">
        <is>
          <t>C.1.2</t>
        </is>
      </c>
      <c r="E1625" s="48" t="inlineStr">
        <is>
          <t>C</t>
        </is>
      </c>
      <c r="F1625" s="48" t="inlineStr">
        <is>
          <t>Q</t>
        </is>
      </c>
      <c r="G1625" s="48" t="inlineStr">
        <is>
          <t>higher</t>
        </is>
      </c>
      <c r="H1625" s="48" t="n">
        <v>2</v>
      </c>
      <c r="I1625" s="48" t="inlineStr">
        <is>
          <t>Tasso di copertura del servizio con telecamere ADAS</t>
        </is>
      </c>
      <c r="J1625" s="73" t="n"/>
      <c r="K1625" s="73" t="n"/>
      <c r="L1625" s="73" t="n"/>
      <c r="M1625" s="73" t="n"/>
      <c r="N1625" s="57">
        <f>IF($A1625="","",IFERROR(VALUE($K1625)/VALUE($L1625),IFERROR(VALUE($J1625),0)))</f>
        <v/>
      </c>
      <c r="O1625" s="57">
        <f>IF($A1625="",0,IF(OR($S1625&lt;&gt;1,COUNTA($J1625:$M1625)=0),0,IF(SUMPRODUCT(MAX(($C$5:$C$2484=$C1625)*($D$5:$D$2484=$D1625)*($S$5:$S$2484=1)*IFERROR($N$5:$N$2484*1,0)))&gt;0,ROUND($H1625*($N1625/SUMPRODUCT(MAX(($C$5:$C$2484=$C1625)*($D$5:$D$2484=$D1625)*($S$5:$S$2484=1)*IFERROR($N$5:$N$2484*1,0)))),4),0)))</f>
        <v/>
      </c>
      <c r="P1625" s="48" t="inlineStr">
        <is>
          <t>Autobus attrezzati con telecamere ADAS / Autobus totali in offerta, incluse scorte</t>
        </is>
      </c>
      <c r="Q1625" s="57">
        <f>IF($A1625="","",$A1625&amp;"|"&amp;$C1625)</f>
        <v/>
      </c>
      <c r="R1625" s="57">
        <f>IF($A1625="","",$A1625&amp;"|"&amp;$C1625&amp;"|"&amp;$D1625)</f>
        <v/>
      </c>
      <c r="S1625" s="57">
        <f>IF($A1625="","",IFERROR(INDEX(Offerte!$D$2:$D$81,MATCH($Q1625,Offerte!$L$2:$L$81,0)),0))</f>
        <v/>
      </c>
      <c r="T1625" s="57">
        <f>IF($A1625="","",IFERROR(INDEX(Offerte!$G$2:$G$81,MATCH($Q1625,Offerte!$L$2:$L$81,0)),"NO"))</f>
        <v/>
      </c>
    </row>
    <row r="1626">
      <c r="A1626" s="48">
        <f>IF(Offerte!$A54="","",Offerte!$A54)</f>
        <v/>
      </c>
      <c r="B1626" s="48">
        <f>IF(Offerte!$A54="","",Offerte!$B54)</f>
        <v/>
      </c>
      <c r="C1626" s="48">
        <f>IF(Offerte!$A54="","",Offerte!$C54)</f>
        <v/>
      </c>
      <c r="D1626" s="48" t="inlineStr">
        <is>
          <t>C.2.1</t>
        </is>
      </c>
      <c r="E1626" s="48" t="inlineStr">
        <is>
          <t>C</t>
        </is>
      </c>
      <c r="F1626" s="48" t="inlineStr">
        <is>
          <t>Q</t>
        </is>
      </c>
      <c r="G1626" s="48" t="inlineStr">
        <is>
          <t>higher</t>
        </is>
      </c>
      <c r="H1626" s="48" t="n">
        <v>3</v>
      </c>
      <c r="I1626" s="48" t="inlineStr">
        <is>
          <t>Tasso di copertura del servizio con telecamere di bordo di videosorveglianza</t>
        </is>
      </c>
      <c r="J1626" s="73" t="n"/>
      <c r="K1626" s="73" t="n"/>
      <c r="L1626" s="73" t="n"/>
      <c r="M1626" s="73" t="n"/>
      <c r="N1626" s="57">
        <f>IF($A1626="","",IFERROR(VALUE($K1626)/VALUE($L1626),IFERROR(VALUE($J1626),0)))</f>
        <v/>
      </c>
      <c r="O1626" s="57">
        <f>IF($A1626="",0,IF(OR($S1626&lt;&gt;1,COUNTA($J1626:$M1626)=0),0,IF(SUMPRODUCT(MAX(($C$5:$C$2484=$C1626)*($D$5:$D$2484=$D1626)*($S$5:$S$2484=1)*IFERROR($N$5:$N$2484*1,0)))&gt;0,ROUND($H1626*($N1626/SUMPRODUCT(MAX(($C$5:$C$2484=$C1626)*($D$5:$D$2484=$D1626)*($S$5:$S$2484=1)*IFERROR($N$5:$N$2484*1,0)))),4),0)))</f>
        <v/>
      </c>
      <c r="P1626" s="48" t="inlineStr">
        <is>
          <t>Autobus attrezzati con videosorveglianza / Autobus totali in offerta, incluse scorte</t>
        </is>
      </c>
      <c r="Q1626" s="57">
        <f>IF($A1626="","",$A1626&amp;"|"&amp;$C1626)</f>
        <v/>
      </c>
      <c r="R1626" s="57">
        <f>IF($A1626="","",$A1626&amp;"|"&amp;$C1626&amp;"|"&amp;$D1626)</f>
        <v/>
      </c>
      <c r="S1626" s="57">
        <f>IF($A1626="","",IFERROR(INDEX(Offerte!$D$2:$D$81,MATCH($Q1626,Offerte!$L$2:$L$81,0)),0))</f>
        <v/>
      </c>
      <c r="T1626" s="57">
        <f>IF($A1626="","",IFERROR(INDEX(Offerte!$G$2:$G$81,MATCH($Q1626,Offerte!$L$2:$L$81,0)),"NO"))</f>
        <v/>
      </c>
    </row>
    <row r="1627">
      <c r="A1627" s="48">
        <f>IF(Offerte!$A54="","",Offerte!$A54)</f>
        <v/>
      </c>
      <c r="B1627" s="48">
        <f>IF(Offerte!$A54="","",Offerte!$B54)</f>
        <v/>
      </c>
      <c r="C1627" s="48">
        <f>IF(Offerte!$A54="","",Offerte!$C54)</f>
        <v/>
      </c>
      <c r="D1627" s="48" t="inlineStr">
        <is>
          <t>C.2.2</t>
        </is>
      </c>
      <c r="E1627" s="48" t="inlineStr">
        <is>
          <t>C</t>
        </is>
      </c>
      <c r="F1627" s="48" t="inlineStr">
        <is>
          <t>T</t>
        </is>
      </c>
      <c r="G1627" s="48" t="inlineStr">
        <is>
          <t>tabular</t>
        </is>
      </c>
      <c r="H1627" s="48" t="n">
        <v>1</v>
      </c>
      <c r="I1627" s="48" t="inlineStr">
        <is>
          <t>Software video/audio analisi per situazioni di pericolo</t>
        </is>
      </c>
      <c r="J1627" s="73" t="n"/>
      <c r="K1627" s="73" t="n"/>
      <c r="L1627" s="73" t="n"/>
      <c r="M1627" s="73" t="n"/>
      <c r="N1627" s="57">
        <f>IF($A1627="","",IF(IFERROR(VALUE($M1627),0)=1,1,0))</f>
        <v/>
      </c>
      <c r="O1627" s="57">
        <f>IF($A1627="",0,IF(OR($S1627&lt;&gt;1,COUNTA($J1627:$M1627)=0),0,IF($N1627=1,$H1627,0)))</f>
        <v/>
      </c>
      <c r="P1627" s="48" t="inlineStr">
        <is>
          <t>sì/no</t>
        </is>
      </c>
      <c r="Q1627" s="57">
        <f>IF($A1627="","",$A1627&amp;"|"&amp;$C1627)</f>
        <v/>
      </c>
      <c r="R1627" s="57">
        <f>IF($A1627="","",$A1627&amp;"|"&amp;$C1627&amp;"|"&amp;$D1627)</f>
        <v/>
      </c>
      <c r="S1627" s="57">
        <f>IF($A1627="","",IFERROR(INDEX(Offerte!$D$2:$D$81,MATCH($Q1627,Offerte!$L$2:$L$81,0)),0))</f>
        <v/>
      </c>
      <c r="T1627" s="57">
        <f>IF($A1627="","",IFERROR(INDEX(Offerte!$G$2:$G$81,MATCH($Q1627,Offerte!$L$2:$L$81,0)),"NO"))</f>
        <v/>
      </c>
    </row>
    <row r="1628">
      <c r="A1628" s="48">
        <f>IF(Offerte!$A54="","",Offerte!$A54)</f>
        <v/>
      </c>
      <c r="B1628" s="48">
        <f>IF(Offerte!$A54="","",Offerte!$B54)</f>
        <v/>
      </c>
      <c r="C1628" s="48">
        <f>IF(Offerte!$A54="","",Offerte!$C54)</f>
        <v/>
      </c>
      <c r="D1628" s="48" t="inlineStr">
        <is>
          <t>C.2.3</t>
        </is>
      </c>
      <c r="E1628" s="48" t="inlineStr">
        <is>
          <t>C</t>
        </is>
      </c>
      <c r="F1628" s="48" t="inlineStr">
        <is>
          <t>T</t>
        </is>
      </c>
      <c r="G1628" s="48" t="inlineStr">
        <is>
          <t>tabular</t>
        </is>
      </c>
      <c r="H1628" s="48" t="n">
        <v>1</v>
      </c>
      <c r="I1628" s="48" t="inlineStr">
        <is>
          <t>Collegamento con centrale qualificata di pronto intervento</t>
        </is>
      </c>
      <c r="J1628" s="73" t="n"/>
      <c r="K1628" s="73" t="n"/>
      <c r="L1628" s="73" t="n"/>
      <c r="M1628" s="73" t="n"/>
      <c r="N1628" s="57">
        <f>IF($A1628="","",IF(IFERROR(VALUE($M1628),0)=1,1,0))</f>
        <v/>
      </c>
      <c r="O1628" s="57">
        <f>IF($A1628="",0,IF(OR($S1628&lt;&gt;1,COUNTA($J1628:$M1628)=0),0,IF($N1628=1,$H1628,0)))</f>
        <v/>
      </c>
      <c r="P1628" s="48" t="inlineStr">
        <is>
          <t>sì/no</t>
        </is>
      </c>
      <c r="Q1628" s="57">
        <f>IF($A1628="","",$A1628&amp;"|"&amp;$C1628)</f>
        <v/>
      </c>
      <c r="R1628" s="57">
        <f>IF($A1628="","",$A1628&amp;"|"&amp;$C1628&amp;"|"&amp;$D1628)</f>
        <v/>
      </c>
      <c r="S1628" s="57">
        <f>IF($A1628="","",IFERROR(INDEX(Offerte!$D$2:$D$81,MATCH($Q1628,Offerte!$L$2:$L$81,0)),0))</f>
        <v/>
      </c>
      <c r="T1628" s="57">
        <f>IF($A1628="","",IFERROR(INDEX(Offerte!$G$2:$G$81,MATCH($Q1628,Offerte!$L$2:$L$81,0)),"NO"))</f>
        <v/>
      </c>
    </row>
    <row r="1629">
      <c r="A1629" s="48">
        <f>IF(Offerte!$A54="","",Offerte!$A54)</f>
        <v/>
      </c>
      <c r="B1629" s="48">
        <f>IF(Offerte!$A54="","",Offerte!$B54)</f>
        <v/>
      </c>
      <c r="C1629" s="48">
        <f>IF(Offerte!$A54="","",Offerte!$C54)</f>
        <v/>
      </c>
      <c r="D1629" s="48" t="inlineStr">
        <is>
          <t>C.2.4</t>
        </is>
      </c>
      <c r="E1629" s="48" t="inlineStr">
        <is>
          <t>C</t>
        </is>
      </c>
      <c r="F1629" s="48" t="inlineStr">
        <is>
          <t>Q</t>
        </is>
      </c>
      <c r="G1629" s="48" t="inlineStr">
        <is>
          <t>higher</t>
        </is>
      </c>
      <c r="H1629" s="48" t="n">
        <v>1</v>
      </c>
      <c r="I1629" s="48" t="inlineStr">
        <is>
          <t>Tasso di copertura del servizio con dispositivi per la chiamata di emergenza del conducente</t>
        </is>
      </c>
      <c r="J1629" s="73" t="n"/>
      <c r="K1629" s="73" t="n"/>
      <c r="L1629" s="73" t="n"/>
      <c r="M1629" s="73" t="n"/>
      <c r="N1629" s="57">
        <f>IF($A1629="","",IFERROR(VALUE($K1629)/VALUE($L1629),IFERROR(VALUE($J1629),0)))</f>
        <v/>
      </c>
      <c r="O1629" s="57">
        <f>IF($A1629="",0,IF(OR($S1629&lt;&gt;1,COUNTA($J1629:$M1629)=0),0,IF(SUMPRODUCT(MAX(($C$5:$C$2484=$C1629)*($D$5:$D$2484=$D1629)*($S$5:$S$2484=1)*IFERROR($N$5:$N$2484*1,0)))&gt;0,ROUND($H1629*($N1629/SUMPRODUCT(MAX(($C$5:$C$2484=$C1629)*($D$5:$D$2484=$D1629)*($S$5:$S$2484=1)*IFERROR($N$5:$N$2484*1,0)))),4),0)))</f>
        <v/>
      </c>
      <c r="P1629" s="48" t="inlineStr">
        <is>
          <t>Autobus attrezzati con chiamata di emergenza / Autobus totali in offerta, incluse scorte</t>
        </is>
      </c>
      <c r="Q1629" s="57">
        <f>IF($A1629="","",$A1629&amp;"|"&amp;$C1629)</f>
        <v/>
      </c>
      <c r="R1629" s="57">
        <f>IF($A1629="","",$A1629&amp;"|"&amp;$C1629&amp;"|"&amp;$D1629)</f>
        <v/>
      </c>
      <c r="S1629" s="57">
        <f>IF($A1629="","",IFERROR(INDEX(Offerte!$D$2:$D$81,MATCH($Q1629,Offerte!$L$2:$L$81,0)),0))</f>
        <v/>
      </c>
      <c r="T1629" s="57">
        <f>IF($A1629="","",IFERROR(INDEX(Offerte!$G$2:$G$81,MATCH($Q1629,Offerte!$L$2:$L$81,0)),"NO"))</f>
        <v/>
      </c>
    </row>
    <row r="1630">
      <c r="A1630" s="48">
        <f>IF(Offerte!$A54="","",Offerte!$A54)</f>
        <v/>
      </c>
      <c r="B1630" s="48">
        <f>IF(Offerte!$A54="","",Offerte!$B54)</f>
        <v/>
      </c>
      <c r="C1630" s="48">
        <f>IF(Offerte!$A54="","",Offerte!$C54)</f>
        <v/>
      </c>
      <c r="D1630" s="48" t="inlineStr">
        <is>
          <t>C.3.1</t>
        </is>
      </c>
      <c r="E1630" s="48" t="inlineStr">
        <is>
          <t>C</t>
        </is>
      </c>
      <c r="F1630" s="48" t="inlineStr">
        <is>
          <t>Q</t>
        </is>
      </c>
      <c r="G1630" s="48" t="inlineStr">
        <is>
          <t>higher</t>
        </is>
      </c>
      <c r="H1630" s="48" t="n">
        <v>2</v>
      </c>
      <c r="I1630" s="48" t="inlineStr">
        <is>
          <t>Tasso di copertura del servizio con dispositivi di informazione dinamica a bordo mezzo</t>
        </is>
      </c>
      <c r="J1630" s="73" t="n"/>
      <c r="K1630" s="73" t="n"/>
      <c r="L1630" s="73" t="n"/>
      <c r="M1630" s="73" t="n"/>
      <c r="N1630" s="57">
        <f>IF($A1630="","",IFERROR(VALUE($K1630)/VALUE($L1630),IFERROR(VALUE($J1630),0)))</f>
        <v/>
      </c>
      <c r="O1630" s="57">
        <f>IF($A1630="",0,IF(OR($S1630&lt;&gt;1,COUNTA($J1630:$M1630)=0),0,IF(SUMPRODUCT(MAX(($C$5:$C$2484=$C1630)*($D$5:$D$2484=$D1630)*($S$5:$S$2484=1)*IFERROR($N$5:$N$2484*1,0)))&gt;0,ROUND($H1630*($N1630/SUMPRODUCT(MAX(($C$5:$C$2484=$C1630)*($D$5:$D$2484=$D1630)*($S$5:$S$2484=1)*IFERROR($N$5:$N$2484*1,0)))),4),0)))</f>
        <v/>
      </c>
      <c r="P1630" s="48" t="inlineStr">
        <is>
          <t>Autobus con monitor e indicatori vocali / Autobus totali in offerta, incluse scorte</t>
        </is>
      </c>
      <c r="Q1630" s="57">
        <f>IF($A1630="","",$A1630&amp;"|"&amp;$C1630)</f>
        <v/>
      </c>
      <c r="R1630" s="57">
        <f>IF($A1630="","",$A1630&amp;"|"&amp;$C1630&amp;"|"&amp;$D1630)</f>
        <v/>
      </c>
      <c r="S1630" s="57">
        <f>IF($A1630="","",IFERROR(INDEX(Offerte!$D$2:$D$81,MATCH($Q1630,Offerte!$L$2:$L$81,0)),0))</f>
        <v/>
      </c>
      <c r="T1630" s="57">
        <f>IF($A1630="","",IFERROR(INDEX(Offerte!$G$2:$G$81,MATCH($Q1630,Offerte!$L$2:$L$81,0)),"NO"))</f>
        <v/>
      </c>
    </row>
    <row r="1631">
      <c r="A1631" s="48">
        <f>IF(Offerte!$A54="","",Offerte!$A54)</f>
        <v/>
      </c>
      <c r="B1631" s="48">
        <f>IF(Offerte!$A54="","",Offerte!$B54)</f>
        <v/>
      </c>
      <c r="C1631" s="48">
        <f>IF(Offerte!$A54="","",Offerte!$C54)</f>
        <v/>
      </c>
      <c r="D1631" s="48" t="inlineStr">
        <is>
          <t>C.3.2</t>
        </is>
      </c>
      <c r="E1631" s="48" t="inlineStr">
        <is>
          <t>C</t>
        </is>
      </c>
      <c r="F1631" s="48" t="inlineStr">
        <is>
          <t>T</t>
        </is>
      </c>
      <c r="G1631" s="48" t="inlineStr">
        <is>
          <t>tabular</t>
        </is>
      </c>
      <c r="H1631" s="48" t="n">
        <v>2</v>
      </c>
      <c r="I1631" s="48" t="inlineStr">
        <is>
          <t>Informazioni a bordo su coincidenze ai nodi</t>
        </is>
      </c>
      <c r="J1631" s="73" t="n"/>
      <c r="K1631" s="73" t="n"/>
      <c r="L1631" s="73" t="n"/>
      <c r="M1631" s="73" t="n"/>
      <c r="N1631" s="57">
        <f>IF($A1631="","",IF(IFERROR(VALUE($M1631),0)=1,1,0))</f>
        <v/>
      </c>
      <c r="O1631" s="57">
        <f>IF($A1631="",0,IF(OR($S1631&lt;&gt;1,COUNTA($J1631:$M1631)=0),0,IF(AND($N1631=1,IFERROR(SUMIFS($N$5:$N$2484,$Q$5:$Q$2484,$Q1631,$D$5:$D$2484,"C.3.1"),0)&gt;=0.5),$H1631,0)))</f>
        <v/>
      </c>
      <c r="P1631" s="48" t="inlineStr">
        <is>
          <t>Dipende da C.3.1 &gt;= 0.5</t>
        </is>
      </c>
      <c r="Q1631" s="57">
        <f>IF($A1631="","",$A1631&amp;"|"&amp;$C1631)</f>
        <v/>
      </c>
      <c r="R1631" s="57">
        <f>IF($A1631="","",$A1631&amp;"|"&amp;$C1631&amp;"|"&amp;$D1631)</f>
        <v/>
      </c>
      <c r="S1631" s="57">
        <f>IF($A1631="","",IFERROR(INDEX(Offerte!$D$2:$D$81,MATCH($Q1631,Offerte!$L$2:$L$81,0)),0))</f>
        <v/>
      </c>
      <c r="T1631" s="57">
        <f>IF($A1631="","",IFERROR(INDEX(Offerte!$G$2:$G$81,MATCH($Q1631,Offerte!$L$2:$L$81,0)),"NO"))</f>
        <v/>
      </c>
    </row>
    <row r="1632">
      <c r="A1632" s="48">
        <f>IF(Offerte!$A54="","",Offerte!$A54)</f>
        <v/>
      </c>
      <c r="B1632" s="48">
        <f>IF(Offerte!$A54="","",Offerte!$B54)</f>
        <v/>
      </c>
      <c r="C1632" s="48">
        <f>IF(Offerte!$A54="","",Offerte!$C54)</f>
        <v/>
      </c>
      <c r="D1632" s="48" t="inlineStr">
        <is>
          <t>D.1.1</t>
        </is>
      </c>
      <c r="E1632" s="48" t="inlineStr">
        <is>
          <t>D</t>
        </is>
      </c>
      <c r="F1632" s="48" t="inlineStr">
        <is>
          <t>Q</t>
        </is>
      </c>
      <c r="G1632" s="48" t="inlineStr">
        <is>
          <t>higher</t>
        </is>
      </c>
      <c r="H1632" s="48" t="n">
        <v>3</v>
      </c>
      <c r="I1632" s="48" t="inlineStr">
        <is>
          <t>Installazione di pensiline</t>
        </is>
      </c>
      <c r="J1632" s="73" t="n"/>
      <c r="K1632" s="73" t="n"/>
      <c r="L1632" s="73" t="n"/>
      <c r="M1632" s="73" t="n"/>
      <c r="N1632" s="57">
        <f>IF($A1632="","",IFERROR(VALUE($J1632),0))</f>
        <v/>
      </c>
      <c r="O1632" s="57">
        <f>IF($A1632="",0,IF(OR($S1632&lt;&gt;1,COUNTA($J1632:$M1632)=0),0,IF(SUMPRODUCT(MAX(($C$5:$C$2484=$C1632)*($D$5:$D$2484=$D1632)*($S$5:$S$2484=1)*IFERROR($N$5:$N$2484*1,0)))&gt;0,ROUND($H1632*($N1632/SUMPRODUCT(MAX(($C$5:$C$2484=$C1632)*($D$5:$D$2484=$D1632)*($S$5:$S$2484=1)*IFERROR($N$5:$N$2484*1,0)))),4),0)))</f>
        <v/>
      </c>
      <c r="P1632" s="48" t="inlineStr">
        <is>
          <t>fermate</t>
        </is>
      </c>
      <c r="Q1632" s="57">
        <f>IF($A1632="","",$A1632&amp;"|"&amp;$C1632)</f>
        <v/>
      </c>
      <c r="R1632" s="57">
        <f>IF($A1632="","",$A1632&amp;"|"&amp;$C1632&amp;"|"&amp;$D1632)</f>
        <v/>
      </c>
      <c r="S1632" s="57">
        <f>IF($A1632="","",IFERROR(INDEX(Offerte!$D$2:$D$81,MATCH($Q1632,Offerte!$L$2:$L$81,0)),0))</f>
        <v/>
      </c>
      <c r="T1632" s="57">
        <f>IF($A1632="","",IFERROR(INDEX(Offerte!$G$2:$G$81,MATCH($Q1632,Offerte!$L$2:$L$81,0)),"NO"))</f>
        <v/>
      </c>
    </row>
    <row r="1633">
      <c r="A1633" s="48">
        <f>IF(Offerte!$A54="","",Offerte!$A54)</f>
        <v/>
      </c>
      <c r="B1633" s="48">
        <f>IF(Offerte!$A54="","",Offerte!$B54)</f>
        <v/>
      </c>
      <c r="C1633" s="48">
        <f>IF(Offerte!$A54="","",Offerte!$C54)</f>
        <v/>
      </c>
      <c r="D1633" s="48" t="inlineStr">
        <is>
          <t>D.1.2</t>
        </is>
      </c>
      <c r="E1633" s="48" t="inlineStr">
        <is>
          <t>D</t>
        </is>
      </c>
      <c r="F1633" s="48" t="inlineStr">
        <is>
          <t>Q</t>
        </is>
      </c>
      <c r="G1633" s="48" t="inlineStr">
        <is>
          <t>higher</t>
        </is>
      </c>
      <c r="H1633" s="48" t="n">
        <v>3</v>
      </c>
      <c r="I1633" s="48" t="inlineStr">
        <is>
          <t>Installazione di paline di fermata conformi alla DGR 581/2023</t>
        </is>
      </c>
      <c r="J1633" s="73" t="n"/>
      <c r="K1633" s="73" t="n"/>
      <c r="L1633" s="73" t="n"/>
      <c r="M1633" s="73" t="n"/>
      <c r="N1633" s="57">
        <f>IF($A1633="","",IFERROR(VALUE($J1633),0))</f>
        <v/>
      </c>
      <c r="O1633" s="57">
        <f>IF($A1633="",0,IF(OR($S1633&lt;&gt;1,COUNTA($J1633:$M1633)=0),0,IF(SUMPRODUCT(MAX(($C$5:$C$2484=$C1633)*($D$5:$D$2484=$D1633)*($S$5:$S$2484=1)*IFERROR($N$5:$N$2484*1,0)))&gt;0,ROUND($H1633*($N1633/SUMPRODUCT(MAX(($C$5:$C$2484=$C1633)*($D$5:$D$2484=$D1633)*($S$5:$S$2484=1)*IFERROR($N$5:$N$2484*1,0)))),4),0)))</f>
        <v/>
      </c>
      <c r="P1633" s="48" t="inlineStr">
        <is>
          <t>fermate</t>
        </is>
      </c>
      <c r="Q1633" s="57">
        <f>IF($A1633="","",$A1633&amp;"|"&amp;$C1633)</f>
        <v/>
      </c>
      <c r="R1633" s="57">
        <f>IF($A1633="","",$A1633&amp;"|"&amp;$C1633&amp;"|"&amp;$D1633)</f>
        <v/>
      </c>
      <c r="S1633" s="57">
        <f>IF($A1633="","",IFERROR(INDEX(Offerte!$D$2:$D$81,MATCH($Q1633,Offerte!$L$2:$L$81,0)),0))</f>
        <v/>
      </c>
      <c r="T1633" s="57">
        <f>IF($A1633="","",IFERROR(INDEX(Offerte!$G$2:$G$81,MATCH($Q1633,Offerte!$L$2:$L$81,0)),"NO"))</f>
        <v/>
      </c>
    </row>
    <row r="1634">
      <c r="A1634" s="48">
        <f>IF(Offerte!$A54="","",Offerte!$A54)</f>
        <v/>
      </c>
      <c r="B1634" s="48">
        <f>IF(Offerte!$A54="","",Offerte!$B54)</f>
        <v/>
      </c>
      <c r="C1634" s="48">
        <f>IF(Offerte!$A54="","",Offerte!$C54)</f>
        <v/>
      </c>
      <c r="D1634" s="48" t="inlineStr">
        <is>
          <t>D.1.3</t>
        </is>
      </c>
      <c r="E1634" s="48" t="inlineStr">
        <is>
          <t>D</t>
        </is>
      </c>
      <c r="F1634" s="48" t="inlineStr">
        <is>
          <t>Q</t>
        </is>
      </c>
      <c r="G1634" s="48" t="inlineStr">
        <is>
          <t>higher</t>
        </is>
      </c>
      <c r="H1634" s="48" t="n">
        <v>2</v>
      </c>
      <c r="I1634" s="48" t="inlineStr">
        <is>
          <t>Display informativi connessi alle fermate</t>
        </is>
      </c>
      <c r="J1634" s="73" t="n"/>
      <c r="K1634" s="73" t="n"/>
      <c r="L1634" s="73" t="n"/>
      <c r="M1634" s="73" t="n"/>
      <c r="N1634" s="57">
        <f>IF($A1634="","",IFERROR(VALUE($J1634),0))</f>
        <v/>
      </c>
      <c r="O1634" s="57">
        <f>IF($A1634="",0,IF(OR($S1634&lt;&gt;1,COUNTA($J1634:$M1634)=0),0,IF(SUMPRODUCT(MAX(($C$5:$C$2484=$C1634)*($D$5:$D$2484=$D1634)*($S$5:$S$2484=1)*IFERROR($N$5:$N$2484*1,0)))&gt;0,ROUND($H1634*($N1634/SUMPRODUCT(MAX(($C$5:$C$2484=$C1634)*($D$5:$D$2484=$D1634)*($S$5:$S$2484=1)*IFERROR($N$5:$N$2484*1,0)))),4),0)))</f>
        <v/>
      </c>
      <c r="P1634" s="48" t="inlineStr">
        <is>
          <t>fermate</t>
        </is>
      </c>
      <c r="Q1634" s="57">
        <f>IF($A1634="","",$A1634&amp;"|"&amp;$C1634)</f>
        <v/>
      </c>
      <c r="R1634" s="57">
        <f>IF($A1634="","",$A1634&amp;"|"&amp;$C1634&amp;"|"&amp;$D1634)</f>
        <v/>
      </c>
      <c r="S1634" s="57">
        <f>IF($A1634="","",IFERROR(INDEX(Offerte!$D$2:$D$81,MATCH($Q1634,Offerte!$L$2:$L$81,0)),0))</f>
        <v/>
      </c>
      <c r="T1634" s="57">
        <f>IF($A1634="","",IFERROR(INDEX(Offerte!$G$2:$G$81,MATCH($Q1634,Offerte!$L$2:$L$81,0)),"NO"))</f>
        <v/>
      </c>
    </row>
    <row r="1635">
      <c r="A1635" s="48">
        <f>IF(Offerte!$A54="","",Offerte!$A54)</f>
        <v/>
      </c>
      <c r="B1635" s="48">
        <f>IF(Offerte!$A54="","",Offerte!$B54)</f>
        <v/>
      </c>
      <c r="C1635" s="48">
        <f>IF(Offerte!$A54="","",Offerte!$C54)</f>
        <v/>
      </c>
      <c r="D1635" s="48" t="inlineStr">
        <is>
          <t>D.2.1</t>
        </is>
      </c>
      <c r="E1635" s="48" t="inlineStr">
        <is>
          <t>D</t>
        </is>
      </c>
      <c r="F1635" s="48" t="inlineStr">
        <is>
          <t>Q</t>
        </is>
      </c>
      <c r="G1635" s="48" t="inlineStr">
        <is>
          <t>higher</t>
        </is>
      </c>
      <c r="H1635" s="48" t="n">
        <v>2</v>
      </c>
      <c r="I1635" s="48" t="inlineStr">
        <is>
          <t>Segnali tattili Loges-Vet-Evolution</t>
        </is>
      </c>
      <c r="J1635" s="73" t="n"/>
      <c r="K1635" s="73" t="n"/>
      <c r="L1635" s="73" t="n"/>
      <c r="M1635" s="73" t="n"/>
      <c r="N1635" s="57">
        <f>IF($A1635="","",IFERROR(VALUE($J1635),0))</f>
        <v/>
      </c>
      <c r="O1635" s="57">
        <f>IF($A1635="",0,IF(OR($S1635&lt;&gt;1,COUNTA($J1635:$M1635)=0),0,IF(SUMPRODUCT(MAX(($C$5:$C$2484=$C1635)*($D$5:$D$2484=$D1635)*($S$5:$S$2484=1)*IFERROR($N$5:$N$2484*1,0)))&gt;0,ROUND($H1635*($N1635/SUMPRODUCT(MAX(($C$5:$C$2484=$C1635)*($D$5:$D$2484=$D1635)*($S$5:$S$2484=1)*IFERROR($N$5:$N$2484*1,0)))),4),0)))</f>
        <v/>
      </c>
      <c r="P1635" s="48" t="inlineStr">
        <is>
          <t>fermate</t>
        </is>
      </c>
      <c r="Q1635" s="57">
        <f>IF($A1635="","",$A1635&amp;"|"&amp;$C1635)</f>
        <v/>
      </c>
      <c r="R1635" s="57">
        <f>IF($A1635="","",$A1635&amp;"|"&amp;$C1635&amp;"|"&amp;$D1635)</f>
        <v/>
      </c>
      <c r="S1635" s="57">
        <f>IF($A1635="","",IFERROR(INDEX(Offerte!$D$2:$D$81,MATCH($Q1635,Offerte!$L$2:$L$81,0)),0))</f>
        <v/>
      </c>
      <c r="T1635" s="57">
        <f>IF($A1635="","",IFERROR(INDEX(Offerte!$G$2:$G$81,MATCH($Q1635,Offerte!$L$2:$L$81,0)),"NO"))</f>
        <v/>
      </c>
    </row>
    <row r="1636">
      <c r="A1636" s="48">
        <f>IF(Offerte!$A54="","",Offerte!$A54)</f>
        <v/>
      </c>
      <c r="B1636" s="48">
        <f>IF(Offerte!$A54="","",Offerte!$B54)</f>
        <v/>
      </c>
      <c r="C1636" s="48">
        <f>IF(Offerte!$A54="","",Offerte!$C54)</f>
        <v/>
      </c>
      <c r="D1636" s="48" t="inlineStr">
        <is>
          <t>E.1.1</t>
        </is>
      </c>
      <c r="E1636" s="48" t="inlineStr">
        <is>
          <t>E</t>
        </is>
      </c>
      <c r="F1636" s="48" t="inlineStr">
        <is>
          <t>T</t>
        </is>
      </c>
      <c r="G1636" s="48" t="inlineStr">
        <is>
          <t>tabular</t>
        </is>
      </c>
      <c r="H1636" s="48" t="n">
        <v>2</v>
      </c>
      <c r="I1636" s="48" t="inlineStr">
        <is>
          <t>Mobile app con travel planner PRM</t>
        </is>
      </c>
      <c r="J1636" s="73" t="n"/>
      <c r="K1636" s="73" t="n"/>
      <c r="L1636" s="73" t="n"/>
      <c r="M1636" s="73" t="n"/>
      <c r="N1636" s="57">
        <f>IF($A1636="","",IF(IFERROR(VALUE($M1636),0)=1,1,0))</f>
        <v/>
      </c>
      <c r="O1636" s="57">
        <f>IF($A1636="",0,IF(OR($S1636&lt;&gt;1,COUNTA($J1636:$M1636)=0),0,IF($N1636=1,$H1636,0)))</f>
        <v/>
      </c>
      <c r="P1636" s="48" t="inlineStr">
        <is>
          <t>sì/no</t>
        </is>
      </c>
      <c r="Q1636" s="57">
        <f>IF($A1636="","",$A1636&amp;"|"&amp;$C1636)</f>
        <v/>
      </c>
      <c r="R1636" s="57">
        <f>IF($A1636="","",$A1636&amp;"|"&amp;$C1636&amp;"|"&amp;$D1636)</f>
        <v/>
      </c>
      <c r="S1636" s="57">
        <f>IF($A1636="","",IFERROR(INDEX(Offerte!$D$2:$D$81,MATCH($Q1636,Offerte!$L$2:$L$81,0)),0))</f>
        <v/>
      </c>
      <c r="T1636" s="57">
        <f>IF($A1636="","",IFERROR(INDEX(Offerte!$G$2:$G$81,MATCH($Q1636,Offerte!$L$2:$L$81,0)),"NO"))</f>
        <v/>
      </c>
    </row>
    <row r="1637">
      <c r="A1637" s="48">
        <f>IF(Offerte!$A54="","",Offerte!$A54)</f>
        <v/>
      </c>
      <c r="B1637" s="48">
        <f>IF(Offerte!$A54="","",Offerte!$B54)</f>
        <v/>
      </c>
      <c r="C1637" s="48">
        <f>IF(Offerte!$A54="","",Offerte!$C54)</f>
        <v/>
      </c>
      <c r="D1637" s="48" t="inlineStr">
        <is>
          <t>E.2.1</t>
        </is>
      </c>
      <c r="E1637" s="48" t="inlineStr">
        <is>
          <t>E</t>
        </is>
      </c>
      <c r="F1637" s="48" t="inlineStr">
        <is>
          <t>D</t>
        </is>
      </c>
      <c r="G1637" s="48" t="inlineStr">
        <is>
          <t>discretionary</t>
        </is>
      </c>
      <c r="H1637" s="48" t="n">
        <v>2</v>
      </c>
      <c r="I1637" s="48" t="inlineStr">
        <is>
          <t>Altre azioni informative e rapporti con gli utenti</t>
        </is>
      </c>
      <c r="J1637" s="73" t="n"/>
      <c r="K1637" s="73" t="n"/>
      <c r="L1637" s="73" t="n"/>
      <c r="M1637" s="73" t="n"/>
      <c r="N1637" s="57">
        <f>IF($A1637="","",MAX(0,MIN(1,IFERROR(VALUE($M1637),0))))</f>
        <v/>
      </c>
      <c r="O1637" s="57">
        <f>IF($A1637="",0,IF(OR($S1637&lt;&gt;1,COUNTA($J1637:$M1637)=0),0,IF(SUMPRODUCT(MAX(($C$5:$C$2484=$C1637)*($D$5:$D$2484=$D1637)*($S$5:$S$2484=1)*IFERROR($N$5:$N$2484*1,0)))&gt;0,ROUND($H1637*($N1637/SUMPRODUCT(MAX(($C$5:$C$2484=$C1637)*($D$5:$D$2484=$D1637)*($S$5:$S$2484=1)*IFERROR($N$5:$N$2484*1,0)))),4),0)))</f>
        <v/>
      </c>
      <c r="P1637" s="48" t="inlineStr">
        <is>
          <t>coeff.</t>
        </is>
      </c>
      <c r="Q1637" s="57">
        <f>IF($A1637="","",$A1637&amp;"|"&amp;$C1637)</f>
        <v/>
      </c>
      <c r="R1637" s="57">
        <f>IF($A1637="","",$A1637&amp;"|"&amp;$C1637&amp;"|"&amp;$D1637)</f>
        <v/>
      </c>
      <c r="S1637" s="57">
        <f>IF($A1637="","",IFERROR(INDEX(Offerte!$D$2:$D$81,MATCH($Q1637,Offerte!$L$2:$L$81,0)),0))</f>
        <v/>
      </c>
      <c r="T1637" s="57">
        <f>IF($A1637="","",IFERROR(INDEX(Offerte!$G$2:$G$81,MATCH($Q1637,Offerte!$L$2:$L$81,0)),"NO"))</f>
        <v/>
      </c>
    </row>
    <row r="1638">
      <c r="A1638" s="48">
        <f>IF(Offerte!$A54="","",Offerte!$A54)</f>
        <v/>
      </c>
      <c r="B1638" s="48">
        <f>IF(Offerte!$A54="","",Offerte!$B54)</f>
        <v/>
      </c>
      <c r="C1638" s="48">
        <f>IF(Offerte!$A54="","",Offerte!$C54)</f>
        <v/>
      </c>
      <c r="D1638" s="48" t="inlineStr">
        <is>
          <t>F.1.1</t>
        </is>
      </c>
      <c r="E1638" s="48" t="inlineStr">
        <is>
          <t>F</t>
        </is>
      </c>
      <c r="F1638" s="48" t="inlineStr">
        <is>
          <t>Q</t>
        </is>
      </c>
      <c r="G1638" s="48" t="inlineStr">
        <is>
          <t>lower</t>
        </is>
      </c>
      <c r="H1638" s="48" t="n">
        <v>7</v>
      </c>
      <c r="I1638" s="48" t="inlineStr">
        <is>
          <t>Performance ambientali del parco mezzi adibito al servizio - I_CEA</t>
        </is>
      </c>
      <c r="J1638" s="73" t="n"/>
      <c r="K1638" s="73" t="n"/>
      <c r="L1638" s="73" t="n"/>
      <c r="M1638" s="73" t="n"/>
      <c r="N1638" s="57">
        <f>IF($A1638="","",IFERROR(VALUE($J1638),0))</f>
        <v/>
      </c>
      <c r="O1638" s="57">
        <f>IF($A1638="",0,IF(OR($S1638&lt;&gt;1,COUNTA($J1638:$M1638)=0),0,IF(AND(IFERROR(AGGREGATE(15,6,$N$5:$N$2484/(($C$5:$C$2484=$C1638)*($D$5:$D$2484=$D1638)*($S$5:$S$2484=1)*($N$5:$N$2484&gt;0)),1),0)&gt;0,$N1638&gt;0),ROUND($H1638*(IFERROR(AGGREGATE(15,6,$N$5:$N$2484/(($C$5:$C$2484=$C1638)*($D$5:$D$2484=$D1638)*($S$5:$S$2484=1)*($N$5:$N$2484&gt;0)),1),0)/$N1638),4),0)))</f>
        <v/>
      </c>
      <c r="P1638" s="48" t="inlineStr">
        <is>
          <t>indice</t>
        </is>
      </c>
      <c r="Q1638" s="57">
        <f>IF($A1638="","",$A1638&amp;"|"&amp;$C1638)</f>
        <v/>
      </c>
      <c r="R1638" s="57">
        <f>IF($A1638="","",$A1638&amp;"|"&amp;$C1638&amp;"|"&amp;$D1638)</f>
        <v/>
      </c>
      <c r="S1638" s="57">
        <f>IF($A1638="","",IFERROR(INDEX(Offerte!$D$2:$D$81,MATCH($Q1638,Offerte!$L$2:$L$81,0)),0))</f>
        <v/>
      </c>
      <c r="T1638" s="57">
        <f>IF($A1638="","",IFERROR(INDEX(Offerte!$G$2:$G$81,MATCH($Q1638,Offerte!$L$2:$L$81,0)),"NO"))</f>
        <v/>
      </c>
    </row>
    <row r="1639">
      <c r="A1639" s="48">
        <f>IF(Offerte!$A54="","",Offerte!$A54)</f>
        <v/>
      </c>
      <c r="B1639" s="48">
        <f>IF(Offerte!$A54="","",Offerte!$B54)</f>
        <v/>
      </c>
      <c r="C1639" s="48">
        <f>IF(Offerte!$A54="","",Offerte!$C54)</f>
        <v/>
      </c>
      <c r="D1639" s="48" t="inlineStr">
        <is>
          <t>F.2.1</t>
        </is>
      </c>
      <c r="E1639" s="48" t="inlineStr">
        <is>
          <t>F</t>
        </is>
      </c>
      <c r="F1639" s="48" t="inlineStr">
        <is>
          <t>Q</t>
        </is>
      </c>
      <c r="G1639" s="48" t="inlineStr">
        <is>
          <t>higher</t>
        </is>
      </c>
      <c r="H1639" s="48" t="n">
        <v>2</v>
      </c>
      <c r="I1639" s="48" t="inlineStr">
        <is>
          <t>Tasso di copertura del servizio con dispositivi ECO-DRIVER</t>
        </is>
      </c>
      <c r="J1639" s="73" t="n"/>
      <c r="K1639" s="73" t="n"/>
      <c r="L1639" s="73" t="n"/>
      <c r="M1639" s="73" t="n"/>
      <c r="N1639" s="57">
        <f>IF($A1639="","",IFERROR(VALUE($K1639)/VALUE($L1639),IFERROR(VALUE($J1639),0)))</f>
        <v/>
      </c>
      <c r="O1639" s="57">
        <f>IF($A1639="",0,IF(OR($S1639&lt;&gt;1,COUNTA($J1639:$M1639)=0),0,IF(SUMPRODUCT(MAX(($C$5:$C$2484=$C1639)*($D$5:$D$2484=$D1639)*($S$5:$S$2484=1)*IFERROR($N$5:$N$2484*1,0)))&gt;0,ROUND($H1639*($N1639/SUMPRODUCT(MAX(($C$5:$C$2484=$C1639)*($D$5:$D$2484=$D1639)*($S$5:$S$2484=1)*IFERROR($N$5:$N$2484*1,0)))),4),0)))</f>
        <v/>
      </c>
      <c r="P1639" s="48" t="inlineStr">
        <is>
          <t>Autobus attrezzati con dispositivi ECO-DRIVER / Autobus totali in offerta, incluse scorte</t>
        </is>
      </c>
      <c r="Q1639" s="57">
        <f>IF($A1639="","",$A1639&amp;"|"&amp;$C1639)</f>
        <v/>
      </c>
      <c r="R1639" s="57">
        <f>IF($A1639="","",$A1639&amp;"|"&amp;$C1639&amp;"|"&amp;$D1639)</f>
        <v/>
      </c>
      <c r="S1639" s="57">
        <f>IF($A1639="","",IFERROR(INDEX(Offerte!$D$2:$D$81,MATCH($Q1639,Offerte!$L$2:$L$81,0)),0))</f>
        <v/>
      </c>
      <c r="T1639" s="57">
        <f>IF($A1639="","",IFERROR(INDEX(Offerte!$G$2:$G$81,MATCH($Q1639,Offerte!$L$2:$L$81,0)),"NO"))</f>
        <v/>
      </c>
    </row>
    <row r="1640">
      <c r="A1640" s="48">
        <f>IF(Offerte!$A54="","",Offerte!$A54)</f>
        <v/>
      </c>
      <c r="B1640" s="48">
        <f>IF(Offerte!$A54="","",Offerte!$B54)</f>
        <v/>
      </c>
      <c r="C1640" s="48">
        <f>IF(Offerte!$A54="","",Offerte!$C54)</f>
        <v/>
      </c>
      <c r="D1640" s="48" t="inlineStr">
        <is>
          <t>F.3.1</t>
        </is>
      </c>
      <c r="E1640" s="48" t="inlineStr">
        <is>
          <t>F</t>
        </is>
      </c>
      <c r="F1640" s="48" t="inlineStr">
        <is>
          <t>Q</t>
        </is>
      </c>
      <c r="G1640" s="48" t="inlineStr">
        <is>
          <t>higher</t>
        </is>
      </c>
      <c r="H1640" s="48" t="n">
        <v>2</v>
      </c>
      <c r="I1640" s="48" t="inlineStr">
        <is>
          <t>Autoproduzione consumi elettrici per trazione</t>
        </is>
      </c>
      <c r="J1640" s="73" t="n"/>
      <c r="K1640" s="73" t="n"/>
      <c r="L1640" s="73" t="n"/>
      <c r="M1640" s="73" t="n"/>
      <c r="N1640" s="57">
        <f>IF($A1640="","",IFERROR(VALUE($J1640),0))</f>
        <v/>
      </c>
      <c r="O1640" s="57">
        <f>IF($A1640="",0,IF(OR($S1640&lt;&gt;1,COUNTA($J1640:$M1640)=0),0,IF(SUMPRODUCT(MAX(($C$5:$C$2484=$C1640)*($D$5:$D$2484=$D1640)*($S$5:$S$2484=1)*IFERROR($N$5:$N$2484*1,0)))&gt;0,ROUND($H1640*($N1640/SUMPRODUCT(MAX(($C$5:$C$2484=$C1640)*($D$5:$D$2484=$D1640)*($S$5:$S$2484=1)*IFERROR($N$5:$N$2484*1,0)))),4),0)))</f>
        <v/>
      </c>
      <c r="P1640" s="48" t="inlineStr">
        <is>
          <t>kWh/anno</t>
        </is>
      </c>
      <c r="Q1640" s="57">
        <f>IF($A1640="","",$A1640&amp;"|"&amp;$C1640)</f>
        <v/>
      </c>
      <c r="R1640" s="57">
        <f>IF($A1640="","",$A1640&amp;"|"&amp;$C1640&amp;"|"&amp;$D1640)</f>
        <v/>
      </c>
      <c r="S1640" s="57">
        <f>IF($A1640="","",IFERROR(INDEX(Offerte!$D$2:$D$81,MATCH($Q1640,Offerte!$L$2:$L$81,0)),0))</f>
        <v/>
      </c>
      <c r="T1640" s="57">
        <f>IF($A1640="","",IFERROR(INDEX(Offerte!$G$2:$G$81,MATCH($Q1640,Offerte!$L$2:$L$81,0)),"NO"))</f>
        <v/>
      </c>
    </row>
    <row r="1641">
      <c r="A1641" s="48">
        <f>IF(Offerte!$A54="","",Offerte!$A54)</f>
        <v/>
      </c>
      <c r="B1641" s="48">
        <f>IF(Offerte!$A54="","",Offerte!$B54)</f>
        <v/>
      </c>
      <c r="C1641" s="48">
        <f>IF(Offerte!$A54="","",Offerte!$C54)</f>
        <v/>
      </c>
      <c r="D1641" s="48" t="inlineStr">
        <is>
          <t>F.4.1</t>
        </is>
      </c>
      <c r="E1641" s="48" t="inlineStr">
        <is>
          <t>F</t>
        </is>
      </c>
      <c r="F1641" s="48" t="inlineStr">
        <is>
          <t>Q</t>
        </is>
      </c>
      <c r="G1641" s="48" t="inlineStr">
        <is>
          <t>soil</t>
        </is>
      </c>
      <c r="H1641" s="48" t="n">
        <v>2</v>
      </c>
      <c r="I1641" s="48" t="inlineStr">
        <is>
          <t>Indice di consumo di suolo</t>
        </is>
      </c>
      <c r="J1641" s="73" t="n"/>
      <c r="K1641" s="73" t="n"/>
      <c r="L1641" s="73" t="n"/>
      <c r="M1641" s="73" t="n"/>
      <c r="N1641" s="57">
        <f>IF($A1641="","",IFERROR(VALUE($J1641),0))</f>
        <v/>
      </c>
      <c r="O1641" s="57">
        <f>IF($A1641="",0,IF(OR($S1641&lt;&gt;1,COUNTA($J1641:$M1641)=0),0,IF($N1641&lt;=0,$H1641,IF(SUMPRODUCT(MAX(($C$5:$C$2484=$C1641)*($D$5:$D$2484=$D1641)*($S$5:$S$2484=1)*IFERROR($N$5:$N$2484*1,0)))&gt;0,ROUND($H1641*((SUMPRODUCT(MAX(($C$5:$C$2484=$C1641)*($D$5:$D$2484=$D1641)*($S$5:$S$2484=1)*IFERROR($N$5:$N$2484*1,0)))-$N1641)/SUMPRODUCT(MAX(($C$5:$C$2484=$C1641)*($D$5:$D$2484=$D1641)*($S$5:$S$2484=1)*IFERROR($N$5:$N$2484*1,0)))),4),0))))</f>
        <v/>
      </c>
      <c r="P1641" s="48" t="inlineStr">
        <is>
          <t>m2</t>
        </is>
      </c>
      <c r="Q1641" s="57">
        <f>IF($A1641="","",$A1641&amp;"|"&amp;$C1641)</f>
        <v/>
      </c>
      <c r="R1641" s="57">
        <f>IF($A1641="","",$A1641&amp;"|"&amp;$C1641&amp;"|"&amp;$D1641)</f>
        <v/>
      </c>
      <c r="S1641" s="57">
        <f>IF($A1641="","",IFERROR(INDEX(Offerte!$D$2:$D$81,MATCH($Q1641,Offerte!$L$2:$L$81,0)),0))</f>
        <v/>
      </c>
      <c r="T1641" s="57">
        <f>IF($A1641="","",IFERROR(INDEX(Offerte!$G$2:$G$81,MATCH($Q1641,Offerte!$L$2:$L$81,0)),"NO"))</f>
        <v/>
      </c>
    </row>
    <row r="1642">
      <c r="A1642" s="48">
        <f>IF(Offerte!$A54="","",Offerte!$A54)</f>
        <v/>
      </c>
      <c r="B1642" s="48">
        <f>IF(Offerte!$A54="","",Offerte!$B54)</f>
        <v/>
      </c>
      <c r="C1642" s="48">
        <f>IF(Offerte!$A54="","",Offerte!$C54)</f>
        <v/>
      </c>
      <c r="D1642" s="48" t="inlineStr">
        <is>
          <t>F.5.1</t>
        </is>
      </c>
      <c r="E1642" s="48" t="inlineStr">
        <is>
          <t>F</t>
        </is>
      </c>
      <c r="F1642" s="48" t="inlineStr">
        <is>
          <t>T</t>
        </is>
      </c>
      <c r="G1642" s="48" t="inlineStr">
        <is>
          <t>tabular</t>
        </is>
      </c>
      <c r="H1642" s="48" t="n">
        <v>1</v>
      </c>
      <c r="I1642" s="48" t="inlineStr">
        <is>
          <t>Rendicontazione di sostenibilità ambientale</t>
        </is>
      </c>
      <c r="J1642" s="73" t="n"/>
      <c r="K1642" s="73" t="n"/>
      <c r="L1642" s="73" t="n"/>
      <c r="M1642" s="73" t="n"/>
      <c r="N1642" s="57">
        <f>IF($A1642="","",IF(IFERROR(VALUE($M1642),0)=1,1,0))</f>
        <v/>
      </c>
      <c r="O1642" s="57">
        <f>IF($A1642="",0,IF(OR($S1642&lt;&gt;1,COUNTA($J1642:$M1642)=0),0,IF($N1642=1,$H1642,0)))</f>
        <v/>
      </c>
      <c r="P1642" s="48" t="inlineStr">
        <is>
          <t>sì/no</t>
        </is>
      </c>
      <c r="Q1642" s="57">
        <f>IF($A1642="","",$A1642&amp;"|"&amp;$C1642)</f>
        <v/>
      </c>
      <c r="R1642" s="57">
        <f>IF($A1642="","",$A1642&amp;"|"&amp;$C1642&amp;"|"&amp;$D1642)</f>
        <v/>
      </c>
      <c r="S1642" s="57">
        <f>IF($A1642="","",IFERROR(INDEX(Offerte!$D$2:$D$81,MATCH($Q1642,Offerte!$L$2:$L$81,0)),0))</f>
        <v/>
      </c>
      <c r="T1642" s="57">
        <f>IF($A1642="","",IFERROR(INDEX(Offerte!$G$2:$G$81,MATCH($Q1642,Offerte!$L$2:$L$81,0)),"NO"))</f>
        <v/>
      </c>
    </row>
    <row r="1643">
      <c r="A1643" s="48">
        <f>IF(Offerte!$A54="","",Offerte!$A54)</f>
        <v/>
      </c>
      <c r="B1643" s="48">
        <f>IF(Offerte!$A54="","",Offerte!$B54)</f>
        <v/>
      </c>
      <c r="C1643" s="48">
        <f>IF(Offerte!$A54="","",Offerte!$C54)</f>
        <v/>
      </c>
      <c r="D1643" s="48" t="inlineStr">
        <is>
          <t>G.1.1</t>
        </is>
      </c>
      <c r="E1643" s="48" t="inlineStr">
        <is>
          <t>G</t>
        </is>
      </c>
      <c r="F1643" s="48" t="inlineStr">
        <is>
          <t>D</t>
        </is>
      </c>
      <c r="G1643" s="48" t="inlineStr">
        <is>
          <t>discretionary</t>
        </is>
      </c>
      <c r="H1643" s="48" t="n">
        <v>2</v>
      </c>
      <c r="I1643" s="48" t="inlineStr">
        <is>
          <t>Qualità del progetto di centrale di controllo aziendale</t>
        </is>
      </c>
      <c r="J1643" s="73" t="n"/>
      <c r="K1643" s="73" t="n"/>
      <c r="L1643" s="73" t="n"/>
      <c r="M1643" s="73" t="n"/>
      <c r="N1643" s="57">
        <f>IF($A1643="","",MAX(0,MIN(1,IFERROR(VALUE($M1643),0))))</f>
        <v/>
      </c>
      <c r="O1643" s="57">
        <f>IF($A1643="",0,IF(OR($S1643&lt;&gt;1,COUNTA($J1643:$M1643)=0),0,IF(SUMPRODUCT(MAX(($C$5:$C$2484=$C1643)*($D$5:$D$2484=$D1643)*($S$5:$S$2484=1)*IFERROR($N$5:$N$2484*1,0)))&gt;0,ROUND($H1643*($N1643/SUMPRODUCT(MAX(($C$5:$C$2484=$C1643)*($D$5:$D$2484=$D1643)*($S$5:$S$2484=1)*IFERROR($N$5:$N$2484*1,0)))),4),0)))</f>
        <v/>
      </c>
      <c r="P1643" s="48" t="inlineStr">
        <is>
          <t>coeff.</t>
        </is>
      </c>
      <c r="Q1643" s="57">
        <f>IF($A1643="","",$A1643&amp;"|"&amp;$C1643)</f>
        <v/>
      </c>
      <c r="R1643" s="57">
        <f>IF($A1643="","",$A1643&amp;"|"&amp;$C1643&amp;"|"&amp;$D1643)</f>
        <v/>
      </c>
      <c r="S1643" s="57">
        <f>IF($A1643="","",IFERROR(INDEX(Offerte!$D$2:$D$81,MATCH($Q1643,Offerte!$L$2:$L$81,0)),0))</f>
        <v/>
      </c>
      <c r="T1643" s="57">
        <f>IF($A1643="","",IFERROR(INDEX(Offerte!$G$2:$G$81,MATCH($Q1643,Offerte!$L$2:$L$81,0)),"NO"))</f>
        <v/>
      </c>
    </row>
    <row r="1644">
      <c r="A1644" s="48">
        <f>IF(Offerte!$A54="","",Offerte!$A54)</f>
        <v/>
      </c>
      <c r="B1644" s="48">
        <f>IF(Offerte!$A54="","",Offerte!$B54)</f>
        <v/>
      </c>
      <c r="C1644" s="48">
        <f>IF(Offerte!$A54="","",Offerte!$C54)</f>
        <v/>
      </c>
      <c r="D1644" s="48" t="inlineStr">
        <is>
          <t>G.2.1</t>
        </is>
      </c>
      <c r="E1644" s="48" t="inlineStr">
        <is>
          <t>G</t>
        </is>
      </c>
      <c r="F1644" s="48" t="inlineStr">
        <is>
          <t>T</t>
        </is>
      </c>
      <c r="G1644" s="48" t="inlineStr">
        <is>
          <t>tabular</t>
        </is>
      </c>
      <c r="H1644" s="48" t="n">
        <v>1</v>
      </c>
      <c r="I1644" s="48" t="inlineStr">
        <is>
          <t>Certificazione ISO 45001</t>
        </is>
      </c>
      <c r="J1644" s="73" t="n"/>
      <c r="K1644" s="73" t="n"/>
      <c r="L1644" s="73" t="n"/>
      <c r="M1644" s="73" t="n"/>
      <c r="N1644" s="57">
        <f>IF($A1644="","",IF(IFERROR(VALUE($M1644),0)=1,1,0))</f>
        <v/>
      </c>
      <c r="O1644" s="57">
        <f>IF($A1644="",0,IF(OR($S1644&lt;&gt;1,COUNTA($J1644:$M1644)=0),0,IF($N1644=1,$H1644,0)))</f>
        <v/>
      </c>
      <c r="P1644" s="48" t="inlineStr">
        <is>
          <t>sì/no</t>
        </is>
      </c>
      <c r="Q1644" s="57">
        <f>IF($A1644="","",$A1644&amp;"|"&amp;$C1644)</f>
        <v/>
      </c>
      <c r="R1644" s="57">
        <f>IF($A1644="","",$A1644&amp;"|"&amp;$C1644&amp;"|"&amp;$D1644)</f>
        <v/>
      </c>
      <c r="S1644" s="57">
        <f>IF($A1644="","",IFERROR(INDEX(Offerte!$D$2:$D$81,MATCH($Q1644,Offerte!$L$2:$L$81,0)),0))</f>
        <v/>
      </c>
      <c r="T1644" s="57">
        <f>IF($A1644="","",IFERROR(INDEX(Offerte!$G$2:$G$81,MATCH($Q1644,Offerte!$L$2:$L$81,0)),"NO"))</f>
        <v/>
      </c>
    </row>
    <row r="1645">
      <c r="A1645" s="48">
        <f>IF(Offerte!$A54="","",Offerte!$A54)</f>
        <v/>
      </c>
      <c r="B1645" s="48">
        <f>IF(Offerte!$A54="","",Offerte!$B54)</f>
        <v/>
      </c>
      <c r="C1645" s="48">
        <f>IF(Offerte!$A54="","",Offerte!$C54)</f>
        <v/>
      </c>
      <c r="D1645" s="48" t="inlineStr">
        <is>
          <t>G.3.1</t>
        </is>
      </c>
      <c r="E1645" s="48" t="inlineStr">
        <is>
          <t>G</t>
        </is>
      </c>
      <c r="F1645" s="48" t="inlineStr">
        <is>
          <t>T</t>
        </is>
      </c>
      <c r="G1645" s="48" t="inlineStr">
        <is>
          <t>tabular</t>
        </is>
      </c>
      <c r="H1645" s="48" t="n">
        <v>1</v>
      </c>
      <c r="I1645" s="48" t="inlineStr">
        <is>
          <t>Certificazioni di responsabilità sociale</t>
        </is>
      </c>
      <c r="J1645" s="73" t="n"/>
      <c r="K1645" s="73" t="n"/>
      <c r="L1645" s="73" t="n"/>
      <c r="M1645" s="73" t="n"/>
      <c r="N1645" s="57">
        <f>IF($A1645="","",IF(IFERROR(VALUE($M1645),0)=1,1,0))</f>
        <v/>
      </c>
      <c r="O1645" s="57">
        <f>IF($A1645="",0,IF(OR($S1645&lt;&gt;1,COUNTA($J1645:$M1645)=0),0,IF($N1645=1,$H1645,0)))</f>
        <v/>
      </c>
      <c r="P1645" s="48" t="inlineStr">
        <is>
          <t>sì/no</t>
        </is>
      </c>
      <c r="Q1645" s="57">
        <f>IF($A1645="","",$A1645&amp;"|"&amp;$C1645)</f>
        <v/>
      </c>
      <c r="R1645" s="57">
        <f>IF($A1645="","",$A1645&amp;"|"&amp;$C1645&amp;"|"&amp;$D1645)</f>
        <v/>
      </c>
      <c r="S1645" s="57">
        <f>IF($A1645="","",IFERROR(INDEX(Offerte!$D$2:$D$81,MATCH($Q1645,Offerte!$L$2:$L$81,0)),0))</f>
        <v/>
      </c>
      <c r="T1645" s="57">
        <f>IF($A1645="","",IFERROR(INDEX(Offerte!$G$2:$G$81,MATCH($Q1645,Offerte!$L$2:$L$81,0)),"NO"))</f>
        <v/>
      </c>
    </row>
    <row r="1646">
      <c r="A1646" s="48">
        <f>IF(Offerte!$A54="","",Offerte!$A54)</f>
        <v/>
      </c>
      <c r="B1646" s="48">
        <f>IF(Offerte!$A54="","",Offerte!$B54)</f>
        <v/>
      </c>
      <c r="C1646" s="48">
        <f>IF(Offerte!$A54="","",Offerte!$C54)</f>
        <v/>
      </c>
      <c r="D1646" s="48" t="inlineStr">
        <is>
          <t>G.4.1</t>
        </is>
      </c>
      <c r="E1646" s="48" t="inlineStr">
        <is>
          <t>G</t>
        </is>
      </c>
      <c r="F1646" s="48" t="inlineStr">
        <is>
          <t>D</t>
        </is>
      </c>
      <c r="G1646" s="48" t="inlineStr">
        <is>
          <t>discretionary</t>
        </is>
      </c>
      <c r="H1646" s="48" t="n">
        <v>2</v>
      </c>
      <c r="I1646" s="48" t="inlineStr">
        <is>
          <t>Qualità del piano di formazione del personale</t>
        </is>
      </c>
      <c r="J1646" s="73" t="n"/>
      <c r="K1646" s="73" t="n"/>
      <c r="L1646" s="73" t="n"/>
      <c r="M1646" s="73" t="n"/>
      <c r="N1646" s="57">
        <f>IF($A1646="","",MAX(0,MIN(1,IFERROR(VALUE($M1646),0))))</f>
        <v/>
      </c>
      <c r="O1646" s="57">
        <f>IF($A1646="",0,IF(OR($S1646&lt;&gt;1,COUNTA($J1646:$M1646)=0),0,IF(SUMPRODUCT(MAX(($C$5:$C$2484=$C1646)*($D$5:$D$2484=$D1646)*($S$5:$S$2484=1)*IFERROR($N$5:$N$2484*1,0)))&gt;0,ROUND($H1646*($N1646/SUMPRODUCT(MAX(($C$5:$C$2484=$C1646)*($D$5:$D$2484=$D1646)*($S$5:$S$2484=1)*IFERROR($N$5:$N$2484*1,0)))),4),0)))</f>
        <v/>
      </c>
      <c r="P1646" s="48" t="inlineStr">
        <is>
          <t>coeff.</t>
        </is>
      </c>
      <c r="Q1646" s="57">
        <f>IF($A1646="","",$A1646&amp;"|"&amp;$C1646)</f>
        <v/>
      </c>
      <c r="R1646" s="57">
        <f>IF($A1646="","",$A1646&amp;"|"&amp;$C1646&amp;"|"&amp;$D1646)</f>
        <v/>
      </c>
      <c r="S1646" s="57">
        <f>IF($A1646="","",IFERROR(INDEX(Offerte!$D$2:$D$81,MATCH($Q1646,Offerte!$L$2:$L$81,0)),0))</f>
        <v/>
      </c>
      <c r="T1646" s="57">
        <f>IF($A1646="","",IFERROR(INDEX(Offerte!$G$2:$G$81,MATCH($Q1646,Offerte!$L$2:$L$81,0)),"NO"))</f>
        <v/>
      </c>
    </row>
    <row r="1647">
      <c r="A1647" s="48">
        <f>IF(Offerte!$A54="","",Offerte!$A54)</f>
        <v/>
      </c>
      <c r="B1647" s="48">
        <f>IF(Offerte!$A54="","",Offerte!$B54)</f>
        <v/>
      </c>
      <c r="C1647" s="48">
        <f>IF(Offerte!$A54="","",Offerte!$C54)</f>
        <v/>
      </c>
      <c r="D1647" s="48" t="inlineStr">
        <is>
          <t>G.5.1</t>
        </is>
      </c>
      <c r="E1647" s="48" t="inlineStr">
        <is>
          <t>G</t>
        </is>
      </c>
      <c r="F1647" s="48" t="inlineStr">
        <is>
          <t>T</t>
        </is>
      </c>
      <c r="G1647" s="48" t="inlineStr">
        <is>
          <t>tabular</t>
        </is>
      </c>
      <c r="H1647" s="48" t="n">
        <v>1</v>
      </c>
      <c r="I1647" s="48" t="inlineStr">
        <is>
          <t>Impegno al mantenimento delle garanzie del contratto di secondo livello del gestore uscente</t>
        </is>
      </c>
      <c r="J1647" s="73" t="n"/>
      <c r="K1647" s="73" t="n"/>
      <c r="L1647" s="73" t="n"/>
      <c r="M1647" s="73" t="n"/>
      <c r="N1647" s="57">
        <f>IF($A1647="","",IF(IFERROR(VALUE($M1647),0)=1,1,0))</f>
        <v/>
      </c>
      <c r="O1647" s="57">
        <f>IF($A1647="",0,IF(OR($S1647&lt;&gt;1,COUNTA($J1647:$M1647)=0),0,IF($N1647=1,$H1647,0)))</f>
        <v/>
      </c>
      <c r="P1647" s="48" t="inlineStr">
        <is>
          <t>sì/no</t>
        </is>
      </c>
      <c r="Q1647" s="57">
        <f>IF($A1647="","",$A1647&amp;"|"&amp;$C1647)</f>
        <v/>
      </c>
      <c r="R1647" s="57">
        <f>IF($A1647="","",$A1647&amp;"|"&amp;$C1647&amp;"|"&amp;$D1647)</f>
        <v/>
      </c>
      <c r="S1647" s="57">
        <f>IF($A1647="","",IFERROR(INDEX(Offerte!$D$2:$D$81,MATCH($Q1647,Offerte!$L$2:$L$81,0)),0))</f>
        <v/>
      </c>
      <c r="T1647" s="57">
        <f>IF($A1647="","",IFERROR(INDEX(Offerte!$G$2:$G$81,MATCH($Q1647,Offerte!$L$2:$L$81,0)),"NO"))</f>
        <v/>
      </c>
    </row>
    <row r="1648">
      <c r="A1648" s="48">
        <f>IF(Offerte!$A55="","",Offerte!$A55)</f>
        <v/>
      </c>
      <c r="B1648" s="48">
        <f>IF(Offerte!$A55="","",Offerte!$B55)</f>
        <v/>
      </c>
      <c r="C1648" s="48">
        <f>IF(Offerte!$A55="","",Offerte!$C55)</f>
        <v/>
      </c>
      <c r="D1648" s="48" t="inlineStr">
        <is>
          <t>A.1.1</t>
        </is>
      </c>
      <c r="E1648" s="48" t="inlineStr">
        <is>
          <t>A</t>
        </is>
      </c>
      <c r="F1648" s="48" t="inlineStr">
        <is>
          <t>Q</t>
        </is>
      </c>
      <c r="G1648" s="48" t="inlineStr">
        <is>
          <t>higher</t>
        </is>
      </c>
      <c r="H1648" s="48" t="n">
        <v>3</v>
      </c>
      <c r="I1648" s="48" t="inlineStr">
        <is>
          <t>Tasso aggiuntivo di corse controllate</t>
        </is>
      </c>
      <c r="J1648" s="73" t="n"/>
      <c r="K1648" s="73" t="n"/>
      <c r="L1648" s="73" t="n"/>
      <c r="M1648" s="73" t="n"/>
      <c r="N1648" s="57">
        <f>IF($A1648="","",IFERROR(VALUE($K1648)/VALUE($L1648)*100,IFERROR(VALUE($J1648),0)))</f>
        <v/>
      </c>
      <c r="O1648" s="57">
        <f>IF($A1648="",0,IF(OR($S1648&lt;&gt;1,COUNTA($J1648:$M1648)=0),0,IF(SUMPRODUCT(MAX(($C$5:$C$2484=$C1648)*($D$5:$D$2484=$D1648)*($S$5:$S$2484=1)*IFERROR($N$5:$N$2484*1,0)))&gt;0,ROUND($H1648*($N1648/SUMPRODUCT(MAX(($C$5:$C$2484=$C1648)*($D$5:$D$2484=$D1648)*($S$5:$S$2484=1)*IFERROR($N$5:$N$2484*1,0)))),4),0)))</f>
        <v/>
      </c>
      <c r="P1648" s="48" t="inlineStr">
        <is>
          <t>Corse controllate annue / Corse programmate annue</t>
        </is>
      </c>
      <c r="Q1648" s="57">
        <f>IF($A1648="","",$A1648&amp;"|"&amp;$C1648)</f>
        <v/>
      </c>
      <c r="R1648" s="57">
        <f>IF($A1648="","",$A1648&amp;"|"&amp;$C1648&amp;"|"&amp;$D1648)</f>
        <v/>
      </c>
      <c r="S1648" s="57">
        <f>IF($A1648="","",IFERROR(INDEX(Offerte!$D$2:$D$81,MATCH($Q1648,Offerte!$L$2:$L$81,0)),0))</f>
        <v/>
      </c>
      <c r="T1648" s="57">
        <f>IF($A1648="","",IFERROR(INDEX(Offerte!$G$2:$G$81,MATCH($Q1648,Offerte!$L$2:$L$81,0)),"NO"))</f>
        <v/>
      </c>
    </row>
    <row r="1649">
      <c r="A1649" s="48">
        <f>IF(Offerte!$A55="","",Offerte!$A55)</f>
        <v/>
      </c>
      <c r="B1649" s="48">
        <f>IF(Offerte!$A55="","",Offerte!$B55)</f>
        <v/>
      </c>
      <c r="C1649" s="48">
        <f>IF(Offerte!$A55="","",Offerte!$C55)</f>
        <v/>
      </c>
      <c r="D1649" s="48" t="inlineStr">
        <is>
          <t>A.1.2</t>
        </is>
      </c>
      <c r="E1649" s="48" t="inlineStr">
        <is>
          <t>A</t>
        </is>
      </c>
      <c r="F1649" s="48" t="inlineStr">
        <is>
          <t>Q</t>
        </is>
      </c>
      <c r="G1649" s="48" t="inlineStr">
        <is>
          <t>higher</t>
        </is>
      </c>
      <c r="H1649" s="48" t="n">
        <v>4</v>
      </c>
      <c r="I1649" s="48" t="inlineStr">
        <is>
          <t>Numero aggiuntivo di passeggeri controllati</t>
        </is>
      </c>
      <c r="J1649" s="73" t="n"/>
      <c r="K1649" s="73" t="n"/>
      <c r="L1649" s="73" t="n"/>
      <c r="M1649" s="73" t="n"/>
      <c r="N1649" s="57">
        <f>IF($A1649="","",IFERROR(VALUE($J1649),0))</f>
        <v/>
      </c>
      <c r="O1649" s="57">
        <f>IF($A1649="",0,IF(OR($S1649&lt;&gt;1,COUNTA($J1649:$M1649)=0),0,IF(SUMPRODUCT(MAX(($C$5:$C$2484=$C1649)*($D$5:$D$2484=$D1649)*($S$5:$S$2484=1)*IFERROR($N$5:$N$2484*1,0)))&gt;0,ROUND($H1649*($N1649/SUMPRODUCT(MAX(($C$5:$C$2484=$C1649)*($D$5:$D$2484=$D1649)*($S$5:$S$2484=1)*IFERROR($N$5:$N$2484*1,0)))),4),0)))</f>
        <v/>
      </c>
      <c r="P1649" s="48" t="inlineStr">
        <is>
          <t>passeggeri/anno</t>
        </is>
      </c>
      <c r="Q1649" s="57">
        <f>IF($A1649="","",$A1649&amp;"|"&amp;$C1649)</f>
        <v/>
      </c>
      <c r="R1649" s="57">
        <f>IF($A1649="","",$A1649&amp;"|"&amp;$C1649&amp;"|"&amp;$D1649)</f>
        <v/>
      </c>
      <c r="S1649" s="57">
        <f>IF($A1649="","",IFERROR(INDEX(Offerte!$D$2:$D$81,MATCH($Q1649,Offerte!$L$2:$L$81,0)),0))</f>
        <v/>
      </c>
      <c r="T1649" s="57">
        <f>IF($A1649="","",IFERROR(INDEX(Offerte!$G$2:$G$81,MATCH($Q1649,Offerte!$L$2:$L$81,0)),"NO"))</f>
        <v/>
      </c>
    </row>
    <row r="1650">
      <c r="A1650" s="48">
        <f>IF(Offerte!$A55="","",Offerte!$A55)</f>
        <v/>
      </c>
      <c r="B1650" s="48">
        <f>IF(Offerte!$A55="","",Offerte!$B55)</f>
        <v/>
      </c>
      <c r="C1650" s="48">
        <f>IF(Offerte!$A55="","",Offerte!$C55)</f>
        <v/>
      </c>
      <c r="D1650" s="48" t="inlineStr">
        <is>
          <t>B.1.1</t>
        </is>
      </c>
      <c r="E1650" s="48" t="inlineStr">
        <is>
          <t>B</t>
        </is>
      </c>
      <c r="F1650" s="48" t="inlineStr">
        <is>
          <t>Q</t>
        </is>
      </c>
      <c r="G1650" s="48" t="inlineStr">
        <is>
          <t>higher</t>
        </is>
      </c>
      <c r="H1650" s="48" t="n">
        <v>3</v>
      </c>
      <c r="I1650" s="48" t="inlineStr">
        <is>
          <t>Incremento dei posti offerti nelle fasce di punta</t>
        </is>
      </c>
      <c r="J1650" s="73" t="n"/>
      <c r="K1650" s="73" t="n"/>
      <c r="L1650" s="73" t="n"/>
      <c r="M1650" s="73" t="n"/>
      <c r="N1650" s="57">
        <f>IF($A1650="","",IFERROR(VALUE($J1650),0))</f>
        <v/>
      </c>
      <c r="O1650" s="57">
        <f>IF($A1650="",0,IF(OR($S1650&lt;&gt;1,COUNTA($J1650:$M1650)=0),0,IF(SUMPRODUCT(MAX(($C$5:$C$2484=$C1650)*($D$5:$D$2484=$D1650)*($S$5:$S$2484=1)*IFERROR($N$5:$N$2484*1,0)))&gt;0,ROUND($H1650*($N1650/SUMPRODUCT(MAX(($C$5:$C$2484=$C1650)*($D$5:$D$2484=$D1650)*($S$5:$S$2484=1)*IFERROR($N$5:$N$2484*1,0)))),4),0)))</f>
        <v/>
      </c>
      <c r="P1650" s="48" t="inlineStr">
        <is>
          <t>posti*km</t>
        </is>
      </c>
      <c r="Q1650" s="57">
        <f>IF($A1650="","",$A1650&amp;"|"&amp;$C1650)</f>
        <v/>
      </c>
      <c r="R1650" s="57">
        <f>IF($A1650="","",$A1650&amp;"|"&amp;$C1650&amp;"|"&amp;$D1650)</f>
        <v/>
      </c>
      <c r="S1650" s="57">
        <f>IF($A1650="","",IFERROR(INDEX(Offerte!$D$2:$D$81,MATCH($Q1650,Offerte!$L$2:$L$81,0)),0))</f>
        <v/>
      </c>
      <c r="T1650" s="57">
        <f>IF($A1650="","",IFERROR(INDEX(Offerte!$G$2:$G$81,MATCH($Q1650,Offerte!$L$2:$L$81,0)),"NO"))</f>
        <v/>
      </c>
    </row>
    <row r="1651">
      <c r="A1651" s="48">
        <f>IF(Offerte!$A55="","",Offerte!$A55)</f>
        <v/>
      </c>
      <c r="B1651" s="48">
        <f>IF(Offerte!$A55="","",Offerte!$B55)</f>
        <v/>
      </c>
      <c r="C1651" s="48">
        <f>IF(Offerte!$A55="","",Offerte!$C55)</f>
        <v/>
      </c>
      <c r="D1651" s="48" t="inlineStr">
        <is>
          <t>B.2.1</t>
        </is>
      </c>
      <c r="E1651" s="48" t="inlineStr">
        <is>
          <t>B</t>
        </is>
      </c>
      <c r="F1651" s="48" t="inlineStr">
        <is>
          <t>Q</t>
        </is>
      </c>
      <c r="G1651" s="48" t="inlineStr">
        <is>
          <t>higher</t>
        </is>
      </c>
      <c r="H1651" s="48" t="n">
        <v>4</v>
      </c>
      <c r="I1651" s="48" t="inlineStr">
        <is>
          <t>Corse aggiuntive nell'arco giornaliero base</t>
        </is>
      </c>
      <c r="J1651" s="73" t="n"/>
      <c r="K1651" s="73" t="n"/>
      <c r="L1651" s="73" t="n"/>
      <c r="M1651" s="73" t="n"/>
      <c r="N1651" s="57">
        <f>IF($A1651="","",IFERROR(VALUE($J1651),0))</f>
        <v/>
      </c>
      <c r="O1651" s="57">
        <f>IF($A1651="",0,IF(OR($S1651&lt;&gt;1,COUNTA($J1651:$M1651)=0),0,IF(SUMPRODUCT(MAX(($C$5:$C$2484=$C1651)*($D$5:$D$2484=$D1651)*($S$5:$S$2484=1)*IFERROR($N$5:$N$2484*1,0)))&gt;0,ROUND($H1651*($N1651/SUMPRODUCT(MAX(($C$5:$C$2484=$C1651)*($D$5:$D$2484=$D1651)*($S$5:$S$2484=1)*IFERROR($N$5:$N$2484*1,0)))),4),0)))</f>
        <v/>
      </c>
      <c r="P1651" s="48" t="inlineStr">
        <is>
          <t>corse</t>
        </is>
      </c>
      <c r="Q1651" s="57">
        <f>IF($A1651="","",$A1651&amp;"|"&amp;$C1651)</f>
        <v/>
      </c>
      <c r="R1651" s="57">
        <f>IF($A1651="","",$A1651&amp;"|"&amp;$C1651&amp;"|"&amp;$D1651)</f>
        <v/>
      </c>
      <c r="S1651" s="57">
        <f>IF($A1651="","",IFERROR(INDEX(Offerte!$D$2:$D$81,MATCH($Q1651,Offerte!$L$2:$L$81,0)),0))</f>
        <v/>
      </c>
      <c r="T1651" s="57">
        <f>IF($A1651="","",IFERROR(INDEX(Offerte!$G$2:$G$81,MATCH($Q1651,Offerte!$L$2:$L$81,0)),"NO"))</f>
        <v/>
      </c>
    </row>
    <row r="1652">
      <c r="A1652" s="48">
        <f>IF(Offerte!$A55="","",Offerte!$A55)</f>
        <v/>
      </c>
      <c r="B1652" s="48">
        <f>IF(Offerte!$A55="","",Offerte!$B55)</f>
        <v/>
      </c>
      <c r="C1652" s="48">
        <f>IF(Offerte!$A55="","",Offerte!$C55)</f>
        <v/>
      </c>
      <c r="D1652" s="48" t="inlineStr">
        <is>
          <t>B.3.1</t>
        </is>
      </c>
      <c r="E1652" s="48" t="inlineStr">
        <is>
          <t>B</t>
        </is>
      </c>
      <c r="F1652" s="48" t="inlineStr">
        <is>
          <t>Q</t>
        </is>
      </c>
      <c r="G1652" s="48" t="inlineStr">
        <is>
          <t>higher</t>
        </is>
      </c>
      <c r="H1652" s="48" t="n">
        <v>2</v>
      </c>
      <c r="I1652" s="48" t="inlineStr">
        <is>
          <t>Numero di corse aggiuntive per allungamento dell'arco di servizio giornaliero nelle fasce serali</t>
        </is>
      </c>
      <c r="J1652" s="73" t="n"/>
      <c r="K1652" s="73" t="n"/>
      <c r="L1652" s="73" t="n"/>
      <c r="M1652" s="73" t="n"/>
      <c r="N1652" s="57">
        <f>IF($A1652="","",IFERROR(VALUE($J1652),0))</f>
        <v/>
      </c>
      <c r="O1652" s="57">
        <f>IF($A1652="",0,IF(OR($S1652&lt;&gt;1,COUNTA($J1652:$M1652)=0),0,IF(SUMPRODUCT(MAX(($C$5:$C$2484=$C1652)*($D$5:$D$2484=$D1652)*($S$5:$S$2484=1)*IFERROR($N$5:$N$2484*1,0)))&gt;0,ROUND($H1652*($N1652/SUMPRODUCT(MAX(($C$5:$C$2484=$C1652)*($D$5:$D$2484=$D1652)*($S$5:$S$2484=1)*IFERROR($N$5:$N$2484*1,0)))),4),0)))</f>
        <v/>
      </c>
      <c r="P1652" s="48" t="inlineStr">
        <is>
          <t>corse</t>
        </is>
      </c>
      <c r="Q1652" s="57">
        <f>IF($A1652="","",$A1652&amp;"|"&amp;$C1652)</f>
        <v/>
      </c>
      <c r="R1652" s="57">
        <f>IF($A1652="","",$A1652&amp;"|"&amp;$C1652&amp;"|"&amp;$D1652)</f>
        <v/>
      </c>
      <c r="S1652" s="57">
        <f>IF($A1652="","",IFERROR(INDEX(Offerte!$D$2:$D$81,MATCH($Q1652,Offerte!$L$2:$L$81,0)),0))</f>
        <v/>
      </c>
      <c r="T1652" s="57">
        <f>IF($A1652="","",IFERROR(INDEX(Offerte!$G$2:$G$81,MATCH($Q1652,Offerte!$L$2:$L$81,0)),"NO"))</f>
        <v/>
      </c>
    </row>
    <row r="1653">
      <c r="A1653" s="48">
        <f>IF(Offerte!$A55="","",Offerte!$A55)</f>
        <v/>
      </c>
      <c r="B1653" s="48">
        <f>IF(Offerte!$A55="","",Offerte!$B55)</f>
        <v/>
      </c>
      <c r="C1653" s="48">
        <f>IF(Offerte!$A55="","",Offerte!$C55)</f>
        <v/>
      </c>
      <c r="D1653" s="48" t="inlineStr">
        <is>
          <t>B.4.1</t>
        </is>
      </c>
      <c r="E1653" s="48" t="inlineStr">
        <is>
          <t>B</t>
        </is>
      </c>
      <c r="F1653" s="48" t="inlineStr">
        <is>
          <t>Q</t>
        </is>
      </c>
      <c r="G1653" s="48" t="inlineStr">
        <is>
          <t>higher</t>
        </is>
      </c>
      <c r="H1653" s="48" t="n">
        <v>3</v>
      </c>
      <c r="I1653" s="48" t="inlineStr">
        <is>
          <t>Percorrenze aggiuntive offerte nel Programma d'esercizio delle prime due fasi attuative</t>
        </is>
      </c>
      <c r="J1653" s="73" t="n"/>
      <c r="K1653" s="73" t="n"/>
      <c r="L1653" s="73" t="n"/>
      <c r="M1653" s="73" t="n"/>
      <c r="N1653" s="57">
        <f>IF($A1653="","",IFERROR(VALUE($J1653),0))</f>
        <v/>
      </c>
      <c r="O1653" s="57">
        <f>IF($A1653="",0,IF(OR($S1653&lt;&gt;1,COUNTA($J1653:$M1653)=0),0,IF(SUMPRODUCT(MAX(($C$5:$C$2484=$C1653)*($D$5:$D$2484=$D1653)*($S$5:$S$2484=1)*IFERROR($N$5:$N$2484*1,0)))&gt;0,ROUND($H1653*($N1653/SUMPRODUCT(MAX(($C$5:$C$2484=$C1653)*($D$5:$D$2484=$D1653)*($S$5:$S$2484=1)*IFERROR($N$5:$N$2484*1,0)))),4),0)))</f>
        <v/>
      </c>
      <c r="P1653" s="48" t="inlineStr">
        <is>
          <t>vett*km</t>
        </is>
      </c>
      <c r="Q1653" s="57">
        <f>IF($A1653="","",$A1653&amp;"|"&amp;$C1653)</f>
        <v/>
      </c>
      <c r="R1653" s="57">
        <f>IF($A1653="","",$A1653&amp;"|"&amp;$C1653&amp;"|"&amp;$D1653)</f>
        <v/>
      </c>
      <c r="S1653" s="57">
        <f>IF($A1653="","",IFERROR(INDEX(Offerte!$D$2:$D$81,MATCH($Q1653,Offerte!$L$2:$L$81,0)),0))</f>
        <v/>
      </c>
      <c r="T1653" s="57">
        <f>IF($A1653="","",IFERROR(INDEX(Offerte!$G$2:$G$81,MATCH($Q1653,Offerte!$L$2:$L$81,0)),"NO"))</f>
        <v/>
      </c>
    </row>
    <row r="1654">
      <c r="A1654" s="48">
        <f>IF(Offerte!$A55="","",Offerte!$A55)</f>
        <v/>
      </c>
      <c r="B1654" s="48">
        <f>IF(Offerte!$A55="","",Offerte!$B55)</f>
        <v/>
      </c>
      <c r="C1654" s="48">
        <f>IF(Offerte!$A55="","",Offerte!$C55)</f>
        <v/>
      </c>
      <c r="D1654" s="48" t="inlineStr">
        <is>
          <t>B.5.1</t>
        </is>
      </c>
      <c r="E1654" s="48" t="inlineStr">
        <is>
          <t>B</t>
        </is>
      </c>
      <c r="F1654" s="48" t="inlineStr">
        <is>
          <t>D</t>
        </is>
      </c>
      <c r="G1654" s="48" t="inlineStr">
        <is>
          <t>discretionary</t>
        </is>
      </c>
      <c r="H1654" s="48" t="n">
        <v>2</v>
      </c>
      <c r="I1654" s="48" t="inlineStr">
        <is>
          <t>Efficacia del progetto di servizi complementari DRT</t>
        </is>
      </c>
      <c r="J1654" s="73" t="n"/>
      <c r="K1654" s="73" t="n"/>
      <c r="L1654" s="73" t="n"/>
      <c r="M1654" s="73" t="n"/>
      <c r="N1654" s="57">
        <f>IF($A1654="","",MAX(0,MIN(1,IFERROR(VALUE($M1654),0))))</f>
        <v/>
      </c>
      <c r="O1654" s="57">
        <f>IF($A1654="",0,IF(OR($S1654&lt;&gt;1,COUNTA($J1654:$M1654)=0),0,IF(SUMPRODUCT(MAX(($C$5:$C$2484=$C1654)*($D$5:$D$2484=$D1654)*($S$5:$S$2484=1)*IFERROR($N$5:$N$2484*1,0)))&gt;0,ROUND($H1654*($N1654/SUMPRODUCT(MAX(($C$5:$C$2484=$C1654)*($D$5:$D$2484=$D1654)*($S$5:$S$2484=1)*IFERROR($N$5:$N$2484*1,0)))),4),0)))</f>
        <v/>
      </c>
      <c r="P1654" s="48" t="inlineStr">
        <is>
          <t>coeff.</t>
        </is>
      </c>
      <c r="Q1654" s="57">
        <f>IF($A1654="","",$A1654&amp;"|"&amp;$C1654)</f>
        <v/>
      </c>
      <c r="R1654" s="57">
        <f>IF($A1654="","",$A1654&amp;"|"&amp;$C1654&amp;"|"&amp;$D1654)</f>
        <v/>
      </c>
      <c r="S1654" s="57">
        <f>IF($A1654="","",IFERROR(INDEX(Offerte!$D$2:$D$81,MATCH($Q1654,Offerte!$L$2:$L$81,0)),0))</f>
        <v/>
      </c>
      <c r="T1654" s="57">
        <f>IF($A1654="","",IFERROR(INDEX(Offerte!$G$2:$G$81,MATCH($Q1654,Offerte!$L$2:$L$81,0)),"NO"))</f>
        <v/>
      </c>
    </row>
    <row r="1655">
      <c r="A1655" s="48">
        <f>IF(Offerte!$A55="","",Offerte!$A55)</f>
        <v/>
      </c>
      <c r="B1655" s="48">
        <f>IF(Offerte!$A55="","",Offerte!$B55)</f>
        <v/>
      </c>
      <c r="C1655" s="48">
        <f>IF(Offerte!$A55="","",Offerte!$C55)</f>
        <v/>
      </c>
      <c r="D1655" s="48" t="inlineStr">
        <is>
          <t>C.1.1</t>
        </is>
      </c>
      <c r="E1655" s="48" t="inlineStr">
        <is>
          <t>C</t>
        </is>
      </c>
      <c r="F1655" s="48" t="inlineStr">
        <is>
          <t>Q</t>
        </is>
      </c>
      <c r="G1655" s="48" t="inlineStr">
        <is>
          <t>higher</t>
        </is>
      </c>
      <c r="H1655" s="48" t="n">
        <v>2</v>
      </c>
      <c r="I1655" s="48" t="inlineStr">
        <is>
          <t>Tasso di copertura del servizio con telecamere BSD</t>
        </is>
      </c>
      <c r="J1655" s="73" t="n"/>
      <c r="K1655" s="73" t="n"/>
      <c r="L1655" s="73" t="n"/>
      <c r="M1655" s="73" t="n"/>
      <c r="N1655" s="57">
        <f>IF($A1655="","",IFERROR(VALUE($K1655)/VALUE($L1655),IFERROR(VALUE($J1655),0)))</f>
        <v/>
      </c>
      <c r="O1655" s="57">
        <f>IF($A1655="",0,IF(OR($S1655&lt;&gt;1,COUNTA($J1655:$M1655)=0),0,IF(SUMPRODUCT(MAX(($C$5:$C$2484=$C1655)*($D$5:$D$2484=$D1655)*($S$5:$S$2484=1)*IFERROR($N$5:$N$2484*1,0)))&gt;0,ROUND($H1655*($N1655/SUMPRODUCT(MAX(($C$5:$C$2484=$C1655)*($D$5:$D$2484=$D1655)*($S$5:$S$2484=1)*IFERROR($N$5:$N$2484*1,0)))),4),0)))</f>
        <v/>
      </c>
      <c r="P1655" s="48" t="inlineStr">
        <is>
          <t>Autobus attrezzati con telecamere BSD / Autobus totali in offerta, incluse scorte</t>
        </is>
      </c>
      <c r="Q1655" s="57">
        <f>IF($A1655="","",$A1655&amp;"|"&amp;$C1655)</f>
        <v/>
      </c>
      <c r="R1655" s="57">
        <f>IF($A1655="","",$A1655&amp;"|"&amp;$C1655&amp;"|"&amp;$D1655)</f>
        <v/>
      </c>
      <c r="S1655" s="57">
        <f>IF($A1655="","",IFERROR(INDEX(Offerte!$D$2:$D$81,MATCH($Q1655,Offerte!$L$2:$L$81,0)),0))</f>
        <v/>
      </c>
      <c r="T1655" s="57">
        <f>IF($A1655="","",IFERROR(INDEX(Offerte!$G$2:$G$81,MATCH($Q1655,Offerte!$L$2:$L$81,0)),"NO"))</f>
        <v/>
      </c>
    </row>
    <row r="1656">
      <c r="A1656" s="48">
        <f>IF(Offerte!$A55="","",Offerte!$A55)</f>
        <v/>
      </c>
      <c r="B1656" s="48">
        <f>IF(Offerte!$A55="","",Offerte!$B55)</f>
        <v/>
      </c>
      <c r="C1656" s="48">
        <f>IF(Offerte!$A55="","",Offerte!$C55)</f>
        <v/>
      </c>
      <c r="D1656" s="48" t="inlineStr">
        <is>
          <t>C.1.2</t>
        </is>
      </c>
      <c r="E1656" s="48" t="inlineStr">
        <is>
          <t>C</t>
        </is>
      </c>
      <c r="F1656" s="48" t="inlineStr">
        <is>
          <t>Q</t>
        </is>
      </c>
      <c r="G1656" s="48" t="inlineStr">
        <is>
          <t>higher</t>
        </is>
      </c>
      <c r="H1656" s="48" t="n">
        <v>2</v>
      </c>
      <c r="I1656" s="48" t="inlineStr">
        <is>
          <t>Tasso di copertura del servizio con telecamere ADAS</t>
        </is>
      </c>
      <c r="J1656" s="73" t="n"/>
      <c r="K1656" s="73" t="n"/>
      <c r="L1656" s="73" t="n"/>
      <c r="M1656" s="73" t="n"/>
      <c r="N1656" s="57">
        <f>IF($A1656="","",IFERROR(VALUE($K1656)/VALUE($L1656),IFERROR(VALUE($J1656),0)))</f>
        <v/>
      </c>
      <c r="O1656" s="57">
        <f>IF($A1656="",0,IF(OR($S1656&lt;&gt;1,COUNTA($J1656:$M1656)=0),0,IF(SUMPRODUCT(MAX(($C$5:$C$2484=$C1656)*($D$5:$D$2484=$D1656)*($S$5:$S$2484=1)*IFERROR($N$5:$N$2484*1,0)))&gt;0,ROUND($H1656*($N1656/SUMPRODUCT(MAX(($C$5:$C$2484=$C1656)*($D$5:$D$2484=$D1656)*($S$5:$S$2484=1)*IFERROR($N$5:$N$2484*1,0)))),4),0)))</f>
        <v/>
      </c>
      <c r="P1656" s="48" t="inlineStr">
        <is>
          <t>Autobus attrezzati con telecamere ADAS / Autobus totali in offerta, incluse scorte</t>
        </is>
      </c>
      <c r="Q1656" s="57">
        <f>IF($A1656="","",$A1656&amp;"|"&amp;$C1656)</f>
        <v/>
      </c>
      <c r="R1656" s="57">
        <f>IF($A1656="","",$A1656&amp;"|"&amp;$C1656&amp;"|"&amp;$D1656)</f>
        <v/>
      </c>
      <c r="S1656" s="57">
        <f>IF($A1656="","",IFERROR(INDEX(Offerte!$D$2:$D$81,MATCH($Q1656,Offerte!$L$2:$L$81,0)),0))</f>
        <v/>
      </c>
      <c r="T1656" s="57">
        <f>IF($A1656="","",IFERROR(INDEX(Offerte!$G$2:$G$81,MATCH($Q1656,Offerte!$L$2:$L$81,0)),"NO"))</f>
        <v/>
      </c>
    </row>
    <row r="1657">
      <c r="A1657" s="48">
        <f>IF(Offerte!$A55="","",Offerte!$A55)</f>
        <v/>
      </c>
      <c r="B1657" s="48">
        <f>IF(Offerte!$A55="","",Offerte!$B55)</f>
        <v/>
      </c>
      <c r="C1657" s="48">
        <f>IF(Offerte!$A55="","",Offerte!$C55)</f>
        <v/>
      </c>
      <c r="D1657" s="48" t="inlineStr">
        <is>
          <t>C.2.1</t>
        </is>
      </c>
      <c r="E1657" s="48" t="inlineStr">
        <is>
          <t>C</t>
        </is>
      </c>
      <c r="F1657" s="48" t="inlineStr">
        <is>
          <t>Q</t>
        </is>
      </c>
      <c r="G1657" s="48" t="inlineStr">
        <is>
          <t>higher</t>
        </is>
      </c>
      <c r="H1657" s="48" t="n">
        <v>3</v>
      </c>
      <c r="I1657" s="48" t="inlineStr">
        <is>
          <t>Tasso di copertura del servizio con telecamere di bordo di videosorveglianza</t>
        </is>
      </c>
      <c r="J1657" s="73" t="n"/>
      <c r="K1657" s="73" t="n"/>
      <c r="L1657" s="73" t="n"/>
      <c r="M1657" s="73" t="n"/>
      <c r="N1657" s="57">
        <f>IF($A1657="","",IFERROR(VALUE($K1657)/VALUE($L1657),IFERROR(VALUE($J1657),0)))</f>
        <v/>
      </c>
      <c r="O1657" s="57">
        <f>IF($A1657="",0,IF(OR($S1657&lt;&gt;1,COUNTA($J1657:$M1657)=0),0,IF(SUMPRODUCT(MAX(($C$5:$C$2484=$C1657)*($D$5:$D$2484=$D1657)*($S$5:$S$2484=1)*IFERROR($N$5:$N$2484*1,0)))&gt;0,ROUND($H1657*($N1657/SUMPRODUCT(MAX(($C$5:$C$2484=$C1657)*($D$5:$D$2484=$D1657)*($S$5:$S$2484=1)*IFERROR($N$5:$N$2484*1,0)))),4),0)))</f>
        <v/>
      </c>
      <c r="P1657" s="48" t="inlineStr">
        <is>
          <t>Autobus attrezzati con videosorveglianza / Autobus totali in offerta, incluse scorte</t>
        </is>
      </c>
      <c r="Q1657" s="57">
        <f>IF($A1657="","",$A1657&amp;"|"&amp;$C1657)</f>
        <v/>
      </c>
      <c r="R1657" s="57">
        <f>IF($A1657="","",$A1657&amp;"|"&amp;$C1657&amp;"|"&amp;$D1657)</f>
        <v/>
      </c>
      <c r="S1657" s="57">
        <f>IF($A1657="","",IFERROR(INDEX(Offerte!$D$2:$D$81,MATCH($Q1657,Offerte!$L$2:$L$81,0)),0))</f>
        <v/>
      </c>
      <c r="T1657" s="57">
        <f>IF($A1657="","",IFERROR(INDEX(Offerte!$G$2:$G$81,MATCH($Q1657,Offerte!$L$2:$L$81,0)),"NO"))</f>
        <v/>
      </c>
    </row>
    <row r="1658">
      <c r="A1658" s="48">
        <f>IF(Offerte!$A55="","",Offerte!$A55)</f>
        <v/>
      </c>
      <c r="B1658" s="48">
        <f>IF(Offerte!$A55="","",Offerte!$B55)</f>
        <v/>
      </c>
      <c r="C1658" s="48">
        <f>IF(Offerte!$A55="","",Offerte!$C55)</f>
        <v/>
      </c>
      <c r="D1658" s="48" t="inlineStr">
        <is>
          <t>C.2.2</t>
        </is>
      </c>
      <c r="E1658" s="48" t="inlineStr">
        <is>
          <t>C</t>
        </is>
      </c>
      <c r="F1658" s="48" t="inlineStr">
        <is>
          <t>T</t>
        </is>
      </c>
      <c r="G1658" s="48" t="inlineStr">
        <is>
          <t>tabular</t>
        </is>
      </c>
      <c r="H1658" s="48" t="n">
        <v>1</v>
      </c>
      <c r="I1658" s="48" t="inlineStr">
        <is>
          <t>Software video/audio analisi per situazioni di pericolo</t>
        </is>
      </c>
      <c r="J1658" s="73" t="n"/>
      <c r="K1658" s="73" t="n"/>
      <c r="L1658" s="73" t="n"/>
      <c r="M1658" s="73" t="n"/>
      <c r="N1658" s="57">
        <f>IF($A1658="","",IF(IFERROR(VALUE($M1658),0)=1,1,0))</f>
        <v/>
      </c>
      <c r="O1658" s="57">
        <f>IF($A1658="",0,IF(OR($S1658&lt;&gt;1,COUNTA($J1658:$M1658)=0),0,IF($N1658=1,$H1658,0)))</f>
        <v/>
      </c>
      <c r="P1658" s="48" t="inlineStr">
        <is>
          <t>sì/no</t>
        </is>
      </c>
      <c r="Q1658" s="57">
        <f>IF($A1658="","",$A1658&amp;"|"&amp;$C1658)</f>
        <v/>
      </c>
      <c r="R1658" s="57">
        <f>IF($A1658="","",$A1658&amp;"|"&amp;$C1658&amp;"|"&amp;$D1658)</f>
        <v/>
      </c>
      <c r="S1658" s="57">
        <f>IF($A1658="","",IFERROR(INDEX(Offerte!$D$2:$D$81,MATCH($Q1658,Offerte!$L$2:$L$81,0)),0))</f>
        <v/>
      </c>
      <c r="T1658" s="57">
        <f>IF($A1658="","",IFERROR(INDEX(Offerte!$G$2:$G$81,MATCH($Q1658,Offerte!$L$2:$L$81,0)),"NO"))</f>
        <v/>
      </c>
    </row>
    <row r="1659">
      <c r="A1659" s="48">
        <f>IF(Offerte!$A55="","",Offerte!$A55)</f>
        <v/>
      </c>
      <c r="B1659" s="48">
        <f>IF(Offerte!$A55="","",Offerte!$B55)</f>
        <v/>
      </c>
      <c r="C1659" s="48">
        <f>IF(Offerte!$A55="","",Offerte!$C55)</f>
        <v/>
      </c>
      <c r="D1659" s="48" t="inlineStr">
        <is>
          <t>C.2.3</t>
        </is>
      </c>
      <c r="E1659" s="48" t="inlineStr">
        <is>
          <t>C</t>
        </is>
      </c>
      <c r="F1659" s="48" t="inlineStr">
        <is>
          <t>T</t>
        </is>
      </c>
      <c r="G1659" s="48" t="inlineStr">
        <is>
          <t>tabular</t>
        </is>
      </c>
      <c r="H1659" s="48" t="n">
        <v>1</v>
      </c>
      <c r="I1659" s="48" t="inlineStr">
        <is>
          <t>Collegamento con centrale qualificata di pronto intervento</t>
        </is>
      </c>
      <c r="J1659" s="73" t="n"/>
      <c r="K1659" s="73" t="n"/>
      <c r="L1659" s="73" t="n"/>
      <c r="M1659" s="73" t="n"/>
      <c r="N1659" s="57">
        <f>IF($A1659="","",IF(IFERROR(VALUE($M1659),0)=1,1,0))</f>
        <v/>
      </c>
      <c r="O1659" s="57">
        <f>IF($A1659="",0,IF(OR($S1659&lt;&gt;1,COUNTA($J1659:$M1659)=0),0,IF($N1659=1,$H1659,0)))</f>
        <v/>
      </c>
      <c r="P1659" s="48" t="inlineStr">
        <is>
          <t>sì/no</t>
        </is>
      </c>
      <c r="Q1659" s="57">
        <f>IF($A1659="","",$A1659&amp;"|"&amp;$C1659)</f>
        <v/>
      </c>
      <c r="R1659" s="57">
        <f>IF($A1659="","",$A1659&amp;"|"&amp;$C1659&amp;"|"&amp;$D1659)</f>
        <v/>
      </c>
      <c r="S1659" s="57">
        <f>IF($A1659="","",IFERROR(INDEX(Offerte!$D$2:$D$81,MATCH($Q1659,Offerte!$L$2:$L$81,0)),0))</f>
        <v/>
      </c>
      <c r="T1659" s="57">
        <f>IF($A1659="","",IFERROR(INDEX(Offerte!$G$2:$G$81,MATCH($Q1659,Offerte!$L$2:$L$81,0)),"NO"))</f>
        <v/>
      </c>
    </row>
    <row r="1660">
      <c r="A1660" s="48">
        <f>IF(Offerte!$A55="","",Offerte!$A55)</f>
        <v/>
      </c>
      <c r="B1660" s="48">
        <f>IF(Offerte!$A55="","",Offerte!$B55)</f>
        <v/>
      </c>
      <c r="C1660" s="48">
        <f>IF(Offerte!$A55="","",Offerte!$C55)</f>
        <v/>
      </c>
      <c r="D1660" s="48" t="inlineStr">
        <is>
          <t>C.2.4</t>
        </is>
      </c>
      <c r="E1660" s="48" t="inlineStr">
        <is>
          <t>C</t>
        </is>
      </c>
      <c r="F1660" s="48" t="inlineStr">
        <is>
          <t>Q</t>
        </is>
      </c>
      <c r="G1660" s="48" t="inlineStr">
        <is>
          <t>higher</t>
        </is>
      </c>
      <c r="H1660" s="48" t="n">
        <v>1</v>
      </c>
      <c r="I1660" s="48" t="inlineStr">
        <is>
          <t>Tasso di copertura del servizio con dispositivi per la chiamata di emergenza del conducente</t>
        </is>
      </c>
      <c r="J1660" s="73" t="n"/>
      <c r="K1660" s="73" t="n"/>
      <c r="L1660" s="73" t="n"/>
      <c r="M1660" s="73" t="n"/>
      <c r="N1660" s="57">
        <f>IF($A1660="","",IFERROR(VALUE($K1660)/VALUE($L1660),IFERROR(VALUE($J1660),0)))</f>
        <v/>
      </c>
      <c r="O1660" s="57">
        <f>IF($A1660="",0,IF(OR($S1660&lt;&gt;1,COUNTA($J1660:$M1660)=0),0,IF(SUMPRODUCT(MAX(($C$5:$C$2484=$C1660)*($D$5:$D$2484=$D1660)*($S$5:$S$2484=1)*IFERROR($N$5:$N$2484*1,0)))&gt;0,ROUND($H1660*($N1660/SUMPRODUCT(MAX(($C$5:$C$2484=$C1660)*($D$5:$D$2484=$D1660)*($S$5:$S$2484=1)*IFERROR($N$5:$N$2484*1,0)))),4),0)))</f>
        <v/>
      </c>
      <c r="P1660" s="48" t="inlineStr">
        <is>
          <t>Autobus attrezzati con chiamata di emergenza / Autobus totali in offerta, incluse scorte</t>
        </is>
      </c>
      <c r="Q1660" s="57">
        <f>IF($A1660="","",$A1660&amp;"|"&amp;$C1660)</f>
        <v/>
      </c>
      <c r="R1660" s="57">
        <f>IF($A1660="","",$A1660&amp;"|"&amp;$C1660&amp;"|"&amp;$D1660)</f>
        <v/>
      </c>
      <c r="S1660" s="57">
        <f>IF($A1660="","",IFERROR(INDEX(Offerte!$D$2:$D$81,MATCH($Q1660,Offerte!$L$2:$L$81,0)),0))</f>
        <v/>
      </c>
      <c r="T1660" s="57">
        <f>IF($A1660="","",IFERROR(INDEX(Offerte!$G$2:$G$81,MATCH($Q1660,Offerte!$L$2:$L$81,0)),"NO"))</f>
        <v/>
      </c>
    </row>
    <row r="1661">
      <c r="A1661" s="48">
        <f>IF(Offerte!$A55="","",Offerte!$A55)</f>
        <v/>
      </c>
      <c r="B1661" s="48">
        <f>IF(Offerte!$A55="","",Offerte!$B55)</f>
        <v/>
      </c>
      <c r="C1661" s="48">
        <f>IF(Offerte!$A55="","",Offerte!$C55)</f>
        <v/>
      </c>
      <c r="D1661" s="48" t="inlineStr">
        <is>
          <t>C.3.1</t>
        </is>
      </c>
      <c r="E1661" s="48" t="inlineStr">
        <is>
          <t>C</t>
        </is>
      </c>
      <c r="F1661" s="48" t="inlineStr">
        <is>
          <t>Q</t>
        </is>
      </c>
      <c r="G1661" s="48" t="inlineStr">
        <is>
          <t>higher</t>
        </is>
      </c>
      <c r="H1661" s="48" t="n">
        <v>2</v>
      </c>
      <c r="I1661" s="48" t="inlineStr">
        <is>
          <t>Tasso di copertura del servizio con dispositivi di informazione dinamica a bordo mezzo</t>
        </is>
      </c>
      <c r="J1661" s="73" t="n"/>
      <c r="K1661" s="73" t="n"/>
      <c r="L1661" s="73" t="n"/>
      <c r="M1661" s="73" t="n"/>
      <c r="N1661" s="57">
        <f>IF($A1661="","",IFERROR(VALUE($K1661)/VALUE($L1661),IFERROR(VALUE($J1661),0)))</f>
        <v/>
      </c>
      <c r="O1661" s="57">
        <f>IF($A1661="",0,IF(OR($S1661&lt;&gt;1,COUNTA($J1661:$M1661)=0),0,IF(SUMPRODUCT(MAX(($C$5:$C$2484=$C1661)*($D$5:$D$2484=$D1661)*($S$5:$S$2484=1)*IFERROR($N$5:$N$2484*1,0)))&gt;0,ROUND($H1661*($N1661/SUMPRODUCT(MAX(($C$5:$C$2484=$C1661)*($D$5:$D$2484=$D1661)*($S$5:$S$2484=1)*IFERROR($N$5:$N$2484*1,0)))),4),0)))</f>
        <v/>
      </c>
      <c r="P1661" s="48" t="inlineStr">
        <is>
          <t>Autobus con monitor e indicatori vocali / Autobus totali in offerta, incluse scorte</t>
        </is>
      </c>
      <c r="Q1661" s="57">
        <f>IF($A1661="","",$A1661&amp;"|"&amp;$C1661)</f>
        <v/>
      </c>
      <c r="R1661" s="57">
        <f>IF($A1661="","",$A1661&amp;"|"&amp;$C1661&amp;"|"&amp;$D1661)</f>
        <v/>
      </c>
      <c r="S1661" s="57">
        <f>IF($A1661="","",IFERROR(INDEX(Offerte!$D$2:$D$81,MATCH($Q1661,Offerte!$L$2:$L$81,0)),0))</f>
        <v/>
      </c>
      <c r="T1661" s="57">
        <f>IF($A1661="","",IFERROR(INDEX(Offerte!$G$2:$G$81,MATCH($Q1661,Offerte!$L$2:$L$81,0)),"NO"))</f>
        <v/>
      </c>
    </row>
    <row r="1662">
      <c r="A1662" s="48">
        <f>IF(Offerte!$A55="","",Offerte!$A55)</f>
        <v/>
      </c>
      <c r="B1662" s="48">
        <f>IF(Offerte!$A55="","",Offerte!$B55)</f>
        <v/>
      </c>
      <c r="C1662" s="48">
        <f>IF(Offerte!$A55="","",Offerte!$C55)</f>
        <v/>
      </c>
      <c r="D1662" s="48" t="inlineStr">
        <is>
          <t>C.3.2</t>
        </is>
      </c>
      <c r="E1662" s="48" t="inlineStr">
        <is>
          <t>C</t>
        </is>
      </c>
      <c r="F1662" s="48" t="inlineStr">
        <is>
          <t>T</t>
        </is>
      </c>
      <c r="G1662" s="48" t="inlineStr">
        <is>
          <t>tabular</t>
        </is>
      </c>
      <c r="H1662" s="48" t="n">
        <v>2</v>
      </c>
      <c r="I1662" s="48" t="inlineStr">
        <is>
          <t>Informazioni a bordo su coincidenze ai nodi</t>
        </is>
      </c>
      <c r="J1662" s="73" t="n"/>
      <c r="K1662" s="73" t="n"/>
      <c r="L1662" s="73" t="n"/>
      <c r="M1662" s="73" t="n"/>
      <c r="N1662" s="57">
        <f>IF($A1662="","",IF(IFERROR(VALUE($M1662),0)=1,1,0))</f>
        <v/>
      </c>
      <c r="O1662" s="57">
        <f>IF($A1662="",0,IF(OR($S1662&lt;&gt;1,COUNTA($J1662:$M1662)=0),0,IF(AND($N1662=1,IFERROR(SUMIFS($N$5:$N$2484,$Q$5:$Q$2484,$Q1662,$D$5:$D$2484,"C.3.1"),0)&gt;=0.5),$H1662,0)))</f>
        <v/>
      </c>
      <c r="P1662" s="48" t="inlineStr">
        <is>
          <t>Dipende da C.3.1 &gt;= 0.5</t>
        </is>
      </c>
      <c r="Q1662" s="57">
        <f>IF($A1662="","",$A1662&amp;"|"&amp;$C1662)</f>
        <v/>
      </c>
      <c r="R1662" s="57">
        <f>IF($A1662="","",$A1662&amp;"|"&amp;$C1662&amp;"|"&amp;$D1662)</f>
        <v/>
      </c>
      <c r="S1662" s="57">
        <f>IF($A1662="","",IFERROR(INDEX(Offerte!$D$2:$D$81,MATCH($Q1662,Offerte!$L$2:$L$81,0)),0))</f>
        <v/>
      </c>
      <c r="T1662" s="57">
        <f>IF($A1662="","",IFERROR(INDEX(Offerte!$G$2:$G$81,MATCH($Q1662,Offerte!$L$2:$L$81,0)),"NO"))</f>
        <v/>
      </c>
    </row>
    <row r="1663">
      <c r="A1663" s="48">
        <f>IF(Offerte!$A55="","",Offerte!$A55)</f>
        <v/>
      </c>
      <c r="B1663" s="48">
        <f>IF(Offerte!$A55="","",Offerte!$B55)</f>
        <v/>
      </c>
      <c r="C1663" s="48">
        <f>IF(Offerte!$A55="","",Offerte!$C55)</f>
        <v/>
      </c>
      <c r="D1663" s="48" t="inlineStr">
        <is>
          <t>D.1.1</t>
        </is>
      </c>
      <c r="E1663" s="48" t="inlineStr">
        <is>
          <t>D</t>
        </is>
      </c>
      <c r="F1663" s="48" t="inlineStr">
        <is>
          <t>Q</t>
        </is>
      </c>
      <c r="G1663" s="48" t="inlineStr">
        <is>
          <t>higher</t>
        </is>
      </c>
      <c r="H1663" s="48" t="n">
        <v>3</v>
      </c>
      <c r="I1663" s="48" t="inlineStr">
        <is>
          <t>Installazione di pensiline</t>
        </is>
      </c>
      <c r="J1663" s="73" t="n"/>
      <c r="K1663" s="73" t="n"/>
      <c r="L1663" s="73" t="n"/>
      <c r="M1663" s="73" t="n"/>
      <c r="N1663" s="57">
        <f>IF($A1663="","",IFERROR(VALUE($J1663),0))</f>
        <v/>
      </c>
      <c r="O1663" s="57">
        <f>IF($A1663="",0,IF(OR($S1663&lt;&gt;1,COUNTA($J1663:$M1663)=0),0,IF(SUMPRODUCT(MAX(($C$5:$C$2484=$C1663)*($D$5:$D$2484=$D1663)*($S$5:$S$2484=1)*IFERROR($N$5:$N$2484*1,0)))&gt;0,ROUND($H1663*($N1663/SUMPRODUCT(MAX(($C$5:$C$2484=$C1663)*($D$5:$D$2484=$D1663)*($S$5:$S$2484=1)*IFERROR($N$5:$N$2484*1,0)))),4),0)))</f>
        <v/>
      </c>
      <c r="P1663" s="48" t="inlineStr">
        <is>
          <t>fermate</t>
        </is>
      </c>
      <c r="Q1663" s="57">
        <f>IF($A1663="","",$A1663&amp;"|"&amp;$C1663)</f>
        <v/>
      </c>
      <c r="R1663" s="57">
        <f>IF($A1663="","",$A1663&amp;"|"&amp;$C1663&amp;"|"&amp;$D1663)</f>
        <v/>
      </c>
      <c r="S1663" s="57">
        <f>IF($A1663="","",IFERROR(INDEX(Offerte!$D$2:$D$81,MATCH($Q1663,Offerte!$L$2:$L$81,0)),0))</f>
        <v/>
      </c>
      <c r="T1663" s="57">
        <f>IF($A1663="","",IFERROR(INDEX(Offerte!$G$2:$G$81,MATCH($Q1663,Offerte!$L$2:$L$81,0)),"NO"))</f>
        <v/>
      </c>
    </row>
    <row r="1664">
      <c r="A1664" s="48">
        <f>IF(Offerte!$A55="","",Offerte!$A55)</f>
        <v/>
      </c>
      <c r="B1664" s="48">
        <f>IF(Offerte!$A55="","",Offerte!$B55)</f>
        <v/>
      </c>
      <c r="C1664" s="48">
        <f>IF(Offerte!$A55="","",Offerte!$C55)</f>
        <v/>
      </c>
      <c r="D1664" s="48" t="inlineStr">
        <is>
          <t>D.1.2</t>
        </is>
      </c>
      <c r="E1664" s="48" t="inlineStr">
        <is>
          <t>D</t>
        </is>
      </c>
      <c r="F1664" s="48" t="inlineStr">
        <is>
          <t>Q</t>
        </is>
      </c>
      <c r="G1664" s="48" t="inlineStr">
        <is>
          <t>higher</t>
        </is>
      </c>
      <c r="H1664" s="48" t="n">
        <v>3</v>
      </c>
      <c r="I1664" s="48" t="inlineStr">
        <is>
          <t>Installazione di paline di fermata conformi alla DGR 581/2023</t>
        </is>
      </c>
      <c r="J1664" s="73" t="n"/>
      <c r="K1664" s="73" t="n"/>
      <c r="L1664" s="73" t="n"/>
      <c r="M1664" s="73" t="n"/>
      <c r="N1664" s="57">
        <f>IF($A1664="","",IFERROR(VALUE($J1664),0))</f>
        <v/>
      </c>
      <c r="O1664" s="57">
        <f>IF($A1664="",0,IF(OR($S1664&lt;&gt;1,COUNTA($J1664:$M1664)=0),0,IF(SUMPRODUCT(MAX(($C$5:$C$2484=$C1664)*($D$5:$D$2484=$D1664)*($S$5:$S$2484=1)*IFERROR($N$5:$N$2484*1,0)))&gt;0,ROUND($H1664*($N1664/SUMPRODUCT(MAX(($C$5:$C$2484=$C1664)*($D$5:$D$2484=$D1664)*($S$5:$S$2484=1)*IFERROR($N$5:$N$2484*1,0)))),4),0)))</f>
        <v/>
      </c>
      <c r="P1664" s="48" t="inlineStr">
        <is>
          <t>fermate</t>
        </is>
      </c>
      <c r="Q1664" s="57">
        <f>IF($A1664="","",$A1664&amp;"|"&amp;$C1664)</f>
        <v/>
      </c>
      <c r="R1664" s="57">
        <f>IF($A1664="","",$A1664&amp;"|"&amp;$C1664&amp;"|"&amp;$D1664)</f>
        <v/>
      </c>
      <c r="S1664" s="57">
        <f>IF($A1664="","",IFERROR(INDEX(Offerte!$D$2:$D$81,MATCH($Q1664,Offerte!$L$2:$L$81,0)),0))</f>
        <v/>
      </c>
      <c r="T1664" s="57">
        <f>IF($A1664="","",IFERROR(INDEX(Offerte!$G$2:$G$81,MATCH($Q1664,Offerte!$L$2:$L$81,0)),"NO"))</f>
        <v/>
      </c>
    </row>
    <row r="1665">
      <c r="A1665" s="48">
        <f>IF(Offerte!$A55="","",Offerte!$A55)</f>
        <v/>
      </c>
      <c r="B1665" s="48">
        <f>IF(Offerte!$A55="","",Offerte!$B55)</f>
        <v/>
      </c>
      <c r="C1665" s="48">
        <f>IF(Offerte!$A55="","",Offerte!$C55)</f>
        <v/>
      </c>
      <c r="D1665" s="48" t="inlineStr">
        <is>
          <t>D.1.3</t>
        </is>
      </c>
      <c r="E1665" s="48" t="inlineStr">
        <is>
          <t>D</t>
        </is>
      </c>
      <c r="F1665" s="48" t="inlineStr">
        <is>
          <t>Q</t>
        </is>
      </c>
      <c r="G1665" s="48" t="inlineStr">
        <is>
          <t>higher</t>
        </is>
      </c>
      <c r="H1665" s="48" t="n">
        <v>2</v>
      </c>
      <c r="I1665" s="48" t="inlineStr">
        <is>
          <t>Display informativi connessi alle fermate</t>
        </is>
      </c>
      <c r="J1665" s="73" t="n"/>
      <c r="K1665" s="73" t="n"/>
      <c r="L1665" s="73" t="n"/>
      <c r="M1665" s="73" t="n"/>
      <c r="N1665" s="57">
        <f>IF($A1665="","",IFERROR(VALUE($J1665),0))</f>
        <v/>
      </c>
      <c r="O1665" s="57">
        <f>IF($A1665="",0,IF(OR($S1665&lt;&gt;1,COUNTA($J1665:$M1665)=0),0,IF(SUMPRODUCT(MAX(($C$5:$C$2484=$C1665)*($D$5:$D$2484=$D1665)*($S$5:$S$2484=1)*IFERROR($N$5:$N$2484*1,0)))&gt;0,ROUND($H1665*($N1665/SUMPRODUCT(MAX(($C$5:$C$2484=$C1665)*($D$5:$D$2484=$D1665)*($S$5:$S$2484=1)*IFERROR($N$5:$N$2484*1,0)))),4),0)))</f>
        <v/>
      </c>
      <c r="P1665" s="48" t="inlineStr">
        <is>
          <t>fermate</t>
        </is>
      </c>
      <c r="Q1665" s="57">
        <f>IF($A1665="","",$A1665&amp;"|"&amp;$C1665)</f>
        <v/>
      </c>
      <c r="R1665" s="57">
        <f>IF($A1665="","",$A1665&amp;"|"&amp;$C1665&amp;"|"&amp;$D1665)</f>
        <v/>
      </c>
      <c r="S1665" s="57">
        <f>IF($A1665="","",IFERROR(INDEX(Offerte!$D$2:$D$81,MATCH($Q1665,Offerte!$L$2:$L$81,0)),0))</f>
        <v/>
      </c>
      <c r="T1665" s="57">
        <f>IF($A1665="","",IFERROR(INDEX(Offerte!$G$2:$G$81,MATCH($Q1665,Offerte!$L$2:$L$81,0)),"NO"))</f>
        <v/>
      </c>
    </row>
    <row r="1666">
      <c r="A1666" s="48">
        <f>IF(Offerte!$A55="","",Offerte!$A55)</f>
        <v/>
      </c>
      <c r="B1666" s="48">
        <f>IF(Offerte!$A55="","",Offerte!$B55)</f>
        <v/>
      </c>
      <c r="C1666" s="48">
        <f>IF(Offerte!$A55="","",Offerte!$C55)</f>
        <v/>
      </c>
      <c r="D1666" s="48" t="inlineStr">
        <is>
          <t>D.2.1</t>
        </is>
      </c>
      <c r="E1666" s="48" t="inlineStr">
        <is>
          <t>D</t>
        </is>
      </c>
      <c r="F1666" s="48" t="inlineStr">
        <is>
          <t>Q</t>
        </is>
      </c>
      <c r="G1666" s="48" t="inlineStr">
        <is>
          <t>higher</t>
        </is>
      </c>
      <c r="H1666" s="48" t="n">
        <v>2</v>
      </c>
      <c r="I1666" s="48" t="inlineStr">
        <is>
          <t>Segnali tattili Loges-Vet-Evolution</t>
        </is>
      </c>
      <c r="J1666" s="73" t="n"/>
      <c r="K1666" s="73" t="n"/>
      <c r="L1666" s="73" t="n"/>
      <c r="M1666" s="73" t="n"/>
      <c r="N1666" s="57">
        <f>IF($A1666="","",IFERROR(VALUE($J1666),0))</f>
        <v/>
      </c>
      <c r="O1666" s="57">
        <f>IF($A1666="",0,IF(OR($S1666&lt;&gt;1,COUNTA($J1666:$M1666)=0),0,IF(SUMPRODUCT(MAX(($C$5:$C$2484=$C1666)*($D$5:$D$2484=$D1666)*($S$5:$S$2484=1)*IFERROR($N$5:$N$2484*1,0)))&gt;0,ROUND($H1666*($N1666/SUMPRODUCT(MAX(($C$5:$C$2484=$C1666)*($D$5:$D$2484=$D1666)*($S$5:$S$2484=1)*IFERROR($N$5:$N$2484*1,0)))),4),0)))</f>
        <v/>
      </c>
      <c r="P1666" s="48" t="inlineStr">
        <is>
          <t>fermate</t>
        </is>
      </c>
      <c r="Q1666" s="57">
        <f>IF($A1666="","",$A1666&amp;"|"&amp;$C1666)</f>
        <v/>
      </c>
      <c r="R1666" s="57">
        <f>IF($A1666="","",$A1666&amp;"|"&amp;$C1666&amp;"|"&amp;$D1666)</f>
        <v/>
      </c>
      <c r="S1666" s="57">
        <f>IF($A1666="","",IFERROR(INDEX(Offerte!$D$2:$D$81,MATCH($Q1666,Offerte!$L$2:$L$81,0)),0))</f>
        <v/>
      </c>
      <c r="T1666" s="57">
        <f>IF($A1666="","",IFERROR(INDEX(Offerte!$G$2:$G$81,MATCH($Q1666,Offerte!$L$2:$L$81,0)),"NO"))</f>
        <v/>
      </c>
    </row>
    <row r="1667">
      <c r="A1667" s="48">
        <f>IF(Offerte!$A55="","",Offerte!$A55)</f>
        <v/>
      </c>
      <c r="B1667" s="48">
        <f>IF(Offerte!$A55="","",Offerte!$B55)</f>
        <v/>
      </c>
      <c r="C1667" s="48">
        <f>IF(Offerte!$A55="","",Offerte!$C55)</f>
        <v/>
      </c>
      <c r="D1667" s="48" t="inlineStr">
        <is>
          <t>E.1.1</t>
        </is>
      </c>
      <c r="E1667" s="48" t="inlineStr">
        <is>
          <t>E</t>
        </is>
      </c>
      <c r="F1667" s="48" t="inlineStr">
        <is>
          <t>T</t>
        </is>
      </c>
      <c r="G1667" s="48" t="inlineStr">
        <is>
          <t>tabular</t>
        </is>
      </c>
      <c r="H1667" s="48" t="n">
        <v>2</v>
      </c>
      <c r="I1667" s="48" t="inlineStr">
        <is>
          <t>Mobile app con travel planner PRM</t>
        </is>
      </c>
      <c r="J1667" s="73" t="n"/>
      <c r="K1667" s="73" t="n"/>
      <c r="L1667" s="73" t="n"/>
      <c r="M1667" s="73" t="n"/>
      <c r="N1667" s="57">
        <f>IF($A1667="","",IF(IFERROR(VALUE($M1667),0)=1,1,0))</f>
        <v/>
      </c>
      <c r="O1667" s="57">
        <f>IF($A1667="",0,IF(OR($S1667&lt;&gt;1,COUNTA($J1667:$M1667)=0),0,IF($N1667=1,$H1667,0)))</f>
        <v/>
      </c>
      <c r="P1667" s="48" t="inlineStr">
        <is>
          <t>sì/no</t>
        </is>
      </c>
      <c r="Q1667" s="57">
        <f>IF($A1667="","",$A1667&amp;"|"&amp;$C1667)</f>
        <v/>
      </c>
      <c r="R1667" s="57">
        <f>IF($A1667="","",$A1667&amp;"|"&amp;$C1667&amp;"|"&amp;$D1667)</f>
        <v/>
      </c>
      <c r="S1667" s="57">
        <f>IF($A1667="","",IFERROR(INDEX(Offerte!$D$2:$D$81,MATCH($Q1667,Offerte!$L$2:$L$81,0)),0))</f>
        <v/>
      </c>
      <c r="T1667" s="57">
        <f>IF($A1667="","",IFERROR(INDEX(Offerte!$G$2:$G$81,MATCH($Q1667,Offerte!$L$2:$L$81,0)),"NO"))</f>
        <v/>
      </c>
    </row>
    <row r="1668">
      <c r="A1668" s="48">
        <f>IF(Offerte!$A55="","",Offerte!$A55)</f>
        <v/>
      </c>
      <c r="B1668" s="48">
        <f>IF(Offerte!$A55="","",Offerte!$B55)</f>
        <v/>
      </c>
      <c r="C1668" s="48">
        <f>IF(Offerte!$A55="","",Offerte!$C55)</f>
        <v/>
      </c>
      <c r="D1668" s="48" t="inlineStr">
        <is>
          <t>E.2.1</t>
        </is>
      </c>
      <c r="E1668" s="48" t="inlineStr">
        <is>
          <t>E</t>
        </is>
      </c>
      <c r="F1668" s="48" t="inlineStr">
        <is>
          <t>D</t>
        </is>
      </c>
      <c r="G1668" s="48" t="inlineStr">
        <is>
          <t>discretionary</t>
        </is>
      </c>
      <c r="H1668" s="48" t="n">
        <v>2</v>
      </c>
      <c r="I1668" s="48" t="inlineStr">
        <is>
          <t>Altre azioni informative e rapporti con gli utenti</t>
        </is>
      </c>
      <c r="J1668" s="73" t="n"/>
      <c r="K1668" s="73" t="n"/>
      <c r="L1668" s="73" t="n"/>
      <c r="M1668" s="73" t="n"/>
      <c r="N1668" s="57">
        <f>IF($A1668="","",MAX(0,MIN(1,IFERROR(VALUE($M1668),0))))</f>
        <v/>
      </c>
      <c r="O1668" s="57">
        <f>IF($A1668="",0,IF(OR($S1668&lt;&gt;1,COUNTA($J1668:$M1668)=0),0,IF(SUMPRODUCT(MAX(($C$5:$C$2484=$C1668)*($D$5:$D$2484=$D1668)*($S$5:$S$2484=1)*IFERROR($N$5:$N$2484*1,0)))&gt;0,ROUND($H1668*($N1668/SUMPRODUCT(MAX(($C$5:$C$2484=$C1668)*($D$5:$D$2484=$D1668)*($S$5:$S$2484=1)*IFERROR($N$5:$N$2484*1,0)))),4),0)))</f>
        <v/>
      </c>
      <c r="P1668" s="48" t="inlineStr">
        <is>
          <t>coeff.</t>
        </is>
      </c>
      <c r="Q1668" s="57">
        <f>IF($A1668="","",$A1668&amp;"|"&amp;$C1668)</f>
        <v/>
      </c>
      <c r="R1668" s="57">
        <f>IF($A1668="","",$A1668&amp;"|"&amp;$C1668&amp;"|"&amp;$D1668)</f>
        <v/>
      </c>
      <c r="S1668" s="57">
        <f>IF($A1668="","",IFERROR(INDEX(Offerte!$D$2:$D$81,MATCH($Q1668,Offerte!$L$2:$L$81,0)),0))</f>
        <v/>
      </c>
      <c r="T1668" s="57">
        <f>IF($A1668="","",IFERROR(INDEX(Offerte!$G$2:$G$81,MATCH($Q1668,Offerte!$L$2:$L$81,0)),"NO"))</f>
        <v/>
      </c>
    </row>
    <row r="1669">
      <c r="A1669" s="48">
        <f>IF(Offerte!$A55="","",Offerte!$A55)</f>
        <v/>
      </c>
      <c r="B1669" s="48">
        <f>IF(Offerte!$A55="","",Offerte!$B55)</f>
        <v/>
      </c>
      <c r="C1669" s="48">
        <f>IF(Offerte!$A55="","",Offerte!$C55)</f>
        <v/>
      </c>
      <c r="D1669" s="48" t="inlineStr">
        <is>
          <t>F.1.1</t>
        </is>
      </c>
      <c r="E1669" s="48" t="inlineStr">
        <is>
          <t>F</t>
        </is>
      </c>
      <c r="F1669" s="48" t="inlineStr">
        <is>
          <t>Q</t>
        </is>
      </c>
      <c r="G1669" s="48" t="inlineStr">
        <is>
          <t>lower</t>
        </is>
      </c>
      <c r="H1669" s="48" t="n">
        <v>7</v>
      </c>
      <c r="I1669" s="48" t="inlineStr">
        <is>
          <t>Performance ambientali del parco mezzi adibito al servizio - I_CEA</t>
        </is>
      </c>
      <c r="J1669" s="73" t="n"/>
      <c r="K1669" s="73" t="n"/>
      <c r="L1669" s="73" t="n"/>
      <c r="M1669" s="73" t="n"/>
      <c r="N1669" s="57">
        <f>IF($A1669="","",IFERROR(VALUE($J1669),0))</f>
        <v/>
      </c>
      <c r="O1669" s="57">
        <f>IF($A1669="",0,IF(OR($S1669&lt;&gt;1,COUNTA($J1669:$M1669)=0),0,IF(AND(IFERROR(AGGREGATE(15,6,$N$5:$N$2484/(($C$5:$C$2484=$C1669)*($D$5:$D$2484=$D1669)*($S$5:$S$2484=1)*($N$5:$N$2484&gt;0)),1),0)&gt;0,$N1669&gt;0),ROUND($H1669*(IFERROR(AGGREGATE(15,6,$N$5:$N$2484/(($C$5:$C$2484=$C1669)*($D$5:$D$2484=$D1669)*($S$5:$S$2484=1)*($N$5:$N$2484&gt;0)),1),0)/$N1669),4),0)))</f>
        <v/>
      </c>
      <c r="P1669" s="48" t="inlineStr">
        <is>
          <t>indice</t>
        </is>
      </c>
      <c r="Q1669" s="57">
        <f>IF($A1669="","",$A1669&amp;"|"&amp;$C1669)</f>
        <v/>
      </c>
      <c r="R1669" s="57">
        <f>IF($A1669="","",$A1669&amp;"|"&amp;$C1669&amp;"|"&amp;$D1669)</f>
        <v/>
      </c>
      <c r="S1669" s="57">
        <f>IF($A1669="","",IFERROR(INDEX(Offerte!$D$2:$D$81,MATCH($Q1669,Offerte!$L$2:$L$81,0)),0))</f>
        <v/>
      </c>
      <c r="T1669" s="57">
        <f>IF($A1669="","",IFERROR(INDEX(Offerte!$G$2:$G$81,MATCH($Q1669,Offerte!$L$2:$L$81,0)),"NO"))</f>
        <v/>
      </c>
    </row>
    <row r="1670">
      <c r="A1670" s="48">
        <f>IF(Offerte!$A55="","",Offerte!$A55)</f>
        <v/>
      </c>
      <c r="B1670" s="48">
        <f>IF(Offerte!$A55="","",Offerte!$B55)</f>
        <v/>
      </c>
      <c r="C1670" s="48">
        <f>IF(Offerte!$A55="","",Offerte!$C55)</f>
        <v/>
      </c>
      <c r="D1670" s="48" t="inlineStr">
        <is>
          <t>F.2.1</t>
        </is>
      </c>
      <c r="E1670" s="48" t="inlineStr">
        <is>
          <t>F</t>
        </is>
      </c>
      <c r="F1670" s="48" t="inlineStr">
        <is>
          <t>Q</t>
        </is>
      </c>
      <c r="G1670" s="48" t="inlineStr">
        <is>
          <t>higher</t>
        </is>
      </c>
      <c r="H1670" s="48" t="n">
        <v>2</v>
      </c>
      <c r="I1670" s="48" t="inlineStr">
        <is>
          <t>Tasso di copertura del servizio con dispositivi ECO-DRIVER</t>
        </is>
      </c>
      <c r="J1670" s="73" t="n"/>
      <c r="K1670" s="73" t="n"/>
      <c r="L1670" s="73" t="n"/>
      <c r="M1670" s="73" t="n"/>
      <c r="N1670" s="57">
        <f>IF($A1670="","",IFERROR(VALUE($K1670)/VALUE($L1670),IFERROR(VALUE($J1670),0)))</f>
        <v/>
      </c>
      <c r="O1670" s="57">
        <f>IF($A1670="",0,IF(OR($S1670&lt;&gt;1,COUNTA($J1670:$M1670)=0),0,IF(SUMPRODUCT(MAX(($C$5:$C$2484=$C1670)*($D$5:$D$2484=$D1670)*($S$5:$S$2484=1)*IFERROR($N$5:$N$2484*1,0)))&gt;0,ROUND($H1670*($N1670/SUMPRODUCT(MAX(($C$5:$C$2484=$C1670)*($D$5:$D$2484=$D1670)*($S$5:$S$2484=1)*IFERROR($N$5:$N$2484*1,0)))),4),0)))</f>
        <v/>
      </c>
      <c r="P1670" s="48" t="inlineStr">
        <is>
          <t>Autobus attrezzati con dispositivi ECO-DRIVER / Autobus totali in offerta, incluse scorte</t>
        </is>
      </c>
      <c r="Q1670" s="57">
        <f>IF($A1670="","",$A1670&amp;"|"&amp;$C1670)</f>
        <v/>
      </c>
      <c r="R1670" s="57">
        <f>IF($A1670="","",$A1670&amp;"|"&amp;$C1670&amp;"|"&amp;$D1670)</f>
        <v/>
      </c>
      <c r="S1670" s="57">
        <f>IF($A1670="","",IFERROR(INDEX(Offerte!$D$2:$D$81,MATCH($Q1670,Offerte!$L$2:$L$81,0)),0))</f>
        <v/>
      </c>
      <c r="T1670" s="57">
        <f>IF($A1670="","",IFERROR(INDEX(Offerte!$G$2:$G$81,MATCH($Q1670,Offerte!$L$2:$L$81,0)),"NO"))</f>
        <v/>
      </c>
    </row>
    <row r="1671">
      <c r="A1671" s="48">
        <f>IF(Offerte!$A55="","",Offerte!$A55)</f>
        <v/>
      </c>
      <c r="B1671" s="48">
        <f>IF(Offerte!$A55="","",Offerte!$B55)</f>
        <v/>
      </c>
      <c r="C1671" s="48">
        <f>IF(Offerte!$A55="","",Offerte!$C55)</f>
        <v/>
      </c>
      <c r="D1671" s="48" t="inlineStr">
        <is>
          <t>F.3.1</t>
        </is>
      </c>
      <c r="E1671" s="48" t="inlineStr">
        <is>
          <t>F</t>
        </is>
      </c>
      <c r="F1671" s="48" t="inlineStr">
        <is>
          <t>Q</t>
        </is>
      </c>
      <c r="G1671" s="48" t="inlineStr">
        <is>
          <t>higher</t>
        </is>
      </c>
      <c r="H1671" s="48" t="n">
        <v>2</v>
      </c>
      <c r="I1671" s="48" t="inlineStr">
        <is>
          <t>Autoproduzione consumi elettrici per trazione</t>
        </is>
      </c>
      <c r="J1671" s="73" t="n"/>
      <c r="K1671" s="73" t="n"/>
      <c r="L1671" s="73" t="n"/>
      <c r="M1671" s="73" t="n"/>
      <c r="N1671" s="57">
        <f>IF($A1671="","",IFERROR(VALUE($J1671),0))</f>
        <v/>
      </c>
      <c r="O1671" s="57">
        <f>IF($A1671="",0,IF(OR($S1671&lt;&gt;1,COUNTA($J1671:$M1671)=0),0,IF(SUMPRODUCT(MAX(($C$5:$C$2484=$C1671)*($D$5:$D$2484=$D1671)*($S$5:$S$2484=1)*IFERROR($N$5:$N$2484*1,0)))&gt;0,ROUND($H1671*($N1671/SUMPRODUCT(MAX(($C$5:$C$2484=$C1671)*($D$5:$D$2484=$D1671)*($S$5:$S$2484=1)*IFERROR($N$5:$N$2484*1,0)))),4),0)))</f>
        <v/>
      </c>
      <c r="P1671" s="48" t="inlineStr">
        <is>
          <t>kWh/anno</t>
        </is>
      </c>
      <c r="Q1671" s="57">
        <f>IF($A1671="","",$A1671&amp;"|"&amp;$C1671)</f>
        <v/>
      </c>
      <c r="R1671" s="57">
        <f>IF($A1671="","",$A1671&amp;"|"&amp;$C1671&amp;"|"&amp;$D1671)</f>
        <v/>
      </c>
      <c r="S1671" s="57">
        <f>IF($A1671="","",IFERROR(INDEX(Offerte!$D$2:$D$81,MATCH($Q1671,Offerte!$L$2:$L$81,0)),0))</f>
        <v/>
      </c>
      <c r="T1671" s="57">
        <f>IF($A1671="","",IFERROR(INDEX(Offerte!$G$2:$G$81,MATCH($Q1671,Offerte!$L$2:$L$81,0)),"NO"))</f>
        <v/>
      </c>
    </row>
    <row r="1672">
      <c r="A1672" s="48">
        <f>IF(Offerte!$A55="","",Offerte!$A55)</f>
        <v/>
      </c>
      <c r="B1672" s="48">
        <f>IF(Offerte!$A55="","",Offerte!$B55)</f>
        <v/>
      </c>
      <c r="C1672" s="48">
        <f>IF(Offerte!$A55="","",Offerte!$C55)</f>
        <v/>
      </c>
      <c r="D1672" s="48" t="inlineStr">
        <is>
          <t>F.4.1</t>
        </is>
      </c>
      <c r="E1672" s="48" t="inlineStr">
        <is>
          <t>F</t>
        </is>
      </c>
      <c r="F1672" s="48" t="inlineStr">
        <is>
          <t>Q</t>
        </is>
      </c>
      <c r="G1672" s="48" t="inlineStr">
        <is>
          <t>soil</t>
        </is>
      </c>
      <c r="H1672" s="48" t="n">
        <v>2</v>
      </c>
      <c r="I1672" s="48" t="inlineStr">
        <is>
          <t>Indice di consumo di suolo</t>
        </is>
      </c>
      <c r="J1672" s="73" t="n"/>
      <c r="K1672" s="73" t="n"/>
      <c r="L1672" s="73" t="n"/>
      <c r="M1672" s="73" t="n"/>
      <c r="N1672" s="57">
        <f>IF($A1672="","",IFERROR(VALUE($J1672),0))</f>
        <v/>
      </c>
      <c r="O1672" s="57">
        <f>IF($A1672="",0,IF(OR($S1672&lt;&gt;1,COUNTA($J1672:$M1672)=0),0,IF($N1672&lt;=0,$H1672,IF(SUMPRODUCT(MAX(($C$5:$C$2484=$C1672)*($D$5:$D$2484=$D1672)*($S$5:$S$2484=1)*IFERROR($N$5:$N$2484*1,0)))&gt;0,ROUND($H1672*((SUMPRODUCT(MAX(($C$5:$C$2484=$C1672)*($D$5:$D$2484=$D1672)*($S$5:$S$2484=1)*IFERROR($N$5:$N$2484*1,0)))-$N1672)/SUMPRODUCT(MAX(($C$5:$C$2484=$C1672)*($D$5:$D$2484=$D1672)*($S$5:$S$2484=1)*IFERROR($N$5:$N$2484*1,0)))),4),0))))</f>
        <v/>
      </c>
      <c r="P1672" s="48" t="inlineStr">
        <is>
          <t>m2</t>
        </is>
      </c>
      <c r="Q1672" s="57">
        <f>IF($A1672="","",$A1672&amp;"|"&amp;$C1672)</f>
        <v/>
      </c>
      <c r="R1672" s="57">
        <f>IF($A1672="","",$A1672&amp;"|"&amp;$C1672&amp;"|"&amp;$D1672)</f>
        <v/>
      </c>
      <c r="S1672" s="57">
        <f>IF($A1672="","",IFERROR(INDEX(Offerte!$D$2:$D$81,MATCH($Q1672,Offerte!$L$2:$L$81,0)),0))</f>
        <v/>
      </c>
      <c r="T1672" s="57">
        <f>IF($A1672="","",IFERROR(INDEX(Offerte!$G$2:$G$81,MATCH($Q1672,Offerte!$L$2:$L$81,0)),"NO"))</f>
        <v/>
      </c>
    </row>
    <row r="1673">
      <c r="A1673" s="48">
        <f>IF(Offerte!$A55="","",Offerte!$A55)</f>
        <v/>
      </c>
      <c r="B1673" s="48">
        <f>IF(Offerte!$A55="","",Offerte!$B55)</f>
        <v/>
      </c>
      <c r="C1673" s="48">
        <f>IF(Offerte!$A55="","",Offerte!$C55)</f>
        <v/>
      </c>
      <c r="D1673" s="48" t="inlineStr">
        <is>
          <t>F.5.1</t>
        </is>
      </c>
      <c r="E1673" s="48" t="inlineStr">
        <is>
          <t>F</t>
        </is>
      </c>
      <c r="F1673" s="48" t="inlineStr">
        <is>
          <t>T</t>
        </is>
      </c>
      <c r="G1673" s="48" t="inlineStr">
        <is>
          <t>tabular</t>
        </is>
      </c>
      <c r="H1673" s="48" t="n">
        <v>1</v>
      </c>
      <c r="I1673" s="48" t="inlineStr">
        <is>
          <t>Rendicontazione di sostenibilità ambientale</t>
        </is>
      </c>
      <c r="J1673" s="73" t="n"/>
      <c r="K1673" s="73" t="n"/>
      <c r="L1673" s="73" t="n"/>
      <c r="M1673" s="73" t="n"/>
      <c r="N1673" s="57">
        <f>IF($A1673="","",IF(IFERROR(VALUE($M1673),0)=1,1,0))</f>
        <v/>
      </c>
      <c r="O1673" s="57">
        <f>IF($A1673="",0,IF(OR($S1673&lt;&gt;1,COUNTA($J1673:$M1673)=0),0,IF($N1673=1,$H1673,0)))</f>
        <v/>
      </c>
      <c r="P1673" s="48" t="inlineStr">
        <is>
          <t>sì/no</t>
        </is>
      </c>
      <c r="Q1673" s="57">
        <f>IF($A1673="","",$A1673&amp;"|"&amp;$C1673)</f>
        <v/>
      </c>
      <c r="R1673" s="57">
        <f>IF($A1673="","",$A1673&amp;"|"&amp;$C1673&amp;"|"&amp;$D1673)</f>
        <v/>
      </c>
      <c r="S1673" s="57">
        <f>IF($A1673="","",IFERROR(INDEX(Offerte!$D$2:$D$81,MATCH($Q1673,Offerte!$L$2:$L$81,0)),0))</f>
        <v/>
      </c>
      <c r="T1673" s="57">
        <f>IF($A1673="","",IFERROR(INDEX(Offerte!$G$2:$G$81,MATCH($Q1673,Offerte!$L$2:$L$81,0)),"NO"))</f>
        <v/>
      </c>
    </row>
    <row r="1674">
      <c r="A1674" s="48">
        <f>IF(Offerte!$A55="","",Offerte!$A55)</f>
        <v/>
      </c>
      <c r="B1674" s="48">
        <f>IF(Offerte!$A55="","",Offerte!$B55)</f>
        <v/>
      </c>
      <c r="C1674" s="48">
        <f>IF(Offerte!$A55="","",Offerte!$C55)</f>
        <v/>
      </c>
      <c r="D1674" s="48" t="inlineStr">
        <is>
          <t>G.1.1</t>
        </is>
      </c>
      <c r="E1674" s="48" t="inlineStr">
        <is>
          <t>G</t>
        </is>
      </c>
      <c r="F1674" s="48" t="inlineStr">
        <is>
          <t>D</t>
        </is>
      </c>
      <c r="G1674" s="48" t="inlineStr">
        <is>
          <t>discretionary</t>
        </is>
      </c>
      <c r="H1674" s="48" t="n">
        <v>2</v>
      </c>
      <c r="I1674" s="48" t="inlineStr">
        <is>
          <t>Qualità del progetto di centrale di controllo aziendale</t>
        </is>
      </c>
      <c r="J1674" s="73" t="n"/>
      <c r="K1674" s="73" t="n"/>
      <c r="L1674" s="73" t="n"/>
      <c r="M1674" s="73" t="n"/>
      <c r="N1674" s="57">
        <f>IF($A1674="","",MAX(0,MIN(1,IFERROR(VALUE($M1674),0))))</f>
        <v/>
      </c>
      <c r="O1674" s="57">
        <f>IF($A1674="",0,IF(OR($S1674&lt;&gt;1,COUNTA($J1674:$M1674)=0),0,IF(SUMPRODUCT(MAX(($C$5:$C$2484=$C1674)*($D$5:$D$2484=$D1674)*($S$5:$S$2484=1)*IFERROR($N$5:$N$2484*1,0)))&gt;0,ROUND($H1674*($N1674/SUMPRODUCT(MAX(($C$5:$C$2484=$C1674)*($D$5:$D$2484=$D1674)*($S$5:$S$2484=1)*IFERROR($N$5:$N$2484*1,0)))),4),0)))</f>
        <v/>
      </c>
      <c r="P1674" s="48" t="inlineStr">
        <is>
          <t>coeff.</t>
        </is>
      </c>
      <c r="Q1674" s="57">
        <f>IF($A1674="","",$A1674&amp;"|"&amp;$C1674)</f>
        <v/>
      </c>
      <c r="R1674" s="57">
        <f>IF($A1674="","",$A1674&amp;"|"&amp;$C1674&amp;"|"&amp;$D1674)</f>
        <v/>
      </c>
      <c r="S1674" s="57">
        <f>IF($A1674="","",IFERROR(INDEX(Offerte!$D$2:$D$81,MATCH($Q1674,Offerte!$L$2:$L$81,0)),0))</f>
        <v/>
      </c>
      <c r="T1674" s="57">
        <f>IF($A1674="","",IFERROR(INDEX(Offerte!$G$2:$G$81,MATCH($Q1674,Offerte!$L$2:$L$81,0)),"NO"))</f>
        <v/>
      </c>
    </row>
    <row r="1675">
      <c r="A1675" s="48">
        <f>IF(Offerte!$A55="","",Offerte!$A55)</f>
        <v/>
      </c>
      <c r="B1675" s="48">
        <f>IF(Offerte!$A55="","",Offerte!$B55)</f>
        <v/>
      </c>
      <c r="C1675" s="48">
        <f>IF(Offerte!$A55="","",Offerte!$C55)</f>
        <v/>
      </c>
      <c r="D1675" s="48" t="inlineStr">
        <is>
          <t>G.2.1</t>
        </is>
      </c>
      <c r="E1675" s="48" t="inlineStr">
        <is>
          <t>G</t>
        </is>
      </c>
      <c r="F1675" s="48" t="inlineStr">
        <is>
          <t>T</t>
        </is>
      </c>
      <c r="G1675" s="48" t="inlineStr">
        <is>
          <t>tabular</t>
        </is>
      </c>
      <c r="H1675" s="48" t="n">
        <v>1</v>
      </c>
      <c r="I1675" s="48" t="inlineStr">
        <is>
          <t>Certificazione ISO 45001</t>
        </is>
      </c>
      <c r="J1675" s="73" t="n"/>
      <c r="K1675" s="73" t="n"/>
      <c r="L1675" s="73" t="n"/>
      <c r="M1675" s="73" t="n"/>
      <c r="N1675" s="57">
        <f>IF($A1675="","",IF(IFERROR(VALUE($M1675),0)=1,1,0))</f>
        <v/>
      </c>
      <c r="O1675" s="57">
        <f>IF($A1675="",0,IF(OR($S1675&lt;&gt;1,COUNTA($J1675:$M1675)=0),0,IF($N1675=1,$H1675,0)))</f>
        <v/>
      </c>
      <c r="P1675" s="48" t="inlineStr">
        <is>
          <t>sì/no</t>
        </is>
      </c>
      <c r="Q1675" s="57">
        <f>IF($A1675="","",$A1675&amp;"|"&amp;$C1675)</f>
        <v/>
      </c>
      <c r="R1675" s="57">
        <f>IF($A1675="","",$A1675&amp;"|"&amp;$C1675&amp;"|"&amp;$D1675)</f>
        <v/>
      </c>
      <c r="S1675" s="57">
        <f>IF($A1675="","",IFERROR(INDEX(Offerte!$D$2:$D$81,MATCH($Q1675,Offerte!$L$2:$L$81,0)),0))</f>
        <v/>
      </c>
      <c r="T1675" s="57">
        <f>IF($A1675="","",IFERROR(INDEX(Offerte!$G$2:$G$81,MATCH($Q1675,Offerte!$L$2:$L$81,0)),"NO"))</f>
        <v/>
      </c>
    </row>
    <row r="1676">
      <c r="A1676" s="48">
        <f>IF(Offerte!$A55="","",Offerte!$A55)</f>
        <v/>
      </c>
      <c r="B1676" s="48">
        <f>IF(Offerte!$A55="","",Offerte!$B55)</f>
        <v/>
      </c>
      <c r="C1676" s="48">
        <f>IF(Offerte!$A55="","",Offerte!$C55)</f>
        <v/>
      </c>
      <c r="D1676" s="48" t="inlineStr">
        <is>
          <t>G.3.1</t>
        </is>
      </c>
      <c r="E1676" s="48" t="inlineStr">
        <is>
          <t>G</t>
        </is>
      </c>
      <c r="F1676" s="48" t="inlineStr">
        <is>
          <t>T</t>
        </is>
      </c>
      <c r="G1676" s="48" t="inlineStr">
        <is>
          <t>tabular</t>
        </is>
      </c>
      <c r="H1676" s="48" t="n">
        <v>1</v>
      </c>
      <c r="I1676" s="48" t="inlineStr">
        <is>
          <t>Certificazioni di responsabilità sociale</t>
        </is>
      </c>
      <c r="J1676" s="73" t="n"/>
      <c r="K1676" s="73" t="n"/>
      <c r="L1676" s="73" t="n"/>
      <c r="M1676" s="73" t="n"/>
      <c r="N1676" s="57">
        <f>IF($A1676="","",IF(IFERROR(VALUE($M1676),0)=1,1,0))</f>
        <v/>
      </c>
      <c r="O1676" s="57">
        <f>IF($A1676="",0,IF(OR($S1676&lt;&gt;1,COUNTA($J1676:$M1676)=0),0,IF($N1676=1,$H1676,0)))</f>
        <v/>
      </c>
      <c r="P1676" s="48" t="inlineStr">
        <is>
          <t>sì/no</t>
        </is>
      </c>
      <c r="Q1676" s="57">
        <f>IF($A1676="","",$A1676&amp;"|"&amp;$C1676)</f>
        <v/>
      </c>
      <c r="R1676" s="57">
        <f>IF($A1676="","",$A1676&amp;"|"&amp;$C1676&amp;"|"&amp;$D1676)</f>
        <v/>
      </c>
      <c r="S1676" s="57">
        <f>IF($A1676="","",IFERROR(INDEX(Offerte!$D$2:$D$81,MATCH($Q1676,Offerte!$L$2:$L$81,0)),0))</f>
        <v/>
      </c>
      <c r="T1676" s="57">
        <f>IF($A1676="","",IFERROR(INDEX(Offerte!$G$2:$G$81,MATCH($Q1676,Offerte!$L$2:$L$81,0)),"NO"))</f>
        <v/>
      </c>
    </row>
    <row r="1677">
      <c r="A1677" s="48">
        <f>IF(Offerte!$A55="","",Offerte!$A55)</f>
        <v/>
      </c>
      <c r="B1677" s="48">
        <f>IF(Offerte!$A55="","",Offerte!$B55)</f>
        <v/>
      </c>
      <c r="C1677" s="48">
        <f>IF(Offerte!$A55="","",Offerte!$C55)</f>
        <v/>
      </c>
      <c r="D1677" s="48" t="inlineStr">
        <is>
          <t>G.4.1</t>
        </is>
      </c>
      <c r="E1677" s="48" t="inlineStr">
        <is>
          <t>G</t>
        </is>
      </c>
      <c r="F1677" s="48" t="inlineStr">
        <is>
          <t>D</t>
        </is>
      </c>
      <c r="G1677" s="48" t="inlineStr">
        <is>
          <t>discretionary</t>
        </is>
      </c>
      <c r="H1677" s="48" t="n">
        <v>2</v>
      </c>
      <c r="I1677" s="48" t="inlineStr">
        <is>
          <t>Qualità del piano di formazione del personale</t>
        </is>
      </c>
      <c r="J1677" s="73" t="n"/>
      <c r="K1677" s="73" t="n"/>
      <c r="L1677" s="73" t="n"/>
      <c r="M1677" s="73" t="n"/>
      <c r="N1677" s="57">
        <f>IF($A1677="","",MAX(0,MIN(1,IFERROR(VALUE($M1677),0))))</f>
        <v/>
      </c>
      <c r="O1677" s="57">
        <f>IF($A1677="",0,IF(OR($S1677&lt;&gt;1,COUNTA($J1677:$M1677)=0),0,IF(SUMPRODUCT(MAX(($C$5:$C$2484=$C1677)*($D$5:$D$2484=$D1677)*($S$5:$S$2484=1)*IFERROR($N$5:$N$2484*1,0)))&gt;0,ROUND($H1677*($N1677/SUMPRODUCT(MAX(($C$5:$C$2484=$C1677)*($D$5:$D$2484=$D1677)*($S$5:$S$2484=1)*IFERROR($N$5:$N$2484*1,0)))),4),0)))</f>
        <v/>
      </c>
      <c r="P1677" s="48" t="inlineStr">
        <is>
          <t>coeff.</t>
        </is>
      </c>
      <c r="Q1677" s="57">
        <f>IF($A1677="","",$A1677&amp;"|"&amp;$C1677)</f>
        <v/>
      </c>
      <c r="R1677" s="57">
        <f>IF($A1677="","",$A1677&amp;"|"&amp;$C1677&amp;"|"&amp;$D1677)</f>
        <v/>
      </c>
      <c r="S1677" s="57">
        <f>IF($A1677="","",IFERROR(INDEX(Offerte!$D$2:$D$81,MATCH($Q1677,Offerte!$L$2:$L$81,0)),0))</f>
        <v/>
      </c>
      <c r="T1677" s="57">
        <f>IF($A1677="","",IFERROR(INDEX(Offerte!$G$2:$G$81,MATCH($Q1677,Offerte!$L$2:$L$81,0)),"NO"))</f>
        <v/>
      </c>
    </row>
    <row r="1678">
      <c r="A1678" s="48">
        <f>IF(Offerte!$A55="","",Offerte!$A55)</f>
        <v/>
      </c>
      <c r="B1678" s="48">
        <f>IF(Offerte!$A55="","",Offerte!$B55)</f>
        <v/>
      </c>
      <c r="C1678" s="48">
        <f>IF(Offerte!$A55="","",Offerte!$C55)</f>
        <v/>
      </c>
      <c r="D1678" s="48" t="inlineStr">
        <is>
          <t>G.5.1</t>
        </is>
      </c>
      <c r="E1678" s="48" t="inlineStr">
        <is>
          <t>G</t>
        </is>
      </c>
      <c r="F1678" s="48" t="inlineStr">
        <is>
          <t>T</t>
        </is>
      </c>
      <c r="G1678" s="48" t="inlineStr">
        <is>
          <t>tabular</t>
        </is>
      </c>
      <c r="H1678" s="48" t="n">
        <v>1</v>
      </c>
      <c r="I1678" s="48" t="inlineStr">
        <is>
          <t>Impegno al mantenimento delle garanzie del contratto di secondo livello del gestore uscente</t>
        </is>
      </c>
      <c r="J1678" s="73" t="n"/>
      <c r="K1678" s="73" t="n"/>
      <c r="L1678" s="73" t="n"/>
      <c r="M1678" s="73" t="n"/>
      <c r="N1678" s="57">
        <f>IF($A1678="","",IF(IFERROR(VALUE($M1678),0)=1,1,0))</f>
        <v/>
      </c>
      <c r="O1678" s="57">
        <f>IF($A1678="",0,IF(OR($S1678&lt;&gt;1,COUNTA($J1678:$M1678)=0),0,IF($N1678=1,$H1678,0)))</f>
        <v/>
      </c>
      <c r="P1678" s="48" t="inlineStr">
        <is>
          <t>sì/no</t>
        </is>
      </c>
      <c r="Q1678" s="57">
        <f>IF($A1678="","",$A1678&amp;"|"&amp;$C1678)</f>
        <v/>
      </c>
      <c r="R1678" s="57">
        <f>IF($A1678="","",$A1678&amp;"|"&amp;$C1678&amp;"|"&amp;$D1678)</f>
        <v/>
      </c>
      <c r="S1678" s="57">
        <f>IF($A1678="","",IFERROR(INDEX(Offerte!$D$2:$D$81,MATCH($Q1678,Offerte!$L$2:$L$81,0)),0))</f>
        <v/>
      </c>
      <c r="T1678" s="57">
        <f>IF($A1678="","",IFERROR(INDEX(Offerte!$G$2:$G$81,MATCH($Q1678,Offerte!$L$2:$L$81,0)),"NO"))</f>
        <v/>
      </c>
    </row>
    <row r="1679">
      <c r="A1679" s="48">
        <f>IF(Offerte!$A56="","",Offerte!$A56)</f>
        <v/>
      </c>
      <c r="B1679" s="48">
        <f>IF(Offerte!$A56="","",Offerte!$B56)</f>
        <v/>
      </c>
      <c r="C1679" s="48">
        <f>IF(Offerte!$A56="","",Offerte!$C56)</f>
        <v/>
      </c>
      <c r="D1679" s="48" t="inlineStr">
        <is>
          <t>A.1.1</t>
        </is>
      </c>
      <c r="E1679" s="48" t="inlineStr">
        <is>
          <t>A</t>
        </is>
      </c>
      <c r="F1679" s="48" t="inlineStr">
        <is>
          <t>Q</t>
        </is>
      </c>
      <c r="G1679" s="48" t="inlineStr">
        <is>
          <t>higher</t>
        </is>
      </c>
      <c r="H1679" s="48" t="n">
        <v>3</v>
      </c>
      <c r="I1679" s="48" t="inlineStr">
        <is>
          <t>Tasso aggiuntivo di corse controllate</t>
        </is>
      </c>
      <c r="J1679" s="73" t="n"/>
      <c r="K1679" s="73" t="n"/>
      <c r="L1679" s="73" t="n"/>
      <c r="M1679" s="73" t="n"/>
      <c r="N1679" s="57">
        <f>IF($A1679="","",IFERROR(VALUE($K1679)/VALUE($L1679)*100,IFERROR(VALUE($J1679),0)))</f>
        <v/>
      </c>
      <c r="O1679" s="57">
        <f>IF($A1679="",0,IF(OR($S1679&lt;&gt;1,COUNTA($J1679:$M1679)=0),0,IF(SUMPRODUCT(MAX(($C$5:$C$2484=$C1679)*($D$5:$D$2484=$D1679)*($S$5:$S$2484=1)*IFERROR($N$5:$N$2484*1,0)))&gt;0,ROUND($H1679*($N1679/SUMPRODUCT(MAX(($C$5:$C$2484=$C1679)*($D$5:$D$2484=$D1679)*($S$5:$S$2484=1)*IFERROR($N$5:$N$2484*1,0)))),4),0)))</f>
        <v/>
      </c>
      <c r="P1679" s="48" t="inlineStr">
        <is>
          <t>Corse controllate annue / Corse programmate annue</t>
        </is>
      </c>
      <c r="Q1679" s="57">
        <f>IF($A1679="","",$A1679&amp;"|"&amp;$C1679)</f>
        <v/>
      </c>
      <c r="R1679" s="57">
        <f>IF($A1679="","",$A1679&amp;"|"&amp;$C1679&amp;"|"&amp;$D1679)</f>
        <v/>
      </c>
      <c r="S1679" s="57">
        <f>IF($A1679="","",IFERROR(INDEX(Offerte!$D$2:$D$81,MATCH($Q1679,Offerte!$L$2:$L$81,0)),0))</f>
        <v/>
      </c>
      <c r="T1679" s="57">
        <f>IF($A1679="","",IFERROR(INDEX(Offerte!$G$2:$G$81,MATCH($Q1679,Offerte!$L$2:$L$81,0)),"NO"))</f>
        <v/>
      </c>
    </row>
    <row r="1680">
      <c r="A1680" s="48">
        <f>IF(Offerte!$A56="","",Offerte!$A56)</f>
        <v/>
      </c>
      <c r="B1680" s="48">
        <f>IF(Offerte!$A56="","",Offerte!$B56)</f>
        <v/>
      </c>
      <c r="C1680" s="48">
        <f>IF(Offerte!$A56="","",Offerte!$C56)</f>
        <v/>
      </c>
      <c r="D1680" s="48" t="inlineStr">
        <is>
          <t>A.1.2</t>
        </is>
      </c>
      <c r="E1680" s="48" t="inlineStr">
        <is>
          <t>A</t>
        </is>
      </c>
      <c r="F1680" s="48" t="inlineStr">
        <is>
          <t>Q</t>
        </is>
      </c>
      <c r="G1680" s="48" t="inlineStr">
        <is>
          <t>higher</t>
        </is>
      </c>
      <c r="H1680" s="48" t="n">
        <v>4</v>
      </c>
      <c r="I1680" s="48" t="inlineStr">
        <is>
          <t>Numero aggiuntivo di passeggeri controllati</t>
        </is>
      </c>
      <c r="J1680" s="73" t="n"/>
      <c r="K1680" s="73" t="n"/>
      <c r="L1680" s="73" t="n"/>
      <c r="M1680" s="73" t="n"/>
      <c r="N1680" s="57">
        <f>IF($A1680="","",IFERROR(VALUE($J1680),0))</f>
        <v/>
      </c>
      <c r="O1680" s="57">
        <f>IF($A1680="",0,IF(OR($S1680&lt;&gt;1,COUNTA($J1680:$M1680)=0),0,IF(SUMPRODUCT(MAX(($C$5:$C$2484=$C1680)*($D$5:$D$2484=$D1680)*($S$5:$S$2484=1)*IFERROR($N$5:$N$2484*1,0)))&gt;0,ROUND($H1680*($N1680/SUMPRODUCT(MAX(($C$5:$C$2484=$C1680)*($D$5:$D$2484=$D1680)*($S$5:$S$2484=1)*IFERROR($N$5:$N$2484*1,0)))),4),0)))</f>
        <v/>
      </c>
      <c r="P1680" s="48" t="inlineStr">
        <is>
          <t>passeggeri/anno</t>
        </is>
      </c>
      <c r="Q1680" s="57">
        <f>IF($A1680="","",$A1680&amp;"|"&amp;$C1680)</f>
        <v/>
      </c>
      <c r="R1680" s="57">
        <f>IF($A1680="","",$A1680&amp;"|"&amp;$C1680&amp;"|"&amp;$D1680)</f>
        <v/>
      </c>
      <c r="S1680" s="57">
        <f>IF($A1680="","",IFERROR(INDEX(Offerte!$D$2:$D$81,MATCH($Q1680,Offerte!$L$2:$L$81,0)),0))</f>
        <v/>
      </c>
      <c r="T1680" s="57">
        <f>IF($A1680="","",IFERROR(INDEX(Offerte!$G$2:$G$81,MATCH($Q1680,Offerte!$L$2:$L$81,0)),"NO"))</f>
        <v/>
      </c>
    </row>
    <row r="1681">
      <c r="A1681" s="48">
        <f>IF(Offerte!$A56="","",Offerte!$A56)</f>
        <v/>
      </c>
      <c r="B1681" s="48">
        <f>IF(Offerte!$A56="","",Offerte!$B56)</f>
        <v/>
      </c>
      <c r="C1681" s="48">
        <f>IF(Offerte!$A56="","",Offerte!$C56)</f>
        <v/>
      </c>
      <c r="D1681" s="48" t="inlineStr">
        <is>
          <t>B.1.1</t>
        </is>
      </c>
      <c r="E1681" s="48" t="inlineStr">
        <is>
          <t>B</t>
        </is>
      </c>
      <c r="F1681" s="48" t="inlineStr">
        <is>
          <t>Q</t>
        </is>
      </c>
      <c r="G1681" s="48" t="inlineStr">
        <is>
          <t>higher</t>
        </is>
      </c>
      <c r="H1681" s="48" t="n">
        <v>3</v>
      </c>
      <c r="I1681" s="48" t="inlineStr">
        <is>
          <t>Incremento dei posti offerti nelle fasce di punta</t>
        </is>
      </c>
      <c r="J1681" s="73" t="n"/>
      <c r="K1681" s="73" t="n"/>
      <c r="L1681" s="73" t="n"/>
      <c r="M1681" s="73" t="n"/>
      <c r="N1681" s="57">
        <f>IF($A1681="","",IFERROR(VALUE($J1681),0))</f>
        <v/>
      </c>
      <c r="O1681" s="57">
        <f>IF($A1681="",0,IF(OR($S1681&lt;&gt;1,COUNTA($J1681:$M1681)=0),0,IF(SUMPRODUCT(MAX(($C$5:$C$2484=$C1681)*($D$5:$D$2484=$D1681)*($S$5:$S$2484=1)*IFERROR($N$5:$N$2484*1,0)))&gt;0,ROUND($H1681*($N1681/SUMPRODUCT(MAX(($C$5:$C$2484=$C1681)*($D$5:$D$2484=$D1681)*($S$5:$S$2484=1)*IFERROR($N$5:$N$2484*1,0)))),4),0)))</f>
        <v/>
      </c>
      <c r="P1681" s="48" t="inlineStr">
        <is>
          <t>posti*km</t>
        </is>
      </c>
      <c r="Q1681" s="57">
        <f>IF($A1681="","",$A1681&amp;"|"&amp;$C1681)</f>
        <v/>
      </c>
      <c r="R1681" s="57">
        <f>IF($A1681="","",$A1681&amp;"|"&amp;$C1681&amp;"|"&amp;$D1681)</f>
        <v/>
      </c>
      <c r="S1681" s="57">
        <f>IF($A1681="","",IFERROR(INDEX(Offerte!$D$2:$D$81,MATCH($Q1681,Offerte!$L$2:$L$81,0)),0))</f>
        <v/>
      </c>
      <c r="T1681" s="57">
        <f>IF($A1681="","",IFERROR(INDEX(Offerte!$G$2:$G$81,MATCH($Q1681,Offerte!$L$2:$L$81,0)),"NO"))</f>
        <v/>
      </c>
    </row>
    <row r="1682">
      <c r="A1682" s="48">
        <f>IF(Offerte!$A56="","",Offerte!$A56)</f>
        <v/>
      </c>
      <c r="B1682" s="48">
        <f>IF(Offerte!$A56="","",Offerte!$B56)</f>
        <v/>
      </c>
      <c r="C1682" s="48">
        <f>IF(Offerte!$A56="","",Offerte!$C56)</f>
        <v/>
      </c>
      <c r="D1682" s="48" t="inlineStr">
        <is>
          <t>B.2.1</t>
        </is>
      </c>
      <c r="E1682" s="48" t="inlineStr">
        <is>
          <t>B</t>
        </is>
      </c>
      <c r="F1682" s="48" t="inlineStr">
        <is>
          <t>Q</t>
        </is>
      </c>
      <c r="G1682" s="48" t="inlineStr">
        <is>
          <t>higher</t>
        </is>
      </c>
      <c r="H1682" s="48" t="n">
        <v>4</v>
      </c>
      <c r="I1682" s="48" t="inlineStr">
        <is>
          <t>Corse aggiuntive nell'arco giornaliero base</t>
        </is>
      </c>
      <c r="J1682" s="73" t="n"/>
      <c r="K1682" s="73" t="n"/>
      <c r="L1682" s="73" t="n"/>
      <c r="M1682" s="73" t="n"/>
      <c r="N1682" s="57">
        <f>IF($A1682="","",IFERROR(VALUE($J1682),0))</f>
        <v/>
      </c>
      <c r="O1682" s="57">
        <f>IF($A1682="",0,IF(OR($S1682&lt;&gt;1,COUNTA($J1682:$M1682)=0),0,IF(SUMPRODUCT(MAX(($C$5:$C$2484=$C1682)*($D$5:$D$2484=$D1682)*($S$5:$S$2484=1)*IFERROR($N$5:$N$2484*1,0)))&gt;0,ROUND($H1682*($N1682/SUMPRODUCT(MAX(($C$5:$C$2484=$C1682)*($D$5:$D$2484=$D1682)*($S$5:$S$2484=1)*IFERROR($N$5:$N$2484*1,0)))),4),0)))</f>
        <v/>
      </c>
      <c r="P1682" s="48" t="inlineStr">
        <is>
          <t>corse</t>
        </is>
      </c>
      <c r="Q1682" s="57">
        <f>IF($A1682="","",$A1682&amp;"|"&amp;$C1682)</f>
        <v/>
      </c>
      <c r="R1682" s="57">
        <f>IF($A1682="","",$A1682&amp;"|"&amp;$C1682&amp;"|"&amp;$D1682)</f>
        <v/>
      </c>
      <c r="S1682" s="57">
        <f>IF($A1682="","",IFERROR(INDEX(Offerte!$D$2:$D$81,MATCH($Q1682,Offerte!$L$2:$L$81,0)),0))</f>
        <v/>
      </c>
      <c r="T1682" s="57">
        <f>IF($A1682="","",IFERROR(INDEX(Offerte!$G$2:$G$81,MATCH($Q1682,Offerte!$L$2:$L$81,0)),"NO"))</f>
        <v/>
      </c>
    </row>
    <row r="1683">
      <c r="A1683" s="48">
        <f>IF(Offerte!$A56="","",Offerte!$A56)</f>
        <v/>
      </c>
      <c r="B1683" s="48">
        <f>IF(Offerte!$A56="","",Offerte!$B56)</f>
        <v/>
      </c>
      <c r="C1683" s="48">
        <f>IF(Offerte!$A56="","",Offerte!$C56)</f>
        <v/>
      </c>
      <c r="D1683" s="48" t="inlineStr">
        <is>
          <t>B.3.1</t>
        </is>
      </c>
      <c r="E1683" s="48" t="inlineStr">
        <is>
          <t>B</t>
        </is>
      </c>
      <c r="F1683" s="48" t="inlineStr">
        <is>
          <t>Q</t>
        </is>
      </c>
      <c r="G1683" s="48" t="inlineStr">
        <is>
          <t>higher</t>
        </is>
      </c>
      <c r="H1683" s="48" t="n">
        <v>2</v>
      </c>
      <c r="I1683" s="48" t="inlineStr">
        <is>
          <t>Numero di corse aggiuntive per allungamento dell'arco di servizio giornaliero nelle fasce serali</t>
        </is>
      </c>
      <c r="J1683" s="73" t="n"/>
      <c r="K1683" s="73" t="n"/>
      <c r="L1683" s="73" t="n"/>
      <c r="M1683" s="73" t="n"/>
      <c r="N1683" s="57">
        <f>IF($A1683="","",IFERROR(VALUE($J1683),0))</f>
        <v/>
      </c>
      <c r="O1683" s="57">
        <f>IF($A1683="",0,IF(OR($S1683&lt;&gt;1,COUNTA($J1683:$M1683)=0),0,IF(SUMPRODUCT(MAX(($C$5:$C$2484=$C1683)*($D$5:$D$2484=$D1683)*($S$5:$S$2484=1)*IFERROR($N$5:$N$2484*1,0)))&gt;0,ROUND($H1683*($N1683/SUMPRODUCT(MAX(($C$5:$C$2484=$C1683)*($D$5:$D$2484=$D1683)*($S$5:$S$2484=1)*IFERROR($N$5:$N$2484*1,0)))),4),0)))</f>
        <v/>
      </c>
      <c r="P1683" s="48" t="inlineStr">
        <is>
          <t>corse</t>
        </is>
      </c>
      <c r="Q1683" s="57">
        <f>IF($A1683="","",$A1683&amp;"|"&amp;$C1683)</f>
        <v/>
      </c>
      <c r="R1683" s="57">
        <f>IF($A1683="","",$A1683&amp;"|"&amp;$C1683&amp;"|"&amp;$D1683)</f>
        <v/>
      </c>
      <c r="S1683" s="57">
        <f>IF($A1683="","",IFERROR(INDEX(Offerte!$D$2:$D$81,MATCH($Q1683,Offerte!$L$2:$L$81,0)),0))</f>
        <v/>
      </c>
      <c r="T1683" s="57">
        <f>IF($A1683="","",IFERROR(INDEX(Offerte!$G$2:$G$81,MATCH($Q1683,Offerte!$L$2:$L$81,0)),"NO"))</f>
        <v/>
      </c>
    </row>
    <row r="1684">
      <c r="A1684" s="48">
        <f>IF(Offerte!$A56="","",Offerte!$A56)</f>
        <v/>
      </c>
      <c r="B1684" s="48">
        <f>IF(Offerte!$A56="","",Offerte!$B56)</f>
        <v/>
      </c>
      <c r="C1684" s="48">
        <f>IF(Offerte!$A56="","",Offerte!$C56)</f>
        <v/>
      </c>
      <c r="D1684" s="48" t="inlineStr">
        <is>
          <t>B.4.1</t>
        </is>
      </c>
      <c r="E1684" s="48" t="inlineStr">
        <is>
          <t>B</t>
        </is>
      </c>
      <c r="F1684" s="48" t="inlineStr">
        <is>
          <t>Q</t>
        </is>
      </c>
      <c r="G1684" s="48" t="inlineStr">
        <is>
          <t>higher</t>
        </is>
      </c>
      <c r="H1684" s="48" t="n">
        <v>3</v>
      </c>
      <c r="I1684" s="48" t="inlineStr">
        <is>
          <t>Percorrenze aggiuntive offerte nel Programma d'esercizio delle prime due fasi attuative</t>
        </is>
      </c>
      <c r="J1684" s="73" t="n"/>
      <c r="K1684" s="73" t="n"/>
      <c r="L1684" s="73" t="n"/>
      <c r="M1684" s="73" t="n"/>
      <c r="N1684" s="57">
        <f>IF($A1684="","",IFERROR(VALUE($J1684),0))</f>
        <v/>
      </c>
      <c r="O1684" s="57">
        <f>IF($A1684="",0,IF(OR($S1684&lt;&gt;1,COUNTA($J1684:$M1684)=0),0,IF(SUMPRODUCT(MAX(($C$5:$C$2484=$C1684)*($D$5:$D$2484=$D1684)*($S$5:$S$2484=1)*IFERROR($N$5:$N$2484*1,0)))&gt;0,ROUND($H1684*($N1684/SUMPRODUCT(MAX(($C$5:$C$2484=$C1684)*($D$5:$D$2484=$D1684)*($S$5:$S$2484=1)*IFERROR($N$5:$N$2484*1,0)))),4),0)))</f>
        <v/>
      </c>
      <c r="P1684" s="48" t="inlineStr">
        <is>
          <t>vett*km</t>
        </is>
      </c>
      <c r="Q1684" s="57">
        <f>IF($A1684="","",$A1684&amp;"|"&amp;$C1684)</f>
        <v/>
      </c>
      <c r="R1684" s="57">
        <f>IF($A1684="","",$A1684&amp;"|"&amp;$C1684&amp;"|"&amp;$D1684)</f>
        <v/>
      </c>
      <c r="S1684" s="57">
        <f>IF($A1684="","",IFERROR(INDEX(Offerte!$D$2:$D$81,MATCH($Q1684,Offerte!$L$2:$L$81,0)),0))</f>
        <v/>
      </c>
      <c r="T1684" s="57">
        <f>IF($A1684="","",IFERROR(INDEX(Offerte!$G$2:$G$81,MATCH($Q1684,Offerte!$L$2:$L$81,0)),"NO"))</f>
        <v/>
      </c>
    </row>
    <row r="1685">
      <c r="A1685" s="48">
        <f>IF(Offerte!$A56="","",Offerte!$A56)</f>
        <v/>
      </c>
      <c r="B1685" s="48">
        <f>IF(Offerte!$A56="","",Offerte!$B56)</f>
        <v/>
      </c>
      <c r="C1685" s="48">
        <f>IF(Offerte!$A56="","",Offerte!$C56)</f>
        <v/>
      </c>
      <c r="D1685" s="48" t="inlineStr">
        <is>
          <t>B.5.1</t>
        </is>
      </c>
      <c r="E1685" s="48" t="inlineStr">
        <is>
          <t>B</t>
        </is>
      </c>
      <c r="F1685" s="48" t="inlineStr">
        <is>
          <t>D</t>
        </is>
      </c>
      <c r="G1685" s="48" t="inlineStr">
        <is>
          <t>discretionary</t>
        </is>
      </c>
      <c r="H1685" s="48" t="n">
        <v>2</v>
      </c>
      <c r="I1685" s="48" t="inlineStr">
        <is>
          <t>Efficacia del progetto di servizi complementari DRT</t>
        </is>
      </c>
      <c r="J1685" s="73" t="n"/>
      <c r="K1685" s="73" t="n"/>
      <c r="L1685" s="73" t="n"/>
      <c r="M1685" s="73" t="n"/>
      <c r="N1685" s="57">
        <f>IF($A1685="","",MAX(0,MIN(1,IFERROR(VALUE($M1685),0))))</f>
        <v/>
      </c>
      <c r="O1685" s="57">
        <f>IF($A1685="",0,IF(OR($S1685&lt;&gt;1,COUNTA($J1685:$M1685)=0),0,IF(SUMPRODUCT(MAX(($C$5:$C$2484=$C1685)*($D$5:$D$2484=$D1685)*($S$5:$S$2484=1)*IFERROR($N$5:$N$2484*1,0)))&gt;0,ROUND($H1685*($N1685/SUMPRODUCT(MAX(($C$5:$C$2484=$C1685)*($D$5:$D$2484=$D1685)*($S$5:$S$2484=1)*IFERROR($N$5:$N$2484*1,0)))),4),0)))</f>
        <v/>
      </c>
      <c r="P1685" s="48" t="inlineStr">
        <is>
          <t>coeff.</t>
        </is>
      </c>
      <c r="Q1685" s="57">
        <f>IF($A1685="","",$A1685&amp;"|"&amp;$C1685)</f>
        <v/>
      </c>
      <c r="R1685" s="57">
        <f>IF($A1685="","",$A1685&amp;"|"&amp;$C1685&amp;"|"&amp;$D1685)</f>
        <v/>
      </c>
      <c r="S1685" s="57">
        <f>IF($A1685="","",IFERROR(INDEX(Offerte!$D$2:$D$81,MATCH($Q1685,Offerte!$L$2:$L$81,0)),0))</f>
        <v/>
      </c>
      <c r="T1685" s="57">
        <f>IF($A1685="","",IFERROR(INDEX(Offerte!$G$2:$G$81,MATCH($Q1685,Offerte!$L$2:$L$81,0)),"NO"))</f>
        <v/>
      </c>
    </row>
    <row r="1686">
      <c r="A1686" s="48">
        <f>IF(Offerte!$A56="","",Offerte!$A56)</f>
        <v/>
      </c>
      <c r="B1686" s="48">
        <f>IF(Offerte!$A56="","",Offerte!$B56)</f>
        <v/>
      </c>
      <c r="C1686" s="48">
        <f>IF(Offerte!$A56="","",Offerte!$C56)</f>
        <v/>
      </c>
      <c r="D1686" s="48" t="inlineStr">
        <is>
          <t>C.1.1</t>
        </is>
      </c>
      <c r="E1686" s="48" t="inlineStr">
        <is>
          <t>C</t>
        </is>
      </c>
      <c r="F1686" s="48" t="inlineStr">
        <is>
          <t>Q</t>
        </is>
      </c>
      <c r="G1686" s="48" t="inlineStr">
        <is>
          <t>higher</t>
        </is>
      </c>
      <c r="H1686" s="48" t="n">
        <v>2</v>
      </c>
      <c r="I1686" s="48" t="inlineStr">
        <is>
          <t>Tasso di copertura del servizio con telecamere BSD</t>
        </is>
      </c>
      <c r="J1686" s="73" t="n"/>
      <c r="K1686" s="73" t="n"/>
      <c r="L1686" s="73" t="n"/>
      <c r="M1686" s="73" t="n"/>
      <c r="N1686" s="57">
        <f>IF($A1686="","",IFERROR(VALUE($K1686)/VALUE($L1686),IFERROR(VALUE($J1686),0)))</f>
        <v/>
      </c>
      <c r="O1686" s="57">
        <f>IF($A1686="",0,IF(OR($S1686&lt;&gt;1,COUNTA($J1686:$M1686)=0),0,IF(SUMPRODUCT(MAX(($C$5:$C$2484=$C1686)*($D$5:$D$2484=$D1686)*($S$5:$S$2484=1)*IFERROR($N$5:$N$2484*1,0)))&gt;0,ROUND($H1686*($N1686/SUMPRODUCT(MAX(($C$5:$C$2484=$C1686)*($D$5:$D$2484=$D1686)*($S$5:$S$2484=1)*IFERROR($N$5:$N$2484*1,0)))),4),0)))</f>
        <v/>
      </c>
      <c r="P1686" s="48" t="inlineStr">
        <is>
          <t>Autobus attrezzati con telecamere BSD / Autobus totali in offerta, incluse scorte</t>
        </is>
      </c>
      <c r="Q1686" s="57">
        <f>IF($A1686="","",$A1686&amp;"|"&amp;$C1686)</f>
        <v/>
      </c>
      <c r="R1686" s="57">
        <f>IF($A1686="","",$A1686&amp;"|"&amp;$C1686&amp;"|"&amp;$D1686)</f>
        <v/>
      </c>
      <c r="S1686" s="57">
        <f>IF($A1686="","",IFERROR(INDEX(Offerte!$D$2:$D$81,MATCH($Q1686,Offerte!$L$2:$L$81,0)),0))</f>
        <v/>
      </c>
      <c r="T1686" s="57">
        <f>IF($A1686="","",IFERROR(INDEX(Offerte!$G$2:$G$81,MATCH($Q1686,Offerte!$L$2:$L$81,0)),"NO"))</f>
        <v/>
      </c>
    </row>
    <row r="1687">
      <c r="A1687" s="48">
        <f>IF(Offerte!$A56="","",Offerte!$A56)</f>
        <v/>
      </c>
      <c r="B1687" s="48">
        <f>IF(Offerte!$A56="","",Offerte!$B56)</f>
        <v/>
      </c>
      <c r="C1687" s="48">
        <f>IF(Offerte!$A56="","",Offerte!$C56)</f>
        <v/>
      </c>
      <c r="D1687" s="48" t="inlineStr">
        <is>
          <t>C.1.2</t>
        </is>
      </c>
      <c r="E1687" s="48" t="inlineStr">
        <is>
          <t>C</t>
        </is>
      </c>
      <c r="F1687" s="48" t="inlineStr">
        <is>
          <t>Q</t>
        </is>
      </c>
      <c r="G1687" s="48" t="inlineStr">
        <is>
          <t>higher</t>
        </is>
      </c>
      <c r="H1687" s="48" t="n">
        <v>2</v>
      </c>
      <c r="I1687" s="48" t="inlineStr">
        <is>
          <t>Tasso di copertura del servizio con telecamere ADAS</t>
        </is>
      </c>
      <c r="J1687" s="73" t="n"/>
      <c r="K1687" s="73" t="n"/>
      <c r="L1687" s="73" t="n"/>
      <c r="M1687" s="73" t="n"/>
      <c r="N1687" s="57">
        <f>IF($A1687="","",IFERROR(VALUE($K1687)/VALUE($L1687),IFERROR(VALUE($J1687),0)))</f>
        <v/>
      </c>
      <c r="O1687" s="57">
        <f>IF($A1687="",0,IF(OR($S1687&lt;&gt;1,COUNTA($J1687:$M1687)=0),0,IF(SUMPRODUCT(MAX(($C$5:$C$2484=$C1687)*($D$5:$D$2484=$D1687)*($S$5:$S$2484=1)*IFERROR($N$5:$N$2484*1,0)))&gt;0,ROUND($H1687*($N1687/SUMPRODUCT(MAX(($C$5:$C$2484=$C1687)*($D$5:$D$2484=$D1687)*($S$5:$S$2484=1)*IFERROR($N$5:$N$2484*1,0)))),4),0)))</f>
        <v/>
      </c>
      <c r="P1687" s="48" t="inlineStr">
        <is>
          <t>Autobus attrezzati con telecamere ADAS / Autobus totali in offerta, incluse scorte</t>
        </is>
      </c>
      <c r="Q1687" s="57">
        <f>IF($A1687="","",$A1687&amp;"|"&amp;$C1687)</f>
        <v/>
      </c>
      <c r="R1687" s="57">
        <f>IF($A1687="","",$A1687&amp;"|"&amp;$C1687&amp;"|"&amp;$D1687)</f>
        <v/>
      </c>
      <c r="S1687" s="57">
        <f>IF($A1687="","",IFERROR(INDEX(Offerte!$D$2:$D$81,MATCH($Q1687,Offerte!$L$2:$L$81,0)),0))</f>
        <v/>
      </c>
      <c r="T1687" s="57">
        <f>IF($A1687="","",IFERROR(INDEX(Offerte!$G$2:$G$81,MATCH($Q1687,Offerte!$L$2:$L$81,0)),"NO"))</f>
        <v/>
      </c>
    </row>
    <row r="1688">
      <c r="A1688" s="48">
        <f>IF(Offerte!$A56="","",Offerte!$A56)</f>
        <v/>
      </c>
      <c r="B1688" s="48">
        <f>IF(Offerte!$A56="","",Offerte!$B56)</f>
        <v/>
      </c>
      <c r="C1688" s="48">
        <f>IF(Offerte!$A56="","",Offerte!$C56)</f>
        <v/>
      </c>
      <c r="D1688" s="48" t="inlineStr">
        <is>
          <t>C.2.1</t>
        </is>
      </c>
      <c r="E1688" s="48" t="inlineStr">
        <is>
          <t>C</t>
        </is>
      </c>
      <c r="F1688" s="48" t="inlineStr">
        <is>
          <t>Q</t>
        </is>
      </c>
      <c r="G1688" s="48" t="inlineStr">
        <is>
          <t>higher</t>
        </is>
      </c>
      <c r="H1688" s="48" t="n">
        <v>3</v>
      </c>
      <c r="I1688" s="48" t="inlineStr">
        <is>
          <t>Tasso di copertura del servizio con telecamere di bordo di videosorveglianza</t>
        </is>
      </c>
      <c r="J1688" s="73" t="n"/>
      <c r="K1688" s="73" t="n"/>
      <c r="L1688" s="73" t="n"/>
      <c r="M1688" s="73" t="n"/>
      <c r="N1688" s="57">
        <f>IF($A1688="","",IFERROR(VALUE($K1688)/VALUE($L1688),IFERROR(VALUE($J1688),0)))</f>
        <v/>
      </c>
      <c r="O1688" s="57">
        <f>IF($A1688="",0,IF(OR($S1688&lt;&gt;1,COUNTA($J1688:$M1688)=0),0,IF(SUMPRODUCT(MAX(($C$5:$C$2484=$C1688)*($D$5:$D$2484=$D1688)*($S$5:$S$2484=1)*IFERROR($N$5:$N$2484*1,0)))&gt;0,ROUND($H1688*($N1688/SUMPRODUCT(MAX(($C$5:$C$2484=$C1688)*($D$5:$D$2484=$D1688)*($S$5:$S$2484=1)*IFERROR($N$5:$N$2484*1,0)))),4),0)))</f>
        <v/>
      </c>
      <c r="P1688" s="48" t="inlineStr">
        <is>
          <t>Autobus attrezzati con videosorveglianza / Autobus totali in offerta, incluse scorte</t>
        </is>
      </c>
      <c r="Q1688" s="57">
        <f>IF($A1688="","",$A1688&amp;"|"&amp;$C1688)</f>
        <v/>
      </c>
      <c r="R1688" s="57">
        <f>IF($A1688="","",$A1688&amp;"|"&amp;$C1688&amp;"|"&amp;$D1688)</f>
        <v/>
      </c>
      <c r="S1688" s="57">
        <f>IF($A1688="","",IFERROR(INDEX(Offerte!$D$2:$D$81,MATCH($Q1688,Offerte!$L$2:$L$81,0)),0))</f>
        <v/>
      </c>
      <c r="T1688" s="57">
        <f>IF($A1688="","",IFERROR(INDEX(Offerte!$G$2:$G$81,MATCH($Q1688,Offerte!$L$2:$L$81,0)),"NO"))</f>
        <v/>
      </c>
    </row>
    <row r="1689">
      <c r="A1689" s="48">
        <f>IF(Offerte!$A56="","",Offerte!$A56)</f>
        <v/>
      </c>
      <c r="B1689" s="48">
        <f>IF(Offerte!$A56="","",Offerte!$B56)</f>
        <v/>
      </c>
      <c r="C1689" s="48">
        <f>IF(Offerte!$A56="","",Offerte!$C56)</f>
        <v/>
      </c>
      <c r="D1689" s="48" t="inlineStr">
        <is>
          <t>C.2.2</t>
        </is>
      </c>
      <c r="E1689" s="48" t="inlineStr">
        <is>
          <t>C</t>
        </is>
      </c>
      <c r="F1689" s="48" t="inlineStr">
        <is>
          <t>T</t>
        </is>
      </c>
      <c r="G1689" s="48" t="inlineStr">
        <is>
          <t>tabular</t>
        </is>
      </c>
      <c r="H1689" s="48" t="n">
        <v>1</v>
      </c>
      <c r="I1689" s="48" t="inlineStr">
        <is>
          <t>Software video/audio analisi per situazioni di pericolo</t>
        </is>
      </c>
      <c r="J1689" s="73" t="n"/>
      <c r="K1689" s="73" t="n"/>
      <c r="L1689" s="73" t="n"/>
      <c r="M1689" s="73" t="n"/>
      <c r="N1689" s="57">
        <f>IF($A1689="","",IF(IFERROR(VALUE($M1689),0)=1,1,0))</f>
        <v/>
      </c>
      <c r="O1689" s="57">
        <f>IF($A1689="",0,IF(OR($S1689&lt;&gt;1,COUNTA($J1689:$M1689)=0),0,IF($N1689=1,$H1689,0)))</f>
        <v/>
      </c>
      <c r="P1689" s="48" t="inlineStr">
        <is>
          <t>sì/no</t>
        </is>
      </c>
      <c r="Q1689" s="57">
        <f>IF($A1689="","",$A1689&amp;"|"&amp;$C1689)</f>
        <v/>
      </c>
      <c r="R1689" s="57">
        <f>IF($A1689="","",$A1689&amp;"|"&amp;$C1689&amp;"|"&amp;$D1689)</f>
        <v/>
      </c>
      <c r="S1689" s="57">
        <f>IF($A1689="","",IFERROR(INDEX(Offerte!$D$2:$D$81,MATCH($Q1689,Offerte!$L$2:$L$81,0)),0))</f>
        <v/>
      </c>
      <c r="T1689" s="57">
        <f>IF($A1689="","",IFERROR(INDEX(Offerte!$G$2:$G$81,MATCH($Q1689,Offerte!$L$2:$L$81,0)),"NO"))</f>
        <v/>
      </c>
    </row>
    <row r="1690">
      <c r="A1690" s="48">
        <f>IF(Offerte!$A56="","",Offerte!$A56)</f>
        <v/>
      </c>
      <c r="B1690" s="48">
        <f>IF(Offerte!$A56="","",Offerte!$B56)</f>
        <v/>
      </c>
      <c r="C1690" s="48">
        <f>IF(Offerte!$A56="","",Offerte!$C56)</f>
        <v/>
      </c>
      <c r="D1690" s="48" t="inlineStr">
        <is>
          <t>C.2.3</t>
        </is>
      </c>
      <c r="E1690" s="48" t="inlineStr">
        <is>
          <t>C</t>
        </is>
      </c>
      <c r="F1690" s="48" t="inlineStr">
        <is>
          <t>T</t>
        </is>
      </c>
      <c r="G1690" s="48" t="inlineStr">
        <is>
          <t>tabular</t>
        </is>
      </c>
      <c r="H1690" s="48" t="n">
        <v>1</v>
      </c>
      <c r="I1690" s="48" t="inlineStr">
        <is>
          <t>Collegamento con centrale qualificata di pronto intervento</t>
        </is>
      </c>
      <c r="J1690" s="73" t="n"/>
      <c r="K1690" s="73" t="n"/>
      <c r="L1690" s="73" t="n"/>
      <c r="M1690" s="73" t="n"/>
      <c r="N1690" s="57">
        <f>IF($A1690="","",IF(IFERROR(VALUE($M1690),0)=1,1,0))</f>
        <v/>
      </c>
      <c r="O1690" s="57">
        <f>IF($A1690="",0,IF(OR($S1690&lt;&gt;1,COUNTA($J1690:$M1690)=0),0,IF($N1690=1,$H1690,0)))</f>
        <v/>
      </c>
      <c r="P1690" s="48" t="inlineStr">
        <is>
          <t>sì/no</t>
        </is>
      </c>
      <c r="Q1690" s="57">
        <f>IF($A1690="","",$A1690&amp;"|"&amp;$C1690)</f>
        <v/>
      </c>
      <c r="R1690" s="57">
        <f>IF($A1690="","",$A1690&amp;"|"&amp;$C1690&amp;"|"&amp;$D1690)</f>
        <v/>
      </c>
      <c r="S1690" s="57">
        <f>IF($A1690="","",IFERROR(INDEX(Offerte!$D$2:$D$81,MATCH($Q1690,Offerte!$L$2:$L$81,0)),0))</f>
        <v/>
      </c>
      <c r="T1690" s="57">
        <f>IF($A1690="","",IFERROR(INDEX(Offerte!$G$2:$G$81,MATCH($Q1690,Offerte!$L$2:$L$81,0)),"NO"))</f>
        <v/>
      </c>
    </row>
    <row r="1691">
      <c r="A1691" s="48">
        <f>IF(Offerte!$A56="","",Offerte!$A56)</f>
        <v/>
      </c>
      <c r="B1691" s="48">
        <f>IF(Offerte!$A56="","",Offerte!$B56)</f>
        <v/>
      </c>
      <c r="C1691" s="48">
        <f>IF(Offerte!$A56="","",Offerte!$C56)</f>
        <v/>
      </c>
      <c r="D1691" s="48" t="inlineStr">
        <is>
          <t>C.2.4</t>
        </is>
      </c>
      <c r="E1691" s="48" t="inlineStr">
        <is>
          <t>C</t>
        </is>
      </c>
      <c r="F1691" s="48" t="inlineStr">
        <is>
          <t>Q</t>
        </is>
      </c>
      <c r="G1691" s="48" t="inlineStr">
        <is>
          <t>higher</t>
        </is>
      </c>
      <c r="H1691" s="48" t="n">
        <v>1</v>
      </c>
      <c r="I1691" s="48" t="inlineStr">
        <is>
          <t>Tasso di copertura del servizio con dispositivi per la chiamata di emergenza del conducente</t>
        </is>
      </c>
      <c r="J1691" s="73" t="n"/>
      <c r="K1691" s="73" t="n"/>
      <c r="L1691" s="73" t="n"/>
      <c r="M1691" s="73" t="n"/>
      <c r="N1691" s="57">
        <f>IF($A1691="","",IFERROR(VALUE($K1691)/VALUE($L1691),IFERROR(VALUE($J1691),0)))</f>
        <v/>
      </c>
      <c r="O1691" s="57">
        <f>IF($A1691="",0,IF(OR($S1691&lt;&gt;1,COUNTA($J1691:$M1691)=0),0,IF(SUMPRODUCT(MAX(($C$5:$C$2484=$C1691)*($D$5:$D$2484=$D1691)*($S$5:$S$2484=1)*IFERROR($N$5:$N$2484*1,0)))&gt;0,ROUND($H1691*($N1691/SUMPRODUCT(MAX(($C$5:$C$2484=$C1691)*($D$5:$D$2484=$D1691)*($S$5:$S$2484=1)*IFERROR($N$5:$N$2484*1,0)))),4),0)))</f>
        <v/>
      </c>
      <c r="P1691" s="48" t="inlineStr">
        <is>
          <t>Autobus attrezzati con chiamata di emergenza / Autobus totali in offerta, incluse scorte</t>
        </is>
      </c>
      <c r="Q1691" s="57">
        <f>IF($A1691="","",$A1691&amp;"|"&amp;$C1691)</f>
        <v/>
      </c>
      <c r="R1691" s="57">
        <f>IF($A1691="","",$A1691&amp;"|"&amp;$C1691&amp;"|"&amp;$D1691)</f>
        <v/>
      </c>
      <c r="S1691" s="57">
        <f>IF($A1691="","",IFERROR(INDEX(Offerte!$D$2:$D$81,MATCH($Q1691,Offerte!$L$2:$L$81,0)),0))</f>
        <v/>
      </c>
      <c r="T1691" s="57">
        <f>IF($A1691="","",IFERROR(INDEX(Offerte!$G$2:$G$81,MATCH($Q1691,Offerte!$L$2:$L$81,0)),"NO"))</f>
        <v/>
      </c>
    </row>
    <row r="1692">
      <c r="A1692" s="48">
        <f>IF(Offerte!$A56="","",Offerte!$A56)</f>
        <v/>
      </c>
      <c r="B1692" s="48">
        <f>IF(Offerte!$A56="","",Offerte!$B56)</f>
        <v/>
      </c>
      <c r="C1692" s="48">
        <f>IF(Offerte!$A56="","",Offerte!$C56)</f>
        <v/>
      </c>
      <c r="D1692" s="48" t="inlineStr">
        <is>
          <t>C.3.1</t>
        </is>
      </c>
      <c r="E1692" s="48" t="inlineStr">
        <is>
          <t>C</t>
        </is>
      </c>
      <c r="F1692" s="48" t="inlineStr">
        <is>
          <t>Q</t>
        </is>
      </c>
      <c r="G1692" s="48" t="inlineStr">
        <is>
          <t>higher</t>
        </is>
      </c>
      <c r="H1692" s="48" t="n">
        <v>2</v>
      </c>
      <c r="I1692" s="48" t="inlineStr">
        <is>
          <t>Tasso di copertura del servizio con dispositivi di informazione dinamica a bordo mezzo</t>
        </is>
      </c>
      <c r="J1692" s="73" t="n"/>
      <c r="K1692" s="73" t="n"/>
      <c r="L1692" s="73" t="n"/>
      <c r="M1692" s="73" t="n"/>
      <c r="N1692" s="57">
        <f>IF($A1692="","",IFERROR(VALUE($K1692)/VALUE($L1692),IFERROR(VALUE($J1692),0)))</f>
        <v/>
      </c>
      <c r="O1692" s="57">
        <f>IF($A1692="",0,IF(OR($S1692&lt;&gt;1,COUNTA($J1692:$M1692)=0),0,IF(SUMPRODUCT(MAX(($C$5:$C$2484=$C1692)*($D$5:$D$2484=$D1692)*($S$5:$S$2484=1)*IFERROR($N$5:$N$2484*1,0)))&gt;0,ROUND($H1692*($N1692/SUMPRODUCT(MAX(($C$5:$C$2484=$C1692)*($D$5:$D$2484=$D1692)*($S$5:$S$2484=1)*IFERROR($N$5:$N$2484*1,0)))),4),0)))</f>
        <v/>
      </c>
      <c r="P1692" s="48" t="inlineStr">
        <is>
          <t>Autobus con monitor e indicatori vocali / Autobus totali in offerta, incluse scorte</t>
        </is>
      </c>
      <c r="Q1692" s="57">
        <f>IF($A1692="","",$A1692&amp;"|"&amp;$C1692)</f>
        <v/>
      </c>
      <c r="R1692" s="57">
        <f>IF($A1692="","",$A1692&amp;"|"&amp;$C1692&amp;"|"&amp;$D1692)</f>
        <v/>
      </c>
      <c r="S1692" s="57">
        <f>IF($A1692="","",IFERROR(INDEX(Offerte!$D$2:$D$81,MATCH($Q1692,Offerte!$L$2:$L$81,0)),0))</f>
        <v/>
      </c>
      <c r="T1692" s="57">
        <f>IF($A1692="","",IFERROR(INDEX(Offerte!$G$2:$G$81,MATCH($Q1692,Offerte!$L$2:$L$81,0)),"NO"))</f>
        <v/>
      </c>
    </row>
    <row r="1693">
      <c r="A1693" s="48">
        <f>IF(Offerte!$A56="","",Offerte!$A56)</f>
        <v/>
      </c>
      <c r="B1693" s="48">
        <f>IF(Offerte!$A56="","",Offerte!$B56)</f>
        <v/>
      </c>
      <c r="C1693" s="48">
        <f>IF(Offerte!$A56="","",Offerte!$C56)</f>
        <v/>
      </c>
      <c r="D1693" s="48" t="inlineStr">
        <is>
          <t>C.3.2</t>
        </is>
      </c>
      <c r="E1693" s="48" t="inlineStr">
        <is>
          <t>C</t>
        </is>
      </c>
      <c r="F1693" s="48" t="inlineStr">
        <is>
          <t>T</t>
        </is>
      </c>
      <c r="G1693" s="48" t="inlineStr">
        <is>
          <t>tabular</t>
        </is>
      </c>
      <c r="H1693" s="48" t="n">
        <v>2</v>
      </c>
      <c r="I1693" s="48" t="inlineStr">
        <is>
          <t>Informazioni a bordo su coincidenze ai nodi</t>
        </is>
      </c>
      <c r="J1693" s="73" t="n"/>
      <c r="K1693" s="73" t="n"/>
      <c r="L1693" s="73" t="n"/>
      <c r="M1693" s="73" t="n"/>
      <c r="N1693" s="57">
        <f>IF($A1693="","",IF(IFERROR(VALUE($M1693),0)=1,1,0))</f>
        <v/>
      </c>
      <c r="O1693" s="57">
        <f>IF($A1693="",0,IF(OR($S1693&lt;&gt;1,COUNTA($J1693:$M1693)=0),0,IF(AND($N1693=1,IFERROR(SUMIFS($N$5:$N$2484,$Q$5:$Q$2484,$Q1693,$D$5:$D$2484,"C.3.1"),0)&gt;=0.5),$H1693,0)))</f>
        <v/>
      </c>
      <c r="P1693" s="48" t="inlineStr">
        <is>
          <t>Dipende da C.3.1 &gt;= 0.5</t>
        </is>
      </c>
      <c r="Q1693" s="57">
        <f>IF($A1693="","",$A1693&amp;"|"&amp;$C1693)</f>
        <v/>
      </c>
      <c r="R1693" s="57">
        <f>IF($A1693="","",$A1693&amp;"|"&amp;$C1693&amp;"|"&amp;$D1693)</f>
        <v/>
      </c>
      <c r="S1693" s="57">
        <f>IF($A1693="","",IFERROR(INDEX(Offerte!$D$2:$D$81,MATCH($Q1693,Offerte!$L$2:$L$81,0)),0))</f>
        <v/>
      </c>
      <c r="T1693" s="57">
        <f>IF($A1693="","",IFERROR(INDEX(Offerte!$G$2:$G$81,MATCH($Q1693,Offerte!$L$2:$L$81,0)),"NO"))</f>
        <v/>
      </c>
    </row>
    <row r="1694">
      <c r="A1694" s="48">
        <f>IF(Offerte!$A56="","",Offerte!$A56)</f>
        <v/>
      </c>
      <c r="B1694" s="48">
        <f>IF(Offerte!$A56="","",Offerte!$B56)</f>
        <v/>
      </c>
      <c r="C1694" s="48">
        <f>IF(Offerte!$A56="","",Offerte!$C56)</f>
        <v/>
      </c>
      <c r="D1694" s="48" t="inlineStr">
        <is>
          <t>D.1.1</t>
        </is>
      </c>
      <c r="E1694" s="48" t="inlineStr">
        <is>
          <t>D</t>
        </is>
      </c>
      <c r="F1694" s="48" t="inlineStr">
        <is>
          <t>Q</t>
        </is>
      </c>
      <c r="G1694" s="48" t="inlineStr">
        <is>
          <t>higher</t>
        </is>
      </c>
      <c r="H1694" s="48" t="n">
        <v>3</v>
      </c>
      <c r="I1694" s="48" t="inlineStr">
        <is>
          <t>Installazione di pensiline</t>
        </is>
      </c>
      <c r="J1694" s="73" t="n"/>
      <c r="K1694" s="73" t="n"/>
      <c r="L1694" s="73" t="n"/>
      <c r="M1694" s="73" t="n"/>
      <c r="N1694" s="57">
        <f>IF($A1694="","",IFERROR(VALUE($J1694),0))</f>
        <v/>
      </c>
      <c r="O1694" s="57">
        <f>IF($A1694="",0,IF(OR($S1694&lt;&gt;1,COUNTA($J1694:$M1694)=0),0,IF(SUMPRODUCT(MAX(($C$5:$C$2484=$C1694)*($D$5:$D$2484=$D1694)*($S$5:$S$2484=1)*IFERROR($N$5:$N$2484*1,0)))&gt;0,ROUND($H1694*($N1694/SUMPRODUCT(MAX(($C$5:$C$2484=$C1694)*($D$5:$D$2484=$D1694)*($S$5:$S$2484=1)*IFERROR($N$5:$N$2484*1,0)))),4),0)))</f>
        <v/>
      </c>
      <c r="P1694" s="48" t="inlineStr">
        <is>
          <t>fermate</t>
        </is>
      </c>
      <c r="Q1694" s="57">
        <f>IF($A1694="","",$A1694&amp;"|"&amp;$C1694)</f>
        <v/>
      </c>
      <c r="R1694" s="57">
        <f>IF($A1694="","",$A1694&amp;"|"&amp;$C1694&amp;"|"&amp;$D1694)</f>
        <v/>
      </c>
      <c r="S1694" s="57">
        <f>IF($A1694="","",IFERROR(INDEX(Offerte!$D$2:$D$81,MATCH($Q1694,Offerte!$L$2:$L$81,0)),0))</f>
        <v/>
      </c>
      <c r="T1694" s="57">
        <f>IF($A1694="","",IFERROR(INDEX(Offerte!$G$2:$G$81,MATCH($Q1694,Offerte!$L$2:$L$81,0)),"NO"))</f>
        <v/>
      </c>
    </row>
    <row r="1695">
      <c r="A1695" s="48">
        <f>IF(Offerte!$A56="","",Offerte!$A56)</f>
        <v/>
      </c>
      <c r="B1695" s="48">
        <f>IF(Offerte!$A56="","",Offerte!$B56)</f>
        <v/>
      </c>
      <c r="C1695" s="48">
        <f>IF(Offerte!$A56="","",Offerte!$C56)</f>
        <v/>
      </c>
      <c r="D1695" s="48" t="inlineStr">
        <is>
          <t>D.1.2</t>
        </is>
      </c>
      <c r="E1695" s="48" t="inlineStr">
        <is>
          <t>D</t>
        </is>
      </c>
      <c r="F1695" s="48" t="inlineStr">
        <is>
          <t>Q</t>
        </is>
      </c>
      <c r="G1695" s="48" t="inlineStr">
        <is>
          <t>higher</t>
        </is>
      </c>
      <c r="H1695" s="48" t="n">
        <v>3</v>
      </c>
      <c r="I1695" s="48" t="inlineStr">
        <is>
          <t>Installazione di paline di fermata conformi alla DGR 581/2023</t>
        </is>
      </c>
      <c r="J1695" s="73" t="n"/>
      <c r="K1695" s="73" t="n"/>
      <c r="L1695" s="73" t="n"/>
      <c r="M1695" s="73" t="n"/>
      <c r="N1695" s="57">
        <f>IF($A1695="","",IFERROR(VALUE($J1695),0))</f>
        <v/>
      </c>
      <c r="O1695" s="57">
        <f>IF($A1695="",0,IF(OR($S1695&lt;&gt;1,COUNTA($J1695:$M1695)=0),0,IF(SUMPRODUCT(MAX(($C$5:$C$2484=$C1695)*($D$5:$D$2484=$D1695)*($S$5:$S$2484=1)*IFERROR($N$5:$N$2484*1,0)))&gt;0,ROUND($H1695*($N1695/SUMPRODUCT(MAX(($C$5:$C$2484=$C1695)*($D$5:$D$2484=$D1695)*($S$5:$S$2484=1)*IFERROR($N$5:$N$2484*1,0)))),4),0)))</f>
        <v/>
      </c>
      <c r="P1695" s="48" t="inlineStr">
        <is>
          <t>fermate</t>
        </is>
      </c>
      <c r="Q1695" s="57">
        <f>IF($A1695="","",$A1695&amp;"|"&amp;$C1695)</f>
        <v/>
      </c>
      <c r="R1695" s="57">
        <f>IF($A1695="","",$A1695&amp;"|"&amp;$C1695&amp;"|"&amp;$D1695)</f>
        <v/>
      </c>
      <c r="S1695" s="57">
        <f>IF($A1695="","",IFERROR(INDEX(Offerte!$D$2:$D$81,MATCH($Q1695,Offerte!$L$2:$L$81,0)),0))</f>
        <v/>
      </c>
      <c r="T1695" s="57">
        <f>IF($A1695="","",IFERROR(INDEX(Offerte!$G$2:$G$81,MATCH($Q1695,Offerte!$L$2:$L$81,0)),"NO"))</f>
        <v/>
      </c>
    </row>
    <row r="1696">
      <c r="A1696" s="48">
        <f>IF(Offerte!$A56="","",Offerte!$A56)</f>
        <v/>
      </c>
      <c r="B1696" s="48">
        <f>IF(Offerte!$A56="","",Offerte!$B56)</f>
        <v/>
      </c>
      <c r="C1696" s="48">
        <f>IF(Offerte!$A56="","",Offerte!$C56)</f>
        <v/>
      </c>
      <c r="D1696" s="48" t="inlineStr">
        <is>
          <t>D.1.3</t>
        </is>
      </c>
      <c r="E1696" s="48" t="inlineStr">
        <is>
          <t>D</t>
        </is>
      </c>
      <c r="F1696" s="48" t="inlineStr">
        <is>
          <t>Q</t>
        </is>
      </c>
      <c r="G1696" s="48" t="inlineStr">
        <is>
          <t>higher</t>
        </is>
      </c>
      <c r="H1696" s="48" t="n">
        <v>2</v>
      </c>
      <c r="I1696" s="48" t="inlineStr">
        <is>
          <t>Display informativi connessi alle fermate</t>
        </is>
      </c>
      <c r="J1696" s="73" t="n"/>
      <c r="K1696" s="73" t="n"/>
      <c r="L1696" s="73" t="n"/>
      <c r="M1696" s="73" t="n"/>
      <c r="N1696" s="57">
        <f>IF($A1696="","",IFERROR(VALUE($J1696),0))</f>
        <v/>
      </c>
      <c r="O1696" s="57">
        <f>IF($A1696="",0,IF(OR($S1696&lt;&gt;1,COUNTA($J1696:$M1696)=0),0,IF(SUMPRODUCT(MAX(($C$5:$C$2484=$C1696)*($D$5:$D$2484=$D1696)*($S$5:$S$2484=1)*IFERROR($N$5:$N$2484*1,0)))&gt;0,ROUND($H1696*($N1696/SUMPRODUCT(MAX(($C$5:$C$2484=$C1696)*($D$5:$D$2484=$D1696)*($S$5:$S$2484=1)*IFERROR($N$5:$N$2484*1,0)))),4),0)))</f>
        <v/>
      </c>
      <c r="P1696" s="48" t="inlineStr">
        <is>
          <t>fermate</t>
        </is>
      </c>
      <c r="Q1696" s="57">
        <f>IF($A1696="","",$A1696&amp;"|"&amp;$C1696)</f>
        <v/>
      </c>
      <c r="R1696" s="57">
        <f>IF($A1696="","",$A1696&amp;"|"&amp;$C1696&amp;"|"&amp;$D1696)</f>
        <v/>
      </c>
      <c r="S1696" s="57">
        <f>IF($A1696="","",IFERROR(INDEX(Offerte!$D$2:$D$81,MATCH($Q1696,Offerte!$L$2:$L$81,0)),0))</f>
        <v/>
      </c>
      <c r="T1696" s="57">
        <f>IF($A1696="","",IFERROR(INDEX(Offerte!$G$2:$G$81,MATCH($Q1696,Offerte!$L$2:$L$81,0)),"NO"))</f>
        <v/>
      </c>
    </row>
    <row r="1697">
      <c r="A1697" s="48">
        <f>IF(Offerte!$A56="","",Offerte!$A56)</f>
        <v/>
      </c>
      <c r="B1697" s="48">
        <f>IF(Offerte!$A56="","",Offerte!$B56)</f>
        <v/>
      </c>
      <c r="C1697" s="48">
        <f>IF(Offerte!$A56="","",Offerte!$C56)</f>
        <v/>
      </c>
      <c r="D1697" s="48" t="inlineStr">
        <is>
          <t>D.2.1</t>
        </is>
      </c>
      <c r="E1697" s="48" t="inlineStr">
        <is>
          <t>D</t>
        </is>
      </c>
      <c r="F1697" s="48" t="inlineStr">
        <is>
          <t>Q</t>
        </is>
      </c>
      <c r="G1697" s="48" t="inlineStr">
        <is>
          <t>higher</t>
        </is>
      </c>
      <c r="H1697" s="48" t="n">
        <v>2</v>
      </c>
      <c r="I1697" s="48" t="inlineStr">
        <is>
          <t>Segnali tattili Loges-Vet-Evolution</t>
        </is>
      </c>
      <c r="J1697" s="73" t="n"/>
      <c r="K1697" s="73" t="n"/>
      <c r="L1697" s="73" t="n"/>
      <c r="M1697" s="73" t="n"/>
      <c r="N1697" s="57">
        <f>IF($A1697="","",IFERROR(VALUE($J1697),0))</f>
        <v/>
      </c>
      <c r="O1697" s="57">
        <f>IF($A1697="",0,IF(OR($S1697&lt;&gt;1,COUNTA($J1697:$M1697)=0),0,IF(SUMPRODUCT(MAX(($C$5:$C$2484=$C1697)*($D$5:$D$2484=$D1697)*($S$5:$S$2484=1)*IFERROR($N$5:$N$2484*1,0)))&gt;0,ROUND($H1697*($N1697/SUMPRODUCT(MAX(($C$5:$C$2484=$C1697)*($D$5:$D$2484=$D1697)*($S$5:$S$2484=1)*IFERROR($N$5:$N$2484*1,0)))),4),0)))</f>
        <v/>
      </c>
      <c r="P1697" s="48" t="inlineStr">
        <is>
          <t>fermate</t>
        </is>
      </c>
      <c r="Q1697" s="57">
        <f>IF($A1697="","",$A1697&amp;"|"&amp;$C1697)</f>
        <v/>
      </c>
      <c r="R1697" s="57">
        <f>IF($A1697="","",$A1697&amp;"|"&amp;$C1697&amp;"|"&amp;$D1697)</f>
        <v/>
      </c>
      <c r="S1697" s="57">
        <f>IF($A1697="","",IFERROR(INDEX(Offerte!$D$2:$D$81,MATCH($Q1697,Offerte!$L$2:$L$81,0)),0))</f>
        <v/>
      </c>
      <c r="T1697" s="57">
        <f>IF($A1697="","",IFERROR(INDEX(Offerte!$G$2:$G$81,MATCH($Q1697,Offerte!$L$2:$L$81,0)),"NO"))</f>
        <v/>
      </c>
    </row>
    <row r="1698">
      <c r="A1698" s="48">
        <f>IF(Offerte!$A56="","",Offerte!$A56)</f>
        <v/>
      </c>
      <c r="B1698" s="48">
        <f>IF(Offerte!$A56="","",Offerte!$B56)</f>
        <v/>
      </c>
      <c r="C1698" s="48">
        <f>IF(Offerte!$A56="","",Offerte!$C56)</f>
        <v/>
      </c>
      <c r="D1698" s="48" t="inlineStr">
        <is>
          <t>E.1.1</t>
        </is>
      </c>
      <c r="E1698" s="48" t="inlineStr">
        <is>
          <t>E</t>
        </is>
      </c>
      <c r="F1698" s="48" t="inlineStr">
        <is>
          <t>T</t>
        </is>
      </c>
      <c r="G1698" s="48" t="inlineStr">
        <is>
          <t>tabular</t>
        </is>
      </c>
      <c r="H1698" s="48" t="n">
        <v>2</v>
      </c>
      <c r="I1698" s="48" t="inlineStr">
        <is>
          <t>Mobile app con travel planner PRM</t>
        </is>
      </c>
      <c r="J1698" s="73" t="n"/>
      <c r="K1698" s="73" t="n"/>
      <c r="L1698" s="73" t="n"/>
      <c r="M1698" s="73" t="n"/>
      <c r="N1698" s="57">
        <f>IF($A1698="","",IF(IFERROR(VALUE($M1698),0)=1,1,0))</f>
        <v/>
      </c>
      <c r="O1698" s="57">
        <f>IF($A1698="",0,IF(OR($S1698&lt;&gt;1,COUNTA($J1698:$M1698)=0),0,IF($N1698=1,$H1698,0)))</f>
        <v/>
      </c>
      <c r="P1698" s="48" t="inlineStr">
        <is>
          <t>sì/no</t>
        </is>
      </c>
      <c r="Q1698" s="57">
        <f>IF($A1698="","",$A1698&amp;"|"&amp;$C1698)</f>
        <v/>
      </c>
      <c r="R1698" s="57">
        <f>IF($A1698="","",$A1698&amp;"|"&amp;$C1698&amp;"|"&amp;$D1698)</f>
        <v/>
      </c>
      <c r="S1698" s="57">
        <f>IF($A1698="","",IFERROR(INDEX(Offerte!$D$2:$D$81,MATCH($Q1698,Offerte!$L$2:$L$81,0)),0))</f>
        <v/>
      </c>
      <c r="T1698" s="57">
        <f>IF($A1698="","",IFERROR(INDEX(Offerte!$G$2:$G$81,MATCH($Q1698,Offerte!$L$2:$L$81,0)),"NO"))</f>
        <v/>
      </c>
    </row>
    <row r="1699">
      <c r="A1699" s="48">
        <f>IF(Offerte!$A56="","",Offerte!$A56)</f>
        <v/>
      </c>
      <c r="B1699" s="48">
        <f>IF(Offerte!$A56="","",Offerte!$B56)</f>
        <v/>
      </c>
      <c r="C1699" s="48">
        <f>IF(Offerte!$A56="","",Offerte!$C56)</f>
        <v/>
      </c>
      <c r="D1699" s="48" t="inlineStr">
        <is>
          <t>E.2.1</t>
        </is>
      </c>
      <c r="E1699" s="48" t="inlineStr">
        <is>
          <t>E</t>
        </is>
      </c>
      <c r="F1699" s="48" t="inlineStr">
        <is>
          <t>D</t>
        </is>
      </c>
      <c r="G1699" s="48" t="inlineStr">
        <is>
          <t>discretionary</t>
        </is>
      </c>
      <c r="H1699" s="48" t="n">
        <v>2</v>
      </c>
      <c r="I1699" s="48" t="inlineStr">
        <is>
          <t>Altre azioni informative e rapporti con gli utenti</t>
        </is>
      </c>
      <c r="J1699" s="73" t="n"/>
      <c r="K1699" s="73" t="n"/>
      <c r="L1699" s="73" t="n"/>
      <c r="M1699" s="73" t="n"/>
      <c r="N1699" s="57">
        <f>IF($A1699="","",MAX(0,MIN(1,IFERROR(VALUE($M1699),0))))</f>
        <v/>
      </c>
      <c r="O1699" s="57">
        <f>IF($A1699="",0,IF(OR($S1699&lt;&gt;1,COUNTA($J1699:$M1699)=0),0,IF(SUMPRODUCT(MAX(($C$5:$C$2484=$C1699)*($D$5:$D$2484=$D1699)*($S$5:$S$2484=1)*IFERROR($N$5:$N$2484*1,0)))&gt;0,ROUND($H1699*($N1699/SUMPRODUCT(MAX(($C$5:$C$2484=$C1699)*($D$5:$D$2484=$D1699)*($S$5:$S$2484=1)*IFERROR($N$5:$N$2484*1,0)))),4),0)))</f>
        <v/>
      </c>
      <c r="P1699" s="48" t="inlineStr">
        <is>
          <t>coeff.</t>
        </is>
      </c>
      <c r="Q1699" s="57">
        <f>IF($A1699="","",$A1699&amp;"|"&amp;$C1699)</f>
        <v/>
      </c>
      <c r="R1699" s="57">
        <f>IF($A1699="","",$A1699&amp;"|"&amp;$C1699&amp;"|"&amp;$D1699)</f>
        <v/>
      </c>
      <c r="S1699" s="57">
        <f>IF($A1699="","",IFERROR(INDEX(Offerte!$D$2:$D$81,MATCH($Q1699,Offerte!$L$2:$L$81,0)),0))</f>
        <v/>
      </c>
      <c r="T1699" s="57">
        <f>IF($A1699="","",IFERROR(INDEX(Offerte!$G$2:$G$81,MATCH($Q1699,Offerte!$L$2:$L$81,0)),"NO"))</f>
        <v/>
      </c>
    </row>
    <row r="1700">
      <c r="A1700" s="48">
        <f>IF(Offerte!$A56="","",Offerte!$A56)</f>
        <v/>
      </c>
      <c r="B1700" s="48">
        <f>IF(Offerte!$A56="","",Offerte!$B56)</f>
        <v/>
      </c>
      <c r="C1700" s="48">
        <f>IF(Offerte!$A56="","",Offerte!$C56)</f>
        <v/>
      </c>
      <c r="D1700" s="48" t="inlineStr">
        <is>
          <t>F.1.1</t>
        </is>
      </c>
      <c r="E1700" s="48" t="inlineStr">
        <is>
          <t>F</t>
        </is>
      </c>
      <c r="F1700" s="48" t="inlineStr">
        <is>
          <t>Q</t>
        </is>
      </c>
      <c r="G1700" s="48" t="inlineStr">
        <is>
          <t>lower</t>
        </is>
      </c>
      <c r="H1700" s="48" t="n">
        <v>7</v>
      </c>
      <c r="I1700" s="48" t="inlineStr">
        <is>
          <t>Performance ambientali del parco mezzi adibito al servizio - I_CEA</t>
        </is>
      </c>
      <c r="J1700" s="73" t="n"/>
      <c r="K1700" s="73" t="n"/>
      <c r="L1700" s="73" t="n"/>
      <c r="M1700" s="73" t="n"/>
      <c r="N1700" s="57">
        <f>IF($A1700="","",IFERROR(VALUE($J1700),0))</f>
        <v/>
      </c>
      <c r="O1700" s="57">
        <f>IF($A1700="",0,IF(OR($S1700&lt;&gt;1,COUNTA($J1700:$M1700)=0),0,IF(AND(IFERROR(AGGREGATE(15,6,$N$5:$N$2484/(($C$5:$C$2484=$C1700)*($D$5:$D$2484=$D1700)*($S$5:$S$2484=1)*($N$5:$N$2484&gt;0)),1),0)&gt;0,$N1700&gt;0),ROUND($H1700*(IFERROR(AGGREGATE(15,6,$N$5:$N$2484/(($C$5:$C$2484=$C1700)*($D$5:$D$2484=$D1700)*($S$5:$S$2484=1)*($N$5:$N$2484&gt;0)),1),0)/$N1700),4),0)))</f>
        <v/>
      </c>
      <c r="P1700" s="48" t="inlineStr">
        <is>
          <t>indice</t>
        </is>
      </c>
      <c r="Q1700" s="57">
        <f>IF($A1700="","",$A1700&amp;"|"&amp;$C1700)</f>
        <v/>
      </c>
      <c r="R1700" s="57">
        <f>IF($A1700="","",$A1700&amp;"|"&amp;$C1700&amp;"|"&amp;$D1700)</f>
        <v/>
      </c>
      <c r="S1700" s="57">
        <f>IF($A1700="","",IFERROR(INDEX(Offerte!$D$2:$D$81,MATCH($Q1700,Offerte!$L$2:$L$81,0)),0))</f>
        <v/>
      </c>
      <c r="T1700" s="57">
        <f>IF($A1700="","",IFERROR(INDEX(Offerte!$G$2:$G$81,MATCH($Q1700,Offerte!$L$2:$L$81,0)),"NO"))</f>
        <v/>
      </c>
    </row>
    <row r="1701">
      <c r="A1701" s="48">
        <f>IF(Offerte!$A56="","",Offerte!$A56)</f>
        <v/>
      </c>
      <c r="B1701" s="48">
        <f>IF(Offerte!$A56="","",Offerte!$B56)</f>
        <v/>
      </c>
      <c r="C1701" s="48">
        <f>IF(Offerte!$A56="","",Offerte!$C56)</f>
        <v/>
      </c>
      <c r="D1701" s="48" t="inlineStr">
        <is>
          <t>F.2.1</t>
        </is>
      </c>
      <c r="E1701" s="48" t="inlineStr">
        <is>
          <t>F</t>
        </is>
      </c>
      <c r="F1701" s="48" t="inlineStr">
        <is>
          <t>Q</t>
        </is>
      </c>
      <c r="G1701" s="48" t="inlineStr">
        <is>
          <t>higher</t>
        </is>
      </c>
      <c r="H1701" s="48" t="n">
        <v>2</v>
      </c>
      <c r="I1701" s="48" t="inlineStr">
        <is>
          <t>Tasso di copertura del servizio con dispositivi ECO-DRIVER</t>
        </is>
      </c>
      <c r="J1701" s="73" t="n"/>
      <c r="K1701" s="73" t="n"/>
      <c r="L1701" s="73" t="n"/>
      <c r="M1701" s="73" t="n"/>
      <c r="N1701" s="57">
        <f>IF($A1701="","",IFERROR(VALUE($K1701)/VALUE($L1701),IFERROR(VALUE($J1701),0)))</f>
        <v/>
      </c>
      <c r="O1701" s="57">
        <f>IF($A1701="",0,IF(OR($S1701&lt;&gt;1,COUNTA($J1701:$M1701)=0),0,IF(SUMPRODUCT(MAX(($C$5:$C$2484=$C1701)*($D$5:$D$2484=$D1701)*($S$5:$S$2484=1)*IFERROR($N$5:$N$2484*1,0)))&gt;0,ROUND($H1701*($N1701/SUMPRODUCT(MAX(($C$5:$C$2484=$C1701)*($D$5:$D$2484=$D1701)*($S$5:$S$2484=1)*IFERROR($N$5:$N$2484*1,0)))),4),0)))</f>
        <v/>
      </c>
      <c r="P1701" s="48" t="inlineStr">
        <is>
          <t>Autobus attrezzati con dispositivi ECO-DRIVER / Autobus totali in offerta, incluse scorte</t>
        </is>
      </c>
      <c r="Q1701" s="57">
        <f>IF($A1701="","",$A1701&amp;"|"&amp;$C1701)</f>
        <v/>
      </c>
      <c r="R1701" s="57">
        <f>IF($A1701="","",$A1701&amp;"|"&amp;$C1701&amp;"|"&amp;$D1701)</f>
        <v/>
      </c>
      <c r="S1701" s="57">
        <f>IF($A1701="","",IFERROR(INDEX(Offerte!$D$2:$D$81,MATCH($Q1701,Offerte!$L$2:$L$81,0)),0))</f>
        <v/>
      </c>
      <c r="T1701" s="57">
        <f>IF($A1701="","",IFERROR(INDEX(Offerte!$G$2:$G$81,MATCH($Q1701,Offerte!$L$2:$L$81,0)),"NO"))</f>
        <v/>
      </c>
    </row>
    <row r="1702">
      <c r="A1702" s="48">
        <f>IF(Offerte!$A56="","",Offerte!$A56)</f>
        <v/>
      </c>
      <c r="B1702" s="48">
        <f>IF(Offerte!$A56="","",Offerte!$B56)</f>
        <v/>
      </c>
      <c r="C1702" s="48">
        <f>IF(Offerte!$A56="","",Offerte!$C56)</f>
        <v/>
      </c>
      <c r="D1702" s="48" t="inlineStr">
        <is>
          <t>F.3.1</t>
        </is>
      </c>
      <c r="E1702" s="48" t="inlineStr">
        <is>
          <t>F</t>
        </is>
      </c>
      <c r="F1702" s="48" t="inlineStr">
        <is>
          <t>Q</t>
        </is>
      </c>
      <c r="G1702" s="48" t="inlineStr">
        <is>
          <t>higher</t>
        </is>
      </c>
      <c r="H1702" s="48" t="n">
        <v>2</v>
      </c>
      <c r="I1702" s="48" t="inlineStr">
        <is>
          <t>Autoproduzione consumi elettrici per trazione</t>
        </is>
      </c>
      <c r="J1702" s="73" t="n"/>
      <c r="K1702" s="73" t="n"/>
      <c r="L1702" s="73" t="n"/>
      <c r="M1702" s="73" t="n"/>
      <c r="N1702" s="57">
        <f>IF($A1702="","",IFERROR(VALUE($J1702),0))</f>
        <v/>
      </c>
      <c r="O1702" s="57">
        <f>IF($A1702="",0,IF(OR($S1702&lt;&gt;1,COUNTA($J1702:$M1702)=0),0,IF(SUMPRODUCT(MAX(($C$5:$C$2484=$C1702)*($D$5:$D$2484=$D1702)*($S$5:$S$2484=1)*IFERROR($N$5:$N$2484*1,0)))&gt;0,ROUND($H1702*($N1702/SUMPRODUCT(MAX(($C$5:$C$2484=$C1702)*($D$5:$D$2484=$D1702)*($S$5:$S$2484=1)*IFERROR($N$5:$N$2484*1,0)))),4),0)))</f>
        <v/>
      </c>
      <c r="P1702" s="48" t="inlineStr">
        <is>
          <t>kWh/anno</t>
        </is>
      </c>
      <c r="Q1702" s="57">
        <f>IF($A1702="","",$A1702&amp;"|"&amp;$C1702)</f>
        <v/>
      </c>
      <c r="R1702" s="57">
        <f>IF($A1702="","",$A1702&amp;"|"&amp;$C1702&amp;"|"&amp;$D1702)</f>
        <v/>
      </c>
      <c r="S1702" s="57">
        <f>IF($A1702="","",IFERROR(INDEX(Offerte!$D$2:$D$81,MATCH($Q1702,Offerte!$L$2:$L$81,0)),0))</f>
        <v/>
      </c>
      <c r="T1702" s="57">
        <f>IF($A1702="","",IFERROR(INDEX(Offerte!$G$2:$G$81,MATCH($Q1702,Offerte!$L$2:$L$81,0)),"NO"))</f>
        <v/>
      </c>
    </row>
    <row r="1703">
      <c r="A1703" s="48">
        <f>IF(Offerte!$A56="","",Offerte!$A56)</f>
        <v/>
      </c>
      <c r="B1703" s="48">
        <f>IF(Offerte!$A56="","",Offerte!$B56)</f>
        <v/>
      </c>
      <c r="C1703" s="48">
        <f>IF(Offerte!$A56="","",Offerte!$C56)</f>
        <v/>
      </c>
      <c r="D1703" s="48" t="inlineStr">
        <is>
          <t>F.4.1</t>
        </is>
      </c>
      <c r="E1703" s="48" t="inlineStr">
        <is>
          <t>F</t>
        </is>
      </c>
      <c r="F1703" s="48" t="inlineStr">
        <is>
          <t>Q</t>
        </is>
      </c>
      <c r="G1703" s="48" t="inlineStr">
        <is>
          <t>soil</t>
        </is>
      </c>
      <c r="H1703" s="48" t="n">
        <v>2</v>
      </c>
      <c r="I1703" s="48" t="inlineStr">
        <is>
          <t>Indice di consumo di suolo</t>
        </is>
      </c>
      <c r="J1703" s="73" t="n"/>
      <c r="K1703" s="73" t="n"/>
      <c r="L1703" s="73" t="n"/>
      <c r="M1703" s="73" t="n"/>
      <c r="N1703" s="57">
        <f>IF($A1703="","",IFERROR(VALUE($J1703),0))</f>
        <v/>
      </c>
      <c r="O1703" s="57">
        <f>IF($A1703="",0,IF(OR($S1703&lt;&gt;1,COUNTA($J1703:$M1703)=0),0,IF($N1703&lt;=0,$H1703,IF(SUMPRODUCT(MAX(($C$5:$C$2484=$C1703)*($D$5:$D$2484=$D1703)*($S$5:$S$2484=1)*IFERROR($N$5:$N$2484*1,0)))&gt;0,ROUND($H1703*((SUMPRODUCT(MAX(($C$5:$C$2484=$C1703)*($D$5:$D$2484=$D1703)*($S$5:$S$2484=1)*IFERROR($N$5:$N$2484*1,0)))-$N1703)/SUMPRODUCT(MAX(($C$5:$C$2484=$C1703)*($D$5:$D$2484=$D1703)*($S$5:$S$2484=1)*IFERROR($N$5:$N$2484*1,0)))),4),0))))</f>
        <v/>
      </c>
      <c r="P1703" s="48" t="inlineStr">
        <is>
          <t>m2</t>
        </is>
      </c>
      <c r="Q1703" s="57">
        <f>IF($A1703="","",$A1703&amp;"|"&amp;$C1703)</f>
        <v/>
      </c>
      <c r="R1703" s="57">
        <f>IF($A1703="","",$A1703&amp;"|"&amp;$C1703&amp;"|"&amp;$D1703)</f>
        <v/>
      </c>
      <c r="S1703" s="57">
        <f>IF($A1703="","",IFERROR(INDEX(Offerte!$D$2:$D$81,MATCH($Q1703,Offerte!$L$2:$L$81,0)),0))</f>
        <v/>
      </c>
      <c r="T1703" s="57">
        <f>IF($A1703="","",IFERROR(INDEX(Offerte!$G$2:$G$81,MATCH($Q1703,Offerte!$L$2:$L$81,0)),"NO"))</f>
        <v/>
      </c>
    </row>
    <row r="1704">
      <c r="A1704" s="48">
        <f>IF(Offerte!$A56="","",Offerte!$A56)</f>
        <v/>
      </c>
      <c r="B1704" s="48">
        <f>IF(Offerte!$A56="","",Offerte!$B56)</f>
        <v/>
      </c>
      <c r="C1704" s="48">
        <f>IF(Offerte!$A56="","",Offerte!$C56)</f>
        <v/>
      </c>
      <c r="D1704" s="48" t="inlineStr">
        <is>
          <t>F.5.1</t>
        </is>
      </c>
      <c r="E1704" s="48" t="inlineStr">
        <is>
          <t>F</t>
        </is>
      </c>
      <c r="F1704" s="48" t="inlineStr">
        <is>
          <t>T</t>
        </is>
      </c>
      <c r="G1704" s="48" t="inlineStr">
        <is>
          <t>tabular</t>
        </is>
      </c>
      <c r="H1704" s="48" t="n">
        <v>1</v>
      </c>
      <c r="I1704" s="48" t="inlineStr">
        <is>
          <t>Rendicontazione di sostenibilità ambientale</t>
        </is>
      </c>
      <c r="J1704" s="73" t="n"/>
      <c r="K1704" s="73" t="n"/>
      <c r="L1704" s="73" t="n"/>
      <c r="M1704" s="73" t="n"/>
      <c r="N1704" s="57">
        <f>IF($A1704="","",IF(IFERROR(VALUE($M1704),0)=1,1,0))</f>
        <v/>
      </c>
      <c r="O1704" s="57">
        <f>IF($A1704="",0,IF(OR($S1704&lt;&gt;1,COUNTA($J1704:$M1704)=0),0,IF($N1704=1,$H1704,0)))</f>
        <v/>
      </c>
      <c r="P1704" s="48" t="inlineStr">
        <is>
          <t>sì/no</t>
        </is>
      </c>
      <c r="Q1704" s="57">
        <f>IF($A1704="","",$A1704&amp;"|"&amp;$C1704)</f>
        <v/>
      </c>
      <c r="R1704" s="57">
        <f>IF($A1704="","",$A1704&amp;"|"&amp;$C1704&amp;"|"&amp;$D1704)</f>
        <v/>
      </c>
      <c r="S1704" s="57">
        <f>IF($A1704="","",IFERROR(INDEX(Offerte!$D$2:$D$81,MATCH($Q1704,Offerte!$L$2:$L$81,0)),0))</f>
        <v/>
      </c>
      <c r="T1704" s="57">
        <f>IF($A1704="","",IFERROR(INDEX(Offerte!$G$2:$G$81,MATCH($Q1704,Offerte!$L$2:$L$81,0)),"NO"))</f>
        <v/>
      </c>
    </row>
    <row r="1705">
      <c r="A1705" s="48">
        <f>IF(Offerte!$A56="","",Offerte!$A56)</f>
        <v/>
      </c>
      <c r="B1705" s="48">
        <f>IF(Offerte!$A56="","",Offerte!$B56)</f>
        <v/>
      </c>
      <c r="C1705" s="48">
        <f>IF(Offerte!$A56="","",Offerte!$C56)</f>
        <v/>
      </c>
      <c r="D1705" s="48" t="inlineStr">
        <is>
          <t>G.1.1</t>
        </is>
      </c>
      <c r="E1705" s="48" t="inlineStr">
        <is>
          <t>G</t>
        </is>
      </c>
      <c r="F1705" s="48" t="inlineStr">
        <is>
          <t>D</t>
        </is>
      </c>
      <c r="G1705" s="48" t="inlineStr">
        <is>
          <t>discretionary</t>
        </is>
      </c>
      <c r="H1705" s="48" t="n">
        <v>2</v>
      </c>
      <c r="I1705" s="48" t="inlineStr">
        <is>
          <t>Qualità del progetto di centrale di controllo aziendale</t>
        </is>
      </c>
      <c r="J1705" s="73" t="n"/>
      <c r="K1705" s="73" t="n"/>
      <c r="L1705" s="73" t="n"/>
      <c r="M1705" s="73" t="n"/>
      <c r="N1705" s="57">
        <f>IF($A1705="","",MAX(0,MIN(1,IFERROR(VALUE($M1705),0))))</f>
        <v/>
      </c>
      <c r="O1705" s="57">
        <f>IF($A1705="",0,IF(OR($S1705&lt;&gt;1,COUNTA($J1705:$M1705)=0),0,IF(SUMPRODUCT(MAX(($C$5:$C$2484=$C1705)*($D$5:$D$2484=$D1705)*($S$5:$S$2484=1)*IFERROR($N$5:$N$2484*1,0)))&gt;0,ROUND($H1705*($N1705/SUMPRODUCT(MAX(($C$5:$C$2484=$C1705)*($D$5:$D$2484=$D1705)*($S$5:$S$2484=1)*IFERROR($N$5:$N$2484*1,0)))),4),0)))</f>
        <v/>
      </c>
      <c r="P1705" s="48" t="inlineStr">
        <is>
          <t>coeff.</t>
        </is>
      </c>
      <c r="Q1705" s="57">
        <f>IF($A1705="","",$A1705&amp;"|"&amp;$C1705)</f>
        <v/>
      </c>
      <c r="R1705" s="57">
        <f>IF($A1705="","",$A1705&amp;"|"&amp;$C1705&amp;"|"&amp;$D1705)</f>
        <v/>
      </c>
      <c r="S1705" s="57">
        <f>IF($A1705="","",IFERROR(INDEX(Offerte!$D$2:$D$81,MATCH($Q1705,Offerte!$L$2:$L$81,0)),0))</f>
        <v/>
      </c>
      <c r="T1705" s="57">
        <f>IF($A1705="","",IFERROR(INDEX(Offerte!$G$2:$G$81,MATCH($Q1705,Offerte!$L$2:$L$81,0)),"NO"))</f>
        <v/>
      </c>
    </row>
    <row r="1706">
      <c r="A1706" s="48">
        <f>IF(Offerte!$A56="","",Offerte!$A56)</f>
        <v/>
      </c>
      <c r="B1706" s="48">
        <f>IF(Offerte!$A56="","",Offerte!$B56)</f>
        <v/>
      </c>
      <c r="C1706" s="48">
        <f>IF(Offerte!$A56="","",Offerte!$C56)</f>
        <v/>
      </c>
      <c r="D1706" s="48" t="inlineStr">
        <is>
          <t>G.2.1</t>
        </is>
      </c>
      <c r="E1706" s="48" t="inlineStr">
        <is>
          <t>G</t>
        </is>
      </c>
      <c r="F1706" s="48" t="inlineStr">
        <is>
          <t>T</t>
        </is>
      </c>
      <c r="G1706" s="48" t="inlineStr">
        <is>
          <t>tabular</t>
        </is>
      </c>
      <c r="H1706" s="48" t="n">
        <v>1</v>
      </c>
      <c r="I1706" s="48" t="inlineStr">
        <is>
          <t>Certificazione ISO 45001</t>
        </is>
      </c>
      <c r="J1706" s="73" t="n"/>
      <c r="K1706" s="73" t="n"/>
      <c r="L1706" s="73" t="n"/>
      <c r="M1706" s="73" t="n"/>
      <c r="N1706" s="57">
        <f>IF($A1706="","",IF(IFERROR(VALUE($M1706),0)=1,1,0))</f>
        <v/>
      </c>
      <c r="O1706" s="57">
        <f>IF($A1706="",0,IF(OR($S1706&lt;&gt;1,COUNTA($J1706:$M1706)=0),0,IF($N1706=1,$H1706,0)))</f>
        <v/>
      </c>
      <c r="P1706" s="48" t="inlineStr">
        <is>
          <t>sì/no</t>
        </is>
      </c>
      <c r="Q1706" s="57">
        <f>IF($A1706="","",$A1706&amp;"|"&amp;$C1706)</f>
        <v/>
      </c>
      <c r="R1706" s="57">
        <f>IF($A1706="","",$A1706&amp;"|"&amp;$C1706&amp;"|"&amp;$D1706)</f>
        <v/>
      </c>
      <c r="S1706" s="57">
        <f>IF($A1706="","",IFERROR(INDEX(Offerte!$D$2:$D$81,MATCH($Q1706,Offerte!$L$2:$L$81,0)),0))</f>
        <v/>
      </c>
      <c r="T1706" s="57">
        <f>IF($A1706="","",IFERROR(INDEX(Offerte!$G$2:$G$81,MATCH($Q1706,Offerte!$L$2:$L$81,0)),"NO"))</f>
        <v/>
      </c>
    </row>
    <row r="1707">
      <c r="A1707" s="48">
        <f>IF(Offerte!$A56="","",Offerte!$A56)</f>
        <v/>
      </c>
      <c r="B1707" s="48">
        <f>IF(Offerte!$A56="","",Offerte!$B56)</f>
        <v/>
      </c>
      <c r="C1707" s="48">
        <f>IF(Offerte!$A56="","",Offerte!$C56)</f>
        <v/>
      </c>
      <c r="D1707" s="48" t="inlineStr">
        <is>
          <t>G.3.1</t>
        </is>
      </c>
      <c r="E1707" s="48" t="inlineStr">
        <is>
          <t>G</t>
        </is>
      </c>
      <c r="F1707" s="48" t="inlineStr">
        <is>
          <t>T</t>
        </is>
      </c>
      <c r="G1707" s="48" t="inlineStr">
        <is>
          <t>tabular</t>
        </is>
      </c>
      <c r="H1707" s="48" t="n">
        <v>1</v>
      </c>
      <c r="I1707" s="48" t="inlineStr">
        <is>
          <t>Certificazioni di responsabilità sociale</t>
        </is>
      </c>
      <c r="J1707" s="73" t="n"/>
      <c r="K1707" s="73" t="n"/>
      <c r="L1707" s="73" t="n"/>
      <c r="M1707" s="73" t="n"/>
      <c r="N1707" s="57">
        <f>IF($A1707="","",IF(IFERROR(VALUE($M1707),0)=1,1,0))</f>
        <v/>
      </c>
      <c r="O1707" s="57">
        <f>IF($A1707="",0,IF(OR($S1707&lt;&gt;1,COUNTA($J1707:$M1707)=0),0,IF($N1707=1,$H1707,0)))</f>
        <v/>
      </c>
      <c r="P1707" s="48" t="inlineStr">
        <is>
          <t>sì/no</t>
        </is>
      </c>
      <c r="Q1707" s="57">
        <f>IF($A1707="","",$A1707&amp;"|"&amp;$C1707)</f>
        <v/>
      </c>
      <c r="R1707" s="57">
        <f>IF($A1707="","",$A1707&amp;"|"&amp;$C1707&amp;"|"&amp;$D1707)</f>
        <v/>
      </c>
      <c r="S1707" s="57">
        <f>IF($A1707="","",IFERROR(INDEX(Offerte!$D$2:$D$81,MATCH($Q1707,Offerte!$L$2:$L$81,0)),0))</f>
        <v/>
      </c>
      <c r="T1707" s="57">
        <f>IF($A1707="","",IFERROR(INDEX(Offerte!$G$2:$G$81,MATCH($Q1707,Offerte!$L$2:$L$81,0)),"NO"))</f>
        <v/>
      </c>
    </row>
    <row r="1708">
      <c r="A1708" s="48">
        <f>IF(Offerte!$A56="","",Offerte!$A56)</f>
        <v/>
      </c>
      <c r="B1708" s="48">
        <f>IF(Offerte!$A56="","",Offerte!$B56)</f>
        <v/>
      </c>
      <c r="C1708" s="48">
        <f>IF(Offerte!$A56="","",Offerte!$C56)</f>
        <v/>
      </c>
      <c r="D1708" s="48" t="inlineStr">
        <is>
          <t>G.4.1</t>
        </is>
      </c>
      <c r="E1708" s="48" t="inlineStr">
        <is>
          <t>G</t>
        </is>
      </c>
      <c r="F1708" s="48" t="inlineStr">
        <is>
          <t>D</t>
        </is>
      </c>
      <c r="G1708" s="48" t="inlineStr">
        <is>
          <t>discretionary</t>
        </is>
      </c>
      <c r="H1708" s="48" t="n">
        <v>2</v>
      </c>
      <c r="I1708" s="48" t="inlineStr">
        <is>
          <t>Qualità del piano di formazione del personale</t>
        </is>
      </c>
      <c r="J1708" s="73" t="n"/>
      <c r="K1708" s="73" t="n"/>
      <c r="L1708" s="73" t="n"/>
      <c r="M1708" s="73" t="n"/>
      <c r="N1708" s="57">
        <f>IF($A1708="","",MAX(0,MIN(1,IFERROR(VALUE($M1708),0))))</f>
        <v/>
      </c>
      <c r="O1708" s="57">
        <f>IF($A1708="",0,IF(OR($S1708&lt;&gt;1,COUNTA($J1708:$M1708)=0),0,IF(SUMPRODUCT(MAX(($C$5:$C$2484=$C1708)*($D$5:$D$2484=$D1708)*($S$5:$S$2484=1)*IFERROR($N$5:$N$2484*1,0)))&gt;0,ROUND($H1708*($N1708/SUMPRODUCT(MAX(($C$5:$C$2484=$C1708)*($D$5:$D$2484=$D1708)*($S$5:$S$2484=1)*IFERROR($N$5:$N$2484*1,0)))),4),0)))</f>
        <v/>
      </c>
      <c r="P1708" s="48" t="inlineStr">
        <is>
          <t>coeff.</t>
        </is>
      </c>
      <c r="Q1708" s="57">
        <f>IF($A1708="","",$A1708&amp;"|"&amp;$C1708)</f>
        <v/>
      </c>
      <c r="R1708" s="57">
        <f>IF($A1708="","",$A1708&amp;"|"&amp;$C1708&amp;"|"&amp;$D1708)</f>
        <v/>
      </c>
      <c r="S1708" s="57">
        <f>IF($A1708="","",IFERROR(INDEX(Offerte!$D$2:$D$81,MATCH($Q1708,Offerte!$L$2:$L$81,0)),0))</f>
        <v/>
      </c>
      <c r="T1708" s="57">
        <f>IF($A1708="","",IFERROR(INDEX(Offerte!$G$2:$G$81,MATCH($Q1708,Offerte!$L$2:$L$81,0)),"NO"))</f>
        <v/>
      </c>
    </row>
    <row r="1709">
      <c r="A1709" s="48">
        <f>IF(Offerte!$A56="","",Offerte!$A56)</f>
        <v/>
      </c>
      <c r="B1709" s="48">
        <f>IF(Offerte!$A56="","",Offerte!$B56)</f>
        <v/>
      </c>
      <c r="C1709" s="48">
        <f>IF(Offerte!$A56="","",Offerte!$C56)</f>
        <v/>
      </c>
      <c r="D1709" s="48" t="inlineStr">
        <is>
          <t>G.5.1</t>
        </is>
      </c>
      <c r="E1709" s="48" t="inlineStr">
        <is>
          <t>G</t>
        </is>
      </c>
      <c r="F1709" s="48" t="inlineStr">
        <is>
          <t>T</t>
        </is>
      </c>
      <c r="G1709" s="48" t="inlineStr">
        <is>
          <t>tabular</t>
        </is>
      </c>
      <c r="H1709" s="48" t="n">
        <v>1</v>
      </c>
      <c r="I1709" s="48" t="inlineStr">
        <is>
          <t>Impegno al mantenimento delle garanzie del contratto di secondo livello del gestore uscente</t>
        </is>
      </c>
      <c r="J1709" s="73" t="n"/>
      <c r="K1709" s="73" t="n"/>
      <c r="L1709" s="73" t="n"/>
      <c r="M1709" s="73" t="n"/>
      <c r="N1709" s="57">
        <f>IF($A1709="","",IF(IFERROR(VALUE($M1709),0)=1,1,0))</f>
        <v/>
      </c>
      <c r="O1709" s="57">
        <f>IF($A1709="",0,IF(OR($S1709&lt;&gt;1,COUNTA($J1709:$M1709)=0),0,IF($N1709=1,$H1709,0)))</f>
        <v/>
      </c>
      <c r="P1709" s="48" t="inlineStr">
        <is>
          <t>sì/no</t>
        </is>
      </c>
      <c r="Q1709" s="57">
        <f>IF($A1709="","",$A1709&amp;"|"&amp;$C1709)</f>
        <v/>
      </c>
      <c r="R1709" s="57">
        <f>IF($A1709="","",$A1709&amp;"|"&amp;$C1709&amp;"|"&amp;$D1709)</f>
        <v/>
      </c>
      <c r="S1709" s="57">
        <f>IF($A1709="","",IFERROR(INDEX(Offerte!$D$2:$D$81,MATCH($Q1709,Offerte!$L$2:$L$81,0)),0))</f>
        <v/>
      </c>
      <c r="T1709" s="57">
        <f>IF($A1709="","",IFERROR(INDEX(Offerte!$G$2:$G$81,MATCH($Q1709,Offerte!$L$2:$L$81,0)),"NO"))</f>
        <v/>
      </c>
    </row>
    <row r="1710">
      <c r="A1710" s="48">
        <f>IF(Offerte!$A57="","",Offerte!$A57)</f>
        <v/>
      </c>
      <c r="B1710" s="48">
        <f>IF(Offerte!$A57="","",Offerte!$B57)</f>
        <v/>
      </c>
      <c r="C1710" s="48">
        <f>IF(Offerte!$A57="","",Offerte!$C57)</f>
        <v/>
      </c>
      <c r="D1710" s="48" t="inlineStr">
        <is>
          <t>A.1.1</t>
        </is>
      </c>
      <c r="E1710" s="48" t="inlineStr">
        <is>
          <t>A</t>
        </is>
      </c>
      <c r="F1710" s="48" t="inlineStr">
        <is>
          <t>Q</t>
        </is>
      </c>
      <c r="G1710" s="48" t="inlineStr">
        <is>
          <t>higher</t>
        </is>
      </c>
      <c r="H1710" s="48" t="n">
        <v>3</v>
      </c>
      <c r="I1710" s="48" t="inlineStr">
        <is>
          <t>Tasso aggiuntivo di corse controllate</t>
        </is>
      </c>
      <c r="J1710" s="73" t="n"/>
      <c r="K1710" s="73" t="n"/>
      <c r="L1710" s="73" t="n"/>
      <c r="M1710" s="73" t="n"/>
      <c r="N1710" s="57">
        <f>IF($A1710="","",IFERROR(VALUE($K1710)/VALUE($L1710)*100,IFERROR(VALUE($J1710),0)))</f>
        <v/>
      </c>
      <c r="O1710" s="57">
        <f>IF($A1710="",0,IF(OR($S1710&lt;&gt;1,COUNTA($J1710:$M1710)=0),0,IF(SUMPRODUCT(MAX(($C$5:$C$2484=$C1710)*($D$5:$D$2484=$D1710)*($S$5:$S$2484=1)*IFERROR($N$5:$N$2484*1,0)))&gt;0,ROUND($H1710*($N1710/SUMPRODUCT(MAX(($C$5:$C$2484=$C1710)*($D$5:$D$2484=$D1710)*($S$5:$S$2484=1)*IFERROR($N$5:$N$2484*1,0)))),4),0)))</f>
        <v/>
      </c>
      <c r="P1710" s="48" t="inlineStr">
        <is>
          <t>Corse controllate annue / Corse programmate annue</t>
        </is>
      </c>
      <c r="Q1710" s="57">
        <f>IF($A1710="","",$A1710&amp;"|"&amp;$C1710)</f>
        <v/>
      </c>
      <c r="R1710" s="57">
        <f>IF($A1710="","",$A1710&amp;"|"&amp;$C1710&amp;"|"&amp;$D1710)</f>
        <v/>
      </c>
      <c r="S1710" s="57">
        <f>IF($A1710="","",IFERROR(INDEX(Offerte!$D$2:$D$81,MATCH($Q1710,Offerte!$L$2:$L$81,0)),0))</f>
        <v/>
      </c>
      <c r="T1710" s="57">
        <f>IF($A1710="","",IFERROR(INDEX(Offerte!$G$2:$G$81,MATCH($Q1710,Offerte!$L$2:$L$81,0)),"NO"))</f>
        <v/>
      </c>
    </row>
    <row r="1711">
      <c r="A1711" s="48">
        <f>IF(Offerte!$A57="","",Offerte!$A57)</f>
        <v/>
      </c>
      <c r="B1711" s="48">
        <f>IF(Offerte!$A57="","",Offerte!$B57)</f>
        <v/>
      </c>
      <c r="C1711" s="48">
        <f>IF(Offerte!$A57="","",Offerte!$C57)</f>
        <v/>
      </c>
      <c r="D1711" s="48" t="inlineStr">
        <is>
          <t>A.1.2</t>
        </is>
      </c>
      <c r="E1711" s="48" t="inlineStr">
        <is>
          <t>A</t>
        </is>
      </c>
      <c r="F1711" s="48" t="inlineStr">
        <is>
          <t>Q</t>
        </is>
      </c>
      <c r="G1711" s="48" t="inlineStr">
        <is>
          <t>higher</t>
        </is>
      </c>
      <c r="H1711" s="48" t="n">
        <v>4</v>
      </c>
      <c r="I1711" s="48" t="inlineStr">
        <is>
          <t>Numero aggiuntivo di passeggeri controllati</t>
        </is>
      </c>
      <c r="J1711" s="73" t="n"/>
      <c r="K1711" s="73" t="n"/>
      <c r="L1711" s="73" t="n"/>
      <c r="M1711" s="73" t="n"/>
      <c r="N1711" s="57">
        <f>IF($A1711="","",IFERROR(VALUE($J1711),0))</f>
        <v/>
      </c>
      <c r="O1711" s="57">
        <f>IF($A1711="",0,IF(OR($S1711&lt;&gt;1,COUNTA($J1711:$M1711)=0),0,IF(SUMPRODUCT(MAX(($C$5:$C$2484=$C1711)*($D$5:$D$2484=$D1711)*($S$5:$S$2484=1)*IFERROR($N$5:$N$2484*1,0)))&gt;0,ROUND($H1711*($N1711/SUMPRODUCT(MAX(($C$5:$C$2484=$C1711)*($D$5:$D$2484=$D1711)*($S$5:$S$2484=1)*IFERROR($N$5:$N$2484*1,0)))),4),0)))</f>
        <v/>
      </c>
      <c r="P1711" s="48" t="inlineStr">
        <is>
          <t>passeggeri/anno</t>
        </is>
      </c>
      <c r="Q1711" s="57">
        <f>IF($A1711="","",$A1711&amp;"|"&amp;$C1711)</f>
        <v/>
      </c>
      <c r="R1711" s="57">
        <f>IF($A1711="","",$A1711&amp;"|"&amp;$C1711&amp;"|"&amp;$D1711)</f>
        <v/>
      </c>
      <c r="S1711" s="57">
        <f>IF($A1711="","",IFERROR(INDEX(Offerte!$D$2:$D$81,MATCH($Q1711,Offerte!$L$2:$L$81,0)),0))</f>
        <v/>
      </c>
      <c r="T1711" s="57">
        <f>IF($A1711="","",IFERROR(INDEX(Offerte!$G$2:$G$81,MATCH($Q1711,Offerte!$L$2:$L$81,0)),"NO"))</f>
        <v/>
      </c>
    </row>
    <row r="1712">
      <c r="A1712" s="48">
        <f>IF(Offerte!$A57="","",Offerte!$A57)</f>
        <v/>
      </c>
      <c r="B1712" s="48">
        <f>IF(Offerte!$A57="","",Offerte!$B57)</f>
        <v/>
      </c>
      <c r="C1712" s="48">
        <f>IF(Offerte!$A57="","",Offerte!$C57)</f>
        <v/>
      </c>
      <c r="D1712" s="48" t="inlineStr">
        <is>
          <t>B.1.1</t>
        </is>
      </c>
      <c r="E1712" s="48" t="inlineStr">
        <is>
          <t>B</t>
        </is>
      </c>
      <c r="F1712" s="48" t="inlineStr">
        <is>
          <t>Q</t>
        </is>
      </c>
      <c r="G1712" s="48" t="inlineStr">
        <is>
          <t>higher</t>
        </is>
      </c>
      <c r="H1712" s="48" t="n">
        <v>3</v>
      </c>
      <c r="I1712" s="48" t="inlineStr">
        <is>
          <t>Incremento dei posti offerti nelle fasce di punta</t>
        </is>
      </c>
      <c r="J1712" s="73" t="n"/>
      <c r="K1712" s="73" t="n"/>
      <c r="L1712" s="73" t="n"/>
      <c r="M1712" s="73" t="n"/>
      <c r="N1712" s="57">
        <f>IF($A1712="","",IFERROR(VALUE($J1712),0))</f>
        <v/>
      </c>
      <c r="O1712" s="57">
        <f>IF($A1712="",0,IF(OR($S1712&lt;&gt;1,COUNTA($J1712:$M1712)=0),0,IF(SUMPRODUCT(MAX(($C$5:$C$2484=$C1712)*($D$5:$D$2484=$D1712)*($S$5:$S$2484=1)*IFERROR($N$5:$N$2484*1,0)))&gt;0,ROUND($H1712*($N1712/SUMPRODUCT(MAX(($C$5:$C$2484=$C1712)*($D$5:$D$2484=$D1712)*($S$5:$S$2484=1)*IFERROR($N$5:$N$2484*1,0)))),4),0)))</f>
        <v/>
      </c>
      <c r="P1712" s="48" t="inlineStr">
        <is>
          <t>posti*km</t>
        </is>
      </c>
      <c r="Q1712" s="57">
        <f>IF($A1712="","",$A1712&amp;"|"&amp;$C1712)</f>
        <v/>
      </c>
      <c r="R1712" s="57">
        <f>IF($A1712="","",$A1712&amp;"|"&amp;$C1712&amp;"|"&amp;$D1712)</f>
        <v/>
      </c>
      <c r="S1712" s="57">
        <f>IF($A1712="","",IFERROR(INDEX(Offerte!$D$2:$D$81,MATCH($Q1712,Offerte!$L$2:$L$81,0)),0))</f>
        <v/>
      </c>
      <c r="T1712" s="57">
        <f>IF($A1712="","",IFERROR(INDEX(Offerte!$G$2:$G$81,MATCH($Q1712,Offerte!$L$2:$L$81,0)),"NO"))</f>
        <v/>
      </c>
    </row>
    <row r="1713">
      <c r="A1713" s="48">
        <f>IF(Offerte!$A57="","",Offerte!$A57)</f>
        <v/>
      </c>
      <c r="B1713" s="48">
        <f>IF(Offerte!$A57="","",Offerte!$B57)</f>
        <v/>
      </c>
      <c r="C1713" s="48">
        <f>IF(Offerte!$A57="","",Offerte!$C57)</f>
        <v/>
      </c>
      <c r="D1713" s="48" t="inlineStr">
        <is>
          <t>B.2.1</t>
        </is>
      </c>
      <c r="E1713" s="48" t="inlineStr">
        <is>
          <t>B</t>
        </is>
      </c>
      <c r="F1713" s="48" t="inlineStr">
        <is>
          <t>Q</t>
        </is>
      </c>
      <c r="G1713" s="48" t="inlineStr">
        <is>
          <t>higher</t>
        </is>
      </c>
      <c r="H1713" s="48" t="n">
        <v>4</v>
      </c>
      <c r="I1713" s="48" t="inlineStr">
        <is>
          <t>Corse aggiuntive nell'arco giornaliero base</t>
        </is>
      </c>
      <c r="J1713" s="73" t="n"/>
      <c r="K1713" s="73" t="n"/>
      <c r="L1713" s="73" t="n"/>
      <c r="M1713" s="73" t="n"/>
      <c r="N1713" s="57">
        <f>IF($A1713="","",IFERROR(VALUE($J1713),0))</f>
        <v/>
      </c>
      <c r="O1713" s="57">
        <f>IF($A1713="",0,IF(OR($S1713&lt;&gt;1,COUNTA($J1713:$M1713)=0),0,IF(SUMPRODUCT(MAX(($C$5:$C$2484=$C1713)*($D$5:$D$2484=$D1713)*($S$5:$S$2484=1)*IFERROR($N$5:$N$2484*1,0)))&gt;0,ROUND($H1713*($N1713/SUMPRODUCT(MAX(($C$5:$C$2484=$C1713)*($D$5:$D$2484=$D1713)*($S$5:$S$2484=1)*IFERROR($N$5:$N$2484*1,0)))),4),0)))</f>
        <v/>
      </c>
      <c r="P1713" s="48" t="inlineStr">
        <is>
          <t>corse</t>
        </is>
      </c>
      <c r="Q1713" s="57">
        <f>IF($A1713="","",$A1713&amp;"|"&amp;$C1713)</f>
        <v/>
      </c>
      <c r="R1713" s="57">
        <f>IF($A1713="","",$A1713&amp;"|"&amp;$C1713&amp;"|"&amp;$D1713)</f>
        <v/>
      </c>
      <c r="S1713" s="57">
        <f>IF($A1713="","",IFERROR(INDEX(Offerte!$D$2:$D$81,MATCH($Q1713,Offerte!$L$2:$L$81,0)),0))</f>
        <v/>
      </c>
      <c r="T1713" s="57">
        <f>IF($A1713="","",IFERROR(INDEX(Offerte!$G$2:$G$81,MATCH($Q1713,Offerte!$L$2:$L$81,0)),"NO"))</f>
        <v/>
      </c>
    </row>
    <row r="1714">
      <c r="A1714" s="48">
        <f>IF(Offerte!$A57="","",Offerte!$A57)</f>
        <v/>
      </c>
      <c r="B1714" s="48">
        <f>IF(Offerte!$A57="","",Offerte!$B57)</f>
        <v/>
      </c>
      <c r="C1714" s="48">
        <f>IF(Offerte!$A57="","",Offerte!$C57)</f>
        <v/>
      </c>
      <c r="D1714" s="48" t="inlineStr">
        <is>
          <t>B.3.1</t>
        </is>
      </c>
      <c r="E1714" s="48" t="inlineStr">
        <is>
          <t>B</t>
        </is>
      </c>
      <c r="F1714" s="48" t="inlineStr">
        <is>
          <t>Q</t>
        </is>
      </c>
      <c r="G1714" s="48" t="inlineStr">
        <is>
          <t>higher</t>
        </is>
      </c>
      <c r="H1714" s="48" t="n">
        <v>2</v>
      </c>
      <c r="I1714" s="48" t="inlineStr">
        <is>
          <t>Numero di corse aggiuntive per allungamento dell'arco di servizio giornaliero nelle fasce serali</t>
        </is>
      </c>
      <c r="J1714" s="73" t="n"/>
      <c r="K1714" s="73" t="n"/>
      <c r="L1714" s="73" t="n"/>
      <c r="M1714" s="73" t="n"/>
      <c r="N1714" s="57">
        <f>IF($A1714="","",IFERROR(VALUE($J1714),0))</f>
        <v/>
      </c>
      <c r="O1714" s="57">
        <f>IF($A1714="",0,IF(OR($S1714&lt;&gt;1,COUNTA($J1714:$M1714)=0),0,IF(SUMPRODUCT(MAX(($C$5:$C$2484=$C1714)*($D$5:$D$2484=$D1714)*($S$5:$S$2484=1)*IFERROR($N$5:$N$2484*1,0)))&gt;0,ROUND($H1714*($N1714/SUMPRODUCT(MAX(($C$5:$C$2484=$C1714)*($D$5:$D$2484=$D1714)*($S$5:$S$2484=1)*IFERROR($N$5:$N$2484*1,0)))),4),0)))</f>
        <v/>
      </c>
      <c r="P1714" s="48" t="inlineStr">
        <is>
          <t>corse</t>
        </is>
      </c>
      <c r="Q1714" s="57">
        <f>IF($A1714="","",$A1714&amp;"|"&amp;$C1714)</f>
        <v/>
      </c>
      <c r="R1714" s="57">
        <f>IF($A1714="","",$A1714&amp;"|"&amp;$C1714&amp;"|"&amp;$D1714)</f>
        <v/>
      </c>
      <c r="S1714" s="57">
        <f>IF($A1714="","",IFERROR(INDEX(Offerte!$D$2:$D$81,MATCH($Q1714,Offerte!$L$2:$L$81,0)),0))</f>
        <v/>
      </c>
      <c r="T1714" s="57">
        <f>IF($A1714="","",IFERROR(INDEX(Offerte!$G$2:$G$81,MATCH($Q1714,Offerte!$L$2:$L$81,0)),"NO"))</f>
        <v/>
      </c>
    </row>
    <row r="1715">
      <c r="A1715" s="48">
        <f>IF(Offerte!$A57="","",Offerte!$A57)</f>
        <v/>
      </c>
      <c r="B1715" s="48">
        <f>IF(Offerte!$A57="","",Offerte!$B57)</f>
        <v/>
      </c>
      <c r="C1715" s="48">
        <f>IF(Offerte!$A57="","",Offerte!$C57)</f>
        <v/>
      </c>
      <c r="D1715" s="48" t="inlineStr">
        <is>
          <t>B.4.1</t>
        </is>
      </c>
      <c r="E1715" s="48" t="inlineStr">
        <is>
          <t>B</t>
        </is>
      </c>
      <c r="F1715" s="48" t="inlineStr">
        <is>
          <t>Q</t>
        </is>
      </c>
      <c r="G1715" s="48" t="inlineStr">
        <is>
          <t>higher</t>
        </is>
      </c>
      <c r="H1715" s="48" t="n">
        <v>3</v>
      </c>
      <c r="I1715" s="48" t="inlineStr">
        <is>
          <t>Percorrenze aggiuntive offerte nel Programma d'esercizio delle prime due fasi attuative</t>
        </is>
      </c>
      <c r="J1715" s="73" t="n"/>
      <c r="K1715" s="73" t="n"/>
      <c r="L1715" s="73" t="n"/>
      <c r="M1715" s="73" t="n"/>
      <c r="N1715" s="57">
        <f>IF($A1715="","",IFERROR(VALUE($J1715),0))</f>
        <v/>
      </c>
      <c r="O1715" s="57">
        <f>IF($A1715="",0,IF(OR($S1715&lt;&gt;1,COUNTA($J1715:$M1715)=0),0,IF(SUMPRODUCT(MAX(($C$5:$C$2484=$C1715)*($D$5:$D$2484=$D1715)*($S$5:$S$2484=1)*IFERROR($N$5:$N$2484*1,0)))&gt;0,ROUND($H1715*($N1715/SUMPRODUCT(MAX(($C$5:$C$2484=$C1715)*($D$5:$D$2484=$D1715)*($S$5:$S$2484=1)*IFERROR($N$5:$N$2484*1,0)))),4),0)))</f>
        <v/>
      </c>
      <c r="P1715" s="48" t="inlineStr">
        <is>
          <t>vett*km</t>
        </is>
      </c>
      <c r="Q1715" s="57">
        <f>IF($A1715="","",$A1715&amp;"|"&amp;$C1715)</f>
        <v/>
      </c>
      <c r="R1715" s="57">
        <f>IF($A1715="","",$A1715&amp;"|"&amp;$C1715&amp;"|"&amp;$D1715)</f>
        <v/>
      </c>
      <c r="S1715" s="57">
        <f>IF($A1715="","",IFERROR(INDEX(Offerte!$D$2:$D$81,MATCH($Q1715,Offerte!$L$2:$L$81,0)),0))</f>
        <v/>
      </c>
      <c r="T1715" s="57">
        <f>IF($A1715="","",IFERROR(INDEX(Offerte!$G$2:$G$81,MATCH($Q1715,Offerte!$L$2:$L$81,0)),"NO"))</f>
        <v/>
      </c>
    </row>
    <row r="1716">
      <c r="A1716" s="48">
        <f>IF(Offerte!$A57="","",Offerte!$A57)</f>
        <v/>
      </c>
      <c r="B1716" s="48">
        <f>IF(Offerte!$A57="","",Offerte!$B57)</f>
        <v/>
      </c>
      <c r="C1716" s="48">
        <f>IF(Offerte!$A57="","",Offerte!$C57)</f>
        <v/>
      </c>
      <c r="D1716" s="48" t="inlineStr">
        <is>
          <t>B.5.1</t>
        </is>
      </c>
      <c r="E1716" s="48" t="inlineStr">
        <is>
          <t>B</t>
        </is>
      </c>
      <c r="F1716" s="48" t="inlineStr">
        <is>
          <t>D</t>
        </is>
      </c>
      <c r="G1716" s="48" t="inlineStr">
        <is>
          <t>discretionary</t>
        </is>
      </c>
      <c r="H1716" s="48" t="n">
        <v>2</v>
      </c>
      <c r="I1716" s="48" t="inlineStr">
        <is>
          <t>Efficacia del progetto di servizi complementari DRT</t>
        </is>
      </c>
      <c r="J1716" s="73" t="n"/>
      <c r="K1716" s="73" t="n"/>
      <c r="L1716" s="73" t="n"/>
      <c r="M1716" s="73" t="n"/>
      <c r="N1716" s="57">
        <f>IF($A1716="","",MAX(0,MIN(1,IFERROR(VALUE($M1716),0))))</f>
        <v/>
      </c>
      <c r="O1716" s="57">
        <f>IF($A1716="",0,IF(OR($S1716&lt;&gt;1,COUNTA($J1716:$M1716)=0),0,IF(SUMPRODUCT(MAX(($C$5:$C$2484=$C1716)*($D$5:$D$2484=$D1716)*($S$5:$S$2484=1)*IFERROR($N$5:$N$2484*1,0)))&gt;0,ROUND($H1716*($N1716/SUMPRODUCT(MAX(($C$5:$C$2484=$C1716)*($D$5:$D$2484=$D1716)*($S$5:$S$2484=1)*IFERROR($N$5:$N$2484*1,0)))),4),0)))</f>
        <v/>
      </c>
      <c r="P1716" s="48" t="inlineStr">
        <is>
          <t>coeff.</t>
        </is>
      </c>
      <c r="Q1716" s="57">
        <f>IF($A1716="","",$A1716&amp;"|"&amp;$C1716)</f>
        <v/>
      </c>
      <c r="R1716" s="57">
        <f>IF($A1716="","",$A1716&amp;"|"&amp;$C1716&amp;"|"&amp;$D1716)</f>
        <v/>
      </c>
      <c r="S1716" s="57">
        <f>IF($A1716="","",IFERROR(INDEX(Offerte!$D$2:$D$81,MATCH($Q1716,Offerte!$L$2:$L$81,0)),0))</f>
        <v/>
      </c>
      <c r="T1716" s="57">
        <f>IF($A1716="","",IFERROR(INDEX(Offerte!$G$2:$G$81,MATCH($Q1716,Offerte!$L$2:$L$81,0)),"NO"))</f>
        <v/>
      </c>
    </row>
    <row r="1717">
      <c r="A1717" s="48">
        <f>IF(Offerte!$A57="","",Offerte!$A57)</f>
        <v/>
      </c>
      <c r="B1717" s="48">
        <f>IF(Offerte!$A57="","",Offerte!$B57)</f>
        <v/>
      </c>
      <c r="C1717" s="48">
        <f>IF(Offerte!$A57="","",Offerte!$C57)</f>
        <v/>
      </c>
      <c r="D1717" s="48" t="inlineStr">
        <is>
          <t>C.1.1</t>
        </is>
      </c>
      <c r="E1717" s="48" t="inlineStr">
        <is>
          <t>C</t>
        </is>
      </c>
      <c r="F1717" s="48" t="inlineStr">
        <is>
          <t>Q</t>
        </is>
      </c>
      <c r="G1717" s="48" t="inlineStr">
        <is>
          <t>higher</t>
        </is>
      </c>
      <c r="H1717" s="48" t="n">
        <v>2</v>
      </c>
      <c r="I1717" s="48" t="inlineStr">
        <is>
          <t>Tasso di copertura del servizio con telecamere BSD</t>
        </is>
      </c>
      <c r="J1717" s="73" t="n"/>
      <c r="K1717" s="73" t="n"/>
      <c r="L1717" s="73" t="n"/>
      <c r="M1717" s="73" t="n"/>
      <c r="N1717" s="57">
        <f>IF($A1717="","",IFERROR(VALUE($K1717)/VALUE($L1717),IFERROR(VALUE($J1717),0)))</f>
        <v/>
      </c>
      <c r="O1717" s="57">
        <f>IF($A1717="",0,IF(OR($S1717&lt;&gt;1,COUNTA($J1717:$M1717)=0),0,IF(SUMPRODUCT(MAX(($C$5:$C$2484=$C1717)*($D$5:$D$2484=$D1717)*($S$5:$S$2484=1)*IFERROR($N$5:$N$2484*1,0)))&gt;0,ROUND($H1717*($N1717/SUMPRODUCT(MAX(($C$5:$C$2484=$C1717)*($D$5:$D$2484=$D1717)*($S$5:$S$2484=1)*IFERROR($N$5:$N$2484*1,0)))),4),0)))</f>
        <v/>
      </c>
      <c r="P1717" s="48" t="inlineStr">
        <is>
          <t>Autobus attrezzati con telecamere BSD / Autobus totali in offerta, incluse scorte</t>
        </is>
      </c>
      <c r="Q1717" s="57">
        <f>IF($A1717="","",$A1717&amp;"|"&amp;$C1717)</f>
        <v/>
      </c>
      <c r="R1717" s="57">
        <f>IF($A1717="","",$A1717&amp;"|"&amp;$C1717&amp;"|"&amp;$D1717)</f>
        <v/>
      </c>
      <c r="S1717" s="57">
        <f>IF($A1717="","",IFERROR(INDEX(Offerte!$D$2:$D$81,MATCH($Q1717,Offerte!$L$2:$L$81,0)),0))</f>
        <v/>
      </c>
      <c r="T1717" s="57">
        <f>IF($A1717="","",IFERROR(INDEX(Offerte!$G$2:$G$81,MATCH($Q1717,Offerte!$L$2:$L$81,0)),"NO"))</f>
        <v/>
      </c>
    </row>
    <row r="1718">
      <c r="A1718" s="48">
        <f>IF(Offerte!$A57="","",Offerte!$A57)</f>
        <v/>
      </c>
      <c r="B1718" s="48">
        <f>IF(Offerte!$A57="","",Offerte!$B57)</f>
        <v/>
      </c>
      <c r="C1718" s="48">
        <f>IF(Offerte!$A57="","",Offerte!$C57)</f>
        <v/>
      </c>
      <c r="D1718" s="48" t="inlineStr">
        <is>
          <t>C.1.2</t>
        </is>
      </c>
      <c r="E1718" s="48" t="inlineStr">
        <is>
          <t>C</t>
        </is>
      </c>
      <c r="F1718" s="48" t="inlineStr">
        <is>
          <t>Q</t>
        </is>
      </c>
      <c r="G1718" s="48" t="inlineStr">
        <is>
          <t>higher</t>
        </is>
      </c>
      <c r="H1718" s="48" t="n">
        <v>2</v>
      </c>
      <c r="I1718" s="48" t="inlineStr">
        <is>
          <t>Tasso di copertura del servizio con telecamere ADAS</t>
        </is>
      </c>
      <c r="J1718" s="73" t="n"/>
      <c r="K1718" s="73" t="n"/>
      <c r="L1718" s="73" t="n"/>
      <c r="M1718" s="73" t="n"/>
      <c r="N1718" s="57">
        <f>IF($A1718="","",IFERROR(VALUE($K1718)/VALUE($L1718),IFERROR(VALUE($J1718),0)))</f>
        <v/>
      </c>
      <c r="O1718" s="57">
        <f>IF($A1718="",0,IF(OR($S1718&lt;&gt;1,COUNTA($J1718:$M1718)=0),0,IF(SUMPRODUCT(MAX(($C$5:$C$2484=$C1718)*($D$5:$D$2484=$D1718)*($S$5:$S$2484=1)*IFERROR($N$5:$N$2484*1,0)))&gt;0,ROUND($H1718*($N1718/SUMPRODUCT(MAX(($C$5:$C$2484=$C1718)*($D$5:$D$2484=$D1718)*($S$5:$S$2484=1)*IFERROR($N$5:$N$2484*1,0)))),4),0)))</f>
        <v/>
      </c>
      <c r="P1718" s="48" t="inlineStr">
        <is>
          <t>Autobus attrezzati con telecamere ADAS / Autobus totali in offerta, incluse scorte</t>
        </is>
      </c>
      <c r="Q1718" s="57">
        <f>IF($A1718="","",$A1718&amp;"|"&amp;$C1718)</f>
        <v/>
      </c>
      <c r="R1718" s="57">
        <f>IF($A1718="","",$A1718&amp;"|"&amp;$C1718&amp;"|"&amp;$D1718)</f>
        <v/>
      </c>
      <c r="S1718" s="57">
        <f>IF($A1718="","",IFERROR(INDEX(Offerte!$D$2:$D$81,MATCH($Q1718,Offerte!$L$2:$L$81,0)),0))</f>
        <v/>
      </c>
      <c r="T1718" s="57">
        <f>IF($A1718="","",IFERROR(INDEX(Offerte!$G$2:$G$81,MATCH($Q1718,Offerte!$L$2:$L$81,0)),"NO"))</f>
        <v/>
      </c>
    </row>
    <row r="1719">
      <c r="A1719" s="48">
        <f>IF(Offerte!$A57="","",Offerte!$A57)</f>
        <v/>
      </c>
      <c r="B1719" s="48">
        <f>IF(Offerte!$A57="","",Offerte!$B57)</f>
        <v/>
      </c>
      <c r="C1719" s="48">
        <f>IF(Offerte!$A57="","",Offerte!$C57)</f>
        <v/>
      </c>
      <c r="D1719" s="48" t="inlineStr">
        <is>
          <t>C.2.1</t>
        </is>
      </c>
      <c r="E1719" s="48" t="inlineStr">
        <is>
          <t>C</t>
        </is>
      </c>
      <c r="F1719" s="48" t="inlineStr">
        <is>
          <t>Q</t>
        </is>
      </c>
      <c r="G1719" s="48" t="inlineStr">
        <is>
          <t>higher</t>
        </is>
      </c>
      <c r="H1719" s="48" t="n">
        <v>3</v>
      </c>
      <c r="I1719" s="48" t="inlineStr">
        <is>
          <t>Tasso di copertura del servizio con telecamere di bordo di videosorveglianza</t>
        </is>
      </c>
      <c r="J1719" s="73" t="n"/>
      <c r="K1719" s="73" t="n"/>
      <c r="L1719" s="73" t="n"/>
      <c r="M1719" s="73" t="n"/>
      <c r="N1719" s="57">
        <f>IF($A1719="","",IFERROR(VALUE($K1719)/VALUE($L1719),IFERROR(VALUE($J1719),0)))</f>
        <v/>
      </c>
      <c r="O1719" s="57">
        <f>IF($A1719="",0,IF(OR($S1719&lt;&gt;1,COUNTA($J1719:$M1719)=0),0,IF(SUMPRODUCT(MAX(($C$5:$C$2484=$C1719)*($D$5:$D$2484=$D1719)*($S$5:$S$2484=1)*IFERROR($N$5:$N$2484*1,0)))&gt;0,ROUND($H1719*($N1719/SUMPRODUCT(MAX(($C$5:$C$2484=$C1719)*($D$5:$D$2484=$D1719)*($S$5:$S$2484=1)*IFERROR($N$5:$N$2484*1,0)))),4),0)))</f>
        <v/>
      </c>
      <c r="P1719" s="48" t="inlineStr">
        <is>
          <t>Autobus attrezzati con videosorveglianza / Autobus totali in offerta, incluse scorte</t>
        </is>
      </c>
      <c r="Q1719" s="57">
        <f>IF($A1719="","",$A1719&amp;"|"&amp;$C1719)</f>
        <v/>
      </c>
      <c r="R1719" s="57">
        <f>IF($A1719="","",$A1719&amp;"|"&amp;$C1719&amp;"|"&amp;$D1719)</f>
        <v/>
      </c>
      <c r="S1719" s="57">
        <f>IF($A1719="","",IFERROR(INDEX(Offerte!$D$2:$D$81,MATCH($Q1719,Offerte!$L$2:$L$81,0)),0))</f>
        <v/>
      </c>
      <c r="T1719" s="57">
        <f>IF($A1719="","",IFERROR(INDEX(Offerte!$G$2:$G$81,MATCH($Q1719,Offerte!$L$2:$L$81,0)),"NO"))</f>
        <v/>
      </c>
    </row>
    <row r="1720">
      <c r="A1720" s="48">
        <f>IF(Offerte!$A57="","",Offerte!$A57)</f>
        <v/>
      </c>
      <c r="B1720" s="48">
        <f>IF(Offerte!$A57="","",Offerte!$B57)</f>
        <v/>
      </c>
      <c r="C1720" s="48">
        <f>IF(Offerte!$A57="","",Offerte!$C57)</f>
        <v/>
      </c>
      <c r="D1720" s="48" t="inlineStr">
        <is>
          <t>C.2.2</t>
        </is>
      </c>
      <c r="E1720" s="48" t="inlineStr">
        <is>
          <t>C</t>
        </is>
      </c>
      <c r="F1720" s="48" t="inlineStr">
        <is>
          <t>T</t>
        </is>
      </c>
      <c r="G1720" s="48" t="inlineStr">
        <is>
          <t>tabular</t>
        </is>
      </c>
      <c r="H1720" s="48" t="n">
        <v>1</v>
      </c>
      <c r="I1720" s="48" t="inlineStr">
        <is>
          <t>Software video/audio analisi per situazioni di pericolo</t>
        </is>
      </c>
      <c r="J1720" s="73" t="n"/>
      <c r="K1720" s="73" t="n"/>
      <c r="L1720" s="73" t="n"/>
      <c r="M1720" s="73" t="n"/>
      <c r="N1720" s="57">
        <f>IF($A1720="","",IF(IFERROR(VALUE($M1720),0)=1,1,0))</f>
        <v/>
      </c>
      <c r="O1720" s="57">
        <f>IF($A1720="",0,IF(OR($S1720&lt;&gt;1,COUNTA($J1720:$M1720)=0),0,IF($N1720=1,$H1720,0)))</f>
        <v/>
      </c>
      <c r="P1720" s="48" t="inlineStr">
        <is>
          <t>sì/no</t>
        </is>
      </c>
      <c r="Q1720" s="57">
        <f>IF($A1720="","",$A1720&amp;"|"&amp;$C1720)</f>
        <v/>
      </c>
      <c r="R1720" s="57">
        <f>IF($A1720="","",$A1720&amp;"|"&amp;$C1720&amp;"|"&amp;$D1720)</f>
        <v/>
      </c>
      <c r="S1720" s="57">
        <f>IF($A1720="","",IFERROR(INDEX(Offerte!$D$2:$D$81,MATCH($Q1720,Offerte!$L$2:$L$81,0)),0))</f>
        <v/>
      </c>
      <c r="T1720" s="57">
        <f>IF($A1720="","",IFERROR(INDEX(Offerte!$G$2:$G$81,MATCH($Q1720,Offerte!$L$2:$L$81,0)),"NO"))</f>
        <v/>
      </c>
    </row>
    <row r="1721">
      <c r="A1721" s="48">
        <f>IF(Offerte!$A57="","",Offerte!$A57)</f>
        <v/>
      </c>
      <c r="B1721" s="48">
        <f>IF(Offerte!$A57="","",Offerte!$B57)</f>
        <v/>
      </c>
      <c r="C1721" s="48">
        <f>IF(Offerte!$A57="","",Offerte!$C57)</f>
        <v/>
      </c>
      <c r="D1721" s="48" t="inlineStr">
        <is>
          <t>C.2.3</t>
        </is>
      </c>
      <c r="E1721" s="48" t="inlineStr">
        <is>
          <t>C</t>
        </is>
      </c>
      <c r="F1721" s="48" t="inlineStr">
        <is>
          <t>T</t>
        </is>
      </c>
      <c r="G1721" s="48" t="inlineStr">
        <is>
          <t>tabular</t>
        </is>
      </c>
      <c r="H1721" s="48" t="n">
        <v>1</v>
      </c>
      <c r="I1721" s="48" t="inlineStr">
        <is>
          <t>Collegamento con centrale qualificata di pronto intervento</t>
        </is>
      </c>
      <c r="J1721" s="73" t="n"/>
      <c r="K1721" s="73" t="n"/>
      <c r="L1721" s="73" t="n"/>
      <c r="M1721" s="73" t="n"/>
      <c r="N1721" s="57">
        <f>IF($A1721="","",IF(IFERROR(VALUE($M1721),0)=1,1,0))</f>
        <v/>
      </c>
      <c r="O1721" s="57">
        <f>IF($A1721="",0,IF(OR($S1721&lt;&gt;1,COUNTA($J1721:$M1721)=0),0,IF($N1721=1,$H1721,0)))</f>
        <v/>
      </c>
      <c r="P1721" s="48" t="inlineStr">
        <is>
          <t>sì/no</t>
        </is>
      </c>
      <c r="Q1721" s="57">
        <f>IF($A1721="","",$A1721&amp;"|"&amp;$C1721)</f>
        <v/>
      </c>
      <c r="R1721" s="57">
        <f>IF($A1721="","",$A1721&amp;"|"&amp;$C1721&amp;"|"&amp;$D1721)</f>
        <v/>
      </c>
      <c r="S1721" s="57">
        <f>IF($A1721="","",IFERROR(INDEX(Offerte!$D$2:$D$81,MATCH($Q1721,Offerte!$L$2:$L$81,0)),0))</f>
        <v/>
      </c>
      <c r="T1721" s="57">
        <f>IF($A1721="","",IFERROR(INDEX(Offerte!$G$2:$G$81,MATCH($Q1721,Offerte!$L$2:$L$81,0)),"NO"))</f>
        <v/>
      </c>
    </row>
    <row r="1722">
      <c r="A1722" s="48">
        <f>IF(Offerte!$A57="","",Offerte!$A57)</f>
        <v/>
      </c>
      <c r="B1722" s="48">
        <f>IF(Offerte!$A57="","",Offerte!$B57)</f>
        <v/>
      </c>
      <c r="C1722" s="48">
        <f>IF(Offerte!$A57="","",Offerte!$C57)</f>
        <v/>
      </c>
      <c r="D1722" s="48" t="inlineStr">
        <is>
          <t>C.2.4</t>
        </is>
      </c>
      <c r="E1722" s="48" t="inlineStr">
        <is>
          <t>C</t>
        </is>
      </c>
      <c r="F1722" s="48" t="inlineStr">
        <is>
          <t>Q</t>
        </is>
      </c>
      <c r="G1722" s="48" t="inlineStr">
        <is>
          <t>higher</t>
        </is>
      </c>
      <c r="H1722" s="48" t="n">
        <v>1</v>
      </c>
      <c r="I1722" s="48" t="inlineStr">
        <is>
          <t>Tasso di copertura del servizio con dispositivi per la chiamata di emergenza del conducente</t>
        </is>
      </c>
      <c r="J1722" s="73" t="n"/>
      <c r="K1722" s="73" t="n"/>
      <c r="L1722" s="73" t="n"/>
      <c r="M1722" s="73" t="n"/>
      <c r="N1722" s="57">
        <f>IF($A1722="","",IFERROR(VALUE($K1722)/VALUE($L1722),IFERROR(VALUE($J1722),0)))</f>
        <v/>
      </c>
      <c r="O1722" s="57">
        <f>IF($A1722="",0,IF(OR($S1722&lt;&gt;1,COUNTA($J1722:$M1722)=0),0,IF(SUMPRODUCT(MAX(($C$5:$C$2484=$C1722)*($D$5:$D$2484=$D1722)*($S$5:$S$2484=1)*IFERROR($N$5:$N$2484*1,0)))&gt;0,ROUND($H1722*($N1722/SUMPRODUCT(MAX(($C$5:$C$2484=$C1722)*($D$5:$D$2484=$D1722)*($S$5:$S$2484=1)*IFERROR($N$5:$N$2484*1,0)))),4),0)))</f>
        <v/>
      </c>
      <c r="P1722" s="48" t="inlineStr">
        <is>
          <t>Autobus attrezzati con chiamata di emergenza / Autobus totali in offerta, incluse scorte</t>
        </is>
      </c>
      <c r="Q1722" s="57">
        <f>IF($A1722="","",$A1722&amp;"|"&amp;$C1722)</f>
        <v/>
      </c>
      <c r="R1722" s="57">
        <f>IF($A1722="","",$A1722&amp;"|"&amp;$C1722&amp;"|"&amp;$D1722)</f>
        <v/>
      </c>
      <c r="S1722" s="57">
        <f>IF($A1722="","",IFERROR(INDEX(Offerte!$D$2:$D$81,MATCH($Q1722,Offerte!$L$2:$L$81,0)),0))</f>
        <v/>
      </c>
      <c r="T1722" s="57">
        <f>IF($A1722="","",IFERROR(INDEX(Offerte!$G$2:$G$81,MATCH($Q1722,Offerte!$L$2:$L$81,0)),"NO"))</f>
        <v/>
      </c>
    </row>
    <row r="1723">
      <c r="A1723" s="48">
        <f>IF(Offerte!$A57="","",Offerte!$A57)</f>
        <v/>
      </c>
      <c r="B1723" s="48">
        <f>IF(Offerte!$A57="","",Offerte!$B57)</f>
        <v/>
      </c>
      <c r="C1723" s="48">
        <f>IF(Offerte!$A57="","",Offerte!$C57)</f>
        <v/>
      </c>
      <c r="D1723" s="48" t="inlineStr">
        <is>
          <t>C.3.1</t>
        </is>
      </c>
      <c r="E1723" s="48" t="inlineStr">
        <is>
          <t>C</t>
        </is>
      </c>
      <c r="F1723" s="48" t="inlineStr">
        <is>
          <t>Q</t>
        </is>
      </c>
      <c r="G1723" s="48" t="inlineStr">
        <is>
          <t>higher</t>
        </is>
      </c>
      <c r="H1723" s="48" t="n">
        <v>2</v>
      </c>
      <c r="I1723" s="48" t="inlineStr">
        <is>
          <t>Tasso di copertura del servizio con dispositivi di informazione dinamica a bordo mezzo</t>
        </is>
      </c>
      <c r="J1723" s="73" t="n"/>
      <c r="K1723" s="73" t="n"/>
      <c r="L1723" s="73" t="n"/>
      <c r="M1723" s="73" t="n"/>
      <c r="N1723" s="57">
        <f>IF($A1723="","",IFERROR(VALUE($K1723)/VALUE($L1723),IFERROR(VALUE($J1723),0)))</f>
        <v/>
      </c>
      <c r="O1723" s="57">
        <f>IF($A1723="",0,IF(OR($S1723&lt;&gt;1,COUNTA($J1723:$M1723)=0),0,IF(SUMPRODUCT(MAX(($C$5:$C$2484=$C1723)*($D$5:$D$2484=$D1723)*($S$5:$S$2484=1)*IFERROR($N$5:$N$2484*1,0)))&gt;0,ROUND($H1723*($N1723/SUMPRODUCT(MAX(($C$5:$C$2484=$C1723)*($D$5:$D$2484=$D1723)*($S$5:$S$2484=1)*IFERROR($N$5:$N$2484*1,0)))),4),0)))</f>
        <v/>
      </c>
      <c r="P1723" s="48" t="inlineStr">
        <is>
          <t>Autobus con monitor e indicatori vocali / Autobus totali in offerta, incluse scorte</t>
        </is>
      </c>
      <c r="Q1723" s="57">
        <f>IF($A1723="","",$A1723&amp;"|"&amp;$C1723)</f>
        <v/>
      </c>
      <c r="R1723" s="57">
        <f>IF($A1723="","",$A1723&amp;"|"&amp;$C1723&amp;"|"&amp;$D1723)</f>
        <v/>
      </c>
      <c r="S1723" s="57">
        <f>IF($A1723="","",IFERROR(INDEX(Offerte!$D$2:$D$81,MATCH($Q1723,Offerte!$L$2:$L$81,0)),0))</f>
        <v/>
      </c>
      <c r="T1723" s="57">
        <f>IF($A1723="","",IFERROR(INDEX(Offerte!$G$2:$G$81,MATCH($Q1723,Offerte!$L$2:$L$81,0)),"NO"))</f>
        <v/>
      </c>
    </row>
    <row r="1724">
      <c r="A1724" s="48">
        <f>IF(Offerte!$A57="","",Offerte!$A57)</f>
        <v/>
      </c>
      <c r="B1724" s="48">
        <f>IF(Offerte!$A57="","",Offerte!$B57)</f>
        <v/>
      </c>
      <c r="C1724" s="48">
        <f>IF(Offerte!$A57="","",Offerte!$C57)</f>
        <v/>
      </c>
      <c r="D1724" s="48" t="inlineStr">
        <is>
          <t>C.3.2</t>
        </is>
      </c>
      <c r="E1724" s="48" t="inlineStr">
        <is>
          <t>C</t>
        </is>
      </c>
      <c r="F1724" s="48" t="inlineStr">
        <is>
          <t>T</t>
        </is>
      </c>
      <c r="G1724" s="48" t="inlineStr">
        <is>
          <t>tabular</t>
        </is>
      </c>
      <c r="H1724" s="48" t="n">
        <v>2</v>
      </c>
      <c r="I1724" s="48" t="inlineStr">
        <is>
          <t>Informazioni a bordo su coincidenze ai nodi</t>
        </is>
      </c>
      <c r="J1724" s="73" t="n"/>
      <c r="K1724" s="73" t="n"/>
      <c r="L1724" s="73" t="n"/>
      <c r="M1724" s="73" t="n"/>
      <c r="N1724" s="57">
        <f>IF($A1724="","",IF(IFERROR(VALUE($M1724),0)=1,1,0))</f>
        <v/>
      </c>
      <c r="O1724" s="57">
        <f>IF($A1724="",0,IF(OR($S1724&lt;&gt;1,COUNTA($J1724:$M1724)=0),0,IF(AND($N1724=1,IFERROR(SUMIFS($N$5:$N$2484,$Q$5:$Q$2484,$Q1724,$D$5:$D$2484,"C.3.1"),0)&gt;=0.5),$H1724,0)))</f>
        <v/>
      </c>
      <c r="P1724" s="48" t="inlineStr">
        <is>
          <t>Dipende da C.3.1 &gt;= 0.5</t>
        </is>
      </c>
      <c r="Q1724" s="57">
        <f>IF($A1724="","",$A1724&amp;"|"&amp;$C1724)</f>
        <v/>
      </c>
      <c r="R1724" s="57">
        <f>IF($A1724="","",$A1724&amp;"|"&amp;$C1724&amp;"|"&amp;$D1724)</f>
        <v/>
      </c>
      <c r="S1724" s="57">
        <f>IF($A1724="","",IFERROR(INDEX(Offerte!$D$2:$D$81,MATCH($Q1724,Offerte!$L$2:$L$81,0)),0))</f>
        <v/>
      </c>
      <c r="T1724" s="57">
        <f>IF($A1724="","",IFERROR(INDEX(Offerte!$G$2:$G$81,MATCH($Q1724,Offerte!$L$2:$L$81,0)),"NO"))</f>
        <v/>
      </c>
    </row>
    <row r="1725">
      <c r="A1725" s="48">
        <f>IF(Offerte!$A57="","",Offerte!$A57)</f>
        <v/>
      </c>
      <c r="B1725" s="48">
        <f>IF(Offerte!$A57="","",Offerte!$B57)</f>
        <v/>
      </c>
      <c r="C1725" s="48">
        <f>IF(Offerte!$A57="","",Offerte!$C57)</f>
        <v/>
      </c>
      <c r="D1725" s="48" t="inlineStr">
        <is>
          <t>D.1.1</t>
        </is>
      </c>
      <c r="E1725" s="48" t="inlineStr">
        <is>
          <t>D</t>
        </is>
      </c>
      <c r="F1725" s="48" t="inlineStr">
        <is>
          <t>Q</t>
        </is>
      </c>
      <c r="G1725" s="48" t="inlineStr">
        <is>
          <t>higher</t>
        </is>
      </c>
      <c r="H1725" s="48" t="n">
        <v>3</v>
      </c>
      <c r="I1725" s="48" t="inlineStr">
        <is>
          <t>Installazione di pensiline</t>
        </is>
      </c>
      <c r="J1725" s="73" t="n"/>
      <c r="K1725" s="73" t="n"/>
      <c r="L1725" s="73" t="n"/>
      <c r="M1725" s="73" t="n"/>
      <c r="N1725" s="57">
        <f>IF($A1725="","",IFERROR(VALUE($J1725),0))</f>
        <v/>
      </c>
      <c r="O1725" s="57">
        <f>IF($A1725="",0,IF(OR($S1725&lt;&gt;1,COUNTA($J1725:$M1725)=0),0,IF(SUMPRODUCT(MAX(($C$5:$C$2484=$C1725)*($D$5:$D$2484=$D1725)*($S$5:$S$2484=1)*IFERROR($N$5:$N$2484*1,0)))&gt;0,ROUND($H1725*($N1725/SUMPRODUCT(MAX(($C$5:$C$2484=$C1725)*($D$5:$D$2484=$D1725)*($S$5:$S$2484=1)*IFERROR($N$5:$N$2484*1,0)))),4),0)))</f>
        <v/>
      </c>
      <c r="P1725" s="48" t="inlineStr">
        <is>
          <t>fermate</t>
        </is>
      </c>
      <c r="Q1725" s="57">
        <f>IF($A1725="","",$A1725&amp;"|"&amp;$C1725)</f>
        <v/>
      </c>
      <c r="R1725" s="57">
        <f>IF($A1725="","",$A1725&amp;"|"&amp;$C1725&amp;"|"&amp;$D1725)</f>
        <v/>
      </c>
      <c r="S1725" s="57">
        <f>IF($A1725="","",IFERROR(INDEX(Offerte!$D$2:$D$81,MATCH($Q1725,Offerte!$L$2:$L$81,0)),0))</f>
        <v/>
      </c>
      <c r="T1725" s="57">
        <f>IF($A1725="","",IFERROR(INDEX(Offerte!$G$2:$G$81,MATCH($Q1725,Offerte!$L$2:$L$81,0)),"NO"))</f>
        <v/>
      </c>
    </row>
    <row r="1726">
      <c r="A1726" s="48">
        <f>IF(Offerte!$A57="","",Offerte!$A57)</f>
        <v/>
      </c>
      <c r="B1726" s="48">
        <f>IF(Offerte!$A57="","",Offerte!$B57)</f>
        <v/>
      </c>
      <c r="C1726" s="48">
        <f>IF(Offerte!$A57="","",Offerte!$C57)</f>
        <v/>
      </c>
      <c r="D1726" s="48" t="inlineStr">
        <is>
          <t>D.1.2</t>
        </is>
      </c>
      <c r="E1726" s="48" t="inlineStr">
        <is>
          <t>D</t>
        </is>
      </c>
      <c r="F1726" s="48" t="inlineStr">
        <is>
          <t>Q</t>
        </is>
      </c>
      <c r="G1726" s="48" t="inlineStr">
        <is>
          <t>higher</t>
        </is>
      </c>
      <c r="H1726" s="48" t="n">
        <v>3</v>
      </c>
      <c r="I1726" s="48" t="inlineStr">
        <is>
          <t>Installazione di paline di fermata conformi alla DGR 581/2023</t>
        </is>
      </c>
      <c r="J1726" s="73" t="n"/>
      <c r="K1726" s="73" t="n"/>
      <c r="L1726" s="73" t="n"/>
      <c r="M1726" s="73" t="n"/>
      <c r="N1726" s="57">
        <f>IF($A1726="","",IFERROR(VALUE($J1726),0))</f>
        <v/>
      </c>
      <c r="O1726" s="57">
        <f>IF($A1726="",0,IF(OR($S1726&lt;&gt;1,COUNTA($J1726:$M1726)=0),0,IF(SUMPRODUCT(MAX(($C$5:$C$2484=$C1726)*($D$5:$D$2484=$D1726)*($S$5:$S$2484=1)*IFERROR($N$5:$N$2484*1,0)))&gt;0,ROUND($H1726*($N1726/SUMPRODUCT(MAX(($C$5:$C$2484=$C1726)*($D$5:$D$2484=$D1726)*($S$5:$S$2484=1)*IFERROR($N$5:$N$2484*1,0)))),4),0)))</f>
        <v/>
      </c>
      <c r="P1726" s="48" t="inlineStr">
        <is>
          <t>fermate</t>
        </is>
      </c>
      <c r="Q1726" s="57">
        <f>IF($A1726="","",$A1726&amp;"|"&amp;$C1726)</f>
        <v/>
      </c>
      <c r="R1726" s="57">
        <f>IF($A1726="","",$A1726&amp;"|"&amp;$C1726&amp;"|"&amp;$D1726)</f>
        <v/>
      </c>
      <c r="S1726" s="57">
        <f>IF($A1726="","",IFERROR(INDEX(Offerte!$D$2:$D$81,MATCH($Q1726,Offerte!$L$2:$L$81,0)),0))</f>
        <v/>
      </c>
      <c r="T1726" s="57">
        <f>IF($A1726="","",IFERROR(INDEX(Offerte!$G$2:$G$81,MATCH($Q1726,Offerte!$L$2:$L$81,0)),"NO"))</f>
        <v/>
      </c>
    </row>
    <row r="1727">
      <c r="A1727" s="48">
        <f>IF(Offerte!$A57="","",Offerte!$A57)</f>
        <v/>
      </c>
      <c r="B1727" s="48">
        <f>IF(Offerte!$A57="","",Offerte!$B57)</f>
        <v/>
      </c>
      <c r="C1727" s="48">
        <f>IF(Offerte!$A57="","",Offerte!$C57)</f>
        <v/>
      </c>
      <c r="D1727" s="48" t="inlineStr">
        <is>
          <t>D.1.3</t>
        </is>
      </c>
      <c r="E1727" s="48" t="inlineStr">
        <is>
          <t>D</t>
        </is>
      </c>
      <c r="F1727" s="48" t="inlineStr">
        <is>
          <t>Q</t>
        </is>
      </c>
      <c r="G1727" s="48" t="inlineStr">
        <is>
          <t>higher</t>
        </is>
      </c>
      <c r="H1727" s="48" t="n">
        <v>2</v>
      </c>
      <c r="I1727" s="48" t="inlineStr">
        <is>
          <t>Display informativi connessi alle fermate</t>
        </is>
      </c>
      <c r="J1727" s="73" t="n"/>
      <c r="K1727" s="73" t="n"/>
      <c r="L1727" s="73" t="n"/>
      <c r="M1727" s="73" t="n"/>
      <c r="N1727" s="57">
        <f>IF($A1727="","",IFERROR(VALUE($J1727),0))</f>
        <v/>
      </c>
      <c r="O1727" s="57">
        <f>IF($A1727="",0,IF(OR($S1727&lt;&gt;1,COUNTA($J1727:$M1727)=0),0,IF(SUMPRODUCT(MAX(($C$5:$C$2484=$C1727)*($D$5:$D$2484=$D1727)*($S$5:$S$2484=1)*IFERROR($N$5:$N$2484*1,0)))&gt;0,ROUND($H1727*($N1727/SUMPRODUCT(MAX(($C$5:$C$2484=$C1727)*($D$5:$D$2484=$D1727)*($S$5:$S$2484=1)*IFERROR($N$5:$N$2484*1,0)))),4),0)))</f>
        <v/>
      </c>
      <c r="P1727" s="48" t="inlineStr">
        <is>
          <t>fermate</t>
        </is>
      </c>
      <c r="Q1727" s="57">
        <f>IF($A1727="","",$A1727&amp;"|"&amp;$C1727)</f>
        <v/>
      </c>
      <c r="R1727" s="57">
        <f>IF($A1727="","",$A1727&amp;"|"&amp;$C1727&amp;"|"&amp;$D1727)</f>
        <v/>
      </c>
      <c r="S1727" s="57">
        <f>IF($A1727="","",IFERROR(INDEX(Offerte!$D$2:$D$81,MATCH($Q1727,Offerte!$L$2:$L$81,0)),0))</f>
        <v/>
      </c>
      <c r="T1727" s="57">
        <f>IF($A1727="","",IFERROR(INDEX(Offerte!$G$2:$G$81,MATCH($Q1727,Offerte!$L$2:$L$81,0)),"NO"))</f>
        <v/>
      </c>
    </row>
    <row r="1728">
      <c r="A1728" s="48">
        <f>IF(Offerte!$A57="","",Offerte!$A57)</f>
        <v/>
      </c>
      <c r="B1728" s="48">
        <f>IF(Offerte!$A57="","",Offerte!$B57)</f>
        <v/>
      </c>
      <c r="C1728" s="48">
        <f>IF(Offerte!$A57="","",Offerte!$C57)</f>
        <v/>
      </c>
      <c r="D1728" s="48" t="inlineStr">
        <is>
          <t>D.2.1</t>
        </is>
      </c>
      <c r="E1728" s="48" t="inlineStr">
        <is>
          <t>D</t>
        </is>
      </c>
      <c r="F1728" s="48" t="inlineStr">
        <is>
          <t>Q</t>
        </is>
      </c>
      <c r="G1728" s="48" t="inlineStr">
        <is>
          <t>higher</t>
        </is>
      </c>
      <c r="H1728" s="48" t="n">
        <v>2</v>
      </c>
      <c r="I1728" s="48" t="inlineStr">
        <is>
          <t>Segnali tattili Loges-Vet-Evolution</t>
        </is>
      </c>
      <c r="J1728" s="73" t="n"/>
      <c r="K1728" s="73" t="n"/>
      <c r="L1728" s="73" t="n"/>
      <c r="M1728" s="73" t="n"/>
      <c r="N1728" s="57">
        <f>IF($A1728="","",IFERROR(VALUE($J1728),0))</f>
        <v/>
      </c>
      <c r="O1728" s="57">
        <f>IF($A1728="",0,IF(OR($S1728&lt;&gt;1,COUNTA($J1728:$M1728)=0),0,IF(SUMPRODUCT(MAX(($C$5:$C$2484=$C1728)*($D$5:$D$2484=$D1728)*($S$5:$S$2484=1)*IFERROR($N$5:$N$2484*1,0)))&gt;0,ROUND($H1728*($N1728/SUMPRODUCT(MAX(($C$5:$C$2484=$C1728)*($D$5:$D$2484=$D1728)*($S$5:$S$2484=1)*IFERROR($N$5:$N$2484*1,0)))),4),0)))</f>
        <v/>
      </c>
      <c r="P1728" s="48" t="inlineStr">
        <is>
          <t>fermate</t>
        </is>
      </c>
      <c r="Q1728" s="57">
        <f>IF($A1728="","",$A1728&amp;"|"&amp;$C1728)</f>
        <v/>
      </c>
      <c r="R1728" s="57">
        <f>IF($A1728="","",$A1728&amp;"|"&amp;$C1728&amp;"|"&amp;$D1728)</f>
        <v/>
      </c>
      <c r="S1728" s="57">
        <f>IF($A1728="","",IFERROR(INDEX(Offerte!$D$2:$D$81,MATCH($Q1728,Offerte!$L$2:$L$81,0)),0))</f>
        <v/>
      </c>
      <c r="T1728" s="57">
        <f>IF($A1728="","",IFERROR(INDEX(Offerte!$G$2:$G$81,MATCH($Q1728,Offerte!$L$2:$L$81,0)),"NO"))</f>
        <v/>
      </c>
    </row>
    <row r="1729">
      <c r="A1729" s="48">
        <f>IF(Offerte!$A57="","",Offerte!$A57)</f>
        <v/>
      </c>
      <c r="B1729" s="48">
        <f>IF(Offerte!$A57="","",Offerte!$B57)</f>
        <v/>
      </c>
      <c r="C1729" s="48">
        <f>IF(Offerte!$A57="","",Offerte!$C57)</f>
        <v/>
      </c>
      <c r="D1729" s="48" t="inlineStr">
        <is>
          <t>E.1.1</t>
        </is>
      </c>
      <c r="E1729" s="48" t="inlineStr">
        <is>
          <t>E</t>
        </is>
      </c>
      <c r="F1729" s="48" t="inlineStr">
        <is>
          <t>T</t>
        </is>
      </c>
      <c r="G1729" s="48" t="inlineStr">
        <is>
          <t>tabular</t>
        </is>
      </c>
      <c r="H1729" s="48" t="n">
        <v>2</v>
      </c>
      <c r="I1729" s="48" t="inlineStr">
        <is>
          <t>Mobile app con travel planner PRM</t>
        </is>
      </c>
      <c r="J1729" s="73" t="n"/>
      <c r="K1729" s="73" t="n"/>
      <c r="L1729" s="73" t="n"/>
      <c r="M1729" s="73" t="n"/>
      <c r="N1729" s="57">
        <f>IF($A1729="","",IF(IFERROR(VALUE($M1729),0)=1,1,0))</f>
        <v/>
      </c>
      <c r="O1729" s="57">
        <f>IF($A1729="",0,IF(OR($S1729&lt;&gt;1,COUNTA($J1729:$M1729)=0),0,IF($N1729=1,$H1729,0)))</f>
        <v/>
      </c>
      <c r="P1729" s="48" t="inlineStr">
        <is>
          <t>sì/no</t>
        </is>
      </c>
      <c r="Q1729" s="57">
        <f>IF($A1729="","",$A1729&amp;"|"&amp;$C1729)</f>
        <v/>
      </c>
      <c r="R1729" s="57">
        <f>IF($A1729="","",$A1729&amp;"|"&amp;$C1729&amp;"|"&amp;$D1729)</f>
        <v/>
      </c>
      <c r="S1729" s="57">
        <f>IF($A1729="","",IFERROR(INDEX(Offerte!$D$2:$D$81,MATCH($Q1729,Offerte!$L$2:$L$81,0)),0))</f>
        <v/>
      </c>
      <c r="T1729" s="57">
        <f>IF($A1729="","",IFERROR(INDEX(Offerte!$G$2:$G$81,MATCH($Q1729,Offerte!$L$2:$L$81,0)),"NO"))</f>
        <v/>
      </c>
    </row>
    <row r="1730">
      <c r="A1730" s="48">
        <f>IF(Offerte!$A57="","",Offerte!$A57)</f>
        <v/>
      </c>
      <c r="B1730" s="48">
        <f>IF(Offerte!$A57="","",Offerte!$B57)</f>
        <v/>
      </c>
      <c r="C1730" s="48">
        <f>IF(Offerte!$A57="","",Offerte!$C57)</f>
        <v/>
      </c>
      <c r="D1730" s="48" t="inlineStr">
        <is>
          <t>E.2.1</t>
        </is>
      </c>
      <c r="E1730" s="48" t="inlineStr">
        <is>
          <t>E</t>
        </is>
      </c>
      <c r="F1730" s="48" t="inlineStr">
        <is>
          <t>D</t>
        </is>
      </c>
      <c r="G1730" s="48" t="inlineStr">
        <is>
          <t>discretionary</t>
        </is>
      </c>
      <c r="H1730" s="48" t="n">
        <v>2</v>
      </c>
      <c r="I1730" s="48" t="inlineStr">
        <is>
          <t>Altre azioni informative e rapporti con gli utenti</t>
        </is>
      </c>
      <c r="J1730" s="73" t="n"/>
      <c r="K1730" s="73" t="n"/>
      <c r="L1730" s="73" t="n"/>
      <c r="M1730" s="73" t="n"/>
      <c r="N1730" s="57">
        <f>IF($A1730="","",MAX(0,MIN(1,IFERROR(VALUE($M1730),0))))</f>
        <v/>
      </c>
      <c r="O1730" s="57">
        <f>IF($A1730="",0,IF(OR($S1730&lt;&gt;1,COUNTA($J1730:$M1730)=0),0,IF(SUMPRODUCT(MAX(($C$5:$C$2484=$C1730)*($D$5:$D$2484=$D1730)*($S$5:$S$2484=1)*IFERROR($N$5:$N$2484*1,0)))&gt;0,ROUND($H1730*($N1730/SUMPRODUCT(MAX(($C$5:$C$2484=$C1730)*($D$5:$D$2484=$D1730)*($S$5:$S$2484=1)*IFERROR($N$5:$N$2484*1,0)))),4),0)))</f>
        <v/>
      </c>
      <c r="P1730" s="48" t="inlineStr">
        <is>
          <t>coeff.</t>
        </is>
      </c>
      <c r="Q1730" s="57">
        <f>IF($A1730="","",$A1730&amp;"|"&amp;$C1730)</f>
        <v/>
      </c>
      <c r="R1730" s="57">
        <f>IF($A1730="","",$A1730&amp;"|"&amp;$C1730&amp;"|"&amp;$D1730)</f>
        <v/>
      </c>
      <c r="S1730" s="57">
        <f>IF($A1730="","",IFERROR(INDEX(Offerte!$D$2:$D$81,MATCH($Q1730,Offerte!$L$2:$L$81,0)),0))</f>
        <v/>
      </c>
      <c r="T1730" s="57">
        <f>IF($A1730="","",IFERROR(INDEX(Offerte!$G$2:$G$81,MATCH($Q1730,Offerte!$L$2:$L$81,0)),"NO"))</f>
        <v/>
      </c>
    </row>
    <row r="1731">
      <c r="A1731" s="48">
        <f>IF(Offerte!$A57="","",Offerte!$A57)</f>
        <v/>
      </c>
      <c r="B1731" s="48">
        <f>IF(Offerte!$A57="","",Offerte!$B57)</f>
        <v/>
      </c>
      <c r="C1731" s="48">
        <f>IF(Offerte!$A57="","",Offerte!$C57)</f>
        <v/>
      </c>
      <c r="D1731" s="48" t="inlineStr">
        <is>
          <t>F.1.1</t>
        </is>
      </c>
      <c r="E1731" s="48" t="inlineStr">
        <is>
          <t>F</t>
        </is>
      </c>
      <c r="F1731" s="48" t="inlineStr">
        <is>
          <t>Q</t>
        </is>
      </c>
      <c r="G1731" s="48" t="inlineStr">
        <is>
          <t>lower</t>
        </is>
      </c>
      <c r="H1731" s="48" t="n">
        <v>7</v>
      </c>
      <c r="I1731" s="48" t="inlineStr">
        <is>
          <t>Performance ambientali del parco mezzi adibito al servizio - I_CEA</t>
        </is>
      </c>
      <c r="J1731" s="73" t="n"/>
      <c r="K1731" s="73" t="n"/>
      <c r="L1731" s="73" t="n"/>
      <c r="M1731" s="73" t="n"/>
      <c r="N1731" s="57">
        <f>IF($A1731="","",IFERROR(VALUE($J1731),0))</f>
        <v/>
      </c>
      <c r="O1731" s="57">
        <f>IF($A1731="",0,IF(OR($S1731&lt;&gt;1,COUNTA($J1731:$M1731)=0),0,IF(AND(IFERROR(AGGREGATE(15,6,$N$5:$N$2484/(($C$5:$C$2484=$C1731)*($D$5:$D$2484=$D1731)*($S$5:$S$2484=1)*($N$5:$N$2484&gt;0)),1),0)&gt;0,$N1731&gt;0),ROUND($H1731*(IFERROR(AGGREGATE(15,6,$N$5:$N$2484/(($C$5:$C$2484=$C1731)*($D$5:$D$2484=$D1731)*($S$5:$S$2484=1)*($N$5:$N$2484&gt;0)),1),0)/$N1731),4),0)))</f>
        <v/>
      </c>
      <c r="P1731" s="48" t="inlineStr">
        <is>
          <t>indice</t>
        </is>
      </c>
      <c r="Q1731" s="57">
        <f>IF($A1731="","",$A1731&amp;"|"&amp;$C1731)</f>
        <v/>
      </c>
      <c r="R1731" s="57">
        <f>IF($A1731="","",$A1731&amp;"|"&amp;$C1731&amp;"|"&amp;$D1731)</f>
        <v/>
      </c>
      <c r="S1731" s="57">
        <f>IF($A1731="","",IFERROR(INDEX(Offerte!$D$2:$D$81,MATCH($Q1731,Offerte!$L$2:$L$81,0)),0))</f>
        <v/>
      </c>
      <c r="T1731" s="57">
        <f>IF($A1731="","",IFERROR(INDEX(Offerte!$G$2:$G$81,MATCH($Q1731,Offerte!$L$2:$L$81,0)),"NO"))</f>
        <v/>
      </c>
    </row>
    <row r="1732">
      <c r="A1732" s="48">
        <f>IF(Offerte!$A57="","",Offerte!$A57)</f>
        <v/>
      </c>
      <c r="B1732" s="48">
        <f>IF(Offerte!$A57="","",Offerte!$B57)</f>
        <v/>
      </c>
      <c r="C1732" s="48">
        <f>IF(Offerte!$A57="","",Offerte!$C57)</f>
        <v/>
      </c>
      <c r="D1732" s="48" t="inlineStr">
        <is>
          <t>F.2.1</t>
        </is>
      </c>
      <c r="E1732" s="48" t="inlineStr">
        <is>
          <t>F</t>
        </is>
      </c>
      <c r="F1732" s="48" t="inlineStr">
        <is>
          <t>Q</t>
        </is>
      </c>
      <c r="G1732" s="48" t="inlineStr">
        <is>
          <t>higher</t>
        </is>
      </c>
      <c r="H1732" s="48" t="n">
        <v>2</v>
      </c>
      <c r="I1732" s="48" t="inlineStr">
        <is>
          <t>Tasso di copertura del servizio con dispositivi ECO-DRIVER</t>
        </is>
      </c>
      <c r="J1732" s="73" t="n"/>
      <c r="K1732" s="73" t="n"/>
      <c r="L1732" s="73" t="n"/>
      <c r="M1732" s="73" t="n"/>
      <c r="N1732" s="57">
        <f>IF($A1732="","",IFERROR(VALUE($K1732)/VALUE($L1732),IFERROR(VALUE($J1732),0)))</f>
        <v/>
      </c>
      <c r="O1732" s="57">
        <f>IF($A1732="",0,IF(OR($S1732&lt;&gt;1,COUNTA($J1732:$M1732)=0),0,IF(SUMPRODUCT(MAX(($C$5:$C$2484=$C1732)*($D$5:$D$2484=$D1732)*($S$5:$S$2484=1)*IFERROR($N$5:$N$2484*1,0)))&gt;0,ROUND($H1732*($N1732/SUMPRODUCT(MAX(($C$5:$C$2484=$C1732)*($D$5:$D$2484=$D1732)*($S$5:$S$2484=1)*IFERROR($N$5:$N$2484*1,0)))),4),0)))</f>
        <v/>
      </c>
      <c r="P1732" s="48" t="inlineStr">
        <is>
          <t>Autobus attrezzati con dispositivi ECO-DRIVER / Autobus totali in offerta, incluse scorte</t>
        </is>
      </c>
      <c r="Q1732" s="57">
        <f>IF($A1732="","",$A1732&amp;"|"&amp;$C1732)</f>
        <v/>
      </c>
      <c r="R1732" s="57">
        <f>IF($A1732="","",$A1732&amp;"|"&amp;$C1732&amp;"|"&amp;$D1732)</f>
        <v/>
      </c>
      <c r="S1732" s="57">
        <f>IF($A1732="","",IFERROR(INDEX(Offerte!$D$2:$D$81,MATCH($Q1732,Offerte!$L$2:$L$81,0)),0))</f>
        <v/>
      </c>
      <c r="T1732" s="57">
        <f>IF($A1732="","",IFERROR(INDEX(Offerte!$G$2:$G$81,MATCH($Q1732,Offerte!$L$2:$L$81,0)),"NO"))</f>
        <v/>
      </c>
    </row>
    <row r="1733">
      <c r="A1733" s="48">
        <f>IF(Offerte!$A57="","",Offerte!$A57)</f>
        <v/>
      </c>
      <c r="B1733" s="48">
        <f>IF(Offerte!$A57="","",Offerte!$B57)</f>
        <v/>
      </c>
      <c r="C1733" s="48">
        <f>IF(Offerte!$A57="","",Offerte!$C57)</f>
        <v/>
      </c>
      <c r="D1733" s="48" t="inlineStr">
        <is>
          <t>F.3.1</t>
        </is>
      </c>
      <c r="E1733" s="48" t="inlineStr">
        <is>
          <t>F</t>
        </is>
      </c>
      <c r="F1733" s="48" t="inlineStr">
        <is>
          <t>Q</t>
        </is>
      </c>
      <c r="G1733" s="48" t="inlineStr">
        <is>
          <t>higher</t>
        </is>
      </c>
      <c r="H1733" s="48" t="n">
        <v>2</v>
      </c>
      <c r="I1733" s="48" t="inlineStr">
        <is>
          <t>Autoproduzione consumi elettrici per trazione</t>
        </is>
      </c>
      <c r="J1733" s="73" t="n"/>
      <c r="K1733" s="73" t="n"/>
      <c r="L1733" s="73" t="n"/>
      <c r="M1733" s="73" t="n"/>
      <c r="N1733" s="57">
        <f>IF($A1733="","",IFERROR(VALUE($J1733),0))</f>
        <v/>
      </c>
      <c r="O1733" s="57">
        <f>IF($A1733="",0,IF(OR($S1733&lt;&gt;1,COUNTA($J1733:$M1733)=0),0,IF(SUMPRODUCT(MAX(($C$5:$C$2484=$C1733)*($D$5:$D$2484=$D1733)*($S$5:$S$2484=1)*IFERROR($N$5:$N$2484*1,0)))&gt;0,ROUND($H1733*($N1733/SUMPRODUCT(MAX(($C$5:$C$2484=$C1733)*($D$5:$D$2484=$D1733)*($S$5:$S$2484=1)*IFERROR($N$5:$N$2484*1,0)))),4),0)))</f>
        <v/>
      </c>
      <c r="P1733" s="48" t="inlineStr">
        <is>
          <t>kWh/anno</t>
        </is>
      </c>
      <c r="Q1733" s="57">
        <f>IF($A1733="","",$A1733&amp;"|"&amp;$C1733)</f>
        <v/>
      </c>
      <c r="R1733" s="57">
        <f>IF($A1733="","",$A1733&amp;"|"&amp;$C1733&amp;"|"&amp;$D1733)</f>
        <v/>
      </c>
      <c r="S1733" s="57">
        <f>IF($A1733="","",IFERROR(INDEX(Offerte!$D$2:$D$81,MATCH($Q1733,Offerte!$L$2:$L$81,0)),0))</f>
        <v/>
      </c>
      <c r="T1733" s="57">
        <f>IF($A1733="","",IFERROR(INDEX(Offerte!$G$2:$G$81,MATCH($Q1733,Offerte!$L$2:$L$81,0)),"NO"))</f>
        <v/>
      </c>
    </row>
    <row r="1734">
      <c r="A1734" s="48">
        <f>IF(Offerte!$A57="","",Offerte!$A57)</f>
        <v/>
      </c>
      <c r="B1734" s="48">
        <f>IF(Offerte!$A57="","",Offerte!$B57)</f>
        <v/>
      </c>
      <c r="C1734" s="48">
        <f>IF(Offerte!$A57="","",Offerte!$C57)</f>
        <v/>
      </c>
      <c r="D1734" s="48" t="inlineStr">
        <is>
          <t>F.4.1</t>
        </is>
      </c>
      <c r="E1734" s="48" t="inlineStr">
        <is>
          <t>F</t>
        </is>
      </c>
      <c r="F1734" s="48" t="inlineStr">
        <is>
          <t>Q</t>
        </is>
      </c>
      <c r="G1734" s="48" t="inlineStr">
        <is>
          <t>soil</t>
        </is>
      </c>
      <c r="H1734" s="48" t="n">
        <v>2</v>
      </c>
      <c r="I1734" s="48" t="inlineStr">
        <is>
          <t>Indice di consumo di suolo</t>
        </is>
      </c>
      <c r="J1734" s="73" t="n"/>
      <c r="K1734" s="73" t="n"/>
      <c r="L1734" s="73" t="n"/>
      <c r="M1734" s="73" t="n"/>
      <c r="N1734" s="57">
        <f>IF($A1734="","",IFERROR(VALUE($J1734),0))</f>
        <v/>
      </c>
      <c r="O1734" s="57">
        <f>IF($A1734="",0,IF(OR($S1734&lt;&gt;1,COUNTA($J1734:$M1734)=0),0,IF($N1734&lt;=0,$H1734,IF(SUMPRODUCT(MAX(($C$5:$C$2484=$C1734)*($D$5:$D$2484=$D1734)*($S$5:$S$2484=1)*IFERROR($N$5:$N$2484*1,0)))&gt;0,ROUND($H1734*((SUMPRODUCT(MAX(($C$5:$C$2484=$C1734)*($D$5:$D$2484=$D1734)*($S$5:$S$2484=1)*IFERROR($N$5:$N$2484*1,0)))-$N1734)/SUMPRODUCT(MAX(($C$5:$C$2484=$C1734)*($D$5:$D$2484=$D1734)*($S$5:$S$2484=1)*IFERROR($N$5:$N$2484*1,0)))),4),0))))</f>
        <v/>
      </c>
      <c r="P1734" s="48" t="inlineStr">
        <is>
          <t>m2</t>
        </is>
      </c>
      <c r="Q1734" s="57">
        <f>IF($A1734="","",$A1734&amp;"|"&amp;$C1734)</f>
        <v/>
      </c>
      <c r="R1734" s="57">
        <f>IF($A1734="","",$A1734&amp;"|"&amp;$C1734&amp;"|"&amp;$D1734)</f>
        <v/>
      </c>
      <c r="S1734" s="57">
        <f>IF($A1734="","",IFERROR(INDEX(Offerte!$D$2:$D$81,MATCH($Q1734,Offerte!$L$2:$L$81,0)),0))</f>
        <v/>
      </c>
      <c r="T1734" s="57">
        <f>IF($A1734="","",IFERROR(INDEX(Offerte!$G$2:$G$81,MATCH($Q1734,Offerte!$L$2:$L$81,0)),"NO"))</f>
        <v/>
      </c>
    </row>
    <row r="1735">
      <c r="A1735" s="48">
        <f>IF(Offerte!$A57="","",Offerte!$A57)</f>
        <v/>
      </c>
      <c r="B1735" s="48">
        <f>IF(Offerte!$A57="","",Offerte!$B57)</f>
        <v/>
      </c>
      <c r="C1735" s="48">
        <f>IF(Offerte!$A57="","",Offerte!$C57)</f>
        <v/>
      </c>
      <c r="D1735" s="48" t="inlineStr">
        <is>
          <t>F.5.1</t>
        </is>
      </c>
      <c r="E1735" s="48" t="inlineStr">
        <is>
          <t>F</t>
        </is>
      </c>
      <c r="F1735" s="48" t="inlineStr">
        <is>
          <t>T</t>
        </is>
      </c>
      <c r="G1735" s="48" t="inlineStr">
        <is>
          <t>tabular</t>
        </is>
      </c>
      <c r="H1735" s="48" t="n">
        <v>1</v>
      </c>
      <c r="I1735" s="48" t="inlineStr">
        <is>
          <t>Rendicontazione di sostenibilità ambientale</t>
        </is>
      </c>
      <c r="J1735" s="73" t="n"/>
      <c r="K1735" s="73" t="n"/>
      <c r="L1735" s="73" t="n"/>
      <c r="M1735" s="73" t="n"/>
      <c r="N1735" s="57">
        <f>IF($A1735="","",IF(IFERROR(VALUE($M1735),0)=1,1,0))</f>
        <v/>
      </c>
      <c r="O1735" s="57">
        <f>IF($A1735="",0,IF(OR($S1735&lt;&gt;1,COUNTA($J1735:$M1735)=0),0,IF($N1735=1,$H1735,0)))</f>
        <v/>
      </c>
      <c r="P1735" s="48" t="inlineStr">
        <is>
          <t>sì/no</t>
        </is>
      </c>
      <c r="Q1735" s="57">
        <f>IF($A1735="","",$A1735&amp;"|"&amp;$C1735)</f>
        <v/>
      </c>
      <c r="R1735" s="57">
        <f>IF($A1735="","",$A1735&amp;"|"&amp;$C1735&amp;"|"&amp;$D1735)</f>
        <v/>
      </c>
      <c r="S1735" s="57">
        <f>IF($A1735="","",IFERROR(INDEX(Offerte!$D$2:$D$81,MATCH($Q1735,Offerte!$L$2:$L$81,0)),0))</f>
        <v/>
      </c>
      <c r="T1735" s="57">
        <f>IF($A1735="","",IFERROR(INDEX(Offerte!$G$2:$G$81,MATCH($Q1735,Offerte!$L$2:$L$81,0)),"NO"))</f>
        <v/>
      </c>
    </row>
    <row r="1736">
      <c r="A1736" s="48">
        <f>IF(Offerte!$A57="","",Offerte!$A57)</f>
        <v/>
      </c>
      <c r="B1736" s="48">
        <f>IF(Offerte!$A57="","",Offerte!$B57)</f>
        <v/>
      </c>
      <c r="C1736" s="48">
        <f>IF(Offerte!$A57="","",Offerte!$C57)</f>
        <v/>
      </c>
      <c r="D1736" s="48" t="inlineStr">
        <is>
          <t>G.1.1</t>
        </is>
      </c>
      <c r="E1736" s="48" t="inlineStr">
        <is>
          <t>G</t>
        </is>
      </c>
      <c r="F1736" s="48" t="inlineStr">
        <is>
          <t>D</t>
        </is>
      </c>
      <c r="G1736" s="48" t="inlineStr">
        <is>
          <t>discretionary</t>
        </is>
      </c>
      <c r="H1736" s="48" t="n">
        <v>2</v>
      </c>
      <c r="I1736" s="48" t="inlineStr">
        <is>
          <t>Qualità del progetto di centrale di controllo aziendale</t>
        </is>
      </c>
      <c r="J1736" s="73" t="n"/>
      <c r="K1736" s="73" t="n"/>
      <c r="L1736" s="73" t="n"/>
      <c r="M1736" s="73" t="n"/>
      <c r="N1736" s="57">
        <f>IF($A1736="","",MAX(0,MIN(1,IFERROR(VALUE($M1736),0))))</f>
        <v/>
      </c>
      <c r="O1736" s="57">
        <f>IF($A1736="",0,IF(OR($S1736&lt;&gt;1,COUNTA($J1736:$M1736)=0),0,IF(SUMPRODUCT(MAX(($C$5:$C$2484=$C1736)*($D$5:$D$2484=$D1736)*($S$5:$S$2484=1)*IFERROR($N$5:$N$2484*1,0)))&gt;0,ROUND($H1736*($N1736/SUMPRODUCT(MAX(($C$5:$C$2484=$C1736)*($D$5:$D$2484=$D1736)*($S$5:$S$2484=1)*IFERROR($N$5:$N$2484*1,0)))),4),0)))</f>
        <v/>
      </c>
      <c r="P1736" s="48" t="inlineStr">
        <is>
          <t>coeff.</t>
        </is>
      </c>
      <c r="Q1736" s="57">
        <f>IF($A1736="","",$A1736&amp;"|"&amp;$C1736)</f>
        <v/>
      </c>
      <c r="R1736" s="57">
        <f>IF($A1736="","",$A1736&amp;"|"&amp;$C1736&amp;"|"&amp;$D1736)</f>
        <v/>
      </c>
      <c r="S1736" s="57">
        <f>IF($A1736="","",IFERROR(INDEX(Offerte!$D$2:$D$81,MATCH($Q1736,Offerte!$L$2:$L$81,0)),0))</f>
        <v/>
      </c>
      <c r="T1736" s="57">
        <f>IF($A1736="","",IFERROR(INDEX(Offerte!$G$2:$G$81,MATCH($Q1736,Offerte!$L$2:$L$81,0)),"NO"))</f>
        <v/>
      </c>
    </row>
    <row r="1737">
      <c r="A1737" s="48">
        <f>IF(Offerte!$A57="","",Offerte!$A57)</f>
        <v/>
      </c>
      <c r="B1737" s="48">
        <f>IF(Offerte!$A57="","",Offerte!$B57)</f>
        <v/>
      </c>
      <c r="C1737" s="48">
        <f>IF(Offerte!$A57="","",Offerte!$C57)</f>
        <v/>
      </c>
      <c r="D1737" s="48" t="inlineStr">
        <is>
          <t>G.2.1</t>
        </is>
      </c>
      <c r="E1737" s="48" t="inlineStr">
        <is>
          <t>G</t>
        </is>
      </c>
      <c r="F1737" s="48" t="inlineStr">
        <is>
          <t>T</t>
        </is>
      </c>
      <c r="G1737" s="48" t="inlineStr">
        <is>
          <t>tabular</t>
        </is>
      </c>
      <c r="H1737" s="48" t="n">
        <v>1</v>
      </c>
      <c r="I1737" s="48" t="inlineStr">
        <is>
          <t>Certificazione ISO 45001</t>
        </is>
      </c>
      <c r="J1737" s="73" t="n"/>
      <c r="K1737" s="73" t="n"/>
      <c r="L1737" s="73" t="n"/>
      <c r="M1737" s="73" t="n"/>
      <c r="N1737" s="57">
        <f>IF($A1737="","",IF(IFERROR(VALUE($M1737),0)=1,1,0))</f>
        <v/>
      </c>
      <c r="O1737" s="57">
        <f>IF($A1737="",0,IF(OR($S1737&lt;&gt;1,COUNTA($J1737:$M1737)=0),0,IF($N1737=1,$H1737,0)))</f>
        <v/>
      </c>
      <c r="P1737" s="48" t="inlineStr">
        <is>
          <t>sì/no</t>
        </is>
      </c>
      <c r="Q1737" s="57">
        <f>IF($A1737="","",$A1737&amp;"|"&amp;$C1737)</f>
        <v/>
      </c>
      <c r="R1737" s="57">
        <f>IF($A1737="","",$A1737&amp;"|"&amp;$C1737&amp;"|"&amp;$D1737)</f>
        <v/>
      </c>
      <c r="S1737" s="57">
        <f>IF($A1737="","",IFERROR(INDEX(Offerte!$D$2:$D$81,MATCH($Q1737,Offerte!$L$2:$L$81,0)),0))</f>
        <v/>
      </c>
      <c r="T1737" s="57">
        <f>IF($A1737="","",IFERROR(INDEX(Offerte!$G$2:$G$81,MATCH($Q1737,Offerte!$L$2:$L$81,0)),"NO"))</f>
        <v/>
      </c>
    </row>
    <row r="1738">
      <c r="A1738" s="48">
        <f>IF(Offerte!$A57="","",Offerte!$A57)</f>
        <v/>
      </c>
      <c r="B1738" s="48">
        <f>IF(Offerte!$A57="","",Offerte!$B57)</f>
        <v/>
      </c>
      <c r="C1738" s="48">
        <f>IF(Offerte!$A57="","",Offerte!$C57)</f>
        <v/>
      </c>
      <c r="D1738" s="48" t="inlineStr">
        <is>
          <t>G.3.1</t>
        </is>
      </c>
      <c r="E1738" s="48" t="inlineStr">
        <is>
          <t>G</t>
        </is>
      </c>
      <c r="F1738" s="48" t="inlineStr">
        <is>
          <t>T</t>
        </is>
      </c>
      <c r="G1738" s="48" t="inlineStr">
        <is>
          <t>tabular</t>
        </is>
      </c>
      <c r="H1738" s="48" t="n">
        <v>1</v>
      </c>
      <c r="I1738" s="48" t="inlineStr">
        <is>
          <t>Certificazioni di responsabilità sociale</t>
        </is>
      </c>
      <c r="J1738" s="73" t="n"/>
      <c r="K1738" s="73" t="n"/>
      <c r="L1738" s="73" t="n"/>
      <c r="M1738" s="73" t="n"/>
      <c r="N1738" s="57">
        <f>IF($A1738="","",IF(IFERROR(VALUE($M1738),0)=1,1,0))</f>
        <v/>
      </c>
      <c r="O1738" s="57">
        <f>IF($A1738="",0,IF(OR($S1738&lt;&gt;1,COUNTA($J1738:$M1738)=0),0,IF($N1738=1,$H1738,0)))</f>
        <v/>
      </c>
      <c r="P1738" s="48" t="inlineStr">
        <is>
          <t>sì/no</t>
        </is>
      </c>
      <c r="Q1738" s="57">
        <f>IF($A1738="","",$A1738&amp;"|"&amp;$C1738)</f>
        <v/>
      </c>
      <c r="R1738" s="57">
        <f>IF($A1738="","",$A1738&amp;"|"&amp;$C1738&amp;"|"&amp;$D1738)</f>
        <v/>
      </c>
      <c r="S1738" s="57">
        <f>IF($A1738="","",IFERROR(INDEX(Offerte!$D$2:$D$81,MATCH($Q1738,Offerte!$L$2:$L$81,0)),0))</f>
        <v/>
      </c>
      <c r="T1738" s="57">
        <f>IF($A1738="","",IFERROR(INDEX(Offerte!$G$2:$G$81,MATCH($Q1738,Offerte!$L$2:$L$81,0)),"NO"))</f>
        <v/>
      </c>
    </row>
    <row r="1739">
      <c r="A1739" s="48">
        <f>IF(Offerte!$A57="","",Offerte!$A57)</f>
        <v/>
      </c>
      <c r="B1739" s="48">
        <f>IF(Offerte!$A57="","",Offerte!$B57)</f>
        <v/>
      </c>
      <c r="C1739" s="48">
        <f>IF(Offerte!$A57="","",Offerte!$C57)</f>
        <v/>
      </c>
      <c r="D1739" s="48" t="inlineStr">
        <is>
          <t>G.4.1</t>
        </is>
      </c>
      <c r="E1739" s="48" t="inlineStr">
        <is>
          <t>G</t>
        </is>
      </c>
      <c r="F1739" s="48" t="inlineStr">
        <is>
          <t>D</t>
        </is>
      </c>
      <c r="G1739" s="48" t="inlineStr">
        <is>
          <t>discretionary</t>
        </is>
      </c>
      <c r="H1739" s="48" t="n">
        <v>2</v>
      </c>
      <c r="I1739" s="48" t="inlineStr">
        <is>
          <t>Qualità del piano di formazione del personale</t>
        </is>
      </c>
      <c r="J1739" s="73" t="n"/>
      <c r="K1739" s="73" t="n"/>
      <c r="L1739" s="73" t="n"/>
      <c r="M1739" s="73" t="n"/>
      <c r="N1739" s="57">
        <f>IF($A1739="","",MAX(0,MIN(1,IFERROR(VALUE($M1739),0))))</f>
        <v/>
      </c>
      <c r="O1739" s="57">
        <f>IF($A1739="",0,IF(OR($S1739&lt;&gt;1,COUNTA($J1739:$M1739)=0),0,IF(SUMPRODUCT(MAX(($C$5:$C$2484=$C1739)*($D$5:$D$2484=$D1739)*($S$5:$S$2484=1)*IFERROR($N$5:$N$2484*1,0)))&gt;0,ROUND($H1739*($N1739/SUMPRODUCT(MAX(($C$5:$C$2484=$C1739)*($D$5:$D$2484=$D1739)*($S$5:$S$2484=1)*IFERROR($N$5:$N$2484*1,0)))),4),0)))</f>
        <v/>
      </c>
      <c r="P1739" s="48" t="inlineStr">
        <is>
          <t>coeff.</t>
        </is>
      </c>
      <c r="Q1739" s="57">
        <f>IF($A1739="","",$A1739&amp;"|"&amp;$C1739)</f>
        <v/>
      </c>
      <c r="R1739" s="57">
        <f>IF($A1739="","",$A1739&amp;"|"&amp;$C1739&amp;"|"&amp;$D1739)</f>
        <v/>
      </c>
      <c r="S1739" s="57">
        <f>IF($A1739="","",IFERROR(INDEX(Offerte!$D$2:$D$81,MATCH($Q1739,Offerte!$L$2:$L$81,0)),0))</f>
        <v/>
      </c>
      <c r="T1739" s="57">
        <f>IF($A1739="","",IFERROR(INDEX(Offerte!$G$2:$G$81,MATCH($Q1739,Offerte!$L$2:$L$81,0)),"NO"))</f>
        <v/>
      </c>
    </row>
    <row r="1740">
      <c r="A1740" s="48">
        <f>IF(Offerte!$A57="","",Offerte!$A57)</f>
        <v/>
      </c>
      <c r="B1740" s="48">
        <f>IF(Offerte!$A57="","",Offerte!$B57)</f>
        <v/>
      </c>
      <c r="C1740" s="48">
        <f>IF(Offerte!$A57="","",Offerte!$C57)</f>
        <v/>
      </c>
      <c r="D1740" s="48" t="inlineStr">
        <is>
          <t>G.5.1</t>
        </is>
      </c>
      <c r="E1740" s="48" t="inlineStr">
        <is>
          <t>G</t>
        </is>
      </c>
      <c r="F1740" s="48" t="inlineStr">
        <is>
          <t>T</t>
        </is>
      </c>
      <c r="G1740" s="48" t="inlineStr">
        <is>
          <t>tabular</t>
        </is>
      </c>
      <c r="H1740" s="48" t="n">
        <v>1</v>
      </c>
      <c r="I1740" s="48" t="inlineStr">
        <is>
          <t>Impegno al mantenimento delle garanzie del contratto di secondo livello del gestore uscente</t>
        </is>
      </c>
      <c r="J1740" s="73" t="n"/>
      <c r="K1740" s="73" t="n"/>
      <c r="L1740" s="73" t="n"/>
      <c r="M1740" s="73" t="n"/>
      <c r="N1740" s="57">
        <f>IF($A1740="","",IF(IFERROR(VALUE($M1740),0)=1,1,0))</f>
        <v/>
      </c>
      <c r="O1740" s="57">
        <f>IF($A1740="",0,IF(OR($S1740&lt;&gt;1,COUNTA($J1740:$M1740)=0),0,IF($N1740=1,$H1740,0)))</f>
        <v/>
      </c>
      <c r="P1740" s="48" t="inlineStr">
        <is>
          <t>sì/no</t>
        </is>
      </c>
      <c r="Q1740" s="57">
        <f>IF($A1740="","",$A1740&amp;"|"&amp;$C1740)</f>
        <v/>
      </c>
      <c r="R1740" s="57">
        <f>IF($A1740="","",$A1740&amp;"|"&amp;$C1740&amp;"|"&amp;$D1740)</f>
        <v/>
      </c>
      <c r="S1740" s="57">
        <f>IF($A1740="","",IFERROR(INDEX(Offerte!$D$2:$D$81,MATCH($Q1740,Offerte!$L$2:$L$81,0)),0))</f>
        <v/>
      </c>
      <c r="T1740" s="57">
        <f>IF($A1740="","",IFERROR(INDEX(Offerte!$G$2:$G$81,MATCH($Q1740,Offerte!$L$2:$L$81,0)),"NO"))</f>
        <v/>
      </c>
    </row>
    <row r="1741">
      <c r="A1741" s="48">
        <f>IF(Offerte!$A58="","",Offerte!$A58)</f>
        <v/>
      </c>
      <c r="B1741" s="48">
        <f>IF(Offerte!$A58="","",Offerte!$B58)</f>
        <v/>
      </c>
      <c r="C1741" s="48">
        <f>IF(Offerte!$A58="","",Offerte!$C58)</f>
        <v/>
      </c>
      <c r="D1741" s="48" t="inlineStr">
        <is>
          <t>A.1.1</t>
        </is>
      </c>
      <c r="E1741" s="48" t="inlineStr">
        <is>
          <t>A</t>
        </is>
      </c>
      <c r="F1741" s="48" t="inlineStr">
        <is>
          <t>Q</t>
        </is>
      </c>
      <c r="G1741" s="48" t="inlineStr">
        <is>
          <t>higher</t>
        </is>
      </c>
      <c r="H1741" s="48" t="n">
        <v>3</v>
      </c>
      <c r="I1741" s="48" t="inlineStr">
        <is>
          <t>Tasso aggiuntivo di corse controllate</t>
        </is>
      </c>
      <c r="J1741" s="73" t="n"/>
      <c r="K1741" s="73" t="n"/>
      <c r="L1741" s="73" t="n"/>
      <c r="M1741" s="73" t="n"/>
      <c r="N1741" s="57">
        <f>IF($A1741="","",IFERROR(VALUE($K1741)/VALUE($L1741)*100,IFERROR(VALUE($J1741),0)))</f>
        <v/>
      </c>
      <c r="O1741" s="57">
        <f>IF($A1741="",0,IF(OR($S1741&lt;&gt;1,COUNTA($J1741:$M1741)=0),0,IF(SUMPRODUCT(MAX(($C$5:$C$2484=$C1741)*($D$5:$D$2484=$D1741)*($S$5:$S$2484=1)*IFERROR($N$5:$N$2484*1,0)))&gt;0,ROUND($H1741*($N1741/SUMPRODUCT(MAX(($C$5:$C$2484=$C1741)*($D$5:$D$2484=$D1741)*($S$5:$S$2484=1)*IFERROR($N$5:$N$2484*1,0)))),4),0)))</f>
        <v/>
      </c>
      <c r="P1741" s="48" t="inlineStr">
        <is>
          <t>Corse controllate annue / Corse programmate annue</t>
        </is>
      </c>
      <c r="Q1741" s="57">
        <f>IF($A1741="","",$A1741&amp;"|"&amp;$C1741)</f>
        <v/>
      </c>
      <c r="R1741" s="57">
        <f>IF($A1741="","",$A1741&amp;"|"&amp;$C1741&amp;"|"&amp;$D1741)</f>
        <v/>
      </c>
      <c r="S1741" s="57">
        <f>IF($A1741="","",IFERROR(INDEX(Offerte!$D$2:$D$81,MATCH($Q1741,Offerte!$L$2:$L$81,0)),0))</f>
        <v/>
      </c>
      <c r="T1741" s="57">
        <f>IF($A1741="","",IFERROR(INDEX(Offerte!$G$2:$G$81,MATCH($Q1741,Offerte!$L$2:$L$81,0)),"NO"))</f>
        <v/>
      </c>
    </row>
    <row r="1742">
      <c r="A1742" s="48">
        <f>IF(Offerte!$A58="","",Offerte!$A58)</f>
        <v/>
      </c>
      <c r="B1742" s="48">
        <f>IF(Offerte!$A58="","",Offerte!$B58)</f>
        <v/>
      </c>
      <c r="C1742" s="48">
        <f>IF(Offerte!$A58="","",Offerte!$C58)</f>
        <v/>
      </c>
      <c r="D1742" s="48" t="inlineStr">
        <is>
          <t>A.1.2</t>
        </is>
      </c>
      <c r="E1742" s="48" t="inlineStr">
        <is>
          <t>A</t>
        </is>
      </c>
      <c r="F1742" s="48" t="inlineStr">
        <is>
          <t>Q</t>
        </is>
      </c>
      <c r="G1742" s="48" t="inlineStr">
        <is>
          <t>higher</t>
        </is>
      </c>
      <c r="H1742" s="48" t="n">
        <v>4</v>
      </c>
      <c r="I1742" s="48" t="inlineStr">
        <is>
          <t>Numero aggiuntivo di passeggeri controllati</t>
        </is>
      </c>
      <c r="J1742" s="73" t="n"/>
      <c r="K1742" s="73" t="n"/>
      <c r="L1742" s="73" t="n"/>
      <c r="M1742" s="73" t="n"/>
      <c r="N1742" s="57">
        <f>IF($A1742="","",IFERROR(VALUE($J1742),0))</f>
        <v/>
      </c>
      <c r="O1742" s="57">
        <f>IF($A1742="",0,IF(OR($S1742&lt;&gt;1,COUNTA($J1742:$M1742)=0),0,IF(SUMPRODUCT(MAX(($C$5:$C$2484=$C1742)*($D$5:$D$2484=$D1742)*($S$5:$S$2484=1)*IFERROR($N$5:$N$2484*1,0)))&gt;0,ROUND($H1742*($N1742/SUMPRODUCT(MAX(($C$5:$C$2484=$C1742)*($D$5:$D$2484=$D1742)*($S$5:$S$2484=1)*IFERROR($N$5:$N$2484*1,0)))),4),0)))</f>
        <v/>
      </c>
      <c r="P1742" s="48" t="inlineStr">
        <is>
          <t>passeggeri/anno</t>
        </is>
      </c>
      <c r="Q1742" s="57">
        <f>IF($A1742="","",$A1742&amp;"|"&amp;$C1742)</f>
        <v/>
      </c>
      <c r="R1742" s="57">
        <f>IF($A1742="","",$A1742&amp;"|"&amp;$C1742&amp;"|"&amp;$D1742)</f>
        <v/>
      </c>
      <c r="S1742" s="57">
        <f>IF($A1742="","",IFERROR(INDEX(Offerte!$D$2:$D$81,MATCH($Q1742,Offerte!$L$2:$L$81,0)),0))</f>
        <v/>
      </c>
      <c r="T1742" s="57">
        <f>IF($A1742="","",IFERROR(INDEX(Offerte!$G$2:$G$81,MATCH($Q1742,Offerte!$L$2:$L$81,0)),"NO"))</f>
        <v/>
      </c>
    </row>
    <row r="1743">
      <c r="A1743" s="48">
        <f>IF(Offerte!$A58="","",Offerte!$A58)</f>
        <v/>
      </c>
      <c r="B1743" s="48">
        <f>IF(Offerte!$A58="","",Offerte!$B58)</f>
        <v/>
      </c>
      <c r="C1743" s="48">
        <f>IF(Offerte!$A58="","",Offerte!$C58)</f>
        <v/>
      </c>
      <c r="D1743" s="48" t="inlineStr">
        <is>
          <t>B.1.1</t>
        </is>
      </c>
      <c r="E1743" s="48" t="inlineStr">
        <is>
          <t>B</t>
        </is>
      </c>
      <c r="F1743" s="48" t="inlineStr">
        <is>
          <t>Q</t>
        </is>
      </c>
      <c r="G1743" s="48" t="inlineStr">
        <is>
          <t>higher</t>
        </is>
      </c>
      <c r="H1743" s="48" t="n">
        <v>3</v>
      </c>
      <c r="I1743" s="48" t="inlineStr">
        <is>
          <t>Incremento dei posti offerti nelle fasce di punta</t>
        </is>
      </c>
      <c r="J1743" s="73" t="n"/>
      <c r="K1743" s="73" t="n"/>
      <c r="L1743" s="73" t="n"/>
      <c r="M1743" s="73" t="n"/>
      <c r="N1743" s="57">
        <f>IF($A1743="","",IFERROR(VALUE($J1743),0))</f>
        <v/>
      </c>
      <c r="O1743" s="57">
        <f>IF($A1743="",0,IF(OR($S1743&lt;&gt;1,COUNTA($J1743:$M1743)=0),0,IF(SUMPRODUCT(MAX(($C$5:$C$2484=$C1743)*($D$5:$D$2484=$D1743)*($S$5:$S$2484=1)*IFERROR($N$5:$N$2484*1,0)))&gt;0,ROUND($H1743*($N1743/SUMPRODUCT(MAX(($C$5:$C$2484=$C1743)*($D$5:$D$2484=$D1743)*($S$5:$S$2484=1)*IFERROR($N$5:$N$2484*1,0)))),4),0)))</f>
        <v/>
      </c>
      <c r="P1743" s="48" t="inlineStr">
        <is>
          <t>posti*km</t>
        </is>
      </c>
      <c r="Q1743" s="57">
        <f>IF($A1743="","",$A1743&amp;"|"&amp;$C1743)</f>
        <v/>
      </c>
      <c r="R1743" s="57">
        <f>IF($A1743="","",$A1743&amp;"|"&amp;$C1743&amp;"|"&amp;$D1743)</f>
        <v/>
      </c>
      <c r="S1743" s="57">
        <f>IF($A1743="","",IFERROR(INDEX(Offerte!$D$2:$D$81,MATCH($Q1743,Offerte!$L$2:$L$81,0)),0))</f>
        <v/>
      </c>
      <c r="T1743" s="57">
        <f>IF($A1743="","",IFERROR(INDEX(Offerte!$G$2:$G$81,MATCH($Q1743,Offerte!$L$2:$L$81,0)),"NO"))</f>
        <v/>
      </c>
    </row>
    <row r="1744">
      <c r="A1744" s="48">
        <f>IF(Offerte!$A58="","",Offerte!$A58)</f>
        <v/>
      </c>
      <c r="B1744" s="48">
        <f>IF(Offerte!$A58="","",Offerte!$B58)</f>
        <v/>
      </c>
      <c r="C1744" s="48">
        <f>IF(Offerte!$A58="","",Offerte!$C58)</f>
        <v/>
      </c>
      <c r="D1744" s="48" t="inlineStr">
        <is>
          <t>B.2.1</t>
        </is>
      </c>
      <c r="E1744" s="48" t="inlineStr">
        <is>
          <t>B</t>
        </is>
      </c>
      <c r="F1744" s="48" t="inlineStr">
        <is>
          <t>Q</t>
        </is>
      </c>
      <c r="G1744" s="48" t="inlineStr">
        <is>
          <t>higher</t>
        </is>
      </c>
      <c r="H1744" s="48" t="n">
        <v>4</v>
      </c>
      <c r="I1744" s="48" t="inlineStr">
        <is>
          <t>Corse aggiuntive nell'arco giornaliero base</t>
        </is>
      </c>
      <c r="J1744" s="73" t="n"/>
      <c r="K1744" s="73" t="n"/>
      <c r="L1744" s="73" t="n"/>
      <c r="M1744" s="73" t="n"/>
      <c r="N1744" s="57">
        <f>IF($A1744="","",IFERROR(VALUE($J1744),0))</f>
        <v/>
      </c>
      <c r="O1744" s="57">
        <f>IF($A1744="",0,IF(OR($S1744&lt;&gt;1,COUNTA($J1744:$M1744)=0),0,IF(SUMPRODUCT(MAX(($C$5:$C$2484=$C1744)*($D$5:$D$2484=$D1744)*($S$5:$S$2484=1)*IFERROR($N$5:$N$2484*1,0)))&gt;0,ROUND($H1744*($N1744/SUMPRODUCT(MAX(($C$5:$C$2484=$C1744)*($D$5:$D$2484=$D1744)*($S$5:$S$2484=1)*IFERROR($N$5:$N$2484*1,0)))),4),0)))</f>
        <v/>
      </c>
      <c r="P1744" s="48" t="inlineStr">
        <is>
          <t>corse</t>
        </is>
      </c>
      <c r="Q1744" s="57">
        <f>IF($A1744="","",$A1744&amp;"|"&amp;$C1744)</f>
        <v/>
      </c>
      <c r="R1744" s="57">
        <f>IF($A1744="","",$A1744&amp;"|"&amp;$C1744&amp;"|"&amp;$D1744)</f>
        <v/>
      </c>
      <c r="S1744" s="57">
        <f>IF($A1744="","",IFERROR(INDEX(Offerte!$D$2:$D$81,MATCH($Q1744,Offerte!$L$2:$L$81,0)),0))</f>
        <v/>
      </c>
      <c r="T1744" s="57">
        <f>IF($A1744="","",IFERROR(INDEX(Offerte!$G$2:$G$81,MATCH($Q1744,Offerte!$L$2:$L$81,0)),"NO"))</f>
        <v/>
      </c>
    </row>
    <row r="1745">
      <c r="A1745" s="48">
        <f>IF(Offerte!$A58="","",Offerte!$A58)</f>
        <v/>
      </c>
      <c r="B1745" s="48">
        <f>IF(Offerte!$A58="","",Offerte!$B58)</f>
        <v/>
      </c>
      <c r="C1745" s="48">
        <f>IF(Offerte!$A58="","",Offerte!$C58)</f>
        <v/>
      </c>
      <c r="D1745" s="48" t="inlineStr">
        <is>
          <t>B.3.1</t>
        </is>
      </c>
      <c r="E1745" s="48" t="inlineStr">
        <is>
          <t>B</t>
        </is>
      </c>
      <c r="F1745" s="48" t="inlineStr">
        <is>
          <t>Q</t>
        </is>
      </c>
      <c r="G1745" s="48" t="inlineStr">
        <is>
          <t>higher</t>
        </is>
      </c>
      <c r="H1745" s="48" t="n">
        <v>2</v>
      </c>
      <c r="I1745" s="48" t="inlineStr">
        <is>
          <t>Numero di corse aggiuntive per allungamento dell'arco di servizio giornaliero nelle fasce serali</t>
        </is>
      </c>
      <c r="J1745" s="73" t="n"/>
      <c r="K1745" s="73" t="n"/>
      <c r="L1745" s="73" t="n"/>
      <c r="M1745" s="73" t="n"/>
      <c r="N1745" s="57">
        <f>IF($A1745="","",IFERROR(VALUE($J1745),0))</f>
        <v/>
      </c>
      <c r="O1745" s="57">
        <f>IF($A1745="",0,IF(OR($S1745&lt;&gt;1,COUNTA($J1745:$M1745)=0),0,IF(SUMPRODUCT(MAX(($C$5:$C$2484=$C1745)*($D$5:$D$2484=$D1745)*($S$5:$S$2484=1)*IFERROR($N$5:$N$2484*1,0)))&gt;0,ROUND($H1745*($N1745/SUMPRODUCT(MAX(($C$5:$C$2484=$C1745)*($D$5:$D$2484=$D1745)*($S$5:$S$2484=1)*IFERROR($N$5:$N$2484*1,0)))),4),0)))</f>
        <v/>
      </c>
      <c r="P1745" s="48" t="inlineStr">
        <is>
          <t>corse</t>
        </is>
      </c>
      <c r="Q1745" s="57">
        <f>IF($A1745="","",$A1745&amp;"|"&amp;$C1745)</f>
        <v/>
      </c>
      <c r="R1745" s="57">
        <f>IF($A1745="","",$A1745&amp;"|"&amp;$C1745&amp;"|"&amp;$D1745)</f>
        <v/>
      </c>
      <c r="S1745" s="57">
        <f>IF($A1745="","",IFERROR(INDEX(Offerte!$D$2:$D$81,MATCH($Q1745,Offerte!$L$2:$L$81,0)),0))</f>
        <v/>
      </c>
      <c r="T1745" s="57">
        <f>IF($A1745="","",IFERROR(INDEX(Offerte!$G$2:$G$81,MATCH($Q1745,Offerte!$L$2:$L$81,0)),"NO"))</f>
        <v/>
      </c>
    </row>
    <row r="1746">
      <c r="A1746" s="48">
        <f>IF(Offerte!$A58="","",Offerte!$A58)</f>
        <v/>
      </c>
      <c r="B1746" s="48">
        <f>IF(Offerte!$A58="","",Offerte!$B58)</f>
        <v/>
      </c>
      <c r="C1746" s="48">
        <f>IF(Offerte!$A58="","",Offerte!$C58)</f>
        <v/>
      </c>
      <c r="D1746" s="48" t="inlineStr">
        <is>
          <t>B.4.1</t>
        </is>
      </c>
      <c r="E1746" s="48" t="inlineStr">
        <is>
          <t>B</t>
        </is>
      </c>
      <c r="F1746" s="48" t="inlineStr">
        <is>
          <t>Q</t>
        </is>
      </c>
      <c r="G1746" s="48" t="inlineStr">
        <is>
          <t>higher</t>
        </is>
      </c>
      <c r="H1746" s="48" t="n">
        <v>3</v>
      </c>
      <c r="I1746" s="48" t="inlineStr">
        <is>
          <t>Percorrenze aggiuntive offerte nel Programma d'esercizio delle prime due fasi attuative</t>
        </is>
      </c>
      <c r="J1746" s="73" t="n"/>
      <c r="K1746" s="73" t="n"/>
      <c r="L1746" s="73" t="n"/>
      <c r="M1746" s="73" t="n"/>
      <c r="N1746" s="57">
        <f>IF($A1746="","",IFERROR(VALUE($J1746),0))</f>
        <v/>
      </c>
      <c r="O1746" s="57">
        <f>IF($A1746="",0,IF(OR($S1746&lt;&gt;1,COUNTA($J1746:$M1746)=0),0,IF(SUMPRODUCT(MAX(($C$5:$C$2484=$C1746)*($D$5:$D$2484=$D1746)*($S$5:$S$2484=1)*IFERROR($N$5:$N$2484*1,0)))&gt;0,ROUND($H1746*($N1746/SUMPRODUCT(MAX(($C$5:$C$2484=$C1746)*($D$5:$D$2484=$D1746)*($S$5:$S$2484=1)*IFERROR($N$5:$N$2484*1,0)))),4),0)))</f>
        <v/>
      </c>
      <c r="P1746" s="48" t="inlineStr">
        <is>
          <t>vett*km</t>
        </is>
      </c>
      <c r="Q1746" s="57">
        <f>IF($A1746="","",$A1746&amp;"|"&amp;$C1746)</f>
        <v/>
      </c>
      <c r="R1746" s="57">
        <f>IF($A1746="","",$A1746&amp;"|"&amp;$C1746&amp;"|"&amp;$D1746)</f>
        <v/>
      </c>
      <c r="S1746" s="57">
        <f>IF($A1746="","",IFERROR(INDEX(Offerte!$D$2:$D$81,MATCH($Q1746,Offerte!$L$2:$L$81,0)),0))</f>
        <v/>
      </c>
      <c r="T1746" s="57">
        <f>IF($A1746="","",IFERROR(INDEX(Offerte!$G$2:$G$81,MATCH($Q1746,Offerte!$L$2:$L$81,0)),"NO"))</f>
        <v/>
      </c>
    </row>
    <row r="1747">
      <c r="A1747" s="48">
        <f>IF(Offerte!$A58="","",Offerte!$A58)</f>
        <v/>
      </c>
      <c r="B1747" s="48">
        <f>IF(Offerte!$A58="","",Offerte!$B58)</f>
        <v/>
      </c>
      <c r="C1747" s="48">
        <f>IF(Offerte!$A58="","",Offerte!$C58)</f>
        <v/>
      </c>
      <c r="D1747" s="48" t="inlineStr">
        <is>
          <t>B.5.1</t>
        </is>
      </c>
      <c r="E1747" s="48" t="inlineStr">
        <is>
          <t>B</t>
        </is>
      </c>
      <c r="F1747" s="48" t="inlineStr">
        <is>
          <t>D</t>
        </is>
      </c>
      <c r="G1747" s="48" t="inlineStr">
        <is>
          <t>discretionary</t>
        </is>
      </c>
      <c r="H1747" s="48" t="n">
        <v>2</v>
      </c>
      <c r="I1747" s="48" t="inlineStr">
        <is>
          <t>Efficacia del progetto di servizi complementari DRT</t>
        </is>
      </c>
      <c r="J1747" s="73" t="n"/>
      <c r="K1747" s="73" t="n"/>
      <c r="L1747" s="73" t="n"/>
      <c r="M1747" s="73" t="n"/>
      <c r="N1747" s="57">
        <f>IF($A1747="","",MAX(0,MIN(1,IFERROR(VALUE($M1747),0))))</f>
        <v/>
      </c>
      <c r="O1747" s="57">
        <f>IF($A1747="",0,IF(OR($S1747&lt;&gt;1,COUNTA($J1747:$M1747)=0),0,IF(SUMPRODUCT(MAX(($C$5:$C$2484=$C1747)*($D$5:$D$2484=$D1747)*($S$5:$S$2484=1)*IFERROR($N$5:$N$2484*1,0)))&gt;0,ROUND($H1747*($N1747/SUMPRODUCT(MAX(($C$5:$C$2484=$C1747)*($D$5:$D$2484=$D1747)*($S$5:$S$2484=1)*IFERROR($N$5:$N$2484*1,0)))),4),0)))</f>
        <v/>
      </c>
      <c r="P1747" s="48" t="inlineStr">
        <is>
          <t>coeff.</t>
        </is>
      </c>
      <c r="Q1747" s="57">
        <f>IF($A1747="","",$A1747&amp;"|"&amp;$C1747)</f>
        <v/>
      </c>
      <c r="R1747" s="57">
        <f>IF($A1747="","",$A1747&amp;"|"&amp;$C1747&amp;"|"&amp;$D1747)</f>
        <v/>
      </c>
      <c r="S1747" s="57">
        <f>IF($A1747="","",IFERROR(INDEX(Offerte!$D$2:$D$81,MATCH($Q1747,Offerte!$L$2:$L$81,0)),0))</f>
        <v/>
      </c>
      <c r="T1747" s="57">
        <f>IF($A1747="","",IFERROR(INDEX(Offerte!$G$2:$G$81,MATCH($Q1747,Offerte!$L$2:$L$81,0)),"NO"))</f>
        <v/>
      </c>
    </row>
    <row r="1748">
      <c r="A1748" s="48">
        <f>IF(Offerte!$A58="","",Offerte!$A58)</f>
        <v/>
      </c>
      <c r="B1748" s="48">
        <f>IF(Offerte!$A58="","",Offerte!$B58)</f>
        <v/>
      </c>
      <c r="C1748" s="48">
        <f>IF(Offerte!$A58="","",Offerte!$C58)</f>
        <v/>
      </c>
      <c r="D1748" s="48" t="inlineStr">
        <is>
          <t>C.1.1</t>
        </is>
      </c>
      <c r="E1748" s="48" t="inlineStr">
        <is>
          <t>C</t>
        </is>
      </c>
      <c r="F1748" s="48" t="inlineStr">
        <is>
          <t>Q</t>
        </is>
      </c>
      <c r="G1748" s="48" t="inlineStr">
        <is>
          <t>higher</t>
        </is>
      </c>
      <c r="H1748" s="48" t="n">
        <v>2</v>
      </c>
      <c r="I1748" s="48" t="inlineStr">
        <is>
          <t>Tasso di copertura del servizio con telecamere BSD</t>
        </is>
      </c>
      <c r="J1748" s="73" t="n"/>
      <c r="K1748" s="73" t="n"/>
      <c r="L1748" s="73" t="n"/>
      <c r="M1748" s="73" t="n"/>
      <c r="N1748" s="57">
        <f>IF($A1748="","",IFERROR(VALUE($K1748)/VALUE($L1748),IFERROR(VALUE($J1748),0)))</f>
        <v/>
      </c>
      <c r="O1748" s="57">
        <f>IF($A1748="",0,IF(OR($S1748&lt;&gt;1,COUNTA($J1748:$M1748)=0),0,IF(SUMPRODUCT(MAX(($C$5:$C$2484=$C1748)*($D$5:$D$2484=$D1748)*($S$5:$S$2484=1)*IFERROR($N$5:$N$2484*1,0)))&gt;0,ROUND($H1748*($N1748/SUMPRODUCT(MAX(($C$5:$C$2484=$C1748)*($D$5:$D$2484=$D1748)*($S$5:$S$2484=1)*IFERROR($N$5:$N$2484*1,0)))),4),0)))</f>
        <v/>
      </c>
      <c r="P1748" s="48" t="inlineStr">
        <is>
          <t>Autobus attrezzati con telecamere BSD / Autobus totali in offerta, incluse scorte</t>
        </is>
      </c>
      <c r="Q1748" s="57">
        <f>IF($A1748="","",$A1748&amp;"|"&amp;$C1748)</f>
        <v/>
      </c>
      <c r="R1748" s="57">
        <f>IF($A1748="","",$A1748&amp;"|"&amp;$C1748&amp;"|"&amp;$D1748)</f>
        <v/>
      </c>
      <c r="S1748" s="57">
        <f>IF($A1748="","",IFERROR(INDEX(Offerte!$D$2:$D$81,MATCH($Q1748,Offerte!$L$2:$L$81,0)),0))</f>
        <v/>
      </c>
      <c r="T1748" s="57">
        <f>IF($A1748="","",IFERROR(INDEX(Offerte!$G$2:$G$81,MATCH($Q1748,Offerte!$L$2:$L$81,0)),"NO"))</f>
        <v/>
      </c>
    </row>
    <row r="1749">
      <c r="A1749" s="48">
        <f>IF(Offerte!$A58="","",Offerte!$A58)</f>
        <v/>
      </c>
      <c r="B1749" s="48">
        <f>IF(Offerte!$A58="","",Offerte!$B58)</f>
        <v/>
      </c>
      <c r="C1749" s="48">
        <f>IF(Offerte!$A58="","",Offerte!$C58)</f>
        <v/>
      </c>
      <c r="D1749" s="48" t="inlineStr">
        <is>
          <t>C.1.2</t>
        </is>
      </c>
      <c r="E1749" s="48" t="inlineStr">
        <is>
          <t>C</t>
        </is>
      </c>
      <c r="F1749" s="48" t="inlineStr">
        <is>
          <t>Q</t>
        </is>
      </c>
      <c r="G1749" s="48" t="inlineStr">
        <is>
          <t>higher</t>
        </is>
      </c>
      <c r="H1749" s="48" t="n">
        <v>2</v>
      </c>
      <c r="I1749" s="48" t="inlineStr">
        <is>
          <t>Tasso di copertura del servizio con telecamere ADAS</t>
        </is>
      </c>
      <c r="J1749" s="73" t="n"/>
      <c r="K1749" s="73" t="n"/>
      <c r="L1749" s="73" t="n"/>
      <c r="M1749" s="73" t="n"/>
      <c r="N1749" s="57">
        <f>IF($A1749="","",IFERROR(VALUE($K1749)/VALUE($L1749),IFERROR(VALUE($J1749),0)))</f>
        <v/>
      </c>
      <c r="O1749" s="57">
        <f>IF($A1749="",0,IF(OR($S1749&lt;&gt;1,COUNTA($J1749:$M1749)=0),0,IF(SUMPRODUCT(MAX(($C$5:$C$2484=$C1749)*($D$5:$D$2484=$D1749)*($S$5:$S$2484=1)*IFERROR($N$5:$N$2484*1,0)))&gt;0,ROUND($H1749*($N1749/SUMPRODUCT(MAX(($C$5:$C$2484=$C1749)*($D$5:$D$2484=$D1749)*($S$5:$S$2484=1)*IFERROR($N$5:$N$2484*1,0)))),4),0)))</f>
        <v/>
      </c>
      <c r="P1749" s="48" t="inlineStr">
        <is>
          <t>Autobus attrezzati con telecamere ADAS / Autobus totali in offerta, incluse scorte</t>
        </is>
      </c>
      <c r="Q1749" s="57">
        <f>IF($A1749="","",$A1749&amp;"|"&amp;$C1749)</f>
        <v/>
      </c>
      <c r="R1749" s="57">
        <f>IF($A1749="","",$A1749&amp;"|"&amp;$C1749&amp;"|"&amp;$D1749)</f>
        <v/>
      </c>
      <c r="S1749" s="57">
        <f>IF($A1749="","",IFERROR(INDEX(Offerte!$D$2:$D$81,MATCH($Q1749,Offerte!$L$2:$L$81,0)),0))</f>
        <v/>
      </c>
      <c r="T1749" s="57">
        <f>IF($A1749="","",IFERROR(INDEX(Offerte!$G$2:$G$81,MATCH($Q1749,Offerte!$L$2:$L$81,0)),"NO"))</f>
        <v/>
      </c>
    </row>
    <row r="1750">
      <c r="A1750" s="48">
        <f>IF(Offerte!$A58="","",Offerte!$A58)</f>
        <v/>
      </c>
      <c r="B1750" s="48">
        <f>IF(Offerte!$A58="","",Offerte!$B58)</f>
        <v/>
      </c>
      <c r="C1750" s="48">
        <f>IF(Offerte!$A58="","",Offerte!$C58)</f>
        <v/>
      </c>
      <c r="D1750" s="48" t="inlineStr">
        <is>
          <t>C.2.1</t>
        </is>
      </c>
      <c r="E1750" s="48" t="inlineStr">
        <is>
          <t>C</t>
        </is>
      </c>
      <c r="F1750" s="48" t="inlineStr">
        <is>
          <t>Q</t>
        </is>
      </c>
      <c r="G1750" s="48" t="inlineStr">
        <is>
          <t>higher</t>
        </is>
      </c>
      <c r="H1750" s="48" t="n">
        <v>3</v>
      </c>
      <c r="I1750" s="48" t="inlineStr">
        <is>
          <t>Tasso di copertura del servizio con telecamere di bordo di videosorveglianza</t>
        </is>
      </c>
      <c r="J1750" s="73" t="n"/>
      <c r="K1750" s="73" t="n"/>
      <c r="L1750" s="73" t="n"/>
      <c r="M1750" s="73" t="n"/>
      <c r="N1750" s="57">
        <f>IF($A1750="","",IFERROR(VALUE($K1750)/VALUE($L1750),IFERROR(VALUE($J1750),0)))</f>
        <v/>
      </c>
      <c r="O1750" s="57">
        <f>IF($A1750="",0,IF(OR($S1750&lt;&gt;1,COUNTA($J1750:$M1750)=0),0,IF(SUMPRODUCT(MAX(($C$5:$C$2484=$C1750)*($D$5:$D$2484=$D1750)*($S$5:$S$2484=1)*IFERROR($N$5:$N$2484*1,0)))&gt;0,ROUND($H1750*($N1750/SUMPRODUCT(MAX(($C$5:$C$2484=$C1750)*($D$5:$D$2484=$D1750)*($S$5:$S$2484=1)*IFERROR($N$5:$N$2484*1,0)))),4),0)))</f>
        <v/>
      </c>
      <c r="P1750" s="48" t="inlineStr">
        <is>
          <t>Autobus attrezzati con videosorveglianza / Autobus totali in offerta, incluse scorte</t>
        </is>
      </c>
      <c r="Q1750" s="57">
        <f>IF($A1750="","",$A1750&amp;"|"&amp;$C1750)</f>
        <v/>
      </c>
      <c r="R1750" s="57">
        <f>IF($A1750="","",$A1750&amp;"|"&amp;$C1750&amp;"|"&amp;$D1750)</f>
        <v/>
      </c>
      <c r="S1750" s="57">
        <f>IF($A1750="","",IFERROR(INDEX(Offerte!$D$2:$D$81,MATCH($Q1750,Offerte!$L$2:$L$81,0)),0))</f>
        <v/>
      </c>
      <c r="T1750" s="57">
        <f>IF($A1750="","",IFERROR(INDEX(Offerte!$G$2:$G$81,MATCH($Q1750,Offerte!$L$2:$L$81,0)),"NO"))</f>
        <v/>
      </c>
    </row>
    <row r="1751">
      <c r="A1751" s="48">
        <f>IF(Offerte!$A58="","",Offerte!$A58)</f>
        <v/>
      </c>
      <c r="B1751" s="48">
        <f>IF(Offerte!$A58="","",Offerte!$B58)</f>
        <v/>
      </c>
      <c r="C1751" s="48">
        <f>IF(Offerte!$A58="","",Offerte!$C58)</f>
        <v/>
      </c>
      <c r="D1751" s="48" t="inlineStr">
        <is>
          <t>C.2.2</t>
        </is>
      </c>
      <c r="E1751" s="48" t="inlineStr">
        <is>
          <t>C</t>
        </is>
      </c>
      <c r="F1751" s="48" t="inlineStr">
        <is>
          <t>T</t>
        </is>
      </c>
      <c r="G1751" s="48" t="inlineStr">
        <is>
          <t>tabular</t>
        </is>
      </c>
      <c r="H1751" s="48" t="n">
        <v>1</v>
      </c>
      <c r="I1751" s="48" t="inlineStr">
        <is>
          <t>Software video/audio analisi per situazioni di pericolo</t>
        </is>
      </c>
      <c r="J1751" s="73" t="n"/>
      <c r="K1751" s="73" t="n"/>
      <c r="L1751" s="73" t="n"/>
      <c r="M1751" s="73" t="n"/>
      <c r="N1751" s="57">
        <f>IF($A1751="","",IF(IFERROR(VALUE($M1751),0)=1,1,0))</f>
        <v/>
      </c>
      <c r="O1751" s="57">
        <f>IF($A1751="",0,IF(OR($S1751&lt;&gt;1,COUNTA($J1751:$M1751)=0),0,IF($N1751=1,$H1751,0)))</f>
        <v/>
      </c>
      <c r="P1751" s="48" t="inlineStr">
        <is>
          <t>sì/no</t>
        </is>
      </c>
      <c r="Q1751" s="57">
        <f>IF($A1751="","",$A1751&amp;"|"&amp;$C1751)</f>
        <v/>
      </c>
      <c r="R1751" s="57">
        <f>IF($A1751="","",$A1751&amp;"|"&amp;$C1751&amp;"|"&amp;$D1751)</f>
        <v/>
      </c>
      <c r="S1751" s="57">
        <f>IF($A1751="","",IFERROR(INDEX(Offerte!$D$2:$D$81,MATCH($Q1751,Offerte!$L$2:$L$81,0)),0))</f>
        <v/>
      </c>
      <c r="T1751" s="57">
        <f>IF($A1751="","",IFERROR(INDEX(Offerte!$G$2:$G$81,MATCH($Q1751,Offerte!$L$2:$L$81,0)),"NO"))</f>
        <v/>
      </c>
    </row>
    <row r="1752">
      <c r="A1752" s="48">
        <f>IF(Offerte!$A58="","",Offerte!$A58)</f>
        <v/>
      </c>
      <c r="B1752" s="48">
        <f>IF(Offerte!$A58="","",Offerte!$B58)</f>
        <v/>
      </c>
      <c r="C1752" s="48">
        <f>IF(Offerte!$A58="","",Offerte!$C58)</f>
        <v/>
      </c>
      <c r="D1752" s="48" t="inlineStr">
        <is>
          <t>C.2.3</t>
        </is>
      </c>
      <c r="E1752" s="48" t="inlineStr">
        <is>
          <t>C</t>
        </is>
      </c>
      <c r="F1752" s="48" t="inlineStr">
        <is>
          <t>T</t>
        </is>
      </c>
      <c r="G1752" s="48" t="inlineStr">
        <is>
          <t>tabular</t>
        </is>
      </c>
      <c r="H1752" s="48" t="n">
        <v>1</v>
      </c>
      <c r="I1752" s="48" t="inlineStr">
        <is>
          <t>Collegamento con centrale qualificata di pronto intervento</t>
        </is>
      </c>
      <c r="J1752" s="73" t="n"/>
      <c r="K1752" s="73" t="n"/>
      <c r="L1752" s="73" t="n"/>
      <c r="M1752" s="73" t="n"/>
      <c r="N1752" s="57">
        <f>IF($A1752="","",IF(IFERROR(VALUE($M1752),0)=1,1,0))</f>
        <v/>
      </c>
      <c r="O1752" s="57">
        <f>IF($A1752="",0,IF(OR($S1752&lt;&gt;1,COUNTA($J1752:$M1752)=0),0,IF($N1752=1,$H1752,0)))</f>
        <v/>
      </c>
      <c r="P1752" s="48" t="inlineStr">
        <is>
          <t>sì/no</t>
        </is>
      </c>
      <c r="Q1752" s="57">
        <f>IF($A1752="","",$A1752&amp;"|"&amp;$C1752)</f>
        <v/>
      </c>
      <c r="R1752" s="57">
        <f>IF($A1752="","",$A1752&amp;"|"&amp;$C1752&amp;"|"&amp;$D1752)</f>
        <v/>
      </c>
      <c r="S1752" s="57">
        <f>IF($A1752="","",IFERROR(INDEX(Offerte!$D$2:$D$81,MATCH($Q1752,Offerte!$L$2:$L$81,0)),0))</f>
        <v/>
      </c>
      <c r="T1752" s="57">
        <f>IF($A1752="","",IFERROR(INDEX(Offerte!$G$2:$G$81,MATCH($Q1752,Offerte!$L$2:$L$81,0)),"NO"))</f>
        <v/>
      </c>
    </row>
    <row r="1753">
      <c r="A1753" s="48">
        <f>IF(Offerte!$A58="","",Offerte!$A58)</f>
        <v/>
      </c>
      <c r="B1753" s="48">
        <f>IF(Offerte!$A58="","",Offerte!$B58)</f>
        <v/>
      </c>
      <c r="C1753" s="48">
        <f>IF(Offerte!$A58="","",Offerte!$C58)</f>
        <v/>
      </c>
      <c r="D1753" s="48" t="inlineStr">
        <is>
          <t>C.2.4</t>
        </is>
      </c>
      <c r="E1753" s="48" t="inlineStr">
        <is>
          <t>C</t>
        </is>
      </c>
      <c r="F1753" s="48" t="inlineStr">
        <is>
          <t>Q</t>
        </is>
      </c>
      <c r="G1753" s="48" t="inlineStr">
        <is>
          <t>higher</t>
        </is>
      </c>
      <c r="H1753" s="48" t="n">
        <v>1</v>
      </c>
      <c r="I1753" s="48" t="inlineStr">
        <is>
          <t>Tasso di copertura del servizio con dispositivi per la chiamata di emergenza del conducente</t>
        </is>
      </c>
      <c r="J1753" s="73" t="n"/>
      <c r="K1753" s="73" t="n"/>
      <c r="L1753" s="73" t="n"/>
      <c r="M1753" s="73" t="n"/>
      <c r="N1753" s="57">
        <f>IF($A1753="","",IFERROR(VALUE($K1753)/VALUE($L1753),IFERROR(VALUE($J1753),0)))</f>
        <v/>
      </c>
      <c r="O1753" s="57">
        <f>IF($A1753="",0,IF(OR($S1753&lt;&gt;1,COUNTA($J1753:$M1753)=0),0,IF(SUMPRODUCT(MAX(($C$5:$C$2484=$C1753)*($D$5:$D$2484=$D1753)*($S$5:$S$2484=1)*IFERROR($N$5:$N$2484*1,0)))&gt;0,ROUND($H1753*($N1753/SUMPRODUCT(MAX(($C$5:$C$2484=$C1753)*($D$5:$D$2484=$D1753)*($S$5:$S$2484=1)*IFERROR($N$5:$N$2484*1,0)))),4),0)))</f>
        <v/>
      </c>
      <c r="P1753" s="48" t="inlineStr">
        <is>
          <t>Autobus attrezzati con chiamata di emergenza / Autobus totali in offerta, incluse scorte</t>
        </is>
      </c>
      <c r="Q1753" s="57">
        <f>IF($A1753="","",$A1753&amp;"|"&amp;$C1753)</f>
        <v/>
      </c>
      <c r="R1753" s="57">
        <f>IF($A1753="","",$A1753&amp;"|"&amp;$C1753&amp;"|"&amp;$D1753)</f>
        <v/>
      </c>
      <c r="S1753" s="57">
        <f>IF($A1753="","",IFERROR(INDEX(Offerte!$D$2:$D$81,MATCH($Q1753,Offerte!$L$2:$L$81,0)),0))</f>
        <v/>
      </c>
      <c r="T1753" s="57">
        <f>IF($A1753="","",IFERROR(INDEX(Offerte!$G$2:$G$81,MATCH($Q1753,Offerte!$L$2:$L$81,0)),"NO"))</f>
        <v/>
      </c>
    </row>
    <row r="1754">
      <c r="A1754" s="48">
        <f>IF(Offerte!$A58="","",Offerte!$A58)</f>
        <v/>
      </c>
      <c r="B1754" s="48">
        <f>IF(Offerte!$A58="","",Offerte!$B58)</f>
        <v/>
      </c>
      <c r="C1754" s="48">
        <f>IF(Offerte!$A58="","",Offerte!$C58)</f>
        <v/>
      </c>
      <c r="D1754" s="48" t="inlineStr">
        <is>
          <t>C.3.1</t>
        </is>
      </c>
      <c r="E1754" s="48" t="inlineStr">
        <is>
          <t>C</t>
        </is>
      </c>
      <c r="F1754" s="48" t="inlineStr">
        <is>
          <t>Q</t>
        </is>
      </c>
      <c r="G1754" s="48" t="inlineStr">
        <is>
          <t>higher</t>
        </is>
      </c>
      <c r="H1754" s="48" t="n">
        <v>2</v>
      </c>
      <c r="I1754" s="48" t="inlineStr">
        <is>
          <t>Tasso di copertura del servizio con dispositivi di informazione dinamica a bordo mezzo</t>
        </is>
      </c>
      <c r="J1754" s="73" t="n"/>
      <c r="K1754" s="73" t="n"/>
      <c r="L1754" s="73" t="n"/>
      <c r="M1754" s="73" t="n"/>
      <c r="N1754" s="57">
        <f>IF($A1754="","",IFERROR(VALUE($K1754)/VALUE($L1754),IFERROR(VALUE($J1754),0)))</f>
        <v/>
      </c>
      <c r="O1754" s="57">
        <f>IF($A1754="",0,IF(OR($S1754&lt;&gt;1,COUNTA($J1754:$M1754)=0),0,IF(SUMPRODUCT(MAX(($C$5:$C$2484=$C1754)*($D$5:$D$2484=$D1754)*($S$5:$S$2484=1)*IFERROR($N$5:$N$2484*1,0)))&gt;0,ROUND($H1754*($N1754/SUMPRODUCT(MAX(($C$5:$C$2484=$C1754)*($D$5:$D$2484=$D1754)*($S$5:$S$2484=1)*IFERROR($N$5:$N$2484*1,0)))),4),0)))</f>
        <v/>
      </c>
      <c r="P1754" s="48" t="inlineStr">
        <is>
          <t>Autobus con monitor e indicatori vocali / Autobus totali in offerta, incluse scorte</t>
        </is>
      </c>
      <c r="Q1754" s="57">
        <f>IF($A1754="","",$A1754&amp;"|"&amp;$C1754)</f>
        <v/>
      </c>
      <c r="R1754" s="57">
        <f>IF($A1754="","",$A1754&amp;"|"&amp;$C1754&amp;"|"&amp;$D1754)</f>
        <v/>
      </c>
      <c r="S1754" s="57">
        <f>IF($A1754="","",IFERROR(INDEX(Offerte!$D$2:$D$81,MATCH($Q1754,Offerte!$L$2:$L$81,0)),0))</f>
        <v/>
      </c>
      <c r="T1754" s="57">
        <f>IF($A1754="","",IFERROR(INDEX(Offerte!$G$2:$G$81,MATCH($Q1754,Offerte!$L$2:$L$81,0)),"NO"))</f>
        <v/>
      </c>
    </row>
    <row r="1755">
      <c r="A1755" s="48">
        <f>IF(Offerte!$A58="","",Offerte!$A58)</f>
        <v/>
      </c>
      <c r="B1755" s="48">
        <f>IF(Offerte!$A58="","",Offerte!$B58)</f>
        <v/>
      </c>
      <c r="C1755" s="48">
        <f>IF(Offerte!$A58="","",Offerte!$C58)</f>
        <v/>
      </c>
      <c r="D1755" s="48" t="inlineStr">
        <is>
          <t>C.3.2</t>
        </is>
      </c>
      <c r="E1755" s="48" t="inlineStr">
        <is>
          <t>C</t>
        </is>
      </c>
      <c r="F1755" s="48" t="inlineStr">
        <is>
          <t>T</t>
        </is>
      </c>
      <c r="G1755" s="48" t="inlineStr">
        <is>
          <t>tabular</t>
        </is>
      </c>
      <c r="H1755" s="48" t="n">
        <v>2</v>
      </c>
      <c r="I1755" s="48" t="inlineStr">
        <is>
          <t>Informazioni a bordo su coincidenze ai nodi</t>
        </is>
      </c>
      <c r="J1755" s="73" t="n"/>
      <c r="K1755" s="73" t="n"/>
      <c r="L1755" s="73" t="n"/>
      <c r="M1755" s="73" t="n"/>
      <c r="N1755" s="57">
        <f>IF($A1755="","",IF(IFERROR(VALUE($M1755),0)=1,1,0))</f>
        <v/>
      </c>
      <c r="O1755" s="57">
        <f>IF($A1755="",0,IF(OR($S1755&lt;&gt;1,COUNTA($J1755:$M1755)=0),0,IF(AND($N1755=1,IFERROR(SUMIFS($N$5:$N$2484,$Q$5:$Q$2484,$Q1755,$D$5:$D$2484,"C.3.1"),0)&gt;=0.5),$H1755,0)))</f>
        <v/>
      </c>
      <c r="P1755" s="48" t="inlineStr">
        <is>
          <t>Dipende da C.3.1 &gt;= 0.5</t>
        </is>
      </c>
      <c r="Q1755" s="57">
        <f>IF($A1755="","",$A1755&amp;"|"&amp;$C1755)</f>
        <v/>
      </c>
      <c r="R1755" s="57">
        <f>IF($A1755="","",$A1755&amp;"|"&amp;$C1755&amp;"|"&amp;$D1755)</f>
        <v/>
      </c>
      <c r="S1755" s="57">
        <f>IF($A1755="","",IFERROR(INDEX(Offerte!$D$2:$D$81,MATCH($Q1755,Offerte!$L$2:$L$81,0)),0))</f>
        <v/>
      </c>
      <c r="T1755" s="57">
        <f>IF($A1755="","",IFERROR(INDEX(Offerte!$G$2:$G$81,MATCH($Q1755,Offerte!$L$2:$L$81,0)),"NO"))</f>
        <v/>
      </c>
    </row>
    <row r="1756">
      <c r="A1756" s="48">
        <f>IF(Offerte!$A58="","",Offerte!$A58)</f>
        <v/>
      </c>
      <c r="B1756" s="48">
        <f>IF(Offerte!$A58="","",Offerte!$B58)</f>
        <v/>
      </c>
      <c r="C1756" s="48">
        <f>IF(Offerte!$A58="","",Offerte!$C58)</f>
        <v/>
      </c>
      <c r="D1756" s="48" t="inlineStr">
        <is>
          <t>D.1.1</t>
        </is>
      </c>
      <c r="E1756" s="48" t="inlineStr">
        <is>
          <t>D</t>
        </is>
      </c>
      <c r="F1756" s="48" t="inlineStr">
        <is>
          <t>Q</t>
        </is>
      </c>
      <c r="G1756" s="48" t="inlineStr">
        <is>
          <t>higher</t>
        </is>
      </c>
      <c r="H1756" s="48" t="n">
        <v>3</v>
      </c>
      <c r="I1756" s="48" t="inlineStr">
        <is>
          <t>Installazione di pensiline</t>
        </is>
      </c>
      <c r="J1756" s="73" t="n"/>
      <c r="K1756" s="73" t="n"/>
      <c r="L1756" s="73" t="n"/>
      <c r="M1756" s="73" t="n"/>
      <c r="N1756" s="57">
        <f>IF($A1756="","",IFERROR(VALUE($J1756),0))</f>
        <v/>
      </c>
      <c r="O1756" s="57">
        <f>IF($A1756="",0,IF(OR($S1756&lt;&gt;1,COUNTA($J1756:$M1756)=0),0,IF(SUMPRODUCT(MAX(($C$5:$C$2484=$C1756)*($D$5:$D$2484=$D1756)*($S$5:$S$2484=1)*IFERROR($N$5:$N$2484*1,0)))&gt;0,ROUND($H1756*($N1756/SUMPRODUCT(MAX(($C$5:$C$2484=$C1756)*($D$5:$D$2484=$D1756)*($S$5:$S$2484=1)*IFERROR($N$5:$N$2484*1,0)))),4),0)))</f>
        <v/>
      </c>
      <c r="P1756" s="48" t="inlineStr">
        <is>
          <t>fermate</t>
        </is>
      </c>
      <c r="Q1756" s="57">
        <f>IF($A1756="","",$A1756&amp;"|"&amp;$C1756)</f>
        <v/>
      </c>
      <c r="R1756" s="57">
        <f>IF($A1756="","",$A1756&amp;"|"&amp;$C1756&amp;"|"&amp;$D1756)</f>
        <v/>
      </c>
      <c r="S1756" s="57">
        <f>IF($A1756="","",IFERROR(INDEX(Offerte!$D$2:$D$81,MATCH($Q1756,Offerte!$L$2:$L$81,0)),0))</f>
        <v/>
      </c>
      <c r="T1756" s="57">
        <f>IF($A1756="","",IFERROR(INDEX(Offerte!$G$2:$G$81,MATCH($Q1756,Offerte!$L$2:$L$81,0)),"NO"))</f>
        <v/>
      </c>
    </row>
    <row r="1757">
      <c r="A1757" s="48">
        <f>IF(Offerte!$A58="","",Offerte!$A58)</f>
        <v/>
      </c>
      <c r="B1757" s="48">
        <f>IF(Offerte!$A58="","",Offerte!$B58)</f>
        <v/>
      </c>
      <c r="C1757" s="48">
        <f>IF(Offerte!$A58="","",Offerte!$C58)</f>
        <v/>
      </c>
      <c r="D1757" s="48" t="inlineStr">
        <is>
          <t>D.1.2</t>
        </is>
      </c>
      <c r="E1757" s="48" t="inlineStr">
        <is>
          <t>D</t>
        </is>
      </c>
      <c r="F1757" s="48" t="inlineStr">
        <is>
          <t>Q</t>
        </is>
      </c>
      <c r="G1757" s="48" t="inlineStr">
        <is>
          <t>higher</t>
        </is>
      </c>
      <c r="H1757" s="48" t="n">
        <v>3</v>
      </c>
      <c r="I1757" s="48" t="inlineStr">
        <is>
          <t>Installazione di paline di fermata conformi alla DGR 581/2023</t>
        </is>
      </c>
      <c r="J1757" s="73" t="n"/>
      <c r="K1757" s="73" t="n"/>
      <c r="L1757" s="73" t="n"/>
      <c r="M1757" s="73" t="n"/>
      <c r="N1757" s="57">
        <f>IF($A1757="","",IFERROR(VALUE($J1757),0))</f>
        <v/>
      </c>
      <c r="O1757" s="57">
        <f>IF($A1757="",0,IF(OR($S1757&lt;&gt;1,COUNTA($J1757:$M1757)=0),0,IF(SUMPRODUCT(MAX(($C$5:$C$2484=$C1757)*($D$5:$D$2484=$D1757)*($S$5:$S$2484=1)*IFERROR($N$5:$N$2484*1,0)))&gt;0,ROUND($H1757*($N1757/SUMPRODUCT(MAX(($C$5:$C$2484=$C1757)*($D$5:$D$2484=$D1757)*($S$5:$S$2484=1)*IFERROR($N$5:$N$2484*1,0)))),4),0)))</f>
        <v/>
      </c>
      <c r="P1757" s="48" t="inlineStr">
        <is>
          <t>fermate</t>
        </is>
      </c>
      <c r="Q1757" s="57">
        <f>IF($A1757="","",$A1757&amp;"|"&amp;$C1757)</f>
        <v/>
      </c>
      <c r="R1757" s="57">
        <f>IF($A1757="","",$A1757&amp;"|"&amp;$C1757&amp;"|"&amp;$D1757)</f>
        <v/>
      </c>
      <c r="S1757" s="57">
        <f>IF($A1757="","",IFERROR(INDEX(Offerte!$D$2:$D$81,MATCH($Q1757,Offerte!$L$2:$L$81,0)),0))</f>
        <v/>
      </c>
      <c r="T1757" s="57">
        <f>IF($A1757="","",IFERROR(INDEX(Offerte!$G$2:$G$81,MATCH($Q1757,Offerte!$L$2:$L$81,0)),"NO"))</f>
        <v/>
      </c>
    </row>
    <row r="1758">
      <c r="A1758" s="48">
        <f>IF(Offerte!$A58="","",Offerte!$A58)</f>
        <v/>
      </c>
      <c r="B1758" s="48">
        <f>IF(Offerte!$A58="","",Offerte!$B58)</f>
        <v/>
      </c>
      <c r="C1758" s="48">
        <f>IF(Offerte!$A58="","",Offerte!$C58)</f>
        <v/>
      </c>
      <c r="D1758" s="48" t="inlineStr">
        <is>
          <t>D.1.3</t>
        </is>
      </c>
      <c r="E1758" s="48" t="inlineStr">
        <is>
          <t>D</t>
        </is>
      </c>
      <c r="F1758" s="48" t="inlineStr">
        <is>
          <t>Q</t>
        </is>
      </c>
      <c r="G1758" s="48" t="inlineStr">
        <is>
          <t>higher</t>
        </is>
      </c>
      <c r="H1758" s="48" t="n">
        <v>2</v>
      </c>
      <c r="I1758" s="48" t="inlineStr">
        <is>
          <t>Display informativi connessi alle fermate</t>
        </is>
      </c>
      <c r="J1758" s="73" t="n"/>
      <c r="K1758" s="73" t="n"/>
      <c r="L1758" s="73" t="n"/>
      <c r="M1758" s="73" t="n"/>
      <c r="N1758" s="57">
        <f>IF($A1758="","",IFERROR(VALUE($J1758),0))</f>
        <v/>
      </c>
      <c r="O1758" s="57">
        <f>IF($A1758="",0,IF(OR($S1758&lt;&gt;1,COUNTA($J1758:$M1758)=0),0,IF(SUMPRODUCT(MAX(($C$5:$C$2484=$C1758)*($D$5:$D$2484=$D1758)*($S$5:$S$2484=1)*IFERROR($N$5:$N$2484*1,0)))&gt;0,ROUND($H1758*($N1758/SUMPRODUCT(MAX(($C$5:$C$2484=$C1758)*($D$5:$D$2484=$D1758)*($S$5:$S$2484=1)*IFERROR($N$5:$N$2484*1,0)))),4),0)))</f>
        <v/>
      </c>
      <c r="P1758" s="48" t="inlineStr">
        <is>
          <t>fermate</t>
        </is>
      </c>
      <c r="Q1758" s="57">
        <f>IF($A1758="","",$A1758&amp;"|"&amp;$C1758)</f>
        <v/>
      </c>
      <c r="R1758" s="57">
        <f>IF($A1758="","",$A1758&amp;"|"&amp;$C1758&amp;"|"&amp;$D1758)</f>
        <v/>
      </c>
      <c r="S1758" s="57">
        <f>IF($A1758="","",IFERROR(INDEX(Offerte!$D$2:$D$81,MATCH($Q1758,Offerte!$L$2:$L$81,0)),0))</f>
        <v/>
      </c>
      <c r="T1758" s="57">
        <f>IF($A1758="","",IFERROR(INDEX(Offerte!$G$2:$G$81,MATCH($Q1758,Offerte!$L$2:$L$81,0)),"NO"))</f>
        <v/>
      </c>
    </row>
    <row r="1759">
      <c r="A1759" s="48">
        <f>IF(Offerte!$A58="","",Offerte!$A58)</f>
        <v/>
      </c>
      <c r="B1759" s="48">
        <f>IF(Offerte!$A58="","",Offerte!$B58)</f>
        <v/>
      </c>
      <c r="C1759" s="48">
        <f>IF(Offerte!$A58="","",Offerte!$C58)</f>
        <v/>
      </c>
      <c r="D1759" s="48" t="inlineStr">
        <is>
          <t>D.2.1</t>
        </is>
      </c>
      <c r="E1759" s="48" t="inlineStr">
        <is>
          <t>D</t>
        </is>
      </c>
      <c r="F1759" s="48" t="inlineStr">
        <is>
          <t>Q</t>
        </is>
      </c>
      <c r="G1759" s="48" t="inlineStr">
        <is>
          <t>higher</t>
        </is>
      </c>
      <c r="H1759" s="48" t="n">
        <v>2</v>
      </c>
      <c r="I1759" s="48" t="inlineStr">
        <is>
          <t>Segnali tattili Loges-Vet-Evolution</t>
        </is>
      </c>
      <c r="J1759" s="73" t="n"/>
      <c r="K1759" s="73" t="n"/>
      <c r="L1759" s="73" t="n"/>
      <c r="M1759" s="73" t="n"/>
      <c r="N1759" s="57">
        <f>IF($A1759="","",IFERROR(VALUE($J1759),0))</f>
        <v/>
      </c>
      <c r="O1759" s="57">
        <f>IF($A1759="",0,IF(OR($S1759&lt;&gt;1,COUNTA($J1759:$M1759)=0),0,IF(SUMPRODUCT(MAX(($C$5:$C$2484=$C1759)*($D$5:$D$2484=$D1759)*($S$5:$S$2484=1)*IFERROR($N$5:$N$2484*1,0)))&gt;0,ROUND($H1759*($N1759/SUMPRODUCT(MAX(($C$5:$C$2484=$C1759)*($D$5:$D$2484=$D1759)*($S$5:$S$2484=1)*IFERROR($N$5:$N$2484*1,0)))),4),0)))</f>
        <v/>
      </c>
      <c r="P1759" s="48" t="inlineStr">
        <is>
          <t>fermate</t>
        </is>
      </c>
      <c r="Q1759" s="57">
        <f>IF($A1759="","",$A1759&amp;"|"&amp;$C1759)</f>
        <v/>
      </c>
      <c r="R1759" s="57">
        <f>IF($A1759="","",$A1759&amp;"|"&amp;$C1759&amp;"|"&amp;$D1759)</f>
        <v/>
      </c>
      <c r="S1759" s="57">
        <f>IF($A1759="","",IFERROR(INDEX(Offerte!$D$2:$D$81,MATCH($Q1759,Offerte!$L$2:$L$81,0)),0))</f>
        <v/>
      </c>
      <c r="T1759" s="57">
        <f>IF($A1759="","",IFERROR(INDEX(Offerte!$G$2:$G$81,MATCH($Q1759,Offerte!$L$2:$L$81,0)),"NO"))</f>
        <v/>
      </c>
    </row>
    <row r="1760">
      <c r="A1760" s="48">
        <f>IF(Offerte!$A58="","",Offerte!$A58)</f>
        <v/>
      </c>
      <c r="B1760" s="48">
        <f>IF(Offerte!$A58="","",Offerte!$B58)</f>
        <v/>
      </c>
      <c r="C1760" s="48">
        <f>IF(Offerte!$A58="","",Offerte!$C58)</f>
        <v/>
      </c>
      <c r="D1760" s="48" t="inlineStr">
        <is>
          <t>E.1.1</t>
        </is>
      </c>
      <c r="E1760" s="48" t="inlineStr">
        <is>
          <t>E</t>
        </is>
      </c>
      <c r="F1760" s="48" t="inlineStr">
        <is>
          <t>T</t>
        </is>
      </c>
      <c r="G1760" s="48" t="inlineStr">
        <is>
          <t>tabular</t>
        </is>
      </c>
      <c r="H1760" s="48" t="n">
        <v>2</v>
      </c>
      <c r="I1760" s="48" t="inlineStr">
        <is>
          <t>Mobile app con travel planner PRM</t>
        </is>
      </c>
      <c r="J1760" s="73" t="n"/>
      <c r="K1760" s="73" t="n"/>
      <c r="L1760" s="73" t="n"/>
      <c r="M1760" s="73" t="n"/>
      <c r="N1760" s="57">
        <f>IF($A1760="","",IF(IFERROR(VALUE($M1760),0)=1,1,0))</f>
        <v/>
      </c>
      <c r="O1760" s="57">
        <f>IF($A1760="",0,IF(OR($S1760&lt;&gt;1,COUNTA($J1760:$M1760)=0),0,IF($N1760=1,$H1760,0)))</f>
        <v/>
      </c>
      <c r="P1760" s="48" t="inlineStr">
        <is>
          <t>sì/no</t>
        </is>
      </c>
      <c r="Q1760" s="57">
        <f>IF($A1760="","",$A1760&amp;"|"&amp;$C1760)</f>
        <v/>
      </c>
      <c r="R1760" s="57">
        <f>IF($A1760="","",$A1760&amp;"|"&amp;$C1760&amp;"|"&amp;$D1760)</f>
        <v/>
      </c>
      <c r="S1760" s="57">
        <f>IF($A1760="","",IFERROR(INDEX(Offerte!$D$2:$D$81,MATCH($Q1760,Offerte!$L$2:$L$81,0)),0))</f>
        <v/>
      </c>
      <c r="T1760" s="57">
        <f>IF($A1760="","",IFERROR(INDEX(Offerte!$G$2:$G$81,MATCH($Q1760,Offerte!$L$2:$L$81,0)),"NO"))</f>
        <v/>
      </c>
    </row>
    <row r="1761">
      <c r="A1761" s="48">
        <f>IF(Offerte!$A58="","",Offerte!$A58)</f>
        <v/>
      </c>
      <c r="B1761" s="48">
        <f>IF(Offerte!$A58="","",Offerte!$B58)</f>
        <v/>
      </c>
      <c r="C1761" s="48">
        <f>IF(Offerte!$A58="","",Offerte!$C58)</f>
        <v/>
      </c>
      <c r="D1761" s="48" t="inlineStr">
        <is>
          <t>E.2.1</t>
        </is>
      </c>
      <c r="E1761" s="48" t="inlineStr">
        <is>
          <t>E</t>
        </is>
      </c>
      <c r="F1761" s="48" t="inlineStr">
        <is>
          <t>D</t>
        </is>
      </c>
      <c r="G1761" s="48" t="inlineStr">
        <is>
          <t>discretionary</t>
        </is>
      </c>
      <c r="H1761" s="48" t="n">
        <v>2</v>
      </c>
      <c r="I1761" s="48" t="inlineStr">
        <is>
          <t>Altre azioni informative e rapporti con gli utenti</t>
        </is>
      </c>
      <c r="J1761" s="73" t="n"/>
      <c r="K1761" s="73" t="n"/>
      <c r="L1761" s="73" t="n"/>
      <c r="M1761" s="73" t="n"/>
      <c r="N1761" s="57">
        <f>IF($A1761="","",MAX(0,MIN(1,IFERROR(VALUE($M1761),0))))</f>
        <v/>
      </c>
      <c r="O1761" s="57">
        <f>IF($A1761="",0,IF(OR($S1761&lt;&gt;1,COUNTA($J1761:$M1761)=0),0,IF(SUMPRODUCT(MAX(($C$5:$C$2484=$C1761)*($D$5:$D$2484=$D1761)*($S$5:$S$2484=1)*IFERROR($N$5:$N$2484*1,0)))&gt;0,ROUND($H1761*($N1761/SUMPRODUCT(MAX(($C$5:$C$2484=$C1761)*($D$5:$D$2484=$D1761)*($S$5:$S$2484=1)*IFERROR($N$5:$N$2484*1,0)))),4),0)))</f>
        <v/>
      </c>
      <c r="P1761" s="48" t="inlineStr">
        <is>
          <t>coeff.</t>
        </is>
      </c>
      <c r="Q1761" s="57">
        <f>IF($A1761="","",$A1761&amp;"|"&amp;$C1761)</f>
        <v/>
      </c>
      <c r="R1761" s="57">
        <f>IF($A1761="","",$A1761&amp;"|"&amp;$C1761&amp;"|"&amp;$D1761)</f>
        <v/>
      </c>
      <c r="S1761" s="57">
        <f>IF($A1761="","",IFERROR(INDEX(Offerte!$D$2:$D$81,MATCH($Q1761,Offerte!$L$2:$L$81,0)),0))</f>
        <v/>
      </c>
      <c r="T1761" s="57">
        <f>IF($A1761="","",IFERROR(INDEX(Offerte!$G$2:$G$81,MATCH($Q1761,Offerte!$L$2:$L$81,0)),"NO"))</f>
        <v/>
      </c>
    </row>
    <row r="1762">
      <c r="A1762" s="48">
        <f>IF(Offerte!$A58="","",Offerte!$A58)</f>
        <v/>
      </c>
      <c r="B1762" s="48">
        <f>IF(Offerte!$A58="","",Offerte!$B58)</f>
        <v/>
      </c>
      <c r="C1762" s="48">
        <f>IF(Offerte!$A58="","",Offerte!$C58)</f>
        <v/>
      </c>
      <c r="D1762" s="48" t="inlineStr">
        <is>
          <t>F.1.1</t>
        </is>
      </c>
      <c r="E1762" s="48" t="inlineStr">
        <is>
          <t>F</t>
        </is>
      </c>
      <c r="F1762" s="48" t="inlineStr">
        <is>
          <t>Q</t>
        </is>
      </c>
      <c r="G1762" s="48" t="inlineStr">
        <is>
          <t>lower</t>
        </is>
      </c>
      <c r="H1762" s="48" t="n">
        <v>7</v>
      </c>
      <c r="I1762" s="48" t="inlineStr">
        <is>
          <t>Performance ambientali del parco mezzi adibito al servizio - I_CEA</t>
        </is>
      </c>
      <c r="J1762" s="73" t="n"/>
      <c r="K1762" s="73" t="n"/>
      <c r="L1762" s="73" t="n"/>
      <c r="M1762" s="73" t="n"/>
      <c r="N1762" s="57">
        <f>IF($A1762="","",IFERROR(VALUE($J1762),0))</f>
        <v/>
      </c>
      <c r="O1762" s="57">
        <f>IF($A1762="",0,IF(OR($S1762&lt;&gt;1,COUNTA($J1762:$M1762)=0),0,IF(AND(IFERROR(AGGREGATE(15,6,$N$5:$N$2484/(($C$5:$C$2484=$C1762)*($D$5:$D$2484=$D1762)*($S$5:$S$2484=1)*($N$5:$N$2484&gt;0)),1),0)&gt;0,$N1762&gt;0),ROUND($H1762*(IFERROR(AGGREGATE(15,6,$N$5:$N$2484/(($C$5:$C$2484=$C1762)*($D$5:$D$2484=$D1762)*($S$5:$S$2484=1)*($N$5:$N$2484&gt;0)),1),0)/$N1762),4),0)))</f>
        <v/>
      </c>
      <c r="P1762" s="48" t="inlineStr">
        <is>
          <t>indice</t>
        </is>
      </c>
      <c r="Q1762" s="57">
        <f>IF($A1762="","",$A1762&amp;"|"&amp;$C1762)</f>
        <v/>
      </c>
      <c r="R1762" s="57">
        <f>IF($A1762="","",$A1762&amp;"|"&amp;$C1762&amp;"|"&amp;$D1762)</f>
        <v/>
      </c>
      <c r="S1762" s="57">
        <f>IF($A1762="","",IFERROR(INDEX(Offerte!$D$2:$D$81,MATCH($Q1762,Offerte!$L$2:$L$81,0)),0))</f>
        <v/>
      </c>
      <c r="T1762" s="57">
        <f>IF($A1762="","",IFERROR(INDEX(Offerte!$G$2:$G$81,MATCH($Q1762,Offerte!$L$2:$L$81,0)),"NO"))</f>
        <v/>
      </c>
    </row>
    <row r="1763">
      <c r="A1763" s="48">
        <f>IF(Offerte!$A58="","",Offerte!$A58)</f>
        <v/>
      </c>
      <c r="B1763" s="48">
        <f>IF(Offerte!$A58="","",Offerte!$B58)</f>
        <v/>
      </c>
      <c r="C1763" s="48">
        <f>IF(Offerte!$A58="","",Offerte!$C58)</f>
        <v/>
      </c>
      <c r="D1763" s="48" t="inlineStr">
        <is>
          <t>F.2.1</t>
        </is>
      </c>
      <c r="E1763" s="48" t="inlineStr">
        <is>
          <t>F</t>
        </is>
      </c>
      <c r="F1763" s="48" t="inlineStr">
        <is>
          <t>Q</t>
        </is>
      </c>
      <c r="G1763" s="48" t="inlineStr">
        <is>
          <t>higher</t>
        </is>
      </c>
      <c r="H1763" s="48" t="n">
        <v>2</v>
      </c>
      <c r="I1763" s="48" t="inlineStr">
        <is>
          <t>Tasso di copertura del servizio con dispositivi ECO-DRIVER</t>
        </is>
      </c>
      <c r="J1763" s="73" t="n"/>
      <c r="K1763" s="73" t="n"/>
      <c r="L1763" s="73" t="n"/>
      <c r="M1763" s="73" t="n"/>
      <c r="N1763" s="57">
        <f>IF($A1763="","",IFERROR(VALUE($K1763)/VALUE($L1763),IFERROR(VALUE($J1763),0)))</f>
        <v/>
      </c>
      <c r="O1763" s="57">
        <f>IF($A1763="",0,IF(OR($S1763&lt;&gt;1,COUNTA($J1763:$M1763)=0),0,IF(SUMPRODUCT(MAX(($C$5:$C$2484=$C1763)*($D$5:$D$2484=$D1763)*($S$5:$S$2484=1)*IFERROR($N$5:$N$2484*1,0)))&gt;0,ROUND($H1763*($N1763/SUMPRODUCT(MAX(($C$5:$C$2484=$C1763)*($D$5:$D$2484=$D1763)*($S$5:$S$2484=1)*IFERROR($N$5:$N$2484*1,0)))),4),0)))</f>
        <v/>
      </c>
      <c r="P1763" s="48" t="inlineStr">
        <is>
          <t>Autobus attrezzati con dispositivi ECO-DRIVER / Autobus totali in offerta, incluse scorte</t>
        </is>
      </c>
      <c r="Q1763" s="57">
        <f>IF($A1763="","",$A1763&amp;"|"&amp;$C1763)</f>
        <v/>
      </c>
      <c r="R1763" s="57">
        <f>IF($A1763="","",$A1763&amp;"|"&amp;$C1763&amp;"|"&amp;$D1763)</f>
        <v/>
      </c>
      <c r="S1763" s="57">
        <f>IF($A1763="","",IFERROR(INDEX(Offerte!$D$2:$D$81,MATCH($Q1763,Offerte!$L$2:$L$81,0)),0))</f>
        <v/>
      </c>
      <c r="T1763" s="57">
        <f>IF($A1763="","",IFERROR(INDEX(Offerte!$G$2:$G$81,MATCH($Q1763,Offerte!$L$2:$L$81,0)),"NO"))</f>
        <v/>
      </c>
    </row>
    <row r="1764">
      <c r="A1764" s="48">
        <f>IF(Offerte!$A58="","",Offerte!$A58)</f>
        <v/>
      </c>
      <c r="B1764" s="48">
        <f>IF(Offerte!$A58="","",Offerte!$B58)</f>
        <v/>
      </c>
      <c r="C1764" s="48">
        <f>IF(Offerte!$A58="","",Offerte!$C58)</f>
        <v/>
      </c>
      <c r="D1764" s="48" t="inlineStr">
        <is>
          <t>F.3.1</t>
        </is>
      </c>
      <c r="E1764" s="48" t="inlineStr">
        <is>
          <t>F</t>
        </is>
      </c>
      <c r="F1764" s="48" t="inlineStr">
        <is>
          <t>Q</t>
        </is>
      </c>
      <c r="G1764" s="48" t="inlineStr">
        <is>
          <t>higher</t>
        </is>
      </c>
      <c r="H1764" s="48" t="n">
        <v>2</v>
      </c>
      <c r="I1764" s="48" t="inlineStr">
        <is>
          <t>Autoproduzione consumi elettrici per trazione</t>
        </is>
      </c>
      <c r="J1764" s="73" t="n"/>
      <c r="K1764" s="73" t="n"/>
      <c r="L1764" s="73" t="n"/>
      <c r="M1764" s="73" t="n"/>
      <c r="N1764" s="57">
        <f>IF($A1764="","",IFERROR(VALUE($J1764),0))</f>
        <v/>
      </c>
      <c r="O1764" s="57">
        <f>IF($A1764="",0,IF(OR($S1764&lt;&gt;1,COUNTA($J1764:$M1764)=0),0,IF(SUMPRODUCT(MAX(($C$5:$C$2484=$C1764)*($D$5:$D$2484=$D1764)*($S$5:$S$2484=1)*IFERROR($N$5:$N$2484*1,0)))&gt;0,ROUND($H1764*($N1764/SUMPRODUCT(MAX(($C$5:$C$2484=$C1764)*($D$5:$D$2484=$D1764)*($S$5:$S$2484=1)*IFERROR($N$5:$N$2484*1,0)))),4),0)))</f>
        <v/>
      </c>
      <c r="P1764" s="48" t="inlineStr">
        <is>
          <t>kWh/anno</t>
        </is>
      </c>
      <c r="Q1764" s="57">
        <f>IF($A1764="","",$A1764&amp;"|"&amp;$C1764)</f>
        <v/>
      </c>
      <c r="R1764" s="57">
        <f>IF($A1764="","",$A1764&amp;"|"&amp;$C1764&amp;"|"&amp;$D1764)</f>
        <v/>
      </c>
      <c r="S1764" s="57">
        <f>IF($A1764="","",IFERROR(INDEX(Offerte!$D$2:$D$81,MATCH($Q1764,Offerte!$L$2:$L$81,0)),0))</f>
        <v/>
      </c>
      <c r="T1764" s="57">
        <f>IF($A1764="","",IFERROR(INDEX(Offerte!$G$2:$G$81,MATCH($Q1764,Offerte!$L$2:$L$81,0)),"NO"))</f>
        <v/>
      </c>
    </row>
    <row r="1765">
      <c r="A1765" s="48">
        <f>IF(Offerte!$A58="","",Offerte!$A58)</f>
        <v/>
      </c>
      <c r="B1765" s="48">
        <f>IF(Offerte!$A58="","",Offerte!$B58)</f>
        <v/>
      </c>
      <c r="C1765" s="48">
        <f>IF(Offerte!$A58="","",Offerte!$C58)</f>
        <v/>
      </c>
      <c r="D1765" s="48" t="inlineStr">
        <is>
          <t>F.4.1</t>
        </is>
      </c>
      <c r="E1765" s="48" t="inlineStr">
        <is>
          <t>F</t>
        </is>
      </c>
      <c r="F1765" s="48" t="inlineStr">
        <is>
          <t>Q</t>
        </is>
      </c>
      <c r="G1765" s="48" t="inlineStr">
        <is>
          <t>soil</t>
        </is>
      </c>
      <c r="H1765" s="48" t="n">
        <v>2</v>
      </c>
      <c r="I1765" s="48" t="inlineStr">
        <is>
          <t>Indice di consumo di suolo</t>
        </is>
      </c>
      <c r="J1765" s="73" t="n"/>
      <c r="K1765" s="73" t="n"/>
      <c r="L1765" s="73" t="n"/>
      <c r="M1765" s="73" t="n"/>
      <c r="N1765" s="57">
        <f>IF($A1765="","",IFERROR(VALUE($J1765),0))</f>
        <v/>
      </c>
      <c r="O1765" s="57">
        <f>IF($A1765="",0,IF(OR($S1765&lt;&gt;1,COUNTA($J1765:$M1765)=0),0,IF($N1765&lt;=0,$H1765,IF(SUMPRODUCT(MAX(($C$5:$C$2484=$C1765)*($D$5:$D$2484=$D1765)*($S$5:$S$2484=1)*IFERROR($N$5:$N$2484*1,0)))&gt;0,ROUND($H1765*((SUMPRODUCT(MAX(($C$5:$C$2484=$C1765)*($D$5:$D$2484=$D1765)*($S$5:$S$2484=1)*IFERROR($N$5:$N$2484*1,0)))-$N1765)/SUMPRODUCT(MAX(($C$5:$C$2484=$C1765)*($D$5:$D$2484=$D1765)*($S$5:$S$2484=1)*IFERROR($N$5:$N$2484*1,0)))),4),0))))</f>
        <v/>
      </c>
      <c r="P1765" s="48" t="inlineStr">
        <is>
          <t>m2</t>
        </is>
      </c>
      <c r="Q1765" s="57">
        <f>IF($A1765="","",$A1765&amp;"|"&amp;$C1765)</f>
        <v/>
      </c>
      <c r="R1765" s="57">
        <f>IF($A1765="","",$A1765&amp;"|"&amp;$C1765&amp;"|"&amp;$D1765)</f>
        <v/>
      </c>
      <c r="S1765" s="57">
        <f>IF($A1765="","",IFERROR(INDEX(Offerte!$D$2:$D$81,MATCH($Q1765,Offerte!$L$2:$L$81,0)),0))</f>
        <v/>
      </c>
      <c r="T1765" s="57">
        <f>IF($A1765="","",IFERROR(INDEX(Offerte!$G$2:$G$81,MATCH($Q1765,Offerte!$L$2:$L$81,0)),"NO"))</f>
        <v/>
      </c>
    </row>
    <row r="1766">
      <c r="A1766" s="48">
        <f>IF(Offerte!$A58="","",Offerte!$A58)</f>
        <v/>
      </c>
      <c r="B1766" s="48">
        <f>IF(Offerte!$A58="","",Offerte!$B58)</f>
        <v/>
      </c>
      <c r="C1766" s="48">
        <f>IF(Offerte!$A58="","",Offerte!$C58)</f>
        <v/>
      </c>
      <c r="D1766" s="48" t="inlineStr">
        <is>
          <t>F.5.1</t>
        </is>
      </c>
      <c r="E1766" s="48" t="inlineStr">
        <is>
          <t>F</t>
        </is>
      </c>
      <c r="F1766" s="48" t="inlineStr">
        <is>
          <t>T</t>
        </is>
      </c>
      <c r="G1766" s="48" t="inlineStr">
        <is>
          <t>tabular</t>
        </is>
      </c>
      <c r="H1766" s="48" t="n">
        <v>1</v>
      </c>
      <c r="I1766" s="48" t="inlineStr">
        <is>
          <t>Rendicontazione di sostenibilità ambientale</t>
        </is>
      </c>
      <c r="J1766" s="73" t="n"/>
      <c r="K1766" s="73" t="n"/>
      <c r="L1766" s="73" t="n"/>
      <c r="M1766" s="73" t="n"/>
      <c r="N1766" s="57">
        <f>IF($A1766="","",IF(IFERROR(VALUE($M1766),0)=1,1,0))</f>
        <v/>
      </c>
      <c r="O1766" s="57">
        <f>IF($A1766="",0,IF(OR($S1766&lt;&gt;1,COUNTA($J1766:$M1766)=0),0,IF($N1766=1,$H1766,0)))</f>
        <v/>
      </c>
      <c r="P1766" s="48" t="inlineStr">
        <is>
          <t>sì/no</t>
        </is>
      </c>
      <c r="Q1766" s="57">
        <f>IF($A1766="","",$A1766&amp;"|"&amp;$C1766)</f>
        <v/>
      </c>
      <c r="R1766" s="57">
        <f>IF($A1766="","",$A1766&amp;"|"&amp;$C1766&amp;"|"&amp;$D1766)</f>
        <v/>
      </c>
      <c r="S1766" s="57">
        <f>IF($A1766="","",IFERROR(INDEX(Offerte!$D$2:$D$81,MATCH($Q1766,Offerte!$L$2:$L$81,0)),0))</f>
        <v/>
      </c>
      <c r="T1766" s="57">
        <f>IF($A1766="","",IFERROR(INDEX(Offerte!$G$2:$G$81,MATCH($Q1766,Offerte!$L$2:$L$81,0)),"NO"))</f>
        <v/>
      </c>
    </row>
    <row r="1767">
      <c r="A1767" s="48">
        <f>IF(Offerte!$A58="","",Offerte!$A58)</f>
        <v/>
      </c>
      <c r="B1767" s="48">
        <f>IF(Offerte!$A58="","",Offerte!$B58)</f>
        <v/>
      </c>
      <c r="C1767" s="48">
        <f>IF(Offerte!$A58="","",Offerte!$C58)</f>
        <v/>
      </c>
      <c r="D1767" s="48" t="inlineStr">
        <is>
          <t>G.1.1</t>
        </is>
      </c>
      <c r="E1767" s="48" t="inlineStr">
        <is>
          <t>G</t>
        </is>
      </c>
      <c r="F1767" s="48" t="inlineStr">
        <is>
          <t>D</t>
        </is>
      </c>
      <c r="G1767" s="48" t="inlineStr">
        <is>
          <t>discretionary</t>
        </is>
      </c>
      <c r="H1767" s="48" t="n">
        <v>2</v>
      </c>
      <c r="I1767" s="48" t="inlineStr">
        <is>
          <t>Qualità del progetto di centrale di controllo aziendale</t>
        </is>
      </c>
      <c r="J1767" s="73" t="n"/>
      <c r="K1767" s="73" t="n"/>
      <c r="L1767" s="73" t="n"/>
      <c r="M1767" s="73" t="n"/>
      <c r="N1767" s="57">
        <f>IF($A1767="","",MAX(0,MIN(1,IFERROR(VALUE($M1767),0))))</f>
        <v/>
      </c>
      <c r="O1767" s="57">
        <f>IF($A1767="",0,IF(OR($S1767&lt;&gt;1,COUNTA($J1767:$M1767)=0),0,IF(SUMPRODUCT(MAX(($C$5:$C$2484=$C1767)*($D$5:$D$2484=$D1767)*($S$5:$S$2484=1)*IFERROR($N$5:$N$2484*1,0)))&gt;0,ROUND($H1767*($N1767/SUMPRODUCT(MAX(($C$5:$C$2484=$C1767)*($D$5:$D$2484=$D1767)*($S$5:$S$2484=1)*IFERROR($N$5:$N$2484*1,0)))),4),0)))</f>
        <v/>
      </c>
      <c r="P1767" s="48" t="inlineStr">
        <is>
          <t>coeff.</t>
        </is>
      </c>
      <c r="Q1767" s="57">
        <f>IF($A1767="","",$A1767&amp;"|"&amp;$C1767)</f>
        <v/>
      </c>
      <c r="R1767" s="57">
        <f>IF($A1767="","",$A1767&amp;"|"&amp;$C1767&amp;"|"&amp;$D1767)</f>
        <v/>
      </c>
      <c r="S1767" s="57">
        <f>IF($A1767="","",IFERROR(INDEX(Offerte!$D$2:$D$81,MATCH($Q1767,Offerte!$L$2:$L$81,0)),0))</f>
        <v/>
      </c>
      <c r="T1767" s="57">
        <f>IF($A1767="","",IFERROR(INDEX(Offerte!$G$2:$G$81,MATCH($Q1767,Offerte!$L$2:$L$81,0)),"NO"))</f>
        <v/>
      </c>
    </row>
    <row r="1768">
      <c r="A1768" s="48">
        <f>IF(Offerte!$A58="","",Offerte!$A58)</f>
        <v/>
      </c>
      <c r="B1768" s="48">
        <f>IF(Offerte!$A58="","",Offerte!$B58)</f>
        <v/>
      </c>
      <c r="C1768" s="48">
        <f>IF(Offerte!$A58="","",Offerte!$C58)</f>
        <v/>
      </c>
      <c r="D1768" s="48" t="inlineStr">
        <is>
          <t>G.2.1</t>
        </is>
      </c>
      <c r="E1768" s="48" t="inlineStr">
        <is>
          <t>G</t>
        </is>
      </c>
      <c r="F1768" s="48" t="inlineStr">
        <is>
          <t>T</t>
        </is>
      </c>
      <c r="G1768" s="48" t="inlineStr">
        <is>
          <t>tabular</t>
        </is>
      </c>
      <c r="H1768" s="48" t="n">
        <v>1</v>
      </c>
      <c r="I1768" s="48" t="inlineStr">
        <is>
          <t>Certificazione ISO 45001</t>
        </is>
      </c>
      <c r="J1768" s="73" t="n"/>
      <c r="K1768" s="73" t="n"/>
      <c r="L1768" s="73" t="n"/>
      <c r="M1768" s="73" t="n"/>
      <c r="N1768" s="57">
        <f>IF($A1768="","",IF(IFERROR(VALUE($M1768),0)=1,1,0))</f>
        <v/>
      </c>
      <c r="O1768" s="57">
        <f>IF($A1768="",0,IF(OR($S1768&lt;&gt;1,COUNTA($J1768:$M1768)=0),0,IF($N1768=1,$H1768,0)))</f>
        <v/>
      </c>
      <c r="P1768" s="48" t="inlineStr">
        <is>
          <t>sì/no</t>
        </is>
      </c>
      <c r="Q1768" s="57">
        <f>IF($A1768="","",$A1768&amp;"|"&amp;$C1768)</f>
        <v/>
      </c>
      <c r="R1768" s="57">
        <f>IF($A1768="","",$A1768&amp;"|"&amp;$C1768&amp;"|"&amp;$D1768)</f>
        <v/>
      </c>
      <c r="S1768" s="57">
        <f>IF($A1768="","",IFERROR(INDEX(Offerte!$D$2:$D$81,MATCH($Q1768,Offerte!$L$2:$L$81,0)),0))</f>
        <v/>
      </c>
      <c r="T1768" s="57">
        <f>IF($A1768="","",IFERROR(INDEX(Offerte!$G$2:$G$81,MATCH($Q1768,Offerte!$L$2:$L$81,0)),"NO"))</f>
        <v/>
      </c>
    </row>
    <row r="1769">
      <c r="A1769" s="48">
        <f>IF(Offerte!$A58="","",Offerte!$A58)</f>
        <v/>
      </c>
      <c r="B1769" s="48">
        <f>IF(Offerte!$A58="","",Offerte!$B58)</f>
        <v/>
      </c>
      <c r="C1769" s="48">
        <f>IF(Offerte!$A58="","",Offerte!$C58)</f>
        <v/>
      </c>
      <c r="D1769" s="48" t="inlineStr">
        <is>
          <t>G.3.1</t>
        </is>
      </c>
      <c r="E1769" s="48" t="inlineStr">
        <is>
          <t>G</t>
        </is>
      </c>
      <c r="F1769" s="48" t="inlineStr">
        <is>
          <t>T</t>
        </is>
      </c>
      <c r="G1769" s="48" t="inlineStr">
        <is>
          <t>tabular</t>
        </is>
      </c>
      <c r="H1769" s="48" t="n">
        <v>1</v>
      </c>
      <c r="I1769" s="48" t="inlineStr">
        <is>
          <t>Certificazioni di responsabilità sociale</t>
        </is>
      </c>
      <c r="J1769" s="73" t="n"/>
      <c r="K1769" s="73" t="n"/>
      <c r="L1769" s="73" t="n"/>
      <c r="M1769" s="73" t="n"/>
      <c r="N1769" s="57">
        <f>IF($A1769="","",IF(IFERROR(VALUE($M1769),0)=1,1,0))</f>
        <v/>
      </c>
      <c r="O1769" s="57">
        <f>IF($A1769="",0,IF(OR($S1769&lt;&gt;1,COUNTA($J1769:$M1769)=0),0,IF($N1769=1,$H1769,0)))</f>
        <v/>
      </c>
      <c r="P1769" s="48" t="inlineStr">
        <is>
          <t>sì/no</t>
        </is>
      </c>
      <c r="Q1769" s="57">
        <f>IF($A1769="","",$A1769&amp;"|"&amp;$C1769)</f>
        <v/>
      </c>
      <c r="R1769" s="57">
        <f>IF($A1769="","",$A1769&amp;"|"&amp;$C1769&amp;"|"&amp;$D1769)</f>
        <v/>
      </c>
      <c r="S1769" s="57">
        <f>IF($A1769="","",IFERROR(INDEX(Offerte!$D$2:$D$81,MATCH($Q1769,Offerte!$L$2:$L$81,0)),0))</f>
        <v/>
      </c>
      <c r="T1769" s="57">
        <f>IF($A1769="","",IFERROR(INDEX(Offerte!$G$2:$G$81,MATCH($Q1769,Offerte!$L$2:$L$81,0)),"NO"))</f>
        <v/>
      </c>
    </row>
    <row r="1770">
      <c r="A1770" s="48">
        <f>IF(Offerte!$A58="","",Offerte!$A58)</f>
        <v/>
      </c>
      <c r="B1770" s="48">
        <f>IF(Offerte!$A58="","",Offerte!$B58)</f>
        <v/>
      </c>
      <c r="C1770" s="48">
        <f>IF(Offerte!$A58="","",Offerte!$C58)</f>
        <v/>
      </c>
      <c r="D1770" s="48" t="inlineStr">
        <is>
          <t>G.4.1</t>
        </is>
      </c>
      <c r="E1770" s="48" t="inlineStr">
        <is>
          <t>G</t>
        </is>
      </c>
      <c r="F1770" s="48" t="inlineStr">
        <is>
          <t>D</t>
        </is>
      </c>
      <c r="G1770" s="48" t="inlineStr">
        <is>
          <t>discretionary</t>
        </is>
      </c>
      <c r="H1770" s="48" t="n">
        <v>2</v>
      </c>
      <c r="I1770" s="48" t="inlineStr">
        <is>
          <t>Qualità del piano di formazione del personale</t>
        </is>
      </c>
      <c r="J1770" s="73" t="n"/>
      <c r="K1770" s="73" t="n"/>
      <c r="L1770" s="73" t="n"/>
      <c r="M1770" s="73" t="n"/>
      <c r="N1770" s="57">
        <f>IF($A1770="","",MAX(0,MIN(1,IFERROR(VALUE($M1770),0))))</f>
        <v/>
      </c>
      <c r="O1770" s="57">
        <f>IF($A1770="",0,IF(OR($S1770&lt;&gt;1,COUNTA($J1770:$M1770)=0),0,IF(SUMPRODUCT(MAX(($C$5:$C$2484=$C1770)*($D$5:$D$2484=$D1770)*($S$5:$S$2484=1)*IFERROR($N$5:$N$2484*1,0)))&gt;0,ROUND($H1770*($N1770/SUMPRODUCT(MAX(($C$5:$C$2484=$C1770)*($D$5:$D$2484=$D1770)*($S$5:$S$2484=1)*IFERROR($N$5:$N$2484*1,0)))),4),0)))</f>
        <v/>
      </c>
      <c r="P1770" s="48" t="inlineStr">
        <is>
          <t>coeff.</t>
        </is>
      </c>
      <c r="Q1770" s="57">
        <f>IF($A1770="","",$A1770&amp;"|"&amp;$C1770)</f>
        <v/>
      </c>
      <c r="R1770" s="57">
        <f>IF($A1770="","",$A1770&amp;"|"&amp;$C1770&amp;"|"&amp;$D1770)</f>
        <v/>
      </c>
      <c r="S1770" s="57">
        <f>IF($A1770="","",IFERROR(INDEX(Offerte!$D$2:$D$81,MATCH($Q1770,Offerte!$L$2:$L$81,0)),0))</f>
        <v/>
      </c>
      <c r="T1770" s="57">
        <f>IF($A1770="","",IFERROR(INDEX(Offerte!$G$2:$G$81,MATCH($Q1770,Offerte!$L$2:$L$81,0)),"NO"))</f>
        <v/>
      </c>
    </row>
    <row r="1771">
      <c r="A1771" s="48">
        <f>IF(Offerte!$A58="","",Offerte!$A58)</f>
        <v/>
      </c>
      <c r="B1771" s="48">
        <f>IF(Offerte!$A58="","",Offerte!$B58)</f>
        <v/>
      </c>
      <c r="C1771" s="48">
        <f>IF(Offerte!$A58="","",Offerte!$C58)</f>
        <v/>
      </c>
      <c r="D1771" s="48" t="inlineStr">
        <is>
          <t>G.5.1</t>
        </is>
      </c>
      <c r="E1771" s="48" t="inlineStr">
        <is>
          <t>G</t>
        </is>
      </c>
      <c r="F1771" s="48" t="inlineStr">
        <is>
          <t>T</t>
        </is>
      </c>
      <c r="G1771" s="48" t="inlineStr">
        <is>
          <t>tabular</t>
        </is>
      </c>
      <c r="H1771" s="48" t="n">
        <v>1</v>
      </c>
      <c r="I1771" s="48" t="inlineStr">
        <is>
          <t>Impegno al mantenimento delle garanzie del contratto di secondo livello del gestore uscente</t>
        </is>
      </c>
      <c r="J1771" s="73" t="n"/>
      <c r="K1771" s="73" t="n"/>
      <c r="L1771" s="73" t="n"/>
      <c r="M1771" s="73" t="n"/>
      <c r="N1771" s="57">
        <f>IF($A1771="","",IF(IFERROR(VALUE($M1771),0)=1,1,0))</f>
        <v/>
      </c>
      <c r="O1771" s="57">
        <f>IF($A1771="",0,IF(OR($S1771&lt;&gt;1,COUNTA($J1771:$M1771)=0),0,IF($N1771=1,$H1771,0)))</f>
        <v/>
      </c>
      <c r="P1771" s="48" t="inlineStr">
        <is>
          <t>sì/no</t>
        </is>
      </c>
      <c r="Q1771" s="57">
        <f>IF($A1771="","",$A1771&amp;"|"&amp;$C1771)</f>
        <v/>
      </c>
      <c r="R1771" s="57">
        <f>IF($A1771="","",$A1771&amp;"|"&amp;$C1771&amp;"|"&amp;$D1771)</f>
        <v/>
      </c>
      <c r="S1771" s="57">
        <f>IF($A1771="","",IFERROR(INDEX(Offerte!$D$2:$D$81,MATCH($Q1771,Offerte!$L$2:$L$81,0)),0))</f>
        <v/>
      </c>
      <c r="T1771" s="57">
        <f>IF($A1771="","",IFERROR(INDEX(Offerte!$G$2:$G$81,MATCH($Q1771,Offerte!$L$2:$L$81,0)),"NO"))</f>
        <v/>
      </c>
    </row>
    <row r="1772">
      <c r="A1772" s="48">
        <f>IF(Offerte!$A59="","",Offerte!$A59)</f>
        <v/>
      </c>
      <c r="B1772" s="48">
        <f>IF(Offerte!$A59="","",Offerte!$B59)</f>
        <v/>
      </c>
      <c r="C1772" s="48">
        <f>IF(Offerte!$A59="","",Offerte!$C59)</f>
        <v/>
      </c>
      <c r="D1772" s="48" t="inlineStr">
        <is>
          <t>A.1.1</t>
        </is>
      </c>
      <c r="E1772" s="48" t="inlineStr">
        <is>
          <t>A</t>
        </is>
      </c>
      <c r="F1772" s="48" t="inlineStr">
        <is>
          <t>Q</t>
        </is>
      </c>
      <c r="G1772" s="48" t="inlineStr">
        <is>
          <t>higher</t>
        </is>
      </c>
      <c r="H1772" s="48" t="n">
        <v>3</v>
      </c>
      <c r="I1772" s="48" t="inlineStr">
        <is>
          <t>Tasso aggiuntivo di corse controllate</t>
        </is>
      </c>
      <c r="J1772" s="73" t="n"/>
      <c r="K1772" s="73" t="n"/>
      <c r="L1772" s="73" t="n"/>
      <c r="M1772" s="73" t="n"/>
      <c r="N1772" s="57">
        <f>IF($A1772="","",IFERROR(VALUE($K1772)/VALUE($L1772)*100,IFERROR(VALUE($J1772),0)))</f>
        <v/>
      </c>
      <c r="O1772" s="57">
        <f>IF($A1772="",0,IF(OR($S1772&lt;&gt;1,COUNTA($J1772:$M1772)=0),0,IF(SUMPRODUCT(MAX(($C$5:$C$2484=$C1772)*($D$5:$D$2484=$D1772)*($S$5:$S$2484=1)*IFERROR($N$5:$N$2484*1,0)))&gt;0,ROUND($H1772*($N1772/SUMPRODUCT(MAX(($C$5:$C$2484=$C1772)*($D$5:$D$2484=$D1772)*($S$5:$S$2484=1)*IFERROR($N$5:$N$2484*1,0)))),4),0)))</f>
        <v/>
      </c>
      <c r="P1772" s="48" t="inlineStr">
        <is>
          <t>Corse controllate annue / Corse programmate annue</t>
        </is>
      </c>
      <c r="Q1772" s="57">
        <f>IF($A1772="","",$A1772&amp;"|"&amp;$C1772)</f>
        <v/>
      </c>
      <c r="R1772" s="57">
        <f>IF($A1772="","",$A1772&amp;"|"&amp;$C1772&amp;"|"&amp;$D1772)</f>
        <v/>
      </c>
      <c r="S1772" s="57">
        <f>IF($A1772="","",IFERROR(INDEX(Offerte!$D$2:$D$81,MATCH($Q1772,Offerte!$L$2:$L$81,0)),0))</f>
        <v/>
      </c>
      <c r="T1772" s="57">
        <f>IF($A1772="","",IFERROR(INDEX(Offerte!$G$2:$G$81,MATCH($Q1772,Offerte!$L$2:$L$81,0)),"NO"))</f>
        <v/>
      </c>
    </row>
    <row r="1773">
      <c r="A1773" s="48">
        <f>IF(Offerte!$A59="","",Offerte!$A59)</f>
        <v/>
      </c>
      <c r="B1773" s="48">
        <f>IF(Offerte!$A59="","",Offerte!$B59)</f>
        <v/>
      </c>
      <c r="C1773" s="48">
        <f>IF(Offerte!$A59="","",Offerte!$C59)</f>
        <v/>
      </c>
      <c r="D1773" s="48" t="inlineStr">
        <is>
          <t>A.1.2</t>
        </is>
      </c>
      <c r="E1773" s="48" t="inlineStr">
        <is>
          <t>A</t>
        </is>
      </c>
      <c r="F1773" s="48" t="inlineStr">
        <is>
          <t>Q</t>
        </is>
      </c>
      <c r="G1773" s="48" t="inlineStr">
        <is>
          <t>higher</t>
        </is>
      </c>
      <c r="H1773" s="48" t="n">
        <v>4</v>
      </c>
      <c r="I1773" s="48" t="inlineStr">
        <is>
          <t>Numero aggiuntivo di passeggeri controllati</t>
        </is>
      </c>
      <c r="J1773" s="73" t="n"/>
      <c r="K1773" s="73" t="n"/>
      <c r="L1773" s="73" t="n"/>
      <c r="M1773" s="73" t="n"/>
      <c r="N1773" s="57">
        <f>IF($A1773="","",IFERROR(VALUE($J1773),0))</f>
        <v/>
      </c>
      <c r="O1773" s="57">
        <f>IF($A1773="",0,IF(OR($S1773&lt;&gt;1,COUNTA($J1773:$M1773)=0),0,IF(SUMPRODUCT(MAX(($C$5:$C$2484=$C1773)*($D$5:$D$2484=$D1773)*($S$5:$S$2484=1)*IFERROR($N$5:$N$2484*1,0)))&gt;0,ROUND($H1773*($N1773/SUMPRODUCT(MAX(($C$5:$C$2484=$C1773)*($D$5:$D$2484=$D1773)*($S$5:$S$2484=1)*IFERROR($N$5:$N$2484*1,0)))),4),0)))</f>
        <v/>
      </c>
      <c r="P1773" s="48" t="inlineStr">
        <is>
          <t>passeggeri/anno</t>
        </is>
      </c>
      <c r="Q1773" s="57">
        <f>IF($A1773="","",$A1773&amp;"|"&amp;$C1773)</f>
        <v/>
      </c>
      <c r="R1773" s="57">
        <f>IF($A1773="","",$A1773&amp;"|"&amp;$C1773&amp;"|"&amp;$D1773)</f>
        <v/>
      </c>
      <c r="S1773" s="57">
        <f>IF($A1773="","",IFERROR(INDEX(Offerte!$D$2:$D$81,MATCH($Q1773,Offerte!$L$2:$L$81,0)),0))</f>
        <v/>
      </c>
      <c r="T1773" s="57">
        <f>IF($A1773="","",IFERROR(INDEX(Offerte!$G$2:$G$81,MATCH($Q1773,Offerte!$L$2:$L$81,0)),"NO"))</f>
        <v/>
      </c>
    </row>
    <row r="1774">
      <c r="A1774" s="48">
        <f>IF(Offerte!$A59="","",Offerte!$A59)</f>
        <v/>
      </c>
      <c r="B1774" s="48">
        <f>IF(Offerte!$A59="","",Offerte!$B59)</f>
        <v/>
      </c>
      <c r="C1774" s="48">
        <f>IF(Offerte!$A59="","",Offerte!$C59)</f>
        <v/>
      </c>
      <c r="D1774" s="48" t="inlineStr">
        <is>
          <t>B.1.1</t>
        </is>
      </c>
      <c r="E1774" s="48" t="inlineStr">
        <is>
          <t>B</t>
        </is>
      </c>
      <c r="F1774" s="48" t="inlineStr">
        <is>
          <t>Q</t>
        </is>
      </c>
      <c r="G1774" s="48" t="inlineStr">
        <is>
          <t>higher</t>
        </is>
      </c>
      <c r="H1774" s="48" t="n">
        <v>3</v>
      </c>
      <c r="I1774" s="48" t="inlineStr">
        <is>
          <t>Incremento dei posti offerti nelle fasce di punta</t>
        </is>
      </c>
      <c r="J1774" s="73" t="n"/>
      <c r="K1774" s="73" t="n"/>
      <c r="L1774" s="73" t="n"/>
      <c r="M1774" s="73" t="n"/>
      <c r="N1774" s="57">
        <f>IF($A1774="","",IFERROR(VALUE($J1774),0))</f>
        <v/>
      </c>
      <c r="O1774" s="57">
        <f>IF($A1774="",0,IF(OR($S1774&lt;&gt;1,COUNTA($J1774:$M1774)=0),0,IF(SUMPRODUCT(MAX(($C$5:$C$2484=$C1774)*($D$5:$D$2484=$D1774)*($S$5:$S$2484=1)*IFERROR($N$5:$N$2484*1,0)))&gt;0,ROUND($H1774*($N1774/SUMPRODUCT(MAX(($C$5:$C$2484=$C1774)*($D$5:$D$2484=$D1774)*($S$5:$S$2484=1)*IFERROR($N$5:$N$2484*1,0)))),4),0)))</f>
        <v/>
      </c>
      <c r="P1774" s="48" t="inlineStr">
        <is>
          <t>posti*km</t>
        </is>
      </c>
      <c r="Q1774" s="57">
        <f>IF($A1774="","",$A1774&amp;"|"&amp;$C1774)</f>
        <v/>
      </c>
      <c r="R1774" s="57">
        <f>IF($A1774="","",$A1774&amp;"|"&amp;$C1774&amp;"|"&amp;$D1774)</f>
        <v/>
      </c>
      <c r="S1774" s="57">
        <f>IF($A1774="","",IFERROR(INDEX(Offerte!$D$2:$D$81,MATCH($Q1774,Offerte!$L$2:$L$81,0)),0))</f>
        <v/>
      </c>
      <c r="T1774" s="57">
        <f>IF($A1774="","",IFERROR(INDEX(Offerte!$G$2:$G$81,MATCH($Q1774,Offerte!$L$2:$L$81,0)),"NO"))</f>
        <v/>
      </c>
    </row>
    <row r="1775">
      <c r="A1775" s="48">
        <f>IF(Offerte!$A59="","",Offerte!$A59)</f>
        <v/>
      </c>
      <c r="B1775" s="48">
        <f>IF(Offerte!$A59="","",Offerte!$B59)</f>
        <v/>
      </c>
      <c r="C1775" s="48">
        <f>IF(Offerte!$A59="","",Offerte!$C59)</f>
        <v/>
      </c>
      <c r="D1775" s="48" t="inlineStr">
        <is>
          <t>B.2.1</t>
        </is>
      </c>
      <c r="E1775" s="48" t="inlineStr">
        <is>
          <t>B</t>
        </is>
      </c>
      <c r="F1775" s="48" t="inlineStr">
        <is>
          <t>Q</t>
        </is>
      </c>
      <c r="G1775" s="48" t="inlineStr">
        <is>
          <t>higher</t>
        </is>
      </c>
      <c r="H1775" s="48" t="n">
        <v>4</v>
      </c>
      <c r="I1775" s="48" t="inlineStr">
        <is>
          <t>Corse aggiuntive nell'arco giornaliero base</t>
        </is>
      </c>
      <c r="J1775" s="73" t="n"/>
      <c r="K1775" s="73" t="n"/>
      <c r="L1775" s="73" t="n"/>
      <c r="M1775" s="73" t="n"/>
      <c r="N1775" s="57">
        <f>IF($A1775="","",IFERROR(VALUE($J1775),0))</f>
        <v/>
      </c>
      <c r="O1775" s="57">
        <f>IF($A1775="",0,IF(OR($S1775&lt;&gt;1,COUNTA($J1775:$M1775)=0),0,IF(SUMPRODUCT(MAX(($C$5:$C$2484=$C1775)*($D$5:$D$2484=$D1775)*($S$5:$S$2484=1)*IFERROR($N$5:$N$2484*1,0)))&gt;0,ROUND($H1775*($N1775/SUMPRODUCT(MAX(($C$5:$C$2484=$C1775)*($D$5:$D$2484=$D1775)*($S$5:$S$2484=1)*IFERROR($N$5:$N$2484*1,0)))),4),0)))</f>
        <v/>
      </c>
      <c r="P1775" s="48" t="inlineStr">
        <is>
          <t>corse</t>
        </is>
      </c>
      <c r="Q1775" s="57">
        <f>IF($A1775="","",$A1775&amp;"|"&amp;$C1775)</f>
        <v/>
      </c>
      <c r="R1775" s="57">
        <f>IF($A1775="","",$A1775&amp;"|"&amp;$C1775&amp;"|"&amp;$D1775)</f>
        <v/>
      </c>
      <c r="S1775" s="57">
        <f>IF($A1775="","",IFERROR(INDEX(Offerte!$D$2:$D$81,MATCH($Q1775,Offerte!$L$2:$L$81,0)),0))</f>
        <v/>
      </c>
      <c r="T1775" s="57">
        <f>IF($A1775="","",IFERROR(INDEX(Offerte!$G$2:$G$81,MATCH($Q1775,Offerte!$L$2:$L$81,0)),"NO"))</f>
        <v/>
      </c>
    </row>
    <row r="1776">
      <c r="A1776" s="48">
        <f>IF(Offerte!$A59="","",Offerte!$A59)</f>
        <v/>
      </c>
      <c r="B1776" s="48">
        <f>IF(Offerte!$A59="","",Offerte!$B59)</f>
        <v/>
      </c>
      <c r="C1776" s="48">
        <f>IF(Offerte!$A59="","",Offerte!$C59)</f>
        <v/>
      </c>
      <c r="D1776" s="48" t="inlineStr">
        <is>
          <t>B.3.1</t>
        </is>
      </c>
      <c r="E1776" s="48" t="inlineStr">
        <is>
          <t>B</t>
        </is>
      </c>
      <c r="F1776" s="48" t="inlineStr">
        <is>
          <t>Q</t>
        </is>
      </c>
      <c r="G1776" s="48" t="inlineStr">
        <is>
          <t>higher</t>
        </is>
      </c>
      <c r="H1776" s="48" t="n">
        <v>2</v>
      </c>
      <c r="I1776" s="48" t="inlineStr">
        <is>
          <t>Numero di corse aggiuntive per allungamento dell'arco di servizio giornaliero nelle fasce serali</t>
        </is>
      </c>
      <c r="J1776" s="73" t="n"/>
      <c r="K1776" s="73" t="n"/>
      <c r="L1776" s="73" t="n"/>
      <c r="M1776" s="73" t="n"/>
      <c r="N1776" s="57">
        <f>IF($A1776="","",IFERROR(VALUE($J1776),0))</f>
        <v/>
      </c>
      <c r="O1776" s="57">
        <f>IF($A1776="",0,IF(OR($S1776&lt;&gt;1,COUNTA($J1776:$M1776)=0),0,IF(SUMPRODUCT(MAX(($C$5:$C$2484=$C1776)*($D$5:$D$2484=$D1776)*($S$5:$S$2484=1)*IFERROR($N$5:$N$2484*1,0)))&gt;0,ROUND($H1776*($N1776/SUMPRODUCT(MAX(($C$5:$C$2484=$C1776)*($D$5:$D$2484=$D1776)*($S$5:$S$2484=1)*IFERROR($N$5:$N$2484*1,0)))),4),0)))</f>
        <v/>
      </c>
      <c r="P1776" s="48" t="inlineStr">
        <is>
          <t>corse</t>
        </is>
      </c>
      <c r="Q1776" s="57">
        <f>IF($A1776="","",$A1776&amp;"|"&amp;$C1776)</f>
        <v/>
      </c>
      <c r="R1776" s="57">
        <f>IF($A1776="","",$A1776&amp;"|"&amp;$C1776&amp;"|"&amp;$D1776)</f>
        <v/>
      </c>
      <c r="S1776" s="57">
        <f>IF($A1776="","",IFERROR(INDEX(Offerte!$D$2:$D$81,MATCH($Q1776,Offerte!$L$2:$L$81,0)),0))</f>
        <v/>
      </c>
      <c r="T1776" s="57">
        <f>IF($A1776="","",IFERROR(INDEX(Offerte!$G$2:$G$81,MATCH($Q1776,Offerte!$L$2:$L$81,0)),"NO"))</f>
        <v/>
      </c>
    </row>
    <row r="1777">
      <c r="A1777" s="48">
        <f>IF(Offerte!$A59="","",Offerte!$A59)</f>
        <v/>
      </c>
      <c r="B1777" s="48">
        <f>IF(Offerte!$A59="","",Offerte!$B59)</f>
        <v/>
      </c>
      <c r="C1777" s="48">
        <f>IF(Offerte!$A59="","",Offerte!$C59)</f>
        <v/>
      </c>
      <c r="D1777" s="48" t="inlineStr">
        <is>
          <t>B.4.1</t>
        </is>
      </c>
      <c r="E1777" s="48" t="inlineStr">
        <is>
          <t>B</t>
        </is>
      </c>
      <c r="F1777" s="48" t="inlineStr">
        <is>
          <t>Q</t>
        </is>
      </c>
      <c r="G1777" s="48" t="inlineStr">
        <is>
          <t>higher</t>
        </is>
      </c>
      <c r="H1777" s="48" t="n">
        <v>3</v>
      </c>
      <c r="I1777" s="48" t="inlineStr">
        <is>
          <t>Percorrenze aggiuntive offerte nel Programma d'esercizio delle prime due fasi attuative</t>
        </is>
      </c>
      <c r="J1777" s="73" t="n"/>
      <c r="K1777" s="73" t="n"/>
      <c r="L1777" s="73" t="n"/>
      <c r="M1777" s="73" t="n"/>
      <c r="N1777" s="57">
        <f>IF($A1777="","",IFERROR(VALUE($J1777),0))</f>
        <v/>
      </c>
      <c r="O1777" s="57">
        <f>IF($A1777="",0,IF(OR($S1777&lt;&gt;1,COUNTA($J1777:$M1777)=0),0,IF(SUMPRODUCT(MAX(($C$5:$C$2484=$C1777)*($D$5:$D$2484=$D1777)*($S$5:$S$2484=1)*IFERROR($N$5:$N$2484*1,0)))&gt;0,ROUND($H1777*($N1777/SUMPRODUCT(MAX(($C$5:$C$2484=$C1777)*($D$5:$D$2484=$D1777)*($S$5:$S$2484=1)*IFERROR($N$5:$N$2484*1,0)))),4),0)))</f>
        <v/>
      </c>
      <c r="P1777" s="48" t="inlineStr">
        <is>
          <t>vett*km</t>
        </is>
      </c>
      <c r="Q1777" s="57">
        <f>IF($A1777="","",$A1777&amp;"|"&amp;$C1777)</f>
        <v/>
      </c>
      <c r="R1777" s="57">
        <f>IF($A1777="","",$A1777&amp;"|"&amp;$C1777&amp;"|"&amp;$D1777)</f>
        <v/>
      </c>
      <c r="S1777" s="57">
        <f>IF($A1777="","",IFERROR(INDEX(Offerte!$D$2:$D$81,MATCH($Q1777,Offerte!$L$2:$L$81,0)),0))</f>
        <v/>
      </c>
      <c r="T1777" s="57">
        <f>IF($A1777="","",IFERROR(INDEX(Offerte!$G$2:$G$81,MATCH($Q1777,Offerte!$L$2:$L$81,0)),"NO"))</f>
        <v/>
      </c>
    </row>
    <row r="1778">
      <c r="A1778" s="48">
        <f>IF(Offerte!$A59="","",Offerte!$A59)</f>
        <v/>
      </c>
      <c r="B1778" s="48">
        <f>IF(Offerte!$A59="","",Offerte!$B59)</f>
        <v/>
      </c>
      <c r="C1778" s="48">
        <f>IF(Offerte!$A59="","",Offerte!$C59)</f>
        <v/>
      </c>
      <c r="D1778" s="48" t="inlineStr">
        <is>
          <t>B.5.1</t>
        </is>
      </c>
      <c r="E1778" s="48" t="inlineStr">
        <is>
          <t>B</t>
        </is>
      </c>
      <c r="F1778" s="48" t="inlineStr">
        <is>
          <t>D</t>
        </is>
      </c>
      <c r="G1778" s="48" t="inlineStr">
        <is>
          <t>discretionary</t>
        </is>
      </c>
      <c r="H1778" s="48" t="n">
        <v>2</v>
      </c>
      <c r="I1778" s="48" t="inlineStr">
        <is>
          <t>Efficacia del progetto di servizi complementari DRT</t>
        </is>
      </c>
      <c r="J1778" s="73" t="n"/>
      <c r="K1778" s="73" t="n"/>
      <c r="L1778" s="73" t="n"/>
      <c r="M1778" s="73" t="n"/>
      <c r="N1778" s="57">
        <f>IF($A1778="","",MAX(0,MIN(1,IFERROR(VALUE($M1778),0))))</f>
        <v/>
      </c>
      <c r="O1778" s="57">
        <f>IF($A1778="",0,IF(OR($S1778&lt;&gt;1,COUNTA($J1778:$M1778)=0),0,IF(SUMPRODUCT(MAX(($C$5:$C$2484=$C1778)*($D$5:$D$2484=$D1778)*($S$5:$S$2484=1)*IFERROR($N$5:$N$2484*1,0)))&gt;0,ROUND($H1778*($N1778/SUMPRODUCT(MAX(($C$5:$C$2484=$C1778)*($D$5:$D$2484=$D1778)*($S$5:$S$2484=1)*IFERROR($N$5:$N$2484*1,0)))),4),0)))</f>
        <v/>
      </c>
      <c r="P1778" s="48" t="inlineStr">
        <is>
          <t>coeff.</t>
        </is>
      </c>
      <c r="Q1778" s="57">
        <f>IF($A1778="","",$A1778&amp;"|"&amp;$C1778)</f>
        <v/>
      </c>
      <c r="R1778" s="57">
        <f>IF($A1778="","",$A1778&amp;"|"&amp;$C1778&amp;"|"&amp;$D1778)</f>
        <v/>
      </c>
      <c r="S1778" s="57">
        <f>IF($A1778="","",IFERROR(INDEX(Offerte!$D$2:$D$81,MATCH($Q1778,Offerte!$L$2:$L$81,0)),0))</f>
        <v/>
      </c>
      <c r="T1778" s="57">
        <f>IF($A1778="","",IFERROR(INDEX(Offerte!$G$2:$G$81,MATCH($Q1778,Offerte!$L$2:$L$81,0)),"NO"))</f>
        <v/>
      </c>
    </row>
    <row r="1779">
      <c r="A1779" s="48">
        <f>IF(Offerte!$A59="","",Offerte!$A59)</f>
        <v/>
      </c>
      <c r="B1779" s="48">
        <f>IF(Offerte!$A59="","",Offerte!$B59)</f>
        <v/>
      </c>
      <c r="C1779" s="48">
        <f>IF(Offerte!$A59="","",Offerte!$C59)</f>
        <v/>
      </c>
      <c r="D1779" s="48" t="inlineStr">
        <is>
          <t>C.1.1</t>
        </is>
      </c>
      <c r="E1779" s="48" t="inlineStr">
        <is>
          <t>C</t>
        </is>
      </c>
      <c r="F1779" s="48" t="inlineStr">
        <is>
          <t>Q</t>
        </is>
      </c>
      <c r="G1779" s="48" t="inlineStr">
        <is>
          <t>higher</t>
        </is>
      </c>
      <c r="H1779" s="48" t="n">
        <v>2</v>
      </c>
      <c r="I1779" s="48" t="inlineStr">
        <is>
          <t>Tasso di copertura del servizio con telecamere BSD</t>
        </is>
      </c>
      <c r="J1779" s="73" t="n"/>
      <c r="K1779" s="73" t="n"/>
      <c r="L1779" s="73" t="n"/>
      <c r="M1779" s="73" t="n"/>
      <c r="N1779" s="57">
        <f>IF($A1779="","",IFERROR(VALUE($K1779)/VALUE($L1779),IFERROR(VALUE($J1779),0)))</f>
        <v/>
      </c>
      <c r="O1779" s="57">
        <f>IF($A1779="",0,IF(OR($S1779&lt;&gt;1,COUNTA($J1779:$M1779)=0),0,IF(SUMPRODUCT(MAX(($C$5:$C$2484=$C1779)*($D$5:$D$2484=$D1779)*($S$5:$S$2484=1)*IFERROR($N$5:$N$2484*1,0)))&gt;0,ROUND($H1779*($N1779/SUMPRODUCT(MAX(($C$5:$C$2484=$C1779)*($D$5:$D$2484=$D1779)*($S$5:$S$2484=1)*IFERROR($N$5:$N$2484*1,0)))),4),0)))</f>
        <v/>
      </c>
      <c r="P1779" s="48" t="inlineStr">
        <is>
          <t>Autobus attrezzati con telecamere BSD / Autobus totali in offerta, incluse scorte</t>
        </is>
      </c>
      <c r="Q1779" s="57">
        <f>IF($A1779="","",$A1779&amp;"|"&amp;$C1779)</f>
        <v/>
      </c>
      <c r="R1779" s="57">
        <f>IF($A1779="","",$A1779&amp;"|"&amp;$C1779&amp;"|"&amp;$D1779)</f>
        <v/>
      </c>
      <c r="S1779" s="57">
        <f>IF($A1779="","",IFERROR(INDEX(Offerte!$D$2:$D$81,MATCH($Q1779,Offerte!$L$2:$L$81,0)),0))</f>
        <v/>
      </c>
      <c r="T1779" s="57">
        <f>IF($A1779="","",IFERROR(INDEX(Offerte!$G$2:$G$81,MATCH($Q1779,Offerte!$L$2:$L$81,0)),"NO"))</f>
        <v/>
      </c>
    </row>
    <row r="1780">
      <c r="A1780" s="48">
        <f>IF(Offerte!$A59="","",Offerte!$A59)</f>
        <v/>
      </c>
      <c r="B1780" s="48">
        <f>IF(Offerte!$A59="","",Offerte!$B59)</f>
        <v/>
      </c>
      <c r="C1780" s="48">
        <f>IF(Offerte!$A59="","",Offerte!$C59)</f>
        <v/>
      </c>
      <c r="D1780" s="48" t="inlineStr">
        <is>
          <t>C.1.2</t>
        </is>
      </c>
      <c r="E1780" s="48" t="inlineStr">
        <is>
          <t>C</t>
        </is>
      </c>
      <c r="F1780" s="48" t="inlineStr">
        <is>
          <t>Q</t>
        </is>
      </c>
      <c r="G1780" s="48" t="inlineStr">
        <is>
          <t>higher</t>
        </is>
      </c>
      <c r="H1780" s="48" t="n">
        <v>2</v>
      </c>
      <c r="I1780" s="48" t="inlineStr">
        <is>
          <t>Tasso di copertura del servizio con telecamere ADAS</t>
        </is>
      </c>
      <c r="J1780" s="73" t="n"/>
      <c r="K1780" s="73" t="n"/>
      <c r="L1780" s="73" t="n"/>
      <c r="M1780" s="73" t="n"/>
      <c r="N1780" s="57">
        <f>IF($A1780="","",IFERROR(VALUE($K1780)/VALUE($L1780),IFERROR(VALUE($J1780),0)))</f>
        <v/>
      </c>
      <c r="O1780" s="57">
        <f>IF($A1780="",0,IF(OR($S1780&lt;&gt;1,COUNTA($J1780:$M1780)=0),0,IF(SUMPRODUCT(MAX(($C$5:$C$2484=$C1780)*($D$5:$D$2484=$D1780)*($S$5:$S$2484=1)*IFERROR($N$5:$N$2484*1,0)))&gt;0,ROUND($H1780*($N1780/SUMPRODUCT(MAX(($C$5:$C$2484=$C1780)*($D$5:$D$2484=$D1780)*($S$5:$S$2484=1)*IFERROR($N$5:$N$2484*1,0)))),4),0)))</f>
        <v/>
      </c>
      <c r="P1780" s="48" t="inlineStr">
        <is>
          <t>Autobus attrezzati con telecamere ADAS / Autobus totali in offerta, incluse scorte</t>
        </is>
      </c>
      <c r="Q1780" s="57">
        <f>IF($A1780="","",$A1780&amp;"|"&amp;$C1780)</f>
        <v/>
      </c>
      <c r="R1780" s="57">
        <f>IF($A1780="","",$A1780&amp;"|"&amp;$C1780&amp;"|"&amp;$D1780)</f>
        <v/>
      </c>
      <c r="S1780" s="57">
        <f>IF($A1780="","",IFERROR(INDEX(Offerte!$D$2:$D$81,MATCH($Q1780,Offerte!$L$2:$L$81,0)),0))</f>
        <v/>
      </c>
      <c r="T1780" s="57">
        <f>IF($A1780="","",IFERROR(INDEX(Offerte!$G$2:$G$81,MATCH($Q1780,Offerte!$L$2:$L$81,0)),"NO"))</f>
        <v/>
      </c>
    </row>
    <row r="1781">
      <c r="A1781" s="48">
        <f>IF(Offerte!$A59="","",Offerte!$A59)</f>
        <v/>
      </c>
      <c r="B1781" s="48">
        <f>IF(Offerte!$A59="","",Offerte!$B59)</f>
        <v/>
      </c>
      <c r="C1781" s="48">
        <f>IF(Offerte!$A59="","",Offerte!$C59)</f>
        <v/>
      </c>
      <c r="D1781" s="48" t="inlineStr">
        <is>
          <t>C.2.1</t>
        </is>
      </c>
      <c r="E1781" s="48" t="inlineStr">
        <is>
          <t>C</t>
        </is>
      </c>
      <c r="F1781" s="48" t="inlineStr">
        <is>
          <t>Q</t>
        </is>
      </c>
      <c r="G1781" s="48" t="inlineStr">
        <is>
          <t>higher</t>
        </is>
      </c>
      <c r="H1781" s="48" t="n">
        <v>3</v>
      </c>
      <c r="I1781" s="48" t="inlineStr">
        <is>
          <t>Tasso di copertura del servizio con telecamere di bordo di videosorveglianza</t>
        </is>
      </c>
      <c r="J1781" s="73" t="n"/>
      <c r="K1781" s="73" t="n"/>
      <c r="L1781" s="73" t="n"/>
      <c r="M1781" s="73" t="n"/>
      <c r="N1781" s="57">
        <f>IF($A1781="","",IFERROR(VALUE($K1781)/VALUE($L1781),IFERROR(VALUE($J1781),0)))</f>
        <v/>
      </c>
      <c r="O1781" s="57">
        <f>IF($A1781="",0,IF(OR($S1781&lt;&gt;1,COUNTA($J1781:$M1781)=0),0,IF(SUMPRODUCT(MAX(($C$5:$C$2484=$C1781)*($D$5:$D$2484=$D1781)*($S$5:$S$2484=1)*IFERROR($N$5:$N$2484*1,0)))&gt;0,ROUND($H1781*($N1781/SUMPRODUCT(MAX(($C$5:$C$2484=$C1781)*($D$5:$D$2484=$D1781)*($S$5:$S$2484=1)*IFERROR($N$5:$N$2484*1,0)))),4),0)))</f>
        <v/>
      </c>
      <c r="P1781" s="48" t="inlineStr">
        <is>
          <t>Autobus attrezzati con videosorveglianza / Autobus totali in offerta, incluse scorte</t>
        </is>
      </c>
      <c r="Q1781" s="57">
        <f>IF($A1781="","",$A1781&amp;"|"&amp;$C1781)</f>
        <v/>
      </c>
      <c r="R1781" s="57">
        <f>IF($A1781="","",$A1781&amp;"|"&amp;$C1781&amp;"|"&amp;$D1781)</f>
        <v/>
      </c>
      <c r="S1781" s="57">
        <f>IF($A1781="","",IFERROR(INDEX(Offerte!$D$2:$D$81,MATCH($Q1781,Offerte!$L$2:$L$81,0)),0))</f>
        <v/>
      </c>
      <c r="T1781" s="57">
        <f>IF($A1781="","",IFERROR(INDEX(Offerte!$G$2:$G$81,MATCH($Q1781,Offerte!$L$2:$L$81,0)),"NO"))</f>
        <v/>
      </c>
    </row>
    <row r="1782">
      <c r="A1782" s="48">
        <f>IF(Offerte!$A59="","",Offerte!$A59)</f>
        <v/>
      </c>
      <c r="B1782" s="48">
        <f>IF(Offerte!$A59="","",Offerte!$B59)</f>
        <v/>
      </c>
      <c r="C1782" s="48">
        <f>IF(Offerte!$A59="","",Offerte!$C59)</f>
        <v/>
      </c>
      <c r="D1782" s="48" t="inlineStr">
        <is>
          <t>C.2.2</t>
        </is>
      </c>
      <c r="E1782" s="48" t="inlineStr">
        <is>
          <t>C</t>
        </is>
      </c>
      <c r="F1782" s="48" t="inlineStr">
        <is>
          <t>T</t>
        </is>
      </c>
      <c r="G1782" s="48" t="inlineStr">
        <is>
          <t>tabular</t>
        </is>
      </c>
      <c r="H1782" s="48" t="n">
        <v>1</v>
      </c>
      <c r="I1782" s="48" t="inlineStr">
        <is>
          <t>Software video/audio analisi per situazioni di pericolo</t>
        </is>
      </c>
      <c r="J1782" s="73" t="n"/>
      <c r="K1782" s="73" t="n"/>
      <c r="L1782" s="73" t="n"/>
      <c r="M1782" s="73" t="n"/>
      <c r="N1782" s="57">
        <f>IF($A1782="","",IF(IFERROR(VALUE($M1782),0)=1,1,0))</f>
        <v/>
      </c>
      <c r="O1782" s="57">
        <f>IF($A1782="",0,IF(OR($S1782&lt;&gt;1,COUNTA($J1782:$M1782)=0),0,IF($N1782=1,$H1782,0)))</f>
        <v/>
      </c>
      <c r="P1782" s="48" t="inlineStr">
        <is>
          <t>sì/no</t>
        </is>
      </c>
      <c r="Q1782" s="57">
        <f>IF($A1782="","",$A1782&amp;"|"&amp;$C1782)</f>
        <v/>
      </c>
      <c r="R1782" s="57">
        <f>IF($A1782="","",$A1782&amp;"|"&amp;$C1782&amp;"|"&amp;$D1782)</f>
        <v/>
      </c>
      <c r="S1782" s="57">
        <f>IF($A1782="","",IFERROR(INDEX(Offerte!$D$2:$D$81,MATCH($Q1782,Offerte!$L$2:$L$81,0)),0))</f>
        <v/>
      </c>
      <c r="T1782" s="57">
        <f>IF($A1782="","",IFERROR(INDEX(Offerte!$G$2:$G$81,MATCH($Q1782,Offerte!$L$2:$L$81,0)),"NO"))</f>
        <v/>
      </c>
    </row>
    <row r="1783">
      <c r="A1783" s="48">
        <f>IF(Offerte!$A59="","",Offerte!$A59)</f>
        <v/>
      </c>
      <c r="B1783" s="48">
        <f>IF(Offerte!$A59="","",Offerte!$B59)</f>
        <v/>
      </c>
      <c r="C1783" s="48">
        <f>IF(Offerte!$A59="","",Offerte!$C59)</f>
        <v/>
      </c>
      <c r="D1783" s="48" t="inlineStr">
        <is>
          <t>C.2.3</t>
        </is>
      </c>
      <c r="E1783" s="48" t="inlineStr">
        <is>
          <t>C</t>
        </is>
      </c>
      <c r="F1783" s="48" t="inlineStr">
        <is>
          <t>T</t>
        </is>
      </c>
      <c r="G1783" s="48" t="inlineStr">
        <is>
          <t>tabular</t>
        </is>
      </c>
      <c r="H1783" s="48" t="n">
        <v>1</v>
      </c>
      <c r="I1783" s="48" t="inlineStr">
        <is>
          <t>Collegamento con centrale qualificata di pronto intervento</t>
        </is>
      </c>
      <c r="J1783" s="73" t="n"/>
      <c r="K1783" s="73" t="n"/>
      <c r="L1783" s="73" t="n"/>
      <c r="M1783" s="73" t="n"/>
      <c r="N1783" s="57">
        <f>IF($A1783="","",IF(IFERROR(VALUE($M1783),0)=1,1,0))</f>
        <v/>
      </c>
      <c r="O1783" s="57">
        <f>IF($A1783="",0,IF(OR($S1783&lt;&gt;1,COUNTA($J1783:$M1783)=0),0,IF($N1783=1,$H1783,0)))</f>
        <v/>
      </c>
      <c r="P1783" s="48" t="inlineStr">
        <is>
          <t>sì/no</t>
        </is>
      </c>
      <c r="Q1783" s="57">
        <f>IF($A1783="","",$A1783&amp;"|"&amp;$C1783)</f>
        <v/>
      </c>
      <c r="R1783" s="57">
        <f>IF($A1783="","",$A1783&amp;"|"&amp;$C1783&amp;"|"&amp;$D1783)</f>
        <v/>
      </c>
      <c r="S1783" s="57">
        <f>IF($A1783="","",IFERROR(INDEX(Offerte!$D$2:$D$81,MATCH($Q1783,Offerte!$L$2:$L$81,0)),0))</f>
        <v/>
      </c>
      <c r="T1783" s="57">
        <f>IF($A1783="","",IFERROR(INDEX(Offerte!$G$2:$G$81,MATCH($Q1783,Offerte!$L$2:$L$81,0)),"NO"))</f>
        <v/>
      </c>
    </row>
    <row r="1784">
      <c r="A1784" s="48">
        <f>IF(Offerte!$A59="","",Offerte!$A59)</f>
        <v/>
      </c>
      <c r="B1784" s="48">
        <f>IF(Offerte!$A59="","",Offerte!$B59)</f>
        <v/>
      </c>
      <c r="C1784" s="48">
        <f>IF(Offerte!$A59="","",Offerte!$C59)</f>
        <v/>
      </c>
      <c r="D1784" s="48" t="inlineStr">
        <is>
          <t>C.2.4</t>
        </is>
      </c>
      <c r="E1784" s="48" t="inlineStr">
        <is>
          <t>C</t>
        </is>
      </c>
      <c r="F1784" s="48" t="inlineStr">
        <is>
          <t>Q</t>
        </is>
      </c>
      <c r="G1784" s="48" t="inlineStr">
        <is>
          <t>higher</t>
        </is>
      </c>
      <c r="H1784" s="48" t="n">
        <v>1</v>
      </c>
      <c r="I1784" s="48" t="inlineStr">
        <is>
          <t>Tasso di copertura del servizio con dispositivi per la chiamata di emergenza del conducente</t>
        </is>
      </c>
      <c r="J1784" s="73" t="n"/>
      <c r="K1784" s="73" t="n"/>
      <c r="L1784" s="73" t="n"/>
      <c r="M1784" s="73" t="n"/>
      <c r="N1784" s="57">
        <f>IF($A1784="","",IFERROR(VALUE($K1784)/VALUE($L1784),IFERROR(VALUE($J1784),0)))</f>
        <v/>
      </c>
      <c r="O1784" s="57">
        <f>IF($A1784="",0,IF(OR($S1784&lt;&gt;1,COUNTA($J1784:$M1784)=0),0,IF(SUMPRODUCT(MAX(($C$5:$C$2484=$C1784)*($D$5:$D$2484=$D1784)*($S$5:$S$2484=1)*IFERROR($N$5:$N$2484*1,0)))&gt;0,ROUND($H1784*($N1784/SUMPRODUCT(MAX(($C$5:$C$2484=$C1784)*($D$5:$D$2484=$D1784)*($S$5:$S$2484=1)*IFERROR($N$5:$N$2484*1,0)))),4),0)))</f>
        <v/>
      </c>
      <c r="P1784" s="48" t="inlineStr">
        <is>
          <t>Autobus attrezzati con chiamata di emergenza / Autobus totali in offerta, incluse scorte</t>
        </is>
      </c>
      <c r="Q1784" s="57">
        <f>IF($A1784="","",$A1784&amp;"|"&amp;$C1784)</f>
        <v/>
      </c>
      <c r="R1784" s="57">
        <f>IF($A1784="","",$A1784&amp;"|"&amp;$C1784&amp;"|"&amp;$D1784)</f>
        <v/>
      </c>
      <c r="S1784" s="57">
        <f>IF($A1784="","",IFERROR(INDEX(Offerte!$D$2:$D$81,MATCH($Q1784,Offerte!$L$2:$L$81,0)),0))</f>
        <v/>
      </c>
      <c r="T1784" s="57">
        <f>IF($A1784="","",IFERROR(INDEX(Offerte!$G$2:$G$81,MATCH($Q1784,Offerte!$L$2:$L$81,0)),"NO"))</f>
        <v/>
      </c>
    </row>
    <row r="1785">
      <c r="A1785" s="48">
        <f>IF(Offerte!$A59="","",Offerte!$A59)</f>
        <v/>
      </c>
      <c r="B1785" s="48">
        <f>IF(Offerte!$A59="","",Offerte!$B59)</f>
        <v/>
      </c>
      <c r="C1785" s="48">
        <f>IF(Offerte!$A59="","",Offerte!$C59)</f>
        <v/>
      </c>
      <c r="D1785" s="48" t="inlineStr">
        <is>
          <t>C.3.1</t>
        </is>
      </c>
      <c r="E1785" s="48" t="inlineStr">
        <is>
          <t>C</t>
        </is>
      </c>
      <c r="F1785" s="48" t="inlineStr">
        <is>
          <t>Q</t>
        </is>
      </c>
      <c r="G1785" s="48" t="inlineStr">
        <is>
          <t>higher</t>
        </is>
      </c>
      <c r="H1785" s="48" t="n">
        <v>2</v>
      </c>
      <c r="I1785" s="48" t="inlineStr">
        <is>
          <t>Tasso di copertura del servizio con dispositivi di informazione dinamica a bordo mezzo</t>
        </is>
      </c>
      <c r="J1785" s="73" t="n"/>
      <c r="K1785" s="73" t="n"/>
      <c r="L1785" s="73" t="n"/>
      <c r="M1785" s="73" t="n"/>
      <c r="N1785" s="57">
        <f>IF($A1785="","",IFERROR(VALUE($K1785)/VALUE($L1785),IFERROR(VALUE($J1785),0)))</f>
        <v/>
      </c>
      <c r="O1785" s="57">
        <f>IF($A1785="",0,IF(OR($S1785&lt;&gt;1,COUNTA($J1785:$M1785)=0),0,IF(SUMPRODUCT(MAX(($C$5:$C$2484=$C1785)*($D$5:$D$2484=$D1785)*($S$5:$S$2484=1)*IFERROR($N$5:$N$2484*1,0)))&gt;0,ROUND($H1785*($N1785/SUMPRODUCT(MAX(($C$5:$C$2484=$C1785)*($D$5:$D$2484=$D1785)*($S$5:$S$2484=1)*IFERROR($N$5:$N$2484*1,0)))),4),0)))</f>
        <v/>
      </c>
      <c r="P1785" s="48" t="inlineStr">
        <is>
          <t>Autobus con monitor e indicatori vocali / Autobus totali in offerta, incluse scorte</t>
        </is>
      </c>
      <c r="Q1785" s="57">
        <f>IF($A1785="","",$A1785&amp;"|"&amp;$C1785)</f>
        <v/>
      </c>
      <c r="R1785" s="57">
        <f>IF($A1785="","",$A1785&amp;"|"&amp;$C1785&amp;"|"&amp;$D1785)</f>
        <v/>
      </c>
      <c r="S1785" s="57">
        <f>IF($A1785="","",IFERROR(INDEX(Offerte!$D$2:$D$81,MATCH($Q1785,Offerte!$L$2:$L$81,0)),0))</f>
        <v/>
      </c>
      <c r="T1785" s="57">
        <f>IF($A1785="","",IFERROR(INDEX(Offerte!$G$2:$G$81,MATCH($Q1785,Offerte!$L$2:$L$81,0)),"NO"))</f>
        <v/>
      </c>
    </row>
    <row r="1786">
      <c r="A1786" s="48">
        <f>IF(Offerte!$A59="","",Offerte!$A59)</f>
        <v/>
      </c>
      <c r="B1786" s="48">
        <f>IF(Offerte!$A59="","",Offerte!$B59)</f>
        <v/>
      </c>
      <c r="C1786" s="48">
        <f>IF(Offerte!$A59="","",Offerte!$C59)</f>
        <v/>
      </c>
      <c r="D1786" s="48" t="inlineStr">
        <is>
          <t>C.3.2</t>
        </is>
      </c>
      <c r="E1786" s="48" t="inlineStr">
        <is>
          <t>C</t>
        </is>
      </c>
      <c r="F1786" s="48" t="inlineStr">
        <is>
          <t>T</t>
        </is>
      </c>
      <c r="G1786" s="48" t="inlineStr">
        <is>
          <t>tabular</t>
        </is>
      </c>
      <c r="H1786" s="48" t="n">
        <v>2</v>
      </c>
      <c r="I1786" s="48" t="inlineStr">
        <is>
          <t>Informazioni a bordo su coincidenze ai nodi</t>
        </is>
      </c>
      <c r="J1786" s="73" t="n"/>
      <c r="K1786" s="73" t="n"/>
      <c r="L1786" s="73" t="n"/>
      <c r="M1786" s="73" t="n"/>
      <c r="N1786" s="57">
        <f>IF($A1786="","",IF(IFERROR(VALUE($M1786),0)=1,1,0))</f>
        <v/>
      </c>
      <c r="O1786" s="57">
        <f>IF($A1786="",0,IF(OR($S1786&lt;&gt;1,COUNTA($J1786:$M1786)=0),0,IF(AND($N1786=1,IFERROR(SUMIFS($N$5:$N$2484,$Q$5:$Q$2484,$Q1786,$D$5:$D$2484,"C.3.1"),0)&gt;=0.5),$H1786,0)))</f>
        <v/>
      </c>
      <c r="P1786" s="48" t="inlineStr">
        <is>
          <t>Dipende da C.3.1 &gt;= 0.5</t>
        </is>
      </c>
      <c r="Q1786" s="57">
        <f>IF($A1786="","",$A1786&amp;"|"&amp;$C1786)</f>
        <v/>
      </c>
      <c r="R1786" s="57">
        <f>IF($A1786="","",$A1786&amp;"|"&amp;$C1786&amp;"|"&amp;$D1786)</f>
        <v/>
      </c>
      <c r="S1786" s="57">
        <f>IF($A1786="","",IFERROR(INDEX(Offerte!$D$2:$D$81,MATCH($Q1786,Offerte!$L$2:$L$81,0)),0))</f>
        <v/>
      </c>
      <c r="T1786" s="57">
        <f>IF($A1786="","",IFERROR(INDEX(Offerte!$G$2:$G$81,MATCH($Q1786,Offerte!$L$2:$L$81,0)),"NO"))</f>
        <v/>
      </c>
    </row>
    <row r="1787">
      <c r="A1787" s="48">
        <f>IF(Offerte!$A59="","",Offerte!$A59)</f>
        <v/>
      </c>
      <c r="B1787" s="48">
        <f>IF(Offerte!$A59="","",Offerte!$B59)</f>
        <v/>
      </c>
      <c r="C1787" s="48">
        <f>IF(Offerte!$A59="","",Offerte!$C59)</f>
        <v/>
      </c>
      <c r="D1787" s="48" t="inlineStr">
        <is>
          <t>D.1.1</t>
        </is>
      </c>
      <c r="E1787" s="48" t="inlineStr">
        <is>
          <t>D</t>
        </is>
      </c>
      <c r="F1787" s="48" t="inlineStr">
        <is>
          <t>Q</t>
        </is>
      </c>
      <c r="G1787" s="48" t="inlineStr">
        <is>
          <t>higher</t>
        </is>
      </c>
      <c r="H1787" s="48" t="n">
        <v>3</v>
      </c>
      <c r="I1787" s="48" t="inlineStr">
        <is>
          <t>Installazione di pensiline</t>
        </is>
      </c>
      <c r="J1787" s="73" t="n"/>
      <c r="K1787" s="73" t="n"/>
      <c r="L1787" s="73" t="n"/>
      <c r="M1787" s="73" t="n"/>
      <c r="N1787" s="57">
        <f>IF($A1787="","",IFERROR(VALUE($J1787),0))</f>
        <v/>
      </c>
      <c r="O1787" s="57">
        <f>IF($A1787="",0,IF(OR($S1787&lt;&gt;1,COUNTA($J1787:$M1787)=0),0,IF(SUMPRODUCT(MAX(($C$5:$C$2484=$C1787)*($D$5:$D$2484=$D1787)*($S$5:$S$2484=1)*IFERROR($N$5:$N$2484*1,0)))&gt;0,ROUND($H1787*($N1787/SUMPRODUCT(MAX(($C$5:$C$2484=$C1787)*($D$5:$D$2484=$D1787)*($S$5:$S$2484=1)*IFERROR($N$5:$N$2484*1,0)))),4),0)))</f>
        <v/>
      </c>
      <c r="P1787" s="48" t="inlineStr">
        <is>
          <t>fermate</t>
        </is>
      </c>
      <c r="Q1787" s="57">
        <f>IF($A1787="","",$A1787&amp;"|"&amp;$C1787)</f>
        <v/>
      </c>
      <c r="R1787" s="57">
        <f>IF($A1787="","",$A1787&amp;"|"&amp;$C1787&amp;"|"&amp;$D1787)</f>
        <v/>
      </c>
      <c r="S1787" s="57">
        <f>IF($A1787="","",IFERROR(INDEX(Offerte!$D$2:$D$81,MATCH($Q1787,Offerte!$L$2:$L$81,0)),0))</f>
        <v/>
      </c>
      <c r="T1787" s="57">
        <f>IF($A1787="","",IFERROR(INDEX(Offerte!$G$2:$G$81,MATCH($Q1787,Offerte!$L$2:$L$81,0)),"NO"))</f>
        <v/>
      </c>
    </row>
    <row r="1788">
      <c r="A1788" s="48">
        <f>IF(Offerte!$A59="","",Offerte!$A59)</f>
        <v/>
      </c>
      <c r="B1788" s="48">
        <f>IF(Offerte!$A59="","",Offerte!$B59)</f>
        <v/>
      </c>
      <c r="C1788" s="48">
        <f>IF(Offerte!$A59="","",Offerte!$C59)</f>
        <v/>
      </c>
      <c r="D1788" s="48" t="inlineStr">
        <is>
          <t>D.1.2</t>
        </is>
      </c>
      <c r="E1788" s="48" t="inlineStr">
        <is>
          <t>D</t>
        </is>
      </c>
      <c r="F1788" s="48" t="inlineStr">
        <is>
          <t>Q</t>
        </is>
      </c>
      <c r="G1788" s="48" t="inlineStr">
        <is>
          <t>higher</t>
        </is>
      </c>
      <c r="H1788" s="48" t="n">
        <v>3</v>
      </c>
      <c r="I1788" s="48" t="inlineStr">
        <is>
          <t>Installazione di paline di fermata conformi alla DGR 581/2023</t>
        </is>
      </c>
      <c r="J1788" s="73" t="n"/>
      <c r="K1788" s="73" t="n"/>
      <c r="L1788" s="73" t="n"/>
      <c r="M1788" s="73" t="n"/>
      <c r="N1788" s="57">
        <f>IF($A1788="","",IFERROR(VALUE($J1788),0))</f>
        <v/>
      </c>
      <c r="O1788" s="57">
        <f>IF($A1788="",0,IF(OR($S1788&lt;&gt;1,COUNTA($J1788:$M1788)=0),0,IF(SUMPRODUCT(MAX(($C$5:$C$2484=$C1788)*($D$5:$D$2484=$D1788)*($S$5:$S$2484=1)*IFERROR($N$5:$N$2484*1,0)))&gt;0,ROUND($H1788*($N1788/SUMPRODUCT(MAX(($C$5:$C$2484=$C1788)*($D$5:$D$2484=$D1788)*($S$5:$S$2484=1)*IFERROR($N$5:$N$2484*1,0)))),4),0)))</f>
        <v/>
      </c>
      <c r="P1788" s="48" t="inlineStr">
        <is>
          <t>fermate</t>
        </is>
      </c>
      <c r="Q1788" s="57">
        <f>IF($A1788="","",$A1788&amp;"|"&amp;$C1788)</f>
        <v/>
      </c>
      <c r="R1788" s="57">
        <f>IF($A1788="","",$A1788&amp;"|"&amp;$C1788&amp;"|"&amp;$D1788)</f>
        <v/>
      </c>
      <c r="S1788" s="57">
        <f>IF($A1788="","",IFERROR(INDEX(Offerte!$D$2:$D$81,MATCH($Q1788,Offerte!$L$2:$L$81,0)),0))</f>
        <v/>
      </c>
      <c r="T1788" s="57">
        <f>IF($A1788="","",IFERROR(INDEX(Offerte!$G$2:$G$81,MATCH($Q1788,Offerte!$L$2:$L$81,0)),"NO"))</f>
        <v/>
      </c>
    </row>
    <row r="1789">
      <c r="A1789" s="48">
        <f>IF(Offerte!$A59="","",Offerte!$A59)</f>
        <v/>
      </c>
      <c r="B1789" s="48">
        <f>IF(Offerte!$A59="","",Offerte!$B59)</f>
        <v/>
      </c>
      <c r="C1789" s="48">
        <f>IF(Offerte!$A59="","",Offerte!$C59)</f>
        <v/>
      </c>
      <c r="D1789" s="48" t="inlineStr">
        <is>
          <t>D.1.3</t>
        </is>
      </c>
      <c r="E1789" s="48" t="inlineStr">
        <is>
          <t>D</t>
        </is>
      </c>
      <c r="F1789" s="48" t="inlineStr">
        <is>
          <t>Q</t>
        </is>
      </c>
      <c r="G1789" s="48" t="inlineStr">
        <is>
          <t>higher</t>
        </is>
      </c>
      <c r="H1789" s="48" t="n">
        <v>2</v>
      </c>
      <c r="I1789" s="48" t="inlineStr">
        <is>
          <t>Display informativi connessi alle fermate</t>
        </is>
      </c>
      <c r="J1789" s="73" t="n"/>
      <c r="K1789" s="73" t="n"/>
      <c r="L1789" s="73" t="n"/>
      <c r="M1789" s="73" t="n"/>
      <c r="N1789" s="57">
        <f>IF($A1789="","",IFERROR(VALUE($J1789),0))</f>
        <v/>
      </c>
      <c r="O1789" s="57">
        <f>IF($A1789="",0,IF(OR($S1789&lt;&gt;1,COUNTA($J1789:$M1789)=0),0,IF(SUMPRODUCT(MAX(($C$5:$C$2484=$C1789)*($D$5:$D$2484=$D1789)*($S$5:$S$2484=1)*IFERROR($N$5:$N$2484*1,0)))&gt;0,ROUND($H1789*($N1789/SUMPRODUCT(MAX(($C$5:$C$2484=$C1789)*($D$5:$D$2484=$D1789)*($S$5:$S$2484=1)*IFERROR($N$5:$N$2484*1,0)))),4),0)))</f>
        <v/>
      </c>
      <c r="P1789" s="48" t="inlineStr">
        <is>
          <t>fermate</t>
        </is>
      </c>
      <c r="Q1789" s="57">
        <f>IF($A1789="","",$A1789&amp;"|"&amp;$C1789)</f>
        <v/>
      </c>
      <c r="R1789" s="57">
        <f>IF($A1789="","",$A1789&amp;"|"&amp;$C1789&amp;"|"&amp;$D1789)</f>
        <v/>
      </c>
      <c r="S1789" s="57">
        <f>IF($A1789="","",IFERROR(INDEX(Offerte!$D$2:$D$81,MATCH($Q1789,Offerte!$L$2:$L$81,0)),0))</f>
        <v/>
      </c>
      <c r="T1789" s="57">
        <f>IF($A1789="","",IFERROR(INDEX(Offerte!$G$2:$G$81,MATCH($Q1789,Offerte!$L$2:$L$81,0)),"NO"))</f>
        <v/>
      </c>
    </row>
    <row r="1790">
      <c r="A1790" s="48">
        <f>IF(Offerte!$A59="","",Offerte!$A59)</f>
        <v/>
      </c>
      <c r="B1790" s="48">
        <f>IF(Offerte!$A59="","",Offerte!$B59)</f>
        <v/>
      </c>
      <c r="C1790" s="48">
        <f>IF(Offerte!$A59="","",Offerte!$C59)</f>
        <v/>
      </c>
      <c r="D1790" s="48" t="inlineStr">
        <is>
          <t>D.2.1</t>
        </is>
      </c>
      <c r="E1790" s="48" t="inlineStr">
        <is>
          <t>D</t>
        </is>
      </c>
      <c r="F1790" s="48" t="inlineStr">
        <is>
          <t>Q</t>
        </is>
      </c>
      <c r="G1790" s="48" t="inlineStr">
        <is>
          <t>higher</t>
        </is>
      </c>
      <c r="H1790" s="48" t="n">
        <v>2</v>
      </c>
      <c r="I1790" s="48" t="inlineStr">
        <is>
          <t>Segnali tattili Loges-Vet-Evolution</t>
        </is>
      </c>
      <c r="J1790" s="73" t="n"/>
      <c r="K1790" s="73" t="n"/>
      <c r="L1790" s="73" t="n"/>
      <c r="M1790" s="73" t="n"/>
      <c r="N1790" s="57">
        <f>IF($A1790="","",IFERROR(VALUE($J1790),0))</f>
        <v/>
      </c>
      <c r="O1790" s="57">
        <f>IF($A1790="",0,IF(OR($S1790&lt;&gt;1,COUNTA($J1790:$M1790)=0),0,IF(SUMPRODUCT(MAX(($C$5:$C$2484=$C1790)*($D$5:$D$2484=$D1790)*($S$5:$S$2484=1)*IFERROR($N$5:$N$2484*1,0)))&gt;0,ROUND($H1790*($N1790/SUMPRODUCT(MAX(($C$5:$C$2484=$C1790)*($D$5:$D$2484=$D1790)*($S$5:$S$2484=1)*IFERROR($N$5:$N$2484*1,0)))),4),0)))</f>
        <v/>
      </c>
      <c r="P1790" s="48" t="inlineStr">
        <is>
          <t>fermate</t>
        </is>
      </c>
      <c r="Q1790" s="57">
        <f>IF($A1790="","",$A1790&amp;"|"&amp;$C1790)</f>
        <v/>
      </c>
      <c r="R1790" s="57">
        <f>IF($A1790="","",$A1790&amp;"|"&amp;$C1790&amp;"|"&amp;$D1790)</f>
        <v/>
      </c>
      <c r="S1790" s="57">
        <f>IF($A1790="","",IFERROR(INDEX(Offerte!$D$2:$D$81,MATCH($Q1790,Offerte!$L$2:$L$81,0)),0))</f>
        <v/>
      </c>
      <c r="T1790" s="57">
        <f>IF($A1790="","",IFERROR(INDEX(Offerte!$G$2:$G$81,MATCH($Q1790,Offerte!$L$2:$L$81,0)),"NO"))</f>
        <v/>
      </c>
    </row>
    <row r="1791">
      <c r="A1791" s="48">
        <f>IF(Offerte!$A59="","",Offerte!$A59)</f>
        <v/>
      </c>
      <c r="B1791" s="48">
        <f>IF(Offerte!$A59="","",Offerte!$B59)</f>
        <v/>
      </c>
      <c r="C1791" s="48">
        <f>IF(Offerte!$A59="","",Offerte!$C59)</f>
        <v/>
      </c>
      <c r="D1791" s="48" t="inlineStr">
        <is>
          <t>E.1.1</t>
        </is>
      </c>
      <c r="E1791" s="48" t="inlineStr">
        <is>
          <t>E</t>
        </is>
      </c>
      <c r="F1791" s="48" t="inlineStr">
        <is>
          <t>T</t>
        </is>
      </c>
      <c r="G1791" s="48" t="inlineStr">
        <is>
          <t>tabular</t>
        </is>
      </c>
      <c r="H1791" s="48" t="n">
        <v>2</v>
      </c>
      <c r="I1791" s="48" t="inlineStr">
        <is>
          <t>Mobile app con travel planner PRM</t>
        </is>
      </c>
      <c r="J1791" s="73" t="n"/>
      <c r="K1791" s="73" t="n"/>
      <c r="L1791" s="73" t="n"/>
      <c r="M1791" s="73" t="n"/>
      <c r="N1791" s="57">
        <f>IF($A1791="","",IF(IFERROR(VALUE($M1791),0)=1,1,0))</f>
        <v/>
      </c>
      <c r="O1791" s="57">
        <f>IF($A1791="",0,IF(OR($S1791&lt;&gt;1,COUNTA($J1791:$M1791)=0),0,IF($N1791=1,$H1791,0)))</f>
        <v/>
      </c>
      <c r="P1791" s="48" t="inlineStr">
        <is>
          <t>sì/no</t>
        </is>
      </c>
      <c r="Q1791" s="57">
        <f>IF($A1791="","",$A1791&amp;"|"&amp;$C1791)</f>
        <v/>
      </c>
      <c r="R1791" s="57">
        <f>IF($A1791="","",$A1791&amp;"|"&amp;$C1791&amp;"|"&amp;$D1791)</f>
        <v/>
      </c>
      <c r="S1791" s="57">
        <f>IF($A1791="","",IFERROR(INDEX(Offerte!$D$2:$D$81,MATCH($Q1791,Offerte!$L$2:$L$81,0)),0))</f>
        <v/>
      </c>
      <c r="T1791" s="57">
        <f>IF($A1791="","",IFERROR(INDEX(Offerte!$G$2:$G$81,MATCH($Q1791,Offerte!$L$2:$L$81,0)),"NO"))</f>
        <v/>
      </c>
    </row>
    <row r="1792">
      <c r="A1792" s="48">
        <f>IF(Offerte!$A59="","",Offerte!$A59)</f>
        <v/>
      </c>
      <c r="B1792" s="48">
        <f>IF(Offerte!$A59="","",Offerte!$B59)</f>
        <v/>
      </c>
      <c r="C1792" s="48">
        <f>IF(Offerte!$A59="","",Offerte!$C59)</f>
        <v/>
      </c>
      <c r="D1792" s="48" t="inlineStr">
        <is>
          <t>E.2.1</t>
        </is>
      </c>
      <c r="E1792" s="48" t="inlineStr">
        <is>
          <t>E</t>
        </is>
      </c>
      <c r="F1792" s="48" t="inlineStr">
        <is>
          <t>D</t>
        </is>
      </c>
      <c r="G1792" s="48" t="inlineStr">
        <is>
          <t>discretionary</t>
        </is>
      </c>
      <c r="H1792" s="48" t="n">
        <v>2</v>
      </c>
      <c r="I1792" s="48" t="inlineStr">
        <is>
          <t>Altre azioni informative e rapporti con gli utenti</t>
        </is>
      </c>
      <c r="J1792" s="73" t="n"/>
      <c r="K1792" s="73" t="n"/>
      <c r="L1792" s="73" t="n"/>
      <c r="M1792" s="73" t="n"/>
      <c r="N1792" s="57">
        <f>IF($A1792="","",MAX(0,MIN(1,IFERROR(VALUE($M1792),0))))</f>
        <v/>
      </c>
      <c r="O1792" s="57">
        <f>IF($A1792="",0,IF(OR($S1792&lt;&gt;1,COUNTA($J1792:$M1792)=0),0,IF(SUMPRODUCT(MAX(($C$5:$C$2484=$C1792)*($D$5:$D$2484=$D1792)*($S$5:$S$2484=1)*IFERROR($N$5:$N$2484*1,0)))&gt;0,ROUND($H1792*($N1792/SUMPRODUCT(MAX(($C$5:$C$2484=$C1792)*($D$5:$D$2484=$D1792)*($S$5:$S$2484=1)*IFERROR($N$5:$N$2484*1,0)))),4),0)))</f>
        <v/>
      </c>
      <c r="P1792" s="48" t="inlineStr">
        <is>
          <t>coeff.</t>
        </is>
      </c>
      <c r="Q1792" s="57">
        <f>IF($A1792="","",$A1792&amp;"|"&amp;$C1792)</f>
        <v/>
      </c>
      <c r="R1792" s="57">
        <f>IF($A1792="","",$A1792&amp;"|"&amp;$C1792&amp;"|"&amp;$D1792)</f>
        <v/>
      </c>
      <c r="S1792" s="57">
        <f>IF($A1792="","",IFERROR(INDEX(Offerte!$D$2:$D$81,MATCH($Q1792,Offerte!$L$2:$L$81,0)),0))</f>
        <v/>
      </c>
      <c r="T1792" s="57">
        <f>IF($A1792="","",IFERROR(INDEX(Offerte!$G$2:$G$81,MATCH($Q1792,Offerte!$L$2:$L$81,0)),"NO"))</f>
        <v/>
      </c>
    </row>
    <row r="1793">
      <c r="A1793" s="48">
        <f>IF(Offerte!$A59="","",Offerte!$A59)</f>
        <v/>
      </c>
      <c r="B1793" s="48">
        <f>IF(Offerte!$A59="","",Offerte!$B59)</f>
        <v/>
      </c>
      <c r="C1793" s="48">
        <f>IF(Offerte!$A59="","",Offerte!$C59)</f>
        <v/>
      </c>
      <c r="D1793" s="48" t="inlineStr">
        <is>
          <t>F.1.1</t>
        </is>
      </c>
      <c r="E1793" s="48" t="inlineStr">
        <is>
          <t>F</t>
        </is>
      </c>
      <c r="F1793" s="48" t="inlineStr">
        <is>
          <t>Q</t>
        </is>
      </c>
      <c r="G1793" s="48" t="inlineStr">
        <is>
          <t>lower</t>
        </is>
      </c>
      <c r="H1793" s="48" t="n">
        <v>7</v>
      </c>
      <c r="I1793" s="48" t="inlineStr">
        <is>
          <t>Performance ambientali del parco mezzi adibito al servizio - I_CEA</t>
        </is>
      </c>
      <c r="J1793" s="73" t="n"/>
      <c r="K1793" s="73" t="n"/>
      <c r="L1793" s="73" t="n"/>
      <c r="M1793" s="73" t="n"/>
      <c r="N1793" s="57">
        <f>IF($A1793="","",IFERROR(VALUE($J1793),0))</f>
        <v/>
      </c>
      <c r="O1793" s="57">
        <f>IF($A1793="",0,IF(OR($S1793&lt;&gt;1,COUNTA($J1793:$M1793)=0),0,IF(AND(IFERROR(AGGREGATE(15,6,$N$5:$N$2484/(($C$5:$C$2484=$C1793)*($D$5:$D$2484=$D1793)*($S$5:$S$2484=1)*($N$5:$N$2484&gt;0)),1),0)&gt;0,$N1793&gt;0),ROUND($H1793*(IFERROR(AGGREGATE(15,6,$N$5:$N$2484/(($C$5:$C$2484=$C1793)*($D$5:$D$2484=$D1793)*($S$5:$S$2484=1)*($N$5:$N$2484&gt;0)),1),0)/$N1793),4),0)))</f>
        <v/>
      </c>
      <c r="P1793" s="48" t="inlineStr">
        <is>
          <t>indice</t>
        </is>
      </c>
      <c r="Q1793" s="57">
        <f>IF($A1793="","",$A1793&amp;"|"&amp;$C1793)</f>
        <v/>
      </c>
      <c r="R1793" s="57">
        <f>IF($A1793="","",$A1793&amp;"|"&amp;$C1793&amp;"|"&amp;$D1793)</f>
        <v/>
      </c>
      <c r="S1793" s="57">
        <f>IF($A1793="","",IFERROR(INDEX(Offerte!$D$2:$D$81,MATCH($Q1793,Offerte!$L$2:$L$81,0)),0))</f>
        <v/>
      </c>
      <c r="T1793" s="57">
        <f>IF($A1793="","",IFERROR(INDEX(Offerte!$G$2:$G$81,MATCH($Q1793,Offerte!$L$2:$L$81,0)),"NO"))</f>
        <v/>
      </c>
    </row>
    <row r="1794">
      <c r="A1794" s="48">
        <f>IF(Offerte!$A59="","",Offerte!$A59)</f>
        <v/>
      </c>
      <c r="B1794" s="48">
        <f>IF(Offerte!$A59="","",Offerte!$B59)</f>
        <v/>
      </c>
      <c r="C1794" s="48">
        <f>IF(Offerte!$A59="","",Offerte!$C59)</f>
        <v/>
      </c>
      <c r="D1794" s="48" t="inlineStr">
        <is>
          <t>F.2.1</t>
        </is>
      </c>
      <c r="E1794" s="48" t="inlineStr">
        <is>
          <t>F</t>
        </is>
      </c>
      <c r="F1794" s="48" t="inlineStr">
        <is>
          <t>Q</t>
        </is>
      </c>
      <c r="G1794" s="48" t="inlineStr">
        <is>
          <t>higher</t>
        </is>
      </c>
      <c r="H1794" s="48" t="n">
        <v>2</v>
      </c>
      <c r="I1794" s="48" t="inlineStr">
        <is>
          <t>Tasso di copertura del servizio con dispositivi ECO-DRIVER</t>
        </is>
      </c>
      <c r="J1794" s="73" t="n"/>
      <c r="K1794" s="73" t="n"/>
      <c r="L1794" s="73" t="n"/>
      <c r="M1794" s="73" t="n"/>
      <c r="N1794" s="57">
        <f>IF($A1794="","",IFERROR(VALUE($K1794)/VALUE($L1794),IFERROR(VALUE($J1794),0)))</f>
        <v/>
      </c>
      <c r="O1794" s="57">
        <f>IF($A1794="",0,IF(OR($S1794&lt;&gt;1,COUNTA($J1794:$M1794)=0),0,IF(SUMPRODUCT(MAX(($C$5:$C$2484=$C1794)*($D$5:$D$2484=$D1794)*($S$5:$S$2484=1)*IFERROR($N$5:$N$2484*1,0)))&gt;0,ROUND($H1794*($N1794/SUMPRODUCT(MAX(($C$5:$C$2484=$C1794)*($D$5:$D$2484=$D1794)*($S$5:$S$2484=1)*IFERROR($N$5:$N$2484*1,0)))),4),0)))</f>
        <v/>
      </c>
      <c r="P1794" s="48" t="inlineStr">
        <is>
          <t>Autobus attrezzati con dispositivi ECO-DRIVER / Autobus totali in offerta, incluse scorte</t>
        </is>
      </c>
      <c r="Q1794" s="57">
        <f>IF($A1794="","",$A1794&amp;"|"&amp;$C1794)</f>
        <v/>
      </c>
      <c r="R1794" s="57">
        <f>IF($A1794="","",$A1794&amp;"|"&amp;$C1794&amp;"|"&amp;$D1794)</f>
        <v/>
      </c>
      <c r="S1794" s="57">
        <f>IF($A1794="","",IFERROR(INDEX(Offerte!$D$2:$D$81,MATCH($Q1794,Offerte!$L$2:$L$81,0)),0))</f>
        <v/>
      </c>
      <c r="T1794" s="57">
        <f>IF($A1794="","",IFERROR(INDEX(Offerte!$G$2:$G$81,MATCH($Q1794,Offerte!$L$2:$L$81,0)),"NO"))</f>
        <v/>
      </c>
    </row>
    <row r="1795">
      <c r="A1795" s="48">
        <f>IF(Offerte!$A59="","",Offerte!$A59)</f>
        <v/>
      </c>
      <c r="B1795" s="48">
        <f>IF(Offerte!$A59="","",Offerte!$B59)</f>
        <v/>
      </c>
      <c r="C1795" s="48">
        <f>IF(Offerte!$A59="","",Offerte!$C59)</f>
        <v/>
      </c>
      <c r="D1795" s="48" t="inlineStr">
        <is>
          <t>F.3.1</t>
        </is>
      </c>
      <c r="E1795" s="48" t="inlineStr">
        <is>
          <t>F</t>
        </is>
      </c>
      <c r="F1795" s="48" t="inlineStr">
        <is>
          <t>Q</t>
        </is>
      </c>
      <c r="G1795" s="48" t="inlineStr">
        <is>
          <t>higher</t>
        </is>
      </c>
      <c r="H1795" s="48" t="n">
        <v>2</v>
      </c>
      <c r="I1795" s="48" t="inlineStr">
        <is>
          <t>Autoproduzione consumi elettrici per trazione</t>
        </is>
      </c>
      <c r="J1795" s="73" t="n"/>
      <c r="K1795" s="73" t="n"/>
      <c r="L1795" s="73" t="n"/>
      <c r="M1795" s="73" t="n"/>
      <c r="N1795" s="57">
        <f>IF($A1795="","",IFERROR(VALUE($J1795),0))</f>
        <v/>
      </c>
      <c r="O1795" s="57">
        <f>IF($A1795="",0,IF(OR($S1795&lt;&gt;1,COUNTA($J1795:$M1795)=0),0,IF(SUMPRODUCT(MAX(($C$5:$C$2484=$C1795)*($D$5:$D$2484=$D1795)*($S$5:$S$2484=1)*IFERROR($N$5:$N$2484*1,0)))&gt;0,ROUND($H1795*($N1795/SUMPRODUCT(MAX(($C$5:$C$2484=$C1795)*($D$5:$D$2484=$D1795)*($S$5:$S$2484=1)*IFERROR($N$5:$N$2484*1,0)))),4),0)))</f>
        <v/>
      </c>
      <c r="P1795" s="48" t="inlineStr">
        <is>
          <t>kWh/anno</t>
        </is>
      </c>
      <c r="Q1795" s="57">
        <f>IF($A1795="","",$A1795&amp;"|"&amp;$C1795)</f>
        <v/>
      </c>
      <c r="R1795" s="57">
        <f>IF($A1795="","",$A1795&amp;"|"&amp;$C1795&amp;"|"&amp;$D1795)</f>
        <v/>
      </c>
      <c r="S1795" s="57">
        <f>IF($A1795="","",IFERROR(INDEX(Offerte!$D$2:$D$81,MATCH($Q1795,Offerte!$L$2:$L$81,0)),0))</f>
        <v/>
      </c>
      <c r="T1795" s="57">
        <f>IF($A1795="","",IFERROR(INDEX(Offerte!$G$2:$G$81,MATCH($Q1795,Offerte!$L$2:$L$81,0)),"NO"))</f>
        <v/>
      </c>
    </row>
    <row r="1796">
      <c r="A1796" s="48">
        <f>IF(Offerte!$A59="","",Offerte!$A59)</f>
        <v/>
      </c>
      <c r="B1796" s="48">
        <f>IF(Offerte!$A59="","",Offerte!$B59)</f>
        <v/>
      </c>
      <c r="C1796" s="48">
        <f>IF(Offerte!$A59="","",Offerte!$C59)</f>
        <v/>
      </c>
      <c r="D1796" s="48" t="inlineStr">
        <is>
          <t>F.4.1</t>
        </is>
      </c>
      <c r="E1796" s="48" t="inlineStr">
        <is>
          <t>F</t>
        </is>
      </c>
      <c r="F1796" s="48" t="inlineStr">
        <is>
          <t>Q</t>
        </is>
      </c>
      <c r="G1796" s="48" t="inlineStr">
        <is>
          <t>soil</t>
        </is>
      </c>
      <c r="H1796" s="48" t="n">
        <v>2</v>
      </c>
      <c r="I1796" s="48" t="inlineStr">
        <is>
          <t>Indice di consumo di suolo</t>
        </is>
      </c>
      <c r="J1796" s="73" t="n"/>
      <c r="K1796" s="73" t="n"/>
      <c r="L1796" s="73" t="n"/>
      <c r="M1796" s="73" t="n"/>
      <c r="N1796" s="57">
        <f>IF($A1796="","",IFERROR(VALUE($J1796),0))</f>
        <v/>
      </c>
      <c r="O1796" s="57">
        <f>IF($A1796="",0,IF(OR($S1796&lt;&gt;1,COUNTA($J1796:$M1796)=0),0,IF($N1796&lt;=0,$H1796,IF(SUMPRODUCT(MAX(($C$5:$C$2484=$C1796)*($D$5:$D$2484=$D1796)*($S$5:$S$2484=1)*IFERROR($N$5:$N$2484*1,0)))&gt;0,ROUND($H1796*((SUMPRODUCT(MAX(($C$5:$C$2484=$C1796)*($D$5:$D$2484=$D1796)*($S$5:$S$2484=1)*IFERROR($N$5:$N$2484*1,0)))-$N1796)/SUMPRODUCT(MAX(($C$5:$C$2484=$C1796)*($D$5:$D$2484=$D1796)*($S$5:$S$2484=1)*IFERROR($N$5:$N$2484*1,0)))),4),0))))</f>
        <v/>
      </c>
      <c r="P1796" s="48" t="inlineStr">
        <is>
          <t>m2</t>
        </is>
      </c>
      <c r="Q1796" s="57">
        <f>IF($A1796="","",$A1796&amp;"|"&amp;$C1796)</f>
        <v/>
      </c>
      <c r="R1796" s="57">
        <f>IF($A1796="","",$A1796&amp;"|"&amp;$C1796&amp;"|"&amp;$D1796)</f>
        <v/>
      </c>
      <c r="S1796" s="57">
        <f>IF($A1796="","",IFERROR(INDEX(Offerte!$D$2:$D$81,MATCH($Q1796,Offerte!$L$2:$L$81,0)),0))</f>
        <v/>
      </c>
      <c r="T1796" s="57">
        <f>IF($A1796="","",IFERROR(INDEX(Offerte!$G$2:$G$81,MATCH($Q1796,Offerte!$L$2:$L$81,0)),"NO"))</f>
        <v/>
      </c>
    </row>
    <row r="1797">
      <c r="A1797" s="48">
        <f>IF(Offerte!$A59="","",Offerte!$A59)</f>
        <v/>
      </c>
      <c r="B1797" s="48">
        <f>IF(Offerte!$A59="","",Offerte!$B59)</f>
        <v/>
      </c>
      <c r="C1797" s="48">
        <f>IF(Offerte!$A59="","",Offerte!$C59)</f>
        <v/>
      </c>
      <c r="D1797" s="48" t="inlineStr">
        <is>
          <t>F.5.1</t>
        </is>
      </c>
      <c r="E1797" s="48" t="inlineStr">
        <is>
          <t>F</t>
        </is>
      </c>
      <c r="F1797" s="48" t="inlineStr">
        <is>
          <t>T</t>
        </is>
      </c>
      <c r="G1797" s="48" t="inlineStr">
        <is>
          <t>tabular</t>
        </is>
      </c>
      <c r="H1797" s="48" t="n">
        <v>1</v>
      </c>
      <c r="I1797" s="48" t="inlineStr">
        <is>
          <t>Rendicontazione di sostenibilità ambientale</t>
        </is>
      </c>
      <c r="J1797" s="73" t="n"/>
      <c r="K1797" s="73" t="n"/>
      <c r="L1797" s="73" t="n"/>
      <c r="M1797" s="73" t="n"/>
      <c r="N1797" s="57">
        <f>IF($A1797="","",IF(IFERROR(VALUE($M1797),0)=1,1,0))</f>
        <v/>
      </c>
      <c r="O1797" s="57">
        <f>IF($A1797="",0,IF(OR($S1797&lt;&gt;1,COUNTA($J1797:$M1797)=0),0,IF($N1797=1,$H1797,0)))</f>
        <v/>
      </c>
      <c r="P1797" s="48" t="inlineStr">
        <is>
          <t>sì/no</t>
        </is>
      </c>
      <c r="Q1797" s="57">
        <f>IF($A1797="","",$A1797&amp;"|"&amp;$C1797)</f>
        <v/>
      </c>
      <c r="R1797" s="57">
        <f>IF($A1797="","",$A1797&amp;"|"&amp;$C1797&amp;"|"&amp;$D1797)</f>
        <v/>
      </c>
      <c r="S1797" s="57">
        <f>IF($A1797="","",IFERROR(INDEX(Offerte!$D$2:$D$81,MATCH($Q1797,Offerte!$L$2:$L$81,0)),0))</f>
        <v/>
      </c>
      <c r="T1797" s="57">
        <f>IF($A1797="","",IFERROR(INDEX(Offerte!$G$2:$G$81,MATCH($Q1797,Offerte!$L$2:$L$81,0)),"NO"))</f>
        <v/>
      </c>
    </row>
    <row r="1798">
      <c r="A1798" s="48">
        <f>IF(Offerte!$A59="","",Offerte!$A59)</f>
        <v/>
      </c>
      <c r="B1798" s="48">
        <f>IF(Offerte!$A59="","",Offerte!$B59)</f>
        <v/>
      </c>
      <c r="C1798" s="48">
        <f>IF(Offerte!$A59="","",Offerte!$C59)</f>
        <v/>
      </c>
      <c r="D1798" s="48" t="inlineStr">
        <is>
          <t>G.1.1</t>
        </is>
      </c>
      <c r="E1798" s="48" t="inlineStr">
        <is>
          <t>G</t>
        </is>
      </c>
      <c r="F1798" s="48" t="inlineStr">
        <is>
          <t>D</t>
        </is>
      </c>
      <c r="G1798" s="48" t="inlineStr">
        <is>
          <t>discretionary</t>
        </is>
      </c>
      <c r="H1798" s="48" t="n">
        <v>2</v>
      </c>
      <c r="I1798" s="48" t="inlineStr">
        <is>
          <t>Qualità del progetto di centrale di controllo aziendale</t>
        </is>
      </c>
      <c r="J1798" s="73" t="n"/>
      <c r="K1798" s="73" t="n"/>
      <c r="L1798" s="73" t="n"/>
      <c r="M1798" s="73" t="n"/>
      <c r="N1798" s="57">
        <f>IF($A1798="","",MAX(0,MIN(1,IFERROR(VALUE($M1798),0))))</f>
        <v/>
      </c>
      <c r="O1798" s="57">
        <f>IF($A1798="",0,IF(OR($S1798&lt;&gt;1,COUNTA($J1798:$M1798)=0),0,IF(SUMPRODUCT(MAX(($C$5:$C$2484=$C1798)*($D$5:$D$2484=$D1798)*($S$5:$S$2484=1)*IFERROR($N$5:$N$2484*1,0)))&gt;0,ROUND($H1798*($N1798/SUMPRODUCT(MAX(($C$5:$C$2484=$C1798)*($D$5:$D$2484=$D1798)*($S$5:$S$2484=1)*IFERROR($N$5:$N$2484*1,0)))),4),0)))</f>
        <v/>
      </c>
      <c r="P1798" s="48" t="inlineStr">
        <is>
          <t>coeff.</t>
        </is>
      </c>
      <c r="Q1798" s="57">
        <f>IF($A1798="","",$A1798&amp;"|"&amp;$C1798)</f>
        <v/>
      </c>
      <c r="R1798" s="57">
        <f>IF($A1798="","",$A1798&amp;"|"&amp;$C1798&amp;"|"&amp;$D1798)</f>
        <v/>
      </c>
      <c r="S1798" s="57">
        <f>IF($A1798="","",IFERROR(INDEX(Offerte!$D$2:$D$81,MATCH($Q1798,Offerte!$L$2:$L$81,0)),0))</f>
        <v/>
      </c>
      <c r="T1798" s="57">
        <f>IF($A1798="","",IFERROR(INDEX(Offerte!$G$2:$G$81,MATCH($Q1798,Offerte!$L$2:$L$81,0)),"NO"))</f>
        <v/>
      </c>
    </row>
    <row r="1799">
      <c r="A1799" s="48">
        <f>IF(Offerte!$A59="","",Offerte!$A59)</f>
        <v/>
      </c>
      <c r="B1799" s="48">
        <f>IF(Offerte!$A59="","",Offerte!$B59)</f>
        <v/>
      </c>
      <c r="C1799" s="48">
        <f>IF(Offerte!$A59="","",Offerte!$C59)</f>
        <v/>
      </c>
      <c r="D1799" s="48" t="inlineStr">
        <is>
          <t>G.2.1</t>
        </is>
      </c>
      <c r="E1799" s="48" t="inlineStr">
        <is>
          <t>G</t>
        </is>
      </c>
      <c r="F1799" s="48" t="inlineStr">
        <is>
          <t>T</t>
        </is>
      </c>
      <c r="G1799" s="48" t="inlineStr">
        <is>
          <t>tabular</t>
        </is>
      </c>
      <c r="H1799" s="48" t="n">
        <v>1</v>
      </c>
      <c r="I1799" s="48" t="inlineStr">
        <is>
          <t>Certificazione ISO 45001</t>
        </is>
      </c>
      <c r="J1799" s="73" t="n"/>
      <c r="K1799" s="73" t="n"/>
      <c r="L1799" s="73" t="n"/>
      <c r="M1799" s="73" t="n"/>
      <c r="N1799" s="57">
        <f>IF($A1799="","",IF(IFERROR(VALUE($M1799),0)=1,1,0))</f>
        <v/>
      </c>
      <c r="O1799" s="57">
        <f>IF($A1799="",0,IF(OR($S1799&lt;&gt;1,COUNTA($J1799:$M1799)=0),0,IF($N1799=1,$H1799,0)))</f>
        <v/>
      </c>
      <c r="P1799" s="48" t="inlineStr">
        <is>
          <t>sì/no</t>
        </is>
      </c>
      <c r="Q1799" s="57">
        <f>IF($A1799="","",$A1799&amp;"|"&amp;$C1799)</f>
        <v/>
      </c>
      <c r="R1799" s="57">
        <f>IF($A1799="","",$A1799&amp;"|"&amp;$C1799&amp;"|"&amp;$D1799)</f>
        <v/>
      </c>
      <c r="S1799" s="57">
        <f>IF($A1799="","",IFERROR(INDEX(Offerte!$D$2:$D$81,MATCH($Q1799,Offerte!$L$2:$L$81,0)),0))</f>
        <v/>
      </c>
      <c r="T1799" s="57">
        <f>IF($A1799="","",IFERROR(INDEX(Offerte!$G$2:$G$81,MATCH($Q1799,Offerte!$L$2:$L$81,0)),"NO"))</f>
        <v/>
      </c>
    </row>
    <row r="1800">
      <c r="A1800" s="48">
        <f>IF(Offerte!$A59="","",Offerte!$A59)</f>
        <v/>
      </c>
      <c r="B1800" s="48">
        <f>IF(Offerte!$A59="","",Offerte!$B59)</f>
        <v/>
      </c>
      <c r="C1800" s="48">
        <f>IF(Offerte!$A59="","",Offerte!$C59)</f>
        <v/>
      </c>
      <c r="D1800" s="48" t="inlineStr">
        <is>
          <t>G.3.1</t>
        </is>
      </c>
      <c r="E1800" s="48" t="inlineStr">
        <is>
          <t>G</t>
        </is>
      </c>
      <c r="F1800" s="48" t="inlineStr">
        <is>
          <t>T</t>
        </is>
      </c>
      <c r="G1800" s="48" t="inlineStr">
        <is>
          <t>tabular</t>
        </is>
      </c>
      <c r="H1800" s="48" t="n">
        <v>1</v>
      </c>
      <c r="I1800" s="48" t="inlineStr">
        <is>
          <t>Certificazioni di responsabilità sociale</t>
        </is>
      </c>
      <c r="J1800" s="73" t="n"/>
      <c r="K1800" s="73" t="n"/>
      <c r="L1800" s="73" t="n"/>
      <c r="M1800" s="73" t="n"/>
      <c r="N1800" s="57">
        <f>IF($A1800="","",IF(IFERROR(VALUE($M1800),0)=1,1,0))</f>
        <v/>
      </c>
      <c r="O1800" s="57">
        <f>IF($A1800="",0,IF(OR($S1800&lt;&gt;1,COUNTA($J1800:$M1800)=0),0,IF($N1800=1,$H1800,0)))</f>
        <v/>
      </c>
      <c r="P1800" s="48" t="inlineStr">
        <is>
          <t>sì/no</t>
        </is>
      </c>
      <c r="Q1800" s="57">
        <f>IF($A1800="","",$A1800&amp;"|"&amp;$C1800)</f>
        <v/>
      </c>
      <c r="R1800" s="57">
        <f>IF($A1800="","",$A1800&amp;"|"&amp;$C1800&amp;"|"&amp;$D1800)</f>
        <v/>
      </c>
      <c r="S1800" s="57">
        <f>IF($A1800="","",IFERROR(INDEX(Offerte!$D$2:$D$81,MATCH($Q1800,Offerte!$L$2:$L$81,0)),0))</f>
        <v/>
      </c>
      <c r="T1800" s="57">
        <f>IF($A1800="","",IFERROR(INDEX(Offerte!$G$2:$G$81,MATCH($Q1800,Offerte!$L$2:$L$81,0)),"NO"))</f>
        <v/>
      </c>
    </row>
    <row r="1801">
      <c r="A1801" s="48">
        <f>IF(Offerte!$A59="","",Offerte!$A59)</f>
        <v/>
      </c>
      <c r="B1801" s="48">
        <f>IF(Offerte!$A59="","",Offerte!$B59)</f>
        <v/>
      </c>
      <c r="C1801" s="48">
        <f>IF(Offerte!$A59="","",Offerte!$C59)</f>
        <v/>
      </c>
      <c r="D1801" s="48" t="inlineStr">
        <is>
          <t>G.4.1</t>
        </is>
      </c>
      <c r="E1801" s="48" t="inlineStr">
        <is>
          <t>G</t>
        </is>
      </c>
      <c r="F1801" s="48" t="inlineStr">
        <is>
          <t>D</t>
        </is>
      </c>
      <c r="G1801" s="48" t="inlineStr">
        <is>
          <t>discretionary</t>
        </is>
      </c>
      <c r="H1801" s="48" t="n">
        <v>2</v>
      </c>
      <c r="I1801" s="48" t="inlineStr">
        <is>
          <t>Qualità del piano di formazione del personale</t>
        </is>
      </c>
      <c r="J1801" s="73" t="n"/>
      <c r="K1801" s="73" t="n"/>
      <c r="L1801" s="73" t="n"/>
      <c r="M1801" s="73" t="n"/>
      <c r="N1801" s="57">
        <f>IF($A1801="","",MAX(0,MIN(1,IFERROR(VALUE($M1801),0))))</f>
        <v/>
      </c>
      <c r="O1801" s="57">
        <f>IF($A1801="",0,IF(OR($S1801&lt;&gt;1,COUNTA($J1801:$M1801)=0),0,IF(SUMPRODUCT(MAX(($C$5:$C$2484=$C1801)*($D$5:$D$2484=$D1801)*($S$5:$S$2484=1)*IFERROR($N$5:$N$2484*1,0)))&gt;0,ROUND($H1801*($N1801/SUMPRODUCT(MAX(($C$5:$C$2484=$C1801)*($D$5:$D$2484=$D1801)*($S$5:$S$2484=1)*IFERROR($N$5:$N$2484*1,0)))),4),0)))</f>
        <v/>
      </c>
      <c r="P1801" s="48" t="inlineStr">
        <is>
          <t>coeff.</t>
        </is>
      </c>
      <c r="Q1801" s="57">
        <f>IF($A1801="","",$A1801&amp;"|"&amp;$C1801)</f>
        <v/>
      </c>
      <c r="R1801" s="57">
        <f>IF($A1801="","",$A1801&amp;"|"&amp;$C1801&amp;"|"&amp;$D1801)</f>
        <v/>
      </c>
      <c r="S1801" s="57">
        <f>IF($A1801="","",IFERROR(INDEX(Offerte!$D$2:$D$81,MATCH($Q1801,Offerte!$L$2:$L$81,0)),0))</f>
        <v/>
      </c>
      <c r="T1801" s="57">
        <f>IF($A1801="","",IFERROR(INDEX(Offerte!$G$2:$G$81,MATCH($Q1801,Offerte!$L$2:$L$81,0)),"NO"))</f>
        <v/>
      </c>
    </row>
    <row r="1802">
      <c r="A1802" s="48">
        <f>IF(Offerte!$A59="","",Offerte!$A59)</f>
        <v/>
      </c>
      <c r="B1802" s="48">
        <f>IF(Offerte!$A59="","",Offerte!$B59)</f>
        <v/>
      </c>
      <c r="C1802" s="48">
        <f>IF(Offerte!$A59="","",Offerte!$C59)</f>
        <v/>
      </c>
      <c r="D1802" s="48" t="inlineStr">
        <is>
          <t>G.5.1</t>
        </is>
      </c>
      <c r="E1802" s="48" t="inlineStr">
        <is>
          <t>G</t>
        </is>
      </c>
      <c r="F1802" s="48" t="inlineStr">
        <is>
          <t>T</t>
        </is>
      </c>
      <c r="G1802" s="48" t="inlineStr">
        <is>
          <t>tabular</t>
        </is>
      </c>
      <c r="H1802" s="48" t="n">
        <v>1</v>
      </c>
      <c r="I1802" s="48" t="inlineStr">
        <is>
          <t>Impegno al mantenimento delle garanzie del contratto di secondo livello del gestore uscente</t>
        </is>
      </c>
      <c r="J1802" s="73" t="n"/>
      <c r="K1802" s="73" t="n"/>
      <c r="L1802" s="73" t="n"/>
      <c r="M1802" s="73" t="n"/>
      <c r="N1802" s="57">
        <f>IF($A1802="","",IF(IFERROR(VALUE($M1802),0)=1,1,0))</f>
        <v/>
      </c>
      <c r="O1802" s="57">
        <f>IF($A1802="",0,IF(OR($S1802&lt;&gt;1,COUNTA($J1802:$M1802)=0),0,IF($N1802=1,$H1802,0)))</f>
        <v/>
      </c>
      <c r="P1802" s="48" t="inlineStr">
        <is>
          <t>sì/no</t>
        </is>
      </c>
      <c r="Q1802" s="57">
        <f>IF($A1802="","",$A1802&amp;"|"&amp;$C1802)</f>
        <v/>
      </c>
      <c r="R1802" s="57">
        <f>IF($A1802="","",$A1802&amp;"|"&amp;$C1802&amp;"|"&amp;$D1802)</f>
        <v/>
      </c>
      <c r="S1802" s="57">
        <f>IF($A1802="","",IFERROR(INDEX(Offerte!$D$2:$D$81,MATCH($Q1802,Offerte!$L$2:$L$81,0)),0))</f>
        <v/>
      </c>
      <c r="T1802" s="57">
        <f>IF($A1802="","",IFERROR(INDEX(Offerte!$G$2:$G$81,MATCH($Q1802,Offerte!$L$2:$L$81,0)),"NO"))</f>
        <v/>
      </c>
    </row>
    <row r="1803">
      <c r="A1803" s="48">
        <f>IF(Offerte!$A60="","",Offerte!$A60)</f>
        <v/>
      </c>
      <c r="B1803" s="48">
        <f>IF(Offerte!$A60="","",Offerte!$B60)</f>
        <v/>
      </c>
      <c r="C1803" s="48">
        <f>IF(Offerte!$A60="","",Offerte!$C60)</f>
        <v/>
      </c>
      <c r="D1803" s="48" t="inlineStr">
        <is>
          <t>A.1.1</t>
        </is>
      </c>
      <c r="E1803" s="48" t="inlineStr">
        <is>
          <t>A</t>
        </is>
      </c>
      <c r="F1803" s="48" t="inlineStr">
        <is>
          <t>Q</t>
        </is>
      </c>
      <c r="G1803" s="48" t="inlineStr">
        <is>
          <t>higher</t>
        </is>
      </c>
      <c r="H1803" s="48" t="n">
        <v>3</v>
      </c>
      <c r="I1803" s="48" t="inlineStr">
        <is>
          <t>Tasso aggiuntivo di corse controllate</t>
        </is>
      </c>
      <c r="J1803" s="73" t="n"/>
      <c r="K1803" s="73" t="n"/>
      <c r="L1803" s="73" t="n"/>
      <c r="M1803" s="73" t="n"/>
      <c r="N1803" s="57">
        <f>IF($A1803="","",IFERROR(VALUE($K1803)/VALUE($L1803)*100,IFERROR(VALUE($J1803),0)))</f>
        <v/>
      </c>
      <c r="O1803" s="57">
        <f>IF($A1803="",0,IF(OR($S1803&lt;&gt;1,COUNTA($J1803:$M1803)=0),0,IF(SUMPRODUCT(MAX(($C$5:$C$2484=$C1803)*($D$5:$D$2484=$D1803)*($S$5:$S$2484=1)*IFERROR($N$5:$N$2484*1,0)))&gt;0,ROUND($H1803*($N1803/SUMPRODUCT(MAX(($C$5:$C$2484=$C1803)*($D$5:$D$2484=$D1803)*($S$5:$S$2484=1)*IFERROR($N$5:$N$2484*1,0)))),4),0)))</f>
        <v/>
      </c>
      <c r="P1803" s="48" t="inlineStr">
        <is>
          <t>Corse controllate annue / Corse programmate annue</t>
        </is>
      </c>
      <c r="Q1803" s="57">
        <f>IF($A1803="","",$A1803&amp;"|"&amp;$C1803)</f>
        <v/>
      </c>
      <c r="R1803" s="57">
        <f>IF($A1803="","",$A1803&amp;"|"&amp;$C1803&amp;"|"&amp;$D1803)</f>
        <v/>
      </c>
      <c r="S1803" s="57">
        <f>IF($A1803="","",IFERROR(INDEX(Offerte!$D$2:$D$81,MATCH($Q1803,Offerte!$L$2:$L$81,0)),0))</f>
        <v/>
      </c>
      <c r="T1803" s="57">
        <f>IF($A1803="","",IFERROR(INDEX(Offerte!$G$2:$G$81,MATCH($Q1803,Offerte!$L$2:$L$81,0)),"NO"))</f>
        <v/>
      </c>
    </row>
    <row r="1804">
      <c r="A1804" s="48">
        <f>IF(Offerte!$A60="","",Offerte!$A60)</f>
        <v/>
      </c>
      <c r="B1804" s="48">
        <f>IF(Offerte!$A60="","",Offerte!$B60)</f>
        <v/>
      </c>
      <c r="C1804" s="48">
        <f>IF(Offerte!$A60="","",Offerte!$C60)</f>
        <v/>
      </c>
      <c r="D1804" s="48" t="inlineStr">
        <is>
          <t>A.1.2</t>
        </is>
      </c>
      <c r="E1804" s="48" t="inlineStr">
        <is>
          <t>A</t>
        </is>
      </c>
      <c r="F1804" s="48" t="inlineStr">
        <is>
          <t>Q</t>
        </is>
      </c>
      <c r="G1804" s="48" t="inlineStr">
        <is>
          <t>higher</t>
        </is>
      </c>
      <c r="H1804" s="48" t="n">
        <v>4</v>
      </c>
      <c r="I1804" s="48" t="inlineStr">
        <is>
          <t>Numero aggiuntivo di passeggeri controllati</t>
        </is>
      </c>
      <c r="J1804" s="73" t="n"/>
      <c r="K1804" s="73" t="n"/>
      <c r="L1804" s="73" t="n"/>
      <c r="M1804" s="73" t="n"/>
      <c r="N1804" s="57">
        <f>IF($A1804="","",IFERROR(VALUE($J1804),0))</f>
        <v/>
      </c>
      <c r="O1804" s="57">
        <f>IF($A1804="",0,IF(OR($S1804&lt;&gt;1,COUNTA($J1804:$M1804)=0),0,IF(SUMPRODUCT(MAX(($C$5:$C$2484=$C1804)*($D$5:$D$2484=$D1804)*($S$5:$S$2484=1)*IFERROR($N$5:$N$2484*1,0)))&gt;0,ROUND($H1804*($N1804/SUMPRODUCT(MAX(($C$5:$C$2484=$C1804)*($D$5:$D$2484=$D1804)*($S$5:$S$2484=1)*IFERROR($N$5:$N$2484*1,0)))),4),0)))</f>
        <v/>
      </c>
      <c r="P1804" s="48" t="inlineStr">
        <is>
          <t>passeggeri/anno</t>
        </is>
      </c>
      <c r="Q1804" s="57">
        <f>IF($A1804="","",$A1804&amp;"|"&amp;$C1804)</f>
        <v/>
      </c>
      <c r="R1804" s="57">
        <f>IF($A1804="","",$A1804&amp;"|"&amp;$C1804&amp;"|"&amp;$D1804)</f>
        <v/>
      </c>
      <c r="S1804" s="57">
        <f>IF($A1804="","",IFERROR(INDEX(Offerte!$D$2:$D$81,MATCH($Q1804,Offerte!$L$2:$L$81,0)),0))</f>
        <v/>
      </c>
      <c r="T1804" s="57">
        <f>IF($A1804="","",IFERROR(INDEX(Offerte!$G$2:$G$81,MATCH($Q1804,Offerte!$L$2:$L$81,0)),"NO"))</f>
        <v/>
      </c>
    </row>
    <row r="1805">
      <c r="A1805" s="48">
        <f>IF(Offerte!$A60="","",Offerte!$A60)</f>
        <v/>
      </c>
      <c r="B1805" s="48">
        <f>IF(Offerte!$A60="","",Offerte!$B60)</f>
        <v/>
      </c>
      <c r="C1805" s="48">
        <f>IF(Offerte!$A60="","",Offerte!$C60)</f>
        <v/>
      </c>
      <c r="D1805" s="48" t="inlineStr">
        <is>
          <t>B.1.1</t>
        </is>
      </c>
      <c r="E1805" s="48" t="inlineStr">
        <is>
          <t>B</t>
        </is>
      </c>
      <c r="F1805" s="48" t="inlineStr">
        <is>
          <t>Q</t>
        </is>
      </c>
      <c r="G1805" s="48" t="inlineStr">
        <is>
          <t>higher</t>
        </is>
      </c>
      <c r="H1805" s="48" t="n">
        <v>3</v>
      </c>
      <c r="I1805" s="48" t="inlineStr">
        <is>
          <t>Incremento dei posti offerti nelle fasce di punta</t>
        </is>
      </c>
      <c r="J1805" s="73" t="n"/>
      <c r="K1805" s="73" t="n"/>
      <c r="L1805" s="73" t="n"/>
      <c r="M1805" s="73" t="n"/>
      <c r="N1805" s="57">
        <f>IF($A1805="","",IFERROR(VALUE($J1805),0))</f>
        <v/>
      </c>
      <c r="O1805" s="57">
        <f>IF($A1805="",0,IF(OR($S1805&lt;&gt;1,COUNTA($J1805:$M1805)=0),0,IF(SUMPRODUCT(MAX(($C$5:$C$2484=$C1805)*($D$5:$D$2484=$D1805)*($S$5:$S$2484=1)*IFERROR($N$5:$N$2484*1,0)))&gt;0,ROUND($H1805*($N1805/SUMPRODUCT(MAX(($C$5:$C$2484=$C1805)*($D$5:$D$2484=$D1805)*($S$5:$S$2484=1)*IFERROR($N$5:$N$2484*1,0)))),4),0)))</f>
        <v/>
      </c>
      <c r="P1805" s="48" t="inlineStr">
        <is>
          <t>posti*km</t>
        </is>
      </c>
      <c r="Q1805" s="57">
        <f>IF($A1805="","",$A1805&amp;"|"&amp;$C1805)</f>
        <v/>
      </c>
      <c r="R1805" s="57">
        <f>IF($A1805="","",$A1805&amp;"|"&amp;$C1805&amp;"|"&amp;$D1805)</f>
        <v/>
      </c>
      <c r="S1805" s="57">
        <f>IF($A1805="","",IFERROR(INDEX(Offerte!$D$2:$D$81,MATCH($Q1805,Offerte!$L$2:$L$81,0)),0))</f>
        <v/>
      </c>
      <c r="T1805" s="57">
        <f>IF($A1805="","",IFERROR(INDEX(Offerte!$G$2:$G$81,MATCH($Q1805,Offerte!$L$2:$L$81,0)),"NO"))</f>
        <v/>
      </c>
    </row>
    <row r="1806">
      <c r="A1806" s="48">
        <f>IF(Offerte!$A60="","",Offerte!$A60)</f>
        <v/>
      </c>
      <c r="B1806" s="48">
        <f>IF(Offerte!$A60="","",Offerte!$B60)</f>
        <v/>
      </c>
      <c r="C1806" s="48">
        <f>IF(Offerte!$A60="","",Offerte!$C60)</f>
        <v/>
      </c>
      <c r="D1806" s="48" t="inlineStr">
        <is>
          <t>B.2.1</t>
        </is>
      </c>
      <c r="E1806" s="48" t="inlineStr">
        <is>
          <t>B</t>
        </is>
      </c>
      <c r="F1806" s="48" t="inlineStr">
        <is>
          <t>Q</t>
        </is>
      </c>
      <c r="G1806" s="48" t="inlineStr">
        <is>
          <t>higher</t>
        </is>
      </c>
      <c r="H1806" s="48" t="n">
        <v>4</v>
      </c>
      <c r="I1806" s="48" t="inlineStr">
        <is>
          <t>Corse aggiuntive nell'arco giornaliero base</t>
        </is>
      </c>
      <c r="J1806" s="73" t="n"/>
      <c r="K1806" s="73" t="n"/>
      <c r="L1806" s="73" t="n"/>
      <c r="M1806" s="73" t="n"/>
      <c r="N1806" s="57">
        <f>IF($A1806="","",IFERROR(VALUE($J1806),0))</f>
        <v/>
      </c>
      <c r="O1806" s="57">
        <f>IF($A1806="",0,IF(OR($S1806&lt;&gt;1,COUNTA($J1806:$M1806)=0),0,IF(SUMPRODUCT(MAX(($C$5:$C$2484=$C1806)*($D$5:$D$2484=$D1806)*($S$5:$S$2484=1)*IFERROR($N$5:$N$2484*1,0)))&gt;0,ROUND($H1806*($N1806/SUMPRODUCT(MAX(($C$5:$C$2484=$C1806)*($D$5:$D$2484=$D1806)*($S$5:$S$2484=1)*IFERROR($N$5:$N$2484*1,0)))),4),0)))</f>
        <v/>
      </c>
      <c r="P1806" s="48" t="inlineStr">
        <is>
          <t>corse</t>
        </is>
      </c>
      <c r="Q1806" s="57">
        <f>IF($A1806="","",$A1806&amp;"|"&amp;$C1806)</f>
        <v/>
      </c>
      <c r="R1806" s="57">
        <f>IF($A1806="","",$A1806&amp;"|"&amp;$C1806&amp;"|"&amp;$D1806)</f>
        <v/>
      </c>
      <c r="S1806" s="57">
        <f>IF($A1806="","",IFERROR(INDEX(Offerte!$D$2:$D$81,MATCH($Q1806,Offerte!$L$2:$L$81,0)),0))</f>
        <v/>
      </c>
      <c r="T1806" s="57">
        <f>IF($A1806="","",IFERROR(INDEX(Offerte!$G$2:$G$81,MATCH($Q1806,Offerte!$L$2:$L$81,0)),"NO"))</f>
        <v/>
      </c>
    </row>
    <row r="1807">
      <c r="A1807" s="48">
        <f>IF(Offerte!$A60="","",Offerte!$A60)</f>
        <v/>
      </c>
      <c r="B1807" s="48">
        <f>IF(Offerte!$A60="","",Offerte!$B60)</f>
        <v/>
      </c>
      <c r="C1807" s="48">
        <f>IF(Offerte!$A60="","",Offerte!$C60)</f>
        <v/>
      </c>
      <c r="D1807" s="48" t="inlineStr">
        <is>
          <t>B.3.1</t>
        </is>
      </c>
      <c r="E1807" s="48" t="inlineStr">
        <is>
          <t>B</t>
        </is>
      </c>
      <c r="F1807" s="48" t="inlineStr">
        <is>
          <t>Q</t>
        </is>
      </c>
      <c r="G1807" s="48" t="inlineStr">
        <is>
          <t>higher</t>
        </is>
      </c>
      <c r="H1807" s="48" t="n">
        <v>2</v>
      </c>
      <c r="I1807" s="48" t="inlineStr">
        <is>
          <t>Numero di corse aggiuntive per allungamento dell'arco di servizio giornaliero nelle fasce serali</t>
        </is>
      </c>
      <c r="J1807" s="73" t="n"/>
      <c r="K1807" s="73" t="n"/>
      <c r="L1807" s="73" t="n"/>
      <c r="M1807" s="73" t="n"/>
      <c r="N1807" s="57">
        <f>IF($A1807="","",IFERROR(VALUE($J1807),0))</f>
        <v/>
      </c>
      <c r="O1807" s="57">
        <f>IF($A1807="",0,IF(OR($S1807&lt;&gt;1,COUNTA($J1807:$M1807)=0),0,IF(SUMPRODUCT(MAX(($C$5:$C$2484=$C1807)*($D$5:$D$2484=$D1807)*($S$5:$S$2484=1)*IFERROR($N$5:$N$2484*1,0)))&gt;0,ROUND($H1807*($N1807/SUMPRODUCT(MAX(($C$5:$C$2484=$C1807)*($D$5:$D$2484=$D1807)*($S$5:$S$2484=1)*IFERROR($N$5:$N$2484*1,0)))),4),0)))</f>
        <v/>
      </c>
      <c r="P1807" s="48" t="inlineStr">
        <is>
          <t>corse</t>
        </is>
      </c>
      <c r="Q1807" s="57">
        <f>IF($A1807="","",$A1807&amp;"|"&amp;$C1807)</f>
        <v/>
      </c>
      <c r="R1807" s="57">
        <f>IF($A1807="","",$A1807&amp;"|"&amp;$C1807&amp;"|"&amp;$D1807)</f>
        <v/>
      </c>
      <c r="S1807" s="57">
        <f>IF($A1807="","",IFERROR(INDEX(Offerte!$D$2:$D$81,MATCH($Q1807,Offerte!$L$2:$L$81,0)),0))</f>
        <v/>
      </c>
      <c r="T1807" s="57">
        <f>IF($A1807="","",IFERROR(INDEX(Offerte!$G$2:$G$81,MATCH($Q1807,Offerte!$L$2:$L$81,0)),"NO"))</f>
        <v/>
      </c>
    </row>
    <row r="1808">
      <c r="A1808" s="48">
        <f>IF(Offerte!$A60="","",Offerte!$A60)</f>
        <v/>
      </c>
      <c r="B1808" s="48">
        <f>IF(Offerte!$A60="","",Offerte!$B60)</f>
        <v/>
      </c>
      <c r="C1808" s="48">
        <f>IF(Offerte!$A60="","",Offerte!$C60)</f>
        <v/>
      </c>
      <c r="D1808" s="48" t="inlineStr">
        <is>
          <t>B.4.1</t>
        </is>
      </c>
      <c r="E1808" s="48" t="inlineStr">
        <is>
          <t>B</t>
        </is>
      </c>
      <c r="F1808" s="48" t="inlineStr">
        <is>
          <t>Q</t>
        </is>
      </c>
      <c r="G1808" s="48" t="inlineStr">
        <is>
          <t>higher</t>
        </is>
      </c>
      <c r="H1808" s="48" t="n">
        <v>3</v>
      </c>
      <c r="I1808" s="48" t="inlineStr">
        <is>
          <t>Percorrenze aggiuntive offerte nel Programma d'esercizio delle prime due fasi attuative</t>
        </is>
      </c>
      <c r="J1808" s="73" t="n"/>
      <c r="K1808" s="73" t="n"/>
      <c r="L1808" s="73" t="n"/>
      <c r="M1808" s="73" t="n"/>
      <c r="N1808" s="57">
        <f>IF($A1808="","",IFERROR(VALUE($J1808),0))</f>
        <v/>
      </c>
      <c r="O1808" s="57">
        <f>IF($A1808="",0,IF(OR($S1808&lt;&gt;1,COUNTA($J1808:$M1808)=0),0,IF(SUMPRODUCT(MAX(($C$5:$C$2484=$C1808)*($D$5:$D$2484=$D1808)*($S$5:$S$2484=1)*IFERROR($N$5:$N$2484*1,0)))&gt;0,ROUND($H1808*($N1808/SUMPRODUCT(MAX(($C$5:$C$2484=$C1808)*($D$5:$D$2484=$D1808)*($S$5:$S$2484=1)*IFERROR($N$5:$N$2484*1,0)))),4),0)))</f>
        <v/>
      </c>
      <c r="P1808" s="48" t="inlineStr">
        <is>
          <t>vett*km</t>
        </is>
      </c>
      <c r="Q1808" s="57">
        <f>IF($A1808="","",$A1808&amp;"|"&amp;$C1808)</f>
        <v/>
      </c>
      <c r="R1808" s="57">
        <f>IF($A1808="","",$A1808&amp;"|"&amp;$C1808&amp;"|"&amp;$D1808)</f>
        <v/>
      </c>
      <c r="S1808" s="57">
        <f>IF($A1808="","",IFERROR(INDEX(Offerte!$D$2:$D$81,MATCH($Q1808,Offerte!$L$2:$L$81,0)),0))</f>
        <v/>
      </c>
      <c r="T1808" s="57">
        <f>IF($A1808="","",IFERROR(INDEX(Offerte!$G$2:$G$81,MATCH($Q1808,Offerte!$L$2:$L$81,0)),"NO"))</f>
        <v/>
      </c>
    </row>
    <row r="1809">
      <c r="A1809" s="48">
        <f>IF(Offerte!$A60="","",Offerte!$A60)</f>
        <v/>
      </c>
      <c r="B1809" s="48">
        <f>IF(Offerte!$A60="","",Offerte!$B60)</f>
        <v/>
      </c>
      <c r="C1809" s="48">
        <f>IF(Offerte!$A60="","",Offerte!$C60)</f>
        <v/>
      </c>
      <c r="D1809" s="48" t="inlineStr">
        <is>
          <t>B.5.1</t>
        </is>
      </c>
      <c r="E1809" s="48" t="inlineStr">
        <is>
          <t>B</t>
        </is>
      </c>
      <c r="F1809" s="48" t="inlineStr">
        <is>
          <t>D</t>
        </is>
      </c>
      <c r="G1809" s="48" t="inlineStr">
        <is>
          <t>discretionary</t>
        </is>
      </c>
      <c r="H1809" s="48" t="n">
        <v>2</v>
      </c>
      <c r="I1809" s="48" t="inlineStr">
        <is>
          <t>Efficacia del progetto di servizi complementari DRT</t>
        </is>
      </c>
      <c r="J1809" s="73" t="n"/>
      <c r="K1809" s="73" t="n"/>
      <c r="L1809" s="73" t="n"/>
      <c r="M1809" s="73" t="n"/>
      <c r="N1809" s="57">
        <f>IF($A1809="","",MAX(0,MIN(1,IFERROR(VALUE($M1809),0))))</f>
        <v/>
      </c>
      <c r="O1809" s="57">
        <f>IF($A1809="",0,IF(OR($S1809&lt;&gt;1,COUNTA($J1809:$M1809)=0),0,IF(SUMPRODUCT(MAX(($C$5:$C$2484=$C1809)*($D$5:$D$2484=$D1809)*($S$5:$S$2484=1)*IFERROR($N$5:$N$2484*1,0)))&gt;0,ROUND($H1809*($N1809/SUMPRODUCT(MAX(($C$5:$C$2484=$C1809)*($D$5:$D$2484=$D1809)*($S$5:$S$2484=1)*IFERROR($N$5:$N$2484*1,0)))),4),0)))</f>
        <v/>
      </c>
      <c r="P1809" s="48" t="inlineStr">
        <is>
          <t>coeff.</t>
        </is>
      </c>
      <c r="Q1809" s="57">
        <f>IF($A1809="","",$A1809&amp;"|"&amp;$C1809)</f>
        <v/>
      </c>
      <c r="R1809" s="57">
        <f>IF($A1809="","",$A1809&amp;"|"&amp;$C1809&amp;"|"&amp;$D1809)</f>
        <v/>
      </c>
      <c r="S1809" s="57">
        <f>IF($A1809="","",IFERROR(INDEX(Offerte!$D$2:$D$81,MATCH($Q1809,Offerte!$L$2:$L$81,0)),0))</f>
        <v/>
      </c>
      <c r="T1809" s="57">
        <f>IF($A1809="","",IFERROR(INDEX(Offerte!$G$2:$G$81,MATCH($Q1809,Offerte!$L$2:$L$81,0)),"NO"))</f>
        <v/>
      </c>
    </row>
    <row r="1810">
      <c r="A1810" s="48">
        <f>IF(Offerte!$A60="","",Offerte!$A60)</f>
        <v/>
      </c>
      <c r="B1810" s="48">
        <f>IF(Offerte!$A60="","",Offerte!$B60)</f>
        <v/>
      </c>
      <c r="C1810" s="48">
        <f>IF(Offerte!$A60="","",Offerte!$C60)</f>
        <v/>
      </c>
      <c r="D1810" s="48" t="inlineStr">
        <is>
          <t>C.1.1</t>
        </is>
      </c>
      <c r="E1810" s="48" t="inlineStr">
        <is>
          <t>C</t>
        </is>
      </c>
      <c r="F1810" s="48" t="inlineStr">
        <is>
          <t>Q</t>
        </is>
      </c>
      <c r="G1810" s="48" t="inlineStr">
        <is>
          <t>higher</t>
        </is>
      </c>
      <c r="H1810" s="48" t="n">
        <v>2</v>
      </c>
      <c r="I1810" s="48" t="inlineStr">
        <is>
          <t>Tasso di copertura del servizio con telecamere BSD</t>
        </is>
      </c>
      <c r="J1810" s="73" t="n"/>
      <c r="K1810" s="73" t="n"/>
      <c r="L1810" s="73" t="n"/>
      <c r="M1810" s="73" t="n"/>
      <c r="N1810" s="57">
        <f>IF($A1810="","",IFERROR(VALUE($K1810)/VALUE($L1810),IFERROR(VALUE($J1810),0)))</f>
        <v/>
      </c>
      <c r="O1810" s="57">
        <f>IF($A1810="",0,IF(OR($S1810&lt;&gt;1,COUNTA($J1810:$M1810)=0),0,IF(SUMPRODUCT(MAX(($C$5:$C$2484=$C1810)*($D$5:$D$2484=$D1810)*($S$5:$S$2484=1)*IFERROR($N$5:$N$2484*1,0)))&gt;0,ROUND($H1810*($N1810/SUMPRODUCT(MAX(($C$5:$C$2484=$C1810)*($D$5:$D$2484=$D1810)*($S$5:$S$2484=1)*IFERROR($N$5:$N$2484*1,0)))),4),0)))</f>
        <v/>
      </c>
      <c r="P1810" s="48" t="inlineStr">
        <is>
          <t>Autobus attrezzati con telecamere BSD / Autobus totali in offerta, incluse scorte</t>
        </is>
      </c>
      <c r="Q1810" s="57">
        <f>IF($A1810="","",$A1810&amp;"|"&amp;$C1810)</f>
        <v/>
      </c>
      <c r="R1810" s="57">
        <f>IF($A1810="","",$A1810&amp;"|"&amp;$C1810&amp;"|"&amp;$D1810)</f>
        <v/>
      </c>
      <c r="S1810" s="57">
        <f>IF($A1810="","",IFERROR(INDEX(Offerte!$D$2:$D$81,MATCH($Q1810,Offerte!$L$2:$L$81,0)),0))</f>
        <v/>
      </c>
      <c r="T1810" s="57">
        <f>IF($A1810="","",IFERROR(INDEX(Offerte!$G$2:$G$81,MATCH($Q1810,Offerte!$L$2:$L$81,0)),"NO"))</f>
        <v/>
      </c>
    </row>
    <row r="1811">
      <c r="A1811" s="48">
        <f>IF(Offerte!$A60="","",Offerte!$A60)</f>
        <v/>
      </c>
      <c r="B1811" s="48">
        <f>IF(Offerte!$A60="","",Offerte!$B60)</f>
        <v/>
      </c>
      <c r="C1811" s="48">
        <f>IF(Offerte!$A60="","",Offerte!$C60)</f>
        <v/>
      </c>
      <c r="D1811" s="48" t="inlineStr">
        <is>
          <t>C.1.2</t>
        </is>
      </c>
      <c r="E1811" s="48" t="inlineStr">
        <is>
          <t>C</t>
        </is>
      </c>
      <c r="F1811" s="48" t="inlineStr">
        <is>
          <t>Q</t>
        </is>
      </c>
      <c r="G1811" s="48" t="inlineStr">
        <is>
          <t>higher</t>
        </is>
      </c>
      <c r="H1811" s="48" t="n">
        <v>2</v>
      </c>
      <c r="I1811" s="48" t="inlineStr">
        <is>
          <t>Tasso di copertura del servizio con telecamere ADAS</t>
        </is>
      </c>
      <c r="J1811" s="73" t="n"/>
      <c r="K1811" s="73" t="n"/>
      <c r="L1811" s="73" t="n"/>
      <c r="M1811" s="73" t="n"/>
      <c r="N1811" s="57">
        <f>IF($A1811="","",IFERROR(VALUE($K1811)/VALUE($L1811),IFERROR(VALUE($J1811),0)))</f>
        <v/>
      </c>
      <c r="O1811" s="57">
        <f>IF($A1811="",0,IF(OR($S1811&lt;&gt;1,COUNTA($J1811:$M1811)=0),0,IF(SUMPRODUCT(MAX(($C$5:$C$2484=$C1811)*($D$5:$D$2484=$D1811)*($S$5:$S$2484=1)*IFERROR($N$5:$N$2484*1,0)))&gt;0,ROUND($H1811*($N1811/SUMPRODUCT(MAX(($C$5:$C$2484=$C1811)*($D$5:$D$2484=$D1811)*($S$5:$S$2484=1)*IFERROR($N$5:$N$2484*1,0)))),4),0)))</f>
        <v/>
      </c>
      <c r="P1811" s="48" t="inlineStr">
        <is>
          <t>Autobus attrezzati con telecamere ADAS / Autobus totali in offerta, incluse scorte</t>
        </is>
      </c>
      <c r="Q1811" s="57">
        <f>IF($A1811="","",$A1811&amp;"|"&amp;$C1811)</f>
        <v/>
      </c>
      <c r="R1811" s="57">
        <f>IF($A1811="","",$A1811&amp;"|"&amp;$C1811&amp;"|"&amp;$D1811)</f>
        <v/>
      </c>
      <c r="S1811" s="57">
        <f>IF($A1811="","",IFERROR(INDEX(Offerte!$D$2:$D$81,MATCH($Q1811,Offerte!$L$2:$L$81,0)),0))</f>
        <v/>
      </c>
      <c r="T1811" s="57">
        <f>IF($A1811="","",IFERROR(INDEX(Offerte!$G$2:$G$81,MATCH($Q1811,Offerte!$L$2:$L$81,0)),"NO"))</f>
        <v/>
      </c>
    </row>
    <row r="1812">
      <c r="A1812" s="48">
        <f>IF(Offerte!$A60="","",Offerte!$A60)</f>
        <v/>
      </c>
      <c r="B1812" s="48">
        <f>IF(Offerte!$A60="","",Offerte!$B60)</f>
        <v/>
      </c>
      <c r="C1812" s="48">
        <f>IF(Offerte!$A60="","",Offerte!$C60)</f>
        <v/>
      </c>
      <c r="D1812" s="48" t="inlineStr">
        <is>
          <t>C.2.1</t>
        </is>
      </c>
      <c r="E1812" s="48" t="inlineStr">
        <is>
          <t>C</t>
        </is>
      </c>
      <c r="F1812" s="48" t="inlineStr">
        <is>
          <t>Q</t>
        </is>
      </c>
      <c r="G1812" s="48" t="inlineStr">
        <is>
          <t>higher</t>
        </is>
      </c>
      <c r="H1812" s="48" t="n">
        <v>3</v>
      </c>
      <c r="I1812" s="48" t="inlineStr">
        <is>
          <t>Tasso di copertura del servizio con telecamere di bordo di videosorveglianza</t>
        </is>
      </c>
      <c r="J1812" s="73" t="n"/>
      <c r="K1812" s="73" t="n"/>
      <c r="L1812" s="73" t="n"/>
      <c r="M1812" s="73" t="n"/>
      <c r="N1812" s="57">
        <f>IF($A1812="","",IFERROR(VALUE($K1812)/VALUE($L1812),IFERROR(VALUE($J1812),0)))</f>
        <v/>
      </c>
      <c r="O1812" s="57">
        <f>IF($A1812="",0,IF(OR($S1812&lt;&gt;1,COUNTA($J1812:$M1812)=0),0,IF(SUMPRODUCT(MAX(($C$5:$C$2484=$C1812)*($D$5:$D$2484=$D1812)*($S$5:$S$2484=1)*IFERROR($N$5:$N$2484*1,0)))&gt;0,ROUND($H1812*($N1812/SUMPRODUCT(MAX(($C$5:$C$2484=$C1812)*($D$5:$D$2484=$D1812)*($S$5:$S$2484=1)*IFERROR($N$5:$N$2484*1,0)))),4),0)))</f>
        <v/>
      </c>
      <c r="P1812" s="48" t="inlineStr">
        <is>
          <t>Autobus attrezzati con videosorveglianza / Autobus totali in offerta, incluse scorte</t>
        </is>
      </c>
      <c r="Q1812" s="57">
        <f>IF($A1812="","",$A1812&amp;"|"&amp;$C1812)</f>
        <v/>
      </c>
      <c r="R1812" s="57">
        <f>IF($A1812="","",$A1812&amp;"|"&amp;$C1812&amp;"|"&amp;$D1812)</f>
        <v/>
      </c>
      <c r="S1812" s="57">
        <f>IF($A1812="","",IFERROR(INDEX(Offerte!$D$2:$D$81,MATCH($Q1812,Offerte!$L$2:$L$81,0)),0))</f>
        <v/>
      </c>
      <c r="T1812" s="57">
        <f>IF($A1812="","",IFERROR(INDEX(Offerte!$G$2:$G$81,MATCH($Q1812,Offerte!$L$2:$L$81,0)),"NO"))</f>
        <v/>
      </c>
    </row>
    <row r="1813">
      <c r="A1813" s="48">
        <f>IF(Offerte!$A60="","",Offerte!$A60)</f>
        <v/>
      </c>
      <c r="B1813" s="48">
        <f>IF(Offerte!$A60="","",Offerte!$B60)</f>
        <v/>
      </c>
      <c r="C1813" s="48">
        <f>IF(Offerte!$A60="","",Offerte!$C60)</f>
        <v/>
      </c>
      <c r="D1813" s="48" t="inlineStr">
        <is>
          <t>C.2.2</t>
        </is>
      </c>
      <c r="E1813" s="48" t="inlineStr">
        <is>
          <t>C</t>
        </is>
      </c>
      <c r="F1813" s="48" t="inlineStr">
        <is>
          <t>T</t>
        </is>
      </c>
      <c r="G1813" s="48" t="inlineStr">
        <is>
          <t>tabular</t>
        </is>
      </c>
      <c r="H1813" s="48" t="n">
        <v>1</v>
      </c>
      <c r="I1813" s="48" t="inlineStr">
        <is>
          <t>Software video/audio analisi per situazioni di pericolo</t>
        </is>
      </c>
      <c r="J1813" s="73" t="n"/>
      <c r="K1813" s="73" t="n"/>
      <c r="L1813" s="73" t="n"/>
      <c r="M1813" s="73" t="n"/>
      <c r="N1813" s="57">
        <f>IF($A1813="","",IF(IFERROR(VALUE($M1813),0)=1,1,0))</f>
        <v/>
      </c>
      <c r="O1813" s="57">
        <f>IF($A1813="",0,IF(OR($S1813&lt;&gt;1,COUNTA($J1813:$M1813)=0),0,IF($N1813=1,$H1813,0)))</f>
        <v/>
      </c>
      <c r="P1813" s="48" t="inlineStr">
        <is>
          <t>sì/no</t>
        </is>
      </c>
      <c r="Q1813" s="57">
        <f>IF($A1813="","",$A1813&amp;"|"&amp;$C1813)</f>
        <v/>
      </c>
      <c r="R1813" s="57">
        <f>IF($A1813="","",$A1813&amp;"|"&amp;$C1813&amp;"|"&amp;$D1813)</f>
        <v/>
      </c>
      <c r="S1813" s="57">
        <f>IF($A1813="","",IFERROR(INDEX(Offerte!$D$2:$D$81,MATCH($Q1813,Offerte!$L$2:$L$81,0)),0))</f>
        <v/>
      </c>
      <c r="T1813" s="57">
        <f>IF($A1813="","",IFERROR(INDEX(Offerte!$G$2:$G$81,MATCH($Q1813,Offerte!$L$2:$L$81,0)),"NO"))</f>
        <v/>
      </c>
    </row>
    <row r="1814">
      <c r="A1814" s="48">
        <f>IF(Offerte!$A60="","",Offerte!$A60)</f>
        <v/>
      </c>
      <c r="B1814" s="48">
        <f>IF(Offerte!$A60="","",Offerte!$B60)</f>
        <v/>
      </c>
      <c r="C1814" s="48">
        <f>IF(Offerte!$A60="","",Offerte!$C60)</f>
        <v/>
      </c>
      <c r="D1814" s="48" t="inlineStr">
        <is>
          <t>C.2.3</t>
        </is>
      </c>
      <c r="E1814" s="48" t="inlineStr">
        <is>
          <t>C</t>
        </is>
      </c>
      <c r="F1814" s="48" t="inlineStr">
        <is>
          <t>T</t>
        </is>
      </c>
      <c r="G1814" s="48" t="inlineStr">
        <is>
          <t>tabular</t>
        </is>
      </c>
      <c r="H1814" s="48" t="n">
        <v>1</v>
      </c>
      <c r="I1814" s="48" t="inlineStr">
        <is>
          <t>Collegamento con centrale qualificata di pronto intervento</t>
        </is>
      </c>
      <c r="J1814" s="73" t="n"/>
      <c r="K1814" s="73" t="n"/>
      <c r="L1814" s="73" t="n"/>
      <c r="M1814" s="73" t="n"/>
      <c r="N1814" s="57">
        <f>IF($A1814="","",IF(IFERROR(VALUE($M1814),0)=1,1,0))</f>
        <v/>
      </c>
      <c r="O1814" s="57">
        <f>IF($A1814="",0,IF(OR($S1814&lt;&gt;1,COUNTA($J1814:$M1814)=0),0,IF($N1814=1,$H1814,0)))</f>
        <v/>
      </c>
      <c r="P1814" s="48" t="inlineStr">
        <is>
          <t>sì/no</t>
        </is>
      </c>
      <c r="Q1814" s="57">
        <f>IF($A1814="","",$A1814&amp;"|"&amp;$C1814)</f>
        <v/>
      </c>
      <c r="R1814" s="57">
        <f>IF($A1814="","",$A1814&amp;"|"&amp;$C1814&amp;"|"&amp;$D1814)</f>
        <v/>
      </c>
      <c r="S1814" s="57">
        <f>IF($A1814="","",IFERROR(INDEX(Offerte!$D$2:$D$81,MATCH($Q1814,Offerte!$L$2:$L$81,0)),0))</f>
        <v/>
      </c>
      <c r="T1814" s="57">
        <f>IF($A1814="","",IFERROR(INDEX(Offerte!$G$2:$G$81,MATCH($Q1814,Offerte!$L$2:$L$81,0)),"NO"))</f>
        <v/>
      </c>
    </row>
    <row r="1815">
      <c r="A1815" s="48">
        <f>IF(Offerte!$A60="","",Offerte!$A60)</f>
        <v/>
      </c>
      <c r="B1815" s="48">
        <f>IF(Offerte!$A60="","",Offerte!$B60)</f>
        <v/>
      </c>
      <c r="C1815" s="48">
        <f>IF(Offerte!$A60="","",Offerte!$C60)</f>
        <v/>
      </c>
      <c r="D1815" s="48" t="inlineStr">
        <is>
          <t>C.2.4</t>
        </is>
      </c>
      <c r="E1815" s="48" t="inlineStr">
        <is>
          <t>C</t>
        </is>
      </c>
      <c r="F1815" s="48" t="inlineStr">
        <is>
          <t>Q</t>
        </is>
      </c>
      <c r="G1815" s="48" t="inlineStr">
        <is>
          <t>higher</t>
        </is>
      </c>
      <c r="H1815" s="48" t="n">
        <v>1</v>
      </c>
      <c r="I1815" s="48" t="inlineStr">
        <is>
          <t>Tasso di copertura del servizio con dispositivi per la chiamata di emergenza del conducente</t>
        </is>
      </c>
      <c r="J1815" s="73" t="n"/>
      <c r="K1815" s="73" t="n"/>
      <c r="L1815" s="73" t="n"/>
      <c r="M1815" s="73" t="n"/>
      <c r="N1815" s="57">
        <f>IF($A1815="","",IFERROR(VALUE($K1815)/VALUE($L1815),IFERROR(VALUE($J1815),0)))</f>
        <v/>
      </c>
      <c r="O1815" s="57">
        <f>IF($A1815="",0,IF(OR($S1815&lt;&gt;1,COUNTA($J1815:$M1815)=0),0,IF(SUMPRODUCT(MAX(($C$5:$C$2484=$C1815)*($D$5:$D$2484=$D1815)*($S$5:$S$2484=1)*IFERROR($N$5:$N$2484*1,0)))&gt;0,ROUND($H1815*($N1815/SUMPRODUCT(MAX(($C$5:$C$2484=$C1815)*($D$5:$D$2484=$D1815)*($S$5:$S$2484=1)*IFERROR($N$5:$N$2484*1,0)))),4),0)))</f>
        <v/>
      </c>
      <c r="P1815" s="48" t="inlineStr">
        <is>
          <t>Autobus attrezzati con chiamata di emergenza / Autobus totali in offerta, incluse scorte</t>
        </is>
      </c>
      <c r="Q1815" s="57">
        <f>IF($A1815="","",$A1815&amp;"|"&amp;$C1815)</f>
        <v/>
      </c>
      <c r="R1815" s="57">
        <f>IF($A1815="","",$A1815&amp;"|"&amp;$C1815&amp;"|"&amp;$D1815)</f>
        <v/>
      </c>
      <c r="S1815" s="57">
        <f>IF($A1815="","",IFERROR(INDEX(Offerte!$D$2:$D$81,MATCH($Q1815,Offerte!$L$2:$L$81,0)),0))</f>
        <v/>
      </c>
      <c r="T1815" s="57">
        <f>IF($A1815="","",IFERROR(INDEX(Offerte!$G$2:$G$81,MATCH($Q1815,Offerte!$L$2:$L$81,0)),"NO"))</f>
        <v/>
      </c>
    </row>
    <row r="1816">
      <c r="A1816" s="48">
        <f>IF(Offerte!$A60="","",Offerte!$A60)</f>
        <v/>
      </c>
      <c r="B1816" s="48">
        <f>IF(Offerte!$A60="","",Offerte!$B60)</f>
        <v/>
      </c>
      <c r="C1816" s="48">
        <f>IF(Offerte!$A60="","",Offerte!$C60)</f>
        <v/>
      </c>
      <c r="D1816" s="48" t="inlineStr">
        <is>
          <t>C.3.1</t>
        </is>
      </c>
      <c r="E1816" s="48" t="inlineStr">
        <is>
          <t>C</t>
        </is>
      </c>
      <c r="F1816" s="48" t="inlineStr">
        <is>
          <t>Q</t>
        </is>
      </c>
      <c r="G1816" s="48" t="inlineStr">
        <is>
          <t>higher</t>
        </is>
      </c>
      <c r="H1816" s="48" t="n">
        <v>2</v>
      </c>
      <c r="I1816" s="48" t="inlineStr">
        <is>
          <t>Tasso di copertura del servizio con dispositivi di informazione dinamica a bordo mezzo</t>
        </is>
      </c>
      <c r="J1816" s="73" t="n"/>
      <c r="K1816" s="73" t="n"/>
      <c r="L1816" s="73" t="n"/>
      <c r="M1816" s="73" t="n"/>
      <c r="N1816" s="57">
        <f>IF($A1816="","",IFERROR(VALUE($K1816)/VALUE($L1816),IFERROR(VALUE($J1816),0)))</f>
        <v/>
      </c>
      <c r="O1816" s="57">
        <f>IF($A1816="",0,IF(OR($S1816&lt;&gt;1,COUNTA($J1816:$M1816)=0),0,IF(SUMPRODUCT(MAX(($C$5:$C$2484=$C1816)*($D$5:$D$2484=$D1816)*($S$5:$S$2484=1)*IFERROR($N$5:$N$2484*1,0)))&gt;0,ROUND($H1816*($N1816/SUMPRODUCT(MAX(($C$5:$C$2484=$C1816)*($D$5:$D$2484=$D1816)*($S$5:$S$2484=1)*IFERROR($N$5:$N$2484*1,0)))),4),0)))</f>
        <v/>
      </c>
      <c r="P1816" s="48" t="inlineStr">
        <is>
          <t>Autobus con monitor e indicatori vocali / Autobus totali in offerta, incluse scorte</t>
        </is>
      </c>
      <c r="Q1816" s="57">
        <f>IF($A1816="","",$A1816&amp;"|"&amp;$C1816)</f>
        <v/>
      </c>
      <c r="R1816" s="57">
        <f>IF($A1816="","",$A1816&amp;"|"&amp;$C1816&amp;"|"&amp;$D1816)</f>
        <v/>
      </c>
      <c r="S1816" s="57">
        <f>IF($A1816="","",IFERROR(INDEX(Offerte!$D$2:$D$81,MATCH($Q1816,Offerte!$L$2:$L$81,0)),0))</f>
        <v/>
      </c>
      <c r="T1816" s="57">
        <f>IF($A1816="","",IFERROR(INDEX(Offerte!$G$2:$G$81,MATCH($Q1816,Offerte!$L$2:$L$81,0)),"NO"))</f>
        <v/>
      </c>
    </row>
    <row r="1817">
      <c r="A1817" s="48">
        <f>IF(Offerte!$A60="","",Offerte!$A60)</f>
        <v/>
      </c>
      <c r="B1817" s="48">
        <f>IF(Offerte!$A60="","",Offerte!$B60)</f>
        <v/>
      </c>
      <c r="C1817" s="48">
        <f>IF(Offerte!$A60="","",Offerte!$C60)</f>
        <v/>
      </c>
      <c r="D1817" s="48" t="inlineStr">
        <is>
          <t>C.3.2</t>
        </is>
      </c>
      <c r="E1817" s="48" t="inlineStr">
        <is>
          <t>C</t>
        </is>
      </c>
      <c r="F1817" s="48" t="inlineStr">
        <is>
          <t>T</t>
        </is>
      </c>
      <c r="G1817" s="48" t="inlineStr">
        <is>
          <t>tabular</t>
        </is>
      </c>
      <c r="H1817" s="48" t="n">
        <v>2</v>
      </c>
      <c r="I1817" s="48" t="inlineStr">
        <is>
          <t>Informazioni a bordo su coincidenze ai nodi</t>
        </is>
      </c>
      <c r="J1817" s="73" t="n"/>
      <c r="K1817" s="73" t="n"/>
      <c r="L1817" s="73" t="n"/>
      <c r="M1817" s="73" t="n"/>
      <c r="N1817" s="57">
        <f>IF($A1817="","",IF(IFERROR(VALUE($M1817),0)=1,1,0))</f>
        <v/>
      </c>
      <c r="O1817" s="57">
        <f>IF($A1817="",0,IF(OR($S1817&lt;&gt;1,COUNTA($J1817:$M1817)=0),0,IF(AND($N1817=1,IFERROR(SUMIFS($N$5:$N$2484,$Q$5:$Q$2484,$Q1817,$D$5:$D$2484,"C.3.1"),0)&gt;=0.5),$H1817,0)))</f>
        <v/>
      </c>
      <c r="P1817" s="48" t="inlineStr">
        <is>
          <t>Dipende da C.3.1 &gt;= 0.5</t>
        </is>
      </c>
      <c r="Q1817" s="57">
        <f>IF($A1817="","",$A1817&amp;"|"&amp;$C1817)</f>
        <v/>
      </c>
      <c r="R1817" s="57">
        <f>IF($A1817="","",$A1817&amp;"|"&amp;$C1817&amp;"|"&amp;$D1817)</f>
        <v/>
      </c>
      <c r="S1817" s="57">
        <f>IF($A1817="","",IFERROR(INDEX(Offerte!$D$2:$D$81,MATCH($Q1817,Offerte!$L$2:$L$81,0)),0))</f>
        <v/>
      </c>
      <c r="T1817" s="57">
        <f>IF($A1817="","",IFERROR(INDEX(Offerte!$G$2:$G$81,MATCH($Q1817,Offerte!$L$2:$L$81,0)),"NO"))</f>
        <v/>
      </c>
    </row>
    <row r="1818">
      <c r="A1818" s="48">
        <f>IF(Offerte!$A60="","",Offerte!$A60)</f>
        <v/>
      </c>
      <c r="B1818" s="48">
        <f>IF(Offerte!$A60="","",Offerte!$B60)</f>
        <v/>
      </c>
      <c r="C1818" s="48">
        <f>IF(Offerte!$A60="","",Offerte!$C60)</f>
        <v/>
      </c>
      <c r="D1818" s="48" t="inlineStr">
        <is>
          <t>D.1.1</t>
        </is>
      </c>
      <c r="E1818" s="48" t="inlineStr">
        <is>
          <t>D</t>
        </is>
      </c>
      <c r="F1818" s="48" t="inlineStr">
        <is>
          <t>Q</t>
        </is>
      </c>
      <c r="G1818" s="48" t="inlineStr">
        <is>
          <t>higher</t>
        </is>
      </c>
      <c r="H1818" s="48" t="n">
        <v>3</v>
      </c>
      <c r="I1818" s="48" t="inlineStr">
        <is>
          <t>Installazione di pensiline</t>
        </is>
      </c>
      <c r="J1818" s="73" t="n"/>
      <c r="K1818" s="73" t="n"/>
      <c r="L1818" s="73" t="n"/>
      <c r="M1818" s="73" t="n"/>
      <c r="N1818" s="57">
        <f>IF($A1818="","",IFERROR(VALUE($J1818),0))</f>
        <v/>
      </c>
      <c r="O1818" s="57">
        <f>IF($A1818="",0,IF(OR($S1818&lt;&gt;1,COUNTA($J1818:$M1818)=0),0,IF(SUMPRODUCT(MAX(($C$5:$C$2484=$C1818)*($D$5:$D$2484=$D1818)*($S$5:$S$2484=1)*IFERROR($N$5:$N$2484*1,0)))&gt;0,ROUND($H1818*($N1818/SUMPRODUCT(MAX(($C$5:$C$2484=$C1818)*($D$5:$D$2484=$D1818)*($S$5:$S$2484=1)*IFERROR($N$5:$N$2484*1,0)))),4),0)))</f>
        <v/>
      </c>
      <c r="P1818" s="48" t="inlineStr">
        <is>
          <t>fermate</t>
        </is>
      </c>
      <c r="Q1818" s="57">
        <f>IF($A1818="","",$A1818&amp;"|"&amp;$C1818)</f>
        <v/>
      </c>
      <c r="R1818" s="57">
        <f>IF($A1818="","",$A1818&amp;"|"&amp;$C1818&amp;"|"&amp;$D1818)</f>
        <v/>
      </c>
      <c r="S1818" s="57">
        <f>IF($A1818="","",IFERROR(INDEX(Offerte!$D$2:$D$81,MATCH($Q1818,Offerte!$L$2:$L$81,0)),0))</f>
        <v/>
      </c>
      <c r="T1818" s="57">
        <f>IF($A1818="","",IFERROR(INDEX(Offerte!$G$2:$G$81,MATCH($Q1818,Offerte!$L$2:$L$81,0)),"NO"))</f>
        <v/>
      </c>
    </row>
    <row r="1819">
      <c r="A1819" s="48">
        <f>IF(Offerte!$A60="","",Offerte!$A60)</f>
        <v/>
      </c>
      <c r="B1819" s="48">
        <f>IF(Offerte!$A60="","",Offerte!$B60)</f>
        <v/>
      </c>
      <c r="C1819" s="48">
        <f>IF(Offerte!$A60="","",Offerte!$C60)</f>
        <v/>
      </c>
      <c r="D1819" s="48" t="inlineStr">
        <is>
          <t>D.1.2</t>
        </is>
      </c>
      <c r="E1819" s="48" t="inlineStr">
        <is>
          <t>D</t>
        </is>
      </c>
      <c r="F1819" s="48" t="inlineStr">
        <is>
          <t>Q</t>
        </is>
      </c>
      <c r="G1819" s="48" t="inlineStr">
        <is>
          <t>higher</t>
        </is>
      </c>
      <c r="H1819" s="48" t="n">
        <v>3</v>
      </c>
      <c r="I1819" s="48" t="inlineStr">
        <is>
          <t>Installazione di paline di fermata conformi alla DGR 581/2023</t>
        </is>
      </c>
      <c r="J1819" s="73" t="n"/>
      <c r="K1819" s="73" t="n"/>
      <c r="L1819" s="73" t="n"/>
      <c r="M1819" s="73" t="n"/>
      <c r="N1819" s="57">
        <f>IF($A1819="","",IFERROR(VALUE($J1819),0))</f>
        <v/>
      </c>
      <c r="O1819" s="57">
        <f>IF($A1819="",0,IF(OR($S1819&lt;&gt;1,COUNTA($J1819:$M1819)=0),0,IF(SUMPRODUCT(MAX(($C$5:$C$2484=$C1819)*($D$5:$D$2484=$D1819)*($S$5:$S$2484=1)*IFERROR($N$5:$N$2484*1,0)))&gt;0,ROUND($H1819*($N1819/SUMPRODUCT(MAX(($C$5:$C$2484=$C1819)*($D$5:$D$2484=$D1819)*($S$5:$S$2484=1)*IFERROR($N$5:$N$2484*1,0)))),4),0)))</f>
        <v/>
      </c>
      <c r="P1819" s="48" t="inlineStr">
        <is>
          <t>fermate</t>
        </is>
      </c>
      <c r="Q1819" s="57">
        <f>IF($A1819="","",$A1819&amp;"|"&amp;$C1819)</f>
        <v/>
      </c>
      <c r="R1819" s="57">
        <f>IF($A1819="","",$A1819&amp;"|"&amp;$C1819&amp;"|"&amp;$D1819)</f>
        <v/>
      </c>
      <c r="S1819" s="57">
        <f>IF($A1819="","",IFERROR(INDEX(Offerte!$D$2:$D$81,MATCH($Q1819,Offerte!$L$2:$L$81,0)),0))</f>
        <v/>
      </c>
      <c r="T1819" s="57">
        <f>IF($A1819="","",IFERROR(INDEX(Offerte!$G$2:$G$81,MATCH($Q1819,Offerte!$L$2:$L$81,0)),"NO"))</f>
        <v/>
      </c>
    </row>
    <row r="1820">
      <c r="A1820" s="48">
        <f>IF(Offerte!$A60="","",Offerte!$A60)</f>
        <v/>
      </c>
      <c r="B1820" s="48">
        <f>IF(Offerte!$A60="","",Offerte!$B60)</f>
        <v/>
      </c>
      <c r="C1820" s="48">
        <f>IF(Offerte!$A60="","",Offerte!$C60)</f>
        <v/>
      </c>
      <c r="D1820" s="48" t="inlineStr">
        <is>
          <t>D.1.3</t>
        </is>
      </c>
      <c r="E1820" s="48" t="inlineStr">
        <is>
          <t>D</t>
        </is>
      </c>
      <c r="F1820" s="48" t="inlineStr">
        <is>
          <t>Q</t>
        </is>
      </c>
      <c r="G1820" s="48" t="inlineStr">
        <is>
          <t>higher</t>
        </is>
      </c>
      <c r="H1820" s="48" t="n">
        <v>2</v>
      </c>
      <c r="I1820" s="48" t="inlineStr">
        <is>
          <t>Display informativi connessi alle fermate</t>
        </is>
      </c>
      <c r="J1820" s="73" t="n"/>
      <c r="K1820" s="73" t="n"/>
      <c r="L1820" s="73" t="n"/>
      <c r="M1820" s="73" t="n"/>
      <c r="N1820" s="57">
        <f>IF($A1820="","",IFERROR(VALUE($J1820),0))</f>
        <v/>
      </c>
      <c r="O1820" s="57">
        <f>IF($A1820="",0,IF(OR($S1820&lt;&gt;1,COUNTA($J1820:$M1820)=0),0,IF(SUMPRODUCT(MAX(($C$5:$C$2484=$C1820)*($D$5:$D$2484=$D1820)*($S$5:$S$2484=1)*IFERROR($N$5:$N$2484*1,0)))&gt;0,ROUND($H1820*($N1820/SUMPRODUCT(MAX(($C$5:$C$2484=$C1820)*($D$5:$D$2484=$D1820)*($S$5:$S$2484=1)*IFERROR($N$5:$N$2484*1,0)))),4),0)))</f>
        <v/>
      </c>
      <c r="P1820" s="48" t="inlineStr">
        <is>
          <t>fermate</t>
        </is>
      </c>
      <c r="Q1820" s="57">
        <f>IF($A1820="","",$A1820&amp;"|"&amp;$C1820)</f>
        <v/>
      </c>
      <c r="R1820" s="57">
        <f>IF($A1820="","",$A1820&amp;"|"&amp;$C1820&amp;"|"&amp;$D1820)</f>
        <v/>
      </c>
      <c r="S1820" s="57">
        <f>IF($A1820="","",IFERROR(INDEX(Offerte!$D$2:$D$81,MATCH($Q1820,Offerte!$L$2:$L$81,0)),0))</f>
        <v/>
      </c>
      <c r="T1820" s="57">
        <f>IF($A1820="","",IFERROR(INDEX(Offerte!$G$2:$G$81,MATCH($Q1820,Offerte!$L$2:$L$81,0)),"NO"))</f>
        <v/>
      </c>
    </row>
    <row r="1821">
      <c r="A1821" s="48">
        <f>IF(Offerte!$A60="","",Offerte!$A60)</f>
        <v/>
      </c>
      <c r="B1821" s="48">
        <f>IF(Offerte!$A60="","",Offerte!$B60)</f>
        <v/>
      </c>
      <c r="C1821" s="48">
        <f>IF(Offerte!$A60="","",Offerte!$C60)</f>
        <v/>
      </c>
      <c r="D1821" s="48" t="inlineStr">
        <is>
          <t>D.2.1</t>
        </is>
      </c>
      <c r="E1821" s="48" t="inlineStr">
        <is>
          <t>D</t>
        </is>
      </c>
      <c r="F1821" s="48" t="inlineStr">
        <is>
          <t>Q</t>
        </is>
      </c>
      <c r="G1821" s="48" t="inlineStr">
        <is>
          <t>higher</t>
        </is>
      </c>
      <c r="H1821" s="48" t="n">
        <v>2</v>
      </c>
      <c r="I1821" s="48" t="inlineStr">
        <is>
          <t>Segnali tattili Loges-Vet-Evolution</t>
        </is>
      </c>
      <c r="J1821" s="73" t="n"/>
      <c r="K1821" s="73" t="n"/>
      <c r="L1821" s="73" t="n"/>
      <c r="M1821" s="73" t="n"/>
      <c r="N1821" s="57">
        <f>IF($A1821="","",IFERROR(VALUE($J1821),0))</f>
        <v/>
      </c>
      <c r="O1821" s="57">
        <f>IF($A1821="",0,IF(OR($S1821&lt;&gt;1,COUNTA($J1821:$M1821)=0),0,IF(SUMPRODUCT(MAX(($C$5:$C$2484=$C1821)*($D$5:$D$2484=$D1821)*($S$5:$S$2484=1)*IFERROR($N$5:$N$2484*1,0)))&gt;0,ROUND($H1821*($N1821/SUMPRODUCT(MAX(($C$5:$C$2484=$C1821)*($D$5:$D$2484=$D1821)*($S$5:$S$2484=1)*IFERROR($N$5:$N$2484*1,0)))),4),0)))</f>
        <v/>
      </c>
      <c r="P1821" s="48" t="inlineStr">
        <is>
          <t>fermate</t>
        </is>
      </c>
      <c r="Q1821" s="57">
        <f>IF($A1821="","",$A1821&amp;"|"&amp;$C1821)</f>
        <v/>
      </c>
      <c r="R1821" s="57">
        <f>IF($A1821="","",$A1821&amp;"|"&amp;$C1821&amp;"|"&amp;$D1821)</f>
        <v/>
      </c>
      <c r="S1821" s="57">
        <f>IF($A1821="","",IFERROR(INDEX(Offerte!$D$2:$D$81,MATCH($Q1821,Offerte!$L$2:$L$81,0)),0))</f>
        <v/>
      </c>
      <c r="T1821" s="57">
        <f>IF($A1821="","",IFERROR(INDEX(Offerte!$G$2:$G$81,MATCH($Q1821,Offerte!$L$2:$L$81,0)),"NO"))</f>
        <v/>
      </c>
    </row>
    <row r="1822">
      <c r="A1822" s="48">
        <f>IF(Offerte!$A60="","",Offerte!$A60)</f>
        <v/>
      </c>
      <c r="B1822" s="48">
        <f>IF(Offerte!$A60="","",Offerte!$B60)</f>
        <v/>
      </c>
      <c r="C1822" s="48">
        <f>IF(Offerte!$A60="","",Offerte!$C60)</f>
        <v/>
      </c>
      <c r="D1822" s="48" t="inlineStr">
        <is>
          <t>E.1.1</t>
        </is>
      </c>
      <c r="E1822" s="48" t="inlineStr">
        <is>
          <t>E</t>
        </is>
      </c>
      <c r="F1822" s="48" t="inlineStr">
        <is>
          <t>T</t>
        </is>
      </c>
      <c r="G1822" s="48" t="inlineStr">
        <is>
          <t>tabular</t>
        </is>
      </c>
      <c r="H1822" s="48" t="n">
        <v>2</v>
      </c>
      <c r="I1822" s="48" t="inlineStr">
        <is>
          <t>Mobile app con travel planner PRM</t>
        </is>
      </c>
      <c r="J1822" s="73" t="n"/>
      <c r="K1822" s="73" t="n"/>
      <c r="L1822" s="73" t="n"/>
      <c r="M1822" s="73" t="n"/>
      <c r="N1822" s="57">
        <f>IF($A1822="","",IF(IFERROR(VALUE($M1822),0)=1,1,0))</f>
        <v/>
      </c>
      <c r="O1822" s="57">
        <f>IF($A1822="",0,IF(OR($S1822&lt;&gt;1,COUNTA($J1822:$M1822)=0),0,IF($N1822=1,$H1822,0)))</f>
        <v/>
      </c>
      <c r="P1822" s="48" t="inlineStr">
        <is>
          <t>sì/no</t>
        </is>
      </c>
      <c r="Q1822" s="57">
        <f>IF($A1822="","",$A1822&amp;"|"&amp;$C1822)</f>
        <v/>
      </c>
      <c r="R1822" s="57">
        <f>IF($A1822="","",$A1822&amp;"|"&amp;$C1822&amp;"|"&amp;$D1822)</f>
        <v/>
      </c>
      <c r="S1822" s="57">
        <f>IF($A1822="","",IFERROR(INDEX(Offerte!$D$2:$D$81,MATCH($Q1822,Offerte!$L$2:$L$81,0)),0))</f>
        <v/>
      </c>
      <c r="T1822" s="57">
        <f>IF($A1822="","",IFERROR(INDEX(Offerte!$G$2:$G$81,MATCH($Q1822,Offerte!$L$2:$L$81,0)),"NO"))</f>
        <v/>
      </c>
    </row>
    <row r="1823">
      <c r="A1823" s="48">
        <f>IF(Offerte!$A60="","",Offerte!$A60)</f>
        <v/>
      </c>
      <c r="B1823" s="48">
        <f>IF(Offerte!$A60="","",Offerte!$B60)</f>
        <v/>
      </c>
      <c r="C1823" s="48">
        <f>IF(Offerte!$A60="","",Offerte!$C60)</f>
        <v/>
      </c>
      <c r="D1823" s="48" t="inlineStr">
        <is>
          <t>E.2.1</t>
        </is>
      </c>
      <c r="E1823" s="48" t="inlineStr">
        <is>
          <t>E</t>
        </is>
      </c>
      <c r="F1823" s="48" t="inlineStr">
        <is>
          <t>D</t>
        </is>
      </c>
      <c r="G1823" s="48" t="inlineStr">
        <is>
          <t>discretionary</t>
        </is>
      </c>
      <c r="H1823" s="48" t="n">
        <v>2</v>
      </c>
      <c r="I1823" s="48" t="inlineStr">
        <is>
          <t>Altre azioni informative e rapporti con gli utenti</t>
        </is>
      </c>
      <c r="J1823" s="73" t="n"/>
      <c r="K1823" s="73" t="n"/>
      <c r="L1823" s="73" t="n"/>
      <c r="M1823" s="73" t="n"/>
      <c r="N1823" s="57">
        <f>IF($A1823="","",MAX(0,MIN(1,IFERROR(VALUE($M1823),0))))</f>
        <v/>
      </c>
      <c r="O1823" s="57">
        <f>IF($A1823="",0,IF(OR($S1823&lt;&gt;1,COUNTA($J1823:$M1823)=0),0,IF(SUMPRODUCT(MAX(($C$5:$C$2484=$C1823)*($D$5:$D$2484=$D1823)*($S$5:$S$2484=1)*IFERROR($N$5:$N$2484*1,0)))&gt;0,ROUND($H1823*($N1823/SUMPRODUCT(MAX(($C$5:$C$2484=$C1823)*($D$5:$D$2484=$D1823)*($S$5:$S$2484=1)*IFERROR($N$5:$N$2484*1,0)))),4),0)))</f>
        <v/>
      </c>
      <c r="P1823" s="48" t="inlineStr">
        <is>
          <t>coeff.</t>
        </is>
      </c>
      <c r="Q1823" s="57">
        <f>IF($A1823="","",$A1823&amp;"|"&amp;$C1823)</f>
        <v/>
      </c>
      <c r="R1823" s="57">
        <f>IF($A1823="","",$A1823&amp;"|"&amp;$C1823&amp;"|"&amp;$D1823)</f>
        <v/>
      </c>
      <c r="S1823" s="57">
        <f>IF($A1823="","",IFERROR(INDEX(Offerte!$D$2:$D$81,MATCH($Q1823,Offerte!$L$2:$L$81,0)),0))</f>
        <v/>
      </c>
      <c r="T1823" s="57">
        <f>IF($A1823="","",IFERROR(INDEX(Offerte!$G$2:$G$81,MATCH($Q1823,Offerte!$L$2:$L$81,0)),"NO"))</f>
        <v/>
      </c>
    </row>
    <row r="1824">
      <c r="A1824" s="48">
        <f>IF(Offerte!$A60="","",Offerte!$A60)</f>
        <v/>
      </c>
      <c r="B1824" s="48">
        <f>IF(Offerte!$A60="","",Offerte!$B60)</f>
        <v/>
      </c>
      <c r="C1824" s="48">
        <f>IF(Offerte!$A60="","",Offerte!$C60)</f>
        <v/>
      </c>
      <c r="D1824" s="48" t="inlineStr">
        <is>
          <t>F.1.1</t>
        </is>
      </c>
      <c r="E1824" s="48" t="inlineStr">
        <is>
          <t>F</t>
        </is>
      </c>
      <c r="F1824" s="48" t="inlineStr">
        <is>
          <t>Q</t>
        </is>
      </c>
      <c r="G1824" s="48" t="inlineStr">
        <is>
          <t>lower</t>
        </is>
      </c>
      <c r="H1824" s="48" t="n">
        <v>7</v>
      </c>
      <c r="I1824" s="48" t="inlineStr">
        <is>
          <t>Performance ambientali del parco mezzi adibito al servizio - I_CEA</t>
        </is>
      </c>
      <c r="J1824" s="73" t="n"/>
      <c r="K1824" s="73" t="n"/>
      <c r="L1824" s="73" t="n"/>
      <c r="M1824" s="73" t="n"/>
      <c r="N1824" s="57">
        <f>IF($A1824="","",IFERROR(VALUE($J1824),0))</f>
        <v/>
      </c>
      <c r="O1824" s="57">
        <f>IF($A1824="",0,IF(OR($S1824&lt;&gt;1,COUNTA($J1824:$M1824)=0),0,IF(AND(IFERROR(AGGREGATE(15,6,$N$5:$N$2484/(($C$5:$C$2484=$C1824)*($D$5:$D$2484=$D1824)*($S$5:$S$2484=1)*($N$5:$N$2484&gt;0)),1),0)&gt;0,$N1824&gt;0),ROUND($H1824*(IFERROR(AGGREGATE(15,6,$N$5:$N$2484/(($C$5:$C$2484=$C1824)*($D$5:$D$2484=$D1824)*($S$5:$S$2484=1)*($N$5:$N$2484&gt;0)),1),0)/$N1824),4),0)))</f>
        <v/>
      </c>
      <c r="P1824" s="48" t="inlineStr">
        <is>
          <t>indice</t>
        </is>
      </c>
      <c r="Q1824" s="57">
        <f>IF($A1824="","",$A1824&amp;"|"&amp;$C1824)</f>
        <v/>
      </c>
      <c r="R1824" s="57">
        <f>IF($A1824="","",$A1824&amp;"|"&amp;$C1824&amp;"|"&amp;$D1824)</f>
        <v/>
      </c>
      <c r="S1824" s="57">
        <f>IF($A1824="","",IFERROR(INDEX(Offerte!$D$2:$D$81,MATCH($Q1824,Offerte!$L$2:$L$81,0)),0))</f>
        <v/>
      </c>
      <c r="T1824" s="57">
        <f>IF($A1824="","",IFERROR(INDEX(Offerte!$G$2:$G$81,MATCH($Q1824,Offerte!$L$2:$L$81,0)),"NO"))</f>
        <v/>
      </c>
    </row>
    <row r="1825">
      <c r="A1825" s="48">
        <f>IF(Offerte!$A60="","",Offerte!$A60)</f>
        <v/>
      </c>
      <c r="B1825" s="48">
        <f>IF(Offerte!$A60="","",Offerte!$B60)</f>
        <v/>
      </c>
      <c r="C1825" s="48">
        <f>IF(Offerte!$A60="","",Offerte!$C60)</f>
        <v/>
      </c>
      <c r="D1825" s="48" t="inlineStr">
        <is>
          <t>F.2.1</t>
        </is>
      </c>
      <c r="E1825" s="48" t="inlineStr">
        <is>
          <t>F</t>
        </is>
      </c>
      <c r="F1825" s="48" t="inlineStr">
        <is>
          <t>Q</t>
        </is>
      </c>
      <c r="G1825" s="48" t="inlineStr">
        <is>
          <t>higher</t>
        </is>
      </c>
      <c r="H1825" s="48" t="n">
        <v>2</v>
      </c>
      <c r="I1825" s="48" t="inlineStr">
        <is>
          <t>Tasso di copertura del servizio con dispositivi ECO-DRIVER</t>
        </is>
      </c>
      <c r="J1825" s="73" t="n"/>
      <c r="K1825" s="73" t="n"/>
      <c r="L1825" s="73" t="n"/>
      <c r="M1825" s="73" t="n"/>
      <c r="N1825" s="57">
        <f>IF($A1825="","",IFERROR(VALUE($K1825)/VALUE($L1825),IFERROR(VALUE($J1825),0)))</f>
        <v/>
      </c>
      <c r="O1825" s="57">
        <f>IF($A1825="",0,IF(OR($S1825&lt;&gt;1,COUNTA($J1825:$M1825)=0),0,IF(SUMPRODUCT(MAX(($C$5:$C$2484=$C1825)*($D$5:$D$2484=$D1825)*($S$5:$S$2484=1)*IFERROR($N$5:$N$2484*1,0)))&gt;0,ROUND($H1825*($N1825/SUMPRODUCT(MAX(($C$5:$C$2484=$C1825)*($D$5:$D$2484=$D1825)*($S$5:$S$2484=1)*IFERROR($N$5:$N$2484*1,0)))),4),0)))</f>
        <v/>
      </c>
      <c r="P1825" s="48" t="inlineStr">
        <is>
          <t>Autobus attrezzati con dispositivi ECO-DRIVER / Autobus totali in offerta, incluse scorte</t>
        </is>
      </c>
      <c r="Q1825" s="57">
        <f>IF($A1825="","",$A1825&amp;"|"&amp;$C1825)</f>
        <v/>
      </c>
      <c r="R1825" s="57">
        <f>IF($A1825="","",$A1825&amp;"|"&amp;$C1825&amp;"|"&amp;$D1825)</f>
        <v/>
      </c>
      <c r="S1825" s="57">
        <f>IF($A1825="","",IFERROR(INDEX(Offerte!$D$2:$D$81,MATCH($Q1825,Offerte!$L$2:$L$81,0)),0))</f>
        <v/>
      </c>
      <c r="T1825" s="57">
        <f>IF($A1825="","",IFERROR(INDEX(Offerte!$G$2:$G$81,MATCH($Q1825,Offerte!$L$2:$L$81,0)),"NO"))</f>
        <v/>
      </c>
    </row>
    <row r="1826">
      <c r="A1826" s="48">
        <f>IF(Offerte!$A60="","",Offerte!$A60)</f>
        <v/>
      </c>
      <c r="B1826" s="48">
        <f>IF(Offerte!$A60="","",Offerte!$B60)</f>
        <v/>
      </c>
      <c r="C1826" s="48">
        <f>IF(Offerte!$A60="","",Offerte!$C60)</f>
        <v/>
      </c>
      <c r="D1826" s="48" t="inlineStr">
        <is>
          <t>F.3.1</t>
        </is>
      </c>
      <c r="E1826" s="48" t="inlineStr">
        <is>
          <t>F</t>
        </is>
      </c>
      <c r="F1826" s="48" t="inlineStr">
        <is>
          <t>Q</t>
        </is>
      </c>
      <c r="G1826" s="48" t="inlineStr">
        <is>
          <t>higher</t>
        </is>
      </c>
      <c r="H1826" s="48" t="n">
        <v>2</v>
      </c>
      <c r="I1826" s="48" t="inlineStr">
        <is>
          <t>Autoproduzione consumi elettrici per trazione</t>
        </is>
      </c>
      <c r="J1826" s="73" t="n"/>
      <c r="K1826" s="73" t="n"/>
      <c r="L1826" s="73" t="n"/>
      <c r="M1826" s="73" t="n"/>
      <c r="N1826" s="57">
        <f>IF($A1826="","",IFERROR(VALUE($J1826),0))</f>
        <v/>
      </c>
      <c r="O1826" s="57">
        <f>IF($A1826="",0,IF(OR($S1826&lt;&gt;1,COUNTA($J1826:$M1826)=0),0,IF(SUMPRODUCT(MAX(($C$5:$C$2484=$C1826)*($D$5:$D$2484=$D1826)*($S$5:$S$2484=1)*IFERROR($N$5:$N$2484*1,0)))&gt;0,ROUND($H1826*($N1826/SUMPRODUCT(MAX(($C$5:$C$2484=$C1826)*($D$5:$D$2484=$D1826)*($S$5:$S$2484=1)*IFERROR($N$5:$N$2484*1,0)))),4),0)))</f>
        <v/>
      </c>
      <c r="P1826" s="48" t="inlineStr">
        <is>
          <t>kWh/anno</t>
        </is>
      </c>
      <c r="Q1826" s="57">
        <f>IF($A1826="","",$A1826&amp;"|"&amp;$C1826)</f>
        <v/>
      </c>
      <c r="R1826" s="57">
        <f>IF($A1826="","",$A1826&amp;"|"&amp;$C1826&amp;"|"&amp;$D1826)</f>
        <v/>
      </c>
      <c r="S1826" s="57">
        <f>IF($A1826="","",IFERROR(INDEX(Offerte!$D$2:$D$81,MATCH($Q1826,Offerte!$L$2:$L$81,0)),0))</f>
        <v/>
      </c>
      <c r="T1826" s="57">
        <f>IF($A1826="","",IFERROR(INDEX(Offerte!$G$2:$G$81,MATCH($Q1826,Offerte!$L$2:$L$81,0)),"NO"))</f>
        <v/>
      </c>
    </row>
    <row r="1827">
      <c r="A1827" s="48">
        <f>IF(Offerte!$A60="","",Offerte!$A60)</f>
        <v/>
      </c>
      <c r="B1827" s="48">
        <f>IF(Offerte!$A60="","",Offerte!$B60)</f>
        <v/>
      </c>
      <c r="C1827" s="48">
        <f>IF(Offerte!$A60="","",Offerte!$C60)</f>
        <v/>
      </c>
      <c r="D1827" s="48" t="inlineStr">
        <is>
          <t>F.4.1</t>
        </is>
      </c>
      <c r="E1827" s="48" t="inlineStr">
        <is>
          <t>F</t>
        </is>
      </c>
      <c r="F1827" s="48" t="inlineStr">
        <is>
          <t>Q</t>
        </is>
      </c>
      <c r="G1827" s="48" t="inlineStr">
        <is>
          <t>soil</t>
        </is>
      </c>
      <c r="H1827" s="48" t="n">
        <v>2</v>
      </c>
      <c r="I1827" s="48" t="inlineStr">
        <is>
          <t>Indice di consumo di suolo</t>
        </is>
      </c>
      <c r="J1827" s="73" t="n"/>
      <c r="K1827" s="73" t="n"/>
      <c r="L1827" s="73" t="n"/>
      <c r="M1827" s="73" t="n"/>
      <c r="N1827" s="57">
        <f>IF($A1827="","",IFERROR(VALUE($J1827),0))</f>
        <v/>
      </c>
      <c r="O1827" s="57">
        <f>IF($A1827="",0,IF(OR($S1827&lt;&gt;1,COUNTA($J1827:$M1827)=0),0,IF($N1827&lt;=0,$H1827,IF(SUMPRODUCT(MAX(($C$5:$C$2484=$C1827)*($D$5:$D$2484=$D1827)*($S$5:$S$2484=1)*IFERROR($N$5:$N$2484*1,0)))&gt;0,ROUND($H1827*((SUMPRODUCT(MAX(($C$5:$C$2484=$C1827)*($D$5:$D$2484=$D1827)*($S$5:$S$2484=1)*IFERROR($N$5:$N$2484*1,0)))-$N1827)/SUMPRODUCT(MAX(($C$5:$C$2484=$C1827)*($D$5:$D$2484=$D1827)*($S$5:$S$2484=1)*IFERROR($N$5:$N$2484*1,0)))),4),0))))</f>
        <v/>
      </c>
      <c r="P1827" s="48" t="inlineStr">
        <is>
          <t>m2</t>
        </is>
      </c>
      <c r="Q1827" s="57">
        <f>IF($A1827="","",$A1827&amp;"|"&amp;$C1827)</f>
        <v/>
      </c>
      <c r="R1827" s="57">
        <f>IF($A1827="","",$A1827&amp;"|"&amp;$C1827&amp;"|"&amp;$D1827)</f>
        <v/>
      </c>
      <c r="S1827" s="57">
        <f>IF($A1827="","",IFERROR(INDEX(Offerte!$D$2:$D$81,MATCH($Q1827,Offerte!$L$2:$L$81,0)),0))</f>
        <v/>
      </c>
      <c r="T1827" s="57">
        <f>IF($A1827="","",IFERROR(INDEX(Offerte!$G$2:$G$81,MATCH($Q1827,Offerte!$L$2:$L$81,0)),"NO"))</f>
        <v/>
      </c>
    </row>
    <row r="1828">
      <c r="A1828" s="48">
        <f>IF(Offerte!$A60="","",Offerte!$A60)</f>
        <v/>
      </c>
      <c r="B1828" s="48">
        <f>IF(Offerte!$A60="","",Offerte!$B60)</f>
        <v/>
      </c>
      <c r="C1828" s="48">
        <f>IF(Offerte!$A60="","",Offerte!$C60)</f>
        <v/>
      </c>
      <c r="D1828" s="48" t="inlineStr">
        <is>
          <t>F.5.1</t>
        </is>
      </c>
      <c r="E1828" s="48" t="inlineStr">
        <is>
          <t>F</t>
        </is>
      </c>
      <c r="F1828" s="48" t="inlineStr">
        <is>
          <t>T</t>
        </is>
      </c>
      <c r="G1828" s="48" t="inlineStr">
        <is>
          <t>tabular</t>
        </is>
      </c>
      <c r="H1828" s="48" t="n">
        <v>1</v>
      </c>
      <c r="I1828" s="48" t="inlineStr">
        <is>
          <t>Rendicontazione di sostenibilità ambientale</t>
        </is>
      </c>
      <c r="J1828" s="73" t="n"/>
      <c r="K1828" s="73" t="n"/>
      <c r="L1828" s="73" t="n"/>
      <c r="M1828" s="73" t="n"/>
      <c r="N1828" s="57">
        <f>IF($A1828="","",IF(IFERROR(VALUE($M1828),0)=1,1,0))</f>
        <v/>
      </c>
      <c r="O1828" s="57">
        <f>IF($A1828="",0,IF(OR($S1828&lt;&gt;1,COUNTA($J1828:$M1828)=0),0,IF($N1828=1,$H1828,0)))</f>
        <v/>
      </c>
      <c r="P1828" s="48" t="inlineStr">
        <is>
          <t>sì/no</t>
        </is>
      </c>
      <c r="Q1828" s="57">
        <f>IF($A1828="","",$A1828&amp;"|"&amp;$C1828)</f>
        <v/>
      </c>
      <c r="R1828" s="57">
        <f>IF($A1828="","",$A1828&amp;"|"&amp;$C1828&amp;"|"&amp;$D1828)</f>
        <v/>
      </c>
      <c r="S1828" s="57">
        <f>IF($A1828="","",IFERROR(INDEX(Offerte!$D$2:$D$81,MATCH($Q1828,Offerte!$L$2:$L$81,0)),0))</f>
        <v/>
      </c>
      <c r="T1828" s="57">
        <f>IF($A1828="","",IFERROR(INDEX(Offerte!$G$2:$G$81,MATCH($Q1828,Offerte!$L$2:$L$81,0)),"NO"))</f>
        <v/>
      </c>
    </row>
    <row r="1829">
      <c r="A1829" s="48">
        <f>IF(Offerte!$A60="","",Offerte!$A60)</f>
        <v/>
      </c>
      <c r="B1829" s="48">
        <f>IF(Offerte!$A60="","",Offerte!$B60)</f>
        <v/>
      </c>
      <c r="C1829" s="48">
        <f>IF(Offerte!$A60="","",Offerte!$C60)</f>
        <v/>
      </c>
      <c r="D1829" s="48" t="inlineStr">
        <is>
          <t>G.1.1</t>
        </is>
      </c>
      <c r="E1829" s="48" t="inlineStr">
        <is>
          <t>G</t>
        </is>
      </c>
      <c r="F1829" s="48" t="inlineStr">
        <is>
          <t>D</t>
        </is>
      </c>
      <c r="G1829" s="48" t="inlineStr">
        <is>
          <t>discretionary</t>
        </is>
      </c>
      <c r="H1829" s="48" t="n">
        <v>2</v>
      </c>
      <c r="I1829" s="48" t="inlineStr">
        <is>
          <t>Qualità del progetto di centrale di controllo aziendale</t>
        </is>
      </c>
      <c r="J1829" s="73" t="n"/>
      <c r="K1829" s="73" t="n"/>
      <c r="L1829" s="73" t="n"/>
      <c r="M1829" s="73" t="n"/>
      <c r="N1829" s="57">
        <f>IF($A1829="","",MAX(0,MIN(1,IFERROR(VALUE($M1829),0))))</f>
        <v/>
      </c>
      <c r="O1829" s="57">
        <f>IF($A1829="",0,IF(OR($S1829&lt;&gt;1,COUNTA($J1829:$M1829)=0),0,IF(SUMPRODUCT(MAX(($C$5:$C$2484=$C1829)*($D$5:$D$2484=$D1829)*($S$5:$S$2484=1)*IFERROR($N$5:$N$2484*1,0)))&gt;0,ROUND($H1829*($N1829/SUMPRODUCT(MAX(($C$5:$C$2484=$C1829)*($D$5:$D$2484=$D1829)*($S$5:$S$2484=1)*IFERROR($N$5:$N$2484*1,0)))),4),0)))</f>
        <v/>
      </c>
      <c r="P1829" s="48" t="inlineStr">
        <is>
          <t>coeff.</t>
        </is>
      </c>
      <c r="Q1829" s="57">
        <f>IF($A1829="","",$A1829&amp;"|"&amp;$C1829)</f>
        <v/>
      </c>
      <c r="R1829" s="57">
        <f>IF($A1829="","",$A1829&amp;"|"&amp;$C1829&amp;"|"&amp;$D1829)</f>
        <v/>
      </c>
      <c r="S1829" s="57">
        <f>IF($A1829="","",IFERROR(INDEX(Offerte!$D$2:$D$81,MATCH($Q1829,Offerte!$L$2:$L$81,0)),0))</f>
        <v/>
      </c>
      <c r="T1829" s="57">
        <f>IF($A1829="","",IFERROR(INDEX(Offerte!$G$2:$G$81,MATCH($Q1829,Offerte!$L$2:$L$81,0)),"NO"))</f>
        <v/>
      </c>
    </row>
    <row r="1830">
      <c r="A1830" s="48">
        <f>IF(Offerte!$A60="","",Offerte!$A60)</f>
        <v/>
      </c>
      <c r="B1830" s="48">
        <f>IF(Offerte!$A60="","",Offerte!$B60)</f>
        <v/>
      </c>
      <c r="C1830" s="48">
        <f>IF(Offerte!$A60="","",Offerte!$C60)</f>
        <v/>
      </c>
      <c r="D1830" s="48" t="inlineStr">
        <is>
          <t>G.2.1</t>
        </is>
      </c>
      <c r="E1830" s="48" t="inlineStr">
        <is>
          <t>G</t>
        </is>
      </c>
      <c r="F1830" s="48" t="inlineStr">
        <is>
          <t>T</t>
        </is>
      </c>
      <c r="G1830" s="48" t="inlineStr">
        <is>
          <t>tabular</t>
        </is>
      </c>
      <c r="H1830" s="48" t="n">
        <v>1</v>
      </c>
      <c r="I1830" s="48" t="inlineStr">
        <is>
          <t>Certificazione ISO 45001</t>
        </is>
      </c>
      <c r="J1830" s="73" t="n"/>
      <c r="K1830" s="73" t="n"/>
      <c r="L1830" s="73" t="n"/>
      <c r="M1830" s="73" t="n"/>
      <c r="N1830" s="57">
        <f>IF($A1830="","",IF(IFERROR(VALUE($M1830),0)=1,1,0))</f>
        <v/>
      </c>
      <c r="O1830" s="57">
        <f>IF($A1830="",0,IF(OR($S1830&lt;&gt;1,COUNTA($J1830:$M1830)=0),0,IF($N1830=1,$H1830,0)))</f>
        <v/>
      </c>
      <c r="P1830" s="48" t="inlineStr">
        <is>
          <t>sì/no</t>
        </is>
      </c>
      <c r="Q1830" s="57">
        <f>IF($A1830="","",$A1830&amp;"|"&amp;$C1830)</f>
        <v/>
      </c>
      <c r="R1830" s="57">
        <f>IF($A1830="","",$A1830&amp;"|"&amp;$C1830&amp;"|"&amp;$D1830)</f>
        <v/>
      </c>
      <c r="S1830" s="57">
        <f>IF($A1830="","",IFERROR(INDEX(Offerte!$D$2:$D$81,MATCH($Q1830,Offerte!$L$2:$L$81,0)),0))</f>
        <v/>
      </c>
      <c r="T1830" s="57">
        <f>IF($A1830="","",IFERROR(INDEX(Offerte!$G$2:$G$81,MATCH($Q1830,Offerte!$L$2:$L$81,0)),"NO"))</f>
        <v/>
      </c>
    </row>
    <row r="1831">
      <c r="A1831" s="48">
        <f>IF(Offerte!$A60="","",Offerte!$A60)</f>
        <v/>
      </c>
      <c r="B1831" s="48">
        <f>IF(Offerte!$A60="","",Offerte!$B60)</f>
        <v/>
      </c>
      <c r="C1831" s="48">
        <f>IF(Offerte!$A60="","",Offerte!$C60)</f>
        <v/>
      </c>
      <c r="D1831" s="48" t="inlineStr">
        <is>
          <t>G.3.1</t>
        </is>
      </c>
      <c r="E1831" s="48" t="inlineStr">
        <is>
          <t>G</t>
        </is>
      </c>
      <c r="F1831" s="48" t="inlineStr">
        <is>
          <t>T</t>
        </is>
      </c>
      <c r="G1831" s="48" t="inlineStr">
        <is>
          <t>tabular</t>
        </is>
      </c>
      <c r="H1831" s="48" t="n">
        <v>1</v>
      </c>
      <c r="I1831" s="48" t="inlineStr">
        <is>
          <t>Certificazioni di responsabilità sociale</t>
        </is>
      </c>
      <c r="J1831" s="73" t="n"/>
      <c r="K1831" s="73" t="n"/>
      <c r="L1831" s="73" t="n"/>
      <c r="M1831" s="73" t="n"/>
      <c r="N1831" s="57">
        <f>IF($A1831="","",IF(IFERROR(VALUE($M1831),0)=1,1,0))</f>
        <v/>
      </c>
      <c r="O1831" s="57">
        <f>IF($A1831="",0,IF(OR($S1831&lt;&gt;1,COUNTA($J1831:$M1831)=0),0,IF($N1831=1,$H1831,0)))</f>
        <v/>
      </c>
      <c r="P1831" s="48" t="inlineStr">
        <is>
          <t>sì/no</t>
        </is>
      </c>
      <c r="Q1831" s="57">
        <f>IF($A1831="","",$A1831&amp;"|"&amp;$C1831)</f>
        <v/>
      </c>
      <c r="R1831" s="57">
        <f>IF($A1831="","",$A1831&amp;"|"&amp;$C1831&amp;"|"&amp;$D1831)</f>
        <v/>
      </c>
      <c r="S1831" s="57">
        <f>IF($A1831="","",IFERROR(INDEX(Offerte!$D$2:$D$81,MATCH($Q1831,Offerte!$L$2:$L$81,0)),0))</f>
        <v/>
      </c>
      <c r="T1831" s="57">
        <f>IF($A1831="","",IFERROR(INDEX(Offerte!$G$2:$G$81,MATCH($Q1831,Offerte!$L$2:$L$81,0)),"NO"))</f>
        <v/>
      </c>
    </row>
    <row r="1832">
      <c r="A1832" s="48">
        <f>IF(Offerte!$A60="","",Offerte!$A60)</f>
        <v/>
      </c>
      <c r="B1832" s="48">
        <f>IF(Offerte!$A60="","",Offerte!$B60)</f>
        <v/>
      </c>
      <c r="C1832" s="48">
        <f>IF(Offerte!$A60="","",Offerte!$C60)</f>
        <v/>
      </c>
      <c r="D1832" s="48" t="inlineStr">
        <is>
          <t>G.4.1</t>
        </is>
      </c>
      <c r="E1832" s="48" t="inlineStr">
        <is>
          <t>G</t>
        </is>
      </c>
      <c r="F1832" s="48" t="inlineStr">
        <is>
          <t>D</t>
        </is>
      </c>
      <c r="G1832" s="48" t="inlineStr">
        <is>
          <t>discretionary</t>
        </is>
      </c>
      <c r="H1832" s="48" t="n">
        <v>2</v>
      </c>
      <c r="I1832" s="48" t="inlineStr">
        <is>
          <t>Qualità del piano di formazione del personale</t>
        </is>
      </c>
      <c r="J1832" s="73" t="n"/>
      <c r="K1832" s="73" t="n"/>
      <c r="L1832" s="73" t="n"/>
      <c r="M1832" s="73" t="n"/>
      <c r="N1832" s="57">
        <f>IF($A1832="","",MAX(0,MIN(1,IFERROR(VALUE($M1832),0))))</f>
        <v/>
      </c>
      <c r="O1832" s="57">
        <f>IF($A1832="",0,IF(OR($S1832&lt;&gt;1,COUNTA($J1832:$M1832)=0),0,IF(SUMPRODUCT(MAX(($C$5:$C$2484=$C1832)*($D$5:$D$2484=$D1832)*($S$5:$S$2484=1)*IFERROR($N$5:$N$2484*1,0)))&gt;0,ROUND($H1832*($N1832/SUMPRODUCT(MAX(($C$5:$C$2484=$C1832)*($D$5:$D$2484=$D1832)*($S$5:$S$2484=1)*IFERROR($N$5:$N$2484*1,0)))),4),0)))</f>
        <v/>
      </c>
      <c r="P1832" s="48" t="inlineStr">
        <is>
          <t>coeff.</t>
        </is>
      </c>
      <c r="Q1832" s="57">
        <f>IF($A1832="","",$A1832&amp;"|"&amp;$C1832)</f>
        <v/>
      </c>
      <c r="R1832" s="57">
        <f>IF($A1832="","",$A1832&amp;"|"&amp;$C1832&amp;"|"&amp;$D1832)</f>
        <v/>
      </c>
      <c r="S1832" s="57">
        <f>IF($A1832="","",IFERROR(INDEX(Offerte!$D$2:$D$81,MATCH($Q1832,Offerte!$L$2:$L$81,0)),0))</f>
        <v/>
      </c>
      <c r="T1832" s="57">
        <f>IF($A1832="","",IFERROR(INDEX(Offerte!$G$2:$G$81,MATCH($Q1832,Offerte!$L$2:$L$81,0)),"NO"))</f>
        <v/>
      </c>
    </row>
    <row r="1833">
      <c r="A1833" s="48">
        <f>IF(Offerte!$A60="","",Offerte!$A60)</f>
        <v/>
      </c>
      <c r="B1833" s="48">
        <f>IF(Offerte!$A60="","",Offerte!$B60)</f>
        <v/>
      </c>
      <c r="C1833" s="48">
        <f>IF(Offerte!$A60="","",Offerte!$C60)</f>
        <v/>
      </c>
      <c r="D1833" s="48" t="inlineStr">
        <is>
          <t>G.5.1</t>
        </is>
      </c>
      <c r="E1833" s="48" t="inlineStr">
        <is>
          <t>G</t>
        </is>
      </c>
      <c r="F1833" s="48" t="inlineStr">
        <is>
          <t>T</t>
        </is>
      </c>
      <c r="G1833" s="48" t="inlineStr">
        <is>
          <t>tabular</t>
        </is>
      </c>
      <c r="H1833" s="48" t="n">
        <v>1</v>
      </c>
      <c r="I1833" s="48" t="inlineStr">
        <is>
          <t>Impegno al mantenimento delle garanzie del contratto di secondo livello del gestore uscente</t>
        </is>
      </c>
      <c r="J1833" s="73" t="n"/>
      <c r="K1833" s="73" t="n"/>
      <c r="L1833" s="73" t="n"/>
      <c r="M1833" s="73" t="n"/>
      <c r="N1833" s="57">
        <f>IF($A1833="","",IF(IFERROR(VALUE($M1833),0)=1,1,0))</f>
        <v/>
      </c>
      <c r="O1833" s="57">
        <f>IF($A1833="",0,IF(OR($S1833&lt;&gt;1,COUNTA($J1833:$M1833)=0),0,IF($N1833=1,$H1833,0)))</f>
        <v/>
      </c>
      <c r="P1833" s="48" t="inlineStr">
        <is>
          <t>sì/no</t>
        </is>
      </c>
      <c r="Q1833" s="57">
        <f>IF($A1833="","",$A1833&amp;"|"&amp;$C1833)</f>
        <v/>
      </c>
      <c r="R1833" s="57">
        <f>IF($A1833="","",$A1833&amp;"|"&amp;$C1833&amp;"|"&amp;$D1833)</f>
        <v/>
      </c>
      <c r="S1833" s="57">
        <f>IF($A1833="","",IFERROR(INDEX(Offerte!$D$2:$D$81,MATCH($Q1833,Offerte!$L$2:$L$81,0)),0))</f>
        <v/>
      </c>
      <c r="T1833" s="57">
        <f>IF($A1833="","",IFERROR(INDEX(Offerte!$G$2:$G$81,MATCH($Q1833,Offerte!$L$2:$L$81,0)),"NO"))</f>
        <v/>
      </c>
    </row>
    <row r="1834">
      <c r="A1834" s="48">
        <f>IF(Offerte!$A61="","",Offerte!$A61)</f>
        <v/>
      </c>
      <c r="B1834" s="48">
        <f>IF(Offerte!$A61="","",Offerte!$B61)</f>
        <v/>
      </c>
      <c r="C1834" s="48">
        <f>IF(Offerte!$A61="","",Offerte!$C61)</f>
        <v/>
      </c>
      <c r="D1834" s="48" t="inlineStr">
        <is>
          <t>A.1.1</t>
        </is>
      </c>
      <c r="E1834" s="48" t="inlineStr">
        <is>
          <t>A</t>
        </is>
      </c>
      <c r="F1834" s="48" t="inlineStr">
        <is>
          <t>Q</t>
        </is>
      </c>
      <c r="G1834" s="48" t="inlineStr">
        <is>
          <t>higher</t>
        </is>
      </c>
      <c r="H1834" s="48" t="n">
        <v>3</v>
      </c>
      <c r="I1834" s="48" t="inlineStr">
        <is>
          <t>Tasso aggiuntivo di corse controllate</t>
        </is>
      </c>
      <c r="J1834" s="73" t="n"/>
      <c r="K1834" s="73" t="n"/>
      <c r="L1834" s="73" t="n"/>
      <c r="M1834" s="73" t="n"/>
      <c r="N1834" s="57">
        <f>IF($A1834="","",IFERROR(VALUE($K1834)/VALUE($L1834)*100,IFERROR(VALUE($J1834),0)))</f>
        <v/>
      </c>
      <c r="O1834" s="57">
        <f>IF($A1834="",0,IF(OR($S1834&lt;&gt;1,COUNTA($J1834:$M1834)=0),0,IF(SUMPRODUCT(MAX(($C$5:$C$2484=$C1834)*($D$5:$D$2484=$D1834)*($S$5:$S$2484=1)*IFERROR($N$5:$N$2484*1,0)))&gt;0,ROUND($H1834*($N1834/SUMPRODUCT(MAX(($C$5:$C$2484=$C1834)*($D$5:$D$2484=$D1834)*($S$5:$S$2484=1)*IFERROR($N$5:$N$2484*1,0)))),4),0)))</f>
        <v/>
      </c>
      <c r="P1834" s="48" t="inlineStr">
        <is>
          <t>Corse controllate annue / Corse programmate annue</t>
        </is>
      </c>
      <c r="Q1834" s="57">
        <f>IF($A1834="","",$A1834&amp;"|"&amp;$C1834)</f>
        <v/>
      </c>
      <c r="R1834" s="57">
        <f>IF($A1834="","",$A1834&amp;"|"&amp;$C1834&amp;"|"&amp;$D1834)</f>
        <v/>
      </c>
      <c r="S1834" s="57">
        <f>IF($A1834="","",IFERROR(INDEX(Offerte!$D$2:$D$81,MATCH($Q1834,Offerte!$L$2:$L$81,0)),0))</f>
        <v/>
      </c>
      <c r="T1834" s="57">
        <f>IF($A1834="","",IFERROR(INDEX(Offerte!$G$2:$G$81,MATCH($Q1834,Offerte!$L$2:$L$81,0)),"NO"))</f>
        <v/>
      </c>
    </row>
    <row r="1835">
      <c r="A1835" s="48">
        <f>IF(Offerte!$A61="","",Offerte!$A61)</f>
        <v/>
      </c>
      <c r="B1835" s="48">
        <f>IF(Offerte!$A61="","",Offerte!$B61)</f>
        <v/>
      </c>
      <c r="C1835" s="48">
        <f>IF(Offerte!$A61="","",Offerte!$C61)</f>
        <v/>
      </c>
      <c r="D1835" s="48" t="inlineStr">
        <is>
          <t>A.1.2</t>
        </is>
      </c>
      <c r="E1835" s="48" t="inlineStr">
        <is>
          <t>A</t>
        </is>
      </c>
      <c r="F1835" s="48" t="inlineStr">
        <is>
          <t>Q</t>
        </is>
      </c>
      <c r="G1835" s="48" t="inlineStr">
        <is>
          <t>higher</t>
        </is>
      </c>
      <c r="H1835" s="48" t="n">
        <v>4</v>
      </c>
      <c r="I1835" s="48" t="inlineStr">
        <is>
          <t>Numero aggiuntivo di passeggeri controllati</t>
        </is>
      </c>
      <c r="J1835" s="73" t="n"/>
      <c r="K1835" s="73" t="n"/>
      <c r="L1835" s="73" t="n"/>
      <c r="M1835" s="73" t="n"/>
      <c r="N1835" s="57">
        <f>IF($A1835="","",IFERROR(VALUE($J1835),0))</f>
        <v/>
      </c>
      <c r="O1835" s="57">
        <f>IF($A1835="",0,IF(OR($S1835&lt;&gt;1,COUNTA($J1835:$M1835)=0),0,IF(SUMPRODUCT(MAX(($C$5:$C$2484=$C1835)*($D$5:$D$2484=$D1835)*($S$5:$S$2484=1)*IFERROR($N$5:$N$2484*1,0)))&gt;0,ROUND($H1835*($N1835/SUMPRODUCT(MAX(($C$5:$C$2484=$C1835)*($D$5:$D$2484=$D1835)*($S$5:$S$2484=1)*IFERROR($N$5:$N$2484*1,0)))),4),0)))</f>
        <v/>
      </c>
      <c r="P1835" s="48" t="inlineStr">
        <is>
          <t>passeggeri/anno</t>
        </is>
      </c>
      <c r="Q1835" s="57">
        <f>IF($A1835="","",$A1835&amp;"|"&amp;$C1835)</f>
        <v/>
      </c>
      <c r="R1835" s="57">
        <f>IF($A1835="","",$A1835&amp;"|"&amp;$C1835&amp;"|"&amp;$D1835)</f>
        <v/>
      </c>
      <c r="S1835" s="57">
        <f>IF($A1835="","",IFERROR(INDEX(Offerte!$D$2:$D$81,MATCH($Q1835,Offerte!$L$2:$L$81,0)),0))</f>
        <v/>
      </c>
      <c r="T1835" s="57">
        <f>IF($A1835="","",IFERROR(INDEX(Offerte!$G$2:$G$81,MATCH($Q1835,Offerte!$L$2:$L$81,0)),"NO"))</f>
        <v/>
      </c>
    </row>
    <row r="1836">
      <c r="A1836" s="48">
        <f>IF(Offerte!$A61="","",Offerte!$A61)</f>
        <v/>
      </c>
      <c r="B1836" s="48">
        <f>IF(Offerte!$A61="","",Offerte!$B61)</f>
        <v/>
      </c>
      <c r="C1836" s="48">
        <f>IF(Offerte!$A61="","",Offerte!$C61)</f>
        <v/>
      </c>
      <c r="D1836" s="48" t="inlineStr">
        <is>
          <t>B.1.1</t>
        </is>
      </c>
      <c r="E1836" s="48" t="inlineStr">
        <is>
          <t>B</t>
        </is>
      </c>
      <c r="F1836" s="48" t="inlineStr">
        <is>
          <t>Q</t>
        </is>
      </c>
      <c r="G1836" s="48" t="inlineStr">
        <is>
          <t>higher</t>
        </is>
      </c>
      <c r="H1836" s="48" t="n">
        <v>3</v>
      </c>
      <c r="I1836" s="48" t="inlineStr">
        <is>
          <t>Incremento dei posti offerti nelle fasce di punta</t>
        </is>
      </c>
      <c r="J1836" s="73" t="n"/>
      <c r="K1836" s="73" t="n"/>
      <c r="L1836" s="73" t="n"/>
      <c r="M1836" s="73" t="n"/>
      <c r="N1836" s="57">
        <f>IF($A1836="","",IFERROR(VALUE($J1836),0))</f>
        <v/>
      </c>
      <c r="O1836" s="57">
        <f>IF($A1836="",0,IF(OR($S1836&lt;&gt;1,COUNTA($J1836:$M1836)=0),0,IF(SUMPRODUCT(MAX(($C$5:$C$2484=$C1836)*($D$5:$D$2484=$D1836)*($S$5:$S$2484=1)*IFERROR($N$5:$N$2484*1,0)))&gt;0,ROUND($H1836*($N1836/SUMPRODUCT(MAX(($C$5:$C$2484=$C1836)*($D$5:$D$2484=$D1836)*($S$5:$S$2484=1)*IFERROR($N$5:$N$2484*1,0)))),4),0)))</f>
        <v/>
      </c>
      <c r="P1836" s="48" t="inlineStr">
        <is>
          <t>posti*km</t>
        </is>
      </c>
      <c r="Q1836" s="57">
        <f>IF($A1836="","",$A1836&amp;"|"&amp;$C1836)</f>
        <v/>
      </c>
      <c r="R1836" s="57">
        <f>IF($A1836="","",$A1836&amp;"|"&amp;$C1836&amp;"|"&amp;$D1836)</f>
        <v/>
      </c>
      <c r="S1836" s="57">
        <f>IF($A1836="","",IFERROR(INDEX(Offerte!$D$2:$D$81,MATCH($Q1836,Offerte!$L$2:$L$81,0)),0))</f>
        <v/>
      </c>
      <c r="T1836" s="57">
        <f>IF($A1836="","",IFERROR(INDEX(Offerte!$G$2:$G$81,MATCH($Q1836,Offerte!$L$2:$L$81,0)),"NO"))</f>
        <v/>
      </c>
    </row>
    <row r="1837">
      <c r="A1837" s="48">
        <f>IF(Offerte!$A61="","",Offerte!$A61)</f>
        <v/>
      </c>
      <c r="B1837" s="48">
        <f>IF(Offerte!$A61="","",Offerte!$B61)</f>
        <v/>
      </c>
      <c r="C1837" s="48">
        <f>IF(Offerte!$A61="","",Offerte!$C61)</f>
        <v/>
      </c>
      <c r="D1837" s="48" t="inlineStr">
        <is>
          <t>B.2.1</t>
        </is>
      </c>
      <c r="E1837" s="48" t="inlineStr">
        <is>
          <t>B</t>
        </is>
      </c>
      <c r="F1837" s="48" t="inlineStr">
        <is>
          <t>Q</t>
        </is>
      </c>
      <c r="G1837" s="48" t="inlineStr">
        <is>
          <t>higher</t>
        </is>
      </c>
      <c r="H1837" s="48" t="n">
        <v>4</v>
      </c>
      <c r="I1837" s="48" t="inlineStr">
        <is>
          <t>Corse aggiuntive nell'arco giornaliero base</t>
        </is>
      </c>
      <c r="J1837" s="73" t="n"/>
      <c r="K1837" s="73" t="n"/>
      <c r="L1837" s="73" t="n"/>
      <c r="M1837" s="73" t="n"/>
      <c r="N1837" s="57">
        <f>IF($A1837="","",IFERROR(VALUE($J1837),0))</f>
        <v/>
      </c>
      <c r="O1837" s="57">
        <f>IF($A1837="",0,IF(OR($S1837&lt;&gt;1,COUNTA($J1837:$M1837)=0),0,IF(SUMPRODUCT(MAX(($C$5:$C$2484=$C1837)*($D$5:$D$2484=$D1837)*($S$5:$S$2484=1)*IFERROR($N$5:$N$2484*1,0)))&gt;0,ROUND($H1837*($N1837/SUMPRODUCT(MAX(($C$5:$C$2484=$C1837)*($D$5:$D$2484=$D1837)*($S$5:$S$2484=1)*IFERROR($N$5:$N$2484*1,0)))),4),0)))</f>
        <v/>
      </c>
      <c r="P1837" s="48" t="inlineStr">
        <is>
          <t>corse</t>
        </is>
      </c>
      <c r="Q1837" s="57">
        <f>IF($A1837="","",$A1837&amp;"|"&amp;$C1837)</f>
        <v/>
      </c>
      <c r="R1837" s="57">
        <f>IF($A1837="","",$A1837&amp;"|"&amp;$C1837&amp;"|"&amp;$D1837)</f>
        <v/>
      </c>
      <c r="S1837" s="57">
        <f>IF($A1837="","",IFERROR(INDEX(Offerte!$D$2:$D$81,MATCH($Q1837,Offerte!$L$2:$L$81,0)),0))</f>
        <v/>
      </c>
      <c r="T1837" s="57">
        <f>IF($A1837="","",IFERROR(INDEX(Offerte!$G$2:$G$81,MATCH($Q1837,Offerte!$L$2:$L$81,0)),"NO"))</f>
        <v/>
      </c>
    </row>
    <row r="1838">
      <c r="A1838" s="48">
        <f>IF(Offerte!$A61="","",Offerte!$A61)</f>
        <v/>
      </c>
      <c r="B1838" s="48">
        <f>IF(Offerte!$A61="","",Offerte!$B61)</f>
        <v/>
      </c>
      <c r="C1838" s="48">
        <f>IF(Offerte!$A61="","",Offerte!$C61)</f>
        <v/>
      </c>
      <c r="D1838" s="48" t="inlineStr">
        <is>
          <t>B.3.1</t>
        </is>
      </c>
      <c r="E1838" s="48" t="inlineStr">
        <is>
          <t>B</t>
        </is>
      </c>
      <c r="F1838" s="48" t="inlineStr">
        <is>
          <t>Q</t>
        </is>
      </c>
      <c r="G1838" s="48" t="inlineStr">
        <is>
          <t>higher</t>
        </is>
      </c>
      <c r="H1838" s="48" t="n">
        <v>2</v>
      </c>
      <c r="I1838" s="48" t="inlineStr">
        <is>
          <t>Numero di corse aggiuntive per allungamento dell'arco di servizio giornaliero nelle fasce serali</t>
        </is>
      </c>
      <c r="J1838" s="73" t="n"/>
      <c r="K1838" s="73" t="n"/>
      <c r="L1838" s="73" t="n"/>
      <c r="M1838" s="73" t="n"/>
      <c r="N1838" s="57">
        <f>IF($A1838="","",IFERROR(VALUE($J1838),0))</f>
        <v/>
      </c>
      <c r="O1838" s="57">
        <f>IF($A1838="",0,IF(OR($S1838&lt;&gt;1,COUNTA($J1838:$M1838)=0),0,IF(SUMPRODUCT(MAX(($C$5:$C$2484=$C1838)*($D$5:$D$2484=$D1838)*($S$5:$S$2484=1)*IFERROR($N$5:$N$2484*1,0)))&gt;0,ROUND($H1838*($N1838/SUMPRODUCT(MAX(($C$5:$C$2484=$C1838)*($D$5:$D$2484=$D1838)*($S$5:$S$2484=1)*IFERROR($N$5:$N$2484*1,0)))),4),0)))</f>
        <v/>
      </c>
      <c r="P1838" s="48" t="inlineStr">
        <is>
          <t>corse</t>
        </is>
      </c>
      <c r="Q1838" s="57">
        <f>IF($A1838="","",$A1838&amp;"|"&amp;$C1838)</f>
        <v/>
      </c>
      <c r="R1838" s="57">
        <f>IF($A1838="","",$A1838&amp;"|"&amp;$C1838&amp;"|"&amp;$D1838)</f>
        <v/>
      </c>
      <c r="S1838" s="57">
        <f>IF($A1838="","",IFERROR(INDEX(Offerte!$D$2:$D$81,MATCH($Q1838,Offerte!$L$2:$L$81,0)),0))</f>
        <v/>
      </c>
      <c r="T1838" s="57">
        <f>IF($A1838="","",IFERROR(INDEX(Offerte!$G$2:$G$81,MATCH($Q1838,Offerte!$L$2:$L$81,0)),"NO"))</f>
        <v/>
      </c>
    </row>
    <row r="1839">
      <c r="A1839" s="48">
        <f>IF(Offerte!$A61="","",Offerte!$A61)</f>
        <v/>
      </c>
      <c r="B1839" s="48">
        <f>IF(Offerte!$A61="","",Offerte!$B61)</f>
        <v/>
      </c>
      <c r="C1839" s="48">
        <f>IF(Offerte!$A61="","",Offerte!$C61)</f>
        <v/>
      </c>
      <c r="D1839" s="48" t="inlineStr">
        <is>
          <t>B.4.1</t>
        </is>
      </c>
      <c r="E1839" s="48" t="inlineStr">
        <is>
          <t>B</t>
        </is>
      </c>
      <c r="F1839" s="48" t="inlineStr">
        <is>
          <t>Q</t>
        </is>
      </c>
      <c r="G1839" s="48" t="inlineStr">
        <is>
          <t>higher</t>
        </is>
      </c>
      <c r="H1839" s="48" t="n">
        <v>3</v>
      </c>
      <c r="I1839" s="48" t="inlineStr">
        <is>
          <t>Percorrenze aggiuntive offerte nel Programma d'esercizio delle prime due fasi attuative</t>
        </is>
      </c>
      <c r="J1839" s="73" t="n"/>
      <c r="K1839" s="73" t="n"/>
      <c r="L1839" s="73" t="n"/>
      <c r="M1839" s="73" t="n"/>
      <c r="N1839" s="57">
        <f>IF($A1839="","",IFERROR(VALUE($J1839),0))</f>
        <v/>
      </c>
      <c r="O1839" s="57">
        <f>IF($A1839="",0,IF(OR($S1839&lt;&gt;1,COUNTA($J1839:$M1839)=0),0,IF(SUMPRODUCT(MAX(($C$5:$C$2484=$C1839)*($D$5:$D$2484=$D1839)*($S$5:$S$2484=1)*IFERROR($N$5:$N$2484*1,0)))&gt;0,ROUND($H1839*($N1839/SUMPRODUCT(MAX(($C$5:$C$2484=$C1839)*($D$5:$D$2484=$D1839)*($S$5:$S$2484=1)*IFERROR($N$5:$N$2484*1,0)))),4),0)))</f>
        <v/>
      </c>
      <c r="P1839" s="48" t="inlineStr">
        <is>
          <t>vett*km</t>
        </is>
      </c>
      <c r="Q1839" s="57">
        <f>IF($A1839="","",$A1839&amp;"|"&amp;$C1839)</f>
        <v/>
      </c>
      <c r="R1839" s="57">
        <f>IF($A1839="","",$A1839&amp;"|"&amp;$C1839&amp;"|"&amp;$D1839)</f>
        <v/>
      </c>
      <c r="S1839" s="57">
        <f>IF($A1839="","",IFERROR(INDEX(Offerte!$D$2:$D$81,MATCH($Q1839,Offerte!$L$2:$L$81,0)),0))</f>
        <v/>
      </c>
      <c r="T1839" s="57">
        <f>IF($A1839="","",IFERROR(INDEX(Offerte!$G$2:$G$81,MATCH($Q1839,Offerte!$L$2:$L$81,0)),"NO"))</f>
        <v/>
      </c>
    </row>
    <row r="1840">
      <c r="A1840" s="48">
        <f>IF(Offerte!$A61="","",Offerte!$A61)</f>
        <v/>
      </c>
      <c r="B1840" s="48">
        <f>IF(Offerte!$A61="","",Offerte!$B61)</f>
        <v/>
      </c>
      <c r="C1840" s="48">
        <f>IF(Offerte!$A61="","",Offerte!$C61)</f>
        <v/>
      </c>
      <c r="D1840" s="48" t="inlineStr">
        <is>
          <t>B.5.1</t>
        </is>
      </c>
      <c r="E1840" s="48" t="inlineStr">
        <is>
          <t>B</t>
        </is>
      </c>
      <c r="F1840" s="48" t="inlineStr">
        <is>
          <t>D</t>
        </is>
      </c>
      <c r="G1840" s="48" t="inlineStr">
        <is>
          <t>discretionary</t>
        </is>
      </c>
      <c r="H1840" s="48" t="n">
        <v>2</v>
      </c>
      <c r="I1840" s="48" t="inlineStr">
        <is>
          <t>Efficacia del progetto di servizi complementari DRT</t>
        </is>
      </c>
      <c r="J1840" s="73" t="n"/>
      <c r="K1840" s="73" t="n"/>
      <c r="L1840" s="73" t="n"/>
      <c r="M1840" s="73" t="n"/>
      <c r="N1840" s="57">
        <f>IF($A1840="","",MAX(0,MIN(1,IFERROR(VALUE($M1840),0))))</f>
        <v/>
      </c>
      <c r="O1840" s="57">
        <f>IF($A1840="",0,IF(OR($S1840&lt;&gt;1,COUNTA($J1840:$M1840)=0),0,IF(SUMPRODUCT(MAX(($C$5:$C$2484=$C1840)*($D$5:$D$2484=$D1840)*($S$5:$S$2484=1)*IFERROR($N$5:$N$2484*1,0)))&gt;0,ROUND($H1840*($N1840/SUMPRODUCT(MAX(($C$5:$C$2484=$C1840)*($D$5:$D$2484=$D1840)*($S$5:$S$2484=1)*IFERROR($N$5:$N$2484*1,0)))),4),0)))</f>
        <v/>
      </c>
      <c r="P1840" s="48" t="inlineStr">
        <is>
          <t>coeff.</t>
        </is>
      </c>
      <c r="Q1840" s="57">
        <f>IF($A1840="","",$A1840&amp;"|"&amp;$C1840)</f>
        <v/>
      </c>
      <c r="R1840" s="57">
        <f>IF($A1840="","",$A1840&amp;"|"&amp;$C1840&amp;"|"&amp;$D1840)</f>
        <v/>
      </c>
      <c r="S1840" s="57">
        <f>IF($A1840="","",IFERROR(INDEX(Offerte!$D$2:$D$81,MATCH($Q1840,Offerte!$L$2:$L$81,0)),0))</f>
        <v/>
      </c>
      <c r="T1840" s="57">
        <f>IF($A1840="","",IFERROR(INDEX(Offerte!$G$2:$G$81,MATCH($Q1840,Offerte!$L$2:$L$81,0)),"NO"))</f>
        <v/>
      </c>
    </row>
    <row r="1841">
      <c r="A1841" s="48">
        <f>IF(Offerte!$A61="","",Offerte!$A61)</f>
        <v/>
      </c>
      <c r="B1841" s="48">
        <f>IF(Offerte!$A61="","",Offerte!$B61)</f>
        <v/>
      </c>
      <c r="C1841" s="48">
        <f>IF(Offerte!$A61="","",Offerte!$C61)</f>
        <v/>
      </c>
      <c r="D1841" s="48" t="inlineStr">
        <is>
          <t>C.1.1</t>
        </is>
      </c>
      <c r="E1841" s="48" t="inlineStr">
        <is>
          <t>C</t>
        </is>
      </c>
      <c r="F1841" s="48" t="inlineStr">
        <is>
          <t>Q</t>
        </is>
      </c>
      <c r="G1841" s="48" t="inlineStr">
        <is>
          <t>higher</t>
        </is>
      </c>
      <c r="H1841" s="48" t="n">
        <v>2</v>
      </c>
      <c r="I1841" s="48" t="inlineStr">
        <is>
          <t>Tasso di copertura del servizio con telecamere BSD</t>
        </is>
      </c>
      <c r="J1841" s="73" t="n"/>
      <c r="K1841" s="73" t="n"/>
      <c r="L1841" s="73" t="n"/>
      <c r="M1841" s="73" t="n"/>
      <c r="N1841" s="57">
        <f>IF($A1841="","",IFERROR(VALUE($K1841)/VALUE($L1841),IFERROR(VALUE($J1841),0)))</f>
        <v/>
      </c>
      <c r="O1841" s="57">
        <f>IF($A1841="",0,IF(OR($S1841&lt;&gt;1,COUNTA($J1841:$M1841)=0),0,IF(SUMPRODUCT(MAX(($C$5:$C$2484=$C1841)*($D$5:$D$2484=$D1841)*($S$5:$S$2484=1)*IFERROR($N$5:$N$2484*1,0)))&gt;0,ROUND($H1841*($N1841/SUMPRODUCT(MAX(($C$5:$C$2484=$C1841)*($D$5:$D$2484=$D1841)*($S$5:$S$2484=1)*IFERROR($N$5:$N$2484*1,0)))),4),0)))</f>
        <v/>
      </c>
      <c r="P1841" s="48" t="inlineStr">
        <is>
          <t>Autobus attrezzati con telecamere BSD / Autobus totali in offerta, incluse scorte</t>
        </is>
      </c>
      <c r="Q1841" s="57">
        <f>IF($A1841="","",$A1841&amp;"|"&amp;$C1841)</f>
        <v/>
      </c>
      <c r="R1841" s="57">
        <f>IF($A1841="","",$A1841&amp;"|"&amp;$C1841&amp;"|"&amp;$D1841)</f>
        <v/>
      </c>
      <c r="S1841" s="57">
        <f>IF($A1841="","",IFERROR(INDEX(Offerte!$D$2:$D$81,MATCH($Q1841,Offerte!$L$2:$L$81,0)),0))</f>
        <v/>
      </c>
      <c r="T1841" s="57">
        <f>IF($A1841="","",IFERROR(INDEX(Offerte!$G$2:$G$81,MATCH($Q1841,Offerte!$L$2:$L$81,0)),"NO"))</f>
        <v/>
      </c>
    </row>
    <row r="1842">
      <c r="A1842" s="48">
        <f>IF(Offerte!$A61="","",Offerte!$A61)</f>
        <v/>
      </c>
      <c r="B1842" s="48">
        <f>IF(Offerte!$A61="","",Offerte!$B61)</f>
        <v/>
      </c>
      <c r="C1842" s="48">
        <f>IF(Offerte!$A61="","",Offerte!$C61)</f>
        <v/>
      </c>
      <c r="D1842" s="48" t="inlineStr">
        <is>
          <t>C.1.2</t>
        </is>
      </c>
      <c r="E1842" s="48" t="inlineStr">
        <is>
          <t>C</t>
        </is>
      </c>
      <c r="F1842" s="48" t="inlineStr">
        <is>
          <t>Q</t>
        </is>
      </c>
      <c r="G1842" s="48" t="inlineStr">
        <is>
          <t>higher</t>
        </is>
      </c>
      <c r="H1842" s="48" t="n">
        <v>2</v>
      </c>
      <c r="I1842" s="48" t="inlineStr">
        <is>
          <t>Tasso di copertura del servizio con telecamere ADAS</t>
        </is>
      </c>
      <c r="J1842" s="73" t="n"/>
      <c r="K1842" s="73" t="n"/>
      <c r="L1842" s="73" t="n"/>
      <c r="M1842" s="73" t="n"/>
      <c r="N1842" s="57">
        <f>IF($A1842="","",IFERROR(VALUE($K1842)/VALUE($L1842),IFERROR(VALUE($J1842),0)))</f>
        <v/>
      </c>
      <c r="O1842" s="57">
        <f>IF($A1842="",0,IF(OR($S1842&lt;&gt;1,COUNTA($J1842:$M1842)=0),0,IF(SUMPRODUCT(MAX(($C$5:$C$2484=$C1842)*($D$5:$D$2484=$D1842)*($S$5:$S$2484=1)*IFERROR($N$5:$N$2484*1,0)))&gt;0,ROUND($H1842*($N1842/SUMPRODUCT(MAX(($C$5:$C$2484=$C1842)*($D$5:$D$2484=$D1842)*($S$5:$S$2484=1)*IFERROR($N$5:$N$2484*1,0)))),4),0)))</f>
        <v/>
      </c>
      <c r="P1842" s="48" t="inlineStr">
        <is>
          <t>Autobus attrezzati con telecamere ADAS / Autobus totali in offerta, incluse scorte</t>
        </is>
      </c>
      <c r="Q1842" s="57">
        <f>IF($A1842="","",$A1842&amp;"|"&amp;$C1842)</f>
        <v/>
      </c>
      <c r="R1842" s="57">
        <f>IF($A1842="","",$A1842&amp;"|"&amp;$C1842&amp;"|"&amp;$D1842)</f>
        <v/>
      </c>
      <c r="S1842" s="57">
        <f>IF($A1842="","",IFERROR(INDEX(Offerte!$D$2:$D$81,MATCH($Q1842,Offerte!$L$2:$L$81,0)),0))</f>
        <v/>
      </c>
      <c r="T1842" s="57">
        <f>IF($A1842="","",IFERROR(INDEX(Offerte!$G$2:$G$81,MATCH($Q1842,Offerte!$L$2:$L$81,0)),"NO"))</f>
        <v/>
      </c>
    </row>
    <row r="1843">
      <c r="A1843" s="48">
        <f>IF(Offerte!$A61="","",Offerte!$A61)</f>
        <v/>
      </c>
      <c r="B1843" s="48">
        <f>IF(Offerte!$A61="","",Offerte!$B61)</f>
        <v/>
      </c>
      <c r="C1843" s="48">
        <f>IF(Offerte!$A61="","",Offerte!$C61)</f>
        <v/>
      </c>
      <c r="D1843" s="48" t="inlineStr">
        <is>
          <t>C.2.1</t>
        </is>
      </c>
      <c r="E1843" s="48" t="inlineStr">
        <is>
          <t>C</t>
        </is>
      </c>
      <c r="F1843" s="48" t="inlineStr">
        <is>
          <t>Q</t>
        </is>
      </c>
      <c r="G1843" s="48" t="inlineStr">
        <is>
          <t>higher</t>
        </is>
      </c>
      <c r="H1843" s="48" t="n">
        <v>3</v>
      </c>
      <c r="I1843" s="48" t="inlineStr">
        <is>
          <t>Tasso di copertura del servizio con telecamere di bordo di videosorveglianza</t>
        </is>
      </c>
      <c r="J1843" s="73" t="n"/>
      <c r="K1843" s="73" t="n"/>
      <c r="L1843" s="73" t="n"/>
      <c r="M1843" s="73" t="n"/>
      <c r="N1843" s="57">
        <f>IF($A1843="","",IFERROR(VALUE($K1843)/VALUE($L1843),IFERROR(VALUE($J1843),0)))</f>
        <v/>
      </c>
      <c r="O1843" s="57">
        <f>IF($A1843="",0,IF(OR($S1843&lt;&gt;1,COUNTA($J1843:$M1843)=0),0,IF(SUMPRODUCT(MAX(($C$5:$C$2484=$C1843)*($D$5:$D$2484=$D1843)*($S$5:$S$2484=1)*IFERROR($N$5:$N$2484*1,0)))&gt;0,ROUND($H1843*($N1843/SUMPRODUCT(MAX(($C$5:$C$2484=$C1843)*($D$5:$D$2484=$D1843)*($S$5:$S$2484=1)*IFERROR($N$5:$N$2484*1,0)))),4),0)))</f>
        <v/>
      </c>
      <c r="P1843" s="48" t="inlineStr">
        <is>
          <t>Autobus attrezzati con videosorveglianza / Autobus totali in offerta, incluse scorte</t>
        </is>
      </c>
      <c r="Q1843" s="57">
        <f>IF($A1843="","",$A1843&amp;"|"&amp;$C1843)</f>
        <v/>
      </c>
      <c r="R1843" s="57">
        <f>IF($A1843="","",$A1843&amp;"|"&amp;$C1843&amp;"|"&amp;$D1843)</f>
        <v/>
      </c>
      <c r="S1843" s="57">
        <f>IF($A1843="","",IFERROR(INDEX(Offerte!$D$2:$D$81,MATCH($Q1843,Offerte!$L$2:$L$81,0)),0))</f>
        <v/>
      </c>
      <c r="T1843" s="57">
        <f>IF($A1843="","",IFERROR(INDEX(Offerte!$G$2:$G$81,MATCH($Q1843,Offerte!$L$2:$L$81,0)),"NO"))</f>
        <v/>
      </c>
    </row>
    <row r="1844">
      <c r="A1844" s="48">
        <f>IF(Offerte!$A61="","",Offerte!$A61)</f>
        <v/>
      </c>
      <c r="B1844" s="48">
        <f>IF(Offerte!$A61="","",Offerte!$B61)</f>
        <v/>
      </c>
      <c r="C1844" s="48">
        <f>IF(Offerte!$A61="","",Offerte!$C61)</f>
        <v/>
      </c>
      <c r="D1844" s="48" t="inlineStr">
        <is>
          <t>C.2.2</t>
        </is>
      </c>
      <c r="E1844" s="48" t="inlineStr">
        <is>
          <t>C</t>
        </is>
      </c>
      <c r="F1844" s="48" t="inlineStr">
        <is>
          <t>T</t>
        </is>
      </c>
      <c r="G1844" s="48" t="inlineStr">
        <is>
          <t>tabular</t>
        </is>
      </c>
      <c r="H1844" s="48" t="n">
        <v>1</v>
      </c>
      <c r="I1844" s="48" t="inlineStr">
        <is>
          <t>Software video/audio analisi per situazioni di pericolo</t>
        </is>
      </c>
      <c r="J1844" s="73" t="n"/>
      <c r="K1844" s="73" t="n"/>
      <c r="L1844" s="73" t="n"/>
      <c r="M1844" s="73" t="n"/>
      <c r="N1844" s="57">
        <f>IF($A1844="","",IF(IFERROR(VALUE($M1844),0)=1,1,0))</f>
        <v/>
      </c>
      <c r="O1844" s="57">
        <f>IF($A1844="",0,IF(OR($S1844&lt;&gt;1,COUNTA($J1844:$M1844)=0),0,IF($N1844=1,$H1844,0)))</f>
        <v/>
      </c>
      <c r="P1844" s="48" t="inlineStr">
        <is>
          <t>sì/no</t>
        </is>
      </c>
      <c r="Q1844" s="57">
        <f>IF($A1844="","",$A1844&amp;"|"&amp;$C1844)</f>
        <v/>
      </c>
      <c r="R1844" s="57">
        <f>IF($A1844="","",$A1844&amp;"|"&amp;$C1844&amp;"|"&amp;$D1844)</f>
        <v/>
      </c>
      <c r="S1844" s="57">
        <f>IF($A1844="","",IFERROR(INDEX(Offerte!$D$2:$D$81,MATCH($Q1844,Offerte!$L$2:$L$81,0)),0))</f>
        <v/>
      </c>
      <c r="T1844" s="57">
        <f>IF($A1844="","",IFERROR(INDEX(Offerte!$G$2:$G$81,MATCH($Q1844,Offerte!$L$2:$L$81,0)),"NO"))</f>
        <v/>
      </c>
    </row>
    <row r="1845">
      <c r="A1845" s="48">
        <f>IF(Offerte!$A61="","",Offerte!$A61)</f>
        <v/>
      </c>
      <c r="B1845" s="48">
        <f>IF(Offerte!$A61="","",Offerte!$B61)</f>
        <v/>
      </c>
      <c r="C1845" s="48">
        <f>IF(Offerte!$A61="","",Offerte!$C61)</f>
        <v/>
      </c>
      <c r="D1845" s="48" t="inlineStr">
        <is>
          <t>C.2.3</t>
        </is>
      </c>
      <c r="E1845" s="48" t="inlineStr">
        <is>
          <t>C</t>
        </is>
      </c>
      <c r="F1845" s="48" t="inlineStr">
        <is>
          <t>T</t>
        </is>
      </c>
      <c r="G1845" s="48" t="inlineStr">
        <is>
          <t>tabular</t>
        </is>
      </c>
      <c r="H1845" s="48" t="n">
        <v>1</v>
      </c>
      <c r="I1845" s="48" t="inlineStr">
        <is>
          <t>Collegamento con centrale qualificata di pronto intervento</t>
        </is>
      </c>
      <c r="J1845" s="73" t="n"/>
      <c r="K1845" s="73" t="n"/>
      <c r="L1845" s="73" t="n"/>
      <c r="M1845" s="73" t="n"/>
      <c r="N1845" s="57">
        <f>IF($A1845="","",IF(IFERROR(VALUE($M1845),0)=1,1,0))</f>
        <v/>
      </c>
      <c r="O1845" s="57">
        <f>IF($A1845="",0,IF(OR($S1845&lt;&gt;1,COUNTA($J1845:$M1845)=0),0,IF($N1845=1,$H1845,0)))</f>
        <v/>
      </c>
      <c r="P1845" s="48" t="inlineStr">
        <is>
          <t>sì/no</t>
        </is>
      </c>
      <c r="Q1845" s="57">
        <f>IF($A1845="","",$A1845&amp;"|"&amp;$C1845)</f>
        <v/>
      </c>
      <c r="R1845" s="57">
        <f>IF($A1845="","",$A1845&amp;"|"&amp;$C1845&amp;"|"&amp;$D1845)</f>
        <v/>
      </c>
      <c r="S1845" s="57">
        <f>IF($A1845="","",IFERROR(INDEX(Offerte!$D$2:$D$81,MATCH($Q1845,Offerte!$L$2:$L$81,0)),0))</f>
        <v/>
      </c>
      <c r="T1845" s="57">
        <f>IF($A1845="","",IFERROR(INDEX(Offerte!$G$2:$G$81,MATCH($Q1845,Offerte!$L$2:$L$81,0)),"NO"))</f>
        <v/>
      </c>
    </row>
    <row r="1846">
      <c r="A1846" s="48">
        <f>IF(Offerte!$A61="","",Offerte!$A61)</f>
        <v/>
      </c>
      <c r="B1846" s="48">
        <f>IF(Offerte!$A61="","",Offerte!$B61)</f>
        <v/>
      </c>
      <c r="C1846" s="48">
        <f>IF(Offerte!$A61="","",Offerte!$C61)</f>
        <v/>
      </c>
      <c r="D1846" s="48" t="inlineStr">
        <is>
          <t>C.2.4</t>
        </is>
      </c>
      <c r="E1846" s="48" t="inlineStr">
        <is>
          <t>C</t>
        </is>
      </c>
      <c r="F1846" s="48" t="inlineStr">
        <is>
          <t>Q</t>
        </is>
      </c>
      <c r="G1846" s="48" t="inlineStr">
        <is>
          <t>higher</t>
        </is>
      </c>
      <c r="H1846" s="48" t="n">
        <v>1</v>
      </c>
      <c r="I1846" s="48" t="inlineStr">
        <is>
          <t>Tasso di copertura del servizio con dispositivi per la chiamata di emergenza del conducente</t>
        </is>
      </c>
      <c r="J1846" s="73" t="n"/>
      <c r="K1846" s="73" t="n"/>
      <c r="L1846" s="73" t="n"/>
      <c r="M1846" s="73" t="n"/>
      <c r="N1846" s="57">
        <f>IF($A1846="","",IFERROR(VALUE($K1846)/VALUE($L1846),IFERROR(VALUE($J1846),0)))</f>
        <v/>
      </c>
      <c r="O1846" s="57">
        <f>IF($A1846="",0,IF(OR($S1846&lt;&gt;1,COUNTA($J1846:$M1846)=0),0,IF(SUMPRODUCT(MAX(($C$5:$C$2484=$C1846)*($D$5:$D$2484=$D1846)*($S$5:$S$2484=1)*IFERROR($N$5:$N$2484*1,0)))&gt;0,ROUND($H1846*($N1846/SUMPRODUCT(MAX(($C$5:$C$2484=$C1846)*($D$5:$D$2484=$D1846)*($S$5:$S$2484=1)*IFERROR($N$5:$N$2484*1,0)))),4),0)))</f>
        <v/>
      </c>
      <c r="P1846" s="48" t="inlineStr">
        <is>
          <t>Autobus attrezzati con chiamata di emergenza / Autobus totali in offerta, incluse scorte</t>
        </is>
      </c>
      <c r="Q1846" s="57">
        <f>IF($A1846="","",$A1846&amp;"|"&amp;$C1846)</f>
        <v/>
      </c>
      <c r="R1846" s="57">
        <f>IF($A1846="","",$A1846&amp;"|"&amp;$C1846&amp;"|"&amp;$D1846)</f>
        <v/>
      </c>
      <c r="S1846" s="57">
        <f>IF($A1846="","",IFERROR(INDEX(Offerte!$D$2:$D$81,MATCH($Q1846,Offerte!$L$2:$L$81,0)),0))</f>
        <v/>
      </c>
      <c r="T1846" s="57">
        <f>IF($A1846="","",IFERROR(INDEX(Offerte!$G$2:$G$81,MATCH($Q1846,Offerte!$L$2:$L$81,0)),"NO"))</f>
        <v/>
      </c>
    </row>
    <row r="1847">
      <c r="A1847" s="48">
        <f>IF(Offerte!$A61="","",Offerte!$A61)</f>
        <v/>
      </c>
      <c r="B1847" s="48">
        <f>IF(Offerte!$A61="","",Offerte!$B61)</f>
        <v/>
      </c>
      <c r="C1847" s="48">
        <f>IF(Offerte!$A61="","",Offerte!$C61)</f>
        <v/>
      </c>
      <c r="D1847" s="48" t="inlineStr">
        <is>
          <t>C.3.1</t>
        </is>
      </c>
      <c r="E1847" s="48" t="inlineStr">
        <is>
          <t>C</t>
        </is>
      </c>
      <c r="F1847" s="48" t="inlineStr">
        <is>
          <t>Q</t>
        </is>
      </c>
      <c r="G1847" s="48" t="inlineStr">
        <is>
          <t>higher</t>
        </is>
      </c>
      <c r="H1847" s="48" t="n">
        <v>2</v>
      </c>
      <c r="I1847" s="48" t="inlineStr">
        <is>
          <t>Tasso di copertura del servizio con dispositivi di informazione dinamica a bordo mezzo</t>
        </is>
      </c>
      <c r="J1847" s="73" t="n"/>
      <c r="K1847" s="73" t="n"/>
      <c r="L1847" s="73" t="n"/>
      <c r="M1847" s="73" t="n"/>
      <c r="N1847" s="57">
        <f>IF($A1847="","",IFERROR(VALUE($K1847)/VALUE($L1847),IFERROR(VALUE($J1847),0)))</f>
        <v/>
      </c>
      <c r="O1847" s="57">
        <f>IF($A1847="",0,IF(OR($S1847&lt;&gt;1,COUNTA($J1847:$M1847)=0),0,IF(SUMPRODUCT(MAX(($C$5:$C$2484=$C1847)*($D$5:$D$2484=$D1847)*($S$5:$S$2484=1)*IFERROR($N$5:$N$2484*1,0)))&gt;0,ROUND($H1847*($N1847/SUMPRODUCT(MAX(($C$5:$C$2484=$C1847)*($D$5:$D$2484=$D1847)*($S$5:$S$2484=1)*IFERROR($N$5:$N$2484*1,0)))),4),0)))</f>
        <v/>
      </c>
      <c r="P1847" s="48" t="inlineStr">
        <is>
          <t>Autobus con monitor e indicatori vocali / Autobus totali in offerta, incluse scorte</t>
        </is>
      </c>
      <c r="Q1847" s="57">
        <f>IF($A1847="","",$A1847&amp;"|"&amp;$C1847)</f>
        <v/>
      </c>
      <c r="R1847" s="57">
        <f>IF($A1847="","",$A1847&amp;"|"&amp;$C1847&amp;"|"&amp;$D1847)</f>
        <v/>
      </c>
      <c r="S1847" s="57">
        <f>IF($A1847="","",IFERROR(INDEX(Offerte!$D$2:$D$81,MATCH($Q1847,Offerte!$L$2:$L$81,0)),0))</f>
        <v/>
      </c>
      <c r="T1847" s="57">
        <f>IF($A1847="","",IFERROR(INDEX(Offerte!$G$2:$G$81,MATCH($Q1847,Offerte!$L$2:$L$81,0)),"NO"))</f>
        <v/>
      </c>
    </row>
    <row r="1848">
      <c r="A1848" s="48">
        <f>IF(Offerte!$A61="","",Offerte!$A61)</f>
        <v/>
      </c>
      <c r="B1848" s="48">
        <f>IF(Offerte!$A61="","",Offerte!$B61)</f>
        <v/>
      </c>
      <c r="C1848" s="48">
        <f>IF(Offerte!$A61="","",Offerte!$C61)</f>
        <v/>
      </c>
      <c r="D1848" s="48" t="inlineStr">
        <is>
          <t>C.3.2</t>
        </is>
      </c>
      <c r="E1848" s="48" t="inlineStr">
        <is>
          <t>C</t>
        </is>
      </c>
      <c r="F1848" s="48" t="inlineStr">
        <is>
          <t>T</t>
        </is>
      </c>
      <c r="G1848" s="48" t="inlineStr">
        <is>
          <t>tabular</t>
        </is>
      </c>
      <c r="H1848" s="48" t="n">
        <v>2</v>
      </c>
      <c r="I1848" s="48" t="inlineStr">
        <is>
          <t>Informazioni a bordo su coincidenze ai nodi</t>
        </is>
      </c>
      <c r="J1848" s="73" t="n"/>
      <c r="K1848" s="73" t="n"/>
      <c r="L1848" s="73" t="n"/>
      <c r="M1848" s="73" t="n"/>
      <c r="N1848" s="57">
        <f>IF($A1848="","",IF(IFERROR(VALUE($M1848),0)=1,1,0))</f>
        <v/>
      </c>
      <c r="O1848" s="57">
        <f>IF($A1848="",0,IF(OR($S1848&lt;&gt;1,COUNTA($J1848:$M1848)=0),0,IF(AND($N1848=1,IFERROR(SUMIFS($N$5:$N$2484,$Q$5:$Q$2484,$Q1848,$D$5:$D$2484,"C.3.1"),0)&gt;=0.5),$H1848,0)))</f>
        <v/>
      </c>
      <c r="P1848" s="48" t="inlineStr">
        <is>
          <t>Dipende da C.3.1 &gt;= 0.5</t>
        </is>
      </c>
      <c r="Q1848" s="57">
        <f>IF($A1848="","",$A1848&amp;"|"&amp;$C1848)</f>
        <v/>
      </c>
      <c r="R1848" s="57">
        <f>IF($A1848="","",$A1848&amp;"|"&amp;$C1848&amp;"|"&amp;$D1848)</f>
        <v/>
      </c>
      <c r="S1848" s="57">
        <f>IF($A1848="","",IFERROR(INDEX(Offerte!$D$2:$D$81,MATCH($Q1848,Offerte!$L$2:$L$81,0)),0))</f>
        <v/>
      </c>
      <c r="T1848" s="57">
        <f>IF($A1848="","",IFERROR(INDEX(Offerte!$G$2:$G$81,MATCH($Q1848,Offerte!$L$2:$L$81,0)),"NO"))</f>
        <v/>
      </c>
    </row>
    <row r="1849">
      <c r="A1849" s="48">
        <f>IF(Offerte!$A61="","",Offerte!$A61)</f>
        <v/>
      </c>
      <c r="B1849" s="48">
        <f>IF(Offerte!$A61="","",Offerte!$B61)</f>
        <v/>
      </c>
      <c r="C1849" s="48">
        <f>IF(Offerte!$A61="","",Offerte!$C61)</f>
        <v/>
      </c>
      <c r="D1849" s="48" t="inlineStr">
        <is>
          <t>D.1.1</t>
        </is>
      </c>
      <c r="E1849" s="48" t="inlineStr">
        <is>
          <t>D</t>
        </is>
      </c>
      <c r="F1849" s="48" t="inlineStr">
        <is>
          <t>Q</t>
        </is>
      </c>
      <c r="G1849" s="48" t="inlineStr">
        <is>
          <t>higher</t>
        </is>
      </c>
      <c r="H1849" s="48" t="n">
        <v>3</v>
      </c>
      <c r="I1849" s="48" t="inlineStr">
        <is>
          <t>Installazione di pensiline</t>
        </is>
      </c>
      <c r="J1849" s="73" t="n"/>
      <c r="K1849" s="73" t="n"/>
      <c r="L1849" s="73" t="n"/>
      <c r="M1849" s="73" t="n"/>
      <c r="N1849" s="57">
        <f>IF($A1849="","",IFERROR(VALUE($J1849),0))</f>
        <v/>
      </c>
      <c r="O1849" s="57">
        <f>IF($A1849="",0,IF(OR($S1849&lt;&gt;1,COUNTA($J1849:$M1849)=0),0,IF(SUMPRODUCT(MAX(($C$5:$C$2484=$C1849)*($D$5:$D$2484=$D1849)*($S$5:$S$2484=1)*IFERROR($N$5:$N$2484*1,0)))&gt;0,ROUND($H1849*($N1849/SUMPRODUCT(MAX(($C$5:$C$2484=$C1849)*($D$5:$D$2484=$D1849)*($S$5:$S$2484=1)*IFERROR($N$5:$N$2484*1,0)))),4),0)))</f>
        <v/>
      </c>
      <c r="P1849" s="48" t="inlineStr">
        <is>
          <t>fermate</t>
        </is>
      </c>
      <c r="Q1849" s="57">
        <f>IF($A1849="","",$A1849&amp;"|"&amp;$C1849)</f>
        <v/>
      </c>
      <c r="R1849" s="57">
        <f>IF($A1849="","",$A1849&amp;"|"&amp;$C1849&amp;"|"&amp;$D1849)</f>
        <v/>
      </c>
      <c r="S1849" s="57">
        <f>IF($A1849="","",IFERROR(INDEX(Offerte!$D$2:$D$81,MATCH($Q1849,Offerte!$L$2:$L$81,0)),0))</f>
        <v/>
      </c>
      <c r="T1849" s="57">
        <f>IF($A1849="","",IFERROR(INDEX(Offerte!$G$2:$G$81,MATCH($Q1849,Offerte!$L$2:$L$81,0)),"NO"))</f>
        <v/>
      </c>
    </row>
    <row r="1850">
      <c r="A1850" s="48">
        <f>IF(Offerte!$A61="","",Offerte!$A61)</f>
        <v/>
      </c>
      <c r="B1850" s="48">
        <f>IF(Offerte!$A61="","",Offerte!$B61)</f>
        <v/>
      </c>
      <c r="C1850" s="48">
        <f>IF(Offerte!$A61="","",Offerte!$C61)</f>
        <v/>
      </c>
      <c r="D1850" s="48" t="inlineStr">
        <is>
          <t>D.1.2</t>
        </is>
      </c>
      <c r="E1850" s="48" t="inlineStr">
        <is>
          <t>D</t>
        </is>
      </c>
      <c r="F1850" s="48" t="inlineStr">
        <is>
          <t>Q</t>
        </is>
      </c>
      <c r="G1850" s="48" t="inlineStr">
        <is>
          <t>higher</t>
        </is>
      </c>
      <c r="H1850" s="48" t="n">
        <v>3</v>
      </c>
      <c r="I1850" s="48" t="inlineStr">
        <is>
          <t>Installazione di paline di fermata conformi alla DGR 581/2023</t>
        </is>
      </c>
      <c r="J1850" s="73" t="n"/>
      <c r="K1850" s="73" t="n"/>
      <c r="L1850" s="73" t="n"/>
      <c r="M1850" s="73" t="n"/>
      <c r="N1850" s="57">
        <f>IF($A1850="","",IFERROR(VALUE($J1850),0))</f>
        <v/>
      </c>
      <c r="O1850" s="57">
        <f>IF($A1850="",0,IF(OR($S1850&lt;&gt;1,COUNTA($J1850:$M1850)=0),0,IF(SUMPRODUCT(MAX(($C$5:$C$2484=$C1850)*($D$5:$D$2484=$D1850)*($S$5:$S$2484=1)*IFERROR($N$5:$N$2484*1,0)))&gt;0,ROUND($H1850*($N1850/SUMPRODUCT(MAX(($C$5:$C$2484=$C1850)*($D$5:$D$2484=$D1850)*($S$5:$S$2484=1)*IFERROR($N$5:$N$2484*1,0)))),4),0)))</f>
        <v/>
      </c>
      <c r="P1850" s="48" t="inlineStr">
        <is>
          <t>fermate</t>
        </is>
      </c>
      <c r="Q1850" s="57">
        <f>IF($A1850="","",$A1850&amp;"|"&amp;$C1850)</f>
        <v/>
      </c>
      <c r="R1850" s="57">
        <f>IF($A1850="","",$A1850&amp;"|"&amp;$C1850&amp;"|"&amp;$D1850)</f>
        <v/>
      </c>
      <c r="S1850" s="57">
        <f>IF($A1850="","",IFERROR(INDEX(Offerte!$D$2:$D$81,MATCH($Q1850,Offerte!$L$2:$L$81,0)),0))</f>
        <v/>
      </c>
      <c r="T1850" s="57">
        <f>IF($A1850="","",IFERROR(INDEX(Offerte!$G$2:$G$81,MATCH($Q1850,Offerte!$L$2:$L$81,0)),"NO"))</f>
        <v/>
      </c>
    </row>
    <row r="1851">
      <c r="A1851" s="48">
        <f>IF(Offerte!$A61="","",Offerte!$A61)</f>
        <v/>
      </c>
      <c r="B1851" s="48">
        <f>IF(Offerte!$A61="","",Offerte!$B61)</f>
        <v/>
      </c>
      <c r="C1851" s="48">
        <f>IF(Offerte!$A61="","",Offerte!$C61)</f>
        <v/>
      </c>
      <c r="D1851" s="48" t="inlineStr">
        <is>
          <t>D.1.3</t>
        </is>
      </c>
      <c r="E1851" s="48" t="inlineStr">
        <is>
          <t>D</t>
        </is>
      </c>
      <c r="F1851" s="48" t="inlineStr">
        <is>
          <t>Q</t>
        </is>
      </c>
      <c r="G1851" s="48" t="inlineStr">
        <is>
          <t>higher</t>
        </is>
      </c>
      <c r="H1851" s="48" t="n">
        <v>2</v>
      </c>
      <c r="I1851" s="48" t="inlineStr">
        <is>
          <t>Display informativi connessi alle fermate</t>
        </is>
      </c>
      <c r="J1851" s="73" t="n"/>
      <c r="K1851" s="73" t="n"/>
      <c r="L1851" s="73" t="n"/>
      <c r="M1851" s="73" t="n"/>
      <c r="N1851" s="57">
        <f>IF($A1851="","",IFERROR(VALUE($J1851),0))</f>
        <v/>
      </c>
      <c r="O1851" s="57">
        <f>IF($A1851="",0,IF(OR($S1851&lt;&gt;1,COUNTA($J1851:$M1851)=0),0,IF(SUMPRODUCT(MAX(($C$5:$C$2484=$C1851)*($D$5:$D$2484=$D1851)*($S$5:$S$2484=1)*IFERROR($N$5:$N$2484*1,0)))&gt;0,ROUND($H1851*($N1851/SUMPRODUCT(MAX(($C$5:$C$2484=$C1851)*($D$5:$D$2484=$D1851)*($S$5:$S$2484=1)*IFERROR($N$5:$N$2484*1,0)))),4),0)))</f>
        <v/>
      </c>
      <c r="P1851" s="48" t="inlineStr">
        <is>
          <t>fermate</t>
        </is>
      </c>
      <c r="Q1851" s="57">
        <f>IF($A1851="","",$A1851&amp;"|"&amp;$C1851)</f>
        <v/>
      </c>
      <c r="R1851" s="57">
        <f>IF($A1851="","",$A1851&amp;"|"&amp;$C1851&amp;"|"&amp;$D1851)</f>
        <v/>
      </c>
      <c r="S1851" s="57">
        <f>IF($A1851="","",IFERROR(INDEX(Offerte!$D$2:$D$81,MATCH($Q1851,Offerte!$L$2:$L$81,0)),0))</f>
        <v/>
      </c>
      <c r="T1851" s="57">
        <f>IF($A1851="","",IFERROR(INDEX(Offerte!$G$2:$G$81,MATCH($Q1851,Offerte!$L$2:$L$81,0)),"NO"))</f>
        <v/>
      </c>
    </row>
    <row r="1852">
      <c r="A1852" s="48">
        <f>IF(Offerte!$A61="","",Offerte!$A61)</f>
        <v/>
      </c>
      <c r="B1852" s="48">
        <f>IF(Offerte!$A61="","",Offerte!$B61)</f>
        <v/>
      </c>
      <c r="C1852" s="48">
        <f>IF(Offerte!$A61="","",Offerte!$C61)</f>
        <v/>
      </c>
      <c r="D1852" s="48" t="inlineStr">
        <is>
          <t>D.2.1</t>
        </is>
      </c>
      <c r="E1852" s="48" t="inlineStr">
        <is>
          <t>D</t>
        </is>
      </c>
      <c r="F1852" s="48" t="inlineStr">
        <is>
          <t>Q</t>
        </is>
      </c>
      <c r="G1852" s="48" t="inlineStr">
        <is>
          <t>higher</t>
        </is>
      </c>
      <c r="H1852" s="48" t="n">
        <v>2</v>
      </c>
      <c r="I1852" s="48" t="inlineStr">
        <is>
          <t>Segnali tattili Loges-Vet-Evolution</t>
        </is>
      </c>
      <c r="J1852" s="73" t="n"/>
      <c r="K1852" s="73" t="n"/>
      <c r="L1852" s="73" t="n"/>
      <c r="M1852" s="73" t="n"/>
      <c r="N1852" s="57">
        <f>IF($A1852="","",IFERROR(VALUE($J1852),0))</f>
        <v/>
      </c>
      <c r="O1852" s="57">
        <f>IF($A1852="",0,IF(OR($S1852&lt;&gt;1,COUNTA($J1852:$M1852)=0),0,IF(SUMPRODUCT(MAX(($C$5:$C$2484=$C1852)*($D$5:$D$2484=$D1852)*($S$5:$S$2484=1)*IFERROR($N$5:$N$2484*1,0)))&gt;0,ROUND($H1852*($N1852/SUMPRODUCT(MAX(($C$5:$C$2484=$C1852)*($D$5:$D$2484=$D1852)*($S$5:$S$2484=1)*IFERROR($N$5:$N$2484*1,0)))),4),0)))</f>
        <v/>
      </c>
      <c r="P1852" s="48" t="inlineStr">
        <is>
          <t>fermate</t>
        </is>
      </c>
      <c r="Q1852" s="57">
        <f>IF($A1852="","",$A1852&amp;"|"&amp;$C1852)</f>
        <v/>
      </c>
      <c r="R1852" s="57">
        <f>IF($A1852="","",$A1852&amp;"|"&amp;$C1852&amp;"|"&amp;$D1852)</f>
        <v/>
      </c>
      <c r="S1852" s="57">
        <f>IF($A1852="","",IFERROR(INDEX(Offerte!$D$2:$D$81,MATCH($Q1852,Offerte!$L$2:$L$81,0)),0))</f>
        <v/>
      </c>
      <c r="T1852" s="57">
        <f>IF($A1852="","",IFERROR(INDEX(Offerte!$G$2:$G$81,MATCH($Q1852,Offerte!$L$2:$L$81,0)),"NO"))</f>
        <v/>
      </c>
    </row>
    <row r="1853">
      <c r="A1853" s="48">
        <f>IF(Offerte!$A61="","",Offerte!$A61)</f>
        <v/>
      </c>
      <c r="B1853" s="48">
        <f>IF(Offerte!$A61="","",Offerte!$B61)</f>
        <v/>
      </c>
      <c r="C1853" s="48">
        <f>IF(Offerte!$A61="","",Offerte!$C61)</f>
        <v/>
      </c>
      <c r="D1853" s="48" t="inlineStr">
        <is>
          <t>E.1.1</t>
        </is>
      </c>
      <c r="E1853" s="48" t="inlineStr">
        <is>
          <t>E</t>
        </is>
      </c>
      <c r="F1853" s="48" t="inlineStr">
        <is>
          <t>T</t>
        </is>
      </c>
      <c r="G1853" s="48" t="inlineStr">
        <is>
          <t>tabular</t>
        </is>
      </c>
      <c r="H1853" s="48" t="n">
        <v>2</v>
      </c>
      <c r="I1853" s="48" t="inlineStr">
        <is>
          <t>Mobile app con travel planner PRM</t>
        </is>
      </c>
      <c r="J1853" s="73" t="n"/>
      <c r="K1853" s="73" t="n"/>
      <c r="L1853" s="73" t="n"/>
      <c r="M1853" s="73" t="n"/>
      <c r="N1853" s="57">
        <f>IF($A1853="","",IF(IFERROR(VALUE($M1853),0)=1,1,0))</f>
        <v/>
      </c>
      <c r="O1853" s="57">
        <f>IF($A1853="",0,IF(OR($S1853&lt;&gt;1,COUNTA($J1853:$M1853)=0),0,IF($N1853=1,$H1853,0)))</f>
        <v/>
      </c>
      <c r="P1853" s="48" t="inlineStr">
        <is>
          <t>sì/no</t>
        </is>
      </c>
      <c r="Q1853" s="57">
        <f>IF($A1853="","",$A1853&amp;"|"&amp;$C1853)</f>
        <v/>
      </c>
      <c r="R1853" s="57">
        <f>IF($A1853="","",$A1853&amp;"|"&amp;$C1853&amp;"|"&amp;$D1853)</f>
        <v/>
      </c>
      <c r="S1853" s="57">
        <f>IF($A1853="","",IFERROR(INDEX(Offerte!$D$2:$D$81,MATCH($Q1853,Offerte!$L$2:$L$81,0)),0))</f>
        <v/>
      </c>
      <c r="T1853" s="57">
        <f>IF($A1853="","",IFERROR(INDEX(Offerte!$G$2:$G$81,MATCH($Q1853,Offerte!$L$2:$L$81,0)),"NO"))</f>
        <v/>
      </c>
    </row>
    <row r="1854">
      <c r="A1854" s="48">
        <f>IF(Offerte!$A61="","",Offerte!$A61)</f>
        <v/>
      </c>
      <c r="B1854" s="48">
        <f>IF(Offerte!$A61="","",Offerte!$B61)</f>
        <v/>
      </c>
      <c r="C1854" s="48">
        <f>IF(Offerte!$A61="","",Offerte!$C61)</f>
        <v/>
      </c>
      <c r="D1854" s="48" t="inlineStr">
        <is>
          <t>E.2.1</t>
        </is>
      </c>
      <c r="E1854" s="48" t="inlineStr">
        <is>
          <t>E</t>
        </is>
      </c>
      <c r="F1854" s="48" t="inlineStr">
        <is>
          <t>D</t>
        </is>
      </c>
      <c r="G1854" s="48" t="inlineStr">
        <is>
          <t>discretionary</t>
        </is>
      </c>
      <c r="H1854" s="48" t="n">
        <v>2</v>
      </c>
      <c r="I1854" s="48" t="inlineStr">
        <is>
          <t>Altre azioni informative e rapporti con gli utenti</t>
        </is>
      </c>
      <c r="J1854" s="73" t="n"/>
      <c r="K1854" s="73" t="n"/>
      <c r="L1854" s="73" t="n"/>
      <c r="M1854" s="73" t="n"/>
      <c r="N1854" s="57">
        <f>IF($A1854="","",MAX(0,MIN(1,IFERROR(VALUE($M1854),0))))</f>
        <v/>
      </c>
      <c r="O1854" s="57">
        <f>IF($A1854="",0,IF(OR($S1854&lt;&gt;1,COUNTA($J1854:$M1854)=0),0,IF(SUMPRODUCT(MAX(($C$5:$C$2484=$C1854)*($D$5:$D$2484=$D1854)*($S$5:$S$2484=1)*IFERROR($N$5:$N$2484*1,0)))&gt;0,ROUND($H1854*($N1854/SUMPRODUCT(MAX(($C$5:$C$2484=$C1854)*($D$5:$D$2484=$D1854)*($S$5:$S$2484=1)*IFERROR($N$5:$N$2484*1,0)))),4),0)))</f>
        <v/>
      </c>
      <c r="P1854" s="48" t="inlineStr">
        <is>
          <t>coeff.</t>
        </is>
      </c>
      <c r="Q1854" s="57">
        <f>IF($A1854="","",$A1854&amp;"|"&amp;$C1854)</f>
        <v/>
      </c>
      <c r="R1854" s="57">
        <f>IF($A1854="","",$A1854&amp;"|"&amp;$C1854&amp;"|"&amp;$D1854)</f>
        <v/>
      </c>
      <c r="S1854" s="57">
        <f>IF($A1854="","",IFERROR(INDEX(Offerte!$D$2:$D$81,MATCH($Q1854,Offerte!$L$2:$L$81,0)),0))</f>
        <v/>
      </c>
      <c r="T1854" s="57">
        <f>IF($A1854="","",IFERROR(INDEX(Offerte!$G$2:$G$81,MATCH($Q1854,Offerte!$L$2:$L$81,0)),"NO"))</f>
        <v/>
      </c>
    </row>
    <row r="1855">
      <c r="A1855" s="48">
        <f>IF(Offerte!$A61="","",Offerte!$A61)</f>
        <v/>
      </c>
      <c r="B1855" s="48">
        <f>IF(Offerte!$A61="","",Offerte!$B61)</f>
        <v/>
      </c>
      <c r="C1855" s="48">
        <f>IF(Offerte!$A61="","",Offerte!$C61)</f>
        <v/>
      </c>
      <c r="D1855" s="48" t="inlineStr">
        <is>
          <t>F.1.1</t>
        </is>
      </c>
      <c r="E1855" s="48" t="inlineStr">
        <is>
          <t>F</t>
        </is>
      </c>
      <c r="F1855" s="48" t="inlineStr">
        <is>
          <t>Q</t>
        </is>
      </c>
      <c r="G1855" s="48" t="inlineStr">
        <is>
          <t>lower</t>
        </is>
      </c>
      <c r="H1855" s="48" t="n">
        <v>7</v>
      </c>
      <c r="I1855" s="48" t="inlineStr">
        <is>
          <t>Performance ambientali del parco mezzi adibito al servizio - I_CEA</t>
        </is>
      </c>
      <c r="J1855" s="73" t="n"/>
      <c r="K1855" s="73" t="n"/>
      <c r="L1855" s="73" t="n"/>
      <c r="M1855" s="73" t="n"/>
      <c r="N1855" s="57">
        <f>IF($A1855="","",IFERROR(VALUE($J1855),0))</f>
        <v/>
      </c>
      <c r="O1855" s="57">
        <f>IF($A1855="",0,IF(OR($S1855&lt;&gt;1,COUNTA($J1855:$M1855)=0),0,IF(AND(IFERROR(AGGREGATE(15,6,$N$5:$N$2484/(($C$5:$C$2484=$C1855)*($D$5:$D$2484=$D1855)*($S$5:$S$2484=1)*($N$5:$N$2484&gt;0)),1),0)&gt;0,$N1855&gt;0),ROUND($H1855*(IFERROR(AGGREGATE(15,6,$N$5:$N$2484/(($C$5:$C$2484=$C1855)*($D$5:$D$2484=$D1855)*($S$5:$S$2484=1)*($N$5:$N$2484&gt;0)),1),0)/$N1855),4),0)))</f>
        <v/>
      </c>
      <c r="P1855" s="48" t="inlineStr">
        <is>
          <t>indice</t>
        </is>
      </c>
      <c r="Q1855" s="57">
        <f>IF($A1855="","",$A1855&amp;"|"&amp;$C1855)</f>
        <v/>
      </c>
      <c r="R1855" s="57">
        <f>IF($A1855="","",$A1855&amp;"|"&amp;$C1855&amp;"|"&amp;$D1855)</f>
        <v/>
      </c>
      <c r="S1855" s="57">
        <f>IF($A1855="","",IFERROR(INDEX(Offerte!$D$2:$D$81,MATCH($Q1855,Offerte!$L$2:$L$81,0)),0))</f>
        <v/>
      </c>
      <c r="T1855" s="57">
        <f>IF($A1855="","",IFERROR(INDEX(Offerte!$G$2:$G$81,MATCH($Q1855,Offerte!$L$2:$L$81,0)),"NO"))</f>
        <v/>
      </c>
    </row>
    <row r="1856">
      <c r="A1856" s="48">
        <f>IF(Offerte!$A61="","",Offerte!$A61)</f>
        <v/>
      </c>
      <c r="B1856" s="48">
        <f>IF(Offerte!$A61="","",Offerte!$B61)</f>
        <v/>
      </c>
      <c r="C1856" s="48">
        <f>IF(Offerte!$A61="","",Offerte!$C61)</f>
        <v/>
      </c>
      <c r="D1856" s="48" t="inlineStr">
        <is>
          <t>F.2.1</t>
        </is>
      </c>
      <c r="E1856" s="48" t="inlineStr">
        <is>
          <t>F</t>
        </is>
      </c>
      <c r="F1856" s="48" t="inlineStr">
        <is>
          <t>Q</t>
        </is>
      </c>
      <c r="G1856" s="48" t="inlineStr">
        <is>
          <t>higher</t>
        </is>
      </c>
      <c r="H1856" s="48" t="n">
        <v>2</v>
      </c>
      <c r="I1856" s="48" t="inlineStr">
        <is>
          <t>Tasso di copertura del servizio con dispositivi ECO-DRIVER</t>
        </is>
      </c>
      <c r="J1856" s="73" t="n"/>
      <c r="K1856" s="73" t="n"/>
      <c r="L1856" s="73" t="n"/>
      <c r="M1856" s="73" t="n"/>
      <c r="N1856" s="57">
        <f>IF($A1856="","",IFERROR(VALUE($K1856)/VALUE($L1856),IFERROR(VALUE($J1856),0)))</f>
        <v/>
      </c>
      <c r="O1856" s="57">
        <f>IF($A1856="",0,IF(OR($S1856&lt;&gt;1,COUNTA($J1856:$M1856)=0),0,IF(SUMPRODUCT(MAX(($C$5:$C$2484=$C1856)*($D$5:$D$2484=$D1856)*($S$5:$S$2484=1)*IFERROR($N$5:$N$2484*1,0)))&gt;0,ROUND($H1856*($N1856/SUMPRODUCT(MAX(($C$5:$C$2484=$C1856)*($D$5:$D$2484=$D1856)*($S$5:$S$2484=1)*IFERROR($N$5:$N$2484*1,0)))),4),0)))</f>
        <v/>
      </c>
      <c r="P1856" s="48" t="inlineStr">
        <is>
          <t>Autobus attrezzati con dispositivi ECO-DRIVER / Autobus totali in offerta, incluse scorte</t>
        </is>
      </c>
      <c r="Q1856" s="57">
        <f>IF($A1856="","",$A1856&amp;"|"&amp;$C1856)</f>
        <v/>
      </c>
      <c r="R1856" s="57">
        <f>IF($A1856="","",$A1856&amp;"|"&amp;$C1856&amp;"|"&amp;$D1856)</f>
        <v/>
      </c>
      <c r="S1856" s="57">
        <f>IF($A1856="","",IFERROR(INDEX(Offerte!$D$2:$D$81,MATCH($Q1856,Offerte!$L$2:$L$81,0)),0))</f>
        <v/>
      </c>
      <c r="T1856" s="57">
        <f>IF($A1856="","",IFERROR(INDEX(Offerte!$G$2:$G$81,MATCH($Q1856,Offerte!$L$2:$L$81,0)),"NO"))</f>
        <v/>
      </c>
    </row>
    <row r="1857">
      <c r="A1857" s="48">
        <f>IF(Offerte!$A61="","",Offerte!$A61)</f>
        <v/>
      </c>
      <c r="B1857" s="48">
        <f>IF(Offerte!$A61="","",Offerte!$B61)</f>
        <v/>
      </c>
      <c r="C1857" s="48">
        <f>IF(Offerte!$A61="","",Offerte!$C61)</f>
        <v/>
      </c>
      <c r="D1857" s="48" t="inlineStr">
        <is>
          <t>F.3.1</t>
        </is>
      </c>
      <c r="E1857" s="48" t="inlineStr">
        <is>
          <t>F</t>
        </is>
      </c>
      <c r="F1857" s="48" t="inlineStr">
        <is>
          <t>Q</t>
        </is>
      </c>
      <c r="G1857" s="48" t="inlineStr">
        <is>
          <t>higher</t>
        </is>
      </c>
      <c r="H1857" s="48" t="n">
        <v>2</v>
      </c>
      <c r="I1857" s="48" t="inlineStr">
        <is>
          <t>Autoproduzione consumi elettrici per trazione</t>
        </is>
      </c>
      <c r="J1857" s="73" t="n"/>
      <c r="K1857" s="73" t="n"/>
      <c r="L1857" s="73" t="n"/>
      <c r="M1857" s="73" t="n"/>
      <c r="N1857" s="57">
        <f>IF($A1857="","",IFERROR(VALUE($J1857),0))</f>
        <v/>
      </c>
      <c r="O1857" s="57">
        <f>IF($A1857="",0,IF(OR($S1857&lt;&gt;1,COUNTA($J1857:$M1857)=0),0,IF(SUMPRODUCT(MAX(($C$5:$C$2484=$C1857)*($D$5:$D$2484=$D1857)*($S$5:$S$2484=1)*IFERROR($N$5:$N$2484*1,0)))&gt;0,ROUND($H1857*($N1857/SUMPRODUCT(MAX(($C$5:$C$2484=$C1857)*($D$5:$D$2484=$D1857)*($S$5:$S$2484=1)*IFERROR($N$5:$N$2484*1,0)))),4),0)))</f>
        <v/>
      </c>
      <c r="P1857" s="48" t="inlineStr">
        <is>
          <t>kWh/anno</t>
        </is>
      </c>
      <c r="Q1857" s="57">
        <f>IF($A1857="","",$A1857&amp;"|"&amp;$C1857)</f>
        <v/>
      </c>
      <c r="R1857" s="57">
        <f>IF($A1857="","",$A1857&amp;"|"&amp;$C1857&amp;"|"&amp;$D1857)</f>
        <v/>
      </c>
      <c r="S1857" s="57">
        <f>IF($A1857="","",IFERROR(INDEX(Offerte!$D$2:$D$81,MATCH($Q1857,Offerte!$L$2:$L$81,0)),0))</f>
        <v/>
      </c>
      <c r="T1857" s="57">
        <f>IF($A1857="","",IFERROR(INDEX(Offerte!$G$2:$G$81,MATCH($Q1857,Offerte!$L$2:$L$81,0)),"NO"))</f>
        <v/>
      </c>
    </row>
    <row r="1858">
      <c r="A1858" s="48">
        <f>IF(Offerte!$A61="","",Offerte!$A61)</f>
        <v/>
      </c>
      <c r="B1858" s="48">
        <f>IF(Offerte!$A61="","",Offerte!$B61)</f>
        <v/>
      </c>
      <c r="C1858" s="48">
        <f>IF(Offerte!$A61="","",Offerte!$C61)</f>
        <v/>
      </c>
      <c r="D1858" s="48" t="inlineStr">
        <is>
          <t>F.4.1</t>
        </is>
      </c>
      <c r="E1858" s="48" t="inlineStr">
        <is>
          <t>F</t>
        </is>
      </c>
      <c r="F1858" s="48" t="inlineStr">
        <is>
          <t>Q</t>
        </is>
      </c>
      <c r="G1858" s="48" t="inlineStr">
        <is>
          <t>soil</t>
        </is>
      </c>
      <c r="H1858" s="48" t="n">
        <v>2</v>
      </c>
      <c r="I1858" s="48" t="inlineStr">
        <is>
          <t>Indice di consumo di suolo</t>
        </is>
      </c>
      <c r="J1858" s="73" t="n"/>
      <c r="K1858" s="73" t="n"/>
      <c r="L1858" s="73" t="n"/>
      <c r="M1858" s="73" t="n"/>
      <c r="N1858" s="57">
        <f>IF($A1858="","",IFERROR(VALUE($J1858),0))</f>
        <v/>
      </c>
      <c r="O1858" s="57">
        <f>IF($A1858="",0,IF(OR($S1858&lt;&gt;1,COUNTA($J1858:$M1858)=0),0,IF($N1858&lt;=0,$H1858,IF(SUMPRODUCT(MAX(($C$5:$C$2484=$C1858)*($D$5:$D$2484=$D1858)*($S$5:$S$2484=1)*IFERROR($N$5:$N$2484*1,0)))&gt;0,ROUND($H1858*((SUMPRODUCT(MAX(($C$5:$C$2484=$C1858)*($D$5:$D$2484=$D1858)*($S$5:$S$2484=1)*IFERROR($N$5:$N$2484*1,0)))-$N1858)/SUMPRODUCT(MAX(($C$5:$C$2484=$C1858)*($D$5:$D$2484=$D1858)*($S$5:$S$2484=1)*IFERROR($N$5:$N$2484*1,0)))),4),0))))</f>
        <v/>
      </c>
      <c r="P1858" s="48" t="inlineStr">
        <is>
          <t>m2</t>
        </is>
      </c>
      <c r="Q1858" s="57">
        <f>IF($A1858="","",$A1858&amp;"|"&amp;$C1858)</f>
        <v/>
      </c>
      <c r="R1858" s="57">
        <f>IF($A1858="","",$A1858&amp;"|"&amp;$C1858&amp;"|"&amp;$D1858)</f>
        <v/>
      </c>
      <c r="S1858" s="57">
        <f>IF($A1858="","",IFERROR(INDEX(Offerte!$D$2:$D$81,MATCH($Q1858,Offerte!$L$2:$L$81,0)),0))</f>
        <v/>
      </c>
      <c r="T1858" s="57">
        <f>IF($A1858="","",IFERROR(INDEX(Offerte!$G$2:$G$81,MATCH($Q1858,Offerte!$L$2:$L$81,0)),"NO"))</f>
        <v/>
      </c>
    </row>
    <row r="1859">
      <c r="A1859" s="48">
        <f>IF(Offerte!$A61="","",Offerte!$A61)</f>
        <v/>
      </c>
      <c r="B1859" s="48">
        <f>IF(Offerte!$A61="","",Offerte!$B61)</f>
        <v/>
      </c>
      <c r="C1859" s="48">
        <f>IF(Offerte!$A61="","",Offerte!$C61)</f>
        <v/>
      </c>
      <c r="D1859" s="48" t="inlineStr">
        <is>
          <t>F.5.1</t>
        </is>
      </c>
      <c r="E1859" s="48" t="inlineStr">
        <is>
          <t>F</t>
        </is>
      </c>
      <c r="F1859" s="48" t="inlineStr">
        <is>
          <t>T</t>
        </is>
      </c>
      <c r="G1859" s="48" t="inlineStr">
        <is>
          <t>tabular</t>
        </is>
      </c>
      <c r="H1859" s="48" t="n">
        <v>1</v>
      </c>
      <c r="I1859" s="48" t="inlineStr">
        <is>
          <t>Rendicontazione di sostenibilità ambientale</t>
        </is>
      </c>
      <c r="J1859" s="73" t="n"/>
      <c r="K1859" s="73" t="n"/>
      <c r="L1859" s="73" t="n"/>
      <c r="M1859" s="73" t="n"/>
      <c r="N1859" s="57">
        <f>IF($A1859="","",IF(IFERROR(VALUE($M1859),0)=1,1,0))</f>
        <v/>
      </c>
      <c r="O1859" s="57">
        <f>IF($A1859="",0,IF(OR($S1859&lt;&gt;1,COUNTA($J1859:$M1859)=0),0,IF($N1859=1,$H1859,0)))</f>
        <v/>
      </c>
      <c r="P1859" s="48" t="inlineStr">
        <is>
          <t>sì/no</t>
        </is>
      </c>
      <c r="Q1859" s="57">
        <f>IF($A1859="","",$A1859&amp;"|"&amp;$C1859)</f>
        <v/>
      </c>
      <c r="R1859" s="57">
        <f>IF($A1859="","",$A1859&amp;"|"&amp;$C1859&amp;"|"&amp;$D1859)</f>
        <v/>
      </c>
      <c r="S1859" s="57">
        <f>IF($A1859="","",IFERROR(INDEX(Offerte!$D$2:$D$81,MATCH($Q1859,Offerte!$L$2:$L$81,0)),0))</f>
        <v/>
      </c>
      <c r="T1859" s="57">
        <f>IF($A1859="","",IFERROR(INDEX(Offerte!$G$2:$G$81,MATCH($Q1859,Offerte!$L$2:$L$81,0)),"NO"))</f>
        <v/>
      </c>
    </row>
    <row r="1860">
      <c r="A1860" s="48">
        <f>IF(Offerte!$A61="","",Offerte!$A61)</f>
        <v/>
      </c>
      <c r="B1860" s="48">
        <f>IF(Offerte!$A61="","",Offerte!$B61)</f>
        <v/>
      </c>
      <c r="C1860" s="48">
        <f>IF(Offerte!$A61="","",Offerte!$C61)</f>
        <v/>
      </c>
      <c r="D1860" s="48" t="inlineStr">
        <is>
          <t>G.1.1</t>
        </is>
      </c>
      <c r="E1860" s="48" t="inlineStr">
        <is>
          <t>G</t>
        </is>
      </c>
      <c r="F1860" s="48" t="inlineStr">
        <is>
          <t>D</t>
        </is>
      </c>
      <c r="G1860" s="48" t="inlineStr">
        <is>
          <t>discretionary</t>
        </is>
      </c>
      <c r="H1860" s="48" t="n">
        <v>2</v>
      </c>
      <c r="I1860" s="48" t="inlineStr">
        <is>
          <t>Qualità del progetto di centrale di controllo aziendale</t>
        </is>
      </c>
      <c r="J1860" s="73" t="n"/>
      <c r="K1860" s="73" t="n"/>
      <c r="L1860" s="73" t="n"/>
      <c r="M1860" s="73" t="n"/>
      <c r="N1860" s="57">
        <f>IF($A1860="","",MAX(0,MIN(1,IFERROR(VALUE($M1860),0))))</f>
        <v/>
      </c>
      <c r="O1860" s="57">
        <f>IF($A1860="",0,IF(OR($S1860&lt;&gt;1,COUNTA($J1860:$M1860)=0),0,IF(SUMPRODUCT(MAX(($C$5:$C$2484=$C1860)*($D$5:$D$2484=$D1860)*($S$5:$S$2484=1)*IFERROR($N$5:$N$2484*1,0)))&gt;0,ROUND($H1860*($N1860/SUMPRODUCT(MAX(($C$5:$C$2484=$C1860)*($D$5:$D$2484=$D1860)*($S$5:$S$2484=1)*IFERROR($N$5:$N$2484*1,0)))),4),0)))</f>
        <v/>
      </c>
      <c r="P1860" s="48" t="inlineStr">
        <is>
          <t>coeff.</t>
        </is>
      </c>
      <c r="Q1860" s="57">
        <f>IF($A1860="","",$A1860&amp;"|"&amp;$C1860)</f>
        <v/>
      </c>
      <c r="R1860" s="57">
        <f>IF($A1860="","",$A1860&amp;"|"&amp;$C1860&amp;"|"&amp;$D1860)</f>
        <v/>
      </c>
      <c r="S1860" s="57">
        <f>IF($A1860="","",IFERROR(INDEX(Offerte!$D$2:$D$81,MATCH($Q1860,Offerte!$L$2:$L$81,0)),0))</f>
        <v/>
      </c>
      <c r="T1860" s="57">
        <f>IF($A1860="","",IFERROR(INDEX(Offerte!$G$2:$G$81,MATCH($Q1860,Offerte!$L$2:$L$81,0)),"NO"))</f>
        <v/>
      </c>
    </row>
    <row r="1861">
      <c r="A1861" s="48">
        <f>IF(Offerte!$A61="","",Offerte!$A61)</f>
        <v/>
      </c>
      <c r="B1861" s="48">
        <f>IF(Offerte!$A61="","",Offerte!$B61)</f>
        <v/>
      </c>
      <c r="C1861" s="48">
        <f>IF(Offerte!$A61="","",Offerte!$C61)</f>
        <v/>
      </c>
      <c r="D1861" s="48" t="inlineStr">
        <is>
          <t>G.2.1</t>
        </is>
      </c>
      <c r="E1861" s="48" t="inlineStr">
        <is>
          <t>G</t>
        </is>
      </c>
      <c r="F1861" s="48" t="inlineStr">
        <is>
          <t>T</t>
        </is>
      </c>
      <c r="G1861" s="48" t="inlineStr">
        <is>
          <t>tabular</t>
        </is>
      </c>
      <c r="H1861" s="48" t="n">
        <v>1</v>
      </c>
      <c r="I1861" s="48" t="inlineStr">
        <is>
          <t>Certificazione ISO 45001</t>
        </is>
      </c>
      <c r="J1861" s="73" t="n"/>
      <c r="K1861" s="73" t="n"/>
      <c r="L1861" s="73" t="n"/>
      <c r="M1861" s="73" t="n"/>
      <c r="N1861" s="57">
        <f>IF($A1861="","",IF(IFERROR(VALUE($M1861),0)=1,1,0))</f>
        <v/>
      </c>
      <c r="O1861" s="57">
        <f>IF($A1861="",0,IF(OR($S1861&lt;&gt;1,COUNTA($J1861:$M1861)=0),0,IF($N1861=1,$H1861,0)))</f>
        <v/>
      </c>
      <c r="P1861" s="48" t="inlineStr">
        <is>
          <t>sì/no</t>
        </is>
      </c>
      <c r="Q1861" s="57">
        <f>IF($A1861="","",$A1861&amp;"|"&amp;$C1861)</f>
        <v/>
      </c>
      <c r="R1861" s="57">
        <f>IF($A1861="","",$A1861&amp;"|"&amp;$C1861&amp;"|"&amp;$D1861)</f>
        <v/>
      </c>
      <c r="S1861" s="57">
        <f>IF($A1861="","",IFERROR(INDEX(Offerte!$D$2:$D$81,MATCH($Q1861,Offerte!$L$2:$L$81,0)),0))</f>
        <v/>
      </c>
      <c r="T1861" s="57">
        <f>IF($A1861="","",IFERROR(INDEX(Offerte!$G$2:$G$81,MATCH($Q1861,Offerte!$L$2:$L$81,0)),"NO"))</f>
        <v/>
      </c>
    </row>
    <row r="1862">
      <c r="A1862" s="48">
        <f>IF(Offerte!$A61="","",Offerte!$A61)</f>
        <v/>
      </c>
      <c r="B1862" s="48">
        <f>IF(Offerte!$A61="","",Offerte!$B61)</f>
        <v/>
      </c>
      <c r="C1862" s="48">
        <f>IF(Offerte!$A61="","",Offerte!$C61)</f>
        <v/>
      </c>
      <c r="D1862" s="48" t="inlineStr">
        <is>
          <t>G.3.1</t>
        </is>
      </c>
      <c r="E1862" s="48" t="inlineStr">
        <is>
          <t>G</t>
        </is>
      </c>
      <c r="F1862" s="48" t="inlineStr">
        <is>
          <t>T</t>
        </is>
      </c>
      <c r="G1862" s="48" t="inlineStr">
        <is>
          <t>tabular</t>
        </is>
      </c>
      <c r="H1862" s="48" t="n">
        <v>1</v>
      </c>
      <c r="I1862" s="48" t="inlineStr">
        <is>
          <t>Certificazioni di responsabilità sociale</t>
        </is>
      </c>
      <c r="J1862" s="73" t="n"/>
      <c r="K1862" s="73" t="n"/>
      <c r="L1862" s="73" t="n"/>
      <c r="M1862" s="73" t="n"/>
      <c r="N1862" s="57">
        <f>IF($A1862="","",IF(IFERROR(VALUE($M1862),0)=1,1,0))</f>
        <v/>
      </c>
      <c r="O1862" s="57">
        <f>IF($A1862="",0,IF(OR($S1862&lt;&gt;1,COUNTA($J1862:$M1862)=0),0,IF($N1862=1,$H1862,0)))</f>
        <v/>
      </c>
      <c r="P1862" s="48" t="inlineStr">
        <is>
          <t>sì/no</t>
        </is>
      </c>
      <c r="Q1862" s="57">
        <f>IF($A1862="","",$A1862&amp;"|"&amp;$C1862)</f>
        <v/>
      </c>
      <c r="R1862" s="57">
        <f>IF($A1862="","",$A1862&amp;"|"&amp;$C1862&amp;"|"&amp;$D1862)</f>
        <v/>
      </c>
      <c r="S1862" s="57">
        <f>IF($A1862="","",IFERROR(INDEX(Offerte!$D$2:$D$81,MATCH($Q1862,Offerte!$L$2:$L$81,0)),0))</f>
        <v/>
      </c>
      <c r="T1862" s="57">
        <f>IF($A1862="","",IFERROR(INDEX(Offerte!$G$2:$G$81,MATCH($Q1862,Offerte!$L$2:$L$81,0)),"NO"))</f>
        <v/>
      </c>
    </row>
    <row r="1863">
      <c r="A1863" s="48">
        <f>IF(Offerte!$A61="","",Offerte!$A61)</f>
        <v/>
      </c>
      <c r="B1863" s="48">
        <f>IF(Offerte!$A61="","",Offerte!$B61)</f>
        <v/>
      </c>
      <c r="C1863" s="48">
        <f>IF(Offerte!$A61="","",Offerte!$C61)</f>
        <v/>
      </c>
      <c r="D1863" s="48" t="inlineStr">
        <is>
          <t>G.4.1</t>
        </is>
      </c>
      <c r="E1863" s="48" t="inlineStr">
        <is>
          <t>G</t>
        </is>
      </c>
      <c r="F1863" s="48" t="inlineStr">
        <is>
          <t>D</t>
        </is>
      </c>
      <c r="G1863" s="48" t="inlineStr">
        <is>
          <t>discretionary</t>
        </is>
      </c>
      <c r="H1863" s="48" t="n">
        <v>2</v>
      </c>
      <c r="I1863" s="48" t="inlineStr">
        <is>
          <t>Qualità del piano di formazione del personale</t>
        </is>
      </c>
      <c r="J1863" s="73" t="n"/>
      <c r="K1863" s="73" t="n"/>
      <c r="L1863" s="73" t="n"/>
      <c r="M1863" s="73" t="n"/>
      <c r="N1863" s="57">
        <f>IF($A1863="","",MAX(0,MIN(1,IFERROR(VALUE($M1863),0))))</f>
        <v/>
      </c>
      <c r="O1863" s="57">
        <f>IF($A1863="",0,IF(OR($S1863&lt;&gt;1,COUNTA($J1863:$M1863)=0),0,IF(SUMPRODUCT(MAX(($C$5:$C$2484=$C1863)*($D$5:$D$2484=$D1863)*($S$5:$S$2484=1)*IFERROR($N$5:$N$2484*1,0)))&gt;0,ROUND($H1863*($N1863/SUMPRODUCT(MAX(($C$5:$C$2484=$C1863)*($D$5:$D$2484=$D1863)*($S$5:$S$2484=1)*IFERROR($N$5:$N$2484*1,0)))),4),0)))</f>
        <v/>
      </c>
      <c r="P1863" s="48" t="inlineStr">
        <is>
          <t>coeff.</t>
        </is>
      </c>
      <c r="Q1863" s="57">
        <f>IF($A1863="","",$A1863&amp;"|"&amp;$C1863)</f>
        <v/>
      </c>
      <c r="R1863" s="57">
        <f>IF($A1863="","",$A1863&amp;"|"&amp;$C1863&amp;"|"&amp;$D1863)</f>
        <v/>
      </c>
      <c r="S1863" s="57">
        <f>IF($A1863="","",IFERROR(INDEX(Offerte!$D$2:$D$81,MATCH($Q1863,Offerte!$L$2:$L$81,0)),0))</f>
        <v/>
      </c>
      <c r="T1863" s="57">
        <f>IF($A1863="","",IFERROR(INDEX(Offerte!$G$2:$G$81,MATCH($Q1863,Offerte!$L$2:$L$81,0)),"NO"))</f>
        <v/>
      </c>
    </row>
    <row r="1864">
      <c r="A1864" s="48">
        <f>IF(Offerte!$A61="","",Offerte!$A61)</f>
        <v/>
      </c>
      <c r="B1864" s="48">
        <f>IF(Offerte!$A61="","",Offerte!$B61)</f>
        <v/>
      </c>
      <c r="C1864" s="48">
        <f>IF(Offerte!$A61="","",Offerte!$C61)</f>
        <v/>
      </c>
      <c r="D1864" s="48" t="inlineStr">
        <is>
          <t>G.5.1</t>
        </is>
      </c>
      <c r="E1864" s="48" t="inlineStr">
        <is>
          <t>G</t>
        </is>
      </c>
      <c r="F1864" s="48" t="inlineStr">
        <is>
          <t>T</t>
        </is>
      </c>
      <c r="G1864" s="48" t="inlineStr">
        <is>
          <t>tabular</t>
        </is>
      </c>
      <c r="H1864" s="48" t="n">
        <v>1</v>
      </c>
      <c r="I1864" s="48" t="inlineStr">
        <is>
          <t>Impegno al mantenimento delle garanzie del contratto di secondo livello del gestore uscente</t>
        </is>
      </c>
      <c r="J1864" s="73" t="n"/>
      <c r="K1864" s="73" t="n"/>
      <c r="L1864" s="73" t="n"/>
      <c r="M1864" s="73" t="n"/>
      <c r="N1864" s="57">
        <f>IF($A1864="","",IF(IFERROR(VALUE($M1864),0)=1,1,0))</f>
        <v/>
      </c>
      <c r="O1864" s="57">
        <f>IF($A1864="",0,IF(OR($S1864&lt;&gt;1,COUNTA($J1864:$M1864)=0),0,IF($N1864=1,$H1864,0)))</f>
        <v/>
      </c>
      <c r="P1864" s="48" t="inlineStr">
        <is>
          <t>sì/no</t>
        </is>
      </c>
      <c r="Q1864" s="57">
        <f>IF($A1864="","",$A1864&amp;"|"&amp;$C1864)</f>
        <v/>
      </c>
      <c r="R1864" s="57">
        <f>IF($A1864="","",$A1864&amp;"|"&amp;$C1864&amp;"|"&amp;$D1864)</f>
        <v/>
      </c>
      <c r="S1864" s="57">
        <f>IF($A1864="","",IFERROR(INDEX(Offerte!$D$2:$D$81,MATCH($Q1864,Offerte!$L$2:$L$81,0)),0))</f>
        <v/>
      </c>
      <c r="T1864" s="57">
        <f>IF($A1864="","",IFERROR(INDEX(Offerte!$G$2:$G$81,MATCH($Q1864,Offerte!$L$2:$L$81,0)),"NO"))</f>
        <v/>
      </c>
    </row>
    <row r="1865">
      <c r="A1865" s="48">
        <f>IF(Offerte!$A62="","",Offerte!$A62)</f>
        <v/>
      </c>
      <c r="B1865" s="48">
        <f>IF(Offerte!$A62="","",Offerte!$B62)</f>
        <v/>
      </c>
      <c r="C1865" s="48">
        <f>IF(Offerte!$A62="","",Offerte!$C62)</f>
        <v/>
      </c>
      <c r="D1865" s="48" t="inlineStr">
        <is>
          <t>A.1.1</t>
        </is>
      </c>
      <c r="E1865" s="48" t="inlineStr">
        <is>
          <t>A</t>
        </is>
      </c>
      <c r="F1865" s="48" t="inlineStr">
        <is>
          <t>Q</t>
        </is>
      </c>
      <c r="G1865" s="48" t="inlineStr">
        <is>
          <t>higher</t>
        </is>
      </c>
      <c r="H1865" s="48" t="n">
        <v>3</v>
      </c>
      <c r="I1865" s="48" t="inlineStr">
        <is>
          <t>Tasso aggiuntivo di corse controllate</t>
        </is>
      </c>
      <c r="J1865" s="73" t="n"/>
      <c r="K1865" s="73" t="n"/>
      <c r="L1865" s="73" t="n"/>
      <c r="M1865" s="73" t="n"/>
      <c r="N1865" s="57">
        <f>IF($A1865="","",IFERROR(VALUE($K1865)/VALUE($L1865)*100,IFERROR(VALUE($J1865),0)))</f>
        <v/>
      </c>
      <c r="O1865" s="57">
        <f>IF($A1865="",0,IF(OR($S1865&lt;&gt;1,COUNTA($J1865:$M1865)=0),0,IF(SUMPRODUCT(MAX(($C$5:$C$2484=$C1865)*($D$5:$D$2484=$D1865)*($S$5:$S$2484=1)*IFERROR($N$5:$N$2484*1,0)))&gt;0,ROUND($H1865*($N1865/SUMPRODUCT(MAX(($C$5:$C$2484=$C1865)*($D$5:$D$2484=$D1865)*($S$5:$S$2484=1)*IFERROR($N$5:$N$2484*1,0)))),4),0)))</f>
        <v/>
      </c>
      <c r="P1865" s="48" t="inlineStr">
        <is>
          <t>Corse controllate annue / Corse programmate annue</t>
        </is>
      </c>
      <c r="Q1865" s="57">
        <f>IF($A1865="","",$A1865&amp;"|"&amp;$C1865)</f>
        <v/>
      </c>
      <c r="R1865" s="57">
        <f>IF($A1865="","",$A1865&amp;"|"&amp;$C1865&amp;"|"&amp;$D1865)</f>
        <v/>
      </c>
      <c r="S1865" s="57">
        <f>IF($A1865="","",IFERROR(INDEX(Offerte!$D$2:$D$81,MATCH($Q1865,Offerte!$L$2:$L$81,0)),0))</f>
        <v/>
      </c>
      <c r="T1865" s="57">
        <f>IF($A1865="","",IFERROR(INDEX(Offerte!$G$2:$G$81,MATCH($Q1865,Offerte!$L$2:$L$81,0)),"NO"))</f>
        <v/>
      </c>
    </row>
    <row r="1866">
      <c r="A1866" s="48">
        <f>IF(Offerte!$A62="","",Offerte!$A62)</f>
        <v/>
      </c>
      <c r="B1866" s="48">
        <f>IF(Offerte!$A62="","",Offerte!$B62)</f>
        <v/>
      </c>
      <c r="C1866" s="48">
        <f>IF(Offerte!$A62="","",Offerte!$C62)</f>
        <v/>
      </c>
      <c r="D1866" s="48" t="inlineStr">
        <is>
          <t>A.1.2</t>
        </is>
      </c>
      <c r="E1866" s="48" t="inlineStr">
        <is>
          <t>A</t>
        </is>
      </c>
      <c r="F1866" s="48" t="inlineStr">
        <is>
          <t>Q</t>
        </is>
      </c>
      <c r="G1866" s="48" t="inlineStr">
        <is>
          <t>higher</t>
        </is>
      </c>
      <c r="H1866" s="48" t="n">
        <v>4</v>
      </c>
      <c r="I1866" s="48" t="inlineStr">
        <is>
          <t>Numero aggiuntivo di passeggeri controllati</t>
        </is>
      </c>
      <c r="J1866" s="73" t="n"/>
      <c r="K1866" s="73" t="n"/>
      <c r="L1866" s="73" t="n"/>
      <c r="M1866" s="73" t="n"/>
      <c r="N1866" s="57">
        <f>IF($A1866="","",IFERROR(VALUE($J1866),0))</f>
        <v/>
      </c>
      <c r="O1866" s="57">
        <f>IF($A1866="",0,IF(OR($S1866&lt;&gt;1,COUNTA($J1866:$M1866)=0),0,IF(SUMPRODUCT(MAX(($C$5:$C$2484=$C1866)*($D$5:$D$2484=$D1866)*($S$5:$S$2484=1)*IFERROR($N$5:$N$2484*1,0)))&gt;0,ROUND($H1866*($N1866/SUMPRODUCT(MAX(($C$5:$C$2484=$C1866)*($D$5:$D$2484=$D1866)*($S$5:$S$2484=1)*IFERROR($N$5:$N$2484*1,0)))),4),0)))</f>
        <v/>
      </c>
      <c r="P1866" s="48" t="inlineStr">
        <is>
          <t>passeggeri/anno</t>
        </is>
      </c>
      <c r="Q1866" s="57">
        <f>IF($A1866="","",$A1866&amp;"|"&amp;$C1866)</f>
        <v/>
      </c>
      <c r="R1866" s="57">
        <f>IF($A1866="","",$A1866&amp;"|"&amp;$C1866&amp;"|"&amp;$D1866)</f>
        <v/>
      </c>
      <c r="S1866" s="57">
        <f>IF($A1866="","",IFERROR(INDEX(Offerte!$D$2:$D$81,MATCH($Q1866,Offerte!$L$2:$L$81,0)),0))</f>
        <v/>
      </c>
      <c r="T1866" s="57">
        <f>IF($A1866="","",IFERROR(INDEX(Offerte!$G$2:$G$81,MATCH($Q1866,Offerte!$L$2:$L$81,0)),"NO"))</f>
        <v/>
      </c>
    </row>
    <row r="1867">
      <c r="A1867" s="48">
        <f>IF(Offerte!$A62="","",Offerte!$A62)</f>
        <v/>
      </c>
      <c r="B1867" s="48">
        <f>IF(Offerte!$A62="","",Offerte!$B62)</f>
        <v/>
      </c>
      <c r="C1867" s="48">
        <f>IF(Offerte!$A62="","",Offerte!$C62)</f>
        <v/>
      </c>
      <c r="D1867" s="48" t="inlineStr">
        <is>
          <t>B.1.1</t>
        </is>
      </c>
      <c r="E1867" s="48" t="inlineStr">
        <is>
          <t>B</t>
        </is>
      </c>
      <c r="F1867" s="48" t="inlineStr">
        <is>
          <t>Q</t>
        </is>
      </c>
      <c r="G1867" s="48" t="inlineStr">
        <is>
          <t>higher</t>
        </is>
      </c>
      <c r="H1867" s="48" t="n">
        <v>3</v>
      </c>
      <c r="I1867" s="48" t="inlineStr">
        <is>
          <t>Incremento dei posti offerti nelle fasce di punta</t>
        </is>
      </c>
      <c r="J1867" s="73" t="n"/>
      <c r="K1867" s="73" t="n"/>
      <c r="L1867" s="73" t="n"/>
      <c r="M1867" s="73" t="n"/>
      <c r="N1867" s="57">
        <f>IF($A1867="","",IFERROR(VALUE($J1867),0))</f>
        <v/>
      </c>
      <c r="O1867" s="57">
        <f>IF($A1867="",0,IF(OR($S1867&lt;&gt;1,COUNTA($J1867:$M1867)=0),0,IF(SUMPRODUCT(MAX(($C$5:$C$2484=$C1867)*($D$5:$D$2484=$D1867)*($S$5:$S$2484=1)*IFERROR($N$5:$N$2484*1,0)))&gt;0,ROUND($H1867*($N1867/SUMPRODUCT(MAX(($C$5:$C$2484=$C1867)*($D$5:$D$2484=$D1867)*($S$5:$S$2484=1)*IFERROR($N$5:$N$2484*1,0)))),4),0)))</f>
        <v/>
      </c>
      <c r="P1867" s="48" t="inlineStr">
        <is>
          <t>posti*km</t>
        </is>
      </c>
      <c r="Q1867" s="57">
        <f>IF($A1867="","",$A1867&amp;"|"&amp;$C1867)</f>
        <v/>
      </c>
      <c r="R1867" s="57">
        <f>IF($A1867="","",$A1867&amp;"|"&amp;$C1867&amp;"|"&amp;$D1867)</f>
        <v/>
      </c>
      <c r="S1867" s="57">
        <f>IF($A1867="","",IFERROR(INDEX(Offerte!$D$2:$D$81,MATCH($Q1867,Offerte!$L$2:$L$81,0)),0))</f>
        <v/>
      </c>
      <c r="T1867" s="57">
        <f>IF($A1867="","",IFERROR(INDEX(Offerte!$G$2:$G$81,MATCH($Q1867,Offerte!$L$2:$L$81,0)),"NO"))</f>
        <v/>
      </c>
    </row>
    <row r="1868">
      <c r="A1868" s="48">
        <f>IF(Offerte!$A62="","",Offerte!$A62)</f>
        <v/>
      </c>
      <c r="B1868" s="48">
        <f>IF(Offerte!$A62="","",Offerte!$B62)</f>
        <v/>
      </c>
      <c r="C1868" s="48">
        <f>IF(Offerte!$A62="","",Offerte!$C62)</f>
        <v/>
      </c>
      <c r="D1868" s="48" t="inlineStr">
        <is>
          <t>B.2.1</t>
        </is>
      </c>
      <c r="E1868" s="48" t="inlineStr">
        <is>
          <t>B</t>
        </is>
      </c>
      <c r="F1868" s="48" t="inlineStr">
        <is>
          <t>Q</t>
        </is>
      </c>
      <c r="G1868" s="48" t="inlineStr">
        <is>
          <t>higher</t>
        </is>
      </c>
      <c r="H1868" s="48" t="n">
        <v>4</v>
      </c>
      <c r="I1868" s="48" t="inlineStr">
        <is>
          <t>Corse aggiuntive nell'arco giornaliero base</t>
        </is>
      </c>
      <c r="J1868" s="73" t="n"/>
      <c r="K1868" s="73" t="n"/>
      <c r="L1868" s="73" t="n"/>
      <c r="M1868" s="73" t="n"/>
      <c r="N1868" s="57">
        <f>IF($A1868="","",IFERROR(VALUE($J1868),0))</f>
        <v/>
      </c>
      <c r="O1868" s="57">
        <f>IF($A1868="",0,IF(OR($S1868&lt;&gt;1,COUNTA($J1868:$M1868)=0),0,IF(SUMPRODUCT(MAX(($C$5:$C$2484=$C1868)*($D$5:$D$2484=$D1868)*($S$5:$S$2484=1)*IFERROR($N$5:$N$2484*1,0)))&gt;0,ROUND($H1868*($N1868/SUMPRODUCT(MAX(($C$5:$C$2484=$C1868)*($D$5:$D$2484=$D1868)*($S$5:$S$2484=1)*IFERROR($N$5:$N$2484*1,0)))),4),0)))</f>
        <v/>
      </c>
      <c r="P1868" s="48" t="inlineStr">
        <is>
          <t>corse</t>
        </is>
      </c>
      <c r="Q1868" s="57">
        <f>IF($A1868="","",$A1868&amp;"|"&amp;$C1868)</f>
        <v/>
      </c>
      <c r="R1868" s="57">
        <f>IF($A1868="","",$A1868&amp;"|"&amp;$C1868&amp;"|"&amp;$D1868)</f>
        <v/>
      </c>
      <c r="S1868" s="57">
        <f>IF($A1868="","",IFERROR(INDEX(Offerte!$D$2:$D$81,MATCH($Q1868,Offerte!$L$2:$L$81,0)),0))</f>
        <v/>
      </c>
      <c r="T1868" s="57">
        <f>IF($A1868="","",IFERROR(INDEX(Offerte!$G$2:$G$81,MATCH($Q1868,Offerte!$L$2:$L$81,0)),"NO"))</f>
        <v/>
      </c>
    </row>
    <row r="1869">
      <c r="A1869" s="48">
        <f>IF(Offerte!$A62="","",Offerte!$A62)</f>
        <v/>
      </c>
      <c r="B1869" s="48">
        <f>IF(Offerte!$A62="","",Offerte!$B62)</f>
        <v/>
      </c>
      <c r="C1869" s="48">
        <f>IF(Offerte!$A62="","",Offerte!$C62)</f>
        <v/>
      </c>
      <c r="D1869" s="48" t="inlineStr">
        <is>
          <t>B.3.1</t>
        </is>
      </c>
      <c r="E1869" s="48" t="inlineStr">
        <is>
          <t>B</t>
        </is>
      </c>
      <c r="F1869" s="48" t="inlineStr">
        <is>
          <t>Q</t>
        </is>
      </c>
      <c r="G1869" s="48" t="inlineStr">
        <is>
          <t>higher</t>
        </is>
      </c>
      <c r="H1869" s="48" t="n">
        <v>2</v>
      </c>
      <c r="I1869" s="48" t="inlineStr">
        <is>
          <t>Numero di corse aggiuntive per allungamento dell'arco di servizio giornaliero nelle fasce serali</t>
        </is>
      </c>
      <c r="J1869" s="73" t="n"/>
      <c r="K1869" s="73" t="n"/>
      <c r="L1869" s="73" t="n"/>
      <c r="M1869" s="73" t="n"/>
      <c r="N1869" s="57">
        <f>IF($A1869="","",IFERROR(VALUE($J1869),0))</f>
        <v/>
      </c>
      <c r="O1869" s="57">
        <f>IF($A1869="",0,IF(OR($S1869&lt;&gt;1,COUNTA($J1869:$M1869)=0),0,IF(SUMPRODUCT(MAX(($C$5:$C$2484=$C1869)*($D$5:$D$2484=$D1869)*($S$5:$S$2484=1)*IFERROR($N$5:$N$2484*1,0)))&gt;0,ROUND($H1869*($N1869/SUMPRODUCT(MAX(($C$5:$C$2484=$C1869)*($D$5:$D$2484=$D1869)*($S$5:$S$2484=1)*IFERROR($N$5:$N$2484*1,0)))),4),0)))</f>
        <v/>
      </c>
      <c r="P1869" s="48" t="inlineStr">
        <is>
          <t>corse</t>
        </is>
      </c>
      <c r="Q1869" s="57">
        <f>IF($A1869="","",$A1869&amp;"|"&amp;$C1869)</f>
        <v/>
      </c>
      <c r="R1869" s="57">
        <f>IF($A1869="","",$A1869&amp;"|"&amp;$C1869&amp;"|"&amp;$D1869)</f>
        <v/>
      </c>
      <c r="S1869" s="57">
        <f>IF($A1869="","",IFERROR(INDEX(Offerte!$D$2:$D$81,MATCH($Q1869,Offerte!$L$2:$L$81,0)),0))</f>
        <v/>
      </c>
      <c r="T1869" s="57">
        <f>IF($A1869="","",IFERROR(INDEX(Offerte!$G$2:$G$81,MATCH($Q1869,Offerte!$L$2:$L$81,0)),"NO"))</f>
        <v/>
      </c>
    </row>
    <row r="1870">
      <c r="A1870" s="48">
        <f>IF(Offerte!$A62="","",Offerte!$A62)</f>
        <v/>
      </c>
      <c r="B1870" s="48">
        <f>IF(Offerte!$A62="","",Offerte!$B62)</f>
        <v/>
      </c>
      <c r="C1870" s="48">
        <f>IF(Offerte!$A62="","",Offerte!$C62)</f>
        <v/>
      </c>
      <c r="D1870" s="48" t="inlineStr">
        <is>
          <t>B.4.1</t>
        </is>
      </c>
      <c r="E1870" s="48" t="inlineStr">
        <is>
          <t>B</t>
        </is>
      </c>
      <c r="F1870" s="48" t="inlineStr">
        <is>
          <t>Q</t>
        </is>
      </c>
      <c r="G1870" s="48" t="inlineStr">
        <is>
          <t>higher</t>
        </is>
      </c>
      <c r="H1870" s="48" t="n">
        <v>3</v>
      </c>
      <c r="I1870" s="48" t="inlineStr">
        <is>
          <t>Percorrenze aggiuntive offerte nel Programma d'esercizio delle prime due fasi attuative</t>
        </is>
      </c>
      <c r="J1870" s="73" t="n"/>
      <c r="K1870" s="73" t="n"/>
      <c r="L1870" s="73" t="n"/>
      <c r="M1870" s="73" t="n"/>
      <c r="N1870" s="57">
        <f>IF($A1870="","",IFERROR(VALUE($J1870),0))</f>
        <v/>
      </c>
      <c r="O1870" s="57">
        <f>IF($A1870="",0,IF(OR($S1870&lt;&gt;1,COUNTA($J1870:$M1870)=0),0,IF(SUMPRODUCT(MAX(($C$5:$C$2484=$C1870)*($D$5:$D$2484=$D1870)*($S$5:$S$2484=1)*IFERROR($N$5:$N$2484*1,0)))&gt;0,ROUND($H1870*($N1870/SUMPRODUCT(MAX(($C$5:$C$2484=$C1870)*($D$5:$D$2484=$D1870)*($S$5:$S$2484=1)*IFERROR($N$5:$N$2484*1,0)))),4),0)))</f>
        <v/>
      </c>
      <c r="P1870" s="48" t="inlineStr">
        <is>
          <t>vett*km</t>
        </is>
      </c>
      <c r="Q1870" s="57">
        <f>IF($A1870="","",$A1870&amp;"|"&amp;$C1870)</f>
        <v/>
      </c>
      <c r="R1870" s="57">
        <f>IF($A1870="","",$A1870&amp;"|"&amp;$C1870&amp;"|"&amp;$D1870)</f>
        <v/>
      </c>
      <c r="S1870" s="57">
        <f>IF($A1870="","",IFERROR(INDEX(Offerte!$D$2:$D$81,MATCH($Q1870,Offerte!$L$2:$L$81,0)),0))</f>
        <v/>
      </c>
      <c r="T1870" s="57">
        <f>IF($A1870="","",IFERROR(INDEX(Offerte!$G$2:$G$81,MATCH($Q1870,Offerte!$L$2:$L$81,0)),"NO"))</f>
        <v/>
      </c>
    </row>
    <row r="1871">
      <c r="A1871" s="48">
        <f>IF(Offerte!$A62="","",Offerte!$A62)</f>
        <v/>
      </c>
      <c r="B1871" s="48">
        <f>IF(Offerte!$A62="","",Offerte!$B62)</f>
        <v/>
      </c>
      <c r="C1871" s="48">
        <f>IF(Offerte!$A62="","",Offerte!$C62)</f>
        <v/>
      </c>
      <c r="D1871" s="48" t="inlineStr">
        <is>
          <t>B.5.1</t>
        </is>
      </c>
      <c r="E1871" s="48" t="inlineStr">
        <is>
          <t>B</t>
        </is>
      </c>
      <c r="F1871" s="48" t="inlineStr">
        <is>
          <t>D</t>
        </is>
      </c>
      <c r="G1871" s="48" t="inlineStr">
        <is>
          <t>discretionary</t>
        </is>
      </c>
      <c r="H1871" s="48" t="n">
        <v>2</v>
      </c>
      <c r="I1871" s="48" t="inlineStr">
        <is>
          <t>Efficacia del progetto di servizi complementari DRT</t>
        </is>
      </c>
      <c r="J1871" s="73" t="n"/>
      <c r="K1871" s="73" t="n"/>
      <c r="L1871" s="73" t="n"/>
      <c r="M1871" s="73" t="n"/>
      <c r="N1871" s="57">
        <f>IF($A1871="","",MAX(0,MIN(1,IFERROR(VALUE($M1871),0))))</f>
        <v/>
      </c>
      <c r="O1871" s="57">
        <f>IF($A1871="",0,IF(OR($S1871&lt;&gt;1,COUNTA($J1871:$M1871)=0),0,IF(SUMPRODUCT(MAX(($C$5:$C$2484=$C1871)*($D$5:$D$2484=$D1871)*($S$5:$S$2484=1)*IFERROR($N$5:$N$2484*1,0)))&gt;0,ROUND($H1871*($N1871/SUMPRODUCT(MAX(($C$5:$C$2484=$C1871)*($D$5:$D$2484=$D1871)*($S$5:$S$2484=1)*IFERROR($N$5:$N$2484*1,0)))),4),0)))</f>
        <v/>
      </c>
      <c r="P1871" s="48" t="inlineStr">
        <is>
          <t>coeff.</t>
        </is>
      </c>
      <c r="Q1871" s="57">
        <f>IF($A1871="","",$A1871&amp;"|"&amp;$C1871)</f>
        <v/>
      </c>
      <c r="R1871" s="57">
        <f>IF($A1871="","",$A1871&amp;"|"&amp;$C1871&amp;"|"&amp;$D1871)</f>
        <v/>
      </c>
      <c r="S1871" s="57">
        <f>IF($A1871="","",IFERROR(INDEX(Offerte!$D$2:$D$81,MATCH($Q1871,Offerte!$L$2:$L$81,0)),0))</f>
        <v/>
      </c>
      <c r="T1871" s="57">
        <f>IF($A1871="","",IFERROR(INDEX(Offerte!$G$2:$G$81,MATCH($Q1871,Offerte!$L$2:$L$81,0)),"NO"))</f>
        <v/>
      </c>
    </row>
    <row r="1872">
      <c r="A1872" s="48">
        <f>IF(Offerte!$A62="","",Offerte!$A62)</f>
        <v/>
      </c>
      <c r="B1872" s="48">
        <f>IF(Offerte!$A62="","",Offerte!$B62)</f>
        <v/>
      </c>
      <c r="C1872" s="48">
        <f>IF(Offerte!$A62="","",Offerte!$C62)</f>
        <v/>
      </c>
      <c r="D1872" s="48" t="inlineStr">
        <is>
          <t>C.1.1</t>
        </is>
      </c>
      <c r="E1872" s="48" t="inlineStr">
        <is>
          <t>C</t>
        </is>
      </c>
      <c r="F1872" s="48" t="inlineStr">
        <is>
          <t>Q</t>
        </is>
      </c>
      <c r="G1872" s="48" t="inlineStr">
        <is>
          <t>higher</t>
        </is>
      </c>
      <c r="H1872" s="48" t="n">
        <v>2</v>
      </c>
      <c r="I1872" s="48" t="inlineStr">
        <is>
          <t>Tasso di copertura del servizio con telecamere BSD</t>
        </is>
      </c>
      <c r="J1872" s="73" t="n"/>
      <c r="K1872" s="73" t="n"/>
      <c r="L1872" s="73" t="n"/>
      <c r="M1872" s="73" t="n"/>
      <c r="N1872" s="57">
        <f>IF($A1872="","",IFERROR(VALUE($K1872)/VALUE($L1872),IFERROR(VALUE($J1872),0)))</f>
        <v/>
      </c>
      <c r="O1872" s="57">
        <f>IF($A1872="",0,IF(OR($S1872&lt;&gt;1,COUNTA($J1872:$M1872)=0),0,IF(SUMPRODUCT(MAX(($C$5:$C$2484=$C1872)*($D$5:$D$2484=$D1872)*($S$5:$S$2484=1)*IFERROR($N$5:$N$2484*1,0)))&gt;0,ROUND($H1872*($N1872/SUMPRODUCT(MAX(($C$5:$C$2484=$C1872)*($D$5:$D$2484=$D1872)*($S$5:$S$2484=1)*IFERROR($N$5:$N$2484*1,0)))),4),0)))</f>
        <v/>
      </c>
      <c r="P1872" s="48" t="inlineStr">
        <is>
          <t>Autobus attrezzati con telecamere BSD / Autobus totali in offerta, incluse scorte</t>
        </is>
      </c>
      <c r="Q1872" s="57">
        <f>IF($A1872="","",$A1872&amp;"|"&amp;$C1872)</f>
        <v/>
      </c>
      <c r="R1872" s="57">
        <f>IF($A1872="","",$A1872&amp;"|"&amp;$C1872&amp;"|"&amp;$D1872)</f>
        <v/>
      </c>
      <c r="S1872" s="57">
        <f>IF($A1872="","",IFERROR(INDEX(Offerte!$D$2:$D$81,MATCH($Q1872,Offerte!$L$2:$L$81,0)),0))</f>
        <v/>
      </c>
      <c r="T1872" s="57">
        <f>IF($A1872="","",IFERROR(INDEX(Offerte!$G$2:$G$81,MATCH($Q1872,Offerte!$L$2:$L$81,0)),"NO"))</f>
        <v/>
      </c>
    </row>
    <row r="1873">
      <c r="A1873" s="48">
        <f>IF(Offerte!$A62="","",Offerte!$A62)</f>
        <v/>
      </c>
      <c r="B1873" s="48">
        <f>IF(Offerte!$A62="","",Offerte!$B62)</f>
        <v/>
      </c>
      <c r="C1873" s="48">
        <f>IF(Offerte!$A62="","",Offerte!$C62)</f>
        <v/>
      </c>
      <c r="D1873" s="48" t="inlineStr">
        <is>
          <t>C.1.2</t>
        </is>
      </c>
      <c r="E1873" s="48" t="inlineStr">
        <is>
          <t>C</t>
        </is>
      </c>
      <c r="F1873" s="48" t="inlineStr">
        <is>
          <t>Q</t>
        </is>
      </c>
      <c r="G1873" s="48" t="inlineStr">
        <is>
          <t>higher</t>
        </is>
      </c>
      <c r="H1873" s="48" t="n">
        <v>2</v>
      </c>
      <c r="I1873" s="48" t="inlineStr">
        <is>
          <t>Tasso di copertura del servizio con telecamere ADAS</t>
        </is>
      </c>
      <c r="J1873" s="73" t="n"/>
      <c r="K1873" s="73" t="n"/>
      <c r="L1873" s="73" t="n"/>
      <c r="M1873" s="73" t="n"/>
      <c r="N1873" s="57">
        <f>IF($A1873="","",IFERROR(VALUE($K1873)/VALUE($L1873),IFERROR(VALUE($J1873),0)))</f>
        <v/>
      </c>
      <c r="O1873" s="57">
        <f>IF($A1873="",0,IF(OR($S1873&lt;&gt;1,COUNTA($J1873:$M1873)=0),0,IF(SUMPRODUCT(MAX(($C$5:$C$2484=$C1873)*($D$5:$D$2484=$D1873)*($S$5:$S$2484=1)*IFERROR($N$5:$N$2484*1,0)))&gt;0,ROUND($H1873*($N1873/SUMPRODUCT(MAX(($C$5:$C$2484=$C1873)*($D$5:$D$2484=$D1873)*($S$5:$S$2484=1)*IFERROR($N$5:$N$2484*1,0)))),4),0)))</f>
        <v/>
      </c>
      <c r="P1873" s="48" t="inlineStr">
        <is>
          <t>Autobus attrezzati con telecamere ADAS / Autobus totali in offerta, incluse scorte</t>
        </is>
      </c>
      <c r="Q1873" s="57">
        <f>IF($A1873="","",$A1873&amp;"|"&amp;$C1873)</f>
        <v/>
      </c>
      <c r="R1873" s="57">
        <f>IF($A1873="","",$A1873&amp;"|"&amp;$C1873&amp;"|"&amp;$D1873)</f>
        <v/>
      </c>
      <c r="S1873" s="57">
        <f>IF($A1873="","",IFERROR(INDEX(Offerte!$D$2:$D$81,MATCH($Q1873,Offerte!$L$2:$L$81,0)),0))</f>
        <v/>
      </c>
      <c r="T1873" s="57">
        <f>IF($A1873="","",IFERROR(INDEX(Offerte!$G$2:$G$81,MATCH($Q1873,Offerte!$L$2:$L$81,0)),"NO"))</f>
        <v/>
      </c>
    </row>
    <row r="1874">
      <c r="A1874" s="48">
        <f>IF(Offerte!$A62="","",Offerte!$A62)</f>
        <v/>
      </c>
      <c r="B1874" s="48">
        <f>IF(Offerte!$A62="","",Offerte!$B62)</f>
        <v/>
      </c>
      <c r="C1874" s="48">
        <f>IF(Offerte!$A62="","",Offerte!$C62)</f>
        <v/>
      </c>
      <c r="D1874" s="48" t="inlineStr">
        <is>
          <t>C.2.1</t>
        </is>
      </c>
      <c r="E1874" s="48" t="inlineStr">
        <is>
          <t>C</t>
        </is>
      </c>
      <c r="F1874" s="48" t="inlineStr">
        <is>
          <t>Q</t>
        </is>
      </c>
      <c r="G1874" s="48" t="inlineStr">
        <is>
          <t>higher</t>
        </is>
      </c>
      <c r="H1874" s="48" t="n">
        <v>3</v>
      </c>
      <c r="I1874" s="48" t="inlineStr">
        <is>
          <t>Tasso di copertura del servizio con telecamere di bordo di videosorveglianza</t>
        </is>
      </c>
      <c r="J1874" s="73" t="n"/>
      <c r="K1874" s="73" t="n"/>
      <c r="L1874" s="73" t="n"/>
      <c r="M1874" s="73" t="n"/>
      <c r="N1874" s="57">
        <f>IF($A1874="","",IFERROR(VALUE($K1874)/VALUE($L1874),IFERROR(VALUE($J1874),0)))</f>
        <v/>
      </c>
      <c r="O1874" s="57">
        <f>IF($A1874="",0,IF(OR($S1874&lt;&gt;1,COUNTA($J1874:$M1874)=0),0,IF(SUMPRODUCT(MAX(($C$5:$C$2484=$C1874)*($D$5:$D$2484=$D1874)*($S$5:$S$2484=1)*IFERROR($N$5:$N$2484*1,0)))&gt;0,ROUND($H1874*($N1874/SUMPRODUCT(MAX(($C$5:$C$2484=$C1874)*($D$5:$D$2484=$D1874)*($S$5:$S$2484=1)*IFERROR($N$5:$N$2484*1,0)))),4),0)))</f>
        <v/>
      </c>
      <c r="P1874" s="48" t="inlineStr">
        <is>
          <t>Autobus attrezzati con videosorveglianza / Autobus totali in offerta, incluse scorte</t>
        </is>
      </c>
      <c r="Q1874" s="57">
        <f>IF($A1874="","",$A1874&amp;"|"&amp;$C1874)</f>
        <v/>
      </c>
      <c r="R1874" s="57">
        <f>IF($A1874="","",$A1874&amp;"|"&amp;$C1874&amp;"|"&amp;$D1874)</f>
        <v/>
      </c>
      <c r="S1874" s="57">
        <f>IF($A1874="","",IFERROR(INDEX(Offerte!$D$2:$D$81,MATCH($Q1874,Offerte!$L$2:$L$81,0)),0))</f>
        <v/>
      </c>
      <c r="T1874" s="57">
        <f>IF($A1874="","",IFERROR(INDEX(Offerte!$G$2:$G$81,MATCH($Q1874,Offerte!$L$2:$L$81,0)),"NO"))</f>
        <v/>
      </c>
    </row>
    <row r="1875">
      <c r="A1875" s="48">
        <f>IF(Offerte!$A62="","",Offerte!$A62)</f>
        <v/>
      </c>
      <c r="B1875" s="48">
        <f>IF(Offerte!$A62="","",Offerte!$B62)</f>
        <v/>
      </c>
      <c r="C1875" s="48">
        <f>IF(Offerte!$A62="","",Offerte!$C62)</f>
        <v/>
      </c>
      <c r="D1875" s="48" t="inlineStr">
        <is>
          <t>C.2.2</t>
        </is>
      </c>
      <c r="E1875" s="48" t="inlineStr">
        <is>
          <t>C</t>
        </is>
      </c>
      <c r="F1875" s="48" t="inlineStr">
        <is>
          <t>T</t>
        </is>
      </c>
      <c r="G1875" s="48" t="inlineStr">
        <is>
          <t>tabular</t>
        </is>
      </c>
      <c r="H1875" s="48" t="n">
        <v>1</v>
      </c>
      <c r="I1875" s="48" t="inlineStr">
        <is>
          <t>Software video/audio analisi per situazioni di pericolo</t>
        </is>
      </c>
      <c r="J1875" s="73" t="n"/>
      <c r="K1875" s="73" t="n"/>
      <c r="L1875" s="73" t="n"/>
      <c r="M1875" s="73" t="n"/>
      <c r="N1875" s="57">
        <f>IF($A1875="","",IF(IFERROR(VALUE($M1875),0)=1,1,0))</f>
        <v/>
      </c>
      <c r="O1875" s="57">
        <f>IF($A1875="",0,IF(OR($S1875&lt;&gt;1,COUNTA($J1875:$M1875)=0),0,IF($N1875=1,$H1875,0)))</f>
        <v/>
      </c>
      <c r="P1875" s="48" t="inlineStr">
        <is>
          <t>sì/no</t>
        </is>
      </c>
      <c r="Q1875" s="57">
        <f>IF($A1875="","",$A1875&amp;"|"&amp;$C1875)</f>
        <v/>
      </c>
      <c r="R1875" s="57">
        <f>IF($A1875="","",$A1875&amp;"|"&amp;$C1875&amp;"|"&amp;$D1875)</f>
        <v/>
      </c>
      <c r="S1875" s="57">
        <f>IF($A1875="","",IFERROR(INDEX(Offerte!$D$2:$D$81,MATCH($Q1875,Offerte!$L$2:$L$81,0)),0))</f>
        <v/>
      </c>
      <c r="T1875" s="57">
        <f>IF($A1875="","",IFERROR(INDEX(Offerte!$G$2:$G$81,MATCH($Q1875,Offerte!$L$2:$L$81,0)),"NO"))</f>
        <v/>
      </c>
    </row>
    <row r="1876">
      <c r="A1876" s="48">
        <f>IF(Offerte!$A62="","",Offerte!$A62)</f>
        <v/>
      </c>
      <c r="B1876" s="48">
        <f>IF(Offerte!$A62="","",Offerte!$B62)</f>
        <v/>
      </c>
      <c r="C1876" s="48">
        <f>IF(Offerte!$A62="","",Offerte!$C62)</f>
        <v/>
      </c>
      <c r="D1876" s="48" t="inlineStr">
        <is>
          <t>C.2.3</t>
        </is>
      </c>
      <c r="E1876" s="48" t="inlineStr">
        <is>
          <t>C</t>
        </is>
      </c>
      <c r="F1876" s="48" t="inlineStr">
        <is>
          <t>T</t>
        </is>
      </c>
      <c r="G1876" s="48" t="inlineStr">
        <is>
          <t>tabular</t>
        </is>
      </c>
      <c r="H1876" s="48" t="n">
        <v>1</v>
      </c>
      <c r="I1876" s="48" t="inlineStr">
        <is>
          <t>Collegamento con centrale qualificata di pronto intervento</t>
        </is>
      </c>
      <c r="J1876" s="73" t="n"/>
      <c r="K1876" s="73" t="n"/>
      <c r="L1876" s="73" t="n"/>
      <c r="M1876" s="73" t="n"/>
      <c r="N1876" s="57">
        <f>IF($A1876="","",IF(IFERROR(VALUE($M1876),0)=1,1,0))</f>
        <v/>
      </c>
      <c r="O1876" s="57">
        <f>IF($A1876="",0,IF(OR($S1876&lt;&gt;1,COUNTA($J1876:$M1876)=0),0,IF($N1876=1,$H1876,0)))</f>
        <v/>
      </c>
      <c r="P1876" s="48" t="inlineStr">
        <is>
          <t>sì/no</t>
        </is>
      </c>
      <c r="Q1876" s="57">
        <f>IF($A1876="","",$A1876&amp;"|"&amp;$C1876)</f>
        <v/>
      </c>
      <c r="R1876" s="57">
        <f>IF($A1876="","",$A1876&amp;"|"&amp;$C1876&amp;"|"&amp;$D1876)</f>
        <v/>
      </c>
      <c r="S1876" s="57">
        <f>IF($A1876="","",IFERROR(INDEX(Offerte!$D$2:$D$81,MATCH($Q1876,Offerte!$L$2:$L$81,0)),0))</f>
        <v/>
      </c>
      <c r="T1876" s="57">
        <f>IF($A1876="","",IFERROR(INDEX(Offerte!$G$2:$G$81,MATCH($Q1876,Offerte!$L$2:$L$81,0)),"NO"))</f>
        <v/>
      </c>
    </row>
    <row r="1877">
      <c r="A1877" s="48">
        <f>IF(Offerte!$A62="","",Offerte!$A62)</f>
        <v/>
      </c>
      <c r="B1877" s="48">
        <f>IF(Offerte!$A62="","",Offerte!$B62)</f>
        <v/>
      </c>
      <c r="C1877" s="48">
        <f>IF(Offerte!$A62="","",Offerte!$C62)</f>
        <v/>
      </c>
      <c r="D1877" s="48" t="inlineStr">
        <is>
          <t>C.2.4</t>
        </is>
      </c>
      <c r="E1877" s="48" t="inlineStr">
        <is>
          <t>C</t>
        </is>
      </c>
      <c r="F1877" s="48" t="inlineStr">
        <is>
          <t>Q</t>
        </is>
      </c>
      <c r="G1877" s="48" t="inlineStr">
        <is>
          <t>higher</t>
        </is>
      </c>
      <c r="H1877" s="48" t="n">
        <v>1</v>
      </c>
      <c r="I1877" s="48" t="inlineStr">
        <is>
          <t>Tasso di copertura del servizio con dispositivi per la chiamata di emergenza del conducente</t>
        </is>
      </c>
      <c r="J1877" s="73" t="n"/>
      <c r="K1877" s="73" t="n"/>
      <c r="L1877" s="73" t="n"/>
      <c r="M1877" s="73" t="n"/>
      <c r="N1877" s="57">
        <f>IF($A1877="","",IFERROR(VALUE($K1877)/VALUE($L1877),IFERROR(VALUE($J1877),0)))</f>
        <v/>
      </c>
      <c r="O1877" s="57">
        <f>IF($A1877="",0,IF(OR($S1877&lt;&gt;1,COUNTA($J1877:$M1877)=0),0,IF(SUMPRODUCT(MAX(($C$5:$C$2484=$C1877)*($D$5:$D$2484=$D1877)*($S$5:$S$2484=1)*IFERROR($N$5:$N$2484*1,0)))&gt;0,ROUND($H1877*($N1877/SUMPRODUCT(MAX(($C$5:$C$2484=$C1877)*($D$5:$D$2484=$D1877)*($S$5:$S$2484=1)*IFERROR($N$5:$N$2484*1,0)))),4),0)))</f>
        <v/>
      </c>
      <c r="P1877" s="48" t="inlineStr">
        <is>
          <t>Autobus attrezzati con chiamata di emergenza / Autobus totali in offerta, incluse scorte</t>
        </is>
      </c>
      <c r="Q1877" s="57">
        <f>IF($A1877="","",$A1877&amp;"|"&amp;$C1877)</f>
        <v/>
      </c>
      <c r="R1877" s="57">
        <f>IF($A1877="","",$A1877&amp;"|"&amp;$C1877&amp;"|"&amp;$D1877)</f>
        <v/>
      </c>
      <c r="S1877" s="57">
        <f>IF($A1877="","",IFERROR(INDEX(Offerte!$D$2:$D$81,MATCH($Q1877,Offerte!$L$2:$L$81,0)),0))</f>
        <v/>
      </c>
      <c r="T1877" s="57">
        <f>IF($A1877="","",IFERROR(INDEX(Offerte!$G$2:$G$81,MATCH($Q1877,Offerte!$L$2:$L$81,0)),"NO"))</f>
        <v/>
      </c>
    </row>
    <row r="1878">
      <c r="A1878" s="48">
        <f>IF(Offerte!$A62="","",Offerte!$A62)</f>
        <v/>
      </c>
      <c r="B1878" s="48">
        <f>IF(Offerte!$A62="","",Offerte!$B62)</f>
        <v/>
      </c>
      <c r="C1878" s="48">
        <f>IF(Offerte!$A62="","",Offerte!$C62)</f>
        <v/>
      </c>
      <c r="D1878" s="48" t="inlineStr">
        <is>
          <t>C.3.1</t>
        </is>
      </c>
      <c r="E1878" s="48" t="inlineStr">
        <is>
          <t>C</t>
        </is>
      </c>
      <c r="F1878" s="48" t="inlineStr">
        <is>
          <t>Q</t>
        </is>
      </c>
      <c r="G1878" s="48" t="inlineStr">
        <is>
          <t>higher</t>
        </is>
      </c>
      <c r="H1878" s="48" t="n">
        <v>2</v>
      </c>
      <c r="I1878" s="48" t="inlineStr">
        <is>
          <t>Tasso di copertura del servizio con dispositivi di informazione dinamica a bordo mezzo</t>
        </is>
      </c>
      <c r="J1878" s="73" t="n"/>
      <c r="K1878" s="73" t="n"/>
      <c r="L1878" s="73" t="n"/>
      <c r="M1878" s="73" t="n"/>
      <c r="N1878" s="57">
        <f>IF($A1878="","",IFERROR(VALUE($K1878)/VALUE($L1878),IFERROR(VALUE($J1878),0)))</f>
        <v/>
      </c>
      <c r="O1878" s="57">
        <f>IF($A1878="",0,IF(OR($S1878&lt;&gt;1,COUNTA($J1878:$M1878)=0),0,IF(SUMPRODUCT(MAX(($C$5:$C$2484=$C1878)*($D$5:$D$2484=$D1878)*($S$5:$S$2484=1)*IFERROR($N$5:$N$2484*1,0)))&gt;0,ROUND($H1878*($N1878/SUMPRODUCT(MAX(($C$5:$C$2484=$C1878)*($D$5:$D$2484=$D1878)*($S$5:$S$2484=1)*IFERROR($N$5:$N$2484*1,0)))),4),0)))</f>
        <v/>
      </c>
      <c r="P1878" s="48" t="inlineStr">
        <is>
          <t>Autobus con monitor e indicatori vocali / Autobus totali in offerta, incluse scorte</t>
        </is>
      </c>
      <c r="Q1878" s="57">
        <f>IF($A1878="","",$A1878&amp;"|"&amp;$C1878)</f>
        <v/>
      </c>
      <c r="R1878" s="57">
        <f>IF($A1878="","",$A1878&amp;"|"&amp;$C1878&amp;"|"&amp;$D1878)</f>
        <v/>
      </c>
      <c r="S1878" s="57">
        <f>IF($A1878="","",IFERROR(INDEX(Offerte!$D$2:$D$81,MATCH($Q1878,Offerte!$L$2:$L$81,0)),0))</f>
        <v/>
      </c>
      <c r="T1878" s="57">
        <f>IF($A1878="","",IFERROR(INDEX(Offerte!$G$2:$G$81,MATCH($Q1878,Offerte!$L$2:$L$81,0)),"NO"))</f>
        <v/>
      </c>
    </row>
    <row r="1879">
      <c r="A1879" s="48">
        <f>IF(Offerte!$A62="","",Offerte!$A62)</f>
        <v/>
      </c>
      <c r="B1879" s="48">
        <f>IF(Offerte!$A62="","",Offerte!$B62)</f>
        <v/>
      </c>
      <c r="C1879" s="48">
        <f>IF(Offerte!$A62="","",Offerte!$C62)</f>
        <v/>
      </c>
      <c r="D1879" s="48" t="inlineStr">
        <is>
          <t>C.3.2</t>
        </is>
      </c>
      <c r="E1879" s="48" t="inlineStr">
        <is>
          <t>C</t>
        </is>
      </c>
      <c r="F1879" s="48" t="inlineStr">
        <is>
          <t>T</t>
        </is>
      </c>
      <c r="G1879" s="48" t="inlineStr">
        <is>
          <t>tabular</t>
        </is>
      </c>
      <c r="H1879" s="48" t="n">
        <v>2</v>
      </c>
      <c r="I1879" s="48" t="inlineStr">
        <is>
          <t>Informazioni a bordo su coincidenze ai nodi</t>
        </is>
      </c>
      <c r="J1879" s="73" t="n"/>
      <c r="K1879" s="73" t="n"/>
      <c r="L1879" s="73" t="n"/>
      <c r="M1879" s="73" t="n"/>
      <c r="N1879" s="57">
        <f>IF($A1879="","",IF(IFERROR(VALUE($M1879),0)=1,1,0))</f>
        <v/>
      </c>
      <c r="O1879" s="57">
        <f>IF($A1879="",0,IF(OR($S1879&lt;&gt;1,COUNTA($J1879:$M1879)=0),0,IF(AND($N1879=1,IFERROR(SUMIFS($N$5:$N$2484,$Q$5:$Q$2484,$Q1879,$D$5:$D$2484,"C.3.1"),0)&gt;=0.5),$H1879,0)))</f>
        <v/>
      </c>
      <c r="P1879" s="48" t="inlineStr">
        <is>
          <t>Dipende da C.3.1 &gt;= 0.5</t>
        </is>
      </c>
      <c r="Q1879" s="57">
        <f>IF($A1879="","",$A1879&amp;"|"&amp;$C1879)</f>
        <v/>
      </c>
      <c r="R1879" s="57">
        <f>IF($A1879="","",$A1879&amp;"|"&amp;$C1879&amp;"|"&amp;$D1879)</f>
        <v/>
      </c>
      <c r="S1879" s="57">
        <f>IF($A1879="","",IFERROR(INDEX(Offerte!$D$2:$D$81,MATCH($Q1879,Offerte!$L$2:$L$81,0)),0))</f>
        <v/>
      </c>
      <c r="T1879" s="57">
        <f>IF($A1879="","",IFERROR(INDEX(Offerte!$G$2:$G$81,MATCH($Q1879,Offerte!$L$2:$L$81,0)),"NO"))</f>
        <v/>
      </c>
    </row>
    <row r="1880">
      <c r="A1880" s="48">
        <f>IF(Offerte!$A62="","",Offerte!$A62)</f>
        <v/>
      </c>
      <c r="B1880" s="48">
        <f>IF(Offerte!$A62="","",Offerte!$B62)</f>
        <v/>
      </c>
      <c r="C1880" s="48">
        <f>IF(Offerte!$A62="","",Offerte!$C62)</f>
        <v/>
      </c>
      <c r="D1880" s="48" t="inlineStr">
        <is>
          <t>D.1.1</t>
        </is>
      </c>
      <c r="E1880" s="48" t="inlineStr">
        <is>
          <t>D</t>
        </is>
      </c>
      <c r="F1880" s="48" t="inlineStr">
        <is>
          <t>Q</t>
        </is>
      </c>
      <c r="G1880" s="48" t="inlineStr">
        <is>
          <t>higher</t>
        </is>
      </c>
      <c r="H1880" s="48" t="n">
        <v>3</v>
      </c>
      <c r="I1880" s="48" t="inlineStr">
        <is>
          <t>Installazione di pensiline</t>
        </is>
      </c>
      <c r="J1880" s="73" t="n"/>
      <c r="K1880" s="73" t="n"/>
      <c r="L1880" s="73" t="n"/>
      <c r="M1880" s="73" t="n"/>
      <c r="N1880" s="57">
        <f>IF($A1880="","",IFERROR(VALUE($J1880),0))</f>
        <v/>
      </c>
      <c r="O1880" s="57">
        <f>IF($A1880="",0,IF(OR($S1880&lt;&gt;1,COUNTA($J1880:$M1880)=0),0,IF(SUMPRODUCT(MAX(($C$5:$C$2484=$C1880)*($D$5:$D$2484=$D1880)*($S$5:$S$2484=1)*IFERROR($N$5:$N$2484*1,0)))&gt;0,ROUND($H1880*($N1880/SUMPRODUCT(MAX(($C$5:$C$2484=$C1880)*($D$5:$D$2484=$D1880)*($S$5:$S$2484=1)*IFERROR($N$5:$N$2484*1,0)))),4),0)))</f>
        <v/>
      </c>
      <c r="P1880" s="48" t="inlineStr">
        <is>
          <t>fermate</t>
        </is>
      </c>
      <c r="Q1880" s="57">
        <f>IF($A1880="","",$A1880&amp;"|"&amp;$C1880)</f>
        <v/>
      </c>
      <c r="R1880" s="57">
        <f>IF($A1880="","",$A1880&amp;"|"&amp;$C1880&amp;"|"&amp;$D1880)</f>
        <v/>
      </c>
      <c r="S1880" s="57">
        <f>IF($A1880="","",IFERROR(INDEX(Offerte!$D$2:$D$81,MATCH($Q1880,Offerte!$L$2:$L$81,0)),0))</f>
        <v/>
      </c>
      <c r="T1880" s="57">
        <f>IF($A1880="","",IFERROR(INDEX(Offerte!$G$2:$G$81,MATCH($Q1880,Offerte!$L$2:$L$81,0)),"NO"))</f>
        <v/>
      </c>
    </row>
    <row r="1881">
      <c r="A1881" s="48">
        <f>IF(Offerte!$A62="","",Offerte!$A62)</f>
        <v/>
      </c>
      <c r="B1881" s="48">
        <f>IF(Offerte!$A62="","",Offerte!$B62)</f>
        <v/>
      </c>
      <c r="C1881" s="48">
        <f>IF(Offerte!$A62="","",Offerte!$C62)</f>
        <v/>
      </c>
      <c r="D1881" s="48" t="inlineStr">
        <is>
          <t>D.1.2</t>
        </is>
      </c>
      <c r="E1881" s="48" t="inlineStr">
        <is>
          <t>D</t>
        </is>
      </c>
      <c r="F1881" s="48" t="inlineStr">
        <is>
          <t>Q</t>
        </is>
      </c>
      <c r="G1881" s="48" t="inlineStr">
        <is>
          <t>higher</t>
        </is>
      </c>
      <c r="H1881" s="48" t="n">
        <v>3</v>
      </c>
      <c r="I1881" s="48" t="inlineStr">
        <is>
          <t>Installazione di paline di fermata conformi alla DGR 581/2023</t>
        </is>
      </c>
      <c r="J1881" s="73" t="n"/>
      <c r="K1881" s="73" t="n"/>
      <c r="L1881" s="73" t="n"/>
      <c r="M1881" s="73" t="n"/>
      <c r="N1881" s="57">
        <f>IF($A1881="","",IFERROR(VALUE($J1881),0))</f>
        <v/>
      </c>
      <c r="O1881" s="57">
        <f>IF($A1881="",0,IF(OR($S1881&lt;&gt;1,COUNTA($J1881:$M1881)=0),0,IF(SUMPRODUCT(MAX(($C$5:$C$2484=$C1881)*($D$5:$D$2484=$D1881)*($S$5:$S$2484=1)*IFERROR($N$5:$N$2484*1,0)))&gt;0,ROUND($H1881*($N1881/SUMPRODUCT(MAX(($C$5:$C$2484=$C1881)*($D$5:$D$2484=$D1881)*($S$5:$S$2484=1)*IFERROR($N$5:$N$2484*1,0)))),4),0)))</f>
        <v/>
      </c>
      <c r="P1881" s="48" t="inlineStr">
        <is>
          <t>fermate</t>
        </is>
      </c>
      <c r="Q1881" s="57">
        <f>IF($A1881="","",$A1881&amp;"|"&amp;$C1881)</f>
        <v/>
      </c>
      <c r="R1881" s="57">
        <f>IF($A1881="","",$A1881&amp;"|"&amp;$C1881&amp;"|"&amp;$D1881)</f>
        <v/>
      </c>
      <c r="S1881" s="57">
        <f>IF($A1881="","",IFERROR(INDEX(Offerte!$D$2:$D$81,MATCH($Q1881,Offerte!$L$2:$L$81,0)),0))</f>
        <v/>
      </c>
      <c r="T1881" s="57">
        <f>IF($A1881="","",IFERROR(INDEX(Offerte!$G$2:$G$81,MATCH($Q1881,Offerte!$L$2:$L$81,0)),"NO"))</f>
        <v/>
      </c>
    </row>
    <row r="1882">
      <c r="A1882" s="48">
        <f>IF(Offerte!$A62="","",Offerte!$A62)</f>
        <v/>
      </c>
      <c r="B1882" s="48">
        <f>IF(Offerte!$A62="","",Offerte!$B62)</f>
        <v/>
      </c>
      <c r="C1882" s="48">
        <f>IF(Offerte!$A62="","",Offerte!$C62)</f>
        <v/>
      </c>
      <c r="D1882" s="48" t="inlineStr">
        <is>
          <t>D.1.3</t>
        </is>
      </c>
      <c r="E1882" s="48" t="inlineStr">
        <is>
          <t>D</t>
        </is>
      </c>
      <c r="F1882" s="48" t="inlineStr">
        <is>
          <t>Q</t>
        </is>
      </c>
      <c r="G1882" s="48" t="inlineStr">
        <is>
          <t>higher</t>
        </is>
      </c>
      <c r="H1882" s="48" t="n">
        <v>2</v>
      </c>
      <c r="I1882" s="48" t="inlineStr">
        <is>
          <t>Display informativi connessi alle fermate</t>
        </is>
      </c>
      <c r="J1882" s="73" t="n"/>
      <c r="K1882" s="73" t="n"/>
      <c r="L1882" s="73" t="n"/>
      <c r="M1882" s="73" t="n"/>
      <c r="N1882" s="57">
        <f>IF($A1882="","",IFERROR(VALUE($J1882),0))</f>
        <v/>
      </c>
      <c r="O1882" s="57">
        <f>IF($A1882="",0,IF(OR($S1882&lt;&gt;1,COUNTA($J1882:$M1882)=0),0,IF(SUMPRODUCT(MAX(($C$5:$C$2484=$C1882)*($D$5:$D$2484=$D1882)*($S$5:$S$2484=1)*IFERROR($N$5:$N$2484*1,0)))&gt;0,ROUND($H1882*($N1882/SUMPRODUCT(MAX(($C$5:$C$2484=$C1882)*($D$5:$D$2484=$D1882)*($S$5:$S$2484=1)*IFERROR($N$5:$N$2484*1,0)))),4),0)))</f>
        <v/>
      </c>
      <c r="P1882" s="48" t="inlineStr">
        <is>
          <t>fermate</t>
        </is>
      </c>
      <c r="Q1882" s="57">
        <f>IF($A1882="","",$A1882&amp;"|"&amp;$C1882)</f>
        <v/>
      </c>
      <c r="R1882" s="57">
        <f>IF($A1882="","",$A1882&amp;"|"&amp;$C1882&amp;"|"&amp;$D1882)</f>
        <v/>
      </c>
      <c r="S1882" s="57">
        <f>IF($A1882="","",IFERROR(INDEX(Offerte!$D$2:$D$81,MATCH($Q1882,Offerte!$L$2:$L$81,0)),0))</f>
        <v/>
      </c>
      <c r="T1882" s="57">
        <f>IF($A1882="","",IFERROR(INDEX(Offerte!$G$2:$G$81,MATCH($Q1882,Offerte!$L$2:$L$81,0)),"NO"))</f>
        <v/>
      </c>
    </row>
    <row r="1883">
      <c r="A1883" s="48">
        <f>IF(Offerte!$A62="","",Offerte!$A62)</f>
        <v/>
      </c>
      <c r="B1883" s="48">
        <f>IF(Offerte!$A62="","",Offerte!$B62)</f>
        <v/>
      </c>
      <c r="C1883" s="48">
        <f>IF(Offerte!$A62="","",Offerte!$C62)</f>
        <v/>
      </c>
      <c r="D1883" s="48" t="inlineStr">
        <is>
          <t>D.2.1</t>
        </is>
      </c>
      <c r="E1883" s="48" t="inlineStr">
        <is>
          <t>D</t>
        </is>
      </c>
      <c r="F1883" s="48" t="inlineStr">
        <is>
          <t>Q</t>
        </is>
      </c>
      <c r="G1883" s="48" t="inlineStr">
        <is>
          <t>higher</t>
        </is>
      </c>
      <c r="H1883" s="48" t="n">
        <v>2</v>
      </c>
      <c r="I1883" s="48" t="inlineStr">
        <is>
          <t>Segnali tattili Loges-Vet-Evolution</t>
        </is>
      </c>
      <c r="J1883" s="73" t="n"/>
      <c r="K1883" s="73" t="n"/>
      <c r="L1883" s="73" t="n"/>
      <c r="M1883" s="73" t="n"/>
      <c r="N1883" s="57">
        <f>IF($A1883="","",IFERROR(VALUE($J1883),0))</f>
        <v/>
      </c>
      <c r="O1883" s="57">
        <f>IF($A1883="",0,IF(OR($S1883&lt;&gt;1,COUNTA($J1883:$M1883)=0),0,IF(SUMPRODUCT(MAX(($C$5:$C$2484=$C1883)*($D$5:$D$2484=$D1883)*($S$5:$S$2484=1)*IFERROR($N$5:$N$2484*1,0)))&gt;0,ROUND($H1883*($N1883/SUMPRODUCT(MAX(($C$5:$C$2484=$C1883)*($D$5:$D$2484=$D1883)*($S$5:$S$2484=1)*IFERROR($N$5:$N$2484*1,0)))),4),0)))</f>
        <v/>
      </c>
      <c r="P1883" s="48" t="inlineStr">
        <is>
          <t>fermate</t>
        </is>
      </c>
      <c r="Q1883" s="57">
        <f>IF($A1883="","",$A1883&amp;"|"&amp;$C1883)</f>
        <v/>
      </c>
      <c r="R1883" s="57">
        <f>IF($A1883="","",$A1883&amp;"|"&amp;$C1883&amp;"|"&amp;$D1883)</f>
        <v/>
      </c>
      <c r="S1883" s="57">
        <f>IF($A1883="","",IFERROR(INDEX(Offerte!$D$2:$D$81,MATCH($Q1883,Offerte!$L$2:$L$81,0)),0))</f>
        <v/>
      </c>
      <c r="T1883" s="57">
        <f>IF($A1883="","",IFERROR(INDEX(Offerte!$G$2:$G$81,MATCH($Q1883,Offerte!$L$2:$L$81,0)),"NO"))</f>
        <v/>
      </c>
    </row>
    <row r="1884">
      <c r="A1884" s="48">
        <f>IF(Offerte!$A62="","",Offerte!$A62)</f>
        <v/>
      </c>
      <c r="B1884" s="48">
        <f>IF(Offerte!$A62="","",Offerte!$B62)</f>
        <v/>
      </c>
      <c r="C1884" s="48">
        <f>IF(Offerte!$A62="","",Offerte!$C62)</f>
        <v/>
      </c>
      <c r="D1884" s="48" t="inlineStr">
        <is>
          <t>E.1.1</t>
        </is>
      </c>
      <c r="E1884" s="48" t="inlineStr">
        <is>
          <t>E</t>
        </is>
      </c>
      <c r="F1884" s="48" t="inlineStr">
        <is>
          <t>T</t>
        </is>
      </c>
      <c r="G1884" s="48" t="inlineStr">
        <is>
          <t>tabular</t>
        </is>
      </c>
      <c r="H1884" s="48" t="n">
        <v>2</v>
      </c>
      <c r="I1884" s="48" t="inlineStr">
        <is>
          <t>Mobile app con travel planner PRM</t>
        </is>
      </c>
      <c r="J1884" s="73" t="n"/>
      <c r="K1884" s="73" t="n"/>
      <c r="L1884" s="73" t="n"/>
      <c r="M1884" s="73" t="n"/>
      <c r="N1884" s="57">
        <f>IF($A1884="","",IF(IFERROR(VALUE($M1884),0)=1,1,0))</f>
        <v/>
      </c>
      <c r="O1884" s="57">
        <f>IF($A1884="",0,IF(OR($S1884&lt;&gt;1,COUNTA($J1884:$M1884)=0),0,IF($N1884=1,$H1884,0)))</f>
        <v/>
      </c>
      <c r="P1884" s="48" t="inlineStr">
        <is>
          <t>sì/no</t>
        </is>
      </c>
      <c r="Q1884" s="57">
        <f>IF($A1884="","",$A1884&amp;"|"&amp;$C1884)</f>
        <v/>
      </c>
      <c r="R1884" s="57">
        <f>IF($A1884="","",$A1884&amp;"|"&amp;$C1884&amp;"|"&amp;$D1884)</f>
        <v/>
      </c>
      <c r="S1884" s="57">
        <f>IF($A1884="","",IFERROR(INDEX(Offerte!$D$2:$D$81,MATCH($Q1884,Offerte!$L$2:$L$81,0)),0))</f>
        <v/>
      </c>
      <c r="T1884" s="57">
        <f>IF($A1884="","",IFERROR(INDEX(Offerte!$G$2:$G$81,MATCH($Q1884,Offerte!$L$2:$L$81,0)),"NO"))</f>
        <v/>
      </c>
    </row>
    <row r="1885">
      <c r="A1885" s="48">
        <f>IF(Offerte!$A62="","",Offerte!$A62)</f>
        <v/>
      </c>
      <c r="B1885" s="48">
        <f>IF(Offerte!$A62="","",Offerte!$B62)</f>
        <v/>
      </c>
      <c r="C1885" s="48">
        <f>IF(Offerte!$A62="","",Offerte!$C62)</f>
        <v/>
      </c>
      <c r="D1885" s="48" t="inlineStr">
        <is>
          <t>E.2.1</t>
        </is>
      </c>
      <c r="E1885" s="48" t="inlineStr">
        <is>
          <t>E</t>
        </is>
      </c>
      <c r="F1885" s="48" t="inlineStr">
        <is>
          <t>D</t>
        </is>
      </c>
      <c r="G1885" s="48" t="inlineStr">
        <is>
          <t>discretionary</t>
        </is>
      </c>
      <c r="H1885" s="48" t="n">
        <v>2</v>
      </c>
      <c r="I1885" s="48" t="inlineStr">
        <is>
          <t>Altre azioni informative e rapporti con gli utenti</t>
        </is>
      </c>
      <c r="J1885" s="73" t="n"/>
      <c r="K1885" s="73" t="n"/>
      <c r="L1885" s="73" t="n"/>
      <c r="M1885" s="73" t="n"/>
      <c r="N1885" s="57">
        <f>IF($A1885="","",MAX(0,MIN(1,IFERROR(VALUE($M1885),0))))</f>
        <v/>
      </c>
      <c r="O1885" s="57">
        <f>IF($A1885="",0,IF(OR($S1885&lt;&gt;1,COUNTA($J1885:$M1885)=0),0,IF(SUMPRODUCT(MAX(($C$5:$C$2484=$C1885)*($D$5:$D$2484=$D1885)*($S$5:$S$2484=1)*IFERROR($N$5:$N$2484*1,0)))&gt;0,ROUND($H1885*($N1885/SUMPRODUCT(MAX(($C$5:$C$2484=$C1885)*($D$5:$D$2484=$D1885)*($S$5:$S$2484=1)*IFERROR($N$5:$N$2484*1,0)))),4),0)))</f>
        <v/>
      </c>
      <c r="P1885" s="48" t="inlineStr">
        <is>
          <t>coeff.</t>
        </is>
      </c>
      <c r="Q1885" s="57">
        <f>IF($A1885="","",$A1885&amp;"|"&amp;$C1885)</f>
        <v/>
      </c>
      <c r="R1885" s="57">
        <f>IF($A1885="","",$A1885&amp;"|"&amp;$C1885&amp;"|"&amp;$D1885)</f>
        <v/>
      </c>
      <c r="S1885" s="57">
        <f>IF($A1885="","",IFERROR(INDEX(Offerte!$D$2:$D$81,MATCH($Q1885,Offerte!$L$2:$L$81,0)),0))</f>
        <v/>
      </c>
      <c r="T1885" s="57">
        <f>IF($A1885="","",IFERROR(INDEX(Offerte!$G$2:$G$81,MATCH($Q1885,Offerte!$L$2:$L$81,0)),"NO"))</f>
        <v/>
      </c>
    </row>
    <row r="1886">
      <c r="A1886" s="48">
        <f>IF(Offerte!$A62="","",Offerte!$A62)</f>
        <v/>
      </c>
      <c r="B1886" s="48">
        <f>IF(Offerte!$A62="","",Offerte!$B62)</f>
        <v/>
      </c>
      <c r="C1886" s="48">
        <f>IF(Offerte!$A62="","",Offerte!$C62)</f>
        <v/>
      </c>
      <c r="D1886" s="48" t="inlineStr">
        <is>
          <t>F.1.1</t>
        </is>
      </c>
      <c r="E1886" s="48" t="inlineStr">
        <is>
          <t>F</t>
        </is>
      </c>
      <c r="F1886" s="48" t="inlineStr">
        <is>
          <t>Q</t>
        </is>
      </c>
      <c r="G1886" s="48" t="inlineStr">
        <is>
          <t>lower</t>
        </is>
      </c>
      <c r="H1886" s="48" t="n">
        <v>7</v>
      </c>
      <c r="I1886" s="48" t="inlineStr">
        <is>
          <t>Performance ambientali del parco mezzi adibito al servizio - I_CEA</t>
        </is>
      </c>
      <c r="J1886" s="73" t="n"/>
      <c r="K1886" s="73" t="n"/>
      <c r="L1886" s="73" t="n"/>
      <c r="M1886" s="73" t="n"/>
      <c r="N1886" s="57">
        <f>IF($A1886="","",IFERROR(VALUE($J1886),0))</f>
        <v/>
      </c>
      <c r="O1886" s="57">
        <f>IF($A1886="",0,IF(OR($S1886&lt;&gt;1,COUNTA($J1886:$M1886)=0),0,IF(AND(IFERROR(AGGREGATE(15,6,$N$5:$N$2484/(($C$5:$C$2484=$C1886)*($D$5:$D$2484=$D1886)*($S$5:$S$2484=1)*($N$5:$N$2484&gt;0)),1),0)&gt;0,$N1886&gt;0),ROUND($H1886*(IFERROR(AGGREGATE(15,6,$N$5:$N$2484/(($C$5:$C$2484=$C1886)*($D$5:$D$2484=$D1886)*($S$5:$S$2484=1)*($N$5:$N$2484&gt;0)),1),0)/$N1886),4),0)))</f>
        <v/>
      </c>
      <c r="P1886" s="48" t="inlineStr">
        <is>
          <t>indice</t>
        </is>
      </c>
      <c r="Q1886" s="57">
        <f>IF($A1886="","",$A1886&amp;"|"&amp;$C1886)</f>
        <v/>
      </c>
      <c r="R1886" s="57">
        <f>IF($A1886="","",$A1886&amp;"|"&amp;$C1886&amp;"|"&amp;$D1886)</f>
        <v/>
      </c>
      <c r="S1886" s="57">
        <f>IF($A1886="","",IFERROR(INDEX(Offerte!$D$2:$D$81,MATCH($Q1886,Offerte!$L$2:$L$81,0)),0))</f>
        <v/>
      </c>
      <c r="T1886" s="57">
        <f>IF($A1886="","",IFERROR(INDEX(Offerte!$G$2:$G$81,MATCH($Q1886,Offerte!$L$2:$L$81,0)),"NO"))</f>
        <v/>
      </c>
    </row>
    <row r="1887">
      <c r="A1887" s="48">
        <f>IF(Offerte!$A62="","",Offerte!$A62)</f>
        <v/>
      </c>
      <c r="B1887" s="48">
        <f>IF(Offerte!$A62="","",Offerte!$B62)</f>
        <v/>
      </c>
      <c r="C1887" s="48">
        <f>IF(Offerte!$A62="","",Offerte!$C62)</f>
        <v/>
      </c>
      <c r="D1887" s="48" t="inlineStr">
        <is>
          <t>F.2.1</t>
        </is>
      </c>
      <c r="E1887" s="48" t="inlineStr">
        <is>
          <t>F</t>
        </is>
      </c>
      <c r="F1887" s="48" t="inlineStr">
        <is>
          <t>Q</t>
        </is>
      </c>
      <c r="G1887" s="48" t="inlineStr">
        <is>
          <t>higher</t>
        </is>
      </c>
      <c r="H1887" s="48" t="n">
        <v>2</v>
      </c>
      <c r="I1887" s="48" t="inlineStr">
        <is>
          <t>Tasso di copertura del servizio con dispositivi ECO-DRIVER</t>
        </is>
      </c>
      <c r="J1887" s="73" t="n"/>
      <c r="K1887" s="73" t="n"/>
      <c r="L1887" s="73" t="n"/>
      <c r="M1887" s="73" t="n"/>
      <c r="N1887" s="57">
        <f>IF($A1887="","",IFERROR(VALUE($K1887)/VALUE($L1887),IFERROR(VALUE($J1887),0)))</f>
        <v/>
      </c>
      <c r="O1887" s="57">
        <f>IF($A1887="",0,IF(OR($S1887&lt;&gt;1,COUNTA($J1887:$M1887)=0),0,IF(SUMPRODUCT(MAX(($C$5:$C$2484=$C1887)*($D$5:$D$2484=$D1887)*($S$5:$S$2484=1)*IFERROR($N$5:$N$2484*1,0)))&gt;0,ROUND($H1887*($N1887/SUMPRODUCT(MAX(($C$5:$C$2484=$C1887)*($D$5:$D$2484=$D1887)*($S$5:$S$2484=1)*IFERROR($N$5:$N$2484*1,0)))),4),0)))</f>
        <v/>
      </c>
      <c r="P1887" s="48" t="inlineStr">
        <is>
          <t>Autobus attrezzati con dispositivi ECO-DRIVER / Autobus totali in offerta, incluse scorte</t>
        </is>
      </c>
      <c r="Q1887" s="57">
        <f>IF($A1887="","",$A1887&amp;"|"&amp;$C1887)</f>
        <v/>
      </c>
      <c r="R1887" s="57">
        <f>IF($A1887="","",$A1887&amp;"|"&amp;$C1887&amp;"|"&amp;$D1887)</f>
        <v/>
      </c>
      <c r="S1887" s="57">
        <f>IF($A1887="","",IFERROR(INDEX(Offerte!$D$2:$D$81,MATCH($Q1887,Offerte!$L$2:$L$81,0)),0))</f>
        <v/>
      </c>
      <c r="T1887" s="57">
        <f>IF($A1887="","",IFERROR(INDEX(Offerte!$G$2:$G$81,MATCH($Q1887,Offerte!$L$2:$L$81,0)),"NO"))</f>
        <v/>
      </c>
    </row>
    <row r="1888">
      <c r="A1888" s="48">
        <f>IF(Offerte!$A62="","",Offerte!$A62)</f>
        <v/>
      </c>
      <c r="B1888" s="48">
        <f>IF(Offerte!$A62="","",Offerte!$B62)</f>
        <v/>
      </c>
      <c r="C1888" s="48">
        <f>IF(Offerte!$A62="","",Offerte!$C62)</f>
        <v/>
      </c>
      <c r="D1888" s="48" t="inlineStr">
        <is>
          <t>F.3.1</t>
        </is>
      </c>
      <c r="E1888" s="48" t="inlineStr">
        <is>
          <t>F</t>
        </is>
      </c>
      <c r="F1888" s="48" t="inlineStr">
        <is>
          <t>Q</t>
        </is>
      </c>
      <c r="G1888" s="48" t="inlineStr">
        <is>
          <t>higher</t>
        </is>
      </c>
      <c r="H1888" s="48" t="n">
        <v>2</v>
      </c>
      <c r="I1888" s="48" t="inlineStr">
        <is>
          <t>Autoproduzione consumi elettrici per trazione</t>
        </is>
      </c>
      <c r="J1888" s="73" t="n"/>
      <c r="K1888" s="73" t="n"/>
      <c r="L1888" s="73" t="n"/>
      <c r="M1888" s="73" t="n"/>
      <c r="N1888" s="57">
        <f>IF($A1888="","",IFERROR(VALUE($J1888),0))</f>
        <v/>
      </c>
      <c r="O1888" s="57">
        <f>IF($A1888="",0,IF(OR($S1888&lt;&gt;1,COUNTA($J1888:$M1888)=0),0,IF(SUMPRODUCT(MAX(($C$5:$C$2484=$C1888)*($D$5:$D$2484=$D1888)*($S$5:$S$2484=1)*IFERROR($N$5:$N$2484*1,0)))&gt;0,ROUND($H1888*($N1888/SUMPRODUCT(MAX(($C$5:$C$2484=$C1888)*($D$5:$D$2484=$D1888)*($S$5:$S$2484=1)*IFERROR($N$5:$N$2484*1,0)))),4),0)))</f>
        <v/>
      </c>
      <c r="P1888" s="48" t="inlineStr">
        <is>
          <t>kWh/anno</t>
        </is>
      </c>
      <c r="Q1888" s="57">
        <f>IF($A1888="","",$A1888&amp;"|"&amp;$C1888)</f>
        <v/>
      </c>
      <c r="R1888" s="57">
        <f>IF($A1888="","",$A1888&amp;"|"&amp;$C1888&amp;"|"&amp;$D1888)</f>
        <v/>
      </c>
      <c r="S1888" s="57">
        <f>IF($A1888="","",IFERROR(INDEX(Offerte!$D$2:$D$81,MATCH($Q1888,Offerte!$L$2:$L$81,0)),0))</f>
        <v/>
      </c>
      <c r="T1888" s="57">
        <f>IF($A1888="","",IFERROR(INDEX(Offerte!$G$2:$G$81,MATCH($Q1888,Offerte!$L$2:$L$81,0)),"NO"))</f>
        <v/>
      </c>
    </row>
    <row r="1889">
      <c r="A1889" s="48">
        <f>IF(Offerte!$A62="","",Offerte!$A62)</f>
        <v/>
      </c>
      <c r="B1889" s="48">
        <f>IF(Offerte!$A62="","",Offerte!$B62)</f>
        <v/>
      </c>
      <c r="C1889" s="48">
        <f>IF(Offerte!$A62="","",Offerte!$C62)</f>
        <v/>
      </c>
      <c r="D1889" s="48" t="inlineStr">
        <is>
          <t>F.4.1</t>
        </is>
      </c>
      <c r="E1889" s="48" t="inlineStr">
        <is>
          <t>F</t>
        </is>
      </c>
      <c r="F1889" s="48" t="inlineStr">
        <is>
          <t>Q</t>
        </is>
      </c>
      <c r="G1889" s="48" t="inlineStr">
        <is>
          <t>soil</t>
        </is>
      </c>
      <c r="H1889" s="48" t="n">
        <v>2</v>
      </c>
      <c r="I1889" s="48" t="inlineStr">
        <is>
          <t>Indice di consumo di suolo</t>
        </is>
      </c>
      <c r="J1889" s="73" t="n"/>
      <c r="K1889" s="73" t="n"/>
      <c r="L1889" s="73" t="n"/>
      <c r="M1889" s="73" t="n"/>
      <c r="N1889" s="57">
        <f>IF($A1889="","",IFERROR(VALUE($J1889),0))</f>
        <v/>
      </c>
      <c r="O1889" s="57">
        <f>IF($A1889="",0,IF(OR($S1889&lt;&gt;1,COUNTA($J1889:$M1889)=0),0,IF($N1889&lt;=0,$H1889,IF(SUMPRODUCT(MAX(($C$5:$C$2484=$C1889)*($D$5:$D$2484=$D1889)*($S$5:$S$2484=1)*IFERROR($N$5:$N$2484*1,0)))&gt;0,ROUND($H1889*((SUMPRODUCT(MAX(($C$5:$C$2484=$C1889)*($D$5:$D$2484=$D1889)*($S$5:$S$2484=1)*IFERROR($N$5:$N$2484*1,0)))-$N1889)/SUMPRODUCT(MAX(($C$5:$C$2484=$C1889)*($D$5:$D$2484=$D1889)*($S$5:$S$2484=1)*IFERROR($N$5:$N$2484*1,0)))),4),0))))</f>
        <v/>
      </c>
      <c r="P1889" s="48" t="inlineStr">
        <is>
          <t>m2</t>
        </is>
      </c>
      <c r="Q1889" s="57">
        <f>IF($A1889="","",$A1889&amp;"|"&amp;$C1889)</f>
        <v/>
      </c>
      <c r="R1889" s="57">
        <f>IF($A1889="","",$A1889&amp;"|"&amp;$C1889&amp;"|"&amp;$D1889)</f>
        <v/>
      </c>
      <c r="S1889" s="57">
        <f>IF($A1889="","",IFERROR(INDEX(Offerte!$D$2:$D$81,MATCH($Q1889,Offerte!$L$2:$L$81,0)),0))</f>
        <v/>
      </c>
      <c r="T1889" s="57">
        <f>IF($A1889="","",IFERROR(INDEX(Offerte!$G$2:$G$81,MATCH($Q1889,Offerte!$L$2:$L$81,0)),"NO"))</f>
        <v/>
      </c>
    </row>
    <row r="1890">
      <c r="A1890" s="48">
        <f>IF(Offerte!$A62="","",Offerte!$A62)</f>
        <v/>
      </c>
      <c r="B1890" s="48">
        <f>IF(Offerte!$A62="","",Offerte!$B62)</f>
        <v/>
      </c>
      <c r="C1890" s="48">
        <f>IF(Offerte!$A62="","",Offerte!$C62)</f>
        <v/>
      </c>
      <c r="D1890" s="48" t="inlineStr">
        <is>
          <t>F.5.1</t>
        </is>
      </c>
      <c r="E1890" s="48" t="inlineStr">
        <is>
          <t>F</t>
        </is>
      </c>
      <c r="F1890" s="48" t="inlineStr">
        <is>
          <t>T</t>
        </is>
      </c>
      <c r="G1890" s="48" t="inlineStr">
        <is>
          <t>tabular</t>
        </is>
      </c>
      <c r="H1890" s="48" t="n">
        <v>1</v>
      </c>
      <c r="I1890" s="48" t="inlineStr">
        <is>
          <t>Rendicontazione di sostenibilità ambientale</t>
        </is>
      </c>
      <c r="J1890" s="73" t="n"/>
      <c r="K1890" s="73" t="n"/>
      <c r="L1890" s="73" t="n"/>
      <c r="M1890" s="73" t="n"/>
      <c r="N1890" s="57">
        <f>IF($A1890="","",IF(IFERROR(VALUE($M1890),0)=1,1,0))</f>
        <v/>
      </c>
      <c r="O1890" s="57">
        <f>IF($A1890="",0,IF(OR($S1890&lt;&gt;1,COUNTA($J1890:$M1890)=0),0,IF($N1890=1,$H1890,0)))</f>
        <v/>
      </c>
      <c r="P1890" s="48" t="inlineStr">
        <is>
          <t>sì/no</t>
        </is>
      </c>
      <c r="Q1890" s="57">
        <f>IF($A1890="","",$A1890&amp;"|"&amp;$C1890)</f>
        <v/>
      </c>
      <c r="R1890" s="57">
        <f>IF($A1890="","",$A1890&amp;"|"&amp;$C1890&amp;"|"&amp;$D1890)</f>
        <v/>
      </c>
      <c r="S1890" s="57">
        <f>IF($A1890="","",IFERROR(INDEX(Offerte!$D$2:$D$81,MATCH($Q1890,Offerte!$L$2:$L$81,0)),0))</f>
        <v/>
      </c>
      <c r="T1890" s="57">
        <f>IF($A1890="","",IFERROR(INDEX(Offerte!$G$2:$G$81,MATCH($Q1890,Offerte!$L$2:$L$81,0)),"NO"))</f>
        <v/>
      </c>
    </row>
    <row r="1891">
      <c r="A1891" s="48">
        <f>IF(Offerte!$A62="","",Offerte!$A62)</f>
        <v/>
      </c>
      <c r="B1891" s="48">
        <f>IF(Offerte!$A62="","",Offerte!$B62)</f>
        <v/>
      </c>
      <c r="C1891" s="48">
        <f>IF(Offerte!$A62="","",Offerte!$C62)</f>
        <v/>
      </c>
      <c r="D1891" s="48" t="inlineStr">
        <is>
          <t>G.1.1</t>
        </is>
      </c>
      <c r="E1891" s="48" t="inlineStr">
        <is>
          <t>G</t>
        </is>
      </c>
      <c r="F1891" s="48" t="inlineStr">
        <is>
          <t>D</t>
        </is>
      </c>
      <c r="G1891" s="48" t="inlineStr">
        <is>
          <t>discretionary</t>
        </is>
      </c>
      <c r="H1891" s="48" t="n">
        <v>2</v>
      </c>
      <c r="I1891" s="48" t="inlineStr">
        <is>
          <t>Qualità del progetto di centrale di controllo aziendale</t>
        </is>
      </c>
      <c r="J1891" s="73" t="n"/>
      <c r="K1891" s="73" t="n"/>
      <c r="L1891" s="73" t="n"/>
      <c r="M1891" s="73" t="n"/>
      <c r="N1891" s="57">
        <f>IF($A1891="","",MAX(0,MIN(1,IFERROR(VALUE($M1891),0))))</f>
        <v/>
      </c>
      <c r="O1891" s="57">
        <f>IF($A1891="",0,IF(OR($S1891&lt;&gt;1,COUNTA($J1891:$M1891)=0),0,IF(SUMPRODUCT(MAX(($C$5:$C$2484=$C1891)*($D$5:$D$2484=$D1891)*($S$5:$S$2484=1)*IFERROR($N$5:$N$2484*1,0)))&gt;0,ROUND($H1891*($N1891/SUMPRODUCT(MAX(($C$5:$C$2484=$C1891)*($D$5:$D$2484=$D1891)*($S$5:$S$2484=1)*IFERROR($N$5:$N$2484*1,0)))),4),0)))</f>
        <v/>
      </c>
      <c r="P1891" s="48" t="inlineStr">
        <is>
          <t>coeff.</t>
        </is>
      </c>
      <c r="Q1891" s="57">
        <f>IF($A1891="","",$A1891&amp;"|"&amp;$C1891)</f>
        <v/>
      </c>
      <c r="R1891" s="57">
        <f>IF($A1891="","",$A1891&amp;"|"&amp;$C1891&amp;"|"&amp;$D1891)</f>
        <v/>
      </c>
      <c r="S1891" s="57">
        <f>IF($A1891="","",IFERROR(INDEX(Offerte!$D$2:$D$81,MATCH($Q1891,Offerte!$L$2:$L$81,0)),0))</f>
        <v/>
      </c>
      <c r="T1891" s="57">
        <f>IF($A1891="","",IFERROR(INDEX(Offerte!$G$2:$G$81,MATCH($Q1891,Offerte!$L$2:$L$81,0)),"NO"))</f>
        <v/>
      </c>
    </row>
    <row r="1892">
      <c r="A1892" s="48">
        <f>IF(Offerte!$A62="","",Offerte!$A62)</f>
        <v/>
      </c>
      <c r="B1892" s="48">
        <f>IF(Offerte!$A62="","",Offerte!$B62)</f>
        <v/>
      </c>
      <c r="C1892" s="48">
        <f>IF(Offerte!$A62="","",Offerte!$C62)</f>
        <v/>
      </c>
      <c r="D1892" s="48" t="inlineStr">
        <is>
          <t>G.2.1</t>
        </is>
      </c>
      <c r="E1892" s="48" t="inlineStr">
        <is>
          <t>G</t>
        </is>
      </c>
      <c r="F1892" s="48" t="inlineStr">
        <is>
          <t>T</t>
        </is>
      </c>
      <c r="G1892" s="48" t="inlineStr">
        <is>
          <t>tabular</t>
        </is>
      </c>
      <c r="H1892" s="48" t="n">
        <v>1</v>
      </c>
      <c r="I1892" s="48" t="inlineStr">
        <is>
          <t>Certificazione ISO 45001</t>
        </is>
      </c>
      <c r="J1892" s="73" t="n"/>
      <c r="K1892" s="73" t="n"/>
      <c r="L1892" s="73" t="n"/>
      <c r="M1892" s="73" t="n"/>
      <c r="N1892" s="57">
        <f>IF($A1892="","",IF(IFERROR(VALUE($M1892),0)=1,1,0))</f>
        <v/>
      </c>
      <c r="O1892" s="57">
        <f>IF($A1892="",0,IF(OR($S1892&lt;&gt;1,COUNTA($J1892:$M1892)=0),0,IF($N1892=1,$H1892,0)))</f>
        <v/>
      </c>
      <c r="P1892" s="48" t="inlineStr">
        <is>
          <t>sì/no</t>
        </is>
      </c>
      <c r="Q1892" s="57">
        <f>IF($A1892="","",$A1892&amp;"|"&amp;$C1892)</f>
        <v/>
      </c>
      <c r="R1892" s="57">
        <f>IF($A1892="","",$A1892&amp;"|"&amp;$C1892&amp;"|"&amp;$D1892)</f>
        <v/>
      </c>
      <c r="S1892" s="57">
        <f>IF($A1892="","",IFERROR(INDEX(Offerte!$D$2:$D$81,MATCH($Q1892,Offerte!$L$2:$L$81,0)),0))</f>
        <v/>
      </c>
      <c r="T1892" s="57">
        <f>IF($A1892="","",IFERROR(INDEX(Offerte!$G$2:$G$81,MATCH($Q1892,Offerte!$L$2:$L$81,0)),"NO"))</f>
        <v/>
      </c>
    </row>
    <row r="1893">
      <c r="A1893" s="48">
        <f>IF(Offerte!$A62="","",Offerte!$A62)</f>
        <v/>
      </c>
      <c r="B1893" s="48">
        <f>IF(Offerte!$A62="","",Offerte!$B62)</f>
        <v/>
      </c>
      <c r="C1893" s="48">
        <f>IF(Offerte!$A62="","",Offerte!$C62)</f>
        <v/>
      </c>
      <c r="D1893" s="48" t="inlineStr">
        <is>
          <t>G.3.1</t>
        </is>
      </c>
      <c r="E1893" s="48" t="inlineStr">
        <is>
          <t>G</t>
        </is>
      </c>
      <c r="F1893" s="48" t="inlineStr">
        <is>
          <t>T</t>
        </is>
      </c>
      <c r="G1893" s="48" t="inlineStr">
        <is>
          <t>tabular</t>
        </is>
      </c>
      <c r="H1893" s="48" t="n">
        <v>1</v>
      </c>
      <c r="I1893" s="48" t="inlineStr">
        <is>
          <t>Certificazioni di responsabilità sociale</t>
        </is>
      </c>
      <c r="J1893" s="73" t="n"/>
      <c r="K1893" s="73" t="n"/>
      <c r="L1893" s="73" t="n"/>
      <c r="M1893" s="73" t="n"/>
      <c r="N1893" s="57">
        <f>IF($A1893="","",IF(IFERROR(VALUE($M1893),0)=1,1,0))</f>
        <v/>
      </c>
      <c r="O1893" s="57">
        <f>IF($A1893="",0,IF(OR($S1893&lt;&gt;1,COUNTA($J1893:$M1893)=0),0,IF($N1893=1,$H1893,0)))</f>
        <v/>
      </c>
      <c r="P1893" s="48" t="inlineStr">
        <is>
          <t>sì/no</t>
        </is>
      </c>
      <c r="Q1893" s="57">
        <f>IF($A1893="","",$A1893&amp;"|"&amp;$C1893)</f>
        <v/>
      </c>
      <c r="R1893" s="57">
        <f>IF($A1893="","",$A1893&amp;"|"&amp;$C1893&amp;"|"&amp;$D1893)</f>
        <v/>
      </c>
      <c r="S1893" s="57">
        <f>IF($A1893="","",IFERROR(INDEX(Offerte!$D$2:$D$81,MATCH($Q1893,Offerte!$L$2:$L$81,0)),0))</f>
        <v/>
      </c>
      <c r="T1893" s="57">
        <f>IF($A1893="","",IFERROR(INDEX(Offerte!$G$2:$G$81,MATCH($Q1893,Offerte!$L$2:$L$81,0)),"NO"))</f>
        <v/>
      </c>
    </row>
    <row r="1894">
      <c r="A1894" s="48">
        <f>IF(Offerte!$A62="","",Offerte!$A62)</f>
        <v/>
      </c>
      <c r="B1894" s="48">
        <f>IF(Offerte!$A62="","",Offerte!$B62)</f>
        <v/>
      </c>
      <c r="C1894" s="48">
        <f>IF(Offerte!$A62="","",Offerte!$C62)</f>
        <v/>
      </c>
      <c r="D1894" s="48" t="inlineStr">
        <is>
          <t>G.4.1</t>
        </is>
      </c>
      <c r="E1894" s="48" t="inlineStr">
        <is>
          <t>G</t>
        </is>
      </c>
      <c r="F1894" s="48" t="inlineStr">
        <is>
          <t>D</t>
        </is>
      </c>
      <c r="G1894" s="48" t="inlineStr">
        <is>
          <t>discretionary</t>
        </is>
      </c>
      <c r="H1894" s="48" t="n">
        <v>2</v>
      </c>
      <c r="I1894" s="48" t="inlineStr">
        <is>
          <t>Qualità del piano di formazione del personale</t>
        </is>
      </c>
      <c r="J1894" s="73" t="n"/>
      <c r="K1894" s="73" t="n"/>
      <c r="L1894" s="73" t="n"/>
      <c r="M1894" s="73" t="n"/>
      <c r="N1894" s="57">
        <f>IF($A1894="","",MAX(0,MIN(1,IFERROR(VALUE($M1894),0))))</f>
        <v/>
      </c>
      <c r="O1894" s="57">
        <f>IF($A1894="",0,IF(OR($S1894&lt;&gt;1,COUNTA($J1894:$M1894)=0),0,IF(SUMPRODUCT(MAX(($C$5:$C$2484=$C1894)*($D$5:$D$2484=$D1894)*($S$5:$S$2484=1)*IFERROR($N$5:$N$2484*1,0)))&gt;0,ROUND($H1894*($N1894/SUMPRODUCT(MAX(($C$5:$C$2484=$C1894)*($D$5:$D$2484=$D1894)*($S$5:$S$2484=1)*IFERROR($N$5:$N$2484*1,0)))),4),0)))</f>
        <v/>
      </c>
      <c r="P1894" s="48" t="inlineStr">
        <is>
          <t>coeff.</t>
        </is>
      </c>
      <c r="Q1894" s="57">
        <f>IF($A1894="","",$A1894&amp;"|"&amp;$C1894)</f>
        <v/>
      </c>
      <c r="R1894" s="57">
        <f>IF($A1894="","",$A1894&amp;"|"&amp;$C1894&amp;"|"&amp;$D1894)</f>
        <v/>
      </c>
      <c r="S1894" s="57">
        <f>IF($A1894="","",IFERROR(INDEX(Offerte!$D$2:$D$81,MATCH($Q1894,Offerte!$L$2:$L$81,0)),0))</f>
        <v/>
      </c>
      <c r="T1894" s="57">
        <f>IF($A1894="","",IFERROR(INDEX(Offerte!$G$2:$G$81,MATCH($Q1894,Offerte!$L$2:$L$81,0)),"NO"))</f>
        <v/>
      </c>
    </row>
    <row r="1895">
      <c r="A1895" s="48">
        <f>IF(Offerte!$A62="","",Offerte!$A62)</f>
        <v/>
      </c>
      <c r="B1895" s="48">
        <f>IF(Offerte!$A62="","",Offerte!$B62)</f>
        <v/>
      </c>
      <c r="C1895" s="48">
        <f>IF(Offerte!$A62="","",Offerte!$C62)</f>
        <v/>
      </c>
      <c r="D1895" s="48" t="inlineStr">
        <is>
          <t>G.5.1</t>
        </is>
      </c>
      <c r="E1895" s="48" t="inlineStr">
        <is>
          <t>G</t>
        </is>
      </c>
      <c r="F1895" s="48" t="inlineStr">
        <is>
          <t>T</t>
        </is>
      </c>
      <c r="G1895" s="48" t="inlineStr">
        <is>
          <t>tabular</t>
        </is>
      </c>
      <c r="H1895" s="48" t="n">
        <v>1</v>
      </c>
      <c r="I1895" s="48" t="inlineStr">
        <is>
          <t>Impegno al mantenimento delle garanzie del contratto di secondo livello del gestore uscente</t>
        </is>
      </c>
      <c r="J1895" s="73" t="n"/>
      <c r="K1895" s="73" t="n"/>
      <c r="L1895" s="73" t="n"/>
      <c r="M1895" s="73" t="n"/>
      <c r="N1895" s="57">
        <f>IF($A1895="","",IF(IFERROR(VALUE($M1895),0)=1,1,0))</f>
        <v/>
      </c>
      <c r="O1895" s="57">
        <f>IF($A1895="",0,IF(OR($S1895&lt;&gt;1,COUNTA($J1895:$M1895)=0),0,IF($N1895=1,$H1895,0)))</f>
        <v/>
      </c>
      <c r="P1895" s="48" t="inlineStr">
        <is>
          <t>sì/no</t>
        </is>
      </c>
      <c r="Q1895" s="57">
        <f>IF($A1895="","",$A1895&amp;"|"&amp;$C1895)</f>
        <v/>
      </c>
      <c r="R1895" s="57">
        <f>IF($A1895="","",$A1895&amp;"|"&amp;$C1895&amp;"|"&amp;$D1895)</f>
        <v/>
      </c>
      <c r="S1895" s="57">
        <f>IF($A1895="","",IFERROR(INDEX(Offerte!$D$2:$D$81,MATCH($Q1895,Offerte!$L$2:$L$81,0)),0))</f>
        <v/>
      </c>
      <c r="T1895" s="57">
        <f>IF($A1895="","",IFERROR(INDEX(Offerte!$G$2:$G$81,MATCH($Q1895,Offerte!$L$2:$L$81,0)),"NO"))</f>
        <v/>
      </c>
    </row>
    <row r="1896">
      <c r="A1896" s="48">
        <f>IF(Offerte!$A63="","",Offerte!$A63)</f>
        <v/>
      </c>
      <c r="B1896" s="48">
        <f>IF(Offerte!$A63="","",Offerte!$B63)</f>
        <v/>
      </c>
      <c r="C1896" s="48">
        <f>IF(Offerte!$A63="","",Offerte!$C63)</f>
        <v/>
      </c>
      <c r="D1896" s="48" t="inlineStr">
        <is>
          <t>A.1.1</t>
        </is>
      </c>
      <c r="E1896" s="48" t="inlineStr">
        <is>
          <t>A</t>
        </is>
      </c>
      <c r="F1896" s="48" t="inlineStr">
        <is>
          <t>Q</t>
        </is>
      </c>
      <c r="G1896" s="48" t="inlineStr">
        <is>
          <t>higher</t>
        </is>
      </c>
      <c r="H1896" s="48" t="n">
        <v>3</v>
      </c>
      <c r="I1896" s="48" t="inlineStr">
        <is>
          <t>Tasso aggiuntivo di corse controllate</t>
        </is>
      </c>
      <c r="J1896" s="73" t="n"/>
      <c r="K1896" s="73" t="n"/>
      <c r="L1896" s="73" t="n"/>
      <c r="M1896" s="73" t="n"/>
      <c r="N1896" s="57">
        <f>IF($A1896="","",IFERROR(VALUE($K1896)/VALUE($L1896)*100,IFERROR(VALUE($J1896),0)))</f>
        <v/>
      </c>
      <c r="O1896" s="57">
        <f>IF($A1896="",0,IF(OR($S1896&lt;&gt;1,COUNTA($J1896:$M1896)=0),0,IF(SUMPRODUCT(MAX(($C$5:$C$2484=$C1896)*($D$5:$D$2484=$D1896)*($S$5:$S$2484=1)*IFERROR($N$5:$N$2484*1,0)))&gt;0,ROUND($H1896*($N1896/SUMPRODUCT(MAX(($C$5:$C$2484=$C1896)*($D$5:$D$2484=$D1896)*($S$5:$S$2484=1)*IFERROR($N$5:$N$2484*1,0)))),4),0)))</f>
        <v/>
      </c>
      <c r="P1896" s="48" t="inlineStr">
        <is>
          <t>Corse controllate annue / Corse programmate annue</t>
        </is>
      </c>
      <c r="Q1896" s="57">
        <f>IF($A1896="","",$A1896&amp;"|"&amp;$C1896)</f>
        <v/>
      </c>
      <c r="R1896" s="57">
        <f>IF($A1896="","",$A1896&amp;"|"&amp;$C1896&amp;"|"&amp;$D1896)</f>
        <v/>
      </c>
      <c r="S1896" s="57">
        <f>IF($A1896="","",IFERROR(INDEX(Offerte!$D$2:$D$81,MATCH($Q1896,Offerte!$L$2:$L$81,0)),0))</f>
        <v/>
      </c>
      <c r="T1896" s="57">
        <f>IF($A1896="","",IFERROR(INDEX(Offerte!$G$2:$G$81,MATCH($Q1896,Offerte!$L$2:$L$81,0)),"NO"))</f>
        <v/>
      </c>
    </row>
    <row r="1897">
      <c r="A1897" s="48">
        <f>IF(Offerte!$A63="","",Offerte!$A63)</f>
        <v/>
      </c>
      <c r="B1897" s="48">
        <f>IF(Offerte!$A63="","",Offerte!$B63)</f>
        <v/>
      </c>
      <c r="C1897" s="48">
        <f>IF(Offerte!$A63="","",Offerte!$C63)</f>
        <v/>
      </c>
      <c r="D1897" s="48" t="inlineStr">
        <is>
          <t>A.1.2</t>
        </is>
      </c>
      <c r="E1897" s="48" t="inlineStr">
        <is>
          <t>A</t>
        </is>
      </c>
      <c r="F1897" s="48" t="inlineStr">
        <is>
          <t>Q</t>
        </is>
      </c>
      <c r="G1897" s="48" t="inlineStr">
        <is>
          <t>higher</t>
        </is>
      </c>
      <c r="H1897" s="48" t="n">
        <v>4</v>
      </c>
      <c r="I1897" s="48" t="inlineStr">
        <is>
          <t>Numero aggiuntivo di passeggeri controllati</t>
        </is>
      </c>
      <c r="J1897" s="73" t="n"/>
      <c r="K1897" s="73" t="n"/>
      <c r="L1897" s="73" t="n"/>
      <c r="M1897" s="73" t="n"/>
      <c r="N1897" s="57">
        <f>IF($A1897="","",IFERROR(VALUE($J1897),0))</f>
        <v/>
      </c>
      <c r="O1897" s="57">
        <f>IF($A1897="",0,IF(OR($S1897&lt;&gt;1,COUNTA($J1897:$M1897)=0),0,IF(SUMPRODUCT(MAX(($C$5:$C$2484=$C1897)*($D$5:$D$2484=$D1897)*($S$5:$S$2484=1)*IFERROR($N$5:$N$2484*1,0)))&gt;0,ROUND($H1897*($N1897/SUMPRODUCT(MAX(($C$5:$C$2484=$C1897)*($D$5:$D$2484=$D1897)*($S$5:$S$2484=1)*IFERROR($N$5:$N$2484*1,0)))),4),0)))</f>
        <v/>
      </c>
      <c r="P1897" s="48" t="inlineStr">
        <is>
          <t>passeggeri/anno</t>
        </is>
      </c>
      <c r="Q1897" s="57">
        <f>IF($A1897="","",$A1897&amp;"|"&amp;$C1897)</f>
        <v/>
      </c>
      <c r="R1897" s="57">
        <f>IF($A1897="","",$A1897&amp;"|"&amp;$C1897&amp;"|"&amp;$D1897)</f>
        <v/>
      </c>
      <c r="S1897" s="57">
        <f>IF($A1897="","",IFERROR(INDEX(Offerte!$D$2:$D$81,MATCH($Q1897,Offerte!$L$2:$L$81,0)),0))</f>
        <v/>
      </c>
      <c r="T1897" s="57">
        <f>IF($A1897="","",IFERROR(INDEX(Offerte!$G$2:$G$81,MATCH($Q1897,Offerte!$L$2:$L$81,0)),"NO"))</f>
        <v/>
      </c>
    </row>
    <row r="1898">
      <c r="A1898" s="48">
        <f>IF(Offerte!$A63="","",Offerte!$A63)</f>
        <v/>
      </c>
      <c r="B1898" s="48">
        <f>IF(Offerte!$A63="","",Offerte!$B63)</f>
        <v/>
      </c>
      <c r="C1898" s="48">
        <f>IF(Offerte!$A63="","",Offerte!$C63)</f>
        <v/>
      </c>
      <c r="D1898" s="48" t="inlineStr">
        <is>
          <t>B.1.1</t>
        </is>
      </c>
      <c r="E1898" s="48" t="inlineStr">
        <is>
          <t>B</t>
        </is>
      </c>
      <c r="F1898" s="48" t="inlineStr">
        <is>
          <t>Q</t>
        </is>
      </c>
      <c r="G1898" s="48" t="inlineStr">
        <is>
          <t>higher</t>
        </is>
      </c>
      <c r="H1898" s="48" t="n">
        <v>3</v>
      </c>
      <c r="I1898" s="48" t="inlineStr">
        <is>
          <t>Incremento dei posti offerti nelle fasce di punta</t>
        </is>
      </c>
      <c r="J1898" s="73" t="n"/>
      <c r="K1898" s="73" t="n"/>
      <c r="L1898" s="73" t="n"/>
      <c r="M1898" s="73" t="n"/>
      <c r="N1898" s="57">
        <f>IF($A1898="","",IFERROR(VALUE($J1898),0))</f>
        <v/>
      </c>
      <c r="O1898" s="57">
        <f>IF($A1898="",0,IF(OR($S1898&lt;&gt;1,COUNTA($J1898:$M1898)=0),0,IF(SUMPRODUCT(MAX(($C$5:$C$2484=$C1898)*($D$5:$D$2484=$D1898)*($S$5:$S$2484=1)*IFERROR($N$5:$N$2484*1,0)))&gt;0,ROUND($H1898*($N1898/SUMPRODUCT(MAX(($C$5:$C$2484=$C1898)*($D$5:$D$2484=$D1898)*($S$5:$S$2484=1)*IFERROR($N$5:$N$2484*1,0)))),4),0)))</f>
        <v/>
      </c>
      <c r="P1898" s="48" t="inlineStr">
        <is>
          <t>posti*km</t>
        </is>
      </c>
      <c r="Q1898" s="57">
        <f>IF($A1898="","",$A1898&amp;"|"&amp;$C1898)</f>
        <v/>
      </c>
      <c r="R1898" s="57">
        <f>IF($A1898="","",$A1898&amp;"|"&amp;$C1898&amp;"|"&amp;$D1898)</f>
        <v/>
      </c>
      <c r="S1898" s="57">
        <f>IF($A1898="","",IFERROR(INDEX(Offerte!$D$2:$D$81,MATCH($Q1898,Offerte!$L$2:$L$81,0)),0))</f>
        <v/>
      </c>
      <c r="T1898" s="57">
        <f>IF($A1898="","",IFERROR(INDEX(Offerte!$G$2:$G$81,MATCH($Q1898,Offerte!$L$2:$L$81,0)),"NO"))</f>
        <v/>
      </c>
    </row>
    <row r="1899">
      <c r="A1899" s="48">
        <f>IF(Offerte!$A63="","",Offerte!$A63)</f>
        <v/>
      </c>
      <c r="B1899" s="48">
        <f>IF(Offerte!$A63="","",Offerte!$B63)</f>
        <v/>
      </c>
      <c r="C1899" s="48">
        <f>IF(Offerte!$A63="","",Offerte!$C63)</f>
        <v/>
      </c>
      <c r="D1899" s="48" t="inlineStr">
        <is>
          <t>B.2.1</t>
        </is>
      </c>
      <c r="E1899" s="48" t="inlineStr">
        <is>
          <t>B</t>
        </is>
      </c>
      <c r="F1899" s="48" t="inlineStr">
        <is>
          <t>Q</t>
        </is>
      </c>
      <c r="G1899" s="48" t="inlineStr">
        <is>
          <t>higher</t>
        </is>
      </c>
      <c r="H1899" s="48" t="n">
        <v>4</v>
      </c>
      <c r="I1899" s="48" t="inlineStr">
        <is>
          <t>Corse aggiuntive nell'arco giornaliero base</t>
        </is>
      </c>
      <c r="J1899" s="73" t="n"/>
      <c r="K1899" s="73" t="n"/>
      <c r="L1899" s="73" t="n"/>
      <c r="M1899" s="73" t="n"/>
      <c r="N1899" s="57">
        <f>IF($A1899="","",IFERROR(VALUE($J1899),0))</f>
        <v/>
      </c>
      <c r="O1899" s="57">
        <f>IF($A1899="",0,IF(OR($S1899&lt;&gt;1,COUNTA($J1899:$M1899)=0),0,IF(SUMPRODUCT(MAX(($C$5:$C$2484=$C1899)*($D$5:$D$2484=$D1899)*($S$5:$S$2484=1)*IFERROR($N$5:$N$2484*1,0)))&gt;0,ROUND($H1899*($N1899/SUMPRODUCT(MAX(($C$5:$C$2484=$C1899)*($D$5:$D$2484=$D1899)*($S$5:$S$2484=1)*IFERROR($N$5:$N$2484*1,0)))),4),0)))</f>
        <v/>
      </c>
      <c r="P1899" s="48" t="inlineStr">
        <is>
          <t>corse</t>
        </is>
      </c>
      <c r="Q1899" s="57">
        <f>IF($A1899="","",$A1899&amp;"|"&amp;$C1899)</f>
        <v/>
      </c>
      <c r="R1899" s="57">
        <f>IF($A1899="","",$A1899&amp;"|"&amp;$C1899&amp;"|"&amp;$D1899)</f>
        <v/>
      </c>
      <c r="S1899" s="57">
        <f>IF($A1899="","",IFERROR(INDEX(Offerte!$D$2:$D$81,MATCH($Q1899,Offerte!$L$2:$L$81,0)),0))</f>
        <v/>
      </c>
      <c r="T1899" s="57">
        <f>IF($A1899="","",IFERROR(INDEX(Offerte!$G$2:$G$81,MATCH($Q1899,Offerte!$L$2:$L$81,0)),"NO"))</f>
        <v/>
      </c>
    </row>
    <row r="1900">
      <c r="A1900" s="48">
        <f>IF(Offerte!$A63="","",Offerte!$A63)</f>
        <v/>
      </c>
      <c r="B1900" s="48">
        <f>IF(Offerte!$A63="","",Offerte!$B63)</f>
        <v/>
      </c>
      <c r="C1900" s="48">
        <f>IF(Offerte!$A63="","",Offerte!$C63)</f>
        <v/>
      </c>
      <c r="D1900" s="48" t="inlineStr">
        <is>
          <t>B.3.1</t>
        </is>
      </c>
      <c r="E1900" s="48" t="inlineStr">
        <is>
          <t>B</t>
        </is>
      </c>
      <c r="F1900" s="48" t="inlineStr">
        <is>
          <t>Q</t>
        </is>
      </c>
      <c r="G1900" s="48" t="inlineStr">
        <is>
          <t>higher</t>
        </is>
      </c>
      <c r="H1900" s="48" t="n">
        <v>2</v>
      </c>
      <c r="I1900" s="48" t="inlineStr">
        <is>
          <t>Numero di corse aggiuntive per allungamento dell'arco di servizio giornaliero nelle fasce serali</t>
        </is>
      </c>
      <c r="J1900" s="73" t="n"/>
      <c r="K1900" s="73" t="n"/>
      <c r="L1900" s="73" t="n"/>
      <c r="M1900" s="73" t="n"/>
      <c r="N1900" s="57">
        <f>IF($A1900="","",IFERROR(VALUE($J1900),0))</f>
        <v/>
      </c>
      <c r="O1900" s="57">
        <f>IF($A1900="",0,IF(OR($S1900&lt;&gt;1,COUNTA($J1900:$M1900)=0),0,IF(SUMPRODUCT(MAX(($C$5:$C$2484=$C1900)*($D$5:$D$2484=$D1900)*($S$5:$S$2484=1)*IFERROR($N$5:$N$2484*1,0)))&gt;0,ROUND($H1900*($N1900/SUMPRODUCT(MAX(($C$5:$C$2484=$C1900)*($D$5:$D$2484=$D1900)*($S$5:$S$2484=1)*IFERROR($N$5:$N$2484*1,0)))),4),0)))</f>
        <v/>
      </c>
      <c r="P1900" s="48" t="inlineStr">
        <is>
          <t>corse</t>
        </is>
      </c>
      <c r="Q1900" s="57">
        <f>IF($A1900="","",$A1900&amp;"|"&amp;$C1900)</f>
        <v/>
      </c>
      <c r="R1900" s="57">
        <f>IF($A1900="","",$A1900&amp;"|"&amp;$C1900&amp;"|"&amp;$D1900)</f>
        <v/>
      </c>
      <c r="S1900" s="57">
        <f>IF($A1900="","",IFERROR(INDEX(Offerte!$D$2:$D$81,MATCH($Q1900,Offerte!$L$2:$L$81,0)),0))</f>
        <v/>
      </c>
      <c r="T1900" s="57">
        <f>IF($A1900="","",IFERROR(INDEX(Offerte!$G$2:$G$81,MATCH($Q1900,Offerte!$L$2:$L$81,0)),"NO"))</f>
        <v/>
      </c>
    </row>
    <row r="1901">
      <c r="A1901" s="48">
        <f>IF(Offerte!$A63="","",Offerte!$A63)</f>
        <v/>
      </c>
      <c r="B1901" s="48">
        <f>IF(Offerte!$A63="","",Offerte!$B63)</f>
        <v/>
      </c>
      <c r="C1901" s="48">
        <f>IF(Offerte!$A63="","",Offerte!$C63)</f>
        <v/>
      </c>
      <c r="D1901" s="48" t="inlineStr">
        <is>
          <t>B.4.1</t>
        </is>
      </c>
      <c r="E1901" s="48" t="inlineStr">
        <is>
          <t>B</t>
        </is>
      </c>
      <c r="F1901" s="48" t="inlineStr">
        <is>
          <t>Q</t>
        </is>
      </c>
      <c r="G1901" s="48" t="inlineStr">
        <is>
          <t>higher</t>
        </is>
      </c>
      <c r="H1901" s="48" t="n">
        <v>3</v>
      </c>
      <c r="I1901" s="48" t="inlineStr">
        <is>
          <t>Percorrenze aggiuntive offerte nel Programma d'esercizio delle prime due fasi attuative</t>
        </is>
      </c>
      <c r="J1901" s="73" t="n"/>
      <c r="K1901" s="73" t="n"/>
      <c r="L1901" s="73" t="n"/>
      <c r="M1901" s="73" t="n"/>
      <c r="N1901" s="57">
        <f>IF($A1901="","",IFERROR(VALUE($J1901),0))</f>
        <v/>
      </c>
      <c r="O1901" s="57">
        <f>IF($A1901="",0,IF(OR($S1901&lt;&gt;1,COUNTA($J1901:$M1901)=0),0,IF(SUMPRODUCT(MAX(($C$5:$C$2484=$C1901)*($D$5:$D$2484=$D1901)*($S$5:$S$2484=1)*IFERROR($N$5:$N$2484*1,0)))&gt;0,ROUND($H1901*($N1901/SUMPRODUCT(MAX(($C$5:$C$2484=$C1901)*($D$5:$D$2484=$D1901)*($S$5:$S$2484=1)*IFERROR($N$5:$N$2484*1,0)))),4),0)))</f>
        <v/>
      </c>
      <c r="P1901" s="48" t="inlineStr">
        <is>
          <t>vett*km</t>
        </is>
      </c>
      <c r="Q1901" s="57">
        <f>IF($A1901="","",$A1901&amp;"|"&amp;$C1901)</f>
        <v/>
      </c>
      <c r="R1901" s="57">
        <f>IF($A1901="","",$A1901&amp;"|"&amp;$C1901&amp;"|"&amp;$D1901)</f>
        <v/>
      </c>
      <c r="S1901" s="57">
        <f>IF($A1901="","",IFERROR(INDEX(Offerte!$D$2:$D$81,MATCH($Q1901,Offerte!$L$2:$L$81,0)),0))</f>
        <v/>
      </c>
      <c r="T1901" s="57">
        <f>IF($A1901="","",IFERROR(INDEX(Offerte!$G$2:$G$81,MATCH($Q1901,Offerte!$L$2:$L$81,0)),"NO"))</f>
        <v/>
      </c>
    </row>
    <row r="1902">
      <c r="A1902" s="48">
        <f>IF(Offerte!$A63="","",Offerte!$A63)</f>
        <v/>
      </c>
      <c r="B1902" s="48">
        <f>IF(Offerte!$A63="","",Offerte!$B63)</f>
        <v/>
      </c>
      <c r="C1902" s="48">
        <f>IF(Offerte!$A63="","",Offerte!$C63)</f>
        <v/>
      </c>
      <c r="D1902" s="48" t="inlineStr">
        <is>
          <t>B.5.1</t>
        </is>
      </c>
      <c r="E1902" s="48" t="inlineStr">
        <is>
          <t>B</t>
        </is>
      </c>
      <c r="F1902" s="48" t="inlineStr">
        <is>
          <t>D</t>
        </is>
      </c>
      <c r="G1902" s="48" t="inlineStr">
        <is>
          <t>discretionary</t>
        </is>
      </c>
      <c r="H1902" s="48" t="n">
        <v>2</v>
      </c>
      <c r="I1902" s="48" t="inlineStr">
        <is>
          <t>Efficacia del progetto di servizi complementari DRT</t>
        </is>
      </c>
      <c r="J1902" s="73" t="n"/>
      <c r="K1902" s="73" t="n"/>
      <c r="L1902" s="73" t="n"/>
      <c r="M1902" s="73" t="n"/>
      <c r="N1902" s="57">
        <f>IF($A1902="","",MAX(0,MIN(1,IFERROR(VALUE($M1902),0))))</f>
        <v/>
      </c>
      <c r="O1902" s="57">
        <f>IF($A1902="",0,IF(OR($S1902&lt;&gt;1,COUNTA($J1902:$M1902)=0),0,IF(SUMPRODUCT(MAX(($C$5:$C$2484=$C1902)*($D$5:$D$2484=$D1902)*($S$5:$S$2484=1)*IFERROR($N$5:$N$2484*1,0)))&gt;0,ROUND($H1902*($N1902/SUMPRODUCT(MAX(($C$5:$C$2484=$C1902)*($D$5:$D$2484=$D1902)*($S$5:$S$2484=1)*IFERROR($N$5:$N$2484*1,0)))),4),0)))</f>
        <v/>
      </c>
      <c r="P1902" s="48" t="inlineStr">
        <is>
          <t>coeff.</t>
        </is>
      </c>
      <c r="Q1902" s="57">
        <f>IF($A1902="","",$A1902&amp;"|"&amp;$C1902)</f>
        <v/>
      </c>
      <c r="R1902" s="57">
        <f>IF($A1902="","",$A1902&amp;"|"&amp;$C1902&amp;"|"&amp;$D1902)</f>
        <v/>
      </c>
      <c r="S1902" s="57">
        <f>IF($A1902="","",IFERROR(INDEX(Offerte!$D$2:$D$81,MATCH($Q1902,Offerte!$L$2:$L$81,0)),0))</f>
        <v/>
      </c>
      <c r="T1902" s="57">
        <f>IF($A1902="","",IFERROR(INDEX(Offerte!$G$2:$G$81,MATCH($Q1902,Offerte!$L$2:$L$81,0)),"NO"))</f>
        <v/>
      </c>
    </row>
    <row r="1903">
      <c r="A1903" s="48">
        <f>IF(Offerte!$A63="","",Offerte!$A63)</f>
        <v/>
      </c>
      <c r="B1903" s="48">
        <f>IF(Offerte!$A63="","",Offerte!$B63)</f>
        <v/>
      </c>
      <c r="C1903" s="48">
        <f>IF(Offerte!$A63="","",Offerte!$C63)</f>
        <v/>
      </c>
      <c r="D1903" s="48" t="inlineStr">
        <is>
          <t>C.1.1</t>
        </is>
      </c>
      <c r="E1903" s="48" t="inlineStr">
        <is>
          <t>C</t>
        </is>
      </c>
      <c r="F1903" s="48" t="inlineStr">
        <is>
          <t>Q</t>
        </is>
      </c>
      <c r="G1903" s="48" t="inlineStr">
        <is>
          <t>higher</t>
        </is>
      </c>
      <c r="H1903" s="48" t="n">
        <v>2</v>
      </c>
      <c r="I1903" s="48" t="inlineStr">
        <is>
          <t>Tasso di copertura del servizio con telecamere BSD</t>
        </is>
      </c>
      <c r="J1903" s="73" t="n"/>
      <c r="K1903" s="73" t="n"/>
      <c r="L1903" s="73" t="n"/>
      <c r="M1903" s="73" t="n"/>
      <c r="N1903" s="57">
        <f>IF($A1903="","",IFERROR(VALUE($K1903)/VALUE($L1903),IFERROR(VALUE($J1903),0)))</f>
        <v/>
      </c>
      <c r="O1903" s="57">
        <f>IF($A1903="",0,IF(OR($S1903&lt;&gt;1,COUNTA($J1903:$M1903)=0),0,IF(SUMPRODUCT(MAX(($C$5:$C$2484=$C1903)*($D$5:$D$2484=$D1903)*($S$5:$S$2484=1)*IFERROR($N$5:$N$2484*1,0)))&gt;0,ROUND($H1903*($N1903/SUMPRODUCT(MAX(($C$5:$C$2484=$C1903)*($D$5:$D$2484=$D1903)*($S$5:$S$2484=1)*IFERROR($N$5:$N$2484*1,0)))),4),0)))</f>
        <v/>
      </c>
      <c r="P1903" s="48" t="inlineStr">
        <is>
          <t>Autobus attrezzati con telecamere BSD / Autobus totali in offerta, incluse scorte</t>
        </is>
      </c>
      <c r="Q1903" s="57">
        <f>IF($A1903="","",$A1903&amp;"|"&amp;$C1903)</f>
        <v/>
      </c>
      <c r="R1903" s="57">
        <f>IF($A1903="","",$A1903&amp;"|"&amp;$C1903&amp;"|"&amp;$D1903)</f>
        <v/>
      </c>
      <c r="S1903" s="57">
        <f>IF($A1903="","",IFERROR(INDEX(Offerte!$D$2:$D$81,MATCH($Q1903,Offerte!$L$2:$L$81,0)),0))</f>
        <v/>
      </c>
      <c r="T1903" s="57">
        <f>IF($A1903="","",IFERROR(INDEX(Offerte!$G$2:$G$81,MATCH($Q1903,Offerte!$L$2:$L$81,0)),"NO"))</f>
        <v/>
      </c>
    </row>
    <row r="1904">
      <c r="A1904" s="48">
        <f>IF(Offerte!$A63="","",Offerte!$A63)</f>
        <v/>
      </c>
      <c r="B1904" s="48">
        <f>IF(Offerte!$A63="","",Offerte!$B63)</f>
        <v/>
      </c>
      <c r="C1904" s="48">
        <f>IF(Offerte!$A63="","",Offerte!$C63)</f>
        <v/>
      </c>
      <c r="D1904" s="48" t="inlineStr">
        <is>
          <t>C.1.2</t>
        </is>
      </c>
      <c r="E1904" s="48" t="inlineStr">
        <is>
          <t>C</t>
        </is>
      </c>
      <c r="F1904" s="48" t="inlineStr">
        <is>
          <t>Q</t>
        </is>
      </c>
      <c r="G1904" s="48" t="inlineStr">
        <is>
          <t>higher</t>
        </is>
      </c>
      <c r="H1904" s="48" t="n">
        <v>2</v>
      </c>
      <c r="I1904" s="48" t="inlineStr">
        <is>
          <t>Tasso di copertura del servizio con telecamere ADAS</t>
        </is>
      </c>
      <c r="J1904" s="73" t="n"/>
      <c r="K1904" s="73" t="n"/>
      <c r="L1904" s="73" t="n"/>
      <c r="M1904" s="73" t="n"/>
      <c r="N1904" s="57">
        <f>IF($A1904="","",IFERROR(VALUE($K1904)/VALUE($L1904),IFERROR(VALUE($J1904),0)))</f>
        <v/>
      </c>
      <c r="O1904" s="57">
        <f>IF($A1904="",0,IF(OR($S1904&lt;&gt;1,COUNTA($J1904:$M1904)=0),0,IF(SUMPRODUCT(MAX(($C$5:$C$2484=$C1904)*($D$5:$D$2484=$D1904)*($S$5:$S$2484=1)*IFERROR($N$5:$N$2484*1,0)))&gt;0,ROUND($H1904*($N1904/SUMPRODUCT(MAX(($C$5:$C$2484=$C1904)*($D$5:$D$2484=$D1904)*($S$5:$S$2484=1)*IFERROR($N$5:$N$2484*1,0)))),4),0)))</f>
        <v/>
      </c>
      <c r="P1904" s="48" t="inlineStr">
        <is>
          <t>Autobus attrezzati con telecamere ADAS / Autobus totali in offerta, incluse scorte</t>
        </is>
      </c>
      <c r="Q1904" s="57">
        <f>IF($A1904="","",$A1904&amp;"|"&amp;$C1904)</f>
        <v/>
      </c>
      <c r="R1904" s="57">
        <f>IF($A1904="","",$A1904&amp;"|"&amp;$C1904&amp;"|"&amp;$D1904)</f>
        <v/>
      </c>
      <c r="S1904" s="57">
        <f>IF($A1904="","",IFERROR(INDEX(Offerte!$D$2:$D$81,MATCH($Q1904,Offerte!$L$2:$L$81,0)),0))</f>
        <v/>
      </c>
      <c r="T1904" s="57">
        <f>IF($A1904="","",IFERROR(INDEX(Offerte!$G$2:$G$81,MATCH($Q1904,Offerte!$L$2:$L$81,0)),"NO"))</f>
        <v/>
      </c>
    </row>
    <row r="1905">
      <c r="A1905" s="48">
        <f>IF(Offerte!$A63="","",Offerte!$A63)</f>
        <v/>
      </c>
      <c r="B1905" s="48">
        <f>IF(Offerte!$A63="","",Offerte!$B63)</f>
        <v/>
      </c>
      <c r="C1905" s="48">
        <f>IF(Offerte!$A63="","",Offerte!$C63)</f>
        <v/>
      </c>
      <c r="D1905" s="48" t="inlineStr">
        <is>
          <t>C.2.1</t>
        </is>
      </c>
      <c r="E1905" s="48" t="inlineStr">
        <is>
          <t>C</t>
        </is>
      </c>
      <c r="F1905" s="48" t="inlineStr">
        <is>
          <t>Q</t>
        </is>
      </c>
      <c r="G1905" s="48" t="inlineStr">
        <is>
          <t>higher</t>
        </is>
      </c>
      <c r="H1905" s="48" t="n">
        <v>3</v>
      </c>
      <c r="I1905" s="48" t="inlineStr">
        <is>
          <t>Tasso di copertura del servizio con telecamere di bordo di videosorveglianza</t>
        </is>
      </c>
      <c r="J1905" s="73" t="n"/>
      <c r="K1905" s="73" t="n"/>
      <c r="L1905" s="73" t="n"/>
      <c r="M1905" s="73" t="n"/>
      <c r="N1905" s="57">
        <f>IF($A1905="","",IFERROR(VALUE($K1905)/VALUE($L1905),IFERROR(VALUE($J1905),0)))</f>
        <v/>
      </c>
      <c r="O1905" s="57">
        <f>IF($A1905="",0,IF(OR($S1905&lt;&gt;1,COUNTA($J1905:$M1905)=0),0,IF(SUMPRODUCT(MAX(($C$5:$C$2484=$C1905)*($D$5:$D$2484=$D1905)*($S$5:$S$2484=1)*IFERROR($N$5:$N$2484*1,0)))&gt;0,ROUND($H1905*($N1905/SUMPRODUCT(MAX(($C$5:$C$2484=$C1905)*($D$5:$D$2484=$D1905)*($S$5:$S$2484=1)*IFERROR($N$5:$N$2484*1,0)))),4),0)))</f>
        <v/>
      </c>
      <c r="P1905" s="48" t="inlineStr">
        <is>
          <t>Autobus attrezzati con videosorveglianza / Autobus totali in offerta, incluse scorte</t>
        </is>
      </c>
      <c r="Q1905" s="57">
        <f>IF($A1905="","",$A1905&amp;"|"&amp;$C1905)</f>
        <v/>
      </c>
      <c r="R1905" s="57">
        <f>IF($A1905="","",$A1905&amp;"|"&amp;$C1905&amp;"|"&amp;$D1905)</f>
        <v/>
      </c>
      <c r="S1905" s="57">
        <f>IF($A1905="","",IFERROR(INDEX(Offerte!$D$2:$D$81,MATCH($Q1905,Offerte!$L$2:$L$81,0)),0))</f>
        <v/>
      </c>
      <c r="T1905" s="57">
        <f>IF($A1905="","",IFERROR(INDEX(Offerte!$G$2:$G$81,MATCH($Q1905,Offerte!$L$2:$L$81,0)),"NO"))</f>
        <v/>
      </c>
    </row>
    <row r="1906">
      <c r="A1906" s="48">
        <f>IF(Offerte!$A63="","",Offerte!$A63)</f>
        <v/>
      </c>
      <c r="B1906" s="48">
        <f>IF(Offerte!$A63="","",Offerte!$B63)</f>
        <v/>
      </c>
      <c r="C1906" s="48">
        <f>IF(Offerte!$A63="","",Offerte!$C63)</f>
        <v/>
      </c>
      <c r="D1906" s="48" t="inlineStr">
        <is>
          <t>C.2.2</t>
        </is>
      </c>
      <c r="E1906" s="48" t="inlineStr">
        <is>
          <t>C</t>
        </is>
      </c>
      <c r="F1906" s="48" t="inlineStr">
        <is>
          <t>T</t>
        </is>
      </c>
      <c r="G1906" s="48" t="inlineStr">
        <is>
          <t>tabular</t>
        </is>
      </c>
      <c r="H1906" s="48" t="n">
        <v>1</v>
      </c>
      <c r="I1906" s="48" t="inlineStr">
        <is>
          <t>Software video/audio analisi per situazioni di pericolo</t>
        </is>
      </c>
      <c r="J1906" s="73" t="n"/>
      <c r="K1906" s="73" t="n"/>
      <c r="L1906" s="73" t="n"/>
      <c r="M1906" s="73" t="n"/>
      <c r="N1906" s="57">
        <f>IF($A1906="","",IF(IFERROR(VALUE($M1906),0)=1,1,0))</f>
        <v/>
      </c>
      <c r="O1906" s="57">
        <f>IF($A1906="",0,IF(OR($S1906&lt;&gt;1,COUNTA($J1906:$M1906)=0),0,IF($N1906=1,$H1906,0)))</f>
        <v/>
      </c>
      <c r="P1906" s="48" t="inlineStr">
        <is>
          <t>sì/no</t>
        </is>
      </c>
      <c r="Q1906" s="57">
        <f>IF($A1906="","",$A1906&amp;"|"&amp;$C1906)</f>
        <v/>
      </c>
      <c r="R1906" s="57">
        <f>IF($A1906="","",$A1906&amp;"|"&amp;$C1906&amp;"|"&amp;$D1906)</f>
        <v/>
      </c>
      <c r="S1906" s="57">
        <f>IF($A1906="","",IFERROR(INDEX(Offerte!$D$2:$D$81,MATCH($Q1906,Offerte!$L$2:$L$81,0)),0))</f>
        <v/>
      </c>
      <c r="T1906" s="57">
        <f>IF($A1906="","",IFERROR(INDEX(Offerte!$G$2:$G$81,MATCH($Q1906,Offerte!$L$2:$L$81,0)),"NO"))</f>
        <v/>
      </c>
    </row>
    <row r="1907">
      <c r="A1907" s="48">
        <f>IF(Offerte!$A63="","",Offerte!$A63)</f>
        <v/>
      </c>
      <c r="B1907" s="48">
        <f>IF(Offerte!$A63="","",Offerte!$B63)</f>
        <v/>
      </c>
      <c r="C1907" s="48">
        <f>IF(Offerte!$A63="","",Offerte!$C63)</f>
        <v/>
      </c>
      <c r="D1907" s="48" t="inlineStr">
        <is>
          <t>C.2.3</t>
        </is>
      </c>
      <c r="E1907" s="48" t="inlineStr">
        <is>
          <t>C</t>
        </is>
      </c>
      <c r="F1907" s="48" t="inlineStr">
        <is>
          <t>T</t>
        </is>
      </c>
      <c r="G1907" s="48" t="inlineStr">
        <is>
          <t>tabular</t>
        </is>
      </c>
      <c r="H1907" s="48" t="n">
        <v>1</v>
      </c>
      <c r="I1907" s="48" t="inlineStr">
        <is>
          <t>Collegamento con centrale qualificata di pronto intervento</t>
        </is>
      </c>
      <c r="J1907" s="73" t="n"/>
      <c r="K1907" s="73" t="n"/>
      <c r="L1907" s="73" t="n"/>
      <c r="M1907" s="73" t="n"/>
      <c r="N1907" s="57">
        <f>IF($A1907="","",IF(IFERROR(VALUE($M1907),0)=1,1,0))</f>
        <v/>
      </c>
      <c r="O1907" s="57">
        <f>IF($A1907="",0,IF(OR($S1907&lt;&gt;1,COUNTA($J1907:$M1907)=0),0,IF($N1907=1,$H1907,0)))</f>
        <v/>
      </c>
      <c r="P1907" s="48" t="inlineStr">
        <is>
          <t>sì/no</t>
        </is>
      </c>
      <c r="Q1907" s="57">
        <f>IF($A1907="","",$A1907&amp;"|"&amp;$C1907)</f>
        <v/>
      </c>
      <c r="R1907" s="57">
        <f>IF($A1907="","",$A1907&amp;"|"&amp;$C1907&amp;"|"&amp;$D1907)</f>
        <v/>
      </c>
      <c r="S1907" s="57">
        <f>IF($A1907="","",IFERROR(INDEX(Offerte!$D$2:$D$81,MATCH($Q1907,Offerte!$L$2:$L$81,0)),0))</f>
        <v/>
      </c>
      <c r="T1907" s="57">
        <f>IF($A1907="","",IFERROR(INDEX(Offerte!$G$2:$G$81,MATCH($Q1907,Offerte!$L$2:$L$81,0)),"NO"))</f>
        <v/>
      </c>
    </row>
    <row r="1908">
      <c r="A1908" s="48">
        <f>IF(Offerte!$A63="","",Offerte!$A63)</f>
        <v/>
      </c>
      <c r="B1908" s="48">
        <f>IF(Offerte!$A63="","",Offerte!$B63)</f>
        <v/>
      </c>
      <c r="C1908" s="48">
        <f>IF(Offerte!$A63="","",Offerte!$C63)</f>
        <v/>
      </c>
      <c r="D1908" s="48" t="inlineStr">
        <is>
          <t>C.2.4</t>
        </is>
      </c>
      <c r="E1908" s="48" t="inlineStr">
        <is>
          <t>C</t>
        </is>
      </c>
      <c r="F1908" s="48" t="inlineStr">
        <is>
          <t>Q</t>
        </is>
      </c>
      <c r="G1908" s="48" t="inlineStr">
        <is>
          <t>higher</t>
        </is>
      </c>
      <c r="H1908" s="48" t="n">
        <v>1</v>
      </c>
      <c r="I1908" s="48" t="inlineStr">
        <is>
          <t>Tasso di copertura del servizio con dispositivi per la chiamata di emergenza del conducente</t>
        </is>
      </c>
      <c r="J1908" s="73" t="n"/>
      <c r="K1908" s="73" t="n"/>
      <c r="L1908" s="73" t="n"/>
      <c r="M1908" s="73" t="n"/>
      <c r="N1908" s="57">
        <f>IF($A1908="","",IFERROR(VALUE($K1908)/VALUE($L1908),IFERROR(VALUE($J1908),0)))</f>
        <v/>
      </c>
      <c r="O1908" s="57">
        <f>IF($A1908="",0,IF(OR($S1908&lt;&gt;1,COUNTA($J1908:$M1908)=0),0,IF(SUMPRODUCT(MAX(($C$5:$C$2484=$C1908)*($D$5:$D$2484=$D1908)*($S$5:$S$2484=1)*IFERROR($N$5:$N$2484*1,0)))&gt;0,ROUND($H1908*($N1908/SUMPRODUCT(MAX(($C$5:$C$2484=$C1908)*($D$5:$D$2484=$D1908)*($S$5:$S$2484=1)*IFERROR($N$5:$N$2484*1,0)))),4),0)))</f>
        <v/>
      </c>
      <c r="P1908" s="48" t="inlineStr">
        <is>
          <t>Autobus attrezzati con chiamata di emergenza / Autobus totali in offerta, incluse scorte</t>
        </is>
      </c>
      <c r="Q1908" s="57">
        <f>IF($A1908="","",$A1908&amp;"|"&amp;$C1908)</f>
        <v/>
      </c>
      <c r="R1908" s="57">
        <f>IF($A1908="","",$A1908&amp;"|"&amp;$C1908&amp;"|"&amp;$D1908)</f>
        <v/>
      </c>
      <c r="S1908" s="57">
        <f>IF($A1908="","",IFERROR(INDEX(Offerte!$D$2:$D$81,MATCH($Q1908,Offerte!$L$2:$L$81,0)),0))</f>
        <v/>
      </c>
      <c r="T1908" s="57">
        <f>IF($A1908="","",IFERROR(INDEX(Offerte!$G$2:$G$81,MATCH($Q1908,Offerte!$L$2:$L$81,0)),"NO"))</f>
        <v/>
      </c>
    </row>
    <row r="1909">
      <c r="A1909" s="48">
        <f>IF(Offerte!$A63="","",Offerte!$A63)</f>
        <v/>
      </c>
      <c r="B1909" s="48">
        <f>IF(Offerte!$A63="","",Offerte!$B63)</f>
        <v/>
      </c>
      <c r="C1909" s="48">
        <f>IF(Offerte!$A63="","",Offerte!$C63)</f>
        <v/>
      </c>
      <c r="D1909" s="48" t="inlineStr">
        <is>
          <t>C.3.1</t>
        </is>
      </c>
      <c r="E1909" s="48" t="inlineStr">
        <is>
          <t>C</t>
        </is>
      </c>
      <c r="F1909" s="48" t="inlineStr">
        <is>
          <t>Q</t>
        </is>
      </c>
      <c r="G1909" s="48" t="inlineStr">
        <is>
          <t>higher</t>
        </is>
      </c>
      <c r="H1909" s="48" t="n">
        <v>2</v>
      </c>
      <c r="I1909" s="48" t="inlineStr">
        <is>
          <t>Tasso di copertura del servizio con dispositivi di informazione dinamica a bordo mezzo</t>
        </is>
      </c>
      <c r="J1909" s="73" t="n"/>
      <c r="K1909" s="73" t="n"/>
      <c r="L1909" s="73" t="n"/>
      <c r="M1909" s="73" t="n"/>
      <c r="N1909" s="57">
        <f>IF($A1909="","",IFERROR(VALUE($K1909)/VALUE($L1909),IFERROR(VALUE($J1909),0)))</f>
        <v/>
      </c>
      <c r="O1909" s="57">
        <f>IF($A1909="",0,IF(OR($S1909&lt;&gt;1,COUNTA($J1909:$M1909)=0),0,IF(SUMPRODUCT(MAX(($C$5:$C$2484=$C1909)*($D$5:$D$2484=$D1909)*($S$5:$S$2484=1)*IFERROR($N$5:$N$2484*1,0)))&gt;0,ROUND($H1909*($N1909/SUMPRODUCT(MAX(($C$5:$C$2484=$C1909)*($D$5:$D$2484=$D1909)*($S$5:$S$2484=1)*IFERROR($N$5:$N$2484*1,0)))),4),0)))</f>
        <v/>
      </c>
      <c r="P1909" s="48" t="inlineStr">
        <is>
          <t>Autobus con monitor e indicatori vocali / Autobus totali in offerta, incluse scorte</t>
        </is>
      </c>
      <c r="Q1909" s="57">
        <f>IF($A1909="","",$A1909&amp;"|"&amp;$C1909)</f>
        <v/>
      </c>
      <c r="R1909" s="57">
        <f>IF($A1909="","",$A1909&amp;"|"&amp;$C1909&amp;"|"&amp;$D1909)</f>
        <v/>
      </c>
      <c r="S1909" s="57">
        <f>IF($A1909="","",IFERROR(INDEX(Offerte!$D$2:$D$81,MATCH($Q1909,Offerte!$L$2:$L$81,0)),0))</f>
        <v/>
      </c>
      <c r="T1909" s="57">
        <f>IF($A1909="","",IFERROR(INDEX(Offerte!$G$2:$G$81,MATCH($Q1909,Offerte!$L$2:$L$81,0)),"NO"))</f>
        <v/>
      </c>
    </row>
    <row r="1910">
      <c r="A1910" s="48">
        <f>IF(Offerte!$A63="","",Offerte!$A63)</f>
        <v/>
      </c>
      <c r="B1910" s="48">
        <f>IF(Offerte!$A63="","",Offerte!$B63)</f>
        <v/>
      </c>
      <c r="C1910" s="48">
        <f>IF(Offerte!$A63="","",Offerte!$C63)</f>
        <v/>
      </c>
      <c r="D1910" s="48" t="inlineStr">
        <is>
          <t>C.3.2</t>
        </is>
      </c>
      <c r="E1910" s="48" t="inlineStr">
        <is>
          <t>C</t>
        </is>
      </c>
      <c r="F1910" s="48" t="inlineStr">
        <is>
          <t>T</t>
        </is>
      </c>
      <c r="G1910" s="48" t="inlineStr">
        <is>
          <t>tabular</t>
        </is>
      </c>
      <c r="H1910" s="48" t="n">
        <v>2</v>
      </c>
      <c r="I1910" s="48" t="inlineStr">
        <is>
          <t>Informazioni a bordo su coincidenze ai nodi</t>
        </is>
      </c>
      <c r="J1910" s="73" t="n"/>
      <c r="K1910" s="73" t="n"/>
      <c r="L1910" s="73" t="n"/>
      <c r="M1910" s="73" t="n"/>
      <c r="N1910" s="57">
        <f>IF($A1910="","",IF(IFERROR(VALUE($M1910),0)=1,1,0))</f>
        <v/>
      </c>
      <c r="O1910" s="57">
        <f>IF($A1910="",0,IF(OR($S1910&lt;&gt;1,COUNTA($J1910:$M1910)=0),0,IF(AND($N1910=1,IFERROR(SUMIFS($N$5:$N$2484,$Q$5:$Q$2484,$Q1910,$D$5:$D$2484,"C.3.1"),0)&gt;=0.5),$H1910,0)))</f>
        <v/>
      </c>
      <c r="P1910" s="48" t="inlineStr">
        <is>
          <t>Dipende da C.3.1 &gt;= 0.5</t>
        </is>
      </c>
      <c r="Q1910" s="57">
        <f>IF($A1910="","",$A1910&amp;"|"&amp;$C1910)</f>
        <v/>
      </c>
      <c r="R1910" s="57">
        <f>IF($A1910="","",$A1910&amp;"|"&amp;$C1910&amp;"|"&amp;$D1910)</f>
        <v/>
      </c>
      <c r="S1910" s="57">
        <f>IF($A1910="","",IFERROR(INDEX(Offerte!$D$2:$D$81,MATCH($Q1910,Offerte!$L$2:$L$81,0)),0))</f>
        <v/>
      </c>
      <c r="T1910" s="57">
        <f>IF($A1910="","",IFERROR(INDEX(Offerte!$G$2:$G$81,MATCH($Q1910,Offerte!$L$2:$L$81,0)),"NO"))</f>
        <v/>
      </c>
    </row>
    <row r="1911">
      <c r="A1911" s="48">
        <f>IF(Offerte!$A63="","",Offerte!$A63)</f>
        <v/>
      </c>
      <c r="B1911" s="48">
        <f>IF(Offerte!$A63="","",Offerte!$B63)</f>
        <v/>
      </c>
      <c r="C1911" s="48">
        <f>IF(Offerte!$A63="","",Offerte!$C63)</f>
        <v/>
      </c>
      <c r="D1911" s="48" t="inlineStr">
        <is>
          <t>D.1.1</t>
        </is>
      </c>
      <c r="E1911" s="48" t="inlineStr">
        <is>
          <t>D</t>
        </is>
      </c>
      <c r="F1911" s="48" t="inlineStr">
        <is>
          <t>Q</t>
        </is>
      </c>
      <c r="G1911" s="48" t="inlineStr">
        <is>
          <t>higher</t>
        </is>
      </c>
      <c r="H1911" s="48" t="n">
        <v>3</v>
      </c>
      <c r="I1911" s="48" t="inlineStr">
        <is>
          <t>Installazione di pensiline</t>
        </is>
      </c>
      <c r="J1911" s="73" t="n"/>
      <c r="K1911" s="73" t="n"/>
      <c r="L1911" s="73" t="n"/>
      <c r="M1911" s="73" t="n"/>
      <c r="N1911" s="57">
        <f>IF($A1911="","",IFERROR(VALUE($J1911),0))</f>
        <v/>
      </c>
      <c r="O1911" s="57">
        <f>IF($A1911="",0,IF(OR($S1911&lt;&gt;1,COUNTA($J1911:$M1911)=0),0,IF(SUMPRODUCT(MAX(($C$5:$C$2484=$C1911)*($D$5:$D$2484=$D1911)*($S$5:$S$2484=1)*IFERROR($N$5:$N$2484*1,0)))&gt;0,ROUND($H1911*($N1911/SUMPRODUCT(MAX(($C$5:$C$2484=$C1911)*($D$5:$D$2484=$D1911)*($S$5:$S$2484=1)*IFERROR($N$5:$N$2484*1,0)))),4),0)))</f>
        <v/>
      </c>
      <c r="P1911" s="48" t="inlineStr">
        <is>
          <t>fermate</t>
        </is>
      </c>
      <c r="Q1911" s="57">
        <f>IF($A1911="","",$A1911&amp;"|"&amp;$C1911)</f>
        <v/>
      </c>
      <c r="R1911" s="57">
        <f>IF($A1911="","",$A1911&amp;"|"&amp;$C1911&amp;"|"&amp;$D1911)</f>
        <v/>
      </c>
      <c r="S1911" s="57">
        <f>IF($A1911="","",IFERROR(INDEX(Offerte!$D$2:$D$81,MATCH($Q1911,Offerte!$L$2:$L$81,0)),0))</f>
        <v/>
      </c>
      <c r="T1911" s="57">
        <f>IF($A1911="","",IFERROR(INDEX(Offerte!$G$2:$G$81,MATCH($Q1911,Offerte!$L$2:$L$81,0)),"NO"))</f>
        <v/>
      </c>
    </row>
    <row r="1912">
      <c r="A1912" s="48">
        <f>IF(Offerte!$A63="","",Offerte!$A63)</f>
        <v/>
      </c>
      <c r="B1912" s="48">
        <f>IF(Offerte!$A63="","",Offerte!$B63)</f>
        <v/>
      </c>
      <c r="C1912" s="48">
        <f>IF(Offerte!$A63="","",Offerte!$C63)</f>
        <v/>
      </c>
      <c r="D1912" s="48" t="inlineStr">
        <is>
          <t>D.1.2</t>
        </is>
      </c>
      <c r="E1912" s="48" t="inlineStr">
        <is>
          <t>D</t>
        </is>
      </c>
      <c r="F1912" s="48" t="inlineStr">
        <is>
          <t>Q</t>
        </is>
      </c>
      <c r="G1912" s="48" t="inlineStr">
        <is>
          <t>higher</t>
        </is>
      </c>
      <c r="H1912" s="48" t="n">
        <v>3</v>
      </c>
      <c r="I1912" s="48" t="inlineStr">
        <is>
          <t>Installazione di paline di fermata conformi alla DGR 581/2023</t>
        </is>
      </c>
      <c r="J1912" s="73" t="n"/>
      <c r="K1912" s="73" t="n"/>
      <c r="L1912" s="73" t="n"/>
      <c r="M1912" s="73" t="n"/>
      <c r="N1912" s="57">
        <f>IF($A1912="","",IFERROR(VALUE($J1912),0))</f>
        <v/>
      </c>
      <c r="O1912" s="57">
        <f>IF($A1912="",0,IF(OR($S1912&lt;&gt;1,COUNTA($J1912:$M1912)=0),0,IF(SUMPRODUCT(MAX(($C$5:$C$2484=$C1912)*($D$5:$D$2484=$D1912)*($S$5:$S$2484=1)*IFERROR($N$5:$N$2484*1,0)))&gt;0,ROUND($H1912*($N1912/SUMPRODUCT(MAX(($C$5:$C$2484=$C1912)*($D$5:$D$2484=$D1912)*($S$5:$S$2484=1)*IFERROR($N$5:$N$2484*1,0)))),4),0)))</f>
        <v/>
      </c>
      <c r="P1912" s="48" t="inlineStr">
        <is>
          <t>fermate</t>
        </is>
      </c>
      <c r="Q1912" s="57">
        <f>IF($A1912="","",$A1912&amp;"|"&amp;$C1912)</f>
        <v/>
      </c>
      <c r="R1912" s="57">
        <f>IF($A1912="","",$A1912&amp;"|"&amp;$C1912&amp;"|"&amp;$D1912)</f>
        <v/>
      </c>
      <c r="S1912" s="57">
        <f>IF($A1912="","",IFERROR(INDEX(Offerte!$D$2:$D$81,MATCH($Q1912,Offerte!$L$2:$L$81,0)),0))</f>
        <v/>
      </c>
      <c r="T1912" s="57">
        <f>IF($A1912="","",IFERROR(INDEX(Offerte!$G$2:$G$81,MATCH($Q1912,Offerte!$L$2:$L$81,0)),"NO"))</f>
        <v/>
      </c>
    </row>
    <row r="1913">
      <c r="A1913" s="48">
        <f>IF(Offerte!$A63="","",Offerte!$A63)</f>
        <v/>
      </c>
      <c r="B1913" s="48">
        <f>IF(Offerte!$A63="","",Offerte!$B63)</f>
        <v/>
      </c>
      <c r="C1913" s="48">
        <f>IF(Offerte!$A63="","",Offerte!$C63)</f>
        <v/>
      </c>
      <c r="D1913" s="48" t="inlineStr">
        <is>
          <t>D.1.3</t>
        </is>
      </c>
      <c r="E1913" s="48" t="inlineStr">
        <is>
          <t>D</t>
        </is>
      </c>
      <c r="F1913" s="48" t="inlineStr">
        <is>
          <t>Q</t>
        </is>
      </c>
      <c r="G1913" s="48" t="inlineStr">
        <is>
          <t>higher</t>
        </is>
      </c>
      <c r="H1913" s="48" t="n">
        <v>2</v>
      </c>
      <c r="I1913" s="48" t="inlineStr">
        <is>
          <t>Display informativi connessi alle fermate</t>
        </is>
      </c>
      <c r="J1913" s="73" t="n"/>
      <c r="K1913" s="73" t="n"/>
      <c r="L1913" s="73" t="n"/>
      <c r="M1913" s="73" t="n"/>
      <c r="N1913" s="57">
        <f>IF($A1913="","",IFERROR(VALUE($J1913),0))</f>
        <v/>
      </c>
      <c r="O1913" s="57">
        <f>IF($A1913="",0,IF(OR($S1913&lt;&gt;1,COUNTA($J1913:$M1913)=0),0,IF(SUMPRODUCT(MAX(($C$5:$C$2484=$C1913)*($D$5:$D$2484=$D1913)*($S$5:$S$2484=1)*IFERROR($N$5:$N$2484*1,0)))&gt;0,ROUND($H1913*($N1913/SUMPRODUCT(MAX(($C$5:$C$2484=$C1913)*($D$5:$D$2484=$D1913)*($S$5:$S$2484=1)*IFERROR($N$5:$N$2484*1,0)))),4),0)))</f>
        <v/>
      </c>
      <c r="P1913" s="48" t="inlineStr">
        <is>
          <t>fermate</t>
        </is>
      </c>
      <c r="Q1913" s="57">
        <f>IF($A1913="","",$A1913&amp;"|"&amp;$C1913)</f>
        <v/>
      </c>
      <c r="R1913" s="57">
        <f>IF($A1913="","",$A1913&amp;"|"&amp;$C1913&amp;"|"&amp;$D1913)</f>
        <v/>
      </c>
      <c r="S1913" s="57">
        <f>IF($A1913="","",IFERROR(INDEX(Offerte!$D$2:$D$81,MATCH($Q1913,Offerte!$L$2:$L$81,0)),0))</f>
        <v/>
      </c>
      <c r="T1913" s="57">
        <f>IF($A1913="","",IFERROR(INDEX(Offerte!$G$2:$G$81,MATCH($Q1913,Offerte!$L$2:$L$81,0)),"NO"))</f>
        <v/>
      </c>
    </row>
    <row r="1914">
      <c r="A1914" s="48">
        <f>IF(Offerte!$A63="","",Offerte!$A63)</f>
        <v/>
      </c>
      <c r="B1914" s="48">
        <f>IF(Offerte!$A63="","",Offerte!$B63)</f>
        <v/>
      </c>
      <c r="C1914" s="48">
        <f>IF(Offerte!$A63="","",Offerte!$C63)</f>
        <v/>
      </c>
      <c r="D1914" s="48" t="inlineStr">
        <is>
          <t>D.2.1</t>
        </is>
      </c>
      <c r="E1914" s="48" t="inlineStr">
        <is>
          <t>D</t>
        </is>
      </c>
      <c r="F1914" s="48" t="inlineStr">
        <is>
          <t>Q</t>
        </is>
      </c>
      <c r="G1914" s="48" t="inlineStr">
        <is>
          <t>higher</t>
        </is>
      </c>
      <c r="H1914" s="48" t="n">
        <v>2</v>
      </c>
      <c r="I1914" s="48" t="inlineStr">
        <is>
          <t>Segnali tattili Loges-Vet-Evolution</t>
        </is>
      </c>
      <c r="J1914" s="73" t="n"/>
      <c r="K1914" s="73" t="n"/>
      <c r="L1914" s="73" t="n"/>
      <c r="M1914" s="73" t="n"/>
      <c r="N1914" s="57">
        <f>IF($A1914="","",IFERROR(VALUE($J1914),0))</f>
        <v/>
      </c>
      <c r="O1914" s="57">
        <f>IF($A1914="",0,IF(OR($S1914&lt;&gt;1,COUNTA($J1914:$M1914)=0),0,IF(SUMPRODUCT(MAX(($C$5:$C$2484=$C1914)*($D$5:$D$2484=$D1914)*($S$5:$S$2484=1)*IFERROR($N$5:$N$2484*1,0)))&gt;0,ROUND($H1914*($N1914/SUMPRODUCT(MAX(($C$5:$C$2484=$C1914)*($D$5:$D$2484=$D1914)*($S$5:$S$2484=1)*IFERROR($N$5:$N$2484*1,0)))),4),0)))</f>
        <v/>
      </c>
      <c r="P1914" s="48" t="inlineStr">
        <is>
          <t>fermate</t>
        </is>
      </c>
      <c r="Q1914" s="57">
        <f>IF($A1914="","",$A1914&amp;"|"&amp;$C1914)</f>
        <v/>
      </c>
      <c r="R1914" s="57">
        <f>IF($A1914="","",$A1914&amp;"|"&amp;$C1914&amp;"|"&amp;$D1914)</f>
        <v/>
      </c>
      <c r="S1914" s="57">
        <f>IF($A1914="","",IFERROR(INDEX(Offerte!$D$2:$D$81,MATCH($Q1914,Offerte!$L$2:$L$81,0)),0))</f>
        <v/>
      </c>
      <c r="T1914" s="57">
        <f>IF($A1914="","",IFERROR(INDEX(Offerte!$G$2:$G$81,MATCH($Q1914,Offerte!$L$2:$L$81,0)),"NO"))</f>
        <v/>
      </c>
    </row>
    <row r="1915">
      <c r="A1915" s="48">
        <f>IF(Offerte!$A63="","",Offerte!$A63)</f>
        <v/>
      </c>
      <c r="B1915" s="48">
        <f>IF(Offerte!$A63="","",Offerte!$B63)</f>
        <v/>
      </c>
      <c r="C1915" s="48">
        <f>IF(Offerte!$A63="","",Offerte!$C63)</f>
        <v/>
      </c>
      <c r="D1915" s="48" t="inlineStr">
        <is>
          <t>E.1.1</t>
        </is>
      </c>
      <c r="E1915" s="48" t="inlineStr">
        <is>
          <t>E</t>
        </is>
      </c>
      <c r="F1915" s="48" t="inlineStr">
        <is>
          <t>T</t>
        </is>
      </c>
      <c r="G1915" s="48" t="inlineStr">
        <is>
          <t>tabular</t>
        </is>
      </c>
      <c r="H1915" s="48" t="n">
        <v>2</v>
      </c>
      <c r="I1915" s="48" t="inlineStr">
        <is>
          <t>Mobile app con travel planner PRM</t>
        </is>
      </c>
      <c r="J1915" s="73" t="n"/>
      <c r="K1915" s="73" t="n"/>
      <c r="L1915" s="73" t="n"/>
      <c r="M1915" s="73" t="n"/>
      <c r="N1915" s="57">
        <f>IF($A1915="","",IF(IFERROR(VALUE($M1915),0)=1,1,0))</f>
        <v/>
      </c>
      <c r="O1915" s="57">
        <f>IF($A1915="",0,IF(OR($S1915&lt;&gt;1,COUNTA($J1915:$M1915)=0),0,IF($N1915=1,$H1915,0)))</f>
        <v/>
      </c>
      <c r="P1915" s="48" t="inlineStr">
        <is>
          <t>sì/no</t>
        </is>
      </c>
      <c r="Q1915" s="57">
        <f>IF($A1915="","",$A1915&amp;"|"&amp;$C1915)</f>
        <v/>
      </c>
      <c r="R1915" s="57">
        <f>IF($A1915="","",$A1915&amp;"|"&amp;$C1915&amp;"|"&amp;$D1915)</f>
        <v/>
      </c>
      <c r="S1915" s="57">
        <f>IF($A1915="","",IFERROR(INDEX(Offerte!$D$2:$D$81,MATCH($Q1915,Offerte!$L$2:$L$81,0)),0))</f>
        <v/>
      </c>
      <c r="T1915" s="57">
        <f>IF($A1915="","",IFERROR(INDEX(Offerte!$G$2:$G$81,MATCH($Q1915,Offerte!$L$2:$L$81,0)),"NO"))</f>
        <v/>
      </c>
    </row>
    <row r="1916">
      <c r="A1916" s="48">
        <f>IF(Offerte!$A63="","",Offerte!$A63)</f>
        <v/>
      </c>
      <c r="B1916" s="48">
        <f>IF(Offerte!$A63="","",Offerte!$B63)</f>
        <v/>
      </c>
      <c r="C1916" s="48">
        <f>IF(Offerte!$A63="","",Offerte!$C63)</f>
        <v/>
      </c>
      <c r="D1916" s="48" t="inlineStr">
        <is>
          <t>E.2.1</t>
        </is>
      </c>
      <c r="E1916" s="48" t="inlineStr">
        <is>
          <t>E</t>
        </is>
      </c>
      <c r="F1916" s="48" t="inlineStr">
        <is>
          <t>D</t>
        </is>
      </c>
      <c r="G1916" s="48" t="inlineStr">
        <is>
          <t>discretionary</t>
        </is>
      </c>
      <c r="H1916" s="48" t="n">
        <v>2</v>
      </c>
      <c r="I1916" s="48" t="inlineStr">
        <is>
          <t>Altre azioni informative e rapporti con gli utenti</t>
        </is>
      </c>
      <c r="J1916" s="73" t="n"/>
      <c r="K1916" s="73" t="n"/>
      <c r="L1916" s="73" t="n"/>
      <c r="M1916" s="73" t="n"/>
      <c r="N1916" s="57">
        <f>IF($A1916="","",MAX(0,MIN(1,IFERROR(VALUE($M1916),0))))</f>
        <v/>
      </c>
      <c r="O1916" s="57">
        <f>IF($A1916="",0,IF(OR($S1916&lt;&gt;1,COUNTA($J1916:$M1916)=0),0,IF(SUMPRODUCT(MAX(($C$5:$C$2484=$C1916)*($D$5:$D$2484=$D1916)*($S$5:$S$2484=1)*IFERROR($N$5:$N$2484*1,0)))&gt;0,ROUND($H1916*($N1916/SUMPRODUCT(MAX(($C$5:$C$2484=$C1916)*($D$5:$D$2484=$D1916)*($S$5:$S$2484=1)*IFERROR($N$5:$N$2484*1,0)))),4),0)))</f>
        <v/>
      </c>
      <c r="P1916" s="48" t="inlineStr">
        <is>
          <t>coeff.</t>
        </is>
      </c>
      <c r="Q1916" s="57">
        <f>IF($A1916="","",$A1916&amp;"|"&amp;$C1916)</f>
        <v/>
      </c>
      <c r="R1916" s="57">
        <f>IF($A1916="","",$A1916&amp;"|"&amp;$C1916&amp;"|"&amp;$D1916)</f>
        <v/>
      </c>
      <c r="S1916" s="57">
        <f>IF($A1916="","",IFERROR(INDEX(Offerte!$D$2:$D$81,MATCH($Q1916,Offerte!$L$2:$L$81,0)),0))</f>
        <v/>
      </c>
      <c r="T1916" s="57">
        <f>IF($A1916="","",IFERROR(INDEX(Offerte!$G$2:$G$81,MATCH($Q1916,Offerte!$L$2:$L$81,0)),"NO"))</f>
        <v/>
      </c>
    </row>
    <row r="1917">
      <c r="A1917" s="48">
        <f>IF(Offerte!$A63="","",Offerte!$A63)</f>
        <v/>
      </c>
      <c r="B1917" s="48">
        <f>IF(Offerte!$A63="","",Offerte!$B63)</f>
        <v/>
      </c>
      <c r="C1917" s="48">
        <f>IF(Offerte!$A63="","",Offerte!$C63)</f>
        <v/>
      </c>
      <c r="D1917" s="48" t="inlineStr">
        <is>
          <t>F.1.1</t>
        </is>
      </c>
      <c r="E1917" s="48" t="inlineStr">
        <is>
          <t>F</t>
        </is>
      </c>
      <c r="F1917" s="48" t="inlineStr">
        <is>
          <t>Q</t>
        </is>
      </c>
      <c r="G1917" s="48" t="inlineStr">
        <is>
          <t>lower</t>
        </is>
      </c>
      <c r="H1917" s="48" t="n">
        <v>7</v>
      </c>
      <c r="I1917" s="48" t="inlineStr">
        <is>
          <t>Performance ambientali del parco mezzi adibito al servizio - I_CEA</t>
        </is>
      </c>
      <c r="J1917" s="73" t="n"/>
      <c r="K1917" s="73" t="n"/>
      <c r="L1917" s="73" t="n"/>
      <c r="M1917" s="73" t="n"/>
      <c r="N1917" s="57">
        <f>IF($A1917="","",IFERROR(VALUE($J1917),0))</f>
        <v/>
      </c>
      <c r="O1917" s="57">
        <f>IF($A1917="",0,IF(OR($S1917&lt;&gt;1,COUNTA($J1917:$M1917)=0),0,IF(AND(IFERROR(AGGREGATE(15,6,$N$5:$N$2484/(($C$5:$C$2484=$C1917)*($D$5:$D$2484=$D1917)*($S$5:$S$2484=1)*($N$5:$N$2484&gt;0)),1),0)&gt;0,$N1917&gt;0),ROUND($H1917*(IFERROR(AGGREGATE(15,6,$N$5:$N$2484/(($C$5:$C$2484=$C1917)*($D$5:$D$2484=$D1917)*($S$5:$S$2484=1)*($N$5:$N$2484&gt;0)),1),0)/$N1917),4),0)))</f>
        <v/>
      </c>
      <c r="P1917" s="48" t="inlineStr">
        <is>
          <t>indice</t>
        </is>
      </c>
      <c r="Q1917" s="57">
        <f>IF($A1917="","",$A1917&amp;"|"&amp;$C1917)</f>
        <v/>
      </c>
      <c r="R1917" s="57">
        <f>IF($A1917="","",$A1917&amp;"|"&amp;$C1917&amp;"|"&amp;$D1917)</f>
        <v/>
      </c>
      <c r="S1917" s="57">
        <f>IF($A1917="","",IFERROR(INDEX(Offerte!$D$2:$D$81,MATCH($Q1917,Offerte!$L$2:$L$81,0)),0))</f>
        <v/>
      </c>
      <c r="T1917" s="57">
        <f>IF($A1917="","",IFERROR(INDEX(Offerte!$G$2:$G$81,MATCH($Q1917,Offerte!$L$2:$L$81,0)),"NO"))</f>
        <v/>
      </c>
    </row>
    <row r="1918">
      <c r="A1918" s="48">
        <f>IF(Offerte!$A63="","",Offerte!$A63)</f>
        <v/>
      </c>
      <c r="B1918" s="48">
        <f>IF(Offerte!$A63="","",Offerte!$B63)</f>
        <v/>
      </c>
      <c r="C1918" s="48">
        <f>IF(Offerte!$A63="","",Offerte!$C63)</f>
        <v/>
      </c>
      <c r="D1918" s="48" t="inlineStr">
        <is>
          <t>F.2.1</t>
        </is>
      </c>
      <c r="E1918" s="48" t="inlineStr">
        <is>
          <t>F</t>
        </is>
      </c>
      <c r="F1918" s="48" t="inlineStr">
        <is>
          <t>Q</t>
        </is>
      </c>
      <c r="G1918" s="48" t="inlineStr">
        <is>
          <t>higher</t>
        </is>
      </c>
      <c r="H1918" s="48" t="n">
        <v>2</v>
      </c>
      <c r="I1918" s="48" t="inlineStr">
        <is>
          <t>Tasso di copertura del servizio con dispositivi ECO-DRIVER</t>
        </is>
      </c>
      <c r="J1918" s="73" t="n"/>
      <c r="K1918" s="73" t="n"/>
      <c r="L1918" s="73" t="n"/>
      <c r="M1918" s="73" t="n"/>
      <c r="N1918" s="57">
        <f>IF($A1918="","",IFERROR(VALUE($K1918)/VALUE($L1918),IFERROR(VALUE($J1918),0)))</f>
        <v/>
      </c>
      <c r="O1918" s="57">
        <f>IF($A1918="",0,IF(OR($S1918&lt;&gt;1,COUNTA($J1918:$M1918)=0),0,IF(SUMPRODUCT(MAX(($C$5:$C$2484=$C1918)*($D$5:$D$2484=$D1918)*($S$5:$S$2484=1)*IFERROR($N$5:$N$2484*1,0)))&gt;0,ROUND($H1918*($N1918/SUMPRODUCT(MAX(($C$5:$C$2484=$C1918)*($D$5:$D$2484=$D1918)*($S$5:$S$2484=1)*IFERROR($N$5:$N$2484*1,0)))),4),0)))</f>
        <v/>
      </c>
      <c r="P1918" s="48" t="inlineStr">
        <is>
          <t>Autobus attrezzati con dispositivi ECO-DRIVER / Autobus totali in offerta, incluse scorte</t>
        </is>
      </c>
      <c r="Q1918" s="57">
        <f>IF($A1918="","",$A1918&amp;"|"&amp;$C1918)</f>
        <v/>
      </c>
      <c r="R1918" s="57">
        <f>IF($A1918="","",$A1918&amp;"|"&amp;$C1918&amp;"|"&amp;$D1918)</f>
        <v/>
      </c>
      <c r="S1918" s="57">
        <f>IF($A1918="","",IFERROR(INDEX(Offerte!$D$2:$D$81,MATCH($Q1918,Offerte!$L$2:$L$81,0)),0))</f>
        <v/>
      </c>
      <c r="T1918" s="57">
        <f>IF($A1918="","",IFERROR(INDEX(Offerte!$G$2:$G$81,MATCH($Q1918,Offerte!$L$2:$L$81,0)),"NO"))</f>
        <v/>
      </c>
    </row>
    <row r="1919">
      <c r="A1919" s="48">
        <f>IF(Offerte!$A63="","",Offerte!$A63)</f>
        <v/>
      </c>
      <c r="B1919" s="48">
        <f>IF(Offerte!$A63="","",Offerte!$B63)</f>
        <v/>
      </c>
      <c r="C1919" s="48">
        <f>IF(Offerte!$A63="","",Offerte!$C63)</f>
        <v/>
      </c>
      <c r="D1919" s="48" t="inlineStr">
        <is>
          <t>F.3.1</t>
        </is>
      </c>
      <c r="E1919" s="48" t="inlineStr">
        <is>
          <t>F</t>
        </is>
      </c>
      <c r="F1919" s="48" t="inlineStr">
        <is>
          <t>Q</t>
        </is>
      </c>
      <c r="G1919" s="48" t="inlineStr">
        <is>
          <t>higher</t>
        </is>
      </c>
      <c r="H1919" s="48" t="n">
        <v>2</v>
      </c>
      <c r="I1919" s="48" t="inlineStr">
        <is>
          <t>Autoproduzione consumi elettrici per trazione</t>
        </is>
      </c>
      <c r="J1919" s="73" t="n"/>
      <c r="K1919" s="73" t="n"/>
      <c r="L1919" s="73" t="n"/>
      <c r="M1919" s="73" t="n"/>
      <c r="N1919" s="57">
        <f>IF($A1919="","",IFERROR(VALUE($J1919),0))</f>
        <v/>
      </c>
      <c r="O1919" s="57">
        <f>IF($A1919="",0,IF(OR($S1919&lt;&gt;1,COUNTA($J1919:$M1919)=0),0,IF(SUMPRODUCT(MAX(($C$5:$C$2484=$C1919)*($D$5:$D$2484=$D1919)*($S$5:$S$2484=1)*IFERROR($N$5:$N$2484*1,0)))&gt;0,ROUND($H1919*($N1919/SUMPRODUCT(MAX(($C$5:$C$2484=$C1919)*($D$5:$D$2484=$D1919)*($S$5:$S$2484=1)*IFERROR($N$5:$N$2484*1,0)))),4),0)))</f>
        <v/>
      </c>
      <c r="P1919" s="48" t="inlineStr">
        <is>
          <t>kWh/anno</t>
        </is>
      </c>
      <c r="Q1919" s="57">
        <f>IF($A1919="","",$A1919&amp;"|"&amp;$C1919)</f>
        <v/>
      </c>
      <c r="R1919" s="57">
        <f>IF($A1919="","",$A1919&amp;"|"&amp;$C1919&amp;"|"&amp;$D1919)</f>
        <v/>
      </c>
      <c r="S1919" s="57">
        <f>IF($A1919="","",IFERROR(INDEX(Offerte!$D$2:$D$81,MATCH($Q1919,Offerte!$L$2:$L$81,0)),0))</f>
        <v/>
      </c>
      <c r="T1919" s="57">
        <f>IF($A1919="","",IFERROR(INDEX(Offerte!$G$2:$G$81,MATCH($Q1919,Offerte!$L$2:$L$81,0)),"NO"))</f>
        <v/>
      </c>
    </row>
    <row r="1920">
      <c r="A1920" s="48">
        <f>IF(Offerte!$A63="","",Offerte!$A63)</f>
        <v/>
      </c>
      <c r="B1920" s="48">
        <f>IF(Offerte!$A63="","",Offerte!$B63)</f>
        <v/>
      </c>
      <c r="C1920" s="48">
        <f>IF(Offerte!$A63="","",Offerte!$C63)</f>
        <v/>
      </c>
      <c r="D1920" s="48" t="inlineStr">
        <is>
          <t>F.4.1</t>
        </is>
      </c>
      <c r="E1920" s="48" t="inlineStr">
        <is>
          <t>F</t>
        </is>
      </c>
      <c r="F1920" s="48" t="inlineStr">
        <is>
          <t>Q</t>
        </is>
      </c>
      <c r="G1920" s="48" t="inlineStr">
        <is>
          <t>soil</t>
        </is>
      </c>
      <c r="H1920" s="48" t="n">
        <v>2</v>
      </c>
      <c r="I1920" s="48" t="inlineStr">
        <is>
          <t>Indice di consumo di suolo</t>
        </is>
      </c>
      <c r="J1920" s="73" t="n"/>
      <c r="K1920" s="73" t="n"/>
      <c r="L1920" s="73" t="n"/>
      <c r="M1920" s="73" t="n"/>
      <c r="N1920" s="57">
        <f>IF($A1920="","",IFERROR(VALUE($J1920),0))</f>
        <v/>
      </c>
      <c r="O1920" s="57">
        <f>IF($A1920="",0,IF(OR($S1920&lt;&gt;1,COUNTA($J1920:$M1920)=0),0,IF($N1920&lt;=0,$H1920,IF(SUMPRODUCT(MAX(($C$5:$C$2484=$C1920)*($D$5:$D$2484=$D1920)*($S$5:$S$2484=1)*IFERROR($N$5:$N$2484*1,0)))&gt;0,ROUND($H1920*((SUMPRODUCT(MAX(($C$5:$C$2484=$C1920)*($D$5:$D$2484=$D1920)*($S$5:$S$2484=1)*IFERROR($N$5:$N$2484*1,0)))-$N1920)/SUMPRODUCT(MAX(($C$5:$C$2484=$C1920)*($D$5:$D$2484=$D1920)*($S$5:$S$2484=1)*IFERROR($N$5:$N$2484*1,0)))),4),0))))</f>
        <v/>
      </c>
      <c r="P1920" s="48" t="inlineStr">
        <is>
          <t>m2</t>
        </is>
      </c>
      <c r="Q1920" s="57">
        <f>IF($A1920="","",$A1920&amp;"|"&amp;$C1920)</f>
        <v/>
      </c>
      <c r="R1920" s="57">
        <f>IF($A1920="","",$A1920&amp;"|"&amp;$C1920&amp;"|"&amp;$D1920)</f>
        <v/>
      </c>
      <c r="S1920" s="57">
        <f>IF($A1920="","",IFERROR(INDEX(Offerte!$D$2:$D$81,MATCH($Q1920,Offerte!$L$2:$L$81,0)),0))</f>
        <v/>
      </c>
      <c r="T1920" s="57">
        <f>IF($A1920="","",IFERROR(INDEX(Offerte!$G$2:$G$81,MATCH($Q1920,Offerte!$L$2:$L$81,0)),"NO"))</f>
        <v/>
      </c>
    </row>
    <row r="1921">
      <c r="A1921" s="48">
        <f>IF(Offerte!$A63="","",Offerte!$A63)</f>
        <v/>
      </c>
      <c r="B1921" s="48">
        <f>IF(Offerte!$A63="","",Offerte!$B63)</f>
        <v/>
      </c>
      <c r="C1921" s="48">
        <f>IF(Offerte!$A63="","",Offerte!$C63)</f>
        <v/>
      </c>
      <c r="D1921" s="48" t="inlineStr">
        <is>
          <t>F.5.1</t>
        </is>
      </c>
      <c r="E1921" s="48" t="inlineStr">
        <is>
          <t>F</t>
        </is>
      </c>
      <c r="F1921" s="48" t="inlineStr">
        <is>
          <t>T</t>
        </is>
      </c>
      <c r="G1921" s="48" t="inlineStr">
        <is>
          <t>tabular</t>
        </is>
      </c>
      <c r="H1921" s="48" t="n">
        <v>1</v>
      </c>
      <c r="I1921" s="48" t="inlineStr">
        <is>
          <t>Rendicontazione di sostenibilità ambientale</t>
        </is>
      </c>
      <c r="J1921" s="73" t="n"/>
      <c r="K1921" s="73" t="n"/>
      <c r="L1921" s="73" t="n"/>
      <c r="M1921" s="73" t="n"/>
      <c r="N1921" s="57">
        <f>IF($A1921="","",IF(IFERROR(VALUE($M1921),0)=1,1,0))</f>
        <v/>
      </c>
      <c r="O1921" s="57">
        <f>IF($A1921="",0,IF(OR($S1921&lt;&gt;1,COUNTA($J1921:$M1921)=0),0,IF($N1921=1,$H1921,0)))</f>
        <v/>
      </c>
      <c r="P1921" s="48" t="inlineStr">
        <is>
          <t>sì/no</t>
        </is>
      </c>
      <c r="Q1921" s="57">
        <f>IF($A1921="","",$A1921&amp;"|"&amp;$C1921)</f>
        <v/>
      </c>
      <c r="R1921" s="57">
        <f>IF($A1921="","",$A1921&amp;"|"&amp;$C1921&amp;"|"&amp;$D1921)</f>
        <v/>
      </c>
      <c r="S1921" s="57">
        <f>IF($A1921="","",IFERROR(INDEX(Offerte!$D$2:$D$81,MATCH($Q1921,Offerte!$L$2:$L$81,0)),0))</f>
        <v/>
      </c>
      <c r="T1921" s="57">
        <f>IF($A1921="","",IFERROR(INDEX(Offerte!$G$2:$G$81,MATCH($Q1921,Offerte!$L$2:$L$81,0)),"NO"))</f>
        <v/>
      </c>
    </row>
    <row r="1922">
      <c r="A1922" s="48">
        <f>IF(Offerte!$A63="","",Offerte!$A63)</f>
        <v/>
      </c>
      <c r="B1922" s="48">
        <f>IF(Offerte!$A63="","",Offerte!$B63)</f>
        <v/>
      </c>
      <c r="C1922" s="48">
        <f>IF(Offerte!$A63="","",Offerte!$C63)</f>
        <v/>
      </c>
      <c r="D1922" s="48" t="inlineStr">
        <is>
          <t>G.1.1</t>
        </is>
      </c>
      <c r="E1922" s="48" t="inlineStr">
        <is>
          <t>G</t>
        </is>
      </c>
      <c r="F1922" s="48" t="inlineStr">
        <is>
          <t>D</t>
        </is>
      </c>
      <c r="G1922" s="48" t="inlineStr">
        <is>
          <t>discretionary</t>
        </is>
      </c>
      <c r="H1922" s="48" t="n">
        <v>2</v>
      </c>
      <c r="I1922" s="48" t="inlineStr">
        <is>
          <t>Qualità del progetto di centrale di controllo aziendale</t>
        </is>
      </c>
      <c r="J1922" s="73" t="n"/>
      <c r="K1922" s="73" t="n"/>
      <c r="L1922" s="73" t="n"/>
      <c r="M1922" s="73" t="n"/>
      <c r="N1922" s="57">
        <f>IF($A1922="","",MAX(0,MIN(1,IFERROR(VALUE($M1922),0))))</f>
        <v/>
      </c>
      <c r="O1922" s="57">
        <f>IF($A1922="",0,IF(OR($S1922&lt;&gt;1,COUNTA($J1922:$M1922)=0),0,IF(SUMPRODUCT(MAX(($C$5:$C$2484=$C1922)*($D$5:$D$2484=$D1922)*($S$5:$S$2484=1)*IFERROR($N$5:$N$2484*1,0)))&gt;0,ROUND($H1922*($N1922/SUMPRODUCT(MAX(($C$5:$C$2484=$C1922)*($D$5:$D$2484=$D1922)*($S$5:$S$2484=1)*IFERROR($N$5:$N$2484*1,0)))),4),0)))</f>
        <v/>
      </c>
      <c r="P1922" s="48" t="inlineStr">
        <is>
          <t>coeff.</t>
        </is>
      </c>
      <c r="Q1922" s="57">
        <f>IF($A1922="","",$A1922&amp;"|"&amp;$C1922)</f>
        <v/>
      </c>
      <c r="R1922" s="57">
        <f>IF($A1922="","",$A1922&amp;"|"&amp;$C1922&amp;"|"&amp;$D1922)</f>
        <v/>
      </c>
      <c r="S1922" s="57">
        <f>IF($A1922="","",IFERROR(INDEX(Offerte!$D$2:$D$81,MATCH($Q1922,Offerte!$L$2:$L$81,0)),0))</f>
        <v/>
      </c>
      <c r="T1922" s="57">
        <f>IF($A1922="","",IFERROR(INDEX(Offerte!$G$2:$G$81,MATCH($Q1922,Offerte!$L$2:$L$81,0)),"NO"))</f>
        <v/>
      </c>
    </row>
    <row r="1923">
      <c r="A1923" s="48">
        <f>IF(Offerte!$A63="","",Offerte!$A63)</f>
        <v/>
      </c>
      <c r="B1923" s="48">
        <f>IF(Offerte!$A63="","",Offerte!$B63)</f>
        <v/>
      </c>
      <c r="C1923" s="48">
        <f>IF(Offerte!$A63="","",Offerte!$C63)</f>
        <v/>
      </c>
      <c r="D1923" s="48" t="inlineStr">
        <is>
          <t>G.2.1</t>
        </is>
      </c>
      <c r="E1923" s="48" t="inlineStr">
        <is>
          <t>G</t>
        </is>
      </c>
      <c r="F1923" s="48" t="inlineStr">
        <is>
          <t>T</t>
        </is>
      </c>
      <c r="G1923" s="48" t="inlineStr">
        <is>
          <t>tabular</t>
        </is>
      </c>
      <c r="H1923" s="48" t="n">
        <v>1</v>
      </c>
      <c r="I1923" s="48" t="inlineStr">
        <is>
          <t>Certificazione ISO 45001</t>
        </is>
      </c>
      <c r="J1923" s="73" t="n"/>
      <c r="K1923" s="73" t="n"/>
      <c r="L1923" s="73" t="n"/>
      <c r="M1923" s="73" t="n"/>
      <c r="N1923" s="57">
        <f>IF($A1923="","",IF(IFERROR(VALUE($M1923),0)=1,1,0))</f>
        <v/>
      </c>
      <c r="O1923" s="57">
        <f>IF($A1923="",0,IF(OR($S1923&lt;&gt;1,COUNTA($J1923:$M1923)=0),0,IF($N1923=1,$H1923,0)))</f>
        <v/>
      </c>
      <c r="P1923" s="48" t="inlineStr">
        <is>
          <t>sì/no</t>
        </is>
      </c>
      <c r="Q1923" s="57">
        <f>IF($A1923="","",$A1923&amp;"|"&amp;$C1923)</f>
        <v/>
      </c>
      <c r="R1923" s="57">
        <f>IF($A1923="","",$A1923&amp;"|"&amp;$C1923&amp;"|"&amp;$D1923)</f>
        <v/>
      </c>
      <c r="S1923" s="57">
        <f>IF($A1923="","",IFERROR(INDEX(Offerte!$D$2:$D$81,MATCH($Q1923,Offerte!$L$2:$L$81,0)),0))</f>
        <v/>
      </c>
      <c r="T1923" s="57">
        <f>IF($A1923="","",IFERROR(INDEX(Offerte!$G$2:$G$81,MATCH($Q1923,Offerte!$L$2:$L$81,0)),"NO"))</f>
        <v/>
      </c>
    </row>
    <row r="1924">
      <c r="A1924" s="48">
        <f>IF(Offerte!$A63="","",Offerte!$A63)</f>
        <v/>
      </c>
      <c r="B1924" s="48">
        <f>IF(Offerte!$A63="","",Offerte!$B63)</f>
        <v/>
      </c>
      <c r="C1924" s="48">
        <f>IF(Offerte!$A63="","",Offerte!$C63)</f>
        <v/>
      </c>
      <c r="D1924" s="48" t="inlineStr">
        <is>
          <t>G.3.1</t>
        </is>
      </c>
      <c r="E1924" s="48" t="inlineStr">
        <is>
          <t>G</t>
        </is>
      </c>
      <c r="F1924" s="48" t="inlineStr">
        <is>
          <t>T</t>
        </is>
      </c>
      <c r="G1924" s="48" t="inlineStr">
        <is>
          <t>tabular</t>
        </is>
      </c>
      <c r="H1924" s="48" t="n">
        <v>1</v>
      </c>
      <c r="I1924" s="48" t="inlineStr">
        <is>
          <t>Certificazioni di responsabilità sociale</t>
        </is>
      </c>
      <c r="J1924" s="73" t="n"/>
      <c r="K1924" s="73" t="n"/>
      <c r="L1924" s="73" t="n"/>
      <c r="M1924" s="73" t="n"/>
      <c r="N1924" s="57">
        <f>IF($A1924="","",IF(IFERROR(VALUE($M1924),0)=1,1,0))</f>
        <v/>
      </c>
      <c r="O1924" s="57">
        <f>IF($A1924="",0,IF(OR($S1924&lt;&gt;1,COUNTA($J1924:$M1924)=0),0,IF($N1924=1,$H1924,0)))</f>
        <v/>
      </c>
      <c r="P1924" s="48" t="inlineStr">
        <is>
          <t>sì/no</t>
        </is>
      </c>
      <c r="Q1924" s="57">
        <f>IF($A1924="","",$A1924&amp;"|"&amp;$C1924)</f>
        <v/>
      </c>
      <c r="R1924" s="57">
        <f>IF($A1924="","",$A1924&amp;"|"&amp;$C1924&amp;"|"&amp;$D1924)</f>
        <v/>
      </c>
      <c r="S1924" s="57">
        <f>IF($A1924="","",IFERROR(INDEX(Offerte!$D$2:$D$81,MATCH($Q1924,Offerte!$L$2:$L$81,0)),0))</f>
        <v/>
      </c>
      <c r="T1924" s="57">
        <f>IF($A1924="","",IFERROR(INDEX(Offerte!$G$2:$G$81,MATCH($Q1924,Offerte!$L$2:$L$81,0)),"NO"))</f>
        <v/>
      </c>
    </row>
    <row r="1925">
      <c r="A1925" s="48">
        <f>IF(Offerte!$A63="","",Offerte!$A63)</f>
        <v/>
      </c>
      <c r="B1925" s="48">
        <f>IF(Offerte!$A63="","",Offerte!$B63)</f>
        <v/>
      </c>
      <c r="C1925" s="48">
        <f>IF(Offerte!$A63="","",Offerte!$C63)</f>
        <v/>
      </c>
      <c r="D1925" s="48" t="inlineStr">
        <is>
          <t>G.4.1</t>
        </is>
      </c>
      <c r="E1925" s="48" t="inlineStr">
        <is>
          <t>G</t>
        </is>
      </c>
      <c r="F1925" s="48" t="inlineStr">
        <is>
          <t>D</t>
        </is>
      </c>
      <c r="G1925" s="48" t="inlineStr">
        <is>
          <t>discretionary</t>
        </is>
      </c>
      <c r="H1925" s="48" t="n">
        <v>2</v>
      </c>
      <c r="I1925" s="48" t="inlineStr">
        <is>
          <t>Qualità del piano di formazione del personale</t>
        </is>
      </c>
      <c r="J1925" s="73" t="n"/>
      <c r="K1925" s="73" t="n"/>
      <c r="L1925" s="73" t="n"/>
      <c r="M1925" s="73" t="n"/>
      <c r="N1925" s="57">
        <f>IF($A1925="","",MAX(0,MIN(1,IFERROR(VALUE($M1925),0))))</f>
        <v/>
      </c>
      <c r="O1925" s="57">
        <f>IF($A1925="",0,IF(OR($S1925&lt;&gt;1,COUNTA($J1925:$M1925)=0),0,IF(SUMPRODUCT(MAX(($C$5:$C$2484=$C1925)*($D$5:$D$2484=$D1925)*($S$5:$S$2484=1)*IFERROR($N$5:$N$2484*1,0)))&gt;0,ROUND($H1925*($N1925/SUMPRODUCT(MAX(($C$5:$C$2484=$C1925)*($D$5:$D$2484=$D1925)*($S$5:$S$2484=1)*IFERROR($N$5:$N$2484*1,0)))),4),0)))</f>
        <v/>
      </c>
      <c r="P1925" s="48" t="inlineStr">
        <is>
          <t>coeff.</t>
        </is>
      </c>
      <c r="Q1925" s="57">
        <f>IF($A1925="","",$A1925&amp;"|"&amp;$C1925)</f>
        <v/>
      </c>
      <c r="R1925" s="57">
        <f>IF($A1925="","",$A1925&amp;"|"&amp;$C1925&amp;"|"&amp;$D1925)</f>
        <v/>
      </c>
      <c r="S1925" s="57">
        <f>IF($A1925="","",IFERROR(INDEX(Offerte!$D$2:$D$81,MATCH($Q1925,Offerte!$L$2:$L$81,0)),0))</f>
        <v/>
      </c>
      <c r="T1925" s="57">
        <f>IF($A1925="","",IFERROR(INDEX(Offerte!$G$2:$G$81,MATCH($Q1925,Offerte!$L$2:$L$81,0)),"NO"))</f>
        <v/>
      </c>
    </row>
    <row r="1926">
      <c r="A1926" s="48">
        <f>IF(Offerte!$A63="","",Offerte!$A63)</f>
        <v/>
      </c>
      <c r="B1926" s="48">
        <f>IF(Offerte!$A63="","",Offerte!$B63)</f>
        <v/>
      </c>
      <c r="C1926" s="48">
        <f>IF(Offerte!$A63="","",Offerte!$C63)</f>
        <v/>
      </c>
      <c r="D1926" s="48" t="inlineStr">
        <is>
          <t>G.5.1</t>
        </is>
      </c>
      <c r="E1926" s="48" t="inlineStr">
        <is>
          <t>G</t>
        </is>
      </c>
      <c r="F1926" s="48" t="inlineStr">
        <is>
          <t>T</t>
        </is>
      </c>
      <c r="G1926" s="48" t="inlineStr">
        <is>
          <t>tabular</t>
        </is>
      </c>
      <c r="H1926" s="48" t="n">
        <v>1</v>
      </c>
      <c r="I1926" s="48" t="inlineStr">
        <is>
          <t>Impegno al mantenimento delle garanzie del contratto di secondo livello del gestore uscente</t>
        </is>
      </c>
      <c r="J1926" s="73" t="n"/>
      <c r="K1926" s="73" t="n"/>
      <c r="L1926" s="73" t="n"/>
      <c r="M1926" s="73" t="n"/>
      <c r="N1926" s="57">
        <f>IF($A1926="","",IF(IFERROR(VALUE($M1926),0)=1,1,0))</f>
        <v/>
      </c>
      <c r="O1926" s="57">
        <f>IF($A1926="",0,IF(OR($S1926&lt;&gt;1,COUNTA($J1926:$M1926)=0),0,IF($N1926=1,$H1926,0)))</f>
        <v/>
      </c>
      <c r="P1926" s="48" t="inlineStr">
        <is>
          <t>sì/no</t>
        </is>
      </c>
      <c r="Q1926" s="57">
        <f>IF($A1926="","",$A1926&amp;"|"&amp;$C1926)</f>
        <v/>
      </c>
      <c r="R1926" s="57">
        <f>IF($A1926="","",$A1926&amp;"|"&amp;$C1926&amp;"|"&amp;$D1926)</f>
        <v/>
      </c>
      <c r="S1926" s="57">
        <f>IF($A1926="","",IFERROR(INDEX(Offerte!$D$2:$D$81,MATCH($Q1926,Offerte!$L$2:$L$81,0)),0))</f>
        <v/>
      </c>
      <c r="T1926" s="57">
        <f>IF($A1926="","",IFERROR(INDEX(Offerte!$G$2:$G$81,MATCH($Q1926,Offerte!$L$2:$L$81,0)),"NO"))</f>
        <v/>
      </c>
    </row>
    <row r="1927">
      <c r="A1927" s="48">
        <f>IF(Offerte!$A64="","",Offerte!$A64)</f>
        <v/>
      </c>
      <c r="B1927" s="48">
        <f>IF(Offerte!$A64="","",Offerte!$B64)</f>
        <v/>
      </c>
      <c r="C1927" s="48">
        <f>IF(Offerte!$A64="","",Offerte!$C64)</f>
        <v/>
      </c>
      <c r="D1927" s="48" t="inlineStr">
        <is>
          <t>A.1.1</t>
        </is>
      </c>
      <c r="E1927" s="48" t="inlineStr">
        <is>
          <t>A</t>
        </is>
      </c>
      <c r="F1927" s="48" t="inlineStr">
        <is>
          <t>Q</t>
        </is>
      </c>
      <c r="G1927" s="48" t="inlineStr">
        <is>
          <t>higher</t>
        </is>
      </c>
      <c r="H1927" s="48" t="n">
        <v>3</v>
      </c>
      <c r="I1927" s="48" t="inlineStr">
        <is>
          <t>Tasso aggiuntivo di corse controllate</t>
        </is>
      </c>
      <c r="J1927" s="73" t="n"/>
      <c r="K1927" s="73" t="n"/>
      <c r="L1927" s="73" t="n"/>
      <c r="M1927" s="73" t="n"/>
      <c r="N1927" s="57">
        <f>IF($A1927="","",IFERROR(VALUE($K1927)/VALUE($L1927)*100,IFERROR(VALUE($J1927),0)))</f>
        <v/>
      </c>
      <c r="O1927" s="57">
        <f>IF($A1927="",0,IF(OR($S1927&lt;&gt;1,COUNTA($J1927:$M1927)=0),0,IF(SUMPRODUCT(MAX(($C$5:$C$2484=$C1927)*($D$5:$D$2484=$D1927)*($S$5:$S$2484=1)*IFERROR($N$5:$N$2484*1,0)))&gt;0,ROUND($H1927*($N1927/SUMPRODUCT(MAX(($C$5:$C$2484=$C1927)*($D$5:$D$2484=$D1927)*($S$5:$S$2484=1)*IFERROR($N$5:$N$2484*1,0)))),4),0)))</f>
        <v/>
      </c>
      <c r="P1927" s="48" t="inlineStr">
        <is>
          <t>Corse controllate annue / Corse programmate annue</t>
        </is>
      </c>
      <c r="Q1927" s="57">
        <f>IF($A1927="","",$A1927&amp;"|"&amp;$C1927)</f>
        <v/>
      </c>
      <c r="R1927" s="57">
        <f>IF($A1927="","",$A1927&amp;"|"&amp;$C1927&amp;"|"&amp;$D1927)</f>
        <v/>
      </c>
      <c r="S1927" s="57">
        <f>IF($A1927="","",IFERROR(INDEX(Offerte!$D$2:$D$81,MATCH($Q1927,Offerte!$L$2:$L$81,0)),0))</f>
        <v/>
      </c>
      <c r="T1927" s="57">
        <f>IF($A1927="","",IFERROR(INDEX(Offerte!$G$2:$G$81,MATCH($Q1927,Offerte!$L$2:$L$81,0)),"NO"))</f>
        <v/>
      </c>
    </row>
    <row r="1928">
      <c r="A1928" s="48">
        <f>IF(Offerte!$A64="","",Offerte!$A64)</f>
        <v/>
      </c>
      <c r="B1928" s="48">
        <f>IF(Offerte!$A64="","",Offerte!$B64)</f>
        <v/>
      </c>
      <c r="C1928" s="48">
        <f>IF(Offerte!$A64="","",Offerte!$C64)</f>
        <v/>
      </c>
      <c r="D1928" s="48" t="inlineStr">
        <is>
          <t>A.1.2</t>
        </is>
      </c>
      <c r="E1928" s="48" t="inlineStr">
        <is>
          <t>A</t>
        </is>
      </c>
      <c r="F1928" s="48" t="inlineStr">
        <is>
          <t>Q</t>
        </is>
      </c>
      <c r="G1928" s="48" t="inlineStr">
        <is>
          <t>higher</t>
        </is>
      </c>
      <c r="H1928" s="48" t="n">
        <v>4</v>
      </c>
      <c r="I1928" s="48" t="inlineStr">
        <is>
          <t>Numero aggiuntivo di passeggeri controllati</t>
        </is>
      </c>
      <c r="J1928" s="73" t="n"/>
      <c r="K1928" s="73" t="n"/>
      <c r="L1928" s="73" t="n"/>
      <c r="M1928" s="73" t="n"/>
      <c r="N1928" s="57">
        <f>IF($A1928="","",IFERROR(VALUE($J1928),0))</f>
        <v/>
      </c>
      <c r="O1928" s="57">
        <f>IF($A1928="",0,IF(OR($S1928&lt;&gt;1,COUNTA($J1928:$M1928)=0),0,IF(SUMPRODUCT(MAX(($C$5:$C$2484=$C1928)*($D$5:$D$2484=$D1928)*($S$5:$S$2484=1)*IFERROR($N$5:$N$2484*1,0)))&gt;0,ROUND($H1928*($N1928/SUMPRODUCT(MAX(($C$5:$C$2484=$C1928)*($D$5:$D$2484=$D1928)*($S$5:$S$2484=1)*IFERROR($N$5:$N$2484*1,0)))),4),0)))</f>
        <v/>
      </c>
      <c r="P1928" s="48" t="inlineStr">
        <is>
          <t>passeggeri/anno</t>
        </is>
      </c>
      <c r="Q1928" s="57">
        <f>IF($A1928="","",$A1928&amp;"|"&amp;$C1928)</f>
        <v/>
      </c>
      <c r="R1928" s="57">
        <f>IF($A1928="","",$A1928&amp;"|"&amp;$C1928&amp;"|"&amp;$D1928)</f>
        <v/>
      </c>
      <c r="S1928" s="57">
        <f>IF($A1928="","",IFERROR(INDEX(Offerte!$D$2:$D$81,MATCH($Q1928,Offerte!$L$2:$L$81,0)),0))</f>
        <v/>
      </c>
      <c r="T1928" s="57">
        <f>IF($A1928="","",IFERROR(INDEX(Offerte!$G$2:$G$81,MATCH($Q1928,Offerte!$L$2:$L$81,0)),"NO"))</f>
        <v/>
      </c>
    </row>
    <row r="1929">
      <c r="A1929" s="48">
        <f>IF(Offerte!$A64="","",Offerte!$A64)</f>
        <v/>
      </c>
      <c r="B1929" s="48">
        <f>IF(Offerte!$A64="","",Offerte!$B64)</f>
        <v/>
      </c>
      <c r="C1929" s="48">
        <f>IF(Offerte!$A64="","",Offerte!$C64)</f>
        <v/>
      </c>
      <c r="D1929" s="48" t="inlineStr">
        <is>
          <t>B.1.1</t>
        </is>
      </c>
      <c r="E1929" s="48" t="inlineStr">
        <is>
          <t>B</t>
        </is>
      </c>
      <c r="F1929" s="48" t="inlineStr">
        <is>
          <t>Q</t>
        </is>
      </c>
      <c r="G1929" s="48" t="inlineStr">
        <is>
          <t>higher</t>
        </is>
      </c>
      <c r="H1929" s="48" t="n">
        <v>3</v>
      </c>
      <c r="I1929" s="48" t="inlineStr">
        <is>
          <t>Incremento dei posti offerti nelle fasce di punta</t>
        </is>
      </c>
      <c r="J1929" s="73" t="n"/>
      <c r="K1929" s="73" t="n"/>
      <c r="L1929" s="73" t="n"/>
      <c r="M1929" s="73" t="n"/>
      <c r="N1929" s="57">
        <f>IF($A1929="","",IFERROR(VALUE($J1929),0))</f>
        <v/>
      </c>
      <c r="O1929" s="57">
        <f>IF($A1929="",0,IF(OR($S1929&lt;&gt;1,COUNTA($J1929:$M1929)=0),0,IF(SUMPRODUCT(MAX(($C$5:$C$2484=$C1929)*($D$5:$D$2484=$D1929)*($S$5:$S$2484=1)*IFERROR($N$5:$N$2484*1,0)))&gt;0,ROUND($H1929*($N1929/SUMPRODUCT(MAX(($C$5:$C$2484=$C1929)*($D$5:$D$2484=$D1929)*($S$5:$S$2484=1)*IFERROR($N$5:$N$2484*1,0)))),4),0)))</f>
        <v/>
      </c>
      <c r="P1929" s="48" t="inlineStr">
        <is>
          <t>posti*km</t>
        </is>
      </c>
      <c r="Q1929" s="57">
        <f>IF($A1929="","",$A1929&amp;"|"&amp;$C1929)</f>
        <v/>
      </c>
      <c r="R1929" s="57">
        <f>IF($A1929="","",$A1929&amp;"|"&amp;$C1929&amp;"|"&amp;$D1929)</f>
        <v/>
      </c>
      <c r="S1929" s="57">
        <f>IF($A1929="","",IFERROR(INDEX(Offerte!$D$2:$D$81,MATCH($Q1929,Offerte!$L$2:$L$81,0)),0))</f>
        <v/>
      </c>
      <c r="T1929" s="57">
        <f>IF($A1929="","",IFERROR(INDEX(Offerte!$G$2:$G$81,MATCH($Q1929,Offerte!$L$2:$L$81,0)),"NO"))</f>
        <v/>
      </c>
    </row>
    <row r="1930">
      <c r="A1930" s="48">
        <f>IF(Offerte!$A64="","",Offerte!$A64)</f>
        <v/>
      </c>
      <c r="B1930" s="48">
        <f>IF(Offerte!$A64="","",Offerte!$B64)</f>
        <v/>
      </c>
      <c r="C1930" s="48">
        <f>IF(Offerte!$A64="","",Offerte!$C64)</f>
        <v/>
      </c>
      <c r="D1930" s="48" t="inlineStr">
        <is>
          <t>B.2.1</t>
        </is>
      </c>
      <c r="E1930" s="48" t="inlineStr">
        <is>
          <t>B</t>
        </is>
      </c>
      <c r="F1930" s="48" t="inlineStr">
        <is>
          <t>Q</t>
        </is>
      </c>
      <c r="G1930" s="48" t="inlineStr">
        <is>
          <t>higher</t>
        </is>
      </c>
      <c r="H1930" s="48" t="n">
        <v>4</v>
      </c>
      <c r="I1930" s="48" t="inlineStr">
        <is>
          <t>Corse aggiuntive nell'arco giornaliero base</t>
        </is>
      </c>
      <c r="J1930" s="73" t="n"/>
      <c r="K1930" s="73" t="n"/>
      <c r="L1930" s="73" t="n"/>
      <c r="M1930" s="73" t="n"/>
      <c r="N1930" s="57">
        <f>IF($A1930="","",IFERROR(VALUE($J1930),0))</f>
        <v/>
      </c>
      <c r="O1930" s="57">
        <f>IF($A1930="",0,IF(OR($S1930&lt;&gt;1,COUNTA($J1930:$M1930)=0),0,IF(SUMPRODUCT(MAX(($C$5:$C$2484=$C1930)*($D$5:$D$2484=$D1930)*($S$5:$S$2484=1)*IFERROR($N$5:$N$2484*1,0)))&gt;0,ROUND($H1930*($N1930/SUMPRODUCT(MAX(($C$5:$C$2484=$C1930)*($D$5:$D$2484=$D1930)*($S$5:$S$2484=1)*IFERROR($N$5:$N$2484*1,0)))),4),0)))</f>
        <v/>
      </c>
      <c r="P1930" s="48" t="inlineStr">
        <is>
          <t>corse</t>
        </is>
      </c>
      <c r="Q1930" s="57">
        <f>IF($A1930="","",$A1930&amp;"|"&amp;$C1930)</f>
        <v/>
      </c>
      <c r="R1930" s="57">
        <f>IF($A1930="","",$A1930&amp;"|"&amp;$C1930&amp;"|"&amp;$D1930)</f>
        <v/>
      </c>
      <c r="S1930" s="57">
        <f>IF($A1930="","",IFERROR(INDEX(Offerte!$D$2:$D$81,MATCH($Q1930,Offerte!$L$2:$L$81,0)),0))</f>
        <v/>
      </c>
      <c r="T1930" s="57">
        <f>IF($A1930="","",IFERROR(INDEX(Offerte!$G$2:$G$81,MATCH($Q1930,Offerte!$L$2:$L$81,0)),"NO"))</f>
        <v/>
      </c>
    </row>
    <row r="1931">
      <c r="A1931" s="48">
        <f>IF(Offerte!$A64="","",Offerte!$A64)</f>
        <v/>
      </c>
      <c r="B1931" s="48">
        <f>IF(Offerte!$A64="","",Offerte!$B64)</f>
        <v/>
      </c>
      <c r="C1931" s="48">
        <f>IF(Offerte!$A64="","",Offerte!$C64)</f>
        <v/>
      </c>
      <c r="D1931" s="48" t="inlineStr">
        <is>
          <t>B.3.1</t>
        </is>
      </c>
      <c r="E1931" s="48" t="inlineStr">
        <is>
          <t>B</t>
        </is>
      </c>
      <c r="F1931" s="48" t="inlineStr">
        <is>
          <t>Q</t>
        </is>
      </c>
      <c r="G1931" s="48" t="inlineStr">
        <is>
          <t>higher</t>
        </is>
      </c>
      <c r="H1931" s="48" t="n">
        <v>2</v>
      </c>
      <c r="I1931" s="48" t="inlineStr">
        <is>
          <t>Numero di corse aggiuntive per allungamento dell'arco di servizio giornaliero nelle fasce serali</t>
        </is>
      </c>
      <c r="J1931" s="73" t="n"/>
      <c r="K1931" s="73" t="n"/>
      <c r="L1931" s="73" t="n"/>
      <c r="M1931" s="73" t="n"/>
      <c r="N1931" s="57">
        <f>IF($A1931="","",IFERROR(VALUE($J1931),0))</f>
        <v/>
      </c>
      <c r="O1931" s="57">
        <f>IF($A1931="",0,IF(OR($S1931&lt;&gt;1,COUNTA($J1931:$M1931)=0),0,IF(SUMPRODUCT(MAX(($C$5:$C$2484=$C1931)*($D$5:$D$2484=$D1931)*($S$5:$S$2484=1)*IFERROR($N$5:$N$2484*1,0)))&gt;0,ROUND($H1931*($N1931/SUMPRODUCT(MAX(($C$5:$C$2484=$C1931)*($D$5:$D$2484=$D1931)*($S$5:$S$2484=1)*IFERROR($N$5:$N$2484*1,0)))),4),0)))</f>
        <v/>
      </c>
      <c r="P1931" s="48" t="inlineStr">
        <is>
          <t>corse</t>
        </is>
      </c>
      <c r="Q1931" s="57">
        <f>IF($A1931="","",$A1931&amp;"|"&amp;$C1931)</f>
        <v/>
      </c>
      <c r="R1931" s="57">
        <f>IF($A1931="","",$A1931&amp;"|"&amp;$C1931&amp;"|"&amp;$D1931)</f>
        <v/>
      </c>
      <c r="S1931" s="57">
        <f>IF($A1931="","",IFERROR(INDEX(Offerte!$D$2:$D$81,MATCH($Q1931,Offerte!$L$2:$L$81,0)),0))</f>
        <v/>
      </c>
      <c r="T1931" s="57">
        <f>IF($A1931="","",IFERROR(INDEX(Offerte!$G$2:$G$81,MATCH($Q1931,Offerte!$L$2:$L$81,0)),"NO"))</f>
        <v/>
      </c>
    </row>
    <row r="1932">
      <c r="A1932" s="48">
        <f>IF(Offerte!$A64="","",Offerte!$A64)</f>
        <v/>
      </c>
      <c r="B1932" s="48">
        <f>IF(Offerte!$A64="","",Offerte!$B64)</f>
        <v/>
      </c>
      <c r="C1932" s="48">
        <f>IF(Offerte!$A64="","",Offerte!$C64)</f>
        <v/>
      </c>
      <c r="D1932" s="48" t="inlineStr">
        <is>
          <t>B.4.1</t>
        </is>
      </c>
      <c r="E1932" s="48" t="inlineStr">
        <is>
          <t>B</t>
        </is>
      </c>
      <c r="F1932" s="48" t="inlineStr">
        <is>
          <t>Q</t>
        </is>
      </c>
      <c r="G1932" s="48" t="inlineStr">
        <is>
          <t>higher</t>
        </is>
      </c>
      <c r="H1932" s="48" t="n">
        <v>3</v>
      </c>
      <c r="I1932" s="48" t="inlineStr">
        <is>
          <t>Percorrenze aggiuntive offerte nel Programma d'esercizio delle prime due fasi attuative</t>
        </is>
      </c>
      <c r="J1932" s="73" t="n"/>
      <c r="K1932" s="73" t="n"/>
      <c r="L1932" s="73" t="n"/>
      <c r="M1932" s="73" t="n"/>
      <c r="N1932" s="57">
        <f>IF($A1932="","",IFERROR(VALUE($J1932),0))</f>
        <v/>
      </c>
      <c r="O1932" s="57">
        <f>IF($A1932="",0,IF(OR($S1932&lt;&gt;1,COUNTA($J1932:$M1932)=0),0,IF(SUMPRODUCT(MAX(($C$5:$C$2484=$C1932)*($D$5:$D$2484=$D1932)*($S$5:$S$2484=1)*IFERROR($N$5:$N$2484*1,0)))&gt;0,ROUND($H1932*($N1932/SUMPRODUCT(MAX(($C$5:$C$2484=$C1932)*($D$5:$D$2484=$D1932)*($S$5:$S$2484=1)*IFERROR($N$5:$N$2484*1,0)))),4),0)))</f>
        <v/>
      </c>
      <c r="P1932" s="48" t="inlineStr">
        <is>
          <t>vett*km</t>
        </is>
      </c>
      <c r="Q1932" s="57">
        <f>IF($A1932="","",$A1932&amp;"|"&amp;$C1932)</f>
        <v/>
      </c>
      <c r="R1932" s="57">
        <f>IF($A1932="","",$A1932&amp;"|"&amp;$C1932&amp;"|"&amp;$D1932)</f>
        <v/>
      </c>
      <c r="S1932" s="57">
        <f>IF($A1932="","",IFERROR(INDEX(Offerte!$D$2:$D$81,MATCH($Q1932,Offerte!$L$2:$L$81,0)),0))</f>
        <v/>
      </c>
      <c r="T1932" s="57">
        <f>IF($A1932="","",IFERROR(INDEX(Offerte!$G$2:$G$81,MATCH($Q1932,Offerte!$L$2:$L$81,0)),"NO"))</f>
        <v/>
      </c>
    </row>
    <row r="1933">
      <c r="A1933" s="48">
        <f>IF(Offerte!$A64="","",Offerte!$A64)</f>
        <v/>
      </c>
      <c r="B1933" s="48">
        <f>IF(Offerte!$A64="","",Offerte!$B64)</f>
        <v/>
      </c>
      <c r="C1933" s="48">
        <f>IF(Offerte!$A64="","",Offerte!$C64)</f>
        <v/>
      </c>
      <c r="D1933" s="48" t="inlineStr">
        <is>
          <t>B.5.1</t>
        </is>
      </c>
      <c r="E1933" s="48" t="inlineStr">
        <is>
          <t>B</t>
        </is>
      </c>
      <c r="F1933" s="48" t="inlineStr">
        <is>
          <t>D</t>
        </is>
      </c>
      <c r="G1933" s="48" t="inlineStr">
        <is>
          <t>discretionary</t>
        </is>
      </c>
      <c r="H1933" s="48" t="n">
        <v>2</v>
      </c>
      <c r="I1933" s="48" t="inlineStr">
        <is>
          <t>Efficacia del progetto di servizi complementari DRT</t>
        </is>
      </c>
      <c r="J1933" s="73" t="n"/>
      <c r="K1933" s="73" t="n"/>
      <c r="L1933" s="73" t="n"/>
      <c r="M1933" s="73" t="n"/>
      <c r="N1933" s="57">
        <f>IF($A1933="","",MAX(0,MIN(1,IFERROR(VALUE($M1933),0))))</f>
        <v/>
      </c>
      <c r="O1933" s="57">
        <f>IF($A1933="",0,IF(OR($S1933&lt;&gt;1,COUNTA($J1933:$M1933)=0),0,IF(SUMPRODUCT(MAX(($C$5:$C$2484=$C1933)*($D$5:$D$2484=$D1933)*($S$5:$S$2484=1)*IFERROR($N$5:$N$2484*1,0)))&gt;0,ROUND($H1933*($N1933/SUMPRODUCT(MAX(($C$5:$C$2484=$C1933)*($D$5:$D$2484=$D1933)*($S$5:$S$2484=1)*IFERROR($N$5:$N$2484*1,0)))),4),0)))</f>
        <v/>
      </c>
      <c r="P1933" s="48" t="inlineStr">
        <is>
          <t>coeff.</t>
        </is>
      </c>
      <c r="Q1933" s="57">
        <f>IF($A1933="","",$A1933&amp;"|"&amp;$C1933)</f>
        <v/>
      </c>
      <c r="R1933" s="57">
        <f>IF($A1933="","",$A1933&amp;"|"&amp;$C1933&amp;"|"&amp;$D1933)</f>
        <v/>
      </c>
      <c r="S1933" s="57">
        <f>IF($A1933="","",IFERROR(INDEX(Offerte!$D$2:$D$81,MATCH($Q1933,Offerte!$L$2:$L$81,0)),0))</f>
        <v/>
      </c>
      <c r="T1933" s="57">
        <f>IF($A1933="","",IFERROR(INDEX(Offerte!$G$2:$G$81,MATCH($Q1933,Offerte!$L$2:$L$81,0)),"NO"))</f>
        <v/>
      </c>
    </row>
    <row r="1934">
      <c r="A1934" s="48">
        <f>IF(Offerte!$A64="","",Offerte!$A64)</f>
        <v/>
      </c>
      <c r="B1934" s="48">
        <f>IF(Offerte!$A64="","",Offerte!$B64)</f>
        <v/>
      </c>
      <c r="C1934" s="48">
        <f>IF(Offerte!$A64="","",Offerte!$C64)</f>
        <v/>
      </c>
      <c r="D1934" s="48" t="inlineStr">
        <is>
          <t>C.1.1</t>
        </is>
      </c>
      <c r="E1934" s="48" t="inlineStr">
        <is>
          <t>C</t>
        </is>
      </c>
      <c r="F1934" s="48" t="inlineStr">
        <is>
          <t>Q</t>
        </is>
      </c>
      <c r="G1934" s="48" t="inlineStr">
        <is>
          <t>higher</t>
        </is>
      </c>
      <c r="H1934" s="48" t="n">
        <v>2</v>
      </c>
      <c r="I1934" s="48" t="inlineStr">
        <is>
          <t>Tasso di copertura del servizio con telecamere BSD</t>
        </is>
      </c>
      <c r="J1934" s="73" t="n"/>
      <c r="K1934" s="73" t="n"/>
      <c r="L1934" s="73" t="n"/>
      <c r="M1934" s="73" t="n"/>
      <c r="N1934" s="57">
        <f>IF($A1934="","",IFERROR(VALUE($K1934)/VALUE($L1934),IFERROR(VALUE($J1934),0)))</f>
        <v/>
      </c>
      <c r="O1934" s="57">
        <f>IF($A1934="",0,IF(OR($S1934&lt;&gt;1,COUNTA($J1934:$M1934)=0),0,IF(SUMPRODUCT(MAX(($C$5:$C$2484=$C1934)*($D$5:$D$2484=$D1934)*($S$5:$S$2484=1)*IFERROR($N$5:$N$2484*1,0)))&gt;0,ROUND($H1934*($N1934/SUMPRODUCT(MAX(($C$5:$C$2484=$C1934)*($D$5:$D$2484=$D1934)*($S$5:$S$2484=1)*IFERROR($N$5:$N$2484*1,0)))),4),0)))</f>
        <v/>
      </c>
      <c r="P1934" s="48" t="inlineStr">
        <is>
          <t>Autobus attrezzati con telecamere BSD / Autobus totali in offerta, incluse scorte</t>
        </is>
      </c>
      <c r="Q1934" s="57">
        <f>IF($A1934="","",$A1934&amp;"|"&amp;$C1934)</f>
        <v/>
      </c>
      <c r="R1934" s="57">
        <f>IF($A1934="","",$A1934&amp;"|"&amp;$C1934&amp;"|"&amp;$D1934)</f>
        <v/>
      </c>
      <c r="S1934" s="57">
        <f>IF($A1934="","",IFERROR(INDEX(Offerte!$D$2:$D$81,MATCH($Q1934,Offerte!$L$2:$L$81,0)),0))</f>
        <v/>
      </c>
      <c r="T1934" s="57">
        <f>IF($A1934="","",IFERROR(INDEX(Offerte!$G$2:$G$81,MATCH($Q1934,Offerte!$L$2:$L$81,0)),"NO"))</f>
        <v/>
      </c>
    </row>
    <row r="1935">
      <c r="A1935" s="48">
        <f>IF(Offerte!$A64="","",Offerte!$A64)</f>
        <v/>
      </c>
      <c r="B1935" s="48">
        <f>IF(Offerte!$A64="","",Offerte!$B64)</f>
        <v/>
      </c>
      <c r="C1935" s="48">
        <f>IF(Offerte!$A64="","",Offerte!$C64)</f>
        <v/>
      </c>
      <c r="D1935" s="48" t="inlineStr">
        <is>
          <t>C.1.2</t>
        </is>
      </c>
      <c r="E1935" s="48" t="inlineStr">
        <is>
          <t>C</t>
        </is>
      </c>
      <c r="F1935" s="48" t="inlineStr">
        <is>
          <t>Q</t>
        </is>
      </c>
      <c r="G1935" s="48" t="inlineStr">
        <is>
          <t>higher</t>
        </is>
      </c>
      <c r="H1935" s="48" t="n">
        <v>2</v>
      </c>
      <c r="I1935" s="48" t="inlineStr">
        <is>
          <t>Tasso di copertura del servizio con telecamere ADAS</t>
        </is>
      </c>
      <c r="J1935" s="73" t="n"/>
      <c r="K1935" s="73" t="n"/>
      <c r="L1935" s="73" t="n"/>
      <c r="M1935" s="73" t="n"/>
      <c r="N1935" s="57">
        <f>IF($A1935="","",IFERROR(VALUE($K1935)/VALUE($L1935),IFERROR(VALUE($J1935),0)))</f>
        <v/>
      </c>
      <c r="O1935" s="57">
        <f>IF($A1935="",0,IF(OR($S1935&lt;&gt;1,COUNTA($J1935:$M1935)=0),0,IF(SUMPRODUCT(MAX(($C$5:$C$2484=$C1935)*($D$5:$D$2484=$D1935)*($S$5:$S$2484=1)*IFERROR($N$5:$N$2484*1,0)))&gt;0,ROUND($H1935*($N1935/SUMPRODUCT(MAX(($C$5:$C$2484=$C1935)*($D$5:$D$2484=$D1935)*($S$5:$S$2484=1)*IFERROR($N$5:$N$2484*1,0)))),4),0)))</f>
        <v/>
      </c>
      <c r="P1935" s="48" t="inlineStr">
        <is>
          <t>Autobus attrezzati con telecamere ADAS / Autobus totali in offerta, incluse scorte</t>
        </is>
      </c>
      <c r="Q1935" s="57">
        <f>IF($A1935="","",$A1935&amp;"|"&amp;$C1935)</f>
        <v/>
      </c>
      <c r="R1935" s="57">
        <f>IF($A1935="","",$A1935&amp;"|"&amp;$C1935&amp;"|"&amp;$D1935)</f>
        <v/>
      </c>
      <c r="S1935" s="57">
        <f>IF($A1935="","",IFERROR(INDEX(Offerte!$D$2:$D$81,MATCH($Q1935,Offerte!$L$2:$L$81,0)),0))</f>
        <v/>
      </c>
      <c r="T1935" s="57">
        <f>IF($A1935="","",IFERROR(INDEX(Offerte!$G$2:$G$81,MATCH($Q1935,Offerte!$L$2:$L$81,0)),"NO"))</f>
        <v/>
      </c>
    </row>
    <row r="1936">
      <c r="A1936" s="48">
        <f>IF(Offerte!$A64="","",Offerte!$A64)</f>
        <v/>
      </c>
      <c r="B1936" s="48">
        <f>IF(Offerte!$A64="","",Offerte!$B64)</f>
        <v/>
      </c>
      <c r="C1936" s="48">
        <f>IF(Offerte!$A64="","",Offerte!$C64)</f>
        <v/>
      </c>
      <c r="D1936" s="48" t="inlineStr">
        <is>
          <t>C.2.1</t>
        </is>
      </c>
      <c r="E1936" s="48" t="inlineStr">
        <is>
          <t>C</t>
        </is>
      </c>
      <c r="F1936" s="48" t="inlineStr">
        <is>
          <t>Q</t>
        </is>
      </c>
      <c r="G1936" s="48" t="inlineStr">
        <is>
          <t>higher</t>
        </is>
      </c>
      <c r="H1936" s="48" t="n">
        <v>3</v>
      </c>
      <c r="I1936" s="48" t="inlineStr">
        <is>
          <t>Tasso di copertura del servizio con telecamere di bordo di videosorveglianza</t>
        </is>
      </c>
      <c r="J1936" s="73" t="n"/>
      <c r="K1936" s="73" t="n"/>
      <c r="L1936" s="73" t="n"/>
      <c r="M1936" s="73" t="n"/>
      <c r="N1936" s="57">
        <f>IF($A1936="","",IFERROR(VALUE($K1936)/VALUE($L1936),IFERROR(VALUE($J1936),0)))</f>
        <v/>
      </c>
      <c r="O1936" s="57">
        <f>IF($A1936="",0,IF(OR($S1936&lt;&gt;1,COUNTA($J1936:$M1936)=0),0,IF(SUMPRODUCT(MAX(($C$5:$C$2484=$C1936)*($D$5:$D$2484=$D1936)*($S$5:$S$2484=1)*IFERROR($N$5:$N$2484*1,0)))&gt;0,ROUND($H1936*($N1936/SUMPRODUCT(MAX(($C$5:$C$2484=$C1936)*($D$5:$D$2484=$D1936)*($S$5:$S$2484=1)*IFERROR($N$5:$N$2484*1,0)))),4),0)))</f>
        <v/>
      </c>
      <c r="P1936" s="48" t="inlineStr">
        <is>
          <t>Autobus attrezzati con videosorveglianza / Autobus totali in offerta, incluse scorte</t>
        </is>
      </c>
      <c r="Q1936" s="57">
        <f>IF($A1936="","",$A1936&amp;"|"&amp;$C1936)</f>
        <v/>
      </c>
      <c r="R1936" s="57">
        <f>IF($A1936="","",$A1936&amp;"|"&amp;$C1936&amp;"|"&amp;$D1936)</f>
        <v/>
      </c>
      <c r="S1936" s="57">
        <f>IF($A1936="","",IFERROR(INDEX(Offerte!$D$2:$D$81,MATCH($Q1936,Offerte!$L$2:$L$81,0)),0))</f>
        <v/>
      </c>
      <c r="T1936" s="57">
        <f>IF($A1936="","",IFERROR(INDEX(Offerte!$G$2:$G$81,MATCH($Q1936,Offerte!$L$2:$L$81,0)),"NO"))</f>
        <v/>
      </c>
    </row>
    <row r="1937">
      <c r="A1937" s="48">
        <f>IF(Offerte!$A64="","",Offerte!$A64)</f>
        <v/>
      </c>
      <c r="B1937" s="48">
        <f>IF(Offerte!$A64="","",Offerte!$B64)</f>
        <v/>
      </c>
      <c r="C1937" s="48">
        <f>IF(Offerte!$A64="","",Offerte!$C64)</f>
        <v/>
      </c>
      <c r="D1937" s="48" t="inlineStr">
        <is>
          <t>C.2.2</t>
        </is>
      </c>
      <c r="E1937" s="48" t="inlineStr">
        <is>
          <t>C</t>
        </is>
      </c>
      <c r="F1937" s="48" t="inlineStr">
        <is>
          <t>T</t>
        </is>
      </c>
      <c r="G1937" s="48" t="inlineStr">
        <is>
          <t>tabular</t>
        </is>
      </c>
      <c r="H1937" s="48" t="n">
        <v>1</v>
      </c>
      <c r="I1937" s="48" t="inlineStr">
        <is>
          <t>Software video/audio analisi per situazioni di pericolo</t>
        </is>
      </c>
      <c r="J1937" s="73" t="n"/>
      <c r="K1937" s="73" t="n"/>
      <c r="L1937" s="73" t="n"/>
      <c r="M1937" s="73" t="n"/>
      <c r="N1937" s="57">
        <f>IF($A1937="","",IF(IFERROR(VALUE($M1937),0)=1,1,0))</f>
        <v/>
      </c>
      <c r="O1937" s="57">
        <f>IF($A1937="",0,IF(OR($S1937&lt;&gt;1,COUNTA($J1937:$M1937)=0),0,IF($N1937=1,$H1937,0)))</f>
        <v/>
      </c>
      <c r="P1937" s="48" t="inlineStr">
        <is>
          <t>sì/no</t>
        </is>
      </c>
      <c r="Q1937" s="57">
        <f>IF($A1937="","",$A1937&amp;"|"&amp;$C1937)</f>
        <v/>
      </c>
      <c r="R1937" s="57">
        <f>IF($A1937="","",$A1937&amp;"|"&amp;$C1937&amp;"|"&amp;$D1937)</f>
        <v/>
      </c>
      <c r="S1937" s="57">
        <f>IF($A1937="","",IFERROR(INDEX(Offerte!$D$2:$D$81,MATCH($Q1937,Offerte!$L$2:$L$81,0)),0))</f>
        <v/>
      </c>
      <c r="T1937" s="57">
        <f>IF($A1937="","",IFERROR(INDEX(Offerte!$G$2:$G$81,MATCH($Q1937,Offerte!$L$2:$L$81,0)),"NO"))</f>
        <v/>
      </c>
    </row>
    <row r="1938">
      <c r="A1938" s="48">
        <f>IF(Offerte!$A64="","",Offerte!$A64)</f>
        <v/>
      </c>
      <c r="B1938" s="48">
        <f>IF(Offerte!$A64="","",Offerte!$B64)</f>
        <v/>
      </c>
      <c r="C1938" s="48">
        <f>IF(Offerte!$A64="","",Offerte!$C64)</f>
        <v/>
      </c>
      <c r="D1938" s="48" t="inlineStr">
        <is>
          <t>C.2.3</t>
        </is>
      </c>
      <c r="E1938" s="48" t="inlineStr">
        <is>
          <t>C</t>
        </is>
      </c>
      <c r="F1938" s="48" t="inlineStr">
        <is>
          <t>T</t>
        </is>
      </c>
      <c r="G1938" s="48" t="inlineStr">
        <is>
          <t>tabular</t>
        </is>
      </c>
      <c r="H1938" s="48" t="n">
        <v>1</v>
      </c>
      <c r="I1938" s="48" t="inlineStr">
        <is>
          <t>Collegamento con centrale qualificata di pronto intervento</t>
        </is>
      </c>
      <c r="J1938" s="73" t="n"/>
      <c r="K1938" s="73" t="n"/>
      <c r="L1938" s="73" t="n"/>
      <c r="M1938" s="73" t="n"/>
      <c r="N1938" s="57">
        <f>IF($A1938="","",IF(IFERROR(VALUE($M1938),0)=1,1,0))</f>
        <v/>
      </c>
      <c r="O1938" s="57">
        <f>IF($A1938="",0,IF(OR($S1938&lt;&gt;1,COUNTA($J1938:$M1938)=0),0,IF($N1938=1,$H1938,0)))</f>
        <v/>
      </c>
      <c r="P1938" s="48" t="inlineStr">
        <is>
          <t>sì/no</t>
        </is>
      </c>
      <c r="Q1938" s="57">
        <f>IF($A1938="","",$A1938&amp;"|"&amp;$C1938)</f>
        <v/>
      </c>
      <c r="R1938" s="57">
        <f>IF($A1938="","",$A1938&amp;"|"&amp;$C1938&amp;"|"&amp;$D1938)</f>
        <v/>
      </c>
      <c r="S1938" s="57">
        <f>IF($A1938="","",IFERROR(INDEX(Offerte!$D$2:$D$81,MATCH($Q1938,Offerte!$L$2:$L$81,0)),0))</f>
        <v/>
      </c>
      <c r="T1938" s="57">
        <f>IF($A1938="","",IFERROR(INDEX(Offerte!$G$2:$G$81,MATCH($Q1938,Offerte!$L$2:$L$81,0)),"NO"))</f>
        <v/>
      </c>
    </row>
    <row r="1939">
      <c r="A1939" s="48">
        <f>IF(Offerte!$A64="","",Offerte!$A64)</f>
        <v/>
      </c>
      <c r="B1939" s="48">
        <f>IF(Offerte!$A64="","",Offerte!$B64)</f>
        <v/>
      </c>
      <c r="C1939" s="48">
        <f>IF(Offerte!$A64="","",Offerte!$C64)</f>
        <v/>
      </c>
      <c r="D1939" s="48" t="inlineStr">
        <is>
          <t>C.2.4</t>
        </is>
      </c>
      <c r="E1939" s="48" t="inlineStr">
        <is>
          <t>C</t>
        </is>
      </c>
      <c r="F1939" s="48" t="inlineStr">
        <is>
          <t>Q</t>
        </is>
      </c>
      <c r="G1939" s="48" t="inlineStr">
        <is>
          <t>higher</t>
        </is>
      </c>
      <c r="H1939" s="48" t="n">
        <v>1</v>
      </c>
      <c r="I1939" s="48" t="inlineStr">
        <is>
          <t>Tasso di copertura del servizio con dispositivi per la chiamata di emergenza del conducente</t>
        </is>
      </c>
      <c r="J1939" s="73" t="n"/>
      <c r="K1939" s="73" t="n"/>
      <c r="L1939" s="73" t="n"/>
      <c r="M1939" s="73" t="n"/>
      <c r="N1939" s="57">
        <f>IF($A1939="","",IFERROR(VALUE($K1939)/VALUE($L1939),IFERROR(VALUE($J1939),0)))</f>
        <v/>
      </c>
      <c r="O1939" s="57">
        <f>IF($A1939="",0,IF(OR($S1939&lt;&gt;1,COUNTA($J1939:$M1939)=0),0,IF(SUMPRODUCT(MAX(($C$5:$C$2484=$C1939)*($D$5:$D$2484=$D1939)*($S$5:$S$2484=1)*IFERROR($N$5:$N$2484*1,0)))&gt;0,ROUND($H1939*($N1939/SUMPRODUCT(MAX(($C$5:$C$2484=$C1939)*($D$5:$D$2484=$D1939)*($S$5:$S$2484=1)*IFERROR($N$5:$N$2484*1,0)))),4),0)))</f>
        <v/>
      </c>
      <c r="P1939" s="48" t="inlineStr">
        <is>
          <t>Autobus attrezzati con chiamata di emergenza / Autobus totali in offerta, incluse scorte</t>
        </is>
      </c>
      <c r="Q1939" s="57">
        <f>IF($A1939="","",$A1939&amp;"|"&amp;$C1939)</f>
        <v/>
      </c>
      <c r="R1939" s="57">
        <f>IF($A1939="","",$A1939&amp;"|"&amp;$C1939&amp;"|"&amp;$D1939)</f>
        <v/>
      </c>
      <c r="S1939" s="57">
        <f>IF($A1939="","",IFERROR(INDEX(Offerte!$D$2:$D$81,MATCH($Q1939,Offerte!$L$2:$L$81,0)),0))</f>
        <v/>
      </c>
      <c r="T1939" s="57">
        <f>IF($A1939="","",IFERROR(INDEX(Offerte!$G$2:$G$81,MATCH($Q1939,Offerte!$L$2:$L$81,0)),"NO"))</f>
        <v/>
      </c>
    </row>
    <row r="1940">
      <c r="A1940" s="48">
        <f>IF(Offerte!$A64="","",Offerte!$A64)</f>
        <v/>
      </c>
      <c r="B1940" s="48">
        <f>IF(Offerte!$A64="","",Offerte!$B64)</f>
        <v/>
      </c>
      <c r="C1940" s="48">
        <f>IF(Offerte!$A64="","",Offerte!$C64)</f>
        <v/>
      </c>
      <c r="D1940" s="48" t="inlineStr">
        <is>
          <t>C.3.1</t>
        </is>
      </c>
      <c r="E1940" s="48" t="inlineStr">
        <is>
          <t>C</t>
        </is>
      </c>
      <c r="F1940" s="48" t="inlineStr">
        <is>
          <t>Q</t>
        </is>
      </c>
      <c r="G1940" s="48" t="inlineStr">
        <is>
          <t>higher</t>
        </is>
      </c>
      <c r="H1940" s="48" t="n">
        <v>2</v>
      </c>
      <c r="I1940" s="48" t="inlineStr">
        <is>
          <t>Tasso di copertura del servizio con dispositivi di informazione dinamica a bordo mezzo</t>
        </is>
      </c>
      <c r="J1940" s="73" t="n"/>
      <c r="K1940" s="73" t="n"/>
      <c r="L1940" s="73" t="n"/>
      <c r="M1940" s="73" t="n"/>
      <c r="N1940" s="57">
        <f>IF($A1940="","",IFERROR(VALUE($K1940)/VALUE($L1940),IFERROR(VALUE($J1940),0)))</f>
        <v/>
      </c>
      <c r="O1940" s="57">
        <f>IF($A1940="",0,IF(OR($S1940&lt;&gt;1,COUNTA($J1940:$M1940)=0),0,IF(SUMPRODUCT(MAX(($C$5:$C$2484=$C1940)*($D$5:$D$2484=$D1940)*($S$5:$S$2484=1)*IFERROR($N$5:$N$2484*1,0)))&gt;0,ROUND($H1940*($N1940/SUMPRODUCT(MAX(($C$5:$C$2484=$C1940)*($D$5:$D$2484=$D1940)*($S$5:$S$2484=1)*IFERROR($N$5:$N$2484*1,0)))),4),0)))</f>
        <v/>
      </c>
      <c r="P1940" s="48" t="inlineStr">
        <is>
          <t>Autobus con monitor e indicatori vocali / Autobus totali in offerta, incluse scorte</t>
        </is>
      </c>
      <c r="Q1940" s="57">
        <f>IF($A1940="","",$A1940&amp;"|"&amp;$C1940)</f>
        <v/>
      </c>
      <c r="R1940" s="57">
        <f>IF($A1940="","",$A1940&amp;"|"&amp;$C1940&amp;"|"&amp;$D1940)</f>
        <v/>
      </c>
      <c r="S1940" s="57">
        <f>IF($A1940="","",IFERROR(INDEX(Offerte!$D$2:$D$81,MATCH($Q1940,Offerte!$L$2:$L$81,0)),0))</f>
        <v/>
      </c>
      <c r="T1940" s="57">
        <f>IF($A1940="","",IFERROR(INDEX(Offerte!$G$2:$G$81,MATCH($Q1940,Offerte!$L$2:$L$81,0)),"NO"))</f>
        <v/>
      </c>
    </row>
    <row r="1941">
      <c r="A1941" s="48">
        <f>IF(Offerte!$A64="","",Offerte!$A64)</f>
        <v/>
      </c>
      <c r="B1941" s="48">
        <f>IF(Offerte!$A64="","",Offerte!$B64)</f>
        <v/>
      </c>
      <c r="C1941" s="48">
        <f>IF(Offerte!$A64="","",Offerte!$C64)</f>
        <v/>
      </c>
      <c r="D1941" s="48" t="inlineStr">
        <is>
          <t>C.3.2</t>
        </is>
      </c>
      <c r="E1941" s="48" t="inlineStr">
        <is>
          <t>C</t>
        </is>
      </c>
      <c r="F1941" s="48" t="inlineStr">
        <is>
          <t>T</t>
        </is>
      </c>
      <c r="G1941" s="48" t="inlineStr">
        <is>
          <t>tabular</t>
        </is>
      </c>
      <c r="H1941" s="48" t="n">
        <v>2</v>
      </c>
      <c r="I1941" s="48" t="inlineStr">
        <is>
          <t>Informazioni a bordo su coincidenze ai nodi</t>
        </is>
      </c>
      <c r="J1941" s="73" t="n"/>
      <c r="K1941" s="73" t="n"/>
      <c r="L1941" s="73" t="n"/>
      <c r="M1941" s="73" t="n"/>
      <c r="N1941" s="57">
        <f>IF($A1941="","",IF(IFERROR(VALUE($M1941),0)=1,1,0))</f>
        <v/>
      </c>
      <c r="O1941" s="57">
        <f>IF($A1941="",0,IF(OR($S1941&lt;&gt;1,COUNTA($J1941:$M1941)=0),0,IF(AND($N1941=1,IFERROR(SUMIFS($N$5:$N$2484,$Q$5:$Q$2484,$Q1941,$D$5:$D$2484,"C.3.1"),0)&gt;=0.5),$H1941,0)))</f>
        <v/>
      </c>
      <c r="P1941" s="48" t="inlineStr">
        <is>
          <t>Dipende da C.3.1 &gt;= 0.5</t>
        </is>
      </c>
      <c r="Q1941" s="57">
        <f>IF($A1941="","",$A1941&amp;"|"&amp;$C1941)</f>
        <v/>
      </c>
      <c r="R1941" s="57">
        <f>IF($A1941="","",$A1941&amp;"|"&amp;$C1941&amp;"|"&amp;$D1941)</f>
        <v/>
      </c>
      <c r="S1941" s="57">
        <f>IF($A1941="","",IFERROR(INDEX(Offerte!$D$2:$D$81,MATCH($Q1941,Offerte!$L$2:$L$81,0)),0))</f>
        <v/>
      </c>
      <c r="T1941" s="57">
        <f>IF($A1941="","",IFERROR(INDEX(Offerte!$G$2:$G$81,MATCH($Q1941,Offerte!$L$2:$L$81,0)),"NO"))</f>
        <v/>
      </c>
    </row>
    <row r="1942">
      <c r="A1942" s="48">
        <f>IF(Offerte!$A64="","",Offerte!$A64)</f>
        <v/>
      </c>
      <c r="B1942" s="48">
        <f>IF(Offerte!$A64="","",Offerte!$B64)</f>
        <v/>
      </c>
      <c r="C1942" s="48">
        <f>IF(Offerte!$A64="","",Offerte!$C64)</f>
        <v/>
      </c>
      <c r="D1942" s="48" t="inlineStr">
        <is>
          <t>D.1.1</t>
        </is>
      </c>
      <c r="E1942" s="48" t="inlineStr">
        <is>
          <t>D</t>
        </is>
      </c>
      <c r="F1942" s="48" t="inlineStr">
        <is>
          <t>Q</t>
        </is>
      </c>
      <c r="G1942" s="48" t="inlineStr">
        <is>
          <t>higher</t>
        </is>
      </c>
      <c r="H1942" s="48" t="n">
        <v>3</v>
      </c>
      <c r="I1942" s="48" t="inlineStr">
        <is>
          <t>Installazione di pensiline</t>
        </is>
      </c>
      <c r="J1942" s="73" t="n"/>
      <c r="K1942" s="73" t="n"/>
      <c r="L1942" s="73" t="n"/>
      <c r="M1942" s="73" t="n"/>
      <c r="N1942" s="57">
        <f>IF($A1942="","",IFERROR(VALUE($J1942),0))</f>
        <v/>
      </c>
      <c r="O1942" s="57">
        <f>IF($A1942="",0,IF(OR($S1942&lt;&gt;1,COUNTA($J1942:$M1942)=0),0,IF(SUMPRODUCT(MAX(($C$5:$C$2484=$C1942)*($D$5:$D$2484=$D1942)*($S$5:$S$2484=1)*IFERROR($N$5:$N$2484*1,0)))&gt;0,ROUND($H1942*($N1942/SUMPRODUCT(MAX(($C$5:$C$2484=$C1942)*($D$5:$D$2484=$D1942)*($S$5:$S$2484=1)*IFERROR($N$5:$N$2484*1,0)))),4),0)))</f>
        <v/>
      </c>
      <c r="P1942" s="48" t="inlineStr">
        <is>
          <t>fermate</t>
        </is>
      </c>
      <c r="Q1942" s="57">
        <f>IF($A1942="","",$A1942&amp;"|"&amp;$C1942)</f>
        <v/>
      </c>
      <c r="R1942" s="57">
        <f>IF($A1942="","",$A1942&amp;"|"&amp;$C1942&amp;"|"&amp;$D1942)</f>
        <v/>
      </c>
      <c r="S1942" s="57">
        <f>IF($A1942="","",IFERROR(INDEX(Offerte!$D$2:$D$81,MATCH($Q1942,Offerte!$L$2:$L$81,0)),0))</f>
        <v/>
      </c>
      <c r="T1942" s="57">
        <f>IF($A1942="","",IFERROR(INDEX(Offerte!$G$2:$G$81,MATCH($Q1942,Offerte!$L$2:$L$81,0)),"NO"))</f>
        <v/>
      </c>
    </row>
    <row r="1943">
      <c r="A1943" s="48">
        <f>IF(Offerte!$A64="","",Offerte!$A64)</f>
        <v/>
      </c>
      <c r="B1943" s="48">
        <f>IF(Offerte!$A64="","",Offerte!$B64)</f>
        <v/>
      </c>
      <c r="C1943" s="48">
        <f>IF(Offerte!$A64="","",Offerte!$C64)</f>
        <v/>
      </c>
      <c r="D1943" s="48" t="inlineStr">
        <is>
          <t>D.1.2</t>
        </is>
      </c>
      <c r="E1943" s="48" t="inlineStr">
        <is>
          <t>D</t>
        </is>
      </c>
      <c r="F1943" s="48" t="inlineStr">
        <is>
          <t>Q</t>
        </is>
      </c>
      <c r="G1943" s="48" t="inlineStr">
        <is>
          <t>higher</t>
        </is>
      </c>
      <c r="H1943" s="48" t="n">
        <v>3</v>
      </c>
      <c r="I1943" s="48" t="inlineStr">
        <is>
          <t>Installazione di paline di fermata conformi alla DGR 581/2023</t>
        </is>
      </c>
      <c r="J1943" s="73" t="n"/>
      <c r="K1943" s="73" t="n"/>
      <c r="L1943" s="73" t="n"/>
      <c r="M1943" s="73" t="n"/>
      <c r="N1943" s="57">
        <f>IF($A1943="","",IFERROR(VALUE($J1943),0))</f>
        <v/>
      </c>
      <c r="O1943" s="57">
        <f>IF($A1943="",0,IF(OR($S1943&lt;&gt;1,COUNTA($J1943:$M1943)=0),0,IF(SUMPRODUCT(MAX(($C$5:$C$2484=$C1943)*($D$5:$D$2484=$D1943)*($S$5:$S$2484=1)*IFERROR($N$5:$N$2484*1,0)))&gt;0,ROUND($H1943*($N1943/SUMPRODUCT(MAX(($C$5:$C$2484=$C1943)*($D$5:$D$2484=$D1943)*($S$5:$S$2484=1)*IFERROR($N$5:$N$2484*1,0)))),4),0)))</f>
        <v/>
      </c>
      <c r="P1943" s="48" t="inlineStr">
        <is>
          <t>fermate</t>
        </is>
      </c>
      <c r="Q1943" s="57">
        <f>IF($A1943="","",$A1943&amp;"|"&amp;$C1943)</f>
        <v/>
      </c>
      <c r="R1943" s="57">
        <f>IF($A1943="","",$A1943&amp;"|"&amp;$C1943&amp;"|"&amp;$D1943)</f>
        <v/>
      </c>
      <c r="S1943" s="57">
        <f>IF($A1943="","",IFERROR(INDEX(Offerte!$D$2:$D$81,MATCH($Q1943,Offerte!$L$2:$L$81,0)),0))</f>
        <v/>
      </c>
      <c r="T1943" s="57">
        <f>IF($A1943="","",IFERROR(INDEX(Offerte!$G$2:$G$81,MATCH($Q1943,Offerte!$L$2:$L$81,0)),"NO"))</f>
        <v/>
      </c>
    </row>
    <row r="1944">
      <c r="A1944" s="48">
        <f>IF(Offerte!$A64="","",Offerte!$A64)</f>
        <v/>
      </c>
      <c r="B1944" s="48">
        <f>IF(Offerte!$A64="","",Offerte!$B64)</f>
        <v/>
      </c>
      <c r="C1944" s="48">
        <f>IF(Offerte!$A64="","",Offerte!$C64)</f>
        <v/>
      </c>
      <c r="D1944" s="48" t="inlineStr">
        <is>
          <t>D.1.3</t>
        </is>
      </c>
      <c r="E1944" s="48" t="inlineStr">
        <is>
          <t>D</t>
        </is>
      </c>
      <c r="F1944" s="48" t="inlineStr">
        <is>
          <t>Q</t>
        </is>
      </c>
      <c r="G1944" s="48" t="inlineStr">
        <is>
          <t>higher</t>
        </is>
      </c>
      <c r="H1944" s="48" t="n">
        <v>2</v>
      </c>
      <c r="I1944" s="48" t="inlineStr">
        <is>
          <t>Display informativi connessi alle fermate</t>
        </is>
      </c>
      <c r="J1944" s="73" t="n"/>
      <c r="K1944" s="73" t="n"/>
      <c r="L1944" s="73" t="n"/>
      <c r="M1944" s="73" t="n"/>
      <c r="N1944" s="57">
        <f>IF($A1944="","",IFERROR(VALUE($J1944),0))</f>
        <v/>
      </c>
      <c r="O1944" s="57">
        <f>IF($A1944="",0,IF(OR($S1944&lt;&gt;1,COUNTA($J1944:$M1944)=0),0,IF(SUMPRODUCT(MAX(($C$5:$C$2484=$C1944)*($D$5:$D$2484=$D1944)*($S$5:$S$2484=1)*IFERROR($N$5:$N$2484*1,0)))&gt;0,ROUND($H1944*($N1944/SUMPRODUCT(MAX(($C$5:$C$2484=$C1944)*($D$5:$D$2484=$D1944)*($S$5:$S$2484=1)*IFERROR($N$5:$N$2484*1,0)))),4),0)))</f>
        <v/>
      </c>
      <c r="P1944" s="48" t="inlineStr">
        <is>
          <t>fermate</t>
        </is>
      </c>
      <c r="Q1944" s="57">
        <f>IF($A1944="","",$A1944&amp;"|"&amp;$C1944)</f>
        <v/>
      </c>
      <c r="R1944" s="57">
        <f>IF($A1944="","",$A1944&amp;"|"&amp;$C1944&amp;"|"&amp;$D1944)</f>
        <v/>
      </c>
      <c r="S1944" s="57">
        <f>IF($A1944="","",IFERROR(INDEX(Offerte!$D$2:$D$81,MATCH($Q1944,Offerte!$L$2:$L$81,0)),0))</f>
        <v/>
      </c>
      <c r="T1944" s="57">
        <f>IF($A1944="","",IFERROR(INDEX(Offerte!$G$2:$G$81,MATCH($Q1944,Offerte!$L$2:$L$81,0)),"NO"))</f>
        <v/>
      </c>
    </row>
    <row r="1945">
      <c r="A1945" s="48">
        <f>IF(Offerte!$A64="","",Offerte!$A64)</f>
        <v/>
      </c>
      <c r="B1945" s="48">
        <f>IF(Offerte!$A64="","",Offerte!$B64)</f>
        <v/>
      </c>
      <c r="C1945" s="48">
        <f>IF(Offerte!$A64="","",Offerte!$C64)</f>
        <v/>
      </c>
      <c r="D1945" s="48" t="inlineStr">
        <is>
          <t>D.2.1</t>
        </is>
      </c>
      <c r="E1945" s="48" t="inlineStr">
        <is>
          <t>D</t>
        </is>
      </c>
      <c r="F1945" s="48" t="inlineStr">
        <is>
          <t>Q</t>
        </is>
      </c>
      <c r="G1945" s="48" t="inlineStr">
        <is>
          <t>higher</t>
        </is>
      </c>
      <c r="H1945" s="48" t="n">
        <v>2</v>
      </c>
      <c r="I1945" s="48" t="inlineStr">
        <is>
          <t>Segnali tattili Loges-Vet-Evolution</t>
        </is>
      </c>
      <c r="J1945" s="73" t="n"/>
      <c r="K1945" s="73" t="n"/>
      <c r="L1945" s="73" t="n"/>
      <c r="M1945" s="73" t="n"/>
      <c r="N1945" s="57">
        <f>IF($A1945="","",IFERROR(VALUE($J1945),0))</f>
        <v/>
      </c>
      <c r="O1945" s="57">
        <f>IF($A1945="",0,IF(OR($S1945&lt;&gt;1,COUNTA($J1945:$M1945)=0),0,IF(SUMPRODUCT(MAX(($C$5:$C$2484=$C1945)*($D$5:$D$2484=$D1945)*($S$5:$S$2484=1)*IFERROR($N$5:$N$2484*1,0)))&gt;0,ROUND($H1945*($N1945/SUMPRODUCT(MAX(($C$5:$C$2484=$C1945)*($D$5:$D$2484=$D1945)*($S$5:$S$2484=1)*IFERROR($N$5:$N$2484*1,0)))),4),0)))</f>
        <v/>
      </c>
      <c r="P1945" s="48" t="inlineStr">
        <is>
          <t>fermate</t>
        </is>
      </c>
      <c r="Q1945" s="57">
        <f>IF($A1945="","",$A1945&amp;"|"&amp;$C1945)</f>
        <v/>
      </c>
      <c r="R1945" s="57">
        <f>IF($A1945="","",$A1945&amp;"|"&amp;$C1945&amp;"|"&amp;$D1945)</f>
        <v/>
      </c>
      <c r="S1945" s="57">
        <f>IF($A1945="","",IFERROR(INDEX(Offerte!$D$2:$D$81,MATCH($Q1945,Offerte!$L$2:$L$81,0)),0))</f>
        <v/>
      </c>
      <c r="T1945" s="57">
        <f>IF($A1945="","",IFERROR(INDEX(Offerte!$G$2:$G$81,MATCH($Q1945,Offerte!$L$2:$L$81,0)),"NO"))</f>
        <v/>
      </c>
    </row>
    <row r="1946">
      <c r="A1946" s="48">
        <f>IF(Offerte!$A64="","",Offerte!$A64)</f>
        <v/>
      </c>
      <c r="B1946" s="48">
        <f>IF(Offerte!$A64="","",Offerte!$B64)</f>
        <v/>
      </c>
      <c r="C1946" s="48">
        <f>IF(Offerte!$A64="","",Offerte!$C64)</f>
        <v/>
      </c>
      <c r="D1946" s="48" t="inlineStr">
        <is>
          <t>E.1.1</t>
        </is>
      </c>
      <c r="E1946" s="48" t="inlineStr">
        <is>
          <t>E</t>
        </is>
      </c>
      <c r="F1946" s="48" t="inlineStr">
        <is>
          <t>T</t>
        </is>
      </c>
      <c r="G1946" s="48" t="inlineStr">
        <is>
          <t>tabular</t>
        </is>
      </c>
      <c r="H1946" s="48" t="n">
        <v>2</v>
      </c>
      <c r="I1946" s="48" t="inlineStr">
        <is>
          <t>Mobile app con travel planner PRM</t>
        </is>
      </c>
      <c r="J1946" s="73" t="n"/>
      <c r="K1946" s="73" t="n"/>
      <c r="L1946" s="73" t="n"/>
      <c r="M1946" s="73" t="n"/>
      <c r="N1946" s="57">
        <f>IF($A1946="","",IF(IFERROR(VALUE($M1946),0)=1,1,0))</f>
        <v/>
      </c>
      <c r="O1946" s="57">
        <f>IF($A1946="",0,IF(OR($S1946&lt;&gt;1,COUNTA($J1946:$M1946)=0),0,IF($N1946=1,$H1946,0)))</f>
        <v/>
      </c>
      <c r="P1946" s="48" t="inlineStr">
        <is>
          <t>sì/no</t>
        </is>
      </c>
      <c r="Q1946" s="57">
        <f>IF($A1946="","",$A1946&amp;"|"&amp;$C1946)</f>
        <v/>
      </c>
      <c r="R1946" s="57">
        <f>IF($A1946="","",$A1946&amp;"|"&amp;$C1946&amp;"|"&amp;$D1946)</f>
        <v/>
      </c>
      <c r="S1946" s="57">
        <f>IF($A1946="","",IFERROR(INDEX(Offerte!$D$2:$D$81,MATCH($Q1946,Offerte!$L$2:$L$81,0)),0))</f>
        <v/>
      </c>
      <c r="T1946" s="57">
        <f>IF($A1946="","",IFERROR(INDEX(Offerte!$G$2:$G$81,MATCH($Q1946,Offerte!$L$2:$L$81,0)),"NO"))</f>
        <v/>
      </c>
    </row>
    <row r="1947">
      <c r="A1947" s="48">
        <f>IF(Offerte!$A64="","",Offerte!$A64)</f>
        <v/>
      </c>
      <c r="B1947" s="48">
        <f>IF(Offerte!$A64="","",Offerte!$B64)</f>
        <v/>
      </c>
      <c r="C1947" s="48">
        <f>IF(Offerte!$A64="","",Offerte!$C64)</f>
        <v/>
      </c>
      <c r="D1947" s="48" t="inlineStr">
        <is>
          <t>E.2.1</t>
        </is>
      </c>
      <c r="E1947" s="48" t="inlineStr">
        <is>
          <t>E</t>
        </is>
      </c>
      <c r="F1947" s="48" t="inlineStr">
        <is>
          <t>D</t>
        </is>
      </c>
      <c r="G1947" s="48" t="inlineStr">
        <is>
          <t>discretionary</t>
        </is>
      </c>
      <c r="H1947" s="48" t="n">
        <v>2</v>
      </c>
      <c r="I1947" s="48" t="inlineStr">
        <is>
          <t>Altre azioni informative e rapporti con gli utenti</t>
        </is>
      </c>
      <c r="J1947" s="73" t="n"/>
      <c r="K1947" s="73" t="n"/>
      <c r="L1947" s="73" t="n"/>
      <c r="M1947" s="73" t="n"/>
      <c r="N1947" s="57">
        <f>IF($A1947="","",MAX(0,MIN(1,IFERROR(VALUE($M1947),0))))</f>
        <v/>
      </c>
      <c r="O1947" s="57">
        <f>IF($A1947="",0,IF(OR($S1947&lt;&gt;1,COUNTA($J1947:$M1947)=0),0,IF(SUMPRODUCT(MAX(($C$5:$C$2484=$C1947)*($D$5:$D$2484=$D1947)*($S$5:$S$2484=1)*IFERROR($N$5:$N$2484*1,0)))&gt;0,ROUND($H1947*($N1947/SUMPRODUCT(MAX(($C$5:$C$2484=$C1947)*($D$5:$D$2484=$D1947)*($S$5:$S$2484=1)*IFERROR($N$5:$N$2484*1,0)))),4),0)))</f>
        <v/>
      </c>
      <c r="P1947" s="48" t="inlineStr">
        <is>
          <t>coeff.</t>
        </is>
      </c>
      <c r="Q1947" s="57">
        <f>IF($A1947="","",$A1947&amp;"|"&amp;$C1947)</f>
        <v/>
      </c>
      <c r="R1947" s="57">
        <f>IF($A1947="","",$A1947&amp;"|"&amp;$C1947&amp;"|"&amp;$D1947)</f>
        <v/>
      </c>
      <c r="S1947" s="57">
        <f>IF($A1947="","",IFERROR(INDEX(Offerte!$D$2:$D$81,MATCH($Q1947,Offerte!$L$2:$L$81,0)),0))</f>
        <v/>
      </c>
      <c r="T1947" s="57">
        <f>IF($A1947="","",IFERROR(INDEX(Offerte!$G$2:$G$81,MATCH($Q1947,Offerte!$L$2:$L$81,0)),"NO"))</f>
        <v/>
      </c>
    </row>
    <row r="1948">
      <c r="A1948" s="48">
        <f>IF(Offerte!$A64="","",Offerte!$A64)</f>
        <v/>
      </c>
      <c r="B1948" s="48">
        <f>IF(Offerte!$A64="","",Offerte!$B64)</f>
        <v/>
      </c>
      <c r="C1948" s="48">
        <f>IF(Offerte!$A64="","",Offerte!$C64)</f>
        <v/>
      </c>
      <c r="D1948" s="48" t="inlineStr">
        <is>
          <t>F.1.1</t>
        </is>
      </c>
      <c r="E1948" s="48" t="inlineStr">
        <is>
          <t>F</t>
        </is>
      </c>
      <c r="F1948" s="48" t="inlineStr">
        <is>
          <t>Q</t>
        </is>
      </c>
      <c r="G1948" s="48" t="inlineStr">
        <is>
          <t>lower</t>
        </is>
      </c>
      <c r="H1948" s="48" t="n">
        <v>7</v>
      </c>
      <c r="I1948" s="48" t="inlineStr">
        <is>
          <t>Performance ambientali del parco mezzi adibito al servizio - I_CEA</t>
        </is>
      </c>
      <c r="J1948" s="73" t="n"/>
      <c r="K1948" s="73" t="n"/>
      <c r="L1948" s="73" t="n"/>
      <c r="M1948" s="73" t="n"/>
      <c r="N1948" s="57">
        <f>IF($A1948="","",IFERROR(VALUE($J1948),0))</f>
        <v/>
      </c>
      <c r="O1948" s="57">
        <f>IF($A1948="",0,IF(OR($S1948&lt;&gt;1,COUNTA($J1948:$M1948)=0),0,IF(AND(IFERROR(AGGREGATE(15,6,$N$5:$N$2484/(($C$5:$C$2484=$C1948)*($D$5:$D$2484=$D1948)*($S$5:$S$2484=1)*($N$5:$N$2484&gt;0)),1),0)&gt;0,$N1948&gt;0),ROUND($H1948*(IFERROR(AGGREGATE(15,6,$N$5:$N$2484/(($C$5:$C$2484=$C1948)*($D$5:$D$2484=$D1948)*($S$5:$S$2484=1)*($N$5:$N$2484&gt;0)),1),0)/$N1948),4),0)))</f>
        <v/>
      </c>
      <c r="P1948" s="48" t="inlineStr">
        <is>
          <t>indice</t>
        </is>
      </c>
      <c r="Q1948" s="57">
        <f>IF($A1948="","",$A1948&amp;"|"&amp;$C1948)</f>
        <v/>
      </c>
      <c r="R1948" s="57">
        <f>IF($A1948="","",$A1948&amp;"|"&amp;$C1948&amp;"|"&amp;$D1948)</f>
        <v/>
      </c>
      <c r="S1948" s="57">
        <f>IF($A1948="","",IFERROR(INDEX(Offerte!$D$2:$D$81,MATCH($Q1948,Offerte!$L$2:$L$81,0)),0))</f>
        <v/>
      </c>
      <c r="T1948" s="57">
        <f>IF($A1948="","",IFERROR(INDEX(Offerte!$G$2:$G$81,MATCH($Q1948,Offerte!$L$2:$L$81,0)),"NO"))</f>
        <v/>
      </c>
    </row>
    <row r="1949">
      <c r="A1949" s="48">
        <f>IF(Offerte!$A64="","",Offerte!$A64)</f>
        <v/>
      </c>
      <c r="B1949" s="48">
        <f>IF(Offerte!$A64="","",Offerte!$B64)</f>
        <v/>
      </c>
      <c r="C1949" s="48">
        <f>IF(Offerte!$A64="","",Offerte!$C64)</f>
        <v/>
      </c>
      <c r="D1949" s="48" t="inlineStr">
        <is>
          <t>F.2.1</t>
        </is>
      </c>
      <c r="E1949" s="48" t="inlineStr">
        <is>
          <t>F</t>
        </is>
      </c>
      <c r="F1949" s="48" t="inlineStr">
        <is>
          <t>Q</t>
        </is>
      </c>
      <c r="G1949" s="48" t="inlineStr">
        <is>
          <t>higher</t>
        </is>
      </c>
      <c r="H1949" s="48" t="n">
        <v>2</v>
      </c>
      <c r="I1949" s="48" t="inlineStr">
        <is>
          <t>Tasso di copertura del servizio con dispositivi ECO-DRIVER</t>
        </is>
      </c>
      <c r="J1949" s="73" t="n"/>
      <c r="K1949" s="73" t="n"/>
      <c r="L1949" s="73" t="n"/>
      <c r="M1949" s="73" t="n"/>
      <c r="N1949" s="57">
        <f>IF($A1949="","",IFERROR(VALUE($K1949)/VALUE($L1949),IFERROR(VALUE($J1949),0)))</f>
        <v/>
      </c>
      <c r="O1949" s="57">
        <f>IF($A1949="",0,IF(OR($S1949&lt;&gt;1,COUNTA($J1949:$M1949)=0),0,IF(SUMPRODUCT(MAX(($C$5:$C$2484=$C1949)*($D$5:$D$2484=$D1949)*($S$5:$S$2484=1)*IFERROR($N$5:$N$2484*1,0)))&gt;0,ROUND($H1949*($N1949/SUMPRODUCT(MAX(($C$5:$C$2484=$C1949)*($D$5:$D$2484=$D1949)*($S$5:$S$2484=1)*IFERROR($N$5:$N$2484*1,0)))),4),0)))</f>
        <v/>
      </c>
      <c r="P1949" s="48" t="inlineStr">
        <is>
          <t>Autobus attrezzati con dispositivi ECO-DRIVER / Autobus totali in offerta, incluse scorte</t>
        </is>
      </c>
      <c r="Q1949" s="57">
        <f>IF($A1949="","",$A1949&amp;"|"&amp;$C1949)</f>
        <v/>
      </c>
      <c r="R1949" s="57">
        <f>IF($A1949="","",$A1949&amp;"|"&amp;$C1949&amp;"|"&amp;$D1949)</f>
        <v/>
      </c>
      <c r="S1949" s="57">
        <f>IF($A1949="","",IFERROR(INDEX(Offerte!$D$2:$D$81,MATCH($Q1949,Offerte!$L$2:$L$81,0)),0))</f>
        <v/>
      </c>
      <c r="T1949" s="57">
        <f>IF($A1949="","",IFERROR(INDEX(Offerte!$G$2:$G$81,MATCH($Q1949,Offerte!$L$2:$L$81,0)),"NO"))</f>
        <v/>
      </c>
    </row>
    <row r="1950">
      <c r="A1950" s="48">
        <f>IF(Offerte!$A64="","",Offerte!$A64)</f>
        <v/>
      </c>
      <c r="B1950" s="48">
        <f>IF(Offerte!$A64="","",Offerte!$B64)</f>
        <v/>
      </c>
      <c r="C1950" s="48">
        <f>IF(Offerte!$A64="","",Offerte!$C64)</f>
        <v/>
      </c>
      <c r="D1950" s="48" t="inlineStr">
        <is>
          <t>F.3.1</t>
        </is>
      </c>
      <c r="E1950" s="48" t="inlineStr">
        <is>
          <t>F</t>
        </is>
      </c>
      <c r="F1950" s="48" t="inlineStr">
        <is>
          <t>Q</t>
        </is>
      </c>
      <c r="G1950" s="48" t="inlineStr">
        <is>
          <t>higher</t>
        </is>
      </c>
      <c r="H1950" s="48" t="n">
        <v>2</v>
      </c>
      <c r="I1950" s="48" t="inlineStr">
        <is>
          <t>Autoproduzione consumi elettrici per trazione</t>
        </is>
      </c>
      <c r="J1950" s="73" t="n"/>
      <c r="K1950" s="73" t="n"/>
      <c r="L1950" s="73" t="n"/>
      <c r="M1950" s="73" t="n"/>
      <c r="N1950" s="57">
        <f>IF($A1950="","",IFERROR(VALUE($J1950),0))</f>
        <v/>
      </c>
      <c r="O1950" s="57">
        <f>IF($A1950="",0,IF(OR($S1950&lt;&gt;1,COUNTA($J1950:$M1950)=0),0,IF(SUMPRODUCT(MAX(($C$5:$C$2484=$C1950)*($D$5:$D$2484=$D1950)*($S$5:$S$2484=1)*IFERROR($N$5:$N$2484*1,0)))&gt;0,ROUND($H1950*($N1950/SUMPRODUCT(MAX(($C$5:$C$2484=$C1950)*($D$5:$D$2484=$D1950)*($S$5:$S$2484=1)*IFERROR($N$5:$N$2484*1,0)))),4),0)))</f>
        <v/>
      </c>
      <c r="P1950" s="48" t="inlineStr">
        <is>
          <t>kWh/anno</t>
        </is>
      </c>
      <c r="Q1950" s="57">
        <f>IF($A1950="","",$A1950&amp;"|"&amp;$C1950)</f>
        <v/>
      </c>
      <c r="R1950" s="57">
        <f>IF($A1950="","",$A1950&amp;"|"&amp;$C1950&amp;"|"&amp;$D1950)</f>
        <v/>
      </c>
      <c r="S1950" s="57">
        <f>IF($A1950="","",IFERROR(INDEX(Offerte!$D$2:$D$81,MATCH($Q1950,Offerte!$L$2:$L$81,0)),0))</f>
        <v/>
      </c>
      <c r="T1950" s="57">
        <f>IF($A1950="","",IFERROR(INDEX(Offerte!$G$2:$G$81,MATCH($Q1950,Offerte!$L$2:$L$81,0)),"NO"))</f>
        <v/>
      </c>
    </row>
    <row r="1951">
      <c r="A1951" s="48">
        <f>IF(Offerte!$A64="","",Offerte!$A64)</f>
        <v/>
      </c>
      <c r="B1951" s="48">
        <f>IF(Offerte!$A64="","",Offerte!$B64)</f>
        <v/>
      </c>
      <c r="C1951" s="48">
        <f>IF(Offerte!$A64="","",Offerte!$C64)</f>
        <v/>
      </c>
      <c r="D1951" s="48" t="inlineStr">
        <is>
          <t>F.4.1</t>
        </is>
      </c>
      <c r="E1951" s="48" t="inlineStr">
        <is>
          <t>F</t>
        </is>
      </c>
      <c r="F1951" s="48" t="inlineStr">
        <is>
          <t>Q</t>
        </is>
      </c>
      <c r="G1951" s="48" t="inlineStr">
        <is>
          <t>soil</t>
        </is>
      </c>
      <c r="H1951" s="48" t="n">
        <v>2</v>
      </c>
      <c r="I1951" s="48" t="inlineStr">
        <is>
          <t>Indice di consumo di suolo</t>
        </is>
      </c>
      <c r="J1951" s="73" t="n"/>
      <c r="K1951" s="73" t="n"/>
      <c r="L1951" s="73" t="n"/>
      <c r="M1951" s="73" t="n"/>
      <c r="N1951" s="57">
        <f>IF($A1951="","",IFERROR(VALUE($J1951),0))</f>
        <v/>
      </c>
      <c r="O1951" s="57">
        <f>IF($A1951="",0,IF(OR($S1951&lt;&gt;1,COUNTA($J1951:$M1951)=0),0,IF($N1951&lt;=0,$H1951,IF(SUMPRODUCT(MAX(($C$5:$C$2484=$C1951)*($D$5:$D$2484=$D1951)*($S$5:$S$2484=1)*IFERROR($N$5:$N$2484*1,0)))&gt;0,ROUND($H1951*((SUMPRODUCT(MAX(($C$5:$C$2484=$C1951)*($D$5:$D$2484=$D1951)*($S$5:$S$2484=1)*IFERROR($N$5:$N$2484*1,0)))-$N1951)/SUMPRODUCT(MAX(($C$5:$C$2484=$C1951)*($D$5:$D$2484=$D1951)*($S$5:$S$2484=1)*IFERROR($N$5:$N$2484*1,0)))),4),0))))</f>
        <v/>
      </c>
      <c r="P1951" s="48" t="inlineStr">
        <is>
          <t>m2</t>
        </is>
      </c>
      <c r="Q1951" s="57">
        <f>IF($A1951="","",$A1951&amp;"|"&amp;$C1951)</f>
        <v/>
      </c>
      <c r="R1951" s="57">
        <f>IF($A1951="","",$A1951&amp;"|"&amp;$C1951&amp;"|"&amp;$D1951)</f>
        <v/>
      </c>
      <c r="S1951" s="57">
        <f>IF($A1951="","",IFERROR(INDEX(Offerte!$D$2:$D$81,MATCH($Q1951,Offerte!$L$2:$L$81,0)),0))</f>
        <v/>
      </c>
      <c r="T1951" s="57">
        <f>IF($A1951="","",IFERROR(INDEX(Offerte!$G$2:$G$81,MATCH($Q1951,Offerte!$L$2:$L$81,0)),"NO"))</f>
        <v/>
      </c>
    </row>
    <row r="1952">
      <c r="A1952" s="48">
        <f>IF(Offerte!$A64="","",Offerte!$A64)</f>
        <v/>
      </c>
      <c r="B1952" s="48">
        <f>IF(Offerte!$A64="","",Offerte!$B64)</f>
        <v/>
      </c>
      <c r="C1952" s="48">
        <f>IF(Offerte!$A64="","",Offerte!$C64)</f>
        <v/>
      </c>
      <c r="D1952" s="48" t="inlineStr">
        <is>
          <t>F.5.1</t>
        </is>
      </c>
      <c r="E1952" s="48" t="inlineStr">
        <is>
          <t>F</t>
        </is>
      </c>
      <c r="F1952" s="48" t="inlineStr">
        <is>
          <t>T</t>
        </is>
      </c>
      <c r="G1952" s="48" t="inlineStr">
        <is>
          <t>tabular</t>
        </is>
      </c>
      <c r="H1952" s="48" t="n">
        <v>1</v>
      </c>
      <c r="I1952" s="48" t="inlineStr">
        <is>
          <t>Rendicontazione di sostenibilità ambientale</t>
        </is>
      </c>
      <c r="J1952" s="73" t="n"/>
      <c r="K1952" s="73" t="n"/>
      <c r="L1952" s="73" t="n"/>
      <c r="M1952" s="73" t="n"/>
      <c r="N1952" s="57">
        <f>IF($A1952="","",IF(IFERROR(VALUE($M1952),0)=1,1,0))</f>
        <v/>
      </c>
      <c r="O1952" s="57">
        <f>IF($A1952="",0,IF(OR($S1952&lt;&gt;1,COUNTA($J1952:$M1952)=0),0,IF($N1952=1,$H1952,0)))</f>
        <v/>
      </c>
      <c r="P1952" s="48" t="inlineStr">
        <is>
          <t>sì/no</t>
        </is>
      </c>
      <c r="Q1952" s="57">
        <f>IF($A1952="","",$A1952&amp;"|"&amp;$C1952)</f>
        <v/>
      </c>
      <c r="R1952" s="57">
        <f>IF($A1952="","",$A1952&amp;"|"&amp;$C1952&amp;"|"&amp;$D1952)</f>
        <v/>
      </c>
      <c r="S1952" s="57">
        <f>IF($A1952="","",IFERROR(INDEX(Offerte!$D$2:$D$81,MATCH($Q1952,Offerte!$L$2:$L$81,0)),0))</f>
        <v/>
      </c>
      <c r="T1952" s="57">
        <f>IF($A1952="","",IFERROR(INDEX(Offerte!$G$2:$G$81,MATCH($Q1952,Offerte!$L$2:$L$81,0)),"NO"))</f>
        <v/>
      </c>
    </row>
    <row r="1953">
      <c r="A1953" s="48">
        <f>IF(Offerte!$A64="","",Offerte!$A64)</f>
        <v/>
      </c>
      <c r="B1953" s="48">
        <f>IF(Offerte!$A64="","",Offerte!$B64)</f>
        <v/>
      </c>
      <c r="C1953" s="48">
        <f>IF(Offerte!$A64="","",Offerte!$C64)</f>
        <v/>
      </c>
      <c r="D1953" s="48" t="inlineStr">
        <is>
          <t>G.1.1</t>
        </is>
      </c>
      <c r="E1953" s="48" t="inlineStr">
        <is>
          <t>G</t>
        </is>
      </c>
      <c r="F1953" s="48" t="inlineStr">
        <is>
          <t>D</t>
        </is>
      </c>
      <c r="G1953" s="48" t="inlineStr">
        <is>
          <t>discretionary</t>
        </is>
      </c>
      <c r="H1953" s="48" t="n">
        <v>2</v>
      </c>
      <c r="I1953" s="48" t="inlineStr">
        <is>
          <t>Qualità del progetto di centrale di controllo aziendale</t>
        </is>
      </c>
      <c r="J1953" s="73" t="n"/>
      <c r="K1953" s="73" t="n"/>
      <c r="L1953" s="73" t="n"/>
      <c r="M1953" s="73" t="n"/>
      <c r="N1953" s="57">
        <f>IF($A1953="","",MAX(0,MIN(1,IFERROR(VALUE($M1953),0))))</f>
        <v/>
      </c>
      <c r="O1953" s="57">
        <f>IF($A1953="",0,IF(OR($S1953&lt;&gt;1,COUNTA($J1953:$M1953)=0),0,IF(SUMPRODUCT(MAX(($C$5:$C$2484=$C1953)*($D$5:$D$2484=$D1953)*($S$5:$S$2484=1)*IFERROR($N$5:$N$2484*1,0)))&gt;0,ROUND($H1953*($N1953/SUMPRODUCT(MAX(($C$5:$C$2484=$C1953)*($D$5:$D$2484=$D1953)*($S$5:$S$2484=1)*IFERROR($N$5:$N$2484*1,0)))),4),0)))</f>
        <v/>
      </c>
      <c r="P1953" s="48" t="inlineStr">
        <is>
          <t>coeff.</t>
        </is>
      </c>
      <c r="Q1953" s="57">
        <f>IF($A1953="","",$A1953&amp;"|"&amp;$C1953)</f>
        <v/>
      </c>
      <c r="R1953" s="57">
        <f>IF($A1953="","",$A1953&amp;"|"&amp;$C1953&amp;"|"&amp;$D1953)</f>
        <v/>
      </c>
      <c r="S1953" s="57">
        <f>IF($A1953="","",IFERROR(INDEX(Offerte!$D$2:$D$81,MATCH($Q1953,Offerte!$L$2:$L$81,0)),0))</f>
        <v/>
      </c>
      <c r="T1953" s="57">
        <f>IF($A1953="","",IFERROR(INDEX(Offerte!$G$2:$G$81,MATCH($Q1953,Offerte!$L$2:$L$81,0)),"NO"))</f>
        <v/>
      </c>
    </row>
    <row r="1954">
      <c r="A1954" s="48">
        <f>IF(Offerte!$A64="","",Offerte!$A64)</f>
        <v/>
      </c>
      <c r="B1954" s="48">
        <f>IF(Offerte!$A64="","",Offerte!$B64)</f>
        <v/>
      </c>
      <c r="C1954" s="48">
        <f>IF(Offerte!$A64="","",Offerte!$C64)</f>
        <v/>
      </c>
      <c r="D1954" s="48" t="inlineStr">
        <is>
          <t>G.2.1</t>
        </is>
      </c>
      <c r="E1954" s="48" t="inlineStr">
        <is>
          <t>G</t>
        </is>
      </c>
      <c r="F1954" s="48" t="inlineStr">
        <is>
          <t>T</t>
        </is>
      </c>
      <c r="G1954" s="48" t="inlineStr">
        <is>
          <t>tabular</t>
        </is>
      </c>
      <c r="H1954" s="48" t="n">
        <v>1</v>
      </c>
      <c r="I1954" s="48" t="inlineStr">
        <is>
          <t>Certificazione ISO 45001</t>
        </is>
      </c>
      <c r="J1954" s="73" t="n"/>
      <c r="K1954" s="73" t="n"/>
      <c r="L1954" s="73" t="n"/>
      <c r="M1954" s="73" t="n"/>
      <c r="N1954" s="57">
        <f>IF($A1954="","",IF(IFERROR(VALUE($M1954),0)=1,1,0))</f>
        <v/>
      </c>
      <c r="O1954" s="57">
        <f>IF($A1954="",0,IF(OR($S1954&lt;&gt;1,COUNTA($J1954:$M1954)=0),0,IF($N1954=1,$H1954,0)))</f>
        <v/>
      </c>
      <c r="P1954" s="48" t="inlineStr">
        <is>
          <t>sì/no</t>
        </is>
      </c>
      <c r="Q1954" s="57">
        <f>IF($A1954="","",$A1954&amp;"|"&amp;$C1954)</f>
        <v/>
      </c>
      <c r="R1954" s="57">
        <f>IF($A1954="","",$A1954&amp;"|"&amp;$C1954&amp;"|"&amp;$D1954)</f>
        <v/>
      </c>
      <c r="S1954" s="57">
        <f>IF($A1954="","",IFERROR(INDEX(Offerte!$D$2:$D$81,MATCH($Q1954,Offerte!$L$2:$L$81,0)),0))</f>
        <v/>
      </c>
      <c r="T1954" s="57">
        <f>IF($A1954="","",IFERROR(INDEX(Offerte!$G$2:$G$81,MATCH($Q1954,Offerte!$L$2:$L$81,0)),"NO"))</f>
        <v/>
      </c>
    </row>
    <row r="1955">
      <c r="A1955" s="48">
        <f>IF(Offerte!$A64="","",Offerte!$A64)</f>
        <v/>
      </c>
      <c r="B1955" s="48">
        <f>IF(Offerte!$A64="","",Offerte!$B64)</f>
        <v/>
      </c>
      <c r="C1955" s="48">
        <f>IF(Offerte!$A64="","",Offerte!$C64)</f>
        <v/>
      </c>
      <c r="D1955" s="48" t="inlineStr">
        <is>
          <t>G.3.1</t>
        </is>
      </c>
      <c r="E1955" s="48" t="inlineStr">
        <is>
          <t>G</t>
        </is>
      </c>
      <c r="F1955" s="48" t="inlineStr">
        <is>
          <t>T</t>
        </is>
      </c>
      <c r="G1955" s="48" t="inlineStr">
        <is>
          <t>tabular</t>
        </is>
      </c>
      <c r="H1955" s="48" t="n">
        <v>1</v>
      </c>
      <c r="I1955" s="48" t="inlineStr">
        <is>
          <t>Certificazioni di responsabilità sociale</t>
        </is>
      </c>
      <c r="J1955" s="73" t="n"/>
      <c r="K1955" s="73" t="n"/>
      <c r="L1955" s="73" t="n"/>
      <c r="M1955" s="73" t="n"/>
      <c r="N1955" s="57">
        <f>IF($A1955="","",IF(IFERROR(VALUE($M1955),0)=1,1,0))</f>
        <v/>
      </c>
      <c r="O1955" s="57">
        <f>IF($A1955="",0,IF(OR($S1955&lt;&gt;1,COUNTA($J1955:$M1955)=0),0,IF($N1955=1,$H1955,0)))</f>
        <v/>
      </c>
      <c r="P1955" s="48" t="inlineStr">
        <is>
          <t>sì/no</t>
        </is>
      </c>
      <c r="Q1955" s="57">
        <f>IF($A1955="","",$A1955&amp;"|"&amp;$C1955)</f>
        <v/>
      </c>
      <c r="R1955" s="57">
        <f>IF($A1955="","",$A1955&amp;"|"&amp;$C1955&amp;"|"&amp;$D1955)</f>
        <v/>
      </c>
      <c r="S1955" s="57">
        <f>IF($A1955="","",IFERROR(INDEX(Offerte!$D$2:$D$81,MATCH($Q1955,Offerte!$L$2:$L$81,0)),0))</f>
        <v/>
      </c>
      <c r="T1955" s="57">
        <f>IF($A1955="","",IFERROR(INDEX(Offerte!$G$2:$G$81,MATCH($Q1955,Offerte!$L$2:$L$81,0)),"NO"))</f>
        <v/>
      </c>
    </row>
    <row r="1956">
      <c r="A1956" s="48">
        <f>IF(Offerte!$A64="","",Offerte!$A64)</f>
        <v/>
      </c>
      <c r="B1956" s="48">
        <f>IF(Offerte!$A64="","",Offerte!$B64)</f>
        <v/>
      </c>
      <c r="C1956" s="48">
        <f>IF(Offerte!$A64="","",Offerte!$C64)</f>
        <v/>
      </c>
      <c r="D1956" s="48" t="inlineStr">
        <is>
          <t>G.4.1</t>
        </is>
      </c>
      <c r="E1956" s="48" t="inlineStr">
        <is>
          <t>G</t>
        </is>
      </c>
      <c r="F1956" s="48" t="inlineStr">
        <is>
          <t>D</t>
        </is>
      </c>
      <c r="G1956" s="48" t="inlineStr">
        <is>
          <t>discretionary</t>
        </is>
      </c>
      <c r="H1956" s="48" t="n">
        <v>2</v>
      </c>
      <c r="I1956" s="48" t="inlineStr">
        <is>
          <t>Qualità del piano di formazione del personale</t>
        </is>
      </c>
      <c r="J1956" s="73" t="n"/>
      <c r="K1956" s="73" t="n"/>
      <c r="L1956" s="73" t="n"/>
      <c r="M1956" s="73" t="n"/>
      <c r="N1956" s="57">
        <f>IF($A1956="","",MAX(0,MIN(1,IFERROR(VALUE($M1956),0))))</f>
        <v/>
      </c>
      <c r="O1956" s="57">
        <f>IF($A1956="",0,IF(OR($S1956&lt;&gt;1,COUNTA($J1956:$M1956)=0),0,IF(SUMPRODUCT(MAX(($C$5:$C$2484=$C1956)*($D$5:$D$2484=$D1956)*($S$5:$S$2484=1)*IFERROR($N$5:$N$2484*1,0)))&gt;0,ROUND($H1956*($N1956/SUMPRODUCT(MAX(($C$5:$C$2484=$C1956)*($D$5:$D$2484=$D1956)*($S$5:$S$2484=1)*IFERROR($N$5:$N$2484*1,0)))),4),0)))</f>
        <v/>
      </c>
      <c r="P1956" s="48" t="inlineStr">
        <is>
          <t>coeff.</t>
        </is>
      </c>
      <c r="Q1956" s="57">
        <f>IF($A1956="","",$A1956&amp;"|"&amp;$C1956)</f>
        <v/>
      </c>
      <c r="R1956" s="57">
        <f>IF($A1956="","",$A1956&amp;"|"&amp;$C1956&amp;"|"&amp;$D1956)</f>
        <v/>
      </c>
      <c r="S1956" s="57">
        <f>IF($A1956="","",IFERROR(INDEX(Offerte!$D$2:$D$81,MATCH($Q1956,Offerte!$L$2:$L$81,0)),0))</f>
        <v/>
      </c>
      <c r="T1956" s="57">
        <f>IF($A1956="","",IFERROR(INDEX(Offerte!$G$2:$G$81,MATCH($Q1956,Offerte!$L$2:$L$81,0)),"NO"))</f>
        <v/>
      </c>
    </row>
    <row r="1957">
      <c r="A1957" s="48">
        <f>IF(Offerte!$A64="","",Offerte!$A64)</f>
        <v/>
      </c>
      <c r="B1957" s="48">
        <f>IF(Offerte!$A64="","",Offerte!$B64)</f>
        <v/>
      </c>
      <c r="C1957" s="48">
        <f>IF(Offerte!$A64="","",Offerte!$C64)</f>
        <v/>
      </c>
      <c r="D1957" s="48" t="inlineStr">
        <is>
          <t>G.5.1</t>
        </is>
      </c>
      <c r="E1957" s="48" t="inlineStr">
        <is>
          <t>G</t>
        </is>
      </c>
      <c r="F1957" s="48" t="inlineStr">
        <is>
          <t>T</t>
        </is>
      </c>
      <c r="G1957" s="48" t="inlineStr">
        <is>
          <t>tabular</t>
        </is>
      </c>
      <c r="H1957" s="48" t="n">
        <v>1</v>
      </c>
      <c r="I1957" s="48" t="inlineStr">
        <is>
          <t>Impegno al mantenimento delle garanzie del contratto di secondo livello del gestore uscente</t>
        </is>
      </c>
      <c r="J1957" s="73" t="n"/>
      <c r="K1957" s="73" t="n"/>
      <c r="L1957" s="73" t="n"/>
      <c r="M1957" s="73" t="n"/>
      <c r="N1957" s="57">
        <f>IF($A1957="","",IF(IFERROR(VALUE($M1957),0)=1,1,0))</f>
        <v/>
      </c>
      <c r="O1957" s="57">
        <f>IF($A1957="",0,IF(OR($S1957&lt;&gt;1,COUNTA($J1957:$M1957)=0),0,IF($N1957=1,$H1957,0)))</f>
        <v/>
      </c>
      <c r="P1957" s="48" t="inlineStr">
        <is>
          <t>sì/no</t>
        </is>
      </c>
      <c r="Q1957" s="57">
        <f>IF($A1957="","",$A1957&amp;"|"&amp;$C1957)</f>
        <v/>
      </c>
      <c r="R1957" s="57">
        <f>IF($A1957="","",$A1957&amp;"|"&amp;$C1957&amp;"|"&amp;$D1957)</f>
        <v/>
      </c>
      <c r="S1957" s="57">
        <f>IF($A1957="","",IFERROR(INDEX(Offerte!$D$2:$D$81,MATCH($Q1957,Offerte!$L$2:$L$81,0)),0))</f>
        <v/>
      </c>
      <c r="T1957" s="57">
        <f>IF($A1957="","",IFERROR(INDEX(Offerte!$G$2:$G$81,MATCH($Q1957,Offerte!$L$2:$L$81,0)),"NO"))</f>
        <v/>
      </c>
    </row>
    <row r="1958">
      <c r="A1958" s="48">
        <f>IF(Offerte!$A65="","",Offerte!$A65)</f>
        <v/>
      </c>
      <c r="B1958" s="48">
        <f>IF(Offerte!$A65="","",Offerte!$B65)</f>
        <v/>
      </c>
      <c r="C1958" s="48">
        <f>IF(Offerte!$A65="","",Offerte!$C65)</f>
        <v/>
      </c>
      <c r="D1958" s="48" t="inlineStr">
        <is>
          <t>A.1.1</t>
        </is>
      </c>
      <c r="E1958" s="48" t="inlineStr">
        <is>
          <t>A</t>
        </is>
      </c>
      <c r="F1958" s="48" t="inlineStr">
        <is>
          <t>Q</t>
        </is>
      </c>
      <c r="G1958" s="48" t="inlineStr">
        <is>
          <t>higher</t>
        </is>
      </c>
      <c r="H1958" s="48" t="n">
        <v>3</v>
      </c>
      <c r="I1958" s="48" t="inlineStr">
        <is>
          <t>Tasso aggiuntivo di corse controllate</t>
        </is>
      </c>
      <c r="J1958" s="73" t="n"/>
      <c r="K1958" s="73" t="n"/>
      <c r="L1958" s="73" t="n"/>
      <c r="M1958" s="73" t="n"/>
      <c r="N1958" s="57">
        <f>IF($A1958="","",IFERROR(VALUE($K1958)/VALUE($L1958)*100,IFERROR(VALUE($J1958),0)))</f>
        <v/>
      </c>
      <c r="O1958" s="57">
        <f>IF($A1958="",0,IF(OR($S1958&lt;&gt;1,COUNTA($J1958:$M1958)=0),0,IF(SUMPRODUCT(MAX(($C$5:$C$2484=$C1958)*($D$5:$D$2484=$D1958)*($S$5:$S$2484=1)*IFERROR($N$5:$N$2484*1,0)))&gt;0,ROUND($H1958*($N1958/SUMPRODUCT(MAX(($C$5:$C$2484=$C1958)*($D$5:$D$2484=$D1958)*($S$5:$S$2484=1)*IFERROR($N$5:$N$2484*1,0)))),4),0)))</f>
        <v/>
      </c>
      <c r="P1958" s="48" t="inlineStr">
        <is>
          <t>Corse controllate annue / Corse programmate annue</t>
        </is>
      </c>
      <c r="Q1958" s="57">
        <f>IF($A1958="","",$A1958&amp;"|"&amp;$C1958)</f>
        <v/>
      </c>
      <c r="R1958" s="57">
        <f>IF($A1958="","",$A1958&amp;"|"&amp;$C1958&amp;"|"&amp;$D1958)</f>
        <v/>
      </c>
      <c r="S1958" s="57">
        <f>IF($A1958="","",IFERROR(INDEX(Offerte!$D$2:$D$81,MATCH($Q1958,Offerte!$L$2:$L$81,0)),0))</f>
        <v/>
      </c>
      <c r="T1958" s="57">
        <f>IF($A1958="","",IFERROR(INDEX(Offerte!$G$2:$G$81,MATCH($Q1958,Offerte!$L$2:$L$81,0)),"NO"))</f>
        <v/>
      </c>
    </row>
    <row r="1959">
      <c r="A1959" s="48">
        <f>IF(Offerte!$A65="","",Offerte!$A65)</f>
        <v/>
      </c>
      <c r="B1959" s="48">
        <f>IF(Offerte!$A65="","",Offerte!$B65)</f>
        <v/>
      </c>
      <c r="C1959" s="48">
        <f>IF(Offerte!$A65="","",Offerte!$C65)</f>
        <v/>
      </c>
      <c r="D1959" s="48" t="inlineStr">
        <is>
          <t>A.1.2</t>
        </is>
      </c>
      <c r="E1959" s="48" t="inlineStr">
        <is>
          <t>A</t>
        </is>
      </c>
      <c r="F1959" s="48" t="inlineStr">
        <is>
          <t>Q</t>
        </is>
      </c>
      <c r="G1959" s="48" t="inlineStr">
        <is>
          <t>higher</t>
        </is>
      </c>
      <c r="H1959" s="48" t="n">
        <v>4</v>
      </c>
      <c r="I1959" s="48" t="inlineStr">
        <is>
          <t>Numero aggiuntivo di passeggeri controllati</t>
        </is>
      </c>
      <c r="J1959" s="73" t="n"/>
      <c r="K1959" s="73" t="n"/>
      <c r="L1959" s="73" t="n"/>
      <c r="M1959" s="73" t="n"/>
      <c r="N1959" s="57">
        <f>IF($A1959="","",IFERROR(VALUE($J1959),0))</f>
        <v/>
      </c>
      <c r="O1959" s="57">
        <f>IF($A1959="",0,IF(OR($S1959&lt;&gt;1,COUNTA($J1959:$M1959)=0),0,IF(SUMPRODUCT(MAX(($C$5:$C$2484=$C1959)*($D$5:$D$2484=$D1959)*($S$5:$S$2484=1)*IFERROR($N$5:$N$2484*1,0)))&gt;0,ROUND($H1959*($N1959/SUMPRODUCT(MAX(($C$5:$C$2484=$C1959)*($D$5:$D$2484=$D1959)*($S$5:$S$2484=1)*IFERROR($N$5:$N$2484*1,0)))),4),0)))</f>
        <v/>
      </c>
      <c r="P1959" s="48" t="inlineStr">
        <is>
          <t>passeggeri/anno</t>
        </is>
      </c>
      <c r="Q1959" s="57">
        <f>IF($A1959="","",$A1959&amp;"|"&amp;$C1959)</f>
        <v/>
      </c>
      <c r="R1959" s="57">
        <f>IF($A1959="","",$A1959&amp;"|"&amp;$C1959&amp;"|"&amp;$D1959)</f>
        <v/>
      </c>
      <c r="S1959" s="57">
        <f>IF($A1959="","",IFERROR(INDEX(Offerte!$D$2:$D$81,MATCH($Q1959,Offerte!$L$2:$L$81,0)),0))</f>
        <v/>
      </c>
      <c r="T1959" s="57">
        <f>IF($A1959="","",IFERROR(INDEX(Offerte!$G$2:$G$81,MATCH($Q1959,Offerte!$L$2:$L$81,0)),"NO"))</f>
        <v/>
      </c>
    </row>
    <row r="1960">
      <c r="A1960" s="48">
        <f>IF(Offerte!$A65="","",Offerte!$A65)</f>
        <v/>
      </c>
      <c r="B1960" s="48">
        <f>IF(Offerte!$A65="","",Offerte!$B65)</f>
        <v/>
      </c>
      <c r="C1960" s="48">
        <f>IF(Offerte!$A65="","",Offerte!$C65)</f>
        <v/>
      </c>
      <c r="D1960" s="48" t="inlineStr">
        <is>
          <t>B.1.1</t>
        </is>
      </c>
      <c r="E1960" s="48" t="inlineStr">
        <is>
          <t>B</t>
        </is>
      </c>
      <c r="F1960" s="48" t="inlineStr">
        <is>
          <t>Q</t>
        </is>
      </c>
      <c r="G1960" s="48" t="inlineStr">
        <is>
          <t>higher</t>
        </is>
      </c>
      <c r="H1960" s="48" t="n">
        <v>3</v>
      </c>
      <c r="I1960" s="48" t="inlineStr">
        <is>
          <t>Incremento dei posti offerti nelle fasce di punta</t>
        </is>
      </c>
      <c r="J1960" s="73" t="n"/>
      <c r="K1960" s="73" t="n"/>
      <c r="L1960" s="73" t="n"/>
      <c r="M1960" s="73" t="n"/>
      <c r="N1960" s="57">
        <f>IF($A1960="","",IFERROR(VALUE($J1960),0))</f>
        <v/>
      </c>
      <c r="O1960" s="57">
        <f>IF($A1960="",0,IF(OR($S1960&lt;&gt;1,COUNTA($J1960:$M1960)=0),0,IF(SUMPRODUCT(MAX(($C$5:$C$2484=$C1960)*($D$5:$D$2484=$D1960)*($S$5:$S$2484=1)*IFERROR($N$5:$N$2484*1,0)))&gt;0,ROUND($H1960*($N1960/SUMPRODUCT(MAX(($C$5:$C$2484=$C1960)*($D$5:$D$2484=$D1960)*($S$5:$S$2484=1)*IFERROR($N$5:$N$2484*1,0)))),4),0)))</f>
        <v/>
      </c>
      <c r="P1960" s="48" t="inlineStr">
        <is>
          <t>posti*km</t>
        </is>
      </c>
      <c r="Q1960" s="57">
        <f>IF($A1960="","",$A1960&amp;"|"&amp;$C1960)</f>
        <v/>
      </c>
      <c r="R1960" s="57">
        <f>IF($A1960="","",$A1960&amp;"|"&amp;$C1960&amp;"|"&amp;$D1960)</f>
        <v/>
      </c>
      <c r="S1960" s="57">
        <f>IF($A1960="","",IFERROR(INDEX(Offerte!$D$2:$D$81,MATCH($Q1960,Offerte!$L$2:$L$81,0)),0))</f>
        <v/>
      </c>
      <c r="T1960" s="57">
        <f>IF($A1960="","",IFERROR(INDEX(Offerte!$G$2:$G$81,MATCH($Q1960,Offerte!$L$2:$L$81,0)),"NO"))</f>
        <v/>
      </c>
    </row>
    <row r="1961">
      <c r="A1961" s="48">
        <f>IF(Offerte!$A65="","",Offerte!$A65)</f>
        <v/>
      </c>
      <c r="B1961" s="48">
        <f>IF(Offerte!$A65="","",Offerte!$B65)</f>
        <v/>
      </c>
      <c r="C1961" s="48">
        <f>IF(Offerte!$A65="","",Offerte!$C65)</f>
        <v/>
      </c>
      <c r="D1961" s="48" t="inlineStr">
        <is>
          <t>B.2.1</t>
        </is>
      </c>
      <c r="E1961" s="48" t="inlineStr">
        <is>
          <t>B</t>
        </is>
      </c>
      <c r="F1961" s="48" t="inlineStr">
        <is>
          <t>Q</t>
        </is>
      </c>
      <c r="G1961" s="48" t="inlineStr">
        <is>
          <t>higher</t>
        </is>
      </c>
      <c r="H1961" s="48" t="n">
        <v>4</v>
      </c>
      <c r="I1961" s="48" t="inlineStr">
        <is>
          <t>Corse aggiuntive nell'arco giornaliero base</t>
        </is>
      </c>
      <c r="J1961" s="73" t="n"/>
      <c r="K1961" s="73" t="n"/>
      <c r="L1961" s="73" t="n"/>
      <c r="M1961" s="73" t="n"/>
      <c r="N1961" s="57">
        <f>IF($A1961="","",IFERROR(VALUE($J1961),0))</f>
        <v/>
      </c>
      <c r="O1961" s="57">
        <f>IF($A1961="",0,IF(OR($S1961&lt;&gt;1,COUNTA($J1961:$M1961)=0),0,IF(SUMPRODUCT(MAX(($C$5:$C$2484=$C1961)*($D$5:$D$2484=$D1961)*($S$5:$S$2484=1)*IFERROR($N$5:$N$2484*1,0)))&gt;0,ROUND($H1961*($N1961/SUMPRODUCT(MAX(($C$5:$C$2484=$C1961)*($D$5:$D$2484=$D1961)*($S$5:$S$2484=1)*IFERROR($N$5:$N$2484*1,0)))),4),0)))</f>
        <v/>
      </c>
      <c r="P1961" s="48" t="inlineStr">
        <is>
          <t>corse</t>
        </is>
      </c>
      <c r="Q1961" s="57">
        <f>IF($A1961="","",$A1961&amp;"|"&amp;$C1961)</f>
        <v/>
      </c>
      <c r="R1961" s="57">
        <f>IF($A1961="","",$A1961&amp;"|"&amp;$C1961&amp;"|"&amp;$D1961)</f>
        <v/>
      </c>
      <c r="S1961" s="57">
        <f>IF($A1961="","",IFERROR(INDEX(Offerte!$D$2:$D$81,MATCH($Q1961,Offerte!$L$2:$L$81,0)),0))</f>
        <v/>
      </c>
      <c r="T1961" s="57">
        <f>IF($A1961="","",IFERROR(INDEX(Offerte!$G$2:$G$81,MATCH($Q1961,Offerte!$L$2:$L$81,0)),"NO"))</f>
        <v/>
      </c>
    </row>
    <row r="1962">
      <c r="A1962" s="48">
        <f>IF(Offerte!$A65="","",Offerte!$A65)</f>
        <v/>
      </c>
      <c r="B1962" s="48">
        <f>IF(Offerte!$A65="","",Offerte!$B65)</f>
        <v/>
      </c>
      <c r="C1962" s="48">
        <f>IF(Offerte!$A65="","",Offerte!$C65)</f>
        <v/>
      </c>
      <c r="D1962" s="48" t="inlineStr">
        <is>
          <t>B.3.1</t>
        </is>
      </c>
      <c r="E1962" s="48" t="inlineStr">
        <is>
          <t>B</t>
        </is>
      </c>
      <c r="F1962" s="48" t="inlineStr">
        <is>
          <t>Q</t>
        </is>
      </c>
      <c r="G1962" s="48" t="inlineStr">
        <is>
          <t>higher</t>
        </is>
      </c>
      <c r="H1962" s="48" t="n">
        <v>2</v>
      </c>
      <c r="I1962" s="48" t="inlineStr">
        <is>
          <t>Numero di corse aggiuntive per allungamento dell'arco di servizio giornaliero nelle fasce serali</t>
        </is>
      </c>
      <c r="J1962" s="73" t="n"/>
      <c r="K1962" s="73" t="n"/>
      <c r="L1962" s="73" t="n"/>
      <c r="M1962" s="73" t="n"/>
      <c r="N1962" s="57">
        <f>IF($A1962="","",IFERROR(VALUE($J1962),0))</f>
        <v/>
      </c>
      <c r="O1962" s="57">
        <f>IF($A1962="",0,IF(OR($S1962&lt;&gt;1,COUNTA($J1962:$M1962)=0),0,IF(SUMPRODUCT(MAX(($C$5:$C$2484=$C1962)*($D$5:$D$2484=$D1962)*($S$5:$S$2484=1)*IFERROR($N$5:$N$2484*1,0)))&gt;0,ROUND($H1962*($N1962/SUMPRODUCT(MAX(($C$5:$C$2484=$C1962)*($D$5:$D$2484=$D1962)*($S$5:$S$2484=1)*IFERROR($N$5:$N$2484*1,0)))),4),0)))</f>
        <v/>
      </c>
      <c r="P1962" s="48" t="inlineStr">
        <is>
          <t>corse</t>
        </is>
      </c>
      <c r="Q1962" s="57">
        <f>IF($A1962="","",$A1962&amp;"|"&amp;$C1962)</f>
        <v/>
      </c>
      <c r="R1962" s="57">
        <f>IF($A1962="","",$A1962&amp;"|"&amp;$C1962&amp;"|"&amp;$D1962)</f>
        <v/>
      </c>
      <c r="S1962" s="57">
        <f>IF($A1962="","",IFERROR(INDEX(Offerte!$D$2:$D$81,MATCH($Q1962,Offerte!$L$2:$L$81,0)),0))</f>
        <v/>
      </c>
      <c r="T1962" s="57">
        <f>IF($A1962="","",IFERROR(INDEX(Offerte!$G$2:$G$81,MATCH($Q1962,Offerte!$L$2:$L$81,0)),"NO"))</f>
        <v/>
      </c>
    </row>
    <row r="1963">
      <c r="A1963" s="48">
        <f>IF(Offerte!$A65="","",Offerte!$A65)</f>
        <v/>
      </c>
      <c r="B1963" s="48">
        <f>IF(Offerte!$A65="","",Offerte!$B65)</f>
        <v/>
      </c>
      <c r="C1963" s="48">
        <f>IF(Offerte!$A65="","",Offerte!$C65)</f>
        <v/>
      </c>
      <c r="D1963" s="48" t="inlineStr">
        <is>
          <t>B.4.1</t>
        </is>
      </c>
      <c r="E1963" s="48" t="inlineStr">
        <is>
          <t>B</t>
        </is>
      </c>
      <c r="F1963" s="48" t="inlineStr">
        <is>
          <t>Q</t>
        </is>
      </c>
      <c r="G1963" s="48" t="inlineStr">
        <is>
          <t>higher</t>
        </is>
      </c>
      <c r="H1963" s="48" t="n">
        <v>3</v>
      </c>
      <c r="I1963" s="48" t="inlineStr">
        <is>
          <t>Percorrenze aggiuntive offerte nel Programma d'esercizio delle prime due fasi attuative</t>
        </is>
      </c>
      <c r="J1963" s="73" t="n"/>
      <c r="K1963" s="73" t="n"/>
      <c r="L1963" s="73" t="n"/>
      <c r="M1963" s="73" t="n"/>
      <c r="N1963" s="57">
        <f>IF($A1963="","",IFERROR(VALUE($J1963),0))</f>
        <v/>
      </c>
      <c r="O1963" s="57">
        <f>IF($A1963="",0,IF(OR($S1963&lt;&gt;1,COUNTA($J1963:$M1963)=0),0,IF(SUMPRODUCT(MAX(($C$5:$C$2484=$C1963)*($D$5:$D$2484=$D1963)*($S$5:$S$2484=1)*IFERROR($N$5:$N$2484*1,0)))&gt;0,ROUND($H1963*($N1963/SUMPRODUCT(MAX(($C$5:$C$2484=$C1963)*($D$5:$D$2484=$D1963)*($S$5:$S$2484=1)*IFERROR($N$5:$N$2484*1,0)))),4),0)))</f>
        <v/>
      </c>
      <c r="P1963" s="48" t="inlineStr">
        <is>
          <t>vett*km</t>
        </is>
      </c>
      <c r="Q1963" s="57">
        <f>IF($A1963="","",$A1963&amp;"|"&amp;$C1963)</f>
        <v/>
      </c>
      <c r="R1963" s="57">
        <f>IF($A1963="","",$A1963&amp;"|"&amp;$C1963&amp;"|"&amp;$D1963)</f>
        <v/>
      </c>
      <c r="S1963" s="57">
        <f>IF($A1963="","",IFERROR(INDEX(Offerte!$D$2:$D$81,MATCH($Q1963,Offerte!$L$2:$L$81,0)),0))</f>
        <v/>
      </c>
      <c r="T1963" s="57">
        <f>IF($A1963="","",IFERROR(INDEX(Offerte!$G$2:$G$81,MATCH($Q1963,Offerte!$L$2:$L$81,0)),"NO"))</f>
        <v/>
      </c>
    </row>
    <row r="1964">
      <c r="A1964" s="48">
        <f>IF(Offerte!$A65="","",Offerte!$A65)</f>
        <v/>
      </c>
      <c r="B1964" s="48">
        <f>IF(Offerte!$A65="","",Offerte!$B65)</f>
        <v/>
      </c>
      <c r="C1964" s="48">
        <f>IF(Offerte!$A65="","",Offerte!$C65)</f>
        <v/>
      </c>
      <c r="D1964" s="48" t="inlineStr">
        <is>
          <t>B.5.1</t>
        </is>
      </c>
      <c r="E1964" s="48" t="inlineStr">
        <is>
          <t>B</t>
        </is>
      </c>
      <c r="F1964" s="48" t="inlineStr">
        <is>
          <t>D</t>
        </is>
      </c>
      <c r="G1964" s="48" t="inlineStr">
        <is>
          <t>discretionary</t>
        </is>
      </c>
      <c r="H1964" s="48" t="n">
        <v>2</v>
      </c>
      <c r="I1964" s="48" t="inlineStr">
        <is>
          <t>Efficacia del progetto di servizi complementari DRT</t>
        </is>
      </c>
      <c r="J1964" s="73" t="n"/>
      <c r="K1964" s="73" t="n"/>
      <c r="L1964" s="73" t="n"/>
      <c r="M1964" s="73" t="n"/>
      <c r="N1964" s="57">
        <f>IF($A1964="","",MAX(0,MIN(1,IFERROR(VALUE($M1964),0))))</f>
        <v/>
      </c>
      <c r="O1964" s="57">
        <f>IF($A1964="",0,IF(OR($S1964&lt;&gt;1,COUNTA($J1964:$M1964)=0),0,IF(SUMPRODUCT(MAX(($C$5:$C$2484=$C1964)*($D$5:$D$2484=$D1964)*($S$5:$S$2484=1)*IFERROR($N$5:$N$2484*1,0)))&gt;0,ROUND($H1964*($N1964/SUMPRODUCT(MAX(($C$5:$C$2484=$C1964)*($D$5:$D$2484=$D1964)*($S$5:$S$2484=1)*IFERROR($N$5:$N$2484*1,0)))),4),0)))</f>
        <v/>
      </c>
      <c r="P1964" s="48" t="inlineStr">
        <is>
          <t>coeff.</t>
        </is>
      </c>
      <c r="Q1964" s="57">
        <f>IF($A1964="","",$A1964&amp;"|"&amp;$C1964)</f>
        <v/>
      </c>
      <c r="R1964" s="57">
        <f>IF($A1964="","",$A1964&amp;"|"&amp;$C1964&amp;"|"&amp;$D1964)</f>
        <v/>
      </c>
      <c r="S1964" s="57">
        <f>IF($A1964="","",IFERROR(INDEX(Offerte!$D$2:$D$81,MATCH($Q1964,Offerte!$L$2:$L$81,0)),0))</f>
        <v/>
      </c>
      <c r="T1964" s="57">
        <f>IF($A1964="","",IFERROR(INDEX(Offerte!$G$2:$G$81,MATCH($Q1964,Offerte!$L$2:$L$81,0)),"NO"))</f>
        <v/>
      </c>
    </row>
    <row r="1965">
      <c r="A1965" s="48">
        <f>IF(Offerte!$A65="","",Offerte!$A65)</f>
        <v/>
      </c>
      <c r="B1965" s="48">
        <f>IF(Offerte!$A65="","",Offerte!$B65)</f>
        <v/>
      </c>
      <c r="C1965" s="48">
        <f>IF(Offerte!$A65="","",Offerte!$C65)</f>
        <v/>
      </c>
      <c r="D1965" s="48" t="inlineStr">
        <is>
          <t>C.1.1</t>
        </is>
      </c>
      <c r="E1965" s="48" t="inlineStr">
        <is>
          <t>C</t>
        </is>
      </c>
      <c r="F1965" s="48" t="inlineStr">
        <is>
          <t>Q</t>
        </is>
      </c>
      <c r="G1965" s="48" t="inlineStr">
        <is>
          <t>higher</t>
        </is>
      </c>
      <c r="H1965" s="48" t="n">
        <v>2</v>
      </c>
      <c r="I1965" s="48" t="inlineStr">
        <is>
          <t>Tasso di copertura del servizio con telecamere BSD</t>
        </is>
      </c>
      <c r="J1965" s="73" t="n"/>
      <c r="K1965" s="73" t="n"/>
      <c r="L1965" s="73" t="n"/>
      <c r="M1965" s="73" t="n"/>
      <c r="N1965" s="57">
        <f>IF($A1965="","",IFERROR(VALUE($K1965)/VALUE($L1965),IFERROR(VALUE($J1965),0)))</f>
        <v/>
      </c>
      <c r="O1965" s="57">
        <f>IF($A1965="",0,IF(OR($S1965&lt;&gt;1,COUNTA($J1965:$M1965)=0),0,IF(SUMPRODUCT(MAX(($C$5:$C$2484=$C1965)*($D$5:$D$2484=$D1965)*($S$5:$S$2484=1)*IFERROR($N$5:$N$2484*1,0)))&gt;0,ROUND($H1965*($N1965/SUMPRODUCT(MAX(($C$5:$C$2484=$C1965)*($D$5:$D$2484=$D1965)*($S$5:$S$2484=1)*IFERROR($N$5:$N$2484*1,0)))),4),0)))</f>
        <v/>
      </c>
      <c r="P1965" s="48" t="inlineStr">
        <is>
          <t>Autobus attrezzati con telecamere BSD / Autobus totali in offerta, incluse scorte</t>
        </is>
      </c>
      <c r="Q1965" s="57">
        <f>IF($A1965="","",$A1965&amp;"|"&amp;$C1965)</f>
        <v/>
      </c>
      <c r="R1965" s="57">
        <f>IF($A1965="","",$A1965&amp;"|"&amp;$C1965&amp;"|"&amp;$D1965)</f>
        <v/>
      </c>
      <c r="S1965" s="57">
        <f>IF($A1965="","",IFERROR(INDEX(Offerte!$D$2:$D$81,MATCH($Q1965,Offerte!$L$2:$L$81,0)),0))</f>
        <v/>
      </c>
      <c r="T1965" s="57">
        <f>IF($A1965="","",IFERROR(INDEX(Offerte!$G$2:$G$81,MATCH($Q1965,Offerte!$L$2:$L$81,0)),"NO"))</f>
        <v/>
      </c>
    </row>
    <row r="1966">
      <c r="A1966" s="48">
        <f>IF(Offerte!$A65="","",Offerte!$A65)</f>
        <v/>
      </c>
      <c r="B1966" s="48">
        <f>IF(Offerte!$A65="","",Offerte!$B65)</f>
        <v/>
      </c>
      <c r="C1966" s="48">
        <f>IF(Offerte!$A65="","",Offerte!$C65)</f>
        <v/>
      </c>
      <c r="D1966" s="48" t="inlineStr">
        <is>
          <t>C.1.2</t>
        </is>
      </c>
      <c r="E1966" s="48" t="inlineStr">
        <is>
          <t>C</t>
        </is>
      </c>
      <c r="F1966" s="48" t="inlineStr">
        <is>
          <t>Q</t>
        </is>
      </c>
      <c r="G1966" s="48" t="inlineStr">
        <is>
          <t>higher</t>
        </is>
      </c>
      <c r="H1966" s="48" t="n">
        <v>2</v>
      </c>
      <c r="I1966" s="48" t="inlineStr">
        <is>
          <t>Tasso di copertura del servizio con telecamere ADAS</t>
        </is>
      </c>
      <c r="J1966" s="73" t="n"/>
      <c r="K1966" s="73" t="n"/>
      <c r="L1966" s="73" t="n"/>
      <c r="M1966" s="73" t="n"/>
      <c r="N1966" s="57">
        <f>IF($A1966="","",IFERROR(VALUE($K1966)/VALUE($L1966),IFERROR(VALUE($J1966),0)))</f>
        <v/>
      </c>
      <c r="O1966" s="57">
        <f>IF($A1966="",0,IF(OR($S1966&lt;&gt;1,COUNTA($J1966:$M1966)=0),0,IF(SUMPRODUCT(MAX(($C$5:$C$2484=$C1966)*($D$5:$D$2484=$D1966)*($S$5:$S$2484=1)*IFERROR($N$5:$N$2484*1,0)))&gt;0,ROUND($H1966*($N1966/SUMPRODUCT(MAX(($C$5:$C$2484=$C1966)*($D$5:$D$2484=$D1966)*($S$5:$S$2484=1)*IFERROR($N$5:$N$2484*1,0)))),4),0)))</f>
        <v/>
      </c>
      <c r="P1966" s="48" t="inlineStr">
        <is>
          <t>Autobus attrezzati con telecamere ADAS / Autobus totali in offerta, incluse scorte</t>
        </is>
      </c>
      <c r="Q1966" s="57">
        <f>IF($A1966="","",$A1966&amp;"|"&amp;$C1966)</f>
        <v/>
      </c>
      <c r="R1966" s="57">
        <f>IF($A1966="","",$A1966&amp;"|"&amp;$C1966&amp;"|"&amp;$D1966)</f>
        <v/>
      </c>
      <c r="S1966" s="57">
        <f>IF($A1966="","",IFERROR(INDEX(Offerte!$D$2:$D$81,MATCH($Q1966,Offerte!$L$2:$L$81,0)),0))</f>
        <v/>
      </c>
      <c r="T1966" s="57">
        <f>IF($A1966="","",IFERROR(INDEX(Offerte!$G$2:$G$81,MATCH($Q1966,Offerte!$L$2:$L$81,0)),"NO"))</f>
        <v/>
      </c>
    </row>
    <row r="1967">
      <c r="A1967" s="48">
        <f>IF(Offerte!$A65="","",Offerte!$A65)</f>
        <v/>
      </c>
      <c r="B1967" s="48">
        <f>IF(Offerte!$A65="","",Offerte!$B65)</f>
        <v/>
      </c>
      <c r="C1967" s="48">
        <f>IF(Offerte!$A65="","",Offerte!$C65)</f>
        <v/>
      </c>
      <c r="D1967" s="48" t="inlineStr">
        <is>
          <t>C.2.1</t>
        </is>
      </c>
      <c r="E1967" s="48" t="inlineStr">
        <is>
          <t>C</t>
        </is>
      </c>
      <c r="F1967" s="48" t="inlineStr">
        <is>
          <t>Q</t>
        </is>
      </c>
      <c r="G1967" s="48" t="inlineStr">
        <is>
          <t>higher</t>
        </is>
      </c>
      <c r="H1967" s="48" t="n">
        <v>3</v>
      </c>
      <c r="I1967" s="48" t="inlineStr">
        <is>
          <t>Tasso di copertura del servizio con telecamere di bordo di videosorveglianza</t>
        </is>
      </c>
      <c r="J1967" s="73" t="n"/>
      <c r="K1967" s="73" t="n"/>
      <c r="L1967" s="73" t="n"/>
      <c r="M1967" s="73" t="n"/>
      <c r="N1967" s="57">
        <f>IF($A1967="","",IFERROR(VALUE($K1967)/VALUE($L1967),IFERROR(VALUE($J1967),0)))</f>
        <v/>
      </c>
      <c r="O1967" s="57">
        <f>IF($A1967="",0,IF(OR($S1967&lt;&gt;1,COUNTA($J1967:$M1967)=0),0,IF(SUMPRODUCT(MAX(($C$5:$C$2484=$C1967)*($D$5:$D$2484=$D1967)*($S$5:$S$2484=1)*IFERROR($N$5:$N$2484*1,0)))&gt;0,ROUND($H1967*($N1967/SUMPRODUCT(MAX(($C$5:$C$2484=$C1967)*($D$5:$D$2484=$D1967)*($S$5:$S$2484=1)*IFERROR($N$5:$N$2484*1,0)))),4),0)))</f>
        <v/>
      </c>
      <c r="P1967" s="48" t="inlineStr">
        <is>
          <t>Autobus attrezzati con videosorveglianza / Autobus totali in offerta, incluse scorte</t>
        </is>
      </c>
      <c r="Q1967" s="57">
        <f>IF($A1967="","",$A1967&amp;"|"&amp;$C1967)</f>
        <v/>
      </c>
      <c r="R1967" s="57">
        <f>IF($A1967="","",$A1967&amp;"|"&amp;$C1967&amp;"|"&amp;$D1967)</f>
        <v/>
      </c>
      <c r="S1967" s="57">
        <f>IF($A1967="","",IFERROR(INDEX(Offerte!$D$2:$D$81,MATCH($Q1967,Offerte!$L$2:$L$81,0)),0))</f>
        <v/>
      </c>
      <c r="T1967" s="57">
        <f>IF($A1967="","",IFERROR(INDEX(Offerte!$G$2:$G$81,MATCH($Q1967,Offerte!$L$2:$L$81,0)),"NO"))</f>
        <v/>
      </c>
    </row>
    <row r="1968">
      <c r="A1968" s="48">
        <f>IF(Offerte!$A65="","",Offerte!$A65)</f>
        <v/>
      </c>
      <c r="B1968" s="48">
        <f>IF(Offerte!$A65="","",Offerte!$B65)</f>
        <v/>
      </c>
      <c r="C1968" s="48">
        <f>IF(Offerte!$A65="","",Offerte!$C65)</f>
        <v/>
      </c>
      <c r="D1968" s="48" t="inlineStr">
        <is>
          <t>C.2.2</t>
        </is>
      </c>
      <c r="E1968" s="48" t="inlineStr">
        <is>
          <t>C</t>
        </is>
      </c>
      <c r="F1968" s="48" t="inlineStr">
        <is>
          <t>T</t>
        </is>
      </c>
      <c r="G1968" s="48" t="inlineStr">
        <is>
          <t>tabular</t>
        </is>
      </c>
      <c r="H1968" s="48" t="n">
        <v>1</v>
      </c>
      <c r="I1968" s="48" t="inlineStr">
        <is>
          <t>Software video/audio analisi per situazioni di pericolo</t>
        </is>
      </c>
      <c r="J1968" s="73" t="n"/>
      <c r="K1968" s="73" t="n"/>
      <c r="L1968" s="73" t="n"/>
      <c r="M1968" s="73" t="n"/>
      <c r="N1968" s="57">
        <f>IF($A1968="","",IF(IFERROR(VALUE($M1968),0)=1,1,0))</f>
        <v/>
      </c>
      <c r="O1968" s="57">
        <f>IF($A1968="",0,IF(OR($S1968&lt;&gt;1,COUNTA($J1968:$M1968)=0),0,IF($N1968=1,$H1968,0)))</f>
        <v/>
      </c>
      <c r="P1968" s="48" t="inlineStr">
        <is>
          <t>sì/no</t>
        </is>
      </c>
      <c r="Q1968" s="57">
        <f>IF($A1968="","",$A1968&amp;"|"&amp;$C1968)</f>
        <v/>
      </c>
      <c r="R1968" s="57">
        <f>IF($A1968="","",$A1968&amp;"|"&amp;$C1968&amp;"|"&amp;$D1968)</f>
        <v/>
      </c>
      <c r="S1968" s="57">
        <f>IF($A1968="","",IFERROR(INDEX(Offerte!$D$2:$D$81,MATCH($Q1968,Offerte!$L$2:$L$81,0)),0))</f>
        <v/>
      </c>
      <c r="T1968" s="57">
        <f>IF($A1968="","",IFERROR(INDEX(Offerte!$G$2:$G$81,MATCH($Q1968,Offerte!$L$2:$L$81,0)),"NO"))</f>
        <v/>
      </c>
    </row>
    <row r="1969">
      <c r="A1969" s="48">
        <f>IF(Offerte!$A65="","",Offerte!$A65)</f>
        <v/>
      </c>
      <c r="B1969" s="48">
        <f>IF(Offerte!$A65="","",Offerte!$B65)</f>
        <v/>
      </c>
      <c r="C1969" s="48">
        <f>IF(Offerte!$A65="","",Offerte!$C65)</f>
        <v/>
      </c>
      <c r="D1969" s="48" t="inlineStr">
        <is>
          <t>C.2.3</t>
        </is>
      </c>
      <c r="E1969" s="48" t="inlineStr">
        <is>
          <t>C</t>
        </is>
      </c>
      <c r="F1969" s="48" t="inlineStr">
        <is>
          <t>T</t>
        </is>
      </c>
      <c r="G1969" s="48" t="inlineStr">
        <is>
          <t>tabular</t>
        </is>
      </c>
      <c r="H1969" s="48" t="n">
        <v>1</v>
      </c>
      <c r="I1969" s="48" t="inlineStr">
        <is>
          <t>Collegamento con centrale qualificata di pronto intervento</t>
        </is>
      </c>
      <c r="J1969" s="73" t="n"/>
      <c r="K1969" s="73" t="n"/>
      <c r="L1969" s="73" t="n"/>
      <c r="M1969" s="73" t="n"/>
      <c r="N1969" s="57">
        <f>IF($A1969="","",IF(IFERROR(VALUE($M1969),0)=1,1,0))</f>
        <v/>
      </c>
      <c r="O1969" s="57">
        <f>IF($A1969="",0,IF(OR($S1969&lt;&gt;1,COUNTA($J1969:$M1969)=0),0,IF($N1969=1,$H1969,0)))</f>
        <v/>
      </c>
      <c r="P1969" s="48" t="inlineStr">
        <is>
          <t>sì/no</t>
        </is>
      </c>
      <c r="Q1969" s="57">
        <f>IF($A1969="","",$A1969&amp;"|"&amp;$C1969)</f>
        <v/>
      </c>
      <c r="R1969" s="57">
        <f>IF($A1969="","",$A1969&amp;"|"&amp;$C1969&amp;"|"&amp;$D1969)</f>
        <v/>
      </c>
      <c r="S1969" s="57">
        <f>IF($A1969="","",IFERROR(INDEX(Offerte!$D$2:$D$81,MATCH($Q1969,Offerte!$L$2:$L$81,0)),0))</f>
        <v/>
      </c>
      <c r="T1969" s="57">
        <f>IF($A1969="","",IFERROR(INDEX(Offerte!$G$2:$G$81,MATCH($Q1969,Offerte!$L$2:$L$81,0)),"NO"))</f>
        <v/>
      </c>
    </row>
    <row r="1970">
      <c r="A1970" s="48">
        <f>IF(Offerte!$A65="","",Offerte!$A65)</f>
        <v/>
      </c>
      <c r="B1970" s="48">
        <f>IF(Offerte!$A65="","",Offerte!$B65)</f>
        <v/>
      </c>
      <c r="C1970" s="48">
        <f>IF(Offerte!$A65="","",Offerte!$C65)</f>
        <v/>
      </c>
      <c r="D1970" s="48" t="inlineStr">
        <is>
          <t>C.2.4</t>
        </is>
      </c>
      <c r="E1970" s="48" t="inlineStr">
        <is>
          <t>C</t>
        </is>
      </c>
      <c r="F1970" s="48" t="inlineStr">
        <is>
          <t>Q</t>
        </is>
      </c>
      <c r="G1970" s="48" t="inlineStr">
        <is>
          <t>higher</t>
        </is>
      </c>
      <c r="H1970" s="48" t="n">
        <v>1</v>
      </c>
      <c r="I1970" s="48" t="inlineStr">
        <is>
          <t>Tasso di copertura del servizio con dispositivi per la chiamata di emergenza del conducente</t>
        </is>
      </c>
      <c r="J1970" s="73" t="n"/>
      <c r="K1970" s="73" t="n"/>
      <c r="L1970" s="73" t="n"/>
      <c r="M1970" s="73" t="n"/>
      <c r="N1970" s="57">
        <f>IF($A1970="","",IFERROR(VALUE($K1970)/VALUE($L1970),IFERROR(VALUE($J1970),0)))</f>
        <v/>
      </c>
      <c r="O1970" s="57">
        <f>IF($A1970="",0,IF(OR($S1970&lt;&gt;1,COUNTA($J1970:$M1970)=0),0,IF(SUMPRODUCT(MAX(($C$5:$C$2484=$C1970)*($D$5:$D$2484=$D1970)*($S$5:$S$2484=1)*IFERROR($N$5:$N$2484*1,0)))&gt;0,ROUND($H1970*($N1970/SUMPRODUCT(MAX(($C$5:$C$2484=$C1970)*($D$5:$D$2484=$D1970)*($S$5:$S$2484=1)*IFERROR($N$5:$N$2484*1,0)))),4),0)))</f>
        <v/>
      </c>
      <c r="P1970" s="48" t="inlineStr">
        <is>
          <t>Autobus attrezzati con chiamata di emergenza / Autobus totali in offerta, incluse scorte</t>
        </is>
      </c>
      <c r="Q1970" s="57">
        <f>IF($A1970="","",$A1970&amp;"|"&amp;$C1970)</f>
        <v/>
      </c>
      <c r="R1970" s="57">
        <f>IF($A1970="","",$A1970&amp;"|"&amp;$C1970&amp;"|"&amp;$D1970)</f>
        <v/>
      </c>
      <c r="S1970" s="57">
        <f>IF($A1970="","",IFERROR(INDEX(Offerte!$D$2:$D$81,MATCH($Q1970,Offerte!$L$2:$L$81,0)),0))</f>
        <v/>
      </c>
      <c r="T1970" s="57">
        <f>IF($A1970="","",IFERROR(INDEX(Offerte!$G$2:$G$81,MATCH($Q1970,Offerte!$L$2:$L$81,0)),"NO"))</f>
        <v/>
      </c>
    </row>
    <row r="1971">
      <c r="A1971" s="48">
        <f>IF(Offerte!$A65="","",Offerte!$A65)</f>
        <v/>
      </c>
      <c r="B1971" s="48">
        <f>IF(Offerte!$A65="","",Offerte!$B65)</f>
        <v/>
      </c>
      <c r="C1971" s="48">
        <f>IF(Offerte!$A65="","",Offerte!$C65)</f>
        <v/>
      </c>
      <c r="D1971" s="48" t="inlineStr">
        <is>
          <t>C.3.1</t>
        </is>
      </c>
      <c r="E1971" s="48" t="inlineStr">
        <is>
          <t>C</t>
        </is>
      </c>
      <c r="F1971" s="48" t="inlineStr">
        <is>
          <t>Q</t>
        </is>
      </c>
      <c r="G1971" s="48" t="inlineStr">
        <is>
          <t>higher</t>
        </is>
      </c>
      <c r="H1971" s="48" t="n">
        <v>2</v>
      </c>
      <c r="I1971" s="48" t="inlineStr">
        <is>
          <t>Tasso di copertura del servizio con dispositivi di informazione dinamica a bordo mezzo</t>
        </is>
      </c>
      <c r="J1971" s="73" t="n"/>
      <c r="K1971" s="73" t="n"/>
      <c r="L1971" s="73" t="n"/>
      <c r="M1971" s="73" t="n"/>
      <c r="N1971" s="57">
        <f>IF($A1971="","",IFERROR(VALUE($K1971)/VALUE($L1971),IFERROR(VALUE($J1971),0)))</f>
        <v/>
      </c>
      <c r="O1971" s="57">
        <f>IF($A1971="",0,IF(OR($S1971&lt;&gt;1,COUNTA($J1971:$M1971)=0),0,IF(SUMPRODUCT(MAX(($C$5:$C$2484=$C1971)*($D$5:$D$2484=$D1971)*($S$5:$S$2484=1)*IFERROR($N$5:$N$2484*1,0)))&gt;0,ROUND($H1971*($N1971/SUMPRODUCT(MAX(($C$5:$C$2484=$C1971)*($D$5:$D$2484=$D1971)*($S$5:$S$2484=1)*IFERROR($N$5:$N$2484*1,0)))),4),0)))</f>
        <v/>
      </c>
      <c r="P1971" s="48" t="inlineStr">
        <is>
          <t>Autobus con monitor e indicatori vocali / Autobus totali in offerta, incluse scorte</t>
        </is>
      </c>
      <c r="Q1971" s="57">
        <f>IF($A1971="","",$A1971&amp;"|"&amp;$C1971)</f>
        <v/>
      </c>
      <c r="R1971" s="57">
        <f>IF($A1971="","",$A1971&amp;"|"&amp;$C1971&amp;"|"&amp;$D1971)</f>
        <v/>
      </c>
      <c r="S1971" s="57">
        <f>IF($A1971="","",IFERROR(INDEX(Offerte!$D$2:$D$81,MATCH($Q1971,Offerte!$L$2:$L$81,0)),0))</f>
        <v/>
      </c>
      <c r="T1971" s="57">
        <f>IF($A1971="","",IFERROR(INDEX(Offerte!$G$2:$G$81,MATCH($Q1971,Offerte!$L$2:$L$81,0)),"NO"))</f>
        <v/>
      </c>
    </row>
    <row r="1972">
      <c r="A1972" s="48">
        <f>IF(Offerte!$A65="","",Offerte!$A65)</f>
        <v/>
      </c>
      <c r="B1972" s="48">
        <f>IF(Offerte!$A65="","",Offerte!$B65)</f>
        <v/>
      </c>
      <c r="C1972" s="48">
        <f>IF(Offerte!$A65="","",Offerte!$C65)</f>
        <v/>
      </c>
      <c r="D1972" s="48" t="inlineStr">
        <is>
          <t>C.3.2</t>
        </is>
      </c>
      <c r="E1972" s="48" t="inlineStr">
        <is>
          <t>C</t>
        </is>
      </c>
      <c r="F1972" s="48" t="inlineStr">
        <is>
          <t>T</t>
        </is>
      </c>
      <c r="G1972" s="48" t="inlineStr">
        <is>
          <t>tabular</t>
        </is>
      </c>
      <c r="H1972" s="48" t="n">
        <v>2</v>
      </c>
      <c r="I1972" s="48" t="inlineStr">
        <is>
          <t>Informazioni a bordo su coincidenze ai nodi</t>
        </is>
      </c>
      <c r="J1972" s="73" t="n"/>
      <c r="K1972" s="73" t="n"/>
      <c r="L1972" s="73" t="n"/>
      <c r="M1972" s="73" t="n"/>
      <c r="N1972" s="57">
        <f>IF($A1972="","",IF(IFERROR(VALUE($M1972),0)=1,1,0))</f>
        <v/>
      </c>
      <c r="O1972" s="57">
        <f>IF($A1972="",0,IF(OR($S1972&lt;&gt;1,COUNTA($J1972:$M1972)=0),0,IF(AND($N1972=1,IFERROR(SUMIFS($N$5:$N$2484,$Q$5:$Q$2484,$Q1972,$D$5:$D$2484,"C.3.1"),0)&gt;=0.5),$H1972,0)))</f>
        <v/>
      </c>
      <c r="P1972" s="48" t="inlineStr">
        <is>
          <t>Dipende da C.3.1 &gt;= 0.5</t>
        </is>
      </c>
      <c r="Q1972" s="57">
        <f>IF($A1972="","",$A1972&amp;"|"&amp;$C1972)</f>
        <v/>
      </c>
      <c r="R1972" s="57">
        <f>IF($A1972="","",$A1972&amp;"|"&amp;$C1972&amp;"|"&amp;$D1972)</f>
        <v/>
      </c>
      <c r="S1972" s="57">
        <f>IF($A1972="","",IFERROR(INDEX(Offerte!$D$2:$D$81,MATCH($Q1972,Offerte!$L$2:$L$81,0)),0))</f>
        <v/>
      </c>
      <c r="T1972" s="57">
        <f>IF($A1972="","",IFERROR(INDEX(Offerte!$G$2:$G$81,MATCH($Q1972,Offerte!$L$2:$L$81,0)),"NO"))</f>
        <v/>
      </c>
    </row>
    <row r="1973">
      <c r="A1973" s="48">
        <f>IF(Offerte!$A65="","",Offerte!$A65)</f>
        <v/>
      </c>
      <c r="B1973" s="48">
        <f>IF(Offerte!$A65="","",Offerte!$B65)</f>
        <v/>
      </c>
      <c r="C1973" s="48">
        <f>IF(Offerte!$A65="","",Offerte!$C65)</f>
        <v/>
      </c>
      <c r="D1973" s="48" t="inlineStr">
        <is>
          <t>D.1.1</t>
        </is>
      </c>
      <c r="E1973" s="48" t="inlineStr">
        <is>
          <t>D</t>
        </is>
      </c>
      <c r="F1973" s="48" t="inlineStr">
        <is>
          <t>Q</t>
        </is>
      </c>
      <c r="G1973" s="48" t="inlineStr">
        <is>
          <t>higher</t>
        </is>
      </c>
      <c r="H1973" s="48" t="n">
        <v>3</v>
      </c>
      <c r="I1973" s="48" t="inlineStr">
        <is>
          <t>Installazione di pensiline</t>
        </is>
      </c>
      <c r="J1973" s="73" t="n"/>
      <c r="K1973" s="73" t="n"/>
      <c r="L1973" s="73" t="n"/>
      <c r="M1973" s="73" t="n"/>
      <c r="N1973" s="57">
        <f>IF($A1973="","",IFERROR(VALUE($J1973),0))</f>
        <v/>
      </c>
      <c r="O1973" s="57">
        <f>IF($A1973="",0,IF(OR($S1973&lt;&gt;1,COUNTA($J1973:$M1973)=0),0,IF(SUMPRODUCT(MAX(($C$5:$C$2484=$C1973)*($D$5:$D$2484=$D1973)*($S$5:$S$2484=1)*IFERROR($N$5:$N$2484*1,0)))&gt;0,ROUND($H1973*($N1973/SUMPRODUCT(MAX(($C$5:$C$2484=$C1973)*($D$5:$D$2484=$D1973)*($S$5:$S$2484=1)*IFERROR($N$5:$N$2484*1,0)))),4),0)))</f>
        <v/>
      </c>
      <c r="P1973" s="48" t="inlineStr">
        <is>
          <t>fermate</t>
        </is>
      </c>
      <c r="Q1973" s="57">
        <f>IF($A1973="","",$A1973&amp;"|"&amp;$C1973)</f>
        <v/>
      </c>
      <c r="R1973" s="57">
        <f>IF($A1973="","",$A1973&amp;"|"&amp;$C1973&amp;"|"&amp;$D1973)</f>
        <v/>
      </c>
      <c r="S1973" s="57">
        <f>IF($A1973="","",IFERROR(INDEX(Offerte!$D$2:$D$81,MATCH($Q1973,Offerte!$L$2:$L$81,0)),0))</f>
        <v/>
      </c>
      <c r="T1973" s="57">
        <f>IF($A1973="","",IFERROR(INDEX(Offerte!$G$2:$G$81,MATCH($Q1973,Offerte!$L$2:$L$81,0)),"NO"))</f>
        <v/>
      </c>
    </row>
    <row r="1974">
      <c r="A1974" s="48">
        <f>IF(Offerte!$A65="","",Offerte!$A65)</f>
        <v/>
      </c>
      <c r="B1974" s="48">
        <f>IF(Offerte!$A65="","",Offerte!$B65)</f>
        <v/>
      </c>
      <c r="C1974" s="48">
        <f>IF(Offerte!$A65="","",Offerte!$C65)</f>
        <v/>
      </c>
      <c r="D1974" s="48" t="inlineStr">
        <is>
          <t>D.1.2</t>
        </is>
      </c>
      <c r="E1974" s="48" t="inlineStr">
        <is>
          <t>D</t>
        </is>
      </c>
      <c r="F1974" s="48" t="inlineStr">
        <is>
          <t>Q</t>
        </is>
      </c>
      <c r="G1974" s="48" t="inlineStr">
        <is>
          <t>higher</t>
        </is>
      </c>
      <c r="H1974" s="48" t="n">
        <v>3</v>
      </c>
      <c r="I1974" s="48" t="inlineStr">
        <is>
          <t>Installazione di paline di fermata conformi alla DGR 581/2023</t>
        </is>
      </c>
      <c r="J1974" s="73" t="n"/>
      <c r="K1974" s="73" t="n"/>
      <c r="L1974" s="73" t="n"/>
      <c r="M1974" s="73" t="n"/>
      <c r="N1974" s="57">
        <f>IF($A1974="","",IFERROR(VALUE($J1974),0))</f>
        <v/>
      </c>
      <c r="O1974" s="57">
        <f>IF($A1974="",0,IF(OR($S1974&lt;&gt;1,COUNTA($J1974:$M1974)=0),0,IF(SUMPRODUCT(MAX(($C$5:$C$2484=$C1974)*($D$5:$D$2484=$D1974)*($S$5:$S$2484=1)*IFERROR($N$5:$N$2484*1,0)))&gt;0,ROUND($H1974*($N1974/SUMPRODUCT(MAX(($C$5:$C$2484=$C1974)*($D$5:$D$2484=$D1974)*($S$5:$S$2484=1)*IFERROR($N$5:$N$2484*1,0)))),4),0)))</f>
        <v/>
      </c>
      <c r="P1974" s="48" t="inlineStr">
        <is>
          <t>fermate</t>
        </is>
      </c>
      <c r="Q1974" s="57">
        <f>IF($A1974="","",$A1974&amp;"|"&amp;$C1974)</f>
        <v/>
      </c>
      <c r="R1974" s="57">
        <f>IF($A1974="","",$A1974&amp;"|"&amp;$C1974&amp;"|"&amp;$D1974)</f>
        <v/>
      </c>
      <c r="S1974" s="57">
        <f>IF($A1974="","",IFERROR(INDEX(Offerte!$D$2:$D$81,MATCH($Q1974,Offerte!$L$2:$L$81,0)),0))</f>
        <v/>
      </c>
      <c r="T1974" s="57">
        <f>IF($A1974="","",IFERROR(INDEX(Offerte!$G$2:$G$81,MATCH($Q1974,Offerte!$L$2:$L$81,0)),"NO"))</f>
        <v/>
      </c>
    </row>
    <row r="1975">
      <c r="A1975" s="48">
        <f>IF(Offerte!$A65="","",Offerte!$A65)</f>
        <v/>
      </c>
      <c r="B1975" s="48">
        <f>IF(Offerte!$A65="","",Offerte!$B65)</f>
        <v/>
      </c>
      <c r="C1975" s="48">
        <f>IF(Offerte!$A65="","",Offerte!$C65)</f>
        <v/>
      </c>
      <c r="D1975" s="48" t="inlineStr">
        <is>
          <t>D.1.3</t>
        </is>
      </c>
      <c r="E1975" s="48" t="inlineStr">
        <is>
          <t>D</t>
        </is>
      </c>
      <c r="F1975" s="48" t="inlineStr">
        <is>
          <t>Q</t>
        </is>
      </c>
      <c r="G1975" s="48" t="inlineStr">
        <is>
          <t>higher</t>
        </is>
      </c>
      <c r="H1975" s="48" t="n">
        <v>2</v>
      </c>
      <c r="I1975" s="48" t="inlineStr">
        <is>
          <t>Display informativi connessi alle fermate</t>
        </is>
      </c>
      <c r="J1975" s="73" t="n"/>
      <c r="K1975" s="73" t="n"/>
      <c r="L1975" s="73" t="n"/>
      <c r="M1975" s="73" t="n"/>
      <c r="N1975" s="57">
        <f>IF($A1975="","",IFERROR(VALUE($J1975),0))</f>
        <v/>
      </c>
      <c r="O1975" s="57">
        <f>IF($A1975="",0,IF(OR($S1975&lt;&gt;1,COUNTA($J1975:$M1975)=0),0,IF(SUMPRODUCT(MAX(($C$5:$C$2484=$C1975)*($D$5:$D$2484=$D1975)*($S$5:$S$2484=1)*IFERROR($N$5:$N$2484*1,0)))&gt;0,ROUND($H1975*($N1975/SUMPRODUCT(MAX(($C$5:$C$2484=$C1975)*($D$5:$D$2484=$D1975)*($S$5:$S$2484=1)*IFERROR($N$5:$N$2484*1,0)))),4),0)))</f>
        <v/>
      </c>
      <c r="P1975" s="48" t="inlineStr">
        <is>
          <t>fermate</t>
        </is>
      </c>
      <c r="Q1975" s="57">
        <f>IF($A1975="","",$A1975&amp;"|"&amp;$C1975)</f>
        <v/>
      </c>
      <c r="R1975" s="57">
        <f>IF($A1975="","",$A1975&amp;"|"&amp;$C1975&amp;"|"&amp;$D1975)</f>
        <v/>
      </c>
      <c r="S1975" s="57">
        <f>IF($A1975="","",IFERROR(INDEX(Offerte!$D$2:$D$81,MATCH($Q1975,Offerte!$L$2:$L$81,0)),0))</f>
        <v/>
      </c>
      <c r="T1975" s="57">
        <f>IF($A1975="","",IFERROR(INDEX(Offerte!$G$2:$G$81,MATCH($Q1975,Offerte!$L$2:$L$81,0)),"NO"))</f>
        <v/>
      </c>
    </row>
    <row r="1976">
      <c r="A1976" s="48">
        <f>IF(Offerte!$A65="","",Offerte!$A65)</f>
        <v/>
      </c>
      <c r="B1976" s="48">
        <f>IF(Offerte!$A65="","",Offerte!$B65)</f>
        <v/>
      </c>
      <c r="C1976" s="48">
        <f>IF(Offerte!$A65="","",Offerte!$C65)</f>
        <v/>
      </c>
      <c r="D1976" s="48" t="inlineStr">
        <is>
          <t>D.2.1</t>
        </is>
      </c>
      <c r="E1976" s="48" t="inlineStr">
        <is>
          <t>D</t>
        </is>
      </c>
      <c r="F1976" s="48" t="inlineStr">
        <is>
          <t>Q</t>
        </is>
      </c>
      <c r="G1976" s="48" t="inlineStr">
        <is>
          <t>higher</t>
        </is>
      </c>
      <c r="H1976" s="48" t="n">
        <v>2</v>
      </c>
      <c r="I1976" s="48" t="inlineStr">
        <is>
          <t>Segnali tattili Loges-Vet-Evolution</t>
        </is>
      </c>
      <c r="J1976" s="73" t="n"/>
      <c r="K1976" s="73" t="n"/>
      <c r="L1976" s="73" t="n"/>
      <c r="M1976" s="73" t="n"/>
      <c r="N1976" s="57">
        <f>IF($A1976="","",IFERROR(VALUE($J1976),0))</f>
        <v/>
      </c>
      <c r="O1976" s="57">
        <f>IF($A1976="",0,IF(OR($S1976&lt;&gt;1,COUNTA($J1976:$M1976)=0),0,IF(SUMPRODUCT(MAX(($C$5:$C$2484=$C1976)*($D$5:$D$2484=$D1976)*($S$5:$S$2484=1)*IFERROR($N$5:$N$2484*1,0)))&gt;0,ROUND($H1976*($N1976/SUMPRODUCT(MAX(($C$5:$C$2484=$C1976)*($D$5:$D$2484=$D1976)*($S$5:$S$2484=1)*IFERROR($N$5:$N$2484*1,0)))),4),0)))</f>
        <v/>
      </c>
      <c r="P1976" s="48" t="inlineStr">
        <is>
          <t>fermate</t>
        </is>
      </c>
      <c r="Q1976" s="57">
        <f>IF($A1976="","",$A1976&amp;"|"&amp;$C1976)</f>
        <v/>
      </c>
      <c r="R1976" s="57">
        <f>IF($A1976="","",$A1976&amp;"|"&amp;$C1976&amp;"|"&amp;$D1976)</f>
        <v/>
      </c>
      <c r="S1976" s="57">
        <f>IF($A1976="","",IFERROR(INDEX(Offerte!$D$2:$D$81,MATCH($Q1976,Offerte!$L$2:$L$81,0)),0))</f>
        <v/>
      </c>
      <c r="T1976" s="57">
        <f>IF($A1976="","",IFERROR(INDEX(Offerte!$G$2:$G$81,MATCH($Q1976,Offerte!$L$2:$L$81,0)),"NO"))</f>
        <v/>
      </c>
    </row>
    <row r="1977">
      <c r="A1977" s="48">
        <f>IF(Offerte!$A65="","",Offerte!$A65)</f>
        <v/>
      </c>
      <c r="B1977" s="48">
        <f>IF(Offerte!$A65="","",Offerte!$B65)</f>
        <v/>
      </c>
      <c r="C1977" s="48">
        <f>IF(Offerte!$A65="","",Offerte!$C65)</f>
        <v/>
      </c>
      <c r="D1977" s="48" t="inlineStr">
        <is>
          <t>E.1.1</t>
        </is>
      </c>
      <c r="E1977" s="48" t="inlineStr">
        <is>
          <t>E</t>
        </is>
      </c>
      <c r="F1977" s="48" t="inlineStr">
        <is>
          <t>T</t>
        </is>
      </c>
      <c r="G1977" s="48" t="inlineStr">
        <is>
          <t>tabular</t>
        </is>
      </c>
      <c r="H1977" s="48" t="n">
        <v>2</v>
      </c>
      <c r="I1977" s="48" t="inlineStr">
        <is>
          <t>Mobile app con travel planner PRM</t>
        </is>
      </c>
      <c r="J1977" s="73" t="n"/>
      <c r="K1977" s="73" t="n"/>
      <c r="L1977" s="73" t="n"/>
      <c r="M1977" s="73" t="n"/>
      <c r="N1977" s="57">
        <f>IF($A1977="","",IF(IFERROR(VALUE($M1977),0)=1,1,0))</f>
        <v/>
      </c>
      <c r="O1977" s="57">
        <f>IF($A1977="",0,IF(OR($S1977&lt;&gt;1,COUNTA($J1977:$M1977)=0),0,IF($N1977=1,$H1977,0)))</f>
        <v/>
      </c>
      <c r="P1977" s="48" t="inlineStr">
        <is>
          <t>sì/no</t>
        </is>
      </c>
      <c r="Q1977" s="57">
        <f>IF($A1977="","",$A1977&amp;"|"&amp;$C1977)</f>
        <v/>
      </c>
      <c r="R1977" s="57">
        <f>IF($A1977="","",$A1977&amp;"|"&amp;$C1977&amp;"|"&amp;$D1977)</f>
        <v/>
      </c>
      <c r="S1977" s="57">
        <f>IF($A1977="","",IFERROR(INDEX(Offerte!$D$2:$D$81,MATCH($Q1977,Offerte!$L$2:$L$81,0)),0))</f>
        <v/>
      </c>
      <c r="T1977" s="57">
        <f>IF($A1977="","",IFERROR(INDEX(Offerte!$G$2:$G$81,MATCH($Q1977,Offerte!$L$2:$L$81,0)),"NO"))</f>
        <v/>
      </c>
    </row>
    <row r="1978">
      <c r="A1978" s="48">
        <f>IF(Offerte!$A65="","",Offerte!$A65)</f>
        <v/>
      </c>
      <c r="B1978" s="48">
        <f>IF(Offerte!$A65="","",Offerte!$B65)</f>
        <v/>
      </c>
      <c r="C1978" s="48">
        <f>IF(Offerte!$A65="","",Offerte!$C65)</f>
        <v/>
      </c>
      <c r="D1978" s="48" t="inlineStr">
        <is>
          <t>E.2.1</t>
        </is>
      </c>
      <c r="E1978" s="48" t="inlineStr">
        <is>
          <t>E</t>
        </is>
      </c>
      <c r="F1978" s="48" t="inlineStr">
        <is>
          <t>D</t>
        </is>
      </c>
      <c r="G1978" s="48" t="inlineStr">
        <is>
          <t>discretionary</t>
        </is>
      </c>
      <c r="H1978" s="48" t="n">
        <v>2</v>
      </c>
      <c r="I1978" s="48" t="inlineStr">
        <is>
          <t>Altre azioni informative e rapporti con gli utenti</t>
        </is>
      </c>
      <c r="J1978" s="73" t="n"/>
      <c r="K1978" s="73" t="n"/>
      <c r="L1978" s="73" t="n"/>
      <c r="M1978" s="73" t="n"/>
      <c r="N1978" s="57">
        <f>IF($A1978="","",MAX(0,MIN(1,IFERROR(VALUE($M1978),0))))</f>
        <v/>
      </c>
      <c r="O1978" s="57">
        <f>IF($A1978="",0,IF(OR($S1978&lt;&gt;1,COUNTA($J1978:$M1978)=0),0,IF(SUMPRODUCT(MAX(($C$5:$C$2484=$C1978)*($D$5:$D$2484=$D1978)*($S$5:$S$2484=1)*IFERROR($N$5:$N$2484*1,0)))&gt;0,ROUND($H1978*($N1978/SUMPRODUCT(MAX(($C$5:$C$2484=$C1978)*($D$5:$D$2484=$D1978)*($S$5:$S$2484=1)*IFERROR($N$5:$N$2484*1,0)))),4),0)))</f>
        <v/>
      </c>
      <c r="P1978" s="48" t="inlineStr">
        <is>
          <t>coeff.</t>
        </is>
      </c>
      <c r="Q1978" s="57">
        <f>IF($A1978="","",$A1978&amp;"|"&amp;$C1978)</f>
        <v/>
      </c>
      <c r="R1978" s="57">
        <f>IF($A1978="","",$A1978&amp;"|"&amp;$C1978&amp;"|"&amp;$D1978)</f>
        <v/>
      </c>
      <c r="S1978" s="57">
        <f>IF($A1978="","",IFERROR(INDEX(Offerte!$D$2:$D$81,MATCH($Q1978,Offerte!$L$2:$L$81,0)),0))</f>
        <v/>
      </c>
      <c r="T1978" s="57">
        <f>IF($A1978="","",IFERROR(INDEX(Offerte!$G$2:$G$81,MATCH($Q1978,Offerte!$L$2:$L$81,0)),"NO"))</f>
        <v/>
      </c>
    </row>
    <row r="1979">
      <c r="A1979" s="48">
        <f>IF(Offerte!$A65="","",Offerte!$A65)</f>
        <v/>
      </c>
      <c r="B1979" s="48">
        <f>IF(Offerte!$A65="","",Offerte!$B65)</f>
        <v/>
      </c>
      <c r="C1979" s="48">
        <f>IF(Offerte!$A65="","",Offerte!$C65)</f>
        <v/>
      </c>
      <c r="D1979" s="48" t="inlineStr">
        <is>
          <t>F.1.1</t>
        </is>
      </c>
      <c r="E1979" s="48" t="inlineStr">
        <is>
          <t>F</t>
        </is>
      </c>
      <c r="F1979" s="48" t="inlineStr">
        <is>
          <t>Q</t>
        </is>
      </c>
      <c r="G1979" s="48" t="inlineStr">
        <is>
          <t>lower</t>
        </is>
      </c>
      <c r="H1979" s="48" t="n">
        <v>7</v>
      </c>
      <c r="I1979" s="48" t="inlineStr">
        <is>
          <t>Performance ambientali del parco mezzi adibito al servizio - I_CEA</t>
        </is>
      </c>
      <c r="J1979" s="73" t="n"/>
      <c r="K1979" s="73" t="n"/>
      <c r="L1979" s="73" t="n"/>
      <c r="M1979" s="73" t="n"/>
      <c r="N1979" s="57">
        <f>IF($A1979="","",IFERROR(VALUE($J1979),0))</f>
        <v/>
      </c>
      <c r="O1979" s="57">
        <f>IF($A1979="",0,IF(OR($S1979&lt;&gt;1,COUNTA($J1979:$M1979)=0),0,IF(AND(IFERROR(AGGREGATE(15,6,$N$5:$N$2484/(($C$5:$C$2484=$C1979)*($D$5:$D$2484=$D1979)*($S$5:$S$2484=1)*($N$5:$N$2484&gt;0)),1),0)&gt;0,$N1979&gt;0),ROUND($H1979*(IFERROR(AGGREGATE(15,6,$N$5:$N$2484/(($C$5:$C$2484=$C1979)*($D$5:$D$2484=$D1979)*($S$5:$S$2484=1)*($N$5:$N$2484&gt;0)),1),0)/$N1979),4),0)))</f>
        <v/>
      </c>
      <c r="P1979" s="48" t="inlineStr">
        <is>
          <t>indice</t>
        </is>
      </c>
      <c r="Q1979" s="57">
        <f>IF($A1979="","",$A1979&amp;"|"&amp;$C1979)</f>
        <v/>
      </c>
      <c r="R1979" s="57">
        <f>IF($A1979="","",$A1979&amp;"|"&amp;$C1979&amp;"|"&amp;$D1979)</f>
        <v/>
      </c>
      <c r="S1979" s="57">
        <f>IF($A1979="","",IFERROR(INDEX(Offerte!$D$2:$D$81,MATCH($Q1979,Offerte!$L$2:$L$81,0)),0))</f>
        <v/>
      </c>
      <c r="T1979" s="57">
        <f>IF($A1979="","",IFERROR(INDEX(Offerte!$G$2:$G$81,MATCH($Q1979,Offerte!$L$2:$L$81,0)),"NO"))</f>
        <v/>
      </c>
    </row>
    <row r="1980">
      <c r="A1980" s="48">
        <f>IF(Offerte!$A65="","",Offerte!$A65)</f>
        <v/>
      </c>
      <c r="B1980" s="48">
        <f>IF(Offerte!$A65="","",Offerte!$B65)</f>
        <v/>
      </c>
      <c r="C1980" s="48">
        <f>IF(Offerte!$A65="","",Offerte!$C65)</f>
        <v/>
      </c>
      <c r="D1980" s="48" t="inlineStr">
        <is>
          <t>F.2.1</t>
        </is>
      </c>
      <c r="E1980" s="48" t="inlineStr">
        <is>
          <t>F</t>
        </is>
      </c>
      <c r="F1980" s="48" t="inlineStr">
        <is>
          <t>Q</t>
        </is>
      </c>
      <c r="G1980" s="48" t="inlineStr">
        <is>
          <t>higher</t>
        </is>
      </c>
      <c r="H1980" s="48" t="n">
        <v>2</v>
      </c>
      <c r="I1980" s="48" t="inlineStr">
        <is>
          <t>Tasso di copertura del servizio con dispositivi ECO-DRIVER</t>
        </is>
      </c>
      <c r="J1980" s="73" t="n"/>
      <c r="K1980" s="73" t="n"/>
      <c r="L1980" s="73" t="n"/>
      <c r="M1980" s="73" t="n"/>
      <c r="N1980" s="57">
        <f>IF($A1980="","",IFERROR(VALUE($K1980)/VALUE($L1980),IFERROR(VALUE($J1980),0)))</f>
        <v/>
      </c>
      <c r="O1980" s="57">
        <f>IF($A1980="",0,IF(OR($S1980&lt;&gt;1,COUNTA($J1980:$M1980)=0),0,IF(SUMPRODUCT(MAX(($C$5:$C$2484=$C1980)*($D$5:$D$2484=$D1980)*($S$5:$S$2484=1)*IFERROR($N$5:$N$2484*1,0)))&gt;0,ROUND($H1980*($N1980/SUMPRODUCT(MAX(($C$5:$C$2484=$C1980)*($D$5:$D$2484=$D1980)*($S$5:$S$2484=1)*IFERROR($N$5:$N$2484*1,0)))),4),0)))</f>
        <v/>
      </c>
      <c r="P1980" s="48" t="inlineStr">
        <is>
          <t>Autobus attrezzati con dispositivi ECO-DRIVER / Autobus totali in offerta, incluse scorte</t>
        </is>
      </c>
      <c r="Q1980" s="57">
        <f>IF($A1980="","",$A1980&amp;"|"&amp;$C1980)</f>
        <v/>
      </c>
      <c r="R1980" s="57">
        <f>IF($A1980="","",$A1980&amp;"|"&amp;$C1980&amp;"|"&amp;$D1980)</f>
        <v/>
      </c>
      <c r="S1980" s="57">
        <f>IF($A1980="","",IFERROR(INDEX(Offerte!$D$2:$D$81,MATCH($Q1980,Offerte!$L$2:$L$81,0)),0))</f>
        <v/>
      </c>
      <c r="T1980" s="57">
        <f>IF($A1980="","",IFERROR(INDEX(Offerte!$G$2:$G$81,MATCH($Q1980,Offerte!$L$2:$L$81,0)),"NO"))</f>
        <v/>
      </c>
    </row>
    <row r="1981">
      <c r="A1981" s="48">
        <f>IF(Offerte!$A65="","",Offerte!$A65)</f>
        <v/>
      </c>
      <c r="B1981" s="48">
        <f>IF(Offerte!$A65="","",Offerte!$B65)</f>
        <v/>
      </c>
      <c r="C1981" s="48">
        <f>IF(Offerte!$A65="","",Offerte!$C65)</f>
        <v/>
      </c>
      <c r="D1981" s="48" t="inlineStr">
        <is>
          <t>F.3.1</t>
        </is>
      </c>
      <c r="E1981" s="48" t="inlineStr">
        <is>
          <t>F</t>
        </is>
      </c>
      <c r="F1981" s="48" t="inlineStr">
        <is>
          <t>Q</t>
        </is>
      </c>
      <c r="G1981" s="48" t="inlineStr">
        <is>
          <t>higher</t>
        </is>
      </c>
      <c r="H1981" s="48" t="n">
        <v>2</v>
      </c>
      <c r="I1981" s="48" t="inlineStr">
        <is>
          <t>Autoproduzione consumi elettrici per trazione</t>
        </is>
      </c>
      <c r="J1981" s="73" t="n"/>
      <c r="K1981" s="73" t="n"/>
      <c r="L1981" s="73" t="n"/>
      <c r="M1981" s="73" t="n"/>
      <c r="N1981" s="57">
        <f>IF($A1981="","",IFERROR(VALUE($J1981),0))</f>
        <v/>
      </c>
      <c r="O1981" s="57">
        <f>IF($A1981="",0,IF(OR($S1981&lt;&gt;1,COUNTA($J1981:$M1981)=0),0,IF(SUMPRODUCT(MAX(($C$5:$C$2484=$C1981)*($D$5:$D$2484=$D1981)*($S$5:$S$2484=1)*IFERROR($N$5:$N$2484*1,0)))&gt;0,ROUND($H1981*($N1981/SUMPRODUCT(MAX(($C$5:$C$2484=$C1981)*($D$5:$D$2484=$D1981)*($S$5:$S$2484=1)*IFERROR($N$5:$N$2484*1,0)))),4),0)))</f>
        <v/>
      </c>
      <c r="P1981" s="48" t="inlineStr">
        <is>
          <t>kWh/anno</t>
        </is>
      </c>
      <c r="Q1981" s="57">
        <f>IF($A1981="","",$A1981&amp;"|"&amp;$C1981)</f>
        <v/>
      </c>
      <c r="R1981" s="57">
        <f>IF($A1981="","",$A1981&amp;"|"&amp;$C1981&amp;"|"&amp;$D1981)</f>
        <v/>
      </c>
      <c r="S1981" s="57">
        <f>IF($A1981="","",IFERROR(INDEX(Offerte!$D$2:$D$81,MATCH($Q1981,Offerte!$L$2:$L$81,0)),0))</f>
        <v/>
      </c>
      <c r="T1981" s="57">
        <f>IF($A1981="","",IFERROR(INDEX(Offerte!$G$2:$G$81,MATCH($Q1981,Offerte!$L$2:$L$81,0)),"NO"))</f>
        <v/>
      </c>
    </row>
    <row r="1982">
      <c r="A1982" s="48">
        <f>IF(Offerte!$A65="","",Offerte!$A65)</f>
        <v/>
      </c>
      <c r="B1982" s="48">
        <f>IF(Offerte!$A65="","",Offerte!$B65)</f>
        <v/>
      </c>
      <c r="C1982" s="48">
        <f>IF(Offerte!$A65="","",Offerte!$C65)</f>
        <v/>
      </c>
      <c r="D1982" s="48" t="inlineStr">
        <is>
          <t>F.4.1</t>
        </is>
      </c>
      <c r="E1982" s="48" t="inlineStr">
        <is>
          <t>F</t>
        </is>
      </c>
      <c r="F1982" s="48" t="inlineStr">
        <is>
          <t>Q</t>
        </is>
      </c>
      <c r="G1982" s="48" t="inlineStr">
        <is>
          <t>soil</t>
        </is>
      </c>
      <c r="H1982" s="48" t="n">
        <v>2</v>
      </c>
      <c r="I1982" s="48" t="inlineStr">
        <is>
          <t>Indice di consumo di suolo</t>
        </is>
      </c>
      <c r="J1982" s="73" t="n"/>
      <c r="K1982" s="73" t="n"/>
      <c r="L1982" s="73" t="n"/>
      <c r="M1982" s="73" t="n"/>
      <c r="N1982" s="57">
        <f>IF($A1982="","",IFERROR(VALUE($J1982),0))</f>
        <v/>
      </c>
      <c r="O1982" s="57">
        <f>IF($A1982="",0,IF(OR($S1982&lt;&gt;1,COUNTA($J1982:$M1982)=0),0,IF($N1982&lt;=0,$H1982,IF(SUMPRODUCT(MAX(($C$5:$C$2484=$C1982)*($D$5:$D$2484=$D1982)*($S$5:$S$2484=1)*IFERROR($N$5:$N$2484*1,0)))&gt;0,ROUND($H1982*((SUMPRODUCT(MAX(($C$5:$C$2484=$C1982)*($D$5:$D$2484=$D1982)*($S$5:$S$2484=1)*IFERROR($N$5:$N$2484*1,0)))-$N1982)/SUMPRODUCT(MAX(($C$5:$C$2484=$C1982)*($D$5:$D$2484=$D1982)*($S$5:$S$2484=1)*IFERROR($N$5:$N$2484*1,0)))),4),0))))</f>
        <v/>
      </c>
      <c r="P1982" s="48" t="inlineStr">
        <is>
          <t>m2</t>
        </is>
      </c>
      <c r="Q1982" s="57">
        <f>IF($A1982="","",$A1982&amp;"|"&amp;$C1982)</f>
        <v/>
      </c>
      <c r="R1982" s="57">
        <f>IF($A1982="","",$A1982&amp;"|"&amp;$C1982&amp;"|"&amp;$D1982)</f>
        <v/>
      </c>
      <c r="S1982" s="57">
        <f>IF($A1982="","",IFERROR(INDEX(Offerte!$D$2:$D$81,MATCH($Q1982,Offerte!$L$2:$L$81,0)),0))</f>
        <v/>
      </c>
      <c r="T1982" s="57">
        <f>IF($A1982="","",IFERROR(INDEX(Offerte!$G$2:$G$81,MATCH($Q1982,Offerte!$L$2:$L$81,0)),"NO"))</f>
        <v/>
      </c>
    </row>
    <row r="1983">
      <c r="A1983" s="48">
        <f>IF(Offerte!$A65="","",Offerte!$A65)</f>
        <v/>
      </c>
      <c r="B1983" s="48">
        <f>IF(Offerte!$A65="","",Offerte!$B65)</f>
        <v/>
      </c>
      <c r="C1983" s="48">
        <f>IF(Offerte!$A65="","",Offerte!$C65)</f>
        <v/>
      </c>
      <c r="D1983" s="48" t="inlineStr">
        <is>
          <t>F.5.1</t>
        </is>
      </c>
      <c r="E1983" s="48" t="inlineStr">
        <is>
          <t>F</t>
        </is>
      </c>
      <c r="F1983" s="48" t="inlineStr">
        <is>
          <t>T</t>
        </is>
      </c>
      <c r="G1983" s="48" t="inlineStr">
        <is>
          <t>tabular</t>
        </is>
      </c>
      <c r="H1983" s="48" t="n">
        <v>1</v>
      </c>
      <c r="I1983" s="48" t="inlineStr">
        <is>
          <t>Rendicontazione di sostenibilità ambientale</t>
        </is>
      </c>
      <c r="J1983" s="73" t="n"/>
      <c r="K1983" s="73" t="n"/>
      <c r="L1983" s="73" t="n"/>
      <c r="M1983" s="73" t="n"/>
      <c r="N1983" s="57">
        <f>IF($A1983="","",IF(IFERROR(VALUE($M1983),0)=1,1,0))</f>
        <v/>
      </c>
      <c r="O1983" s="57">
        <f>IF($A1983="",0,IF(OR($S1983&lt;&gt;1,COUNTA($J1983:$M1983)=0),0,IF($N1983=1,$H1983,0)))</f>
        <v/>
      </c>
      <c r="P1983" s="48" t="inlineStr">
        <is>
          <t>sì/no</t>
        </is>
      </c>
      <c r="Q1983" s="57">
        <f>IF($A1983="","",$A1983&amp;"|"&amp;$C1983)</f>
        <v/>
      </c>
      <c r="R1983" s="57">
        <f>IF($A1983="","",$A1983&amp;"|"&amp;$C1983&amp;"|"&amp;$D1983)</f>
        <v/>
      </c>
      <c r="S1983" s="57">
        <f>IF($A1983="","",IFERROR(INDEX(Offerte!$D$2:$D$81,MATCH($Q1983,Offerte!$L$2:$L$81,0)),0))</f>
        <v/>
      </c>
      <c r="T1983" s="57">
        <f>IF($A1983="","",IFERROR(INDEX(Offerte!$G$2:$G$81,MATCH($Q1983,Offerte!$L$2:$L$81,0)),"NO"))</f>
        <v/>
      </c>
    </row>
    <row r="1984">
      <c r="A1984" s="48">
        <f>IF(Offerte!$A65="","",Offerte!$A65)</f>
        <v/>
      </c>
      <c r="B1984" s="48">
        <f>IF(Offerte!$A65="","",Offerte!$B65)</f>
        <v/>
      </c>
      <c r="C1984" s="48">
        <f>IF(Offerte!$A65="","",Offerte!$C65)</f>
        <v/>
      </c>
      <c r="D1984" s="48" t="inlineStr">
        <is>
          <t>G.1.1</t>
        </is>
      </c>
      <c r="E1984" s="48" t="inlineStr">
        <is>
          <t>G</t>
        </is>
      </c>
      <c r="F1984" s="48" t="inlineStr">
        <is>
          <t>D</t>
        </is>
      </c>
      <c r="G1984" s="48" t="inlineStr">
        <is>
          <t>discretionary</t>
        </is>
      </c>
      <c r="H1984" s="48" t="n">
        <v>2</v>
      </c>
      <c r="I1984" s="48" t="inlineStr">
        <is>
          <t>Qualità del progetto di centrale di controllo aziendale</t>
        </is>
      </c>
      <c r="J1984" s="73" t="n"/>
      <c r="K1984" s="73" t="n"/>
      <c r="L1984" s="73" t="n"/>
      <c r="M1984" s="73" t="n"/>
      <c r="N1984" s="57">
        <f>IF($A1984="","",MAX(0,MIN(1,IFERROR(VALUE($M1984),0))))</f>
        <v/>
      </c>
      <c r="O1984" s="57">
        <f>IF($A1984="",0,IF(OR($S1984&lt;&gt;1,COUNTA($J1984:$M1984)=0),0,IF(SUMPRODUCT(MAX(($C$5:$C$2484=$C1984)*($D$5:$D$2484=$D1984)*($S$5:$S$2484=1)*IFERROR($N$5:$N$2484*1,0)))&gt;0,ROUND($H1984*($N1984/SUMPRODUCT(MAX(($C$5:$C$2484=$C1984)*($D$5:$D$2484=$D1984)*($S$5:$S$2484=1)*IFERROR($N$5:$N$2484*1,0)))),4),0)))</f>
        <v/>
      </c>
      <c r="P1984" s="48" t="inlineStr">
        <is>
          <t>coeff.</t>
        </is>
      </c>
      <c r="Q1984" s="57">
        <f>IF($A1984="","",$A1984&amp;"|"&amp;$C1984)</f>
        <v/>
      </c>
      <c r="R1984" s="57">
        <f>IF($A1984="","",$A1984&amp;"|"&amp;$C1984&amp;"|"&amp;$D1984)</f>
        <v/>
      </c>
      <c r="S1984" s="57">
        <f>IF($A1984="","",IFERROR(INDEX(Offerte!$D$2:$D$81,MATCH($Q1984,Offerte!$L$2:$L$81,0)),0))</f>
        <v/>
      </c>
      <c r="T1984" s="57">
        <f>IF($A1984="","",IFERROR(INDEX(Offerte!$G$2:$G$81,MATCH($Q1984,Offerte!$L$2:$L$81,0)),"NO"))</f>
        <v/>
      </c>
    </row>
    <row r="1985">
      <c r="A1985" s="48">
        <f>IF(Offerte!$A65="","",Offerte!$A65)</f>
        <v/>
      </c>
      <c r="B1985" s="48">
        <f>IF(Offerte!$A65="","",Offerte!$B65)</f>
        <v/>
      </c>
      <c r="C1985" s="48">
        <f>IF(Offerte!$A65="","",Offerte!$C65)</f>
        <v/>
      </c>
      <c r="D1985" s="48" t="inlineStr">
        <is>
          <t>G.2.1</t>
        </is>
      </c>
      <c r="E1985" s="48" t="inlineStr">
        <is>
          <t>G</t>
        </is>
      </c>
      <c r="F1985" s="48" t="inlineStr">
        <is>
          <t>T</t>
        </is>
      </c>
      <c r="G1985" s="48" t="inlineStr">
        <is>
          <t>tabular</t>
        </is>
      </c>
      <c r="H1985" s="48" t="n">
        <v>1</v>
      </c>
      <c r="I1985" s="48" t="inlineStr">
        <is>
          <t>Certificazione ISO 45001</t>
        </is>
      </c>
      <c r="J1985" s="73" t="n"/>
      <c r="K1985" s="73" t="n"/>
      <c r="L1985" s="73" t="n"/>
      <c r="M1985" s="73" t="n"/>
      <c r="N1985" s="57">
        <f>IF($A1985="","",IF(IFERROR(VALUE($M1985),0)=1,1,0))</f>
        <v/>
      </c>
      <c r="O1985" s="57">
        <f>IF($A1985="",0,IF(OR($S1985&lt;&gt;1,COUNTA($J1985:$M1985)=0),0,IF($N1985=1,$H1985,0)))</f>
        <v/>
      </c>
      <c r="P1985" s="48" t="inlineStr">
        <is>
          <t>sì/no</t>
        </is>
      </c>
      <c r="Q1985" s="57">
        <f>IF($A1985="","",$A1985&amp;"|"&amp;$C1985)</f>
        <v/>
      </c>
      <c r="R1985" s="57">
        <f>IF($A1985="","",$A1985&amp;"|"&amp;$C1985&amp;"|"&amp;$D1985)</f>
        <v/>
      </c>
      <c r="S1985" s="57">
        <f>IF($A1985="","",IFERROR(INDEX(Offerte!$D$2:$D$81,MATCH($Q1985,Offerte!$L$2:$L$81,0)),0))</f>
        <v/>
      </c>
      <c r="T1985" s="57">
        <f>IF($A1985="","",IFERROR(INDEX(Offerte!$G$2:$G$81,MATCH($Q1985,Offerte!$L$2:$L$81,0)),"NO"))</f>
        <v/>
      </c>
    </row>
    <row r="1986">
      <c r="A1986" s="48">
        <f>IF(Offerte!$A65="","",Offerte!$A65)</f>
        <v/>
      </c>
      <c r="B1986" s="48">
        <f>IF(Offerte!$A65="","",Offerte!$B65)</f>
        <v/>
      </c>
      <c r="C1986" s="48">
        <f>IF(Offerte!$A65="","",Offerte!$C65)</f>
        <v/>
      </c>
      <c r="D1986" s="48" t="inlineStr">
        <is>
          <t>G.3.1</t>
        </is>
      </c>
      <c r="E1986" s="48" t="inlineStr">
        <is>
          <t>G</t>
        </is>
      </c>
      <c r="F1986" s="48" t="inlineStr">
        <is>
          <t>T</t>
        </is>
      </c>
      <c r="G1986" s="48" t="inlineStr">
        <is>
          <t>tabular</t>
        </is>
      </c>
      <c r="H1986" s="48" t="n">
        <v>1</v>
      </c>
      <c r="I1986" s="48" t="inlineStr">
        <is>
          <t>Certificazioni di responsabilità sociale</t>
        </is>
      </c>
      <c r="J1986" s="73" t="n"/>
      <c r="K1986" s="73" t="n"/>
      <c r="L1986" s="73" t="n"/>
      <c r="M1986" s="73" t="n"/>
      <c r="N1986" s="57">
        <f>IF($A1986="","",IF(IFERROR(VALUE($M1986),0)=1,1,0))</f>
        <v/>
      </c>
      <c r="O1986" s="57">
        <f>IF($A1986="",0,IF(OR($S1986&lt;&gt;1,COUNTA($J1986:$M1986)=0),0,IF($N1986=1,$H1986,0)))</f>
        <v/>
      </c>
      <c r="P1986" s="48" t="inlineStr">
        <is>
          <t>sì/no</t>
        </is>
      </c>
      <c r="Q1986" s="57">
        <f>IF($A1986="","",$A1986&amp;"|"&amp;$C1986)</f>
        <v/>
      </c>
      <c r="R1986" s="57">
        <f>IF($A1986="","",$A1986&amp;"|"&amp;$C1986&amp;"|"&amp;$D1986)</f>
        <v/>
      </c>
      <c r="S1986" s="57">
        <f>IF($A1986="","",IFERROR(INDEX(Offerte!$D$2:$D$81,MATCH($Q1986,Offerte!$L$2:$L$81,0)),0))</f>
        <v/>
      </c>
      <c r="T1986" s="57">
        <f>IF($A1986="","",IFERROR(INDEX(Offerte!$G$2:$G$81,MATCH($Q1986,Offerte!$L$2:$L$81,0)),"NO"))</f>
        <v/>
      </c>
    </row>
    <row r="1987">
      <c r="A1987" s="48">
        <f>IF(Offerte!$A65="","",Offerte!$A65)</f>
        <v/>
      </c>
      <c r="B1987" s="48">
        <f>IF(Offerte!$A65="","",Offerte!$B65)</f>
        <v/>
      </c>
      <c r="C1987" s="48">
        <f>IF(Offerte!$A65="","",Offerte!$C65)</f>
        <v/>
      </c>
      <c r="D1987" s="48" t="inlineStr">
        <is>
          <t>G.4.1</t>
        </is>
      </c>
      <c r="E1987" s="48" t="inlineStr">
        <is>
          <t>G</t>
        </is>
      </c>
      <c r="F1987" s="48" t="inlineStr">
        <is>
          <t>D</t>
        </is>
      </c>
      <c r="G1987" s="48" t="inlineStr">
        <is>
          <t>discretionary</t>
        </is>
      </c>
      <c r="H1987" s="48" t="n">
        <v>2</v>
      </c>
      <c r="I1987" s="48" t="inlineStr">
        <is>
          <t>Qualità del piano di formazione del personale</t>
        </is>
      </c>
      <c r="J1987" s="73" t="n"/>
      <c r="K1987" s="73" t="n"/>
      <c r="L1987" s="73" t="n"/>
      <c r="M1987" s="73" t="n"/>
      <c r="N1987" s="57">
        <f>IF($A1987="","",MAX(0,MIN(1,IFERROR(VALUE($M1987),0))))</f>
        <v/>
      </c>
      <c r="O1987" s="57">
        <f>IF($A1987="",0,IF(OR($S1987&lt;&gt;1,COUNTA($J1987:$M1987)=0),0,IF(SUMPRODUCT(MAX(($C$5:$C$2484=$C1987)*($D$5:$D$2484=$D1987)*($S$5:$S$2484=1)*IFERROR($N$5:$N$2484*1,0)))&gt;0,ROUND($H1987*($N1987/SUMPRODUCT(MAX(($C$5:$C$2484=$C1987)*($D$5:$D$2484=$D1987)*($S$5:$S$2484=1)*IFERROR($N$5:$N$2484*1,0)))),4),0)))</f>
        <v/>
      </c>
      <c r="P1987" s="48" t="inlineStr">
        <is>
          <t>coeff.</t>
        </is>
      </c>
      <c r="Q1987" s="57">
        <f>IF($A1987="","",$A1987&amp;"|"&amp;$C1987)</f>
        <v/>
      </c>
      <c r="R1987" s="57">
        <f>IF($A1987="","",$A1987&amp;"|"&amp;$C1987&amp;"|"&amp;$D1987)</f>
        <v/>
      </c>
      <c r="S1987" s="57">
        <f>IF($A1987="","",IFERROR(INDEX(Offerte!$D$2:$D$81,MATCH($Q1987,Offerte!$L$2:$L$81,0)),0))</f>
        <v/>
      </c>
      <c r="T1987" s="57">
        <f>IF($A1987="","",IFERROR(INDEX(Offerte!$G$2:$G$81,MATCH($Q1987,Offerte!$L$2:$L$81,0)),"NO"))</f>
        <v/>
      </c>
    </row>
    <row r="1988">
      <c r="A1988" s="48">
        <f>IF(Offerte!$A65="","",Offerte!$A65)</f>
        <v/>
      </c>
      <c r="B1988" s="48">
        <f>IF(Offerte!$A65="","",Offerte!$B65)</f>
        <v/>
      </c>
      <c r="C1988" s="48">
        <f>IF(Offerte!$A65="","",Offerte!$C65)</f>
        <v/>
      </c>
      <c r="D1988" s="48" t="inlineStr">
        <is>
          <t>G.5.1</t>
        </is>
      </c>
      <c r="E1988" s="48" t="inlineStr">
        <is>
          <t>G</t>
        </is>
      </c>
      <c r="F1988" s="48" t="inlineStr">
        <is>
          <t>T</t>
        </is>
      </c>
      <c r="G1988" s="48" t="inlineStr">
        <is>
          <t>tabular</t>
        </is>
      </c>
      <c r="H1988" s="48" t="n">
        <v>1</v>
      </c>
      <c r="I1988" s="48" t="inlineStr">
        <is>
          <t>Impegno al mantenimento delle garanzie del contratto di secondo livello del gestore uscente</t>
        </is>
      </c>
      <c r="J1988" s="73" t="n"/>
      <c r="K1988" s="73" t="n"/>
      <c r="L1988" s="73" t="n"/>
      <c r="M1988" s="73" t="n"/>
      <c r="N1988" s="57">
        <f>IF($A1988="","",IF(IFERROR(VALUE($M1988),0)=1,1,0))</f>
        <v/>
      </c>
      <c r="O1988" s="57">
        <f>IF($A1988="",0,IF(OR($S1988&lt;&gt;1,COUNTA($J1988:$M1988)=0),0,IF($N1988=1,$H1988,0)))</f>
        <v/>
      </c>
      <c r="P1988" s="48" t="inlineStr">
        <is>
          <t>sì/no</t>
        </is>
      </c>
      <c r="Q1988" s="57">
        <f>IF($A1988="","",$A1988&amp;"|"&amp;$C1988)</f>
        <v/>
      </c>
      <c r="R1988" s="57">
        <f>IF($A1988="","",$A1988&amp;"|"&amp;$C1988&amp;"|"&amp;$D1988)</f>
        <v/>
      </c>
      <c r="S1988" s="57">
        <f>IF($A1988="","",IFERROR(INDEX(Offerte!$D$2:$D$81,MATCH($Q1988,Offerte!$L$2:$L$81,0)),0))</f>
        <v/>
      </c>
      <c r="T1988" s="57">
        <f>IF($A1988="","",IFERROR(INDEX(Offerte!$G$2:$G$81,MATCH($Q1988,Offerte!$L$2:$L$81,0)),"NO"))</f>
        <v/>
      </c>
    </row>
    <row r="1989">
      <c r="A1989" s="48">
        <f>IF(Offerte!$A66="","",Offerte!$A66)</f>
        <v/>
      </c>
      <c r="B1989" s="48">
        <f>IF(Offerte!$A66="","",Offerte!$B66)</f>
        <v/>
      </c>
      <c r="C1989" s="48">
        <f>IF(Offerte!$A66="","",Offerte!$C66)</f>
        <v/>
      </c>
      <c r="D1989" s="48" t="inlineStr">
        <is>
          <t>A.1.1</t>
        </is>
      </c>
      <c r="E1989" s="48" t="inlineStr">
        <is>
          <t>A</t>
        </is>
      </c>
      <c r="F1989" s="48" t="inlineStr">
        <is>
          <t>Q</t>
        </is>
      </c>
      <c r="G1989" s="48" t="inlineStr">
        <is>
          <t>higher</t>
        </is>
      </c>
      <c r="H1989" s="48" t="n">
        <v>3</v>
      </c>
      <c r="I1989" s="48" t="inlineStr">
        <is>
          <t>Tasso aggiuntivo di corse controllate</t>
        </is>
      </c>
      <c r="J1989" s="73" t="n"/>
      <c r="K1989" s="73" t="n"/>
      <c r="L1989" s="73" t="n"/>
      <c r="M1989" s="73" t="n"/>
      <c r="N1989" s="57">
        <f>IF($A1989="","",IFERROR(VALUE($K1989)/VALUE($L1989)*100,IFERROR(VALUE($J1989),0)))</f>
        <v/>
      </c>
      <c r="O1989" s="57">
        <f>IF($A1989="",0,IF(OR($S1989&lt;&gt;1,COUNTA($J1989:$M1989)=0),0,IF(SUMPRODUCT(MAX(($C$5:$C$2484=$C1989)*($D$5:$D$2484=$D1989)*($S$5:$S$2484=1)*IFERROR($N$5:$N$2484*1,0)))&gt;0,ROUND($H1989*($N1989/SUMPRODUCT(MAX(($C$5:$C$2484=$C1989)*($D$5:$D$2484=$D1989)*($S$5:$S$2484=1)*IFERROR($N$5:$N$2484*1,0)))),4),0)))</f>
        <v/>
      </c>
      <c r="P1989" s="48" t="inlineStr">
        <is>
          <t>Corse controllate annue / Corse programmate annue</t>
        </is>
      </c>
      <c r="Q1989" s="57">
        <f>IF($A1989="","",$A1989&amp;"|"&amp;$C1989)</f>
        <v/>
      </c>
      <c r="R1989" s="57">
        <f>IF($A1989="","",$A1989&amp;"|"&amp;$C1989&amp;"|"&amp;$D1989)</f>
        <v/>
      </c>
      <c r="S1989" s="57">
        <f>IF($A1989="","",IFERROR(INDEX(Offerte!$D$2:$D$81,MATCH($Q1989,Offerte!$L$2:$L$81,0)),0))</f>
        <v/>
      </c>
      <c r="T1989" s="57">
        <f>IF($A1989="","",IFERROR(INDEX(Offerte!$G$2:$G$81,MATCH($Q1989,Offerte!$L$2:$L$81,0)),"NO"))</f>
        <v/>
      </c>
    </row>
    <row r="1990">
      <c r="A1990" s="48">
        <f>IF(Offerte!$A66="","",Offerte!$A66)</f>
        <v/>
      </c>
      <c r="B1990" s="48">
        <f>IF(Offerte!$A66="","",Offerte!$B66)</f>
        <v/>
      </c>
      <c r="C1990" s="48">
        <f>IF(Offerte!$A66="","",Offerte!$C66)</f>
        <v/>
      </c>
      <c r="D1990" s="48" t="inlineStr">
        <is>
          <t>A.1.2</t>
        </is>
      </c>
      <c r="E1990" s="48" t="inlineStr">
        <is>
          <t>A</t>
        </is>
      </c>
      <c r="F1990" s="48" t="inlineStr">
        <is>
          <t>Q</t>
        </is>
      </c>
      <c r="G1990" s="48" t="inlineStr">
        <is>
          <t>higher</t>
        </is>
      </c>
      <c r="H1990" s="48" t="n">
        <v>4</v>
      </c>
      <c r="I1990" s="48" t="inlineStr">
        <is>
          <t>Numero aggiuntivo di passeggeri controllati</t>
        </is>
      </c>
      <c r="J1990" s="73" t="n"/>
      <c r="K1990" s="73" t="n"/>
      <c r="L1990" s="73" t="n"/>
      <c r="M1990" s="73" t="n"/>
      <c r="N1990" s="57">
        <f>IF($A1990="","",IFERROR(VALUE($J1990),0))</f>
        <v/>
      </c>
      <c r="O1990" s="57">
        <f>IF($A1990="",0,IF(OR($S1990&lt;&gt;1,COUNTA($J1990:$M1990)=0),0,IF(SUMPRODUCT(MAX(($C$5:$C$2484=$C1990)*($D$5:$D$2484=$D1990)*($S$5:$S$2484=1)*IFERROR($N$5:$N$2484*1,0)))&gt;0,ROUND($H1990*($N1990/SUMPRODUCT(MAX(($C$5:$C$2484=$C1990)*($D$5:$D$2484=$D1990)*($S$5:$S$2484=1)*IFERROR($N$5:$N$2484*1,0)))),4),0)))</f>
        <v/>
      </c>
      <c r="P1990" s="48" t="inlineStr">
        <is>
          <t>passeggeri/anno</t>
        </is>
      </c>
      <c r="Q1990" s="57">
        <f>IF($A1990="","",$A1990&amp;"|"&amp;$C1990)</f>
        <v/>
      </c>
      <c r="R1990" s="57">
        <f>IF($A1990="","",$A1990&amp;"|"&amp;$C1990&amp;"|"&amp;$D1990)</f>
        <v/>
      </c>
      <c r="S1990" s="57">
        <f>IF($A1990="","",IFERROR(INDEX(Offerte!$D$2:$D$81,MATCH($Q1990,Offerte!$L$2:$L$81,0)),0))</f>
        <v/>
      </c>
      <c r="T1990" s="57">
        <f>IF($A1990="","",IFERROR(INDEX(Offerte!$G$2:$G$81,MATCH($Q1990,Offerte!$L$2:$L$81,0)),"NO"))</f>
        <v/>
      </c>
    </row>
    <row r="1991">
      <c r="A1991" s="48">
        <f>IF(Offerte!$A66="","",Offerte!$A66)</f>
        <v/>
      </c>
      <c r="B1991" s="48">
        <f>IF(Offerte!$A66="","",Offerte!$B66)</f>
        <v/>
      </c>
      <c r="C1991" s="48">
        <f>IF(Offerte!$A66="","",Offerte!$C66)</f>
        <v/>
      </c>
      <c r="D1991" s="48" t="inlineStr">
        <is>
          <t>B.1.1</t>
        </is>
      </c>
      <c r="E1991" s="48" t="inlineStr">
        <is>
          <t>B</t>
        </is>
      </c>
      <c r="F1991" s="48" t="inlineStr">
        <is>
          <t>Q</t>
        </is>
      </c>
      <c r="G1991" s="48" t="inlineStr">
        <is>
          <t>higher</t>
        </is>
      </c>
      <c r="H1991" s="48" t="n">
        <v>3</v>
      </c>
      <c r="I1991" s="48" t="inlineStr">
        <is>
          <t>Incremento dei posti offerti nelle fasce di punta</t>
        </is>
      </c>
      <c r="J1991" s="73" t="n"/>
      <c r="K1991" s="73" t="n"/>
      <c r="L1991" s="73" t="n"/>
      <c r="M1991" s="73" t="n"/>
      <c r="N1991" s="57">
        <f>IF($A1991="","",IFERROR(VALUE($J1991),0))</f>
        <v/>
      </c>
      <c r="O1991" s="57">
        <f>IF($A1991="",0,IF(OR($S1991&lt;&gt;1,COUNTA($J1991:$M1991)=0),0,IF(SUMPRODUCT(MAX(($C$5:$C$2484=$C1991)*($D$5:$D$2484=$D1991)*($S$5:$S$2484=1)*IFERROR($N$5:$N$2484*1,0)))&gt;0,ROUND($H1991*($N1991/SUMPRODUCT(MAX(($C$5:$C$2484=$C1991)*($D$5:$D$2484=$D1991)*($S$5:$S$2484=1)*IFERROR($N$5:$N$2484*1,0)))),4),0)))</f>
        <v/>
      </c>
      <c r="P1991" s="48" t="inlineStr">
        <is>
          <t>posti*km</t>
        </is>
      </c>
      <c r="Q1991" s="57">
        <f>IF($A1991="","",$A1991&amp;"|"&amp;$C1991)</f>
        <v/>
      </c>
      <c r="R1991" s="57">
        <f>IF($A1991="","",$A1991&amp;"|"&amp;$C1991&amp;"|"&amp;$D1991)</f>
        <v/>
      </c>
      <c r="S1991" s="57">
        <f>IF($A1991="","",IFERROR(INDEX(Offerte!$D$2:$D$81,MATCH($Q1991,Offerte!$L$2:$L$81,0)),0))</f>
        <v/>
      </c>
      <c r="T1991" s="57">
        <f>IF($A1991="","",IFERROR(INDEX(Offerte!$G$2:$G$81,MATCH($Q1991,Offerte!$L$2:$L$81,0)),"NO"))</f>
        <v/>
      </c>
    </row>
    <row r="1992">
      <c r="A1992" s="48">
        <f>IF(Offerte!$A66="","",Offerte!$A66)</f>
        <v/>
      </c>
      <c r="B1992" s="48">
        <f>IF(Offerte!$A66="","",Offerte!$B66)</f>
        <v/>
      </c>
      <c r="C1992" s="48">
        <f>IF(Offerte!$A66="","",Offerte!$C66)</f>
        <v/>
      </c>
      <c r="D1992" s="48" t="inlineStr">
        <is>
          <t>B.2.1</t>
        </is>
      </c>
      <c r="E1992" s="48" t="inlineStr">
        <is>
          <t>B</t>
        </is>
      </c>
      <c r="F1992" s="48" t="inlineStr">
        <is>
          <t>Q</t>
        </is>
      </c>
      <c r="G1992" s="48" t="inlineStr">
        <is>
          <t>higher</t>
        </is>
      </c>
      <c r="H1992" s="48" t="n">
        <v>4</v>
      </c>
      <c r="I1992" s="48" t="inlineStr">
        <is>
          <t>Corse aggiuntive nell'arco giornaliero base</t>
        </is>
      </c>
      <c r="J1992" s="73" t="n"/>
      <c r="K1992" s="73" t="n"/>
      <c r="L1992" s="73" t="n"/>
      <c r="M1992" s="73" t="n"/>
      <c r="N1992" s="57">
        <f>IF($A1992="","",IFERROR(VALUE($J1992),0))</f>
        <v/>
      </c>
      <c r="O1992" s="57">
        <f>IF($A1992="",0,IF(OR($S1992&lt;&gt;1,COUNTA($J1992:$M1992)=0),0,IF(SUMPRODUCT(MAX(($C$5:$C$2484=$C1992)*($D$5:$D$2484=$D1992)*($S$5:$S$2484=1)*IFERROR($N$5:$N$2484*1,0)))&gt;0,ROUND($H1992*($N1992/SUMPRODUCT(MAX(($C$5:$C$2484=$C1992)*($D$5:$D$2484=$D1992)*($S$5:$S$2484=1)*IFERROR($N$5:$N$2484*1,0)))),4),0)))</f>
        <v/>
      </c>
      <c r="P1992" s="48" t="inlineStr">
        <is>
          <t>corse</t>
        </is>
      </c>
      <c r="Q1992" s="57">
        <f>IF($A1992="","",$A1992&amp;"|"&amp;$C1992)</f>
        <v/>
      </c>
      <c r="R1992" s="57">
        <f>IF($A1992="","",$A1992&amp;"|"&amp;$C1992&amp;"|"&amp;$D1992)</f>
        <v/>
      </c>
      <c r="S1992" s="57">
        <f>IF($A1992="","",IFERROR(INDEX(Offerte!$D$2:$D$81,MATCH($Q1992,Offerte!$L$2:$L$81,0)),0))</f>
        <v/>
      </c>
      <c r="T1992" s="57">
        <f>IF($A1992="","",IFERROR(INDEX(Offerte!$G$2:$G$81,MATCH($Q1992,Offerte!$L$2:$L$81,0)),"NO"))</f>
        <v/>
      </c>
    </row>
    <row r="1993">
      <c r="A1993" s="48">
        <f>IF(Offerte!$A66="","",Offerte!$A66)</f>
        <v/>
      </c>
      <c r="B1993" s="48">
        <f>IF(Offerte!$A66="","",Offerte!$B66)</f>
        <v/>
      </c>
      <c r="C1993" s="48">
        <f>IF(Offerte!$A66="","",Offerte!$C66)</f>
        <v/>
      </c>
      <c r="D1993" s="48" t="inlineStr">
        <is>
          <t>B.3.1</t>
        </is>
      </c>
      <c r="E1993" s="48" t="inlineStr">
        <is>
          <t>B</t>
        </is>
      </c>
      <c r="F1993" s="48" t="inlineStr">
        <is>
          <t>Q</t>
        </is>
      </c>
      <c r="G1993" s="48" t="inlineStr">
        <is>
          <t>higher</t>
        </is>
      </c>
      <c r="H1993" s="48" t="n">
        <v>2</v>
      </c>
      <c r="I1993" s="48" t="inlineStr">
        <is>
          <t>Numero di corse aggiuntive per allungamento dell'arco di servizio giornaliero nelle fasce serali</t>
        </is>
      </c>
      <c r="J1993" s="73" t="n"/>
      <c r="K1993" s="73" t="n"/>
      <c r="L1993" s="73" t="n"/>
      <c r="M1993" s="73" t="n"/>
      <c r="N1993" s="57">
        <f>IF($A1993="","",IFERROR(VALUE($J1993),0))</f>
        <v/>
      </c>
      <c r="O1993" s="57">
        <f>IF($A1993="",0,IF(OR($S1993&lt;&gt;1,COUNTA($J1993:$M1993)=0),0,IF(SUMPRODUCT(MAX(($C$5:$C$2484=$C1993)*($D$5:$D$2484=$D1993)*($S$5:$S$2484=1)*IFERROR($N$5:$N$2484*1,0)))&gt;0,ROUND($H1993*($N1993/SUMPRODUCT(MAX(($C$5:$C$2484=$C1993)*($D$5:$D$2484=$D1993)*($S$5:$S$2484=1)*IFERROR($N$5:$N$2484*1,0)))),4),0)))</f>
        <v/>
      </c>
      <c r="P1993" s="48" t="inlineStr">
        <is>
          <t>corse</t>
        </is>
      </c>
      <c r="Q1993" s="57">
        <f>IF($A1993="","",$A1993&amp;"|"&amp;$C1993)</f>
        <v/>
      </c>
      <c r="R1993" s="57">
        <f>IF($A1993="","",$A1993&amp;"|"&amp;$C1993&amp;"|"&amp;$D1993)</f>
        <v/>
      </c>
      <c r="S1993" s="57">
        <f>IF($A1993="","",IFERROR(INDEX(Offerte!$D$2:$D$81,MATCH($Q1993,Offerte!$L$2:$L$81,0)),0))</f>
        <v/>
      </c>
      <c r="T1993" s="57">
        <f>IF($A1993="","",IFERROR(INDEX(Offerte!$G$2:$G$81,MATCH($Q1993,Offerte!$L$2:$L$81,0)),"NO"))</f>
        <v/>
      </c>
    </row>
    <row r="1994">
      <c r="A1994" s="48">
        <f>IF(Offerte!$A66="","",Offerte!$A66)</f>
        <v/>
      </c>
      <c r="B1994" s="48">
        <f>IF(Offerte!$A66="","",Offerte!$B66)</f>
        <v/>
      </c>
      <c r="C1994" s="48">
        <f>IF(Offerte!$A66="","",Offerte!$C66)</f>
        <v/>
      </c>
      <c r="D1994" s="48" t="inlineStr">
        <is>
          <t>B.4.1</t>
        </is>
      </c>
      <c r="E1994" s="48" t="inlineStr">
        <is>
          <t>B</t>
        </is>
      </c>
      <c r="F1994" s="48" t="inlineStr">
        <is>
          <t>Q</t>
        </is>
      </c>
      <c r="G1994" s="48" t="inlineStr">
        <is>
          <t>higher</t>
        </is>
      </c>
      <c r="H1994" s="48" t="n">
        <v>3</v>
      </c>
      <c r="I1994" s="48" t="inlineStr">
        <is>
          <t>Percorrenze aggiuntive offerte nel Programma d'esercizio delle prime due fasi attuative</t>
        </is>
      </c>
      <c r="J1994" s="73" t="n"/>
      <c r="K1994" s="73" t="n"/>
      <c r="L1994" s="73" t="n"/>
      <c r="M1994" s="73" t="n"/>
      <c r="N1994" s="57">
        <f>IF($A1994="","",IFERROR(VALUE($J1994),0))</f>
        <v/>
      </c>
      <c r="O1994" s="57">
        <f>IF($A1994="",0,IF(OR($S1994&lt;&gt;1,COUNTA($J1994:$M1994)=0),0,IF(SUMPRODUCT(MAX(($C$5:$C$2484=$C1994)*($D$5:$D$2484=$D1994)*($S$5:$S$2484=1)*IFERROR($N$5:$N$2484*1,0)))&gt;0,ROUND($H1994*($N1994/SUMPRODUCT(MAX(($C$5:$C$2484=$C1994)*($D$5:$D$2484=$D1994)*($S$5:$S$2484=1)*IFERROR($N$5:$N$2484*1,0)))),4),0)))</f>
        <v/>
      </c>
      <c r="P1994" s="48" t="inlineStr">
        <is>
          <t>vett*km</t>
        </is>
      </c>
      <c r="Q1994" s="57">
        <f>IF($A1994="","",$A1994&amp;"|"&amp;$C1994)</f>
        <v/>
      </c>
      <c r="R1994" s="57">
        <f>IF($A1994="","",$A1994&amp;"|"&amp;$C1994&amp;"|"&amp;$D1994)</f>
        <v/>
      </c>
      <c r="S1994" s="57">
        <f>IF($A1994="","",IFERROR(INDEX(Offerte!$D$2:$D$81,MATCH($Q1994,Offerte!$L$2:$L$81,0)),0))</f>
        <v/>
      </c>
      <c r="T1994" s="57">
        <f>IF($A1994="","",IFERROR(INDEX(Offerte!$G$2:$G$81,MATCH($Q1994,Offerte!$L$2:$L$81,0)),"NO"))</f>
        <v/>
      </c>
    </row>
    <row r="1995">
      <c r="A1995" s="48">
        <f>IF(Offerte!$A66="","",Offerte!$A66)</f>
        <v/>
      </c>
      <c r="B1995" s="48">
        <f>IF(Offerte!$A66="","",Offerte!$B66)</f>
        <v/>
      </c>
      <c r="C1995" s="48">
        <f>IF(Offerte!$A66="","",Offerte!$C66)</f>
        <v/>
      </c>
      <c r="D1995" s="48" t="inlineStr">
        <is>
          <t>B.5.1</t>
        </is>
      </c>
      <c r="E1995" s="48" t="inlineStr">
        <is>
          <t>B</t>
        </is>
      </c>
      <c r="F1995" s="48" t="inlineStr">
        <is>
          <t>D</t>
        </is>
      </c>
      <c r="G1995" s="48" t="inlineStr">
        <is>
          <t>discretionary</t>
        </is>
      </c>
      <c r="H1995" s="48" t="n">
        <v>2</v>
      </c>
      <c r="I1995" s="48" t="inlineStr">
        <is>
          <t>Efficacia del progetto di servizi complementari DRT</t>
        </is>
      </c>
      <c r="J1995" s="73" t="n"/>
      <c r="K1995" s="73" t="n"/>
      <c r="L1995" s="73" t="n"/>
      <c r="M1995" s="73" t="n"/>
      <c r="N1995" s="57">
        <f>IF($A1995="","",MAX(0,MIN(1,IFERROR(VALUE($M1995),0))))</f>
        <v/>
      </c>
      <c r="O1995" s="57">
        <f>IF($A1995="",0,IF(OR($S1995&lt;&gt;1,COUNTA($J1995:$M1995)=0),0,IF(SUMPRODUCT(MAX(($C$5:$C$2484=$C1995)*($D$5:$D$2484=$D1995)*($S$5:$S$2484=1)*IFERROR($N$5:$N$2484*1,0)))&gt;0,ROUND($H1995*($N1995/SUMPRODUCT(MAX(($C$5:$C$2484=$C1995)*($D$5:$D$2484=$D1995)*($S$5:$S$2484=1)*IFERROR($N$5:$N$2484*1,0)))),4),0)))</f>
        <v/>
      </c>
      <c r="P1995" s="48" t="inlineStr">
        <is>
          <t>coeff.</t>
        </is>
      </c>
      <c r="Q1995" s="57">
        <f>IF($A1995="","",$A1995&amp;"|"&amp;$C1995)</f>
        <v/>
      </c>
      <c r="R1995" s="57">
        <f>IF($A1995="","",$A1995&amp;"|"&amp;$C1995&amp;"|"&amp;$D1995)</f>
        <v/>
      </c>
      <c r="S1995" s="57">
        <f>IF($A1995="","",IFERROR(INDEX(Offerte!$D$2:$D$81,MATCH($Q1995,Offerte!$L$2:$L$81,0)),0))</f>
        <v/>
      </c>
      <c r="T1995" s="57">
        <f>IF($A1995="","",IFERROR(INDEX(Offerte!$G$2:$G$81,MATCH($Q1995,Offerte!$L$2:$L$81,0)),"NO"))</f>
        <v/>
      </c>
    </row>
    <row r="1996">
      <c r="A1996" s="48">
        <f>IF(Offerte!$A66="","",Offerte!$A66)</f>
        <v/>
      </c>
      <c r="B1996" s="48">
        <f>IF(Offerte!$A66="","",Offerte!$B66)</f>
        <v/>
      </c>
      <c r="C1996" s="48">
        <f>IF(Offerte!$A66="","",Offerte!$C66)</f>
        <v/>
      </c>
      <c r="D1996" s="48" t="inlineStr">
        <is>
          <t>C.1.1</t>
        </is>
      </c>
      <c r="E1996" s="48" t="inlineStr">
        <is>
          <t>C</t>
        </is>
      </c>
      <c r="F1996" s="48" t="inlineStr">
        <is>
          <t>Q</t>
        </is>
      </c>
      <c r="G1996" s="48" t="inlineStr">
        <is>
          <t>higher</t>
        </is>
      </c>
      <c r="H1996" s="48" t="n">
        <v>2</v>
      </c>
      <c r="I1996" s="48" t="inlineStr">
        <is>
          <t>Tasso di copertura del servizio con telecamere BSD</t>
        </is>
      </c>
      <c r="J1996" s="73" t="n"/>
      <c r="K1996" s="73" t="n"/>
      <c r="L1996" s="73" t="n"/>
      <c r="M1996" s="73" t="n"/>
      <c r="N1996" s="57">
        <f>IF($A1996="","",IFERROR(VALUE($K1996)/VALUE($L1996),IFERROR(VALUE($J1996),0)))</f>
        <v/>
      </c>
      <c r="O1996" s="57">
        <f>IF($A1996="",0,IF(OR($S1996&lt;&gt;1,COUNTA($J1996:$M1996)=0),0,IF(SUMPRODUCT(MAX(($C$5:$C$2484=$C1996)*($D$5:$D$2484=$D1996)*($S$5:$S$2484=1)*IFERROR($N$5:$N$2484*1,0)))&gt;0,ROUND($H1996*($N1996/SUMPRODUCT(MAX(($C$5:$C$2484=$C1996)*($D$5:$D$2484=$D1996)*($S$5:$S$2484=1)*IFERROR($N$5:$N$2484*1,0)))),4),0)))</f>
        <v/>
      </c>
      <c r="P1996" s="48" t="inlineStr">
        <is>
          <t>Autobus attrezzati con telecamere BSD / Autobus totali in offerta, incluse scorte</t>
        </is>
      </c>
      <c r="Q1996" s="57">
        <f>IF($A1996="","",$A1996&amp;"|"&amp;$C1996)</f>
        <v/>
      </c>
      <c r="R1996" s="57">
        <f>IF($A1996="","",$A1996&amp;"|"&amp;$C1996&amp;"|"&amp;$D1996)</f>
        <v/>
      </c>
      <c r="S1996" s="57">
        <f>IF($A1996="","",IFERROR(INDEX(Offerte!$D$2:$D$81,MATCH($Q1996,Offerte!$L$2:$L$81,0)),0))</f>
        <v/>
      </c>
      <c r="T1996" s="57">
        <f>IF($A1996="","",IFERROR(INDEX(Offerte!$G$2:$G$81,MATCH($Q1996,Offerte!$L$2:$L$81,0)),"NO"))</f>
        <v/>
      </c>
    </row>
    <row r="1997">
      <c r="A1997" s="48">
        <f>IF(Offerte!$A66="","",Offerte!$A66)</f>
        <v/>
      </c>
      <c r="B1997" s="48">
        <f>IF(Offerte!$A66="","",Offerte!$B66)</f>
        <v/>
      </c>
      <c r="C1997" s="48">
        <f>IF(Offerte!$A66="","",Offerte!$C66)</f>
        <v/>
      </c>
      <c r="D1997" s="48" t="inlineStr">
        <is>
          <t>C.1.2</t>
        </is>
      </c>
      <c r="E1997" s="48" t="inlineStr">
        <is>
          <t>C</t>
        </is>
      </c>
      <c r="F1997" s="48" t="inlineStr">
        <is>
          <t>Q</t>
        </is>
      </c>
      <c r="G1997" s="48" t="inlineStr">
        <is>
          <t>higher</t>
        </is>
      </c>
      <c r="H1997" s="48" t="n">
        <v>2</v>
      </c>
      <c r="I1997" s="48" t="inlineStr">
        <is>
          <t>Tasso di copertura del servizio con telecamere ADAS</t>
        </is>
      </c>
      <c r="J1997" s="73" t="n"/>
      <c r="K1997" s="73" t="n"/>
      <c r="L1997" s="73" t="n"/>
      <c r="M1997" s="73" t="n"/>
      <c r="N1997" s="57">
        <f>IF($A1997="","",IFERROR(VALUE($K1997)/VALUE($L1997),IFERROR(VALUE($J1997),0)))</f>
        <v/>
      </c>
      <c r="O1997" s="57">
        <f>IF($A1997="",0,IF(OR($S1997&lt;&gt;1,COUNTA($J1997:$M1997)=0),0,IF(SUMPRODUCT(MAX(($C$5:$C$2484=$C1997)*($D$5:$D$2484=$D1997)*($S$5:$S$2484=1)*IFERROR($N$5:$N$2484*1,0)))&gt;0,ROUND($H1997*($N1997/SUMPRODUCT(MAX(($C$5:$C$2484=$C1997)*($D$5:$D$2484=$D1997)*($S$5:$S$2484=1)*IFERROR($N$5:$N$2484*1,0)))),4),0)))</f>
        <v/>
      </c>
      <c r="P1997" s="48" t="inlineStr">
        <is>
          <t>Autobus attrezzati con telecamere ADAS / Autobus totali in offerta, incluse scorte</t>
        </is>
      </c>
      <c r="Q1997" s="57">
        <f>IF($A1997="","",$A1997&amp;"|"&amp;$C1997)</f>
        <v/>
      </c>
      <c r="R1997" s="57">
        <f>IF($A1997="","",$A1997&amp;"|"&amp;$C1997&amp;"|"&amp;$D1997)</f>
        <v/>
      </c>
      <c r="S1997" s="57">
        <f>IF($A1997="","",IFERROR(INDEX(Offerte!$D$2:$D$81,MATCH($Q1997,Offerte!$L$2:$L$81,0)),0))</f>
        <v/>
      </c>
      <c r="T1997" s="57">
        <f>IF($A1997="","",IFERROR(INDEX(Offerte!$G$2:$G$81,MATCH($Q1997,Offerte!$L$2:$L$81,0)),"NO"))</f>
        <v/>
      </c>
    </row>
    <row r="1998">
      <c r="A1998" s="48">
        <f>IF(Offerte!$A66="","",Offerte!$A66)</f>
        <v/>
      </c>
      <c r="B1998" s="48">
        <f>IF(Offerte!$A66="","",Offerte!$B66)</f>
        <v/>
      </c>
      <c r="C1998" s="48">
        <f>IF(Offerte!$A66="","",Offerte!$C66)</f>
        <v/>
      </c>
      <c r="D1998" s="48" t="inlineStr">
        <is>
          <t>C.2.1</t>
        </is>
      </c>
      <c r="E1998" s="48" t="inlineStr">
        <is>
          <t>C</t>
        </is>
      </c>
      <c r="F1998" s="48" t="inlineStr">
        <is>
          <t>Q</t>
        </is>
      </c>
      <c r="G1998" s="48" t="inlineStr">
        <is>
          <t>higher</t>
        </is>
      </c>
      <c r="H1998" s="48" t="n">
        <v>3</v>
      </c>
      <c r="I1998" s="48" t="inlineStr">
        <is>
          <t>Tasso di copertura del servizio con telecamere di bordo di videosorveglianza</t>
        </is>
      </c>
      <c r="J1998" s="73" t="n"/>
      <c r="K1998" s="73" t="n"/>
      <c r="L1998" s="73" t="n"/>
      <c r="M1998" s="73" t="n"/>
      <c r="N1998" s="57">
        <f>IF($A1998="","",IFERROR(VALUE($K1998)/VALUE($L1998),IFERROR(VALUE($J1998),0)))</f>
        <v/>
      </c>
      <c r="O1998" s="57">
        <f>IF($A1998="",0,IF(OR($S1998&lt;&gt;1,COUNTA($J1998:$M1998)=0),0,IF(SUMPRODUCT(MAX(($C$5:$C$2484=$C1998)*($D$5:$D$2484=$D1998)*($S$5:$S$2484=1)*IFERROR($N$5:$N$2484*1,0)))&gt;0,ROUND($H1998*($N1998/SUMPRODUCT(MAX(($C$5:$C$2484=$C1998)*($D$5:$D$2484=$D1998)*($S$5:$S$2484=1)*IFERROR($N$5:$N$2484*1,0)))),4),0)))</f>
        <v/>
      </c>
      <c r="P1998" s="48" t="inlineStr">
        <is>
          <t>Autobus attrezzati con videosorveglianza / Autobus totali in offerta, incluse scorte</t>
        </is>
      </c>
      <c r="Q1998" s="57">
        <f>IF($A1998="","",$A1998&amp;"|"&amp;$C1998)</f>
        <v/>
      </c>
      <c r="R1998" s="57">
        <f>IF($A1998="","",$A1998&amp;"|"&amp;$C1998&amp;"|"&amp;$D1998)</f>
        <v/>
      </c>
      <c r="S1998" s="57">
        <f>IF($A1998="","",IFERROR(INDEX(Offerte!$D$2:$D$81,MATCH($Q1998,Offerte!$L$2:$L$81,0)),0))</f>
        <v/>
      </c>
      <c r="T1998" s="57">
        <f>IF($A1998="","",IFERROR(INDEX(Offerte!$G$2:$G$81,MATCH($Q1998,Offerte!$L$2:$L$81,0)),"NO"))</f>
        <v/>
      </c>
    </row>
    <row r="1999">
      <c r="A1999" s="48">
        <f>IF(Offerte!$A66="","",Offerte!$A66)</f>
        <v/>
      </c>
      <c r="B1999" s="48">
        <f>IF(Offerte!$A66="","",Offerte!$B66)</f>
        <v/>
      </c>
      <c r="C1999" s="48">
        <f>IF(Offerte!$A66="","",Offerte!$C66)</f>
        <v/>
      </c>
      <c r="D1999" s="48" t="inlineStr">
        <is>
          <t>C.2.2</t>
        </is>
      </c>
      <c r="E1999" s="48" t="inlineStr">
        <is>
          <t>C</t>
        </is>
      </c>
      <c r="F1999" s="48" t="inlineStr">
        <is>
          <t>T</t>
        </is>
      </c>
      <c r="G1999" s="48" t="inlineStr">
        <is>
          <t>tabular</t>
        </is>
      </c>
      <c r="H1999" s="48" t="n">
        <v>1</v>
      </c>
      <c r="I1999" s="48" t="inlineStr">
        <is>
          <t>Software video/audio analisi per situazioni di pericolo</t>
        </is>
      </c>
      <c r="J1999" s="73" t="n"/>
      <c r="K1999" s="73" t="n"/>
      <c r="L1999" s="73" t="n"/>
      <c r="M1999" s="73" t="n"/>
      <c r="N1999" s="57">
        <f>IF($A1999="","",IF(IFERROR(VALUE($M1999),0)=1,1,0))</f>
        <v/>
      </c>
      <c r="O1999" s="57">
        <f>IF($A1999="",0,IF(OR($S1999&lt;&gt;1,COUNTA($J1999:$M1999)=0),0,IF($N1999=1,$H1999,0)))</f>
        <v/>
      </c>
      <c r="P1999" s="48" t="inlineStr">
        <is>
          <t>sì/no</t>
        </is>
      </c>
      <c r="Q1999" s="57">
        <f>IF($A1999="","",$A1999&amp;"|"&amp;$C1999)</f>
        <v/>
      </c>
      <c r="R1999" s="57">
        <f>IF($A1999="","",$A1999&amp;"|"&amp;$C1999&amp;"|"&amp;$D1999)</f>
        <v/>
      </c>
      <c r="S1999" s="57">
        <f>IF($A1999="","",IFERROR(INDEX(Offerte!$D$2:$D$81,MATCH($Q1999,Offerte!$L$2:$L$81,0)),0))</f>
        <v/>
      </c>
      <c r="T1999" s="57">
        <f>IF($A1999="","",IFERROR(INDEX(Offerte!$G$2:$G$81,MATCH($Q1999,Offerte!$L$2:$L$81,0)),"NO"))</f>
        <v/>
      </c>
    </row>
    <row r="2000">
      <c r="A2000" s="48">
        <f>IF(Offerte!$A66="","",Offerte!$A66)</f>
        <v/>
      </c>
      <c r="B2000" s="48">
        <f>IF(Offerte!$A66="","",Offerte!$B66)</f>
        <v/>
      </c>
      <c r="C2000" s="48">
        <f>IF(Offerte!$A66="","",Offerte!$C66)</f>
        <v/>
      </c>
      <c r="D2000" s="48" t="inlineStr">
        <is>
          <t>C.2.3</t>
        </is>
      </c>
      <c r="E2000" s="48" t="inlineStr">
        <is>
          <t>C</t>
        </is>
      </c>
      <c r="F2000" s="48" t="inlineStr">
        <is>
          <t>T</t>
        </is>
      </c>
      <c r="G2000" s="48" t="inlineStr">
        <is>
          <t>tabular</t>
        </is>
      </c>
      <c r="H2000" s="48" t="n">
        <v>1</v>
      </c>
      <c r="I2000" s="48" t="inlineStr">
        <is>
          <t>Collegamento con centrale qualificata di pronto intervento</t>
        </is>
      </c>
      <c r="J2000" s="73" t="n"/>
      <c r="K2000" s="73" t="n"/>
      <c r="L2000" s="73" t="n"/>
      <c r="M2000" s="73" t="n"/>
      <c r="N2000" s="57">
        <f>IF($A2000="","",IF(IFERROR(VALUE($M2000),0)=1,1,0))</f>
        <v/>
      </c>
      <c r="O2000" s="57">
        <f>IF($A2000="",0,IF(OR($S2000&lt;&gt;1,COUNTA($J2000:$M2000)=0),0,IF($N2000=1,$H2000,0)))</f>
        <v/>
      </c>
      <c r="P2000" s="48" t="inlineStr">
        <is>
          <t>sì/no</t>
        </is>
      </c>
      <c r="Q2000" s="57">
        <f>IF($A2000="","",$A2000&amp;"|"&amp;$C2000)</f>
        <v/>
      </c>
      <c r="R2000" s="57">
        <f>IF($A2000="","",$A2000&amp;"|"&amp;$C2000&amp;"|"&amp;$D2000)</f>
        <v/>
      </c>
      <c r="S2000" s="57">
        <f>IF($A2000="","",IFERROR(INDEX(Offerte!$D$2:$D$81,MATCH($Q2000,Offerte!$L$2:$L$81,0)),0))</f>
        <v/>
      </c>
      <c r="T2000" s="57">
        <f>IF($A2000="","",IFERROR(INDEX(Offerte!$G$2:$G$81,MATCH($Q2000,Offerte!$L$2:$L$81,0)),"NO"))</f>
        <v/>
      </c>
    </row>
    <row r="2001">
      <c r="A2001" s="48">
        <f>IF(Offerte!$A66="","",Offerte!$A66)</f>
        <v/>
      </c>
      <c r="B2001" s="48">
        <f>IF(Offerte!$A66="","",Offerte!$B66)</f>
        <v/>
      </c>
      <c r="C2001" s="48">
        <f>IF(Offerte!$A66="","",Offerte!$C66)</f>
        <v/>
      </c>
      <c r="D2001" s="48" t="inlineStr">
        <is>
          <t>C.2.4</t>
        </is>
      </c>
      <c r="E2001" s="48" t="inlineStr">
        <is>
          <t>C</t>
        </is>
      </c>
      <c r="F2001" s="48" t="inlineStr">
        <is>
          <t>Q</t>
        </is>
      </c>
      <c r="G2001" s="48" t="inlineStr">
        <is>
          <t>higher</t>
        </is>
      </c>
      <c r="H2001" s="48" t="n">
        <v>1</v>
      </c>
      <c r="I2001" s="48" t="inlineStr">
        <is>
          <t>Tasso di copertura del servizio con dispositivi per la chiamata di emergenza del conducente</t>
        </is>
      </c>
      <c r="J2001" s="73" t="n"/>
      <c r="K2001" s="73" t="n"/>
      <c r="L2001" s="73" t="n"/>
      <c r="M2001" s="73" t="n"/>
      <c r="N2001" s="57">
        <f>IF($A2001="","",IFERROR(VALUE($K2001)/VALUE($L2001),IFERROR(VALUE($J2001),0)))</f>
        <v/>
      </c>
      <c r="O2001" s="57">
        <f>IF($A2001="",0,IF(OR($S2001&lt;&gt;1,COUNTA($J2001:$M2001)=0),0,IF(SUMPRODUCT(MAX(($C$5:$C$2484=$C2001)*($D$5:$D$2484=$D2001)*($S$5:$S$2484=1)*IFERROR($N$5:$N$2484*1,0)))&gt;0,ROUND($H2001*($N2001/SUMPRODUCT(MAX(($C$5:$C$2484=$C2001)*($D$5:$D$2484=$D2001)*($S$5:$S$2484=1)*IFERROR($N$5:$N$2484*1,0)))),4),0)))</f>
        <v/>
      </c>
      <c r="P2001" s="48" t="inlineStr">
        <is>
          <t>Autobus attrezzati con chiamata di emergenza / Autobus totali in offerta, incluse scorte</t>
        </is>
      </c>
      <c r="Q2001" s="57">
        <f>IF($A2001="","",$A2001&amp;"|"&amp;$C2001)</f>
        <v/>
      </c>
      <c r="R2001" s="57">
        <f>IF($A2001="","",$A2001&amp;"|"&amp;$C2001&amp;"|"&amp;$D2001)</f>
        <v/>
      </c>
      <c r="S2001" s="57">
        <f>IF($A2001="","",IFERROR(INDEX(Offerte!$D$2:$D$81,MATCH($Q2001,Offerte!$L$2:$L$81,0)),0))</f>
        <v/>
      </c>
      <c r="T2001" s="57">
        <f>IF($A2001="","",IFERROR(INDEX(Offerte!$G$2:$G$81,MATCH($Q2001,Offerte!$L$2:$L$81,0)),"NO"))</f>
        <v/>
      </c>
    </row>
    <row r="2002">
      <c r="A2002" s="48">
        <f>IF(Offerte!$A66="","",Offerte!$A66)</f>
        <v/>
      </c>
      <c r="B2002" s="48">
        <f>IF(Offerte!$A66="","",Offerte!$B66)</f>
        <v/>
      </c>
      <c r="C2002" s="48">
        <f>IF(Offerte!$A66="","",Offerte!$C66)</f>
        <v/>
      </c>
      <c r="D2002" s="48" t="inlineStr">
        <is>
          <t>C.3.1</t>
        </is>
      </c>
      <c r="E2002" s="48" t="inlineStr">
        <is>
          <t>C</t>
        </is>
      </c>
      <c r="F2002" s="48" t="inlineStr">
        <is>
          <t>Q</t>
        </is>
      </c>
      <c r="G2002" s="48" t="inlineStr">
        <is>
          <t>higher</t>
        </is>
      </c>
      <c r="H2002" s="48" t="n">
        <v>2</v>
      </c>
      <c r="I2002" s="48" t="inlineStr">
        <is>
          <t>Tasso di copertura del servizio con dispositivi di informazione dinamica a bordo mezzo</t>
        </is>
      </c>
      <c r="J2002" s="73" t="n"/>
      <c r="K2002" s="73" t="n"/>
      <c r="L2002" s="73" t="n"/>
      <c r="M2002" s="73" t="n"/>
      <c r="N2002" s="57">
        <f>IF($A2002="","",IFERROR(VALUE($K2002)/VALUE($L2002),IFERROR(VALUE($J2002),0)))</f>
        <v/>
      </c>
      <c r="O2002" s="57">
        <f>IF($A2002="",0,IF(OR($S2002&lt;&gt;1,COUNTA($J2002:$M2002)=0),0,IF(SUMPRODUCT(MAX(($C$5:$C$2484=$C2002)*($D$5:$D$2484=$D2002)*($S$5:$S$2484=1)*IFERROR($N$5:$N$2484*1,0)))&gt;0,ROUND($H2002*($N2002/SUMPRODUCT(MAX(($C$5:$C$2484=$C2002)*($D$5:$D$2484=$D2002)*($S$5:$S$2484=1)*IFERROR($N$5:$N$2484*1,0)))),4),0)))</f>
        <v/>
      </c>
      <c r="P2002" s="48" t="inlineStr">
        <is>
          <t>Autobus con monitor e indicatori vocali / Autobus totali in offerta, incluse scorte</t>
        </is>
      </c>
      <c r="Q2002" s="57">
        <f>IF($A2002="","",$A2002&amp;"|"&amp;$C2002)</f>
        <v/>
      </c>
      <c r="R2002" s="57">
        <f>IF($A2002="","",$A2002&amp;"|"&amp;$C2002&amp;"|"&amp;$D2002)</f>
        <v/>
      </c>
      <c r="S2002" s="57">
        <f>IF($A2002="","",IFERROR(INDEX(Offerte!$D$2:$D$81,MATCH($Q2002,Offerte!$L$2:$L$81,0)),0))</f>
        <v/>
      </c>
      <c r="T2002" s="57">
        <f>IF($A2002="","",IFERROR(INDEX(Offerte!$G$2:$G$81,MATCH($Q2002,Offerte!$L$2:$L$81,0)),"NO"))</f>
        <v/>
      </c>
    </row>
    <row r="2003">
      <c r="A2003" s="48">
        <f>IF(Offerte!$A66="","",Offerte!$A66)</f>
        <v/>
      </c>
      <c r="B2003" s="48">
        <f>IF(Offerte!$A66="","",Offerte!$B66)</f>
        <v/>
      </c>
      <c r="C2003" s="48">
        <f>IF(Offerte!$A66="","",Offerte!$C66)</f>
        <v/>
      </c>
      <c r="D2003" s="48" t="inlineStr">
        <is>
          <t>C.3.2</t>
        </is>
      </c>
      <c r="E2003" s="48" t="inlineStr">
        <is>
          <t>C</t>
        </is>
      </c>
      <c r="F2003" s="48" t="inlineStr">
        <is>
          <t>T</t>
        </is>
      </c>
      <c r="G2003" s="48" t="inlineStr">
        <is>
          <t>tabular</t>
        </is>
      </c>
      <c r="H2003" s="48" t="n">
        <v>2</v>
      </c>
      <c r="I2003" s="48" t="inlineStr">
        <is>
          <t>Informazioni a bordo su coincidenze ai nodi</t>
        </is>
      </c>
      <c r="J2003" s="73" t="n"/>
      <c r="K2003" s="73" t="n"/>
      <c r="L2003" s="73" t="n"/>
      <c r="M2003" s="73" t="n"/>
      <c r="N2003" s="57">
        <f>IF($A2003="","",IF(IFERROR(VALUE($M2003),0)=1,1,0))</f>
        <v/>
      </c>
      <c r="O2003" s="57">
        <f>IF($A2003="",0,IF(OR($S2003&lt;&gt;1,COUNTA($J2003:$M2003)=0),0,IF(AND($N2003=1,IFERROR(SUMIFS($N$5:$N$2484,$Q$5:$Q$2484,$Q2003,$D$5:$D$2484,"C.3.1"),0)&gt;=0.5),$H2003,0)))</f>
        <v/>
      </c>
      <c r="P2003" s="48" t="inlineStr">
        <is>
          <t>Dipende da C.3.1 &gt;= 0.5</t>
        </is>
      </c>
      <c r="Q2003" s="57">
        <f>IF($A2003="","",$A2003&amp;"|"&amp;$C2003)</f>
        <v/>
      </c>
      <c r="R2003" s="57">
        <f>IF($A2003="","",$A2003&amp;"|"&amp;$C2003&amp;"|"&amp;$D2003)</f>
        <v/>
      </c>
      <c r="S2003" s="57">
        <f>IF($A2003="","",IFERROR(INDEX(Offerte!$D$2:$D$81,MATCH($Q2003,Offerte!$L$2:$L$81,0)),0))</f>
        <v/>
      </c>
      <c r="T2003" s="57">
        <f>IF($A2003="","",IFERROR(INDEX(Offerte!$G$2:$G$81,MATCH($Q2003,Offerte!$L$2:$L$81,0)),"NO"))</f>
        <v/>
      </c>
    </row>
    <row r="2004">
      <c r="A2004" s="48">
        <f>IF(Offerte!$A66="","",Offerte!$A66)</f>
        <v/>
      </c>
      <c r="B2004" s="48">
        <f>IF(Offerte!$A66="","",Offerte!$B66)</f>
        <v/>
      </c>
      <c r="C2004" s="48">
        <f>IF(Offerte!$A66="","",Offerte!$C66)</f>
        <v/>
      </c>
      <c r="D2004" s="48" t="inlineStr">
        <is>
          <t>D.1.1</t>
        </is>
      </c>
      <c r="E2004" s="48" t="inlineStr">
        <is>
          <t>D</t>
        </is>
      </c>
      <c r="F2004" s="48" t="inlineStr">
        <is>
          <t>Q</t>
        </is>
      </c>
      <c r="G2004" s="48" t="inlineStr">
        <is>
          <t>higher</t>
        </is>
      </c>
      <c r="H2004" s="48" t="n">
        <v>3</v>
      </c>
      <c r="I2004" s="48" t="inlineStr">
        <is>
          <t>Installazione di pensiline</t>
        </is>
      </c>
      <c r="J2004" s="73" t="n"/>
      <c r="K2004" s="73" t="n"/>
      <c r="L2004" s="73" t="n"/>
      <c r="M2004" s="73" t="n"/>
      <c r="N2004" s="57">
        <f>IF($A2004="","",IFERROR(VALUE($J2004),0))</f>
        <v/>
      </c>
      <c r="O2004" s="57">
        <f>IF($A2004="",0,IF(OR($S2004&lt;&gt;1,COUNTA($J2004:$M2004)=0),0,IF(SUMPRODUCT(MAX(($C$5:$C$2484=$C2004)*($D$5:$D$2484=$D2004)*($S$5:$S$2484=1)*IFERROR($N$5:$N$2484*1,0)))&gt;0,ROUND($H2004*($N2004/SUMPRODUCT(MAX(($C$5:$C$2484=$C2004)*($D$5:$D$2484=$D2004)*($S$5:$S$2484=1)*IFERROR($N$5:$N$2484*1,0)))),4),0)))</f>
        <v/>
      </c>
      <c r="P2004" s="48" t="inlineStr">
        <is>
          <t>fermate</t>
        </is>
      </c>
      <c r="Q2004" s="57">
        <f>IF($A2004="","",$A2004&amp;"|"&amp;$C2004)</f>
        <v/>
      </c>
      <c r="R2004" s="57">
        <f>IF($A2004="","",$A2004&amp;"|"&amp;$C2004&amp;"|"&amp;$D2004)</f>
        <v/>
      </c>
      <c r="S2004" s="57">
        <f>IF($A2004="","",IFERROR(INDEX(Offerte!$D$2:$D$81,MATCH($Q2004,Offerte!$L$2:$L$81,0)),0))</f>
        <v/>
      </c>
      <c r="T2004" s="57">
        <f>IF($A2004="","",IFERROR(INDEX(Offerte!$G$2:$G$81,MATCH($Q2004,Offerte!$L$2:$L$81,0)),"NO"))</f>
        <v/>
      </c>
    </row>
    <row r="2005">
      <c r="A2005" s="48">
        <f>IF(Offerte!$A66="","",Offerte!$A66)</f>
        <v/>
      </c>
      <c r="B2005" s="48">
        <f>IF(Offerte!$A66="","",Offerte!$B66)</f>
        <v/>
      </c>
      <c r="C2005" s="48">
        <f>IF(Offerte!$A66="","",Offerte!$C66)</f>
        <v/>
      </c>
      <c r="D2005" s="48" t="inlineStr">
        <is>
          <t>D.1.2</t>
        </is>
      </c>
      <c r="E2005" s="48" t="inlineStr">
        <is>
          <t>D</t>
        </is>
      </c>
      <c r="F2005" s="48" t="inlineStr">
        <is>
          <t>Q</t>
        </is>
      </c>
      <c r="G2005" s="48" t="inlineStr">
        <is>
          <t>higher</t>
        </is>
      </c>
      <c r="H2005" s="48" t="n">
        <v>3</v>
      </c>
      <c r="I2005" s="48" t="inlineStr">
        <is>
          <t>Installazione di paline di fermata conformi alla DGR 581/2023</t>
        </is>
      </c>
      <c r="J2005" s="73" t="n"/>
      <c r="K2005" s="73" t="n"/>
      <c r="L2005" s="73" t="n"/>
      <c r="M2005" s="73" t="n"/>
      <c r="N2005" s="57">
        <f>IF($A2005="","",IFERROR(VALUE($J2005),0))</f>
        <v/>
      </c>
      <c r="O2005" s="57">
        <f>IF($A2005="",0,IF(OR($S2005&lt;&gt;1,COUNTA($J2005:$M2005)=0),0,IF(SUMPRODUCT(MAX(($C$5:$C$2484=$C2005)*($D$5:$D$2484=$D2005)*($S$5:$S$2484=1)*IFERROR($N$5:$N$2484*1,0)))&gt;0,ROUND($H2005*($N2005/SUMPRODUCT(MAX(($C$5:$C$2484=$C2005)*($D$5:$D$2484=$D2005)*($S$5:$S$2484=1)*IFERROR($N$5:$N$2484*1,0)))),4),0)))</f>
        <v/>
      </c>
      <c r="P2005" s="48" t="inlineStr">
        <is>
          <t>fermate</t>
        </is>
      </c>
      <c r="Q2005" s="57">
        <f>IF($A2005="","",$A2005&amp;"|"&amp;$C2005)</f>
        <v/>
      </c>
      <c r="R2005" s="57">
        <f>IF($A2005="","",$A2005&amp;"|"&amp;$C2005&amp;"|"&amp;$D2005)</f>
        <v/>
      </c>
      <c r="S2005" s="57">
        <f>IF($A2005="","",IFERROR(INDEX(Offerte!$D$2:$D$81,MATCH($Q2005,Offerte!$L$2:$L$81,0)),0))</f>
        <v/>
      </c>
      <c r="T2005" s="57">
        <f>IF($A2005="","",IFERROR(INDEX(Offerte!$G$2:$G$81,MATCH($Q2005,Offerte!$L$2:$L$81,0)),"NO"))</f>
        <v/>
      </c>
    </row>
    <row r="2006">
      <c r="A2006" s="48">
        <f>IF(Offerte!$A66="","",Offerte!$A66)</f>
        <v/>
      </c>
      <c r="B2006" s="48">
        <f>IF(Offerte!$A66="","",Offerte!$B66)</f>
        <v/>
      </c>
      <c r="C2006" s="48">
        <f>IF(Offerte!$A66="","",Offerte!$C66)</f>
        <v/>
      </c>
      <c r="D2006" s="48" t="inlineStr">
        <is>
          <t>D.1.3</t>
        </is>
      </c>
      <c r="E2006" s="48" t="inlineStr">
        <is>
          <t>D</t>
        </is>
      </c>
      <c r="F2006" s="48" t="inlineStr">
        <is>
          <t>Q</t>
        </is>
      </c>
      <c r="G2006" s="48" t="inlineStr">
        <is>
          <t>higher</t>
        </is>
      </c>
      <c r="H2006" s="48" t="n">
        <v>2</v>
      </c>
      <c r="I2006" s="48" t="inlineStr">
        <is>
          <t>Display informativi connessi alle fermate</t>
        </is>
      </c>
      <c r="J2006" s="73" t="n"/>
      <c r="K2006" s="73" t="n"/>
      <c r="L2006" s="73" t="n"/>
      <c r="M2006" s="73" t="n"/>
      <c r="N2006" s="57">
        <f>IF($A2006="","",IFERROR(VALUE($J2006),0))</f>
        <v/>
      </c>
      <c r="O2006" s="57">
        <f>IF($A2006="",0,IF(OR($S2006&lt;&gt;1,COUNTA($J2006:$M2006)=0),0,IF(SUMPRODUCT(MAX(($C$5:$C$2484=$C2006)*($D$5:$D$2484=$D2006)*($S$5:$S$2484=1)*IFERROR($N$5:$N$2484*1,0)))&gt;0,ROUND($H2006*($N2006/SUMPRODUCT(MAX(($C$5:$C$2484=$C2006)*($D$5:$D$2484=$D2006)*($S$5:$S$2484=1)*IFERROR($N$5:$N$2484*1,0)))),4),0)))</f>
        <v/>
      </c>
      <c r="P2006" s="48" t="inlineStr">
        <is>
          <t>fermate</t>
        </is>
      </c>
      <c r="Q2006" s="57">
        <f>IF($A2006="","",$A2006&amp;"|"&amp;$C2006)</f>
        <v/>
      </c>
      <c r="R2006" s="57">
        <f>IF($A2006="","",$A2006&amp;"|"&amp;$C2006&amp;"|"&amp;$D2006)</f>
        <v/>
      </c>
      <c r="S2006" s="57">
        <f>IF($A2006="","",IFERROR(INDEX(Offerte!$D$2:$D$81,MATCH($Q2006,Offerte!$L$2:$L$81,0)),0))</f>
        <v/>
      </c>
      <c r="T2006" s="57">
        <f>IF($A2006="","",IFERROR(INDEX(Offerte!$G$2:$G$81,MATCH($Q2006,Offerte!$L$2:$L$81,0)),"NO"))</f>
        <v/>
      </c>
    </row>
    <row r="2007">
      <c r="A2007" s="48">
        <f>IF(Offerte!$A66="","",Offerte!$A66)</f>
        <v/>
      </c>
      <c r="B2007" s="48">
        <f>IF(Offerte!$A66="","",Offerte!$B66)</f>
        <v/>
      </c>
      <c r="C2007" s="48">
        <f>IF(Offerte!$A66="","",Offerte!$C66)</f>
        <v/>
      </c>
      <c r="D2007" s="48" t="inlineStr">
        <is>
          <t>D.2.1</t>
        </is>
      </c>
      <c r="E2007" s="48" t="inlineStr">
        <is>
          <t>D</t>
        </is>
      </c>
      <c r="F2007" s="48" t="inlineStr">
        <is>
          <t>Q</t>
        </is>
      </c>
      <c r="G2007" s="48" t="inlineStr">
        <is>
          <t>higher</t>
        </is>
      </c>
      <c r="H2007" s="48" t="n">
        <v>2</v>
      </c>
      <c r="I2007" s="48" t="inlineStr">
        <is>
          <t>Segnali tattili Loges-Vet-Evolution</t>
        </is>
      </c>
      <c r="J2007" s="73" t="n"/>
      <c r="K2007" s="73" t="n"/>
      <c r="L2007" s="73" t="n"/>
      <c r="M2007" s="73" t="n"/>
      <c r="N2007" s="57">
        <f>IF($A2007="","",IFERROR(VALUE($J2007),0))</f>
        <v/>
      </c>
      <c r="O2007" s="57">
        <f>IF($A2007="",0,IF(OR($S2007&lt;&gt;1,COUNTA($J2007:$M2007)=0),0,IF(SUMPRODUCT(MAX(($C$5:$C$2484=$C2007)*($D$5:$D$2484=$D2007)*($S$5:$S$2484=1)*IFERROR($N$5:$N$2484*1,0)))&gt;0,ROUND($H2007*($N2007/SUMPRODUCT(MAX(($C$5:$C$2484=$C2007)*($D$5:$D$2484=$D2007)*($S$5:$S$2484=1)*IFERROR($N$5:$N$2484*1,0)))),4),0)))</f>
        <v/>
      </c>
      <c r="P2007" s="48" t="inlineStr">
        <is>
          <t>fermate</t>
        </is>
      </c>
      <c r="Q2007" s="57">
        <f>IF($A2007="","",$A2007&amp;"|"&amp;$C2007)</f>
        <v/>
      </c>
      <c r="R2007" s="57">
        <f>IF($A2007="","",$A2007&amp;"|"&amp;$C2007&amp;"|"&amp;$D2007)</f>
        <v/>
      </c>
      <c r="S2007" s="57">
        <f>IF($A2007="","",IFERROR(INDEX(Offerte!$D$2:$D$81,MATCH($Q2007,Offerte!$L$2:$L$81,0)),0))</f>
        <v/>
      </c>
      <c r="T2007" s="57">
        <f>IF($A2007="","",IFERROR(INDEX(Offerte!$G$2:$G$81,MATCH($Q2007,Offerte!$L$2:$L$81,0)),"NO"))</f>
        <v/>
      </c>
    </row>
    <row r="2008">
      <c r="A2008" s="48">
        <f>IF(Offerte!$A66="","",Offerte!$A66)</f>
        <v/>
      </c>
      <c r="B2008" s="48">
        <f>IF(Offerte!$A66="","",Offerte!$B66)</f>
        <v/>
      </c>
      <c r="C2008" s="48">
        <f>IF(Offerte!$A66="","",Offerte!$C66)</f>
        <v/>
      </c>
      <c r="D2008" s="48" t="inlineStr">
        <is>
          <t>E.1.1</t>
        </is>
      </c>
      <c r="E2008" s="48" t="inlineStr">
        <is>
          <t>E</t>
        </is>
      </c>
      <c r="F2008" s="48" t="inlineStr">
        <is>
          <t>T</t>
        </is>
      </c>
      <c r="G2008" s="48" t="inlineStr">
        <is>
          <t>tabular</t>
        </is>
      </c>
      <c r="H2008" s="48" t="n">
        <v>2</v>
      </c>
      <c r="I2008" s="48" t="inlineStr">
        <is>
          <t>Mobile app con travel planner PRM</t>
        </is>
      </c>
      <c r="J2008" s="73" t="n"/>
      <c r="K2008" s="73" t="n"/>
      <c r="L2008" s="73" t="n"/>
      <c r="M2008" s="73" t="n"/>
      <c r="N2008" s="57">
        <f>IF($A2008="","",IF(IFERROR(VALUE($M2008),0)=1,1,0))</f>
        <v/>
      </c>
      <c r="O2008" s="57">
        <f>IF($A2008="",0,IF(OR($S2008&lt;&gt;1,COUNTA($J2008:$M2008)=0),0,IF($N2008=1,$H2008,0)))</f>
        <v/>
      </c>
      <c r="P2008" s="48" t="inlineStr">
        <is>
          <t>sì/no</t>
        </is>
      </c>
      <c r="Q2008" s="57">
        <f>IF($A2008="","",$A2008&amp;"|"&amp;$C2008)</f>
        <v/>
      </c>
      <c r="R2008" s="57">
        <f>IF($A2008="","",$A2008&amp;"|"&amp;$C2008&amp;"|"&amp;$D2008)</f>
        <v/>
      </c>
      <c r="S2008" s="57">
        <f>IF($A2008="","",IFERROR(INDEX(Offerte!$D$2:$D$81,MATCH($Q2008,Offerte!$L$2:$L$81,0)),0))</f>
        <v/>
      </c>
      <c r="T2008" s="57">
        <f>IF($A2008="","",IFERROR(INDEX(Offerte!$G$2:$G$81,MATCH($Q2008,Offerte!$L$2:$L$81,0)),"NO"))</f>
        <v/>
      </c>
    </row>
    <row r="2009">
      <c r="A2009" s="48">
        <f>IF(Offerte!$A66="","",Offerte!$A66)</f>
        <v/>
      </c>
      <c r="B2009" s="48">
        <f>IF(Offerte!$A66="","",Offerte!$B66)</f>
        <v/>
      </c>
      <c r="C2009" s="48">
        <f>IF(Offerte!$A66="","",Offerte!$C66)</f>
        <v/>
      </c>
      <c r="D2009" s="48" t="inlineStr">
        <is>
          <t>E.2.1</t>
        </is>
      </c>
      <c r="E2009" s="48" t="inlineStr">
        <is>
          <t>E</t>
        </is>
      </c>
      <c r="F2009" s="48" t="inlineStr">
        <is>
          <t>D</t>
        </is>
      </c>
      <c r="G2009" s="48" t="inlineStr">
        <is>
          <t>discretionary</t>
        </is>
      </c>
      <c r="H2009" s="48" t="n">
        <v>2</v>
      </c>
      <c r="I2009" s="48" t="inlineStr">
        <is>
          <t>Altre azioni informative e rapporti con gli utenti</t>
        </is>
      </c>
      <c r="J2009" s="73" t="n"/>
      <c r="K2009" s="73" t="n"/>
      <c r="L2009" s="73" t="n"/>
      <c r="M2009" s="73" t="n"/>
      <c r="N2009" s="57">
        <f>IF($A2009="","",MAX(0,MIN(1,IFERROR(VALUE($M2009),0))))</f>
        <v/>
      </c>
      <c r="O2009" s="57">
        <f>IF($A2009="",0,IF(OR($S2009&lt;&gt;1,COUNTA($J2009:$M2009)=0),0,IF(SUMPRODUCT(MAX(($C$5:$C$2484=$C2009)*($D$5:$D$2484=$D2009)*($S$5:$S$2484=1)*IFERROR($N$5:$N$2484*1,0)))&gt;0,ROUND($H2009*($N2009/SUMPRODUCT(MAX(($C$5:$C$2484=$C2009)*($D$5:$D$2484=$D2009)*($S$5:$S$2484=1)*IFERROR($N$5:$N$2484*1,0)))),4),0)))</f>
        <v/>
      </c>
      <c r="P2009" s="48" t="inlineStr">
        <is>
          <t>coeff.</t>
        </is>
      </c>
      <c r="Q2009" s="57">
        <f>IF($A2009="","",$A2009&amp;"|"&amp;$C2009)</f>
        <v/>
      </c>
      <c r="R2009" s="57">
        <f>IF($A2009="","",$A2009&amp;"|"&amp;$C2009&amp;"|"&amp;$D2009)</f>
        <v/>
      </c>
      <c r="S2009" s="57">
        <f>IF($A2009="","",IFERROR(INDEX(Offerte!$D$2:$D$81,MATCH($Q2009,Offerte!$L$2:$L$81,0)),0))</f>
        <v/>
      </c>
      <c r="T2009" s="57">
        <f>IF($A2009="","",IFERROR(INDEX(Offerte!$G$2:$G$81,MATCH($Q2009,Offerte!$L$2:$L$81,0)),"NO"))</f>
        <v/>
      </c>
    </row>
    <row r="2010">
      <c r="A2010" s="48">
        <f>IF(Offerte!$A66="","",Offerte!$A66)</f>
        <v/>
      </c>
      <c r="B2010" s="48">
        <f>IF(Offerte!$A66="","",Offerte!$B66)</f>
        <v/>
      </c>
      <c r="C2010" s="48">
        <f>IF(Offerte!$A66="","",Offerte!$C66)</f>
        <v/>
      </c>
      <c r="D2010" s="48" t="inlineStr">
        <is>
          <t>F.1.1</t>
        </is>
      </c>
      <c r="E2010" s="48" t="inlineStr">
        <is>
          <t>F</t>
        </is>
      </c>
      <c r="F2010" s="48" t="inlineStr">
        <is>
          <t>Q</t>
        </is>
      </c>
      <c r="G2010" s="48" t="inlineStr">
        <is>
          <t>lower</t>
        </is>
      </c>
      <c r="H2010" s="48" t="n">
        <v>7</v>
      </c>
      <c r="I2010" s="48" t="inlineStr">
        <is>
          <t>Performance ambientali del parco mezzi adibito al servizio - I_CEA</t>
        </is>
      </c>
      <c r="J2010" s="73" t="n"/>
      <c r="K2010" s="73" t="n"/>
      <c r="L2010" s="73" t="n"/>
      <c r="M2010" s="73" t="n"/>
      <c r="N2010" s="57">
        <f>IF($A2010="","",IFERROR(VALUE($J2010),0))</f>
        <v/>
      </c>
      <c r="O2010" s="57">
        <f>IF($A2010="",0,IF(OR($S2010&lt;&gt;1,COUNTA($J2010:$M2010)=0),0,IF(AND(IFERROR(AGGREGATE(15,6,$N$5:$N$2484/(($C$5:$C$2484=$C2010)*($D$5:$D$2484=$D2010)*($S$5:$S$2484=1)*($N$5:$N$2484&gt;0)),1),0)&gt;0,$N2010&gt;0),ROUND($H2010*(IFERROR(AGGREGATE(15,6,$N$5:$N$2484/(($C$5:$C$2484=$C2010)*($D$5:$D$2484=$D2010)*($S$5:$S$2484=1)*($N$5:$N$2484&gt;0)),1),0)/$N2010),4),0)))</f>
        <v/>
      </c>
      <c r="P2010" s="48" t="inlineStr">
        <is>
          <t>indice</t>
        </is>
      </c>
      <c r="Q2010" s="57">
        <f>IF($A2010="","",$A2010&amp;"|"&amp;$C2010)</f>
        <v/>
      </c>
      <c r="R2010" s="57">
        <f>IF($A2010="","",$A2010&amp;"|"&amp;$C2010&amp;"|"&amp;$D2010)</f>
        <v/>
      </c>
      <c r="S2010" s="57">
        <f>IF($A2010="","",IFERROR(INDEX(Offerte!$D$2:$D$81,MATCH($Q2010,Offerte!$L$2:$L$81,0)),0))</f>
        <v/>
      </c>
      <c r="T2010" s="57">
        <f>IF($A2010="","",IFERROR(INDEX(Offerte!$G$2:$G$81,MATCH($Q2010,Offerte!$L$2:$L$81,0)),"NO"))</f>
        <v/>
      </c>
    </row>
    <row r="2011">
      <c r="A2011" s="48">
        <f>IF(Offerte!$A66="","",Offerte!$A66)</f>
        <v/>
      </c>
      <c r="B2011" s="48">
        <f>IF(Offerte!$A66="","",Offerte!$B66)</f>
        <v/>
      </c>
      <c r="C2011" s="48">
        <f>IF(Offerte!$A66="","",Offerte!$C66)</f>
        <v/>
      </c>
      <c r="D2011" s="48" t="inlineStr">
        <is>
          <t>F.2.1</t>
        </is>
      </c>
      <c r="E2011" s="48" t="inlineStr">
        <is>
          <t>F</t>
        </is>
      </c>
      <c r="F2011" s="48" t="inlineStr">
        <is>
          <t>Q</t>
        </is>
      </c>
      <c r="G2011" s="48" t="inlineStr">
        <is>
          <t>higher</t>
        </is>
      </c>
      <c r="H2011" s="48" t="n">
        <v>2</v>
      </c>
      <c r="I2011" s="48" t="inlineStr">
        <is>
          <t>Tasso di copertura del servizio con dispositivi ECO-DRIVER</t>
        </is>
      </c>
      <c r="J2011" s="73" t="n"/>
      <c r="K2011" s="73" t="n"/>
      <c r="L2011" s="73" t="n"/>
      <c r="M2011" s="73" t="n"/>
      <c r="N2011" s="57">
        <f>IF($A2011="","",IFERROR(VALUE($K2011)/VALUE($L2011),IFERROR(VALUE($J2011),0)))</f>
        <v/>
      </c>
      <c r="O2011" s="57">
        <f>IF($A2011="",0,IF(OR($S2011&lt;&gt;1,COUNTA($J2011:$M2011)=0),0,IF(SUMPRODUCT(MAX(($C$5:$C$2484=$C2011)*($D$5:$D$2484=$D2011)*($S$5:$S$2484=1)*IFERROR($N$5:$N$2484*1,0)))&gt;0,ROUND($H2011*($N2011/SUMPRODUCT(MAX(($C$5:$C$2484=$C2011)*($D$5:$D$2484=$D2011)*($S$5:$S$2484=1)*IFERROR($N$5:$N$2484*1,0)))),4),0)))</f>
        <v/>
      </c>
      <c r="P2011" s="48" t="inlineStr">
        <is>
          <t>Autobus attrezzati con dispositivi ECO-DRIVER / Autobus totali in offerta, incluse scorte</t>
        </is>
      </c>
      <c r="Q2011" s="57">
        <f>IF($A2011="","",$A2011&amp;"|"&amp;$C2011)</f>
        <v/>
      </c>
      <c r="R2011" s="57">
        <f>IF($A2011="","",$A2011&amp;"|"&amp;$C2011&amp;"|"&amp;$D2011)</f>
        <v/>
      </c>
      <c r="S2011" s="57">
        <f>IF($A2011="","",IFERROR(INDEX(Offerte!$D$2:$D$81,MATCH($Q2011,Offerte!$L$2:$L$81,0)),0))</f>
        <v/>
      </c>
      <c r="T2011" s="57">
        <f>IF($A2011="","",IFERROR(INDEX(Offerte!$G$2:$G$81,MATCH($Q2011,Offerte!$L$2:$L$81,0)),"NO"))</f>
        <v/>
      </c>
    </row>
    <row r="2012">
      <c r="A2012" s="48">
        <f>IF(Offerte!$A66="","",Offerte!$A66)</f>
        <v/>
      </c>
      <c r="B2012" s="48">
        <f>IF(Offerte!$A66="","",Offerte!$B66)</f>
        <v/>
      </c>
      <c r="C2012" s="48">
        <f>IF(Offerte!$A66="","",Offerte!$C66)</f>
        <v/>
      </c>
      <c r="D2012" s="48" t="inlineStr">
        <is>
          <t>F.3.1</t>
        </is>
      </c>
      <c r="E2012" s="48" t="inlineStr">
        <is>
          <t>F</t>
        </is>
      </c>
      <c r="F2012" s="48" t="inlineStr">
        <is>
          <t>Q</t>
        </is>
      </c>
      <c r="G2012" s="48" t="inlineStr">
        <is>
          <t>higher</t>
        </is>
      </c>
      <c r="H2012" s="48" t="n">
        <v>2</v>
      </c>
      <c r="I2012" s="48" t="inlineStr">
        <is>
          <t>Autoproduzione consumi elettrici per trazione</t>
        </is>
      </c>
      <c r="J2012" s="73" t="n"/>
      <c r="K2012" s="73" t="n"/>
      <c r="L2012" s="73" t="n"/>
      <c r="M2012" s="73" t="n"/>
      <c r="N2012" s="57">
        <f>IF($A2012="","",IFERROR(VALUE($J2012),0))</f>
        <v/>
      </c>
      <c r="O2012" s="57">
        <f>IF($A2012="",0,IF(OR($S2012&lt;&gt;1,COUNTA($J2012:$M2012)=0),0,IF(SUMPRODUCT(MAX(($C$5:$C$2484=$C2012)*($D$5:$D$2484=$D2012)*($S$5:$S$2484=1)*IFERROR($N$5:$N$2484*1,0)))&gt;0,ROUND($H2012*($N2012/SUMPRODUCT(MAX(($C$5:$C$2484=$C2012)*($D$5:$D$2484=$D2012)*($S$5:$S$2484=1)*IFERROR($N$5:$N$2484*1,0)))),4),0)))</f>
        <v/>
      </c>
      <c r="P2012" s="48" t="inlineStr">
        <is>
          <t>kWh/anno</t>
        </is>
      </c>
      <c r="Q2012" s="57">
        <f>IF($A2012="","",$A2012&amp;"|"&amp;$C2012)</f>
        <v/>
      </c>
      <c r="R2012" s="57">
        <f>IF($A2012="","",$A2012&amp;"|"&amp;$C2012&amp;"|"&amp;$D2012)</f>
        <v/>
      </c>
      <c r="S2012" s="57">
        <f>IF($A2012="","",IFERROR(INDEX(Offerte!$D$2:$D$81,MATCH($Q2012,Offerte!$L$2:$L$81,0)),0))</f>
        <v/>
      </c>
      <c r="T2012" s="57">
        <f>IF($A2012="","",IFERROR(INDEX(Offerte!$G$2:$G$81,MATCH($Q2012,Offerte!$L$2:$L$81,0)),"NO"))</f>
        <v/>
      </c>
    </row>
    <row r="2013">
      <c r="A2013" s="48">
        <f>IF(Offerte!$A66="","",Offerte!$A66)</f>
        <v/>
      </c>
      <c r="B2013" s="48">
        <f>IF(Offerte!$A66="","",Offerte!$B66)</f>
        <v/>
      </c>
      <c r="C2013" s="48">
        <f>IF(Offerte!$A66="","",Offerte!$C66)</f>
        <v/>
      </c>
      <c r="D2013" s="48" t="inlineStr">
        <is>
          <t>F.4.1</t>
        </is>
      </c>
      <c r="E2013" s="48" t="inlineStr">
        <is>
          <t>F</t>
        </is>
      </c>
      <c r="F2013" s="48" t="inlineStr">
        <is>
          <t>Q</t>
        </is>
      </c>
      <c r="G2013" s="48" t="inlineStr">
        <is>
          <t>soil</t>
        </is>
      </c>
      <c r="H2013" s="48" t="n">
        <v>2</v>
      </c>
      <c r="I2013" s="48" t="inlineStr">
        <is>
          <t>Indice di consumo di suolo</t>
        </is>
      </c>
      <c r="J2013" s="73" t="n"/>
      <c r="K2013" s="73" t="n"/>
      <c r="L2013" s="73" t="n"/>
      <c r="M2013" s="73" t="n"/>
      <c r="N2013" s="57">
        <f>IF($A2013="","",IFERROR(VALUE($J2013),0))</f>
        <v/>
      </c>
      <c r="O2013" s="57">
        <f>IF($A2013="",0,IF(OR($S2013&lt;&gt;1,COUNTA($J2013:$M2013)=0),0,IF($N2013&lt;=0,$H2013,IF(SUMPRODUCT(MAX(($C$5:$C$2484=$C2013)*($D$5:$D$2484=$D2013)*($S$5:$S$2484=1)*IFERROR($N$5:$N$2484*1,0)))&gt;0,ROUND($H2013*((SUMPRODUCT(MAX(($C$5:$C$2484=$C2013)*($D$5:$D$2484=$D2013)*($S$5:$S$2484=1)*IFERROR($N$5:$N$2484*1,0)))-$N2013)/SUMPRODUCT(MAX(($C$5:$C$2484=$C2013)*($D$5:$D$2484=$D2013)*($S$5:$S$2484=1)*IFERROR($N$5:$N$2484*1,0)))),4),0))))</f>
        <v/>
      </c>
      <c r="P2013" s="48" t="inlineStr">
        <is>
          <t>m2</t>
        </is>
      </c>
      <c r="Q2013" s="57">
        <f>IF($A2013="","",$A2013&amp;"|"&amp;$C2013)</f>
        <v/>
      </c>
      <c r="R2013" s="57">
        <f>IF($A2013="","",$A2013&amp;"|"&amp;$C2013&amp;"|"&amp;$D2013)</f>
        <v/>
      </c>
      <c r="S2013" s="57">
        <f>IF($A2013="","",IFERROR(INDEX(Offerte!$D$2:$D$81,MATCH($Q2013,Offerte!$L$2:$L$81,0)),0))</f>
        <v/>
      </c>
      <c r="T2013" s="57">
        <f>IF($A2013="","",IFERROR(INDEX(Offerte!$G$2:$G$81,MATCH($Q2013,Offerte!$L$2:$L$81,0)),"NO"))</f>
        <v/>
      </c>
    </row>
    <row r="2014">
      <c r="A2014" s="48">
        <f>IF(Offerte!$A66="","",Offerte!$A66)</f>
        <v/>
      </c>
      <c r="B2014" s="48">
        <f>IF(Offerte!$A66="","",Offerte!$B66)</f>
        <v/>
      </c>
      <c r="C2014" s="48">
        <f>IF(Offerte!$A66="","",Offerte!$C66)</f>
        <v/>
      </c>
      <c r="D2014" s="48" t="inlineStr">
        <is>
          <t>F.5.1</t>
        </is>
      </c>
      <c r="E2014" s="48" t="inlineStr">
        <is>
          <t>F</t>
        </is>
      </c>
      <c r="F2014" s="48" t="inlineStr">
        <is>
          <t>T</t>
        </is>
      </c>
      <c r="G2014" s="48" t="inlineStr">
        <is>
          <t>tabular</t>
        </is>
      </c>
      <c r="H2014" s="48" t="n">
        <v>1</v>
      </c>
      <c r="I2014" s="48" t="inlineStr">
        <is>
          <t>Rendicontazione di sostenibilità ambientale</t>
        </is>
      </c>
      <c r="J2014" s="73" t="n"/>
      <c r="K2014" s="73" t="n"/>
      <c r="L2014" s="73" t="n"/>
      <c r="M2014" s="73" t="n"/>
      <c r="N2014" s="57">
        <f>IF($A2014="","",IF(IFERROR(VALUE($M2014),0)=1,1,0))</f>
        <v/>
      </c>
      <c r="O2014" s="57">
        <f>IF($A2014="",0,IF(OR($S2014&lt;&gt;1,COUNTA($J2014:$M2014)=0),0,IF($N2014=1,$H2014,0)))</f>
        <v/>
      </c>
      <c r="P2014" s="48" t="inlineStr">
        <is>
          <t>sì/no</t>
        </is>
      </c>
      <c r="Q2014" s="57">
        <f>IF($A2014="","",$A2014&amp;"|"&amp;$C2014)</f>
        <v/>
      </c>
      <c r="R2014" s="57">
        <f>IF($A2014="","",$A2014&amp;"|"&amp;$C2014&amp;"|"&amp;$D2014)</f>
        <v/>
      </c>
      <c r="S2014" s="57">
        <f>IF($A2014="","",IFERROR(INDEX(Offerte!$D$2:$D$81,MATCH($Q2014,Offerte!$L$2:$L$81,0)),0))</f>
        <v/>
      </c>
      <c r="T2014" s="57">
        <f>IF($A2014="","",IFERROR(INDEX(Offerte!$G$2:$G$81,MATCH($Q2014,Offerte!$L$2:$L$81,0)),"NO"))</f>
        <v/>
      </c>
    </row>
    <row r="2015">
      <c r="A2015" s="48">
        <f>IF(Offerte!$A66="","",Offerte!$A66)</f>
        <v/>
      </c>
      <c r="B2015" s="48">
        <f>IF(Offerte!$A66="","",Offerte!$B66)</f>
        <v/>
      </c>
      <c r="C2015" s="48">
        <f>IF(Offerte!$A66="","",Offerte!$C66)</f>
        <v/>
      </c>
      <c r="D2015" s="48" t="inlineStr">
        <is>
          <t>G.1.1</t>
        </is>
      </c>
      <c r="E2015" s="48" t="inlineStr">
        <is>
          <t>G</t>
        </is>
      </c>
      <c r="F2015" s="48" t="inlineStr">
        <is>
          <t>D</t>
        </is>
      </c>
      <c r="G2015" s="48" t="inlineStr">
        <is>
          <t>discretionary</t>
        </is>
      </c>
      <c r="H2015" s="48" t="n">
        <v>2</v>
      </c>
      <c r="I2015" s="48" t="inlineStr">
        <is>
          <t>Qualità del progetto di centrale di controllo aziendale</t>
        </is>
      </c>
      <c r="J2015" s="73" t="n"/>
      <c r="K2015" s="73" t="n"/>
      <c r="L2015" s="73" t="n"/>
      <c r="M2015" s="73" t="n"/>
      <c r="N2015" s="57">
        <f>IF($A2015="","",MAX(0,MIN(1,IFERROR(VALUE($M2015),0))))</f>
        <v/>
      </c>
      <c r="O2015" s="57">
        <f>IF($A2015="",0,IF(OR($S2015&lt;&gt;1,COUNTA($J2015:$M2015)=0),0,IF(SUMPRODUCT(MAX(($C$5:$C$2484=$C2015)*($D$5:$D$2484=$D2015)*($S$5:$S$2484=1)*IFERROR($N$5:$N$2484*1,0)))&gt;0,ROUND($H2015*($N2015/SUMPRODUCT(MAX(($C$5:$C$2484=$C2015)*($D$5:$D$2484=$D2015)*($S$5:$S$2484=1)*IFERROR($N$5:$N$2484*1,0)))),4),0)))</f>
        <v/>
      </c>
      <c r="P2015" s="48" t="inlineStr">
        <is>
          <t>coeff.</t>
        </is>
      </c>
      <c r="Q2015" s="57">
        <f>IF($A2015="","",$A2015&amp;"|"&amp;$C2015)</f>
        <v/>
      </c>
      <c r="R2015" s="57">
        <f>IF($A2015="","",$A2015&amp;"|"&amp;$C2015&amp;"|"&amp;$D2015)</f>
        <v/>
      </c>
      <c r="S2015" s="57">
        <f>IF($A2015="","",IFERROR(INDEX(Offerte!$D$2:$D$81,MATCH($Q2015,Offerte!$L$2:$L$81,0)),0))</f>
        <v/>
      </c>
      <c r="T2015" s="57">
        <f>IF($A2015="","",IFERROR(INDEX(Offerte!$G$2:$G$81,MATCH($Q2015,Offerte!$L$2:$L$81,0)),"NO"))</f>
        <v/>
      </c>
    </row>
    <row r="2016">
      <c r="A2016" s="48">
        <f>IF(Offerte!$A66="","",Offerte!$A66)</f>
        <v/>
      </c>
      <c r="B2016" s="48">
        <f>IF(Offerte!$A66="","",Offerte!$B66)</f>
        <v/>
      </c>
      <c r="C2016" s="48">
        <f>IF(Offerte!$A66="","",Offerte!$C66)</f>
        <v/>
      </c>
      <c r="D2016" s="48" t="inlineStr">
        <is>
          <t>G.2.1</t>
        </is>
      </c>
      <c r="E2016" s="48" t="inlineStr">
        <is>
          <t>G</t>
        </is>
      </c>
      <c r="F2016" s="48" t="inlineStr">
        <is>
          <t>T</t>
        </is>
      </c>
      <c r="G2016" s="48" t="inlineStr">
        <is>
          <t>tabular</t>
        </is>
      </c>
      <c r="H2016" s="48" t="n">
        <v>1</v>
      </c>
      <c r="I2016" s="48" t="inlineStr">
        <is>
          <t>Certificazione ISO 45001</t>
        </is>
      </c>
      <c r="J2016" s="73" t="n"/>
      <c r="K2016" s="73" t="n"/>
      <c r="L2016" s="73" t="n"/>
      <c r="M2016" s="73" t="n"/>
      <c r="N2016" s="57">
        <f>IF($A2016="","",IF(IFERROR(VALUE($M2016),0)=1,1,0))</f>
        <v/>
      </c>
      <c r="O2016" s="57">
        <f>IF($A2016="",0,IF(OR($S2016&lt;&gt;1,COUNTA($J2016:$M2016)=0),0,IF($N2016=1,$H2016,0)))</f>
        <v/>
      </c>
      <c r="P2016" s="48" t="inlineStr">
        <is>
          <t>sì/no</t>
        </is>
      </c>
      <c r="Q2016" s="57">
        <f>IF($A2016="","",$A2016&amp;"|"&amp;$C2016)</f>
        <v/>
      </c>
      <c r="R2016" s="57">
        <f>IF($A2016="","",$A2016&amp;"|"&amp;$C2016&amp;"|"&amp;$D2016)</f>
        <v/>
      </c>
      <c r="S2016" s="57">
        <f>IF($A2016="","",IFERROR(INDEX(Offerte!$D$2:$D$81,MATCH($Q2016,Offerte!$L$2:$L$81,0)),0))</f>
        <v/>
      </c>
      <c r="T2016" s="57">
        <f>IF($A2016="","",IFERROR(INDEX(Offerte!$G$2:$G$81,MATCH($Q2016,Offerte!$L$2:$L$81,0)),"NO"))</f>
        <v/>
      </c>
    </row>
    <row r="2017">
      <c r="A2017" s="48">
        <f>IF(Offerte!$A66="","",Offerte!$A66)</f>
        <v/>
      </c>
      <c r="B2017" s="48">
        <f>IF(Offerte!$A66="","",Offerte!$B66)</f>
        <v/>
      </c>
      <c r="C2017" s="48">
        <f>IF(Offerte!$A66="","",Offerte!$C66)</f>
        <v/>
      </c>
      <c r="D2017" s="48" t="inlineStr">
        <is>
          <t>G.3.1</t>
        </is>
      </c>
      <c r="E2017" s="48" t="inlineStr">
        <is>
          <t>G</t>
        </is>
      </c>
      <c r="F2017" s="48" t="inlineStr">
        <is>
          <t>T</t>
        </is>
      </c>
      <c r="G2017" s="48" t="inlineStr">
        <is>
          <t>tabular</t>
        </is>
      </c>
      <c r="H2017" s="48" t="n">
        <v>1</v>
      </c>
      <c r="I2017" s="48" t="inlineStr">
        <is>
          <t>Certificazioni di responsabilità sociale</t>
        </is>
      </c>
      <c r="J2017" s="73" t="n"/>
      <c r="K2017" s="73" t="n"/>
      <c r="L2017" s="73" t="n"/>
      <c r="M2017" s="73" t="n"/>
      <c r="N2017" s="57">
        <f>IF($A2017="","",IF(IFERROR(VALUE($M2017),0)=1,1,0))</f>
        <v/>
      </c>
      <c r="O2017" s="57">
        <f>IF($A2017="",0,IF(OR($S2017&lt;&gt;1,COUNTA($J2017:$M2017)=0),0,IF($N2017=1,$H2017,0)))</f>
        <v/>
      </c>
      <c r="P2017" s="48" t="inlineStr">
        <is>
          <t>sì/no</t>
        </is>
      </c>
      <c r="Q2017" s="57">
        <f>IF($A2017="","",$A2017&amp;"|"&amp;$C2017)</f>
        <v/>
      </c>
      <c r="R2017" s="57">
        <f>IF($A2017="","",$A2017&amp;"|"&amp;$C2017&amp;"|"&amp;$D2017)</f>
        <v/>
      </c>
      <c r="S2017" s="57">
        <f>IF($A2017="","",IFERROR(INDEX(Offerte!$D$2:$D$81,MATCH($Q2017,Offerte!$L$2:$L$81,0)),0))</f>
        <v/>
      </c>
      <c r="T2017" s="57">
        <f>IF($A2017="","",IFERROR(INDEX(Offerte!$G$2:$G$81,MATCH($Q2017,Offerte!$L$2:$L$81,0)),"NO"))</f>
        <v/>
      </c>
    </row>
    <row r="2018">
      <c r="A2018" s="48">
        <f>IF(Offerte!$A66="","",Offerte!$A66)</f>
        <v/>
      </c>
      <c r="B2018" s="48">
        <f>IF(Offerte!$A66="","",Offerte!$B66)</f>
        <v/>
      </c>
      <c r="C2018" s="48">
        <f>IF(Offerte!$A66="","",Offerte!$C66)</f>
        <v/>
      </c>
      <c r="D2018" s="48" t="inlineStr">
        <is>
          <t>G.4.1</t>
        </is>
      </c>
      <c r="E2018" s="48" t="inlineStr">
        <is>
          <t>G</t>
        </is>
      </c>
      <c r="F2018" s="48" t="inlineStr">
        <is>
          <t>D</t>
        </is>
      </c>
      <c r="G2018" s="48" t="inlineStr">
        <is>
          <t>discretionary</t>
        </is>
      </c>
      <c r="H2018" s="48" t="n">
        <v>2</v>
      </c>
      <c r="I2018" s="48" t="inlineStr">
        <is>
          <t>Qualità del piano di formazione del personale</t>
        </is>
      </c>
      <c r="J2018" s="73" t="n"/>
      <c r="K2018" s="73" t="n"/>
      <c r="L2018" s="73" t="n"/>
      <c r="M2018" s="73" t="n"/>
      <c r="N2018" s="57">
        <f>IF($A2018="","",MAX(0,MIN(1,IFERROR(VALUE($M2018),0))))</f>
        <v/>
      </c>
      <c r="O2018" s="57">
        <f>IF($A2018="",0,IF(OR($S2018&lt;&gt;1,COUNTA($J2018:$M2018)=0),0,IF(SUMPRODUCT(MAX(($C$5:$C$2484=$C2018)*($D$5:$D$2484=$D2018)*($S$5:$S$2484=1)*IFERROR($N$5:$N$2484*1,0)))&gt;0,ROUND($H2018*($N2018/SUMPRODUCT(MAX(($C$5:$C$2484=$C2018)*($D$5:$D$2484=$D2018)*($S$5:$S$2484=1)*IFERROR($N$5:$N$2484*1,0)))),4),0)))</f>
        <v/>
      </c>
      <c r="P2018" s="48" t="inlineStr">
        <is>
          <t>coeff.</t>
        </is>
      </c>
      <c r="Q2018" s="57">
        <f>IF($A2018="","",$A2018&amp;"|"&amp;$C2018)</f>
        <v/>
      </c>
      <c r="R2018" s="57">
        <f>IF($A2018="","",$A2018&amp;"|"&amp;$C2018&amp;"|"&amp;$D2018)</f>
        <v/>
      </c>
      <c r="S2018" s="57">
        <f>IF($A2018="","",IFERROR(INDEX(Offerte!$D$2:$D$81,MATCH($Q2018,Offerte!$L$2:$L$81,0)),0))</f>
        <v/>
      </c>
      <c r="T2018" s="57">
        <f>IF($A2018="","",IFERROR(INDEX(Offerte!$G$2:$G$81,MATCH($Q2018,Offerte!$L$2:$L$81,0)),"NO"))</f>
        <v/>
      </c>
    </row>
    <row r="2019">
      <c r="A2019" s="48">
        <f>IF(Offerte!$A66="","",Offerte!$A66)</f>
        <v/>
      </c>
      <c r="B2019" s="48">
        <f>IF(Offerte!$A66="","",Offerte!$B66)</f>
        <v/>
      </c>
      <c r="C2019" s="48">
        <f>IF(Offerte!$A66="","",Offerte!$C66)</f>
        <v/>
      </c>
      <c r="D2019" s="48" t="inlineStr">
        <is>
          <t>G.5.1</t>
        </is>
      </c>
      <c r="E2019" s="48" t="inlineStr">
        <is>
          <t>G</t>
        </is>
      </c>
      <c r="F2019" s="48" t="inlineStr">
        <is>
          <t>T</t>
        </is>
      </c>
      <c r="G2019" s="48" t="inlineStr">
        <is>
          <t>tabular</t>
        </is>
      </c>
      <c r="H2019" s="48" t="n">
        <v>1</v>
      </c>
      <c r="I2019" s="48" t="inlineStr">
        <is>
          <t>Impegno al mantenimento delle garanzie del contratto di secondo livello del gestore uscente</t>
        </is>
      </c>
      <c r="J2019" s="73" t="n"/>
      <c r="K2019" s="73" t="n"/>
      <c r="L2019" s="73" t="n"/>
      <c r="M2019" s="73" t="n"/>
      <c r="N2019" s="57">
        <f>IF($A2019="","",IF(IFERROR(VALUE($M2019),0)=1,1,0))</f>
        <v/>
      </c>
      <c r="O2019" s="57">
        <f>IF($A2019="",0,IF(OR($S2019&lt;&gt;1,COUNTA($J2019:$M2019)=0),0,IF($N2019=1,$H2019,0)))</f>
        <v/>
      </c>
      <c r="P2019" s="48" t="inlineStr">
        <is>
          <t>sì/no</t>
        </is>
      </c>
      <c r="Q2019" s="57">
        <f>IF($A2019="","",$A2019&amp;"|"&amp;$C2019)</f>
        <v/>
      </c>
      <c r="R2019" s="57">
        <f>IF($A2019="","",$A2019&amp;"|"&amp;$C2019&amp;"|"&amp;$D2019)</f>
        <v/>
      </c>
      <c r="S2019" s="57">
        <f>IF($A2019="","",IFERROR(INDEX(Offerte!$D$2:$D$81,MATCH($Q2019,Offerte!$L$2:$L$81,0)),0))</f>
        <v/>
      </c>
      <c r="T2019" s="57">
        <f>IF($A2019="","",IFERROR(INDEX(Offerte!$G$2:$G$81,MATCH($Q2019,Offerte!$L$2:$L$81,0)),"NO"))</f>
        <v/>
      </c>
    </row>
    <row r="2020">
      <c r="A2020" s="48">
        <f>IF(Offerte!$A67="","",Offerte!$A67)</f>
        <v/>
      </c>
      <c r="B2020" s="48">
        <f>IF(Offerte!$A67="","",Offerte!$B67)</f>
        <v/>
      </c>
      <c r="C2020" s="48">
        <f>IF(Offerte!$A67="","",Offerte!$C67)</f>
        <v/>
      </c>
      <c r="D2020" s="48" t="inlineStr">
        <is>
          <t>A.1.1</t>
        </is>
      </c>
      <c r="E2020" s="48" t="inlineStr">
        <is>
          <t>A</t>
        </is>
      </c>
      <c r="F2020" s="48" t="inlineStr">
        <is>
          <t>Q</t>
        </is>
      </c>
      <c r="G2020" s="48" t="inlineStr">
        <is>
          <t>higher</t>
        </is>
      </c>
      <c r="H2020" s="48" t="n">
        <v>3</v>
      </c>
      <c r="I2020" s="48" t="inlineStr">
        <is>
          <t>Tasso aggiuntivo di corse controllate</t>
        </is>
      </c>
      <c r="J2020" s="73" t="n"/>
      <c r="K2020" s="73" t="n"/>
      <c r="L2020" s="73" t="n"/>
      <c r="M2020" s="73" t="n"/>
      <c r="N2020" s="57">
        <f>IF($A2020="","",IFERROR(VALUE($K2020)/VALUE($L2020)*100,IFERROR(VALUE($J2020),0)))</f>
        <v/>
      </c>
      <c r="O2020" s="57">
        <f>IF($A2020="",0,IF(OR($S2020&lt;&gt;1,COUNTA($J2020:$M2020)=0),0,IF(SUMPRODUCT(MAX(($C$5:$C$2484=$C2020)*($D$5:$D$2484=$D2020)*($S$5:$S$2484=1)*IFERROR($N$5:$N$2484*1,0)))&gt;0,ROUND($H2020*($N2020/SUMPRODUCT(MAX(($C$5:$C$2484=$C2020)*($D$5:$D$2484=$D2020)*($S$5:$S$2484=1)*IFERROR($N$5:$N$2484*1,0)))),4),0)))</f>
        <v/>
      </c>
      <c r="P2020" s="48" t="inlineStr">
        <is>
          <t>Corse controllate annue / Corse programmate annue</t>
        </is>
      </c>
      <c r="Q2020" s="57">
        <f>IF($A2020="","",$A2020&amp;"|"&amp;$C2020)</f>
        <v/>
      </c>
      <c r="R2020" s="57">
        <f>IF($A2020="","",$A2020&amp;"|"&amp;$C2020&amp;"|"&amp;$D2020)</f>
        <v/>
      </c>
      <c r="S2020" s="57">
        <f>IF($A2020="","",IFERROR(INDEX(Offerte!$D$2:$D$81,MATCH($Q2020,Offerte!$L$2:$L$81,0)),0))</f>
        <v/>
      </c>
      <c r="T2020" s="57">
        <f>IF($A2020="","",IFERROR(INDEX(Offerte!$G$2:$G$81,MATCH($Q2020,Offerte!$L$2:$L$81,0)),"NO"))</f>
        <v/>
      </c>
    </row>
    <row r="2021">
      <c r="A2021" s="48">
        <f>IF(Offerte!$A67="","",Offerte!$A67)</f>
        <v/>
      </c>
      <c r="B2021" s="48">
        <f>IF(Offerte!$A67="","",Offerte!$B67)</f>
        <v/>
      </c>
      <c r="C2021" s="48">
        <f>IF(Offerte!$A67="","",Offerte!$C67)</f>
        <v/>
      </c>
      <c r="D2021" s="48" t="inlineStr">
        <is>
          <t>A.1.2</t>
        </is>
      </c>
      <c r="E2021" s="48" t="inlineStr">
        <is>
          <t>A</t>
        </is>
      </c>
      <c r="F2021" s="48" t="inlineStr">
        <is>
          <t>Q</t>
        </is>
      </c>
      <c r="G2021" s="48" t="inlineStr">
        <is>
          <t>higher</t>
        </is>
      </c>
      <c r="H2021" s="48" t="n">
        <v>4</v>
      </c>
      <c r="I2021" s="48" t="inlineStr">
        <is>
          <t>Numero aggiuntivo di passeggeri controllati</t>
        </is>
      </c>
      <c r="J2021" s="73" t="n"/>
      <c r="K2021" s="73" t="n"/>
      <c r="L2021" s="73" t="n"/>
      <c r="M2021" s="73" t="n"/>
      <c r="N2021" s="57">
        <f>IF($A2021="","",IFERROR(VALUE($J2021),0))</f>
        <v/>
      </c>
      <c r="O2021" s="57">
        <f>IF($A2021="",0,IF(OR($S2021&lt;&gt;1,COUNTA($J2021:$M2021)=0),0,IF(SUMPRODUCT(MAX(($C$5:$C$2484=$C2021)*($D$5:$D$2484=$D2021)*($S$5:$S$2484=1)*IFERROR($N$5:$N$2484*1,0)))&gt;0,ROUND($H2021*($N2021/SUMPRODUCT(MAX(($C$5:$C$2484=$C2021)*($D$5:$D$2484=$D2021)*($S$5:$S$2484=1)*IFERROR($N$5:$N$2484*1,0)))),4),0)))</f>
        <v/>
      </c>
      <c r="P2021" s="48" t="inlineStr">
        <is>
          <t>passeggeri/anno</t>
        </is>
      </c>
      <c r="Q2021" s="57">
        <f>IF($A2021="","",$A2021&amp;"|"&amp;$C2021)</f>
        <v/>
      </c>
      <c r="R2021" s="57">
        <f>IF($A2021="","",$A2021&amp;"|"&amp;$C2021&amp;"|"&amp;$D2021)</f>
        <v/>
      </c>
      <c r="S2021" s="57">
        <f>IF($A2021="","",IFERROR(INDEX(Offerte!$D$2:$D$81,MATCH($Q2021,Offerte!$L$2:$L$81,0)),0))</f>
        <v/>
      </c>
      <c r="T2021" s="57">
        <f>IF($A2021="","",IFERROR(INDEX(Offerte!$G$2:$G$81,MATCH($Q2021,Offerte!$L$2:$L$81,0)),"NO"))</f>
        <v/>
      </c>
    </row>
    <row r="2022">
      <c r="A2022" s="48">
        <f>IF(Offerte!$A67="","",Offerte!$A67)</f>
        <v/>
      </c>
      <c r="B2022" s="48">
        <f>IF(Offerte!$A67="","",Offerte!$B67)</f>
        <v/>
      </c>
      <c r="C2022" s="48">
        <f>IF(Offerte!$A67="","",Offerte!$C67)</f>
        <v/>
      </c>
      <c r="D2022" s="48" t="inlineStr">
        <is>
          <t>B.1.1</t>
        </is>
      </c>
      <c r="E2022" s="48" t="inlineStr">
        <is>
          <t>B</t>
        </is>
      </c>
      <c r="F2022" s="48" t="inlineStr">
        <is>
          <t>Q</t>
        </is>
      </c>
      <c r="G2022" s="48" t="inlineStr">
        <is>
          <t>higher</t>
        </is>
      </c>
      <c r="H2022" s="48" t="n">
        <v>3</v>
      </c>
      <c r="I2022" s="48" t="inlineStr">
        <is>
          <t>Incremento dei posti offerti nelle fasce di punta</t>
        </is>
      </c>
      <c r="J2022" s="73" t="n"/>
      <c r="K2022" s="73" t="n"/>
      <c r="L2022" s="73" t="n"/>
      <c r="M2022" s="73" t="n"/>
      <c r="N2022" s="57">
        <f>IF($A2022="","",IFERROR(VALUE($J2022),0))</f>
        <v/>
      </c>
      <c r="O2022" s="57">
        <f>IF($A2022="",0,IF(OR($S2022&lt;&gt;1,COUNTA($J2022:$M2022)=0),0,IF(SUMPRODUCT(MAX(($C$5:$C$2484=$C2022)*($D$5:$D$2484=$D2022)*($S$5:$S$2484=1)*IFERROR($N$5:$N$2484*1,0)))&gt;0,ROUND($H2022*($N2022/SUMPRODUCT(MAX(($C$5:$C$2484=$C2022)*($D$5:$D$2484=$D2022)*($S$5:$S$2484=1)*IFERROR($N$5:$N$2484*1,0)))),4),0)))</f>
        <v/>
      </c>
      <c r="P2022" s="48" t="inlineStr">
        <is>
          <t>posti*km</t>
        </is>
      </c>
      <c r="Q2022" s="57">
        <f>IF($A2022="","",$A2022&amp;"|"&amp;$C2022)</f>
        <v/>
      </c>
      <c r="R2022" s="57">
        <f>IF($A2022="","",$A2022&amp;"|"&amp;$C2022&amp;"|"&amp;$D2022)</f>
        <v/>
      </c>
      <c r="S2022" s="57">
        <f>IF($A2022="","",IFERROR(INDEX(Offerte!$D$2:$D$81,MATCH($Q2022,Offerte!$L$2:$L$81,0)),0))</f>
        <v/>
      </c>
      <c r="T2022" s="57">
        <f>IF($A2022="","",IFERROR(INDEX(Offerte!$G$2:$G$81,MATCH($Q2022,Offerte!$L$2:$L$81,0)),"NO"))</f>
        <v/>
      </c>
    </row>
    <row r="2023">
      <c r="A2023" s="48">
        <f>IF(Offerte!$A67="","",Offerte!$A67)</f>
        <v/>
      </c>
      <c r="B2023" s="48">
        <f>IF(Offerte!$A67="","",Offerte!$B67)</f>
        <v/>
      </c>
      <c r="C2023" s="48">
        <f>IF(Offerte!$A67="","",Offerte!$C67)</f>
        <v/>
      </c>
      <c r="D2023" s="48" t="inlineStr">
        <is>
          <t>B.2.1</t>
        </is>
      </c>
      <c r="E2023" s="48" t="inlineStr">
        <is>
          <t>B</t>
        </is>
      </c>
      <c r="F2023" s="48" t="inlineStr">
        <is>
          <t>Q</t>
        </is>
      </c>
      <c r="G2023" s="48" t="inlineStr">
        <is>
          <t>higher</t>
        </is>
      </c>
      <c r="H2023" s="48" t="n">
        <v>4</v>
      </c>
      <c r="I2023" s="48" t="inlineStr">
        <is>
          <t>Corse aggiuntive nell'arco giornaliero base</t>
        </is>
      </c>
      <c r="J2023" s="73" t="n"/>
      <c r="K2023" s="73" t="n"/>
      <c r="L2023" s="73" t="n"/>
      <c r="M2023" s="73" t="n"/>
      <c r="N2023" s="57">
        <f>IF($A2023="","",IFERROR(VALUE($J2023),0))</f>
        <v/>
      </c>
      <c r="O2023" s="57">
        <f>IF($A2023="",0,IF(OR($S2023&lt;&gt;1,COUNTA($J2023:$M2023)=0),0,IF(SUMPRODUCT(MAX(($C$5:$C$2484=$C2023)*($D$5:$D$2484=$D2023)*($S$5:$S$2484=1)*IFERROR($N$5:$N$2484*1,0)))&gt;0,ROUND($H2023*($N2023/SUMPRODUCT(MAX(($C$5:$C$2484=$C2023)*($D$5:$D$2484=$D2023)*($S$5:$S$2484=1)*IFERROR($N$5:$N$2484*1,0)))),4),0)))</f>
        <v/>
      </c>
      <c r="P2023" s="48" t="inlineStr">
        <is>
          <t>corse</t>
        </is>
      </c>
      <c r="Q2023" s="57">
        <f>IF($A2023="","",$A2023&amp;"|"&amp;$C2023)</f>
        <v/>
      </c>
      <c r="R2023" s="57">
        <f>IF($A2023="","",$A2023&amp;"|"&amp;$C2023&amp;"|"&amp;$D2023)</f>
        <v/>
      </c>
      <c r="S2023" s="57">
        <f>IF($A2023="","",IFERROR(INDEX(Offerte!$D$2:$D$81,MATCH($Q2023,Offerte!$L$2:$L$81,0)),0))</f>
        <v/>
      </c>
      <c r="T2023" s="57">
        <f>IF($A2023="","",IFERROR(INDEX(Offerte!$G$2:$G$81,MATCH($Q2023,Offerte!$L$2:$L$81,0)),"NO"))</f>
        <v/>
      </c>
    </row>
    <row r="2024">
      <c r="A2024" s="48">
        <f>IF(Offerte!$A67="","",Offerte!$A67)</f>
        <v/>
      </c>
      <c r="B2024" s="48">
        <f>IF(Offerte!$A67="","",Offerte!$B67)</f>
        <v/>
      </c>
      <c r="C2024" s="48">
        <f>IF(Offerte!$A67="","",Offerte!$C67)</f>
        <v/>
      </c>
      <c r="D2024" s="48" t="inlineStr">
        <is>
          <t>B.3.1</t>
        </is>
      </c>
      <c r="E2024" s="48" t="inlineStr">
        <is>
          <t>B</t>
        </is>
      </c>
      <c r="F2024" s="48" t="inlineStr">
        <is>
          <t>Q</t>
        </is>
      </c>
      <c r="G2024" s="48" t="inlineStr">
        <is>
          <t>higher</t>
        </is>
      </c>
      <c r="H2024" s="48" t="n">
        <v>2</v>
      </c>
      <c r="I2024" s="48" t="inlineStr">
        <is>
          <t>Numero di corse aggiuntive per allungamento dell'arco di servizio giornaliero nelle fasce serali</t>
        </is>
      </c>
      <c r="J2024" s="73" t="n"/>
      <c r="K2024" s="73" t="n"/>
      <c r="L2024" s="73" t="n"/>
      <c r="M2024" s="73" t="n"/>
      <c r="N2024" s="57">
        <f>IF($A2024="","",IFERROR(VALUE($J2024),0))</f>
        <v/>
      </c>
      <c r="O2024" s="57">
        <f>IF($A2024="",0,IF(OR($S2024&lt;&gt;1,COUNTA($J2024:$M2024)=0),0,IF(SUMPRODUCT(MAX(($C$5:$C$2484=$C2024)*($D$5:$D$2484=$D2024)*($S$5:$S$2484=1)*IFERROR($N$5:$N$2484*1,0)))&gt;0,ROUND($H2024*($N2024/SUMPRODUCT(MAX(($C$5:$C$2484=$C2024)*($D$5:$D$2484=$D2024)*($S$5:$S$2484=1)*IFERROR($N$5:$N$2484*1,0)))),4),0)))</f>
        <v/>
      </c>
      <c r="P2024" s="48" t="inlineStr">
        <is>
          <t>corse</t>
        </is>
      </c>
      <c r="Q2024" s="57">
        <f>IF($A2024="","",$A2024&amp;"|"&amp;$C2024)</f>
        <v/>
      </c>
      <c r="R2024" s="57">
        <f>IF($A2024="","",$A2024&amp;"|"&amp;$C2024&amp;"|"&amp;$D2024)</f>
        <v/>
      </c>
      <c r="S2024" s="57">
        <f>IF($A2024="","",IFERROR(INDEX(Offerte!$D$2:$D$81,MATCH($Q2024,Offerte!$L$2:$L$81,0)),0))</f>
        <v/>
      </c>
      <c r="T2024" s="57">
        <f>IF($A2024="","",IFERROR(INDEX(Offerte!$G$2:$G$81,MATCH($Q2024,Offerte!$L$2:$L$81,0)),"NO"))</f>
        <v/>
      </c>
    </row>
    <row r="2025">
      <c r="A2025" s="48">
        <f>IF(Offerte!$A67="","",Offerte!$A67)</f>
        <v/>
      </c>
      <c r="B2025" s="48">
        <f>IF(Offerte!$A67="","",Offerte!$B67)</f>
        <v/>
      </c>
      <c r="C2025" s="48">
        <f>IF(Offerte!$A67="","",Offerte!$C67)</f>
        <v/>
      </c>
      <c r="D2025" s="48" t="inlineStr">
        <is>
          <t>B.4.1</t>
        </is>
      </c>
      <c r="E2025" s="48" t="inlineStr">
        <is>
          <t>B</t>
        </is>
      </c>
      <c r="F2025" s="48" t="inlineStr">
        <is>
          <t>Q</t>
        </is>
      </c>
      <c r="G2025" s="48" t="inlineStr">
        <is>
          <t>higher</t>
        </is>
      </c>
      <c r="H2025" s="48" t="n">
        <v>3</v>
      </c>
      <c r="I2025" s="48" t="inlineStr">
        <is>
          <t>Percorrenze aggiuntive offerte nel Programma d'esercizio delle prime due fasi attuative</t>
        </is>
      </c>
      <c r="J2025" s="73" t="n"/>
      <c r="K2025" s="73" t="n"/>
      <c r="L2025" s="73" t="n"/>
      <c r="M2025" s="73" t="n"/>
      <c r="N2025" s="57">
        <f>IF($A2025="","",IFERROR(VALUE($J2025),0))</f>
        <v/>
      </c>
      <c r="O2025" s="57">
        <f>IF($A2025="",0,IF(OR($S2025&lt;&gt;1,COUNTA($J2025:$M2025)=0),0,IF(SUMPRODUCT(MAX(($C$5:$C$2484=$C2025)*($D$5:$D$2484=$D2025)*($S$5:$S$2484=1)*IFERROR($N$5:$N$2484*1,0)))&gt;0,ROUND($H2025*($N2025/SUMPRODUCT(MAX(($C$5:$C$2484=$C2025)*($D$5:$D$2484=$D2025)*($S$5:$S$2484=1)*IFERROR($N$5:$N$2484*1,0)))),4),0)))</f>
        <v/>
      </c>
      <c r="P2025" s="48" t="inlineStr">
        <is>
          <t>vett*km</t>
        </is>
      </c>
      <c r="Q2025" s="57">
        <f>IF($A2025="","",$A2025&amp;"|"&amp;$C2025)</f>
        <v/>
      </c>
      <c r="R2025" s="57">
        <f>IF($A2025="","",$A2025&amp;"|"&amp;$C2025&amp;"|"&amp;$D2025)</f>
        <v/>
      </c>
      <c r="S2025" s="57">
        <f>IF($A2025="","",IFERROR(INDEX(Offerte!$D$2:$D$81,MATCH($Q2025,Offerte!$L$2:$L$81,0)),0))</f>
        <v/>
      </c>
      <c r="T2025" s="57">
        <f>IF($A2025="","",IFERROR(INDEX(Offerte!$G$2:$G$81,MATCH($Q2025,Offerte!$L$2:$L$81,0)),"NO"))</f>
        <v/>
      </c>
    </row>
    <row r="2026">
      <c r="A2026" s="48">
        <f>IF(Offerte!$A67="","",Offerte!$A67)</f>
        <v/>
      </c>
      <c r="B2026" s="48">
        <f>IF(Offerte!$A67="","",Offerte!$B67)</f>
        <v/>
      </c>
      <c r="C2026" s="48">
        <f>IF(Offerte!$A67="","",Offerte!$C67)</f>
        <v/>
      </c>
      <c r="D2026" s="48" t="inlineStr">
        <is>
          <t>B.5.1</t>
        </is>
      </c>
      <c r="E2026" s="48" t="inlineStr">
        <is>
          <t>B</t>
        </is>
      </c>
      <c r="F2026" s="48" t="inlineStr">
        <is>
          <t>D</t>
        </is>
      </c>
      <c r="G2026" s="48" t="inlineStr">
        <is>
          <t>discretionary</t>
        </is>
      </c>
      <c r="H2026" s="48" t="n">
        <v>2</v>
      </c>
      <c r="I2026" s="48" t="inlineStr">
        <is>
          <t>Efficacia del progetto di servizi complementari DRT</t>
        </is>
      </c>
      <c r="J2026" s="73" t="n"/>
      <c r="K2026" s="73" t="n"/>
      <c r="L2026" s="73" t="n"/>
      <c r="M2026" s="73" t="n"/>
      <c r="N2026" s="57">
        <f>IF($A2026="","",MAX(0,MIN(1,IFERROR(VALUE($M2026),0))))</f>
        <v/>
      </c>
      <c r="O2026" s="57">
        <f>IF($A2026="",0,IF(OR($S2026&lt;&gt;1,COUNTA($J2026:$M2026)=0),0,IF(SUMPRODUCT(MAX(($C$5:$C$2484=$C2026)*($D$5:$D$2484=$D2026)*($S$5:$S$2484=1)*IFERROR($N$5:$N$2484*1,0)))&gt;0,ROUND($H2026*($N2026/SUMPRODUCT(MAX(($C$5:$C$2484=$C2026)*($D$5:$D$2484=$D2026)*($S$5:$S$2484=1)*IFERROR($N$5:$N$2484*1,0)))),4),0)))</f>
        <v/>
      </c>
      <c r="P2026" s="48" t="inlineStr">
        <is>
          <t>coeff.</t>
        </is>
      </c>
      <c r="Q2026" s="57">
        <f>IF($A2026="","",$A2026&amp;"|"&amp;$C2026)</f>
        <v/>
      </c>
      <c r="R2026" s="57">
        <f>IF($A2026="","",$A2026&amp;"|"&amp;$C2026&amp;"|"&amp;$D2026)</f>
        <v/>
      </c>
      <c r="S2026" s="57">
        <f>IF($A2026="","",IFERROR(INDEX(Offerte!$D$2:$D$81,MATCH($Q2026,Offerte!$L$2:$L$81,0)),0))</f>
        <v/>
      </c>
      <c r="T2026" s="57">
        <f>IF($A2026="","",IFERROR(INDEX(Offerte!$G$2:$G$81,MATCH($Q2026,Offerte!$L$2:$L$81,0)),"NO"))</f>
        <v/>
      </c>
    </row>
    <row r="2027">
      <c r="A2027" s="48">
        <f>IF(Offerte!$A67="","",Offerte!$A67)</f>
        <v/>
      </c>
      <c r="B2027" s="48">
        <f>IF(Offerte!$A67="","",Offerte!$B67)</f>
        <v/>
      </c>
      <c r="C2027" s="48">
        <f>IF(Offerte!$A67="","",Offerte!$C67)</f>
        <v/>
      </c>
      <c r="D2027" s="48" t="inlineStr">
        <is>
          <t>C.1.1</t>
        </is>
      </c>
      <c r="E2027" s="48" t="inlineStr">
        <is>
          <t>C</t>
        </is>
      </c>
      <c r="F2027" s="48" t="inlineStr">
        <is>
          <t>Q</t>
        </is>
      </c>
      <c r="G2027" s="48" t="inlineStr">
        <is>
          <t>higher</t>
        </is>
      </c>
      <c r="H2027" s="48" t="n">
        <v>2</v>
      </c>
      <c r="I2027" s="48" t="inlineStr">
        <is>
          <t>Tasso di copertura del servizio con telecamere BSD</t>
        </is>
      </c>
      <c r="J2027" s="73" t="n"/>
      <c r="K2027" s="73" t="n"/>
      <c r="L2027" s="73" t="n"/>
      <c r="M2027" s="73" t="n"/>
      <c r="N2027" s="57">
        <f>IF($A2027="","",IFERROR(VALUE($K2027)/VALUE($L2027),IFERROR(VALUE($J2027),0)))</f>
        <v/>
      </c>
      <c r="O2027" s="57">
        <f>IF($A2027="",0,IF(OR($S2027&lt;&gt;1,COUNTA($J2027:$M2027)=0),0,IF(SUMPRODUCT(MAX(($C$5:$C$2484=$C2027)*($D$5:$D$2484=$D2027)*($S$5:$S$2484=1)*IFERROR($N$5:$N$2484*1,0)))&gt;0,ROUND($H2027*($N2027/SUMPRODUCT(MAX(($C$5:$C$2484=$C2027)*($D$5:$D$2484=$D2027)*($S$5:$S$2484=1)*IFERROR($N$5:$N$2484*1,0)))),4),0)))</f>
        <v/>
      </c>
      <c r="P2027" s="48" t="inlineStr">
        <is>
          <t>Autobus attrezzati con telecamere BSD / Autobus totali in offerta, incluse scorte</t>
        </is>
      </c>
      <c r="Q2027" s="57">
        <f>IF($A2027="","",$A2027&amp;"|"&amp;$C2027)</f>
        <v/>
      </c>
      <c r="R2027" s="57">
        <f>IF($A2027="","",$A2027&amp;"|"&amp;$C2027&amp;"|"&amp;$D2027)</f>
        <v/>
      </c>
      <c r="S2027" s="57">
        <f>IF($A2027="","",IFERROR(INDEX(Offerte!$D$2:$D$81,MATCH($Q2027,Offerte!$L$2:$L$81,0)),0))</f>
        <v/>
      </c>
      <c r="T2027" s="57">
        <f>IF($A2027="","",IFERROR(INDEX(Offerte!$G$2:$G$81,MATCH($Q2027,Offerte!$L$2:$L$81,0)),"NO"))</f>
        <v/>
      </c>
    </row>
    <row r="2028">
      <c r="A2028" s="48">
        <f>IF(Offerte!$A67="","",Offerte!$A67)</f>
        <v/>
      </c>
      <c r="B2028" s="48">
        <f>IF(Offerte!$A67="","",Offerte!$B67)</f>
        <v/>
      </c>
      <c r="C2028" s="48">
        <f>IF(Offerte!$A67="","",Offerte!$C67)</f>
        <v/>
      </c>
      <c r="D2028" s="48" t="inlineStr">
        <is>
          <t>C.1.2</t>
        </is>
      </c>
      <c r="E2028" s="48" t="inlineStr">
        <is>
          <t>C</t>
        </is>
      </c>
      <c r="F2028" s="48" t="inlineStr">
        <is>
          <t>Q</t>
        </is>
      </c>
      <c r="G2028" s="48" t="inlineStr">
        <is>
          <t>higher</t>
        </is>
      </c>
      <c r="H2028" s="48" t="n">
        <v>2</v>
      </c>
      <c r="I2028" s="48" t="inlineStr">
        <is>
          <t>Tasso di copertura del servizio con telecamere ADAS</t>
        </is>
      </c>
      <c r="J2028" s="73" t="n"/>
      <c r="K2028" s="73" t="n"/>
      <c r="L2028" s="73" t="n"/>
      <c r="M2028" s="73" t="n"/>
      <c r="N2028" s="57">
        <f>IF($A2028="","",IFERROR(VALUE($K2028)/VALUE($L2028),IFERROR(VALUE($J2028),0)))</f>
        <v/>
      </c>
      <c r="O2028" s="57">
        <f>IF($A2028="",0,IF(OR($S2028&lt;&gt;1,COUNTA($J2028:$M2028)=0),0,IF(SUMPRODUCT(MAX(($C$5:$C$2484=$C2028)*($D$5:$D$2484=$D2028)*($S$5:$S$2484=1)*IFERROR($N$5:$N$2484*1,0)))&gt;0,ROUND($H2028*($N2028/SUMPRODUCT(MAX(($C$5:$C$2484=$C2028)*($D$5:$D$2484=$D2028)*($S$5:$S$2484=1)*IFERROR($N$5:$N$2484*1,0)))),4),0)))</f>
        <v/>
      </c>
      <c r="P2028" s="48" t="inlineStr">
        <is>
          <t>Autobus attrezzati con telecamere ADAS / Autobus totali in offerta, incluse scorte</t>
        </is>
      </c>
      <c r="Q2028" s="57">
        <f>IF($A2028="","",$A2028&amp;"|"&amp;$C2028)</f>
        <v/>
      </c>
      <c r="R2028" s="57">
        <f>IF($A2028="","",$A2028&amp;"|"&amp;$C2028&amp;"|"&amp;$D2028)</f>
        <v/>
      </c>
      <c r="S2028" s="57">
        <f>IF($A2028="","",IFERROR(INDEX(Offerte!$D$2:$D$81,MATCH($Q2028,Offerte!$L$2:$L$81,0)),0))</f>
        <v/>
      </c>
      <c r="T2028" s="57">
        <f>IF($A2028="","",IFERROR(INDEX(Offerte!$G$2:$G$81,MATCH($Q2028,Offerte!$L$2:$L$81,0)),"NO"))</f>
        <v/>
      </c>
    </row>
    <row r="2029">
      <c r="A2029" s="48">
        <f>IF(Offerte!$A67="","",Offerte!$A67)</f>
        <v/>
      </c>
      <c r="B2029" s="48">
        <f>IF(Offerte!$A67="","",Offerte!$B67)</f>
        <v/>
      </c>
      <c r="C2029" s="48">
        <f>IF(Offerte!$A67="","",Offerte!$C67)</f>
        <v/>
      </c>
      <c r="D2029" s="48" t="inlineStr">
        <is>
          <t>C.2.1</t>
        </is>
      </c>
      <c r="E2029" s="48" t="inlineStr">
        <is>
          <t>C</t>
        </is>
      </c>
      <c r="F2029" s="48" t="inlineStr">
        <is>
          <t>Q</t>
        </is>
      </c>
      <c r="G2029" s="48" t="inlineStr">
        <is>
          <t>higher</t>
        </is>
      </c>
      <c r="H2029" s="48" t="n">
        <v>3</v>
      </c>
      <c r="I2029" s="48" t="inlineStr">
        <is>
          <t>Tasso di copertura del servizio con telecamere di bordo di videosorveglianza</t>
        </is>
      </c>
      <c r="J2029" s="73" t="n"/>
      <c r="K2029" s="73" t="n"/>
      <c r="L2029" s="73" t="n"/>
      <c r="M2029" s="73" t="n"/>
      <c r="N2029" s="57">
        <f>IF($A2029="","",IFERROR(VALUE($K2029)/VALUE($L2029),IFERROR(VALUE($J2029),0)))</f>
        <v/>
      </c>
      <c r="O2029" s="57">
        <f>IF($A2029="",0,IF(OR($S2029&lt;&gt;1,COUNTA($J2029:$M2029)=0),0,IF(SUMPRODUCT(MAX(($C$5:$C$2484=$C2029)*($D$5:$D$2484=$D2029)*($S$5:$S$2484=1)*IFERROR($N$5:$N$2484*1,0)))&gt;0,ROUND($H2029*($N2029/SUMPRODUCT(MAX(($C$5:$C$2484=$C2029)*($D$5:$D$2484=$D2029)*($S$5:$S$2484=1)*IFERROR($N$5:$N$2484*1,0)))),4),0)))</f>
        <v/>
      </c>
      <c r="P2029" s="48" t="inlineStr">
        <is>
          <t>Autobus attrezzati con videosorveglianza / Autobus totali in offerta, incluse scorte</t>
        </is>
      </c>
      <c r="Q2029" s="57">
        <f>IF($A2029="","",$A2029&amp;"|"&amp;$C2029)</f>
        <v/>
      </c>
      <c r="R2029" s="57">
        <f>IF($A2029="","",$A2029&amp;"|"&amp;$C2029&amp;"|"&amp;$D2029)</f>
        <v/>
      </c>
      <c r="S2029" s="57">
        <f>IF($A2029="","",IFERROR(INDEX(Offerte!$D$2:$D$81,MATCH($Q2029,Offerte!$L$2:$L$81,0)),0))</f>
        <v/>
      </c>
      <c r="T2029" s="57">
        <f>IF($A2029="","",IFERROR(INDEX(Offerte!$G$2:$G$81,MATCH($Q2029,Offerte!$L$2:$L$81,0)),"NO"))</f>
        <v/>
      </c>
    </row>
    <row r="2030">
      <c r="A2030" s="48">
        <f>IF(Offerte!$A67="","",Offerte!$A67)</f>
        <v/>
      </c>
      <c r="B2030" s="48">
        <f>IF(Offerte!$A67="","",Offerte!$B67)</f>
        <v/>
      </c>
      <c r="C2030" s="48">
        <f>IF(Offerte!$A67="","",Offerte!$C67)</f>
        <v/>
      </c>
      <c r="D2030" s="48" t="inlineStr">
        <is>
          <t>C.2.2</t>
        </is>
      </c>
      <c r="E2030" s="48" t="inlineStr">
        <is>
          <t>C</t>
        </is>
      </c>
      <c r="F2030" s="48" t="inlineStr">
        <is>
          <t>T</t>
        </is>
      </c>
      <c r="G2030" s="48" t="inlineStr">
        <is>
          <t>tabular</t>
        </is>
      </c>
      <c r="H2030" s="48" t="n">
        <v>1</v>
      </c>
      <c r="I2030" s="48" t="inlineStr">
        <is>
          <t>Software video/audio analisi per situazioni di pericolo</t>
        </is>
      </c>
      <c r="J2030" s="73" t="n"/>
      <c r="K2030" s="73" t="n"/>
      <c r="L2030" s="73" t="n"/>
      <c r="M2030" s="73" t="n"/>
      <c r="N2030" s="57">
        <f>IF($A2030="","",IF(IFERROR(VALUE($M2030),0)=1,1,0))</f>
        <v/>
      </c>
      <c r="O2030" s="57">
        <f>IF($A2030="",0,IF(OR($S2030&lt;&gt;1,COUNTA($J2030:$M2030)=0),0,IF($N2030=1,$H2030,0)))</f>
        <v/>
      </c>
      <c r="P2030" s="48" t="inlineStr">
        <is>
          <t>sì/no</t>
        </is>
      </c>
      <c r="Q2030" s="57">
        <f>IF($A2030="","",$A2030&amp;"|"&amp;$C2030)</f>
        <v/>
      </c>
      <c r="R2030" s="57">
        <f>IF($A2030="","",$A2030&amp;"|"&amp;$C2030&amp;"|"&amp;$D2030)</f>
        <v/>
      </c>
      <c r="S2030" s="57">
        <f>IF($A2030="","",IFERROR(INDEX(Offerte!$D$2:$D$81,MATCH($Q2030,Offerte!$L$2:$L$81,0)),0))</f>
        <v/>
      </c>
      <c r="T2030" s="57">
        <f>IF($A2030="","",IFERROR(INDEX(Offerte!$G$2:$G$81,MATCH($Q2030,Offerte!$L$2:$L$81,0)),"NO"))</f>
        <v/>
      </c>
    </row>
    <row r="2031">
      <c r="A2031" s="48">
        <f>IF(Offerte!$A67="","",Offerte!$A67)</f>
        <v/>
      </c>
      <c r="B2031" s="48">
        <f>IF(Offerte!$A67="","",Offerte!$B67)</f>
        <v/>
      </c>
      <c r="C2031" s="48">
        <f>IF(Offerte!$A67="","",Offerte!$C67)</f>
        <v/>
      </c>
      <c r="D2031" s="48" t="inlineStr">
        <is>
          <t>C.2.3</t>
        </is>
      </c>
      <c r="E2031" s="48" t="inlineStr">
        <is>
          <t>C</t>
        </is>
      </c>
      <c r="F2031" s="48" t="inlineStr">
        <is>
          <t>T</t>
        </is>
      </c>
      <c r="G2031" s="48" t="inlineStr">
        <is>
          <t>tabular</t>
        </is>
      </c>
      <c r="H2031" s="48" t="n">
        <v>1</v>
      </c>
      <c r="I2031" s="48" t="inlineStr">
        <is>
          <t>Collegamento con centrale qualificata di pronto intervento</t>
        </is>
      </c>
      <c r="J2031" s="73" t="n"/>
      <c r="K2031" s="73" t="n"/>
      <c r="L2031" s="73" t="n"/>
      <c r="M2031" s="73" t="n"/>
      <c r="N2031" s="57">
        <f>IF($A2031="","",IF(IFERROR(VALUE($M2031),0)=1,1,0))</f>
        <v/>
      </c>
      <c r="O2031" s="57">
        <f>IF($A2031="",0,IF(OR($S2031&lt;&gt;1,COUNTA($J2031:$M2031)=0),0,IF($N2031=1,$H2031,0)))</f>
        <v/>
      </c>
      <c r="P2031" s="48" t="inlineStr">
        <is>
          <t>sì/no</t>
        </is>
      </c>
      <c r="Q2031" s="57">
        <f>IF($A2031="","",$A2031&amp;"|"&amp;$C2031)</f>
        <v/>
      </c>
      <c r="R2031" s="57">
        <f>IF($A2031="","",$A2031&amp;"|"&amp;$C2031&amp;"|"&amp;$D2031)</f>
        <v/>
      </c>
      <c r="S2031" s="57">
        <f>IF($A2031="","",IFERROR(INDEX(Offerte!$D$2:$D$81,MATCH($Q2031,Offerte!$L$2:$L$81,0)),0))</f>
        <v/>
      </c>
      <c r="T2031" s="57">
        <f>IF($A2031="","",IFERROR(INDEX(Offerte!$G$2:$G$81,MATCH($Q2031,Offerte!$L$2:$L$81,0)),"NO"))</f>
        <v/>
      </c>
    </row>
    <row r="2032">
      <c r="A2032" s="48">
        <f>IF(Offerte!$A67="","",Offerte!$A67)</f>
        <v/>
      </c>
      <c r="B2032" s="48">
        <f>IF(Offerte!$A67="","",Offerte!$B67)</f>
        <v/>
      </c>
      <c r="C2032" s="48">
        <f>IF(Offerte!$A67="","",Offerte!$C67)</f>
        <v/>
      </c>
      <c r="D2032" s="48" t="inlineStr">
        <is>
          <t>C.2.4</t>
        </is>
      </c>
      <c r="E2032" s="48" t="inlineStr">
        <is>
          <t>C</t>
        </is>
      </c>
      <c r="F2032" s="48" t="inlineStr">
        <is>
          <t>Q</t>
        </is>
      </c>
      <c r="G2032" s="48" t="inlineStr">
        <is>
          <t>higher</t>
        </is>
      </c>
      <c r="H2032" s="48" t="n">
        <v>1</v>
      </c>
      <c r="I2032" s="48" t="inlineStr">
        <is>
          <t>Tasso di copertura del servizio con dispositivi per la chiamata di emergenza del conducente</t>
        </is>
      </c>
      <c r="J2032" s="73" t="n"/>
      <c r="K2032" s="73" t="n"/>
      <c r="L2032" s="73" t="n"/>
      <c r="M2032" s="73" t="n"/>
      <c r="N2032" s="57">
        <f>IF($A2032="","",IFERROR(VALUE($K2032)/VALUE($L2032),IFERROR(VALUE($J2032),0)))</f>
        <v/>
      </c>
      <c r="O2032" s="57">
        <f>IF($A2032="",0,IF(OR($S2032&lt;&gt;1,COUNTA($J2032:$M2032)=0),0,IF(SUMPRODUCT(MAX(($C$5:$C$2484=$C2032)*($D$5:$D$2484=$D2032)*($S$5:$S$2484=1)*IFERROR($N$5:$N$2484*1,0)))&gt;0,ROUND($H2032*($N2032/SUMPRODUCT(MAX(($C$5:$C$2484=$C2032)*($D$5:$D$2484=$D2032)*($S$5:$S$2484=1)*IFERROR($N$5:$N$2484*1,0)))),4),0)))</f>
        <v/>
      </c>
      <c r="P2032" s="48" t="inlineStr">
        <is>
          <t>Autobus attrezzati con chiamata di emergenza / Autobus totali in offerta, incluse scorte</t>
        </is>
      </c>
      <c r="Q2032" s="57">
        <f>IF($A2032="","",$A2032&amp;"|"&amp;$C2032)</f>
        <v/>
      </c>
      <c r="R2032" s="57">
        <f>IF($A2032="","",$A2032&amp;"|"&amp;$C2032&amp;"|"&amp;$D2032)</f>
        <v/>
      </c>
      <c r="S2032" s="57">
        <f>IF($A2032="","",IFERROR(INDEX(Offerte!$D$2:$D$81,MATCH($Q2032,Offerte!$L$2:$L$81,0)),0))</f>
        <v/>
      </c>
      <c r="T2032" s="57">
        <f>IF($A2032="","",IFERROR(INDEX(Offerte!$G$2:$G$81,MATCH($Q2032,Offerte!$L$2:$L$81,0)),"NO"))</f>
        <v/>
      </c>
    </row>
    <row r="2033">
      <c r="A2033" s="48">
        <f>IF(Offerte!$A67="","",Offerte!$A67)</f>
        <v/>
      </c>
      <c r="B2033" s="48">
        <f>IF(Offerte!$A67="","",Offerte!$B67)</f>
        <v/>
      </c>
      <c r="C2033" s="48">
        <f>IF(Offerte!$A67="","",Offerte!$C67)</f>
        <v/>
      </c>
      <c r="D2033" s="48" t="inlineStr">
        <is>
          <t>C.3.1</t>
        </is>
      </c>
      <c r="E2033" s="48" t="inlineStr">
        <is>
          <t>C</t>
        </is>
      </c>
      <c r="F2033" s="48" t="inlineStr">
        <is>
          <t>Q</t>
        </is>
      </c>
      <c r="G2033" s="48" t="inlineStr">
        <is>
          <t>higher</t>
        </is>
      </c>
      <c r="H2033" s="48" t="n">
        <v>2</v>
      </c>
      <c r="I2033" s="48" t="inlineStr">
        <is>
          <t>Tasso di copertura del servizio con dispositivi di informazione dinamica a bordo mezzo</t>
        </is>
      </c>
      <c r="J2033" s="73" t="n"/>
      <c r="K2033" s="73" t="n"/>
      <c r="L2033" s="73" t="n"/>
      <c r="M2033" s="73" t="n"/>
      <c r="N2033" s="57">
        <f>IF($A2033="","",IFERROR(VALUE($K2033)/VALUE($L2033),IFERROR(VALUE($J2033),0)))</f>
        <v/>
      </c>
      <c r="O2033" s="57">
        <f>IF($A2033="",0,IF(OR($S2033&lt;&gt;1,COUNTA($J2033:$M2033)=0),0,IF(SUMPRODUCT(MAX(($C$5:$C$2484=$C2033)*($D$5:$D$2484=$D2033)*($S$5:$S$2484=1)*IFERROR($N$5:$N$2484*1,0)))&gt;0,ROUND($H2033*($N2033/SUMPRODUCT(MAX(($C$5:$C$2484=$C2033)*($D$5:$D$2484=$D2033)*($S$5:$S$2484=1)*IFERROR($N$5:$N$2484*1,0)))),4),0)))</f>
        <v/>
      </c>
      <c r="P2033" s="48" t="inlineStr">
        <is>
          <t>Autobus con monitor e indicatori vocali / Autobus totali in offerta, incluse scorte</t>
        </is>
      </c>
      <c r="Q2033" s="57">
        <f>IF($A2033="","",$A2033&amp;"|"&amp;$C2033)</f>
        <v/>
      </c>
      <c r="R2033" s="57">
        <f>IF($A2033="","",$A2033&amp;"|"&amp;$C2033&amp;"|"&amp;$D2033)</f>
        <v/>
      </c>
      <c r="S2033" s="57">
        <f>IF($A2033="","",IFERROR(INDEX(Offerte!$D$2:$D$81,MATCH($Q2033,Offerte!$L$2:$L$81,0)),0))</f>
        <v/>
      </c>
      <c r="T2033" s="57">
        <f>IF($A2033="","",IFERROR(INDEX(Offerte!$G$2:$G$81,MATCH($Q2033,Offerte!$L$2:$L$81,0)),"NO"))</f>
        <v/>
      </c>
    </row>
    <row r="2034">
      <c r="A2034" s="48">
        <f>IF(Offerte!$A67="","",Offerte!$A67)</f>
        <v/>
      </c>
      <c r="B2034" s="48">
        <f>IF(Offerte!$A67="","",Offerte!$B67)</f>
        <v/>
      </c>
      <c r="C2034" s="48">
        <f>IF(Offerte!$A67="","",Offerte!$C67)</f>
        <v/>
      </c>
      <c r="D2034" s="48" t="inlineStr">
        <is>
          <t>C.3.2</t>
        </is>
      </c>
      <c r="E2034" s="48" t="inlineStr">
        <is>
          <t>C</t>
        </is>
      </c>
      <c r="F2034" s="48" t="inlineStr">
        <is>
          <t>T</t>
        </is>
      </c>
      <c r="G2034" s="48" t="inlineStr">
        <is>
          <t>tabular</t>
        </is>
      </c>
      <c r="H2034" s="48" t="n">
        <v>2</v>
      </c>
      <c r="I2034" s="48" t="inlineStr">
        <is>
          <t>Informazioni a bordo su coincidenze ai nodi</t>
        </is>
      </c>
      <c r="J2034" s="73" t="n"/>
      <c r="K2034" s="73" t="n"/>
      <c r="L2034" s="73" t="n"/>
      <c r="M2034" s="73" t="n"/>
      <c r="N2034" s="57">
        <f>IF($A2034="","",IF(IFERROR(VALUE($M2034),0)=1,1,0))</f>
        <v/>
      </c>
      <c r="O2034" s="57">
        <f>IF($A2034="",0,IF(OR($S2034&lt;&gt;1,COUNTA($J2034:$M2034)=0),0,IF(AND($N2034=1,IFERROR(SUMIFS($N$5:$N$2484,$Q$5:$Q$2484,$Q2034,$D$5:$D$2484,"C.3.1"),0)&gt;=0.5),$H2034,0)))</f>
        <v/>
      </c>
      <c r="P2034" s="48" t="inlineStr">
        <is>
          <t>Dipende da C.3.1 &gt;= 0.5</t>
        </is>
      </c>
      <c r="Q2034" s="57">
        <f>IF($A2034="","",$A2034&amp;"|"&amp;$C2034)</f>
        <v/>
      </c>
      <c r="R2034" s="57">
        <f>IF($A2034="","",$A2034&amp;"|"&amp;$C2034&amp;"|"&amp;$D2034)</f>
        <v/>
      </c>
      <c r="S2034" s="57">
        <f>IF($A2034="","",IFERROR(INDEX(Offerte!$D$2:$D$81,MATCH($Q2034,Offerte!$L$2:$L$81,0)),0))</f>
        <v/>
      </c>
      <c r="T2034" s="57">
        <f>IF($A2034="","",IFERROR(INDEX(Offerte!$G$2:$G$81,MATCH($Q2034,Offerte!$L$2:$L$81,0)),"NO"))</f>
        <v/>
      </c>
    </row>
    <row r="2035">
      <c r="A2035" s="48">
        <f>IF(Offerte!$A67="","",Offerte!$A67)</f>
        <v/>
      </c>
      <c r="B2035" s="48">
        <f>IF(Offerte!$A67="","",Offerte!$B67)</f>
        <v/>
      </c>
      <c r="C2035" s="48">
        <f>IF(Offerte!$A67="","",Offerte!$C67)</f>
        <v/>
      </c>
      <c r="D2035" s="48" t="inlineStr">
        <is>
          <t>D.1.1</t>
        </is>
      </c>
      <c r="E2035" s="48" t="inlineStr">
        <is>
          <t>D</t>
        </is>
      </c>
      <c r="F2035" s="48" t="inlineStr">
        <is>
          <t>Q</t>
        </is>
      </c>
      <c r="G2035" s="48" t="inlineStr">
        <is>
          <t>higher</t>
        </is>
      </c>
      <c r="H2035" s="48" t="n">
        <v>3</v>
      </c>
      <c r="I2035" s="48" t="inlineStr">
        <is>
          <t>Installazione di pensiline</t>
        </is>
      </c>
      <c r="J2035" s="73" t="n"/>
      <c r="K2035" s="73" t="n"/>
      <c r="L2035" s="73" t="n"/>
      <c r="M2035" s="73" t="n"/>
      <c r="N2035" s="57">
        <f>IF($A2035="","",IFERROR(VALUE($J2035),0))</f>
        <v/>
      </c>
      <c r="O2035" s="57">
        <f>IF($A2035="",0,IF(OR($S2035&lt;&gt;1,COUNTA($J2035:$M2035)=0),0,IF(SUMPRODUCT(MAX(($C$5:$C$2484=$C2035)*($D$5:$D$2484=$D2035)*($S$5:$S$2484=1)*IFERROR($N$5:$N$2484*1,0)))&gt;0,ROUND($H2035*($N2035/SUMPRODUCT(MAX(($C$5:$C$2484=$C2035)*($D$5:$D$2484=$D2035)*($S$5:$S$2484=1)*IFERROR($N$5:$N$2484*1,0)))),4),0)))</f>
        <v/>
      </c>
      <c r="P2035" s="48" t="inlineStr">
        <is>
          <t>fermate</t>
        </is>
      </c>
      <c r="Q2035" s="57">
        <f>IF($A2035="","",$A2035&amp;"|"&amp;$C2035)</f>
        <v/>
      </c>
      <c r="R2035" s="57">
        <f>IF($A2035="","",$A2035&amp;"|"&amp;$C2035&amp;"|"&amp;$D2035)</f>
        <v/>
      </c>
      <c r="S2035" s="57">
        <f>IF($A2035="","",IFERROR(INDEX(Offerte!$D$2:$D$81,MATCH($Q2035,Offerte!$L$2:$L$81,0)),0))</f>
        <v/>
      </c>
      <c r="T2035" s="57">
        <f>IF($A2035="","",IFERROR(INDEX(Offerte!$G$2:$G$81,MATCH($Q2035,Offerte!$L$2:$L$81,0)),"NO"))</f>
        <v/>
      </c>
    </row>
    <row r="2036">
      <c r="A2036" s="48">
        <f>IF(Offerte!$A67="","",Offerte!$A67)</f>
        <v/>
      </c>
      <c r="B2036" s="48">
        <f>IF(Offerte!$A67="","",Offerte!$B67)</f>
        <v/>
      </c>
      <c r="C2036" s="48">
        <f>IF(Offerte!$A67="","",Offerte!$C67)</f>
        <v/>
      </c>
      <c r="D2036" s="48" t="inlineStr">
        <is>
          <t>D.1.2</t>
        </is>
      </c>
      <c r="E2036" s="48" t="inlineStr">
        <is>
          <t>D</t>
        </is>
      </c>
      <c r="F2036" s="48" t="inlineStr">
        <is>
          <t>Q</t>
        </is>
      </c>
      <c r="G2036" s="48" t="inlineStr">
        <is>
          <t>higher</t>
        </is>
      </c>
      <c r="H2036" s="48" t="n">
        <v>3</v>
      </c>
      <c r="I2036" s="48" t="inlineStr">
        <is>
          <t>Installazione di paline di fermata conformi alla DGR 581/2023</t>
        </is>
      </c>
      <c r="J2036" s="73" t="n"/>
      <c r="K2036" s="73" t="n"/>
      <c r="L2036" s="73" t="n"/>
      <c r="M2036" s="73" t="n"/>
      <c r="N2036" s="57">
        <f>IF($A2036="","",IFERROR(VALUE($J2036),0))</f>
        <v/>
      </c>
      <c r="O2036" s="57">
        <f>IF($A2036="",0,IF(OR($S2036&lt;&gt;1,COUNTA($J2036:$M2036)=0),0,IF(SUMPRODUCT(MAX(($C$5:$C$2484=$C2036)*($D$5:$D$2484=$D2036)*($S$5:$S$2484=1)*IFERROR($N$5:$N$2484*1,0)))&gt;0,ROUND($H2036*($N2036/SUMPRODUCT(MAX(($C$5:$C$2484=$C2036)*($D$5:$D$2484=$D2036)*($S$5:$S$2484=1)*IFERROR($N$5:$N$2484*1,0)))),4),0)))</f>
        <v/>
      </c>
      <c r="P2036" s="48" t="inlineStr">
        <is>
          <t>fermate</t>
        </is>
      </c>
      <c r="Q2036" s="57">
        <f>IF($A2036="","",$A2036&amp;"|"&amp;$C2036)</f>
        <v/>
      </c>
      <c r="R2036" s="57">
        <f>IF($A2036="","",$A2036&amp;"|"&amp;$C2036&amp;"|"&amp;$D2036)</f>
        <v/>
      </c>
      <c r="S2036" s="57">
        <f>IF($A2036="","",IFERROR(INDEX(Offerte!$D$2:$D$81,MATCH($Q2036,Offerte!$L$2:$L$81,0)),0))</f>
        <v/>
      </c>
      <c r="T2036" s="57">
        <f>IF($A2036="","",IFERROR(INDEX(Offerte!$G$2:$G$81,MATCH($Q2036,Offerte!$L$2:$L$81,0)),"NO"))</f>
        <v/>
      </c>
    </row>
    <row r="2037">
      <c r="A2037" s="48">
        <f>IF(Offerte!$A67="","",Offerte!$A67)</f>
        <v/>
      </c>
      <c r="B2037" s="48">
        <f>IF(Offerte!$A67="","",Offerte!$B67)</f>
        <v/>
      </c>
      <c r="C2037" s="48">
        <f>IF(Offerte!$A67="","",Offerte!$C67)</f>
        <v/>
      </c>
      <c r="D2037" s="48" t="inlineStr">
        <is>
          <t>D.1.3</t>
        </is>
      </c>
      <c r="E2037" s="48" t="inlineStr">
        <is>
          <t>D</t>
        </is>
      </c>
      <c r="F2037" s="48" t="inlineStr">
        <is>
          <t>Q</t>
        </is>
      </c>
      <c r="G2037" s="48" t="inlineStr">
        <is>
          <t>higher</t>
        </is>
      </c>
      <c r="H2037" s="48" t="n">
        <v>2</v>
      </c>
      <c r="I2037" s="48" t="inlineStr">
        <is>
          <t>Display informativi connessi alle fermate</t>
        </is>
      </c>
      <c r="J2037" s="73" t="n"/>
      <c r="K2037" s="73" t="n"/>
      <c r="L2037" s="73" t="n"/>
      <c r="M2037" s="73" t="n"/>
      <c r="N2037" s="57">
        <f>IF($A2037="","",IFERROR(VALUE($J2037),0))</f>
        <v/>
      </c>
      <c r="O2037" s="57">
        <f>IF($A2037="",0,IF(OR($S2037&lt;&gt;1,COUNTA($J2037:$M2037)=0),0,IF(SUMPRODUCT(MAX(($C$5:$C$2484=$C2037)*($D$5:$D$2484=$D2037)*($S$5:$S$2484=1)*IFERROR($N$5:$N$2484*1,0)))&gt;0,ROUND($H2037*($N2037/SUMPRODUCT(MAX(($C$5:$C$2484=$C2037)*($D$5:$D$2484=$D2037)*($S$5:$S$2484=1)*IFERROR($N$5:$N$2484*1,0)))),4),0)))</f>
        <v/>
      </c>
      <c r="P2037" s="48" t="inlineStr">
        <is>
          <t>fermate</t>
        </is>
      </c>
      <c r="Q2037" s="57">
        <f>IF($A2037="","",$A2037&amp;"|"&amp;$C2037)</f>
        <v/>
      </c>
      <c r="R2037" s="57">
        <f>IF($A2037="","",$A2037&amp;"|"&amp;$C2037&amp;"|"&amp;$D2037)</f>
        <v/>
      </c>
      <c r="S2037" s="57">
        <f>IF($A2037="","",IFERROR(INDEX(Offerte!$D$2:$D$81,MATCH($Q2037,Offerte!$L$2:$L$81,0)),0))</f>
        <v/>
      </c>
      <c r="T2037" s="57">
        <f>IF($A2037="","",IFERROR(INDEX(Offerte!$G$2:$G$81,MATCH($Q2037,Offerte!$L$2:$L$81,0)),"NO"))</f>
        <v/>
      </c>
    </row>
    <row r="2038">
      <c r="A2038" s="48">
        <f>IF(Offerte!$A67="","",Offerte!$A67)</f>
        <v/>
      </c>
      <c r="B2038" s="48">
        <f>IF(Offerte!$A67="","",Offerte!$B67)</f>
        <v/>
      </c>
      <c r="C2038" s="48">
        <f>IF(Offerte!$A67="","",Offerte!$C67)</f>
        <v/>
      </c>
      <c r="D2038" s="48" t="inlineStr">
        <is>
          <t>D.2.1</t>
        </is>
      </c>
      <c r="E2038" s="48" t="inlineStr">
        <is>
          <t>D</t>
        </is>
      </c>
      <c r="F2038" s="48" t="inlineStr">
        <is>
          <t>Q</t>
        </is>
      </c>
      <c r="G2038" s="48" t="inlineStr">
        <is>
          <t>higher</t>
        </is>
      </c>
      <c r="H2038" s="48" t="n">
        <v>2</v>
      </c>
      <c r="I2038" s="48" t="inlineStr">
        <is>
          <t>Segnali tattili Loges-Vet-Evolution</t>
        </is>
      </c>
      <c r="J2038" s="73" t="n"/>
      <c r="K2038" s="73" t="n"/>
      <c r="L2038" s="73" t="n"/>
      <c r="M2038" s="73" t="n"/>
      <c r="N2038" s="57">
        <f>IF($A2038="","",IFERROR(VALUE($J2038),0))</f>
        <v/>
      </c>
      <c r="O2038" s="57">
        <f>IF($A2038="",0,IF(OR($S2038&lt;&gt;1,COUNTA($J2038:$M2038)=0),0,IF(SUMPRODUCT(MAX(($C$5:$C$2484=$C2038)*($D$5:$D$2484=$D2038)*($S$5:$S$2484=1)*IFERROR($N$5:$N$2484*1,0)))&gt;0,ROUND($H2038*($N2038/SUMPRODUCT(MAX(($C$5:$C$2484=$C2038)*($D$5:$D$2484=$D2038)*($S$5:$S$2484=1)*IFERROR($N$5:$N$2484*1,0)))),4),0)))</f>
        <v/>
      </c>
      <c r="P2038" s="48" t="inlineStr">
        <is>
          <t>fermate</t>
        </is>
      </c>
      <c r="Q2038" s="57">
        <f>IF($A2038="","",$A2038&amp;"|"&amp;$C2038)</f>
        <v/>
      </c>
      <c r="R2038" s="57">
        <f>IF($A2038="","",$A2038&amp;"|"&amp;$C2038&amp;"|"&amp;$D2038)</f>
        <v/>
      </c>
      <c r="S2038" s="57">
        <f>IF($A2038="","",IFERROR(INDEX(Offerte!$D$2:$D$81,MATCH($Q2038,Offerte!$L$2:$L$81,0)),0))</f>
        <v/>
      </c>
      <c r="T2038" s="57">
        <f>IF($A2038="","",IFERROR(INDEX(Offerte!$G$2:$G$81,MATCH($Q2038,Offerte!$L$2:$L$81,0)),"NO"))</f>
        <v/>
      </c>
    </row>
    <row r="2039">
      <c r="A2039" s="48">
        <f>IF(Offerte!$A67="","",Offerte!$A67)</f>
        <v/>
      </c>
      <c r="B2039" s="48">
        <f>IF(Offerte!$A67="","",Offerte!$B67)</f>
        <v/>
      </c>
      <c r="C2039" s="48">
        <f>IF(Offerte!$A67="","",Offerte!$C67)</f>
        <v/>
      </c>
      <c r="D2039" s="48" t="inlineStr">
        <is>
          <t>E.1.1</t>
        </is>
      </c>
      <c r="E2039" s="48" t="inlineStr">
        <is>
          <t>E</t>
        </is>
      </c>
      <c r="F2039" s="48" t="inlineStr">
        <is>
          <t>T</t>
        </is>
      </c>
      <c r="G2039" s="48" t="inlineStr">
        <is>
          <t>tabular</t>
        </is>
      </c>
      <c r="H2039" s="48" t="n">
        <v>2</v>
      </c>
      <c r="I2039" s="48" t="inlineStr">
        <is>
          <t>Mobile app con travel planner PRM</t>
        </is>
      </c>
      <c r="J2039" s="73" t="n"/>
      <c r="K2039" s="73" t="n"/>
      <c r="L2039" s="73" t="n"/>
      <c r="M2039" s="73" t="n"/>
      <c r="N2039" s="57">
        <f>IF($A2039="","",IF(IFERROR(VALUE($M2039),0)=1,1,0))</f>
        <v/>
      </c>
      <c r="O2039" s="57">
        <f>IF($A2039="",0,IF(OR($S2039&lt;&gt;1,COUNTA($J2039:$M2039)=0),0,IF($N2039=1,$H2039,0)))</f>
        <v/>
      </c>
      <c r="P2039" s="48" t="inlineStr">
        <is>
          <t>sì/no</t>
        </is>
      </c>
      <c r="Q2039" s="57">
        <f>IF($A2039="","",$A2039&amp;"|"&amp;$C2039)</f>
        <v/>
      </c>
      <c r="R2039" s="57">
        <f>IF($A2039="","",$A2039&amp;"|"&amp;$C2039&amp;"|"&amp;$D2039)</f>
        <v/>
      </c>
      <c r="S2039" s="57">
        <f>IF($A2039="","",IFERROR(INDEX(Offerte!$D$2:$D$81,MATCH($Q2039,Offerte!$L$2:$L$81,0)),0))</f>
        <v/>
      </c>
      <c r="T2039" s="57">
        <f>IF($A2039="","",IFERROR(INDEX(Offerte!$G$2:$G$81,MATCH($Q2039,Offerte!$L$2:$L$81,0)),"NO"))</f>
        <v/>
      </c>
    </row>
    <row r="2040">
      <c r="A2040" s="48">
        <f>IF(Offerte!$A67="","",Offerte!$A67)</f>
        <v/>
      </c>
      <c r="B2040" s="48">
        <f>IF(Offerte!$A67="","",Offerte!$B67)</f>
        <v/>
      </c>
      <c r="C2040" s="48">
        <f>IF(Offerte!$A67="","",Offerte!$C67)</f>
        <v/>
      </c>
      <c r="D2040" s="48" t="inlineStr">
        <is>
          <t>E.2.1</t>
        </is>
      </c>
      <c r="E2040" s="48" t="inlineStr">
        <is>
          <t>E</t>
        </is>
      </c>
      <c r="F2040" s="48" t="inlineStr">
        <is>
          <t>D</t>
        </is>
      </c>
      <c r="G2040" s="48" t="inlineStr">
        <is>
          <t>discretionary</t>
        </is>
      </c>
      <c r="H2040" s="48" t="n">
        <v>2</v>
      </c>
      <c r="I2040" s="48" t="inlineStr">
        <is>
          <t>Altre azioni informative e rapporti con gli utenti</t>
        </is>
      </c>
      <c r="J2040" s="73" t="n"/>
      <c r="K2040" s="73" t="n"/>
      <c r="L2040" s="73" t="n"/>
      <c r="M2040" s="73" t="n"/>
      <c r="N2040" s="57">
        <f>IF($A2040="","",MAX(0,MIN(1,IFERROR(VALUE($M2040),0))))</f>
        <v/>
      </c>
      <c r="O2040" s="57">
        <f>IF($A2040="",0,IF(OR($S2040&lt;&gt;1,COUNTA($J2040:$M2040)=0),0,IF(SUMPRODUCT(MAX(($C$5:$C$2484=$C2040)*($D$5:$D$2484=$D2040)*($S$5:$S$2484=1)*IFERROR($N$5:$N$2484*1,0)))&gt;0,ROUND($H2040*($N2040/SUMPRODUCT(MAX(($C$5:$C$2484=$C2040)*($D$5:$D$2484=$D2040)*($S$5:$S$2484=1)*IFERROR($N$5:$N$2484*1,0)))),4),0)))</f>
        <v/>
      </c>
      <c r="P2040" s="48" t="inlineStr">
        <is>
          <t>coeff.</t>
        </is>
      </c>
      <c r="Q2040" s="57">
        <f>IF($A2040="","",$A2040&amp;"|"&amp;$C2040)</f>
        <v/>
      </c>
      <c r="R2040" s="57">
        <f>IF($A2040="","",$A2040&amp;"|"&amp;$C2040&amp;"|"&amp;$D2040)</f>
        <v/>
      </c>
      <c r="S2040" s="57">
        <f>IF($A2040="","",IFERROR(INDEX(Offerte!$D$2:$D$81,MATCH($Q2040,Offerte!$L$2:$L$81,0)),0))</f>
        <v/>
      </c>
      <c r="T2040" s="57">
        <f>IF($A2040="","",IFERROR(INDEX(Offerte!$G$2:$G$81,MATCH($Q2040,Offerte!$L$2:$L$81,0)),"NO"))</f>
        <v/>
      </c>
    </row>
    <row r="2041">
      <c r="A2041" s="48">
        <f>IF(Offerte!$A67="","",Offerte!$A67)</f>
        <v/>
      </c>
      <c r="B2041" s="48">
        <f>IF(Offerte!$A67="","",Offerte!$B67)</f>
        <v/>
      </c>
      <c r="C2041" s="48">
        <f>IF(Offerte!$A67="","",Offerte!$C67)</f>
        <v/>
      </c>
      <c r="D2041" s="48" t="inlineStr">
        <is>
          <t>F.1.1</t>
        </is>
      </c>
      <c r="E2041" s="48" t="inlineStr">
        <is>
          <t>F</t>
        </is>
      </c>
      <c r="F2041" s="48" t="inlineStr">
        <is>
          <t>Q</t>
        </is>
      </c>
      <c r="G2041" s="48" t="inlineStr">
        <is>
          <t>lower</t>
        </is>
      </c>
      <c r="H2041" s="48" t="n">
        <v>7</v>
      </c>
      <c r="I2041" s="48" t="inlineStr">
        <is>
          <t>Performance ambientali del parco mezzi adibito al servizio - I_CEA</t>
        </is>
      </c>
      <c r="J2041" s="73" t="n"/>
      <c r="K2041" s="73" t="n"/>
      <c r="L2041" s="73" t="n"/>
      <c r="M2041" s="73" t="n"/>
      <c r="N2041" s="57">
        <f>IF($A2041="","",IFERROR(VALUE($J2041),0))</f>
        <v/>
      </c>
      <c r="O2041" s="57">
        <f>IF($A2041="",0,IF(OR($S2041&lt;&gt;1,COUNTA($J2041:$M2041)=0),0,IF(AND(IFERROR(AGGREGATE(15,6,$N$5:$N$2484/(($C$5:$C$2484=$C2041)*($D$5:$D$2484=$D2041)*($S$5:$S$2484=1)*($N$5:$N$2484&gt;0)),1),0)&gt;0,$N2041&gt;0),ROUND($H2041*(IFERROR(AGGREGATE(15,6,$N$5:$N$2484/(($C$5:$C$2484=$C2041)*($D$5:$D$2484=$D2041)*($S$5:$S$2484=1)*($N$5:$N$2484&gt;0)),1),0)/$N2041),4),0)))</f>
        <v/>
      </c>
      <c r="P2041" s="48" t="inlineStr">
        <is>
          <t>indice</t>
        </is>
      </c>
      <c r="Q2041" s="57">
        <f>IF($A2041="","",$A2041&amp;"|"&amp;$C2041)</f>
        <v/>
      </c>
      <c r="R2041" s="57">
        <f>IF($A2041="","",$A2041&amp;"|"&amp;$C2041&amp;"|"&amp;$D2041)</f>
        <v/>
      </c>
      <c r="S2041" s="57">
        <f>IF($A2041="","",IFERROR(INDEX(Offerte!$D$2:$D$81,MATCH($Q2041,Offerte!$L$2:$L$81,0)),0))</f>
        <v/>
      </c>
      <c r="T2041" s="57">
        <f>IF($A2041="","",IFERROR(INDEX(Offerte!$G$2:$G$81,MATCH($Q2041,Offerte!$L$2:$L$81,0)),"NO"))</f>
        <v/>
      </c>
    </row>
    <row r="2042">
      <c r="A2042" s="48">
        <f>IF(Offerte!$A67="","",Offerte!$A67)</f>
        <v/>
      </c>
      <c r="B2042" s="48">
        <f>IF(Offerte!$A67="","",Offerte!$B67)</f>
        <v/>
      </c>
      <c r="C2042" s="48">
        <f>IF(Offerte!$A67="","",Offerte!$C67)</f>
        <v/>
      </c>
      <c r="D2042" s="48" t="inlineStr">
        <is>
          <t>F.2.1</t>
        </is>
      </c>
      <c r="E2042" s="48" t="inlineStr">
        <is>
          <t>F</t>
        </is>
      </c>
      <c r="F2042" s="48" t="inlineStr">
        <is>
          <t>Q</t>
        </is>
      </c>
      <c r="G2042" s="48" t="inlineStr">
        <is>
          <t>higher</t>
        </is>
      </c>
      <c r="H2042" s="48" t="n">
        <v>2</v>
      </c>
      <c r="I2042" s="48" t="inlineStr">
        <is>
          <t>Tasso di copertura del servizio con dispositivi ECO-DRIVER</t>
        </is>
      </c>
      <c r="J2042" s="73" t="n"/>
      <c r="K2042" s="73" t="n"/>
      <c r="L2042" s="73" t="n"/>
      <c r="M2042" s="73" t="n"/>
      <c r="N2042" s="57">
        <f>IF($A2042="","",IFERROR(VALUE($K2042)/VALUE($L2042),IFERROR(VALUE($J2042),0)))</f>
        <v/>
      </c>
      <c r="O2042" s="57">
        <f>IF($A2042="",0,IF(OR($S2042&lt;&gt;1,COUNTA($J2042:$M2042)=0),0,IF(SUMPRODUCT(MAX(($C$5:$C$2484=$C2042)*($D$5:$D$2484=$D2042)*($S$5:$S$2484=1)*IFERROR($N$5:$N$2484*1,0)))&gt;0,ROUND($H2042*($N2042/SUMPRODUCT(MAX(($C$5:$C$2484=$C2042)*($D$5:$D$2484=$D2042)*($S$5:$S$2484=1)*IFERROR($N$5:$N$2484*1,0)))),4),0)))</f>
        <v/>
      </c>
      <c r="P2042" s="48" t="inlineStr">
        <is>
          <t>Autobus attrezzati con dispositivi ECO-DRIVER / Autobus totali in offerta, incluse scorte</t>
        </is>
      </c>
      <c r="Q2042" s="57">
        <f>IF($A2042="","",$A2042&amp;"|"&amp;$C2042)</f>
        <v/>
      </c>
      <c r="R2042" s="57">
        <f>IF($A2042="","",$A2042&amp;"|"&amp;$C2042&amp;"|"&amp;$D2042)</f>
        <v/>
      </c>
      <c r="S2042" s="57">
        <f>IF($A2042="","",IFERROR(INDEX(Offerte!$D$2:$D$81,MATCH($Q2042,Offerte!$L$2:$L$81,0)),0))</f>
        <v/>
      </c>
      <c r="T2042" s="57">
        <f>IF($A2042="","",IFERROR(INDEX(Offerte!$G$2:$G$81,MATCH($Q2042,Offerte!$L$2:$L$81,0)),"NO"))</f>
        <v/>
      </c>
    </row>
    <row r="2043">
      <c r="A2043" s="48">
        <f>IF(Offerte!$A67="","",Offerte!$A67)</f>
        <v/>
      </c>
      <c r="B2043" s="48">
        <f>IF(Offerte!$A67="","",Offerte!$B67)</f>
        <v/>
      </c>
      <c r="C2043" s="48">
        <f>IF(Offerte!$A67="","",Offerte!$C67)</f>
        <v/>
      </c>
      <c r="D2043" s="48" t="inlineStr">
        <is>
          <t>F.3.1</t>
        </is>
      </c>
      <c r="E2043" s="48" t="inlineStr">
        <is>
          <t>F</t>
        </is>
      </c>
      <c r="F2043" s="48" t="inlineStr">
        <is>
          <t>Q</t>
        </is>
      </c>
      <c r="G2043" s="48" t="inlineStr">
        <is>
          <t>higher</t>
        </is>
      </c>
      <c r="H2043" s="48" t="n">
        <v>2</v>
      </c>
      <c r="I2043" s="48" t="inlineStr">
        <is>
          <t>Autoproduzione consumi elettrici per trazione</t>
        </is>
      </c>
      <c r="J2043" s="73" t="n"/>
      <c r="K2043" s="73" t="n"/>
      <c r="L2043" s="73" t="n"/>
      <c r="M2043" s="73" t="n"/>
      <c r="N2043" s="57">
        <f>IF($A2043="","",IFERROR(VALUE($J2043),0))</f>
        <v/>
      </c>
      <c r="O2043" s="57">
        <f>IF($A2043="",0,IF(OR($S2043&lt;&gt;1,COUNTA($J2043:$M2043)=0),0,IF(SUMPRODUCT(MAX(($C$5:$C$2484=$C2043)*($D$5:$D$2484=$D2043)*($S$5:$S$2484=1)*IFERROR($N$5:$N$2484*1,0)))&gt;0,ROUND($H2043*($N2043/SUMPRODUCT(MAX(($C$5:$C$2484=$C2043)*($D$5:$D$2484=$D2043)*($S$5:$S$2484=1)*IFERROR($N$5:$N$2484*1,0)))),4),0)))</f>
        <v/>
      </c>
      <c r="P2043" s="48" t="inlineStr">
        <is>
          <t>kWh/anno</t>
        </is>
      </c>
      <c r="Q2043" s="57">
        <f>IF($A2043="","",$A2043&amp;"|"&amp;$C2043)</f>
        <v/>
      </c>
      <c r="R2043" s="57">
        <f>IF($A2043="","",$A2043&amp;"|"&amp;$C2043&amp;"|"&amp;$D2043)</f>
        <v/>
      </c>
      <c r="S2043" s="57">
        <f>IF($A2043="","",IFERROR(INDEX(Offerte!$D$2:$D$81,MATCH($Q2043,Offerte!$L$2:$L$81,0)),0))</f>
        <v/>
      </c>
      <c r="T2043" s="57">
        <f>IF($A2043="","",IFERROR(INDEX(Offerte!$G$2:$G$81,MATCH($Q2043,Offerte!$L$2:$L$81,0)),"NO"))</f>
        <v/>
      </c>
    </row>
    <row r="2044">
      <c r="A2044" s="48">
        <f>IF(Offerte!$A67="","",Offerte!$A67)</f>
        <v/>
      </c>
      <c r="B2044" s="48">
        <f>IF(Offerte!$A67="","",Offerte!$B67)</f>
        <v/>
      </c>
      <c r="C2044" s="48">
        <f>IF(Offerte!$A67="","",Offerte!$C67)</f>
        <v/>
      </c>
      <c r="D2044" s="48" t="inlineStr">
        <is>
          <t>F.4.1</t>
        </is>
      </c>
      <c r="E2044" s="48" t="inlineStr">
        <is>
          <t>F</t>
        </is>
      </c>
      <c r="F2044" s="48" t="inlineStr">
        <is>
          <t>Q</t>
        </is>
      </c>
      <c r="G2044" s="48" t="inlineStr">
        <is>
          <t>soil</t>
        </is>
      </c>
      <c r="H2044" s="48" t="n">
        <v>2</v>
      </c>
      <c r="I2044" s="48" t="inlineStr">
        <is>
          <t>Indice di consumo di suolo</t>
        </is>
      </c>
      <c r="J2044" s="73" t="n"/>
      <c r="K2044" s="73" t="n"/>
      <c r="L2044" s="73" t="n"/>
      <c r="M2044" s="73" t="n"/>
      <c r="N2044" s="57">
        <f>IF($A2044="","",IFERROR(VALUE($J2044),0))</f>
        <v/>
      </c>
      <c r="O2044" s="57">
        <f>IF($A2044="",0,IF(OR($S2044&lt;&gt;1,COUNTA($J2044:$M2044)=0),0,IF($N2044&lt;=0,$H2044,IF(SUMPRODUCT(MAX(($C$5:$C$2484=$C2044)*($D$5:$D$2484=$D2044)*($S$5:$S$2484=1)*IFERROR($N$5:$N$2484*1,0)))&gt;0,ROUND($H2044*((SUMPRODUCT(MAX(($C$5:$C$2484=$C2044)*($D$5:$D$2484=$D2044)*($S$5:$S$2484=1)*IFERROR($N$5:$N$2484*1,0)))-$N2044)/SUMPRODUCT(MAX(($C$5:$C$2484=$C2044)*($D$5:$D$2484=$D2044)*($S$5:$S$2484=1)*IFERROR($N$5:$N$2484*1,0)))),4),0))))</f>
        <v/>
      </c>
      <c r="P2044" s="48" t="inlineStr">
        <is>
          <t>m2</t>
        </is>
      </c>
      <c r="Q2044" s="57">
        <f>IF($A2044="","",$A2044&amp;"|"&amp;$C2044)</f>
        <v/>
      </c>
      <c r="R2044" s="57">
        <f>IF($A2044="","",$A2044&amp;"|"&amp;$C2044&amp;"|"&amp;$D2044)</f>
        <v/>
      </c>
      <c r="S2044" s="57">
        <f>IF($A2044="","",IFERROR(INDEX(Offerte!$D$2:$D$81,MATCH($Q2044,Offerte!$L$2:$L$81,0)),0))</f>
        <v/>
      </c>
      <c r="T2044" s="57">
        <f>IF($A2044="","",IFERROR(INDEX(Offerte!$G$2:$G$81,MATCH($Q2044,Offerte!$L$2:$L$81,0)),"NO"))</f>
        <v/>
      </c>
    </row>
    <row r="2045">
      <c r="A2045" s="48">
        <f>IF(Offerte!$A67="","",Offerte!$A67)</f>
        <v/>
      </c>
      <c r="B2045" s="48">
        <f>IF(Offerte!$A67="","",Offerte!$B67)</f>
        <v/>
      </c>
      <c r="C2045" s="48">
        <f>IF(Offerte!$A67="","",Offerte!$C67)</f>
        <v/>
      </c>
      <c r="D2045" s="48" t="inlineStr">
        <is>
          <t>F.5.1</t>
        </is>
      </c>
      <c r="E2045" s="48" t="inlineStr">
        <is>
          <t>F</t>
        </is>
      </c>
      <c r="F2045" s="48" t="inlineStr">
        <is>
          <t>T</t>
        </is>
      </c>
      <c r="G2045" s="48" t="inlineStr">
        <is>
          <t>tabular</t>
        </is>
      </c>
      <c r="H2045" s="48" t="n">
        <v>1</v>
      </c>
      <c r="I2045" s="48" t="inlineStr">
        <is>
          <t>Rendicontazione di sostenibilità ambientale</t>
        </is>
      </c>
      <c r="J2045" s="73" t="n"/>
      <c r="K2045" s="73" t="n"/>
      <c r="L2045" s="73" t="n"/>
      <c r="M2045" s="73" t="n"/>
      <c r="N2045" s="57">
        <f>IF($A2045="","",IF(IFERROR(VALUE($M2045),0)=1,1,0))</f>
        <v/>
      </c>
      <c r="O2045" s="57">
        <f>IF($A2045="",0,IF(OR($S2045&lt;&gt;1,COUNTA($J2045:$M2045)=0),0,IF($N2045=1,$H2045,0)))</f>
        <v/>
      </c>
      <c r="P2045" s="48" t="inlineStr">
        <is>
          <t>sì/no</t>
        </is>
      </c>
      <c r="Q2045" s="57">
        <f>IF($A2045="","",$A2045&amp;"|"&amp;$C2045)</f>
        <v/>
      </c>
      <c r="R2045" s="57">
        <f>IF($A2045="","",$A2045&amp;"|"&amp;$C2045&amp;"|"&amp;$D2045)</f>
        <v/>
      </c>
      <c r="S2045" s="57">
        <f>IF($A2045="","",IFERROR(INDEX(Offerte!$D$2:$D$81,MATCH($Q2045,Offerte!$L$2:$L$81,0)),0))</f>
        <v/>
      </c>
      <c r="T2045" s="57">
        <f>IF($A2045="","",IFERROR(INDEX(Offerte!$G$2:$G$81,MATCH($Q2045,Offerte!$L$2:$L$81,0)),"NO"))</f>
        <v/>
      </c>
    </row>
    <row r="2046">
      <c r="A2046" s="48">
        <f>IF(Offerte!$A67="","",Offerte!$A67)</f>
        <v/>
      </c>
      <c r="B2046" s="48">
        <f>IF(Offerte!$A67="","",Offerte!$B67)</f>
        <v/>
      </c>
      <c r="C2046" s="48">
        <f>IF(Offerte!$A67="","",Offerte!$C67)</f>
        <v/>
      </c>
      <c r="D2046" s="48" t="inlineStr">
        <is>
          <t>G.1.1</t>
        </is>
      </c>
      <c r="E2046" s="48" t="inlineStr">
        <is>
          <t>G</t>
        </is>
      </c>
      <c r="F2046" s="48" t="inlineStr">
        <is>
          <t>D</t>
        </is>
      </c>
      <c r="G2046" s="48" t="inlineStr">
        <is>
          <t>discretionary</t>
        </is>
      </c>
      <c r="H2046" s="48" t="n">
        <v>2</v>
      </c>
      <c r="I2046" s="48" t="inlineStr">
        <is>
          <t>Qualità del progetto di centrale di controllo aziendale</t>
        </is>
      </c>
      <c r="J2046" s="73" t="n"/>
      <c r="K2046" s="73" t="n"/>
      <c r="L2046" s="73" t="n"/>
      <c r="M2046" s="73" t="n"/>
      <c r="N2046" s="57">
        <f>IF($A2046="","",MAX(0,MIN(1,IFERROR(VALUE($M2046),0))))</f>
        <v/>
      </c>
      <c r="O2046" s="57">
        <f>IF($A2046="",0,IF(OR($S2046&lt;&gt;1,COUNTA($J2046:$M2046)=0),0,IF(SUMPRODUCT(MAX(($C$5:$C$2484=$C2046)*($D$5:$D$2484=$D2046)*($S$5:$S$2484=1)*IFERROR($N$5:$N$2484*1,0)))&gt;0,ROUND($H2046*($N2046/SUMPRODUCT(MAX(($C$5:$C$2484=$C2046)*($D$5:$D$2484=$D2046)*($S$5:$S$2484=1)*IFERROR($N$5:$N$2484*1,0)))),4),0)))</f>
        <v/>
      </c>
      <c r="P2046" s="48" t="inlineStr">
        <is>
          <t>coeff.</t>
        </is>
      </c>
      <c r="Q2046" s="57">
        <f>IF($A2046="","",$A2046&amp;"|"&amp;$C2046)</f>
        <v/>
      </c>
      <c r="R2046" s="57">
        <f>IF($A2046="","",$A2046&amp;"|"&amp;$C2046&amp;"|"&amp;$D2046)</f>
        <v/>
      </c>
      <c r="S2046" s="57">
        <f>IF($A2046="","",IFERROR(INDEX(Offerte!$D$2:$D$81,MATCH($Q2046,Offerte!$L$2:$L$81,0)),0))</f>
        <v/>
      </c>
      <c r="T2046" s="57">
        <f>IF($A2046="","",IFERROR(INDEX(Offerte!$G$2:$G$81,MATCH($Q2046,Offerte!$L$2:$L$81,0)),"NO"))</f>
        <v/>
      </c>
    </row>
    <row r="2047">
      <c r="A2047" s="48">
        <f>IF(Offerte!$A67="","",Offerte!$A67)</f>
        <v/>
      </c>
      <c r="B2047" s="48">
        <f>IF(Offerte!$A67="","",Offerte!$B67)</f>
        <v/>
      </c>
      <c r="C2047" s="48">
        <f>IF(Offerte!$A67="","",Offerte!$C67)</f>
        <v/>
      </c>
      <c r="D2047" s="48" t="inlineStr">
        <is>
          <t>G.2.1</t>
        </is>
      </c>
      <c r="E2047" s="48" t="inlineStr">
        <is>
          <t>G</t>
        </is>
      </c>
      <c r="F2047" s="48" t="inlineStr">
        <is>
          <t>T</t>
        </is>
      </c>
      <c r="G2047" s="48" t="inlineStr">
        <is>
          <t>tabular</t>
        </is>
      </c>
      <c r="H2047" s="48" t="n">
        <v>1</v>
      </c>
      <c r="I2047" s="48" t="inlineStr">
        <is>
          <t>Certificazione ISO 45001</t>
        </is>
      </c>
      <c r="J2047" s="73" t="n"/>
      <c r="K2047" s="73" t="n"/>
      <c r="L2047" s="73" t="n"/>
      <c r="M2047" s="73" t="n"/>
      <c r="N2047" s="57">
        <f>IF($A2047="","",IF(IFERROR(VALUE($M2047),0)=1,1,0))</f>
        <v/>
      </c>
      <c r="O2047" s="57">
        <f>IF($A2047="",0,IF(OR($S2047&lt;&gt;1,COUNTA($J2047:$M2047)=0),0,IF($N2047=1,$H2047,0)))</f>
        <v/>
      </c>
      <c r="P2047" s="48" t="inlineStr">
        <is>
          <t>sì/no</t>
        </is>
      </c>
      <c r="Q2047" s="57">
        <f>IF($A2047="","",$A2047&amp;"|"&amp;$C2047)</f>
        <v/>
      </c>
      <c r="R2047" s="57">
        <f>IF($A2047="","",$A2047&amp;"|"&amp;$C2047&amp;"|"&amp;$D2047)</f>
        <v/>
      </c>
      <c r="S2047" s="57">
        <f>IF($A2047="","",IFERROR(INDEX(Offerte!$D$2:$D$81,MATCH($Q2047,Offerte!$L$2:$L$81,0)),0))</f>
        <v/>
      </c>
      <c r="T2047" s="57">
        <f>IF($A2047="","",IFERROR(INDEX(Offerte!$G$2:$G$81,MATCH($Q2047,Offerte!$L$2:$L$81,0)),"NO"))</f>
        <v/>
      </c>
    </row>
    <row r="2048">
      <c r="A2048" s="48">
        <f>IF(Offerte!$A67="","",Offerte!$A67)</f>
        <v/>
      </c>
      <c r="B2048" s="48">
        <f>IF(Offerte!$A67="","",Offerte!$B67)</f>
        <v/>
      </c>
      <c r="C2048" s="48">
        <f>IF(Offerte!$A67="","",Offerte!$C67)</f>
        <v/>
      </c>
      <c r="D2048" s="48" t="inlineStr">
        <is>
          <t>G.3.1</t>
        </is>
      </c>
      <c r="E2048" s="48" t="inlineStr">
        <is>
          <t>G</t>
        </is>
      </c>
      <c r="F2048" s="48" t="inlineStr">
        <is>
          <t>T</t>
        </is>
      </c>
      <c r="G2048" s="48" t="inlineStr">
        <is>
          <t>tabular</t>
        </is>
      </c>
      <c r="H2048" s="48" t="n">
        <v>1</v>
      </c>
      <c r="I2048" s="48" t="inlineStr">
        <is>
          <t>Certificazioni di responsabilità sociale</t>
        </is>
      </c>
      <c r="J2048" s="73" t="n"/>
      <c r="K2048" s="73" t="n"/>
      <c r="L2048" s="73" t="n"/>
      <c r="M2048" s="73" t="n"/>
      <c r="N2048" s="57">
        <f>IF($A2048="","",IF(IFERROR(VALUE($M2048),0)=1,1,0))</f>
        <v/>
      </c>
      <c r="O2048" s="57">
        <f>IF($A2048="",0,IF(OR($S2048&lt;&gt;1,COUNTA($J2048:$M2048)=0),0,IF($N2048=1,$H2048,0)))</f>
        <v/>
      </c>
      <c r="P2048" s="48" t="inlineStr">
        <is>
          <t>sì/no</t>
        </is>
      </c>
      <c r="Q2048" s="57">
        <f>IF($A2048="","",$A2048&amp;"|"&amp;$C2048)</f>
        <v/>
      </c>
      <c r="R2048" s="57">
        <f>IF($A2048="","",$A2048&amp;"|"&amp;$C2048&amp;"|"&amp;$D2048)</f>
        <v/>
      </c>
      <c r="S2048" s="57">
        <f>IF($A2048="","",IFERROR(INDEX(Offerte!$D$2:$D$81,MATCH($Q2048,Offerte!$L$2:$L$81,0)),0))</f>
        <v/>
      </c>
      <c r="T2048" s="57">
        <f>IF($A2048="","",IFERROR(INDEX(Offerte!$G$2:$G$81,MATCH($Q2048,Offerte!$L$2:$L$81,0)),"NO"))</f>
        <v/>
      </c>
    </row>
    <row r="2049">
      <c r="A2049" s="48">
        <f>IF(Offerte!$A67="","",Offerte!$A67)</f>
        <v/>
      </c>
      <c r="B2049" s="48">
        <f>IF(Offerte!$A67="","",Offerte!$B67)</f>
        <v/>
      </c>
      <c r="C2049" s="48">
        <f>IF(Offerte!$A67="","",Offerte!$C67)</f>
        <v/>
      </c>
      <c r="D2049" s="48" t="inlineStr">
        <is>
          <t>G.4.1</t>
        </is>
      </c>
      <c r="E2049" s="48" t="inlineStr">
        <is>
          <t>G</t>
        </is>
      </c>
      <c r="F2049" s="48" t="inlineStr">
        <is>
          <t>D</t>
        </is>
      </c>
      <c r="G2049" s="48" t="inlineStr">
        <is>
          <t>discretionary</t>
        </is>
      </c>
      <c r="H2049" s="48" t="n">
        <v>2</v>
      </c>
      <c r="I2049" s="48" t="inlineStr">
        <is>
          <t>Qualità del piano di formazione del personale</t>
        </is>
      </c>
      <c r="J2049" s="73" t="n"/>
      <c r="K2049" s="73" t="n"/>
      <c r="L2049" s="73" t="n"/>
      <c r="M2049" s="73" t="n"/>
      <c r="N2049" s="57">
        <f>IF($A2049="","",MAX(0,MIN(1,IFERROR(VALUE($M2049),0))))</f>
        <v/>
      </c>
      <c r="O2049" s="57">
        <f>IF($A2049="",0,IF(OR($S2049&lt;&gt;1,COUNTA($J2049:$M2049)=0),0,IF(SUMPRODUCT(MAX(($C$5:$C$2484=$C2049)*($D$5:$D$2484=$D2049)*($S$5:$S$2484=1)*IFERROR($N$5:$N$2484*1,0)))&gt;0,ROUND($H2049*($N2049/SUMPRODUCT(MAX(($C$5:$C$2484=$C2049)*($D$5:$D$2484=$D2049)*($S$5:$S$2484=1)*IFERROR($N$5:$N$2484*1,0)))),4),0)))</f>
        <v/>
      </c>
      <c r="P2049" s="48" t="inlineStr">
        <is>
          <t>coeff.</t>
        </is>
      </c>
      <c r="Q2049" s="57">
        <f>IF($A2049="","",$A2049&amp;"|"&amp;$C2049)</f>
        <v/>
      </c>
      <c r="R2049" s="57">
        <f>IF($A2049="","",$A2049&amp;"|"&amp;$C2049&amp;"|"&amp;$D2049)</f>
        <v/>
      </c>
      <c r="S2049" s="57">
        <f>IF($A2049="","",IFERROR(INDEX(Offerte!$D$2:$D$81,MATCH($Q2049,Offerte!$L$2:$L$81,0)),0))</f>
        <v/>
      </c>
      <c r="T2049" s="57">
        <f>IF($A2049="","",IFERROR(INDEX(Offerte!$G$2:$G$81,MATCH($Q2049,Offerte!$L$2:$L$81,0)),"NO"))</f>
        <v/>
      </c>
    </row>
    <row r="2050">
      <c r="A2050" s="48">
        <f>IF(Offerte!$A67="","",Offerte!$A67)</f>
        <v/>
      </c>
      <c r="B2050" s="48">
        <f>IF(Offerte!$A67="","",Offerte!$B67)</f>
        <v/>
      </c>
      <c r="C2050" s="48">
        <f>IF(Offerte!$A67="","",Offerte!$C67)</f>
        <v/>
      </c>
      <c r="D2050" s="48" t="inlineStr">
        <is>
          <t>G.5.1</t>
        </is>
      </c>
      <c r="E2050" s="48" t="inlineStr">
        <is>
          <t>G</t>
        </is>
      </c>
      <c r="F2050" s="48" t="inlineStr">
        <is>
          <t>T</t>
        </is>
      </c>
      <c r="G2050" s="48" t="inlineStr">
        <is>
          <t>tabular</t>
        </is>
      </c>
      <c r="H2050" s="48" t="n">
        <v>1</v>
      </c>
      <c r="I2050" s="48" t="inlineStr">
        <is>
          <t>Impegno al mantenimento delle garanzie del contratto di secondo livello del gestore uscente</t>
        </is>
      </c>
      <c r="J2050" s="73" t="n"/>
      <c r="K2050" s="73" t="n"/>
      <c r="L2050" s="73" t="n"/>
      <c r="M2050" s="73" t="n"/>
      <c r="N2050" s="57">
        <f>IF($A2050="","",IF(IFERROR(VALUE($M2050),0)=1,1,0))</f>
        <v/>
      </c>
      <c r="O2050" s="57">
        <f>IF($A2050="",0,IF(OR($S2050&lt;&gt;1,COUNTA($J2050:$M2050)=0),0,IF($N2050=1,$H2050,0)))</f>
        <v/>
      </c>
      <c r="P2050" s="48" t="inlineStr">
        <is>
          <t>sì/no</t>
        </is>
      </c>
      <c r="Q2050" s="57">
        <f>IF($A2050="","",$A2050&amp;"|"&amp;$C2050)</f>
        <v/>
      </c>
      <c r="R2050" s="57">
        <f>IF($A2050="","",$A2050&amp;"|"&amp;$C2050&amp;"|"&amp;$D2050)</f>
        <v/>
      </c>
      <c r="S2050" s="57">
        <f>IF($A2050="","",IFERROR(INDEX(Offerte!$D$2:$D$81,MATCH($Q2050,Offerte!$L$2:$L$81,0)),0))</f>
        <v/>
      </c>
      <c r="T2050" s="57">
        <f>IF($A2050="","",IFERROR(INDEX(Offerte!$G$2:$G$81,MATCH($Q2050,Offerte!$L$2:$L$81,0)),"NO"))</f>
        <v/>
      </c>
    </row>
    <row r="2051">
      <c r="A2051" s="48">
        <f>IF(Offerte!$A68="","",Offerte!$A68)</f>
        <v/>
      </c>
      <c r="B2051" s="48">
        <f>IF(Offerte!$A68="","",Offerte!$B68)</f>
        <v/>
      </c>
      <c r="C2051" s="48">
        <f>IF(Offerte!$A68="","",Offerte!$C68)</f>
        <v/>
      </c>
      <c r="D2051" s="48" t="inlineStr">
        <is>
          <t>A.1.1</t>
        </is>
      </c>
      <c r="E2051" s="48" t="inlineStr">
        <is>
          <t>A</t>
        </is>
      </c>
      <c r="F2051" s="48" t="inlineStr">
        <is>
          <t>Q</t>
        </is>
      </c>
      <c r="G2051" s="48" t="inlineStr">
        <is>
          <t>higher</t>
        </is>
      </c>
      <c r="H2051" s="48" t="n">
        <v>3</v>
      </c>
      <c r="I2051" s="48" t="inlineStr">
        <is>
          <t>Tasso aggiuntivo di corse controllate</t>
        </is>
      </c>
      <c r="J2051" s="73" t="n"/>
      <c r="K2051" s="73" t="n"/>
      <c r="L2051" s="73" t="n"/>
      <c r="M2051" s="73" t="n"/>
      <c r="N2051" s="57">
        <f>IF($A2051="","",IFERROR(VALUE($K2051)/VALUE($L2051)*100,IFERROR(VALUE($J2051),0)))</f>
        <v/>
      </c>
      <c r="O2051" s="57">
        <f>IF($A2051="",0,IF(OR($S2051&lt;&gt;1,COUNTA($J2051:$M2051)=0),0,IF(SUMPRODUCT(MAX(($C$5:$C$2484=$C2051)*($D$5:$D$2484=$D2051)*($S$5:$S$2484=1)*IFERROR($N$5:$N$2484*1,0)))&gt;0,ROUND($H2051*($N2051/SUMPRODUCT(MAX(($C$5:$C$2484=$C2051)*($D$5:$D$2484=$D2051)*($S$5:$S$2484=1)*IFERROR($N$5:$N$2484*1,0)))),4),0)))</f>
        <v/>
      </c>
      <c r="P2051" s="48" t="inlineStr">
        <is>
          <t>Corse controllate annue / Corse programmate annue</t>
        </is>
      </c>
      <c r="Q2051" s="57">
        <f>IF($A2051="","",$A2051&amp;"|"&amp;$C2051)</f>
        <v/>
      </c>
      <c r="R2051" s="57">
        <f>IF($A2051="","",$A2051&amp;"|"&amp;$C2051&amp;"|"&amp;$D2051)</f>
        <v/>
      </c>
      <c r="S2051" s="57">
        <f>IF($A2051="","",IFERROR(INDEX(Offerte!$D$2:$D$81,MATCH($Q2051,Offerte!$L$2:$L$81,0)),0))</f>
        <v/>
      </c>
      <c r="T2051" s="57">
        <f>IF($A2051="","",IFERROR(INDEX(Offerte!$G$2:$G$81,MATCH($Q2051,Offerte!$L$2:$L$81,0)),"NO"))</f>
        <v/>
      </c>
    </row>
    <row r="2052">
      <c r="A2052" s="48">
        <f>IF(Offerte!$A68="","",Offerte!$A68)</f>
        <v/>
      </c>
      <c r="B2052" s="48">
        <f>IF(Offerte!$A68="","",Offerte!$B68)</f>
        <v/>
      </c>
      <c r="C2052" s="48">
        <f>IF(Offerte!$A68="","",Offerte!$C68)</f>
        <v/>
      </c>
      <c r="D2052" s="48" t="inlineStr">
        <is>
          <t>A.1.2</t>
        </is>
      </c>
      <c r="E2052" s="48" t="inlineStr">
        <is>
          <t>A</t>
        </is>
      </c>
      <c r="F2052" s="48" t="inlineStr">
        <is>
          <t>Q</t>
        </is>
      </c>
      <c r="G2052" s="48" t="inlineStr">
        <is>
          <t>higher</t>
        </is>
      </c>
      <c r="H2052" s="48" t="n">
        <v>4</v>
      </c>
      <c r="I2052" s="48" t="inlineStr">
        <is>
          <t>Numero aggiuntivo di passeggeri controllati</t>
        </is>
      </c>
      <c r="J2052" s="73" t="n"/>
      <c r="K2052" s="73" t="n"/>
      <c r="L2052" s="73" t="n"/>
      <c r="M2052" s="73" t="n"/>
      <c r="N2052" s="57">
        <f>IF($A2052="","",IFERROR(VALUE($J2052),0))</f>
        <v/>
      </c>
      <c r="O2052" s="57">
        <f>IF($A2052="",0,IF(OR($S2052&lt;&gt;1,COUNTA($J2052:$M2052)=0),0,IF(SUMPRODUCT(MAX(($C$5:$C$2484=$C2052)*($D$5:$D$2484=$D2052)*($S$5:$S$2484=1)*IFERROR($N$5:$N$2484*1,0)))&gt;0,ROUND($H2052*($N2052/SUMPRODUCT(MAX(($C$5:$C$2484=$C2052)*($D$5:$D$2484=$D2052)*($S$5:$S$2484=1)*IFERROR($N$5:$N$2484*1,0)))),4),0)))</f>
        <v/>
      </c>
      <c r="P2052" s="48" t="inlineStr">
        <is>
          <t>passeggeri/anno</t>
        </is>
      </c>
      <c r="Q2052" s="57">
        <f>IF($A2052="","",$A2052&amp;"|"&amp;$C2052)</f>
        <v/>
      </c>
      <c r="R2052" s="57">
        <f>IF($A2052="","",$A2052&amp;"|"&amp;$C2052&amp;"|"&amp;$D2052)</f>
        <v/>
      </c>
      <c r="S2052" s="57">
        <f>IF($A2052="","",IFERROR(INDEX(Offerte!$D$2:$D$81,MATCH($Q2052,Offerte!$L$2:$L$81,0)),0))</f>
        <v/>
      </c>
      <c r="T2052" s="57">
        <f>IF($A2052="","",IFERROR(INDEX(Offerte!$G$2:$G$81,MATCH($Q2052,Offerte!$L$2:$L$81,0)),"NO"))</f>
        <v/>
      </c>
    </row>
    <row r="2053">
      <c r="A2053" s="48">
        <f>IF(Offerte!$A68="","",Offerte!$A68)</f>
        <v/>
      </c>
      <c r="B2053" s="48">
        <f>IF(Offerte!$A68="","",Offerte!$B68)</f>
        <v/>
      </c>
      <c r="C2053" s="48">
        <f>IF(Offerte!$A68="","",Offerte!$C68)</f>
        <v/>
      </c>
      <c r="D2053" s="48" t="inlineStr">
        <is>
          <t>B.1.1</t>
        </is>
      </c>
      <c r="E2053" s="48" t="inlineStr">
        <is>
          <t>B</t>
        </is>
      </c>
      <c r="F2053" s="48" t="inlineStr">
        <is>
          <t>Q</t>
        </is>
      </c>
      <c r="G2053" s="48" t="inlineStr">
        <is>
          <t>higher</t>
        </is>
      </c>
      <c r="H2053" s="48" t="n">
        <v>3</v>
      </c>
      <c r="I2053" s="48" t="inlineStr">
        <is>
          <t>Incremento dei posti offerti nelle fasce di punta</t>
        </is>
      </c>
      <c r="J2053" s="73" t="n"/>
      <c r="K2053" s="73" t="n"/>
      <c r="L2053" s="73" t="n"/>
      <c r="M2053" s="73" t="n"/>
      <c r="N2053" s="57">
        <f>IF($A2053="","",IFERROR(VALUE($J2053),0))</f>
        <v/>
      </c>
      <c r="O2053" s="57">
        <f>IF($A2053="",0,IF(OR($S2053&lt;&gt;1,COUNTA($J2053:$M2053)=0),0,IF(SUMPRODUCT(MAX(($C$5:$C$2484=$C2053)*($D$5:$D$2484=$D2053)*($S$5:$S$2484=1)*IFERROR($N$5:$N$2484*1,0)))&gt;0,ROUND($H2053*($N2053/SUMPRODUCT(MAX(($C$5:$C$2484=$C2053)*($D$5:$D$2484=$D2053)*($S$5:$S$2484=1)*IFERROR($N$5:$N$2484*1,0)))),4),0)))</f>
        <v/>
      </c>
      <c r="P2053" s="48" t="inlineStr">
        <is>
          <t>posti*km</t>
        </is>
      </c>
      <c r="Q2053" s="57">
        <f>IF($A2053="","",$A2053&amp;"|"&amp;$C2053)</f>
        <v/>
      </c>
      <c r="R2053" s="57">
        <f>IF($A2053="","",$A2053&amp;"|"&amp;$C2053&amp;"|"&amp;$D2053)</f>
        <v/>
      </c>
      <c r="S2053" s="57">
        <f>IF($A2053="","",IFERROR(INDEX(Offerte!$D$2:$D$81,MATCH($Q2053,Offerte!$L$2:$L$81,0)),0))</f>
        <v/>
      </c>
      <c r="T2053" s="57">
        <f>IF($A2053="","",IFERROR(INDEX(Offerte!$G$2:$G$81,MATCH($Q2053,Offerte!$L$2:$L$81,0)),"NO"))</f>
        <v/>
      </c>
    </row>
    <row r="2054">
      <c r="A2054" s="48">
        <f>IF(Offerte!$A68="","",Offerte!$A68)</f>
        <v/>
      </c>
      <c r="B2054" s="48">
        <f>IF(Offerte!$A68="","",Offerte!$B68)</f>
        <v/>
      </c>
      <c r="C2054" s="48">
        <f>IF(Offerte!$A68="","",Offerte!$C68)</f>
        <v/>
      </c>
      <c r="D2054" s="48" t="inlineStr">
        <is>
          <t>B.2.1</t>
        </is>
      </c>
      <c r="E2054" s="48" t="inlineStr">
        <is>
          <t>B</t>
        </is>
      </c>
      <c r="F2054" s="48" t="inlineStr">
        <is>
          <t>Q</t>
        </is>
      </c>
      <c r="G2054" s="48" t="inlineStr">
        <is>
          <t>higher</t>
        </is>
      </c>
      <c r="H2054" s="48" t="n">
        <v>4</v>
      </c>
      <c r="I2054" s="48" t="inlineStr">
        <is>
          <t>Corse aggiuntive nell'arco giornaliero base</t>
        </is>
      </c>
      <c r="J2054" s="73" t="n"/>
      <c r="K2054" s="73" t="n"/>
      <c r="L2054" s="73" t="n"/>
      <c r="M2054" s="73" t="n"/>
      <c r="N2054" s="57">
        <f>IF($A2054="","",IFERROR(VALUE($J2054),0))</f>
        <v/>
      </c>
      <c r="O2054" s="57">
        <f>IF($A2054="",0,IF(OR($S2054&lt;&gt;1,COUNTA($J2054:$M2054)=0),0,IF(SUMPRODUCT(MAX(($C$5:$C$2484=$C2054)*($D$5:$D$2484=$D2054)*($S$5:$S$2484=1)*IFERROR($N$5:$N$2484*1,0)))&gt;0,ROUND($H2054*($N2054/SUMPRODUCT(MAX(($C$5:$C$2484=$C2054)*($D$5:$D$2484=$D2054)*($S$5:$S$2484=1)*IFERROR($N$5:$N$2484*1,0)))),4),0)))</f>
        <v/>
      </c>
      <c r="P2054" s="48" t="inlineStr">
        <is>
          <t>corse</t>
        </is>
      </c>
      <c r="Q2054" s="57">
        <f>IF($A2054="","",$A2054&amp;"|"&amp;$C2054)</f>
        <v/>
      </c>
      <c r="R2054" s="57">
        <f>IF($A2054="","",$A2054&amp;"|"&amp;$C2054&amp;"|"&amp;$D2054)</f>
        <v/>
      </c>
      <c r="S2054" s="57">
        <f>IF($A2054="","",IFERROR(INDEX(Offerte!$D$2:$D$81,MATCH($Q2054,Offerte!$L$2:$L$81,0)),0))</f>
        <v/>
      </c>
      <c r="T2054" s="57">
        <f>IF($A2054="","",IFERROR(INDEX(Offerte!$G$2:$G$81,MATCH($Q2054,Offerte!$L$2:$L$81,0)),"NO"))</f>
        <v/>
      </c>
    </row>
    <row r="2055">
      <c r="A2055" s="48">
        <f>IF(Offerte!$A68="","",Offerte!$A68)</f>
        <v/>
      </c>
      <c r="B2055" s="48">
        <f>IF(Offerte!$A68="","",Offerte!$B68)</f>
        <v/>
      </c>
      <c r="C2055" s="48">
        <f>IF(Offerte!$A68="","",Offerte!$C68)</f>
        <v/>
      </c>
      <c r="D2055" s="48" t="inlineStr">
        <is>
          <t>B.3.1</t>
        </is>
      </c>
      <c r="E2055" s="48" t="inlineStr">
        <is>
          <t>B</t>
        </is>
      </c>
      <c r="F2055" s="48" t="inlineStr">
        <is>
          <t>Q</t>
        </is>
      </c>
      <c r="G2055" s="48" t="inlineStr">
        <is>
          <t>higher</t>
        </is>
      </c>
      <c r="H2055" s="48" t="n">
        <v>2</v>
      </c>
      <c r="I2055" s="48" t="inlineStr">
        <is>
          <t>Numero di corse aggiuntive per allungamento dell'arco di servizio giornaliero nelle fasce serali</t>
        </is>
      </c>
      <c r="J2055" s="73" t="n"/>
      <c r="K2055" s="73" t="n"/>
      <c r="L2055" s="73" t="n"/>
      <c r="M2055" s="73" t="n"/>
      <c r="N2055" s="57">
        <f>IF($A2055="","",IFERROR(VALUE($J2055),0))</f>
        <v/>
      </c>
      <c r="O2055" s="57">
        <f>IF($A2055="",0,IF(OR($S2055&lt;&gt;1,COUNTA($J2055:$M2055)=0),0,IF(SUMPRODUCT(MAX(($C$5:$C$2484=$C2055)*($D$5:$D$2484=$D2055)*($S$5:$S$2484=1)*IFERROR($N$5:$N$2484*1,0)))&gt;0,ROUND($H2055*($N2055/SUMPRODUCT(MAX(($C$5:$C$2484=$C2055)*($D$5:$D$2484=$D2055)*($S$5:$S$2484=1)*IFERROR($N$5:$N$2484*1,0)))),4),0)))</f>
        <v/>
      </c>
      <c r="P2055" s="48" t="inlineStr">
        <is>
          <t>corse</t>
        </is>
      </c>
      <c r="Q2055" s="57">
        <f>IF($A2055="","",$A2055&amp;"|"&amp;$C2055)</f>
        <v/>
      </c>
      <c r="R2055" s="57">
        <f>IF($A2055="","",$A2055&amp;"|"&amp;$C2055&amp;"|"&amp;$D2055)</f>
        <v/>
      </c>
      <c r="S2055" s="57">
        <f>IF($A2055="","",IFERROR(INDEX(Offerte!$D$2:$D$81,MATCH($Q2055,Offerte!$L$2:$L$81,0)),0))</f>
        <v/>
      </c>
      <c r="T2055" s="57">
        <f>IF($A2055="","",IFERROR(INDEX(Offerte!$G$2:$G$81,MATCH($Q2055,Offerte!$L$2:$L$81,0)),"NO"))</f>
        <v/>
      </c>
    </row>
    <row r="2056">
      <c r="A2056" s="48">
        <f>IF(Offerte!$A68="","",Offerte!$A68)</f>
        <v/>
      </c>
      <c r="B2056" s="48">
        <f>IF(Offerte!$A68="","",Offerte!$B68)</f>
        <v/>
      </c>
      <c r="C2056" s="48">
        <f>IF(Offerte!$A68="","",Offerte!$C68)</f>
        <v/>
      </c>
      <c r="D2056" s="48" t="inlineStr">
        <is>
          <t>B.4.1</t>
        </is>
      </c>
      <c r="E2056" s="48" t="inlineStr">
        <is>
          <t>B</t>
        </is>
      </c>
      <c r="F2056" s="48" t="inlineStr">
        <is>
          <t>Q</t>
        </is>
      </c>
      <c r="G2056" s="48" t="inlineStr">
        <is>
          <t>higher</t>
        </is>
      </c>
      <c r="H2056" s="48" t="n">
        <v>3</v>
      </c>
      <c r="I2056" s="48" t="inlineStr">
        <is>
          <t>Percorrenze aggiuntive offerte nel Programma d'esercizio delle prime due fasi attuative</t>
        </is>
      </c>
      <c r="J2056" s="73" t="n"/>
      <c r="K2056" s="73" t="n"/>
      <c r="L2056" s="73" t="n"/>
      <c r="M2056" s="73" t="n"/>
      <c r="N2056" s="57">
        <f>IF($A2056="","",IFERROR(VALUE($J2056),0))</f>
        <v/>
      </c>
      <c r="O2056" s="57">
        <f>IF($A2056="",0,IF(OR($S2056&lt;&gt;1,COUNTA($J2056:$M2056)=0),0,IF(SUMPRODUCT(MAX(($C$5:$C$2484=$C2056)*($D$5:$D$2484=$D2056)*($S$5:$S$2484=1)*IFERROR($N$5:$N$2484*1,0)))&gt;0,ROUND($H2056*($N2056/SUMPRODUCT(MAX(($C$5:$C$2484=$C2056)*($D$5:$D$2484=$D2056)*($S$5:$S$2484=1)*IFERROR($N$5:$N$2484*1,0)))),4),0)))</f>
        <v/>
      </c>
      <c r="P2056" s="48" t="inlineStr">
        <is>
          <t>vett*km</t>
        </is>
      </c>
      <c r="Q2056" s="57">
        <f>IF($A2056="","",$A2056&amp;"|"&amp;$C2056)</f>
        <v/>
      </c>
      <c r="R2056" s="57">
        <f>IF($A2056="","",$A2056&amp;"|"&amp;$C2056&amp;"|"&amp;$D2056)</f>
        <v/>
      </c>
      <c r="S2056" s="57">
        <f>IF($A2056="","",IFERROR(INDEX(Offerte!$D$2:$D$81,MATCH($Q2056,Offerte!$L$2:$L$81,0)),0))</f>
        <v/>
      </c>
      <c r="T2056" s="57">
        <f>IF($A2056="","",IFERROR(INDEX(Offerte!$G$2:$G$81,MATCH($Q2056,Offerte!$L$2:$L$81,0)),"NO"))</f>
        <v/>
      </c>
    </row>
    <row r="2057">
      <c r="A2057" s="48">
        <f>IF(Offerte!$A68="","",Offerte!$A68)</f>
        <v/>
      </c>
      <c r="B2057" s="48">
        <f>IF(Offerte!$A68="","",Offerte!$B68)</f>
        <v/>
      </c>
      <c r="C2057" s="48">
        <f>IF(Offerte!$A68="","",Offerte!$C68)</f>
        <v/>
      </c>
      <c r="D2057" s="48" t="inlineStr">
        <is>
          <t>B.5.1</t>
        </is>
      </c>
      <c r="E2057" s="48" t="inlineStr">
        <is>
          <t>B</t>
        </is>
      </c>
      <c r="F2057" s="48" t="inlineStr">
        <is>
          <t>D</t>
        </is>
      </c>
      <c r="G2057" s="48" t="inlineStr">
        <is>
          <t>discretionary</t>
        </is>
      </c>
      <c r="H2057" s="48" t="n">
        <v>2</v>
      </c>
      <c r="I2057" s="48" t="inlineStr">
        <is>
          <t>Efficacia del progetto di servizi complementari DRT</t>
        </is>
      </c>
      <c r="J2057" s="73" t="n"/>
      <c r="K2057" s="73" t="n"/>
      <c r="L2057" s="73" t="n"/>
      <c r="M2057" s="73" t="n"/>
      <c r="N2057" s="57">
        <f>IF($A2057="","",MAX(0,MIN(1,IFERROR(VALUE($M2057),0))))</f>
        <v/>
      </c>
      <c r="O2057" s="57">
        <f>IF($A2057="",0,IF(OR($S2057&lt;&gt;1,COUNTA($J2057:$M2057)=0),0,IF(SUMPRODUCT(MAX(($C$5:$C$2484=$C2057)*($D$5:$D$2484=$D2057)*($S$5:$S$2484=1)*IFERROR($N$5:$N$2484*1,0)))&gt;0,ROUND($H2057*($N2057/SUMPRODUCT(MAX(($C$5:$C$2484=$C2057)*($D$5:$D$2484=$D2057)*($S$5:$S$2484=1)*IFERROR($N$5:$N$2484*1,0)))),4),0)))</f>
        <v/>
      </c>
      <c r="P2057" s="48" t="inlineStr">
        <is>
          <t>coeff.</t>
        </is>
      </c>
      <c r="Q2057" s="57">
        <f>IF($A2057="","",$A2057&amp;"|"&amp;$C2057)</f>
        <v/>
      </c>
      <c r="R2057" s="57">
        <f>IF($A2057="","",$A2057&amp;"|"&amp;$C2057&amp;"|"&amp;$D2057)</f>
        <v/>
      </c>
      <c r="S2057" s="57">
        <f>IF($A2057="","",IFERROR(INDEX(Offerte!$D$2:$D$81,MATCH($Q2057,Offerte!$L$2:$L$81,0)),0))</f>
        <v/>
      </c>
      <c r="T2057" s="57">
        <f>IF($A2057="","",IFERROR(INDEX(Offerte!$G$2:$G$81,MATCH($Q2057,Offerte!$L$2:$L$81,0)),"NO"))</f>
        <v/>
      </c>
    </row>
    <row r="2058">
      <c r="A2058" s="48">
        <f>IF(Offerte!$A68="","",Offerte!$A68)</f>
        <v/>
      </c>
      <c r="B2058" s="48">
        <f>IF(Offerte!$A68="","",Offerte!$B68)</f>
        <v/>
      </c>
      <c r="C2058" s="48">
        <f>IF(Offerte!$A68="","",Offerte!$C68)</f>
        <v/>
      </c>
      <c r="D2058" s="48" t="inlineStr">
        <is>
          <t>C.1.1</t>
        </is>
      </c>
      <c r="E2058" s="48" t="inlineStr">
        <is>
          <t>C</t>
        </is>
      </c>
      <c r="F2058" s="48" t="inlineStr">
        <is>
          <t>Q</t>
        </is>
      </c>
      <c r="G2058" s="48" t="inlineStr">
        <is>
          <t>higher</t>
        </is>
      </c>
      <c r="H2058" s="48" t="n">
        <v>2</v>
      </c>
      <c r="I2058" s="48" t="inlineStr">
        <is>
          <t>Tasso di copertura del servizio con telecamere BSD</t>
        </is>
      </c>
      <c r="J2058" s="73" t="n"/>
      <c r="K2058" s="73" t="n"/>
      <c r="L2058" s="73" t="n"/>
      <c r="M2058" s="73" t="n"/>
      <c r="N2058" s="57">
        <f>IF($A2058="","",IFERROR(VALUE($K2058)/VALUE($L2058),IFERROR(VALUE($J2058),0)))</f>
        <v/>
      </c>
      <c r="O2058" s="57">
        <f>IF($A2058="",0,IF(OR($S2058&lt;&gt;1,COUNTA($J2058:$M2058)=0),0,IF(SUMPRODUCT(MAX(($C$5:$C$2484=$C2058)*($D$5:$D$2484=$D2058)*($S$5:$S$2484=1)*IFERROR($N$5:$N$2484*1,0)))&gt;0,ROUND($H2058*($N2058/SUMPRODUCT(MAX(($C$5:$C$2484=$C2058)*($D$5:$D$2484=$D2058)*($S$5:$S$2484=1)*IFERROR($N$5:$N$2484*1,0)))),4),0)))</f>
        <v/>
      </c>
      <c r="P2058" s="48" t="inlineStr">
        <is>
          <t>Autobus attrezzati con telecamere BSD / Autobus totali in offerta, incluse scorte</t>
        </is>
      </c>
      <c r="Q2058" s="57">
        <f>IF($A2058="","",$A2058&amp;"|"&amp;$C2058)</f>
        <v/>
      </c>
      <c r="R2058" s="57">
        <f>IF($A2058="","",$A2058&amp;"|"&amp;$C2058&amp;"|"&amp;$D2058)</f>
        <v/>
      </c>
      <c r="S2058" s="57">
        <f>IF($A2058="","",IFERROR(INDEX(Offerte!$D$2:$D$81,MATCH($Q2058,Offerte!$L$2:$L$81,0)),0))</f>
        <v/>
      </c>
      <c r="T2058" s="57">
        <f>IF($A2058="","",IFERROR(INDEX(Offerte!$G$2:$G$81,MATCH($Q2058,Offerte!$L$2:$L$81,0)),"NO"))</f>
        <v/>
      </c>
    </row>
    <row r="2059">
      <c r="A2059" s="48">
        <f>IF(Offerte!$A68="","",Offerte!$A68)</f>
        <v/>
      </c>
      <c r="B2059" s="48">
        <f>IF(Offerte!$A68="","",Offerte!$B68)</f>
        <v/>
      </c>
      <c r="C2059" s="48">
        <f>IF(Offerte!$A68="","",Offerte!$C68)</f>
        <v/>
      </c>
      <c r="D2059" s="48" t="inlineStr">
        <is>
          <t>C.1.2</t>
        </is>
      </c>
      <c r="E2059" s="48" t="inlineStr">
        <is>
          <t>C</t>
        </is>
      </c>
      <c r="F2059" s="48" t="inlineStr">
        <is>
          <t>Q</t>
        </is>
      </c>
      <c r="G2059" s="48" t="inlineStr">
        <is>
          <t>higher</t>
        </is>
      </c>
      <c r="H2059" s="48" t="n">
        <v>2</v>
      </c>
      <c r="I2059" s="48" t="inlineStr">
        <is>
          <t>Tasso di copertura del servizio con telecamere ADAS</t>
        </is>
      </c>
      <c r="J2059" s="73" t="n"/>
      <c r="K2059" s="73" t="n"/>
      <c r="L2059" s="73" t="n"/>
      <c r="M2059" s="73" t="n"/>
      <c r="N2059" s="57">
        <f>IF($A2059="","",IFERROR(VALUE($K2059)/VALUE($L2059),IFERROR(VALUE($J2059),0)))</f>
        <v/>
      </c>
      <c r="O2059" s="57">
        <f>IF($A2059="",0,IF(OR($S2059&lt;&gt;1,COUNTA($J2059:$M2059)=0),0,IF(SUMPRODUCT(MAX(($C$5:$C$2484=$C2059)*($D$5:$D$2484=$D2059)*($S$5:$S$2484=1)*IFERROR($N$5:$N$2484*1,0)))&gt;0,ROUND($H2059*($N2059/SUMPRODUCT(MAX(($C$5:$C$2484=$C2059)*($D$5:$D$2484=$D2059)*($S$5:$S$2484=1)*IFERROR($N$5:$N$2484*1,0)))),4),0)))</f>
        <v/>
      </c>
      <c r="P2059" s="48" t="inlineStr">
        <is>
          <t>Autobus attrezzati con telecamere ADAS / Autobus totali in offerta, incluse scorte</t>
        </is>
      </c>
      <c r="Q2059" s="57">
        <f>IF($A2059="","",$A2059&amp;"|"&amp;$C2059)</f>
        <v/>
      </c>
      <c r="R2059" s="57">
        <f>IF($A2059="","",$A2059&amp;"|"&amp;$C2059&amp;"|"&amp;$D2059)</f>
        <v/>
      </c>
      <c r="S2059" s="57">
        <f>IF($A2059="","",IFERROR(INDEX(Offerte!$D$2:$D$81,MATCH($Q2059,Offerte!$L$2:$L$81,0)),0))</f>
        <v/>
      </c>
      <c r="T2059" s="57">
        <f>IF($A2059="","",IFERROR(INDEX(Offerte!$G$2:$G$81,MATCH($Q2059,Offerte!$L$2:$L$81,0)),"NO"))</f>
        <v/>
      </c>
    </row>
    <row r="2060">
      <c r="A2060" s="48">
        <f>IF(Offerte!$A68="","",Offerte!$A68)</f>
        <v/>
      </c>
      <c r="B2060" s="48">
        <f>IF(Offerte!$A68="","",Offerte!$B68)</f>
        <v/>
      </c>
      <c r="C2060" s="48">
        <f>IF(Offerte!$A68="","",Offerte!$C68)</f>
        <v/>
      </c>
      <c r="D2060" s="48" t="inlineStr">
        <is>
          <t>C.2.1</t>
        </is>
      </c>
      <c r="E2060" s="48" t="inlineStr">
        <is>
          <t>C</t>
        </is>
      </c>
      <c r="F2060" s="48" t="inlineStr">
        <is>
          <t>Q</t>
        </is>
      </c>
      <c r="G2060" s="48" t="inlineStr">
        <is>
          <t>higher</t>
        </is>
      </c>
      <c r="H2060" s="48" t="n">
        <v>3</v>
      </c>
      <c r="I2060" s="48" t="inlineStr">
        <is>
          <t>Tasso di copertura del servizio con telecamere di bordo di videosorveglianza</t>
        </is>
      </c>
      <c r="J2060" s="73" t="n"/>
      <c r="K2060" s="73" t="n"/>
      <c r="L2060" s="73" t="n"/>
      <c r="M2060" s="73" t="n"/>
      <c r="N2060" s="57">
        <f>IF($A2060="","",IFERROR(VALUE($K2060)/VALUE($L2060),IFERROR(VALUE($J2060),0)))</f>
        <v/>
      </c>
      <c r="O2060" s="57">
        <f>IF($A2060="",0,IF(OR($S2060&lt;&gt;1,COUNTA($J2060:$M2060)=0),0,IF(SUMPRODUCT(MAX(($C$5:$C$2484=$C2060)*($D$5:$D$2484=$D2060)*($S$5:$S$2484=1)*IFERROR($N$5:$N$2484*1,0)))&gt;0,ROUND($H2060*($N2060/SUMPRODUCT(MAX(($C$5:$C$2484=$C2060)*($D$5:$D$2484=$D2060)*($S$5:$S$2484=1)*IFERROR($N$5:$N$2484*1,0)))),4),0)))</f>
        <v/>
      </c>
      <c r="P2060" s="48" t="inlineStr">
        <is>
          <t>Autobus attrezzati con videosorveglianza / Autobus totali in offerta, incluse scorte</t>
        </is>
      </c>
      <c r="Q2060" s="57">
        <f>IF($A2060="","",$A2060&amp;"|"&amp;$C2060)</f>
        <v/>
      </c>
      <c r="R2060" s="57">
        <f>IF($A2060="","",$A2060&amp;"|"&amp;$C2060&amp;"|"&amp;$D2060)</f>
        <v/>
      </c>
      <c r="S2060" s="57">
        <f>IF($A2060="","",IFERROR(INDEX(Offerte!$D$2:$D$81,MATCH($Q2060,Offerte!$L$2:$L$81,0)),0))</f>
        <v/>
      </c>
      <c r="T2060" s="57">
        <f>IF($A2060="","",IFERROR(INDEX(Offerte!$G$2:$G$81,MATCH($Q2060,Offerte!$L$2:$L$81,0)),"NO"))</f>
        <v/>
      </c>
    </row>
    <row r="2061">
      <c r="A2061" s="48">
        <f>IF(Offerte!$A68="","",Offerte!$A68)</f>
        <v/>
      </c>
      <c r="B2061" s="48">
        <f>IF(Offerte!$A68="","",Offerte!$B68)</f>
        <v/>
      </c>
      <c r="C2061" s="48">
        <f>IF(Offerte!$A68="","",Offerte!$C68)</f>
        <v/>
      </c>
      <c r="D2061" s="48" t="inlineStr">
        <is>
          <t>C.2.2</t>
        </is>
      </c>
      <c r="E2061" s="48" t="inlineStr">
        <is>
          <t>C</t>
        </is>
      </c>
      <c r="F2061" s="48" t="inlineStr">
        <is>
          <t>T</t>
        </is>
      </c>
      <c r="G2061" s="48" t="inlineStr">
        <is>
          <t>tabular</t>
        </is>
      </c>
      <c r="H2061" s="48" t="n">
        <v>1</v>
      </c>
      <c r="I2061" s="48" t="inlineStr">
        <is>
          <t>Software video/audio analisi per situazioni di pericolo</t>
        </is>
      </c>
      <c r="J2061" s="73" t="n"/>
      <c r="K2061" s="73" t="n"/>
      <c r="L2061" s="73" t="n"/>
      <c r="M2061" s="73" t="n"/>
      <c r="N2061" s="57">
        <f>IF($A2061="","",IF(IFERROR(VALUE($M2061),0)=1,1,0))</f>
        <v/>
      </c>
      <c r="O2061" s="57">
        <f>IF($A2061="",0,IF(OR($S2061&lt;&gt;1,COUNTA($J2061:$M2061)=0),0,IF($N2061=1,$H2061,0)))</f>
        <v/>
      </c>
      <c r="P2061" s="48" t="inlineStr">
        <is>
          <t>sì/no</t>
        </is>
      </c>
      <c r="Q2061" s="57">
        <f>IF($A2061="","",$A2061&amp;"|"&amp;$C2061)</f>
        <v/>
      </c>
      <c r="R2061" s="57">
        <f>IF($A2061="","",$A2061&amp;"|"&amp;$C2061&amp;"|"&amp;$D2061)</f>
        <v/>
      </c>
      <c r="S2061" s="57">
        <f>IF($A2061="","",IFERROR(INDEX(Offerte!$D$2:$D$81,MATCH($Q2061,Offerte!$L$2:$L$81,0)),0))</f>
        <v/>
      </c>
      <c r="T2061" s="57">
        <f>IF($A2061="","",IFERROR(INDEX(Offerte!$G$2:$G$81,MATCH($Q2061,Offerte!$L$2:$L$81,0)),"NO"))</f>
        <v/>
      </c>
    </row>
    <row r="2062">
      <c r="A2062" s="48">
        <f>IF(Offerte!$A68="","",Offerte!$A68)</f>
        <v/>
      </c>
      <c r="B2062" s="48">
        <f>IF(Offerte!$A68="","",Offerte!$B68)</f>
        <v/>
      </c>
      <c r="C2062" s="48">
        <f>IF(Offerte!$A68="","",Offerte!$C68)</f>
        <v/>
      </c>
      <c r="D2062" s="48" t="inlineStr">
        <is>
          <t>C.2.3</t>
        </is>
      </c>
      <c r="E2062" s="48" t="inlineStr">
        <is>
          <t>C</t>
        </is>
      </c>
      <c r="F2062" s="48" t="inlineStr">
        <is>
          <t>T</t>
        </is>
      </c>
      <c r="G2062" s="48" t="inlineStr">
        <is>
          <t>tabular</t>
        </is>
      </c>
      <c r="H2062" s="48" t="n">
        <v>1</v>
      </c>
      <c r="I2062" s="48" t="inlineStr">
        <is>
          <t>Collegamento con centrale qualificata di pronto intervento</t>
        </is>
      </c>
      <c r="J2062" s="73" t="n"/>
      <c r="K2062" s="73" t="n"/>
      <c r="L2062" s="73" t="n"/>
      <c r="M2062" s="73" t="n"/>
      <c r="N2062" s="57">
        <f>IF($A2062="","",IF(IFERROR(VALUE($M2062),0)=1,1,0))</f>
        <v/>
      </c>
      <c r="O2062" s="57">
        <f>IF($A2062="",0,IF(OR($S2062&lt;&gt;1,COUNTA($J2062:$M2062)=0),0,IF($N2062=1,$H2062,0)))</f>
        <v/>
      </c>
      <c r="P2062" s="48" t="inlineStr">
        <is>
          <t>sì/no</t>
        </is>
      </c>
      <c r="Q2062" s="57">
        <f>IF($A2062="","",$A2062&amp;"|"&amp;$C2062)</f>
        <v/>
      </c>
      <c r="R2062" s="57">
        <f>IF($A2062="","",$A2062&amp;"|"&amp;$C2062&amp;"|"&amp;$D2062)</f>
        <v/>
      </c>
      <c r="S2062" s="57">
        <f>IF($A2062="","",IFERROR(INDEX(Offerte!$D$2:$D$81,MATCH($Q2062,Offerte!$L$2:$L$81,0)),0))</f>
        <v/>
      </c>
      <c r="T2062" s="57">
        <f>IF($A2062="","",IFERROR(INDEX(Offerte!$G$2:$G$81,MATCH($Q2062,Offerte!$L$2:$L$81,0)),"NO"))</f>
        <v/>
      </c>
    </row>
    <row r="2063">
      <c r="A2063" s="48">
        <f>IF(Offerte!$A68="","",Offerte!$A68)</f>
        <v/>
      </c>
      <c r="B2063" s="48">
        <f>IF(Offerte!$A68="","",Offerte!$B68)</f>
        <v/>
      </c>
      <c r="C2063" s="48">
        <f>IF(Offerte!$A68="","",Offerte!$C68)</f>
        <v/>
      </c>
      <c r="D2063" s="48" t="inlineStr">
        <is>
          <t>C.2.4</t>
        </is>
      </c>
      <c r="E2063" s="48" t="inlineStr">
        <is>
          <t>C</t>
        </is>
      </c>
      <c r="F2063" s="48" t="inlineStr">
        <is>
          <t>Q</t>
        </is>
      </c>
      <c r="G2063" s="48" t="inlineStr">
        <is>
          <t>higher</t>
        </is>
      </c>
      <c r="H2063" s="48" t="n">
        <v>1</v>
      </c>
      <c r="I2063" s="48" t="inlineStr">
        <is>
          <t>Tasso di copertura del servizio con dispositivi per la chiamata di emergenza del conducente</t>
        </is>
      </c>
      <c r="J2063" s="73" t="n"/>
      <c r="K2063" s="73" t="n"/>
      <c r="L2063" s="73" t="n"/>
      <c r="M2063" s="73" t="n"/>
      <c r="N2063" s="57">
        <f>IF($A2063="","",IFERROR(VALUE($K2063)/VALUE($L2063),IFERROR(VALUE($J2063),0)))</f>
        <v/>
      </c>
      <c r="O2063" s="57">
        <f>IF($A2063="",0,IF(OR($S2063&lt;&gt;1,COUNTA($J2063:$M2063)=0),0,IF(SUMPRODUCT(MAX(($C$5:$C$2484=$C2063)*($D$5:$D$2484=$D2063)*($S$5:$S$2484=1)*IFERROR($N$5:$N$2484*1,0)))&gt;0,ROUND($H2063*($N2063/SUMPRODUCT(MAX(($C$5:$C$2484=$C2063)*($D$5:$D$2484=$D2063)*($S$5:$S$2484=1)*IFERROR($N$5:$N$2484*1,0)))),4),0)))</f>
        <v/>
      </c>
      <c r="P2063" s="48" t="inlineStr">
        <is>
          <t>Autobus attrezzati con chiamata di emergenza / Autobus totali in offerta, incluse scorte</t>
        </is>
      </c>
      <c r="Q2063" s="57">
        <f>IF($A2063="","",$A2063&amp;"|"&amp;$C2063)</f>
        <v/>
      </c>
      <c r="R2063" s="57">
        <f>IF($A2063="","",$A2063&amp;"|"&amp;$C2063&amp;"|"&amp;$D2063)</f>
        <v/>
      </c>
      <c r="S2063" s="57">
        <f>IF($A2063="","",IFERROR(INDEX(Offerte!$D$2:$D$81,MATCH($Q2063,Offerte!$L$2:$L$81,0)),0))</f>
        <v/>
      </c>
      <c r="T2063" s="57">
        <f>IF($A2063="","",IFERROR(INDEX(Offerte!$G$2:$G$81,MATCH($Q2063,Offerte!$L$2:$L$81,0)),"NO"))</f>
        <v/>
      </c>
    </row>
    <row r="2064">
      <c r="A2064" s="48">
        <f>IF(Offerte!$A68="","",Offerte!$A68)</f>
        <v/>
      </c>
      <c r="B2064" s="48">
        <f>IF(Offerte!$A68="","",Offerte!$B68)</f>
        <v/>
      </c>
      <c r="C2064" s="48">
        <f>IF(Offerte!$A68="","",Offerte!$C68)</f>
        <v/>
      </c>
      <c r="D2064" s="48" t="inlineStr">
        <is>
          <t>C.3.1</t>
        </is>
      </c>
      <c r="E2064" s="48" t="inlineStr">
        <is>
          <t>C</t>
        </is>
      </c>
      <c r="F2064" s="48" t="inlineStr">
        <is>
          <t>Q</t>
        </is>
      </c>
      <c r="G2064" s="48" t="inlineStr">
        <is>
          <t>higher</t>
        </is>
      </c>
      <c r="H2064" s="48" t="n">
        <v>2</v>
      </c>
      <c r="I2064" s="48" t="inlineStr">
        <is>
          <t>Tasso di copertura del servizio con dispositivi di informazione dinamica a bordo mezzo</t>
        </is>
      </c>
      <c r="J2064" s="73" t="n"/>
      <c r="K2064" s="73" t="n"/>
      <c r="L2064" s="73" t="n"/>
      <c r="M2064" s="73" t="n"/>
      <c r="N2064" s="57">
        <f>IF($A2064="","",IFERROR(VALUE($K2064)/VALUE($L2064),IFERROR(VALUE($J2064),0)))</f>
        <v/>
      </c>
      <c r="O2064" s="57">
        <f>IF($A2064="",0,IF(OR($S2064&lt;&gt;1,COUNTA($J2064:$M2064)=0),0,IF(SUMPRODUCT(MAX(($C$5:$C$2484=$C2064)*($D$5:$D$2484=$D2064)*($S$5:$S$2484=1)*IFERROR($N$5:$N$2484*1,0)))&gt;0,ROUND($H2064*($N2064/SUMPRODUCT(MAX(($C$5:$C$2484=$C2064)*($D$5:$D$2484=$D2064)*($S$5:$S$2484=1)*IFERROR($N$5:$N$2484*1,0)))),4),0)))</f>
        <v/>
      </c>
      <c r="P2064" s="48" t="inlineStr">
        <is>
          <t>Autobus con monitor e indicatori vocali / Autobus totali in offerta, incluse scorte</t>
        </is>
      </c>
      <c r="Q2064" s="57">
        <f>IF($A2064="","",$A2064&amp;"|"&amp;$C2064)</f>
        <v/>
      </c>
      <c r="R2064" s="57">
        <f>IF($A2064="","",$A2064&amp;"|"&amp;$C2064&amp;"|"&amp;$D2064)</f>
        <v/>
      </c>
      <c r="S2064" s="57">
        <f>IF($A2064="","",IFERROR(INDEX(Offerte!$D$2:$D$81,MATCH($Q2064,Offerte!$L$2:$L$81,0)),0))</f>
        <v/>
      </c>
      <c r="T2064" s="57">
        <f>IF($A2064="","",IFERROR(INDEX(Offerte!$G$2:$G$81,MATCH($Q2064,Offerte!$L$2:$L$81,0)),"NO"))</f>
        <v/>
      </c>
    </row>
    <row r="2065">
      <c r="A2065" s="48">
        <f>IF(Offerte!$A68="","",Offerte!$A68)</f>
        <v/>
      </c>
      <c r="B2065" s="48">
        <f>IF(Offerte!$A68="","",Offerte!$B68)</f>
        <v/>
      </c>
      <c r="C2065" s="48">
        <f>IF(Offerte!$A68="","",Offerte!$C68)</f>
        <v/>
      </c>
      <c r="D2065" s="48" t="inlineStr">
        <is>
          <t>C.3.2</t>
        </is>
      </c>
      <c r="E2065" s="48" t="inlineStr">
        <is>
          <t>C</t>
        </is>
      </c>
      <c r="F2065" s="48" t="inlineStr">
        <is>
          <t>T</t>
        </is>
      </c>
      <c r="G2065" s="48" t="inlineStr">
        <is>
          <t>tabular</t>
        </is>
      </c>
      <c r="H2065" s="48" t="n">
        <v>2</v>
      </c>
      <c r="I2065" s="48" t="inlineStr">
        <is>
          <t>Informazioni a bordo su coincidenze ai nodi</t>
        </is>
      </c>
      <c r="J2065" s="73" t="n"/>
      <c r="K2065" s="73" t="n"/>
      <c r="L2065" s="73" t="n"/>
      <c r="M2065" s="73" t="n"/>
      <c r="N2065" s="57">
        <f>IF($A2065="","",IF(IFERROR(VALUE($M2065),0)=1,1,0))</f>
        <v/>
      </c>
      <c r="O2065" s="57">
        <f>IF($A2065="",0,IF(OR($S2065&lt;&gt;1,COUNTA($J2065:$M2065)=0),0,IF(AND($N2065=1,IFERROR(SUMIFS($N$5:$N$2484,$Q$5:$Q$2484,$Q2065,$D$5:$D$2484,"C.3.1"),0)&gt;=0.5),$H2065,0)))</f>
        <v/>
      </c>
      <c r="P2065" s="48" t="inlineStr">
        <is>
          <t>Dipende da C.3.1 &gt;= 0.5</t>
        </is>
      </c>
      <c r="Q2065" s="57">
        <f>IF($A2065="","",$A2065&amp;"|"&amp;$C2065)</f>
        <v/>
      </c>
      <c r="R2065" s="57">
        <f>IF($A2065="","",$A2065&amp;"|"&amp;$C2065&amp;"|"&amp;$D2065)</f>
        <v/>
      </c>
      <c r="S2065" s="57">
        <f>IF($A2065="","",IFERROR(INDEX(Offerte!$D$2:$D$81,MATCH($Q2065,Offerte!$L$2:$L$81,0)),0))</f>
        <v/>
      </c>
      <c r="T2065" s="57">
        <f>IF($A2065="","",IFERROR(INDEX(Offerte!$G$2:$G$81,MATCH($Q2065,Offerte!$L$2:$L$81,0)),"NO"))</f>
        <v/>
      </c>
    </row>
    <row r="2066">
      <c r="A2066" s="48">
        <f>IF(Offerte!$A68="","",Offerte!$A68)</f>
        <v/>
      </c>
      <c r="B2066" s="48">
        <f>IF(Offerte!$A68="","",Offerte!$B68)</f>
        <v/>
      </c>
      <c r="C2066" s="48">
        <f>IF(Offerte!$A68="","",Offerte!$C68)</f>
        <v/>
      </c>
      <c r="D2066" s="48" t="inlineStr">
        <is>
          <t>D.1.1</t>
        </is>
      </c>
      <c r="E2066" s="48" t="inlineStr">
        <is>
          <t>D</t>
        </is>
      </c>
      <c r="F2066" s="48" t="inlineStr">
        <is>
          <t>Q</t>
        </is>
      </c>
      <c r="G2066" s="48" t="inlineStr">
        <is>
          <t>higher</t>
        </is>
      </c>
      <c r="H2066" s="48" t="n">
        <v>3</v>
      </c>
      <c r="I2066" s="48" t="inlineStr">
        <is>
          <t>Installazione di pensiline</t>
        </is>
      </c>
      <c r="J2066" s="73" t="n"/>
      <c r="K2066" s="73" t="n"/>
      <c r="L2066" s="73" t="n"/>
      <c r="M2066" s="73" t="n"/>
      <c r="N2066" s="57">
        <f>IF($A2066="","",IFERROR(VALUE($J2066),0))</f>
        <v/>
      </c>
      <c r="O2066" s="57">
        <f>IF($A2066="",0,IF(OR($S2066&lt;&gt;1,COUNTA($J2066:$M2066)=0),0,IF(SUMPRODUCT(MAX(($C$5:$C$2484=$C2066)*($D$5:$D$2484=$D2066)*($S$5:$S$2484=1)*IFERROR($N$5:$N$2484*1,0)))&gt;0,ROUND($H2066*($N2066/SUMPRODUCT(MAX(($C$5:$C$2484=$C2066)*($D$5:$D$2484=$D2066)*($S$5:$S$2484=1)*IFERROR($N$5:$N$2484*1,0)))),4),0)))</f>
        <v/>
      </c>
      <c r="P2066" s="48" t="inlineStr">
        <is>
          <t>fermate</t>
        </is>
      </c>
      <c r="Q2066" s="57">
        <f>IF($A2066="","",$A2066&amp;"|"&amp;$C2066)</f>
        <v/>
      </c>
      <c r="R2066" s="57">
        <f>IF($A2066="","",$A2066&amp;"|"&amp;$C2066&amp;"|"&amp;$D2066)</f>
        <v/>
      </c>
      <c r="S2066" s="57">
        <f>IF($A2066="","",IFERROR(INDEX(Offerte!$D$2:$D$81,MATCH($Q2066,Offerte!$L$2:$L$81,0)),0))</f>
        <v/>
      </c>
      <c r="T2066" s="57">
        <f>IF($A2066="","",IFERROR(INDEX(Offerte!$G$2:$G$81,MATCH($Q2066,Offerte!$L$2:$L$81,0)),"NO"))</f>
        <v/>
      </c>
    </row>
    <row r="2067">
      <c r="A2067" s="48">
        <f>IF(Offerte!$A68="","",Offerte!$A68)</f>
        <v/>
      </c>
      <c r="B2067" s="48">
        <f>IF(Offerte!$A68="","",Offerte!$B68)</f>
        <v/>
      </c>
      <c r="C2067" s="48">
        <f>IF(Offerte!$A68="","",Offerte!$C68)</f>
        <v/>
      </c>
      <c r="D2067" s="48" t="inlineStr">
        <is>
          <t>D.1.2</t>
        </is>
      </c>
      <c r="E2067" s="48" t="inlineStr">
        <is>
          <t>D</t>
        </is>
      </c>
      <c r="F2067" s="48" t="inlineStr">
        <is>
          <t>Q</t>
        </is>
      </c>
      <c r="G2067" s="48" t="inlineStr">
        <is>
          <t>higher</t>
        </is>
      </c>
      <c r="H2067" s="48" t="n">
        <v>3</v>
      </c>
      <c r="I2067" s="48" t="inlineStr">
        <is>
          <t>Installazione di paline di fermata conformi alla DGR 581/2023</t>
        </is>
      </c>
      <c r="J2067" s="73" t="n"/>
      <c r="K2067" s="73" t="n"/>
      <c r="L2067" s="73" t="n"/>
      <c r="M2067" s="73" t="n"/>
      <c r="N2067" s="57">
        <f>IF($A2067="","",IFERROR(VALUE($J2067),0))</f>
        <v/>
      </c>
      <c r="O2067" s="57">
        <f>IF($A2067="",0,IF(OR($S2067&lt;&gt;1,COUNTA($J2067:$M2067)=0),0,IF(SUMPRODUCT(MAX(($C$5:$C$2484=$C2067)*($D$5:$D$2484=$D2067)*($S$5:$S$2484=1)*IFERROR($N$5:$N$2484*1,0)))&gt;0,ROUND($H2067*($N2067/SUMPRODUCT(MAX(($C$5:$C$2484=$C2067)*($D$5:$D$2484=$D2067)*($S$5:$S$2484=1)*IFERROR($N$5:$N$2484*1,0)))),4),0)))</f>
        <v/>
      </c>
      <c r="P2067" s="48" t="inlineStr">
        <is>
          <t>fermate</t>
        </is>
      </c>
      <c r="Q2067" s="57">
        <f>IF($A2067="","",$A2067&amp;"|"&amp;$C2067)</f>
        <v/>
      </c>
      <c r="R2067" s="57">
        <f>IF($A2067="","",$A2067&amp;"|"&amp;$C2067&amp;"|"&amp;$D2067)</f>
        <v/>
      </c>
      <c r="S2067" s="57">
        <f>IF($A2067="","",IFERROR(INDEX(Offerte!$D$2:$D$81,MATCH($Q2067,Offerte!$L$2:$L$81,0)),0))</f>
        <v/>
      </c>
      <c r="T2067" s="57">
        <f>IF($A2067="","",IFERROR(INDEX(Offerte!$G$2:$G$81,MATCH($Q2067,Offerte!$L$2:$L$81,0)),"NO"))</f>
        <v/>
      </c>
    </row>
    <row r="2068">
      <c r="A2068" s="48">
        <f>IF(Offerte!$A68="","",Offerte!$A68)</f>
        <v/>
      </c>
      <c r="B2068" s="48">
        <f>IF(Offerte!$A68="","",Offerte!$B68)</f>
        <v/>
      </c>
      <c r="C2068" s="48">
        <f>IF(Offerte!$A68="","",Offerte!$C68)</f>
        <v/>
      </c>
      <c r="D2068" s="48" t="inlineStr">
        <is>
          <t>D.1.3</t>
        </is>
      </c>
      <c r="E2068" s="48" t="inlineStr">
        <is>
          <t>D</t>
        </is>
      </c>
      <c r="F2068" s="48" t="inlineStr">
        <is>
          <t>Q</t>
        </is>
      </c>
      <c r="G2068" s="48" t="inlineStr">
        <is>
          <t>higher</t>
        </is>
      </c>
      <c r="H2068" s="48" t="n">
        <v>2</v>
      </c>
      <c r="I2068" s="48" t="inlineStr">
        <is>
          <t>Display informativi connessi alle fermate</t>
        </is>
      </c>
      <c r="J2068" s="73" t="n"/>
      <c r="K2068" s="73" t="n"/>
      <c r="L2068" s="73" t="n"/>
      <c r="M2068" s="73" t="n"/>
      <c r="N2068" s="57">
        <f>IF($A2068="","",IFERROR(VALUE($J2068),0))</f>
        <v/>
      </c>
      <c r="O2068" s="57">
        <f>IF($A2068="",0,IF(OR($S2068&lt;&gt;1,COUNTA($J2068:$M2068)=0),0,IF(SUMPRODUCT(MAX(($C$5:$C$2484=$C2068)*($D$5:$D$2484=$D2068)*($S$5:$S$2484=1)*IFERROR($N$5:$N$2484*1,0)))&gt;0,ROUND($H2068*($N2068/SUMPRODUCT(MAX(($C$5:$C$2484=$C2068)*($D$5:$D$2484=$D2068)*($S$5:$S$2484=1)*IFERROR($N$5:$N$2484*1,0)))),4),0)))</f>
        <v/>
      </c>
      <c r="P2068" s="48" t="inlineStr">
        <is>
          <t>fermate</t>
        </is>
      </c>
      <c r="Q2068" s="57">
        <f>IF($A2068="","",$A2068&amp;"|"&amp;$C2068)</f>
        <v/>
      </c>
      <c r="R2068" s="57">
        <f>IF($A2068="","",$A2068&amp;"|"&amp;$C2068&amp;"|"&amp;$D2068)</f>
        <v/>
      </c>
      <c r="S2068" s="57">
        <f>IF($A2068="","",IFERROR(INDEX(Offerte!$D$2:$D$81,MATCH($Q2068,Offerte!$L$2:$L$81,0)),0))</f>
        <v/>
      </c>
      <c r="T2068" s="57">
        <f>IF($A2068="","",IFERROR(INDEX(Offerte!$G$2:$G$81,MATCH($Q2068,Offerte!$L$2:$L$81,0)),"NO"))</f>
        <v/>
      </c>
    </row>
    <row r="2069">
      <c r="A2069" s="48">
        <f>IF(Offerte!$A68="","",Offerte!$A68)</f>
        <v/>
      </c>
      <c r="B2069" s="48">
        <f>IF(Offerte!$A68="","",Offerte!$B68)</f>
        <v/>
      </c>
      <c r="C2069" s="48">
        <f>IF(Offerte!$A68="","",Offerte!$C68)</f>
        <v/>
      </c>
      <c r="D2069" s="48" t="inlineStr">
        <is>
          <t>D.2.1</t>
        </is>
      </c>
      <c r="E2069" s="48" t="inlineStr">
        <is>
          <t>D</t>
        </is>
      </c>
      <c r="F2069" s="48" t="inlineStr">
        <is>
          <t>Q</t>
        </is>
      </c>
      <c r="G2069" s="48" t="inlineStr">
        <is>
          <t>higher</t>
        </is>
      </c>
      <c r="H2069" s="48" t="n">
        <v>2</v>
      </c>
      <c r="I2069" s="48" t="inlineStr">
        <is>
          <t>Segnali tattili Loges-Vet-Evolution</t>
        </is>
      </c>
      <c r="J2069" s="73" t="n"/>
      <c r="K2069" s="73" t="n"/>
      <c r="L2069" s="73" t="n"/>
      <c r="M2069" s="73" t="n"/>
      <c r="N2069" s="57">
        <f>IF($A2069="","",IFERROR(VALUE($J2069),0))</f>
        <v/>
      </c>
      <c r="O2069" s="57">
        <f>IF($A2069="",0,IF(OR($S2069&lt;&gt;1,COUNTA($J2069:$M2069)=0),0,IF(SUMPRODUCT(MAX(($C$5:$C$2484=$C2069)*($D$5:$D$2484=$D2069)*($S$5:$S$2484=1)*IFERROR($N$5:$N$2484*1,0)))&gt;0,ROUND($H2069*($N2069/SUMPRODUCT(MAX(($C$5:$C$2484=$C2069)*($D$5:$D$2484=$D2069)*($S$5:$S$2484=1)*IFERROR($N$5:$N$2484*1,0)))),4),0)))</f>
        <v/>
      </c>
      <c r="P2069" s="48" t="inlineStr">
        <is>
          <t>fermate</t>
        </is>
      </c>
      <c r="Q2069" s="57">
        <f>IF($A2069="","",$A2069&amp;"|"&amp;$C2069)</f>
        <v/>
      </c>
      <c r="R2069" s="57">
        <f>IF($A2069="","",$A2069&amp;"|"&amp;$C2069&amp;"|"&amp;$D2069)</f>
        <v/>
      </c>
      <c r="S2069" s="57">
        <f>IF($A2069="","",IFERROR(INDEX(Offerte!$D$2:$D$81,MATCH($Q2069,Offerte!$L$2:$L$81,0)),0))</f>
        <v/>
      </c>
      <c r="T2069" s="57">
        <f>IF($A2069="","",IFERROR(INDEX(Offerte!$G$2:$G$81,MATCH($Q2069,Offerte!$L$2:$L$81,0)),"NO"))</f>
        <v/>
      </c>
    </row>
    <row r="2070">
      <c r="A2070" s="48">
        <f>IF(Offerte!$A68="","",Offerte!$A68)</f>
        <v/>
      </c>
      <c r="B2070" s="48">
        <f>IF(Offerte!$A68="","",Offerte!$B68)</f>
        <v/>
      </c>
      <c r="C2070" s="48">
        <f>IF(Offerte!$A68="","",Offerte!$C68)</f>
        <v/>
      </c>
      <c r="D2070" s="48" t="inlineStr">
        <is>
          <t>E.1.1</t>
        </is>
      </c>
      <c r="E2070" s="48" t="inlineStr">
        <is>
          <t>E</t>
        </is>
      </c>
      <c r="F2070" s="48" t="inlineStr">
        <is>
          <t>T</t>
        </is>
      </c>
      <c r="G2070" s="48" t="inlineStr">
        <is>
          <t>tabular</t>
        </is>
      </c>
      <c r="H2070" s="48" t="n">
        <v>2</v>
      </c>
      <c r="I2070" s="48" t="inlineStr">
        <is>
          <t>Mobile app con travel planner PRM</t>
        </is>
      </c>
      <c r="J2070" s="73" t="n"/>
      <c r="K2070" s="73" t="n"/>
      <c r="L2070" s="73" t="n"/>
      <c r="M2070" s="73" t="n"/>
      <c r="N2070" s="57">
        <f>IF($A2070="","",IF(IFERROR(VALUE($M2070),0)=1,1,0))</f>
        <v/>
      </c>
      <c r="O2070" s="57">
        <f>IF($A2070="",0,IF(OR($S2070&lt;&gt;1,COUNTA($J2070:$M2070)=0),0,IF($N2070=1,$H2070,0)))</f>
        <v/>
      </c>
      <c r="P2070" s="48" t="inlineStr">
        <is>
          <t>sì/no</t>
        </is>
      </c>
      <c r="Q2070" s="57">
        <f>IF($A2070="","",$A2070&amp;"|"&amp;$C2070)</f>
        <v/>
      </c>
      <c r="R2070" s="57">
        <f>IF($A2070="","",$A2070&amp;"|"&amp;$C2070&amp;"|"&amp;$D2070)</f>
        <v/>
      </c>
      <c r="S2070" s="57">
        <f>IF($A2070="","",IFERROR(INDEX(Offerte!$D$2:$D$81,MATCH($Q2070,Offerte!$L$2:$L$81,0)),0))</f>
        <v/>
      </c>
      <c r="T2070" s="57">
        <f>IF($A2070="","",IFERROR(INDEX(Offerte!$G$2:$G$81,MATCH($Q2070,Offerte!$L$2:$L$81,0)),"NO"))</f>
        <v/>
      </c>
    </row>
    <row r="2071">
      <c r="A2071" s="48">
        <f>IF(Offerte!$A68="","",Offerte!$A68)</f>
        <v/>
      </c>
      <c r="B2071" s="48">
        <f>IF(Offerte!$A68="","",Offerte!$B68)</f>
        <v/>
      </c>
      <c r="C2071" s="48">
        <f>IF(Offerte!$A68="","",Offerte!$C68)</f>
        <v/>
      </c>
      <c r="D2071" s="48" t="inlineStr">
        <is>
          <t>E.2.1</t>
        </is>
      </c>
      <c r="E2071" s="48" t="inlineStr">
        <is>
          <t>E</t>
        </is>
      </c>
      <c r="F2071" s="48" t="inlineStr">
        <is>
          <t>D</t>
        </is>
      </c>
      <c r="G2071" s="48" t="inlineStr">
        <is>
          <t>discretionary</t>
        </is>
      </c>
      <c r="H2071" s="48" t="n">
        <v>2</v>
      </c>
      <c r="I2071" s="48" t="inlineStr">
        <is>
          <t>Altre azioni informative e rapporti con gli utenti</t>
        </is>
      </c>
      <c r="J2071" s="73" t="n"/>
      <c r="K2071" s="73" t="n"/>
      <c r="L2071" s="73" t="n"/>
      <c r="M2071" s="73" t="n"/>
      <c r="N2071" s="57">
        <f>IF($A2071="","",MAX(0,MIN(1,IFERROR(VALUE($M2071),0))))</f>
        <v/>
      </c>
      <c r="O2071" s="57">
        <f>IF($A2071="",0,IF(OR($S2071&lt;&gt;1,COUNTA($J2071:$M2071)=0),0,IF(SUMPRODUCT(MAX(($C$5:$C$2484=$C2071)*($D$5:$D$2484=$D2071)*($S$5:$S$2484=1)*IFERROR($N$5:$N$2484*1,0)))&gt;0,ROUND($H2071*($N2071/SUMPRODUCT(MAX(($C$5:$C$2484=$C2071)*($D$5:$D$2484=$D2071)*($S$5:$S$2484=1)*IFERROR($N$5:$N$2484*1,0)))),4),0)))</f>
        <v/>
      </c>
      <c r="P2071" s="48" t="inlineStr">
        <is>
          <t>coeff.</t>
        </is>
      </c>
      <c r="Q2071" s="57">
        <f>IF($A2071="","",$A2071&amp;"|"&amp;$C2071)</f>
        <v/>
      </c>
      <c r="R2071" s="57">
        <f>IF($A2071="","",$A2071&amp;"|"&amp;$C2071&amp;"|"&amp;$D2071)</f>
        <v/>
      </c>
      <c r="S2071" s="57">
        <f>IF($A2071="","",IFERROR(INDEX(Offerte!$D$2:$D$81,MATCH($Q2071,Offerte!$L$2:$L$81,0)),0))</f>
        <v/>
      </c>
      <c r="T2071" s="57">
        <f>IF($A2071="","",IFERROR(INDEX(Offerte!$G$2:$G$81,MATCH($Q2071,Offerte!$L$2:$L$81,0)),"NO"))</f>
        <v/>
      </c>
    </row>
    <row r="2072">
      <c r="A2072" s="48">
        <f>IF(Offerte!$A68="","",Offerte!$A68)</f>
        <v/>
      </c>
      <c r="B2072" s="48">
        <f>IF(Offerte!$A68="","",Offerte!$B68)</f>
        <v/>
      </c>
      <c r="C2072" s="48">
        <f>IF(Offerte!$A68="","",Offerte!$C68)</f>
        <v/>
      </c>
      <c r="D2072" s="48" t="inlineStr">
        <is>
          <t>F.1.1</t>
        </is>
      </c>
      <c r="E2072" s="48" t="inlineStr">
        <is>
          <t>F</t>
        </is>
      </c>
      <c r="F2072" s="48" t="inlineStr">
        <is>
          <t>Q</t>
        </is>
      </c>
      <c r="G2072" s="48" t="inlineStr">
        <is>
          <t>lower</t>
        </is>
      </c>
      <c r="H2072" s="48" t="n">
        <v>7</v>
      </c>
      <c r="I2072" s="48" t="inlineStr">
        <is>
          <t>Performance ambientali del parco mezzi adibito al servizio - I_CEA</t>
        </is>
      </c>
      <c r="J2072" s="73" t="n"/>
      <c r="K2072" s="73" t="n"/>
      <c r="L2072" s="73" t="n"/>
      <c r="M2072" s="73" t="n"/>
      <c r="N2072" s="57">
        <f>IF($A2072="","",IFERROR(VALUE($J2072),0))</f>
        <v/>
      </c>
      <c r="O2072" s="57">
        <f>IF($A2072="",0,IF(OR($S2072&lt;&gt;1,COUNTA($J2072:$M2072)=0),0,IF(AND(IFERROR(AGGREGATE(15,6,$N$5:$N$2484/(($C$5:$C$2484=$C2072)*($D$5:$D$2484=$D2072)*($S$5:$S$2484=1)*($N$5:$N$2484&gt;0)),1),0)&gt;0,$N2072&gt;0),ROUND($H2072*(IFERROR(AGGREGATE(15,6,$N$5:$N$2484/(($C$5:$C$2484=$C2072)*($D$5:$D$2484=$D2072)*($S$5:$S$2484=1)*($N$5:$N$2484&gt;0)),1),0)/$N2072),4),0)))</f>
        <v/>
      </c>
      <c r="P2072" s="48" t="inlineStr">
        <is>
          <t>indice</t>
        </is>
      </c>
      <c r="Q2072" s="57">
        <f>IF($A2072="","",$A2072&amp;"|"&amp;$C2072)</f>
        <v/>
      </c>
      <c r="R2072" s="57">
        <f>IF($A2072="","",$A2072&amp;"|"&amp;$C2072&amp;"|"&amp;$D2072)</f>
        <v/>
      </c>
      <c r="S2072" s="57">
        <f>IF($A2072="","",IFERROR(INDEX(Offerte!$D$2:$D$81,MATCH($Q2072,Offerte!$L$2:$L$81,0)),0))</f>
        <v/>
      </c>
      <c r="T2072" s="57">
        <f>IF($A2072="","",IFERROR(INDEX(Offerte!$G$2:$G$81,MATCH($Q2072,Offerte!$L$2:$L$81,0)),"NO"))</f>
        <v/>
      </c>
    </row>
    <row r="2073">
      <c r="A2073" s="48">
        <f>IF(Offerte!$A68="","",Offerte!$A68)</f>
        <v/>
      </c>
      <c r="B2073" s="48">
        <f>IF(Offerte!$A68="","",Offerte!$B68)</f>
        <v/>
      </c>
      <c r="C2073" s="48">
        <f>IF(Offerte!$A68="","",Offerte!$C68)</f>
        <v/>
      </c>
      <c r="D2073" s="48" t="inlineStr">
        <is>
          <t>F.2.1</t>
        </is>
      </c>
      <c r="E2073" s="48" t="inlineStr">
        <is>
          <t>F</t>
        </is>
      </c>
      <c r="F2073" s="48" t="inlineStr">
        <is>
          <t>Q</t>
        </is>
      </c>
      <c r="G2073" s="48" t="inlineStr">
        <is>
          <t>higher</t>
        </is>
      </c>
      <c r="H2073" s="48" t="n">
        <v>2</v>
      </c>
      <c r="I2073" s="48" t="inlineStr">
        <is>
          <t>Tasso di copertura del servizio con dispositivi ECO-DRIVER</t>
        </is>
      </c>
      <c r="J2073" s="73" t="n"/>
      <c r="K2073" s="73" t="n"/>
      <c r="L2073" s="73" t="n"/>
      <c r="M2073" s="73" t="n"/>
      <c r="N2073" s="57">
        <f>IF($A2073="","",IFERROR(VALUE($K2073)/VALUE($L2073),IFERROR(VALUE($J2073),0)))</f>
        <v/>
      </c>
      <c r="O2073" s="57">
        <f>IF($A2073="",0,IF(OR($S2073&lt;&gt;1,COUNTA($J2073:$M2073)=0),0,IF(SUMPRODUCT(MAX(($C$5:$C$2484=$C2073)*($D$5:$D$2484=$D2073)*($S$5:$S$2484=1)*IFERROR($N$5:$N$2484*1,0)))&gt;0,ROUND($H2073*($N2073/SUMPRODUCT(MAX(($C$5:$C$2484=$C2073)*($D$5:$D$2484=$D2073)*($S$5:$S$2484=1)*IFERROR($N$5:$N$2484*1,0)))),4),0)))</f>
        <v/>
      </c>
      <c r="P2073" s="48" t="inlineStr">
        <is>
          <t>Autobus attrezzati con dispositivi ECO-DRIVER / Autobus totali in offerta, incluse scorte</t>
        </is>
      </c>
      <c r="Q2073" s="57">
        <f>IF($A2073="","",$A2073&amp;"|"&amp;$C2073)</f>
        <v/>
      </c>
      <c r="R2073" s="57">
        <f>IF($A2073="","",$A2073&amp;"|"&amp;$C2073&amp;"|"&amp;$D2073)</f>
        <v/>
      </c>
      <c r="S2073" s="57">
        <f>IF($A2073="","",IFERROR(INDEX(Offerte!$D$2:$D$81,MATCH($Q2073,Offerte!$L$2:$L$81,0)),0))</f>
        <v/>
      </c>
      <c r="T2073" s="57">
        <f>IF($A2073="","",IFERROR(INDEX(Offerte!$G$2:$G$81,MATCH($Q2073,Offerte!$L$2:$L$81,0)),"NO"))</f>
        <v/>
      </c>
    </row>
    <row r="2074">
      <c r="A2074" s="48">
        <f>IF(Offerte!$A68="","",Offerte!$A68)</f>
        <v/>
      </c>
      <c r="B2074" s="48">
        <f>IF(Offerte!$A68="","",Offerte!$B68)</f>
        <v/>
      </c>
      <c r="C2074" s="48">
        <f>IF(Offerte!$A68="","",Offerte!$C68)</f>
        <v/>
      </c>
      <c r="D2074" s="48" t="inlineStr">
        <is>
          <t>F.3.1</t>
        </is>
      </c>
      <c r="E2074" s="48" t="inlineStr">
        <is>
          <t>F</t>
        </is>
      </c>
      <c r="F2074" s="48" t="inlineStr">
        <is>
          <t>Q</t>
        </is>
      </c>
      <c r="G2074" s="48" t="inlineStr">
        <is>
          <t>higher</t>
        </is>
      </c>
      <c r="H2074" s="48" t="n">
        <v>2</v>
      </c>
      <c r="I2074" s="48" t="inlineStr">
        <is>
          <t>Autoproduzione consumi elettrici per trazione</t>
        </is>
      </c>
      <c r="J2074" s="73" t="n"/>
      <c r="K2074" s="73" t="n"/>
      <c r="L2074" s="73" t="n"/>
      <c r="M2074" s="73" t="n"/>
      <c r="N2074" s="57">
        <f>IF($A2074="","",IFERROR(VALUE($J2074),0))</f>
        <v/>
      </c>
      <c r="O2074" s="57">
        <f>IF($A2074="",0,IF(OR($S2074&lt;&gt;1,COUNTA($J2074:$M2074)=0),0,IF(SUMPRODUCT(MAX(($C$5:$C$2484=$C2074)*($D$5:$D$2484=$D2074)*($S$5:$S$2484=1)*IFERROR($N$5:$N$2484*1,0)))&gt;0,ROUND($H2074*($N2074/SUMPRODUCT(MAX(($C$5:$C$2484=$C2074)*($D$5:$D$2484=$D2074)*($S$5:$S$2484=1)*IFERROR($N$5:$N$2484*1,0)))),4),0)))</f>
        <v/>
      </c>
      <c r="P2074" s="48" t="inlineStr">
        <is>
          <t>kWh/anno</t>
        </is>
      </c>
      <c r="Q2074" s="57">
        <f>IF($A2074="","",$A2074&amp;"|"&amp;$C2074)</f>
        <v/>
      </c>
      <c r="R2074" s="57">
        <f>IF($A2074="","",$A2074&amp;"|"&amp;$C2074&amp;"|"&amp;$D2074)</f>
        <v/>
      </c>
      <c r="S2074" s="57">
        <f>IF($A2074="","",IFERROR(INDEX(Offerte!$D$2:$D$81,MATCH($Q2074,Offerte!$L$2:$L$81,0)),0))</f>
        <v/>
      </c>
      <c r="T2074" s="57">
        <f>IF($A2074="","",IFERROR(INDEX(Offerte!$G$2:$G$81,MATCH($Q2074,Offerte!$L$2:$L$81,0)),"NO"))</f>
        <v/>
      </c>
    </row>
    <row r="2075">
      <c r="A2075" s="48">
        <f>IF(Offerte!$A68="","",Offerte!$A68)</f>
        <v/>
      </c>
      <c r="B2075" s="48">
        <f>IF(Offerte!$A68="","",Offerte!$B68)</f>
        <v/>
      </c>
      <c r="C2075" s="48">
        <f>IF(Offerte!$A68="","",Offerte!$C68)</f>
        <v/>
      </c>
      <c r="D2075" s="48" t="inlineStr">
        <is>
          <t>F.4.1</t>
        </is>
      </c>
      <c r="E2075" s="48" t="inlineStr">
        <is>
          <t>F</t>
        </is>
      </c>
      <c r="F2075" s="48" t="inlineStr">
        <is>
          <t>Q</t>
        </is>
      </c>
      <c r="G2075" s="48" t="inlineStr">
        <is>
          <t>soil</t>
        </is>
      </c>
      <c r="H2075" s="48" t="n">
        <v>2</v>
      </c>
      <c r="I2075" s="48" t="inlineStr">
        <is>
          <t>Indice di consumo di suolo</t>
        </is>
      </c>
      <c r="J2075" s="73" t="n"/>
      <c r="K2075" s="73" t="n"/>
      <c r="L2075" s="73" t="n"/>
      <c r="M2075" s="73" t="n"/>
      <c r="N2075" s="57">
        <f>IF($A2075="","",IFERROR(VALUE($J2075),0))</f>
        <v/>
      </c>
      <c r="O2075" s="57">
        <f>IF($A2075="",0,IF(OR($S2075&lt;&gt;1,COUNTA($J2075:$M2075)=0),0,IF($N2075&lt;=0,$H2075,IF(SUMPRODUCT(MAX(($C$5:$C$2484=$C2075)*($D$5:$D$2484=$D2075)*($S$5:$S$2484=1)*IFERROR($N$5:$N$2484*1,0)))&gt;0,ROUND($H2075*((SUMPRODUCT(MAX(($C$5:$C$2484=$C2075)*($D$5:$D$2484=$D2075)*($S$5:$S$2484=1)*IFERROR($N$5:$N$2484*1,0)))-$N2075)/SUMPRODUCT(MAX(($C$5:$C$2484=$C2075)*($D$5:$D$2484=$D2075)*($S$5:$S$2484=1)*IFERROR($N$5:$N$2484*1,0)))),4),0))))</f>
        <v/>
      </c>
      <c r="P2075" s="48" t="inlineStr">
        <is>
          <t>m2</t>
        </is>
      </c>
      <c r="Q2075" s="57">
        <f>IF($A2075="","",$A2075&amp;"|"&amp;$C2075)</f>
        <v/>
      </c>
      <c r="R2075" s="57">
        <f>IF($A2075="","",$A2075&amp;"|"&amp;$C2075&amp;"|"&amp;$D2075)</f>
        <v/>
      </c>
      <c r="S2075" s="57">
        <f>IF($A2075="","",IFERROR(INDEX(Offerte!$D$2:$D$81,MATCH($Q2075,Offerte!$L$2:$L$81,0)),0))</f>
        <v/>
      </c>
      <c r="T2075" s="57">
        <f>IF($A2075="","",IFERROR(INDEX(Offerte!$G$2:$G$81,MATCH($Q2075,Offerte!$L$2:$L$81,0)),"NO"))</f>
        <v/>
      </c>
    </row>
    <row r="2076">
      <c r="A2076" s="48">
        <f>IF(Offerte!$A68="","",Offerte!$A68)</f>
        <v/>
      </c>
      <c r="B2076" s="48">
        <f>IF(Offerte!$A68="","",Offerte!$B68)</f>
        <v/>
      </c>
      <c r="C2076" s="48">
        <f>IF(Offerte!$A68="","",Offerte!$C68)</f>
        <v/>
      </c>
      <c r="D2076" s="48" t="inlineStr">
        <is>
          <t>F.5.1</t>
        </is>
      </c>
      <c r="E2076" s="48" t="inlineStr">
        <is>
          <t>F</t>
        </is>
      </c>
      <c r="F2076" s="48" t="inlineStr">
        <is>
          <t>T</t>
        </is>
      </c>
      <c r="G2076" s="48" t="inlineStr">
        <is>
          <t>tabular</t>
        </is>
      </c>
      <c r="H2076" s="48" t="n">
        <v>1</v>
      </c>
      <c r="I2076" s="48" t="inlineStr">
        <is>
          <t>Rendicontazione di sostenibilità ambientale</t>
        </is>
      </c>
      <c r="J2076" s="73" t="n"/>
      <c r="K2076" s="73" t="n"/>
      <c r="L2076" s="73" t="n"/>
      <c r="M2076" s="73" t="n"/>
      <c r="N2076" s="57">
        <f>IF($A2076="","",IF(IFERROR(VALUE($M2076),0)=1,1,0))</f>
        <v/>
      </c>
      <c r="O2076" s="57">
        <f>IF($A2076="",0,IF(OR($S2076&lt;&gt;1,COUNTA($J2076:$M2076)=0),0,IF($N2076=1,$H2076,0)))</f>
        <v/>
      </c>
      <c r="P2076" s="48" t="inlineStr">
        <is>
          <t>sì/no</t>
        </is>
      </c>
      <c r="Q2076" s="57">
        <f>IF($A2076="","",$A2076&amp;"|"&amp;$C2076)</f>
        <v/>
      </c>
      <c r="R2076" s="57">
        <f>IF($A2076="","",$A2076&amp;"|"&amp;$C2076&amp;"|"&amp;$D2076)</f>
        <v/>
      </c>
      <c r="S2076" s="57">
        <f>IF($A2076="","",IFERROR(INDEX(Offerte!$D$2:$D$81,MATCH($Q2076,Offerte!$L$2:$L$81,0)),0))</f>
        <v/>
      </c>
      <c r="T2076" s="57">
        <f>IF($A2076="","",IFERROR(INDEX(Offerte!$G$2:$G$81,MATCH($Q2076,Offerte!$L$2:$L$81,0)),"NO"))</f>
        <v/>
      </c>
    </row>
    <row r="2077">
      <c r="A2077" s="48">
        <f>IF(Offerte!$A68="","",Offerte!$A68)</f>
        <v/>
      </c>
      <c r="B2077" s="48">
        <f>IF(Offerte!$A68="","",Offerte!$B68)</f>
        <v/>
      </c>
      <c r="C2077" s="48">
        <f>IF(Offerte!$A68="","",Offerte!$C68)</f>
        <v/>
      </c>
      <c r="D2077" s="48" t="inlineStr">
        <is>
          <t>G.1.1</t>
        </is>
      </c>
      <c r="E2077" s="48" t="inlineStr">
        <is>
          <t>G</t>
        </is>
      </c>
      <c r="F2077" s="48" t="inlineStr">
        <is>
          <t>D</t>
        </is>
      </c>
      <c r="G2077" s="48" t="inlineStr">
        <is>
          <t>discretionary</t>
        </is>
      </c>
      <c r="H2077" s="48" t="n">
        <v>2</v>
      </c>
      <c r="I2077" s="48" t="inlineStr">
        <is>
          <t>Qualità del progetto di centrale di controllo aziendale</t>
        </is>
      </c>
      <c r="J2077" s="73" t="n"/>
      <c r="K2077" s="73" t="n"/>
      <c r="L2077" s="73" t="n"/>
      <c r="M2077" s="73" t="n"/>
      <c r="N2077" s="57">
        <f>IF($A2077="","",MAX(0,MIN(1,IFERROR(VALUE($M2077),0))))</f>
        <v/>
      </c>
      <c r="O2077" s="57">
        <f>IF($A2077="",0,IF(OR($S2077&lt;&gt;1,COUNTA($J2077:$M2077)=0),0,IF(SUMPRODUCT(MAX(($C$5:$C$2484=$C2077)*($D$5:$D$2484=$D2077)*($S$5:$S$2484=1)*IFERROR($N$5:$N$2484*1,0)))&gt;0,ROUND($H2077*($N2077/SUMPRODUCT(MAX(($C$5:$C$2484=$C2077)*($D$5:$D$2484=$D2077)*($S$5:$S$2484=1)*IFERROR($N$5:$N$2484*1,0)))),4),0)))</f>
        <v/>
      </c>
      <c r="P2077" s="48" t="inlineStr">
        <is>
          <t>coeff.</t>
        </is>
      </c>
      <c r="Q2077" s="57">
        <f>IF($A2077="","",$A2077&amp;"|"&amp;$C2077)</f>
        <v/>
      </c>
      <c r="R2077" s="57">
        <f>IF($A2077="","",$A2077&amp;"|"&amp;$C2077&amp;"|"&amp;$D2077)</f>
        <v/>
      </c>
      <c r="S2077" s="57">
        <f>IF($A2077="","",IFERROR(INDEX(Offerte!$D$2:$D$81,MATCH($Q2077,Offerte!$L$2:$L$81,0)),0))</f>
        <v/>
      </c>
      <c r="T2077" s="57">
        <f>IF($A2077="","",IFERROR(INDEX(Offerte!$G$2:$G$81,MATCH($Q2077,Offerte!$L$2:$L$81,0)),"NO"))</f>
        <v/>
      </c>
    </row>
    <row r="2078">
      <c r="A2078" s="48">
        <f>IF(Offerte!$A68="","",Offerte!$A68)</f>
        <v/>
      </c>
      <c r="B2078" s="48">
        <f>IF(Offerte!$A68="","",Offerte!$B68)</f>
        <v/>
      </c>
      <c r="C2078" s="48">
        <f>IF(Offerte!$A68="","",Offerte!$C68)</f>
        <v/>
      </c>
      <c r="D2078" s="48" t="inlineStr">
        <is>
          <t>G.2.1</t>
        </is>
      </c>
      <c r="E2078" s="48" t="inlineStr">
        <is>
          <t>G</t>
        </is>
      </c>
      <c r="F2078" s="48" t="inlineStr">
        <is>
          <t>T</t>
        </is>
      </c>
      <c r="G2078" s="48" t="inlineStr">
        <is>
          <t>tabular</t>
        </is>
      </c>
      <c r="H2078" s="48" t="n">
        <v>1</v>
      </c>
      <c r="I2078" s="48" t="inlineStr">
        <is>
          <t>Certificazione ISO 45001</t>
        </is>
      </c>
      <c r="J2078" s="73" t="n"/>
      <c r="K2078" s="73" t="n"/>
      <c r="L2078" s="73" t="n"/>
      <c r="M2078" s="73" t="n"/>
      <c r="N2078" s="57">
        <f>IF($A2078="","",IF(IFERROR(VALUE($M2078),0)=1,1,0))</f>
        <v/>
      </c>
      <c r="O2078" s="57">
        <f>IF($A2078="",0,IF(OR($S2078&lt;&gt;1,COUNTA($J2078:$M2078)=0),0,IF($N2078=1,$H2078,0)))</f>
        <v/>
      </c>
      <c r="P2078" s="48" t="inlineStr">
        <is>
          <t>sì/no</t>
        </is>
      </c>
      <c r="Q2078" s="57">
        <f>IF($A2078="","",$A2078&amp;"|"&amp;$C2078)</f>
        <v/>
      </c>
      <c r="R2078" s="57">
        <f>IF($A2078="","",$A2078&amp;"|"&amp;$C2078&amp;"|"&amp;$D2078)</f>
        <v/>
      </c>
      <c r="S2078" s="57">
        <f>IF($A2078="","",IFERROR(INDEX(Offerte!$D$2:$D$81,MATCH($Q2078,Offerte!$L$2:$L$81,0)),0))</f>
        <v/>
      </c>
      <c r="T2078" s="57">
        <f>IF($A2078="","",IFERROR(INDEX(Offerte!$G$2:$G$81,MATCH($Q2078,Offerte!$L$2:$L$81,0)),"NO"))</f>
        <v/>
      </c>
    </row>
    <row r="2079">
      <c r="A2079" s="48">
        <f>IF(Offerte!$A68="","",Offerte!$A68)</f>
        <v/>
      </c>
      <c r="B2079" s="48">
        <f>IF(Offerte!$A68="","",Offerte!$B68)</f>
        <v/>
      </c>
      <c r="C2079" s="48">
        <f>IF(Offerte!$A68="","",Offerte!$C68)</f>
        <v/>
      </c>
      <c r="D2079" s="48" t="inlineStr">
        <is>
          <t>G.3.1</t>
        </is>
      </c>
      <c r="E2079" s="48" t="inlineStr">
        <is>
          <t>G</t>
        </is>
      </c>
      <c r="F2079" s="48" t="inlineStr">
        <is>
          <t>T</t>
        </is>
      </c>
      <c r="G2079" s="48" t="inlineStr">
        <is>
          <t>tabular</t>
        </is>
      </c>
      <c r="H2079" s="48" t="n">
        <v>1</v>
      </c>
      <c r="I2079" s="48" t="inlineStr">
        <is>
          <t>Certificazioni di responsabilità sociale</t>
        </is>
      </c>
      <c r="J2079" s="73" t="n"/>
      <c r="K2079" s="73" t="n"/>
      <c r="L2079" s="73" t="n"/>
      <c r="M2079" s="73" t="n"/>
      <c r="N2079" s="57">
        <f>IF($A2079="","",IF(IFERROR(VALUE($M2079),0)=1,1,0))</f>
        <v/>
      </c>
      <c r="O2079" s="57">
        <f>IF($A2079="",0,IF(OR($S2079&lt;&gt;1,COUNTA($J2079:$M2079)=0),0,IF($N2079=1,$H2079,0)))</f>
        <v/>
      </c>
      <c r="P2079" s="48" t="inlineStr">
        <is>
          <t>sì/no</t>
        </is>
      </c>
      <c r="Q2079" s="57">
        <f>IF($A2079="","",$A2079&amp;"|"&amp;$C2079)</f>
        <v/>
      </c>
      <c r="R2079" s="57">
        <f>IF($A2079="","",$A2079&amp;"|"&amp;$C2079&amp;"|"&amp;$D2079)</f>
        <v/>
      </c>
      <c r="S2079" s="57">
        <f>IF($A2079="","",IFERROR(INDEX(Offerte!$D$2:$D$81,MATCH($Q2079,Offerte!$L$2:$L$81,0)),0))</f>
        <v/>
      </c>
      <c r="T2079" s="57">
        <f>IF($A2079="","",IFERROR(INDEX(Offerte!$G$2:$G$81,MATCH($Q2079,Offerte!$L$2:$L$81,0)),"NO"))</f>
        <v/>
      </c>
    </row>
    <row r="2080">
      <c r="A2080" s="48">
        <f>IF(Offerte!$A68="","",Offerte!$A68)</f>
        <v/>
      </c>
      <c r="B2080" s="48">
        <f>IF(Offerte!$A68="","",Offerte!$B68)</f>
        <v/>
      </c>
      <c r="C2080" s="48">
        <f>IF(Offerte!$A68="","",Offerte!$C68)</f>
        <v/>
      </c>
      <c r="D2080" s="48" t="inlineStr">
        <is>
          <t>G.4.1</t>
        </is>
      </c>
      <c r="E2080" s="48" t="inlineStr">
        <is>
          <t>G</t>
        </is>
      </c>
      <c r="F2080" s="48" t="inlineStr">
        <is>
          <t>D</t>
        </is>
      </c>
      <c r="G2080" s="48" t="inlineStr">
        <is>
          <t>discretionary</t>
        </is>
      </c>
      <c r="H2080" s="48" t="n">
        <v>2</v>
      </c>
      <c r="I2080" s="48" t="inlineStr">
        <is>
          <t>Qualità del piano di formazione del personale</t>
        </is>
      </c>
      <c r="J2080" s="73" t="n"/>
      <c r="K2080" s="73" t="n"/>
      <c r="L2080" s="73" t="n"/>
      <c r="M2080" s="73" t="n"/>
      <c r="N2080" s="57">
        <f>IF($A2080="","",MAX(0,MIN(1,IFERROR(VALUE($M2080),0))))</f>
        <v/>
      </c>
      <c r="O2080" s="57">
        <f>IF($A2080="",0,IF(OR($S2080&lt;&gt;1,COUNTA($J2080:$M2080)=0),0,IF(SUMPRODUCT(MAX(($C$5:$C$2484=$C2080)*($D$5:$D$2484=$D2080)*($S$5:$S$2484=1)*IFERROR($N$5:$N$2484*1,0)))&gt;0,ROUND($H2080*($N2080/SUMPRODUCT(MAX(($C$5:$C$2484=$C2080)*($D$5:$D$2484=$D2080)*($S$5:$S$2484=1)*IFERROR($N$5:$N$2484*1,0)))),4),0)))</f>
        <v/>
      </c>
      <c r="P2080" s="48" t="inlineStr">
        <is>
          <t>coeff.</t>
        </is>
      </c>
      <c r="Q2080" s="57">
        <f>IF($A2080="","",$A2080&amp;"|"&amp;$C2080)</f>
        <v/>
      </c>
      <c r="R2080" s="57">
        <f>IF($A2080="","",$A2080&amp;"|"&amp;$C2080&amp;"|"&amp;$D2080)</f>
        <v/>
      </c>
      <c r="S2080" s="57">
        <f>IF($A2080="","",IFERROR(INDEX(Offerte!$D$2:$D$81,MATCH($Q2080,Offerte!$L$2:$L$81,0)),0))</f>
        <v/>
      </c>
      <c r="T2080" s="57">
        <f>IF($A2080="","",IFERROR(INDEX(Offerte!$G$2:$G$81,MATCH($Q2080,Offerte!$L$2:$L$81,0)),"NO"))</f>
        <v/>
      </c>
    </row>
    <row r="2081">
      <c r="A2081" s="48">
        <f>IF(Offerte!$A68="","",Offerte!$A68)</f>
        <v/>
      </c>
      <c r="B2081" s="48">
        <f>IF(Offerte!$A68="","",Offerte!$B68)</f>
        <v/>
      </c>
      <c r="C2081" s="48">
        <f>IF(Offerte!$A68="","",Offerte!$C68)</f>
        <v/>
      </c>
      <c r="D2081" s="48" t="inlineStr">
        <is>
          <t>G.5.1</t>
        </is>
      </c>
      <c r="E2081" s="48" t="inlineStr">
        <is>
          <t>G</t>
        </is>
      </c>
      <c r="F2081" s="48" t="inlineStr">
        <is>
          <t>T</t>
        </is>
      </c>
      <c r="G2081" s="48" t="inlineStr">
        <is>
          <t>tabular</t>
        </is>
      </c>
      <c r="H2081" s="48" t="n">
        <v>1</v>
      </c>
      <c r="I2081" s="48" t="inlineStr">
        <is>
          <t>Impegno al mantenimento delle garanzie del contratto di secondo livello del gestore uscente</t>
        </is>
      </c>
      <c r="J2081" s="73" t="n"/>
      <c r="K2081" s="73" t="n"/>
      <c r="L2081" s="73" t="n"/>
      <c r="M2081" s="73" t="n"/>
      <c r="N2081" s="57">
        <f>IF($A2081="","",IF(IFERROR(VALUE($M2081),0)=1,1,0))</f>
        <v/>
      </c>
      <c r="O2081" s="57">
        <f>IF($A2081="",0,IF(OR($S2081&lt;&gt;1,COUNTA($J2081:$M2081)=0),0,IF($N2081=1,$H2081,0)))</f>
        <v/>
      </c>
      <c r="P2081" s="48" t="inlineStr">
        <is>
          <t>sì/no</t>
        </is>
      </c>
      <c r="Q2081" s="57">
        <f>IF($A2081="","",$A2081&amp;"|"&amp;$C2081)</f>
        <v/>
      </c>
      <c r="R2081" s="57">
        <f>IF($A2081="","",$A2081&amp;"|"&amp;$C2081&amp;"|"&amp;$D2081)</f>
        <v/>
      </c>
      <c r="S2081" s="57">
        <f>IF($A2081="","",IFERROR(INDEX(Offerte!$D$2:$D$81,MATCH($Q2081,Offerte!$L$2:$L$81,0)),0))</f>
        <v/>
      </c>
      <c r="T2081" s="57">
        <f>IF($A2081="","",IFERROR(INDEX(Offerte!$G$2:$G$81,MATCH($Q2081,Offerte!$L$2:$L$81,0)),"NO"))</f>
        <v/>
      </c>
    </row>
    <row r="2082">
      <c r="A2082" s="48">
        <f>IF(Offerte!$A69="","",Offerte!$A69)</f>
        <v/>
      </c>
      <c r="B2082" s="48">
        <f>IF(Offerte!$A69="","",Offerte!$B69)</f>
        <v/>
      </c>
      <c r="C2082" s="48">
        <f>IF(Offerte!$A69="","",Offerte!$C69)</f>
        <v/>
      </c>
      <c r="D2082" s="48" t="inlineStr">
        <is>
          <t>A.1.1</t>
        </is>
      </c>
      <c r="E2082" s="48" t="inlineStr">
        <is>
          <t>A</t>
        </is>
      </c>
      <c r="F2082" s="48" t="inlineStr">
        <is>
          <t>Q</t>
        </is>
      </c>
      <c r="G2082" s="48" t="inlineStr">
        <is>
          <t>higher</t>
        </is>
      </c>
      <c r="H2082" s="48" t="n">
        <v>3</v>
      </c>
      <c r="I2082" s="48" t="inlineStr">
        <is>
          <t>Tasso aggiuntivo di corse controllate</t>
        </is>
      </c>
      <c r="J2082" s="73" t="n"/>
      <c r="K2082" s="73" t="n"/>
      <c r="L2082" s="73" t="n"/>
      <c r="M2082" s="73" t="n"/>
      <c r="N2082" s="57">
        <f>IF($A2082="","",IFERROR(VALUE($K2082)/VALUE($L2082)*100,IFERROR(VALUE($J2082),0)))</f>
        <v/>
      </c>
      <c r="O2082" s="57">
        <f>IF($A2082="",0,IF(OR($S2082&lt;&gt;1,COUNTA($J2082:$M2082)=0),0,IF(SUMPRODUCT(MAX(($C$5:$C$2484=$C2082)*($D$5:$D$2484=$D2082)*($S$5:$S$2484=1)*IFERROR($N$5:$N$2484*1,0)))&gt;0,ROUND($H2082*($N2082/SUMPRODUCT(MAX(($C$5:$C$2484=$C2082)*($D$5:$D$2484=$D2082)*($S$5:$S$2484=1)*IFERROR($N$5:$N$2484*1,0)))),4),0)))</f>
        <v/>
      </c>
      <c r="P2082" s="48" t="inlineStr">
        <is>
          <t>Corse controllate annue / Corse programmate annue</t>
        </is>
      </c>
      <c r="Q2082" s="57">
        <f>IF($A2082="","",$A2082&amp;"|"&amp;$C2082)</f>
        <v/>
      </c>
      <c r="R2082" s="57">
        <f>IF($A2082="","",$A2082&amp;"|"&amp;$C2082&amp;"|"&amp;$D2082)</f>
        <v/>
      </c>
      <c r="S2082" s="57">
        <f>IF($A2082="","",IFERROR(INDEX(Offerte!$D$2:$D$81,MATCH($Q2082,Offerte!$L$2:$L$81,0)),0))</f>
        <v/>
      </c>
      <c r="T2082" s="57">
        <f>IF($A2082="","",IFERROR(INDEX(Offerte!$G$2:$G$81,MATCH($Q2082,Offerte!$L$2:$L$81,0)),"NO"))</f>
        <v/>
      </c>
    </row>
    <row r="2083">
      <c r="A2083" s="48">
        <f>IF(Offerte!$A69="","",Offerte!$A69)</f>
        <v/>
      </c>
      <c r="B2083" s="48">
        <f>IF(Offerte!$A69="","",Offerte!$B69)</f>
        <v/>
      </c>
      <c r="C2083" s="48">
        <f>IF(Offerte!$A69="","",Offerte!$C69)</f>
        <v/>
      </c>
      <c r="D2083" s="48" t="inlineStr">
        <is>
          <t>A.1.2</t>
        </is>
      </c>
      <c r="E2083" s="48" t="inlineStr">
        <is>
          <t>A</t>
        </is>
      </c>
      <c r="F2083" s="48" t="inlineStr">
        <is>
          <t>Q</t>
        </is>
      </c>
      <c r="G2083" s="48" t="inlineStr">
        <is>
          <t>higher</t>
        </is>
      </c>
      <c r="H2083" s="48" t="n">
        <v>4</v>
      </c>
      <c r="I2083" s="48" t="inlineStr">
        <is>
          <t>Numero aggiuntivo di passeggeri controllati</t>
        </is>
      </c>
      <c r="J2083" s="73" t="n"/>
      <c r="K2083" s="73" t="n"/>
      <c r="L2083" s="73" t="n"/>
      <c r="M2083" s="73" t="n"/>
      <c r="N2083" s="57">
        <f>IF($A2083="","",IFERROR(VALUE($J2083),0))</f>
        <v/>
      </c>
      <c r="O2083" s="57">
        <f>IF($A2083="",0,IF(OR($S2083&lt;&gt;1,COUNTA($J2083:$M2083)=0),0,IF(SUMPRODUCT(MAX(($C$5:$C$2484=$C2083)*($D$5:$D$2484=$D2083)*($S$5:$S$2484=1)*IFERROR($N$5:$N$2484*1,0)))&gt;0,ROUND($H2083*($N2083/SUMPRODUCT(MAX(($C$5:$C$2484=$C2083)*($D$5:$D$2484=$D2083)*($S$5:$S$2484=1)*IFERROR($N$5:$N$2484*1,0)))),4),0)))</f>
        <v/>
      </c>
      <c r="P2083" s="48" t="inlineStr">
        <is>
          <t>passeggeri/anno</t>
        </is>
      </c>
      <c r="Q2083" s="57">
        <f>IF($A2083="","",$A2083&amp;"|"&amp;$C2083)</f>
        <v/>
      </c>
      <c r="R2083" s="57">
        <f>IF($A2083="","",$A2083&amp;"|"&amp;$C2083&amp;"|"&amp;$D2083)</f>
        <v/>
      </c>
      <c r="S2083" s="57">
        <f>IF($A2083="","",IFERROR(INDEX(Offerte!$D$2:$D$81,MATCH($Q2083,Offerte!$L$2:$L$81,0)),0))</f>
        <v/>
      </c>
      <c r="T2083" s="57">
        <f>IF($A2083="","",IFERROR(INDEX(Offerte!$G$2:$G$81,MATCH($Q2083,Offerte!$L$2:$L$81,0)),"NO"))</f>
        <v/>
      </c>
    </row>
    <row r="2084">
      <c r="A2084" s="48">
        <f>IF(Offerte!$A69="","",Offerte!$A69)</f>
        <v/>
      </c>
      <c r="B2084" s="48">
        <f>IF(Offerte!$A69="","",Offerte!$B69)</f>
        <v/>
      </c>
      <c r="C2084" s="48">
        <f>IF(Offerte!$A69="","",Offerte!$C69)</f>
        <v/>
      </c>
      <c r="D2084" s="48" t="inlineStr">
        <is>
          <t>B.1.1</t>
        </is>
      </c>
      <c r="E2084" s="48" t="inlineStr">
        <is>
          <t>B</t>
        </is>
      </c>
      <c r="F2084" s="48" t="inlineStr">
        <is>
          <t>Q</t>
        </is>
      </c>
      <c r="G2084" s="48" t="inlineStr">
        <is>
          <t>higher</t>
        </is>
      </c>
      <c r="H2084" s="48" t="n">
        <v>3</v>
      </c>
      <c r="I2084" s="48" t="inlineStr">
        <is>
          <t>Incremento dei posti offerti nelle fasce di punta</t>
        </is>
      </c>
      <c r="J2084" s="73" t="n"/>
      <c r="K2084" s="73" t="n"/>
      <c r="L2084" s="73" t="n"/>
      <c r="M2084" s="73" t="n"/>
      <c r="N2084" s="57">
        <f>IF($A2084="","",IFERROR(VALUE($J2084),0))</f>
        <v/>
      </c>
      <c r="O2084" s="57">
        <f>IF($A2084="",0,IF(OR($S2084&lt;&gt;1,COUNTA($J2084:$M2084)=0),0,IF(SUMPRODUCT(MAX(($C$5:$C$2484=$C2084)*($D$5:$D$2484=$D2084)*($S$5:$S$2484=1)*IFERROR($N$5:$N$2484*1,0)))&gt;0,ROUND($H2084*($N2084/SUMPRODUCT(MAX(($C$5:$C$2484=$C2084)*($D$5:$D$2484=$D2084)*($S$5:$S$2484=1)*IFERROR($N$5:$N$2484*1,0)))),4),0)))</f>
        <v/>
      </c>
      <c r="P2084" s="48" t="inlineStr">
        <is>
          <t>posti*km</t>
        </is>
      </c>
      <c r="Q2084" s="57">
        <f>IF($A2084="","",$A2084&amp;"|"&amp;$C2084)</f>
        <v/>
      </c>
      <c r="R2084" s="57">
        <f>IF($A2084="","",$A2084&amp;"|"&amp;$C2084&amp;"|"&amp;$D2084)</f>
        <v/>
      </c>
      <c r="S2084" s="57">
        <f>IF($A2084="","",IFERROR(INDEX(Offerte!$D$2:$D$81,MATCH($Q2084,Offerte!$L$2:$L$81,0)),0))</f>
        <v/>
      </c>
      <c r="T2084" s="57">
        <f>IF($A2084="","",IFERROR(INDEX(Offerte!$G$2:$G$81,MATCH($Q2084,Offerte!$L$2:$L$81,0)),"NO"))</f>
        <v/>
      </c>
    </row>
    <row r="2085">
      <c r="A2085" s="48">
        <f>IF(Offerte!$A69="","",Offerte!$A69)</f>
        <v/>
      </c>
      <c r="B2085" s="48">
        <f>IF(Offerte!$A69="","",Offerte!$B69)</f>
        <v/>
      </c>
      <c r="C2085" s="48">
        <f>IF(Offerte!$A69="","",Offerte!$C69)</f>
        <v/>
      </c>
      <c r="D2085" s="48" t="inlineStr">
        <is>
          <t>B.2.1</t>
        </is>
      </c>
      <c r="E2085" s="48" t="inlineStr">
        <is>
          <t>B</t>
        </is>
      </c>
      <c r="F2085" s="48" t="inlineStr">
        <is>
          <t>Q</t>
        </is>
      </c>
      <c r="G2085" s="48" t="inlineStr">
        <is>
          <t>higher</t>
        </is>
      </c>
      <c r="H2085" s="48" t="n">
        <v>4</v>
      </c>
      <c r="I2085" s="48" t="inlineStr">
        <is>
          <t>Corse aggiuntive nell'arco giornaliero base</t>
        </is>
      </c>
      <c r="J2085" s="73" t="n"/>
      <c r="K2085" s="73" t="n"/>
      <c r="L2085" s="73" t="n"/>
      <c r="M2085" s="73" t="n"/>
      <c r="N2085" s="57">
        <f>IF($A2085="","",IFERROR(VALUE($J2085),0))</f>
        <v/>
      </c>
      <c r="O2085" s="57">
        <f>IF($A2085="",0,IF(OR($S2085&lt;&gt;1,COUNTA($J2085:$M2085)=0),0,IF(SUMPRODUCT(MAX(($C$5:$C$2484=$C2085)*($D$5:$D$2484=$D2085)*($S$5:$S$2484=1)*IFERROR($N$5:$N$2484*1,0)))&gt;0,ROUND($H2085*($N2085/SUMPRODUCT(MAX(($C$5:$C$2484=$C2085)*($D$5:$D$2484=$D2085)*($S$5:$S$2484=1)*IFERROR($N$5:$N$2484*1,0)))),4),0)))</f>
        <v/>
      </c>
      <c r="P2085" s="48" t="inlineStr">
        <is>
          <t>corse</t>
        </is>
      </c>
      <c r="Q2085" s="57">
        <f>IF($A2085="","",$A2085&amp;"|"&amp;$C2085)</f>
        <v/>
      </c>
      <c r="R2085" s="57">
        <f>IF($A2085="","",$A2085&amp;"|"&amp;$C2085&amp;"|"&amp;$D2085)</f>
        <v/>
      </c>
      <c r="S2085" s="57">
        <f>IF($A2085="","",IFERROR(INDEX(Offerte!$D$2:$D$81,MATCH($Q2085,Offerte!$L$2:$L$81,0)),0))</f>
        <v/>
      </c>
      <c r="T2085" s="57">
        <f>IF($A2085="","",IFERROR(INDEX(Offerte!$G$2:$G$81,MATCH($Q2085,Offerte!$L$2:$L$81,0)),"NO"))</f>
        <v/>
      </c>
    </row>
    <row r="2086">
      <c r="A2086" s="48">
        <f>IF(Offerte!$A69="","",Offerte!$A69)</f>
        <v/>
      </c>
      <c r="B2086" s="48">
        <f>IF(Offerte!$A69="","",Offerte!$B69)</f>
        <v/>
      </c>
      <c r="C2086" s="48">
        <f>IF(Offerte!$A69="","",Offerte!$C69)</f>
        <v/>
      </c>
      <c r="D2086" s="48" t="inlineStr">
        <is>
          <t>B.3.1</t>
        </is>
      </c>
      <c r="E2086" s="48" t="inlineStr">
        <is>
          <t>B</t>
        </is>
      </c>
      <c r="F2086" s="48" t="inlineStr">
        <is>
          <t>Q</t>
        </is>
      </c>
      <c r="G2086" s="48" t="inlineStr">
        <is>
          <t>higher</t>
        </is>
      </c>
      <c r="H2086" s="48" t="n">
        <v>2</v>
      </c>
      <c r="I2086" s="48" t="inlineStr">
        <is>
          <t>Numero di corse aggiuntive per allungamento dell'arco di servizio giornaliero nelle fasce serali</t>
        </is>
      </c>
      <c r="J2086" s="73" t="n"/>
      <c r="K2086" s="73" t="n"/>
      <c r="L2086" s="73" t="n"/>
      <c r="M2086" s="73" t="n"/>
      <c r="N2086" s="57">
        <f>IF($A2086="","",IFERROR(VALUE($J2086),0))</f>
        <v/>
      </c>
      <c r="O2086" s="57">
        <f>IF($A2086="",0,IF(OR($S2086&lt;&gt;1,COUNTA($J2086:$M2086)=0),0,IF(SUMPRODUCT(MAX(($C$5:$C$2484=$C2086)*($D$5:$D$2484=$D2086)*($S$5:$S$2484=1)*IFERROR($N$5:$N$2484*1,0)))&gt;0,ROUND($H2086*($N2086/SUMPRODUCT(MAX(($C$5:$C$2484=$C2086)*($D$5:$D$2484=$D2086)*($S$5:$S$2484=1)*IFERROR($N$5:$N$2484*1,0)))),4),0)))</f>
        <v/>
      </c>
      <c r="P2086" s="48" t="inlineStr">
        <is>
          <t>corse</t>
        </is>
      </c>
      <c r="Q2086" s="57">
        <f>IF($A2086="","",$A2086&amp;"|"&amp;$C2086)</f>
        <v/>
      </c>
      <c r="R2086" s="57">
        <f>IF($A2086="","",$A2086&amp;"|"&amp;$C2086&amp;"|"&amp;$D2086)</f>
        <v/>
      </c>
      <c r="S2086" s="57">
        <f>IF($A2086="","",IFERROR(INDEX(Offerte!$D$2:$D$81,MATCH($Q2086,Offerte!$L$2:$L$81,0)),0))</f>
        <v/>
      </c>
      <c r="T2086" s="57">
        <f>IF($A2086="","",IFERROR(INDEX(Offerte!$G$2:$G$81,MATCH($Q2086,Offerte!$L$2:$L$81,0)),"NO"))</f>
        <v/>
      </c>
    </row>
    <row r="2087">
      <c r="A2087" s="48">
        <f>IF(Offerte!$A69="","",Offerte!$A69)</f>
        <v/>
      </c>
      <c r="B2087" s="48">
        <f>IF(Offerte!$A69="","",Offerte!$B69)</f>
        <v/>
      </c>
      <c r="C2087" s="48">
        <f>IF(Offerte!$A69="","",Offerte!$C69)</f>
        <v/>
      </c>
      <c r="D2087" s="48" t="inlineStr">
        <is>
          <t>B.4.1</t>
        </is>
      </c>
      <c r="E2087" s="48" t="inlineStr">
        <is>
          <t>B</t>
        </is>
      </c>
      <c r="F2087" s="48" t="inlineStr">
        <is>
          <t>Q</t>
        </is>
      </c>
      <c r="G2087" s="48" t="inlineStr">
        <is>
          <t>higher</t>
        </is>
      </c>
      <c r="H2087" s="48" t="n">
        <v>3</v>
      </c>
      <c r="I2087" s="48" t="inlineStr">
        <is>
          <t>Percorrenze aggiuntive offerte nel Programma d'esercizio delle prime due fasi attuative</t>
        </is>
      </c>
      <c r="J2087" s="73" t="n"/>
      <c r="K2087" s="73" t="n"/>
      <c r="L2087" s="73" t="n"/>
      <c r="M2087" s="73" t="n"/>
      <c r="N2087" s="57">
        <f>IF($A2087="","",IFERROR(VALUE($J2087),0))</f>
        <v/>
      </c>
      <c r="O2087" s="57">
        <f>IF($A2087="",0,IF(OR($S2087&lt;&gt;1,COUNTA($J2087:$M2087)=0),0,IF(SUMPRODUCT(MAX(($C$5:$C$2484=$C2087)*($D$5:$D$2484=$D2087)*($S$5:$S$2484=1)*IFERROR($N$5:$N$2484*1,0)))&gt;0,ROUND($H2087*($N2087/SUMPRODUCT(MAX(($C$5:$C$2484=$C2087)*($D$5:$D$2484=$D2087)*($S$5:$S$2484=1)*IFERROR($N$5:$N$2484*1,0)))),4),0)))</f>
        <v/>
      </c>
      <c r="P2087" s="48" t="inlineStr">
        <is>
          <t>vett*km</t>
        </is>
      </c>
      <c r="Q2087" s="57">
        <f>IF($A2087="","",$A2087&amp;"|"&amp;$C2087)</f>
        <v/>
      </c>
      <c r="R2087" s="57">
        <f>IF($A2087="","",$A2087&amp;"|"&amp;$C2087&amp;"|"&amp;$D2087)</f>
        <v/>
      </c>
      <c r="S2087" s="57">
        <f>IF($A2087="","",IFERROR(INDEX(Offerte!$D$2:$D$81,MATCH($Q2087,Offerte!$L$2:$L$81,0)),0))</f>
        <v/>
      </c>
      <c r="T2087" s="57">
        <f>IF($A2087="","",IFERROR(INDEX(Offerte!$G$2:$G$81,MATCH($Q2087,Offerte!$L$2:$L$81,0)),"NO"))</f>
        <v/>
      </c>
    </row>
    <row r="2088">
      <c r="A2088" s="48">
        <f>IF(Offerte!$A69="","",Offerte!$A69)</f>
        <v/>
      </c>
      <c r="B2088" s="48">
        <f>IF(Offerte!$A69="","",Offerte!$B69)</f>
        <v/>
      </c>
      <c r="C2088" s="48">
        <f>IF(Offerte!$A69="","",Offerte!$C69)</f>
        <v/>
      </c>
      <c r="D2088" s="48" t="inlineStr">
        <is>
          <t>B.5.1</t>
        </is>
      </c>
      <c r="E2088" s="48" t="inlineStr">
        <is>
          <t>B</t>
        </is>
      </c>
      <c r="F2088" s="48" t="inlineStr">
        <is>
          <t>D</t>
        </is>
      </c>
      <c r="G2088" s="48" t="inlineStr">
        <is>
          <t>discretionary</t>
        </is>
      </c>
      <c r="H2088" s="48" t="n">
        <v>2</v>
      </c>
      <c r="I2088" s="48" t="inlineStr">
        <is>
          <t>Efficacia del progetto di servizi complementari DRT</t>
        </is>
      </c>
      <c r="J2088" s="73" t="n"/>
      <c r="K2088" s="73" t="n"/>
      <c r="L2088" s="73" t="n"/>
      <c r="M2088" s="73" t="n"/>
      <c r="N2088" s="57">
        <f>IF($A2088="","",MAX(0,MIN(1,IFERROR(VALUE($M2088),0))))</f>
        <v/>
      </c>
      <c r="O2088" s="57">
        <f>IF($A2088="",0,IF(OR($S2088&lt;&gt;1,COUNTA($J2088:$M2088)=0),0,IF(SUMPRODUCT(MAX(($C$5:$C$2484=$C2088)*($D$5:$D$2484=$D2088)*($S$5:$S$2484=1)*IFERROR($N$5:$N$2484*1,0)))&gt;0,ROUND($H2088*($N2088/SUMPRODUCT(MAX(($C$5:$C$2484=$C2088)*($D$5:$D$2484=$D2088)*($S$5:$S$2484=1)*IFERROR($N$5:$N$2484*1,0)))),4),0)))</f>
        <v/>
      </c>
      <c r="P2088" s="48" t="inlineStr">
        <is>
          <t>coeff.</t>
        </is>
      </c>
      <c r="Q2088" s="57">
        <f>IF($A2088="","",$A2088&amp;"|"&amp;$C2088)</f>
        <v/>
      </c>
      <c r="R2088" s="57">
        <f>IF($A2088="","",$A2088&amp;"|"&amp;$C2088&amp;"|"&amp;$D2088)</f>
        <v/>
      </c>
      <c r="S2088" s="57">
        <f>IF($A2088="","",IFERROR(INDEX(Offerte!$D$2:$D$81,MATCH($Q2088,Offerte!$L$2:$L$81,0)),0))</f>
        <v/>
      </c>
      <c r="T2088" s="57">
        <f>IF($A2088="","",IFERROR(INDEX(Offerte!$G$2:$G$81,MATCH($Q2088,Offerte!$L$2:$L$81,0)),"NO"))</f>
        <v/>
      </c>
    </row>
    <row r="2089">
      <c r="A2089" s="48">
        <f>IF(Offerte!$A69="","",Offerte!$A69)</f>
        <v/>
      </c>
      <c r="B2089" s="48">
        <f>IF(Offerte!$A69="","",Offerte!$B69)</f>
        <v/>
      </c>
      <c r="C2089" s="48">
        <f>IF(Offerte!$A69="","",Offerte!$C69)</f>
        <v/>
      </c>
      <c r="D2089" s="48" t="inlineStr">
        <is>
          <t>C.1.1</t>
        </is>
      </c>
      <c r="E2089" s="48" t="inlineStr">
        <is>
          <t>C</t>
        </is>
      </c>
      <c r="F2089" s="48" t="inlineStr">
        <is>
          <t>Q</t>
        </is>
      </c>
      <c r="G2089" s="48" t="inlineStr">
        <is>
          <t>higher</t>
        </is>
      </c>
      <c r="H2089" s="48" t="n">
        <v>2</v>
      </c>
      <c r="I2089" s="48" t="inlineStr">
        <is>
          <t>Tasso di copertura del servizio con telecamere BSD</t>
        </is>
      </c>
      <c r="J2089" s="73" t="n"/>
      <c r="K2089" s="73" t="n"/>
      <c r="L2089" s="73" t="n"/>
      <c r="M2089" s="73" t="n"/>
      <c r="N2089" s="57">
        <f>IF($A2089="","",IFERROR(VALUE($K2089)/VALUE($L2089),IFERROR(VALUE($J2089),0)))</f>
        <v/>
      </c>
      <c r="O2089" s="57">
        <f>IF($A2089="",0,IF(OR($S2089&lt;&gt;1,COUNTA($J2089:$M2089)=0),0,IF(SUMPRODUCT(MAX(($C$5:$C$2484=$C2089)*($D$5:$D$2484=$D2089)*($S$5:$S$2484=1)*IFERROR($N$5:$N$2484*1,0)))&gt;0,ROUND($H2089*($N2089/SUMPRODUCT(MAX(($C$5:$C$2484=$C2089)*($D$5:$D$2484=$D2089)*($S$5:$S$2484=1)*IFERROR($N$5:$N$2484*1,0)))),4),0)))</f>
        <v/>
      </c>
      <c r="P2089" s="48" t="inlineStr">
        <is>
          <t>Autobus attrezzati con telecamere BSD / Autobus totali in offerta, incluse scorte</t>
        </is>
      </c>
      <c r="Q2089" s="57">
        <f>IF($A2089="","",$A2089&amp;"|"&amp;$C2089)</f>
        <v/>
      </c>
      <c r="R2089" s="57">
        <f>IF($A2089="","",$A2089&amp;"|"&amp;$C2089&amp;"|"&amp;$D2089)</f>
        <v/>
      </c>
      <c r="S2089" s="57">
        <f>IF($A2089="","",IFERROR(INDEX(Offerte!$D$2:$D$81,MATCH($Q2089,Offerte!$L$2:$L$81,0)),0))</f>
        <v/>
      </c>
      <c r="T2089" s="57">
        <f>IF($A2089="","",IFERROR(INDEX(Offerte!$G$2:$G$81,MATCH($Q2089,Offerte!$L$2:$L$81,0)),"NO"))</f>
        <v/>
      </c>
    </row>
    <row r="2090">
      <c r="A2090" s="48">
        <f>IF(Offerte!$A69="","",Offerte!$A69)</f>
        <v/>
      </c>
      <c r="B2090" s="48">
        <f>IF(Offerte!$A69="","",Offerte!$B69)</f>
        <v/>
      </c>
      <c r="C2090" s="48">
        <f>IF(Offerte!$A69="","",Offerte!$C69)</f>
        <v/>
      </c>
      <c r="D2090" s="48" t="inlineStr">
        <is>
          <t>C.1.2</t>
        </is>
      </c>
      <c r="E2090" s="48" t="inlineStr">
        <is>
          <t>C</t>
        </is>
      </c>
      <c r="F2090" s="48" t="inlineStr">
        <is>
          <t>Q</t>
        </is>
      </c>
      <c r="G2090" s="48" t="inlineStr">
        <is>
          <t>higher</t>
        </is>
      </c>
      <c r="H2090" s="48" t="n">
        <v>2</v>
      </c>
      <c r="I2090" s="48" t="inlineStr">
        <is>
          <t>Tasso di copertura del servizio con telecamere ADAS</t>
        </is>
      </c>
      <c r="J2090" s="73" t="n"/>
      <c r="K2090" s="73" t="n"/>
      <c r="L2090" s="73" t="n"/>
      <c r="M2090" s="73" t="n"/>
      <c r="N2090" s="57">
        <f>IF($A2090="","",IFERROR(VALUE($K2090)/VALUE($L2090),IFERROR(VALUE($J2090),0)))</f>
        <v/>
      </c>
      <c r="O2090" s="57">
        <f>IF($A2090="",0,IF(OR($S2090&lt;&gt;1,COUNTA($J2090:$M2090)=0),0,IF(SUMPRODUCT(MAX(($C$5:$C$2484=$C2090)*($D$5:$D$2484=$D2090)*($S$5:$S$2484=1)*IFERROR($N$5:$N$2484*1,0)))&gt;0,ROUND($H2090*($N2090/SUMPRODUCT(MAX(($C$5:$C$2484=$C2090)*($D$5:$D$2484=$D2090)*($S$5:$S$2484=1)*IFERROR($N$5:$N$2484*1,0)))),4),0)))</f>
        <v/>
      </c>
      <c r="P2090" s="48" t="inlineStr">
        <is>
          <t>Autobus attrezzati con telecamere ADAS / Autobus totali in offerta, incluse scorte</t>
        </is>
      </c>
      <c r="Q2090" s="57">
        <f>IF($A2090="","",$A2090&amp;"|"&amp;$C2090)</f>
        <v/>
      </c>
      <c r="R2090" s="57">
        <f>IF($A2090="","",$A2090&amp;"|"&amp;$C2090&amp;"|"&amp;$D2090)</f>
        <v/>
      </c>
      <c r="S2090" s="57">
        <f>IF($A2090="","",IFERROR(INDEX(Offerte!$D$2:$D$81,MATCH($Q2090,Offerte!$L$2:$L$81,0)),0))</f>
        <v/>
      </c>
      <c r="T2090" s="57">
        <f>IF($A2090="","",IFERROR(INDEX(Offerte!$G$2:$G$81,MATCH($Q2090,Offerte!$L$2:$L$81,0)),"NO"))</f>
        <v/>
      </c>
    </row>
    <row r="2091">
      <c r="A2091" s="48">
        <f>IF(Offerte!$A69="","",Offerte!$A69)</f>
        <v/>
      </c>
      <c r="B2091" s="48">
        <f>IF(Offerte!$A69="","",Offerte!$B69)</f>
        <v/>
      </c>
      <c r="C2091" s="48">
        <f>IF(Offerte!$A69="","",Offerte!$C69)</f>
        <v/>
      </c>
      <c r="D2091" s="48" t="inlineStr">
        <is>
          <t>C.2.1</t>
        </is>
      </c>
      <c r="E2091" s="48" t="inlineStr">
        <is>
          <t>C</t>
        </is>
      </c>
      <c r="F2091" s="48" t="inlineStr">
        <is>
          <t>Q</t>
        </is>
      </c>
      <c r="G2091" s="48" t="inlineStr">
        <is>
          <t>higher</t>
        </is>
      </c>
      <c r="H2091" s="48" t="n">
        <v>3</v>
      </c>
      <c r="I2091" s="48" t="inlineStr">
        <is>
          <t>Tasso di copertura del servizio con telecamere di bordo di videosorveglianza</t>
        </is>
      </c>
      <c r="J2091" s="73" t="n"/>
      <c r="K2091" s="73" t="n"/>
      <c r="L2091" s="73" t="n"/>
      <c r="M2091" s="73" t="n"/>
      <c r="N2091" s="57">
        <f>IF($A2091="","",IFERROR(VALUE($K2091)/VALUE($L2091),IFERROR(VALUE($J2091),0)))</f>
        <v/>
      </c>
      <c r="O2091" s="57">
        <f>IF($A2091="",0,IF(OR($S2091&lt;&gt;1,COUNTA($J2091:$M2091)=0),0,IF(SUMPRODUCT(MAX(($C$5:$C$2484=$C2091)*($D$5:$D$2484=$D2091)*($S$5:$S$2484=1)*IFERROR($N$5:$N$2484*1,0)))&gt;0,ROUND($H2091*($N2091/SUMPRODUCT(MAX(($C$5:$C$2484=$C2091)*($D$5:$D$2484=$D2091)*($S$5:$S$2484=1)*IFERROR($N$5:$N$2484*1,0)))),4),0)))</f>
        <v/>
      </c>
      <c r="P2091" s="48" t="inlineStr">
        <is>
          <t>Autobus attrezzati con videosorveglianza / Autobus totali in offerta, incluse scorte</t>
        </is>
      </c>
      <c r="Q2091" s="57">
        <f>IF($A2091="","",$A2091&amp;"|"&amp;$C2091)</f>
        <v/>
      </c>
      <c r="R2091" s="57">
        <f>IF($A2091="","",$A2091&amp;"|"&amp;$C2091&amp;"|"&amp;$D2091)</f>
        <v/>
      </c>
      <c r="S2091" s="57">
        <f>IF($A2091="","",IFERROR(INDEX(Offerte!$D$2:$D$81,MATCH($Q2091,Offerte!$L$2:$L$81,0)),0))</f>
        <v/>
      </c>
      <c r="T2091" s="57">
        <f>IF($A2091="","",IFERROR(INDEX(Offerte!$G$2:$G$81,MATCH($Q2091,Offerte!$L$2:$L$81,0)),"NO"))</f>
        <v/>
      </c>
    </row>
    <row r="2092">
      <c r="A2092" s="48">
        <f>IF(Offerte!$A69="","",Offerte!$A69)</f>
        <v/>
      </c>
      <c r="B2092" s="48">
        <f>IF(Offerte!$A69="","",Offerte!$B69)</f>
        <v/>
      </c>
      <c r="C2092" s="48">
        <f>IF(Offerte!$A69="","",Offerte!$C69)</f>
        <v/>
      </c>
      <c r="D2092" s="48" t="inlineStr">
        <is>
          <t>C.2.2</t>
        </is>
      </c>
      <c r="E2092" s="48" t="inlineStr">
        <is>
          <t>C</t>
        </is>
      </c>
      <c r="F2092" s="48" t="inlineStr">
        <is>
          <t>T</t>
        </is>
      </c>
      <c r="G2092" s="48" t="inlineStr">
        <is>
          <t>tabular</t>
        </is>
      </c>
      <c r="H2092" s="48" t="n">
        <v>1</v>
      </c>
      <c r="I2092" s="48" t="inlineStr">
        <is>
          <t>Software video/audio analisi per situazioni di pericolo</t>
        </is>
      </c>
      <c r="J2092" s="73" t="n"/>
      <c r="K2092" s="73" t="n"/>
      <c r="L2092" s="73" t="n"/>
      <c r="M2092" s="73" t="n"/>
      <c r="N2092" s="57">
        <f>IF($A2092="","",IF(IFERROR(VALUE($M2092),0)=1,1,0))</f>
        <v/>
      </c>
      <c r="O2092" s="57">
        <f>IF($A2092="",0,IF(OR($S2092&lt;&gt;1,COUNTA($J2092:$M2092)=0),0,IF($N2092=1,$H2092,0)))</f>
        <v/>
      </c>
      <c r="P2092" s="48" t="inlineStr">
        <is>
          <t>sì/no</t>
        </is>
      </c>
      <c r="Q2092" s="57">
        <f>IF($A2092="","",$A2092&amp;"|"&amp;$C2092)</f>
        <v/>
      </c>
      <c r="R2092" s="57">
        <f>IF($A2092="","",$A2092&amp;"|"&amp;$C2092&amp;"|"&amp;$D2092)</f>
        <v/>
      </c>
      <c r="S2092" s="57">
        <f>IF($A2092="","",IFERROR(INDEX(Offerte!$D$2:$D$81,MATCH($Q2092,Offerte!$L$2:$L$81,0)),0))</f>
        <v/>
      </c>
      <c r="T2092" s="57">
        <f>IF($A2092="","",IFERROR(INDEX(Offerte!$G$2:$G$81,MATCH($Q2092,Offerte!$L$2:$L$81,0)),"NO"))</f>
        <v/>
      </c>
    </row>
    <row r="2093">
      <c r="A2093" s="48">
        <f>IF(Offerte!$A69="","",Offerte!$A69)</f>
        <v/>
      </c>
      <c r="B2093" s="48">
        <f>IF(Offerte!$A69="","",Offerte!$B69)</f>
        <v/>
      </c>
      <c r="C2093" s="48">
        <f>IF(Offerte!$A69="","",Offerte!$C69)</f>
        <v/>
      </c>
      <c r="D2093" s="48" t="inlineStr">
        <is>
          <t>C.2.3</t>
        </is>
      </c>
      <c r="E2093" s="48" t="inlineStr">
        <is>
          <t>C</t>
        </is>
      </c>
      <c r="F2093" s="48" t="inlineStr">
        <is>
          <t>T</t>
        </is>
      </c>
      <c r="G2093" s="48" t="inlineStr">
        <is>
          <t>tabular</t>
        </is>
      </c>
      <c r="H2093" s="48" t="n">
        <v>1</v>
      </c>
      <c r="I2093" s="48" t="inlineStr">
        <is>
          <t>Collegamento con centrale qualificata di pronto intervento</t>
        </is>
      </c>
      <c r="J2093" s="73" t="n"/>
      <c r="K2093" s="73" t="n"/>
      <c r="L2093" s="73" t="n"/>
      <c r="M2093" s="73" t="n"/>
      <c r="N2093" s="57">
        <f>IF($A2093="","",IF(IFERROR(VALUE($M2093),0)=1,1,0))</f>
        <v/>
      </c>
      <c r="O2093" s="57">
        <f>IF($A2093="",0,IF(OR($S2093&lt;&gt;1,COUNTA($J2093:$M2093)=0),0,IF($N2093=1,$H2093,0)))</f>
        <v/>
      </c>
      <c r="P2093" s="48" t="inlineStr">
        <is>
          <t>sì/no</t>
        </is>
      </c>
      <c r="Q2093" s="57">
        <f>IF($A2093="","",$A2093&amp;"|"&amp;$C2093)</f>
        <v/>
      </c>
      <c r="R2093" s="57">
        <f>IF($A2093="","",$A2093&amp;"|"&amp;$C2093&amp;"|"&amp;$D2093)</f>
        <v/>
      </c>
      <c r="S2093" s="57">
        <f>IF($A2093="","",IFERROR(INDEX(Offerte!$D$2:$D$81,MATCH($Q2093,Offerte!$L$2:$L$81,0)),0))</f>
        <v/>
      </c>
      <c r="T2093" s="57">
        <f>IF($A2093="","",IFERROR(INDEX(Offerte!$G$2:$G$81,MATCH($Q2093,Offerte!$L$2:$L$81,0)),"NO"))</f>
        <v/>
      </c>
    </row>
    <row r="2094">
      <c r="A2094" s="48">
        <f>IF(Offerte!$A69="","",Offerte!$A69)</f>
        <v/>
      </c>
      <c r="B2094" s="48">
        <f>IF(Offerte!$A69="","",Offerte!$B69)</f>
        <v/>
      </c>
      <c r="C2094" s="48">
        <f>IF(Offerte!$A69="","",Offerte!$C69)</f>
        <v/>
      </c>
      <c r="D2094" s="48" t="inlineStr">
        <is>
          <t>C.2.4</t>
        </is>
      </c>
      <c r="E2094" s="48" t="inlineStr">
        <is>
          <t>C</t>
        </is>
      </c>
      <c r="F2094" s="48" t="inlineStr">
        <is>
          <t>Q</t>
        </is>
      </c>
      <c r="G2094" s="48" t="inlineStr">
        <is>
          <t>higher</t>
        </is>
      </c>
      <c r="H2094" s="48" t="n">
        <v>1</v>
      </c>
      <c r="I2094" s="48" t="inlineStr">
        <is>
          <t>Tasso di copertura del servizio con dispositivi per la chiamata di emergenza del conducente</t>
        </is>
      </c>
      <c r="J2094" s="73" t="n"/>
      <c r="K2094" s="73" t="n"/>
      <c r="L2094" s="73" t="n"/>
      <c r="M2094" s="73" t="n"/>
      <c r="N2094" s="57">
        <f>IF($A2094="","",IFERROR(VALUE($K2094)/VALUE($L2094),IFERROR(VALUE($J2094),0)))</f>
        <v/>
      </c>
      <c r="O2094" s="57">
        <f>IF($A2094="",0,IF(OR($S2094&lt;&gt;1,COUNTA($J2094:$M2094)=0),0,IF(SUMPRODUCT(MAX(($C$5:$C$2484=$C2094)*($D$5:$D$2484=$D2094)*($S$5:$S$2484=1)*IFERROR($N$5:$N$2484*1,0)))&gt;0,ROUND($H2094*($N2094/SUMPRODUCT(MAX(($C$5:$C$2484=$C2094)*($D$5:$D$2484=$D2094)*($S$5:$S$2484=1)*IFERROR($N$5:$N$2484*1,0)))),4),0)))</f>
        <v/>
      </c>
      <c r="P2094" s="48" t="inlineStr">
        <is>
          <t>Autobus attrezzati con chiamata di emergenza / Autobus totali in offerta, incluse scorte</t>
        </is>
      </c>
      <c r="Q2094" s="57">
        <f>IF($A2094="","",$A2094&amp;"|"&amp;$C2094)</f>
        <v/>
      </c>
      <c r="R2094" s="57">
        <f>IF($A2094="","",$A2094&amp;"|"&amp;$C2094&amp;"|"&amp;$D2094)</f>
        <v/>
      </c>
      <c r="S2094" s="57">
        <f>IF($A2094="","",IFERROR(INDEX(Offerte!$D$2:$D$81,MATCH($Q2094,Offerte!$L$2:$L$81,0)),0))</f>
        <v/>
      </c>
      <c r="T2094" s="57">
        <f>IF($A2094="","",IFERROR(INDEX(Offerte!$G$2:$G$81,MATCH($Q2094,Offerte!$L$2:$L$81,0)),"NO"))</f>
        <v/>
      </c>
    </row>
    <row r="2095">
      <c r="A2095" s="48">
        <f>IF(Offerte!$A69="","",Offerte!$A69)</f>
        <v/>
      </c>
      <c r="B2095" s="48">
        <f>IF(Offerte!$A69="","",Offerte!$B69)</f>
        <v/>
      </c>
      <c r="C2095" s="48">
        <f>IF(Offerte!$A69="","",Offerte!$C69)</f>
        <v/>
      </c>
      <c r="D2095" s="48" t="inlineStr">
        <is>
          <t>C.3.1</t>
        </is>
      </c>
      <c r="E2095" s="48" t="inlineStr">
        <is>
          <t>C</t>
        </is>
      </c>
      <c r="F2095" s="48" t="inlineStr">
        <is>
          <t>Q</t>
        </is>
      </c>
      <c r="G2095" s="48" t="inlineStr">
        <is>
          <t>higher</t>
        </is>
      </c>
      <c r="H2095" s="48" t="n">
        <v>2</v>
      </c>
      <c r="I2095" s="48" t="inlineStr">
        <is>
          <t>Tasso di copertura del servizio con dispositivi di informazione dinamica a bordo mezzo</t>
        </is>
      </c>
      <c r="J2095" s="73" t="n"/>
      <c r="K2095" s="73" t="n"/>
      <c r="L2095" s="73" t="n"/>
      <c r="M2095" s="73" t="n"/>
      <c r="N2095" s="57">
        <f>IF($A2095="","",IFERROR(VALUE($K2095)/VALUE($L2095),IFERROR(VALUE($J2095),0)))</f>
        <v/>
      </c>
      <c r="O2095" s="57">
        <f>IF($A2095="",0,IF(OR($S2095&lt;&gt;1,COUNTA($J2095:$M2095)=0),0,IF(SUMPRODUCT(MAX(($C$5:$C$2484=$C2095)*($D$5:$D$2484=$D2095)*($S$5:$S$2484=1)*IFERROR($N$5:$N$2484*1,0)))&gt;0,ROUND($H2095*($N2095/SUMPRODUCT(MAX(($C$5:$C$2484=$C2095)*($D$5:$D$2484=$D2095)*($S$5:$S$2484=1)*IFERROR($N$5:$N$2484*1,0)))),4),0)))</f>
        <v/>
      </c>
      <c r="P2095" s="48" t="inlineStr">
        <is>
          <t>Autobus con monitor e indicatori vocali / Autobus totali in offerta, incluse scorte</t>
        </is>
      </c>
      <c r="Q2095" s="57">
        <f>IF($A2095="","",$A2095&amp;"|"&amp;$C2095)</f>
        <v/>
      </c>
      <c r="R2095" s="57">
        <f>IF($A2095="","",$A2095&amp;"|"&amp;$C2095&amp;"|"&amp;$D2095)</f>
        <v/>
      </c>
      <c r="S2095" s="57">
        <f>IF($A2095="","",IFERROR(INDEX(Offerte!$D$2:$D$81,MATCH($Q2095,Offerte!$L$2:$L$81,0)),0))</f>
        <v/>
      </c>
      <c r="T2095" s="57">
        <f>IF($A2095="","",IFERROR(INDEX(Offerte!$G$2:$G$81,MATCH($Q2095,Offerte!$L$2:$L$81,0)),"NO"))</f>
        <v/>
      </c>
    </row>
    <row r="2096">
      <c r="A2096" s="48">
        <f>IF(Offerte!$A69="","",Offerte!$A69)</f>
        <v/>
      </c>
      <c r="B2096" s="48">
        <f>IF(Offerte!$A69="","",Offerte!$B69)</f>
        <v/>
      </c>
      <c r="C2096" s="48">
        <f>IF(Offerte!$A69="","",Offerte!$C69)</f>
        <v/>
      </c>
      <c r="D2096" s="48" t="inlineStr">
        <is>
          <t>C.3.2</t>
        </is>
      </c>
      <c r="E2096" s="48" t="inlineStr">
        <is>
          <t>C</t>
        </is>
      </c>
      <c r="F2096" s="48" t="inlineStr">
        <is>
          <t>T</t>
        </is>
      </c>
      <c r="G2096" s="48" t="inlineStr">
        <is>
          <t>tabular</t>
        </is>
      </c>
      <c r="H2096" s="48" t="n">
        <v>2</v>
      </c>
      <c r="I2096" s="48" t="inlineStr">
        <is>
          <t>Informazioni a bordo su coincidenze ai nodi</t>
        </is>
      </c>
      <c r="J2096" s="73" t="n"/>
      <c r="K2096" s="73" t="n"/>
      <c r="L2096" s="73" t="n"/>
      <c r="M2096" s="73" t="n"/>
      <c r="N2096" s="57">
        <f>IF($A2096="","",IF(IFERROR(VALUE($M2096),0)=1,1,0))</f>
        <v/>
      </c>
      <c r="O2096" s="57">
        <f>IF($A2096="",0,IF(OR($S2096&lt;&gt;1,COUNTA($J2096:$M2096)=0),0,IF(AND($N2096=1,IFERROR(SUMIFS($N$5:$N$2484,$Q$5:$Q$2484,$Q2096,$D$5:$D$2484,"C.3.1"),0)&gt;=0.5),$H2096,0)))</f>
        <v/>
      </c>
      <c r="P2096" s="48" t="inlineStr">
        <is>
          <t>Dipende da C.3.1 &gt;= 0.5</t>
        </is>
      </c>
      <c r="Q2096" s="57">
        <f>IF($A2096="","",$A2096&amp;"|"&amp;$C2096)</f>
        <v/>
      </c>
      <c r="R2096" s="57">
        <f>IF($A2096="","",$A2096&amp;"|"&amp;$C2096&amp;"|"&amp;$D2096)</f>
        <v/>
      </c>
      <c r="S2096" s="57">
        <f>IF($A2096="","",IFERROR(INDEX(Offerte!$D$2:$D$81,MATCH($Q2096,Offerte!$L$2:$L$81,0)),0))</f>
        <v/>
      </c>
      <c r="T2096" s="57">
        <f>IF($A2096="","",IFERROR(INDEX(Offerte!$G$2:$G$81,MATCH($Q2096,Offerte!$L$2:$L$81,0)),"NO"))</f>
        <v/>
      </c>
    </row>
    <row r="2097">
      <c r="A2097" s="48">
        <f>IF(Offerte!$A69="","",Offerte!$A69)</f>
        <v/>
      </c>
      <c r="B2097" s="48">
        <f>IF(Offerte!$A69="","",Offerte!$B69)</f>
        <v/>
      </c>
      <c r="C2097" s="48">
        <f>IF(Offerte!$A69="","",Offerte!$C69)</f>
        <v/>
      </c>
      <c r="D2097" s="48" t="inlineStr">
        <is>
          <t>D.1.1</t>
        </is>
      </c>
      <c r="E2097" s="48" t="inlineStr">
        <is>
          <t>D</t>
        </is>
      </c>
      <c r="F2097" s="48" t="inlineStr">
        <is>
          <t>Q</t>
        </is>
      </c>
      <c r="G2097" s="48" t="inlineStr">
        <is>
          <t>higher</t>
        </is>
      </c>
      <c r="H2097" s="48" t="n">
        <v>3</v>
      </c>
      <c r="I2097" s="48" t="inlineStr">
        <is>
          <t>Installazione di pensiline</t>
        </is>
      </c>
      <c r="J2097" s="73" t="n"/>
      <c r="K2097" s="73" t="n"/>
      <c r="L2097" s="73" t="n"/>
      <c r="M2097" s="73" t="n"/>
      <c r="N2097" s="57">
        <f>IF($A2097="","",IFERROR(VALUE($J2097),0))</f>
        <v/>
      </c>
      <c r="O2097" s="57">
        <f>IF($A2097="",0,IF(OR($S2097&lt;&gt;1,COUNTA($J2097:$M2097)=0),0,IF(SUMPRODUCT(MAX(($C$5:$C$2484=$C2097)*($D$5:$D$2484=$D2097)*($S$5:$S$2484=1)*IFERROR($N$5:$N$2484*1,0)))&gt;0,ROUND($H2097*($N2097/SUMPRODUCT(MAX(($C$5:$C$2484=$C2097)*($D$5:$D$2484=$D2097)*($S$5:$S$2484=1)*IFERROR($N$5:$N$2484*1,0)))),4),0)))</f>
        <v/>
      </c>
      <c r="P2097" s="48" t="inlineStr">
        <is>
          <t>fermate</t>
        </is>
      </c>
      <c r="Q2097" s="57">
        <f>IF($A2097="","",$A2097&amp;"|"&amp;$C2097)</f>
        <v/>
      </c>
      <c r="R2097" s="57">
        <f>IF($A2097="","",$A2097&amp;"|"&amp;$C2097&amp;"|"&amp;$D2097)</f>
        <v/>
      </c>
      <c r="S2097" s="57">
        <f>IF($A2097="","",IFERROR(INDEX(Offerte!$D$2:$D$81,MATCH($Q2097,Offerte!$L$2:$L$81,0)),0))</f>
        <v/>
      </c>
      <c r="T2097" s="57">
        <f>IF($A2097="","",IFERROR(INDEX(Offerte!$G$2:$G$81,MATCH($Q2097,Offerte!$L$2:$L$81,0)),"NO"))</f>
        <v/>
      </c>
    </row>
    <row r="2098">
      <c r="A2098" s="48">
        <f>IF(Offerte!$A69="","",Offerte!$A69)</f>
        <v/>
      </c>
      <c r="B2098" s="48">
        <f>IF(Offerte!$A69="","",Offerte!$B69)</f>
        <v/>
      </c>
      <c r="C2098" s="48">
        <f>IF(Offerte!$A69="","",Offerte!$C69)</f>
        <v/>
      </c>
      <c r="D2098" s="48" t="inlineStr">
        <is>
          <t>D.1.2</t>
        </is>
      </c>
      <c r="E2098" s="48" t="inlineStr">
        <is>
          <t>D</t>
        </is>
      </c>
      <c r="F2098" s="48" t="inlineStr">
        <is>
          <t>Q</t>
        </is>
      </c>
      <c r="G2098" s="48" t="inlineStr">
        <is>
          <t>higher</t>
        </is>
      </c>
      <c r="H2098" s="48" t="n">
        <v>3</v>
      </c>
      <c r="I2098" s="48" t="inlineStr">
        <is>
          <t>Installazione di paline di fermata conformi alla DGR 581/2023</t>
        </is>
      </c>
      <c r="J2098" s="73" t="n"/>
      <c r="K2098" s="73" t="n"/>
      <c r="L2098" s="73" t="n"/>
      <c r="M2098" s="73" t="n"/>
      <c r="N2098" s="57">
        <f>IF($A2098="","",IFERROR(VALUE($J2098),0))</f>
        <v/>
      </c>
      <c r="O2098" s="57">
        <f>IF($A2098="",0,IF(OR($S2098&lt;&gt;1,COUNTA($J2098:$M2098)=0),0,IF(SUMPRODUCT(MAX(($C$5:$C$2484=$C2098)*($D$5:$D$2484=$D2098)*($S$5:$S$2484=1)*IFERROR($N$5:$N$2484*1,0)))&gt;0,ROUND($H2098*($N2098/SUMPRODUCT(MAX(($C$5:$C$2484=$C2098)*($D$5:$D$2484=$D2098)*($S$5:$S$2484=1)*IFERROR($N$5:$N$2484*1,0)))),4),0)))</f>
        <v/>
      </c>
      <c r="P2098" s="48" t="inlineStr">
        <is>
          <t>fermate</t>
        </is>
      </c>
      <c r="Q2098" s="57">
        <f>IF($A2098="","",$A2098&amp;"|"&amp;$C2098)</f>
        <v/>
      </c>
      <c r="R2098" s="57">
        <f>IF($A2098="","",$A2098&amp;"|"&amp;$C2098&amp;"|"&amp;$D2098)</f>
        <v/>
      </c>
      <c r="S2098" s="57">
        <f>IF($A2098="","",IFERROR(INDEX(Offerte!$D$2:$D$81,MATCH($Q2098,Offerte!$L$2:$L$81,0)),0))</f>
        <v/>
      </c>
      <c r="T2098" s="57">
        <f>IF($A2098="","",IFERROR(INDEX(Offerte!$G$2:$G$81,MATCH($Q2098,Offerte!$L$2:$L$81,0)),"NO"))</f>
        <v/>
      </c>
    </row>
    <row r="2099">
      <c r="A2099" s="48">
        <f>IF(Offerte!$A69="","",Offerte!$A69)</f>
        <v/>
      </c>
      <c r="B2099" s="48">
        <f>IF(Offerte!$A69="","",Offerte!$B69)</f>
        <v/>
      </c>
      <c r="C2099" s="48">
        <f>IF(Offerte!$A69="","",Offerte!$C69)</f>
        <v/>
      </c>
      <c r="D2099" s="48" t="inlineStr">
        <is>
          <t>D.1.3</t>
        </is>
      </c>
      <c r="E2099" s="48" t="inlineStr">
        <is>
          <t>D</t>
        </is>
      </c>
      <c r="F2099" s="48" t="inlineStr">
        <is>
          <t>Q</t>
        </is>
      </c>
      <c r="G2099" s="48" t="inlineStr">
        <is>
          <t>higher</t>
        </is>
      </c>
      <c r="H2099" s="48" t="n">
        <v>2</v>
      </c>
      <c r="I2099" s="48" t="inlineStr">
        <is>
          <t>Display informativi connessi alle fermate</t>
        </is>
      </c>
      <c r="J2099" s="73" t="n"/>
      <c r="K2099" s="73" t="n"/>
      <c r="L2099" s="73" t="n"/>
      <c r="M2099" s="73" t="n"/>
      <c r="N2099" s="57">
        <f>IF($A2099="","",IFERROR(VALUE($J2099),0))</f>
        <v/>
      </c>
      <c r="O2099" s="57">
        <f>IF($A2099="",0,IF(OR($S2099&lt;&gt;1,COUNTA($J2099:$M2099)=0),0,IF(SUMPRODUCT(MAX(($C$5:$C$2484=$C2099)*($D$5:$D$2484=$D2099)*($S$5:$S$2484=1)*IFERROR($N$5:$N$2484*1,0)))&gt;0,ROUND($H2099*($N2099/SUMPRODUCT(MAX(($C$5:$C$2484=$C2099)*($D$5:$D$2484=$D2099)*($S$5:$S$2484=1)*IFERROR($N$5:$N$2484*1,0)))),4),0)))</f>
        <v/>
      </c>
      <c r="P2099" s="48" t="inlineStr">
        <is>
          <t>fermate</t>
        </is>
      </c>
      <c r="Q2099" s="57">
        <f>IF($A2099="","",$A2099&amp;"|"&amp;$C2099)</f>
        <v/>
      </c>
      <c r="R2099" s="57">
        <f>IF($A2099="","",$A2099&amp;"|"&amp;$C2099&amp;"|"&amp;$D2099)</f>
        <v/>
      </c>
      <c r="S2099" s="57">
        <f>IF($A2099="","",IFERROR(INDEX(Offerte!$D$2:$D$81,MATCH($Q2099,Offerte!$L$2:$L$81,0)),0))</f>
        <v/>
      </c>
      <c r="T2099" s="57">
        <f>IF($A2099="","",IFERROR(INDEX(Offerte!$G$2:$G$81,MATCH($Q2099,Offerte!$L$2:$L$81,0)),"NO"))</f>
        <v/>
      </c>
    </row>
    <row r="2100">
      <c r="A2100" s="48">
        <f>IF(Offerte!$A69="","",Offerte!$A69)</f>
        <v/>
      </c>
      <c r="B2100" s="48">
        <f>IF(Offerte!$A69="","",Offerte!$B69)</f>
        <v/>
      </c>
      <c r="C2100" s="48">
        <f>IF(Offerte!$A69="","",Offerte!$C69)</f>
        <v/>
      </c>
      <c r="D2100" s="48" t="inlineStr">
        <is>
          <t>D.2.1</t>
        </is>
      </c>
      <c r="E2100" s="48" t="inlineStr">
        <is>
          <t>D</t>
        </is>
      </c>
      <c r="F2100" s="48" t="inlineStr">
        <is>
          <t>Q</t>
        </is>
      </c>
      <c r="G2100" s="48" t="inlineStr">
        <is>
          <t>higher</t>
        </is>
      </c>
      <c r="H2100" s="48" t="n">
        <v>2</v>
      </c>
      <c r="I2100" s="48" t="inlineStr">
        <is>
          <t>Segnali tattili Loges-Vet-Evolution</t>
        </is>
      </c>
      <c r="J2100" s="73" t="n"/>
      <c r="K2100" s="73" t="n"/>
      <c r="L2100" s="73" t="n"/>
      <c r="M2100" s="73" t="n"/>
      <c r="N2100" s="57">
        <f>IF($A2100="","",IFERROR(VALUE($J2100),0))</f>
        <v/>
      </c>
      <c r="O2100" s="57">
        <f>IF($A2100="",0,IF(OR($S2100&lt;&gt;1,COUNTA($J2100:$M2100)=0),0,IF(SUMPRODUCT(MAX(($C$5:$C$2484=$C2100)*($D$5:$D$2484=$D2100)*($S$5:$S$2484=1)*IFERROR($N$5:$N$2484*1,0)))&gt;0,ROUND($H2100*($N2100/SUMPRODUCT(MAX(($C$5:$C$2484=$C2100)*($D$5:$D$2484=$D2100)*($S$5:$S$2484=1)*IFERROR($N$5:$N$2484*1,0)))),4),0)))</f>
        <v/>
      </c>
      <c r="P2100" s="48" t="inlineStr">
        <is>
          <t>fermate</t>
        </is>
      </c>
      <c r="Q2100" s="57">
        <f>IF($A2100="","",$A2100&amp;"|"&amp;$C2100)</f>
        <v/>
      </c>
      <c r="R2100" s="57">
        <f>IF($A2100="","",$A2100&amp;"|"&amp;$C2100&amp;"|"&amp;$D2100)</f>
        <v/>
      </c>
      <c r="S2100" s="57">
        <f>IF($A2100="","",IFERROR(INDEX(Offerte!$D$2:$D$81,MATCH($Q2100,Offerte!$L$2:$L$81,0)),0))</f>
        <v/>
      </c>
      <c r="T2100" s="57">
        <f>IF($A2100="","",IFERROR(INDEX(Offerte!$G$2:$G$81,MATCH($Q2100,Offerte!$L$2:$L$81,0)),"NO"))</f>
        <v/>
      </c>
    </row>
    <row r="2101">
      <c r="A2101" s="48">
        <f>IF(Offerte!$A69="","",Offerte!$A69)</f>
        <v/>
      </c>
      <c r="B2101" s="48">
        <f>IF(Offerte!$A69="","",Offerte!$B69)</f>
        <v/>
      </c>
      <c r="C2101" s="48">
        <f>IF(Offerte!$A69="","",Offerte!$C69)</f>
        <v/>
      </c>
      <c r="D2101" s="48" t="inlineStr">
        <is>
          <t>E.1.1</t>
        </is>
      </c>
      <c r="E2101" s="48" t="inlineStr">
        <is>
          <t>E</t>
        </is>
      </c>
      <c r="F2101" s="48" t="inlineStr">
        <is>
          <t>T</t>
        </is>
      </c>
      <c r="G2101" s="48" t="inlineStr">
        <is>
          <t>tabular</t>
        </is>
      </c>
      <c r="H2101" s="48" t="n">
        <v>2</v>
      </c>
      <c r="I2101" s="48" t="inlineStr">
        <is>
          <t>Mobile app con travel planner PRM</t>
        </is>
      </c>
      <c r="J2101" s="73" t="n"/>
      <c r="K2101" s="73" t="n"/>
      <c r="L2101" s="73" t="n"/>
      <c r="M2101" s="73" t="n"/>
      <c r="N2101" s="57">
        <f>IF($A2101="","",IF(IFERROR(VALUE($M2101),0)=1,1,0))</f>
        <v/>
      </c>
      <c r="O2101" s="57">
        <f>IF($A2101="",0,IF(OR($S2101&lt;&gt;1,COUNTA($J2101:$M2101)=0),0,IF($N2101=1,$H2101,0)))</f>
        <v/>
      </c>
      <c r="P2101" s="48" t="inlineStr">
        <is>
          <t>sì/no</t>
        </is>
      </c>
      <c r="Q2101" s="57">
        <f>IF($A2101="","",$A2101&amp;"|"&amp;$C2101)</f>
        <v/>
      </c>
      <c r="R2101" s="57">
        <f>IF($A2101="","",$A2101&amp;"|"&amp;$C2101&amp;"|"&amp;$D2101)</f>
        <v/>
      </c>
      <c r="S2101" s="57">
        <f>IF($A2101="","",IFERROR(INDEX(Offerte!$D$2:$D$81,MATCH($Q2101,Offerte!$L$2:$L$81,0)),0))</f>
        <v/>
      </c>
      <c r="T2101" s="57">
        <f>IF($A2101="","",IFERROR(INDEX(Offerte!$G$2:$G$81,MATCH($Q2101,Offerte!$L$2:$L$81,0)),"NO"))</f>
        <v/>
      </c>
    </row>
    <row r="2102">
      <c r="A2102" s="48">
        <f>IF(Offerte!$A69="","",Offerte!$A69)</f>
        <v/>
      </c>
      <c r="B2102" s="48">
        <f>IF(Offerte!$A69="","",Offerte!$B69)</f>
        <v/>
      </c>
      <c r="C2102" s="48">
        <f>IF(Offerte!$A69="","",Offerte!$C69)</f>
        <v/>
      </c>
      <c r="D2102" s="48" t="inlineStr">
        <is>
          <t>E.2.1</t>
        </is>
      </c>
      <c r="E2102" s="48" t="inlineStr">
        <is>
          <t>E</t>
        </is>
      </c>
      <c r="F2102" s="48" t="inlineStr">
        <is>
          <t>D</t>
        </is>
      </c>
      <c r="G2102" s="48" t="inlineStr">
        <is>
          <t>discretionary</t>
        </is>
      </c>
      <c r="H2102" s="48" t="n">
        <v>2</v>
      </c>
      <c r="I2102" s="48" t="inlineStr">
        <is>
          <t>Altre azioni informative e rapporti con gli utenti</t>
        </is>
      </c>
      <c r="J2102" s="73" t="n"/>
      <c r="K2102" s="73" t="n"/>
      <c r="L2102" s="73" t="n"/>
      <c r="M2102" s="73" t="n"/>
      <c r="N2102" s="57">
        <f>IF($A2102="","",MAX(0,MIN(1,IFERROR(VALUE($M2102),0))))</f>
        <v/>
      </c>
      <c r="O2102" s="57">
        <f>IF($A2102="",0,IF(OR($S2102&lt;&gt;1,COUNTA($J2102:$M2102)=0),0,IF(SUMPRODUCT(MAX(($C$5:$C$2484=$C2102)*($D$5:$D$2484=$D2102)*($S$5:$S$2484=1)*IFERROR($N$5:$N$2484*1,0)))&gt;0,ROUND($H2102*($N2102/SUMPRODUCT(MAX(($C$5:$C$2484=$C2102)*($D$5:$D$2484=$D2102)*($S$5:$S$2484=1)*IFERROR($N$5:$N$2484*1,0)))),4),0)))</f>
        <v/>
      </c>
      <c r="P2102" s="48" t="inlineStr">
        <is>
          <t>coeff.</t>
        </is>
      </c>
      <c r="Q2102" s="57">
        <f>IF($A2102="","",$A2102&amp;"|"&amp;$C2102)</f>
        <v/>
      </c>
      <c r="R2102" s="57">
        <f>IF($A2102="","",$A2102&amp;"|"&amp;$C2102&amp;"|"&amp;$D2102)</f>
        <v/>
      </c>
      <c r="S2102" s="57">
        <f>IF($A2102="","",IFERROR(INDEX(Offerte!$D$2:$D$81,MATCH($Q2102,Offerte!$L$2:$L$81,0)),0))</f>
        <v/>
      </c>
      <c r="T2102" s="57">
        <f>IF($A2102="","",IFERROR(INDEX(Offerte!$G$2:$G$81,MATCH($Q2102,Offerte!$L$2:$L$81,0)),"NO"))</f>
        <v/>
      </c>
    </row>
    <row r="2103">
      <c r="A2103" s="48">
        <f>IF(Offerte!$A69="","",Offerte!$A69)</f>
        <v/>
      </c>
      <c r="B2103" s="48">
        <f>IF(Offerte!$A69="","",Offerte!$B69)</f>
        <v/>
      </c>
      <c r="C2103" s="48">
        <f>IF(Offerte!$A69="","",Offerte!$C69)</f>
        <v/>
      </c>
      <c r="D2103" s="48" t="inlineStr">
        <is>
          <t>F.1.1</t>
        </is>
      </c>
      <c r="E2103" s="48" t="inlineStr">
        <is>
          <t>F</t>
        </is>
      </c>
      <c r="F2103" s="48" t="inlineStr">
        <is>
          <t>Q</t>
        </is>
      </c>
      <c r="G2103" s="48" t="inlineStr">
        <is>
          <t>lower</t>
        </is>
      </c>
      <c r="H2103" s="48" t="n">
        <v>7</v>
      </c>
      <c r="I2103" s="48" t="inlineStr">
        <is>
          <t>Performance ambientali del parco mezzi adibito al servizio - I_CEA</t>
        </is>
      </c>
      <c r="J2103" s="73" t="n"/>
      <c r="K2103" s="73" t="n"/>
      <c r="L2103" s="73" t="n"/>
      <c r="M2103" s="73" t="n"/>
      <c r="N2103" s="57">
        <f>IF($A2103="","",IFERROR(VALUE($J2103),0))</f>
        <v/>
      </c>
      <c r="O2103" s="57">
        <f>IF($A2103="",0,IF(OR($S2103&lt;&gt;1,COUNTA($J2103:$M2103)=0),0,IF(AND(IFERROR(AGGREGATE(15,6,$N$5:$N$2484/(($C$5:$C$2484=$C2103)*($D$5:$D$2484=$D2103)*($S$5:$S$2484=1)*($N$5:$N$2484&gt;0)),1),0)&gt;0,$N2103&gt;0),ROUND($H2103*(IFERROR(AGGREGATE(15,6,$N$5:$N$2484/(($C$5:$C$2484=$C2103)*($D$5:$D$2484=$D2103)*($S$5:$S$2484=1)*($N$5:$N$2484&gt;0)),1),0)/$N2103),4),0)))</f>
        <v/>
      </c>
      <c r="P2103" s="48" t="inlineStr">
        <is>
          <t>indice</t>
        </is>
      </c>
      <c r="Q2103" s="57">
        <f>IF($A2103="","",$A2103&amp;"|"&amp;$C2103)</f>
        <v/>
      </c>
      <c r="R2103" s="57">
        <f>IF($A2103="","",$A2103&amp;"|"&amp;$C2103&amp;"|"&amp;$D2103)</f>
        <v/>
      </c>
      <c r="S2103" s="57">
        <f>IF($A2103="","",IFERROR(INDEX(Offerte!$D$2:$D$81,MATCH($Q2103,Offerte!$L$2:$L$81,0)),0))</f>
        <v/>
      </c>
      <c r="T2103" s="57">
        <f>IF($A2103="","",IFERROR(INDEX(Offerte!$G$2:$G$81,MATCH($Q2103,Offerte!$L$2:$L$81,0)),"NO"))</f>
        <v/>
      </c>
    </row>
    <row r="2104">
      <c r="A2104" s="48">
        <f>IF(Offerte!$A69="","",Offerte!$A69)</f>
        <v/>
      </c>
      <c r="B2104" s="48">
        <f>IF(Offerte!$A69="","",Offerte!$B69)</f>
        <v/>
      </c>
      <c r="C2104" s="48">
        <f>IF(Offerte!$A69="","",Offerte!$C69)</f>
        <v/>
      </c>
      <c r="D2104" s="48" t="inlineStr">
        <is>
          <t>F.2.1</t>
        </is>
      </c>
      <c r="E2104" s="48" t="inlineStr">
        <is>
          <t>F</t>
        </is>
      </c>
      <c r="F2104" s="48" t="inlineStr">
        <is>
          <t>Q</t>
        </is>
      </c>
      <c r="G2104" s="48" t="inlineStr">
        <is>
          <t>higher</t>
        </is>
      </c>
      <c r="H2104" s="48" t="n">
        <v>2</v>
      </c>
      <c r="I2104" s="48" t="inlineStr">
        <is>
          <t>Tasso di copertura del servizio con dispositivi ECO-DRIVER</t>
        </is>
      </c>
      <c r="J2104" s="73" t="n"/>
      <c r="K2104" s="73" t="n"/>
      <c r="L2104" s="73" t="n"/>
      <c r="M2104" s="73" t="n"/>
      <c r="N2104" s="57">
        <f>IF($A2104="","",IFERROR(VALUE($K2104)/VALUE($L2104),IFERROR(VALUE($J2104),0)))</f>
        <v/>
      </c>
      <c r="O2104" s="57">
        <f>IF($A2104="",0,IF(OR($S2104&lt;&gt;1,COUNTA($J2104:$M2104)=0),0,IF(SUMPRODUCT(MAX(($C$5:$C$2484=$C2104)*($D$5:$D$2484=$D2104)*($S$5:$S$2484=1)*IFERROR($N$5:$N$2484*1,0)))&gt;0,ROUND($H2104*($N2104/SUMPRODUCT(MAX(($C$5:$C$2484=$C2104)*($D$5:$D$2484=$D2104)*($S$5:$S$2484=1)*IFERROR($N$5:$N$2484*1,0)))),4),0)))</f>
        <v/>
      </c>
      <c r="P2104" s="48" t="inlineStr">
        <is>
          <t>Autobus attrezzati con dispositivi ECO-DRIVER / Autobus totali in offerta, incluse scorte</t>
        </is>
      </c>
      <c r="Q2104" s="57">
        <f>IF($A2104="","",$A2104&amp;"|"&amp;$C2104)</f>
        <v/>
      </c>
      <c r="R2104" s="57">
        <f>IF($A2104="","",$A2104&amp;"|"&amp;$C2104&amp;"|"&amp;$D2104)</f>
        <v/>
      </c>
      <c r="S2104" s="57">
        <f>IF($A2104="","",IFERROR(INDEX(Offerte!$D$2:$D$81,MATCH($Q2104,Offerte!$L$2:$L$81,0)),0))</f>
        <v/>
      </c>
      <c r="T2104" s="57">
        <f>IF($A2104="","",IFERROR(INDEX(Offerte!$G$2:$G$81,MATCH($Q2104,Offerte!$L$2:$L$81,0)),"NO"))</f>
        <v/>
      </c>
    </row>
    <row r="2105">
      <c r="A2105" s="48">
        <f>IF(Offerte!$A69="","",Offerte!$A69)</f>
        <v/>
      </c>
      <c r="B2105" s="48">
        <f>IF(Offerte!$A69="","",Offerte!$B69)</f>
        <v/>
      </c>
      <c r="C2105" s="48">
        <f>IF(Offerte!$A69="","",Offerte!$C69)</f>
        <v/>
      </c>
      <c r="D2105" s="48" t="inlineStr">
        <is>
          <t>F.3.1</t>
        </is>
      </c>
      <c r="E2105" s="48" t="inlineStr">
        <is>
          <t>F</t>
        </is>
      </c>
      <c r="F2105" s="48" t="inlineStr">
        <is>
          <t>Q</t>
        </is>
      </c>
      <c r="G2105" s="48" t="inlineStr">
        <is>
          <t>higher</t>
        </is>
      </c>
      <c r="H2105" s="48" t="n">
        <v>2</v>
      </c>
      <c r="I2105" s="48" t="inlineStr">
        <is>
          <t>Autoproduzione consumi elettrici per trazione</t>
        </is>
      </c>
      <c r="J2105" s="73" t="n"/>
      <c r="K2105" s="73" t="n"/>
      <c r="L2105" s="73" t="n"/>
      <c r="M2105" s="73" t="n"/>
      <c r="N2105" s="57">
        <f>IF($A2105="","",IFERROR(VALUE($J2105),0))</f>
        <v/>
      </c>
      <c r="O2105" s="57">
        <f>IF($A2105="",0,IF(OR($S2105&lt;&gt;1,COUNTA($J2105:$M2105)=0),0,IF(SUMPRODUCT(MAX(($C$5:$C$2484=$C2105)*($D$5:$D$2484=$D2105)*($S$5:$S$2484=1)*IFERROR($N$5:$N$2484*1,0)))&gt;0,ROUND($H2105*($N2105/SUMPRODUCT(MAX(($C$5:$C$2484=$C2105)*($D$5:$D$2484=$D2105)*($S$5:$S$2484=1)*IFERROR($N$5:$N$2484*1,0)))),4),0)))</f>
        <v/>
      </c>
      <c r="P2105" s="48" t="inlineStr">
        <is>
          <t>kWh/anno</t>
        </is>
      </c>
      <c r="Q2105" s="57">
        <f>IF($A2105="","",$A2105&amp;"|"&amp;$C2105)</f>
        <v/>
      </c>
      <c r="R2105" s="57">
        <f>IF($A2105="","",$A2105&amp;"|"&amp;$C2105&amp;"|"&amp;$D2105)</f>
        <v/>
      </c>
      <c r="S2105" s="57">
        <f>IF($A2105="","",IFERROR(INDEX(Offerte!$D$2:$D$81,MATCH($Q2105,Offerte!$L$2:$L$81,0)),0))</f>
        <v/>
      </c>
      <c r="T2105" s="57">
        <f>IF($A2105="","",IFERROR(INDEX(Offerte!$G$2:$G$81,MATCH($Q2105,Offerte!$L$2:$L$81,0)),"NO"))</f>
        <v/>
      </c>
    </row>
    <row r="2106">
      <c r="A2106" s="48">
        <f>IF(Offerte!$A69="","",Offerte!$A69)</f>
        <v/>
      </c>
      <c r="B2106" s="48">
        <f>IF(Offerte!$A69="","",Offerte!$B69)</f>
        <v/>
      </c>
      <c r="C2106" s="48">
        <f>IF(Offerte!$A69="","",Offerte!$C69)</f>
        <v/>
      </c>
      <c r="D2106" s="48" t="inlineStr">
        <is>
          <t>F.4.1</t>
        </is>
      </c>
      <c r="E2106" s="48" t="inlineStr">
        <is>
          <t>F</t>
        </is>
      </c>
      <c r="F2106" s="48" t="inlineStr">
        <is>
          <t>Q</t>
        </is>
      </c>
      <c r="G2106" s="48" t="inlineStr">
        <is>
          <t>soil</t>
        </is>
      </c>
      <c r="H2106" s="48" t="n">
        <v>2</v>
      </c>
      <c r="I2106" s="48" t="inlineStr">
        <is>
          <t>Indice di consumo di suolo</t>
        </is>
      </c>
      <c r="J2106" s="73" t="n"/>
      <c r="K2106" s="73" t="n"/>
      <c r="L2106" s="73" t="n"/>
      <c r="M2106" s="73" t="n"/>
      <c r="N2106" s="57">
        <f>IF($A2106="","",IFERROR(VALUE($J2106),0))</f>
        <v/>
      </c>
      <c r="O2106" s="57">
        <f>IF($A2106="",0,IF(OR($S2106&lt;&gt;1,COUNTA($J2106:$M2106)=0),0,IF($N2106&lt;=0,$H2106,IF(SUMPRODUCT(MAX(($C$5:$C$2484=$C2106)*($D$5:$D$2484=$D2106)*($S$5:$S$2484=1)*IFERROR($N$5:$N$2484*1,0)))&gt;0,ROUND($H2106*((SUMPRODUCT(MAX(($C$5:$C$2484=$C2106)*($D$5:$D$2484=$D2106)*($S$5:$S$2484=1)*IFERROR($N$5:$N$2484*1,0)))-$N2106)/SUMPRODUCT(MAX(($C$5:$C$2484=$C2106)*($D$5:$D$2484=$D2106)*($S$5:$S$2484=1)*IFERROR($N$5:$N$2484*1,0)))),4),0))))</f>
        <v/>
      </c>
      <c r="P2106" s="48" t="inlineStr">
        <is>
          <t>m2</t>
        </is>
      </c>
      <c r="Q2106" s="57">
        <f>IF($A2106="","",$A2106&amp;"|"&amp;$C2106)</f>
        <v/>
      </c>
      <c r="R2106" s="57">
        <f>IF($A2106="","",$A2106&amp;"|"&amp;$C2106&amp;"|"&amp;$D2106)</f>
        <v/>
      </c>
      <c r="S2106" s="57">
        <f>IF($A2106="","",IFERROR(INDEX(Offerte!$D$2:$D$81,MATCH($Q2106,Offerte!$L$2:$L$81,0)),0))</f>
        <v/>
      </c>
      <c r="T2106" s="57">
        <f>IF($A2106="","",IFERROR(INDEX(Offerte!$G$2:$G$81,MATCH($Q2106,Offerte!$L$2:$L$81,0)),"NO"))</f>
        <v/>
      </c>
    </row>
    <row r="2107">
      <c r="A2107" s="48">
        <f>IF(Offerte!$A69="","",Offerte!$A69)</f>
        <v/>
      </c>
      <c r="B2107" s="48">
        <f>IF(Offerte!$A69="","",Offerte!$B69)</f>
        <v/>
      </c>
      <c r="C2107" s="48">
        <f>IF(Offerte!$A69="","",Offerte!$C69)</f>
        <v/>
      </c>
      <c r="D2107" s="48" t="inlineStr">
        <is>
          <t>F.5.1</t>
        </is>
      </c>
      <c r="E2107" s="48" t="inlineStr">
        <is>
          <t>F</t>
        </is>
      </c>
      <c r="F2107" s="48" t="inlineStr">
        <is>
          <t>T</t>
        </is>
      </c>
      <c r="G2107" s="48" t="inlineStr">
        <is>
          <t>tabular</t>
        </is>
      </c>
      <c r="H2107" s="48" t="n">
        <v>1</v>
      </c>
      <c r="I2107" s="48" t="inlineStr">
        <is>
          <t>Rendicontazione di sostenibilità ambientale</t>
        </is>
      </c>
      <c r="J2107" s="73" t="n"/>
      <c r="K2107" s="73" t="n"/>
      <c r="L2107" s="73" t="n"/>
      <c r="M2107" s="73" t="n"/>
      <c r="N2107" s="57">
        <f>IF($A2107="","",IF(IFERROR(VALUE($M2107),0)=1,1,0))</f>
        <v/>
      </c>
      <c r="O2107" s="57">
        <f>IF($A2107="",0,IF(OR($S2107&lt;&gt;1,COUNTA($J2107:$M2107)=0),0,IF($N2107=1,$H2107,0)))</f>
        <v/>
      </c>
      <c r="P2107" s="48" t="inlineStr">
        <is>
          <t>sì/no</t>
        </is>
      </c>
      <c r="Q2107" s="57">
        <f>IF($A2107="","",$A2107&amp;"|"&amp;$C2107)</f>
        <v/>
      </c>
      <c r="R2107" s="57">
        <f>IF($A2107="","",$A2107&amp;"|"&amp;$C2107&amp;"|"&amp;$D2107)</f>
        <v/>
      </c>
      <c r="S2107" s="57">
        <f>IF($A2107="","",IFERROR(INDEX(Offerte!$D$2:$D$81,MATCH($Q2107,Offerte!$L$2:$L$81,0)),0))</f>
        <v/>
      </c>
      <c r="T2107" s="57">
        <f>IF($A2107="","",IFERROR(INDEX(Offerte!$G$2:$G$81,MATCH($Q2107,Offerte!$L$2:$L$81,0)),"NO"))</f>
        <v/>
      </c>
    </row>
    <row r="2108">
      <c r="A2108" s="48">
        <f>IF(Offerte!$A69="","",Offerte!$A69)</f>
        <v/>
      </c>
      <c r="B2108" s="48">
        <f>IF(Offerte!$A69="","",Offerte!$B69)</f>
        <v/>
      </c>
      <c r="C2108" s="48">
        <f>IF(Offerte!$A69="","",Offerte!$C69)</f>
        <v/>
      </c>
      <c r="D2108" s="48" t="inlineStr">
        <is>
          <t>G.1.1</t>
        </is>
      </c>
      <c r="E2108" s="48" t="inlineStr">
        <is>
          <t>G</t>
        </is>
      </c>
      <c r="F2108" s="48" t="inlineStr">
        <is>
          <t>D</t>
        </is>
      </c>
      <c r="G2108" s="48" t="inlineStr">
        <is>
          <t>discretionary</t>
        </is>
      </c>
      <c r="H2108" s="48" t="n">
        <v>2</v>
      </c>
      <c r="I2108" s="48" t="inlineStr">
        <is>
          <t>Qualità del progetto di centrale di controllo aziendale</t>
        </is>
      </c>
      <c r="J2108" s="73" t="n"/>
      <c r="K2108" s="73" t="n"/>
      <c r="L2108" s="73" t="n"/>
      <c r="M2108" s="73" t="n"/>
      <c r="N2108" s="57">
        <f>IF($A2108="","",MAX(0,MIN(1,IFERROR(VALUE($M2108),0))))</f>
        <v/>
      </c>
      <c r="O2108" s="57">
        <f>IF($A2108="",0,IF(OR($S2108&lt;&gt;1,COUNTA($J2108:$M2108)=0),0,IF(SUMPRODUCT(MAX(($C$5:$C$2484=$C2108)*($D$5:$D$2484=$D2108)*($S$5:$S$2484=1)*IFERROR($N$5:$N$2484*1,0)))&gt;0,ROUND($H2108*($N2108/SUMPRODUCT(MAX(($C$5:$C$2484=$C2108)*($D$5:$D$2484=$D2108)*($S$5:$S$2484=1)*IFERROR($N$5:$N$2484*1,0)))),4),0)))</f>
        <v/>
      </c>
      <c r="P2108" s="48" t="inlineStr">
        <is>
          <t>coeff.</t>
        </is>
      </c>
      <c r="Q2108" s="57">
        <f>IF($A2108="","",$A2108&amp;"|"&amp;$C2108)</f>
        <v/>
      </c>
      <c r="R2108" s="57">
        <f>IF($A2108="","",$A2108&amp;"|"&amp;$C2108&amp;"|"&amp;$D2108)</f>
        <v/>
      </c>
      <c r="S2108" s="57">
        <f>IF($A2108="","",IFERROR(INDEX(Offerte!$D$2:$D$81,MATCH($Q2108,Offerte!$L$2:$L$81,0)),0))</f>
        <v/>
      </c>
      <c r="T2108" s="57">
        <f>IF($A2108="","",IFERROR(INDEX(Offerte!$G$2:$G$81,MATCH($Q2108,Offerte!$L$2:$L$81,0)),"NO"))</f>
        <v/>
      </c>
    </row>
    <row r="2109">
      <c r="A2109" s="48">
        <f>IF(Offerte!$A69="","",Offerte!$A69)</f>
        <v/>
      </c>
      <c r="B2109" s="48">
        <f>IF(Offerte!$A69="","",Offerte!$B69)</f>
        <v/>
      </c>
      <c r="C2109" s="48">
        <f>IF(Offerte!$A69="","",Offerte!$C69)</f>
        <v/>
      </c>
      <c r="D2109" s="48" t="inlineStr">
        <is>
          <t>G.2.1</t>
        </is>
      </c>
      <c r="E2109" s="48" t="inlineStr">
        <is>
          <t>G</t>
        </is>
      </c>
      <c r="F2109" s="48" t="inlineStr">
        <is>
          <t>T</t>
        </is>
      </c>
      <c r="G2109" s="48" t="inlineStr">
        <is>
          <t>tabular</t>
        </is>
      </c>
      <c r="H2109" s="48" t="n">
        <v>1</v>
      </c>
      <c r="I2109" s="48" t="inlineStr">
        <is>
          <t>Certificazione ISO 45001</t>
        </is>
      </c>
      <c r="J2109" s="73" t="n"/>
      <c r="K2109" s="73" t="n"/>
      <c r="L2109" s="73" t="n"/>
      <c r="M2109" s="73" t="n"/>
      <c r="N2109" s="57">
        <f>IF($A2109="","",IF(IFERROR(VALUE($M2109),0)=1,1,0))</f>
        <v/>
      </c>
      <c r="O2109" s="57">
        <f>IF($A2109="",0,IF(OR($S2109&lt;&gt;1,COUNTA($J2109:$M2109)=0),0,IF($N2109=1,$H2109,0)))</f>
        <v/>
      </c>
      <c r="P2109" s="48" t="inlineStr">
        <is>
          <t>sì/no</t>
        </is>
      </c>
      <c r="Q2109" s="57">
        <f>IF($A2109="","",$A2109&amp;"|"&amp;$C2109)</f>
        <v/>
      </c>
      <c r="R2109" s="57">
        <f>IF($A2109="","",$A2109&amp;"|"&amp;$C2109&amp;"|"&amp;$D2109)</f>
        <v/>
      </c>
      <c r="S2109" s="57">
        <f>IF($A2109="","",IFERROR(INDEX(Offerte!$D$2:$D$81,MATCH($Q2109,Offerte!$L$2:$L$81,0)),0))</f>
        <v/>
      </c>
      <c r="T2109" s="57">
        <f>IF($A2109="","",IFERROR(INDEX(Offerte!$G$2:$G$81,MATCH($Q2109,Offerte!$L$2:$L$81,0)),"NO"))</f>
        <v/>
      </c>
    </row>
    <row r="2110">
      <c r="A2110" s="48">
        <f>IF(Offerte!$A69="","",Offerte!$A69)</f>
        <v/>
      </c>
      <c r="B2110" s="48">
        <f>IF(Offerte!$A69="","",Offerte!$B69)</f>
        <v/>
      </c>
      <c r="C2110" s="48">
        <f>IF(Offerte!$A69="","",Offerte!$C69)</f>
        <v/>
      </c>
      <c r="D2110" s="48" t="inlineStr">
        <is>
          <t>G.3.1</t>
        </is>
      </c>
      <c r="E2110" s="48" t="inlineStr">
        <is>
          <t>G</t>
        </is>
      </c>
      <c r="F2110" s="48" t="inlineStr">
        <is>
          <t>T</t>
        </is>
      </c>
      <c r="G2110" s="48" t="inlineStr">
        <is>
          <t>tabular</t>
        </is>
      </c>
      <c r="H2110" s="48" t="n">
        <v>1</v>
      </c>
      <c r="I2110" s="48" t="inlineStr">
        <is>
          <t>Certificazioni di responsabilità sociale</t>
        </is>
      </c>
      <c r="J2110" s="73" t="n"/>
      <c r="K2110" s="73" t="n"/>
      <c r="L2110" s="73" t="n"/>
      <c r="M2110" s="73" t="n"/>
      <c r="N2110" s="57">
        <f>IF($A2110="","",IF(IFERROR(VALUE($M2110),0)=1,1,0))</f>
        <v/>
      </c>
      <c r="O2110" s="57">
        <f>IF($A2110="",0,IF(OR($S2110&lt;&gt;1,COUNTA($J2110:$M2110)=0),0,IF($N2110=1,$H2110,0)))</f>
        <v/>
      </c>
      <c r="P2110" s="48" t="inlineStr">
        <is>
          <t>sì/no</t>
        </is>
      </c>
      <c r="Q2110" s="57">
        <f>IF($A2110="","",$A2110&amp;"|"&amp;$C2110)</f>
        <v/>
      </c>
      <c r="R2110" s="57">
        <f>IF($A2110="","",$A2110&amp;"|"&amp;$C2110&amp;"|"&amp;$D2110)</f>
        <v/>
      </c>
      <c r="S2110" s="57">
        <f>IF($A2110="","",IFERROR(INDEX(Offerte!$D$2:$D$81,MATCH($Q2110,Offerte!$L$2:$L$81,0)),0))</f>
        <v/>
      </c>
      <c r="T2110" s="57">
        <f>IF($A2110="","",IFERROR(INDEX(Offerte!$G$2:$G$81,MATCH($Q2110,Offerte!$L$2:$L$81,0)),"NO"))</f>
        <v/>
      </c>
    </row>
    <row r="2111">
      <c r="A2111" s="48">
        <f>IF(Offerte!$A69="","",Offerte!$A69)</f>
        <v/>
      </c>
      <c r="B2111" s="48">
        <f>IF(Offerte!$A69="","",Offerte!$B69)</f>
        <v/>
      </c>
      <c r="C2111" s="48">
        <f>IF(Offerte!$A69="","",Offerte!$C69)</f>
        <v/>
      </c>
      <c r="D2111" s="48" t="inlineStr">
        <is>
          <t>G.4.1</t>
        </is>
      </c>
      <c r="E2111" s="48" t="inlineStr">
        <is>
          <t>G</t>
        </is>
      </c>
      <c r="F2111" s="48" t="inlineStr">
        <is>
          <t>D</t>
        </is>
      </c>
      <c r="G2111" s="48" t="inlineStr">
        <is>
          <t>discretionary</t>
        </is>
      </c>
      <c r="H2111" s="48" t="n">
        <v>2</v>
      </c>
      <c r="I2111" s="48" t="inlineStr">
        <is>
          <t>Qualità del piano di formazione del personale</t>
        </is>
      </c>
      <c r="J2111" s="73" t="n"/>
      <c r="K2111" s="73" t="n"/>
      <c r="L2111" s="73" t="n"/>
      <c r="M2111" s="73" t="n"/>
      <c r="N2111" s="57">
        <f>IF($A2111="","",MAX(0,MIN(1,IFERROR(VALUE($M2111),0))))</f>
        <v/>
      </c>
      <c r="O2111" s="57">
        <f>IF($A2111="",0,IF(OR($S2111&lt;&gt;1,COUNTA($J2111:$M2111)=0),0,IF(SUMPRODUCT(MAX(($C$5:$C$2484=$C2111)*($D$5:$D$2484=$D2111)*($S$5:$S$2484=1)*IFERROR($N$5:$N$2484*1,0)))&gt;0,ROUND($H2111*($N2111/SUMPRODUCT(MAX(($C$5:$C$2484=$C2111)*($D$5:$D$2484=$D2111)*($S$5:$S$2484=1)*IFERROR($N$5:$N$2484*1,0)))),4),0)))</f>
        <v/>
      </c>
      <c r="P2111" s="48" t="inlineStr">
        <is>
          <t>coeff.</t>
        </is>
      </c>
      <c r="Q2111" s="57">
        <f>IF($A2111="","",$A2111&amp;"|"&amp;$C2111)</f>
        <v/>
      </c>
      <c r="R2111" s="57">
        <f>IF($A2111="","",$A2111&amp;"|"&amp;$C2111&amp;"|"&amp;$D2111)</f>
        <v/>
      </c>
      <c r="S2111" s="57">
        <f>IF($A2111="","",IFERROR(INDEX(Offerte!$D$2:$D$81,MATCH($Q2111,Offerte!$L$2:$L$81,0)),0))</f>
        <v/>
      </c>
      <c r="T2111" s="57">
        <f>IF($A2111="","",IFERROR(INDEX(Offerte!$G$2:$G$81,MATCH($Q2111,Offerte!$L$2:$L$81,0)),"NO"))</f>
        <v/>
      </c>
    </row>
    <row r="2112">
      <c r="A2112" s="48">
        <f>IF(Offerte!$A69="","",Offerte!$A69)</f>
        <v/>
      </c>
      <c r="B2112" s="48">
        <f>IF(Offerte!$A69="","",Offerte!$B69)</f>
        <v/>
      </c>
      <c r="C2112" s="48">
        <f>IF(Offerte!$A69="","",Offerte!$C69)</f>
        <v/>
      </c>
      <c r="D2112" s="48" t="inlineStr">
        <is>
          <t>G.5.1</t>
        </is>
      </c>
      <c r="E2112" s="48" t="inlineStr">
        <is>
          <t>G</t>
        </is>
      </c>
      <c r="F2112" s="48" t="inlineStr">
        <is>
          <t>T</t>
        </is>
      </c>
      <c r="G2112" s="48" t="inlineStr">
        <is>
          <t>tabular</t>
        </is>
      </c>
      <c r="H2112" s="48" t="n">
        <v>1</v>
      </c>
      <c r="I2112" s="48" t="inlineStr">
        <is>
          <t>Impegno al mantenimento delle garanzie del contratto di secondo livello del gestore uscente</t>
        </is>
      </c>
      <c r="J2112" s="73" t="n"/>
      <c r="K2112" s="73" t="n"/>
      <c r="L2112" s="73" t="n"/>
      <c r="M2112" s="73" t="n"/>
      <c r="N2112" s="57">
        <f>IF($A2112="","",IF(IFERROR(VALUE($M2112),0)=1,1,0))</f>
        <v/>
      </c>
      <c r="O2112" s="57">
        <f>IF($A2112="",0,IF(OR($S2112&lt;&gt;1,COUNTA($J2112:$M2112)=0),0,IF($N2112=1,$H2112,0)))</f>
        <v/>
      </c>
      <c r="P2112" s="48" t="inlineStr">
        <is>
          <t>sì/no</t>
        </is>
      </c>
      <c r="Q2112" s="57">
        <f>IF($A2112="","",$A2112&amp;"|"&amp;$C2112)</f>
        <v/>
      </c>
      <c r="R2112" s="57">
        <f>IF($A2112="","",$A2112&amp;"|"&amp;$C2112&amp;"|"&amp;$D2112)</f>
        <v/>
      </c>
      <c r="S2112" s="57">
        <f>IF($A2112="","",IFERROR(INDEX(Offerte!$D$2:$D$81,MATCH($Q2112,Offerte!$L$2:$L$81,0)),0))</f>
        <v/>
      </c>
      <c r="T2112" s="57">
        <f>IF($A2112="","",IFERROR(INDEX(Offerte!$G$2:$G$81,MATCH($Q2112,Offerte!$L$2:$L$81,0)),"NO"))</f>
        <v/>
      </c>
    </row>
    <row r="2113">
      <c r="A2113" s="48">
        <f>IF(Offerte!$A70="","",Offerte!$A70)</f>
        <v/>
      </c>
      <c r="B2113" s="48">
        <f>IF(Offerte!$A70="","",Offerte!$B70)</f>
        <v/>
      </c>
      <c r="C2113" s="48">
        <f>IF(Offerte!$A70="","",Offerte!$C70)</f>
        <v/>
      </c>
      <c r="D2113" s="48" t="inlineStr">
        <is>
          <t>A.1.1</t>
        </is>
      </c>
      <c r="E2113" s="48" t="inlineStr">
        <is>
          <t>A</t>
        </is>
      </c>
      <c r="F2113" s="48" t="inlineStr">
        <is>
          <t>Q</t>
        </is>
      </c>
      <c r="G2113" s="48" t="inlineStr">
        <is>
          <t>higher</t>
        </is>
      </c>
      <c r="H2113" s="48" t="n">
        <v>3</v>
      </c>
      <c r="I2113" s="48" t="inlineStr">
        <is>
          <t>Tasso aggiuntivo di corse controllate</t>
        </is>
      </c>
      <c r="J2113" s="73" t="n"/>
      <c r="K2113" s="73" t="n"/>
      <c r="L2113" s="73" t="n"/>
      <c r="M2113" s="73" t="n"/>
      <c r="N2113" s="57">
        <f>IF($A2113="","",IFERROR(VALUE($K2113)/VALUE($L2113)*100,IFERROR(VALUE($J2113),0)))</f>
        <v/>
      </c>
      <c r="O2113" s="57">
        <f>IF($A2113="",0,IF(OR($S2113&lt;&gt;1,COUNTA($J2113:$M2113)=0),0,IF(SUMPRODUCT(MAX(($C$5:$C$2484=$C2113)*($D$5:$D$2484=$D2113)*($S$5:$S$2484=1)*IFERROR($N$5:$N$2484*1,0)))&gt;0,ROUND($H2113*($N2113/SUMPRODUCT(MAX(($C$5:$C$2484=$C2113)*($D$5:$D$2484=$D2113)*($S$5:$S$2484=1)*IFERROR($N$5:$N$2484*1,0)))),4),0)))</f>
        <v/>
      </c>
      <c r="P2113" s="48" t="inlineStr">
        <is>
          <t>Corse controllate annue / Corse programmate annue</t>
        </is>
      </c>
      <c r="Q2113" s="57">
        <f>IF($A2113="","",$A2113&amp;"|"&amp;$C2113)</f>
        <v/>
      </c>
      <c r="R2113" s="57">
        <f>IF($A2113="","",$A2113&amp;"|"&amp;$C2113&amp;"|"&amp;$D2113)</f>
        <v/>
      </c>
      <c r="S2113" s="57">
        <f>IF($A2113="","",IFERROR(INDEX(Offerte!$D$2:$D$81,MATCH($Q2113,Offerte!$L$2:$L$81,0)),0))</f>
        <v/>
      </c>
      <c r="T2113" s="57">
        <f>IF($A2113="","",IFERROR(INDEX(Offerte!$G$2:$G$81,MATCH($Q2113,Offerte!$L$2:$L$81,0)),"NO"))</f>
        <v/>
      </c>
    </row>
    <row r="2114">
      <c r="A2114" s="48">
        <f>IF(Offerte!$A70="","",Offerte!$A70)</f>
        <v/>
      </c>
      <c r="B2114" s="48">
        <f>IF(Offerte!$A70="","",Offerte!$B70)</f>
        <v/>
      </c>
      <c r="C2114" s="48">
        <f>IF(Offerte!$A70="","",Offerte!$C70)</f>
        <v/>
      </c>
      <c r="D2114" s="48" t="inlineStr">
        <is>
          <t>A.1.2</t>
        </is>
      </c>
      <c r="E2114" s="48" t="inlineStr">
        <is>
          <t>A</t>
        </is>
      </c>
      <c r="F2114" s="48" t="inlineStr">
        <is>
          <t>Q</t>
        </is>
      </c>
      <c r="G2114" s="48" t="inlineStr">
        <is>
          <t>higher</t>
        </is>
      </c>
      <c r="H2114" s="48" t="n">
        <v>4</v>
      </c>
      <c r="I2114" s="48" t="inlineStr">
        <is>
          <t>Numero aggiuntivo di passeggeri controllati</t>
        </is>
      </c>
      <c r="J2114" s="73" t="n"/>
      <c r="K2114" s="73" t="n"/>
      <c r="L2114" s="73" t="n"/>
      <c r="M2114" s="73" t="n"/>
      <c r="N2114" s="57">
        <f>IF($A2114="","",IFERROR(VALUE($J2114),0))</f>
        <v/>
      </c>
      <c r="O2114" s="57">
        <f>IF($A2114="",0,IF(OR($S2114&lt;&gt;1,COUNTA($J2114:$M2114)=0),0,IF(SUMPRODUCT(MAX(($C$5:$C$2484=$C2114)*($D$5:$D$2484=$D2114)*($S$5:$S$2484=1)*IFERROR($N$5:$N$2484*1,0)))&gt;0,ROUND($H2114*($N2114/SUMPRODUCT(MAX(($C$5:$C$2484=$C2114)*($D$5:$D$2484=$D2114)*($S$5:$S$2484=1)*IFERROR($N$5:$N$2484*1,0)))),4),0)))</f>
        <v/>
      </c>
      <c r="P2114" s="48" t="inlineStr">
        <is>
          <t>passeggeri/anno</t>
        </is>
      </c>
      <c r="Q2114" s="57">
        <f>IF($A2114="","",$A2114&amp;"|"&amp;$C2114)</f>
        <v/>
      </c>
      <c r="R2114" s="57">
        <f>IF($A2114="","",$A2114&amp;"|"&amp;$C2114&amp;"|"&amp;$D2114)</f>
        <v/>
      </c>
      <c r="S2114" s="57">
        <f>IF($A2114="","",IFERROR(INDEX(Offerte!$D$2:$D$81,MATCH($Q2114,Offerte!$L$2:$L$81,0)),0))</f>
        <v/>
      </c>
      <c r="T2114" s="57">
        <f>IF($A2114="","",IFERROR(INDEX(Offerte!$G$2:$G$81,MATCH($Q2114,Offerte!$L$2:$L$81,0)),"NO"))</f>
        <v/>
      </c>
    </row>
    <row r="2115">
      <c r="A2115" s="48">
        <f>IF(Offerte!$A70="","",Offerte!$A70)</f>
        <v/>
      </c>
      <c r="B2115" s="48">
        <f>IF(Offerte!$A70="","",Offerte!$B70)</f>
        <v/>
      </c>
      <c r="C2115" s="48">
        <f>IF(Offerte!$A70="","",Offerte!$C70)</f>
        <v/>
      </c>
      <c r="D2115" s="48" t="inlineStr">
        <is>
          <t>B.1.1</t>
        </is>
      </c>
      <c r="E2115" s="48" t="inlineStr">
        <is>
          <t>B</t>
        </is>
      </c>
      <c r="F2115" s="48" t="inlineStr">
        <is>
          <t>Q</t>
        </is>
      </c>
      <c r="G2115" s="48" t="inlineStr">
        <is>
          <t>higher</t>
        </is>
      </c>
      <c r="H2115" s="48" t="n">
        <v>3</v>
      </c>
      <c r="I2115" s="48" t="inlineStr">
        <is>
          <t>Incremento dei posti offerti nelle fasce di punta</t>
        </is>
      </c>
      <c r="J2115" s="73" t="n"/>
      <c r="K2115" s="73" t="n"/>
      <c r="L2115" s="73" t="n"/>
      <c r="M2115" s="73" t="n"/>
      <c r="N2115" s="57">
        <f>IF($A2115="","",IFERROR(VALUE($J2115),0))</f>
        <v/>
      </c>
      <c r="O2115" s="57">
        <f>IF($A2115="",0,IF(OR($S2115&lt;&gt;1,COUNTA($J2115:$M2115)=0),0,IF(SUMPRODUCT(MAX(($C$5:$C$2484=$C2115)*($D$5:$D$2484=$D2115)*($S$5:$S$2484=1)*IFERROR($N$5:$N$2484*1,0)))&gt;0,ROUND($H2115*($N2115/SUMPRODUCT(MAX(($C$5:$C$2484=$C2115)*($D$5:$D$2484=$D2115)*($S$5:$S$2484=1)*IFERROR($N$5:$N$2484*1,0)))),4),0)))</f>
        <v/>
      </c>
      <c r="P2115" s="48" t="inlineStr">
        <is>
          <t>posti*km</t>
        </is>
      </c>
      <c r="Q2115" s="57">
        <f>IF($A2115="","",$A2115&amp;"|"&amp;$C2115)</f>
        <v/>
      </c>
      <c r="R2115" s="57">
        <f>IF($A2115="","",$A2115&amp;"|"&amp;$C2115&amp;"|"&amp;$D2115)</f>
        <v/>
      </c>
      <c r="S2115" s="57">
        <f>IF($A2115="","",IFERROR(INDEX(Offerte!$D$2:$D$81,MATCH($Q2115,Offerte!$L$2:$L$81,0)),0))</f>
        <v/>
      </c>
      <c r="T2115" s="57">
        <f>IF($A2115="","",IFERROR(INDEX(Offerte!$G$2:$G$81,MATCH($Q2115,Offerte!$L$2:$L$81,0)),"NO"))</f>
        <v/>
      </c>
    </row>
    <row r="2116">
      <c r="A2116" s="48">
        <f>IF(Offerte!$A70="","",Offerte!$A70)</f>
        <v/>
      </c>
      <c r="B2116" s="48">
        <f>IF(Offerte!$A70="","",Offerte!$B70)</f>
        <v/>
      </c>
      <c r="C2116" s="48">
        <f>IF(Offerte!$A70="","",Offerte!$C70)</f>
        <v/>
      </c>
      <c r="D2116" s="48" t="inlineStr">
        <is>
          <t>B.2.1</t>
        </is>
      </c>
      <c r="E2116" s="48" t="inlineStr">
        <is>
          <t>B</t>
        </is>
      </c>
      <c r="F2116" s="48" t="inlineStr">
        <is>
          <t>Q</t>
        </is>
      </c>
      <c r="G2116" s="48" t="inlineStr">
        <is>
          <t>higher</t>
        </is>
      </c>
      <c r="H2116" s="48" t="n">
        <v>4</v>
      </c>
      <c r="I2116" s="48" t="inlineStr">
        <is>
          <t>Corse aggiuntive nell'arco giornaliero base</t>
        </is>
      </c>
      <c r="J2116" s="73" t="n"/>
      <c r="K2116" s="73" t="n"/>
      <c r="L2116" s="73" t="n"/>
      <c r="M2116" s="73" t="n"/>
      <c r="N2116" s="57">
        <f>IF($A2116="","",IFERROR(VALUE($J2116),0))</f>
        <v/>
      </c>
      <c r="O2116" s="57">
        <f>IF($A2116="",0,IF(OR($S2116&lt;&gt;1,COUNTA($J2116:$M2116)=0),0,IF(SUMPRODUCT(MAX(($C$5:$C$2484=$C2116)*($D$5:$D$2484=$D2116)*($S$5:$S$2484=1)*IFERROR($N$5:$N$2484*1,0)))&gt;0,ROUND($H2116*($N2116/SUMPRODUCT(MAX(($C$5:$C$2484=$C2116)*($D$5:$D$2484=$D2116)*($S$5:$S$2484=1)*IFERROR($N$5:$N$2484*1,0)))),4),0)))</f>
        <v/>
      </c>
      <c r="P2116" s="48" t="inlineStr">
        <is>
          <t>corse</t>
        </is>
      </c>
      <c r="Q2116" s="57">
        <f>IF($A2116="","",$A2116&amp;"|"&amp;$C2116)</f>
        <v/>
      </c>
      <c r="R2116" s="57">
        <f>IF($A2116="","",$A2116&amp;"|"&amp;$C2116&amp;"|"&amp;$D2116)</f>
        <v/>
      </c>
      <c r="S2116" s="57">
        <f>IF($A2116="","",IFERROR(INDEX(Offerte!$D$2:$D$81,MATCH($Q2116,Offerte!$L$2:$L$81,0)),0))</f>
        <v/>
      </c>
      <c r="T2116" s="57">
        <f>IF($A2116="","",IFERROR(INDEX(Offerte!$G$2:$G$81,MATCH($Q2116,Offerte!$L$2:$L$81,0)),"NO"))</f>
        <v/>
      </c>
    </row>
    <row r="2117">
      <c r="A2117" s="48">
        <f>IF(Offerte!$A70="","",Offerte!$A70)</f>
        <v/>
      </c>
      <c r="B2117" s="48">
        <f>IF(Offerte!$A70="","",Offerte!$B70)</f>
        <v/>
      </c>
      <c r="C2117" s="48">
        <f>IF(Offerte!$A70="","",Offerte!$C70)</f>
        <v/>
      </c>
      <c r="D2117" s="48" t="inlineStr">
        <is>
          <t>B.3.1</t>
        </is>
      </c>
      <c r="E2117" s="48" t="inlineStr">
        <is>
          <t>B</t>
        </is>
      </c>
      <c r="F2117" s="48" t="inlineStr">
        <is>
          <t>Q</t>
        </is>
      </c>
      <c r="G2117" s="48" t="inlineStr">
        <is>
          <t>higher</t>
        </is>
      </c>
      <c r="H2117" s="48" t="n">
        <v>2</v>
      </c>
      <c r="I2117" s="48" t="inlineStr">
        <is>
          <t>Numero di corse aggiuntive per allungamento dell'arco di servizio giornaliero nelle fasce serali</t>
        </is>
      </c>
      <c r="J2117" s="73" t="n"/>
      <c r="K2117" s="73" t="n"/>
      <c r="L2117" s="73" t="n"/>
      <c r="M2117" s="73" t="n"/>
      <c r="N2117" s="57">
        <f>IF($A2117="","",IFERROR(VALUE($J2117),0))</f>
        <v/>
      </c>
      <c r="O2117" s="57">
        <f>IF($A2117="",0,IF(OR($S2117&lt;&gt;1,COUNTA($J2117:$M2117)=0),0,IF(SUMPRODUCT(MAX(($C$5:$C$2484=$C2117)*($D$5:$D$2484=$D2117)*($S$5:$S$2484=1)*IFERROR($N$5:$N$2484*1,0)))&gt;0,ROUND($H2117*($N2117/SUMPRODUCT(MAX(($C$5:$C$2484=$C2117)*($D$5:$D$2484=$D2117)*($S$5:$S$2484=1)*IFERROR($N$5:$N$2484*1,0)))),4),0)))</f>
        <v/>
      </c>
      <c r="P2117" s="48" t="inlineStr">
        <is>
          <t>corse</t>
        </is>
      </c>
      <c r="Q2117" s="57">
        <f>IF($A2117="","",$A2117&amp;"|"&amp;$C2117)</f>
        <v/>
      </c>
      <c r="R2117" s="57">
        <f>IF($A2117="","",$A2117&amp;"|"&amp;$C2117&amp;"|"&amp;$D2117)</f>
        <v/>
      </c>
      <c r="S2117" s="57">
        <f>IF($A2117="","",IFERROR(INDEX(Offerte!$D$2:$D$81,MATCH($Q2117,Offerte!$L$2:$L$81,0)),0))</f>
        <v/>
      </c>
      <c r="T2117" s="57">
        <f>IF($A2117="","",IFERROR(INDEX(Offerte!$G$2:$G$81,MATCH($Q2117,Offerte!$L$2:$L$81,0)),"NO"))</f>
        <v/>
      </c>
    </row>
    <row r="2118">
      <c r="A2118" s="48">
        <f>IF(Offerte!$A70="","",Offerte!$A70)</f>
        <v/>
      </c>
      <c r="B2118" s="48">
        <f>IF(Offerte!$A70="","",Offerte!$B70)</f>
        <v/>
      </c>
      <c r="C2118" s="48">
        <f>IF(Offerte!$A70="","",Offerte!$C70)</f>
        <v/>
      </c>
      <c r="D2118" s="48" t="inlineStr">
        <is>
          <t>B.4.1</t>
        </is>
      </c>
      <c r="E2118" s="48" t="inlineStr">
        <is>
          <t>B</t>
        </is>
      </c>
      <c r="F2118" s="48" t="inlineStr">
        <is>
          <t>Q</t>
        </is>
      </c>
      <c r="G2118" s="48" t="inlineStr">
        <is>
          <t>higher</t>
        </is>
      </c>
      <c r="H2118" s="48" t="n">
        <v>3</v>
      </c>
      <c r="I2118" s="48" t="inlineStr">
        <is>
          <t>Percorrenze aggiuntive offerte nel Programma d'esercizio delle prime due fasi attuative</t>
        </is>
      </c>
      <c r="J2118" s="73" t="n"/>
      <c r="K2118" s="73" t="n"/>
      <c r="L2118" s="73" t="n"/>
      <c r="M2118" s="73" t="n"/>
      <c r="N2118" s="57">
        <f>IF($A2118="","",IFERROR(VALUE($J2118),0))</f>
        <v/>
      </c>
      <c r="O2118" s="57">
        <f>IF($A2118="",0,IF(OR($S2118&lt;&gt;1,COUNTA($J2118:$M2118)=0),0,IF(SUMPRODUCT(MAX(($C$5:$C$2484=$C2118)*($D$5:$D$2484=$D2118)*($S$5:$S$2484=1)*IFERROR($N$5:$N$2484*1,0)))&gt;0,ROUND($H2118*($N2118/SUMPRODUCT(MAX(($C$5:$C$2484=$C2118)*($D$5:$D$2484=$D2118)*($S$5:$S$2484=1)*IFERROR($N$5:$N$2484*1,0)))),4),0)))</f>
        <v/>
      </c>
      <c r="P2118" s="48" t="inlineStr">
        <is>
          <t>vett*km</t>
        </is>
      </c>
      <c r="Q2118" s="57">
        <f>IF($A2118="","",$A2118&amp;"|"&amp;$C2118)</f>
        <v/>
      </c>
      <c r="R2118" s="57">
        <f>IF($A2118="","",$A2118&amp;"|"&amp;$C2118&amp;"|"&amp;$D2118)</f>
        <v/>
      </c>
      <c r="S2118" s="57">
        <f>IF($A2118="","",IFERROR(INDEX(Offerte!$D$2:$D$81,MATCH($Q2118,Offerte!$L$2:$L$81,0)),0))</f>
        <v/>
      </c>
      <c r="T2118" s="57">
        <f>IF($A2118="","",IFERROR(INDEX(Offerte!$G$2:$G$81,MATCH($Q2118,Offerte!$L$2:$L$81,0)),"NO"))</f>
        <v/>
      </c>
    </row>
    <row r="2119">
      <c r="A2119" s="48">
        <f>IF(Offerte!$A70="","",Offerte!$A70)</f>
        <v/>
      </c>
      <c r="B2119" s="48">
        <f>IF(Offerte!$A70="","",Offerte!$B70)</f>
        <v/>
      </c>
      <c r="C2119" s="48">
        <f>IF(Offerte!$A70="","",Offerte!$C70)</f>
        <v/>
      </c>
      <c r="D2119" s="48" t="inlineStr">
        <is>
          <t>B.5.1</t>
        </is>
      </c>
      <c r="E2119" s="48" t="inlineStr">
        <is>
          <t>B</t>
        </is>
      </c>
      <c r="F2119" s="48" t="inlineStr">
        <is>
          <t>D</t>
        </is>
      </c>
      <c r="G2119" s="48" t="inlineStr">
        <is>
          <t>discretionary</t>
        </is>
      </c>
      <c r="H2119" s="48" t="n">
        <v>2</v>
      </c>
      <c r="I2119" s="48" t="inlineStr">
        <is>
          <t>Efficacia del progetto di servizi complementari DRT</t>
        </is>
      </c>
      <c r="J2119" s="73" t="n"/>
      <c r="K2119" s="73" t="n"/>
      <c r="L2119" s="73" t="n"/>
      <c r="M2119" s="73" t="n"/>
      <c r="N2119" s="57">
        <f>IF($A2119="","",MAX(0,MIN(1,IFERROR(VALUE($M2119),0))))</f>
        <v/>
      </c>
      <c r="O2119" s="57">
        <f>IF($A2119="",0,IF(OR($S2119&lt;&gt;1,COUNTA($J2119:$M2119)=0),0,IF(SUMPRODUCT(MAX(($C$5:$C$2484=$C2119)*($D$5:$D$2484=$D2119)*($S$5:$S$2484=1)*IFERROR($N$5:$N$2484*1,0)))&gt;0,ROUND($H2119*($N2119/SUMPRODUCT(MAX(($C$5:$C$2484=$C2119)*($D$5:$D$2484=$D2119)*($S$5:$S$2484=1)*IFERROR($N$5:$N$2484*1,0)))),4),0)))</f>
        <v/>
      </c>
      <c r="P2119" s="48" t="inlineStr">
        <is>
          <t>coeff.</t>
        </is>
      </c>
      <c r="Q2119" s="57">
        <f>IF($A2119="","",$A2119&amp;"|"&amp;$C2119)</f>
        <v/>
      </c>
      <c r="R2119" s="57">
        <f>IF($A2119="","",$A2119&amp;"|"&amp;$C2119&amp;"|"&amp;$D2119)</f>
        <v/>
      </c>
      <c r="S2119" s="57">
        <f>IF($A2119="","",IFERROR(INDEX(Offerte!$D$2:$D$81,MATCH($Q2119,Offerte!$L$2:$L$81,0)),0))</f>
        <v/>
      </c>
      <c r="T2119" s="57">
        <f>IF($A2119="","",IFERROR(INDEX(Offerte!$G$2:$G$81,MATCH($Q2119,Offerte!$L$2:$L$81,0)),"NO"))</f>
        <v/>
      </c>
    </row>
    <row r="2120">
      <c r="A2120" s="48">
        <f>IF(Offerte!$A70="","",Offerte!$A70)</f>
        <v/>
      </c>
      <c r="B2120" s="48">
        <f>IF(Offerte!$A70="","",Offerte!$B70)</f>
        <v/>
      </c>
      <c r="C2120" s="48">
        <f>IF(Offerte!$A70="","",Offerte!$C70)</f>
        <v/>
      </c>
      <c r="D2120" s="48" t="inlineStr">
        <is>
          <t>C.1.1</t>
        </is>
      </c>
      <c r="E2120" s="48" t="inlineStr">
        <is>
          <t>C</t>
        </is>
      </c>
      <c r="F2120" s="48" t="inlineStr">
        <is>
          <t>Q</t>
        </is>
      </c>
      <c r="G2120" s="48" t="inlineStr">
        <is>
          <t>higher</t>
        </is>
      </c>
      <c r="H2120" s="48" t="n">
        <v>2</v>
      </c>
      <c r="I2120" s="48" t="inlineStr">
        <is>
          <t>Tasso di copertura del servizio con telecamere BSD</t>
        </is>
      </c>
      <c r="J2120" s="73" t="n"/>
      <c r="K2120" s="73" t="n"/>
      <c r="L2120" s="73" t="n"/>
      <c r="M2120" s="73" t="n"/>
      <c r="N2120" s="57">
        <f>IF($A2120="","",IFERROR(VALUE($K2120)/VALUE($L2120),IFERROR(VALUE($J2120),0)))</f>
        <v/>
      </c>
      <c r="O2120" s="57">
        <f>IF($A2120="",0,IF(OR($S2120&lt;&gt;1,COUNTA($J2120:$M2120)=0),0,IF(SUMPRODUCT(MAX(($C$5:$C$2484=$C2120)*($D$5:$D$2484=$D2120)*($S$5:$S$2484=1)*IFERROR($N$5:$N$2484*1,0)))&gt;0,ROUND($H2120*($N2120/SUMPRODUCT(MAX(($C$5:$C$2484=$C2120)*($D$5:$D$2484=$D2120)*($S$5:$S$2484=1)*IFERROR($N$5:$N$2484*1,0)))),4),0)))</f>
        <v/>
      </c>
      <c r="P2120" s="48" t="inlineStr">
        <is>
          <t>Autobus attrezzati con telecamere BSD / Autobus totali in offerta, incluse scorte</t>
        </is>
      </c>
      <c r="Q2120" s="57">
        <f>IF($A2120="","",$A2120&amp;"|"&amp;$C2120)</f>
        <v/>
      </c>
      <c r="R2120" s="57">
        <f>IF($A2120="","",$A2120&amp;"|"&amp;$C2120&amp;"|"&amp;$D2120)</f>
        <v/>
      </c>
      <c r="S2120" s="57">
        <f>IF($A2120="","",IFERROR(INDEX(Offerte!$D$2:$D$81,MATCH($Q2120,Offerte!$L$2:$L$81,0)),0))</f>
        <v/>
      </c>
      <c r="T2120" s="57">
        <f>IF($A2120="","",IFERROR(INDEX(Offerte!$G$2:$G$81,MATCH($Q2120,Offerte!$L$2:$L$81,0)),"NO"))</f>
        <v/>
      </c>
    </row>
    <row r="2121">
      <c r="A2121" s="48">
        <f>IF(Offerte!$A70="","",Offerte!$A70)</f>
        <v/>
      </c>
      <c r="B2121" s="48">
        <f>IF(Offerte!$A70="","",Offerte!$B70)</f>
        <v/>
      </c>
      <c r="C2121" s="48">
        <f>IF(Offerte!$A70="","",Offerte!$C70)</f>
        <v/>
      </c>
      <c r="D2121" s="48" t="inlineStr">
        <is>
          <t>C.1.2</t>
        </is>
      </c>
      <c r="E2121" s="48" t="inlineStr">
        <is>
          <t>C</t>
        </is>
      </c>
      <c r="F2121" s="48" t="inlineStr">
        <is>
          <t>Q</t>
        </is>
      </c>
      <c r="G2121" s="48" t="inlineStr">
        <is>
          <t>higher</t>
        </is>
      </c>
      <c r="H2121" s="48" t="n">
        <v>2</v>
      </c>
      <c r="I2121" s="48" t="inlineStr">
        <is>
          <t>Tasso di copertura del servizio con telecamere ADAS</t>
        </is>
      </c>
      <c r="J2121" s="73" t="n"/>
      <c r="K2121" s="73" t="n"/>
      <c r="L2121" s="73" t="n"/>
      <c r="M2121" s="73" t="n"/>
      <c r="N2121" s="57">
        <f>IF($A2121="","",IFERROR(VALUE($K2121)/VALUE($L2121),IFERROR(VALUE($J2121),0)))</f>
        <v/>
      </c>
      <c r="O2121" s="57">
        <f>IF($A2121="",0,IF(OR($S2121&lt;&gt;1,COUNTA($J2121:$M2121)=0),0,IF(SUMPRODUCT(MAX(($C$5:$C$2484=$C2121)*($D$5:$D$2484=$D2121)*($S$5:$S$2484=1)*IFERROR($N$5:$N$2484*1,0)))&gt;0,ROUND($H2121*($N2121/SUMPRODUCT(MAX(($C$5:$C$2484=$C2121)*($D$5:$D$2484=$D2121)*($S$5:$S$2484=1)*IFERROR($N$5:$N$2484*1,0)))),4),0)))</f>
        <v/>
      </c>
      <c r="P2121" s="48" t="inlineStr">
        <is>
          <t>Autobus attrezzati con telecamere ADAS / Autobus totali in offerta, incluse scorte</t>
        </is>
      </c>
      <c r="Q2121" s="57">
        <f>IF($A2121="","",$A2121&amp;"|"&amp;$C2121)</f>
        <v/>
      </c>
      <c r="R2121" s="57">
        <f>IF($A2121="","",$A2121&amp;"|"&amp;$C2121&amp;"|"&amp;$D2121)</f>
        <v/>
      </c>
      <c r="S2121" s="57">
        <f>IF($A2121="","",IFERROR(INDEX(Offerte!$D$2:$D$81,MATCH($Q2121,Offerte!$L$2:$L$81,0)),0))</f>
        <v/>
      </c>
      <c r="T2121" s="57">
        <f>IF($A2121="","",IFERROR(INDEX(Offerte!$G$2:$G$81,MATCH($Q2121,Offerte!$L$2:$L$81,0)),"NO"))</f>
        <v/>
      </c>
    </row>
    <row r="2122">
      <c r="A2122" s="48">
        <f>IF(Offerte!$A70="","",Offerte!$A70)</f>
        <v/>
      </c>
      <c r="B2122" s="48">
        <f>IF(Offerte!$A70="","",Offerte!$B70)</f>
        <v/>
      </c>
      <c r="C2122" s="48">
        <f>IF(Offerte!$A70="","",Offerte!$C70)</f>
        <v/>
      </c>
      <c r="D2122" s="48" t="inlineStr">
        <is>
          <t>C.2.1</t>
        </is>
      </c>
      <c r="E2122" s="48" t="inlineStr">
        <is>
          <t>C</t>
        </is>
      </c>
      <c r="F2122" s="48" t="inlineStr">
        <is>
          <t>Q</t>
        </is>
      </c>
      <c r="G2122" s="48" t="inlineStr">
        <is>
          <t>higher</t>
        </is>
      </c>
      <c r="H2122" s="48" t="n">
        <v>3</v>
      </c>
      <c r="I2122" s="48" t="inlineStr">
        <is>
          <t>Tasso di copertura del servizio con telecamere di bordo di videosorveglianza</t>
        </is>
      </c>
      <c r="J2122" s="73" t="n"/>
      <c r="K2122" s="73" t="n"/>
      <c r="L2122" s="73" t="n"/>
      <c r="M2122" s="73" t="n"/>
      <c r="N2122" s="57">
        <f>IF($A2122="","",IFERROR(VALUE($K2122)/VALUE($L2122),IFERROR(VALUE($J2122),0)))</f>
        <v/>
      </c>
      <c r="O2122" s="57">
        <f>IF($A2122="",0,IF(OR($S2122&lt;&gt;1,COUNTA($J2122:$M2122)=0),0,IF(SUMPRODUCT(MAX(($C$5:$C$2484=$C2122)*($D$5:$D$2484=$D2122)*($S$5:$S$2484=1)*IFERROR($N$5:$N$2484*1,0)))&gt;0,ROUND($H2122*($N2122/SUMPRODUCT(MAX(($C$5:$C$2484=$C2122)*($D$5:$D$2484=$D2122)*($S$5:$S$2484=1)*IFERROR($N$5:$N$2484*1,0)))),4),0)))</f>
        <v/>
      </c>
      <c r="P2122" s="48" t="inlineStr">
        <is>
          <t>Autobus attrezzati con videosorveglianza / Autobus totali in offerta, incluse scorte</t>
        </is>
      </c>
      <c r="Q2122" s="57">
        <f>IF($A2122="","",$A2122&amp;"|"&amp;$C2122)</f>
        <v/>
      </c>
      <c r="R2122" s="57">
        <f>IF($A2122="","",$A2122&amp;"|"&amp;$C2122&amp;"|"&amp;$D2122)</f>
        <v/>
      </c>
      <c r="S2122" s="57">
        <f>IF($A2122="","",IFERROR(INDEX(Offerte!$D$2:$D$81,MATCH($Q2122,Offerte!$L$2:$L$81,0)),0))</f>
        <v/>
      </c>
      <c r="T2122" s="57">
        <f>IF($A2122="","",IFERROR(INDEX(Offerte!$G$2:$G$81,MATCH($Q2122,Offerte!$L$2:$L$81,0)),"NO"))</f>
        <v/>
      </c>
    </row>
    <row r="2123">
      <c r="A2123" s="48">
        <f>IF(Offerte!$A70="","",Offerte!$A70)</f>
        <v/>
      </c>
      <c r="B2123" s="48">
        <f>IF(Offerte!$A70="","",Offerte!$B70)</f>
        <v/>
      </c>
      <c r="C2123" s="48">
        <f>IF(Offerte!$A70="","",Offerte!$C70)</f>
        <v/>
      </c>
      <c r="D2123" s="48" t="inlineStr">
        <is>
          <t>C.2.2</t>
        </is>
      </c>
      <c r="E2123" s="48" t="inlineStr">
        <is>
          <t>C</t>
        </is>
      </c>
      <c r="F2123" s="48" t="inlineStr">
        <is>
          <t>T</t>
        </is>
      </c>
      <c r="G2123" s="48" t="inlineStr">
        <is>
          <t>tabular</t>
        </is>
      </c>
      <c r="H2123" s="48" t="n">
        <v>1</v>
      </c>
      <c r="I2123" s="48" t="inlineStr">
        <is>
          <t>Software video/audio analisi per situazioni di pericolo</t>
        </is>
      </c>
      <c r="J2123" s="73" t="n"/>
      <c r="K2123" s="73" t="n"/>
      <c r="L2123" s="73" t="n"/>
      <c r="M2123" s="73" t="n"/>
      <c r="N2123" s="57">
        <f>IF($A2123="","",IF(IFERROR(VALUE($M2123),0)=1,1,0))</f>
        <v/>
      </c>
      <c r="O2123" s="57">
        <f>IF($A2123="",0,IF(OR($S2123&lt;&gt;1,COUNTA($J2123:$M2123)=0),0,IF($N2123=1,$H2123,0)))</f>
        <v/>
      </c>
      <c r="P2123" s="48" t="inlineStr">
        <is>
          <t>sì/no</t>
        </is>
      </c>
      <c r="Q2123" s="57">
        <f>IF($A2123="","",$A2123&amp;"|"&amp;$C2123)</f>
        <v/>
      </c>
      <c r="R2123" s="57">
        <f>IF($A2123="","",$A2123&amp;"|"&amp;$C2123&amp;"|"&amp;$D2123)</f>
        <v/>
      </c>
      <c r="S2123" s="57">
        <f>IF($A2123="","",IFERROR(INDEX(Offerte!$D$2:$D$81,MATCH($Q2123,Offerte!$L$2:$L$81,0)),0))</f>
        <v/>
      </c>
      <c r="T2123" s="57">
        <f>IF($A2123="","",IFERROR(INDEX(Offerte!$G$2:$G$81,MATCH($Q2123,Offerte!$L$2:$L$81,0)),"NO"))</f>
        <v/>
      </c>
    </row>
    <row r="2124">
      <c r="A2124" s="48">
        <f>IF(Offerte!$A70="","",Offerte!$A70)</f>
        <v/>
      </c>
      <c r="B2124" s="48">
        <f>IF(Offerte!$A70="","",Offerte!$B70)</f>
        <v/>
      </c>
      <c r="C2124" s="48">
        <f>IF(Offerte!$A70="","",Offerte!$C70)</f>
        <v/>
      </c>
      <c r="D2124" s="48" t="inlineStr">
        <is>
          <t>C.2.3</t>
        </is>
      </c>
      <c r="E2124" s="48" t="inlineStr">
        <is>
          <t>C</t>
        </is>
      </c>
      <c r="F2124" s="48" t="inlineStr">
        <is>
          <t>T</t>
        </is>
      </c>
      <c r="G2124" s="48" t="inlineStr">
        <is>
          <t>tabular</t>
        </is>
      </c>
      <c r="H2124" s="48" t="n">
        <v>1</v>
      </c>
      <c r="I2124" s="48" t="inlineStr">
        <is>
          <t>Collegamento con centrale qualificata di pronto intervento</t>
        </is>
      </c>
      <c r="J2124" s="73" t="n"/>
      <c r="K2124" s="73" t="n"/>
      <c r="L2124" s="73" t="n"/>
      <c r="M2124" s="73" t="n"/>
      <c r="N2124" s="57">
        <f>IF($A2124="","",IF(IFERROR(VALUE($M2124),0)=1,1,0))</f>
        <v/>
      </c>
      <c r="O2124" s="57">
        <f>IF($A2124="",0,IF(OR($S2124&lt;&gt;1,COUNTA($J2124:$M2124)=0),0,IF($N2124=1,$H2124,0)))</f>
        <v/>
      </c>
      <c r="P2124" s="48" t="inlineStr">
        <is>
          <t>sì/no</t>
        </is>
      </c>
      <c r="Q2124" s="57">
        <f>IF($A2124="","",$A2124&amp;"|"&amp;$C2124)</f>
        <v/>
      </c>
      <c r="R2124" s="57">
        <f>IF($A2124="","",$A2124&amp;"|"&amp;$C2124&amp;"|"&amp;$D2124)</f>
        <v/>
      </c>
      <c r="S2124" s="57">
        <f>IF($A2124="","",IFERROR(INDEX(Offerte!$D$2:$D$81,MATCH($Q2124,Offerte!$L$2:$L$81,0)),0))</f>
        <v/>
      </c>
      <c r="T2124" s="57">
        <f>IF($A2124="","",IFERROR(INDEX(Offerte!$G$2:$G$81,MATCH($Q2124,Offerte!$L$2:$L$81,0)),"NO"))</f>
        <v/>
      </c>
    </row>
    <row r="2125">
      <c r="A2125" s="48">
        <f>IF(Offerte!$A70="","",Offerte!$A70)</f>
        <v/>
      </c>
      <c r="B2125" s="48">
        <f>IF(Offerte!$A70="","",Offerte!$B70)</f>
        <v/>
      </c>
      <c r="C2125" s="48">
        <f>IF(Offerte!$A70="","",Offerte!$C70)</f>
        <v/>
      </c>
      <c r="D2125" s="48" t="inlineStr">
        <is>
          <t>C.2.4</t>
        </is>
      </c>
      <c r="E2125" s="48" t="inlineStr">
        <is>
          <t>C</t>
        </is>
      </c>
      <c r="F2125" s="48" t="inlineStr">
        <is>
          <t>Q</t>
        </is>
      </c>
      <c r="G2125" s="48" t="inlineStr">
        <is>
          <t>higher</t>
        </is>
      </c>
      <c r="H2125" s="48" t="n">
        <v>1</v>
      </c>
      <c r="I2125" s="48" t="inlineStr">
        <is>
          <t>Tasso di copertura del servizio con dispositivi per la chiamata di emergenza del conducente</t>
        </is>
      </c>
      <c r="J2125" s="73" t="n"/>
      <c r="K2125" s="73" t="n"/>
      <c r="L2125" s="73" t="n"/>
      <c r="M2125" s="73" t="n"/>
      <c r="N2125" s="57">
        <f>IF($A2125="","",IFERROR(VALUE($K2125)/VALUE($L2125),IFERROR(VALUE($J2125),0)))</f>
        <v/>
      </c>
      <c r="O2125" s="57">
        <f>IF($A2125="",0,IF(OR($S2125&lt;&gt;1,COUNTA($J2125:$M2125)=0),0,IF(SUMPRODUCT(MAX(($C$5:$C$2484=$C2125)*($D$5:$D$2484=$D2125)*($S$5:$S$2484=1)*IFERROR($N$5:$N$2484*1,0)))&gt;0,ROUND($H2125*($N2125/SUMPRODUCT(MAX(($C$5:$C$2484=$C2125)*($D$5:$D$2484=$D2125)*($S$5:$S$2484=1)*IFERROR($N$5:$N$2484*1,0)))),4),0)))</f>
        <v/>
      </c>
      <c r="P2125" s="48" t="inlineStr">
        <is>
          <t>Autobus attrezzati con chiamata di emergenza / Autobus totali in offerta, incluse scorte</t>
        </is>
      </c>
      <c r="Q2125" s="57">
        <f>IF($A2125="","",$A2125&amp;"|"&amp;$C2125)</f>
        <v/>
      </c>
      <c r="R2125" s="57">
        <f>IF($A2125="","",$A2125&amp;"|"&amp;$C2125&amp;"|"&amp;$D2125)</f>
        <v/>
      </c>
      <c r="S2125" s="57">
        <f>IF($A2125="","",IFERROR(INDEX(Offerte!$D$2:$D$81,MATCH($Q2125,Offerte!$L$2:$L$81,0)),0))</f>
        <v/>
      </c>
      <c r="T2125" s="57">
        <f>IF($A2125="","",IFERROR(INDEX(Offerte!$G$2:$G$81,MATCH($Q2125,Offerte!$L$2:$L$81,0)),"NO"))</f>
        <v/>
      </c>
    </row>
    <row r="2126">
      <c r="A2126" s="48">
        <f>IF(Offerte!$A70="","",Offerte!$A70)</f>
        <v/>
      </c>
      <c r="B2126" s="48">
        <f>IF(Offerte!$A70="","",Offerte!$B70)</f>
        <v/>
      </c>
      <c r="C2126" s="48">
        <f>IF(Offerte!$A70="","",Offerte!$C70)</f>
        <v/>
      </c>
      <c r="D2126" s="48" t="inlineStr">
        <is>
          <t>C.3.1</t>
        </is>
      </c>
      <c r="E2126" s="48" t="inlineStr">
        <is>
          <t>C</t>
        </is>
      </c>
      <c r="F2126" s="48" t="inlineStr">
        <is>
          <t>Q</t>
        </is>
      </c>
      <c r="G2126" s="48" t="inlineStr">
        <is>
          <t>higher</t>
        </is>
      </c>
      <c r="H2126" s="48" t="n">
        <v>2</v>
      </c>
      <c r="I2126" s="48" t="inlineStr">
        <is>
          <t>Tasso di copertura del servizio con dispositivi di informazione dinamica a bordo mezzo</t>
        </is>
      </c>
      <c r="J2126" s="73" t="n"/>
      <c r="K2126" s="73" t="n"/>
      <c r="L2126" s="73" t="n"/>
      <c r="M2126" s="73" t="n"/>
      <c r="N2126" s="57">
        <f>IF($A2126="","",IFERROR(VALUE($K2126)/VALUE($L2126),IFERROR(VALUE($J2126),0)))</f>
        <v/>
      </c>
      <c r="O2126" s="57">
        <f>IF($A2126="",0,IF(OR($S2126&lt;&gt;1,COUNTA($J2126:$M2126)=0),0,IF(SUMPRODUCT(MAX(($C$5:$C$2484=$C2126)*($D$5:$D$2484=$D2126)*($S$5:$S$2484=1)*IFERROR($N$5:$N$2484*1,0)))&gt;0,ROUND($H2126*($N2126/SUMPRODUCT(MAX(($C$5:$C$2484=$C2126)*($D$5:$D$2484=$D2126)*($S$5:$S$2484=1)*IFERROR($N$5:$N$2484*1,0)))),4),0)))</f>
        <v/>
      </c>
      <c r="P2126" s="48" t="inlineStr">
        <is>
          <t>Autobus con monitor e indicatori vocali / Autobus totali in offerta, incluse scorte</t>
        </is>
      </c>
      <c r="Q2126" s="57">
        <f>IF($A2126="","",$A2126&amp;"|"&amp;$C2126)</f>
        <v/>
      </c>
      <c r="R2126" s="57">
        <f>IF($A2126="","",$A2126&amp;"|"&amp;$C2126&amp;"|"&amp;$D2126)</f>
        <v/>
      </c>
      <c r="S2126" s="57">
        <f>IF($A2126="","",IFERROR(INDEX(Offerte!$D$2:$D$81,MATCH($Q2126,Offerte!$L$2:$L$81,0)),0))</f>
        <v/>
      </c>
      <c r="T2126" s="57">
        <f>IF($A2126="","",IFERROR(INDEX(Offerte!$G$2:$G$81,MATCH($Q2126,Offerte!$L$2:$L$81,0)),"NO"))</f>
        <v/>
      </c>
    </row>
    <row r="2127">
      <c r="A2127" s="48">
        <f>IF(Offerte!$A70="","",Offerte!$A70)</f>
        <v/>
      </c>
      <c r="B2127" s="48">
        <f>IF(Offerte!$A70="","",Offerte!$B70)</f>
        <v/>
      </c>
      <c r="C2127" s="48">
        <f>IF(Offerte!$A70="","",Offerte!$C70)</f>
        <v/>
      </c>
      <c r="D2127" s="48" t="inlineStr">
        <is>
          <t>C.3.2</t>
        </is>
      </c>
      <c r="E2127" s="48" t="inlineStr">
        <is>
          <t>C</t>
        </is>
      </c>
      <c r="F2127" s="48" t="inlineStr">
        <is>
          <t>T</t>
        </is>
      </c>
      <c r="G2127" s="48" t="inlineStr">
        <is>
          <t>tabular</t>
        </is>
      </c>
      <c r="H2127" s="48" t="n">
        <v>2</v>
      </c>
      <c r="I2127" s="48" t="inlineStr">
        <is>
          <t>Informazioni a bordo su coincidenze ai nodi</t>
        </is>
      </c>
      <c r="J2127" s="73" t="n"/>
      <c r="K2127" s="73" t="n"/>
      <c r="L2127" s="73" t="n"/>
      <c r="M2127" s="73" t="n"/>
      <c r="N2127" s="57">
        <f>IF($A2127="","",IF(IFERROR(VALUE($M2127),0)=1,1,0))</f>
        <v/>
      </c>
      <c r="O2127" s="57">
        <f>IF($A2127="",0,IF(OR($S2127&lt;&gt;1,COUNTA($J2127:$M2127)=0),0,IF(AND($N2127=1,IFERROR(SUMIFS($N$5:$N$2484,$Q$5:$Q$2484,$Q2127,$D$5:$D$2484,"C.3.1"),0)&gt;=0.5),$H2127,0)))</f>
        <v/>
      </c>
      <c r="P2127" s="48" t="inlineStr">
        <is>
          <t>Dipende da C.3.1 &gt;= 0.5</t>
        </is>
      </c>
      <c r="Q2127" s="57">
        <f>IF($A2127="","",$A2127&amp;"|"&amp;$C2127)</f>
        <v/>
      </c>
      <c r="R2127" s="57">
        <f>IF($A2127="","",$A2127&amp;"|"&amp;$C2127&amp;"|"&amp;$D2127)</f>
        <v/>
      </c>
      <c r="S2127" s="57">
        <f>IF($A2127="","",IFERROR(INDEX(Offerte!$D$2:$D$81,MATCH($Q2127,Offerte!$L$2:$L$81,0)),0))</f>
        <v/>
      </c>
      <c r="T2127" s="57">
        <f>IF($A2127="","",IFERROR(INDEX(Offerte!$G$2:$G$81,MATCH($Q2127,Offerte!$L$2:$L$81,0)),"NO"))</f>
        <v/>
      </c>
    </row>
    <row r="2128">
      <c r="A2128" s="48">
        <f>IF(Offerte!$A70="","",Offerte!$A70)</f>
        <v/>
      </c>
      <c r="B2128" s="48">
        <f>IF(Offerte!$A70="","",Offerte!$B70)</f>
        <v/>
      </c>
      <c r="C2128" s="48">
        <f>IF(Offerte!$A70="","",Offerte!$C70)</f>
        <v/>
      </c>
      <c r="D2128" s="48" t="inlineStr">
        <is>
          <t>D.1.1</t>
        </is>
      </c>
      <c r="E2128" s="48" t="inlineStr">
        <is>
          <t>D</t>
        </is>
      </c>
      <c r="F2128" s="48" t="inlineStr">
        <is>
          <t>Q</t>
        </is>
      </c>
      <c r="G2128" s="48" t="inlineStr">
        <is>
          <t>higher</t>
        </is>
      </c>
      <c r="H2128" s="48" t="n">
        <v>3</v>
      </c>
      <c r="I2128" s="48" t="inlineStr">
        <is>
          <t>Installazione di pensiline</t>
        </is>
      </c>
      <c r="J2128" s="73" t="n"/>
      <c r="K2128" s="73" t="n"/>
      <c r="L2128" s="73" t="n"/>
      <c r="M2128" s="73" t="n"/>
      <c r="N2128" s="57">
        <f>IF($A2128="","",IFERROR(VALUE($J2128),0))</f>
        <v/>
      </c>
      <c r="O2128" s="57">
        <f>IF($A2128="",0,IF(OR($S2128&lt;&gt;1,COUNTA($J2128:$M2128)=0),0,IF(SUMPRODUCT(MAX(($C$5:$C$2484=$C2128)*($D$5:$D$2484=$D2128)*($S$5:$S$2484=1)*IFERROR($N$5:$N$2484*1,0)))&gt;0,ROUND($H2128*($N2128/SUMPRODUCT(MAX(($C$5:$C$2484=$C2128)*($D$5:$D$2484=$D2128)*($S$5:$S$2484=1)*IFERROR($N$5:$N$2484*1,0)))),4),0)))</f>
        <v/>
      </c>
      <c r="P2128" s="48" t="inlineStr">
        <is>
          <t>fermate</t>
        </is>
      </c>
      <c r="Q2128" s="57">
        <f>IF($A2128="","",$A2128&amp;"|"&amp;$C2128)</f>
        <v/>
      </c>
      <c r="R2128" s="57">
        <f>IF($A2128="","",$A2128&amp;"|"&amp;$C2128&amp;"|"&amp;$D2128)</f>
        <v/>
      </c>
      <c r="S2128" s="57">
        <f>IF($A2128="","",IFERROR(INDEX(Offerte!$D$2:$D$81,MATCH($Q2128,Offerte!$L$2:$L$81,0)),0))</f>
        <v/>
      </c>
      <c r="T2128" s="57">
        <f>IF($A2128="","",IFERROR(INDEX(Offerte!$G$2:$G$81,MATCH($Q2128,Offerte!$L$2:$L$81,0)),"NO"))</f>
        <v/>
      </c>
    </row>
    <row r="2129">
      <c r="A2129" s="48">
        <f>IF(Offerte!$A70="","",Offerte!$A70)</f>
        <v/>
      </c>
      <c r="B2129" s="48">
        <f>IF(Offerte!$A70="","",Offerte!$B70)</f>
        <v/>
      </c>
      <c r="C2129" s="48">
        <f>IF(Offerte!$A70="","",Offerte!$C70)</f>
        <v/>
      </c>
      <c r="D2129" s="48" t="inlineStr">
        <is>
          <t>D.1.2</t>
        </is>
      </c>
      <c r="E2129" s="48" t="inlineStr">
        <is>
          <t>D</t>
        </is>
      </c>
      <c r="F2129" s="48" t="inlineStr">
        <is>
          <t>Q</t>
        </is>
      </c>
      <c r="G2129" s="48" t="inlineStr">
        <is>
          <t>higher</t>
        </is>
      </c>
      <c r="H2129" s="48" t="n">
        <v>3</v>
      </c>
      <c r="I2129" s="48" t="inlineStr">
        <is>
          <t>Installazione di paline di fermata conformi alla DGR 581/2023</t>
        </is>
      </c>
      <c r="J2129" s="73" t="n"/>
      <c r="K2129" s="73" t="n"/>
      <c r="L2129" s="73" t="n"/>
      <c r="M2129" s="73" t="n"/>
      <c r="N2129" s="57">
        <f>IF($A2129="","",IFERROR(VALUE($J2129),0))</f>
        <v/>
      </c>
      <c r="O2129" s="57">
        <f>IF($A2129="",0,IF(OR($S2129&lt;&gt;1,COUNTA($J2129:$M2129)=0),0,IF(SUMPRODUCT(MAX(($C$5:$C$2484=$C2129)*($D$5:$D$2484=$D2129)*($S$5:$S$2484=1)*IFERROR($N$5:$N$2484*1,0)))&gt;0,ROUND($H2129*($N2129/SUMPRODUCT(MAX(($C$5:$C$2484=$C2129)*($D$5:$D$2484=$D2129)*($S$5:$S$2484=1)*IFERROR($N$5:$N$2484*1,0)))),4),0)))</f>
        <v/>
      </c>
      <c r="P2129" s="48" t="inlineStr">
        <is>
          <t>fermate</t>
        </is>
      </c>
      <c r="Q2129" s="57">
        <f>IF($A2129="","",$A2129&amp;"|"&amp;$C2129)</f>
        <v/>
      </c>
      <c r="R2129" s="57">
        <f>IF($A2129="","",$A2129&amp;"|"&amp;$C2129&amp;"|"&amp;$D2129)</f>
        <v/>
      </c>
      <c r="S2129" s="57">
        <f>IF($A2129="","",IFERROR(INDEX(Offerte!$D$2:$D$81,MATCH($Q2129,Offerte!$L$2:$L$81,0)),0))</f>
        <v/>
      </c>
      <c r="T2129" s="57">
        <f>IF($A2129="","",IFERROR(INDEX(Offerte!$G$2:$G$81,MATCH($Q2129,Offerte!$L$2:$L$81,0)),"NO"))</f>
        <v/>
      </c>
    </row>
    <row r="2130">
      <c r="A2130" s="48">
        <f>IF(Offerte!$A70="","",Offerte!$A70)</f>
        <v/>
      </c>
      <c r="B2130" s="48">
        <f>IF(Offerte!$A70="","",Offerte!$B70)</f>
        <v/>
      </c>
      <c r="C2130" s="48">
        <f>IF(Offerte!$A70="","",Offerte!$C70)</f>
        <v/>
      </c>
      <c r="D2130" s="48" t="inlineStr">
        <is>
          <t>D.1.3</t>
        </is>
      </c>
      <c r="E2130" s="48" t="inlineStr">
        <is>
          <t>D</t>
        </is>
      </c>
      <c r="F2130" s="48" t="inlineStr">
        <is>
          <t>Q</t>
        </is>
      </c>
      <c r="G2130" s="48" t="inlineStr">
        <is>
          <t>higher</t>
        </is>
      </c>
      <c r="H2130" s="48" t="n">
        <v>2</v>
      </c>
      <c r="I2130" s="48" t="inlineStr">
        <is>
          <t>Display informativi connessi alle fermate</t>
        </is>
      </c>
      <c r="J2130" s="73" t="n"/>
      <c r="K2130" s="73" t="n"/>
      <c r="L2130" s="73" t="n"/>
      <c r="M2130" s="73" t="n"/>
      <c r="N2130" s="57">
        <f>IF($A2130="","",IFERROR(VALUE($J2130),0))</f>
        <v/>
      </c>
      <c r="O2130" s="57">
        <f>IF($A2130="",0,IF(OR($S2130&lt;&gt;1,COUNTA($J2130:$M2130)=0),0,IF(SUMPRODUCT(MAX(($C$5:$C$2484=$C2130)*($D$5:$D$2484=$D2130)*($S$5:$S$2484=1)*IFERROR($N$5:$N$2484*1,0)))&gt;0,ROUND($H2130*($N2130/SUMPRODUCT(MAX(($C$5:$C$2484=$C2130)*($D$5:$D$2484=$D2130)*($S$5:$S$2484=1)*IFERROR($N$5:$N$2484*1,0)))),4),0)))</f>
        <v/>
      </c>
      <c r="P2130" s="48" t="inlineStr">
        <is>
          <t>fermate</t>
        </is>
      </c>
      <c r="Q2130" s="57">
        <f>IF($A2130="","",$A2130&amp;"|"&amp;$C2130)</f>
        <v/>
      </c>
      <c r="R2130" s="57">
        <f>IF($A2130="","",$A2130&amp;"|"&amp;$C2130&amp;"|"&amp;$D2130)</f>
        <v/>
      </c>
      <c r="S2130" s="57">
        <f>IF($A2130="","",IFERROR(INDEX(Offerte!$D$2:$D$81,MATCH($Q2130,Offerte!$L$2:$L$81,0)),0))</f>
        <v/>
      </c>
      <c r="T2130" s="57">
        <f>IF($A2130="","",IFERROR(INDEX(Offerte!$G$2:$G$81,MATCH($Q2130,Offerte!$L$2:$L$81,0)),"NO"))</f>
        <v/>
      </c>
    </row>
    <row r="2131">
      <c r="A2131" s="48">
        <f>IF(Offerte!$A70="","",Offerte!$A70)</f>
        <v/>
      </c>
      <c r="B2131" s="48">
        <f>IF(Offerte!$A70="","",Offerte!$B70)</f>
        <v/>
      </c>
      <c r="C2131" s="48">
        <f>IF(Offerte!$A70="","",Offerte!$C70)</f>
        <v/>
      </c>
      <c r="D2131" s="48" t="inlineStr">
        <is>
          <t>D.2.1</t>
        </is>
      </c>
      <c r="E2131" s="48" t="inlineStr">
        <is>
          <t>D</t>
        </is>
      </c>
      <c r="F2131" s="48" t="inlineStr">
        <is>
          <t>Q</t>
        </is>
      </c>
      <c r="G2131" s="48" t="inlineStr">
        <is>
          <t>higher</t>
        </is>
      </c>
      <c r="H2131" s="48" t="n">
        <v>2</v>
      </c>
      <c r="I2131" s="48" t="inlineStr">
        <is>
          <t>Segnali tattili Loges-Vet-Evolution</t>
        </is>
      </c>
      <c r="J2131" s="73" t="n"/>
      <c r="K2131" s="73" t="n"/>
      <c r="L2131" s="73" t="n"/>
      <c r="M2131" s="73" t="n"/>
      <c r="N2131" s="57">
        <f>IF($A2131="","",IFERROR(VALUE($J2131),0))</f>
        <v/>
      </c>
      <c r="O2131" s="57">
        <f>IF($A2131="",0,IF(OR($S2131&lt;&gt;1,COUNTA($J2131:$M2131)=0),0,IF(SUMPRODUCT(MAX(($C$5:$C$2484=$C2131)*($D$5:$D$2484=$D2131)*($S$5:$S$2484=1)*IFERROR($N$5:$N$2484*1,0)))&gt;0,ROUND($H2131*($N2131/SUMPRODUCT(MAX(($C$5:$C$2484=$C2131)*($D$5:$D$2484=$D2131)*($S$5:$S$2484=1)*IFERROR($N$5:$N$2484*1,0)))),4),0)))</f>
        <v/>
      </c>
      <c r="P2131" s="48" t="inlineStr">
        <is>
          <t>fermate</t>
        </is>
      </c>
      <c r="Q2131" s="57">
        <f>IF($A2131="","",$A2131&amp;"|"&amp;$C2131)</f>
        <v/>
      </c>
      <c r="R2131" s="57">
        <f>IF($A2131="","",$A2131&amp;"|"&amp;$C2131&amp;"|"&amp;$D2131)</f>
        <v/>
      </c>
      <c r="S2131" s="57">
        <f>IF($A2131="","",IFERROR(INDEX(Offerte!$D$2:$D$81,MATCH($Q2131,Offerte!$L$2:$L$81,0)),0))</f>
        <v/>
      </c>
      <c r="T2131" s="57">
        <f>IF($A2131="","",IFERROR(INDEX(Offerte!$G$2:$G$81,MATCH($Q2131,Offerte!$L$2:$L$81,0)),"NO"))</f>
        <v/>
      </c>
    </row>
    <row r="2132">
      <c r="A2132" s="48">
        <f>IF(Offerte!$A70="","",Offerte!$A70)</f>
        <v/>
      </c>
      <c r="B2132" s="48">
        <f>IF(Offerte!$A70="","",Offerte!$B70)</f>
        <v/>
      </c>
      <c r="C2132" s="48">
        <f>IF(Offerte!$A70="","",Offerte!$C70)</f>
        <v/>
      </c>
      <c r="D2132" s="48" t="inlineStr">
        <is>
          <t>E.1.1</t>
        </is>
      </c>
      <c r="E2132" s="48" t="inlineStr">
        <is>
          <t>E</t>
        </is>
      </c>
      <c r="F2132" s="48" t="inlineStr">
        <is>
          <t>T</t>
        </is>
      </c>
      <c r="G2132" s="48" t="inlineStr">
        <is>
          <t>tabular</t>
        </is>
      </c>
      <c r="H2132" s="48" t="n">
        <v>2</v>
      </c>
      <c r="I2132" s="48" t="inlineStr">
        <is>
          <t>Mobile app con travel planner PRM</t>
        </is>
      </c>
      <c r="J2132" s="73" t="n"/>
      <c r="K2132" s="73" t="n"/>
      <c r="L2132" s="73" t="n"/>
      <c r="M2132" s="73" t="n"/>
      <c r="N2132" s="57">
        <f>IF($A2132="","",IF(IFERROR(VALUE($M2132),0)=1,1,0))</f>
        <v/>
      </c>
      <c r="O2132" s="57">
        <f>IF($A2132="",0,IF(OR($S2132&lt;&gt;1,COUNTA($J2132:$M2132)=0),0,IF($N2132=1,$H2132,0)))</f>
        <v/>
      </c>
      <c r="P2132" s="48" t="inlineStr">
        <is>
          <t>sì/no</t>
        </is>
      </c>
      <c r="Q2132" s="57">
        <f>IF($A2132="","",$A2132&amp;"|"&amp;$C2132)</f>
        <v/>
      </c>
      <c r="R2132" s="57">
        <f>IF($A2132="","",$A2132&amp;"|"&amp;$C2132&amp;"|"&amp;$D2132)</f>
        <v/>
      </c>
      <c r="S2132" s="57">
        <f>IF($A2132="","",IFERROR(INDEX(Offerte!$D$2:$D$81,MATCH($Q2132,Offerte!$L$2:$L$81,0)),0))</f>
        <v/>
      </c>
      <c r="T2132" s="57">
        <f>IF($A2132="","",IFERROR(INDEX(Offerte!$G$2:$G$81,MATCH($Q2132,Offerte!$L$2:$L$81,0)),"NO"))</f>
        <v/>
      </c>
    </row>
    <row r="2133">
      <c r="A2133" s="48">
        <f>IF(Offerte!$A70="","",Offerte!$A70)</f>
        <v/>
      </c>
      <c r="B2133" s="48">
        <f>IF(Offerte!$A70="","",Offerte!$B70)</f>
        <v/>
      </c>
      <c r="C2133" s="48">
        <f>IF(Offerte!$A70="","",Offerte!$C70)</f>
        <v/>
      </c>
      <c r="D2133" s="48" t="inlineStr">
        <is>
          <t>E.2.1</t>
        </is>
      </c>
      <c r="E2133" s="48" t="inlineStr">
        <is>
          <t>E</t>
        </is>
      </c>
      <c r="F2133" s="48" t="inlineStr">
        <is>
          <t>D</t>
        </is>
      </c>
      <c r="G2133" s="48" t="inlineStr">
        <is>
          <t>discretionary</t>
        </is>
      </c>
      <c r="H2133" s="48" t="n">
        <v>2</v>
      </c>
      <c r="I2133" s="48" t="inlineStr">
        <is>
          <t>Altre azioni informative e rapporti con gli utenti</t>
        </is>
      </c>
      <c r="J2133" s="73" t="n"/>
      <c r="K2133" s="73" t="n"/>
      <c r="L2133" s="73" t="n"/>
      <c r="M2133" s="73" t="n"/>
      <c r="N2133" s="57">
        <f>IF($A2133="","",MAX(0,MIN(1,IFERROR(VALUE($M2133),0))))</f>
        <v/>
      </c>
      <c r="O2133" s="57">
        <f>IF($A2133="",0,IF(OR($S2133&lt;&gt;1,COUNTA($J2133:$M2133)=0),0,IF(SUMPRODUCT(MAX(($C$5:$C$2484=$C2133)*($D$5:$D$2484=$D2133)*($S$5:$S$2484=1)*IFERROR($N$5:$N$2484*1,0)))&gt;0,ROUND($H2133*($N2133/SUMPRODUCT(MAX(($C$5:$C$2484=$C2133)*($D$5:$D$2484=$D2133)*($S$5:$S$2484=1)*IFERROR($N$5:$N$2484*1,0)))),4),0)))</f>
        <v/>
      </c>
      <c r="P2133" s="48" t="inlineStr">
        <is>
          <t>coeff.</t>
        </is>
      </c>
      <c r="Q2133" s="57">
        <f>IF($A2133="","",$A2133&amp;"|"&amp;$C2133)</f>
        <v/>
      </c>
      <c r="R2133" s="57">
        <f>IF($A2133="","",$A2133&amp;"|"&amp;$C2133&amp;"|"&amp;$D2133)</f>
        <v/>
      </c>
      <c r="S2133" s="57">
        <f>IF($A2133="","",IFERROR(INDEX(Offerte!$D$2:$D$81,MATCH($Q2133,Offerte!$L$2:$L$81,0)),0))</f>
        <v/>
      </c>
      <c r="T2133" s="57">
        <f>IF($A2133="","",IFERROR(INDEX(Offerte!$G$2:$G$81,MATCH($Q2133,Offerte!$L$2:$L$81,0)),"NO"))</f>
        <v/>
      </c>
    </row>
    <row r="2134">
      <c r="A2134" s="48">
        <f>IF(Offerte!$A70="","",Offerte!$A70)</f>
        <v/>
      </c>
      <c r="B2134" s="48">
        <f>IF(Offerte!$A70="","",Offerte!$B70)</f>
        <v/>
      </c>
      <c r="C2134" s="48">
        <f>IF(Offerte!$A70="","",Offerte!$C70)</f>
        <v/>
      </c>
      <c r="D2134" s="48" t="inlineStr">
        <is>
          <t>F.1.1</t>
        </is>
      </c>
      <c r="E2134" s="48" t="inlineStr">
        <is>
          <t>F</t>
        </is>
      </c>
      <c r="F2134" s="48" t="inlineStr">
        <is>
          <t>Q</t>
        </is>
      </c>
      <c r="G2134" s="48" t="inlineStr">
        <is>
          <t>lower</t>
        </is>
      </c>
      <c r="H2134" s="48" t="n">
        <v>7</v>
      </c>
      <c r="I2134" s="48" t="inlineStr">
        <is>
          <t>Performance ambientali del parco mezzi adibito al servizio - I_CEA</t>
        </is>
      </c>
      <c r="J2134" s="73" t="n"/>
      <c r="K2134" s="73" t="n"/>
      <c r="L2134" s="73" t="n"/>
      <c r="M2134" s="73" t="n"/>
      <c r="N2134" s="57">
        <f>IF($A2134="","",IFERROR(VALUE($J2134),0))</f>
        <v/>
      </c>
      <c r="O2134" s="57">
        <f>IF($A2134="",0,IF(OR($S2134&lt;&gt;1,COUNTA($J2134:$M2134)=0),0,IF(AND(IFERROR(AGGREGATE(15,6,$N$5:$N$2484/(($C$5:$C$2484=$C2134)*($D$5:$D$2484=$D2134)*($S$5:$S$2484=1)*($N$5:$N$2484&gt;0)),1),0)&gt;0,$N2134&gt;0),ROUND($H2134*(IFERROR(AGGREGATE(15,6,$N$5:$N$2484/(($C$5:$C$2484=$C2134)*($D$5:$D$2484=$D2134)*($S$5:$S$2484=1)*($N$5:$N$2484&gt;0)),1),0)/$N2134),4),0)))</f>
        <v/>
      </c>
      <c r="P2134" s="48" t="inlineStr">
        <is>
          <t>indice</t>
        </is>
      </c>
      <c r="Q2134" s="57">
        <f>IF($A2134="","",$A2134&amp;"|"&amp;$C2134)</f>
        <v/>
      </c>
      <c r="R2134" s="57">
        <f>IF($A2134="","",$A2134&amp;"|"&amp;$C2134&amp;"|"&amp;$D2134)</f>
        <v/>
      </c>
      <c r="S2134" s="57">
        <f>IF($A2134="","",IFERROR(INDEX(Offerte!$D$2:$D$81,MATCH($Q2134,Offerte!$L$2:$L$81,0)),0))</f>
        <v/>
      </c>
      <c r="T2134" s="57">
        <f>IF($A2134="","",IFERROR(INDEX(Offerte!$G$2:$G$81,MATCH($Q2134,Offerte!$L$2:$L$81,0)),"NO"))</f>
        <v/>
      </c>
    </row>
    <row r="2135">
      <c r="A2135" s="48">
        <f>IF(Offerte!$A70="","",Offerte!$A70)</f>
        <v/>
      </c>
      <c r="B2135" s="48">
        <f>IF(Offerte!$A70="","",Offerte!$B70)</f>
        <v/>
      </c>
      <c r="C2135" s="48">
        <f>IF(Offerte!$A70="","",Offerte!$C70)</f>
        <v/>
      </c>
      <c r="D2135" s="48" t="inlineStr">
        <is>
          <t>F.2.1</t>
        </is>
      </c>
      <c r="E2135" s="48" t="inlineStr">
        <is>
          <t>F</t>
        </is>
      </c>
      <c r="F2135" s="48" t="inlineStr">
        <is>
          <t>Q</t>
        </is>
      </c>
      <c r="G2135" s="48" t="inlineStr">
        <is>
          <t>higher</t>
        </is>
      </c>
      <c r="H2135" s="48" t="n">
        <v>2</v>
      </c>
      <c r="I2135" s="48" t="inlineStr">
        <is>
          <t>Tasso di copertura del servizio con dispositivi ECO-DRIVER</t>
        </is>
      </c>
      <c r="J2135" s="73" t="n"/>
      <c r="K2135" s="73" t="n"/>
      <c r="L2135" s="73" t="n"/>
      <c r="M2135" s="73" t="n"/>
      <c r="N2135" s="57">
        <f>IF($A2135="","",IFERROR(VALUE($K2135)/VALUE($L2135),IFERROR(VALUE($J2135),0)))</f>
        <v/>
      </c>
      <c r="O2135" s="57">
        <f>IF($A2135="",0,IF(OR($S2135&lt;&gt;1,COUNTA($J2135:$M2135)=0),0,IF(SUMPRODUCT(MAX(($C$5:$C$2484=$C2135)*($D$5:$D$2484=$D2135)*($S$5:$S$2484=1)*IFERROR($N$5:$N$2484*1,0)))&gt;0,ROUND($H2135*($N2135/SUMPRODUCT(MAX(($C$5:$C$2484=$C2135)*($D$5:$D$2484=$D2135)*($S$5:$S$2484=1)*IFERROR($N$5:$N$2484*1,0)))),4),0)))</f>
        <v/>
      </c>
      <c r="P2135" s="48" t="inlineStr">
        <is>
          <t>Autobus attrezzati con dispositivi ECO-DRIVER / Autobus totali in offerta, incluse scorte</t>
        </is>
      </c>
      <c r="Q2135" s="57">
        <f>IF($A2135="","",$A2135&amp;"|"&amp;$C2135)</f>
        <v/>
      </c>
      <c r="R2135" s="57">
        <f>IF($A2135="","",$A2135&amp;"|"&amp;$C2135&amp;"|"&amp;$D2135)</f>
        <v/>
      </c>
      <c r="S2135" s="57">
        <f>IF($A2135="","",IFERROR(INDEX(Offerte!$D$2:$D$81,MATCH($Q2135,Offerte!$L$2:$L$81,0)),0))</f>
        <v/>
      </c>
      <c r="T2135" s="57">
        <f>IF($A2135="","",IFERROR(INDEX(Offerte!$G$2:$G$81,MATCH($Q2135,Offerte!$L$2:$L$81,0)),"NO"))</f>
        <v/>
      </c>
    </row>
    <row r="2136">
      <c r="A2136" s="48">
        <f>IF(Offerte!$A70="","",Offerte!$A70)</f>
        <v/>
      </c>
      <c r="B2136" s="48">
        <f>IF(Offerte!$A70="","",Offerte!$B70)</f>
        <v/>
      </c>
      <c r="C2136" s="48">
        <f>IF(Offerte!$A70="","",Offerte!$C70)</f>
        <v/>
      </c>
      <c r="D2136" s="48" t="inlineStr">
        <is>
          <t>F.3.1</t>
        </is>
      </c>
      <c r="E2136" s="48" t="inlineStr">
        <is>
          <t>F</t>
        </is>
      </c>
      <c r="F2136" s="48" t="inlineStr">
        <is>
          <t>Q</t>
        </is>
      </c>
      <c r="G2136" s="48" t="inlineStr">
        <is>
          <t>higher</t>
        </is>
      </c>
      <c r="H2136" s="48" t="n">
        <v>2</v>
      </c>
      <c r="I2136" s="48" t="inlineStr">
        <is>
          <t>Autoproduzione consumi elettrici per trazione</t>
        </is>
      </c>
      <c r="J2136" s="73" t="n"/>
      <c r="K2136" s="73" t="n"/>
      <c r="L2136" s="73" t="n"/>
      <c r="M2136" s="73" t="n"/>
      <c r="N2136" s="57">
        <f>IF($A2136="","",IFERROR(VALUE($J2136),0))</f>
        <v/>
      </c>
      <c r="O2136" s="57">
        <f>IF($A2136="",0,IF(OR($S2136&lt;&gt;1,COUNTA($J2136:$M2136)=0),0,IF(SUMPRODUCT(MAX(($C$5:$C$2484=$C2136)*($D$5:$D$2484=$D2136)*($S$5:$S$2484=1)*IFERROR($N$5:$N$2484*1,0)))&gt;0,ROUND($H2136*($N2136/SUMPRODUCT(MAX(($C$5:$C$2484=$C2136)*($D$5:$D$2484=$D2136)*($S$5:$S$2484=1)*IFERROR($N$5:$N$2484*1,0)))),4),0)))</f>
        <v/>
      </c>
      <c r="P2136" s="48" t="inlineStr">
        <is>
          <t>kWh/anno</t>
        </is>
      </c>
      <c r="Q2136" s="57">
        <f>IF($A2136="","",$A2136&amp;"|"&amp;$C2136)</f>
        <v/>
      </c>
      <c r="R2136" s="57">
        <f>IF($A2136="","",$A2136&amp;"|"&amp;$C2136&amp;"|"&amp;$D2136)</f>
        <v/>
      </c>
      <c r="S2136" s="57">
        <f>IF($A2136="","",IFERROR(INDEX(Offerte!$D$2:$D$81,MATCH($Q2136,Offerte!$L$2:$L$81,0)),0))</f>
        <v/>
      </c>
      <c r="T2136" s="57">
        <f>IF($A2136="","",IFERROR(INDEX(Offerte!$G$2:$G$81,MATCH($Q2136,Offerte!$L$2:$L$81,0)),"NO"))</f>
        <v/>
      </c>
    </row>
    <row r="2137">
      <c r="A2137" s="48">
        <f>IF(Offerte!$A70="","",Offerte!$A70)</f>
        <v/>
      </c>
      <c r="B2137" s="48">
        <f>IF(Offerte!$A70="","",Offerte!$B70)</f>
        <v/>
      </c>
      <c r="C2137" s="48">
        <f>IF(Offerte!$A70="","",Offerte!$C70)</f>
        <v/>
      </c>
      <c r="D2137" s="48" t="inlineStr">
        <is>
          <t>F.4.1</t>
        </is>
      </c>
      <c r="E2137" s="48" t="inlineStr">
        <is>
          <t>F</t>
        </is>
      </c>
      <c r="F2137" s="48" t="inlineStr">
        <is>
          <t>Q</t>
        </is>
      </c>
      <c r="G2137" s="48" t="inlineStr">
        <is>
          <t>soil</t>
        </is>
      </c>
      <c r="H2137" s="48" t="n">
        <v>2</v>
      </c>
      <c r="I2137" s="48" t="inlineStr">
        <is>
          <t>Indice di consumo di suolo</t>
        </is>
      </c>
      <c r="J2137" s="73" t="n"/>
      <c r="K2137" s="73" t="n"/>
      <c r="L2137" s="73" t="n"/>
      <c r="M2137" s="73" t="n"/>
      <c r="N2137" s="57">
        <f>IF($A2137="","",IFERROR(VALUE($J2137),0))</f>
        <v/>
      </c>
      <c r="O2137" s="57">
        <f>IF($A2137="",0,IF(OR($S2137&lt;&gt;1,COUNTA($J2137:$M2137)=0),0,IF($N2137&lt;=0,$H2137,IF(SUMPRODUCT(MAX(($C$5:$C$2484=$C2137)*($D$5:$D$2484=$D2137)*($S$5:$S$2484=1)*IFERROR($N$5:$N$2484*1,0)))&gt;0,ROUND($H2137*((SUMPRODUCT(MAX(($C$5:$C$2484=$C2137)*($D$5:$D$2484=$D2137)*($S$5:$S$2484=1)*IFERROR($N$5:$N$2484*1,0)))-$N2137)/SUMPRODUCT(MAX(($C$5:$C$2484=$C2137)*($D$5:$D$2484=$D2137)*($S$5:$S$2484=1)*IFERROR($N$5:$N$2484*1,0)))),4),0))))</f>
        <v/>
      </c>
      <c r="P2137" s="48" t="inlineStr">
        <is>
          <t>m2</t>
        </is>
      </c>
      <c r="Q2137" s="57">
        <f>IF($A2137="","",$A2137&amp;"|"&amp;$C2137)</f>
        <v/>
      </c>
      <c r="R2137" s="57">
        <f>IF($A2137="","",$A2137&amp;"|"&amp;$C2137&amp;"|"&amp;$D2137)</f>
        <v/>
      </c>
      <c r="S2137" s="57">
        <f>IF($A2137="","",IFERROR(INDEX(Offerte!$D$2:$D$81,MATCH($Q2137,Offerte!$L$2:$L$81,0)),0))</f>
        <v/>
      </c>
      <c r="T2137" s="57">
        <f>IF($A2137="","",IFERROR(INDEX(Offerte!$G$2:$G$81,MATCH($Q2137,Offerte!$L$2:$L$81,0)),"NO"))</f>
        <v/>
      </c>
    </row>
    <row r="2138">
      <c r="A2138" s="48">
        <f>IF(Offerte!$A70="","",Offerte!$A70)</f>
        <v/>
      </c>
      <c r="B2138" s="48">
        <f>IF(Offerte!$A70="","",Offerte!$B70)</f>
        <v/>
      </c>
      <c r="C2138" s="48">
        <f>IF(Offerte!$A70="","",Offerte!$C70)</f>
        <v/>
      </c>
      <c r="D2138" s="48" t="inlineStr">
        <is>
          <t>F.5.1</t>
        </is>
      </c>
      <c r="E2138" s="48" t="inlineStr">
        <is>
          <t>F</t>
        </is>
      </c>
      <c r="F2138" s="48" t="inlineStr">
        <is>
          <t>T</t>
        </is>
      </c>
      <c r="G2138" s="48" t="inlineStr">
        <is>
          <t>tabular</t>
        </is>
      </c>
      <c r="H2138" s="48" t="n">
        <v>1</v>
      </c>
      <c r="I2138" s="48" t="inlineStr">
        <is>
          <t>Rendicontazione di sostenibilità ambientale</t>
        </is>
      </c>
      <c r="J2138" s="73" t="n"/>
      <c r="K2138" s="73" t="n"/>
      <c r="L2138" s="73" t="n"/>
      <c r="M2138" s="73" t="n"/>
      <c r="N2138" s="57">
        <f>IF($A2138="","",IF(IFERROR(VALUE($M2138),0)=1,1,0))</f>
        <v/>
      </c>
      <c r="O2138" s="57">
        <f>IF($A2138="",0,IF(OR($S2138&lt;&gt;1,COUNTA($J2138:$M2138)=0),0,IF($N2138=1,$H2138,0)))</f>
        <v/>
      </c>
      <c r="P2138" s="48" t="inlineStr">
        <is>
          <t>sì/no</t>
        </is>
      </c>
      <c r="Q2138" s="57">
        <f>IF($A2138="","",$A2138&amp;"|"&amp;$C2138)</f>
        <v/>
      </c>
      <c r="R2138" s="57">
        <f>IF($A2138="","",$A2138&amp;"|"&amp;$C2138&amp;"|"&amp;$D2138)</f>
        <v/>
      </c>
      <c r="S2138" s="57">
        <f>IF($A2138="","",IFERROR(INDEX(Offerte!$D$2:$D$81,MATCH($Q2138,Offerte!$L$2:$L$81,0)),0))</f>
        <v/>
      </c>
      <c r="T2138" s="57">
        <f>IF($A2138="","",IFERROR(INDEX(Offerte!$G$2:$G$81,MATCH($Q2138,Offerte!$L$2:$L$81,0)),"NO"))</f>
        <v/>
      </c>
    </row>
    <row r="2139">
      <c r="A2139" s="48">
        <f>IF(Offerte!$A70="","",Offerte!$A70)</f>
        <v/>
      </c>
      <c r="B2139" s="48">
        <f>IF(Offerte!$A70="","",Offerte!$B70)</f>
        <v/>
      </c>
      <c r="C2139" s="48">
        <f>IF(Offerte!$A70="","",Offerte!$C70)</f>
        <v/>
      </c>
      <c r="D2139" s="48" t="inlineStr">
        <is>
          <t>G.1.1</t>
        </is>
      </c>
      <c r="E2139" s="48" t="inlineStr">
        <is>
          <t>G</t>
        </is>
      </c>
      <c r="F2139" s="48" t="inlineStr">
        <is>
          <t>D</t>
        </is>
      </c>
      <c r="G2139" s="48" t="inlineStr">
        <is>
          <t>discretionary</t>
        </is>
      </c>
      <c r="H2139" s="48" t="n">
        <v>2</v>
      </c>
      <c r="I2139" s="48" t="inlineStr">
        <is>
          <t>Qualità del progetto di centrale di controllo aziendale</t>
        </is>
      </c>
      <c r="J2139" s="73" t="n"/>
      <c r="K2139" s="73" t="n"/>
      <c r="L2139" s="73" t="n"/>
      <c r="M2139" s="73" t="n"/>
      <c r="N2139" s="57">
        <f>IF($A2139="","",MAX(0,MIN(1,IFERROR(VALUE($M2139),0))))</f>
        <v/>
      </c>
      <c r="O2139" s="57">
        <f>IF($A2139="",0,IF(OR($S2139&lt;&gt;1,COUNTA($J2139:$M2139)=0),0,IF(SUMPRODUCT(MAX(($C$5:$C$2484=$C2139)*($D$5:$D$2484=$D2139)*($S$5:$S$2484=1)*IFERROR($N$5:$N$2484*1,0)))&gt;0,ROUND($H2139*($N2139/SUMPRODUCT(MAX(($C$5:$C$2484=$C2139)*($D$5:$D$2484=$D2139)*($S$5:$S$2484=1)*IFERROR($N$5:$N$2484*1,0)))),4),0)))</f>
        <v/>
      </c>
      <c r="P2139" s="48" t="inlineStr">
        <is>
          <t>coeff.</t>
        </is>
      </c>
      <c r="Q2139" s="57">
        <f>IF($A2139="","",$A2139&amp;"|"&amp;$C2139)</f>
        <v/>
      </c>
      <c r="R2139" s="57">
        <f>IF($A2139="","",$A2139&amp;"|"&amp;$C2139&amp;"|"&amp;$D2139)</f>
        <v/>
      </c>
      <c r="S2139" s="57">
        <f>IF($A2139="","",IFERROR(INDEX(Offerte!$D$2:$D$81,MATCH($Q2139,Offerte!$L$2:$L$81,0)),0))</f>
        <v/>
      </c>
      <c r="T2139" s="57">
        <f>IF($A2139="","",IFERROR(INDEX(Offerte!$G$2:$G$81,MATCH($Q2139,Offerte!$L$2:$L$81,0)),"NO"))</f>
        <v/>
      </c>
    </row>
    <row r="2140">
      <c r="A2140" s="48">
        <f>IF(Offerte!$A70="","",Offerte!$A70)</f>
        <v/>
      </c>
      <c r="B2140" s="48">
        <f>IF(Offerte!$A70="","",Offerte!$B70)</f>
        <v/>
      </c>
      <c r="C2140" s="48">
        <f>IF(Offerte!$A70="","",Offerte!$C70)</f>
        <v/>
      </c>
      <c r="D2140" s="48" t="inlineStr">
        <is>
          <t>G.2.1</t>
        </is>
      </c>
      <c r="E2140" s="48" t="inlineStr">
        <is>
          <t>G</t>
        </is>
      </c>
      <c r="F2140" s="48" t="inlineStr">
        <is>
          <t>T</t>
        </is>
      </c>
      <c r="G2140" s="48" t="inlineStr">
        <is>
          <t>tabular</t>
        </is>
      </c>
      <c r="H2140" s="48" t="n">
        <v>1</v>
      </c>
      <c r="I2140" s="48" t="inlineStr">
        <is>
          <t>Certificazione ISO 45001</t>
        </is>
      </c>
      <c r="J2140" s="73" t="n"/>
      <c r="K2140" s="73" t="n"/>
      <c r="L2140" s="73" t="n"/>
      <c r="M2140" s="73" t="n"/>
      <c r="N2140" s="57">
        <f>IF($A2140="","",IF(IFERROR(VALUE($M2140),0)=1,1,0))</f>
        <v/>
      </c>
      <c r="O2140" s="57">
        <f>IF($A2140="",0,IF(OR($S2140&lt;&gt;1,COUNTA($J2140:$M2140)=0),0,IF($N2140=1,$H2140,0)))</f>
        <v/>
      </c>
      <c r="P2140" s="48" t="inlineStr">
        <is>
          <t>sì/no</t>
        </is>
      </c>
      <c r="Q2140" s="57">
        <f>IF($A2140="","",$A2140&amp;"|"&amp;$C2140)</f>
        <v/>
      </c>
      <c r="R2140" s="57">
        <f>IF($A2140="","",$A2140&amp;"|"&amp;$C2140&amp;"|"&amp;$D2140)</f>
        <v/>
      </c>
      <c r="S2140" s="57">
        <f>IF($A2140="","",IFERROR(INDEX(Offerte!$D$2:$D$81,MATCH($Q2140,Offerte!$L$2:$L$81,0)),0))</f>
        <v/>
      </c>
      <c r="T2140" s="57">
        <f>IF($A2140="","",IFERROR(INDEX(Offerte!$G$2:$G$81,MATCH($Q2140,Offerte!$L$2:$L$81,0)),"NO"))</f>
        <v/>
      </c>
    </row>
    <row r="2141">
      <c r="A2141" s="48">
        <f>IF(Offerte!$A70="","",Offerte!$A70)</f>
        <v/>
      </c>
      <c r="B2141" s="48">
        <f>IF(Offerte!$A70="","",Offerte!$B70)</f>
        <v/>
      </c>
      <c r="C2141" s="48">
        <f>IF(Offerte!$A70="","",Offerte!$C70)</f>
        <v/>
      </c>
      <c r="D2141" s="48" t="inlineStr">
        <is>
          <t>G.3.1</t>
        </is>
      </c>
      <c r="E2141" s="48" t="inlineStr">
        <is>
          <t>G</t>
        </is>
      </c>
      <c r="F2141" s="48" t="inlineStr">
        <is>
          <t>T</t>
        </is>
      </c>
      <c r="G2141" s="48" t="inlineStr">
        <is>
          <t>tabular</t>
        </is>
      </c>
      <c r="H2141" s="48" t="n">
        <v>1</v>
      </c>
      <c r="I2141" s="48" t="inlineStr">
        <is>
          <t>Certificazioni di responsabilità sociale</t>
        </is>
      </c>
      <c r="J2141" s="73" t="n"/>
      <c r="K2141" s="73" t="n"/>
      <c r="L2141" s="73" t="n"/>
      <c r="M2141" s="73" t="n"/>
      <c r="N2141" s="57">
        <f>IF($A2141="","",IF(IFERROR(VALUE($M2141),0)=1,1,0))</f>
        <v/>
      </c>
      <c r="O2141" s="57">
        <f>IF($A2141="",0,IF(OR($S2141&lt;&gt;1,COUNTA($J2141:$M2141)=0),0,IF($N2141=1,$H2141,0)))</f>
        <v/>
      </c>
      <c r="P2141" s="48" t="inlineStr">
        <is>
          <t>sì/no</t>
        </is>
      </c>
      <c r="Q2141" s="57">
        <f>IF($A2141="","",$A2141&amp;"|"&amp;$C2141)</f>
        <v/>
      </c>
      <c r="R2141" s="57">
        <f>IF($A2141="","",$A2141&amp;"|"&amp;$C2141&amp;"|"&amp;$D2141)</f>
        <v/>
      </c>
      <c r="S2141" s="57">
        <f>IF($A2141="","",IFERROR(INDEX(Offerte!$D$2:$D$81,MATCH($Q2141,Offerte!$L$2:$L$81,0)),0))</f>
        <v/>
      </c>
      <c r="T2141" s="57">
        <f>IF($A2141="","",IFERROR(INDEX(Offerte!$G$2:$G$81,MATCH($Q2141,Offerte!$L$2:$L$81,0)),"NO"))</f>
        <v/>
      </c>
    </row>
    <row r="2142">
      <c r="A2142" s="48">
        <f>IF(Offerte!$A70="","",Offerte!$A70)</f>
        <v/>
      </c>
      <c r="B2142" s="48">
        <f>IF(Offerte!$A70="","",Offerte!$B70)</f>
        <v/>
      </c>
      <c r="C2142" s="48">
        <f>IF(Offerte!$A70="","",Offerte!$C70)</f>
        <v/>
      </c>
      <c r="D2142" s="48" t="inlineStr">
        <is>
          <t>G.4.1</t>
        </is>
      </c>
      <c r="E2142" s="48" t="inlineStr">
        <is>
          <t>G</t>
        </is>
      </c>
      <c r="F2142" s="48" t="inlineStr">
        <is>
          <t>D</t>
        </is>
      </c>
      <c r="G2142" s="48" t="inlineStr">
        <is>
          <t>discretionary</t>
        </is>
      </c>
      <c r="H2142" s="48" t="n">
        <v>2</v>
      </c>
      <c r="I2142" s="48" t="inlineStr">
        <is>
          <t>Qualità del piano di formazione del personale</t>
        </is>
      </c>
      <c r="J2142" s="73" t="n"/>
      <c r="K2142" s="73" t="n"/>
      <c r="L2142" s="73" t="n"/>
      <c r="M2142" s="73" t="n"/>
      <c r="N2142" s="57">
        <f>IF($A2142="","",MAX(0,MIN(1,IFERROR(VALUE($M2142),0))))</f>
        <v/>
      </c>
      <c r="O2142" s="57">
        <f>IF($A2142="",0,IF(OR($S2142&lt;&gt;1,COUNTA($J2142:$M2142)=0),0,IF(SUMPRODUCT(MAX(($C$5:$C$2484=$C2142)*($D$5:$D$2484=$D2142)*($S$5:$S$2484=1)*IFERROR($N$5:$N$2484*1,0)))&gt;0,ROUND($H2142*($N2142/SUMPRODUCT(MAX(($C$5:$C$2484=$C2142)*($D$5:$D$2484=$D2142)*($S$5:$S$2484=1)*IFERROR($N$5:$N$2484*1,0)))),4),0)))</f>
        <v/>
      </c>
      <c r="P2142" s="48" t="inlineStr">
        <is>
          <t>coeff.</t>
        </is>
      </c>
      <c r="Q2142" s="57">
        <f>IF($A2142="","",$A2142&amp;"|"&amp;$C2142)</f>
        <v/>
      </c>
      <c r="R2142" s="57">
        <f>IF($A2142="","",$A2142&amp;"|"&amp;$C2142&amp;"|"&amp;$D2142)</f>
        <v/>
      </c>
      <c r="S2142" s="57">
        <f>IF($A2142="","",IFERROR(INDEX(Offerte!$D$2:$D$81,MATCH($Q2142,Offerte!$L$2:$L$81,0)),0))</f>
        <v/>
      </c>
      <c r="T2142" s="57">
        <f>IF($A2142="","",IFERROR(INDEX(Offerte!$G$2:$G$81,MATCH($Q2142,Offerte!$L$2:$L$81,0)),"NO"))</f>
        <v/>
      </c>
    </row>
    <row r="2143">
      <c r="A2143" s="48">
        <f>IF(Offerte!$A70="","",Offerte!$A70)</f>
        <v/>
      </c>
      <c r="B2143" s="48">
        <f>IF(Offerte!$A70="","",Offerte!$B70)</f>
        <v/>
      </c>
      <c r="C2143" s="48">
        <f>IF(Offerte!$A70="","",Offerte!$C70)</f>
        <v/>
      </c>
      <c r="D2143" s="48" t="inlineStr">
        <is>
          <t>G.5.1</t>
        </is>
      </c>
      <c r="E2143" s="48" t="inlineStr">
        <is>
          <t>G</t>
        </is>
      </c>
      <c r="F2143" s="48" t="inlineStr">
        <is>
          <t>T</t>
        </is>
      </c>
      <c r="G2143" s="48" t="inlineStr">
        <is>
          <t>tabular</t>
        </is>
      </c>
      <c r="H2143" s="48" t="n">
        <v>1</v>
      </c>
      <c r="I2143" s="48" t="inlineStr">
        <is>
          <t>Impegno al mantenimento delle garanzie del contratto di secondo livello del gestore uscente</t>
        </is>
      </c>
      <c r="J2143" s="73" t="n"/>
      <c r="K2143" s="73" t="n"/>
      <c r="L2143" s="73" t="n"/>
      <c r="M2143" s="73" t="n"/>
      <c r="N2143" s="57">
        <f>IF($A2143="","",IF(IFERROR(VALUE($M2143),0)=1,1,0))</f>
        <v/>
      </c>
      <c r="O2143" s="57">
        <f>IF($A2143="",0,IF(OR($S2143&lt;&gt;1,COUNTA($J2143:$M2143)=0),0,IF($N2143=1,$H2143,0)))</f>
        <v/>
      </c>
      <c r="P2143" s="48" t="inlineStr">
        <is>
          <t>sì/no</t>
        </is>
      </c>
      <c r="Q2143" s="57">
        <f>IF($A2143="","",$A2143&amp;"|"&amp;$C2143)</f>
        <v/>
      </c>
      <c r="R2143" s="57">
        <f>IF($A2143="","",$A2143&amp;"|"&amp;$C2143&amp;"|"&amp;$D2143)</f>
        <v/>
      </c>
      <c r="S2143" s="57">
        <f>IF($A2143="","",IFERROR(INDEX(Offerte!$D$2:$D$81,MATCH($Q2143,Offerte!$L$2:$L$81,0)),0))</f>
        <v/>
      </c>
      <c r="T2143" s="57">
        <f>IF($A2143="","",IFERROR(INDEX(Offerte!$G$2:$G$81,MATCH($Q2143,Offerte!$L$2:$L$81,0)),"NO"))</f>
        <v/>
      </c>
    </row>
    <row r="2144">
      <c r="A2144" s="48">
        <f>IF(Offerte!$A71="","",Offerte!$A71)</f>
        <v/>
      </c>
      <c r="B2144" s="48">
        <f>IF(Offerte!$A71="","",Offerte!$B71)</f>
        <v/>
      </c>
      <c r="C2144" s="48">
        <f>IF(Offerte!$A71="","",Offerte!$C71)</f>
        <v/>
      </c>
      <c r="D2144" s="48" t="inlineStr">
        <is>
          <t>A.1.1</t>
        </is>
      </c>
      <c r="E2144" s="48" t="inlineStr">
        <is>
          <t>A</t>
        </is>
      </c>
      <c r="F2144" s="48" t="inlineStr">
        <is>
          <t>Q</t>
        </is>
      </c>
      <c r="G2144" s="48" t="inlineStr">
        <is>
          <t>higher</t>
        </is>
      </c>
      <c r="H2144" s="48" t="n">
        <v>3</v>
      </c>
      <c r="I2144" s="48" t="inlineStr">
        <is>
          <t>Tasso aggiuntivo di corse controllate</t>
        </is>
      </c>
      <c r="J2144" s="73" t="n"/>
      <c r="K2144" s="73" t="n"/>
      <c r="L2144" s="73" t="n"/>
      <c r="M2144" s="73" t="n"/>
      <c r="N2144" s="57">
        <f>IF($A2144="","",IFERROR(VALUE($K2144)/VALUE($L2144)*100,IFERROR(VALUE($J2144),0)))</f>
        <v/>
      </c>
      <c r="O2144" s="57">
        <f>IF($A2144="",0,IF(OR($S2144&lt;&gt;1,COUNTA($J2144:$M2144)=0),0,IF(SUMPRODUCT(MAX(($C$5:$C$2484=$C2144)*($D$5:$D$2484=$D2144)*($S$5:$S$2484=1)*IFERROR($N$5:$N$2484*1,0)))&gt;0,ROUND($H2144*($N2144/SUMPRODUCT(MAX(($C$5:$C$2484=$C2144)*($D$5:$D$2484=$D2144)*($S$5:$S$2484=1)*IFERROR($N$5:$N$2484*1,0)))),4),0)))</f>
        <v/>
      </c>
      <c r="P2144" s="48" t="inlineStr">
        <is>
          <t>Corse controllate annue / Corse programmate annue</t>
        </is>
      </c>
      <c r="Q2144" s="57">
        <f>IF($A2144="","",$A2144&amp;"|"&amp;$C2144)</f>
        <v/>
      </c>
      <c r="R2144" s="57">
        <f>IF($A2144="","",$A2144&amp;"|"&amp;$C2144&amp;"|"&amp;$D2144)</f>
        <v/>
      </c>
      <c r="S2144" s="57">
        <f>IF($A2144="","",IFERROR(INDEX(Offerte!$D$2:$D$81,MATCH($Q2144,Offerte!$L$2:$L$81,0)),0))</f>
        <v/>
      </c>
      <c r="T2144" s="57">
        <f>IF($A2144="","",IFERROR(INDEX(Offerte!$G$2:$G$81,MATCH($Q2144,Offerte!$L$2:$L$81,0)),"NO"))</f>
        <v/>
      </c>
    </row>
    <row r="2145">
      <c r="A2145" s="48">
        <f>IF(Offerte!$A71="","",Offerte!$A71)</f>
        <v/>
      </c>
      <c r="B2145" s="48">
        <f>IF(Offerte!$A71="","",Offerte!$B71)</f>
        <v/>
      </c>
      <c r="C2145" s="48">
        <f>IF(Offerte!$A71="","",Offerte!$C71)</f>
        <v/>
      </c>
      <c r="D2145" s="48" t="inlineStr">
        <is>
          <t>A.1.2</t>
        </is>
      </c>
      <c r="E2145" s="48" t="inlineStr">
        <is>
          <t>A</t>
        </is>
      </c>
      <c r="F2145" s="48" t="inlineStr">
        <is>
          <t>Q</t>
        </is>
      </c>
      <c r="G2145" s="48" t="inlineStr">
        <is>
          <t>higher</t>
        </is>
      </c>
      <c r="H2145" s="48" t="n">
        <v>4</v>
      </c>
      <c r="I2145" s="48" t="inlineStr">
        <is>
          <t>Numero aggiuntivo di passeggeri controllati</t>
        </is>
      </c>
      <c r="J2145" s="73" t="n"/>
      <c r="K2145" s="73" t="n"/>
      <c r="L2145" s="73" t="n"/>
      <c r="M2145" s="73" t="n"/>
      <c r="N2145" s="57">
        <f>IF($A2145="","",IFERROR(VALUE($J2145),0))</f>
        <v/>
      </c>
      <c r="O2145" s="57">
        <f>IF($A2145="",0,IF(OR($S2145&lt;&gt;1,COUNTA($J2145:$M2145)=0),0,IF(SUMPRODUCT(MAX(($C$5:$C$2484=$C2145)*($D$5:$D$2484=$D2145)*($S$5:$S$2484=1)*IFERROR($N$5:$N$2484*1,0)))&gt;0,ROUND($H2145*($N2145/SUMPRODUCT(MAX(($C$5:$C$2484=$C2145)*($D$5:$D$2484=$D2145)*($S$5:$S$2484=1)*IFERROR($N$5:$N$2484*1,0)))),4),0)))</f>
        <v/>
      </c>
      <c r="P2145" s="48" t="inlineStr">
        <is>
          <t>passeggeri/anno</t>
        </is>
      </c>
      <c r="Q2145" s="57">
        <f>IF($A2145="","",$A2145&amp;"|"&amp;$C2145)</f>
        <v/>
      </c>
      <c r="R2145" s="57">
        <f>IF($A2145="","",$A2145&amp;"|"&amp;$C2145&amp;"|"&amp;$D2145)</f>
        <v/>
      </c>
      <c r="S2145" s="57">
        <f>IF($A2145="","",IFERROR(INDEX(Offerte!$D$2:$D$81,MATCH($Q2145,Offerte!$L$2:$L$81,0)),0))</f>
        <v/>
      </c>
      <c r="T2145" s="57">
        <f>IF($A2145="","",IFERROR(INDEX(Offerte!$G$2:$G$81,MATCH($Q2145,Offerte!$L$2:$L$81,0)),"NO"))</f>
        <v/>
      </c>
    </row>
    <row r="2146">
      <c r="A2146" s="48">
        <f>IF(Offerte!$A71="","",Offerte!$A71)</f>
        <v/>
      </c>
      <c r="B2146" s="48">
        <f>IF(Offerte!$A71="","",Offerte!$B71)</f>
        <v/>
      </c>
      <c r="C2146" s="48">
        <f>IF(Offerte!$A71="","",Offerte!$C71)</f>
        <v/>
      </c>
      <c r="D2146" s="48" t="inlineStr">
        <is>
          <t>B.1.1</t>
        </is>
      </c>
      <c r="E2146" s="48" t="inlineStr">
        <is>
          <t>B</t>
        </is>
      </c>
      <c r="F2146" s="48" t="inlineStr">
        <is>
          <t>Q</t>
        </is>
      </c>
      <c r="G2146" s="48" t="inlineStr">
        <is>
          <t>higher</t>
        </is>
      </c>
      <c r="H2146" s="48" t="n">
        <v>3</v>
      </c>
      <c r="I2146" s="48" t="inlineStr">
        <is>
          <t>Incremento dei posti offerti nelle fasce di punta</t>
        </is>
      </c>
      <c r="J2146" s="73" t="n"/>
      <c r="K2146" s="73" t="n"/>
      <c r="L2146" s="73" t="n"/>
      <c r="M2146" s="73" t="n"/>
      <c r="N2146" s="57">
        <f>IF($A2146="","",IFERROR(VALUE($J2146),0))</f>
        <v/>
      </c>
      <c r="O2146" s="57">
        <f>IF($A2146="",0,IF(OR($S2146&lt;&gt;1,COUNTA($J2146:$M2146)=0),0,IF(SUMPRODUCT(MAX(($C$5:$C$2484=$C2146)*($D$5:$D$2484=$D2146)*($S$5:$S$2484=1)*IFERROR($N$5:$N$2484*1,0)))&gt;0,ROUND($H2146*($N2146/SUMPRODUCT(MAX(($C$5:$C$2484=$C2146)*($D$5:$D$2484=$D2146)*($S$5:$S$2484=1)*IFERROR($N$5:$N$2484*1,0)))),4),0)))</f>
        <v/>
      </c>
      <c r="P2146" s="48" t="inlineStr">
        <is>
          <t>posti*km</t>
        </is>
      </c>
      <c r="Q2146" s="57">
        <f>IF($A2146="","",$A2146&amp;"|"&amp;$C2146)</f>
        <v/>
      </c>
      <c r="R2146" s="57">
        <f>IF($A2146="","",$A2146&amp;"|"&amp;$C2146&amp;"|"&amp;$D2146)</f>
        <v/>
      </c>
      <c r="S2146" s="57">
        <f>IF($A2146="","",IFERROR(INDEX(Offerte!$D$2:$D$81,MATCH($Q2146,Offerte!$L$2:$L$81,0)),0))</f>
        <v/>
      </c>
      <c r="T2146" s="57">
        <f>IF($A2146="","",IFERROR(INDEX(Offerte!$G$2:$G$81,MATCH($Q2146,Offerte!$L$2:$L$81,0)),"NO"))</f>
        <v/>
      </c>
    </row>
    <row r="2147">
      <c r="A2147" s="48">
        <f>IF(Offerte!$A71="","",Offerte!$A71)</f>
        <v/>
      </c>
      <c r="B2147" s="48">
        <f>IF(Offerte!$A71="","",Offerte!$B71)</f>
        <v/>
      </c>
      <c r="C2147" s="48">
        <f>IF(Offerte!$A71="","",Offerte!$C71)</f>
        <v/>
      </c>
      <c r="D2147" s="48" t="inlineStr">
        <is>
          <t>B.2.1</t>
        </is>
      </c>
      <c r="E2147" s="48" t="inlineStr">
        <is>
          <t>B</t>
        </is>
      </c>
      <c r="F2147" s="48" t="inlineStr">
        <is>
          <t>Q</t>
        </is>
      </c>
      <c r="G2147" s="48" t="inlineStr">
        <is>
          <t>higher</t>
        </is>
      </c>
      <c r="H2147" s="48" t="n">
        <v>4</v>
      </c>
      <c r="I2147" s="48" t="inlineStr">
        <is>
          <t>Corse aggiuntive nell'arco giornaliero base</t>
        </is>
      </c>
      <c r="J2147" s="73" t="n"/>
      <c r="K2147" s="73" t="n"/>
      <c r="L2147" s="73" t="n"/>
      <c r="M2147" s="73" t="n"/>
      <c r="N2147" s="57">
        <f>IF($A2147="","",IFERROR(VALUE($J2147),0))</f>
        <v/>
      </c>
      <c r="O2147" s="57">
        <f>IF($A2147="",0,IF(OR($S2147&lt;&gt;1,COUNTA($J2147:$M2147)=0),0,IF(SUMPRODUCT(MAX(($C$5:$C$2484=$C2147)*($D$5:$D$2484=$D2147)*($S$5:$S$2484=1)*IFERROR($N$5:$N$2484*1,0)))&gt;0,ROUND($H2147*($N2147/SUMPRODUCT(MAX(($C$5:$C$2484=$C2147)*($D$5:$D$2484=$D2147)*($S$5:$S$2484=1)*IFERROR($N$5:$N$2484*1,0)))),4),0)))</f>
        <v/>
      </c>
      <c r="P2147" s="48" t="inlineStr">
        <is>
          <t>corse</t>
        </is>
      </c>
      <c r="Q2147" s="57">
        <f>IF($A2147="","",$A2147&amp;"|"&amp;$C2147)</f>
        <v/>
      </c>
      <c r="R2147" s="57">
        <f>IF($A2147="","",$A2147&amp;"|"&amp;$C2147&amp;"|"&amp;$D2147)</f>
        <v/>
      </c>
      <c r="S2147" s="57">
        <f>IF($A2147="","",IFERROR(INDEX(Offerte!$D$2:$D$81,MATCH($Q2147,Offerte!$L$2:$L$81,0)),0))</f>
        <v/>
      </c>
      <c r="T2147" s="57">
        <f>IF($A2147="","",IFERROR(INDEX(Offerte!$G$2:$G$81,MATCH($Q2147,Offerte!$L$2:$L$81,0)),"NO"))</f>
        <v/>
      </c>
    </row>
    <row r="2148">
      <c r="A2148" s="48">
        <f>IF(Offerte!$A71="","",Offerte!$A71)</f>
        <v/>
      </c>
      <c r="B2148" s="48">
        <f>IF(Offerte!$A71="","",Offerte!$B71)</f>
        <v/>
      </c>
      <c r="C2148" s="48">
        <f>IF(Offerte!$A71="","",Offerte!$C71)</f>
        <v/>
      </c>
      <c r="D2148" s="48" t="inlineStr">
        <is>
          <t>B.3.1</t>
        </is>
      </c>
      <c r="E2148" s="48" t="inlineStr">
        <is>
          <t>B</t>
        </is>
      </c>
      <c r="F2148" s="48" t="inlineStr">
        <is>
          <t>Q</t>
        </is>
      </c>
      <c r="G2148" s="48" t="inlineStr">
        <is>
          <t>higher</t>
        </is>
      </c>
      <c r="H2148" s="48" t="n">
        <v>2</v>
      </c>
      <c r="I2148" s="48" t="inlineStr">
        <is>
          <t>Numero di corse aggiuntive per allungamento dell'arco di servizio giornaliero nelle fasce serali</t>
        </is>
      </c>
      <c r="J2148" s="73" t="n"/>
      <c r="K2148" s="73" t="n"/>
      <c r="L2148" s="73" t="n"/>
      <c r="M2148" s="73" t="n"/>
      <c r="N2148" s="57">
        <f>IF($A2148="","",IFERROR(VALUE($J2148),0))</f>
        <v/>
      </c>
      <c r="O2148" s="57">
        <f>IF($A2148="",0,IF(OR($S2148&lt;&gt;1,COUNTA($J2148:$M2148)=0),0,IF(SUMPRODUCT(MAX(($C$5:$C$2484=$C2148)*($D$5:$D$2484=$D2148)*($S$5:$S$2484=1)*IFERROR($N$5:$N$2484*1,0)))&gt;0,ROUND($H2148*($N2148/SUMPRODUCT(MAX(($C$5:$C$2484=$C2148)*($D$5:$D$2484=$D2148)*($S$5:$S$2484=1)*IFERROR($N$5:$N$2484*1,0)))),4),0)))</f>
        <v/>
      </c>
      <c r="P2148" s="48" t="inlineStr">
        <is>
          <t>corse</t>
        </is>
      </c>
      <c r="Q2148" s="57">
        <f>IF($A2148="","",$A2148&amp;"|"&amp;$C2148)</f>
        <v/>
      </c>
      <c r="R2148" s="57">
        <f>IF($A2148="","",$A2148&amp;"|"&amp;$C2148&amp;"|"&amp;$D2148)</f>
        <v/>
      </c>
      <c r="S2148" s="57">
        <f>IF($A2148="","",IFERROR(INDEX(Offerte!$D$2:$D$81,MATCH($Q2148,Offerte!$L$2:$L$81,0)),0))</f>
        <v/>
      </c>
      <c r="T2148" s="57">
        <f>IF($A2148="","",IFERROR(INDEX(Offerte!$G$2:$G$81,MATCH($Q2148,Offerte!$L$2:$L$81,0)),"NO"))</f>
        <v/>
      </c>
    </row>
    <row r="2149">
      <c r="A2149" s="48">
        <f>IF(Offerte!$A71="","",Offerte!$A71)</f>
        <v/>
      </c>
      <c r="B2149" s="48">
        <f>IF(Offerte!$A71="","",Offerte!$B71)</f>
        <v/>
      </c>
      <c r="C2149" s="48">
        <f>IF(Offerte!$A71="","",Offerte!$C71)</f>
        <v/>
      </c>
      <c r="D2149" s="48" t="inlineStr">
        <is>
          <t>B.4.1</t>
        </is>
      </c>
      <c r="E2149" s="48" t="inlineStr">
        <is>
          <t>B</t>
        </is>
      </c>
      <c r="F2149" s="48" t="inlineStr">
        <is>
          <t>Q</t>
        </is>
      </c>
      <c r="G2149" s="48" t="inlineStr">
        <is>
          <t>higher</t>
        </is>
      </c>
      <c r="H2149" s="48" t="n">
        <v>3</v>
      </c>
      <c r="I2149" s="48" t="inlineStr">
        <is>
          <t>Percorrenze aggiuntive offerte nel Programma d'esercizio delle prime due fasi attuative</t>
        </is>
      </c>
      <c r="J2149" s="73" t="n"/>
      <c r="K2149" s="73" t="n"/>
      <c r="L2149" s="73" t="n"/>
      <c r="M2149" s="73" t="n"/>
      <c r="N2149" s="57">
        <f>IF($A2149="","",IFERROR(VALUE($J2149),0))</f>
        <v/>
      </c>
      <c r="O2149" s="57">
        <f>IF($A2149="",0,IF(OR($S2149&lt;&gt;1,COUNTA($J2149:$M2149)=0),0,IF(SUMPRODUCT(MAX(($C$5:$C$2484=$C2149)*($D$5:$D$2484=$D2149)*($S$5:$S$2484=1)*IFERROR($N$5:$N$2484*1,0)))&gt;0,ROUND($H2149*($N2149/SUMPRODUCT(MAX(($C$5:$C$2484=$C2149)*($D$5:$D$2484=$D2149)*($S$5:$S$2484=1)*IFERROR($N$5:$N$2484*1,0)))),4),0)))</f>
        <v/>
      </c>
      <c r="P2149" s="48" t="inlineStr">
        <is>
          <t>vett*km</t>
        </is>
      </c>
      <c r="Q2149" s="57">
        <f>IF($A2149="","",$A2149&amp;"|"&amp;$C2149)</f>
        <v/>
      </c>
      <c r="R2149" s="57">
        <f>IF($A2149="","",$A2149&amp;"|"&amp;$C2149&amp;"|"&amp;$D2149)</f>
        <v/>
      </c>
      <c r="S2149" s="57">
        <f>IF($A2149="","",IFERROR(INDEX(Offerte!$D$2:$D$81,MATCH($Q2149,Offerte!$L$2:$L$81,0)),0))</f>
        <v/>
      </c>
      <c r="T2149" s="57">
        <f>IF($A2149="","",IFERROR(INDEX(Offerte!$G$2:$G$81,MATCH($Q2149,Offerte!$L$2:$L$81,0)),"NO"))</f>
        <v/>
      </c>
    </row>
    <row r="2150">
      <c r="A2150" s="48">
        <f>IF(Offerte!$A71="","",Offerte!$A71)</f>
        <v/>
      </c>
      <c r="B2150" s="48">
        <f>IF(Offerte!$A71="","",Offerte!$B71)</f>
        <v/>
      </c>
      <c r="C2150" s="48">
        <f>IF(Offerte!$A71="","",Offerte!$C71)</f>
        <v/>
      </c>
      <c r="D2150" s="48" t="inlineStr">
        <is>
          <t>B.5.1</t>
        </is>
      </c>
      <c r="E2150" s="48" t="inlineStr">
        <is>
          <t>B</t>
        </is>
      </c>
      <c r="F2150" s="48" t="inlineStr">
        <is>
          <t>D</t>
        </is>
      </c>
      <c r="G2150" s="48" t="inlineStr">
        <is>
          <t>discretionary</t>
        </is>
      </c>
      <c r="H2150" s="48" t="n">
        <v>2</v>
      </c>
      <c r="I2150" s="48" t="inlineStr">
        <is>
          <t>Efficacia del progetto di servizi complementari DRT</t>
        </is>
      </c>
      <c r="J2150" s="73" t="n"/>
      <c r="K2150" s="73" t="n"/>
      <c r="L2150" s="73" t="n"/>
      <c r="M2150" s="73" t="n"/>
      <c r="N2150" s="57">
        <f>IF($A2150="","",MAX(0,MIN(1,IFERROR(VALUE($M2150),0))))</f>
        <v/>
      </c>
      <c r="O2150" s="57">
        <f>IF($A2150="",0,IF(OR($S2150&lt;&gt;1,COUNTA($J2150:$M2150)=0),0,IF(SUMPRODUCT(MAX(($C$5:$C$2484=$C2150)*($D$5:$D$2484=$D2150)*($S$5:$S$2484=1)*IFERROR($N$5:$N$2484*1,0)))&gt;0,ROUND($H2150*($N2150/SUMPRODUCT(MAX(($C$5:$C$2484=$C2150)*($D$5:$D$2484=$D2150)*($S$5:$S$2484=1)*IFERROR($N$5:$N$2484*1,0)))),4),0)))</f>
        <v/>
      </c>
      <c r="P2150" s="48" t="inlineStr">
        <is>
          <t>coeff.</t>
        </is>
      </c>
      <c r="Q2150" s="57">
        <f>IF($A2150="","",$A2150&amp;"|"&amp;$C2150)</f>
        <v/>
      </c>
      <c r="R2150" s="57">
        <f>IF($A2150="","",$A2150&amp;"|"&amp;$C2150&amp;"|"&amp;$D2150)</f>
        <v/>
      </c>
      <c r="S2150" s="57">
        <f>IF($A2150="","",IFERROR(INDEX(Offerte!$D$2:$D$81,MATCH($Q2150,Offerte!$L$2:$L$81,0)),0))</f>
        <v/>
      </c>
      <c r="T2150" s="57">
        <f>IF($A2150="","",IFERROR(INDEX(Offerte!$G$2:$G$81,MATCH($Q2150,Offerte!$L$2:$L$81,0)),"NO"))</f>
        <v/>
      </c>
    </row>
    <row r="2151">
      <c r="A2151" s="48">
        <f>IF(Offerte!$A71="","",Offerte!$A71)</f>
        <v/>
      </c>
      <c r="B2151" s="48">
        <f>IF(Offerte!$A71="","",Offerte!$B71)</f>
        <v/>
      </c>
      <c r="C2151" s="48">
        <f>IF(Offerte!$A71="","",Offerte!$C71)</f>
        <v/>
      </c>
      <c r="D2151" s="48" t="inlineStr">
        <is>
          <t>C.1.1</t>
        </is>
      </c>
      <c r="E2151" s="48" t="inlineStr">
        <is>
          <t>C</t>
        </is>
      </c>
      <c r="F2151" s="48" t="inlineStr">
        <is>
          <t>Q</t>
        </is>
      </c>
      <c r="G2151" s="48" t="inlineStr">
        <is>
          <t>higher</t>
        </is>
      </c>
      <c r="H2151" s="48" t="n">
        <v>2</v>
      </c>
      <c r="I2151" s="48" t="inlineStr">
        <is>
          <t>Tasso di copertura del servizio con telecamere BSD</t>
        </is>
      </c>
      <c r="J2151" s="73" t="n"/>
      <c r="K2151" s="73" t="n"/>
      <c r="L2151" s="73" t="n"/>
      <c r="M2151" s="73" t="n"/>
      <c r="N2151" s="57">
        <f>IF($A2151="","",IFERROR(VALUE($K2151)/VALUE($L2151),IFERROR(VALUE($J2151),0)))</f>
        <v/>
      </c>
      <c r="O2151" s="57">
        <f>IF($A2151="",0,IF(OR($S2151&lt;&gt;1,COUNTA($J2151:$M2151)=0),0,IF(SUMPRODUCT(MAX(($C$5:$C$2484=$C2151)*($D$5:$D$2484=$D2151)*($S$5:$S$2484=1)*IFERROR($N$5:$N$2484*1,0)))&gt;0,ROUND($H2151*($N2151/SUMPRODUCT(MAX(($C$5:$C$2484=$C2151)*($D$5:$D$2484=$D2151)*($S$5:$S$2484=1)*IFERROR($N$5:$N$2484*1,0)))),4),0)))</f>
        <v/>
      </c>
      <c r="P2151" s="48" t="inlineStr">
        <is>
          <t>Autobus attrezzati con telecamere BSD / Autobus totali in offerta, incluse scorte</t>
        </is>
      </c>
      <c r="Q2151" s="57">
        <f>IF($A2151="","",$A2151&amp;"|"&amp;$C2151)</f>
        <v/>
      </c>
      <c r="R2151" s="57">
        <f>IF($A2151="","",$A2151&amp;"|"&amp;$C2151&amp;"|"&amp;$D2151)</f>
        <v/>
      </c>
      <c r="S2151" s="57">
        <f>IF($A2151="","",IFERROR(INDEX(Offerte!$D$2:$D$81,MATCH($Q2151,Offerte!$L$2:$L$81,0)),0))</f>
        <v/>
      </c>
      <c r="T2151" s="57">
        <f>IF($A2151="","",IFERROR(INDEX(Offerte!$G$2:$G$81,MATCH($Q2151,Offerte!$L$2:$L$81,0)),"NO"))</f>
        <v/>
      </c>
    </row>
    <row r="2152">
      <c r="A2152" s="48">
        <f>IF(Offerte!$A71="","",Offerte!$A71)</f>
        <v/>
      </c>
      <c r="B2152" s="48">
        <f>IF(Offerte!$A71="","",Offerte!$B71)</f>
        <v/>
      </c>
      <c r="C2152" s="48">
        <f>IF(Offerte!$A71="","",Offerte!$C71)</f>
        <v/>
      </c>
      <c r="D2152" s="48" t="inlineStr">
        <is>
          <t>C.1.2</t>
        </is>
      </c>
      <c r="E2152" s="48" t="inlineStr">
        <is>
          <t>C</t>
        </is>
      </c>
      <c r="F2152" s="48" t="inlineStr">
        <is>
          <t>Q</t>
        </is>
      </c>
      <c r="G2152" s="48" t="inlineStr">
        <is>
          <t>higher</t>
        </is>
      </c>
      <c r="H2152" s="48" t="n">
        <v>2</v>
      </c>
      <c r="I2152" s="48" t="inlineStr">
        <is>
          <t>Tasso di copertura del servizio con telecamere ADAS</t>
        </is>
      </c>
      <c r="J2152" s="73" t="n"/>
      <c r="K2152" s="73" t="n"/>
      <c r="L2152" s="73" t="n"/>
      <c r="M2152" s="73" t="n"/>
      <c r="N2152" s="57">
        <f>IF($A2152="","",IFERROR(VALUE($K2152)/VALUE($L2152),IFERROR(VALUE($J2152),0)))</f>
        <v/>
      </c>
      <c r="O2152" s="57">
        <f>IF($A2152="",0,IF(OR($S2152&lt;&gt;1,COUNTA($J2152:$M2152)=0),0,IF(SUMPRODUCT(MAX(($C$5:$C$2484=$C2152)*($D$5:$D$2484=$D2152)*($S$5:$S$2484=1)*IFERROR($N$5:$N$2484*1,0)))&gt;0,ROUND($H2152*($N2152/SUMPRODUCT(MAX(($C$5:$C$2484=$C2152)*($D$5:$D$2484=$D2152)*($S$5:$S$2484=1)*IFERROR($N$5:$N$2484*1,0)))),4),0)))</f>
        <v/>
      </c>
      <c r="P2152" s="48" t="inlineStr">
        <is>
          <t>Autobus attrezzati con telecamere ADAS / Autobus totali in offerta, incluse scorte</t>
        </is>
      </c>
      <c r="Q2152" s="57">
        <f>IF($A2152="","",$A2152&amp;"|"&amp;$C2152)</f>
        <v/>
      </c>
      <c r="R2152" s="57">
        <f>IF($A2152="","",$A2152&amp;"|"&amp;$C2152&amp;"|"&amp;$D2152)</f>
        <v/>
      </c>
      <c r="S2152" s="57">
        <f>IF($A2152="","",IFERROR(INDEX(Offerte!$D$2:$D$81,MATCH($Q2152,Offerte!$L$2:$L$81,0)),0))</f>
        <v/>
      </c>
      <c r="T2152" s="57">
        <f>IF($A2152="","",IFERROR(INDEX(Offerte!$G$2:$G$81,MATCH($Q2152,Offerte!$L$2:$L$81,0)),"NO"))</f>
        <v/>
      </c>
    </row>
    <row r="2153">
      <c r="A2153" s="48">
        <f>IF(Offerte!$A71="","",Offerte!$A71)</f>
        <v/>
      </c>
      <c r="B2153" s="48">
        <f>IF(Offerte!$A71="","",Offerte!$B71)</f>
        <v/>
      </c>
      <c r="C2153" s="48">
        <f>IF(Offerte!$A71="","",Offerte!$C71)</f>
        <v/>
      </c>
      <c r="D2153" s="48" t="inlineStr">
        <is>
          <t>C.2.1</t>
        </is>
      </c>
      <c r="E2153" s="48" t="inlineStr">
        <is>
          <t>C</t>
        </is>
      </c>
      <c r="F2153" s="48" t="inlineStr">
        <is>
          <t>Q</t>
        </is>
      </c>
      <c r="G2153" s="48" t="inlineStr">
        <is>
          <t>higher</t>
        </is>
      </c>
      <c r="H2153" s="48" t="n">
        <v>3</v>
      </c>
      <c r="I2153" s="48" t="inlineStr">
        <is>
          <t>Tasso di copertura del servizio con telecamere di bordo di videosorveglianza</t>
        </is>
      </c>
      <c r="J2153" s="73" t="n"/>
      <c r="K2153" s="73" t="n"/>
      <c r="L2153" s="73" t="n"/>
      <c r="M2153" s="73" t="n"/>
      <c r="N2153" s="57">
        <f>IF($A2153="","",IFERROR(VALUE($K2153)/VALUE($L2153),IFERROR(VALUE($J2153),0)))</f>
        <v/>
      </c>
      <c r="O2153" s="57">
        <f>IF($A2153="",0,IF(OR($S2153&lt;&gt;1,COUNTA($J2153:$M2153)=0),0,IF(SUMPRODUCT(MAX(($C$5:$C$2484=$C2153)*($D$5:$D$2484=$D2153)*($S$5:$S$2484=1)*IFERROR($N$5:$N$2484*1,0)))&gt;0,ROUND($H2153*($N2153/SUMPRODUCT(MAX(($C$5:$C$2484=$C2153)*($D$5:$D$2484=$D2153)*($S$5:$S$2484=1)*IFERROR($N$5:$N$2484*1,0)))),4),0)))</f>
        <v/>
      </c>
      <c r="P2153" s="48" t="inlineStr">
        <is>
          <t>Autobus attrezzati con videosorveglianza / Autobus totali in offerta, incluse scorte</t>
        </is>
      </c>
      <c r="Q2153" s="57">
        <f>IF($A2153="","",$A2153&amp;"|"&amp;$C2153)</f>
        <v/>
      </c>
      <c r="R2153" s="57">
        <f>IF($A2153="","",$A2153&amp;"|"&amp;$C2153&amp;"|"&amp;$D2153)</f>
        <v/>
      </c>
      <c r="S2153" s="57">
        <f>IF($A2153="","",IFERROR(INDEX(Offerte!$D$2:$D$81,MATCH($Q2153,Offerte!$L$2:$L$81,0)),0))</f>
        <v/>
      </c>
      <c r="T2153" s="57">
        <f>IF($A2153="","",IFERROR(INDEX(Offerte!$G$2:$G$81,MATCH($Q2153,Offerte!$L$2:$L$81,0)),"NO"))</f>
        <v/>
      </c>
    </row>
    <row r="2154">
      <c r="A2154" s="48">
        <f>IF(Offerte!$A71="","",Offerte!$A71)</f>
        <v/>
      </c>
      <c r="B2154" s="48">
        <f>IF(Offerte!$A71="","",Offerte!$B71)</f>
        <v/>
      </c>
      <c r="C2154" s="48">
        <f>IF(Offerte!$A71="","",Offerte!$C71)</f>
        <v/>
      </c>
      <c r="D2154" s="48" t="inlineStr">
        <is>
          <t>C.2.2</t>
        </is>
      </c>
      <c r="E2154" s="48" t="inlineStr">
        <is>
          <t>C</t>
        </is>
      </c>
      <c r="F2154" s="48" t="inlineStr">
        <is>
          <t>T</t>
        </is>
      </c>
      <c r="G2154" s="48" t="inlineStr">
        <is>
          <t>tabular</t>
        </is>
      </c>
      <c r="H2154" s="48" t="n">
        <v>1</v>
      </c>
      <c r="I2154" s="48" t="inlineStr">
        <is>
          <t>Software video/audio analisi per situazioni di pericolo</t>
        </is>
      </c>
      <c r="J2154" s="73" t="n"/>
      <c r="K2154" s="73" t="n"/>
      <c r="L2154" s="73" t="n"/>
      <c r="M2154" s="73" t="n"/>
      <c r="N2154" s="57">
        <f>IF($A2154="","",IF(IFERROR(VALUE($M2154),0)=1,1,0))</f>
        <v/>
      </c>
      <c r="O2154" s="57">
        <f>IF($A2154="",0,IF(OR($S2154&lt;&gt;1,COUNTA($J2154:$M2154)=0),0,IF($N2154=1,$H2154,0)))</f>
        <v/>
      </c>
      <c r="P2154" s="48" t="inlineStr">
        <is>
          <t>sì/no</t>
        </is>
      </c>
      <c r="Q2154" s="57">
        <f>IF($A2154="","",$A2154&amp;"|"&amp;$C2154)</f>
        <v/>
      </c>
      <c r="R2154" s="57">
        <f>IF($A2154="","",$A2154&amp;"|"&amp;$C2154&amp;"|"&amp;$D2154)</f>
        <v/>
      </c>
      <c r="S2154" s="57">
        <f>IF($A2154="","",IFERROR(INDEX(Offerte!$D$2:$D$81,MATCH($Q2154,Offerte!$L$2:$L$81,0)),0))</f>
        <v/>
      </c>
      <c r="T2154" s="57">
        <f>IF($A2154="","",IFERROR(INDEX(Offerte!$G$2:$G$81,MATCH($Q2154,Offerte!$L$2:$L$81,0)),"NO"))</f>
        <v/>
      </c>
    </row>
    <row r="2155">
      <c r="A2155" s="48">
        <f>IF(Offerte!$A71="","",Offerte!$A71)</f>
        <v/>
      </c>
      <c r="B2155" s="48">
        <f>IF(Offerte!$A71="","",Offerte!$B71)</f>
        <v/>
      </c>
      <c r="C2155" s="48">
        <f>IF(Offerte!$A71="","",Offerte!$C71)</f>
        <v/>
      </c>
      <c r="D2155" s="48" t="inlineStr">
        <is>
          <t>C.2.3</t>
        </is>
      </c>
      <c r="E2155" s="48" t="inlineStr">
        <is>
          <t>C</t>
        </is>
      </c>
      <c r="F2155" s="48" t="inlineStr">
        <is>
          <t>T</t>
        </is>
      </c>
      <c r="G2155" s="48" t="inlineStr">
        <is>
          <t>tabular</t>
        </is>
      </c>
      <c r="H2155" s="48" t="n">
        <v>1</v>
      </c>
      <c r="I2155" s="48" t="inlineStr">
        <is>
          <t>Collegamento con centrale qualificata di pronto intervento</t>
        </is>
      </c>
      <c r="J2155" s="73" t="n"/>
      <c r="K2155" s="73" t="n"/>
      <c r="L2155" s="73" t="n"/>
      <c r="M2155" s="73" t="n"/>
      <c r="N2155" s="57">
        <f>IF($A2155="","",IF(IFERROR(VALUE($M2155),0)=1,1,0))</f>
        <v/>
      </c>
      <c r="O2155" s="57">
        <f>IF($A2155="",0,IF(OR($S2155&lt;&gt;1,COUNTA($J2155:$M2155)=0),0,IF($N2155=1,$H2155,0)))</f>
        <v/>
      </c>
      <c r="P2155" s="48" t="inlineStr">
        <is>
          <t>sì/no</t>
        </is>
      </c>
      <c r="Q2155" s="57">
        <f>IF($A2155="","",$A2155&amp;"|"&amp;$C2155)</f>
        <v/>
      </c>
      <c r="R2155" s="57">
        <f>IF($A2155="","",$A2155&amp;"|"&amp;$C2155&amp;"|"&amp;$D2155)</f>
        <v/>
      </c>
      <c r="S2155" s="57">
        <f>IF($A2155="","",IFERROR(INDEX(Offerte!$D$2:$D$81,MATCH($Q2155,Offerte!$L$2:$L$81,0)),0))</f>
        <v/>
      </c>
      <c r="T2155" s="57">
        <f>IF($A2155="","",IFERROR(INDEX(Offerte!$G$2:$G$81,MATCH($Q2155,Offerte!$L$2:$L$81,0)),"NO"))</f>
        <v/>
      </c>
    </row>
    <row r="2156">
      <c r="A2156" s="48">
        <f>IF(Offerte!$A71="","",Offerte!$A71)</f>
        <v/>
      </c>
      <c r="B2156" s="48">
        <f>IF(Offerte!$A71="","",Offerte!$B71)</f>
        <v/>
      </c>
      <c r="C2156" s="48">
        <f>IF(Offerte!$A71="","",Offerte!$C71)</f>
        <v/>
      </c>
      <c r="D2156" s="48" t="inlineStr">
        <is>
          <t>C.2.4</t>
        </is>
      </c>
      <c r="E2156" s="48" t="inlineStr">
        <is>
          <t>C</t>
        </is>
      </c>
      <c r="F2156" s="48" t="inlineStr">
        <is>
          <t>Q</t>
        </is>
      </c>
      <c r="G2156" s="48" t="inlineStr">
        <is>
          <t>higher</t>
        </is>
      </c>
      <c r="H2156" s="48" t="n">
        <v>1</v>
      </c>
      <c r="I2156" s="48" t="inlineStr">
        <is>
          <t>Tasso di copertura del servizio con dispositivi per la chiamata di emergenza del conducente</t>
        </is>
      </c>
      <c r="J2156" s="73" t="n"/>
      <c r="K2156" s="73" t="n"/>
      <c r="L2156" s="73" t="n"/>
      <c r="M2156" s="73" t="n"/>
      <c r="N2156" s="57">
        <f>IF($A2156="","",IFERROR(VALUE($K2156)/VALUE($L2156),IFERROR(VALUE($J2156),0)))</f>
        <v/>
      </c>
      <c r="O2156" s="57">
        <f>IF($A2156="",0,IF(OR($S2156&lt;&gt;1,COUNTA($J2156:$M2156)=0),0,IF(SUMPRODUCT(MAX(($C$5:$C$2484=$C2156)*($D$5:$D$2484=$D2156)*($S$5:$S$2484=1)*IFERROR($N$5:$N$2484*1,0)))&gt;0,ROUND($H2156*($N2156/SUMPRODUCT(MAX(($C$5:$C$2484=$C2156)*($D$5:$D$2484=$D2156)*($S$5:$S$2484=1)*IFERROR($N$5:$N$2484*1,0)))),4),0)))</f>
        <v/>
      </c>
      <c r="P2156" s="48" t="inlineStr">
        <is>
          <t>Autobus attrezzati con chiamata di emergenza / Autobus totali in offerta, incluse scorte</t>
        </is>
      </c>
      <c r="Q2156" s="57">
        <f>IF($A2156="","",$A2156&amp;"|"&amp;$C2156)</f>
        <v/>
      </c>
      <c r="R2156" s="57">
        <f>IF($A2156="","",$A2156&amp;"|"&amp;$C2156&amp;"|"&amp;$D2156)</f>
        <v/>
      </c>
      <c r="S2156" s="57">
        <f>IF($A2156="","",IFERROR(INDEX(Offerte!$D$2:$D$81,MATCH($Q2156,Offerte!$L$2:$L$81,0)),0))</f>
        <v/>
      </c>
      <c r="T2156" s="57">
        <f>IF($A2156="","",IFERROR(INDEX(Offerte!$G$2:$G$81,MATCH($Q2156,Offerte!$L$2:$L$81,0)),"NO"))</f>
        <v/>
      </c>
    </row>
    <row r="2157">
      <c r="A2157" s="48">
        <f>IF(Offerte!$A71="","",Offerte!$A71)</f>
        <v/>
      </c>
      <c r="B2157" s="48">
        <f>IF(Offerte!$A71="","",Offerte!$B71)</f>
        <v/>
      </c>
      <c r="C2157" s="48">
        <f>IF(Offerte!$A71="","",Offerte!$C71)</f>
        <v/>
      </c>
      <c r="D2157" s="48" t="inlineStr">
        <is>
          <t>C.3.1</t>
        </is>
      </c>
      <c r="E2157" s="48" t="inlineStr">
        <is>
          <t>C</t>
        </is>
      </c>
      <c r="F2157" s="48" t="inlineStr">
        <is>
          <t>Q</t>
        </is>
      </c>
      <c r="G2157" s="48" t="inlineStr">
        <is>
          <t>higher</t>
        </is>
      </c>
      <c r="H2157" s="48" t="n">
        <v>2</v>
      </c>
      <c r="I2157" s="48" t="inlineStr">
        <is>
          <t>Tasso di copertura del servizio con dispositivi di informazione dinamica a bordo mezzo</t>
        </is>
      </c>
      <c r="J2157" s="73" t="n"/>
      <c r="K2157" s="73" t="n"/>
      <c r="L2157" s="73" t="n"/>
      <c r="M2157" s="73" t="n"/>
      <c r="N2157" s="57">
        <f>IF($A2157="","",IFERROR(VALUE($K2157)/VALUE($L2157),IFERROR(VALUE($J2157),0)))</f>
        <v/>
      </c>
      <c r="O2157" s="57">
        <f>IF($A2157="",0,IF(OR($S2157&lt;&gt;1,COUNTA($J2157:$M2157)=0),0,IF(SUMPRODUCT(MAX(($C$5:$C$2484=$C2157)*($D$5:$D$2484=$D2157)*($S$5:$S$2484=1)*IFERROR($N$5:$N$2484*1,0)))&gt;0,ROUND($H2157*($N2157/SUMPRODUCT(MAX(($C$5:$C$2484=$C2157)*($D$5:$D$2484=$D2157)*($S$5:$S$2484=1)*IFERROR($N$5:$N$2484*1,0)))),4),0)))</f>
        <v/>
      </c>
      <c r="P2157" s="48" t="inlineStr">
        <is>
          <t>Autobus con monitor e indicatori vocali / Autobus totali in offerta, incluse scorte</t>
        </is>
      </c>
      <c r="Q2157" s="57">
        <f>IF($A2157="","",$A2157&amp;"|"&amp;$C2157)</f>
        <v/>
      </c>
      <c r="R2157" s="57">
        <f>IF($A2157="","",$A2157&amp;"|"&amp;$C2157&amp;"|"&amp;$D2157)</f>
        <v/>
      </c>
      <c r="S2157" s="57">
        <f>IF($A2157="","",IFERROR(INDEX(Offerte!$D$2:$D$81,MATCH($Q2157,Offerte!$L$2:$L$81,0)),0))</f>
        <v/>
      </c>
      <c r="T2157" s="57">
        <f>IF($A2157="","",IFERROR(INDEX(Offerte!$G$2:$G$81,MATCH($Q2157,Offerte!$L$2:$L$81,0)),"NO"))</f>
        <v/>
      </c>
    </row>
    <row r="2158">
      <c r="A2158" s="48">
        <f>IF(Offerte!$A71="","",Offerte!$A71)</f>
        <v/>
      </c>
      <c r="B2158" s="48">
        <f>IF(Offerte!$A71="","",Offerte!$B71)</f>
        <v/>
      </c>
      <c r="C2158" s="48">
        <f>IF(Offerte!$A71="","",Offerte!$C71)</f>
        <v/>
      </c>
      <c r="D2158" s="48" t="inlineStr">
        <is>
          <t>C.3.2</t>
        </is>
      </c>
      <c r="E2158" s="48" t="inlineStr">
        <is>
          <t>C</t>
        </is>
      </c>
      <c r="F2158" s="48" t="inlineStr">
        <is>
          <t>T</t>
        </is>
      </c>
      <c r="G2158" s="48" t="inlineStr">
        <is>
          <t>tabular</t>
        </is>
      </c>
      <c r="H2158" s="48" t="n">
        <v>2</v>
      </c>
      <c r="I2158" s="48" t="inlineStr">
        <is>
          <t>Informazioni a bordo su coincidenze ai nodi</t>
        </is>
      </c>
      <c r="J2158" s="73" t="n"/>
      <c r="K2158" s="73" t="n"/>
      <c r="L2158" s="73" t="n"/>
      <c r="M2158" s="73" t="n"/>
      <c r="N2158" s="57">
        <f>IF($A2158="","",IF(IFERROR(VALUE($M2158),0)=1,1,0))</f>
        <v/>
      </c>
      <c r="O2158" s="57">
        <f>IF($A2158="",0,IF(OR($S2158&lt;&gt;1,COUNTA($J2158:$M2158)=0),0,IF(AND($N2158=1,IFERROR(SUMIFS($N$5:$N$2484,$Q$5:$Q$2484,$Q2158,$D$5:$D$2484,"C.3.1"),0)&gt;=0.5),$H2158,0)))</f>
        <v/>
      </c>
      <c r="P2158" s="48" t="inlineStr">
        <is>
          <t>Dipende da C.3.1 &gt;= 0.5</t>
        </is>
      </c>
      <c r="Q2158" s="57">
        <f>IF($A2158="","",$A2158&amp;"|"&amp;$C2158)</f>
        <v/>
      </c>
      <c r="R2158" s="57">
        <f>IF($A2158="","",$A2158&amp;"|"&amp;$C2158&amp;"|"&amp;$D2158)</f>
        <v/>
      </c>
      <c r="S2158" s="57">
        <f>IF($A2158="","",IFERROR(INDEX(Offerte!$D$2:$D$81,MATCH($Q2158,Offerte!$L$2:$L$81,0)),0))</f>
        <v/>
      </c>
      <c r="T2158" s="57">
        <f>IF($A2158="","",IFERROR(INDEX(Offerte!$G$2:$G$81,MATCH($Q2158,Offerte!$L$2:$L$81,0)),"NO"))</f>
        <v/>
      </c>
    </row>
    <row r="2159">
      <c r="A2159" s="48">
        <f>IF(Offerte!$A71="","",Offerte!$A71)</f>
        <v/>
      </c>
      <c r="B2159" s="48">
        <f>IF(Offerte!$A71="","",Offerte!$B71)</f>
        <v/>
      </c>
      <c r="C2159" s="48">
        <f>IF(Offerte!$A71="","",Offerte!$C71)</f>
        <v/>
      </c>
      <c r="D2159" s="48" t="inlineStr">
        <is>
          <t>D.1.1</t>
        </is>
      </c>
      <c r="E2159" s="48" t="inlineStr">
        <is>
          <t>D</t>
        </is>
      </c>
      <c r="F2159" s="48" t="inlineStr">
        <is>
          <t>Q</t>
        </is>
      </c>
      <c r="G2159" s="48" t="inlineStr">
        <is>
          <t>higher</t>
        </is>
      </c>
      <c r="H2159" s="48" t="n">
        <v>3</v>
      </c>
      <c r="I2159" s="48" t="inlineStr">
        <is>
          <t>Installazione di pensiline</t>
        </is>
      </c>
      <c r="J2159" s="73" t="n"/>
      <c r="K2159" s="73" t="n"/>
      <c r="L2159" s="73" t="n"/>
      <c r="M2159" s="73" t="n"/>
      <c r="N2159" s="57">
        <f>IF($A2159="","",IFERROR(VALUE($J2159),0))</f>
        <v/>
      </c>
      <c r="O2159" s="57">
        <f>IF($A2159="",0,IF(OR($S2159&lt;&gt;1,COUNTA($J2159:$M2159)=0),0,IF(SUMPRODUCT(MAX(($C$5:$C$2484=$C2159)*($D$5:$D$2484=$D2159)*($S$5:$S$2484=1)*IFERROR($N$5:$N$2484*1,0)))&gt;0,ROUND($H2159*($N2159/SUMPRODUCT(MAX(($C$5:$C$2484=$C2159)*($D$5:$D$2484=$D2159)*($S$5:$S$2484=1)*IFERROR($N$5:$N$2484*1,0)))),4),0)))</f>
        <v/>
      </c>
      <c r="P2159" s="48" t="inlineStr">
        <is>
          <t>fermate</t>
        </is>
      </c>
      <c r="Q2159" s="57">
        <f>IF($A2159="","",$A2159&amp;"|"&amp;$C2159)</f>
        <v/>
      </c>
      <c r="R2159" s="57">
        <f>IF($A2159="","",$A2159&amp;"|"&amp;$C2159&amp;"|"&amp;$D2159)</f>
        <v/>
      </c>
      <c r="S2159" s="57">
        <f>IF($A2159="","",IFERROR(INDEX(Offerte!$D$2:$D$81,MATCH($Q2159,Offerte!$L$2:$L$81,0)),0))</f>
        <v/>
      </c>
      <c r="T2159" s="57">
        <f>IF($A2159="","",IFERROR(INDEX(Offerte!$G$2:$G$81,MATCH($Q2159,Offerte!$L$2:$L$81,0)),"NO"))</f>
        <v/>
      </c>
    </row>
    <row r="2160">
      <c r="A2160" s="48">
        <f>IF(Offerte!$A71="","",Offerte!$A71)</f>
        <v/>
      </c>
      <c r="B2160" s="48">
        <f>IF(Offerte!$A71="","",Offerte!$B71)</f>
        <v/>
      </c>
      <c r="C2160" s="48">
        <f>IF(Offerte!$A71="","",Offerte!$C71)</f>
        <v/>
      </c>
      <c r="D2160" s="48" t="inlineStr">
        <is>
          <t>D.1.2</t>
        </is>
      </c>
      <c r="E2160" s="48" t="inlineStr">
        <is>
          <t>D</t>
        </is>
      </c>
      <c r="F2160" s="48" t="inlineStr">
        <is>
          <t>Q</t>
        </is>
      </c>
      <c r="G2160" s="48" t="inlineStr">
        <is>
          <t>higher</t>
        </is>
      </c>
      <c r="H2160" s="48" t="n">
        <v>3</v>
      </c>
      <c r="I2160" s="48" t="inlineStr">
        <is>
          <t>Installazione di paline di fermata conformi alla DGR 581/2023</t>
        </is>
      </c>
      <c r="J2160" s="73" t="n"/>
      <c r="K2160" s="73" t="n"/>
      <c r="L2160" s="73" t="n"/>
      <c r="M2160" s="73" t="n"/>
      <c r="N2160" s="57">
        <f>IF($A2160="","",IFERROR(VALUE($J2160),0))</f>
        <v/>
      </c>
      <c r="O2160" s="57">
        <f>IF($A2160="",0,IF(OR($S2160&lt;&gt;1,COUNTA($J2160:$M2160)=0),0,IF(SUMPRODUCT(MAX(($C$5:$C$2484=$C2160)*($D$5:$D$2484=$D2160)*($S$5:$S$2484=1)*IFERROR($N$5:$N$2484*1,0)))&gt;0,ROUND($H2160*($N2160/SUMPRODUCT(MAX(($C$5:$C$2484=$C2160)*($D$5:$D$2484=$D2160)*($S$5:$S$2484=1)*IFERROR($N$5:$N$2484*1,0)))),4),0)))</f>
        <v/>
      </c>
      <c r="P2160" s="48" t="inlineStr">
        <is>
          <t>fermate</t>
        </is>
      </c>
      <c r="Q2160" s="57">
        <f>IF($A2160="","",$A2160&amp;"|"&amp;$C2160)</f>
        <v/>
      </c>
      <c r="R2160" s="57">
        <f>IF($A2160="","",$A2160&amp;"|"&amp;$C2160&amp;"|"&amp;$D2160)</f>
        <v/>
      </c>
      <c r="S2160" s="57">
        <f>IF($A2160="","",IFERROR(INDEX(Offerte!$D$2:$D$81,MATCH($Q2160,Offerte!$L$2:$L$81,0)),0))</f>
        <v/>
      </c>
      <c r="T2160" s="57">
        <f>IF($A2160="","",IFERROR(INDEX(Offerte!$G$2:$G$81,MATCH($Q2160,Offerte!$L$2:$L$81,0)),"NO"))</f>
        <v/>
      </c>
    </row>
    <row r="2161">
      <c r="A2161" s="48">
        <f>IF(Offerte!$A71="","",Offerte!$A71)</f>
        <v/>
      </c>
      <c r="B2161" s="48">
        <f>IF(Offerte!$A71="","",Offerte!$B71)</f>
        <v/>
      </c>
      <c r="C2161" s="48">
        <f>IF(Offerte!$A71="","",Offerte!$C71)</f>
        <v/>
      </c>
      <c r="D2161" s="48" t="inlineStr">
        <is>
          <t>D.1.3</t>
        </is>
      </c>
      <c r="E2161" s="48" t="inlineStr">
        <is>
          <t>D</t>
        </is>
      </c>
      <c r="F2161" s="48" t="inlineStr">
        <is>
          <t>Q</t>
        </is>
      </c>
      <c r="G2161" s="48" t="inlineStr">
        <is>
          <t>higher</t>
        </is>
      </c>
      <c r="H2161" s="48" t="n">
        <v>2</v>
      </c>
      <c r="I2161" s="48" t="inlineStr">
        <is>
          <t>Display informativi connessi alle fermate</t>
        </is>
      </c>
      <c r="J2161" s="73" t="n"/>
      <c r="K2161" s="73" t="n"/>
      <c r="L2161" s="73" t="n"/>
      <c r="M2161" s="73" t="n"/>
      <c r="N2161" s="57">
        <f>IF($A2161="","",IFERROR(VALUE($J2161),0))</f>
        <v/>
      </c>
      <c r="O2161" s="57">
        <f>IF($A2161="",0,IF(OR($S2161&lt;&gt;1,COUNTA($J2161:$M2161)=0),0,IF(SUMPRODUCT(MAX(($C$5:$C$2484=$C2161)*($D$5:$D$2484=$D2161)*($S$5:$S$2484=1)*IFERROR($N$5:$N$2484*1,0)))&gt;0,ROUND($H2161*($N2161/SUMPRODUCT(MAX(($C$5:$C$2484=$C2161)*($D$5:$D$2484=$D2161)*($S$5:$S$2484=1)*IFERROR($N$5:$N$2484*1,0)))),4),0)))</f>
        <v/>
      </c>
      <c r="P2161" s="48" t="inlineStr">
        <is>
          <t>fermate</t>
        </is>
      </c>
      <c r="Q2161" s="57">
        <f>IF($A2161="","",$A2161&amp;"|"&amp;$C2161)</f>
        <v/>
      </c>
      <c r="R2161" s="57">
        <f>IF($A2161="","",$A2161&amp;"|"&amp;$C2161&amp;"|"&amp;$D2161)</f>
        <v/>
      </c>
      <c r="S2161" s="57">
        <f>IF($A2161="","",IFERROR(INDEX(Offerte!$D$2:$D$81,MATCH($Q2161,Offerte!$L$2:$L$81,0)),0))</f>
        <v/>
      </c>
      <c r="T2161" s="57">
        <f>IF($A2161="","",IFERROR(INDEX(Offerte!$G$2:$G$81,MATCH($Q2161,Offerte!$L$2:$L$81,0)),"NO"))</f>
        <v/>
      </c>
    </row>
    <row r="2162">
      <c r="A2162" s="48">
        <f>IF(Offerte!$A71="","",Offerte!$A71)</f>
        <v/>
      </c>
      <c r="B2162" s="48">
        <f>IF(Offerte!$A71="","",Offerte!$B71)</f>
        <v/>
      </c>
      <c r="C2162" s="48">
        <f>IF(Offerte!$A71="","",Offerte!$C71)</f>
        <v/>
      </c>
      <c r="D2162" s="48" t="inlineStr">
        <is>
          <t>D.2.1</t>
        </is>
      </c>
      <c r="E2162" s="48" t="inlineStr">
        <is>
          <t>D</t>
        </is>
      </c>
      <c r="F2162" s="48" t="inlineStr">
        <is>
          <t>Q</t>
        </is>
      </c>
      <c r="G2162" s="48" t="inlineStr">
        <is>
          <t>higher</t>
        </is>
      </c>
      <c r="H2162" s="48" t="n">
        <v>2</v>
      </c>
      <c r="I2162" s="48" t="inlineStr">
        <is>
          <t>Segnali tattili Loges-Vet-Evolution</t>
        </is>
      </c>
      <c r="J2162" s="73" t="n"/>
      <c r="K2162" s="73" t="n"/>
      <c r="L2162" s="73" t="n"/>
      <c r="M2162" s="73" t="n"/>
      <c r="N2162" s="57">
        <f>IF($A2162="","",IFERROR(VALUE($J2162),0))</f>
        <v/>
      </c>
      <c r="O2162" s="57">
        <f>IF($A2162="",0,IF(OR($S2162&lt;&gt;1,COUNTA($J2162:$M2162)=0),0,IF(SUMPRODUCT(MAX(($C$5:$C$2484=$C2162)*($D$5:$D$2484=$D2162)*($S$5:$S$2484=1)*IFERROR($N$5:$N$2484*1,0)))&gt;0,ROUND($H2162*($N2162/SUMPRODUCT(MAX(($C$5:$C$2484=$C2162)*($D$5:$D$2484=$D2162)*($S$5:$S$2484=1)*IFERROR($N$5:$N$2484*1,0)))),4),0)))</f>
        <v/>
      </c>
      <c r="P2162" s="48" t="inlineStr">
        <is>
          <t>fermate</t>
        </is>
      </c>
      <c r="Q2162" s="57">
        <f>IF($A2162="","",$A2162&amp;"|"&amp;$C2162)</f>
        <v/>
      </c>
      <c r="R2162" s="57">
        <f>IF($A2162="","",$A2162&amp;"|"&amp;$C2162&amp;"|"&amp;$D2162)</f>
        <v/>
      </c>
      <c r="S2162" s="57">
        <f>IF($A2162="","",IFERROR(INDEX(Offerte!$D$2:$D$81,MATCH($Q2162,Offerte!$L$2:$L$81,0)),0))</f>
        <v/>
      </c>
      <c r="T2162" s="57">
        <f>IF($A2162="","",IFERROR(INDEX(Offerte!$G$2:$G$81,MATCH($Q2162,Offerte!$L$2:$L$81,0)),"NO"))</f>
        <v/>
      </c>
    </row>
    <row r="2163">
      <c r="A2163" s="48">
        <f>IF(Offerte!$A71="","",Offerte!$A71)</f>
        <v/>
      </c>
      <c r="B2163" s="48">
        <f>IF(Offerte!$A71="","",Offerte!$B71)</f>
        <v/>
      </c>
      <c r="C2163" s="48">
        <f>IF(Offerte!$A71="","",Offerte!$C71)</f>
        <v/>
      </c>
      <c r="D2163" s="48" t="inlineStr">
        <is>
          <t>E.1.1</t>
        </is>
      </c>
      <c r="E2163" s="48" t="inlineStr">
        <is>
          <t>E</t>
        </is>
      </c>
      <c r="F2163" s="48" t="inlineStr">
        <is>
          <t>T</t>
        </is>
      </c>
      <c r="G2163" s="48" t="inlineStr">
        <is>
          <t>tabular</t>
        </is>
      </c>
      <c r="H2163" s="48" t="n">
        <v>2</v>
      </c>
      <c r="I2163" s="48" t="inlineStr">
        <is>
          <t>Mobile app con travel planner PRM</t>
        </is>
      </c>
      <c r="J2163" s="73" t="n"/>
      <c r="K2163" s="73" t="n"/>
      <c r="L2163" s="73" t="n"/>
      <c r="M2163" s="73" t="n"/>
      <c r="N2163" s="57">
        <f>IF($A2163="","",IF(IFERROR(VALUE($M2163),0)=1,1,0))</f>
        <v/>
      </c>
      <c r="O2163" s="57">
        <f>IF($A2163="",0,IF(OR($S2163&lt;&gt;1,COUNTA($J2163:$M2163)=0),0,IF($N2163=1,$H2163,0)))</f>
        <v/>
      </c>
      <c r="P2163" s="48" t="inlineStr">
        <is>
          <t>sì/no</t>
        </is>
      </c>
      <c r="Q2163" s="57">
        <f>IF($A2163="","",$A2163&amp;"|"&amp;$C2163)</f>
        <v/>
      </c>
      <c r="R2163" s="57">
        <f>IF($A2163="","",$A2163&amp;"|"&amp;$C2163&amp;"|"&amp;$D2163)</f>
        <v/>
      </c>
      <c r="S2163" s="57">
        <f>IF($A2163="","",IFERROR(INDEX(Offerte!$D$2:$D$81,MATCH($Q2163,Offerte!$L$2:$L$81,0)),0))</f>
        <v/>
      </c>
      <c r="T2163" s="57">
        <f>IF($A2163="","",IFERROR(INDEX(Offerte!$G$2:$G$81,MATCH($Q2163,Offerte!$L$2:$L$81,0)),"NO"))</f>
        <v/>
      </c>
    </row>
    <row r="2164">
      <c r="A2164" s="48">
        <f>IF(Offerte!$A71="","",Offerte!$A71)</f>
        <v/>
      </c>
      <c r="B2164" s="48">
        <f>IF(Offerte!$A71="","",Offerte!$B71)</f>
        <v/>
      </c>
      <c r="C2164" s="48">
        <f>IF(Offerte!$A71="","",Offerte!$C71)</f>
        <v/>
      </c>
      <c r="D2164" s="48" t="inlineStr">
        <is>
          <t>E.2.1</t>
        </is>
      </c>
      <c r="E2164" s="48" t="inlineStr">
        <is>
          <t>E</t>
        </is>
      </c>
      <c r="F2164" s="48" t="inlineStr">
        <is>
          <t>D</t>
        </is>
      </c>
      <c r="G2164" s="48" t="inlineStr">
        <is>
          <t>discretionary</t>
        </is>
      </c>
      <c r="H2164" s="48" t="n">
        <v>2</v>
      </c>
      <c r="I2164" s="48" t="inlineStr">
        <is>
          <t>Altre azioni informative e rapporti con gli utenti</t>
        </is>
      </c>
      <c r="J2164" s="73" t="n"/>
      <c r="K2164" s="73" t="n"/>
      <c r="L2164" s="73" t="n"/>
      <c r="M2164" s="73" t="n"/>
      <c r="N2164" s="57">
        <f>IF($A2164="","",MAX(0,MIN(1,IFERROR(VALUE($M2164),0))))</f>
        <v/>
      </c>
      <c r="O2164" s="57">
        <f>IF($A2164="",0,IF(OR($S2164&lt;&gt;1,COUNTA($J2164:$M2164)=0),0,IF(SUMPRODUCT(MAX(($C$5:$C$2484=$C2164)*($D$5:$D$2484=$D2164)*($S$5:$S$2484=1)*IFERROR($N$5:$N$2484*1,0)))&gt;0,ROUND($H2164*($N2164/SUMPRODUCT(MAX(($C$5:$C$2484=$C2164)*($D$5:$D$2484=$D2164)*($S$5:$S$2484=1)*IFERROR($N$5:$N$2484*1,0)))),4),0)))</f>
        <v/>
      </c>
      <c r="P2164" s="48" t="inlineStr">
        <is>
          <t>coeff.</t>
        </is>
      </c>
      <c r="Q2164" s="57">
        <f>IF($A2164="","",$A2164&amp;"|"&amp;$C2164)</f>
        <v/>
      </c>
      <c r="R2164" s="57">
        <f>IF($A2164="","",$A2164&amp;"|"&amp;$C2164&amp;"|"&amp;$D2164)</f>
        <v/>
      </c>
      <c r="S2164" s="57">
        <f>IF($A2164="","",IFERROR(INDEX(Offerte!$D$2:$D$81,MATCH($Q2164,Offerte!$L$2:$L$81,0)),0))</f>
        <v/>
      </c>
      <c r="T2164" s="57">
        <f>IF($A2164="","",IFERROR(INDEX(Offerte!$G$2:$G$81,MATCH($Q2164,Offerte!$L$2:$L$81,0)),"NO"))</f>
        <v/>
      </c>
    </row>
    <row r="2165">
      <c r="A2165" s="48">
        <f>IF(Offerte!$A71="","",Offerte!$A71)</f>
        <v/>
      </c>
      <c r="B2165" s="48">
        <f>IF(Offerte!$A71="","",Offerte!$B71)</f>
        <v/>
      </c>
      <c r="C2165" s="48">
        <f>IF(Offerte!$A71="","",Offerte!$C71)</f>
        <v/>
      </c>
      <c r="D2165" s="48" t="inlineStr">
        <is>
          <t>F.1.1</t>
        </is>
      </c>
      <c r="E2165" s="48" t="inlineStr">
        <is>
          <t>F</t>
        </is>
      </c>
      <c r="F2165" s="48" t="inlineStr">
        <is>
          <t>Q</t>
        </is>
      </c>
      <c r="G2165" s="48" t="inlineStr">
        <is>
          <t>lower</t>
        </is>
      </c>
      <c r="H2165" s="48" t="n">
        <v>7</v>
      </c>
      <c r="I2165" s="48" t="inlineStr">
        <is>
          <t>Performance ambientali del parco mezzi adibito al servizio - I_CEA</t>
        </is>
      </c>
      <c r="J2165" s="73" t="n"/>
      <c r="K2165" s="73" t="n"/>
      <c r="L2165" s="73" t="n"/>
      <c r="M2165" s="73" t="n"/>
      <c r="N2165" s="57">
        <f>IF($A2165="","",IFERROR(VALUE($J2165),0))</f>
        <v/>
      </c>
      <c r="O2165" s="57">
        <f>IF($A2165="",0,IF(OR($S2165&lt;&gt;1,COUNTA($J2165:$M2165)=0),0,IF(AND(IFERROR(AGGREGATE(15,6,$N$5:$N$2484/(($C$5:$C$2484=$C2165)*($D$5:$D$2484=$D2165)*($S$5:$S$2484=1)*($N$5:$N$2484&gt;0)),1),0)&gt;0,$N2165&gt;0),ROUND($H2165*(IFERROR(AGGREGATE(15,6,$N$5:$N$2484/(($C$5:$C$2484=$C2165)*($D$5:$D$2484=$D2165)*($S$5:$S$2484=1)*($N$5:$N$2484&gt;0)),1),0)/$N2165),4),0)))</f>
        <v/>
      </c>
      <c r="P2165" s="48" t="inlineStr">
        <is>
          <t>indice</t>
        </is>
      </c>
      <c r="Q2165" s="57">
        <f>IF($A2165="","",$A2165&amp;"|"&amp;$C2165)</f>
        <v/>
      </c>
      <c r="R2165" s="57">
        <f>IF($A2165="","",$A2165&amp;"|"&amp;$C2165&amp;"|"&amp;$D2165)</f>
        <v/>
      </c>
      <c r="S2165" s="57">
        <f>IF($A2165="","",IFERROR(INDEX(Offerte!$D$2:$D$81,MATCH($Q2165,Offerte!$L$2:$L$81,0)),0))</f>
        <v/>
      </c>
      <c r="T2165" s="57">
        <f>IF($A2165="","",IFERROR(INDEX(Offerte!$G$2:$G$81,MATCH($Q2165,Offerte!$L$2:$L$81,0)),"NO"))</f>
        <v/>
      </c>
    </row>
    <row r="2166">
      <c r="A2166" s="48">
        <f>IF(Offerte!$A71="","",Offerte!$A71)</f>
        <v/>
      </c>
      <c r="B2166" s="48">
        <f>IF(Offerte!$A71="","",Offerte!$B71)</f>
        <v/>
      </c>
      <c r="C2166" s="48">
        <f>IF(Offerte!$A71="","",Offerte!$C71)</f>
        <v/>
      </c>
      <c r="D2166" s="48" t="inlineStr">
        <is>
          <t>F.2.1</t>
        </is>
      </c>
      <c r="E2166" s="48" t="inlineStr">
        <is>
          <t>F</t>
        </is>
      </c>
      <c r="F2166" s="48" t="inlineStr">
        <is>
          <t>Q</t>
        </is>
      </c>
      <c r="G2166" s="48" t="inlineStr">
        <is>
          <t>higher</t>
        </is>
      </c>
      <c r="H2166" s="48" t="n">
        <v>2</v>
      </c>
      <c r="I2166" s="48" t="inlineStr">
        <is>
          <t>Tasso di copertura del servizio con dispositivi ECO-DRIVER</t>
        </is>
      </c>
      <c r="J2166" s="73" t="n"/>
      <c r="K2166" s="73" t="n"/>
      <c r="L2166" s="73" t="n"/>
      <c r="M2166" s="73" t="n"/>
      <c r="N2166" s="57">
        <f>IF($A2166="","",IFERROR(VALUE($K2166)/VALUE($L2166),IFERROR(VALUE($J2166),0)))</f>
        <v/>
      </c>
      <c r="O2166" s="57">
        <f>IF($A2166="",0,IF(OR($S2166&lt;&gt;1,COUNTA($J2166:$M2166)=0),0,IF(SUMPRODUCT(MAX(($C$5:$C$2484=$C2166)*($D$5:$D$2484=$D2166)*($S$5:$S$2484=1)*IFERROR($N$5:$N$2484*1,0)))&gt;0,ROUND($H2166*($N2166/SUMPRODUCT(MAX(($C$5:$C$2484=$C2166)*($D$5:$D$2484=$D2166)*($S$5:$S$2484=1)*IFERROR($N$5:$N$2484*1,0)))),4),0)))</f>
        <v/>
      </c>
      <c r="P2166" s="48" t="inlineStr">
        <is>
          <t>Autobus attrezzati con dispositivi ECO-DRIVER / Autobus totali in offerta, incluse scorte</t>
        </is>
      </c>
      <c r="Q2166" s="57">
        <f>IF($A2166="","",$A2166&amp;"|"&amp;$C2166)</f>
        <v/>
      </c>
      <c r="R2166" s="57">
        <f>IF($A2166="","",$A2166&amp;"|"&amp;$C2166&amp;"|"&amp;$D2166)</f>
        <v/>
      </c>
      <c r="S2166" s="57">
        <f>IF($A2166="","",IFERROR(INDEX(Offerte!$D$2:$D$81,MATCH($Q2166,Offerte!$L$2:$L$81,0)),0))</f>
        <v/>
      </c>
      <c r="T2166" s="57">
        <f>IF($A2166="","",IFERROR(INDEX(Offerte!$G$2:$G$81,MATCH($Q2166,Offerte!$L$2:$L$81,0)),"NO"))</f>
        <v/>
      </c>
    </row>
    <row r="2167">
      <c r="A2167" s="48">
        <f>IF(Offerte!$A71="","",Offerte!$A71)</f>
        <v/>
      </c>
      <c r="B2167" s="48">
        <f>IF(Offerte!$A71="","",Offerte!$B71)</f>
        <v/>
      </c>
      <c r="C2167" s="48">
        <f>IF(Offerte!$A71="","",Offerte!$C71)</f>
        <v/>
      </c>
      <c r="D2167" s="48" t="inlineStr">
        <is>
          <t>F.3.1</t>
        </is>
      </c>
      <c r="E2167" s="48" t="inlineStr">
        <is>
          <t>F</t>
        </is>
      </c>
      <c r="F2167" s="48" t="inlineStr">
        <is>
          <t>Q</t>
        </is>
      </c>
      <c r="G2167" s="48" t="inlineStr">
        <is>
          <t>higher</t>
        </is>
      </c>
      <c r="H2167" s="48" t="n">
        <v>2</v>
      </c>
      <c r="I2167" s="48" t="inlineStr">
        <is>
          <t>Autoproduzione consumi elettrici per trazione</t>
        </is>
      </c>
      <c r="J2167" s="73" t="n"/>
      <c r="K2167" s="73" t="n"/>
      <c r="L2167" s="73" t="n"/>
      <c r="M2167" s="73" t="n"/>
      <c r="N2167" s="57">
        <f>IF($A2167="","",IFERROR(VALUE($J2167),0))</f>
        <v/>
      </c>
      <c r="O2167" s="57">
        <f>IF($A2167="",0,IF(OR($S2167&lt;&gt;1,COUNTA($J2167:$M2167)=0),0,IF(SUMPRODUCT(MAX(($C$5:$C$2484=$C2167)*($D$5:$D$2484=$D2167)*($S$5:$S$2484=1)*IFERROR($N$5:$N$2484*1,0)))&gt;0,ROUND($H2167*($N2167/SUMPRODUCT(MAX(($C$5:$C$2484=$C2167)*($D$5:$D$2484=$D2167)*($S$5:$S$2484=1)*IFERROR($N$5:$N$2484*1,0)))),4),0)))</f>
        <v/>
      </c>
      <c r="P2167" s="48" t="inlineStr">
        <is>
          <t>kWh/anno</t>
        </is>
      </c>
      <c r="Q2167" s="57">
        <f>IF($A2167="","",$A2167&amp;"|"&amp;$C2167)</f>
        <v/>
      </c>
      <c r="R2167" s="57">
        <f>IF($A2167="","",$A2167&amp;"|"&amp;$C2167&amp;"|"&amp;$D2167)</f>
        <v/>
      </c>
      <c r="S2167" s="57">
        <f>IF($A2167="","",IFERROR(INDEX(Offerte!$D$2:$D$81,MATCH($Q2167,Offerte!$L$2:$L$81,0)),0))</f>
        <v/>
      </c>
      <c r="T2167" s="57">
        <f>IF($A2167="","",IFERROR(INDEX(Offerte!$G$2:$G$81,MATCH($Q2167,Offerte!$L$2:$L$81,0)),"NO"))</f>
        <v/>
      </c>
    </row>
    <row r="2168">
      <c r="A2168" s="48">
        <f>IF(Offerte!$A71="","",Offerte!$A71)</f>
        <v/>
      </c>
      <c r="B2168" s="48">
        <f>IF(Offerte!$A71="","",Offerte!$B71)</f>
        <v/>
      </c>
      <c r="C2168" s="48">
        <f>IF(Offerte!$A71="","",Offerte!$C71)</f>
        <v/>
      </c>
      <c r="D2168" s="48" t="inlineStr">
        <is>
          <t>F.4.1</t>
        </is>
      </c>
      <c r="E2168" s="48" t="inlineStr">
        <is>
          <t>F</t>
        </is>
      </c>
      <c r="F2168" s="48" t="inlineStr">
        <is>
          <t>Q</t>
        </is>
      </c>
      <c r="G2168" s="48" t="inlineStr">
        <is>
          <t>soil</t>
        </is>
      </c>
      <c r="H2168" s="48" t="n">
        <v>2</v>
      </c>
      <c r="I2168" s="48" t="inlineStr">
        <is>
          <t>Indice di consumo di suolo</t>
        </is>
      </c>
      <c r="J2168" s="73" t="n"/>
      <c r="K2168" s="73" t="n"/>
      <c r="L2168" s="73" t="n"/>
      <c r="M2168" s="73" t="n"/>
      <c r="N2168" s="57">
        <f>IF($A2168="","",IFERROR(VALUE($J2168),0))</f>
        <v/>
      </c>
      <c r="O2168" s="57">
        <f>IF($A2168="",0,IF(OR($S2168&lt;&gt;1,COUNTA($J2168:$M2168)=0),0,IF($N2168&lt;=0,$H2168,IF(SUMPRODUCT(MAX(($C$5:$C$2484=$C2168)*($D$5:$D$2484=$D2168)*($S$5:$S$2484=1)*IFERROR($N$5:$N$2484*1,0)))&gt;0,ROUND($H2168*((SUMPRODUCT(MAX(($C$5:$C$2484=$C2168)*($D$5:$D$2484=$D2168)*($S$5:$S$2484=1)*IFERROR($N$5:$N$2484*1,0)))-$N2168)/SUMPRODUCT(MAX(($C$5:$C$2484=$C2168)*($D$5:$D$2484=$D2168)*($S$5:$S$2484=1)*IFERROR($N$5:$N$2484*1,0)))),4),0))))</f>
        <v/>
      </c>
      <c r="P2168" s="48" t="inlineStr">
        <is>
          <t>m2</t>
        </is>
      </c>
      <c r="Q2168" s="57">
        <f>IF($A2168="","",$A2168&amp;"|"&amp;$C2168)</f>
        <v/>
      </c>
      <c r="R2168" s="57">
        <f>IF($A2168="","",$A2168&amp;"|"&amp;$C2168&amp;"|"&amp;$D2168)</f>
        <v/>
      </c>
      <c r="S2168" s="57">
        <f>IF($A2168="","",IFERROR(INDEX(Offerte!$D$2:$D$81,MATCH($Q2168,Offerte!$L$2:$L$81,0)),0))</f>
        <v/>
      </c>
      <c r="T2168" s="57">
        <f>IF($A2168="","",IFERROR(INDEX(Offerte!$G$2:$G$81,MATCH($Q2168,Offerte!$L$2:$L$81,0)),"NO"))</f>
        <v/>
      </c>
    </row>
    <row r="2169">
      <c r="A2169" s="48">
        <f>IF(Offerte!$A71="","",Offerte!$A71)</f>
        <v/>
      </c>
      <c r="B2169" s="48">
        <f>IF(Offerte!$A71="","",Offerte!$B71)</f>
        <v/>
      </c>
      <c r="C2169" s="48">
        <f>IF(Offerte!$A71="","",Offerte!$C71)</f>
        <v/>
      </c>
      <c r="D2169" s="48" t="inlineStr">
        <is>
          <t>F.5.1</t>
        </is>
      </c>
      <c r="E2169" s="48" t="inlineStr">
        <is>
          <t>F</t>
        </is>
      </c>
      <c r="F2169" s="48" t="inlineStr">
        <is>
          <t>T</t>
        </is>
      </c>
      <c r="G2169" s="48" t="inlineStr">
        <is>
          <t>tabular</t>
        </is>
      </c>
      <c r="H2169" s="48" t="n">
        <v>1</v>
      </c>
      <c r="I2169" s="48" t="inlineStr">
        <is>
          <t>Rendicontazione di sostenibilità ambientale</t>
        </is>
      </c>
      <c r="J2169" s="73" t="n"/>
      <c r="K2169" s="73" t="n"/>
      <c r="L2169" s="73" t="n"/>
      <c r="M2169" s="73" t="n"/>
      <c r="N2169" s="57">
        <f>IF($A2169="","",IF(IFERROR(VALUE($M2169),0)=1,1,0))</f>
        <v/>
      </c>
      <c r="O2169" s="57">
        <f>IF($A2169="",0,IF(OR($S2169&lt;&gt;1,COUNTA($J2169:$M2169)=0),0,IF($N2169=1,$H2169,0)))</f>
        <v/>
      </c>
      <c r="P2169" s="48" t="inlineStr">
        <is>
          <t>sì/no</t>
        </is>
      </c>
      <c r="Q2169" s="57">
        <f>IF($A2169="","",$A2169&amp;"|"&amp;$C2169)</f>
        <v/>
      </c>
      <c r="R2169" s="57">
        <f>IF($A2169="","",$A2169&amp;"|"&amp;$C2169&amp;"|"&amp;$D2169)</f>
        <v/>
      </c>
      <c r="S2169" s="57">
        <f>IF($A2169="","",IFERROR(INDEX(Offerte!$D$2:$D$81,MATCH($Q2169,Offerte!$L$2:$L$81,0)),0))</f>
        <v/>
      </c>
      <c r="T2169" s="57">
        <f>IF($A2169="","",IFERROR(INDEX(Offerte!$G$2:$G$81,MATCH($Q2169,Offerte!$L$2:$L$81,0)),"NO"))</f>
        <v/>
      </c>
    </row>
    <row r="2170">
      <c r="A2170" s="48">
        <f>IF(Offerte!$A71="","",Offerte!$A71)</f>
        <v/>
      </c>
      <c r="B2170" s="48">
        <f>IF(Offerte!$A71="","",Offerte!$B71)</f>
        <v/>
      </c>
      <c r="C2170" s="48">
        <f>IF(Offerte!$A71="","",Offerte!$C71)</f>
        <v/>
      </c>
      <c r="D2170" s="48" t="inlineStr">
        <is>
          <t>G.1.1</t>
        </is>
      </c>
      <c r="E2170" s="48" t="inlineStr">
        <is>
          <t>G</t>
        </is>
      </c>
      <c r="F2170" s="48" t="inlineStr">
        <is>
          <t>D</t>
        </is>
      </c>
      <c r="G2170" s="48" t="inlineStr">
        <is>
          <t>discretionary</t>
        </is>
      </c>
      <c r="H2170" s="48" t="n">
        <v>2</v>
      </c>
      <c r="I2170" s="48" t="inlineStr">
        <is>
          <t>Qualità del progetto di centrale di controllo aziendale</t>
        </is>
      </c>
      <c r="J2170" s="73" t="n"/>
      <c r="K2170" s="73" t="n"/>
      <c r="L2170" s="73" t="n"/>
      <c r="M2170" s="73" t="n"/>
      <c r="N2170" s="57">
        <f>IF($A2170="","",MAX(0,MIN(1,IFERROR(VALUE($M2170),0))))</f>
        <v/>
      </c>
      <c r="O2170" s="57">
        <f>IF($A2170="",0,IF(OR($S2170&lt;&gt;1,COUNTA($J2170:$M2170)=0),0,IF(SUMPRODUCT(MAX(($C$5:$C$2484=$C2170)*($D$5:$D$2484=$D2170)*($S$5:$S$2484=1)*IFERROR($N$5:$N$2484*1,0)))&gt;0,ROUND($H2170*($N2170/SUMPRODUCT(MAX(($C$5:$C$2484=$C2170)*($D$5:$D$2484=$D2170)*($S$5:$S$2484=1)*IFERROR($N$5:$N$2484*1,0)))),4),0)))</f>
        <v/>
      </c>
      <c r="P2170" s="48" t="inlineStr">
        <is>
          <t>coeff.</t>
        </is>
      </c>
      <c r="Q2170" s="57">
        <f>IF($A2170="","",$A2170&amp;"|"&amp;$C2170)</f>
        <v/>
      </c>
      <c r="R2170" s="57">
        <f>IF($A2170="","",$A2170&amp;"|"&amp;$C2170&amp;"|"&amp;$D2170)</f>
        <v/>
      </c>
      <c r="S2170" s="57">
        <f>IF($A2170="","",IFERROR(INDEX(Offerte!$D$2:$D$81,MATCH($Q2170,Offerte!$L$2:$L$81,0)),0))</f>
        <v/>
      </c>
      <c r="T2170" s="57">
        <f>IF($A2170="","",IFERROR(INDEX(Offerte!$G$2:$G$81,MATCH($Q2170,Offerte!$L$2:$L$81,0)),"NO"))</f>
        <v/>
      </c>
    </row>
    <row r="2171">
      <c r="A2171" s="48">
        <f>IF(Offerte!$A71="","",Offerte!$A71)</f>
        <v/>
      </c>
      <c r="B2171" s="48">
        <f>IF(Offerte!$A71="","",Offerte!$B71)</f>
        <v/>
      </c>
      <c r="C2171" s="48">
        <f>IF(Offerte!$A71="","",Offerte!$C71)</f>
        <v/>
      </c>
      <c r="D2171" s="48" t="inlineStr">
        <is>
          <t>G.2.1</t>
        </is>
      </c>
      <c r="E2171" s="48" t="inlineStr">
        <is>
          <t>G</t>
        </is>
      </c>
      <c r="F2171" s="48" t="inlineStr">
        <is>
          <t>T</t>
        </is>
      </c>
      <c r="G2171" s="48" t="inlineStr">
        <is>
          <t>tabular</t>
        </is>
      </c>
      <c r="H2171" s="48" t="n">
        <v>1</v>
      </c>
      <c r="I2171" s="48" t="inlineStr">
        <is>
          <t>Certificazione ISO 45001</t>
        </is>
      </c>
      <c r="J2171" s="73" t="n"/>
      <c r="K2171" s="73" t="n"/>
      <c r="L2171" s="73" t="n"/>
      <c r="M2171" s="73" t="n"/>
      <c r="N2171" s="57">
        <f>IF($A2171="","",IF(IFERROR(VALUE($M2171),0)=1,1,0))</f>
        <v/>
      </c>
      <c r="O2171" s="57">
        <f>IF($A2171="",0,IF(OR($S2171&lt;&gt;1,COUNTA($J2171:$M2171)=0),0,IF($N2171=1,$H2171,0)))</f>
        <v/>
      </c>
      <c r="P2171" s="48" t="inlineStr">
        <is>
          <t>sì/no</t>
        </is>
      </c>
      <c r="Q2171" s="57">
        <f>IF($A2171="","",$A2171&amp;"|"&amp;$C2171)</f>
        <v/>
      </c>
      <c r="R2171" s="57">
        <f>IF($A2171="","",$A2171&amp;"|"&amp;$C2171&amp;"|"&amp;$D2171)</f>
        <v/>
      </c>
      <c r="S2171" s="57">
        <f>IF($A2171="","",IFERROR(INDEX(Offerte!$D$2:$D$81,MATCH($Q2171,Offerte!$L$2:$L$81,0)),0))</f>
        <v/>
      </c>
      <c r="T2171" s="57">
        <f>IF($A2171="","",IFERROR(INDEX(Offerte!$G$2:$G$81,MATCH($Q2171,Offerte!$L$2:$L$81,0)),"NO"))</f>
        <v/>
      </c>
    </row>
    <row r="2172">
      <c r="A2172" s="48">
        <f>IF(Offerte!$A71="","",Offerte!$A71)</f>
        <v/>
      </c>
      <c r="B2172" s="48">
        <f>IF(Offerte!$A71="","",Offerte!$B71)</f>
        <v/>
      </c>
      <c r="C2172" s="48">
        <f>IF(Offerte!$A71="","",Offerte!$C71)</f>
        <v/>
      </c>
      <c r="D2172" s="48" t="inlineStr">
        <is>
          <t>G.3.1</t>
        </is>
      </c>
      <c r="E2172" s="48" t="inlineStr">
        <is>
          <t>G</t>
        </is>
      </c>
      <c r="F2172" s="48" t="inlineStr">
        <is>
          <t>T</t>
        </is>
      </c>
      <c r="G2172" s="48" t="inlineStr">
        <is>
          <t>tabular</t>
        </is>
      </c>
      <c r="H2172" s="48" t="n">
        <v>1</v>
      </c>
      <c r="I2172" s="48" t="inlineStr">
        <is>
          <t>Certificazioni di responsabilità sociale</t>
        </is>
      </c>
      <c r="J2172" s="73" t="n"/>
      <c r="K2172" s="73" t="n"/>
      <c r="L2172" s="73" t="n"/>
      <c r="M2172" s="73" t="n"/>
      <c r="N2172" s="57">
        <f>IF($A2172="","",IF(IFERROR(VALUE($M2172),0)=1,1,0))</f>
        <v/>
      </c>
      <c r="O2172" s="57">
        <f>IF($A2172="",0,IF(OR($S2172&lt;&gt;1,COUNTA($J2172:$M2172)=0),0,IF($N2172=1,$H2172,0)))</f>
        <v/>
      </c>
      <c r="P2172" s="48" t="inlineStr">
        <is>
          <t>sì/no</t>
        </is>
      </c>
      <c r="Q2172" s="57">
        <f>IF($A2172="","",$A2172&amp;"|"&amp;$C2172)</f>
        <v/>
      </c>
      <c r="R2172" s="57">
        <f>IF($A2172="","",$A2172&amp;"|"&amp;$C2172&amp;"|"&amp;$D2172)</f>
        <v/>
      </c>
      <c r="S2172" s="57">
        <f>IF($A2172="","",IFERROR(INDEX(Offerte!$D$2:$D$81,MATCH($Q2172,Offerte!$L$2:$L$81,0)),0))</f>
        <v/>
      </c>
      <c r="T2172" s="57">
        <f>IF($A2172="","",IFERROR(INDEX(Offerte!$G$2:$G$81,MATCH($Q2172,Offerte!$L$2:$L$81,0)),"NO"))</f>
        <v/>
      </c>
    </row>
    <row r="2173">
      <c r="A2173" s="48">
        <f>IF(Offerte!$A71="","",Offerte!$A71)</f>
        <v/>
      </c>
      <c r="B2173" s="48">
        <f>IF(Offerte!$A71="","",Offerte!$B71)</f>
        <v/>
      </c>
      <c r="C2173" s="48">
        <f>IF(Offerte!$A71="","",Offerte!$C71)</f>
        <v/>
      </c>
      <c r="D2173" s="48" t="inlineStr">
        <is>
          <t>G.4.1</t>
        </is>
      </c>
      <c r="E2173" s="48" t="inlineStr">
        <is>
          <t>G</t>
        </is>
      </c>
      <c r="F2173" s="48" t="inlineStr">
        <is>
          <t>D</t>
        </is>
      </c>
      <c r="G2173" s="48" t="inlineStr">
        <is>
          <t>discretionary</t>
        </is>
      </c>
      <c r="H2173" s="48" t="n">
        <v>2</v>
      </c>
      <c r="I2173" s="48" t="inlineStr">
        <is>
          <t>Qualità del piano di formazione del personale</t>
        </is>
      </c>
      <c r="J2173" s="73" t="n"/>
      <c r="K2173" s="73" t="n"/>
      <c r="L2173" s="73" t="n"/>
      <c r="M2173" s="73" t="n"/>
      <c r="N2173" s="57">
        <f>IF($A2173="","",MAX(0,MIN(1,IFERROR(VALUE($M2173),0))))</f>
        <v/>
      </c>
      <c r="O2173" s="57">
        <f>IF($A2173="",0,IF(OR($S2173&lt;&gt;1,COUNTA($J2173:$M2173)=0),0,IF(SUMPRODUCT(MAX(($C$5:$C$2484=$C2173)*($D$5:$D$2484=$D2173)*($S$5:$S$2484=1)*IFERROR($N$5:$N$2484*1,0)))&gt;0,ROUND($H2173*($N2173/SUMPRODUCT(MAX(($C$5:$C$2484=$C2173)*($D$5:$D$2484=$D2173)*($S$5:$S$2484=1)*IFERROR($N$5:$N$2484*1,0)))),4),0)))</f>
        <v/>
      </c>
      <c r="P2173" s="48" t="inlineStr">
        <is>
          <t>coeff.</t>
        </is>
      </c>
      <c r="Q2173" s="57">
        <f>IF($A2173="","",$A2173&amp;"|"&amp;$C2173)</f>
        <v/>
      </c>
      <c r="R2173" s="57">
        <f>IF($A2173="","",$A2173&amp;"|"&amp;$C2173&amp;"|"&amp;$D2173)</f>
        <v/>
      </c>
      <c r="S2173" s="57">
        <f>IF($A2173="","",IFERROR(INDEX(Offerte!$D$2:$D$81,MATCH($Q2173,Offerte!$L$2:$L$81,0)),0))</f>
        <v/>
      </c>
      <c r="T2173" s="57">
        <f>IF($A2173="","",IFERROR(INDEX(Offerte!$G$2:$G$81,MATCH($Q2173,Offerte!$L$2:$L$81,0)),"NO"))</f>
        <v/>
      </c>
    </row>
    <row r="2174">
      <c r="A2174" s="48">
        <f>IF(Offerte!$A71="","",Offerte!$A71)</f>
        <v/>
      </c>
      <c r="B2174" s="48">
        <f>IF(Offerte!$A71="","",Offerte!$B71)</f>
        <v/>
      </c>
      <c r="C2174" s="48">
        <f>IF(Offerte!$A71="","",Offerte!$C71)</f>
        <v/>
      </c>
      <c r="D2174" s="48" t="inlineStr">
        <is>
          <t>G.5.1</t>
        </is>
      </c>
      <c r="E2174" s="48" t="inlineStr">
        <is>
          <t>G</t>
        </is>
      </c>
      <c r="F2174" s="48" t="inlineStr">
        <is>
          <t>T</t>
        </is>
      </c>
      <c r="G2174" s="48" t="inlineStr">
        <is>
          <t>tabular</t>
        </is>
      </c>
      <c r="H2174" s="48" t="n">
        <v>1</v>
      </c>
      <c r="I2174" s="48" t="inlineStr">
        <is>
          <t>Impegno al mantenimento delle garanzie del contratto di secondo livello del gestore uscente</t>
        </is>
      </c>
      <c r="J2174" s="73" t="n"/>
      <c r="K2174" s="73" t="n"/>
      <c r="L2174" s="73" t="n"/>
      <c r="M2174" s="73" t="n"/>
      <c r="N2174" s="57">
        <f>IF($A2174="","",IF(IFERROR(VALUE($M2174),0)=1,1,0))</f>
        <v/>
      </c>
      <c r="O2174" s="57">
        <f>IF($A2174="",0,IF(OR($S2174&lt;&gt;1,COUNTA($J2174:$M2174)=0),0,IF($N2174=1,$H2174,0)))</f>
        <v/>
      </c>
      <c r="P2174" s="48" t="inlineStr">
        <is>
          <t>sì/no</t>
        </is>
      </c>
      <c r="Q2174" s="57">
        <f>IF($A2174="","",$A2174&amp;"|"&amp;$C2174)</f>
        <v/>
      </c>
      <c r="R2174" s="57">
        <f>IF($A2174="","",$A2174&amp;"|"&amp;$C2174&amp;"|"&amp;$D2174)</f>
        <v/>
      </c>
      <c r="S2174" s="57">
        <f>IF($A2174="","",IFERROR(INDEX(Offerte!$D$2:$D$81,MATCH($Q2174,Offerte!$L$2:$L$81,0)),0))</f>
        <v/>
      </c>
      <c r="T2174" s="57">
        <f>IF($A2174="","",IFERROR(INDEX(Offerte!$G$2:$G$81,MATCH($Q2174,Offerte!$L$2:$L$81,0)),"NO"))</f>
        <v/>
      </c>
    </row>
    <row r="2175">
      <c r="A2175" s="48">
        <f>IF(Offerte!$A72="","",Offerte!$A72)</f>
        <v/>
      </c>
      <c r="B2175" s="48">
        <f>IF(Offerte!$A72="","",Offerte!$B72)</f>
        <v/>
      </c>
      <c r="C2175" s="48">
        <f>IF(Offerte!$A72="","",Offerte!$C72)</f>
        <v/>
      </c>
      <c r="D2175" s="48" t="inlineStr">
        <is>
          <t>A.1.1</t>
        </is>
      </c>
      <c r="E2175" s="48" t="inlineStr">
        <is>
          <t>A</t>
        </is>
      </c>
      <c r="F2175" s="48" t="inlineStr">
        <is>
          <t>Q</t>
        </is>
      </c>
      <c r="G2175" s="48" t="inlineStr">
        <is>
          <t>higher</t>
        </is>
      </c>
      <c r="H2175" s="48" t="n">
        <v>3</v>
      </c>
      <c r="I2175" s="48" t="inlineStr">
        <is>
          <t>Tasso aggiuntivo di corse controllate</t>
        </is>
      </c>
      <c r="J2175" s="73" t="n"/>
      <c r="K2175" s="73" t="n"/>
      <c r="L2175" s="73" t="n"/>
      <c r="M2175" s="73" t="n"/>
      <c r="N2175" s="57">
        <f>IF($A2175="","",IFERROR(VALUE($K2175)/VALUE($L2175)*100,IFERROR(VALUE($J2175),0)))</f>
        <v/>
      </c>
      <c r="O2175" s="57">
        <f>IF($A2175="",0,IF(OR($S2175&lt;&gt;1,COUNTA($J2175:$M2175)=0),0,IF(SUMPRODUCT(MAX(($C$5:$C$2484=$C2175)*($D$5:$D$2484=$D2175)*($S$5:$S$2484=1)*IFERROR($N$5:$N$2484*1,0)))&gt;0,ROUND($H2175*($N2175/SUMPRODUCT(MAX(($C$5:$C$2484=$C2175)*($D$5:$D$2484=$D2175)*($S$5:$S$2484=1)*IFERROR($N$5:$N$2484*1,0)))),4),0)))</f>
        <v/>
      </c>
      <c r="P2175" s="48" t="inlineStr">
        <is>
          <t>Corse controllate annue / Corse programmate annue</t>
        </is>
      </c>
      <c r="Q2175" s="57">
        <f>IF($A2175="","",$A2175&amp;"|"&amp;$C2175)</f>
        <v/>
      </c>
      <c r="R2175" s="57">
        <f>IF($A2175="","",$A2175&amp;"|"&amp;$C2175&amp;"|"&amp;$D2175)</f>
        <v/>
      </c>
      <c r="S2175" s="57">
        <f>IF($A2175="","",IFERROR(INDEX(Offerte!$D$2:$D$81,MATCH($Q2175,Offerte!$L$2:$L$81,0)),0))</f>
        <v/>
      </c>
      <c r="T2175" s="57">
        <f>IF($A2175="","",IFERROR(INDEX(Offerte!$G$2:$G$81,MATCH($Q2175,Offerte!$L$2:$L$81,0)),"NO"))</f>
        <v/>
      </c>
    </row>
    <row r="2176">
      <c r="A2176" s="48">
        <f>IF(Offerte!$A72="","",Offerte!$A72)</f>
        <v/>
      </c>
      <c r="B2176" s="48">
        <f>IF(Offerte!$A72="","",Offerte!$B72)</f>
        <v/>
      </c>
      <c r="C2176" s="48">
        <f>IF(Offerte!$A72="","",Offerte!$C72)</f>
        <v/>
      </c>
      <c r="D2176" s="48" t="inlineStr">
        <is>
          <t>A.1.2</t>
        </is>
      </c>
      <c r="E2176" s="48" t="inlineStr">
        <is>
          <t>A</t>
        </is>
      </c>
      <c r="F2176" s="48" t="inlineStr">
        <is>
          <t>Q</t>
        </is>
      </c>
      <c r="G2176" s="48" t="inlineStr">
        <is>
          <t>higher</t>
        </is>
      </c>
      <c r="H2176" s="48" t="n">
        <v>4</v>
      </c>
      <c r="I2176" s="48" t="inlineStr">
        <is>
          <t>Numero aggiuntivo di passeggeri controllati</t>
        </is>
      </c>
      <c r="J2176" s="73" t="n"/>
      <c r="K2176" s="73" t="n"/>
      <c r="L2176" s="73" t="n"/>
      <c r="M2176" s="73" t="n"/>
      <c r="N2176" s="57">
        <f>IF($A2176="","",IFERROR(VALUE($J2176),0))</f>
        <v/>
      </c>
      <c r="O2176" s="57">
        <f>IF($A2176="",0,IF(OR($S2176&lt;&gt;1,COUNTA($J2176:$M2176)=0),0,IF(SUMPRODUCT(MAX(($C$5:$C$2484=$C2176)*($D$5:$D$2484=$D2176)*($S$5:$S$2484=1)*IFERROR($N$5:$N$2484*1,0)))&gt;0,ROUND($H2176*($N2176/SUMPRODUCT(MAX(($C$5:$C$2484=$C2176)*($D$5:$D$2484=$D2176)*($S$5:$S$2484=1)*IFERROR($N$5:$N$2484*1,0)))),4),0)))</f>
        <v/>
      </c>
      <c r="P2176" s="48" t="inlineStr">
        <is>
          <t>passeggeri/anno</t>
        </is>
      </c>
      <c r="Q2176" s="57">
        <f>IF($A2176="","",$A2176&amp;"|"&amp;$C2176)</f>
        <v/>
      </c>
      <c r="R2176" s="57">
        <f>IF($A2176="","",$A2176&amp;"|"&amp;$C2176&amp;"|"&amp;$D2176)</f>
        <v/>
      </c>
      <c r="S2176" s="57">
        <f>IF($A2176="","",IFERROR(INDEX(Offerte!$D$2:$D$81,MATCH($Q2176,Offerte!$L$2:$L$81,0)),0))</f>
        <v/>
      </c>
      <c r="T2176" s="57">
        <f>IF($A2176="","",IFERROR(INDEX(Offerte!$G$2:$G$81,MATCH($Q2176,Offerte!$L$2:$L$81,0)),"NO"))</f>
        <v/>
      </c>
    </row>
    <row r="2177">
      <c r="A2177" s="48">
        <f>IF(Offerte!$A72="","",Offerte!$A72)</f>
        <v/>
      </c>
      <c r="B2177" s="48">
        <f>IF(Offerte!$A72="","",Offerte!$B72)</f>
        <v/>
      </c>
      <c r="C2177" s="48">
        <f>IF(Offerte!$A72="","",Offerte!$C72)</f>
        <v/>
      </c>
      <c r="D2177" s="48" t="inlineStr">
        <is>
          <t>B.1.1</t>
        </is>
      </c>
      <c r="E2177" s="48" t="inlineStr">
        <is>
          <t>B</t>
        </is>
      </c>
      <c r="F2177" s="48" t="inlineStr">
        <is>
          <t>Q</t>
        </is>
      </c>
      <c r="G2177" s="48" t="inlineStr">
        <is>
          <t>higher</t>
        </is>
      </c>
      <c r="H2177" s="48" t="n">
        <v>3</v>
      </c>
      <c r="I2177" s="48" t="inlineStr">
        <is>
          <t>Incremento dei posti offerti nelle fasce di punta</t>
        </is>
      </c>
      <c r="J2177" s="73" t="n"/>
      <c r="K2177" s="73" t="n"/>
      <c r="L2177" s="73" t="n"/>
      <c r="M2177" s="73" t="n"/>
      <c r="N2177" s="57">
        <f>IF($A2177="","",IFERROR(VALUE($J2177),0))</f>
        <v/>
      </c>
      <c r="O2177" s="57">
        <f>IF($A2177="",0,IF(OR($S2177&lt;&gt;1,COUNTA($J2177:$M2177)=0),0,IF(SUMPRODUCT(MAX(($C$5:$C$2484=$C2177)*($D$5:$D$2484=$D2177)*($S$5:$S$2484=1)*IFERROR($N$5:$N$2484*1,0)))&gt;0,ROUND($H2177*($N2177/SUMPRODUCT(MAX(($C$5:$C$2484=$C2177)*($D$5:$D$2484=$D2177)*($S$5:$S$2484=1)*IFERROR($N$5:$N$2484*1,0)))),4),0)))</f>
        <v/>
      </c>
      <c r="P2177" s="48" t="inlineStr">
        <is>
          <t>posti*km</t>
        </is>
      </c>
      <c r="Q2177" s="57">
        <f>IF($A2177="","",$A2177&amp;"|"&amp;$C2177)</f>
        <v/>
      </c>
      <c r="R2177" s="57">
        <f>IF($A2177="","",$A2177&amp;"|"&amp;$C2177&amp;"|"&amp;$D2177)</f>
        <v/>
      </c>
      <c r="S2177" s="57">
        <f>IF($A2177="","",IFERROR(INDEX(Offerte!$D$2:$D$81,MATCH($Q2177,Offerte!$L$2:$L$81,0)),0))</f>
        <v/>
      </c>
      <c r="T2177" s="57">
        <f>IF($A2177="","",IFERROR(INDEX(Offerte!$G$2:$G$81,MATCH($Q2177,Offerte!$L$2:$L$81,0)),"NO"))</f>
        <v/>
      </c>
    </row>
    <row r="2178">
      <c r="A2178" s="48">
        <f>IF(Offerte!$A72="","",Offerte!$A72)</f>
        <v/>
      </c>
      <c r="B2178" s="48">
        <f>IF(Offerte!$A72="","",Offerte!$B72)</f>
        <v/>
      </c>
      <c r="C2178" s="48">
        <f>IF(Offerte!$A72="","",Offerte!$C72)</f>
        <v/>
      </c>
      <c r="D2178" s="48" t="inlineStr">
        <is>
          <t>B.2.1</t>
        </is>
      </c>
      <c r="E2178" s="48" t="inlineStr">
        <is>
          <t>B</t>
        </is>
      </c>
      <c r="F2178" s="48" t="inlineStr">
        <is>
          <t>Q</t>
        </is>
      </c>
      <c r="G2178" s="48" t="inlineStr">
        <is>
          <t>higher</t>
        </is>
      </c>
      <c r="H2178" s="48" t="n">
        <v>4</v>
      </c>
      <c r="I2178" s="48" t="inlineStr">
        <is>
          <t>Corse aggiuntive nell'arco giornaliero base</t>
        </is>
      </c>
      <c r="J2178" s="73" t="n"/>
      <c r="K2178" s="73" t="n"/>
      <c r="L2178" s="73" t="n"/>
      <c r="M2178" s="73" t="n"/>
      <c r="N2178" s="57">
        <f>IF($A2178="","",IFERROR(VALUE($J2178),0))</f>
        <v/>
      </c>
      <c r="O2178" s="57">
        <f>IF($A2178="",0,IF(OR($S2178&lt;&gt;1,COUNTA($J2178:$M2178)=0),0,IF(SUMPRODUCT(MAX(($C$5:$C$2484=$C2178)*($D$5:$D$2484=$D2178)*($S$5:$S$2484=1)*IFERROR($N$5:$N$2484*1,0)))&gt;0,ROUND($H2178*($N2178/SUMPRODUCT(MAX(($C$5:$C$2484=$C2178)*($D$5:$D$2484=$D2178)*($S$5:$S$2484=1)*IFERROR($N$5:$N$2484*1,0)))),4),0)))</f>
        <v/>
      </c>
      <c r="P2178" s="48" t="inlineStr">
        <is>
          <t>corse</t>
        </is>
      </c>
      <c r="Q2178" s="57">
        <f>IF($A2178="","",$A2178&amp;"|"&amp;$C2178)</f>
        <v/>
      </c>
      <c r="R2178" s="57">
        <f>IF($A2178="","",$A2178&amp;"|"&amp;$C2178&amp;"|"&amp;$D2178)</f>
        <v/>
      </c>
      <c r="S2178" s="57">
        <f>IF($A2178="","",IFERROR(INDEX(Offerte!$D$2:$D$81,MATCH($Q2178,Offerte!$L$2:$L$81,0)),0))</f>
        <v/>
      </c>
      <c r="T2178" s="57">
        <f>IF($A2178="","",IFERROR(INDEX(Offerte!$G$2:$G$81,MATCH($Q2178,Offerte!$L$2:$L$81,0)),"NO"))</f>
        <v/>
      </c>
    </row>
    <row r="2179">
      <c r="A2179" s="48">
        <f>IF(Offerte!$A72="","",Offerte!$A72)</f>
        <v/>
      </c>
      <c r="B2179" s="48">
        <f>IF(Offerte!$A72="","",Offerte!$B72)</f>
        <v/>
      </c>
      <c r="C2179" s="48">
        <f>IF(Offerte!$A72="","",Offerte!$C72)</f>
        <v/>
      </c>
      <c r="D2179" s="48" t="inlineStr">
        <is>
          <t>B.3.1</t>
        </is>
      </c>
      <c r="E2179" s="48" t="inlineStr">
        <is>
          <t>B</t>
        </is>
      </c>
      <c r="F2179" s="48" t="inlineStr">
        <is>
          <t>Q</t>
        </is>
      </c>
      <c r="G2179" s="48" t="inlineStr">
        <is>
          <t>higher</t>
        </is>
      </c>
      <c r="H2179" s="48" t="n">
        <v>2</v>
      </c>
      <c r="I2179" s="48" t="inlineStr">
        <is>
          <t>Numero di corse aggiuntive per allungamento dell'arco di servizio giornaliero nelle fasce serali</t>
        </is>
      </c>
      <c r="J2179" s="73" t="n"/>
      <c r="K2179" s="73" t="n"/>
      <c r="L2179" s="73" t="n"/>
      <c r="M2179" s="73" t="n"/>
      <c r="N2179" s="57">
        <f>IF($A2179="","",IFERROR(VALUE($J2179),0))</f>
        <v/>
      </c>
      <c r="O2179" s="57">
        <f>IF($A2179="",0,IF(OR($S2179&lt;&gt;1,COUNTA($J2179:$M2179)=0),0,IF(SUMPRODUCT(MAX(($C$5:$C$2484=$C2179)*($D$5:$D$2484=$D2179)*($S$5:$S$2484=1)*IFERROR($N$5:$N$2484*1,0)))&gt;0,ROUND($H2179*($N2179/SUMPRODUCT(MAX(($C$5:$C$2484=$C2179)*($D$5:$D$2484=$D2179)*($S$5:$S$2484=1)*IFERROR($N$5:$N$2484*1,0)))),4),0)))</f>
        <v/>
      </c>
      <c r="P2179" s="48" t="inlineStr">
        <is>
          <t>corse</t>
        </is>
      </c>
      <c r="Q2179" s="57">
        <f>IF($A2179="","",$A2179&amp;"|"&amp;$C2179)</f>
        <v/>
      </c>
      <c r="R2179" s="57">
        <f>IF($A2179="","",$A2179&amp;"|"&amp;$C2179&amp;"|"&amp;$D2179)</f>
        <v/>
      </c>
      <c r="S2179" s="57">
        <f>IF($A2179="","",IFERROR(INDEX(Offerte!$D$2:$D$81,MATCH($Q2179,Offerte!$L$2:$L$81,0)),0))</f>
        <v/>
      </c>
      <c r="T2179" s="57">
        <f>IF($A2179="","",IFERROR(INDEX(Offerte!$G$2:$G$81,MATCH($Q2179,Offerte!$L$2:$L$81,0)),"NO"))</f>
        <v/>
      </c>
    </row>
    <row r="2180">
      <c r="A2180" s="48">
        <f>IF(Offerte!$A72="","",Offerte!$A72)</f>
        <v/>
      </c>
      <c r="B2180" s="48">
        <f>IF(Offerte!$A72="","",Offerte!$B72)</f>
        <v/>
      </c>
      <c r="C2180" s="48">
        <f>IF(Offerte!$A72="","",Offerte!$C72)</f>
        <v/>
      </c>
      <c r="D2180" s="48" t="inlineStr">
        <is>
          <t>B.4.1</t>
        </is>
      </c>
      <c r="E2180" s="48" t="inlineStr">
        <is>
          <t>B</t>
        </is>
      </c>
      <c r="F2180" s="48" t="inlineStr">
        <is>
          <t>Q</t>
        </is>
      </c>
      <c r="G2180" s="48" t="inlineStr">
        <is>
          <t>higher</t>
        </is>
      </c>
      <c r="H2180" s="48" t="n">
        <v>3</v>
      </c>
      <c r="I2180" s="48" t="inlineStr">
        <is>
          <t>Percorrenze aggiuntive offerte nel Programma d'esercizio delle prime due fasi attuative</t>
        </is>
      </c>
      <c r="J2180" s="73" t="n"/>
      <c r="K2180" s="73" t="n"/>
      <c r="L2180" s="73" t="n"/>
      <c r="M2180" s="73" t="n"/>
      <c r="N2180" s="57">
        <f>IF($A2180="","",IFERROR(VALUE($J2180),0))</f>
        <v/>
      </c>
      <c r="O2180" s="57">
        <f>IF($A2180="",0,IF(OR($S2180&lt;&gt;1,COUNTA($J2180:$M2180)=0),0,IF(SUMPRODUCT(MAX(($C$5:$C$2484=$C2180)*($D$5:$D$2484=$D2180)*($S$5:$S$2484=1)*IFERROR($N$5:$N$2484*1,0)))&gt;0,ROUND($H2180*($N2180/SUMPRODUCT(MAX(($C$5:$C$2484=$C2180)*($D$5:$D$2484=$D2180)*($S$5:$S$2484=1)*IFERROR($N$5:$N$2484*1,0)))),4),0)))</f>
        <v/>
      </c>
      <c r="P2180" s="48" t="inlineStr">
        <is>
          <t>vett*km</t>
        </is>
      </c>
      <c r="Q2180" s="57">
        <f>IF($A2180="","",$A2180&amp;"|"&amp;$C2180)</f>
        <v/>
      </c>
      <c r="R2180" s="57">
        <f>IF($A2180="","",$A2180&amp;"|"&amp;$C2180&amp;"|"&amp;$D2180)</f>
        <v/>
      </c>
      <c r="S2180" s="57">
        <f>IF($A2180="","",IFERROR(INDEX(Offerte!$D$2:$D$81,MATCH($Q2180,Offerte!$L$2:$L$81,0)),0))</f>
        <v/>
      </c>
      <c r="T2180" s="57">
        <f>IF($A2180="","",IFERROR(INDEX(Offerte!$G$2:$G$81,MATCH($Q2180,Offerte!$L$2:$L$81,0)),"NO"))</f>
        <v/>
      </c>
    </row>
    <row r="2181">
      <c r="A2181" s="48">
        <f>IF(Offerte!$A72="","",Offerte!$A72)</f>
        <v/>
      </c>
      <c r="B2181" s="48">
        <f>IF(Offerte!$A72="","",Offerte!$B72)</f>
        <v/>
      </c>
      <c r="C2181" s="48">
        <f>IF(Offerte!$A72="","",Offerte!$C72)</f>
        <v/>
      </c>
      <c r="D2181" s="48" t="inlineStr">
        <is>
          <t>B.5.1</t>
        </is>
      </c>
      <c r="E2181" s="48" t="inlineStr">
        <is>
          <t>B</t>
        </is>
      </c>
      <c r="F2181" s="48" t="inlineStr">
        <is>
          <t>D</t>
        </is>
      </c>
      <c r="G2181" s="48" t="inlineStr">
        <is>
          <t>discretionary</t>
        </is>
      </c>
      <c r="H2181" s="48" t="n">
        <v>2</v>
      </c>
      <c r="I2181" s="48" t="inlineStr">
        <is>
          <t>Efficacia del progetto di servizi complementari DRT</t>
        </is>
      </c>
      <c r="J2181" s="73" t="n"/>
      <c r="K2181" s="73" t="n"/>
      <c r="L2181" s="73" t="n"/>
      <c r="M2181" s="73" t="n"/>
      <c r="N2181" s="57">
        <f>IF($A2181="","",MAX(0,MIN(1,IFERROR(VALUE($M2181),0))))</f>
        <v/>
      </c>
      <c r="O2181" s="57">
        <f>IF($A2181="",0,IF(OR($S2181&lt;&gt;1,COUNTA($J2181:$M2181)=0),0,IF(SUMPRODUCT(MAX(($C$5:$C$2484=$C2181)*($D$5:$D$2484=$D2181)*($S$5:$S$2484=1)*IFERROR($N$5:$N$2484*1,0)))&gt;0,ROUND($H2181*($N2181/SUMPRODUCT(MAX(($C$5:$C$2484=$C2181)*($D$5:$D$2484=$D2181)*($S$5:$S$2484=1)*IFERROR($N$5:$N$2484*1,0)))),4),0)))</f>
        <v/>
      </c>
      <c r="P2181" s="48" t="inlineStr">
        <is>
          <t>coeff.</t>
        </is>
      </c>
      <c r="Q2181" s="57">
        <f>IF($A2181="","",$A2181&amp;"|"&amp;$C2181)</f>
        <v/>
      </c>
      <c r="R2181" s="57">
        <f>IF($A2181="","",$A2181&amp;"|"&amp;$C2181&amp;"|"&amp;$D2181)</f>
        <v/>
      </c>
      <c r="S2181" s="57">
        <f>IF($A2181="","",IFERROR(INDEX(Offerte!$D$2:$D$81,MATCH($Q2181,Offerte!$L$2:$L$81,0)),0))</f>
        <v/>
      </c>
      <c r="T2181" s="57">
        <f>IF($A2181="","",IFERROR(INDEX(Offerte!$G$2:$G$81,MATCH($Q2181,Offerte!$L$2:$L$81,0)),"NO"))</f>
        <v/>
      </c>
    </row>
    <row r="2182">
      <c r="A2182" s="48">
        <f>IF(Offerte!$A72="","",Offerte!$A72)</f>
        <v/>
      </c>
      <c r="B2182" s="48">
        <f>IF(Offerte!$A72="","",Offerte!$B72)</f>
        <v/>
      </c>
      <c r="C2182" s="48">
        <f>IF(Offerte!$A72="","",Offerte!$C72)</f>
        <v/>
      </c>
      <c r="D2182" s="48" t="inlineStr">
        <is>
          <t>C.1.1</t>
        </is>
      </c>
      <c r="E2182" s="48" t="inlineStr">
        <is>
          <t>C</t>
        </is>
      </c>
      <c r="F2182" s="48" t="inlineStr">
        <is>
          <t>Q</t>
        </is>
      </c>
      <c r="G2182" s="48" t="inlineStr">
        <is>
          <t>higher</t>
        </is>
      </c>
      <c r="H2182" s="48" t="n">
        <v>2</v>
      </c>
      <c r="I2182" s="48" t="inlineStr">
        <is>
          <t>Tasso di copertura del servizio con telecamere BSD</t>
        </is>
      </c>
      <c r="J2182" s="73" t="n"/>
      <c r="K2182" s="73" t="n"/>
      <c r="L2182" s="73" t="n"/>
      <c r="M2182" s="73" t="n"/>
      <c r="N2182" s="57">
        <f>IF($A2182="","",IFERROR(VALUE($K2182)/VALUE($L2182),IFERROR(VALUE($J2182),0)))</f>
        <v/>
      </c>
      <c r="O2182" s="57">
        <f>IF($A2182="",0,IF(OR($S2182&lt;&gt;1,COUNTA($J2182:$M2182)=0),0,IF(SUMPRODUCT(MAX(($C$5:$C$2484=$C2182)*($D$5:$D$2484=$D2182)*($S$5:$S$2484=1)*IFERROR($N$5:$N$2484*1,0)))&gt;0,ROUND($H2182*($N2182/SUMPRODUCT(MAX(($C$5:$C$2484=$C2182)*($D$5:$D$2484=$D2182)*($S$5:$S$2484=1)*IFERROR($N$5:$N$2484*1,0)))),4),0)))</f>
        <v/>
      </c>
      <c r="P2182" s="48" t="inlineStr">
        <is>
          <t>Autobus attrezzati con telecamere BSD / Autobus totali in offerta, incluse scorte</t>
        </is>
      </c>
      <c r="Q2182" s="57">
        <f>IF($A2182="","",$A2182&amp;"|"&amp;$C2182)</f>
        <v/>
      </c>
      <c r="R2182" s="57">
        <f>IF($A2182="","",$A2182&amp;"|"&amp;$C2182&amp;"|"&amp;$D2182)</f>
        <v/>
      </c>
      <c r="S2182" s="57">
        <f>IF($A2182="","",IFERROR(INDEX(Offerte!$D$2:$D$81,MATCH($Q2182,Offerte!$L$2:$L$81,0)),0))</f>
        <v/>
      </c>
      <c r="T2182" s="57">
        <f>IF($A2182="","",IFERROR(INDEX(Offerte!$G$2:$G$81,MATCH($Q2182,Offerte!$L$2:$L$81,0)),"NO"))</f>
        <v/>
      </c>
    </row>
    <row r="2183">
      <c r="A2183" s="48">
        <f>IF(Offerte!$A72="","",Offerte!$A72)</f>
        <v/>
      </c>
      <c r="B2183" s="48">
        <f>IF(Offerte!$A72="","",Offerte!$B72)</f>
        <v/>
      </c>
      <c r="C2183" s="48">
        <f>IF(Offerte!$A72="","",Offerte!$C72)</f>
        <v/>
      </c>
      <c r="D2183" s="48" t="inlineStr">
        <is>
          <t>C.1.2</t>
        </is>
      </c>
      <c r="E2183" s="48" t="inlineStr">
        <is>
          <t>C</t>
        </is>
      </c>
      <c r="F2183" s="48" t="inlineStr">
        <is>
          <t>Q</t>
        </is>
      </c>
      <c r="G2183" s="48" t="inlineStr">
        <is>
          <t>higher</t>
        </is>
      </c>
      <c r="H2183" s="48" t="n">
        <v>2</v>
      </c>
      <c r="I2183" s="48" t="inlineStr">
        <is>
          <t>Tasso di copertura del servizio con telecamere ADAS</t>
        </is>
      </c>
      <c r="J2183" s="73" t="n"/>
      <c r="K2183" s="73" t="n"/>
      <c r="L2183" s="73" t="n"/>
      <c r="M2183" s="73" t="n"/>
      <c r="N2183" s="57">
        <f>IF($A2183="","",IFERROR(VALUE($K2183)/VALUE($L2183),IFERROR(VALUE($J2183),0)))</f>
        <v/>
      </c>
      <c r="O2183" s="57">
        <f>IF($A2183="",0,IF(OR($S2183&lt;&gt;1,COUNTA($J2183:$M2183)=0),0,IF(SUMPRODUCT(MAX(($C$5:$C$2484=$C2183)*($D$5:$D$2484=$D2183)*($S$5:$S$2484=1)*IFERROR($N$5:$N$2484*1,0)))&gt;0,ROUND($H2183*($N2183/SUMPRODUCT(MAX(($C$5:$C$2484=$C2183)*($D$5:$D$2484=$D2183)*($S$5:$S$2484=1)*IFERROR($N$5:$N$2484*1,0)))),4),0)))</f>
        <v/>
      </c>
      <c r="P2183" s="48" t="inlineStr">
        <is>
          <t>Autobus attrezzati con telecamere ADAS / Autobus totali in offerta, incluse scorte</t>
        </is>
      </c>
      <c r="Q2183" s="57">
        <f>IF($A2183="","",$A2183&amp;"|"&amp;$C2183)</f>
        <v/>
      </c>
      <c r="R2183" s="57">
        <f>IF($A2183="","",$A2183&amp;"|"&amp;$C2183&amp;"|"&amp;$D2183)</f>
        <v/>
      </c>
      <c r="S2183" s="57">
        <f>IF($A2183="","",IFERROR(INDEX(Offerte!$D$2:$D$81,MATCH($Q2183,Offerte!$L$2:$L$81,0)),0))</f>
        <v/>
      </c>
      <c r="T2183" s="57">
        <f>IF($A2183="","",IFERROR(INDEX(Offerte!$G$2:$G$81,MATCH($Q2183,Offerte!$L$2:$L$81,0)),"NO"))</f>
        <v/>
      </c>
    </row>
    <row r="2184">
      <c r="A2184" s="48">
        <f>IF(Offerte!$A72="","",Offerte!$A72)</f>
        <v/>
      </c>
      <c r="B2184" s="48">
        <f>IF(Offerte!$A72="","",Offerte!$B72)</f>
        <v/>
      </c>
      <c r="C2184" s="48">
        <f>IF(Offerte!$A72="","",Offerte!$C72)</f>
        <v/>
      </c>
      <c r="D2184" s="48" t="inlineStr">
        <is>
          <t>C.2.1</t>
        </is>
      </c>
      <c r="E2184" s="48" t="inlineStr">
        <is>
          <t>C</t>
        </is>
      </c>
      <c r="F2184" s="48" t="inlineStr">
        <is>
          <t>Q</t>
        </is>
      </c>
      <c r="G2184" s="48" t="inlineStr">
        <is>
          <t>higher</t>
        </is>
      </c>
      <c r="H2184" s="48" t="n">
        <v>3</v>
      </c>
      <c r="I2184" s="48" t="inlineStr">
        <is>
          <t>Tasso di copertura del servizio con telecamere di bordo di videosorveglianza</t>
        </is>
      </c>
      <c r="J2184" s="73" t="n"/>
      <c r="K2184" s="73" t="n"/>
      <c r="L2184" s="73" t="n"/>
      <c r="M2184" s="73" t="n"/>
      <c r="N2184" s="57">
        <f>IF($A2184="","",IFERROR(VALUE($K2184)/VALUE($L2184),IFERROR(VALUE($J2184),0)))</f>
        <v/>
      </c>
      <c r="O2184" s="57">
        <f>IF($A2184="",0,IF(OR($S2184&lt;&gt;1,COUNTA($J2184:$M2184)=0),0,IF(SUMPRODUCT(MAX(($C$5:$C$2484=$C2184)*($D$5:$D$2484=$D2184)*($S$5:$S$2484=1)*IFERROR($N$5:$N$2484*1,0)))&gt;0,ROUND($H2184*($N2184/SUMPRODUCT(MAX(($C$5:$C$2484=$C2184)*($D$5:$D$2484=$D2184)*($S$5:$S$2484=1)*IFERROR($N$5:$N$2484*1,0)))),4),0)))</f>
        <v/>
      </c>
      <c r="P2184" s="48" t="inlineStr">
        <is>
          <t>Autobus attrezzati con videosorveglianza / Autobus totali in offerta, incluse scorte</t>
        </is>
      </c>
      <c r="Q2184" s="57">
        <f>IF($A2184="","",$A2184&amp;"|"&amp;$C2184)</f>
        <v/>
      </c>
      <c r="R2184" s="57">
        <f>IF($A2184="","",$A2184&amp;"|"&amp;$C2184&amp;"|"&amp;$D2184)</f>
        <v/>
      </c>
      <c r="S2184" s="57">
        <f>IF($A2184="","",IFERROR(INDEX(Offerte!$D$2:$D$81,MATCH($Q2184,Offerte!$L$2:$L$81,0)),0))</f>
        <v/>
      </c>
      <c r="T2184" s="57">
        <f>IF($A2184="","",IFERROR(INDEX(Offerte!$G$2:$G$81,MATCH($Q2184,Offerte!$L$2:$L$81,0)),"NO"))</f>
        <v/>
      </c>
    </row>
    <row r="2185">
      <c r="A2185" s="48">
        <f>IF(Offerte!$A72="","",Offerte!$A72)</f>
        <v/>
      </c>
      <c r="B2185" s="48">
        <f>IF(Offerte!$A72="","",Offerte!$B72)</f>
        <v/>
      </c>
      <c r="C2185" s="48">
        <f>IF(Offerte!$A72="","",Offerte!$C72)</f>
        <v/>
      </c>
      <c r="D2185" s="48" t="inlineStr">
        <is>
          <t>C.2.2</t>
        </is>
      </c>
      <c r="E2185" s="48" t="inlineStr">
        <is>
          <t>C</t>
        </is>
      </c>
      <c r="F2185" s="48" t="inlineStr">
        <is>
          <t>T</t>
        </is>
      </c>
      <c r="G2185" s="48" t="inlineStr">
        <is>
          <t>tabular</t>
        </is>
      </c>
      <c r="H2185" s="48" t="n">
        <v>1</v>
      </c>
      <c r="I2185" s="48" t="inlineStr">
        <is>
          <t>Software video/audio analisi per situazioni di pericolo</t>
        </is>
      </c>
      <c r="J2185" s="73" t="n"/>
      <c r="K2185" s="73" t="n"/>
      <c r="L2185" s="73" t="n"/>
      <c r="M2185" s="73" t="n"/>
      <c r="N2185" s="57">
        <f>IF($A2185="","",IF(IFERROR(VALUE($M2185),0)=1,1,0))</f>
        <v/>
      </c>
      <c r="O2185" s="57">
        <f>IF($A2185="",0,IF(OR($S2185&lt;&gt;1,COUNTA($J2185:$M2185)=0),0,IF($N2185=1,$H2185,0)))</f>
        <v/>
      </c>
      <c r="P2185" s="48" t="inlineStr">
        <is>
          <t>sì/no</t>
        </is>
      </c>
      <c r="Q2185" s="57">
        <f>IF($A2185="","",$A2185&amp;"|"&amp;$C2185)</f>
        <v/>
      </c>
      <c r="R2185" s="57">
        <f>IF($A2185="","",$A2185&amp;"|"&amp;$C2185&amp;"|"&amp;$D2185)</f>
        <v/>
      </c>
      <c r="S2185" s="57">
        <f>IF($A2185="","",IFERROR(INDEX(Offerte!$D$2:$D$81,MATCH($Q2185,Offerte!$L$2:$L$81,0)),0))</f>
        <v/>
      </c>
      <c r="T2185" s="57">
        <f>IF($A2185="","",IFERROR(INDEX(Offerte!$G$2:$G$81,MATCH($Q2185,Offerte!$L$2:$L$81,0)),"NO"))</f>
        <v/>
      </c>
    </row>
    <row r="2186">
      <c r="A2186" s="48">
        <f>IF(Offerte!$A72="","",Offerte!$A72)</f>
        <v/>
      </c>
      <c r="B2186" s="48">
        <f>IF(Offerte!$A72="","",Offerte!$B72)</f>
        <v/>
      </c>
      <c r="C2186" s="48">
        <f>IF(Offerte!$A72="","",Offerte!$C72)</f>
        <v/>
      </c>
      <c r="D2186" s="48" t="inlineStr">
        <is>
          <t>C.2.3</t>
        </is>
      </c>
      <c r="E2186" s="48" t="inlineStr">
        <is>
          <t>C</t>
        </is>
      </c>
      <c r="F2186" s="48" t="inlineStr">
        <is>
          <t>T</t>
        </is>
      </c>
      <c r="G2186" s="48" t="inlineStr">
        <is>
          <t>tabular</t>
        </is>
      </c>
      <c r="H2186" s="48" t="n">
        <v>1</v>
      </c>
      <c r="I2186" s="48" t="inlineStr">
        <is>
          <t>Collegamento con centrale qualificata di pronto intervento</t>
        </is>
      </c>
      <c r="J2186" s="73" t="n"/>
      <c r="K2186" s="73" t="n"/>
      <c r="L2186" s="73" t="n"/>
      <c r="M2186" s="73" t="n"/>
      <c r="N2186" s="57">
        <f>IF($A2186="","",IF(IFERROR(VALUE($M2186),0)=1,1,0))</f>
        <v/>
      </c>
      <c r="O2186" s="57">
        <f>IF($A2186="",0,IF(OR($S2186&lt;&gt;1,COUNTA($J2186:$M2186)=0),0,IF($N2186=1,$H2186,0)))</f>
        <v/>
      </c>
      <c r="P2186" s="48" t="inlineStr">
        <is>
          <t>sì/no</t>
        </is>
      </c>
      <c r="Q2186" s="57">
        <f>IF($A2186="","",$A2186&amp;"|"&amp;$C2186)</f>
        <v/>
      </c>
      <c r="R2186" s="57">
        <f>IF($A2186="","",$A2186&amp;"|"&amp;$C2186&amp;"|"&amp;$D2186)</f>
        <v/>
      </c>
      <c r="S2186" s="57">
        <f>IF($A2186="","",IFERROR(INDEX(Offerte!$D$2:$D$81,MATCH($Q2186,Offerte!$L$2:$L$81,0)),0))</f>
        <v/>
      </c>
      <c r="T2186" s="57">
        <f>IF($A2186="","",IFERROR(INDEX(Offerte!$G$2:$G$81,MATCH($Q2186,Offerte!$L$2:$L$81,0)),"NO"))</f>
        <v/>
      </c>
    </row>
    <row r="2187">
      <c r="A2187" s="48">
        <f>IF(Offerte!$A72="","",Offerte!$A72)</f>
        <v/>
      </c>
      <c r="B2187" s="48">
        <f>IF(Offerte!$A72="","",Offerte!$B72)</f>
        <v/>
      </c>
      <c r="C2187" s="48">
        <f>IF(Offerte!$A72="","",Offerte!$C72)</f>
        <v/>
      </c>
      <c r="D2187" s="48" t="inlineStr">
        <is>
          <t>C.2.4</t>
        </is>
      </c>
      <c r="E2187" s="48" t="inlineStr">
        <is>
          <t>C</t>
        </is>
      </c>
      <c r="F2187" s="48" t="inlineStr">
        <is>
          <t>Q</t>
        </is>
      </c>
      <c r="G2187" s="48" t="inlineStr">
        <is>
          <t>higher</t>
        </is>
      </c>
      <c r="H2187" s="48" t="n">
        <v>1</v>
      </c>
      <c r="I2187" s="48" t="inlineStr">
        <is>
          <t>Tasso di copertura del servizio con dispositivi per la chiamata di emergenza del conducente</t>
        </is>
      </c>
      <c r="J2187" s="73" t="n"/>
      <c r="K2187" s="73" t="n"/>
      <c r="L2187" s="73" t="n"/>
      <c r="M2187" s="73" t="n"/>
      <c r="N2187" s="57">
        <f>IF($A2187="","",IFERROR(VALUE($K2187)/VALUE($L2187),IFERROR(VALUE($J2187),0)))</f>
        <v/>
      </c>
      <c r="O2187" s="57">
        <f>IF($A2187="",0,IF(OR($S2187&lt;&gt;1,COUNTA($J2187:$M2187)=0),0,IF(SUMPRODUCT(MAX(($C$5:$C$2484=$C2187)*($D$5:$D$2484=$D2187)*($S$5:$S$2484=1)*IFERROR($N$5:$N$2484*1,0)))&gt;0,ROUND($H2187*($N2187/SUMPRODUCT(MAX(($C$5:$C$2484=$C2187)*($D$5:$D$2484=$D2187)*($S$5:$S$2484=1)*IFERROR($N$5:$N$2484*1,0)))),4),0)))</f>
        <v/>
      </c>
      <c r="P2187" s="48" t="inlineStr">
        <is>
          <t>Autobus attrezzati con chiamata di emergenza / Autobus totali in offerta, incluse scorte</t>
        </is>
      </c>
      <c r="Q2187" s="57">
        <f>IF($A2187="","",$A2187&amp;"|"&amp;$C2187)</f>
        <v/>
      </c>
      <c r="R2187" s="57">
        <f>IF($A2187="","",$A2187&amp;"|"&amp;$C2187&amp;"|"&amp;$D2187)</f>
        <v/>
      </c>
      <c r="S2187" s="57">
        <f>IF($A2187="","",IFERROR(INDEX(Offerte!$D$2:$D$81,MATCH($Q2187,Offerte!$L$2:$L$81,0)),0))</f>
        <v/>
      </c>
      <c r="T2187" s="57">
        <f>IF($A2187="","",IFERROR(INDEX(Offerte!$G$2:$G$81,MATCH($Q2187,Offerte!$L$2:$L$81,0)),"NO"))</f>
        <v/>
      </c>
    </row>
    <row r="2188">
      <c r="A2188" s="48">
        <f>IF(Offerte!$A72="","",Offerte!$A72)</f>
        <v/>
      </c>
      <c r="B2188" s="48">
        <f>IF(Offerte!$A72="","",Offerte!$B72)</f>
        <v/>
      </c>
      <c r="C2188" s="48">
        <f>IF(Offerte!$A72="","",Offerte!$C72)</f>
        <v/>
      </c>
      <c r="D2188" s="48" t="inlineStr">
        <is>
          <t>C.3.1</t>
        </is>
      </c>
      <c r="E2188" s="48" t="inlineStr">
        <is>
          <t>C</t>
        </is>
      </c>
      <c r="F2188" s="48" t="inlineStr">
        <is>
          <t>Q</t>
        </is>
      </c>
      <c r="G2188" s="48" t="inlineStr">
        <is>
          <t>higher</t>
        </is>
      </c>
      <c r="H2188" s="48" t="n">
        <v>2</v>
      </c>
      <c r="I2188" s="48" t="inlineStr">
        <is>
          <t>Tasso di copertura del servizio con dispositivi di informazione dinamica a bordo mezzo</t>
        </is>
      </c>
      <c r="J2188" s="73" t="n"/>
      <c r="K2188" s="73" t="n"/>
      <c r="L2188" s="73" t="n"/>
      <c r="M2188" s="73" t="n"/>
      <c r="N2188" s="57">
        <f>IF($A2188="","",IFERROR(VALUE($K2188)/VALUE($L2188),IFERROR(VALUE($J2188),0)))</f>
        <v/>
      </c>
      <c r="O2188" s="57">
        <f>IF($A2188="",0,IF(OR($S2188&lt;&gt;1,COUNTA($J2188:$M2188)=0),0,IF(SUMPRODUCT(MAX(($C$5:$C$2484=$C2188)*($D$5:$D$2484=$D2188)*($S$5:$S$2484=1)*IFERROR($N$5:$N$2484*1,0)))&gt;0,ROUND($H2188*($N2188/SUMPRODUCT(MAX(($C$5:$C$2484=$C2188)*($D$5:$D$2484=$D2188)*($S$5:$S$2484=1)*IFERROR($N$5:$N$2484*1,0)))),4),0)))</f>
        <v/>
      </c>
      <c r="P2188" s="48" t="inlineStr">
        <is>
          <t>Autobus con monitor e indicatori vocali / Autobus totali in offerta, incluse scorte</t>
        </is>
      </c>
      <c r="Q2188" s="57">
        <f>IF($A2188="","",$A2188&amp;"|"&amp;$C2188)</f>
        <v/>
      </c>
      <c r="R2188" s="57">
        <f>IF($A2188="","",$A2188&amp;"|"&amp;$C2188&amp;"|"&amp;$D2188)</f>
        <v/>
      </c>
      <c r="S2188" s="57">
        <f>IF($A2188="","",IFERROR(INDEX(Offerte!$D$2:$D$81,MATCH($Q2188,Offerte!$L$2:$L$81,0)),0))</f>
        <v/>
      </c>
      <c r="T2188" s="57">
        <f>IF($A2188="","",IFERROR(INDEX(Offerte!$G$2:$G$81,MATCH($Q2188,Offerte!$L$2:$L$81,0)),"NO"))</f>
        <v/>
      </c>
    </row>
    <row r="2189">
      <c r="A2189" s="48">
        <f>IF(Offerte!$A72="","",Offerte!$A72)</f>
        <v/>
      </c>
      <c r="B2189" s="48">
        <f>IF(Offerte!$A72="","",Offerte!$B72)</f>
        <v/>
      </c>
      <c r="C2189" s="48">
        <f>IF(Offerte!$A72="","",Offerte!$C72)</f>
        <v/>
      </c>
      <c r="D2189" s="48" t="inlineStr">
        <is>
          <t>C.3.2</t>
        </is>
      </c>
      <c r="E2189" s="48" t="inlineStr">
        <is>
          <t>C</t>
        </is>
      </c>
      <c r="F2189" s="48" t="inlineStr">
        <is>
          <t>T</t>
        </is>
      </c>
      <c r="G2189" s="48" t="inlineStr">
        <is>
          <t>tabular</t>
        </is>
      </c>
      <c r="H2189" s="48" t="n">
        <v>2</v>
      </c>
      <c r="I2189" s="48" t="inlineStr">
        <is>
          <t>Informazioni a bordo su coincidenze ai nodi</t>
        </is>
      </c>
      <c r="J2189" s="73" t="n"/>
      <c r="K2189" s="73" t="n"/>
      <c r="L2189" s="73" t="n"/>
      <c r="M2189" s="73" t="n"/>
      <c r="N2189" s="57">
        <f>IF($A2189="","",IF(IFERROR(VALUE($M2189),0)=1,1,0))</f>
        <v/>
      </c>
      <c r="O2189" s="57">
        <f>IF($A2189="",0,IF(OR($S2189&lt;&gt;1,COUNTA($J2189:$M2189)=0),0,IF(AND($N2189=1,IFERROR(SUMIFS($N$5:$N$2484,$Q$5:$Q$2484,$Q2189,$D$5:$D$2484,"C.3.1"),0)&gt;=0.5),$H2189,0)))</f>
        <v/>
      </c>
      <c r="P2189" s="48" t="inlineStr">
        <is>
          <t>Dipende da C.3.1 &gt;= 0.5</t>
        </is>
      </c>
      <c r="Q2189" s="57">
        <f>IF($A2189="","",$A2189&amp;"|"&amp;$C2189)</f>
        <v/>
      </c>
      <c r="R2189" s="57">
        <f>IF($A2189="","",$A2189&amp;"|"&amp;$C2189&amp;"|"&amp;$D2189)</f>
        <v/>
      </c>
      <c r="S2189" s="57">
        <f>IF($A2189="","",IFERROR(INDEX(Offerte!$D$2:$D$81,MATCH($Q2189,Offerte!$L$2:$L$81,0)),0))</f>
        <v/>
      </c>
      <c r="T2189" s="57">
        <f>IF($A2189="","",IFERROR(INDEX(Offerte!$G$2:$G$81,MATCH($Q2189,Offerte!$L$2:$L$81,0)),"NO"))</f>
        <v/>
      </c>
    </row>
    <row r="2190">
      <c r="A2190" s="48">
        <f>IF(Offerte!$A72="","",Offerte!$A72)</f>
        <v/>
      </c>
      <c r="B2190" s="48">
        <f>IF(Offerte!$A72="","",Offerte!$B72)</f>
        <v/>
      </c>
      <c r="C2190" s="48">
        <f>IF(Offerte!$A72="","",Offerte!$C72)</f>
        <v/>
      </c>
      <c r="D2190" s="48" t="inlineStr">
        <is>
          <t>D.1.1</t>
        </is>
      </c>
      <c r="E2190" s="48" t="inlineStr">
        <is>
          <t>D</t>
        </is>
      </c>
      <c r="F2190" s="48" t="inlineStr">
        <is>
          <t>Q</t>
        </is>
      </c>
      <c r="G2190" s="48" t="inlineStr">
        <is>
          <t>higher</t>
        </is>
      </c>
      <c r="H2190" s="48" t="n">
        <v>3</v>
      </c>
      <c r="I2190" s="48" t="inlineStr">
        <is>
          <t>Installazione di pensiline</t>
        </is>
      </c>
      <c r="J2190" s="73" t="n"/>
      <c r="K2190" s="73" t="n"/>
      <c r="L2190" s="73" t="n"/>
      <c r="M2190" s="73" t="n"/>
      <c r="N2190" s="57">
        <f>IF($A2190="","",IFERROR(VALUE($J2190),0))</f>
        <v/>
      </c>
      <c r="O2190" s="57">
        <f>IF($A2190="",0,IF(OR($S2190&lt;&gt;1,COUNTA($J2190:$M2190)=0),0,IF(SUMPRODUCT(MAX(($C$5:$C$2484=$C2190)*($D$5:$D$2484=$D2190)*($S$5:$S$2484=1)*IFERROR($N$5:$N$2484*1,0)))&gt;0,ROUND($H2190*($N2190/SUMPRODUCT(MAX(($C$5:$C$2484=$C2190)*($D$5:$D$2484=$D2190)*($S$5:$S$2484=1)*IFERROR($N$5:$N$2484*1,0)))),4),0)))</f>
        <v/>
      </c>
      <c r="P2190" s="48" t="inlineStr">
        <is>
          <t>fermate</t>
        </is>
      </c>
      <c r="Q2190" s="57">
        <f>IF($A2190="","",$A2190&amp;"|"&amp;$C2190)</f>
        <v/>
      </c>
      <c r="R2190" s="57">
        <f>IF($A2190="","",$A2190&amp;"|"&amp;$C2190&amp;"|"&amp;$D2190)</f>
        <v/>
      </c>
      <c r="S2190" s="57">
        <f>IF($A2190="","",IFERROR(INDEX(Offerte!$D$2:$D$81,MATCH($Q2190,Offerte!$L$2:$L$81,0)),0))</f>
        <v/>
      </c>
      <c r="T2190" s="57">
        <f>IF($A2190="","",IFERROR(INDEX(Offerte!$G$2:$G$81,MATCH($Q2190,Offerte!$L$2:$L$81,0)),"NO"))</f>
        <v/>
      </c>
    </row>
    <row r="2191">
      <c r="A2191" s="48">
        <f>IF(Offerte!$A72="","",Offerte!$A72)</f>
        <v/>
      </c>
      <c r="B2191" s="48">
        <f>IF(Offerte!$A72="","",Offerte!$B72)</f>
        <v/>
      </c>
      <c r="C2191" s="48">
        <f>IF(Offerte!$A72="","",Offerte!$C72)</f>
        <v/>
      </c>
      <c r="D2191" s="48" t="inlineStr">
        <is>
          <t>D.1.2</t>
        </is>
      </c>
      <c r="E2191" s="48" t="inlineStr">
        <is>
          <t>D</t>
        </is>
      </c>
      <c r="F2191" s="48" t="inlineStr">
        <is>
          <t>Q</t>
        </is>
      </c>
      <c r="G2191" s="48" t="inlineStr">
        <is>
          <t>higher</t>
        </is>
      </c>
      <c r="H2191" s="48" t="n">
        <v>3</v>
      </c>
      <c r="I2191" s="48" t="inlineStr">
        <is>
          <t>Installazione di paline di fermata conformi alla DGR 581/2023</t>
        </is>
      </c>
      <c r="J2191" s="73" t="n"/>
      <c r="K2191" s="73" t="n"/>
      <c r="L2191" s="73" t="n"/>
      <c r="M2191" s="73" t="n"/>
      <c r="N2191" s="57">
        <f>IF($A2191="","",IFERROR(VALUE($J2191),0))</f>
        <v/>
      </c>
      <c r="O2191" s="57">
        <f>IF($A2191="",0,IF(OR($S2191&lt;&gt;1,COUNTA($J2191:$M2191)=0),0,IF(SUMPRODUCT(MAX(($C$5:$C$2484=$C2191)*($D$5:$D$2484=$D2191)*($S$5:$S$2484=1)*IFERROR($N$5:$N$2484*1,0)))&gt;0,ROUND($H2191*($N2191/SUMPRODUCT(MAX(($C$5:$C$2484=$C2191)*($D$5:$D$2484=$D2191)*($S$5:$S$2484=1)*IFERROR($N$5:$N$2484*1,0)))),4),0)))</f>
        <v/>
      </c>
      <c r="P2191" s="48" t="inlineStr">
        <is>
          <t>fermate</t>
        </is>
      </c>
      <c r="Q2191" s="57">
        <f>IF($A2191="","",$A2191&amp;"|"&amp;$C2191)</f>
        <v/>
      </c>
      <c r="R2191" s="57">
        <f>IF($A2191="","",$A2191&amp;"|"&amp;$C2191&amp;"|"&amp;$D2191)</f>
        <v/>
      </c>
      <c r="S2191" s="57">
        <f>IF($A2191="","",IFERROR(INDEX(Offerte!$D$2:$D$81,MATCH($Q2191,Offerte!$L$2:$L$81,0)),0))</f>
        <v/>
      </c>
      <c r="T2191" s="57">
        <f>IF($A2191="","",IFERROR(INDEX(Offerte!$G$2:$G$81,MATCH($Q2191,Offerte!$L$2:$L$81,0)),"NO"))</f>
        <v/>
      </c>
    </row>
    <row r="2192">
      <c r="A2192" s="48">
        <f>IF(Offerte!$A72="","",Offerte!$A72)</f>
        <v/>
      </c>
      <c r="B2192" s="48">
        <f>IF(Offerte!$A72="","",Offerte!$B72)</f>
        <v/>
      </c>
      <c r="C2192" s="48">
        <f>IF(Offerte!$A72="","",Offerte!$C72)</f>
        <v/>
      </c>
      <c r="D2192" s="48" t="inlineStr">
        <is>
          <t>D.1.3</t>
        </is>
      </c>
      <c r="E2192" s="48" t="inlineStr">
        <is>
          <t>D</t>
        </is>
      </c>
      <c r="F2192" s="48" t="inlineStr">
        <is>
          <t>Q</t>
        </is>
      </c>
      <c r="G2192" s="48" t="inlineStr">
        <is>
          <t>higher</t>
        </is>
      </c>
      <c r="H2192" s="48" t="n">
        <v>2</v>
      </c>
      <c r="I2192" s="48" t="inlineStr">
        <is>
          <t>Display informativi connessi alle fermate</t>
        </is>
      </c>
      <c r="J2192" s="73" t="n"/>
      <c r="K2192" s="73" t="n"/>
      <c r="L2192" s="73" t="n"/>
      <c r="M2192" s="73" t="n"/>
      <c r="N2192" s="57">
        <f>IF($A2192="","",IFERROR(VALUE($J2192),0))</f>
        <v/>
      </c>
      <c r="O2192" s="57">
        <f>IF($A2192="",0,IF(OR($S2192&lt;&gt;1,COUNTA($J2192:$M2192)=0),0,IF(SUMPRODUCT(MAX(($C$5:$C$2484=$C2192)*($D$5:$D$2484=$D2192)*($S$5:$S$2484=1)*IFERROR($N$5:$N$2484*1,0)))&gt;0,ROUND($H2192*($N2192/SUMPRODUCT(MAX(($C$5:$C$2484=$C2192)*($D$5:$D$2484=$D2192)*($S$5:$S$2484=1)*IFERROR($N$5:$N$2484*1,0)))),4),0)))</f>
        <v/>
      </c>
      <c r="P2192" s="48" t="inlineStr">
        <is>
          <t>fermate</t>
        </is>
      </c>
      <c r="Q2192" s="57">
        <f>IF($A2192="","",$A2192&amp;"|"&amp;$C2192)</f>
        <v/>
      </c>
      <c r="R2192" s="57">
        <f>IF($A2192="","",$A2192&amp;"|"&amp;$C2192&amp;"|"&amp;$D2192)</f>
        <v/>
      </c>
      <c r="S2192" s="57">
        <f>IF($A2192="","",IFERROR(INDEX(Offerte!$D$2:$D$81,MATCH($Q2192,Offerte!$L$2:$L$81,0)),0))</f>
        <v/>
      </c>
      <c r="T2192" s="57">
        <f>IF($A2192="","",IFERROR(INDEX(Offerte!$G$2:$G$81,MATCH($Q2192,Offerte!$L$2:$L$81,0)),"NO"))</f>
        <v/>
      </c>
    </row>
    <row r="2193">
      <c r="A2193" s="48">
        <f>IF(Offerte!$A72="","",Offerte!$A72)</f>
        <v/>
      </c>
      <c r="B2193" s="48">
        <f>IF(Offerte!$A72="","",Offerte!$B72)</f>
        <v/>
      </c>
      <c r="C2193" s="48">
        <f>IF(Offerte!$A72="","",Offerte!$C72)</f>
        <v/>
      </c>
      <c r="D2193" s="48" t="inlineStr">
        <is>
          <t>D.2.1</t>
        </is>
      </c>
      <c r="E2193" s="48" t="inlineStr">
        <is>
          <t>D</t>
        </is>
      </c>
      <c r="F2193" s="48" t="inlineStr">
        <is>
          <t>Q</t>
        </is>
      </c>
      <c r="G2193" s="48" t="inlineStr">
        <is>
          <t>higher</t>
        </is>
      </c>
      <c r="H2193" s="48" t="n">
        <v>2</v>
      </c>
      <c r="I2193" s="48" t="inlineStr">
        <is>
          <t>Segnali tattili Loges-Vet-Evolution</t>
        </is>
      </c>
      <c r="J2193" s="73" t="n"/>
      <c r="K2193" s="73" t="n"/>
      <c r="L2193" s="73" t="n"/>
      <c r="M2193" s="73" t="n"/>
      <c r="N2193" s="57">
        <f>IF($A2193="","",IFERROR(VALUE($J2193),0))</f>
        <v/>
      </c>
      <c r="O2193" s="57">
        <f>IF($A2193="",0,IF(OR($S2193&lt;&gt;1,COUNTA($J2193:$M2193)=0),0,IF(SUMPRODUCT(MAX(($C$5:$C$2484=$C2193)*($D$5:$D$2484=$D2193)*($S$5:$S$2484=1)*IFERROR($N$5:$N$2484*1,0)))&gt;0,ROUND($H2193*($N2193/SUMPRODUCT(MAX(($C$5:$C$2484=$C2193)*($D$5:$D$2484=$D2193)*($S$5:$S$2484=1)*IFERROR($N$5:$N$2484*1,0)))),4),0)))</f>
        <v/>
      </c>
      <c r="P2193" s="48" t="inlineStr">
        <is>
          <t>fermate</t>
        </is>
      </c>
      <c r="Q2193" s="57">
        <f>IF($A2193="","",$A2193&amp;"|"&amp;$C2193)</f>
        <v/>
      </c>
      <c r="R2193" s="57">
        <f>IF($A2193="","",$A2193&amp;"|"&amp;$C2193&amp;"|"&amp;$D2193)</f>
        <v/>
      </c>
      <c r="S2193" s="57">
        <f>IF($A2193="","",IFERROR(INDEX(Offerte!$D$2:$D$81,MATCH($Q2193,Offerte!$L$2:$L$81,0)),0))</f>
        <v/>
      </c>
      <c r="T2193" s="57">
        <f>IF($A2193="","",IFERROR(INDEX(Offerte!$G$2:$G$81,MATCH($Q2193,Offerte!$L$2:$L$81,0)),"NO"))</f>
        <v/>
      </c>
    </row>
    <row r="2194">
      <c r="A2194" s="48">
        <f>IF(Offerte!$A72="","",Offerte!$A72)</f>
        <v/>
      </c>
      <c r="B2194" s="48">
        <f>IF(Offerte!$A72="","",Offerte!$B72)</f>
        <v/>
      </c>
      <c r="C2194" s="48">
        <f>IF(Offerte!$A72="","",Offerte!$C72)</f>
        <v/>
      </c>
      <c r="D2194" s="48" t="inlineStr">
        <is>
          <t>E.1.1</t>
        </is>
      </c>
      <c r="E2194" s="48" t="inlineStr">
        <is>
          <t>E</t>
        </is>
      </c>
      <c r="F2194" s="48" t="inlineStr">
        <is>
          <t>T</t>
        </is>
      </c>
      <c r="G2194" s="48" t="inlineStr">
        <is>
          <t>tabular</t>
        </is>
      </c>
      <c r="H2194" s="48" t="n">
        <v>2</v>
      </c>
      <c r="I2194" s="48" t="inlineStr">
        <is>
          <t>Mobile app con travel planner PRM</t>
        </is>
      </c>
      <c r="J2194" s="73" t="n"/>
      <c r="K2194" s="73" t="n"/>
      <c r="L2194" s="73" t="n"/>
      <c r="M2194" s="73" t="n"/>
      <c r="N2194" s="57">
        <f>IF($A2194="","",IF(IFERROR(VALUE($M2194),0)=1,1,0))</f>
        <v/>
      </c>
      <c r="O2194" s="57">
        <f>IF($A2194="",0,IF(OR($S2194&lt;&gt;1,COUNTA($J2194:$M2194)=0),0,IF($N2194=1,$H2194,0)))</f>
        <v/>
      </c>
      <c r="P2194" s="48" t="inlineStr">
        <is>
          <t>sì/no</t>
        </is>
      </c>
      <c r="Q2194" s="57">
        <f>IF($A2194="","",$A2194&amp;"|"&amp;$C2194)</f>
        <v/>
      </c>
      <c r="R2194" s="57">
        <f>IF($A2194="","",$A2194&amp;"|"&amp;$C2194&amp;"|"&amp;$D2194)</f>
        <v/>
      </c>
      <c r="S2194" s="57">
        <f>IF($A2194="","",IFERROR(INDEX(Offerte!$D$2:$D$81,MATCH($Q2194,Offerte!$L$2:$L$81,0)),0))</f>
        <v/>
      </c>
      <c r="T2194" s="57">
        <f>IF($A2194="","",IFERROR(INDEX(Offerte!$G$2:$G$81,MATCH($Q2194,Offerte!$L$2:$L$81,0)),"NO"))</f>
        <v/>
      </c>
    </row>
    <row r="2195">
      <c r="A2195" s="48">
        <f>IF(Offerte!$A72="","",Offerte!$A72)</f>
        <v/>
      </c>
      <c r="B2195" s="48">
        <f>IF(Offerte!$A72="","",Offerte!$B72)</f>
        <v/>
      </c>
      <c r="C2195" s="48">
        <f>IF(Offerte!$A72="","",Offerte!$C72)</f>
        <v/>
      </c>
      <c r="D2195" s="48" t="inlineStr">
        <is>
          <t>E.2.1</t>
        </is>
      </c>
      <c r="E2195" s="48" t="inlineStr">
        <is>
          <t>E</t>
        </is>
      </c>
      <c r="F2195" s="48" t="inlineStr">
        <is>
          <t>D</t>
        </is>
      </c>
      <c r="G2195" s="48" t="inlineStr">
        <is>
          <t>discretionary</t>
        </is>
      </c>
      <c r="H2195" s="48" t="n">
        <v>2</v>
      </c>
      <c r="I2195" s="48" t="inlineStr">
        <is>
          <t>Altre azioni informative e rapporti con gli utenti</t>
        </is>
      </c>
      <c r="J2195" s="73" t="n"/>
      <c r="K2195" s="73" t="n"/>
      <c r="L2195" s="73" t="n"/>
      <c r="M2195" s="73" t="n"/>
      <c r="N2195" s="57">
        <f>IF($A2195="","",MAX(0,MIN(1,IFERROR(VALUE($M2195),0))))</f>
        <v/>
      </c>
      <c r="O2195" s="57">
        <f>IF($A2195="",0,IF(OR($S2195&lt;&gt;1,COUNTA($J2195:$M2195)=0),0,IF(SUMPRODUCT(MAX(($C$5:$C$2484=$C2195)*($D$5:$D$2484=$D2195)*($S$5:$S$2484=1)*IFERROR($N$5:$N$2484*1,0)))&gt;0,ROUND($H2195*($N2195/SUMPRODUCT(MAX(($C$5:$C$2484=$C2195)*($D$5:$D$2484=$D2195)*($S$5:$S$2484=1)*IFERROR($N$5:$N$2484*1,0)))),4),0)))</f>
        <v/>
      </c>
      <c r="P2195" s="48" t="inlineStr">
        <is>
          <t>coeff.</t>
        </is>
      </c>
      <c r="Q2195" s="57">
        <f>IF($A2195="","",$A2195&amp;"|"&amp;$C2195)</f>
        <v/>
      </c>
      <c r="R2195" s="57">
        <f>IF($A2195="","",$A2195&amp;"|"&amp;$C2195&amp;"|"&amp;$D2195)</f>
        <v/>
      </c>
      <c r="S2195" s="57">
        <f>IF($A2195="","",IFERROR(INDEX(Offerte!$D$2:$D$81,MATCH($Q2195,Offerte!$L$2:$L$81,0)),0))</f>
        <v/>
      </c>
      <c r="T2195" s="57">
        <f>IF($A2195="","",IFERROR(INDEX(Offerte!$G$2:$G$81,MATCH($Q2195,Offerte!$L$2:$L$81,0)),"NO"))</f>
        <v/>
      </c>
    </row>
    <row r="2196">
      <c r="A2196" s="48">
        <f>IF(Offerte!$A72="","",Offerte!$A72)</f>
        <v/>
      </c>
      <c r="B2196" s="48">
        <f>IF(Offerte!$A72="","",Offerte!$B72)</f>
        <v/>
      </c>
      <c r="C2196" s="48">
        <f>IF(Offerte!$A72="","",Offerte!$C72)</f>
        <v/>
      </c>
      <c r="D2196" s="48" t="inlineStr">
        <is>
          <t>F.1.1</t>
        </is>
      </c>
      <c r="E2196" s="48" t="inlineStr">
        <is>
          <t>F</t>
        </is>
      </c>
      <c r="F2196" s="48" t="inlineStr">
        <is>
          <t>Q</t>
        </is>
      </c>
      <c r="G2196" s="48" t="inlineStr">
        <is>
          <t>lower</t>
        </is>
      </c>
      <c r="H2196" s="48" t="n">
        <v>7</v>
      </c>
      <c r="I2196" s="48" t="inlineStr">
        <is>
          <t>Performance ambientali del parco mezzi adibito al servizio - I_CEA</t>
        </is>
      </c>
      <c r="J2196" s="73" t="n"/>
      <c r="K2196" s="73" t="n"/>
      <c r="L2196" s="73" t="n"/>
      <c r="M2196" s="73" t="n"/>
      <c r="N2196" s="57">
        <f>IF($A2196="","",IFERROR(VALUE($J2196),0))</f>
        <v/>
      </c>
      <c r="O2196" s="57">
        <f>IF($A2196="",0,IF(OR($S2196&lt;&gt;1,COUNTA($J2196:$M2196)=0),0,IF(AND(IFERROR(AGGREGATE(15,6,$N$5:$N$2484/(($C$5:$C$2484=$C2196)*($D$5:$D$2484=$D2196)*($S$5:$S$2484=1)*($N$5:$N$2484&gt;0)),1),0)&gt;0,$N2196&gt;0),ROUND($H2196*(IFERROR(AGGREGATE(15,6,$N$5:$N$2484/(($C$5:$C$2484=$C2196)*($D$5:$D$2484=$D2196)*($S$5:$S$2484=1)*($N$5:$N$2484&gt;0)),1),0)/$N2196),4),0)))</f>
        <v/>
      </c>
      <c r="P2196" s="48" t="inlineStr">
        <is>
          <t>indice</t>
        </is>
      </c>
      <c r="Q2196" s="57">
        <f>IF($A2196="","",$A2196&amp;"|"&amp;$C2196)</f>
        <v/>
      </c>
      <c r="R2196" s="57">
        <f>IF($A2196="","",$A2196&amp;"|"&amp;$C2196&amp;"|"&amp;$D2196)</f>
        <v/>
      </c>
      <c r="S2196" s="57">
        <f>IF($A2196="","",IFERROR(INDEX(Offerte!$D$2:$D$81,MATCH($Q2196,Offerte!$L$2:$L$81,0)),0))</f>
        <v/>
      </c>
      <c r="T2196" s="57">
        <f>IF($A2196="","",IFERROR(INDEX(Offerte!$G$2:$G$81,MATCH($Q2196,Offerte!$L$2:$L$81,0)),"NO"))</f>
        <v/>
      </c>
    </row>
    <row r="2197">
      <c r="A2197" s="48">
        <f>IF(Offerte!$A72="","",Offerte!$A72)</f>
        <v/>
      </c>
      <c r="B2197" s="48">
        <f>IF(Offerte!$A72="","",Offerte!$B72)</f>
        <v/>
      </c>
      <c r="C2197" s="48">
        <f>IF(Offerte!$A72="","",Offerte!$C72)</f>
        <v/>
      </c>
      <c r="D2197" s="48" t="inlineStr">
        <is>
          <t>F.2.1</t>
        </is>
      </c>
      <c r="E2197" s="48" t="inlineStr">
        <is>
          <t>F</t>
        </is>
      </c>
      <c r="F2197" s="48" t="inlineStr">
        <is>
          <t>Q</t>
        </is>
      </c>
      <c r="G2197" s="48" t="inlineStr">
        <is>
          <t>higher</t>
        </is>
      </c>
      <c r="H2197" s="48" t="n">
        <v>2</v>
      </c>
      <c r="I2197" s="48" t="inlineStr">
        <is>
          <t>Tasso di copertura del servizio con dispositivi ECO-DRIVER</t>
        </is>
      </c>
      <c r="J2197" s="73" t="n"/>
      <c r="K2197" s="73" t="n"/>
      <c r="L2197" s="73" t="n"/>
      <c r="M2197" s="73" t="n"/>
      <c r="N2197" s="57">
        <f>IF($A2197="","",IFERROR(VALUE($K2197)/VALUE($L2197),IFERROR(VALUE($J2197),0)))</f>
        <v/>
      </c>
      <c r="O2197" s="57">
        <f>IF($A2197="",0,IF(OR($S2197&lt;&gt;1,COUNTA($J2197:$M2197)=0),0,IF(SUMPRODUCT(MAX(($C$5:$C$2484=$C2197)*($D$5:$D$2484=$D2197)*($S$5:$S$2484=1)*IFERROR($N$5:$N$2484*1,0)))&gt;0,ROUND($H2197*($N2197/SUMPRODUCT(MAX(($C$5:$C$2484=$C2197)*($D$5:$D$2484=$D2197)*($S$5:$S$2484=1)*IFERROR($N$5:$N$2484*1,0)))),4),0)))</f>
        <v/>
      </c>
      <c r="P2197" s="48" t="inlineStr">
        <is>
          <t>Autobus attrezzati con dispositivi ECO-DRIVER / Autobus totali in offerta, incluse scorte</t>
        </is>
      </c>
      <c r="Q2197" s="57">
        <f>IF($A2197="","",$A2197&amp;"|"&amp;$C2197)</f>
        <v/>
      </c>
      <c r="R2197" s="57">
        <f>IF($A2197="","",$A2197&amp;"|"&amp;$C2197&amp;"|"&amp;$D2197)</f>
        <v/>
      </c>
      <c r="S2197" s="57">
        <f>IF($A2197="","",IFERROR(INDEX(Offerte!$D$2:$D$81,MATCH($Q2197,Offerte!$L$2:$L$81,0)),0))</f>
        <v/>
      </c>
      <c r="T2197" s="57">
        <f>IF($A2197="","",IFERROR(INDEX(Offerte!$G$2:$G$81,MATCH($Q2197,Offerte!$L$2:$L$81,0)),"NO"))</f>
        <v/>
      </c>
    </row>
    <row r="2198">
      <c r="A2198" s="48">
        <f>IF(Offerte!$A72="","",Offerte!$A72)</f>
        <v/>
      </c>
      <c r="B2198" s="48">
        <f>IF(Offerte!$A72="","",Offerte!$B72)</f>
        <v/>
      </c>
      <c r="C2198" s="48">
        <f>IF(Offerte!$A72="","",Offerte!$C72)</f>
        <v/>
      </c>
      <c r="D2198" s="48" t="inlineStr">
        <is>
          <t>F.3.1</t>
        </is>
      </c>
      <c r="E2198" s="48" t="inlineStr">
        <is>
          <t>F</t>
        </is>
      </c>
      <c r="F2198" s="48" t="inlineStr">
        <is>
          <t>Q</t>
        </is>
      </c>
      <c r="G2198" s="48" t="inlineStr">
        <is>
          <t>higher</t>
        </is>
      </c>
      <c r="H2198" s="48" t="n">
        <v>2</v>
      </c>
      <c r="I2198" s="48" t="inlineStr">
        <is>
          <t>Autoproduzione consumi elettrici per trazione</t>
        </is>
      </c>
      <c r="J2198" s="73" t="n"/>
      <c r="K2198" s="73" t="n"/>
      <c r="L2198" s="73" t="n"/>
      <c r="M2198" s="73" t="n"/>
      <c r="N2198" s="57">
        <f>IF($A2198="","",IFERROR(VALUE($J2198),0))</f>
        <v/>
      </c>
      <c r="O2198" s="57">
        <f>IF($A2198="",0,IF(OR($S2198&lt;&gt;1,COUNTA($J2198:$M2198)=0),0,IF(SUMPRODUCT(MAX(($C$5:$C$2484=$C2198)*($D$5:$D$2484=$D2198)*($S$5:$S$2484=1)*IFERROR($N$5:$N$2484*1,0)))&gt;0,ROUND($H2198*($N2198/SUMPRODUCT(MAX(($C$5:$C$2484=$C2198)*($D$5:$D$2484=$D2198)*($S$5:$S$2484=1)*IFERROR($N$5:$N$2484*1,0)))),4),0)))</f>
        <v/>
      </c>
      <c r="P2198" s="48" t="inlineStr">
        <is>
          <t>kWh/anno</t>
        </is>
      </c>
      <c r="Q2198" s="57">
        <f>IF($A2198="","",$A2198&amp;"|"&amp;$C2198)</f>
        <v/>
      </c>
      <c r="R2198" s="57">
        <f>IF($A2198="","",$A2198&amp;"|"&amp;$C2198&amp;"|"&amp;$D2198)</f>
        <v/>
      </c>
      <c r="S2198" s="57">
        <f>IF($A2198="","",IFERROR(INDEX(Offerte!$D$2:$D$81,MATCH($Q2198,Offerte!$L$2:$L$81,0)),0))</f>
        <v/>
      </c>
      <c r="T2198" s="57">
        <f>IF($A2198="","",IFERROR(INDEX(Offerte!$G$2:$G$81,MATCH($Q2198,Offerte!$L$2:$L$81,0)),"NO"))</f>
        <v/>
      </c>
    </row>
    <row r="2199">
      <c r="A2199" s="48">
        <f>IF(Offerte!$A72="","",Offerte!$A72)</f>
        <v/>
      </c>
      <c r="B2199" s="48">
        <f>IF(Offerte!$A72="","",Offerte!$B72)</f>
        <v/>
      </c>
      <c r="C2199" s="48">
        <f>IF(Offerte!$A72="","",Offerte!$C72)</f>
        <v/>
      </c>
      <c r="D2199" s="48" t="inlineStr">
        <is>
          <t>F.4.1</t>
        </is>
      </c>
      <c r="E2199" s="48" t="inlineStr">
        <is>
          <t>F</t>
        </is>
      </c>
      <c r="F2199" s="48" t="inlineStr">
        <is>
          <t>Q</t>
        </is>
      </c>
      <c r="G2199" s="48" t="inlineStr">
        <is>
          <t>soil</t>
        </is>
      </c>
      <c r="H2199" s="48" t="n">
        <v>2</v>
      </c>
      <c r="I2199" s="48" t="inlineStr">
        <is>
          <t>Indice di consumo di suolo</t>
        </is>
      </c>
      <c r="J2199" s="73" t="n"/>
      <c r="K2199" s="73" t="n"/>
      <c r="L2199" s="73" t="n"/>
      <c r="M2199" s="73" t="n"/>
      <c r="N2199" s="57">
        <f>IF($A2199="","",IFERROR(VALUE($J2199),0))</f>
        <v/>
      </c>
      <c r="O2199" s="57">
        <f>IF($A2199="",0,IF(OR($S2199&lt;&gt;1,COUNTA($J2199:$M2199)=0),0,IF($N2199&lt;=0,$H2199,IF(SUMPRODUCT(MAX(($C$5:$C$2484=$C2199)*($D$5:$D$2484=$D2199)*($S$5:$S$2484=1)*IFERROR($N$5:$N$2484*1,0)))&gt;0,ROUND($H2199*((SUMPRODUCT(MAX(($C$5:$C$2484=$C2199)*($D$5:$D$2484=$D2199)*($S$5:$S$2484=1)*IFERROR($N$5:$N$2484*1,0)))-$N2199)/SUMPRODUCT(MAX(($C$5:$C$2484=$C2199)*($D$5:$D$2484=$D2199)*($S$5:$S$2484=1)*IFERROR($N$5:$N$2484*1,0)))),4),0))))</f>
        <v/>
      </c>
      <c r="P2199" s="48" t="inlineStr">
        <is>
          <t>m2</t>
        </is>
      </c>
      <c r="Q2199" s="57">
        <f>IF($A2199="","",$A2199&amp;"|"&amp;$C2199)</f>
        <v/>
      </c>
      <c r="R2199" s="57">
        <f>IF($A2199="","",$A2199&amp;"|"&amp;$C2199&amp;"|"&amp;$D2199)</f>
        <v/>
      </c>
      <c r="S2199" s="57">
        <f>IF($A2199="","",IFERROR(INDEX(Offerte!$D$2:$D$81,MATCH($Q2199,Offerte!$L$2:$L$81,0)),0))</f>
        <v/>
      </c>
      <c r="T2199" s="57">
        <f>IF($A2199="","",IFERROR(INDEX(Offerte!$G$2:$G$81,MATCH($Q2199,Offerte!$L$2:$L$81,0)),"NO"))</f>
        <v/>
      </c>
    </row>
    <row r="2200">
      <c r="A2200" s="48">
        <f>IF(Offerte!$A72="","",Offerte!$A72)</f>
        <v/>
      </c>
      <c r="B2200" s="48">
        <f>IF(Offerte!$A72="","",Offerte!$B72)</f>
        <v/>
      </c>
      <c r="C2200" s="48">
        <f>IF(Offerte!$A72="","",Offerte!$C72)</f>
        <v/>
      </c>
      <c r="D2200" s="48" t="inlineStr">
        <is>
          <t>F.5.1</t>
        </is>
      </c>
      <c r="E2200" s="48" t="inlineStr">
        <is>
          <t>F</t>
        </is>
      </c>
      <c r="F2200" s="48" t="inlineStr">
        <is>
          <t>T</t>
        </is>
      </c>
      <c r="G2200" s="48" t="inlineStr">
        <is>
          <t>tabular</t>
        </is>
      </c>
      <c r="H2200" s="48" t="n">
        <v>1</v>
      </c>
      <c r="I2200" s="48" t="inlineStr">
        <is>
          <t>Rendicontazione di sostenibilità ambientale</t>
        </is>
      </c>
      <c r="J2200" s="73" t="n"/>
      <c r="K2200" s="73" t="n"/>
      <c r="L2200" s="73" t="n"/>
      <c r="M2200" s="73" t="n"/>
      <c r="N2200" s="57">
        <f>IF($A2200="","",IF(IFERROR(VALUE($M2200),0)=1,1,0))</f>
        <v/>
      </c>
      <c r="O2200" s="57">
        <f>IF($A2200="",0,IF(OR($S2200&lt;&gt;1,COUNTA($J2200:$M2200)=0),0,IF($N2200=1,$H2200,0)))</f>
        <v/>
      </c>
      <c r="P2200" s="48" t="inlineStr">
        <is>
          <t>sì/no</t>
        </is>
      </c>
      <c r="Q2200" s="57">
        <f>IF($A2200="","",$A2200&amp;"|"&amp;$C2200)</f>
        <v/>
      </c>
      <c r="R2200" s="57">
        <f>IF($A2200="","",$A2200&amp;"|"&amp;$C2200&amp;"|"&amp;$D2200)</f>
        <v/>
      </c>
      <c r="S2200" s="57">
        <f>IF($A2200="","",IFERROR(INDEX(Offerte!$D$2:$D$81,MATCH($Q2200,Offerte!$L$2:$L$81,0)),0))</f>
        <v/>
      </c>
      <c r="T2200" s="57">
        <f>IF($A2200="","",IFERROR(INDEX(Offerte!$G$2:$G$81,MATCH($Q2200,Offerte!$L$2:$L$81,0)),"NO"))</f>
        <v/>
      </c>
    </row>
    <row r="2201">
      <c r="A2201" s="48">
        <f>IF(Offerte!$A72="","",Offerte!$A72)</f>
        <v/>
      </c>
      <c r="B2201" s="48">
        <f>IF(Offerte!$A72="","",Offerte!$B72)</f>
        <v/>
      </c>
      <c r="C2201" s="48">
        <f>IF(Offerte!$A72="","",Offerte!$C72)</f>
        <v/>
      </c>
      <c r="D2201" s="48" t="inlineStr">
        <is>
          <t>G.1.1</t>
        </is>
      </c>
      <c r="E2201" s="48" t="inlineStr">
        <is>
          <t>G</t>
        </is>
      </c>
      <c r="F2201" s="48" t="inlineStr">
        <is>
          <t>D</t>
        </is>
      </c>
      <c r="G2201" s="48" t="inlineStr">
        <is>
          <t>discretionary</t>
        </is>
      </c>
      <c r="H2201" s="48" t="n">
        <v>2</v>
      </c>
      <c r="I2201" s="48" t="inlineStr">
        <is>
          <t>Qualità del progetto di centrale di controllo aziendale</t>
        </is>
      </c>
      <c r="J2201" s="73" t="n"/>
      <c r="K2201" s="73" t="n"/>
      <c r="L2201" s="73" t="n"/>
      <c r="M2201" s="73" t="n"/>
      <c r="N2201" s="57">
        <f>IF($A2201="","",MAX(0,MIN(1,IFERROR(VALUE($M2201),0))))</f>
        <v/>
      </c>
      <c r="O2201" s="57">
        <f>IF($A2201="",0,IF(OR($S2201&lt;&gt;1,COUNTA($J2201:$M2201)=0),0,IF(SUMPRODUCT(MAX(($C$5:$C$2484=$C2201)*($D$5:$D$2484=$D2201)*($S$5:$S$2484=1)*IFERROR($N$5:$N$2484*1,0)))&gt;0,ROUND($H2201*($N2201/SUMPRODUCT(MAX(($C$5:$C$2484=$C2201)*($D$5:$D$2484=$D2201)*($S$5:$S$2484=1)*IFERROR($N$5:$N$2484*1,0)))),4),0)))</f>
        <v/>
      </c>
      <c r="P2201" s="48" t="inlineStr">
        <is>
          <t>coeff.</t>
        </is>
      </c>
      <c r="Q2201" s="57">
        <f>IF($A2201="","",$A2201&amp;"|"&amp;$C2201)</f>
        <v/>
      </c>
      <c r="R2201" s="57">
        <f>IF($A2201="","",$A2201&amp;"|"&amp;$C2201&amp;"|"&amp;$D2201)</f>
        <v/>
      </c>
      <c r="S2201" s="57">
        <f>IF($A2201="","",IFERROR(INDEX(Offerte!$D$2:$D$81,MATCH($Q2201,Offerte!$L$2:$L$81,0)),0))</f>
        <v/>
      </c>
      <c r="T2201" s="57">
        <f>IF($A2201="","",IFERROR(INDEX(Offerte!$G$2:$G$81,MATCH($Q2201,Offerte!$L$2:$L$81,0)),"NO"))</f>
        <v/>
      </c>
    </row>
    <row r="2202">
      <c r="A2202" s="48">
        <f>IF(Offerte!$A72="","",Offerte!$A72)</f>
        <v/>
      </c>
      <c r="B2202" s="48">
        <f>IF(Offerte!$A72="","",Offerte!$B72)</f>
        <v/>
      </c>
      <c r="C2202" s="48">
        <f>IF(Offerte!$A72="","",Offerte!$C72)</f>
        <v/>
      </c>
      <c r="D2202" s="48" t="inlineStr">
        <is>
          <t>G.2.1</t>
        </is>
      </c>
      <c r="E2202" s="48" t="inlineStr">
        <is>
          <t>G</t>
        </is>
      </c>
      <c r="F2202" s="48" t="inlineStr">
        <is>
          <t>T</t>
        </is>
      </c>
      <c r="G2202" s="48" t="inlineStr">
        <is>
          <t>tabular</t>
        </is>
      </c>
      <c r="H2202" s="48" t="n">
        <v>1</v>
      </c>
      <c r="I2202" s="48" t="inlineStr">
        <is>
          <t>Certificazione ISO 45001</t>
        </is>
      </c>
      <c r="J2202" s="73" t="n"/>
      <c r="K2202" s="73" t="n"/>
      <c r="L2202" s="73" t="n"/>
      <c r="M2202" s="73" t="n"/>
      <c r="N2202" s="57">
        <f>IF($A2202="","",IF(IFERROR(VALUE($M2202),0)=1,1,0))</f>
        <v/>
      </c>
      <c r="O2202" s="57">
        <f>IF($A2202="",0,IF(OR($S2202&lt;&gt;1,COUNTA($J2202:$M2202)=0),0,IF($N2202=1,$H2202,0)))</f>
        <v/>
      </c>
      <c r="P2202" s="48" t="inlineStr">
        <is>
          <t>sì/no</t>
        </is>
      </c>
      <c r="Q2202" s="57">
        <f>IF($A2202="","",$A2202&amp;"|"&amp;$C2202)</f>
        <v/>
      </c>
      <c r="R2202" s="57">
        <f>IF($A2202="","",$A2202&amp;"|"&amp;$C2202&amp;"|"&amp;$D2202)</f>
        <v/>
      </c>
      <c r="S2202" s="57">
        <f>IF($A2202="","",IFERROR(INDEX(Offerte!$D$2:$D$81,MATCH($Q2202,Offerte!$L$2:$L$81,0)),0))</f>
        <v/>
      </c>
      <c r="T2202" s="57">
        <f>IF($A2202="","",IFERROR(INDEX(Offerte!$G$2:$G$81,MATCH($Q2202,Offerte!$L$2:$L$81,0)),"NO"))</f>
        <v/>
      </c>
    </row>
    <row r="2203">
      <c r="A2203" s="48">
        <f>IF(Offerte!$A72="","",Offerte!$A72)</f>
        <v/>
      </c>
      <c r="B2203" s="48">
        <f>IF(Offerte!$A72="","",Offerte!$B72)</f>
        <v/>
      </c>
      <c r="C2203" s="48">
        <f>IF(Offerte!$A72="","",Offerte!$C72)</f>
        <v/>
      </c>
      <c r="D2203" s="48" t="inlineStr">
        <is>
          <t>G.3.1</t>
        </is>
      </c>
      <c r="E2203" s="48" t="inlineStr">
        <is>
          <t>G</t>
        </is>
      </c>
      <c r="F2203" s="48" t="inlineStr">
        <is>
          <t>T</t>
        </is>
      </c>
      <c r="G2203" s="48" t="inlineStr">
        <is>
          <t>tabular</t>
        </is>
      </c>
      <c r="H2203" s="48" t="n">
        <v>1</v>
      </c>
      <c r="I2203" s="48" t="inlineStr">
        <is>
          <t>Certificazioni di responsabilità sociale</t>
        </is>
      </c>
      <c r="J2203" s="73" t="n"/>
      <c r="K2203" s="73" t="n"/>
      <c r="L2203" s="73" t="n"/>
      <c r="M2203" s="73" t="n"/>
      <c r="N2203" s="57">
        <f>IF($A2203="","",IF(IFERROR(VALUE($M2203),0)=1,1,0))</f>
        <v/>
      </c>
      <c r="O2203" s="57">
        <f>IF($A2203="",0,IF(OR($S2203&lt;&gt;1,COUNTA($J2203:$M2203)=0),0,IF($N2203=1,$H2203,0)))</f>
        <v/>
      </c>
      <c r="P2203" s="48" t="inlineStr">
        <is>
          <t>sì/no</t>
        </is>
      </c>
      <c r="Q2203" s="57">
        <f>IF($A2203="","",$A2203&amp;"|"&amp;$C2203)</f>
        <v/>
      </c>
      <c r="R2203" s="57">
        <f>IF($A2203="","",$A2203&amp;"|"&amp;$C2203&amp;"|"&amp;$D2203)</f>
        <v/>
      </c>
      <c r="S2203" s="57">
        <f>IF($A2203="","",IFERROR(INDEX(Offerte!$D$2:$D$81,MATCH($Q2203,Offerte!$L$2:$L$81,0)),0))</f>
        <v/>
      </c>
      <c r="T2203" s="57">
        <f>IF($A2203="","",IFERROR(INDEX(Offerte!$G$2:$G$81,MATCH($Q2203,Offerte!$L$2:$L$81,0)),"NO"))</f>
        <v/>
      </c>
    </row>
    <row r="2204">
      <c r="A2204" s="48">
        <f>IF(Offerte!$A72="","",Offerte!$A72)</f>
        <v/>
      </c>
      <c r="B2204" s="48">
        <f>IF(Offerte!$A72="","",Offerte!$B72)</f>
        <v/>
      </c>
      <c r="C2204" s="48">
        <f>IF(Offerte!$A72="","",Offerte!$C72)</f>
        <v/>
      </c>
      <c r="D2204" s="48" t="inlineStr">
        <is>
          <t>G.4.1</t>
        </is>
      </c>
      <c r="E2204" s="48" t="inlineStr">
        <is>
          <t>G</t>
        </is>
      </c>
      <c r="F2204" s="48" t="inlineStr">
        <is>
          <t>D</t>
        </is>
      </c>
      <c r="G2204" s="48" t="inlineStr">
        <is>
          <t>discretionary</t>
        </is>
      </c>
      <c r="H2204" s="48" t="n">
        <v>2</v>
      </c>
      <c r="I2204" s="48" t="inlineStr">
        <is>
          <t>Qualità del piano di formazione del personale</t>
        </is>
      </c>
      <c r="J2204" s="73" t="n"/>
      <c r="K2204" s="73" t="n"/>
      <c r="L2204" s="73" t="n"/>
      <c r="M2204" s="73" t="n"/>
      <c r="N2204" s="57">
        <f>IF($A2204="","",MAX(0,MIN(1,IFERROR(VALUE($M2204),0))))</f>
        <v/>
      </c>
      <c r="O2204" s="57">
        <f>IF($A2204="",0,IF(OR($S2204&lt;&gt;1,COUNTA($J2204:$M2204)=0),0,IF(SUMPRODUCT(MAX(($C$5:$C$2484=$C2204)*($D$5:$D$2484=$D2204)*($S$5:$S$2484=1)*IFERROR($N$5:$N$2484*1,0)))&gt;0,ROUND($H2204*($N2204/SUMPRODUCT(MAX(($C$5:$C$2484=$C2204)*($D$5:$D$2484=$D2204)*($S$5:$S$2484=1)*IFERROR($N$5:$N$2484*1,0)))),4),0)))</f>
        <v/>
      </c>
      <c r="P2204" s="48" t="inlineStr">
        <is>
          <t>coeff.</t>
        </is>
      </c>
      <c r="Q2204" s="57">
        <f>IF($A2204="","",$A2204&amp;"|"&amp;$C2204)</f>
        <v/>
      </c>
      <c r="R2204" s="57">
        <f>IF($A2204="","",$A2204&amp;"|"&amp;$C2204&amp;"|"&amp;$D2204)</f>
        <v/>
      </c>
      <c r="S2204" s="57">
        <f>IF($A2204="","",IFERROR(INDEX(Offerte!$D$2:$D$81,MATCH($Q2204,Offerte!$L$2:$L$81,0)),0))</f>
        <v/>
      </c>
      <c r="T2204" s="57">
        <f>IF($A2204="","",IFERROR(INDEX(Offerte!$G$2:$G$81,MATCH($Q2204,Offerte!$L$2:$L$81,0)),"NO"))</f>
        <v/>
      </c>
    </row>
    <row r="2205">
      <c r="A2205" s="48">
        <f>IF(Offerte!$A72="","",Offerte!$A72)</f>
        <v/>
      </c>
      <c r="B2205" s="48">
        <f>IF(Offerte!$A72="","",Offerte!$B72)</f>
        <v/>
      </c>
      <c r="C2205" s="48">
        <f>IF(Offerte!$A72="","",Offerte!$C72)</f>
        <v/>
      </c>
      <c r="D2205" s="48" t="inlineStr">
        <is>
          <t>G.5.1</t>
        </is>
      </c>
      <c r="E2205" s="48" t="inlineStr">
        <is>
          <t>G</t>
        </is>
      </c>
      <c r="F2205" s="48" t="inlineStr">
        <is>
          <t>T</t>
        </is>
      </c>
      <c r="G2205" s="48" t="inlineStr">
        <is>
          <t>tabular</t>
        </is>
      </c>
      <c r="H2205" s="48" t="n">
        <v>1</v>
      </c>
      <c r="I2205" s="48" t="inlineStr">
        <is>
          <t>Impegno al mantenimento delle garanzie del contratto di secondo livello del gestore uscente</t>
        </is>
      </c>
      <c r="J2205" s="73" t="n"/>
      <c r="K2205" s="73" t="n"/>
      <c r="L2205" s="73" t="n"/>
      <c r="M2205" s="73" t="n"/>
      <c r="N2205" s="57">
        <f>IF($A2205="","",IF(IFERROR(VALUE($M2205),0)=1,1,0))</f>
        <v/>
      </c>
      <c r="O2205" s="57">
        <f>IF($A2205="",0,IF(OR($S2205&lt;&gt;1,COUNTA($J2205:$M2205)=0),0,IF($N2205=1,$H2205,0)))</f>
        <v/>
      </c>
      <c r="P2205" s="48" t="inlineStr">
        <is>
          <t>sì/no</t>
        </is>
      </c>
      <c r="Q2205" s="57">
        <f>IF($A2205="","",$A2205&amp;"|"&amp;$C2205)</f>
        <v/>
      </c>
      <c r="R2205" s="57">
        <f>IF($A2205="","",$A2205&amp;"|"&amp;$C2205&amp;"|"&amp;$D2205)</f>
        <v/>
      </c>
      <c r="S2205" s="57">
        <f>IF($A2205="","",IFERROR(INDEX(Offerte!$D$2:$D$81,MATCH($Q2205,Offerte!$L$2:$L$81,0)),0))</f>
        <v/>
      </c>
      <c r="T2205" s="57">
        <f>IF($A2205="","",IFERROR(INDEX(Offerte!$G$2:$G$81,MATCH($Q2205,Offerte!$L$2:$L$81,0)),"NO"))</f>
        <v/>
      </c>
    </row>
    <row r="2206">
      <c r="A2206" s="48">
        <f>IF(Offerte!$A73="","",Offerte!$A73)</f>
        <v/>
      </c>
      <c r="B2206" s="48">
        <f>IF(Offerte!$A73="","",Offerte!$B73)</f>
        <v/>
      </c>
      <c r="C2206" s="48">
        <f>IF(Offerte!$A73="","",Offerte!$C73)</f>
        <v/>
      </c>
      <c r="D2206" s="48" t="inlineStr">
        <is>
          <t>A.1.1</t>
        </is>
      </c>
      <c r="E2206" s="48" t="inlineStr">
        <is>
          <t>A</t>
        </is>
      </c>
      <c r="F2206" s="48" t="inlineStr">
        <is>
          <t>Q</t>
        </is>
      </c>
      <c r="G2206" s="48" t="inlineStr">
        <is>
          <t>higher</t>
        </is>
      </c>
      <c r="H2206" s="48" t="n">
        <v>3</v>
      </c>
      <c r="I2206" s="48" t="inlineStr">
        <is>
          <t>Tasso aggiuntivo di corse controllate</t>
        </is>
      </c>
      <c r="J2206" s="73" t="n"/>
      <c r="K2206" s="73" t="n"/>
      <c r="L2206" s="73" t="n"/>
      <c r="M2206" s="73" t="n"/>
      <c r="N2206" s="57">
        <f>IF($A2206="","",IFERROR(VALUE($K2206)/VALUE($L2206)*100,IFERROR(VALUE($J2206),0)))</f>
        <v/>
      </c>
      <c r="O2206" s="57">
        <f>IF($A2206="",0,IF(OR($S2206&lt;&gt;1,COUNTA($J2206:$M2206)=0),0,IF(SUMPRODUCT(MAX(($C$5:$C$2484=$C2206)*($D$5:$D$2484=$D2206)*($S$5:$S$2484=1)*IFERROR($N$5:$N$2484*1,0)))&gt;0,ROUND($H2206*($N2206/SUMPRODUCT(MAX(($C$5:$C$2484=$C2206)*($D$5:$D$2484=$D2206)*($S$5:$S$2484=1)*IFERROR($N$5:$N$2484*1,0)))),4),0)))</f>
        <v/>
      </c>
      <c r="P2206" s="48" t="inlineStr">
        <is>
          <t>Corse controllate annue / Corse programmate annue</t>
        </is>
      </c>
      <c r="Q2206" s="57">
        <f>IF($A2206="","",$A2206&amp;"|"&amp;$C2206)</f>
        <v/>
      </c>
      <c r="R2206" s="57">
        <f>IF($A2206="","",$A2206&amp;"|"&amp;$C2206&amp;"|"&amp;$D2206)</f>
        <v/>
      </c>
      <c r="S2206" s="57">
        <f>IF($A2206="","",IFERROR(INDEX(Offerte!$D$2:$D$81,MATCH($Q2206,Offerte!$L$2:$L$81,0)),0))</f>
        <v/>
      </c>
      <c r="T2206" s="57">
        <f>IF($A2206="","",IFERROR(INDEX(Offerte!$G$2:$G$81,MATCH($Q2206,Offerte!$L$2:$L$81,0)),"NO"))</f>
        <v/>
      </c>
    </row>
    <row r="2207">
      <c r="A2207" s="48">
        <f>IF(Offerte!$A73="","",Offerte!$A73)</f>
        <v/>
      </c>
      <c r="B2207" s="48">
        <f>IF(Offerte!$A73="","",Offerte!$B73)</f>
        <v/>
      </c>
      <c r="C2207" s="48">
        <f>IF(Offerte!$A73="","",Offerte!$C73)</f>
        <v/>
      </c>
      <c r="D2207" s="48" t="inlineStr">
        <is>
          <t>A.1.2</t>
        </is>
      </c>
      <c r="E2207" s="48" t="inlineStr">
        <is>
          <t>A</t>
        </is>
      </c>
      <c r="F2207" s="48" t="inlineStr">
        <is>
          <t>Q</t>
        </is>
      </c>
      <c r="G2207" s="48" t="inlineStr">
        <is>
          <t>higher</t>
        </is>
      </c>
      <c r="H2207" s="48" t="n">
        <v>4</v>
      </c>
      <c r="I2207" s="48" t="inlineStr">
        <is>
          <t>Numero aggiuntivo di passeggeri controllati</t>
        </is>
      </c>
      <c r="J2207" s="73" t="n"/>
      <c r="K2207" s="73" t="n"/>
      <c r="L2207" s="73" t="n"/>
      <c r="M2207" s="73" t="n"/>
      <c r="N2207" s="57">
        <f>IF($A2207="","",IFERROR(VALUE($J2207),0))</f>
        <v/>
      </c>
      <c r="O2207" s="57">
        <f>IF($A2207="",0,IF(OR($S2207&lt;&gt;1,COUNTA($J2207:$M2207)=0),0,IF(SUMPRODUCT(MAX(($C$5:$C$2484=$C2207)*($D$5:$D$2484=$D2207)*($S$5:$S$2484=1)*IFERROR($N$5:$N$2484*1,0)))&gt;0,ROUND($H2207*($N2207/SUMPRODUCT(MAX(($C$5:$C$2484=$C2207)*($D$5:$D$2484=$D2207)*($S$5:$S$2484=1)*IFERROR($N$5:$N$2484*1,0)))),4),0)))</f>
        <v/>
      </c>
      <c r="P2207" s="48" t="inlineStr">
        <is>
          <t>passeggeri/anno</t>
        </is>
      </c>
      <c r="Q2207" s="57">
        <f>IF($A2207="","",$A2207&amp;"|"&amp;$C2207)</f>
        <v/>
      </c>
      <c r="R2207" s="57">
        <f>IF($A2207="","",$A2207&amp;"|"&amp;$C2207&amp;"|"&amp;$D2207)</f>
        <v/>
      </c>
      <c r="S2207" s="57">
        <f>IF($A2207="","",IFERROR(INDEX(Offerte!$D$2:$D$81,MATCH($Q2207,Offerte!$L$2:$L$81,0)),0))</f>
        <v/>
      </c>
      <c r="T2207" s="57">
        <f>IF($A2207="","",IFERROR(INDEX(Offerte!$G$2:$G$81,MATCH($Q2207,Offerte!$L$2:$L$81,0)),"NO"))</f>
        <v/>
      </c>
    </row>
    <row r="2208">
      <c r="A2208" s="48">
        <f>IF(Offerte!$A73="","",Offerte!$A73)</f>
        <v/>
      </c>
      <c r="B2208" s="48">
        <f>IF(Offerte!$A73="","",Offerte!$B73)</f>
        <v/>
      </c>
      <c r="C2208" s="48">
        <f>IF(Offerte!$A73="","",Offerte!$C73)</f>
        <v/>
      </c>
      <c r="D2208" s="48" t="inlineStr">
        <is>
          <t>B.1.1</t>
        </is>
      </c>
      <c r="E2208" s="48" t="inlineStr">
        <is>
          <t>B</t>
        </is>
      </c>
      <c r="F2208" s="48" t="inlineStr">
        <is>
          <t>Q</t>
        </is>
      </c>
      <c r="G2208" s="48" t="inlineStr">
        <is>
          <t>higher</t>
        </is>
      </c>
      <c r="H2208" s="48" t="n">
        <v>3</v>
      </c>
      <c r="I2208" s="48" t="inlineStr">
        <is>
          <t>Incremento dei posti offerti nelle fasce di punta</t>
        </is>
      </c>
      <c r="J2208" s="73" t="n"/>
      <c r="K2208" s="73" t="n"/>
      <c r="L2208" s="73" t="n"/>
      <c r="M2208" s="73" t="n"/>
      <c r="N2208" s="57">
        <f>IF($A2208="","",IFERROR(VALUE($J2208),0))</f>
        <v/>
      </c>
      <c r="O2208" s="57">
        <f>IF($A2208="",0,IF(OR($S2208&lt;&gt;1,COUNTA($J2208:$M2208)=0),0,IF(SUMPRODUCT(MAX(($C$5:$C$2484=$C2208)*($D$5:$D$2484=$D2208)*($S$5:$S$2484=1)*IFERROR($N$5:$N$2484*1,0)))&gt;0,ROUND($H2208*($N2208/SUMPRODUCT(MAX(($C$5:$C$2484=$C2208)*($D$5:$D$2484=$D2208)*($S$5:$S$2484=1)*IFERROR($N$5:$N$2484*1,0)))),4),0)))</f>
        <v/>
      </c>
      <c r="P2208" s="48" t="inlineStr">
        <is>
          <t>posti*km</t>
        </is>
      </c>
      <c r="Q2208" s="57">
        <f>IF($A2208="","",$A2208&amp;"|"&amp;$C2208)</f>
        <v/>
      </c>
      <c r="R2208" s="57">
        <f>IF($A2208="","",$A2208&amp;"|"&amp;$C2208&amp;"|"&amp;$D2208)</f>
        <v/>
      </c>
      <c r="S2208" s="57">
        <f>IF($A2208="","",IFERROR(INDEX(Offerte!$D$2:$D$81,MATCH($Q2208,Offerte!$L$2:$L$81,0)),0))</f>
        <v/>
      </c>
      <c r="T2208" s="57">
        <f>IF($A2208="","",IFERROR(INDEX(Offerte!$G$2:$G$81,MATCH($Q2208,Offerte!$L$2:$L$81,0)),"NO"))</f>
        <v/>
      </c>
    </row>
    <row r="2209">
      <c r="A2209" s="48">
        <f>IF(Offerte!$A73="","",Offerte!$A73)</f>
        <v/>
      </c>
      <c r="B2209" s="48">
        <f>IF(Offerte!$A73="","",Offerte!$B73)</f>
        <v/>
      </c>
      <c r="C2209" s="48">
        <f>IF(Offerte!$A73="","",Offerte!$C73)</f>
        <v/>
      </c>
      <c r="D2209" s="48" t="inlineStr">
        <is>
          <t>B.2.1</t>
        </is>
      </c>
      <c r="E2209" s="48" t="inlineStr">
        <is>
          <t>B</t>
        </is>
      </c>
      <c r="F2209" s="48" t="inlineStr">
        <is>
          <t>Q</t>
        </is>
      </c>
      <c r="G2209" s="48" t="inlineStr">
        <is>
          <t>higher</t>
        </is>
      </c>
      <c r="H2209" s="48" t="n">
        <v>4</v>
      </c>
      <c r="I2209" s="48" t="inlineStr">
        <is>
          <t>Corse aggiuntive nell'arco giornaliero base</t>
        </is>
      </c>
      <c r="J2209" s="73" t="n"/>
      <c r="K2209" s="73" t="n"/>
      <c r="L2209" s="73" t="n"/>
      <c r="M2209" s="73" t="n"/>
      <c r="N2209" s="57">
        <f>IF($A2209="","",IFERROR(VALUE($J2209),0))</f>
        <v/>
      </c>
      <c r="O2209" s="57">
        <f>IF($A2209="",0,IF(OR($S2209&lt;&gt;1,COUNTA($J2209:$M2209)=0),0,IF(SUMPRODUCT(MAX(($C$5:$C$2484=$C2209)*($D$5:$D$2484=$D2209)*($S$5:$S$2484=1)*IFERROR($N$5:$N$2484*1,0)))&gt;0,ROUND($H2209*($N2209/SUMPRODUCT(MAX(($C$5:$C$2484=$C2209)*($D$5:$D$2484=$D2209)*($S$5:$S$2484=1)*IFERROR($N$5:$N$2484*1,0)))),4),0)))</f>
        <v/>
      </c>
      <c r="P2209" s="48" t="inlineStr">
        <is>
          <t>corse</t>
        </is>
      </c>
      <c r="Q2209" s="57">
        <f>IF($A2209="","",$A2209&amp;"|"&amp;$C2209)</f>
        <v/>
      </c>
      <c r="R2209" s="57">
        <f>IF($A2209="","",$A2209&amp;"|"&amp;$C2209&amp;"|"&amp;$D2209)</f>
        <v/>
      </c>
      <c r="S2209" s="57">
        <f>IF($A2209="","",IFERROR(INDEX(Offerte!$D$2:$D$81,MATCH($Q2209,Offerte!$L$2:$L$81,0)),0))</f>
        <v/>
      </c>
      <c r="T2209" s="57">
        <f>IF($A2209="","",IFERROR(INDEX(Offerte!$G$2:$G$81,MATCH($Q2209,Offerte!$L$2:$L$81,0)),"NO"))</f>
        <v/>
      </c>
    </row>
    <row r="2210">
      <c r="A2210" s="48">
        <f>IF(Offerte!$A73="","",Offerte!$A73)</f>
        <v/>
      </c>
      <c r="B2210" s="48">
        <f>IF(Offerte!$A73="","",Offerte!$B73)</f>
        <v/>
      </c>
      <c r="C2210" s="48">
        <f>IF(Offerte!$A73="","",Offerte!$C73)</f>
        <v/>
      </c>
      <c r="D2210" s="48" t="inlineStr">
        <is>
          <t>B.3.1</t>
        </is>
      </c>
      <c r="E2210" s="48" t="inlineStr">
        <is>
          <t>B</t>
        </is>
      </c>
      <c r="F2210" s="48" t="inlineStr">
        <is>
          <t>Q</t>
        </is>
      </c>
      <c r="G2210" s="48" t="inlineStr">
        <is>
          <t>higher</t>
        </is>
      </c>
      <c r="H2210" s="48" t="n">
        <v>2</v>
      </c>
      <c r="I2210" s="48" t="inlineStr">
        <is>
          <t>Numero di corse aggiuntive per allungamento dell'arco di servizio giornaliero nelle fasce serali</t>
        </is>
      </c>
      <c r="J2210" s="73" t="n"/>
      <c r="K2210" s="73" t="n"/>
      <c r="L2210" s="73" t="n"/>
      <c r="M2210" s="73" t="n"/>
      <c r="N2210" s="57">
        <f>IF($A2210="","",IFERROR(VALUE($J2210),0))</f>
        <v/>
      </c>
      <c r="O2210" s="57">
        <f>IF($A2210="",0,IF(OR($S2210&lt;&gt;1,COUNTA($J2210:$M2210)=0),0,IF(SUMPRODUCT(MAX(($C$5:$C$2484=$C2210)*($D$5:$D$2484=$D2210)*($S$5:$S$2484=1)*IFERROR($N$5:$N$2484*1,0)))&gt;0,ROUND($H2210*($N2210/SUMPRODUCT(MAX(($C$5:$C$2484=$C2210)*($D$5:$D$2484=$D2210)*($S$5:$S$2484=1)*IFERROR($N$5:$N$2484*1,0)))),4),0)))</f>
        <v/>
      </c>
      <c r="P2210" s="48" t="inlineStr">
        <is>
          <t>corse</t>
        </is>
      </c>
      <c r="Q2210" s="57">
        <f>IF($A2210="","",$A2210&amp;"|"&amp;$C2210)</f>
        <v/>
      </c>
      <c r="R2210" s="57">
        <f>IF($A2210="","",$A2210&amp;"|"&amp;$C2210&amp;"|"&amp;$D2210)</f>
        <v/>
      </c>
      <c r="S2210" s="57">
        <f>IF($A2210="","",IFERROR(INDEX(Offerte!$D$2:$D$81,MATCH($Q2210,Offerte!$L$2:$L$81,0)),0))</f>
        <v/>
      </c>
      <c r="T2210" s="57">
        <f>IF($A2210="","",IFERROR(INDEX(Offerte!$G$2:$G$81,MATCH($Q2210,Offerte!$L$2:$L$81,0)),"NO"))</f>
        <v/>
      </c>
    </row>
    <row r="2211">
      <c r="A2211" s="48">
        <f>IF(Offerte!$A73="","",Offerte!$A73)</f>
        <v/>
      </c>
      <c r="B2211" s="48">
        <f>IF(Offerte!$A73="","",Offerte!$B73)</f>
        <v/>
      </c>
      <c r="C2211" s="48">
        <f>IF(Offerte!$A73="","",Offerte!$C73)</f>
        <v/>
      </c>
      <c r="D2211" s="48" t="inlineStr">
        <is>
          <t>B.4.1</t>
        </is>
      </c>
      <c r="E2211" s="48" t="inlineStr">
        <is>
          <t>B</t>
        </is>
      </c>
      <c r="F2211" s="48" t="inlineStr">
        <is>
          <t>Q</t>
        </is>
      </c>
      <c r="G2211" s="48" t="inlineStr">
        <is>
          <t>higher</t>
        </is>
      </c>
      <c r="H2211" s="48" t="n">
        <v>3</v>
      </c>
      <c r="I2211" s="48" t="inlineStr">
        <is>
          <t>Percorrenze aggiuntive offerte nel Programma d'esercizio delle prime due fasi attuative</t>
        </is>
      </c>
      <c r="J2211" s="73" t="n"/>
      <c r="K2211" s="73" t="n"/>
      <c r="L2211" s="73" t="n"/>
      <c r="M2211" s="73" t="n"/>
      <c r="N2211" s="57">
        <f>IF($A2211="","",IFERROR(VALUE($J2211),0))</f>
        <v/>
      </c>
      <c r="O2211" s="57">
        <f>IF($A2211="",0,IF(OR($S2211&lt;&gt;1,COUNTA($J2211:$M2211)=0),0,IF(SUMPRODUCT(MAX(($C$5:$C$2484=$C2211)*($D$5:$D$2484=$D2211)*($S$5:$S$2484=1)*IFERROR($N$5:$N$2484*1,0)))&gt;0,ROUND($H2211*($N2211/SUMPRODUCT(MAX(($C$5:$C$2484=$C2211)*($D$5:$D$2484=$D2211)*($S$5:$S$2484=1)*IFERROR($N$5:$N$2484*1,0)))),4),0)))</f>
        <v/>
      </c>
      <c r="P2211" s="48" t="inlineStr">
        <is>
          <t>vett*km</t>
        </is>
      </c>
      <c r="Q2211" s="57">
        <f>IF($A2211="","",$A2211&amp;"|"&amp;$C2211)</f>
        <v/>
      </c>
      <c r="R2211" s="57">
        <f>IF($A2211="","",$A2211&amp;"|"&amp;$C2211&amp;"|"&amp;$D2211)</f>
        <v/>
      </c>
      <c r="S2211" s="57">
        <f>IF($A2211="","",IFERROR(INDEX(Offerte!$D$2:$D$81,MATCH($Q2211,Offerte!$L$2:$L$81,0)),0))</f>
        <v/>
      </c>
      <c r="T2211" s="57">
        <f>IF($A2211="","",IFERROR(INDEX(Offerte!$G$2:$G$81,MATCH($Q2211,Offerte!$L$2:$L$81,0)),"NO"))</f>
        <v/>
      </c>
    </row>
    <row r="2212">
      <c r="A2212" s="48">
        <f>IF(Offerte!$A73="","",Offerte!$A73)</f>
        <v/>
      </c>
      <c r="B2212" s="48">
        <f>IF(Offerte!$A73="","",Offerte!$B73)</f>
        <v/>
      </c>
      <c r="C2212" s="48">
        <f>IF(Offerte!$A73="","",Offerte!$C73)</f>
        <v/>
      </c>
      <c r="D2212" s="48" t="inlineStr">
        <is>
          <t>B.5.1</t>
        </is>
      </c>
      <c r="E2212" s="48" t="inlineStr">
        <is>
          <t>B</t>
        </is>
      </c>
      <c r="F2212" s="48" t="inlineStr">
        <is>
          <t>D</t>
        </is>
      </c>
      <c r="G2212" s="48" t="inlineStr">
        <is>
          <t>discretionary</t>
        </is>
      </c>
      <c r="H2212" s="48" t="n">
        <v>2</v>
      </c>
      <c r="I2212" s="48" t="inlineStr">
        <is>
          <t>Efficacia del progetto di servizi complementari DRT</t>
        </is>
      </c>
      <c r="J2212" s="73" t="n"/>
      <c r="K2212" s="73" t="n"/>
      <c r="L2212" s="73" t="n"/>
      <c r="M2212" s="73" t="n"/>
      <c r="N2212" s="57">
        <f>IF($A2212="","",MAX(0,MIN(1,IFERROR(VALUE($M2212),0))))</f>
        <v/>
      </c>
      <c r="O2212" s="57">
        <f>IF($A2212="",0,IF(OR($S2212&lt;&gt;1,COUNTA($J2212:$M2212)=0),0,IF(SUMPRODUCT(MAX(($C$5:$C$2484=$C2212)*($D$5:$D$2484=$D2212)*($S$5:$S$2484=1)*IFERROR($N$5:$N$2484*1,0)))&gt;0,ROUND($H2212*($N2212/SUMPRODUCT(MAX(($C$5:$C$2484=$C2212)*($D$5:$D$2484=$D2212)*($S$5:$S$2484=1)*IFERROR($N$5:$N$2484*1,0)))),4),0)))</f>
        <v/>
      </c>
      <c r="P2212" s="48" t="inlineStr">
        <is>
          <t>coeff.</t>
        </is>
      </c>
      <c r="Q2212" s="57">
        <f>IF($A2212="","",$A2212&amp;"|"&amp;$C2212)</f>
        <v/>
      </c>
      <c r="R2212" s="57">
        <f>IF($A2212="","",$A2212&amp;"|"&amp;$C2212&amp;"|"&amp;$D2212)</f>
        <v/>
      </c>
      <c r="S2212" s="57">
        <f>IF($A2212="","",IFERROR(INDEX(Offerte!$D$2:$D$81,MATCH($Q2212,Offerte!$L$2:$L$81,0)),0))</f>
        <v/>
      </c>
      <c r="T2212" s="57">
        <f>IF($A2212="","",IFERROR(INDEX(Offerte!$G$2:$G$81,MATCH($Q2212,Offerte!$L$2:$L$81,0)),"NO"))</f>
        <v/>
      </c>
    </row>
    <row r="2213">
      <c r="A2213" s="48">
        <f>IF(Offerte!$A73="","",Offerte!$A73)</f>
        <v/>
      </c>
      <c r="B2213" s="48">
        <f>IF(Offerte!$A73="","",Offerte!$B73)</f>
        <v/>
      </c>
      <c r="C2213" s="48">
        <f>IF(Offerte!$A73="","",Offerte!$C73)</f>
        <v/>
      </c>
      <c r="D2213" s="48" t="inlineStr">
        <is>
          <t>C.1.1</t>
        </is>
      </c>
      <c r="E2213" s="48" t="inlineStr">
        <is>
          <t>C</t>
        </is>
      </c>
      <c r="F2213" s="48" t="inlineStr">
        <is>
          <t>Q</t>
        </is>
      </c>
      <c r="G2213" s="48" t="inlineStr">
        <is>
          <t>higher</t>
        </is>
      </c>
      <c r="H2213" s="48" t="n">
        <v>2</v>
      </c>
      <c r="I2213" s="48" t="inlineStr">
        <is>
          <t>Tasso di copertura del servizio con telecamere BSD</t>
        </is>
      </c>
      <c r="J2213" s="73" t="n"/>
      <c r="K2213" s="73" t="n"/>
      <c r="L2213" s="73" t="n"/>
      <c r="M2213" s="73" t="n"/>
      <c r="N2213" s="57">
        <f>IF($A2213="","",IFERROR(VALUE($K2213)/VALUE($L2213),IFERROR(VALUE($J2213),0)))</f>
        <v/>
      </c>
      <c r="O2213" s="57">
        <f>IF($A2213="",0,IF(OR($S2213&lt;&gt;1,COUNTA($J2213:$M2213)=0),0,IF(SUMPRODUCT(MAX(($C$5:$C$2484=$C2213)*($D$5:$D$2484=$D2213)*($S$5:$S$2484=1)*IFERROR($N$5:$N$2484*1,0)))&gt;0,ROUND($H2213*($N2213/SUMPRODUCT(MAX(($C$5:$C$2484=$C2213)*($D$5:$D$2484=$D2213)*($S$5:$S$2484=1)*IFERROR($N$5:$N$2484*1,0)))),4),0)))</f>
        <v/>
      </c>
      <c r="P2213" s="48" t="inlineStr">
        <is>
          <t>Autobus attrezzati con telecamere BSD / Autobus totali in offerta, incluse scorte</t>
        </is>
      </c>
      <c r="Q2213" s="57">
        <f>IF($A2213="","",$A2213&amp;"|"&amp;$C2213)</f>
        <v/>
      </c>
      <c r="R2213" s="57">
        <f>IF($A2213="","",$A2213&amp;"|"&amp;$C2213&amp;"|"&amp;$D2213)</f>
        <v/>
      </c>
      <c r="S2213" s="57">
        <f>IF($A2213="","",IFERROR(INDEX(Offerte!$D$2:$D$81,MATCH($Q2213,Offerte!$L$2:$L$81,0)),0))</f>
        <v/>
      </c>
      <c r="T2213" s="57">
        <f>IF($A2213="","",IFERROR(INDEX(Offerte!$G$2:$G$81,MATCH($Q2213,Offerte!$L$2:$L$81,0)),"NO"))</f>
        <v/>
      </c>
    </row>
    <row r="2214">
      <c r="A2214" s="48">
        <f>IF(Offerte!$A73="","",Offerte!$A73)</f>
        <v/>
      </c>
      <c r="B2214" s="48">
        <f>IF(Offerte!$A73="","",Offerte!$B73)</f>
        <v/>
      </c>
      <c r="C2214" s="48">
        <f>IF(Offerte!$A73="","",Offerte!$C73)</f>
        <v/>
      </c>
      <c r="D2214" s="48" t="inlineStr">
        <is>
          <t>C.1.2</t>
        </is>
      </c>
      <c r="E2214" s="48" t="inlineStr">
        <is>
          <t>C</t>
        </is>
      </c>
      <c r="F2214" s="48" t="inlineStr">
        <is>
          <t>Q</t>
        </is>
      </c>
      <c r="G2214" s="48" t="inlineStr">
        <is>
          <t>higher</t>
        </is>
      </c>
      <c r="H2214" s="48" t="n">
        <v>2</v>
      </c>
      <c r="I2214" s="48" t="inlineStr">
        <is>
          <t>Tasso di copertura del servizio con telecamere ADAS</t>
        </is>
      </c>
      <c r="J2214" s="73" t="n"/>
      <c r="K2214" s="73" t="n"/>
      <c r="L2214" s="73" t="n"/>
      <c r="M2214" s="73" t="n"/>
      <c r="N2214" s="57">
        <f>IF($A2214="","",IFERROR(VALUE($K2214)/VALUE($L2214),IFERROR(VALUE($J2214),0)))</f>
        <v/>
      </c>
      <c r="O2214" s="57">
        <f>IF($A2214="",0,IF(OR($S2214&lt;&gt;1,COUNTA($J2214:$M2214)=0),0,IF(SUMPRODUCT(MAX(($C$5:$C$2484=$C2214)*($D$5:$D$2484=$D2214)*($S$5:$S$2484=1)*IFERROR($N$5:$N$2484*1,0)))&gt;0,ROUND($H2214*($N2214/SUMPRODUCT(MAX(($C$5:$C$2484=$C2214)*($D$5:$D$2484=$D2214)*($S$5:$S$2484=1)*IFERROR($N$5:$N$2484*1,0)))),4),0)))</f>
        <v/>
      </c>
      <c r="P2214" s="48" t="inlineStr">
        <is>
          <t>Autobus attrezzati con telecamere ADAS / Autobus totali in offerta, incluse scorte</t>
        </is>
      </c>
      <c r="Q2214" s="57">
        <f>IF($A2214="","",$A2214&amp;"|"&amp;$C2214)</f>
        <v/>
      </c>
      <c r="R2214" s="57">
        <f>IF($A2214="","",$A2214&amp;"|"&amp;$C2214&amp;"|"&amp;$D2214)</f>
        <v/>
      </c>
      <c r="S2214" s="57">
        <f>IF($A2214="","",IFERROR(INDEX(Offerte!$D$2:$D$81,MATCH($Q2214,Offerte!$L$2:$L$81,0)),0))</f>
        <v/>
      </c>
      <c r="T2214" s="57">
        <f>IF($A2214="","",IFERROR(INDEX(Offerte!$G$2:$G$81,MATCH($Q2214,Offerte!$L$2:$L$81,0)),"NO"))</f>
        <v/>
      </c>
    </row>
    <row r="2215">
      <c r="A2215" s="48">
        <f>IF(Offerte!$A73="","",Offerte!$A73)</f>
        <v/>
      </c>
      <c r="B2215" s="48">
        <f>IF(Offerte!$A73="","",Offerte!$B73)</f>
        <v/>
      </c>
      <c r="C2215" s="48">
        <f>IF(Offerte!$A73="","",Offerte!$C73)</f>
        <v/>
      </c>
      <c r="D2215" s="48" t="inlineStr">
        <is>
          <t>C.2.1</t>
        </is>
      </c>
      <c r="E2215" s="48" t="inlineStr">
        <is>
          <t>C</t>
        </is>
      </c>
      <c r="F2215" s="48" t="inlineStr">
        <is>
          <t>Q</t>
        </is>
      </c>
      <c r="G2215" s="48" t="inlineStr">
        <is>
          <t>higher</t>
        </is>
      </c>
      <c r="H2215" s="48" t="n">
        <v>3</v>
      </c>
      <c r="I2215" s="48" t="inlineStr">
        <is>
          <t>Tasso di copertura del servizio con telecamere di bordo di videosorveglianza</t>
        </is>
      </c>
      <c r="J2215" s="73" t="n"/>
      <c r="K2215" s="73" t="n"/>
      <c r="L2215" s="73" t="n"/>
      <c r="M2215" s="73" t="n"/>
      <c r="N2215" s="57">
        <f>IF($A2215="","",IFERROR(VALUE($K2215)/VALUE($L2215),IFERROR(VALUE($J2215),0)))</f>
        <v/>
      </c>
      <c r="O2215" s="57">
        <f>IF($A2215="",0,IF(OR($S2215&lt;&gt;1,COUNTA($J2215:$M2215)=0),0,IF(SUMPRODUCT(MAX(($C$5:$C$2484=$C2215)*($D$5:$D$2484=$D2215)*($S$5:$S$2484=1)*IFERROR($N$5:$N$2484*1,0)))&gt;0,ROUND($H2215*($N2215/SUMPRODUCT(MAX(($C$5:$C$2484=$C2215)*($D$5:$D$2484=$D2215)*($S$5:$S$2484=1)*IFERROR($N$5:$N$2484*1,0)))),4),0)))</f>
        <v/>
      </c>
      <c r="P2215" s="48" t="inlineStr">
        <is>
          <t>Autobus attrezzati con videosorveglianza / Autobus totali in offerta, incluse scorte</t>
        </is>
      </c>
      <c r="Q2215" s="57">
        <f>IF($A2215="","",$A2215&amp;"|"&amp;$C2215)</f>
        <v/>
      </c>
      <c r="R2215" s="57">
        <f>IF($A2215="","",$A2215&amp;"|"&amp;$C2215&amp;"|"&amp;$D2215)</f>
        <v/>
      </c>
      <c r="S2215" s="57">
        <f>IF($A2215="","",IFERROR(INDEX(Offerte!$D$2:$D$81,MATCH($Q2215,Offerte!$L$2:$L$81,0)),0))</f>
        <v/>
      </c>
      <c r="T2215" s="57">
        <f>IF($A2215="","",IFERROR(INDEX(Offerte!$G$2:$G$81,MATCH($Q2215,Offerte!$L$2:$L$81,0)),"NO"))</f>
        <v/>
      </c>
    </row>
    <row r="2216">
      <c r="A2216" s="48">
        <f>IF(Offerte!$A73="","",Offerte!$A73)</f>
        <v/>
      </c>
      <c r="B2216" s="48">
        <f>IF(Offerte!$A73="","",Offerte!$B73)</f>
        <v/>
      </c>
      <c r="C2216" s="48">
        <f>IF(Offerte!$A73="","",Offerte!$C73)</f>
        <v/>
      </c>
      <c r="D2216" s="48" t="inlineStr">
        <is>
          <t>C.2.2</t>
        </is>
      </c>
      <c r="E2216" s="48" t="inlineStr">
        <is>
          <t>C</t>
        </is>
      </c>
      <c r="F2216" s="48" t="inlineStr">
        <is>
          <t>T</t>
        </is>
      </c>
      <c r="G2216" s="48" t="inlineStr">
        <is>
          <t>tabular</t>
        </is>
      </c>
      <c r="H2216" s="48" t="n">
        <v>1</v>
      </c>
      <c r="I2216" s="48" t="inlineStr">
        <is>
          <t>Software video/audio analisi per situazioni di pericolo</t>
        </is>
      </c>
      <c r="J2216" s="73" t="n"/>
      <c r="K2216" s="73" t="n"/>
      <c r="L2216" s="73" t="n"/>
      <c r="M2216" s="73" t="n"/>
      <c r="N2216" s="57">
        <f>IF($A2216="","",IF(IFERROR(VALUE($M2216),0)=1,1,0))</f>
        <v/>
      </c>
      <c r="O2216" s="57">
        <f>IF($A2216="",0,IF(OR($S2216&lt;&gt;1,COUNTA($J2216:$M2216)=0),0,IF($N2216=1,$H2216,0)))</f>
        <v/>
      </c>
      <c r="P2216" s="48" t="inlineStr">
        <is>
          <t>sì/no</t>
        </is>
      </c>
      <c r="Q2216" s="57">
        <f>IF($A2216="","",$A2216&amp;"|"&amp;$C2216)</f>
        <v/>
      </c>
      <c r="R2216" s="57">
        <f>IF($A2216="","",$A2216&amp;"|"&amp;$C2216&amp;"|"&amp;$D2216)</f>
        <v/>
      </c>
      <c r="S2216" s="57">
        <f>IF($A2216="","",IFERROR(INDEX(Offerte!$D$2:$D$81,MATCH($Q2216,Offerte!$L$2:$L$81,0)),0))</f>
        <v/>
      </c>
      <c r="T2216" s="57">
        <f>IF($A2216="","",IFERROR(INDEX(Offerte!$G$2:$G$81,MATCH($Q2216,Offerte!$L$2:$L$81,0)),"NO"))</f>
        <v/>
      </c>
    </row>
    <row r="2217">
      <c r="A2217" s="48">
        <f>IF(Offerte!$A73="","",Offerte!$A73)</f>
        <v/>
      </c>
      <c r="B2217" s="48">
        <f>IF(Offerte!$A73="","",Offerte!$B73)</f>
        <v/>
      </c>
      <c r="C2217" s="48">
        <f>IF(Offerte!$A73="","",Offerte!$C73)</f>
        <v/>
      </c>
      <c r="D2217" s="48" t="inlineStr">
        <is>
          <t>C.2.3</t>
        </is>
      </c>
      <c r="E2217" s="48" t="inlineStr">
        <is>
          <t>C</t>
        </is>
      </c>
      <c r="F2217" s="48" t="inlineStr">
        <is>
          <t>T</t>
        </is>
      </c>
      <c r="G2217" s="48" t="inlineStr">
        <is>
          <t>tabular</t>
        </is>
      </c>
      <c r="H2217" s="48" t="n">
        <v>1</v>
      </c>
      <c r="I2217" s="48" t="inlineStr">
        <is>
          <t>Collegamento con centrale qualificata di pronto intervento</t>
        </is>
      </c>
      <c r="J2217" s="73" t="n"/>
      <c r="K2217" s="73" t="n"/>
      <c r="L2217" s="73" t="n"/>
      <c r="M2217" s="73" t="n"/>
      <c r="N2217" s="57">
        <f>IF($A2217="","",IF(IFERROR(VALUE($M2217),0)=1,1,0))</f>
        <v/>
      </c>
      <c r="O2217" s="57">
        <f>IF($A2217="",0,IF(OR($S2217&lt;&gt;1,COUNTA($J2217:$M2217)=0),0,IF($N2217=1,$H2217,0)))</f>
        <v/>
      </c>
      <c r="P2217" s="48" t="inlineStr">
        <is>
          <t>sì/no</t>
        </is>
      </c>
      <c r="Q2217" s="57">
        <f>IF($A2217="","",$A2217&amp;"|"&amp;$C2217)</f>
        <v/>
      </c>
      <c r="R2217" s="57">
        <f>IF($A2217="","",$A2217&amp;"|"&amp;$C2217&amp;"|"&amp;$D2217)</f>
        <v/>
      </c>
      <c r="S2217" s="57">
        <f>IF($A2217="","",IFERROR(INDEX(Offerte!$D$2:$D$81,MATCH($Q2217,Offerte!$L$2:$L$81,0)),0))</f>
        <v/>
      </c>
      <c r="T2217" s="57">
        <f>IF($A2217="","",IFERROR(INDEX(Offerte!$G$2:$G$81,MATCH($Q2217,Offerte!$L$2:$L$81,0)),"NO"))</f>
        <v/>
      </c>
    </row>
    <row r="2218">
      <c r="A2218" s="48">
        <f>IF(Offerte!$A73="","",Offerte!$A73)</f>
        <v/>
      </c>
      <c r="B2218" s="48">
        <f>IF(Offerte!$A73="","",Offerte!$B73)</f>
        <v/>
      </c>
      <c r="C2218" s="48">
        <f>IF(Offerte!$A73="","",Offerte!$C73)</f>
        <v/>
      </c>
      <c r="D2218" s="48" t="inlineStr">
        <is>
          <t>C.2.4</t>
        </is>
      </c>
      <c r="E2218" s="48" t="inlineStr">
        <is>
          <t>C</t>
        </is>
      </c>
      <c r="F2218" s="48" t="inlineStr">
        <is>
          <t>Q</t>
        </is>
      </c>
      <c r="G2218" s="48" t="inlineStr">
        <is>
          <t>higher</t>
        </is>
      </c>
      <c r="H2218" s="48" t="n">
        <v>1</v>
      </c>
      <c r="I2218" s="48" t="inlineStr">
        <is>
          <t>Tasso di copertura del servizio con dispositivi per la chiamata di emergenza del conducente</t>
        </is>
      </c>
      <c r="J2218" s="73" t="n"/>
      <c r="K2218" s="73" t="n"/>
      <c r="L2218" s="73" t="n"/>
      <c r="M2218" s="73" t="n"/>
      <c r="N2218" s="57">
        <f>IF($A2218="","",IFERROR(VALUE($K2218)/VALUE($L2218),IFERROR(VALUE($J2218),0)))</f>
        <v/>
      </c>
      <c r="O2218" s="57">
        <f>IF($A2218="",0,IF(OR($S2218&lt;&gt;1,COUNTA($J2218:$M2218)=0),0,IF(SUMPRODUCT(MAX(($C$5:$C$2484=$C2218)*($D$5:$D$2484=$D2218)*($S$5:$S$2484=1)*IFERROR($N$5:$N$2484*1,0)))&gt;0,ROUND($H2218*($N2218/SUMPRODUCT(MAX(($C$5:$C$2484=$C2218)*($D$5:$D$2484=$D2218)*($S$5:$S$2484=1)*IFERROR($N$5:$N$2484*1,0)))),4),0)))</f>
        <v/>
      </c>
      <c r="P2218" s="48" t="inlineStr">
        <is>
          <t>Autobus attrezzati con chiamata di emergenza / Autobus totali in offerta, incluse scorte</t>
        </is>
      </c>
      <c r="Q2218" s="57">
        <f>IF($A2218="","",$A2218&amp;"|"&amp;$C2218)</f>
        <v/>
      </c>
      <c r="R2218" s="57">
        <f>IF($A2218="","",$A2218&amp;"|"&amp;$C2218&amp;"|"&amp;$D2218)</f>
        <v/>
      </c>
      <c r="S2218" s="57">
        <f>IF($A2218="","",IFERROR(INDEX(Offerte!$D$2:$D$81,MATCH($Q2218,Offerte!$L$2:$L$81,0)),0))</f>
        <v/>
      </c>
      <c r="T2218" s="57">
        <f>IF($A2218="","",IFERROR(INDEX(Offerte!$G$2:$G$81,MATCH($Q2218,Offerte!$L$2:$L$81,0)),"NO"))</f>
        <v/>
      </c>
    </row>
    <row r="2219">
      <c r="A2219" s="48">
        <f>IF(Offerte!$A73="","",Offerte!$A73)</f>
        <v/>
      </c>
      <c r="B2219" s="48">
        <f>IF(Offerte!$A73="","",Offerte!$B73)</f>
        <v/>
      </c>
      <c r="C2219" s="48">
        <f>IF(Offerte!$A73="","",Offerte!$C73)</f>
        <v/>
      </c>
      <c r="D2219" s="48" t="inlineStr">
        <is>
          <t>C.3.1</t>
        </is>
      </c>
      <c r="E2219" s="48" t="inlineStr">
        <is>
          <t>C</t>
        </is>
      </c>
      <c r="F2219" s="48" t="inlineStr">
        <is>
          <t>Q</t>
        </is>
      </c>
      <c r="G2219" s="48" t="inlineStr">
        <is>
          <t>higher</t>
        </is>
      </c>
      <c r="H2219" s="48" t="n">
        <v>2</v>
      </c>
      <c r="I2219" s="48" t="inlineStr">
        <is>
          <t>Tasso di copertura del servizio con dispositivi di informazione dinamica a bordo mezzo</t>
        </is>
      </c>
      <c r="J2219" s="73" t="n"/>
      <c r="K2219" s="73" t="n"/>
      <c r="L2219" s="73" t="n"/>
      <c r="M2219" s="73" t="n"/>
      <c r="N2219" s="57">
        <f>IF($A2219="","",IFERROR(VALUE($K2219)/VALUE($L2219),IFERROR(VALUE($J2219),0)))</f>
        <v/>
      </c>
      <c r="O2219" s="57">
        <f>IF($A2219="",0,IF(OR($S2219&lt;&gt;1,COUNTA($J2219:$M2219)=0),0,IF(SUMPRODUCT(MAX(($C$5:$C$2484=$C2219)*($D$5:$D$2484=$D2219)*($S$5:$S$2484=1)*IFERROR($N$5:$N$2484*1,0)))&gt;0,ROUND($H2219*($N2219/SUMPRODUCT(MAX(($C$5:$C$2484=$C2219)*($D$5:$D$2484=$D2219)*($S$5:$S$2484=1)*IFERROR($N$5:$N$2484*1,0)))),4),0)))</f>
        <v/>
      </c>
      <c r="P2219" s="48" t="inlineStr">
        <is>
          <t>Autobus con monitor e indicatori vocali / Autobus totali in offerta, incluse scorte</t>
        </is>
      </c>
      <c r="Q2219" s="57">
        <f>IF($A2219="","",$A2219&amp;"|"&amp;$C2219)</f>
        <v/>
      </c>
      <c r="R2219" s="57">
        <f>IF($A2219="","",$A2219&amp;"|"&amp;$C2219&amp;"|"&amp;$D2219)</f>
        <v/>
      </c>
      <c r="S2219" s="57">
        <f>IF($A2219="","",IFERROR(INDEX(Offerte!$D$2:$D$81,MATCH($Q2219,Offerte!$L$2:$L$81,0)),0))</f>
        <v/>
      </c>
      <c r="T2219" s="57">
        <f>IF($A2219="","",IFERROR(INDEX(Offerte!$G$2:$G$81,MATCH($Q2219,Offerte!$L$2:$L$81,0)),"NO"))</f>
        <v/>
      </c>
    </row>
    <row r="2220">
      <c r="A2220" s="48">
        <f>IF(Offerte!$A73="","",Offerte!$A73)</f>
        <v/>
      </c>
      <c r="B2220" s="48">
        <f>IF(Offerte!$A73="","",Offerte!$B73)</f>
        <v/>
      </c>
      <c r="C2220" s="48">
        <f>IF(Offerte!$A73="","",Offerte!$C73)</f>
        <v/>
      </c>
      <c r="D2220" s="48" t="inlineStr">
        <is>
          <t>C.3.2</t>
        </is>
      </c>
      <c r="E2220" s="48" t="inlineStr">
        <is>
          <t>C</t>
        </is>
      </c>
      <c r="F2220" s="48" t="inlineStr">
        <is>
          <t>T</t>
        </is>
      </c>
      <c r="G2220" s="48" t="inlineStr">
        <is>
          <t>tabular</t>
        </is>
      </c>
      <c r="H2220" s="48" t="n">
        <v>2</v>
      </c>
      <c r="I2220" s="48" t="inlineStr">
        <is>
          <t>Informazioni a bordo su coincidenze ai nodi</t>
        </is>
      </c>
      <c r="J2220" s="73" t="n"/>
      <c r="K2220" s="73" t="n"/>
      <c r="L2220" s="73" t="n"/>
      <c r="M2220" s="73" t="n"/>
      <c r="N2220" s="57">
        <f>IF($A2220="","",IF(IFERROR(VALUE($M2220),0)=1,1,0))</f>
        <v/>
      </c>
      <c r="O2220" s="57">
        <f>IF($A2220="",0,IF(OR($S2220&lt;&gt;1,COUNTA($J2220:$M2220)=0),0,IF(AND($N2220=1,IFERROR(SUMIFS($N$5:$N$2484,$Q$5:$Q$2484,$Q2220,$D$5:$D$2484,"C.3.1"),0)&gt;=0.5),$H2220,0)))</f>
        <v/>
      </c>
      <c r="P2220" s="48" t="inlineStr">
        <is>
          <t>Dipende da C.3.1 &gt;= 0.5</t>
        </is>
      </c>
      <c r="Q2220" s="57">
        <f>IF($A2220="","",$A2220&amp;"|"&amp;$C2220)</f>
        <v/>
      </c>
      <c r="R2220" s="57">
        <f>IF($A2220="","",$A2220&amp;"|"&amp;$C2220&amp;"|"&amp;$D2220)</f>
        <v/>
      </c>
      <c r="S2220" s="57">
        <f>IF($A2220="","",IFERROR(INDEX(Offerte!$D$2:$D$81,MATCH($Q2220,Offerte!$L$2:$L$81,0)),0))</f>
        <v/>
      </c>
      <c r="T2220" s="57">
        <f>IF($A2220="","",IFERROR(INDEX(Offerte!$G$2:$G$81,MATCH($Q2220,Offerte!$L$2:$L$81,0)),"NO"))</f>
        <v/>
      </c>
    </row>
    <row r="2221">
      <c r="A2221" s="48">
        <f>IF(Offerte!$A73="","",Offerte!$A73)</f>
        <v/>
      </c>
      <c r="B2221" s="48">
        <f>IF(Offerte!$A73="","",Offerte!$B73)</f>
        <v/>
      </c>
      <c r="C2221" s="48">
        <f>IF(Offerte!$A73="","",Offerte!$C73)</f>
        <v/>
      </c>
      <c r="D2221" s="48" t="inlineStr">
        <is>
          <t>D.1.1</t>
        </is>
      </c>
      <c r="E2221" s="48" t="inlineStr">
        <is>
          <t>D</t>
        </is>
      </c>
      <c r="F2221" s="48" t="inlineStr">
        <is>
          <t>Q</t>
        </is>
      </c>
      <c r="G2221" s="48" t="inlineStr">
        <is>
          <t>higher</t>
        </is>
      </c>
      <c r="H2221" s="48" t="n">
        <v>3</v>
      </c>
      <c r="I2221" s="48" t="inlineStr">
        <is>
          <t>Installazione di pensiline</t>
        </is>
      </c>
      <c r="J2221" s="73" t="n"/>
      <c r="K2221" s="73" t="n"/>
      <c r="L2221" s="73" t="n"/>
      <c r="M2221" s="73" t="n"/>
      <c r="N2221" s="57">
        <f>IF($A2221="","",IFERROR(VALUE($J2221),0))</f>
        <v/>
      </c>
      <c r="O2221" s="57">
        <f>IF($A2221="",0,IF(OR($S2221&lt;&gt;1,COUNTA($J2221:$M2221)=0),0,IF(SUMPRODUCT(MAX(($C$5:$C$2484=$C2221)*($D$5:$D$2484=$D2221)*($S$5:$S$2484=1)*IFERROR($N$5:$N$2484*1,0)))&gt;0,ROUND($H2221*($N2221/SUMPRODUCT(MAX(($C$5:$C$2484=$C2221)*($D$5:$D$2484=$D2221)*($S$5:$S$2484=1)*IFERROR($N$5:$N$2484*1,0)))),4),0)))</f>
        <v/>
      </c>
      <c r="P2221" s="48" t="inlineStr">
        <is>
          <t>fermate</t>
        </is>
      </c>
      <c r="Q2221" s="57">
        <f>IF($A2221="","",$A2221&amp;"|"&amp;$C2221)</f>
        <v/>
      </c>
      <c r="R2221" s="57">
        <f>IF($A2221="","",$A2221&amp;"|"&amp;$C2221&amp;"|"&amp;$D2221)</f>
        <v/>
      </c>
      <c r="S2221" s="57">
        <f>IF($A2221="","",IFERROR(INDEX(Offerte!$D$2:$D$81,MATCH($Q2221,Offerte!$L$2:$L$81,0)),0))</f>
        <v/>
      </c>
      <c r="T2221" s="57">
        <f>IF($A2221="","",IFERROR(INDEX(Offerte!$G$2:$G$81,MATCH($Q2221,Offerte!$L$2:$L$81,0)),"NO"))</f>
        <v/>
      </c>
    </row>
    <row r="2222">
      <c r="A2222" s="48">
        <f>IF(Offerte!$A73="","",Offerte!$A73)</f>
        <v/>
      </c>
      <c r="B2222" s="48">
        <f>IF(Offerte!$A73="","",Offerte!$B73)</f>
        <v/>
      </c>
      <c r="C2222" s="48">
        <f>IF(Offerte!$A73="","",Offerte!$C73)</f>
        <v/>
      </c>
      <c r="D2222" s="48" t="inlineStr">
        <is>
          <t>D.1.2</t>
        </is>
      </c>
      <c r="E2222" s="48" t="inlineStr">
        <is>
          <t>D</t>
        </is>
      </c>
      <c r="F2222" s="48" t="inlineStr">
        <is>
          <t>Q</t>
        </is>
      </c>
      <c r="G2222" s="48" t="inlineStr">
        <is>
          <t>higher</t>
        </is>
      </c>
      <c r="H2222" s="48" t="n">
        <v>3</v>
      </c>
      <c r="I2222" s="48" t="inlineStr">
        <is>
          <t>Installazione di paline di fermata conformi alla DGR 581/2023</t>
        </is>
      </c>
      <c r="J2222" s="73" t="n"/>
      <c r="K2222" s="73" t="n"/>
      <c r="L2222" s="73" t="n"/>
      <c r="M2222" s="73" t="n"/>
      <c r="N2222" s="57">
        <f>IF($A2222="","",IFERROR(VALUE($J2222),0))</f>
        <v/>
      </c>
      <c r="O2222" s="57">
        <f>IF($A2222="",0,IF(OR($S2222&lt;&gt;1,COUNTA($J2222:$M2222)=0),0,IF(SUMPRODUCT(MAX(($C$5:$C$2484=$C2222)*($D$5:$D$2484=$D2222)*($S$5:$S$2484=1)*IFERROR($N$5:$N$2484*1,0)))&gt;0,ROUND($H2222*($N2222/SUMPRODUCT(MAX(($C$5:$C$2484=$C2222)*($D$5:$D$2484=$D2222)*($S$5:$S$2484=1)*IFERROR($N$5:$N$2484*1,0)))),4),0)))</f>
        <v/>
      </c>
      <c r="P2222" s="48" t="inlineStr">
        <is>
          <t>fermate</t>
        </is>
      </c>
      <c r="Q2222" s="57">
        <f>IF($A2222="","",$A2222&amp;"|"&amp;$C2222)</f>
        <v/>
      </c>
      <c r="R2222" s="57">
        <f>IF($A2222="","",$A2222&amp;"|"&amp;$C2222&amp;"|"&amp;$D2222)</f>
        <v/>
      </c>
      <c r="S2222" s="57">
        <f>IF($A2222="","",IFERROR(INDEX(Offerte!$D$2:$D$81,MATCH($Q2222,Offerte!$L$2:$L$81,0)),0))</f>
        <v/>
      </c>
      <c r="T2222" s="57">
        <f>IF($A2222="","",IFERROR(INDEX(Offerte!$G$2:$G$81,MATCH($Q2222,Offerte!$L$2:$L$81,0)),"NO"))</f>
        <v/>
      </c>
    </row>
    <row r="2223">
      <c r="A2223" s="48">
        <f>IF(Offerte!$A73="","",Offerte!$A73)</f>
        <v/>
      </c>
      <c r="B2223" s="48">
        <f>IF(Offerte!$A73="","",Offerte!$B73)</f>
        <v/>
      </c>
      <c r="C2223" s="48">
        <f>IF(Offerte!$A73="","",Offerte!$C73)</f>
        <v/>
      </c>
      <c r="D2223" s="48" t="inlineStr">
        <is>
          <t>D.1.3</t>
        </is>
      </c>
      <c r="E2223" s="48" t="inlineStr">
        <is>
          <t>D</t>
        </is>
      </c>
      <c r="F2223" s="48" t="inlineStr">
        <is>
          <t>Q</t>
        </is>
      </c>
      <c r="G2223" s="48" t="inlineStr">
        <is>
          <t>higher</t>
        </is>
      </c>
      <c r="H2223" s="48" t="n">
        <v>2</v>
      </c>
      <c r="I2223" s="48" t="inlineStr">
        <is>
          <t>Display informativi connessi alle fermate</t>
        </is>
      </c>
      <c r="J2223" s="73" t="n"/>
      <c r="K2223" s="73" t="n"/>
      <c r="L2223" s="73" t="n"/>
      <c r="M2223" s="73" t="n"/>
      <c r="N2223" s="57">
        <f>IF($A2223="","",IFERROR(VALUE($J2223),0))</f>
        <v/>
      </c>
      <c r="O2223" s="57">
        <f>IF($A2223="",0,IF(OR($S2223&lt;&gt;1,COUNTA($J2223:$M2223)=0),0,IF(SUMPRODUCT(MAX(($C$5:$C$2484=$C2223)*($D$5:$D$2484=$D2223)*($S$5:$S$2484=1)*IFERROR($N$5:$N$2484*1,0)))&gt;0,ROUND($H2223*($N2223/SUMPRODUCT(MAX(($C$5:$C$2484=$C2223)*($D$5:$D$2484=$D2223)*($S$5:$S$2484=1)*IFERROR($N$5:$N$2484*1,0)))),4),0)))</f>
        <v/>
      </c>
      <c r="P2223" s="48" t="inlineStr">
        <is>
          <t>fermate</t>
        </is>
      </c>
      <c r="Q2223" s="57">
        <f>IF($A2223="","",$A2223&amp;"|"&amp;$C2223)</f>
        <v/>
      </c>
      <c r="R2223" s="57">
        <f>IF($A2223="","",$A2223&amp;"|"&amp;$C2223&amp;"|"&amp;$D2223)</f>
        <v/>
      </c>
      <c r="S2223" s="57">
        <f>IF($A2223="","",IFERROR(INDEX(Offerte!$D$2:$D$81,MATCH($Q2223,Offerte!$L$2:$L$81,0)),0))</f>
        <v/>
      </c>
      <c r="T2223" s="57">
        <f>IF($A2223="","",IFERROR(INDEX(Offerte!$G$2:$G$81,MATCH($Q2223,Offerte!$L$2:$L$81,0)),"NO"))</f>
        <v/>
      </c>
    </row>
    <row r="2224">
      <c r="A2224" s="48">
        <f>IF(Offerte!$A73="","",Offerte!$A73)</f>
        <v/>
      </c>
      <c r="B2224" s="48">
        <f>IF(Offerte!$A73="","",Offerte!$B73)</f>
        <v/>
      </c>
      <c r="C2224" s="48">
        <f>IF(Offerte!$A73="","",Offerte!$C73)</f>
        <v/>
      </c>
      <c r="D2224" s="48" t="inlineStr">
        <is>
          <t>D.2.1</t>
        </is>
      </c>
      <c r="E2224" s="48" t="inlineStr">
        <is>
          <t>D</t>
        </is>
      </c>
      <c r="F2224" s="48" t="inlineStr">
        <is>
          <t>Q</t>
        </is>
      </c>
      <c r="G2224" s="48" t="inlineStr">
        <is>
          <t>higher</t>
        </is>
      </c>
      <c r="H2224" s="48" t="n">
        <v>2</v>
      </c>
      <c r="I2224" s="48" t="inlineStr">
        <is>
          <t>Segnali tattili Loges-Vet-Evolution</t>
        </is>
      </c>
      <c r="J2224" s="73" t="n"/>
      <c r="K2224" s="73" t="n"/>
      <c r="L2224" s="73" t="n"/>
      <c r="M2224" s="73" t="n"/>
      <c r="N2224" s="57">
        <f>IF($A2224="","",IFERROR(VALUE($J2224),0))</f>
        <v/>
      </c>
      <c r="O2224" s="57">
        <f>IF($A2224="",0,IF(OR($S2224&lt;&gt;1,COUNTA($J2224:$M2224)=0),0,IF(SUMPRODUCT(MAX(($C$5:$C$2484=$C2224)*($D$5:$D$2484=$D2224)*($S$5:$S$2484=1)*IFERROR($N$5:$N$2484*1,0)))&gt;0,ROUND($H2224*($N2224/SUMPRODUCT(MAX(($C$5:$C$2484=$C2224)*($D$5:$D$2484=$D2224)*($S$5:$S$2484=1)*IFERROR($N$5:$N$2484*1,0)))),4),0)))</f>
        <v/>
      </c>
      <c r="P2224" s="48" t="inlineStr">
        <is>
          <t>fermate</t>
        </is>
      </c>
      <c r="Q2224" s="57">
        <f>IF($A2224="","",$A2224&amp;"|"&amp;$C2224)</f>
        <v/>
      </c>
      <c r="R2224" s="57">
        <f>IF($A2224="","",$A2224&amp;"|"&amp;$C2224&amp;"|"&amp;$D2224)</f>
        <v/>
      </c>
      <c r="S2224" s="57">
        <f>IF($A2224="","",IFERROR(INDEX(Offerte!$D$2:$D$81,MATCH($Q2224,Offerte!$L$2:$L$81,0)),0))</f>
        <v/>
      </c>
      <c r="T2224" s="57">
        <f>IF($A2224="","",IFERROR(INDEX(Offerte!$G$2:$G$81,MATCH($Q2224,Offerte!$L$2:$L$81,0)),"NO"))</f>
        <v/>
      </c>
    </row>
    <row r="2225">
      <c r="A2225" s="48">
        <f>IF(Offerte!$A73="","",Offerte!$A73)</f>
        <v/>
      </c>
      <c r="B2225" s="48">
        <f>IF(Offerte!$A73="","",Offerte!$B73)</f>
        <v/>
      </c>
      <c r="C2225" s="48">
        <f>IF(Offerte!$A73="","",Offerte!$C73)</f>
        <v/>
      </c>
      <c r="D2225" s="48" t="inlineStr">
        <is>
          <t>E.1.1</t>
        </is>
      </c>
      <c r="E2225" s="48" t="inlineStr">
        <is>
          <t>E</t>
        </is>
      </c>
      <c r="F2225" s="48" t="inlineStr">
        <is>
          <t>T</t>
        </is>
      </c>
      <c r="G2225" s="48" t="inlineStr">
        <is>
          <t>tabular</t>
        </is>
      </c>
      <c r="H2225" s="48" t="n">
        <v>2</v>
      </c>
      <c r="I2225" s="48" t="inlineStr">
        <is>
          <t>Mobile app con travel planner PRM</t>
        </is>
      </c>
      <c r="J2225" s="73" t="n"/>
      <c r="K2225" s="73" t="n"/>
      <c r="L2225" s="73" t="n"/>
      <c r="M2225" s="73" t="n"/>
      <c r="N2225" s="57">
        <f>IF($A2225="","",IF(IFERROR(VALUE($M2225),0)=1,1,0))</f>
        <v/>
      </c>
      <c r="O2225" s="57">
        <f>IF($A2225="",0,IF(OR($S2225&lt;&gt;1,COUNTA($J2225:$M2225)=0),0,IF($N2225=1,$H2225,0)))</f>
        <v/>
      </c>
      <c r="P2225" s="48" t="inlineStr">
        <is>
          <t>sì/no</t>
        </is>
      </c>
      <c r="Q2225" s="57">
        <f>IF($A2225="","",$A2225&amp;"|"&amp;$C2225)</f>
        <v/>
      </c>
      <c r="R2225" s="57">
        <f>IF($A2225="","",$A2225&amp;"|"&amp;$C2225&amp;"|"&amp;$D2225)</f>
        <v/>
      </c>
      <c r="S2225" s="57">
        <f>IF($A2225="","",IFERROR(INDEX(Offerte!$D$2:$D$81,MATCH($Q2225,Offerte!$L$2:$L$81,0)),0))</f>
        <v/>
      </c>
      <c r="T2225" s="57">
        <f>IF($A2225="","",IFERROR(INDEX(Offerte!$G$2:$G$81,MATCH($Q2225,Offerte!$L$2:$L$81,0)),"NO"))</f>
        <v/>
      </c>
    </row>
    <row r="2226">
      <c r="A2226" s="48">
        <f>IF(Offerte!$A73="","",Offerte!$A73)</f>
        <v/>
      </c>
      <c r="B2226" s="48">
        <f>IF(Offerte!$A73="","",Offerte!$B73)</f>
        <v/>
      </c>
      <c r="C2226" s="48">
        <f>IF(Offerte!$A73="","",Offerte!$C73)</f>
        <v/>
      </c>
      <c r="D2226" s="48" t="inlineStr">
        <is>
          <t>E.2.1</t>
        </is>
      </c>
      <c r="E2226" s="48" t="inlineStr">
        <is>
          <t>E</t>
        </is>
      </c>
      <c r="F2226" s="48" t="inlineStr">
        <is>
          <t>D</t>
        </is>
      </c>
      <c r="G2226" s="48" t="inlineStr">
        <is>
          <t>discretionary</t>
        </is>
      </c>
      <c r="H2226" s="48" t="n">
        <v>2</v>
      </c>
      <c r="I2226" s="48" t="inlineStr">
        <is>
          <t>Altre azioni informative e rapporti con gli utenti</t>
        </is>
      </c>
      <c r="J2226" s="73" t="n"/>
      <c r="K2226" s="73" t="n"/>
      <c r="L2226" s="73" t="n"/>
      <c r="M2226" s="73" t="n"/>
      <c r="N2226" s="57">
        <f>IF($A2226="","",MAX(0,MIN(1,IFERROR(VALUE($M2226),0))))</f>
        <v/>
      </c>
      <c r="O2226" s="57">
        <f>IF($A2226="",0,IF(OR($S2226&lt;&gt;1,COUNTA($J2226:$M2226)=0),0,IF(SUMPRODUCT(MAX(($C$5:$C$2484=$C2226)*($D$5:$D$2484=$D2226)*($S$5:$S$2484=1)*IFERROR($N$5:$N$2484*1,0)))&gt;0,ROUND($H2226*($N2226/SUMPRODUCT(MAX(($C$5:$C$2484=$C2226)*($D$5:$D$2484=$D2226)*($S$5:$S$2484=1)*IFERROR($N$5:$N$2484*1,0)))),4),0)))</f>
        <v/>
      </c>
      <c r="P2226" s="48" t="inlineStr">
        <is>
          <t>coeff.</t>
        </is>
      </c>
      <c r="Q2226" s="57">
        <f>IF($A2226="","",$A2226&amp;"|"&amp;$C2226)</f>
        <v/>
      </c>
      <c r="R2226" s="57">
        <f>IF($A2226="","",$A2226&amp;"|"&amp;$C2226&amp;"|"&amp;$D2226)</f>
        <v/>
      </c>
      <c r="S2226" s="57">
        <f>IF($A2226="","",IFERROR(INDEX(Offerte!$D$2:$D$81,MATCH($Q2226,Offerte!$L$2:$L$81,0)),0))</f>
        <v/>
      </c>
      <c r="T2226" s="57">
        <f>IF($A2226="","",IFERROR(INDEX(Offerte!$G$2:$G$81,MATCH($Q2226,Offerte!$L$2:$L$81,0)),"NO"))</f>
        <v/>
      </c>
    </row>
    <row r="2227">
      <c r="A2227" s="48">
        <f>IF(Offerte!$A73="","",Offerte!$A73)</f>
        <v/>
      </c>
      <c r="B2227" s="48">
        <f>IF(Offerte!$A73="","",Offerte!$B73)</f>
        <v/>
      </c>
      <c r="C2227" s="48">
        <f>IF(Offerte!$A73="","",Offerte!$C73)</f>
        <v/>
      </c>
      <c r="D2227" s="48" t="inlineStr">
        <is>
          <t>F.1.1</t>
        </is>
      </c>
      <c r="E2227" s="48" t="inlineStr">
        <is>
          <t>F</t>
        </is>
      </c>
      <c r="F2227" s="48" t="inlineStr">
        <is>
          <t>Q</t>
        </is>
      </c>
      <c r="G2227" s="48" t="inlineStr">
        <is>
          <t>lower</t>
        </is>
      </c>
      <c r="H2227" s="48" t="n">
        <v>7</v>
      </c>
      <c r="I2227" s="48" t="inlineStr">
        <is>
          <t>Performance ambientali del parco mezzi adibito al servizio - I_CEA</t>
        </is>
      </c>
      <c r="J2227" s="73" t="n"/>
      <c r="K2227" s="73" t="n"/>
      <c r="L2227" s="73" t="n"/>
      <c r="M2227" s="73" t="n"/>
      <c r="N2227" s="57">
        <f>IF($A2227="","",IFERROR(VALUE($J2227),0))</f>
        <v/>
      </c>
      <c r="O2227" s="57">
        <f>IF($A2227="",0,IF(OR($S2227&lt;&gt;1,COUNTA($J2227:$M2227)=0),0,IF(AND(IFERROR(AGGREGATE(15,6,$N$5:$N$2484/(($C$5:$C$2484=$C2227)*($D$5:$D$2484=$D2227)*($S$5:$S$2484=1)*($N$5:$N$2484&gt;0)),1),0)&gt;0,$N2227&gt;0),ROUND($H2227*(IFERROR(AGGREGATE(15,6,$N$5:$N$2484/(($C$5:$C$2484=$C2227)*($D$5:$D$2484=$D2227)*($S$5:$S$2484=1)*($N$5:$N$2484&gt;0)),1),0)/$N2227),4),0)))</f>
        <v/>
      </c>
      <c r="P2227" s="48" t="inlineStr">
        <is>
          <t>indice</t>
        </is>
      </c>
      <c r="Q2227" s="57">
        <f>IF($A2227="","",$A2227&amp;"|"&amp;$C2227)</f>
        <v/>
      </c>
      <c r="R2227" s="57">
        <f>IF($A2227="","",$A2227&amp;"|"&amp;$C2227&amp;"|"&amp;$D2227)</f>
        <v/>
      </c>
      <c r="S2227" s="57">
        <f>IF($A2227="","",IFERROR(INDEX(Offerte!$D$2:$D$81,MATCH($Q2227,Offerte!$L$2:$L$81,0)),0))</f>
        <v/>
      </c>
      <c r="T2227" s="57">
        <f>IF($A2227="","",IFERROR(INDEX(Offerte!$G$2:$G$81,MATCH($Q2227,Offerte!$L$2:$L$81,0)),"NO"))</f>
        <v/>
      </c>
    </row>
    <row r="2228">
      <c r="A2228" s="48">
        <f>IF(Offerte!$A73="","",Offerte!$A73)</f>
        <v/>
      </c>
      <c r="B2228" s="48">
        <f>IF(Offerte!$A73="","",Offerte!$B73)</f>
        <v/>
      </c>
      <c r="C2228" s="48">
        <f>IF(Offerte!$A73="","",Offerte!$C73)</f>
        <v/>
      </c>
      <c r="D2228" s="48" t="inlineStr">
        <is>
          <t>F.2.1</t>
        </is>
      </c>
      <c r="E2228" s="48" t="inlineStr">
        <is>
          <t>F</t>
        </is>
      </c>
      <c r="F2228" s="48" t="inlineStr">
        <is>
          <t>Q</t>
        </is>
      </c>
      <c r="G2228" s="48" t="inlineStr">
        <is>
          <t>higher</t>
        </is>
      </c>
      <c r="H2228" s="48" t="n">
        <v>2</v>
      </c>
      <c r="I2228" s="48" t="inlineStr">
        <is>
          <t>Tasso di copertura del servizio con dispositivi ECO-DRIVER</t>
        </is>
      </c>
      <c r="J2228" s="73" t="n"/>
      <c r="K2228" s="73" t="n"/>
      <c r="L2228" s="73" t="n"/>
      <c r="M2228" s="73" t="n"/>
      <c r="N2228" s="57">
        <f>IF($A2228="","",IFERROR(VALUE($K2228)/VALUE($L2228),IFERROR(VALUE($J2228),0)))</f>
        <v/>
      </c>
      <c r="O2228" s="57">
        <f>IF($A2228="",0,IF(OR($S2228&lt;&gt;1,COUNTA($J2228:$M2228)=0),0,IF(SUMPRODUCT(MAX(($C$5:$C$2484=$C2228)*($D$5:$D$2484=$D2228)*($S$5:$S$2484=1)*IFERROR($N$5:$N$2484*1,0)))&gt;0,ROUND($H2228*($N2228/SUMPRODUCT(MAX(($C$5:$C$2484=$C2228)*($D$5:$D$2484=$D2228)*($S$5:$S$2484=1)*IFERROR($N$5:$N$2484*1,0)))),4),0)))</f>
        <v/>
      </c>
      <c r="P2228" s="48" t="inlineStr">
        <is>
          <t>Autobus attrezzati con dispositivi ECO-DRIVER / Autobus totali in offerta, incluse scorte</t>
        </is>
      </c>
      <c r="Q2228" s="57">
        <f>IF($A2228="","",$A2228&amp;"|"&amp;$C2228)</f>
        <v/>
      </c>
      <c r="R2228" s="57">
        <f>IF($A2228="","",$A2228&amp;"|"&amp;$C2228&amp;"|"&amp;$D2228)</f>
        <v/>
      </c>
      <c r="S2228" s="57">
        <f>IF($A2228="","",IFERROR(INDEX(Offerte!$D$2:$D$81,MATCH($Q2228,Offerte!$L$2:$L$81,0)),0))</f>
        <v/>
      </c>
      <c r="T2228" s="57">
        <f>IF($A2228="","",IFERROR(INDEX(Offerte!$G$2:$G$81,MATCH($Q2228,Offerte!$L$2:$L$81,0)),"NO"))</f>
        <v/>
      </c>
    </row>
    <row r="2229">
      <c r="A2229" s="48">
        <f>IF(Offerte!$A73="","",Offerte!$A73)</f>
        <v/>
      </c>
      <c r="B2229" s="48">
        <f>IF(Offerte!$A73="","",Offerte!$B73)</f>
        <v/>
      </c>
      <c r="C2229" s="48">
        <f>IF(Offerte!$A73="","",Offerte!$C73)</f>
        <v/>
      </c>
      <c r="D2229" s="48" t="inlineStr">
        <is>
          <t>F.3.1</t>
        </is>
      </c>
      <c r="E2229" s="48" t="inlineStr">
        <is>
          <t>F</t>
        </is>
      </c>
      <c r="F2229" s="48" t="inlineStr">
        <is>
          <t>Q</t>
        </is>
      </c>
      <c r="G2229" s="48" t="inlineStr">
        <is>
          <t>higher</t>
        </is>
      </c>
      <c r="H2229" s="48" t="n">
        <v>2</v>
      </c>
      <c r="I2229" s="48" t="inlineStr">
        <is>
          <t>Autoproduzione consumi elettrici per trazione</t>
        </is>
      </c>
      <c r="J2229" s="73" t="n"/>
      <c r="K2229" s="73" t="n"/>
      <c r="L2229" s="73" t="n"/>
      <c r="M2229" s="73" t="n"/>
      <c r="N2229" s="57">
        <f>IF($A2229="","",IFERROR(VALUE($J2229),0))</f>
        <v/>
      </c>
      <c r="O2229" s="57">
        <f>IF($A2229="",0,IF(OR($S2229&lt;&gt;1,COUNTA($J2229:$M2229)=0),0,IF(SUMPRODUCT(MAX(($C$5:$C$2484=$C2229)*($D$5:$D$2484=$D2229)*($S$5:$S$2484=1)*IFERROR($N$5:$N$2484*1,0)))&gt;0,ROUND($H2229*($N2229/SUMPRODUCT(MAX(($C$5:$C$2484=$C2229)*($D$5:$D$2484=$D2229)*($S$5:$S$2484=1)*IFERROR($N$5:$N$2484*1,0)))),4),0)))</f>
        <v/>
      </c>
      <c r="P2229" s="48" t="inlineStr">
        <is>
          <t>kWh/anno</t>
        </is>
      </c>
      <c r="Q2229" s="57">
        <f>IF($A2229="","",$A2229&amp;"|"&amp;$C2229)</f>
        <v/>
      </c>
      <c r="R2229" s="57">
        <f>IF($A2229="","",$A2229&amp;"|"&amp;$C2229&amp;"|"&amp;$D2229)</f>
        <v/>
      </c>
      <c r="S2229" s="57">
        <f>IF($A2229="","",IFERROR(INDEX(Offerte!$D$2:$D$81,MATCH($Q2229,Offerte!$L$2:$L$81,0)),0))</f>
        <v/>
      </c>
      <c r="T2229" s="57">
        <f>IF($A2229="","",IFERROR(INDEX(Offerte!$G$2:$G$81,MATCH($Q2229,Offerte!$L$2:$L$81,0)),"NO"))</f>
        <v/>
      </c>
    </row>
    <row r="2230">
      <c r="A2230" s="48">
        <f>IF(Offerte!$A73="","",Offerte!$A73)</f>
        <v/>
      </c>
      <c r="B2230" s="48">
        <f>IF(Offerte!$A73="","",Offerte!$B73)</f>
        <v/>
      </c>
      <c r="C2230" s="48">
        <f>IF(Offerte!$A73="","",Offerte!$C73)</f>
        <v/>
      </c>
      <c r="D2230" s="48" t="inlineStr">
        <is>
          <t>F.4.1</t>
        </is>
      </c>
      <c r="E2230" s="48" t="inlineStr">
        <is>
          <t>F</t>
        </is>
      </c>
      <c r="F2230" s="48" t="inlineStr">
        <is>
          <t>Q</t>
        </is>
      </c>
      <c r="G2230" s="48" t="inlineStr">
        <is>
          <t>soil</t>
        </is>
      </c>
      <c r="H2230" s="48" t="n">
        <v>2</v>
      </c>
      <c r="I2230" s="48" t="inlineStr">
        <is>
          <t>Indice di consumo di suolo</t>
        </is>
      </c>
      <c r="J2230" s="73" t="n"/>
      <c r="K2230" s="73" t="n"/>
      <c r="L2230" s="73" t="n"/>
      <c r="M2230" s="73" t="n"/>
      <c r="N2230" s="57">
        <f>IF($A2230="","",IFERROR(VALUE($J2230),0))</f>
        <v/>
      </c>
      <c r="O2230" s="57">
        <f>IF($A2230="",0,IF(OR($S2230&lt;&gt;1,COUNTA($J2230:$M2230)=0),0,IF($N2230&lt;=0,$H2230,IF(SUMPRODUCT(MAX(($C$5:$C$2484=$C2230)*($D$5:$D$2484=$D2230)*($S$5:$S$2484=1)*IFERROR($N$5:$N$2484*1,0)))&gt;0,ROUND($H2230*((SUMPRODUCT(MAX(($C$5:$C$2484=$C2230)*($D$5:$D$2484=$D2230)*($S$5:$S$2484=1)*IFERROR($N$5:$N$2484*1,0)))-$N2230)/SUMPRODUCT(MAX(($C$5:$C$2484=$C2230)*($D$5:$D$2484=$D2230)*($S$5:$S$2484=1)*IFERROR($N$5:$N$2484*1,0)))),4),0))))</f>
        <v/>
      </c>
      <c r="P2230" s="48" t="inlineStr">
        <is>
          <t>m2</t>
        </is>
      </c>
      <c r="Q2230" s="57">
        <f>IF($A2230="","",$A2230&amp;"|"&amp;$C2230)</f>
        <v/>
      </c>
      <c r="R2230" s="57">
        <f>IF($A2230="","",$A2230&amp;"|"&amp;$C2230&amp;"|"&amp;$D2230)</f>
        <v/>
      </c>
      <c r="S2230" s="57">
        <f>IF($A2230="","",IFERROR(INDEX(Offerte!$D$2:$D$81,MATCH($Q2230,Offerte!$L$2:$L$81,0)),0))</f>
        <v/>
      </c>
      <c r="T2230" s="57">
        <f>IF($A2230="","",IFERROR(INDEX(Offerte!$G$2:$G$81,MATCH($Q2230,Offerte!$L$2:$L$81,0)),"NO"))</f>
        <v/>
      </c>
    </row>
    <row r="2231">
      <c r="A2231" s="48">
        <f>IF(Offerte!$A73="","",Offerte!$A73)</f>
        <v/>
      </c>
      <c r="B2231" s="48">
        <f>IF(Offerte!$A73="","",Offerte!$B73)</f>
        <v/>
      </c>
      <c r="C2231" s="48">
        <f>IF(Offerte!$A73="","",Offerte!$C73)</f>
        <v/>
      </c>
      <c r="D2231" s="48" t="inlineStr">
        <is>
          <t>F.5.1</t>
        </is>
      </c>
      <c r="E2231" s="48" t="inlineStr">
        <is>
          <t>F</t>
        </is>
      </c>
      <c r="F2231" s="48" t="inlineStr">
        <is>
          <t>T</t>
        </is>
      </c>
      <c r="G2231" s="48" t="inlineStr">
        <is>
          <t>tabular</t>
        </is>
      </c>
      <c r="H2231" s="48" t="n">
        <v>1</v>
      </c>
      <c r="I2231" s="48" t="inlineStr">
        <is>
          <t>Rendicontazione di sostenibilità ambientale</t>
        </is>
      </c>
      <c r="J2231" s="73" t="n"/>
      <c r="K2231" s="73" t="n"/>
      <c r="L2231" s="73" t="n"/>
      <c r="M2231" s="73" t="n"/>
      <c r="N2231" s="57">
        <f>IF($A2231="","",IF(IFERROR(VALUE($M2231),0)=1,1,0))</f>
        <v/>
      </c>
      <c r="O2231" s="57">
        <f>IF($A2231="",0,IF(OR($S2231&lt;&gt;1,COUNTA($J2231:$M2231)=0),0,IF($N2231=1,$H2231,0)))</f>
        <v/>
      </c>
      <c r="P2231" s="48" t="inlineStr">
        <is>
          <t>sì/no</t>
        </is>
      </c>
      <c r="Q2231" s="57">
        <f>IF($A2231="","",$A2231&amp;"|"&amp;$C2231)</f>
        <v/>
      </c>
      <c r="R2231" s="57">
        <f>IF($A2231="","",$A2231&amp;"|"&amp;$C2231&amp;"|"&amp;$D2231)</f>
        <v/>
      </c>
      <c r="S2231" s="57">
        <f>IF($A2231="","",IFERROR(INDEX(Offerte!$D$2:$D$81,MATCH($Q2231,Offerte!$L$2:$L$81,0)),0))</f>
        <v/>
      </c>
      <c r="T2231" s="57">
        <f>IF($A2231="","",IFERROR(INDEX(Offerte!$G$2:$G$81,MATCH($Q2231,Offerte!$L$2:$L$81,0)),"NO"))</f>
        <v/>
      </c>
    </row>
    <row r="2232">
      <c r="A2232" s="48">
        <f>IF(Offerte!$A73="","",Offerte!$A73)</f>
        <v/>
      </c>
      <c r="B2232" s="48">
        <f>IF(Offerte!$A73="","",Offerte!$B73)</f>
        <v/>
      </c>
      <c r="C2232" s="48">
        <f>IF(Offerte!$A73="","",Offerte!$C73)</f>
        <v/>
      </c>
      <c r="D2232" s="48" t="inlineStr">
        <is>
          <t>G.1.1</t>
        </is>
      </c>
      <c r="E2232" s="48" t="inlineStr">
        <is>
          <t>G</t>
        </is>
      </c>
      <c r="F2232" s="48" t="inlineStr">
        <is>
          <t>D</t>
        </is>
      </c>
      <c r="G2232" s="48" t="inlineStr">
        <is>
          <t>discretionary</t>
        </is>
      </c>
      <c r="H2232" s="48" t="n">
        <v>2</v>
      </c>
      <c r="I2232" s="48" t="inlineStr">
        <is>
          <t>Qualità del progetto di centrale di controllo aziendale</t>
        </is>
      </c>
      <c r="J2232" s="73" t="n"/>
      <c r="K2232" s="73" t="n"/>
      <c r="L2232" s="73" t="n"/>
      <c r="M2232" s="73" t="n"/>
      <c r="N2232" s="57">
        <f>IF($A2232="","",MAX(0,MIN(1,IFERROR(VALUE($M2232),0))))</f>
        <v/>
      </c>
      <c r="O2232" s="57">
        <f>IF($A2232="",0,IF(OR($S2232&lt;&gt;1,COUNTA($J2232:$M2232)=0),0,IF(SUMPRODUCT(MAX(($C$5:$C$2484=$C2232)*($D$5:$D$2484=$D2232)*($S$5:$S$2484=1)*IFERROR($N$5:$N$2484*1,0)))&gt;0,ROUND($H2232*($N2232/SUMPRODUCT(MAX(($C$5:$C$2484=$C2232)*($D$5:$D$2484=$D2232)*($S$5:$S$2484=1)*IFERROR($N$5:$N$2484*1,0)))),4),0)))</f>
        <v/>
      </c>
      <c r="P2232" s="48" t="inlineStr">
        <is>
          <t>coeff.</t>
        </is>
      </c>
      <c r="Q2232" s="57">
        <f>IF($A2232="","",$A2232&amp;"|"&amp;$C2232)</f>
        <v/>
      </c>
      <c r="R2232" s="57">
        <f>IF($A2232="","",$A2232&amp;"|"&amp;$C2232&amp;"|"&amp;$D2232)</f>
        <v/>
      </c>
      <c r="S2232" s="57">
        <f>IF($A2232="","",IFERROR(INDEX(Offerte!$D$2:$D$81,MATCH($Q2232,Offerte!$L$2:$L$81,0)),0))</f>
        <v/>
      </c>
      <c r="T2232" s="57">
        <f>IF($A2232="","",IFERROR(INDEX(Offerte!$G$2:$G$81,MATCH($Q2232,Offerte!$L$2:$L$81,0)),"NO"))</f>
        <v/>
      </c>
    </row>
    <row r="2233">
      <c r="A2233" s="48">
        <f>IF(Offerte!$A73="","",Offerte!$A73)</f>
        <v/>
      </c>
      <c r="B2233" s="48">
        <f>IF(Offerte!$A73="","",Offerte!$B73)</f>
        <v/>
      </c>
      <c r="C2233" s="48">
        <f>IF(Offerte!$A73="","",Offerte!$C73)</f>
        <v/>
      </c>
      <c r="D2233" s="48" t="inlineStr">
        <is>
          <t>G.2.1</t>
        </is>
      </c>
      <c r="E2233" s="48" t="inlineStr">
        <is>
          <t>G</t>
        </is>
      </c>
      <c r="F2233" s="48" t="inlineStr">
        <is>
          <t>T</t>
        </is>
      </c>
      <c r="G2233" s="48" t="inlineStr">
        <is>
          <t>tabular</t>
        </is>
      </c>
      <c r="H2233" s="48" t="n">
        <v>1</v>
      </c>
      <c r="I2233" s="48" t="inlineStr">
        <is>
          <t>Certificazione ISO 45001</t>
        </is>
      </c>
      <c r="J2233" s="73" t="n"/>
      <c r="K2233" s="73" t="n"/>
      <c r="L2233" s="73" t="n"/>
      <c r="M2233" s="73" t="n"/>
      <c r="N2233" s="57">
        <f>IF($A2233="","",IF(IFERROR(VALUE($M2233),0)=1,1,0))</f>
        <v/>
      </c>
      <c r="O2233" s="57">
        <f>IF($A2233="",0,IF(OR($S2233&lt;&gt;1,COUNTA($J2233:$M2233)=0),0,IF($N2233=1,$H2233,0)))</f>
        <v/>
      </c>
      <c r="P2233" s="48" t="inlineStr">
        <is>
          <t>sì/no</t>
        </is>
      </c>
      <c r="Q2233" s="57">
        <f>IF($A2233="","",$A2233&amp;"|"&amp;$C2233)</f>
        <v/>
      </c>
      <c r="R2233" s="57">
        <f>IF($A2233="","",$A2233&amp;"|"&amp;$C2233&amp;"|"&amp;$D2233)</f>
        <v/>
      </c>
      <c r="S2233" s="57">
        <f>IF($A2233="","",IFERROR(INDEX(Offerte!$D$2:$D$81,MATCH($Q2233,Offerte!$L$2:$L$81,0)),0))</f>
        <v/>
      </c>
      <c r="T2233" s="57">
        <f>IF($A2233="","",IFERROR(INDEX(Offerte!$G$2:$G$81,MATCH($Q2233,Offerte!$L$2:$L$81,0)),"NO"))</f>
        <v/>
      </c>
    </row>
    <row r="2234">
      <c r="A2234" s="48">
        <f>IF(Offerte!$A73="","",Offerte!$A73)</f>
        <v/>
      </c>
      <c r="B2234" s="48">
        <f>IF(Offerte!$A73="","",Offerte!$B73)</f>
        <v/>
      </c>
      <c r="C2234" s="48">
        <f>IF(Offerte!$A73="","",Offerte!$C73)</f>
        <v/>
      </c>
      <c r="D2234" s="48" t="inlineStr">
        <is>
          <t>G.3.1</t>
        </is>
      </c>
      <c r="E2234" s="48" t="inlineStr">
        <is>
          <t>G</t>
        </is>
      </c>
      <c r="F2234" s="48" t="inlineStr">
        <is>
          <t>T</t>
        </is>
      </c>
      <c r="G2234" s="48" t="inlineStr">
        <is>
          <t>tabular</t>
        </is>
      </c>
      <c r="H2234" s="48" t="n">
        <v>1</v>
      </c>
      <c r="I2234" s="48" t="inlineStr">
        <is>
          <t>Certificazioni di responsabilità sociale</t>
        </is>
      </c>
      <c r="J2234" s="73" t="n"/>
      <c r="K2234" s="73" t="n"/>
      <c r="L2234" s="73" t="n"/>
      <c r="M2234" s="73" t="n"/>
      <c r="N2234" s="57">
        <f>IF($A2234="","",IF(IFERROR(VALUE($M2234),0)=1,1,0))</f>
        <v/>
      </c>
      <c r="O2234" s="57">
        <f>IF($A2234="",0,IF(OR($S2234&lt;&gt;1,COUNTA($J2234:$M2234)=0),0,IF($N2234=1,$H2234,0)))</f>
        <v/>
      </c>
      <c r="P2234" s="48" t="inlineStr">
        <is>
          <t>sì/no</t>
        </is>
      </c>
      <c r="Q2234" s="57">
        <f>IF($A2234="","",$A2234&amp;"|"&amp;$C2234)</f>
        <v/>
      </c>
      <c r="R2234" s="57">
        <f>IF($A2234="","",$A2234&amp;"|"&amp;$C2234&amp;"|"&amp;$D2234)</f>
        <v/>
      </c>
      <c r="S2234" s="57">
        <f>IF($A2234="","",IFERROR(INDEX(Offerte!$D$2:$D$81,MATCH($Q2234,Offerte!$L$2:$L$81,0)),0))</f>
        <v/>
      </c>
      <c r="T2234" s="57">
        <f>IF($A2234="","",IFERROR(INDEX(Offerte!$G$2:$G$81,MATCH($Q2234,Offerte!$L$2:$L$81,0)),"NO"))</f>
        <v/>
      </c>
    </row>
    <row r="2235">
      <c r="A2235" s="48">
        <f>IF(Offerte!$A73="","",Offerte!$A73)</f>
        <v/>
      </c>
      <c r="B2235" s="48">
        <f>IF(Offerte!$A73="","",Offerte!$B73)</f>
        <v/>
      </c>
      <c r="C2235" s="48">
        <f>IF(Offerte!$A73="","",Offerte!$C73)</f>
        <v/>
      </c>
      <c r="D2235" s="48" t="inlineStr">
        <is>
          <t>G.4.1</t>
        </is>
      </c>
      <c r="E2235" s="48" t="inlineStr">
        <is>
          <t>G</t>
        </is>
      </c>
      <c r="F2235" s="48" t="inlineStr">
        <is>
          <t>D</t>
        </is>
      </c>
      <c r="G2235" s="48" t="inlineStr">
        <is>
          <t>discretionary</t>
        </is>
      </c>
      <c r="H2235" s="48" t="n">
        <v>2</v>
      </c>
      <c r="I2235" s="48" t="inlineStr">
        <is>
          <t>Qualità del piano di formazione del personale</t>
        </is>
      </c>
      <c r="J2235" s="73" t="n"/>
      <c r="K2235" s="73" t="n"/>
      <c r="L2235" s="73" t="n"/>
      <c r="M2235" s="73" t="n"/>
      <c r="N2235" s="57">
        <f>IF($A2235="","",MAX(0,MIN(1,IFERROR(VALUE($M2235),0))))</f>
        <v/>
      </c>
      <c r="O2235" s="57">
        <f>IF($A2235="",0,IF(OR($S2235&lt;&gt;1,COUNTA($J2235:$M2235)=0),0,IF(SUMPRODUCT(MAX(($C$5:$C$2484=$C2235)*($D$5:$D$2484=$D2235)*($S$5:$S$2484=1)*IFERROR($N$5:$N$2484*1,0)))&gt;0,ROUND($H2235*($N2235/SUMPRODUCT(MAX(($C$5:$C$2484=$C2235)*($D$5:$D$2484=$D2235)*($S$5:$S$2484=1)*IFERROR($N$5:$N$2484*1,0)))),4),0)))</f>
        <v/>
      </c>
      <c r="P2235" s="48" t="inlineStr">
        <is>
          <t>coeff.</t>
        </is>
      </c>
      <c r="Q2235" s="57">
        <f>IF($A2235="","",$A2235&amp;"|"&amp;$C2235)</f>
        <v/>
      </c>
      <c r="R2235" s="57">
        <f>IF($A2235="","",$A2235&amp;"|"&amp;$C2235&amp;"|"&amp;$D2235)</f>
        <v/>
      </c>
      <c r="S2235" s="57">
        <f>IF($A2235="","",IFERROR(INDEX(Offerte!$D$2:$D$81,MATCH($Q2235,Offerte!$L$2:$L$81,0)),0))</f>
        <v/>
      </c>
      <c r="T2235" s="57">
        <f>IF($A2235="","",IFERROR(INDEX(Offerte!$G$2:$G$81,MATCH($Q2235,Offerte!$L$2:$L$81,0)),"NO"))</f>
        <v/>
      </c>
    </row>
    <row r="2236">
      <c r="A2236" s="48">
        <f>IF(Offerte!$A73="","",Offerte!$A73)</f>
        <v/>
      </c>
      <c r="B2236" s="48">
        <f>IF(Offerte!$A73="","",Offerte!$B73)</f>
        <v/>
      </c>
      <c r="C2236" s="48">
        <f>IF(Offerte!$A73="","",Offerte!$C73)</f>
        <v/>
      </c>
      <c r="D2236" s="48" t="inlineStr">
        <is>
          <t>G.5.1</t>
        </is>
      </c>
      <c r="E2236" s="48" t="inlineStr">
        <is>
          <t>G</t>
        </is>
      </c>
      <c r="F2236" s="48" t="inlineStr">
        <is>
          <t>T</t>
        </is>
      </c>
      <c r="G2236" s="48" t="inlineStr">
        <is>
          <t>tabular</t>
        </is>
      </c>
      <c r="H2236" s="48" t="n">
        <v>1</v>
      </c>
      <c r="I2236" s="48" t="inlineStr">
        <is>
          <t>Impegno al mantenimento delle garanzie del contratto di secondo livello del gestore uscente</t>
        </is>
      </c>
      <c r="J2236" s="73" t="n"/>
      <c r="K2236" s="73" t="n"/>
      <c r="L2236" s="73" t="n"/>
      <c r="M2236" s="73" t="n"/>
      <c r="N2236" s="57">
        <f>IF($A2236="","",IF(IFERROR(VALUE($M2236),0)=1,1,0))</f>
        <v/>
      </c>
      <c r="O2236" s="57">
        <f>IF($A2236="",0,IF(OR($S2236&lt;&gt;1,COUNTA($J2236:$M2236)=0),0,IF($N2236=1,$H2236,0)))</f>
        <v/>
      </c>
      <c r="P2236" s="48" t="inlineStr">
        <is>
          <t>sì/no</t>
        </is>
      </c>
      <c r="Q2236" s="57">
        <f>IF($A2236="","",$A2236&amp;"|"&amp;$C2236)</f>
        <v/>
      </c>
      <c r="R2236" s="57">
        <f>IF($A2236="","",$A2236&amp;"|"&amp;$C2236&amp;"|"&amp;$D2236)</f>
        <v/>
      </c>
      <c r="S2236" s="57">
        <f>IF($A2236="","",IFERROR(INDEX(Offerte!$D$2:$D$81,MATCH($Q2236,Offerte!$L$2:$L$81,0)),0))</f>
        <v/>
      </c>
      <c r="T2236" s="57">
        <f>IF($A2236="","",IFERROR(INDEX(Offerte!$G$2:$G$81,MATCH($Q2236,Offerte!$L$2:$L$81,0)),"NO"))</f>
        <v/>
      </c>
    </row>
    <row r="2237">
      <c r="A2237" s="48">
        <f>IF(Offerte!$A74="","",Offerte!$A74)</f>
        <v/>
      </c>
      <c r="B2237" s="48">
        <f>IF(Offerte!$A74="","",Offerte!$B74)</f>
        <v/>
      </c>
      <c r="C2237" s="48">
        <f>IF(Offerte!$A74="","",Offerte!$C74)</f>
        <v/>
      </c>
      <c r="D2237" s="48" t="inlineStr">
        <is>
          <t>A.1.1</t>
        </is>
      </c>
      <c r="E2237" s="48" t="inlineStr">
        <is>
          <t>A</t>
        </is>
      </c>
      <c r="F2237" s="48" t="inlineStr">
        <is>
          <t>Q</t>
        </is>
      </c>
      <c r="G2237" s="48" t="inlineStr">
        <is>
          <t>higher</t>
        </is>
      </c>
      <c r="H2237" s="48" t="n">
        <v>3</v>
      </c>
      <c r="I2237" s="48" t="inlineStr">
        <is>
          <t>Tasso aggiuntivo di corse controllate</t>
        </is>
      </c>
      <c r="J2237" s="73" t="n"/>
      <c r="K2237" s="73" t="n"/>
      <c r="L2237" s="73" t="n"/>
      <c r="M2237" s="73" t="n"/>
      <c r="N2237" s="57">
        <f>IF($A2237="","",IFERROR(VALUE($K2237)/VALUE($L2237)*100,IFERROR(VALUE($J2237),0)))</f>
        <v/>
      </c>
      <c r="O2237" s="57">
        <f>IF($A2237="",0,IF(OR($S2237&lt;&gt;1,COUNTA($J2237:$M2237)=0),0,IF(SUMPRODUCT(MAX(($C$5:$C$2484=$C2237)*($D$5:$D$2484=$D2237)*($S$5:$S$2484=1)*IFERROR($N$5:$N$2484*1,0)))&gt;0,ROUND($H2237*($N2237/SUMPRODUCT(MAX(($C$5:$C$2484=$C2237)*($D$5:$D$2484=$D2237)*($S$5:$S$2484=1)*IFERROR($N$5:$N$2484*1,0)))),4),0)))</f>
        <v/>
      </c>
      <c r="P2237" s="48" t="inlineStr">
        <is>
          <t>Corse controllate annue / Corse programmate annue</t>
        </is>
      </c>
      <c r="Q2237" s="57">
        <f>IF($A2237="","",$A2237&amp;"|"&amp;$C2237)</f>
        <v/>
      </c>
      <c r="R2237" s="57">
        <f>IF($A2237="","",$A2237&amp;"|"&amp;$C2237&amp;"|"&amp;$D2237)</f>
        <v/>
      </c>
      <c r="S2237" s="57">
        <f>IF($A2237="","",IFERROR(INDEX(Offerte!$D$2:$D$81,MATCH($Q2237,Offerte!$L$2:$L$81,0)),0))</f>
        <v/>
      </c>
      <c r="T2237" s="57">
        <f>IF($A2237="","",IFERROR(INDEX(Offerte!$G$2:$G$81,MATCH($Q2237,Offerte!$L$2:$L$81,0)),"NO"))</f>
        <v/>
      </c>
    </row>
    <row r="2238">
      <c r="A2238" s="48">
        <f>IF(Offerte!$A74="","",Offerte!$A74)</f>
        <v/>
      </c>
      <c r="B2238" s="48">
        <f>IF(Offerte!$A74="","",Offerte!$B74)</f>
        <v/>
      </c>
      <c r="C2238" s="48">
        <f>IF(Offerte!$A74="","",Offerte!$C74)</f>
        <v/>
      </c>
      <c r="D2238" s="48" t="inlineStr">
        <is>
          <t>A.1.2</t>
        </is>
      </c>
      <c r="E2238" s="48" t="inlineStr">
        <is>
          <t>A</t>
        </is>
      </c>
      <c r="F2238" s="48" t="inlineStr">
        <is>
          <t>Q</t>
        </is>
      </c>
      <c r="G2238" s="48" t="inlineStr">
        <is>
          <t>higher</t>
        </is>
      </c>
      <c r="H2238" s="48" t="n">
        <v>4</v>
      </c>
      <c r="I2238" s="48" t="inlineStr">
        <is>
          <t>Numero aggiuntivo di passeggeri controllati</t>
        </is>
      </c>
      <c r="J2238" s="73" t="n"/>
      <c r="K2238" s="73" t="n"/>
      <c r="L2238" s="73" t="n"/>
      <c r="M2238" s="73" t="n"/>
      <c r="N2238" s="57">
        <f>IF($A2238="","",IFERROR(VALUE($J2238),0))</f>
        <v/>
      </c>
      <c r="O2238" s="57">
        <f>IF($A2238="",0,IF(OR($S2238&lt;&gt;1,COUNTA($J2238:$M2238)=0),0,IF(SUMPRODUCT(MAX(($C$5:$C$2484=$C2238)*($D$5:$D$2484=$D2238)*($S$5:$S$2484=1)*IFERROR($N$5:$N$2484*1,0)))&gt;0,ROUND($H2238*($N2238/SUMPRODUCT(MAX(($C$5:$C$2484=$C2238)*($D$5:$D$2484=$D2238)*($S$5:$S$2484=1)*IFERROR($N$5:$N$2484*1,0)))),4),0)))</f>
        <v/>
      </c>
      <c r="P2238" s="48" t="inlineStr">
        <is>
          <t>passeggeri/anno</t>
        </is>
      </c>
      <c r="Q2238" s="57">
        <f>IF($A2238="","",$A2238&amp;"|"&amp;$C2238)</f>
        <v/>
      </c>
      <c r="R2238" s="57">
        <f>IF($A2238="","",$A2238&amp;"|"&amp;$C2238&amp;"|"&amp;$D2238)</f>
        <v/>
      </c>
      <c r="S2238" s="57">
        <f>IF($A2238="","",IFERROR(INDEX(Offerte!$D$2:$D$81,MATCH($Q2238,Offerte!$L$2:$L$81,0)),0))</f>
        <v/>
      </c>
      <c r="T2238" s="57">
        <f>IF($A2238="","",IFERROR(INDEX(Offerte!$G$2:$G$81,MATCH($Q2238,Offerte!$L$2:$L$81,0)),"NO"))</f>
        <v/>
      </c>
    </row>
    <row r="2239">
      <c r="A2239" s="48">
        <f>IF(Offerte!$A74="","",Offerte!$A74)</f>
        <v/>
      </c>
      <c r="B2239" s="48">
        <f>IF(Offerte!$A74="","",Offerte!$B74)</f>
        <v/>
      </c>
      <c r="C2239" s="48">
        <f>IF(Offerte!$A74="","",Offerte!$C74)</f>
        <v/>
      </c>
      <c r="D2239" s="48" t="inlineStr">
        <is>
          <t>B.1.1</t>
        </is>
      </c>
      <c r="E2239" s="48" t="inlineStr">
        <is>
          <t>B</t>
        </is>
      </c>
      <c r="F2239" s="48" t="inlineStr">
        <is>
          <t>Q</t>
        </is>
      </c>
      <c r="G2239" s="48" t="inlineStr">
        <is>
          <t>higher</t>
        </is>
      </c>
      <c r="H2239" s="48" t="n">
        <v>3</v>
      </c>
      <c r="I2239" s="48" t="inlineStr">
        <is>
          <t>Incremento dei posti offerti nelle fasce di punta</t>
        </is>
      </c>
      <c r="J2239" s="73" t="n"/>
      <c r="K2239" s="73" t="n"/>
      <c r="L2239" s="73" t="n"/>
      <c r="M2239" s="73" t="n"/>
      <c r="N2239" s="57">
        <f>IF($A2239="","",IFERROR(VALUE($J2239),0))</f>
        <v/>
      </c>
      <c r="O2239" s="57">
        <f>IF($A2239="",0,IF(OR($S2239&lt;&gt;1,COUNTA($J2239:$M2239)=0),0,IF(SUMPRODUCT(MAX(($C$5:$C$2484=$C2239)*($D$5:$D$2484=$D2239)*($S$5:$S$2484=1)*IFERROR($N$5:$N$2484*1,0)))&gt;0,ROUND($H2239*($N2239/SUMPRODUCT(MAX(($C$5:$C$2484=$C2239)*($D$5:$D$2484=$D2239)*($S$5:$S$2484=1)*IFERROR($N$5:$N$2484*1,0)))),4),0)))</f>
        <v/>
      </c>
      <c r="P2239" s="48" t="inlineStr">
        <is>
          <t>posti*km</t>
        </is>
      </c>
      <c r="Q2239" s="57">
        <f>IF($A2239="","",$A2239&amp;"|"&amp;$C2239)</f>
        <v/>
      </c>
      <c r="R2239" s="57">
        <f>IF($A2239="","",$A2239&amp;"|"&amp;$C2239&amp;"|"&amp;$D2239)</f>
        <v/>
      </c>
      <c r="S2239" s="57">
        <f>IF($A2239="","",IFERROR(INDEX(Offerte!$D$2:$D$81,MATCH($Q2239,Offerte!$L$2:$L$81,0)),0))</f>
        <v/>
      </c>
      <c r="T2239" s="57">
        <f>IF($A2239="","",IFERROR(INDEX(Offerte!$G$2:$G$81,MATCH($Q2239,Offerte!$L$2:$L$81,0)),"NO"))</f>
        <v/>
      </c>
    </row>
    <row r="2240">
      <c r="A2240" s="48">
        <f>IF(Offerte!$A74="","",Offerte!$A74)</f>
        <v/>
      </c>
      <c r="B2240" s="48">
        <f>IF(Offerte!$A74="","",Offerte!$B74)</f>
        <v/>
      </c>
      <c r="C2240" s="48">
        <f>IF(Offerte!$A74="","",Offerte!$C74)</f>
        <v/>
      </c>
      <c r="D2240" s="48" t="inlineStr">
        <is>
          <t>B.2.1</t>
        </is>
      </c>
      <c r="E2240" s="48" t="inlineStr">
        <is>
          <t>B</t>
        </is>
      </c>
      <c r="F2240" s="48" t="inlineStr">
        <is>
          <t>Q</t>
        </is>
      </c>
      <c r="G2240" s="48" t="inlineStr">
        <is>
          <t>higher</t>
        </is>
      </c>
      <c r="H2240" s="48" t="n">
        <v>4</v>
      </c>
      <c r="I2240" s="48" t="inlineStr">
        <is>
          <t>Corse aggiuntive nell'arco giornaliero base</t>
        </is>
      </c>
      <c r="J2240" s="73" t="n"/>
      <c r="K2240" s="73" t="n"/>
      <c r="L2240" s="73" t="n"/>
      <c r="M2240" s="73" t="n"/>
      <c r="N2240" s="57">
        <f>IF($A2240="","",IFERROR(VALUE($J2240),0))</f>
        <v/>
      </c>
      <c r="O2240" s="57">
        <f>IF($A2240="",0,IF(OR($S2240&lt;&gt;1,COUNTA($J2240:$M2240)=0),0,IF(SUMPRODUCT(MAX(($C$5:$C$2484=$C2240)*($D$5:$D$2484=$D2240)*($S$5:$S$2484=1)*IFERROR($N$5:$N$2484*1,0)))&gt;0,ROUND($H2240*($N2240/SUMPRODUCT(MAX(($C$5:$C$2484=$C2240)*($D$5:$D$2484=$D2240)*($S$5:$S$2484=1)*IFERROR($N$5:$N$2484*1,0)))),4),0)))</f>
        <v/>
      </c>
      <c r="P2240" s="48" t="inlineStr">
        <is>
          <t>corse</t>
        </is>
      </c>
      <c r="Q2240" s="57">
        <f>IF($A2240="","",$A2240&amp;"|"&amp;$C2240)</f>
        <v/>
      </c>
      <c r="R2240" s="57">
        <f>IF($A2240="","",$A2240&amp;"|"&amp;$C2240&amp;"|"&amp;$D2240)</f>
        <v/>
      </c>
      <c r="S2240" s="57">
        <f>IF($A2240="","",IFERROR(INDEX(Offerte!$D$2:$D$81,MATCH($Q2240,Offerte!$L$2:$L$81,0)),0))</f>
        <v/>
      </c>
      <c r="T2240" s="57">
        <f>IF($A2240="","",IFERROR(INDEX(Offerte!$G$2:$G$81,MATCH($Q2240,Offerte!$L$2:$L$81,0)),"NO"))</f>
        <v/>
      </c>
    </row>
    <row r="2241">
      <c r="A2241" s="48">
        <f>IF(Offerte!$A74="","",Offerte!$A74)</f>
        <v/>
      </c>
      <c r="B2241" s="48">
        <f>IF(Offerte!$A74="","",Offerte!$B74)</f>
        <v/>
      </c>
      <c r="C2241" s="48">
        <f>IF(Offerte!$A74="","",Offerte!$C74)</f>
        <v/>
      </c>
      <c r="D2241" s="48" t="inlineStr">
        <is>
          <t>B.3.1</t>
        </is>
      </c>
      <c r="E2241" s="48" t="inlineStr">
        <is>
          <t>B</t>
        </is>
      </c>
      <c r="F2241" s="48" t="inlineStr">
        <is>
          <t>Q</t>
        </is>
      </c>
      <c r="G2241" s="48" t="inlineStr">
        <is>
          <t>higher</t>
        </is>
      </c>
      <c r="H2241" s="48" t="n">
        <v>2</v>
      </c>
      <c r="I2241" s="48" t="inlineStr">
        <is>
          <t>Numero di corse aggiuntive per allungamento dell'arco di servizio giornaliero nelle fasce serali</t>
        </is>
      </c>
      <c r="J2241" s="73" t="n"/>
      <c r="K2241" s="73" t="n"/>
      <c r="L2241" s="73" t="n"/>
      <c r="M2241" s="73" t="n"/>
      <c r="N2241" s="57">
        <f>IF($A2241="","",IFERROR(VALUE($J2241),0))</f>
        <v/>
      </c>
      <c r="O2241" s="57">
        <f>IF($A2241="",0,IF(OR($S2241&lt;&gt;1,COUNTA($J2241:$M2241)=0),0,IF(SUMPRODUCT(MAX(($C$5:$C$2484=$C2241)*($D$5:$D$2484=$D2241)*($S$5:$S$2484=1)*IFERROR($N$5:$N$2484*1,0)))&gt;0,ROUND($H2241*($N2241/SUMPRODUCT(MAX(($C$5:$C$2484=$C2241)*($D$5:$D$2484=$D2241)*($S$5:$S$2484=1)*IFERROR($N$5:$N$2484*1,0)))),4),0)))</f>
        <v/>
      </c>
      <c r="P2241" s="48" t="inlineStr">
        <is>
          <t>corse</t>
        </is>
      </c>
      <c r="Q2241" s="57">
        <f>IF($A2241="","",$A2241&amp;"|"&amp;$C2241)</f>
        <v/>
      </c>
      <c r="R2241" s="57">
        <f>IF($A2241="","",$A2241&amp;"|"&amp;$C2241&amp;"|"&amp;$D2241)</f>
        <v/>
      </c>
      <c r="S2241" s="57">
        <f>IF($A2241="","",IFERROR(INDEX(Offerte!$D$2:$D$81,MATCH($Q2241,Offerte!$L$2:$L$81,0)),0))</f>
        <v/>
      </c>
      <c r="T2241" s="57">
        <f>IF($A2241="","",IFERROR(INDEX(Offerte!$G$2:$G$81,MATCH($Q2241,Offerte!$L$2:$L$81,0)),"NO"))</f>
        <v/>
      </c>
    </row>
    <row r="2242">
      <c r="A2242" s="48">
        <f>IF(Offerte!$A74="","",Offerte!$A74)</f>
        <v/>
      </c>
      <c r="B2242" s="48">
        <f>IF(Offerte!$A74="","",Offerte!$B74)</f>
        <v/>
      </c>
      <c r="C2242" s="48">
        <f>IF(Offerte!$A74="","",Offerte!$C74)</f>
        <v/>
      </c>
      <c r="D2242" s="48" t="inlineStr">
        <is>
          <t>B.4.1</t>
        </is>
      </c>
      <c r="E2242" s="48" t="inlineStr">
        <is>
          <t>B</t>
        </is>
      </c>
      <c r="F2242" s="48" t="inlineStr">
        <is>
          <t>Q</t>
        </is>
      </c>
      <c r="G2242" s="48" t="inlineStr">
        <is>
          <t>higher</t>
        </is>
      </c>
      <c r="H2242" s="48" t="n">
        <v>3</v>
      </c>
      <c r="I2242" s="48" t="inlineStr">
        <is>
          <t>Percorrenze aggiuntive offerte nel Programma d'esercizio delle prime due fasi attuative</t>
        </is>
      </c>
      <c r="J2242" s="73" t="n"/>
      <c r="K2242" s="73" t="n"/>
      <c r="L2242" s="73" t="n"/>
      <c r="M2242" s="73" t="n"/>
      <c r="N2242" s="57">
        <f>IF($A2242="","",IFERROR(VALUE($J2242),0))</f>
        <v/>
      </c>
      <c r="O2242" s="57">
        <f>IF($A2242="",0,IF(OR($S2242&lt;&gt;1,COUNTA($J2242:$M2242)=0),0,IF(SUMPRODUCT(MAX(($C$5:$C$2484=$C2242)*($D$5:$D$2484=$D2242)*($S$5:$S$2484=1)*IFERROR($N$5:$N$2484*1,0)))&gt;0,ROUND($H2242*($N2242/SUMPRODUCT(MAX(($C$5:$C$2484=$C2242)*($D$5:$D$2484=$D2242)*($S$5:$S$2484=1)*IFERROR($N$5:$N$2484*1,0)))),4),0)))</f>
        <v/>
      </c>
      <c r="P2242" s="48" t="inlineStr">
        <is>
          <t>vett*km</t>
        </is>
      </c>
      <c r="Q2242" s="57">
        <f>IF($A2242="","",$A2242&amp;"|"&amp;$C2242)</f>
        <v/>
      </c>
      <c r="R2242" s="57">
        <f>IF($A2242="","",$A2242&amp;"|"&amp;$C2242&amp;"|"&amp;$D2242)</f>
        <v/>
      </c>
      <c r="S2242" s="57">
        <f>IF($A2242="","",IFERROR(INDEX(Offerte!$D$2:$D$81,MATCH($Q2242,Offerte!$L$2:$L$81,0)),0))</f>
        <v/>
      </c>
      <c r="T2242" s="57">
        <f>IF($A2242="","",IFERROR(INDEX(Offerte!$G$2:$G$81,MATCH($Q2242,Offerte!$L$2:$L$81,0)),"NO"))</f>
        <v/>
      </c>
    </row>
    <row r="2243">
      <c r="A2243" s="48">
        <f>IF(Offerte!$A74="","",Offerte!$A74)</f>
        <v/>
      </c>
      <c r="B2243" s="48">
        <f>IF(Offerte!$A74="","",Offerte!$B74)</f>
        <v/>
      </c>
      <c r="C2243" s="48">
        <f>IF(Offerte!$A74="","",Offerte!$C74)</f>
        <v/>
      </c>
      <c r="D2243" s="48" t="inlineStr">
        <is>
          <t>B.5.1</t>
        </is>
      </c>
      <c r="E2243" s="48" t="inlineStr">
        <is>
          <t>B</t>
        </is>
      </c>
      <c r="F2243" s="48" t="inlineStr">
        <is>
          <t>D</t>
        </is>
      </c>
      <c r="G2243" s="48" t="inlineStr">
        <is>
          <t>discretionary</t>
        </is>
      </c>
      <c r="H2243" s="48" t="n">
        <v>2</v>
      </c>
      <c r="I2243" s="48" t="inlineStr">
        <is>
          <t>Efficacia del progetto di servizi complementari DRT</t>
        </is>
      </c>
      <c r="J2243" s="73" t="n"/>
      <c r="K2243" s="73" t="n"/>
      <c r="L2243" s="73" t="n"/>
      <c r="M2243" s="73" t="n"/>
      <c r="N2243" s="57">
        <f>IF($A2243="","",MAX(0,MIN(1,IFERROR(VALUE($M2243),0))))</f>
        <v/>
      </c>
      <c r="O2243" s="57">
        <f>IF($A2243="",0,IF(OR($S2243&lt;&gt;1,COUNTA($J2243:$M2243)=0),0,IF(SUMPRODUCT(MAX(($C$5:$C$2484=$C2243)*($D$5:$D$2484=$D2243)*($S$5:$S$2484=1)*IFERROR($N$5:$N$2484*1,0)))&gt;0,ROUND($H2243*($N2243/SUMPRODUCT(MAX(($C$5:$C$2484=$C2243)*($D$5:$D$2484=$D2243)*($S$5:$S$2484=1)*IFERROR($N$5:$N$2484*1,0)))),4),0)))</f>
        <v/>
      </c>
      <c r="P2243" s="48" t="inlineStr">
        <is>
          <t>coeff.</t>
        </is>
      </c>
      <c r="Q2243" s="57">
        <f>IF($A2243="","",$A2243&amp;"|"&amp;$C2243)</f>
        <v/>
      </c>
      <c r="R2243" s="57">
        <f>IF($A2243="","",$A2243&amp;"|"&amp;$C2243&amp;"|"&amp;$D2243)</f>
        <v/>
      </c>
      <c r="S2243" s="57">
        <f>IF($A2243="","",IFERROR(INDEX(Offerte!$D$2:$D$81,MATCH($Q2243,Offerte!$L$2:$L$81,0)),0))</f>
        <v/>
      </c>
      <c r="T2243" s="57">
        <f>IF($A2243="","",IFERROR(INDEX(Offerte!$G$2:$G$81,MATCH($Q2243,Offerte!$L$2:$L$81,0)),"NO"))</f>
        <v/>
      </c>
    </row>
    <row r="2244">
      <c r="A2244" s="48">
        <f>IF(Offerte!$A74="","",Offerte!$A74)</f>
        <v/>
      </c>
      <c r="B2244" s="48">
        <f>IF(Offerte!$A74="","",Offerte!$B74)</f>
        <v/>
      </c>
      <c r="C2244" s="48">
        <f>IF(Offerte!$A74="","",Offerte!$C74)</f>
        <v/>
      </c>
      <c r="D2244" s="48" t="inlineStr">
        <is>
          <t>C.1.1</t>
        </is>
      </c>
      <c r="E2244" s="48" t="inlineStr">
        <is>
          <t>C</t>
        </is>
      </c>
      <c r="F2244" s="48" t="inlineStr">
        <is>
          <t>Q</t>
        </is>
      </c>
      <c r="G2244" s="48" t="inlineStr">
        <is>
          <t>higher</t>
        </is>
      </c>
      <c r="H2244" s="48" t="n">
        <v>2</v>
      </c>
      <c r="I2244" s="48" t="inlineStr">
        <is>
          <t>Tasso di copertura del servizio con telecamere BSD</t>
        </is>
      </c>
      <c r="J2244" s="73" t="n"/>
      <c r="K2244" s="73" t="n"/>
      <c r="L2244" s="73" t="n"/>
      <c r="M2244" s="73" t="n"/>
      <c r="N2244" s="57">
        <f>IF($A2244="","",IFERROR(VALUE($K2244)/VALUE($L2244),IFERROR(VALUE($J2244),0)))</f>
        <v/>
      </c>
      <c r="O2244" s="57">
        <f>IF($A2244="",0,IF(OR($S2244&lt;&gt;1,COUNTA($J2244:$M2244)=0),0,IF(SUMPRODUCT(MAX(($C$5:$C$2484=$C2244)*($D$5:$D$2484=$D2244)*($S$5:$S$2484=1)*IFERROR($N$5:$N$2484*1,0)))&gt;0,ROUND($H2244*($N2244/SUMPRODUCT(MAX(($C$5:$C$2484=$C2244)*($D$5:$D$2484=$D2244)*($S$5:$S$2484=1)*IFERROR($N$5:$N$2484*1,0)))),4),0)))</f>
        <v/>
      </c>
      <c r="P2244" s="48" t="inlineStr">
        <is>
          <t>Autobus attrezzati con telecamere BSD / Autobus totali in offerta, incluse scorte</t>
        </is>
      </c>
      <c r="Q2244" s="57">
        <f>IF($A2244="","",$A2244&amp;"|"&amp;$C2244)</f>
        <v/>
      </c>
      <c r="R2244" s="57">
        <f>IF($A2244="","",$A2244&amp;"|"&amp;$C2244&amp;"|"&amp;$D2244)</f>
        <v/>
      </c>
      <c r="S2244" s="57">
        <f>IF($A2244="","",IFERROR(INDEX(Offerte!$D$2:$D$81,MATCH($Q2244,Offerte!$L$2:$L$81,0)),0))</f>
        <v/>
      </c>
      <c r="T2244" s="57">
        <f>IF($A2244="","",IFERROR(INDEX(Offerte!$G$2:$G$81,MATCH($Q2244,Offerte!$L$2:$L$81,0)),"NO"))</f>
        <v/>
      </c>
    </row>
    <row r="2245">
      <c r="A2245" s="48">
        <f>IF(Offerte!$A74="","",Offerte!$A74)</f>
        <v/>
      </c>
      <c r="B2245" s="48">
        <f>IF(Offerte!$A74="","",Offerte!$B74)</f>
        <v/>
      </c>
      <c r="C2245" s="48">
        <f>IF(Offerte!$A74="","",Offerte!$C74)</f>
        <v/>
      </c>
      <c r="D2245" s="48" t="inlineStr">
        <is>
          <t>C.1.2</t>
        </is>
      </c>
      <c r="E2245" s="48" t="inlineStr">
        <is>
          <t>C</t>
        </is>
      </c>
      <c r="F2245" s="48" t="inlineStr">
        <is>
          <t>Q</t>
        </is>
      </c>
      <c r="G2245" s="48" t="inlineStr">
        <is>
          <t>higher</t>
        </is>
      </c>
      <c r="H2245" s="48" t="n">
        <v>2</v>
      </c>
      <c r="I2245" s="48" t="inlineStr">
        <is>
          <t>Tasso di copertura del servizio con telecamere ADAS</t>
        </is>
      </c>
      <c r="J2245" s="73" t="n"/>
      <c r="K2245" s="73" t="n"/>
      <c r="L2245" s="73" t="n"/>
      <c r="M2245" s="73" t="n"/>
      <c r="N2245" s="57">
        <f>IF($A2245="","",IFERROR(VALUE($K2245)/VALUE($L2245),IFERROR(VALUE($J2245),0)))</f>
        <v/>
      </c>
      <c r="O2245" s="57">
        <f>IF($A2245="",0,IF(OR($S2245&lt;&gt;1,COUNTA($J2245:$M2245)=0),0,IF(SUMPRODUCT(MAX(($C$5:$C$2484=$C2245)*($D$5:$D$2484=$D2245)*($S$5:$S$2484=1)*IFERROR($N$5:$N$2484*1,0)))&gt;0,ROUND($H2245*($N2245/SUMPRODUCT(MAX(($C$5:$C$2484=$C2245)*($D$5:$D$2484=$D2245)*($S$5:$S$2484=1)*IFERROR($N$5:$N$2484*1,0)))),4),0)))</f>
        <v/>
      </c>
      <c r="P2245" s="48" t="inlineStr">
        <is>
          <t>Autobus attrezzati con telecamere ADAS / Autobus totali in offerta, incluse scorte</t>
        </is>
      </c>
      <c r="Q2245" s="57">
        <f>IF($A2245="","",$A2245&amp;"|"&amp;$C2245)</f>
        <v/>
      </c>
      <c r="R2245" s="57">
        <f>IF($A2245="","",$A2245&amp;"|"&amp;$C2245&amp;"|"&amp;$D2245)</f>
        <v/>
      </c>
      <c r="S2245" s="57">
        <f>IF($A2245="","",IFERROR(INDEX(Offerte!$D$2:$D$81,MATCH($Q2245,Offerte!$L$2:$L$81,0)),0))</f>
        <v/>
      </c>
      <c r="T2245" s="57">
        <f>IF($A2245="","",IFERROR(INDEX(Offerte!$G$2:$G$81,MATCH($Q2245,Offerte!$L$2:$L$81,0)),"NO"))</f>
        <v/>
      </c>
    </row>
    <row r="2246">
      <c r="A2246" s="48">
        <f>IF(Offerte!$A74="","",Offerte!$A74)</f>
        <v/>
      </c>
      <c r="B2246" s="48">
        <f>IF(Offerte!$A74="","",Offerte!$B74)</f>
        <v/>
      </c>
      <c r="C2246" s="48">
        <f>IF(Offerte!$A74="","",Offerte!$C74)</f>
        <v/>
      </c>
      <c r="D2246" s="48" t="inlineStr">
        <is>
          <t>C.2.1</t>
        </is>
      </c>
      <c r="E2246" s="48" t="inlineStr">
        <is>
          <t>C</t>
        </is>
      </c>
      <c r="F2246" s="48" t="inlineStr">
        <is>
          <t>Q</t>
        </is>
      </c>
      <c r="G2246" s="48" t="inlineStr">
        <is>
          <t>higher</t>
        </is>
      </c>
      <c r="H2246" s="48" t="n">
        <v>3</v>
      </c>
      <c r="I2246" s="48" t="inlineStr">
        <is>
          <t>Tasso di copertura del servizio con telecamere di bordo di videosorveglianza</t>
        </is>
      </c>
      <c r="J2246" s="73" t="n"/>
      <c r="K2246" s="73" t="n"/>
      <c r="L2246" s="73" t="n"/>
      <c r="M2246" s="73" t="n"/>
      <c r="N2246" s="57">
        <f>IF($A2246="","",IFERROR(VALUE($K2246)/VALUE($L2246),IFERROR(VALUE($J2246),0)))</f>
        <v/>
      </c>
      <c r="O2246" s="57">
        <f>IF($A2246="",0,IF(OR($S2246&lt;&gt;1,COUNTA($J2246:$M2246)=0),0,IF(SUMPRODUCT(MAX(($C$5:$C$2484=$C2246)*($D$5:$D$2484=$D2246)*($S$5:$S$2484=1)*IFERROR($N$5:$N$2484*1,0)))&gt;0,ROUND($H2246*($N2246/SUMPRODUCT(MAX(($C$5:$C$2484=$C2246)*($D$5:$D$2484=$D2246)*($S$5:$S$2484=1)*IFERROR($N$5:$N$2484*1,0)))),4),0)))</f>
        <v/>
      </c>
      <c r="P2246" s="48" t="inlineStr">
        <is>
          <t>Autobus attrezzati con videosorveglianza / Autobus totali in offerta, incluse scorte</t>
        </is>
      </c>
      <c r="Q2246" s="57">
        <f>IF($A2246="","",$A2246&amp;"|"&amp;$C2246)</f>
        <v/>
      </c>
      <c r="R2246" s="57">
        <f>IF($A2246="","",$A2246&amp;"|"&amp;$C2246&amp;"|"&amp;$D2246)</f>
        <v/>
      </c>
      <c r="S2246" s="57">
        <f>IF($A2246="","",IFERROR(INDEX(Offerte!$D$2:$D$81,MATCH($Q2246,Offerte!$L$2:$L$81,0)),0))</f>
        <v/>
      </c>
      <c r="T2246" s="57">
        <f>IF($A2246="","",IFERROR(INDEX(Offerte!$G$2:$G$81,MATCH($Q2246,Offerte!$L$2:$L$81,0)),"NO"))</f>
        <v/>
      </c>
    </row>
    <row r="2247">
      <c r="A2247" s="48">
        <f>IF(Offerte!$A74="","",Offerte!$A74)</f>
        <v/>
      </c>
      <c r="B2247" s="48">
        <f>IF(Offerte!$A74="","",Offerte!$B74)</f>
        <v/>
      </c>
      <c r="C2247" s="48">
        <f>IF(Offerte!$A74="","",Offerte!$C74)</f>
        <v/>
      </c>
      <c r="D2247" s="48" t="inlineStr">
        <is>
          <t>C.2.2</t>
        </is>
      </c>
      <c r="E2247" s="48" t="inlineStr">
        <is>
          <t>C</t>
        </is>
      </c>
      <c r="F2247" s="48" t="inlineStr">
        <is>
          <t>T</t>
        </is>
      </c>
      <c r="G2247" s="48" t="inlineStr">
        <is>
          <t>tabular</t>
        </is>
      </c>
      <c r="H2247" s="48" t="n">
        <v>1</v>
      </c>
      <c r="I2247" s="48" t="inlineStr">
        <is>
          <t>Software video/audio analisi per situazioni di pericolo</t>
        </is>
      </c>
      <c r="J2247" s="73" t="n"/>
      <c r="K2247" s="73" t="n"/>
      <c r="L2247" s="73" t="n"/>
      <c r="M2247" s="73" t="n"/>
      <c r="N2247" s="57">
        <f>IF($A2247="","",IF(IFERROR(VALUE($M2247),0)=1,1,0))</f>
        <v/>
      </c>
      <c r="O2247" s="57">
        <f>IF($A2247="",0,IF(OR($S2247&lt;&gt;1,COUNTA($J2247:$M2247)=0),0,IF($N2247=1,$H2247,0)))</f>
        <v/>
      </c>
      <c r="P2247" s="48" t="inlineStr">
        <is>
          <t>sì/no</t>
        </is>
      </c>
      <c r="Q2247" s="57">
        <f>IF($A2247="","",$A2247&amp;"|"&amp;$C2247)</f>
        <v/>
      </c>
      <c r="R2247" s="57">
        <f>IF($A2247="","",$A2247&amp;"|"&amp;$C2247&amp;"|"&amp;$D2247)</f>
        <v/>
      </c>
      <c r="S2247" s="57">
        <f>IF($A2247="","",IFERROR(INDEX(Offerte!$D$2:$D$81,MATCH($Q2247,Offerte!$L$2:$L$81,0)),0))</f>
        <v/>
      </c>
      <c r="T2247" s="57">
        <f>IF($A2247="","",IFERROR(INDEX(Offerte!$G$2:$G$81,MATCH($Q2247,Offerte!$L$2:$L$81,0)),"NO"))</f>
        <v/>
      </c>
    </row>
    <row r="2248">
      <c r="A2248" s="48">
        <f>IF(Offerte!$A74="","",Offerte!$A74)</f>
        <v/>
      </c>
      <c r="B2248" s="48">
        <f>IF(Offerte!$A74="","",Offerte!$B74)</f>
        <v/>
      </c>
      <c r="C2248" s="48">
        <f>IF(Offerte!$A74="","",Offerte!$C74)</f>
        <v/>
      </c>
      <c r="D2248" s="48" t="inlineStr">
        <is>
          <t>C.2.3</t>
        </is>
      </c>
      <c r="E2248" s="48" t="inlineStr">
        <is>
          <t>C</t>
        </is>
      </c>
      <c r="F2248" s="48" t="inlineStr">
        <is>
          <t>T</t>
        </is>
      </c>
      <c r="G2248" s="48" t="inlineStr">
        <is>
          <t>tabular</t>
        </is>
      </c>
      <c r="H2248" s="48" t="n">
        <v>1</v>
      </c>
      <c r="I2248" s="48" t="inlineStr">
        <is>
          <t>Collegamento con centrale qualificata di pronto intervento</t>
        </is>
      </c>
      <c r="J2248" s="73" t="n"/>
      <c r="K2248" s="73" t="n"/>
      <c r="L2248" s="73" t="n"/>
      <c r="M2248" s="73" t="n"/>
      <c r="N2248" s="57">
        <f>IF($A2248="","",IF(IFERROR(VALUE($M2248),0)=1,1,0))</f>
        <v/>
      </c>
      <c r="O2248" s="57">
        <f>IF($A2248="",0,IF(OR($S2248&lt;&gt;1,COUNTA($J2248:$M2248)=0),0,IF($N2248=1,$H2248,0)))</f>
        <v/>
      </c>
      <c r="P2248" s="48" t="inlineStr">
        <is>
          <t>sì/no</t>
        </is>
      </c>
      <c r="Q2248" s="57">
        <f>IF($A2248="","",$A2248&amp;"|"&amp;$C2248)</f>
        <v/>
      </c>
      <c r="R2248" s="57">
        <f>IF($A2248="","",$A2248&amp;"|"&amp;$C2248&amp;"|"&amp;$D2248)</f>
        <v/>
      </c>
      <c r="S2248" s="57">
        <f>IF($A2248="","",IFERROR(INDEX(Offerte!$D$2:$D$81,MATCH($Q2248,Offerte!$L$2:$L$81,0)),0))</f>
        <v/>
      </c>
      <c r="T2248" s="57">
        <f>IF($A2248="","",IFERROR(INDEX(Offerte!$G$2:$G$81,MATCH($Q2248,Offerte!$L$2:$L$81,0)),"NO"))</f>
        <v/>
      </c>
    </row>
    <row r="2249">
      <c r="A2249" s="48">
        <f>IF(Offerte!$A74="","",Offerte!$A74)</f>
        <v/>
      </c>
      <c r="B2249" s="48">
        <f>IF(Offerte!$A74="","",Offerte!$B74)</f>
        <v/>
      </c>
      <c r="C2249" s="48">
        <f>IF(Offerte!$A74="","",Offerte!$C74)</f>
        <v/>
      </c>
      <c r="D2249" s="48" t="inlineStr">
        <is>
          <t>C.2.4</t>
        </is>
      </c>
      <c r="E2249" s="48" t="inlineStr">
        <is>
          <t>C</t>
        </is>
      </c>
      <c r="F2249" s="48" t="inlineStr">
        <is>
          <t>Q</t>
        </is>
      </c>
      <c r="G2249" s="48" t="inlineStr">
        <is>
          <t>higher</t>
        </is>
      </c>
      <c r="H2249" s="48" t="n">
        <v>1</v>
      </c>
      <c r="I2249" s="48" t="inlineStr">
        <is>
          <t>Tasso di copertura del servizio con dispositivi per la chiamata di emergenza del conducente</t>
        </is>
      </c>
      <c r="J2249" s="73" t="n"/>
      <c r="K2249" s="73" t="n"/>
      <c r="L2249" s="73" t="n"/>
      <c r="M2249" s="73" t="n"/>
      <c r="N2249" s="57">
        <f>IF($A2249="","",IFERROR(VALUE($K2249)/VALUE($L2249),IFERROR(VALUE($J2249),0)))</f>
        <v/>
      </c>
      <c r="O2249" s="57">
        <f>IF($A2249="",0,IF(OR($S2249&lt;&gt;1,COUNTA($J2249:$M2249)=0),0,IF(SUMPRODUCT(MAX(($C$5:$C$2484=$C2249)*($D$5:$D$2484=$D2249)*($S$5:$S$2484=1)*IFERROR($N$5:$N$2484*1,0)))&gt;0,ROUND($H2249*($N2249/SUMPRODUCT(MAX(($C$5:$C$2484=$C2249)*($D$5:$D$2484=$D2249)*($S$5:$S$2484=1)*IFERROR($N$5:$N$2484*1,0)))),4),0)))</f>
        <v/>
      </c>
      <c r="P2249" s="48" t="inlineStr">
        <is>
          <t>Autobus attrezzati con chiamata di emergenza / Autobus totali in offerta, incluse scorte</t>
        </is>
      </c>
      <c r="Q2249" s="57">
        <f>IF($A2249="","",$A2249&amp;"|"&amp;$C2249)</f>
        <v/>
      </c>
      <c r="R2249" s="57">
        <f>IF($A2249="","",$A2249&amp;"|"&amp;$C2249&amp;"|"&amp;$D2249)</f>
        <v/>
      </c>
      <c r="S2249" s="57">
        <f>IF($A2249="","",IFERROR(INDEX(Offerte!$D$2:$D$81,MATCH($Q2249,Offerte!$L$2:$L$81,0)),0))</f>
        <v/>
      </c>
      <c r="T2249" s="57">
        <f>IF($A2249="","",IFERROR(INDEX(Offerte!$G$2:$G$81,MATCH($Q2249,Offerte!$L$2:$L$81,0)),"NO"))</f>
        <v/>
      </c>
    </row>
    <row r="2250">
      <c r="A2250" s="48">
        <f>IF(Offerte!$A74="","",Offerte!$A74)</f>
        <v/>
      </c>
      <c r="B2250" s="48">
        <f>IF(Offerte!$A74="","",Offerte!$B74)</f>
        <v/>
      </c>
      <c r="C2250" s="48">
        <f>IF(Offerte!$A74="","",Offerte!$C74)</f>
        <v/>
      </c>
      <c r="D2250" s="48" t="inlineStr">
        <is>
          <t>C.3.1</t>
        </is>
      </c>
      <c r="E2250" s="48" t="inlineStr">
        <is>
          <t>C</t>
        </is>
      </c>
      <c r="F2250" s="48" t="inlineStr">
        <is>
          <t>Q</t>
        </is>
      </c>
      <c r="G2250" s="48" t="inlineStr">
        <is>
          <t>higher</t>
        </is>
      </c>
      <c r="H2250" s="48" t="n">
        <v>2</v>
      </c>
      <c r="I2250" s="48" t="inlineStr">
        <is>
          <t>Tasso di copertura del servizio con dispositivi di informazione dinamica a bordo mezzo</t>
        </is>
      </c>
      <c r="J2250" s="73" t="n"/>
      <c r="K2250" s="73" t="n"/>
      <c r="L2250" s="73" t="n"/>
      <c r="M2250" s="73" t="n"/>
      <c r="N2250" s="57">
        <f>IF($A2250="","",IFERROR(VALUE($K2250)/VALUE($L2250),IFERROR(VALUE($J2250),0)))</f>
        <v/>
      </c>
      <c r="O2250" s="57">
        <f>IF($A2250="",0,IF(OR($S2250&lt;&gt;1,COUNTA($J2250:$M2250)=0),0,IF(SUMPRODUCT(MAX(($C$5:$C$2484=$C2250)*($D$5:$D$2484=$D2250)*($S$5:$S$2484=1)*IFERROR($N$5:$N$2484*1,0)))&gt;0,ROUND($H2250*($N2250/SUMPRODUCT(MAX(($C$5:$C$2484=$C2250)*($D$5:$D$2484=$D2250)*($S$5:$S$2484=1)*IFERROR($N$5:$N$2484*1,0)))),4),0)))</f>
        <v/>
      </c>
      <c r="P2250" s="48" t="inlineStr">
        <is>
          <t>Autobus con monitor e indicatori vocali / Autobus totali in offerta, incluse scorte</t>
        </is>
      </c>
      <c r="Q2250" s="57">
        <f>IF($A2250="","",$A2250&amp;"|"&amp;$C2250)</f>
        <v/>
      </c>
      <c r="R2250" s="57">
        <f>IF($A2250="","",$A2250&amp;"|"&amp;$C2250&amp;"|"&amp;$D2250)</f>
        <v/>
      </c>
      <c r="S2250" s="57">
        <f>IF($A2250="","",IFERROR(INDEX(Offerte!$D$2:$D$81,MATCH($Q2250,Offerte!$L$2:$L$81,0)),0))</f>
        <v/>
      </c>
      <c r="T2250" s="57">
        <f>IF($A2250="","",IFERROR(INDEX(Offerte!$G$2:$G$81,MATCH($Q2250,Offerte!$L$2:$L$81,0)),"NO"))</f>
        <v/>
      </c>
    </row>
    <row r="2251">
      <c r="A2251" s="48">
        <f>IF(Offerte!$A74="","",Offerte!$A74)</f>
        <v/>
      </c>
      <c r="B2251" s="48">
        <f>IF(Offerte!$A74="","",Offerte!$B74)</f>
        <v/>
      </c>
      <c r="C2251" s="48">
        <f>IF(Offerte!$A74="","",Offerte!$C74)</f>
        <v/>
      </c>
      <c r="D2251" s="48" t="inlineStr">
        <is>
          <t>C.3.2</t>
        </is>
      </c>
      <c r="E2251" s="48" t="inlineStr">
        <is>
          <t>C</t>
        </is>
      </c>
      <c r="F2251" s="48" t="inlineStr">
        <is>
          <t>T</t>
        </is>
      </c>
      <c r="G2251" s="48" t="inlineStr">
        <is>
          <t>tabular</t>
        </is>
      </c>
      <c r="H2251" s="48" t="n">
        <v>2</v>
      </c>
      <c r="I2251" s="48" t="inlineStr">
        <is>
          <t>Informazioni a bordo su coincidenze ai nodi</t>
        </is>
      </c>
      <c r="J2251" s="73" t="n"/>
      <c r="K2251" s="73" t="n"/>
      <c r="L2251" s="73" t="n"/>
      <c r="M2251" s="73" t="n"/>
      <c r="N2251" s="57">
        <f>IF($A2251="","",IF(IFERROR(VALUE($M2251),0)=1,1,0))</f>
        <v/>
      </c>
      <c r="O2251" s="57">
        <f>IF($A2251="",0,IF(OR($S2251&lt;&gt;1,COUNTA($J2251:$M2251)=0),0,IF(AND($N2251=1,IFERROR(SUMIFS($N$5:$N$2484,$Q$5:$Q$2484,$Q2251,$D$5:$D$2484,"C.3.1"),0)&gt;=0.5),$H2251,0)))</f>
        <v/>
      </c>
      <c r="P2251" s="48" t="inlineStr">
        <is>
          <t>Dipende da C.3.1 &gt;= 0.5</t>
        </is>
      </c>
      <c r="Q2251" s="57">
        <f>IF($A2251="","",$A2251&amp;"|"&amp;$C2251)</f>
        <v/>
      </c>
      <c r="R2251" s="57">
        <f>IF($A2251="","",$A2251&amp;"|"&amp;$C2251&amp;"|"&amp;$D2251)</f>
        <v/>
      </c>
      <c r="S2251" s="57">
        <f>IF($A2251="","",IFERROR(INDEX(Offerte!$D$2:$D$81,MATCH($Q2251,Offerte!$L$2:$L$81,0)),0))</f>
        <v/>
      </c>
      <c r="T2251" s="57">
        <f>IF($A2251="","",IFERROR(INDEX(Offerte!$G$2:$G$81,MATCH($Q2251,Offerte!$L$2:$L$81,0)),"NO"))</f>
        <v/>
      </c>
    </row>
    <row r="2252">
      <c r="A2252" s="48">
        <f>IF(Offerte!$A74="","",Offerte!$A74)</f>
        <v/>
      </c>
      <c r="B2252" s="48">
        <f>IF(Offerte!$A74="","",Offerte!$B74)</f>
        <v/>
      </c>
      <c r="C2252" s="48">
        <f>IF(Offerte!$A74="","",Offerte!$C74)</f>
        <v/>
      </c>
      <c r="D2252" s="48" t="inlineStr">
        <is>
          <t>D.1.1</t>
        </is>
      </c>
      <c r="E2252" s="48" t="inlineStr">
        <is>
          <t>D</t>
        </is>
      </c>
      <c r="F2252" s="48" t="inlineStr">
        <is>
          <t>Q</t>
        </is>
      </c>
      <c r="G2252" s="48" t="inlineStr">
        <is>
          <t>higher</t>
        </is>
      </c>
      <c r="H2252" s="48" t="n">
        <v>3</v>
      </c>
      <c r="I2252" s="48" t="inlineStr">
        <is>
          <t>Installazione di pensiline</t>
        </is>
      </c>
      <c r="J2252" s="73" t="n"/>
      <c r="K2252" s="73" t="n"/>
      <c r="L2252" s="73" t="n"/>
      <c r="M2252" s="73" t="n"/>
      <c r="N2252" s="57">
        <f>IF($A2252="","",IFERROR(VALUE($J2252),0))</f>
        <v/>
      </c>
      <c r="O2252" s="57">
        <f>IF($A2252="",0,IF(OR($S2252&lt;&gt;1,COUNTA($J2252:$M2252)=0),0,IF(SUMPRODUCT(MAX(($C$5:$C$2484=$C2252)*($D$5:$D$2484=$D2252)*($S$5:$S$2484=1)*IFERROR($N$5:$N$2484*1,0)))&gt;0,ROUND($H2252*($N2252/SUMPRODUCT(MAX(($C$5:$C$2484=$C2252)*($D$5:$D$2484=$D2252)*($S$5:$S$2484=1)*IFERROR($N$5:$N$2484*1,0)))),4),0)))</f>
        <v/>
      </c>
      <c r="P2252" s="48" t="inlineStr">
        <is>
          <t>fermate</t>
        </is>
      </c>
      <c r="Q2252" s="57">
        <f>IF($A2252="","",$A2252&amp;"|"&amp;$C2252)</f>
        <v/>
      </c>
      <c r="R2252" s="57">
        <f>IF($A2252="","",$A2252&amp;"|"&amp;$C2252&amp;"|"&amp;$D2252)</f>
        <v/>
      </c>
      <c r="S2252" s="57">
        <f>IF($A2252="","",IFERROR(INDEX(Offerte!$D$2:$D$81,MATCH($Q2252,Offerte!$L$2:$L$81,0)),0))</f>
        <v/>
      </c>
      <c r="T2252" s="57">
        <f>IF($A2252="","",IFERROR(INDEX(Offerte!$G$2:$G$81,MATCH($Q2252,Offerte!$L$2:$L$81,0)),"NO"))</f>
        <v/>
      </c>
    </row>
    <row r="2253">
      <c r="A2253" s="48">
        <f>IF(Offerte!$A74="","",Offerte!$A74)</f>
        <v/>
      </c>
      <c r="B2253" s="48">
        <f>IF(Offerte!$A74="","",Offerte!$B74)</f>
        <v/>
      </c>
      <c r="C2253" s="48">
        <f>IF(Offerte!$A74="","",Offerte!$C74)</f>
        <v/>
      </c>
      <c r="D2253" s="48" t="inlineStr">
        <is>
          <t>D.1.2</t>
        </is>
      </c>
      <c r="E2253" s="48" t="inlineStr">
        <is>
          <t>D</t>
        </is>
      </c>
      <c r="F2253" s="48" t="inlineStr">
        <is>
          <t>Q</t>
        </is>
      </c>
      <c r="G2253" s="48" t="inlineStr">
        <is>
          <t>higher</t>
        </is>
      </c>
      <c r="H2253" s="48" t="n">
        <v>3</v>
      </c>
      <c r="I2253" s="48" t="inlineStr">
        <is>
          <t>Installazione di paline di fermata conformi alla DGR 581/2023</t>
        </is>
      </c>
      <c r="J2253" s="73" t="n"/>
      <c r="K2253" s="73" t="n"/>
      <c r="L2253" s="73" t="n"/>
      <c r="M2253" s="73" t="n"/>
      <c r="N2253" s="57">
        <f>IF($A2253="","",IFERROR(VALUE($J2253),0))</f>
        <v/>
      </c>
      <c r="O2253" s="57">
        <f>IF($A2253="",0,IF(OR($S2253&lt;&gt;1,COUNTA($J2253:$M2253)=0),0,IF(SUMPRODUCT(MAX(($C$5:$C$2484=$C2253)*($D$5:$D$2484=$D2253)*($S$5:$S$2484=1)*IFERROR($N$5:$N$2484*1,0)))&gt;0,ROUND($H2253*($N2253/SUMPRODUCT(MAX(($C$5:$C$2484=$C2253)*($D$5:$D$2484=$D2253)*($S$5:$S$2484=1)*IFERROR($N$5:$N$2484*1,0)))),4),0)))</f>
        <v/>
      </c>
      <c r="P2253" s="48" t="inlineStr">
        <is>
          <t>fermate</t>
        </is>
      </c>
      <c r="Q2253" s="57">
        <f>IF($A2253="","",$A2253&amp;"|"&amp;$C2253)</f>
        <v/>
      </c>
      <c r="R2253" s="57">
        <f>IF($A2253="","",$A2253&amp;"|"&amp;$C2253&amp;"|"&amp;$D2253)</f>
        <v/>
      </c>
      <c r="S2253" s="57">
        <f>IF($A2253="","",IFERROR(INDEX(Offerte!$D$2:$D$81,MATCH($Q2253,Offerte!$L$2:$L$81,0)),0))</f>
        <v/>
      </c>
      <c r="T2253" s="57">
        <f>IF($A2253="","",IFERROR(INDEX(Offerte!$G$2:$G$81,MATCH($Q2253,Offerte!$L$2:$L$81,0)),"NO"))</f>
        <v/>
      </c>
    </row>
    <row r="2254">
      <c r="A2254" s="48">
        <f>IF(Offerte!$A74="","",Offerte!$A74)</f>
        <v/>
      </c>
      <c r="B2254" s="48">
        <f>IF(Offerte!$A74="","",Offerte!$B74)</f>
        <v/>
      </c>
      <c r="C2254" s="48">
        <f>IF(Offerte!$A74="","",Offerte!$C74)</f>
        <v/>
      </c>
      <c r="D2254" s="48" t="inlineStr">
        <is>
          <t>D.1.3</t>
        </is>
      </c>
      <c r="E2254" s="48" t="inlineStr">
        <is>
          <t>D</t>
        </is>
      </c>
      <c r="F2254" s="48" t="inlineStr">
        <is>
          <t>Q</t>
        </is>
      </c>
      <c r="G2254" s="48" t="inlineStr">
        <is>
          <t>higher</t>
        </is>
      </c>
      <c r="H2254" s="48" t="n">
        <v>2</v>
      </c>
      <c r="I2254" s="48" t="inlineStr">
        <is>
          <t>Display informativi connessi alle fermate</t>
        </is>
      </c>
      <c r="J2254" s="73" t="n"/>
      <c r="K2254" s="73" t="n"/>
      <c r="L2254" s="73" t="n"/>
      <c r="M2254" s="73" t="n"/>
      <c r="N2254" s="57">
        <f>IF($A2254="","",IFERROR(VALUE($J2254),0))</f>
        <v/>
      </c>
      <c r="O2254" s="57">
        <f>IF($A2254="",0,IF(OR($S2254&lt;&gt;1,COUNTA($J2254:$M2254)=0),0,IF(SUMPRODUCT(MAX(($C$5:$C$2484=$C2254)*($D$5:$D$2484=$D2254)*($S$5:$S$2484=1)*IFERROR($N$5:$N$2484*1,0)))&gt;0,ROUND($H2254*($N2254/SUMPRODUCT(MAX(($C$5:$C$2484=$C2254)*($D$5:$D$2484=$D2254)*($S$5:$S$2484=1)*IFERROR($N$5:$N$2484*1,0)))),4),0)))</f>
        <v/>
      </c>
      <c r="P2254" s="48" t="inlineStr">
        <is>
          <t>fermate</t>
        </is>
      </c>
      <c r="Q2254" s="57">
        <f>IF($A2254="","",$A2254&amp;"|"&amp;$C2254)</f>
        <v/>
      </c>
      <c r="R2254" s="57">
        <f>IF($A2254="","",$A2254&amp;"|"&amp;$C2254&amp;"|"&amp;$D2254)</f>
        <v/>
      </c>
      <c r="S2254" s="57">
        <f>IF($A2254="","",IFERROR(INDEX(Offerte!$D$2:$D$81,MATCH($Q2254,Offerte!$L$2:$L$81,0)),0))</f>
        <v/>
      </c>
      <c r="T2254" s="57">
        <f>IF($A2254="","",IFERROR(INDEX(Offerte!$G$2:$G$81,MATCH($Q2254,Offerte!$L$2:$L$81,0)),"NO"))</f>
        <v/>
      </c>
    </row>
    <row r="2255">
      <c r="A2255" s="48">
        <f>IF(Offerte!$A74="","",Offerte!$A74)</f>
        <v/>
      </c>
      <c r="B2255" s="48">
        <f>IF(Offerte!$A74="","",Offerte!$B74)</f>
        <v/>
      </c>
      <c r="C2255" s="48">
        <f>IF(Offerte!$A74="","",Offerte!$C74)</f>
        <v/>
      </c>
      <c r="D2255" s="48" t="inlineStr">
        <is>
          <t>D.2.1</t>
        </is>
      </c>
      <c r="E2255" s="48" t="inlineStr">
        <is>
          <t>D</t>
        </is>
      </c>
      <c r="F2255" s="48" t="inlineStr">
        <is>
          <t>Q</t>
        </is>
      </c>
      <c r="G2255" s="48" t="inlineStr">
        <is>
          <t>higher</t>
        </is>
      </c>
      <c r="H2255" s="48" t="n">
        <v>2</v>
      </c>
      <c r="I2255" s="48" t="inlineStr">
        <is>
          <t>Segnali tattili Loges-Vet-Evolution</t>
        </is>
      </c>
      <c r="J2255" s="73" t="n"/>
      <c r="K2255" s="73" t="n"/>
      <c r="L2255" s="73" t="n"/>
      <c r="M2255" s="73" t="n"/>
      <c r="N2255" s="57">
        <f>IF($A2255="","",IFERROR(VALUE($J2255),0))</f>
        <v/>
      </c>
      <c r="O2255" s="57">
        <f>IF($A2255="",0,IF(OR($S2255&lt;&gt;1,COUNTA($J2255:$M2255)=0),0,IF(SUMPRODUCT(MAX(($C$5:$C$2484=$C2255)*($D$5:$D$2484=$D2255)*($S$5:$S$2484=1)*IFERROR($N$5:$N$2484*1,0)))&gt;0,ROUND($H2255*($N2255/SUMPRODUCT(MAX(($C$5:$C$2484=$C2255)*($D$5:$D$2484=$D2255)*($S$5:$S$2484=1)*IFERROR($N$5:$N$2484*1,0)))),4),0)))</f>
        <v/>
      </c>
      <c r="P2255" s="48" t="inlineStr">
        <is>
          <t>fermate</t>
        </is>
      </c>
      <c r="Q2255" s="57">
        <f>IF($A2255="","",$A2255&amp;"|"&amp;$C2255)</f>
        <v/>
      </c>
      <c r="R2255" s="57">
        <f>IF($A2255="","",$A2255&amp;"|"&amp;$C2255&amp;"|"&amp;$D2255)</f>
        <v/>
      </c>
      <c r="S2255" s="57">
        <f>IF($A2255="","",IFERROR(INDEX(Offerte!$D$2:$D$81,MATCH($Q2255,Offerte!$L$2:$L$81,0)),0))</f>
        <v/>
      </c>
      <c r="T2255" s="57">
        <f>IF($A2255="","",IFERROR(INDEX(Offerte!$G$2:$G$81,MATCH($Q2255,Offerte!$L$2:$L$81,0)),"NO"))</f>
        <v/>
      </c>
    </row>
    <row r="2256">
      <c r="A2256" s="48">
        <f>IF(Offerte!$A74="","",Offerte!$A74)</f>
        <v/>
      </c>
      <c r="B2256" s="48">
        <f>IF(Offerte!$A74="","",Offerte!$B74)</f>
        <v/>
      </c>
      <c r="C2256" s="48">
        <f>IF(Offerte!$A74="","",Offerte!$C74)</f>
        <v/>
      </c>
      <c r="D2256" s="48" t="inlineStr">
        <is>
          <t>E.1.1</t>
        </is>
      </c>
      <c r="E2256" s="48" t="inlineStr">
        <is>
          <t>E</t>
        </is>
      </c>
      <c r="F2256" s="48" t="inlineStr">
        <is>
          <t>T</t>
        </is>
      </c>
      <c r="G2256" s="48" t="inlineStr">
        <is>
          <t>tabular</t>
        </is>
      </c>
      <c r="H2256" s="48" t="n">
        <v>2</v>
      </c>
      <c r="I2256" s="48" t="inlineStr">
        <is>
          <t>Mobile app con travel planner PRM</t>
        </is>
      </c>
      <c r="J2256" s="73" t="n"/>
      <c r="K2256" s="73" t="n"/>
      <c r="L2256" s="73" t="n"/>
      <c r="M2256" s="73" t="n"/>
      <c r="N2256" s="57">
        <f>IF($A2256="","",IF(IFERROR(VALUE($M2256),0)=1,1,0))</f>
        <v/>
      </c>
      <c r="O2256" s="57">
        <f>IF($A2256="",0,IF(OR($S2256&lt;&gt;1,COUNTA($J2256:$M2256)=0),0,IF($N2256=1,$H2256,0)))</f>
        <v/>
      </c>
      <c r="P2256" s="48" t="inlineStr">
        <is>
          <t>sì/no</t>
        </is>
      </c>
      <c r="Q2256" s="57">
        <f>IF($A2256="","",$A2256&amp;"|"&amp;$C2256)</f>
        <v/>
      </c>
      <c r="R2256" s="57">
        <f>IF($A2256="","",$A2256&amp;"|"&amp;$C2256&amp;"|"&amp;$D2256)</f>
        <v/>
      </c>
      <c r="S2256" s="57">
        <f>IF($A2256="","",IFERROR(INDEX(Offerte!$D$2:$D$81,MATCH($Q2256,Offerte!$L$2:$L$81,0)),0))</f>
        <v/>
      </c>
      <c r="T2256" s="57">
        <f>IF($A2256="","",IFERROR(INDEX(Offerte!$G$2:$G$81,MATCH($Q2256,Offerte!$L$2:$L$81,0)),"NO"))</f>
        <v/>
      </c>
    </row>
    <row r="2257">
      <c r="A2257" s="48">
        <f>IF(Offerte!$A74="","",Offerte!$A74)</f>
        <v/>
      </c>
      <c r="B2257" s="48">
        <f>IF(Offerte!$A74="","",Offerte!$B74)</f>
        <v/>
      </c>
      <c r="C2257" s="48">
        <f>IF(Offerte!$A74="","",Offerte!$C74)</f>
        <v/>
      </c>
      <c r="D2257" s="48" t="inlineStr">
        <is>
          <t>E.2.1</t>
        </is>
      </c>
      <c r="E2257" s="48" t="inlineStr">
        <is>
          <t>E</t>
        </is>
      </c>
      <c r="F2257" s="48" t="inlineStr">
        <is>
          <t>D</t>
        </is>
      </c>
      <c r="G2257" s="48" t="inlineStr">
        <is>
          <t>discretionary</t>
        </is>
      </c>
      <c r="H2257" s="48" t="n">
        <v>2</v>
      </c>
      <c r="I2257" s="48" t="inlineStr">
        <is>
          <t>Altre azioni informative e rapporti con gli utenti</t>
        </is>
      </c>
      <c r="J2257" s="73" t="n"/>
      <c r="K2257" s="73" t="n"/>
      <c r="L2257" s="73" t="n"/>
      <c r="M2257" s="73" t="n"/>
      <c r="N2257" s="57">
        <f>IF($A2257="","",MAX(0,MIN(1,IFERROR(VALUE($M2257),0))))</f>
        <v/>
      </c>
      <c r="O2257" s="57">
        <f>IF($A2257="",0,IF(OR($S2257&lt;&gt;1,COUNTA($J2257:$M2257)=0),0,IF(SUMPRODUCT(MAX(($C$5:$C$2484=$C2257)*($D$5:$D$2484=$D2257)*($S$5:$S$2484=1)*IFERROR($N$5:$N$2484*1,0)))&gt;0,ROUND($H2257*($N2257/SUMPRODUCT(MAX(($C$5:$C$2484=$C2257)*($D$5:$D$2484=$D2257)*($S$5:$S$2484=1)*IFERROR($N$5:$N$2484*1,0)))),4),0)))</f>
        <v/>
      </c>
      <c r="P2257" s="48" t="inlineStr">
        <is>
          <t>coeff.</t>
        </is>
      </c>
      <c r="Q2257" s="57">
        <f>IF($A2257="","",$A2257&amp;"|"&amp;$C2257)</f>
        <v/>
      </c>
      <c r="R2257" s="57">
        <f>IF($A2257="","",$A2257&amp;"|"&amp;$C2257&amp;"|"&amp;$D2257)</f>
        <v/>
      </c>
      <c r="S2257" s="57">
        <f>IF($A2257="","",IFERROR(INDEX(Offerte!$D$2:$D$81,MATCH($Q2257,Offerte!$L$2:$L$81,0)),0))</f>
        <v/>
      </c>
      <c r="T2257" s="57">
        <f>IF($A2257="","",IFERROR(INDEX(Offerte!$G$2:$G$81,MATCH($Q2257,Offerte!$L$2:$L$81,0)),"NO"))</f>
        <v/>
      </c>
    </row>
    <row r="2258">
      <c r="A2258" s="48">
        <f>IF(Offerte!$A74="","",Offerte!$A74)</f>
        <v/>
      </c>
      <c r="B2258" s="48">
        <f>IF(Offerte!$A74="","",Offerte!$B74)</f>
        <v/>
      </c>
      <c r="C2258" s="48">
        <f>IF(Offerte!$A74="","",Offerte!$C74)</f>
        <v/>
      </c>
      <c r="D2258" s="48" t="inlineStr">
        <is>
          <t>F.1.1</t>
        </is>
      </c>
      <c r="E2258" s="48" t="inlineStr">
        <is>
          <t>F</t>
        </is>
      </c>
      <c r="F2258" s="48" t="inlineStr">
        <is>
          <t>Q</t>
        </is>
      </c>
      <c r="G2258" s="48" t="inlineStr">
        <is>
          <t>lower</t>
        </is>
      </c>
      <c r="H2258" s="48" t="n">
        <v>7</v>
      </c>
      <c r="I2258" s="48" t="inlineStr">
        <is>
          <t>Performance ambientali del parco mezzi adibito al servizio - I_CEA</t>
        </is>
      </c>
      <c r="J2258" s="73" t="n"/>
      <c r="K2258" s="73" t="n"/>
      <c r="L2258" s="73" t="n"/>
      <c r="M2258" s="73" t="n"/>
      <c r="N2258" s="57">
        <f>IF($A2258="","",IFERROR(VALUE($J2258),0))</f>
        <v/>
      </c>
      <c r="O2258" s="57">
        <f>IF($A2258="",0,IF(OR($S2258&lt;&gt;1,COUNTA($J2258:$M2258)=0),0,IF(AND(IFERROR(AGGREGATE(15,6,$N$5:$N$2484/(($C$5:$C$2484=$C2258)*($D$5:$D$2484=$D2258)*($S$5:$S$2484=1)*($N$5:$N$2484&gt;0)),1),0)&gt;0,$N2258&gt;0),ROUND($H2258*(IFERROR(AGGREGATE(15,6,$N$5:$N$2484/(($C$5:$C$2484=$C2258)*($D$5:$D$2484=$D2258)*($S$5:$S$2484=1)*($N$5:$N$2484&gt;0)),1),0)/$N2258),4),0)))</f>
        <v/>
      </c>
      <c r="P2258" s="48" t="inlineStr">
        <is>
          <t>indice</t>
        </is>
      </c>
      <c r="Q2258" s="57">
        <f>IF($A2258="","",$A2258&amp;"|"&amp;$C2258)</f>
        <v/>
      </c>
      <c r="R2258" s="57">
        <f>IF($A2258="","",$A2258&amp;"|"&amp;$C2258&amp;"|"&amp;$D2258)</f>
        <v/>
      </c>
      <c r="S2258" s="57">
        <f>IF($A2258="","",IFERROR(INDEX(Offerte!$D$2:$D$81,MATCH($Q2258,Offerte!$L$2:$L$81,0)),0))</f>
        <v/>
      </c>
      <c r="T2258" s="57">
        <f>IF($A2258="","",IFERROR(INDEX(Offerte!$G$2:$G$81,MATCH($Q2258,Offerte!$L$2:$L$81,0)),"NO"))</f>
        <v/>
      </c>
    </row>
    <row r="2259">
      <c r="A2259" s="48">
        <f>IF(Offerte!$A74="","",Offerte!$A74)</f>
        <v/>
      </c>
      <c r="B2259" s="48">
        <f>IF(Offerte!$A74="","",Offerte!$B74)</f>
        <v/>
      </c>
      <c r="C2259" s="48">
        <f>IF(Offerte!$A74="","",Offerte!$C74)</f>
        <v/>
      </c>
      <c r="D2259" s="48" t="inlineStr">
        <is>
          <t>F.2.1</t>
        </is>
      </c>
      <c r="E2259" s="48" t="inlineStr">
        <is>
          <t>F</t>
        </is>
      </c>
      <c r="F2259" s="48" t="inlineStr">
        <is>
          <t>Q</t>
        </is>
      </c>
      <c r="G2259" s="48" t="inlineStr">
        <is>
          <t>higher</t>
        </is>
      </c>
      <c r="H2259" s="48" t="n">
        <v>2</v>
      </c>
      <c r="I2259" s="48" t="inlineStr">
        <is>
          <t>Tasso di copertura del servizio con dispositivi ECO-DRIVER</t>
        </is>
      </c>
      <c r="J2259" s="73" t="n"/>
      <c r="K2259" s="73" t="n"/>
      <c r="L2259" s="73" t="n"/>
      <c r="M2259" s="73" t="n"/>
      <c r="N2259" s="57">
        <f>IF($A2259="","",IFERROR(VALUE($K2259)/VALUE($L2259),IFERROR(VALUE($J2259),0)))</f>
        <v/>
      </c>
      <c r="O2259" s="57">
        <f>IF($A2259="",0,IF(OR($S2259&lt;&gt;1,COUNTA($J2259:$M2259)=0),0,IF(SUMPRODUCT(MAX(($C$5:$C$2484=$C2259)*($D$5:$D$2484=$D2259)*($S$5:$S$2484=1)*IFERROR($N$5:$N$2484*1,0)))&gt;0,ROUND($H2259*($N2259/SUMPRODUCT(MAX(($C$5:$C$2484=$C2259)*($D$5:$D$2484=$D2259)*($S$5:$S$2484=1)*IFERROR($N$5:$N$2484*1,0)))),4),0)))</f>
        <v/>
      </c>
      <c r="P2259" s="48" t="inlineStr">
        <is>
          <t>Autobus attrezzati con dispositivi ECO-DRIVER / Autobus totali in offerta, incluse scorte</t>
        </is>
      </c>
      <c r="Q2259" s="57">
        <f>IF($A2259="","",$A2259&amp;"|"&amp;$C2259)</f>
        <v/>
      </c>
      <c r="R2259" s="57">
        <f>IF($A2259="","",$A2259&amp;"|"&amp;$C2259&amp;"|"&amp;$D2259)</f>
        <v/>
      </c>
      <c r="S2259" s="57">
        <f>IF($A2259="","",IFERROR(INDEX(Offerte!$D$2:$D$81,MATCH($Q2259,Offerte!$L$2:$L$81,0)),0))</f>
        <v/>
      </c>
      <c r="T2259" s="57">
        <f>IF($A2259="","",IFERROR(INDEX(Offerte!$G$2:$G$81,MATCH($Q2259,Offerte!$L$2:$L$81,0)),"NO"))</f>
        <v/>
      </c>
    </row>
    <row r="2260">
      <c r="A2260" s="48">
        <f>IF(Offerte!$A74="","",Offerte!$A74)</f>
        <v/>
      </c>
      <c r="B2260" s="48">
        <f>IF(Offerte!$A74="","",Offerte!$B74)</f>
        <v/>
      </c>
      <c r="C2260" s="48">
        <f>IF(Offerte!$A74="","",Offerte!$C74)</f>
        <v/>
      </c>
      <c r="D2260" s="48" t="inlineStr">
        <is>
          <t>F.3.1</t>
        </is>
      </c>
      <c r="E2260" s="48" t="inlineStr">
        <is>
          <t>F</t>
        </is>
      </c>
      <c r="F2260" s="48" t="inlineStr">
        <is>
          <t>Q</t>
        </is>
      </c>
      <c r="G2260" s="48" t="inlineStr">
        <is>
          <t>higher</t>
        </is>
      </c>
      <c r="H2260" s="48" t="n">
        <v>2</v>
      </c>
      <c r="I2260" s="48" t="inlineStr">
        <is>
          <t>Autoproduzione consumi elettrici per trazione</t>
        </is>
      </c>
      <c r="J2260" s="73" t="n"/>
      <c r="K2260" s="73" t="n"/>
      <c r="L2260" s="73" t="n"/>
      <c r="M2260" s="73" t="n"/>
      <c r="N2260" s="57">
        <f>IF($A2260="","",IFERROR(VALUE($J2260),0))</f>
        <v/>
      </c>
      <c r="O2260" s="57">
        <f>IF($A2260="",0,IF(OR($S2260&lt;&gt;1,COUNTA($J2260:$M2260)=0),0,IF(SUMPRODUCT(MAX(($C$5:$C$2484=$C2260)*($D$5:$D$2484=$D2260)*($S$5:$S$2484=1)*IFERROR($N$5:$N$2484*1,0)))&gt;0,ROUND($H2260*($N2260/SUMPRODUCT(MAX(($C$5:$C$2484=$C2260)*($D$5:$D$2484=$D2260)*($S$5:$S$2484=1)*IFERROR($N$5:$N$2484*1,0)))),4),0)))</f>
        <v/>
      </c>
      <c r="P2260" s="48" t="inlineStr">
        <is>
          <t>kWh/anno</t>
        </is>
      </c>
      <c r="Q2260" s="57">
        <f>IF($A2260="","",$A2260&amp;"|"&amp;$C2260)</f>
        <v/>
      </c>
      <c r="R2260" s="57">
        <f>IF($A2260="","",$A2260&amp;"|"&amp;$C2260&amp;"|"&amp;$D2260)</f>
        <v/>
      </c>
      <c r="S2260" s="57">
        <f>IF($A2260="","",IFERROR(INDEX(Offerte!$D$2:$D$81,MATCH($Q2260,Offerte!$L$2:$L$81,0)),0))</f>
        <v/>
      </c>
      <c r="T2260" s="57">
        <f>IF($A2260="","",IFERROR(INDEX(Offerte!$G$2:$G$81,MATCH($Q2260,Offerte!$L$2:$L$81,0)),"NO"))</f>
        <v/>
      </c>
    </row>
    <row r="2261">
      <c r="A2261" s="48">
        <f>IF(Offerte!$A74="","",Offerte!$A74)</f>
        <v/>
      </c>
      <c r="B2261" s="48">
        <f>IF(Offerte!$A74="","",Offerte!$B74)</f>
        <v/>
      </c>
      <c r="C2261" s="48">
        <f>IF(Offerte!$A74="","",Offerte!$C74)</f>
        <v/>
      </c>
      <c r="D2261" s="48" t="inlineStr">
        <is>
          <t>F.4.1</t>
        </is>
      </c>
      <c r="E2261" s="48" t="inlineStr">
        <is>
          <t>F</t>
        </is>
      </c>
      <c r="F2261" s="48" t="inlineStr">
        <is>
          <t>Q</t>
        </is>
      </c>
      <c r="G2261" s="48" t="inlineStr">
        <is>
          <t>soil</t>
        </is>
      </c>
      <c r="H2261" s="48" t="n">
        <v>2</v>
      </c>
      <c r="I2261" s="48" t="inlineStr">
        <is>
          <t>Indice di consumo di suolo</t>
        </is>
      </c>
      <c r="J2261" s="73" t="n"/>
      <c r="K2261" s="73" t="n"/>
      <c r="L2261" s="73" t="n"/>
      <c r="M2261" s="73" t="n"/>
      <c r="N2261" s="57">
        <f>IF($A2261="","",IFERROR(VALUE($J2261),0))</f>
        <v/>
      </c>
      <c r="O2261" s="57">
        <f>IF($A2261="",0,IF(OR($S2261&lt;&gt;1,COUNTA($J2261:$M2261)=0),0,IF($N2261&lt;=0,$H2261,IF(SUMPRODUCT(MAX(($C$5:$C$2484=$C2261)*($D$5:$D$2484=$D2261)*($S$5:$S$2484=1)*IFERROR($N$5:$N$2484*1,0)))&gt;0,ROUND($H2261*((SUMPRODUCT(MAX(($C$5:$C$2484=$C2261)*($D$5:$D$2484=$D2261)*($S$5:$S$2484=1)*IFERROR($N$5:$N$2484*1,0)))-$N2261)/SUMPRODUCT(MAX(($C$5:$C$2484=$C2261)*($D$5:$D$2484=$D2261)*($S$5:$S$2484=1)*IFERROR($N$5:$N$2484*1,0)))),4),0))))</f>
        <v/>
      </c>
      <c r="P2261" s="48" t="inlineStr">
        <is>
          <t>m2</t>
        </is>
      </c>
      <c r="Q2261" s="57">
        <f>IF($A2261="","",$A2261&amp;"|"&amp;$C2261)</f>
        <v/>
      </c>
      <c r="R2261" s="57">
        <f>IF($A2261="","",$A2261&amp;"|"&amp;$C2261&amp;"|"&amp;$D2261)</f>
        <v/>
      </c>
      <c r="S2261" s="57">
        <f>IF($A2261="","",IFERROR(INDEX(Offerte!$D$2:$D$81,MATCH($Q2261,Offerte!$L$2:$L$81,0)),0))</f>
        <v/>
      </c>
      <c r="T2261" s="57">
        <f>IF($A2261="","",IFERROR(INDEX(Offerte!$G$2:$G$81,MATCH($Q2261,Offerte!$L$2:$L$81,0)),"NO"))</f>
        <v/>
      </c>
    </row>
    <row r="2262">
      <c r="A2262" s="48">
        <f>IF(Offerte!$A74="","",Offerte!$A74)</f>
        <v/>
      </c>
      <c r="B2262" s="48">
        <f>IF(Offerte!$A74="","",Offerte!$B74)</f>
        <v/>
      </c>
      <c r="C2262" s="48">
        <f>IF(Offerte!$A74="","",Offerte!$C74)</f>
        <v/>
      </c>
      <c r="D2262" s="48" t="inlineStr">
        <is>
          <t>F.5.1</t>
        </is>
      </c>
      <c r="E2262" s="48" t="inlineStr">
        <is>
          <t>F</t>
        </is>
      </c>
      <c r="F2262" s="48" t="inlineStr">
        <is>
          <t>T</t>
        </is>
      </c>
      <c r="G2262" s="48" t="inlineStr">
        <is>
          <t>tabular</t>
        </is>
      </c>
      <c r="H2262" s="48" t="n">
        <v>1</v>
      </c>
      <c r="I2262" s="48" t="inlineStr">
        <is>
          <t>Rendicontazione di sostenibilità ambientale</t>
        </is>
      </c>
      <c r="J2262" s="73" t="n"/>
      <c r="K2262" s="73" t="n"/>
      <c r="L2262" s="73" t="n"/>
      <c r="M2262" s="73" t="n"/>
      <c r="N2262" s="57">
        <f>IF($A2262="","",IF(IFERROR(VALUE($M2262),0)=1,1,0))</f>
        <v/>
      </c>
      <c r="O2262" s="57">
        <f>IF($A2262="",0,IF(OR($S2262&lt;&gt;1,COUNTA($J2262:$M2262)=0),0,IF($N2262=1,$H2262,0)))</f>
        <v/>
      </c>
      <c r="P2262" s="48" t="inlineStr">
        <is>
          <t>sì/no</t>
        </is>
      </c>
      <c r="Q2262" s="57">
        <f>IF($A2262="","",$A2262&amp;"|"&amp;$C2262)</f>
        <v/>
      </c>
      <c r="R2262" s="57">
        <f>IF($A2262="","",$A2262&amp;"|"&amp;$C2262&amp;"|"&amp;$D2262)</f>
        <v/>
      </c>
      <c r="S2262" s="57">
        <f>IF($A2262="","",IFERROR(INDEX(Offerte!$D$2:$D$81,MATCH($Q2262,Offerte!$L$2:$L$81,0)),0))</f>
        <v/>
      </c>
      <c r="T2262" s="57">
        <f>IF($A2262="","",IFERROR(INDEX(Offerte!$G$2:$G$81,MATCH($Q2262,Offerte!$L$2:$L$81,0)),"NO"))</f>
        <v/>
      </c>
    </row>
    <row r="2263">
      <c r="A2263" s="48">
        <f>IF(Offerte!$A74="","",Offerte!$A74)</f>
        <v/>
      </c>
      <c r="B2263" s="48">
        <f>IF(Offerte!$A74="","",Offerte!$B74)</f>
        <v/>
      </c>
      <c r="C2263" s="48">
        <f>IF(Offerte!$A74="","",Offerte!$C74)</f>
        <v/>
      </c>
      <c r="D2263" s="48" t="inlineStr">
        <is>
          <t>G.1.1</t>
        </is>
      </c>
      <c r="E2263" s="48" t="inlineStr">
        <is>
          <t>G</t>
        </is>
      </c>
      <c r="F2263" s="48" t="inlineStr">
        <is>
          <t>D</t>
        </is>
      </c>
      <c r="G2263" s="48" t="inlineStr">
        <is>
          <t>discretionary</t>
        </is>
      </c>
      <c r="H2263" s="48" t="n">
        <v>2</v>
      </c>
      <c r="I2263" s="48" t="inlineStr">
        <is>
          <t>Qualità del progetto di centrale di controllo aziendale</t>
        </is>
      </c>
      <c r="J2263" s="73" t="n"/>
      <c r="K2263" s="73" t="n"/>
      <c r="L2263" s="73" t="n"/>
      <c r="M2263" s="73" t="n"/>
      <c r="N2263" s="57">
        <f>IF($A2263="","",MAX(0,MIN(1,IFERROR(VALUE($M2263),0))))</f>
        <v/>
      </c>
      <c r="O2263" s="57">
        <f>IF($A2263="",0,IF(OR($S2263&lt;&gt;1,COUNTA($J2263:$M2263)=0),0,IF(SUMPRODUCT(MAX(($C$5:$C$2484=$C2263)*($D$5:$D$2484=$D2263)*($S$5:$S$2484=1)*IFERROR($N$5:$N$2484*1,0)))&gt;0,ROUND($H2263*($N2263/SUMPRODUCT(MAX(($C$5:$C$2484=$C2263)*($D$5:$D$2484=$D2263)*($S$5:$S$2484=1)*IFERROR($N$5:$N$2484*1,0)))),4),0)))</f>
        <v/>
      </c>
      <c r="P2263" s="48" t="inlineStr">
        <is>
          <t>coeff.</t>
        </is>
      </c>
      <c r="Q2263" s="57">
        <f>IF($A2263="","",$A2263&amp;"|"&amp;$C2263)</f>
        <v/>
      </c>
      <c r="R2263" s="57">
        <f>IF($A2263="","",$A2263&amp;"|"&amp;$C2263&amp;"|"&amp;$D2263)</f>
        <v/>
      </c>
      <c r="S2263" s="57">
        <f>IF($A2263="","",IFERROR(INDEX(Offerte!$D$2:$D$81,MATCH($Q2263,Offerte!$L$2:$L$81,0)),0))</f>
        <v/>
      </c>
      <c r="T2263" s="57">
        <f>IF($A2263="","",IFERROR(INDEX(Offerte!$G$2:$G$81,MATCH($Q2263,Offerte!$L$2:$L$81,0)),"NO"))</f>
        <v/>
      </c>
    </row>
    <row r="2264">
      <c r="A2264" s="48">
        <f>IF(Offerte!$A74="","",Offerte!$A74)</f>
        <v/>
      </c>
      <c r="B2264" s="48">
        <f>IF(Offerte!$A74="","",Offerte!$B74)</f>
        <v/>
      </c>
      <c r="C2264" s="48">
        <f>IF(Offerte!$A74="","",Offerte!$C74)</f>
        <v/>
      </c>
      <c r="D2264" s="48" t="inlineStr">
        <is>
          <t>G.2.1</t>
        </is>
      </c>
      <c r="E2264" s="48" t="inlineStr">
        <is>
          <t>G</t>
        </is>
      </c>
      <c r="F2264" s="48" t="inlineStr">
        <is>
          <t>T</t>
        </is>
      </c>
      <c r="G2264" s="48" t="inlineStr">
        <is>
          <t>tabular</t>
        </is>
      </c>
      <c r="H2264" s="48" t="n">
        <v>1</v>
      </c>
      <c r="I2264" s="48" t="inlineStr">
        <is>
          <t>Certificazione ISO 45001</t>
        </is>
      </c>
      <c r="J2264" s="73" t="n"/>
      <c r="K2264" s="73" t="n"/>
      <c r="L2264" s="73" t="n"/>
      <c r="M2264" s="73" t="n"/>
      <c r="N2264" s="57">
        <f>IF($A2264="","",IF(IFERROR(VALUE($M2264),0)=1,1,0))</f>
        <v/>
      </c>
      <c r="O2264" s="57">
        <f>IF($A2264="",0,IF(OR($S2264&lt;&gt;1,COUNTA($J2264:$M2264)=0),0,IF($N2264=1,$H2264,0)))</f>
        <v/>
      </c>
      <c r="P2264" s="48" t="inlineStr">
        <is>
          <t>sì/no</t>
        </is>
      </c>
      <c r="Q2264" s="57">
        <f>IF($A2264="","",$A2264&amp;"|"&amp;$C2264)</f>
        <v/>
      </c>
      <c r="R2264" s="57">
        <f>IF($A2264="","",$A2264&amp;"|"&amp;$C2264&amp;"|"&amp;$D2264)</f>
        <v/>
      </c>
      <c r="S2264" s="57">
        <f>IF($A2264="","",IFERROR(INDEX(Offerte!$D$2:$D$81,MATCH($Q2264,Offerte!$L$2:$L$81,0)),0))</f>
        <v/>
      </c>
      <c r="T2264" s="57">
        <f>IF($A2264="","",IFERROR(INDEX(Offerte!$G$2:$G$81,MATCH($Q2264,Offerte!$L$2:$L$81,0)),"NO"))</f>
        <v/>
      </c>
    </row>
    <row r="2265">
      <c r="A2265" s="48">
        <f>IF(Offerte!$A74="","",Offerte!$A74)</f>
        <v/>
      </c>
      <c r="B2265" s="48">
        <f>IF(Offerte!$A74="","",Offerte!$B74)</f>
        <v/>
      </c>
      <c r="C2265" s="48">
        <f>IF(Offerte!$A74="","",Offerte!$C74)</f>
        <v/>
      </c>
      <c r="D2265" s="48" t="inlineStr">
        <is>
          <t>G.3.1</t>
        </is>
      </c>
      <c r="E2265" s="48" t="inlineStr">
        <is>
          <t>G</t>
        </is>
      </c>
      <c r="F2265" s="48" t="inlineStr">
        <is>
          <t>T</t>
        </is>
      </c>
      <c r="G2265" s="48" t="inlineStr">
        <is>
          <t>tabular</t>
        </is>
      </c>
      <c r="H2265" s="48" t="n">
        <v>1</v>
      </c>
      <c r="I2265" s="48" t="inlineStr">
        <is>
          <t>Certificazioni di responsabilità sociale</t>
        </is>
      </c>
      <c r="J2265" s="73" t="n"/>
      <c r="K2265" s="73" t="n"/>
      <c r="L2265" s="73" t="n"/>
      <c r="M2265" s="73" t="n"/>
      <c r="N2265" s="57">
        <f>IF($A2265="","",IF(IFERROR(VALUE($M2265),0)=1,1,0))</f>
        <v/>
      </c>
      <c r="O2265" s="57">
        <f>IF($A2265="",0,IF(OR($S2265&lt;&gt;1,COUNTA($J2265:$M2265)=0),0,IF($N2265=1,$H2265,0)))</f>
        <v/>
      </c>
      <c r="P2265" s="48" t="inlineStr">
        <is>
          <t>sì/no</t>
        </is>
      </c>
      <c r="Q2265" s="57">
        <f>IF($A2265="","",$A2265&amp;"|"&amp;$C2265)</f>
        <v/>
      </c>
      <c r="R2265" s="57">
        <f>IF($A2265="","",$A2265&amp;"|"&amp;$C2265&amp;"|"&amp;$D2265)</f>
        <v/>
      </c>
      <c r="S2265" s="57">
        <f>IF($A2265="","",IFERROR(INDEX(Offerte!$D$2:$D$81,MATCH($Q2265,Offerte!$L$2:$L$81,0)),0))</f>
        <v/>
      </c>
      <c r="T2265" s="57">
        <f>IF($A2265="","",IFERROR(INDEX(Offerte!$G$2:$G$81,MATCH($Q2265,Offerte!$L$2:$L$81,0)),"NO"))</f>
        <v/>
      </c>
    </row>
    <row r="2266">
      <c r="A2266" s="48">
        <f>IF(Offerte!$A74="","",Offerte!$A74)</f>
        <v/>
      </c>
      <c r="B2266" s="48">
        <f>IF(Offerte!$A74="","",Offerte!$B74)</f>
        <v/>
      </c>
      <c r="C2266" s="48">
        <f>IF(Offerte!$A74="","",Offerte!$C74)</f>
        <v/>
      </c>
      <c r="D2266" s="48" t="inlineStr">
        <is>
          <t>G.4.1</t>
        </is>
      </c>
      <c r="E2266" s="48" t="inlineStr">
        <is>
          <t>G</t>
        </is>
      </c>
      <c r="F2266" s="48" t="inlineStr">
        <is>
          <t>D</t>
        </is>
      </c>
      <c r="G2266" s="48" t="inlineStr">
        <is>
          <t>discretionary</t>
        </is>
      </c>
      <c r="H2266" s="48" t="n">
        <v>2</v>
      </c>
      <c r="I2266" s="48" t="inlineStr">
        <is>
          <t>Qualità del piano di formazione del personale</t>
        </is>
      </c>
      <c r="J2266" s="73" t="n"/>
      <c r="K2266" s="73" t="n"/>
      <c r="L2266" s="73" t="n"/>
      <c r="M2266" s="73" t="n"/>
      <c r="N2266" s="57">
        <f>IF($A2266="","",MAX(0,MIN(1,IFERROR(VALUE($M2266),0))))</f>
        <v/>
      </c>
      <c r="O2266" s="57">
        <f>IF($A2266="",0,IF(OR($S2266&lt;&gt;1,COUNTA($J2266:$M2266)=0),0,IF(SUMPRODUCT(MAX(($C$5:$C$2484=$C2266)*($D$5:$D$2484=$D2266)*($S$5:$S$2484=1)*IFERROR($N$5:$N$2484*1,0)))&gt;0,ROUND($H2266*($N2266/SUMPRODUCT(MAX(($C$5:$C$2484=$C2266)*($D$5:$D$2484=$D2266)*($S$5:$S$2484=1)*IFERROR($N$5:$N$2484*1,0)))),4),0)))</f>
        <v/>
      </c>
      <c r="P2266" s="48" t="inlineStr">
        <is>
          <t>coeff.</t>
        </is>
      </c>
      <c r="Q2266" s="57">
        <f>IF($A2266="","",$A2266&amp;"|"&amp;$C2266)</f>
        <v/>
      </c>
      <c r="R2266" s="57">
        <f>IF($A2266="","",$A2266&amp;"|"&amp;$C2266&amp;"|"&amp;$D2266)</f>
        <v/>
      </c>
      <c r="S2266" s="57">
        <f>IF($A2266="","",IFERROR(INDEX(Offerte!$D$2:$D$81,MATCH($Q2266,Offerte!$L$2:$L$81,0)),0))</f>
        <v/>
      </c>
      <c r="T2266" s="57">
        <f>IF($A2266="","",IFERROR(INDEX(Offerte!$G$2:$G$81,MATCH($Q2266,Offerte!$L$2:$L$81,0)),"NO"))</f>
        <v/>
      </c>
    </row>
    <row r="2267">
      <c r="A2267" s="48">
        <f>IF(Offerte!$A74="","",Offerte!$A74)</f>
        <v/>
      </c>
      <c r="B2267" s="48">
        <f>IF(Offerte!$A74="","",Offerte!$B74)</f>
        <v/>
      </c>
      <c r="C2267" s="48">
        <f>IF(Offerte!$A74="","",Offerte!$C74)</f>
        <v/>
      </c>
      <c r="D2267" s="48" t="inlineStr">
        <is>
          <t>G.5.1</t>
        </is>
      </c>
      <c r="E2267" s="48" t="inlineStr">
        <is>
          <t>G</t>
        </is>
      </c>
      <c r="F2267" s="48" t="inlineStr">
        <is>
          <t>T</t>
        </is>
      </c>
      <c r="G2267" s="48" t="inlineStr">
        <is>
          <t>tabular</t>
        </is>
      </c>
      <c r="H2267" s="48" t="n">
        <v>1</v>
      </c>
      <c r="I2267" s="48" t="inlineStr">
        <is>
          <t>Impegno al mantenimento delle garanzie del contratto di secondo livello del gestore uscente</t>
        </is>
      </c>
      <c r="J2267" s="73" t="n"/>
      <c r="K2267" s="73" t="n"/>
      <c r="L2267" s="73" t="n"/>
      <c r="M2267" s="73" t="n"/>
      <c r="N2267" s="57">
        <f>IF($A2267="","",IF(IFERROR(VALUE($M2267),0)=1,1,0))</f>
        <v/>
      </c>
      <c r="O2267" s="57">
        <f>IF($A2267="",0,IF(OR($S2267&lt;&gt;1,COUNTA($J2267:$M2267)=0),0,IF($N2267=1,$H2267,0)))</f>
        <v/>
      </c>
      <c r="P2267" s="48" t="inlineStr">
        <is>
          <t>sì/no</t>
        </is>
      </c>
      <c r="Q2267" s="57">
        <f>IF($A2267="","",$A2267&amp;"|"&amp;$C2267)</f>
        <v/>
      </c>
      <c r="R2267" s="57">
        <f>IF($A2267="","",$A2267&amp;"|"&amp;$C2267&amp;"|"&amp;$D2267)</f>
        <v/>
      </c>
      <c r="S2267" s="57">
        <f>IF($A2267="","",IFERROR(INDEX(Offerte!$D$2:$D$81,MATCH($Q2267,Offerte!$L$2:$L$81,0)),0))</f>
        <v/>
      </c>
      <c r="T2267" s="57">
        <f>IF($A2267="","",IFERROR(INDEX(Offerte!$G$2:$G$81,MATCH($Q2267,Offerte!$L$2:$L$81,0)),"NO"))</f>
        <v/>
      </c>
    </row>
    <row r="2268">
      <c r="A2268" s="48">
        <f>IF(Offerte!$A75="","",Offerte!$A75)</f>
        <v/>
      </c>
      <c r="B2268" s="48">
        <f>IF(Offerte!$A75="","",Offerte!$B75)</f>
        <v/>
      </c>
      <c r="C2268" s="48">
        <f>IF(Offerte!$A75="","",Offerte!$C75)</f>
        <v/>
      </c>
      <c r="D2268" s="48" t="inlineStr">
        <is>
          <t>A.1.1</t>
        </is>
      </c>
      <c r="E2268" s="48" t="inlineStr">
        <is>
          <t>A</t>
        </is>
      </c>
      <c r="F2268" s="48" t="inlineStr">
        <is>
          <t>Q</t>
        </is>
      </c>
      <c r="G2268" s="48" t="inlineStr">
        <is>
          <t>higher</t>
        </is>
      </c>
      <c r="H2268" s="48" t="n">
        <v>3</v>
      </c>
      <c r="I2268" s="48" t="inlineStr">
        <is>
          <t>Tasso aggiuntivo di corse controllate</t>
        </is>
      </c>
      <c r="J2268" s="73" t="n"/>
      <c r="K2268" s="73" t="n"/>
      <c r="L2268" s="73" t="n"/>
      <c r="M2268" s="73" t="n"/>
      <c r="N2268" s="57">
        <f>IF($A2268="","",IFERROR(VALUE($K2268)/VALUE($L2268)*100,IFERROR(VALUE($J2268),0)))</f>
        <v/>
      </c>
      <c r="O2268" s="57">
        <f>IF($A2268="",0,IF(OR($S2268&lt;&gt;1,COUNTA($J2268:$M2268)=0),0,IF(SUMPRODUCT(MAX(($C$5:$C$2484=$C2268)*($D$5:$D$2484=$D2268)*($S$5:$S$2484=1)*IFERROR($N$5:$N$2484*1,0)))&gt;0,ROUND($H2268*($N2268/SUMPRODUCT(MAX(($C$5:$C$2484=$C2268)*($D$5:$D$2484=$D2268)*($S$5:$S$2484=1)*IFERROR($N$5:$N$2484*1,0)))),4),0)))</f>
        <v/>
      </c>
      <c r="P2268" s="48" t="inlineStr">
        <is>
          <t>Corse controllate annue / Corse programmate annue</t>
        </is>
      </c>
      <c r="Q2268" s="57">
        <f>IF($A2268="","",$A2268&amp;"|"&amp;$C2268)</f>
        <v/>
      </c>
      <c r="R2268" s="57">
        <f>IF($A2268="","",$A2268&amp;"|"&amp;$C2268&amp;"|"&amp;$D2268)</f>
        <v/>
      </c>
      <c r="S2268" s="57">
        <f>IF($A2268="","",IFERROR(INDEX(Offerte!$D$2:$D$81,MATCH($Q2268,Offerte!$L$2:$L$81,0)),0))</f>
        <v/>
      </c>
      <c r="T2268" s="57">
        <f>IF($A2268="","",IFERROR(INDEX(Offerte!$G$2:$G$81,MATCH($Q2268,Offerte!$L$2:$L$81,0)),"NO"))</f>
        <v/>
      </c>
    </row>
    <row r="2269">
      <c r="A2269" s="48">
        <f>IF(Offerte!$A75="","",Offerte!$A75)</f>
        <v/>
      </c>
      <c r="B2269" s="48">
        <f>IF(Offerte!$A75="","",Offerte!$B75)</f>
        <v/>
      </c>
      <c r="C2269" s="48">
        <f>IF(Offerte!$A75="","",Offerte!$C75)</f>
        <v/>
      </c>
      <c r="D2269" s="48" t="inlineStr">
        <is>
          <t>A.1.2</t>
        </is>
      </c>
      <c r="E2269" s="48" t="inlineStr">
        <is>
          <t>A</t>
        </is>
      </c>
      <c r="F2269" s="48" t="inlineStr">
        <is>
          <t>Q</t>
        </is>
      </c>
      <c r="G2269" s="48" t="inlineStr">
        <is>
          <t>higher</t>
        </is>
      </c>
      <c r="H2269" s="48" t="n">
        <v>4</v>
      </c>
      <c r="I2269" s="48" t="inlineStr">
        <is>
          <t>Numero aggiuntivo di passeggeri controllati</t>
        </is>
      </c>
      <c r="J2269" s="73" t="n"/>
      <c r="K2269" s="73" t="n"/>
      <c r="L2269" s="73" t="n"/>
      <c r="M2269" s="73" t="n"/>
      <c r="N2269" s="57">
        <f>IF($A2269="","",IFERROR(VALUE($J2269),0))</f>
        <v/>
      </c>
      <c r="O2269" s="57">
        <f>IF($A2269="",0,IF(OR($S2269&lt;&gt;1,COUNTA($J2269:$M2269)=0),0,IF(SUMPRODUCT(MAX(($C$5:$C$2484=$C2269)*($D$5:$D$2484=$D2269)*($S$5:$S$2484=1)*IFERROR($N$5:$N$2484*1,0)))&gt;0,ROUND($H2269*($N2269/SUMPRODUCT(MAX(($C$5:$C$2484=$C2269)*($D$5:$D$2484=$D2269)*($S$5:$S$2484=1)*IFERROR($N$5:$N$2484*1,0)))),4),0)))</f>
        <v/>
      </c>
      <c r="P2269" s="48" t="inlineStr">
        <is>
          <t>passeggeri/anno</t>
        </is>
      </c>
      <c r="Q2269" s="57">
        <f>IF($A2269="","",$A2269&amp;"|"&amp;$C2269)</f>
        <v/>
      </c>
      <c r="R2269" s="57">
        <f>IF($A2269="","",$A2269&amp;"|"&amp;$C2269&amp;"|"&amp;$D2269)</f>
        <v/>
      </c>
      <c r="S2269" s="57">
        <f>IF($A2269="","",IFERROR(INDEX(Offerte!$D$2:$D$81,MATCH($Q2269,Offerte!$L$2:$L$81,0)),0))</f>
        <v/>
      </c>
      <c r="T2269" s="57">
        <f>IF($A2269="","",IFERROR(INDEX(Offerte!$G$2:$G$81,MATCH($Q2269,Offerte!$L$2:$L$81,0)),"NO"))</f>
        <v/>
      </c>
    </row>
    <row r="2270">
      <c r="A2270" s="48">
        <f>IF(Offerte!$A75="","",Offerte!$A75)</f>
        <v/>
      </c>
      <c r="B2270" s="48">
        <f>IF(Offerte!$A75="","",Offerte!$B75)</f>
        <v/>
      </c>
      <c r="C2270" s="48">
        <f>IF(Offerte!$A75="","",Offerte!$C75)</f>
        <v/>
      </c>
      <c r="D2270" s="48" t="inlineStr">
        <is>
          <t>B.1.1</t>
        </is>
      </c>
      <c r="E2270" s="48" t="inlineStr">
        <is>
          <t>B</t>
        </is>
      </c>
      <c r="F2270" s="48" t="inlineStr">
        <is>
          <t>Q</t>
        </is>
      </c>
      <c r="G2270" s="48" t="inlineStr">
        <is>
          <t>higher</t>
        </is>
      </c>
      <c r="H2270" s="48" t="n">
        <v>3</v>
      </c>
      <c r="I2270" s="48" t="inlineStr">
        <is>
          <t>Incremento dei posti offerti nelle fasce di punta</t>
        </is>
      </c>
      <c r="J2270" s="73" t="n"/>
      <c r="K2270" s="73" t="n"/>
      <c r="L2270" s="73" t="n"/>
      <c r="M2270" s="73" t="n"/>
      <c r="N2270" s="57">
        <f>IF($A2270="","",IFERROR(VALUE($J2270),0))</f>
        <v/>
      </c>
      <c r="O2270" s="57">
        <f>IF($A2270="",0,IF(OR($S2270&lt;&gt;1,COUNTA($J2270:$M2270)=0),0,IF(SUMPRODUCT(MAX(($C$5:$C$2484=$C2270)*($D$5:$D$2484=$D2270)*($S$5:$S$2484=1)*IFERROR($N$5:$N$2484*1,0)))&gt;0,ROUND($H2270*($N2270/SUMPRODUCT(MAX(($C$5:$C$2484=$C2270)*($D$5:$D$2484=$D2270)*($S$5:$S$2484=1)*IFERROR($N$5:$N$2484*1,0)))),4),0)))</f>
        <v/>
      </c>
      <c r="P2270" s="48" t="inlineStr">
        <is>
          <t>posti*km</t>
        </is>
      </c>
      <c r="Q2270" s="57">
        <f>IF($A2270="","",$A2270&amp;"|"&amp;$C2270)</f>
        <v/>
      </c>
      <c r="R2270" s="57">
        <f>IF($A2270="","",$A2270&amp;"|"&amp;$C2270&amp;"|"&amp;$D2270)</f>
        <v/>
      </c>
      <c r="S2270" s="57">
        <f>IF($A2270="","",IFERROR(INDEX(Offerte!$D$2:$D$81,MATCH($Q2270,Offerte!$L$2:$L$81,0)),0))</f>
        <v/>
      </c>
      <c r="T2270" s="57">
        <f>IF($A2270="","",IFERROR(INDEX(Offerte!$G$2:$G$81,MATCH($Q2270,Offerte!$L$2:$L$81,0)),"NO"))</f>
        <v/>
      </c>
    </row>
    <row r="2271">
      <c r="A2271" s="48">
        <f>IF(Offerte!$A75="","",Offerte!$A75)</f>
        <v/>
      </c>
      <c r="B2271" s="48">
        <f>IF(Offerte!$A75="","",Offerte!$B75)</f>
        <v/>
      </c>
      <c r="C2271" s="48">
        <f>IF(Offerte!$A75="","",Offerte!$C75)</f>
        <v/>
      </c>
      <c r="D2271" s="48" t="inlineStr">
        <is>
          <t>B.2.1</t>
        </is>
      </c>
      <c r="E2271" s="48" t="inlineStr">
        <is>
          <t>B</t>
        </is>
      </c>
      <c r="F2271" s="48" t="inlineStr">
        <is>
          <t>Q</t>
        </is>
      </c>
      <c r="G2271" s="48" t="inlineStr">
        <is>
          <t>higher</t>
        </is>
      </c>
      <c r="H2271" s="48" t="n">
        <v>4</v>
      </c>
      <c r="I2271" s="48" t="inlineStr">
        <is>
          <t>Corse aggiuntive nell'arco giornaliero base</t>
        </is>
      </c>
      <c r="J2271" s="73" t="n"/>
      <c r="K2271" s="73" t="n"/>
      <c r="L2271" s="73" t="n"/>
      <c r="M2271" s="73" t="n"/>
      <c r="N2271" s="57">
        <f>IF($A2271="","",IFERROR(VALUE($J2271),0))</f>
        <v/>
      </c>
      <c r="O2271" s="57">
        <f>IF($A2271="",0,IF(OR($S2271&lt;&gt;1,COUNTA($J2271:$M2271)=0),0,IF(SUMPRODUCT(MAX(($C$5:$C$2484=$C2271)*($D$5:$D$2484=$D2271)*($S$5:$S$2484=1)*IFERROR($N$5:$N$2484*1,0)))&gt;0,ROUND($H2271*($N2271/SUMPRODUCT(MAX(($C$5:$C$2484=$C2271)*($D$5:$D$2484=$D2271)*($S$5:$S$2484=1)*IFERROR($N$5:$N$2484*1,0)))),4),0)))</f>
        <v/>
      </c>
      <c r="P2271" s="48" t="inlineStr">
        <is>
          <t>corse</t>
        </is>
      </c>
      <c r="Q2271" s="57">
        <f>IF($A2271="","",$A2271&amp;"|"&amp;$C2271)</f>
        <v/>
      </c>
      <c r="R2271" s="57">
        <f>IF($A2271="","",$A2271&amp;"|"&amp;$C2271&amp;"|"&amp;$D2271)</f>
        <v/>
      </c>
      <c r="S2271" s="57">
        <f>IF($A2271="","",IFERROR(INDEX(Offerte!$D$2:$D$81,MATCH($Q2271,Offerte!$L$2:$L$81,0)),0))</f>
        <v/>
      </c>
      <c r="T2271" s="57">
        <f>IF($A2271="","",IFERROR(INDEX(Offerte!$G$2:$G$81,MATCH($Q2271,Offerte!$L$2:$L$81,0)),"NO"))</f>
        <v/>
      </c>
    </row>
    <row r="2272">
      <c r="A2272" s="48">
        <f>IF(Offerte!$A75="","",Offerte!$A75)</f>
        <v/>
      </c>
      <c r="B2272" s="48">
        <f>IF(Offerte!$A75="","",Offerte!$B75)</f>
        <v/>
      </c>
      <c r="C2272" s="48">
        <f>IF(Offerte!$A75="","",Offerte!$C75)</f>
        <v/>
      </c>
      <c r="D2272" s="48" t="inlineStr">
        <is>
          <t>B.3.1</t>
        </is>
      </c>
      <c r="E2272" s="48" t="inlineStr">
        <is>
          <t>B</t>
        </is>
      </c>
      <c r="F2272" s="48" t="inlineStr">
        <is>
          <t>Q</t>
        </is>
      </c>
      <c r="G2272" s="48" t="inlineStr">
        <is>
          <t>higher</t>
        </is>
      </c>
      <c r="H2272" s="48" t="n">
        <v>2</v>
      </c>
      <c r="I2272" s="48" t="inlineStr">
        <is>
          <t>Numero di corse aggiuntive per allungamento dell'arco di servizio giornaliero nelle fasce serali</t>
        </is>
      </c>
      <c r="J2272" s="73" t="n"/>
      <c r="K2272" s="73" t="n"/>
      <c r="L2272" s="73" t="n"/>
      <c r="M2272" s="73" t="n"/>
      <c r="N2272" s="57">
        <f>IF($A2272="","",IFERROR(VALUE($J2272),0))</f>
        <v/>
      </c>
      <c r="O2272" s="57">
        <f>IF($A2272="",0,IF(OR($S2272&lt;&gt;1,COUNTA($J2272:$M2272)=0),0,IF(SUMPRODUCT(MAX(($C$5:$C$2484=$C2272)*($D$5:$D$2484=$D2272)*($S$5:$S$2484=1)*IFERROR($N$5:$N$2484*1,0)))&gt;0,ROUND($H2272*($N2272/SUMPRODUCT(MAX(($C$5:$C$2484=$C2272)*($D$5:$D$2484=$D2272)*($S$5:$S$2484=1)*IFERROR($N$5:$N$2484*1,0)))),4),0)))</f>
        <v/>
      </c>
      <c r="P2272" s="48" t="inlineStr">
        <is>
          <t>corse</t>
        </is>
      </c>
      <c r="Q2272" s="57">
        <f>IF($A2272="","",$A2272&amp;"|"&amp;$C2272)</f>
        <v/>
      </c>
      <c r="R2272" s="57">
        <f>IF($A2272="","",$A2272&amp;"|"&amp;$C2272&amp;"|"&amp;$D2272)</f>
        <v/>
      </c>
      <c r="S2272" s="57">
        <f>IF($A2272="","",IFERROR(INDEX(Offerte!$D$2:$D$81,MATCH($Q2272,Offerte!$L$2:$L$81,0)),0))</f>
        <v/>
      </c>
      <c r="T2272" s="57">
        <f>IF($A2272="","",IFERROR(INDEX(Offerte!$G$2:$G$81,MATCH($Q2272,Offerte!$L$2:$L$81,0)),"NO"))</f>
        <v/>
      </c>
    </row>
    <row r="2273">
      <c r="A2273" s="48">
        <f>IF(Offerte!$A75="","",Offerte!$A75)</f>
        <v/>
      </c>
      <c r="B2273" s="48">
        <f>IF(Offerte!$A75="","",Offerte!$B75)</f>
        <v/>
      </c>
      <c r="C2273" s="48">
        <f>IF(Offerte!$A75="","",Offerte!$C75)</f>
        <v/>
      </c>
      <c r="D2273" s="48" t="inlineStr">
        <is>
          <t>B.4.1</t>
        </is>
      </c>
      <c r="E2273" s="48" t="inlineStr">
        <is>
          <t>B</t>
        </is>
      </c>
      <c r="F2273" s="48" t="inlineStr">
        <is>
          <t>Q</t>
        </is>
      </c>
      <c r="G2273" s="48" t="inlineStr">
        <is>
          <t>higher</t>
        </is>
      </c>
      <c r="H2273" s="48" t="n">
        <v>3</v>
      </c>
      <c r="I2273" s="48" t="inlineStr">
        <is>
          <t>Percorrenze aggiuntive offerte nel Programma d'esercizio delle prime due fasi attuative</t>
        </is>
      </c>
      <c r="J2273" s="73" t="n"/>
      <c r="K2273" s="73" t="n"/>
      <c r="L2273" s="73" t="n"/>
      <c r="M2273" s="73" t="n"/>
      <c r="N2273" s="57">
        <f>IF($A2273="","",IFERROR(VALUE($J2273),0))</f>
        <v/>
      </c>
      <c r="O2273" s="57">
        <f>IF($A2273="",0,IF(OR($S2273&lt;&gt;1,COUNTA($J2273:$M2273)=0),0,IF(SUMPRODUCT(MAX(($C$5:$C$2484=$C2273)*($D$5:$D$2484=$D2273)*($S$5:$S$2484=1)*IFERROR($N$5:$N$2484*1,0)))&gt;0,ROUND($H2273*($N2273/SUMPRODUCT(MAX(($C$5:$C$2484=$C2273)*($D$5:$D$2484=$D2273)*($S$5:$S$2484=1)*IFERROR($N$5:$N$2484*1,0)))),4),0)))</f>
        <v/>
      </c>
      <c r="P2273" s="48" t="inlineStr">
        <is>
          <t>vett*km</t>
        </is>
      </c>
      <c r="Q2273" s="57">
        <f>IF($A2273="","",$A2273&amp;"|"&amp;$C2273)</f>
        <v/>
      </c>
      <c r="R2273" s="57">
        <f>IF($A2273="","",$A2273&amp;"|"&amp;$C2273&amp;"|"&amp;$D2273)</f>
        <v/>
      </c>
      <c r="S2273" s="57">
        <f>IF($A2273="","",IFERROR(INDEX(Offerte!$D$2:$D$81,MATCH($Q2273,Offerte!$L$2:$L$81,0)),0))</f>
        <v/>
      </c>
      <c r="T2273" s="57">
        <f>IF($A2273="","",IFERROR(INDEX(Offerte!$G$2:$G$81,MATCH($Q2273,Offerte!$L$2:$L$81,0)),"NO"))</f>
        <v/>
      </c>
    </row>
    <row r="2274">
      <c r="A2274" s="48">
        <f>IF(Offerte!$A75="","",Offerte!$A75)</f>
        <v/>
      </c>
      <c r="B2274" s="48">
        <f>IF(Offerte!$A75="","",Offerte!$B75)</f>
        <v/>
      </c>
      <c r="C2274" s="48">
        <f>IF(Offerte!$A75="","",Offerte!$C75)</f>
        <v/>
      </c>
      <c r="D2274" s="48" t="inlineStr">
        <is>
          <t>B.5.1</t>
        </is>
      </c>
      <c r="E2274" s="48" t="inlineStr">
        <is>
          <t>B</t>
        </is>
      </c>
      <c r="F2274" s="48" t="inlineStr">
        <is>
          <t>D</t>
        </is>
      </c>
      <c r="G2274" s="48" t="inlineStr">
        <is>
          <t>discretionary</t>
        </is>
      </c>
      <c r="H2274" s="48" t="n">
        <v>2</v>
      </c>
      <c r="I2274" s="48" t="inlineStr">
        <is>
          <t>Efficacia del progetto di servizi complementari DRT</t>
        </is>
      </c>
      <c r="J2274" s="73" t="n"/>
      <c r="K2274" s="73" t="n"/>
      <c r="L2274" s="73" t="n"/>
      <c r="M2274" s="73" t="n"/>
      <c r="N2274" s="57">
        <f>IF($A2274="","",MAX(0,MIN(1,IFERROR(VALUE($M2274),0))))</f>
        <v/>
      </c>
      <c r="O2274" s="57">
        <f>IF($A2274="",0,IF(OR($S2274&lt;&gt;1,COUNTA($J2274:$M2274)=0),0,IF(SUMPRODUCT(MAX(($C$5:$C$2484=$C2274)*($D$5:$D$2484=$D2274)*($S$5:$S$2484=1)*IFERROR($N$5:$N$2484*1,0)))&gt;0,ROUND($H2274*($N2274/SUMPRODUCT(MAX(($C$5:$C$2484=$C2274)*($D$5:$D$2484=$D2274)*($S$5:$S$2484=1)*IFERROR($N$5:$N$2484*1,0)))),4),0)))</f>
        <v/>
      </c>
      <c r="P2274" s="48" t="inlineStr">
        <is>
          <t>coeff.</t>
        </is>
      </c>
      <c r="Q2274" s="57">
        <f>IF($A2274="","",$A2274&amp;"|"&amp;$C2274)</f>
        <v/>
      </c>
      <c r="R2274" s="57">
        <f>IF($A2274="","",$A2274&amp;"|"&amp;$C2274&amp;"|"&amp;$D2274)</f>
        <v/>
      </c>
      <c r="S2274" s="57">
        <f>IF($A2274="","",IFERROR(INDEX(Offerte!$D$2:$D$81,MATCH($Q2274,Offerte!$L$2:$L$81,0)),0))</f>
        <v/>
      </c>
      <c r="T2274" s="57">
        <f>IF($A2274="","",IFERROR(INDEX(Offerte!$G$2:$G$81,MATCH($Q2274,Offerte!$L$2:$L$81,0)),"NO"))</f>
        <v/>
      </c>
    </row>
    <row r="2275">
      <c r="A2275" s="48">
        <f>IF(Offerte!$A75="","",Offerte!$A75)</f>
        <v/>
      </c>
      <c r="B2275" s="48">
        <f>IF(Offerte!$A75="","",Offerte!$B75)</f>
        <v/>
      </c>
      <c r="C2275" s="48">
        <f>IF(Offerte!$A75="","",Offerte!$C75)</f>
        <v/>
      </c>
      <c r="D2275" s="48" t="inlineStr">
        <is>
          <t>C.1.1</t>
        </is>
      </c>
      <c r="E2275" s="48" t="inlineStr">
        <is>
          <t>C</t>
        </is>
      </c>
      <c r="F2275" s="48" t="inlineStr">
        <is>
          <t>Q</t>
        </is>
      </c>
      <c r="G2275" s="48" t="inlineStr">
        <is>
          <t>higher</t>
        </is>
      </c>
      <c r="H2275" s="48" t="n">
        <v>2</v>
      </c>
      <c r="I2275" s="48" t="inlineStr">
        <is>
          <t>Tasso di copertura del servizio con telecamere BSD</t>
        </is>
      </c>
      <c r="J2275" s="73" t="n"/>
      <c r="K2275" s="73" t="n"/>
      <c r="L2275" s="73" t="n"/>
      <c r="M2275" s="73" t="n"/>
      <c r="N2275" s="57">
        <f>IF($A2275="","",IFERROR(VALUE($K2275)/VALUE($L2275),IFERROR(VALUE($J2275),0)))</f>
        <v/>
      </c>
      <c r="O2275" s="57">
        <f>IF($A2275="",0,IF(OR($S2275&lt;&gt;1,COUNTA($J2275:$M2275)=0),0,IF(SUMPRODUCT(MAX(($C$5:$C$2484=$C2275)*($D$5:$D$2484=$D2275)*($S$5:$S$2484=1)*IFERROR($N$5:$N$2484*1,0)))&gt;0,ROUND($H2275*($N2275/SUMPRODUCT(MAX(($C$5:$C$2484=$C2275)*($D$5:$D$2484=$D2275)*($S$5:$S$2484=1)*IFERROR($N$5:$N$2484*1,0)))),4),0)))</f>
        <v/>
      </c>
      <c r="P2275" s="48" t="inlineStr">
        <is>
          <t>Autobus attrezzati con telecamere BSD / Autobus totali in offerta, incluse scorte</t>
        </is>
      </c>
      <c r="Q2275" s="57">
        <f>IF($A2275="","",$A2275&amp;"|"&amp;$C2275)</f>
        <v/>
      </c>
      <c r="R2275" s="57">
        <f>IF($A2275="","",$A2275&amp;"|"&amp;$C2275&amp;"|"&amp;$D2275)</f>
        <v/>
      </c>
      <c r="S2275" s="57">
        <f>IF($A2275="","",IFERROR(INDEX(Offerte!$D$2:$D$81,MATCH($Q2275,Offerte!$L$2:$L$81,0)),0))</f>
        <v/>
      </c>
      <c r="T2275" s="57">
        <f>IF($A2275="","",IFERROR(INDEX(Offerte!$G$2:$G$81,MATCH($Q2275,Offerte!$L$2:$L$81,0)),"NO"))</f>
        <v/>
      </c>
    </row>
    <row r="2276">
      <c r="A2276" s="48">
        <f>IF(Offerte!$A75="","",Offerte!$A75)</f>
        <v/>
      </c>
      <c r="B2276" s="48">
        <f>IF(Offerte!$A75="","",Offerte!$B75)</f>
        <v/>
      </c>
      <c r="C2276" s="48">
        <f>IF(Offerte!$A75="","",Offerte!$C75)</f>
        <v/>
      </c>
      <c r="D2276" s="48" t="inlineStr">
        <is>
          <t>C.1.2</t>
        </is>
      </c>
      <c r="E2276" s="48" t="inlineStr">
        <is>
          <t>C</t>
        </is>
      </c>
      <c r="F2276" s="48" t="inlineStr">
        <is>
          <t>Q</t>
        </is>
      </c>
      <c r="G2276" s="48" t="inlineStr">
        <is>
          <t>higher</t>
        </is>
      </c>
      <c r="H2276" s="48" t="n">
        <v>2</v>
      </c>
      <c r="I2276" s="48" t="inlineStr">
        <is>
          <t>Tasso di copertura del servizio con telecamere ADAS</t>
        </is>
      </c>
      <c r="J2276" s="73" t="n"/>
      <c r="K2276" s="73" t="n"/>
      <c r="L2276" s="73" t="n"/>
      <c r="M2276" s="73" t="n"/>
      <c r="N2276" s="57">
        <f>IF($A2276="","",IFERROR(VALUE($K2276)/VALUE($L2276),IFERROR(VALUE($J2276),0)))</f>
        <v/>
      </c>
      <c r="O2276" s="57">
        <f>IF($A2276="",0,IF(OR($S2276&lt;&gt;1,COUNTA($J2276:$M2276)=0),0,IF(SUMPRODUCT(MAX(($C$5:$C$2484=$C2276)*($D$5:$D$2484=$D2276)*($S$5:$S$2484=1)*IFERROR($N$5:$N$2484*1,0)))&gt;0,ROUND($H2276*($N2276/SUMPRODUCT(MAX(($C$5:$C$2484=$C2276)*($D$5:$D$2484=$D2276)*($S$5:$S$2484=1)*IFERROR($N$5:$N$2484*1,0)))),4),0)))</f>
        <v/>
      </c>
      <c r="P2276" s="48" t="inlineStr">
        <is>
          <t>Autobus attrezzati con telecamere ADAS / Autobus totali in offerta, incluse scorte</t>
        </is>
      </c>
      <c r="Q2276" s="57">
        <f>IF($A2276="","",$A2276&amp;"|"&amp;$C2276)</f>
        <v/>
      </c>
      <c r="R2276" s="57">
        <f>IF($A2276="","",$A2276&amp;"|"&amp;$C2276&amp;"|"&amp;$D2276)</f>
        <v/>
      </c>
      <c r="S2276" s="57">
        <f>IF($A2276="","",IFERROR(INDEX(Offerte!$D$2:$D$81,MATCH($Q2276,Offerte!$L$2:$L$81,0)),0))</f>
        <v/>
      </c>
      <c r="T2276" s="57">
        <f>IF($A2276="","",IFERROR(INDEX(Offerte!$G$2:$G$81,MATCH($Q2276,Offerte!$L$2:$L$81,0)),"NO"))</f>
        <v/>
      </c>
    </row>
    <row r="2277">
      <c r="A2277" s="48">
        <f>IF(Offerte!$A75="","",Offerte!$A75)</f>
        <v/>
      </c>
      <c r="B2277" s="48">
        <f>IF(Offerte!$A75="","",Offerte!$B75)</f>
        <v/>
      </c>
      <c r="C2277" s="48">
        <f>IF(Offerte!$A75="","",Offerte!$C75)</f>
        <v/>
      </c>
      <c r="D2277" s="48" t="inlineStr">
        <is>
          <t>C.2.1</t>
        </is>
      </c>
      <c r="E2277" s="48" t="inlineStr">
        <is>
          <t>C</t>
        </is>
      </c>
      <c r="F2277" s="48" t="inlineStr">
        <is>
          <t>Q</t>
        </is>
      </c>
      <c r="G2277" s="48" t="inlineStr">
        <is>
          <t>higher</t>
        </is>
      </c>
      <c r="H2277" s="48" t="n">
        <v>3</v>
      </c>
      <c r="I2277" s="48" t="inlineStr">
        <is>
          <t>Tasso di copertura del servizio con telecamere di bordo di videosorveglianza</t>
        </is>
      </c>
      <c r="J2277" s="73" t="n"/>
      <c r="K2277" s="73" t="n"/>
      <c r="L2277" s="73" t="n"/>
      <c r="M2277" s="73" t="n"/>
      <c r="N2277" s="57">
        <f>IF($A2277="","",IFERROR(VALUE($K2277)/VALUE($L2277),IFERROR(VALUE($J2277),0)))</f>
        <v/>
      </c>
      <c r="O2277" s="57">
        <f>IF($A2277="",0,IF(OR($S2277&lt;&gt;1,COUNTA($J2277:$M2277)=0),0,IF(SUMPRODUCT(MAX(($C$5:$C$2484=$C2277)*($D$5:$D$2484=$D2277)*($S$5:$S$2484=1)*IFERROR($N$5:$N$2484*1,0)))&gt;0,ROUND($H2277*($N2277/SUMPRODUCT(MAX(($C$5:$C$2484=$C2277)*($D$5:$D$2484=$D2277)*($S$5:$S$2484=1)*IFERROR($N$5:$N$2484*1,0)))),4),0)))</f>
        <v/>
      </c>
      <c r="P2277" s="48" t="inlineStr">
        <is>
          <t>Autobus attrezzati con videosorveglianza / Autobus totali in offerta, incluse scorte</t>
        </is>
      </c>
      <c r="Q2277" s="57">
        <f>IF($A2277="","",$A2277&amp;"|"&amp;$C2277)</f>
        <v/>
      </c>
      <c r="R2277" s="57">
        <f>IF($A2277="","",$A2277&amp;"|"&amp;$C2277&amp;"|"&amp;$D2277)</f>
        <v/>
      </c>
      <c r="S2277" s="57">
        <f>IF($A2277="","",IFERROR(INDEX(Offerte!$D$2:$D$81,MATCH($Q2277,Offerte!$L$2:$L$81,0)),0))</f>
        <v/>
      </c>
      <c r="T2277" s="57">
        <f>IF($A2277="","",IFERROR(INDEX(Offerte!$G$2:$G$81,MATCH($Q2277,Offerte!$L$2:$L$81,0)),"NO"))</f>
        <v/>
      </c>
    </row>
    <row r="2278">
      <c r="A2278" s="48">
        <f>IF(Offerte!$A75="","",Offerte!$A75)</f>
        <v/>
      </c>
      <c r="B2278" s="48">
        <f>IF(Offerte!$A75="","",Offerte!$B75)</f>
        <v/>
      </c>
      <c r="C2278" s="48">
        <f>IF(Offerte!$A75="","",Offerte!$C75)</f>
        <v/>
      </c>
      <c r="D2278" s="48" t="inlineStr">
        <is>
          <t>C.2.2</t>
        </is>
      </c>
      <c r="E2278" s="48" t="inlineStr">
        <is>
          <t>C</t>
        </is>
      </c>
      <c r="F2278" s="48" t="inlineStr">
        <is>
          <t>T</t>
        </is>
      </c>
      <c r="G2278" s="48" t="inlineStr">
        <is>
          <t>tabular</t>
        </is>
      </c>
      <c r="H2278" s="48" t="n">
        <v>1</v>
      </c>
      <c r="I2278" s="48" t="inlineStr">
        <is>
          <t>Software video/audio analisi per situazioni di pericolo</t>
        </is>
      </c>
      <c r="J2278" s="73" t="n"/>
      <c r="K2278" s="73" t="n"/>
      <c r="L2278" s="73" t="n"/>
      <c r="M2278" s="73" t="n"/>
      <c r="N2278" s="57">
        <f>IF($A2278="","",IF(IFERROR(VALUE($M2278),0)=1,1,0))</f>
        <v/>
      </c>
      <c r="O2278" s="57">
        <f>IF($A2278="",0,IF(OR($S2278&lt;&gt;1,COUNTA($J2278:$M2278)=0),0,IF($N2278=1,$H2278,0)))</f>
        <v/>
      </c>
      <c r="P2278" s="48" t="inlineStr">
        <is>
          <t>sì/no</t>
        </is>
      </c>
      <c r="Q2278" s="57">
        <f>IF($A2278="","",$A2278&amp;"|"&amp;$C2278)</f>
        <v/>
      </c>
      <c r="R2278" s="57">
        <f>IF($A2278="","",$A2278&amp;"|"&amp;$C2278&amp;"|"&amp;$D2278)</f>
        <v/>
      </c>
      <c r="S2278" s="57">
        <f>IF($A2278="","",IFERROR(INDEX(Offerte!$D$2:$D$81,MATCH($Q2278,Offerte!$L$2:$L$81,0)),0))</f>
        <v/>
      </c>
      <c r="T2278" s="57">
        <f>IF($A2278="","",IFERROR(INDEX(Offerte!$G$2:$G$81,MATCH($Q2278,Offerte!$L$2:$L$81,0)),"NO"))</f>
        <v/>
      </c>
    </row>
    <row r="2279">
      <c r="A2279" s="48">
        <f>IF(Offerte!$A75="","",Offerte!$A75)</f>
        <v/>
      </c>
      <c r="B2279" s="48">
        <f>IF(Offerte!$A75="","",Offerte!$B75)</f>
        <v/>
      </c>
      <c r="C2279" s="48">
        <f>IF(Offerte!$A75="","",Offerte!$C75)</f>
        <v/>
      </c>
      <c r="D2279" s="48" t="inlineStr">
        <is>
          <t>C.2.3</t>
        </is>
      </c>
      <c r="E2279" s="48" t="inlineStr">
        <is>
          <t>C</t>
        </is>
      </c>
      <c r="F2279" s="48" t="inlineStr">
        <is>
          <t>T</t>
        </is>
      </c>
      <c r="G2279" s="48" t="inlineStr">
        <is>
          <t>tabular</t>
        </is>
      </c>
      <c r="H2279" s="48" t="n">
        <v>1</v>
      </c>
      <c r="I2279" s="48" t="inlineStr">
        <is>
          <t>Collegamento con centrale qualificata di pronto intervento</t>
        </is>
      </c>
      <c r="J2279" s="73" t="n"/>
      <c r="K2279" s="73" t="n"/>
      <c r="L2279" s="73" t="n"/>
      <c r="M2279" s="73" t="n"/>
      <c r="N2279" s="57">
        <f>IF($A2279="","",IF(IFERROR(VALUE($M2279),0)=1,1,0))</f>
        <v/>
      </c>
      <c r="O2279" s="57">
        <f>IF($A2279="",0,IF(OR($S2279&lt;&gt;1,COUNTA($J2279:$M2279)=0),0,IF($N2279=1,$H2279,0)))</f>
        <v/>
      </c>
      <c r="P2279" s="48" t="inlineStr">
        <is>
          <t>sì/no</t>
        </is>
      </c>
      <c r="Q2279" s="57">
        <f>IF($A2279="","",$A2279&amp;"|"&amp;$C2279)</f>
        <v/>
      </c>
      <c r="R2279" s="57">
        <f>IF($A2279="","",$A2279&amp;"|"&amp;$C2279&amp;"|"&amp;$D2279)</f>
        <v/>
      </c>
      <c r="S2279" s="57">
        <f>IF($A2279="","",IFERROR(INDEX(Offerte!$D$2:$D$81,MATCH($Q2279,Offerte!$L$2:$L$81,0)),0))</f>
        <v/>
      </c>
      <c r="T2279" s="57">
        <f>IF($A2279="","",IFERROR(INDEX(Offerte!$G$2:$G$81,MATCH($Q2279,Offerte!$L$2:$L$81,0)),"NO"))</f>
        <v/>
      </c>
    </row>
    <row r="2280">
      <c r="A2280" s="48">
        <f>IF(Offerte!$A75="","",Offerte!$A75)</f>
        <v/>
      </c>
      <c r="B2280" s="48">
        <f>IF(Offerte!$A75="","",Offerte!$B75)</f>
        <v/>
      </c>
      <c r="C2280" s="48">
        <f>IF(Offerte!$A75="","",Offerte!$C75)</f>
        <v/>
      </c>
      <c r="D2280" s="48" t="inlineStr">
        <is>
          <t>C.2.4</t>
        </is>
      </c>
      <c r="E2280" s="48" t="inlineStr">
        <is>
          <t>C</t>
        </is>
      </c>
      <c r="F2280" s="48" t="inlineStr">
        <is>
          <t>Q</t>
        </is>
      </c>
      <c r="G2280" s="48" t="inlineStr">
        <is>
          <t>higher</t>
        </is>
      </c>
      <c r="H2280" s="48" t="n">
        <v>1</v>
      </c>
      <c r="I2280" s="48" t="inlineStr">
        <is>
          <t>Tasso di copertura del servizio con dispositivi per la chiamata di emergenza del conducente</t>
        </is>
      </c>
      <c r="J2280" s="73" t="n"/>
      <c r="K2280" s="73" t="n"/>
      <c r="L2280" s="73" t="n"/>
      <c r="M2280" s="73" t="n"/>
      <c r="N2280" s="57">
        <f>IF($A2280="","",IFERROR(VALUE($K2280)/VALUE($L2280),IFERROR(VALUE($J2280),0)))</f>
        <v/>
      </c>
      <c r="O2280" s="57">
        <f>IF($A2280="",0,IF(OR($S2280&lt;&gt;1,COUNTA($J2280:$M2280)=0),0,IF(SUMPRODUCT(MAX(($C$5:$C$2484=$C2280)*($D$5:$D$2484=$D2280)*($S$5:$S$2484=1)*IFERROR($N$5:$N$2484*1,0)))&gt;0,ROUND($H2280*($N2280/SUMPRODUCT(MAX(($C$5:$C$2484=$C2280)*($D$5:$D$2484=$D2280)*($S$5:$S$2484=1)*IFERROR($N$5:$N$2484*1,0)))),4),0)))</f>
        <v/>
      </c>
      <c r="P2280" s="48" t="inlineStr">
        <is>
          <t>Autobus attrezzati con chiamata di emergenza / Autobus totali in offerta, incluse scorte</t>
        </is>
      </c>
      <c r="Q2280" s="57">
        <f>IF($A2280="","",$A2280&amp;"|"&amp;$C2280)</f>
        <v/>
      </c>
      <c r="R2280" s="57">
        <f>IF($A2280="","",$A2280&amp;"|"&amp;$C2280&amp;"|"&amp;$D2280)</f>
        <v/>
      </c>
      <c r="S2280" s="57">
        <f>IF($A2280="","",IFERROR(INDEX(Offerte!$D$2:$D$81,MATCH($Q2280,Offerte!$L$2:$L$81,0)),0))</f>
        <v/>
      </c>
      <c r="T2280" s="57">
        <f>IF($A2280="","",IFERROR(INDEX(Offerte!$G$2:$G$81,MATCH($Q2280,Offerte!$L$2:$L$81,0)),"NO"))</f>
        <v/>
      </c>
    </row>
    <row r="2281">
      <c r="A2281" s="48">
        <f>IF(Offerte!$A75="","",Offerte!$A75)</f>
        <v/>
      </c>
      <c r="B2281" s="48">
        <f>IF(Offerte!$A75="","",Offerte!$B75)</f>
        <v/>
      </c>
      <c r="C2281" s="48">
        <f>IF(Offerte!$A75="","",Offerte!$C75)</f>
        <v/>
      </c>
      <c r="D2281" s="48" t="inlineStr">
        <is>
          <t>C.3.1</t>
        </is>
      </c>
      <c r="E2281" s="48" t="inlineStr">
        <is>
          <t>C</t>
        </is>
      </c>
      <c r="F2281" s="48" t="inlineStr">
        <is>
          <t>Q</t>
        </is>
      </c>
      <c r="G2281" s="48" t="inlineStr">
        <is>
          <t>higher</t>
        </is>
      </c>
      <c r="H2281" s="48" t="n">
        <v>2</v>
      </c>
      <c r="I2281" s="48" t="inlineStr">
        <is>
          <t>Tasso di copertura del servizio con dispositivi di informazione dinamica a bordo mezzo</t>
        </is>
      </c>
      <c r="J2281" s="73" t="n"/>
      <c r="K2281" s="73" t="n"/>
      <c r="L2281" s="73" t="n"/>
      <c r="M2281" s="73" t="n"/>
      <c r="N2281" s="57">
        <f>IF($A2281="","",IFERROR(VALUE($K2281)/VALUE($L2281),IFERROR(VALUE($J2281),0)))</f>
        <v/>
      </c>
      <c r="O2281" s="57">
        <f>IF($A2281="",0,IF(OR($S2281&lt;&gt;1,COUNTA($J2281:$M2281)=0),0,IF(SUMPRODUCT(MAX(($C$5:$C$2484=$C2281)*($D$5:$D$2484=$D2281)*($S$5:$S$2484=1)*IFERROR($N$5:$N$2484*1,0)))&gt;0,ROUND($H2281*($N2281/SUMPRODUCT(MAX(($C$5:$C$2484=$C2281)*($D$5:$D$2484=$D2281)*($S$5:$S$2484=1)*IFERROR($N$5:$N$2484*1,0)))),4),0)))</f>
        <v/>
      </c>
      <c r="P2281" s="48" t="inlineStr">
        <is>
          <t>Autobus con monitor e indicatori vocali / Autobus totali in offerta, incluse scorte</t>
        </is>
      </c>
      <c r="Q2281" s="57">
        <f>IF($A2281="","",$A2281&amp;"|"&amp;$C2281)</f>
        <v/>
      </c>
      <c r="R2281" s="57">
        <f>IF($A2281="","",$A2281&amp;"|"&amp;$C2281&amp;"|"&amp;$D2281)</f>
        <v/>
      </c>
      <c r="S2281" s="57">
        <f>IF($A2281="","",IFERROR(INDEX(Offerte!$D$2:$D$81,MATCH($Q2281,Offerte!$L$2:$L$81,0)),0))</f>
        <v/>
      </c>
      <c r="T2281" s="57">
        <f>IF($A2281="","",IFERROR(INDEX(Offerte!$G$2:$G$81,MATCH($Q2281,Offerte!$L$2:$L$81,0)),"NO"))</f>
        <v/>
      </c>
    </row>
    <row r="2282">
      <c r="A2282" s="48">
        <f>IF(Offerte!$A75="","",Offerte!$A75)</f>
        <v/>
      </c>
      <c r="B2282" s="48">
        <f>IF(Offerte!$A75="","",Offerte!$B75)</f>
        <v/>
      </c>
      <c r="C2282" s="48">
        <f>IF(Offerte!$A75="","",Offerte!$C75)</f>
        <v/>
      </c>
      <c r="D2282" s="48" t="inlineStr">
        <is>
          <t>C.3.2</t>
        </is>
      </c>
      <c r="E2282" s="48" t="inlineStr">
        <is>
          <t>C</t>
        </is>
      </c>
      <c r="F2282" s="48" t="inlineStr">
        <is>
          <t>T</t>
        </is>
      </c>
      <c r="G2282" s="48" t="inlineStr">
        <is>
          <t>tabular</t>
        </is>
      </c>
      <c r="H2282" s="48" t="n">
        <v>2</v>
      </c>
      <c r="I2282" s="48" t="inlineStr">
        <is>
          <t>Informazioni a bordo su coincidenze ai nodi</t>
        </is>
      </c>
      <c r="J2282" s="73" t="n"/>
      <c r="K2282" s="73" t="n"/>
      <c r="L2282" s="73" t="n"/>
      <c r="M2282" s="73" t="n"/>
      <c r="N2282" s="57">
        <f>IF($A2282="","",IF(IFERROR(VALUE($M2282),0)=1,1,0))</f>
        <v/>
      </c>
      <c r="O2282" s="57">
        <f>IF($A2282="",0,IF(OR($S2282&lt;&gt;1,COUNTA($J2282:$M2282)=0),0,IF(AND($N2282=1,IFERROR(SUMIFS($N$5:$N$2484,$Q$5:$Q$2484,$Q2282,$D$5:$D$2484,"C.3.1"),0)&gt;=0.5),$H2282,0)))</f>
        <v/>
      </c>
      <c r="P2282" s="48" t="inlineStr">
        <is>
          <t>Dipende da C.3.1 &gt;= 0.5</t>
        </is>
      </c>
      <c r="Q2282" s="57">
        <f>IF($A2282="","",$A2282&amp;"|"&amp;$C2282)</f>
        <v/>
      </c>
      <c r="R2282" s="57">
        <f>IF($A2282="","",$A2282&amp;"|"&amp;$C2282&amp;"|"&amp;$D2282)</f>
        <v/>
      </c>
      <c r="S2282" s="57">
        <f>IF($A2282="","",IFERROR(INDEX(Offerte!$D$2:$D$81,MATCH($Q2282,Offerte!$L$2:$L$81,0)),0))</f>
        <v/>
      </c>
      <c r="T2282" s="57">
        <f>IF($A2282="","",IFERROR(INDEX(Offerte!$G$2:$G$81,MATCH($Q2282,Offerte!$L$2:$L$81,0)),"NO"))</f>
        <v/>
      </c>
    </row>
    <row r="2283">
      <c r="A2283" s="48">
        <f>IF(Offerte!$A75="","",Offerte!$A75)</f>
        <v/>
      </c>
      <c r="B2283" s="48">
        <f>IF(Offerte!$A75="","",Offerte!$B75)</f>
        <v/>
      </c>
      <c r="C2283" s="48">
        <f>IF(Offerte!$A75="","",Offerte!$C75)</f>
        <v/>
      </c>
      <c r="D2283" s="48" t="inlineStr">
        <is>
          <t>D.1.1</t>
        </is>
      </c>
      <c r="E2283" s="48" t="inlineStr">
        <is>
          <t>D</t>
        </is>
      </c>
      <c r="F2283" s="48" t="inlineStr">
        <is>
          <t>Q</t>
        </is>
      </c>
      <c r="G2283" s="48" t="inlineStr">
        <is>
          <t>higher</t>
        </is>
      </c>
      <c r="H2283" s="48" t="n">
        <v>3</v>
      </c>
      <c r="I2283" s="48" t="inlineStr">
        <is>
          <t>Installazione di pensiline</t>
        </is>
      </c>
      <c r="J2283" s="73" t="n"/>
      <c r="K2283" s="73" t="n"/>
      <c r="L2283" s="73" t="n"/>
      <c r="M2283" s="73" t="n"/>
      <c r="N2283" s="57">
        <f>IF($A2283="","",IFERROR(VALUE($J2283),0))</f>
        <v/>
      </c>
      <c r="O2283" s="57">
        <f>IF($A2283="",0,IF(OR($S2283&lt;&gt;1,COUNTA($J2283:$M2283)=0),0,IF(SUMPRODUCT(MAX(($C$5:$C$2484=$C2283)*($D$5:$D$2484=$D2283)*($S$5:$S$2484=1)*IFERROR($N$5:$N$2484*1,0)))&gt;0,ROUND($H2283*($N2283/SUMPRODUCT(MAX(($C$5:$C$2484=$C2283)*($D$5:$D$2484=$D2283)*($S$5:$S$2484=1)*IFERROR($N$5:$N$2484*1,0)))),4),0)))</f>
        <v/>
      </c>
      <c r="P2283" s="48" t="inlineStr">
        <is>
          <t>fermate</t>
        </is>
      </c>
      <c r="Q2283" s="57">
        <f>IF($A2283="","",$A2283&amp;"|"&amp;$C2283)</f>
        <v/>
      </c>
      <c r="R2283" s="57">
        <f>IF($A2283="","",$A2283&amp;"|"&amp;$C2283&amp;"|"&amp;$D2283)</f>
        <v/>
      </c>
      <c r="S2283" s="57">
        <f>IF($A2283="","",IFERROR(INDEX(Offerte!$D$2:$D$81,MATCH($Q2283,Offerte!$L$2:$L$81,0)),0))</f>
        <v/>
      </c>
      <c r="T2283" s="57">
        <f>IF($A2283="","",IFERROR(INDEX(Offerte!$G$2:$G$81,MATCH($Q2283,Offerte!$L$2:$L$81,0)),"NO"))</f>
        <v/>
      </c>
    </row>
    <row r="2284">
      <c r="A2284" s="48">
        <f>IF(Offerte!$A75="","",Offerte!$A75)</f>
        <v/>
      </c>
      <c r="B2284" s="48">
        <f>IF(Offerte!$A75="","",Offerte!$B75)</f>
        <v/>
      </c>
      <c r="C2284" s="48">
        <f>IF(Offerte!$A75="","",Offerte!$C75)</f>
        <v/>
      </c>
      <c r="D2284" s="48" t="inlineStr">
        <is>
          <t>D.1.2</t>
        </is>
      </c>
      <c r="E2284" s="48" t="inlineStr">
        <is>
          <t>D</t>
        </is>
      </c>
      <c r="F2284" s="48" t="inlineStr">
        <is>
          <t>Q</t>
        </is>
      </c>
      <c r="G2284" s="48" t="inlineStr">
        <is>
          <t>higher</t>
        </is>
      </c>
      <c r="H2284" s="48" t="n">
        <v>3</v>
      </c>
      <c r="I2284" s="48" t="inlineStr">
        <is>
          <t>Installazione di paline di fermata conformi alla DGR 581/2023</t>
        </is>
      </c>
      <c r="J2284" s="73" t="n"/>
      <c r="K2284" s="73" t="n"/>
      <c r="L2284" s="73" t="n"/>
      <c r="M2284" s="73" t="n"/>
      <c r="N2284" s="57">
        <f>IF($A2284="","",IFERROR(VALUE($J2284),0))</f>
        <v/>
      </c>
      <c r="O2284" s="57">
        <f>IF($A2284="",0,IF(OR($S2284&lt;&gt;1,COUNTA($J2284:$M2284)=0),0,IF(SUMPRODUCT(MAX(($C$5:$C$2484=$C2284)*($D$5:$D$2484=$D2284)*($S$5:$S$2484=1)*IFERROR($N$5:$N$2484*1,0)))&gt;0,ROUND($H2284*($N2284/SUMPRODUCT(MAX(($C$5:$C$2484=$C2284)*($D$5:$D$2484=$D2284)*($S$5:$S$2484=1)*IFERROR($N$5:$N$2484*1,0)))),4),0)))</f>
        <v/>
      </c>
      <c r="P2284" s="48" t="inlineStr">
        <is>
          <t>fermate</t>
        </is>
      </c>
      <c r="Q2284" s="57">
        <f>IF($A2284="","",$A2284&amp;"|"&amp;$C2284)</f>
        <v/>
      </c>
      <c r="R2284" s="57">
        <f>IF($A2284="","",$A2284&amp;"|"&amp;$C2284&amp;"|"&amp;$D2284)</f>
        <v/>
      </c>
      <c r="S2284" s="57">
        <f>IF($A2284="","",IFERROR(INDEX(Offerte!$D$2:$D$81,MATCH($Q2284,Offerte!$L$2:$L$81,0)),0))</f>
        <v/>
      </c>
      <c r="T2284" s="57">
        <f>IF($A2284="","",IFERROR(INDEX(Offerte!$G$2:$G$81,MATCH($Q2284,Offerte!$L$2:$L$81,0)),"NO"))</f>
        <v/>
      </c>
    </row>
    <row r="2285">
      <c r="A2285" s="48">
        <f>IF(Offerte!$A75="","",Offerte!$A75)</f>
        <v/>
      </c>
      <c r="B2285" s="48">
        <f>IF(Offerte!$A75="","",Offerte!$B75)</f>
        <v/>
      </c>
      <c r="C2285" s="48">
        <f>IF(Offerte!$A75="","",Offerte!$C75)</f>
        <v/>
      </c>
      <c r="D2285" s="48" t="inlineStr">
        <is>
          <t>D.1.3</t>
        </is>
      </c>
      <c r="E2285" s="48" t="inlineStr">
        <is>
          <t>D</t>
        </is>
      </c>
      <c r="F2285" s="48" t="inlineStr">
        <is>
          <t>Q</t>
        </is>
      </c>
      <c r="G2285" s="48" t="inlineStr">
        <is>
          <t>higher</t>
        </is>
      </c>
      <c r="H2285" s="48" t="n">
        <v>2</v>
      </c>
      <c r="I2285" s="48" t="inlineStr">
        <is>
          <t>Display informativi connessi alle fermate</t>
        </is>
      </c>
      <c r="J2285" s="73" t="n"/>
      <c r="K2285" s="73" t="n"/>
      <c r="L2285" s="73" t="n"/>
      <c r="M2285" s="73" t="n"/>
      <c r="N2285" s="57">
        <f>IF($A2285="","",IFERROR(VALUE($J2285),0))</f>
        <v/>
      </c>
      <c r="O2285" s="57">
        <f>IF($A2285="",0,IF(OR($S2285&lt;&gt;1,COUNTA($J2285:$M2285)=0),0,IF(SUMPRODUCT(MAX(($C$5:$C$2484=$C2285)*($D$5:$D$2484=$D2285)*($S$5:$S$2484=1)*IFERROR($N$5:$N$2484*1,0)))&gt;0,ROUND($H2285*($N2285/SUMPRODUCT(MAX(($C$5:$C$2484=$C2285)*($D$5:$D$2484=$D2285)*($S$5:$S$2484=1)*IFERROR($N$5:$N$2484*1,0)))),4),0)))</f>
        <v/>
      </c>
      <c r="P2285" s="48" t="inlineStr">
        <is>
          <t>fermate</t>
        </is>
      </c>
      <c r="Q2285" s="57">
        <f>IF($A2285="","",$A2285&amp;"|"&amp;$C2285)</f>
        <v/>
      </c>
      <c r="R2285" s="57">
        <f>IF($A2285="","",$A2285&amp;"|"&amp;$C2285&amp;"|"&amp;$D2285)</f>
        <v/>
      </c>
      <c r="S2285" s="57">
        <f>IF($A2285="","",IFERROR(INDEX(Offerte!$D$2:$D$81,MATCH($Q2285,Offerte!$L$2:$L$81,0)),0))</f>
        <v/>
      </c>
      <c r="T2285" s="57">
        <f>IF($A2285="","",IFERROR(INDEX(Offerte!$G$2:$G$81,MATCH($Q2285,Offerte!$L$2:$L$81,0)),"NO"))</f>
        <v/>
      </c>
    </row>
    <row r="2286">
      <c r="A2286" s="48">
        <f>IF(Offerte!$A75="","",Offerte!$A75)</f>
        <v/>
      </c>
      <c r="B2286" s="48">
        <f>IF(Offerte!$A75="","",Offerte!$B75)</f>
        <v/>
      </c>
      <c r="C2286" s="48">
        <f>IF(Offerte!$A75="","",Offerte!$C75)</f>
        <v/>
      </c>
      <c r="D2286" s="48" t="inlineStr">
        <is>
          <t>D.2.1</t>
        </is>
      </c>
      <c r="E2286" s="48" t="inlineStr">
        <is>
          <t>D</t>
        </is>
      </c>
      <c r="F2286" s="48" t="inlineStr">
        <is>
          <t>Q</t>
        </is>
      </c>
      <c r="G2286" s="48" t="inlineStr">
        <is>
          <t>higher</t>
        </is>
      </c>
      <c r="H2286" s="48" t="n">
        <v>2</v>
      </c>
      <c r="I2286" s="48" t="inlineStr">
        <is>
          <t>Segnali tattili Loges-Vet-Evolution</t>
        </is>
      </c>
      <c r="J2286" s="73" t="n"/>
      <c r="K2286" s="73" t="n"/>
      <c r="L2286" s="73" t="n"/>
      <c r="M2286" s="73" t="n"/>
      <c r="N2286" s="57">
        <f>IF($A2286="","",IFERROR(VALUE($J2286),0))</f>
        <v/>
      </c>
      <c r="O2286" s="57">
        <f>IF($A2286="",0,IF(OR($S2286&lt;&gt;1,COUNTA($J2286:$M2286)=0),0,IF(SUMPRODUCT(MAX(($C$5:$C$2484=$C2286)*($D$5:$D$2484=$D2286)*($S$5:$S$2484=1)*IFERROR($N$5:$N$2484*1,0)))&gt;0,ROUND($H2286*($N2286/SUMPRODUCT(MAX(($C$5:$C$2484=$C2286)*($D$5:$D$2484=$D2286)*($S$5:$S$2484=1)*IFERROR($N$5:$N$2484*1,0)))),4),0)))</f>
        <v/>
      </c>
      <c r="P2286" s="48" t="inlineStr">
        <is>
          <t>fermate</t>
        </is>
      </c>
      <c r="Q2286" s="57">
        <f>IF($A2286="","",$A2286&amp;"|"&amp;$C2286)</f>
        <v/>
      </c>
      <c r="R2286" s="57">
        <f>IF($A2286="","",$A2286&amp;"|"&amp;$C2286&amp;"|"&amp;$D2286)</f>
        <v/>
      </c>
      <c r="S2286" s="57">
        <f>IF($A2286="","",IFERROR(INDEX(Offerte!$D$2:$D$81,MATCH($Q2286,Offerte!$L$2:$L$81,0)),0))</f>
        <v/>
      </c>
      <c r="T2286" s="57">
        <f>IF($A2286="","",IFERROR(INDEX(Offerte!$G$2:$G$81,MATCH($Q2286,Offerte!$L$2:$L$81,0)),"NO"))</f>
        <v/>
      </c>
    </row>
    <row r="2287">
      <c r="A2287" s="48">
        <f>IF(Offerte!$A75="","",Offerte!$A75)</f>
        <v/>
      </c>
      <c r="B2287" s="48">
        <f>IF(Offerte!$A75="","",Offerte!$B75)</f>
        <v/>
      </c>
      <c r="C2287" s="48">
        <f>IF(Offerte!$A75="","",Offerte!$C75)</f>
        <v/>
      </c>
      <c r="D2287" s="48" t="inlineStr">
        <is>
          <t>E.1.1</t>
        </is>
      </c>
      <c r="E2287" s="48" t="inlineStr">
        <is>
          <t>E</t>
        </is>
      </c>
      <c r="F2287" s="48" t="inlineStr">
        <is>
          <t>T</t>
        </is>
      </c>
      <c r="G2287" s="48" t="inlineStr">
        <is>
          <t>tabular</t>
        </is>
      </c>
      <c r="H2287" s="48" t="n">
        <v>2</v>
      </c>
      <c r="I2287" s="48" t="inlineStr">
        <is>
          <t>Mobile app con travel planner PRM</t>
        </is>
      </c>
      <c r="J2287" s="73" t="n"/>
      <c r="K2287" s="73" t="n"/>
      <c r="L2287" s="73" t="n"/>
      <c r="M2287" s="73" t="n"/>
      <c r="N2287" s="57">
        <f>IF($A2287="","",IF(IFERROR(VALUE($M2287),0)=1,1,0))</f>
        <v/>
      </c>
      <c r="O2287" s="57">
        <f>IF($A2287="",0,IF(OR($S2287&lt;&gt;1,COUNTA($J2287:$M2287)=0),0,IF($N2287=1,$H2287,0)))</f>
        <v/>
      </c>
      <c r="P2287" s="48" t="inlineStr">
        <is>
          <t>sì/no</t>
        </is>
      </c>
      <c r="Q2287" s="57">
        <f>IF($A2287="","",$A2287&amp;"|"&amp;$C2287)</f>
        <v/>
      </c>
      <c r="R2287" s="57">
        <f>IF($A2287="","",$A2287&amp;"|"&amp;$C2287&amp;"|"&amp;$D2287)</f>
        <v/>
      </c>
      <c r="S2287" s="57">
        <f>IF($A2287="","",IFERROR(INDEX(Offerte!$D$2:$D$81,MATCH($Q2287,Offerte!$L$2:$L$81,0)),0))</f>
        <v/>
      </c>
      <c r="T2287" s="57">
        <f>IF($A2287="","",IFERROR(INDEX(Offerte!$G$2:$G$81,MATCH($Q2287,Offerte!$L$2:$L$81,0)),"NO"))</f>
        <v/>
      </c>
    </row>
    <row r="2288">
      <c r="A2288" s="48">
        <f>IF(Offerte!$A75="","",Offerte!$A75)</f>
        <v/>
      </c>
      <c r="B2288" s="48">
        <f>IF(Offerte!$A75="","",Offerte!$B75)</f>
        <v/>
      </c>
      <c r="C2288" s="48">
        <f>IF(Offerte!$A75="","",Offerte!$C75)</f>
        <v/>
      </c>
      <c r="D2288" s="48" t="inlineStr">
        <is>
          <t>E.2.1</t>
        </is>
      </c>
      <c r="E2288" s="48" t="inlineStr">
        <is>
          <t>E</t>
        </is>
      </c>
      <c r="F2288" s="48" t="inlineStr">
        <is>
          <t>D</t>
        </is>
      </c>
      <c r="G2288" s="48" t="inlineStr">
        <is>
          <t>discretionary</t>
        </is>
      </c>
      <c r="H2288" s="48" t="n">
        <v>2</v>
      </c>
      <c r="I2288" s="48" t="inlineStr">
        <is>
          <t>Altre azioni informative e rapporti con gli utenti</t>
        </is>
      </c>
      <c r="J2288" s="73" t="n"/>
      <c r="K2288" s="73" t="n"/>
      <c r="L2288" s="73" t="n"/>
      <c r="M2288" s="73" t="n"/>
      <c r="N2288" s="57">
        <f>IF($A2288="","",MAX(0,MIN(1,IFERROR(VALUE($M2288),0))))</f>
        <v/>
      </c>
      <c r="O2288" s="57">
        <f>IF($A2288="",0,IF(OR($S2288&lt;&gt;1,COUNTA($J2288:$M2288)=0),0,IF(SUMPRODUCT(MAX(($C$5:$C$2484=$C2288)*($D$5:$D$2484=$D2288)*($S$5:$S$2484=1)*IFERROR($N$5:$N$2484*1,0)))&gt;0,ROUND($H2288*($N2288/SUMPRODUCT(MAX(($C$5:$C$2484=$C2288)*($D$5:$D$2484=$D2288)*($S$5:$S$2484=1)*IFERROR($N$5:$N$2484*1,0)))),4),0)))</f>
        <v/>
      </c>
      <c r="P2288" s="48" t="inlineStr">
        <is>
          <t>coeff.</t>
        </is>
      </c>
      <c r="Q2288" s="57">
        <f>IF($A2288="","",$A2288&amp;"|"&amp;$C2288)</f>
        <v/>
      </c>
      <c r="R2288" s="57">
        <f>IF($A2288="","",$A2288&amp;"|"&amp;$C2288&amp;"|"&amp;$D2288)</f>
        <v/>
      </c>
      <c r="S2288" s="57">
        <f>IF($A2288="","",IFERROR(INDEX(Offerte!$D$2:$D$81,MATCH($Q2288,Offerte!$L$2:$L$81,0)),0))</f>
        <v/>
      </c>
      <c r="T2288" s="57">
        <f>IF($A2288="","",IFERROR(INDEX(Offerte!$G$2:$G$81,MATCH($Q2288,Offerte!$L$2:$L$81,0)),"NO"))</f>
        <v/>
      </c>
    </row>
    <row r="2289">
      <c r="A2289" s="48">
        <f>IF(Offerte!$A75="","",Offerte!$A75)</f>
        <v/>
      </c>
      <c r="B2289" s="48">
        <f>IF(Offerte!$A75="","",Offerte!$B75)</f>
        <v/>
      </c>
      <c r="C2289" s="48">
        <f>IF(Offerte!$A75="","",Offerte!$C75)</f>
        <v/>
      </c>
      <c r="D2289" s="48" t="inlineStr">
        <is>
          <t>F.1.1</t>
        </is>
      </c>
      <c r="E2289" s="48" t="inlineStr">
        <is>
          <t>F</t>
        </is>
      </c>
      <c r="F2289" s="48" t="inlineStr">
        <is>
          <t>Q</t>
        </is>
      </c>
      <c r="G2289" s="48" t="inlineStr">
        <is>
          <t>lower</t>
        </is>
      </c>
      <c r="H2289" s="48" t="n">
        <v>7</v>
      </c>
      <c r="I2289" s="48" t="inlineStr">
        <is>
          <t>Performance ambientali del parco mezzi adibito al servizio - I_CEA</t>
        </is>
      </c>
      <c r="J2289" s="73" t="n"/>
      <c r="K2289" s="73" t="n"/>
      <c r="L2289" s="73" t="n"/>
      <c r="M2289" s="73" t="n"/>
      <c r="N2289" s="57">
        <f>IF($A2289="","",IFERROR(VALUE($J2289),0))</f>
        <v/>
      </c>
      <c r="O2289" s="57">
        <f>IF($A2289="",0,IF(OR($S2289&lt;&gt;1,COUNTA($J2289:$M2289)=0),0,IF(AND(IFERROR(AGGREGATE(15,6,$N$5:$N$2484/(($C$5:$C$2484=$C2289)*($D$5:$D$2484=$D2289)*($S$5:$S$2484=1)*($N$5:$N$2484&gt;0)),1),0)&gt;0,$N2289&gt;0),ROUND($H2289*(IFERROR(AGGREGATE(15,6,$N$5:$N$2484/(($C$5:$C$2484=$C2289)*($D$5:$D$2484=$D2289)*($S$5:$S$2484=1)*($N$5:$N$2484&gt;0)),1),0)/$N2289),4),0)))</f>
        <v/>
      </c>
      <c r="P2289" s="48" t="inlineStr">
        <is>
          <t>indice</t>
        </is>
      </c>
      <c r="Q2289" s="57">
        <f>IF($A2289="","",$A2289&amp;"|"&amp;$C2289)</f>
        <v/>
      </c>
      <c r="R2289" s="57">
        <f>IF($A2289="","",$A2289&amp;"|"&amp;$C2289&amp;"|"&amp;$D2289)</f>
        <v/>
      </c>
      <c r="S2289" s="57">
        <f>IF($A2289="","",IFERROR(INDEX(Offerte!$D$2:$D$81,MATCH($Q2289,Offerte!$L$2:$L$81,0)),0))</f>
        <v/>
      </c>
      <c r="T2289" s="57">
        <f>IF($A2289="","",IFERROR(INDEX(Offerte!$G$2:$G$81,MATCH($Q2289,Offerte!$L$2:$L$81,0)),"NO"))</f>
        <v/>
      </c>
    </row>
    <row r="2290">
      <c r="A2290" s="48">
        <f>IF(Offerte!$A75="","",Offerte!$A75)</f>
        <v/>
      </c>
      <c r="B2290" s="48">
        <f>IF(Offerte!$A75="","",Offerte!$B75)</f>
        <v/>
      </c>
      <c r="C2290" s="48">
        <f>IF(Offerte!$A75="","",Offerte!$C75)</f>
        <v/>
      </c>
      <c r="D2290" s="48" t="inlineStr">
        <is>
          <t>F.2.1</t>
        </is>
      </c>
      <c r="E2290" s="48" t="inlineStr">
        <is>
          <t>F</t>
        </is>
      </c>
      <c r="F2290" s="48" t="inlineStr">
        <is>
          <t>Q</t>
        </is>
      </c>
      <c r="G2290" s="48" t="inlineStr">
        <is>
          <t>higher</t>
        </is>
      </c>
      <c r="H2290" s="48" t="n">
        <v>2</v>
      </c>
      <c r="I2290" s="48" t="inlineStr">
        <is>
          <t>Tasso di copertura del servizio con dispositivi ECO-DRIVER</t>
        </is>
      </c>
      <c r="J2290" s="73" t="n"/>
      <c r="K2290" s="73" t="n"/>
      <c r="L2290" s="73" t="n"/>
      <c r="M2290" s="73" t="n"/>
      <c r="N2290" s="57">
        <f>IF($A2290="","",IFERROR(VALUE($K2290)/VALUE($L2290),IFERROR(VALUE($J2290),0)))</f>
        <v/>
      </c>
      <c r="O2290" s="57">
        <f>IF($A2290="",0,IF(OR($S2290&lt;&gt;1,COUNTA($J2290:$M2290)=0),0,IF(SUMPRODUCT(MAX(($C$5:$C$2484=$C2290)*($D$5:$D$2484=$D2290)*($S$5:$S$2484=1)*IFERROR($N$5:$N$2484*1,0)))&gt;0,ROUND($H2290*($N2290/SUMPRODUCT(MAX(($C$5:$C$2484=$C2290)*($D$5:$D$2484=$D2290)*($S$5:$S$2484=1)*IFERROR($N$5:$N$2484*1,0)))),4),0)))</f>
        <v/>
      </c>
      <c r="P2290" s="48" t="inlineStr">
        <is>
          <t>Autobus attrezzati con dispositivi ECO-DRIVER / Autobus totali in offerta, incluse scorte</t>
        </is>
      </c>
      <c r="Q2290" s="57">
        <f>IF($A2290="","",$A2290&amp;"|"&amp;$C2290)</f>
        <v/>
      </c>
      <c r="R2290" s="57">
        <f>IF($A2290="","",$A2290&amp;"|"&amp;$C2290&amp;"|"&amp;$D2290)</f>
        <v/>
      </c>
      <c r="S2290" s="57">
        <f>IF($A2290="","",IFERROR(INDEX(Offerte!$D$2:$D$81,MATCH($Q2290,Offerte!$L$2:$L$81,0)),0))</f>
        <v/>
      </c>
      <c r="T2290" s="57">
        <f>IF($A2290="","",IFERROR(INDEX(Offerte!$G$2:$G$81,MATCH($Q2290,Offerte!$L$2:$L$81,0)),"NO"))</f>
        <v/>
      </c>
    </row>
    <row r="2291">
      <c r="A2291" s="48">
        <f>IF(Offerte!$A75="","",Offerte!$A75)</f>
        <v/>
      </c>
      <c r="B2291" s="48">
        <f>IF(Offerte!$A75="","",Offerte!$B75)</f>
        <v/>
      </c>
      <c r="C2291" s="48">
        <f>IF(Offerte!$A75="","",Offerte!$C75)</f>
        <v/>
      </c>
      <c r="D2291" s="48" t="inlineStr">
        <is>
          <t>F.3.1</t>
        </is>
      </c>
      <c r="E2291" s="48" t="inlineStr">
        <is>
          <t>F</t>
        </is>
      </c>
      <c r="F2291" s="48" t="inlineStr">
        <is>
          <t>Q</t>
        </is>
      </c>
      <c r="G2291" s="48" t="inlineStr">
        <is>
          <t>higher</t>
        </is>
      </c>
      <c r="H2291" s="48" t="n">
        <v>2</v>
      </c>
      <c r="I2291" s="48" t="inlineStr">
        <is>
          <t>Autoproduzione consumi elettrici per trazione</t>
        </is>
      </c>
      <c r="J2291" s="73" t="n"/>
      <c r="K2291" s="73" t="n"/>
      <c r="L2291" s="73" t="n"/>
      <c r="M2291" s="73" t="n"/>
      <c r="N2291" s="57">
        <f>IF($A2291="","",IFERROR(VALUE($J2291),0))</f>
        <v/>
      </c>
      <c r="O2291" s="57">
        <f>IF($A2291="",0,IF(OR($S2291&lt;&gt;1,COUNTA($J2291:$M2291)=0),0,IF(SUMPRODUCT(MAX(($C$5:$C$2484=$C2291)*($D$5:$D$2484=$D2291)*($S$5:$S$2484=1)*IFERROR($N$5:$N$2484*1,0)))&gt;0,ROUND($H2291*($N2291/SUMPRODUCT(MAX(($C$5:$C$2484=$C2291)*($D$5:$D$2484=$D2291)*($S$5:$S$2484=1)*IFERROR($N$5:$N$2484*1,0)))),4),0)))</f>
        <v/>
      </c>
      <c r="P2291" s="48" t="inlineStr">
        <is>
          <t>kWh/anno</t>
        </is>
      </c>
      <c r="Q2291" s="57">
        <f>IF($A2291="","",$A2291&amp;"|"&amp;$C2291)</f>
        <v/>
      </c>
      <c r="R2291" s="57">
        <f>IF($A2291="","",$A2291&amp;"|"&amp;$C2291&amp;"|"&amp;$D2291)</f>
        <v/>
      </c>
      <c r="S2291" s="57">
        <f>IF($A2291="","",IFERROR(INDEX(Offerte!$D$2:$D$81,MATCH($Q2291,Offerte!$L$2:$L$81,0)),0))</f>
        <v/>
      </c>
      <c r="T2291" s="57">
        <f>IF($A2291="","",IFERROR(INDEX(Offerte!$G$2:$G$81,MATCH($Q2291,Offerte!$L$2:$L$81,0)),"NO"))</f>
        <v/>
      </c>
    </row>
    <row r="2292">
      <c r="A2292" s="48">
        <f>IF(Offerte!$A75="","",Offerte!$A75)</f>
        <v/>
      </c>
      <c r="B2292" s="48">
        <f>IF(Offerte!$A75="","",Offerte!$B75)</f>
        <v/>
      </c>
      <c r="C2292" s="48">
        <f>IF(Offerte!$A75="","",Offerte!$C75)</f>
        <v/>
      </c>
      <c r="D2292" s="48" t="inlineStr">
        <is>
          <t>F.4.1</t>
        </is>
      </c>
      <c r="E2292" s="48" t="inlineStr">
        <is>
          <t>F</t>
        </is>
      </c>
      <c r="F2292" s="48" t="inlineStr">
        <is>
          <t>Q</t>
        </is>
      </c>
      <c r="G2292" s="48" t="inlineStr">
        <is>
          <t>soil</t>
        </is>
      </c>
      <c r="H2292" s="48" t="n">
        <v>2</v>
      </c>
      <c r="I2292" s="48" t="inlineStr">
        <is>
          <t>Indice di consumo di suolo</t>
        </is>
      </c>
      <c r="J2292" s="73" t="n"/>
      <c r="K2292" s="73" t="n"/>
      <c r="L2292" s="73" t="n"/>
      <c r="M2292" s="73" t="n"/>
      <c r="N2292" s="57">
        <f>IF($A2292="","",IFERROR(VALUE($J2292),0))</f>
        <v/>
      </c>
      <c r="O2292" s="57">
        <f>IF($A2292="",0,IF(OR($S2292&lt;&gt;1,COUNTA($J2292:$M2292)=0),0,IF($N2292&lt;=0,$H2292,IF(SUMPRODUCT(MAX(($C$5:$C$2484=$C2292)*($D$5:$D$2484=$D2292)*($S$5:$S$2484=1)*IFERROR($N$5:$N$2484*1,0)))&gt;0,ROUND($H2292*((SUMPRODUCT(MAX(($C$5:$C$2484=$C2292)*($D$5:$D$2484=$D2292)*($S$5:$S$2484=1)*IFERROR($N$5:$N$2484*1,0)))-$N2292)/SUMPRODUCT(MAX(($C$5:$C$2484=$C2292)*($D$5:$D$2484=$D2292)*($S$5:$S$2484=1)*IFERROR($N$5:$N$2484*1,0)))),4),0))))</f>
        <v/>
      </c>
      <c r="P2292" s="48" t="inlineStr">
        <is>
          <t>m2</t>
        </is>
      </c>
      <c r="Q2292" s="57">
        <f>IF($A2292="","",$A2292&amp;"|"&amp;$C2292)</f>
        <v/>
      </c>
      <c r="R2292" s="57">
        <f>IF($A2292="","",$A2292&amp;"|"&amp;$C2292&amp;"|"&amp;$D2292)</f>
        <v/>
      </c>
      <c r="S2292" s="57">
        <f>IF($A2292="","",IFERROR(INDEX(Offerte!$D$2:$D$81,MATCH($Q2292,Offerte!$L$2:$L$81,0)),0))</f>
        <v/>
      </c>
      <c r="T2292" s="57">
        <f>IF($A2292="","",IFERROR(INDEX(Offerte!$G$2:$G$81,MATCH($Q2292,Offerte!$L$2:$L$81,0)),"NO"))</f>
        <v/>
      </c>
    </row>
    <row r="2293">
      <c r="A2293" s="48">
        <f>IF(Offerte!$A75="","",Offerte!$A75)</f>
        <v/>
      </c>
      <c r="B2293" s="48">
        <f>IF(Offerte!$A75="","",Offerte!$B75)</f>
        <v/>
      </c>
      <c r="C2293" s="48">
        <f>IF(Offerte!$A75="","",Offerte!$C75)</f>
        <v/>
      </c>
      <c r="D2293" s="48" t="inlineStr">
        <is>
          <t>F.5.1</t>
        </is>
      </c>
      <c r="E2293" s="48" t="inlineStr">
        <is>
          <t>F</t>
        </is>
      </c>
      <c r="F2293" s="48" t="inlineStr">
        <is>
          <t>T</t>
        </is>
      </c>
      <c r="G2293" s="48" t="inlineStr">
        <is>
          <t>tabular</t>
        </is>
      </c>
      <c r="H2293" s="48" t="n">
        <v>1</v>
      </c>
      <c r="I2293" s="48" t="inlineStr">
        <is>
          <t>Rendicontazione di sostenibilità ambientale</t>
        </is>
      </c>
      <c r="J2293" s="73" t="n"/>
      <c r="K2293" s="73" t="n"/>
      <c r="L2293" s="73" t="n"/>
      <c r="M2293" s="73" t="n"/>
      <c r="N2293" s="57">
        <f>IF($A2293="","",IF(IFERROR(VALUE($M2293),0)=1,1,0))</f>
        <v/>
      </c>
      <c r="O2293" s="57">
        <f>IF($A2293="",0,IF(OR($S2293&lt;&gt;1,COUNTA($J2293:$M2293)=0),0,IF($N2293=1,$H2293,0)))</f>
        <v/>
      </c>
      <c r="P2293" s="48" t="inlineStr">
        <is>
          <t>sì/no</t>
        </is>
      </c>
      <c r="Q2293" s="57">
        <f>IF($A2293="","",$A2293&amp;"|"&amp;$C2293)</f>
        <v/>
      </c>
      <c r="R2293" s="57">
        <f>IF($A2293="","",$A2293&amp;"|"&amp;$C2293&amp;"|"&amp;$D2293)</f>
        <v/>
      </c>
      <c r="S2293" s="57">
        <f>IF($A2293="","",IFERROR(INDEX(Offerte!$D$2:$D$81,MATCH($Q2293,Offerte!$L$2:$L$81,0)),0))</f>
        <v/>
      </c>
      <c r="T2293" s="57">
        <f>IF($A2293="","",IFERROR(INDEX(Offerte!$G$2:$G$81,MATCH($Q2293,Offerte!$L$2:$L$81,0)),"NO"))</f>
        <v/>
      </c>
    </row>
    <row r="2294">
      <c r="A2294" s="48">
        <f>IF(Offerte!$A75="","",Offerte!$A75)</f>
        <v/>
      </c>
      <c r="B2294" s="48">
        <f>IF(Offerte!$A75="","",Offerte!$B75)</f>
        <v/>
      </c>
      <c r="C2294" s="48">
        <f>IF(Offerte!$A75="","",Offerte!$C75)</f>
        <v/>
      </c>
      <c r="D2294" s="48" t="inlineStr">
        <is>
          <t>G.1.1</t>
        </is>
      </c>
      <c r="E2294" s="48" t="inlineStr">
        <is>
          <t>G</t>
        </is>
      </c>
      <c r="F2294" s="48" t="inlineStr">
        <is>
          <t>D</t>
        </is>
      </c>
      <c r="G2294" s="48" t="inlineStr">
        <is>
          <t>discretionary</t>
        </is>
      </c>
      <c r="H2294" s="48" t="n">
        <v>2</v>
      </c>
      <c r="I2294" s="48" t="inlineStr">
        <is>
          <t>Qualità del progetto di centrale di controllo aziendale</t>
        </is>
      </c>
      <c r="J2294" s="73" t="n"/>
      <c r="K2294" s="73" t="n"/>
      <c r="L2294" s="73" t="n"/>
      <c r="M2294" s="73" t="n"/>
      <c r="N2294" s="57">
        <f>IF($A2294="","",MAX(0,MIN(1,IFERROR(VALUE($M2294),0))))</f>
        <v/>
      </c>
      <c r="O2294" s="57">
        <f>IF($A2294="",0,IF(OR($S2294&lt;&gt;1,COUNTA($J2294:$M2294)=0),0,IF(SUMPRODUCT(MAX(($C$5:$C$2484=$C2294)*($D$5:$D$2484=$D2294)*($S$5:$S$2484=1)*IFERROR($N$5:$N$2484*1,0)))&gt;0,ROUND($H2294*($N2294/SUMPRODUCT(MAX(($C$5:$C$2484=$C2294)*($D$5:$D$2484=$D2294)*($S$5:$S$2484=1)*IFERROR($N$5:$N$2484*1,0)))),4),0)))</f>
        <v/>
      </c>
      <c r="P2294" s="48" t="inlineStr">
        <is>
          <t>coeff.</t>
        </is>
      </c>
      <c r="Q2294" s="57">
        <f>IF($A2294="","",$A2294&amp;"|"&amp;$C2294)</f>
        <v/>
      </c>
      <c r="R2294" s="57">
        <f>IF($A2294="","",$A2294&amp;"|"&amp;$C2294&amp;"|"&amp;$D2294)</f>
        <v/>
      </c>
      <c r="S2294" s="57">
        <f>IF($A2294="","",IFERROR(INDEX(Offerte!$D$2:$D$81,MATCH($Q2294,Offerte!$L$2:$L$81,0)),0))</f>
        <v/>
      </c>
      <c r="T2294" s="57">
        <f>IF($A2294="","",IFERROR(INDEX(Offerte!$G$2:$G$81,MATCH($Q2294,Offerte!$L$2:$L$81,0)),"NO"))</f>
        <v/>
      </c>
    </row>
    <row r="2295">
      <c r="A2295" s="48">
        <f>IF(Offerte!$A75="","",Offerte!$A75)</f>
        <v/>
      </c>
      <c r="B2295" s="48">
        <f>IF(Offerte!$A75="","",Offerte!$B75)</f>
        <v/>
      </c>
      <c r="C2295" s="48">
        <f>IF(Offerte!$A75="","",Offerte!$C75)</f>
        <v/>
      </c>
      <c r="D2295" s="48" t="inlineStr">
        <is>
          <t>G.2.1</t>
        </is>
      </c>
      <c r="E2295" s="48" t="inlineStr">
        <is>
          <t>G</t>
        </is>
      </c>
      <c r="F2295" s="48" t="inlineStr">
        <is>
          <t>T</t>
        </is>
      </c>
      <c r="G2295" s="48" t="inlineStr">
        <is>
          <t>tabular</t>
        </is>
      </c>
      <c r="H2295" s="48" t="n">
        <v>1</v>
      </c>
      <c r="I2295" s="48" t="inlineStr">
        <is>
          <t>Certificazione ISO 45001</t>
        </is>
      </c>
      <c r="J2295" s="73" t="n"/>
      <c r="K2295" s="73" t="n"/>
      <c r="L2295" s="73" t="n"/>
      <c r="M2295" s="73" t="n"/>
      <c r="N2295" s="57">
        <f>IF($A2295="","",IF(IFERROR(VALUE($M2295),0)=1,1,0))</f>
        <v/>
      </c>
      <c r="O2295" s="57">
        <f>IF($A2295="",0,IF(OR($S2295&lt;&gt;1,COUNTA($J2295:$M2295)=0),0,IF($N2295=1,$H2295,0)))</f>
        <v/>
      </c>
      <c r="P2295" s="48" t="inlineStr">
        <is>
          <t>sì/no</t>
        </is>
      </c>
      <c r="Q2295" s="57">
        <f>IF($A2295="","",$A2295&amp;"|"&amp;$C2295)</f>
        <v/>
      </c>
      <c r="R2295" s="57">
        <f>IF($A2295="","",$A2295&amp;"|"&amp;$C2295&amp;"|"&amp;$D2295)</f>
        <v/>
      </c>
      <c r="S2295" s="57">
        <f>IF($A2295="","",IFERROR(INDEX(Offerte!$D$2:$D$81,MATCH($Q2295,Offerte!$L$2:$L$81,0)),0))</f>
        <v/>
      </c>
      <c r="T2295" s="57">
        <f>IF($A2295="","",IFERROR(INDEX(Offerte!$G$2:$G$81,MATCH($Q2295,Offerte!$L$2:$L$81,0)),"NO"))</f>
        <v/>
      </c>
    </row>
    <row r="2296">
      <c r="A2296" s="48">
        <f>IF(Offerte!$A75="","",Offerte!$A75)</f>
        <v/>
      </c>
      <c r="B2296" s="48">
        <f>IF(Offerte!$A75="","",Offerte!$B75)</f>
        <v/>
      </c>
      <c r="C2296" s="48">
        <f>IF(Offerte!$A75="","",Offerte!$C75)</f>
        <v/>
      </c>
      <c r="D2296" s="48" t="inlineStr">
        <is>
          <t>G.3.1</t>
        </is>
      </c>
      <c r="E2296" s="48" t="inlineStr">
        <is>
          <t>G</t>
        </is>
      </c>
      <c r="F2296" s="48" t="inlineStr">
        <is>
          <t>T</t>
        </is>
      </c>
      <c r="G2296" s="48" t="inlineStr">
        <is>
          <t>tabular</t>
        </is>
      </c>
      <c r="H2296" s="48" t="n">
        <v>1</v>
      </c>
      <c r="I2296" s="48" t="inlineStr">
        <is>
          <t>Certificazioni di responsabilità sociale</t>
        </is>
      </c>
      <c r="J2296" s="73" t="n"/>
      <c r="K2296" s="73" t="n"/>
      <c r="L2296" s="73" t="n"/>
      <c r="M2296" s="73" t="n"/>
      <c r="N2296" s="57">
        <f>IF($A2296="","",IF(IFERROR(VALUE($M2296),0)=1,1,0))</f>
        <v/>
      </c>
      <c r="O2296" s="57">
        <f>IF($A2296="",0,IF(OR($S2296&lt;&gt;1,COUNTA($J2296:$M2296)=0),0,IF($N2296=1,$H2296,0)))</f>
        <v/>
      </c>
      <c r="P2296" s="48" t="inlineStr">
        <is>
          <t>sì/no</t>
        </is>
      </c>
      <c r="Q2296" s="57">
        <f>IF($A2296="","",$A2296&amp;"|"&amp;$C2296)</f>
        <v/>
      </c>
      <c r="R2296" s="57">
        <f>IF($A2296="","",$A2296&amp;"|"&amp;$C2296&amp;"|"&amp;$D2296)</f>
        <v/>
      </c>
      <c r="S2296" s="57">
        <f>IF($A2296="","",IFERROR(INDEX(Offerte!$D$2:$D$81,MATCH($Q2296,Offerte!$L$2:$L$81,0)),0))</f>
        <v/>
      </c>
      <c r="T2296" s="57">
        <f>IF($A2296="","",IFERROR(INDEX(Offerte!$G$2:$G$81,MATCH($Q2296,Offerte!$L$2:$L$81,0)),"NO"))</f>
        <v/>
      </c>
    </row>
    <row r="2297">
      <c r="A2297" s="48">
        <f>IF(Offerte!$A75="","",Offerte!$A75)</f>
        <v/>
      </c>
      <c r="B2297" s="48">
        <f>IF(Offerte!$A75="","",Offerte!$B75)</f>
        <v/>
      </c>
      <c r="C2297" s="48">
        <f>IF(Offerte!$A75="","",Offerte!$C75)</f>
        <v/>
      </c>
      <c r="D2297" s="48" t="inlineStr">
        <is>
          <t>G.4.1</t>
        </is>
      </c>
      <c r="E2297" s="48" t="inlineStr">
        <is>
          <t>G</t>
        </is>
      </c>
      <c r="F2297" s="48" t="inlineStr">
        <is>
          <t>D</t>
        </is>
      </c>
      <c r="G2297" s="48" t="inlineStr">
        <is>
          <t>discretionary</t>
        </is>
      </c>
      <c r="H2297" s="48" t="n">
        <v>2</v>
      </c>
      <c r="I2297" s="48" t="inlineStr">
        <is>
          <t>Qualità del piano di formazione del personale</t>
        </is>
      </c>
      <c r="J2297" s="73" t="n"/>
      <c r="K2297" s="73" t="n"/>
      <c r="L2297" s="73" t="n"/>
      <c r="M2297" s="73" t="n"/>
      <c r="N2297" s="57">
        <f>IF($A2297="","",MAX(0,MIN(1,IFERROR(VALUE($M2297),0))))</f>
        <v/>
      </c>
      <c r="O2297" s="57">
        <f>IF($A2297="",0,IF(OR($S2297&lt;&gt;1,COUNTA($J2297:$M2297)=0),0,IF(SUMPRODUCT(MAX(($C$5:$C$2484=$C2297)*($D$5:$D$2484=$D2297)*($S$5:$S$2484=1)*IFERROR($N$5:$N$2484*1,0)))&gt;0,ROUND($H2297*($N2297/SUMPRODUCT(MAX(($C$5:$C$2484=$C2297)*($D$5:$D$2484=$D2297)*($S$5:$S$2484=1)*IFERROR($N$5:$N$2484*1,0)))),4),0)))</f>
        <v/>
      </c>
      <c r="P2297" s="48" t="inlineStr">
        <is>
          <t>coeff.</t>
        </is>
      </c>
      <c r="Q2297" s="57">
        <f>IF($A2297="","",$A2297&amp;"|"&amp;$C2297)</f>
        <v/>
      </c>
      <c r="R2297" s="57">
        <f>IF($A2297="","",$A2297&amp;"|"&amp;$C2297&amp;"|"&amp;$D2297)</f>
        <v/>
      </c>
      <c r="S2297" s="57">
        <f>IF($A2297="","",IFERROR(INDEX(Offerte!$D$2:$D$81,MATCH($Q2297,Offerte!$L$2:$L$81,0)),0))</f>
        <v/>
      </c>
      <c r="T2297" s="57">
        <f>IF($A2297="","",IFERROR(INDEX(Offerte!$G$2:$G$81,MATCH($Q2297,Offerte!$L$2:$L$81,0)),"NO"))</f>
        <v/>
      </c>
    </row>
    <row r="2298">
      <c r="A2298" s="48">
        <f>IF(Offerte!$A75="","",Offerte!$A75)</f>
        <v/>
      </c>
      <c r="B2298" s="48">
        <f>IF(Offerte!$A75="","",Offerte!$B75)</f>
        <v/>
      </c>
      <c r="C2298" s="48">
        <f>IF(Offerte!$A75="","",Offerte!$C75)</f>
        <v/>
      </c>
      <c r="D2298" s="48" t="inlineStr">
        <is>
          <t>G.5.1</t>
        </is>
      </c>
      <c r="E2298" s="48" t="inlineStr">
        <is>
          <t>G</t>
        </is>
      </c>
      <c r="F2298" s="48" t="inlineStr">
        <is>
          <t>T</t>
        </is>
      </c>
      <c r="G2298" s="48" t="inlineStr">
        <is>
          <t>tabular</t>
        </is>
      </c>
      <c r="H2298" s="48" t="n">
        <v>1</v>
      </c>
      <c r="I2298" s="48" t="inlineStr">
        <is>
          <t>Impegno al mantenimento delle garanzie del contratto di secondo livello del gestore uscente</t>
        </is>
      </c>
      <c r="J2298" s="73" t="n"/>
      <c r="K2298" s="73" t="n"/>
      <c r="L2298" s="73" t="n"/>
      <c r="M2298" s="73" t="n"/>
      <c r="N2298" s="57">
        <f>IF($A2298="","",IF(IFERROR(VALUE($M2298),0)=1,1,0))</f>
        <v/>
      </c>
      <c r="O2298" s="57">
        <f>IF($A2298="",0,IF(OR($S2298&lt;&gt;1,COUNTA($J2298:$M2298)=0),0,IF($N2298=1,$H2298,0)))</f>
        <v/>
      </c>
      <c r="P2298" s="48" t="inlineStr">
        <is>
          <t>sì/no</t>
        </is>
      </c>
      <c r="Q2298" s="57">
        <f>IF($A2298="","",$A2298&amp;"|"&amp;$C2298)</f>
        <v/>
      </c>
      <c r="R2298" s="57">
        <f>IF($A2298="","",$A2298&amp;"|"&amp;$C2298&amp;"|"&amp;$D2298)</f>
        <v/>
      </c>
      <c r="S2298" s="57">
        <f>IF($A2298="","",IFERROR(INDEX(Offerte!$D$2:$D$81,MATCH($Q2298,Offerte!$L$2:$L$81,0)),0))</f>
        <v/>
      </c>
      <c r="T2298" s="57">
        <f>IF($A2298="","",IFERROR(INDEX(Offerte!$G$2:$G$81,MATCH($Q2298,Offerte!$L$2:$L$81,0)),"NO"))</f>
        <v/>
      </c>
    </row>
    <row r="2299">
      <c r="A2299" s="48">
        <f>IF(Offerte!$A76="","",Offerte!$A76)</f>
        <v/>
      </c>
      <c r="B2299" s="48">
        <f>IF(Offerte!$A76="","",Offerte!$B76)</f>
        <v/>
      </c>
      <c r="C2299" s="48">
        <f>IF(Offerte!$A76="","",Offerte!$C76)</f>
        <v/>
      </c>
      <c r="D2299" s="48" t="inlineStr">
        <is>
          <t>A.1.1</t>
        </is>
      </c>
      <c r="E2299" s="48" t="inlineStr">
        <is>
          <t>A</t>
        </is>
      </c>
      <c r="F2299" s="48" t="inlineStr">
        <is>
          <t>Q</t>
        </is>
      </c>
      <c r="G2299" s="48" t="inlineStr">
        <is>
          <t>higher</t>
        </is>
      </c>
      <c r="H2299" s="48" t="n">
        <v>3</v>
      </c>
      <c r="I2299" s="48" t="inlineStr">
        <is>
          <t>Tasso aggiuntivo di corse controllate</t>
        </is>
      </c>
      <c r="J2299" s="73" t="n"/>
      <c r="K2299" s="73" t="n"/>
      <c r="L2299" s="73" t="n"/>
      <c r="M2299" s="73" t="n"/>
      <c r="N2299" s="57">
        <f>IF($A2299="","",IFERROR(VALUE($K2299)/VALUE($L2299)*100,IFERROR(VALUE($J2299),0)))</f>
        <v/>
      </c>
      <c r="O2299" s="57">
        <f>IF($A2299="",0,IF(OR($S2299&lt;&gt;1,COUNTA($J2299:$M2299)=0),0,IF(SUMPRODUCT(MAX(($C$5:$C$2484=$C2299)*($D$5:$D$2484=$D2299)*($S$5:$S$2484=1)*IFERROR($N$5:$N$2484*1,0)))&gt;0,ROUND($H2299*($N2299/SUMPRODUCT(MAX(($C$5:$C$2484=$C2299)*($D$5:$D$2484=$D2299)*($S$5:$S$2484=1)*IFERROR($N$5:$N$2484*1,0)))),4),0)))</f>
        <v/>
      </c>
      <c r="P2299" s="48" t="inlineStr">
        <is>
          <t>Corse controllate annue / Corse programmate annue</t>
        </is>
      </c>
      <c r="Q2299" s="57">
        <f>IF($A2299="","",$A2299&amp;"|"&amp;$C2299)</f>
        <v/>
      </c>
      <c r="R2299" s="57">
        <f>IF($A2299="","",$A2299&amp;"|"&amp;$C2299&amp;"|"&amp;$D2299)</f>
        <v/>
      </c>
      <c r="S2299" s="57">
        <f>IF($A2299="","",IFERROR(INDEX(Offerte!$D$2:$D$81,MATCH($Q2299,Offerte!$L$2:$L$81,0)),0))</f>
        <v/>
      </c>
      <c r="T2299" s="57">
        <f>IF($A2299="","",IFERROR(INDEX(Offerte!$G$2:$G$81,MATCH($Q2299,Offerte!$L$2:$L$81,0)),"NO"))</f>
        <v/>
      </c>
    </row>
    <row r="2300">
      <c r="A2300" s="48">
        <f>IF(Offerte!$A76="","",Offerte!$A76)</f>
        <v/>
      </c>
      <c r="B2300" s="48">
        <f>IF(Offerte!$A76="","",Offerte!$B76)</f>
        <v/>
      </c>
      <c r="C2300" s="48">
        <f>IF(Offerte!$A76="","",Offerte!$C76)</f>
        <v/>
      </c>
      <c r="D2300" s="48" t="inlineStr">
        <is>
          <t>A.1.2</t>
        </is>
      </c>
      <c r="E2300" s="48" t="inlineStr">
        <is>
          <t>A</t>
        </is>
      </c>
      <c r="F2300" s="48" t="inlineStr">
        <is>
          <t>Q</t>
        </is>
      </c>
      <c r="G2300" s="48" t="inlineStr">
        <is>
          <t>higher</t>
        </is>
      </c>
      <c r="H2300" s="48" t="n">
        <v>4</v>
      </c>
      <c r="I2300" s="48" t="inlineStr">
        <is>
          <t>Numero aggiuntivo di passeggeri controllati</t>
        </is>
      </c>
      <c r="J2300" s="73" t="n"/>
      <c r="K2300" s="73" t="n"/>
      <c r="L2300" s="73" t="n"/>
      <c r="M2300" s="73" t="n"/>
      <c r="N2300" s="57">
        <f>IF($A2300="","",IFERROR(VALUE($J2300),0))</f>
        <v/>
      </c>
      <c r="O2300" s="57">
        <f>IF($A2300="",0,IF(OR($S2300&lt;&gt;1,COUNTA($J2300:$M2300)=0),0,IF(SUMPRODUCT(MAX(($C$5:$C$2484=$C2300)*($D$5:$D$2484=$D2300)*($S$5:$S$2484=1)*IFERROR($N$5:$N$2484*1,0)))&gt;0,ROUND($H2300*($N2300/SUMPRODUCT(MAX(($C$5:$C$2484=$C2300)*($D$5:$D$2484=$D2300)*($S$5:$S$2484=1)*IFERROR($N$5:$N$2484*1,0)))),4),0)))</f>
        <v/>
      </c>
      <c r="P2300" s="48" t="inlineStr">
        <is>
          <t>passeggeri/anno</t>
        </is>
      </c>
      <c r="Q2300" s="57">
        <f>IF($A2300="","",$A2300&amp;"|"&amp;$C2300)</f>
        <v/>
      </c>
      <c r="R2300" s="57">
        <f>IF($A2300="","",$A2300&amp;"|"&amp;$C2300&amp;"|"&amp;$D2300)</f>
        <v/>
      </c>
      <c r="S2300" s="57">
        <f>IF($A2300="","",IFERROR(INDEX(Offerte!$D$2:$D$81,MATCH($Q2300,Offerte!$L$2:$L$81,0)),0))</f>
        <v/>
      </c>
      <c r="T2300" s="57">
        <f>IF($A2300="","",IFERROR(INDEX(Offerte!$G$2:$G$81,MATCH($Q2300,Offerte!$L$2:$L$81,0)),"NO"))</f>
        <v/>
      </c>
    </row>
    <row r="2301">
      <c r="A2301" s="48">
        <f>IF(Offerte!$A76="","",Offerte!$A76)</f>
        <v/>
      </c>
      <c r="B2301" s="48">
        <f>IF(Offerte!$A76="","",Offerte!$B76)</f>
        <v/>
      </c>
      <c r="C2301" s="48">
        <f>IF(Offerte!$A76="","",Offerte!$C76)</f>
        <v/>
      </c>
      <c r="D2301" s="48" t="inlineStr">
        <is>
          <t>B.1.1</t>
        </is>
      </c>
      <c r="E2301" s="48" t="inlineStr">
        <is>
          <t>B</t>
        </is>
      </c>
      <c r="F2301" s="48" t="inlineStr">
        <is>
          <t>Q</t>
        </is>
      </c>
      <c r="G2301" s="48" t="inlineStr">
        <is>
          <t>higher</t>
        </is>
      </c>
      <c r="H2301" s="48" t="n">
        <v>3</v>
      </c>
      <c r="I2301" s="48" t="inlineStr">
        <is>
          <t>Incremento dei posti offerti nelle fasce di punta</t>
        </is>
      </c>
      <c r="J2301" s="73" t="n"/>
      <c r="K2301" s="73" t="n"/>
      <c r="L2301" s="73" t="n"/>
      <c r="M2301" s="73" t="n"/>
      <c r="N2301" s="57">
        <f>IF($A2301="","",IFERROR(VALUE($J2301),0))</f>
        <v/>
      </c>
      <c r="O2301" s="57">
        <f>IF($A2301="",0,IF(OR($S2301&lt;&gt;1,COUNTA($J2301:$M2301)=0),0,IF(SUMPRODUCT(MAX(($C$5:$C$2484=$C2301)*($D$5:$D$2484=$D2301)*($S$5:$S$2484=1)*IFERROR($N$5:$N$2484*1,0)))&gt;0,ROUND($H2301*($N2301/SUMPRODUCT(MAX(($C$5:$C$2484=$C2301)*($D$5:$D$2484=$D2301)*($S$5:$S$2484=1)*IFERROR($N$5:$N$2484*1,0)))),4),0)))</f>
        <v/>
      </c>
      <c r="P2301" s="48" t="inlineStr">
        <is>
          <t>posti*km</t>
        </is>
      </c>
      <c r="Q2301" s="57">
        <f>IF($A2301="","",$A2301&amp;"|"&amp;$C2301)</f>
        <v/>
      </c>
      <c r="R2301" s="57">
        <f>IF($A2301="","",$A2301&amp;"|"&amp;$C2301&amp;"|"&amp;$D2301)</f>
        <v/>
      </c>
      <c r="S2301" s="57">
        <f>IF($A2301="","",IFERROR(INDEX(Offerte!$D$2:$D$81,MATCH($Q2301,Offerte!$L$2:$L$81,0)),0))</f>
        <v/>
      </c>
      <c r="T2301" s="57">
        <f>IF($A2301="","",IFERROR(INDEX(Offerte!$G$2:$G$81,MATCH($Q2301,Offerte!$L$2:$L$81,0)),"NO"))</f>
        <v/>
      </c>
    </row>
    <row r="2302">
      <c r="A2302" s="48">
        <f>IF(Offerte!$A76="","",Offerte!$A76)</f>
        <v/>
      </c>
      <c r="B2302" s="48">
        <f>IF(Offerte!$A76="","",Offerte!$B76)</f>
        <v/>
      </c>
      <c r="C2302" s="48">
        <f>IF(Offerte!$A76="","",Offerte!$C76)</f>
        <v/>
      </c>
      <c r="D2302" s="48" t="inlineStr">
        <is>
          <t>B.2.1</t>
        </is>
      </c>
      <c r="E2302" s="48" t="inlineStr">
        <is>
          <t>B</t>
        </is>
      </c>
      <c r="F2302" s="48" t="inlineStr">
        <is>
          <t>Q</t>
        </is>
      </c>
      <c r="G2302" s="48" t="inlineStr">
        <is>
          <t>higher</t>
        </is>
      </c>
      <c r="H2302" s="48" t="n">
        <v>4</v>
      </c>
      <c r="I2302" s="48" t="inlineStr">
        <is>
          <t>Corse aggiuntive nell'arco giornaliero base</t>
        </is>
      </c>
      <c r="J2302" s="73" t="n"/>
      <c r="K2302" s="73" t="n"/>
      <c r="L2302" s="73" t="n"/>
      <c r="M2302" s="73" t="n"/>
      <c r="N2302" s="57">
        <f>IF($A2302="","",IFERROR(VALUE($J2302),0))</f>
        <v/>
      </c>
      <c r="O2302" s="57">
        <f>IF($A2302="",0,IF(OR($S2302&lt;&gt;1,COUNTA($J2302:$M2302)=0),0,IF(SUMPRODUCT(MAX(($C$5:$C$2484=$C2302)*($D$5:$D$2484=$D2302)*($S$5:$S$2484=1)*IFERROR($N$5:$N$2484*1,0)))&gt;0,ROUND($H2302*($N2302/SUMPRODUCT(MAX(($C$5:$C$2484=$C2302)*($D$5:$D$2484=$D2302)*($S$5:$S$2484=1)*IFERROR($N$5:$N$2484*1,0)))),4),0)))</f>
        <v/>
      </c>
      <c r="P2302" s="48" t="inlineStr">
        <is>
          <t>corse</t>
        </is>
      </c>
      <c r="Q2302" s="57">
        <f>IF($A2302="","",$A2302&amp;"|"&amp;$C2302)</f>
        <v/>
      </c>
      <c r="R2302" s="57">
        <f>IF($A2302="","",$A2302&amp;"|"&amp;$C2302&amp;"|"&amp;$D2302)</f>
        <v/>
      </c>
      <c r="S2302" s="57">
        <f>IF($A2302="","",IFERROR(INDEX(Offerte!$D$2:$D$81,MATCH($Q2302,Offerte!$L$2:$L$81,0)),0))</f>
        <v/>
      </c>
      <c r="T2302" s="57">
        <f>IF($A2302="","",IFERROR(INDEX(Offerte!$G$2:$G$81,MATCH($Q2302,Offerte!$L$2:$L$81,0)),"NO"))</f>
        <v/>
      </c>
    </row>
    <row r="2303">
      <c r="A2303" s="48">
        <f>IF(Offerte!$A76="","",Offerte!$A76)</f>
        <v/>
      </c>
      <c r="B2303" s="48">
        <f>IF(Offerte!$A76="","",Offerte!$B76)</f>
        <v/>
      </c>
      <c r="C2303" s="48">
        <f>IF(Offerte!$A76="","",Offerte!$C76)</f>
        <v/>
      </c>
      <c r="D2303" s="48" t="inlineStr">
        <is>
          <t>B.3.1</t>
        </is>
      </c>
      <c r="E2303" s="48" t="inlineStr">
        <is>
          <t>B</t>
        </is>
      </c>
      <c r="F2303" s="48" t="inlineStr">
        <is>
          <t>Q</t>
        </is>
      </c>
      <c r="G2303" s="48" t="inlineStr">
        <is>
          <t>higher</t>
        </is>
      </c>
      <c r="H2303" s="48" t="n">
        <v>2</v>
      </c>
      <c r="I2303" s="48" t="inlineStr">
        <is>
          <t>Numero di corse aggiuntive per allungamento dell'arco di servizio giornaliero nelle fasce serali</t>
        </is>
      </c>
      <c r="J2303" s="73" t="n"/>
      <c r="K2303" s="73" t="n"/>
      <c r="L2303" s="73" t="n"/>
      <c r="M2303" s="73" t="n"/>
      <c r="N2303" s="57">
        <f>IF($A2303="","",IFERROR(VALUE($J2303),0))</f>
        <v/>
      </c>
      <c r="O2303" s="57">
        <f>IF($A2303="",0,IF(OR($S2303&lt;&gt;1,COUNTA($J2303:$M2303)=0),0,IF(SUMPRODUCT(MAX(($C$5:$C$2484=$C2303)*($D$5:$D$2484=$D2303)*($S$5:$S$2484=1)*IFERROR($N$5:$N$2484*1,0)))&gt;0,ROUND($H2303*($N2303/SUMPRODUCT(MAX(($C$5:$C$2484=$C2303)*($D$5:$D$2484=$D2303)*($S$5:$S$2484=1)*IFERROR($N$5:$N$2484*1,0)))),4),0)))</f>
        <v/>
      </c>
      <c r="P2303" s="48" t="inlineStr">
        <is>
          <t>corse</t>
        </is>
      </c>
      <c r="Q2303" s="57">
        <f>IF($A2303="","",$A2303&amp;"|"&amp;$C2303)</f>
        <v/>
      </c>
      <c r="R2303" s="57">
        <f>IF($A2303="","",$A2303&amp;"|"&amp;$C2303&amp;"|"&amp;$D2303)</f>
        <v/>
      </c>
      <c r="S2303" s="57">
        <f>IF($A2303="","",IFERROR(INDEX(Offerte!$D$2:$D$81,MATCH($Q2303,Offerte!$L$2:$L$81,0)),0))</f>
        <v/>
      </c>
      <c r="T2303" s="57">
        <f>IF($A2303="","",IFERROR(INDEX(Offerte!$G$2:$G$81,MATCH($Q2303,Offerte!$L$2:$L$81,0)),"NO"))</f>
        <v/>
      </c>
    </row>
    <row r="2304">
      <c r="A2304" s="48">
        <f>IF(Offerte!$A76="","",Offerte!$A76)</f>
        <v/>
      </c>
      <c r="B2304" s="48">
        <f>IF(Offerte!$A76="","",Offerte!$B76)</f>
        <v/>
      </c>
      <c r="C2304" s="48">
        <f>IF(Offerte!$A76="","",Offerte!$C76)</f>
        <v/>
      </c>
      <c r="D2304" s="48" t="inlineStr">
        <is>
          <t>B.4.1</t>
        </is>
      </c>
      <c r="E2304" s="48" t="inlineStr">
        <is>
          <t>B</t>
        </is>
      </c>
      <c r="F2304" s="48" t="inlineStr">
        <is>
          <t>Q</t>
        </is>
      </c>
      <c r="G2304" s="48" t="inlineStr">
        <is>
          <t>higher</t>
        </is>
      </c>
      <c r="H2304" s="48" t="n">
        <v>3</v>
      </c>
      <c r="I2304" s="48" t="inlineStr">
        <is>
          <t>Percorrenze aggiuntive offerte nel Programma d'esercizio delle prime due fasi attuative</t>
        </is>
      </c>
      <c r="J2304" s="73" t="n"/>
      <c r="K2304" s="73" t="n"/>
      <c r="L2304" s="73" t="n"/>
      <c r="M2304" s="73" t="n"/>
      <c r="N2304" s="57">
        <f>IF($A2304="","",IFERROR(VALUE($J2304),0))</f>
        <v/>
      </c>
      <c r="O2304" s="57">
        <f>IF($A2304="",0,IF(OR($S2304&lt;&gt;1,COUNTA($J2304:$M2304)=0),0,IF(SUMPRODUCT(MAX(($C$5:$C$2484=$C2304)*($D$5:$D$2484=$D2304)*($S$5:$S$2484=1)*IFERROR($N$5:$N$2484*1,0)))&gt;0,ROUND($H2304*($N2304/SUMPRODUCT(MAX(($C$5:$C$2484=$C2304)*($D$5:$D$2484=$D2304)*($S$5:$S$2484=1)*IFERROR($N$5:$N$2484*1,0)))),4),0)))</f>
        <v/>
      </c>
      <c r="P2304" s="48" t="inlineStr">
        <is>
          <t>vett*km</t>
        </is>
      </c>
      <c r="Q2304" s="57">
        <f>IF($A2304="","",$A2304&amp;"|"&amp;$C2304)</f>
        <v/>
      </c>
      <c r="R2304" s="57">
        <f>IF($A2304="","",$A2304&amp;"|"&amp;$C2304&amp;"|"&amp;$D2304)</f>
        <v/>
      </c>
      <c r="S2304" s="57">
        <f>IF($A2304="","",IFERROR(INDEX(Offerte!$D$2:$D$81,MATCH($Q2304,Offerte!$L$2:$L$81,0)),0))</f>
        <v/>
      </c>
      <c r="T2304" s="57">
        <f>IF($A2304="","",IFERROR(INDEX(Offerte!$G$2:$G$81,MATCH($Q2304,Offerte!$L$2:$L$81,0)),"NO"))</f>
        <v/>
      </c>
    </row>
    <row r="2305">
      <c r="A2305" s="48">
        <f>IF(Offerte!$A76="","",Offerte!$A76)</f>
        <v/>
      </c>
      <c r="B2305" s="48">
        <f>IF(Offerte!$A76="","",Offerte!$B76)</f>
        <v/>
      </c>
      <c r="C2305" s="48">
        <f>IF(Offerte!$A76="","",Offerte!$C76)</f>
        <v/>
      </c>
      <c r="D2305" s="48" t="inlineStr">
        <is>
          <t>B.5.1</t>
        </is>
      </c>
      <c r="E2305" s="48" t="inlineStr">
        <is>
          <t>B</t>
        </is>
      </c>
      <c r="F2305" s="48" t="inlineStr">
        <is>
          <t>D</t>
        </is>
      </c>
      <c r="G2305" s="48" t="inlineStr">
        <is>
          <t>discretionary</t>
        </is>
      </c>
      <c r="H2305" s="48" t="n">
        <v>2</v>
      </c>
      <c r="I2305" s="48" t="inlineStr">
        <is>
          <t>Efficacia del progetto di servizi complementari DRT</t>
        </is>
      </c>
      <c r="J2305" s="73" t="n"/>
      <c r="K2305" s="73" t="n"/>
      <c r="L2305" s="73" t="n"/>
      <c r="M2305" s="73" t="n"/>
      <c r="N2305" s="57">
        <f>IF($A2305="","",MAX(0,MIN(1,IFERROR(VALUE($M2305),0))))</f>
        <v/>
      </c>
      <c r="O2305" s="57">
        <f>IF($A2305="",0,IF(OR($S2305&lt;&gt;1,COUNTA($J2305:$M2305)=0),0,IF(SUMPRODUCT(MAX(($C$5:$C$2484=$C2305)*($D$5:$D$2484=$D2305)*($S$5:$S$2484=1)*IFERROR($N$5:$N$2484*1,0)))&gt;0,ROUND($H2305*($N2305/SUMPRODUCT(MAX(($C$5:$C$2484=$C2305)*($D$5:$D$2484=$D2305)*($S$5:$S$2484=1)*IFERROR($N$5:$N$2484*1,0)))),4),0)))</f>
        <v/>
      </c>
      <c r="P2305" s="48" t="inlineStr">
        <is>
          <t>coeff.</t>
        </is>
      </c>
      <c r="Q2305" s="57">
        <f>IF($A2305="","",$A2305&amp;"|"&amp;$C2305)</f>
        <v/>
      </c>
      <c r="R2305" s="57">
        <f>IF($A2305="","",$A2305&amp;"|"&amp;$C2305&amp;"|"&amp;$D2305)</f>
        <v/>
      </c>
      <c r="S2305" s="57">
        <f>IF($A2305="","",IFERROR(INDEX(Offerte!$D$2:$D$81,MATCH($Q2305,Offerte!$L$2:$L$81,0)),0))</f>
        <v/>
      </c>
      <c r="T2305" s="57">
        <f>IF($A2305="","",IFERROR(INDEX(Offerte!$G$2:$G$81,MATCH($Q2305,Offerte!$L$2:$L$81,0)),"NO"))</f>
        <v/>
      </c>
    </row>
    <row r="2306">
      <c r="A2306" s="48">
        <f>IF(Offerte!$A76="","",Offerte!$A76)</f>
        <v/>
      </c>
      <c r="B2306" s="48">
        <f>IF(Offerte!$A76="","",Offerte!$B76)</f>
        <v/>
      </c>
      <c r="C2306" s="48">
        <f>IF(Offerte!$A76="","",Offerte!$C76)</f>
        <v/>
      </c>
      <c r="D2306" s="48" t="inlineStr">
        <is>
          <t>C.1.1</t>
        </is>
      </c>
      <c r="E2306" s="48" t="inlineStr">
        <is>
          <t>C</t>
        </is>
      </c>
      <c r="F2306" s="48" t="inlineStr">
        <is>
          <t>Q</t>
        </is>
      </c>
      <c r="G2306" s="48" t="inlineStr">
        <is>
          <t>higher</t>
        </is>
      </c>
      <c r="H2306" s="48" t="n">
        <v>2</v>
      </c>
      <c r="I2306" s="48" t="inlineStr">
        <is>
          <t>Tasso di copertura del servizio con telecamere BSD</t>
        </is>
      </c>
      <c r="J2306" s="73" t="n"/>
      <c r="K2306" s="73" t="n"/>
      <c r="L2306" s="73" t="n"/>
      <c r="M2306" s="73" t="n"/>
      <c r="N2306" s="57">
        <f>IF($A2306="","",IFERROR(VALUE($K2306)/VALUE($L2306),IFERROR(VALUE($J2306),0)))</f>
        <v/>
      </c>
      <c r="O2306" s="57">
        <f>IF($A2306="",0,IF(OR($S2306&lt;&gt;1,COUNTA($J2306:$M2306)=0),0,IF(SUMPRODUCT(MAX(($C$5:$C$2484=$C2306)*($D$5:$D$2484=$D2306)*($S$5:$S$2484=1)*IFERROR($N$5:$N$2484*1,0)))&gt;0,ROUND($H2306*($N2306/SUMPRODUCT(MAX(($C$5:$C$2484=$C2306)*($D$5:$D$2484=$D2306)*($S$5:$S$2484=1)*IFERROR($N$5:$N$2484*1,0)))),4),0)))</f>
        <v/>
      </c>
      <c r="P2306" s="48" t="inlineStr">
        <is>
          <t>Autobus attrezzati con telecamere BSD / Autobus totali in offerta, incluse scorte</t>
        </is>
      </c>
      <c r="Q2306" s="57">
        <f>IF($A2306="","",$A2306&amp;"|"&amp;$C2306)</f>
        <v/>
      </c>
      <c r="R2306" s="57">
        <f>IF($A2306="","",$A2306&amp;"|"&amp;$C2306&amp;"|"&amp;$D2306)</f>
        <v/>
      </c>
      <c r="S2306" s="57">
        <f>IF($A2306="","",IFERROR(INDEX(Offerte!$D$2:$D$81,MATCH($Q2306,Offerte!$L$2:$L$81,0)),0))</f>
        <v/>
      </c>
      <c r="T2306" s="57">
        <f>IF($A2306="","",IFERROR(INDEX(Offerte!$G$2:$G$81,MATCH($Q2306,Offerte!$L$2:$L$81,0)),"NO"))</f>
        <v/>
      </c>
    </row>
    <row r="2307">
      <c r="A2307" s="48">
        <f>IF(Offerte!$A76="","",Offerte!$A76)</f>
        <v/>
      </c>
      <c r="B2307" s="48">
        <f>IF(Offerte!$A76="","",Offerte!$B76)</f>
        <v/>
      </c>
      <c r="C2307" s="48">
        <f>IF(Offerte!$A76="","",Offerte!$C76)</f>
        <v/>
      </c>
      <c r="D2307" s="48" t="inlineStr">
        <is>
          <t>C.1.2</t>
        </is>
      </c>
      <c r="E2307" s="48" t="inlineStr">
        <is>
          <t>C</t>
        </is>
      </c>
      <c r="F2307" s="48" t="inlineStr">
        <is>
          <t>Q</t>
        </is>
      </c>
      <c r="G2307" s="48" t="inlineStr">
        <is>
          <t>higher</t>
        </is>
      </c>
      <c r="H2307" s="48" t="n">
        <v>2</v>
      </c>
      <c r="I2307" s="48" t="inlineStr">
        <is>
          <t>Tasso di copertura del servizio con telecamere ADAS</t>
        </is>
      </c>
      <c r="J2307" s="73" t="n"/>
      <c r="K2307" s="73" t="n"/>
      <c r="L2307" s="73" t="n"/>
      <c r="M2307" s="73" t="n"/>
      <c r="N2307" s="57">
        <f>IF($A2307="","",IFERROR(VALUE($K2307)/VALUE($L2307),IFERROR(VALUE($J2307),0)))</f>
        <v/>
      </c>
      <c r="O2307" s="57">
        <f>IF($A2307="",0,IF(OR($S2307&lt;&gt;1,COUNTA($J2307:$M2307)=0),0,IF(SUMPRODUCT(MAX(($C$5:$C$2484=$C2307)*($D$5:$D$2484=$D2307)*($S$5:$S$2484=1)*IFERROR($N$5:$N$2484*1,0)))&gt;0,ROUND($H2307*($N2307/SUMPRODUCT(MAX(($C$5:$C$2484=$C2307)*($D$5:$D$2484=$D2307)*($S$5:$S$2484=1)*IFERROR($N$5:$N$2484*1,0)))),4),0)))</f>
        <v/>
      </c>
      <c r="P2307" s="48" t="inlineStr">
        <is>
          <t>Autobus attrezzati con telecamere ADAS / Autobus totali in offerta, incluse scorte</t>
        </is>
      </c>
      <c r="Q2307" s="57">
        <f>IF($A2307="","",$A2307&amp;"|"&amp;$C2307)</f>
        <v/>
      </c>
      <c r="R2307" s="57">
        <f>IF($A2307="","",$A2307&amp;"|"&amp;$C2307&amp;"|"&amp;$D2307)</f>
        <v/>
      </c>
      <c r="S2307" s="57">
        <f>IF($A2307="","",IFERROR(INDEX(Offerte!$D$2:$D$81,MATCH($Q2307,Offerte!$L$2:$L$81,0)),0))</f>
        <v/>
      </c>
      <c r="T2307" s="57">
        <f>IF($A2307="","",IFERROR(INDEX(Offerte!$G$2:$G$81,MATCH($Q2307,Offerte!$L$2:$L$81,0)),"NO"))</f>
        <v/>
      </c>
    </row>
    <row r="2308">
      <c r="A2308" s="48">
        <f>IF(Offerte!$A76="","",Offerte!$A76)</f>
        <v/>
      </c>
      <c r="B2308" s="48">
        <f>IF(Offerte!$A76="","",Offerte!$B76)</f>
        <v/>
      </c>
      <c r="C2308" s="48">
        <f>IF(Offerte!$A76="","",Offerte!$C76)</f>
        <v/>
      </c>
      <c r="D2308" s="48" t="inlineStr">
        <is>
          <t>C.2.1</t>
        </is>
      </c>
      <c r="E2308" s="48" t="inlineStr">
        <is>
          <t>C</t>
        </is>
      </c>
      <c r="F2308" s="48" t="inlineStr">
        <is>
          <t>Q</t>
        </is>
      </c>
      <c r="G2308" s="48" t="inlineStr">
        <is>
          <t>higher</t>
        </is>
      </c>
      <c r="H2308" s="48" t="n">
        <v>3</v>
      </c>
      <c r="I2308" s="48" t="inlineStr">
        <is>
          <t>Tasso di copertura del servizio con telecamere di bordo di videosorveglianza</t>
        </is>
      </c>
      <c r="J2308" s="73" t="n"/>
      <c r="K2308" s="73" t="n"/>
      <c r="L2308" s="73" t="n"/>
      <c r="M2308" s="73" t="n"/>
      <c r="N2308" s="57">
        <f>IF($A2308="","",IFERROR(VALUE($K2308)/VALUE($L2308),IFERROR(VALUE($J2308),0)))</f>
        <v/>
      </c>
      <c r="O2308" s="57">
        <f>IF($A2308="",0,IF(OR($S2308&lt;&gt;1,COUNTA($J2308:$M2308)=0),0,IF(SUMPRODUCT(MAX(($C$5:$C$2484=$C2308)*($D$5:$D$2484=$D2308)*($S$5:$S$2484=1)*IFERROR($N$5:$N$2484*1,0)))&gt;0,ROUND($H2308*($N2308/SUMPRODUCT(MAX(($C$5:$C$2484=$C2308)*($D$5:$D$2484=$D2308)*($S$5:$S$2484=1)*IFERROR($N$5:$N$2484*1,0)))),4),0)))</f>
        <v/>
      </c>
      <c r="P2308" s="48" t="inlineStr">
        <is>
          <t>Autobus attrezzati con videosorveglianza / Autobus totali in offerta, incluse scorte</t>
        </is>
      </c>
      <c r="Q2308" s="57">
        <f>IF($A2308="","",$A2308&amp;"|"&amp;$C2308)</f>
        <v/>
      </c>
      <c r="R2308" s="57">
        <f>IF($A2308="","",$A2308&amp;"|"&amp;$C2308&amp;"|"&amp;$D2308)</f>
        <v/>
      </c>
      <c r="S2308" s="57">
        <f>IF($A2308="","",IFERROR(INDEX(Offerte!$D$2:$D$81,MATCH($Q2308,Offerte!$L$2:$L$81,0)),0))</f>
        <v/>
      </c>
      <c r="T2308" s="57">
        <f>IF($A2308="","",IFERROR(INDEX(Offerte!$G$2:$G$81,MATCH($Q2308,Offerte!$L$2:$L$81,0)),"NO"))</f>
        <v/>
      </c>
    </row>
    <row r="2309">
      <c r="A2309" s="48">
        <f>IF(Offerte!$A76="","",Offerte!$A76)</f>
        <v/>
      </c>
      <c r="B2309" s="48">
        <f>IF(Offerte!$A76="","",Offerte!$B76)</f>
        <v/>
      </c>
      <c r="C2309" s="48">
        <f>IF(Offerte!$A76="","",Offerte!$C76)</f>
        <v/>
      </c>
      <c r="D2309" s="48" t="inlineStr">
        <is>
          <t>C.2.2</t>
        </is>
      </c>
      <c r="E2309" s="48" t="inlineStr">
        <is>
          <t>C</t>
        </is>
      </c>
      <c r="F2309" s="48" t="inlineStr">
        <is>
          <t>T</t>
        </is>
      </c>
      <c r="G2309" s="48" t="inlineStr">
        <is>
          <t>tabular</t>
        </is>
      </c>
      <c r="H2309" s="48" t="n">
        <v>1</v>
      </c>
      <c r="I2309" s="48" t="inlineStr">
        <is>
          <t>Software video/audio analisi per situazioni di pericolo</t>
        </is>
      </c>
      <c r="J2309" s="73" t="n"/>
      <c r="K2309" s="73" t="n"/>
      <c r="L2309" s="73" t="n"/>
      <c r="M2309" s="73" t="n"/>
      <c r="N2309" s="57">
        <f>IF($A2309="","",IF(IFERROR(VALUE($M2309),0)=1,1,0))</f>
        <v/>
      </c>
      <c r="O2309" s="57">
        <f>IF($A2309="",0,IF(OR($S2309&lt;&gt;1,COUNTA($J2309:$M2309)=0),0,IF($N2309=1,$H2309,0)))</f>
        <v/>
      </c>
      <c r="P2309" s="48" t="inlineStr">
        <is>
          <t>sì/no</t>
        </is>
      </c>
      <c r="Q2309" s="57">
        <f>IF($A2309="","",$A2309&amp;"|"&amp;$C2309)</f>
        <v/>
      </c>
      <c r="R2309" s="57">
        <f>IF($A2309="","",$A2309&amp;"|"&amp;$C2309&amp;"|"&amp;$D2309)</f>
        <v/>
      </c>
      <c r="S2309" s="57">
        <f>IF($A2309="","",IFERROR(INDEX(Offerte!$D$2:$D$81,MATCH($Q2309,Offerte!$L$2:$L$81,0)),0))</f>
        <v/>
      </c>
      <c r="T2309" s="57">
        <f>IF($A2309="","",IFERROR(INDEX(Offerte!$G$2:$G$81,MATCH($Q2309,Offerte!$L$2:$L$81,0)),"NO"))</f>
        <v/>
      </c>
    </row>
    <row r="2310">
      <c r="A2310" s="48">
        <f>IF(Offerte!$A76="","",Offerte!$A76)</f>
        <v/>
      </c>
      <c r="B2310" s="48">
        <f>IF(Offerte!$A76="","",Offerte!$B76)</f>
        <v/>
      </c>
      <c r="C2310" s="48">
        <f>IF(Offerte!$A76="","",Offerte!$C76)</f>
        <v/>
      </c>
      <c r="D2310" s="48" t="inlineStr">
        <is>
          <t>C.2.3</t>
        </is>
      </c>
      <c r="E2310" s="48" t="inlineStr">
        <is>
          <t>C</t>
        </is>
      </c>
      <c r="F2310" s="48" t="inlineStr">
        <is>
          <t>T</t>
        </is>
      </c>
      <c r="G2310" s="48" t="inlineStr">
        <is>
          <t>tabular</t>
        </is>
      </c>
      <c r="H2310" s="48" t="n">
        <v>1</v>
      </c>
      <c r="I2310" s="48" t="inlineStr">
        <is>
          <t>Collegamento con centrale qualificata di pronto intervento</t>
        </is>
      </c>
      <c r="J2310" s="73" t="n"/>
      <c r="K2310" s="73" t="n"/>
      <c r="L2310" s="73" t="n"/>
      <c r="M2310" s="73" t="n"/>
      <c r="N2310" s="57">
        <f>IF($A2310="","",IF(IFERROR(VALUE($M2310),0)=1,1,0))</f>
        <v/>
      </c>
      <c r="O2310" s="57">
        <f>IF($A2310="",0,IF(OR($S2310&lt;&gt;1,COUNTA($J2310:$M2310)=0),0,IF($N2310=1,$H2310,0)))</f>
        <v/>
      </c>
      <c r="P2310" s="48" t="inlineStr">
        <is>
          <t>sì/no</t>
        </is>
      </c>
      <c r="Q2310" s="57">
        <f>IF($A2310="","",$A2310&amp;"|"&amp;$C2310)</f>
        <v/>
      </c>
      <c r="R2310" s="57">
        <f>IF($A2310="","",$A2310&amp;"|"&amp;$C2310&amp;"|"&amp;$D2310)</f>
        <v/>
      </c>
      <c r="S2310" s="57">
        <f>IF($A2310="","",IFERROR(INDEX(Offerte!$D$2:$D$81,MATCH($Q2310,Offerte!$L$2:$L$81,0)),0))</f>
        <v/>
      </c>
      <c r="T2310" s="57">
        <f>IF($A2310="","",IFERROR(INDEX(Offerte!$G$2:$G$81,MATCH($Q2310,Offerte!$L$2:$L$81,0)),"NO"))</f>
        <v/>
      </c>
    </row>
    <row r="2311">
      <c r="A2311" s="48">
        <f>IF(Offerte!$A76="","",Offerte!$A76)</f>
        <v/>
      </c>
      <c r="B2311" s="48">
        <f>IF(Offerte!$A76="","",Offerte!$B76)</f>
        <v/>
      </c>
      <c r="C2311" s="48">
        <f>IF(Offerte!$A76="","",Offerte!$C76)</f>
        <v/>
      </c>
      <c r="D2311" s="48" t="inlineStr">
        <is>
          <t>C.2.4</t>
        </is>
      </c>
      <c r="E2311" s="48" t="inlineStr">
        <is>
          <t>C</t>
        </is>
      </c>
      <c r="F2311" s="48" t="inlineStr">
        <is>
          <t>Q</t>
        </is>
      </c>
      <c r="G2311" s="48" t="inlineStr">
        <is>
          <t>higher</t>
        </is>
      </c>
      <c r="H2311" s="48" t="n">
        <v>1</v>
      </c>
      <c r="I2311" s="48" t="inlineStr">
        <is>
          <t>Tasso di copertura del servizio con dispositivi per la chiamata di emergenza del conducente</t>
        </is>
      </c>
      <c r="J2311" s="73" t="n"/>
      <c r="K2311" s="73" t="n"/>
      <c r="L2311" s="73" t="n"/>
      <c r="M2311" s="73" t="n"/>
      <c r="N2311" s="57">
        <f>IF($A2311="","",IFERROR(VALUE($K2311)/VALUE($L2311),IFERROR(VALUE($J2311),0)))</f>
        <v/>
      </c>
      <c r="O2311" s="57">
        <f>IF($A2311="",0,IF(OR($S2311&lt;&gt;1,COUNTA($J2311:$M2311)=0),0,IF(SUMPRODUCT(MAX(($C$5:$C$2484=$C2311)*($D$5:$D$2484=$D2311)*($S$5:$S$2484=1)*IFERROR($N$5:$N$2484*1,0)))&gt;0,ROUND($H2311*($N2311/SUMPRODUCT(MAX(($C$5:$C$2484=$C2311)*($D$5:$D$2484=$D2311)*($S$5:$S$2484=1)*IFERROR($N$5:$N$2484*1,0)))),4),0)))</f>
        <v/>
      </c>
      <c r="P2311" s="48" t="inlineStr">
        <is>
          <t>Autobus attrezzati con chiamata di emergenza / Autobus totali in offerta, incluse scorte</t>
        </is>
      </c>
      <c r="Q2311" s="57">
        <f>IF($A2311="","",$A2311&amp;"|"&amp;$C2311)</f>
        <v/>
      </c>
      <c r="R2311" s="57">
        <f>IF($A2311="","",$A2311&amp;"|"&amp;$C2311&amp;"|"&amp;$D2311)</f>
        <v/>
      </c>
      <c r="S2311" s="57">
        <f>IF($A2311="","",IFERROR(INDEX(Offerte!$D$2:$D$81,MATCH($Q2311,Offerte!$L$2:$L$81,0)),0))</f>
        <v/>
      </c>
      <c r="T2311" s="57">
        <f>IF($A2311="","",IFERROR(INDEX(Offerte!$G$2:$G$81,MATCH($Q2311,Offerte!$L$2:$L$81,0)),"NO"))</f>
        <v/>
      </c>
    </row>
    <row r="2312">
      <c r="A2312" s="48">
        <f>IF(Offerte!$A76="","",Offerte!$A76)</f>
        <v/>
      </c>
      <c r="B2312" s="48">
        <f>IF(Offerte!$A76="","",Offerte!$B76)</f>
        <v/>
      </c>
      <c r="C2312" s="48">
        <f>IF(Offerte!$A76="","",Offerte!$C76)</f>
        <v/>
      </c>
      <c r="D2312" s="48" t="inlineStr">
        <is>
          <t>C.3.1</t>
        </is>
      </c>
      <c r="E2312" s="48" t="inlineStr">
        <is>
          <t>C</t>
        </is>
      </c>
      <c r="F2312" s="48" t="inlineStr">
        <is>
          <t>Q</t>
        </is>
      </c>
      <c r="G2312" s="48" t="inlineStr">
        <is>
          <t>higher</t>
        </is>
      </c>
      <c r="H2312" s="48" t="n">
        <v>2</v>
      </c>
      <c r="I2312" s="48" t="inlineStr">
        <is>
          <t>Tasso di copertura del servizio con dispositivi di informazione dinamica a bordo mezzo</t>
        </is>
      </c>
      <c r="J2312" s="73" t="n"/>
      <c r="K2312" s="73" t="n"/>
      <c r="L2312" s="73" t="n"/>
      <c r="M2312" s="73" t="n"/>
      <c r="N2312" s="57">
        <f>IF($A2312="","",IFERROR(VALUE($K2312)/VALUE($L2312),IFERROR(VALUE($J2312),0)))</f>
        <v/>
      </c>
      <c r="O2312" s="57">
        <f>IF($A2312="",0,IF(OR($S2312&lt;&gt;1,COUNTA($J2312:$M2312)=0),0,IF(SUMPRODUCT(MAX(($C$5:$C$2484=$C2312)*($D$5:$D$2484=$D2312)*($S$5:$S$2484=1)*IFERROR($N$5:$N$2484*1,0)))&gt;0,ROUND($H2312*($N2312/SUMPRODUCT(MAX(($C$5:$C$2484=$C2312)*($D$5:$D$2484=$D2312)*($S$5:$S$2484=1)*IFERROR($N$5:$N$2484*1,0)))),4),0)))</f>
        <v/>
      </c>
      <c r="P2312" s="48" t="inlineStr">
        <is>
          <t>Autobus con monitor e indicatori vocali / Autobus totali in offerta, incluse scorte</t>
        </is>
      </c>
      <c r="Q2312" s="57">
        <f>IF($A2312="","",$A2312&amp;"|"&amp;$C2312)</f>
        <v/>
      </c>
      <c r="R2312" s="57">
        <f>IF($A2312="","",$A2312&amp;"|"&amp;$C2312&amp;"|"&amp;$D2312)</f>
        <v/>
      </c>
      <c r="S2312" s="57">
        <f>IF($A2312="","",IFERROR(INDEX(Offerte!$D$2:$D$81,MATCH($Q2312,Offerte!$L$2:$L$81,0)),0))</f>
        <v/>
      </c>
      <c r="T2312" s="57">
        <f>IF($A2312="","",IFERROR(INDEX(Offerte!$G$2:$G$81,MATCH($Q2312,Offerte!$L$2:$L$81,0)),"NO"))</f>
        <v/>
      </c>
    </row>
    <row r="2313">
      <c r="A2313" s="48">
        <f>IF(Offerte!$A76="","",Offerte!$A76)</f>
        <v/>
      </c>
      <c r="B2313" s="48">
        <f>IF(Offerte!$A76="","",Offerte!$B76)</f>
        <v/>
      </c>
      <c r="C2313" s="48">
        <f>IF(Offerte!$A76="","",Offerte!$C76)</f>
        <v/>
      </c>
      <c r="D2313" s="48" t="inlineStr">
        <is>
          <t>C.3.2</t>
        </is>
      </c>
      <c r="E2313" s="48" t="inlineStr">
        <is>
          <t>C</t>
        </is>
      </c>
      <c r="F2313" s="48" t="inlineStr">
        <is>
          <t>T</t>
        </is>
      </c>
      <c r="G2313" s="48" t="inlineStr">
        <is>
          <t>tabular</t>
        </is>
      </c>
      <c r="H2313" s="48" t="n">
        <v>2</v>
      </c>
      <c r="I2313" s="48" t="inlineStr">
        <is>
          <t>Informazioni a bordo su coincidenze ai nodi</t>
        </is>
      </c>
      <c r="J2313" s="73" t="n"/>
      <c r="K2313" s="73" t="n"/>
      <c r="L2313" s="73" t="n"/>
      <c r="M2313" s="73" t="n"/>
      <c r="N2313" s="57">
        <f>IF($A2313="","",IF(IFERROR(VALUE($M2313),0)=1,1,0))</f>
        <v/>
      </c>
      <c r="O2313" s="57">
        <f>IF($A2313="",0,IF(OR($S2313&lt;&gt;1,COUNTA($J2313:$M2313)=0),0,IF(AND($N2313=1,IFERROR(SUMIFS($N$5:$N$2484,$Q$5:$Q$2484,$Q2313,$D$5:$D$2484,"C.3.1"),0)&gt;=0.5),$H2313,0)))</f>
        <v/>
      </c>
      <c r="P2313" s="48" t="inlineStr">
        <is>
          <t>Dipende da C.3.1 &gt;= 0.5</t>
        </is>
      </c>
      <c r="Q2313" s="57">
        <f>IF($A2313="","",$A2313&amp;"|"&amp;$C2313)</f>
        <v/>
      </c>
      <c r="R2313" s="57">
        <f>IF($A2313="","",$A2313&amp;"|"&amp;$C2313&amp;"|"&amp;$D2313)</f>
        <v/>
      </c>
      <c r="S2313" s="57">
        <f>IF($A2313="","",IFERROR(INDEX(Offerte!$D$2:$D$81,MATCH($Q2313,Offerte!$L$2:$L$81,0)),0))</f>
        <v/>
      </c>
      <c r="T2313" s="57">
        <f>IF($A2313="","",IFERROR(INDEX(Offerte!$G$2:$G$81,MATCH($Q2313,Offerte!$L$2:$L$81,0)),"NO"))</f>
        <v/>
      </c>
    </row>
    <row r="2314">
      <c r="A2314" s="48">
        <f>IF(Offerte!$A76="","",Offerte!$A76)</f>
        <v/>
      </c>
      <c r="B2314" s="48">
        <f>IF(Offerte!$A76="","",Offerte!$B76)</f>
        <v/>
      </c>
      <c r="C2314" s="48">
        <f>IF(Offerte!$A76="","",Offerte!$C76)</f>
        <v/>
      </c>
      <c r="D2314" s="48" t="inlineStr">
        <is>
          <t>D.1.1</t>
        </is>
      </c>
      <c r="E2314" s="48" t="inlineStr">
        <is>
          <t>D</t>
        </is>
      </c>
      <c r="F2314" s="48" t="inlineStr">
        <is>
          <t>Q</t>
        </is>
      </c>
      <c r="G2314" s="48" t="inlineStr">
        <is>
          <t>higher</t>
        </is>
      </c>
      <c r="H2314" s="48" t="n">
        <v>3</v>
      </c>
      <c r="I2314" s="48" t="inlineStr">
        <is>
          <t>Installazione di pensiline</t>
        </is>
      </c>
      <c r="J2314" s="73" t="n"/>
      <c r="K2314" s="73" t="n"/>
      <c r="L2314" s="73" t="n"/>
      <c r="M2314" s="73" t="n"/>
      <c r="N2314" s="57">
        <f>IF($A2314="","",IFERROR(VALUE($J2314),0))</f>
        <v/>
      </c>
      <c r="O2314" s="57">
        <f>IF($A2314="",0,IF(OR($S2314&lt;&gt;1,COUNTA($J2314:$M2314)=0),0,IF(SUMPRODUCT(MAX(($C$5:$C$2484=$C2314)*($D$5:$D$2484=$D2314)*($S$5:$S$2484=1)*IFERROR($N$5:$N$2484*1,0)))&gt;0,ROUND($H2314*($N2314/SUMPRODUCT(MAX(($C$5:$C$2484=$C2314)*($D$5:$D$2484=$D2314)*($S$5:$S$2484=1)*IFERROR($N$5:$N$2484*1,0)))),4),0)))</f>
        <v/>
      </c>
      <c r="P2314" s="48" t="inlineStr">
        <is>
          <t>fermate</t>
        </is>
      </c>
      <c r="Q2314" s="57">
        <f>IF($A2314="","",$A2314&amp;"|"&amp;$C2314)</f>
        <v/>
      </c>
      <c r="R2314" s="57">
        <f>IF($A2314="","",$A2314&amp;"|"&amp;$C2314&amp;"|"&amp;$D2314)</f>
        <v/>
      </c>
      <c r="S2314" s="57">
        <f>IF($A2314="","",IFERROR(INDEX(Offerte!$D$2:$D$81,MATCH($Q2314,Offerte!$L$2:$L$81,0)),0))</f>
        <v/>
      </c>
      <c r="T2314" s="57">
        <f>IF($A2314="","",IFERROR(INDEX(Offerte!$G$2:$G$81,MATCH($Q2314,Offerte!$L$2:$L$81,0)),"NO"))</f>
        <v/>
      </c>
    </row>
    <row r="2315">
      <c r="A2315" s="48">
        <f>IF(Offerte!$A76="","",Offerte!$A76)</f>
        <v/>
      </c>
      <c r="B2315" s="48">
        <f>IF(Offerte!$A76="","",Offerte!$B76)</f>
        <v/>
      </c>
      <c r="C2315" s="48">
        <f>IF(Offerte!$A76="","",Offerte!$C76)</f>
        <v/>
      </c>
      <c r="D2315" s="48" t="inlineStr">
        <is>
          <t>D.1.2</t>
        </is>
      </c>
      <c r="E2315" s="48" t="inlineStr">
        <is>
          <t>D</t>
        </is>
      </c>
      <c r="F2315" s="48" t="inlineStr">
        <is>
          <t>Q</t>
        </is>
      </c>
      <c r="G2315" s="48" t="inlineStr">
        <is>
          <t>higher</t>
        </is>
      </c>
      <c r="H2315" s="48" t="n">
        <v>3</v>
      </c>
      <c r="I2315" s="48" t="inlineStr">
        <is>
          <t>Installazione di paline di fermata conformi alla DGR 581/2023</t>
        </is>
      </c>
      <c r="J2315" s="73" t="n"/>
      <c r="K2315" s="73" t="n"/>
      <c r="L2315" s="73" t="n"/>
      <c r="M2315" s="73" t="n"/>
      <c r="N2315" s="57">
        <f>IF($A2315="","",IFERROR(VALUE($J2315),0))</f>
        <v/>
      </c>
      <c r="O2315" s="57">
        <f>IF($A2315="",0,IF(OR($S2315&lt;&gt;1,COUNTA($J2315:$M2315)=0),0,IF(SUMPRODUCT(MAX(($C$5:$C$2484=$C2315)*($D$5:$D$2484=$D2315)*($S$5:$S$2484=1)*IFERROR($N$5:$N$2484*1,0)))&gt;0,ROUND($H2315*($N2315/SUMPRODUCT(MAX(($C$5:$C$2484=$C2315)*($D$5:$D$2484=$D2315)*($S$5:$S$2484=1)*IFERROR($N$5:$N$2484*1,0)))),4),0)))</f>
        <v/>
      </c>
      <c r="P2315" s="48" t="inlineStr">
        <is>
          <t>fermate</t>
        </is>
      </c>
      <c r="Q2315" s="57">
        <f>IF($A2315="","",$A2315&amp;"|"&amp;$C2315)</f>
        <v/>
      </c>
      <c r="R2315" s="57">
        <f>IF($A2315="","",$A2315&amp;"|"&amp;$C2315&amp;"|"&amp;$D2315)</f>
        <v/>
      </c>
      <c r="S2315" s="57">
        <f>IF($A2315="","",IFERROR(INDEX(Offerte!$D$2:$D$81,MATCH($Q2315,Offerte!$L$2:$L$81,0)),0))</f>
        <v/>
      </c>
      <c r="T2315" s="57">
        <f>IF($A2315="","",IFERROR(INDEX(Offerte!$G$2:$G$81,MATCH($Q2315,Offerte!$L$2:$L$81,0)),"NO"))</f>
        <v/>
      </c>
    </row>
    <row r="2316">
      <c r="A2316" s="48">
        <f>IF(Offerte!$A76="","",Offerte!$A76)</f>
        <v/>
      </c>
      <c r="B2316" s="48">
        <f>IF(Offerte!$A76="","",Offerte!$B76)</f>
        <v/>
      </c>
      <c r="C2316" s="48">
        <f>IF(Offerte!$A76="","",Offerte!$C76)</f>
        <v/>
      </c>
      <c r="D2316" s="48" t="inlineStr">
        <is>
          <t>D.1.3</t>
        </is>
      </c>
      <c r="E2316" s="48" t="inlineStr">
        <is>
          <t>D</t>
        </is>
      </c>
      <c r="F2316" s="48" t="inlineStr">
        <is>
          <t>Q</t>
        </is>
      </c>
      <c r="G2316" s="48" t="inlineStr">
        <is>
          <t>higher</t>
        </is>
      </c>
      <c r="H2316" s="48" t="n">
        <v>2</v>
      </c>
      <c r="I2316" s="48" t="inlineStr">
        <is>
          <t>Display informativi connessi alle fermate</t>
        </is>
      </c>
      <c r="J2316" s="73" t="n"/>
      <c r="K2316" s="73" t="n"/>
      <c r="L2316" s="73" t="n"/>
      <c r="M2316" s="73" t="n"/>
      <c r="N2316" s="57">
        <f>IF($A2316="","",IFERROR(VALUE($J2316),0))</f>
        <v/>
      </c>
      <c r="O2316" s="57">
        <f>IF($A2316="",0,IF(OR($S2316&lt;&gt;1,COUNTA($J2316:$M2316)=0),0,IF(SUMPRODUCT(MAX(($C$5:$C$2484=$C2316)*($D$5:$D$2484=$D2316)*($S$5:$S$2484=1)*IFERROR($N$5:$N$2484*1,0)))&gt;0,ROUND($H2316*($N2316/SUMPRODUCT(MAX(($C$5:$C$2484=$C2316)*($D$5:$D$2484=$D2316)*($S$5:$S$2484=1)*IFERROR($N$5:$N$2484*1,0)))),4),0)))</f>
        <v/>
      </c>
      <c r="P2316" s="48" t="inlineStr">
        <is>
          <t>fermate</t>
        </is>
      </c>
      <c r="Q2316" s="57">
        <f>IF($A2316="","",$A2316&amp;"|"&amp;$C2316)</f>
        <v/>
      </c>
      <c r="R2316" s="57">
        <f>IF($A2316="","",$A2316&amp;"|"&amp;$C2316&amp;"|"&amp;$D2316)</f>
        <v/>
      </c>
      <c r="S2316" s="57">
        <f>IF($A2316="","",IFERROR(INDEX(Offerte!$D$2:$D$81,MATCH($Q2316,Offerte!$L$2:$L$81,0)),0))</f>
        <v/>
      </c>
      <c r="T2316" s="57">
        <f>IF($A2316="","",IFERROR(INDEX(Offerte!$G$2:$G$81,MATCH($Q2316,Offerte!$L$2:$L$81,0)),"NO"))</f>
        <v/>
      </c>
    </row>
    <row r="2317">
      <c r="A2317" s="48">
        <f>IF(Offerte!$A76="","",Offerte!$A76)</f>
        <v/>
      </c>
      <c r="B2317" s="48">
        <f>IF(Offerte!$A76="","",Offerte!$B76)</f>
        <v/>
      </c>
      <c r="C2317" s="48">
        <f>IF(Offerte!$A76="","",Offerte!$C76)</f>
        <v/>
      </c>
      <c r="D2317" s="48" t="inlineStr">
        <is>
          <t>D.2.1</t>
        </is>
      </c>
      <c r="E2317" s="48" t="inlineStr">
        <is>
          <t>D</t>
        </is>
      </c>
      <c r="F2317" s="48" t="inlineStr">
        <is>
          <t>Q</t>
        </is>
      </c>
      <c r="G2317" s="48" t="inlineStr">
        <is>
          <t>higher</t>
        </is>
      </c>
      <c r="H2317" s="48" t="n">
        <v>2</v>
      </c>
      <c r="I2317" s="48" t="inlineStr">
        <is>
          <t>Segnali tattili Loges-Vet-Evolution</t>
        </is>
      </c>
      <c r="J2317" s="73" t="n"/>
      <c r="K2317" s="73" t="n"/>
      <c r="L2317" s="73" t="n"/>
      <c r="M2317" s="73" t="n"/>
      <c r="N2317" s="57">
        <f>IF($A2317="","",IFERROR(VALUE($J2317),0))</f>
        <v/>
      </c>
      <c r="O2317" s="57">
        <f>IF($A2317="",0,IF(OR($S2317&lt;&gt;1,COUNTA($J2317:$M2317)=0),0,IF(SUMPRODUCT(MAX(($C$5:$C$2484=$C2317)*($D$5:$D$2484=$D2317)*($S$5:$S$2484=1)*IFERROR($N$5:$N$2484*1,0)))&gt;0,ROUND($H2317*($N2317/SUMPRODUCT(MAX(($C$5:$C$2484=$C2317)*($D$5:$D$2484=$D2317)*($S$5:$S$2484=1)*IFERROR($N$5:$N$2484*1,0)))),4),0)))</f>
        <v/>
      </c>
      <c r="P2317" s="48" t="inlineStr">
        <is>
          <t>fermate</t>
        </is>
      </c>
      <c r="Q2317" s="57">
        <f>IF($A2317="","",$A2317&amp;"|"&amp;$C2317)</f>
        <v/>
      </c>
      <c r="R2317" s="57">
        <f>IF($A2317="","",$A2317&amp;"|"&amp;$C2317&amp;"|"&amp;$D2317)</f>
        <v/>
      </c>
      <c r="S2317" s="57">
        <f>IF($A2317="","",IFERROR(INDEX(Offerte!$D$2:$D$81,MATCH($Q2317,Offerte!$L$2:$L$81,0)),0))</f>
        <v/>
      </c>
      <c r="T2317" s="57">
        <f>IF($A2317="","",IFERROR(INDEX(Offerte!$G$2:$G$81,MATCH($Q2317,Offerte!$L$2:$L$81,0)),"NO"))</f>
        <v/>
      </c>
    </row>
    <row r="2318">
      <c r="A2318" s="48">
        <f>IF(Offerte!$A76="","",Offerte!$A76)</f>
        <v/>
      </c>
      <c r="B2318" s="48">
        <f>IF(Offerte!$A76="","",Offerte!$B76)</f>
        <v/>
      </c>
      <c r="C2318" s="48">
        <f>IF(Offerte!$A76="","",Offerte!$C76)</f>
        <v/>
      </c>
      <c r="D2318" s="48" t="inlineStr">
        <is>
          <t>E.1.1</t>
        </is>
      </c>
      <c r="E2318" s="48" t="inlineStr">
        <is>
          <t>E</t>
        </is>
      </c>
      <c r="F2318" s="48" t="inlineStr">
        <is>
          <t>T</t>
        </is>
      </c>
      <c r="G2318" s="48" t="inlineStr">
        <is>
          <t>tabular</t>
        </is>
      </c>
      <c r="H2318" s="48" t="n">
        <v>2</v>
      </c>
      <c r="I2318" s="48" t="inlineStr">
        <is>
          <t>Mobile app con travel planner PRM</t>
        </is>
      </c>
      <c r="J2318" s="73" t="n"/>
      <c r="K2318" s="73" t="n"/>
      <c r="L2318" s="73" t="n"/>
      <c r="M2318" s="73" t="n"/>
      <c r="N2318" s="57">
        <f>IF($A2318="","",IF(IFERROR(VALUE($M2318),0)=1,1,0))</f>
        <v/>
      </c>
      <c r="O2318" s="57">
        <f>IF($A2318="",0,IF(OR($S2318&lt;&gt;1,COUNTA($J2318:$M2318)=0),0,IF($N2318=1,$H2318,0)))</f>
        <v/>
      </c>
      <c r="P2318" s="48" t="inlineStr">
        <is>
          <t>sì/no</t>
        </is>
      </c>
      <c r="Q2318" s="57">
        <f>IF($A2318="","",$A2318&amp;"|"&amp;$C2318)</f>
        <v/>
      </c>
      <c r="R2318" s="57">
        <f>IF($A2318="","",$A2318&amp;"|"&amp;$C2318&amp;"|"&amp;$D2318)</f>
        <v/>
      </c>
      <c r="S2318" s="57">
        <f>IF($A2318="","",IFERROR(INDEX(Offerte!$D$2:$D$81,MATCH($Q2318,Offerte!$L$2:$L$81,0)),0))</f>
        <v/>
      </c>
      <c r="T2318" s="57">
        <f>IF($A2318="","",IFERROR(INDEX(Offerte!$G$2:$G$81,MATCH($Q2318,Offerte!$L$2:$L$81,0)),"NO"))</f>
        <v/>
      </c>
    </row>
    <row r="2319">
      <c r="A2319" s="48">
        <f>IF(Offerte!$A76="","",Offerte!$A76)</f>
        <v/>
      </c>
      <c r="B2319" s="48">
        <f>IF(Offerte!$A76="","",Offerte!$B76)</f>
        <v/>
      </c>
      <c r="C2319" s="48">
        <f>IF(Offerte!$A76="","",Offerte!$C76)</f>
        <v/>
      </c>
      <c r="D2319" s="48" t="inlineStr">
        <is>
          <t>E.2.1</t>
        </is>
      </c>
      <c r="E2319" s="48" t="inlineStr">
        <is>
          <t>E</t>
        </is>
      </c>
      <c r="F2319" s="48" t="inlineStr">
        <is>
          <t>D</t>
        </is>
      </c>
      <c r="G2319" s="48" t="inlineStr">
        <is>
          <t>discretionary</t>
        </is>
      </c>
      <c r="H2319" s="48" t="n">
        <v>2</v>
      </c>
      <c r="I2319" s="48" t="inlineStr">
        <is>
          <t>Altre azioni informative e rapporti con gli utenti</t>
        </is>
      </c>
      <c r="J2319" s="73" t="n"/>
      <c r="K2319" s="73" t="n"/>
      <c r="L2319" s="73" t="n"/>
      <c r="M2319" s="73" t="n"/>
      <c r="N2319" s="57">
        <f>IF($A2319="","",MAX(0,MIN(1,IFERROR(VALUE($M2319),0))))</f>
        <v/>
      </c>
      <c r="O2319" s="57">
        <f>IF($A2319="",0,IF(OR($S2319&lt;&gt;1,COUNTA($J2319:$M2319)=0),0,IF(SUMPRODUCT(MAX(($C$5:$C$2484=$C2319)*($D$5:$D$2484=$D2319)*($S$5:$S$2484=1)*IFERROR($N$5:$N$2484*1,0)))&gt;0,ROUND($H2319*($N2319/SUMPRODUCT(MAX(($C$5:$C$2484=$C2319)*($D$5:$D$2484=$D2319)*($S$5:$S$2484=1)*IFERROR($N$5:$N$2484*1,0)))),4),0)))</f>
        <v/>
      </c>
      <c r="P2319" s="48" t="inlineStr">
        <is>
          <t>coeff.</t>
        </is>
      </c>
      <c r="Q2319" s="57">
        <f>IF($A2319="","",$A2319&amp;"|"&amp;$C2319)</f>
        <v/>
      </c>
      <c r="R2319" s="57">
        <f>IF($A2319="","",$A2319&amp;"|"&amp;$C2319&amp;"|"&amp;$D2319)</f>
        <v/>
      </c>
      <c r="S2319" s="57">
        <f>IF($A2319="","",IFERROR(INDEX(Offerte!$D$2:$D$81,MATCH($Q2319,Offerte!$L$2:$L$81,0)),0))</f>
        <v/>
      </c>
      <c r="T2319" s="57">
        <f>IF($A2319="","",IFERROR(INDEX(Offerte!$G$2:$G$81,MATCH($Q2319,Offerte!$L$2:$L$81,0)),"NO"))</f>
        <v/>
      </c>
    </row>
    <row r="2320">
      <c r="A2320" s="48">
        <f>IF(Offerte!$A76="","",Offerte!$A76)</f>
        <v/>
      </c>
      <c r="B2320" s="48">
        <f>IF(Offerte!$A76="","",Offerte!$B76)</f>
        <v/>
      </c>
      <c r="C2320" s="48">
        <f>IF(Offerte!$A76="","",Offerte!$C76)</f>
        <v/>
      </c>
      <c r="D2320" s="48" t="inlineStr">
        <is>
          <t>F.1.1</t>
        </is>
      </c>
      <c r="E2320" s="48" t="inlineStr">
        <is>
          <t>F</t>
        </is>
      </c>
      <c r="F2320" s="48" t="inlineStr">
        <is>
          <t>Q</t>
        </is>
      </c>
      <c r="G2320" s="48" t="inlineStr">
        <is>
          <t>lower</t>
        </is>
      </c>
      <c r="H2320" s="48" t="n">
        <v>7</v>
      </c>
      <c r="I2320" s="48" t="inlineStr">
        <is>
          <t>Performance ambientali del parco mezzi adibito al servizio - I_CEA</t>
        </is>
      </c>
      <c r="J2320" s="73" t="n"/>
      <c r="K2320" s="73" t="n"/>
      <c r="L2320" s="73" t="n"/>
      <c r="M2320" s="73" t="n"/>
      <c r="N2320" s="57">
        <f>IF($A2320="","",IFERROR(VALUE($J2320),0))</f>
        <v/>
      </c>
      <c r="O2320" s="57">
        <f>IF($A2320="",0,IF(OR($S2320&lt;&gt;1,COUNTA($J2320:$M2320)=0),0,IF(AND(IFERROR(AGGREGATE(15,6,$N$5:$N$2484/(($C$5:$C$2484=$C2320)*($D$5:$D$2484=$D2320)*($S$5:$S$2484=1)*($N$5:$N$2484&gt;0)),1),0)&gt;0,$N2320&gt;0),ROUND($H2320*(IFERROR(AGGREGATE(15,6,$N$5:$N$2484/(($C$5:$C$2484=$C2320)*($D$5:$D$2484=$D2320)*($S$5:$S$2484=1)*($N$5:$N$2484&gt;0)),1),0)/$N2320),4),0)))</f>
        <v/>
      </c>
      <c r="P2320" s="48" t="inlineStr">
        <is>
          <t>indice</t>
        </is>
      </c>
      <c r="Q2320" s="57">
        <f>IF($A2320="","",$A2320&amp;"|"&amp;$C2320)</f>
        <v/>
      </c>
      <c r="R2320" s="57">
        <f>IF($A2320="","",$A2320&amp;"|"&amp;$C2320&amp;"|"&amp;$D2320)</f>
        <v/>
      </c>
      <c r="S2320" s="57">
        <f>IF($A2320="","",IFERROR(INDEX(Offerte!$D$2:$D$81,MATCH($Q2320,Offerte!$L$2:$L$81,0)),0))</f>
        <v/>
      </c>
      <c r="T2320" s="57">
        <f>IF($A2320="","",IFERROR(INDEX(Offerte!$G$2:$G$81,MATCH($Q2320,Offerte!$L$2:$L$81,0)),"NO"))</f>
        <v/>
      </c>
    </row>
    <row r="2321">
      <c r="A2321" s="48">
        <f>IF(Offerte!$A76="","",Offerte!$A76)</f>
        <v/>
      </c>
      <c r="B2321" s="48">
        <f>IF(Offerte!$A76="","",Offerte!$B76)</f>
        <v/>
      </c>
      <c r="C2321" s="48">
        <f>IF(Offerte!$A76="","",Offerte!$C76)</f>
        <v/>
      </c>
      <c r="D2321" s="48" t="inlineStr">
        <is>
          <t>F.2.1</t>
        </is>
      </c>
      <c r="E2321" s="48" t="inlineStr">
        <is>
          <t>F</t>
        </is>
      </c>
      <c r="F2321" s="48" t="inlineStr">
        <is>
          <t>Q</t>
        </is>
      </c>
      <c r="G2321" s="48" t="inlineStr">
        <is>
          <t>higher</t>
        </is>
      </c>
      <c r="H2321" s="48" t="n">
        <v>2</v>
      </c>
      <c r="I2321" s="48" t="inlineStr">
        <is>
          <t>Tasso di copertura del servizio con dispositivi ECO-DRIVER</t>
        </is>
      </c>
      <c r="J2321" s="73" t="n"/>
      <c r="K2321" s="73" t="n"/>
      <c r="L2321" s="73" t="n"/>
      <c r="M2321" s="73" t="n"/>
      <c r="N2321" s="57">
        <f>IF($A2321="","",IFERROR(VALUE($K2321)/VALUE($L2321),IFERROR(VALUE($J2321),0)))</f>
        <v/>
      </c>
      <c r="O2321" s="57">
        <f>IF($A2321="",0,IF(OR($S2321&lt;&gt;1,COUNTA($J2321:$M2321)=0),0,IF(SUMPRODUCT(MAX(($C$5:$C$2484=$C2321)*($D$5:$D$2484=$D2321)*($S$5:$S$2484=1)*IFERROR($N$5:$N$2484*1,0)))&gt;0,ROUND($H2321*($N2321/SUMPRODUCT(MAX(($C$5:$C$2484=$C2321)*($D$5:$D$2484=$D2321)*($S$5:$S$2484=1)*IFERROR($N$5:$N$2484*1,0)))),4),0)))</f>
        <v/>
      </c>
      <c r="P2321" s="48" t="inlineStr">
        <is>
          <t>Autobus attrezzati con dispositivi ECO-DRIVER / Autobus totali in offerta, incluse scorte</t>
        </is>
      </c>
      <c r="Q2321" s="57">
        <f>IF($A2321="","",$A2321&amp;"|"&amp;$C2321)</f>
        <v/>
      </c>
      <c r="R2321" s="57">
        <f>IF($A2321="","",$A2321&amp;"|"&amp;$C2321&amp;"|"&amp;$D2321)</f>
        <v/>
      </c>
      <c r="S2321" s="57">
        <f>IF($A2321="","",IFERROR(INDEX(Offerte!$D$2:$D$81,MATCH($Q2321,Offerte!$L$2:$L$81,0)),0))</f>
        <v/>
      </c>
      <c r="T2321" s="57">
        <f>IF($A2321="","",IFERROR(INDEX(Offerte!$G$2:$G$81,MATCH($Q2321,Offerte!$L$2:$L$81,0)),"NO"))</f>
        <v/>
      </c>
    </row>
    <row r="2322">
      <c r="A2322" s="48">
        <f>IF(Offerte!$A76="","",Offerte!$A76)</f>
        <v/>
      </c>
      <c r="B2322" s="48">
        <f>IF(Offerte!$A76="","",Offerte!$B76)</f>
        <v/>
      </c>
      <c r="C2322" s="48">
        <f>IF(Offerte!$A76="","",Offerte!$C76)</f>
        <v/>
      </c>
      <c r="D2322" s="48" t="inlineStr">
        <is>
          <t>F.3.1</t>
        </is>
      </c>
      <c r="E2322" s="48" t="inlineStr">
        <is>
          <t>F</t>
        </is>
      </c>
      <c r="F2322" s="48" t="inlineStr">
        <is>
          <t>Q</t>
        </is>
      </c>
      <c r="G2322" s="48" t="inlineStr">
        <is>
          <t>higher</t>
        </is>
      </c>
      <c r="H2322" s="48" t="n">
        <v>2</v>
      </c>
      <c r="I2322" s="48" t="inlineStr">
        <is>
          <t>Autoproduzione consumi elettrici per trazione</t>
        </is>
      </c>
      <c r="J2322" s="73" t="n"/>
      <c r="K2322" s="73" t="n"/>
      <c r="L2322" s="73" t="n"/>
      <c r="M2322" s="73" t="n"/>
      <c r="N2322" s="57">
        <f>IF($A2322="","",IFERROR(VALUE($J2322),0))</f>
        <v/>
      </c>
      <c r="O2322" s="57">
        <f>IF($A2322="",0,IF(OR($S2322&lt;&gt;1,COUNTA($J2322:$M2322)=0),0,IF(SUMPRODUCT(MAX(($C$5:$C$2484=$C2322)*($D$5:$D$2484=$D2322)*($S$5:$S$2484=1)*IFERROR($N$5:$N$2484*1,0)))&gt;0,ROUND($H2322*($N2322/SUMPRODUCT(MAX(($C$5:$C$2484=$C2322)*($D$5:$D$2484=$D2322)*($S$5:$S$2484=1)*IFERROR($N$5:$N$2484*1,0)))),4),0)))</f>
        <v/>
      </c>
      <c r="P2322" s="48" t="inlineStr">
        <is>
          <t>kWh/anno</t>
        </is>
      </c>
      <c r="Q2322" s="57">
        <f>IF($A2322="","",$A2322&amp;"|"&amp;$C2322)</f>
        <v/>
      </c>
      <c r="R2322" s="57">
        <f>IF($A2322="","",$A2322&amp;"|"&amp;$C2322&amp;"|"&amp;$D2322)</f>
        <v/>
      </c>
      <c r="S2322" s="57">
        <f>IF($A2322="","",IFERROR(INDEX(Offerte!$D$2:$D$81,MATCH($Q2322,Offerte!$L$2:$L$81,0)),0))</f>
        <v/>
      </c>
      <c r="T2322" s="57">
        <f>IF($A2322="","",IFERROR(INDEX(Offerte!$G$2:$G$81,MATCH($Q2322,Offerte!$L$2:$L$81,0)),"NO"))</f>
        <v/>
      </c>
    </row>
    <row r="2323">
      <c r="A2323" s="48">
        <f>IF(Offerte!$A76="","",Offerte!$A76)</f>
        <v/>
      </c>
      <c r="B2323" s="48">
        <f>IF(Offerte!$A76="","",Offerte!$B76)</f>
        <v/>
      </c>
      <c r="C2323" s="48">
        <f>IF(Offerte!$A76="","",Offerte!$C76)</f>
        <v/>
      </c>
      <c r="D2323" s="48" t="inlineStr">
        <is>
          <t>F.4.1</t>
        </is>
      </c>
      <c r="E2323" s="48" t="inlineStr">
        <is>
          <t>F</t>
        </is>
      </c>
      <c r="F2323" s="48" t="inlineStr">
        <is>
          <t>Q</t>
        </is>
      </c>
      <c r="G2323" s="48" t="inlineStr">
        <is>
          <t>soil</t>
        </is>
      </c>
      <c r="H2323" s="48" t="n">
        <v>2</v>
      </c>
      <c r="I2323" s="48" t="inlineStr">
        <is>
          <t>Indice di consumo di suolo</t>
        </is>
      </c>
      <c r="J2323" s="73" t="n"/>
      <c r="K2323" s="73" t="n"/>
      <c r="L2323" s="73" t="n"/>
      <c r="M2323" s="73" t="n"/>
      <c r="N2323" s="57">
        <f>IF($A2323="","",IFERROR(VALUE($J2323),0))</f>
        <v/>
      </c>
      <c r="O2323" s="57">
        <f>IF($A2323="",0,IF(OR($S2323&lt;&gt;1,COUNTA($J2323:$M2323)=0),0,IF($N2323&lt;=0,$H2323,IF(SUMPRODUCT(MAX(($C$5:$C$2484=$C2323)*($D$5:$D$2484=$D2323)*($S$5:$S$2484=1)*IFERROR($N$5:$N$2484*1,0)))&gt;0,ROUND($H2323*((SUMPRODUCT(MAX(($C$5:$C$2484=$C2323)*($D$5:$D$2484=$D2323)*($S$5:$S$2484=1)*IFERROR($N$5:$N$2484*1,0)))-$N2323)/SUMPRODUCT(MAX(($C$5:$C$2484=$C2323)*($D$5:$D$2484=$D2323)*($S$5:$S$2484=1)*IFERROR($N$5:$N$2484*1,0)))),4),0))))</f>
        <v/>
      </c>
      <c r="P2323" s="48" t="inlineStr">
        <is>
          <t>m2</t>
        </is>
      </c>
      <c r="Q2323" s="57">
        <f>IF($A2323="","",$A2323&amp;"|"&amp;$C2323)</f>
        <v/>
      </c>
      <c r="R2323" s="57">
        <f>IF($A2323="","",$A2323&amp;"|"&amp;$C2323&amp;"|"&amp;$D2323)</f>
        <v/>
      </c>
      <c r="S2323" s="57">
        <f>IF($A2323="","",IFERROR(INDEX(Offerte!$D$2:$D$81,MATCH($Q2323,Offerte!$L$2:$L$81,0)),0))</f>
        <v/>
      </c>
      <c r="T2323" s="57">
        <f>IF($A2323="","",IFERROR(INDEX(Offerte!$G$2:$G$81,MATCH($Q2323,Offerte!$L$2:$L$81,0)),"NO"))</f>
        <v/>
      </c>
    </row>
    <row r="2324">
      <c r="A2324" s="48">
        <f>IF(Offerte!$A76="","",Offerte!$A76)</f>
        <v/>
      </c>
      <c r="B2324" s="48">
        <f>IF(Offerte!$A76="","",Offerte!$B76)</f>
        <v/>
      </c>
      <c r="C2324" s="48">
        <f>IF(Offerte!$A76="","",Offerte!$C76)</f>
        <v/>
      </c>
      <c r="D2324" s="48" t="inlineStr">
        <is>
          <t>F.5.1</t>
        </is>
      </c>
      <c r="E2324" s="48" t="inlineStr">
        <is>
          <t>F</t>
        </is>
      </c>
      <c r="F2324" s="48" t="inlineStr">
        <is>
          <t>T</t>
        </is>
      </c>
      <c r="G2324" s="48" t="inlineStr">
        <is>
          <t>tabular</t>
        </is>
      </c>
      <c r="H2324" s="48" t="n">
        <v>1</v>
      </c>
      <c r="I2324" s="48" t="inlineStr">
        <is>
          <t>Rendicontazione di sostenibilità ambientale</t>
        </is>
      </c>
      <c r="J2324" s="73" t="n"/>
      <c r="K2324" s="73" t="n"/>
      <c r="L2324" s="73" t="n"/>
      <c r="M2324" s="73" t="n"/>
      <c r="N2324" s="57">
        <f>IF($A2324="","",IF(IFERROR(VALUE($M2324),0)=1,1,0))</f>
        <v/>
      </c>
      <c r="O2324" s="57">
        <f>IF($A2324="",0,IF(OR($S2324&lt;&gt;1,COUNTA($J2324:$M2324)=0),0,IF($N2324=1,$H2324,0)))</f>
        <v/>
      </c>
      <c r="P2324" s="48" t="inlineStr">
        <is>
          <t>sì/no</t>
        </is>
      </c>
      <c r="Q2324" s="57">
        <f>IF($A2324="","",$A2324&amp;"|"&amp;$C2324)</f>
        <v/>
      </c>
      <c r="R2324" s="57">
        <f>IF($A2324="","",$A2324&amp;"|"&amp;$C2324&amp;"|"&amp;$D2324)</f>
        <v/>
      </c>
      <c r="S2324" s="57">
        <f>IF($A2324="","",IFERROR(INDEX(Offerte!$D$2:$D$81,MATCH($Q2324,Offerte!$L$2:$L$81,0)),0))</f>
        <v/>
      </c>
      <c r="T2324" s="57">
        <f>IF($A2324="","",IFERROR(INDEX(Offerte!$G$2:$G$81,MATCH($Q2324,Offerte!$L$2:$L$81,0)),"NO"))</f>
        <v/>
      </c>
    </row>
    <row r="2325">
      <c r="A2325" s="48">
        <f>IF(Offerte!$A76="","",Offerte!$A76)</f>
        <v/>
      </c>
      <c r="B2325" s="48">
        <f>IF(Offerte!$A76="","",Offerte!$B76)</f>
        <v/>
      </c>
      <c r="C2325" s="48">
        <f>IF(Offerte!$A76="","",Offerte!$C76)</f>
        <v/>
      </c>
      <c r="D2325" s="48" t="inlineStr">
        <is>
          <t>G.1.1</t>
        </is>
      </c>
      <c r="E2325" s="48" t="inlineStr">
        <is>
          <t>G</t>
        </is>
      </c>
      <c r="F2325" s="48" t="inlineStr">
        <is>
          <t>D</t>
        </is>
      </c>
      <c r="G2325" s="48" t="inlineStr">
        <is>
          <t>discretionary</t>
        </is>
      </c>
      <c r="H2325" s="48" t="n">
        <v>2</v>
      </c>
      <c r="I2325" s="48" t="inlineStr">
        <is>
          <t>Qualità del progetto di centrale di controllo aziendale</t>
        </is>
      </c>
      <c r="J2325" s="73" t="n"/>
      <c r="K2325" s="73" t="n"/>
      <c r="L2325" s="73" t="n"/>
      <c r="M2325" s="73" t="n"/>
      <c r="N2325" s="57">
        <f>IF($A2325="","",MAX(0,MIN(1,IFERROR(VALUE($M2325),0))))</f>
        <v/>
      </c>
      <c r="O2325" s="57">
        <f>IF($A2325="",0,IF(OR($S2325&lt;&gt;1,COUNTA($J2325:$M2325)=0),0,IF(SUMPRODUCT(MAX(($C$5:$C$2484=$C2325)*($D$5:$D$2484=$D2325)*($S$5:$S$2484=1)*IFERROR($N$5:$N$2484*1,0)))&gt;0,ROUND($H2325*($N2325/SUMPRODUCT(MAX(($C$5:$C$2484=$C2325)*($D$5:$D$2484=$D2325)*($S$5:$S$2484=1)*IFERROR($N$5:$N$2484*1,0)))),4),0)))</f>
        <v/>
      </c>
      <c r="P2325" s="48" t="inlineStr">
        <is>
          <t>coeff.</t>
        </is>
      </c>
      <c r="Q2325" s="57">
        <f>IF($A2325="","",$A2325&amp;"|"&amp;$C2325)</f>
        <v/>
      </c>
      <c r="R2325" s="57">
        <f>IF($A2325="","",$A2325&amp;"|"&amp;$C2325&amp;"|"&amp;$D2325)</f>
        <v/>
      </c>
      <c r="S2325" s="57">
        <f>IF($A2325="","",IFERROR(INDEX(Offerte!$D$2:$D$81,MATCH($Q2325,Offerte!$L$2:$L$81,0)),0))</f>
        <v/>
      </c>
      <c r="T2325" s="57">
        <f>IF($A2325="","",IFERROR(INDEX(Offerte!$G$2:$G$81,MATCH($Q2325,Offerte!$L$2:$L$81,0)),"NO"))</f>
        <v/>
      </c>
    </row>
    <row r="2326">
      <c r="A2326" s="48">
        <f>IF(Offerte!$A76="","",Offerte!$A76)</f>
        <v/>
      </c>
      <c r="B2326" s="48">
        <f>IF(Offerte!$A76="","",Offerte!$B76)</f>
        <v/>
      </c>
      <c r="C2326" s="48">
        <f>IF(Offerte!$A76="","",Offerte!$C76)</f>
        <v/>
      </c>
      <c r="D2326" s="48" t="inlineStr">
        <is>
          <t>G.2.1</t>
        </is>
      </c>
      <c r="E2326" s="48" t="inlineStr">
        <is>
          <t>G</t>
        </is>
      </c>
      <c r="F2326" s="48" t="inlineStr">
        <is>
          <t>T</t>
        </is>
      </c>
      <c r="G2326" s="48" t="inlineStr">
        <is>
          <t>tabular</t>
        </is>
      </c>
      <c r="H2326" s="48" t="n">
        <v>1</v>
      </c>
      <c r="I2326" s="48" t="inlineStr">
        <is>
          <t>Certificazione ISO 45001</t>
        </is>
      </c>
      <c r="J2326" s="73" t="n"/>
      <c r="K2326" s="73" t="n"/>
      <c r="L2326" s="73" t="n"/>
      <c r="M2326" s="73" t="n"/>
      <c r="N2326" s="57">
        <f>IF($A2326="","",IF(IFERROR(VALUE($M2326),0)=1,1,0))</f>
        <v/>
      </c>
      <c r="O2326" s="57">
        <f>IF($A2326="",0,IF(OR($S2326&lt;&gt;1,COUNTA($J2326:$M2326)=0),0,IF($N2326=1,$H2326,0)))</f>
        <v/>
      </c>
      <c r="P2326" s="48" t="inlineStr">
        <is>
          <t>sì/no</t>
        </is>
      </c>
      <c r="Q2326" s="57">
        <f>IF($A2326="","",$A2326&amp;"|"&amp;$C2326)</f>
        <v/>
      </c>
      <c r="R2326" s="57">
        <f>IF($A2326="","",$A2326&amp;"|"&amp;$C2326&amp;"|"&amp;$D2326)</f>
        <v/>
      </c>
      <c r="S2326" s="57">
        <f>IF($A2326="","",IFERROR(INDEX(Offerte!$D$2:$D$81,MATCH($Q2326,Offerte!$L$2:$L$81,0)),0))</f>
        <v/>
      </c>
      <c r="T2326" s="57">
        <f>IF($A2326="","",IFERROR(INDEX(Offerte!$G$2:$G$81,MATCH($Q2326,Offerte!$L$2:$L$81,0)),"NO"))</f>
        <v/>
      </c>
    </row>
    <row r="2327">
      <c r="A2327" s="48">
        <f>IF(Offerte!$A76="","",Offerte!$A76)</f>
        <v/>
      </c>
      <c r="B2327" s="48">
        <f>IF(Offerte!$A76="","",Offerte!$B76)</f>
        <v/>
      </c>
      <c r="C2327" s="48">
        <f>IF(Offerte!$A76="","",Offerte!$C76)</f>
        <v/>
      </c>
      <c r="D2327" s="48" t="inlineStr">
        <is>
          <t>G.3.1</t>
        </is>
      </c>
      <c r="E2327" s="48" t="inlineStr">
        <is>
          <t>G</t>
        </is>
      </c>
      <c r="F2327" s="48" t="inlineStr">
        <is>
          <t>T</t>
        </is>
      </c>
      <c r="G2327" s="48" t="inlineStr">
        <is>
          <t>tabular</t>
        </is>
      </c>
      <c r="H2327" s="48" t="n">
        <v>1</v>
      </c>
      <c r="I2327" s="48" t="inlineStr">
        <is>
          <t>Certificazioni di responsabilità sociale</t>
        </is>
      </c>
      <c r="J2327" s="73" t="n"/>
      <c r="K2327" s="73" t="n"/>
      <c r="L2327" s="73" t="n"/>
      <c r="M2327" s="73" t="n"/>
      <c r="N2327" s="57">
        <f>IF($A2327="","",IF(IFERROR(VALUE($M2327),0)=1,1,0))</f>
        <v/>
      </c>
      <c r="O2327" s="57">
        <f>IF($A2327="",0,IF(OR($S2327&lt;&gt;1,COUNTA($J2327:$M2327)=0),0,IF($N2327=1,$H2327,0)))</f>
        <v/>
      </c>
      <c r="P2327" s="48" t="inlineStr">
        <is>
          <t>sì/no</t>
        </is>
      </c>
      <c r="Q2327" s="57">
        <f>IF($A2327="","",$A2327&amp;"|"&amp;$C2327)</f>
        <v/>
      </c>
      <c r="R2327" s="57">
        <f>IF($A2327="","",$A2327&amp;"|"&amp;$C2327&amp;"|"&amp;$D2327)</f>
        <v/>
      </c>
      <c r="S2327" s="57">
        <f>IF($A2327="","",IFERROR(INDEX(Offerte!$D$2:$D$81,MATCH($Q2327,Offerte!$L$2:$L$81,0)),0))</f>
        <v/>
      </c>
      <c r="T2327" s="57">
        <f>IF($A2327="","",IFERROR(INDEX(Offerte!$G$2:$G$81,MATCH($Q2327,Offerte!$L$2:$L$81,0)),"NO"))</f>
        <v/>
      </c>
    </row>
    <row r="2328">
      <c r="A2328" s="48">
        <f>IF(Offerte!$A76="","",Offerte!$A76)</f>
        <v/>
      </c>
      <c r="B2328" s="48">
        <f>IF(Offerte!$A76="","",Offerte!$B76)</f>
        <v/>
      </c>
      <c r="C2328" s="48">
        <f>IF(Offerte!$A76="","",Offerte!$C76)</f>
        <v/>
      </c>
      <c r="D2328" s="48" t="inlineStr">
        <is>
          <t>G.4.1</t>
        </is>
      </c>
      <c r="E2328" s="48" t="inlineStr">
        <is>
          <t>G</t>
        </is>
      </c>
      <c r="F2328" s="48" t="inlineStr">
        <is>
          <t>D</t>
        </is>
      </c>
      <c r="G2328" s="48" t="inlineStr">
        <is>
          <t>discretionary</t>
        </is>
      </c>
      <c r="H2328" s="48" t="n">
        <v>2</v>
      </c>
      <c r="I2328" s="48" t="inlineStr">
        <is>
          <t>Qualità del piano di formazione del personale</t>
        </is>
      </c>
      <c r="J2328" s="73" t="n"/>
      <c r="K2328" s="73" t="n"/>
      <c r="L2328" s="73" t="n"/>
      <c r="M2328" s="73" t="n"/>
      <c r="N2328" s="57">
        <f>IF($A2328="","",MAX(0,MIN(1,IFERROR(VALUE($M2328),0))))</f>
        <v/>
      </c>
      <c r="O2328" s="57">
        <f>IF($A2328="",0,IF(OR($S2328&lt;&gt;1,COUNTA($J2328:$M2328)=0),0,IF(SUMPRODUCT(MAX(($C$5:$C$2484=$C2328)*($D$5:$D$2484=$D2328)*($S$5:$S$2484=1)*IFERROR($N$5:$N$2484*1,0)))&gt;0,ROUND($H2328*($N2328/SUMPRODUCT(MAX(($C$5:$C$2484=$C2328)*($D$5:$D$2484=$D2328)*($S$5:$S$2484=1)*IFERROR($N$5:$N$2484*1,0)))),4),0)))</f>
        <v/>
      </c>
      <c r="P2328" s="48" t="inlineStr">
        <is>
          <t>coeff.</t>
        </is>
      </c>
      <c r="Q2328" s="57">
        <f>IF($A2328="","",$A2328&amp;"|"&amp;$C2328)</f>
        <v/>
      </c>
      <c r="R2328" s="57">
        <f>IF($A2328="","",$A2328&amp;"|"&amp;$C2328&amp;"|"&amp;$D2328)</f>
        <v/>
      </c>
      <c r="S2328" s="57">
        <f>IF($A2328="","",IFERROR(INDEX(Offerte!$D$2:$D$81,MATCH($Q2328,Offerte!$L$2:$L$81,0)),0))</f>
        <v/>
      </c>
      <c r="T2328" s="57">
        <f>IF($A2328="","",IFERROR(INDEX(Offerte!$G$2:$G$81,MATCH($Q2328,Offerte!$L$2:$L$81,0)),"NO"))</f>
        <v/>
      </c>
    </row>
    <row r="2329">
      <c r="A2329" s="48">
        <f>IF(Offerte!$A76="","",Offerte!$A76)</f>
        <v/>
      </c>
      <c r="B2329" s="48">
        <f>IF(Offerte!$A76="","",Offerte!$B76)</f>
        <v/>
      </c>
      <c r="C2329" s="48">
        <f>IF(Offerte!$A76="","",Offerte!$C76)</f>
        <v/>
      </c>
      <c r="D2329" s="48" t="inlineStr">
        <is>
          <t>G.5.1</t>
        </is>
      </c>
      <c r="E2329" s="48" t="inlineStr">
        <is>
          <t>G</t>
        </is>
      </c>
      <c r="F2329" s="48" t="inlineStr">
        <is>
          <t>T</t>
        </is>
      </c>
      <c r="G2329" s="48" t="inlineStr">
        <is>
          <t>tabular</t>
        </is>
      </c>
      <c r="H2329" s="48" t="n">
        <v>1</v>
      </c>
      <c r="I2329" s="48" t="inlineStr">
        <is>
          <t>Impegno al mantenimento delle garanzie del contratto di secondo livello del gestore uscente</t>
        </is>
      </c>
      <c r="J2329" s="73" t="n"/>
      <c r="K2329" s="73" t="n"/>
      <c r="L2329" s="73" t="n"/>
      <c r="M2329" s="73" t="n"/>
      <c r="N2329" s="57">
        <f>IF($A2329="","",IF(IFERROR(VALUE($M2329),0)=1,1,0))</f>
        <v/>
      </c>
      <c r="O2329" s="57">
        <f>IF($A2329="",0,IF(OR($S2329&lt;&gt;1,COUNTA($J2329:$M2329)=0),0,IF($N2329=1,$H2329,0)))</f>
        <v/>
      </c>
      <c r="P2329" s="48" t="inlineStr">
        <is>
          <t>sì/no</t>
        </is>
      </c>
      <c r="Q2329" s="57">
        <f>IF($A2329="","",$A2329&amp;"|"&amp;$C2329)</f>
        <v/>
      </c>
      <c r="R2329" s="57">
        <f>IF($A2329="","",$A2329&amp;"|"&amp;$C2329&amp;"|"&amp;$D2329)</f>
        <v/>
      </c>
      <c r="S2329" s="57">
        <f>IF($A2329="","",IFERROR(INDEX(Offerte!$D$2:$D$81,MATCH($Q2329,Offerte!$L$2:$L$81,0)),0))</f>
        <v/>
      </c>
      <c r="T2329" s="57">
        <f>IF($A2329="","",IFERROR(INDEX(Offerte!$G$2:$G$81,MATCH($Q2329,Offerte!$L$2:$L$81,0)),"NO"))</f>
        <v/>
      </c>
    </row>
    <row r="2330">
      <c r="A2330" s="48">
        <f>IF(Offerte!$A77="","",Offerte!$A77)</f>
        <v/>
      </c>
      <c r="B2330" s="48">
        <f>IF(Offerte!$A77="","",Offerte!$B77)</f>
        <v/>
      </c>
      <c r="C2330" s="48">
        <f>IF(Offerte!$A77="","",Offerte!$C77)</f>
        <v/>
      </c>
      <c r="D2330" s="48" t="inlineStr">
        <is>
          <t>A.1.1</t>
        </is>
      </c>
      <c r="E2330" s="48" t="inlineStr">
        <is>
          <t>A</t>
        </is>
      </c>
      <c r="F2330" s="48" t="inlineStr">
        <is>
          <t>Q</t>
        </is>
      </c>
      <c r="G2330" s="48" t="inlineStr">
        <is>
          <t>higher</t>
        </is>
      </c>
      <c r="H2330" s="48" t="n">
        <v>3</v>
      </c>
      <c r="I2330" s="48" t="inlineStr">
        <is>
          <t>Tasso aggiuntivo di corse controllate</t>
        </is>
      </c>
      <c r="J2330" s="73" t="n"/>
      <c r="K2330" s="73" t="n"/>
      <c r="L2330" s="73" t="n"/>
      <c r="M2330" s="73" t="n"/>
      <c r="N2330" s="57">
        <f>IF($A2330="","",IFERROR(VALUE($K2330)/VALUE($L2330)*100,IFERROR(VALUE($J2330),0)))</f>
        <v/>
      </c>
      <c r="O2330" s="57">
        <f>IF($A2330="",0,IF(OR($S2330&lt;&gt;1,COUNTA($J2330:$M2330)=0),0,IF(SUMPRODUCT(MAX(($C$5:$C$2484=$C2330)*($D$5:$D$2484=$D2330)*($S$5:$S$2484=1)*IFERROR($N$5:$N$2484*1,0)))&gt;0,ROUND($H2330*($N2330/SUMPRODUCT(MAX(($C$5:$C$2484=$C2330)*($D$5:$D$2484=$D2330)*($S$5:$S$2484=1)*IFERROR($N$5:$N$2484*1,0)))),4),0)))</f>
        <v/>
      </c>
      <c r="P2330" s="48" t="inlineStr">
        <is>
          <t>Corse controllate annue / Corse programmate annue</t>
        </is>
      </c>
      <c r="Q2330" s="57">
        <f>IF($A2330="","",$A2330&amp;"|"&amp;$C2330)</f>
        <v/>
      </c>
      <c r="R2330" s="57">
        <f>IF($A2330="","",$A2330&amp;"|"&amp;$C2330&amp;"|"&amp;$D2330)</f>
        <v/>
      </c>
      <c r="S2330" s="57">
        <f>IF($A2330="","",IFERROR(INDEX(Offerte!$D$2:$D$81,MATCH($Q2330,Offerte!$L$2:$L$81,0)),0))</f>
        <v/>
      </c>
      <c r="T2330" s="57">
        <f>IF($A2330="","",IFERROR(INDEX(Offerte!$G$2:$G$81,MATCH($Q2330,Offerte!$L$2:$L$81,0)),"NO"))</f>
        <v/>
      </c>
    </row>
    <row r="2331">
      <c r="A2331" s="48">
        <f>IF(Offerte!$A77="","",Offerte!$A77)</f>
        <v/>
      </c>
      <c r="B2331" s="48">
        <f>IF(Offerte!$A77="","",Offerte!$B77)</f>
        <v/>
      </c>
      <c r="C2331" s="48">
        <f>IF(Offerte!$A77="","",Offerte!$C77)</f>
        <v/>
      </c>
      <c r="D2331" s="48" t="inlineStr">
        <is>
          <t>A.1.2</t>
        </is>
      </c>
      <c r="E2331" s="48" t="inlineStr">
        <is>
          <t>A</t>
        </is>
      </c>
      <c r="F2331" s="48" t="inlineStr">
        <is>
          <t>Q</t>
        </is>
      </c>
      <c r="G2331" s="48" t="inlineStr">
        <is>
          <t>higher</t>
        </is>
      </c>
      <c r="H2331" s="48" t="n">
        <v>4</v>
      </c>
      <c r="I2331" s="48" t="inlineStr">
        <is>
          <t>Numero aggiuntivo di passeggeri controllati</t>
        </is>
      </c>
      <c r="J2331" s="73" t="n"/>
      <c r="K2331" s="73" t="n"/>
      <c r="L2331" s="73" t="n"/>
      <c r="M2331" s="73" t="n"/>
      <c r="N2331" s="57">
        <f>IF($A2331="","",IFERROR(VALUE($J2331),0))</f>
        <v/>
      </c>
      <c r="O2331" s="57">
        <f>IF($A2331="",0,IF(OR($S2331&lt;&gt;1,COUNTA($J2331:$M2331)=0),0,IF(SUMPRODUCT(MAX(($C$5:$C$2484=$C2331)*($D$5:$D$2484=$D2331)*($S$5:$S$2484=1)*IFERROR($N$5:$N$2484*1,0)))&gt;0,ROUND($H2331*($N2331/SUMPRODUCT(MAX(($C$5:$C$2484=$C2331)*($D$5:$D$2484=$D2331)*($S$5:$S$2484=1)*IFERROR($N$5:$N$2484*1,0)))),4),0)))</f>
        <v/>
      </c>
      <c r="P2331" s="48" t="inlineStr">
        <is>
          <t>passeggeri/anno</t>
        </is>
      </c>
      <c r="Q2331" s="57">
        <f>IF($A2331="","",$A2331&amp;"|"&amp;$C2331)</f>
        <v/>
      </c>
      <c r="R2331" s="57">
        <f>IF($A2331="","",$A2331&amp;"|"&amp;$C2331&amp;"|"&amp;$D2331)</f>
        <v/>
      </c>
      <c r="S2331" s="57">
        <f>IF($A2331="","",IFERROR(INDEX(Offerte!$D$2:$D$81,MATCH($Q2331,Offerte!$L$2:$L$81,0)),0))</f>
        <v/>
      </c>
      <c r="T2331" s="57">
        <f>IF($A2331="","",IFERROR(INDEX(Offerte!$G$2:$G$81,MATCH($Q2331,Offerte!$L$2:$L$81,0)),"NO"))</f>
        <v/>
      </c>
    </row>
    <row r="2332">
      <c r="A2332" s="48">
        <f>IF(Offerte!$A77="","",Offerte!$A77)</f>
        <v/>
      </c>
      <c r="B2332" s="48">
        <f>IF(Offerte!$A77="","",Offerte!$B77)</f>
        <v/>
      </c>
      <c r="C2332" s="48">
        <f>IF(Offerte!$A77="","",Offerte!$C77)</f>
        <v/>
      </c>
      <c r="D2332" s="48" t="inlineStr">
        <is>
          <t>B.1.1</t>
        </is>
      </c>
      <c r="E2332" s="48" t="inlineStr">
        <is>
          <t>B</t>
        </is>
      </c>
      <c r="F2332" s="48" t="inlineStr">
        <is>
          <t>Q</t>
        </is>
      </c>
      <c r="G2332" s="48" t="inlineStr">
        <is>
          <t>higher</t>
        </is>
      </c>
      <c r="H2332" s="48" t="n">
        <v>3</v>
      </c>
      <c r="I2332" s="48" t="inlineStr">
        <is>
          <t>Incremento dei posti offerti nelle fasce di punta</t>
        </is>
      </c>
      <c r="J2332" s="73" t="n"/>
      <c r="K2332" s="73" t="n"/>
      <c r="L2332" s="73" t="n"/>
      <c r="M2332" s="73" t="n"/>
      <c r="N2332" s="57">
        <f>IF($A2332="","",IFERROR(VALUE($J2332),0))</f>
        <v/>
      </c>
      <c r="O2332" s="57">
        <f>IF($A2332="",0,IF(OR($S2332&lt;&gt;1,COUNTA($J2332:$M2332)=0),0,IF(SUMPRODUCT(MAX(($C$5:$C$2484=$C2332)*($D$5:$D$2484=$D2332)*($S$5:$S$2484=1)*IFERROR($N$5:$N$2484*1,0)))&gt;0,ROUND($H2332*($N2332/SUMPRODUCT(MAX(($C$5:$C$2484=$C2332)*($D$5:$D$2484=$D2332)*($S$5:$S$2484=1)*IFERROR($N$5:$N$2484*1,0)))),4),0)))</f>
        <v/>
      </c>
      <c r="P2332" s="48" t="inlineStr">
        <is>
          <t>posti*km</t>
        </is>
      </c>
      <c r="Q2332" s="57">
        <f>IF($A2332="","",$A2332&amp;"|"&amp;$C2332)</f>
        <v/>
      </c>
      <c r="R2332" s="57">
        <f>IF($A2332="","",$A2332&amp;"|"&amp;$C2332&amp;"|"&amp;$D2332)</f>
        <v/>
      </c>
      <c r="S2332" s="57">
        <f>IF($A2332="","",IFERROR(INDEX(Offerte!$D$2:$D$81,MATCH($Q2332,Offerte!$L$2:$L$81,0)),0))</f>
        <v/>
      </c>
      <c r="T2332" s="57">
        <f>IF($A2332="","",IFERROR(INDEX(Offerte!$G$2:$G$81,MATCH($Q2332,Offerte!$L$2:$L$81,0)),"NO"))</f>
        <v/>
      </c>
    </row>
    <row r="2333">
      <c r="A2333" s="48">
        <f>IF(Offerte!$A77="","",Offerte!$A77)</f>
        <v/>
      </c>
      <c r="B2333" s="48">
        <f>IF(Offerte!$A77="","",Offerte!$B77)</f>
        <v/>
      </c>
      <c r="C2333" s="48">
        <f>IF(Offerte!$A77="","",Offerte!$C77)</f>
        <v/>
      </c>
      <c r="D2333" s="48" t="inlineStr">
        <is>
          <t>B.2.1</t>
        </is>
      </c>
      <c r="E2333" s="48" t="inlineStr">
        <is>
          <t>B</t>
        </is>
      </c>
      <c r="F2333" s="48" t="inlineStr">
        <is>
          <t>Q</t>
        </is>
      </c>
      <c r="G2333" s="48" t="inlineStr">
        <is>
          <t>higher</t>
        </is>
      </c>
      <c r="H2333" s="48" t="n">
        <v>4</v>
      </c>
      <c r="I2333" s="48" t="inlineStr">
        <is>
          <t>Corse aggiuntive nell'arco giornaliero base</t>
        </is>
      </c>
      <c r="J2333" s="73" t="n"/>
      <c r="K2333" s="73" t="n"/>
      <c r="L2333" s="73" t="n"/>
      <c r="M2333" s="73" t="n"/>
      <c r="N2333" s="57">
        <f>IF($A2333="","",IFERROR(VALUE($J2333),0))</f>
        <v/>
      </c>
      <c r="O2333" s="57">
        <f>IF($A2333="",0,IF(OR($S2333&lt;&gt;1,COUNTA($J2333:$M2333)=0),0,IF(SUMPRODUCT(MAX(($C$5:$C$2484=$C2333)*($D$5:$D$2484=$D2333)*($S$5:$S$2484=1)*IFERROR($N$5:$N$2484*1,0)))&gt;0,ROUND($H2333*($N2333/SUMPRODUCT(MAX(($C$5:$C$2484=$C2333)*($D$5:$D$2484=$D2333)*($S$5:$S$2484=1)*IFERROR($N$5:$N$2484*1,0)))),4),0)))</f>
        <v/>
      </c>
      <c r="P2333" s="48" t="inlineStr">
        <is>
          <t>corse</t>
        </is>
      </c>
      <c r="Q2333" s="57">
        <f>IF($A2333="","",$A2333&amp;"|"&amp;$C2333)</f>
        <v/>
      </c>
      <c r="R2333" s="57">
        <f>IF($A2333="","",$A2333&amp;"|"&amp;$C2333&amp;"|"&amp;$D2333)</f>
        <v/>
      </c>
      <c r="S2333" s="57">
        <f>IF($A2333="","",IFERROR(INDEX(Offerte!$D$2:$D$81,MATCH($Q2333,Offerte!$L$2:$L$81,0)),0))</f>
        <v/>
      </c>
      <c r="T2333" s="57">
        <f>IF($A2333="","",IFERROR(INDEX(Offerte!$G$2:$G$81,MATCH($Q2333,Offerte!$L$2:$L$81,0)),"NO"))</f>
        <v/>
      </c>
    </row>
    <row r="2334">
      <c r="A2334" s="48">
        <f>IF(Offerte!$A77="","",Offerte!$A77)</f>
        <v/>
      </c>
      <c r="B2334" s="48">
        <f>IF(Offerte!$A77="","",Offerte!$B77)</f>
        <v/>
      </c>
      <c r="C2334" s="48">
        <f>IF(Offerte!$A77="","",Offerte!$C77)</f>
        <v/>
      </c>
      <c r="D2334" s="48" t="inlineStr">
        <is>
          <t>B.3.1</t>
        </is>
      </c>
      <c r="E2334" s="48" t="inlineStr">
        <is>
          <t>B</t>
        </is>
      </c>
      <c r="F2334" s="48" t="inlineStr">
        <is>
          <t>Q</t>
        </is>
      </c>
      <c r="G2334" s="48" t="inlineStr">
        <is>
          <t>higher</t>
        </is>
      </c>
      <c r="H2334" s="48" t="n">
        <v>2</v>
      </c>
      <c r="I2334" s="48" t="inlineStr">
        <is>
          <t>Numero di corse aggiuntive per allungamento dell'arco di servizio giornaliero nelle fasce serali</t>
        </is>
      </c>
      <c r="J2334" s="73" t="n"/>
      <c r="K2334" s="73" t="n"/>
      <c r="L2334" s="73" t="n"/>
      <c r="M2334" s="73" t="n"/>
      <c r="N2334" s="57">
        <f>IF($A2334="","",IFERROR(VALUE($J2334),0))</f>
        <v/>
      </c>
      <c r="O2334" s="57">
        <f>IF($A2334="",0,IF(OR($S2334&lt;&gt;1,COUNTA($J2334:$M2334)=0),0,IF(SUMPRODUCT(MAX(($C$5:$C$2484=$C2334)*($D$5:$D$2484=$D2334)*($S$5:$S$2484=1)*IFERROR($N$5:$N$2484*1,0)))&gt;0,ROUND($H2334*($N2334/SUMPRODUCT(MAX(($C$5:$C$2484=$C2334)*($D$5:$D$2484=$D2334)*($S$5:$S$2484=1)*IFERROR($N$5:$N$2484*1,0)))),4),0)))</f>
        <v/>
      </c>
      <c r="P2334" s="48" t="inlineStr">
        <is>
          <t>corse</t>
        </is>
      </c>
      <c r="Q2334" s="57">
        <f>IF($A2334="","",$A2334&amp;"|"&amp;$C2334)</f>
        <v/>
      </c>
      <c r="R2334" s="57">
        <f>IF($A2334="","",$A2334&amp;"|"&amp;$C2334&amp;"|"&amp;$D2334)</f>
        <v/>
      </c>
      <c r="S2334" s="57">
        <f>IF($A2334="","",IFERROR(INDEX(Offerte!$D$2:$D$81,MATCH($Q2334,Offerte!$L$2:$L$81,0)),0))</f>
        <v/>
      </c>
      <c r="T2334" s="57">
        <f>IF($A2334="","",IFERROR(INDEX(Offerte!$G$2:$G$81,MATCH($Q2334,Offerte!$L$2:$L$81,0)),"NO"))</f>
        <v/>
      </c>
    </row>
    <row r="2335">
      <c r="A2335" s="48">
        <f>IF(Offerte!$A77="","",Offerte!$A77)</f>
        <v/>
      </c>
      <c r="B2335" s="48">
        <f>IF(Offerte!$A77="","",Offerte!$B77)</f>
        <v/>
      </c>
      <c r="C2335" s="48">
        <f>IF(Offerte!$A77="","",Offerte!$C77)</f>
        <v/>
      </c>
      <c r="D2335" s="48" t="inlineStr">
        <is>
          <t>B.4.1</t>
        </is>
      </c>
      <c r="E2335" s="48" t="inlineStr">
        <is>
          <t>B</t>
        </is>
      </c>
      <c r="F2335" s="48" t="inlineStr">
        <is>
          <t>Q</t>
        </is>
      </c>
      <c r="G2335" s="48" t="inlineStr">
        <is>
          <t>higher</t>
        </is>
      </c>
      <c r="H2335" s="48" t="n">
        <v>3</v>
      </c>
      <c r="I2335" s="48" t="inlineStr">
        <is>
          <t>Percorrenze aggiuntive offerte nel Programma d'esercizio delle prime due fasi attuative</t>
        </is>
      </c>
      <c r="J2335" s="73" t="n"/>
      <c r="K2335" s="73" t="n"/>
      <c r="L2335" s="73" t="n"/>
      <c r="M2335" s="73" t="n"/>
      <c r="N2335" s="57">
        <f>IF($A2335="","",IFERROR(VALUE($J2335),0))</f>
        <v/>
      </c>
      <c r="O2335" s="57">
        <f>IF($A2335="",0,IF(OR($S2335&lt;&gt;1,COUNTA($J2335:$M2335)=0),0,IF(SUMPRODUCT(MAX(($C$5:$C$2484=$C2335)*($D$5:$D$2484=$D2335)*($S$5:$S$2484=1)*IFERROR($N$5:$N$2484*1,0)))&gt;0,ROUND($H2335*($N2335/SUMPRODUCT(MAX(($C$5:$C$2484=$C2335)*($D$5:$D$2484=$D2335)*($S$5:$S$2484=1)*IFERROR($N$5:$N$2484*1,0)))),4),0)))</f>
        <v/>
      </c>
      <c r="P2335" s="48" t="inlineStr">
        <is>
          <t>vett*km</t>
        </is>
      </c>
      <c r="Q2335" s="57">
        <f>IF($A2335="","",$A2335&amp;"|"&amp;$C2335)</f>
        <v/>
      </c>
      <c r="R2335" s="57">
        <f>IF($A2335="","",$A2335&amp;"|"&amp;$C2335&amp;"|"&amp;$D2335)</f>
        <v/>
      </c>
      <c r="S2335" s="57">
        <f>IF($A2335="","",IFERROR(INDEX(Offerte!$D$2:$D$81,MATCH($Q2335,Offerte!$L$2:$L$81,0)),0))</f>
        <v/>
      </c>
      <c r="T2335" s="57">
        <f>IF($A2335="","",IFERROR(INDEX(Offerte!$G$2:$G$81,MATCH($Q2335,Offerte!$L$2:$L$81,0)),"NO"))</f>
        <v/>
      </c>
    </row>
    <row r="2336">
      <c r="A2336" s="48">
        <f>IF(Offerte!$A77="","",Offerte!$A77)</f>
        <v/>
      </c>
      <c r="B2336" s="48">
        <f>IF(Offerte!$A77="","",Offerte!$B77)</f>
        <v/>
      </c>
      <c r="C2336" s="48">
        <f>IF(Offerte!$A77="","",Offerte!$C77)</f>
        <v/>
      </c>
      <c r="D2336" s="48" t="inlineStr">
        <is>
          <t>B.5.1</t>
        </is>
      </c>
      <c r="E2336" s="48" t="inlineStr">
        <is>
          <t>B</t>
        </is>
      </c>
      <c r="F2336" s="48" t="inlineStr">
        <is>
          <t>D</t>
        </is>
      </c>
      <c r="G2336" s="48" t="inlineStr">
        <is>
          <t>discretionary</t>
        </is>
      </c>
      <c r="H2336" s="48" t="n">
        <v>2</v>
      </c>
      <c r="I2336" s="48" t="inlineStr">
        <is>
          <t>Efficacia del progetto di servizi complementari DRT</t>
        </is>
      </c>
      <c r="J2336" s="73" t="n"/>
      <c r="K2336" s="73" t="n"/>
      <c r="L2336" s="73" t="n"/>
      <c r="M2336" s="73" t="n"/>
      <c r="N2336" s="57">
        <f>IF($A2336="","",MAX(0,MIN(1,IFERROR(VALUE($M2336),0))))</f>
        <v/>
      </c>
      <c r="O2336" s="57">
        <f>IF($A2336="",0,IF(OR($S2336&lt;&gt;1,COUNTA($J2336:$M2336)=0),0,IF(SUMPRODUCT(MAX(($C$5:$C$2484=$C2336)*($D$5:$D$2484=$D2336)*($S$5:$S$2484=1)*IFERROR($N$5:$N$2484*1,0)))&gt;0,ROUND($H2336*($N2336/SUMPRODUCT(MAX(($C$5:$C$2484=$C2336)*($D$5:$D$2484=$D2336)*($S$5:$S$2484=1)*IFERROR($N$5:$N$2484*1,0)))),4),0)))</f>
        <v/>
      </c>
      <c r="P2336" s="48" t="inlineStr">
        <is>
          <t>coeff.</t>
        </is>
      </c>
      <c r="Q2336" s="57">
        <f>IF($A2336="","",$A2336&amp;"|"&amp;$C2336)</f>
        <v/>
      </c>
      <c r="R2336" s="57">
        <f>IF($A2336="","",$A2336&amp;"|"&amp;$C2336&amp;"|"&amp;$D2336)</f>
        <v/>
      </c>
      <c r="S2336" s="57">
        <f>IF($A2336="","",IFERROR(INDEX(Offerte!$D$2:$D$81,MATCH($Q2336,Offerte!$L$2:$L$81,0)),0))</f>
        <v/>
      </c>
      <c r="T2336" s="57">
        <f>IF($A2336="","",IFERROR(INDEX(Offerte!$G$2:$G$81,MATCH($Q2336,Offerte!$L$2:$L$81,0)),"NO"))</f>
        <v/>
      </c>
    </row>
    <row r="2337">
      <c r="A2337" s="48">
        <f>IF(Offerte!$A77="","",Offerte!$A77)</f>
        <v/>
      </c>
      <c r="B2337" s="48">
        <f>IF(Offerte!$A77="","",Offerte!$B77)</f>
        <v/>
      </c>
      <c r="C2337" s="48">
        <f>IF(Offerte!$A77="","",Offerte!$C77)</f>
        <v/>
      </c>
      <c r="D2337" s="48" t="inlineStr">
        <is>
          <t>C.1.1</t>
        </is>
      </c>
      <c r="E2337" s="48" t="inlineStr">
        <is>
          <t>C</t>
        </is>
      </c>
      <c r="F2337" s="48" t="inlineStr">
        <is>
          <t>Q</t>
        </is>
      </c>
      <c r="G2337" s="48" t="inlineStr">
        <is>
          <t>higher</t>
        </is>
      </c>
      <c r="H2337" s="48" t="n">
        <v>2</v>
      </c>
      <c r="I2337" s="48" t="inlineStr">
        <is>
          <t>Tasso di copertura del servizio con telecamere BSD</t>
        </is>
      </c>
      <c r="J2337" s="73" t="n"/>
      <c r="K2337" s="73" t="n"/>
      <c r="L2337" s="73" t="n"/>
      <c r="M2337" s="73" t="n"/>
      <c r="N2337" s="57">
        <f>IF($A2337="","",IFERROR(VALUE($K2337)/VALUE($L2337),IFERROR(VALUE($J2337),0)))</f>
        <v/>
      </c>
      <c r="O2337" s="57">
        <f>IF($A2337="",0,IF(OR($S2337&lt;&gt;1,COUNTA($J2337:$M2337)=0),0,IF(SUMPRODUCT(MAX(($C$5:$C$2484=$C2337)*($D$5:$D$2484=$D2337)*($S$5:$S$2484=1)*IFERROR($N$5:$N$2484*1,0)))&gt;0,ROUND($H2337*($N2337/SUMPRODUCT(MAX(($C$5:$C$2484=$C2337)*($D$5:$D$2484=$D2337)*($S$5:$S$2484=1)*IFERROR($N$5:$N$2484*1,0)))),4),0)))</f>
        <v/>
      </c>
      <c r="P2337" s="48" t="inlineStr">
        <is>
          <t>Autobus attrezzati con telecamere BSD / Autobus totali in offerta, incluse scorte</t>
        </is>
      </c>
      <c r="Q2337" s="57">
        <f>IF($A2337="","",$A2337&amp;"|"&amp;$C2337)</f>
        <v/>
      </c>
      <c r="R2337" s="57">
        <f>IF($A2337="","",$A2337&amp;"|"&amp;$C2337&amp;"|"&amp;$D2337)</f>
        <v/>
      </c>
      <c r="S2337" s="57">
        <f>IF($A2337="","",IFERROR(INDEX(Offerte!$D$2:$D$81,MATCH($Q2337,Offerte!$L$2:$L$81,0)),0))</f>
        <v/>
      </c>
      <c r="T2337" s="57">
        <f>IF($A2337="","",IFERROR(INDEX(Offerte!$G$2:$G$81,MATCH($Q2337,Offerte!$L$2:$L$81,0)),"NO"))</f>
        <v/>
      </c>
    </row>
    <row r="2338">
      <c r="A2338" s="48">
        <f>IF(Offerte!$A77="","",Offerte!$A77)</f>
        <v/>
      </c>
      <c r="B2338" s="48">
        <f>IF(Offerte!$A77="","",Offerte!$B77)</f>
        <v/>
      </c>
      <c r="C2338" s="48">
        <f>IF(Offerte!$A77="","",Offerte!$C77)</f>
        <v/>
      </c>
      <c r="D2338" s="48" t="inlineStr">
        <is>
          <t>C.1.2</t>
        </is>
      </c>
      <c r="E2338" s="48" t="inlineStr">
        <is>
          <t>C</t>
        </is>
      </c>
      <c r="F2338" s="48" t="inlineStr">
        <is>
          <t>Q</t>
        </is>
      </c>
      <c r="G2338" s="48" t="inlineStr">
        <is>
          <t>higher</t>
        </is>
      </c>
      <c r="H2338" s="48" t="n">
        <v>2</v>
      </c>
      <c r="I2338" s="48" t="inlineStr">
        <is>
          <t>Tasso di copertura del servizio con telecamere ADAS</t>
        </is>
      </c>
      <c r="J2338" s="73" t="n"/>
      <c r="K2338" s="73" t="n"/>
      <c r="L2338" s="73" t="n"/>
      <c r="M2338" s="73" t="n"/>
      <c r="N2338" s="57">
        <f>IF($A2338="","",IFERROR(VALUE($K2338)/VALUE($L2338),IFERROR(VALUE($J2338),0)))</f>
        <v/>
      </c>
      <c r="O2338" s="57">
        <f>IF($A2338="",0,IF(OR($S2338&lt;&gt;1,COUNTA($J2338:$M2338)=0),0,IF(SUMPRODUCT(MAX(($C$5:$C$2484=$C2338)*($D$5:$D$2484=$D2338)*($S$5:$S$2484=1)*IFERROR($N$5:$N$2484*1,0)))&gt;0,ROUND($H2338*($N2338/SUMPRODUCT(MAX(($C$5:$C$2484=$C2338)*($D$5:$D$2484=$D2338)*($S$5:$S$2484=1)*IFERROR($N$5:$N$2484*1,0)))),4),0)))</f>
        <v/>
      </c>
      <c r="P2338" s="48" t="inlineStr">
        <is>
          <t>Autobus attrezzati con telecamere ADAS / Autobus totali in offerta, incluse scorte</t>
        </is>
      </c>
      <c r="Q2338" s="57">
        <f>IF($A2338="","",$A2338&amp;"|"&amp;$C2338)</f>
        <v/>
      </c>
      <c r="R2338" s="57">
        <f>IF($A2338="","",$A2338&amp;"|"&amp;$C2338&amp;"|"&amp;$D2338)</f>
        <v/>
      </c>
      <c r="S2338" s="57">
        <f>IF($A2338="","",IFERROR(INDEX(Offerte!$D$2:$D$81,MATCH($Q2338,Offerte!$L$2:$L$81,0)),0))</f>
        <v/>
      </c>
      <c r="T2338" s="57">
        <f>IF($A2338="","",IFERROR(INDEX(Offerte!$G$2:$G$81,MATCH($Q2338,Offerte!$L$2:$L$81,0)),"NO"))</f>
        <v/>
      </c>
    </row>
    <row r="2339">
      <c r="A2339" s="48">
        <f>IF(Offerte!$A77="","",Offerte!$A77)</f>
        <v/>
      </c>
      <c r="B2339" s="48">
        <f>IF(Offerte!$A77="","",Offerte!$B77)</f>
        <v/>
      </c>
      <c r="C2339" s="48">
        <f>IF(Offerte!$A77="","",Offerte!$C77)</f>
        <v/>
      </c>
      <c r="D2339" s="48" t="inlineStr">
        <is>
          <t>C.2.1</t>
        </is>
      </c>
      <c r="E2339" s="48" t="inlineStr">
        <is>
          <t>C</t>
        </is>
      </c>
      <c r="F2339" s="48" t="inlineStr">
        <is>
          <t>Q</t>
        </is>
      </c>
      <c r="G2339" s="48" t="inlineStr">
        <is>
          <t>higher</t>
        </is>
      </c>
      <c r="H2339" s="48" t="n">
        <v>3</v>
      </c>
      <c r="I2339" s="48" t="inlineStr">
        <is>
          <t>Tasso di copertura del servizio con telecamere di bordo di videosorveglianza</t>
        </is>
      </c>
      <c r="J2339" s="73" t="n"/>
      <c r="K2339" s="73" t="n"/>
      <c r="L2339" s="73" t="n"/>
      <c r="M2339" s="73" t="n"/>
      <c r="N2339" s="57">
        <f>IF($A2339="","",IFERROR(VALUE($K2339)/VALUE($L2339),IFERROR(VALUE($J2339),0)))</f>
        <v/>
      </c>
      <c r="O2339" s="57">
        <f>IF($A2339="",0,IF(OR($S2339&lt;&gt;1,COUNTA($J2339:$M2339)=0),0,IF(SUMPRODUCT(MAX(($C$5:$C$2484=$C2339)*($D$5:$D$2484=$D2339)*($S$5:$S$2484=1)*IFERROR($N$5:$N$2484*1,0)))&gt;0,ROUND($H2339*($N2339/SUMPRODUCT(MAX(($C$5:$C$2484=$C2339)*($D$5:$D$2484=$D2339)*($S$5:$S$2484=1)*IFERROR($N$5:$N$2484*1,0)))),4),0)))</f>
        <v/>
      </c>
      <c r="P2339" s="48" t="inlineStr">
        <is>
          <t>Autobus attrezzati con videosorveglianza / Autobus totali in offerta, incluse scorte</t>
        </is>
      </c>
      <c r="Q2339" s="57">
        <f>IF($A2339="","",$A2339&amp;"|"&amp;$C2339)</f>
        <v/>
      </c>
      <c r="R2339" s="57">
        <f>IF($A2339="","",$A2339&amp;"|"&amp;$C2339&amp;"|"&amp;$D2339)</f>
        <v/>
      </c>
      <c r="S2339" s="57">
        <f>IF($A2339="","",IFERROR(INDEX(Offerte!$D$2:$D$81,MATCH($Q2339,Offerte!$L$2:$L$81,0)),0))</f>
        <v/>
      </c>
      <c r="T2339" s="57">
        <f>IF($A2339="","",IFERROR(INDEX(Offerte!$G$2:$G$81,MATCH($Q2339,Offerte!$L$2:$L$81,0)),"NO"))</f>
        <v/>
      </c>
    </row>
    <row r="2340">
      <c r="A2340" s="48">
        <f>IF(Offerte!$A77="","",Offerte!$A77)</f>
        <v/>
      </c>
      <c r="B2340" s="48">
        <f>IF(Offerte!$A77="","",Offerte!$B77)</f>
        <v/>
      </c>
      <c r="C2340" s="48">
        <f>IF(Offerte!$A77="","",Offerte!$C77)</f>
        <v/>
      </c>
      <c r="D2340" s="48" t="inlineStr">
        <is>
          <t>C.2.2</t>
        </is>
      </c>
      <c r="E2340" s="48" t="inlineStr">
        <is>
          <t>C</t>
        </is>
      </c>
      <c r="F2340" s="48" t="inlineStr">
        <is>
          <t>T</t>
        </is>
      </c>
      <c r="G2340" s="48" t="inlineStr">
        <is>
          <t>tabular</t>
        </is>
      </c>
      <c r="H2340" s="48" t="n">
        <v>1</v>
      </c>
      <c r="I2340" s="48" t="inlineStr">
        <is>
          <t>Software video/audio analisi per situazioni di pericolo</t>
        </is>
      </c>
      <c r="J2340" s="73" t="n"/>
      <c r="K2340" s="73" t="n"/>
      <c r="L2340" s="73" t="n"/>
      <c r="M2340" s="73" t="n"/>
      <c r="N2340" s="57">
        <f>IF($A2340="","",IF(IFERROR(VALUE($M2340),0)=1,1,0))</f>
        <v/>
      </c>
      <c r="O2340" s="57">
        <f>IF($A2340="",0,IF(OR($S2340&lt;&gt;1,COUNTA($J2340:$M2340)=0),0,IF($N2340=1,$H2340,0)))</f>
        <v/>
      </c>
      <c r="P2340" s="48" t="inlineStr">
        <is>
          <t>sì/no</t>
        </is>
      </c>
      <c r="Q2340" s="57">
        <f>IF($A2340="","",$A2340&amp;"|"&amp;$C2340)</f>
        <v/>
      </c>
      <c r="R2340" s="57">
        <f>IF($A2340="","",$A2340&amp;"|"&amp;$C2340&amp;"|"&amp;$D2340)</f>
        <v/>
      </c>
      <c r="S2340" s="57">
        <f>IF($A2340="","",IFERROR(INDEX(Offerte!$D$2:$D$81,MATCH($Q2340,Offerte!$L$2:$L$81,0)),0))</f>
        <v/>
      </c>
      <c r="T2340" s="57">
        <f>IF($A2340="","",IFERROR(INDEX(Offerte!$G$2:$G$81,MATCH($Q2340,Offerte!$L$2:$L$81,0)),"NO"))</f>
        <v/>
      </c>
    </row>
    <row r="2341">
      <c r="A2341" s="48">
        <f>IF(Offerte!$A77="","",Offerte!$A77)</f>
        <v/>
      </c>
      <c r="B2341" s="48">
        <f>IF(Offerte!$A77="","",Offerte!$B77)</f>
        <v/>
      </c>
      <c r="C2341" s="48">
        <f>IF(Offerte!$A77="","",Offerte!$C77)</f>
        <v/>
      </c>
      <c r="D2341" s="48" t="inlineStr">
        <is>
          <t>C.2.3</t>
        </is>
      </c>
      <c r="E2341" s="48" t="inlineStr">
        <is>
          <t>C</t>
        </is>
      </c>
      <c r="F2341" s="48" t="inlineStr">
        <is>
          <t>T</t>
        </is>
      </c>
      <c r="G2341" s="48" t="inlineStr">
        <is>
          <t>tabular</t>
        </is>
      </c>
      <c r="H2341" s="48" t="n">
        <v>1</v>
      </c>
      <c r="I2341" s="48" t="inlineStr">
        <is>
          <t>Collegamento con centrale qualificata di pronto intervento</t>
        </is>
      </c>
      <c r="J2341" s="73" t="n"/>
      <c r="K2341" s="73" t="n"/>
      <c r="L2341" s="73" t="n"/>
      <c r="M2341" s="73" t="n"/>
      <c r="N2341" s="57">
        <f>IF($A2341="","",IF(IFERROR(VALUE($M2341),0)=1,1,0))</f>
        <v/>
      </c>
      <c r="O2341" s="57">
        <f>IF($A2341="",0,IF(OR($S2341&lt;&gt;1,COUNTA($J2341:$M2341)=0),0,IF($N2341=1,$H2341,0)))</f>
        <v/>
      </c>
      <c r="P2341" s="48" t="inlineStr">
        <is>
          <t>sì/no</t>
        </is>
      </c>
      <c r="Q2341" s="57">
        <f>IF($A2341="","",$A2341&amp;"|"&amp;$C2341)</f>
        <v/>
      </c>
      <c r="R2341" s="57">
        <f>IF($A2341="","",$A2341&amp;"|"&amp;$C2341&amp;"|"&amp;$D2341)</f>
        <v/>
      </c>
      <c r="S2341" s="57">
        <f>IF($A2341="","",IFERROR(INDEX(Offerte!$D$2:$D$81,MATCH($Q2341,Offerte!$L$2:$L$81,0)),0))</f>
        <v/>
      </c>
      <c r="T2341" s="57">
        <f>IF($A2341="","",IFERROR(INDEX(Offerte!$G$2:$G$81,MATCH($Q2341,Offerte!$L$2:$L$81,0)),"NO"))</f>
        <v/>
      </c>
    </row>
    <row r="2342">
      <c r="A2342" s="48">
        <f>IF(Offerte!$A77="","",Offerte!$A77)</f>
        <v/>
      </c>
      <c r="B2342" s="48">
        <f>IF(Offerte!$A77="","",Offerte!$B77)</f>
        <v/>
      </c>
      <c r="C2342" s="48">
        <f>IF(Offerte!$A77="","",Offerte!$C77)</f>
        <v/>
      </c>
      <c r="D2342" s="48" t="inlineStr">
        <is>
          <t>C.2.4</t>
        </is>
      </c>
      <c r="E2342" s="48" t="inlineStr">
        <is>
          <t>C</t>
        </is>
      </c>
      <c r="F2342" s="48" t="inlineStr">
        <is>
          <t>Q</t>
        </is>
      </c>
      <c r="G2342" s="48" t="inlineStr">
        <is>
          <t>higher</t>
        </is>
      </c>
      <c r="H2342" s="48" t="n">
        <v>1</v>
      </c>
      <c r="I2342" s="48" t="inlineStr">
        <is>
          <t>Tasso di copertura del servizio con dispositivi per la chiamata di emergenza del conducente</t>
        </is>
      </c>
      <c r="J2342" s="73" t="n"/>
      <c r="K2342" s="73" t="n"/>
      <c r="L2342" s="73" t="n"/>
      <c r="M2342" s="73" t="n"/>
      <c r="N2342" s="57">
        <f>IF($A2342="","",IFERROR(VALUE($K2342)/VALUE($L2342),IFERROR(VALUE($J2342),0)))</f>
        <v/>
      </c>
      <c r="O2342" s="57">
        <f>IF($A2342="",0,IF(OR($S2342&lt;&gt;1,COUNTA($J2342:$M2342)=0),0,IF(SUMPRODUCT(MAX(($C$5:$C$2484=$C2342)*($D$5:$D$2484=$D2342)*($S$5:$S$2484=1)*IFERROR($N$5:$N$2484*1,0)))&gt;0,ROUND($H2342*($N2342/SUMPRODUCT(MAX(($C$5:$C$2484=$C2342)*($D$5:$D$2484=$D2342)*($S$5:$S$2484=1)*IFERROR($N$5:$N$2484*1,0)))),4),0)))</f>
        <v/>
      </c>
      <c r="P2342" s="48" t="inlineStr">
        <is>
          <t>Autobus attrezzati con chiamata di emergenza / Autobus totali in offerta, incluse scorte</t>
        </is>
      </c>
      <c r="Q2342" s="57">
        <f>IF($A2342="","",$A2342&amp;"|"&amp;$C2342)</f>
        <v/>
      </c>
      <c r="R2342" s="57">
        <f>IF($A2342="","",$A2342&amp;"|"&amp;$C2342&amp;"|"&amp;$D2342)</f>
        <v/>
      </c>
      <c r="S2342" s="57">
        <f>IF($A2342="","",IFERROR(INDEX(Offerte!$D$2:$D$81,MATCH($Q2342,Offerte!$L$2:$L$81,0)),0))</f>
        <v/>
      </c>
      <c r="T2342" s="57">
        <f>IF($A2342="","",IFERROR(INDEX(Offerte!$G$2:$G$81,MATCH($Q2342,Offerte!$L$2:$L$81,0)),"NO"))</f>
        <v/>
      </c>
    </row>
    <row r="2343">
      <c r="A2343" s="48">
        <f>IF(Offerte!$A77="","",Offerte!$A77)</f>
        <v/>
      </c>
      <c r="B2343" s="48">
        <f>IF(Offerte!$A77="","",Offerte!$B77)</f>
        <v/>
      </c>
      <c r="C2343" s="48">
        <f>IF(Offerte!$A77="","",Offerte!$C77)</f>
        <v/>
      </c>
      <c r="D2343" s="48" t="inlineStr">
        <is>
          <t>C.3.1</t>
        </is>
      </c>
      <c r="E2343" s="48" t="inlineStr">
        <is>
          <t>C</t>
        </is>
      </c>
      <c r="F2343" s="48" t="inlineStr">
        <is>
          <t>Q</t>
        </is>
      </c>
      <c r="G2343" s="48" t="inlineStr">
        <is>
          <t>higher</t>
        </is>
      </c>
      <c r="H2343" s="48" t="n">
        <v>2</v>
      </c>
      <c r="I2343" s="48" t="inlineStr">
        <is>
          <t>Tasso di copertura del servizio con dispositivi di informazione dinamica a bordo mezzo</t>
        </is>
      </c>
      <c r="J2343" s="73" t="n"/>
      <c r="K2343" s="73" t="n"/>
      <c r="L2343" s="73" t="n"/>
      <c r="M2343" s="73" t="n"/>
      <c r="N2343" s="57">
        <f>IF($A2343="","",IFERROR(VALUE($K2343)/VALUE($L2343),IFERROR(VALUE($J2343),0)))</f>
        <v/>
      </c>
      <c r="O2343" s="57">
        <f>IF($A2343="",0,IF(OR($S2343&lt;&gt;1,COUNTA($J2343:$M2343)=0),0,IF(SUMPRODUCT(MAX(($C$5:$C$2484=$C2343)*($D$5:$D$2484=$D2343)*($S$5:$S$2484=1)*IFERROR($N$5:$N$2484*1,0)))&gt;0,ROUND($H2343*($N2343/SUMPRODUCT(MAX(($C$5:$C$2484=$C2343)*($D$5:$D$2484=$D2343)*($S$5:$S$2484=1)*IFERROR($N$5:$N$2484*1,0)))),4),0)))</f>
        <v/>
      </c>
      <c r="P2343" s="48" t="inlineStr">
        <is>
          <t>Autobus con monitor e indicatori vocali / Autobus totali in offerta, incluse scorte</t>
        </is>
      </c>
      <c r="Q2343" s="57">
        <f>IF($A2343="","",$A2343&amp;"|"&amp;$C2343)</f>
        <v/>
      </c>
      <c r="R2343" s="57">
        <f>IF($A2343="","",$A2343&amp;"|"&amp;$C2343&amp;"|"&amp;$D2343)</f>
        <v/>
      </c>
      <c r="S2343" s="57">
        <f>IF($A2343="","",IFERROR(INDEX(Offerte!$D$2:$D$81,MATCH($Q2343,Offerte!$L$2:$L$81,0)),0))</f>
        <v/>
      </c>
      <c r="T2343" s="57">
        <f>IF($A2343="","",IFERROR(INDEX(Offerte!$G$2:$G$81,MATCH($Q2343,Offerte!$L$2:$L$81,0)),"NO"))</f>
        <v/>
      </c>
    </row>
    <row r="2344">
      <c r="A2344" s="48">
        <f>IF(Offerte!$A77="","",Offerte!$A77)</f>
        <v/>
      </c>
      <c r="B2344" s="48">
        <f>IF(Offerte!$A77="","",Offerte!$B77)</f>
        <v/>
      </c>
      <c r="C2344" s="48">
        <f>IF(Offerte!$A77="","",Offerte!$C77)</f>
        <v/>
      </c>
      <c r="D2344" s="48" t="inlineStr">
        <is>
          <t>C.3.2</t>
        </is>
      </c>
      <c r="E2344" s="48" t="inlineStr">
        <is>
          <t>C</t>
        </is>
      </c>
      <c r="F2344" s="48" t="inlineStr">
        <is>
          <t>T</t>
        </is>
      </c>
      <c r="G2344" s="48" t="inlineStr">
        <is>
          <t>tabular</t>
        </is>
      </c>
      <c r="H2344" s="48" t="n">
        <v>2</v>
      </c>
      <c r="I2344" s="48" t="inlineStr">
        <is>
          <t>Informazioni a bordo su coincidenze ai nodi</t>
        </is>
      </c>
      <c r="J2344" s="73" t="n"/>
      <c r="K2344" s="73" t="n"/>
      <c r="L2344" s="73" t="n"/>
      <c r="M2344" s="73" t="n"/>
      <c r="N2344" s="57">
        <f>IF($A2344="","",IF(IFERROR(VALUE($M2344),0)=1,1,0))</f>
        <v/>
      </c>
      <c r="O2344" s="57">
        <f>IF($A2344="",0,IF(OR($S2344&lt;&gt;1,COUNTA($J2344:$M2344)=0),0,IF(AND($N2344=1,IFERROR(SUMIFS($N$5:$N$2484,$Q$5:$Q$2484,$Q2344,$D$5:$D$2484,"C.3.1"),0)&gt;=0.5),$H2344,0)))</f>
        <v/>
      </c>
      <c r="P2344" s="48" t="inlineStr">
        <is>
          <t>Dipende da C.3.1 &gt;= 0.5</t>
        </is>
      </c>
      <c r="Q2344" s="57">
        <f>IF($A2344="","",$A2344&amp;"|"&amp;$C2344)</f>
        <v/>
      </c>
      <c r="R2344" s="57">
        <f>IF($A2344="","",$A2344&amp;"|"&amp;$C2344&amp;"|"&amp;$D2344)</f>
        <v/>
      </c>
      <c r="S2344" s="57">
        <f>IF($A2344="","",IFERROR(INDEX(Offerte!$D$2:$D$81,MATCH($Q2344,Offerte!$L$2:$L$81,0)),0))</f>
        <v/>
      </c>
      <c r="T2344" s="57">
        <f>IF($A2344="","",IFERROR(INDEX(Offerte!$G$2:$G$81,MATCH($Q2344,Offerte!$L$2:$L$81,0)),"NO"))</f>
        <v/>
      </c>
    </row>
    <row r="2345">
      <c r="A2345" s="48">
        <f>IF(Offerte!$A77="","",Offerte!$A77)</f>
        <v/>
      </c>
      <c r="B2345" s="48">
        <f>IF(Offerte!$A77="","",Offerte!$B77)</f>
        <v/>
      </c>
      <c r="C2345" s="48">
        <f>IF(Offerte!$A77="","",Offerte!$C77)</f>
        <v/>
      </c>
      <c r="D2345" s="48" t="inlineStr">
        <is>
          <t>D.1.1</t>
        </is>
      </c>
      <c r="E2345" s="48" t="inlineStr">
        <is>
          <t>D</t>
        </is>
      </c>
      <c r="F2345" s="48" t="inlineStr">
        <is>
          <t>Q</t>
        </is>
      </c>
      <c r="G2345" s="48" t="inlineStr">
        <is>
          <t>higher</t>
        </is>
      </c>
      <c r="H2345" s="48" t="n">
        <v>3</v>
      </c>
      <c r="I2345" s="48" t="inlineStr">
        <is>
          <t>Installazione di pensiline</t>
        </is>
      </c>
      <c r="J2345" s="73" t="n"/>
      <c r="K2345" s="73" t="n"/>
      <c r="L2345" s="73" t="n"/>
      <c r="M2345" s="73" t="n"/>
      <c r="N2345" s="57">
        <f>IF($A2345="","",IFERROR(VALUE($J2345),0))</f>
        <v/>
      </c>
      <c r="O2345" s="57">
        <f>IF($A2345="",0,IF(OR($S2345&lt;&gt;1,COUNTA($J2345:$M2345)=0),0,IF(SUMPRODUCT(MAX(($C$5:$C$2484=$C2345)*($D$5:$D$2484=$D2345)*($S$5:$S$2484=1)*IFERROR($N$5:$N$2484*1,0)))&gt;0,ROUND($H2345*($N2345/SUMPRODUCT(MAX(($C$5:$C$2484=$C2345)*($D$5:$D$2484=$D2345)*($S$5:$S$2484=1)*IFERROR($N$5:$N$2484*1,0)))),4),0)))</f>
        <v/>
      </c>
      <c r="P2345" s="48" t="inlineStr">
        <is>
          <t>fermate</t>
        </is>
      </c>
      <c r="Q2345" s="57">
        <f>IF($A2345="","",$A2345&amp;"|"&amp;$C2345)</f>
        <v/>
      </c>
      <c r="R2345" s="57">
        <f>IF($A2345="","",$A2345&amp;"|"&amp;$C2345&amp;"|"&amp;$D2345)</f>
        <v/>
      </c>
      <c r="S2345" s="57">
        <f>IF($A2345="","",IFERROR(INDEX(Offerte!$D$2:$D$81,MATCH($Q2345,Offerte!$L$2:$L$81,0)),0))</f>
        <v/>
      </c>
      <c r="T2345" s="57">
        <f>IF($A2345="","",IFERROR(INDEX(Offerte!$G$2:$G$81,MATCH($Q2345,Offerte!$L$2:$L$81,0)),"NO"))</f>
        <v/>
      </c>
    </row>
    <row r="2346">
      <c r="A2346" s="48">
        <f>IF(Offerte!$A77="","",Offerte!$A77)</f>
        <v/>
      </c>
      <c r="B2346" s="48">
        <f>IF(Offerte!$A77="","",Offerte!$B77)</f>
        <v/>
      </c>
      <c r="C2346" s="48">
        <f>IF(Offerte!$A77="","",Offerte!$C77)</f>
        <v/>
      </c>
      <c r="D2346" s="48" t="inlineStr">
        <is>
          <t>D.1.2</t>
        </is>
      </c>
      <c r="E2346" s="48" t="inlineStr">
        <is>
          <t>D</t>
        </is>
      </c>
      <c r="F2346" s="48" t="inlineStr">
        <is>
          <t>Q</t>
        </is>
      </c>
      <c r="G2346" s="48" t="inlineStr">
        <is>
          <t>higher</t>
        </is>
      </c>
      <c r="H2346" s="48" t="n">
        <v>3</v>
      </c>
      <c r="I2346" s="48" t="inlineStr">
        <is>
          <t>Installazione di paline di fermata conformi alla DGR 581/2023</t>
        </is>
      </c>
      <c r="J2346" s="73" t="n"/>
      <c r="K2346" s="73" t="n"/>
      <c r="L2346" s="73" t="n"/>
      <c r="M2346" s="73" t="n"/>
      <c r="N2346" s="57">
        <f>IF($A2346="","",IFERROR(VALUE($J2346),0))</f>
        <v/>
      </c>
      <c r="O2346" s="57">
        <f>IF($A2346="",0,IF(OR($S2346&lt;&gt;1,COUNTA($J2346:$M2346)=0),0,IF(SUMPRODUCT(MAX(($C$5:$C$2484=$C2346)*($D$5:$D$2484=$D2346)*($S$5:$S$2484=1)*IFERROR($N$5:$N$2484*1,0)))&gt;0,ROUND($H2346*($N2346/SUMPRODUCT(MAX(($C$5:$C$2484=$C2346)*($D$5:$D$2484=$D2346)*($S$5:$S$2484=1)*IFERROR($N$5:$N$2484*1,0)))),4),0)))</f>
        <v/>
      </c>
      <c r="P2346" s="48" t="inlineStr">
        <is>
          <t>fermate</t>
        </is>
      </c>
      <c r="Q2346" s="57">
        <f>IF($A2346="","",$A2346&amp;"|"&amp;$C2346)</f>
        <v/>
      </c>
      <c r="R2346" s="57">
        <f>IF($A2346="","",$A2346&amp;"|"&amp;$C2346&amp;"|"&amp;$D2346)</f>
        <v/>
      </c>
      <c r="S2346" s="57">
        <f>IF($A2346="","",IFERROR(INDEX(Offerte!$D$2:$D$81,MATCH($Q2346,Offerte!$L$2:$L$81,0)),0))</f>
        <v/>
      </c>
      <c r="T2346" s="57">
        <f>IF($A2346="","",IFERROR(INDEX(Offerte!$G$2:$G$81,MATCH($Q2346,Offerte!$L$2:$L$81,0)),"NO"))</f>
        <v/>
      </c>
    </row>
    <row r="2347">
      <c r="A2347" s="48">
        <f>IF(Offerte!$A77="","",Offerte!$A77)</f>
        <v/>
      </c>
      <c r="B2347" s="48">
        <f>IF(Offerte!$A77="","",Offerte!$B77)</f>
        <v/>
      </c>
      <c r="C2347" s="48">
        <f>IF(Offerte!$A77="","",Offerte!$C77)</f>
        <v/>
      </c>
      <c r="D2347" s="48" t="inlineStr">
        <is>
          <t>D.1.3</t>
        </is>
      </c>
      <c r="E2347" s="48" t="inlineStr">
        <is>
          <t>D</t>
        </is>
      </c>
      <c r="F2347" s="48" t="inlineStr">
        <is>
          <t>Q</t>
        </is>
      </c>
      <c r="G2347" s="48" t="inlineStr">
        <is>
          <t>higher</t>
        </is>
      </c>
      <c r="H2347" s="48" t="n">
        <v>2</v>
      </c>
      <c r="I2347" s="48" t="inlineStr">
        <is>
          <t>Display informativi connessi alle fermate</t>
        </is>
      </c>
      <c r="J2347" s="73" t="n"/>
      <c r="K2347" s="73" t="n"/>
      <c r="L2347" s="73" t="n"/>
      <c r="M2347" s="73" t="n"/>
      <c r="N2347" s="57">
        <f>IF($A2347="","",IFERROR(VALUE($J2347),0))</f>
        <v/>
      </c>
      <c r="O2347" s="57">
        <f>IF($A2347="",0,IF(OR($S2347&lt;&gt;1,COUNTA($J2347:$M2347)=0),0,IF(SUMPRODUCT(MAX(($C$5:$C$2484=$C2347)*($D$5:$D$2484=$D2347)*($S$5:$S$2484=1)*IFERROR($N$5:$N$2484*1,0)))&gt;0,ROUND($H2347*($N2347/SUMPRODUCT(MAX(($C$5:$C$2484=$C2347)*($D$5:$D$2484=$D2347)*($S$5:$S$2484=1)*IFERROR($N$5:$N$2484*1,0)))),4),0)))</f>
        <v/>
      </c>
      <c r="P2347" s="48" t="inlineStr">
        <is>
          <t>fermate</t>
        </is>
      </c>
      <c r="Q2347" s="57">
        <f>IF($A2347="","",$A2347&amp;"|"&amp;$C2347)</f>
        <v/>
      </c>
      <c r="R2347" s="57">
        <f>IF($A2347="","",$A2347&amp;"|"&amp;$C2347&amp;"|"&amp;$D2347)</f>
        <v/>
      </c>
      <c r="S2347" s="57">
        <f>IF($A2347="","",IFERROR(INDEX(Offerte!$D$2:$D$81,MATCH($Q2347,Offerte!$L$2:$L$81,0)),0))</f>
        <v/>
      </c>
      <c r="T2347" s="57">
        <f>IF($A2347="","",IFERROR(INDEX(Offerte!$G$2:$G$81,MATCH($Q2347,Offerte!$L$2:$L$81,0)),"NO"))</f>
        <v/>
      </c>
    </row>
    <row r="2348">
      <c r="A2348" s="48">
        <f>IF(Offerte!$A77="","",Offerte!$A77)</f>
        <v/>
      </c>
      <c r="B2348" s="48">
        <f>IF(Offerte!$A77="","",Offerte!$B77)</f>
        <v/>
      </c>
      <c r="C2348" s="48">
        <f>IF(Offerte!$A77="","",Offerte!$C77)</f>
        <v/>
      </c>
      <c r="D2348" s="48" t="inlineStr">
        <is>
          <t>D.2.1</t>
        </is>
      </c>
      <c r="E2348" s="48" t="inlineStr">
        <is>
          <t>D</t>
        </is>
      </c>
      <c r="F2348" s="48" t="inlineStr">
        <is>
          <t>Q</t>
        </is>
      </c>
      <c r="G2348" s="48" t="inlineStr">
        <is>
          <t>higher</t>
        </is>
      </c>
      <c r="H2348" s="48" t="n">
        <v>2</v>
      </c>
      <c r="I2348" s="48" t="inlineStr">
        <is>
          <t>Segnali tattili Loges-Vet-Evolution</t>
        </is>
      </c>
      <c r="J2348" s="73" t="n"/>
      <c r="K2348" s="73" t="n"/>
      <c r="L2348" s="73" t="n"/>
      <c r="M2348" s="73" t="n"/>
      <c r="N2348" s="57">
        <f>IF($A2348="","",IFERROR(VALUE($J2348),0))</f>
        <v/>
      </c>
      <c r="O2348" s="57">
        <f>IF($A2348="",0,IF(OR($S2348&lt;&gt;1,COUNTA($J2348:$M2348)=0),0,IF(SUMPRODUCT(MAX(($C$5:$C$2484=$C2348)*($D$5:$D$2484=$D2348)*($S$5:$S$2484=1)*IFERROR($N$5:$N$2484*1,0)))&gt;0,ROUND($H2348*($N2348/SUMPRODUCT(MAX(($C$5:$C$2484=$C2348)*($D$5:$D$2484=$D2348)*($S$5:$S$2484=1)*IFERROR($N$5:$N$2484*1,0)))),4),0)))</f>
        <v/>
      </c>
      <c r="P2348" s="48" t="inlineStr">
        <is>
          <t>fermate</t>
        </is>
      </c>
      <c r="Q2348" s="57">
        <f>IF($A2348="","",$A2348&amp;"|"&amp;$C2348)</f>
        <v/>
      </c>
      <c r="R2348" s="57">
        <f>IF($A2348="","",$A2348&amp;"|"&amp;$C2348&amp;"|"&amp;$D2348)</f>
        <v/>
      </c>
      <c r="S2348" s="57">
        <f>IF($A2348="","",IFERROR(INDEX(Offerte!$D$2:$D$81,MATCH($Q2348,Offerte!$L$2:$L$81,0)),0))</f>
        <v/>
      </c>
      <c r="T2348" s="57">
        <f>IF($A2348="","",IFERROR(INDEX(Offerte!$G$2:$G$81,MATCH($Q2348,Offerte!$L$2:$L$81,0)),"NO"))</f>
        <v/>
      </c>
    </row>
    <row r="2349">
      <c r="A2349" s="48">
        <f>IF(Offerte!$A77="","",Offerte!$A77)</f>
        <v/>
      </c>
      <c r="B2349" s="48">
        <f>IF(Offerte!$A77="","",Offerte!$B77)</f>
        <v/>
      </c>
      <c r="C2349" s="48">
        <f>IF(Offerte!$A77="","",Offerte!$C77)</f>
        <v/>
      </c>
      <c r="D2349" s="48" t="inlineStr">
        <is>
          <t>E.1.1</t>
        </is>
      </c>
      <c r="E2349" s="48" t="inlineStr">
        <is>
          <t>E</t>
        </is>
      </c>
      <c r="F2349" s="48" t="inlineStr">
        <is>
          <t>T</t>
        </is>
      </c>
      <c r="G2349" s="48" t="inlineStr">
        <is>
          <t>tabular</t>
        </is>
      </c>
      <c r="H2349" s="48" t="n">
        <v>2</v>
      </c>
      <c r="I2349" s="48" t="inlineStr">
        <is>
          <t>Mobile app con travel planner PRM</t>
        </is>
      </c>
      <c r="J2349" s="73" t="n"/>
      <c r="K2349" s="73" t="n"/>
      <c r="L2349" s="73" t="n"/>
      <c r="M2349" s="73" t="n"/>
      <c r="N2349" s="57">
        <f>IF($A2349="","",IF(IFERROR(VALUE($M2349),0)=1,1,0))</f>
        <v/>
      </c>
      <c r="O2349" s="57">
        <f>IF($A2349="",0,IF(OR($S2349&lt;&gt;1,COUNTA($J2349:$M2349)=0),0,IF($N2349=1,$H2349,0)))</f>
        <v/>
      </c>
      <c r="P2349" s="48" t="inlineStr">
        <is>
          <t>sì/no</t>
        </is>
      </c>
      <c r="Q2349" s="57">
        <f>IF($A2349="","",$A2349&amp;"|"&amp;$C2349)</f>
        <v/>
      </c>
      <c r="R2349" s="57">
        <f>IF($A2349="","",$A2349&amp;"|"&amp;$C2349&amp;"|"&amp;$D2349)</f>
        <v/>
      </c>
      <c r="S2349" s="57">
        <f>IF($A2349="","",IFERROR(INDEX(Offerte!$D$2:$D$81,MATCH($Q2349,Offerte!$L$2:$L$81,0)),0))</f>
        <v/>
      </c>
      <c r="T2349" s="57">
        <f>IF($A2349="","",IFERROR(INDEX(Offerte!$G$2:$G$81,MATCH($Q2349,Offerte!$L$2:$L$81,0)),"NO"))</f>
        <v/>
      </c>
    </row>
    <row r="2350">
      <c r="A2350" s="48">
        <f>IF(Offerte!$A77="","",Offerte!$A77)</f>
        <v/>
      </c>
      <c r="B2350" s="48">
        <f>IF(Offerte!$A77="","",Offerte!$B77)</f>
        <v/>
      </c>
      <c r="C2350" s="48">
        <f>IF(Offerte!$A77="","",Offerte!$C77)</f>
        <v/>
      </c>
      <c r="D2350" s="48" t="inlineStr">
        <is>
          <t>E.2.1</t>
        </is>
      </c>
      <c r="E2350" s="48" t="inlineStr">
        <is>
          <t>E</t>
        </is>
      </c>
      <c r="F2350" s="48" t="inlineStr">
        <is>
          <t>D</t>
        </is>
      </c>
      <c r="G2350" s="48" t="inlineStr">
        <is>
          <t>discretionary</t>
        </is>
      </c>
      <c r="H2350" s="48" t="n">
        <v>2</v>
      </c>
      <c r="I2350" s="48" t="inlineStr">
        <is>
          <t>Altre azioni informative e rapporti con gli utenti</t>
        </is>
      </c>
      <c r="J2350" s="73" t="n"/>
      <c r="K2350" s="73" t="n"/>
      <c r="L2350" s="73" t="n"/>
      <c r="M2350" s="73" t="n"/>
      <c r="N2350" s="57">
        <f>IF($A2350="","",MAX(0,MIN(1,IFERROR(VALUE($M2350),0))))</f>
        <v/>
      </c>
      <c r="O2350" s="57">
        <f>IF($A2350="",0,IF(OR($S2350&lt;&gt;1,COUNTA($J2350:$M2350)=0),0,IF(SUMPRODUCT(MAX(($C$5:$C$2484=$C2350)*($D$5:$D$2484=$D2350)*($S$5:$S$2484=1)*IFERROR($N$5:$N$2484*1,0)))&gt;0,ROUND($H2350*($N2350/SUMPRODUCT(MAX(($C$5:$C$2484=$C2350)*($D$5:$D$2484=$D2350)*($S$5:$S$2484=1)*IFERROR($N$5:$N$2484*1,0)))),4),0)))</f>
        <v/>
      </c>
      <c r="P2350" s="48" t="inlineStr">
        <is>
          <t>coeff.</t>
        </is>
      </c>
      <c r="Q2350" s="57">
        <f>IF($A2350="","",$A2350&amp;"|"&amp;$C2350)</f>
        <v/>
      </c>
      <c r="R2350" s="57">
        <f>IF($A2350="","",$A2350&amp;"|"&amp;$C2350&amp;"|"&amp;$D2350)</f>
        <v/>
      </c>
      <c r="S2350" s="57">
        <f>IF($A2350="","",IFERROR(INDEX(Offerte!$D$2:$D$81,MATCH($Q2350,Offerte!$L$2:$L$81,0)),0))</f>
        <v/>
      </c>
      <c r="T2350" s="57">
        <f>IF($A2350="","",IFERROR(INDEX(Offerte!$G$2:$G$81,MATCH($Q2350,Offerte!$L$2:$L$81,0)),"NO"))</f>
        <v/>
      </c>
    </row>
    <row r="2351">
      <c r="A2351" s="48">
        <f>IF(Offerte!$A77="","",Offerte!$A77)</f>
        <v/>
      </c>
      <c r="B2351" s="48">
        <f>IF(Offerte!$A77="","",Offerte!$B77)</f>
        <v/>
      </c>
      <c r="C2351" s="48">
        <f>IF(Offerte!$A77="","",Offerte!$C77)</f>
        <v/>
      </c>
      <c r="D2351" s="48" t="inlineStr">
        <is>
          <t>F.1.1</t>
        </is>
      </c>
      <c r="E2351" s="48" t="inlineStr">
        <is>
          <t>F</t>
        </is>
      </c>
      <c r="F2351" s="48" t="inlineStr">
        <is>
          <t>Q</t>
        </is>
      </c>
      <c r="G2351" s="48" t="inlineStr">
        <is>
          <t>lower</t>
        </is>
      </c>
      <c r="H2351" s="48" t="n">
        <v>7</v>
      </c>
      <c r="I2351" s="48" t="inlineStr">
        <is>
          <t>Performance ambientali del parco mezzi adibito al servizio - I_CEA</t>
        </is>
      </c>
      <c r="J2351" s="73" t="n"/>
      <c r="K2351" s="73" t="n"/>
      <c r="L2351" s="73" t="n"/>
      <c r="M2351" s="73" t="n"/>
      <c r="N2351" s="57">
        <f>IF($A2351="","",IFERROR(VALUE($J2351),0))</f>
        <v/>
      </c>
      <c r="O2351" s="57">
        <f>IF($A2351="",0,IF(OR($S2351&lt;&gt;1,COUNTA($J2351:$M2351)=0),0,IF(AND(IFERROR(AGGREGATE(15,6,$N$5:$N$2484/(($C$5:$C$2484=$C2351)*($D$5:$D$2484=$D2351)*($S$5:$S$2484=1)*($N$5:$N$2484&gt;0)),1),0)&gt;0,$N2351&gt;0),ROUND($H2351*(IFERROR(AGGREGATE(15,6,$N$5:$N$2484/(($C$5:$C$2484=$C2351)*($D$5:$D$2484=$D2351)*($S$5:$S$2484=1)*($N$5:$N$2484&gt;0)),1),0)/$N2351),4),0)))</f>
        <v/>
      </c>
      <c r="P2351" s="48" t="inlineStr">
        <is>
          <t>indice</t>
        </is>
      </c>
      <c r="Q2351" s="57">
        <f>IF($A2351="","",$A2351&amp;"|"&amp;$C2351)</f>
        <v/>
      </c>
      <c r="R2351" s="57">
        <f>IF($A2351="","",$A2351&amp;"|"&amp;$C2351&amp;"|"&amp;$D2351)</f>
        <v/>
      </c>
      <c r="S2351" s="57">
        <f>IF($A2351="","",IFERROR(INDEX(Offerte!$D$2:$D$81,MATCH($Q2351,Offerte!$L$2:$L$81,0)),0))</f>
        <v/>
      </c>
      <c r="T2351" s="57">
        <f>IF($A2351="","",IFERROR(INDEX(Offerte!$G$2:$G$81,MATCH($Q2351,Offerte!$L$2:$L$81,0)),"NO"))</f>
        <v/>
      </c>
    </row>
    <row r="2352">
      <c r="A2352" s="48">
        <f>IF(Offerte!$A77="","",Offerte!$A77)</f>
        <v/>
      </c>
      <c r="B2352" s="48">
        <f>IF(Offerte!$A77="","",Offerte!$B77)</f>
        <v/>
      </c>
      <c r="C2352" s="48">
        <f>IF(Offerte!$A77="","",Offerte!$C77)</f>
        <v/>
      </c>
      <c r="D2352" s="48" t="inlineStr">
        <is>
          <t>F.2.1</t>
        </is>
      </c>
      <c r="E2352" s="48" t="inlineStr">
        <is>
          <t>F</t>
        </is>
      </c>
      <c r="F2352" s="48" t="inlineStr">
        <is>
          <t>Q</t>
        </is>
      </c>
      <c r="G2352" s="48" t="inlineStr">
        <is>
          <t>higher</t>
        </is>
      </c>
      <c r="H2352" s="48" t="n">
        <v>2</v>
      </c>
      <c r="I2352" s="48" t="inlineStr">
        <is>
          <t>Tasso di copertura del servizio con dispositivi ECO-DRIVER</t>
        </is>
      </c>
      <c r="J2352" s="73" t="n"/>
      <c r="K2352" s="73" t="n"/>
      <c r="L2352" s="73" t="n"/>
      <c r="M2352" s="73" t="n"/>
      <c r="N2352" s="57">
        <f>IF($A2352="","",IFERROR(VALUE($K2352)/VALUE($L2352),IFERROR(VALUE($J2352),0)))</f>
        <v/>
      </c>
      <c r="O2352" s="57">
        <f>IF($A2352="",0,IF(OR($S2352&lt;&gt;1,COUNTA($J2352:$M2352)=0),0,IF(SUMPRODUCT(MAX(($C$5:$C$2484=$C2352)*($D$5:$D$2484=$D2352)*($S$5:$S$2484=1)*IFERROR($N$5:$N$2484*1,0)))&gt;0,ROUND($H2352*($N2352/SUMPRODUCT(MAX(($C$5:$C$2484=$C2352)*($D$5:$D$2484=$D2352)*($S$5:$S$2484=1)*IFERROR($N$5:$N$2484*1,0)))),4),0)))</f>
        <v/>
      </c>
      <c r="P2352" s="48" t="inlineStr">
        <is>
          <t>Autobus attrezzati con dispositivi ECO-DRIVER / Autobus totali in offerta, incluse scorte</t>
        </is>
      </c>
      <c r="Q2352" s="57">
        <f>IF($A2352="","",$A2352&amp;"|"&amp;$C2352)</f>
        <v/>
      </c>
      <c r="R2352" s="57">
        <f>IF($A2352="","",$A2352&amp;"|"&amp;$C2352&amp;"|"&amp;$D2352)</f>
        <v/>
      </c>
      <c r="S2352" s="57">
        <f>IF($A2352="","",IFERROR(INDEX(Offerte!$D$2:$D$81,MATCH($Q2352,Offerte!$L$2:$L$81,0)),0))</f>
        <v/>
      </c>
      <c r="T2352" s="57">
        <f>IF($A2352="","",IFERROR(INDEX(Offerte!$G$2:$G$81,MATCH($Q2352,Offerte!$L$2:$L$81,0)),"NO"))</f>
        <v/>
      </c>
    </row>
    <row r="2353">
      <c r="A2353" s="48">
        <f>IF(Offerte!$A77="","",Offerte!$A77)</f>
        <v/>
      </c>
      <c r="B2353" s="48">
        <f>IF(Offerte!$A77="","",Offerte!$B77)</f>
        <v/>
      </c>
      <c r="C2353" s="48">
        <f>IF(Offerte!$A77="","",Offerte!$C77)</f>
        <v/>
      </c>
      <c r="D2353" s="48" t="inlineStr">
        <is>
          <t>F.3.1</t>
        </is>
      </c>
      <c r="E2353" s="48" t="inlineStr">
        <is>
          <t>F</t>
        </is>
      </c>
      <c r="F2353" s="48" t="inlineStr">
        <is>
          <t>Q</t>
        </is>
      </c>
      <c r="G2353" s="48" t="inlineStr">
        <is>
          <t>higher</t>
        </is>
      </c>
      <c r="H2353" s="48" t="n">
        <v>2</v>
      </c>
      <c r="I2353" s="48" t="inlineStr">
        <is>
          <t>Autoproduzione consumi elettrici per trazione</t>
        </is>
      </c>
      <c r="J2353" s="73" t="n"/>
      <c r="K2353" s="73" t="n"/>
      <c r="L2353" s="73" t="n"/>
      <c r="M2353" s="73" t="n"/>
      <c r="N2353" s="57">
        <f>IF($A2353="","",IFERROR(VALUE($J2353),0))</f>
        <v/>
      </c>
      <c r="O2353" s="57">
        <f>IF($A2353="",0,IF(OR($S2353&lt;&gt;1,COUNTA($J2353:$M2353)=0),0,IF(SUMPRODUCT(MAX(($C$5:$C$2484=$C2353)*($D$5:$D$2484=$D2353)*($S$5:$S$2484=1)*IFERROR($N$5:$N$2484*1,0)))&gt;0,ROUND($H2353*($N2353/SUMPRODUCT(MAX(($C$5:$C$2484=$C2353)*($D$5:$D$2484=$D2353)*($S$5:$S$2484=1)*IFERROR($N$5:$N$2484*1,0)))),4),0)))</f>
        <v/>
      </c>
      <c r="P2353" s="48" t="inlineStr">
        <is>
          <t>kWh/anno</t>
        </is>
      </c>
      <c r="Q2353" s="57">
        <f>IF($A2353="","",$A2353&amp;"|"&amp;$C2353)</f>
        <v/>
      </c>
      <c r="R2353" s="57">
        <f>IF($A2353="","",$A2353&amp;"|"&amp;$C2353&amp;"|"&amp;$D2353)</f>
        <v/>
      </c>
      <c r="S2353" s="57">
        <f>IF($A2353="","",IFERROR(INDEX(Offerte!$D$2:$D$81,MATCH($Q2353,Offerte!$L$2:$L$81,0)),0))</f>
        <v/>
      </c>
      <c r="T2353" s="57">
        <f>IF($A2353="","",IFERROR(INDEX(Offerte!$G$2:$G$81,MATCH($Q2353,Offerte!$L$2:$L$81,0)),"NO"))</f>
        <v/>
      </c>
    </row>
    <row r="2354">
      <c r="A2354" s="48">
        <f>IF(Offerte!$A77="","",Offerte!$A77)</f>
        <v/>
      </c>
      <c r="B2354" s="48">
        <f>IF(Offerte!$A77="","",Offerte!$B77)</f>
        <v/>
      </c>
      <c r="C2354" s="48">
        <f>IF(Offerte!$A77="","",Offerte!$C77)</f>
        <v/>
      </c>
      <c r="D2354" s="48" t="inlineStr">
        <is>
          <t>F.4.1</t>
        </is>
      </c>
      <c r="E2354" s="48" t="inlineStr">
        <is>
          <t>F</t>
        </is>
      </c>
      <c r="F2354" s="48" t="inlineStr">
        <is>
          <t>Q</t>
        </is>
      </c>
      <c r="G2354" s="48" t="inlineStr">
        <is>
          <t>soil</t>
        </is>
      </c>
      <c r="H2354" s="48" t="n">
        <v>2</v>
      </c>
      <c r="I2354" s="48" t="inlineStr">
        <is>
          <t>Indice di consumo di suolo</t>
        </is>
      </c>
      <c r="J2354" s="73" t="n"/>
      <c r="K2354" s="73" t="n"/>
      <c r="L2354" s="73" t="n"/>
      <c r="M2354" s="73" t="n"/>
      <c r="N2354" s="57">
        <f>IF($A2354="","",IFERROR(VALUE($J2354),0))</f>
        <v/>
      </c>
      <c r="O2354" s="57">
        <f>IF($A2354="",0,IF(OR($S2354&lt;&gt;1,COUNTA($J2354:$M2354)=0),0,IF($N2354&lt;=0,$H2354,IF(SUMPRODUCT(MAX(($C$5:$C$2484=$C2354)*($D$5:$D$2484=$D2354)*($S$5:$S$2484=1)*IFERROR($N$5:$N$2484*1,0)))&gt;0,ROUND($H2354*((SUMPRODUCT(MAX(($C$5:$C$2484=$C2354)*($D$5:$D$2484=$D2354)*($S$5:$S$2484=1)*IFERROR($N$5:$N$2484*1,0)))-$N2354)/SUMPRODUCT(MAX(($C$5:$C$2484=$C2354)*($D$5:$D$2484=$D2354)*($S$5:$S$2484=1)*IFERROR($N$5:$N$2484*1,0)))),4),0))))</f>
        <v/>
      </c>
      <c r="P2354" s="48" t="inlineStr">
        <is>
          <t>m2</t>
        </is>
      </c>
      <c r="Q2354" s="57">
        <f>IF($A2354="","",$A2354&amp;"|"&amp;$C2354)</f>
        <v/>
      </c>
      <c r="R2354" s="57">
        <f>IF($A2354="","",$A2354&amp;"|"&amp;$C2354&amp;"|"&amp;$D2354)</f>
        <v/>
      </c>
      <c r="S2354" s="57">
        <f>IF($A2354="","",IFERROR(INDEX(Offerte!$D$2:$D$81,MATCH($Q2354,Offerte!$L$2:$L$81,0)),0))</f>
        <v/>
      </c>
      <c r="T2354" s="57">
        <f>IF($A2354="","",IFERROR(INDEX(Offerte!$G$2:$G$81,MATCH($Q2354,Offerte!$L$2:$L$81,0)),"NO"))</f>
        <v/>
      </c>
    </row>
    <row r="2355">
      <c r="A2355" s="48">
        <f>IF(Offerte!$A77="","",Offerte!$A77)</f>
        <v/>
      </c>
      <c r="B2355" s="48">
        <f>IF(Offerte!$A77="","",Offerte!$B77)</f>
        <v/>
      </c>
      <c r="C2355" s="48">
        <f>IF(Offerte!$A77="","",Offerte!$C77)</f>
        <v/>
      </c>
      <c r="D2355" s="48" t="inlineStr">
        <is>
          <t>F.5.1</t>
        </is>
      </c>
      <c r="E2355" s="48" t="inlineStr">
        <is>
          <t>F</t>
        </is>
      </c>
      <c r="F2355" s="48" t="inlineStr">
        <is>
          <t>T</t>
        </is>
      </c>
      <c r="G2355" s="48" t="inlineStr">
        <is>
          <t>tabular</t>
        </is>
      </c>
      <c r="H2355" s="48" t="n">
        <v>1</v>
      </c>
      <c r="I2355" s="48" t="inlineStr">
        <is>
          <t>Rendicontazione di sostenibilità ambientale</t>
        </is>
      </c>
      <c r="J2355" s="73" t="n"/>
      <c r="K2355" s="73" t="n"/>
      <c r="L2355" s="73" t="n"/>
      <c r="M2355" s="73" t="n"/>
      <c r="N2355" s="57">
        <f>IF($A2355="","",IF(IFERROR(VALUE($M2355),0)=1,1,0))</f>
        <v/>
      </c>
      <c r="O2355" s="57">
        <f>IF($A2355="",0,IF(OR($S2355&lt;&gt;1,COUNTA($J2355:$M2355)=0),0,IF($N2355=1,$H2355,0)))</f>
        <v/>
      </c>
      <c r="P2355" s="48" t="inlineStr">
        <is>
          <t>sì/no</t>
        </is>
      </c>
      <c r="Q2355" s="57">
        <f>IF($A2355="","",$A2355&amp;"|"&amp;$C2355)</f>
        <v/>
      </c>
      <c r="R2355" s="57">
        <f>IF($A2355="","",$A2355&amp;"|"&amp;$C2355&amp;"|"&amp;$D2355)</f>
        <v/>
      </c>
      <c r="S2355" s="57">
        <f>IF($A2355="","",IFERROR(INDEX(Offerte!$D$2:$D$81,MATCH($Q2355,Offerte!$L$2:$L$81,0)),0))</f>
        <v/>
      </c>
      <c r="T2355" s="57">
        <f>IF($A2355="","",IFERROR(INDEX(Offerte!$G$2:$G$81,MATCH($Q2355,Offerte!$L$2:$L$81,0)),"NO"))</f>
        <v/>
      </c>
    </row>
    <row r="2356">
      <c r="A2356" s="48">
        <f>IF(Offerte!$A77="","",Offerte!$A77)</f>
        <v/>
      </c>
      <c r="B2356" s="48">
        <f>IF(Offerte!$A77="","",Offerte!$B77)</f>
        <v/>
      </c>
      <c r="C2356" s="48">
        <f>IF(Offerte!$A77="","",Offerte!$C77)</f>
        <v/>
      </c>
      <c r="D2356" s="48" t="inlineStr">
        <is>
          <t>G.1.1</t>
        </is>
      </c>
      <c r="E2356" s="48" t="inlineStr">
        <is>
          <t>G</t>
        </is>
      </c>
      <c r="F2356" s="48" t="inlineStr">
        <is>
          <t>D</t>
        </is>
      </c>
      <c r="G2356" s="48" t="inlineStr">
        <is>
          <t>discretionary</t>
        </is>
      </c>
      <c r="H2356" s="48" t="n">
        <v>2</v>
      </c>
      <c r="I2356" s="48" t="inlineStr">
        <is>
          <t>Qualità del progetto di centrale di controllo aziendale</t>
        </is>
      </c>
      <c r="J2356" s="73" t="n"/>
      <c r="K2356" s="73" t="n"/>
      <c r="L2356" s="73" t="n"/>
      <c r="M2356" s="73" t="n"/>
      <c r="N2356" s="57">
        <f>IF($A2356="","",MAX(0,MIN(1,IFERROR(VALUE($M2356),0))))</f>
        <v/>
      </c>
      <c r="O2356" s="57">
        <f>IF($A2356="",0,IF(OR($S2356&lt;&gt;1,COUNTA($J2356:$M2356)=0),0,IF(SUMPRODUCT(MAX(($C$5:$C$2484=$C2356)*($D$5:$D$2484=$D2356)*($S$5:$S$2484=1)*IFERROR($N$5:$N$2484*1,0)))&gt;0,ROUND($H2356*($N2356/SUMPRODUCT(MAX(($C$5:$C$2484=$C2356)*($D$5:$D$2484=$D2356)*($S$5:$S$2484=1)*IFERROR($N$5:$N$2484*1,0)))),4),0)))</f>
        <v/>
      </c>
      <c r="P2356" s="48" t="inlineStr">
        <is>
          <t>coeff.</t>
        </is>
      </c>
      <c r="Q2356" s="57">
        <f>IF($A2356="","",$A2356&amp;"|"&amp;$C2356)</f>
        <v/>
      </c>
      <c r="R2356" s="57">
        <f>IF($A2356="","",$A2356&amp;"|"&amp;$C2356&amp;"|"&amp;$D2356)</f>
        <v/>
      </c>
      <c r="S2356" s="57">
        <f>IF($A2356="","",IFERROR(INDEX(Offerte!$D$2:$D$81,MATCH($Q2356,Offerte!$L$2:$L$81,0)),0))</f>
        <v/>
      </c>
      <c r="T2356" s="57">
        <f>IF($A2356="","",IFERROR(INDEX(Offerte!$G$2:$G$81,MATCH($Q2356,Offerte!$L$2:$L$81,0)),"NO"))</f>
        <v/>
      </c>
    </row>
    <row r="2357">
      <c r="A2357" s="48">
        <f>IF(Offerte!$A77="","",Offerte!$A77)</f>
        <v/>
      </c>
      <c r="B2357" s="48">
        <f>IF(Offerte!$A77="","",Offerte!$B77)</f>
        <v/>
      </c>
      <c r="C2357" s="48">
        <f>IF(Offerte!$A77="","",Offerte!$C77)</f>
        <v/>
      </c>
      <c r="D2357" s="48" t="inlineStr">
        <is>
          <t>G.2.1</t>
        </is>
      </c>
      <c r="E2357" s="48" t="inlineStr">
        <is>
          <t>G</t>
        </is>
      </c>
      <c r="F2357" s="48" t="inlineStr">
        <is>
          <t>T</t>
        </is>
      </c>
      <c r="G2357" s="48" t="inlineStr">
        <is>
          <t>tabular</t>
        </is>
      </c>
      <c r="H2357" s="48" t="n">
        <v>1</v>
      </c>
      <c r="I2357" s="48" t="inlineStr">
        <is>
          <t>Certificazione ISO 45001</t>
        </is>
      </c>
      <c r="J2357" s="73" t="n"/>
      <c r="K2357" s="73" t="n"/>
      <c r="L2357" s="73" t="n"/>
      <c r="M2357" s="73" t="n"/>
      <c r="N2357" s="57">
        <f>IF($A2357="","",IF(IFERROR(VALUE($M2357),0)=1,1,0))</f>
        <v/>
      </c>
      <c r="O2357" s="57">
        <f>IF($A2357="",0,IF(OR($S2357&lt;&gt;1,COUNTA($J2357:$M2357)=0),0,IF($N2357=1,$H2357,0)))</f>
        <v/>
      </c>
      <c r="P2357" s="48" t="inlineStr">
        <is>
          <t>sì/no</t>
        </is>
      </c>
      <c r="Q2357" s="57">
        <f>IF($A2357="","",$A2357&amp;"|"&amp;$C2357)</f>
        <v/>
      </c>
      <c r="R2357" s="57">
        <f>IF($A2357="","",$A2357&amp;"|"&amp;$C2357&amp;"|"&amp;$D2357)</f>
        <v/>
      </c>
      <c r="S2357" s="57">
        <f>IF($A2357="","",IFERROR(INDEX(Offerte!$D$2:$D$81,MATCH($Q2357,Offerte!$L$2:$L$81,0)),0))</f>
        <v/>
      </c>
      <c r="T2357" s="57">
        <f>IF($A2357="","",IFERROR(INDEX(Offerte!$G$2:$G$81,MATCH($Q2357,Offerte!$L$2:$L$81,0)),"NO"))</f>
        <v/>
      </c>
    </row>
    <row r="2358">
      <c r="A2358" s="48">
        <f>IF(Offerte!$A77="","",Offerte!$A77)</f>
        <v/>
      </c>
      <c r="B2358" s="48">
        <f>IF(Offerte!$A77="","",Offerte!$B77)</f>
        <v/>
      </c>
      <c r="C2358" s="48">
        <f>IF(Offerte!$A77="","",Offerte!$C77)</f>
        <v/>
      </c>
      <c r="D2358" s="48" t="inlineStr">
        <is>
          <t>G.3.1</t>
        </is>
      </c>
      <c r="E2358" s="48" t="inlineStr">
        <is>
          <t>G</t>
        </is>
      </c>
      <c r="F2358" s="48" t="inlineStr">
        <is>
          <t>T</t>
        </is>
      </c>
      <c r="G2358" s="48" t="inlineStr">
        <is>
          <t>tabular</t>
        </is>
      </c>
      <c r="H2358" s="48" t="n">
        <v>1</v>
      </c>
      <c r="I2358" s="48" t="inlineStr">
        <is>
          <t>Certificazioni di responsabilità sociale</t>
        </is>
      </c>
      <c r="J2358" s="73" t="n"/>
      <c r="K2358" s="73" t="n"/>
      <c r="L2358" s="73" t="n"/>
      <c r="M2358" s="73" t="n"/>
      <c r="N2358" s="57">
        <f>IF($A2358="","",IF(IFERROR(VALUE($M2358),0)=1,1,0))</f>
        <v/>
      </c>
      <c r="O2358" s="57">
        <f>IF($A2358="",0,IF(OR($S2358&lt;&gt;1,COUNTA($J2358:$M2358)=0),0,IF($N2358=1,$H2358,0)))</f>
        <v/>
      </c>
      <c r="P2358" s="48" t="inlineStr">
        <is>
          <t>sì/no</t>
        </is>
      </c>
      <c r="Q2358" s="57">
        <f>IF($A2358="","",$A2358&amp;"|"&amp;$C2358)</f>
        <v/>
      </c>
      <c r="R2358" s="57">
        <f>IF($A2358="","",$A2358&amp;"|"&amp;$C2358&amp;"|"&amp;$D2358)</f>
        <v/>
      </c>
      <c r="S2358" s="57">
        <f>IF($A2358="","",IFERROR(INDEX(Offerte!$D$2:$D$81,MATCH($Q2358,Offerte!$L$2:$L$81,0)),0))</f>
        <v/>
      </c>
      <c r="T2358" s="57">
        <f>IF($A2358="","",IFERROR(INDEX(Offerte!$G$2:$G$81,MATCH($Q2358,Offerte!$L$2:$L$81,0)),"NO"))</f>
        <v/>
      </c>
    </row>
    <row r="2359">
      <c r="A2359" s="48">
        <f>IF(Offerte!$A77="","",Offerte!$A77)</f>
        <v/>
      </c>
      <c r="B2359" s="48">
        <f>IF(Offerte!$A77="","",Offerte!$B77)</f>
        <v/>
      </c>
      <c r="C2359" s="48">
        <f>IF(Offerte!$A77="","",Offerte!$C77)</f>
        <v/>
      </c>
      <c r="D2359" s="48" t="inlineStr">
        <is>
          <t>G.4.1</t>
        </is>
      </c>
      <c r="E2359" s="48" t="inlineStr">
        <is>
          <t>G</t>
        </is>
      </c>
      <c r="F2359" s="48" t="inlineStr">
        <is>
          <t>D</t>
        </is>
      </c>
      <c r="G2359" s="48" t="inlineStr">
        <is>
          <t>discretionary</t>
        </is>
      </c>
      <c r="H2359" s="48" t="n">
        <v>2</v>
      </c>
      <c r="I2359" s="48" t="inlineStr">
        <is>
          <t>Qualità del piano di formazione del personale</t>
        </is>
      </c>
      <c r="J2359" s="73" t="n"/>
      <c r="K2359" s="73" t="n"/>
      <c r="L2359" s="73" t="n"/>
      <c r="M2359" s="73" t="n"/>
      <c r="N2359" s="57">
        <f>IF($A2359="","",MAX(0,MIN(1,IFERROR(VALUE($M2359),0))))</f>
        <v/>
      </c>
      <c r="O2359" s="57">
        <f>IF($A2359="",0,IF(OR($S2359&lt;&gt;1,COUNTA($J2359:$M2359)=0),0,IF(SUMPRODUCT(MAX(($C$5:$C$2484=$C2359)*($D$5:$D$2484=$D2359)*($S$5:$S$2484=1)*IFERROR($N$5:$N$2484*1,0)))&gt;0,ROUND($H2359*($N2359/SUMPRODUCT(MAX(($C$5:$C$2484=$C2359)*($D$5:$D$2484=$D2359)*($S$5:$S$2484=1)*IFERROR($N$5:$N$2484*1,0)))),4),0)))</f>
        <v/>
      </c>
      <c r="P2359" s="48" t="inlineStr">
        <is>
          <t>coeff.</t>
        </is>
      </c>
      <c r="Q2359" s="57">
        <f>IF($A2359="","",$A2359&amp;"|"&amp;$C2359)</f>
        <v/>
      </c>
      <c r="R2359" s="57">
        <f>IF($A2359="","",$A2359&amp;"|"&amp;$C2359&amp;"|"&amp;$D2359)</f>
        <v/>
      </c>
      <c r="S2359" s="57">
        <f>IF($A2359="","",IFERROR(INDEX(Offerte!$D$2:$D$81,MATCH($Q2359,Offerte!$L$2:$L$81,0)),0))</f>
        <v/>
      </c>
      <c r="T2359" s="57">
        <f>IF($A2359="","",IFERROR(INDEX(Offerte!$G$2:$G$81,MATCH($Q2359,Offerte!$L$2:$L$81,0)),"NO"))</f>
        <v/>
      </c>
    </row>
    <row r="2360">
      <c r="A2360" s="48">
        <f>IF(Offerte!$A77="","",Offerte!$A77)</f>
        <v/>
      </c>
      <c r="B2360" s="48">
        <f>IF(Offerte!$A77="","",Offerte!$B77)</f>
        <v/>
      </c>
      <c r="C2360" s="48">
        <f>IF(Offerte!$A77="","",Offerte!$C77)</f>
        <v/>
      </c>
      <c r="D2360" s="48" t="inlineStr">
        <is>
          <t>G.5.1</t>
        </is>
      </c>
      <c r="E2360" s="48" t="inlineStr">
        <is>
          <t>G</t>
        </is>
      </c>
      <c r="F2360" s="48" t="inlineStr">
        <is>
          <t>T</t>
        </is>
      </c>
      <c r="G2360" s="48" t="inlineStr">
        <is>
          <t>tabular</t>
        </is>
      </c>
      <c r="H2360" s="48" t="n">
        <v>1</v>
      </c>
      <c r="I2360" s="48" t="inlineStr">
        <is>
          <t>Impegno al mantenimento delle garanzie del contratto di secondo livello del gestore uscente</t>
        </is>
      </c>
      <c r="J2360" s="73" t="n"/>
      <c r="K2360" s="73" t="n"/>
      <c r="L2360" s="73" t="n"/>
      <c r="M2360" s="73" t="n"/>
      <c r="N2360" s="57">
        <f>IF($A2360="","",IF(IFERROR(VALUE($M2360),0)=1,1,0))</f>
        <v/>
      </c>
      <c r="O2360" s="57">
        <f>IF($A2360="",0,IF(OR($S2360&lt;&gt;1,COUNTA($J2360:$M2360)=0),0,IF($N2360=1,$H2360,0)))</f>
        <v/>
      </c>
      <c r="P2360" s="48" t="inlineStr">
        <is>
          <t>sì/no</t>
        </is>
      </c>
      <c r="Q2360" s="57">
        <f>IF($A2360="","",$A2360&amp;"|"&amp;$C2360)</f>
        <v/>
      </c>
      <c r="R2360" s="57">
        <f>IF($A2360="","",$A2360&amp;"|"&amp;$C2360&amp;"|"&amp;$D2360)</f>
        <v/>
      </c>
      <c r="S2360" s="57">
        <f>IF($A2360="","",IFERROR(INDEX(Offerte!$D$2:$D$81,MATCH($Q2360,Offerte!$L$2:$L$81,0)),0))</f>
        <v/>
      </c>
      <c r="T2360" s="57">
        <f>IF($A2360="","",IFERROR(INDEX(Offerte!$G$2:$G$81,MATCH($Q2360,Offerte!$L$2:$L$81,0)),"NO"))</f>
        <v/>
      </c>
    </row>
    <row r="2361">
      <c r="A2361" s="48">
        <f>IF(Offerte!$A78="","",Offerte!$A78)</f>
        <v/>
      </c>
      <c r="B2361" s="48">
        <f>IF(Offerte!$A78="","",Offerte!$B78)</f>
        <v/>
      </c>
      <c r="C2361" s="48">
        <f>IF(Offerte!$A78="","",Offerte!$C78)</f>
        <v/>
      </c>
      <c r="D2361" s="48" t="inlineStr">
        <is>
          <t>A.1.1</t>
        </is>
      </c>
      <c r="E2361" s="48" t="inlineStr">
        <is>
          <t>A</t>
        </is>
      </c>
      <c r="F2361" s="48" t="inlineStr">
        <is>
          <t>Q</t>
        </is>
      </c>
      <c r="G2361" s="48" t="inlineStr">
        <is>
          <t>higher</t>
        </is>
      </c>
      <c r="H2361" s="48" t="n">
        <v>3</v>
      </c>
      <c r="I2361" s="48" t="inlineStr">
        <is>
          <t>Tasso aggiuntivo di corse controllate</t>
        </is>
      </c>
      <c r="J2361" s="73" t="n"/>
      <c r="K2361" s="73" t="n"/>
      <c r="L2361" s="73" t="n"/>
      <c r="M2361" s="73" t="n"/>
      <c r="N2361" s="57">
        <f>IF($A2361="","",IFERROR(VALUE($K2361)/VALUE($L2361)*100,IFERROR(VALUE($J2361),0)))</f>
        <v/>
      </c>
      <c r="O2361" s="57">
        <f>IF($A2361="",0,IF(OR($S2361&lt;&gt;1,COUNTA($J2361:$M2361)=0),0,IF(SUMPRODUCT(MAX(($C$5:$C$2484=$C2361)*($D$5:$D$2484=$D2361)*($S$5:$S$2484=1)*IFERROR($N$5:$N$2484*1,0)))&gt;0,ROUND($H2361*($N2361/SUMPRODUCT(MAX(($C$5:$C$2484=$C2361)*($D$5:$D$2484=$D2361)*($S$5:$S$2484=1)*IFERROR($N$5:$N$2484*1,0)))),4),0)))</f>
        <v/>
      </c>
      <c r="P2361" s="48" t="inlineStr">
        <is>
          <t>Corse controllate annue / Corse programmate annue</t>
        </is>
      </c>
      <c r="Q2361" s="57">
        <f>IF($A2361="","",$A2361&amp;"|"&amp;$C2361)</f>
        <v/>
      </c>
      <c r="R2361" s="57">
        <f>IF($A2361="","",$A2361&amp;"|"&amp;$C2361&amp;"|"&amp;$D2361)</f>
        <v/>
      </c>
      <c r="S2361" s="57">
        <f>IF($A2361="","",IFERROR(INDEX(Offerte!$D$2:$D$81,MATCH($Q2361,Offerte!$L$2:$L$81,0)),0))</f>
        <v/>
      </c>
      <c r="T2361" s="57">
        <f>IF($A2361="","",IFERROR(INDEX(Offerte!$G$2:$G$81,MATCH($Q2361,Offerte!$L$2:$L$81,0)),"NO"))</f>
        <v/>
      </c>
    </row>
    <row r="2362">
      <c r="A2362" s="48">
        <f>IF(Offerte!$A78="","",Offerte!$A78)</f>
        <v/>
      </c>
      <c r="B2362" s="48">
        <f>IF(Offerte!$A78="","",Offerte!$B78)</f>
        <v/>
      </c>
      <c r="C2362" s="48">
        <f>IF(Offerte!$A78="","",Offerte!$C78)</f>
        <v/>
      </c>
      <c r="D2362" s="48" t="inlineStr">
        <is>
          <t>A.1.2</t>
        </is>
      </c>
      <c r="E2362" s="48" t="inlineStr">
        <is>
          <t>A</t>
        </is>
      </c>
      <c r="F2362" s="48" t="inlineStr">
        <is>
          <t>Q</t>
        </is>
      </c>
      <c r="G2362" s="48" t="inlineStr">
        <is>
          <t>higher</t>
        </is>
      </c>
      <c r="H2362" s="48" t="n">
        <v>4</v>
      </c>
      <c r="I2362" s="48" t="inlineStr">
        <is>
          <t>Numero aggiuntivo di passeggeri controllati</t>
        </is>
      </c>
      <c r="J2362" s="73" t="n"/>
      <c r="K2362" s="73" t="n"/>
      <c r="L2362" s="73" t="n"/>
      <c r="M2362" s="73" t="n"/>
      <c r="N2362" s="57">
        <f>IF($A2362="","",IFERROR(VALUE($J2362),0))</f>
        <v/>
      </c>
      <c r="O2362" s="57">
        <f>IF($A2362="",0,IF(OR($S2362&lt;&gt;1,COUNTA($J2362:$M2362)=0),0,IF(SUMPRODUCT(MAX(($C$5:$C$2484=$C2362)*($D$5:$D$2484=$D2362)*($S$5:$S$2484=1)*IFERROR($N$5:$N$2484*1,0)))&gt;0,ROUND($H2362*($N2362/SUMPRODUCT(MAX(($C$5:$C$2484=$C2362)*($D$5:$D$2484=$D2362)*($S$5:$S$2484=1)*IFERROR($N$5:$N$2484*1,0)))),4),0)))</f>
        <v/>
      </c>
      <c r="P2362" s="48" t="inlineStr">
        <is>
          <t>passeggeri/anno</t>
        </is>
      </c>
      <c r="Q2362" s="57">
        <f>IF($A2362="","",$A2362&amp;"|"&amp;$C2362)</f>
        <v/>
      </c>
      <c r="R2362" s="57">
        <f>IF($A2362="","",$A2362&amp;"|"&amp;$C2362&amp;"|"&amp;$D2362)</f>
        <v/>
      </c>
      <c r="S2362" s="57">
        <f>IF($A2362="","",IFERROR(INDEX(Offerte!$D$2:$D$81,MATCH($Q2362,Offerte!$L$2:$L$81,0)),0))</f>
        <v/>
      </c>
      <c r="T2362" s="57">
        <f>IF($A2362="","",IFERROR(INDEX(Offerte!$G$2:$G$81,MATCH($Q2362,Offerte!$L$2:$L$81,0)),"NO"))</f>
        <v/>
      </c>
    </row>
    <row r="2363">
      <c r="A2363" s="48">
        <f>IF(Offerte!$A78="","",Offerte!$A78)</f>
        <v/>
      </c>
      <c r="B2363" s="48">
        <f>IF(Offerte!$A78="","",Offerte!$B78)</f>
        <v/>
      </c>
      <c r="C2363" s="48">
        <f>IF(Offerte!$A78="","",Offerte!$C78)</f>
        <v/>
      </c>
      <c r="D2363" s="48" t="inlineStr">
        <is>
          <t>B.1.1</t>
        </is>
      </c>
      <c r="E2363" s="48" t="inlineStr">
        <is>
          <t>B</t>
        </is>
      </c>
      <c r="F2363" s="48" t="inlineStr">
        <is>
          <t>Q</t>
        </is>
      </c>
      <c r="G2363" s="48" t="inlineStr">
        <is>
          <t>higher</t>
        </is>
      </c>
      <c r="H2363" s="48" t="n">
        <v>3</v>
      </c>
      <c r="I2363" s="48" t="inlineStr">
        <is>
          <t>Incremento dei posti offerti nelle fasce di punta</t>
        </is>
      </c>
      <c r="J2363" s="73" t="n"/>
      <c r="K2363" s="73" t="n"/>
      <c r="L2363" s="73" t="n"/>
      <c r="M2363" s="73" t="n"/>
      <c r="N2363" s="57">
        <f>IF($A2363="","",IFERROR(VALUE($J2363),0))</f>
        <v/>
      </c>
      <c r="O2363" s="57">
        <f>IF($A2363="",0,IF(OR($S2363&lt;&gt;1,COUNTA($J2363:$M2363)=0),0,IF(SUMPRODUCT(MAX(($C$5:$C$2484=$C2363)*($D$5:$D$2484=$D2363)*($S$5:$S$2484=1)*IFERROR($N$5:$N$2484*1,0)))&gt;0,ROUND($H2363*($N2363/SUMPRODUCT(MAX(($C$5:$C$2484=$C2363)*($D$5:$D$2484=$D2363)*($S$5:$S$2484=1)*IFERROR($N$5:$N$2484*1,0)))),4),0)))</f>
        <v/>
      </c>
      <c r="P2363" s="48" t="inlineStr">
        <is>
          <t>posti*km</t>
        </is>
      </c>
      <c r="Q2363" s="57">
        <f>IF($A2363="","",$A2363&amp;"|"&amp;$C2363)</f>
        <v/>
      </c>
      <c r="R2363" s="57">
        <f>IF($A2363="","",$A2363&amp;"|"&amp;$C2363&amp;"|"&amp;$D2363)</f>
        <v/>
      </c>
      <c r="S2363" s="57">
        <f>IF($A2363="","",IFERROR(INDEX(Offerte!$D$2:$D$81,MATCH($Q2363,Offerte!$L$2:$L$81,0)),0))</f>
        <v/>
      </c>
      <c r="T2363" s="57">
        <f>IF($A2363="","",IFERROR(INDEX(Offerte!$G$2:$G$81,MATCH($Q2363,Offerte!$L$2:$L$81,0)),"NO"))</f>
        <v/>
      </c>
    </row>
    <row r="2364">
      <c r="A2364" s="48">
        <f>IF(Offerte!$A78="","",Offerte!$A78)</f>
        <v/>
      </c>
      <c r="B2364" s="48">
        <f>IF(Offerte!$A78="","",Offerte!$B78)</f>
        <v/>
      </c>
      <c r="C2364" s="48">
        <f>IF(Offerte!$A78="","",Offerte!$C78)</f>
        <v/>
      </c>
      <c r="D2364" s="48" t="inlineStr">
        <is>
          <t>B.2.1</t>
        </is>
      </c>
      <c r="E2364" s="48" t="inlineStr">
        <is>
          <t>B</t>
        </is>
      </c>
      <c r="F2364" s="48" t="inlineStr">
        <is>
          <t>Q</t>
        </is>
      </c>
      <c r="G2364" s="48" t="inlineStr">
        <is>
          <t>higher</t>
        </is>
      </c>
      <c r="H2364" s="48" t="n">
        <v>4</v>
      </c>
      <c r="I2364" s="48" t="inlineStr">
        <is>
          <t>Corse aggiuntive nell'arco giornaliero base</t>
        </is>
      </c>
      <c r="J2364" s="73" t="n"/>
      <c r="K2364" s="73" t="n"/>
      <c r="L2364" s="73" t="n"/>
      <c r="M2364" s="73" t="n"/>
      <c r="N2364" s="57">
        <f>IF($A2364="","",IFERROR(VALUE($J2364),0))</f>
        <v/>
      </c>
      <c r="O2364" s="57">
        <f>IF($A2364="",0,IF(OR($S2364&lt;&gt;1,COUNTA($J2364:$M2364)=0),0,IF(SUMPRODUCT(MAX(($C$5:$C$2484=$C2364)*($D$5:$D$2484=$D2364)*($S$5:$S$2484=1)*IFERROR($N$5:$N$2484*1,0)))&gt;0,ROUND($H2364*($N2364/SUMPRODUCT(MAX(($C$5:$C$2484=$C2364)*($D$5:$D$2484=$D2364)*($S$5:$S$2484=1)*IFERROR($N$5:$N$2484*1,0)))),4),0)))</f>
        <v/>
      </c>
      <c r="P2364" s="48" t="inlineStr">
        <is>
          <t>corse</t>
        </is>
      </c>
      <c r="Q2364" s="57">
        <f>IF($A2364="","",$A2364&amp;"|"&amp;$C2364)</f>
        <v/>
      </c>
      <c r="R2364" s="57">
        <f>IF($A2364="","",$A2364&amp;"|"&amp;$C2364&amp;"|"&amp;$D2364)</f>
        <v/>
      </c>
      <c r="S2364" s="57">
        <f>IF($A2364="","",IFERROR(INDEX(Offerte!$D$2:$D$81,MATCH($Q2364,Offerte!$L$2:$L$81,0)),0))</f>
        <v/>
      </c>
      <c r="T2364" s="57">
        <f>IF($A2364="","",IFERROR(INDEX(Offerte!$G$2:$G$81,MATCH($Q2364,Offerte!$L$2:$L$81,0)),"NO"))</f>
        <v/>
      </c>
    </row>
    <row r="2365">
      <c r="A2365" s="48">
        <f>IF(Offerte!$A78="","",Offerte!$A78)</f>
        <v/>
      </c>
      <c r="B2365" s="48">
        <f>IF(Offerte!$A78="","",Offerte!$B78)</f>
        <v/>
      </c>
      <c r="C2365" s="48">
        <f>IF(Offerte!$A78="","",Offerte!$C78)</f>
        <v/>
      </c>
      <c r="D2365" s="48" t="inlineStr">
        <is>
          <t>B.3.1</t>
        </is>
      </c>
      <c r="E2365" s="48" t="inlineStr">
        <is>
          <t>B</t>
        </is>
      </c>
      <c r="F2365" s="48" t="inlineStr">
        <is>
          <t>Q</t>
        </is>
      </c>
      <c r="G2365" s="48" t="inlineStr">
        <is>
          <t>higher</t>
        </is>
      </c>
      <c r="H2365" s="48" t="n">
        <v>2</v>
      </c>
      <c r="I2365" s="48" t="inlineStr">
        <is>
          <t>Numero di corse aggiuntive per allungamento dell'arco di servizio giornaliero nelle fasce serali</t>
        </is>
      </c>
      <c r="J2365" s="73" t="n"/>
      <c r="K2365" s="73" t="n"/>
      <c r="L2365" s="73" t="n"/>
      <c r="M2365" s="73" t="n"/>
      <c r="N2365" s="57">
        <f>IF($A2365="","",IFERROR(VALUE($J2365),0))</f>
        <v/>
      </c>
      <c r="O2365" s="57">
        <f>IF($A2365="",0,IF(OR($S2365&lt;&gt;1,COUNTA($J2365:$M2365)=0),0,IF(SUMPRODUCT(MAX(($C$5:$C$2484=$C2365)*($D$5:$D$2484=$D2365)*($S$5:$S$2484=1)*IFERROR($N$5:$N$2484*1,0)))&gt;0,ROUND($H2365*($N2365/SUMPRODUCT(MAX(($C$5:$C$2484=$C2365)*($D$5:$D$2484=$D2365)*($S$5:$S$2484=1)*IFERROR($N$5:$N$2484*1,0)))),4),0)))</f>
        <v/>
      </c>
      <c r="P2365" s="48" t="inlineStr">
        <is>
          <t>corse</t>
        </is>
      </c>
      <c r="Q2365" s="57">
        <f>IF($A2365="","",$A2365&amp;"|"&amp;$C2365)</f>
        <v/>
      </c>
      <c r="R2365" s="57">
        <f>IF($A2365="","",$A2365&amp;"|"&amp;$C2365&amp;"|"&amp;$D2365)</f>
        <v/>
      </c>
      <c r="S2365" s="57">
        <f>IF($A2365="","",IFERROR(INDEX(Offerte!$D$2:$D$81,MATCH($Q2365,Offerte!$L$2:$L$81,0)),0))</f>
        <v/>
      </c>
      <c r="T2365" s="57">
        <f>IF($A2365="","",IFERROR(INDEX(Offerte!$G$2:$G$81,MATCH($Q2365,Offerte!$L$2:$L$81,0)),"NO"))</f>
        <v/>
      </c>
    </row>
    <row r="2366">
      <c r="A2366" s="48">
        <f>IF(Offerte!$A78="","",Offerte!$A78)</f>
        <v/>
      </c>
      <c r="B2366" s="48">
        <f>IF(Offerte!$A78="","",Offerte!$B78)</f>
        <v/>
      </c>
      <c r="C2366" s="48">
        <f>IF(Offerte!$A78="","",Offerte!$C78)</f>
        <v/>
      </c>
      <c r="D2366" s="48" t="inlineStr">
        <is>
          <t>B.4.1</t>
        </is>
      </c>
      <c r="E2366" s="48" t="inlineStr">
        <is>
          <t>B</t>
        </is>
      </c>
      <c r="F2366" s="48" t="inlineStr">
        <is>
          <t>Q</t>
        </is>
      </c>
      <c r="G2366" s="48" t="inlineStr">
        <is>
          <t>higher</t>
        </is>
      </c>
      <c r="H2366" s="48" t="n">
        <v>3</v>
      </c>
      <c r="I2366" s="48" t="inlineStr">
        <is>
          <t>Percorrenze aggiuntive offerte nel Programma d'esercizio delle prime due fasi attuative</t>
        </is>
      </c>
      <c r="J2366" s="73" t="n"/>
      <c r="K2366" s="73" t="n"/>
      <c r="L2366" s="73" t="n"/>
      <c r="M2366" s="73" t="n"/>
      <c r="N2366" s="57">
        <f>IF($A2366="","",IFERROR(VALUE($J2366),0))</f>
        <v/>
      </c>
      <c r="O2366" s="57">
        <f>IF($A2366="",0,IF(OR($S2366&lt;&gt;1,COUNTA($J2366:$M2366)=0),0,IF(SUMPRODUCT(MAX(($C$5:$C$2484=$C2366)*($D$5:$D$2484=$D2366)*($S$5:$S$2484=1)*IFERROR($N$5:$N$2484*1,0)))&gt;0,ROUND($H2366*($N2366/SUMPRODUCT(MAX(($C$5:$C$2484=$C2366)*($D$5:$D$2484=$D2366)*($S$5:$S$2484=1)*IFERROR($N$5:$N$2484*1,0)))),4),0)))</f>
        <v/>
      </c>
      <c r="P2366" s="48" t="inlineStr">
        <is>
          <t>vett*km</t>
        </is>
      </c>
      <c r="Q2366" s="57">
        <f>IF($A2366="","",$A2366&amp;"|"&amp;$C2366)</f>
        <v/>
      </c>
      <c r="R2366" s="57">
        <f>IF($A2366="","",$A2366&amp;"|"&amp;$C2366&amp;"|"&amp;$D2366)</f>
        <v/>
      </c>
      <c r="S2366" s="57">
        <f>IF($A2366="","",IFERROR(INDEX(Offerte!$D$2:$D$81,MATCH($Q2366,Offerte!$L$2:$L$81,0)),0))</f>
        <v/>
      </c>
      <c r="T2366" s="57">
        <f>IF($A2366="","",IFERROR(INDEX(Offerte!$G$2:$G$81,MATCH($Q2366,Offerte!$L$2:$L$81,0)),"NO"))</f>
        <v/>
      </c>
    </row>
    <row r="2367">
      <c r="A2367" s="48">
        <f>IF(Offerte!$A78="","",Offerte!$A78)</f>
        <v/>
      </c>
      <c r="B2367" s="48">
        <f>IF(Offerte!$A78="","",Offerte!$B78)</f>
        <v/>
      </c>
      <c r="C2367" s="48">
        <f>IF(Offerte!$A78="","",Offerte!$C78)</f>
        <v/>
      </c>
      <c r="D2367" s="48" t="inlineStr">
        <is>
          <t>B.5.1</t>
        </is>
      </c>
      <c r="E2367" s="48" t="inlineStr">
        <is>
          <t>B</t>
        </is>
      </c>
      <c r="F2367" s="48" t="inlineStr">
        <is>
          <t>D</t>
        </is>
      </c>
      <c r="G2367" s="48" t="inlineStr">
        <is>
          <t>discretionary</t>
        </is>
      </c>
      <c r="H2367" s="48" t="n">
        <v>2</v>
      </c>
      <c r="I2367" s="48" t="inlineStr">
        <is>
          <t>Efficacia del progetto di servizi complementari DRT</t>
        </is>
      </c>
      <c r="J2367" s="73" t="n"/>
      <c r="K2367" s="73" t="n"/>
      <c r="L2367" s="73" t="n"/>
      <c r="M2367" s="73" t="n"/>
      <c r="N2367" s="57">
        <f>IF($A2367="","",MAX(0,MIN(1,IFERROR(VALUE($M2367),0))))</f>
        <v/>
      </c>
      <c r="O2367" s="57">
        <f>IF($A2367="",0,IF(OR($S2367&lt;&gt;1,COUNTA($J2367:$M2367)=0),0,IF(SUMPRODUCT(MAX(($C$5:$C$2484=$C2367)*($D$5:$D$2484=$D2367)*($S$5:$S$2484=1)*IFERROR($N$5:$N$2484*1,0)))&gt;0,ROUND($H2367*($N2367/SUMPRODUCT(MAX(($C$5:$C$2484=$C2367)*($D$5:$D$2484=$D2367)*($S$5:$S$2484=1)*IFERROR($N$5:$N$2484*1,0)))),4),0)))</f>
        <v/>
      </c>
      <c r="P2367" s="48" t="inlineStr">
        <is>
          <t>coeff.</t>
        </is>
      </c>
      <c r="Q2367" s="57">
        <f>IF($A2367="","",$A2367&amp;"|"&amp;$C2367)</f>
        <v/>
      </c>
      <c r="R2367" s="57">
        <f>IF($A2367="","",$A2367&amp;"|"&amp;$C2367&amp;"|"&amp;$D2367)</f>
        <v/>
      </c>
      <c r="S2367" s="57">
        <f>IF($A2367="","",IFERROR(INDEX(Offerte!$D$2:$D$81,MATCH($Q2367,Offerte!$L$2:$L$81,0)),0))</f>
        <v/>
      </c>
      <c r="T2367" s="57">
        <f>IF($A2367="","",IFERROR(INDEX(Offerte!$G$2:$G$81,MATCH($Q2367,Offerte!$L$2:$L$81,0)),"NO"))</f>
        <v/>
      </c>
    </row>
    <row r="2368">
      <c r="A2368" s="48">
        <f>IF(Offerte!$A78="","",Offerte!$A78)</f>
        <v/>
      </c>
      <c r="B2368" s="48">
        <f>IF(Offerte!$A78="","",Offerte!$B78)</f>
        <v/>
      </c>
      <c r="C2368" s="48">
        <f>IF(Offerte!$A78="","",Offerte!$C78)</f>
        <v/>
      </c>
      <c r="D2368" s="48" t="inlineStr">
        <is>
          <t>C.1.1</t>
        </is>
      </c>
      <c r="E2368" s="48" t="inlineStr">
        <is>
          <t>C</t>
        </is>
      </c>
      <c r="F2368" s="48" t="inlineStr">
        <is>
          <t>Q</t>
        </is>
      </c>
      <c r="G2368" s="48" t="inlineStr">
        <is>
          <t>higher</t>
        </is>
      </c>
      <c r="H2368" s="48" t="n">
        <v>2</v>
      </c>
      <c r="I2368" s="48" t="inlineStr">
        <is>
          <t>Tasso di copertura del servizio con telecamere BSD</t>
        </is>
      </c>
      <c r="J2368" s="73" t="n"/>
      <c r="K2368" s="73" t="n"/>
      <c r="L2368" s="73" t="n"/>
      <c r="M2368" s="73" t="n"/>
      <c r="N2368" s="57">
        <f>IF($A2368="","",IFERROR(VALUE($K2368)/VALUE($L2368),IFERROR(VALUE($J2368),0)))</f>
        <v/>
      </c>
      <c r="O2368" s="57">
        <f>IF($A2368="",0,IF(OR($S2368&lt;&gt;1,COUNTA($J2368:$M2368)=0),0,IF(SUMPRODUCT(MAX(($C$5:$C$2484=$C2368)*($D$5:$D$2484=$D2368)*($S$5:$S$2484=1)*IFERROR($N$5:$N$2484*1,0)))&gt;0,ROUND($H2368*($N2368/SUMPRODUCT(MAX(($C$5:$C$2484=$C2368)*($D$5:$D$2484=$D2368)*($S$5:$S$2484=1)*IFERROR($N$5:$N$2484*1,0)))),4),0)))</f>
        <v/>
      </c>
      <c r="P2368" s="48" t="inlineStr">
        <is>
          <t>Autobus attrezzati con telecamere BSD / Autobus totali in offerta, incluse scorte</t>
        </is>
      </c>
      <c r="Q2368" s="57">
        <f>IF($A2368="","",$A2368&amp;"|"&amp;$C2368)</f>
        <v/>
      </c>
      <c r="R2368" s="57">
        <f>IF($A2368="","",$A2368&amp;"|"&amp;$C2368&amp;"|"&amp;$D2368)</f>
        <v/>
      </c>
      <c r="S2368" s="57">
        <f>IF($A2368="","",IFERROR(INDEX(Offerte!$D$2:$D$81,MATCH($Q2368,Offerte!$L$2:$L$81,0)),0))</f>
        <v/>
      </c>
      <c r="T2368" s="57">
        <f>IF($A2368="","",IFERROR(INDEX(Offerte!$G$2:$G$81,MATCH($Q2368,Offerte!$L$2:$L$81,0)),"NO"))</f>
        <v/>
      </c>
    </row>
    <row r="2369">
      <c r="A2369" s="48">
        <f>IF(Offerte!$A78="","",Offerte!$A78)</f>
        <v/>
      </c>
      <c r="B2369" s="48">
        <f>IF(Offerte!$A78="","",Offerte!$B78)</f>
        <v/>
      </c>
      <c r="C2369" s="48">
        <f>IF(Offerte!$A78="","",Offerte!$C78)</f>
        <v/>
      </c>
      <c r="D2369" s="48" t="inlineStr">
        <is>
          <t>C.1.2</t>
        </is>
      </c>
      <c r="E2369" s="48" t="inlineStr">
        <is>
          <t>C</t>
        </is>
      </c>
      <c r="F2369" s="48" t="inlineStr">
        <is>
          <t>Q</t>
        </is>
      </c>
      <c r="G2369" s="48" t="inlineStr">
        <is>
          <t>higher</t>
        </is>
      </c>
      <c r="H2369" s="48" t="n">
        <v>2</v>
      </c>
      <c r="I2369" s="48" t="inlineStr">
        <is>
          <t>Tasso di copertura del servizio con telecamere ADAS</t>
        </is>
      </c>
      <c r="J2369" s="73" t="n"/>
      <c r="K2369" s="73" t="n"/>
      <c r="L2369" s="73" t="n"/>
      <c r="M2369" s="73" t="n"/>
      <c r="N2369" s="57">
        <f>IF($A2369="","",IFERROR(VALUE($K2369)/VALUE($L2369),IFERROR(VALUE($J2369),0)))</f>
        <v/>
      </c>
      <c r="O2369" s="57">
        <f>IF($A2369="",0,IF(OR($S2369&lt;&gt;1,COUNTA($J2369:$M2369)=0),0,IF(SUMPRODUCT(MAX(($C$5:$C$2484=$C2369)*($D$5:$D$2484=$D2369)*($S$5:$S$2484=1)*IFERROR($N$5:$N$2484*1,0)))&gt;0,ROUND($H2369*($N2369/SUMPRODUCT(MAX(($C$5:$C$2484=$C2369)*($D$5:$D$2484=$D2369)*($S$5:$S$2484=1)*IFERROR($N$5:$N$2484*1,0)))),4),0)))</f>
        <v/>
      </c>
      <c r="P2369" s="48" t="inlineStr">
        <is>
          <t>Autobus attrezzati con telecamere ADAS / Autobus totali in offerta, incluse scorte</t>
        </is>
      </c>
      <c r="Q2369" s="57">
        <f>IF($A2369="","",$A2369&amp;"|"&amp;$C2369)</f>
        <v/>
      </c>
      <c r="R2369" s="57">
        <f>IF($A2369="","",$A2369&amp;"|"&amp;$C2369&amp;"|"&amp;$D2369)</f>
        <v/>
      </c>
      <c r="S2369" s="57">
        <f>IF($A2369="","",IFERROR(INDEX(Offerte!$D$2:$D$81,MATCH($Q2369,Offerte!$L$2:$L$81,0)),0))</f>
        <v/>
      </c>
      <c r="T2369" s="57">
        <f>IF($A2369="","",IFERROR(INDEX(Offerte!$G$2:$G$81,MATCH($Q2369,Offerte!$L$2:$L$81,0)),"NO"))</f>
        <v/>
      </c>
    </row>
    <row r="2370">
      <c r="A2370" s="48">
        <f>IF(Offerte!$A78="","",Offerte!$A78)</f>
        <v/>
      </c>
      <c r="B2370" s="48">
        <f>IF(Offerte!$A78="","",Offerte!$B78)</f>
        <v/>
      </c>
      <c r="C2370" s="48">
        <f>IF(Offerte!$A78="","",Offerte!$C78)</f>
        <v/>
      </c>
      <c r="D2370" s="48" t="inlineStr">
        <is>
          <t>C.2.1</t>
        </is>
      </c>
      <c r="E2370" s="48" t="inlineStr">
        <is>
          <t>C</t>
        </is>
      </c>
      <c r="F2370" s="48" t="inlineStr">
        <is>
          <t>Q</t>
        </is>
      </c>
      <c r="G2370" s="48" t="inlineStr">
        <is>
          <t>higher</t>
        </is>
      </c>
      <c r="H2370" s="48" t="n">
        <v>3</v>
      </c>
      <c r="I2370" s="48" t="inlineStr">
        <is>
          <t>Tasso di copertura del servizio con telecamere di bordo di videosorveglianza</t>
        </is>
      </c>
      <c r="J2370" s="73" t="n"/>
      <c r="K2370" s="73" t="n"/>
      <c r="L2370" s="73" t="n"/>
      <c r="M2370" s="73" t="n"/>
      <c r="N2370" s="57">
        <f>IF($A2370="","",IFERROR(VALUE($K2370)/VALUE($L2370),IFERROR(VALUE($J2370),0)))</f>
        <v/>
      </c>
      <c r="O2370" s="57">
        <f>IF($A2370="",0,IF(OR($S2370&lt;&gt;1,COUNTA($J2370:$M2370)=0),0,IF(SUMPRODUCT(MAX(($C$5:$C$2484=$C2370)*($D$5:$D$2484=$D2370)*($S$5:$S$2484=1)*IFERROR($N$5:$N$2484*1,0)))&gt;0,ROUND($H2370*($N2370/SUMPRODUCT(MAX(($C$5:$C$2484=$C2370)*($D$5:$D$2484=$D2370)*($S$5:$S$2484=1)*IFERROR($N$5:$N$2484*1,0)))),4),0)))</f>
        <v/>
      </c>
      <c r="P2370" s="48" t="inlineStr">
        <is>
          <t>Autobus attrezzati con videosorveglianza / Autobus totali in offerta, incluse scorte</t>
        </is>
      </c>
      <c r="Q2370" s="57">
        <f>IF($A2370="","",$A2370&amp;"|"&amp;$C2370)</f>
        <v/>
      </c>
      <c r="R2370" s="57">
        <f>IF($A2370="","",$A2370&amp;"|"&amp;$C2370&amp;"|"&amp;$D2370)</f>
        <v/>
      </c>
      <c r="S2370" s="57">
        <f>IF($A2370="","",IFERROR(INDEX(Offerte!$D$2:$D$81,MATCH($Q2370,Offerte!$L$2:$L$81,0)),0))</f>
        <v/>
      </c>
      <c r="T2370" s="57">
        <f>IF($A2370="","",IFERROR(INDEX(Offerte!$G$2:$G$81,MATCH($Q2370,Offerte!$L$2:$L$81,0)),"NO"))</f>
        <v/>
      </c>
    </row>
    <row r="2371">
      <c r="A2371" s="48">
        <f>IF(Offerte!$A78="","",Offerte!$A78)</f>
        <v/>
      </c>
      <c r="B2371" s="48">
        <f>IF(Offerte!$A78="","",Offerte!$B78)</f>
        <v/>
      </c>
      <c r="C2371" s="48">
        <f>IF(Offerte!$A78="","",Offerte!$C78)</f>
        <v/>
      </c>
      <c r="D2371" s="48" t="inlineStr">
        <is>
          <t>C.2.2</t>
        </is>
      </c>
      <c r="E2371" s="48" t="inlineStr">
        <is>
          <t>C</t>
        </is>
      </c>
      <c r="F2371" s="48" t="inlineStr">
        <is>
          <t>T</t>
        </is>
      </c>
      <c r="G2371" s="48" t="inlineStr">
        <is>
          <t>tabular</t>
        </is>
      </c>
      <c r="H2371" s="48" t="n">
        <v>1</v>
      </c>
      <c r="I2371" s="48" t="inlineStr">
        <is>
          <t>Software video/audio analisi per situazioni di pericolo</t>
        </is>
      </c>
      <c r="J2371" s="73" t="n"/>
      <c r="K2371" s="73" t="n"/>
      <c r="L2371" s="73" t="n"/>
      <c r="M2371" s="73" t="n"/>
      <c r="N2371" s="57">
        <f>IF($A2371="","",IF(IFERROR(VALUE($M2371),0)=1,1,0))</f>
        <v/>
      </c>
      <c r="O2371" s="57">
        <f>IF($A2371="",0,IF(OR($S2371&lt;&gt;1,COUNTA($J2371:$M2371)=0),0,IF($N2371=1,$H2371,0)))</f>
        <v/>
      </c>
      <c r="P2371" s="48" t="inlineStr">
        <is>
          <t>sì/no</t>
        </is>
      </c>
      <c r="Q2371" s="57">
        <f>IF($A2371="","",$A2371&amp;"|"&amp;$C2371)</f>
        <v/>
      </c>
      <c r="R2371" s="57">
        <f>IF($A2371="","",$A2371&amp;"|"&amp;$C2371&amp;"|"&amp;$D2371)</f>
        <v/>
      </c>
      <c r="S2371" s="57">
        <f>IF($A2371="","",IFERROR(INDEX(Offerte!$D$2:$D$81,MATCH($Q2371,Offerte!$L$2:$L$81,0)),0))</f>
        <v/>
      </c>
      <c r="T2371" s="57">
        <f>IF($A2371="","",IFERROR(INDEX(Offerte!$G$2:$G$81,MATCH($Q2371,Offerte!$L$2:$L$81,0)),"NO"))</f>
        <v/>
      </c>
    </row>
    <row r="2372">
      <c r="A2372" s="48">
        <f>IF(Offerte!$A78="","",Offerte!$A78)</f>
        <v/>
      </c>
      <c r="B2372" s="48">
        <f>IF(Offerte!$A78="","",Offerte!$B78)</f>
        <v/>
      </c>
      <c r="C2372" s="48">
        <f>IF(Offerte!$A78="","",Offerte!$C78)</f>
        <v/>
      </c>
      <c r="D2372" s="48" t="inlineStr">
        <is>
          <t>C.2.3</t>
        </is>
      </c>
      <c r="E2372" s="48" t="inlineStr">
        <is>
          <t>C</t>
        </is>
      </c>
      <c r="F2372" s="48" t="inlineStr">
        <is>
          <t>T</t>
        </is>
      </c>
      <c r="G2372" s="48" t="inlineStr">
        <is>
          <t>tabular</t>
        </is>
      </c>
      <c r="H2372" s="48" t="n">
        <v>1</v>
      </c>
      <c r="I2372" s="48" t="inlineStr">
        <is>
          <t>Collegamento con centrale qualificata di pronto intervento</t>
        </is>
      </c>
      <c r="J2372" s="73" t="n"/>
      <c r="K2372" s="73" t="n"/>
      <c r="L2372" s="73" t="n"/>
      <c r="M2372" s="73" t="n"/>
      <c r="N2372" s="57">
        <f>IF($A2372="","",IF(IFERROR(VALUE($M2372),0)=1,1,0))</f>
        <v/>
      </c>
      <c r="O2372" s="57">
        <f>IF($A2372="",0,IF(OR($S2372&lt;&gt;1,COUNTA($J2372:$M2372)=0),0,IF($N2372=1,$H2372,0)))</f>
        <v/>
      </c>
      <c r="P2372" s="48" t="inlineStr">
        <is>
          <t>sì/no</t>
        </is>
      </c>
      <c r="Q2372" s="57">
        <f>IF($A2372="","",$A2372&amp;"|"&amp;$C2372)</f>
        <v/>
      </c>
      <c r="R2372" s="57">
        <f>IF($A2372="","",$A2372&amp;"|"&amp;$C2372&amp;"|"&amp;$D2372)</f>
        <v/>
      </c>
      <c r="S2372" s="57">
        <f>IF($A2372="","",IFERROR(INDEX(Offerte!$D$2:$D$81,MATCH($Q2372,Offerte!$L$2:$L$81,0)),0))</f>
        <v/>
      </c>
      <c r="T2372" s="57">
        <f>IF($A2372="","",IFERROR(INDEX(Offerte!$G$2:$G$81,MATCH($Q2372,Offerte!$L$2:$L$81,0)),"NO"))</f>
        <v/>
      </c>
    </row>
    <row r="2373">
      <c r="A2373" s="48">
        <f>IF(Offerte!$A78="","",Offerte!$A78)</f>
        <v/>
      </c>
      <c r="B2373" s="48">
        <f>IF(Offerte!$A78="","",Offerte!$B78)</f>
        <v/>
      </c>
      <c r="C2373" s="48">
        <f>IF(Offerte!$A78="","",Offerte!$C78)</f>
        <v/>
      </c>
      <c r="D2373" s="48" t="inlineStr">
        <is>
          <t>C.2.4</t>
        </is>
      </c>
      <c r="E2373" s="48" t="inlineStr">
        <is>
          <t>C</t>
        </is>
      </c>
      <c r="F2373" s="48" t="inlineStr">
        <is>
          <t>Q</t>
        </is>
      </c>
      <c r="G2373" s="48" t="inlineStr">
        <is>
          <t>higher</t>
        </is>
      </c>
      <c r="H2373" s="48" t="n">
        <v>1</v>
      </c>
      <c r="I2373" s="48" t="inlineStr">
        <is>
          <t>Tasso di copertura del servizio con dispositivi per la chiamata di emergenza del conducente</t>
        </is>
      </c>
      <c r="J2373" s="73" t="n"/>
      <c r="K2373" s="73" t="n"/>
      <c r="L2373" s="73" t="n"/>
      <c r="M2373" s="73" t="n"/>
      <c r="N2373" s="57">
        <f>IF($A2373="","",IFERROR(VALUE($K2373)/VALUE($L2373),IFERROR(VALUE($J2373),0)))</f>
        <v/>
      </c>
      <c r="O2373" s="57">
        <f>IF($A2373="",0,IF(OR($S2373&lt;&gt;1,COUNTA($J2373:$M2373)=0),0,IF(SUMPRODUCT(MAX(($C$5:$C$2484=$C2373)*($D$5:$D$2484=$D2373)*($S$5:$S$2484=1)*IFERROR($N$5:$N$2484*1,0)))&gt;0,ROUND($H2373*($N2373/SUMPRODUCT(MAX(($C$5:$C$2484=$C2373)*($D$5:$D$2484=$D2373)*($S$5:$S$2484=1)*IFERROR($N$5:$N$2484*1,0)))),4),0)))</f>
        <v/>
      </c>
      <c r="P2373" s="48" t="inlineStr">
        <is>
          <t>Autobus attrezzati con chiamata di emergenza / Autobus totali in offerta, incluse scorte</t>
        </is>
      </c>
      <c r="Q2373" s="57">
        <f>IF($A2373="","",$A2373&amp;"|"&amp;$C2373)</f>
        <v/>
      </c>
      <c r="R2373" s="57">
        <f>IF($A2373="","",$A2373&amp;"|"&amp;$C2373&amp;"|"&amp;$D2373)</f>
        <v/>
      </c>
      <c r="S2373" s="57">
        <f>IF($A2373="","",IFERROR(INDEX(Offerte!$D$2:$D$81,MATCH($Q2373,Offerte!$L$2:$L$81,0)),0))</f>
        <v/>
      </c>
      <c r="T2373" s="57">
        <f>IF($A2373="","",IFERROR(INDEX(Offerte!$G$2:$G$81,MATCH($Q2373,Offerte!$L$2:$L$81,0)),"NO"))</f>
        <v/>
      </c>
    </row>
    <row r="2374">
      <c r="A2374" s="48">
        <f>IF(Offerte!$A78="","",Offerte!$A78)</f>
        <v/>
      </c>
      <c r="B2374" s="48">
        <f>IF(Offerte!$A78="","",Offerte!$B78)</f>
        <v/>
      </c>
      <c r="C2374" s="48">
        <f>IF(Offerte!$A78="","",Offerte!$C78)</f>
        <v/>
      </c>
      <c r="D2374" s="48" t="inlineStr">
        <is>
          <t>C.3.1</t>
        </is>
      </c>
      <c r="E2374" s="48" t="inlineStr">
        <is>
          <t>C</t>
        </is>
      </c>
      <c r="F2374" s="48" t="inlineStr">
        <is>
          <t>Q</t>
        </is>
      </c>
      <c r="G2374" s="48" t="inlineStr">
        <is>
          <t>higher</t>
        </is>
      </c>
      <c r="H2374" s="48" t="n">
        <v>2</v>
      </c>
      <c r="I2374" s="48" t="inlineStr">
        <is>
          <t>Tasso di copertura del servizio con dispositivi di informazione dinamica a bordo mezzo</t>
        </is>
      </c>
      <c r="J2374" s="73" t="n"/>
      <c r="K2374" s="73" t="n"/>
      <c r="L2374" s="73" t="n"/>
      <c r="M2374" s="73" t="n"/>
      <c r="N2374" s="57">
        <f>IF($A2374="","",IFERROR(VALUE($K2374)/VALUE($L2374),IFERROR(VALUE($J2374),0)))</f>
        <v/>
      </c>
      <c r="O2374" s="57">
        <f>IF($A2374="",0,IF(OR($S2374&lt;&gt;1,COUNTA($J2374:$M2374)=0),0,IF(SUMPRODUCT(MAX(($C$5:$C$2484=$C2374)*($D$5:$D$2484=$D2374)*($S$5:$S$2484=1)*IFERROR($N$5:$N$2484*1,0)))&gt;0,ROUND($H2374*($N2374/SUMPRODUCT(MAX(($C$5:$C$2484=$C2374)*($D$5:$D$2484=$D2374)*($S$5:$S$2484=1)*IFERROR($N$5:$N$2484*1,0)))),4),0)))</f>
        <v/>
      </c>
      <c r="P2374" s="48" t="inlineStr">
        <is>
          <t>Autobus con monitor e indicatori vocali / Autobus totali in offerta, incluse scorte</t>
        </is>
      </c>
      <c r="Q2374" s="57">
        <f>IF($A2374="","",$A2374&amp;"|"&amp;$C2374)</f>
        <v/>
      </c>
      <c r="R2374" s="57">
        <f>IF($A2374="","",$A2374&amp;"|"&amp;$C2374&amp;"|"&amp;$D2374)</f>
        <v/>
      </c>
      <c r="S2374" s="57">
        <f>IF($A2374="","",IFERROR(INDEX(Offerte!$D$2:$D$81,MATCH($Q2374,Offerte!$L$2:$L$81,0)),0))</f>
        <v/>
      </c>
      <c r="T2374" s="57">
        <f>IF($A2374="","",IFERROR(INDEX(Offerte!$G$2:$G$81,MATCH($Q2374,Offerte!$L$2:$L$81,0)),"NO"))</f>
        <v/>
      </c>
    </row>
    <row r="2375">
      <c r="A2375" s="48">
        <f>IF(Offerte!$A78="","",Offerte!$A78)</f>
        <v/>
      </c>
      <c r="B2375" s="48">
        <f>IF(Offerte!$A78="","",Offerte!$B78)</f>
        <v/>
      </c>
      <c r="C2375" s="48">
        <f>IF(Offerte!$A78="","",Offerte!$C78)</f>
        <v/>
      </c>
      <c r="D2375" s="48" t="inlineStr">
        <is>
          <t>C.3.2</t>
        </is>
      </c>
      <c r="E2375" s="48" t="inlineStr">
        <is>
          <t>C</t>
        </is>
      </c>
      <c r="F2375" s="48" t="inlineStr">
        <is>
          <t>T</t>
        </is>
      </c>
      <c r="G2375" s="48" t="inlineStr">
        <is>
          <t>tabular</t>
        </is>
      </c>
      <c r="H2375" s="48" t="n">
        <v>2</v>
      </c>
      <c r="I2375" s="48" t="inlineStr">
        <is>
          <t>Informazioni a bordo su coincidenze ai nodi</t>
        </is>
      </c>
      <c r="J2375" s="73" t="n"/>
      <c r="K2375" s="73" t="n"/>
      <c r="L2375" s="73" t="n"/>
      <c r="M2375" s="73" t="n"/>
      <c r="N2375" s="57">
        <f>IF($A2375="","",IF(IFERROR(VALUE($M2375),0)=1,1,0))</f>
        <v/>
      </c>
      <c r="O2375" s="57">
        <f>IF($A2375="",0,IF(OR($S2375&lt;&gt;1,COUNTA($J2375:$M2375)=0),0,IF(AND($N2375=1,IFERROR(SUMIFS($N$5:$N$2484,$Q$5:$Q$2484,$Q2375,$D$5:$D$2484,"C.3.1"),0)&gt;=0.5),$H2375,0)))</f>
        <v/>
      </c>
      <c r="P2375" s="48" t="inlineStr">
        <is>
          <t>Dipende da C.3.1 &gt;= 0.5</t>
        </is>
      </c>
      <c r="Q2375" s="57">
        <f>IF($A2375="","",$A2375&amp;"|"&amp;$C2375)</f>
        <v/>
      </c>
      <c r="R2375" s="57">
        <f>IF($A2375="","",$A2375&amp;"|"&amp;$C2375&amp;"|"&amp;$D2375)</f>
        <v/>
      </c>
      <c r="S2375" s="57">
        <f>IF($A2375="","",IFERROR(INDEX(Offerte!$D$2:$D$81,MATCH($Q2375,Offerte!$L$2:$L$81,0)),0))</f>
        <v/>
      </c>
      <c r="T2375" s="57">
        <f>IF($A2375="","",IFERROR(INDEX(Offerte!$G$2:$G$81,MATCH($Q2375,Offerte!$L$2:$L$81,0)),"NO"))</f>
        <v/>
      </c>
    </row>
    <row r="2376">
      <c r="A2376" s="48">
        <f>IF(Offerte!$A78="","",Offerte!$A78)</f>
        <v/>
      </c>
      <c r="B2376" s="48">
        <f>IF(Offerte!$A78="","",Offerte!$B78)</f>
        <v/>
      </c>
      <c r="C2376" s="48">
        <f>IF(Offerte!$A78="","",Offerte!$C78)</f>
        <v/>
      </c>
      <c r="D2376" s="48" t="inlineStr">
        <is>
          <t>D.1.1</t>
        </is>
      </c>
      <c r="E2376" s="48" t="inlineStr">
        <is>
          <t>D</t>
        </is>
      </c>
      <c r="F2376" s="48" t="inlineStr">
        <is>
          <t>Q</t>
        </is>
      </c>
      <c r="G2376" s="48" t="inlineStr">
        <is>
          <t>higher</t>
        </is>
      </c>
      <c r="H2376" s="48" t="n">
        <v>3</v>
      </c>
      <c r="I2376" s="48" t="inlineStr">
        <is>
          <t>Installazione di pensiline</t>
        </is>
      </c>
      <c r="J2376" s="73" t="n"/>
      <c r="K2376" s="73" t="n"/>
      <c r="L2376" s="73" t="n"/>
      <c r="M2376" s="73" t="n"/>
      <c r="N2376" s="57">
        <f>IF($A2376="","",IFERROR(VALUE($J2376),0))</f>
        <v/>
      </c>
      <c r="O2376" s="57">
        <f>IF($A2376="",0,IF(OR($S2376&lt;&gt;1,COUNTA($J2376:$M2376)=0),0,IF(SUMPRODUCT(MAX(($C$5:$C$2484=$C2376)*($D$5:$D$2484=$D2376)*($S$5:$S$2484=1)*IFERROR($N$5:$N$2484*1,0)))&gt;0,ROUND($H2376*($N2376/SUMPRODUCT(MAX(($C$5:$C$2484=$C2376)*($D$5:$D$2484=$D2376)*($S$5:$S$2484=1)*IFERROR($N$5:$N$2484*1,0)))),4),0)))</f>
        <v/>
      </c>
      <c r="P2376" s="48" t="inlineStr">
        <is>
          <t>fermate</t>
        </is>
      </c>
      <c r="Q2376" s="57">
        <f>IF($A2376="","",$A2376&amp;"|"&amp;$C2376)</f>
        <v/>
      </c>
      <c r="R2376" s="57">
        <f>IF($A2376="","",$A2376&amp;"|"&amp;$C2376&amp;"|"&amp;$D2376)</f>
        <v/>
      </c>
      <c r="S2376" s="57">
        <f>IF($A2376="","",IFERROR(INDEX(Offerte!$D$2:$D$81,MATCH($Q2376,Offerte!$L$2:$L$81,0)),0))</f>
        <v/>
      </c>
      <c r="T2376" s="57">
        <f>IF($A2376="","",IFERROR(INDEX(Offerte!$G$2:$G$81,MATCH($Q2376,Offerte!$L$2:$L$81,0)),"NO"))</f>
        <v/>
      </c>
    </row>
    <row r="2377">
      <c r="A2377" s="48">
        <f>IF(Offerte!$A78="","",Offerte!$A78)</f>
        <v/>
      </c>
      <c r="B2377" s="48">
        <f>IF(Offerte!$A78="","",Offerte!$B78)</f>
        <v/>
      </c>
      <c r="C2377" s="48">
        <f>IF(Offerte!$A78="","",Offerte!$C78)</f>
        <v/>
      </c>
      <c r="D2377" s="48" t="inlineStr">
        <is>
          <t>D.1.2</t>
        </is>
      </c>
      <c r="E2377" s="48" t="inlineStr">
        <is>
          <t>D</t>
        </is>
      </c>
      <c r="F2377" s="48" t="inlineStr">
        <is>
          <t>Q</t>
        </is>
      </c>
      <c r="G2377" s="48" t="inlineStr">
        <is>
          <t>higher</t>
        </is>
      </c>
      <c r="H2377" s="48" t="n">
        <v>3</v>
      </c>
      <c r="I2377" s="48" t="inlineStr">
        <is>
          <t>Installazione di paline di fermata conformi alla DGR 581/2023</t>
        </is>
      </c>
      <c r="J2377" s="73" t="n"/>
      <c r="K2377" s="73" t="n"/>
      <c r="L2377" s="73" t="n"/>
      <c r="M2377" s="73" t="n"/>
      <c r="N2377" s="57">
        <f>IF($A2377="","",IFERROR(VALUE($J2377),0))</f>
        <v/>
      </c>
      <c r="O2377" s="57">
        <f>IF($A2377="",0,IF(OR($S2377&lt;&gt;1,COUNTA($J2377:$M2377)=0),0,IF(SUMPRODUCT(MAX(($C$5:$C$2484=$C2377)*($D$5:$D$2484=$D2377)*($S$5:$S$2484=1)*IFERROR($N$5:$N$2484*1,0)))&gt;0,ROUND($H2377*($N2377/SUMPRODUCT(MAX(($C$5:$C$2484=$C2377)*($D$5:$D$2484=$D2377)*($S$5:$S$2484=1)*IFERROR($N$5:$N$2484*1,0)))),4),0)))</f>
        <v/>
      </c>
      <c r="P2377" s="48" t="inlineStr">
        <is>
          <t>fermate</t>
        </is>
      </c>
      <c r="Q2377" s="57">
        <f>IF($A2377="","",$A2377&amp;"|"&amp;$C2377)</f>
        <v/>
      </c>
      <c r="R2377" s="57">
        <f>IF($A2377="","",$A2377&amp;"|"&amp;$C2377&amp;"|"&amp;$D2377)</f>
        <v/>
      </c>
      <c r="S2377" s="57">
        <f>IF($A2377="","",IFERROR(INDEX(Offerte!$D$2:$D$81,MATCH($Q2377,Offerte!$L$2:$L$81,0)),0))</f>
        <v/>
      </c>
      <c r="T2377" s="57">
        <f>IF($A2377="","",IFERROR(INDEX(Offerte!$G$2:$G$81,MATCH($Q2377,Offerte!$L$2:$L$81,0)),"NO"))</f>
        <v/>
      </c>
    </row>
    <row r="2378">
      <c r="A2378" s="48">
        <f>IF(Offerte!$A78="","",Offerte!$A78)</f>
        <v/>
      </c>
      <c r="B2378" s="48">
        <f>IF(Offerte!$A78="","",Offerte!$B78)</f>
        <v/>
      </c>
      <c r="C2378" s="48">
        <f>IF(Offerte!$A78="","",Offerte!$C78)</f>
        <v/>
      </c>
      <c r="D2378" s="48" t="inlineStr">
        <is>
          <t>D.1.3</t>
        </is>
      </c>
      <c r="E2378" s="48" t="inlineStr">
        <is>
          <t>D</t>
        </is>
      </c>
      <c r="F2378" s="48" t="inlineStr">
        <is>
          <t>Q</t>
        </is>
      </c>
      <c r="G2378" s="48" t="inlineStr">
        <is>
          <t>higher</t>
        </is>
      </c>
      <c r="H2378" s="48" t="n">
        <v>2</v>
      </c>
      <c r="I2378" s="48" t="inlineStr">
        <is>
          <t>Display informativi connessi alle fermate</t>
        </is>
      </c>
      <c r="J2378" s="73" t="n"/>
      <c r="K2378" s="73" t="n"/>
      <c r="L2378" s="73" t="n"/>
      <c r="M2378" s="73" t="n"/>
      <c r="N2378" s="57">
        <f>IF($A2378="","",IFERROR(VALUE($J2378),0))</f>
        <v/>
      </c>
      <c r="O2378" s="57">
        <f>IF($A2378="",0,IF(OR($S2378&lt;&gt;1,COUNTA($J2378:$M2378)=0),0,IF(SUMPRODUCT(MAX(($C$5:$C$2484=$C2378)*($D$5:$D$2484=$D2378)*($S$5:$S$2484=1)*IFERROR($N$5:$N$2484*1,0)))&gt;0,ROUND($H2378*($N2378/SUMPRODUCT(MAX(($C$5:$C$2484=$C2378)*($D$5:$D$2484=$D2378)*($S$5:$S$2484=1)*IFERROR($N$5:$N$2484*1,0)))),4),0)))</f>
        <v/>
      </c>
      <c r="P2378" s="48" t="inlineStr">
        <is>
          <t>fermate</t>
        </is>
      </c>
      <c r="Q2378" s="57">
        <f>IF($A2378="","",$A2378&amp;"|"&amp;$C2378)</f>
        <v/>
      </c>
      <c r="R2378" s="57">
        <f>IF($A2378="","",$A2378&amp;"|"&amp;$C2378&amp;"|"&amp;$D2378)</f>
        <v/>
      </c>
      <c r="S2378" s="57">
        <f>IF($A2378="","",IFERROR(INDEX(Offerte!$D$2:$D$81,MATCH($Q2378,Offerte!$L$2:$L$81,0)),0))</f>
        <v/>
      </c>
      <c r="T2378" s="57">
        <f>IF($A2378="","",IFERROR(INDEX(Offerte!$G$2:$G$81,MATCH($Q2378,Offerte!$L$2:$L$81,0)),"NO"))</f>
        <v/>
      </c>
    </row>
    <row r="2379">
      <c r="A2379" s="48">
        <f>IF(Offerte!$A78="","",Offerte!$A78)</f>
        <v/>
      </c>
      <c r="B2379" s="48">
        <f>IF(Offerte!$A78="","",Offerte!$B78)</f>
        <v/>
      </c>
      <c r="C2379" s="48">
        <f>IF(Offerte!$A78="","",Offerte!$C78)</f>
        <v/>
      </c>
      <c r="D2379" s="48" t="inlineStr">
        <is>
          <t>D.2.1</t>
        </is>
      </c>
      <c r="E2379" s="48" t="inlineStr">
        <is>
          <t>D</t>
        </is>
      </c>
      <c r="F2379" s="48" t="inlineStr">
        <is>
          <t>Q</t>
        </is>
      </c>
      <c r="G2379" s="48" t="inlineStr">
        <is>
          <t>higher</t>
        </is>
      </c>
      <c r="H2379" s="48" t="n">
        <v>2</v>
      </c>
      <c r="I2379" s="48" t="inlineStr">
        <is>
          <t>Segnali tattili Loges-Vet-Evolution</t>
        </is>
      </c>
      <c r="J2379" s="73" t="n"/>
      <c r="K2379" s="73" t="n"/>
      <c r="L2379" s="73" t="n"/>
      <c r="M2379" s="73" t="n"/>
      <c r="N2379" s="57">
        <f>IF($A2379="","",IFERROR(VALUE($J2379),0))</f>
        <v/>
      </c>
      <c r="O2379" s="57">
        <f>IF($A2379="",0,IF(OR($S2379&lt;&gt;1,COUNTA($J2379:$M2379)=0),0,IF(SUMPRODUCT(MAX(($C$5:$C$2484=$C2379)*($D$5:$D$2484=$D2379)*($S$5:$S$2484=1)*IFERROR($N$5:$N$2484*1,0)))&gt;0,ROUND($H2379*($N2379/SUMPRODUCT(MAX(($C$5:$C$2484=$C2379)*($D$5:$D$2484=$D2379)*($S$5:$S$2484=1)*IFERROR($N$5:$N$2484*1,0)))),4),0)))</f>
        <v/>
      </c>
      <c r="P2379" s="48" t="inlineStr">
        <is>
          <t>fermate</t>
        </is>
      </c>
      <c r="Q2379" s="57">
        <f>IF($A2379="","",$A2379&amp;"|"&amp;$C2379)</f>
        <v/>
      </c>
      <c r="R2379" s="57">
        <f>IF($A2379="","",$A2379&amp;"|"&amp;$C2379&amp;"|"&amp;$D2379)</f>
        <v/>
      </c>
      <c r="S2379" s="57">
        <f>IF($A2379="","",IFERROR(INDEX(Offerte!$D$2:$D$81,MATCH($Q2379,Offerte!$L$2:$L$81,0)),0))</f>
        <v/>
      </c>
      <c r="T2379" s="57">
        <f>IF($A2379="","",IFERROR(INDEX(Offerte!$G$2:$G$81,MATCH($Q2379,Offerte!$L$2:$L$81,0)),"NO"))</f>
        <v/>
      </c>
    </row>
    <row r="2380">
      <c r="A2380" s="48">
        <f>IF(Offerte!$A78="","",Offerte!$A78)</f>
        <v/>
      </c>
      <c r="B2380" s="48">
        <f>IF(Offerte!$A78="","",Offerte!$B78)</f>
        <v/>
      </c>
      <c r="C2380" s="48">
        <f>IF(Offerte!$A78="","",Offerte!$C78)</f>
        <v/>
      </c>
      <c r="D2380" s="48" t="inlineStr">
        <is>
          <t>E.1.1</t>
        </is>
      </c>
      <c r="E2380" s="48" t="inlineStr">
        <is>
          <t>E</t>
        </is>
      </c>
      <c r="F2380" s="48" t="inlineStr">
        <is>
          <t>T</t>
        </is>
      </c>
      <c r="G2380" s="48" t="inlineStr">
        <is>
          <t>tabular</t>
        </is>
      </c>
      <c r="H2380" s="48" t="n">
        <v>2</v>
      </c>
      <c r="I2380" s="48" t="inlineStr">
        <is>
          <t>Mobile app con travel planner PRM</t>
        </is>
      </c>
      <c r="J2380" s="73" t="n"/>
      <c r="K2380" s="73" t="n"/>
      <c r="L2380" s="73" t="n"/>
      <c r="M2380" s="73" t="n"/>
      <c r="N2380" s="57">
        <f>IF($A2380="","",IF(IFERROR(VALUE($M2380),0)=1,1,0))</f>
        <v/>
      </c>
      <c r="O2380" s="57">
        <f>IF($A2380="",0,IF(OR($S2380&lt;&gt;1,COUNTA($J2380:$M2380)=0),0,IF($N2380=1,$H2380,0)))</f>
        <v/>
      </c>
      <c r="P2380" s="48" t="inlineStr">
        <is>
          <t>sì/no</t>
        </is>
      </c>
      <c r="Q2380" s="57">
        <f>IF($A2380="","",$A2380&amp;"|"&amp;$C2380)</f>
        <v/>
      </c>
      <c r="R2380" s="57">
        <f>IF($A2380="","",$A2380&amp;"|"&amp;$C2380&amp;"|"&amp;$D2380)</f>
        <v/>
      </c>
      <c r="S2380" s="57">
        <f>IF($A2380="","",IFERROR(INDEX(Offerte!$D$2:$D$81,MATCH($Q2380,Offerte!$L$2:$L$81,0)),0))</f>
        <v/>
      </c>
      <c r="T2380" s="57">
        <f>IF($A2380="","",IFERROR(INDEX(Offerte!$G$2:$G$81,MATCH($Q2380,Offerte!$L$2:$L$81,0)),"NO"))</f>
        <v/>
      </c>
    </row>
    <row r="2381">
      <c r="A2381" s="48">
        <f>IF(Offerte!$A78="","",Offerte!$A78)</f>
        <v/>
      </c>
      <c r="B2381" s="48">
        <f>IF(Offerte!$A78="","",Offerte!$B78)</f>
        <v/>
      </c>
      <c r="C2381" s="48">
        <f>IF(Offerte!$A78="","",Offerte!$C78)</f>
        <v/>
      </c>
      <c r="D2381" s="48" t="inlineStr">
        <is>
          <t>E.2.1</t>
        </is>
      </c>
      <c r="E2381" s="48" t="inlineStr">
        <is>
          <t>E</t>
        </is>
      </c>
      <c r="F2381" s="48" t="inlineStr">
        <is>
          <t>D</t>
        </is>
      </c>
      <c r="G2381" s="48" t="inlineStr">
        <is>
          <t>discretionary</t>
        </is>
      </c>
      <c r="H2381" s="48" t="n">
        <v>2</v>
      </c>
      <c r="I2381" s="48" t="inlineStr">
        <is>
          <t>Altre azioni informative e rapporti con gli utenti</t>
        </is>
      </c>
      <c r="J2381" s="73" t="n"/>
      <c r="K2381" s="73" t="n"/>
      <c r="L2381" s="73" t="n"/>
      <c r="M2381" s="73" t="n"/>
      <c r="N2381" s="57">
        <f>IF($A2381="","",MAX(0,MIN(1,IFERROR(VALUE($M2381),0))))</f>
        <v/>
      </c>
      <c r="O2381" s="57">
        <f>IF($A2381="",0,IF(OR($S2381&lt;&gt;1,COUNTA($J2381:$M2381)=0),0,IF(SUMPRODUCT(MAX(($C$5:$C$2484=$C2381)*($D$5:$D$2484=$D2381)*($S$5:$S$2484=1)*IFERROR($N$5:$N$2484*1,0)))&gt;0,ROUND($H2381*($N2381/SUMPRODUCT(MAX(($C$5:$C$2484=$C2381)*($D$5:$D$2484=$D2381)*($S$5:$S$2484=1)*IFERROR($N$5:$N$2484*1,0)))),4),0)))</f>
        <v/>
      </c>
      <c r="P2381" s="48" t="inlineStr">
        <is>
          <t>coeff.</t>
        </is>
      </c>
      <c r="Q2381" s="57">
        <f>IF($A2381="","",$A2381&amp;"|"&amp;$C2381)</f>
        <v/>
      </c>
      <c r="R2381" s="57">
        <f>IF($A2381="","",$A2381&amp;"|"&amp;$C2381&amp;"|"&amp;$D2381)</f>
        <v/>
      </c>
      <c r="S2381" s="57">
        <f>IF($A2381="","",IFERROR(INDEX(Offerte!$D$2:$D$81,MATCH($Q2381,Offerte!$L$2:$L$81,0)),0))</f>
        <v/>
      </c>
      <c r="T2381" s="57">
        <f>IF($A2381="","",IFERROR(INDEX(Offerte!$G$2:$G$81,MATCH($Q2381,Offerte!$L$2:$L$81,0)),"NO"))</f>
        <v/>
      </c>
    </row>
    <row r="2382">
      <c r="A2382" s="48">
        <f>IF(Offerte!$A78="","",Offerte!$A78)</f>
        <v/>
      </c>
      <c r="B2382" s="48">
        <f>IF(Offerte!$A78="","",Offerte!$B78)</f>
        <v/>
      </c>
      <c r="C2382" s="48">
        <f>IF(Offerte!$A78="","",Offerte!$C78)</f>
        <v/>
      </c>
      <c r="D2382" s="48" t="inlineStr">
        <is>
          <t>F.1.1</t>
        </is>
      </c>
      <c r="E2382" s="48" t="inlineStr">
        <is>
          <t>F</t>
        </is>
      </c>
      <c r="F2382" s="48" t="inlineStr">
        <is>
          <t>Q</t>
        </is>
      </c>
      <c r="G2382" s="48" t="inlineStr">
        <is>
          <t>lower</t>
        </is>
      </c>
      <c r="H2382" s="48" t="n">
        <v>7</v>
      </c>
      <c r="I2382" s="48" t="inlineStr">
        <is>
          <t>Performance ambientali del parco mezzi adibito al servizio - I_CEA</t>
        </is>
      </c>
      <c r="J2382" s="73" t="n"/>
      <c r="K2382" s="73" t="n"/>
      <c r="L2382" s="73" t="n"/>
      <c r="M2382" s="73" t="n"/>
      <c r="N2382" s="57">
        <f>IF($A2382="","",IFERROR(VALUE($J2382),0))</f>
        <v/>
      </c>
      <c r="O2382" s="57">
        <f>IF($A2382="",0,IF(OR($S2382&lt;&gt;1,COUNTA($J2382:$M2382)=0),0,IF(AND(IFERROR(AGGREGATE(15,6,$N$5:$N$2484/(($C$5:$C$2484=$C2382)*($D$5:$D$2484=$D2382)*($S$5:$S$2484=1)*($N$5:$N$2484&gt;0)),1),0)&gt;0,$N2382&gt;0),ROUND($H2382*(IFERROR(AGGREGATE(15,6,$N$5:$N$2484/(($C$5:$C$2484=$C2382)*($D$5:$D$2484=$D2382)*($S$5:$S$2484=1)*($N$5:$N$2484&gt;0)),1),0)/$N2382),4),0)))</f>
        <v/>
      </c>
      <c r="P2382" s="48" t="inlineStr">
        <is>
          <t>indice</t>
        </is>
      </c>
      <c r="Q2382" s="57">
        <f>IF($A2382="","",$A2382&amp;"|"&amp;$C2382)</f>
        <v/>
      </c>
      <c r="R2382" s="57">
        <f>IF($A2382="","",$A2382&amp;"|"&amp;$C2382&amp;"|"&amp;$D2382)</f>
        <v/>
      </c>
      <c r="S2382" s="57">
        <f>IF($A2382="","",IFERROR(INDEX(Offerte!$D$2:$D$81,MATCH($Q2382,Offerte!$L$2:$L$81,0)),0))</f>
        <v/>
      </c>
      <c r="T2382" s="57">
        <f>IF($A2382="","",IFERROR(INDEX(Offerte!$G$2:$G$81,MATCH($Q2382,Offerte!$L$2:$L$81,0)),"NO"))</f>
        <v/>
      </c>
    </row>
    <row r="2383">
      <c r="A2383" s="48">
        <f>IF(Offerte!$A78="","",Offerte!$A78)</f>
        <v/>
      </c>
      <c r="B2383" s="48">
        <f>IF(Offerte!$A78="","",Offerte!$B78)</f>
        <v/>
      </c>
      <c r="C2383" s="48">
        <f>IF(Offerte!$A78="","",Offerte!$C78)</f>
        <v/>
      </c>
      <c r="D2383" s="48" t="inlineStr">
        <is>
          <t>F.2.1</t>
        </is>
      </c>
      <c r="E2383" s="48" t="inlineStr">
        <is>
          <t>F</t>
        </is>
      </c>
      <c r="F2383" s="48" t="inlineStr">
        <is>
          <t>Q</t>
        </is>
      </c>
      <c r="G2383" s="48" t="inlineStr">
        <is>
          <t>higher</t>
        </is>
      </c>
      <c r="H2383" s="48" t="n">
        <v>2</v>
      </c>
      <c r="I2383" s="48" t="inlineStr">
        <is>
          <t>Tasso di copertura del servizio con dispositivi ECO-DRIVER</t>
        </is>
      </c>
      <c r="J2383" s="73" t="n"/>
      <c r="K2383" s="73" t="n"/>
      <c r="L2383" s="73" t="n"/>
      <c r="M2383" s="73" t="n"/>
      <c r="N2383" s="57">
        <f>IF($A2383="","",IFERROR(VALUE($K2383)/VALUE($L2383),IFERROR(VALUE($J2383),0)))</f>
        <v/>
      </c>
      <c r="O2383" s="57">
        <f>IF($A2383="",0,IF(OR($S2383&lt;&gt;1,COUNTA($J2383:$M2383)=0),0,IF(SUMPRODUCT(MAX(($C$5:$C$2484=$C2383)*($D$5:$D$2484=$D2383)*($S$5:$S$2484=1)*IFERROR($N$5:$N$2484*1,0)))&gt;0,ROUND($H2383*($N2383/SUMPRODUCT(MAX(($C$5:$C$2484=$C2383)*($D$5:$D$2484=$D2383)*($S$5:$S$2484=1)*IFERROR($N$5:$N$2484*1,0)))),4),0)))</f>
        <v/>
      </c>
      <c r="P2383" s="48" t="inlineStr">
        <is>
          <t>Autobus attrezzati con dispositivi ECO-DRIVER / Autobus totali in offerta, incluse scorte</t>
        </is>
      </c>
      <c r="Q2383" s="57">
        <f>IF($A2383="","",$A2383&amp;"|"&amp;$C2383)</f>
        <v/>
      </c>
      <c r="R2383" s="57">
        <f>IF($A2383="","",$A2383&amp;"|"&amp;$C2383&amp;"|"&amp;$D2383)</f>
        <v/>
      </c>
      <c r="S2383" s="57">
        <f>IF($A2383="","",IFERROR(INDEX(Offerte!$D$2:$D$81,MATCH($Q2383,Offerte!$L$2:$L$81,0)),0))</f>
        <v/>
      </c>
      <c r="T2383" s="57">
        <f>IF($A2383="","",IFERROR(INDEX(Offerte!$G$2:$G$81,MATCH($Q2383,Offerte!$L$2:$L$81,0)),"NO"))</f>
        <v/>
      </c>
    </row>
    <row r="2384">
      <c r="A2384" s="48">
        <f>IF(Offerte!$A78="","",Offerte!$A78)</f>
        <v/>
      </c>
      <c r="B2384" s="48">
        <f>IF(Offerte!$A78="","",Offerte!$B78)</f>
        <v/>
      </c>
      <c r="C2384" s="48">
        <f>IF(Offerte!$A78="","",Offerte!$C78)</f>
        <v/>
      </c>
      <c r="D2384" s="48" t="inlineStr">
        <is>
          <t>F.3.1</t>
        </is>
      </c>
      <c r="E2384" s="48" t="inlineStr">
        <is>
          <t>F</t>
        </is>
      </c>
      <c r="F2384" s="48" t="inlineStr">
        <is>
          <t>Q</t>
        </is>
      </c>
      <c r="G2384" s="48" t="inlineStr">
        <is>
          <t>higher</t>
        </is>
      </c>
      <c r="H2384" s="48" t="n">
        <v>2</v>
      </c>
      <c r="I2384" s="48" t="inlineStr">
        <is>
          <t>Autoproduzione consumi elettrici per trazione</t>
        </is>
      </c>
      <c r="J2384" s="73" t="n"/>
      <c r="K2384" s="73" t="n"/>
      <c r="L2384" s="73" t="n"/>
      <c r="M2384" s="73" t="n"/>
      <c r="N2384" s="57">
        <f>IF($A2384="","",IFERROR(VALUE($J2384),0))</f>
        <v/>
      </c>
      <c r="O2384" s="57">
        <f>IF($A2384="",0,IF(OR($S2384&lt;&gt;1,COUNTA($J2384:$M2384)=0),0,IF(SUMPRODUCT(MAX(($C$5:$C$2484=$C2384)*($D$5:$D$2484=$D2384)*($S$5:$S$2484=1)*IFERROR($N$5:$N$2484*1,0)))&gt;0,ROUND($H2384*($N2384/SUMPRODUCT(MAX(($C$5:$C$2484=$C2384)*($D$5:$D$2484=$D2384)*($S$5:$S$2484=1)*IFERROR($N$5:$N$2484*1,0)))),4),0)))</f>
        <v/>
      </c>
      <c r="P2384" s="48" t="inlineStr">
        <is>
          <t>kWh/anno</t>
        </is>
      </c>
      <c r="Q2384" s="57">
        <f>IF($A2384="","",$A2384&amp;"|"&amp;$C2384)</f>
        <v/>
      </c>
      <c r="R2384" s="57">
        <f>IF($A2384="","",$A2384&amp;"|"&amp;$C2384&amp;"|"&amp;$D2384)</f>
        <v/>
      </c>
      <c r="S2384" s="57">
        <f>IF($A2384="","",IFERROR(INDEX(Offerte!$D$2:$D$81,MATCH($Q2384,Offerte!$L$2:$L$81,0)),0))</f>
        <v/>
      </c>
      <c r="T2384" s="57">
        <f>IF($A2384="","",IFERROR(INDEX(Offerte!$G$2:$G$81,MATCH($Q2384,Offerte!$L$2:$L$81,0)),"NO"))</f>
        <v/>
      </c>
    </row>
    <row r="2385">
      <c r="A2385" s="48">
        <f>IF(Offerte!$A78="","",Offerte!$A78)</f>
        <v/>
      </c>
      <c r="B2385" s="48">
        <f>IF(Offerte!$A78="","",Offerte!$B78)</f>
        <v/>
      </c>
      <c r="C2385" s="48">
        <f>IF(Offerte!$A78="","",Offerte!$C78)</f>
        <v/>
      </c>
      <c r="D2385" s="48" t="inlineStr">
        <is>
          <t>F.4.1</t>
        </is>
      </c>
      <c r="E2385" s="48" t="inlineStr">
        <is>
          <t>F</t>
        </is>
      </c>
      <c r="F2385" s="48" t="inlineStr">
        <is>
          <t>Q</t>
        </is>
      </c>
      <c r="G2385" s="48" t="inlineStr">
        <is>
          <t>soil</t>
        </is>
      </c>
      <c r="H2385" s="48" t="n">
        <v>2</v>
      </c>
      <c r="I2385" s="48" t="inlineStr">
        <is>
          <t>Indice di consumo di suolo</t>
        </is>
      </c>
      <c r="J2385" s="73" t="n"/>
      <c r="K2385" s="73" t="n"/>
      <c r="L2385" s="73" t="n"/>
      <c r="M2385" s="73" t="n"/>
      <c r="N2385" s="57">
        <f>IF($A2385="","",IFERROR(VALUE($J2385),0))</f>
        <v/>
      </c>
      <c r="O2385" s="57">
        <f>IF($A2385="",0,IF(OR($S2385&lt;&gt;1,COUNTA($J2385:$M2385)=0),0,IF($N2385&lt;=0,$H2385,IF(SUMPRODUCT(MAX(($C$5:$C$2484=$C2385)*($D$5:$D$2484=$D2385)*($S$5:$S$2484=1)*IFERROR($N$5:$N$2484*1,0)))&gt;0,ROUND($H2385*((SUMPRODUCT(MAX(($C$5:$C$2484=$C2385)*($D$5:$D$2484=$D2385)*($S$5:$S$2484=1)*IFERROR($N$5:$N$2484*1,0)))-$N2385)/SUMPRODUCT(MAX(($C$5:$C$2484=$C2385)*($D$5:$D$2484=$D2385)*($S$5:$S$2484=1)*IFERROR($N$5:$N$2484*1,0)))),4),0))))</f>
        <v/>
      </c>
      <c r="P2385" s="48" t="inlineStr">
        <is>
          <t>m2</t>
        </is>
      </c>
      <c r="Q2385" s="57">
        <f>IF($A2385="","",$A2385&amp;"|"&amp;$C2385)</f>
        <v/>
      </c>
      <c r="R2385" s="57">
        <f>IF($A2385="","",$A2385&amp;"|"&amp;$C2385&amp;"|"&amp;$D2385)</f>
        <v/>
      </c>
      <c r="S2385" s="57">
        <f>IF($A2385="","",IFERROR(INDEX(Offerte!$D$2:$D$81,MATCH($Q2385,Offerte!$L$2:$L$81,0)),0))</f>
        <v/>
      </c>
      <c r="T2385" s="57">
        <f>IF($A2385="","",IFERROR(INDEX(Offerte!$G$2:$G$81,MATCH($Q2385,Offerte!$L$2:$L$81,0)),"NO"))</f>
        <v/>
      </c>
    </row>
    <row r="2386">
      <c r="A2386" s="48">
        <f>IF(Offerte!$A78="","",Offerte!$A78)</f>
        <v/>
      </c>
      <c r="B2386" s="48">
        <f>IF(Offerte!$A78="","",Offerte!$B78)</f>
        <v/>
      </c>
      <c r="C2386" s="48">
        <f>IF(Offerte!$A78="","",Offerte!$C78)</f>
        <v/>
      </c>
      <c r="D2386" s="48" t="inlineStr">
        <is>
          <t>F.5.1</t>
        </is>
      </c>
      <c r="E2386" s="48" t="inlineStr">
        <is>
          <t>F</t>
        </is>
      </c>
      <c r="F2386" s="48" t="inlineStr">
        <is>
          <t>T</t>
        </is>
      </c>
      <c r="G2386" s="48" t="inlineStr">
        <is>
          <t>tabular</t>
        </is>
      </c>
      <c r="H2386" s="48" t="n">
        <v>1</v>
      </c>
      <c r="I2386" s="48" t="inlineStr">
        <is>
          <t>Rendicontazione di sostenibilità ambientale</t>
        </is>
      </c>
      <c r="J2386" s="73" t="n"/>
      <c r="K2386" s="73" t="n"/>
      <c r="L2386" s="73" t="n"/>
      <c r="M2386" s="73" t="n"/>
      <c r="N2386" s="57">
        <f>IF($A2386="","",IF(IFERROR(VALUE($M2386),0)=1,1,0))</f>
        <v/>
      </c>
      <c r="O2386" s="57">
        <f>IF($A2386="",0,IF(OR($S2386&lt;&gt;1,COUNTA($J2386:$M2386)=0),0,IF($N2386=1,$H2386,0)))</f>
        <v/>
      </c>
      <c r="P2386" s="48" t="inlineStr">
        <is>
          <t>sì/no</t>
        </is>
      </c>
      <c r="Q2386" s="57">
        <f>IF($A2386="","",$A2386&amp;"|"&amp;$C2386)</f>
        <v/>
      </c>
      <c r="R2386" s="57">
        <f>IF($A2386="","",$A2386&amp;"|"&amp;$C2386&amp;"|"&amp;$D2386)</f>
        <v/>
      </c>
      <c r="S2386" s="57">
        <f>IF($A2386="","",IFERROR(INDEX(Offerte!$D$2:$D$81,MATCH($Q2386,Offerte!$L$2:$L$81,0)),0))</f>
        <v/>
      </c>
      <c r="T2386" s="57">
        <f>IF($A2386="","",IFERROR(INDEX(Offerte!$G$2:$G$81,MATCH($Q2386,Offerte!$L$2:$L$81,0)),"NO"))</f>
        <v/>
      </c>
    </row>
    <row r="2387">
      <c r="A2387" s="48">
        <f>IF(Offerte!$A78="","",Offerte!$A78)</f>
        <v/>
      </c>
      <c r="B2387" s="48">
        <f>IF(Offerte!$A78="","",Offerte!$B78)</f>
        <v/>
      </c>
      <c r="C2387" s="48">
        <f>IF(Offerte!$A78="","",Offerte!$C78)</f>
        <v/>
      </c>
      <c r="D2387" s="48" t="inlineStr">
        <is>
          <t>G.1.1</t>
        </is>
      </c>
      <c r="E2387" s="48" t="inlineStr">
        <is>
          <t>G</t>
        </is>
      </c>
      <c r="F2387" s="48" t="inlineStr">
        <is>
          <t>D</t>
        </is>
      </c>
      <c r="G2387" s="48" t="inlineStr">
        <is>
          <t>discretionary</t>
        </is>
      </c>
      <c r="H2387" s="48" t="n">
        <v>2</v>
      </c>
      <c r="I2387" s="48" t="inlineStr">
        <is>
          <t>Qualità del progetto di centrale di controllo aziendale</t>
        </is>
      </c>
      <c r="J2387" s="73" t="n"/>
      <c r="K2387" s="73" t="n"/>
      <c r="L2387" s="73" t="n"/>
      <c r="M2387" s="73" t="n"/>
      <c r="N2387" s="57">
        <f>IF($A2387="","",MAX(0,MIN(1,IFERROR(VALUE($M2387),0))))</f>
        <v/>
      </c>
      <c r="O2387" s="57">
        <f>IF($A2387="",0,IF(OR($S2387&lt;&gt;1,COUNTA($J2387:$M2387)=0),0,IF(SUMPRODUCT(MAX(($C$5:$C$2484=$C2387)*($D$5:$D$2484=$D2387)*($S$5:$S$2484=1)*IFERROR($N$5:$N$2484*1,0)))&gt;0,ROUND($H2387*($N2387/SUMPRODUCT(MAX(($C$5:$C$2484=$C2387)*($D$5:$D$2484=$D2387)*($S$5:$S$2484=1)*IFERROR($N$5:$N$2484*1,0)))),4),0)))</f>
        <v/>
      </c>
      <c r="P2387" s="48" t="inlineStr">
        <is>
          <t>coeff.</t>
        </is>
      </c>
      <c r="Q2387" s="57">
        <f>IF($A2387="","",$A2387&amp;"|"&amp;$C2387)</f>
        <v/>
      </c>
      <c r="R2387" s="57">
        <f>IF($A2387="","",$A2387&amp;"|"&amp;$C2387&amp;"|"&amp;$D2387)</f>
        <v/>
      </c>
      <c r="S2387" s="57">
        <f>IF($A2387="","",IFERROR(INDEX(Offerte!$D$2:$D$81,MATCH($Q2387,Offerte!$L$2:$L$81,0)),0))</f>
        <v/>
      </c>
      <c r="T2387" s="57">
        <f>IF($A2387="","",IFERROR(INDEX(Offerte!$G$2:$G$81,MATCH($Q2387,Offerte!$L$2:$L$81,0)),"NO"))</f>
        <v/>
      </c>
    </row>
    <row r="2388">
      <c r="A2388" s="48">
        <f>IF(Offerte!$A78="","",Offerte!$A78)</f>
        <v/>
      </c>
      <c r="B2388" s="48">
        <f>IF(Offerte!$A78="","",Offerte!$B78)</f>
        <v/>
      </c>
      <c r="C2388" s="48">
        <f>IF(Offerte!$A78="","",Offerte!$C78)</f>
        <v/>
      </c>
      <c r="D2388" s="48" t="inlineStr">
        <is>
          <t>G.2.1</t>
        </is>
      </c>
      <c r="E2388" s="48" t="inlineStr">
        <is>
          <t>G</t>
        </is>
      </c>
      <c r="F2388" s="48" t="inlineStr">
        <is>
          <t>T</t>
        </is>
      </c>
      <c r="G2388" s="48" t="inlineStr">
        <is>
          <t>tabular</t>
        </is>
      </c>
      <c r="H2388" s="48" t="n">
        <v>1</v>
      </c>
      <c r="I2388" s="48" t="inlineStr">
        <is>
          <t>Certificazione ISO 45001</t>
        </is>
      </c>
      <c r="J2388" s="73" t="n"/>
      <c r="K2388" s="73" t="n"/>
      <c r="L2388" s="73" t="n"/>
      <c r="M2388" s="73" t="n"/>
      <c r="N2388" s="57">
        <f>IF($A2388="","",IF(IFERROR(VALUE($M2388),0)=1,1,0))</f>
        <v/>
      </c>
      <c r="O2388" s="57">
        <f>IF($A2388="",0,IF(OR($S2388&lt;&gt;1,COUNTA($J2388:$M2388)=0),0,IF($N2388=1,$H2388,0)))</f>
        <v/>
      </c>
      <c r="P2388" s="48" t="inlineStr">
        <is>
          <t>sì/no</t>
        </is>
      </c>
      <c r="Q2388" s="57">
        <f>IF($A2388="","",$A2388&amp;"|"&amp;$C2388)</f>
        <v/>
      </c>
      <c r="R2388" s="57">
        <f>IF($A2388="","",$A2388&amp;"|"&amp;$C2388&amp;"|"&amp;$D2388)</f>
        <v/>
      </c>
      <c r="S2388" s="57">
        <f>IF($A2388="","",IFERROR(INDEX(Offerte!$D$2:$D$81,MATCH($Q2388,Offerte!$L$2:$L$81,0)),0))</f>
        <v/>
      </c>
      <c r="T2388" s="57">
        <f>IF($A2388="","",IFERROR(INDEX(Offerte!$G$2:$G$81,MATCH($Q2388,Offerte!$L$2:$L$81,0)),"NO"))</f>
        <v/>
      </c>
    </row>
    <row r="2389">
      <c r="A2389" s="48">
        <f>IF(Offerte!$A78="","",Offerte!$A78)</f>
        <v/>
      </c>
      <c r="B2389" s="48">
        <f>IF(Offerte!$A78="","",Offerte!$B78)</f>
        <v/>
      </c>
      <c r="C2389" s="48">
        <f>IF(Offerte!$A78="","",Offerte!$C78)</f>
        <v/>
      </c>
      <c r="D2389" s="48" t="inlineStr">
        <is>
          <t>G.3.1</t>
        </is>
      </c>
      <c r="E2389" s="48" t="inlineStr">
        <is>
          <t>G</t>
        </is>
      </c>
      <c r="F2389" s="48" t="inlineStr">
        <is>
          <t>T</t>
        </is>
      </c>
      <c r="G2389" s="48" t="inlineStr">
        <is>
          <t>tabular</t>
        </is>
      </c>
      <c r="H2389" s="48" t="n">
        <v>1</v>
      </c>
      <c r="I2389" s="48" t="inlineStr">
        <is>
          <t>Certificazioni di responsabilità sociale</t>
        </is>
      </c>
      <c r="J2389" s="73" t="n"/>
      <c r="K2389" s="73" t="n"/>
      <c r="L2389" s="73" t="n"/>
      <c r="M2389" s="73" t="n"/>
      <c r="N2389" s="57">
        <f>IF($A2389="","",IF(IFERROR(VALUE($M2389),0)=1,1,0))</f>
        <v/>
      </c>
      <c r="O2389" s="57">
        <f>IF($A2389="",0,IF(OR($S2389&lt;&gt;1,COUNTA($J2389:$M2389)=0),0,IF($N2389=1,$H2389,0)))</f>
        <v/>
      </c>
      <c r="P2389" s="48" t="inlineStr">
        <is>
          <t>sì/no</t>
        </is>
      </c>
      <c r="Q2389" s="57">
        <f>IF($A2389="","",$A2389&amp;"|"&amp;$C2389)</f>
        <v/>
      </c>
      <c r="R2389" s="57">
        <f>IF($A2389="","",$A2389&amp;"|"&amp;$C2389&amp;"|"&amp;$D2389)</f>
        <v/>
      </c>
      <c r="S2389" s="57">
        <f>IF($A2389="","",IFERROR(INDEX(Offerte!$D$2:$D$81,MATCH($Q2389,Offerte!$L$2:$L$81,0)),0))</f>
        <v/>
      </c>
      <c r="T2389" s="57">
        <f>IF($A2389="","",IFERROR(INDEX(Offerte!$G$2:$G$81,MATCH($Q2389,Offerte!$L$2:$L$81,0)),"NO"))</f>
        <v/>
      </c>
    </row>
    <row r="2390">
      <c r="A2390" s="48">
        <f>IF(Offerte!$A78="","",Offerte!$A78)</f>
        <v/>
      </c>
      <c r="B2390" s="48">
        <f>IF(Offerte!$A78="","",Offerte!$B78)</f>
        <v/>
      </c>
      <c r="C2390" s="48">
        <f>IF(Offerte!$A78="","",Offerte!$C78)</f>
        <v/>
      </c>
      <c r="D2390" s="48" t="inlineStr">
        <is>
          <t>G.4.1</t>
        </is>
      </c>
      <c r="E2390" s="48" t="inlineStr">
        <is>
          <t>G</t>
        </is>
      </c>
      <c r="F2390" s="48" t="inlineStr">
        <is>
          <t>D</t>
        </is>
      </c>
      <c r="G2390" s="48" t="inlineStr">
        <is>
          <t>discretionary</t>
        </is>
      </c>
      <c r="H2390" s="48" t="n">
        <v>2</v>
      </c>
      <c r="I2390" s="48" t="inlineStr">
        <is>
          <t>Qualità del piano di formazione del personale</t>
        </is>
      </c>
      <c r="J2390" s="73" t="n"/>
      <c r="K2390" s="73" t="n"/>
      <c r="L2390" s="73" t="n"/>
      <c r="M2390" s="73" t="n"/>
      <c r="N2390" s="57">
        <f>IF($A2390="","",MAX(0,MIN(1,IFERROR(VALUE($M2390),0))))</f>
        <v/>
      </c>
      <c r="O2390" s="57">
        <f>IF($A2390="",0,IF(OR($S2390&lt;&gt;1,COUNTA($J2390:$M2390)=0),0,IF(SUMPRODUCT(MAX(($C$5:$C$2484=$C2390)*($D$5:$D$2484=$D2390)*($S$5:$S$2484=1)*IFERROR($N$5:$N$2484*1,0)))&gt;0,ROUND($H2390*($N2390/SUMPRODUCT(MAX(($C$5:$C$2484=$C2390)*($D$5:$D$2484=$D2390)*($S$5:$S$2484=1)*IFERROR($N$5:$N$2484*1,0)))),4),0)))</f>
        <v/>
      </c>
      <c r="P2390" s="48" t="inlineStr">
        <is>
          <t>coeff.</t>
        </is>
      </c>
      <c r="Q2390" s="57">
        <f>IF($A2390="","",$A2390&amp;"|"&amp;$C2390)</f>
        <v/>
      </c>
      <c r="R2390" s="57">
        <f>IF($A2390="","",$A2390&amp;"|"&amp;$C2390&amp;"|"&amp;$D2390)</f>
        <v/>
      </c>
      <c r="S2390" s="57">
        <f>IF($A2390="","",IFERROR(INDEX(Offerte!$D$2:$D$81,MATCH($Q2390,Offerte!$L$2:$L$81,0)),0))</f>
        <v/>
      </c>
      <c r="T2390" s="57">
        <f>IF($A2390="","",IFERROR(INDEX(Offerte!$G$2:$G$81,MATCH($Q2390,Offerte!$L$2:$L$81,0)),"NO"))</f>
        <v/>
      </c>
    </row>
    <row r="2391">
      <c r="A2391" s="48">
        <f>IF(Offerte!$A78="","",Offerte!$A78)</f>
        <v/>
      </c>
      <c r="B2391" s="48">
        <f>IF(Offerte!$A78="","",Offerte!$B78)</f>
        <v/>
      </c>
      <c r="C2391" s="48">
        <f>IF(Offerte!$A78="","",Offerte!$C78)</f>
        <v/>
      </c>
      <c r="D2391" s="48" t="inlineStr">
        <is>
          <t>G.5.1</t>
        </is>
      </c>
      <c r="E2391" s="48" t="inlineStr">
        <is>
          <t>G</t>
        </is>
      </c>
      <c r="F2391" s="48" t="inlineStr">
        <is>
          <t>T</t>
        </is>
      </c>
      <c r="G2391" s="48" t="inlineStr">
        <is>
          <t>tabular</t>
        </is>
      </c>
      <c r="H2391" s="48" t="n">
        <v>1</v>
      </c>
      <c r="I2391" s="48" t="inlineStr">
        <is>
          <t>Impegno al mantenimento delle garanzie del contratto di secondo livello del gestore uscente</t>
        </is>
      </c>
      <c r="J2391" s="73" t="n"/>
      <c r="K2391" s="73" t="n"/>
      <c r="L2391" s="73" t="n"/>
      <c r="M2391" s="73" t="n"/>
      <c r="N2391" s="57">
        <f>IF($A2391="","",IF(IFERROR(VALUE($M2391),0)=1,1,0))</f>
        <v/>
      </c>
      <c r="O2391" s="57">
        <f>IF($A2391="",0,IF(OR($S2391&lt;&gt;1,COUNTA($J2391:$M2391)=0),0,IF($N2391=1,$H2391,0)))</f>
        <v/>
      </c>
      <c r="P2391" s="48" t="inlineStr">
        <is>
          <t>sì/no</t>
        </is>
      </c>
      <c r="Q2391" s="57">
        <f>IF($A2391="","",$A2391&amp;"|"&amp;$C2391)</f>
        <v/>
      </c>
      <c r="R2391" s="57">
        <f>IF($A2391="","",$A2391&amp;"|"&amp;$C2391&amp;"|"&amp;$D2391)</f>
        <v/>
      </c>
      <c r="S2391" s="57">
        <f>IF($A2391="","",IFERROR(INDEX(Offerte!$D$2:$D$81,MATCH($Q2391,Offerte!$L$2:$L$81,0)),0))</f>
        <v/>
      </c>
      <c r="T2391" s="57">
        <f>IF($A2391="","",IFERROR(INDEX(Offerte!$G$2:$G$81,MATCH($Q2391,Offerte!$L$2:$L$81,0)),"NO"))</f>
        <v/>
      </c>
    </row>
    <row r="2392">
      <c r="A2392" s="48">
        <f>IF(Offerte!$A79="","",Offerte!$A79)</f>
        <v/>
      </c>
      <c r="B2392" s="48">
        <f>IF(Offerte!$A79="","",Offerte!$B79)</f>
        <v/>
      </c>
      <c r="C2392" s="48">
        <f>IF(Offerte!$A79="","",Offerte!$C79)</f>
        <v/>
      </c>
      <c r="D2392" s="48" t="inlineStr">
        <is>
          <t>A.1.1</t>
        </is>
      </c>
      <c r="E2392" s="48" t="inlineStr">
        <is>
          <t>A</t>
        </is>
      </c>
      <c r="F2392" s="48" t="inlineStr">
        <is>
          <t>Q</t>
        </is>
      </c>
      <c r="G2392" s="48" t="inlineStr">
        <is>
          <t>higher</t>
        </is>
      </c>
      <c r="H2392" s="48" t="n">
        <v>3</v>
      </c>
      <c r="I2392" s="48" t="inlineStr">
        <is>
          <t>Tasso aggiuntivo di corse controllate</t>
        </is>
      </c>
      <c r="J2392" s="73" t="n"/>
      <c r="K2392" s="73" t="n"/>
      <c r="L2392" s="73" t="n"/>
      <c r="M2392" s="73" t="n"/>
      <c r="N2392" s="57">
        <f>IF($A2392="","",IFERROR(VALUE($K2392)/VALUE($L2392)*100,IFERROR(VALUE($J2392),0)))</f>
        <v/>
      </c>
      <c r="O2392" s="57">
        <f>IF($A2392="",0,IF(OR($S2392&lt;&gt;1,COUNTA($J2392:$M2392)=0),0,IF(SUMPRODUCT(MAX(($C$5:$C$2484=$C2392)*($D$5:$D$2484=$D2392)*($S$5:$S$2484=1)*IFERROR($N$5:$N$2484*1,0)))&gt;0,ROUND($H2392*($N2392/SUMPRODUCT(MAX(($C$5:$C$2484=$C2392)*($D$5:$D$2484=$D2392)*($S$5:$S$2484=1)*IFERROR($N$5:$N$2484*1,0)))),4),0)))</f>
        <v/>
      </c>
      <c r="P2392" s="48" t="inlineStr">
        <is>
          <t>Corse controllate annue / Corse programmate annue</t>
        </is>
      </c>
      <c r="Q2392" s="57">
        <f>IF($A2392="","",$A2392&amp;"|"&amp;$C2392)</f>
        <v/>
      </c>
      <c r="R2392" s="57">
        <f>IF($A2392="","",$A2392&amp;"|"&amp;$C2392&amp;"|"&amp;$D2392)</f>
        <v/>
      </c>
      <c r="S2392" s="57">
        <f>IF($A2392="","",IFERROR(INDEX(Offerte!$D$2:$D$81,MATCH($Q2392,Offerte!$L$2:$L$81,0)),0))</f>
        <v/>
      </c>
      <c r="T2392" s="57">
        <f>IF($A2392="","",IFERROR(INDEX(Offerte!$G$2:$G$81,MATCH($Q2392,Offerte!$L$2:$L$81,0)),"NO"))</f>
        <v/>
      </c>
    </row>
    <row r="2393">
      <c r="A2393" s="48">
        <f>IF(Offerte!$A79="","",Offerte!$A79)</f>
        <v/>
      </c>
      <c r="B2393" s="48">
        <f>IF(Offerte!$A79="","",Offerte!$B79)</f>
        <v/>
      </c>
      <c r="C2393" s="48">
        <f>IF(Offerte!$A79="","",Offerte!$C79)</f>
        <v/>
      </c>
      <c r="D2393" s="48" t="inlineStr">
        <is>
          <t>A.1.2</t>
        </is>
      </c>
      <c r="E2393" s="48" t="inlineStr">
        <is>
          <t>A</t>
        </is>
      </c>
      <c r="F2393" s="48" t="inlineStr">
        <is>
          <t>Q</t>
        </is>
      </c>
      <c r="G2393" s="48" t="inlineStr">
        <is>
          <t>higher</t>
        </is>
      </c>
      <c r="H2393" s="48" t="n">
        <v>4</v>
      </c>
      <c r="I2393" s="48" t="inlineStr">
        <is>
          <t>Numero aggiuntivo di passeggeri controllati</t>
        </is>
      </c>
      <c r="J2393" s="73" t="n"/>
      <c r="K2393" s="73" t="n"/>
      <c r="L2393" s="73" t="n"/>
      <c r="M2393" s="73" t="n"/>
      <c r="N2393" s="57">
        <f>IF($A2393="","",IFERROR(VALUE($J2393),0))</f>
        <v/>
      </c>
      <c r="O2393" s="57">
        <f>IF($A2393="",0,IF(OR($S2393&lt;&gt;1,COUNTA($J2393:$M2393)=0),0,IF(SUMPRODUCT(MAX(($C$5:$C$2484=$C2393)*($D$5:$D$2484=$D2393)*($S$5:$S$2484=1)*IFERROR($N$5:$N$2484*1,0)))&gt;0,ROUND($H2393*($N2393/SUMPRODUCT(MAX(($C$5:$C$2484=$C2393)*($D$5:$D$2484=$D2393)*($S$5:$S$2484=1)*IFERROR($N$5:$N$2484*1,0)))),4),0)))</f>
        <v/>
      </c>
      <c r="P2393" s="48" t="inlineStr">
        <is>
          <t>passeggeri/anno</t>
        </is>
      </c>
      <c r="Q2393" s="57">
        <f>IF($A2393="","",$A2393&amp;"|"&amp;$C2393)</f>
        <v/>
      </c>
      <c r="R2393" s="57">
        <f>IF($A2393="","",$A2393&amp;"|"&amp;$C2393&amp;"|"&amp;$D2393)</f>
        <v/>
      </c>
      <c r="S2393" s="57">
        <f>IF($A2393="","",IFERROR(INDEX(Offerte!$D$2:$D$81,MATCH($Q2393,Offerte!$L$2:$L$81,0)),0))</f>
        <v/>
      </c>
      <c r="T2393" s="57">
        <f>IF($A2393="","",IFERROR(INDEX(Offerte!$G$2:$G$81,MATCH($Q2393,Offerte!$L$2:$L$81,0)),"NO"))</f>
        <v/>
      </c>
    </row>
    <row r="2394">
      <c r="A2394" s="48">
        <f>IF(Offerte!$A79="","",Offerte!$A79)</f>
        <v/>
      </c>
      <c r="B2394" s="48">
        <f>IF(Offerte!$A79="","",Offerte!$B79)</f>
        <v/>
      </c>
      <c r="C2394" s="48">
        <f>IF(Offerte!$A79="","",Offerte!$C79)</f>
        <v/>
      </c>
      <c r="D2394" s="48" t="inlineStr">
        <is>
          <t>B.1.1</t>
        </is>
      </c>
      <c r="E2394" s="48" t="inlineStr">
        <is>
          <t>B</t>
        </is>
      </c>
      <c r="F2394" s="48" t="inlineStr">
        <is>
          <t>Q</t>
        </is>
      </c>
      <c r="G2394" s="48" t="inlineStr">
        <is>
          <t>higher</t>
        </is>
      </c>
      <c r="H2394" s="48" t="n">
        <v>3</v>
      </c>
      <c r="I2394" s="48" t="inlineStr">
        <is>
          <t>Incremento dei posti offerti nelle fasce di punta</t>
        </is>
      </c>
      <c r="J2394" s="73" t="n"/>
      <c r="K2394" s="73" t="n"/>
      <c r="L2394" s="73" t="n"/>
      <c r="M2394" s="73" t="n"/>
      <c r="N2394" s="57">
        <f>IF($A2394="","",IFERROR(VALUE($J2394),0))</f>
        <v/>
      </c>
      <c r="O2394" s="57">
        <f>IF($A2394="",0,IF(OR($S2394&lt;&gt;1,COUNTA($J2394:$M2394)=0),0,IF(SUMPRODUCT(MAX(($C$5:$C$2484=$C2394)*($D$5:$D$2484=$D2394)*($S$5:$S$2484=1)*IFERROR($N$5:$N$2484*1,0)))&gt;0,ROUND($H2394*($N2394/SUMPRODUCT(MAX(($C$5:$C$2484=$C2394)*($D$5:$D$2484=$D2394)*($S$5:$S$2484=1)*IFERROR($N$5:$N$2484*1,0)))),4),0)))</f>
        <v/>
      </c>
      <c r="P2394" s="48" t="inlineStr">
        <is>
          <t>posti*km</t>
        </is>
      </c>
      <c r="Q2394" s="57">
        <f>IF($A2394="","",$A2394&amp;"|"&amp;$C2394)</f>
        <v/>
      </c>
      <c r="R2394" s="57">
        <f>IF($A2394="","",$A2394&amp;"|"&amp;$C2394&amp;"|"&amp;$D2394)</f>
        <v/>
      </c>
      <c r="S2394" s="57">
        <f>IF($A2394="","",IFERROR(INDEX(Offerte!$D$2:$D$81,MATCH($Q2394,Offerte!$L$2:$L$81,0)),0))</f>
        <v/>
      </c>
      <c r="T2394" s="57">
        <f>IF($A2394="","",IFERROR(INDEX(Offerte!$G$2:$G$81,MATCH($Q2394,Offerte!$L$2:$L$81,0)),"NO"))</f>
        <v/>
      </c>
    </row>
    <row r="2395">
      <c r="A2395" s="48">
        <f>IF(Offerte!$A79="","",Offerte!$A79)</f>
        <v/>
      </c>
      <c r="B2395" s="48">
        <f>IF(Offerte!$A79="","",Offerte!$B79)</f>
        <v/>
      </c>
      <c r="C2395" s="48">
        <f>IF(Offerte!$A79="","",Offerte!$C79)</f>
        <v/>
      </c>
      <c r="D2395" s="48" t="inlineStr">
        <is>
          <t>B.2.1</t>
        </is>
      </c>
      <c r="E2395" s="48" t="inlineStr">
        <is>
          <t>B</t>
        </is>
      </c>
      <c r="F2395" s="48" t="inlineStr">
        <is>
          <t>Q</t>
        </is>
      </c>
      <c r="G2395" s="48" t="inlineStr">
        <is>
          <t>higher</t>
        </is>
      </c>
      <c r="H2395" s="48" t="n">
        <v>4</v>
      </c>
      <c r="I2395" s="48" t="inlineStr">
        <is>
          <t>Corse aggiuntive nell'arco giornaliero base</t>
        </is>
      </c>
      <c r="J2395" s="73" t="n"/>
      <c r="K2395" s="73" t="n"/>
      <c r="L2395" s="73" t="n"/>
      <c r="M2395" s="73" t="n"/>
      <c r="N2395" s="57">
        <f>IF($A2395="","",IFERROR(VALUE($J2395),0))</f>
        <v/>
      </c>
      <c r="O2395" s="57">
        <f>IF($A2395="",0,IF(OR($S2395&lt;&gt;1,COUNTA($J2395:$M2395)=0),0,IF(SUMPRODUCT(MAX(($C$5:$C$2484=$C2395)*($D$5:$D$2484=$D2395)*($S$5:$S$2484=1)*IFERROR($N$5:$N$2484*1,0)))&gt;0,ROUND($H2395*($N2395/SUMPRODUCT(MAX(($C$5:$C$2484=$C2395)*($D$5:$D$2484=$D2395)*($S$5:$S$2484=1)*IFERROR($N$5:$N$2484*1,0)))),4),0)))</f>
        <v/>
      </c>
      <c r="P2395" s="48" t="inlineStr">
        <is>
          <t>corse</t>
        </is>
      </c>
      <c r="Q2395" s="57">
        <f>IF($A2395="","",$A2395&amp;"|"&amp;$C2395)</f>
        <v/>
      </c>
      <c r="R2395" s="57">
        <f>IF($A2395="","",$A2395&amp;"|"&amp;$C2395&amp;"|"&amp;$D2395)</f>
        <v/>
      </c>
      <c r="S2395" s="57">
        <f>IF($A2395="","",IFERROR(INDEX(Offerte!$D$2:$D$81,MATCH($Q2395,Offerte!$L$2:$L$81,0)),0))</f>
        <v/>
      </c>
      <c r="T2395" s="57">
        <f>IF($A2395="","",IFERROR(INDEX(Offerte!$G$2:$G$81,MATCH($Q2395,Offerte!$L$2:$L$81,0)),"NO"))</f>
        <v/>
      </c>
    </row>
    <row r="2396">
      <c r="A2396" s="48">
        <f>IF(Offerte!$A79="","",Offerte!$A79)</f>
        <v/>
      </c>
      <c r="B2396" s="48">
        <f>IF(Offerte!$A79="","",Offerte!$B79)</f>
        <v/>
      </c>
      <c r="C2396" s="48">
        <f>IF(Offerte!$A79="","",Offerte!$C79)</f>
        <v/>
      </c>
      <c r="D2396" s="48" t="inlineStr">
        <is>
          <t>B.3.1</t>
        </is>
      </c>
      <c r="E2396" s="48" t="inlineStr">
        <is>
          <t>B</t>
        </is>
      </c>
      <c r="F2396" s="48" t="inlineStr">
        <is>
          <t>Q</t>
        </is>
      </c>
      <c r="G2396" s="48" t="inlineStr">
        <is>
          <t>higher</t>
        </is>
      </c>
      <c r="H2396" s="48" t="n">
        <v>2</v>
      </c>
      <c r="I2396" s="48" t="inlineStr">
        <is>
          <t>Numero di corse aggiuntive per allungamento dell'arco di servizio giornaliero nelle fasce serali</t>
        </is>
      </c>
      <c r="J2396" s="73" t="n"/>
      <c r="K2396" s="73" t="n"/>
      <c r="L2396" s="73" t="n"/>
      <c r="M2396" s="73" t="n"/>
      <c r="N2396" s="57">
        <f>IF($A2396="","",IFERROR(VALUE($J2396),0))</f>
        <v/>
      </c>
      <c r="O2396" s="57">
        <f>IF($A2396="",0,IF(OR($S2396&lt;&gt;1,COUNTA($J2396:$M2396)=0),0,IF(SUMPRODUCT(MAX(($C$5:$C$2484=$C2396)*($D$5:$D$2484=$D2396)*($S$5:$S$2484=1)*IFERROR($N$5:$N$2484*1,0)))&gt;0,ROUND($H2396*($N2396/SUMPRODUCT(MAX(($C$5:$C$2484=$C2396)*($D$5:$D$2484=$D2396)*($S$5:$S$2484=1)*IFERROR($N$5:$N$2484*1,0)))),4),0)))</f>
        <v/>
      </c>
      <c r="P2396" s="48" t="inlineStr">
        <is>
          <t>corse</t>
        </is>
      </c>
      <c r="Q2396" s="57">
        <f>IF($A2396="","",$A2396&amp;"|"&amp;$C2396)</f>
        <v/>
      </c>
      <c r="R2396" s="57">
        <f>IF($A2396="","",$A2396&amp;"|"&amp;$C2396&amp;"|"&amp;$D2396)</f>
        <v/>
      </c>
      <c r="S2396" s="57">
        <f>IF($A2396="","",IFERROR(INDEX(Offerte!$D$2:$D$81,MATCH($Q2396,Offerte!$L$2:$L$81,0)),0))</f>
        <v/>
      </c>
      <c r="T2396" s="57">
        <f>IF($A2396="","",IFERROR(INDEX(Offerte!$G$2:$G$81,MATCH($Q2396,Offerte!$L$2:$L$81,0)),"NO"))</f>
        <v/>
      </c>
    </row>
    <row r="2397">
      <c r="A2397" s="48">
        <f>IF(Offerte!$A79="","",Offerte!$A79)</f>
        <v/>
      </c>
      <c r="B2397" s="48">
        <f>IF(Offerte!$A79="","",Offerte!$B79)</f>
        <v/>
      </c>
      <c r="C2397" s="48">
        <f>IF(Offerte!$A79="","",Offerte!$C79)</f>
        <v/>
      </c>
      <c r="D2397" s="48" t="inlineStr">
        <is>
          <t>B.4.1</t>
        </is>
      </c>
      <c r="E2397" s="48" t="inlineStr">
        <is>
          <t>B</t>
        </is>
      </c>
      <c r="F2397" s="48" t="inlineStr">
        <is>
          <t>Q</t>
        </is>
      </c>
      <c r="G2397" s="48" t="inlineStr">
        <is>
          <t>higher</t>
        </is>
      </c>
      <c r="H2397" s="48" t="n">
        <v>3</v>
      </c>
      <c r="I2397" s="48" t="inlineStr">
        <is>
          <t>Percorrenze aggiuntive offerte nel Programma d'esercizio delle prime due fasi attuative</t>
        </is>
      </c>
      <c r="J2397" s="73" t="n"/>
      <c r="K2397" s="73" t="n"/>
      <c r="L2397" s="73" t="n"/>
      <c r="M2397" s="73" t="n"/>
      <c r="N2397" s="57">
        <f>IF($A2397="","",IFERROR(VALUE($J2397),0))</f>
        <v/>
      </c>
      <c r="O2397" s="57">
        <f>IF($A2397="",0,IF(OR($S2397&lt;&gt;1,COUNTA($J2397:$M2397)=0),0,IF(SUMPRODUCT(MAX(($C$5:$C$2484=$C2397)*($D$5:$D$2484=$D2397)*($S$5:$S$2484=1)*IFERROR($N$5:$N$2484*1,0)))&gt;0,ROUND($H2397*($N2397/SUMPRODUCT(MAX(($C$5:$C$2484=$C2397)*($D$5:$D$2484=$D2397)*($S$5:$S$2484=1)*IFERROR($N$5:$N$2484*1,0)))),4),0)))</f>
        <v/>
      </c>
      <c r="P2397" s="48" t="inlineStr">
        <is>
          <t>vett*km</t>
        </is>
      </c>
      <c r="Q2397" s="57">
        <f>IF($A2397="","",$A2397&amp;"|"&amp;$C2397)</f>
        <v/>
      </c>
      <c r="R2397" s="57">
        <f>IF($A2397="","",$A2397&amp;"|"&amp;$C2397&amp;"|"&amp;$D2397)</f>
        <v/>
      </c>
      <c r="S2397" s="57">
        <f>IF($A2397="","",IFERROR(INDEX(Offerte!$D$2:$D$81,MATCH($Q2397,Offerte!$L$2:$L$81,0)),0))</f>
        <v/>
      </c>
      <c r="T2397" s="57">
        <f>IF($A2397="","",IFERROR(INDEX(Offerte!$G$2:$G$81,MATCH($Q2397,Offerte!$L$2:$L$81,0)),"NO"))</f>
        <v/>
      </c>
    </row>
    <row r="2398">
      <c r="A2398" s="48">
        <f>IF(Offerte!$A79="","",Offerte!$A79)</f>
        <v/>
      </c>
      <c r="B2398" s="48">
        <f>IF(Offerte!$A79="","",Offerte!$B79)</f>
        <v/>
      </c>
      <c r="C2398" s="48">
        <f>IF(Offerte!$A79="","",Offerte!$C79)</f>
        <v/>
      </c>
      <c r="D2398" s="48" t="inlineStr">
        <is>
          <t>B.5.1</t>
        </is>
      </c>
      <c r="E2398" s="48" t="inlineStr">
        <is>
          <t>B</t>
        </is>
      </c>
      <c r="F2398" s="48" t="inlineStr">
        <is>
          <t>D</t>
        </is>
      </c>
      <c r="G2398" s="48" t="inlineStr">
        <is>
          <t>discretionary</t>
        </is>
      </c>
      <c r="H2398" s="48" t="n">
        <v>2</v>
      </c>
      <c r="I2398" s="48" t="inlineStr">
        <is>
          <t>Efficacia del progetto di servizi complementari DRT</t>
        </is>
      </c>
      <c r="J2398" s="73" t="n"/>
      <c r="K2398" s="73" t="n"/>
      <c r="L2398" s="73" t="n"/>
      <c r="M2398" s="73" t="n"/>
      <c r="N2398" s="57">
        <f>IF($A2398="","",MAX(0,MIN(1,IFERROR(VALUE($M2398),0))))</f>
        <v/>
      </c>
      <c r="O2398" s="57">
        <f>IF($A2398="",0,IF(OR($S2398&lt;&gt;1,COUNTA($J2398:$M2398)=0),0,IF(SUMPRODUCT(MAX(($C$5:$C$2484=$C2398)*($D$5:$D$2484=$D2398)*($S$5:$S$2484=1)*IFERROR($N$5:$N$2484*1,0)))&gt;0,ROUND($H2398*($N2398/SUMPRODUCT(MAX(($C$5:$C$2484=$C2398)*($D$5:$D$2484=$D2398)*($S$5:$S$2484=1)*IFERROR($N$5:$N$2484*1,0)))),4),0)))</f>
        <v/>
      </c>
      <c r="P2398" s="48" t="inlineStr">
        <is>
          <t>coeff.</t>
        </is>
      </c>
      <c r="Q2398" s="57">
        <f>IF($A2398="","",$A2398&amp;"|"&amp;$C2398)</f>
        <v/>
      </c>
      <c r="R2398" s="57">
        <f>IF($A2398="","",$A2398&amp;"|"&amp;$C2398&amp;"|"&amp;$D2398)</f>
        <v/>
      </c>
      <c r="S2398" s="57">
        <f>IF($A2398="","",IFERROR(INDEX(Offerte!$D$2:$D$81,MATCH($Q2398,Offerte!$L$2:$L$81,0)),0))</f>
        <v/>
      </c>
      <c r="T2398" s="57">
        <f>IF($A2398="","",IFERROR(INDEX(Offerte!$G$2:$G$81,MATCH($Q2398,Offerte!$L$2:$L$81,0)),"NO"))</f>
        <v/>
      </c>
    </row>
    <row r="2399">
      <c r="A2399" s="48">
        <f>IF(Offerte!$A79="","",Offerte!$A79)</f>
        <v/>
      </c>
      <c r="B2399" s="48">
        <f>IF(Offerte!$A79="","",Offerte!$B79)</f>
        <v/>
      </c>
      <c r="C2399" s="48">
        <f>IF(Offerte!$A79="","",Offerte!$C79)</f>
        <v/>
      </c>
      <c r="D2399" s="48" t="inlineStr">
        <is>
          <t>C.1.1</t>
        </is>
      </c>
      <c r="E2399" s="48" t="inlineStr">
        <is>
          <t>C</t>
        </is>
      </c>
      <c r="F2399" s="48" t="inlineStr">
        <is>
          <t>Q</t>
        </is>
      </c>
      <c r="G2399" s="48" t="inlineStr">
        <is>
          <t>higher</t>
        </is>
      </c>
      <c r="H2399" s="48" t="n">
        <v>2</v>
      </c>
      <c r="I2399" s="48" t="inlineStr">
        <is>
          <t>Tasso di copertura del servizio con telecamere BSD</t>
        </is>
      </c>
      <c r="J2399" s="73" t="n"/>
      <c r="K2399" s="73" t="n"/>
      <c r="L2399" s="73" t="n"/>
      <c r="M2399" s="73" t="n"/>
      <c r="N2399" s="57">
        <f>IF($A2399="","",IFERROR(VALUE($K2399)/VALUE($L2399),IFERROR(VALUE($J2399),0)))</f>
        <v/>
      </c>
      <c r="O2399" s="57">
        <f>IF($A2399="",0,IF(OR($S2399&lt;&gt;1,COUNTA($J2399:$M2399)=0),0,IF(SUMPRODUCT(MAX(($C$5:$C$2484=$C2399)*($D$5:$D$2484=$D2399)*($S$5:$S$2484=1)*IFERROR($N$5:$N$2484*1,0)))&gt;0,ROUND($H2399*($N2399/SUMPRODUCT(MAX(($C$5:$C$2484=$C2399)*($D$5:$D$2484=$D2399)*($S$5:$S$2484=1)*IFERROR($N$5:$N$2484*1,0)))),4),0)))</f>
        <v/>
      </c>
      <c r="P2399" s="48" t="inlineStr">
        <is>
          <t>Autobus attrezzati con telecamere BSD / Autobus totali in offerta, incluse scorte</t>
        </is>
      </c>
      <c r="Q2399" s="57">
        <f>IF($A2399="","",$A2399&amp;"|"&amp;$C2399)</f>
        <v/>
      </c>
      <c r="R2399" s="57">
        <f>IF($A2399="","",$A2399&amp;"|"&amp;$C2399&amp;"|"&amp;$D2399)</f>
        <v/>
      </c>
      <c r="S2399" s="57">
        <f>IF($A2399="","",IFERROR(INDEX(Offerte!$D$2:$D$81,MATCH($Q2399,Offerte!$L$2:$L$81,0)),0))</f>
        <v/>
      </c>
      <c r="T2399" s="57">
        <f>IF($A2399="","",IFERROR(INDEX(Offerte!$G$2:$G$81,MATCH($Q2399,Offerte!$L$2:$L$81,0)),"NO"))</f>
        <v/>
      </c>
    </row>
    <row r="2400">
      <c r="A2400" s="48">
        <f>IF(Offerte!$A79="","",Offerte!$A79)</f>
        <v/>
      </c>
      <c r="B2400" s="48">
        <f>IF(Offerte!$A79="","",Offerte!$B79)</f>
        <v/>
      </c>
      <c r="C2400" s="48">
        <f>IF(Offerte!$A79="","",Offerte!$C79)</f>
        <v/>
      </c>
      <c r="D2400" s="48" t="inlineStr">
        <is>
          <t>C.1.2</t>
        </is>
      </c>
      <c r="E2400" s="48" t="inlineStr">
        <is>
          <t>C</t>
        </is>
      </c>
      <c r="F2400" s="48" t="inlineStr">
        <is>
          <t>Q</t>
        </is>
      </c>
      <c r="G2400" s="48" t="inlineStr">
        <is>
          <t>higher</t>
        </is>
      </c>
      <c r="H2400" s="48" t="n">
        <v>2</v>
      </c>
      <c r="I2400" s="48" t="inlineStr">
        <is>
          <t>Tasso di copertura del servizio con telecamere ADAS</t>
        </is>
      </c>
      <c r="J2400" s="73" t="n"/>
      <c r="K2400" s="73" t="n"/>
      <c r="L2400" s="73" t="n"/>
      <c r="M2400" s="73" t="n"/>
      <c r="N2400" s="57">
        <f>IF($A2400="","",IFERROR(VALUE($K2400)/VALUE($L2400),IFERROR(VALUE($J2400),0)))</f>
        <v/>
      </c>
      <c r="O2400" s="57">
        <f>IF($A2400="",0,IF(OR($S2400&lt;&gt;1,COUNTA($J2400:$M2400)=0),0,IF(SUMPRODUCT(MAX(($C$5:$C$2484=$C2400)*($D$5:$D$2484=$D2400)*($S$5:$S$2484=1)*IFERROR($N$5:$N$2484*1,0)))&gt;0,ROUND($H2400*($N2400/SUMPRODUCT(MAX(($C$5:$C$2484=$C2400)*($D$5:$D$2484=$D2400)*($S$5:$S$2484=1)*IFERROR($N$5:$N$2484*1,0)))),4),0)))</f>
        <v/>
      </c>
      <c r="P2400" s="48" t="inlineStr">
        <is>
          <t>Autobus attrezzati con telecamere ADAS / Autobus totali in offerta, incluse scorte</t>
        </is>
      </c>
      <c r="Q2400" s="57">
        <f>IF($A2400="","",$A2400&amp;"|"&amp;$C2400)</f>
        <v/>
      </c>
      <c r="R2400" s="57">
        <f>IF($A2400="","",$A2400&amp;"|"&amp;$C2400&amp;"|"&amp;$D2400)</f>
        <v/>
      </c>
      <c r="S2400" s="57">
        <f>IF($A2400="","",IFERROR(INDEX(Offerte!$D$2:$D$81,MATCH($Q2400,Offerte!$L$2:$L$81,0)),0))</f>
        <v/>
      </c>
      <c r="T2400" s="57">
        <f>IF($A2400="","",IFERROR(INDEX(Offerte!$G$2:$G$81,MATCH($Q2400,Offerte!$L$2:$L$81,0)),"NO"))</f>
        <v/>
      </c>
    </row>
    <row r="2401">
      <c r="A2401" s="48">
        <f>IF(Offerte!$A79="","",Offerte!$A79)</f>
        <v/>
      </c>
      <c r="B2401" s="48">
        <f>IF(Offerte!$A79="","",Offerte!$B79)</f>
        <v/>
      </c>
      <c r="C2401" s="48">
        <f>IF(Offerte!$A79="","",Offerte!$C79)</f>
        <v/>
      </c>
      <c r="D2401" s="48" t="inlineStr">
        <is>
          <t>C.2.1</t>
        </is>
      </c>
      <c r="E2401" s="48" t="inlineStr">
        <is>
          <t>C</t>
        </is>
      </c>
      <c r="F2401" s="48" t="inlineStr">
        <is>
          <t>Q</t>
        </is>
      </c>
      <c r="G2401" s="48" t="inlineStr">
        <is>
          <t>higher</t>
        </is>
      </c>
      <c r="H2401" s="48" t="n">
        <v>3</v>
      </c>
      <c r="I2401" s="48" t="inlineStr">
        <is>
          <t>Tasso di copertura del servizio con telecamere di bordo di videosorveglianza</t>
        </is>
      </c>
      <c r="J2401" s="73" t="n"/>
      <c r="K2401" s="73" t="n"/>
      <c r="L2401" s="73" t="n"/>
      <c r="M2401" s="73" t="n"/>
      <c r="N2401" s="57">
        <f>IF($A2401="","",IFERROR(VALUE($K2401)/VALUE($L2401),IFERROR(VALUE($J2401),0)))</f>
        <v/>
      </c>
      <c r="O2401" s="57">
        <f>IF($A2401="",0,IF(OR($S2401&lt;&gt;1,COUNTA($J2401:$M2401)=0),0,IF(SUMPRODUCT(MAX(($C$5:$C$2484=$C2401)*($D$5:$D$2484=$D2401)*($S$5:$S$2484=1)*IFERROR($N$5:$N$2484*1,0)))&gt;0,ROUND($H2401*($N2401/SUMPRODUCT(MAX(($C$5:$C$2484=$C2401)*($D$5:$D$2484=$D2401)*($S$5:$S$2484=1)*IFERROR($N$5:$N$2484*1,0)))),4),0)))</f>
        <v/>
      </c>
      <c r="P2401" s="48" t="inlineStr">
        <is>
          <t>Autobus attrezzati con videosorveglianza / Autobus totali in offerta, incluse scorte</t>
        </is>
      </c>
      <c r="Q2401" s="57">
        <f>IF($A2401="","",$A2401&amp;"|"&amp;$C2401)</f>
        <v/>
      </c>
      <c r="R2401" s="57">
        <f>IF($A2401="","",$A2401&amp;"|"&amp;$C2401&amp;"|"&amp;$D2401)</f>
        <v/>
      </c>
      <c r="S2401" s="57">
        <f>IF($A2401="","",IFERROR(INDEX(Offerte!$D$2:$D$81,MATCH($Q2401,Offerte!$L$2:$L$81,0)),0))</f>
        <v/>
      </c>
      <c r="T2401" s="57">
        <f>IF($A2401="","",IFERROR(INDEX(Offerte!$G$2:$G$81,MATCH($Q2401,Offerte!$L$2:$L$81,0)),"NO"))</f>
        <v/>
      </c>
    </row>
    <row r="2402">
      <c r="A2402" s="48">
        <f>IF(Offerte!$A79="","",Offerte!$A79)</f>
        <v/>
      </c>
      <c r="B2402" s="48">
        <f>IF(Offerte!$A79="","",Offerte!$B79)</f>
        <v/>
      </c>
      <c r="C2402" s="48">
        <f>IF(Offerte!$A79="","",Offerte!$C79)</f>
        <v/>
      </c>
      <c r="D2402" s="48" t="inlineStr">
        <is>
          <t>C.2.2</t>
        </is>
      </c>
      <c r="E2402" s="48" t="inlineStr">
        <is>
          <t>C</t>
        </is>
      </c>
      <c r="F2402" s="48" t="inlineStr">
        <is>
          <t>T</t>
        </is>
      </c>
      <c r="G2402" s="48" t="inlineStr">
        <is>
          <t>tabular</t>
        </is>
      </c>
      <c r="H2402" s="48" t="n">
        <v>1</v>
      </c>
      <c r="I2402" s="48" t="inlineStr">
        <is>
          <t>Software video/audio analisi per situazioni di pericolo</t>
        </is>
      </c>
      <c r="J2402" s="73" t="n"/>
      <c r="K2402" s="73" t="n"/>
      <c r="L2402" s="73" t="n"/>
      <c r="M2402" s="73" t="n"/>
      <c r="N2402" s="57">
        <f>IF($A2402="","",IF(IFERROR(VALUE($M2402),0)=1,1,0))</f>
        <v/>
      </c>
      <c r="O2402" s="57">
        <f>IF($A2402="",0,IF(OR($S2402&lt;&gt;1,COUNTA($J2402:$M2402)=0),0,IF($N2402=1,$H2402,0)))</f>
        <v/>
      </c>
      <c r="P2402" s="48" t="inlineStr">
        <is>
          <t>sì/no</t>
        </is>
      </c>
      <c r="Q2402" s="57">
        <f>IF($A2402="","",$A2402&amp;"|"&amp;$C2402)</f>
        <v/>
      </c>
      <c r="R2402" s="57">
        <f>IF($A2402="","",$A2402&amp;"|"&amp;$C2402&amp;"|"&amp;$D2402)</f>
        <v/>
      </c>
      <c r="S2402" s="57">
        <f>IF($A2402="","",IFERROR(INDEX(Offerte!$D$2:$D$81,MATCH($Q2402,Offerte!$L$2:$L$81,0)),0))</f>
        <v/>
      </c>
      <c r="T2402" s="57">
        <f>IF($A2402="","",IFERROR(INDEX(Offerte!$G$2:$G$81,MATCH($Q2402,Offerte!$L$2:$L$81,0)),"NO"))</f>
        <v/>
      </c>
    </row>
    <row r="2403">
      <c r="A2403" s="48">
        <f>IF(Offerte!$A79="","",Offerte!$A79)</f>
        <v/>
      </c>
      <c r="B2403" s="48">
        <f>IF(Offerte!$A79="","",Offerte!$B79)</f>
        <v/>
      </c>
      <c r="C2403" s="48">
        <f>IF(Offerte!$A79="","",Offerte!$C79)</f>
        <v/>
      </c>
      <c r="D2403" s="48" t="inlineStr">
        <is>
          <t>C.2.3</t>
        </is>
      </c>
      <c r="E2403" s="48" t="inlineStr">
        <is>
          <t>C</t>
        </is>
      </c>
      <c r="F2403" s="48" t="inlineStr">
        <is>
          <t>T</t>
        </is>
      </c>
      <c r="G2403" s="48" t="inlineStr">
        <is>
          <t>tabular</t>
        </is>
      </c>
      <c r="H2403" s="48" t="n">
        <v>1</v>
      </c>
      <c r="I2403" s="48" t="inlineStr">
        <is>
          <t>Collegamento con centrale qualificata di pronto intervento</t>
        </is>
      </c>
      <c r="J2403" s="73" t="n"/>
      <c r="K2403" s="73" t="n"/>
      <c r="L2403" s="73" t="n"/>
      <c r="M2403" s="73" t="n"/>
      <c r="N2403" s="57">
        <f>IF($A2403="","",IF(IFERROR(VALUE($M2403),0)=1,1,0))</f>
        <v/>
      </c>
      <c r="O2403" s="57">
        <f>IF($A2403="",0,IF(OR($S2403&lt;&gt;1,COUNTA($J2403:$M2403)=0),0,IF($N2403=1,$H2403,0)))</f>
        <v/>
      </c>
      <c r="P2403" s="48" t="inlineStr">
        <is>
          <t>sì/no</t>
        </is>
      </c>
      <c r="Q2403" s="57">
        <f>IF($A2403="","",$A2403&amp;"|"&amp;$C2403)</f>
        <v/>
      </c>
      <c r="R2403" s="57">
        <f>IF($A2403="","",$A2403&amp;"|"&amp;$C2403&amp;"|"&amp;$D2403)</f>
        <v/>
      </c>
      <c r="S2403" s="57">
        <f>IF($A2403="","",IFERROR(INDEX(Offerte!$D$2:$D$81,MATCH($Q2403,Offerte!$L$2:$L$81,0)),0))</f>
        <v/>
      </c>
      <c r="T2403" s="57">
        <f>IF($A2403="","",IFERROR(INDEX(Offerte!$G$2:$G$81,MATCH($Q2403,Offerte!$L$2:$L$81,0)),"NO"))</f>
        <v/>
      </c>
    </row>
    <row r="2404">
      <c r="A2404" s="48">
        <f>IF(Offerte!$A79="","",Offerte!$A79)</f>
        <v/>
      </c>
      <c r="B2404" s="48">
        <f>IF(Offerte!$A79="","",Offerte!$B79)</f>
        <v/>
      </c>
      <c r="C2404" s="48">
        <f>IF(Offerte!$A79="","",Offerte!$C79)</f>
        <v/>
      </c>
      <c r="D2404" s="48" t="inlineStr">
        <is>
          <t>C.2.4</t>
        </is>
      </c>
      <c r="E2404" s="48" t="inlineStr">
        <is>
          <t>C</t>
        </is>
      </c>
      <c r="F2404" s="48" t="inlineStr">
        <is>
          <t>Q</t>
        </is>
      </c>
      <c r="G2404" s="48" t="inlineStr">
        <is>
          <t>higher</t>
        </is>
      </c>
      <c r="H2404" s="48" t="n">
        <v>1</v>
      </c>
      <c r="I2404" s="48" t="inlineStr">
        <is>
          <t>Tasso di copertura del servizio con dispositivi per la chiamata di emergenza del conducente</t>
        </is>
      </c>
      <c r="J2404" s="73" t="n"/>
      <c r="K2404" s="73" t="n"/>
      <c r="L2404" s="73" t="n"/>
      <c r="M2404" s="73" t="n"/>
      <c r="N2404" s="57">
        <f>IF($A2404="","",IFERROR(VALUE($K2404)/VALUE($L2404),IFERROR(VALUE($J2404),0)))</f>
        <v/>
      </c>
      <c r="O2404" s="57">
        <f>IF($A2404="",0,IF(OR($S2404&lt;&gt;1,COUNTA($J2404:$M2404)=0),0,IF(SUMPRODUCT(MAX(($C$5:$C$2484=$C2404)*($D$5:$D$2484=$D2404)*($S$5:$S$2484=1)*IFERROR($N$5:$N$2484*1,0)))&gt;0,ROUND($H2404*($N2404/SUMPRODUCT(MAX(($C$5:$C$2484=$C2404)*($D$5:$D$2484=$D2404)*($S$5:$S$2484=1)*IFERROR($N$5:$N$2484*1,0)))),4),0)))</f>
        <v/>
      </c>
      <c r="P2404" s="48" t="inlineStr">
        <is>
          <t>Autobus attrezzati con chiamata di emergenza / Autobus totali in offerta, incluse scorte</t>
        </is>
      </c>
      <c r="Q2404" s="57">
        <f>IF($A2404="","",$A2404&amp;"|"&amp;$C2404)</f>
        <v/>
      </c>
      <c r="R2404" s="57">
        <f>IF($A2404="","",$A2404&amp;"|"&amp;$C2404&amp;"|"&amp;$D2404)</f>
        <v/>
      </c>
      <c r="S2404" s="57">
        <f>IF($A2404="","",IFERROR(INDEX(Offerte!$D$2:$D$81,MATCH($Q2404,Offerte!$L$2:$L$81,0)),0))</f>
        <v/>
      </c>
      <c r="T2404" s="57">
        <f>IF($A2404="","",IFERROR(INDEX(Offerte!$G$2:$G$81,MATCH($Q2404,Offerte!$L$2:$L$81,0)),"NO"))</f>
        <v/>
      </c>
    </row>
    <row r="2405">
      <c r="A2405" s="48">
        <f>IF(Offerte!$A79="","",Offerte!$A79)</f>
        <v/>
      </c>
      <c r="B2405" s="48">
        <f>IF(Offerte!$A79="","",Offerte!$B79)</f>
        <v/>
      </c>
      <c r="C2405" s="48">
        <f>IF(Offerte!$A79="","",Offerte!$C79)</f>
        <v/>
      </c>
      <c r="D2405" s="48" t="inlineStr">
        <is>
          <t>C.3.1</t>
        </is>
      </c>
      <c r="E2405" s="48" t="inlineStr">
        <is>
          <t>C</t>
        </is>
      </c>
      <c r="F2405" s="48" t="inlineStr">
        <is>
          <t>Q</t>
        </is>
      </c>
      <c r="G2405" s="48" t="inlineStr">
        <is>
          <t>higher</t>
        </is>
      </c>
      <c r="H2405" s="48" t="n">
        <v>2</v>
      </c>
      <c r="I2405" s="48" t="inlineStr">
        <is>
          <t>Tasso di copertura del servizio con dispositivi di informazione dinamica a bordo mezzo</t>
        </is>
      </c>
      <c r="J2405" s="73" t="n"/>
      <c r="K2405" s="73" t="n"/>
      <c r="L2405" s="73" t="n"/>
      <c r="M2405" s="73" t="n"/>
      <c r="N2405" s="57">
        <f>IF($A2405="","",IFERROR(VALUE($K2405)/VALUE($L2405),IFERROR(VALUE($J2405),0)))</f>
        <v/>
      </c>
      <c r="O2405" s="57">
        <f>IF($A2405="",0,IF(OR($S2405&lt;&gt;1,COUNTA($J2405:$M2405)=0),0,IF(SUMPRODUCT(MAX(($C$5:$C$2484=$C2405)*($D$5:$D$2484=$D2405)*($S$5:$S$2484=1)*IFERROR($N$5:$N$2484*1,0)))&gt;0,ROUND($H2405*($N2405/SUMPRODUCT(MAX(($C$5:$C$2484=$C2405)*($D$5:$D$2484=$D2405)*($S$5:$S$2484=1)*IFERROR($N$5:$N$2484*1,0)))),4),0)))</f>
        <v/>
      </c>
      <c r="P2405" s="48" t="inlineStr">
        <is>
          <t>Autobus con monitor e indicatori vocali / Autobus totali in offerta, incluse scorte</t>
        </is>
      </c>
      <c r="Q2405" s="57">
        <f>IF($A2405="","",$A2405&amp;"|"&amp;$C2405)</f>
        <v/>
      </c>
      <c r="R2405" s="57">
        <f>IF($A2405="","",$A2405&amp;"|"&amp;$C2405&amp;"|"&amp;$D2405)</f>
        <v/>
      </c>
      <c r="S2405" s="57">
        <f>IF($A2405="","",IFERROR(INDEX(Offerte!$D$2:$D$81,MATCH($Q2405,Offerte!$L$2:$L$81,0)),0))</f>
        <v/>
      </c>
      <c r="T2405" s="57">
        <f>IF($A2405="","",IFERROR(INDEX(Offerte!$G$2:$G$81,MATCH($Q2405,Offerte!$L$2:$L$81,0)),"NO"))</f>
        <v/>
      </c>
    </row>
    <row r="2406">
      <c r="A2406" s="48">
        <f>IF(Offerte!$A79="","",Offerte!$A79)</f>
        <v/>
      </c>
      <c r="B2406" s="48">
        <f>IF(Offerte!$A79="","",Offerte!$B79)</f>
        <v/>
      </c>
      <c r="C2406" s="48">
        <f>IF(Offerte!$A79="","",Offerte!$C79)</f>
        <v/>
      </c>
      <c r="D2406" s="48" t="inlineStr">
        <is>
          <t>C.3.2</t>
        </is>
      </c>
      <c r="E2406" s="48" t="inlineStr">
        <is>
          <t>C</t>
        </is>
      </c>
      <c r="F2406" s="48" t="inlineStr">
        <is>
          <t>T</t>
        </is>
      </c>
      <c r="G2406" s="48" t="inlineStr">
        <is>
          <t>tabular</t>
        </is>
      </c>
      <c r="H2406" s="48" t="n">
        <v>2</v>
      </c>
      <c r="I2406" s="48" t="inlineStr">
        <is>
          <t>Informazioni a bordo su coincidenze ai nodi</t>
        </is>
      </c>
      <c r="J2406" s="73" t="n"/>
      <c r="K2406" s="73" t="n"/>
      <c r="L2406" s="73" t="n"/>
      <c r="M2406" s="73" t="n"/>
      <c r="N2406" s="57">
        <f>IF($A2406="","",IF(IFERROR(VALUE($M2406),0)=1,1,0))</f>
        <v/>
      </c>
      <c r="O2406" s="57">
        <f>IF($A2406="",0,IF(OR($S2406&lt;&gt;1,COUNTA($J2406:$M2406)=0),0,IF(AND($N2406=1,IFERROR(SUMIFS($N$5:$N$2484,$Q$5:$Q$2484,$Q2406,$D$5:$D$2484,"C.3.1"),0)&gt;=0.5),$H2406,0)))</f>
        <v/>
      </c>
      <c r="P2406" s="48" t="inlineStr">
        <is>
          <t>Dipende da C.3.1 &gt;= 0.5</t>
        </is>
      </c>
      <c r="Q2406" s="57">
        <f>IF($A2406="","",$A2406&amp;"|"&amp;$C2406)</f>
        <v/>
      </c>
      <c r="R2406" s="57">
        <f>IF($A2406="","",$A2406&amp;"|"&amp;$C2406&amp;"|"&amp;$D2406)</f>
        <v/>
      </c>
      <c r="S2406" s="57">
        <f>IF($A2406="","",IFERROR(INDEX(Offerte!$D$2:$D$81,MATCH($Q2406,Offerte!$L$2:$L$81,0)),0))</f>
        <v/>
      </c>
      <c r="T2406" s="57">
        <f>IF($A2406="","",IFERROR(INDEX(Offerte!$G$2:$G$81,MATCH($Q2406,Offerte!$L$2:$L$81,0)),"NO"))</f>
        <v/>
      </c>
    </row>
    <row r="2407">
      <c r="A2407" s="48">
        <f>IF(Offerte!$A79="","",Offerte!$A79)</f>
        <v/>
      </c>
      <c r="B2407" s="48">
        <f>IF(Offerte!$A79="","",Offerte!$B79)</f>
        <v/>
      </c>
      <c r="C2407" s="48">
        <f>IF(Offerte!$A79="","",Offerte!$C79)</f>
        <v/>
      </c>
      <c r="D2407" s="48" t="inlineStr">
        <is>
          <t>D.1.1</t>
        </is>
      </c>
      <c r="E2407" s="48" t="inlineStr">
        <is>
          <t>D</t>
        </is>
      </c>
      <c r="F2407" s="48" t="inlineStr">
        <is>
          <t>Q</t>
        </is>
      </c>
      <c r="G2407" s="48" t="inlineStr">
        <is>
          <t>higher</t>
        </is>
      </c>
      <c r="H2407" s="48" t="n">
        <v>3</v>
      </c>
      <c r="I2407" s="48" t="inlineStr">
        <is>
          <t>Installazione di pensiline</t>
        </is>
      </c>
      <c r="J2407" s="73" t="n"/>
      <c r="K2407" s="73" t="n"/>
      <c r="L2407" s="73" t="n"/>
      <c r="M2407" s="73" t="n"/>
      <c r="N2407" s="57">
        <f>IF($A2407="","",IFERROR(VALUE($J2407),0))</f>
        <v/>
      </c>
      <c r="O2407" s="57">
        <f>IF($A2407="",0,IF(OR($S2407&lt;&gt;1,COUNTA($J2407:$M2407)=0),0,IF(SUMPRODUCT(MAX(($C$5:$C$2484=$C2407)*($D$5:$D$2484=$D2407)*($S$5:$S$2484=1)*IFERROR($N$5:$N$2484*1,0)))&gt;0,ROUND($H2407*($N2407/SUMPRODUCT(MAX(($C$5:$C$2484=$C2407)*($D$5:$D$2484=$D2407)*($S$5:$S$2484=1)*IFERROR($N$5:$N$2484*1,0)))),4),0)))</f>
        <v/>
      </c>
      <c r="P2407" s="48" t="inlineStr">
        <is>
          <t>fermate</t>
        </is>
      </c>
      <c r="Q2407" s="57">
        <f>IF($A2407="","",$A2407&amp;"|"&amp;$C2407)</f>
        <v/>
      </c>
      <c r="R2407" s="57">
        <f>IF($A2407="","",$A2407&amp;"|"&amp;$C2407&amp;"|"&amp;$D2407)</f>
        <v/>
      </c>
      <c r="S2407" s="57">
        <f>IF($A2407="","",IFERROR(INDEX(Offerte!$D$2:$D$81,MATCH($Q2407,Offerte!$L$2:$L$81,0)),0))</f>
        <v/>
      </c>
      <c r="T2407" s="57">
        <f>IF($A2407="","",IFERROR(INDEX(Offerte!$G$2:$G$81,MATCH($Q2407,Offerte!$L$2:$L$81,0)),"NO"))</f>
        <v/>
      </c>
    </row>
    <row r="2408">
      <c r="A2408" s="48">
        <f>IF(Offerte!$A79="","",Offerte!$A79)</f>
        <v/>
      </c>
      <c r="B2408" s="48">
        <f>IF(Offerte!$A79="","",Offerte!$B79)</f>
        <v/>
      </c>
      <c r="C2408" s="48">
        <f>IF(Offerte!$A79="","",Offerte!$C79)</f>
        <v/>
      </c>
      <c r="D2408" s="48" t="inlineStr">
        <is>
          <t>D.1.2</t>
        </is>
      </c>
      <c r="E2408" s="48" t="inlineStr">
        <is>
          <t>D</t>
        </is>
      </c>
      <c r="F2408" s="48" t="inlineStr">
        <is>
          <t>Q</t>
        </is>
      </c>
      <c r="G2408" s="48" t="inlineStr">
        <is>
          <t>higher</t>
        </is>
      </c>
      <c r="H2408" s="48" t="n">
        <v>3</v>
      </c>
      <c r="I2408" s="48" t="inlineStr">
        <is>
          <t>Installazione di paline di fermata conformi alla DGR 581/2023</t>
        </is>
      </c>
      <c r="J2408" s="73" t="n"/>
      <c r="K2408" s="73" t="n"/>
      <c r="L2408" s="73" t="n"/>
      <c r="M2408" s="73" t="n"/>
      <c r="N2408" s="57">
        <f>IF($A2408="","",IFERROR(VALUE($J2408),0))</f>
        <v/>
      </c>
      <c r="O2408" s="57">
        <f>IF($A2408="",0,IF(OR($S2408&lt;&gt;1,COUNTA($J2408:$M2408)=0),0,IF(SUMPRODUCT(MAX(($C$5:$C$2484=$C2408)*($D$5:$D$2484=$D2408)*($S$5:$S$2484=1)*IFERROR($N$5:$N$2484*1,0)))&gt;0,ROUND($H2408*($N2408/SUMPRODUCT(MAX(($C$5:$C$2484=$C2408)*($D$5:$D$2484=$D2408)*($S$5:$S$2484=1)*IFERROR($N$5:$N$2484*1,0)))),4),0)))</f>
        <v/>
      </c>
      <c r="P2408" s="48" t="inlineStr">
        <is>
          <t>fermate</t>
        </is>
      </c>
      <c r="Q2408" s="57">
        <f>IF($A2408="","",$A2408&amp;"|"&amp;$C2408)</f>
        <v/>
      </c>
      <c r="R2408" s="57">
        <f>IF($A2408="","",$A2408&amp;"|"&amp;$C2408&amp;"|"&amp;$D2408)</f>
        <v/>
      </c>
      <c r="S2408" s="57">
        <f>IF($A2408="","",IFERROR(INDEX(Offerte!$D$2:$D$81,MATCH($Q2408,Offerte!$L$2:$L$81,0)),0))</f>
        <v/>
      </c>
      <c r="T2408" s="57">
        <f>IF($A2408="","",IFERROR(INDEX(Offerte!$G$2:$G$81,MATCH($Q2408,Offerte!$L$2:$L$81,0)),"NO"))</f>
        <v/>
      </c>
    </row>
    <row r="2409">
      <c r="A2409" s="48">
        <f>IF(Offerte!$A79="","",Offerte!$A79)</f>
        <v/>
      </c>
      <c r="B2409" s="48">
        <f>IF(Offerte!$A79="","",Offerte!$B79)</f>
        <v/>
      </c>
      <c r="C2409" s="48">
        <f>IF(Offerte!$A79="","",Offerte!$C79)</f>
        <v/>
      </c>
      <c r="D2409" s="48" t="inlineStr">
        <is>
          <t>D.1.3</t>
        </is>
      </c>
      <c r="E2409" s="48" t="inlineStr">
        <is>
          <t>D</t>
        </is>
      </c>
      <c r="F2409" s="48" t="inlineStr">
        <is>
          <t>Q</t>
        </is>
      </c>
      <c r="G2409" s="48" t="inlineStr">
        <is>
          <t>higher</t>
        </is>
      </c>
      <c r="H2409" s="48" t="n">
        <v>2</v>
      </c>
      <c r="I2409" s="48" t="inlineStr">
        <is>
          <t>Display informativi connessi alle fermate</t>
        </is>
      </c>
      <c r="J2409" s="73" t="n"/>
      <c r="K2409" s="73" t="n"/>
      <c r="L2409" s="73" t="n"/>
      <c r="M2409" s="73" t="n"/>
      <c r="N2409" s="57">
        <f>IF($A2409="","",IFERROR(VALUE($J2409),0))</f>
        <v/>
      </c>
      <c r="O2409" s="57">
        <f>IF($A2409="",0,IF(OR($S2409&lt;&gt;1,COUNTA($J2409:$M2409)=0),0,IF(SUMPRODUCT(MAX(($C$5:$C$2484=$C2409)*($D$5:$D$2484=$D2409)*($S$5:$S$2484=1)*IFERROR($N$5:$N$2484*1,0)))&gt;0,ROUND($H2409*($N2409/SUMPRODUCT(MAX(($C$5:$C$2484=$C2409)*($D$5:$D$2484=$D2409)*($S$5:$S$2484=1)*IFERROR($N$5:$N$2484*1,0)))),4),0)))</f>
        <v/>
      </c>
      <c r="P2409" s="48" t="inlineStr">
        <is>
          <t>fermate</t>
        </is>
      </c>
      <c r="Q2409" s="57">
        <f>IF($A2409="","",$A2409&amp;"|"&amp;$C2409)</f>
        <v/>
      </c>
      <c r="R2409" s="57">
        <f>IF($A2409="","",$A2409&amp;"|"&amp;$C2409&amp;"|"&amp;$D2409)</f>
        <v/>
      </c>
      <c r="S2409" s="57">
        <f>IF($A2409="","",IFERROR(INDEX(Offerte!$D$2:$D$81,MATCH($Q2409,Offerte!$L$2:$L$81,0)),0))</f>
        <v/>
      </c>
      <c r="T2409" s="57">
        <f>IF($A2409="","",IFERROR(INDEX(Offerte!$G$2:$G$81,MATCH($Q2409,Offerte!$L$2:$L$81,0)),"NO"))</f>
        <v/>
      </c>
    </row>
    <row r="2410">
      <c r="A2410" s="48">
        <f>IF(Offerte!$A79="","",Offerte!$A79)</f>
        <v/>
      </c>
      <c r="B2410" s="48">
        <f>IF(Offerte!$A79="","",Offerte!$B79)</f>
        <v/>
      </c>
      <c r="C2410" s="48">
        <f>IF(Offerte!$A79="","",Offerte!$C79)</f>
        <v/>
      </c>
      <c r="D2410" s="48" t="inlineStr">
        <is>
          <t>D.2.1</t>
        </is>
      </c>
      <c r="E2410" s="48" t="inlineStr">
        <is>
          <t>D</t>
        </is>
      </c>
      <c r="F2410" s="48" t="inlineStr">
        <is>
          <t>Q</t>
        </is>
      </c>
      <c r="G2410" s="48" t="inlineStr">
        <is>
          <t>higher</t>
        </is>
      </c>
      <c r="H2410" s="48" t="n">
        <v>2</v>
      </c>
      <c r="I2410" s="48" t="inlineStr">
        <is>
          <t>Segnali tattili Loges-Vet-Evolution</t>
        </is>
      </c>
      <c r="J2410" s="73" t="n"/>
      <c r="K2410" s="73" t="n"/>
      <c r="L2410" s="73" t="n"/>
      <c r="M2410" s="73" t="n"/>
      <c r="N2410" s="57">
        <f>IF($A2410="","",IFERROR(VALUE($J2410),0))</f>
        <v/>
      </c>
      <c r="O2410" s="57">
        <f>IF($A2410="",0,IF(OR($S2410&lt;&gt;1,COUNTA($J2410:$M2410)=0),0,IF(SUMPRODUCT(MAX(($C$5:$C$2484=$C2410)*($D$5:$D$2484=$D2410)*($S$5:$S$2484=1)*IFERROR($N$5:$N$2484*1,0)))&gt;0,ROUND($H2410*($N2410/SUMPRODUCT(MAX(($C$5:$C$2484=$C2410)*($D$5:$D$2484=$D2410)*($S$5:$S$2484=1)*IFERROR($N$5:$N$2484*1,0)))),4),0)))</f>
        <v/>
      </c>
      <c r="P2410" s="48" t="inlineStr">
        <is>
          <t>fermate</t>
        </is>
      </c>
      <c r="Q2410" s="57">
        <f>IF($A2410="","",$A2410&amp;"|"&amp;$C2410)</f>
        <v/>
      </c>
      <c r="R2410" s="57">
        <f>IF($A2410="","",$A2410&amp;"|"&amp;$C2410&amp;"|"&amp;$D2410)</f>
        <v/>
      </c>
      <c r="S2410" s="57">
        <f>IF($A2410="","",IFERROR(INDEX(Offerte!$D$2:$D$81,MATCH($Q2410,Offerte!$L$2:$L$81,0)),0))</f>
        <v/>
      </c>
      <c r="T2410" s="57">
        <f>IF($A2410="","",IFERROR(INDEX(Offerte!$G$2:$G$81,MATCH($Q2410,Offerte!$L$2:$L$81,0)),"NO"))</f>
        <v/>
      </c>
    </row>
    <row r="2411">
      <c r="A2411" s="48">
        <f>IF(Offerte!$A79="","",Offerte!$A79)</f>
        <v/>
      </c>
      <c r="B2411" s="48">
        <f>IF(Offerte!$A79="","",Offerte!$B79)</f>
        <v/>
      </c>
      <c r="C2411" s="48">
        <f>IF(Offerte!$A79="","",Offerte!$C79)</f>
        <v/>
      </c>
      <c r="D2411" s="48" t="inlineStr">
        <is>
          <t>E.1.1</t>
        </is>
      </c>
      <c r="E2411" s="48" t="inlineStr">
        <is>
          <t>E</t>
        </is>
      </c>
      <c r="F2411" s="48" t="inlineStr">
        <is>
          <t>T</t>
        </is>
      </c>
      <c r="G2411" s="48" t="inlineStr">
        <is>
          <t>tabular</t>
        </is>
      </c>
      <c r="H2411" s="48" t="n">
        <v>2</v>
      </c>
      <c r="I2411" s="48" t="inlineStr">
        <is>
          <t>Mobile app con travel planner PRM</t>
        </is>
      </c>
      <c r="J2411" s="73" t="n"/>
      <c r="K2411" s="73" t="n"/>
      <c r="L2411" s="73" t="n"/>
      <c r="M2411" s="73" t="n"/>
      <c r="N2411" s="57">
        <f>IF($A2411="","",IF(IFERROR(VALUE($M2411),0)=1,1,0))</f>
        <v/>
      </c>
      <c r="O2411" s="57">
        <f>IF($A2411="",0,IF(OR($S2411&lt;&gt;1,COUNTA($J2411:$M2411)=0),0,IF($N2411=1,$H2411,0)))</f>
        <v/>
      </c>
      <c r="P2411" s="48" t="inlineStr">
        <is>
          <t>sì/no</t>
        </is>
      </c>
      <c r="Q2411" s="57">
        <f>IF($A2411="","",$A2411&amp;"|"&amp;$C2411)</f>
        <v/>
      </c>
      <c r="R2411" s="57">
        <f>IF($A2411="","",$A2411&amp;"|"&amp;$C2411&amp;"|"&amp;$D2411)</f>
        <v/>
      </c>
      <c r="S2411" s="57">
        <f>IF($A2411="","",IFERROR(INDEX(Offerte!$D$2:$D$81,MATCH($Q2411,Offerte!$L$2:$L$81,0)),0))</f>
        <v/>
      </c>
      <c r="T2411" s="57">
        <f>IF($A2411="","",IFERROR(INDEX(Offerte!$G$2:$G$81,MATCH($Q2411,Offerte!$L$2:$L$81,0)),"NO"))</f>
        <v/>
      </c>
    </row>
    <row r="2412">
      <c r="A2412" s="48">
        <f>IF(Offerte!$A79="","",Offerte!$A79)</f>
        <v/>
      </c>
      <c r="B2412" s="48">
        <f>IF(Offerte!$A79="","",Offerte!$B79)</f>
        <v/>
      </c>
      <c r="C2412" s="48">
        <f>IF(Offerte!$A79="","",Offerte!$C79)</f>
        <v/>
      </c>
      <c r="D2412" s="48" t="inlineStr">
        <is>
          <t>E.2.1</t>
        </is>
      </c>
      <c r="E2412" s="48" t="inlineStr">
        <is>
          <t>E</t>
        </is>
      </c>
      <c r="F2412" s="48" t="inlineStr">
        <is>
          <t>D</t>
        </is>
      </c>
      <c r="G2412" s="48" t="inlineStr">
        <is>
          <t>discretionary</t>
        </is>
      </c>
      <c r="H2412" s="48" t="n">
        <v>2</v>
      </c>
      <c r="I2412" s="48" t="inlineStr">
        <is>
          <t>Altre azioni informative e rapporti con gli utenti</t>
        </is>
      </c>
      <c r="J2412" s="73" t="n"/>
      <c r="K2412" s="73" t="n"/>
      <c r="L2412" s="73" t="n"/>
      <c r="M2412" s="73" t="n"/>
      <c r="N2412" s="57">
        <f>IF($A2412="","",MAX(0,MIN(1,IFERROR(VALUE($M2412),0))))</f>
        <v/>
      </c>
      <c r="O2412" s="57">
        <f>IF($A2412="",0,IF(OR($S2412&lt;&gt;1,COUNTA($J2412:$M2412)=0),0,IF(SUMPRODUCT(MAX(($C$5:$C$2484=$C2412)*($D$5:$D$2484=$D2412)*($S$5:$S$2484=1)*IFERROR($N$5:$N$2484*1,0)))&gt;0,ROUND($H2412*($N2412/SUMPRODUCT(MAX(($C$5:$C$2484=$C2412)*($D$5:$D$2484=$D2412)*($S$5:$S$2484=1)*IFERROR($N$5:$N$2484*1,0)))),4),0)))</f>
        <v/>
      </c>
      <c r="P2412" s="48" t="inlineStr">
        <is>
          <t>coeff.</t>
        </is>
      </c>
      <c r="Q2412" s="57">
        <f>IF($A2412="","",$A2412&amp;"|"&amp;$C2412)</f>
        <v/>
      </c>
      <c r="R2412" s="57">
        <f>IF($A2412="","",$A2412&amp;"|"&amp;$C2412&amp;"|"&amp;$D2412)</f>
        <v/>
      </c>
      <c r="S2412" s="57">
        <f>IF($A2412="","",IFERROR(INDEX(Offerte!$D$2:$D$81,MATCH($Q2412,Offerte!$L$2:$L$81,0)),0))</f>
        <v/>
      </c>
      <c r="T2412" s="57">
        <f>IF($A2412="","",IFERROR(INDEX(Offerte!$G$2:$G$81,MATCH($Q2412,Offerte!$L$2:$L$81,0)),"NO"))</f>
        <v/>
      </c>
    </row>
    <row r="2413">
      <c r="A2413" s="48">
        <f>IF(Offerte!$A79="","",Offerte!$A79)</f>
        <v/>
      </c>
      <c r="B2413" s="48">
        <f>IF(Offerte!$A79="","",Offerte!$B79)</f>
        <v/>
      </c>
      <c r="C2413" s="48">
        <f>IF(Offerte!$A79="","",Offerte!$C79)</f>
        <v/>
      </c>
      <c r="D2413" s="48" t="inlineStr">
        <is>
          <t>F.1.1</t>
        </is>
      </c>
      <c r="E2413" s="48" t="inlineStr">
        <is>
          <t>F</t>
        </is>
      </c>
      <c r="F2413" s="48" t="inlineStr">
        <is>
          <t>Q</t>
        </is>
      </c>
      <c r="G2413" s="48" t="inlineStr">
        <is>
          <t>lower</t>
        </is>
      </c>
      <c r="H2413" s="48" t="n">
        <v>7</v>
      </c>
      <c r="I2413" s="48" t="inlineStr">
        <is>
          <t>Performance ambientali del parco mezzi adibito al servizio - I_CEA</t>
        </is>
      </c>
      <c r="J2413" s="73" t="n"/>
      <c r="K2413" s="73" t="n"/>
      <c r="L2413" s="73" t="n"/>
      <c r="M2413" s="73" t="n"/>
      <c r="N2413" s="57">
        <f>IF($A2413="","",IFERROR(VALUE($J2413),0))</f>
        <v/>
      </c>
      <c r="O2413" s="57">
        <f>IF($A2413="",0,IF(OR($S2413&lt;&gt;1,COUNTA($J2413:$M2413)=0),0,IF(AND(IFERROR(AGGREGATE(15,6,$N$5:$N$2484/(($C$5:$C$2484=$C2413)*($D$5:$D$2484=$D2413)*($S$5:$S$2484=1)*($N$5:$N$2484&gt;0)),1),0)&gt;0,$N2413&gt;0),ROUND($H2413*(IFERROR(AGGREGATE(15,6,$N$5:$N$2484/(($C$5:$C$2484=$C2413)*($D$5:$D$2484=$D2413)*($S$5:$S$2484=1)*($N$5:$N$2484&gt;0)),1),0)/$N2413),4),0)))</f>
        <v/>
      </c>
      <c r="P2413" s="48" t="inlineStr">
        <is>
          <t>indice</t>
        </is>
      </c>
      <c r="Q2413" s="57">
        <f>IF($A2413="","",$A2413&amp;"|"&amp;$C2413)</f>
        <v/>
      </c>
      <c r="R2413" s="57">
        <f>IF($A2413="","",$A2413&amp;"|"&amp;$C2413&amp;"|"&amp;$D2413)</f>
        <v/>
      </c>
      <c r="S2413" s="57">
        <f>IF($A2413="","",IFERROR(INDEX(Offerte!$D$2:$D$81,MATCH($Q2413,Offerte!$L$2:$L$81,0)),0))</f>
        <v/>
      </c>
      <c r="T2413" s="57">
        <f>IF($A2413="","",IFERROR(INDEX(Offerte!$G$2:$G$81,MATCH($Q2413,Offerte!$L$2:$L$81,0)),"NO"))</f>
        <v/>
      </c>
    </row>
    <row r="2414">
      <c r="A2414" s="48">
        <f>IF(Offerte!$A79="","",Offerte!$A79)</f>
        <v/>
      </c>
      <c r="B2414" s="48">
        <f>IF(Offerte!$A79="","",Offerte!$B79)</f>
        <v/>
      </c>
      <c r="C2414" s="48">
        <f>IF(Offerte!$A79="","",Offerte!$C79)</f>
        <v/>
      </c>
      <c r="D2414" s="48" t="inlineStr">
        <is>
          <t>F.2.1</t>
        </is>
      </c>
      <c r="E2414" s="48" t="inlineStr">
        <is>
          <t>F</t>
        </is>
      </c>
      <c r="F2414" s="48" t="inlineStr">
        <is>
          <t>Q</t>
        </is>
      </c>
      <c r="G2414" s="48" t="inlineStr">
        <is>
          <t>higher</t>
        </is>
      </c>
      <c r="H2414" s="48" t="n">
        <v>2</v>
      </c>
      <c r="I2414" s="48" t="inlineStr">
        <is>
          <t>Tasso di copertura del servizio con dispositivi ECO-DRIVER</t>
        </is>
      </c>
      <c r="J2414" s="73" t="n"/>
      <c r="K2414" s="73" t="n"/>
      <c r="L2414" s="73" t="n"/>
      <c r="M2414" s="73" t="n"/>
      <c r="N2414" s="57">
        <f>IF($A2414="","",IFERROR(VALUE($K2414)/VALUE($L2414),IFERROR(VALUE($J2414),0)))</f>
        <v/>
      </c>
      <c r="O2414" s="57">
        <f>IF($A2414="",0,IF(OR($S2414&lt;&gt;1,COUNTA($J2414:$M2414)=0),0,IF(SUMPRODUCT(MAX(($C$5:$C$2484=$C2414)*($D$5:$D$2484=$D2414)*($S$5:$S$2484=1)*IFERROR($N$5:$N$2484*1,0)))&gt;0,ROUND($H2414*($N2414/SUMPRODUCT(MAX(($C$5:$C$2484=$C2414)*($D$5:$D$2484=$D2414)*($S$5:$S$2484=1)*IFERROR($N$5:$N$2484*1,0)))),4),0)))</f>
        <v/>
      </c>
      <c r="P2414" s="48" t="inlineStr">
        <is>
          <t>Autobus attrezzati con dispositivi ECO-DRIVER / Autobus totali in offerta, incluse scorte</t>
        </is>
      </c>
      <c r="Q2414" s="57">
        <f>IF($A2414="","",$A2414&amp;"|"&amp;$C2414)</f>
        <v/>
      </c>
      <c r="R2414" s="57">
        <f>IF($A2414="","",$A2414&amp;"|"&amp;$C2414&amp;"|"&amp;$D2414)</f>
        <v/>
      </c>
      <c r="S2414" s="57">
        <f>IF($A2414="","",IFERROR(INDEX(Offerte!$D$2:$D$81,MATCH($Q2414,Offerte!$L$2:$L$81,0)),0))</f>
        <v/>
      </c>
      <c r="T2414" s="57">
        <f>IF($A2414="","",IFERROR(INDEX(Offerte!$G$2:$G$81,MATCH($Q2414,Offerte!$L$2:$L$81,0)),"NO"))</f>
        <v/>
      </c>
    </row>
    <row r="2415">
      <c r="A2415" s="48">
        <f>IF(Offerte!$A79="","",Offerte!$A79)</f>
        <v/>
      </c>
      <c r="B2415" s="48">
        <f>IF(Offerte!$A79="","",Offerte!$B79)</f>
        <v/>
      </c>
      <c r="C2415" s="48">
        <f>IF(Offerte!$A79="","",Offerte!$C79)</f>
        <v/>
      </c>
      <c r="D2415" s="48" t="inlineStr">
        <is>
          <t>F.3.1</t>
        </is>
      </c>
      <c r="E2415" s="48" t="inlineStr">
        <is>
          <t>F</t>
        </is>
      </c>
      <c r="F2415" s="48" t="inlineStr">
        <is>
          <t>Q</t>
        </is>
      </c>
      <c r="G2415" s="48" t="inlineStr">
        <is>
          <t>higher</t>
        </is>
      </c>
      <c r="H2415" s="48" t="n">
        <v>2</v>
      </c>
      <c r="I2415" s="48" t="inlineStr">
        <is>
          <t>Autoproduzione consumi elettrici per trazione</t>
        </is>
      </c>
      <c r="J2415" s="73" t="n"/>
      <c r="K2415" s="73" t="n"/>
      <c r="L2415" s="73" t="n"/>
      <c r="M2415" s="73" t="n"/>
      <c r="N2415" s="57">
        <f>IF($A2415="","",IFERROR(VALUE($J2415),0))</f>
        <v/>
      </c>
      <c r="O2415" s="57">
        <f>IF($A2415="",0,IF(OR($S2415&lt;&gt;1,COUNTA($J2415:$M2415)=0),0,IF(SUMPRODUCT(MAX(($C$5:$C$2484=$C2415)*($D$5:$D$2484=$D2415)*($S$5:$S$2484=1)*IFERROR($N$5:$N$2484*1,0)))&gt;0,ROUND($H2415*($N2415/SUMPRODUCT(MAX(($C$5:$C$2484=$C2415)*($D$5:$D$2484=$D2415)*($S$5:$S$2484=1)*IFERROR($N$5:$N$2484*1,0)))),4),0)))</f>
        <v/>
      </c>
      <c r="P2415" s="48" t="inlineStr">
        <is>
          <t>kWh/anno</t>
        </is>
      </c>
      <c r="Q2415" s="57">
        <f>IF($A2415="","",$A2415&amp;"|"&amp;$C2415)</f>
        <v/>
      </c>
      <c r="R2415" s="57">
        <f>IF($A2415="","",$A2415&amp;"|"&amp;$C2415&amp;"|"&amp;$D2415)</f>
        <v/>
      </c>
      <c r="S2415" s="57">
        <f>IF($A2415="","",IFERROR(INDEX(Offerte!$D$2:$D$81,MATCH($Q2415,Offerte!$L$2:$L$81,0)),0))</f>
        <v/>
      </c>
      <c r="T2415" s="57">
        <f>IF($A2415="","",IFERROR(INDEX(Offerte!$G$2:$G$81,MATCH($Q2415,Offerte!$L$2:$L$81,0)),"NO"))</f>
        <v/>
      </c>
    </row>
    <row r="2416">
      <c r="A2416" s="48">
        <f>IF(Offerte!$A79="","",Offerte!$A79)</f>
        <v/>
      </c>
      <c r="B2416" s="48">
        <f>IF(Offerte!$A79="","",Offerte!$B79)</f>
        <v/>
      </c>
      <c r="C2416" s="48">
        <f>IF(Offerte!$A79="","",Offerte!$C79)</f>
        <v/>
      </c>
      <c r="D2416" s="48" t="inlineStr">
        <is>
          <t>F.4.1</t>
        </is>
      </c>
      <c r="E2416" s="48" t="inlineStr">
        <is>
          <t>F</t>
        </is>
      </c>
      <c r="F2416" s="48" t="inlineStr">
        <is>
          <t>Q</t>
        </is>
      </c>
      <c r="G2416" s="48" t="inlineStr">
        <is>
          <t>soil</t>
        </is>
      </c>
      <c r="H2416" s="48" t="n">
        <v>2</v>
      </c>
      <c r="I2416" s="48" t="inlineStr">
        <is>
          <t>Indice di consumo di suolo</t>
        </is>
      </c>
      <c r="J2416" s="73" t="n"/>
      <c r="K2416" s="73" t="n"/>
      <c r="L2416" s="73" t="n"/>
      <c r="M2416" s="73" t="n"/>
      <c r="N2416" s="57">
        <f>IF($A2416="","",IFERROR(VALUE($J2416),0))</f>
        <v/>
      </c>
      <c r="O2416" s="57">
        <f>IF($A2416="",0,IF(OR($S2416&lt;&gt;1,COUNTA($J2416:$M2416)=0),0,IF($N2416&lt;=0,$H2416,IF(SUMPRODUCT(MAX(($C$5:$C$2484=$C2416)*($D$5:$D$2484=$D2416)*($S$5:$S$2484=1)*IFERROR($N$5:$N$2484*1,0)))&gt;0,ROUND($H2416*((SUMPRODUCT(MAX(($C$5:$C$2484=$C2416)*($D$5:$D$2484=$D2416)*($S$5:$S$2484=1)*IFERROR($N$5:$N$2484*1,0)))-$N2416)/SUMPRODUCT(MAX(($C$5:$C$2484=$C2416)*($D$5:$D$2484=$D2416)*($S$5:$S$2484=1)*IFERROR($N$5:$N$2484*1,0)))),4),0))))</f>
        <v/>
      </c>
      <c r="P2416" s="48" t="inlineStr">
        <is>
          <t>m2</t>
        </is>
      </c>
      <c r="Q2416" s="57">
        <f>IF($A2416="","",$A2416&amp;"|"&amp;$C2416)</f>
        <v/>
      </c>
      <c r="R2416" s="57">
        <f>IF($A2416="","",$A2416&amp;"|"&amp;$C2416&amp;"|"&amp;$D2416)</f>
        <v/>
      </c>
      <c r="S2416" s="57">
        <f>IF($A2416="","",IFERROR(INDEX(Offerte!$D$2:$D$81,MATCH($Q2416,Offerte!$L$2:$L$81,0)),0))</f>
        <v/>
      </c>
      <c r="T2416" s="57">
        <f>IF($A2416="","",IFERROR(INDEX(Offerte!$G$2:$G$81,MATCH($Q2416,Offerte!$L$2:$L$81,0)),"NO"))</f>
        <v/>
      </c>
    </row>
    <row r="2417">
      <c r="A2417" s="48">
        <f>IF(Offerte!$A79="","",Offerte!$A79)</f>
        <v/>
      </c>
      <c r="B2417" s="48">
        <f>IF(Offerte!$A79="","",Offerte!$B79)</f>
        <v/>
      </c>
      <c r="C2417" s="48">
        <f>IF(Offerte!$A79="","",Offerte!$C79)</f>
        <v/>
      </c>
      <c r="D2417" s="48" t="inlineStr">
        <is>
          <t>F.5.1</t>
        </is>
      </c>
      <c r="E2417" s="48" t="inlineStr">
        <is>
          <t>F</t>
        </is>
      </c>
      <c r="F2417" s="48" t="inlineStr">
        <is>
          <t>T</t>
        </is>
      </c>
      <c r="G2417" s="48" t="inlineStr">
        <is>
          <t>tabular</t>
        </is>
      </c>
      <c r="H2417" s="48" t="n">
        <v>1</v>
      </c>
      <c r="I2417" s="48" t="inlineStr">
        <is>
          <t>Rendicontazione di sostenibilità ambientale</t>
        </is>
      </c>
      <c r="J2417" s="73" t="n"/>
      <c r="K2417" s="73" t="n"/>
      <c r="L2417" s="73" t="n"/>
      <c r="M2417" s="73" t="n"/>
      <c r="N2417" s="57">
        <f>IF($A2417="","",IF(IFERROR(VALUE($M2417),0)=1,1,0))</f>
        <v/>
      </c>
      <c r="O2417" s="57">
        <f>IF($A2417="",0,IF(OR($S2417&lt;&gt;1,COUNTA($J2417:$M2417)=0),0,IF($N2417=1,$H2417,0)))</f>
        <v/>
      </c>
      <c r="P2417" s="48" t="inlineStr">
        <is>
          <t>sì/no</t>
        </is>
      </c>
      <c r="Q2417" s="57">
        <f>IF($A2417="","",$A2417&amp;"|"&amp;$C2417)</f>
        <v/>
      </c>
      <c r="R2417" s="57">
        <f>IF($A2417="","",$A2417&amp;"|"&amp;$C2417&amp;"|"&amp;$D2417)</f>
        <v/>
      </c>
      <c r="S2417" s="57">
        <f>IF($A2417="","",IFERROR(INDEX(Offerte!$D$2:$D$81,MATCH($Q2417,Offerte!$L$2:$L$81,0)),0))</f>
        <v/>
      </c>
      <c r="T2417" s="57">
        <f>IF($A2417="","",IFERROR(INDEX(Offerte!$G$2:$G$81,MATCH($Q2417,Offerte!$L$2:$L$81,0)),"NO"))</f>
        <v/>
      </c>
    </row>
    <row r="2418">
      <c r="A2418" s="48">
        <f>IF(Offerte!$A79="","",Offerte!$A79)</f>
        <v/>
      </c>
      <c r="B2418" s="48">
        <f>IF(Offerte!$A79="","",Offerte!$B79)</f>
        <v/>
      </c>
      <c r="C2418" s="48">
        <f>IF(Offerte!$A79="","",Offerte!$C79)</f>
        <v/>
      </c>
      <c r="D2418" s="48" t="inlineStr">
        <is>
          <t>G.1.1</t>
        </is>
      </c>
      <c r="E2418" s="48" t="inlineStr">
        <is>
          <t>G</t>
        </is>
      </c>
      <c r="F2418" s="48" t="inlineStr">
        <is>
          <t>D</t>
        </is>
      </c>
      <c r="G2418" s="48" t="inlineStr">
        <is>
          <t>discretionary</t>
        </is>
      </c>
      <c r="H2418" s="48" t="n">
        <v>2</v>
      </c>
      <c r="I2418" s="48" t="inlineStr">
        <is>
          <t>Qualità del progetto di centrale di controllo aziendale</t>
        </is>
      </c>
      <c r="J2418" s="73" t="n"/>
      <c r="K2418" s="73" t="n"/>
      <c r="L2418" s="73" t="n"/>
      <c r="M2418" s="73" t="n"/>
      <c r="N2418" s="57">
        <f>IF($A2418="","",MAX(0,MIN(1,IFERROR(VALUE($M2418),0))))</f>
        <v/>
      </c>
      <c r="O2418" s="57">
        <f>IF($A2418="",0,IF(OR($S2418&lt;&gt;1,COUNTA($J2418:$M2418)=0),0,IF(SUMPRODUCT(MAX(($C$5:$C$2484=$C2418)*($D$5:$D$2484=$D2418)*($S$5:$S$2484=1)*IFERROR($N$5:$N$2484*1,0)))&gt;0,ROUND($H2418*($N2418/SUMPRODUCT(MAX(($C$5:$C$2484=$C2418)*($D$5:$D$2484=$D2418)*($S$5:$S$2484=1)*IFERROR($N$5:$N$2484*1,0)))),4),0)))</f>
        <v/>
      </c>
      <c r="P2418" s="48" t="inlineStr">
        <is>
          <t>coeff.</t>
        </is>
      </c>
      <c r="Q2418" s="57">
        <f>IF($A2418="","",$A2418&amp;"|"&amp;$C2418)</f>
        <v/>
      </c>
      <c r="R2418" s="57">
        <f>IF($A2418="","",$A2418&amp;"|"&amp;$C2418&amp;"|"&amp;$D2418)</f>
        <v/>
      </c>
      <c r="S2418" s="57">
        <f>IF($A2418="","",IFERROR(INDEX(Offerte!$D$2:$D$81,MATCH($Q2418,Offerte!$L$2:$L$81,0)),0))</f>
        <v/>
      </c>
      <c r="T2418" s="57">
        <f>IF($A2418="","",IFERROR(INDEX(Offerte!$G$2:$G$81,MATCH($Q2418,Offerte!$L$2:$L$81,0)),"NO"))</f>
        <v/>
      </c>
    </row>
    <row r="2419">
      <c r="A2419" s="48">
        <f>IF(Offerte!$A79="","",Offerte!$A79)</f>
        <v/>
      </c>
      <c r="B2419" s="48">
        <f>IF(Offerte!$A79="","",Offerte!$B79)</f>
        <v/>
      </c>
      <c r="C2419" s="48">
        <f>IF(Offerte!$A79="","",Offerte!$C79)</f>
        <v/>
      </c>
      <c r="D2419" s="48" t="inlineStr">
        <is>
          <t>G.2.1</t>
        </is>
      </c>
      <c r="E2419" s="48" t="inlineStr">
        <is>
          <t>G</t>
        </is>
      </c>
      <c r="F2419" s="48" t="inlineStr">
        <is>
          <t>T</t>
        </is>
      </c>
      <c r="G2419" s="48" t="inlineStr">
        <is>
          <t>tabular</t>
        </is>
      </c>
      <c r="H2419" s="48" t="n">
        <v>1</v>
      </c>
      <c r="I2419" s="48" t="inlineStr">
        <is>
          <t>Certificazione ISO 45001</t>
        </is>
      </c>
      <c r="J2419" s="73" t="n"/>
      <c r="K2419" s="73" t="n"/>
      <c r="L2419" s="73" t="n"/>
      <c r="M2419" s="73" t="n"/>
      <c r="N2419" s="57">
        <f>IF($A2419="","",IF(IFERROR(VALUE($M2419),0)=1,1,0))</f>
        <v/>
      </c>
      <c r="O2419" s="57">
        <f>IF($A2419="",0,IF(OR($S2419&lt;&gt;1,COUNTA($J2419:$M2419)=0),0,IF($N2419=1,$H2419,0)))</f>
        <v/>
      </c>
      <c r="P2419" s="48" t="inlineStr">
        <is>
          <t>sì/no</t>
        </is>
      </c>
      <c r="Q2419" s="57">
        <f>IF($A2419="","",$A2419&amp;"|"&amp;$C2419)</f>
        <v/>
      </c>
      <c r="R2419" s="57">
        <f>IF($A2419="","",$A2419&amp;"|"&amp;$C2419&amp;"|"&amp;$D2419)</f>
        <v/>
      </c>
      <c r="S2419" s="57">
        <f>IF($A2419="","",IFERROR(INDEX(Offerte!$D$2:$D$81,MATCH($Q2419,Offerte!$L$2:$L$81,0)),0))</f>
        <v/>
      </c>
      <c r="T2419" s="57">
        <f>IF($A2419="","",IFERROR(INDEX(Offerte!$G$2:$G$81,MATCH($Q2419,Offerte!$L$2:$L$81,0)),"NO"))</f>
        <v/>
      </c>
    </row>
    <row r="2420">
      <c r="A2420" s="48">
        <f>IF(Offerte!$A79="","",Offerte!$A79)</f>
        <v/>
      </c>
      <c r="B2420" s="48">
        <f>IF(Offerte!$A79="","",Offerte!$B79)</f>
        <v/>
      </c>
      <c r="C2420" s="48">
        <f>IF(Offerte!$A79="","",Offerte!$C79)</f>
        <v/>
      </c>
      <c r="D2420" s="48" t="inlineStr">
        <is>
          <t>G.3.1</t>
        </is>
      </c>
      <c r="E2420" s="48" t="inlineStr">
        <is>
          <t>G</t>
        </is>
      </c>
      <c r="F2420" s="48" t="inlineStr">
        <is>
          <t>T</t>
        </is>
      </c>
      <c r="G2420" s="48" t="inlineStr">
        <is>
          <t>tabular</t>
        </is>
      </c>
      <c r="H2420" s="48" t="n">
        <v>1</v>
      </c>
      <c r="I2420" s="48" t="inlineStr">
        <is>
          <t>Certificazioni di responsabilità sociale</t>
        </is>
      </c>
      <c r="J2420" s="73" t="n"/>
      <c r="K2420" s="73" t="n"/>
      <c r="L2420" s="73" t="n"/>
      <c r="M2420" s="73" t="n"/>
      <c r="N2420" s="57">
        <f>IF($A2420="","",IF(IFERROR(VALUE($M2420),0)=1,1,0))</f>
        <v/>
      </c>
      <c r="O2420" s="57">
        <f>IF($A2420="",0,IF(OR($S2420&lt;&gt;1,COUNTA($J2420:$M2420)=0),0,IF($N2420=1,$H2420,0)))</f>
        <v/>
      </c>
      <c r="P2420" s="48" t="inlineStr">
        <is>
          <t>sì/no</t>
        </is>
      </c>
      <c r="Q2420" s="57">
        <f>IF($A2420="","",$A2420&amp;"|"&amp;$C2420)</f>
        <v/>
      </c>
      <c r="R2420" s="57">
        <f>IF($A2420="","",$A2420&amp;"|"&amp;$C2420&amp;"|"&amp;$D2420)</f>
        <v/>
      </c>
      <c r="S2420" s="57">
        <f>IF($A2420="","",IFERROR(INDEX(Offerte!$D$2:$D$81,MATCH($Q2420,Offerte!$L$2:$L$81,0)),0))</f>
        <v/>
      </c>
      <c r="T2420" s="57">
        <f>IF($A2420="","",IFERROR(INDEX(Offerte!$G$2:$G$81,MATCH($Q2420,Offerte!$L$2:$L$81,0)),"NO"))</f>
        <v/>
      </c>
    </row>
    <row r="2421">
      <c r="A2421" s="48">
        <f>IF(Offerte!$A79="","",Offerte!$A79)</f>
        <v/>
      </c>
      <c r="B2421" s="48">
        <f>IF(Offerte!$A79="","",Offerte!$B79)</f>
        <v/>
      </c>
      <c r="C2421" s="48">
        <f>IF(Offerte!$A79="","",Offerte!$C79)</f>
        <v/>
      </c>
      <c r="D2421" s="48" t="inlineStr">
        <is>
          <t>G.4.1</t>
        </is>
      </c>
      <c r="E2421" s="48" t="inlineStr">
        <is>
          <t>G</t>
        </is>
      </c>
      <c r="F2421" s="48" t="inlineStr">
        <is>
          <t>D</t>
        </is>
      </c>
      <c r="G2421" s="48" t="inlineStr">
        <is>
          <t>discretionary</t>
        </is>
      </c>
      <c r="H2421" s="48" t="n">
        <v>2</v>
      </c>
      <c r="I2421" s="48" t="inlineStr">
        <is>
          <t>Qualità del piano di formazione del personale</t>
        </is>
      </c>
      <c r="J2421" s="73" t="n"/>
      <c r="K2421" s="73" t="n"/>
      <c r="L2421" s="73" t="n"/>
      <c r="M2421" s="73" t="n"/>
      <c r="N2421" s="57">
        <f>IF($A2421="","",MAX(0,MIN(1,IFERROR(VALUE($M2421),0))))</f>
        <v/>
      </c>
      <c r="O2421" s="57">
        <f>IF($A2421="",0,IF(OR($S2421&lt;&gt;1,COUNTA($J2421:$M2421)=0),0,IF(SUMPRODUCT(MAX(($C$5:$C$2484=$C2421)*($D$5:$D$2484=$D2421)*($S$5:$S$2484=1)*IFERROR($N$5:$N$2484*1,0)))&gt;0,ROUND($H2421*($N2421/SUMPRODUCT(MAX(($C$5:$C$2484=$C2421)*($D$5:$D$2484=$D2421)*($S$5:$S$2484=1)*IFERROR($N$5:$N$2484*1,0)))),4),0)))</f>
        <v/>
      </c>
      <c r="P2421" s="48" t="inlineStr">
        <is>
          <t>coeff.</t>
        </is>
      </c>
      <c r="Q2421" s="57">
        <f>IF($A2421="","",$A2421&amp;"|"&amp;$C2421)</f>
        <v/>
      </c>
      <c r="R2421" s="57">
        <f>IF($A2421="","",$A2421&amp;"|"&amp;$C2421&amp;"|"&amp;$D2421)</f>
        <v/>
      </c>
      <c r="S2421" s="57">
        <f>IF($A2421="","",IFERROR(INDEX(Offerte!$D$2:$D$81,MATCH($Q2421,Offerte!$L$2:$L$81,0)),0))</f>
        <v/>
      </c>
      <c r="T2421" s="57">
        <f>IF($A2421="","",IFERROR(INDEX(Offerte!$G$2:$G$81,MATCH($Q2421,Offerte!$L$2:$L$81,0)),"NO"))</f>
        <v/>
      </c>
    </row>
    <row r="2422">
      <c r="A2422" s="48">
        <f>IF(Offerte!$A79="","",Offerte!$A79)</f>
        <v/>
      </c>
      <c r="B2422" s="48">
        <f>IF(Offerte!$A79="","",Offerte!$B79)</f>
        <v/>
      </c>
      <c r="C2422" s="48">
        <f>IF(Offerte!$A79="","",Offerte!$C79)</f>
        <v/>
      </c>
      <c r="D2422" s="48" t="inlineStr">
        <is>
          <t>G.5.1</t>
        </is>
      </c>
      <c r="E2422" s="48" t="inlineStr">
        <is>
          <t>G</t>
        </is>
      </c>
      <c r="F2422" s="48" t="inlineStr">
        <is>
          <t>T</t>
        </is>
      </c>
      <c r="G2422" s="48" t="inlineStr">
        <is>
          <t>tabular</t>
        </is>
      </c>
      <c r="H2422" s="48" t="n">
        <v>1</v>
      </c>
      <c r="I2422" s="48" t="inlineStr">
        <is>
          <t>Impegno al mantenimento delle garanzie del contratto di secondo livello del gestore uscente</t>
        </is>
      </c>
      <c r="J2422" s="73" t="n"/>
      <c r="K2422" s="73" t="n"/>
      <c r="L2422" s="73" t="n"/>
      <c r="M2422" s="73" t="n"/>
      <c r="N2422" s="57">
        <f>IF($A2422="","",IF(IFERROR(VALUE($M2422),0)=1,1,0))</f>
        <v/>
      </c>
      <c r="O2422" s="57">
        <f>IF($A2422="",0,IF(OR($S2422&lt;&gt;1,COUNTA($J2422:$M2422)=0),0,IF($N2422=1,$H2422,0)))</f>
        <v/>
      </c>
      <c r="P2422" s="48" t="inlineStr">
        <is>
          <t>sì/no</t>
        </is>
      </c>
      <c r="Q2422" s="57">
        <f>IF($A2422="","",$A2422&amp;"|"&amp;$C2422)</f>
        <v/>
      </c>
      <c r="R2422" s="57">
        <f>IF($A2422="","",$A2422&amp;"|"&amp;$C2422&amp;"|"&amp;$D2422)</f>
        <v/>
      </c>
      <c r="S2422" s="57">
        <f>IF($A2422="","",IFERROR(INDEX(Offerte!$D$2:$D$81,MATCH($Q2422,Offerte!$L$2:$L$81,0)),0))</f>
        <v/>
      </c>
      <c r="T2422" s="57">
        <f>IF($A2422="","",IFERROR(INDEX(Offerte!$G$2:$G$81,MATCH($Q2422,Offerte!$L$2:$L$81,0)),"NO"))</f>
        <v/>
      </c>
    </row>
    <row r="2423">
      <c r="A2423" s="48">
        <f>IF(Offerte!$A80="","",Offerte!$A80)</f>
        <v/>
      </c>
      <c r="B2423" s="48">
        <f>IF(Offerte!$A80="","",Offerte!$B80)</f>
        <v/>
      </c>
      <c r="C2423" s="48">
        <f>IF(Offerte!$A80="","",Offerte!$C80)</f>
        <v/>
      </c>
      <c r="D2423" s="48" t="inlineStr">
        <is>
          <t>A.1.1</t>
        </is>
      </c>
      <c r="E2423" s="48" t="inlineStr">
        <is>
          <t>A</t>
        </is>
      </c>
      <c r="F2423" s="48" t="inlineStr">
        <is>
          <t>Q</t>
        </is>
      </c>
      <c r="G2423" s="48" t="inlineStr">
        <is>
          <t>higher</t>
        </is>
      </c>
      <c r="H2423" s="48" t="n">
        <v>3</v>
      </c>
      <c r="I2423" s="48" t="inlineStr">
        <is>
          <t>Tasso aggiuntivo di corse controllate</t>
        </is>
      </c>
      <c r="J2423" s="73" t="n"/>
      <c r="K2423" s="73" t="n"/>
      <c r="L2423" s="73" t="n"/>
      <c r="M2423" s="73" t="n"/>
      <c r="N2423" s="57">
        <f>IF($A2423="","",IFERROR(VALUE($K2423)/VALUE($L2423)*100,IFERROR(VALUE($J2423),0)))</f>
        <v/>
      </c>
      <c r="O2423" s="57">
        <f>IF($A2423="",0,IF(OR($S2423&lt;&gt;1,COUNTA($J2423:$M2423)=0),0,IF(SUMPRODUCT(MAX(($C$5:$C$2484=$C2423)*($D$5:$D$2484=$D2423)*($S$5:$S$2484=1)*IFERROR($N$5:$N$2484*1,0)))&gt;0,ROUND($H2423*($N2423/SUMPRODUCT(MAX(($C$5:$C$2484=$C2423)*($D$5:$D$2484=$D2423)*($S$5:$S$2484=1)*IFERROR($N$5:$N$2484*1,0)))),4),0)))</f>
        <v/>
      </c>
      <c r="P2423" s="48" t="inlineStr">
        <is>
          <t>Corse controllate annue / Corse programmate annue</t>
        </is>
      </c>
      <c r="Q2423" s="57">
        <f>IF($A2423="","",$A2423&amp;"|"&amp;$C2423)</f>
        <v/>
      </c>
      <c r="R2423" s="57">
        <f>IF($A2423="","",$A2423&amp;"|"&amp;$C2423&amp;"|"&amp;$D2423)</f>
        <v/>
      </c>
      <c r="S2423" s="57">
        <f>IF($A2423="","",IFERROR(INDEX(Offerte!$D$2:$D$81,MATCH($Q2423,Offerte!$L$2:$L$81,0)),0))</f>
        <v/>
      </c>
      <c r="T2423" s="57">
        <f>IF($A2423="","",IFERROR(INDEX(Offerte!$G$2:$G$81,MATCH($Q2423,Offerte!$L$2:$L$81,0)),"NO"))</f>
        <v/>
      </c>
    </row>
    <row r="2424">
      <c r="A2424" s="48">
        <f>IF(Offerte!$A80="","",Offerte!$A80)</f>
        <v/>
      </c>
      <c r="B2424" s="48">
        <f>IF(Offerte!$A80="","",Offerte!$B80)</f>
        <v/>
      </c>
      <c r="C2424" s="48">
        <f>IF(Offerte!$A80="","",Offerte!$C80)</f>
        <v/>
      </c>
      <c r="D2424" s="48" t="inlineStr">
        <is>
          <t>A.1.2</t>
        </is>
      </c>
      <c r="E2424" s="48" t="inlineStr">
        <is>
          <t>A</t>
        </is>
      </c>
      <c r="F2424" s="48" t="inlineStr">
        <is>
          <t>Q</t>
        </is>
      </c>
      <c r="G2424" s="48" t="inlineStr">
        <is>
          <t>higher</t>
        </is>
      </c>
      <c r="H2424" s="48" t="n">
        <v>4</v>
      </c>
      <c r="I2424" s="48" t="inlineStr">
        <is>
          <t>Numero aggiuntivo di passeggeri controllati</t>
        </is>
      </c>
      <c r="J2424" s="73" t="n"/>
      <c r="K2424" s="73" t="n"/>
      <c r="L2424" s="73" t="n"/>
      <c r="M2424" s="73" t="n"/>
      <c r="N2424" s="57">
        <f>IF($A2424="","",IFERROR(VALUE($J2424),0))</f>
        <v/>
      </c>
      <c r="O2424" s="57">
        <f>IF($A2424="",0,IF(OR($S2424&lt;&gt;1,COUNTA($J2424:$M2424)=0),0,IF(SUMPRODUCT(MAX(($C$5:$C$2484=$C2424)*($D$5:$D$2484=$D2424)*($S$5:$S$2484=1)*IFERROR($N$5:$N$2484*1,0)))&gt;0,ROUND($H2424*($N2424/SUMPRODUCT(MAX(($C$5:$C$2484=$C2424)*($D$5:$D$2484=$D2424)*($S$5:$S$2484=1)*IFERROR($N$5:$N$2484*1,0)))),4),0)))</f>
        <v/>
      </c>
      <c r="P2424" s="48" t="inlineStr">
        <is>
          <t>passeggeri/anno</t>
        </is>
      </c>
      <c r="Q2424" s="57">
        <f>IF($A2424="","",$A2424&amp;"|"&amp;$C2424)</f>
        <v/>
      </c>
      <c r="R2424" s="57">
        <f>IF($A2424="","",$A2424&amp;"|"&amp;$C2424&amp;"|"&amp;$D2424)</f>
        <v/>
      </c>
      <c r="S2424" s="57">
        <f>IF($A2424="","",IFERROR(INDEX(Offerte!$D$2:$D$81,MATCH($Q2424,Offerte!$L$2:$L$81,0)),0))</f>
        <v/>
      </c>
      <c r="T2424" s="57">
        <f>IF($A2424="","",IFERROR(INDEX(Offerte!$G$2:$G$81,MATCH($Q2424,Offerte!$L$2:$L$81,0)),"NO"))</f>
        <v/>
      </c>
    </row>
    <row r="2425">
      <c r="A2425" s="48">
        <f>IF(Offerte!$A80="","",Offerte!$A80)</f>
        <v/>
      </c>
      <c r="B2425" s="48">
        <f>IF(Offerte!$A80="","",Offerte!$B80)</f>
        <v/>
      </c>
      <c r="C2425" s="48">
        <f>IF(Offerte!$A80="","",Offerte!$C80)</f>
        <v/>
      </c>
      <c r="D2425" s="48" t="inlineStr">
        <is>
          <t>B.1.1</t>
        </is>
      </c>
      <c r="E2425" s="48" t="inlineStr">
        <is>
          <t>B</t>
        </is>
      </c>
      <c r="F2425" s="48" t="inlineStr">
        <is>
          <t>Q</t>
        </is>
      </c>
      <c r="G2425" s="48" t="inlineStr">
        <is>
          <t>higher</t>
        </is>
      </c>
      <c r="H2425" s="48" t="n">
        <v>3</v>
      </c>
      <c r="I2425" s="48" t="inlineStr">
        <is>
          <t>Incremento dei posti offerti nelle fasce di punta</t>
        </is>
      </c>
      <c r="J2425" s="73" t="n"/>
      <c r="K2425" s="73" t="n"/>
      <c r="L2425" s="73" t="n"/>
      <c r="M2425" s="73" t="n"/>
      <c r="N2425" s="57">
        <f>IF($A2425="","",IFERROR(VALUE($J2425),0))</f>
        <v/>
      </c>
      <c r="O2425" s="57">
        <f>IF($A2425="",0,IF(OR($S2425&lt;&gt;1,COUNTA($J2425:$M2425)=0),0,IF(SUMPRODUCT(MAX(($C$5:$C$2484=$C2425)*($D$5:$D$2484=$D2425)*($S$5:$S$2484=1)*IFERROR($N$5:$N$2484*1,0)))&gt;0,ROUND($H2425*($N2425/SUMPRODUCT(MAX(($C$5:$C$2484=$C2425)*($D$5:$D$2484=$D2425)*($S$5:$S$2484=1)*IFERROR($N$5:$N$2484*1,0)))),4),0)))</f>
        <v/>
      </c>
      <c r="P2425" s="48" t="inlineStr">
        <is>
          <t>posti*km</t>
        </is>
      </c>
      <c r="Q2425" s="57">
        <f>IF($A2425="","",$A2425&amp;"|"&amp;$C2425)</f>
        <v/>
      </c>
      <c r="R2425" s="57">
        <f>IF($A2425="","",$A2425&amp;"|"&amp;$C2425&amp;"|"&amp;$D2425)</f>
        <v/>
      </c>
      <c r="S2425" s="57">
        <f>IF($A2425="","",IFERROR(INDEX(Offerte!$D$2:$D$81,MATCH($Q2425,Offerte!$L$2:$L$81,0)),0))</f>
        <v/>
      </c>
      <c r="T2425" s="57">
        <f>IF($A2425="","",IFERROR(INDEX(Offerte!$G$2:$G$81,MATCH($Q2425,Offerte!$L$2:$L$81,0)),"NO"))</f>
        <v/>
      </c>
    </row>
    <row r="2426">
      <c r="A2426" s="48">
        <f>IF(Offerte!$A80="","",Offerte!$A80)</f>
        <v/>
      </c>
      <c r="B2426" s="48">
        <f>IF(Offerte!$A80="","",Offerte!$B80)</f>
        <v/>
      </c>
      <c r="C2426" s="48">
        <f>IF(Offerte!$A80="","",Offerte!$C80)</f>
        <v/>
      </c>
      <c r="D2426" s="48" t="inlineStr">
        <is>
          <t>B.2.1</t>
        </is>
      </c>
      <c r="E2426" s="48" t="inlineStr">
        <is>
          <t>B</t>
        </is>
      </c>
      <c r="F2426" s="48" t="inlineStr">
        <is>
          <t>Q</t>
        </is>
      </c>
      <c r="G2426" s="48" t="inlineStr">
        <is>
          <t>higher</t>
        </is>
      </c>
      <c r="H2426" s="48" t="n">
        <v>4</v>
      </c>
      <c r="I2426" s="48" t="inlineStr">
        <is>
          <t>Corse aggiuntive nell'arco giornaliero base</t>
        </is>
      </c>
      <c r="J2426" s="73" t="n"/>
      <c r="K2426" s="73" t="n"/>
      <c r="L2426" s="73" t="n"/>
      <c r="M2426" s="73" t="n"/>
      <c r="N2426" s="57">
        <f>IF($A2426="","",IFERROR(VALUE($J2426),0))</f>
        <v/>
      </c>
      <c r="O2426" s="57">
        <f>IF($A2426="",0,IF(OR($S2426&lt;&gt;1,COUNTA($J2426:$M2426)=0),0,IF(SUMPRODUCT(MAX(($C$5:$C$2484=$C2426)*($D$5:$D$2484=$D2426)*($S$5:$S$2484=1)*IFERROR($N$5:$N$2484*1,0)))&gt;0,ROUND($H2426*($N2426/SUMPRODUCT(MAX(($C$5:$C$2484=$C2426)*($D$5:$D$2484=$D2426)*($S$5:$S$2484=1)*IFERROR($N$5:$N$2484*1,0)))),4),0)))</f>
        <v/>
      </c>
      <c r="P2426" s="48" t="inlineStr">
        <is>
          <t>corse</t>
        </is>
      </c>
      <c r="Q2426" s="57">
        <f>IF($A2426="","",$A2426&amp;"|"&amp;$C2426)</f>
        <v/>
      </c>
      <c r="R2426" s="57">
        <f>IF($A2426="","",$A2426&amp;"|"&amp;$C2426&amp;"|"&amp;$D2426)</f>
        <v/>
      </c>
      <c r="S2426" s="57">
        <f>IF($A2426="","",IFERROR(INDEX(Offerte!$D$2:$D$81,MATCH($Q2426,Offerte!$L$2:$L$81,0)),0))</f>
        <v/>
      </c>
      <c r="T2426" s="57">
        <f>IF($A2426="","",IFERROR(INDEX(Offerte!$G$2:$G$81,MATCH($Q2426,Offerte!$L$2:$L$81,0)),"NO"))</f>
        <v/>
      </c>
    </row>
    <row r="2427">
      <c r="A2427" s="48">
        <f>IF(Offerte!$A80="","",Offerte!$A80)</f>
        <v/>
      </c>
      <c r="B2427" s="48">
        <f>IF(Offerte!$A80="","",Offerte!$B80)</f>
        <v/>
      </c>
      <c r="C2427" s="48">
        <f>IF(Offerte!$A80="","",Offerte!$C80)</f>
        <v/>
      </c>
      <c r="D2427" s="48" t="inlineStr">
        <is>
          <t>B.3.1</t>
        </is>
      </c>
      <c r="E2427" s="48" t="inlineStr">
        <is>
          <t>B</t>
        </is>
      </c>
      <c r="F2427" s="48" t="inlineStr">
        <is>
          <t>Q</t>
        </is>
      </c>
      <c r="G2427" s="48" t="inlineStr">
        <is>
          <t>higher</t>
        </is>
      </c>
      <c r="H2427" s="48" t="n">
        <v>2</v>
      </c>
      <c r="I2427" s="48" t="inlineStr">
        <is>
          <t>Numero di corse aggiuntive per allungamento dell'arco di servizio giornaliero nelle fasce serali</t>
        </is>
      </c>
      <c r="J2427" s="73" t="n"/>
      <c r="K2427" s="73" t="n"/>
      <c r="L2427" s="73" t="n"/>
      <c r="M2427" s="73" t="n"/>
      <c r="N2427" s="57">
        <f>IF($A2427="","",IFERROR(VALUE($J2427),0))</f>
        <v/>
      </c>
      <c r="O2427" s="57">
        <f>IF($A2427="",0,IF(OR($S2427&lt;&gt;1,COUNTA($J2427:$M2427)=0),0,IF(SUMPRODUCT(MAX(($C$5:$C$2484=$C2427)*($D$5:$D$2484=$D2427)*($S$5:$S$2484=1)*IFERROR($N$5:$N$2484*1,0)))&gt;0,ROUND($H2427*($N2427/SUMPRODUCT(MAX(($C$5:$C$2484=$C2427)*($D$5:$D$2484=$D2427)*($S$5:$S$2484=1)*IFERROR($N$5:$N$2484*1,0)))),4),0)))</f>
        <v/>
      </c>
      <c r="P2427" s="48" t="inlineStr">
        <is>
          <t>corse</t>
        </is>
      </c>
      <c r="Q2427" s="57">
        <f>IF($A2427="","",$A2427&amp;"|"&amp;$C2427)</f>
        <v/>
      </c>
      <c r="R2427" s="57">
        <f>IF($A2427="","",$A2427&amp;"|"&amp;$C2427&amp;"|"&amp;$D2427)</f>
        <v/>
      </c>
      <c r="S2427" s="57">
        <f>IF($A2427="","",IFERROR(INDEX(Offerte!$D$2:$D$81,MATCH($Q2427,Offerte!$L$2:$L$81,0)),0))</f>
        <v/>
      </c>
      <c r="T2427" s="57">
        <f>IF($A2427="","",IFERROR(INDEX(Offerte!$G$2:$G$81,MATCH($Q2427,Offerte!$L$2:$L$81,0)),"NO"))</f>
        <v/>
      </c>
    </row>
    <row r="2428">
      <c r="A2428" s="48">
        <f>IF(Offerte!$A80="","",Offerte!$A80)</f>
        <v/>
      </c>
      <c r="B2428" s="48">
        <f>IF(Offerte!$A80="","",Offerte!$B80)</f>
        <v/>
      </c>
      <c r="C2428" s="48">
        <f>IF(Offerte!$A80="","",Offerte!$C80)</f>
        <v/>
      </c>
      <c r="D2428" s="48" t="inlineStr">
        <is>
          <t>B.4.1</t>
        </is>
      </c>
      <c r="E2428" s="48" t="inlineStr">
        <is>
          <t>B</t>
        </is>
      </c>
      <c r="F2428" s="48" t="inlineStr">
        <is>
          <t>Q</t>
        </is>
      </c>
      <c r="G2428" s="48" t="inlineStr">
        <is>
          <t>higher</t>
        </is>
      </c>
      <c r="H2428" s="48" t="n">
        <v>3</v>
      </c>
      <c r="I2428" s="48" t="inlineStr">
        <is>
          <t>Percorrenze aggiuntive offerte nel Programma d'esercizio delle prime due fasi attuative</t>
        </is>
      </c>
      <c r="J2428" s="73" t="n"/>
      <c r="K2428" s="73" t="n"/>
      <c r="L2428" s="73" t="n"/>
      <c r="M2428" s="73" t="n"/>
      <c r="N2428" s="57">
        <f>IF($A2428="","",IFERROR(VALUE($J2428),0))</f>
        <v/>
      </c>
      <c r="O2428" s="57">
        <f>IF($A2428="",0,IF(OR($S2428&lt;&gt;1,COUNTA($J2428:$M2428)=0),0,IF(SUMPRODUCT(MAX(($C$5:$C$2484=$C2428)*($D$5:$D$2484=$D2428)*($S$5:$S$2484=1)*IFERROR($N$5:$N$2484*1,0)))&gt;0,ROUND($H2428*($N2428/SUMPRODUCT(MAX(($C$5:$C$2484=$C2428)*($D$5:$D$2484=$D2428)*($S$5:$S$2484=1)*IFERROR($N$5:$N$2484*1,0)))),4),0)))</f>
        <v/>
      </c>
      <c r="P2428" s="48" t="inlineStr">
        <is>
          <t>vett*km</t>
        </is>
      </c>
      <c r="Q2428" s="57">
        <f>IF($A2428="","",$A2428&amp;"|"&amp;$C2428)</f>
        <v/>
      </c>
      <c r="R2428" s="57">
        <f>IF($A2428="","",$A2428&amp;"|"&amp;$C2428&amp;"|"&amp;$D2428)</f>
        <v/>
      </c>
      <c r="S2428" s="57">
        <f>IF($A2428="","",IFERROR(INDEX(Offerte!$D$2:$D$81,MATCH($Q2428,Offerte!$L$2:$L$81,0)),0))</f>
        <v/>
      </c>
      <c r="T2428" s="57">
        <f>IF($A2428="","",IFERROR(INDEX(Offerte!$G$2:$G$81,MATCH($Q2428,Offerte!$L$2:$L$81,0)),"NO"))</f>
        <v/>
      </c>
    </row>
    <row r="2429">
      <c r="A2429" s="48">
        <f>IF(Offerte!$A80="","",Offerte!$A80)</f>
        <v/>
      </c>
      <c r="B2429" s="48">
        <f>IF(Offerte!$A80="","",Offerte!$B80)</f>
        <v/>
      </c>
      <c r="C2429" s="48">
        <f>IF(Offerte!$A80="","",Offerte!$C80)</f>
        <v/>
      </c>
      <c r="D2429" s="48" t="inlineStr">
        <is>
          <t>B.5.1</t>
        </is>
      </c>
      <c r="E2429" s="48" t="inlineStr">
        <is>
          <t>B</t>
        </is>
      </c>
      <c r="F2429" s="48" t="inlineStr">
        <is>
          <t>D</t>
        </is>
      </c>
      <c r="G2429" s="48" t="inlineStr">
        <is>
          <t>discretionary</t>
        </is>
      </c>
      <c r="H2429" s="48" t="n">
        <v>2</v>
      </c>
      <c r="I2429" s="48" t="inlineStr">
        <is>
          <t>Efficacia del progetto di servizi complementari DRT</t>
        </is>
      </c>
      <c r="J2429" s="73" t="n"/>
      <c r="K2429" s="73" t="n"/>
      <c r="L2429" s="73" t="n"/>
      <c r="M2429" s="73" t="n"/>
      <c r="N2429" s="57">
        <f>IF($A2429="","",MAX(0,MIN(1,IFERROR(VALUE($M2429),0))))</f>
        <v/>
      </c>
      <c r="O2429" s="57">
        <f>IF($A2429="",0,IF(OR($S2429&lt;&gt;1,COUNTA($J2429:$M2429)=0),0,IF(SUMPRODUCT(MAX(($C$5:$C$2484=$C2429)*($D$5:$D$2484=$D2429)*($S$5:$S$2484=1)*IFERROR($N$5:$N$2484*1,0)))&gt;0,ROUND($H2429*($N2429/SUMPRODUCT(MAX(($C$5:$C$2484=$C2429)*($D$5:$D$2484=$D2429)*($S$5:$S$2484=1)*IFERROR($N$5:$N$2484*1,0)))),4),0)))</f>
        <v/>
      </c>
      <c r="P2429" s="48" t="inlineStr">
        <is>
          <t>coeff.</t>
        </is>
      </c>
      <c r="Q2429" s="57">
        <f>IF($A2429="","",$A2429&amp;"|"&amp;$C2429)</f>
        <v/>
      </c>
      <c r="R2429" s="57">
        <f>IF($A2429="","",$A2429&amp;"|"&amp;$C2429&amp;"|"&amp;$D2429)</f>
        <v/>
      </c>
      <c r="S2429" s="57">
        <f>IF($A2429="","",IFERROR(INDEX(Offerte!$D$2:$D$81,MATCH($Q2429,Offerte!$L$2:$L$81,0)),0))</f>
        <v/>
      </c>
      <c r="T2429" s="57">
        <f>IF($A2429="","",IFERROR(INDEX(Offerte!$G$2:$G$81,MATCH($Q2429,Offerte!$L$2:$L$81,0)),"NO"))</f>
        <v/>
      </c>
    </row>
    <row r="2430">
      <c r="A2430" s="48">
        <f>IF(Offerte!$A80="","",Offerte!$A80)</f>
        <v/>
      </c>
      <c r="B2430" s="48">
        <f>IF(Offerte!$A80="","",Offerte!$B80)</f>
        <v/>
      </c>
      <c r="C2430" s="48">
        <f>IF(Offerte!$A80="","",Offerte!$C80)</f>
        <v/>
      </c>
      <c r="D2430" s="48" t="inlineStr">
        <is>
          <t>C.1.1</t>
        </is>
      </c>
      <c r="E2430" s="48" t="inlineStr">
        <is>
          <t>C</t>
        </is>
      </c>
      <c r="F2430" s="48" t="inlineStr">
        <is>
          <t>Q</t>
        </is>
      </c>
      <c r="G2430" s="48" t="inlineStr">
        <is>
          <t>higher</t>
        </is>
      </c>
      <c r="H2430" s="48" t="n">
        <v>2</v>
      </c>
      <c r="I2430" s="48" t="inlineStr">
        <is>
          <t>Tasso di copertura del servizio con telecamere BSD</t>
        </is>
      </c>
      <c r="J2430" s="73" t="n"/>
      <c r="K2430" s="73" t="n"/>
      <c r="L2430" s="73" t="n"/>
      <c r="M2430" s="73" t="n"/>
      <c r="N2430" s="57">
        <f>IF($A2430="","",IFERROR(VALUE($K2430)/VALUE($L2430),IFERROR(VALUE($J2430),0)))</f>
        <v/>
      </c>
      <c r="O2430" s="57">
        <f>IF($A2430="",0,IF(OR($S2430&lt;&gt;1,COUNTA($J2430:$M2430)=0),0,IF(SUMPRODUCT(MAX(($C$5:$C$2484=$C2430)*($D$5:$D$2484=$D2430)*($S$5:$S$2484=1)*IFERROR($N$5:$N$2484*1,0)))&gt;0,ROUND($H2430*($N2430/SUMPRODUCT(MAX(($C$5:$C$2484=$C2430)*($D$5:$D$2484=$D2430)*($S$5:$S$2484=1)*IFERROR($N$5:$N$2484*1,0)))),4),0)))</f>
        <v/>
      </c>
      <c r="P2430" s="48" t="inlineStr">
        <is>
          <t>Autobus attrezzati con telecamere BSD / Autobus totali in offerta, incluse scorte</t>
        </is>
      </c>
      <c r="Q2430" s="57">
        <f>IF($A2430="","",$A2430&amp;"|"&amp;$C2430)</f>
        <v/>
      </c>
      <c r="R2430" s="57">
        <f>IF($A2430="","",$A2430&amp;"|"&amp;$C2430&amp;"|"&amp;$D2430)</f>
        <v/>
      </c>
      <c r="S2430" s="57">
        <f>IF($A2430="","",IFERROR(INDEX(Offerte!$D$2:$D$81,MATCH($Q2430,Offerte!$L$2:$L$81,0)),0))</f>
        <v/>
      </c>
      <c r="T2430" s="57">
        <f>IF($A2430="","",IFERROR(INDEX(Offerte!$G$2:$G$81,MATCH($Q2430,Offerte!$L$2:$L$81,0)),"NO"))</f>
        <v/>
      </c>
    </row>
    <row r="2431">
      <c r="A2431" s="48">
        <f>IF(Offerte!$A80="","",Offerte!$A80)</f>
        <v/>
      </c>
      <c r="B2431" s="48">
        <f>IF(Offerte!$A80="","",Offerte!$B80)</f>
        <v/>
      </c>
      <c r="C2431" s="48">
        <f>IF(Offerte!$A80="","",Offerte!$C80)</f>
        <v/>
      </c>
      <c r="D2431" s="48" t="inlineStr">
        <is>
          <t>C.1.2</t>
        </is>
      </c>
      <c r="E2431" s="48" t="inlineStr">
        <is>
          <t>C</t>
        </is>
      </c>
      <c r="F2431" s="48" t="inlineStr">
        <is>
          <t>Q</t>
        </is>
      </c>
      <c r="G2431" s="48" t="inlineStr">
        <is>
          <t>higher</t>
        </is>
      </c>
      <c r="H2431" s="48" t="n">
        <v>2</v>
      </c>
      <c r="I2431" s="48" t="inlineStr">
        <is>
          <t>Tasso di copertura del servizio con telecamere ADAS</t>
        </is>
      </c>
      <c r="J2431" s="73" t="n"/>
      <c r="K2431" s="73" t="n"/>
      <c r="L2431" s="73" t="n"/>
      <c r="M2431" s="73" t="n"/>
      <c r="N2431" s="57">
        <f>IF($A2431="","",IFERROR(VALUE($K2431)/VALUE($L2431),IFERROR(VALUE($J2431),0)))</f>
        <v/>
      </c>
      <c r="O2431" s="57">
        <f>IF($A2431="",0,IF(OR($S2431&lt;&gt;1,COUNTA($J2431:$M2431)=0),0,IF(SUMPRODUCT(MAX(($C$5:$C$2484=$C2431)*($D$5:$D$2484=$D2431)*($S$5:$S$2484=1)*IFERROR($N$5:$N$2484*1,0)))&gt;0,ROUND($H2431*($N2431/SUMPRODUCT(MAX(($C$5:$C$2484=$C2431)*($D$5:$D$2484=$D2431)*($S$5:$S$2484=1)*IFERROR($N$5:$N$2484*1,0)))),4),0)))</f>
        <v/>
      </c>
      <c r="P2431" s="48" t="inlineStr">
        <is>
          <t>Autobus attrezzati con telecamere ADAS / Autobus totali in offerta, incluse scorte</t>
        </is>
      </c>
      <c r="Q2431" s="57">
        <f>IF($A2431="","",$A2431&amp;"|"&amp;$C2431)</f>
        <v/>
      </c>
      <c r="R2431" s="57">
        <f>IF($A2431="","",$A2431&amp;"|"&amp;$C2431&amp;"|"&amp;$D2431)</f>
        <v/>
      </c>
      <c r="S2431" s="57">
        <f>IF($A2431="","",IFERROR(INDEX(Offerte!$D$2:$D$81,MATCH($Q2431,Offerte!$L$2:$L$81,0)),0))</f>
        <v/>
      </c>
      <c r="T2431" s="57">
        <f>IF($A2431="","",IFERROR(INDEX(Offerte!$G$2:$G$81,MATCH($Q2431,Offerte!$L$2:$L$81,0)),"NO"))</f>
        <v/>
      </c>
    </row>
    <row r="2432">
      <c r="A2432" s="48">
        <f>IF(Offerte!$A80="","",Offerte!$A80)</f>
        <v/>
      </c>
      <c r="B2432" s="48">
        <f>IF(Offerte!$A80="","",Offerte!$B80)</f>
        <v/>
      </c>
      <c r="C2432" s="48">
        <f>IF(Offerte!$A80="","",Offerte!$C80)</f>
        <v/>
      </c>
      <c r="D2432" s="48" t="inlineStr">
        <is>
          <t>C.2.1</t>
        </is>
      </c>
      <c r="E2432" s="48" t="inlineStr">
        <is>
          <t>C</t>
        </is>
      </c>
      <c r="F2432" s="48" t="inlineStr">
        <is>
          <t>Q</t>
        </is>
      </c>
      <c r="G2432" s="48" t="inlineStr">
        <is>
          <t>higher</t>
        </is>
      </c>
      <c r="H2432" s="48" t="n">
        <v>3</v>
      </c>
      <c r="I2432" s="48" t="inlineStr">
        <is>
          <t>Tasso di copertura del servizio con telecamere di bordo di videosorveglianza</t>
        </is>
      </c>
      <c r="J2432" s="73" t="n"/>
      <c r="K2432" s="73" t="n"/>
      <c r="L2432" s="73" t="n"/>
      <c r="M2432" s="73" t="n"/>
      <c r="N2432" s="57">
        <f>IF($A2432="","",IFERROR(VALUE($K2432)/VALUE($L2432),IFERROR(VALUE($J2432),0)))</f>
        <v/>
      </c>
      <c r="O2432" s="57">
        <f>IF($A2432="",0,IF(OR($S2432&lt;&gt;1,COUNTA($J2432:$M2432)=0),0,IF(SUMPRODUCT(MAX(($C$5:$C$2484=$C2432)*($D$5:$D$2484=$D2432)*($S$5:$S$2484=1)*IFERROR($N$5:$N$2484*1,0)))&gt;0,ROUND($H2432*($N2432/SUMPRODUCT(MAX(($C$5:$C$2484=$C2432)*($D$5:$D$2484=$D2432)*($S$5:$S$2484=1)*IFERROR($N$5:$N$2484*1,0)))),4),0)))</f>
        <v/>
      </c>
      <c r="P2432" s="48" t="inlineStr">
        <is>
          <t>Autobus attrezzati con videosorveglianza / Autobus totali in offerta, incluse scorte</t>
        </is>
      </c>
      <c r="Q2432" s="57">
        <f>IF($A2432="","",$A2432&amp;"|"&amp;$C2432)</f>
        <v/>
      </c>
      <c r="R2432" s="57">
        <f>IF($A2432="","",$A2432&amp;"|"&amp;$C2432&amp;"|"&amp;$D2432)</f>
        <v/>
      </c>
      <c r="S2432" s="57">
        <f>IF($A2432="","",IFERROR(INDEX(Offerte!$D$2:$D$81,MATCH($Q2432,Offerte!$L$2:$L$81,0)),0))</f>
        <v/>
      </c>
      <c r="T2432" s="57">
        <f>IF($A2432="","",IFERROR(INDEX(Offerte!$G$2:$G$81,MATCH($Q2432,Offerte!$L$2:$L$81,0)),"NO"))</f>
        <v/>
      </c>
    </row>
    <row r="2433">
      <c r="A2433" s="48">
        <f>IF(Offerte!$A80="","",Offerte!$A80)</f>
        <v/>
      </c>
      <c r="B2433" s="48">
        <f>IF(Offerte!$A80="","",Offerte!$B80)</f>
        <v/>
      </c>
      <c r="C2433" s="48">
        <f>IF(Offerte!$A80="","",Offerte!$C80)</f>
        <v/>
      </c>
      <c r="D2433" s="48" t="inlineStr">
        <is>
          <t>C.2.2</t>
        </is>
      </c>
      <c r="E2433" s="48" t="inlineStr">
        <is>
          <t>C</t>
        </is>
      </c>
      <c r="F2433" s="48" t="inlineStr">
        <is>
          <t>T</t>
        </is>
      </c>
      <c r="G2433" s="48" t="inlineStr">
        <is>
          <t>tabular</t>
        </is>
      </c>
      <c r="H2433" s="48" t="n">
        <v>1</v>
      </c>
      <c r="I2433" s="48" t="inlineStr">
        <is>
          <t>Software video/audio analisi per situazioni di pericolo</t>
        </is>
      </c>
      <c r="J2433" s="73" t="n"/>
      <c r="K2433" s="73" t="n"/>
      <c r="L2433" s="73" t="n"/>
      <c r="M2433" s="73" t="n"/>
      <c r="N2433" s="57">
        <f>IF($A2433="","",IF(IFERROR(VALUE($M2433),0)=1,1,0))</f>
        <v/>
      </c>
      <c r="O2433" s="57">
        <f>IF($A2433="",0,IF(OR($S2433&lt;&gt;1,COUNTA($J2433:$M2433)=0),0,IF($N2433=1,$H2433,0)))</f>
        <v/>
      </c>
      <c r="P2433" s="48" t="inlineStr">
        <is>
          <t>sì/no</t>
        </is>
      </c>
      <c r="Q2433" s="57">
        <f>IF($A2433="","",$A2433&amp;"|"&amp;$C2433)</f>
        <v/>
      </c>
      <c r="R2433" s="57">
        <f>IF($A2433="","",$A2433&amp;"|"&amp;$C2433&amp;"|"&amp;$D2433)</f>
        <v/>
      </c>
      <c r="S2433" s="57">
        <f>IF($A2433="","",IFERROR(INDEX(Offerte!$D$2:$D$81,MATCH($Q2433,Offerte!$L$2:$L$81,0)),0))</f>
        <v/>
      </c>
      <c r="T2433" s="57">
        <f>IF($A2433="","",IFERROR(INDEX(Offerte!$G$2:$G$81,MATCH($Q2433,Offerte!$L$2:$L$81,0)),"NO"))</f>
        <v/>
      </c>
    </row>
    <row r="2434">
      <c r="A2434" s="48">
        <f>IF(Offerte!$A80="","",Offerte!$A80)</f>
        <v/>
      </c>
      <c r="B2434" s="48">
        <f>IF(Offerte!$A80="","",Offerte!$B80)</f>
        <v/>
      </c>
      <c r="C2434" s="48">
        <f>IF(Offerte!$A80="","",Offerte!$C80)</f>
        <v/>
      </c>
      <c r="D2434" s="48" t="inlineStr">
        <is>
          <t>C.2.3</t>
        </is>
      </c>
      <c r="E2434" s="48" t="inlineStr">
        <is>
          <t>C</t>
        </is>
      </c>
      <c r="F2434" s="48" t="inlineStr">
        <is>
          <t>T</t>
        </is>
      </c>
      <c r="G2434" s="48" t="inlineStr">
        <is>
          <t>tabular</t>
        </is>
      </c>
      <c r="H2434" s="48" t="n">
        <v>1</v>
      </c>
      <c r="I2434" s="48" t="inlineStr">
        <is>
          <t>Collegamento con centrale qualificata di pronto intervento</t>
        </is>
      </c>
      <c r="J2434" s="73" t="n"/>
      <c r="K2434" s="73" t="n"/>
      <c r="L2434" s="73" t="n"/>
      <c r="M2434" s="73" t="n"/>
      <c r="N2434" s="57">
        <f>IF($A2434="","",IF(IFERROR(VALUE($M2434),0)=1,1,0))</f>
        <v/>
      </c>
      <c r="O2434" s="57">
        <f>IF($A2434="",0,IF(OR($S2434&lt;&gt;1,COUNTA($J2434:$M2434)=0),0,IF($N2434=1,$H2434,0)))</f>
        <v/>
      </c>
      <c r="P2434" s="48" t="inlineStr">
        <is>
          <t>sì/no</t>
        </is>
      </c>
      <c r="Q2434" s="57">
        <f>IF($A2434="","",$A2434&amp;"|"&amp;$C2434)</f>
        <v/>
      </c>
      <c r="R2434" s="57">
        <f>IF($A2434="","",$A2434&amp;"|"&amp;$C2434&amp;"|"&amp;$D2434)</f>
        <v/>
      </c>
      <c r="S2434" s="57">
        <f>IF($A2434="","",IFERROR(INDEX(Offerte!$D$2:$D$81,MATCH($Q2434,Offerte!$L$2:$L$81,0)),0))</f>
        <v/>
      </c>
      <c r="T2434" s="57">
        <f>IF($A2434="","",IFERROR(INDEX(Offerte!$G$2:$G$81,MATCH($Q2434,Offerte!$L$2:$L$81,0)),"NO"))</f>
        <v/>
      </c>
    </row>
    <row r="2435">
      <c r="A2435" s="48">
        <f>IF(Offerte!$A80="","",Offerte!$A80)</f>
        <v/>
      </c>
      <c r="B2435" s="48">
        <f>IF(Offerte!$A80="","",Offerte!$B80)</f>
        <v/>
      </c>
      <c r="C2435" s="48">
        <f>IF(Offerte!$A80="","",Offerte!$C80)</f>
        <v/>
      </c>
      <c r="D2435" s="48" t="inlineStr">
        <is>
          <t>C.2.4</t>
        </is>
      </c>
      <c r="E2435" s="48" t="inlineStr">
        <is>
          <t>C</t>
        </is>
      </c>
      <c r="F2435" s="48" t="inlineStr">
        <is>
          <t>Q</t>
        </is>
      </c>
      <c r="G2435" s="48" t="inlineStr">
        <is>
          <t>higher</t>
        </is>
      </c>
      <c r="H2435" s="48" t="n">
        <v>1</v>
      </c>
      <c r="I2435" s="48" t="inlineStr">
        <is>
          <t>Tasso di copertura del servizio con dispositivi per la chiamata di emergenza del conducente</t>
        </is>
      </c>
      <c r="J2435" s="73" t="n"/>
      <c r="K2435" s="73" t="n"/>
      <c r="L2435" s="73" t="n"/>
      <c r="M2435" s="73" t="n"/>
      <c r="N2435" s="57">
        <f>IF($A2435="","",IFERROR(VALUE($K2435)/VALUE($L2435),IFERROR(VALUE($J2435),0)))</f>
        <v/>
      </c>
      <c r="O2435" s="57">
        <f>IF($A2435="",0,IF(OR($S2435&lt;&gt;1,COUNTA($J2435:$M2435)=0),0,IF(SUMPRODUCT(MAX(($C$5:$C$2484=$C2435)*($D$5:$D$2484=$D2435)*($S$5:$S$2484=1)*IFERROR($N$5:$N$2484*1,0)))&gt;0,ROUND($H2435*($N2435/SUMPRODUCT(MAX(($C$5:$C$2484=$C2435)*($D$5:$D$2484=$D2435)*($S$5:$S$2484=1)*IFERROR($N$5:$N$2484*1,0)))),4),0)))</f>
        <v/>
      </c>
      <c r="P2435" s="48" t="inlineStr">
        <is>
          <t>Autobus attrezzati con chiamata di emergenza / Autobus totali in offerta, incluse scorte</t>
        </is>
      </c>
      <c r="Q2435" s="57">
        <f>IF($A2435="","",$A2435&amp;"|"&amp;$C2435)</f>
        <v/>
      </c>
      <c r="R2435" s="57">
        <f>IF($A2435="","",$A2435&amp;"|"&amp;$C2435&amp;"|"&amp;$D2435)</f>
        <v/>
      </c>
      <c r="S2435" s="57">
        <f>IF($A2435="","",IFERROR(INDEX(Offerte!$D$2:$D$81,MATCH($Q2435,Offerte!$L$2:$L$81,0)),0))</f>
        <v/>
      </c>
      <c r="T2435" s="57">
        <f>IF($A2435="","",IFERROR(INDEX(Offerte!$G$2:$G$81,MATCH($Q2435,Offerte!$L$2:$L$81,0)),"NO"))</f>
        <v/>
      </c>
    </row>
    <row r="2436">
      <c r="A2436" s="48">
        <f>IF(Offerte!$A80="","",Offerte!$A80)</f>
        <v/>
      </c>
      <c r="B2436" s="48">
        <f>IF(Offerte!$A80="","",Offerte!$B80)</f>
        <v/>
      </c>
      <c r="C2436" s="48">
        <f>IF(Offerte!$A80="","",Offerte!$C80)</f>
        <v/>
      </c>
      <c r="D2436" s="48" t="inlineStr">
        <is>
          <t>C.3.1</t>
        </is>
      </c>
      <c r="E2436" s="48" t="inlineStr">
        <is>
          <t>C</t>
        </is>
      </c>
      <c r="F2436" s="48" t="inlineStr">
        <is>
          <t>Q</t>
        </is>
      </c>
      <c r="G2436" s="48" t="inlineStr">
        <is>
          <t>higher</t>
        </is>
      </c>
      <c r="H2436" s="48" t="n">
        <v>2</v>
      </c>
      <c r="I2436" s="48" t="inlineStr">
        <is>
          <t>Tasso di copertura del servizio con dispositivi di informazione dinamica a bordo mezzo</t>
        </is>
      </c>
      <c r="J2436" s="73" t="n"/>
      <c r="K2436" s="73" t="n"/>
      <c r="L2436" s="73" t="n"/>
      <c r="M2436" s="73" t="n"/>
      <c r="N2436" s="57">
        <f>IF($A2436="","",IFERROR(VALUE($K2436)/VALUE($L2436),IFERROR(VALUE($J2436),0)))</f>
        <v/>
      </c>
      <c r="O2436" s="57">
        <f>IF($A2436="",0,IF(OR($S2436&lt;&gt;1,COUNTA($J2436:$M2436)=0),0,IF(SUMPRODUCT(MAX(($C$5:$C$2484=$C2436)*($D$5:$D$2484=$D2436)*($S$5:$S$2484=1)*IFERROR($N$5:$N$2484*1,0)))&gt;0,ROUND($H2436*($N2436/SUMPRODUCT(MAX(($C$5:$C$2484=$C2436)*($D$5:$D$2484=$D2436)*($S$5:$S$2484=1)*IFERROR($N$5:$N$2484*1,0)))),4),0)))</f>
        <v/>
      </c>
      <c r="P2436" s="48" t="inlineStr">
        <is>
          <t>Autobus con monitor e indicatori vocali / Autobus totali in offerta, incluse scorte</t>
        </is>
      </c>
      <c r="Q2436" s="57">
        <f>IF($A2436="","",$A2436&amp;"|"&amp;$C2436)</f>
        <v/>
      </c>
      <c r="R2436" s="57">
        <f>IF($A2436="","",$A2436&amp;"|"&amp;$C2436&amp;"|"&amp;$D2436)</f>
        <v/>
      </c>
      <c r="S2436" s="57">
        <f>IF($A2436="","",IFERROR(INDEX(Offerte!$D$2:$D$81,MATCH($Q2436,Offerte!$L$2:$L$81,0)),0))</f>
        <v/>
      </c>
      <c r="T2436" s="57">
        <f>IF($A2436="","",IFERROR(INDEX(Offerte!$G$2:$G$81,MATCH($Q2436,Offerte!$L$2:$L$81,0)),"NO"))</f>
        <v/>
      </c>
    </row>
    <row r="2437">
      <c r="A2437" s="48">
        <f>IF(Offerte!$A80="","",Offerte!$A80)</f>
        <v/>
      </c>
      <c r="B2437" s="48">
        <f>IF(Offerte!$A80="","",Offerte!$B80)</f>
        <v/>
      </c>
      <c r="C2437" s="48">
        <f>IF(Offerte!$A80="","",Offerte!$C80)</f>
        <v/>
      </c>
      <c r="D2437" s="48" t="inlineStr">
        <is>
          <t>C.3.2</t>
        </is>
      </c>
      <c r="E2437" s="48" t="inlineStr">
        <is>
          <t>C</t>
        </is>
      </c>
      <c r="F2437" s="48" t="inlineStr">
        <is>
          <t>T</t>
        </is>
      </c>
      <c r="G2437" s="48" t="inlineStr">
        <is>
          <t>tabular</t>
        </is>
      </c>
      <c r="H2437" s="48" t="n">
        <v>2</v>
      </c>
      <c r="I2437" s="48" t="inlineStr">
        <is>
          <t>Informazioni a bordo su coincidenze ai nodi</t>
        </is>
      </c>
      <c r="J2437" s="73" t="n"/>
      <c r="K2437" s="73" t="n"/>
      <c r="L2437" s="73" t="n"/>
      <c r="M2437" s="73" t="n"/>
      <c r="N2437" s="57">
        <f>IF($A2437="","",IF(IFERROR(VALUE($M2437),0)=1,1,0))</f>
        <v/>
      </c>
      <c r="O2437" s="57">
        <f>IF($A2437="",0,IF(OR($S2437&lt;&gt;1,COUNTA($J2437:$M2437)=0),0,IF(AND($N2437=1,IFERROR(SUMIFS($N$5:$N$2484,$Q$5:$Q$2484,$Q2437,$D$5:$D$2484,"C.3.1"),0)&gt;=0.5),$H2437,0)))</f>
        <v/>
      </c>
      <c r="P2437" s="48" t="inlineStr">
        <is>
          <t>Dipende da C.3.1 &gt;= 0.5</t>
        </is>
      </c>
      <c r="Q2437" s="57">
        <f>IF($A2437="","",$A2437&amp;"|"&amp;$C2437)</f>
        <v/>
      </c>
      <c r="R2437" s="57">
        <f>IF($A2437="","",$A2437&amp;"|"&amp;$C2437&amp;"|"&amp;$D2437)</f>
        <v/>
      </c>
      <c r="S2437" s="57">
        <f>IF($A2437="","",IFERROR(INDEX(Offerte!$D$2:$D$81,MATCH($Q2437,Offerte!$L$2:$L$81,0)),0))</f>
        <v/>
      </c>
      <c r="T2437" s="57">
        <f>IF($A2437="","",IFERROR(INDEX(Offerte!$G$2:$G$81,MATCH($Q2437,Offerte!$L$2:$L$81,0)),"NO"))</f>
        <v/>
      </c>
    </row>
    <row r="2438">
      <c r="A2438" s="48">
        <f>IF(Offerte!$A80="","",Offerte!$A80)</f>
        <v/>
      </c>
      <c r="B2438" s="48">
        <f>IF(Offerte!$A80="","",Offerte!$B80)</f>
        <v/>
      </c>
      <c r="C2438" s="48">
        <f>IF(Offerte!$A80="","",Offerte!$C80)</f>
        <v/>
      </c>
      <c r="D2438" s="48" t="inlineStr">
        <is>
          <t>D.1.1</t>
        </is>
      </c>
      <c r="E2438" s="48" t="inlineStr">
        <is>
          <t>D</t>
        </is>
      </c>
      <c r="F2438" s="48" t="inlineStr">
        <is>
          <t>Q</t>
        </is>
      </c>
      <c r="G2438" s="48" t="inlineStr">
        <is>
          <t>higher</t>
        </is>
      </c>
      <c r="H2438" s="48" t="n">
        <v>3</v>
      </c>
      <c r="I2438" s="48" t="inlineStr">
        <is>
          <t>Installazione di pensiline</t>
        </is>
      </c>
      <c r="J2438" s="73" t="n"/>
      <c r="K2438" s="73" t="n"/>
      <c r="L2438" s="73" t="n"/>
      <c r="M2438" s="73" t="n"/>
      <c r="N2438" s="57">
        <f>IF($A2438="","",IFERROR(VALUE($J2438),0))</f>
        <v/>
      </c>
      <c r="O2438" s="57">
        <f>IF($A2438="",0,IF(OR($S2438&lt;&gt;1,COUNTA($J2438:$M2438)=0),0,IF(SUMPRODUCT(MAX(($C$5:$C$2484=$C2438)*($D$5:$D$2484=$D2438)*($S$5:$S$2484=1)*IFERROR($N$5:$N$2484*1,0)))&gt;0,ROUND($H2438*($N2438/SUMPRODUCT(MAX(($C$5:$C$2484=$C2438)*($D$5:$D$2484=$D2438)*($S$5:$S$2484=1)*IFERROR($N$5:$N$2484*1,0)))),4),0)))</f>
        <v/>
      </c>
      <c r="P2438" s="48" t="inlineStr">
        <is>
          <t>fermate</t>
        </is>
      </c>
      <c r="Q2438" s="57">
        <f>IF($A2438="","",$A2438&amp;"|"&amp;$C2438)</f>
        <v/>
      </c>
      <c r="R2438" s="57">
        <f>IF($A2438="","",$A2438&amp;"|"&amp;$C2438&amp;"|"&amp;$D2438)</f>
        <v/>
      </c>
      <c r="S2438" s="57">
        <f>IF($A2438="","",IFERROR(INDEX(Offerte!$D$2:$D$81,MATCH($Q2438,Offerte!$L$2:$L$81,0)),0))</f>
        <v/>
      </c>
      <c r="T2438" s="57">
        <f>IF($A2438="","",IFERROR(INDEX(Offerte!$G$2:$G$81,MATCH($Q2438,Offerte!$L$2:$L$81,0)),"NO"))</f>
        <v/>
      </c>
    </row>
    <row r="2439">
      <c r="A2439" s="48">
        <f>IF(Offerte!$A80="","",Offerte!$A80)</f>
        <v/>
      </c>
      <c r="B2439" s="48">
        <f>IF(Offerte!$A80="","",Offerte!$B80)</f>
        <v/>
      </c>
      <c r="C2439" s="48">
        <f>IF(Offerte!$A80="","",Offerte!$C80)</f>
        <v/>
      </c>
      <c r="D2439" s="48" t="inlineStr">
        <is>
          <t>D.1.2</t>
        </is>
      </c>
      <c r="E2439" s="48" t="inlineStr">
        <is>
          <t>D</t>
        </is>
      </c>
      <c r="F2439" s="48" t="inlineStr">
        <is>
          <t>Q</t>
        </is>
      </c>
      <c r="G2439" s="48" t="inlineStr">
        <is>
          <t>higher</t>
        </is>
      </c>
      <c r="H2439" s="48" t="n">
        <v>3</v>
      </c>
      <c r="I2439" s="48" t="inlineStr">
        <is>
          <t>Installazione di paline di fermata conformi alla DGR 581/2023</t>
        </is>
      </c>
      <c r="J2439" s="73" t="n"/>
      <c r="K2439" s="73" t="n"/>
      <c r="L2439" s="73" t="n"/>
      <c r="M2439" s="73" t="n"/>
      <c r="N2439" s="57">
        <f>IF($A2439="","",IFERROR(VALUE($J2439),0))</f>
        <v/>
      </c>
      <c r="O2439" s="57">
        <f>IF($A2439="",0,IF(OR($S2439&lt;&gt;1,COUNTA($J2439:$M2439)=0),0,IF(SUMPRODUCT(MAX(($C$5:$C$2484=$C2439)*($D$5:$D$2484=$D2439)*($S$5:$S$2484=1)*IFERROR($N$5:$N$2484*1,0)))&gt;0,ROUND($H2439*($N2439/SUMPRODUCT(MAX(($C$5:$C$2484=$C2439)*($D$5:$D$2484=$D2439)*($S$5:$S$2484=1)*IFERROR($N$5:$N$2484*1,0)))),4),0)))</f>
        <v/>
      </c>
      <c r="P2439" s="48" t="inlineStr">
        <is>
          <t>fermate</t>
        </is>
      </c>
      <c r="Q2439" s="57">
        <f>IF($A2439="","",$A2439&amp;"|"&amp;$C2439)</f>
        <v/>
      </c>
      <c r="R2439" s="57">
        <f>IF($A2439="","",$A2439&amp;"|"&amp;$C2439&amp;"|"&amp;$D2439)</f>
        <v/>
      </c>
      <c r="S2439" s="57">
        <f>IF($A2439="","",IFERROR(INDEX(Offerte!$D$2:$D$81,MATCH($Q2439,Offerte!$L$2:$L$81,0)),0))</f>
        <v/>
      </c>
      <c r="T2439" s="57">
        <f>IF($A2439="","",IFERROR(INDEX(Offerte!$G$2:$G$81,MATCH($Q2439,Offerte!$L$2:$L$81,0)),"NO"))</f>
        <v/>
      </c>
    </row>
    <row r="2440">
      <c r="A2440" s="48">
        <f>IF(Offerte!$A80="","",Offerte!$A80)</f>
        <v/>
      </c>
      <c r="B2440" s="48">
        <f>IF(Offerte!$A80="","",Offerte!$B80)</f>
        <v/>
      </c>
      <c r="C2440" s="48">
        <f>IF(Offerte!$A80="","",Offerte!$C80)</f>
        <v/>
      </c>
      <c r="D2440" s="48" t="inlineStr">
        <is>
          <t>D.1.3</t>
        </is>
      </c>
      <c r="E2440" s="48" t="inlineStr">
        <is>
          <t>D</t>
        </is>
      </c>
      <c r="F2440" s="48" t="inlineStr">
        <is>
          <t>Q</t>
        </is>
      </c>
      <c r="G2440" s="48" t="inlineStr">
        <is>
          <t>higher</t>
        </is>
      </c>
      <c r="H2440" s="48" t="n">
        <v>2</v>
      </c>
      <c r="I2440" s="48" t="inlineStr">
        <is>
          <t>Display informativi connessi alle fermate</t>
        </is>
      </c>
      <c r="J2440" s="73" t="n"/>
      <c r="K2440" s="73" t="n"/>
      <c r="L2440" s="73" t="n"/>
      <c r="M2440" s="73" t="n"/>
      <c r="N2440" s="57">
        <f>IF($A2440="","",IFERROR(VALUE($J2440),0))</f>
        <v/>
      </c>
      <c r="O2440" s="57">
        <f>IF($A2440="",0,IF(OR($S2440&lt;&gt;1,COUNTA($J2440:$M2440)=0),0,IF(SUMPRODUCT(MAX(($C$5:$C$2484=$C2440)*($D$5:$D$2484=$D2440)*($S$5:$S$2484=1)*IFERROR($N$5:$N$2484*1,0)))&gt;0,ROUND($H2440*($N2440/SUMPRODUCT(MAX(($C$5:$C$2484=$C2440)*($D$5:$D$2484=$D2440)*($S$5:$S$2484=1)*IFERROR($N$5:$N$2484*1,0)))),4),0)))</f>
        <v/>
      </c>
      <c r="P2440" s="48" t="inlineStr">
        <is>
          <t>fermate</t>
        </is>
      </c>
      <c r="Q2440" s="57">
        <f>IF($A2440="","",$A2440&amp;"|"&amp;$C2440)</f>
        <v/>
      </c>
      <c r="R2440" s="57">
        <f>IF($A2440="","",$A2440&amp;"|"&amp;$C2440&amp;"|"&amp;$D2440)</f>
        <v/>
      </c>
      <c r="S2440" s="57">
        <f>IF($A2440="","",IFERROR(INDEX(Offerte!$D$2:$D$81,MATCH($Q2440,Offerte!$L$2:$L$81,0)),0))</f>
        <v/>
      </c>
      <c r="T2440" s="57">
        <f>IF($A2440="","",IFERROR(INDEX(Offerte!$G$2:$G$81,MATCH($Q2440,Offerte!$L$2:$L$81,0)),"NO"))</f>
        <v/>
      </c>
    </row>
    <row r="2441">
      <c r="A2441" s="48">
        <f>IF(Offerte!$A80="","",Offerte!$A80)</f>
        <v/>
      </c>
      <c r="B2441" s="48">
        <f>IF(Offerte!$A80="","",Offerte!$B80)</f>
        <v/>
      </c>
      <c r="C2441" s="48">
        <f>IF(Offerte!$A80="","",Offerte!$C80)</f>
        <v/>
      </c>
      <c r="D2441" s="48" t="inlineStr">
        <is>
          <t>D.2.1</t>
        </is>
      </c>
      <c r="E2441" s="48" t="inlineStr">
        <is>
          <t>D</t>
        </is>
      </c>
      <c r="F2441" s="48" t="inlineStr">
        <is>
          <t>Q</t>
        </is>
      </c>
      <c r="G2441" s="48" t="inlineStr">
        <is>
          <t>higher</t>
        </is>
      </c>
      <c r="H2441" s="48" t="n">
        <v>2</v>
      </c>
      <c r="I2441" s="48" t="inlineStr">
        <is>
          <t>Segnali tattili Loges-Vet-Evolution</t>
        </is>
      </c>
      <c r="J2441" s="73" t="n"/>
      <c r="K2441" s="73" t="n"/>
      <c r="L2441" s="73" t="n"/>
      <c r="M2441" s="73" t="n"/>
      <c r="N2441" s="57">
        <f>IF($A2441="","",IFERROR(VALUE($J2441),0))</f>
        <v/>
      </c>
      <c r="O2441" s="57">
        <f>IF($A2441="",0,IF(OR($S2441&lt;&gt;1,COUNTA($J2441:$M2441)=0),0,IF(SUMPRODUCT(MAX(($C$5:$C$2484=$C2441)*($D$5:$D$2484=$D2441)*($S$5:$S$2484=1)*IFERROR($N$5:$N$2484*1,0)))&gt;0,ROUND($H2441*($N2441/SUMPRODUCT(MAX(($C$5:$C$2484=$C2441)*($D$5:$D$2484=$D2441)*($S$5:$S$2484=1)*IFERROR($N$5:$N$2484*1,0)))),4),0)))</f>
        <v/>
      </c>
      <c r="P2441" s="48" t="inlineStr">
        <is>
          <t>fermate</t>
        </is>
      </c>
      <c r="Q2441" s="57">
        <f>IF($A2441="","",$A2441&amp;"|"&amp;$C2441)</f>
        <v/>
      </c>
      <c r="R2441" s="57">
        <f>IF($A2441="","",$A2441&amp;"|"&amp;$C2441&amp;"|"&amp;$D2441)</f>
        <v/>
      </c>
      <c r="S2441" s="57">
        <f>IF($A2441="","",IFERROR(INDEX(Offerte!$D$2:$D$81,MATCH($Q2441,Offerte!$L$2:$L$81,0)),0))</f>
        <v/>
      </c>
      <c r="T2441" s="57">
        <f>IF($A2441="","",IFERROR(INDEX(Offerte!$G$2:$G$81,MATCH($Q2441,Offerte!$L$2:$L$81,0)),"NO"))</f>
        <v/>
      </c>
    </row>
    <row r="2442">
      <c r="A2442" s="48">
        <f>IF(Offerte!$A80="","",Offerte!$A80)</f>
        <v/>
      </c>
      <c r="B2442" s="48">
        <f>IF(Offerte!$A80="","",Offerte!$B80)</f>
        <v/>
      </c>
      <c r="C2442" s="48">
        <f>IF(Offerte!$A80="","",Offerte!$C80)</f>
        <v/>
      </c>
      <c r="D2442" s="48" t="inlineStr">
        <is>
          <t>E.1.1</t>
        </is>
      </c>
      <c r="E2442" s="48" t="inlineStr">
        <is>
          <t>E</t>
        </is>
      </c>
      <c r="F2442" s="48" t="inlineStr">
        <is>
          <t>T</t>
        </is>
      </c>
      <c r="G2442" s="48" t="inlineStr">
        <is>
          <t>tabular</t>
        </is>
      </c>
      <c r="H2442" s="48" t="n">
        <v>2</v>
      </c>
      <c r="I2442" s="48" t="inlineStr">
        <is>
          <t>Mobile app con travel planner PRM</t>
        </is>
      </c>
      <c r="J2442" s="73" t="n"/>
      <c r="K2442" s="73" t="n"/>
      <c r="L2442" s="73" t="n"/>
      <c r="M2442" s="73" t="n"/>
      <c r="N2442" s="57">
        <f>IF($A2442="","",IF(IFERROR(VALUE($M2442),0)=1,1,0))</f>
        <v/>
      </c>
      <c r="O2442" s="57">
        <f>IF($A2442="",0,IF(OR($S2442&lt;&gt;1,COUNTA($J2442:$M2442)=0),0,IF($N2442=1,$H2442,0)))</f>
        <v/>
      </c>
      <c r="P2442" s="48" t="inlineStr">
        <is>
          <t>sì/no</t>
        </is>
      </c>
      <c r="Q2442" s="57">
        <f>IF($A2442="","",$A2442&amp;"|"&amp;$C2442)</f>
        <v/>
      </c>
      <c r="R2442" s="57">
        <f>IF($A2442="","",$A2442&amp;"|"&amp;$C2442&amp;"|"&amp;$D2442)</f>
        <v/>
      </c>
      <c r="S2442" s="57">
        <f>IF($A2442="","",IFERROR(INDEX(Offerte!$D$2:$D$81,MATCH($Q2442,Offerte!$L$2:$L$81,0)),0))</f>
        <v/>
      </c>
      <c r="T2442" s="57">
        <f>IF($A2442="","",IFERROR(INDEX(Offerte!$G$2:$G$81,MATCH($Q2442,Offerte!$L$2:$L$81,0)),"NO"))</f>
        <v/>
      </c>
    </row>
    <row r="2443">
      <c r="A2443" s="48">
        <f>IF(Offerte!$A80="","",Offerte!$A80)</f>
        <v/>
      </c>
      <c r="B2443" s="48">
        <f>IF(Offerte!$A80="","",Offerte!$B80)</f>
        <v/>
      </c>
      <c r="C2443" s="48">
        <f>IF(Offerte!$A80="","",Offerte!$C80)</f>
        <v/>
      </c>
      <c r="D2443" s="48" t="inlineStr">
        <is>
          <t>E.2.1</t>
        </is>
      </c>
      <c r="E2443" s="48" t="inlineStr">
        <is>
          <t>E</t>
        </is>
      </c>
      <c r="F2443" s="48" t="inlineStr">
        <is>
          <t>D</t>
        </is>
      </c>
      <c r="G2443" s="48" t="inlineStr">
        <is>
          <t>discretionary</t>
        </is>
      </c>
      <c r="H2443" s="48" t="n">
        <v>2</v>
      </c>
      <c r="I2443" s="48" t="inlineStr">
        <is>
          <t>Altre azioni informative e rapporti con gli utenti</t>
        </is>
      </c>
      <c r="J2443" s="73" t="n"/>
      <c r="K2443" s="73" t="n"/>
      <c r="L2443" s="73" t="n"/>
      <c r="M2443" s="73" t="n"/>
      <c r="N2443" s="57">
        <f>IF($A2443="","",MAX(0,MIN(1,IFERROR(VALUE($M2443),0))))</f>
        <v/>
      </c>
      <c r="O2443" s="57">
        <f>IF($A2443="",0,IF(OR($S2443&lt;&gt;1,COUNTA($J2443:$M2443)=0),0,IF(SUMPRODUCT(MAX(($C$5:$C$2484=$C2443)*($D$5:$D$2484=$D2443)*($S$5:$S$2484=1)*IFERROR($N$5:$N$2484*1,0)))&gt;0,ROUND($H2443*($N2443/SUMPRODUCT(MAX(($C$5:$C$2484=$C2443)*($D$5:$D$2484=$D2443)*($S$5:$S$2484=1)*IFERROR($N$5:$N$2484*1,0)))),4),0)))</f>
        <v/>
      </c>
      <c r="P2443" s="48" t="inlineStr">
        <is>
          <t>coeff.</t>
        </is>
      </c>
      <c r="Q2443" s="57">
        <f>IF($A2443="","",$A2443&amp;"|"&amp;$C2443)</f>
        <v/>
      </c>
      <c r="R2443" s="57">
        <f>IF($A2443="","",$A2443&amp;"|"&amp;$C2443&amp;"|"&amp;$D2443)</f>
        <v/>
      </c>
      <c r="S2443" s="57">
        <f>IF($A2443="","",IFERROR(INDEX(Offerte!$D$2:$D$81,MATCH($Q2443,Offerte!$L$2:$L$81,0)),0))</f>
        <v/>
      </c>
      <c r="T2443" s="57">
        <f>IF($A2443="","",IFERROR(INDEX(Offerte!$G$2:$G$81,MATCH($Q2443,Offerte!$L$2:$L$81,0)),"NO"))</f>
        <v/>
      </c>
    </row>
    <row r="2444">
      <c r="A2444" s="48">
        <f>IF(Offerte!$A80="","",Offerte!$A80)</f>
        <v/>
      </c>
      <c r="B2444" s="48">
        <f>IF(Offerte!$A80="","",Offerte!$B80)</f>
        <v/>
      </c>
      <c r="C2444" s="48">
        <f>IF(Offerte!$A80="","",Offerte!$C80)</f>
        <v/>
      </c>
      <c r="D2444" s="48" t="inlineStr">
        <is>
          <t>F.1.1</t>
        </is>
      </c>
      <c r="E2444" s="48" t="inlineStr">
        <is>
          <t>F</t>
        </is>
      </c>
      <c r="F2444" s="48" t="inlineStr">
        <is>
          <t>Q</t>
        </is>
      </c>
      <c r="G2444" s="48" t="inlineStr">
        <is>
          <t>lower</t>
        </is>
      </c>
      <c r="H2444" s="48" t="n">
        <v>7</v>
      </c>
      <c r="I2444" s="48" t="inlineStr">
        <is>
          <t>Performance ambientali del parco mezzi adibito al servizio - I_CEA</t>
        </is>
      </c>
      <c r="J2444" s="73" t="n"/>
      <c r="K2444" s="73" t="n"/>
      <c r="L2444" s="73" t="n"/>
      <c r="M2444" s="73" t="n"/>
      <c r="N2444" s="57">
        <f>IF($A2444="","",IFERROR(VALUE($J2444),0))</f>
        <v/>
      </c>
      <c r="O2444" s="57">
        <f>IF($A2444="",0,IF(OR($S2444&lt;&gt;1,COUNTA($J2444:$M2444)=0),0,IF(AND(IFERROR(AGGREGATE(15,6,$N$5:$N$2484/(($C$5:$C$2484=$C2444)*($D$5:$D$2484=$D2444)*($S$5:$S$2484=1)*($N$5:$N$2484&gt;0)),1),0)&gt;0,$N2444&gt;0),ROUND($H2444*(IFERROR(AGGREGATE(15,6,$N$5:$N$2484/(($C$5:$C$2484=$C2444)*($D$5:$D$2484=$D2444)*($S$5:$S$2484=1)*($N$5:$N$2484&gt;0)),1),0)/$N2444),4),0)))</f>
        <v/>
      </c>
      <c r="P2444" s="48" t="inlineStr">
        <is>
          <t>indice</t>
        </is>
      </c>
      <c r="Q2444" s="57">
        <f>IF($A2444="","",$A2444&amp;"|"&amp;$C2444)</f>
        <v/>
      </c>
      <c r="R2444" s="57">
        <f>IF($A2444="","",$A2444&amp;"|"&amp;$C2444&amp;"|"&amp;$D2444)</f>
        <v/>
      </c>
      <c r="S2444" s="57">
        <f>IF($A2444="","",IFERROR(INDEX(Offerte!$D$2:$D$81,MATCH($Q2444,Offerte!$L$2:$L$81,0)),0))</f>
        <v/>
      </c>
      <c r="T2444" s="57">
        <f>IF($A2444="","",IFERROR(INDEX(Offerte!$G$2:$G$81,MATCH($Q2444,Offerte!$L$2:$L$81,0)),"NO"))</f>
        <v/>
      </c>
    </row>
    <row r="2445">
      <c r="A2445" s="48">
        <f>IF(Offerte!$A80="","",Offerte!$A80)</f>
        <v/>
      </c>
      <c r="B2445" s="48">
        <f>IF(Offerte!$A80="","",Offerte!$B80)</f>
        <v/>
      </c>
      <c r="C2445" s="48">
        <f>IF(Offerte!$A80="","",Offerte!$C80)</f>
        <v/>
      </c>
      <c r="D2445" s="48" t="inlineStr">
        <is>
          <t>F.2.1</t>
        </is>
      </c>
      <c r="E2445" s="48" t="inlineStr">
        <is>
          <t>F</t>
        </is>
      </c>
      <c r="F2445" s="48" t="inlineStr">
        <is>
          <t>Q</t>
        </is>
      </c>
      <c r="G2445" s="48" t="inlineStr">
        <is>
          <t>higher</t>
        </is>
      </c>
      <c r="H2445" s="48" t="n">
        <v>2</v>
      </c>
      <c r="I2445" s="48" t="inlineStr">
        <is>
          <t>Tasso di copertura del servizio con dispositivi ECO-DRIVER</t>
        </is>
      </c>
      <c r="J2445" s="73" t="n"/>
      <c r="K2445" s="73" t="n"/>
      <c r="L2445" s="73" t="n"/>
      <c r="M2445" s="73" t="n"/>
      <c r="N2445" s="57">
        <f>IF($A2445="","",IFERROR(VALUE($K2445)/VALUE($L2445),IFERROR(VALUE($J2445),0)))</f>
        <v/>
      </c>
      <c r="O2445" s="57">
        <f>IF($A2445="",0,IF(OR($S2445&lt;&gt;1,COUNTA($J2445:$M2445)=0),0,IF(SUMPRODUCT(MAX(($C$5:$C$2484=$C2445)*($D$5:$D$2484=$D2445)*($S$5:$S$2484=1)*IFERROR($N$5:$N$2484*1,0)))&gt;0,ROUND($H2445*($N2445/SUMPRODUCT(MAX(($C$5:$C$2484=$C2445)*($D$5:$D$2484=$D2445)*($S$5:$S$2484=1)*IFERROR($N$5:$N$2484*1,0)))),4),0)))</f>
        <v/>
      </c>
      <c r="P2445" s="48" t="inlineStr">
        <is>
          <t>Autobus attrezzati con dispositivi ECO-DRIVER / Autobus totali in offerta, incluse scorte</t>
        </is>
      </c>
      <c r="Q2445" s="57">
        <f>IF($A2445="","",$A2445&amp;"|"&amp;$C2445)</f>
        <v/>
      </c>
      <c r="R2445" s="57">
        <f>IF($A2445="","",$A2445&amp;"|"&amp;$C2445&amp;"|"&amp;$D2445)</f>
        <v/>
      </c>
      <c r="S2445" s="57">
        <f>IF($A2445="","",IFERROR(INDEX(Offerte!$D$2:$D$81,MATCH($Q2445,Offerte!$L$2:$L$81,0)),0))</f>
        <v/>
      </c>
      <c r="T2445" s="57">
        <f>IF($A2445="","",IFERROR(INDEX(Offerte!$G$2:$G$81,MATCH($Q2445,Offerte!$L$2:$L$81,0)),"NO"))</f>
        <v/>
      </c>
    </row>
    <row r="2446">
      <c r="A2446" s="48">
        <f>IF(Offerte!$A80="","",Offerte!$A80)</f>
        <v/>
      </c>
      <c r="B2446" s="48">
        <f>IF(Offerte!$A80="","",Offerte!$B80)</f>
        <v/>
      </c>
      <c r="C2446" s="48">
        <f>IF(Offerte!$A80="","",Offerte!$C80)</f>
        <v/>
      </c>
      <c r="D2446" s="48" t="inlineStr">
        <is>
          <t>F.3.1</t>
        </is>
      </c>
      <c r="E2446" s="48" t="inlineStr">
        <is>
          <t>F</t>
        </is>
      </c>
      <c r="F2446" s="48" t="inlineStr">
        <is>
          <t>Q</t>
        </is>
      </c>
      <c r="G2446" s="48" t="inlineStr">
        <is>
          <t>higher</t>
        </is>
      </c>
      <c r="H2446" s="48" t="n">
        <v>2</v>
      </c>
      <c r="I2446" s="48" t="inlineStr">
        <is>
          <t>Autoproduzione consumi elettrici per trazione</t>
        </is>
      </c>
      <c r="J2446" s="73" t="n"/>
      <c r="K2446" s="73" t="n"/>
      <c r="L2446" s="73" t="n"/>
      <c r="M2446" s="73" t="n"/>
      <c r="N2446" s="57">
        <f>IF($A2446="","",IFERROR(VALUE($J2446),0))</f>
        <v/>
      </c>
      <c r="O2446" s="57">
        <f>IF($A2446="",0,IF(OR($S2446&lt;&gt;1,COUNTA($J2446:$M2446)=0),0,IF(SUMPRODUCT(MAX(($C$5:$C$2484=$C2446)*($D$5:$D$2484=$D2446)*($S$5:$S$2484=1)*IFERROR($N$5:$N$2484*1,0)))&gt;0,ROUND($H2446*($N2446/SUMPRODUCT(MAX(($C$5:$C$2484=$C2446)*($D$5:$D$2484=$D2446)*($S$5:$S$2484=1)*IFERROR($N$5:$N$2484*1,0)))),4),0)))</f>
        <v/>
      </c>
      <c r="P2446" s="48" t="inlineStr">
        <is>
          <t>kWh/anno</t>
        </is>
      </c>
      <c r="Q2446" s="57">
        <f>IF($A2446="","",$A2446&amp;"|"&amp;$C2446)</f>
        <v/>
      </c>
      <c r="R2446" s="57">
        <f>IF($A2446="","",$A2446&amp;"|"&amp;$C2446&amp;"|"&amp;$D2446)</f>
        <v/>
      </c>
      <c r="S2446" s="57">
        <f>IF($A2446="","",IFERROR(INDEX(Offerte!$D$2:$D$81,MATCH($Q2446,Offerte!$L$2:$L$81,0)),0))</f>
        <v/>
      </c>
      <c r="T2446" s="57">
        <f>IF($A2446="","",IFERROR(INDEX(Offerte!$G$2:$G$81,MATCH($Q2446,Offerte!$L$2:$L$81,0)),"NO"))</f>
        <v/>
      </c>
    </row>
    <row r="2447">
      <c r="A2447" s="48">
        <f>IF(Offerte!$A80="","",Offerte!$A80)</f>
        <v/>
      </c>
      <c r="B2447" s="48">
        <f>IF(Offerte!$A80="","",Offerte!$B80)</f>
        <v/>
      </c>
      <c r="C2447" s="48">
        <f>IF(Offerte!$A80="","",Offerte!$C80)</f>
        <v/>
      </c>
      <c r="D2447" s="48" t="inlineStr">
        <is>
          <t>F.4.1</t>
        </is>
      </c>
      <c r="E2447" s="48" t="inlineStr">
        <is>
          <t>F</t>
        </is>
      </c>
      <c r="F2447" s="48" t="inlineStr">
        <is>
          <t>Q</t>
        </is>
      </c>
      <c r="G2447" s="48" t="inlineStr">
        <is>
          <t>soil</t>
        </is>
      </c>
      <c r="H2447" s="48" t="n">
        <v>2</v>
      </c>
      <c r="I2447" s="48" t="inlineStr">
        <is>
          <t>Indice di consumo di suolo</t>
        </is>
      </c>
      <c r="J2447" s="73" t="n"/>
      <c r="K2447" s="73" t="n"/>
      <c r="L2447" s="73" t="n"/>
      <c r="M2447" s="73" t="n"/>
      <c r="N2447" s="57">
        <f>IF($A2447="","",IFERROR(VALUE($J2447),0))</f>
        <v/>
      </c>
      <c r="O2447" s="57">
        <f>IF($A2447="",0,IF(OR($S2447&lt;&gt;1,COUNTA($J2447:$M2447)=0),0,IF($N2447&lt;=0,$H2447,IF(SUMPRODUCT(MAX(($C$5:$C$2484=$C2447)*($D$5:$D$2484=$D2447)*($S$5:$S$2484=1)*IFERROR($N$5:$N$2484*1,0)))&gt;0,ROUND($H2447*((SUMPRODUCT(MAX(($C$5:$C$2484=$C2447)*($D$5:$D$2484=$D2447)*($S$5:$S$2484=1)*IFERROR($N$5:$N$2484*1,0)))-$N2447)/SUMPRODUCT(MAX(($C$5:$C$2484=$C2447)*($D$5:$D$2484=$D2447)*($S$5:$S$2484=1)*IFERROR($N$5:$N$2484*1,0)))),4),0))))</f>
        <v/>
      </c>
      <c r="P2447" s="48" t="inlineStr">
        <is>
          <t>m2</t>
        </is>
      </c>
      <c r="Q2447" s="57">
        <f>IF($A2447="","",$A2447&amp;"|"&amp;$C2447)</f>
        <v/>
      </c>
      <c r="R2447" s="57">
        <f>IF($A2447="","",$A2447&amp;"|"&amp;$C2447&amp;"|"&amp;$D2447)</f>
        <v/>
      </c>
      <c r="S2447" s="57">
        <f>IF($A2447="","",IFERROR(INDEX(Offerte!$D$2:$D$81,MATCH($Q2447,Offerte!$L$2:$L$81,0)),0))</f>
        <v/>
      </c>
      <c r="T2447" s="57">
        <f>IF($A2447="","",IFERROR(INDEX(Offerte!$G$2:$G$81,MATCH($Q2447,Offerte!$L$2:$L$81,0)),"NO"))</f>
        <v/>
      </c>
    </row>
    <row r="2448">
      <c r="A2448" s="48">
        <f>IF(Offerte!$A80="","",Offerte!$A80)</f>
        <v/>
      </c>
      <c r="B2448" s="48">
        <f>IF(Offerte!$A80="","",Offerte!$B80)</f>
        <v/>
      </c>
      <c r="C2448" s="48">
        <f>IF(Offerte!$A80="","",Offerte!$C80)</f>
        <v/>
      </c>
      <c r="D2448" s="48" t="inlineStr">
        <is>
          <t>F.5.1</t>
        </is>
      </c>
      <c r="E2448" s="48" t="inlineStr">
        <is>
          <t>F</t>
        </is>
      </c>
      <c r="F2448" s="48" t="inlineStr">
        <is>
          <t>T</t>
        </is>
      </c>
      <c r="G2448" s="48" t="inlineStr">
        <is>
          <t>tabular</t>
        </is>
      </c>
      <c r="H2448" s="48" t="n">
        <v>1</v>
      </c>
      <c r="I2448" s="48" t="inlineStr">
        <is>
          <t>Rendicontazione di sostenibilità ambientale</t>
        </is>
      </c>
      <c r="J2448" s="73" t="n"/>
      <c r="K2448" s="73" t="n"/>
      <c r="L2448" s="73" t="n"/>
      <c r="M2448" s="73" t="n"/>
      <c r="N2448" s="57">
        <f>IF($A2448="","",IF(IFERROR(VALUE($M2448),0)=1,1,0))</f>
        <v/>
      </c>
      <c r="O2448" s="57">
        <f>IF($A2448="",0,IF(OR($S2448&lt;&gt;1,COUNTA($J2448:$M2448)=0),0,IF($N2448=1,$H2448,0)))</f>
        <v/>
      </c>
      <c r="P2448" s="48" t="inlineStr">
        <is>
          <t>sì/no</t>
        </is>
      </c>
      <c r="Q2448" s="57">
        <f>IF($A2448="","",$A2448&amp;"|"&amp;$C2448)</f>
        <v/>
      </c>
      <c r="R2448" s="57">
        <f>IF($A2448="","",$A2448&amp;"|"&amp;$C2448&amp;"|"&amp;$D2448)</f>
        <v/>
      </c>
      <c r="S2448" s="57">
        <f>IF($A2448="","",IFERROR(INDEX(Offerte!$D$2:$D$81,MATCH($Q2448,Offerte!$L$2:$L$81,0)),0))</f>
        <v/>
      </c>
      <c r="T2448" s="57">
        <f>IF($A2448="","",IFERROR(INDEX(Offerte!$G$2:$G$81,MATCH($Q2448,Offerte!$L$2:$L$81,0)),"NO"))</f>
        <v/>
      </c>
    </row>
    <row r="2449">
      <c r="A2449" s="48">
        <f>IF(Offerte!$A80="","",Offerte!$A80)</f>
        <v/>
      </c>
      <c r="B2449" s="48">
        <f>IF(Offerte!$A80="","",Offerte!$B80)</f>
        <v/>
      </c>
      <c r="C2449" s="48">
        <f>IF(Offerte!$A80="","",Offerte!$C80)</f>
        <v/>
      </c>
      <c r="D2449" s="48" t="inlineStr">
        <is>
          <t>G.1.1</t>
        </is>
      </c>
      <c r="E2449" s="48" t="inlineStr">
        <is>
          <t>G</t>
        </is>
      </c>
      <c r="F2449" s="48" t="inlineStr">
        <is>
          <t>D</t>
        </is>
      </c>
      <c r="G2449" s="48" t="inlineStr">
        <is>
          <t>discretionary</t>
        </is>
      </c>
      <c r="H2449" s="48" t="n">
        <v>2</v>
      </c>
      <c r="I2449" s="48" t="inlineStr">
        <is>
          <t>Qualità del progetto di centrale di controllo aziendale</t>
        </is>
      </c>
      <c r="J2449" s="73" t="n"/>
      <c r="K2449" s="73" t="n"/>
      <c r="L2449" s="73" t="n"/>
      <c r="M2449" s="73" t="n"/>
      <c r="N2449" s="57">
        <f>IF($A2449="","",MAX(0,MIN(1,IFERROR(VALUE($M2449),0))))</f>
        <v/>
      </c>
      <c r="O2449" s="57">
        <f>IF($A2449="",0,IF(OR($S2449&lt;&gt;1,COUNTA($J2449:$M2449)=0),0,IF(SUMPRODUCT(MAX(($C$5:$C$2484=$C2449)*($D$5:$D$2484=$D2449)*($S$5:$S$2484=1)*IFERROR($N$5:$N$2484*1,0)))&gt;0,ROUND($H2449*($N2449/SUMPRODUCT(MAX(($C$5:$C$2484=$C2449)*($D$5:$D$2484=$D2449)*($S$5:$S$2484=1)*IFERROR($N$5:$N$2484*1,0)))),4),0)))</f>
        <v/>
      </c>
      <c r="P2449" s="48" t="inlineStr">
        <is>
          <t>coeff.</t>
        </is>
      </c>
      <c r="Q2449" s="57">
        <f>IF($A2449="","",$A2449&amp;"|"&amp;$C2449)</f>
        <v/>
      </c>
      <c r="R2449" s="57">
        <f>IF($A2449="","",$A2449&amp;"|"&amp;$C2449&amp;"|"&amp;$D2449)</f>
        <v/>
      </c>
      <c r="S2449" s="57">
        <f>IF($A2449="","",IFERROR(INDEX(Offerte!$D$2:$D$81,MATCH($Q2449,Offerte!$L$2:$L$81,0)),0))</f>
        <v/>
      </c>
      <c r="T2449" s="57">
        <f>IF($A2449="","",IFERROR(INDEX(Offerte!$G$2:$G$81,MATCH($Q2449,Offerte!$L$2:$L$81,0)),"NO"))</f>
        <v/>
      </c>
    </row>
    <row r="2450">
      <c r="A2450" s="48">
        <f>IF(Offerte!$A80="","",Offerte!$A80)</f>
        <v/>
      </c>
      <c r="B2450" s="48">
        <f>IF(Offerte!$A80="","",Offerte!$B80)</f>
        <v/>
      </c>
      <c r="C2450" s="48">
        <f>IF(Offerte!$A80="","",Offerte!$C80)</f>
        <v/>
      </c>
      <c r="D2450" s="48" t="inlineStr">
        <is>
          <t>G.2.1</t>
        </is>
      </c>
      <c r="E2450" s="48" t="inlineStr">
        <is>
          <t>G</t>
        </is>
      </c>
      <c r="F2450" s="48" t="inlineStr">
        <is>
          <t>T</t>
        </is>
      </c>
      <c r="G2450" s="48" t="inlineStr">
        <is>
          <t>tabular</t>
        </is>
      </c>
      <c r="H2450" s="48" t="n">
        <v>1</v>
      </c>
      <c r="I2450" s="48" t="inlineStr">
        <is>
          <t>Certificazione ISO 45001</t>
        </is>
      </c>
      <c r="J2450" s="73" t="n"/>
      <c r="K2450" s="73" t="n"/>
      <c r="L2450" s="73" t="n"/>
      <c r="M2450" s="73" t="n"/>
      <c r="N2450" s="57">
        <f>IF($A2450="","",IF(IFERROR(VALUE($M2450),0)=1,1,0))</f>
        <v/>
      </c>
      <c r="O2450" s="57">
        <f>IF($A2450="",0,IF(OR($S2450&lt;&gt;1,COUNTA($J2450:$M2450)=0),0,IF($N2450=1,$H2450,0)))</f>
        <v/>
      </c>
      <c r="P2450" s="48" t="inlineStr">
        <is>
          <t>sì/no</t>
        </is>
      </c>
      <c r="Q2450" s="57">
        <f>IF($A2450="","",$A2450&amp;"|"&amp;$C2450)</f>
        <v/>
      </c>
      <c r="R2450" s="57">
        <f>IF($A2450="","",$A2450&amp;"|"&amp;$C2450&amp;"|"&amp;$D2450)</f>
        <v/>
      </c>
      <c r="S2450" s="57">
        <f>IF($A2450="","",IFERROR(INDEX(Offerte!$D$2:$D$81,MATCH($Q2450,Offerte!$L$2:$L$81,0)),0))</f>
        <v/>
      </c>
      <c r="T2450" s="57">
        <f>IF($A2450="","",IFERROR(INDEX(Offerte!$G$2:$G$81,MATCH($Q2450,Offerte!$L$2:$L$81,0)),"NO"))</f>
        <v/>
      </c>
    </row>
    <row r="2451">
      <c r="A2451" s="48">
        <f>IF(Offerte!$A80="","",Offerte!$A80)</f>
        <v/>
      </c>
      <c r="B2451" s="48">
        <f>IF(Offerte!$A80="","",Offerte!$B80)</f>
        <v/>
      </c>
      <c r="C2451" s="48">
        <f>IF(Offerte!$A80="","",Offerte!$C80)</f>
        <v/>
      </c>
      <c r="D2451" s="48" t="inlineStr">
        <is>
          <t>G.3.1</t>
        </is>
      </c>
      <c r="E2451" s="48" t="inlineStr">
        <is>
          <t>G</t>
        </is>
      </c>
      <c r="F2451" s="48" t="inlineStr">
        <is>
          <t>T</t>
        </is>
      </c>
      <c r="G2451" s="48" t="inlineStr">
        <is>
          <t>tabular</t>
        </is>
      </c>
      <c r="H2451" s="48" t="n">
        <v>1</v>
      </c>
      <c r="I2451" s="48" t="inlineStr">
        <is>
          <t>Certificazioni di responsabilità sociale</t>
        </is>
      </c>
      <c r="J2451" s="73" t="n"/>
      <c r="K2451" s="73" t="n"/>
      <c r="L2451" s="73" t="n"/>
      <c r="M2451" s="73" t="n"/>
      <c r="N2451" s="57">
        <f>IF($A2451="","",IF(IFERROR(VALUE($M2451),0)=1,1,0))</f>
        <v/>
      </c>
      <c r="O2451" s="57">
        <f>IF($A2451="",0,IF(OR($S2451&lt;&gt;1,COUNTA($J2451:$M2451)=0),0,IF($N2451=1,$H2451,0)))</f>
        <v/>
      </c>
      <c r="P2451" s="48" t="inlineStr">
        <is>
          <t>sì/no</t>
        </is>
      </c>
      <c r="Q2451" s="57">
        <f>IF($A2451="","",$A2451&amp;"|"&amp;$C2451)</f>
        <v/>
      </c>
      <c r="R2451" s="57">
        <f>IF($A2451="","",$A2451&amp;"|"&amp;$C2451&amp;"|"&amp;$D2451)</f>
        <v/>
      </c>
      <c r="S2451" s="57">
        <f>IF($A2451="","",IFERROR(INDEX(Offerte!$D$2:$D$81,MATCH($Q2451,Offerte!$L$2:$L$81,0)),0))</f>
        <v/>
      </c>
      <c r="T2451" s="57">
        <f>IF($A2451="","",IFERROR(INDEX(Offerte!$G$2:$G$81,MATCH($Q2451,Offerte!$L$2:$L$81,0)),"NO"))</f>
        <v/>
      </c>
    </row>
    <row r="2452">
      <c r="A2452" s="48">
        <f>IF(Offerte!$A80="","",Offerte!$A80)</f>
        <v/>
      </c>
      <c r="B2452" s="48">
        <f>IF(Offerte!$A80="","",Offerte!$B80)</f>
        <v/>
      </c>
      <c r="C2452" s="48">
        <f>IF(Offerte!$A80="","",Offerte!$C80)</f>
        <v/>
      </c>
      <c r="D2452" s="48" t="inlineStr">
        <is>
          <t>G.4.1</t>
        </is>
      </c>
      <c r="E2452" s="48" t="inlineStr">
        <is>
          <t>G</t>
        </is>
      </c>
      <c r="F2452" s="48" t="inlineStr">
        <is>
          <t>D</t>
        </is>
      </c>
      <c r="G2452" s="48" t="inlineStr">
        <is>
          <t>discretionary</t>
        </is>
      </c>
      <c r="H2452" s="48" t="n">
        <v>2</v>
      </c>
      <c r="I2452" s="48" t="inlineStr">
        <is>
          <t>Qualità del piano di formazione del personale</t>
        </is>
      </c>
      <c r="J2452" s="73" t="n"/>
      <c r="K2452" s="73" t="n"/>
      <c r="L2452" s="73" t="n"/>
      <c r="M2452" s="73" t="n"/>
      <c r="N2452" s="57">
        <f>IF($A2452="","",MAX(0,MIN(1,IFERROR(VALUE($M2452),0))))</f>
        <v/>
      </c>
      <c r="O2452" s="57">
        <f>IF($A2452="",0,IF(OR($S2452&lt;&gt;1,COUNTA($J2452:$M2452)=0),0,IF(SUMPRODUCT(MAX(($C$5:$C$2484=$C2452)*($D$5:$D$2484=$D2452)*($S$5:$S$2484=1)*IFERROR($N$5:$N$2484*1,0)))&gt;0,ROUND($H2452*($N2452/SUMPRODUCT(MAX(($C$5:$C$2484=$C2452)*($D$5:$D$2484=$D2452)*($S$5:$S$2484=1)*IFERROR($N$5:$N$2484*1,0)))),4),0)))</f>
        <v/>
      </c>
      <c r="P2452" s="48" t="inlineStr">
        <is>
          <t>coeff.</t>
        </is>
      </c>
      <c r="Q2452" s="57">
        <f>IF($A2452="","",$A2452&amp;"|"&amp;$C2452)</f>
        <v/>
      </c>
      <c r="R2452" s="57">
        <f>IF($A2452="","",$A2452&amp;"|"&amp;$C2452&amp;"|"&amp;$D2452)</f>
        <v/>
      </c>
      <c r="S2452" s="57">
        <f>IF($A2452="","",IFERROR(INDEX(Offerte!$D$2:$D$81,MATCH($Q2452,Offerte!$L$2:$L$81,0)),0))</f>
        <v/>
      </c>
      <c r="T2452" s="57">
        <f>IF($A2452="","",IFERROR(INDEX(Offerte!$G$2:$G$81,MATCH($Q2452,Offerte!$L$2:$L$81,0)),"NO"))</f>
        <v/>
      </c>
    </row>
    <row r="2453">
      <c r="A2453" s="48">
        <f>IF(Offerte!$A80="","",Offerte!$A80)</f>
        <v/>
      </c>
      <c r="B2453" s="48">
        <f>IF(Offerte!$A80="","",Offerte!$B80)</f>
        <v/>
      </c>
      <c r="C2453" s="48">
        <f>IF(Offerte!$A80="","",Offerte!$C80)</f>
        <v/>
      </c>
      <c r="D2453" s="48" t="inlineStr">
        <is>
          <t>G.5.1</t>
        </is>
      </c>
      <c r="E2453" s="48" t="inlineStr">
        <is>
          <t>G</t>
        </is>
      </c>
      <c r="F2453" s="48" t="inlineStr">
        <is>
          <t>T</t>
        </is>
      </c>
      <c r="G2453" s="48" t="inlineStr">
        <is>
          <t>tabular</t>
        </is>
      </c>
      <c r="H2453" s="48" t="n">
        <v>1</v>
      </c>
      <c r="I2453" s="48" t="inlineStr">
        <is>
          <t>Impegno al mantenimento delle garanzie del contratto di secondo livello del gestore uscente</t>
        </is>
      </c>
      <c r="J2453" s="73" t="n"/>
      <c r="K2453" s="73" t="n"/>
      <c r="L2453" s="73" t="n"/>
      <c r="M2453" s="73" t="n"/>
      <c r="N2453" s="57">
        <f>IF($A2453="","",IF(IFERROR(VALUE($M2453),0)=1,1,0))</f>
        <v/>
      </c>
      <c r="O2453" s="57">
        <f>IF($A2453="",0,IF(OR($S2453&lt;&gt;1,COUNTA($J2453:$M2453)=0),0,IF($N2453=1,$H2453,0)))</f>
        <v/>
      </c>
      <c r="P2453" s="48" t="inlineStr">
        <is>
          <t>sì/no</t>
        </is>
      </c>
      <c r="Q2453" s="57">
        <f>IF($A2453="","",$A2453&amp;"|"&amp;$C2453)</f>
        <v/>
      </c>
      <c r="R2453" s="57">
        <f>IF($A2453="","",$A2453&amp;"|"&amp;$C2453&amp;"|"&amp;$D2453)</f>
        <v/>
      </c>
      <c r="S2453" s="57">
        <f>IF($A2453="","",IFERROR(INDEX(Offerte!$D$2:$D$81,MATCH($Q2453,Offerte!$L$2:$L$81,0)),0))</f>
        <v/>
      </c>
      <c r="T2453" s="57">
        <f>IF($A2453="","",IFERROR(INDEX(Offerte!$G$2:$G$81,MATCH($Q2453,Offerte!$L$2:$L$81,0)),"NO"))</f>
        <v/>
      </c>
    </row>
    <row r="2454">
      <c r="A2454" s="48">
        <f>IF(Offerte!$A81="","",Offerte!$A81)</f>
        <v/>
      </c>
      <c r="B2454" s="48">
        <f>IF(Offerte!$A81="","",Offerte!$B81)</f>
        <v/>
      </c>
      <c r="C2454" s="48">
        <f>IF(Offerte!$A81="","",Offerte!$C81)</f>
        <v/>
      </c>
      <c r="D2454" s="48" t="inlineStr">
        <is>
          <t>A.1.1</t>
        </is>
      </c>
      <c r="E2454" s="48" t="inlineStr">
        <is>
          <t>A</t>
        </is>
      </c>
      <c r="F2454" s="48" t="inlineStr">
        <is>
          <t>Q</t>
        </is>
      </c>
      <c r="G2454" s="48" t="inlineStr">
        <is>
          <t>higher</t>
        </is>
      </c>
      <c r="H2454" s="48" t="n">
        <v>3</v>
      </c>
      <c r="I2454" s="48" t="inlineStr">
        <is>
          <t>Tasso aggiuntivo di corse controllate</t>
        </is>
      </c>
      <c r="J2454" s="73" t="n"/>
      <c r="K2454" s="73" t="n"/>
      <c r="L2454" s="73" t="n"/>
      <c r="M2454" s="73" t="n"/>
      <c r="N2454" s="57">
        <f>IF($A2454="","",IFERROR(VALUE($K2454)/VALUE($L2454)*100,IFERROR(VALUE($J2454),0)))</f>
        <v/>
      </c>
      <c r="O2454" s="57">
        <f>IF($A2454="",0,IF(OR($S2454&lt;&gt;1,COUNTA($J2454:$M2454)=0),0,IF(SUMPRODUCT(MAX(($C$5:$C$2484=$C2454)*($D$5:$D$2484=$D2454)*($S$5:$S$2484=1)*IFERROR($N$5:$N$2484*1,0)))&gt;0,ROUND($H2454*($N2454/SUMPRODUCT(MAX(($C$5:$C$2484=$C2454)*($D$5:$D$2484=$D2454)*($S$5:$S$2484=1)*IFERROR($N$5:$N$2484*1,0)))),4),0)))</f>
        <v/>
      </c>
      <c r="P2454" s="48" t="inlineStr">
        <is>
          <t>Corse controllate annue / Corse programmate annue</t>
        </is>
      </c>
      <c r="Q2454" s="57">
        <f>IF($A2454="","",$A2454&amp;"|"&amp;$C2454)</f>
        <v/>
      </c>
      <c r="R2454" s="57">
        <f>IF($A2454="","",$A2454&amp;"|"&amp;$C2454&amp;"|"&amp;$D2454)</f>
        <v/>
      </c>
      <c r="S2454" s="57">
        <f>IF($A2454="","",IFERROR(INDEX(Offerte!$D$2:$D$81,MATCH($Q2454,Offerte!$L$2:$L$81,0)),0))</f>
        <v/>
      </c>
      <c r="T2454" s="57">
        <f>IF($A2454="","",IFERROR(INDEX(Offerte!$G$2:$G$81,MATCH($Q2454,Offerte!$L$2:$L$81,0)),"NO"))</f>
        <v/>
      </c>
    </row>
    <row r="2455">
      <c r="A2455" s="48">
        <f>IF(Offerte!$A81="","",Offerte!$A81)</f>
        <v/>
      </c>
      <c r="B2455" s="48">
        <f>IF(Offerte!$A81="","",Offerte!$B81)</f>
        <v/>
      </c>
      <c r="C2455" s="48">
        <f>IF(Offerte!$A81="","",Offerte!$C81)</f>
        <v/>
      </c>
      <c r="D2455" s="48" t="inlineStr">
        <is>
          <t>A.1.2</t>
        </is>
      </c>
      <c r="E2455" s="48" t="inlineStr">
        <is>
          <t>A</t>
        </is>
      </c>
      <c r="F2455" s="48" t="inlineStr">
        <is>
          <t>Q</t>
        </is>
      </c>
      <c r="G2455" s="48" t="inlineStr">
        <is>
          <t>higher</t>
        </is>
      </c>
      <c r="H2455" s="48" t="n">
        <v>4</v>
      </c>
      <c r="I2455" s="48" t="inlineStr">
        <is>
          <t>Numero aggiuntivo di passeggeri controllati</t>
        </is>
      </c>
      <c r="J2455" s="73" t="n"/>
      <c r="K2455" s="73" t="n"/>
      <c r="L2455" s="73" t="n"/>
      <c r="M2455" s="73" t="n"/>
      <c r="N2455" s="57">
        <f>IF($A2455="","",IFERROR(VALUE($J2455),0))</f>
        <v/>
      </c>
      <c r="O2455" s="57">
        <f>IF($A2455="",0,IF(OR($S2455&lt;&gt;1,COUNTA($J2455:$M2455)=0),0,IF(SUMPRODUCT(MAX(($C$5:$C$2484=$C2455)*($D$5:$D$2484=$D2455)*($S$5:$S$2484=1)*IFERROR($N$5:$N$2484*1,0)))&gt;0,ROUND($H2455*($N2455/SUMPRODUCT(MAX(($C$5:$C$2484=$C2455)*($D$5:$D$2484=$D2455)*($S$5:$S$2484=1)*IFERROR($N$5:$N$2484*1,0)))),4),0)))</f>
        <v/>
      </c>
      <c r="P2455" s="48" t="inlineStr">
        <is>
          <t>passeggeri/anno</t>
        </is>
      </c>
      <c r="Q2455" s="57">
        <f>IF($A2455="","",$A2455&amp;"|"&amp;$C2455)</f>
        <v/>
      </c>
      <c r="R2455" s="57">
        <f>IF($A2455="","",$A2455&amp;"|"&amp;$C2455&amp;"|"&amp;$D2455)</f>
        <v/>
      </c>
      <c r="S2455" s="57">
        <f>IF($A2455="","",IFERROR(INDEX(Offerte!$D$2:$D$81,MATCH($Q2455,Offerte!$L$2:$L$81,0)),0))</f>
        <v/>
      </c>
      <c r="T2455" s="57">
        <f>IF($A2455="","",IFERROR(INDEX(Offerte!$G$2:$G$81,MATCH($Q2455,Offerte!$L$2:$L$81,0)),"NO"))</f>
        <v/>
      </c>
    </row>
    <row r="2456">
      <c r="A2456" s="48">
        <f>IF(Offerte!$A81="","",Offerte!$A81)</f>
        <v/>
      </c>
      <c r="B2456" s="48">
        <f>IF(Offerte!$A81="","",Offerte!$B81)</f>
        <v/>
      </c>
      <c r="C2456" s="48">
        <f>IF(Offerte!$A81="","",Offerte!$C81)</f>
        <v/>
      </c>
      <c r="D2456" s="48" t="inlineStr">
        <is>
          <t>B.1.1</t>
        </is>
      </c>
      <c r="E2456" s="48" t="inlineStr">
        <is>
          <t>B</t>
        </is>
      </c>
      <c r="F2456" s="48" t="inlineStr">
        <is>
          <t>Q</t>
        </is>
      </c>
      <c r="G2456" s="48" t="inlineStr">
        <is>
          <t>higher</t>
        </is>
      </c>
      <c r="H2456" s="48" t="n">
        <v>3</v>
      </c>
      <c r="I2456" s="48" t="inlineStr">
        <is>
          <t>Incremento dei posti offerti nelle fasce di punta</t>
        </is>
      </c>
      <c r="J2456" s="73" t="n"/>
      <c r="K2456" s="73" t="n"/>
      <c r="L2456" s="73" t="n"/>
      <c r="M2456" s="73" t="n"/>
      <c r="N2456" s="57">
        <f>IF($A2456="","",IFERROR(VALUE($J2456),0))</f>
        <v/>
      </c>
      <c r="O2456" s="57">
        <f>IF($A2456="",0,IF(OR($S2456&lt;&gt;1,COUNTA($J2456:$M2456)=0),0,IF(SUMPRODUCT(MAX(($C$5:$C$2484=$C2456)*($D$5:$D$2484=$D2456)*($S$5:$S$2484=1)*IFERROR($N$5:$N$2484*1,0)))&gt;0,ROUND($H2456*($N2456/SUMPRODUCT(MAX(($C$5:$C$2484=$C2456)*($D$5:$D$2484=$D2456)*($S$5:$S$2484=1)*IFERROR($N$5:$N$2484*1,0)))),4),0)))</f>
        <v/>
      </c>
      <c r="P2456" s="48" t="inlineStr">
        <is>
          <t>posti*km</t>
        </is>
      </c>
      <c r="Q2456" s="57">
        <f>IF($A2456="","",$A2456&amp;"|"&amp;$C2456)</f>
        <v/>
      </c>
      <c r="R2456" s="57">
        <f>IF($A2456="","",$A2456&amp;"|"&amp;$C2456&amp;"|"&amp;$D2456)</f>
        <v/>
      </c>
      <c r="S2456" s="57">
        <f>IF($A2456="","",IFERROR(INDEX(Offerte!$D$2:$D$81,MATCH($Q2456,Offerte!$L$2:$L$81,0)),0))</f>
        <v/>
      </c>
      <c r="T2456" s="57">
        <f>IF($A2456="","",IFERROR(INDEX(Offerte!$G$2:$G$81,MATCH($Q2456,Offerte!$L$2:$L$81,0)),"NO"))</f>
        <v/>
      </c>
    </row>
    <row r="2457">
      <c r="A2457" s="48">
        <f>IF(Offerte!$A81="","",Offerte!$A81)</f>
        <v/>
      </c>
      <c r="B2457" s="48">
        <f>IF(Offerte!$A81="","",Offerte!$B81)</f>
        <v/>
      </c>
      <c r="C2457" s="48">
        <f>IF(Offerte!$A81="","",Offerte!$C81)</f>
        <v/>
      </c>
      <c r="D2457" s="48" t="inlineStr">
        <is>
          <t>B.2.1</t>
        </is>
      </c>
      <c r="E2457" s="48" t="inlineStr">
        <is>
          <t>B</t>
        </is>
      </c>
      <c r="F2457" s="48" t="inlineStr">
        <is>
          <t>Q</t>
        </is>
      </c>
      <c r="G2457" s="48" t="inlineStr">
        <is>
          <t>higher</t>
        </is>
      </c>
      <c r="H2457" s="48" t="n">
        <v>4</v>
      </c>
      <c r="I2457" s="48" t="inlineStr">
        <is>
          <t>Corse aggiuntive nell'arco giornaliero base</t>
        </is>
      </c>
      <c r="J2457" s="73" t="n"/>
      <c r="K2457" s="73" t="n"/>
      <c r="L2457" s="73" t="n"/>
      <c r="M2457" s="73" t="n"/>
      <c r="N2457" s="57">
        <f>IF($A2457="","",IFERROR(VALUE($J2457),0))</f>
        <v/>
      </c>
      <c r="O2457" s="57">
        <f>IF($A2457="",0,IF(OR($S2457&lt;&gt;1,COUNTA($J2457:$M2457)=0),0,IF(SUMPRODUCT(MAX(($C$5:$C$2484=$C2457)*($D$5:$D$2484=$D2457)*($S$5:$S$2484=1)*IFERROR($N$5:$N$2484*1,0)))&gt;0,ROUND($H2457*($N2457/SUMPRODUCT(MAX(($C$5:$C$2484=$C2457)*($D$5:$D$2484=$D2457)*($S$5:$S$2484=1)*IFERROR($N$5:$N$2484*1,0)))),4),0)))</f>
        <v/>
      </c>
      <c r="P2457" s="48" t="inlineStr">
        <is>
          <t>corse</t>
        </is>
      </c>
      <c r="Q2457" s="57">
        <f>IF($A2457="","",$A2457&amp;"|"&amp;$C2457)</f>
        <v/>
      </c>
      <c r="R2457" s="57">
        <f>IF($A2457="","",$A2457&amp;"|"&amp;$C2457&amp;"|"&amp;$D2457)</f>
        <v/>
      </c>
      <c r="S2457" s="57">
        <f>IF($A2457="","",IFERROR(INDEX(Offerte!$D$2:$D$81,MATCH($Q2457,Offerte!$L$2:$L$81,0)),0))</f>
        <v/>
      </c>
      <c r="T2457" s="57">
        <f>IF($A2457="","",IFERROR(INDEX(Offerte!$G$2:$G$81,MATCH($Q2457,Offerte!$L$2:$L$81,0)),"NO"))</f>
        <v/>
      </c>
    </row>
    <row r="2458">
      <c r="A2458" s="48">
        <f>IF(Offerte!$A81="","",Offerte!$A81)</f>
        <v/>
      </c>
      <c r="B2458" s="48">
        <f>IF(Offerte!$A81="","",Offerte!$B81)</f>
        <v/>
      </c>
      <c r="C2458" s="48">
        <f>IF(Offerte!$A81="","",Offerte!$C81)</f>
        <v/>
      </c>
      <c r="D2458" s="48" t="inlineStr">
        <is>
          <t>B.3.1</t>
        </is>
      </c>
      <c r="E2458" s="48" t="inlineStr">
        <is>
          <t>B</t>
        </is>
      </c>
      <c r="F2458" s="48" t="inlineStr">
        <is>
          <t>Q</t>
        </is>
      </c>
      <c r="G2458" s="48" t="inlineStr">
        <is>
          <t>higher</t>
        </is>
      </c>
      <c r="H2458" s="48" t="n">
        <v>2</v>
      </c>
      <c r="I2458" s="48" t="inlineStr">
        <is>
          <t>Numero di corse aggiuntive per allungamento dell'arco di servizio giornaliero nelle fasce serali</t>
        </is>
      </c>
      <c r="J2458" s="73" t="n"/>
      <c r="K2458" s="73" t="n"/>
      <c r="L2458" s="73" t="n"/>
      <c r="M2458" s="73" t="n"/>
      <c r="N2458" s="57">
        <f>IF($A2458="","",IFERROR(VALUE($J2458),0))</f>
        <v/>
      </c>
      <c r="O2458" s="57">
        <f>IF($A2458="",0,IF(OR($S2458&lt;&gt;1,COUNTA($J2458:$M2458)=0),0,IF(SUMPRODUCT(MAX(($C$5:$C$2484=$C2458)*($D$5:$D$2484=$D2458)*($S$5:$S$2484=1)*IFERROR($N$5:$N$2484*1,0)))&gt;0,ROUND($H2458*($N2458/SUMPRODUCT(MAX(($C$5:$C$2484=$C2458)*($D$5:$D$2484=$D2458)*($S$5:$S$2484=1)*IFERROR($N$5:$N$2484*1,0)))),4),0)))</f>
        <v/>
      </c>
      <c r="P2458" s="48" t="inlineStr">
        <is>
          <t>corse</t>
        </is>
      </c>
      <c r="Q2458" s="57">
        <f>IF($A2458="","",$A2458&amp;"|"&amp;$C2458)</f>
        <v/>
      </c>
      <c r="R2458" s="57">
        <f>IF($A2458="","",$A2458&amp;"|"&amp;$C2458&amp;"|"&amp;$D2458)</f>
        <v/>
      </c>
      <c r="S2458" s="57">
        <f>IF($A2458="","",IFERROR(INDEX(Offerte!$D$2:$D$81,MATCH($Q2458,Offerte!$L$2:$L$81,0)),0))</f>
        <v/>
      </c>
      <c r="T2458" s="57">
        <f>IF($A2458="","",IFERROR(INDEX(Offerte!$G$2:$G$81,MATCH($Q2458,Offerte!$L$2:$L$81,0)),"NO"))</f>
        <v/>
      </c>
    </row>
    <row r="2459">
      <c r="A2459" s="48">
        <f>IF(Offerte!$A81="","",Offerte!$A81)</f>
        <v/>
      </c>
      <c r="B2459" s="48">
        <f>IF(Offerte!$A81="","",Offerte!$B81)</f>
        <v/>
      </c>
      <c r="C2459" s="48">
        <f>IF(Offerte!$A81="","",Offerte!$C81)</f>
        <v/>
      </c>
      <c r="D2459" s="48" t="inlineStr">
        <is>
          <t>B.4.1</t>
        </is>
      </c>
      <c r="E2459" s="48" t="inlineStr">
        <is>
          <t>B</t>
        </is>
      </c>
      <c r="F2459" s="48" t="inlineStr">
        <is>
          <t>Q</t>
        </is>
      </c>
      <c r="G2459" s="48" t="inlineStr">
        <is>
          <t>higher</t>
        </is>
      </c>
      <c r="H2459" s="48" t="n">
        <v>3</v>
      </c>
      <c r="I2459" s="48" t="inlineStr">
        <is>
          <t>Percorrenze aggiuntive offerte nel Programma d'esercizio delle prime due fasi attuative</t>
        </is>
      </c>
      <c r="J2459" s="73" t="n"/>
      <c r="K2459" s="73" t="n"/>
      <c r="L2459" s="73" t="n"/>
      <c r="M2459" s="73" t="n"/>
      <c r="N2459" s="57">
        <f>IF($A2459="","",IFERROR(VALUE($J2459),0))</f>
        <v/>
      </c>
      <c r="O2459" s="57">
        <f>IF($A2459="",0,IF(OR($S2459&lt;&gt;1,COUNTA($J2459:$M2459)=0),0,IF(SUMPRODUCT(MAX(($C$5:$C$2484=$C2459)*($D$5:$D$2484=$D2459)*($S$5:$S$2484=1)*IFERROR($N$5:$N$2484*1,0)))&gt;0,ROUND($H2459*($N2459/SUMPRODUCT(MAX(($C$5:$C$2484=$C2459)*($D$5:$D$2484=$D2459)*($S$5:$S$2484=1)*IFERROR($N$5:$N$2484*1,0)))),4),0)))</f>
        <v/>
      </c>
      <c r="P2459" s="48" t="inlineStr">
        <is>
          <t>vett*km</t>
        </is>
      </c>
      <c r="Q2459" s="57">
        <f>IF($A2459="","",$A2459&amp;"|"&amp;$C2459)</f>
        <v/>
      </c>
      <c r="R2459" s="57">
        <f>IF($A2459="","",$A2459&amp;"|"&amp;$C2459&amp;"|"&amp;$D2459)</f>
        <v/>
      </c>
      <c r="S2459" s="57">
        <f>IF($A2459="","",IFERROR(INDEX(Offerte!$D$2:$D$81,MATCH($Q2459,Offerte!$L$2:$L$81,0)),0))</f>
        <v/>
      </c>
      <c r="T2459" s="57">
        <f>IF($A2459="","",IFERROR(INDEX(Offerte!$G$2:$G$81,MATCH($Q2459,Offerte!$L$2:$L$81,0)),"NO"))</f>
        <v/>
      </c>
    </row>
    <row r="2460">
      <c r="A2460" s="48">
        <f>IF(Offerte!$A81="","",Offerte!$A81)</f>
        <v/>
      </c>
      <c r="B2460" s="48">
        <f>IF(Offerte!$A81="","",Offerte!$B81)</f>
        <v/>
      </c>
      <c r="C2460" s="48">
        <f>IF(Offerte!$A81="","",Offerte!$C81)</f>
        <v/>
      </c>
      <c r="D2460" s="48" t="inlineStr">
        <is>
          <t>B.5.1</t>
        </is>
      </c>
      <c r="E2460" s="48" t="inlineStr">
        <is>
          <t>B</t>
        </is>
      </c>
      <c r="F2460" s="48" t="inlineStr">
        <is>
          <t>D</t>
        </is>
      </c>
      <c r="G2460" s="48" t="inlineStr">
        <is>
          <t>discretionary</t>
        </is>
      </c>
      <c r="H2460" s="48" t="n">
        <v>2</v>
      </c>
      <c r="I2460" s="48" t="inlineStr">
        <is>
          <t>Efficacia del progetto di servizi complementari DRT</t>
        </is>
      </c>
      <c r="J2460" s="73" t="n"/>
      <c r="K2460" s="73" t="n"/>
      <c r="L2460" s="73" t="n"/>
      <c r="M2460" s="73" t="n"/>
      <c r="N2460" s="57">
        <f>IF($A2460="","",MAX(0,MIN(1,IFERROR(VALUE($M2460),0))))</f>
        <v/>
      </c>
      <c r="O2460" s="57">
        <f>IF($A2460="",0,IF(OR($S2460&lt;&gt;1,COUNTA($J2460:$M2460)=0),0,IF(SUMPRODUCT(MAX(($C$5:$C$2484=$C2460)*($D$5:$D$2484=$D2460)*($S$5:$S$2484=1)*IFERROR($N$5:$N$2484*1,0)))&gt;0,ROUND($H2460*($N2460/SUMPRODUCT(MAX(($C$5:$C$2484=$C2460)*($D$5:$D$2484=$D2460)*($S$5:$S$2484=1)*IFERROR($N$5:$N$2484*1,0)))),4),0)))</f>
        <v/>
      </c>
      <c r="P2460" s="48" t="inlineStr">
        <is>
          <t>coeff.</t>
        </is>
      </c>
      <c r="Q2460" s="57">
        <f>IF($A2460="","",$A2460&amp;"|"&amp;$C2460)</f>
        <v/>
      </c>
      <c r="R2460" s="57">
        <f>IF($A2460="","",$A2460&amp;"|"&amp;$C2460&amp;"|"&amp;$D2460)</f>
        <v/>
      </c>
      <c r="S2460" s="57">
        <f>IF($A2460="","",IFERROR(INDEX(Offerte!$D$2:$D$81,MATCH($Q2460,Offerte!$L$2:$L$81,0)),0))</f>
        <v/>
      </c>
      <c r="T2460" s="57">
        <f>IF($A2460="","",IFERROR(INDEX(Offerte!$G$2:$G$81,MATCH($Q2460,Offerte!$L$2:$L$81,0)),"NO"))</f>
        <v/>
      </c>
    </row>
    <row r="2461">
      <c r="A2461" s="48">
        <f>IF(Offerte!$A81="","",Offerte!$A81)</f>
        <v/>
      </c>
      <c r="B2461" s="48">
        <f>IF(Offerte!$A81="","",Offerte!$B81)</f>
        <v/>
      </c>
      <c r="C2461" s="48">
        <f>IF(Offerte!$A81="","",Offerte!$C81)</f>
        <v/>
      </c>
      <c r="D2461" s="48" t="inlineStr">
        <is>
          <t>C.1.1</t>
        </is>
      </c>
      <c r="E2461" s="48" t="inlineStr">
        <is>
          <t>C</t>
        </is>
      </c>
      <c r="F2461" s="48" t="inlineStr">
        <is>
          <t>Q</t>
        </is>
      </c>
      <c r="G2461" s="48" t="inlineStr">
        <is>
          <t>higher</t>
        </is>
      </c>
      <c r="H2461" s="48" t="n">
        <v>2</v>
      </c>
      <c r="I2461" s="48" t="inlineStr">
        <is>
          <t>Tasso di copertura del servizio con telecamere BSD</t>
        </is>
      </c>
      <c r="J2461" s="73" t="n"/>
      <c r="K2461" s="73" t="n"/>
      <c r="L2461" s="73" t="n"/>
      <c r="M2461" s="73" t="n"/>
      <c r="N2461" s="57">
        <f>IF($A2461="","",IFERROR(VALUE($K2461)/VALUE($L2461),IFERROR(VALUE($J2461),0)))</f>
        <v/>
      </c>
      <c r="O2461" s="57">
        <f>IF($A2461="",0,IF(OR($S2461&lt;&gt;1,COUNTA($J2461:$M2461)=0),0,IF(SUMPRODUCT(MAX(($C$5:$C$2484=$C2461)*($D$5:$D$2484=$D2461)*($S$5:$S$2484=1)*IFERROR($N$5:$N$2484*1,0)))&gt;0,ROUND($H2461*($N2461/SUMPRODUCT(MAX(($C$5:$C$2484=$C2461)*($D$5:$D$2484=$D2461)*($S$5:$S$2484=1)*IFERROR($N$5:$N$2484*1,0)))),4),0)))</f>
        <v/>
      </c>
      <c r="P2461" s="48" t="inlineStr">
        <is>
          <t>Autobus attrezzati con telecamere BSD / Autobus totali in offerta, incluse scorte</t>
        </is>
      </c>
      <c r="Q2461" s="57">
        <f>IF($A2461="","",$A2461&amp;"|"&amp;$C2461)</f>
        <v/>
      </c>
      <c r="R2461" s="57">
        <f>IF($A2461="","",$A2461&amp;"|"&amp;$C2461&amp;"|"&amp;$D2461)</f>
        <v/>
      </c>
      <c r="S2461" s="57">
        <f>IF($A2461="","",IFERROR(INDEX(Offerte!$D$2:$D$81,MATCH($Q2461,Offerte!$L$2:$L$81,0)),0))</f>
        <v/>
      </c>
      <c r="T2461" s="57">
        <f>IF($A2461="","",IFERROR(INDEX(Offerte!$G$2:$G$81,MATCH($Q2461,Offerte!$L$2:$L$81,0)),"NO"))</f>
        <v/>
      </c>
    </row>
    <row r="2462">
      <c r="A2462" s="48">
        <f>IF(Offerte!$A81="","",Offerte!$A81)</f>
        <v/>
      </c>
      <c r="B2462" s="48">
        <f>IF(Offerte!$A81="","",Offerte!$B81)</f>
        <v/>
      </c>
      <c r="C2462" s="48">
        <f>IF(Offerte!$A81="","",Offerte!$C81)</f>
        <v/>
      </c>
      <c r="D2462" s="48" t="inlineStr">
        <is>
          <t>C.1.2</t>
        </is>
      </c>
      <c r="E2462" s="48" t="inlineStr">
        <is>
          <t>C</t>
        </is>
      </c>
      <c r="F2462" s="48" t="inlineStr">
        <is>
          <t>Q</t>
        </is>
      </c>
      <c r="G2462" s="48" t="inlineStr">
        <is>
          <t>higher</t>
        </is>
      </c>
      <c r="H2462" s="48" t="n">
        <v>2</v>
      </c>
      <c r="I2462" s="48" t="inlineStr">
        <is>
          <t>Tasso di copertura del servizio con telecamere ADAS</t>
        </is>
      </c>
      <c r="J2462" s="73" t="n"/>
      <c r="K2462" s="73" t="n"/>
      <c r="L2462" s="73" t="n"/>
      <c r="M2462" s="73" t="n"/>
      <c r="N2462" s="57">
        <f>IF($A2462="","",IFERROR(VALUE($K2462)/VALUE($L2462),IFERROR(VALUE($J2462),0)))</f>
        <v/>
      </c>
      <c r="O2462" s="57">
        <f>IF($A2462="",0,IF(OR($S2462&lt;&gt;1,COUNTA($J2462:$M2462)=0),0,IF(SUMPRODUCT(MAX(($C$5:$C$2484=$C2462)*($D$5:$D$2484=$D2462)*($S$5:$S$2484=1)*IFERROR($N$5:$N$2484*1,0)))&gt;0,ROUND($H2462*($N2462/SUMPRODUCT(MAX(($C$5:$C$2484=$C2462)*($D$5:$D$2484=$D2462)*($S$5:$S$2484=1)*IFERROR($N$5:$N$2484*1,0)))),4),0)))</f>
        <v/>
      </c>
      <c r="P2462" s="48" t="inlineStr">
        <is>
          <t>Autobus attrezzati con telecamere ADAS / Autobus totali in offerta, incluse scorte</t>
        </is>
      </c>
      <c r="Q2462" s="57">
        <f>IF($A2462="","",$A2462&amp;"|"&amp;$C2462)</f>
        <v/>
      </c>
      <c r="R2462" s="57">
        <f>IF($A2462="","",$A2462&amp;"|"&amp;$C2462&amp;"|"&amp;$D2462)</f>
        <v/>
      </c>
      <c r="S2462" s="57">
        <f>IF($A2462="","",IFERROR(INDEX(Offerte!$D$2:$D$81,MATCH($Q2462,Offerte!$L$2:$L$81,0)),0))</f>
        <v/>
      </c>
      <c r="T2462" s="57">
        <f>IF($A2462="","",IFERROR(INDEX(Offerte!$G$2:$G$81,MATCH($Q2462,Offerte!$L$2:$L$81,0)),"NO"))</f>
        <v/>
      </c>
    </row>
    <row r="2463">
      <c r="A2463" s="48">
        <f>IF(Offerte!$A81="","",Offerte!$A81)</f>
        <v/>
      </c>
      <c r="B2463" s="48">
        <f>IF(Offerte!$A81="","",Offerte!$B81)</f>
        <v/>
      </c>
      <c r="C2463" s="48">
        <f>IF(Offerte!$A81="","",Offerte!$C81)</f>
        <v/>
      </c>
      <c r="D2463" s="48" t="inlineStr">
        <is>
          <t>C.2.1</t>
        </is>
      </c>
      <c r="E2463" s="48" t="inlineStr">
        <is>
          <t>C</t>
        </is>
      </c>
      <c r="F2463" s="48" t="inlineStr">
        <is>
          <t>Q</t>
        </is>
      </c>
      <c r="G2463" s="48" t="inlineStr">
        <is>
          <t>higher</t>
        </is>
      </c>
      <c r="H2463" s="48" t="n">
        <v>3</v>
      </c>
      <c r="I2463" s="48" t="inlineStr">
        <is>
          <t>Tasso di copertura del servizio con telecamere di bordo di videosorveglianza</t>
        </is>
      </c>
      <c r="J2463" s="73" t="n"/>
      <c r="K2463" s="73" t="n"/>
      <c r="L2463" s="73" t="n"/>
      <c r="M2463" s="73" t="n"/>
      <c r="N2463" s="57">
        <f>IF($A2463="","",IFERROR(VALUE($K2463)/VALUE($L2463),IFERROR(VALUE($J2463),0)))</f>
        <v/>
      </c>
      <c r="O2463" s="57">
        <f>IF($A2463="",0,IF(OR($S2463&lt;&gt;1,COUNTA($J2463:$M2463)=0),0,IF(SUMPRODUCT(MAX(($C$5:$C$2484=$C2463)*($D$5:$D$2484=$D2463)*($S$5:$S$2484=1)*IFERROR($N$5:$N$2484*1,0)))&gt;0,ROUND($H2463*($N2463/SUMPRODUCT(MAX(($C$5:$C$2484=$C2463)*($D$5:$D$2484=$D2463)*($S$5:$S$2484=1)*IFERROR($N$5:$N$2484*1,0)))),4),0)))</f>
        <v/>
      </c>
      <c r="P2463" s="48" t="inlineStr">
        <is>
          <t>Autobus attrezzati con videosorveglianza / Autobus totali in offerta, incluse scorte</t>
        </is>
      </c>
      <c r="Q2463" s="57">
        <f>IF($A2463="","",$A2463&amp;"|"&amp;$C2463)</f>
        <v/>
      </c>
      <c r="R2463" s="57">
        <f>IF($A2463="","",$A2463&amp;"|"&amp;$C2463&amp;"|"&amp;$D2463)</f>
        <v/>
      </c>
      <c r="S2463" s="57">
        <f>IF($A2463="","",IFERROR(INDEX(Offerte!$D$2:$D$81,MATCH($Q2463,Offerte!$L$2:$L$81,0)),0))</f>
        <v/>
      </c>
      <c r="T2463" s="57">
        <f>IF($A2463="","",IFERROR(INDEX(Offerte!$G$2:$G$81,MATCH($Q2463,Offerte!$L$2:$L$81,0)),"NO"))</f>
        <v/>
      </c>
    </row>
    <row r="2464">
      <c r="A2464" s="48">
        <f>IF(Offerte!$A81="","",Offerte!$A81)</f>
        <v/>
      </c>
      <c r="B2464" s="48">
        <f>IF(Offerte!$A81="","",Offerte!$B81)</f>
        <v/>
      </c>
      <c r="C2464" s="48">
        <f>IF(Offerte!$A81="","",Offerte!$C81)</f>
        <v/>
      </c>
      <c r="D2464" s="48" t="inlineStr">
        <is>
          <t>C.2.2</t>
        </is>
      </c>
      <c r="E2464" s="48" t="inlineStr">
        <is>
          <t>C</t>
        </is>
      </c>
      <c r="F2464" s="48" t="inlineStr">
        <is>
          <t>T</t>
        </is>
      </c>
      <c r="G2464" s="48" t="inlineStr">
        <is>
          <t>tabular</t>
        </is>
      </c>
      <c r="H2464" s="48" t="n">
        <v>1</v>
      </c>
      <c r="I2464" s="48" t="inlineStr">
        <is>
          <t>Software video/audio analisi per situazioni di pericolo</t>
        </is>
      </c>
      <c r="J2464" s="73" t="n"/>
      <c r="K2464" s="73" t="n"/>
      <c r="L2464" s="73" t="n"/>
      <c r="M2464" s="73" t="n"/>
      <c r="N2464" s="57">
        <f>IF($A2464="","",IF(IFERROR(VALUE($M2464),0)=1,1,0))</f>
        <v/>
      </c>
      <c r="O2464" s="57">
        <f>IF($A2464="",0,IF(OR($S2464&lt;&gt;1,COUNTA($J2464:$M2464)=0),0,IF($N2464=1,$H2464,0)))</f>
        <v/>
      </c>
      <c r="P2464" s="48" t="inlineStr">
        <is>
          <t>sì/no</t>
        </is>
      </c>
      <c r="Q2464" s="57">
        <f>IF($A2464="","",$A2464&amp;"|"&amp;$C2464)</f>
        <v/>
      </c>
      <c r="R2464" s="57">
        <f>IF($A2464="","",$A2464&amp;"|"&amp;$C2464&amp;"|"&amp;$D2464)</f>
        <v/>
      </c>
      <c r="S2464" s="57">
        <f>IF($A2464="","",IFERROR(INDEX(Offerte!$D$2:$D$81,MATCH($Q2464,Offerte!$L$2:$L$81,0)),0))</f>
        <v/>
      </c>
      <c r="T2464" s="57">
        <f>IF($A2464="","",IFERROR(INDEX(Offerte!$G$2:$G$81,MATCH($Q2464,Offerte!$L$2:$L$81,0)),"NO"))</f>
        <v/>
      </c>
    </row>
    <row r="2465">
      <c r="A2465" s="48">
        <f>IF(Offerte!$A81="","",Offerte!$A81)</f>
        <v/>
      </c>
      <c r="B2465" s="48">
        <f>IF(Offerte!$A81="","",Offerte!$B81)</f>
        <v/>
      </c>
      <c r="C2465" s="48">
        <f>IF(Offerte!$A81="","",Offerte!$C81)</f>
        <v/>
      </c>
      <c r="D2465" s="48" t="inlineStr">
        <is>
          <t>C.2.3</t>
        </is>
      </c>
      <c r="E2465" s="48" t="inlineStr">
        <is>
          <t>C</t>
        </is>
      </c>
      <c r="F2465" s="48" t="inlineStr">
        <is>
          <t>T</t>
        </is>
      </c>
      <c r="G2465" s="48" t="inlineStr">
        <is>
          <t>tabular</t>
        </is>
      </c>
      <c r="H2465" s="48" t="n">
        <v>1</v>
      </c>
      <c r="I2465" s="48" t="inlineStr">
        <is>
          <t>Collegamento con centrale qualificata di pronto intervento</t>
        </is>
      </c>
      <c r="J2465" s="73" t="n"/>
      <c r="K2465" s="73" t="n"/>
      <c r="L2465" s="73" t="n"/>
      <c r="M2465" s="73" t="n"/>
      <c r="N2465" s="57">
        <f>IF($A2465="","",IF(IFERROR(VALUE($M2465),0)=1,1,0))</f>
        <v/>
      </c>
      <c r="O2465" s="57">
        <f>IF($A2465="",0,IF(OR($S2465&lt;&gt;1,COUNTA($J2465:$M2465)=0),0,IF($N2465=1,$H2465,0)))</f>
        <v/>
      </c>
      <c r="P2465" s="48" t="inlineStr">
        <is>
          <t>sì/no</t>
        </is>
      </c>
      <c r="Q2465" s="57">
        <f>IF($A2465="","",$A2465&amp;"|"&amp;$C2465)</f>
        <v/>
      </c>
      <c r="R2465" s="57">
        <f>IF($A2465="","",$A2465&amp;"|"&amp;$C2465&amp;"|"&amp;$D2465)</f>
        <v/>
      </c>
      <c r="S2465" s="57">
        <f>IF($A2465="","",IFERROR(INDEX(Offerte!$D$2:$D$81,MATCH($Q2465,Offerte!$L$2:$L$81,0)),0))</f>
        <v/>
      </c>
      <c r="T2465" s="57">
        <f>IF($A2465="","",IFERROR(INDEX(Offerte!$G$2:$G$81,MATCH($Q2465,Offerte!$L$2:$L$81,0)),"NO"))</f>
        <v/>
      </c>
    </row>
    <row r="2466">
      <c r="A2466" s="48">
        <f>IF(Offerte!$A81="","",Offerte!$A81)</f>
        <v/>
      </c>
      <c r="B2466" s="48">
        <f>IF(Offerte!$A81="","",Offerte!$B81)</f>
        <v/>
      </c>
      <c r="C2466" s="48">
        <f>IF(Offerte!$A81="","",Offerte!$C81)</f>
        <v/>
      </c>
      <c r="D2466" s="48" t="inlineStr">
        <is>
          <t>C.2.4</t>
        </is>
      </c>
      <c r="E2466" s="48" t="inlineStr">
        <is>
          <t>C</t>
        </is>
      </c>
      <c r="F2466" s="48" t="inlineStr">
        <is>
          <t>Q</t>
        </is>
      </c>
      <c r="G2466" s="48" t="inlineStr">
        <is>
          <t>higher</t>
        </is>
      </c>
      <c r="H2466" s="48" t="n">
        <v>1</v>
      </c>
      <c r="I2466" s="48" t="inlineStr">
        <is>
          <t>Tasso di copertura del servizio con dispositivi per la chiamata di emergenza del conducente</t>
        </is>
      </c>
      <c r="J2466" s="73" t="n"/>
      <c r="K2466" s="73" t="n"/>
      <c r="L2466" s="73" t="n"/>
      <c r="M2466" s="73" t="n"/>
      <c r="N2466" s="57">
        <f>IF($A2466="","",IFERROR(VALUE($K2466)/VALUE($L2466),IFERROR(VALUE($J2466),0)))</f>
        <v/>
      </c>
      <c r="O2466" s="57">
        <f>IF($A2466="",0,IF(OR($S2466&lt;&gt;1,COUNTA($J2466:$M2466)=0),0,IF(SUMPRODUCT(MAX(($C$5:$C$2484=$C2466)*($D$5:$D$2484=$D2466)*($S$5:$S$2484=1)*IFERROR($N$5:$N$2484*1,0)))&gt;0,ROUND($H2466*($N2466/SUMPRODUCT(MAX(($C$5:$C$2484=$C2466)*($D$5:$D$2484=$D2466)*($S$5:$S$2484=1)*IFERROR($N$5:$N$2484*1,0)))),4),0)))</f>
        <v/>
      </c>
      <c r="P2466" s="48" t="inlineStr">
        <is>
          <t>Autobus attrezzati con chiamata di emergenza / Autobus totali in offerta, incluse scorte</t>
        </is>
      </c>
      <c r="Q2466" s="57">
        <f>IF($A2466="","",$A2466&amp;"|"&amp;$C2466)</f>
        <v/>
      </c>
      <c r="R2466" s="57">
        <f>IF($A2466="","",$A2466&amp;"|"&amp;$C2466&amp;"|"&amp;$D2466)</f>
        <v/>
      </c>
      <c r="S2466" s="57">
        <f>IF($A2466="","",IFERROR(INDEX(Offerte!$D$2:$D$81,MATCH($Q2466,Offerte!$L$2:$L$81,0)),0))</f>
        <v/>
      </c>
      <c r="T2466" s="57">
        <f>IF($A2466="","",IFERROR(INDEX(Offerte!$G$2:$G$81,MATCH($Q2466,Offerte!$L$2:$L$81,0)),"NO"))</f>
        <v/>
      </c>
    </row>
    <row r="2467">
      <c r="A2467" s="48">
        <f>IF(Offerte!$A81="","",Offerte!$A81)</f>
        <v/>
      </c>
      <c r="B2467" s="48">
        <f>IF(Offerte!$A81="","",Offerte!$B81)</f>
        <v/>
      </c>
      <c r="C2467" s="48">
        <f>IF(Offerte!$A81="","",Offerte!$C81)</f>
        <v/>
      </c>
      <c r="D2467" s="48" t="inlineStr">
        <is>
          <t>C.3.1</t>
        </is>
      </c>
      <c r="E2467" s="48" t="inlineStr">
        <is>
          <t>C</t>
        </is>
      </c>
      <c r="F2467" s="48" t="inlineStr">
        <is>
          <t>Q</t>
        </is>
      </c>
      <c r="G2467" s="48" t="inlineStr">
        <is>
          <t>higher</t>
        </is>
      </c>
      <c r="H2467" s="48" t="n">
        <v>2</v>
      </c>
      <c r="I2467" s="48" t="inlineStr">
        <is>
          <t>Tasso di copertura del servizio con dispositivi di informazione dinamica a bordo mezzo</t>
        </is>
      </c>
      <c r="J2467" s="73" t="n"/>
      <c r="K2467" s="73" t="n"/>
      <c r="L2467" s="73" t="n"/>
      <c r="M2467" s="73" t="n"/>
      <c r="N2467" s="57">
        <f>IF($A2467="","",IFERROR(VALUE($K2467)/VALUE($L2467),IFERROR(VALUE($J2467),0)))</f>
        <v/>
      </c>
      <c r="O2467" s="57">
        <f>IF($A2467="",0,IF(OR($S2467&lt;&gt;1,COUNTA($J2467:$M2467)=0),0,IF(SUMPRODUCT(MAX(($C$5:$C$2484=$C2467)*($D$5:$D$2484=$D2467)*($S$5:$S$2484=1)*IFERROR($N$5:$N$2484*1,0)))&gt;0,ROUND($H2467*($N2467/SUMPRODUCT(MAX(($C$5:$C$2484=$C2467)*($D$5:$D$2484=$D2467)*($S$5:$S$2484=1)*IFERROR($N$5:$N$2484*1,0)))),4),0)))</f>
        <v/>
      </c>
      <c r="P2467" s="48" t="inlineStr">
        <is>
          <t>Autobus con monitor e indicatori vocali / Autobus totali in offerta, incluse scorte</t>
        </is>
      </c>
      <c r="Q2467" s="57">
        <f>IF($A2467="","",$A2467&amp;"|"&amp;$C2467)</f>
        <v/>
      </c>
      <c r="R2467" s="57">
        <f>IF($A2467="","",$A2467&amp;"|"&amp;$C2467&amp;"|"&amp;$D2467)</f>
        <v/>
      </c>
      <c r="S2467" s="57">
        <f>IF($A2467="","",IFERROR(INDEX(Offerte!$D$2:$D$81,MATCH($Q2467,Offerte!$L$2:$L$81,0)),0))</f>
        <v/>
      </c>
      <c r="T2467" s="57">
        <f>IF($A2467="","",IFERROR(INDEX(Offerte!$G$2:$G$81,MATCH($Q2467,Offerte!$L$2:$L$81,0)),"NO"))</f>
        <v/>
      </c>
    </row>
    <row r="2468">
      <c r="A2468" s="48">
        <f>IF(Offerte!$A81="","",Offerte!$A81)</f>
        <v/>
      </c>
      <c r="B2468" s="48">
        <f>IF(Offerte!$A81="","",Offerte!$B81)</f>
        <v/>
      </c>
      <c r="C2468" s="48">
        <f>IF(Offerte!$A81="","",Offerte!$C81)</f>
        <v/>
      </c>
      <c r="D2468" s="48" t="inlineStr">
        <is>
          <t>C.3.2</t>
        </is>
      </c>
      <c r="E2468" s="48" t="inlineStr">
        <is>
          <t>C</t>
        </is>
      </c>
      <c r="F2468" s="48" t="inlineStr">
        <is>
          <t>T</t>
        </is>
      </c>
      <c r="G2468" s="48" t="inlineStr">
        <is>
          <t>tabular</t>
        </is>
      </c>
      <c r="H2468" s="48" t="n">
        <v>2</v>
      </c>
      <c r="I2468" s="48" t="inlineStr">
        <is>
          <t>Informazioni a bordo su coincidenze ai nodi</t>
        </is>
      </c>
      <c r="J2468" s="73" t="n"/>
      <c r="K2468" s="73" t="n"/>
      <c r="L2468" s="73" t="n"/>
      <c r="M2468" s="73" t="n"/>
      <c r="N2468" s="57">
        <f>IF($A2468="","",IF(IFERROR(VALUE($M2468),0)=1,1,0))</f>
        <v/>
      </c>
      <c r="O2468" s="57">
        <f>IF($A2468="",0,IF(OR($S2468&lt;&gt;1,COUNTA($J2468:$M2468)=0),0,IF(AND($N2468=1,IFERROR(SUMIFS($N$5:$N$2484,$Q$5:$Q$2484,$Q2468,$D$5:$D$2484,"C.3.1"),0)&gt;=0.5),$H2468,0)))</f>
        <v/>
      </c>
      <c r="P2468" s="48" t="inlineStr">
        <is>
          <t>Dipende da C.3.1 &gt;= 0.5</t>
        </is>
      </c>
      <c r="Q2468" s="57">
        <f>IF($A2468="","",$A2468&amp;"|"&amp;$C2468)</f>
        <v/>
      </c>
      <c r="R2468" s="57">
        <f>IF($A2468="","",$A2468&amp;"|"&amp;$C2468&amp;"|"&amp;$D2468)</f>
        <v/>
      </c>
      <c r="S2468" s="57">
        <f>IF($A2468="","",IFERROR(INDEX(Offerte!$D$2:$D$81,MATCH($Q2468,Offerte!$L$2:$L$81,0)),0))</f>
        <v/>
      </c>
      <c r="T2468" s="57">
        <f>IF($A2468="","",IFERROR(INDEX(Offerte!$G$2:$G$81,MATCH($Q2468,Offerte!$L$2:$L$81,0)),"NO"))</f>
        <v/>
      </c>
    </row>
    <row r="2469">
      <c r="A2469" s="48">
        <f>IF(Offerte!$A81="","",Offerte!$A81)</f>
        <v/>
      </c>
      <c r="B2469" s="48">
        <f>IF(Offerte!$A81="","",Offerte!$B81)</f>
        <v/>
      </c>
      <c r="C2469" s="48">
        <f>IF(Offerte!$A81="","",Offerte!$C81)</f>
        <v/>
      </c>
      <c r="D2469" s="48" t="inlineStr">
        <is>
          <t>D.1.1</t>
        </is>
      </c>
      <c r="E2469" s="48" t="inlineStr">
        <is>
          <t>D</t>
        </is>
      </c>
      <c r="F2469" s="48" t="inlineStr">
        <is>
          <t>Q</t>
        </is>
      </c>
      <c r="G2469" s="48" t="inlineStr">
        <is>
          <t>higher</t>
        </is>
      </c>
      <c r="H2469" s="48" t="n">
        <v>3</v>
      </c>
      <c r="I2469" s="48" t="inlineStr">
        <is>
          <t>Installazione di pensiline</t>
        </is>
      </c>
      <c r="J2469" s="73" t="n"/>
      <c r="K2469" s="73" t="n"/>
      <c r="L2469" s="73" t="n"/>
      <c r="M2469" s="73" t="n"/>
      <c r="N2469" s="57">
        <f>IF($A2469="","",IFERROR(VALUE($J2469),0))</f>
        <v/>
      </c>
      <c r="O2469" s="57">
        <f>IF($A2469="",0,IF(OR($S2469&lt;&gt;1,COUNTA($J2469:$M2469)=0),0,IF(SUMPRODUCT(MAX(($C$5:$C$2484=$C2469)*($D$5:$D$2484=$D2469)*($S$5:$S$2484=1)*IFERROR($N$5:$N$2484*1,0)))&gt;0,ROUND($H2469*($N2469/SUMPRODUCT(MAX(($C$5:$C$2484=$C2469)*($D$5:$D$2484=$D2469)*($S$5:$S$2484=1)*IFERROR($N$5:$N$2484*1,0)))),4),0)))</f>
        <v/>
      </c>
      <c r="P2469" s="48" t="inlineStr">
        <is>
          <t>fermate</t>
        </is>
      </c>
      <c r="Q2469" s="57">
        <f>IF($A2469="","",$A2469&amp;"|"&amp;$C2469)</f>
        <v/>
      </c>
      <c r="R2469" s="57">
        <f>IF($A2469="","",$A2469&amp;"|"&amp;$C2469&amp;"|"&amp;$D2469)</f>
        <v/>
      </c>
      <c r="S2469" s="57">
        <f>IF($A2469="","",IFERROR(INDEX(Offerte!$D$2:$D$81,MATCH($Q2469,Offerte!$L$2:$L$81,0)),0))</f>
        <v/>
      </c>
      <c r="T2469" s="57">
        <f>IF($A2469="","",IFERROR(INDEX(Offerte!$G$2:$G$81,MATCH($Q2469,Offerte!$L$2:$L$81,0)),"NO"))</f>
        <v/>
      </c>
    </row>
    <row r="2470">
      <c r="A2470" s="48">
        <f>IF(Offerte!$A81="","",Offerte!$A81)</f>
        <v/>
      </c>
      <c r="B2470" s="48">
        <f>IF(Offerte!$A81="","",Offerte!$B81)</f>
        <v/>
      </c>
      <c r="C2470" s="48">
        <f>IF(Offerte!$A81="","",Offerte!$C81)</f>
        <v/>
      </c>
      <c r="D2470" s="48" t="inlineStr">
        <is>
          <t>D.1.2</t>
        </is>
      </c>
      <c r="E2470" s="48" t="inlineStr">
        <is>
          <t>D</t>
        </is>
      </c>
      <c r="F2470" s="48" t="inlineStr">
        <is>
          <t>Q</t>
        </is>
      </c>
      <c r="G2470" s="48" t="inlineStr">
        <is>
          <t>higher</t>
        </is>
      </c>
      <c r="H2470" s="48" t="n">
        <v>3</v>
      </c>
      <c r="I2470" s="48" t="inlineStr">
        <is>
          <t>Installazione di paline di fermata conformi alla DGR 581/2023</t>
        </is>
      </c>
      <c r="J2470" s="73" t="n"/>
      <c r="K2470" s="73" t="n"/>
      <c r="L2470" s="73" t="n"/>
      <c r="M2470" s="73" t="n"/>
      <c r="N2470" s="57">
        <f>IF($A2470="","",IFERROR(VALUE($J2470),0))</f>
        <v/>
      </c>
      <c r="O2470" s="57">
        <f>IF($A2470="",0,IF(OR($S2470&lt;&gt;1,COUNTA($J2470:$M2470)=0),0,IF(SUMPRODUCT(MAX(($C$5:$C$2484=$C2470)*($D$5:$D$2484=$D2470)*($S$5:$S$2484=1)*IFERROR($N$5:$N$2484*1,0)))&gt;0,ROUND($H2470*($N2470/SUMPRODUCT(MAX(($C$5:$C$2484=$C2470)*($D$5:$D$2484=$D2470)*($S$5:$S$2484=1)*IFERROR($N$5:$N$2484*1,0)))),4),0)))</f>
        <v/>
      </c>
      <c r="P2470" s="48" t="inlineStr">
        <is>
          <t>fermate</t>
        </is>
      </c>
      <c r="Q2470" s="57">
        <f>IF($A2470="","",$A2470&amp;"|"&amp;$C2470)</f>
        <v/>
      </c>
      <c r="R2470" s="57">
        <f>IF($A2470="","",$A2470&amp;"|"&amp;$C2470&amp;"|"&amp;$D2470)</f>
        <v/>
      </c>
      <c r="S2470" s="57">
        <f>IF($A2470="","",IFERROR(INDEX(Offerte!$D$2:$D$81,MATCH($Q2470,Offerte!$L$2:$L$81,0)),0))</f>
        <v/>
      </c>
      <c r="T2470" s="57">
        <f>IF($A2470="","",IFERROR(INDEX(Offerte!$G$2:$G$81,MATCH($Q2470,Offerte!$L$2:$L$81,0)),"NO"))</f>
        <v/>
      </c>
    </row>
    <row r="2471">
      <c r="A2471" s="48">
        <f>IF(Offerte!$A81="","",Offerte!$A81)</f>
        <v/>
      </c>
      <c r="B2471" s="48">
        <f>IF(Offerte!$A81="","",Offerte!$B81)</f>
        <v/>
      </c>
      <c r="C2471" s="48">
        <f>IF(Offerte!$A81="","",Offerte!$C81)</f>
        <v/>
      </c>
      <c r="D2471" s="48" t="inlineStr">
        <is>
          <t>D.1.3</t>
        </is>
      </c>
      <c r="E2471" s="48" t="inlineStr">
        <is>
          <t>D</t>
        </is>
      </c>
      <c r="F2471" s="48" t="inlineStr">
        <is>
          <t>Q</t>
        </is>
      </c>
      <c r="G2471" s="48" t="inlineStr">
        <is>
          <t>higher</t>
        </is>
      </c>
      <c r="H2471" s="48" t="n">
        <v>2</v>
      </c>
      <c r="I2471" s="48" t="inlineStr">
        <is>
          <t>Display informativi connessi alle fermate</t>
        </is>
      </c>
      <c r="J2471" s="73" t="n"/>
      <c r="K2471" s="73" t="n"/>
      <c r="L2471" s="73" t="n"/>
      <c r="M2471" s="73" t="n"/>
      <c r="N2471" s="57">
        <f>IF($A2471="","",IFERROR(VALUE($J2471),0))</f>
        <v/>
      </c>
      <c r="O2471" s="57">
        <f>IF($A2471="",0,IF(OR($S2471&lt;&gt;1,COUNTA($J2471:$M2471)=0),0,IF(SUMPRODUCT(MAX(($C$5:$C$2484=$C2471)*($D$5:$D$2484=$D2471)*($S$5:$S$2484=1)*IFERROR($N$5:$N$2484*1,0)))&gt;0,ROUND($H2471*($N2471/SUMPRODUCT(MAX(($C$5:$C$2484=$C2471)*($D$5:$D$2484=$D2471)*($S$5:$S$2484=1)*IFERROR($N$5:$N$2484*1,0)))),4),0)))</f>
        <v/>
      </c>
      <c r="P2471" s="48" t="inlineStr">
        <is>
          <t>fermate</t>
        </is>
      </c>
      <c r="Q2471" s="57">
        <f>IF($A2471="","",$A2471&amp;"|"&amp;$C2471)</f>
        <v/>
      </c>
      <c r="R2471" s="57">
        <f>IF($A2471="","",$A2471&amp;"|"&amp;$C2471&amp;"|"&amp;$D2471)</f>
        <v/>
      </c>
      <c r="S2471" s="57">
        <f>IF($A2471="","",IFERROR(INDEX(Offerte!$D$2:$D$81,MATCH($Q2471,Offerte!$L$2:$L$81,0)),0))</f>
        <v/>
      </c>
      <c r="T2471" s="57">
        <f>IF($A2471="","",IFERROR(INDEX(Offerte!$G$2:$G$81,MATCH($Q2471,Offerte!$L$2:$L$81,0)),"NO"))</f>
        <v/>
      </c>
    </row>
    <row r="2472">
      <c r="A2472" s="48">
        <f>IF(Offerte!$A81="","",Offerte!$A81)</f>
        <v/>
      </c>
      <c r="B2472" s="48">
        <f>IF(Offerte!$A81="","",Offerte!$B81)</f>
        <v/>
      </c>
      <c r="C2472" s="48">
        <f>IF(Offerte!$A81="","",Offerte!$C81)</f>
        <v/>
      </c>
      <c r="D2472" s="48" t="inlineStr">
        <is>
          <t>D.2.1</t>
        </is>
      </c>
      <c r="E2472" s="48" t="inlineStr">
        <is>
          <t>D</t>
        </is>
      </c>
      <c r="F2472" s="48" t="inlineStr">
        <is>
          <t>Q</t>
        </is>
      </c>
      <c r="G2472" s="48" t="inlineStr">
        <is>
          <t>higher</t>
        </is>
      </c>
      <c r="H2472" s="48" t="n">
        <v>2</v>
      </c>
      <c r="I2472" s="48" t="inlineStr">
        <is>
          <t>Segnali tattili Loges-Vet-Evolution</t>
        </is>
      </c>
      <c r="J2472" s="73" t="n"/>
      <c r="K2472" s="73" t="n"/>
      <c r="L2472" s="73" t="n"/>
      <c r="M2472" s="73" t="n"/>
      <c r="N2472" s="57">
        <f>IF($A2472="","",IFERROR(VALUE($J2472),0))</f>
        <v/>
      </c>
      <c r="O2472" s="57">
        <f>IF($A2472="",0,IF(OR($S2472&lt;&gt;1,COUNTA($J2472:$M2472)=0),0,IF(SUMPRODUCT(MAX(($C$5:$C$2484=$C2472)*($D$5:$D$2484=$D2472)*($S$5:$S$2484=1)*IFERROR($N$5:$N$2484*1,0)))&gt;0,ROUND($H2472*($N2472/SUMPRODUCT(MAX(($C$5:$C$2484=$C2472)*($D$5:$D$2484=$D2472)*($S$5:$S$2484=1)*IFERROR($N$5:$N$2484*1,0)))),4),0)))</f>
        <v/>
      </c>
      <c r="P2472" s="48" t="inlineStr">
        <is>
          <t>fermate</t>
        </is>
      </c>
      <c r="Q2472" s="57">
        <f>IF($A2472="","",$A2472&amp;"|"&amp;$C2472)</f>
        <v/>
      </c>
      <c r="R2472" s="57">
        <f>IF($A2472="","",$A2472&amp;"|"&amp;$C2472&amp;"|"&amp;$D2472)</f>
        <v/>
      </c>
      <c r="S2472" s="57">
        <f>IF($A2472="","",IFERROR(INDEX(Offerte!$D$2:$D$81,MATCH($Q2472,Offerte!$L$2:$L$81,0)),0))</f>
        <v/>
      </c>
      <c r="T2472" s="57">
        <f>IF($A2472="","",IFERROR(INDEX(Offerte!$G$2:$G$81,MATCH($Q2472,Offerte!$L$2:$L$81,0)),"NO"))</f>
        <v/>
      </c>
    </row>
    <row r="2473">
      <c r="A2473" s="48">
        <f>IF(Offerte!$A81="","",Offerte!$A81)</f>
        <v/>
      </c>
      <c r="B2473" s="48">
        <f>IF(Offerte!$A81="","",Offerte!$B81)</f>
        <v/>
      </c>
      <c r="C2473" s="48">
        <f>IF(Offerte!$A81="","",Offerte!$C81)</f>
        <v/>
      </c>
      <c r="D2473" s="48" t="inlineStr">
        <is>
          <t>E.1.1</t>
        </is>
      </c>
      <c r="E2473" s="48" t="inlineStr">
        <is>
          <t>E</t>
        </is>
      </c>
      <c r="F2473" s="48" t="inlineStr">
        <is>
          <t>T</t>
        </is>
      </c>
      <c r="G2473" s="48" t="inlineStr">
        <is>
          <t>tabular</t>
        </is>
      </c>
      <c r="H2473" s="48" t="n">
        <v>2</v>
      </c>
      <c r="I2473" s="48" t="inlineStr">
        <is>
          <t>Mobile app con travel planner PRM</t>
        </is>
      </c>
      <c r="J2473" s="73" t="n"/>
      <c r="K2473" s="73" t="n"/>
      <c r="L2473" s="73" t="n"/>
      <c r="M2473" s="73" t="n"/>
      <c r="N2473" s="57">
        <f>IF($A2473="","",IF(IFERROR(VALUE($M2473),0)=1,1,0))</f>
        <v/>
      </c>
      <c r="O2473" s="57">
        <f>IF($A2473="",0,IF(OR($S2473&lt;&gt;1,COUNTA($J2473:$M2473)=0),0,IF($N2473=1,$H2473,0)))</f>
        <v/>
      </c>
      <c r="P2473" s="48" t="inlineStr">
        <is>
          <t>sì/no</t>
        </is>
      </c>
      <c r="Q2473" s="57">
        <f>IF($A2473="","",$A2473&amp;"|"&amp;$C2473)</f>
        <v/>
      </c>
      <c r="R2473" s="57">
        <f>IF($A2473="","",$A2473&amp;"|"&amp;$C2473&amp;"|"&amp;$D2473)</f>
        <v/>
      </c>
      <c r="S2473" s="57">
        <f>IF($A2473="","",IFERROR(INDEX(Offerte!$D$2:$D$81,MATCH($Q2473,Offerte!$L$2:$L$81,0)),0))</f>
        <v/>
      </c>
      <c r="T2473" s="57">
        <f>IF($A2473="","",IFERROR(INDEX(Offerte!$G$2:$G$81,MATCH($Q2473,Offerte!$L$2:$L$81,0)),"NO"))</f>
        <v/>
      </c>
    </row>
    <row r="2474">
      <c r="A2474" s="48">
        <f>IF(Offerte!$A81="","",Offerte!$A81)</f>
        <v/>
      </c>
      <c r="B2474" s="48">
        <f>IF(Offerte!$A81="","",Offerte!$B81)</f>
        <v/>
      </c>
      <c r="C2474" s="48">
        <f>IF(Offerte!$A81="","",Offerte!$C81)</f>
        <v/>
      </c>
      <c r="D2474" s="48" t="inlineStr">
        <is>
          <t>E.2.1</t>
        </is>
      </c>
      <c r="E2474" s="48" t="inlineStr">
        <is>
          <t>E</t>
        </is>
      </c>
      <c r="F2474" s="48" t="inlineStr">
        <is>
          <t>D</t>
        </is>
      </c>
      <c r="G2474" s="48" t="inlineStr">
        <is>
          <t>discretionary</t>
        </is>
      </c>
      <c r="H2474" s="48" t="n">
        <v>2</v>
      </c>
      <c r="I2474" s="48" t="inlineStr">
        <is>
          <t>Altre azioni informative e rapporti con gli utenti</t>
        </is>
      </c>
      <c r="J2474" s="73" t="n"/>
      <c r="K2474" s="73" t="n"/>
      <c r="L2474" s="73" t="n"/>
      <c r="M2474" s="73" t="n"/>
      <c r="N2474" s="57">
        <f>IF($A2474="","",MAX(0,MIN(1,IFERROR(VALUE($M2474),0))))</f>
        <v/>
      </c>
      <c r="O2474" s="57">
        <f>IF($A2474="",0,IF(OR($S2474&lt;&gt;1,COUNTA($J2474:$M2474)=0),0,IF(SUMPRODUCT(MAX(($C$5:$C$2484=$C2474)*($D$5:$D$2484=$D2474)*($S$5:$S$2484=1)*IFERROR($N$5:$N$2484*1,0)))&gt;0,ROUND($H2474*($N2474/SUMPRODUCT(MAX(($C$5:$C$2484=$C2474)*($D$5:$D$2484=$D2474)*($S$5:$S$2484=1)*IFERROR($N$5:$N$2484*1,0)))),4),0)))</f>
        <v/>
      </c>
      <c r="P2474" s="48" t="inlineStr">
        <is>
          <t>coeff.</t>
        </is>
      </c>
      <c r="Q2474" s="57">
        <f>IF($A2474="","",$A2474&amp;"|"&amp;$C2474)</f>
        <v/>
      </c>
      <c r="R2474" s="57">
        <f>IF($A2474="","",$A2474&amp;"|"&amp;$C2474&amp;"|"&amp;$D2474)</f>
        <v/>
      </c>
      <c r="S2474" s="57">
        <f>IF($A2474="","",IFERROR(INDEX(Offerte!$D$2:$D$81,MATCH($Q2474,Offerte!$L$2:$L$81,0)),0))</f>
        <v/>
      </c>
      <c r="T2474" s="57">
        <f>IF($A2474="","",IFERROR(INDEX(Offerte!$G$2:$G$81,MATCH($Q2474,Offerte!$L$2:$L$81,0)),"NO"))</f>
        <v/>
      </c>
    </row>
    <row r="2475">
      <c r="A2475" s="48">
        <f>IF(Offerte!$A81="","",Offerte!$A81)</f>
        <v/>
      </c>
      <c r="B2475" s="48">
        <f>IF(Offerte!$A81="","",Offerte!$B81)</f>
        <v/>
      </c>
      <c r="C2475" s="48">
        <f>IF(Offerte!$A81="","",Offerte!$C81)</f>
        <v/>
      </c>
      <c r="D2475" s="48" t="inlineStr">
        <is>
          <t>F.1.1</t>
        </is>
      </c>
      <c r="E2475" s="48" t="inlineStr">
        <is>
          <t>F</t>
        </is>
      </c>
      <c r="F2475" s="48" t="inlineStr">
        <is>
          <t>Q</t>
        </is>
      </c>
      <c r="G2475" s="48" t="inlineStr">
        <is>
          <t>lower</t>
        </is>
      </c>
      <c r="H2475" s="48" t="n">
        <v>7</v>
      </c>
      <c r="I2475" s="48" t="inlineStr">
        <is>
          <t>Performance ambientali del parco mezzi adibito al servizio - I_CEA</t>
        </is>
      </c>
      <c r="J2475" s="73" t="n"/>
      <c r="K2475" s="73" t="n"/>
      <c r="L2475" s="73" t="n"/>
      <c r="M2475" s="73" t="n"/>
      <c r="N2475" s="57">
        <f>IF($A2475="","",IFERROR(VALUE($J2475),0))</f>
        <v/>
      </c>
      <c r="O2475" s="57">
        <f>IF($A2475="",0,IF(OR($S2475&lt;&gt;1,COUNTA($J2475:$M2475)=0),0,IF(AND(IFERROR(AGGREGATE(15,6,$N$5:$N$2484/(($C$5:$C$2484=$C2475)*($D$5:$D$2484=$D2475)*($S$5:$S$2484=1)*($N$5:$N$2484&gt;0)),1),0)&gt;0,$N2475&gt;0),ROUND($H2475*(IFERROR(AGGREGATE(15,6,$N$5:$N$2484/(($C$5:$C$2484=$C2475)*($D$5:$D$2484=$D2475)*($S$5:$S$2484=1)*($N$5:$N$2484&gt;0)),1),0)/$N2475),4),0)))</f>
        <v/>
      </c>
      <c r="P2475" s="48" t="inlineStr">
        <is>
          <t>indice</t>
        </is>
      </c>
      <c r="Q2475" s="57">
        <f>IF($A2475="","",$A2475&amp;"|"&amp;$C2475)</f>
        <v/>
      </c>
      <c r="R2475" s="57">
        <f>IF($A2475="","",$A2475&amp;"|"&amp;$C2475&amp;"|"&amp;$D2475)</f>
        <v/>
      </c>
      <c r="S2475" s="57">
        <f>IF($A2475="","",IFERROR(INDEX(Offerte!$D$2:$D$81,MATCH($Q2475,Offerte!$L$2:$L$81,0)),0))</f>
        <v/>
      </c>
      <c r="T2475" s="57">
        <f>IF($A2475="","",IFERROR(INDEX(Offerte!$G$2:$G$81,MATCH($Q2475,Offerte!$L$2:$L$81,0)),"NO"))</f>
        <v/>
      </c>
    </row>
    <row r="2476">
      <c r="A2476" s="48">
        <f>IF(Offerte!$A81="","",Offerte!$A81)</f>
        <v/>
      </c>
      <c r="B2476" s="48">
        <f>IF(Offerte!$A81="","",Offerte!$B81)</f>
        <v/>
      </c>
      <c r="C2476" s="48">
        <f>IF(Offerte!$A81="","",Offerte!$C81)</f>
        <v/>
      </c>
      <c r="D2476" s="48" t="inlineStr">
        <is>
          <t>F.2.1</t>
        </is>
      </c>
      <c r="E2476" s="48" t="inlineStr">
        <is>
          <t>F</t>
        </is>
      </c>
      <c r="F2476" s="48" t="inlineStr">
        <is>
          <t>Q</t>
        </is>
      </c>
      <c r="G2476" s="48" t="inlineStr">
        <is>
          <t>higher</t>
        </is>
      </c>
      <c r="H2476" s="48" t="n">
        <v>2</v>
      </c>
      <c r="I2476" s="48" t="inlineStr">
        <is>
          <t>Tasso di copertura del servizio con dispositivi ECO-DRIVER</t>
        </is>
      </c>
      <c r="J2476" s="73" t="n"/>
      <c r="K2476" s="73" t="n"/>
      <c r="L2476" s="73" t="n"/>
      <c r="M2476" s="73" t="n"/>
      <c r="N2476" s="57">
        <f>IF($A2476="","",IFERROR(VALUE($K2476)/VALUE($L2476),IFERROR(VALUE($J2476),0)))</f>
        <v/>
      </c>
      <c r="O2476" s="57">
        <f>IF($A2476="",0,IF(OR($S2476&lt;&gt;1,COUNTA($J2476:$M2476)=0),0,IF(SUMPRODUCT(MAX(($C$5:$C$2484=$C2476)*($D$5:$D$2484=$D2476)*($S$5:$S$2484=1)*IFERROR($N$5:$N$2484*1,0)))&gt;0,ROUND($H2476*($N2476/SUMPRODUCT(MAX(($C$5:$C$2484=$C2476)*($D$5:$D$2484=$D2476)*($S$5:$S$2484=1)*IFERROR($N$5:$N$2484*1,0)))),4),0)))</f>
        <v/>
      </c>
      <c r="P2476" s="48" t="inlineStr">
        <is>
          <t>Autobus attrezzati con dispositivi ECO-DRIVER / Autobus totali in offerta, incluse scorte</t>
        </is>
      </c>
      <c r="Q2476" s="57">
        <f>IF($A2476="","",$A2476&amp;"|"&amp;$C2476)</f>
        <v/>
      </c>
      <c r="R2476" s="57">
        <f>IF($A2476="","",$A2476&amp;"|"&amp;$C2476&amp;"|"&amp;$D2476)</f>
        <v/>
      </c>
      <c r="S2476" s="57">
        <f>IF($A2476="","",IFERROR(INDEX(Offerte!$D$2:$D$81,MATCH($Q2476,Offerte!$L$2:$L$81,0)),0))</f>
        <v/>
      </c>
      <c r="T2476" s="57">
        <f>IF($A2476="","",IFERROR(INDEX(Offerte!$G$2:$G$81,MATCH($Q2476,Offerte!$L$2:$L$81,0)),"NO"))</f>
        <v/>
      </c>
    </row>
    <row r="2477">
      <c r="A2477" s="48">
        <f>IF(Offerte!$A81="","",Offerte!$A81)</f>
        <v/>
      </c>
      <c r="B2477" s="48">
        <f>IF(Offerte!$A81="","",Offerte!$B81)</f>
        <v/>
      </c>
      <c r="C2477" s="48">
        <f>IF(Offerte!$A81="","",Offerte!$C81)</f>
        <v/>
      </c>
      <c r="D2477" s="48" t="inlineStr">
        <is>
          <t>F.3.1</t>
        </is>
      </c>
      <c r="E2477" s="48" t="inlineStr">
        <is>
          <t>F</t>
        </is>
      </c>
      <c r="F2477" s="48" t="inlineStr">
        <is>
          <t>Q</t>
        </is>
      </c>
      <c r="G2477" s="48" t="inlineStr">
        <is>
          <t>higher</t>
        </is>
      </c>
      <c r="H2477" s="48" t="n">
        <v>2</v>
      </c>
      <c r="I2477" s="48" t="inlineStr">
        <is>
          <t>Autoproduzione consumi elettrici per trazione</t>
        </is>
      </c>
      <c r="J2477" s="73" t="n"/>
      <c r="K2477" s="73" t="n"/>
      <c r="L2477" s="73" t="n"/>
      <c r="M2477" s="73" t="n"/>
      <c r="N2477" s="57">
        <f>IF($A2477="","",IFERROR(VALUE($J2477),0))</f>
        <v/>
      </c>
      <c r="O2477" s="57">
        <f>IF($A2477="",0,IF(OR($S2477&lt;&gt;1,COUNTA($J2477:$M2477)=0),0,IF(SUMPRODUCT(MAX(($C$5:$C$2484=$C2477)*($D$5:$D$2484=$D2477)*($S$5:$S$2484=1)*IFERROR($N$5:$N$2484*1,0)))&gt;0,ROUND($H2477*($N2477/SUMPRODUCT(MAX(($C$5:$C$2484=$C2477)*($D$5:$D$2484=$D2477)*($S$5:$S$2484=1)*IFERROR($N$5:$N$2484*1,0)))),4),0)))</f>
        <v/>
      </c>
      <c r="P2477" s="48" t="inlineStr">
        <is>
          <t>kWh/anno</t>
        </is>
      </c>
      <c r="Q2477" s="57">
        <f>IF($A2477="","",$A2477&amp;"|"&amp;$C2477)</f>
        <v/>
      </c>
      <c r="R2477" s="57">
        <f>IF($A2477="","",$A2477&amp;"|"&amp;$C2477&amp;"|"&amp;$D2477)</f>
        <v/>
      </c>
      <c r="S2477" s="57">
        <f>IF($A2477="","",IFERROR(INDEX(Offerte!$D$2:$D$81,MATCH($Q2477,Offerte!$L$2:$L$81,0)),0))</f>
        <v/>
      </c>
      <c r="T2477" s="57">
        <f>IF($A2477="","",IFERROR(INDEX(Offerte!$G$2:$G$81,MATCH($Q2477,Offerte!$L$2:$L$81,0)),"NO"))</f>
        <v/>
      </c>
    </row>
    <row r="2478">
      <c r="A2478" s="48">
        <f>IF(Offerte!$A81="","",Offerte!$A81)</f>
        <v/>
      </c>
      <c r="B2478" s="48">
        <f>IF(Offerte!$A81="","",Offerte!$B81)</f>
        <v/>
      </c>
      <c r="C2478" s="48">
        <f>IF(Offerte!$A81="","",Offerte!$C81)</f>
        <v/>
      </c>
      <c r="D2478" s="48" t="inlineStr">
        <is>
          <t>F.4.1</t>
        </is>
      </c>
      <c r="E2478" s="48" t="inlineStr">
        <is>
          <t>F</t>
        </is>
      </c>
      <c r="F2478" s="48" t="inlineStr">
        <is>
          <t>Q</t>
        </is>
      </c>
      <c r="G2478" s="48" t="inlineStr">
        <is>
          <t>soil</t>
        </is>
      </c>
      <c r="H2478" s="48" t="n">
        <v>2</v>
      </c>
      <c r="I2478" s="48" t="inlineStr">
        <is>
          <t>Indice di consumo di suolo</t>
        </is>
      </c>
      <c r="J2478" s="73" t="n"/>
      <c r="K2478" s="73" t="n"/>
      <c r="L2478" s="73" t="n"/>
      <c r="M2478" s="73" t="n"/>
      <c r="N2478" s="57">
        <f>IF($A2478="","",IFERROR(VALUE($J2478),0))</f>
        <v/>
      </c>
      <c r="O2478" s="57">
        <f>IF($A2478="",0,IF(OR($S2478&lt;&gt;1,COUNTA($J2478:$M2478)=0),0,IF($N2478&lt;=0,$H2478,IF(SUMPRODUCT(MAX(($C$5:$C$2484=$C2478)*($D$5:$D$2484=$D2478)*($S$5:$S$2484=1)*IFERROR($N$5:$N$2484*1,0)))&gt;0,ROUND($H2478*((SUMPRODUCT(MAX(($C$5:$C$2484=$C2478)*($D$5:$D$2484=$D2478)*($S$5:$S$2484=1)*IFERROR($N$5:$N$2484*1,0)))-$N2478)/SUMPRODUCT(MAX(($C$5:$C$2484=$C2478)*($D$5:$D$2484=$D2478)*($S$5:$S$2484=1)*IFERROR($N$5:$N$2484*1,0)))),4),0))))</f>
        <v/>
      </c>
      <c r="P2478" s="48" t="inlineStr">
        <is>
          <t>m2</t>
        </is>
      </c>
      <c r="Q2478" s="57">
        <f>IF($A2478="","",$A2478&amp;"|"&amp;$C2478)</f>
        <v/>
      </c>
      <c r="R2478" s="57">
        <f>IF($A2478="","",$A2478&amp;"|"&amp;$C2478&amp;"|"&amp;$D2478)</f>
        <v/>
      </c>
      <c r="S2478" s="57">
        <f>IF($A2478="","",IFERROR(INDEX(Offerte!$D$2:$D$81,MATCH($Q2478,Offerte!$L$2:$L$81,0)),0))</f>
        <v/>
      </c>
      <c r="T2478" s="57">
        <f>IF($A2478="","",IFERROR(INDEX(Offerte!$G$2:$G$81,MATCH($Q2478,Offerte!$L$2:$L$81,0)),"NO"))</f>
        <v/>
      </c>
    </row>
    <row r="2479">
      <c r="A2479" s="48">
        <f>IF(Offerte!$A81="","",Offerte!$A81)</f>
        <v/>
      </c>
      <c r="B2479" s="48">
        <f>IF(Offerte!$A81="","",Offerte!$B81)</f>
        <v/>
      </c>
      <c r="C2479" s="48">
        <f>IF(Offerte!$A81="","",Offerte!$C81)</f>
        <v/>
      </c>
      <c r="D2479" s="48" t="inlineStr">
        <is>
          <t>F.5.1</t>
        </is>
      </c>
      <c r="E2479" s="48" t="inlineStr">
        <is>
          <t>F</t>
        </is>
      </c>
      <c r="F2479" s="48" t="inlineStr">
        <is>
          <t>T</t>
        </is>
      </c>
      <c r="G2479" s="48" t="inlineStr">
        <is>
          <t>tabular</t>
        </is>
      </c>
      <c r="H2479" s="48" t="n">
        <v>1</v>
      </c>
      <c r="I2479" s="48" t="inlineStr">
        <is>
          <t>Rendicontazione di sostenibilità ambientale</t>
        </is>
      </c>
      <c r="J2479" s="73" t="n"/>
      <c r="K2479" s="73" t="n"/>
      <c r="L2479" s="73" t="n"/>
      <c r="M2479" s="73" t="n"/>
      <c r="N2479" s="57">
        <f>IF($A2479="","",IF(IFERROR(VALUE($M2479),0)=1,1,0))</f>
        <v/>
      </c>
      <c r="O2479" s="57">
        <f>IF($A2479="",0,IF(OR($S2479&lt;&gt;1,COUNTA($J2479:$M2479)=0),0,IF($N2479=1,$H2479,0)))</f>
        <v/>
      </c>
      <c r="P2479" s="48" t="inlineStr">
        <is>
          <t>sì/no</t>
        </is>
      </c>
      <c r="Q2479" s="57">
        <f>IF($A2479="","",$A2479&amp;"|"&amp;$C2479)</f>
        <v/>
      </c>
      <c r="R2479" s="57">
        <f>IF($A2479="","",$A2479&amp;"|"&amp;$C2479&amp;"|"&amp;$D2479)</f>
        <v/>
      </c>
      <c r="S2479" s="57">
        <f>IF($A2479="","",IFERROR(INDEX(Offerte!$D$2:$D$81,MATCH($Q2479,Offerte!$L$2:$L$81,0)),0))</f>
        <v/>
      </c>
      <c r="T2479" s="57">
        <f>IF($A2479="","",IFERROR(INDEX(Offerte!$G$2:$G$81,MATCH($Q2479,Offerte!$L$2:$L$81,0)),"NO"))</f>
        <v/>
      </c>
    </row>
    <row r="2480">
      <c r="A2480" s="48">
        <f>IF(Offerte!$A81="","",Offerte!$A81)</f>
        <v/>
      </c>
      <c r="B2480" s="48">
        <f>IF(Offerte!$A81="","",Offerte!$B81)</f>
        <v/>
      </c>
      <c r="C2480" s="48">
        <f>IF(Offerte!$A81="","",Offerte!$C81)</f>
        <v/>
      </c>
      <c r="D2480" s="48" t="inlineStr">
        <is>
          <t>G.1.1</t>
        </is>
      </c>
      <c r="E2480" s="48" t="inlineStr">
        <is>
          <t>G</t>
        </is>
      </c>
      <c r="F2480" s="48" t="inlineStr">
        <is>
          <t>D</t>
        </is>
      </c>
      <c r="G2480" s="48" t="inlineStr">
        <is>
          <t>discretionary</t>
        </is>
      </c>
      <c r="H2480" s="48" t="n">
        <v>2</v>
      </c>
      <c r="I2480" s="48" t="inlineStr">
        <is>
          <t>Qualità del progetto di centrale di controllo aziendale</t>
        </is>
      </c>
      <c r="J2480" s="73" t="n"/>
      <c r="K2480" s="73" t="n"/>
      <c r="L2480" s="73" t="n"/>
      <c r="M2480" s="73" t="n"/>
      <c r="N2480" s="57">
        <f>IF($A2480="","",MAX(0,MIN(1,IFERROR(VALUE($M2480),0))))</f>
        <v/>
      </c>
      <c r="O2480" s="57">
        <f>IF($A2480="",0,IF(OR($S2480&lt;&gt;1,COUNTA($J2480:$M2480)=0),0,IF(SUMPRODUCT(MAX(($C$5:$C$2484=$C2480)*($D$5:$D$2484=$D2480)*($S$5:$S$2484=1)*IFERROR($N$5:$N$2484*1,0)))&gt;0,ROUND($H2480*($N2480/SUMPRODUCT(MAX(($C$5:$C$2484=$C2480)*($D$5:$D$2484=$D2480)*($S$5:$S$2484=1)*IFERROR($N$5:$N$2484*1,0)))),4),0)))</f>
        <v/>
      </c>
      <c r="P2480" s="48" t="inlineStr">
        <is>
          <t>coeff.</t>
        </is>
      </c>
      <c r="Q2480" s="57">
        <f>IF($A2480="","",$A2480&amp;"|"&amp;$C2480)</f>
        <v/>
      </c>
      <c r="R2480" s="57">
        <f>IF($A2480="","",$A2480&amp;"|"&amp;$C2480&amp;"|"&amp;$D2480)</f>
        <v/>
      </c>
      <c r="S2480" s="57">
        <f>IF($A2480="","",IFERROR(INDEX(Offerte!$D$2:$D$81,MATCH($Q2480,Offerte!$L$2:$L$81,0)),0))</f>
        <v/>
      </c>
      <c r="T2480" s="57">
        <f>IF($A2480="","",IFERROR(INDEX(Offerte!$G$2:$G$81,MATCH($Q2480,Offerte!$L$2:$L$81,0)),"NO"))</f>
        <v/>
      </c>
    </row>
    <row r="2481">
      <c r="A2481" s="48">
        <f>IF(Offerte!$A81="","",Offerte!$A81)</f>
        <v/>
      </c>
      <c r="B2481" s="48">
        <f>IF(Offerte!$A81="","",Offerte!$B81)</f>
        <v/>
      </c>
      <c r="C2481" s="48">
        <f>IF(Offerte!$A81="","",Offerte!$C81)</f>
        <v/>
      </c>
      <c r="D2481" s="48" t="inlineStr">
        <is>
          <t>G.2.1</t>
        </is>
      </c>
      <c r="E2481" s="48" t="inlineStr">
        <is>
          <t>G</t>
        </is>
      </c>
      <c r="F2481" s="48" t="inlineStr">
        <is>
          <t>T</t>
        </is>
      </c>
      <c r="G2481" s="48" t="inlineStr">
        <is>
          <t>tabular</t>
        </is>
      </c>
      <c r="H2481" s="48" t="n">
        <v>1</v>
      </c>
      <c r="I2481" s="48" t="inlineStr">
        <is>
          <t>Certificazione ISO 45001</t>
        </is>
      </c>
      <c r="J2481" s="73" t="n"/>
      <c r="K2481" s="73" t="n"/>
      <c r="L2481" s="73" t="n"/>
      <c r="M2481" s="73" t="n"/>
      <c r="N2481" s="57">
        <f>IF($A2481="","",IF(IFERROR(VALUE($M2481),0)=1,1,0))</f>
        <v/>
      </c>
      <c r="O2481" s="57">
        <f>IF($A2481="",0,IF(OR($S2481&lt;&gt;1,COUNTA($J2481:$M2481)=0),0,IF($N2481=1,$H2481,0)))</f>
        <v/>
      </c>
      <c r="P2481" s="48" t="inlineStr">
        <is>
          <t>sì/no</t>
        </is>
      </c>
      <c r="Q2481" s="57">
        <f>IF($A2481="","",$A2481&amp;"|"&amp;$C2481)</f>
        <v/>
      </c>
      <c r="R2481" s="57">
        <f>IF($A2481="","",$A2481&amp;"|"&amp;$C2481&amp;"|"&amp;$D2481)</f>
        <v/>
      </c>
      <c r="S2481" s="57">
        <f>IF($A2481="","",IFERROR(INDEX(Offerte!$D$2:$D$81,MATCH($Q2481,Offerte!$L$2:$L$81,0)),0))</f>
        <v/>
      </c>
      <c r="T2481" s="57">
        <f>IF($A2481="","",IFERROR(INDEX(Offerte!$G$2:$G$81,MATCH($Q2481,Offerte!$L$2:$L$81,0)),"NO"))</f>
        <v/>
      </c>
    </row>
    <row r="2482">
      <c r="A2482" s="48">
        <f>IF(Offerte!$A81="","",Offerte!$A81)</f>
        <v/>
      </c>
      <c r="B2482" s="48">
        <f>IF(Offerte!$A81="","",Offerte!$B81)</f>
        <v/>
      </c>
      <c r="C2482" s="48">
        <f>IF(Offerte!$A81="","",Offerte!$C81)</f>
        <v/>
      </c>
      <c r="D2482" s="48" t="inlineStr">
        <is>
          <t>G.3.1</t>
        </is>
      </c>
      <c r="E2482" s="48" t="inlineStr">
        <is>
          <t>G</t>
        </is>
      </c>
      <c r="F2482" s="48" t="inlineStr">
        <is>
          <t>T</t>
        </is>
      </c>
      <c r="G2482" s="48" t="inlineStr">
        <is>
          <t>tabular</t>
        </is>
      </c>
      <c r="H2482" s="48" t="n">
        <v>1</v>
      </c>
      <c r="I2482" s="48" t="inlineStr">
        <is>
          <t>Certificazioni di responsabilità sociale</t>
        </is>
      </c>
      <c r="J2482" s="73" t="n"/>
      <c r="K2482" s="73" t="n"/>
      <c r="L2482" s="73" t="n"/>
      <c r="M2482" s="73" t="n"/>
      <c r="N2482" s="57">
        <f>IF($A2482="","",IF(IFERROR(VALUE($M2482),0)=1,1,0))</f>
        <v/>
      </c>
      <c r="O2482" s="57">
        <f>IF($A2482="",0,IF(OR($S2482&lt;&gt;1,COUNTA($J2482:$M2482)=0),0,IF($N2482=1,$H2482,0)))</f>
        <v/>
      </c>
      <c r="P2482" s="48" t="inlineStr">
        <is>
          <t>sì/no</t>
        </is>
      </c>
      <c r="Q2482" s="57">
        <f>IF($A2482="","",$A2482&amp;"|"&amp;$C2482)</f>
        <v/>
      </c>
      <c r="R2482" s="57">
        <f>IF($A2482="","",$A2482&amp;"|"&amp;$C2482&amp;"|"&amp;$D2482)</f>
        <v/>
      </c>
      <c r="S2482" s="57">
        <f>IF($A2482="","",IFERROR(INDEX(Offerte!$D$2:$D$81,MATCH($Q2482,Offerte!$L$2:$L$81,0)),0))</f>
        <v/>
      </c>
      <c r="T2482" s="57">
        <f>IF($A2482="","",IFERROR(INDEX(Offerte!$G$2:$G$81,MATCH($Q2482,Offerte!$L$2:$L$81,0)),"NO"))</f>
        <v/>
      </c>
    </row>
    <row r="2483">
      <c r="A2483" s="48">
        <f>IF(Offerte!$A81="","",Offerte!$A81)</f>
        <v/>
      </c>
      <c r="B2483" s="48">
        <f>IF(Offerte!$A81="","",Offerte!$B81)</f>
        <v/>
      </c>
      <c r="C2483" s="48">
        <f>IF(Offerte!$A81="","",Offerte!$C81)</f>
        <v/>
      </c>
      <c r="D2483" s="48" t="inlineStr">
        <is>
          <t>G.4.1</t>
        </is>
      </c>
      <c r="E2483" s="48" t="inlineStr">
        <is>
          <t>G</t>
        </is>
      </c>
      <c r="F2483" s="48" t="inlineStr">
        <is>
          <t>D</t>
        </is>
      </c>
      <c r="G2483" s="48" t="inlineStr">
        <is>
          <t>discretionary</t>
        </is>
      </c>
      <c r="H2483" s="48" t="n">
        <v>2</v>
      </c>
      <c r="I2483" s="48" t="inlineStr">
        <is>
          <t>Qualità del piano di formazione del personale</t>
        </is>
      </c>
      <c r="J2483" s="73" t="n"/>
      <c r="K2483" s="73" t="n"/>
      <c r="L2483" s="73" t="n"/>
      <c r="M2483" s="73" t="n"/>
      <c r="N2483" s="57">
        <f>IF($A2483="","",MAX(0,MIN(1,IFERROR(VALUE($M2483),0))))</f>
        <v/>
      </c>
      <c r="O2483" s="57">
        <f>IF($A2483="",0,IF(OR($S2483&lt;&gt;1,COUNTA($J2483:$M2483)=0),0,IF(SUMPRODUCT(MAX(($C$5:$C$2484=$C2483)*($D$5:$D$2484=$D2483)*($S$5:$S$2484=1)*IFERROR($N$5:$N$2484*1,0)))&gt;0,ROUND($H2483*($N2483/SUMPRODUCT(MAX(($C$5:$C$2484=$C2483)*($D$5:$D$2484=$D2483)*($S$5:$S$2484=1)*IFERROR($N$5:$N$2484*1,0)))),4),0)))</f>
        <v/>
      </c>
      <c r="P2483" s="48" t="inlineStr">
        <is>
          <t>coeff.</t>
        </is>
      </c>
      <c r="Q2483" s="57">
        <f>IF($A2483="","",$A2483&amp;"|"&amp;$C2483)</f>
        <v/>
      </c>
      <c r="R2483" s="57">
        <f>IF($A2483="","",$A2483&amp;"|"&amp;$C2483&amp;"|"&amp;$D2483)</f>
        <v/>
      </c>
      <c r="S2483" s="57">
        <f>IF($A2483="","",IFERROR(INDEX(Offerte!$D$2:$D$81,MATCH($Q2483,Offerte!$L$2:$L$81,0)),0))</f>
        <v/>
      </c>
      <c r="T2483" s="57">
        <f>IF($A2483="","",IFERROR(INDEX(Offerte!$G$2:$G$81,MATCH($Q2483,Offerte!$L$2:$L$81,0)),"NO"))</f>
        <v/>
      </c>
    </row>
    <row r="2484">
      <c r="A2484" s="48">
        <f>IF(Offerte!$A81="","",Offerte!$A81)</f>
        <v/>
      </c>
      <c r="B2484" s="48">
        <f>IF(Offerte!$A81="","",Offerte!$B81)</f>
        <v/>
      </c>
      <c r="C2484" s="48">
        <f>IF(Offerte!$A81="","",Offerte!$C81)</f>
        <v/>
      </c>
      <c r="D2484" s="48" t="inlineStr">
        <is>
          <t>G.5.1</t>
        </is>
      </c>
      <c r="E2484" s="48" t="inlineStr">
        <is>
          <t>G</t>
        </is>
      </c>
      <c r="F2484" s="48" t="inlineStr">
        <is>
          <t>T</t>
        </is>
      </c>
      <c r="G2484" s="48" t="inlineStr">
        <is>
          <t>tabular</t>
        </is>
      </c>
      <c r="H2484" s="48" t="n">
        <v>1</v>
      </c>
      <c r="I2484" s="48" t="inlineStr">
        <is>
          <t>Impegno al mantenimento delle garanzie del contratto di secondo livello del gestore uscente</t>
        </is>
      </c>
      <c r="J2484" s="73" t="n"/>
      <c r="K2484" s="73" t="n"/>
      <c r="L2484" s="73" t="n"/>
      <c r="M2484" s="73" t="n"/>
      <c r="N2484" s="57">
        <f>IF($A2484="","",IF(IFERROR(VALUE($M2484),0)=1,1,0))</f>
        <v/>
      </c>
      <c r="O2484" s="57">
        <f>IF($A2484="",0,IF(OR($S2484&lt;&gt;1,COUNTA($J2484:$M2484)=0),0,IF($N2484=1,$H2484,0)))</f>
        <v/>
      </c>
      <c r="P2484" s="48" t="inlineStr">
        <is>
          <t>sì/no</t>
        </is>
      </c>
      <c r="Q2484" s="57">
        <f>IF($A2484="","",$A2484&amp;"|"&amp;$C2484)</f>
        <v/>
      </c>
      <c r="R2484" s="57">
        <f>IF($A2484="","",$A2484&amp;"|"&amp;$C2484&amp;"|"&amp;$D2484)</f>
        <v/>
      </c>
      <c r="S2484" s="57">
        <f>IF($A2484="","",IFERROR(INDEX(Offerte!$D$2:$D$81,MATCH($Q2484,Offerte!$L$2:$L$81,0)),0))</f>
        <v/>
      </c>
      <c r="T2484" s="57">
        <f>IF($A2484="","",IFERROR(INDEX(Offerte!$G$2:$G$81,MATCH($Q2484,Offerte!$L$2:$L$81,0)),"NO"))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mergeCells count="2">
    <mergeCell ref="A2:H2"/>
    <mergeCell ref="A1:H1"/>
  </mergeCells>
  <conditionalFormatting sqref="O5:O2484">
    <cfRule type="cellIs" priority="1" operator="greaterThan" dxfId="3">
      <formula>0</formula>
    </cfRule>
  </conditionalFormatting>
  <dataValidations count="2">
    <dataValidation sqref="J5:L2484" showDropDown="0" showInputMessage="0" showErrorMessage="0" allowBlank="1" type="decimal" operator="greaterThanOrEqual">
      <formula1>0</formula1>
    </dataValidation>
    <dataValidation sqref="M5:M2484" showDropDown="0" showInputMessage="0" showErrorMessage="0" allowBlank="1" type="decimal" operator="between">
      <formula1>0</formula1>
      <formula2>1</formula2>
    </dataValidation>
  </dataValidations>
  <pageMargins left="0.25" right="0.25" top="0.5" bottom="0.5" header="0.5" footer="0.5"/>
  <pageSetup fitToHeight="0" fitToWidth="1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Foglio3">
    <tabColor rgb="000F766E"/>
    <outlinePr summaryBelow="1" summaryRight="1"/>
    <pageSetUpPr fitToPage="1"/>
  </sheetPr>
  <dimension ref="A1:C9"/>
  <sheetViews>
    <sheetView showGridLines="0" tabSelected="0"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24" customWidth="1" min="1" max="1"/>
    <col width="16" customWidth="1" min="2" max="2"/>
    <col width="64" customWidth="1" min="3" max="3"/>
  </cols>
  <sheetData>
    <row r="1" ht="24" customHeight="1">
      <c r="A1" s="54" t="inlineStr">
        <is>
          <t>Parametro</t>
        </is>
      </c>
      <c r="B1" s="54" t="inlineStr">
        <is>
          <t>Valore</t>
        </is>
      </c>
      <c r="C1" s="54" t="inlineStr">
        <is>
          <t>Descrizione</t>
        </is>
      </c>
    </row>
    <row r="2">
      <c r="A2" s="48" t="inlineStr">
        <is>
          <t>BidderId</t>
        </is>
      </c>
      <c r="B2" s="69" t="n"/>
      <c r="C2" s="48" t="inlineStr">
        <is>
          <t>Bidder target ottimizzazione (B2)</t>
        </is>
      </c>
    </row>
    <row r="3">
      <c r="A3" s="48" t="inlineStr">
        <is>
          <t>IterMax</t>
        </is>
      </c>
      <c r="B3" s="69" t="n">
        <v>100</v>
      </c>
      <c r="C3" s="48" t="inlineStr">
        <is>
          <t>Numero massimo iterazioni (B3)</t>
        </is>
      </c>
    </row>
    <row r="4">
      <c r="A4" s="48" t="inlineStr">
        <is>
          <t>StepQ</t>
        </is>
      </c>
      <c r="B4" s="69" t="n">
        <v>0.5</v>
      </c>
      <c r="C4" s="48" t="inlineStr">
        <is>
          <t>Incremento leva Q (B4)</t>
        </is>
      </c>
    </row>
    <row r="5">
      <c r="A5" s="48" t="inlineStr">
        <is>
          <t>Note</t>
        </is>
      </c>
      <c r="B5" s="74" t="n"/>
      <c r="C5" s="48" t="inlineStr">
        <is>
          <t>B5 riservata</t>
        </is>
      </c>
    </row>
    <row r="6">
      <c r="A6" s="48" t="inlineStr">
        <is>
          <t>RibassoStep</t>
        </is>
      </c>
      <c r="B6" s="69" t="n">
        <v>0.1</v>
      </c>
      <c r="C6" s="48" t="inlineStr">
        <is>
          <t>Step riduzione ribasso (B6)</t>
        </is>
      </c>
    </row>
    <row r="7">
      <c r="A7" s="48" t="inlineStr">
        <is>
          <t>TettoQ</t>
        </is>
      </c>
      <c r="B7" s="69" t="n">
        <v>70</v>
      </c>
      <c r="C7" s="48" t="inlineStr">
        <is>
          <t>Massimale Q (B7)</t>
        </is>
      </c>
    </row>
    <row r="8">
      <c r="A8" s="48" t="inlineStr">
        <is>
          <t>StepT</t>
        </is>
      </c>
      <c r="B8" s="69" t="n">
        <v>0.5</v>
      </c>
      <c r="C8" s="48" t="inlineStr">
        <is>
          <t>Incremento leva T (B8)</t>
        </is>
      </c>
    </row>
    <row r="9">
      <c r="A9" s="48" t="inlineStr">
        <is>
          <t>TettoT</t>
        </is>
      </c>
      <c r="B9" s="69" t="n">
        <v>70</v>
      </c>
      <c r="C9" s="48" t="inlineStr">
        <is>
          <t>Massimale T (B9)</t>
        </is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dataValidations count="2">
    <dataValidation sqref="B3" showDropDown="0" showInputMessage="0" showErrorMessage="0" allowBlank="0" type="whole" operator="between">
      <formula1>1</formula1>
      <formula2>1000</formula2>
    </dataValidation>
    <dataValidation sqref="B4 B6 B7 B8 B9" showDropDown="0" showInputMessage="0" showErrorMessage="0" allowBlank="0" type="decimal" operator="between">
      <formula1>0</formula1>
      <formula2>100</formula2>
    </dataValidation>
  </dataValidations>
  <pageMargins left="0.25" right="0.25" top="0.5" bottom="0.5" header="0.5" footer="0.5"/>
  <pageSetup fitToHeight="0" fitToWidth="1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>
    <tabColor rgb="000F766E"/>
    <outlinePr summaryBelow="1" summaryRight="1"/>
    <pageSetUpPr fitToPage="1"/>
  </sheetPr>
  <dimension ref="A1:W80"/>
  <sheetViews>
    <sheetView showGridLines="0" tabSelected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6" customWidth="1" min="1" max="1"/>
    <col width="26" customWidth="1" min="2" max="2"/>
    <col width="14" customWidth="1" min="3" max="3"/>
    <col width="10" customWidth="1" min="4" max="4"/>
    <col width="22" customWidth="1" min="5" max="5"/>
    <col width="14" customWidth="1" min="6" max="6"/>
    <col width="14" customWidth="1" min="7" max="7"/>
    <col hidden="1" width="10" customWidth="1" min="8" max="8"/>
    <col hidden="1" width="10" customWidth="1" min="9" max="9"/>
    <col hidden="1" width="10" customWidth="1" min="10" max="10"/>
    <col hidden="1" width="10" customWidth="1" min="11" max="11"/>
    <col hidden="1" width="12" customWidth="1" min="12" max="12"/>
    <col hidden="1" width="12" customWidth="1" min="13" max="13"/>
    <col width="14" customWidth="1" min="14" max="14"/>
    <col hidden="1" width="14" customWidth="1" min="15" max="15"/>
    <col hidden="1" width="14" customWidth="1" min="16" max="16"/>
    <col width="16" customWidth="1" min="17" max="17"/>
    <col width="32" customWidth="1" min="18" max="18"/>
    <col hidden="1" width="16" customWidth="1" min="19" max="19"/>
    <col hidden="1" width="16" customWidth="1" min="20" max="20"/>
    <col hidden="1" width="22" customWidth="1" min="21" max="21"/>
    <col hidden="1" width="18" customWidth="1" min="22" max="22"/>
    <col hidden="1" width="18" customWidth="1" min="23" max="23"/>
  </cols>
  <sheetData>
    <row r="1" ht="28" customHeight="1">
      <c r="A1" s="39" t="inlineStr">
        <is>
          <t>Combinatorie</t>
        </is>
      </c>
    </row>
    <row r="2">
      <c r="A2" s="40" t="inlineStr">
        <is>
          <t>Input per confrontare coppie L1+L2, L2+L3, L3+L4 e L1+L4 nella matrice scenario globale.</t>
        </is>
      </c>
    </row>
    <row r="3"/>
    <row r="4" ht="24" customHeight="1">
      <c r="A4" s="54" t="inlineStr">
        <is>
          <t>BidderId</t>
        </is>
      </c>
      <c r="B4" s="54" t="inlineStr">
        <is>
          <t>BidderNome</t>
        </is>
      </c>
      <c r="C4" s="54" t="inlineStr">
        <is>
          <t>Coppia</t>
        </is>
      </c>
      <c r="D4" s="54" t="inlineStr">
        <is>
          <t>Attivo</t>
        </is>
      </c>
      <c r="E4" s="54" t="inlineStr">
        <is>
          <t>RibassoCombinatoria</t>
        </is>
      </c>
      <c r="F4" s="54" t="inlineStr">
        <is>
          <t>InseritoBuste</t>
        </is>
      </c>
      <c r="G4" s="54" t="inlineStr">
        <is>
          <t>PEFCoerente</t>
        </is>
      </c>
      <c r="H4" s="54" t="inlineStr">
        <is>
          <t>LottoA</t>
        </is>
      </c>
      <c r="I4" s="54" t="inlineStr">
        <is>
          <t>LottoB</t>
        </is>
      </c>
      <c r="J4" s="54" t="inlineStr">
        <is>
          <t>AttivoA</t>
        </is>
      </c>
      <c r="K4" s="54" t="inlineStr">
        <is>
          <t>AttivoB</t>
        </is>
      </c>
      <c r="L4" s="54" t="inlineStr">
        <is>
          <t>TecnicoA</t>
        </is>
      </c>
      <c r="M4" s="54" t="inlineStr">
        <is>
          <t>TecnicoB</t>
        </is>
      </c>
      <c r="N4" s="54" t="inlineStr">
        <is>
          <t>Ammissibile</t>
        </is>
      </c>
      <c r="O4" s="54" t="inlineStr">
        <is>
          <t>EconomicoA</t>
        </is>
      </c>
      <c r="P4" s="54" t="inlineStr">
        <is>
          <t>EconomicoB</t>
        </is>
      </c>
      <c r="Q4" s="54" t="inlineStr">
        <is>
          <t>TotaleCoppia</t>
        </is>
      </c>
      <c r="R4" s="54" t="inlineStr">
        <is>
          <t>Note</t>
        </is>
      </c>
      <c r="S4" s="54" t="inlineStr">
        <is>
          <t>RibassoSingoloA</t>
        </is>
      </c>
      <c r="T4" s="54" t="inlineStr">
        <is>
          <t>RibassoSingoloB</t>
        </is>
      </c>
      <c r="U4" s="54" t="inlineStr">
        <is>
          <t>RibassoMinimoIndicativo</t>
        </is>
      </c>
      <c r="V4" s="54" t="inlineStr">
        <is>
          <t>ChiaveCoppiaTotale</t>
        </is>
      </c>
      <c r="W4" s="54" t="inlineStr">
        <is>
          <t>ChiaveCoppiaBidder</t>
        </is>
      </c>
    </row>
    <row r="5">
      <c r="A5" s="73" t="inlineStr">
        <is>
          <t>B1</t>
        </is>
      </c>
      <c r="B5" s="73">
        <f>IF($A5="","",IFERROR(INDEX(Offerte!$B$2:$B$81,MATCH($A5,Offerte!$A$2:$A$81,0)),""))</f>
        <v/>
      </c>
      <c r="C5" s="73" t="inlineStr">
        <is>
          <t>L1+L2</t>
        </is>
      </c>
      <c r="D5" s="73" t="n">
        <v>0</v>
      </c>
      <c r="E5" s="73" t="n">
        <v>5.75</v>
      </c>
      <c r="F5" s="73" t="n">
        <v>1</v>
      </c>
      <c r="G5" s="73" t="n">
        <v>1</v>
      </c>
      <c r="H5" s="57">
        <f>IF($C5="L1+L2","L1",IF($C5="L2+L3","L2",IF($C5="L3+L4","L3",IF($C5="L1+L4","L1",""))))</f>
        <v/>
      </c>
      <c r="I5" s="57">
        <f>IF($C5="L1+L2","L2",IF($C5="L2+L3","L3",IF($C5="L3+L4","L4",IF($C5="L1+L4","L4",""))))</f>
        <v/>
      </c>
      <c r="J5" s="57">
        <f>IF($H5="","",IFERROR(INDEX(Offerte!$D$2:$D$81,MATCH($A5&amp;"|"&amp;$H5,Offerte!$L$2:$L$81,0)),0))</f>
        <v/>
      </c>
      <c r="K5" s="57">
        <f>IF($I5="","",IFERROR(INDEX(Offerte!$D$2:$D$81,MATCH($A5&amp;"|"&amp;$I5,Offerte!$L$2:$L$81,0)),0))</f>
        <v/>
      </c>
      <c r="L5" s="57">
        <f>IF($H5="","",IFERROR(INDEX(Offerte!$E$2:$E$81,MATCH($A5&amp;"|"&amp;$H5,Offerte!$L$2:$L$81,0)),0))</f>
        <v/>
      </c>
      <c r="M5" s="57">
        <f>IF($I5="","",IFERROR(INDEX(Offerte!$E$2:$E$81,MATCH($A5&amp;"|"&amp;$I5,Offerte!$L$2:$L$81,0)),0))</f>
        <v/>
      </c>
      <c r="N5" s="57">
        <f>IF($A5="","",IF(IFERROR(VALUE($D5),0)&lt;&gt;1,"NO",IF(AND(IFERROR(VALUE($J5),0)=1,IFERROR(VALUE($K5),0)=1,IFERROR(INDEX(Offerte!$G$2:$G$81,MATCH($A5&amp;"|"&amp;$H5,Offerte!$L$2:$L$81,0)),"NO")="SI",IFERROR(INDEX(Offerte!$G$2:$G$81,MATCH($A5&amp;"|"&amp;$I5,Offerte!$L$2:$L$81,0)),"NO")="SI",IFERROR(VALUE($F5),0)=1,IFERROR(VALUE($G5),0)=1,IFERROR(VALUE($E5),0)&gt;$U5),"SI","NO")))</f>
        <v/>
      </c>
      <c r="O5" s="57">
        <f>IF($N5="SI",IFERROR(30*(IFERROR(VALUE($E5),0)/MAX(SUMPRODUCT(MAX((Offerte!$C$2:$C$81=$H5)*(IFERROR(Offerte!$D$2:$D$81*1,0)=1)*(IFERROR(Offerte!$E$2:$E$81*1,0)&gt;=Parametri!$B$2)*IFERROR(Offerte!$F$2:$F$81*1,0))),SUMPRODUCT(MAX(($H$5:$H$80=$H5)*($N$5:$N$80="SI")*IFERROR($E$5:$E$80*1,0))),SUMPRODUCT(MAX(($I$5:$I$80=$H5)*($N$5:$N$80="SI")*IFERROR($E$5:$E$80*1,0))))),0),0)</f>
        <v/>
      </c>
      <c r="P5" s="57">
        <f>IF($N5="SI",IFERROR(30*(IFERROR(VALUE($E5),0)/MAX(SUMPRODUCT(MAX((Offerte!$C$2:$C$81=$I5)*(IFERROR(Offerte!$D$2:$D$81*1,0)=1)*(IFERROR(Offerte!$E$2:$E$81*1,0)&gt;=Parametri!$B$2)*IFERROR(Offerte!$F$2:$F$81*1,0))),SUMPRODUCT(MAX(($H$5:$H$80=$I5)*($N$5:$N$80="SI")*IFERROR($E$5:$E$80*1,0))),SUMPRODUCT(MAX(($I$5:$I$80=$I5)*($N$5:$N$80="SI")*IFERROR($E$5:$E$80*1,0))))),0),0)</f>
        <v/>
      </c>
      <c r="Q5" s="57">
        <f>IF($N5="SI",ROUND($L5+$M5+$O5+$P5,4),0)</f>
        <v/>
      </c>
      <c r="R5" s="57">
        <f>IF($A5="","",IF(IFERROR(VALUE($D5),0)&lt;&gt;1,"Non attiva",IF(OR(IFERROR(VALUE($J5),0)&lt;&gt;1,IFERROR(VALUE($K5),0)&lt;&gt;1),"Singoli non attivi",IF(OR(IFERROR(INDEX(Offerte!$G$2:$G$81,MATCH($A5&amp;"|"&amp;$H5,Offerte!$L$2:$L$81,0)),"NO")&lt;&gt;"SI",IFERROR(INDEX(Offerte!$G$2:$G$81,MATCH($A5&amp;"|"&amp;$I5,Offerte!$L$2:$L$81,0)),"NO")&lt;&gt;"SI"),"Soglia non superata",IF(OR(IFERROR(VALUE($F5),0)&lt;&gt;1,IFERROR(VALUE($G5),0)&lt;&gt;1),"Buste/PEF non confermati",IF(IFERROR(VALUE($E5),0)&lt;=$U5,"Ribasso non migliorativo",""))))))</f>
        <v/>
      </c>
      <c r="S5" s="57">
        <f>IF($H5="","",IFERROR(INDEX(Offerte!$F$2:$F$81,MATCH($A5&amp;"|"&amp;$H5,Offerte!$L$2:$L$81,0)),0))</f>
        <v/>
      </c>
      <c r="T5" s="57">
        <f>IF($I5="","",IFERROR(INDEX(Offerte!$F$2:$F$81,MATCH($A5&amp;"|"&amp;$I5,Offerte!$L$2:$L$81,0)),0))</f>
        <v/>
      </c>
      <c r="U5" s="57">
        <f>IF($A5="","",ROUND((IFERROR(VALUE($S5),0)+IFERROR(VALUE($T5),0))/2,4))</f>
        <v/>
      </c>
      <c r="V5" s="57">
        <f>IF($A5="","",$C5&amp;"|"&amp;TEXT($Q5,"0.0000"))</f>
        <v/>
      </c>
      <c r="W5" s="57">
        <f>IF($A5="","",$C5&amp;"|"&amp;$A5)</f>
        <v/>
      </c>
    </row>
    <row r="6">
      <c r="A6" s="73" t="inlineStr">
        <is>
          <t>B1</t>
        </is>
      </c>
      <c r="B6" s="73">
        <f>IF($A6="","",IFERROR(INDEX(Offerte!$B$2:$B$81,MATCH($A6,Offerte!$A$2:$A$81,0)),""))</f>
        <v/>
      </c>
      <c r="C6" s="73" t="inlineStr">
        <is>
          <t>L2+L3</t>
        </is>
      </c>
      <c r="D6" s="73" t="n">
        <v>0</v>
      </c>
      <c r="E6" s="73" t="n">
        <v>2.7</v>
      </c>
      <c r="F6" s="73" t="n">
        <v>1</v>
      </c>
      <c r="G6" s="73" t="n">
        <v>1</v>
      </c>
      <c r="H6" s="57">
        <f>IF($C6="L1+L2","L1",IF($C6="L2+L3","L2",IF($C6="L3+L4","L3",IF($C6="L1+L4","L1",""))))</f>
        <v/>
      </c>
      <c r="I6" s="57">
        <f>IF($C6="L1+L2","L2",IF($C6="L2+L3","L3",IF($C6="L3+L4","L4",IF($C6="L1+L4","L4",""))))</f>
        <v/>
      </c>
      <c r="J6" s="57">
        <f>IF($H6="","",IFERROR(INDEX(Offerte!$D$2:$D$81,MATCH($A6&amp;"|"&amp;$H6,Offerte!$L$2:$L$81,0)),0))</f>
        <v/>
      </c>
      <c r="K6" s="57">
        <f>IF($I6="","",IFERROR(INDEX(Offerte!$D$2:$D$81,MATCH($A6&amp;"|"&amp;$I6,Offerte!$L$2:$L$81,0)),0))</f>
        <v/>
      </c>
      <c r="L6" s="57">
        <f>IF($H6="","",IFERROR(INDEX(Offerte!$E$2:$E$81,MATCH($A6&amp;"|"&amp;$H6,Offerte!$L$2:$L$81,0)),0))</f>
        <v/>
      </c>
      <c r="M6" s="57">
        <f>IF($I6="","",IFERROR(INDEX(Offerte!$E$2:$E$81,MATCH($A6&amp;"|"&amp;$I6,Offerte!$L$2:$L$81,0)),0))</f>
        <v/>
      </c>
      <c r="N6" s="57">
        <f>IF($A6="","",IF(IFERROR(VALUE($D6),0)&lt;&gt;1,"NO",IF(AND(IFERROR(VALUE($J6),0)=1,IFERROR(VALUE($K6),0)=1,IFERROR(INDEX(Offerte!$G$2:$G$81,MATCH($A6&amp;"|"&amp;$H6,Offerte!$L$2:$L$81,0)),"NO")="SI",IFERROR(INDEX(Offerte!$G$2:$G$81,MATCH($A6&amp;"|"&amp;$I6,Offerte!$L$2:$L$81,0)),"NO")="SI",IFERROR(VALUE($F6),0)=1,IFERROR(VALUE($G6),0)=1,IFERROR(VALUE($E6),0)&gt;$U6),"SI","NO")))</f>
        <v/>
      </c>
      <c r="O6" s="57">
        <f>IF($N6="SI",IFERROR(30*(IFERROR(VALUE($E6),0)/MAX(SUMPRODUCT(MAX((Offerte!$C$2:$C$81=$H6)*(IFERROR(Offerte!$D$2:$D$81*1,0)=1)*(IFERROR(Offerte!$E$2:$E$81*1,0)&gt;=Parametri!$B$2)*IFERROR(Offerte!$F$2:$F$81*1,0))),SUMPRODUCT(MAX(($H$5:$H$80=$H6)*($N$5:$N$80="SI")*IFERROR($E$5:$E$80*1,0))),SUMPRODUCT(MAX(($I$5:$I$80=$H6)*($N$5:$N$80="SI")*IFERROR($E$5:$E$80*1,0))))),0),0)</f>
        <v/>
      </c>
      <c r="P6" s="57">
        <f>IF($N6="SI",IFERROR(30*(IFERROR(VALUE($E6),0)/MAX(SUMPRODUCT(MAX((Offerte!$C$2:$C$81=$I6)*(IFERROR(Offerte!$D$2:$D$81*1,0)=1)*(IFERROR(Offerte!$E$2:$E$81*1,0)&gt;=Parametri!$B$2)*IFERROR(Offerte!$F$2:$F$81*1,0))),SUMPRODUCT(MAX(($H$5:$H$80=$I6)*($N$5:$N$80="SI")*IFERROR($E$5:$E$80*1,0))),SUMPRODUCT(MAX(($I$5:$I$80=$I6)*($N$5:$N$80="SI")*IFERROR($E$5:$E$80*1,0))))),0),0)</f>
        <v/>
      </c>
      <c r="Q6" s="57">
        <f>IF($N6="SI",ROUND($L6+$M6+$O6+$P6,4),0)</f>
        <v/>
      </c>
      <c r="R6" s="57">
        <f>IF($A6="","",IF(IFERROR(VALUE($D6),0)&lt;&gt;1,"Non attiva",IF(OR(IFERROR(VALUE($J6),0)&lt;&gt;1,IFERROR(VALUE($K6),0)&lt;&gt;1),"Singoli non attivi",IF(OR(IFERROR(INDEX(Offerte!$G$2:$G$81,MATCH($A6&amp;"|"&amp;$H6,Offerte!$L$2:$L$81,0)),"NO")&lt;&gt;"SI",IFERROR(INDEX(Offerte!$G$2:$G$81,MATCH($A6&amp;"|"&amp;$I6,Offerte!$L$2:$L$81,0)),"NO")&lt;&gt;"SI"),"Soglia non superata",IF(OR(IFERROR(VALUE($F6),0)&lt;&gt;1,IFERROR(VALUE($G6),0)&lt;&gt;1),"Buste/PEF non confermati",IF(IFERROR(VALUE($E6),0)&lt;=$U6,"Ribasso non migliorativo",""))))))</f>
        <v/>
      </c>
      <c r="S6" s="57">
        <f>IF($H6="","",IFERROR(INDEX(Offerte!$F$2:$F$81,MATCH($A6&amp;"|"&amp;$H6,Offerte!$L$2:$L$81,0)),0))</f>
        <v/>
      </c>
      <c r="T6" s="57">
        <f>IF($I6="","",IFERROR(INDEX(Offerte!$F$2:$F$81,MATCH($A6&amp;"|"&amp;$I6,Offerte!$L$2:$L$81,0)),0))</f>
        <v/>
      </c>
      <c r="U6" s="57">
        <f>IF($A6="","",ROUND((IFERROR(VALUE($S6),0)+IFERROR(VALUE($T6),0))/2,4))</f>
        <v/>
      </c>
      <c r="V6" s="57">
        <f>IF($A6="","",$C6&amp;"|"&amp;TEXT($Q6,"0.0000"))</f>
        <v/>
      </c>
      <c r="W6" s="57">
        <f>IF($A6="","",$C6&amp;"|"&amp;$A6)</f>
        <v/>
      </c>
    </row>
    <row r="7">
      <c r="A7" s="73" t="inlineStr">
        <is>
          <t>B1</t>
        </is>
      </c>
      <c r="B7" s="73">
        <f>IF($A7="","",IFERROR(INDEX(Offerte!$B$2:$B$81,MATCH($A7,Offerte!$A$2:$A$81,0)),""))</f>
        <v/>
      </c>
      <c r="C7" s="73" t="inlineStr">
        <is>
          <t>L3+L4</t>
        </is>
      </c>
      <c r="D7" s="73" t="n">
        <v>0</v>
      </c>
      <c r="E7" s="73" t="n">
        <v>2.45</v>
      </c>
      <c r="F7" s="73" t="n">
        <v>1</v>
      </c>
      <c r="G7" s="73" t="n">
        <v>1</v>
      </c>
      <c r="H7" s="57">
        <f>IF($C7="L1+L2","L1",IF($C7="L2+L3","L2",IF($C7="L3+L4","L3",IF($C7="L1+L4","L1",""))))</f>
        <v/>
      </c>
      <c r="I7" s="57">
        <f>IF($C7="L1+L2","L2",IF($C7="L2+L3","L3",IF($C7="L3+L4","L4",IF($C7="L1+L4","L4",""))))</f>
        <v/>
      </c>
      <c r="J7" s="57">
        <f>IF($H7="","",IFERROR(INDEX(Offerte!$D$2:$D$81,MATCH($A7&amp;"|"&amp;$H7,Offerte!$L$2:$L$81,0)),0))</f>
        <v/>
      </c>
      <c r="K7" s="57">
        <f>IF($I7="","",IFERROR(INDEX(Offerte!$D$2:$D$81,MATCH($A7&amp;"|"&amp;$I7,Offerte!$L$2:$L$81,0)),0))</f>
        <v/>
      </c>
      <c r="L7" s="57">
        <f>IF($H7="","",IFERROR(INDEX(Offerte!$E$2:$E$81,MATCH($A7&amp;"|"&amp;$H7,Offerte!$L$2:$L$81,0)),0))</f>
        <v/>
      </c>
      <c r="M7" s="57">
        <f>IF($I7="","",IFERROR(INDEX(Offerte!$E$2:$E$81,MATCH($A7&amp;"|"&amp;$I7,Offerte!$L$2:$L$81,0)),0))</f>
        <v/>
      </c>
      <c r="N7" s="57">
        <f>IF($A7="","",IF(IFERROR(VALUE($D7),0)&lt;&gt;1,"NO",IF(AND(IFERROR(VALUE($J7),0)=1,IFERROR(VALUE($K7),0)=1,IFERROR(INDEX(Offerte!$G$2:$G$81,MATCH($A7&amp;"|"&amp;$H7,Offerte!$L$2:$L$81,0)),"NO")="SI",IFERROR(INDEX(Offerte!$G$2:$G$81,MATCH($A7&amp;"|"&amp;$I7,Offerte!$L$2:$L$81,0)),"NO")="SI",IFERROR(VALUE($F7),0)=1,IFERROR(VALUE($G7),0)=1,IFERROR(VALUE($E7),0)&gt;$U7),"SI","NO")))</f>
        <v/>
      </c>
      <c r="O7" s="57">
        <f>IF($N7="SI",IFERROR(30*(IFERROR(VALUE($E7),0)/MAX(SUMPRODUCT(MAX((Offerte!$C$2:$C$81=$H7)*(IFERROR(Offerte!$D$2:$D$81*1,0)=1)*(IFERROR(Offerte!$E$2:$E$81*1,0)&gt;=Parametri!$B$2)*IFERROR(Offerte!$F$2:$F$81*1,0))),SUMPRODUCT(MAX(($H$5:$H$80=$H7)*($N$5:$N$80="SI")*IFERROR($E$5:$E$80*1,0))),SUMPRODUCT(MAX(($I$5:$I$80=$H7)*($N$5:$N$80="SI")*IFERROR($E$5:$E$80*1,0))))),0),0)</f>
        <v/>
      </c>
      <c r="P7" s="57">
        <f>IF($N7="SI",IFERROR(30*(IFERROR(VALUE($E7),0)/MAX(SUMPRODUCT(MAX((Offerte!$C$2:$C$81=$I7)*(IFERROR(Offerte!$D$2:$D$81*1,0)=1)*(IFERROR(Offerte!$E$2:$E$81*1,0)&gt;=Parametri!$B$2)*IFERROR(Offerte!$F$2:$F$81*1,0))),SUMPRODUCT(MAX(($H$5:$H$80=$I7)*($N$5:$N$80="SI")*IFERROR($E$5:$E$80*1,0))),SUMPRODUCT(MAX(($I$5:$I$80=$I7)*($N$5:$N$80="SI")*IFERROR($E$5:$E$80*1,0))))),0),0)</f>
        <v/>
      </c>
      <c r="Q7" s="57">
        <f>IF($N7="SI",ROUND($L7+$M7+$O7+$P7,4),0)</f>
        <v/>
      </c>
      <c r="R7" s="57">
        <f>IF($A7="","",IF(IFERROR(VALUE($D7),0)&lt;&gt;1,"Non attiva",IF(OR(IFERROR(VALUE($J7),0)&lt;&gt;1,IFERROR(VALUE($K7),0)&lt;&gt;1),"Singoli non attivi",IF(OR(IFERROR(INDEX(Offerte!$G$2:$G$81,MATCH($A7&amp;"|"&amp;$H7,Offerte!$L$2:$L$81,0)),"NO")&lt;&gt;"SI",IFERROR(INDEX(Offerte!$G$2:$G$81,MATCH($A7&amp;"|"&amp;$I7,Offerte!$L$2:$L$81,0)),"NO")&lt;&gt;"SI"),"Soglia non superata",IF(OR(IFERROR(VALUE($F7),0)&lt;&gt;1,IFERROR(VALUE($G7),0)&lt;&gt;1),"Buste/PEF non confermati",IF(IFERROR(VALUE($E7),0)&lt;=$U7,"Ribasso non migliorativo",""))))))</f>
        <v/>
      </c>
      <c r="S7" s="57">
        <f>IF($H7="","",IFERROR(INDEX(Offerte!$F$2:$F$81,MATCH($A7&amp;"|"&amp;$H7,Offerte!$L$2:$L$81,0)),0))</f>
        <v/>
      </c>
      <c r="T7" s="57">
        <f>IF($I7="","",IFERROR(INDEX(Offerte!$F$2:$F$81,MATCH($A7&amp;"|"&amp;$I7,Offerte!$L$2:$L$81,0)),0))</f>
        <v/>
      </c>
      <c r="U7" s="57">
        <f>IF($A7="","",ROUND((IFERROR(VALUE($S7),0)+IFERROR(VALUE($T7),0))/2,4))</f>
        <v/>
      </c>
      <c r="V7" s="57">
        <f>IF($A7="","",$C7&amp;"|"&amp;TEXT($Q7,"0.0000"))</f>
        <v/>
      </c>
      <c r="W7" s="57">
        <f>IF($A7="","",$C7&amp;"|"&amp;$A7)</f>
        <v/>
      </c>
    </row>
    <row r="8">
      <c r="A8" s="73" t="inlineStr">
        <is>
          <t>B1</t>
        </is>
      </c>
      <c r="B8" s="73">
        <f>IF($A8="","",IFERROR(INDEX(Offerte!$B$2:$B$81,MATCH($A8,Offerte!$A$2:$A$81,0)),""))</f>
        <v/>
      </c>
      <c r="C8" s="73" t="inlineStr">
        <is>
          <t>L1+L4</t>
        </is>
      </c>
      <c r="D8" s="73" t="n">
        <v>0</v>
      </c>
      <c r="E8" s="73" t="n">
        <v>5.5</v>
      </c>
      <c r="F8" s="73" t="n">
        <v>1</v>
      </c>
      <c r="G8" s="73" t="n">
        <v>1</v>
      </c>
      <c r="H8" s="57">
        <f>IF($C8="L1+L2","L1",IF($C8="L2+L3","L2",IF($C8="L3+L4","L3",IF($C8="L1+L4","L1",""))))</f>
        <v/>
      </c>
      <c r="I8" s="57">
        <f>IF($C8="L1+L2","L2",IF($C8="L2+L3","L3",IF($C8="L3+L4","L4",IF($C8="L1+L4","L4",""))))</f>
        <v/>
      </c>
      <c r="J8" s="57">
        <f>IF($H8="","",IFERROR(INDEX(Offerte!$D$2:$D$81,MATCH($A8&amp;"|"&amp;$H8,Offerte!$L$2:$L$81,0)),0))</f>
        <v/>
      </c>
      <c r="K8" s="57">
        <f>IF($I8="","",IFERROR(INDEX(Offerte!$D$2:$D$81,MATCH($A8&amp;"|"&amp;$I8,Offerte!$L$2:$L$81,0)),0))</f>
        <v/>
      </c>
      <c r="L8" s="57">
        <f>IF($H8="","",IFERROR(INDEX(Offerte!$E$2:$E$81,MATCH($A8&amp;"|"&amp;$H8,Offerte!$L$2:$L$81,0)),0))</f>
        <v/>
      </c>
      <c r="M8" s="57">
        <f>IF($I8="","",IFERROR(INDEX(Offerte!$E$2:$E$81,MATCH($A8&amp;"|"&amp;$I8,Offerte!$L$2:$L$81,0)),0))</f>
        <v/>
      </c>
      <c r="N8" s="57">
        <f>IF($A8="","",IF(IFERROR(VALUE($D8),0)&lt;&gt;1,"NO",IF(AND(IFERROR(VALUE($J8),0)=1,IFERROR(VALUE($K8),0)=1,IFERROR(INDEX(Offerte!$G$2:$G$81,MATCH($A8&amp;"|"&amp;$H8,Offerte!$L$2:$L$81,0)),"NO")="SI",IFERROR(INDEX(Offerte!$G$2:$G$81,MATCH($A8&amp;"|"&amp;$I8,Offerte!$L$2:$L$81,0)),"NO")="SI",IFERROR(VALUE($F8),0)=1,IFERROR(VALUE($G8),0)=1,IFERROR(VALUE($E8),0)&gt;$U8),"SI","NO")))</f>
        <v/>
      </c>
      <c r="O8" s="57">
        <f>IF($N8="SI",IFERROR(30*(IFERROR(VALUE($E8),0)/MAX(SUMPRODUCT(MAX((Offerte!$C$2:$C$81=$H8)*(IFERROR(Offerte!$D$2:$D$81*1,0)=1)*(IFERROR(Offerte!$E$2:$E$81*1,0)&gt;=Parametri!$B$2)*IFERROR(Offerte!$F$2:$F$81*1,0))),SUMPRODUCT(MAX(($H$5:$H$80=$H8)*($N$5:$N$80="SI")*IFERROR($E$5:$E$80*1,0))),SUMPRODUCT(MAX(($I$5:$I$80=$H8)*($N$5:$N$80="SI")*IFERROR($E$5:$E$80*1,0))))),0),0)</f>
        <v/>
      </c>
      <c r="P8" s="57">
        <f>IF($N8="SI",IFERROR(30*(IFERROR(VALUE($E8),0)/MAX(SUMPRODUCT(MAX((Offerte!$C$2:$C$81=$I8)*(IFERROR(Offerte!$D$2:$D$81*1,0)=1)*(IFERROR(Offerte!$E$2:$E$81*1,0)&gt;=Parametri!$B$2)*IFERROR(Offerte!$F$2:$F$81*1,0))),SUMPRODUCT(MAX(($H$5:$H$80=$I8)*($N$5:$N$80="SI")*IFERROR($E$5:$E$80*1,0))),SUMPRODUCT(MAX(($I$5:$I$80=$I8)*($N$5:$N$80="SI")*IFERROR($E$5:$E$80*1,0))))),0),0)</f>
        <v/>
      </c>
      <c r="Q8" s="57">
        <f>IF($N8="SI",ROUND($L8+$M8+$O8+$P8,4),0)</f>
        <v/>
      </c>
      <c r="R8" s="57">
        <f>IF($A8="","",IF(IFERROR(VALUE($D8),0)&lt;&gt;1,"Non attiva",IF(OR(IFERROR(VALUE($J8),0)&lt;&gt;1,IFERROR(VALUE($K8),0)&lt;&gt;1),"Singoli non attivi",IF(OR(IFERROR(INDEX(Offerte!$G$2:$G$81,MATCH($A8&amp;"|"&amp;$H8,Offerte!$L$2:$L$81,0)),"NO")&lt;&gt;"SI",IFERROR(INDEX(Offerte!$G$2:$G$81,MATCH($A8&amp;"|"&amp;$I8,Offerte!$L$2:$L$81,0)),"NO")&lt;&gt;"SI"),"Soglia non superata",IF(OR(IFERROR(VALUE($F8),0)&lt;&gt;1,IFERROR(VALUE($G8),0)&lt;&gt;1),"Buste/PEF non confermati",IF(IFERROR(VALUE($E8),0)&lt;=$U8,"Ribasso non migliorativo",""))))))</f>
        <v/>
      </c>
      <c r="S8" s="57">
        <f>IF($H8="","",IFERROR(INDEX(Offerte!$F$2:$F$81,MATCH($A8&amp;"|"&amp;$H8,Offerte!$L$2:$L$81,0)),0))</f>
        <v/>
      </c>
      <c r="T8" s="57">
        <f>IF($I8="","",IFERROR(INDEX(Offerte!$F$2:$F$81,MATCH($A8&amp;"|"&amp;$I8,Offerte!$L$2:$L$81,0)),0))</f>
        <v/>
      </c>
      <c r="U8" s="57">
        <f>IF($A8="","",ROUND((IFERROR(VALUE($S8),0)+IFERROR(VALUE($T8),0))/2,4))</f>
        <v/>
      </c>
      <c r="V8" s="57">
        <f>IF($A8="","",$C8&amp;"|"&amp;TEXT($Q8,"0.0000"))</f>
        <v/>
      </c>
      <c r="W8" s="57">
        <f>IF($A8="","",$C8&amp;"|"&amp;$A8)</f>
        <v/>
      </c>
    </row>
    <row r="9">
      <c r="A9" s="73" t="inlineStr">
        <is>
          <t>B2</t>
        </is>
      </c>
      <c r="B9" s="73">
        <f>IF($A9="","",IFERROR(INDEX(Offerte!$B$2:$B$81,MATCH($A9,Offerte!$A$2:$A$81,0)),""))</f>
        <v/>
      </c>
      <c r="C9" s="73" t="inlineStr">
        <is>
          <t>L1+L2</t>
        </is>
      </c>
      <c r="D9" s="73" t="n">
        <v>0</v>
      </c>
      <c r="E9" s="73" t="n">
        <v>6.2</v>
      </c>
      <c r="F9" s="73" t="n">
        <v>1</v>
      </c>
      <c r="G9" s="73" t="n">
        <v>1</v>
      </c>
      <c r="H9" s="57">
        <f>IF($C9="L1+L2","L1",IF($C9="L2+L3","L2",IF($C9="L3+L4","L3",IF($C9="L1+L4","L1",""))))</f>
        <v/>
      </c>
      <c r="I9" s="57">
        <f>IF($C9="L1+L2","L2",IF($C9="L2+L3","L3",IF($C9="L3+L4","L4",IF($C9="L1+L4","L4",""))))</f>
        <v/>
      </c>
      <c r="J9" s="57">
        <f>IF($H9="","",IFERROR(INDEX(Offerte!$D$2:$D$81,MATCH($A9&amp;"|"&amp;$H9,Offerte!$L$2:$L$81,0)),0))</f>
        <v/>
      </c>
      <c r="K9" s="57">
        <f>IF($I9="","",IFERROR(INDEX(Offerte!$D$2:$D$81,MATCH($A9&amp;"|"&amp;$I9,Offerte!$L$2:$L$81,0)),0))</f>
        <v/>
      </c>
      <c r="L9" s="57">
        <f>IF($H9="","",IFERROR(INDEX(Offerte!$E$2:$E$81,MATCH($A9&amp;"|"&amp;$H9,Offerte!$L$2:$L$81,0)),0))</f>
        <v/>
      </c>
      <c r="M9" s="57">
        <f>IF($I9="","",IFERROR(INDEX(Offerte!$E$2:$E$81,MATCH($A9&amp;"|"&amp;$I9,Offerte!$L$2:$L$81,0)),0))</f>
        <v/>
      </c>
      <c r="N9" s="57">
        <f>IF($A9="","",IF(IFERROR(VALUE($D9),0)&lt;&gt;1,"NO",IF(AND(IFERROR(VALUE($J9),0)=1,IFERROR(VALUE($K9),0)=1,IFERROR(INDEX(Offerte!$G$2:$G$81,MATCH($A9&amp;"|"&amp;$H9,Offerte!$L$2:$L$81,0)),"NO")="SI",IFERROR(INDEX(Offerte!$G$2:$G$81,MATCH($A9&amp;"|"&amp;$I9,Offerte!$L$2:$L$81,0)),"NO")="SI",IFERROR(VALUE($F9),0)=1,IFERROR(VALUE($G9),0)=1,IFERROR(VALUE($E9),0)&gt;$U9),"SI","NO")))</f>
        <v/>
      </c>
      <c r="O9" s="57">
        <f>IF($N9="SI",IFERROR(30*(IFERROR(VALUE($E9),0)/MAX(SUMPRODUCT(MAX((Offerte!$C$2:$C$81=$H9)*(IFERROR(Offerte!$D$2:$D$81*1,0)=1)*(IFERROR(Offerte!$E$2:$E$81*1,0)&gt;=Parametri!$B$2)*IFERROR(Offerte!$F$2:$F$81*1,0))),SUMPRODUCT(MAX(($H$5:$H$80=$H9)*($N$5:$N$80="SI")*IFERROR($E$5:$E$80*1,0))),SUMPRODUCT(MAX(($I$5:$I$80=$H9)*($N$5:$N$80="SI")*IFERROR($E$5:$E$80*1,0))))),0),0)</f>
        <v/>
      </c>
      <c r="P9" s="57">
        <f>IF($N9="SI",IFERROR(30*(IFERROR(VALUE($E9),0)/MAX(SUMPRODUCT(MAX((Offerte!$C$2:$C$81=$I9)*(IFERROR(Offerte!$D$2:$D$81*1,0)=1)*(IFERROR(Offerte!$E$2:$E$81*1,0)&gt;=Parametri!$B$2)*IFERROR(Offerte!$F$2:$F$81*1,0))),SUMPRODUCT(MAX(($H$5:$H$80=$I9)*($N$5:$N$80="SI")*IFERROR($E$5:$E$80*1,0))),SUMPRODUCT(MAX(($I$5:$I$80=$I9)*($N$5:$N$80="SI")*IFERROR($E$5:$E$80*1,0))))),0),0)</f>
        <v/>
      </c>
      <c r="Q9" s="57">
        <f>IF($N9="SI",ROUND($L9+$M9+$O9+$P9,4),0)</f>
        <v/>
      </c>
      <c r="R9" s="57">
        <f>IF($A9="","",IF(IFERROR(VALUE($D9),0)&lt;&gt;1,"Non attiva",IF(OR(IFERROR(VALUE($J9),0)&lt;&gt;1,IFERROR(VALUE($K9),0)&lt;&gt;1),"Singoli non attivi",IF(OR(IFERROR(INDEX(Offerte!$G$2:$G$81,MATCH($A9&amp;"|"&amp;$H9,Offerte!$L$2:$L$81,0)),"NO")&lt;&gt;"SI",IFERROR(INDEX(Offerte!$G$2:$G$81,MATCH($A9&amp;"|"&amp;$I9,Offerte!$L$2:$L$81,0)),"NO")&lt;&gt;"SI"),"Soglia non superata",IF(OR(IFERROR(VALUE($F9),0)&lt;&gt;1,IFERROR(VALUE($G9),0)&lt;&gt;1),"Buste/PEF non confermati",IF(IFERROR(VALUE($E9),0)&lt;=$U9,"Ribasso non migliorativo",""))))))</f>
        <v/>
      </c>
      <c r="S9" s="57">
        <f>IF($H9="","",IFERROR(INDEX(Offerte!$F$2:$F$81,MATCH($A9&amp;"|"&amp;$H9,Offerte!$L$2:$L$81,0)),0))</f>
        <v/>
      </c>
      <c r="T9" s="57">
        <f>IF($I9="","",IFERROR(INDEX(Offerte!$F$2:$F$81,MATCH($A9&amp;"|"&amp;$I9,Offerte!$L$2:$L$81,0)),0))</f>
        <v/>
      </c>
      <c r="U9" s="57">
        <f>IF($A9="","",ROUND((IFERROR(VALUE($S9),0)+IFERROR(VALUE($T9),0))/2,4))</f>
        <v/>
      </c>
      <c r="V9" s="57">
        <f>IF($A9="","",$C9&amp;"|"&amp;TEXT($Q9,"0.0000"))</f>
        <v/>
      </c>
      <c r="W9" s="57">
        <f>IF($A9="","",$C9&amp;"|"&amp;$A9)</f>
        <v/>
      </c>
    </row>
    <row r="10">
      <c r="A10" s="73" t="inlineStr">
        <is>
          <t>B2</t>
        </is>
      </c>
      <c r="B10" s="73">
        <f>IF($A10="","",IFERROR(INDEX(Offerte!$B$2:$B$81,MATCH($A10,Offerte!$A$2:$A$81,0)),""))</f>
        <v/>
      </c>
      <c r="C10" s="73" t="inlineStr">
        <is>
          <t>L2+L3</t>
        </is>
      </c>
      <c r="D10" s="73" t="n">
        <v>0</v>
      </c>
      <c r="E10" s="73" t="n">
        <v>5.55</v>
      </c>
      <c r="F10" s="73" t="n">
        <v>1</v>
      </c>
      <c r="G10" s="73" t="n">
        <v>1</v>
      </c>
      <c r="H10" s="57">
        <f>IF($C10="L1+L2","L1",IF($C10="L2+L3","L2",IF($C10="L3+L4","L3",IF($C10="L1+L4","L1",""))))</f>
        <v/>
      </c>
      <c r="I10" s="57">
        <f>IF($C10="L1+L2","L2",IF($C10="L2+L3","L3",IF($C10="L3+L4","L4",IF($C10="L1+L4","L4",""))))</f>
        <v/>
      </c>
      <c r="J10" s="57">
        <f>IF($H10="","",IFERROR(INDEX(Offerte!$D$2:$D$81,MATCH($A10&amp;"|"&amp;$H10,Offerte!$L$2:$L$81,0)),0))</f>
        <v/>
      </c>
      <c r="K10" s="57">
        <f>IF($I10="","",IFERROR(INDEX(Offerte!$D$2:$D$81,MATCH($A10&amp;"|"&amp;$I10,Offerte!$L$2:$L$81,0)),0))</f>
        <v/>
      </c>
      <c r="L10" s="57">
        <f>IF($H10="","",IFERROR(INDEX(Offerte!$E$2:$E$81,MATCH($A10&amp;"|"&amp;$H10,Offerte!$L$2:$L$81,0)),0))</f>
        <v/>
      </c>
      <c r="M10" s="57">
        <f>IF($I10="","",IFERROR(INDEX(Offerte!$E$2:$E$81,MATCH($A10&amp;"|"&amp;$I10,Offerte!$L$2:$L$81,0)),0))</f>
        <v/>
      </c>
      <c r="N10" s="57">
        <f>IF($A10="","",IF(IFERROR(VALUE($D10),0)&lt;&gt;1,"NO",IF(AND(IFERROR(VALUE($J10),0)=1,IFERROR(VALUE($K10),0)=1,IFERROR(INDEX(Offerte!$G$2:$G$81,MATCH($A10&amp;"|"&amp;$H10,Offerte!$L$2:$L$81,0)),"NO")="SI",IFERROR(INDEX(Offerte!$G$2:$G$81,MATCH($A10&amp;"|"&amp;$I10,Offerte!$L$2:$L$81,0)),"NO")="SI",IFERROR(VALUE($F10),0)=1,IFERROR(VALUE($G10),0)=1,IFERROR(VALUE($E10),0)&gt;$U10),"SI","NO")))</f>
        <v/>
      </c>
      <c r="O10" s="57">
        <f>IF($N10="SI",IFERROR(30*(IFERROR(VALUE($E10),0)/MAX(SUMPRODUCT(MAX((Offerte!$C$2:$C$81=$H10)*(IFERROR(Offerte!$D$2:$D$81*1,0)=1)*(IFERROR(Offerte!$E$2:$E$81*1,0)&gt;=Parametri!$B$2)*IFERROR(Offerte!$F$2:$F$81*1,0))),SUMPRODUCT(MAX(($H$5:$H$80=$H10)*($N$5:$N$80="SI")*IFERROR($E$5:$E$80*1,0))),SUMPRODUCT(MAX(($I$5:$I$80=$H10)*($N$5:$N$80="SI")*IFERROR($E$5:$E$80*1,0))))),0),0)</f>
        <v/>
      </c>
      <c r="P10" s="57">
        <f>IF($N10="SI",IFERROR(30*(IFERROR(VALUE($E10),0)/MAX(SUMPRODUCT(MAX((Offerte!$C$2:$C$81=$I10)*(IFERROR(Offerte!$D$2:$D$81*1,0)=1)*(IFERROR(Offerte!$E$2:$E$81*1,0)&gt;=Parametri!$B$2)*IFERROR(Offerte!$F$2:$F$81*1,0))),SUMPRODUCT(MAX(($H$5:$H$80=$I10)*($N$5:$N$80="SI")*IFERROR($E$5:$E$80*1,0))),SUMPRODUCT(MAX(($I$5:$I$80=$I10)*($N$5:$N$80="SI")*IFERROR($E$5:$E$80*1,0))))),0),0)</f>
        <v/>
      </c>
      <c r="Q10" s="57">
        <f>IF($N10="SI",ROUND($L10+$M10+$O10+$P10,4),0)</f>
        <v/>
      </c>
      <c r="R10" s="57">
        <f>IF($A10="","",IF(IFERROR(VALUE($D10),0)&lt;&gt;1,"Non attiva",IF(OR(IFERROR(VALUE($J10),0)&lt;&gt;1,IFERROR(VALUE($K10),0)&lt;&gt;1),"Singoli non attivi",IF(OR(IFERROR(INDEX(Offerte!$G$2:$G$81,MATCH($A10&amp;"|"&amp;$H10,Offerte!$L$2:$L$81,0)),"NO")&lt;&gt;"SI",IFERROR(INDEX(Offerte!$G$2:$G$81,MATCH($A10&amp;"|"&amp;$I10,Offerte!$L$2:$L$81,0)),"NO")&lt;&gt;"SI"),"Soglia non superata",IF(OR(IFERROR(VALUE($F10),0)&lt;&gt;1,IFERROR(VALUE($G10),0)&lt;&gt;1),"Buste/PEF non confermati",IF(IFERROR(VALUE($E10),0)&lt;=$U10,"Ribasso non migliorativo",""))))))</f>
        <v/>
      </c>
      <c r="S10" s="57">
        <f>IF($H10="","",IFERROR(INDEX(Offerte!$F$2:$F$81,MATCH($A10&amp;"|"&amp;$H10,Offerte!$L$2:$L$81,0)),0))</f>
        <v/>
      </c>
      <c r="T10" s="57">
        <f>IF($I10="","",IFERROR(INDEX(Offerte!$F$2:$F$81,MATCH($A10&amp;"|"&amp;$I10,Offerte!$L$2:$L$81,0)),0))</f>
        <v/>
      </c>
      <c r="U10" s="57">
        <f>IF($A10="","",ROUND((IFERROR(VALUE($S10),0)+IFERROR(VALUE($T10),0))/2,4))</f>
        <v/>
      </c>
      <c r="V10" s="57">
        <f>IF($A10="","",$C10&amp;"|"&amp;TEXT($Q10,"0.0000"))</f>
        <v/>
      </c>
      <c r="W10" s="57">
        <f>IF($A10="","",$C10&amp;"|"&amp;$A10)</f>
        <v/>
      </c>
    </row>
    <row r="11">
      <c r="A11" s="73" t="inlineStr">
        <is>
          <t>B2</t>
        </is>
      </c>
      <c r="B11" s="73">
        <f>IF($A11="","",IFERROR(INDEX(Offerte!$B$2:$B$81,MATCH($A11,Offerte!$A$2:$A$81,0)),""))</f>
        <v/>
      </c>
      <c r="C11" s="73" t="inlineStr">
        <is>
          <t>L3+L4</t>
        </is>
      </c>
      <c r="D11" s="73" t="n">
        <v>0</v>
      </c>
      <c r="E11" s="73" t="n">
        <v>5.1</v>
      </c>
      <c r="F11" s="73" t="n">
        <v>1</v>
      </c>
      <c r="G11" s="73" t="n">
        <v>1</v>
      </c>
      <c r="H11" s="57">
        <f>IF($C11="L1+L2","L1",IF($C11="L2+L3","L2",IF($C11="L3+L4","L3",IF($C11="L1+L4","L1",""))))</f>
        <v/>
      </c>
      <c r="I11" s="57">
        <f>IF($C11="L1+L2","L2",IF($C11="L2+L3","L3",IF($C11="L3+L4","L4",IF($C11="L1+L4","L4",""))))</f>
        <v/>
      </c>
      <c r="J11" s="57">
        <f>IF($H11="","",IFERROR(INDEX(Offerte!$D$2:$D$81,MATCH($A11&amp;"|"&amp;$H11,Offerte!$L$2:$L$81,0)),0))</f>
        <v/>
      </c>
      <c r="K11" s="57">
        <f>IF($I11="","",IFERROR(INDEX(Offerte!$D$2:$D$81,MATCH($A11&amp;"|"&amp;$I11,Offerte!$L$2:$L$81,0)),0))</f>
        <v/>
      </c>
      <c r="L11" s="57">
        <f>IF($H11="","",IFERROR(INDEX(Offerte!$E$2:$E$81,MATCH($A11&amp;"|"&amp;$H11,Offerte!$L$2:$L$81,0)),0))</f>
        <v/>
      </c>
      <c r="M11" s="57">
        <f>IF($I11="","",IFERROR(INDEX(Offerte!$E$2:$E$81,MATCH($A11&amp;"|"&amp;$I11,Offerte!$L$2:$L$81,0)),0))</f>
        <v/>
      </c>
      <c r="N11" s="57">
        <f>IF($A11="","",IF(IFERROR(VALUE($D11),0)&lt;&gt;1,"NO",IF(AND(IFERROR(VALUE($J11),0)=1,IFERROR(VALUE($K11),0)=1,IFERROR(INDEX(Offerte!$G$2:$G$81,MATCH($A11&amp;"|"&amp;$H11,Offerte!$L$2:$L$81,0)),"NO")="SI",IFERROR(INDEX(Offerte!$G$2:$G$81,MATCH($A11&amp;"|"&amp;$I11,Offerte!$L$2:$L$81,0)),"NO")="SI",IFERROR(VALUE($F11),0)=1,IFERROR(VALUE($G11),0)=1,IFERROR(VALUE($E11),0)&gt;$U11),"SI","NO")))</f>
        <v/>
      </c>
      <c r="O11" s="57">
        <f>IF($N11="SI",IFERROR(30*(IFERROR(VALUE($E11),0)/MAX(SUMPRODUCT(MAX((Offerte!$C$2:$C$81=$H11)*(IFERROR(Offerte!$D$2:$D$81*1,0)=1)*(IFERROR(Offerte!$E$2:$E$81*1,0)&gt;=Parametri!$B$2)*IFERROR(Offerte!$F$2:$F$81*1,0))),SUMPRODUCT(MAX(($H$5:$H$80=$H11)*($N$5:$N$80="SI")*IFERROR($E$5:$E$80*1,0))),SUMPRODUCT(MAX(($I$5:$I$80=$H11)*($N$5:$N$80="SI")*IFERROR($E$5:$E$80*1,0))))),0),0)</f>
        <v/>
      </c>
      <c r="P11" s="57">
        <f>IF($N11="SI",IFERROR(30*(IFERROR(VALUE($E11),0)/MAX(SUMPRODUCT(MAX((Offerte!$C$2:$C$81=$I11)*(IFERROR(Offerte!$D$2:$D$81*1,0)=1)*(IFERROR(Offerte!$E$2:$E$81*1,0)&gt;=Parametri!$B$2)*IFERROR(Offerte!$F$2:$F$81*1,0))),SUMPRODUCT(MAX(($H$5:$H$80=$I11)*($N$5:$N$80="SI")*IFERROR($E$5:$E$80*1,0))),SUMPRODUCT(MAX(($I$5:$I$80=$I11)*($N$5:$N$80="SI")*IFERROR($E$5:$E$80*1,0))))),0),0)</f>
        <v/>
      </c>
      <c r="Q11" s="57">
        <f>IF($N11="SI",ROUND($L11+$M11+$O11+$P11,4),0)</f>
        <v/>
      </c>
      <c r="R11" s="57">
        <f>IF($A11="","",IF(IFERROR(VALUE($D11),0)&lt;&gt;1,"Non attiva",IF(OR(IFERROR(VALUE($J11),0)&lt;&gt;1,IFERROR(VALUE($K11),0)&lt;&gt;1),"Singoli non attivi",IF(OR(IFERROR(INDEX(Offerte!$G$2:$G$81,MATCH($A11&amp;"|"&amp;$H11,Offerte!$L$2:$L$81,0)),"NO")&lt;&gt;"SI",IFERROR(INDEX(Offerte!$G$2:$G$81,MATCH($A11&amp;"|"&amp;$I11,Offerte!$L$2:$L$81,0)),"NO")&lt;&gt;"SI"),"Soglia non superata",IF(OR(IFERROR(VALUE($F11),0)&lt;&gt;1,IFERROR(VALUE($G11),0)&lt;&gt;1),"Buste/PEF non confermati",IF(IFERROR(VALUE($E11),0)&lt;=$U11,"Ribasso non migliorativo",""))))))</f>
        <v/>
      </c>
      <c r="S11" s="57">
        <f>IF($H11="","",IFERROR(INDEX(Offerte!$F$2:$F$81,MATCH($A11&amp;"|"&amp;$H11,Offerte!$L$2:$L$81,0)),0))</f>
        <v/>
      </c>
      <c r="T11" s="57">
        <f>IF($I11="","",IFERROR(INDEX(Offerte!$F$2:$F$81,MATCH($A11&amp;"|"&amp;$I11,Offerte!$L$2:$L$81,0)),0))</f>
        <v/>
      </c>
      <c r="U11" s="57">
        <f>IF($A11="","",ROUND((IFERROR(VALUE($S11),0)+IFERROR(VALUE($T11),0))/2,4))</f>
        <v/>
      </c>
      <c r="V11" s="57">
        <f>IF($A11="","",$C11&amp;"|"&amp;TEXT($Q11,"0.0000"))</f>
        <v/>
      </c>
      <c r="W11" s="57">
        <f>IF($A11="","",$C11&amp;"|"&amp;$A11)</f>
        <v/>
      </c>
    </row>
    <row r="12">
      <c r="A12" s="73" t="inlineStr">
        <is>
          <t>B2</t>
        </is>
      </c>
      <c r="B12" s="73">
        <f>IF($A12="","",IFERROR(INDEX(Offerte!$B$2:$B$81,MATCH($A12,Offerte!$A$2:$A$81,0)),""))</f>
        <v/>
      </c>
      <c r="C12" s="73" t="inlineStr">
        <is>
          <t>L1+L4</t>
        </is>
      </c>
      <c r="D12" s="73" t="n">
        <v>0</v>
      </c>
      <c r="E12" s="73" t="n">
        <v>5.75</v>
      </c>
      <c r="F12" s="73" t="n">
        <v>1</v>
      </c>
      <c r="G12" s="73" t="n">
        <v>1</v>
      </c>
      <c r="H12" s="57">
        <f>IF($C12="L1+L2","L1",IF($C12="L2+L3","L2",IF($C12="L3+L4","L3",IF($C12="L1+L4","L1",""))))</f>
        <v/>
      </c>
      <c r="I12" s="57">
        <f>IF($C12="L1+L2","L2",IF($C12="L2+L3","L3",IF($C12="L3+L4","L4",IF($C12="L1+L4","L4",""))))</f>
        <v/>
      </c>
      <c r="J12" s="57">
        <f>IF($H12="","",IFERROR(INDEX(Offerte!$D$2:$D$81,MATCH($A12&amp;"|"&amp;$H12,Offerte!$L$2:$L$81,0)),0))</f>
        <v/>
      </c>
      <c r="K12" s="57">
        <f>IF($I12="","",IFERROR(INDEX(Offerte!$D$2:$D$81,MATCH($A12&amp;"|"&amp;$I12,Offerte!$L$2:$L$81,0)),0))</f>
        <v/>
      </c>
      <c r="L12" s="57">
        <f>IF($H12="","",IFERROR(INDEX(Offerte!$E$2:$E$81,MATCH($A12&amp;"|"&amp;$H12,Offerte!$L$2:$L$81,0)),0))</f>
        <v/>
      </c>
      <c r="M12" s="57">
        <f>IF($I12="","",IFERROR(INDEX(Offerte!$E$2:$E$81,MATCH($A12&amp;"|"&amp;$I12,Offerte!$L$2:$L$81,0)),0))</f>
        <v/>
      </c>
      <c r="N12" s="57">
        <f>IF($A12="","",IF(IFERROR(VALUE($D12),0)&lt;&gt;1,"NO",IF(AND(IFERROR(VALUE($J12),0)=1,IFERROR(VALUE($K12),0)=1,IFERROR(INDEX(Offerte!$G$2:$G$81,MATCH($A12&amp;"|"&amp;$H12,Offerte!$L$2:$L$81,0)),"NO")="SI",IFERROR(INDEX(Offerte!$G$2:$G$81,MATCH($A12&amp;"|"&amp;$I12,Offerte!$L$2:$L$81,0)),"NO")="SI",IFERROR(VALUE($F12),0)=1,IFERROR(VALUE($G12),0)=1,IFERROR(VALUE($E12),0)&gt;$U12),"SI","NO")))</f>
        <v/>
      </c>
      <c r="O12" s="57">
        <f>IF($N12="SI",IFERROR(30*(IFERROR(VALUE($E12),0)/MAX(SUMPRODUCT(MAX((Offerte!$C$2:$C$81=$H12)*(IFERROR(Offerte!$D$2:$D$81*1,0)=1)*(IFERROR(Offerte!$E$2:$E$81*1,0)&gt;=Parametri!$B$2)*IFERROR(Offerte!$F$2:$F$81*1,0))),SUMPRODUCT(MAX(($H$5:$H$80=$H12)*($N$5:$N$80="SI")*IFERROR($E$5:$E$80*1,0))),SUMPRODUCT(MAX(($I$5:$I$80=$H12)*($N$5:$N$80="SI")*IFERROR($E$5:$E$80*1,0))))),0),0)</f>
        <v/>
      </c>
      <c r="P12" s="57">
        <f>IF($N12="SI",IFERROR(30*(IFERROR(VALUE($E12),0)/MAX(SUMPRODUCT(MAX((Offerte!$C$2:$C$81=$I12)*(IFERROR(Offerte!$D$2:$D$81*1,0)=1)*(IFERROR(Offerte!$E$2:$E$81*1,0)&gt;=Parametri!$B$2)*IFERROR(Offerte!$F$2:$F$81*1,0))),SUMPRODUCT(MAX(($H$5:$H$80=$I12)*($N$5:$N$80="SI")*IFERROR($E$5:$E$80*1,0))),SUMPRODUCT(MAX(($I$5:$I$80=$I12)*($N$5:$N$80="SI")*IFERROR($E$5:$E$80*1,0))))),0),0)</f>
        <v/>
      </c>
      <c r="Q12" s="57">
        <f>IF($N12="SI",ROUND($L12+$M12+$O12+$P12,4),0)</f>
        <v/>
      </c>
      <c r="R12" s="57">
        <f>IF($A12="","",IF(IFERROR(VALUE($D12),0)&lt;&gt;1,"Non attiva",IF(OR(IFERROR(VALUE($J12),0)&lt;&gt;1,IFERROR(VALUE($K12),0)&lt;&gt;1),"Singoli non attivi",IF(OR(IFERROR(INDEX(Offerte!$G$2:$G$81,MATCH($A12&amp;"|"&amp;$H12,Offerte!$L$2:$L$81,0)),"NO")&lt;&gt;"SI",IFERROR(INDEX(Offerte!$G$2:$G$81,MATCH($A12&amp;"|"&amp;$I12,Offerte!$L$2:$L$81,0)),"NO")&lt;&gt;"SI"),"Soglia non superata",IF(OR(IFERROR(VALUE($F12),0)&lt;&gt;1,IFERROR(VALUE($G12),0)&lt;&gt;1),"Buste/PEF non confermati",IF(IFERROR(VALUE($E12),0)&lt;=$U12,"Ribasso non migliorativo",""))))))</f>
        <v/>
      </c>
      <c r="S12" s="57">
        <f>IF($H12="","",IFERROR(INDEX(Offerte!$F$2:$F$81,MATCH($A12&amp;"|"&amp;$H12,Offerte!$L$2:$L$81,0)),0))</f>
        <v/>
      </c>
      <c r="T12" s="57">
        <f>IF($I12="","",IFERROR(INDEX(Offerte!$F$2:$F$81,MATCH($A12&amp;"|"&amp;$I12,Offerte!$L$2:$L$81,0)),0))</f>
        <v/>
      </c>
      <c r="U12" s="57">
        <f>IF($A12="","",ROUND((IFERROR(VALUE($S12),0)+IFERROR(VALUE($T12),0))/2,4))</f>
        <v/>
      </c>
      <c r="V12" s="57">
        <f>IF($A12="","",$C12&amp;"|"&amp;TEXT($Q12,"0.0000"))</f>
        <v/>
      </c>
      <c r="W12" s="57">
        <f>IF($A12="","",$C12&amp;"|"&amp;$A12)</f>
        <v/>
      </c>
    </row>
    <row r="13">
      <c r="A13" s="73" t="inlineStr">
        <is>
          <t>B3</t>
        </is>
      </c>
      <c r="B13" s="73">
        <f>IF($A13="","",IFERROR(INDEX(Offerte!$B$2:$B$81,MATCH($A13,Offerte!$A$2:$A$81,0)),""))</f>
        <v/>
      </c>
      <c r="C13" s="73" t="inlineStr">
        <is>
          <t>L1+L2</t>
        </is>
      </c>
      <c r="D13" s="73" t="n">
        <v>0</v>
      </c>
      <c r="E13" s="73" t="n">
        <v>7.1</v>
      </c>
      <c r="F13" s="73" t="n">
        <v>1</v>
      </c>
      <c r="G13" s="73" t="n">
        <v>1</v>
      </c>
      <c r="H13" s="57">
        <f>IF($C13="L1+L2","L1",IF($C13="L2+L3","L2",IF($C13="L3+L4","L3",IF($C13="L1+L4","L1",""))))</f>
        <v/>
      </c>
      <c r="I13" s="57">
        <f>IF($C13="L1+L2","L2",IF($C13="L2+L3","L3",IF($C13="L3+L4","L4",IF($C13="L1+L4","L4",""))))</f>
        <v/>
      </c>
      <c r="J13" s="57">
        <f>IF($H13="","",IFERROR(INDEX(Offerte!$D$2:$D$81,MATCH($A13&amp;"|"&amp;$H13,Offerte!$L$2:$L$81,0)),0))</f>
        <v/>
      </c>
      <c r="K13" s="57">
        <f>IF($I13="","",IFERROR(INDEX(Offerte!$D$2:$D$81,MATCH($A13&amp;"|"&amp;$I13,Offerte!$L$2:$L$81,0)),0))</f>
        <v/>
      </c>
      <c r="L13" s="57">
        <f>IF($H13="","",IFERROR(INDEX(Offerte!$E$2:$E$81,MATCH($A13&amp;"|"&amp;$H13,Offerte!$L$2:$L$81,0)),0))</f>
        <v/>
      </c>
      <c r="M13" s="57">
        <f>IF($I13="","",IFERROR(INDEX(Offerte!$E$2:$E$81,MATCH($A13&amp;"|"&amp;$I13,Offerte!$L$2:$L$81,0)),0))</f>
        <v/>
      </c>
      <c r="N13" s="57">
        <f>IF($A13="","",IF(IFERROR(VALUE($D13),0)&lt;&gt;1,"NO",IF(AND(IFERROR(VALUE($J13),0)=1,IFERROR(VALUE($K13),0)=1,IFERROR(INDEX(Offerte!$G$2:$G$81,MATCH($A13&amp;"|"&amp;$H13,Offerte!$L$2:$L$81,0)),"NO")="SI",IFERROR(INDEX(Offerte!$G$2:$G$81,MATCH($A13&amp;"|"&amp;$I13,Offerte!$L$2:$L$81,0)),"NO")="SI",IFERROR(VALUE($F13),0)=1,IFERROR(VALUE($G13),0)=1,IFERROR(VALUE($E13),0)&gt;$U13),"SI","NO")))</f>
        <v/>
      </c>
      <c r="O13" s="57">
        <f>IF($N13="SI",IFERROR(30*(IFERROR(VALUE($E13),0)/MAX(SUMPRODUCT(MAX((Offerte!$C$2:$C$81=$H13)*(IFERROR(Offerte!$D$2:$D$81*1,0)=1)*(IFERROR(Offerte!$E$2:$E$81*1,0)&gt;=Parametri!$B$2)*IFERROR(Offerte!$F$2:$F$81*1,0))),SUMPRODUCT(MAX(($H$5:$H$80=$H13)*($N$5:$N$80="SI")*IFERROR($E$5:$E$80*1,0))),SUMPRODUCT(MAX(($I$5:$I$80=$H13)*($N$5:$N$80="SI")*IFERROR($E$5:$E$80*1,0))))),0),0)</f>
        <v/>
      </c>
      <c r="P13" s="57">
        <f>IF($N13="SI",IFERROR(30*(IFERROR(VALUE($E13),0)/MAX(SUMPRODUCT(MAX((Offerte!$C$2:$C$81=$I13)*(IFERROR(Offerte!$D$2:$D$81*1,0)=1)*(IFERROR(Offerte!$E$2:$E$81*1,0)&gt;=Parametri!$B$2)*IFERROR(Offerte!$F$2:$F$81*1,0))),SUMPRODUCT(MAX(($H$5:$H$80=$I13)*($N$5:$N$80="SI")*IFERROR($E$5:$E$80*1,0))),SUMPRODUCT(MAX(($I$5:$I$80=$I13)*($N$5:$N$80="SI")*IFERROR($E$5:$E$80*1,0))))),0),0)</f>
        <v/>
      </c>
      <c r="Q13" s="57">
        <f>IF($N13="SI",ROUND($L13+$M13+$O13+$P13,4),0)</f>
        <v/>
      </c>
      <c r="R13" s="57">
        <f>IF($A13="","",IF(IFERROR(VALUE($D13),0)&lt;&gt;1,"Non attiva",IF(OR(IFERROR(VALUE($J13),0)&lt;&gt;1,IFERROR(VALUE($K13),0)&lt;&gt;1),"Singoli non attivi",IF(OR(IFERROR(INDEX(Offerte!$G$2:$G$81,MATCH($A13&amp;"|"&amp;$H13,Offerte!$L$2:$L$81,0)),"NO")&lt;&gt;"SI",IFERROR(INDEX(Offerte!$G$2:$G$81,MATCH($A13&amp;"|"&amp;$I13,Offerte!$L$2:$L$81,0)),"NO")&lt;&gt;"SI"),"Soglia non superata",IF(OR(IFERROR(VALUE($F13),0)&lt;&gt;1,IFERROR(VALUE($G13),0)&lt;&gt;1),"Buste/PEF non confermati",IF(IFERROR(VALUE($E13),0)&lt;=$U13,"Ribasso non migliorativo",""))))))</f>
        <v/>
      </c>
      <c r="S13" s="57">
        <f>IF($H13="","",IFERROR(INDEX(Offerte!$F$2:$F$81,MATCH($A13&amp;"|"&amp;$H13,Offerte!$L$2:$L$81,0)),0))</f>
        <v/>
      </c>
      <c r="T13" s="57">
        <f>IF($I13="","",IFERROR(INDEX(Offerte!$F$2:$F$81,MATCH($A13&amp;"|"&amp;$I13,Offerte!$L$2:$L$81,0)),0))</f>
        <v/>
      </c>
      <c r="U13" s="57">
        <f>IF($A13="","",ROUND((IFERROR(VALUE($S13),0)+IFERROR(VALUE($T13),0))/2,4))</f>
        <v/>
      </c>
      <c r="V13" s="57">
        <f>IF($A13="","",$C13&amp;"|"&amp;TEXT($Q13,"0.0000"))</f>
        <v/>
      </c>
      <c r="W13" s="57">
        <f>IF($A13="","",$C13&amp;"|"&amp;$A13)</f>
        <v/>
      </c>
    </row>
    <row r="14">
      <c r="A14" s="73" t="inlineStr">
        <is>
          <t>B3</t>
        </is>
      </c>
      <c r="B14" s="73">
        <f>IF($A14="","",IFERROR(INDEX(Offerte!$B$2:$B$81,MATCH($A14,Offerte!$A$2:$A$81,0)),""))</f>
        <v/>
      </c>
      <c r="C14" s="73" t="inlineStr">
        <is>
          <t>L2+L3</t>
        </is>
      </c>
      <c r="D14" s="73" t="n">
        <v>0</v>
      </c>
      <c r="E14" s="73" t="n">
        <v>6.65</v>
      </c>
      <c r="F14" s="73" t="n">
        <v>1</v>
      </c>
      <c r="G14" s="73" t="n">
        <v>1</v>
      </c>
      <c r="H14" s="57">
        <f>IF($C14="L1+L2","L1",IF($C14="L2+L3","L2",IF($C14="L3+L4","L3",IF($C14="L1+L4","L1",""))))</f>
        <v/>
      </c>
      <c r="I14" s="57">
        <f>IF($C14="L1+L2","L2",IF($C14="L2+L3","L3",IF($C14="L3+L4","L4",IF($C14="L1+L4","L4",""))))</f>
        <v/>
      </c>
      <c r="J14" s="57">
        <f>IF($H14="","",IFERROR(INDEX(Offerte!$D$2:$D$81,MATCH($A14&amp;"|"&amp;$H14,Offerte!$L$2:$L$81,0)),0))</f>
        <v/>
      </c>
      <c r="K14" s="57">
        <f>IF($I14="","",IFERROR(INDEX(Offerte!$D$2:$D$81,MATCH($A14&amp;"|"&amp;$I14,Offerte!$L$2:$L$81,0)),0))</f>
        <v/>
      </c>
      <c r="L14" s="57">
        <f>IF($H14="","",IFERROR(INDEX(Offerte!$E$2:$E$81,MATCH($A14&amp;"|"&amp;$H14,Offerte!$L$2:$L$81,0)),0))</f>
        <v/>
      </c>
      <c r="M14" s="57">
        <f>IF($I14="","",IFERROR(INDEX(Offerte!$E$2:$E$81,MATCH($A14&amp;"|"&amp;$I14,Offerte!$L$2:$L$81,0)),0))</f>
        <v/>
      </c>
      <c r="N14" s="57">
        <f>IF($A14="","",IF(IFERROR(VALUE($D14),0)&lt;&gt;1,"NO",IF(AND(IFERROR(VALUE($J14),0)=1,IFERROR(VALUE($K14),0)=1,IFERROR(INDEX(Offerte!$G$2:$G$81,MATCH($A14&amp;"|"&amp;$H14,Offerte!$L$2:$L$81,0)),"NO")="SI",IFERROR(INDEX(Offerte!$G$2:$G$81,MATCH($A14&amp;"|"&amp;$I14,Offerte!$L$2:$L$81,0)),"NO")="SI",IFERROR(VALUE($F14),0)=1,IFERROR(VALUE($G14),0)=1,IFERROR(VALUE($E14),0)&gt;$U14),"SI","NO")))</f>
        <v/>
      </c>
      <c r="O14" s="57">
        <f>IF($N14="SI",IFERROR(30*(IFERROR(VALUE($E14),0)/MAX(SUMPRODUCT(MAX((Offerte!$C$2:$C$81=$H14)*(IFERROR(Offerte!$D$2:$D$81*1,0)=1)*(IFERROR(Offerte!$E$2:$E$81*1,0)&gt;=Parametri!$B$2)*IFERROR(Offerte!$F$2:$F$81*1,0))),SUMPRODUCT(MAX(($H$5:$H$80=$H14)*($N$5:$N$80="SI")*IFERROR($E$5:$E$80*1,0))),SUMPRODUCT(MAX(($I$5:$I$80=$H14)*($N$5:$N$80="SI")*IFERROR($E$5:$E$80*1,0))))),0),0)</f>
        <v/>
      </c>
      <c r="P14" s="57">
        <f>IF($N14="SI",IFERROR(30*(IFERROR(VALUE($E14),0)/MAX(SUMPRODUCT(MAX((Offerte!$C$2:$C$81=$I14)*(IFERROR(Offerte!$D$2:$D$81*1,0)=1)*(IFERROR(Offerte!$E$2:$E$81*1,0)&gt;=Parametri!$B$2)*IFERROR(Offerte!$F$2:$F$81*1,0))),SUMPRODUCT(MAX(($H$5:$H$80=$I14)*($N$5:$N$80="SI")*IFERROR($E$5:$E$80*1,0))),SUMPRODUCT(MAX(($I$5:$I$80=$I14)*($N$5:$N$80="SI")*IFERROR($E$5:$E$80*1,0))))),0),0)</f>
        <v/>
      </c>
      <c r="Q14" s="57">
        <f>IF($N14="SI",ROUND($L14+$M14+$O14+$P14,4),0)</f>
        <v/>
      </c>
      <c r="R14" s="57">
        <f>IF($A14="","",IF(IFERROR(VALUE($D14),0)&lt;&gt;1,"Non attiva",IF(OR(IFERROR(VALUE($J14),0)&lt;&gt;1,IFERROR(VALUE($K14),0)&lt;&gt;1),"Singoli non attivi",IF(OR(IFERROR(INDEX(Offerte!$G$2:$G$81,MATCH($A14&amp;"|"&amp;$H14,Offerte!$L$2:$L$81,0)),"NO")&lt;&gt;"SI",IFERROR(INDEX(Offerte!$G$2:$G$81,MATCH($A14&amp;"|"&amp;$I14,Offerte!$L$2:$L$81,0)),"NO")&lt;&gt;"SI"),"Soglia non superata",IF(OR(IFERROR(VALUE($F14),0)&lt;&gt;1,IFERROR(VALUE($G14),0)&lt;&gt;1),"Buste/PEF non confermati",IF(IFERROR(VALUE($E14),0)&lt;=$U14,"Ribasso non migliorativo",""))))))</f>
        <v/>
      </c>
      <c r="S14" s="57">
        <f>IF($H14="","",IFERROR(INDEX(Offerte!$F$2:$F$81,MATCH($A14&amp;"|"&amp;$H14,Offerte!$L$2:$L$81,0)),0))</f>
        <v/>
      </c>
      <c r="T14" s="57">
        <f>IF($I14="","",IFERROR(INDEX(Offerte!$F$2:$F$81,MATCH($A14&amp;"|"&amp;$I14,Offerte!$L$2:$L$81,0)),0))</f>
        <v/>
      </c>
      <c r="U14" s="57">
        <f>IF($A14="","",ROUND((IFERROR(VALUE($S14),0)+IFERROR(VALUE($T14),0))/2,4))</f>
        <v/>
      </c>
      <c r="V14" s="57">
        <f>IF($A14="","",$C14&amp;"|"&amp;TEXT($Q14,"0.0000"))</f>
        <v/>
      </c>
      <c r="W14" s="57">
        <f>IF($A14="","",$C14&amp;"|"&amp;$A14)</f>
        <v/>
      </c>
    </row>
    <row r="15">
      <c r="A15" s="73" t="inlineStr">
        <is>
          <t>B3</t>
        </is>
      </c>
      <c r="B15" s="73">
        <f>IF($A15="","",IFERROR(INDEX(Offerte!$B$2:$B$81,MATCH($A15,Offerte!$A$2:$A$81,0)),""))</f>
        <v/>
      </c>
      <c r="C15" s="73" t="inlineStr">
        <is>
          <t>L3+L4</t>
        </is>
      </c>
      <c r="D15" s="73" t="n">
        <v>0</v>
      </c>
      <c r="E15" s="73" t="n">
        <v>6.25</v>
      </c>
      <c r="F15" s="73" t="n">
        <v>1</v>
      </c>
      <c r="G15" s="73" t="n">
        <v>1</v>
      </c>
      <c r="H15" s="57">
        <f>IF($C15="L1+L2","L1",IF($C15="L2+L3","L2",IF($C15="L3+L4","L3",IF($C15="L1+L4","L1",""))))</f>
        <v/>
      </c>
      <c r="I15" s="57">
        <f>IF($C15="L1+L2","L2",IF($C15="L2+L3","L3",IF($C15="L3+L4","L4",IF($C15="L1+L4","L4",""))))</f>
        <v/>
      </c>
      <c r="J15" s="57">
        <f>IF($H15="","",IFERROR(INDEX(Offerte!$D$2:$D$81,MATCH($A15&amp;"|"&amp;$H15,Offerte!$L$2:$L$81,0)),0))</f>
        <v/>
      </c>
      <c r="K15" s="57">
        <f>IF($I15="","",IFERROR(INDEX(Offerte!$D$2:$D$81,MATCH($A15&amp;"|"&amp;$I15,Offerte!$L$2:$L$81,0)),0))</f>
        <v/>
      </c>
      <c r="L15" s="57">
        <f>IF($H15="","",IFERROR(INDEX(Offerte!$E$2:$E$81,MATCH($A15&amp;"|"&amp;$H15,Offerte!$L$2:$L$81,0)),0))</f>
        <v/>
      </c>
      <c r="M15" s="57">
        <f>IF($I15="","",IFERROR(INDEX(Offerte!$E$2:$E$81,MATCH($A15&amp;"|"&amp;$I15,Offerte!$L$2:$L$81,0)),0))</f>
        <v/>
      </c>
      <c r="N15" s="57">
        <f>IF($A15="","",IF(IFERROR(VALUE($D15),0)&lt;&gt;1,"NO",IF(AND(IFERROR(VALUE($J15),0)=1,IFERROR(VALUE($K15),0)=1,IFERROR(INDEX(Offerte!$G$2:$G$81,MATCH($A15&amp;"|"&amp;$H15,Offerte!$L$2:$L$81,0)),"NO")="SI",IFERROR(INDEX(Offerte!$G$2:$G$81,MATCH($A15&amp;"|"&amp;$I15,Offerte!$L$2:$L$81,0)),"NO")="SI",IFERROR(VALUE($F15),0)=1,IFERROR(VALUE($G15),0)=1,IFERROR(VALUE($E15),0)&gt;$U15),"SI","NO")))</f>
        <v/>
      </c>
      <c r="O15" s="57">
        <f>IF($N15="SI",IFERROR(30*(IFERROR(VALUE($E15),0)/MAX(SUMPRODUCT(MAX((Offerte!$C$2:$C$81=$H15)*(IFERROR(Offerte!$D$2:$D$81*1,0)=1)*(IFERROR(Offerte!$E$2:$E$81*1,0)&gt;=Parametri!$B$2)*IFERROR(Offerte!$F$2:$F$81*1,0))),SUMPRODUCT(MAX(($H$5:$H$80=$H15)*($N$5:$N$80="SI")*IFERROR($E$5:$E$80*1,0))),SUMPRODUCT(MAX(($I$5:$I$80=$H15)*($N$5:$N$80="SI")*IFERROR($E$5:$E$80*1,0))))),0),0)</f>
        <v/>
      </c>
      <c r="P15" s="57">
        <f>IF($N15="SI",IFERROR(30*(IFERROR(VALUE($E15),0)/MAX(SUMPRODUCT(MAX((Offerte!$C$2:$C$81=$I15)*(IFERROR(Offerte!$D$2:$D$81*1,0)=1)*(IFERROR(Offerte!$E$2:$E$81*1,0)&gt;=Parametri!$B$2)*IFERROR(Offerte!$F$2:$F$81*1,0))),SUMPRODUCT(MAX(($H$5:$H$80=$I15)*($N$5:$N$80="SI")*IFERROR($E$5:$E$80*1,0))),SUMPRODUCT(MAX(($I$5:$I$80=$I15)*($N$5:$N$80="SI")*IFERROR($E$5:$E$80*1,0))))),0),0)</f>
        <v/>
      </c>
      <c r="Q15" s="57">
        <f>IF($N15="SI",ROUND($L15+$M15+$O15+$P15,4),0)</f>
        <v/>
      </c>
      <c r="R15" s="57">
        <f>IF($A15="","",IF(IFERROR(VALUE($D15),0)&lt;&gt;1,"Non attiva",IF(OR(IFERROR(VALUE($J15),0)&lt;&gt;1,IFERROR(VALUE($K15),0)&lt;&gt;1),"Singoli non attivi",IF(OR(IFERROR(INDEX(Offerte!$G$2:$G$81,MATCH($A15&amp;"|"&amp;$H15,Offerte!$L$2:$L$81,0)),"NO")&lt;&gt;"SI",IFERROR(INDEX(Offerte!$G$2:$G$81,MATCH($A15&amp;"|"&amp;$I15,Offerte!$L$2:$L$81,0)),"NO")&lt;&gt;"SI"),"Soglia non superata",IF(OR(IFERROR(VALUE($F15),0)&lt;&gt;1,IFERROR(VALUE($G15),0)&lt;&gt;1),"Buste/PEF non confermati",IF(IFERROR(VALUE($E15),0)&lt;=$U15,"Ribasso non migliorativo",""))))))</f>
        <v/>
      </c>
      <c r="S15" s="57">
        <f>IF($H15="","",IFERROR(INDEX(Offerte!$F$2:$F$81,MATCH($A15&amp;"|"&amp;$H15,Offerte!$L$2:$L$81,0)),0))</f>
        <v/>
      </c>
      <c r="T15" s="57">
        <f>IF($I15="","",IFERROR(INDEX(Offerte!$F$2:$F$81,MATCH($A15&amp;"|"&amp;$I15,Offerte!$L$2:$L$81,0)),0))</f>
        <v/>
      </c>
      <c r="U15" s="57">
        <f>IF($A15="","",ROUND((IFERROR(VALUE($S15),0)+IFERROR(VALUE($T15),0))/2,4))</f>
        <v/>
      </c>
      <c r="V15" s="57">
        <f>IF($A15="","",$C15&amp;"|"&amp;TEXT($Q15,"0.0000"))</f>
        <v/>
      </c>
      <c r="W15" s="57">
        <f>IF($A15="","",$C15&amp;"|"&amp;$A15)</f>
        <v/>
      </c>
    </row>
    <row r="16">
      <c r="A16" s="73" t="inlineStr">
        <is>
          <t>B3</t>
        </is>
      </c>
      <c r="B16" s="73">
        <f>IF($A16="","",IFERROR(INDEX(Offerte!$B$2:$B$81,MATCH($A16,Offerte!$A$2:$A$81,0)),""))</f>
        <v/>
      </c>
      <c r="C16" s="73" t="inlineStr">
        <is>
          <t>L1+L4</t>
        </is>
      </c>
      <c r="D16" s="73" t="n">
        <v>0</v>
      </c>
      <c r="E16" s="73" t="n">
        <v>6.7</v>
      </c>
      <c r="F16" s="73" t="n">
        <v>1</v>
      </c>
      <c r="G16" s="73" t="n">
        <v>1</v>
      </c>
      <c r="H16" s="57">
        <f>IF($C16="L1+L2","L1",IF($C16="L2+L3","L2",IF($C16="L3+L4","L3",IF($C16="L1+L4","L1",""))))</f>
        <v/>
      </c>
      <c r="I16" s="57">
        <f>IF($C16="L1+L2","L2",IF($C16="L2+L3","L3",IF($C16="L3+L4","L4",IF($C16="L1+L4","L4",""))))</f>
        <v/>
      </c>
      <c r="J16" s="57">
        <f>IF($H16="","",IFERROR(INDEX(Offerte!$D$2:$D$81,MATCH($A16&amp;"|"&amp;$H16,Offerte!$L$2:$L$81,0)),0))</f>
        <v/>
      </c>
      <c r="K16" s="57">
        <f>IF($I16="","",IFERROR(INDEX(Offerte!$D$2:$D$81,MATCH($A16&amp;"|"&amp;$I16,Offerte!$L$2:$L$81,0)),0))</f>
        <v/>
      </c>
      <c r="L16" s="57">
        <f>IF($H16="","",IFERROR(INDEX(Offerte!$E$2:$E$81,MATCH($A16&amp;"|"&amp;$H16,Offerte!$L$2:$L$81,0)),0))</f>
        <v/>
      </c>
      <c r="M16" s="57">
        <f>IF($I16="","",IFERROR(INDEX(Offerte!$E$2:$E$81,MATCH($A16&amp;"|"&amp;$I16,Offerte!$L$2:$L$81,0)),0))</f>
        <v/>
      </c>
      <c r="N16" s="57">
        <f>IF($A16="","",IF(IFERROR(VALUE($D16),0)&lt;&gt;1,"NO",IF(AND(IFERROR(VALUE($J16),0)=1,IFERROR(VALUE($K16),0)=1,IFERROR(INDEX(Offerte!$G$2:$G$81,MATCH($A16&amp;"|"&amp;$H16,Offerte!$L$2:$L$81,0)),"NO")="SI",IFERROR(INDEX(Offerte!$G$2:$G$81,MATCH($A16&amp;"|"&amp;$I16,Offerte!$L$2:$L$81,0)),"NO")="SI",IFERROR(VALUE($F16),0)=1,IFERROR(VALUE($G16),0)=1,IFERROR(VALUE($E16),0)&gt;$U16),"SI","NO")))</f>
        <v/>
      </c>
      <c r="O16" s="57">
        <f>IF($N16="SI",IFERROR(30*(IFERROR(VALUE($E16),0)/MAX(SUMPRODUCT(MAX((Offerte!$C$2:$C$81=$H16)*(IFERROR(Offerte!$D$2:$D$81*1,0)=1)*(IFERROR(Offerte!$E$2:$E$81*1,0)&gt;=Parametri!$B$2)*IFERROR(Offerte!$F$2:$F$81*1,0))),SUMPRODUCT(MAX(($H$5:$H$80=$H16)*($N$5:$N$80="SI")*IFERROR($E$5:$E$80*1,0))),SUMPRODUCT(MAX(($I$5:$I$80=$H16)*($N$5:$N$80="SI")*IFERROR($E$5:$E$80*1,0))))),0),0)</f>
        <v/>
      </c>
      <c r="P16" s="57">
        <f>IF($N16="SI",IFERROR(30*(IFERROR(VALUE($E16),0)/MAX(SUMPRODUCT(MAX((Offerte!$C$2:$C$81=$I16)*(IFERROR(Offerte!$D$2:$D$81*1,0)=1)*(IFERROR(Offerte!$E$2:$E$81*1,0)&gt;=Parametri!$B$2)*IFERROR(Offerte!$F$2:$F$81*1,0))),SUMPRODUCT(MAX(($H$5:$H$80=$I16)*($N$5:$N$80="SI")*IFERROR($E$5:$E$80*1,0))),SUMPRODUCT(MAX(($I$5:$I$80=$I16)*($N$5:$N$80="SI")*IFERROR($E$5:$E$80*1,0))))),0),0)</f>
        <v/>
      </c>
      <c r="Q16" s="57">
        <f>IF($N16="SI",ROUND($L16+$M16+$O16+$P16,4),0)</f>
        <v/>
      </c>
      <c r="R16" s="57">
        <f>IF($A16="","",IF(IFERROR(VALUE($D16),0)&lt;&gt;1,"Non attiva",IF(OR(IFERROR(VALUE($J16),0)&lt;&gt;1,IFERROR(VALUE($K16),0)&lt;&gt;1),"Singoli non attivi",IF(OR(IFERROR(INDEX(Offerte!$G$2:$G$81,MATCH($A16&amp;"|"&amp;$H16,Offerte!$L$2:$L$81,0)),"NO")&lt;&gt;"SI",IFERROR(INDEX(Offerte!$G$2:$G$81,MATCH($A16&amp;"|"&amp;$I16,Offerte!$L$2:$L$81,0)),"NO")&lt;&gt;"SI"),"Soglia non superata",IF(OR(IFERROR(VALUE($F16),0)&lt;&gt;1,IFERROR(VALUE($G16),0)&lt;&gt;1),"Buste/PEF non confermati",IF(IFERROR(VALUE($E16),0)&lt;=$U16,"Ribasso non migliorativo",""))))))</f>
        <v/>
      </c>
      <c r="S16" s="57">
        <f>IF($H16="","",IFERROR(INDEX(Offerte!$F$2:$F$81,MATCH($A16&amp;"|"&amp;$H16,Offerte!$L$2:$L$81,0)),0))</f>
        <v/>
      </c>
      <c r="T16" s="57">
        <f>IF($I16="","",IFERROR(INDEX(Offerte!$F$2:$F$81,MATCH($A16&amp;"|"&amp;$I16,Offerte!$L$2:$L$81,0)),0))</f>
        <v/>
      </c>
      <c r="U16" s="57">
        <f>IF($A16="","",ROUND((IFERROR(VALUE($S16),0)+IFERROR(VALUE($T16),0))/2,4))</f>
        <v/>
      </c>
      <c r="V16" s="57">
        <f>IF($A16="","",$C16&amp;"|"&amp;TEXT($Q16,"0.0000"))</f>
        <v/>
      </c>
      <c r="W16" s="57">
        <f>IF($A16="","",$C16&amp;"|"&amp;$A16)</f>
        <v/>
      </c>
    </row>
    <row r="17">
      <c r="A17" s="73" t="n"/>
      <c r="B17" s="73">
        <f>IF($A17="","",IFERROR(INDEX(Offerte!$B$2:$B$81,MATCH($A17,Offerte!$A$2:$A$81,0)),""))</f>
        <v/>
      </c>
      <c r="C17" s="73" t="n"/>
      <c r="D17" s="73" t="n"/>
      <c r="E17" s="73" t="n"/>
      <c r="F17" s="73" t="n"/>
      <c r="G17" s="73" t="n"/>
      <c r="H17" s="57">
        <f>IF($C17="L1+L2","L1",IF($C17="L2+L3","L2",IF($C17="L3+L4","L3",IF($C17="L1+L4","L1",""))))</f>
        <v/>
      </c>
      <c r="I17" s="57">
        <f>IF($C17="L1+L2","L2",IF($C17="L2+L3","L3",IF($C17="L3+L4","L4",IF($C17="L1+L4","L4",""))))</f>
        <v/>
      </c>
      <c r="J17" s="57">
        <f>IF($H17="","",IFERROR(INDEX(Offerte!$D$2:$D$81,MATCH($A17&amp;"|"&amp;$H17,Offerte!$L$2:$L$81,0)),0))</f>
        <v/>
      </c>
      <c r="K17" s="57">
        <f>IF($I17="","",IFERROR(INDEX(Offerte!$D$2:$D$81,MATCH($A17&amp;"|"&amp;$I17,Offerte!$L$2:$L$81,0)),0))</f>
        <v/>
      </c>
      <c r="L17" s="57">
        <f>IF($H17="","",IFERROR(INDEX(Offerte!$E$2:$E$81,MATCH($A17&amp;"|"&amp;$H17,Offerte!$L$2:$L$81,0)),0))</f>
        <v/>
      </c>
      <c r="M17" s="57">
        <f>IF($I17="","",IFERROR(INDEX(Offerte!$E$2:$E$81,MATCH($A17&amp;"|"&amp;$I17,Offerte!$L$2:$L$81,0)),0))</f>
        <v/>
      </c>
      <c r="N17" s="57">
        <f>IF($A17="","",IF(IFERROR(VALUE($D17),0)&lt;&gt;1,"NO",IF(AND(IFERROR(VALUE($J17),0)=1,IFERROR(VALUE($K17),0)=1,IFERROR(INDEX(Offerte!$G$2:$G$81,MATCH($A17&amp;"|"&amp;$H17,Offerte!$L$2:$L$81,0)),"NO")="SI",IFERROR(INDEX(Offerte!$G$2:$G$81,MATCH($A17&amp;"|"&amp;$I17,Offerte!$L$2:$L$81,0)),"NO")="SI",IFERROR(VALUE($F17),0)=1,IFERROR(VALUE($G17),0)=1,IFERROR(VALUE($E17),0)&gt;$U17),"SI","NO")))</f>
        <v/>
      </c>
      <c r="O17" s="57">
        <f>IF($N17="SI",IFERROR(30*(IFERROR(VALUE($E17),0)/MAX(SUMPRODUCT(MAX((Offerte!$C$2:$C$81=$H17)*(IFERROR(Offerte!$D$2:$D$81*1,0)=1)*(IFERROR(Offerte!$E$2:$E$81*1,0)&gt;=Parametri!$B$2)*IFERROR(Offerte!$F$2:$F$81*1,0))),SUMPRODUCT(MAX(($H$5:$H$80=$H17)*($N$5:$N$80="SI")*IFERROR($E$5:$E$80*1,0))),SUMPRODUCT(MAX(($I$5:$I$80=$H17)*($N$5:$N$80="SI")*IFERROR($E$5:$E$80*1,0))))),0),0)</f>
        <v/>
      </c>
      <c r="P17" s="57">
        <f>IF($N17="SI",IFERROR(30*(IFERROR(VALUE($E17),0)/MAX(SUMPRODUCT(MAX((Offerte!$C$2:$C$81=$I17)*(IFERROR(Offerte!$D$2:$D$81*1,0)=1)*(IFERROR(Offerte!$E$2:$E$81*1,0)&gt;=Parametri!$B$2)*IFERROR(Offerte!$F$2:$F$81*1,0))),SUMPRODUCT(MAX(($H$5:$H$80=$I17)*($N$5:$N$80="SI")*IFERROR($E$5:$E$80*1,0))),SUMPRODUCT(MAX(($I$5:$I$80=$I17)*($N$5:$N$80="SI")*IFERROR($E$5:$E$80*1,0))))),0),0)</f>
        <v/>
      </c>
      <c r="Q17" s="57">
        <f>IF($N17="SI",ROUND($L17+$M17+$O17+$P17,4),0)</f>
        <v/>
      </c>
      <c r="R17" s="57">
        <f>IF($A17="","",IF(IFERROR(VALUE($D17),0)&lt;&gt;1,"Non attiva",IF(OR(IFERROR(VALUE($J17),0)&lt;&gt;1,IFERROR(VALUE($K17),0)&lt;&gt;1),"Singoli non attivi",IF(OR(IFERROR(INDEX(Offerte!$G$2:$G$81,MATCH($A17&amp;"|"&amp;$H17,Offerte!$L$2:$L$81,0)),"NO")&lt;&gt;"SI",IFERROR(INDEX(Offerte!$G$2:$G$81,MATCH($A17&amp;"|"&amp;$I17,Offerte!$L$2:$L$81,0)),"NO")&lt;&gt;"SI"),"Soglia non superata",IF(OR(IFERROR(VALUE($F17),0)&lt;&gt;1,IFERROR(VALUE($G17),0)&lt;&gt;1),"Buste/PEF non confermati",IF(IFERROR(VALUE($E17),0)&lt;=$U17,"Ribasso non migliorativo",""))))))</f>
        <v/>
      </c>
      <c r="S17" s="57">
        <f>IF($H17="","",IFERROR(INDEX(Offerte!$F$2:$F$81,MATCH($A17&amp;"|"&amp;$H17,Offerte!$L$2:$L$81,0)),0))</f>
        <v/>
      </c>
      <c r="T17" s="57">
        <f>IF($I17="","",IFERROR(INDEX(Offerte!$F$2:$F$81,MATCH($A17&amp;"|"&amp;$I17,Offerte!$L$2:$L$81,0)),0))</f>
        <v/>
      </c>
      <c r="U17" s="57">
        <f>IF($A17="","",ROUND((IFERROR(VALUE($S17),0)+IFERROR(VALUE($T17),0))/2,4))</f>
        <v/>
      </c>
      <c r="V17" s="57">
        <f>IF($A17="","",$C17&amp;"|"&amp;TEXT($Q17,"0.0000"))</f>
        <v/>
      </c>
      <c r="W17" s="57">
        <f>IF($A17="","",$C17&amp;"|"&amp;$A17)</f>
        <v/>
      </c>
    </row>
    <row r="18">
      <c r="A18" s="73" t="n"/>
      <c r="B18" s="73">
        <f>IF($A18="","",IFERROR(INDEX(Offerte!$B$2:$B$81,MATCH($A18,Offerte!$A$2:$A$81,0)),""))</f>
        <v/>
      </c>
      <c r="C18" s="73" t="n"/>
      <c r="D18" s="73" t="n"/>
      <c r="E18" s="73" t="n"/>
      <c r="F18" s="73" t="n"/>
      <c r="G18" s="73" t="n"/>
      <c r="H18" s="57">
        <f>IF($C18="L1+L2","L1",IF($C18="L2+L3","L2",IF($C18="L3+L4","L3",IF($C18="L1+L4","L1",""))))</f>
        <v/>
      </c>
      <c r="I18" s="57">
        <f>IF($C18="L1+L2","L2",IF($C18="L2+L3","L3",IF($C18="L3+L4","L4",IF($C18="L1+L4","L4",""))))</f>
        <v/>
      </c>
      <c r="J18" s="57">
        <f>IF($H18="","",IFERROR(INDEX(Offerte!$D$2:$D$81,MATCH($A18&amp;"|"&amp;$H18,Offerte!$L$2:$L$81,0)),0))</f>
        <v/>
      </c>
      <c r="K18" s="57">
        <f>IF($I18="","",IFERROR(INDEX(Offerte!$D$2:$D$81,MATCH($A18&amp;"|"&amp;$I18,Offerte!$L$2:$L$81,0)),0))</f>
        <v/>
      </c>
      <c r="L18" s="57">
        <f>IF($H18="","",IFERROR(INDEX(Offerte!$E$2:$E$81,MATCH($A18&amp;"|"&amp;$H18,Offerte!$L$2:$L$81,0)),0))</f>
        <v/>
      </c>
      <c r="M18" s="57">
        <f>IF($I18="","",IFERROR(INDEX(Offerte!$E$2:$E$81,MATCH($A18&amp;"|"&amp;$I18,Offerte!$L$2:$L$81,0)),0))</f>
        <v/>
      </c>
      <c r="N18" s="57">
        <f>IF($A18="","",IF(IFERROR(VALUE($D18),0)&lt;&gt;1,"NO",IF(AND(IFERROR(VALUE($J18),0)=1,IFERROR(VALUE($K18),0)=1,IFERROR(INDEX(Offerte!$G$2:$G$81,MATCH($A18&amp;"|"&amp;$H18,Offerte!$L$2:$L$81,0)),"NO")="SI",IFERROR(INDEX(Offerte!$G$2:$G$81,MATCH($A18&amp;"|"&amp;$I18,Offerte!$L$2:$L$81,0)),"NO")="SI",IFERROR(VALUE($F18),0)=1,IFERROR(VALUE($G18),0)=1,IFERROR(VALUE($E18),0)&gt;$U18),"SI","NO")))</f>
        <v/>
      </c>
      <c r="O18" s="57">
        <f>IF($N18="SI",IFERROR(30*(IFERROR(VALUE($E18),0)/MAX(SUMPRODUCT(MAX((Offerte!$C$2:$C$81=$H18)*(IFERROR(Offerte!$D$2:$D$81*1,0)=1)*(IFERROR(Offerte!$E$2:$E$81*1,0)&gt;=Parametri!$B$2)*IFERROR(Offerte!$F$2:$F$81*1,0))),SUMPRODUCT(MAX(($H$5:$H$80=$H18)*($N$5:$N$80="SI")*IFERROR($E$5:$E$80*1,0))),SUMPRODUCT(MAX(($I$5:$I$80=$H18)*($N$5:$N$80="SI")*IFERROR($E$5:$E$80*1,0))))),0),0)</f>
        <v/>
      </c>
      <c r="P18" s="57">
        <f>IF($N18="SI",IFERROR(30*(IFERROR(VALUE($E18),0)/MAX(SUMPRODUCT(MAX((Offerte!$C$2:$C$81=$I18)*(IFERROR(Offerte!$D$2:$D$81*1,0)=1)*(IFERROR(Offerte!$E$2:$E$81*1,0)&gt;=Parametri!$B$2)*IFERROR(Offerte!$F$2:$F$81*1,0))),SUMPRODUCT(MAX(($H$5:$H$80=$I18)*($N$5:$N$80="SI")*IFERROR($E$5:$E$80*1,0))),SUMPRODUCT(MAX(($I$5:$I$80=$I18)*($N$5:$N$80="SI")*IFERROR($E$5:$E$80*1,0))))),0),0)</f>
        <v/>
      </c>
      <c r="Q18" s="57">
        <f>IF($N18="SI",ROUND($L18+$M18+$O18+$P18,4),0)</f>
        <v/>
      </c>
      <c r="R18" s="57">
        <f>IF($A18="","",IF(IFERROR(VALUE($D18),0)&lt;&gt;1,"Non attiva",IF(OR(IFERROR(VALUE($J18),0)&lt;&gt;1,IFERROR(VALUE($K18),0)&lt;&gt;1),"Singoli non attivi",IF(OR(IFERROR(INDEX(Offerte!$G$2:$G$81,MATCH($A18&amp;"|"&amp;$H18,Offerte!$L$2:$L$81,0)),"NO")&lt;&gt;"SI",IFERROR(INDEX(Offerte!$G$2:$G$81,MATCH($A18&amp;"|"&amp;$I18,Offerte!$L$2:$L$81,0)),"NO")&lt;&gt;"SI"),"Soglia non superata",IF(OR(IFERROR(VALUE($F18),0)&lt;&gt;1,IFERROR(VALUE($G18),0)&lt;&gt;1),"Buste/PEF non confermati",IF(IFERROR(VALUE($E18),0)&lt;=$U18,"Ribasso non migliorativo",""))))))</f>
        <v/>
      </c>
      <c r="S18" s="57">
        <f>IF($H18="","",IFERROR(INDEX(Offerte!$F$2:$F$81,MATCH($A18&amp;"|"&amp;$H18,Offerte!$L$2:$L$81,0)),0))</f>
        <v/>
      </c>
      <c r="T18" s="57">
        <f>IF($I18="","",IFERROR(INDEX(Offerte!$F$2:$F$81,MATCH($A18&amp;"|"&amp;$I18,Offerte!$L$2:$L$81,0)),0))</f>
        <v/>
      </c>
      <c r="U18" s="57">
        <f>IF($A18="","",ROUND((IFERROR(VALUE($S18),0)+IFERROR(VALUE($T18),0))/2,4))</f>
        <v/>
      </c>
      <c r="V18" s="57">
        <f>IF($A18="","",$C18&amp;"|"&amp;TEXT($Q18,"0.0000"))</f>
        <v/>
      </c>
      <c r="W18" s="57">
        <f>IF($A18="","",$C18&amp;"|"&amp;$A18)</f>
        <v/>
      </c>
    </row>
    <row r="19">
      <c r="A19" s="73" t="n"/>
      <c r="B19" s="73">
        <f>IF($A19="","",IFERROR(INDEX(Offerte!$B$2:$B$81,MATCH($A19,Offerte!$A$2:$A$81,0)),""))</f>
        <v/>
      </c>
      <c r="C19" s="73" t="n"/>
      <c r="D19" s="73" t="n"/>
      <c r="E19" s="73" t="n"/>
      <c r="F19" s="73" t="n"/>
      <c r="G19" s="73" t="n"/>
      <c r="H19" s="57">
        <f>IF($C19="L1+L2","L1",IF($C19="L2+L3","L2",IF($C19="L3+L4","L3",IF($C19="L1+L4","L1",""))))</f>
        <v/>
      </c>
      <c r="I19" s="57">
        <f>IF($C19="L1+L2","L2",IF($C19="L2+L3","L3",IF($C19="L3+L4","L4",IF($C19="L1+L4","L4",""))))</f>
        <v/>
      </c>
      <c r="J19" s="57">
        <f>IF($H19="","",IFERROR(INDEX(Offerte!$D$2:$D$81,MATCH($A19&amp;"|"&amp;$H19,Offerte!$L$2:$L$81,0)),0))</f>
        <v/>
      </c>
      <c r="K19" s="57">
        <f>IF($I19="","",IFERROR(INDEX(Offerte!$D$2:$D$81,MATCH($A19&amp;"|"&amp;$I19,Offerte!$L$2:$L$81,0)),0))</f>
        <v/>
      </c>
      <c r="L19" s="57">
        <f>IF($H19="","",IFERROR(INDEX(Offerte!$E$2:$E$81,MATCH($A19&amp;"|"&amp;$H19,Offerte!$L$2:$L$81,0)),0))</f>
        <v/>
      </c>
      <c r="M19" s="57">
        <f>IF($I19="","",IFERROR(INDEX(Offerte!$E$2:$E$81,MATCH($A19&amp;"|"&amp;$I19,Offerte!$L$2:$L$81,0)),0))</f>
        <v/>
      </c>
      <c r="N19" s="57">
        <f>IF($A19="","",IF(IFERROR(VALUE($D19),0)&lt;&gt;1,"NO",IF(AND(IFERROR(VALUE($J19),0)=1,IFERROR(VALUE($K19),0)=1,IFERROR(INDEX(Offerte!$G$2:$G$81,MATCH($A19&amp;"|"&amp;$H19,Offerte!$L$2:$L$81,0)),"NO")="SI",IFERROR(INDEX(Offerte!$G$2:$G$81,MATCH($A19&amp;"|"&amp;$I19,Offerte!$L$2:$L$81,0)),"NO")="SI",IFERROR(VALUE($F19),0)=1,IFERROR(VALUE($G19),0)=1,IFERROR(VALUE($E19),0)&gt;$U19),"SI","NO")))</f>
        <v/>
      </c>
      <c r="O19" s="57">
        <f>IF($N19="SI",IFERROR(30*(IFERROR(VALUE($E19),0)/MAX(SUMPRODUCT(MAX((Offerte!$C$2:$C$81=$H19)*(IFERROR(Offerte!$D$2:$D$81*1,0)=1)*(IFERROR(Offerte!$E$2:$E$81*1,0)&gt;=Parametri!$B$2)*IFERROR(Offerte!$F$2:$F$81*1,0))),SUMPRODUCT(MAX(($H$5:$H$80=$H19)*($N$5:$N$80="SI")*IFERROR($E$5:$E$80*1,0))),SUMPRODUCT(MAX(($I$5:$I$80=$H19)*($N$5:$N$80="SI")*IFERROR($E$5:$E$80*1,0))))),0),0)</f>
        <v/>
      </c>
      <c r="P19" s="57">
        <f>IF($N19="SI",IFERROR(30*(IFERROR(VALUE($E19),0)/MAX(SUMPRODUCT(MAX((Offerte!$C$2:$C$81=$I19)*(IFERROR(Offerte!$D$2:$D$81*1,0)=1)*(IFERROR(Offerte!$E$2:$E$81*1,0)&gt;=Parametri!$B$2)*IFERROR(Offerte!$F$2:$F$81*1,0))),SUMPRODUCT(MAX(($H$5:$H$80=$I19)*($N$5:$N$80="SI")*IFERROR($E$5:$E$80*1,0))),SUMPRODUCT(MAX(($I$5:$I$80=$I19)*($N$5:$N$80="SI")*IFERROR($E$5:$E$80*1,0))))),0),0)</f>
        <v/>
      </c>
      <c r="Q19" s="57">
        <f>IF($N19="SI",ROUND($L19+$M19+$O19+$P19,4),0)</f>
        <v/>
      </c>
      <c r="R19" s="57">
        <f>IF($A19="","",IF(IFERROR(VALUE($D19),0)&lt;&gt;1,"Non attiva",IF(OR(IFERROR(VALUE($J19),0)&lt;&gt;1,IFERROR(VALUE($K19),0)&lt;&gt;1),"Singoli non attivi",IF(OR(IFERROR(INDEX(Offerte!$G$2:$G$81,MATCH($A19&amp;"|"&amp;$H19,Offerte!$L$2:$L$81,0)),"NO")&lt;&gt;"SI",IFERROR(INDEX(Offerte!$G$2:$G$81,MATCH($A19&amp;"|"&amp;$I19,Offerte!$L$2:$L$81,0)),"NO")&lt;&gt;"SI"),"Soglia non superata",IF(OR(IFERROR(VALUE($F19),0)&lt;&gt;1,IFERROR(VALUE($G19),0)&lt;&gt;1),"Buste/PEF non confermati",IF(IFERROR(VALUE($E19),0)&lt;=$U19,"Ribasso non migliorativo",""))))))</f>
        <v/>
      </c>
      <c r="S19" s="57">
        <f>IF($H19="","",IFERROR(INDEX(Offerte!$F$2:$F$81,MATCH($A19&amp;"|"&amp;$H19,Offerte!$L$2:$L$81,0)),0))</f>
        <v/>
      </c>
      <c r="T19" s="57">
        <f>IF($I19="","",IFERROR(INDEX(Offerte!$F$2:$F$81,MATCH($A19&amp;"|"&amp;$I19,Offerte!$L$2:$L$81,0)),0))</f>
        <v/>
      </c>
      <c r="U19" s="57">
        <f>IF($A19="","",ROUND((IFERROR(VALUE($S19),0)+IFERROR(VALUE($T19),0))/2,4))</f>
        <v/>
      </c>
      <c r="V19" s="57">
        <f>IF($A19="","",$C19&amp;"|"&amp;TEXT($Q19,"0.0000"))</f>
        <v/>
      </c>
      <c r="W19" s="57">
        <f>IF($A19="","",$C19&amp;"|"&amp;$A19)</f>
        <v/>
      </c>
    </row>
    <row r="20">
      <c r="A20" s="73" t="n"/>
      <c r="B20" s="73">
        <f>IF($A20="","",IFERROR(INDEX(Offerte!$B$2:$B$81,MATCH($A20,Offerte!$A$2:$A$81,0)),""))</f>
        <v/>
      </c>
      <c r="C20" s="73" t="n"/>
      <c r="D20" s="73" t="n"/>
      <c r="E20" s="73" t="n"/>
      <c r="F20" s="73" t="n"/>
      <c r="G20" s="73" t="n"/>
      <c r="H20" s="57">
        <f>IF($C20="L1+L2","L1",IF($C20="L2+L3","L2",IF($C20="L3+L4","L3",IF($C20="L1+L4","L1",""))))</f>
        <v/>
      </c>
      <c r="I20" s="57">
        <f>IF($C20="L1+L2","L2",IF($C20="L2+L3","L3",IF($C20="L3+L4","L4",IF($C20="L1+L4","L4",""))))</f>
        <v/>
      </c>
      <c r="J20" s="57">
        <f>IF($H20="","",IFERROR(INDEX(Offerte!$D$2:$D$81,MATCH($A20&amp;"|"&amp;$H20,Offerte!$L$2:$L$81,0)),0))</f>
        <v/>
      </c>
      <c r="K20" s="57">
        <f>IF($I20="","",IFERROR(INDEX(Offerte!$D$2:$D$81,MATCH($A20&amp;"|"&amp;$I20,Offerte!$L$2:$L$81,0)),0))</f>
        <v/>
      </c>
      <c r="L20" s="57">
        <f>IF($H20="","",IFERROR(INDEX(Offerte!$E$2:$E$81,MATCH($A20&amp;"|"&amp;$H20,Offerte!$L$2:$L$81,0)),0))</f>
        <v/>
      </c>
      <c r="M20" s="57">
        <f>IF($I20="","",IFERROR(INDEX(Offerte!$E$2:$E$81,MATCH($A20&amp;"|"&amp;$I20,Offerte!$L$2:$L$81,0)),0))</f>
        <v/>
      </c>
      <c r="N20" s="57">
        <f>IF($A20="","",IF(IFERROR(VALUE($D20),0)&lt;&gt;1,"NO",IF(AND(IFERROR(VALUE($J20),0)=1,IFERROR(VALUE($K20),0)=1,IFERROR(INDEX(Offerte!$G$2:$G$81,MATCH($A20&amp;"|"&amp;$H20,Offerte!$L$2:$L$81,0)),"NO")="SI",IFERROR(INDEX(Offerte!$G$2:$G$81,MATCH($A20&amp;"|"&amp;$I20,Offerte!$L$2:$L$81,0)),"NO")="SI",IFERROR(VALUE($F20),0)=1,IFERROR(VALUE($G20),0)=1,IFERROR(VALUE($E20),0)&gt;$U20),"SI","NO")))</f>
        <v/>
      </c>
      <c r="O20" s="57">
        <f>IF($N20="SI",IFERROR(30*(IFERROR(VALUE($E20),0)/MAX(SUMPRODUCT(MAX((Offerte!$C$2:$C$81=$H20)*(IFERROR(Offerte!$D$2:$D$81*1,0)=1)*(IFERROR(Offerte!$E$2:$E$81*1,0)&gt;=Parametri!$B$2)*IFERROR(Offerte!$F$2:$F$81*1,0))),SUMPRODUCT(MAX(($H$5:$H$80=$H20)*($N$5:$N$80="SI")*IFERROR($E$5:$E$80*1,0))),SUMPRODUCT(MAX(($I$5:$I$80=$H20)*($N$5:$N$80="SI")*IFERROR($E$5:$E$80*1,0))))),0),0)</f>
        <v/>
      </c>
      <c r="P20" s="57">
        <f>IF($N20="SI",IFERROR(30*(IFERROR(VALUE($E20),0)/MAX(SUMPRODUCT(MAX((Offerte!$C$2:$C$81=$I20)*(IFERROR(Offerte!$D$2:$D$81*1,0)=1)*(IFERROR(Offerte!$E$2:$E$81*1,0)&gt;=Parametri!$B$2)*IFERROR(Offerte!$F$2:$F$81*1,0))),SUMPRODUCT(MAX(($H$5:$H$80=$I20)*($N$5:$N$80="SI")*IFERROR($E$5:$E$80*1,0))),SUMPRODUCT(MAX(($I$5:$I$80=$I20)*($N$5:$N$80="SI")*IFERROR($E$5:$E$80*1,0))))),0),0)</f>
        <v/>
      </c>
      <c r="Q20" s="57">
        <f>IF($N20="SI",ROUND($L20+$M20+$O20+$P20,4),0)</f>
        <v/>
      </c>
      <c r="R20" s="57">
        <f>IF($A20="","",IF(IFERROR(VALUE($D20),0)&lt;&gt;1,"Non attiva",IF(OR(IFERROR(VALUE($J20),0)&lt;&gt;1,IFERROR(VALUE($K20),0)&lt;&gt;1),"Singoli non attivi",IF(OR(IFERROR(INDEX(Offerte!$G$2:$G$81,MATCH($A20&amp;"|"&amp;$H20,Offerte!$L$2:$L$81,0)),"NO")&lt;&gt;"SI",IFERROR(INDEX(Offerte!$G$2:$G$81,MATCH($A20&amp;"|"&amp;$I20,Offerte!$L$2:$L$81,0)),"NO")&lt;&gt;"SI"),"Soglia non superata",IF(OR(IFERROR(VALUE($F20),0)&lt;&gt;1,IFERROR(VALUE($G20),0)&lt;&gt;1),"Buste/PEF non confermati",IF(IFERROR(VALUE($E20),0)&lt;=$U20,"Ribasso non migliorativo",""))))))</f>
        <v/>
      </c>
      <c r="S20" s="57">
        <f>IF($H20="","",IFERROR(INDEX(Offerte!$F$2:$F$81,MATCH($A20&amp;"|"&amp;$H20,Offerte!$L$2:$L$81,0)),0))</f>
        <v/>
      </c>
      <c r="T20" s="57">
        <f>IF($I20="","",IFERROR(INDEX(Offerte!$F$2:$F$81,MATCH($A20&amp;"|"&amp;$I20,Offerte!$L$2:$L$81,0)),0))</f>
        <v/>
      </c>
      <c r="U20" s="57">
        <f>IF($A20="","",ROUND((IFERROR(VALUE($S20),0)+IFERROR(VALUE($T20),0))/2,4))</f>
        <v/>
      </c>
      <c r="V20" s="57">
        <f>IF($A20="","",$C20&amp;"|"&amp;TEXT($Q20,"0.0000"))</f>
        <v/>
      </c>
      <c r="W20" s="57">
        <f>IF($A20="","",$C20&amp;"|"&amp;$A20)</f>
        <v/>
      </c>
    </row>
    <row r="21">
      <c r="A21" s="73" t="n"/>
      <c r="B21" s="73">
        <f>IF($A21="","",IFERROR(INDEX(Offerte!$B$2:$B$81,MATCH($A21,Offerte!$A$2:$A$81,0)),""))</f>
        <v/>
      </c>
      <c r="C21" s="73" t="n"/>
      <c r="D21" s="73" t="n"/>
      <c r="E21" s="73" t="n"/>
      <c r="F21" s="73" t="n"/>
      <c r="G21" s="73" t="n"/>
      <c r="H21" s="57">
        <f>IF($C21="L1+L2","L1",IF($C21="L2+L3","L2",IF($C21="L3+L4","L3",IF($C21="L1+L4","L1",""))))</f>
        <v/>
      </c>
      <c r="I21" s="57">
        <f>IF($C21="L1+L2","L2",IF($C21="L2+L3","L3",IF($C21="L3+L4","L4",IF($C21="L1+L4","L4",""))))</f>
        <v/>
      </c>
      <c r="J21" s="57">
        <f>IF($H21="","",IFERROR(INDEX(Offerte!$D$2:$D$81,MATCH($A21&amp;"|"&amp;$H21,Offerte!$L$2:$L$81,0)),0))</f>
        <v/>
      </c>
      <c r="K21" s="57">
        <f>IF($I21="","",IFERROR(INDEX(Offerte!$D$2:$D$81,MATCH($A21&amp;"|"&amp;$I21,Offerte!$L$2:$L$81,0)),0))</f>
        <v/>
      </c>
      <c r="L21" s="57">
        <f>IF($H21="","",IFERROR(INDEX(Offerte!$E$2:$E$81,MATCH($A21&amp;"|"&amp;$H21,Offerte!$L$2:$L$81,0)),0))</f>
        <v/>
      </c>
      <c r="M21" s="57">
        <f>IF($I21="","",IFERROR(INDEX(Offerte!$E$2:$E$81,MATCH($A21&amp;"|"&amp;$I21,Offerte!$L$2:$L$81,0)),0))</f>
        <v/>
      </c>
      <c r="N21" s="57">
        <f>IF($A21="","",IF(IFERROR(VALUE($D21),0)&lt;&gt;1,"NO",IF(AND(IFERROR(VALUE($J21),0)=1,IFERROR(VALUE($K21),0)=1,IFERROR(INDEX(Offerte!$G$2:$G$81,MATCH($A21&amp;"|"&amp;$H21,Offerte!$L$2:$L$81,0)),"NO")="SI",IFERROR(INDEX(Offerte!$G$2:$G$81,MATCH($A21&amp;"|"&amp;$I21,Offerte!$L$2:$L$81,0)),"NO")="SI",IFERROR(VALUE($F21),0)=1,IFERROR(VALUE($G21),0)=1,IFERROR(VALUE($E21),0)&gt;$U21),"SI","NO")))</f>
        <v/>
      </c>
      <c r="O21" s="57">
        <f>IF($N21="SI",IFERROR(30*(IFERROR(VALUE($E21),0)/MAX(SUMPRODUCT(MAX((Offerte!$C$2:$C$81=$H21)*(IFERROR(Offerte!$D$2:$D$81*1,0)=1)*(IFERROR(Offerte!$E$2:$E$81*1,0)&gt;=Parametri!$B$2)*IFERROR(Offerte!$F$2:$F$81*1,0))),SUMPRODUCT(MAX(($H$5:$H$80=$H21)*($N$5:$N$80="SI")*IFERROR($E$5:$E$80*1,0))),SUMPRODUCT(MAX(($I$5:$I$80=$H21)*($N$5:$N$80="SI")*IFERROR($E$5:$E$80*1,0))))),0),0)</f>
        <v/>
      </c>
      <c r="P21" s="57">
        <f>IF($N21="SI",IFERROR(30*(IFERROR(VALUE($E21),0)/MAX(SUMPRODUCT(MAX((Offerte!$C$2:$C$81=$I21)*(IFERROR(Offerte!$D$2:$D$81*1,0)=1)*(IFERROR(Offerte!$E$2:$E$81*1,0)&gt;=Parametri!$B$2)*IFERROR(Offerte!$F$2:$F$81*1,0))),SUMPRODUCT(MAX(($H$5:$H$80=$I21)*($N$5:$N$80="SI")*IFERROR($E$5:$E$80*1,0))),SUMPRODUCT(MAX(($I$5:$I$80=$I21)*($N$5:$N$80="SI")*IFERROR($E$5:$E$80*1,0))))),0),0)</f>
        <v/>
      </c>
      <c r="Q21" s="57">
        <f>IF($N21="SI",ROUND($L21+$M21+$O21+$P21,4),0)</f>
        <v/>
      </c>
      <c r="R21" s="57">
        <f>IF($A21="","",IF(IFERROR(VALUE($D21),0)&lt;&gt;1,"Non attiva",IF(OR(IFERROR(VALUE($J21),0)&lt;&gt;1,IFERROR(VALUE($K21),0)&lt;&gt;1),"Singoli non attivi",IF(OR(IFERROR(INDEX(Offerte!$G$2:$G$81,MATCH($A21&amp;"|"&amp;$H21,Offerte!$L$2:$L$81,0)),"NO")&lt;&gt;"SI",IFERROR(INDEX(Offerte!$G$2:$G$81,MATCH($A21&amp;"|"&amp;$I21,Offerte!$L$2:$L$81,0)),"NO")&lt;&gt;"SI"),"Soglia non superata",IF(OR(IFERROR(VALUE($F21),0)&lt;&gt;1,IFERROR(VALUE($G21),0)&lt;&gt;1),"Buste/PEF non confermati",IF(IFERROR(VALUE($E21),0)&lt;=$U21,"Ribasso non migliorativo",""))))))</f>
        <v/>
      </c>
      <c r="S21" s="57">
        <f>IF($H21="","",IFERROR(INDEX(Offerte!$F$2:$F$81,MATCH($A21&amp;"|"&amp;$H21,Offerte!$L$2:$L$81,0)),0))</f>
        <v/>
      </c>
      <c r="T21" s="57">
        <f>IF($I21="","",IFERROR(INDEX(Offerte!$F$2:$F$81,MATCH($A21&amp;"|"&amp;$I21,Offerte!$L$2:$L$81,0)),0))</f>
        <v/>
      </c>
      <c r="U21" s="57">
        <f>IF($A21="","",ROUND((IFERROR(VALUE($S21),0)+IFERROR(VALUE($T21),0))/2,4))</f>
        <v/>
      </c>
      <c r="V21" s="57">
        <f>IF($A21="","",$C21&amp;"|"&amp;TEXT($Q21,"0.0000"))</f>
        <v/>
      </c>
      <c r="W21" s="57">
        <f>IF($A21="","",$C21&amp;"|"&amp;$A21)</f>
        <v/>
      </c>
    </row>
    <row r="22">
      <c r="A22" s="73" t="n"/>
      <c r="B22" s="73">
        <f>IF($A22="","",IFERROR(INDEX(Offerte!$B$2:$B$81,MATCH($A22,Offerte!$A$2:$A$81,0)),""))</f>
        <v/>
      </c>
      <c r="C22" s="73" t="n"/>
      <c r="D22" s="73" t="n"/>
      <c r="E22" s="73" t="n"/>
      <c r="F22" s="73" t="n"/>
      <c r="G22" s="73" t="n"/>
      <c r="H22" s="57">
        <f>IF($C22="L1+L2","L1",IF($C22="L2+L3","L2",IF($C22="L3+L4","L3",IF($C22="L1+L4","L1",""))))</f>
        <v/>
      </c>
      <c r="I22" s="57">
        <f>IF($C22="L1+L2","L2",IF($C22="L2+L3","L3",IF($C22="L3+L4","L4",IF($C22="L1+L4","L4",""))))</f>
        <v/>
      </c>
      <c r="J22" s="57">
        <f>IF($H22="","",IFERROR(INDEX(Offerte!$D$2:$D$81,MATCH($A22&amp;"|"&amp;$H22,Offerte!$L$2:$L$81,0)),0))</f>
        <v/>
      </c>
      <c r="K22" s="57">
        <f>IF($I22="","",IFERROR(INDEX(Offerte!$D$2:$D$81,MATCH($A22&amp;"|"&amp;$I22,Offerte!$L$2:$L$81,0)),0))</f>
        <v/>
      </c>
      <c r="L22" s="57">
        <f>IF($H22="","",IFERROR(INDEX(Offerte!$E$2:$E$81,MATCH($A22&amp;"|"&amp;$H22,Offerte!$L$2:$L$81,0)),0))</f>
        <v/>
      </c>
      <c r="M22" s="57">
        <f>IF($I22="","",IFERROR(INDEX(Offerte!$E$2:$E$81,MATCH($A22&amp;"|"&amp;$I22,Offerte!$L$2:$L$81,0)),0))</f>
        <v/>
      </c>
      <c r="N22" s="57">
        <f>IF($A22="","",IF(IFERROR(VALUE($D22),0)&lt;&gt;1,"NO",IF(AND(IFERROR(VALUE($J22),0)=1,IFERROR(VALUE($K22),0)=1,IFERROR(INDEX(Offerte!$G$2:$G$81,MATCH($A22&amp;"|"&amp;$H22,Offerte!$L$2:$L$81,0)),"NO")="SI",IFERROR(INDEX(Offerte!$G$2:$G$81,MATCH($A22&amp;"|"&amp;$I22,Offerte!$L$2:$L$81,0)),"NO")="SI",IFERROR(VALUE($F22),0)=1,IFERROR(VALUE($G22),0)=1,IFERROR(VALUE($E22),0)&gt;$U22),"SI","NO")))</f>
        <v/>
      </c>
      <c r="O22" s="57">
        <f>IF($N22="SI",IFERROR(30*(IFERROR(VALUE($E22),0)/MAX(SUMPRODUCT(MAX((Offerte!$C$2:$C$81=$H22)*(IFERROR(Offerte!$D$2:$D$81*1,0)=1)*(IFERROR(Offerte!$E$2:$E$81*1,0)&gt;=Parametri!$B$2)*IFERROR(Offerte!$F$2:$F$81*1,0))),SUMPRODUCT(MAX(($H$5:$H$80=$H22)*($N$5:$N$80="SI")*IFERROR($E$5:$E$80*1,0))),SUMPRODUCT(MAX(($I$5:$I$80=$H22)*($N$5:$N$80="SI")*IFERROR($E$5:$E$80*1,0))))),0),0)</f>
        <v/>
      </c>
      <c r="P22" s="57">
        <f>IF($N22="SI",IFERROR(30*(IFERROR(VALUE($E22),0)/MAX(SUMPRODUCT(MAX((Offerte!$C$2:$C$81=$I22)*(IFERROR(Offerte!$D$2:$D$81*1,0)=1)*(IFERROR(Offerte!$E$2:$E$81*1,0)&gt;=Parametri!$B$2)*IFERROR(Offerte!$F$2:$F$81*1,0))),SUMPRODUCT(MAX(($H$5:$H$80=$I22)*($N$5:$N$80="SI")*IFERROR($E$5:$E$80*1,0))),SUMPRODUCT(MAX(($I$5:$I$80=$I22)*($N$5:$N$80="SI")*IFERROR($E$5:$E$80*1,0))))),0),0)</f>
        <v/>
      </c>
      <c r="Q22" s="57">
        <f>IF($N22="SI",ROUND($L22+$M22+$O22+$P22,4),0)</f>
        <v/>
      </c>
      <c r="R22" s="57">
        <f>IF($A22="","",IF(IFERROR(VALUE($D22),0)&lt;&gt;1,"Non attiva",IF(OR(IFERROR(VALUE($J22),0)&lt;&gt;1,IFERROR(VALUE($K22),0)&lt;&gt;1),"Singoli non attivi",IF(OR(IFERROR(INDEX(Offerte!$G$2:$G$81,MATCH($A22&amp;"|"&amp;$H22,Offerte!$L$2:$L$81,0)),"NO")&lt;&gt;"SI",IFERROR(INDEX(Offerte!$G$2:$G$81,MATCH($A22&amp;"|"&amp;$I22,Offerte!$L$2:$L$81,0)),"NO")&lt;&gt;"SI"),"Soglia non superata",IF(OR(IFERROR(VALUE($F22),0)&lt;&gt;1,IFERROR(VALUE($G22),0)&lt;&gt;1),"Buste/PEF non confermati",IF(IFERROR(VALUE($E22),0)&lt;=$U22,"Ribasso non migliorativo",""))))))</f>
        <v/>
      </c>
      <c r="S22" s="57">
        <f>IF($H22="","",IFERROR(INDEX(Offerte!$F$2:$F$81,MATCH($A22&amp;"|"&amp;$H22,Offerte!$L$2:$L$81,0)),0))</f>
        <v/>
      </c>
      <c r="T22" s="57">
        <f>IF($I22="","",IFERROR(INDEX(Offerte!$F$2:$F$81,MATCH($A22&amp;"|"&amp;$I22,Offerte!$L$2:$L$81,0)),0))</f>
        <v/>
      </c>
      <c r="U22" s="57">
        <f>IF($A22="","",ROUND((IFERROR(VALUE($S22),0)+IFERROR(VALUE($T22),0))/2,4))</f>
        <v/>
      </c>
      <c r="V22" s="57">
        <f>IF($A22="","",$C22&amp;"|"&amp;TEXT($Q22,"0.0000"))</f>
        <v/>
      </c>
      <c r="W22" s="57">
        <f>IF($A22="","",$C22&amp;"|"&amp;$A22)</f>
        <v/>
      </c>
    </row>
    <row r="23">
      <c r="A23" s="73" t="n"/>
      <c r="B23" s="73">
        <f>IF($A23="","",IFERROR(INDEX(Offerte!$B$2:$B$81,MATCH($A23,Offerte!$A$2:$A$81,0)),""))</f>
        <v/>
      </c>
      <c r="C23" s="73" t="n"/>
      <c r="D23" s="73" t="n"/>
      <c r="E23" s="73" t="n"/>
      <c r="F23" s="73" t="n"/>
      <c r="G23" s="73" t="n"/>
      <c r="H23" s="57">
        <f>IF($C23="L1+L2","L1",IF($C23="L2+L3","L2",IF($C23="L3+L4","L3",IF($C23="L1+L4","L1",""))))</f>
        <v/>
      </c>
      <c r="I23" s="57">
        <f>IF($C23="L1+L2","L2",IF($C23="L2+L3","L3",IF($C23="L3+L4","L4",IF($C23="L1+L4","L4",""))))</f>
        <v/>
      </c>
      <c r="J23" s="57">
        <f>IF($H23="","",IFERROR(INDEX(Offerte!$D$2:$D$81,MATCH($A23&amp;"|"&amp;$H23,Offerte!$L$2:$L$81,0)),0))</f>
        <v/>
      </c>
      <c r="K23" s="57">
        <f>IF($I23="","",IFERROR(INDEX(Offerte!$D$2:$D$81,MATCH($A23&amp;"|"&amp;$I23,Offerte!$L$2:$L$81,0)),0))</f>
        <v/>
      </c>
      <c r="L23" s="57">
        <f>IF($H23="","",IFERROR(INDEX(Offerte!$E$2:$E$81,MATCH($A23&amp;"|"&amp;$H23,Offerte!$L$2:$L$81,0)),0))</f>
        <v/>
      </c>
      <c r="M23" s="57">
        <f>IF($I23="","",IFERROR(INDEX(Offerte!$E$2:$E$81,MATCH($A23&amp;"|"&amp;$I23,Offerte!$L$2:$L$81,0)),0))</f>
        <v/>
      </c>
      <c r="N23" s="57">
        <f>IF($A23="","",IF(IFERROR(VALUE($D23),0)&lt;&gt;1,"NO",IF(AND(IFERROR(VALUE($J23),0)=1,IFERROR(VALUE($K23),0)=1,IFERROR(INDEX(Offerte!$G$2:$G$81,MATCH($A23&amp;"|"&amp;$H23,Offerte!$L$2:$L$81,0)),"NO")="SI",IFERROR(INDEX(Offerte!$G$2:$G$81,MATCH($A23&amp;"|"&amp;$I23,Offerte!$L$2:$L$81,0)),"NO")="SI",IFERROR(VALUE($F23),0)=1,IFERROR(VALUE($G23),0)=1,IFERROR(VALUE($E23),0)&gt;$U23),"SI","NO")))</f>
        <v/>
      </c>
      <c r="O23" s="57">
        <f>IF($N23="SI",IFERROR(30*(IFERROR(VALUE($E23),0)/MAX(SUMPRODUCT(MAX((Offerte!$C$2:$C$81=$H23)*(IFERROR(Offerte!$D$2:$D$81*1,0)=1)*(IFERROR(Offerte!$E$2:$E$81*1,0)&gt;=Parametri!$B$2)*IFERROR(Offerte!$F$2:$F$81*1,0))),SUMPRODUCT(MAX(($H$5:$H$80=$H23)*($N$5:$N$80="SI")*IFERROR($E$5:$E$80*1,0))),SUMPRODUCT(MAX(($I$5:$I$80=$H23)*($N$5:$N$80="SI")*IFERROR($E$5:$E$80*1,0))))),0),0)</f>
        <v/>
      </c>
      <c r="P23" s="57">
        <f>IF($N23="SI",IFERROR(30*(IFERROR(VALUE($E23),0)/MAX(SUMPRODUCT(MAX((Offerte!$C$2:$C$81=$I23)*(IFERROR(Offerte!$D$2:$D$81*1,0)=1)*(IFERROR(Offerte!$E$2:$E$81*1,0)&gt;=Parametri!$B$2)*IFERROR(Offerte!$F$2:$F$81*1,0))),SUMPRODUCT(MAX(($H$5:$H$80=$I23)*($N$5:$N$80="SI")*IFERROR($E$5:$E$80*1,0))),SUMPRODUCT(MAX(($I$5:$I$80=$I23)*($N$5:$N$80="SI")*IFERROR($E$5:$E$80*1,0))))),0),0)</f>
        <v/>
      </c>
      <c r="Q23" s="57">
        <f>IF($N23="SI",ROUND($L23+$M23+$O23+$P23,4),0)</f>
        <v/>
      </c>
      <c r="R23" s="57">
        <f>IF($A23="","",IF(IFERROR(VALUE($D23),0)&lt;&gt;1,"Non attiva",IF(OR(IFERROR(VALUE($J23),0)&lt;&gt;1,IFERROR(VALUE($K23),0)&lt;&gt;1),"Singoli non attivi",IF(OR(IFERROR(INDEX(Offerte!$G$2:$G$81,MATCH($A23&amp;"|"&amp;$H23,Offerte!$L$2:$L$81,0)),"NO")&lt;&gt;"SI",IFERROR(INDEX(Offerte!$G$2:$G$81,MATCH($A23&amp;"|"&amp;$I23,Offerte!$L$2:$L$81,0)),"NO")&lt;&gt;"SI"),"Soglia non superata",IF(OR(IFERROR(VALUE($F23),0)&lt;&gt;1,IFERROR(VALUE($G23),0)&lt;&gt;1),"Buste/PEF non confermati",IF(IFERROR(VALUE($E23),0)&lt;=$U23,"Ribasso non migliorativo",""))))))</f>
        <v/>
      </c>
      <c r="S23" s="57">
        <f>IF($H23="","",IFERROR(INDEX(Offerte!$F$2:$F$81,MATCH($A23&amp;"|"&amp;$H23,Offerte!$L$2:$L$81,0)),0))</f>
        <v/>
      </c>
      <c r="T23" s="57">
        <f>IF($I23="","",IFERROR(INDEX(Offerte!$F$2:$F$81,MATCH($A23&amp;"|"&amp;$I23,Offerte!$L$2:$L$81,0)),0))</f>
        <v/>
      </c>
      <c r="U23" s="57">
        <f>IF($A23="","",ROUND((IFERROR(VALUE($S23),0)+IFERROR(VALUE($T23),0))/2,4))</f>
        <v/>
      </c>
      <c r="V23" s="57">
        <f>IF($A23="","",$C23&amp;"|"&amp;TEXT($Q23,"0.0000"))</f>
        <v/>
      </c>
      <c r="W23" s="57">
        <f>IF($A23="","",$C23&amp;"|"&amp;$A23)</f>
        <v/>
      </c>
    </row>
    <row r="24">
      <c r="A24" s="73" t="n"/>
      <c r="B24" s="73">
        <f>IF($A24="","",IFERROR(INDEX(Offerte!$B$2:$B$81,MATCH($A24,Offerte!$A$2:$A$81,0)),""))</f>
        <v/>
      </c>
      <c r="C24" s="73" t="n"/>
      <c r="D24" s="73" t="n"/>
      <c r="E24" s="73" t="n"/>
      <c r="F24" s="73" t="n"/>
      <c r="G24" s="73" t="n"/>
      <c r="H24" s="57">
        <f>IF($C24="L1+L2","L1",IF($C24="L2+L3","L2",IF($C24="L3+L4","L3",IF($C24="L1+L4","L1",""))))</f>
        <v/>
      </c>
      <c r="I24" s="57">
        <f>IF($C24="L1+L2","L2",IF($C24="L2+L3","L3",IF($C24="L3+L4","L4",IF($C24="L1+L4","L4",""))))</f>
        <v/>
      </c>
      <c r="J24" s="57">
        <f>IF($H24="","",IFERROR(INDEX(Offerte!$D$2:$D$81,MATCH($A24&amp;"|"&amp;$H24,Offerte!$L$2:$L$81,0)),0))</f>
        <v/>
      </c>
      <c r="K24" s="57">
        <f>IF($I24="","",IFERROR(INDEX(Offerte!$D$2:$D$81,MATCH($A24&amp;"|"&amp;$I24,Offerte!$L$2:$L$81,0)),0))</f>
        <v/>
      </c>
      <c r="L24" s="57">
        <f>IF($H24="","",IFERROR(INDEX(Offerte!$E$2:$E$81,MATCH($A24&amp;"|"&amp;$H24,Offerte!$L$2:$L$81,0)),0))</f>
        <v/>
      </c>
      <c r="M24" s="57">
        <f>IF($I24="","",IFERROR(INDEX(Offerte!$E$2:$E$81,MATCH($A24&amp;"|"&amp;$I24,Offerte!$L$2:$L$81,0)),0))</f>
        <v/>
      </c>
      <c r="N24" s="57">
        <f>IF($A24="","",IF(IFERROR(VALUE($D24),0)&lt;&gt;1,"NO",IF(AND(IFERROR(VALUE($J24),0)=1,IFERROR(VALUE($K24),0)=1,IFERROR(INDEX(Offerte!$G$2:$G$81,MATCH($A24&amp;"|"&amp;$H24,Offerte!$L$2:$L$81,0)),"NO")="SI",IFERROR(INDEX(Offerte!$G$2:$G$81,MATCH($A24&amp;"|"&amp;$I24,Offerte!$L$2:$L$81,0)),"NO")="SI",IFERROR(VALUE($F24),0)=1,IFERROR(VALUE($G24),0)=1,IFERROR(VALUE($E24),0)&gt;$U24),"SI","NO")))</f>
        <v/>
      </c>
      <c r="O24" s="57">
        <f>IF($N24="SI",IFERROR(30*(IFERROR(VALUE($E24),0)/MAX(SUMPRODUCT(MAX((Offerte!$C$2:$C$81=$H24)*(IFERROR(Offerte!$D$2:$D$81*1,0)=1)*(IFERROR(Offerte!$E$2:$E$81*1,0)&gt;=Parametri!$B$2)*IFERROR(Offerte!$F$2:$F$81*1,0))),SUMPRODUCT(MAX(($H$5:$H$80=$H24)*($N$5:$N$80="SI")*IFERROR($E$5:$E$80*1,0))),SUMPRODUCT(MAX(($I$5:$I$80=$H24)*($N$5:$N$80="SI")*IFERROR($E$5:$E$80*1,0))))),0),0)</f>
        <v/>
      </c>
      <c r="P24" s="57">
        <f>IF($N24="SI",IFERROR(30*(IFERROR(VALUE($E24),0)/MAX(SUMPRODUCT(MAX((Offerte!$C$2:$C$81=$I24)*(IFERROR(Offerte!$D$2:$D$81*1,0)=1)*(IFERROR(Offerte!$E$2:$E$81*1,0)&gt;=Parametri!$B$2)*IFERROR(Offerte!$F$2:$F$81*1,0))),SUMPRODUCT(MAX(($H$5:$H$80=$I24)*($N$5:$N$80="SI")*IFERROR($E$5:$E$80*1,0))),SUMPRODUCT(MAX(($I$5:$I$80=$I24)*($N$5:$N$80="SI")*IFERROR($E$5:$E$80*1,0))))),0),0)</f>
        <v/>
      </c>
      <c r="Q24" s="57">
        <f>IF($N24="SI",ROUND($L24+$M24+$O24+$P24,4),0)</f>
        <v/>
      </c>
      <c r="R24" s="57">
        <f>IF($A24="","",IF(IFERROR(VALUE($D24),0)&lt;&gt;1,"Non attiva",IF(OR(IFERROR(VALUE($J24),0)&lt;&gt;1,IFERROR(VALUE($K24),0)&lt;&gt;1),"Singoli non attivi",IF(OR(IFERROR(INDEX(Offerte!$G$2:$G$81,MATCH($A24&amp;"|"&amp;$H24,Offerte!$L$2:$L$81,0)),"NO")&lt;&gt;"SI",IFERROR(INDEX(Offerte!$G$2:$G$81,MATCH($A24&amp;"|"&amp;$I24,Offerte!$L$2:$L$81,0)),"NO")&lt;&gt;"SI"),"Soglia non superata",IF(OR(IFERROR(VALUE($F24),0)&lt;&gt;1,IFERROR(VALUE($G24),0)&lt;&gt;1),"Buste/PEF non confermati",IF(IFERROR(VALUE($E24),0)&lt;=$U24,"Ribasso non migliorativo",""))))))</f>
        <v/>
      </c>
      <c r="S24" s="57">
        <f>IF($H24="","",IFERROR(INDEX(Offerte!$F$2:$F$81,MATCH($A24&amp;"|"&amp;$H24,Offerte!$L$2:$L$81,0)),0))</f>
        <v/>
      </c>
      <c r="T24" s="57">
        <f>IF($I24="","",IFERROR(INDEX(Offerte!$F$2:$F$81,MATCH($A24&amp;"|"&amp;$I24,Offerte!$L$2:$L$81,0)),0))</f>
        <v/>
      </c>
      <c r="U24" s="57">
        <f>IF($A24="","",ROUND((IFERROR(VALUE($S24),0)+IFERROR(VALUE($T24),0))/2,4))</f>
        <v/>
      </c>
      <c r="V24" s="57">
        <f>IF($A24="","",$C24&amp;"|"&amp;TEXT($Q24,"0.0000"))</f>
        <v/>
      </c>
      <c r="W24" s="57">
        <f>IF($A24="","",$C24&amp;"|"&amp;$A24)</f>
        <v/>
      </c>
    </row>
    <row r="25">
      <c r="A25" s="73" t="n"/>
      <c r="B25" s="73">
        <f>IF($A25="","",IFERROR(INDEX(Offerte!$B$2:$B$81,MATCH($A25,Offerte!$A$2:$A$81,0)),""))</f>
        <v/>
      </c>
      <c r="C25" s="73" t="n"/>
      <c r="D25" s="73" t="n"/>
      <c r="E25" s="73" t="n"/>
      <c r="F25" s="73" t="n"/>
      <c r="G25" s="73" t="n"/>
      <c r="H25" s="57">
        <f>IF($C25="L1+L2","L1",IF($C25="L2+L3","L2",IF($C25="L3+L4","L3",IF($C25="L1+L4","L1",""))))</f>
        <v/>
      </c>
      <c r="I25" s="57">
        <f>IF($C25="L1+L2","L2",IF($C25="L2+L3","L3",IF($C25="L3+L4","L4",IF($C25="L1+L4","L4",""))))</f>
        <v/>
      </c>
      <c r="J25" s="57">
        <f>IF($H25="","",IFERROR(INDEX(Offerte!$D$2:$D$81,MATCH($A25&amp;"|"&amp;$H25,Offerte!$L$2:$L$81,0)),0))</f>
        <v/>
      </c>
      <c r="K25" s="57">
        <f>IF($I25="","",IFERROR(INDEX(Offerte!$D$2:$D$81,MATCH($A25&amp;"|"&amp;$I25,Offerte!$L$2:$L$81,0)),0))</f>
        <v/>
      </c>
      <c r="L25" s="57">
        <f>IF($H25="","",IFERROR(INDEX(Offerte!$E$2:$E$81,MATCH($A25&amp;"|"&amp;$H25,Offerte!$L$2:$L$81,0)),0))</f>
        <v/>
      </c>
      <c r="M25" s="57">
        <f>IF($I25="","",IFERROR(INDEX(Offerte!$E$2:$E$81,MATCH($A25&amp;"|"&amp;$I25,Offerte!$L$2:$L$81,0)),0))</f>
        <v/>
      </c>
      <c r="N25" s="57">
        <f>IF($A25="","",IF(IFERROR(VALUE($D25),0)&lt;&gt;1,"NO",IF(AND(IFERROR(VALUE($J25),0)=1,IFERROR(VALUE($K25),0)=1,IFERROR(INDEX(Offerte!$G$2:$G$81,MATCH($A25&amp;"|"&amp;$H25,Offerte!$L$2:$L$81,0)),"NO")="SI",IFERROR(INDEX(Offerte!$G$2:$G$81,MATCH($A25&amp;"|"&amp;$I25,Offerte!$L$2:$L$81,0)),"NO")="SI",IFERROR(VALUE($F25),0)=1,IFERROR(VALUE($G25),0)=1,IFERROR(VALUE($E25),0)&gt;$U25),"SI","NO")))</f>
        <v/>
      </c>
      <c r="O25" s="57">
        <f>IF($N25="SI",IFERROR(30*(IFERROR(VALUE($E25),0)/MAX(SUMPRODUCT(MAX((Offerte!$C$2:$C$81=$H25)*(IFERROR(Offerte!$D$2:$D$81*1,0)=1)*(IFERROR(Offerte!$E$2:$E$81*1,0)&gt;=Parametri!$B$2)*IFERROR(Offerte!$F$2:$F$81*1,0))),SUMPRODUCT(MAX(($H$5:$H$80=$H25)*($N$5:$N$80="SI")*IFERROR($E$5:$E$80*1,0))),SUMPRODUCT(MAX(($I$5:$I$80=$H25)*($N$5:$N$80="SI")*IFERROR($E$5:$E$80*1,0))))),0),0)</f>
        <v/>
      </c>
      <c r="P25" s="57">
        <f>IF($N25="SI",IFERROR(30*(IFERROR(VALUE($E25),0)/MAX(SUMPRODUCT(MAX((Offerte!$C$2:$C$81=$I25)*(IFERROR(Offerte!$D$2:$D$81*1,0)=1)*(IFERROR(Offerte!$E$2:$E$81*1,0)&gt;=Parametri!$B$2)*IFERROR(Offerte!$F$2:$F$81*1,0))),SUMPRODUCT(MAX(($H$5:$H$80=$I25)*($N$5:$N$80="SI")*IFERROR($E$5:$E$80*1,0))),SUMPRODUCT(MAX(($I$5:$I$80=$I25)*($N$5:$N$80="SI")*IFERROR($E$5:$E$80*1,0))))),0),0)</f>
        <v/>
      </c>
      <c r="Q25" s="57">
        <f>IF($N25="SI",ROUND($L25+$M25+$O25+$P25,4),0)</f>
        <v/>
      </c>
      <c r="R25" s="57">
        <f>IF($A25="","",IF(IFERROR(VALUE($D25),0)&lt;&gt;1,"Non attiva",IF(OR(IFERROR(VALUE($J25),0)&lt;&gt;1,IFERROR(VALUE($K25),0)&lt;&gt;1),"Singoli non attivi",IF(OR(IFERROR(INDEX(Offerte!$G$2:$G$81,MATCH($A25&amp;"|"&amp;$H25,Offerte!$L$2:$L$81,0)),"NO")&lt;&gt;"SI",IFERROR(INDEX(Offerte!$G$2:$G$81,MATCH($A25&amp;"|"&amp;$I25,Offerte!$L$2:$L$81,0)),"NO")&lt;&gt;"SI"),"Soglia non superata",IF(OR(IFERROR(VALUE($F25),0)&lt;&gt;1,IFERROR(VALUE($G25),0)&lt;&gt;1),"Buste/PEF non confermati",IF(IFERROR(VALUE($E25),0)&lt;=$U25,"Ribasso non migliorativo",""))))))</f>
        <v/>
      </c>
      <c r="S25" s="57">
        <f>IF($H25="","",IFERROR(INDEX(Offerte!$F$2:$F$81,MATCH($A25&amp;"|"&amp;$H25,Offerte!$L$2:$L$81,0)),0))</f>
        <v/>
      </c>
      <c r="T25" s="57">
        <f>IF($I25="","",IFERROR(INDEX(Offerte!$F$2:$F$81,MATCH($A25&amp;"|"&amp;$I25,Offerte!$L$2:$L$81,0)),0))</f>
        <v/>
      </c>
      <c r="U25" s="57">
        <f>IF($A25="","",ROUND((IFERROR(VALUE($S25),0)+IFERROR(VALUE($T25),0))/2,4))</f>
        <v/>
      </c>
      <c r="V25" s="57">
        <f>IF($A25="","",$C25&amp;"|"&amp;TEXT($Q25,"0.0000"))</f>
        <v/>
      </c>
      <c r="W25" s="57">
        <f>IF($A25="","",$C25&amp;"|"&amp;$A25)</f>
        <v/>
      </c>
    </row>
    <row r="26">
      <c r="A26" s="73" t="n"/>
      <c r="B26" s="73">
        <f>IF($A26="","",IFERROR(INDEX(Offerte!$B$2:$B$81,MATCH($A26,Offerte!$A$2:$A$81,0)),""))</f>
        <v/>
      </c>
      <c r="C26" s="73" t="n"/>
      <c r="D26" s="73" t="n"/>
      <c r="E26" s="73" t="n"/>
      <c r="F26" s="73" t="n"/>
      <c r="G26" s="73" t="n"/>
      <c r="H26" s="57">
        <f>IF($C26="L1+L2","L1",IF($C26="L2+L3","L2",IF($C26="L3+L4","L3",IF($C26="L1+L4","L1",""))))</f>
        <v/>
      </c>
      <c r="I26" s="57">
        <f>IF($C26="L1+L2","L2",IF($C26="L2+L3","L3",IF($C26="L3+L4","L4",IF($C26="L1+L4","L4",""))))</f>
        <v/>
      </c>
      <c r="J26" s="57">
        <f>IF($H26="","",IFERROR(INDEX(Offerte!$D$2:$D$81,MATCH($A26&amp;"|"&amp;$H26,Offerte!$L$2:$L$81,0)),0))</f>
        <v/>
      </c>
      <c r="K26" s="57">
        <f>IF($I26="","",IFERROR(INDEX(Offerte!$D$2:$D$81,MATCH($A26&amp;"|"&amp;$I26,Offerte!$L$2:$L$81,0)),0))</f>
        <v/>
      </c>
      <c r="L26" s="57">
        <f>IF($H26="","",IFERROR(INDEX(Offerte!$E$2:$E$81,MATCH($A26&amp;"|"&amp;$H26,Offerte!$L$2:$L$81,0)),0))</f>
        <v/>
      </c>
      <c r="M26" s="57">
        <f>IF($I26="","",IFERROR(INDEX(Offerte!$E$2:$E$81,MATCH($A26&amp;"|"&amp;$I26,Offerte!$L$2:$L$81,0)),0))</f>
        <v/>
      </c>
      <c r="N26" s="57">
        <f>IF($A26="","",IF(IFERROR(VALUE($D26),0)&lt;&gt;1,"NO",IF(AND(IFERROR(VALUE($J26),0)=1,IFERROR(VALUE($K26),0)=1,IFERROR(INDEX(Offerte!$G$2:$G$81,MATCH($A26&amp;"|"&amp;$H26,Offerte!$L$2:$L$81,0)),"NO")="SI",IFERROR(INDEX(Offerte!$G$2:$G$81,MATCH($A26&amp;"|"&amp;$I26,Offerte!$L$2:$L$81,0)),"NO")="SI",IFERROR(VALUE($F26),0)=1,IFERROR(VALUE($G26),0)=1,IFERROR(VALUE($E26),0)&gt;$U26),"SI","NO")))</f>
        <v/>
      </c>
      <c r="O26" s="57">
        <f>IF($N26="SI",IFERROR(30*(IFERROR(VALUE($E26),0)/MAX(SUMPRODUCT(MAX((Offerte!$C$2:$C$81=$H26)*(IFERROR(Offerte!$D$2:$D$81*1,0)=1)*(IFERROR(Offerte!$E$2:$E$81*1,0)&gt;=Parametri!$B$2)*IFERROR(Offerte!$F$2:$F$81*1,0))),SUMPRODUCT(MAX(($H$5:$H$80=$H26)*($N$5:$N$80="SI")*IFERROR($E$5:$E$80*1,0))),SUMPRODUCT(MAX(($I$5:$I$80=$H26)*($N$5:$N$80="SI")*IFERROR($E$5:$E$80*1,0))))),0),0)</f>
        <v/>
      </c>
      <c r="P26" s="57">
        <f>IF($N26="SI",IFERROR(30*(IFERROR(VALUE($E26),0)/MAX(SUMPRODUCT(MAX((Offerte!$C$2:$C$81=$I26)*(IFERROR(Offerte!$D$2:$D$81*1,0)=1)*(IFERROR(Offerte!$E$2:$E$81*1,0)&gt;=Parametri!$B$2)*IFERROR(Offerte!$F$2:$F$81*1,0))),SUMPRODUCT(MAX(($H$5:$H$80=$I26)*($N$5:$N$80="SI")*IFERROR($E$5:$E$80*1,0))),SUMPRODUCT(MAX(($I$5:$I$80=$I26)*($N$5:$N$80="SI")*IFERROR($E$5:$E$80*1,0))))),0),0)</f>
        <v/>
      </c>
      <c r="Q26" s="57">
        <f>IF($N26="SI",ROUND($L26+$M26+$O26+$P26,4),0)</f>
        <v/>
      </c>
      <c r="R26" s="57">
        <f>IF($A26="","",IF(IFERROR(VALUE($D26),0)&lt;&gt;1,"Non attiva",IF(OR(IFERROR(VALUE($J26),0)&lt;&gt;1,IFERROR(VALUE($K26),0)&lt;&gt;1),"Singoli non attivi",IF(OR(IFERROR(INDEX(Offerte!$G$2:$G$81,MATCH($A26&amp;"|"&amp;$H26,Offerte!$L$2:$L$81,0)),"NO")&lt;&gt;"SI",IFERROR(INDEX(Offerte!$G$2:$G$81,MATCH($A26&amp;"|"&amp;$I26,Offerte!$L$2:$L$81,0)),"NO")&lt;&gt;"SI"),"Soglia non superata",IF(OR(IFERROR(VALUE($F26),0)&lt;&gt;1,IFERROR(VALUE($G26),0)&lt;&gt;1),"Buste/PEF non confermati",IF(IFERROR(VALUE($E26),0)&lt;=$U26,"Ribasso non migliorativo",""))))))</f>
        <v/>
      </c>
      <c r="S26" s="57">
        <f>IF($H26="","",IFERROR(INDEX(Offerte!$F$2:$F$81,MATCH($A26&amp;"|"&amp;$H26,Offerte!$L$2:$L$81,0)),0))</f>
        <v/>
      </c>
      <c r="T26" s="57">
        <f>IF($I26="","",IFERROR(INDEX(Offerte!$F$2:$F$81,MATCH($A26&amp;"|"&amp;$I26,Offerte!$L$2:$L$81,0)),0))</f>
        <v/>
      </c>
      <c r="U26" s="57">
        <f>IF($A26="","",ROUND((IFERROR(VALUE($S26),0)+IFERROR(VALUE($T26),0))/2,4))</f>
        <v/>
      </c>
      <c r="V26" s="57">
        <f>IF($A26="","",$C26&amp;"|"&amp;TEXT($Q26,"0.0000"))</f>
        <v/>
      </c>
      <c r="W26" s="57">
        <f>IF($A26="","",$C26&amp;"|"&amp;$A26)</f>
        <v/>
      </c>
    </row>
    <row r="27">
      <c r="A27" s="73" t="n"/>
      <c r="B27" s="73">
        <f>IF($A27="","",IFERROR(INDEX(Offerte!$B$2:$B$81,MATCH($A27,Offerte!$A$2:$A$81,0)),""))</f>
        <v/>
      </c>
      <c r="C27" s="73" t="n"/>
      <c r="D27" s="73" t="n"/>
      <c r="E27" s="73" t="n"/>
      <c r="F27" s="73" t="n"/>
      <c r="G27" s="73" t="n"/>
      <c r="H27" s="57">
        <f>IF($C27="L1+L2","L1",IF($C27="L2+L3","L2",IF($C27="L3+L4","L3",IF($C27="L1+L4","L1",""))))</f>
        <v/>
      </c>
      <c r="I27" s="57">
        <f>IF($C27="L1+L2","L2",IF($C27="L2+L3","L3",IF($C27="L3+L4","L4",IF($C27="L1+L4","L4",""))))</f>
        <v/>
      </c>
      <c r="J27" s="57">
        <f>IF($H27="","",IFERROR(INDEX(Offerte!$D$2:$D$81,MATCH($A27&amp;"|"&amp;$H27,Offerte!$L$2:$L$81,0)),0))</f>
        <v/>
      </c>
      <c r="K27" s="57">
        <f>IF($I27="","",IFERROR(INDEX(Offerte!$D$2:$D$81,MATCH($A27&amp;"|"&amp;$I27,Offerte!$L$2:$L$81,0)),0))</f>
        <v/>
      </c>
      <c r="L27" s="57">
        <f>IF($H27="","",IFERROR(INDEX(Offerte!$E$2:$E$81,MATCH($A27&amp;"|"&amp;$H27,Offerte!$L$2:$L$81,0)),0))</f>
        <v/>
      </c>
      <c r="M27" s="57">
        <f>IF($I27="","",IFERROR(INDEX(Offerte!$E$2:$E$81,MATCH($A27&amp;"|"&amp;$I27,Offerte!$L$2:$L$81,0)),0))</f>
        <v/>
      </c>
      <c r="N27" s="57">
        <f>IF($A27="","",IF(IFERROR(VALUE($D27),0)&lt;&gt;1,"NO",IF(AND(IFERROR(VALUE($J27),0)=1,IFERROR(VALUE($K27),0)=1,IFERROR(INDEX(Offerte!$G$2:$G$81,MATCH($A27&amp;"|"&amp;$H27,Offerte!$L$2:$L$81,0)),"NO")="SI",IFERROR(INDEX(Offerte!$G$2:$G$81,MATCH($A27&amp;"|"&amp;$I27,Offerte!$L$2:$L$81,0)),"NO")="SI",IFERROR(VALUE($F27),0)=1,IFERROR(VALUE($G27),0)=1,IFERROR(VALUE($E27),0)&gt;$U27),"SI","NO")))</f>
        <v/>
      </c>
      <c r="O27" s="57">
        <f>IF($N27="SI",IFERROR(30*(IFERROR(VALUE($E27),0)/MAX(SUMPRODUCT(MAX((Offerte!$C$2:$C$81=$H27)*(IFERROR(Offerte!$D$2:$D$81*1,0)=1)*(IFERROR(Offerte!$E$2:$E$81*1,0)&gt;=Parametri!$B$2)*IFERROR(Offerte!$F$2:$F$81*1,0))),SUMPRODUCT(MAX(($H$5:$H$80=$H27)*($N$5:$N$80="SI")*IFERROR($E$5:$E$80*1,0))),SUMPRODUCT(MAX(($I$5:$I$80=$H27)*($N$5:$N$80="SI")*IFERROR($E$5:$E$80*1,0))))),0),0)</f>
        <v/>
      </c>
      <c r="P27" s="57">
        <f>IF($N27="SI",IFERROR(30*(IFERROR(VALUE($E27),0)/MAX(SUMPRODUCT(MAX((Offerte!$C$2:$C$81=$I27)*(IFERROR(Offerte!$D$2:$D$81*1,0)=1)*(IFERROR(Offerte!$E$2:$E$81*1,0)&gt;=Parametri!$B$2)*IFERROR(Offerte!$F$2:$F$81*1,0))),SUMPRODUCT(MAX(($H$5:$H$80=$I27)*($N$5:$N$80="SI")*IFERROR($E$5:$E$80*1,0))),SUMPRODUCT(MAX(($I$5:$I$80=$I27)*($N$5:$N$80="SI")*IFERROR($E$5:$E$80*1,0))))),0),0)</f>
        <v/>
      </c>
      <c r="Q27" s="57">
        <f>IF($N27="SI",ROUND($L27+$M27+$O27+$P27,4),0)</f>
        <v/>
      </c>
      <c r="R27" s="57">
        <f>IF($A27="","",IF(IFERROR(VALUE($D27),0)&lt;&gt;1,"Non attiva",IF(OR(IFERROR(VALUE($J27),0)&lt;&gt;1,IFERROR(VALUE($K27),0)&lt;&gt;1),"Singoli non attivi",IF(OR(IFERROR(INDEX(Offerte!$G$2:$G$81,MATCH($A27&amp;"|"&amp;$H27,Offerte!$L$2:$L$81,0)),"NO")&lt;&gt;"SI",IFERROR(INDEX(Offerte!$G$2:$G$81,MATCH($A27&amp;"|"&amp;$I27,Offerte!$L$2:$L$81,0)),"NO")&lt;&gt;"SI"),"Soglia non superata",IF(OR(IFERROR(VALUE($F27),0)&lt;&gt;1,IFERROR(VALUE($G27),0)&lt;&gt;1),"Buste/PEF non confermati",IF(IFERROR(VALUE($E27),0)&lt;=$U27,"Ribasso non migliorativo",""))))))</f>
        <v/>
      </c>
      <c r="S27" s="57">
        <f>IF($H27="","",IFERROR(INDEX(Offerte!$F$2:$F$81,MATCH($A27&amp;"|"&amp;$H27,Offerte!$L$2:$L$81,0)),0))</f>
        <v/>
      </c>
      <c r="T27" s="57">
        <f>IF($I27="","",IFERROR(INDEX(Offerte!$F$2:$F$81,MATCH($A27&amp;"|"&amp;$I27,Offerte!$L$2:$L$81,0)),0))</f>
        <v/>
      </c>
      <c r="U27" s="57">
        <f>IF($A27="","",ROUND((IFERROR(VALUE($S27),0)+IFERROR(VALUE($T27),0))/2,4))</f>
        <v/>
      </c>
      <c r="V27" s="57">
        <f>IF($A27="","",$C27&amp;"|"&amp;TEXT($Q27,"0.0000"))</f>
        <v/>
      </c>
      <c r="W27" s="57">
        <f>IF($A27="","",$C27&amp;"|"&amp;$A27)</f>
        <v/>
      </c>
    </row>
    <row r="28">
      <c r="A28" s="73" t="n"/>
      <c r="B28" s="73">
        <f>IF($A28="","",IFERROR(INDEX(Offerte!$B$2:$B$81,MATCH($A28,Offerte!$A$2:$A$81,0)),""))</f>
        <v/>
      </c>
      <c r="C28" s="73" t="n"/>
      <c r="D28" s="73" t="n"/>
      <c r="E28" s="73" t="n"/>
      <c r="F28" s="73" t="n"/>
      <c r="G28" s="73" t="n"/>
      <c r="H28" s="57">
        <f>IF($C28="L1+L2","L1",IF($C28="L2+L3","L2",IF($C28="L3+L4","L3",IF($C28="L1+L4","L1",""))))</f>
        <v/>
      </c>
      <c r="I28" s="57">
        <f>IF($C28="L1+L2","L2",IF($C28="L2+L3","L3",IF($C28="L3+L4","L4",IF($C28="L1+L4","L4",""))))</f>
        <v/>
      </c>
      <c r="J28" s="57">
        <f>IF($H28="","",IFERROR(INDEX(Offerte!$D$2:$D$81,MATCH($A28&amp;"|"&amp;$H28,Offerte!$L$2:$L$81,0)),0))</f>
        <v/>
      </c>
      <c r="K28" s="57">
        <f>IF($I28="","",IFERROR(INDEX(Offerte!$D$2:$D$81,MATCH($A28&amp;"|"&amp;$I28,Offerte!$L$2:$L$81,0)),0))</f>
        <v/>
      </c>
      <c r="L28" s="57">
        <f>IF($H28="","",IFERROR(INDEX(Offerte!$E$2:$E$81,MATCH($A28&amp;"|"&amp;$H28,Offerte!$L$2:$L$81,0)),0))</f>
        <v/>
      </c>
      <c r="M28" s="57">
        <f>IF($I28="","",IFERROR(INDEX(Offerte!$E$2:$E$81,MATCH($A28&amp;"|"&amp;$I28,Offerte!$L$2:$L$81,0)),0))</f>
        <v/>
      </c>
      <c r="N28" s="57">
        <f>IF($A28="","",IF(IFERROR(VALUE($D28),0)&lt;&gt;1,"NO",IF(AND(IFERROR(VALUE($J28),0)=1,IFERROR(VALUE($K28),0)=1,IFERROR(INDEX(Offerte!$G$2:$G$81,MATCH($A28&amp;"|"&amp;$H28,Offerte!$L$2:$L$81,0)),"NO")="SI",IFERROR(INDEX(Offerte!$G$2:$G$81,MATCH($A28&amp;"|"&amp;$I28,Offerte!$L$2:$L$81,0)),"NO")="SI",IFERROR(VALUE($F28),0)=1,IFERROR(VALUE($G28),0)=1,IFERROR(VALUE($E28),0)&gt;$U28),"SI","NO")))</f>
        <v/>
      </c>
      <c r="O28" s="57">
        <f>IF($N28="SI",IFERROR(30*(IFERROR(VALUE($E28),0)/MAX(SUMPRODUCT(MAX((Offerte!$C$2:$C$81=$H28)*(IFERROR(Offerte!$D$2:$D$81*1,0)=1)*(IFERROR(Offerte!$E$2:$E$81*1,0)&gt;=Parametri!$B$2)*IFERROR(Offerte!$F$2:$F$81*1,0))),SUMPRODUCT(MAX(($H$5:$H$80=$H28)*($N$5:$N$80="SI")*IFERROR($E$5:$E$80*1,0))),SUMPRODUCT(MAX(($I$5:$I$80=$H28)*($N$5:$N$80="SI")*IFERROR($E$5:$E$80*1,0))))),0),0)</f>
        <v/>
      </c>
      <c r="P28" s="57">
        <f>IF($N28="SI",IFERROR(30*(IFERROR(VALUE($E28),0)/MAX(SUMPRODUCT(MAX((Offerte!$C$2:$C$81=$I28)*(IFERROR(Offerte!$D$2:$D$81*1,0)=1)*(IFERROR(Offerte!$E$2:$E$81*1,0)&gt;=Parametri!$B$2)*IFERROR(Offerte!$F$2:$F$81*1,0))),SUMPRODUCT(MAX(($H$5:$H$80=$I28)*($N$5:$N$80="SI")*IFERROR($E$5:$E$80*1,0))),SUMPRODUCT(MAX(($I$5:$I$80=$I28)*($N$5:$N$80="SI")*IFERROR($E$5:$E$80*1,0))))),0),0)</f>
        <v/>
      </c>
      <c r="Q28" s="57">
        <f>IF($N28="SI",ROUND($L28+$M28+$O28+$P28,4),0)</f>
        <v/>
      </c>
      <c r="R28" s="57">
        <f>IF($A28="","",IF(IFERROR(VALUE($D28),0)&lt;&gt;1,"Non attiva",IF(OR(IFERROR(VALUE($J28),0)&lt;&gt;1,IFERROR(VALUE($K28),0)&lt;&gt;1),"Singoli non attivi",IF(OR(IFERROR(INDEX(Offerte!$G$2:$G$81,MATCH($A28&amp;"|"&amp;$H28,Offerte!$L$2:$L$81,0)),"NO")&lt;&gt;"SI",IFERROR(INDEX(Offerte!$G$2:$G$81,MATCH($A28&amp;"|"&amp;$I28,Offerte!$L$2:$L$81,0)),"NO")&lt;&gt;"SI"),"Soglia non superata",IF(OR(IFERROR(VALUE($F28),0)&lt;&gt;1,IFERROR(VALUE($G28),0)&lt;&gt;1),"Buste/PEF non confermati",IF(IFERROR(VALUE($E28),0)&lt;=$U28,"Ribasso non migliorativo",""))))))</f>
        <v/>
      </c>
      <c r="S28" s="57">
        <f>IF($H28="","",IFERROR(INDEX(Offerte!$F$2:$F$81,MATCH($A28&amp;"|"&amp;$H28,Offerte!$L$2:$L$81,0)),0))</f>
        <v/>
      </c>
      <c r="T28" s="57">
        <f>IF($I28="","",IFERROR(INDEX(Offerte!$F$2:$F$81,MATCH($A28&amp;"|"&amp;$I28,Offerte!$L$2:$L$81,0)),0))</f>
        <v/>
      </c>
      <c r="U28" s="57">
        <f>IF($A28="","",ROUND((IFERROR(VALUE($S28),0)+IFERROR(VALUE($T28),0))/2,4))</f>
        <v/>
      </c>
      <c r="V28" s="57">
        <f>IF($A28="","",$C28&amp;"|"&amp;TEXT($Q28,"0.0000"))</f>
        <v/>
      </c>
      <c r="W28" s="57">
        <f>IF($A28="","",$C28&amp;"|"&amp;$A28)</f>
        <v/>
      </c>
    </row>
    <row r="29">
      <c r="A29" s="73" t="n"/>
      <c r="B29" s="73">
        <f>IF($A29="","",IFERROR(INDEX(Offerte!$B$2:$B$81,MATCH($A29,Offerte!$A$2:$A$81,0)),""))</f>
        <v/>
      </c>
      <c r="C29" s="73" t="n"/>
      <c r="D29" s="73" t="n"/>
      <c r="E29" s="73" t="n"/>
      <c r="F29" s="73" t="n"/>
      <c r="G29" s="73" t="n"/>
      <c r="H29" s="57">
        <f>IF($C29="L1+L2","L1",IF($C29="L2+L3","L2",IF($C29="L3+L4","L3",IF($C29="L1+L4","L1",""))))</f>
        <v/>
      </c>
      <c r="I29" s="57">
        <f>IF($C29="L1+L2","L2",IF($C29="L2+L3","L3",IF($C29="L3+L4","L4",IF($C29="L1+L4","L4",""))))</f>
        <v/>
      </c>
      <c r="J29" s="57">
        <f>IF($H29="","",IFERROR(INDEX(Offerte!$D$2:$D$81,MATCH($A29&amp;"|"&amp;$H29,Offerte!$L$2:$L$81,0)),0))</f>
        <v/>
      </c>
      <c r="K29" s="57">
        <f>IF($I29="","",IFERROR(INDEX(Offerte!$D$2:$D$81,MATCH($A29&amp;"|"&amp;$I29,Offerte!$L$2:$L$81,0)),0))</f>
        <v/>
      </c>
      <c r="L29" s="57">
        <f>IF($H29="","",IFERROR(INDEX(Offerte!$E$2:$E$81,MATCH($A29&amp;"|"&amp;$H29,Offerte!$L$2:$L$81,0)),0))</f>
        <v/>
      </c>
      <c r="M29" s="57">
        <f>IF($I29="","",IFERROR(INDEX(Offerte!$E$2:$E$81,MATCH($A29&amp;"|"&amp;$I29,Offerte!$L$2:$L$81,0)),0))</f>
        <v/>
      </c>
      <c r="N29" s="57">
        <f>IF($A29="","",IF(IFERROR(VALUE($D29),0)&lt;&gt;1,"NO",IF(AND(IFERROR(VALUE($J29),0)=1,IFERROR(VALUE($K29),0)=1,IFERROR(INDEX(Offerte!$G$2:$G$81,MATCH($A29&amp;"|"&amp;$H29,Offerte!$L$2:$L$81,0)),"NO")="SI",IFERROR(INDEX(Offerte!$G$2:$G$81,MATCH($A29&amp;"|"&amp;$I29,Offerte!$L$2:$L$81,0)),"NO")="SI",IFERROR(VALUE($F29),0)=1,IFERROR(VALUE($G29),0)=1,IFERROR(VALUE($E29),0)&gt;$U29),"SI","NO")))</f>
        <v/>
      </c>
      <c r="O29" s="57">
        <f>IF($N29="SI",IFERROR(30*(IFERROR(VALUE($E29),0)/MAX(SUMPRODUCT(MAX((Offerte!$C$2:$C$81=$H29)*(IFERROR(Offerte!$D$2:$D$81*1,0)=1)*(IFERROR(Offerte!$E$2:$E$81*1,0)&gt;=Parametri!$B$2)*IFERROR(Offerte!$F$2:$F$81*1,0))),SUMPRODUCT(MAX(($H$5:$H$80=$H29)*($N$5:$N$80="SI")*IFERROR($E$5:$E$80*1,0))),SUMPRODUCT(MAX(($I$5:$I$80=$H29)*($N$5:$N$80="SI")*IFERROR($E$5:$E$80*1,0))))),0),0)</f>
        <v/>
      </c>
      <c r="P29" s="57">
        <f>IF($N29="SI",IFERROR(30*(IFERROR(VALUE($E29),0)/MAX(SUMPRODUCT(MAX((Offerte!$C$2:$C$81=$I29)*(IFERROR(Offerte!$D$2:$D$81*1,0)=1)*(IFERROR(Offerte!$E$2:$E$81*1,0)&gt;=Parametri!$B$2)*IFERROR(Offerte!$F$2:$F$81*1,0))),SUMPRODUCT(MAX(($H$5:$H$80=$I29)*($N$5:$N$80="SI")*IFERROR($E$5:$E$80*1,0))),SUMPRODUCT(MAX(($I$5:$I$80=$I29)*($N$5:$N$80="SI")*IFERROR($E$5:$E$80*1,0))))),0),0)</f>
        <v/>
      </c>
      <c r="Q29" s="57">
        <f>IF($N29="SI",ROUND($L29+$M29+$O29+$P29,4),0)</f>
        <v/>
      </c>
      <c r="R29" s="57">
        <f>IF($A29="","",IF(IFERROR(VALUE($D29),0)&lt;&gt;1,"Non attiva",IF(OR(IFERROR(VALUE($J29),0)&lt;&gt;1,IFERROR(VALUE($K29),0)&lt;&gt;1),"Singoli non attivi",IF(OR(IFERROR(INDEX(Offerte!$G$2:$G$81,MATCH($A29&amp;"|"&amp;$H29,Offerte!$L$2:$L$81,0)),"NO")&lt;&gt;"SI",IFERROR(INDEX(Offerte!$G$2:$G$81,MATCH($A29&amp;"|"&amp;$I29,Offerte!$L$2:$L$81,0)),"NO")&lt;&gt;"SI"),"Soglia non superata",IF(OR(IFERROR(VALUE($F29),0)&lt;&gt;1,IFERROR(VALUE($G29),0)&lt;&gt;1),"Buste/PEF non confermati",IF(IFERROR(VALUE($E29),0)&lt;=$U29,"Ribasso non migliorativo",""))))))</f>
        <v/>
      </c>
      <c r="S29" s="57">
        <f>IF($H29="","",IFERROR(INDEX(Offerte!$F$2:$F$81,MATCH($A29&amp;"|"&amp;$H29,Offerte!$L$2:$L$81,0)),0))</f>
        <v/>
      </c>
      <c r="T29" s="57">
        <f>IF($I29="","",IFERROR(INDEX(Offerte!$F$2:$F$81,MATCH($A29&amp;"|"&amp;$I29,Offerte!$L$2:$L$81,0)),0))</f>
        <v/>
      </c>
      <c r="U29" s="57">
        <f>IF($A29="","",ROUND((IFERROR(VALUE($S29),0)+IFERROR(VALUE($T29),0))/2,4))</f>
        <v/>
      </c>
      <c r="V29" s="57">
        <f>IF($A29="","",$C29&amp;"|"&amp;TEXT($Q29,"0.0000"))</f>
        <v/>
      </c>
      <c r="W29" s="57">
        <f>IF($A29="","",$C29&amp;"|"&amp;$A29)</f>
        <v/>
      </c>
    </row>
    <row r="30">
      <c r="A30" s="73" t="n"/>
      <c r="B30" s="73">
        <f>IF($A30="","",IFERROR(INDEX(Offerte!$B$2:$B$81,MATCH($A30,Offerte!$A$2:$A$81,0)),""))</f>
        <v/>
      </c>
      <c r="C30" s="73" t="n"/>
      <c r="D30" s="73" t="n"/>
      <c r="E30" s="73" t="n"/>
      <c r="F30" s="73" t="n"/>
      <c r="G30" s="73" t="n"/>
      <c r="H30" s="57">
        <f>IF($C30="L1+L2","L1",IF($C30="L2+L3","L2",IF($C30="L3+L4","L3",IF($C30="L1+L4","L1",""))))</f>
        <v/>
      </c>
      <c r="I30" s="57">
        <f>IF($C30="L1+L2","L2",IF($C30="L2+L3","L3",IF($C30="L3+L4","L4",IF($C30="L1+L4","L4",""))))</f>
        <v/>
      </c>
      <c r="J30" s="57">
        <f>IF($H30="","",IFERROR(INDEX(Offerte!$D$2:$D$81,MATCH($A30&amp;"|"&amp;$H30,Offerte!$L$2:$L$81,0)),0))</f>
        <v/>
      </c>
      <c r="K30" s="57">
        <f>IF($I30="","",IFERROR(INDEX(Offerte!$D$2:$D$81,MATCH($A30&amp;"|"&amp;$I30,Offerte!$L$2:$L$81,0)),0))</f>
        <v/>
      </c>
      <c r="L30" s="57">
        <f>IF($H30="","",IFERROR(INDEX(Offerte!$E$2:$E$81,MATCH($A30&amp;"|"&amp;$H30,Offerte!$L$2:$L$81,0)),0))</f>
        <v/>
      </c>
      <c r="M30" s="57">
        <f>IF($I30="","",IFERROR(INDEX(Offerte!$E$2:$E$81,MATCH($A30&amp;"|"&amp;$I30,Offerte!$L$2:$L$81,0)),0))</f>
        <v/>
      </c>
      <c r="N30" s="57">
        <f>IF($A30="","",IF(IFERROR(VALUE($D30),0)&lt;&gt;1,"NO",IF(AND(IFERROR(VALUE($J30),0)=1,IFERROR(VALUE($K30),0)=1,IFERROR(INDEX(Offerte!$G$2:$G$81,MATCH($A30&amp;"|"&amp;$H30,Offerte!$L$2:$L$81,0)),"NO")="SI",IFERROR(INDEX(Offerte!$G$2:$G$81,MATCH($A30&amp;"|"&amp;$I30,Offerte!$L$2:$L$81,0)),"NO")="SI",IFERROR(VALUE($F30),0)=1,IFERROR(VALUE($G30),0)=1,IFERROR(VALUE($E30),0)&gt;$U30),"SI","NO")))</f>
        <v/>
      </c>
      <c r="O30" s="57">
        <f>IF($N30="SI",IFERROR(30*(IFERROR(VALUE($E30),0)/MAX(SUMPRODUCT(MAX((Offerte!$C$2:$C$81=$H30)*(IFERROR(Offerte!$D$2:$D$81*1,0)=1)*(IFERROR(Offerte!$E$2:$E$81*1,0)&gt;=Parametri!$B$2)*IFERROR(Offerte!$F$2:$F$81*1,0))),SUMPRODUCT(MAX(($H$5:$H$80=$H30)*($N$5:$N$80="SI")*IFERROR($E$5:$E$80*1,0))),SUMPRODUCT(MAX(($I$5:$I$80=$H30)*($N$5:$N$80="SI")*IFERROR($E$5:$E$80*1,0))))),0),0)</f>
        <v/>
      </c>
      <c r="P30" s="57">
        <f>IF($N30="SI",IFERROR(30*(IFERROR(VALUE($E30),0)/MAX(SUMPRODUCT(MAX((Offerte!$C$2:$C$81=$I30)*(IFERROR(Offerte!$D$2:$D$81*1,0)=1)*(IFERROR(Offerte!$E$2:$E$81*1,0)&gt;=Parametri!$B$2)*IFERROR(Offerte!$F$2:$F$81*1,0))),SUMPRODUCT(MAX(($H$5:$H$80=$I30)*($N$5:$N$80="SI")*IFERROR($E$5:$E$80*1,0))),SUMPRODUCT(MAX(($I$5:$I$80=$I30)*($N$5:$N$80="SI")*IFERROR($E$5:$E$80*1,0))))),0),0)</f>
        <v/>
      </c>
      <c r="Q30" s="57">
        <f>IF($N30="SI",ROUND($L30+$M30+$O30+$P30,4),0)</f>
        <v/>
      </c>
      <c r="R30" s="57">
        <f>IF($A30="","",IF(IFERROR(VALUE($D30),0)&lt;&gt;1,"Non attiva",IF(OR(IFERROR(VALUE($J30),0)&lt;&gt;1,IFERROR(VALUE($K30),0)&lt;&gt;1),"Singoli non attivi",IF(OR(IFERROR(INDEX(Offerte!$G$2:$G$81,MATCH($A30&amp;"|"&amp;$H30,Offerte!$L$2:$L$81,0)),"NO")&lt;&gt;"SI",IFERROR(INDEX(Offerte!$G$2:$G$81,MATCH($A30&amp;"|"&amp;$I30,Offerte!$L$2:$L$81,0)),"NO")&lt;&gt;"SI"),"Soglia non superata",IF(OR(IFERROR(VALUE($F30),0)&lt;&gt;1,IFERROR(VALUE($G30),0)&lt;&gt;1),"Buste/PEF non confermati",IF(IFERROR(VALUE($E30),0)&lt;=$U30,"Ribasso non migliorativo",""))))))</f>
        <v/>
      </c>
      <c r="S30" s="57">
        <f>IF($H30="","",IFERROR(INDEX(Offerte!$F$2:$F$81,MATCH($A30&amp;"|"&amp;$H30,Offerte!$L$2:$L$81,0)),0))</f>
        <v/>
      </c>
      <c r="T30" s="57">
        <f>IF($I30="","",IFERROR(INDEX(Offerte!$F$2:$F$81,MATCH($A30&amp;"|"&amp;$I30,Offerte!$L$2:$L$81,0)),0))</f>
        <v/>
      </c>
      <c r="U30" s="57">
        <f>IF($A30="","",ROUND((IFERROR(VALUE($S30),0)+IFERROR(VALUE($T30),0))/2,4))</f>
        <v/>
      </c>
      <c r="V30" s="57">
        <f>IF($A30="","",$C30&amp;"|"&amp;TEXT($Q30,"0.0000"))</f>
        <v/>
      </c>
      <c r="W30" s="57">
        <f>IF($A30="","",$C30&amp;"|"&amp;$A30)</f>
        <v/>
      </c>
    </row>
    <row r="31">
      <c r="A31" s="73" t="n"/>
      <c r="B31" s="73">
        <f>IF($A31="","",IFERROR(INDEX(Offerte!$B$2:$B$81,MATCH($A31,Offerte!$A$2:$A$81,0)),""))</f>
        <v/>
      </c>
      <c r="C31" s="73" t="n"/>
      <c r="D31" s="73" t="n"/>
      <c r="E31" s="73" t="n"/>
      <c r="F31" s="73" t="n"/>
      <c r="G31" s="73" t="n"/>
      <c r="H31" s="57">
        <f>IF($C31="L1+L2","L1",IF($C31="L2+L3","L2",IF($C31="L3+L4","L3",IF($C31="L1+L4","L1",""))))</f>
        <v/>
      </c>
      <c r="I31" s="57">
        <f>IF($C31="L1+L2","L2",IF($C31="L2+L3","L3",IF($C31="L3+L4","L4",IF($C31="L1+L4","L4",""))))</f>
        <v/>
      </c>
      <c r="J31" s="57">
        <f>IF($H31="","",IFERROR(INDEX(Offerte!$D$2:$D$81,MATCH($A31&amp;"|"&amp;$H31,Offerte!$L$2:$L$81,0)),0))</f>
        <v/>
      </c>
      <c r="K31" s="57">
        <f>IF($I31="","",IFERROR(INDEX(Offerte!$D$2:$D$81,MATCH($A31&amp;"|"&amp;$I31,Offerte!$L$2:$L$81,0)),0))</f>
        <v/>
      </c>
      <c r="L31" s="57">
        <f>IF($H31="","",IFERROR(INDEX(Offerte!$E$2:$E$81,MATCH($A31&amp;"|"&amp;$H31,Offerte!$L$2:$L$81,0)),0))</f>
        <v/>
      </c>
      <c r="M31" s="57">
        <f>IF($I31="","",IFERROR(INDEX(Offerte!$E$2:$E$81,MATCH($A31&amp;"|"&amp;$I31,Offerte!$L$2:$L$81,0)),0))</f>
        <v/>
      </c>
      <c r="N31" s="57">
        <f>IF($A31="","",IF(IFERROR(VALUE($D31),0)&lt;&gt;1,"NO",IF(AND(IFERROR(VALUE($J31),0)=1,IFERROR(VALUE($K31),0)=1,IFERROR(INDEX(Offerte!$G$2:$G$81,MATCH($A31&amp;"|"&amp;$H31,Offerte!$L$2:$L$81,0)),"NO")="SI",IFERROR(INDEX(Offerte!$G$2:$G$81,MATCH($A31&amp;"|"&amp;$I31,Offerte!$L$2:$L$81,0)),"NO")="SI",IFERROR(VALUE($F31),0)=1,IFERROR(VALUE($G31),0)=1,IFERROR(VALUE($E31),0)&gt;$U31),"SI","NO")))</f>
        <v/>
      </c>
      <c r="O31" s="57">
        <f>IF($N31="SI",IFERROR(30*(IFERROR(VALUE($E31),0)/MAX(SUMPRODUCT(MAX((Offerte!$C$2:$C$81=$H31)*(IFERROR(Offerte!$D$2:$D$81*1,0)=1)*(IFERROR(Offerte!$E$2:$E$81*1,0)&gt;=Parametri!$B$2)*IFERROR(Offerte!$F$2:$F$81*1,0))),SUMPRODUCT(MAX(($H$5:$H$80=$H31)*($N$5:$N$80="SI")*IFERROR($E$5:$E$80*1,0))),SUMPRODUCT(MAX(($I$5:$I$80=$H31)*($N$5:$N$80="SI")*IFERROR($E$5:$E$80*1,0))))),0),0)</f>
        <v/>
      </c>
      <c r="P31" s="57">
        <f>IF($N31="SI",IFERROR(30*(IFERROR(VALUE($E31),0)/MAX(SUMPRODUCT(MAX((Offerte!$C$2:$C$81=$I31)*(IFERROR(Offerte!$D$2:$D$81*1,0)=1)*(IFERROR(Offerte!$E$2:$E$81*1,0)&gt;=Parametri!$B$2)*IFERROR(Offerte!$F$2:$F$81*1,0))),SUMPRODUCT(MAX(($H$5:$H$80=$I31)*($N$5:$N$80="SI")*IFERROR($E$5:$E$80*1,0))),SUMPRODUCT(MAX(($I$5:$I$80=$I31)*($N$5:$N$80="SI")*IFERROR($E$5:$E$80*1,0))))),0),0)</f>
        <v/>
      </c>
      <c r="Q31" s="57">
        <f>IF($N31="SI",ROUND($L31+$M31+$O31+$P31,4),0)</f>
        <v/>
      </c>
      <c r="R31" s="57">
        <f>IF($A31="","",IF(IFERROR(VALUE($D31),0)&lt;&gt;1,"Non attiva",IF(OR(IFERROR(VALUE($J31),0)&lt;&gt;1,IFERROR(VALUE($K31),0)&lt;&gt;1),"Singoli non attivi",IF(OR(IFERROR(INDEX(Offerte!$G$2:$G$81,MATCH($A31&amp;"|"&amp;$H31,Offerte!$L$2:$L$81,0)),"NO")&lt;&gt;"SI",IFERROR(INDEX(Offerte!$G$2:$G$81,MATCH($A31&amp;"|"&amp;$I31,Offerte!$L$2:$L$81,0)),"NO")&lt;&gt;"SI"),"Soglia non superata",IF(OR(IFERROR(VALUE($F31),0)&lt;&gt;1,IFERROR(VALUE($G31),0)&lt;&gt;1),"Buste/PEF non confermati",IF(IFERROR(VALUE($E31),0)&lt;=$U31,"Ribasso non migliorativo",""))))))</f>
        <v/>
      </c>
      <c r="S31" s="57">
        <f>IF($H31="","",IFERROR(INDEX(Offerte!$F$2:$F$81,MATCH($A31&amp;"|"&amp;$H31,Offerte!$L$2:$L$81,0)),0))</f>
        <v/>
      </c>
      <c r="T31" s="57">
        <f>IF($I31="","",IFERROR(INDEX(Offerte!$F$2:$F$81,MATCH($A31&amp;"|"&amp;$I31,Offerte!$L$2:$L$81,0)),0))</f>
        <v/>
      </c>
      <c r="U31" s="57">
        <f>IF($A31="","",ROUND((IFERROR(VALUE($S31),0)+IFERROR(VALUE($T31),0))/2,4))</f>
        <v/>
      </c>
      <c r="V31" s="57">
        <f>IF($A31="","",$C31&amp;"|"&amp;TEXT($Q31,"0.0000"))</f>
        <v/>
      </c>
      <c r="W31" s="57">
        <f>IF($A31="","",$C31&amp;"|"&amp;$A31)</f>
        <v/>
      </c>
    </row>
    <row r="32">
      <c r="A32" s="73" t="n"/>
      <c r="B32" s="73">
        <f>IF($A32="","",IFERROR(INDEX(Offerte!$B$2:$B$81,MATCH($A32,Offerte!$A$2:$A$81,0)),""))</f>
        <v/>
      </c>
      <c r="C32" s="73" t="n"/>
      <c r="D32" s="73" t="n"/>
      <c r="E32" s="73" t="n"/>
      <c r="F32" s="73" t="n"/>
      <c r="G32" s="73" t="n"/>
      <c r="H32" s="57">
        <f>IF($C32="L1+L2","L1",IF($C32="L2+L3","L2",IF($C32="L3+L4","L3",IF($C32="L1+L4","L1",""))))</f>
        <v/>
      </c>
      <c r="I32" s="57">
        <f>IF($C32="L1+L2","L2",IF($C32="L2+L3","L3",IF($C32="L3+L4","L4",IF($C32="L1+L4","L4",""))))</f>
        <v/>
      </c>
      <c r="J32" s="57">
        <f>IF($H32="","",IFERROR(INDEX(Offerte!$D$2:$D$81,MATCH($A32&amp;"|"&amp;$H32,Offerte!$L$2:$L$81,0)),0))</f>
        <v/>
      </c>
      <c r="K32" s="57">
        <f>IF($I32="","",IFERROR(INDEX(Offerte!$D$2:$D$81,MATCH($A32&amp;"|"&amp;$I32,Offerte!$L$2:$L$81,0)),0))</f>
        <v/>
      </c>
      <c r="L32" s="57">
        <f>IF($H32="","",IFERROR(INDEX(Offerte!$E$2:$E$81,MATCH($A32&amp;"|"&amp;$H32,Offerte!$L$2:$L$81,0)),0))</f>
        <v/>
      </c>
      <c r="M32" s="57">
        <f>IF($I32="","",IFERROR(INDEX(Offerte!$E$2:$E$81,MATCH($A32&amp;"|"&amp;$I32,Offerte!$L$2:$L$81,0)),0))</f>
        <v/>
      </c>
      <c r="N32" s="57">
        <f>IF($A32="","",IF(IFERROR(VALUE($D32),0)&lt;&gt;1,"NO",IF(AND(IFERROR(VALUE($J32),0)=1,IFERROR(VALUE($K32),0)=1,IFERROR(INDEX(Offerte!$G$2:$G$81,MATCH($A32&amp;"|"&amp;$H32,Offerte!$L$2:$L$81,0)),"NO")="SI",IFERROR(INDEX(Offerte!$G$2:$G$81,MATCH($A32&amp;"|"&amp;$I32,Offerte!$L$2:$L$81,0)),"NO")="SI",IFERROR(VALUE($F32),0)=1,IFERROR(VALUE($G32),0)=1,IFERROR(VALUE($E32),0)&gt;$U32),"SI","NO")))</f>
        <v/>
      </c>
      <c r="O32" s="57">
        <f>IF($N32="SI",IFERROR(30*(IFERROR(VALUE($E32),0)/MAX(SUMPRODUCT(MAX((Offerte!$C$2:$C$81=$H32)*(IFERROR(Offerte!$D$2:$D$81*1,0)=1)*(IFERROR(Offerte!$E$2:$E$81*1,0)&gt;=Parametri!$B$2)*IFERROR(Offerte!$F$2:$F$81*1,0))),SUMPRODUCT(MAX(($H$5:$H$80=$H32)*($N$5:$N$80="SI")*IFERROR($E$5:$E$80*1,0))),SUMPRODUCT(MAX(($I$5:$I$80=$H32)*($N$5:$N$80="SI")*IFERROR($E$5:$E$80*1,0))))),0),0)</f>
        <v/>
      </c>
      <c r="P32" s="57">
        <f>IF($N32="SI",IFERROR(30*(IFERROR(VALUE($E32),0)/MAX(SUMPRODUCT(MAX((Offerte!$C$2:$C$81=$I32)*(IFERROR(Offerte!$D$2:$D$81*1,0)=1)*(IFERROR(Offerte!$E$2:$E$81*1,0)&gt;=Parametri!$B$2)*IFERROR(Offerte!$F$2:$F$81*1,0))),SUMPRODUCT(MAX(($H$5:$H$80=$I32)*($N$5:$N$80="SI")*IFERROR($E$5:$E$80*1,0))),SUMPRODUCT(MAX(($I$5:$I$80=$I32)*($N$5:$N$80="SI")*IFERROR($E$5:$E$80*1,0))))),0),0)</f>
        <v/>
      </c>
      <c r="Q32" s="57">
        <f>IF($N32="SI",ROUND($L32+$M32+$O32+$P32,4),0)</f>
        <v/>
      </c>
      <c r="R32" s="57">
        <f>IF($A32="","",IF(IFERROR(VALUE($D32),0)&lt;&gt;1,"Non attiva",IF(OR(IFERROR(VALUE($J32),0)&lt;&gt;1,IFERROR(VALUE($K32),0)&lt;&gt;1),"Singoli non attivi",IF(OR(IFERROR(INDEX(Offerte!$G$2:$G$81,MATCH($A32&amp;"|"&amp;$H32,Offerte!$L$2:$L$81,0)),"NO")&lt;&gt;"SI",IFERROR(INDEX(Offerte!$G$2:$G$81,MATCH($A32&amp;"|"&amp;$I32,Offerte!$L$2:$L$81,0)),"NO")&lt;&gt;"SI"),"Soglia non superata",IF(OR(IFERROR(VALUE($F32),0)&lt;&gt;1,IFERROR(VALUE($G32),0)&lt;&gt;1),"Buste/PEF non confermati",IF(IFERROR(VALUE($E32),0)&lt;=$U32,"Ribasso non migliorativo",""))))))</f>
        <v/>
      </c>
      <c r="S32" s="57">
        <f>IF($H32="","",IFERROR(INDEX(Offerte!$F$2:$F$81,MATCH($A32&amp;"|"&amp;$H32,Offerte!$L$2:$L$81,0)),0))</f>
        <v/>
      </c>
      <c r="T32" s="57">
        <f>IF($I32="","",IFERROR(INDEX(Offerte!$F$2:$F$81,MATCH($A32&amp;"|"&amp;$I32,Offerte!$L$2:$L$81,0)),0))</f>
        <v/>
      </c>
      <c r="U32" s="57">
        <f>IF($A32="","",ROUND((IFERROR(VALUE($S32),0)+IFERROR(VALUE($T32),0))/2,4))</f>
        <v/>
      </c>
      <c r="V32" s="57">
        <f>IF($A32="","",$C32&amp;"|"&amp;TEXT($Q32,"0.0000"))</f>
        <v/>
      </c>
      <c r="W32" s="57">
        <f>IF($A32="","",$C32&amp;"|"&amp;$A32)</f>
        <v/>
      </c>
    </row>
    <row r="33">
      <c r="A33" s="73" t="n"/>
      <c r="B33" s="73">
        <f>IF($A33="","",IFERROR(INDEX(Offerte!$B$2:$B$81,MATCH($A33,Offerte!$A$2:$A$81,0)),""))</f>
        <v/>
      </c>
      <c r="C33" s="73" t="n"/>
      <c r="D33" s="73" t="n"/>
      <c r="E33" s="73" t="n"/>
      <c r="F33" s="73" t="n"/>
      <c r="G33" s="73" t="n"/>
      <c r="H33" s="57">
        <f>IF($C33="L1+L2","L1",IF($C33="L2+L3","L2",IF($C33="L3+L4","L3",IF($C33="L1+L4","L1",""))))</f>
        <v/>
      </c>
      <c r="I33" s="57">
        <f>IF($C33="L1+L2","L2",IF($C33="L2+L3","L3",IF($C33="L3+L4","L4",IF($C33="L1+L4","L4",""))))</f>
        <v/>
      </c>
      <c r="J33" s="57">
        <f>IF($H33="","",IFERROR(INDEX(Offerte!$D$2:$D$81,MATCH($A33&amp;"|"&amp;$H33,Offerte!$L$2:$L$81,0)),0))</f>
        <v/>
      </c>
      <c r="K33" s="57">
        <f>IF($I33="","",IFERROR(INDEX(Offerte!$D$2:$D$81,MATCH($A33&amp;"|"&amp;$I33,Offerte!$L$2:$L$81,0)),0))</f>
        <v/>
      </c>
      <c r="L33" s="57">
        <f>IF($H33="","",IFERROR(INDEX(Offerte!$E$2:$E$81,MATCH($A33&amp;"|"&amp;$H33,Offerte!$L$2:$L$81,0)),0))</f>
        <v/>
      </c>
      <c r="M33" s="57">
        <f>IF($I33="","",IFERROR(INDEX(Offerte!$E$2:$E$81,MATCH($A33&amp;"|"&amp;$I33,Offerte!$L$2:$L$81,0)),0))</f>
        <v/>
      </c>
      <c r="N33" s="57">
        <f>IF($A33="","",IF(IFERROR(VALUE($D33),0)&lt;&gt;1,"NO",IF(AND(IFERROR(VALUE($J33),0)=1,IFERROR(VALUE($K33),0)=1,IFERROR(INDEX(Offerte!$G$2:$G$81,MATCH($A33&amp;"|"&amp;$H33,Offerte!$L$2:$L$81,0)),"NO")="SI",IFERROR(INDEX(Offerte!$G$2:$G$81,MATCH($A33&amp;"|"&amp;$I33,Offerte!$L$2:$L$81,0)),"NO")="SI",IFERROR(VALUE($F33),0)=1,IFERROR(VALUE($G33),0)=1,IFERROR(VALUE($E33),0)&gt;$U33),"SI","NO")))</f>
        <v/>
      </c>
      <c r="O33" s="57">
        <f>IF($N33="SI",IFERROR(30*(IFERROR(VALUE($E33),0)/MAX(SUMPRODUCT(MAX((Offerte!$C$2:$C$81=$H33)*(IFERROR(Offerte!$D$2:$D$81*1,0)=1)*(IFERROR(Offerte!$E$2:$E$81*1,0)&gt;=Parametri!$B$2)*IFERROR(Offerte!$F$2:$F$81*1,0))),SUMPRODUCT(MAX(($H$5:$H$80=$H33)*($N$5:$N$80="SI")*IFERROR($E$5:$E$80*1,0))),SUMPRODUCT(MAX(($I$5:$I$80=$H33)*($N$5:$N$80="SI")*IFERROR($E$5:$E$80*1,0))))),0),0)</f>
        <v/>
      </c>
      <c r="P33" s="57">
        <f>IF($N33="SI",IFERROR(30*(IFERROR(VALUE($E33),0)/MAX(SUMPRODUCT(MAX((Offerte!$C$2:$C$81=$I33)*(IFERROR(Offerte!$D$2:$D$81*1,0)=1)*(IFERROR(Offerte!$E$2:$E$81*1,0)&gt;=Parametri!$B$2)*IFERROR(Offerte!$F$2:$F$81*1,0))),SUMPRODUCT(MAX(($H$5:$H$80=$I33)*($N$5:$N$80="SI")*IFERROR($E$5:$E$80*1,0))),SUMPRODUCT(MAX(($I$5:$I$80=$I33)*($N$5:$N$80="SI")*IFERROR($E$5:$E$80*1,0))))),0),0)</f>
        <v/>
      </c>
      <c r="Q33" s="57">
        <f>IF($N33="SI",ROUND($L33+$M33+$O33+$P33,4),0)</f>
        <v/>
      </c>
      <c r="R33" s="57">
        <f>IF($A33="","",IF(IFERROR(VALUE($D33),0)&lt;&gt;1,"Non attiva",IF(OR(IFERROR(VALUE($J33),0)&lt;&gt;1,IFERROR(VALUE($K33),0)&lt;&gt;1),"Singoli non attivi",IF(OR(IFERROR(INDEX(Offerte!$G$2:$G$81,MATCH($A33&amp;"|"&amp;$H33,Offerte!$L$2:$L$81,0)),"NO")&lt;&gt;"SI",IFERROR(INDEX(Offerte!$G$2:$G$81,MATCH($A33&amp;"|"&amp;$I33,Offerte!$L$2:$L$81,0)),"NO")&lt;&gt;"SI"),"Soglia non superata",IF(OR(IFERROR(VALUE($F33),0)&lt;&gt;1,IFERROR(VALUE($G33),0)&lt;&gt;1),"Buste/PEF non confermati",IF(IFERROR(VALUE($E33),0)&lt;=$U33,"Ribasso non migliorativo",""))))))</f>
        <v/>
      </c>
      <c r="S33" s="57">
        <f>IF($H33="","",IFERROR(INDEX(Offerte!$F$2:$F$81,MATCH($A33&amp;"|"&amp;$H33,Offerte!$L$2:$L$81,0)),0))</f>
        <v/>
      </c>
      <c r="T33" s="57">
        <f>IF($I33="","",IFERROR(INDEX(Offerte!$F$2:$F$81,MATCH($A33&amp;"|"&amp;$I33,Offerte!$L$2:$L$81,0)),0))</f>
        <v/>
      </c>
      <c r="U33" s="57">
        <f>IF($A33="","",ROUND((IFERROR(VALUE($S33),0)+IFERROR(VALUE($T33),0))/2,4))</f>
        <v/>
      </c>
      <c r="V33" s="57">
        <f>IF($A33="","",$C33&amp;"|"&amp;TEXT($Q33,"0.0000"))</f>
        <v/>
      </c>
      <c r="W33" s="57">
        <f>IF($A33="","",$C33&amp;"|"&amp;$A33)</f>
        <v/>
      </c>
    </row>
    <row r="34">
      <c r="A34" s="73" t="n"/>
      <c r="B34" s="73">
        <f>IF($A34="","",IFERROR(INDEX(Offerte!$B$2:$B$81,MATCH($A34,Offerte!$A$2:$A$81,0)),""))</f>
        <v/>
      </c>
      <c r="C34" s="73" t="n"/>
      <c r="D34" s="73" t="n"/>
      <c r="E34" s="73" t="n"/>
      <c r="F34" s="73" t="n"/>
      <c r="G34" s="73" t="n"/>
      <c r="H34" s="57">
        <f>IF($C34="L1+L2","L1",IF($C34="L2+L3","L2",IF($C34="L3+L4","L3",IF($C34="L1+L4","L1",""))))</f>
        <v/>
      </c>
      <c r="I34" s="57">
        <f>IF($C34="L1+L2","L2",IF($C34="L2+L3","L3",IF($C34="L3+L4","L4",IF($C34="L1+L4","L4",""))))</f>
        <v/>
      </c>
      <c r="J34" s="57">
        <f>IF($H34="","",IFERROR(INDEX(Offerte!$D$2:$D$81,MATCH($A34&amp;"|"&amp;$H34,Offerte!$L$2:$L$81,0)),0))</f>
        <v/>
      </c>
      <c r="K34" s="57">
        <f>IF($I34="","",IFERROR(INDEX(Offerte!$D$2:$D$81,MATCH($A34&amp;"|"&amp;$I34,Offerte!$L$2:$L$81,0)),0))</f>
        <v/>
      </c>
      <c r="L34" s="57">
        <f>IF($H34="","",IFERROR(INDEX(Offerte!$E$2:$E$81,MATCH($A34&amp;"|"&amp;$H34,Offerte!$L$2:$L$81,0)),0))</f>
        <v/>
      </c>
      <c r="M34" s="57">
        <f>IF($I34="","",IFERROR(INDEX(Offerte!$E$2:$E$81,MATCH($A34&amp;"|"&amp;$I34,Offerte!$L$2:$L$81,0)),0))</f>
        <v/>
      </c>
      <c r="N34" s="57">
        <f>IF($A34="","",IF(IFERROR(VALUE($D34),0)&lt;&gt;1,"NO",IF(AND(IFERROR(VALUE($J34),0)=1,IFERROR(VALUE($K34),0)=1,IFERROR(INDEX(Offerte!$G$2:$G$81,MATCH($A34&amp;"|"&amp;$H34,Offerte!$L$2:$L$81,0)),"NO")="SI",IFERROR(INDEX(Offerte!$G$2:$G$81,MATCH($A34&amp;"|"&amp;$I34,Offerte!$L$2:$L$81,0)),"NO")="SI",IFERROR(VALUE($F34),0)=1,IFERROR(VALUE($G34),0)=1,IFERROR(VALUE($E34),0)&gt;$U34),"SI","NO")))</f>
        <v/>
      </c>
      <c r="O34" s="57">
        <f>IF($N34="SI",IFERROR(30*(IFERROR(VALUE($E34),0)/MAX(SUMPRODUCT(MAX((Offerte!$C$2:$C$81=$H34)*(IFERROR(Offerte!$D$2:$D$81*1,0)=1)*(IFERROR(Offerte!$E$2:$E$81*1,0)&gt;=Parametri!$B$2)*IFERROR(Offerte!$F$2:$F$81*1,0))),SUMPRODUCT(MAX(($H$5:$H$80=$H34)*($N$5:$N$80="SI")*IFERROR($E$5:$E$80*1,0))),SUMPRODUCT(MAX(($I$5:$I$80=$H34)*($N$5:$N$80="SI")*IFERROR($E$5:$E$80*1,0))))),0),0)</f>
        <v/>
      </c>
      <c r="P34" s="57">
        <f>IF($N34="SI",IFERROR(30*(IFERROR(VALUE($E34),0)/MAX(SUMPRODUCT(MAX((Offerte!$C$2:$C$81=$I34)*(IFERROR(Offerte!$D$2:$D$81*1,0)=1)*(IFERROR(Offerte!$E$2:$E$81*1,0)&gt;=Parametri!$B$2)*IFERROR(Offerte!$F$2:$F$81*1,0))),SUMPRODUCT(MAX(($H$5:$H$80=$I34)*($N$5:$N$80="SI")*IFERROR($E$5:$E$80*1,0))),SUMPRODUCT(MAX(($I$5:$I$80=$I34)*($N$5:$N$80="SI")*IFERROR($E$5:$E$80*1,0))))),0),0)</f>
        <v/>
      </c>
      <c r="Q34" s="57">
        <f>IF($N34="SI",ROUND($L34+$M34+$O34+$P34,4),0)</f>
        <v/>
      </c>
      <c r="R34" s="57">
        <f>IF($A34="","",IF(IFERROR(VALUE($D34),0)&lt;&gt;1,"Non attiva",IF(OR(IFERROR(VALUE($J34),0)&lt;&gt;1,IFERROR(VALUE($K34),0)&lt;&gt;1),"Singoli non attivi",IF(OR(IFERROR(INDEX(Offerte!$G$2:$G$81,MATCH($A34&amp;"|"&amp;$H34,Offerte!$L$2:$L$81,0)),"NO")&lt;&gt;"SI",IFERROR(INDEX(Offerte!$G$2:$G$81,MATCH($A34&amp;"|"&amp;$I34,Offerte!$L$2:$L$81,0)),"NO")&lt;&gt;"SI"),"Soglia non superata",IF(OR(IFERROR(VALUE($F34),0)&lt;&gt;1,IFERROR(VALUE($G34),0)&lt;&gt;1),"Buste/PEF non confermati",IF(IFERROR(VALUE($E34),0)&lt;=$U34,"Ribasso non migliorativo",""))))))</f>
        <v/>
      </c>
      <c r="S34" s="57">
        <f>IF($H34="","",IFERROR(INDEX(Offerte!$F$2:$F$81,MATCH($A34&amp;"|"&amp;$H34,Offerte!$L$2:$L$81,0)),0))</f>
        <v/>
      </c>
      <c r="T34" s="57">
        <f>IF($I34="","",IFERROR(INDEX(Offerte!$F$2:$F$81,MATCH($A34&amp;"|"&amp;$I34,Offerte!$L$2:$L$81,0)),0))</f>
        <v/>
      </c>
      <c r="U34" s="57">
        <f>IF($A34="","",ROUND((IFERROR(VALUE($S34),0)+IFERROR(VALUE($T34),0))/2,4))</f>
        <v/>
      </c>
      <c r="V34" s="57">
        <f>IF($A34="","",$C34&amp;"|"&amp;TEXT($Q34,"0.0000"))</f>
        <v/>
      </c>
      <c r="W34" s="57">
        <f>IF($A34="","",$C34&amp;"|"&amp;$A34)</f>
        <v/>
      </c>
    </row>
    <row r="35">
      <c r="A35" s="73" t="n"/>
      <c r="B35" s="73">
        <f>IF($A35="","",IFERROR(INDEX(Offerte!$B$2:$B$81,MATCH($A35,Offerte!$A$2:$A$81,0)),""))</f>
        <v/>
      </c>
      <c r="C35" s="73" t="n"/>
      <c r="D35" s="73" t="n"/>
      <c r="E35" s="73" t="n"/>
      <c r="F35" s="73" t="n"/>
      <c r="G35" s="73" t="n"/>
      <c r="H35" s="57">
        <f>IF($C35="L1+L2","L1",IF($C35="L2+L3","L2",IF($C35="L3+L4","L3",IF($C35="L1+L4","L1",""))))</f>
        <v/>
      </c>
      <c r="I35" s="57">
        <f>IF($C35="L1+L2","L2",IF($C35="L2+L3","L3",IF($C35="L3+L4","L4",IF($C35="L1+L4","L4",""))))</f>
        <v/>
      </c>
      <c r="J35" s="57">
        <f>IF($H35="","",IFERROR(INDEX(Offerte!$D$2:$D$81,MATCH($A35&amp;"|"&amp;$H35,Offerte!$L$2:$L$81,0)),0))</f>
        <v/>
      </c>
      <c r="K35" s="57">
        <f>IF($I35="","",IFERROR(INDEX(Offerte!$D$2:$D$81,MATCH($A35&amp;"|"&amp;$I35,Offerte!$L$2:$L$81,0)),0))</f>
        <v/>
      </c>
      <c r="L35" s="57">
        <f>IF($H35="","",IFERROR(INDEX(Offerte!$E$2:$E$81,MATCH($A35&amp;"|"&amp;$H35,Offerte!$L$2:$L$81,0)),0))</f>
        <v/>
      </c>
      <c r="M35" s="57">
        <f>IF($I35="","",IFERROR(INDEX(Offerte!$E$2:$E$81,MATCH($A35&amp;"|"&amp;$I35,Offerte!$L$2:$L$81,0)),0))</f>
        <v/>
      </c>
      <c r="N35" s="57">
        <f>IF($A35="","",IF(IFERROR(VALUE($D35),0)&lt;&gt;1,"NO",IF(AND(IFERROR(VALUE($J35),0)=1,IFERROR(VALUE($K35),0)=1,IFERROR(INDEX(Offerte!$G$2:$G$81,MATCH($A35&amp;"|"&amp;$H35,Offerte!$L$2:$L$81,0)),"NO")="SI",IFERROR(INDEX(Offerte!$G$2:$G$81,MATCH($A35&amp;"|"&amp;$I35,Offerte!$L$2:$L$81,0)),"NO")="SI",IFERROR(VALUE($F35),0)=1,IFERROR(VALUE($G35),0)=1,IFERROR(VALUE($E35),0)&gt;$U35),"SI","NO")))</f>
        <v/>
      </c>
      <c r="O35" s="57">
        <f>IF($N35="SI",IFERROR(30*(IFERROR(VALUE($E35),0)/MAX(SUMPRODUCT(MAX((Offerte!$C$2:$C$81=$H35)*(IFERROR(Offerte!$D$2:$D$81*1,0)=1)*(IFERROR(Offerte!$E$2:$E$81*1,0)&gt;=Parametri!$B$2)*IFERROR(Offerte!$F$2:$F$81*1,0))),SUMPRODUCT(MAX(($H$5:$H$80=$H35)*($N$5:$N$80="SI")*IFERROR($E$5:$E$80*1,0))),SUMPRODUCT(MAX(($I$5:$I$80=$H35)*($N$5:$N$80="SI")*IFERROR($E$5:$E$80*1,0))))),0),0)</f>
        <v/>
      </c>
      <c r="P35" s="57">
        <f>IF($N35="SI",IFERROR(30*(IFERROR(VALUE($E35),0)/MAX(SUMPRODUCT(MAX((Offerte!$C$2:$C$81=$I35)*(IFERROR(Offerte!$D$2:$D$81*1,0)=1)*(IFERROR(Offerte!$E$2:$E$81*1,0)&gt;=Parametri!$B$2)*IFERROR(Offerte!$F$2:$F$81*1,0))),SUMPRODUCT(MAX(($H$5:$H$80=$I35)*($N$5:$N$80="SI")*IFERROR($E$5:$E$80*1,0))),SUMPRODUCT(MAX(($I$5:$I$80=$I35)*($N$5:$N$80="SI")*IFERROR($E$5:$E$80*1,0))))),0),0)</f>
        <v/>
      </c>
      <c r="Q35" s="57">
        <f>IF($N35="SI",ROUND($L35+$M35+$O35+$P35,4),0)</f>
        <v/>
      </c>
      <c r="R35" s="57">
        <f>IF($A35="","",IF(IFERROR(VALUE($D35),0)&lt;&gt;1,"Non attiva",IF(OR(IFERROR(VALUE($J35),0)&lt;&gt;1,IFERROR(VALUE($K35),0)&lt;&gt;1),"Singoli non attivi",IF(OR(IFERROR(INDEX(Offerte!$G$2:$G$81,MATCH($A35&amp;"|"&amp;$H35,Offerte!$L$2:$L$81,0)),"NO")&lt;&gt;"SI",IFERROR(INDEX(Offerte!$G$2:$G$81,MATCH($A35&amp;"|"&amp;$I35,Offerte!$L$2:$L$81,0)),"NO")&lt;&gt;"SI"),"Soglia non superata",IF(OR(IFERROR(VALUE($F35),0)&lt;&gt;1,IFERROR(VALUE($G35),0)&lt;&gt;1),"Buste/PEF non confermati",IF(IFERROR(VALUE($E35),0)&lt;=$U35,"Ribasso non migliorativo",""))))))</f>
        <v/>
      </c>
      <c r="S35" s="57">
        <f>IF($H35="","",IFERROR(INDEX(Offerte!$F$2:$F$81,MATCH($A35&amp;"|"&amp;$H35,Offerte!$L$2:$L$81,0)),0))</f>
        <v/>
      </c>
      <c r="T35" s="57">
        <f>IF($I35="","",IFERROR(INDEX(Offerte!$F$2:$F$81,MATCH($A35&amp;"|"&amp;$I35,Offerte!$L$2:$L$81,0)),0))</f>
        <v/>
      </c>
      <c r="U35" s="57">
        <f>IF($A35="","",ROUND((IFERROR(VALUE($S35),0)+IFERROR(VALUE($T35),0))/2,4))</f>
        <v/>
      </c>
      <c r="V35" s="57">
        <f>IF($A35="","",$C35&amp;"|"&amp;TEXT($Q35,"0.0000"))</f>
        <v/>
      </c>
      <c r="W35" s="57">
        <f>IF($A35="","",$C35&amp;"|"&amp;$A35)</f>
        <v/>
      </c>
    </row>
    <row r="36">
      <c r="A36" s="73" t="n"/>
      <c r="B36" s="73">
        <f>IF($A36="","",IFERROR(INDEX(Offerte!$B$2:$B$81,MATCH($A36,Offerte!$A$2:$A$81,0)),""))</f>
        <v/>
      </c>
      <c r="C36" s="73" t="n"/>
      <c r="D36" s="73" t="n"/>
      <c r="E36" s="73" t="n"/>
      <c r="F36" s="73" t="n"/>
      <c r="G36" s="73" t="n"/>
      <c r="H36" s="57">
        <f>IF($C36="L1+L2","L1",IF($C36="L2+L3","L2",IF($C36="L3+L4","L3",IF($C36="L1+L4","L1",""))))</f>
        <v/>
      </c>
      <c r="I36" s="57">
        <f>IF($C36="L1+L2","L2",IF($C36="L2+L3","L3",IF($C36="L3+L4","L4",IF($C36="L1+L4","L4",""))))</f>
        <v/>
      </c>
      <c r="J36" s="57">
        <f>IF($H36="","",IFERROR(INDEX(Offerte!$D$2:$D$81,MATCH($A36&amp;"|"&amp;$H36,Offerte!$L$2:$L$81,0)),0))</f>
        <v/>
      </c>
      <c r="K36" s="57">
        <f>IF($I36="","",IFERROR(INDEX(Offerte!$D$2:$D$81,MATCH($A36&amp;"|"&amp;$I36,Offerte!$L$2:$L$81,0)),0))</f>
        <v/>
      </c>
      <c r="L36" s="57">
        <f>IF($H36="","",IFERROR(INDEX(Offerte!$E$2:$E$81,MATCH($A36&amp;"|"&amp;$H36,Offerte!$L$2:$L$81,0)),0))</f>
        <v/>
      </c>
      <c r="M36" s="57">
        <f>IF($I36="","",IFERROR(INDEX(Offerte!$E$2:$E$81,MATCH($A36&amp;"|"&amp;$I36,Offerte!$L$2:$L$81,0)),0))</f>
        <v/>
      </c>
      <c r="N36" s="57">
        <f>IF($A36="","",IF(IFERROR(VALUE($D36),0)&lt;&gt;1,"NO",IF(AND(IFERROR(VALUE($J36),0)=1,IFERROR(VALUE($K36),0)=1,IFERROR(INDEX(Offerte!$G$2:$G$81,MATCH($A36&amp;"|"&amp;$H36,Offerte!$L$2:$L$81,0)),"NO")="SI",IFERROR(INDEX(Offerte!$G$2:$G$81,MATCH($A36&amp;"|"&amp;$I36,Offerte!$L$2:$L$81,0)),"NO")="SI",IFERROR(VALUE($F36),0)=1,IFERROR(VALUE($G36),0)=1,IFERROR(VALUE($E36),0)&gt;$U36),"SI","NO")))</f>
        <v/>
      </c>
      <c r="O36" s="57">
        <f>IF($N36="SI",IFERROR(30*(IFERROR(VALUE($E36),0)/MAX(SUMPRODUCT(MAX((Offerte!$C$2:$C$81=$H36)*(IFERROR(Offerte!$D$2:$D$81*1,0)=1)*(IFERROR(Offerte!$E$2:$E$81*1,0)&gt;=Parametri!$B$2)*IFERROR(Offerte!$F$2:$F$81*1,0))),SUMPRODUCT(MAX(($H$5:$H$80=$H36)*($N$5:$N$80="SI")*IFERROR($E$5:$E$80*1,0))),SUMPRODUCT(MAX(($I$5:$I$80=$H36)*($N$5:$N$80="SI")*IFERROR($E$5:$E$80*1,0))))),0),0)</f>
        <v/>
      </c>
      <c r="P36" s="57">
        <f>IF($N36="SI",IFERROR(30*(IFERROR(VALUE($E36),0)/MAX(SUMPRODUCT(MAX((Offerte!$C$2:$C$81=$I36)*(IFERROR(Offerte!$D$2:$D$81*1,0)=1)*(IFERROR(Offerte!$E$2:$E$81*1,0)&gt;=Parametri!$B$2)*IFERROR(Offerte!$F$2:$F$81*1,0))),SUMPRODUCT(MAX(($H$5:$H$80=$I36)*($N$5:$N$80="SI")*IFERROR($E$5:$E$80*1,0))),SUMPRODUCT(MAX(($I$5:$I$80=$I36)*($N$5:$N$80="SI")*IFERROR($E$5:$E$80*1,0))))),0),0)</f>
        <v/>
      </c>
      <c r="Q36" s="57">
        <f>IF($N36="SI",ROUND($L36+$M36+$O36+$P36,4),0)</f>
        <v/>
      </c>
      <c r="R36" s="57">
        <f>IF($A36="","",IF(IFERROR(VALUE($D36),0)&lt;&gt;1,"Non attiva",IF(OR(IFERROR(VALUE($J36),0)&lt;&gt;1,IFERROR(VALUE($K36),0)&lt;&gt;1),"Singoli non attivi",IF(OR(IFERROR(INDEX(Offerte!$G$2:$G$81,MATCH($A36&amp;"|"&amp;$H36,Offerte!$L$2:$L$81,0)),"NO")&lt;&gt;"SI",IFERROR(INDEX(Offerte!$G$2:$G$81,MATCH($A36&amp;"|"&amp;$I36,Offerte!$L$2:$L$81,0)),"NO")&lt;&gt;"SI"),"Soglia non superata",IF(OR(IFERROR(VALUE($F36),0)&lt;&gt;1,IFERROR(VALUE($G36),0)&lt;&gt;1),"Buste/PEF non confermati",IF(IFERROR(VALUE($E36),0)&lt;=$U36,"Ribasso non migliorativo",""))))))</f>
        <v/>
      </c>
      <c r="S36" s="57">
        <f>IF($H36="","",IFERROR(INDEX(Offerte!$F$2:$F$81,MATCH($A36&amp;"|"&amp;$H36,Offerte!$L$2:$L$81,0)),0))</f>
        <v/>
      </c>
      <c r="T36" s="57">
        <f>IF($I36="","",IFERROR(INDEX(Offerte!$F$2:$F$81,MATCH($A36&amp;"|"&amp;$I36,Offerte!$L$2:$L$81,0)),0))</f>
        <v/>
      </c>
      <c r="U36" s="57">
        <f>IF($A36="","",ROUND((IFERROR(VALUE($S36),0)+IFERROR(VALUE($T36),0))/2,4))</f>
        <v/>
      </c>
      <c r="V36" s="57">
        <f>IF($A36="","",$C36&amp;"|"&amp;TEXT($Q36,"0.0000"))</f>
        <v/>
      </c>
      <c r="W36" s="57">
        <f>IF($A36="","",$C36&amp;"|"&amp;$A36)</f>
        <v/>
      </c>
    </row>
    <row r="37">
      <c r="A37" s="73" t="n"/>
      <c r="B37" s="73">
        <f>IF($A37="","",IFERROR(INDEX(Offerte!$B$2:$B$81,MATCH($A37,Offerte!$A$2:$A$81,0)),""))</f>
        <v/>
      </c>
      <c r="C37" s="73" t="n"/>
      <c r="D37" s="73" t="n"/>
      <c r="E37" s="73" t="n"/>
      <c r="F37" s="73" t="n"/>
      <c r="G37" s="73" t="n"/>
      <c r="H37" s="57">
        <f>IF($C37="L1+L2","L1",IF($C37="L2+L3","L2",IF($C37="L3+L4","L3",IF($C37="L1+L4","L1",""))))</f>
        <v/>
      </c>
      <c r="I37" s="57">
        <f>IF($C37="L1+L2","L2",IF($C37="L2+L3","L3",IF($C37="L3+L4","L4",IF($C37="L1+L4","L4",""))))</f>
        <v/>
      </c>
      <c r="J37" s="57">
        <f>IF($H37="","",IFERROR(INDEX(Offerte!$D$2:$D$81,MATCH($A37&amp;"|"&amp;$H37,Offerte!$L$2:$L$81,0)),0))</f>
        <v/>
      </c>
      <c r="K37" s="57">
        <f>IF($I37="","",IFERROR(INDEX(Offerte!$D$2:$D$81,MATCH($A37&amp;"|"&amp;$I37,Offerte!$L$2:$L$81,0)),0))</f>
        <v/>
      </c>
      <c r="L37" s="57">
        <f>IF($H37="","",IFERROR(INDEX(Offerte!$E$2:$E$81,MATCH($A37&amp;"|"&amp;$H37,Offerte!$L$2:$L$81,0)),0))</f>
        <v/>
      </c>
      <c r="M37" s="57">
        <f>IF($I37="","",IFERROR(INDEX(Offerte!$E$2:$E$81,MATCH($A37&amp;"|"&amp;$I37,Offerte!$L$2:$L$81,0)),0))</f>
        <v/>
      </c>
      <c r="N37" s="57">
        <f>IF($A37="","",IF(IFERROR(VALUE($D37),0)&lt;&gt;1,"NO",IF(AND(IFERROR(VALUE($J37),0)=1,IFERROR(VALUE($K37),0)=1,IFERROR(INDEX(Offerte!$G$2:$G$81,MATCH($A37&amp;"|"&amp;$H37,Offerte!$L$2:$L$81,0)),"NO")="SI",IFERROR(INDEX(Offerte!$G$2:$G$81,MATCH($A37&amp;"|"&amp;$I37,Offerte!$L$2:$L$81,0)),"NO")="SI",IFERROR(VALUE($F37),0)=1,IFERROR(VALUE($G37),0)=1,IFERROR(VALUE($E37),0)&gt;$U37),"SI","NO")))</f>
        <v/>
      </c>
      <c r="O37" s="57">
        <f>IF($N37="SI",IFERROR(30*(IFERROR(VALUE($E37),0)/MAX(SUMPRODUCT(MAX((Offerte!$C$2:$C$81=$H37)*(IFERROR(Offerte!$D$2:$D$81*1,0)=1)*(IFERROR(Offerte!$E$2:$E$81*1,0)&gt;=Parametri!$B$2)*IFERROR(Offerte!$F$2:$F$81*1,0))),SUMPRODUCT(MAX(($H$5:$H$80=$H37)*($N$5:$N$80="SI")*IFERROR($E$5:$E$80*1,0))),SUMPRODUCT(MAX(($I$5:$I$80=$H37)*($N$5:$N$80="SI")*IFERROR($E$5:$E$80*1,0))))),0),0)</f>
        <v/>
      </c>
      <c r="P37" s="57">
        <f>IF($N37="SI",IFERROR(30*(IFERROR(VALUE($E37),0)/MAX(SUMPRODUCT(MAX((Offerte!$C$2:$C$81=$I37)*(IFERROR(Offerte!$D$2:$D$81*1,0)=1)*(IFERROR(Offerte!$E$2:$E$81*1,0)&gt;=Parametri!$B$2)*IFERROR(Offerte!$F$2:$F$81*1,0))),SUMPRODUCT(MAX(($H$5:$H$80=$I37)*($N$5:$N$80="SI")*IFERROR($E$5:$E$80*1,0))),SUMPRODUCT(MAX(($I$5:$I$80=$I37)*($N$5:$N$80="SI")*IFERROR($E$5:$E$80*1,0))))),0),0)</f>
        <v/>
      </c>
      <c r="Q37" s="57">
        <f>IF($N37="SI",ROUND($L37+$M37+$O37+$P37,4),0)</f>
        <v/>
      </c>
      <c r="R37" s="57">
        <f>IF($A37="","",IF(IFERROR(VALUE($D37),0)&lt;&gt;1,"Non attiva",IF(OR(IFERROR(VALUE($J37),0)&lt;&gt;1,IFERROR(VALUE($K37),0)&lt;&gt;1),"Singoli non attivi",IF(OR(IFERROR(INDEX(Offerte!$G$2:$G$81,MATCH($A37&amp;"|"&amp;$H37,Offerte!$L$2:$L$81,0)),"NO")&lt;&gt;"SI",IFERROR(INDEX(Offerte!$G$2:$G$81,MATCH($A37&amp;"|"&amp;$I37,Offerte!$L$2:$L$81,0)),"NO")&lt;&gt;"SI"),"Soglia non superata",IF(OR(IFERROR(VALUE($F37),0)&lt;&gt;1,IFERROR(VALUE($G37),0)&lt;&gt;1),"Buste/PEF non confermati",IF(IFERROR(VALUE($E37),0)&lt;=$U37,"Ribasso non migliorativo",""))))))</f>
        <v/>
      </c>
      <c r="S37" s="57">
        <f>IF($H37="","",IFERROR(INDEX(Offerte!$F$2:$F$81,MATCH($A37&amp;"|"&amp;$H37,Offerte!$L$2:$L$81,0)),0))</f>
        <v/>
      </c>
      <c r="T37" s="57">
        <f>IF($I37="","",IFERROR(INDEX(Offerte!$F$2:$F$81,MATCH($A37&amp;"|"&amp;$I37,Offerte!$L$2:$L$81,0)),0))</f>
        <v/>
      </c>
      <c r="U37" s="57">
        <f>IF($A37="","",ROUND((IFERROR(VALUE($S37),0)+IFERROR(VALUE($T37),0))/2,4))</f>
        <v/>
      </c>
      <c r="V37" s="57">
        <f>IF($A37="","",$C37&amp;"|"&amp;TEXT($Q37,"0.0000"))</f>
        <v/>
      </c>
      <c r="W37" s="57">
        <f>IF($A37="","",$C37&amp;"|"&amp;$A37)</f>
        <v/>
      </c>
    </row>
    <row r="38">
      <c r="A38" s="73" t="n"/>
      <c r="B38" s="73">
        <f>IF($A38="","",IFERROR(INDEX(Offerte!$B$2:$B$81,MATCH($A38,Offerte!$A$2:$A$81,0)),""))</f>
        <v/>
      </c>
      <c r="C38" s="73" t="n"/>
      <c r="D38" s="73" t="n"/>
      <c r="E38" s="73" t="n"/>
      <c r="F38" s="73" t="n"/>
      <c r="G38" s="73" t="n"/>
      <c r="H38" s="57">
        <f>IF($C38="L1+L2","L1",IF($C38="L2+L3","L2",IF($C38="L3+L4","L3",IF($C38="L1+L4","L1",""))))</f>
        <v/>
      </c>
      <c r="I38" s="57">
        <f>IF($C38="L1+L2","L2",IF($C38="L2+L3","L3",IF($C38="L3+L4","L4",IF($C38="L1+L4","L4",""))))</f>
        <v/>
      </c>
      <c r="J38" s="57">
        <f>IF($H38="","",IFERROR(INDEX(Offerte!$D$2:$D$81,MATCH($A38&amp;"|"&amp;$H38,Offerte!$L$2:$L$81,0)),0))</f>
        <v/>
      </c>
      <c r="K38" s="57">
        <f>IF($I38="","",IFERROR(INDEX(Offerte!$D$2:$D$81,MATCH($A38&amp;"|"&amp;$I38,Offerte!$L$2:$L$81,0)),0))</f>
        <v/>
      </c>
      <c r="L38" s="57">
        <f>IF($H38="","",IFERROR(INDEX(Offerte!$E$2:$E$81,MATCH($A38&amp;"|"&amp;$H38,Offerte!$L$2:$L$81,0)),0))</f>
        <v/>
      </c>
      <c r="M38" s="57">
        <f>IF($I38="","",IFERROR(INDEX(Offerte!$E$2:$E$81,MATCH($A38&amp;"|"&amp;$I38,Offerte!$L$2:$L$81,0)),0))</f>
        <v/>
      </c>
      <c r="N38" s="57">
        <f>IF($A38="","",IF(IFERROR(VALUE($D38),0)&lt;&gt;1,"NO",IF(AND(IFERROR(VALUE($J38),0)=1,IFERROR(VALUE($K38),0)=1,IFERROR(INDEX(Offerte!$G$2:$G$81,MATCH($A38&amp;"|"&amp;$H38,Offerte!$L$2:$L$81,0)),"NO")="SI",IFERROR(INDEX(Offerte!$G$2:$G$81,MATCH($A38&amp;"|"&amp;$I38,Offerte!$L$2:$L$81,0)),"NO")="SI",IFERROR(VALUE($F38),0)=1,IFERROR(VALUE($G38),0)=1,IFERROR(VALUE($E38),0)&gt;$U38),"SI","NO")))</f>
        <v/>
      </c>
      <c r="O38" s="57">
        <f>IF($N38="SI",IFERROR(30*(IFERROR(VALUE($E38),0)/MAX(SUMPRODUCT(MAX((Offerte!$C$2:$C$81=$H38)*(IFERROR(Offerte!$D$2:$D$81*1,0)=1)*(IFERROR(Offerte!$E$2:$E$81*1,0)&gt;=Parametri!$B$2)*IFERROR(Offerte!$F$2:$F$81*1,0))),SUMPRODUCT(MAX(($H$5:$H$80=$H38)*($N$5:$N$80="SI")*IFERROR($E$5:$E$80*1,0))),SUMPRODUCT(MAX(($I$5:$I$80=$H38)*($N$5:$N$80="SI")*IFERROR($E$5:$E$80*1,0))))),0),0)</f>
        <v/>
      </c>
      <c r="P38" s="57">
        <f>IF($N38="SI",IFERROR(30*(IFERROR(VALUE($E38),0)/MAX(SUMPRODUCT(MAX((Offerte!$C$2:$C$81=$I38)*(IFERROR(Offerte!$D$2:$D$81*1,0)=1)*(IFERROR(Offerte!$E$2:$E$81*1,0)&gt;=Parametri!$B$2)*IFERROR(Offerte!$F$2:$F$81*1,0))),SUMPRODUCT(MAX(($H$5:$H$80=$I38)*($N$5:$N$80="SI")*IFERROR($E$5:$E$80*1,0))),SUMPRODUCT(MAX(($I$5:$I$80=$I38)*($N$5:$N$80="SI")*IFERROR($E$5:$E$80*1,0))))),0),0)</f>
        <v/>
      </c>
      <c r="Q38" s="57">
        <f>IF($N38="SI",ROUND($L38+$M38+$O38+$P38,4),0)</f>
        <v/>
      </c>
      <c r="R38" s="57">
        <f>IF($A38="","",IF(IFERROR(VALUE($D38),0)&lt;&gt;1,"Non attiva",IF(OR(IFERROR(VALUE($J38),0)&lt;&gt;1,IFERROR(VALUE($K38),0)&lt;&gt;1),"Singoli non attivi",IF(OR(IFERROR(INDEX(Offerte!$G$2:$G$81,MATCH($A38&amp;"|"&amp;$H38,Offerte!$L$2:$L$81,0)),"NO")&lt;&gt;"SI",IFERROR(INDEX(Offerte!$G$2:$G$81,MATCH($A38&amp;"|"&amp;$I38,Offerte!$L$2:$L$81,0)),"NO")&lt;&gt;"SI"),"Soglia non superata",IF(OR(IFERROR(VALUE($F38),0)&lt;&gt;1,IFERROR(VALUE($G38),0)&lt;&gt;1),"Buste/PEF non confermati",IF(IFERROR(VALUE($E38),0)&lt;=$U38,"Ribasso non migliorativo",""))))))</f>
        <v/>
      </c>
      <c r="S38" s="57">
        <f>IF($H38="","",IFERROR(INDEX(Offerte!$F$2:$F$81,MATCH($A38&amp;"|"&amp;$H38,Offerte!$L$2:$L$81,0)),0))</f>
        <v/>
      </c>
      <c r="T38" s="57">
        <f>IF($I38="","",IFERROR(INDEX(Offerte!$F$2:$F$81,MATCH($A38&amp;"|"&amp;$I38,Offerte!$L$2:$L$81,0)),0))</f>
        <v/>
      </c>
      <c r="U38" s="57">
        <f>IF($A38="","",ROUND((IFERROR(VALUE($S38),0)+IFERROR(VALUE($T38),0))/2,4))</f>
        <v/>
      </c>
      <c r="V38" s="57">
        <f>IF($A38="","",$C38&amp;"|"&amp;TEXT($Q38,"0.0000"))</f>
        <v/>
      </c>
      <c r="W38" s="57">
        <f>IF($A38="","",$C38&amp;"|"&amp;$A38)</f>
        <v/>
      </c>
    </row>
    <row r="39">
      <c r="A39" s="73" t="n"/>
      <c r="B39" s="73">
        <f>IF($A39="","",IFERROR(INDEX(Offerte!$B$2:$B$81,MATCH($A39,Offerte!$A$2:$A$81,0)),""))</f>
        <v/>
      </c>
      <c r="C39" s="73" t="n"/>
      <c r="D39" s="73" t="n"/>
      <c r="E39" s="73" t="n"/>
      <c r="F39" s="73" t="n"/>
      <c r="G39" s="73" t="n"/>
      <c r="H39" s="57">
        <f>IF($C39="L1+L2","L1",IF($C39="L2+L3","L2",IF($C39="L3+L4","L3",IF($C39="L1+L4","L1",""))))</f>
        <v/>
      </c>
      <c r="I39" s="57">
        <f>IF($C39="L1+L2","L2",IF($C39="L2+L3","L3",IF($C39="L3+L4","L4",IF($C39="L1+L4","L4",""))))</f>
        <v/>
      </c>
      <c r="J39" s="57">
        <f>IF($H39="","",IFERROR(INDEX(Offerte!$D$2:$D$81,MATCH($A39&amp;"|"&amp;$H39,Offerte!$L$2:$L$81,0)),0))</f>
        <v/>
      </c>
      <c r="K39" s="57">
        <f>IF($I39="","",IFERROR(INDEX(Offerte!$D$2:$D$81,MATCH($A39&amp;"|"&amp;$I39,Offerte!$L$2:$L$81,0)),0))</f>
        <v/>
      </c>
      <c r="L39" s="57">
        <f>IF($H39="","",IFERROR(INDEX(Offerte!$E$2:$E$81,MATCH($A39&amp;"|"&amp;$H39,Offerte!$L$2:$L$81,0)),0))</f>
        <v/>
      </c>
      <c r="M39" s="57">
        <f>IF($I39="","",IFERROR(INDEX(Offerte!$E$2:$E$81,MATCH($A39&amp;"|"&amp;$I39,Offerte!$L$2:$L$81,0)),0))</f>
        <v/>
      </c>
      <c r="N39" s="57">
        <f>IF($A39="","",IF(IFERROR(VALUE($D39),0)&lt;&gt;1,"NO",IF(AND(IFERROR(VALUE($J39),0)=1,IFERROR(VALUE($K39),0)=1,IFERROR(INDEX(Offerte!$G$2:$G$81,MATCH($A39&amp;"|"&amp;$H39,Offerte!$L$2:$L$81,0)),"NO")="SI",IFERROR(INDEX(Offerte!$G$2:$G$81,MATCH($A39&amp;"|"&amp;$I39,Offerte!$L$2:$L$81,0)),"NO")="SI",IFERROR(VALUE($F39),0)=1,IFERROR(VALUE($G39),0)=1,IFERROR(VALUE($E39),0)&gt;$U39),"SI","NO")))</f>
        <v/>
      </c>
      <c r="O39" s="57">
        <f>IF($N39="SI",IFERROR(30*(IFERROR(VALUE($E39),0)/MAX(SUMPRODUCT(MAX((Offerte!$C$2:$C$81=$H39)*(IFERROR(Offerte!$D$2:$D$81*1,0)=1)*(IFERROR(Offerte!$E$2:$E$81*1,0)&gt;=Parametri!$B$2)*IFERROR(Offerte!$F$2:$F$81*1,0))),SUMPRODUCT(MAX(($H$5:$H$80=$H39)*($N$5:$N$80="SI")*IFERROR($E$5:$E$80*1,0))),SUMPRODUCT(MAX(($I$5:$I$80=$H39)*($N$5:$N$80="SI")*IFERROR($E$5:$E$80*1,0))))),0),0)</f>
        <v/>
      </c>
      <c r="P39" s="57">
        <f>IF($N39="SI",IFERROR(30*(IFERROR(VALUE($E39),0)/MAX(SUMPRODUCT(MAX((Offerte!$C$2:$C$81=$I39)*(IFERROR(Offerte!$D$2:$D$81*1,0)=1)*(IFERROR(Offerte!$E$2:$E$81*1,0)&gt;=Parametri!$B$2)*IFERROR(Offerte!$F$2:$F$81*1,0))),SUMPRODUCT(MAX(($H$5:$H$80=$I39)*($N$5:$N$80="SI")*IFERROR($E$5:$E$80*1,0))),SUMPRODUCT(MAX(($I$5:$I$80=$I39)*($N$5:$N$80="SI")*IFERROR($E$5:$E$80*1,0))))),0),0)</f>
        <v/>
      </c>
      <c r="Q39" s="57">
        <f>IF($N39="SI",ROUND($L39+$M39+$O39+$P39,4),0)</f>
        <v/>
      </c>
      <c r="R39" s="57">
        <f>IF($A39="","",IF(IFERROR(VALUE($D39),0)&lt;&gt;1,"Non attiva",IF(OR(IFERROR(VALUE($J39),0)&lt;&gt;1,IFERROR(VALUE($K39),0)&lt;&gt;1),"Singoli non attivi",IF(OR(IFERROR(INDEX(Offerte!$G$2:$G$81,MATCH($A39&amp;"|"&amp;$H39,Offerte!$L$2:$L$81,0)),"NO")&lt;&gt;"SI",IFERROR(INDEX(Offerte!$G$2:$G$81,MATCH($A39&amp;"|"&amp;$I39,Offerte!$L$2:$L$81,0)),"NO")&lt;&gt;"SI"),"Soglia non superata",IF(OR(IFERROR(VALUE($F39),0)&lt;&gt;1,IFERROR(VALUE($G39),0)&lt;&gt;1),"Buste/PEF non confermati",IF(IFERROR(VALUE($E39),0)&lt;=$U39,"Ribasso non migliorativo",""))))))</f>
        <v/>
      </c>
      <c r="S39" s="57">
        <f>IF($H39="","",IFERROR(INDEX(Offerte!$F$2:$F$81,MATCH($A39&amp;"|"&amp;$H39,Offerte!$L$2:$L$81,0)),0))</f>
        <v/>
      </c>
      <c r="T39" s="57">
        <f>IF($I39="","",IFERROR(INDEX(Offerte!$F$2:$F$81,MATCH($A39&amp;"|"&amp;$I39,Offerte!$L$2:$L$81,0)),0))</f>
        <v/>
      </c>
      <c r="U39" s="57">
        <f>IF($A39="","",ROUND((IFERROR(VALUE($S39),0)+IFERROR(VALUE($T39),0))/2,4))</f>
        <v/>
      </c>
      <c r="V39" s="57">
        <f>IF($A39="","",$C39&amp;"|"&amp;TEXT($Q39,"0.0000"))</f>
        <v/>
      </c>
      <c r="W39" s="57">
        <f>IF($A39="","",$C39&amp;"|"&amp;$A39)</f>
        <v/>
      </c>
    </row>
    <row r="40">
      <c r="A40" s="73" t="n"/>
      <c r="B40" s="73">
        <f>IF($A40="","",IFERROR(INDEX(Offerte!$B$2:$B$81,MATCH($A40,Offerte!$A$2:$A$81,0)),""))</f>
        <v/>
      </c>
      <c r="C40" s="73" t="n"/>
      <c r="D40" s="73" t="n"/>
      <c r="E40" s="73" t="n"/>
      <c r="F40" s="73" t="n"/>
      <c r="G40" s="73" t="n"/>
      <c r="H40" s="57">
        <f>IF($C40="L1+L2","L1",IF($C40="L2+L3","L2",IF($C40="L3+L4","L3",IF($C40="L1+L4","L1",""))))</f>
        <v/>
      </c>
      <c r="I40" s="57">
        <f>IF($C40="L1+L2","L2",IF($C40="L2+L3","L3",IF($C40="L3+L4","L4",IF($C40="L1+L4","L4",""))))</f>
        <v/>
      </c>
      <c r="J40" s="57">
        <f>IF($H40="","",IFERROR(INDEX(Offerte!$D$2:$D$81,MATCH($A40&amp;"|"&amp;$H40,Offerte!$L$2:$L$81,0)),0))</f>
        <v/>
      </c>
      <c r="K40" s="57">
        <f>IF($I40="","",IFERROR(INDEX(Offerte!$D$2:$D$81,MATCH($A40&amp;"|"&amp;$I40,Offerte!$L$2:$L$81,0)),0))</f>
        <v/>
      </c>
      <c r="L40" s="57">
        <f>IF($H40="","",IFERROR(INDEX(Offerte!$E$2:$E$81,MATCH($A40&amp;"|"&amp;$H40,Offerte!$L$2:$L$81,0)),0))</f>
        <v/>
      </c>
      <c r="M40" s="57">
        <f>IF($I40="","",IFERROR(INDEX(Offerte!$E$2:$E$81,MATCH($A40&amp;"|"&amp;$I40,Offerte!$L$2:$L$81,0)),0))</f>
        <v/>
      </c>
      <c r="N40" s="57">
        <f>IF($A40="","",IF(IFERROR(VALUE($D40),0)&lt;&gt;1,"NO",IF(AND(IFERROR(VALUE($J40),0)=1,IFERROR(VALUE($K40),0)=1,IFERROR(INDEX(Offerte!$G$2:$G$81,MATCH($A40&amp;"|"&amp;$H40,Offerte!$L$2:$L$81,0)),"NO")="SI",IFERROR(INDEX(Offerte!$G$2:$G$81,MATCH($A40&amp;"|"&amp;$I40,Offerte!$L$2:$L$81,0)),"NO")="SI",IFERROR(VALUE($F40),0)=1,IFERROR(VALUE($G40),0)=1,IFERROR(VALUE($E40),0)&gt;$U40),"SI","NO")))</f>
        <v/>
      </c>
      <c r="O40" s="57">
        <f>IF($N40="SI",IFERROR(30*(IFERROR(VALUE($E40),0)/MAX(SUMPRODUCT(MAX((Offerte!$C$2:$C$81=$H40)*(IFERROR(Offerte!$D$2:$D$81*1,0)=1)*(IFERROR(Offerte!$E$2:$E$81*1,0)&gt;=Parametri!$B$2)*IFERROR(Offerte!$F$2:$F$81*1,0))),SUMPRODUCT(MAX(($H$5:$H$80=$H40)*($N$5:$N$80="SI")*IFERROR($E$5:$E$80*1,0))),SUMPRODUCT(MAX(($I$5:$I$80=$H40)*($N$5:$N$80="SI")*IFERROR($E$5:$E$80*1,0))))),0),0)</f>
        <v/>
      </c>
      <c r="P40" s="57">
        <f>IF($N40="SI",IFERROR(30*(IFERROR(VALUE($E40),0)/MAX(SUMPRODUCT(MAX((Offerte!$C$2:$C$81=$I40)*(IFERROR(Offerte!$D$2:$D$81*1,0)=1)*(IFERROR(Offerte!$E$2:$E$81*1,0)&gt;=Parametri!$B$2)*IFERROR(Offerte!$F$2:$F$81*1,0))),SUMPRODUCT(MAX(($H$5:$H$80=$I40)*($N$5:$N$80="SI")*IFERROR($E$5:$E$80*1,0))),SUMPRODUCT(MAX(($I$5:$I$80=$I40)*($N$5:$N$80="SI")*IFERROR($E$5:$E$80*1,0))))),0),0)</f>
        <v/>
      </c>
      <c r="Q40" s="57">
        <f>IF($N40="SI",ROUND($L40+$M40+$O40+$P40,4),0)</f>
        <v/>
      </c>
      <c r="R40" s="57">
        <f>IF($A40="","",IF(IFERROR(VALUE($D40),0)&lt;&gt;1,"Non attiva",IF(OR(IFERROR(VALUE($J40),0)&lt;&gt;1,IFERROR(VALUE($K40),0)&lt;&gt;1),"Singoli non attivi",IF(OR(IFERROR(INDEX(Offerte!$G$2:$G$81,MATCH($A40&amp;"|"&amp;$H40,Offerte!$L$2:$L$81,0)),"NO")&lt;&gt;"SI",IFERROR(INDEX(Offerte!$G$2:$G$81,MATCH($A40&amp;"|"&amp;$I40,Offerte!$L$2:$L$81,0)),"NO")&lt;&gt;"SI"),"Soglia non superata",IF(OR(IFERROR(VALUE($F40),0)&lt;&gt;1,IFERROR(VALUE($G40),0)&lt;&gt;1),"Buste/PEF non confermati",IF(IFERROR(VALUE($E40),0)&lt;=$U40,"Ribasso non migliorativo",""))))))</f>
        <v/>
      </c>
      <c r="S40" s="57">
        <f>IF($H40="","",IFERROR(INDEX(Offerte!$F$2:$F$81,MATCH($A40&amp;"|"&amp;$H40,Offerte!$L$2:$L$81,0)),0))</f>
        <v/>
      </c>
      <c r="T40" s="57">
        <f>IF($I40="","",IFERROR(INDEX(Offerte!$F$2:$F$81,MATCH($A40&amp;"|"&amp;$I40,Offerte!$L$2:$L$81,0)),0))</f>
        <v/>
      </c>
      <c r="U40" s="57">
        <f>IF($A40="","",ROUND((IFERROR(VALUE($S40),0)+IFERROR(VALUE($T40),0))/2,4))</f>
        <v/>
      </c>
      <c r="V40" s="57">
        <f>IF($A40="","",$C40&amp;"|"&amp;TEXT($Q40,"0.0000"))</f>
        <v/>
      </c>
      <c r="W40" s="57">
        <f>IF($A40="","",$C40&amp;"|"&amp;$A40)</f>
        <v/>
      </c>
    </row>
    <row r="41">
      <c r="A41" s="73" t="n"/>
      <c r="B41" s="73">
        <f>IF($A41="","",IFERROR(INDEX(Offerte!$B$2:$B$81,MATCH($A41,Offerte!$A$2:$A$81,0)),""))</f>
        <v/>
      </c>
      <c r="C41" s="73" t="n"/>
      <c r="D41" s="73" t="n"/>
      <c r="E41" s="73" t="n"/>
      <c r="F41" s="73" t="n"/>
      <c r="G41" s="73" t="n"/>
      <c r="H41" s="57">
        <f>IF($C41="L1+L2","L1",IF($C41="L2+L3","L2",IF($C41="L3+L4","L3",IF($C41="L1+L4","L1",""))))</f>
        <v/>
      </c>
      <c r="I41" s="57">
        <f>IF($C41="L1+L2","L2",IF($C41="L2+L3","L3",IF($C41="L3+L4","L4",IF($C41="L1+L4","L4",""))))</f>
        <v/>
      </c>
      <c r="J41" s="57">
        <f>IF($H41="","",IFERROR(INDEX(Offerte!$D$2:$D$81,MATCH($A41&amp;"|"&amp;$H41,Offerte!$L$2:$L$81,0)),0))</f>
        <v/>
      </c>
      <c r="K41" s="57">
        <f>IF($I41="","",IFERROR(INDEX(Offerte!$D$2:$D$81,MATCH($A41&amp;"|"&amp;$I41,Offerte!$L$2:$L$81,0)),0))</f>
        <v/>
      </c>
      <c r="L41" s="57">
        <f>IF($H41="","",IFERROR(INDEX(Offerte!$E$2:$E$81,MATCH($A41&amp;"|"&amp;$H41,Offerte!$L$2:$L$81,0)),0))</f>
        <v/>
      </c>
      <c r="M41" s="57">
        <f>IF($I41="","",IFERROR(INDEX(Offerte!$E$2:$E$81,MATCH($A41&amp;"|"&amp;$I41,Offerte!$L$2:$L$81,0)),0))</f>
        <v/>
      </c>
      <c r="N41" s="57">
        <f>IF($A41="","",IF(IFERROR(VALUE($D41),0)&lt;&gt;1,"NO",IF(AND(IFERROR(VALUE($J41),0)=1,IFERROR(VALUE($K41),0)=1,IFERROR(INDEX(Offerte!$G$2:$G$81,MATCH($A41&amp;"|"&amp;$H41,Offerte!$L$2:$L$81,0)),"NO")="SI",IFERROR(INDEX(Offerte!$G$2:$G$81,MATCH($A41&amp;"|"&amp;$I41,Offerte!$L$2:$L$81,0)),"NO")="SI",IFERROR(VALUE($F41),0)=1,IFERROR(VALUE($G41),0)=1,IFERROR(VALUE($E41),0)&gt;$U41),"SI","NO")))</f>
        <v/>
      </c>
      <c r="O41" s="57">
        <f>IF($N41="SI",IFERROR(30*(IFERROR(VALUE($E41),0)/MAX(SUMPRODUCT(MAX((Offerte!$C$2:$C$81=$H41)*(IFERROR(Offerte!$D$2:$D$81*1,0)=1)*(IFERROR(Offerte!$E$2:$E$81*1,0)&gt;=Parametri!$B$2)*IFERROR(Offerte!$F$2:$F$81*1,0))),SUMPRODUCT(MAX(($H$5:$H$80=$H41)*($N$5:$N$80="SI")*IFERROR($E$5:$E$80*1,0))),SUMPRODUCT(MAX(($I$5:$I$80=$H41)*($N$5:$N$80="SI")*IFERROR($E$5:$E$80*1,0))))),0),0)</f>
        <v/>
      </c>
      <c r="P41" s="57">
        <f>IF($N41="SI",IFERROR(30*(IFERROR(VALUE($E41),0)/MAX(SUMPRODUCT(MAX((Offerte!$C$2:$C$81=$I41)*(IFERROR(Offerte!$D$2:$D$81*1,0)=1)*(IFERROR(Offerte!$E$2:$E$81*1,0)&gt;=Parametri!$B$2)*IFERROR(Offerte!$F$2:$F$81*1,0))),SUMPRODUCT(MAX(($H$5:$H$80=$I41)*($N$5:$N$80="SI")*IFERROR($E$5:$E$80*1,0))),SUMPRODUCT(MAX(($I$5:$I$80=$I41)*($N$5:$N$80="SI")*IFERROR($E$5:$E$80*1,0))))),0),0)</f>
        <v/>
      </c>
      <c r="Q41" s="57">
        <f>IF($N41="SI",ROUND($L41+$M41+$O41+$P41,4),0)</f>
        <v/>
      </c>
      <c r="R41" s="57">
        <f>IF($A41="","",IF(IFERROR(VALUE($D41),0)&lt;&gt;1,"Non attiva",IF(OR(IFERROR(VALUE($J41),0)&lt;&gt;1,IFERROR(VALUE($K41),0)&lt;&gt;1),"Singoli non attivi",IF(OR(IFERROR(INDEX(Offerte!$G$2:$G$81,MATCH($A41&amp;"|"&amp;$H41,Offerte!$L$2:$L$81,0)),"NO")&lt;&gt;"SI",IFERROR(INDEX(Offerte!$G$2:$G$81,MATCH($A41&amp;"|"&amp;$I41,Offerte!$L$2:$L$81,0)),"NO")&lt;&gt;"SI"),"Soglia non superata",IF(OR(IFERROR(VALUE($F41),0)&lt;&gt;1,IFERROR(VALUE($G41),0)&lt;&gt;1),"Buste/PEF non confermati",IF(IFERROR(VALUE($E41),0)&lt;=$U41,"Ribasso non migliorativo",""))))))</f>
        <v/>
      </c>
      <c r="S41" s="57">
        <f>IF($H41="","",IFERROR(INDEX(Offerte!$F$2:$F$81,MATCH($A41&amp;"|"&amp;$H41,Offerte!$L$2:$L$81,0)),0))</f>
        <v/>
      </c>
      <c r="T41" s="57">
        <f>IF($I41="","",IFERROR(INDEX(Offerte!$F$2:$F$81,MATCH($A41&amp;"|"&amp;$I41,Offerte!$L$2:$L$81,0)),0))</f>
        <v/>
      </c>
      <c r="U41" s="57">
        <f>IF($A41="","",ROUND((IFERROR(VALUE($S41),0)+IFERROR(VALUE($T41),0))/2,4))</f>
        <v/>
      </c>
      <c r="V41" s="57">
        <f>IF($A41="","",$C41&amp;"|"&amp;TEXT($Q41,"0.0000"))</f>
        <v/>
      </c>
      <c r="W41" s="57">
        <f>IF($A41="","",$C41&amp;"|"&amp;$A41)</f>
        <v/>
      </c>
    </row>
    <row r="42">
      <c r="A42" s="73" t="n"/>
      <c r="B42" s="73">
        <f>IF($A42="","",IFERROR(INDEX(Offerte!$B$2:$B$81,MATCH($A42,Offerte!$A$2:$A$81,0)),""))</f>
        <v/>
      </c>
      <c r="C42" s="73" t="n"/>
      <c r="D42" s="73" t="n"/>
      <c r="E42" s="73" t="n"/>
      <c r="F42" s="73" t="n"/>
      <c r="G42" s="73" t="n"/>
      <c r="H42" s="57">
        <f>IF($C42="L1+L2","L1",IF($C42="L2+L3","L2",IF($C42="L3+L4","L3",IF($C42="L1+L4","L1",""))))</f>
        <v/>
      </c>
      <c r="I42" s="57">
        <f>IF($C42="L1+L2","L2",IF($C42="L2+L3","L3",IF($C42="L3+L4","L4",IF($C42="L1+L4","L4",""))))</f>
        <v/>
      </c>
      <c r="J42" s="57">
        <f>IF($H42="","",IFERROR(INDEX(Offerte!$D$2:$D$81,MATCH($A42&amp;"|"&amp;$H42,Offerte!$L$2:$L$81,0)),0))</f>
        <v/>
      </c>
      <c r="K42" s="57">
        <f>IF($I42="","",IFERROR(INDEX(Offerte!$D$2:$D$81,MATCH($A42&amp;"|"&amp;$I42,Offerte!$L$2:$L$81,0)),0))</f>
        <v/>
      </c>
      <c r="L42" s="57">
        <f>IF($H42="","",IFERROR(INDEX(Offerte!$E$2:$E$81,MATCH($A42&amp;"|"&amp;$H42,Offerte!$L$2:$L$81,0)),0))</f>
        <v/>
      </c>
      <c r="M42" s="57">
        <f>IF($I42="","",IFERROR(INDEX(Offerte!$E$2:$E$81,MATCH($A42&amp;"|"&amp;$I42,Offerte!$L$2:$L$81,0)),0))</f>
        <v/>
      </c>
      <c r="N42" s="57">
        <f>IF($A42="","",IF(IFERROR(VALUE($D42),0)&lt;&gt;1,"NO",IF(AND(IFERROR(VALUE($J42),0)=1,IFERROR(VALUE($K42),0)=1,IFERROR(INDEX(Offerte!$G$2:$G$81,MATCH($A42&amp;"|"&amp;$H42,Offerte!$L$2:$L$81,0)),"NO")="SI",IFERROR(INDEX(Offerte!$G$2:$G$81,MATCH($A42&amp;"|"&amp;$I42,Offerte!$L$2:$L$81,0)),"NO")="SI",IFERROR(VALUE($F42),0)=1,IFERROR(VALUE($G42),0)=1,IFERROR(VALUE($E42),0)&gt;$U42),"SI","NO")))</f>
        <v/>
      </c>
      <c r="O42" s="57">
        <f>IF($N42="SI",IFERROR(30*(IFERROR(VALUE($E42),0)/MAX(SUMPRODUCT(MAX((Offerte!$C$2:$C$81=$H42)*(IFERROR(Offerte!$D$2:$D$81*1,0)=1)*(IFERROR(Offerte!$E$2:$E$81*1,0)&gt;=Parametri!$B$2)*IFERROR(Offerte!$F$2:$F$81*1,0))),SUMPRODUCT(MAX(($H$5:$H$80=$H42)*($N$5:$N$80="SI")*IFERROR($E$5:$E$80*1,0))),SUMPRODUCT(MAX(($I$5:$I$80=$H42)*($N$5:$N$80="SI")*IFERROR($E$5:$E$80*1,0))))),0),0)</f>
        <v/>
      </c>
      <c r="P42" s="57">
        <f>IF($N42="SI",IFERROR(30*(IFERROR(VALUE($E42),0)/MAX(SUMPRODUCT(MAX((Offerte!$C$2:$C$81=$I42)*(IFERROR(Offerte!$D$2:$D$81*1,0)=1)*(IFERROR(Offerte!$E$2:$E$81*1,0)&gt;=Parametri!$B$2)*IFERROR(Offerte!$F$2:$F$81*1,0))),SUMPRODUCT(MAX(($H$5:$H$80=$I42)*($N$5:$N$80="SI")*IFERROR($E$5:$E$80*1,0))),SUMPRODUCT(MAX(($I$5:$I$80=$I42)*($N$5:$N$80="SI")*IFERROR($E$5:$E$80*1,0))))),0),0)</f>
        <v/>
      </c>
      <c r="Q42" s="57">
        <f>IF($N42="SI",ROUND($L42+$M42+$O42+$P42,4),0)</f>
        <v/>
      </c>
      <c r="R42" s="57">
        <f>IF($A42="","",IF(IFERROR(VALUE($D42),0)&lt;&gt;1,"Non attiva",IF(OR(IFERROR(VALUE($J42),0)&lt;&gt;1,IFERROR(VALUE($K42),0)&lt;&gt;1),"Singoli non attivi",IF(OR(IFERROR(INDEX(Offerte!$G$2:$G$81,MATCH($A42&amp;"|"&amp;$H42,Offerte!$L$2:$L$81,0)),"NO")&lt;&gt;"SI",IFERROR(INDEX(Offerte!$G$2:$G$81,MATCH($A42&amp;"|"&amp;$I42,Offerte!$L$2:$L$81,0)),"NO")&lt;&gt;"SI"),"Soglia non superata",IF(OR(IFERROR(VALUE($F42),0)&lt;&gt;1,IFERROR(VALUE($G42),0)&lt;&gt;1),"Buste/PEF non confermati",IF(IFERROR(VALUE($E42),0)&lt;=$U42,"Ribasso non migliorativo",""))))))</f>
        <v/>
      </c>
      <c r="S42" s="57">
        <f>IF($H42="","",IFERROR(INDEX(Offerte!$F$2:$F$81,MATCH($A42&amp;"|"&amp;$H42,Offerte!$L$2:$L$81,0)),0))</f>
        <v/>
      </c>
      <c r="T42" s="57">
        <f>IF($I42="","",IFERROR(INDEX(Offerte!$F$2:$F$81,MATCH($A42&amp;"|"&amp;$I42,Offerte!$L$2:$L$81,0)),0))</f>
        <v/>
      </c>
      <c r="U42" s="57">
        <f>IF($A42="","",ROUND((IFERROR(VALUE($S42),0)+IFERROR(VALUE($T42),0))/2,4))</f>
        <v/>
      </c>
      <c r="V42" s="57">
        <f>IF($A42="","",$C42&amp;"|"&amp;TEXT($Q42,"0.0000"))</f>
        <v/>
      </c>
      <c r="W42" s="57">
        <f>IF($A42="","",$C42&amp;"|"&amp;$A42)</f>
        <v/>
      </c>
    </row>
    <row r="43">
      <c r="A43" s="73" t="n"/>
      <c r="B43" s="73">
        <f>IF($A43="","",IFERROR(INDEX(Offerte!$B$2:$B$81,MATCH($A43,Offerte!$A$2:$A$81,0)),""))</f>
        <v/>
      </c>
      <c r="C43" s="73" t="n"/>
      <c r="D43" s="73" t="n"/>
      <c r="E43" s="73" t="n"/>
      <c r="F43" s="73" t="n"/>
      <c r="G43" s="73" t="n"/>
      <c r="H43" s="57">
        <f>IF($C43="L1+L2","L1",IF($C43="L2+L3","L2",IF($C43="L3+L4","L3",IF($C43="L1+L4","L1",""))))</f>
        <v/>
      </c>
      <c r="I43" s="57">
        <f>IF($C43="L1+L2","L2",IF($C43="L2+L3","L3",IF($C43="L3+L4","L4",IF($C43="L1+L4","L4",""))))</f>
        <v/>
      </c>
      <c r="J43" s="57">
        <f>IF($H43="","",IFERROR(INDEX(Offerte!$D$2:$D$81,MATCH($A43&amp;"|"&amp;$H43,Offerte!$L$2:$L$81,0)),0))</f>
        <v/>
      </c>
      <c r="K43" s="57">
        <f>IF($I43="","",IFERROR(INDEX(Offerte!$D$2:$D$81,MATCH($A43&amp;"|"&amp;$I43,Offerte!$L$2:$L$81,0)),0))</f>
        <v/>
      </c>
      <c r="L43" s="57">
        <f>IF($H43="","",IFERROR(INDEX(Offerte!$E$2:$E$81,MATCH($A43&amp;"|"&amp;$H43,Offerte!$L$2:$L$81,0)),0))</f>
        <v/>
      </c>
      <c r="M43" s="57">
        <f>IF($I43="","",IFERROR(INDEX(Offerte!$E$2:$E$81,MATCH($A43&amp;"|"&amp;$I43,Offerte!$L$2:$L$81,0)),0))</f>
        <v/>
      </c>
      <c r="N43" s="57">
        <f>IF($A43="","",IF(IFERROR(VALUE($D43),0)&lt;&gt;1,"NO",IF(AND(IFERROR(VALUE($J43),0)=1,IFERROR(VALUE($K43),0)=1,IFERROR(INDEX(Offerte!$G$2:$G$81,MATCH($A43&amp;"|"&amp;$H43,Offerte!$L$2:$L$81,0)),"NO")="SI",IFERROR(INDEX(Offerte!$G$2:$G$81,MATCH($A43&amp;"|"&amp;$I43,Offerte!$L$2:$L$81,0)),"NO")="SI",IFERROR(VALUE($F43),0)=1,IFERROR(VALUE($G43),0)=1,IFERROR(VALUE($E43),0)&gt;$U43),"SI","NO")))</f>
        <v/>
      </c>
      <c r="O43" s="57">
        <f>IF($N43="SI",IFERROR(30*(IFERROR(VALUE($E43),0)/MAX(SUMPRODUCT(MAX((Offerte!$C$2:$C$81=$H43)*(IFERROR(Offerte!$D$2:$D$81*1,0)=1)*(IFERROR(Offerte!$E$2:$E$81*1,0)&gt;=Parametri!$B$2)*IFERROR(Offerte!$F$2:$F$81*1,0))),SUMPRODUCT(MAX(($H$5:$H$80=$H43)*($N$5:$N$80="SI")*IFERROR($E$5:$E$80*1,0))),SUMPRODUCT(MAX(($I$5:$I$80=$H43)*($N$5:$N$80="SI")*IFERROR($E$5:$E$80*1,0))))),0),0)</f>
        <v/>
      </c>
      <c r="P43" s="57">
        <f>IF($N43="SI",IFERROR(30*(IFERROR(VALUE($E43),0)/MAX(SUMPRODUCT(MAX((Offerte!$C$2:$C$81=$I43)*(IFERROR(Offerte!$D$2:$D$81*1,0)=1)*(IFERROR(Offerte!$E$2:$E$81*1,0)&gt;=Parametri!$B$2)*IFERROR(Offerte!$F$2:$F$81*1,0))),SUMPRODUCT(MAX(($H$5:$H$80=$I43)*($N$5:$N$80="SI")*IFERROR($E$5:$E$80*1,0))),SUMPRODUCT(MAX(($I$5:$I$80=$I43)*($N$5:$N$80="SI")*IFERROR($E$5:$E$80*1,0))))),0),0)</f>
        <v/>
      </c>
      <c r="Q43" s="57">
        <f>IF($N43="SI",ROUND($L43+$M43+$O43+$P43,4),0)</f>
        <v/>
      </c>
      <c r="R43" s="57">
        <f>IF($A43="","",IF(IFERROR(VALUE($D43),0)&lt;&gt;1,"Non attiva",IF(OR(IFERROR(VALUE($J43),0)&lt;&gt;1,IFERROR(VALUE($K43),0)&lt;&gt;1),"Singoli non attivi",IF(OR(IFERROR(INDEX(Offerte!$G$2:$G$81,MATCH($A43&amp;"|"&amp;$H43,Offerte!$L$2:$L$81,0)),"NO")&lt;&gt;"SI",IFERROR(INDEX(Offerte!$G$2:$G$81,MATCH($A43&amp;"|"&amp;$I43,Offerte!$L$2:$L$81,0)),"NO")&lt;&gt;"SI"),"Soglia non superata",IF(OR(IFERROR(VALUE($F43),0)&lt;&gt;1,IFERROR(VALUE($G43),0)&lt;&gt;1),"Buste/PEF non confermati",IF(IFERROR(VALUE($E43),0)&lt;=$U43,"Ribasso non migliorativo",""))))))</f>
        <v/>
      </c>
      <c r="S43" s="57">
        <f>IF($H43="","",IFERROR(INDEX(Offerte!$F$2:$F$81,MATCH($A43&amp;"|"&amp;$H43,Offerte!$L$2:$L$81,0)),0))</f>
        <v/>
      </c>
      <c r="T43" s="57">
        <f>IF($I43="","",IFERROR(INDEX(Offerte!$F$2:$F$81,MATCH($A43&amp;"|"&amp;$I43,Offerte!$L$2:$L$81,0)),0))</f>
        <v/>
      </c>
      <c r="U43" s="57">
        <f>IF($A43="","",ROUND((IFERROR(VALUE($S43),0)+IFERROR(VALUE($T43),0))/2,4))</f>
        <v/>
      </c>
      <c r="V43" s="57">
        <f>IF($A43="","",$C43&amp;"|"&amp;TEXT($Q43,"0.0000"))</f>
        <v/>
      </c>
      <c r="W43" s="57">
        <f>IF($A43="","",$C43&amp;"|"&amp;$A43)</f>
        <v/>
      </c>
    </row>
    <row r="44">
      <c r="A44" s="73" t="n"/>
      <c r="B44" s="73">
        <f>IF($A44="","",IFERROR(INDEX(Offerte!$B$2:$B$81,MATCH($A44,Offerte!$A$2:$A$81,0)),""))</f>
        <v/>
      </c>
      <c r="C44" s="73" t="n"/>
      <c r="D44" s="73" t="n"/>
      <c r="E44" s="73" t="n"/>
      <c r="F44" s="73" t="n"/>
      <c r="G44" s="73" t="n"/>
      <c r="H44" s="57">
        <f>IF($C44="L1+L2","L1",IF($C44="L2+L3","L2",IF($C44="L3+L4","L3",IF($C44="L1+L4","L1",""))))</f>
        <v/>
      </c>
      <c r="I44" s="57">
        <f>IF($C44="L1+L2","L2",IF($C44="L2+L3","L3",IF($C44="L3+L4","L4",IF($C44="L1+L4","L4",""))))</f>
        <v/>
      </c>
      <c r="J44" s="57">
        <f>IF($H44="","",IFERROR(INDEX(Offerte!$D$2:$D$81,MATCH($A44&amp;"|"&amp;$H44,Offerte!$L$2:$L$81,0)),0))</f>
        <v/>
      </c>
      <c r="K44" s="57">
        <f>IF($I44="","",IFERROR(INDEX(Offerte!$D$2:$D$81,MATCH($A44&amp;"|"&amp;$I44,Offerte!$L$2:$L$81,0)),0))</f>
        <v/>
      </c>
      <c r="L44" s="57">
        <f>IF($H44="","",IFERROR(INDEX(Offerte!$E$2:$E$81,MATCH($A44&amp;"|"&amp;$H44,Offerte!$L$2:$L$81,0)),0))</f>
        <v/>
      </c>
      <c r="M44" s="57">
        <f>IF($I44="","",IFERROR(INDEX(Offerte!$E$2:$E$81,MATCH($A44&amp;"|"&amp;$I44,Offerte!$L$2:$L$81,0)),0))</f>
        <v/>
      </c>
      <c r="N44" s="57">
        <f>IF($A44="","",IF(IFERROR(VALUE($D44),0)&lt;&gt;1,"NO",IF(AND(IFERROR(VALUE($J44),0)=1,IFERROR(VALUE($K44),0)=1,IFERROR(INDEX(Offerte!$G$2:$G$81,MATCH($A44&amp;"|"&amp;$H44,Offerte!$L$2:$L$81,0)),"NO")="SI",IFERROR(INDEX(Offerte!$G$2:$G$81,MATCH($A44&amp;"|"&amp;$I44,Offerte!$L$2:$L$81,0)),"NO")="SI",IFERROR(VALUE($F44),0)=1,IFERROR(VALUE($G44),0)=1,IFERROR(VALUE($E44),0)&gt;$U44),"SI","NO")))</f>
        <v/>
      </c>
      <c r="O44" s="57">
        <f>IF($N44="SI",IFERROR(30*(IFERROR(VALUE($E44),0)/MAX(SUMPRODUCT(MAX((Offerte!$C$2:$C$81=$H44)*(IFERROR(Offerte!$D$2:$D$81*1,0)=1)*(IFERROR(Offerte!$E$2:$E$81*1,0)&gt;=Parametri!$B$2)*IFERROR(Offerte!$F$2:$F$81*1,0))),SUMPRODUCT(MAX(($H$5:$H$80=$H44)*($N$5:$N$80="SI")*IFERROR($E$5:$E$80*1,0))),SUMPRODUCT(MAX(($I$5:$I$80=$H44)*($N$5:$N$80="SI")*IFERROR($E$5:$E$80*1,0))))),0),0)</f>
        <v/>
      </c>
      <c r="P44" s="57">
        <f>IF($N44="SI",IFERROR(30*(IFERROR(VALUE($E44),0)/MAX(SUMPRODUCT(MAX((Offerte!$C$2:$C$81=$I44)*(IFERROR(Offerte!$D$2:$D$81*1,0)=1)*(IFERROR(Offerte!$E$2:$E$81*1,0)&gt;=Parametri!$B$2)*IFERROR(Offerte!$F$2:$F$81*1,0))),SUMPRODUCT(MAX(($H$5:$H$80=$I44)*($N$5:$N$80="SI")*IFERROR($E$5:$E$80*1,0))),SUMPRODUCT(MAX(($I$5:$I$80=$I44)*($N$5:$N$80="SI")*IFERROR($E$5:$E$80*1,0))))),0),0)</f>
        <v/>
      </c>
      <c r="Q44" s="57">
        <f>IF($N44="SI",ROUND($L44+$M44+$O44+$P44,4),0)</f>
        <v/>
      </c>
      <c r="R44" s="57">
        <f>IF($A44="","",IF(IFERROR(VALUE($D44),0)&lt;&gt;1,"Non attiva",IF(OR(IFERROR(VALUE($J44),0)&lt;&gt;1,IFERROR(VALUE($K44),0)&lt;&gt;1),"Singoli non attivi",IF(OR(IFERROR(INDEX(Offerte!$G$2:$G$81,MATCH($A44&amp;"|"&amp;$H44,Offerte!$L$2:$L$81,0)),"NO")&lt;&gt;"SI",IFERROR(INDEX(Offerte!$G$2:$G$81,MATCH($A44&amp;"|"&amp;$I44,Offerte!$L$2:$L$81,0)),"NO")&lt;&gt;"SI"),"Soglia non superata",IF(OR(IFERROR(VALUE($F44),0)&lt;&gt;1,IFERROR(VALUE($G44),0)&lt;&gt;1),"Buste/PEF non confermati",IF(IFERROR(VALUE($E44),0)&lt;=$U44,"Ribasso non migliorativo",""))))))</f>
        <v/>
      </c>
      <c r="S44" s="57">
        <f>IF($H44="","",IFERROR(INDEX(Offerte!$F$2:$F$81,MATCH($A44&amp;"|"&amp;$H44,Offerte!$L$2:$L$81,0)),0))</f>
        <v/>
      </c>
      <c r="T44" s="57">
        <f>IF($I44="","",IFERROR(INDEX(Offerte!$F$2:$F$81,MATCH($A44&amp;"|"&amp;$I44,Offerte!$L$2:$L$81,0)),0))</f>
        <v/>
      </c>
      <c r="U44" s="57">
        <f>IF($A44="","",ROUND((IFERROR(VALUE($S44),0)+IFERROR(VALUE($T44),0))/2,4))</f>
        <v/>
      </c>
      <c r="V44" s="57">
        <f>IF($A44="","",$C44&amp;"|"&amp;TEXT($Q44,"0.0000"))</f>
        <v/>
      </c>
      <c r="W44" s="57">
        <f>IF($A44="","",$C44&amp;"|"&amp;$A44)</f>
        <v/>
      </c>
    </row>
    <row r="45">
      <c r="A45" s="73" t="n"/>
      <c r="B45" s="73">
        <f>IF($A45="","",IFERROR(INDEX(Offerte!$B$2:$B$81,MATCH($A45,Offerte!$A$2:$A$81,0)),""))</f>
        <v/>
      </c>
      <c r="C45" s="73" t="n"/>
      <c r="D45" s="73" t="n"/>
      <c r="E45" s="73" t="n"/>
      <c r="F45" s="73" t="n"/>
      <c r="G45" s="73" t="n"/>
      <c r="H45" s="57">
        <f>IF($C45="L1+L2","L1",IF($C45="L2+L3","L2",IF($C45="L3+L4","L3",IF($C45="L1+L4","L1",""))))</f>
        <v/>
      </c>
      <c r="I45" s="57">
        <f>IF($C45="L1+L2","L2",IF($C45="L2+L3","L3",IF($C45="L3+L4","L4",IF($C45="L1+L4","L4",""))))</f>
        <v/>
      </c>
      <c r="J45" s="57">
        <f>IF($H45="","",IFERROR(INDEX(Offerte!$D$2:$D$81,MATCH($A45&amp;"|"&amp;$H45,Offerte!$L$2:$L$81,0)),0))</f>
        <v/>
      </c>
      <c r="K45" s="57">
        <f>IF($I45="","",IFERROR(INDEX(Offerte!$D$2:$D$81,MATCH($A45&amp;"|"&amp;$I45,Offerte!$L$2:$L$81,0)),0))</f>
        <v/>
      </c>
      <c r="L45" s="57">
        <f>IF($H45="","",IFERROR(INDEX(Offerte!$E$2:$E$81,MATCH($A45&amp;"|"&amp;$H45,Offerte!$L$2:$L$81,0)),0))</f>
        <v/>
      </c>
      <c r="M45" s="57">
        <f>IF($I45="","",IFERROR(INDEX(Offerte!$E$2:$E$81,MATCH($A45&amp;"|"&amp;$I45,Offerte!$L$2:$L$81,0)),0))</f>
        <v/>
      </c>
      <c r="N45" s="57">
        <f>IF($A45="","",IF(IFERROR(VALUE($D45),0)&lt;&gt;1,"NO",IF(AND(IFERROR(VALUE($J45),0)=1,IFERROR(VALUE($K45),0)=1,IFERROR(INDEX(Offerte!$G$2:$G$81,MATCH($A45&amp;"|"&amp;$H45,Offerte!$L$2:$L$81,0)),"NO")="SI",IFERROR(INDEX(Offerte!$G$2:$G$81,MATCH($A45&amp;"|"&amp;$I45,Offerte!$L$2:$L$81,0)),"NO")="SI",IFERROR(VALUE($F45),0)=1,IFERROR(VALUE($G45),0)=1,IFERROR(VALUE($E45),0)&gt;$U45),"SI","NO")))</f>
        <v/>
      </c>
      <c r="O45" s="57">
        <f>IF($N45="SI",IFERROR(30*(IFERROR(VALUE($E45),0)/MAX(SUMPRODUCT(MAX((Offerte!$C$2:$C$81=$H45)*(IFERROR(Offerte!$D$2:$D$81*1,0)=1)*(IFERROR(Offerte!$E$2:$E$81*1,0)&gt;=Parametri!$B$2)*IFERROR(Offerte!$F$2:$F$81*1,0))),SUMPRODUCT(MAX(($H$5:$H$80=$H45)*($N$5:$N$80="SI")*IFERROR($E$5:$E$80*1,0))),SUMPRODUCT(MAX(($I$5:$I$80=$H45)*($N$5:$N$80="SI")*IFERROR($E$5:$E$80*1,0))))),0),0)</f>
        <v/>
      </c>
      <c r="P45" s="57">
        <f>IF($N45="SI",IFERROR(30*(IFERROR(VALUE($E45),0)/MAX(SUMPRODUCT(MAX((Offerte!$C$2:$C$81=$I45)*(IFERROR(Offerte!$D$2:$D$81*1,0)=1)*(IFERROR(Offerte!$E$2:$E$81*1,0)&gt;=Parametri!$B$2)*IFERROR(Offerte!$F$2:$F$81*1,0))),SUMPRODUCT(MAX(($H$5:$H$80=$I45)*($N$5:$N$80="SI")*IFERROR($E$5:$E$80*1,0))),SUMPRODUCT(MAX(($I$5:$I$80=$I45)*($N$5:$N$80="SI")*IFERROR($E$5:$E$80*1,0))))),0),0)</f>
        <v/>
      </c>
      <c r="Q45" s="57">
        <f>IF($N45="SI",ROUND($L45+$M45+$O45+$P45,4),0)</f>
        <v/>
      </c>
      <c r="R45" s="57">
        <f>IF($A45="","",IF(IFERROR(VALUE($D45),0)&lt;&gt;1,"Non attiva",IF(OR(IFERROR(VALUE($J45),0)&lt;&gt;1,IFERROR(VALUE($K45),0)&lt;&gt;1),"Singoli non attivi",IF(OR(IFERROR(INDEX(Offerte!$G$2:$G$81,MATCH($A45&amp;"|"&amp;$H45,Offerte!$L$2:$L$81,0)),"NO")&lt;&gt;"SI",IFERROR(INDEX(Offerte!$G$2:$G$81,MATCH($A45&amp;"|"&amp;$I45,Offerte!$L$2:$L$81,0)),"NO")&lt;&gt;"SI"),"Soglia non superata",IF(OR(IFERROR(VALUE($F45),0)&lt;&gt;1,IFERROR(VALUE($G45),0)&lt;&gt;1),"Buste/PEF non confermati",IF(IFERROR(VALUE($E45),0)&lt;=$U45,"Ribasso non migliorativo",""))))))</f>
        <v/>
      </c>
      <c r="S45" s="57">
        <f>IF($H45="","",IFERROR(INDEX(Offerte!$F$2:$F$81,MATCH($A45&amp;"|"&amp;$H45,Offerte!$L$2:$L$81,0)),0))</f>
        <v/>
      </c>
      <c r="T45" s="57">
        <f>IF($I45="","",IFERROR(INDEX(Offerte!$F$2:$F$81,MATCH($A45&amp;"|"&amp;$I45,Offerte!$L$2:$L$81,0)),0))</f>
        <v/>
      </c>
      <c r="U45" s="57">
        <f>IF($A45="","",ROUND((IFERROR(VALUE($S45),0)+IFERROR(VALUE($T45),0))/2,4))</f>
        <v/>
      </c>
      <c r="V45" s="57">
        <f>IF($A45="","",$C45&amp;"|"&amp;TEXT($Q45,"0.0000"))</f>
        <v/>
      </c>
      <c r="W45" s="57">
        <f>IF($A45="","",$C45&amp;"|"&amp;$A45)</f>
        <v/>
      </c>
    </row>
    <row r="46">
      <c r="A46" s="73" t="n"/>
      <c r="B46" s="73">
        <f>IF($A46="","",IFERROR(INDEX(Offerte!$B$2:$B$81,MATCH($A46,Offerte!$A$2:$A$81,0)),""))</f>
        <v/>
      </c>
      <c r="C46" s="73" t="n"/>
      <c r="D46" s="73" t="n"/>
      <c r="E46" s="73" t="n"/>
      <c r="F46" s="73" t="n"/>
      <c r="G46" s="73" t="n"/>
      <c r="H46" s="57">
        <f>IF($C46="L1+L2","L1",IF($C46="L2+L3","L2",IF($C46="L3+L4","L3",IF($C46="L1+L4","L1",""))))</f>
        <v/>
      </c>
      <c r="I46" s="57">
        <f>IF($C46="L1+L2","L2",IF($C46="L2+L3","L3",IF($C46="L3+L4","L4",IF($C46="L1+L4","L4",""))))</f>
        <v/>
      </c>
      <c r="J46" s="57">
        <f>IF($H46="","",IFERROR(INDEX(Offerte!$D$2:$D$81,MATCH($A46&amp;"|"&amp;$H46,Offerte!$L$2:$L$81,0)),0))</f>
        <v/>
      </c>
      <c r="K46" s="57">
        <f>IF($I46="","",IFERROR(INDEX(Offerte!$D$2:$D$81,MATCH($A46&amp;"|"&amp;$I46,Offerte!$L$2:$L$81,0)),0))</f>
        <v/>
      </c>
      <c r="L46" s="57">
        <f>IF($H46="","",IFERROR(INDEX(Offerte!$E$2:$E$81,MATCH($A46&amp;"|"&amp;$H46,Offerte!$L$2:$L$81,0)),0))</f>
        <v/>
      </c>
      <c r="M46" s="57">
        <f>IF($I46="","",IFERROR(INDEX(Offerte!$E$2:$E$81,MATCH($A46&amp;"|"&amp;$I46,Offerte!$L$2:$L$81,0)),0))</f>
        <v/>
      </c>
      <c r="N46" s="57">
        <f>IF($A46="","",IF(IFERROR(VALUE($D46),0)&lt;&gt;1,"NO",IF(AND(IFERROR(VALUE($J46),0)=1,IFERROR(VALUE($K46),0)=1,IFERROR(INDEX(Offerte!$G$2:$G$81,MATCH($A46&amp;"|"&amp;$H46,Offerte!$L$2:$L$81,0)),"NO")="SI",IFERROR(INDEX(Offerte!$G$2:$G$81,MATCH($A46&amp;"|"&amp;$I46,Offerte!$L$2:$L$81,0)),"NO")="SI",IFERROR(VALUE($F46),0)=1,IFERROR(VALUE($G46),0)=1,IFERROR(VALUE($E46),0)&gt;$U46),"SI","NO")))</f>
        <v/>
      </c>
      <c r="O46" s="57">
        <f>IF($N46="SI",IFERROR(30*(IFERROR(VALUE($E46),0)/MAX(SUMPRODUCT(MAX((Offerte!$C$2:$C$81=$H46)*(IFERROR(Offerte!$D$2:$D$81*1,0)=1)*(IFERROR(Offerte!$E$2:$E$81*1,0)&gt;=Parametri!$B$2)*IFERROR(Offerte!$F$2:$F$81*1,0))),SUMPRODUCT(MAX(($H$5:$H$80=$H46)*($N$5:$N$80="SI")*IFERROR($E$5:$E$80*1,0))),SUMPRODUCT(MAX(($I$5:$I$80=$H46)*($N$5:$N$80="SI")*IFERROR($E$5:$E$80*1,0))))),0),0)</f>
        <v/>
      </c>
      <c r="P46" s="57">
        <f>IF($N46="SI",IFERROR(30*(IFERROR(VALUE($E46),0)/MAX(SUMPRODUCT(MAX((Offerte!$C$2:$C$81=$I46)*(IFERROR(Offerte!$D$2:$D$81*1,0)=1)*(IFERROR(Offerte!$E$2:$E$81*1,0)&gt;=Parametri!$B$2)*IFERROR(Offerte!$F$2:$F$81*1,0))),SUMPRODUCT(MAX(($H$5:$H$80=$I46)*($N$5:$N$80="SI")*IFERROR($E$5:$E$80*1,0))),SUMPRODUCT(MAX(($I$5:$I$80=$I46)*($N$5:$N$80="SI")*IFERROR($E$5:$E$80*1,0))))),0),0)</f>
        <v/>
      </c>
      <c r="Q46" s="57">
        <f>IF($N46="SI",ROUND($L46+$M46+$O46+$P46,4),0)</f>
        <v/>
      </c>
      <c r="R46" s="57">
        <f>IF($A46="","",IF(IFERROR(VALUE($D46),0)&lt;&gt;1,"Non attiva",IF(OR(IFERROR(VALUE($J46),0)&lt;&gt;1,IFERROR(VALUE($K46),0)&lt;&gt;1),"Singoli non attivi",IF(OR(IFERROR(INDEX(Offerte!$G$2:$G$81,MATCH($A46&amp;"|"&amp;$H46,Offerte!$L$2:$L$81,0)),"NO")&lt;&gt;"SI",IFERROR(INDEX(Offerte!$G$2:$G$81,MATCH($A46&amp;"|"&amp;$I46,Offerte!$L$2:$L$81,0)),"NO")&lt;&gt;"SI"),"Soglia non superata",IF(OR(IFERROR(VALUE($F46),0)&lt;&gt;1,IFERROR(VALUE($G46),0)&lt;&gt;1),"Buste/PEF non confermati",IF(IFERROR(VALUE($E46),0)&lt;=$U46,"Ribasso non migliorativo",""))))))</f>
        <v/>
      </c>
      <c r="S46" s="57">
        <f>IF($H46="","",IFERROR(INDEX(Offerte!$F$2:$F$81,MATCH($A46&amp;"|"&amp;$H46,Offerte!$L$2:$L$81,0)),0))</f>
        <v/>
      </c>
      <c r="T46" s="57">
        <f>IF($I46="","",IFERROR(INDEX(Offerte!$F$2:$F$81,MATCH($A46&amp;"|"&amp;$I46,Offerte!$L$2:$L$81,0)),0))</f>
        <v/>
      </c>
      <c r="U46" s="57">
        <f>IF($A46="","",ROUND((IFERROR(VALUE($S46),0)+IFERROR(VALUE($T46),0))/2,4))</f>
        <v/>
      </c>
      <c r="V46" s="57">
        <f>IF($A46="","",$C46&amp;"|"&amp;TEXT($Q46,"0.0000"))</f>
        <v/>
      </c>
      <c r="W46" s="57">
        <f>IF($A46="","",$C46&amp;"|"&amp;$A46)</f>
        <v/>
      </c>
    </row>
    <row r="47">
      <c r="A47" s="73" t="n"/>
      <c r="B47" s="73">
        <f>IF($A47="","",IFERROR(INDEX(Offerte!$B$2:$B$81,MATCH($A47,Offerte!$A$2:$A$81,0)),""))</f>
        <v/>
      </c>
      <c r="C47" s="73" t="n"/>
      <c r="D47" s="73" t="n"/>
      <c r="E47" s="73" t="n"/>
      <c r="F47" s="73" t="n"/>
      <c r="G47" s="73" t="n"/>
      <c r="H47" s="57">
        <f>IF($C47="L1+L2","L1",IF($C47="L2+L3","L2",IF($C47="L3+L4","L3",IF($C47="L1+L4","L1",""))))</f>
        <v/>
      </c>
      <c r="I47" s="57">
        <f>IF($C47="L1+L2","L2",IF($C47="L2+L3","L3",IF($C47="L3+L4","L4",IF($C47="L1+L4","L4",""))))</f>
        <v/>
      </c>
      <c r="J47" s="57">
        <f>IF($H47="","",IFERROR(INDEX(Offerte!$D$2:$D$81,MATCH($A47&amp;"|"&amp;$H47,Offerte!$L$2:$L$81,0)),0))</f>
        <v/>
      </c>
      <c r="K47" s="57">
        <f>IF($I47="","",IFERROR(INDEX(Offerte!$D$2:$D$81,MATCH($A47&amp;"|"&amp;$I47,Offerte!$L$2:$L$81,0)),0))</f>
        <v/>
      </c>
      <c r="L47" s="57">
        <f>IF($H47="","",IFERROR(INDEX(Offerte!$E$2:$E$81,MATCH($A47&amp;"|"&amp;$H47,Offerte!$L$2:$L$81,0)),0))</f>
        <v/>
      </c>
      <c r="M47" s="57">
        <f>IF($I47="","",IFERROR(INDEX(Offerte!$E$2:$E$81,MATCH($A47&amp;"|"&amp;$I47,Offerte!$L$2:$L$81,0)),0))</f>
        <v/>
      </c>
      <c r="N47" s="57">
        <f>IF($A47="","",IF(IFERROR(VALUE($D47),0)&lt;&gt;1,"NO",IF(AND(IFERROR(VALUE($J47),0)=1,IFERROR(VALUE($K47),0)=1,IFERROR(INDEX(Offerte!$G$2:$G$81,MATCH($A47&amp;"|"&amp;$H47,Offerte!$L$2:$L$81,0)),"NO")="SI",IFERROR(INDEX(Offerte!$G$2:$G$81,MATCH($A47&amp;"|"&amp;$I47,Offerte!$L$2:$L$81,0)),"NO")="SI",IFERROR(VALUE($F47),0)=1,IFERROR(VALUE($G47),0)=1,IFERROR(VALUE($E47),0)&gt;$U47),"SI","NO")))</f>
        <v/>
      </c>
      <c r="O47" s="57">
        <f>IF($N47="SI",IFERROR(30*(IFERROR(VALUE($E47),0)/MAX(SUMPRODUCT(MAX((Offerte!$C$2:$C$81=$H47)*(IFERROR(Offerte!$D$2:$D$81*1,0)=1)*(IFERROR(Offerte!$E$2:$E$81*1,0)&gt;=Parametri!$B$2)*IFERROR(Offerte!$F$2:$F$81*1,0))),SUMPRODUCT(MAX(($H$5:$H$80=$H47)*($N$5:$N$80="SI")*IFERROR($E$5:$E$80*1,0))),SUMPRODUCT(MAX(($I$5:$I$80=$H47)*($N$5:$N$80="SI")*IFERROR($E$5:$E$80*1,0))))),0),0)</f>
        <v/>
      </c>
      <c r="P47" s="57">
        <f>IF($N47="SI",IFERROR(30*(IFERROR(VALUE($E47),0)/MAX(SUMPRODUCT(MAX((Offerte!$C$2:$C$81=$I47)*(IFERROR(Offerte!$D$2:$D$81*1,0)=1)*(IFERROR(Offerte!$E$2:$E$81*1,0)&gt;=Parametri!$B$2)*IFERROR(Offerte!$F$2:$F$81*1,0))),SUMPRODUCT(MAX(($H$5:$H$80=$I47)*($N$5:$N$80="SI")*IFERROR($E$5:$E$80*1,0))),SUMPRODUCT(MAX(($I$5:$I$80=$I47)*($N$5:$N$80="SI")*IFERROR($E$5:$E$80*1,0))))),0),0)</f>
        <v/>
      </c>
      <c r="Q47" s="57">
        <f>IF($N47="SI",ROUND($L47+$M47+$O47+$P47,4),0)</f>
        <v/>
      </c>
      <c r="R47" s="57">
        <f>IF($A47="","",IF(IFERROR(VALUE($D47),0)&lt;&gt;1,"Non attiva",IF(OR(IFERROR(VALUE($J47),0)&lt;&gt;1,IFERROR(VALUE($K47),0)&lt;&gt;1),"Singoli non attivi",IF(OR(IFERROR(INDEX(Offerte!$G$2:$G$81,MATCH($A47&amp;"|"&amp;$H47,Offerte!$L$2:$L$81,0)),"NO")&lt;&gt;"SI",IFERROR(INDEX(Offerte!$G$2:$G$81,MATCH($A47&amp;"|"&amp;$I47,Offerte!$L$2:$L$81,0)),"NO")&lt;&gt;"SI"),"Soglia non superata",IF(OR(IFERROR(VALUE($F47),0)&lt;&gt;1,IFERROR(VALUE($G47),0)&lt;&gt;1),"Buste/PEF non confermati",IF(IFERROR(VALUE($E47),0)&lt;=$U47,"Ribasso non migliorativo",""))))))</f>
        <v/>
      </c>
      <c r="S47" s="57">
        <f>IF($H47="","",IFERROR(INDEX(Offerte!$F$2:$F$81,MATCH($A47&amp;"|"&amp;$H47,Offerte!$L$2:$L$81,0)),0))</f>
        <v/>
      </c>
      <c r="T47" s="57">
        <f>IF($I47="","",IFERROR(INDEX(Offerte!$F$2:$F$81,MATCH($A47&amp;"|"&amp;$I47,Offerte!$L$2:$L$81,0)),0))</f>
        <v/>
      </c>
      <c r="U47" s="57">
        <f>IF($A47="","",ROUND((IFERROR(VALUE($S47),0)+IFERROR(VALUE($T47),0))/2,4))</f>
        <v/>
      </c>
      <c r="V47" s="57">
        <f>IF($A47="","",$C47&amp;"|"&amp;TEXT($Q47,"0.0000"))</f>
        <v/>
      </c>
      <c r="W47" s="57">
        <f>IF($A47="","",$C47&amp;"|"&amp;$A47)</f>
        <v/>
      </c>
    </row>
    <row r="48">
      <c r="A48" s="73" t="n"/>
      <c r="B48" s="73">
        <f>IF($A48="","",IFERROR(INDEX(Offerte!$B$2:$B$81,MATCH($A48,Offerte!$A$2:$A$81,0)),""))</f>
        <v/>
      </c>
      <c r="C48" s="73" t="n"/>
      <c r="D48" s="73" t="n"/>
      <c r="E48" s="73" t="n"/>
      <c r="F48" s="73" t="n"/>
      <c r="G48" s="73" t="n"/>
      <c r="H48" s="57">
        <f>IF($C48="L1+L2","L1",IF($C48="L2+L3","L2",IF($C48="L3+L4","L3",IF($C48="L1+L4","L1",""))))</f>
        <v/>
      </c>
      <c r="I48" s="57">
        <f>IF($C48="L1+L2","L2",IF($C48="L2+L3","L3",IF($C48="L3+L4","L4",IF($C48="L1+L4","L4",""))))</f>
        <v/>
      </c>
      <c r="J48" s="57">
        <f>IF($H48="","",IFERROR(INDEX(Offerte!$D$2:$D$81,MATCH($A48&amp;"|"&amp;$H48,Offerte!$L$2:$L$81,0)),0))</f>
        <v/>
      </c>
      <c r="K48" s="57">
        <f>IF($I48="","",IFERROR(INDEX(Offerte!$D$2:$D$81,MATCH($A48&amp;"|"&amp;$I48,Offerte!$L$2:$L$81,0)),0))</f>
        <v/>
      </c>
      <c r="L48" s="57">
        <f>IF($H48="","",IFERROR(INDEX(Offerte!$E$2:$E$81,MATCH($A48&amp;"|"&amp;$H48,Offerte!$L$2:$L$81,0)),0))</f>
        <v/>
      </c>
      <c r="M48" s="57">
        <f>IF($I48="","",IFERROR(INDEX(Offerte!$E$2:$E$81,MATCH($A48&amp;"|"&amp;$I48,Offerte!$L$2:$L$81,0)),0))</f>
        <v/>
      </c>
      <c r="N48" s="57">
        <f>IF($A48="","",IF(IFERROR(VALUE($D48),0)&lt;&gt;1,"NO",IF(AND(IFERROR(VALUE($J48),0)=1,IFERROR(VALUE($K48),0)=1,IFERROR(INDEX(Offerte!$G$2:$G$81,MATCH($A48&amp;"|"&amp;$H48,Offerte!$L$2:$L$81,0)),"NO")="SI",IFERROR(INDEX(Offerte!$G$2:$G$81,MATCH($A48&amp;"|"&amp;$I48,Offerte!$L$2:$L$81,0)),"NO")="SI",IFERROR(VALUE($F48),0)=1,IFERROR(VALUE($G48),0)=1,IFERROR(VALUE($E48),0)&gt;$U48),"SI","NO")))</f>
        <v/>
      </c>
      <c r="O48" s="57">
        <f>IF($N48="SI",IFERROR(30*(IFERROR(VALUE($E48),0)/MAX(SUMPRODUCT(MAX((Offerte!$C$2:$C$81=$H48)*(IFERROR(Offerte!$D$2:$D$81*1,0)=1)*(IFERROR(Offerte!$E$2:$E$81*1,0)&gt;=Parametri!$B$2)*IFERROR(Offerte!$F$2:$F$81*1,0))),SUMPRODUCT(MAX(($H$5:$H$80=$H48)*($N$5:$N$80="SI")*IFERROR($E$5:$E$80*1,0))),SUMPRODUCT(MAX(($I$5:$I$80=$H48)*($N$5:$N$80="SI")*IFERROR($E$5:$E$80*1,0))))),0),0)</f>
        <v/>
      </c>
      <c r="P48" s="57">
        <f>IF($N48="SI",IFERROR(30*(IFERROR(VALUE($E48),0)/MAX(SUMPRODUCT(MAX((Offerte!$C$2:$C$81=$I48)*(IFERROR(Offerte!$D$2:$D$81*1,0)=1)*(IFERROR(Offerte!$E$2:$E$81*1,0)&gt;=Parametri!$B$2)*IFERROR(Offerte!$F$2:$F$81*1,0))),SUMPRODUCT(MAX(($H$5:$H$80=$I48)*($N$5:$N$80="SI")*IFERROR($E$5:$E$80*1,0))),SUMPRODUCT(MAX(($I$5:$I$80=$I48)*($N$5:$N$80="SI")*IFERROR($E$5:$E$80*1,0))))),0),0)</f>
        <v/>
      </c>
      <c r="Q48" s="57">
        <f>IF($N48="SI",ROUND($L48+$M48+$O48+$P48,4),0)</f>
        <v/>
      </c>
      <c r="R48" s="57">
        <f>IF($A48="","",IF(IFERROR(VALUE($D48),0)&lt;&gt;1,"Non attiva",IF(OR(IFERROR(VALUE($J48),0)&lt;&gt;1,IFERROR(VALUE($K48),0)&lt;&gt;1),"Singoli non attivi",IF(OR(IFERROR(INDEX(Offerte!$G$2:$G$81,MATCH($A48&amp;"|"&amp;$H48,Offerte!$L$2:$L$81,0)),"NO")&lt;&gt;"SI",IFERROR(INDEX(Offerte!$G$2:$G$81,MATCH($A48&amp;"|"&amp;$I48,Offerte!$L$2:$L$81,0)),"NO")&lt;&gt;"SI"),"Soglia non superata",IF(OR(IFERROR(VALUE($F48),0)&lt;&gt;1,IFERROR(VALUE($G48),0)&lt;&gt;1),"Buste/PEF non confermati",IF(IFERROR(VALUE($E48),0)&lt;=$U48,"Ribasso non migliorativo",""))))))</f>
        <v/>
      </c>
      <c r="S48" s="57">
        <f>IF($H48="","",IFERROR(INDEX(Offerte!$F$2:$F$81,MATCH($A48&amp;"|"&amp;$H48,Offerte!$L$2:$L$81,0)),0))</f>
        <v/>
      </c>
      <c r="T48" s="57">
        <f>IF($I48="","",IFERROR(INDEX(Offerte!$F$2:$F$81,MATCH($A48&amp;"|"&amp;$I48,Offerte!$L$2:$L$81,0)),0))</f>
        <v/>
      </c>
      <c r="U48" s="57">
        <f>IF($A48="","",ROUND((IFERROR(VALUE($S48),0)+IFERROR(VALUE($T48),0))/2,4))</f>
        <v/>
      </c>
      <c r="V48" s="57">
        <f>IF($A48="","",$C48&amp;"|"&amp;TEXT($Q48,"0.0000"))</f>
        <v/>
      </c>
      <c r="W48" s="57">
        <f>IF($A48="","",$C48&amp;"|"&amp;$A48)</f>
        <v/>
      </c>
    </row>
    <row r="49">
      <c r="A49" s="73" t="n"/>
      <c r="B49" s="73">
        <f>IF($A49="","",IFERROR(INDEX(Offerte!$B$2:$B$81,MATCH($A49,Offerte!$A$2:$A$81,0)),""))</f>
        <v/>
      </c>
      <c r="C49" s="73" t="n"/>
      <c r="D49" s="73" t="n"/>
      <c r="E49" s="73" t="n"/>
      <c r="F49" s="73" t="n"/>
      <c r="G49" s="73" t="n"/>
      <c r="H49" s="57">
        <f>IF($C49="L1+L2","L1",IF($C49="L2+L3","L2",IF($C49="L3+L4","L3",IF($C49="L1+L4","L1",""))))</f>
        <v/>
      </c>
      <c r="I49" s="57">
        <f>IF($C49="L1+L2","L2",IF($C49="L2+L3","L3",IF($C49="L3+L4","L4",IF($C49="L1+L4","L4",""))))</f>
        <v/>
      </c>
      <c r="J49" s="57">
        <f>IF($H49="","",IFERROR(INDEX(Offerte!$D$2:$D$81,MATCH($A49&amp;"|"&amp;$H49,Offerte!$L$2:$L$81,0)),0))</f>
        <v/>
      </c>
      <c r="K49" s="57">
        <f>IF($I49="","",IFERROR(INDEX(Offerte!$D$2:$D$81,MATCH($A49&amp;"|"&amp;$I49,Offerte!$L$2:$L$81,0)),0))</f>
        <v/>
      </c>
      <c r="L49" s="57">
        <f>IF($H49="","",IFERROR(INDEX(Offerte!$E$2:$E$81,MATCH($A49&amp;"|"&amp;$H49,Offerte!$L$2:$L$81,0)),0))</f>
        <v/>
      </c>
      <c r="M49" s="57">
        <f>IF($I49="","",IFERROR(INDEX(Offerte!$E$2:$E$81,MATCH($A49&amp;"|"&amp;$I49,Offerte!$L$2:$L$81,0)),0))</f>
        <v/>
      </c>
      <c r="N49" s="57">
        <f>IF($A49="","",IF(IFERROR(VALUE($D49),0)&lt;&gt;1,"NO",IF(AND(IFERROR(VALUE($J49),0)=1,IFERROR(VALUE($K49),0)=1,IFERROR(INDEX(Offerte!$G$2:$G$81,MATCH($A49&amp;"|"&amp;$H49,Offerte!$L$2:$L$81,0)),"NO")="SI",IFERROR(INDEX(Offerte!$G$2:$G$81,MATCH($A49&amp;"|"&amp;$I49,Offerte!$L$2:$L$81,0)),"NO")="SI",IFERROR(VALUE($F49),0)=1,IFERROR(VALUE($G49),0)=1,IFERROR(VALUE($E49),0)&gt;$U49),"SI","NO")))</f>
        <v/>
      </c>
      <c r="O49" s="57">
        <f>IF($N49="SI",IFERROR(30*(IFERROR(VALUE($E49),0)/MAX(SUMPRODUCT(MAX((Offerte!$C$2:$C$81=$H49)*(IFERROR(Offerte!$D$2:$D$81*1,0)=1)*(IFERROR(Offerte!$E$2:$E$81*1,0)&gt;=Parametri!$B$2)*IFERROR(Offerte!$F$2:$F$81*1,0))),SUMPRODUCT(MAX(($H$5:$H$80=$H49)*($N$5:$N$80="SI")*IFERROR($E$5:$E$80*1,0))),SUMPRODUCT(MAX(($I$5:$I$80=$H49)*($N$5:$N$80="SI")*IFERROR($E$5:$E$80*1,0))))),0),0)</f>
        <v/>
      </c>
      <c r="P49" s="57">
        <f>IF($N49="SI",IFERROR(30*(IFERROR(VALUE($E49),0)/MAX(SUMPRODUCT(MAX((Offerte!$C$2:$C$81=$I49)*(IFERROR(Offerte!$D$2:$D$81*1,0)=1)*(IFERROR(Offerte!$E$2:$E$81*1,0)&gt;=Parametri!$B$2)*IFERROR(Offerte!$F$2:$F$81*1,0))),SUMPRODUCT(MAX(($H$5:$H$80=$I49)*($N$5:$N$80="SI")*IFERROR($E$5:$E$80*1,0))),SUMPRODUCT(MAX(($I$5:$I$80=$I49)*($N$5:$N$80="SI")*IFERROR($E$5:$E$80*1,0))))),0),0)</f>
        <v/>
      </c>
      <c r="Q49" s="57">
        <f>IF($N49="SI",ROUND($L49+$M49+$O49+$P49,4),0)</f>
        <v/>
      </c>
      <c r="R49" s="57">
        <f>IF($A49="","",IF(IFERROR(VALUE($D49),0)&lt;&gt;1,"Non attiva",IF(OR(IFERROR(VALUE($J49),0)&lt;&gt;1,IFERROR(VALUE($K49),0)&lt;&gt;1),"Singoli non attivi",IF(OR(IFERROR(INDEX(Offerte!$G$2:$G$81,MATCH($A49&amp;"|"&amp;$H49,Offerte!$L$2:$L$81,0)),"NO")&lt;&gt;"SI",IFERROR(INDEX(Offerte!$G$2:$G$81,MATCH($A49&amp;"|"&amp;$I49,Offerte!$L$2:$L$81,0)),"NO")&lt;&gt;"SI"),"Soglia non superata",IF(OR(IFERROR(VALUE($F49),0)&lt;&gt;1,IFERROR(VALUE($G49),0)&lt;&gt;1),"Buste/PEF non confermati",IF(IFERROR(VALUE($E49),0)&lt;=$U49,"Ribasso non migliorativo",""))))))</f>
        <v/>
      </c>
      <c r="S49" s="57">
        <f>IF($H49="","",IFERROR(INDEX(Offerte!$F$2:$F$81,MATCH($A49&amp;"|"&amp;$H49,Offerte!$L$2:$L$81,0)),0))</f>
        <v/>
      </c>
      <c r="T49" s="57">
        <f>IF($I49="","",IFERROR(INDEX(Offerte!$F$2:$F$81,MATCH($A49&amp;"|"&amp;$I49,Offerte!$L$2:$L$81,0)),0))</f>
        <v/>
      </c>
      <c r="U49" s="57">
        <f>IF($A49="","",ROUND((IFERROR(VALUE($S49),0)+IFERROR(VALUE($T49),0))/2,4))</f>
        <v/>
      </c>
      <c r="V49" s="57">
        <f>IF($A49="","",$C49&amp;"|"&amp;TEXT($Q49,"0.0000"))</f>
        <v/>
      </c>
      <c r="W49" s="57">
        <f>IF($A49="","",$C49&amp;"|"&amp;$A49)</f>
        <v/>
      </c>
    </row>
    <row r="50">
      <c r="A50" s="73" t="n"/>
      <c r="B50" s="73">
        <f>IF($A50="","",IFERROR(INDEX(Offerte!$B$2:$B$81,MATCH($A50,Offerte!$A$2:$A$81,0)),""))</f>
        <v/>
      </c>
      <c r="C50" s="73" t="n"/>
      <c r="D50" s="73" t="n"/>
      <c r="E50" s="73" t="n"/>
      <c r="F50" s="73" t="n"/>
      <c r="G50" s="73" t="n"/>
      <c r="H50" s="57">
        <f>IF($C50="L1+L2","L1",IF($C50="L2+L3","L2",IF($C50="L3+L4","L3",IF($C50="L1+L4","L1",""))))</f>
        <v/>
      </c>
      <c r="I50" s="57">
        <f>IF($C50="L1+L2","L2",IF($C50="L2+L3","L3",IF($C50="L3+L4","L4",IF($C50="L1+L4","L4",""))))</f>
        <v/>
      </c>
      <c r="J50" s="57">
        <f>IF($H50="","",IFERROR(INDEX(Offerte!$D$2:$D$81,MATCH($A50&amp;"|"&amp;$H50,Offerte!$L$2:$L$81,0)),0))</f>
        <v/>
      </c>
      <c r="K50" s="57">
        <f>IF($I50="","",IFERROR(INDEX(Offerte!$D$2:$D$81,MATCH($A50&amp;"|"&amp;$I50,Offerte!$L$2:$L$81,0)),0))</f>
        <v/>
      </c>
      <c r="L50" s="57">
        <f>IF($H50="","",IFERROR(INDEX(Offerte!$E$2:$E$81,MATCH($A50&amp;"|"&amp;$H50,Offerte!$L$2:$L$81,0)),0))</f>
        <v/>
      </c>
      <c r="M50" s="57">
        <f>IF($I50="","",IFERROR(INDEX(Offerte!$E$2:$E$81,MATCH($A50&amp;"|"&amp;$I50,Offerte!$L$2:$L$81,0)),0))</f>
        <v/>
      </c>
      <c r="N50" s="57">
        <f>IF($A50="","",IF(IFERROR(VALUE($D50),0)&lt;&gt;1,"NO",IF(AND(IFERROR(VALUE($J50),0)=1,IFERROR(VALUE($K50),0)=1,IFERROR(INDEX(Offerte!$G$2:$G$81,MATCH($A50&amp;"|"&amp;$H50,Offerte!$L$2:$L$81,0)),"NO")="SI",IFERROR(INDEX(Offerte!$G$2:$G$81,MATCH($A50&amp;"|"&amp;$I50,Offerte!$L$2:$L$81,0)),"NO")="SI",IFERROR(VALUE($F50),0)=1,IFERROR(VALUE($G50),0)=1,IFERROR(VALUE($E50),0)&gt;$U50),"SI","NO")))</f>
        <v/>
      </c>
      <c r="O50" s="57">
        <f>IF($N50="SI",IFERROR(30*(IFERROR(VALUE($E50),0)/MAX(SUMPRODUCT(MAX((Offerte!$C$2:$C$81=$H50)*(IFERROR(Offerte!$D$2:$D$81*1,0)=1)*(IFERROR(Offerte!$E$2:$E$81*1,0)&gt;=Parametri!$B$2)*IFERROR(Offerte!$F$2:$F$81*1,0))),SUMPRODUCT(MAX(($H$5:$H$80=$H50)*($N$5:$N$80="SI")*IFERROR($E$5:$E$80*1,0))),SUMPRODUCT(MAX(($I$5:$I$80=$H50)*($N$5:$N$80="SI")*IFERROR($E$5:$E$80*1,0))))),0),0)</f>
        <v/>
      </c>
      <c r="P50" s="57">
        <f>IF($N50="SI",IFERROR(30*(IFERROR(VALUE($E50),0)/MAX(SUMPRODUCT(MAX((Offerte!$C$2:$C$81=$I50)*(IFERROR(Offerte!$D$2:$D$81*1,0)=1)*(IFERROR(Offerte!$E$2:$E$81*1,0)&gt;=Parametri!$B$2)*IFERROR(Offerte!$F$2:$F$81*1,0))),SUMPRODUCT(MAX(($H$5:$H$80=$I50)*($N$5:$N$80="SI")*IFERROR($E$5:$E$80*1,0))),SUMPRODUCT(MAX(($I$5:$I$80=$I50)*($N$5:$N$80="SI")*IFERROR($E$5:$E$80*1,0))))),0),0)</f>
        <v/>
      </c>
      <c r="Q50" s="57">
        <f>IF($N50="SI",ROUND($L50+$M50+$O50+$P50,4),0)</f>
        <v/>
      </c>
      <c r="R50" s="57">
        <f>IF($A50="","",IF(IFERROR(VALUE($D50),0)&lt;&gt;1,"Non attiva",IF(OR(IFERROR(VALUE($J50),0)&lt;&gt;1,IFERROR(VALUE($K50),0)&lt;&gt;1),"Singoli non attivi",IF(OR(IFERROR(INDEX(Offerte!$G$2:$G$81,MATCH($A50&amp;"|"&amp;$H50,Offerte!$L$2:$L$81,0)),"NO")&lt;&gt;"SI",IFERROR(INDEX(Offerte!$G$2:$G$81,MATCH($A50&amp;"|"&amp;$I50,Offerte!$L$2:$L$81,0)),"NO")&lt;&gt;"SI"),"Soglia non superata",IF(OR(IFERROR(VALUE($F50),0)&lt;&gt;1,IFERROR(VALUE($G50),0)&lt;&gt;1),"Buste/PEF non confermati",IF(IFERROR(VALUE($E50),0)&lt;=$U50,"Ribasso non migliorativo",""))))))</f>
        <v/>
      </c>
      <c r="S50" s="57">
        <f>IF($H50="","",IFERROR(INDEX(Offerte!$F$2:$F$81,MATCH($A50&amp;"|"&amp;$H50,Offerte!$L$2:$L$81,0)),0))</f>
        <v/>
      </c>
      <c r="T50" s="57">
        <f>IF($I50="","",IFERROR(INDEX(Offerte!$F$2:$F$81,MATCH($A50&amp;"|"&amp;$I50,Offerte!$L$2:$L$81,0)),0))</f>
        <v/>
      </c>
      <c r="U50" s="57">
        <f>IF($A50="","",ROUND((IFERROR(VALUE($S50),0)+IFERROR(VALUE($T50),0))/2,4))</f>
        <v/>
      </c>
      <c r="V50" s="57">
        <f>IF($A50="","",$C50&amp;"|"&amp;TEXT($Q50,"0.0000"))</f>
        <v/>
      </c>
      <c r="W50" s="57">
        <f>IF($A50="","",$C50&amp;"|"&amp;$A50)</f>
        <v/>
      </c>
    </row>
    <row r="51">
      <c r="A51" s="73" t="n"/>
      <c r="B51" s="73">
        <f>IF($A51="","",IFERROR(INDEX(Offerte!$B$2:$B$81,MATCH($A51,Offerte!$A$2:$A$81,0)),""))</f>
        <v/>
      </c>
      <c r="C51" s="73" t="n"/>
      <c r="D51" s="73" t="n"/>
      <c r="E51" s="73" t="n"/>
      <c r="F51" s="73" t="n"/>
      <c r="G51" s="73" t="n"/>
      <c r="H51" s="57">
        <f>IF($C51="L1+L2","L1",IF($C51="L2+L3","L2",IF($C51="L3+L4","L3",IF($C51="L1+L4","L1",""))))</f>
        <v/>
      </c>
      <c r="I51" s="57">
        <f>IF($C51="L1+L2","L2",IF($C51="L2+L3","L3",IF($C51="L3+L4","L4",IF($C51="L1+L4","L4",""))))</f>
        <v/>
      </c>
      <c r="J51" s="57">
        <f>IF($H51="","",IFERROR(INDEX(Offerte!$D$2:$D$81,MATCH($A51&amp;"|"&amp;$H51,Offerte!$L$2:$L$81,0)),0))</f>
        <v/>
      </c>
      <c r="K51" s="57">
        <f>IF($I51="","",IFERROR(INDEX(Offerte!$D$2:$D$81,MATCH($A51&amp;"|"&amp;$I51,Offerte!$L$2:$L$81,0)),0))</f>
        <v/>
      </c>
      <c r="L51" s="57">
        <f>IF($H51="","",IFERROR(INDEX(Offerte!$E$2:$E$81,MATCH($A51&amp;"|"&amp;$H51,Offerte!$L$2:$L$81,0)),0))</f>
        <v/>
      </c>
      <c r="M51" s="57">
        <f>IF($I51="","",IFERROR(INDEX(Offerte!$E$2:$E$81,MATCH($A51&amp;"|"&amp;$I51,Offerte!$L$2:$L$81,0)),0))</f>
        <v/>
      </c>
      <c r="N51" s="57">
        <f>IF($A51="","",IF(IFERROR(VALUE($D51),0)&lt;&gt;1,"NO",IF(AND(IFERROR(VALUE($J51),0)=1,IFERROR(VALUE($K51),0)=1,IFERROR(INDEX(Offerte!$G$2:$G$81,MATCH($A51&amp;"|"&amp;$H51,Offerte!$L$2:$L$81,0)),"NO")="SI",IFERROR(INDEX(Offerte!$G$2:$G$81,MATCH($A51&amp;"|"&amp;$I51,Offerte!$L$2:$L$81,0)),"NO")="SI",IFERROR(VALUE($F51),0)=1,IFERROR(VALUE($G51),0)=1,IFERROR(VALUE($E51),0)&gt;$U51),"SI","NO")))</f>
        <v/>
      </c>
      <c r="O51" s="57">
        <f>IF($N51="SI",IFERROR(30*(IFERROR(VALUE($E51),0)/MAX(SUMPRODUCT(MAX((Offerte!$C$2:$C$81=$H51)*(IFERROR(Offerte!$D$2:$D$81*1,0)=1)*(IFERROR(Offerte!$E$2:$E$81*1,0)&gt;=Parametri!$B$2)*IFERROR(Offerte!$F$2:$F$81*1,0))),SUMPRODUCT(MAX(($H$5:$H$80=$H51)*($N$5:$N$80="SI")*IFERROR($E$5:$E$80*1,0))),SUMPRODUCT(MAX(($I$5:$I$80=$H51)*($N$5:$N$80="SI")*IFERROR($E$5:$E$80*1,0))))),0),0)</f>
        <v/>
      </c>
      <c r="P51" s="57">
        <f>IF($N51="SI",IFERROR(30*(IFERROR(VALUE($E51),0)/MAX(SUMPRODUCT(MAX((Offerte!$C$2:$C$81=$I51)*(IFERROR(Offerte!$D$2:$D$81*1,0)=1)*(IFERROR(Offerte!$E$2:$E$81*1,0)&gt;=Parametri!$B$2)*IFERROR(Offerte!$F$2:$F$81*1,0))),SUMPRODUCT(MAX(($H$5:$H$80=$I51)*($N$5:$N$80="SI")*IFERROR($E$5:$E$80*1,0))),SUMPRODUCT(MAX(($I$5:$I$80=$I51)*($N$5:$N$80="SI")*IFERROR($E$5:$E$80*1,0))))),0),0)</f>
        <v/>
      </c>
      <c r="Q51" s="57">
        <f>IF($N51="SI",ROUND($L51+$M51+$O51+$P51,4),0)</f>
        <v/>
      </c>
      <c r="R51" s="57">
        <f>IF($A51="","",IF(IFERROR(VALUE($D51),0)&lt;&gt;1,"Non attiva",IF(OR(IFERROR(VALUE($J51),0)&lt;&gt;1,IFERROR(VALUE($K51),0)&lt;&gt;1),"Singoli non attivi",IF(OR(IFERROR(INDEX(Offerte!$G$2:$G$81,MATCH($A51&amp;"|"&amp;$H51,Offerte!$L$2:$L$81,0)),"NO")&lt;&gt;"SI",IFERROR(INDEX(Offerte!$G$2:$G$81,MATCH($A51&amp;"|"&amp;$I51,Offerte!$L$2:$L$81,0)),"NO")&lt;&gt;"SI"),"Soglia non superata",IF(OR(IFERROR(VALUE($F51),0)&lt;&gt;1,IFERROR(VALUE($G51),0)&lt;&gt;1),"Buste/PEF non confermati",IF(IFERROR(VALUE($E51),0)&lt;=$U51,"Ribasso non migliorativo",""))))))</f>
        <v/>
      </c>
      <c r="S51" s="57">
        <f>IF($H51="","",IFERROR(INDEX(Offerte!$F$2:$F$81,MATCH($A51&amp;"|"&amp;$H51,Offerte!$L$2:$L$81,0)),0))</f>
        <v/>
      </c>
      <c r="T51" s="57">
        <f>IF($I51="","",IFERROR(INDEX(Offerte!$F$2:$F$81,MATCH($A51&amp;"|"&amp;$I51,Offerte!$L$2:$L$81,0)),0))</f>
        <v/>
      </c>
      <c r="U51" s="57">
        <f>IF($A51="","",ROUND((IFERROR(VALUE($S51),0)+IFERROR(VALUE($T51),0))/2,4))</f>
        <v/>
      </c>
      <c r="V51" s="57">
        <f>IF($A51="","",$C51&amp;"|"&amp;TEXT($Q51,"0.0000"))</f>
        <v/>
      </c>
      <c r="W51" s="57">
        <f>IF($A51="","",$C51&amp;"|"&amp;$A51)</f>
        <v/>
      </c>
    </row>
    <row r="52">
      <c r="A52" s="73" t="n"/>
      <c r="B52" s="73">
        <f>IF($A52="","",IFERROR(INDEX(Offerte!$B$2:$B$81,MATCH($A52,Offerte!$A$2:$A$81,0)),""))</f>
        <v/>
      </c>
      <c r="C52" s="73" t="n"/>
      <c r="D52" s="73" t="n"/>
      <c r="E52" s="73" t="n"/>
      <c r="F52" s="73" t="n"/>
      <c r="G52" s="73" t="n"/>
      <c r="H52" s="57">
        <f>IF($C52="L1+L2","L1",IF($C52="L2+L3","L2",IF($C52="L3+L4","L3",IF($C52="L1+L4","L1",""))))</f>
        <v/>
      </c>
      <c r="I52" s="57">
        <f>IF($C52="L1+L2","L2",IF($C52="L2+L3","L3",IF($C52="L3+L4","L4",IF($C52="L1+L4","L4",""))))</f>
        <v/>
      </c>
      <c r="J52" s="57">
        <f>IF($H52="","",IFERROR(INDEX(Offerte!$D$2:$D$81,MATCH($A52&amp;"|"&amp;$H52,Offerte!$L$2:$L$81,0)),0))</f>
        <v/>
      </c>
      <c r="K52" s="57">
        <f>IF($I52="","",IFERROR(INDEX(Offerte!$D$2:$D$81,MATCH($A52&amp;"|"&amp;$I52,Offerte!$L$2:$L$81,0)),0))</f>
        <v/>
      </c>
      <c r="L52" s="57">
        <f>IF($H52="","",IFERROR(INDEX(Offerte!$E$2:$E$81,MATCH($A52&amp;"|"&amp;$H52,Offerte!$L$2:$L$81,0)),0))</f>
        <v/>
      </c>
      <c r="M52" s="57">
        <f>IF($I52="","",IFERROR(INDEX(Offerte!$E$2:$E$81,MATCH($A52&amp;"|"&amp;$I52,Offerte!$L$2:$L$81,0)),0))</f>
        <v/>
      </c>
      <c r="N52" s="57">
        <f>IF($A52="","",IF(IFERROR(VALUE($D52),0)&lt;&gt;1,"NO",IF(AND(IFERROR(VALUE($J52),0)=1,IFERROR(VALUE($K52),0)=1,IFERROR(INDEX(Offerte!$G$2:$G$81,MATCH($A52&amp;"|"&amp;$H52,Offerte!$L$2:$L$81,0)),"NO")="SI",IFERROR(INDEX(Offerte!$G$2:$G$81,MATCH($A52&amp;"|"&amp;$I52,Offerte!$L$2:$L$81,0)),"NO")="SI",IFERROR(VALUE($F52),0)=1,IFERROR(VALUE($G52),0)=1,IFERROR(VALUE($E52),0)&gt;$U52),"SI","NO")))</f>
        <v/>
      </c>
      <c r="O52" s="57">
        <f>IF($N52="SI",IFERROR(30*(IFERROR(VALUE($E52),0)/MAX(SUMPRODUCT(MAX((Offerte!$C$2:$C$81=$H52)*(IFERROR(Offerte!$D$2:$D$81*1,0)=1)*(IFERROR(Offerte!$E$2:$E$81*1,0)&gt;=Parametri!$B$2)*IFERROR(Offerte!$F$2:$F$81*1,0))),SUMPRODUCT(MAX(($H$5:$H$80=$H52)*($N$5:$N$80="SI")*IFERROR($E$5:$E$80*1,0))),SUMPRODUCT(MAX(($I$5:$I$80=$H52)*($N$5:$N$80="SI")*IFERROR($E$5:$E$80*1,0))))),0),0)</f>
        <v/>
      </c>
      <c r="P52" s="57">
        <f>IF($N52="SI",IFERROR(30*(IFERROR(VALUE($E52),0)/MAX(SUMPRODUCT(MAX((Offerte!$C$2:$C$81=$I52)*(IFERROR(Offerte!$D$2:$D$81*1,0)=1)*(IFERROR(Offerte!$E$2:$E$81*1,0)&gt;=Parametri!$B$2)*IFERROR(Offerte!$F$2:$F$81*1,0))),SUMPRODUCT(MAX(($H$5:$H$80=$I52)*($N$5:$N$80="SI")*IFERROR($E$5:$E$80*1,0))),SUMPRODUCT(MAX(($I$5:$I$80=$I52)*($N$5:$N$80="SI")*IFERROR($E$5:$E$80*1,0))))),0),0)</f>
        <v/>
      </c>
      <c r="Q52" s="57">
        <f>IF($N52="SI",ROUND($L52+$M52+$O52+$P52,4),0)</f>
        <v/>
      </c>
      <c r="R52" s="57">
        <f>IF($A52="","",IF(IFERROR(VALUE($D52),0)&lt;&gt;1,"Non attiva",IF(OR(IFERROR(VALUE($J52),0)&lt;&gt;1,IFERROR(VALUE($K52),0)&lt;&gt;1),"Singoli non attivi",IF(OR(IFERROR(INDEX(Offerte!$G$2:$G$81,MATCH($A52&amp;"|"&amp;$H52,Offerte!$L$2:$L$81,0)),"NO")&lt;&gt;"SI",IFERROR(INDEX(Offerte!$G$2:$G$81,MATCH($A52&amp;"|"&amp;$I52,Offerte!$L$2:$L$81,0)),"NO")&lt;&gt;"SI"),"Soglia non superata",IF(OR(IFERROR(VALUE($F52),0)&lt;&gt;1,IFERROR(VALUE($G52),0)&lt;&gt;1),"Buste/PEF non confermati",IF(IFERROR(VALUE($E52),0)&lt;=$U52,"Ribasso non migliorativo",""))))))</f>
        <v/>
      </c>
      <c r="S52" s="57">
        <f>IF($H52="","",IFERROR(INDEX(Offerte!$F$2:$F$81,MATCH($A52&amp;"|"&amp;$H52,Offerte!$L$2:$L$81,0)),0))</f>
        <v/>
      </c>
      <c r="T52" s="57">
        <f>IF($I52="","",IFERROR(INDEX(Offerte!$F$2:$F$81,MATCH($A52&amp;"|"&amp;$I52,Offerte!$L$2:$L$81,0)),0))</f>
        <v/>
      </c>
      <c r="U52" s="57">
        <f>IF($A52="","",ROUND((IFERROR(VALUE($S52),0)+IFERROR(VALUE($T52),0))/2,4))</f>
        <v/>
      </c>
      <c r="V52" s="57">
        <f>IF($A52="","",$C52&amp;"|"&amp;TEXT($Q52,"0.0000"))</f>
        <v/>
      </c>
      <c r="W52" s="57">
        <f>IF($A52="","",$C52&amp;"|"&amp;$A52)</f>
        <v/>
      </c>
    </row>
    <row r="53">
      <c r="A53" s="73" t="n"/>
      <c r="B53" s="73">
        <f>IF($A53="","",IFERROR(INDEX(Offerte!$B$2:$B$81,MATCH($A53,Offerte!$A$2:$A$81,0)),""))</f>
        <v/>
      </c>
      <c r="C53" s="73" t="n"/>
      <c r="D53" s="73" t="n"/>
      <c r="E53" s="73" t="n"/>
      <c r="F53" s="73" t="n"/>
      <c r="G53" s="73" t="n"/>
      <c r="H53" s="57">
        <f>IF($C53="L1+L2","L1",IF($C53="L2+L3","L2",IF($C53="L3+L4","L3",IF($C53="L1+L4","L1",""))))</f>
        <v/>
      </c>
      <c r="I53" s="57">
        <f>IF($C53="L1+L2","L2",IF($C53="L2+L3","L3",IF($C53="L3+L4","L4",IF($C53="L1+L4","L4",""))))</f>
        <v/>
      </c>
      <c r="J53" s="57">
        <f>IF($H53="","",IFERROR(INDEX(Offerte!$D$2:$D$81,MATCH($A53&amp;"|"&amp;$H53,Offerte!$L$2:$L$81,0)),0))</f>
        <v/>
      </c>
      <c r="K53" s="57">
        <f>IF($I53="","",IFERROR(INDEX(Offerte!$D$2:$D$81,MATCH($A53&amp;"|"&amp;$I53,Offerte!$L$2:$L$81,0)),0))</f>
        <v/>
      </c>
      <c r="L53" s="57">
        <f>IF($H53="","",IFERROR(INDEX(Offerte!$E$2:$E$81,MATCH($A53&amp;"|"&amp;$H53,Offerte!$L$2:$L$81,0)),0))</f>
        <v/>
      </c>
      <c r="M53" s="57">
        <f>IF($I53="","",IFERROR(INDEX(Offerte!$E$2:$E$81,MATCH($A53&amp;"|"&amp;$I53,Offerte!$L$2:$L$81,0)),0))</f>
        <v/>
      </c>
      <c r="N53" s="57">
        <f>IF($A53="","",IF(IFERROR(VALUE($D53),0)&lt;&gt;1,"NO",IF(AND(IFERROR(VALUE($J53),0)=1,IFERROR(VALUE($K53),0)=1,IFERROR(INDEX(Offerte!$G$2:$G$81,MATCH($A53&amp;"|"&amp;$H53,Offerte!$L$2:$L$81,0)),"NO")="SI",IFERROR(INDEX(Offerte!$G$2:$G$81,MATCH($A53&amp;"|"&amp;$I53,Offerte!$L$2:$L$81,0)),"NO")="SI",IFERROR(VALUE($F53),0)=1,IFERROR(VALUE($G53),0)=1,IFERROR(VALUE($E53),0)&gt;$U53),"SI","NO")))</f>
        <v/>
      </c>
      <c r="O53" s="57">
        <f>IF($N53="SI",IFERROR(30*(IFERROR(VALUE($E53),0)/MAX(SUMPRODUCT(MAX((Offerte!$C$2:$C$81=$H53)*(IFERROR(Offerte!$D$2:$D$81*1,0)=1)*(IFERROR(Offerte!$E$2:$E$81*1,0)&gt;=Parametri!$B$2)*IFERROR(Offerte!$F$2:$F$81*1,0))),SUMPRODUCT(MAX(($H$5:$H$80=$H53)*($N$5:$N$80="SI")*IFERROR($E$5:$E$80*1,0))),SUMPRODUCT(MAX(($I$5:$I$80=$H53)*($N$5:$N$80="SI")*IFERROR($E$5:$E$80*1,0))))),0),0)</f>
        <v/>
      </c>
      <c r="P53" s="57">
        <f>IF($N53="SI",IFERROR(30*(IFERROR(VALUE($E53),0)/MAX(SUMPRODUCT(MAX((Offerte!$C$2:$C$81=$I53)*(IFERROR(Offerte!$D$2:$D$81*1,0)=1)*(IFERROR(Offerte!$E$2:$E$81*1,0)&gt;=Parametri!$B$2)*IFERROR(Offerte!$F$2:$F$81*1,0))),SUMPRODUCT(MAX(($H$5:$H$80=$I53)*($N$5:$N$80="SI")*IFERROR($E$5:$E$80*1,0))),SUMPRODUCT(MAX(($I$5:$I$80=$I53)*($N$5:$N$80="SI")*IFERROR($E$5:$E$80*1,0))))),0),0)</f>
        <v/>
      </c>
      <c r="Q53" s="57">
        <f>IF($N53="SI",ROUND($L53+$M53+$O53+$P53,4),0)</f>
        <v/>
      </c>
      <c r="R53" s="57">
        <f>IF($A53="","",IF(IFERROR(VALUE($D53),0)&lt;&gt;1,"Non attiva",IF(OR(IFERROR(VALUE($J53),0)&lt;&gt;1,IFERROR(VALUE($K53),0)&lt;&gt;1),"Singoli non attivi",IF(OR(IFERROR(INDEX(Offerte!$G$2:$G$81,MATCH($A53&amp;"|"&amp;$H53,Offerte!$L$2:$L$81,0)),"NO")&lt;&gt;"SI",IFERROR(INDEX(Offerte!$G$2:$G$81,MATCH($A53&amp;"|"&amp;$I53,Offerte!$L$2:$L$81,0)),"NO")&lt;&gt;"SI"),"Soglia non superata",IF(OR(IFERROR(VALUE($F53),0)&lt;&gt;1,IFERROR(VALUE($G53),0)&lt;&gt;1),"Buste/PEF non confermati",IF(IFERROR(VALUE($E53),0)&lt;=$U53,"Ribasso non migliorativo",""))))))</f>
        <v/>
      </c>
      <c r="S53" s="57">
        <f>IF($H53="","",IFERROR(INDEX(Offerte!$F$2:$F$81,MATCH($A53&amp;"|"&amp;$H53,Offerte!$L$2:$L$81,0)),0))</f>
        <v/>
      </c>
      <c r="T53" s="57">
        <f>IF($I53="","",IFERROR(INDEX(Offerte!$F$2:$F$81,MATCH($A53&amp;"|"&amp;$I53,Offerte!$L$2:$L$81,0)),0))</f>
        <v/>
      </c>
      <c r="U53" s="57">
        <f>IF($A53="","",ROUND((IFERROR(VALUE($S53),0)+IFERROR(VALUE($T53),0))/2,4))</f>
        <v/>
      </c>
      <c r="V53" s="57">
        <f>IF($A53="","",$C53&amp;"|"&amp;TEXT($Q53,"0.0000"))</f>
        <v/>
      </c>
      <c r="W53" s="57">
        <f>IF($A53="","",$C53&amp;"|"&amp;$A53)</f>
        <v/>
      </c>
    </row>
    <row r="54">
      <c r="A54" s="73" t="n"/>
      <c r="B54" s="73">
        <f>IF($A54="","",IFERROR(INDEX(Offerte!$B$2:$B$81,MATCH($A54,Offerte!$A$2:$A$81,0)),""))</f>
        <v/>
      </c>
      <c r="C54" s="73" t="n"/>
      <c r="D54" s="73" t="n"/>
      <c r="E54" s="73" t="n"/>
      <c r="F54" s="73" t="n"/>
      <c r="G54" s="73" t="n"/>
      <c r="H54" s="57">
        <f>IF($C54="L1+L2","L1",IF($C54="L2+L3","L2",IF($C54="L3+L4","L3",IF($C54="L1+L4","L1",""))))</f>
        <v/>
      </c>
      <c r="I54" s="57">
        <f>IF($C54="L1+L2","L2",IF($C54="L2+L3","L3",IF($C54="L3+L4","L4",IF($C54="L1+L4","L4",""))))</f>
        <v/>
      </c>
      <c r="J54" s="57">
        <f>IF($H54="","",IFERROR(INDEX(Offerte!$D$2:$D$81,MATCH($A54&amp;"|"&amp;$H54,Offerte!$L$2:$L$81,0)),0))</f>
        <v/>
      </c>
      <c r="K54" s="57">
        <f>IF($I54="","",IFERROR(INDEX(Offerte!$D$2:$D$81,MATCH($A54&amp;"|"&amp;$I54,Offerte!$L$2:$L$81,0)),0))</f>
        <v/>
      </c>
      <c r="L54" s="57">
        <f>IF($H54="","",IFERROR(INDEX(Offerte!$E$2:$E$81,MATCH($A54&amp;"|"&amp;$H54,Offerte!$L$2:$L$81,0)),0))</f>
        <v/>
      </c>
      <c r="M54" s="57">
        <f>IF($I54="","",IFERROR(INDEX(Offerte!$E$2:$E$81,MATCH($A54&amp;"|"&amp;$I54,Offerte!$L$2:$L$81,0)),0))</f>
        <v/>
      </c>
      <c r="N54" s="57">
        <f>IF($A54="","",IF(IFERROR(VALUE($D54),0)&lt;&gt;1,"NO",IF(AND(IFERROR(VALUE($J54),0)=1,IFERROR(VALUE($K54),0)=1,IFERROR(INDEX(Offerte!$G$2:$G$81,MATCH($A54&amp;"|"&amp;$H54,Offerte!$L$2:$L$81,0)),"NO")="SI",IFERROR(INDEX(Offerte!$G$2:$G$81,MATCH($A54&amp;"|"&amp;$I54,Offerte!$L$2:$L$81,0)),"NO")="SI",IFERROR(VALUE($F54),0)=1,IFERROR(VALUE($G54),0)=1,IFERROR(VALUE($E54),0)&gt;$U54),"SI","NO")))</f>
        <v/>
      </c>
      <c r="O54" s="57">
        <f>IF($N54="SI",IFERROR(30*(IFERROR(VALUE($E54),0)/MAX(SUMPRODUCT(MAX((Offerte!$C$2:$C$81=$H54)*(IFERROR(Offerte!$D$2:$D$81*1,0)=1)*(IFERROR(Offerte!$E$2:$E$81*1,0)&gt;=Parametri!$B$2)*IFERROR(Offerte!$F$2:$F$81*1,0))),SUMPRODUCT(MAX(($H$5:$H$80=$H54)*($N$5:$N$80="SI")*IFERROR($E$5:$E$80*1,0))),SUMPRODUCT(MAX(($I$5:$I$80=$H54)*($N$5:$N$80="SI")*IFERROR($E$5:$E$80*1,0))))),0),0)</f>
        <v/>
      </c>
      <c r="P54" s="57">
        <f>IF($N54="SI",IFERROR(30*(IFERROR(VALUE($E54),0)/MAX(SUMPRODUCT(MAX((Offerte!$C$2:$C$81=$I54)*(IFERROR(Offerte!$D$2:$D$81*1,0)=1)*(IFERROR(Offerte!$E$2:$E$81*1,0)&gt;=Parametri!$B$2)*IFERROR(Offerte!$F$2:$F$81*1,0))),SUMPRODUCT(MAX(($H$5:$H$80=$I54)*($N$5:$N$80="SI")*IFERROR($E$5:$E$80*1,0))),SUMPRODUCT(MAX(($I$5:$I$80=$I54)*($N$5:$N$80="SI")*IFERROR($E$5:$E$80*1,0))))),0),0)</f>
        <v/>
      </c>
      <c r="Q54" s="57">
        <f>IF($N54="SI",ROUND($L54+$M54+$O54+$P54,4),0)</f>
        <v/>
      </c>
      <c r="R54" s="57">
        <f>IF($A54="","",IF(IFERROR(VALUE($D54),0)&lt;&gt;1,"Non attiva",IF(OR(IFERROR(VALUE($J54),0)&lt;&gt;1,IFERROR(VALUE($K54),0)&lt;&gt;1),"Singoli non attivi",IF(OR(IFERROR(INDEX(Offerte!$G$2:$G$81,MATCH($A54&amp;"|"&amp;$H54,Offerte!$L$2:$L$81,0)),"NO")&lt;&gt;"SI",IFERROR(INDEX(Offerte!$G$2:$G$81,MATCH($A54&amp;"|"&amp;$I54,Offerte!$L$2:$L$81,0)),"NO")&lt;&gt;"SI"),"Soglia non superata",IF(OR(IFERROR(VALUE($F54),0)&lt;&gt;1,IFERROR(VALUE($G54),0)&lt;&gt;1),"Buste/PEF non confermati",IF(IFERROR(VALUE($E54),0)&lt;=$U54,"Ribasso non migliorativo",""))))))</f>
        <v/>
      </c>
      <c r="S54" s="57">
        <f>IF($H54="","",IFERROR(INDEX(Offerte!$F$2:$F$81,MATCH($A54&amp;"|"&amp;$H54,Offerte!$L$2:$L$81,0)),0))</f>
        <v/>
      </c>
      <c r="T54" s="57">
        <f>IF($I54="","",IFERROR(INDEX(Offerte!$F$2:$F$81,MATCH($A54&amp;"|"&amp;$I54,Offerte!$L$2:$L$81,0)),0))</f>
        <v/>
      </c>
      <c r="U54" s="57">
        <f>IF($A54="","",ROUND((IFERROR(VALUE($S54),0)+IFERROR(VALUE($T54),0))/2,4))</f>
        <v/>
      </c>
      <c r="V54" s="57">
        <f>IF($A54="","",$C54&amp;"|"&amp;TEXT($Q54,"0.0000"))</f>
        <v/>
      </c>
      <c r="W54" s="57">
        <f>IF($A54="","",$C54&amp;"|"&amp;$A54)</f>
        <v/>
      </c>
    </row>
    <row r="55">
      <c r="A55" s="73" t="n"/>
      <c r="B55" s="73">
        <f>IF($A55="","",IFERROR(INDEX(Offerte!$B$2:$B$81,MATCH($A55,Offerte!$A$2:$A$81,0)),""))</f>
        <v/>
      </c>
      <c r="C55" s="73" t="n"/>
      <c r="D55" s="73" t="n"/>
      <c r="E55" s="73" t="n"/>
      <c r="F55" s="73" t="n"/>
      <c r="G55" s="73" t="n"/>
      <c r="H55" s="57">
        <f>IF($C55="L1+L2","L1",IF($C55="L2+L3","L2",IF($C55="L3+L4","L3",IF($C55="L1+L4","L1",""))))</f>
        <v/>
      </c>
      <c r="I55" s="57">
        <f>IF($C55="L1+L2","L2",IF($C55="L2+L3","L3",IF($C55="L3+L4","L4",IF($C55="L1+L4","L4",""))))</f>
        <v/>
      </c>
      <c r="J55" s="57">
        <f>IF($H55="","",IFERROR(INDEX(Offerte!$D$2:$D$81,MATCH($A55&amp;"|"&amp;$H55,Offerte!$L$2:$L$81,0)),0))</f>
        <v/>
      </c>
      <c r="K55" s="57">
        <f>IF($I55="","",IFERROR(INDEX(Offerte!$D$2:$D$81,MATCH($A55&amp;"|"&amp;$I55,Offerte!$L$2:$L$81,0)),0))</f>
        <v/>
      </c>
      <c r="L55" s="57">
        <f>IF($H55="","",IFERROR(INDEX(Offerte!$E$2:$E$81,MATCH($A55&amp;"|"&amp;$H55,Offerte!$L$2:$L$81,0)),0))</f>
        <v/>
      </c>
      <c r="M55" s="57">
        <f>IF($I55="","",IFERROR(INDEX(Offerte!$E$2:$E$81,MATCH($A55&amp;"|"&amp;$I55,Offerte!$L$2:$L$81,0)),0))</f>
        <v/>
      </c>
      <c r="N55" s="57">
        <f>IF($A55="","",IF(IFERROR(VALUE($D55),0)&lt;&gt;1,"NO",IF(AND(IFERROR(VALUE($J55),0)=1,IFERROR(VALUE($K55),0)=1,IFERROR(INDEX(Offerte!$G$2:$G$81,MATCH($A55&amp;"|"&amp;$H55,Offerte!$L$2:$L$81,0)),"NO")="SI",IFERROR(INDEX(Offerte!$G$2:$G$81,MATCH($A55&amp;"|"&amp;$I55,Offerte!$L$2:$L$81,0)),"NO")="SI",IFERROR(VALUE($F55),0)=1,IFERROR(VALUE($G55),0)=1,IFERROR(VALUE($E55),0)&gt;$U55),"SI","NO")))</f>
        <v/>
      </c>
      <c r="O55" s="57">
        <f>IF($N55="SI",IFERROR(30*(IFERROR(VALUE($E55),0)/MAX(SUMPRODUCT(MAX((Offerte!$C$2:$C$81=$H55)*(IFERROR(Offerte!$D$2:$D$81*1,0)=1)*(IFERROR(Offerte!$E$2:$E$81*1,0)&gt;=Parametri!$B$2)*IFERROR(Offerte!$F$2:$F$81*1,0))),SUMPRODUCT(MAX(($H$5:$H$80=$H55)*($N$5:$N$80="SI")*IFERROR($E$5:$E$80*1,0))),SUMPRODUCT(MAX(($I$5:$I$80=$H55)*($N$5:$N$80="SI")*IFERROR($E$5:$E$80*1,0))))),0),0)</f>
        <v/>
      </c>
      <c r="P55" s="57">
        <f>IF($N55="SI",IFERROR(30*(IFERROR(VALUE($E55),0)/MAX(SUMPRODUCT(MAX((Offerte!$C$2:$C$81=$I55)*(IFERROR(Offerte!$D$2:$D$81*1,0)=1)*(IFERROR(Offerte!$E$2:$E$81*1,0)&gt;=Parametri!$B$2)*IFERROR(Offerte!$F$2:$F$81*1,0))),SUMPRODUCT(MAX(($H$5:$H$80=$I55)*($N$5:$N$80="SI")*IFERROR($E$5:$E$80*1,0))),SUMPRODUCT(MAX(($I$5:$I$80=$I55)*($N$5:$N$80="SI")*IFERROR($E$5:$E$80*1,0))))),0),0)</f>
        <v/>
      </c>
      <c r="Q55" s="57">
        <f>IF($N55="SI",ROUND($L55+$M55+$O55+$P55,4),0)</f>
        <v/>
      </c>
      <c r="R55" s="57">
        <f>IF($A55="","",IF(IFERROR(VALUE($D55),0)&lt;&gt;1,"Non attiva",IF(OR(IFERROR(VALUE($J55),0)&lt;&gt;1,IFERROR(VALUE($K55),0)&lt;&gt;1),"Singoli non attivi",IF(OR(IFERROR(INDEX(Offerte!$G$2:$G$81,MATCH($A55&amp;"|"&amp;$H55,Offerte!$L$2:$L$81,0)),"NO")&lt;&gt;"SI",IFERROR(INDEX(Offerte!$G$2:$G$81,MATCH($A55&amp;"|"&amp;$I55,Offerte!$L$2:$L$81,0)),"NO")&lt;&gt;"SI"),"Soglia non superata",IF(OR(IFERROR(VALUE($F55),0)&lt;&gt;1,IFERROR(VALUE($G55),0)&lt;&gt;1),"Buste/PEF non confermati",IF(IFERROR(VALUE($E55),0)&lt;=$U55,"Ribasso non migliorativo",""))))))</f>
        <v/>
      </c>
      <c r="S55" s="57">
        <f>IF($H55="","",IFERROR(INDEX(Offerte!$F$2:$F$81,MATCH($A55&amp;"|"&amp;$H55,Offerte!$L$2:$L$81,0)),0))</f>
        <v/>
      </c>
      <c r="T55" s="57">
        <f>IF($I55="","",IFERROR(INDEX(Offerte!$F$2:$F$81,MATCH($A55&amp;"|"&amp;$I55,Offerte!$L$2:$L$81,0)),0))</f>
        <v/>
      </c>
      <c r="U55" s="57">
        <f>IF($A55="","",ROUND((IFERROR(VALUE($S55),0)+IFERROR(VALUE($T55),0))/2,4))</f>
        <v/>
      </c>
      <c r="V55" s="57">
        <f>IF($A55="","",$C55&amp;"|"&amp;TEXT($Q55,"0.0000"))</f>
        <v/>
      </c>
      <c r="W55" s="57">
        <f>IF($A55="","",$C55&amp;"|"&amp;$A55)</f>
        <v/>
      </c>
    </row>
    <row r="56">
      <c r="A56" s="73" t="n"/>
      <c r="B56" s="73">
        <f>IF($A56="","",IFERROR(INDEX(Offerte!$B$2:$B$81,MATCH($A56,Offerte!$A$2:$A$81,0)),""))</f>
        <v/>
      </c>
      <c r="C56" s="73" t="n"/>
      <c r="D56" s="73" t="n"/>
      <c r="E56" s="73" t="n"/>
      <c r="F56" s="73" t="n"/>
      <c r="G56" s="73" t="n"/>
      <c r="H56" s="57">
        <f>IF($C56="L1+L2","L1",IF($C56="L2+L3","L2",IF($C56="L3+L4","L3",IF($C56="L1+L4","L1",""))))</f>
        <v/>
      </c>
      <c r="I56" s="57">
        <f>IF($C56="L1+L2","L2",IF($C56="L2+L3","L3",IF($C56="L3+L4","L4",IF($C56="L1+L4","L4",""))))</f>
        <v/>
      </c>
      <c r="J56" s="57">
        <f>IF($H56="","",IFERROR(INDEX(Offerte!$D$2:$D$81,MATCH($A56&amp;"|"&amp;$H56,Offerte!$L$2:$L$81,0)),0))</f>
        <v/>
      </c>
      <c r="K56" s="57">
        <f>IF($I56="","",IFERROR(INDEX(Offerte!$D$2:$D$81,MATCH($A56&amp;"|"&amp;$I56,Offerte!$L$2:$L$81,0)),0))</f>
        <v/>
      </c>
      <c r="L56" s="57">
        <f>IF($H56="","",IFERROR(INDEX(Offerte!$E$2:$E$81,MATCH($A56&amp;"|"&amp;$H56,Offerte!$L$2:$L$81,0)),0))</f>
        <v/>
      </c>
      <c r="M56" s="57">
        <f>IF($I56="","",IFERROR(INDEX(Offerte!$E$2:$E$81,MATCH($A56&amp;"|"&amp;$I56,Offerte!$L$2:$L$81,0)),0))</f>
        <v/>
      </c>
      <c r="N56" s="57">
        <f>IF($A56="","",IF(IFERROR(VALUE($D56),0)&lt;&gt;1,"NO",IF(AND(IFERROR(VALUE($J56),0)=1,IFERROR(VALUE($K56),0)=1,IFERROR(INDEX(Offerte!$G$2:$G$81,MATCH($A56&amp;"|"&amp;$H56,Offerte!$L$2:$L$81,0)),"NO")="SI",IFERROR(INDEX(Offerte!$G$2:$G$81,MATCH($A56&amp;"|"&amp;$I56,Offerte!$L$2:$L$81,0)),"NO")="SI",IFERROR(VALUE($F56),0)=1,IFERROR(VALUE($G56),0)=1,IFERROR(VALUE($E56),0)&gt;$U56),"SI","NO")))</f>
        <v/>
      </c>
      <c r="O56" s="57">
        <f>IF($N56="SI",IFERROR(30*(IFERROR(VALUE($E56),0)/MAX(SUMPRODUCT(MAX((Offerte!$C$2:$C$81=$H56)*(IFERROR(Offerte!$D$2:$D$81*1,0)=1)*(IFERROR(Offerte!$E$2:$E$81*1,0)&gt;=Parametri!$B$2)*IFERROR(Offerte!$F$2:$F$81*1,0))),SUMPRODUCT(MAX(($H$5:$H$80=$H56)*($N$5:$N$80="SI")*IFERROR($E$5:$E$80*1,0))),SUMPRODUCT(MAX(($I$5:$I$80=$H56)*($N$5:$N$80="SI")*IFERROR($E$5:$E$80*1,0))))),0),0)</f>
        <v/>
      </c>
      <c r="P56" s="57">
        <f>IF($N56="SI",IFERROR(30*(IFERROR(VALUE($E56),0)/MAX(SUMPRODUCT(MAX((Offerte!$C$2:$C$81=$I56)*(IFERROR(Offerte!$D$2:$D$81*1,0)=1)*(IFERROR(Offerte!$E$2:$E$81*1,0)&gt;=Parametri!$B$2)*IFERROR(Offerte!$F$2:$F$81*1,0))),SUMPRODUCT(MAX(($H$5:$H$80=$I56)*($N$5:$N$80="SI")*IFERROR($E$5:$E$80*1,0))),SUMPRODUCT(MAX(($I$5:$I$80=$I56)*($N$5:$N$80="SI")*IFERROR($E$5:$E$80*1,0))))),0),0)</f>
        <v/>
      </c>
      <c r="Q56" s="57">
        <f>IF($N56="SI",ROUND($L56+$M56+$O56+$P56,4),0)</f>
        <v/>
      </c>
      <c r="R56" s="57">
        <f>IF($A56="","",IF(IFERROR(VALUE($D56),0)&lt;&gt;1,"Non attiva",IF(OR(IFERROR(VALUE($J56),0)&lt;&gt;1,IFERROR(VALUE($K56),0)&lt;&gt;1),"Singoli non attivi",IF(OR(IFERROR(INDEX(Offerte!$G$2:$G$81,MATCH($A56&amp;"|"&amp;$H56,Offerte!$L$2:$L$81,0)),"NO")&lt;&gt;"SI",IFERROR(INDEX(Offerte!$G$2:$G$81,MATCH($A56&amp;"|"&amp;$I56,Offerte!$L$2:$L$81,0)),"NO")&lt;&gt;"SI"),"Soglia non superata",IF(OR(IFERROR(VALUE($F56),0)&lt;&gt;1,IFERROR(VALUE($G56),0)&lt;&gt;1),"Buste/PEF non confermati",IF(IFERROR(VALUE($E56),0)&lt;=$U56,"Ribasso non migliorativo",""))))))</f>
        <v/>
      </c>
      <c r="S56" s="57">
        <f>IF($H56="","",IFERROR(INDEX(Offerte!$F$2:$F$81,MATCH($A56&amp;"|"&amp;$H56,Offerte!$L$2:$L$81,0)),0))</f>
        <v/>
      </c>
      <c r="T56" s="57">
        <f>IF($I56="","",IFERROR(INDEX(Offerte!$F$2:$F$81,MATCH($A56&amp;"|"&amp;$I56,Offerte!$L$2:$L$81,0)),0))</f>
        <v/>
      </c>
      <c r="U56" s="57">
        <f>IF($A56="","",ROUND((IFERROR(VALUE($S56),0)+IFERROR(VALUE($T56),0))/2,4))</f>
        <v/>
      </c>
      <c r="V56" s="57">
        <f>IF($A56="","",$C56&amp;"|"&amp;TEXT($Q56,"0.0000"))</f>
        <v/>
      </c>
      <c r="W56" s="57">
        <f>IF($A56="","",$C56&amp;"|"&amp;$A56)</f>
        <v/>
      </c>
    </row>
    <row r="57">
      <c r="A57" s="73" t="n"/>
      <c r="B57" s="73">
        <f>IF($A57="","",IFERROR(INDEX(Offerte!$B$2:$B$81,MATCH($A57,Offerte!$A$2:$A$81,0)),""))</f>
        <v/>
      </c>
      <c r="C57" s="73" t="n"/>
      <c r="D57" s="73" t="n"/>
      <c r="E57" s="73" t="n"/>
      <c r="F57" s="73" t="n"/>
      <c r="G57" s="73" t="n"/>
      <c r="H57" s="57">
        <f>IF($C57="L1+L2","L1",IF($C57="L2+L3","L2",IF($C57="L3+L4","L3",IF($C57="L1+L4","L1",""))))</f>
        <v/>
      </c>
      <c r="I57" s="57">
        <f>IF($C57="L1+L2","L2",IF($C57="L2+L3","L3",IF($C57="L3+L4","L4",IF($C57="L1+L4","L4",""))))</f>
        <v/>
      </c>
      <c r="J57" s="57">
        <f>IF($H57="","",IFERROR(INDEX(Offerte!$D$2:$D$81,MATCH($A57&amp;"|"&amp;$H57,Offerte!$L$2:$L$81,0)),0))</f>
        <v/>
      </c>
      <c r="K57" s="57">
        <f>IF($I57="","",IFERROR(INDEX(Offerte!$D$2:$D$81,MATCH($A57&amp;"|"&amp;$I57,Offerte!$L$2:$L$81,0)),0))</f>
        <v/>
      </c>
      <c r="L57" s="57">
        <f>IF($H57="","",IFERROR(INDEX(Offerte!$E$2:$E$81,MATCH($A57&amp;"|"&amp;$H57,Offerte!$L$2:$L$81,0)),0))</f>
        <v/>
      </c>
      <c r="M57" s="57">
        <f>IF($I57="","",IFERROR(INDEX(Offerte!$E$2:$E$81,MATCH($A57&amp;"|"&amp;$I57,Offerte!$L$2:$L$81,0)),0))</f>
        <v/>
      </c>
      <c r="N57" s="57">
        <f>IF($A57="","",IF(IFERROR(VALUE($D57),0)&lt;&gt;1,"NO",IF(AND(IFERROR(VALUE($J57),0)=1,IFERROR(VALUE($K57),0)=1,IFERROR(INDEX(Offerte!$G$2:$G$81,MATCH($A57&amp;"|"&amp;$H57,Offerte!$L$2:$L$81,0)),"NO")="SI",IFERROR(INDEX(Offerte!$G$2:$G$81,MATCH($A57&amp;"|"&amp;$I57,Offerte!$L$2:$L$81,0)),"NO")="SI",IFERROR(VALUE($F57),0)=1,IFERROR(VALUE($G57),0)=1,IFERROR(VALUE($E57),0)&gt;$U57),"SI","NO")))</f>
        <v/>
      </c>
      <c r="O57" s="57">
        <f>IF($N57="SI",IFERROR(30*(IFERROR(VALUE($E57),0)/MAX(SUMPRODUCT(MAX((Offerte!$C$2:$C$81=$H57)*(IFERROR(Offerte!$D$2:$D$81*1,0)=1)*(IFERROR(Offerte!$E$2:$E$81*1,0)&gt;=Parametri!$B$2)*IFERROR(Offerte!$F$2:$F$81*1,0))),SUMPRODUCT(MAX(($H$5:$H$80=$H57)*($N$5:$N$80="SI")*IFERROR($E$5:$E$80*1,0))),SUMPRODUCT(MAX(($I$5:$I$80=$H57)*($N$5:$N$80="SI")*IFERROR($E$5:$E$80*1,0))))),0),0)</f>
        <v/>
      </c>
      <c r="P57" s="57">
        <f>IF($N57="SI",IFERROR(30*(IFERROR(VALUE($E57),0)/MAX(SUMPRODUCT(MAX((Offerte!$C$2:$C$81=$I57)*(IFERROR(Offerte!$D$2:$D$81*1,0)=1)*(IFERROR(Offerte!$E$2:$E$81*1,0)&gt;=Parametri!$B$2)*IFERROR(Offerte!$F$2:$F$81*1,0))),SUMPRODUCT(MAX(($H$5:$H$80=$I57)*($N$5:$N$80="SI")*IFERROR($E$5:$E$80*1,0))),SUMPRODUCT(MAX(($I$5:$I$80=$I57)*($N$5:$N$80="SI")*IFERROR($E$5:$E$80*1,0))))),0),0)</f>
        <v/>
      </c>
      <c r="Q57" s="57">
        <f>IF($N57="SI",ROUND($L57+$M57+$O57+$P57,4),0)</f>
        <v/>
      </c>
      <c r="R57" s="57">
        <f>IF($A57="","",IF(IFERROR(VALUE($D57),0)&lt;&gt;1,"Non attiva",IF(OR(IFERROR(VALUE($J57),0)&lt;&gt;1,IFERROR(VALUE($K57),0)&lt;&gt;1),"Singoli non attivi",IF(OR(IFERROR(INDEX(Offerte!$G$2:$G$81,MATCH($A57&amp;"|"&amp;$H57,Offerte!$L$2:$L$81,0)),"NO")&lt;&gt;"SI",IFERROR(INDEX(Offerte!$G$2:$G$81,MATCH($A57&amp;"|"&amp;$I57,Offerte!$L$2:$L$81,0)),"NO")&lt;&gt;"SI"),"Soglia non superata",IF(OR(IFERROR(VALUE($F57),0)&lt;&gt;1,IFERROR(VALUE($G57),0)&lt;&gt;1),"Buste/PEF non confermati",IF(IFERROR(VALUE($E57),0)&lt;=$U57,"Ribasso non migliorativo",""))))))</f>
        <v/>
      </c>
      <c r="S57" s="57">
        <f>IF($H57="","",IFERROR(INDEX(Offerte!$F$2:$F$81,MATCH($A57&amp;"|"&amp;$H57,Offerte!$L$2:$L$81,0)),0))</f>
        <v/>
      </c>
      <c r="T57" s="57">
        <f>IF($I57="","",IFERROR(INDEX(Offerte!$F$2:$F$81,MATCH($A57&amp;"|"&amp;$I57,Offerte!$L$2:$L$81,0)),0))</f>
        <v/>
      </c>
      <c r="U57" s="57">
        <f>IF($A57="","",ROUND((IFERROR(VALUE($S57),0)+IFERROR(VALUE($T57),0))/2,4))</f>
        <v/>
      </c>
      <c r="V57" s="57">
        <f>IF($A57="","",$C57&amp;"|"&amp;TEXT($Q57,"0.0000"))</f>
        <v/>
      </c>
      <c r="W57" s="57">
        <f>IF($A57="","",$C57&amp;"|"&amp;$A57)</f>
        <v/>
      </c>
    </row>
    <row r="58">
      <c r="A58" s="73" t="n"/>
      <c r="B58" s="73">
        <f>IF($A58="","",IFERROR(INDEX(Offerte!$B$2:$B$81,MATCH($A58,Offerte!$A$2:$A$81,0)),""))</f>
        <v/>
      </c>
      <c r="C58" s="73" t="n"/>
      <c r="D58" s="73" t="n"/>
      <c r="E58" s="73" t="n"/>
      <c r="F58" s="73" t="n"/>
      <c r="G58" s="73" t="n"/>
      <c r="H58" s="57">
        <f>IF($C58="L1+L2","L1",IF($C58="L2+L3","L2",IF($C58="L3+L4","L3",IF($C58="L1+L4","L1",""))))</f>
        <v/>
      </c>
      <c r="I58" s="57">
        <f>IF($C58="L1+L2","L2",IF($C58="L2+L3","L3",IF($C58="L3+L4","L4",IF($C58="L1+L4","L4",""))))</f>
        <v/>
      </c>
      <c r="J58" s="57">
        <f>IF($H58="","",IFERROR(INDEX(Offerte!$D$2:$D$81,MATCH($A58&amp;"|"&amp;$H58,Offerte!$L$2:$L$81,0)),0))</f>
        <v/>
      </c>
      <c r="K58" s="57">
        <f>IF($I58="","",IFERROR(INDEX(Offerte!$D$2:$D$81,MATCH($A58&amp;"|"&amp;$I58,Offerte!$L$2:$L$81,0)),0))</f>
        <v/>
      </c>
      <c r="L58" s="57">
        <f>IF($H58="","",IFERROR(INDEX(Offerte!$E$2:$E$81,MATCH($A58&amp;"|"&amp;$H58,Offerte!$L$2:$L$81,0)),0))</f>
        <v/>
      </c>
      <c r="M58" s="57">
        <f>IF($I58="","",IFERROR(INDEX(Offerte!$E$2:$E$81,MATCH($A58&amp;"|"&amp;$I58,Offerte!$L$2:$L$81,0)),0))</f>
        <v/>
      </c>
      <c r="N58" s="57">
        <f>IF($A58="","",IF(IFERROR(VALUE($D58),0)&lt;&gt;1,"NO",IF(AND(IFERROR(VALUE($J58),0)=1,IFERROR(VALUE($K58),0)=1,IFERROR(INDEX(Offerte!$G$2:$G$81,MATCH($A58&amp;"|"&amp;$H58,Offerte!$L$2:$L$81,0)),"NO")="SI",IFERROR(INDEX(Offerte!$G$2:$G$81,MATCH($A58&amp;"|"&amp;$I58,Offerte!$L$2:$L$81,0)),"NO")="SI",IFERROR(VALUE($F58),0)=1,IFERROR(VALUE($G58),0)=1,IFERROR(VALUE($E58),0)&gt;$U58),"SI","NO")))</f>
        <v/>
      </c>
      <c r="O58" s="57">
        <f>IF($N58="SI",IFERROR(30*(IFERROR(VALUE($E58),0)/MAX(SUMPRODUCT(MAX((Offerte!$C$2:$C$81=$H58)*(IFERROR(Offerte!$D$2:$D$81*1,0)=1)*(IFERROR(Offerte!$E$2:$E$81*1,0)&gt;=Parametri!$B$2)*IFERROR(Offerte!$F$2:$F$81*1,0))),SUMPRODUCT(MAX(($H$5:$H$80=$H58)*($N$5:$N$80="SI")*IFERROR($E$5:$E$80*1,0))),SUMPRODUCT(MAX(($I$5:$I$80=$H58)*($N$5:$N$80="SI")*IFERROR($E$5:$E$80*1,0))))),0),0)</f>
        <v/>
      </c>
      <c r="P58" s="57">
        <f>IF($N58="SI",IFERROR(30*(IFERROR(VALUE($E58),0)/MAX(SUMPRODUCT(MAX((Offerte!$C$2:$C$81=$I58)*(IFERROR(Offerte!$D$2:$D$81*1,0)=1)*(IFERROR(Offerte!$E$2:$E$81*1,0)&gt;=Parametri!$B$2)*IFERROR(Offerte!$F$2:$F$81*1,0))),SUMPRODUCT(MAX(($H$5:$H$80=$I58)*($N$5:$N$80="SI")*IFERROR($E$5:$E$80*1,0))),SUMPRODUCT(MAX(($I$5:$I$80=$I58)*($N$5:$N$80="SI")*IFERROR($E$5:$E$80*1,0))))),0),0)</f>
        <v/>
      </c>
      <c r="Q58" s="57">
        <f>IF($N58="SI",ROUND($L58+$M58+$O58+$P58,4),0)</f>
        <v/>
      </c>
      <c r="R58" s="57">
        <f>IF($A58="","",IF(IFERROR(VALUE($D58),0)&lt;&gt;1,"Non attiva",IF(OR(IFERROR(VALUE($J58),0)&lt;&gt;1,IFERROR(VALUE($K58),0)&lt;&gt;1),"Singoli non attivi",IF(OR(IFERROR(INDEX(Offerte!$G$2:$G$81,MATCH($A58&amp;"|"&amp;$H58,Offerte!$L$2:$L$81,0)),"NO")&lt;&gt;"SI",IFERROR(INDEX(Offerte!$G$2:$G$81,MATCH($A58&amp;"|"&amp;$I58,Offerte!$L$2:$L$81,0)),"NO")&lt;&gt;"SI"),"Soglia non superata",IF(OR(IFERROR(VALUE($F58),0)&lt;&gt;1,IFERROR(VALUE($G58),0)&lt;&gt;1),"Buste/PEF non confermati",IF(IFERROR(VALUE($E58),0)&lt;=$U58,"Ribasso non migliorativo",""))))))</f>
        <v/>
      </c>
      <c r="S58" s="57">
        <f>IF($H58="","",IFERROR(INDEX(Offerte!$F$2:$F$81,MATCH($A58&amp;"|"&amp;$H58,Offerte!$L$2:$L$81,0)),0))</f>
        <v/>
      </c>
      <c r="T58" s="57">
        <f>IF($I58="","",IFERROR(INDEX(Offerte!$F$2:$F$81,MATCH($A58&amp;"|"&amp;$I58,Offerte!$L$2:$L$81,0)),0))</f>
        <v/>
      </c>
      <c r="U58" s="57">
        <f>IF($A58="","",ROUND((IFERROR(VALUE($S58),0)+IFERROR(VALUE($T58),0))/2,4))</f>
        <v/>
      </c>
      <c r="V58" s="57">
        <f>IF($A58="","",$C58&amp;"|"&amp;TEXT($Q58,"0.0000"))</f>
        <v/>
      </c>
      <c r="W58" s="57">
        <f>IF($A58="","",$C58&amp;"|"&amp;$A58)</f>
        <v/>
      </c>
    </row>
    <row r="59">
      <c r="A59" s="73" t="n"/>
      <c r="B59" s="73">
        <f>IF($A59="","",IFERROR(INDEX(Offerte!$B$2:$B$81,MATCH($A59,Offerte!$A$2:$A$81,0)),""))</f>
        <v/>
      </c>
      <c r="C59" s="73" t="n"/>
      <c r="D59" s="73" t="n"/>
      <c r="E59" s="73" t="n"/>
      <c r="F59" s="73" t="n"/>
      <c r="G59" s="73" t="n"/>
      <c r="H59" s="57">
        <f>IF($C59="L1+L2","L1",IF($C59="L2+L3","L2",IF($C59="L3+L4","L3",IF($C59="L1+L4","L1",""))))</f>
        <v/>
      </c>
      <c r="I59" s="57">
        <f>IF($C59="L1+L2","L2",IF($C59="L2+L3","L3",IF($C59="L3+L4","L4",IF($C59="L1+L4","L4",""))))</f>
        <v/>
      </c>
      <c r="J59" s="57">
        <f>IF($H59="","",IFERROR(INDEX(Offerte!$D$2:$D$81,MATCH($A59&amp;"|"&amp;$H59,Offerte!$L$2:$L$81,0)),0))</f>
        <v/>
      </c>
      <c r="K59" s="57">
        <f>IF($I59="","",IFERROR(INDEX(Offerte!$D$2:$D$81,MATCH($A59&amp;"|"&amp;$I59,Offerte!$L$2:$L$81,0)),0))</f>
        <v/>
      </c>
      <c r="L59" s="57">
        <f>IF($H59="","",IFERROR(INDEX(Offerte!$E$2:$E$81,MATCH($A59&amp;"|"&amp;$H59,Offerte!$L$2:$L$81,0)),0))</f>
        <v/>
      </c>
      <c r="M59" s="57">
        <f>IF($I59="","",IFERROR(INDEX(Offerte!$E$2:$E$81,MATCH($A59&amp;"|"&amp;$I59,Offerte!$L$2:$L$81,0)),0))</f>
        <v/>
      </c>
      <c r="N59" s="57">
        <f>IF($A59="","",IF(IFERROR(VALUE($D59),0)&lt;&gt;1,"NO",IF(AND(IFERROR(VALUE($J59),0)=1,IFERROR(VALUE($K59),0)=1,IFERROR(INDEX(Offerte!$G$2:$G$81,MATCH($A59&amp;"|"&amp;$H59,Offerte!$L$2:$L$81,0)),"NO")="SI",IFERROR(INDEX(Offerte!$G$2:$G$81,MATCH($A59&amp;"|"&amp;$I59,Offerte!$L$2:$L$81,0)),"NO")="SI",IFERROR(VALUE($F59),0)=1,IFERROR(VALUE($G59),0)=1,IFERROR(VALUE($E59),0)&gt;$U59),"SI","NO")))</f>
        <v/>
      </c>
      <c r="O59" s="57">
        <f>IF($N59="SI",IFERROR(30*(IFERROR(VALUE($E59),0)/MAX(SUMPRODUCT(MAX((Offerte!$C$2:$C$81=$H59)*(IFERROR(Offerte!$D$2:$D$81*1,0)=1)*(IFERROR(Offerte!$E$2:$E$81*1,0)&gt;=Parametri!$B$2)*IFERROR(Offerte!$F$2:$F$81*1,0))),SUMPRODUCT(MAX(($H$5:$H$80=$H59)*($N$5:$N$80="SI")*IFERROR($E$5:$E$80*1,0))),SUMPRODUCT(MAX(($I$5:$I$80=$H59)*($N$5:$N$80="SI")*IFERROR($E$5:$E$80*1,0))))),0),0)</f>
        <v/>
      </c>
      <c r="P59" s="57">
        <f>IF($N59="SI",IFERROR(30*(IFERROR(VALUE($E59),0)/MAX(SUMPRODUCT(MAX((Offerte!$C$2:$C$81=$I59)*(IFERROR(Offerte!$D$2:$D$81*1,0)=1)*(IFERROR(Offerte!$E$2:$E$81*1,0)&gt;=Parametri!$B$2)*IFERROR(Offerte!$F$2:$F$81*1,0))),SUMPRODUCT(MAX(($H$5:$H$80=$I59)*($N$5:$N$80="SI")*IFERROR($E$5:$E$80*1,0))),SUMPRODUCT(MAX(($I$5:$I$80=$I59)*($N$5:$N$80="SI")*IFERROR($E$5:$E$80*1,0))))),0),0)</f>
        <v/>
      </c>
      <c r="Q59" s="57">
        <f>IF($N59="SI",ROUND($L59+$M59+$O59+$P59,4),0)</f>
        <v/>
      </c>
      <c r="R59" s="57">
        <f>IF($A59="","",IF(IFERROR(VALUE($D59),0)&lt;&gt;1,"Non attiva",IF(OR(IFERROR(VALUE($J59),0)&lt;&gt;1,IFERROR(VALUE($K59),0)&lt;&gt;1),"Singoli non attivi",IF(OR(IFERROR(INDEX(Offerte!$G$2:$G$81,MATCH($A59&amp;"|"&amp;$H59,Offerte!$L$2:$L$81,0)),"NO")&lt;&gt;"SI",IFERROR(INDEX(Offerte!$G$2:$G$81,MATCH($A59&amp;"|"&amp;$I59,Offerte!$L$2:$L$81,0)),"NO")&lt;&gt;"SI"),"Soglia non superata",IF(OR(IFERROR(VALUE($F59),0)&lt;&gt;1,IFERROR(VALUE($G59),0)&lt;&gt;1),"Buste/PEF non confermati",IF(IFERROR(VALUE($E59),0)&lt;=$U59,"Ribasso non migliorativo",""))))))</f>
        <v/>
      </c>
      <c r="S59" s="57">
        <f>IF($H59="","",IFERROR(INDEX(Offerte!$F$2:$F$81,MATCH($A59&amp;"|"&amp;$H59,Offerte!$L$2:$L$81,0)),0))</f>
        <v/>
      </c>
      <c r="T59" s="57">
        <f>IF($I59="","",IFERROR(INDEX(Offerte!$F$2:$F$81,MATCH($A59&amp;"|"&amp;$I59,Offerte!$L$2:$L$81,0)),0))</f>
        <v/>
      </c>
      <c r="U59" s="57">
        <f>IF($A59="","",ROUND((IFERROR(VALUE($S59),0)+IFERROR(VALUE($T59),0))/2,4))</f>
        <v/>
      </c>
      <c r="V59" s="57">
        <f>IF($A59="","",$C59&amp;"|"&amp;TEXT($Q59,"0.0000"))</f>
        <v/>
      </c>
      <c r="W59" s="57">
        <f>IF($A59="","",$C59&amp;"|"&amp;$A59)</f>
        <v/>
      </c>
    </row>
    <row r="60">
      <c r="A60" s="73" t="n"/>
      <c r="B60" s="73">
        <f>IF($A60="","",IFERROR(INDEX(Offerte!$B$2:$B$81,MATCH($A60,Offerte!$A$2:$A$81,0)),""))</f>
        <v/>
      </c>
      <c r="C60" s="73" t="n"/>
      <c r="D60" s="73" t="n"/>
      <c r="E60" s="73" t="n"/>
      <c r="F60" s="73" t="n"/>
      <c r="G60" s="73" t="n"/>
      <c r="H60" s="57">
        <f>IF($C60="L1+L2","L1",IF($C60="L2+L3","L2",IF($C60="L3+L4","L3",IF($C60="L1+L4","L1",""))))</f>
        <v/>
      </c>
      <c r="I60" s="57">
        <f>IF($C60="L1+L2","L2",IF($C60="L2+L3","L3",IF($C60="L3+L4","L4",IF($C60="L1+L4","L4",""))))</f>
        <v/>
      </c>
      <c r="J60" s="57">
        <f>IF($H60="","",IFERROR(INDEX(Offerte!$D$2:$D$81,MATCH($A60&amp;"|"&amp;$H60,Offerte!$L$2:$L$81,0)),0))</f>
        <v/>
      </c>
      <c r="K60" s="57">
        <f>IF($I60="","",IFERROR(INDEX(Offerte!$D$2:$D$81,MATCH($A60&amp;"|"&amp;$I60,Offerte!$L$2:$L$81,0)),0))</f>
        <v/>
      </c>
      <c r="L60" s="57">
        <f>IF($H60="","",IFERROR(INDEX(Offerte!$E$2:$E$81,MATCH($A60&amp;"|"&amp;$H60,Offerte!$L$2:$L$81,0)),0))</f>
        <v/>
      </c>
      <c r="M60" s="57">
        <f>IF($I60="","",IFERROR(INDEX(Offerte!$E$2:$E$81,MATCH($A60&amp;"|"&amp;$I60,Offerte!$L$2:$L$81,0)),0))</f>
        <v/>
      </c>
      <c r="N60" s="57">
        <f>IF($A60="","",IF(IFERROR(VALUE($D60),0)&lt;&gt;1,"NO",IF(AND(IFERROR(VALUE($J60),0)=1,IFERROR(VALUE($K60),0)=1,IFERROR(INDEX(Offerte!$G$2:$G$81,MATCH($A60&amp;"|"&amp;$H60,Offerte!$L$2:$L$81,0)),"NO")="SI",IFERROR(INDEX(Offerte!$G$2:$G$81,MATCH($A60&amp;"|"&amp;$I60,Offerte!$L$2:$L$81,0)),"NO")="SI",IFERROR(VALUE($F60),0)=1,IFERROR(VALUE($G60),0)=1,IFERROR(VALUE($E60),0)&gt;$U60),"SI","NO")))</f>
        <v/>
      </c>
      <c r="O60" s="57">
        <f>IF($N60="SI",IFERROR(30*(IFERROR(VALUE($E60),0)/MAX(SUMPRODUCT(MAX((Offerte!$C$2:$C$81=$H60)*(IFERROR(Offerte!$D$2:$D$81*1,0)=1)*(IFERROR(Offerte!$E$2:$E$81*1,0)&gt;=Parametri!$B$2)*IFERROR(Offerte!$F$2:$F$81*1,0))),SUMPRODUCT(MAX(($H$5:$H$80=$H60)*($N$5:$N$80="SI")*IFERROR($E$5:$E$80*1,0))),SUMPRODUCT(MAX(($I$5:$I$80=$H60)*($N$5:$N$80="SI")*IFERROR($E$5:$E$80*1,0))))),0),0)</f>
        <v/>
      </c>
      <c r="P60" s="57">
        <f>IF($N60="SI",IFERROR(30*(IFERROR(VALUE($E60),0)/MAX(SUMPRODUCT(MAX((Offerte!$C$2:$C$81=$I60)*(IFERROR(Offerte!$D$2:$D$81*1,0)=1)*(IFERROR(Offerte!$E$2:$E$81*1,0)&gt;=Parametri!$B$2)*IFERROR(Offerte!$F$2:$F$81*1,0))),SUMPRODUCT(MAX(($H$5:$H$80=$I60)*($N$5:$N$80="SI")*IFERROR($E$5:$E$80*1,0))),SUMPRODUCT(MAX(($I$5:$I$80=$I60)*($N$5:$N$80="SI")*IFERROR($E$5:$E$80*1,0))))),0),0)</f>
        <v/>
      </c>
      <c r="Q60" s="57">
        <f>IF($N60="SI",ROUND($L60+$M60+$O60+$P60,4),0)</f>
        <v/>
      </c>
      <c r="R60" s="57">
        <f>IF($A60="","",IF(IFERROR(VALUE($D60),0)&lt;&gt;1,"Non attiva",IF(OR(IFERROR(VALUE($J60),0)&lt;&gt;1,IFERROR(VALUE($K60),0)&lt;&gt;1),"Singoli non attivi",IF(OR(IFERROR(INDEX(Offerte!$G$2:$G$81,MATCH($A60&amp;"|"&amp;$H60,Offerte!$L$2:$L$81,0)),"NO")&lt;&gt;"SI",IFERROR(INDEX(Offerte!$G$2:$G$81,MATCH($A60&amp;"|"&amp;$I60,Offerte!$L$2:$L$81,0)),"NO")&lt;&gt;"SI"),"Soglia non superata",IF(OR(IFERROR(VALUE($F60),0)&lt;&gt;1,IFERROR(VALUE($G60),0)&lt;&gt;1),"Buste/PEF non confermati",IF(IFERROR(VALUE($E60),0)&lt;=$U60,"Ribasso non migliorativo",""))))))</f>
        <v/>
      </c>
      <c r="S60" s="57">
        <f>IF($H60="","",IFERROR(INDEX(Offerte!$F$2:$F$81,MATCH($A60&amp;"|"&amp;$H60,Offerte!$L$2:$L$81,0)),0))</f>
        <v/>
      </c>
      <c r="T60" s="57">
        <f>IF($I60="","",IFERROR(INDEX(Offerte!$F$2:$F$81,MATCH($A60&amp;"|"&amp;$I60,Offerte!$L$2:$L$81,0)),0))</f>
        <v/>
      </c>
      <c r="U60" s="57">
        <f>IF($A60="","",ROUND((IFERROR(VALUE($S60),0)+IFERROR(VALUE($T60),0))/2,4))</f>
        <v/>
      </c>
      <c r="V60" s="57">
        <f>IF($A60="","",$C60&amp;"|"&amp;TEXT($Q60,"0.0000"))</f>
        <v/>
      </c>
      <c r="W60" s="57">
        <f>IF($A60="","",$C60&amp;"|"&amp;$A60)</f>
        <v/>
      </c>
    </row>
    <row r="61">
      <c r="A61" s="73" t="n"/>
      <c r="B61" s="73">
        <f>IF($A61="","",IFERROR(INDEX(Offerte!$B$2:$B$81,MATCH($A61,Offerte!$A$2:$A$81,0)),""))</f>
        <v/>
      </c>
      <c r="C61" s="73" t="n"/>
      <c r="D61" s="73" t="n"/>
      <c r="E61" s="73" t="n"/>
      <c r="F61" s="73" t="n"/>
      <c r="G61" s="73" t="n"/>
      <c r="H61" s="57">
        <f>IF($C61="L1+L2","L1",IF($C61="L2+L3","L2",IF($C61="L3+L4","L3",IF($C61="L1+L4","L1",""))))</f>
        <v/>
      </c>
      <c r="I61" s="57">
        <f>IF($C61="L1+L2","L2",IF($C61="L2+L3","L3",IF($C61="L3+L4","L4",IF($C61="L1+L4","L4",""))))</f>
        <v/>
      </c>
      <c r="J61" s="57">
        <f>IF($H61="","",IFERROR(INDEX(Offerte!$D$2:$D$81,MATCH($A61&amp;"|"&amp;$H61,Offerte!$L$2:$L$81,0)),0))</f>
        <v/>
      </c>
      <c r="K61" s="57">
        <f>IF($I61="","",IFERROR(INDEX(Offerte!$D$2:$D$81,MATCH($A61&amp;"|"&amp;$I61,Offerte!$L$2:$L$81,0)),0))</f>
        <v/>
      </c>
      <c r="L61" s="57">
        <f>IF($H61="","",IFERROR(INDEX(Offerte!$E$2:$E$81,MATCH($A61&amp;"|"&amp;$H61,Offerte!$L$2:$L$81,0)),0))</f>
        <v/>
      </c>
      <c r="M61" s="57">
        <f>IF($I61="","",IFERROR(INDEX(Offerte!$E$2:$E$81,MATCH($A61&amp;"|"&amp;$I61,Offerte!$L$2:$L$81,0)),0))</f>
        <v/>
      </c>
      <c r="N61" s="57">
        <f>IF($A61="","",IF(IFERROR(VALUE($D61),0)&lt;&gt;1,"NO",IF(AND(IFERROR(VALUE($J61),0)=1,IFERROR(VALUE($K61),0)=1,IFERROR(INDEX(Offerte!$G$2:$G$81,MATCH($A61&amp;"|"&amp;$H61,Offerte!$L$2:$L$81,0)),"NO")="SI",IFERROR(INDEX(Offerte!$G$2:$G$81,MATCH($A61&amp;"|"&amp;$I61,Offerte!$L$2:$L$81,0)),"NO")="SI",IFERROR(VALUE($F61),0)=1,IFERROR(VALUE($G61),0)=1,IFERROR(VALUE($E61),0)&gt;$U61),"SI","NO")))</f>
        <v/>
      </c>
      <c r="O61" s="57">
        <f>IF($N61="SI",IFERROR(30*(IFERROR(VALUE($E61),0)/MAX(SUMPRODUCT(MAX((Offerte!$C$2:$C$81=$H61)*(IFERROR(Offerte!$D$2:$D$81*1,0)=1)*(IFERROR(Offerte!$E$2:$E$81*1,0)&gt;=Parametri!$B$2)*IFERROR(Offerte!$F$2:$F$81*1,0))),SUMPRODUCT(MAX(($H$5:$H$80=$H61)*($N$5:$N$80="SI")*IFERROR($E$5:$E$80*1,0))),SUMPRODUCT(MAX(($I$5:$I$80=$H61)*($N$5:$N$80="SI")*IFERROR($E$5:$E$80*1,0))))),0),0)</f>
        <v/>
      </c>
      <c r="P61" s="57">
        <f>IF($N61="SI",IFERROR(30*(IFERROR(VALUE($E61),0)/MAX(SUMPRODUCT(MAX((Offerte!$C$2:$C$81=$I61)*(IFERROR(Offerte!$D$2:$D$81*1,0)=1)*(IFERROR(Offerte!$E$2:$E$81*1,0)&gt;=Parametri!$B$2)*IFERROR(Offerte!$F$2:$F$81*1,0))),SUMPRODUCT(MAX(($H$5:$H$80=$I61)*($N$5:$N$80="SI")*IFERROR($E$5:$E$80*1,0))),SUMPRODUCT(MAX(($I$5:$I$80=$I61)*($N$5:$N$80="SI")*IFERROR($E$5:$E$80*1,0))))),0),0)</f>
        <v/>
      </c>
      <c r="Q61" s="57">
        <f>IF($N61="SI",ROUND($L61+$M61+$O61+$P61,4),0)</f>
        <v/>
      </c>
      <c r="R61" s="57">
        <f>IF($A61="","",IF(IFERROR(VALUE($D61),0)&lt;&gt;1,"Non attiva",IF(OR(IFERROR(VALUE($J61),0)&lt;&gt;1,IFERROR(VALUE($K61),0)&lt;&gt;1),"Singoli non attivi",IF(OR(IFERROR(INDEX(Offerte!$G$2:$G$81,MATCH($A61&amp;"|"&amp;$H61,Offerte!$L$2:$L$81,0)),"NO")&lt;&gt;"SI",IFERROR(INDEX(Offerte!$G$2:$G$81,MATCH($A61&amp;"|"&amp;$I61,Offerte!$L$2:$L$81,0)),"NO")&lt;&gt;"SI"),"Soglia non superata",IF(OR(IFERROR(VALUE($F61),0)&lt;&gt;1,IFERROR(VALUE($G61),0)&lt;&gt;1),"Buste/PEF non confermati",IF(IFERROR(VALUE($E61),0)&lt;=$U61,"Ribasso non migliorativo",""))))))</f>
        <v/>
      </c>
      <c r="S61" s="57">
        <f>IF($H61="","",IFERROR(INDEX(Offerte!$F$2:$F$81,MATCH($A61&amp;"|"&amp;$H61,Offerte!$L$2:$L$81,0)),0))</f>
        <v/>
      </c>
      <c r="T61" s="57">
        <f>IF($I61="","",IFERROR(INDEX(Offerte!$F$2:$F$81,MATCH($A61&amp;"|"&amp;$I61,Offerte!$L$2:$L$81,0)),0))</f>
        <v/>
      </c>
      <c r="U61" s="57">
        <f>IF($A61="","",ROUND((IFERROR(VALUE($S61),0)+IFERROR(VALUE($T61),0))/2,4))</f>
        <v/>
      </c>
      <c r="V61" s="57">
        <f>IF($A61="","",$C61&amp;"|"&amp;TEXT($Q61,"0.0000"))</f>
        <v/>
      </c>
      <c r="W61" s="57">
        <f>IF($A61="","",$C61&amp;"|"&amp;$A61)</f>
        <v/>
      </c>
    </row>
    <row r="62">
      <c r="A62" s="73" t="n"/>
      <c r="B62" s="73">
        <f>IF($A62="","",IFERROR(INDEX(Offerte!$B$2:$B$81,MATCH($A62,Offerte!$A$2:$A$81,0)),""))</f>
        <v/>
      </c>
      <c r="C62" s="73" t="n"/>
      <c r="D62" s="73" t="n"/>
      <c r="E62" s="73" t="n"/>
      <c r="F62" s="73" t="n"/>
      <c r="G62" s="73" t="n"/>
      <c r="H62" s="57">
        <f>IF($C62="L1+L2","L1",IF($C62="L2+L3","L2",IF($C62="L3+L4","L3",IF($C62="L1+L4","L1",""))))</f>
        <v/>
      </c>
      <c r="I62" s="57">
        <f>IF($C62="L1+L2","L2",IF($C62="L2+L3","L3",IF($C62="L3+L4","L4",IF($C62="L1+L4","L4",""))))</f>
        <v/>
      </c>
      <c r="J62" s="57">
        <f>IF($H62="","",IFERROR(INDEX(Offerte!$D$2:$D$81,MATCH($A62&amp;"|"&amp;$H62,Offerte!$L$2:$L$81,0)),0))</f>
        <v/>
      </c>
      <c r="K62" s="57">
        <f>IF($I62="","",IFERROR(INDEX(Offerte!$D$2:$D$81,MATCH($A62&amp;"|"&amp;$I62,Offerte!$L$2:$L$81,0)),0))</f>
        <v/>
      </c>
      <c r="L62" s="57">
        <f>IF($H62="","",IFERROR(INDEX(Offerte!$E$2:$E$81,MATCH($A62&amp;"|"&amp;$H62,Offerte!$L$2:$L$81,0)),0))</f>
        <v/>
      </c>
      <c r="M62" s="57">
        <f>IF($I62="","",IFERROR(INDEX(Offerte!$E$2:$E$81,MATCH($A62&amp;"|"&amp;$I62,Offerte!$L$2:$L$81,0)),0))</f>
        <v/>
      </c>
      <c r="N62" s="57">
        <f>IF($A62="","",IF(IFERROR(VALUE($D62),0)&lt;&gt;1,"NO",IF(AND(IFERROR(VALUE($J62),0)=1,IFERROR(VALUE($K62),0)=1,IFERROR(INDEX(Offerte!$G$2:$G$81,MATCH($A62&amp;"|"&amp;$H62,Offerte!$L$2:$L$81,0)),"NO")="SI",IFERROR(INDEX(Offerte!$G$2:$G$81,MATCH($A62&amp;"|"&amp;$I62,Offerte!$L$2:$L$81,0)),"NO")="SI",IFERROR(VALUE($F62),0)=1,IFERROR(VALUE($G62),0)=1,IFERROR(VALUE($E62),0)&gt;$U62),"SI","NO")))</f>
        <v/>
      </c>
      <c r="O62" s="57">
        <f>IF($N62="SI",IFERROR(30*(IFERROR(VALUE($E62),0)/MAX(SUMPRODUCT(MAX((Offerte!$C$2:$C$81=$H62)*(IFERROR(Offerte!$D$2:$D$81*1,0)=1)*(IFERROR(Offerte!$E$2:$E$81*1,0)&gt;=Parametri!$B$2)*IFERROR(Offerte!$F$2:$F$81*1,0))),SUMPRODUCT(MAX(($H$5:$H$80=$H62)*($N$5:$N$80="SI")*IFERROR($E$5:$E$80*1,0))),SUMPRODUCT(MAX(($I$5:$I$80=$H62)*($N$5:$N$80="SI")*IFERROR($E$5:$E$80*1,0))))),0),0)</f>
        <v/>
      </c>
      <c r="P62" s="57">
        <f>IF($N62="SI",IFERROR(30*(IFERROR(VALUE($E62),0)/MAX(SUMPRODUCT(MAX((Offerte!$C$2:$C$81=$I62)*(IFERROR(Offerte!$D$2:$D$81*1,0)=1)*(IFERROR(Offerte!$E$2:$E$81*1,0)&gt;=Parametri!$B$2)*IFERROR(Offerte!$F$2:$F$81*1,0))),SUMPRODUCT(MAX(($H$5:$H$80=$I62)*($N$5:$N$80="SI")*IFERROR($E$5:$E$80*1,0))),SUMPRODUCT(MAX(($I$5:$I$80=$I62)*($N$5:$N$80="SI")*IFERROR($E$5:$E$80*1,0))))),0),0)</f>
        <v/>
      </c>
      <c r="Q62" s="57">
        <f>IF($N62="SI",ROUND($L62+$M62+$O62+$P62,4),0)</f>
        <v/>
      </c>
      <c r="R62" s="57">
        <f>IF($A62="","",IF(IFERROR(VALUE($D62),0)&lt;&gt;1,"Non attiva",IF(OR(IFERROR(VALUE($J62),0)&lt;&gt;1,IFERROR(VALUE($K62),0)&lt;&gt;1),"Singoli non attivi",IF(OR(IFERROR(INDEX(Offerte!$G$2:$G$81,MATCH($A62&amp;"|"&amp;$H62,Offerte!$L$2:$L$81,0)),"NO")&lt;&gt;"SI",IFERROR(INDEX(Offerte!$G$2:$G$81,MATCH($A62&amp;"|"&amp;$I62,Offerte!$L$2:$L$81,0)),"NO")&lt;&gt;"SI"),"Soglia non superata",IF(OR(IFERROR(VALUE($F62),0)&lt;&gt;1,IFERROR(VALUE($G62),0)&lt;&gt;1),"Buste/PEF non confermati",IF(IFERROR(VALUE($E62),0)&lt;=$U62,"Ribasso non migliorativo",""))))))</f>
        <v/>
      </c>
      <c r="S62" s="57">
        <f>IF($H62="","",IFERROR(INDEX(Offerte!$F$2:$F$81,MATCH($A62&amp;"|"&amp;$H62,Offerte!$L$2:$L$81,0)),0))</f>
        <v/>
      </c>
      <c r="T62" s="57">
        <f>IF($I62="","",IFERROR(INDEX(Offerte!$F$2:$F$81,MATCH($A62&amp;"|"&amp;$I62,Offerte!$L$2:$L$81,0)),0))</f>
        <v/>
      </c>
      <c r="U62" s="57">
        <f>IF($A62="","",ROUND((IFERROR(VALUE($S62),0)+IFERROR(VALUE($T62),0))/2,4))</f>
        <v/>
      </c>
      <c r="V62" s="57">
        <f>IF($A62="","",$C62&amp;"|"&amp;TEXT($Q62,"0.0000"))</f>
        <v/>
      </c>
      <c r="W62" s="57">
        <f>IF($A62="","",$C62&amp;"|"&amp;$A62)</f>
        <v/>
      </c>
    </row>
    <row r="63">
      <c r="A63" s="73" t="n"/>
      <c r="B63" s="73">
        <f>IF($A63="","",IFERROR(INDEX(Offerte!$B$2:$B$81,MATCH($A63,Offerte!$A$2:$A$81,0)),""))</f>
        <v/>
      </c>
      <c r="C63" s="73" t="n"/>
      <c r="D63" s="73" t="n"/>
      <c r="E63" s="73" t="n"/>
      <c r="F63" s="73" t="n"/>
      <c r="G63" s="73" t="n"/>
      <c r="H63" s="57">
        <f>IF($C63="L1+L2","L1",IF($C63="L2+L3","L2",IF($C63="L3+L4","L3",IF($C63="L1+L4","L1",""))))</f>
        <v/>
      </c>
      <c r="I63" s="57">
        <f>IF($C63="L1+L2","L2",IF($C63="L2+L3","L3",IF($C63="L3+L4","L4",IF($C63="L1+L4","L4",""))))</f>
        <v/>
      </c>
      <c r="J63" s="57">
        <f>IF($H63="","",IFERROR(INDEX(Offerte!$D$2:$D$81,MATCH($A63&amp;"|"&amp;$H63,Offerte!$L$2:$L$81,0)),0))</f>
        <v/>
      </c>
      <c r="K63" s="57">
        <f>IF($I63="","",IFERROR(INDEX(Offerte!$D$2:$D$81,MATCH($A63&amp;"|"&amp;$I63,Offerte!$L$2:$L$81,0)),0))</f>
        <v/>
      </c>
      <c r="L63" s="57">
        <f>IF($H63="","",IFERROR(INDEX(Offerte!$E$2:$E$81,MATCH($A63&amp;"|"&amp;$H63,Offerte!$L$2:$L$81,0)),0))</f>
        <v/>
      </c>
      <c r="M63" s="57">
        <f>IF($I63="","",IFERROR(INDEX(Offerte!$E$2:$E$81,MATCH($A63&amp;"|"&amp;$I63,Offerte!$L$2:$L$81,0)),0))</f>
        <v/>
      </c>
      <c r="N63" s="57">
        <f>IF($A63="","",IF(IFERROR(VALUE($D63),0)&lt;&gt;1,"NO",IF(AND(IFERROR(VALUE($J63),0)=1,IFERROR(VALUE($K63),0)=1,IFERROR(INDEX(Offerte!$G$2:$G$81,MATCH($A63&amp;"|"&amp;$H63,Offerte!$L$2:$L$81,0)),"NO")="SI",IFERROR(INDEX(Offerte!$G$2:$G$81,MATCH($A63&amp;"|"&amp;$I63,Offerte!$L$2:$L$81,0)),"NO")="SI",IFERROR(VALUE($F63),0)=1,IFERROR(VALUE($G63),0)=1,IFERROR(VALUE($E63),0)&gt;$U63),"SI","NO")))</f>
        <v/>
      </c>
      <c r="O63" s="57">
        <f>IF($N63="SI",IFERROR(30*(IFERROR(VALUE($E63),0)/MAX(SUMPRODUCT(MAX((Offerte!$C$2:$C$81=$H63)*(IFERROR(Offerte!$D$2:$D$81*1,0)=1)*(IFERROR(Offerte!$E$2:$E$81*1,0)&gt;=Parametri!$B$2)*IFERROR(Offerte!$F$2:$F$81*1,0))),SUMPRODUCT(MAX(($H$5:$H$80=$H63)*($N$5:$N$80="SI")*IFERROR($E$5:$E$80*1,0))),SUMPRODUCT(MAX(($I$5:$I$80=$H63)*($N$5:$N$80="SI")*IFERROR($E$5:$E$80*1,0))))),0),0)</f>
        <v/>
      </c>
      <c r="P63" s="57">
        <f>IF($N63="SI",IFERROR(30*(IFERROR(VALUE($E63),0)/MAX(SUMPRODUCT(MAX((Offerte!$C$2:$C$81=$I63)*(IFERROR(Offerte!$D$2:$D$81*1,0)=1)*(IFERROR(Offerte!$E$2:$E$81*1,0)&gt;=Parametri!$B$2)*IFERROR(Offerte!$F$2:$F$81*1,0))),SUMPRODUCT(MAX(($H$5:$H$80=$I63)*($N$5:$N$80="SI")*IFERROR($E$5:$E$80*1,0))),SUMPRODUCT(MAX(($I$5:$I$80=$I63)*($N$5:$N$80="SI")*IFERROR($E$5:$E$80*1,0))))),0),0)</f>
        <v/>
      </c>
      <c r="Q63" s="57">
        <f>IF($N63="SI",ROUND($L63+$M63+$O63+$P63,4),0)</f>
        <v/>
      </c>
      <c r="R63" s="57">
        <f>IF($A63="","",IF(IFERROR(VALUE($D63),0)&lt;&gt;1,"Non attiva",IF(OR(IFERROR(VALUE($J63),0)&lt;&gt;1,IFERROR(VALUE($K63),0)&lt;&gt;1),"Singoli non attivi",IF(OR(IFERROR(INDEX(Offerte!$G$2:$G$81,MATCH($A63&amp;"|"&amp;$H63,Offerte!$L$2:$L$81,0)),"NO")&lt;&gt;"SI",IFERROR(INDEX(Offerte!$G$2:$G$81,MATCH($A63&amp;"|"&amp;$I63,Offerte!$L$2:$L$81,0)),"NO")&lt;&gt;"SI"),"Soglia non superata",IF(OR(IFERROR(VALUE($F63),0)&lt;&gt;1,IFERROR(VALUE($G63),0)&lt;&gt;1),"Buste/PEF non confermati",IF(IFERROR(VALUE($E63),0)&lt;=$U63,"Ribasso non migliorativo",""))))))</f>
        <v/>
      </c>
      <c r="S63" s="57">
        <f>IF($H63="","",IFERROR(INDEX(Offerte!$F$2:$F$81,MATCH($A63&amp;"|"&amp;$H63,Offerte!$L$2:$L$81,0)),0))</f>
        <v/>
      </c>
      <c r="T63" s="57">
        <f>IF($I63="","",IFERROR(INDEX(Offerte!$F$2:$F$81,MATCH($A63&amp;"|"&amp;$I63,Offerte!$L$2:$L$81,0)),0))</f>
        <v/>
      </c>
      <c r="U63" s="57">
        <f>IF($A63="","",ROUND((IFERROR(VALUE($S63),0)+IFERROR(VALUE($T63),0))/2,4))</f>
        <v/>
      </c>
      <c r="V63" s="57">
        <f>IF($A63="","",$C63&amp;"|"&amp;TEXT($Q63,"0.0000"))</f>
        <v/>
      </c>
      <c r="W63" s="57">
        <f>IF($A63="","",$C63&amp;"|"&amp;$A63)</f>
        <v/>
      </c>
    </row>
    <row r="64">
      <c r="A64" s="73" t="n"/>
      <c r="B64" s="73">
        <f>IF($A64="","",IFERROR(INDEX(Offerte!$B$2:$B$81,MATCH($A64,Offerte!$A$2:$A$81,0)),""))</f>
        <v/>
      </c>
      <c r="C64" s="73" t="n"/>
      <c r="D64" s="73" t="n"/>
      <c r="E64" s="73" t="n"/>
      <c r="F64" s="73" t="n"/>
      <c r="G64" s="73" t="n"/>
      <c r="H64" s="57">
        <f>IF($C64="L1+L2","L1",IF($C64="L2+L3","L2",IF($C64="L3+L4","L3",IF($C64="L1+L4","L1",""))))</f>
        <v/>
      </c>
      <c r="I64" s="57">
        <f>IF($C64="L1+L2","L2",IF($C64="L2+L3","L3",IF($C64="L3+L4","L4",IF($C64="L1+L4","L4",""))))</f>
        <v/>
      </c>
      <c r="J64" s="57">
        <f>IF($H64="","",IFERROR(INDEX(Offerte!$D$2:$D$81,MATCH($A64&amp;"|"&amp;$H64,Offerte!$L$2:$L$81,0)),0))</f>
        <v/>
      </c>
      <c r="K64" s="57">
        <f>IF($I64="","",IFERROR(INDEX(Offerte!$D$2:$D$81,MATCH($A64&amp;"|"&amp;$I64,Offerte!$L$2:$L$81,0)),0))</f>
        <v/>
      </c>
      <c r="L64" s="57">
        <f>IF($H64="","",IFERROR(INDEX(Offerte!$E$2:$E$81,MATCH($A64&amp;"|"&amp;$H64,Offerte!$L$2:$L$81,0)),0))</f>
        <v/>
      </c>
      <c r="M64" s="57">
        <f>IF($I64="","",IFERROR(INDEX(Offerte!$E$2:$E$81,MATCH($A64&amp;"|"&amp;$I64,Offerte!$L$2:$L$81,0)),0))</f>
        <v/>
      </c>
      <c r="N64" s="57">
        <f>IF($A64="","",IF(IFERROR(VALUE($D64),0)&lt;&gt;1,"NO",IF(AND(IFERROR(VALUE($J64),0)=1,IFERROR(VALUE($K64),0)=1,IFERROR(INDEX(Offerte!$G$2:$G$81,MATCH($A64&amp;"|"&amp;$H64,Offerte!$L$2:$L$81,0)),"NO")="SI",IFERROR(INDEX(Offerte!$G$2:$G$81,MATCH($A64&amp;"|"&amp;$I64,Offerte!$L$2:$L$81,0)),"NO")="SI",IFERROR(VALUE($F64),0)=1,IFERROR(VALUE($G64),0)=1,IFERROR(VALUE($E64),0)&gt;$U64),"SI","NO")))</f>
        <v/>
      </c>
      <c r="O64" s="57">
        <f>IF($N64="SI",IFERROR(30*(IFERROR(VALUE($E64),0)/MAX(SUMPRODUCT(MAX((Offerte!$C$2:$C$81=$H64)*(IFERROR(Offerte!$D$2:$D$81*1,0)=1)*(IFERROR(Offerte!$E$2:$E$81*1,0)&gt;=Parametri!$B$2)*IFERROR(Offerte!$F$2:$F$81*1,0))),SUMPRODUCT(MAX(($H$5:$H$80=$H64)*($N$5:$N$80="SI")*IFERROR($E$5:$E$80*1,0))),SUMPRODUCT(MAX(($I$5:$I$80=$H64)*($N$5:$N$80="SI")*IFERROR($E$5:$E$80*1,0))))),0),0)</f>
        <v/>
      </c>
      <c r="P64" s="57">
        <f>IF($N64="SI",IFERROR(30*(IFERROR(VALUE($E64),0)/MAX(SUMPRODUCT(MAX((Offerte!$C$2:$C$81=$I64)*(IFERROR(Offerte!$D$2:$D$81*1,0)=1)*(IFERROR(Offerte!$E$2:$E$81*1,0)&gt;=Parametri!$B$2)*IFERROR(Offerte!$F$2:$F$81*1,0))),SUMPRODUCT(MAX(($H$5:$H$80=$I64)*($N$5:$N$80="SI")*IFERROR($E$5:$E$80*1,0))),SUMPRODUCT(MAX(($I$5:$I$80=$I64)*($N$5:$N$80="SI")*IFERROR($E$5:$E$80*1,0))))),0),0)</f>
        <v/>
      </c>
      <c r="Q64" s="57">
        <f>IF($N64="SI",ROUND($L64+$M64+$O64+$P64,4),0)</f>
        <v/>
      </c>
      <c r="R64" s="57">
        <f>IF($A64="","",IF(IFERROR(VALUE($D64),0)&lt;&gt;1,"Non attiva",IF(OR(IFERROR(VALUE($J64),0)&lt;&gt;1,IFERROR(VALUE($K64),0)&lt;&gt;1),"Singoli non attivi",IF(OR(IFERROR(INDEX(Offerte!$G$2:$G$81,MATCH($A64&amp;"|"&amp;$H64,Offerte!$L$2:$L$81,0)),"NO")&lt;&gt;"SI",IFERROR(INDEX(Offerte!$G$2:$G$81,MATCH($A64&amp;"|"&amp;$I64,Offerte!$L$2:$L$81,0)),"NO")&lt;&gt;"SI"),"Soglia non superata",IF(OR(IFERROR(VALUE($F64),0)&lt;&gt;1,IFERROR(VALUE($G64),0)&lt;&gt;1),"Buste/PEF non confermati",IF(IFERROR(VALUE($E64),0)&lt;=$U64,"Ribasso non migliorativo",""))))))</f>
        <v/>
      </c>
      <c r="S64" s="57">
        <f>IF($H64="","",IFERROR(INDEX(Offerte!$F$2:$F$81,MATCH($A64&amp;"|"&amp;$H64,Offerte!$L$2:$L$81,0)),0))</f>
        <v/>
      </c>
      <c r="T64" s="57">
        <f>IF($I64="","",IFERROR(INDEX(Offerte!$F$2:$F$81,MATCH($A64&amp;"|"&amp;$I64,Offerte!$L$2:$L$81,0)),0))</f>
        <v/>
      </c>
      <c r="U64" s="57">
        <f>IF($A64="","",ROUND((IFERROR(VALUE($S64),0)+IFERROR(VALUE($T64),0))/2,4))</f>
        <v/>
      </c>
      <c r="V64" s="57">
        <f>IF($A64="","",$C64&amp;"|"&amp;TEXT($Q64,"0.0000"))</f>
        <v/>
      </c>
      <c r="W64" s="57">
        <f>IF($A64="","",$C64&amp;"|"&amp;$A64)</f>
        <v/>
      </c>
    </row>
    <row r="65">
      <c r="A65" s="73" t="n"/>
      <c r="B65" s="73">
        <f>IF($A65="","",IFERROR(INDEX(Offerte!$B$2:$B$81,MATCH($A65,Offerte!$A$2:$A$81,0)),""))</f>
        <v/>
      </c>
      <c r="C65" s="73" t="n"/>
      <c r="D65" s="73" t="n"/>
      <c r="E65" s="73" t="n"/>
      <c r="F65" s="73" t="n"/>
      <c r="G65" s="73" t="n"/>
      <c r="H65" s="57">
        <f>IF($C65="L1+L2","L1",IF($C65="L2+L3","L2",IF($C65="L3+L4","L3",IF($C65="L1+L4","L1",""))))</f>
        <v/>
      </c>
      <c r="I65" s="57">
        <f>IF($C65="L1+L2","L2",IF($C65="L2+L3","L3",IF($C65="L3+L4","L4",IF($C65="L1+L4","L4",""))))</f>
        <v/>
      </c>
      <c r="J65" s="57">
        <f>IF($H65="","",IFERROR(INDEX(Offerte!$D$2:$D$81,MATCH($A65&amp;"|"&amp;$H65,Offerte!$L$2:$L$81,0)),0))</f>
        <v/>
      </c>
      <c r="K65" s="57">
        <f>IF($I65="","",IFERROR(INDEX(Offerte!$D$2:$D$81,MATCH($A65&amp;"|"&amp;$I65,Offerte!$L$2:$L$81,0)),0))</f>
        <v/>
      </c>
      <c r="L65" s="57">
        <f>IF($H65="","",IFERROR(INDEX(Offerte!$E$2:$E$81,MATCH($A65&amp;"|"&amp;$H65,Offerte!$L$2:$L$81,0)),0))</f>
        <v/>
      </c>
      <c r="M65" s="57">
        <f>IF($I65="","",IFERROR(INDEX(Offerte!$E$2:$E$81,MATCH($A65&amp;"|"&amp;$I65,Offerte!$L$2:$L$81,0)),0))</f>
        <v/>
      </c>
      <c r="N65" s="57">
        <f>IF($A65="","",IF(IFERROR(VALUE($D65),0)&lt;&gt;1,"NO",IF(AND(IFERROR(VALUE($J65),0)=1,IFERROR(VALUE($K65),0)=1,IFERROR(INDEX(Offerte!$G$2:$G$81,MATCH($A65&amp;"|"&amp;$H65,Offerte!$L$2:$L$81,0)),"NO")="SI",IFERROR(INDEX(Offerte!$G$2:$G$81,MATCH($A65&amp;"|"&amp;$I65,Offerte!$L$2:$L$81,0)),"NO")="SI",IFERROR(VALUE($F65),0)=1,IFERROR(VALUE($G65),0)=1,IFERROR(VALUE($E65),0)&gt;$U65),"SI","NO")))</f>
        <v/>
      </c>
      <c r="O65" s="57">
        <f>IF($N65="SI",IFERROR(30*(IFERROR(VALUE($E65),0)/MAX(SUMPRODUCT(MAX((Offerte!$C$2:$C$81=$H65)*(IFERROR(Offerte!$D$2:$D$81*1,0)=1)*(IFERROR(Offerte!$E$2:$E$81*1,0)&gt;=Parametri!$B$2)*IFERROR(Offerte!$F$2:$F$81*1,0))),SUMPRODUCT(MAX(($H$5:$H$80=$H65)*($N$5:$N$80="SI")*IFERROR($E$5:$E$80*1,0))),SUMPRODUCT(MAX(($I$5:$I$80=$H65)*($N$5:$N$80="SI")*IFERROR($E$5:$E$80*1,0))))),0),0)</f>
        <v/>
      </c>
      <c r="P65" s="57">
        <f>IF($N65="SI",IFERROR(30*(IFERROR(VALUE($E65),0)/MAX(SUMPRODUCT(MAX((Offerte!$C$2:$C$81=$I65)*(IFERROR(Offerte!$D$2:$D$81*1,0)=1)*(IFERROR(Offerte!$E$2:$E$81*1,0)&gt;=Parametri!$B$2)*IFERROR(Offerte!$F$2:$F$81*1,0))),SUMPRODUCT(MAX(($H$5:$H$80=$I65)*($N$5:$N$80="SI")*IFERROR($E$5:$E$80*1,0))),SUMPRODUCT(MAX(($I$5:$I$80=$I65)*($N$5:$N$80="SI")*IFERROR($E$5:$E$80*1,0))))),0),0)</f>
        <v/>
      </c>
      <c r="Q65" s="57">
        <f>IF($N65="SI",ROUND($L65+$M65+$O65+$P65,4),0)</f>
        <v/>
      </c>
      <c r="R65" s="57">
        <f>IF($A65="","",IF(IFERROR(VALUE($D65),0)&lt;&gt;1,"Non attiva",IF(OR(IFERROR(VALUE($J65),0)&lt;&gt;1,IFERROR(VALUE($K65),0)&lt;&gt;1),"Singoli non attivi",IF(OR(IFERROR(INDEX(Offerte!$G$2:$G$81,MATCH($A65&amp;"|"&amp;$H65,Offerte!$L$2:$L$81,0)),"NO")&lt;&gt;"SI",IFERROR(INDEX(Offerte!$G$2:$G$81,MATCH($A65&amp;"|"&amp;$I65,Offerte!$L$2:$L$81,0)),"NO")&lt;&gt;"SI"),"Soglia non superata",IF(OR(IFERROR(VALUE($F65),0)&lt;&gt;1,IFERROR(VALUE($G65),0)&lt;&gt;1),"Buste/PEF non confermati",IF(IFERROR(VALUE($E65),0)&lt;=$U65,"Ribasso non migliorativo",""))))))</f>
        <v/>
      </c>
      <c r="S65" s="57">
        <f>IF($H65="","",IFERROR(INDEX(Offerte!$F$2:$F$81,MATCH($A65&amp;"|"&amp;$H65,Offerte!$L$2:$L$81,0)),0))</f>
        <v/>
      </c>
      <c r="T65" s="57">
        <f>IF($I65="","",IFERROR(INDEX(Offerte!$F$2:$F$81,MATCH($A65&amp;"|"&amp;$I65,Offerte!$L$2:$L$81,0)),0))</f>
        <v/>
      </c>
      <c r="U65" s="57">
        <f>IF($A65="","",ROUND((IFERROR(VALUE($S65),0)+IFERROR(VALUE($T65),0))/2,4))</f>
        <v/>
      </c>
      <c r="V65" s="57">
        <f>IF($A65="","",$C65&amp;"|"&amp;TEXT($Q65,"0.0000"))</f>
        <v/>
      </c>
      <c r="W65" s="57">
        <f>IF($A65="","",$C65&amp;"|"&amp;$A65)</f>
        <v/>
      </c>
    </row>
    <row r="66">
      <c r="A66" s="73" t="n"/>
      <c r="B66" s="73">
        <f>IF($A66="","",IFERROR(INDEX(Offerte!$B$2:$B$81,MATCH($A66,Offerte!$A$2:$A$81,0)),""))</f>
        <v/>
      </c>
      <c r="C66" s="73" t="n"/>
      <c r="D66" s="73" t="n"/>
      <c r="E66" s="73" t="n"/>
      <c r="F66" s="73" t="n"/>
      <c r="G66" s="73" t="n"/>
      <c r="H66" s="57">
        <f>IF($C66="L1+L2","L1",IF($C66="L2+L3","L2",IF($C66="L3+L4","L3",IF($C66="L1+L4","L1",""))))</f>
        <v/>
      </c>
      <c r="I66" s="57">
        <f>IF($C66="L1+L2","L2",IF($C66="L2+L3","L3",IF($C66="L3+L4","L4",IF($C66="L1+L4","L4",""))))</f>
        <v/>
      </c>
      <c r="J66" s="57">
        <f>IF($H66="","",IFERROR(INDEX(Offerte!$D$2:$D$81,MATCH($A66&amp;"|"&amp;$H66,Offerte!$L$2:$L$81,0)),0))</f>
        <v/>
      </c>
      <c r="K66" s="57">
        <f>IF($I66="","",IFERROR(INDEX(Offerte!$D$2:$D$81,MATCH($A66&amp;"|"&amp;$I66,Offerte!$L$2:$L$81,0)),0))</f>
        <v/>
      </c>
      <c r="L66" s="57">
        <f>IF($H66="","",IFERROR(INDEX(Offerte!$E$2:$E$81,MATCH($A66&amp;"|"&amp;$H66,Offerte!$L$2:$L$81,0)),0))</f>
        <v/>
      </c>
      <c r="M66" s="57">
        <f>IF($I66="","",IFERROR(INDEX(Offerte!$E$2:$E$81,MATCH($A66&amp;"|"&amp;$I66,Offerte!$L$2:$L$81,0)),0))</f>
        <v/>
      </c>
      <c r="N66" s="57">
        <f>IF($A66="","",IF(IFERROR(VALUE($D66),0)&lt;&gt;1,"NO",IF(AND(IFERROR(VALUE($J66),0)=1,IFERROR(VALUE($K66),0)=1,IFERROR(INDEX(Offerte!$G$2:$G$81,MATCH($A66&amp;"|"&amp;$H66,Offerte!$L$2:$L$81,0)),"NO")="SI",IFERROR(INDEX(Offerte!$G$2:$G$81,MATCH($A66&amp;"|"&amp;$I66,Offerte!$L$2:$L$81,0)),"NO")="SI",IFERROR(VALUE($F66),0)=1,IFERROR(VALUE($G66),0)=1,IFERROR(VALUE($E66),0)&gt;$U66),"SI","NO")))</f>
        <v/>
      </c>
      <c r="O66" s="57">
        <f>IF($N66="SI",IFERROR(30*(IFERROR(VALUE($E66),0)/MAX(SUMPRODUCT(MAX((Offerte!$C$2:$C$81=$H66)*(IFERROR(Offerte!$D$2:$D$81*1,0)=1)*(IFERROR(Offerte!$E$2:$E$81*1,0)&gt;=Parametri!$B$2)*IFERROR(Offerte!$F$2:$F$81*1,0))),SUMPRODUCT(MAX(($H$5:$H$80=$H66)*($N$5:$N$80="SI")*IFERROR($E$5:$E$80*1,0))),SUMPRODUCT(MAX(($I$5:$I$80=$H66)*($N$5:$N$80="SI")*IFERROR($E$5:$E$80*1,0))))),0),0)</f>
        <v/>
      </c>
      <c r="P66" s="57">
        <f>IF($N66="SI",IFERROR(30*(IFERROR(VALUE($E66),0)/MAX(SUMPRODUCT(MAX((Offerte!$C$2:$C$81=$I66)*(IFERROR(Offerte!$D$2:$D$81*1,0)=1)*(IFERROR(Offerte!$E$2:$E$81*1,0)&gt;=Parametri!$B$2)*IFERROR(Offerte!$F$2:$F$81*1,0))),SUMPRODUCT(MAX(($H$5:$H$80=$I66)*($N$5:$N$80="SI")*IFERROR($E$5:$E$80*1,0))),SUMPRODUCT(MAX(($I$5:$I$80=$I66)*($N$5:$N$80="SI")*IFERROR($E$5:$E$80*1,0))))),0),0)</f>
        <v/>
      </c>
      <c r="Q66" s="57">
        <f>IF($N66="SI",ROUND($L66+$M66+$O66+$P66,4),0)</f>
        <v/>
      </c>
      <c r="R66" s="57">
        <f>IF($A66="","",IF(IFERROR(VALUE($D66),0)&lt;&gt;1,"Non attiva",IF(OR(IFERROR(VALUE($J66),0)&lt;&gt;1,IFERROR(VALUE($K66),0)&lt;&gt;1),"Singoli non attivi",IF(OR(IFERROR(INDEX(Offerte!$G$2:$G$81,MATCH($A66&amp;"|"&amp;$H66,Offerte!$L$2:$L$81,0)),"NO")&lt;&gt;"SI",IFERROR(INDEX(Offerte!$G$2:$G$81,MATCH($A66&amp;"|"&amp;$I66,Offerte!$L$2:$L$81,0)),"NO")&lt;&gt;"SI"),"Soglia non superata",IF(OR(IFERROR(VALUE($F66),0)&lt;&gt;1,IFERROR(VALUE($G66),0)&lt;&gt;1),"Buste/PEF non confermati",IF(IFERROR(VALUE($E66),0)&lt;=$U66,"Ribasso non migliorativo",""))))))</f>
        <v/>
      </c>
      <c r="S66" s="57">
        <f>IF($H66="","",IFERROR(INDEX(Offerte!$F$2:$F$81,MATCH($A66&amp;"|"&amp;$H66,Offerte!$L$2:$L$81,0)),0))</f>
        <v/>
      </c>
      <c r="T66" s="57">
        <f>IF($I66="","",IFERROR(INDEX(Offerte!$F$2:$F$81,MATCH($A66&amp;"|"&amp;$I66,Offerte!$L$2:$L$81,0)),0))</f>
        <v/>
      </c>
      <c r="U66" s="57">
        <f>IF($A66="","",ROUND((IFERROR(VALUE($S66),0)+IFERROR(VALUE($T66),0))/2,4))</f>
        <v/>
      </c>
      <c r="V66" s="57">
        <f>IF($A66="","",$C66&amp;"|"&amp;TEXT($Q66,"0.0000"))</f>
        <v/>
      </c>
      <c r="W66" s="57">
        <f>IF($A66="","",$C66&amp;"|"&amp;$A66)</f>
        <v/>
      </c>
    </row>
    <row r="67">
      <c r="A67" s="73" t="n"/>
      <c r="B67" s="73">
        <f>IF($A67="","",IFERROR(INDEX(Offerte!$B$2:$B$81,MATCH($A67,Offerte!$A$2:$A$81,0)),""))</f>
        <v/>
      </c>
      <c r="C67" s="73" t="n"/>
      <c r="D67" s="73" t="n"/>
      <c r="E67" s="73" t="n"/>
      <c r="F67" s="73" t="n"/>
      <c r="G67" s="73" t="n"/>
      <c r="H67" s="57">
        <f>IF($C67="L1+L2","L1",IF($C67="L2+L3","L2",IF($C67="L3+L4","L3",IF($C67="L1+L4","L1",""))))</f>
        <v/>
      </c>
      <c r="I67" s="57">
        <f>IF($C67="L1+L2","L2",IF($C67="L2+L3","L3",IF($C67="L3+L4","L4",IF($C67="L1+L4","L4",""))))</f>
        <v/>
      </c>
      <c r="J67" s="57">
        <f>IF($H67="","",IFERROR(INDEX(Offerte!$D$2:$D$81,MATCH($A67&amp;"|"&amp;$H67,Offerte!$L$2:$L$81,0)),0))</f>
        <v/>
      </c>
      <c r="K67" s="57">
        <f>IF($I67="","",IFERROR(INDEX(Offerte!$D$2:$D$81,MATCH($A67&amp;"|"&amp;$I67,Offerte!$L$2:$L$81,0)),0))</f>
        <v/>
      </c>
      <c r="L67" s="57">
        <f>IF($H67="","",IFERROR(INDEX(Offerte!$E$2:$E$81,MATCH($A67&amp;"|"&amp;$H67,Offerte!$L$2:$L$81,0)),0))</f>
        <v/>
      </c>
      <c r="M67" s="57">
        <f>IF($I67="","",IFERROR(INDEX(Offerte!$E$2:$E$81,MATCH($A67&amp;"|"&amp;$I67,Offerte!$L$2:$L$81,0)),0))</f>
        <v/>
      </c>
      <c r="N67" s="57">
        <f>IF($A67="","",IF(IFERROR(VALUE($D67),0)&lt;&gt;1,"NO",IF(AND(IFERROR(VALUE($J67),0)=1,IFERROR(VALUE($K67),0)=1,IFERROR(INDEX(Offerte!$G$2:$G$81,MATCH($A67&amp;"|"&amp;$H67,Offerte!$L$2:$L$81,0)),"NO")="SI",IFERROR(INDEX(Offerte!$G$2:$G$81,MATCH($A67&amp;"|"&amp;$I67,Offerte!$L$2:$L$81,0)),"NO")="SI",IFERROR(VALUE($F67),0)=1,IFERROR(VALUE($G67),0)=1,IFERROR(VALUE($E67),0)&gt;$U67),"SI","NO")))</f>
        <v/>
      </c>
      <c r="O67" s="57">
        <f>IF($N67="SI",IFERROR(30*(IFERROR(VALUE($E67),0)/MAX(SUMPRODUCT(MAX((Offerte!$C$2:$C$81=$H67)*(IFERROR(Offerte!$D$2:$D$81*1,0)=1)*(IFERROR(Offerte!$E$2:$E$81*1,0)&gt;=Parametri!$B$2)*IFERROR(Offerte!$F$2:$F$81*1,0))),SUMPRODUCT(MAX(($H$5:$H$80=$H67)*($N$5:$N$80="SI")*IFERROR($E$5:$E$80*1,0))),SUMPRODUCT(MAX(($I$5:$I$80=$H67)*($N$5:$N$80="SI")*IFERROR($E$5:$E$80*1,0))))),0),0)</f>
        <v/>
      </c>
      <c r="P67" s="57">
        <f>IF($N67="SI",IFERROR(30*(IFERROR(VALUE($E67),0)/MAX(SUMPRODUCT(MAX((Offerte!$C$2:$C$81=$I67)*(IFERROR(Offerte!$D$2:$D$81*1,0)=1)*(IFERROR(Offerte!$E$2:$E$81*1,0)&gt;=Parametri!$B$2)*IFERROR(Offerte!$F$2:$F$81*1,0))),SUMPRODUCT(MAX(($H$5:$H$80=$I67)*($N$5:$N$80="SI")*IFERROR($E$5:$E$80*1,0))),SUMPRODUCT(MAX(($I$5:$I$80=$I67)*($N$5:$N$80="SI")*IFERROR($E$5:$E$80*1,0))))),0),0)</f>
        <v/>
      </c>
      <c r="Q67" s="57">
        <f>IF($N67="SI",ROUND($L67+$M67+$O67+$P67,4),0)</f>
        <v/>
      </c>
      <c r="R67" s="57">
        <f>IF($A67="","",IF(IFERROR(VALUE($D67),0)&lt;&gt;1,"Non attiva",IF(OR(IFERROR(VALUE($J67),0)&lt;&gt;1,IFERROR(VALUE($K67),0)&lt;&gt;1),"Singoli non attivi",IF(OR(IFERROR(INDEX(Offerte!$G$2:$G$81,MATCH($A67&amp;"|"&amp;$H67,Offerte!$L$2:$L$81,0)),"NO")&lt;&gt;"SI",IFERROR(INDEX(Offerte!$G$2:$G$81,MATCH($A67&amp;"|"&amp;$I67,Offerte!$L$2:$L$81,0)),"NO")&lt;&gt;"SI"),"Soglia non superata",IF(OR(IFERROR(VALUE($F67),0)&lt;&gt;1,IFERROR(VALUE($G67),0)&lt;&gt;1),"Buste/PEF non confermati",IF(IFERROR(VALUE($E67),0)&lt;=$U67,"Ribasso non migliorativo",""))))))</f>
        <v/>
      </c>
      <c r="S67" s="57">
        <f>IF($H67="","",IFERROR(INDEX(Offerte!$F$2:$F$81,MATCH($A67&amp;"|"&amp;$H67,Offerte!$L$2:$L$81,0)),0))</f>
        <v/>
      </c>
      <c r="T67" s="57">
        <f>IF($I67="","",IFERROR(INDEX(Offerte!$F$2:$F$81,MATCH($A67&amp;"|"&amp;$I67,Offerte!$L$2:$L$81,0)),0))</f>
        <v/>
      </c>
      <c r="U67" s="57">
        <f>IF($A67="","",ROUND((IFERROR(VALUE($S67),0)+IFERROR(VALUE($T67),0))/2,4))</f>
        <v/>
      </c>
      <c r="V67" s="57">
        <f>IF($A67="","",$C67&amp;"|"&amp;TEXT($Q67,"0.0000"))</f>
        <v/>
      </c>
      <c r="W67" s="57">
        <f>IF($A67="","",$C67&amp;"|"&amp;$A67)</f>
        <v/>
      </c>
    </row>
    <row r="68">
      <c r="A68" s="73" t="n"/>
      <c r="B68" s="73">
        <f>IF($A68="","",IFERROR(INDEX(Offerte!$B$2:$B$81,MATCH($A68,Offerte!$A$2:$A$81,0)),""))</f>
        <v/>
      </c>
      <c r="C68" s="73" t="n"/>
      <c r="D68" s="73" t="n"/>
      <c r="E68" s="73" t="n"/>
      <c r="F68" s="73" t="n"/>
      <c r="G68" s="73" t="n"/>
      <c r="H68" s="57">
        <f>IF($C68="L1+L2","L1",IF($C68="L2+L3","L2",IF($C68="L3+L4","L3",IF($C68="L1+L4","L1",""))))</f>
        <v/>
      </c>
      <c r="I68" s="57">
        <f>IF($C68="L1+L2","L2",IF($C68="L2+L3","L3",IF($C68="L3+L4","L4",IF($C68="L1+L4","L4",""))))</f>
        <v/>
      </c>
      <c r="J68" s="57">
        <f>IF($H68="","",IFERROR(INDEX(Offerte!$D$2:$D$81,MATCH($A68&amp;"|"&amp;$H68,Offerte!$L$2:$L$81,0)),0))</f>
        <v/>
      </c>
      <c r="K68" s="57">
        <f>IF($I68="","",IFERROR(INDEX(Offerte!$D$2:$D$81,MATCH($A68&amp;"|"&amp;$I68,Offerte!$L$2:$L$81,0)),0))</f>
        <v/>
      </c>
      <c r="L68" s="57">
        <f>IF($H68="","",IFERROR(INDEX(Offerte!$E$2:$E$81,MATCH($A68&amp;"|"&amp;$H68,Offerte!$L$2:$L$81,0)),0))</f>
        <v/>
      </c>
      <c r="M68" s="57">
        <f>IF($I68="","",IFERROR(INDEX(Offerte!$E$2:$E$81,MATCH($A68&amp;"|"&amp;$I68,Offerte!$L$2:$L$81,0)),0))</f>
        <v/>
      </c>
      <c r="N68" s="57">
        <f>IF($A68="","",IF(IFERROR(VALUE($D68),0)&lt;&gt;1,"NO",IF(AND(IFERROR(VALUE($J68),0)=1,IFERROR(VALUE($K68),0)=1,IFERROR(INDEX(Offerte!$G$2:$G$81,MATCH($A68&amp;"|"&amp;$H68,Offerte!$L$2:$L$81,0)),"NO")="SI",IFERROR(INDEX(Offerte!$G$2:$G$81,MATCH($A68&amp;"|"&amp;$I68,Offerte!$L$2:$L$81,0)),"NO")="SI",IFERROR(VALUE($F68),0)=1,IFERROR(VALUE($G68),0)=1,IFERROR(VALUE($E68),0)&gt;$U68),"SI","NO")))</f>
        <v/>
      </c>
      <c r="O68" s="57">
        <f>IF($N68="SI",IFERROR(30*(IFERROR(VALUE($E68),0)/MAX(SUMPRODUCT(MAX((Offerte!$C$2:$C$81=$H68)*(IFERROR(Offerte!$D$2:$D$81*1,0)=1)*(IFERROR(Offerte!$E$2:$E$81*1,0)&gt;=Parametri!$B$2)*IFERROR(Offerte!$F$2:$F$81*1,0))),SUMPRODUCT(MAX(($H$5:$H$80=$H68)*($N$5:$N$80="SI")*IFERROR($E$5:$E$80*1,0))),SUMPRODUCT(MAX(($I$5:$I$80=$H68)*($N$5:$N$80="SI")*IFERROR($E$5:$E$80*1,0))))),0),0)</f>
        <v/>
      </c>
      <c r="P68" s="57">
        <f>IF($N68="SI",IFERROR(30*(IFERROR(VALUE($E68),0)/MAX(SUMPRODUCT(MAX((Offerte!$C$2:$C$81=$I68)*(IFERROR(Offerte!$D$2:$D$81*1,0)=1)*(IFERROR(Offerte!$E$2:$E$81*1,0)&gt;=Parametri!$B$2)*IFERROR(Offerte!$F$2:$F$81*1,0))),SUMPRODUCT(MAX(($H$5:$H$80=$I68)*($N$5:$N$80="SI")*IFERROR($E$5:$E$80*1,0))),SUMPRODUCT(MAX(($I$5:$I$80=$I68)*($N$5:$N$80="SI")*IFERROR($E$5:$E$80*1,0))))),0),0)</f>
        <v/>
      </c>
      <c r="Q68" s="57">
        <f>IF($N68="SI",ROUND($L68+$M68+$O68+$P68,4),0)</f>
        <v/>
      </c>
      <c r="R68" s="57">
        <f>IF($A68="","",IF(IFERROR(VALUE($D68),0)&lt;&gt;1,"Non attiva",IF(OR(IFERROR(VALUE($J68),0)&lt;&gt;1,IFERROR(VALUE($K68),0)&lt;&gt;1),"Singoli non attivi",IF(OR(IFERROR(INDEX(Offerte!$G$2:$G$81,MATCH($A68&amp;"|"&amp;$H68,Offerte!$L$2:$L$81,0)),"NO")&lt;&gt;"SI",IFERROR(INDEX(Offerte!$G$2:$G$81,MATCH($A68&amp;"|"&amp;$I68,Offerte!$L$2:$L$81,0)),"NO")&lt;&gt;"SI"),"Soglia non superata",IF(OR(IFERROR(VALUE($F68),0)&lt;&gt;1,IFERROR(VALUE($G68),0)&lt;&gt;1),"Buste/PEF non confermati",IF(IFERROR(VALUE($E68),0)&lt;=$U68,"Ribasso non migliorativo",""))))))</f>
        <v/>
      </c>
      <c r="S68" s="57">
        <f>IF($H68="","",IFERROR(INDEX(Offerte!$F$2:$F$81,MATCH($A68&amp;"|"&amp;$H68,Offerte!$L$2:$L$81,0)),0))</f>
        <v/>
      </c>
      <c r="T68" s="57">
        <f>IF($I68="","",IFERROR(INDEX(Offerte!$F$2:$F$81,MATCH($A68&amp;"|"&amp;$I68,Offerte!$L$2:$L$81,0)),0))</f>
        <v/>
      </c>
      <c r="U68" s="57">
        <f>IF($A68="","",ROUND((IFERROR(VALUE($S68),0)+IFERROR(VALUE($T68),0))/2,4))</f>
        <v/>
      </c>
      <c r="V68" s="57">
        <f>IF($A68="","",$C68&amp;"|"&amp;TEXT($Q68,"0.0000"))</f>
        <v/>
      </c>
      <c r="W68" s="57">
        <f>IF($A68="","",$C68&amp;"|"&amp;$A68)</f>
        <v/>
      </c>
    </row>
    <row r="69">
      <c r="A69" s="73" t="n"/>
      <c r="B69" s="73">
        <f>IF($A69="","",IFERROR(INDEX(Offerte!$B$2:$B$81,MATCH($A69,Offerte!$A$2:$A$81,0)),""))</f>
        <v/>
      </c>
      <c r="C69" s="73" t="n"/>
      <c r="D69" s="73" t="n"/>
      <c r="E69" s="73" t="n"/>
      <c r="F69" s="73" t="n"/>
      <c r="G69" s="73" t="n"/>
      <c r="H69" s="57">
        <f>IF($C69="L1+L2","L1",IF($C69="L2+L3","L2",IF($C69="L3+L4","L3",IF($C69="L1+L4","L1",""))))</f>
        <v/>
      </c>
      <c r="I69" s="57">
        <f>IF($C69="L1+L2","L2",IF($C69="L2+L3","L3",IF($C69="L3+L4","L4",IF($C69="L1+L4","L4",""))))</f>
        <v/>
      </c>
      <c r="J69" s="57">
        <f>IF($H69="","",IFERROR(INDEX(Offerte!$D$2:$D$81,MATCH($A69&amp;"|"&amp;$H69,Offerte!$L$2:$L$81,0)),0))</f>
        <v/>
      </c>
      <c r="K69" s="57">
        <f>IF($I69="","",IFERROR(INDEX(Offerte!$D$2:$D$81,MATCH($A69&amp;"|"&amp;$I69,Offerte!$L$2:$L$81,0)),0))</f>
        <v/>
      </c>
      <c r="L69" s="57">
        <f>IF($H69="","",IFERROR(INDEX(Offerte!$E$2:$E$81,MATCH($A69&amp;"|"&amp;$H69,Offerte!$L$2:$L$81,0)),0))</f>
        <v/>
      </c>
      <c r="M69" s="57">
        <f>IF($I69="","",IFERROR(INDEX(Offerte!$E$2:$E$81,MATCH($A69&amp;"|"&amp;$I69,Offerte!$L$2:$L$81,0)),0))</f>
        <v/>
      </c>
      <c r="N69" s="57">
        <f>IF($A69="","",IF(IFERROR(VALUE($D69),0)&lt;&gt;1,"NO",IF(AND(IFERROR(VALUE($J69),0)=1,IFERROR(VALUE($K69),0)=1,IFERROR(INDEX(Offerte!$G$2:$G$81,MATCH($A69&amp;"|"&amp;$H69,Offerte!$L$2:$L$81,0)),"NO")="SI",IFERROR(INDEX(Offerte!$G$2:$G$81,MATCH($A69&amp;"|"&amp;$I69,Offerte!$L$2:$L$81,0)),"NO")="SI",IFERROR(VALUE($F69),0)=1,IFERROR(VALUE($G69),0)=1,IFERROR(VALUE($E69),0)&gt;$U69),"SI","NO")))</f>
        <v/>
      </c>
      <c r="O69" s="57">
        <f>IF($N69="SI",IFERROR(30*(IFERROR(VALUE($E69),0)/MAX(SUMPRODUCT(MAX((Offerte!$C$2:$C$81=$H69)*(IFERROR(Offerte!$D$2:$D$81*1,0)=1)*(IFERROR(Offerte!$E$2:$E$81*1,0)&gt;=Parametri!$B$2)*IFERROR(Offerte!$F$2:$F$81*1,0))),SUMPRODUCT(MAX(($H$5:$H$80=$H69)*($N$5:$N$80="SI")*IFERROR($E$5:$E$80*1,0))),SUMPRODUCT(MAX(($I$5:$I$80=$H69)*($N$5:$N$80="SI")*IFERROR($E$5:$E$80*1,0))))),0),0)</f>
        <v/>
      </c>
      <c r="P69" s="57">
        <f>IF($N69="SI",IFERROR(30*(IFERROR(VALUE($E69),0)/MAX(SUMPRODUCT(MAX((Offerte!$C$2:$C$81=$I69)*(IFERROR(Offerte!$D$2:$D$81*1,0)=1)*(IFERROR(Offerte!$E$2:$E$81*1,0)&gt;=Parametri!$B$2)*IFERROR(Offerte!$F$2:$F$81*1,0))),SUMPRODUCT(MAX(($H$5:$H$80=$I69)*($N$5:$N$80="SI")*IFERROR($E$5:$E$80*1,0))),SUMPRODUCT(MAX(($I$5:$I$80=$I69)*($N$5:$N$80="SI")*IFERROR($E$5:$E$80*1,0))))),0),0)</f>
        <v/>
      </c>
      <c r="Q69" s="57">
        <f>IF($N69="SI",ROUND($L69+$M69+$O69+$P69,4),0)</f>
        <v/>
      </c>
      <c r="R69" s="57">
        <f>IF($A69="","",IF(IFERROR(VALUE($D69),0)&lt;&gt;1,"Non attiva",IF(OR(IFERROR(VALUE($J69),0)&lt;&gt;1,IFERROR(VALUE($K69),0)&lt;&gt;1),"Singoli non attivi",IF(OR(IFERROR(INDEX(Offerte!$G$2:$G$81,MATCH($A69&amp;"|"&amp;$H69,Offerte!$L$2:$L$81,0)),"NO")&lt;&gt;"SI",IFERROR(INDEX(Offerte!$G$2:$G$81,MATCH($A69&amp;"|"&amp;$I69,Offerte!$L$2:$L$81,0)),"NO")&lt;&gt;"SI"),"Soglia non superata",IF(OR(IFERROR(VALUE($F69),0)&lt;&gt;1,IFERROR(VALUE($G69),0)&lt;&gt;1),"Buste/PEF non confermati",IF(IFERROR(VALUE($E69),0)&lt;=$U69,"Ribasso non migliorativo",""))))))</f>
        <v/>
      </c>
      <c r="S69" s="57">
        <f>IF($H69="","",IFERROR(INDEX(Offerte!$F$2:$F$81,MATCH($A69&amp;"|"&amp;$H69,Offerte!$L$2:$L$81,0)),0))</f>
        <v/>
      </c>
      <c r="T69" s="57">
        <f>IF($I69="","",IFERROR(INDEX(Offerte!$F$2:$F$81,MATCH($A69&amp;"|"&amp;$I69,Offerte!$L$2:$L$81,0)),0))</f>
        <v/>
      </c>
      <c r="U69" s="57">
        <f>IF($A69="","",ROUND((IFERROR(VALUE($S69),0)+IFERROR(VALUE($T69),0))/2,4))</f>
        <v/>
      </c>
      <c r="V69" s="57">
        <f>IF($A69="","",$C69&amp;"|"&amp;TEXT($Q69,"0.0000"))</f>
        <v/>
      </c>
      <c r="W69" s="57">
        <f>IF($A69="","",$C69&amp;"|"&amp;$A69)</f>
        <v/>
      </c>
    </row>
    <row r="70">
      <c r="A70" s="73" t="n"/>
      <c r="B70" s="73">
        <f>IF($A70="","",IFERROR(INDEX(Offerte!$B$2:$B$81,MATCH($A70,Offerte!$A$2:$A$81,0)),""))</f>
        <v/>
      </c>
      <c r="C70" s="73" t="n"/>
      <c r="D70" s="73" t="n"/>
      <c r="E70" s="73" t="n"/>
      <c r="F70" s="73" t="n"/>
      <c r="G70" s="73" t="n"/>
      <c r="H70" s="57">
        <f>IF($C70="L1+L2","L1",IF($C70="L2+L3","L2",IF($C70="L3+L4","L3",IF($C70="L1+L4","L1",""))))</f>
        <v/>
      </c>
      <c r="I70" s="57">
        <f>IF($C70="L1+L2","L2",IF($C70="L2+L3","L3",IF($C70="L3+L4","L4",IF($C70="L1+L4","L4",""))))</f>
        <v/>
      </c>
      <c r="J70" s="57">
        <f>IF($H70="","",IFERROR(INDEX(Offerte!$D$2:$D$81,MATCH($A70&amp;"|"&amp;$H70,Offerte!$L$2:$L$81,0)),0))</f>
        <v/>
      </c>
      <c r="K70" s="57">
        <f>IF($I70="","",IFERROR(INDEX(Offerte!$D$2:$D$81,MATCH($A70&amp;"|"&amp;$I70,Offerte!$L$2:$L$81,0)),0))</f>
        <v/>
      </c>
      <c r="L70" s="57">
        <f>IF($H70="","",IFERROR(INDEX(Offerte!$E$2:$E$81,MATCH($A70&amp;"|"&amp;$H70,Offerte!$L$2:$L$81,0)),0))</f>
        <v/>
      </c>
      <c r="M70" s="57">
        <f>IF($I70="","",IFERROR(INDEX(Offerte!$E$2:$E$81,MATCH($A70&amp;"|"&amp;$I70,Offerte!$L$2:$L$81,0)),0))</f>
        <v/>
      </c>
      <c r="N70" s="57">
        <f>IF($A70="","",IF(IFERROR(VALUE($D70),0)&lt;&gt;1,"NO",IF(AND(IFERROR(VALUE($J70),0)=1,IFERROR(VALUE($K70),0)=1,IFERROR(INDEX(Offerte!$G$2:$G$81,MATCH($A70&amp;"|"&amp;$H70,Offerte!$L$2:$L$81,0)),"NO")="SI",IFERROR(INDEX(Offerte!$G$2:$G$81,MATCH($A70&amp;"|"&amp;$I70,Offerte!$L$2:$L$81,0)),"NO")="SI",IFERROR(VALUE($F70),0)=1,IFERROR(VALUE($G70),0)=1,IFERROR(VALUE($E70),0)&gt;$U70),"SI","NO")))</f>
        <v/>
      </c>
      <c r="O70" s="57">
        <f>IF($N70="SI",IFERROR(30*(IFERROR(VALUE($E70),0)/MAX(SUMPRODUCT(MAX((Offerte!$C$2:$C$81=$H70)*(IFERROR(Offerte!$D$2:$D$81*1,0)=1)*(IFERROR(Offerte!$E$2:$E$81*1,0)&gt;=Parametri!$B$2)*IFERROR(Offerte!$F$2:$F$81*1,0))),SUMPRODUCT(MAX(($H$5:$H$80=$H70)*($N$5:$N$80="SI")*IFERROR($E$5:$E$80*1,0))),SUMPRODUCT(MAX(($I$5:$I$80=$H70)*($N$5:$N$80="SI")*IFERROR($E$5:$E$80*1,0))))),0),0)</f>
        <v/>
      </c>
      <c r="P70" s="57">
        <f>IF($N70="SI",IFERROR(30*(IFERROR(VALUE($E70),0)/MAX(SUMPRODUCT(MAX((Offerte!$C$2:$C$81=$I70)*(IFERROR(Offerte!$D$2:$D$81*1,0)=1)*(IFERROR(Offerte!$E$2:$E$81*1,0)&gt;=Parametri!$B$2)*IFERROR(Offerte!$F$2:$F$81*1,0))),SUMPRODUCT(MAX(($H$5:$H$80=$I70)*($N$5:$N$80="SI")*IFERROR($E$5:$E$80*1,0))),SUMPRODUCT(MAX(($I$5:$I$80=$I70)*($N$5:$N$80="SI")*IFERROR($E$5:$E$80*1,0))))),0),0)</f>
        <v/>
      </c>
      <c r="Q70" s="57">
        <f>IF($N70="SI",ROUND($L70+$M70+$O70+$P70,4),0)</f>
        <v/>
      </c>
      <c r="R70" s="57">
        <f>IF($A70="","",IF(IFERROR(VALUE($D70),0)&lt;&gt;1,"Non attiva",IF(OR(IFERROR(VALUE($J70),0)&lt;&gt;1,IFERROR(VALUE($K70),0)&lt;&gt;1),"Singoli non attivi",IF(OR(IFERROR(INDEX(Offerte!$G$2:$G$81,MATCH($A70&amp;"|"&amp;$H70,Offerte!$L$2:$L$81,0)),"NO")&lt;&gt;"SI",IFERROR(INDEX(Offerte!$G$2:$G$81,MATCH($A70&amp;"|"&amp;$I70,Offerte!$L$2:$L$81,0)),"NO")&lt;&gt;"SI"),"Soglia non superata",IF(OR(IFERROR(VALUE($F70),0)&lt;&gt;1,IFERROR(VALUE($G70),0)&lt;&gt;1),"Buste/PEF non confermati",IF(IFERROR(VALUE($E70),0)&lt;=$U70,"Ribasso non migliorativo",""))))))</f>
        <v/>
      </c>
      <c r="S70" s="57">
        <f>IF($H70="","",IFERROR(INDEX(Offerte!$F$2:$F$81,MATCH($A70&amp;"|"&amp;$H70,Offerte!$L$2:$L$81,0)),0))</f>
        <v/>
      </c>
      <c r="T70" s="57">
        <f>IF($I70="","",IFERROR(INDEX(Offerte!$F$2:$F$81,MATCH($A70&amp;"|"&amp;$I70,Offerte!$L$2:$L$81,0)),0))</f>
        <v/>
      </c>
      <c r="U70" s="57">
        <f>IF($A70="","",ROUND((IFERROR(VALUE($S70),0)+IFERROR(VALUE($T70),0))/2,4))</f>
        <v/>
      </c>
      <c r="V70" s="57">
        <f>IF($A70="","",$C70&amp;"|"&amp;TEXT($Q70,"0.0000"))</f>
        <v/>
      </c>
      <c r="W70" s="57">
        <f>IF($A70="","",$C70&amp;"|"&amp;$A70)</f>
        <v/>
      </c>
    </row>
    <row r="71">
      <c r="A71" s="73" t="n"/>
      <c r="B71" s="73">
        <f>IF($A71="","",IFERROR(INDEX(Offerte!$B$2:$B$81,MATCH($A71,Offerte!$A$2:$A$81,0)),""))</f>
        <v/>
      </c>
      <c r="C71" s="73" t="n"/>
      <c r="D71" s="73" t="n"/>
      <c r="E71" s="73" t="n"/>
      <c r="F71" s="73" t="n"/>
      <c r="G71" s="73" t="n"/>
      <c r="H71" s="57">
        <f>IF($C71="L1+L2","L1",IF($C71="L2+L3","L2",IF($C71="L3+L4","L3",IF($C71="L1+L4","L1",""))))</f>
        <v/>
      </c>
      <c r="I71" s="57">
        <f>IF($C71="L1+L2","L2",IF($C71="L2+L3","L3",IF($C71="L3+L4","L4",IF($C71="L1+L4","L4",""))))</f>
        <v/>
      </c>
      <c r="J71" s="57">
        <f>IF($H71="","",IFERROR(INDEX(Offerte!$D$2:$D$81,MATCH($A71&amp;"|"&amp;$H71,Offerte!$L$2:$L$81,0)),0))</f>
        <v/>
      </c>
      <c r="K71" s="57">
        <f>IF($I71="","",IFERROR(INDEX(Offerte!$D$2:$D$81,MATCH($A71&amp;"|"&amp;$I71,Offerte!$L$2:$L$81,0)),0))</f>
        <v/>
      </c>
      <c r="L71" s="57">
        <f>IF($H71="","",IFERROR(INDEX(Offerte!$E$2:$E$81,MATCH($A71&amp;"|"&amp;$H71,Offerte!$L$2:$L$81,0)),0))</f>
        <v/>
      </c>
      <c r="M71" s="57">
        <f>IF($I71="","",IFERROR(INDEX(Offerte!$E$2:$E$81,MATCH($A71&amp;"|"&amp;$I71,Offerte!$L$2:$L$81,0)),0))</f>
        <v/>
      </c>
      <c r="N71" s="57">
        <f>IF($A71="","",IF(IFERROR(VALUE($D71),0)&lt;&gt;1,"NO",IF(AND(IFERROR(VALUE($J71),0)=1,IFERROR(VALUE($K71),0)=1,IFERROR(INDEX(Offerte!$G$2:$G$81,MATCH($A71&amp;"|"&amp;$H71,Offerte!$L$2:$L$81,0)),"NO")="SI",IFERROR(INDEX(Offerte!$G$2:$G$81,MATCH($A71&amp;"|"&amp;$I71,Offerte!$L$2:$L$81,0)),"NO")="SI",IFERROR(VALUE($F71),0)=1,IFERROR(VALUE($G71),0)=1,IFERROR(VALUE($E71),0)&gt;$U71),"SI","NO")))</f>
        <v/>
      </c>
      <c r="O71" s="57">
        <f>IF($N71="SI",IFERROR(30*(IFERROR(VALUE($E71),0)/MAX(SUMPRODUCT(MAX((Offerte!$C$2:$C$81=$H71)*(IFERROR(Offerte!$D$2:$D$81*1,0)=1)*(IFERROR(Offerte!$E$2:$E$81*1,0)&gt;=Parametri!$B$2)*IFERROR(Offerte!$F$2:$F$81*1,0))),SUMPRODUCT(MAX(($H$5:$H$80=$H71)*($N$5:$N$80="SI")*IFERROR($E$5:$E$80*1,0))),SUMPRODUCT(MAX(($I$5:$I$80=$H71)*($N$5:$N$80="SI")*IFERROR($E$5:$E$80*1,0))))),0),0)</f>
        <v/>
      </c>
      <c r="P71" s="57">
        <f>IF($N71="SI",IFERROR(30*(IFERROR(VALUE($E71),0)/MAX(SUMPRODUCT(MAX((Offerte!$C$2:$C$81=$I71)*(IFERROR(Offerte!$D$2:$D$81*1,0)=1)*(IFERROR(Offerte!$E$2:$E$81*1,0)&gt;=Parametri!$B$2)*IFERROR(Offerte!$F$2:$F$81*1,0))),SUMPRODUCT(MAX(($H$5:$H$80=$I71)*($N$5:$N$80="SI")*IFERROR($E$5:$E$80*1,0))),SUMPRODUCT(MAX(($I$5:$I$80=$I71)*($N$5:$N$80="SI")*IFERROR($E$5:$E$80*1,0))))),0),0)</f>
        <v/>
      </c>
      <c r="Q71" s="57">
        <f>IF($N71="SI",ROUND($L71+$M71+$O71+$P71,4),0)</f>
        <v/>
      </c>
      <c r="R71" s="57">
        <f>IF($A71="","",IF(IFERROR(VALUE($D71),0)&lt;&gt;1,"Non attiva",IF(OR(IFERROR(VALUE($J71),0)&lt;&gt;1,IFERROR(VALUE($K71),0)&lt;&gt;1),"Singoli non attivi",IF(OR(IFERROR(INDEX(Offerte!$G$2:$G$81,MATCH($A71&amp;"|"&amp;$H71,Offerte!$L$2:$L$81,0)),"NO")&lt;&gt;"SI",IFERROR(INDEX(Offerte!$G$2:$G$81,MATCH($A71&amp;"|"&amp;$I71,Offerte!$L$2:$L$81,0)),"NO")&lt;&gt;"SI"),"Soglia non superata",IF(OR(IFERROR(VALUE($F71),0)&lt;&gt;1,IFERROR(VALUE($G71),0)&lt;&gt;1),"Buste/PEF non confermati",IF(IFERROR(VALUE($E71),0)&lt;=$U71,"Ribasso non migliorativo",""))))))</f>
        <v/>
      </c>
      <c r="S71" s="57">
        <f>IF($H71="","",IFERROR(INDEX(Offerte!$F$2:$F$81,MATCH($A71&amp;"|"&amp;$H71,Offerte!$L$2:$L$81,0)),0))</f>
        <v/>
      </c>
      <c r="T71" s="57">
        <f>IF($I71="","",IFERROR(INDEX(Offerte!$F$2:$F$81,MATCH($A71&amp;"|"&amp;$I71,Offerte!$L$2:$L$81,0)),0))</f>
        <v/>
      </c>
      <c r="U71" s="57">
        <f>IF($A71="","",ROUND((IFERROR(VALUE($S71),0)+IFERROR(VALUE($T71),0))/2,4))</f>
        <v/>
      </c>
      <c r="V71" s="57">
        <f>IF($A71="","",$C71&amp;"|"&amp;TEXT($Q71,"0.0000"))</f>
        <v/>
      </c>
      <c r="W71" s="57">
        <f>IF($A71="","",$C71&amp;"|"&amp;$A71)</f>
        <v/>
      </c>
    </row>
    <row r="72">
      <c r="A72" s="73" t="n"/>
      <c r="B72" s="73">
        <f>IF($A72="","",IFERROR(INDEX(Offerte!$B$2:$B$81,MATCH($A72,Offerte!$A$2:$A$81,0)),""))</f>
        <v/>
      </c>
      <c r="C72" s="73" t="n"/>
      <c r="D72" s="73" t="n"/>
      <c r="E72" s="73" t="n"/>
      <c r="F72" s="73" t="n"/>
      <c r="G72" s="73" t="n"/>
      <c r="H72" s="57">
        <f>IF($C72="L1+L2","L1",IF($C72="L2+L3","L2",IF($C72="L3+L4","L3",IF($C72="L1+L4","L1",""))))</f>
        <v/>
      </c>
      <c r="I72" s="57">
        <f>IF($C72="L1+L2","L2",IF($C72="L2+L3","L3",IF($C72="L3+L4","L4",IF($C72="L1+L4","L4",""))))</f>
        <v/>
      </c>
      <c r="J72" s="57">
        <f>IF($H72="","",IFERROR(INDEX(Offerte!$D$2:$D$81,MATCH($A72&amp;"|"&amp;$H72,Offerte!$L$2:$L$81,0)),0))</f>
        <v/>
      </c>
      <c r="K72" s="57">
        <f>IF($I72="","",IFERROR(INDEX(Offerte!$D$2:$D$81,MATCH($A72&amp;"|"&amp;$I72,Offerte!$L$2:$L$81,0)),0))</f>
        <v/>
      </c>
      <c r="L72" s="57">
        <f>IF($H72="","",IFERROR(INDEX(Offerte!$E$2:$E$81,MATCH($A72&amp;"|"&amp;$H72,Offerte!$L$2:$L$81,0)),0))</f>
        <v/>
      </c>
      <c r="M72" s="57">
        <f>IF($I72="","",IFERROR(INDEX(Offerte!$E$2:$E$81,MATCH($A72&amp;"|"&amp;$I72,Offerte!$L$2:$L$81,0)),0))</f>
        <v/>
      </c>
      <c r="N72" s="57">
        <f>IF($A72="","",IF(IFERROR(VALUE($D72),0)&lt;&gt;1,"NO",IF(AND(IFERROR(VALUE($J72),0)=1,IFERROR(VALUE($K72),0)=1,IFERROR(INDEX(Offerte!$G$2:$G$81,MATCH($A72&amp;"|"&amp;$H72,Offerte!$L$2:$L$81,0)),"NO")="SI",IFERROR(INDEX(Offerte!$G$2:$G$81,MATCH($A72&amp;"|"&amp;$I72,Offerte!$L$2:$L$81,0)),"NO")="SI",IFERROR(VALUE($F72),0)=1,IFERROR(VALUE($G72),0)=1,IFERROR(VALUE($E72),0)&gt;$U72),"SI","NO")))</f>
        <v/>
      </c>
      <c r="O72" s="57">
        <f>IF($N72="SI",IFERROR(30*(IFERROR(VALUE($E72),0)/MAX(SUMPRODUCT(MAX((Offerte!$C$2:$C$81=$H72)*(IFERROR(Offerte!$D$2:$D$81*1,0)=1)*(IFERROR(Offerte!$E$2:$E$81*1,0)&gt;=Parametri!$B$2)*IFERROR(Offerte!$F$2:$F$81*1,0))),SUMPRODUCT(MAX(($H$5:$H$80=$H72)*($N$5:$N$80="SI")*IFERROR($E$5:$E$80*1,0))),SUMPRODUCT(MAX(($I$5:$I$80=$H72)*($N$5:$N$80="SI")*IFERROR($E$5:$E$80*1,0))))),0),0)</f>
        <v/>
      </c>
      <c r="P72" s="57">
        <f>IF($N72="SI",IFERROR(30*(IFERROR(VALUE($E72),0)/MAX(SUMPRODUCT(MAX((Offerte!$C$2:$C$81=$I72)*(IFERROR(Offerte!$D$2:$D$81*1,0)=1)*(IFERROR(Offerte!$E$2:$E$81*1,0)&gt;=Parametri!$B$2)*IFERROR(Offerte!$F$2:$F$81*1,0))),SUMPRODUCT(MAX(($H$5:$H$80=$I72)*($N$5:$N$80="SI")*IFERROR($E$5:$E$80*1,0))),SUMPRODUCT(MAX(($I$5:$I$80=$I72)*($N$5:$N$80="SI")*IFERROR($E$5:$E$80*1,0))))),0),0)</f>
        <v/>
      </c>
      <c r="Q72" s="57">
        <f>IF($N72="SI",ROUND($L72+$M72+$O72+$P72,4),0)</f>
        <v/>
      </c>
      <c r="R72" s="57">
        <f>IF($A72="","",IF(IFERROR(VALUE($D72),0)&lt;&gt;1,"Non attiva",IF(OR(IFERROR(VALUE($J72),0)&lt;&gt;1,IFERROR(VALUE($K72),0)&lt;&gt;1),"Singoli non attivi",IF(OR(IFERROR(INDEX(Offerte!$G$2:$G$81,MATCH($A72&amp;"|"&amp;$H72,Offerte!$L$2:$L$81,0)),"NO")&lt;&gt;"SI",IFERROR(INDEX(Offerte!$G$2:$G$81,MATCH($A72&amp;"|"&amp;$I72,Offerte!$L$2:$L$81,0)),"NO")&lt;&gt;"SI"),"Soglia non superata",IF(OR(IFERROR(VALUE($F72),0)&lt;&gt;1,IFERROR(VALUE($G72),0)&lt;&gt;1),"Buste/PEF non confermati",IF(IFERROR(VALUE($E72),0)&lt;=$U72,"Ribasso non migliorativo",""))))))</f>
        <v/>
      </c>
      <c r="S72" s="57">
        <f>IF($H72="","",IFERROR(INDEX(Offerte!$F$2:$F$81,MATCH($A72&amp;"|"&amp;$H72,Offerte!$L$2:$L$81,0)),0))</f>
        <v/>
      </c>
      <c r="T72" s="57">
        <f>IF($I72="","",IFERROR(INDEX(Offerte!$F$2:$F$81,MATCH($A72&amp;"|"&amp;$I72,Offerte!$L$2:$L$81,0)),0))</f>
        <v/>
      </c>
      <c r="U72" s="57">
        <f>IF($A72="","",ROUND((IFERROR(VALUE($S72),0)+IFERROR(VALUE($T72),0))/2,4))</f>
        <v/>
      </c>
      <c r="V72" s="57">
        <f>IF($A72="","",$C72&amp;"|"&amp;TEXT($Q72,"0.0000"))</f>
        <v/>
      </c>
      <c r="W72" s="57">
        <f>IF($A72="","",$C72&amp;"|"&amp;$A72)</f>
        <v/>
      </c>
    </row>
    <row r="73">
      <c r="A73" s="73" t="n"/>
      <c r="B73" s="73">
        <f>IF($A73="","",IFERROR(INDEX(Offerte!$B$2:$B$81,MATCH($A73,Offerte!$A$2:$A$81,0)),""))</f>
        <v/>
      </c>
      <c r="C73" s="73" t="n"/>
      <c r="D73" s="73" t="n"/>
      <c r="E73" s="73" t="n"/>
      <c r="F73" s="73" t="n"/>
      <c r="G73" s="73" t="n"/>
      <c r="H73" s="57">
        <f>IF($C73="L1+L2","L1",IF($C73="L2+L3","L2",IF($C73="L3+L4","L3",IF($C73="L1+L4","L1",""))))</f>
        <v/>
      </c>
      <c r="I73" s="57">
        <f>IF($C73="L1+L2","L2",IF($C73="L2+L3","L3",IF($C73="L3+L4","L4",IF($C73="L1+L4","L4",""))))</f>
        <v/>
      </c>
      <c r="J73" s="57">
        <f>IF($H73="","",IFERROR(INDEX(Offerte!$D$2:$D$81,MATCH($A73&amp;"|"&amp;$H73,Offerte!$L$2:$L$81,0)),0))</f>
        <v/>
      </c>
      <c r="K73" s="57">
        <f>IF($I73="","",IFERROR(INDEX(Offerte!$D$2:$D$81,MATCH($A73&amp;"|"&amp;$I73,Offerte!$L$2:$L$81,0)),0))</f>
        <v/>
      </c>
      <c r="L73" s="57">
        <f>IF($H73="","",IFERROR(INDEX(Offerte!$E$2:$E$81,MATCH($A73&amp;"|"&amp;$H73,Offerte!$L$2:$L$81,0)),0))</f>
        <v/>
      </c>
      <c r="M73" s="57">
        <f>IF($I73="","",IFERROR(INDEX(Offerte!$E$2:$E$81,MATCH($A73&amp;"|"&amp;$I73,Offerte!$L$2:$L$81,0)),0))</f>
        <v/>
      </c>
      <c r="N73" s="57">
        <f>IF($A73="","",IF(IFERROR(VALUE($D73),0)&lt;&gt;1,"NO",IF(AND(IFERROR(VALUE($J73),0)=1,IFERROR(VALUE($K73),0)=1,IFERROR(INDEX(Offerte!$G$2:$G$81,MATCH($A73&amp;"|"&amp;$H73,Offerte!$L$2:$L$81,0)),"NO")="SI",IFERROR(INDEX(Offerte!$G$2:$G$81,MATCH($A73&amp;"|"&amp;$I73,Offerte!$L$2:$L$81,0)),"NO")="SI",IFERROR(VALUE($F73),0)=1,IFERROR(VALUE($G73),0)=1,IFERROR(VALUE($E73),0)&gt;$U73),"SI","NO")))</f>
        <v/>
      </c>
      <c r="O73" s="57">
        <f>IF($N73="SI",IFERROR(30*(IFERROR(VALUE($E73),0)/MAX(SUMPRODUCT(MAX((Offerte!$C$2:$C$81=$H73)*(IFERROR(Offerte!$D$2:$D$81*1,0)=1)*(IFERROR(Offerte!$E$2:$E$81*1,0)&gt;=Parametri!$B$2)*IFERROR(Offerte!$F$2:$F$81*1,0))),SUMPRODUCT(MAX(($H$5:$H$80=$H73)*($N$5:$N$80="SI")*IFERROR($E$5:$E$80*1,0))),SUMPRODUCT(MAX(($I$5:$I$80=$H73)*($N$5:$N$80="SI")*IFERROR($E$5:$E$80*1,0))))),0),0)</f>
        <v/>
      </c>
      <c r="P73" s="57">
        <f>IF($N73="SI",IFERROR(30*(IFERROR(VALUE($E73),0)/MAX(SUMPRODUCT(MAX((Offerte!$C$2:$C$81=$I73)*(IFERROR(Offerte!$D$2:$D$81*1,0)=1)*(IFERROR(Offerte!$E$2:$E$81*1,0)&gt;=Parametri!$B$2)*IFERROR(Offerte!$F$2:$F$81*1,0))),SUMPRODUCT(MAX(($H$5:$H$80=$I73)*($N$5:$N$80="SI")*IFERROR($E$5:$E$80*1,0))),SUMPRODUCT(MAX(($I$5:$I$80=$I73)*($N$5:$N$80="SI")*IFERROR($E$5:$E$80*1,0))))),0),0)</f>
        <v/>
      </c>
      <c r="Q73" s="57">
        <f>IF($N73="SI",ROUND($L73+$M73+$O73+$P73,4),0)</f>
        <v/>
      </c>
      <c r="R73" s="57">
        <f>IF($A73="","",IF(IFERROR(VALUE($D73),0)&lt;&gt;1,"Non attiva",IF(OR(IFERROR(VALUE($J73),0)&lt;&gt;1,IFERROR(VALUE($K73),0)&lt;&gt;1),"Singoli non attivi",IF(OR(IFERROR(INDEX(Offerte!$G$2:$G$81,MATCH($A73&amp;"|"&amp;$H73,Offerte!$L$2:$L$81,0)),"NO")&lt;&gt;"SI",IFERROR(INDEX(Offerte!$G$2:$G$81,MATCH($A73&amp;"|"&amp;$I73,Offerte!$L$2:$L$81,0)),"NO")&lt;&gt;"SI"),"Soglia non superata",IF(OR(IFERROR(VALUE($F73),0)&lt;&gt;1,IFERROR(VALUE($G73),0)&lt;&gt;1),"Buste/PEF non confermati",IF(IFERROR(VALUE($E73),0)&lt;=$U73,"Ribasso non migliorativo",""))))))</f>
        <v/>
      </c>
      <c r="S73" s="57">
        <f>IF($H73="","",IFERROR(INDEX(Offerte!$F$2:$F$81,MATCH($A73&amp;"|"&amp;$H73,Offerte!$L$2:$L$81,0)),0))</f>
        <v/>
      </c>
      <c r="T73" s="57">
        <f>IF($I73="","",IFERROR(INDEX(Offerte!$F$2:$F$81,MATCH($A73&amp;"|"&amp;$I73,Offerte!$L$2:$L$81,0)),0))</f>
        <v/>
      </c>
      <c r="U73" s="57">
        <f>IF($A73="","",ROUND((IFERROR(VALUE($S73),0)+IFERROR(VALUE($T73),0))/2,4))</f>
        <v/>
      </c>
      <c r="V73" s="57">
        <f>IF($A73="","",$C73&amp;"|"&amp;TEXT($Q73,"0.0000"))</f>
        <v/>
      </c>
      <c r="W73" s="57">
        <f>IF($A73="","",$C73&amp;"|"&amp;$A73)</f>
        <v/>
      </c>
    </row>
    <row r="74">
      <c r="A74" s="73" t="n"/>
      <c r="B74" s="73">
        <f>IF($A74="","",IFERROR(INDEX(Offerte!$B$2:$B$81,MATCH($A74,Offerte!$A$2:$A$81,0)),""))</f>
        <v/>
      </c>
      <c r="C74" s="73" t="n"/>
      <c r="D74" s="73" t="n"/>
      <c r="E74" s="73" t="n"/>
      <c r="F74" s="73" t="n"/>
      <c r="G74" s="73" t="n"/>
      <c r="H74" s="57">
        <f>IF($C74="L1+L2","L1",IF($C74="L2+L3","L2",IF($C74="L3+L4","L3",IF($C74="L1+L4","L1",""))))</f>
        <v/>
      </c>
      <c r="I74" s="57">
        <f>IF($C74="L1+L2","L2",IF($C74="L2+L3","L3",IF($C74="L3+L4","L4",IF($C74="L1+L4","L4",""))))</f>
        <v/>
      </c>
      <c r="J74" s="57">
        <f>IF($H74="","",IFERROR(INDEX(Offerte!$D$2:$D$81,MATCH($A74&amp;"|"&amp;$H74,Offerte!$L$2:$L$81,0)),0))</f>
        <v/>
      </c>
      <c r="K74" s="57">
        <f>IF($I74="","",IFERROR(INDEX(Offerte!$D$2:$D$81,MATCH($A74&amp;"|"&amp;$I74,Offerte!$L$2:$L$81,0)),0))</f>
        <v/>
      </c>
      <c r="L74" s="57">
        <f>IF($H74="","",IFERROR(INDEX(Offerte!$E$2:$E$81,MATCH($A74&amp;"|"&amp;$H74,Offerte!$L$2:$L$81,0)),0))</f>
        <v/>
      </c>
      <c r="M74" s="57">
        <f>IF($I74="","",IFERROR(INDEX(Offerte!$E$2:$E$81,MATCH($A74&amp;"|"&amp;$I74,Offerte!$L$2:$L$81,0)),0))</f>
        <v/>
      </c>
      <c r="N74" s="57">
        <f>IF($A74="","",IF(IFERROR(VALUE($D74),0)&lt;&gt;1,"NO",IF(AND(IFERROR(VALUE($J74),0)=1,IFERROR(VALUE($K74),0)=1,IFERROR(INDEX(Offerte!$G$2:$G$81,MATCH($A74&amp;"|"&amp;$H74,Offerte!$L$2:$L$81,0)),"NO")="SI",IFERROR(INDEX(Offerte!$G$2:$G$81,MATCH($A74&amp;"|"&amp;$I74,Offerte!$L$2:$L$81,0)),"NO")="SI",IFERROR(VALUE($F74),0)=1,IFERROR(VALUE($G74),0)=1,IFERROR(VALUE($E74),0)&gt;$U74),"SI","NO")))</f>
        <v/>
      </c>
      <c r="O74" s="57">
        <f>IF($N74="SI",IFERROR(30*(IFERROR(VALUE($E74),0)/MAX(SUMPRODUCT(MAX((Offerte!$C$2:$C$81=$H74)*(IFERROR(Offerte!$D$2:$D$81*1,0)=1)*(IFERROR(Offerte!$E$2:$E$81*1,0)&gt;=Parametri!$B$2)*IFERROR(Offerte!$F$2:$F$81*1,0))),SUMPRODUCT(MAX(($H$5:$H$80=$H74)*($N$5:$N$80="SI")*IFERROR($E$5:$E$80*1,0))),SUMPRODUCT(MAX(($I$5:$I$80=$H74)*($N$5:$N$80="SI")*IFERROR($E$5:$E$80*1,0))))),0),0)</f>
        <v/>
      </c>
      <c r="P74" s="57">
        <f>IF($N74="SI",IFERROR(30*(IFERROR(VALUE($E74),0)/MAX(SUMPRODUCT(MAX((Offerte!$C$2:$C$81=$I74)*(IFERROR(Offerte!$D$2:$D$81*1,0)=1)*(IFERROR(Offerte!$E$2:$E$81*1,0)&gt;=Parametri!$B$2)*IFERROR(Offerte!$F$2:$F$81*1,0))),SUMPRODUCT(MAX(($H$5:$H$80=$I74)*($N$5:$N$80="SI")*IFERROR($E$5:$E$80*1,0))),SUMPRODUCT(MAX(($I$5:$I$80=$I74)*($N$5:$N$80="SI")*IFERROR($E$5:$E$80*1,0))))),0),0)</f>
        <v/>
      </c>
      <c r="Q74" s="57">
        <f>IF($N74="SI",ROUND($L74+$M74+$O74+$P74,4),0)</f>
        <v/>
      </c>
      <c r="R74" s="57">
        <f>IF($A74="","",IF(IFERROR(VALUE($D74),0)&lt;&gt;1,"Non attiva",IF(OR(IFERROR(VALUE($J74),0)&lt;&gt;1,IFERROR(VALUE($K74),0)&lt;&gt;1),"Singoli non attivi",IF(OR(IFERROR(INDEX(Offerte!$G$2:$G$81,MATCH($A74&amp;"|"&amp;$H74,Offerte!$L$2:$L$81,0)),"NO")&lt;&gt;"SI",IFERROR(INDEX(Offerte!$G$2:$G$81,MATCH($A74&amp;"|"&amp;$I74,Offerte!$L$2:$L$81,0)),"NO")&lt;&gt;"SI"),"Soglia non superata",IF(OR(IFERROR(VALUE($F74),0)&lt;&gt;1,IFERROR(VALUE($G74),0)&lt;&gt;1),"Buste/PEF non confermati",IF(IFERROR(VALUE($E74),0)&lt;=$U74,"Ribasso non migliorativo",""))))))</f>
        <v/>
      </c>
      <c r="S74" s="57">
        <f>IF($H74="","",IFERROR(INDEX(Offerte!$F$2:$F$81,MATCH($A74&amp;"|"&amp;$H74,Offerte!$L$2:$L$81,0)),0))</f>
        <v/>
      </c>
      <c r="T74" s="57">
        <f>IF($I74="","",IFERROR(INDEX(Offerte!$F$2:$F$81,MATCH($A74&amp;"|"&amp;$I74,Offerte!$L$2:$L$81,0)),0))</f>
        <v/>
      </c>
      <c r="U74" s="57">
        <f>IF($A74="","",ROUND((IFERROR(VALUE($S74),0)+IFERROR(VALUE($T74),0))/2,4))</f>
        <v/>
      </c>
      <c r="V74" s="57">
        <f>IF($A74="","",$C74&amp;"|"&amp;TEXT($Q74,"0.0000"))</f>
        <v/>
      </c>
      <c r="W74" s="57">
        <f>IF($A74="","",$C74&amp;"|"&amp;$A74)</f>
        <v/>
      </c>
    </row>
    <row r="75">
      <c r="A75" s="73" t="n"/>
      <c r="B75" s="73">
        <f>IF($A75="","",IFERROR(INDEX(Offerte!$B$2:$B$81,MATCH($A75,Offerte!$A$2:$A$81,0)),""))</f>
        <v/>
      </c>
      <c r="C75" s="73" t="n"/>
      <c r="D75" s="73" t="n"/>
      <c r="E75" s="73" t="n"/>
      <c r="F75" s="73" t="n"/>
      <c r="G75" s="73" t="n"/>
      <c r="H75" s="57">
        <f>IF($C75="L1+L2","L1",IF($C75="L2+L3","L2",IF($C75="L3+L4","L3",IF($C75="L1+L4","L1",""))))</f>
        <v/>
      </c>
      <c r="I75" s="57">
        <f>IF($C75="L1+L2","L2",IF($C75="L2+L3","L3",IF($C75="L3+L4","L4",IF($C75="L1+L4","L4",""))))</f>
        <v/>
      </c>
      <c r="J75" s="57">
        <f>IF($H75="","",IFERROR(INDEX(Offerte!$D$2:$D$81,MATCH($A75&amp;"|"&amp;$H75,Offerte!$L$2:$L$81,0)),0))</f>
        <v/>
      </c>
      <c r="K75" s="57">
        <f>IF($I75="","",IFERROR(INDEX(Offerte!$D$2:$D$81,MATCH($A75&amp;"|"&amp;$I75,Offerte!$L$2:$L$81,0)),0))</f>
        <v/>
      </c>
      <c r="L75" s="57">
        <f>IF($H75="","",IFERROR(INDEX(Offerte!$E$2:$E$81,MATCH($A75&amp;"|"&amp;$H75,Offerte!$L$2:$L$81,0)),0))</f>
        <v/>
      </c>
      <c r="M75" s="57">
        <f>IF($I75="","",IFERROR(INDEX(Offerte!$E$2:$E$81,MATCH($A75&amp;"|"&amp;$I75,Offerte!$L$2:$L$81,0)),0))</f>
        <v/>
      </c>
      <c r="N75" s="57">
        <f>IF($A75="","",IF(IFERROR(VALUE($D75),0)&lt;&gt;1,"NO",IF(AND(IFERROR(VALUE($J75),0)=1,IFERROR(VALUE($K75),0)=1,IFERROR(INDEX(Offerte!$G$2:$G$81,MATCH($A75&amp;"|"&amp;$H75,Offerte!$L$2:$L$81,0)),"NO")="SI",IFERROR(INDEX(Offerte!$G$2:$G$81,MATCH($A75&amp;"|"&amp;$I75,Offerte!$L$2:$L$81,0)),"NO")="SI",IFERROR(VALUE($F75),0)=1,IFERROR(VALUE($G75),0)=1,IFERROR(VALUE($E75),0)&gt;$U75),"SI","NO")))</f>
        <v/>
      </c>
      <c r="O75" s="57">
        <f>IF($N75="SI",IFERROR(30*(IFERROR(VALUE($E75),0)/MAX(SUMPRODUCT(MAX((Offerte!$C$2:$C$81=$H75)*(IFERROR(Offerte!$D$2:$D$81*1,0)=1)*(IFERROR(Offerte!$E$2:$E$81*1,0)&gt;=Parametri!$B$2)*IFERROR(Offerte!$F$2:$F$81*1,0))),SUMPRODUCT(MAX(($H$5:$H$80=$H75)*($N$5:$N$80="SI")*IFERROR($E$5:$E$80*1,0))),SUMPRODUCT(MAX(($I$5:$I$80=$H75)*($N$5:$N$80="SI")*IFERROR($E$5:$E$80*1,0))))),0),0)</f>
        <v/>
      </c>
      <c r="P75" s="57">
        <f>IF($N75="SI",IFERROR(30*(IFERROR(VALUE($E75),0)/MAX(SUMPRODUCT(MAX((Offerte!$C$2:$C$81=$I75)*(IFERROR(Offerte!$D$2:$D$81*1,0)=1)*(IFERROR(Offerte!$E$2:$E$81*1,0)&gt;=Parametri!$B$2)*IFERROR(Offerte!$F$2:$F$81*1,0))),SUMPRODUCT(MAX(($H$5:$H$80=$I75)*($N$5:$N$80="SI")*IFERROR($E$5:$E$80*1,0))),SUMPRODUCT(MAX(($I$5:$I$80=$I75)*($N$5:$N$80="SI")*IFERROR($E$5:$E$80*1,0))))),0),0)</f>
        <v/>
      </c>
      <c r="Q75" s="57">
        <f>IF($N75="SI",ROUND($L75+$M75+$O75+$P75,4),0)</f>
        <v/>
      </c>
      <c r="R75" s="57">
        <f>IF($A75="","",IF(IFERROR(VALUE($D75),0)&lt;&gt;1,"Non attiva",IF(OR(IFERROR(VALUE($J75),0)&lt;&gt;1,IFERROR(VALUE($K75),0)&lt;&gt;1),"Singoli non attivi",IF(OR(IFERROR(INDEX(Offerte!$G$2:$G$81,MATCH($A75&amp;"|"&amp;$H75,Offerte!$L$2:$L$81,0)),"NO")&lt;&gt;"SI",IFERROR(INDEX(Offerte!$G$2:$G$81,MATCH($A75&amp;"|"&amp;$I75,Offerte!$L$2:$L$81,0)),"NO")&lt;&gt;"SI"),"Soglia non superata",IF(OR(IFERROR(VALUE($F75),0)&lt;&gt;1,IFERROR(VALUE($G75),0)&lt;&gt;1),"Buste/PEF non confermati",IF(IFERROR(VALUE($E75),0)&lt;=$U75,"Ribasso non migliorativo",""))))))</f>
        <v/>
      </c>
      <c r="S75" s="57">
        <f>IF($H75="","",IFERROR(INDEX(Offerte!$F$2:$F$81,MATCH($A75&amp;"|"&amp;$H75,Offerte!$L$2:$L$81,0)),0))</f>
        <v/>
      </c>
      <c r="T75" s="57">
        <f>IF($I75="","",IFERROR(INDEX(Offerte!$F$2:$F$81,MATCH($A75&amp;"|"&amp;$I75,Offerte!$L$2:$L$81,0)),0))</f>
        <v/>
      </c>
      <c r="U75" s="57">
        <f>IF($A75="","",ROUND((IFERROR(VALUE($S75),0)+IFERROR(VALUE($T75),0))/2,4))</f>
        <v/>
      </c>
      <c r="V75" s="57">
        <f>IF($A75="","",$C75&amp;"|"&amp;TEXT($Q75,"0.0000"))</f>
        <v/>
      </c>
      <c r="W75" s="57">
        <f>IF($A75="","",$C75&amp;"|"&amp;$A75)</f>
        <v/>
      </c>
    </row>
    <row r="76">
      <c r="A76" s="73" t="n"/>
      <c r="B76" s="73">
        <f>IF($A76="","",IFERROR(INDEX(Offerte!$B$2:$B$81,MATCH($A76,Offerte!$A$2:$A$81,0)),""))</f>
        <v/>
      </c>
      <c r="C76" s="73" t="n"/>
      <c r="D76" s="73" t="n"/>
      <c r="E76" s="73" t="n"/>
      <c r="F76" s="73" t="n"/>
      <c r="G76" s="73" t="n"/>
      <c r="H76" s="57">
        <f>IF($C76="L1+L2","L1",IF($C76="L2+L3","L2",IF($C76="L3+L4","L3",IF($C76="L1+L4","L1",""))))</f>
        <v/>
      </c>
      <c r="I76" s="57">
        <f>IF($C76="L1+L2","L2",IF($C76="L2+L3","L3",IF($C76="L3+L4","L4",IF($C76="L1+L4","L4",""))))</f>
        <v/>
      </c>
      <c r="J76" s="57">
        <f>IF($H76="","",IFERROR(INDEX(Offerte!$D$2:$D$81,MATCH($A76&amp;"|"&amp;$H76,Offerte!$L$2:$L$81,0)),0))</f>
        <v/>
      </c>
      <c r="K76" s="57">
        <f>IF($I76="","",IFERROR(INDEX(Offerte!$D$2:$D$81,MATCH($A76&amp;"|"&amp;$I76,Offerte!$L$2:$L$81,0)),0))</f>
        <v/>
      </c>
      <c r="L76" s="57">
        <f>IF($H76="","",IFERROR(INDEX(Offerte!$E$2:$E$81,MATCH($A76&amp;"|"&amp;$H76,Offerte!$L$2:$L$81,0)),0))</f>
        <v/>
      </c>
      <c r="M76" s="57">
        <f>IF($I76="","",IFERROR(INDEX(Offerte!$E$2:$E$81,MATCH($A76&amp;"|"&amp;$I76,Offerte!$L$2:$L$81,0)),0))</f>
        <v/>
      </c>
      <c r="N76" s="57">
        <f>IF($A76="","",IF(IFERROR(VALUE($D76),0)&lt;&gt;1,"NO",IF(AND(IFERROR(VALUE($J76),0)=1,IFERROR(VALUE($K76),0)=1,IFERROR(INDEX(Offerte!$G$2:$G$81,MATCH($A76&amp;"|"&amp;$H76,Offerte!$L$2:$L$81,0)),"NO")="SI",IFERROR(INDEX(Offerte!$G$2:$G$81,MATCH($A76&amp;"|"&amp;$I76,Offerte!$L$2:$L$81,0)),"NO")="SI",IFERROR(VALUE($F76),0)=1,IFERROR(VALUE($G76),0)=1,IFERROR(VALUE($E76),0)&gt;$U76),"SI","NO")))</f>
        <v/>
      </c>
      <c r="O76" s="57">
        <f>IF($N76="SI",IFERROR(30*(IFERROR(VALUE($E76),0)/MAX(SUMPRODUCT(MAX((Offerte!$C$2:$C$81=$H76)*(IFERROR(Offerte!$D$2:$D$81*1,0)=1)*(IFERROR(Offerte!$E$2:$E$81*1,0)&gt;=Parametri!$B$2)*IFERROR(Offerte!$F$2:$F$81*1,0))),SUMPRODUCT(MAX(($H$5:$H$80=$H76)*($N$5:$N$80="SI")*IFERROR($E$5:$E$80*1,0))),SUMPRODUCT(MAX(($I$5:$I$80=$H76)*($N$5:$N$80="SI")*IFERROR($E$5:$E$80*1,0))))),0),0)</f>
        <v/>
      </c>
      <c r="P76" s="57">
        <f>IF($N76="SI",IFERROR(30*(IFERROR(VALUE($E76),0)/MAX(SUMPRODUCT(MAX((Offerte!$C$2:$C$81=$I76)*(IFERROR(Offerte!$D$2:$D$81*1,0)=1)*(IFERROR(Offerte!$E$2:$E$81*1,0)&gt;=Parametri!$B$2)*IFERROR(Offerte!$F$2:$F$81*1,0))),SUMPRODUCT(MAX(($H$5:$H$80=$I76)*($N$5:$N$80="SI")*IFERROR($E$5:$E$80*1,0))),SUMPRODUCT(MAX(($I$5:$I$80=$I76)*($N$5:$N$80="SI")*IFERROR($E$5:$E$80*1,0))))),0),0)</f>
        <v/>
      </c>
      <c r="Q76" s="57">
        <f>IF($N76="SI",ROUND($L76+$M76+$O76+$P76,4),0)</f>
        <v/>
      </c>
      <c r="R76" s="57">
        <f>IF($A76="","",IF(IFERROR(VALUE($D76),0)&lt;&gt;1,"Non attiva",IF(OR(IFERROR(VALUE($J76),0)&lt;&gt;1,IFERROR(VALUE($K76),0)&lt;&gt;1),"Singoli non attivi",IF(OR(IFERROR(INDEX(Offerte!$G$2:$G$81,MATCH($A76&amp;"|"&amp;$H76,Offerte!$L$2:$L$81,0)),"NO")&lt;&gt;"SI",IFERROR(INDEX(Offerte!$G$2:$G$81,MATCH($A76&amp;"|"&amp;$I76,Offerte!$L$2:$L$81,0)),"NO")&lt;&gt;"SI"),"Soglia non superata",IF(OR(IFERROR(VALUE($F76),0)&lt;&gt;1,IFERROR(VALUE($G76),0)&lt;&gt;1),"Buste/PEF non confermati",IF(IFERROR(VALUE($E76),0)&lt;=$U76,"Ribasso non migliorativo",""))))))</f>
        <v/>
      </c>
      <c r="S76" s="57">
        <f>IF($H76="","",IFERROR(INDEX(Offerte!$F$2:$F$81,MATCH($A76&amp;"|"&amp;$H76,Offerte!$L$2:$L$81,0)),0))</f>
        <v/>
      </c>
      <c r="T76" s="57">
        <f>IF($I76="","",IFERROR(INDEX(Offerte!$F$2:$F$81,MATCH($A76&amp;"|"&amp;$I76,Offerte!$L$2:$L$81,0)),0))</f>
        <v/>
      </c>
      <c r="U76" s="57">
        <f>IF($A76="","",ROUND((IFERROR(VALUE($S76),0)+IFERROR(VALUE($T76),0))/2,4))</f>
        <v/>
      </c>
      <c r="V76" s="57">
        <f>IF($A76="","",$C76&amp;"|"&amp;TEXT($Q76,"0.0000"))</f>
        <v/>
      </c>
      <c r="W76" s="57">
        <f>IF($A76="","",$C76&amp;"|"&amp;$A76)</f>
        <v/>
      </c>
    </row>
    <row r="77">
      <c r="A77" s="73" t="n"/>
      <c r="B77" s="73">
        <f>IF($A77="","",IFERROR(INDEX(Offerte!$B$2:$B$81,MATCH($A77,Offerte!$A$2:$A$81,0)),""))</f>
        <v/>
      </c>
      <c r="C77" s="73" t="n"/>
      <c r="D77" s="73" t="n"/>
      <c r="E77" s="73" t="n"/>
      <c r="F77" s="73" t="n"/>
      <c r="G77" s="73" t="n"/>
      <c r="H77" s="57">
        <f>IF($C77="L1+L2","L1",IF($C77="L2+L3","L2",IF($C77="L3+L4","L3",IF($C77="L1+L4","L1",""))))</f>
        <v/>
      </c>
      <c r="I77" s="57">
        <f>IF($C77="L1+L2","L2",IF($C77="L2+L3","L3",IF($C77="L3+L4","L4",IF($C77="L1+L4","L4",""))))</f>
        <v/>
      </c>
      <c r="J77" s="57">
        <f>IF($H77="","",IFERROR(INDEX(Offerte!$D$2:$D$81,MATCH($A77&amp;"|"&amp;$H77,Offerte!$L$2:$L$81,0)),0))</f>
        <v/>
      </c>
      <c r="K77" s="57">
        <f>IF($I77="","",IFERROR(INDEX(Offerte!$D$2:$D$81,MATCH($A77&amp;"|"&amp;$I77,Offerte!$L$2:$L$81,0)),0))</f>
        <v/>
      </c>
      <c r="L77" s="57">
        <f>IF($H77="","",IFERROR(INDEX(Offerte!$E$2:$E$81,MATCH($A77&amp;"|"&amp;$H77,Offerte!$L$2:$L$81,0)),0))</f>
        <v/>
      </c>
      <c r="M77" s="57">
        <f>IF($I77="","",IFERROR(INDEX(Offerte!$E$2:$E$81,MATCH($A77&amp;"|"&amp;$I77,Offerte!$L$2:$L$81,0)),0))</f>
        <v/>
      </c>
      <c r="N77" s="57">
        <f>IF($A77="","",IF(IFERROR(VALUE($D77),0)&lt;&gt;1,"NO",IF(AND(IFERROR(VALUE($J77),0)=1,IFERROR(VALUE($K77),0)=1,IFERROR(INDEX(Offerte!$G$2:$G$81,MATCH($A77&amp;"|"&amp;$H77,Offerte!$L$2:$L$81,0)),"NO")="SI",IFERROR(INDEX(Offerte!$G$2:$G$81,MATCH($A77&amp;"|"&amp;$I77,Offerte!$L$2:$L$81,0)),"NO")="SI",IFERROR(VALUE($F77),0)=1,IFERROR(VALUE($G77),0)=1,IFERROR(VALUE($E77),0)&gt;$U77),"SI","NO")))</f>
        <v/>
      </c>
      <c r="O77" s="57">
        <f>IF($N77="SI",IFERROR(30*(IFERROR(VALUE($E77),0)/MAX(SUMPRODUCT(MAX((Offerte!$C$2:$C$81=$H77)*(IFERROR(Offerte!$D$2:$D$81*1,0)=1)*(IFERROR(Offerte!$E$2:$E$81*1,0)&gt;=Parametri!$B$2)*IFERROR(Offerte!$F$2:$F$81*1,0))),SUMPRODUCT(MAX(($H$5:$H$80=$H77)*($N$5:$N$80="SI")*IFERROR($E$5:$E$80*1,0))),SUMPRODUCT(MAX(($I$5:$I$80=$H77)*($N$5:$N$80="SI")*IFERROR($E$5:$E$80*1,0))))),0),0)</f>
        <v/>
      </c>
      <c r="P77" s="57">
        <f>IF($N77="SI",IFERROR(30*(IFERROR(VALUE($E77),0)/MAX(SUMPRODUCT(MAX((Offerte!$C$2:$C$81=$I77)*(IFERROR(Offerte!$D$2:$D$81*1,0)=1)*(IFERROR(Offerte!$E$2:$E$81*1,0)&gt;=Parametri!$B$2)*IFERROR(Offerte!$F$2:$F$81*1,0))),SUMPRODUCT(MAX(($H$5:$H$80=$I77)*($N$5:$N$80="SI")*IFERROR($E$5:$E$80*1,0))),SUMPRODUCT(MAX(($I$5:$I$80=$I77)*($N$5:$N$80="SI")*IFERROR($E$5:$E$80*1,0))))),0),0)</f>
        <v/>
      </c>
      <c r="Q77" s="57">
        <f>IF($N77="SI",ROUND($L77+$M77+$O77+$P77,4),0)</f>
        <v/>
      </c>
      <c r="R77" s="57">
        <f>IF($A77="","",IF(IFERROR(VALUE($D77),0)&lt;&gt;1,"Non attiva",IF(OR(IFERROR(VALUE($J77),0)&lt;&gt;1,IFERROR(VALUE($K77),0)&lt;&gt;1),"Singoli non attivi",IF(OR(IFERROR(INDEX(Offerte!$G$2:$G$81,MATCH($A77&amp;"|"&amp;$H77,Offerte!$L$2:$L$81,0)),"NO")&lt;&gt;"SI",IFERROR(INDEX(Offerte!$G$2:$G$81,MATCH($A77&amp;"|"&amp;$I77,Offerte!$L$2:$L$81,0)),"NO")&lt;&gt;"SI"),"Soglia non superata",IF(OR(IFERROR(VALUE($F77),0)&lt;&gt;1,IFERROR(VALUE($G77),0)&lt;&gt;1),"Buste/PEF non confermati",IF(IFERROR(VALUE($E77),0)&lt;=$U77,"Ribasso non migliorativo",""))))))</f>
        <v/>
      </c>
      <c r="S77" s="57">
        <f>IF($H77="","",IFERROR(INDEX(Offerte!$F$2:$F$81,MATCH($A77&amp;"|"&amp;$H77,Offerte!$L$2:$L$81,0)),0))</f>
        <v/>
      </c>
      <c r="T77" s="57">
        <f>IF($I77="","",IFERROR(INDEX(Offerte!$F$2:$F$81,MATCH($A77&amp;"|"&amp;$I77,Offerte!$L$2:$L$81,0)),0))</f>
        <v/>
      </c>
      <c r="U77" s="57">
        <f>IF($A77="","",ROUND((IFERROR(VALUE($S77),0)+IFERROR(VALUE($T77),0))/2,4))</f>
        <v/>
      </c>
      <c r="V77" s="57">
        <f>IF($A77="","",$C77&amp;"|"&amp;TEXT($Q77,"0.0000"))</f>
        <v/>
      </c>
      <c r="W77" s="57">
        <f>IF($A77="","",$C77&amp;"|"&amp;$A77)</f>
        <v/>
      </c>
    </row>
    <row r="78">
      <c r="A78" s="73" t="n"/>
      <c r="B78" s="73">
        <f>IF($A78="","",IFERROR(INDEX(Offerte!$B$2:$B$81,MATCH($A78,Offerte!$A$2:$A$81,0)),""))</f>
        <v/>
      </c>
      <c r="C78" s="73" t="n"/>
      <c r="D78" s="73" t="n"/>
      <c r="E78" s="73" t="n"/>
      <c r="F78" s="73" t="n"/>
      <c r="G78" s="73" t="n"/>
      <c r="H78" s="57">
        <f>IF($C78="L1+L2","L1",IF($C78="L2+L3","L2",IF($C78="L3+L4","L3",IF($C78="L1+L4","L1",""))))</f>
        <v/>
      </c>
      <c r="I78" s="57">
        <f>IF($C78="L1+L2","L2",IF($C78="L2+L3","L3",IF($C78="L3+L4","L4",IF($C78="L1+L4","L4",""))))</f>
        <v/>
      </c>
      <c r="J78" s="57">
        <f>IF($H78="","",IFERROR(INDEX(Offerte!$D$2:$D$81,MATCH($A78&amp;"|"&amp;$H78,Offerte!$L$2:$L$81,0)),0))</f>
        <v/>
      </c>
      <c r="K78" s="57">
        <f>IF($I78="","",IFERROR(INDEX(Offerte!$D$2:$D$81,MATCH($A78&amp;"|"&amp;$I78,Offerte!$L$2:$L$81,0)),0))</f>
        <v/>
      </c>
      <c r="L78" s="57">
        <f>IF($H78="","",IFERROR(INDEX(Offerte!$E$2:$E$81,MATCH($A78&amp;"|"&amp;$H78,Offerte!$L$2:$L$81,0)),0))</f>
        <v/>
      </c>
      <c r="M78" s="57">
        <f>IF($I78="","",IFERROR(INDEX(Offerte!$E$2:$E$81,MATCH($A78&amp;"|"&amp;$I78,Offerte!$L$2:$L$81,0)),0))</f>
        <v/>
      </c>
      <c r="N78" s="57">
        <f>IF($A78="","",IF(IFERROR(VALUE($D78),0)&lt;&gt;1,"NO",IF(AND(IFERROR(VALUE($J78),0)=1,IFERROR(VALUE($K78),0)=1,IFERROR(INDEX(Offerte!$G$2:$G$81,MATCH($A78&amp;"|"&amp;$H78,Offerte!$L$2:$L$81,0)),"NO")="SI",IFERROR(INDEX(Offerte!$G$2:$G$81,MATCH($A78&amp;"|"&amp;$I78,Offerte!$L$2:$L$81,0)),"NO")="SI",IFERROR(VALUE($F78),0)=1,IFERROR(VALUE($G78),0)=1,IFERROR(VALUE($E78),0)&gt;$U78),"SI","NO")))</f>
        <v/>
      </c>
      <c r="O78" s="57">
        <f>IF($N78="SI",IFERROR(30*(IFERROR(VALUE($E78),0)/MAX(SUMPRODUCT(MAX((Offerte!$C$2:$C$81=$H78)*(IFERROR(Offerte!$D$2:$D$81*1,0)=1)*(IFERROR(Offerte!$E$2:$E$81*1,0)&gt;=Parametri!$B$2)*IFERROR(Offerte!$F$2:$F$81*1,0))),SUMPRODUCT(MAX(($H$5:$H$80=$H78)*($N$5:$N$80="SI")*IFERROR($E$5:$E$80*1,0))),SUMPRODUCT(MAX(($I$5:$I$80=$H78)*($N$5:$N$80="SI")*IFERROR($E$5:$E$80*1,0))))),0),0)</f>
        <v/>
      </c>
      <c r="P78" s="57">
        <f>IF($N78="SI",IFERROR(30*(IFERROR(VALUE($E78),0)/MAX(SUMPRODUCT(MAX((Offerte!$C$2:$C$81=$I78)*(IFERROR(Offerte!$D$2:$D$81*1,0)=1)*(IFERROR(Offerte!$E$2:$E$81*1,0)&gt;=Parametri!$B$2)*IFERROR(Offerte!$F$2:$F$81*1,0))),SUMPRODUCT(MAX(($H$5:$H$80=$I78)*($N$5:$N$80="SI")*IFERROR($E$5:$E$80*1,0))),SUMPRODUCT(MAX(($I$5:$I$80=$I78)*($N$5:$N$80="SI")*IFERROR($E$5:$E$80*1,0))))),0),0)</f>
        <v/>
      </c>
      <c r="Q78" s="57">
        <f>IF($N78="SI",ROUND($L78+$M78+$O78+$P78,4),0)</f>
        <v/>
      </c>
      <c r="R78" s="57">
        <f>IF($A78="","",IF(IFERROR(VALUE($D78),0)&lt;&gt;1,"Non attiva",IF(OR(IFERROR(VALUE($J78),0)&lt;&gt;1,IFERROR(VALUE($K78),0)&lt;&gt;1),"Singoli non attivi",IF(OR(IFERROR(INDEX(Offerte!$G$2:$G$81,MATCH($A78&amp;"|"&amp;$H78,Offerte!$L$2:$L$81,0)),"NO")&lt;&gt;"SI",IFERROR(INDEX(Offerte!$G$2:$G$81,MATCH($A78&amp;"|"&amp;$I78,Offerte!$L$2:$L$81,0)),"NO")&lt;&gt;"SI"),"Soglia non superata",IF(OR(IFERROR(VALUE($F78),0)&lt;&gt;1,IFERROR(VALUE($G78),0)&lt;&gt;1),"Buste/PEF non confermati",IF(IFERROR(VALUE($E78),0)&lt;=$U78,"Ribasso non migliorativo",""))))))</f>
        <v/>
      </c>
      <c r="S78" s="57">
        <f>IF($H78="","",IFERROR(INDEX(Offerte!$F$2:$F$81,MATCH($A78&amp;"|"&amp;$H78,Offerte!$L$2:$L$81,0)),0))</f>
        <v/>
      </c>
      <c r="T78" s="57">
        <f>IF($I78="","",IFERROR(INDEX(Offerte!$F$2:$F$81,MATCH($A78&amp;"|"&amp;$I78,Offerte!$L$2:$L$81,0)),0))</f>
        <v/>
      </c>
      <c r="U78" s="57">
        <f>IF($A78="","",ROUND((IFERROR(VALUE($S78),0)+IFERROR(VALUE($T78),0))/2,4))</f>
        <v/>
      </c>
      <c r="V78" s="57">
        <f>IF($A78="","",$C78&amp;"|"&amp;TEXT($Q78,"0.0000"))</f>
        <v/>
      </c>
      <c r="W78" s="57">
        <f>IF($A78="","",$C78&amp;"|"&amp;$A78)</f>
        <v/>
      </c>
    </row>
    <row r="79">
      <c r="A79" s="73" t="n"/>
      <c r="B79" s="73">
        <f>IF($A79="","",IFERROR(INDEX(Offerte!$B$2:$B$81,MATCH($A79,Offerte!$A$2:$A$81,0)),""))</f>
        <v/>
      </c>
      <c r="C79" s="73" t="n"/>
      <c r="D79" s="73" t="n"/>
      <c r="E79" s="73" t="n"/>
      <c r="F79" s="73" t="n"/>
      <c r="G79" s="73" t="n"/>
      <c r="H79" s="57">
        <f>IF($C79="L1+L2","L1",IF($C79="L2+L3","L2",IF($C79="L3+L4","L3",IF($C79="L1+L4","L1",""))))</f>
        <v/>
      </c>
      <c r="I79" s="57">
        <f>IF($C79="L1+L2","L2",IF($C79="L2+L3","L3",IF($C79="L3+L4","L4",IF($C79="L1+L4","L4",""))))</f>
        <v/>
      </c>
      <c r="J79" s="57">
        <f>IF($H79="","",IFERROR(INDEX(Offerte!$D$2:$D$81,MATCH($A79&amp;"|"&amp;$H79,Offerte!$L$2:$L$81,0)),0))</f>
        <v/>
      </c>
      <c r="K79" s="57">
        <f>IF($I79="","",IFERROR(INDEX(Offerte!$D$2:$D$81,MATCH($A79&amp;"|"&amp;$I79,Offerte!$L$2:$L$81,0)),0))</f>
        <v/>
      </c>
      <c r="L79" s="57">
        <f>IF($H79="","",IFERROR(INDEX(Offerte!$E$2:$E$81,MATCH($A79&amp;"|"&amp;$H79,Offerte!$L$2:$L$81,0)),0))</f>
        <v/>
      </c>
      <c r="M79" s="57">
        <f>IF($I79="","",IFERROR(INDEX(Offerte!$E$2:$E$81,MATCH($A79&amp;"|"&amp;$I79,Offerte!$L$2:$L$81,0)),0))</f>
        <v/>
      </c>
      <c r="N79" s="57">
        <f>IF($A79="","",IF(IFERROR(VALUE($D79),0)&lt;&gt;1,"NO",IF(AND(IFERROR(VALUE($J79),0)=1,IFERROR(VALUE($K79),0)=1,IFERROR(INDEX(Offerte!$G$2:$G$81,MATCH($A79&amp;"|"&amp;$H79,Offerte!$L$2:$L$81,0)),"NO")="SI",IFERROR(INDEX(Offerte!$G$2:$G$81,MATCH($A79&amp;"|"&amp;$I79,Offerte!$L$2:$L$81,0)),"NO")="SI",IFERROR(VALUE($F79),0)=1,IFERROR(VALUE($G79),0)=1,IFERROR(VALUE($E79),0)&gt;$U79),"SI","NO")))</f>
        <v/>
      </c>
      <c r="O79" s="57">
        <f>IF($N79="SI",IFERROR(30*(IFERROR(VALUE($E79),0)/MAX(SUMPRODUCT(MAX((Offerte!$C$2:$C$81=$H79)*(IFERROR(Offerte!$D$2:$D$81*1,0)=1)*(IFERROR(Offerte!$E$2:$E$81*1,0)&gt;=Parametri!$B$2)*IFERROR(Offerte!$F$2:$F$81*1,0))),SUMPRODUCT(MAX(($H$5:$H$80=$H79)*($N$5:$N$80="SI")*IFERROR($E$5:$E$80*1,0))),SUMPRODUCT(MAX(($I$5:$I$80=$H79)*($N$5:$N$80="SI")*IFERROR($E$5:$E$80*1,0))))),0),0)</f>
        <v/>
      </c>
      <c r="P79" s="57">
        <f>IF($N79="SI",IFERROR(30*(IFERROR(VALUE($E79),0)/MAX(SUMPRODUCT(MAX((Offerte!$C$2:$C$81=$I79)*(IFERROR(Offerte!$D$2:$D$81*1,0)=1)*(IFERROR(Offerte!$E$2:$E$81*1,0)&gt;=Parametri!$B$2)*IFERROR(Offerte!$F$2:$F$81*1,0))),SUMPRODUCT(MAX(($H$5:$H$80=$I79)*($N$5:$N$80="SI")*IFERROR($E$5:$E$80*1,0))),SUMPRODUCT(MAX(($I$5:$I$80=$I79)*($N$5:$N$80="SI")*IFERROR($E$5:$E$80*1,0))))),0),0)</f>
        <v/>
      </c>
      <c r="Q79" s="57">
        <f>IF($N79="SI",ROUND($L79+$M79+$O79+$P79,4),0)</f>
        <v/>
      </c>
      <c r="R79" s="57">
        <f>IF($A79="","",IF(IFERROR(VALUE($D79),0)&lt;&gt;1,"Non attiva",IF(OR(IFERROR(VALUE($J79),0)&lt;&gt;1,IFERROR(VALUE($K79),0)&lt;&gt;1),"Singoli non attivi",IF(OR(IFERROR(INDEX(Offerte!$G$2:$G$81,MATCH($A79&amp;"|"&amp;$H79,Offerte!$L$2:$L$81,0)),"NO")&lt;&gt;"SI",IFERROR(INDEX(Offerte!$G$2:$G$81,MATCH($A79&amp;"|"&amp;$I79,Offerte!$L$2:$L$81,0)),"NO")&lt;&gt;"SI"),"Soglia non superata",IF(OR(IFERROR(VALUE($F79),0)&lt;&gt;1,IFERROR(VALUE($G79),0)&lt;&gt;1),"Buste/PEF non confermati",IF(IFERROR(VALUE($E79),0)&lt;=$U79,"Ribasso non migliorativo",""))))))</f>
        <v/>
      </c>
      <c r="S79" s="57">
        <f>IF($H79="","",IFERROR(INDEX(Offerte!$F$2:$F$81,MATCH($A79&amp;"|"&amp;$H79,Offerte!$L$2:$L$81,0)),0))</f>
        <v/>
      </c>
      <c r="T79" s="57">
        <f>IF($I79="","",IFERROR(INDEX(Offerte!$F$2:$F$81,MATCH($A79&amp;"|"&amp;$I79,Offerte!$L$2:$L$81,0)),0))</f>
        <v/>
      </c>
      <c r="U79" s="57">
        <f>IF($A79="","",ROUND((IFERROR(VALUE($S79),0)+IFERROR(VALUE($T79),0))/2,4))</f>
        <v/>
      </c>
      <c r="V79" s="57">
        <f>IF($A79="","",$C79&amp;"|"&amp;TEXT($Q79,"0.0000"))</f>
        <v/>
      </c>
      <c r="W79" s="57">
        <f>IF($A79="","",$C79&amp;"|"&amp;$A79)</f>
        <v/>
      </c>
    </row>
    <row r="80">
      <c r="A80" s="73" t="n"/>
      <c r="B80" s="73">
        <f>IF($A80="","",IFERROR(INDEX(Offerte!$B$2:$B$81,MATCH($A80,Offerte!$A$2:$A$81,0)),""))</f>
        <v/>
      </c>
      <c r="C80" s="73" t="n"/>
      <c r="D80" s="73" t="n"/>
      <c r="E80" s="73" t="n"/>
      <c r="F80" s="73" t="n"/>
      <c r="G80" s="73" t="n"/>
      <c r="H80" s="57">
        <f>IF($C80="L1+L2","L1",IF($C80="L2+L3","L2",IF($C80="L3+L4","L3",IF($C80="L1+L4","L1",""))))</f>
        <v/>
      </c>
      <c r="I80" s="57">
        <f>IF($C80="L1+L2","L2",IF($C80="L2+L3","L3",IF($C80="L3+L4","L4",IF($C80="L1+L4","L4",""))))</f>
        <v/>
      </c>
      <c r="J80" s="57">
        <f>IF($H80="","",IFERROR(INDEX(Offerte!$D$2:$D$81,MATCH($A80&amp;"|"&amp;$H80,Offerte!$L$2:$L$81,0)),0))</f>
        <v/>
      </c>
      <c r="K80" s="57">
        <f>IF($I80="","",IFERROR(INDEX(Offerte!$D$2:$D$81,MATCH($A80&amp;"|"&amp;$I80,Offerte!$L$2:$L$81,0)),0))</f>
        <v/>
      </c>
      <c r="L80" s="57">
        <f>IF($H80="","",IFERROR(INDEX(Offerte!$E$2:$E$81,MATCH($A80&amp;"|"&amp;$H80,Offerte!$L$2:$L$81,0)),0))</f>
        <v/>
      </c>
      <c r="M80" s="57">
        <f>IF($I80="","",IFERROR(INDEX(Offerte!$E$2:$E$81,MATCH($A80&amp;"|"&amp;$I80,Offerte!$L$2:$L$81,0)),0))</f>
        <v/>
      </c>
      <c r="N80" s="57">
        <f>IF($A80="","",IF(IFERROR(VALUE($D80),0)&lt;&gt;1,"NO",IF(AND(IFERROR(VALUE($J80),0)=1,IFERROR(VALUE($K80),0)=1,IFERROR(INDEX(Offerte!$G$2:$G$81,MATCH($A80&amp;"|"&amp;$H80,Offerte!$L$2:$L$81,0)),"NO")="SI",IFERROR(INDEX(Offerte!$G$2:$G$81,MATCH($A80&amp;"|"&amp;$I80,Offerte!$L$2:$L$81,0)),"NO")="SI",IFERROR(VALUE($F80),0)=1,IFERROR(VALUE($G80),0)=1,IFERROR(VALUE($E80),0)&gt;$U80),"SI","NO")))</f>
        <v/>
      </c>
      <c r="O80" s="57">
        <f>IF($N80="SI",IFERROR(30*(IFERROR(VALUE($E80),0)/MAX(SUMPRODUCT(MAX((Offerte!$C$2:$C$81=$H80)*(IFERROR(Offerte!$D$2:$D$81*1,0)=1)*(IFERROR(Offerte!$E$2:$E$81*1,0)&gt;=Parametri!$B$2)*IFERROR(Offerte!$F$2:$F$81*1,0))),SUMPRODUCT(MAX(($H$5:$H$80=$H80)*($N$5:$N$80="SI")*IFERROR($E$5:$E$80*1,0))),SUMPRODUCT(MAX(($I$5:$I$80=$H80)*($N$5:$N$80="SI")*IFERROR($E$5:$E$80*1,0))))),0),0)</f>
        <v/>
      </c>
      <c r="P80" s="57">
        <f>IF($N80="SI",IFERROR(30*(IFERROR(VALUE($E80),0)/MAX(SUMPRODUCT(MAX((Offerte!$C$2:$C$81=$I80)*(IFERROR(Offerte!$D$2:$D$81*1,0)=1)*(IFERROR(Offerte!$E$2:$E$81*1,0)&gt;=Parametri!$B$2)*IFERROR(Offerte!$F$2:$F$81*1,0))),SUMPRODUCT(MAX(($H$5:$H$80=$I80)*($N$5:$N$80="SI")*IFERROR($E$5:$E$80*1,0))),SUMPRODUCT(MAX(($I$5:$I$80=$I80)*($N$5:$N$80="SI")*IFERROR($E$5:$E$80*1,0))))),0),0)</f>
        <v/>
      </c>
      <c r="Q80" s="57">
        <f>IF($N80="SI",ROUND($L80+$M80+$O80+$P80,4),0)</f>
        <v/>
      </c>
      <c r="R80" s="57">
        <f>IF($A80="","",IF(IFERROR(VALUE($D80),0)&lt;&gt;1,"Non attiva",IF(OR(IFERROR(VALUE($J80),0)&lt;&gt;1,IFERROR(VALUE($K80),0)&lt;&gt;1),"Singoli non attivi",IF(OR(IFERROR(INDEX(Offerte!$G$2:$G$81,MATCH($A80&amp;"|"&amp;$H80,Offerte!$L$2:$L$81,0)),"NO")&lt;&gt;"SI",IFERROR(INDEX(Offerte!$G$2:$G$81,MATCH($A80&amp;"|"&amp;$I80,Offerte!$L$2:$L$81,0)),"NO")&lt;&gt;"SI"),"Soglia non superata",IF(OR(IFERROR(VALUE($F80),0)&lt;&gt;1,IFERROR(VALUE($G80),0)&lt;&gt;1),"Buste/PEF non confermati",IF(IFERROR(VALUE($E80),0)&lt;=$U80,"Ribasso non migliorativo",""))))))</f>
        <v/>
      </c>
      <c r="S80" s="57">
        <f>IF($H80="","",IFERROR(INDEX(Offerte!$F$2:$F$81,MATCH($A80&amp;"|"&amp;$H80,Offerte!$L$2:$L$81,0)),0))</f>
        <v/>
      </c>
      <c r="T80" s="57">
        <f>IF($I80="","",IFERROR(INDEX(Offerte!$F$2:$F$81,MATCH($A80&amp;"|"&amp;$I80,Offerte!$L$2:$L$81,0)),0))</f>
        <v/>
      </c>
      <c r="U80" s="57">
        <f>IF($A80="","",ROUND((IFERROR(VALUE($S80),0)+IFERROR(VALUE($T80),0))/2,4))</f>
        <v/>
      </c>
      <c r="V80" s="57">
        <f>IF($A80="","",$C80&amp;"|"&amp;TEXT($Q80,"0.0000"))</f>
        <v/>
      </c>
      <c r="W80" s="57">
        <f>IF($A80="","",$C80&amp;"|"&amp;$A80)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mergeCells count="2">
    <mergeCell ref="A2:H2"/>
    <mergeCell ref="A1:H1"/>
  </mergeCells>
  <conditionalFormatting sqref="N5:N80">
    <cfRule type="cellIs" priority="1" operator="equal" dxfId="3">
      <formula>"SI"</formula>
    </cfRule>
    <cfRule type="cellIs" priority="2" operator="equal" dxfId="4">
      <formula>"NO"</formula>
    </cfRule>
  </conditionalFormatting>
  <dataValidations count="3">
    <dataValidation sqref="C5:C80" showDropDown="0" showInputMessage="0" showErrorMessage="0" allowBlank="1" type="list">
      <formula1>"L1+L2,L2+L3,L3+L4,L1+L4"</formula1>
    </dataValidation>
    <dataValidation sqref="D5:D80 F5:F80 G5:G80" showDropDown="0" showInputMessage="0" showErrorMessage="0" allowBlank="1" type="list">
      <formula1>"1,0"</formula1>
    </dataValidation>
    <dataValidation sqref="E5:E80" showDropDown="0" showInputMessage="0" showErrorMessage="0" allowBlank="1" type="decimal" operator="between">
      <formula1>0</formula1>
      <formula2>100</formula2>
    </dataValidation>
  </dataValidations>
  <pageMargins left="0.25" right="0.25" top="0.5" bottom="0.5" header="0.5" footer="0.5"/>
  <pageSetup fitToHeight="0" fitToWidth="1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tabColor rgb="00183B38"/>
    <outlinePr summaryBelow="1" summaryRight="1"/>
    <pageSetUpPr fitToPage="1"/>
  </sheetPr>
  <dimension ref="A1:H35"/>
  <sheetViews>
    <sheetView showGridLines="0" tabSelected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4" customWidth="1" min="1" max="1"/>
    <col width="18" customWidth="1" min="2" max="2"/>
    <col width="26" customWidth="1" min="3" max="3"/>
    <col width="14" customWidth="1" min="4" max="4"/>
    <col width="14" customWidth="1" min="5" max="5"/>
    <col width="14" customWidth="1" min="6" max="6"/>
    <col width="34" customWidth="1" min="7" max="7"/>
    <col width="14" customWidth="1" min="8" max="8"/>
  </cols>
  <sheetData>
    <row r="1" ht="28" customHeight="1">
      <c r="A1" s="39" t="inlineStr">
        <is>
          <t>Report risultati</t>
        </is>
      </c>
    </row>
    <row r="2">
      <c r="A2" s="40" t="inlineStr">
        <is>
          <t>Vista leggibile per lotto, combinatorie e stato scenario. Le tabelle raw restano nei fogli tecnici.</t>
        </is>
      </c>
    </row>
    <row r="3"/>
    <row r="4" ht="22" customHeight="1">
      <c r="A4" s="41" t="inlineStr">
        <is>
          <t>Vincitori per lotto</t>
        </is>
      </c>
    </row>
    <row r="5" ht="24" customHeight="1">
      <c r="A5" s="54" t="inlineStr">
        <is>
          <t>Lotto</t>
        </is>
      </c>
      <c r="B5" s="54" t="inlineStr">
        <is>
          <t>BidderId</t>
        </is>
      </c>
      <c r="C5" s="54" t="inlineStr">
        <is>
          <t>BidderNome</t>
        </is>
      </c>
      <c r="D5" s="54" t="inlineStr">
        <is>
          <t>Totale</t>
        </is>
      </c>
      <c r="E5" s="54" t="inlineStr">
        <is>
          <t>Tecnico</t>
        </is>
      </c>
      <c r="F5" s="54" t="inlineStr">
        <is>
          <t>Economico</t>
        </is>
      </c>
      <c r="G5" s="54" t="inlineStr">
        <is>
          <t>Warning</t>
        </is>
      </c>
      <c r="H5" s="54" t="inlineStr">
        <is>
          <t>Origine</t>
        </is>
      </c>
    </row>
    <row r="6">
      <c r="A6" s="57">
        <f>ScenarioGlobale!A6</f>
        <v/>
      </c>
      <c r="B6" s="57">
        <f>ScenarioGlobale!B6</f>
        <v/>
      </c>
      <c r="C6" s="57">
        <f>ScenarioGlobale!C6</f>
        <v/>
      </c>
      <c r="D6" s="57">
        <f>ScenarioGlobale!D6</f>
        <v/>
      </c>
      <c r="E6" s="57">
        <f>ScenarioGlobale!E6</f>
        <v/>
      </c>
      <c r="F6" s="57">
        <f>ScenarioGlobale!F6</f>
        <v/>
      </c>
      <c r="G6" s="57">
        <f>ScenarioGlobale!G6</f>
        <v/>
      </c>
      <c r="H6" s="57">
        <f>ScenarioGlobale!H6</f>
        <v/>
      </c>
    </row>
    <row r="7">
      <c r="A7" s="57">
        <f>ScenarioGlobale!A7</f>
        <v/>
      </c>
      <c r="B7" s="57">
        <f>ScenarioGlobale!B7</f>
        <v/>
      </c>
      <c r="C7" s="57">
        <f>ScenarioGlobale!C7</f>
        <v/>
      </c>
      <c r="D7" s="57">
        <f>ScenarioGlobale!D7</f>
        <v/>
      </c>
      <c r="E7" s="57">
        <f>ScenarioGlobale!E7</f>
        <v/>
      </c>
      <c r="F7" s="57">
        <f>ScenarioGlobale!F7</f>
        <v/>
      </c>
      <c r="G7" s="57">
        <f>ScenarioGlobale!G7</f>
        <v/>
      </c>
      <c r="H7" s="57">
        <f>ScenarioGlobale!H7</f>
        <v/>
      </c>
    </row>
    <row r="8">
      <c r="A8" s="57">
        <f>ScenarioGlobale!A8</f>
        <v/>
      </c>
      <c r="B8" s="57">
        <f>ScenarioGlobale!B8</f>
        <v/>
      </c>
      <c r="C8" s="57">
        <f>ScenarioGlobale!C8</f>
        <v/>
      </c>
      <c r="D8" s="57">
        <f>ScenarioGlobale!D8</f>
        <v/>
      </c>
      <c r="E8" s="57">
        <f>ScenarioGlobale!E8</f>
        <v/>
      </c>
      <c r="F8" s="57">
        <f>ScenarioGlobale!F8</f>
        <v/>
      </c>
      <c r="G8" s="57">
        <f>ScenarioGlobale!G8</f>
        <v/>
      </c>
      <c r="H8" s="57">
        <f>ScenarioGlobale!H8</f>
        <v/>
      </c>
    </row>
    <row r="9">
      <c r="A9" s="57">
        <f>ScenarioGlobale!A9</f>
        <v/>
      </c>
      <c r="B9" s="57">
        <f>ScenarioGlobale!B9</f>
        <v/>
      </c>
      <c r="C9" s="57">
        <f>ScenarioGlobale!C9</f>
        <v/>
      </c>
      <c r="D9" s="57">
        <f>ScenarioGlobale!D9</f>
        <v/>
      </c>
      <c r="E9" s="57">
        <f>ScenarioGlobale!E9</f>
        <v/>
      </c>
      <c r="F9" s="57">
        <f>ScenarioGlobale!F9</f>
        <v/>
      </c>
      <c r="G9" s="57">
        <f>ScenarioGlobale!G9</f>
        <v/>
      </c>
      <c r="H9" s="57">
        <f>ScenarioGlobale!H9</f>
        <v/>
      </c>
    </row>
    <row r="10"/>
    <row r="11"/>
    <row r="12" ht="22" customHeight="1">
      <c r="A12" s="41" t="inlineStr">
        <is>
          <t>Combinatorie principali</t>
        </is>
      </c>
    </row>
    <row r="13" ht="24" customHeight="1">
      <c r="A13" s="54" t="inlineStr">
        <is>
          <t>Coppia</t>
        </is>
      </c>
      <c r="B13" s="54" t="inlineStr">
        <is>
          <t>BidderId</t>
        </is>
      </c>
      <c r="C13" s="54" t="inlineStr">
        <is>
          <t>BidderNome</t>
        </is>
      </c>
      <c r="D13" s="54" t="inlineStr">
        <is>
          <t>Totale</t>
        </is>
      </c>
      <c r="E13" s="54" t="inlineStr">
        <is>
          <t>Ammissibile</t>
        </is>
      </c>
      <c r="F13" s="54" t="inlineStr">
        <is>
          <t>Ribasso</t>
        </is>
      </c>
      <c r="G13" s="54" t="inlineStr">
        <is>
          <t>Note</t>
        </is>
      </c>
      <c r="H13" s="54" t="inlineStr">
        <is>
          <t>Origine</t>
        </is>
      </c>
    </row>
    <row r="14">
      <c r="A14" s="57">
        <f>ScenarioGlobale!A14</f>
        <v/>
      </c>
      <c r="B14" s="57">
        <f>ScenarioGlobale!B14</f>
        <v/>
      </c>
      <c r="C14" s="57">
        <f>ScenarioGlobale!C14</f>
        <v/>
      </c>
      <c r="D14" s="57">
        <f>ScenarioGlobale!D14</f>
        <v/>
      </c>
      <c r="E14" s="57">
        <f>ScenarioGlobale!E14</f>
        <v/>
      </c>
      <c r="F14" s="57">
        <f>ScenarioGlobale!F14</f>
        <v/>
      </c>
      <c r="G14" s="57">
        <f>ScenarioGlobale!G14</f>
        <v/>
      </c>
      <c r="H14" s="57">
        <f>ScenarioGlobale!H14</f>
        <v/>
      </c>
    </row>
    <row r="15">
      <c r="A15" s="57">
        <f>ScenarioGlobale!A15</f>
        <v/>
      </c>
      <c r="B15" s="57">
        <f>ScenarioGlobale!B15</f>
        <v/>
      </c>
      <c r="C15" s="57">
        <f>ScenarioGlobale!C15</f>
        <v/>
      </c>
      <c r="D15" s="57">
        <f>ScenarioGlobale!D15</f>
        <v/>
      </c>
      <c r="E15" s="57">
        <f>ScenarioGlobale!E15</f>
        <v/>
      </c>
      <c r="F15" s="57">
        <f>ScenarioGlobale!F15</f>
        <v/>
      </c>
      <c r="G15" s="57">
        <f>ScenarioGlobale!G15</f>
        <v/>
      </c>
      <c r="H15" s="57">
        <f>ScenarioGlobale!H15</f>
        <v/>
      </c>
    </row>
    <row r="16">
      <c r="A16" s="57">
        <f>ScenarioGlobale!A16</f>
        <v/>
      </c>
      <c r="B16" s="57">
        <f>ScenarioGlobale!B16</f>
        <v/>
      </c>
      <c r="C16" s="57">
        <f>ScenarioGlobale!C16</f>
        <v/>
      </c>
      <c r="D16" s="57">
        <f>ScenarioGlobale!D16</f>
        <v/>
      </c>
      <c r="E16" s="57">
        <f>ScenarioGlobale!E16</f>
        <v/>
      </c>
      <c r="F16" s="57">
        <f>ScenarioGlobale!F16</f>
        <v/>
      </c>
      <c r="G16" s="57">
        <f>ScenarioGlobale!G16</f>
        <v/>
      </c>
      <c r="H16" s="57">
        <f>ScenarioGlobale!H16</f>
        <v/>
      </c>
    </row>
    <row r="17">
      <c r="A17" s="57">
        <f>ScenarioGlobale!A17</f>
        <v/>
      </c>
      <c r="B17" s="57">
        <f>ScenarioGlobale!B17</f>
        <v/>
      </c>
      <c r="C17" s="57">
        <f>ScenarioGlobale!C17</f>
        <v/>
      </c>
      <c r="D17" s="57">
        <f>ScenarioGlobale!D17</f>
        <v/>
      </c>
      <c r="E17" s="57">
        <f>ScenarioGlobale!E17</f>
        <v/>
      </c>
      <c r="F17" s="57">
        <f>ScenarioGlobale!F17</f>
        <v/>
      </c>
      <c r="G17" s="57">
        <f>ScenarioGlobale!G17</f>
        <v/>
      </c>
      <c r="H17" s="57">
        <f>ScenarioGlobale!H17</f>
        <v/>
      </c>
    </row>
    <row r="18"/>
    <row r="19"/>
    <row r="20" ht="22" customHeight="1">
      <c r="A20" s="41" t="inlineStr">
        <is>
          <t>Scenario complessivo</t>
        </is>
      </c>
    </row>
    <row r="21" ht="24" customHeight="1">
      <c r="A21" s="54" t="inlineStr">
        <is>
          <t>Scenario</t>
        </is>
      </c>
      <c r="B21" s="54" t="inlineStr">
        <is>
          <t>L1</t>
        </is>
      </c>
      <c r="C21" s="54" t="inlineStr">
        <is>
          <t>L2</t>
        </is>
      </c>
      <c r="D21" s="54" t="inlineStr">
        <is>
          <t>L3</t>
        </is>
      </c>
      <c r="E21" s="54" t="inlineStr">
        <is>
          <t>L4</t>
        </is>
      </c>
      <c r="F21" s="54" t="inlineStr">
        <is>
          <t>Totale</t>
        </is>
      </c>
      <c r="G21" s="54" t="inlineStr">
        <is>
          <t>Nota</t>
        </is>
      </c>
      <c r="H21" s="54" t="inlineStr">
        <is>
          <t>Rank</t>
        </is>
      </c>
    </row>
    <row r="22">
      <c r="A22" s="48">
        <f>ScenarioGlobale!A22</f>
        <v/>
      </c>
      <c r="B22" s="48">
        <f>ScenarioGlobale!B22</f>
        <v/>
      </c>
      <c r="C22" s="48">
        <f>ScenarioGlobale!C22</f>
        <v/>
      </c>
      <c r="D22" s="48">
        <f>ScenarioGlobale!D22</f>
        <v/>
      </c>
      <c r="E22" s="48">
        <f>ScenarioGlobale!E22</f>
        <v/>
      </c>
      <c r="F22" s="48">
        <f>ScenarioGlobale!F22</f>
        <v/>
      </c>
      <c r="G22" s="48">
        <f>ScenarioGlobale!G22</f>
        <v/>
      </c>
      <c r="H22" s="48">
        <f>ScenarioGlobale!H22</f>
        <v/>
      </c>
    </row>
    <row r="23">
      <c r="A23" s="48">
        <f>ScenarioGlobale!A23</f>
        <v/>
      </c>
      <c r="B23" s="48">
        <f>ScenarioGlobale!B23</f>
        <v/>
      </c>
      <c r="C23" s="48">
        <f>ScenarioGlobale!C23</f>
        <v/>
      </c>
      <c r="D23" s="48">
        <f>ScenarioGlobale!D23</f>
        <v/>
      </c>
      <c r="E23" s="48">
        <f>ScenarioGlobale!E23</f>
        <v/>
      </c>
      <c r="F23" s="48">
        <f>ScenarioGlobale!F23</f>
        <v/>
      </c>
      <c r="G23" s="48">
        <f>ScenarioGlobale!G23</f>
        <v/>
      </c>
      <c r="H23" s="48">
        <f>ScenarioGlobale!H23</f>
        <v/>
      </c>
    </row>
    <row r="24">
      <c r="A24" s="48">
        <f>ScenarioGlobale!A24</f>
        <v/>
      </c>
      <c r="B24" s="48">
        <f>ScenarioGlobale!B24</f>
        <v/>
      </c>
      <c r="C24" s="48">
        <f>ScenarioGlobale!C24</f>
        <v/>
      </c>
      <c r="D24" s="48">
        <f>ScenarioGlobale!D24</f>
        <v/>
      </c>
      <c r="E24" s="48">
        <f>ScenarioGlobale!E24</f>
        <v/>
      </c>
      <c r="F24" s="48">
        <f>ScenarioGlobale!F24</f>
        <v/>
      </c>
      <c r="G24" s="48">
        <f>ScenarioGlobale!G24</f>
        <v/>
      </c>
      <c r="H24" s="48">
        <f>ScenarioGlobale!H24</f>
        <v/>
      </c>
    </row>
    <row r="25">
      <c r="A25" s="48">
        <f>ScenarioGlobale!A25</f>
        <v/>
      </c>
      <c r="B25" s="48">
        <f>ScenarioGlobale!B25</f>
        <v/>
      </c>
      <c r="C25" s="48">
        <f>ScenarioGlobale!C25</f>
        <v/>
      </c>
      <c r="D25" s="48">
        <f>ScenarioGlobale!D25</f>
        <v/>
      </c>
      <c r="E25" s="48">
        <f>ScenarioGlobale!E25</f>
        <v/>
      </c>
      <c r="F25" s="48">
        <f>ScenarioGlobale!F25</f>
        <v/>
      </c>
      <c r="G25" s="48">
        <f>ScenarioGlobale!G25</f>
        <v/>
      </c>
      <c r="H25" s="48">
        <f>ScenarioGlobale!H25</f>
        <v/>
      </c>
    </row>
    <row r="26">
      <c r="A26" s="48">
        <f>ScenarioGlobale!A26</f>
        <v/>
      </c>
      <c r="B26" s="48">
        <f>ScenarioGlobale!B26</f>
        <v/>
      </c>
      <c r="C26" s="48">
        <f>ScenarioGlobale!C26</f>
        <v/>
      </c>
      <c r="D26" s="48">
        <f>ScenarioGlobale!D26</f>
        <v/>
      </c>
      <c r="E26" s="48">
        <f>ScenarioGlobale!E26</f>
        <v/>
      </c>
      <c r="F26" s="48">
        <f>ScenarioGlobale!F26</f>
        <v/>
      </c>
      <c r="G26" s="48">
        <f>ScenarioGlobale!G26</f>
        <v/>
      </c>
      <c r="H26" s="48">
        <f>ScenarioGlobale!H26</f>
        <v/>
      </c>
    </row>
    <row r="27">
      <c r="A27" s="48">
        <f>ScenarioGlobale!A27</f>
        <v/>
      </c>
      <c r="B27" s="48">
        <f>ScenarioGlobale!B27</f>
        <v/>
      </c>
      <c r="C27" s="48">
        <f>ScenarioGlobale!C27</f>
        <v/>
      </c>
      <c r="D27" s="48">
        <f>ScenarioGlobale!D27</f>
        <v/>
      </c>
      <c r="E27" s="48">
        <f>ScenarioGlobale!E27</f>
        <v/>
      </c>
      <c r="F27" s="48">
        <f>ScenarioGlobale!F27</f>
        <v/>
      </c>
      <c r="G27" s="48">
        <f>ScenarioGlobale!G27</f>
        <v/>
      </c>
      <c r="H27" s="48">
        <f>ScenarioGlobale!H27</f>
        <v/>
      </c>
    </row>
    <row r="28">
      <c r="A28" s="48">
        <f>ScenarioGlobale!A28</f>
        <v/>
      </c>
      <c r="B28" s="48">
        <f>ScenarioGlobale!B28</f>
        <v/>
      </c>
      <c r="C28" s="48">
        <f>ScenarioGlobale!C28</f>
        <v/>
      </c>
      <c r="D28" s="48">
        <f>ScenarioGlobale!D28</f>
        <v/>
      </c>
      <c r="E28" s="48">
        <f>ScenarioGlobale!E28</f>
        <v/>
      </c>
      <c r="F28" s="48">
        <f>ScenarioGlobale!F28</f>
        <v/>
      </c>
      <c r="G28" s="48">
        <f>ScenarioGlobale!G28</f>
        <v/>
      </c>
      <c r="H28" s="48">
        <f>ScenarioGlobale!H28</f>
        <v/>
      </c>
    </row>
    <row r="29"/>
    <row r="30"/>
    <row r="31" ht="22" customHeight="1">
      <c r="A31" s="41" t="inlineStr">
        <is>
          <t>Stato compilazione</t>
        </is>
      </c>
    </row>
    <row r="32">
      <c r="A32" s="46" t="inlineStr">
        <is>
          <t>Offerte totali</t>
        </is>
      </c>
      <c r="B32" s="72">
        <f>COUNTA(Compila!A12:A91)</f>
        <v/>
      </c>
      <c r="C32" s="48" t="inlineStr">
        <is>
          <t>Righe concorrente-lotto compilate.</t>
        </is>
      </c>
      <c r="D32" s="48" t="n"/>
      <c r="E32" s="48" t="n"/>
      <c r="F32" s="48" t="n"/>
      <c r="G32" s="48" t="n"/>
      <c r="H32" s="48" t="n"/>
    </row>
    <row r="33">
      <c r="A33" s="46" t="inlineStr">
        <is>
          <t>Offerte pronte</t>
        </is>
      </c>
      <c r="B33" s="72">
        <f>Compila!M11</f>
        <v/>
      </c>
      <c r="C33" s="48" t="inlineStr">
        <is>
          <t>Righe senza avvisi nel foglio Compila.</t>
        </is>
      </c>
      <c r="D33" s="48" t="n"/>
      <c r="E33" s="48" t="n"/>
      <c r="F33" s="48" t="n"/>
      <c r="G33" s="48" t="n"/>
      <c r="H33" s="48" t="n"/>
    </row>
    <row r="34">
      <c r="A34" s="46" t="inlineStr">
        <is>
          <t>Avvisi aperti</t>
        </is>
      </c>
      <c r="B34" s="72">
        <f>SUM(Compila!M6:M10)</f>
        <v/>
      </c>
      <c r="C34" s="48" t="inlineStr">
        <is>
          <t>Zero significa scenario pronto per simulazione.</t>
        </is>
      </c>
      <c r="D34" s="48" t="n"/>
      <c r="E34" s="48" t="n"/>
      <c r="F34" s="48" t="n"/>
      <c r="G34" s="48" t="n"/>
      <c r="H34" s="48" t="n"/>
    </row>
    <row r="35">
      <c r="A35" s="46" t="inlineStr">
        <is>
          <t>Pacchetto JSON</t>
        </is>
      </c>
      <c r="B35" s="72" t="inlineStr">
        <is>
          <t>ScambioWeb</t>
        </is>
      </c>
      <c r="C35" s="48" t="inlineStr">
        <is>
          <t>Foglio nascosto con payload importabile nel web.</t>
        </is>
      </c>
      <c r="D35" s="48" t="n"/>
      <c r="E35" s="48" t="n"/>
      <c r="F35" s="48" t="n"/>
      <c r="G35" s="48" t="n"/>
      <c r="H35" s="48" t="n"/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mergeCells count="10">
    <mergeCell ref="A12:H12"/>
    <mergeCell ref="A4:H4"/>
    <mergeCell ref="C32:H32"/>
    <mergeCell ref="C33:H33"/>
    <mergeCell ref="A20:H20"/>
    <mergeCell ref="A2:H2"/>
    <mergeCell ref="C35:H35"/>
    <mergeCell ref="A1:H1"/>
    <mergeCell ref="A31:H31"/>
    <mergeCell ref="C34:H34"/>
  </mergeCells>
  <conditionalFormatting sqref="G6:G9">
    <cfRule type="expression" priority="1" dxfId="5">
      <formula>$G6&lt;&gt;""</formula>
    </cfRule>
  </conditionalFormatting>
  <conditionalFormatting sqref="E14:E17">
    <cfRule type="cellIs" priority="2" operator="equal" dxfId="3">
      <formula>"SI"</formula>
    </cfRule>
    <cfRule type="cellIs" priority="3" operator="equal" dxfId="4">
      <formula>"NO"</formula>
    </cfRule>
  </conditionalFormatting>
  <conditionalFormatting sqref="H22:H28">
    <cfRule type="cellIs" priority="4" operator="equal" dxfId="3">
      <formula>1</formula>
    </cfRule>
  </conditionalFormatting>
  <pageMargins left="0.25" right="0.25" top="0.5" bottom="0.5" header="0.5" footer="0.5"/>
  <pageSetup fitToHeight="0" fitToWidth="1"/>
</worksheet>
</file>

<file path=xl/worksheets/sheet7.xml><?xml version="1.0" encoding="utf-8"?>
<worksheet xmlns="http://schemas.openxmlformats.org/spreadsheetml/2006/main">
  <sheetPr>
    <tabColor rgb="00315A8A"/>
    <outlinePr summaryBelow="1" summaryRight="1"/>
    <pageSetUpPr fitToPage="1"/>
  </sheetPr>
  <dimension ref="A1:H191"/>
  <sheetViews>
    <sheetView showGridLines="0" tabSelected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8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</cols>
  <sheetData>
    <row r="1" ht="28" customHeight="1">
      <c r="A1" s="39" t="inlineStr">
        <is>
          <t>Guida operativa</t>
        </is>
      </c>
    </row>
    <row r="2">
      <c r="A2" s="40" t="inlineStr">
        <is>
          <t>Percorso d'uso, mappa dei fogli e README incorporato nel workbook.</t>
        </is>
      </c>
    </row>
    <row r="3"/>
    <row r="4" ht="22" customHeight="1">
      <c r="A4" s="41" t="inlineStr">
        <is>
          <t>Avvio rapido</t>
        </is>
      </c>
    </row>
    <row r="5">
      <c r="A5" s="58" t="inlineStr">
        <is>
          <t>1. Apri Compila e imposta soglia, lotto attivo, concorrenti, lotti e ribassi.
2. Usa i link Dettaglio A-G per completare i criteri tecnici.
3. Controlla la sezione Cosa manca.
4. Esegui CheckBeforeRun e poi SimulaScenario.
5. Leggi il Report.</t>
        </is>
      </c>
    </row>
    <row r="6"/>
    <row r="7"/>
    <row r="8"/>
    <row r="9" ht="22" customHeight="1">
      <c r="A9" s="41" t="inlineStr">
        <is>
          <t>Mappa rispetto alla web app</t>
        </is>
      </c>
    </row>
    <row r="10">
      <c r="A10" s="58" t="inlineStr">
        <is>
          <t>Scenario + Economica = Compila.
Tecnica = CriteriTecnici.
Ottimizzazione = Ottimizzazione.
Combinatorie = Combinatorie.
Risultati = Report.</t>
        </is>
      </c>
    </row>
    <row r="11"/>
    <row r="12"/>
    <row r="13"/>
    <row r="14" ht="22" customHeight="1">
      <c r="A14" s="41" t="inlineStr">
        <is>
          <t>Cosa non devi toccare</t>
        </is>
      </c>
    </row>
    <row r="15">
      <c r="A15" s="58" t="inlineStr">
        <is>
          <t>Parametri, Offerte e Risultati raw sono fogli tecnici collegati a Compila e Report. Le colonne nascoste e i fogli nascosti servono a formule, macro, scambio dati e audit.</t>
        </is>
      </c>
    </row>
    <row r="16"/>
    <row r="17"/>
    <row r="18"/>
    <row r="19" ht="22" customHeight="1">
      <c r="A19" s="41" t="inlineStr">
        <is>
          <t>Macro principali</t>
        </is>
      </c>
    </row>
    <row r="20">
      <c r="A20" s="58" t="inlineStr">
        <is>
          <t>CheckBeforeRun: valida setup e input.
SimulaScenario: calcola risultati.
OttimizzaLottoAttivo: lavora sul bidder e lotto selezionati.
ConfrontoWebGolden: confronta i totali Excel con valori web incollati nel foglio nascosto ConfrontoWeb.</t>
        </is>
      </c>
    </row>
    <row r="21"/>
    <row r="22"/>
    <row r="23"/>
    <row r="24" ht="22" customHeight="1">
      <c r="A24" s="41" t="inlineStr">
        <is>
          <t>Sicurezza macro</t>
        </is>
      </c>
    </row>
    <row r="25">
      <c r="A25" s="58" t="inlineStr">
        <is>
          <t>Dopo download da web Excel può bloccare le macro. Su macOS/Windows può servire sbloccare il file o spostarlo in una posizione attendibile.</t>
        </is>
      </c>
    </row>
    <row r="26"/>
    <row r="27"/>
    <row r="28"/>
    <row r="29" ht="22" customHeight="1">
      <c r="A29" s="41" t="inlineStr">
        <is>
          <t>README incorporato</t>
        </is>
      </c>
    </row>
    <row r="30">
      <c r="A30" s="59" t="inlineStr">
        <is>
          <t># Template Excel e moduli VBA</t>
        </is>
      </c>
    </row>
    <row r="31">
      <c r="A31" s="60" t="inlineStr">
        <is>
          <t>Implementazione Excel + VBA del simulatore con estensioni avanzate:</t>
        </is>
      </c>
    </row>
    <row r="32">
      <c r="A32" s="60" t="inlineStr">
        <is>
          <t>- simulazione punteggi tecnici/economici per lotti L1-L4;</t>
        </is>
      </c>
    </row>
    <row r="33">
      <c r="A33" s="60" t="inlineStr">
        <is>
          <t>- soglia di sbarramento tecnica;</t>
        </is>
      </c>
    </row>
    <row r="34">
      <c r="A34" s="60" t="inlineStr">
        <is>
          <t>- ranking per lotto;</t>
        </is>
      </c>
    </row>
    <row r="35">
      <c r="A35" s="60" t="inlineStr">
        <is>
          <t>- valutazione combinatorie principali (L1+L2, L2+L3, L3+L4, L1+L4);</t>
        </is>
      </c>
    </row>
    <row r="36">
      <c r="A36" s="60" t="inlineStr">
        <is>
          <t>- scenario vincente per lotti singoli con tie-break su punteggio tecnico;</t>
        </is>
      </c>
    </row>
    <row r="37">
      <c r="A37" s="60" t="inlineStr">
        <is>
          <t>- foglio `Combinatorie` con input espliciti per coppie, buste, PEF e ribasso migliorativo;</t>
        </is>
      </c>
    </row>
    <row r="38">
      <c r="A38" s="60" t="inlineStr">
        <is>
          <t>- foglio `ScenarioGlobale` con matrice indicativa singoli/combinatorie compatibili;</t>
        </is>
      </c>
    </row>
    <row r="39">
      <c r="A39" s="60" t="inlineStr">
        <is>
          <t>- foglio `Compila` come superficie unica per soglia, lotto attivo, concorrenti, lotti e ribassi;</t>
        </is>
      </c>
    </row>
    <row r="40">
      <c r="A40" s="60" t="inlineStr">
        <is>
          <t>- foglio `Report` per leggere risultati e stato scenario senza aprire le tabelle raw;</t>
        </is>
      </c>
    </row>
    <row r="41">
      <c r="A41" s="60" t="inlineStr">
        <is>
          <t>- foglio `CriteriTecnici` con input e punteggi dei sub-criteri A-G;</t>
        </is>
      </c>
    </row>
    <row r="42">
      <c r="A42" s="60" t="inlineStr">
        <is>
          <t>- foglio `ScambioWeb` con JSON copiabile per import/export con il simulatore web;</t>
        </is>
      </c>
    </row>
    <row r="43">
      <c r="A43" s="60" t="inlineStr">
        <is>
          <t>- ottimizzazione iterativa su lotto attivo con leve separate Q/T (escluso D);</t>
        </is>
      </c>
    </row>
    <row r="44">
      <c r="A44" s="60" t="inlineStr">
        <is>
          <t>- foglio di confronto golden con expected dal web.</t>
        </is>
      </c>
    </row>
    <row r="45">
      <c r="A45" s="59" t="inlineStr">
        <is>
          <t>## Template pronto all'uso</t>
        </is>
      </c>
    </row>
    <row r="46">
      <c r="A46" s="60" t="inlineStr">
        <is>
          <t>Nel pacchetto è incluso `templates/Simulatore-TPL-Lotti-1-4-template.xlsm`, già predisposto con dashboard, guida integrata, fogli operativi allineati all'organizzazione della web app e moduli VBA incorporati. I sorgenti `.bas` restano in `src/` per audit e manutenzione, ma non devono essere importati dall'utente finale.</t>
        </is>
      </c>
    </row>
    <row r="47">
      <c r="A47" s="60" t="inlineStr">
        <is>
          <t>Fogli visibili nel percorso quotidiano:</t>
        </is>
      </c>
    </row>
    <row r="48">
      <c r="A48" s="60" t="inlineStr">
        <is>
          <t>1. `Dashboard`</t>
        </is>
      </c>
    </row>
    <row r="49">
      <c r="A49" s="60" t="inlineStr">
        <is>
          <t>2. `Compila` (area Scenario + Economica)</t>
        </is>
      </c>
    </row>
    <row r="50">
      <c r="A50" s="60" t="inlineStr">
        <is>
          <t>3. `CriteriTecnici` (area Tecnica)</t>
        </is>
      </c>
    </row>
    <row r="51">
      <c r="A51" s="60" t="inlineStr">
        <is>
          <t>4. `Ottimizzazione`</t>
        </is>
      </c>
    </row>
    <row r="52">
      <c r="A52" s="60" t="inlineStr">
        <is>
          <t>5. `Combinatorie`</t>
        </is>
      </c>
    </row>
    <row r="53">
      <c r="A53" s="60" t="inlineStr">
        <is>
          <t>6. `Report`</t>
        </is>
      </c>
    </row>
    <row r="54">
      <c r="A54" s="60" t="inlineStr">
        <is>
          <t>7. `Guida`</t>
        </is>
      </c>
    </row>
    <row r="55">
      <c r="A55" s="60" t="inlineStr">
        <is>
          <t>Fogli avanzati presenti ma nascosti per ridurre complessità:</t>
        </is>
      </c>
    </row>
    <row r="56">
      <c r="A56" s="60" t="inlineStr">
        <is>
          <t>- `Parametri`</t>
        </is>
      </c>
    </row>
    <row r="57">
      <c r="A57" s="60" t="inlineStr">
        <is>
          <t>- `Offerte`</t>
        </is>
      </c>
    </row>
    <row r="58">
      <c r="A58" s="60" t="inlineStr">
        <is>
          <t>- `Risultati`</t>
        </is>
      </c>
    </row>
    <row r="59">
      <c r="A59" s="60" t="inlineStr">
        <is>
          <t>- `Istruzioni`</t>
        </is>
      </c>
    </row>
    <row r="60">
      <c r="A60" s="60" t="inlineStr">
        <is>
          <t>- `ScenarioGlobale`</t>
        </is>
      </c>
    </row>
    <row r="61">
      <c r="A61" s="60" t="inlineStr">
        <is>
          <t>- `ScambioWeb`</t>
        </is>
      </c>
    </row>
    <row r="62">
      <c r="A62" s="60" t="inlineStr">
        <is>
          <t>- `ConfrontoWeb`</t>
        </is>
      </c>
    </row>
    <row r="63">
      <c r="A63" s="60" t="inlineStr">
        <is>
          <t>- `LogOttimizzazione`</t>
        </is>
      </c>
    </row>
    <row r="64">
      <c r="A64" s="60" t="inlineStr">
        <is>
          <t>- `Glossario`</t>
        </is>
      </c>
    </row>
    <row r="65">
      <c r="A65" s="60" t="inlineStr">
        <is>
          <t>Questi fogli restano nel file per formule, macro, audit, scambio JSON con il web e manutenzione. Se servono, possono essere riattivati da Excel con `Mostra foglio`.</t>
        </is>
      </c>
    </row>
    <row r="66">
      <c r="A66" s="59" t="inlineStr">
        <is>
          <t>## Mappatura minima celle</t>
        </is>
      </c>
    </row>
    <row r="67">
      <c r="A67" s="59" t="inlineStr">
        <is>
          <t>### Foglio `Compila`</t>
        </is>
      </c>
    </row>
    <row r="68">
      <c r="A68" s="60" t="inlineStr">
        <is>
          <t>- `B5`: soglia tecnica</t>
        </is>
      </c>
    </row>
    <row r="69">
      <c r="A69" s="60" t="inlineStr">
        <is>
          <t>- `B6`: lotto attivo (`L1`/`L2`/`L3`/`L4`)</t>
        </is>
      </c>
    </row>
    <row r="70">
      <c r="A70" s="60" t="inlineStr">
        <is>
          <t>- `A:E`: input quotidiani per concorrente, nome, lotto, stato attivo e ribasso.</t>
        </is>
      </c>
    </row>
    <row r="71">
      <c r="A71" s="60" t="inlineStr">
        <is>
          <t>- `F:J`: output calcolati da fogli tecnici e macro.</t>
        </is>
      </c>
    </row>
    <row r="72">
      <c r="A72" s="60" t="inlineStr">
        <is>
          <t>- `K`: link al dettaglio A-G nel foglio `CriteriTecnici`.</t>
        </is>
      </c>
    </row>
    <row r="73">
      <c r="A73" s="60" t="inlineStr">
        <is>
          <t>- `L:N`: controlli `Cosa manca`, con conteggio avvisi e azioni consigliate.</t>
        </is>
      </c>
    </row>
    <row r="74">
      <c r="A74" s="59" t="inlineStr">
        <is>
          <t>### Foglio `Parametri` nascosto</t>
        </is>
      </c>
    </row>
    <row r="75">
      <c r="A75" s="60" t="inlineStr">
        <is>
          <t>- `B2`: soglia tecnica</t>
        </is>
      </c>
    </row>
    <row r="76">
      <c r="A76" s="60" t="inlineStr">
        <is>
          <t>- `B3`: lotto attivo (`L1`/`L2`/`L3`/`L4`)</t>
        </is>
      </c>
    </row>
    <row r="77">
      <c r="A77" s="59" t="inlineStr">
        <is>
          <t>### Foglio `Offerte` nascosto</t>
        </is>
      </c>
    </row>
    <row r="78">
      <c r="A78" s="60" t="inlineStr">
        <is>
          <t>- `A`: BidderId</t>
        </is>
      </c>
    </row>
    <row r="79">
      <c r="A79" s="60" t="inlineStr">
        <is>
          <t>- `B`: BidderNome</t>
        </is>
      </c>
    </row>
    <row r="80">
      <c r="A80" s="60" t="inlineStr">
        <is>
          <t>- `C`: Lotto (`L1`..`L4`)</t>
        </is>
      </c>
    </row>
    <row r="81">
      <c r="A81" s="60" t="inlineStr">
        <is>
          <t>- `D`: Attivo (`1/0`)</t>
        </is>
      </c>
    </row>
    <row r="82">
      <c r="A82" s="60" t="inlineStr">
        <is>
          <t>- `E`: TecnicoRiparametrato (0-70), alimentato da `CriteriTecnici`</t>
        </is>
      </c>
    </row>
    <row r="83">
      <c r="A83" s="60" t="inlineStr">
        <is>
          <t>- `F`: RibassoMedioPercento (0-100)</t>
        </is>
      </c>
    </row>
    <row r="84">
      <c r="A84" s="60" t="inlineStr">
        <is>
          <t>- `G:P`: colonne calcolate per ammissibilità, `Rmax`, economico, totale, chiavi di scenario, soglia Q/T e fonte del tecnico.</t>
        </is>
      </c>
    </row>
    <row r="85">
      <c r="A85" s="59" t="inlineStr">
        <is>
          <t>### Foglio `CriteriTecnici`</t>
        </is>
      </c>
    </row>
    <row r="86">
      <c r="A86" s="60" t="inlineStr">
        <is>
          <t>- `A:C`: collegamento a `BidderId`, `BidderNome` e `Lotto` della riga offerta.</t>
        </is>
      </c>
    </row>
    <row r="87">
      <c r="A87" s="60" t="inlineStr">
        <is>
          <t>- `D:I`: metadati del sub-criterio A-G.</t>
        </is>
      </c>
    </row>
    <row r="88">
      <c r="A88" s="60" t="inlineStr">
        <is>
          <t>- `J:M`: input utente per valore, numeratore/denominatore, flag tabellare o coefficiente discrezionale.</t>
        </is>
      </c>
    </row>
    <row r="89">
      <c r="A89" s="60" t="inlineStr">
        <is>
          <t>- `N:O`: valore calcolato e punteggio raw del sub-criterio.</t>
        </is>
      </c>
    </row>
    <row r="90">
      <c r="A90" s="60" t="inlineStr">
        <is>
          <t>- `Q:T`: chiavi tecniche nascoste usate da formule, ammissibilità e scambio web.</t>
        </is>
      </c>
    </row>
    <row r="91">
      <c r="A91" s="59" t="inlineStr">
        <is>
          <t>### Foglio `Combinatorie`</t>
        </is>
      </c>
    </row>
    <row r="92">
      <c r="A92" s="60" t="inlineStr">
        <is>
          <t>- `A`: BidderId</t>
        </is>
      </c>
    </row>
    <row r="93">
      <c r="A93" s="60" t="inlineStr">
        <is>
          <t>- `C`: Coppia (`L1+L2`, `L2+L3`, `L3+L4`, `L1+L4`)</t>
        </is>
      </c>
    </row>
    <row r="94">
      <c r="A94" s="60" t="inlineStr">
        <is>
          <t>- `D`: Attivo (`1/0`)</t>
        </is>
      </c>
    </row>
    <row r="95">
      <c r="A95" s="60" t="inlineStr">
        <is>
          <t>- `E`: RibassoCombinatoria (0-100)</t>
        </is>
      </c>
    </row>
    <row r="96">
      <c r="A96" s="60" t="inlineStr">
        <is>
          <t>- `F`: InseritoBuste (`1/0`)</t>
        </is>
      </c>
    </row>
    <row r="97">
      <c r="A97" s="60" t="inlineStr">
        <is>
          <t>- `G`: PEFCoerente (`1/0`)</t>
        </is>
      </c>
    </row>
    <row r="98">
      <c r="A98" s="60" t="inlineStr">
        <is>
          <t>- `H:W`: colonne calcolate per lotti, soglia, ammissibilità, punteggio, note e chiavi.</t>
        </is>
      </c>
    </row>
    <row r="99">
      <c r="A99" s="59" t="inlineStr">
        <is>
          <t>### Foglio `Report`</t>
        </is>
      </c>
    </row>
    <row r="100">
      <c r="A100" s="60" t="inlineStr">
        <is>
          <t>- `A6:H9`: vincitori per lotto.</t>
        </is>
      </c>
    </row>
    <row r="101">
      <c r="A101" s="60" t="inlineStr">
        <is>
          <t>- `A14:H17`: combinatorie principali.</t>
        </is>
      </c>
    </row>
    <row r="102">
      <c r="A102" s="60" t="inlineStr">
        <is>
          <t>- `A22:H28`: matrice scenario indicativa.</t>
        </is>
      </c>
    </row>
    <row r="103">
      <c r="A103" s="60" t="inlineStr">
        <is>
          <t>- `A32:H35`: stato compilazione e avvisi aperti.</t>
        </is>
      </c>
    </row>
    <row r="104">
      <c r="A104" s="59" t="inlineStr">
        <is>
          <t>### Foglio `ScambioWeb` nascosto</t>
        </is>
      </c>
    </row>
    <row r="105">
      <c r="A105" s="60" t="inlineStr">
        <is>
          <t>- `A`: JSON generato dal workbook.</t>
        </is>
      </c>
    </row>
    <row r="106">
      <c r="A106" s="60" t="inlineStr">
        <is>
          <t>- Formato: `glm-excel-v1`.</t>
        </is>
      </c>
    </row>
    <row r="107">
      <c r="A107" s="60" t="inlineStr">
        <is>
          <t>- Campi offerta: `bidderId`, `bidderName`, `lotId`, `enabled`, `technicalRaw`, `discount`.</t>
        </is>
      </c>
    </row>
    <row r="108">
      <c r="A108" s="60" t="inlineStr">
        <is>
          <t>- Campi criterio: `bidderId`, `lotId`, `criterionId`, `kind`, `value`, `numerator`, `denominator`, `flag`, `rawScore`.</t>
        </is>
      </c>
    </row>
    <row r="109">
      <c r="A109" s="60" t="inlineStr">
        <is>
          <t>- Campi combinatoria: `bidderId`, `bidderName`, `pairId`, `enabled`, `discount`, `insertedInBothBuste`, `pefCoherent`.</t>
        </is>
      </c>
    </row>
    <row r="110">
      <c r="A110" s="59" t="inlineStr">
        <is>
          <t>### Foglio `Ottimizzazione`</t>
        </is>
      </c>
    </row>
    <row r="111">
      <c r="A111" s="60" t="inlineStr">
        <is>
          <t>- `B2`: BidderId selezionato</t>
        </is>
      </c>
    </row>
    <row r="112">
      <c r="A112" s="60" t="inlineStr">
        <is>
          <t>- `B3`: Max iterazioni</t>
        </is>
      </c>
    </row>
    <row r="113">
      <c r="A113" s="60" t="inlineStr">
        <is>
          <t>- `B4`: Delta tecnico leva Q</t>
        </is>
      </c>
    </row>
    <row r="114">
      <c r="A114" s="60" t="inlineStr">
        <is>
          <t>- `B6`: Delta ribasso finanziabile per step</t>
        </is>
      </c>
    </row>
    <row r="115">
      <c r="A115" s="60" t="inlineStr">
        <is>
          <t>- `B7`: Tetto tecnico leva Q</t>
        </is>
      </c>
    </row>
    <row r="116">
      <c r="A116" s="60" t="inlineStr">
        <is>
          <t>- `B8`: Delta tecnico leva T</t>
        </is>
      </c>
    </row>
    <row r="117">
      <c r="A117" s="60" t="inlineStr">
        <is>
          <t>- `B9`: Tetto tecnico leva T</t>
        </is>
      </c>
    </row>
    <row r="118">
      <c r="A118" s="59" t="inlineStr">
        <is>
          <t>## Macro principali</t>
        </is>
      </c>
    </row>
    <row r="119">
      <c r="A119" s="60" t="inlineStr">
        <is>
          <t>- `CheckBeforeRun`</t>
        </is>
      </c>
    </row>
    <row r="120">
      <c r="A120" s="60" t="inlineStr">
        <is>
          <t>- `SimulaScenario`</t>
        </is>
      </c>
    </row>
    <row r="121">
      <c r="A121" s="60" t="inlineStr">
        <is>
          <t>- `ValutaCombinatorie`</t>
        </is>
      </c>
    </row>
    <row r="122">
      <c r="A122" s="60" t="inlineStr">
        <is>
          <t>- `OttimizzaLottoAttivo`</t>
        </is>
      </c>
    </row>
    <row r="123">
      <c r="A123" s="60" t="inlineStr">
        <is>
          <t>- `ResetLogOttimizzazione`</t>
        </is>
      </c>
    </row>
    <row r="124">
      <c r="A124" s="60" t="inlineStr">
        <is>
          <t>- `ConfrontoWebGolden`</t>
        </is>
      </c>
    </row>
    <row r="125">
      <c r="A125" s="59" t="inlineStr">
        <is>
          <t>## Avvio rapido (ready to use)</t>
        </is>
      </c>
    </row>
    <row r="126">
      <c r="A126" s="60" t="inlineStr">
        <is>
          <t>1. Apri `templates/Simulatore-TPL-Lotti-1-4-template.xlsm`.</t>
        </is>
      </c>
    </row>
    <row r="127">
      <c r="A127" s="60" t="inlineStr">
        <is>
          <t>2. Abilita le macro se Excel lo richiede.</t>
        </is>
      </c>
    </row>
    <row r="128">
      <c r="A128" s="60" t="inlineStr">
        <is>
          <t>3. Apri `Compila`, imposta soglia, lotto attivo, concorrenti, lotti e ribassi.</t>
        </is>
      </c>
    </row>
    <row r="129">
      <c r="A129" s="60" t="inlineStr">
        <is>
          <t>4. Completa `CriteriTecnici` quando servono i sub-criteri A-G.</t>
        </is>
      </c>
    </row>
    <row r="130">
      <c r="A130" s="60" t="inlineStr">
        <is>
          <t>5. Esegui in ordine: `CheckBeforeRun`, `SimulaScenario`, `OttimizzaLottoAttivo`, `ConfrontoWebGolden`.</t>
        </is>
      </c>
    </row>
    <row r="131">
      <c r="A131" s="60" t="inlineStr">
        <is>
          <t>6. Leggi `Report`; se devi passare al web, copia il JSON generato in `ScambioWeb`.</t>
        </is>
      </c>
    </row>
    <row r="132">
      <c r="A132" s="60" t="inlineStr">
        <is>
          <t>7. Per uso quotidiano, assegna queste macro alla Barra di accesso rapido di Excel (File &gt; Opzioni &gt; Barra di accesso rapido).</t>
        </is>
      </c>
    </row>
    <row r="133">
      <c r="A133" s="59" t="inlineStr">
        <is>
          <t>## Come usare il confronto golden</t>
        </is>
      </c>
    </row>
    <row r="134">
      <c r="A134" s="60" t="inlineStr">
        <is>
          <t>1. Esegui `SimulaScenario`.</t>
        </is>
      </c>
    </row>
    <row r="135">
      <c r="A135" s="60" t="inlineStr">
        <is>
          <t>2. Apri il tool web con lo stesso input scenario.</t>
        </is>
      </c>
    </row>
    <row r="136">
      <c r="A136" s="60" t="inlineStr">
        <is>
          <t>3. Copia i totali migliori lotto in `ConfrontoWeb!J2:J5`.</t>
        </is>
      </c>
    </row>
    <row r="137">
      <c r="A137" s="60" t="inlineStr">
        <is>
          <t>4. Esegui `ConfrontoWebGolden`.</t>
        </is>
      </c>
    </row>
    <row r="138">
      <c r="A138" s="60" t="inlineStr">
        <is>
          <t>5. Verifica esito `OK/KO` con tolleranza.</t>
        </is>
      </c>
    </row>
    <row r="139">
      <c r="A139" s="59" t="inlineStr">
        <is>
          <t>## Gap analysis: Excel vs Web</t>
        </is>
      </c>
    </row>
    <row r="140">
      <c r="A140" s="59" t="inlineStr">
        <is>
          <t>### Coperto nel pacchetto Excel VBA</t>
        </is>
      </c>
    </row>
    <row r="141">
      <c r="A141" s="60" t="inlineStr">
        <is>
          <t>- Simulazione per lotto con soglia tecnica e punteggio economico.</t>
        </is>
      </c>
    </row>
    <row r="142">
      <c r="A142" s="60" t="inlineStr">
        <is>
          <t>- Compilazione guidata da `Compila`, con controlli `Cosa manca`.</t>
        </is>
      </c>
    </row>
    <row r="143">
      <c r="A143" s="60" t="inlineStr">
        <is>
          <t>- Calcolo tecnico da sub-criteri A-G tramite foglio `CriteriTecnici`.</t>
        </is>
      </c>
    </row>
    <row r="144">
      <c r="A144" s="60" t="inlineStr">
        <is>
          <t>- Valutazione combinatorie principali (`L1+L2`, `L2+L3`, `L3+L4`, `L1+L4`).</t>
        </is>
      </c>
    </row>
    <row r="145">
      <c r="A145" s="60" t="inlineStr">
        <is>
          <t>- Report sintetico per vincitori, combinatorie, matrice scenario e stato compilazione.</t>
        </is>
      </c>
    </row>
    <row r="146">
      <c r="A146" s="60" t="inlineStr">
        <is>
          <t>- Ottimizzazione iterativa su lotto attivo con log iterazioni.</t>
        </is>
      </c>
    </row>
    <row r="147">
      <c r="A147" s="60" t="inlineStr">
        <is>
          <t>- Scambio JSON con il simulatore web tramite foglio `ScambioWeb`.</t>
        </is>
      </c>
    </row>
    <row r="148">
      <c r="A148" s="60" t="inlineStr">
        <is>
          <t>- Confronto golden con valori attesi dal tool web.</t>
        </is>
      </c>
    </row>
    <row r="149">
      <c r="A149" s="59" t="inlineStr">
        <is>
          <t>### Gap funzionali rispetto al tool Web</t>
        </is>
      </c>
    </row>
    <row r="150">
      <c r="A150" s="60" t="inlineStr">
        <is>
          <t>- **Modello criteri**: Excel ora espone i sub-criteri A-G, ma alcune letture documentali avanzate e warning restano più ricchi nel web.</t>
        </is>
      </c>
    </row>
    <row r="151">
      <c r="A151" s="60" t="inlineStr">
        <is>
          <t>- **Combinatorie**: la logica Excel è semplificata e non copre integralmente tutti i vincoli documentali e i warning avanzati.</t>
        </is>
      </c>
    </row>
    <row r="152">
      <c r="A152" s="60" t="inlineStr">
        <is>
          <t>- **Scenario globale**: la matrice Excel confronta singoli e coppie compatibili principali, ma non replica ancora enumerazione completa, deroga al limite di due lotti e batch/stress test del web.</t>
        </is>
      </c>
    </row>
    <row r="153">
      <c r="A153" s="60" t="inlineStr">
        <is>
          <t>- **Persistenza**: lo scambio `glm-excel-v1` è supportato, ma non sostituisce snapshot completi, migrazioni schema/versioni e compatibilità legacy del web.</t>
        </is>
      </c>
    </row>
    <row r="154">
      <c r="A154" s="60" t="inlineStr">
        <is>
          <t>- **UX operativa**: assenti confronto scenari salvati, pannelli insight e filtri completi della UI React.</t>
        </is>
      </c>
    </row>
    <row r="155">
      <c r="A155" s="59" t="inlineStr">
        <is>
          <t>### Gap non funzionali</t>
        </is>
      </c>
    </row>
    <row r="156">
      <c r="A156" s="60" t="inlineStr">
        <is>
          <t>- **Test automatici**: VBA non ha suite automatica equivalente a `npm test`.</t>
        </is>
      </c>
    </row>
    <row r="157">
      <c r="A157" s="60" t="inlineStr">
        <is>
          <t>- **Tracciabilità release**: il pacchetto Excel non ha pipeline CI/CD o smoke test automatico.</t>
        </is>
      </c>
    </row>
    <row r="158">
      <c r="A158" s="60" t="inlineStr">
        <is>
          <t>- **Manutenibilità**: maggiore rischio divergenza formula/comportamento tra Excel e web nel tempo.</t>
        </is>
      </c>
    </row>
    <row r="159">
      <c r="A159" s="59" t="inlineStr">
        <is>
          <t>### Priorità di chiusura gap consigliata</t>
        </is>
      </c>
    </row>
    <row r="160">
      <c r="A160" s="60" t="inlineStr">
        <is>
          <t>1. Allineare formule di scoring e warning critici con casi golden versionati.</t>
        </is>
      </c>
    </row>
    <row r="161">
      <c r="A161" s="60" t="inlineStr">
        <is>
          <t>2. Estendere i warning documentali nel workbook senza duplicare logica non necessaria.</t>
        </is>
      </c>
    </row>
    <row r="162">
      <c r="A162" s="60" t="inlineStr">
        <is>
          <t>3. Aggiungere batteria di test regressivi macro (casi campione su file dedicato).</t>
        </is>
      </c>
    </row>
    <row r="163">
      <c r="A163" s="59" t="inlineStr">
        <is>
          <t>## Versione pacchetto web</t>
        </is>
      </c>
    </row>
    <row r="164">
      <c r="A164" s="60" t="inlineStr">
        <is>
          <t>Il sito legge il badge versione da `public/downloads/pacchetto-excel-vba.manifest.json`.</t>
        </is>
      </c>
    </row>
    <row r="165">
      <c r="A165" s="60" t="inlineStr">
        <is>
          <t>Quando aggiorni il workbook pubblico, aggiorna anche il manifest (`version`, `builtAt`, `sha256`, `file`, `templateFile`, `minAppVersion`, `generatedBy`).</t>
        </is>
      </c>
    </row>
    <row r="166">
      <c r="A166" s="59" t="inlineStr">
        <is>
          <t>## Manutenzione del template `.xlsm`</t>
        </is>
      </c>
    </row>
    <row r="167">
      <c r="A167" s="60" t="inlineStr">
        <is>
          <t>Quando modifichi i sorgenti `src/*.bas`, apri `templates/Simulatore-TPL-Lotti-1-4-template.xlsm`, sostituisci o reimporta i moduli nel progetto VBA, salva il workbook, rifinisci layout/guida con `scripts/enhance-excel-workbook.py` e poi rigenera il file pubblico con `npm run package:excel`.</t>
        </is>
      </c>
    </row>
    <row r="168">
      <c r="A168" s="59" t="inlineStr">
        <is>
          <t>## Priorità implementate</t>
        </is>
      </c>
    </row>
    <row r="169">
      <c r="A169" s="60" t="inlineStr">
        <is>
          <t>1. **Golden versionati**: aggiunto `templates/golden-cases.csv` per tracciare expected Lotto L1-L4.</t>
        </is>
      </c>
    </row>
    <row r="170">
      <c r="A170" s="60" t="inlineStr">
        <is>
          <t>2. **Leve Q/T**: ottimizzazione con step separati e massimali distinti per ridurre divergenza con web.</t>
        </is>
      </c>
    </row>
    <row r="171">
      <c r="A171" s="60" t="inlineStr">
        <is>
          <t>3. **Validazioni macro**: aggiunto `modChecks.bas` con `CheckBeforeRun` e verifica setup fogli/soglia.</t>
        </is>
      </c>
    </row>
    <row r="172">
      <c r="A172" s="60" t="inlineStr">
        <is>
          <t>4. **Packaging ripetibile**: aggiunto script `scripts/package-excel-vba.mjs` per rigenerare workbook pubblico + manifest + hash dal template `.xlsm` macro-abilitato.</t>
        </is>
      </c>
    </row>
    <row r="173">
      <c r="A173" s="60" t="inlineStr">
        <is>
          <t>5. **Confronto strutturato**: `ConfrontoWebGolden` ora include colonna lotto e output tabellare più esplicito.</t>
        </is>
      </c>
    </row>
    <row r="174">
      <c r="A174" s="60" t="inlineStr">
        <is>
          <t>6. **Matrice scenario globale**: aggiunti `Combinatorie` e `ScenarioGlobale` per leggere in Excel singoli e coppie compatibili senza file esterni.</t>
        </is>
      </c>
    </row>
    <row r="175">
      <c r="A175" s="60" t="inlineStr">
        <is>
          <t>7. **Criteri tecnici A-G**: aggiunto `CriteriTecnici` per calcolare il tecnico dai sub-criteri invece che da un solo aggregato.</t>
        </is>
      </c>
    </row>
    <row r="176">
      <c r="A176" s="60" t="inlineStr">
        <is>
          <t>8. **Scambio Excel-web**: aggiunto `ScambioWeb` con payload `glm-excel-v1` copiabile e importabile dalla web app.</t>
        </is>
      </c>
    </row>
    <row r="177">
      <c r="A177" s="60" t="inlineStr">
        <is>
          <t>9. **Percorso guidato**: aggiunti `Compila`, `Report`, fogli tecnici nascosti/protetti e validazione workbook contro copy obsoleta.</t>
        </is>
      </c>
    </row>
    <row r="178">
      <c r="A178" s="59" t="inlineStr">
        <is>
          <t>## Prossimi step operativi (1-4)</t>
        </is>
      </c>
    </row>
    <row r="179">
      <c r="A179" s="60" t="inlineStr">
        <is>
          <t>1. Compilare `templates/golden-cases.csv` con expected reali per 5-10 scenari campione.</t>
        </is>
      </c>
    </row>
    <row r="180">
      <c r="A180" s="60" t="inlineStr">
        <is>
          <t>2. Eseguire `npm run package:excel` ad ogni aggiornamento del toolkit prima del rilascio.</t>
        </is>
      </c>
    </row>
    <row r="181">
      <c r="A181" s="60" t="inlineStr">
        <is>
          <t>3. Usare il badge web con tooltip hash breve per verificare l'allineamento del file scaricato.</t>
        </is>
      </c>
    </row>
    <row r="182">
      <c r="A182" s="60" t="inlineStr">
        <is>
          <t>4. Eseguire `CheckBeforeRun` nel workbook prima di simulazione/ottimizzazione.</t>
        </is>
      </c>
    </row>
    <row r="183">
      <c r="A183" s="59" t="inlineStr">
        <is>
          <t>## Golden session consigliata (operativa)</t>
        </is>
      </c>
    </row>
    <row r="184">
      <c r="A184" s="60" t="inlineStr">
        <is>
          <t>1. Carica `templates/offerte-esempio.csv` in `Offerte`.</t>
        </is>
      </c>
    </row>
    <row r="185">
      <c r="A185" s="60" t="inlineStr">
        <is>
          <t>2. Esegui `CheckBeforeRun`.</t>
        </is>
      </c>
    </row>
    <row r="186">
      <c r="A186" s="60" t="inlineStr">
        <is>
          <t>3. Esegui `SimulaScenario`.</t>
        </is>
      </c>
    </row>
    <row r="187">
      <c r="A187" s="60" t="inlineStr">
        <is>
          <t>4. Sul web replica lo stesso scenario e annota i totali migliori lotto.</t>
        </is>
      </c>
    </row>
    <row r="188">
      <c r="A188" s="60" t="inlineStr">
        <is>
          <t>5. Inserisci gli expected nel file `templates/golden-cases.csv` e in `ConfrontoWeb!J2:J5`.</t>
        </is>
      </c>
    </row>
    <row r="189">
      <c r="A189" s="60" t="inlineStr">
        <is>
          <t>6. Esegui `ConfrontoWebGolden` e salva esiti `OK/KO`.</t>
        </is>
      </c>
    </row>
    <row r="190">
      <c r="A190" s="59" t="inlineStr">
        <is>
          <t>## Verifica pacchetto</t>
        </is>
      </c>
    </row>
    <row r="191">
      <c r="A191" s="60" t="inlineStr">
        <is>
          <t>Dopo `npm run package:excel`, esegui `npm run validate:excel-package` per verificare hash, schema manifest, presenza del file `.xlsm` unico, fogli operativi principali, content type macro-enabled, progetto VBA incorporato, protezioni, copy aggiornata e assenza di entry duplicate nel pacchetto.</t>
        </is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mergeCells count="175">
    <mergeCell ref="A130:H130"/>
    <mergeCell ref="A77:H77"/>
    <mergeCell ref="A83:H83"/>
    <mergeCell ref="A148:H148"/>
    <mergeCell ref="A157:H157"/>
    <mergeCell ref="A15:H17"/>
    <mergeCell ref="A49:H49"/>
    <mergeCell ref="A138:H138"/>
    <mergeCell ref="A132:H132"/>
    <mergeCell ref="A110:H110"/>
    <mergeCell ref="A119:H119"/>
    <mergeCell ref="A69:H69"/>
    <mergeCell ref="A174:H174"/>
    <mergeCell ref="A183:H183"/>
    <mergeCell ref="A66:H66"/>
    <mergeCell ref="A118:H118"/>
    <mergeCell ref="A75:H75"/>
    <mergeCell ref="A133:H133"/>
    <mergeCell ref="A189:H189"/>
    <mergeCell ref="A158:H158"/>
    <mergeCell ref="A50:H50"/>
    <mergeCell ref="A55:H55"/>
    <mergeCell ref="A86:H86"/>
    <mergeCell ref="A95:H95"/>
    <mergeCell ref="A104:H104"/>
    <mergeCell ref="A160:H160"/>
    <mergeCell ref="A175:H175"/>
    <mergeCell ref="A150:H150"/>
    <mergeCell ref="A32:H32"/>
    <mergeCell ref="A159:H159"/>
    <mergeCell ref="A97:H97"/>
    <mergeCell ref="A106:H106"/>
    <mergeCell ref="A29:H29"/>
    <mergeCell ref="A134:H134"/>
    <mergeCell ref="A81:H81"/>
    <mergeCell ref="A38:H38"/>
    <mergeCell ref="A96:H96"/>
    <mergeCell ref="A152:H152"/>
    <mergeCell ref="A5:H7"/>
    <mergeCell ref="A20:H22"/>
    <mergeCell ref="A121:H121"/>
    <mergeCell ref="A161:H161"/>
    <mergeCell ref="A170:H170"/>
    <mergeCell ref="A44:H44"/>
    <mergeCell ref="A31:H31"/>
    <mergeCell ref="A58:H58"/>
    <mergeCell ref="A40:H40"/>
    <mergeCell ref="A67:H67"/>
    <mergeCell ref="A186:H186"/>
    <mergeCell ref="A24:H24"/>
    <mergeCell ref="A73:H73"/>
    <mergeCell ref="A51:H51"/>
    <mergeCell ref="A107:H107"/>
    <mergeCell ref="A82:H82"/>
    <mergeCell ref="A60:H60"/>
    <mergeCell ref="A123:H123"/>
    <mergeCell ref="A146:H146"/>
    <mergeCell ref="A124:H124"/>
    <mergeCell ref="A172:H172"/>
    <mergeCell ref="A187:H187"/>
    <mergeCell ref="A99:H99"/>
    <mergeCell ref="A108:H108"/>
    <mergeCell ref="A84:H84"/>
    <mergeCell ref="A149:H149"/>
    <mergeCell ref="A163:H163"/>
    <mergeCell ref="A101:H101"/>
    <mergeCell ref="A25:H27"/>
    <mergeCell ref="A2:H2"/>
    <mergeCell ref="A85:H85"/>
    <mergeCell ref="A42:H42"/>
    <mergeCell ref="A151:H151"/>
    <mergeCell ref="A47:H47"/>
    <mergeCell ref="A188:H188"/>
    <mergeCell ref="A126:H126"/>
    <mergeCell ref="A141:H141"/>
    <mergeCell ref="A135:H135"/>
    <mergeCell ref="A62:H62"/>
    <mergeCell ref="A144:H144"/>
    <mergeCell ref="A122:H122"/>
    <mergeCell ref="A125:H125"/>
    <mergeCell ref="A190:H190"/>
    <mergeCell ref="A72:H72"/>
    <mergeCell ref="A112:H112"/>
    <mergeCell ref="A127:H127"/>
    <mergeCell ref="A167:H167"/>
    <mergeCell ref="A48:H48"/>
    <mergeCell ref="A176:H176"/>
    <mergeCell ref="A30:H30"/>
    <mergeCell ref="A114:H114"/>
    <mergeCell ref="A59:H59"/>
    <mergeCell ref="A182:H182"/>
    <mergeCell ref="A64:H64"/>
    <mergeCell ref="A98:H98"/>
    <mergeCell ref="A191:H191"/>
    <mergeCell ref="A169:H169"/>
    <mergeCell ref="A178:H178"/>
    <mergeCell ref="A79:H79"/>
    <mergeCell ref="A61:H61"/>
    <mergeCell ref="A88:H88"/>
    <mergeCell ref="A70:H70"/>
    <mergeCell ref="A153:H153"/>
    <mergeCell ref="A162:H162"/>
    <mergeCell ref="A54:H54"/>
    <mergeCell ref="A137:H137"/>
    <mergeCell ref="A177:H177"/>
    <mergeCell ref="A41:H41"/>
    <mergeCell ref="A90:H90"/>
    <mergeCell ref="A164:H164"/>
    <mergeCell ref="A74:H74"/>
    <mergeCell ref="A56:H56"/>
    <mergeCell ref="A145:H145"/>
    <mergeCell ref="A139:H139"/>
    <mergeCell ref="A154:H154"/>
    <mergeCell ref="A179:H179"/>
    <mergeCell ref="A71:H71"/>
    <mergeCell ref="A129:H129"/>
    <mergeCell ref="A76:H76"/>
    <mergeCell ref="A33:H33"/>
    <mergeCell ref="A116:H116"/>
    <mergeCell ref="A131:H131"/>
    <mergeCell ref="A100:H100"/>
    <mergeCell ref="A140:H140"/>
    <mergeCell ref="A53:H53"/>
    <mergeCell ref="A109:H109"/>
    <mergeCell ref="A35:H35"/>
    <mergeCell ref="A180:H180"/>
    <mergeCell ref="A63:H63"/>
    <mergeCell ref="A115:H115"/>
    <mergeCell ref="A19:H19"/>
    <mergeCell ref="A68:H68"/>
    <mergeCell ref="A102:H102"/>
    <mergeCell ref="A117:H117"/>
    <mergeCell ref="A173:H173"/>
    <mergeCell ref="A111:H111"/>
    <mergeCell ref="A34:H34"/>
    <mergeCell ref="A9:H9"/>
    <mergeCell ref="A143:H143"/>
    <mergeCell ref="A92:H92"/>
    <mergeCell ref="A39:H39"/>
    <mergeCell ref="A10:H12"/>
    <mergeCell ref="A166:H166"/>
    <mergeCell ref="A142:H142"/>
    <mergeCell ref="A36:H36"/>
    <mergeCell ref="A1:H1"/>
    <mergeCell ref="A45:H45"/>
    <mergeCell ref="A94:H94"/>
    <mergeCell ref="A103:H103"/>
    <mergeCell ref="A168:H168"/>
    <mergeCell ref="A78:H78"/>
    <mergeCell ref="A87:H87"/>
    <mergeCell ref="A65:H65"/>
    <mergeCell ref="A128:H128"/>
    <mergeCell ref="A80:H80"/>
    <mergeCell ref="A37:H37"/>
    <mergeCell ref="A46:H46"/>
    <mergeCell ref="A89:H89"/>
    <mergeCell ref="A120:H120"/>
    <mergeCell ref="A136:H136"/>
    <mergeCell ref="A105:H105"/>
    <mergeCell ref="A57:H57"/>
    <mergeCell ref="A113:H113"/>
    <mergeCell ref="A14:H14"/>
    <mergeCell ref="A185:H185"/>
    <mergeCell ref="A181:H181"/>
    <mergeCell ref="A4:H4"/>
    <mergeCell ref="A91:H91"/>
    <mergeCell ref="A147:H147"/>
    <mergeCell ref="A184:H184"/>
    <mergeCell ref="A43:H43"/>
    <mergeCell ref="A156:H156"/>
    <mergeCell ref="A171:H171"/>
    <mergeCell ref="A52:H52"/>
    <mergeCell ref="A165:H165"/>
    <mergeCell ref="A155:H155"/>
    <mergeCell ref="A93:H93"/>
  </mergeCells>
  <pageMargins left="0.25" right="0.25" top="0.5" bottom="0.5" header="0.5" footer="0.5"/>
  <pageSetup fitToHeight="0" fitToWidth="1"/>
</worksheet>
</file>

<file path=xl/worksheets/sheet8.xml><?xml version="1.0" encoding="utf-8"?>
<worksheet xmlns="http://schemas.openxmlformats.org/spreadsheetml/2006/main">
  <sheetPr codeName="Foglio2">
    <tabColor rgb="0080510F"/>
    <outlinePr summaryBelow="1" summaryRight="1"/>
    <pageSetUpPr fitToPage="1"/>
  </sheetPr>
  <dimension ref="A1:C5"/>
  <sheetViews>
    <sheetView showGridLines="0" tabSelected="0"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24" customWidth="1" min="1" max="1"/>
    <col width="16" customWidth="1" min="2" max="2"/>
    <col width="60" customWidth="1" min="3" max="3"/>
  </cols>
  <sheetData>
    <row r="1" ht="24" customHeight="1">
      <c r="A1" s="54" t="inlineStr">
        <is>
          <t>Parametro</t>
        </is>
      </c>
      <c r="B1" s="54" t="inlineStr">
        <is>
          <t>Valore</t>
        </is>
      </c>
      <c r="C1" s="54" t="inlineStr">
        <is>
          <t>Note</t>
        </is>
      </c>
    </row>
    <row r="2">
      <c r="A2" s="48" t="inlineStr">
        <is>
          <t>SogliaTecnica</t>
        </is>
      </c>
      <c r="B2" s="50">
        <f>Compila!B5</f>
        <v/>
      </c>
      <c r="C2" s="48" t="inlineStr">
        <is>
          <t>Soglia tecnica minima per ammissibilità (B2)</t>
        </is>
      </c>
    </row>
    <row r="3">
      <c r="A3" s="48" t="inlineStr">
        <is>
          <t>LottoAttivo</t>
        </is>
      </c>
      <c r="B3" s="50">
        <f>Compila!B6</f>
        <v/>
      </c>
      <c r="C3" s="48" t="inlineStr">
        <is>
          <t>Lotto attivo per simulazione/ottimizzazione (B3)</t>
        </is>
      </c>
    </row>
    <row r="4">
      <c r="A4" s="48" t="inlineStr">
        <is>
          <t>PunteggioEconomicoMax</t>
        </is>
      </c>
      <c r="B4" s="55" t="n">
        <v>30</v>
      </c>
      <c r="C4" s="48" t="inlineStr">
        <is>
          <t>Max punti economici</t>
        </is>
      </c>
    </row>
    <row r="5">
      <c r="A5" s="48" t="inlineStr">
        <is>
          <t>PunteggioTecnicoMax</t>
        </is>
      </c>
      <c r="B5" s="55" t="n">
        <v>70</v>
      </c>
      <c r="C5" s="48" t="inlineStr">
        <is>
          <t>Max punti tecnici</t>
        </is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dataValidations count="2">
    <dataValidation sqref="B3" showDropDown="0" showInputMessage="0" showErrorMessage="0" allowBlank="0" type="list">
      <formula1>"L1,L2,L3,L4"</formula1>
    </dataValidation>
    <dataValidation sqref="B2" showDropDown="0" showInputMessage="0" showErrorMessage="0" allowBlank="0" type="decimal" operator="between">
      <formula1>0</formula1>
      <formula2>70</formula2>
    </dataValidation>
  </dataValidations>
  <pageMargins left="0.25" right="0.25" top="0.5" bottom="0.5" header="0.5" footer="0.5"/>
  <pageSetup fitToHeight="0" fitToWidth="1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Foglio4">
    <tabColor rgb="00315A8A"/>
    <outlinePr summaryBelow="1" summaryRight="1"/>
    <pageSetUpPr fitToPage="1"/>
  </sheetPr>
  <dimension ref="A1:P200"/>
  <sheetViews>
    <sheetView showGridLines="0" tabSelected="0"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6" customWidth="1" min="1" max="1"/>
    <col width="26" customWidth="1" min="2" max="2"/>
    <col width="12" customWidth="1" min="3" max="4"/>
    <col width="12" customWidth="1" min="4" max="4"/>
    <col width="22" customWidth="1" min="5" max="5"/>
    <col width="24" customWidth="1" min="6" max="6"/>
    <col width="18" customWidth="1" min="7" max="7"/>
    <col width="14" customWidth="1" min="8" max="8"/>
    <col width="18" customWidth="1" min="9" max="9"/>
    <col width="18" customWidth="1" min="10" max="10"/>
    <col width="22" customWidth="1" min="11" max="11"/>
    <col hidden="1" width="22" customWidth="1" min="12" max="12"/>
    <col hidden="1" width="18" customWidth="1" min="13" max="13"/>
    <col hidden="1" width="26" customWidth="1" min="14" max="14"/>
    <col hidden="1" width="18" customWidth="1" min="15" max="15"/>
    <col hidden="1" width="16" customWidth="1" min="16" max="16"/>
  </cols>
  <sheetData>
    <row r="1" ht="24" customHeight="1">
      <c r="A1" s="54" t="inlineStr">
        <is>
          <t>BidderId</t>
        </is>
      </c>
      <c r="B1" s="54" t="inlineStr">
        <is>
          <t>BidderNome</t>
        </is>
      </c>
      <c r="C1" s="54" t="inlineStr">
        <is>
          <t>Lotto</t>
        </is>
      </c>
      <c r="D1" s="54" t="inlineStr">
        <is>
          <t>Attivo</t>
        </is>
      </c>
      <c r="E1" s="54" t="inlineStr">
        <is>
          <t>TecnicoRiparametrato</t>
        </is>
      </c>
      <c r="F1" s="54" t="inlineStr">
        <is>
          <t>RibassoMedioPercento</t>
        </is>
      </c>
      <c r="G1" s="54" t="inlineStr">
        <is>
          <t>AmmessoFormula</t>
        </is>
      </c>
      <c r="H1" s="54" t="inlineStr">
        <is>
          <t>RMaxAmmessi</t>
        </is>
      </c>
      <c r="I1" s="54" t="inlineStr">
        <is>
          <t>EconomicoFormula</t>
        </is>
      </c>
      <c r="J1" s="54" t="inlineStr">
        <is>
          <t>TotaleFormula</t>
        </is>
      </c>
      <c r="K1" s="54" t="inlineStr">
        <is>
          <t>Warning</t>
        </is>
      </c>
      <c r="L1" s="54" t="inlineStr">
        <is>
          <t>ChiaveOfferta</t>
        </is>
      </c>
      <c r="M1" s="54" t="inlineStr">
        <is>
          <t>ChiaveLottoTotale</t>
        </is>
      </c>
      <c r="N1" s="54" t="inlineStr">
        <is>
          <t>TecnicoAggregatoFallback</t>
        </is>
      </c>
      <c r="O1" s="54" t="inlineStr">
        <is>
          <t>TecnicoSogliaQT</t>
        </is>
      </c>
      <c r="P1" s="54" t="inlineStr">
        <is>
          <t>FonteTecnico</t>
        </is>
      </c>
    </row>
    <row r="2">
      <c r="A2" s="56">
        <f>IF(Compila!$A12="","",Compila!$A12)</f>
        <v/>
      </c>
      <c r="B2" s="56">
        <f>IF(Compila!$A12="","",Compila!$B12)</f>
        <v/>
      </c>
      <c r="C2" s="56">
        <f>IF(Compila!$A12="","",Compila!$C12)</f>
        <v/>
      </c>
      <c r="D2" s="56">
        <f>IF(Compila!$A12="","",Compila!$D12)</f>
        <v/>
      </c>
      <c r="E2" s="57">
        <f>IF($A2="",0,IFERROR(IF(SUMIFS(CriteriTecnici!$O:$O,CriteriTecnici!$Q:$Q,$A2&amp;"|"&amp;$C2)&gt;0,IF($G2="SI",ROUND(IF(SUMPRODUCT(MAX((CriteriTecnici!$C$5:$C$2484=$C2)*(CriteriTecnici!$E$5:$E$2484="A")*(CriteriTecnici!$T$5:$T$2484="SI")*IFERROR(CriteriTecnici!$O$5:$O$2484*1,0)))&gt;0,MIN(7,SUMIFS(CriteriTecnici!$O:$O,CriteriTecnici!$Q:$Q,$A2&amp;"|"&amp;$C2,CriteriTecnici!$E:$E,"A")*(7/SUMPRODUCT(MAX((CriteriTecnici!$C$5:$C$2484=$C2)*(CriteriTecnici!$E$5:$E$2484="A")*(CriteriTecnici!$T$5:$T$2484="SI")*IFERROR(CriteriTecnici!$O$5:$O$2484*1,0))))),0)+IF(SUMPRODUCT(MAX((CriteriTecnici!$C$5:$C$2484=$C2)*(CriteriTecnici!$E$5:$E$2484="B")*(CriteriTecnici!$T$5:$T$2484="SI")*IFERROR(CriteriTecnici!$O$5:$O$2484*1,0)))&gt;0,MIN(14,SUMIFS(CriteriTecnici!$O:$O,CriteriTecnici!$Q:$Q,$A2&amp;"|"&amp;$C2,CriteriTecnici!$E:$E,"B")*(14/SUMPRODUCT(MAX((CriteriTecnici!$C$5:$C$2484=$C2)*(CriteriTecnici!$E$5:$E$2484="B")*(CriteriTecnici!$T$5:$T$2484="SI")*IFERROR(CriteriTecnici!$O$5:$O$2484*1,0))))),0)+IF(SUMPRODUCT(MAX((CriteriTecnici!$C$5:$C$2484=$C2)*(CriteriTecnici!$E$5:$E$2484="C")*(CriteriTecnici!$T$5:$T$2484="SI")*IFERROR(CriteriTecnici!$O$5:$O$2484*1,0)))&gt;0,MIN(14,SUMIFS(CriteriTecnici!$O:$O,CriteriTecnici!$Q:$Q,$A2&amp;"|"&amp;$C2,CriteriTecnici!$E:$E,"C")*(14/SUMPRODUCT(MAX((CriteriTecnici!$C$5:$C$2484=$C2)*(CriteriTecnici!$E$5:$E$2484="C")*(CriteriTecnici!$T$5:$T$2484="SI")*IFERROR(CriteriTecnici!$O$5:$O$2484*1,0))))),0)+IF(SUMPRODUCT(MAX((CriteriTecnici!$C$5:$C$2484=$C2)*(CriteriTecnici!$E$5:$E$2484="D")*(CriteriTecnici!$T$5:$T$2484="SI")*IFERROR(CriteriTecnici!$O$5:$O$2484*1,0)))&gt;0,MIN(10,SUMIFS(CriteriTecnici!$O:$O,CriteriTecnici!$Q:$Q,$A2&amp;"|"&amp;$C2,CriteriTecnici!$E:$E,"D")*(10/SUMPRODUCT(MAX((CriteriTecnici!$C$5:$C$2484=$C2)*(CriteriTecnici!$E$5:$E$2484="D")*(CriteriTecnici!$T$5:$T$2484="SI")*IFERROR(CriteriTecnici!$O$5:$O$2484*1,0))))),0)+IF(SUMPRODUCT(MAX((CriteriTecnici!$C$5:$C$2484=$C2)*(CriteriTecnici!$E$5:$E$2484="E")*(CriteriTecnici!$T$5:$T$2484="SI")*IFERROR(CriteriTecnici!$O$5:$O$2484*1,0)))&gt;0,MIN(4,SUMIFS(CriteriTecnici!$O:$O,CriteriTecnici!$Q:$Q,$A2&amp;"|"&amp;$C2,CriteriTecnici!$E:$E,"E")*(4/SUMPRODUCT(MAX((CriteriTecnici!$C$5:$C$2484=$C2)*(CriteriTecnici!$E$5:$E$2484="E")*(CriteriTecnici!$T$5:$T$2484="SI")*IFERROR(CriteriTecnici!$O$5:$O$2484*1,0))))),0)+IF(SUMPRODUCT(MAX((CriteriTecnici!$C$5:$C$2484=$C2)*(CriteriTecnici!$E$5:$E$2484="F")*(CriteriTecnici!$T$5:$T$2484="SI")*IFERROR(CriteriTecnici!$O$5:$O$2484*1,0)))&gt;0,MIN(14,SUMIFS(CriteriTecnici!$O:$O,CriteriTecnici!$Q:$Q,$A2&amp;"|"&amp;$C2,CriteriTecnici!$E:$E,"F")*(14/SUMPRODUCT(MAX((CriteriTecnici!$C$5:$C$2484=$C2)*(CriteriTecnici!$E$5:$E$2484="F")*(CriteriTecnici!$T$5:$T$2484="SI")*IFERROR(CriteriTecnici!$O$5:$O$2484*1,0))))),0)+IF(SUMPRODUCT(MAX((CriteriTecnici!$C$5:$C$2484=$C2)*(CriteriTecnici!$E$5:$E$2484="G")*(CriteriTecnici!$T$5:$T$2484="SI")*IFERROR(CriteriTecnici!$O$5:$O$2484*1,0)))&gt;0,MIN(7,SUMIFS(CriteriTecnici!$O:$O,CriteriTecnici!$Q:$Q,$A2&amp;"|"&amp;$C2,CriteriTecnici!$E:$E,"G")*(7/SUMPRODUCT(MAX((CriteriTecnici!$C$5:$C$2484=$C2)*(CriteriTecnici!$E$5:$E$2484="G")*(CriteriTecnici!$T$5:$T$2484="SI")*IFERROR(CriteriTecnici!$O$5:$O$2484*1,0))))),0),4),0),IFERROR($N2*1,0)),0))</f>
        <v/>
      </c>
      <c r="F2" s="56">
        <f>IF(Compila!$A12="","",Compila!$E12)</f>
        <v/>
      </c>
      <c r="G2" s="57">
        <f>IF($A2="","",IF(IFERROR(VALUE($D2),0)&lt;&gt;1,"NO",IF(IFERROR(VALUE($O2),0)&gt;=Parametri!$B$2,"SI","NO")))</f>
        <v/>
      </c>
      <c r="H2" s="57">
        <f>IF($G2="SI",SUMPRODUCT(MAX(($C$2:$C$81=$C2)*(IFERROR($D$2:$D$81*1,0)=1)*(IFERROR($O$2:$O$81*1,0)&gt;=Parametri!$B$2)*IFERROR($F$2:$F$81*1,0))),0)</f>
        <v/>
      </c>
      <c r="I2" s="57">
        <f>IF($G2="SI",IF($H2&gt;0,30*(IFERROR($F2*1,0)/$H2),0),0)</f>
        <v/>
      </c>
      <c r="J2" s="57">
        <f>IF($A2="",0,IF($G2="SI",ROUND(IFERROR($E2*1,0)+$I2,4),ROUND(IFERROR($E2*1,0),4)))</f>
        <v/>
      </c>
      <c r="K2" s="57">
        <f>IF($A2="","",IF(IFERROR(VALUE($D2),0)&lt;&gt;1,"Non attiva",IF(IFERROR(VALUE($O2),0)&lt;Parametri!$B$2,"Sotto soglia","")))</f>
        <v/>
      </c>
      <c r="L2" s="57">
        <f>IF($A2="","",$A2&amp;"|"&amp;$C2)</f>
        <v/>
      </c>
      <c r="M2" s="57">
        <f>IF($A2="","",$C2&amp;"|"&amp;TEXT($J2,"0.0000"))</f>
        <v/>
      </c>
      <c r="N2" s="57" t="n">
        <v>42</v>
      </c>
      <c r="O2" s="57">
        <f>IF($A2="",0,IFERROR(IF(SUMIFS(CriteriTecnici!$O:$O,CriteriTecnici!$Q:$Q,$A2&amp;"|"&amp;$C2)&gt;0,SUMIFS(CriteriTecnici!$O:$O,CriteriTecnici!$Q:$Q,$A2&amp;"|"&amp;$C2,CriteriTecnici!$F:$F,"Q")+SUMIFS(CriteriTecnici!$O:$O,CriteriTecnici!$Q:$Q,$A2&amp;"|"&amp;$C2,CriteriTecnici!$F:$F,"T"),IFERROR($N2*1,0)),0))</f>
        <v/>
      </c>
      <c r="P2" s="57">
        <f>IF($A2="","",IF(SUMIFS(CriteriTecnici!$O:$O,CriteriTecnici!$Q:$Q,$A2&amp;"|"&amp;$C2)&gt;0,"Criteri A-G","Aggregato"))</f>
        <v/>
      </c>
    </row>
    <row r="3">
      <c r="A3" s="56">
        <f>IF(Compila!$A13="","",Compila!$A13)</f>
        <v/>
      </c>
      <c r="B3" s="56">
        <f>IF(Compila!$A13="","",Compila!$B13)</f>
        <v/>
      </c>
      <c r="C3" s="56">
        <f>IF(Compila!$A13="","",Compila!$C13)</f>
        <v/>
      </c>
      <c r="D3" s="56">
        <f>IF(Compila!$A13="","",Compila!$D13)</f>
        <v/>
      </c>
      <c r="E3" s="57">
        <f>IF($A3="",0,IFERROR(IF(SUMIFS(CriteriTecnici!$O:$O,CriteriTecnici!$Q:$Q,$A3&amp;"|"&amp;$C3)&gt;0,IF($G3="SI",ROUND(IF(SUMPRODUCT(MAX((CriteriTecnici!$C$5:$C$2484=$C3)*(CriteriTecnici!$E$5:$E$2484="A")*(CriteriTecnici!$T$5:$T$2484="SI")*IFERROR(CriteriTecnici!$O$5:$O$2484*1,0)))&gt;0,MIN(7,SUMIFS(CriteriTecnici!$O:$O,CriteriTecnici!$Q:$Q,$A3&amp;"|"&amp;$C3,CriteriTecnici!$E:$E,"A")*(7/SUMPRODUCT(MAX((CriteriTecnici!$C$5:$C$2484=$C3)*(CriteriTecnici!$E$5:$E$2484="A")*(CriteriTecnici!$T$5:$T$2484="SI")*IFERROR(CriteriTecnici!$O$5:$O$2484*1,0))))),0)+IF(SUMPRODUCT(MAX((CriteriTecnici!$C$5:$C$2484=$C3)*(CriteriTecnici!$E$5:$E$2484="B")*(CriteriTecnici!$T$5:$T$2484="SI")*IFERROR(CriteriTecnici!$O$5:$O$2484*1,0)))&gt;0,MIN(14,SUMIFS(CriteriTecnici!$O:$O,CriteriTecnici!$Q:$Q,$A3&amp;"|"&amp;$C3,CriteriTecnici!$E:$E,"B")*(14/SUMPRODUCT(MAX((CriteriTecnici!$C$5:$C$2484=$C3)*(CriteriTecnici!$E$5:$E$2484="B")*(CriteriTecnici!$T$5:$T$2484="SI")*IFERROR(CriteriTecnici!$O$5:$O$2484*1,0))))),0)+IF(SUMPRODUCT(MAX((CriteriTecnici!$C$5:$C$2484=$C3)*(CriteriTecnici!$E$5:$E$2484="C")*(CriteriTecnici!$T$5:$T$2484="SI")*IFERROR(CriteriTecnici!$O$5:$O$2484*1,0)))&gt;0,MIN(14,SUMIFS(CriteriTecnici!$O:$O,CriteriTecnici!$Q:$Q,$A3&amp;"|"&amp;$C3,CriteriTecnici!$E:$E,"C")*(14/SUMPRODUCT(MAX((CriteriTecnici!$C$5:$C$2484=$C3)*(CriteriTecnici!$E$5:$E$2484="C")*(CriteriTecnici!$T$5:$T$2484="SI")*IFERROR(CriteriTecnici!$O$5:$O$2484*1,0))))),0)+IF(SUMPRODUCT(MAX((CriteriTecnici!$C$5:$C$2484=$C3)*(CriteriTecnici!$E$5:$E$2484="D")*(CriteriTecnici!$T$5:$T$2484="SI")*IFERROR(CriteriTecnici!$O$5:$O$2484*1,0)))&gt;0,MIN(10,SUMIFS(CriteriTecnici!$O:$O,CriteriTecnici!$Q:$Q,$A3&amp;"|"&amp;$C3,CriteriTecnici!$E:$E,"D")*(10/SUMPRODUCT(MAX((CriteriTecnici!$C$5:$C$2484=$C3)*(CriteriTecnici!$E$5:$E$2484="D")*(CriteriTecnici!$T$5:$T$2484="SI")*IFERROR(CriteriTecnici!$O$5:$O$2484*1,0))))),0)+IF(SUMPRODUCT(MAX((CriteriTecnici!$C$5:$C$2484=$C3)*(CriteriTecnici!$E$5:$E$2484="E")*(CriteriTecnici!$T$5:$T$2484="SI")*IFERROR(CriteriTecnici!$O$5:$O$2484*1,0)))&gt;0,MIN(4,SUMIFS(CriteriTecnici!$O:$O,CriteriTecnici!$Q:$Q,$A3&amp;"|"&amp;$C3,CriteriTecnici!$E:$E,"E")*(4/SUMPRODUCT(MAX((CriteriTecnici!$C$5:$C$2484=$C3)*(CriteriTecnici!$E$5:$E$2484="E")*(CriteriTecnici!$T$5:$T$2484="SI")*IFERROR(CriteriTecnici!$O$5:$O$2484*1,0))))),0)+IF(SUMPRODUCT(MAX((CriteriTecnici!$C$5:$C$2484=$C3)*(CriteriTecnici!$E$5:$E$2484="F")*(CriteriTecnici!$T$5:$T$2484="SI")*IFERROR(CriteriTecnici!$O$5:$O$2484*1,0)))&gt;0,MIN(14,SUMIFS(CriteriTecnici!$O:$O,CriteriTecnici!$Q:$Q,$A3&amp;"|"&amp;$C3,CriteriTecnici!$E:$E,"F")*(14/SUMPRODUCT(MAX((CriteriTecnici!$C$5:$C$2484=$C3)*(CriteriTecnici!$E$5:$E$2484="F")*(CriteriTecnici!$T$5:$T$2484="SI")*IFERROR(CriteriTecnici!$O$5:$O$2484*1,0))))),0)+IF(SUMPRODUCT(MAX((CriteriTecnici!$C$5:$C$2484=$C3)*(CriteriTecnici!$E$5:$E$2484="G")*(CriteriTecnici!$T$5:$T$2484="SI")*IFERROR(CriteriTecnici!$O$5:$O$2484*1,0)))&gt;0,MIN(7,SUMIFS(CriteriTecnici!$O:$O,CriteriTecnici!$Q:$Q,$A3&amp;"|"&amp;$C3,CriteriTecnici!$E:$E,"G")*(7/SUMPRODUCT(MAX((CriteriTecnici!$C$5:$C$2484=$C3)*(CriteriTecnici!$E$5:$E$2484="G")*(CriteriTecnici!$T$5:$T$2484="SI")*IFERROR(CriteriTecnici!$O$5:$O$2484*1,0))))),0),4),0),IFERROR($N3*1,0)),0))</f>
        <v/>
      </c>
      <c r="F3" s="56">
        <f>IF(Compila!$A13="","",Compila!$E13)</f>
        <v/>
      </c>
      <c r="G3" s="57">
        <f>IF($A3="","",IF(IFERROR(VALUE($D3),0)&lt;&gt;1,"NO",IF(IFERROR(VALUE($O3),0)&gt;=Parametri!$B$2,"SI","NO")))</f>
        <v/>
      </c>
      <c r="H3" s="57">
        <f>IF($G3="SI",SUMPRODUCT(MAX(($C$2:$C$81=$C3)*(IFERROR($D$2:$D$81*1,0)=1)*(IFERROR($O$2:$O$81*1,0)&gt;=Parametri!$B$2)*IFERROR($F$2:$F$81*1,0))),0)</f>
        <v/>
      </c>
      <c r="I3" s="57">
        <f>IF($G3="SI",IF($H3&gt;0,30*(IFERROR($F3*1,0)/$H3),0),0)</f>
        <v/>
      </c>
      <c r="J3" s="57">
        <f>IF($A3="",0,IF($G3="SI",ROUND(IFERROR($E3*1,0)+$I3,4),ROUND(IFERROR($E3*1,0),4)))</f>
        <v/>
      </c>
      <c r="K3" s="57">
        <f>IF($A3="","",IF(IFERROR(VALUE($D3),0)&lt;&gt;1,"Non attiva",IF(IFERROR(VALUE($O3),0)&lt;Parametri!$B$2,"Sotto soglia","")))</f>
        <v/>
      </c>
      <c r="L3" s="57">
        <f>IF($A3="","",$A3&amp;"|"&amp;$C3)</f>
        <v/>
      </c>
      <c r="M3" s="57">
        <f>IF($A3="","",$C3&amp;"|"&amp;TEXT($J3,"0.0000"))</f>
        <v/>
      </c>
      <c r="N3" s="57" t="n">
        <v>45</v>
      </c>
      <c r="O3" s="57">
        <f>IF($A3="",0,IFERROR(IF(SUMIFS(CriteriTecnici!$O:$O,CriteriTecnici!$Q:$Q,$A3&amp;"|"&amp;$C3)&gt;0,SUMIFS(CriteriTecnici!$O:$O,CriteriTecnici!$Q:$Q,$A3&amp;"|"&amp;$C3,CriteriTecnici!$F:$F,"Q")+SUMIFS(CriteriTecnici!$O:$O,CriteriTecnici!$Q:$Q,$A3&amp;"|"&amp;$C3,CriteriTecnici!$F:$F,"T"),IFERROR($N3*1,0)),0))</f>
        <v/>
      </c>
      <c r="P3" s="57">
        <f>IF($A3="","",IF(SUMIFS(CriteriTecnici!$O:$O,CriteriTecnici!$Q:$Q,$A3&amp;"|"&amp;$C3)&gt;0,"Criteri A-G","Aggregato"))</f>
        <v/>
      </c>
    </row>
    <row r="4">
      <c r="A4" s="56">
        <f>IF(Compila!$A14="","",Compila!$A14)</f>
        <v/>
      </c>
      <c r="B4" s="56">
        <f>IF(Compila!$A14="","",Compila!$B14)</f>
        <v/>
      </c>
      <c r="C4" s="56">
        <f>IF(Compila!$A14="","",Compila!$C14)</f>
        <v/>
      </c>
      <c r="D4" s="56">
        <f>IF(Compila!$A14="","",Compila!$D14)</f>
        <v/>
      </c>
      <c r="E4" s="57">
        <f>IF($A4="",0,IFERROR(IF(SUMIFS(CriteriTecnici!$O:$O,CriteriTecnici!$Q:$Q,$A4&amp;"|"&amp;$C4)&gt;0,IF($G4="SI",ROUND(IF(SUMPRODUCT(MAX((CriteriTecnici!$C$5:$C$2484=$C4)*(CriteriTecnici!$E$5:$E$2484="A")*(CriteriTecnici!$T$5:$T$2484="SI")*IFERROR(CriteriTecnici!$O$5:$O$2484*1,0)))&gt;0,MIN(7,SUMIFS(CriteriTecnici!$O:$O,CriteriTecnici!$Q:$Q,$A4&amp;"|"&amp;$C4,CriteriTecnici!$E:$E,"A")*(7/SUMPRODUCT(MAX((CriteriTecnici!$C$5:$C$2484=$C4)*(CriteriTecnici!$E$5:$E$2484="A")*(CriteriTecnici!$T$5:$T$2484="SI")*IFERROR(CriteriTecnici!$O$5:$O$2484*1,0))))),0)+IF(SUMPRODUCT(MAX((CriteriTecnici!$C$5:$C$2484=$C4)*(CriteriTecnici!$E$5:$E$2484="B")*(CriteriTecnici!$T$5:$T$2484="SI")*IFERROR(CriteriTecnici!$O$5:$O$2484*1,0)))&gt;0,MIN(14,SUMIFS(CriteriTecnici!$O:$O,CriteriTecnici!$Q:$Q,$A4&amp;"|"&amp;$C4,CriteriTecnici!$E:$E,"B")*(14/SUMPRODUCT(MAX((CriteriTecnici!$C$5:$C$2484=$C4)*(CriteriTecnici!$E$5:$E$2484="B")*(CriteriTecnici!$T$5:$T$2484="SI")*IFERROR(CriteriTecnici!$O$5:$O$2484*1,0))))),0)+IF(SUMPRODUCT(MAX((CriteriTecnici!$C$5:$C$2484=$C4)*(CriteriTecnici!$E$5:$E$2484="C")*(CriteriTecnici!$T$5:$T$2484="SI")*IFERROR(CriteriTecnici!$O$5:$O$2484*1,0)))&gt;0,MIN(14,SUMIFS(CriteriTecnici!$O:$O,CriteriTecnici!$Q:$Q,$A4&amp;"|"&amp;$C4,CriteriTecnici!$E:$E,"C")*(14/SUMPRODUCT(MAX((CriteriTecnici!$C$5:$C$2484=$C4)*(CriteriTecnici!$E$5:$E$2484="C")*(CriteriTecnici!$T$5:$T$2484="SI")*IFERROR(CriteriTecnici!$O$5:$O$2484*1,0))))),0)+IF(SUMPRODUCT(MAX((CriteriTecnici!$C$5:$C$2484=$C4)*(CriteriTecnici!$E$5:$E$2484="D")*(CriteriTecnici!$T$5:$T$2484="SI")*IFERROR(CriteriTecnici!$O$5:$O$2484*1,0)))&gt;0,MIN(10,SUMIFS(CriteriTecnici!$O:$O,CriteriTecnici!$Q:$Q,$A4&amp;"|"&amp;$C4,CriteriTecnici!$E:$E,"D")*(10/SUMPRODUCT(MAX((CriteriTecnici!$C$5:$C$2484=$C4)*(CriteriTecnici!$E$5:$E$2484="D")*(CriteriTecnici!$T$5:$T$2484="SI")*IFERROR(CriteriTecnici!$O$5:$O$2484*1,0))))),0)+IF(SUMPRODUCT(MAX((CriteriTecnici!$C$5:$C$2484=$C4)*(CriteriTecnici!$E$5:$E$2484="E")*(CriteriTecnici!$T$5:$T$2484="SI")*IFERROR(CriteriTecnici!$O$5:$O$2484*1,0)))&gt;0,MIN(4,SUMIFS(CriteriTecnici!$O:$O,CriteriTecnici!$Q:$Q,$A4&amp;"|"&amp;$C4,CriteriTecnici!$E:$E,"E")*(4/SUMPRODUCT(MAX((CriteriTecnici!$C$5:$C$2484=$C4)*(CriteriTecnici!$E$5:$E$2484="E")*(CriteriTecnici!$T$5:$T$2484="SI")*IFERROR(CriteriTecnici!$O$5:$O$2484*1,0))))),0)+IF(SUMPRODUCT(MAX((CriteriTecnici!$C$5:$C$2484=$C4)*(CriteriTecnici!$E$5:$E$2484="F")*(CriteriTecnici!$T$5:$T$2484="SI")*IFERROR(CriteriTecnici!$O$5:$O$2484*1,0)))&gt;0,MIN(14,SUMIFS(CriteriTecnici!$O:$O,CriteriTecnici!$Q:$Q,$A4&amp;"|"&amp;$C4,CriteriTecnici!$E:$E,"F")*(14/SUMPRODUCT(MAX((CriteriTecnici!$C$5:$C$2484=$C4)*(CriteriTecnici!$E$5:$E$2484="F")*(CriteriTecnici!$T$5:$T$2484="SI")*IFERROR(CriteriTecnici!$O$5:$O$2484*1,0))))),0)+IF(SUMPRODUCT(MAX((CriteriTecnici!$C$5:$C$2484=$C4)*(CriteriTecnici!$E$5:$E$2484="G")*(CriteriTecnici!$T$5:$T$2484="SI")*IFERROR(CriteriTecnici!$O$5:$O$2484*1,0)))&gt;0,MIN(7,SUMIFS(CriteriTecnici!$O:$O,CriteriTecnici!$Q:$Q,$A4&amp;"|"&amp;$C4,CriteriTecnici!$E:$E,"G")*(7/SUMPRODUCT(MAX((CriteriTecnici!$C$5:$C$2484=$C4)*(CriteriTecnici!$E$5:$E$2484="G")*(CriteriTecnici!$T$5:$T$2484="SI")*IFERROR(CriteriTecnici!$O$5:$O$2484*1,0))))),0),4),0),IFERROR($N4*1,0)),0))</f>
        <v/>
      </c>
      <c r="F4" s="56">
        <f>IF(Compila!$A14="","",Compila!$E14)</f>
        <v/>
      </c>
      <c r="G4" s="57">
        <f>IF($A4="","",IF(IFERROR(VALUE($D4),0)&lt;&gt;1,"NO",IF(IFERROR(VALUE($O4),0)&gt;=Parametri!$B$2,"SI","NO")))</f>
        <v/>
      </c>
      <c r="H4" s="57">
        <f>IF($G4="SI",SUMPRODUCT(MAX(($C$2:$C$81=$C4)*(IFERROR($D$2:$D$81*1,0)=1)*(IFERROR($O$2:$O$81*1,0)&gt;=Parametri!$B$2)*IFERROR($F$2:$F$81*1,0))),0)</f>
        <v/>
      </c>
      <c r="I4" s="57">
        <f>IF($G4="SI",IF($H4&gt;0,30*(IFERROR($F4*1,0)/$H4),0),0)</f>
        <v/>
      </c>
      <c r="J4" s="57">
        <f>IF($A4="",0,IF($G4="SI",ROUND(IFERROR($E4*1,0)+$I4,4),ROUND(IFERROR($E4*1,0),4)))</f>
        <v/>
      </c>
      <c r="K4" s="57">
        <f>IF($A4="","",IF(IFERROR(VALUE($D4),0)&lt;&gt;1,"Non attiva",IF(IFERROR(VALUE($O4),0)&lt;Parametri!$B$2,"Sotto soglia","")))</f>
        <v/>
      </c>
      <c r="L4" s="57">
        <f>IF($A4="","",$A4&amp;"|"&amp;$C4)</f>
        <v/>
      </c>
      <c r="M4" s="57">
        <f>IF($A4="","",$C4&amp;"|"&amp;TEXT($J4,"0.0000"))</f>
        <v/>
      </c>
      <c r="N4" s="57" t="n">
        <v>0</v>
      </c>
      <c r="O4" s="57">
        <f>IF($A4="",0,IFERROR(IF(SUMIFS(CriteriTecnici!$O:$O,CriteriTecnici!$Q:$Q,$A4&amp;"|"&amp;$C4)&gt;0,SUMIFS(CriteriTecnici!$O:$O,CriteriTecnici!$Q:$Q,$A4&amp;"|"&amp;$C4,CriteriTecnici!$F:$F,"Q")+SUMIFS(CriteriTecnici!$O:$O,CriteriTecnici!$Q:$Q,$A4&amp;"|"&amp;$C4,CriteriTecnici!$F:$F,"T"),IFERROR($N4*1,0)),0))</f>
        <v/>
      </c>
      <c r="P4" s="57">
        <f>IF($A4="","",IF(SUMIFS(CriteriTecnici!$O:$O,CriteriTecnici!$Q:$Q,$A4&amp;"|"&amp;$C4)&gt;0,"Criteri A-G","Aggregato"))</f>
        <v/>
      </c>
    </row>
    <row r="5">
      <c r="A5" s="56">
        <f>IF(Compila!$A15="","",Compila!$A15)</f>
        <v/>
      </c>
      <c r="B5" s="56">
        <f>IF(Compila!$A15="","",Compila!$B15)</f>
        <v/>
      </c>
      <c r="C5" s="56">
        <f>IF(Compila!$A15="","",Compila!$C15)</f>
        <v/>
      </c>
      <c r="D5" s="56">
        <f>IF(Compila!$A15="","",Compila!$D15)</f>
        <v/>
      </c>
      <c r="E5" s="57">
        <f>IF($A5="",0,IFERROR(IF(SUMIFS(CriteriTecnici!$O:$O,CriteriTecnici!$Q:$Q,$A5&amp;"|"&amp;$C5)&gt;0,IF($G5="SI",ROUND(IF(SUMPRODUCT(MAX((CriteriTecnici!$C$5:$C$2484=$C5)*(CriteriTecnici!$E$5:$E$2484="A")*(CriteriTecnici!$T$5:$T$2484="SI")*IFERROR(CriteriTecnici!$O$5:$O$2484*1,0)))&gt;0,MIN(7,SUMIFS(CriteriTecnici!$O:$O,CriteriTecnici!$Q:$Q,$A5&amp;"|"&amp;$C5,CriteriTecnici!$E:$E,"A")*(7/SUMPRODUCT(MAX((CriteriTecnici!$C$5:$C$2484=$C5)*(CriteriTecnici!$E$5:$E$2484="A")*(CriteriTecnici!$T$5:$T$2484="SI")*IFERROR(CriteriTecnici!$O$5:$O$2484*1,0))))),0)+IF(SUMPRODUCT(MAX((CriteriTecnici!$C$5:$C$2484=$C5)*(CriteriTecnici!$E$5:$E$2484="B")*(CriteriTecnici!$T$5:$T$2484="SI")*IFERROR(CriteriTecnici!$O$5:$O$2484*1,0)))&gt;0,MIN(14,SUMIFS(CriteriTecnici!$O:$O,CriteriTecnici!$Q:$Q,$A5&amp;"|"&amp;$C5,CriteriTecnici!$E:$E,"B")*(14/SUMPRODUCT(MAX((CriteriTecnici!$C$5:$C$2484=$C5)*(CriteriTecnici!$E$5:$E$2484="B")*(CriteriTecnici!$T$5:$T$2484="SI")*IFERROR(CriteriTecnici!$O$5:$O$2484*1,0))))),0)+IF(SUMPRODUCT(MAX((CriteriTecnici!$C$5:$C$2484=$C5)*(CriteriTecnici!$E$5:$E$2484="C")*(CriteriTecnici!$T$5:$T$2484="SI")*IFERROR(CriteriTecnici!$O$5:$O$2484*1,0)))&gt;0,MIN(14,SUMIFS(CriteriTecnici!$O:$O,CriteriTecnici!$Q:$Q,$A5&amp;"|"&amp;$C5,CriteriTecnici!$E:$E,"C")*(14/SUMPRODUCT(MAX((CriteriTecnici!$C$5:$C$2484=$C5)*(CriteriTecnici!$E$5:$E$2484="C")*(CriteriTecnici!$T$5:$T$2484="SI")*IFERROR(CriteriTecnici!$O$5:$O$2484*1,0))))),0)+IF(SUMPRODUCT(MAX((CriteriTecnici!$C$5:$C$2484=$C5)*(CriteriTecnici!$E$5:$E$2484="D")*(CriteriTecnici!$T$5:$T$2484="SI")*IFERROR(CriteriTecnici!$O$5:$O$2484*1,0)))&gt;0,MIN(10,SUMIFS(CriteriTecnici!$O:$O,CriteriTecnici!$Q:$Q,$A5&amp;"|"&amp;$C5,CriteriTecnici!$E:$E,"D")*(10/SUMPRODUCT(MAX((CriteriTecnici!$C$5:$C$2484=$C5)*(CriteriTecnici!$E$5:$E$2484="D")*(CriteriTecnici!$T$5:$T$2484="SI")*IFERROR(CriteriTecnici!$O$5:$O$2484*1,0))))),0)+IF(SUMPRODUCT(MAX((CriteriTecnici!$C$5:$C$2484=$C5)*(CriteriTecnici!$E$5:$E$2484="E")*(CriteriTecnici!$T$5:$T$2484="SI")*IFERROR(CriteriTecnici!$O$5:$O$2484*1,0)))&gt;0,MIN(4,SUMIFS(CriteriTecnici!$O:$O,CriteriTecnici!$Q:$Q,$A5&amp;"|"&amp;$C5,CriteriTecnici!$E:$E,"E")*(4/SUMPRODUCT(MAX((CriteriTecnici!$C$5:$C$2484=$C5)*(CriteriTecnici!$E$5:$E$2484="E")*(CriteriTecnici!$T$5:$T$2484="SI")*IFERROR(CriteriTecnici!$O$5:$O$2484*1,0))))),0)+IF(SUMPRODUCT(MAX((CriteriTecnici!$C$5:$C$2484=$C5)*(CriteriTecnici!$E$5:$E$2484="F")*(CriteriTecnici!$T$5:$T$2484="SI")*IFERROR(CriteriTecnici!$O$5:$O$2484*1,0)))&gt;0,MIN(14,SUMIFS(CriteriTecnici!$O:$O,CriteriTecnici!$Q:$Q,$A5&amp;"|"&amp;$C5,CriteriTecnici!$E:$E,"F")*(14/SUMPRODUCT(MAX((CriteriTecnici!$C$5:$C$2484=$C5)*(CriteriTecnici!$E$5:$E$2484="F")*(CriteriTecnici!$T$5:$T$2484="SI")*IFERROR(CriteriTecnici!$O$5:$O$2484*1,0))))),0)+IF(SUMPRODUCT(MAX((CriteriTecnici!$C$5:$C$2484=$C5)*(CriteriTecnici!$E$5:$E$2484="G")*(CriteriTecnici!$T$5:$T$2484="SI")*IFERROR(CriteriTecnici!$O$5:$O$2484*1,0)))&gt;0,MIN(7,SUMIFS(CriteriTecnici!$O:$O,CriteriTecnici!$Q:$Q,$A5&amp;"|"&amp;$C5,CriteriTecnici!$E:$E,"G")*(7/SUMPRODUCT(MAX((CriteriTecnici!$C$5:$C$2484=$C5)*(CriteriTecnici!$E$5:$E$2484="G")*(CriteriTecnici!$T$5:$T$2484="SI")*IFERROR(CriteriTecnici!$O$5:$O$2484*1,0))))),0),4),0),IFERROR($N5*1,0)),0))</f>
        <v/>
      </c>
      <c r="F5" s="56">
        <f>IF(Compila!$A15="","",Compila!$E15)</f>
        <v/>
      </c>
      <c r="G5" s="57">
        <f>IF($A5="","",IF(IFERROR(VALUE($D5),0)&lt;&gt;1,"NO",IF(IFERROR(VALUE($O5),0)&gt;=Parametri!$B$2,"SI","NO")))</f>
        <v/>
      </c>
      <c r="H5" s="57">
        <f>IF($G5="SI",SUMPRODUCT(MAX(($C$2:$C$81=$C5)*(IFERROR($D$2:$D$81*1,0)=1)*(IFERROR($O$2:$O$81*1,0)&gt;=Parametri!$B$2)*IFERROR($F$2:$F$81*1,0))),0)</f>
        <v/>
      </c>
      <c r="I5" s="57">
        <f>IF($G5="SI",IF($H5&gt;0,30*(IFERROR($F5*1,0)/$H5),0),0)</f>
        <v/>
      </c>
      <c r="J5" s="57">
        <f>IF($A5="",0,IF($G5="SI",ROUND(IFERROR($E5*1,0)+$I5,4),ROUND(IFERROR($E5*1,0),4)))</f>
        <v/>
      </c>
      <c r="K5" s="57">
        <f>IF($A5="","",IF(IFERROR(VALUE($D5),0)&lt;&gt;1,"Non attiva",IF(IFERROR(VALUE($O5),0)&lt;Parametri!$B$2,"Sotto soglia","")))</f>
        <v/>
      </c>
      <c r="L5" s="57">
        <f>IF($A5="","",$A5&amp;"|"&amp;$C5)</f>
        <v/>
      </c>
      <c r="M5" s="57">
        <f>IF($A5="","",$C5&amp;"|"&amp;TEXT($J5,"0.0000"))</f>
        <v/>
      </c>
      <c r="N5" s="57" t="n">
        <v>39</v>
      </c>
      <c r="O5" s="57">
        <f>IF($A5="",0,IFERROR(IF(SUMIFS(CriteriTecnici!$O:$O,CriteriTecnici!$Q:$Q,$A5&amp;"|"&amp;$C5)&gt;0,SUMIFS(CriteriTecnici!$O:$O,CriteriTecnici!$Q:$Q,$A5&amp;"|"&amp;$C5,CriteriTecnici!$F:$F,"Q")+SUMIFS(CriteriTecnici!$O:$O,CriteriTecnici!$Q:$Q,$A5&amp;"|"&amp;$C5,CriteriTecnici!$F:$F,"T"),IFERROR($N5*1,0)),0))</f>
        <v/>
      </c>
      <c r="P5" s="57">
        <f>IF($A5="","",IF(SUMIFS(CriteriTecnici!$O:$O,CriteriTecnici!$Q:$Q,$A5&amp;"|"&amp;$C5)&gt;0,"Criteri A-G","Aggregato"))</f>
        <v/>
      </c>
    </row>
    <row r="6">
      <c r="A6" s="56">
        <f>IF(Compila!$A16="","",Compila!$A16)</f>
        <v/>
      </c>
      <c r="B6" s="56">
        <f>IF(Compila!$A16="","",Compila!$B16)</f>
        <v/>
      </c>
      <c r="C6" s="56">
        <f>IF(Compila!$A16="","",Compila!$C16)</f>
        <v/>
      </c>
      <c r="D6" s="56">
        <f>IF(Compila!$A16="","",Compila!$D16)</f>
        <v/>
      </c>
      <c r="E6" s="57">
        <f>IF($A6="",0,IFERROR(IF(SUMIFS(CriteriTecnici!$O:$O,CriteriTecnici!$Q:$Q,$A6&amp;"|"&amp;$C6)&gt;0,IF($G6="SI",ROUND(IF(SUMPRODUCT(MAX((CriteriTecnici!$C$5:$C$2484=$C6)*(CriteriTecnici!$E$5:$E$2484="A")*(CriteriTecnici!$T$5:$T$2484="SI")*IFERROR(CriteriTecnici!$O$5:$O$2484*1,0)))&gt;0,MIN(7,SUMIFS(CriteriTecnici!$O:$O,CriteriTecnici!$Q:$Q,$A6&amp;"|"&amp;$C6,CriteriTecnici!$E:$E,"A")*(7/SUMPRODUCT(MAX((CriteriTecnici!$C$5:$C$2484=$C6)*(CriteriTecnici!$E$5:$E$2484="A")*(CriteriTecnici!$T$5:$T$2484="SI")*IFERROR(CriteriTecnici!$O$5:$O$2484*1,0))))),0)+IF(SUMPRODUCT(MAX((CriteriTecnici!$C$5:$C$2484=$C6)*(CriteriTecnici!$E$5:$E$2484="B")*(CriteriTecnici!$T$5:$T$2484="SI")*IFERROR(CriteriTecnici!$O$5:$O$2484*1,0)))&gt;0,MIN(14,SUMIFS(CriteriTecnici!$O:$O,CriteriTecnici!$Q:$Q,$A6&amp;"|"&amp;$C6,CriteriTecnici!$E:$E,"B")*(14/SUMPRODUCT(MAX((CriteriTecnici!$C$5:$C$2484=$C6)*(CriteriTecnici!$E$5:$E$2484="B")*(CriteriTecnici!$T$5:$T$2484="SI")*IFERROR(CriteriTecnici!$O$5:$O$2484*1,0))))),0)+IF(SUMPRODUCT(MAX((CriteriTecnici!$C$5:$C$2484=$C6)*(CriteriTecnici!$E$5:$E$2484="C")*(CriteriTecnici!$T$5:$T$2484="SI")*IFERROR(CriteriTecnici!$O$5:$O$2484*1,0)))&gt;0,MIN(14,SUMIFS(CriteriTecnici!$O:$O,CriteriTecnici!$Q:$Q,$A6&amp;"|"&amp;$C6,CriteriTecnici!$E:$E,"C")*(14/SUMPRODUCT(MAX((CriteriTecnici!$C$5:$C$2484=$C6)*(CriteriTecnici!$E$5:$E$2484="C")*(CriteriTecnici!$T$5:$T$2484="SI")*IFERROR(CriteriTecnici!$O$5:$O$2484*1,0))))),0)+IF(SUMPRODUCT(MAX((CriteriTecnici!$C$5:$C$2484=$C6)*(CriteriTecnici!$E$5:$E$2484="D")*(CriteriTecnici!$T$5:$T$2484="SI")*IFERROR(CriteriTecnici!$O$5:$O$2484*1,0)))&gt;0,MIN(10,SUMIFS(CriteriTecnici!$O:$O,CriteriTecnici!$Q:$Q,$A6&amp;"|"&amp;$C6,CriteriTecnici!$E:$E,"D")*(10/SUMPRODUCT(MAX((CriteriTecnici!$C$5:$C$2484=$C6)*(CriteriTecnici!$E$5:$E$2484="D")*(CriteriTecnici!$T$5:$T$2484="SI")*IFERROR(CriteriTecnici!$O$5:$O$2484*1,0))))),0)+IF(SUMPRODUCT(MAX((CriteriTecnici!$C$5:$C$2484=$C6)*(CriteriTecnici!$E$5:$E$2484="E")*(CriteriTecnici!$T$5:$T$2484="SI")*IFERROR(CriteriTecnici!$O$5:$O$2484*1,0)))&gt;0,MIN(4,SUMIFS(CriteriTecnici!$O:$O,CriteriTecnici!$Q:$Q,$A6&amp;"|"&amp;$C6,CriteriTecnici!$E:$E,"E")*(4/SUMPRODUCT(MAX((CriteriTecnici!$C$5:$C$2484=$C6)*(CriteriTecnici!$E$5:$E$2484="E")*(CriteriTecnici!$T$5:$T$2484="SI")*IFERROR(CriteriTecnici!$O$5:$O$2484*1,0))))),0)+IF(SUMPRODUCT(MAX((CriteriTecnici!$C$5:$C$2484=$C6)*(CriteriTecnici!$E$5:$E$2484="F")*(CriteriTecnici!$T$5:$T$2484="SI")*IFERROR(CriteriTecnici!$O$5:$O$2484*1,0)))&gt;0,MIN(14,SUMIFS(CriteriTecnici!$O:$O,CriteriTecnici!$Q:$Q,$A6&amp;"|"&amp;$C6,CriteriTecnici!$E:$E,"F")*(14/SUMPRODUCT(MAX((CriteriTecnici!$C$5:$C$2484=$C6)*(CriteriTecnici!$E$5:$E$2484="F")*(CriteriTecnici!$T$5:$T$2484="SI")*IFERROR(CriteriTecnici!$O$5:$O$2484*1,0))))),0)+IF(SUMPRODUCT(MAX((CriteriTecnici!$C$5:$C$2484=$C6)*(CriteriTecnici!$E$5:$E$2484="G")*(CriteriTecnici!$T$5:$T$2484="SI")*IFERROR(CriteriTecnici!$O$5:$O$2484*1,0)))&gt;0,MIN(7,SUMIFS(CriteriTecnici!$O:$O,CriteriTecnici!$Q:$Q,$A6&amp;"|"&amp;$C6,CriteriTecnici!$E:$E,"G")*(7/SUMPRODUCT(MAX((CriteriTecnici!$C$5:$C$2484=$C6)*(CriteriTecnici!$E$5:$E$2484="G")*(CriteriTecnici!$T$5:$T$2484="SI")*IFERROR(CriteriTecnici!$O$5:$O$2484*1,0))))),0),4),0),IFERROR($N6*1,0)),0))</f>
        <v/>
      </c>
      <c r="F6" s="56">
        <f>IF(Compila!$A16="","",Compila!$E16)</f>
        <v/>
      </c>
      <c r="G6" s="57">
        <f>IF($A6="","",IF(IFERROR(VALUE($D6),0)&lt;&gt;1,"NO",IF(IFERROR(VALUE($O6),0)&gt;=Parametri!$B$2,"SI","NO")))</f>
        <v/>
      </c>
      <c r="H6" s="57">
        <f>IF($G6="SI",SUMPRODUCT(MAX(($C$2:$C$81=$C6)*(IFERROR($D$2:$D$81*1,0)=1)*(IFERROR($O$2:$O$81*1,0)&gt;=Parametri!$B$2)*IFERROR($F$2:$F$81*1,0))),0)</f>
        <v/>
      </c>
      <c r="I6" s="57">
        <f>IF($G6="SI",IF($H6&gt;0,30*(IFERROR($F6*1,0)/$H6),0),0)</f>
        <v/>
      </c>
      <c r="J6" s="57">
        <f>IF($A6="",0,IF($G6="SI",ROUND(IFERROR($E6*1,0)+$I6,4),ROUND(IFERROR($E6*1,0),4)))</f>
        <v/>
      </c>
      <c r="K6" s="57">
        <f>IF($A6="","",IF(IFERROR(VALUE($D6),0)&lt;&gt;1,"Non attiva",IF(IFERROR(VALUE($O6),0)&lt;Parametri!$B$2,"Sotto soglia","")))</f>
        <v/>
      </c>
      <c r="L6" s="57">
        <f>IF($A6="","",$A6&amp;"|"&amp;$C6)</f>
        <v/>
      </c>
      <c r="M6" s="57">
        <f>IF($A6="","",$C6&amp;"|"&amp;TEXT($J6,"0.0000"))</f>
        <v/>
      </c>
      <c r="N6" s="57" t="n">
        <v>38</v>
      </c>
      <c r="O6" s="57">
        <f>IF($A6="",0,IFERROR(IF(SUMIFS(CriteriTecnici!$O:$O,CriteriTecnici!$Q:$Q,$A6&amp;"|"&amp;$C6)&gt;0,SUMIFS(CriteriTecnici!$O:$O,CriteriTecnici!$Q:$Q,$A6&amp;"|"&amp;$C6,CriteriTecnici!$F:$F,"Q")+SUMIFS(CriteriTecnici!$O:$O,CriteriTecnici!$Q:$Q,$A6&amp;"|"&amp;$C6,CriteriTecnici!$F:$F,"T"),IFERROR($N6*1,0)),0))</f>
        <v/>
      </c>
      <c r="P6" s="57">
        <f>IF($A6="","",IF(SUMIFS(CriteriTecnici!$O:$O,CriteriTecnici!$Q:$Q,$A6&amp;"|"&amp;$C6)&gt;0,"Criteri A-G","Aggregato"))</f>
        <v/>
      </c>
    </row>
    <row r="7">
      <c r="A7" s="56">
        <f>IF(Compila!$A17="","",Compila!$A17)</f>
        <v/>
      </c>
      <c r="B7" s="56">
        <f>IF(Compila!$A17="","",Compila!$B17)</f>
        <v/>
      </c>
      <c r="C7" s="56">
        <f>IF(Compila!$A17="","",Compila!$C17)</f>
        <v/>
      </c>
      <c r="D7" s="56">
        <f>IF(Compila!$A17="","",Compila!$D17)</f>
        <v/>
      </c>
      <c r="E7" s="57">
        <f>IF($A7="",0,IFERROR(IF(SUMIFS(CriteriTecnici!$O:$O,CriteriTecnici!$Q:$Q,$A7&amp;"|"&amp;$C7)&gt;0,IF($G7="SI",ROUND(IF(SUMPRODUCT(MAX((CriteriTecnici!$C$5:$C$2484=$C7)*(CriteriTecnici!$E$5:$E$2484="A")*(CriteriTecnici!$T$5:$T$2484="SI")*IFERROR(CriteriTecnici!$O$5:$O$2484*1,0)))&gt;0,MIN(7,SUMIFS(CriteriTecnici!$O:$O,CriteriTecnici!$Q:$Q,$A7&amp;"|"&amp;$C7,CriteriTecnici!$E:$E,"A")*(7/SUMPRODUCT(MAX((CriteriTecnici!$C$5:$C$2484=$C7)*(CriteriTecnici!$E$5:$E$2484="A")*(CriteriTecnici!$T$5:$T$2484="SI")*IFERROR(CriteriTecnici!$O$5:$O$2484*1,0))))),0)+IF(SUMPRODUCT(MAX((CriteriTecnici!$C$5:$C$2484=$C7)*(CriteriTecnici!$E$5:$E$2484="B")*(CriteriTecnici!$T$5:$T$2484="SI")*IFERROR(CriteriTecnici!$O$5:$O$2484*1,0)))&gt;0,MIN(14,SUMIFS(CriteriTecnici!$O:$O,CriteriTecnici!$Q:$Q,$A7&amp;"|"&amp;$C7,CriteriTecnici!$E:$E,"B")*(14/SUMPRODUCT(MAX((CriteriTecnici!$C$5:$C$2484=$C7)*(CriteriTecnici!$E$5:$E$2484="B")*(CriteriTecnici!$T$5:$T$2484="SI")*IFERROR(CriteriTecnici!$O$5:$O$2484*1,0))))),0)+IF(SUMPRODUCT(MAX((CriteriTecnici!$C$5:$C$2484=$C7)*(CriteriTecnici!$E$5:$E$2484="C")*(CriteriTecnici!$T$5:$T$2484="SI")*IFERROR(CriteriTecnici!$O$5:$O$2484*1,0)))&gt;0,MIN(14,SUMIFS(CriteriTecnici!$O:$O,CriteriTecnici!$Q:$Q,$A7&amp;"|"&amp;$C7,CriteriTecnici!$E:$E,"C")*(14/SUMPRODUCT(MAX((CriteriTecnici!$C$5:$C$2484=$C7)*(CriteriTecnici!$E$5:$E$2484="C")*(CriteriTecnici!$T$5:$T$2484="SI")*IFERROR(CriteriTecnici!$O$5:$O$2484*1,0))))),0)+IF(SUMPRODUCT(MAX((CriteriTecnici!$C$5:$C$2484=$C7)*(CriteriTecnici!$E$5:$E$2484="D")*(CriteriTecnici!$T$5:$T$2484="SI")*IFERROR(CriteriTecnici!$O$5:$O$2484*1,0)))&gt;0,MIN(10,SUMIFS(CriteriTecnici!$O:$O,CriteriTecnici!$Q:$Q,$A7&amp;"|"&amp;$C7,CriteriTecnici!$E:$E,"D")*(10/SUMPRODUCT(MAX((CriteriTecnici!$C$5:$C$2484=$C7)*(CriteriTecnici!$E$5:$E$2484="D")*(CriteriTecnici!$T$5:$T$2484="SI")*IFERROR(CriteriTecnici!$O$5:$O$2484*1,0))))),0)+IF(SUMPRODUCT(MAX((CriteriTecnici!$C$5:$C$2484=$C7)*(CriteriTecnici!$E$5:$E$2484="E")*(CriteriTecnici!$T$5:$T$2484="SI")*IFERROR(CriteriTecnici!$O$5:$O$2484*1,0)))&gt;0,MIN(4,SUMIFS(CriteriTecnici!$O:$O,CriteriTecnici!$Q:$Q,$A7&amp;"|"&amp;$C7,CriteriTecnici!$E:$E,"E")*(4/SUMPRODUCT(MAX((CriteriTecnici!$C$5:$C$2484=$C7)*(CriteriTecnici!$E$5:$E$2484="E")*(CriteriTecnici!$T$5:$T$2484="SI")*IFERROR(CriteriTecnici!$O$5:$O$2484*1,0))))),0)+IF(SUMPRODUCT(MAX((CriteriTecnici!$C$5:$C$2484=$C7)*(CriteriTecnici!$E$5:$E$2484="F")*(CriteriTecnici!$T$5:$T$2484="SI")*IFERROR(CriteriTecnici!$O$5:$O$2484*1,0)))&gt;0,MIN(14,SUMIFS(CriteriTecnici!$O:$O,CriteriTecnici!$Q:$Q,$A7&amp;"|"&amp;$C7,CriteriTecnici!$E:$E,"F")*(14/SUMPRODUCT(MAX((CriteriTecnici!$C$5:$C$2484=$C7)*(CriteriTecnici!$E$5:$E$2484="F")*(CriteriTecnici!$T$5:$T$2484="SI")*IFERROR(CriteriTecnici!$O$5:$O$2484*1,0))))),0)+IF(SUMPRODUCT(MAX((CriteriTecnici!$C$5:$C$2484=$C7)*(CriteriTecnici!$E$5:$E$2484="G")*(CriteriTecnici!$T$5:$T$2484="SI")*IFERROR(CriteriTecnici!$O$5:$O$2484*1,0)))&gt;0,MIN(7,SUMIFS(CriteriTecnici!$O:$O,CriteriTecnici!$Q:$Q,$A7&amp;"|"&amp;$C7,CriteriTecnici!$E:$E,"G")*(7/SUMPRODUCT(MAX((CriteriTecnici!$C$5:$C$2484=$C7)*(CriteriTecnici!$E$5:$E$2484="G")*(CriteriTecnici!$T$5:$T$2484="SI")*IFERROR(CriteriTecnici!$O$5:$O$2484*1,0))))),0),4),0),IFERROR($N7*1,0)),0))</f>
        <v/>
      </c>
      <c r="F7" s="56">
        <f>IF(Compila!$A17="","",Compila!$E17)</f>
        <v/>
      </c>
      <c r="G7" s="57">
        <f>IF($A7="","",IF(IFERROR(VALUE($D7),0)&lt;&gt;1,"NO",IF(IFERROR(VALUE($O7),0)&gt;=Parametri!$B$2,"SI","NO")))</f>
        <v/>
      </c>
      <c r="H7" s="57">
        <f>IF($G7="SI",SUMPRODUCT(MAX(($C$2:$C$81=$C7)*(IFERROR($D$2:$D$81*1,0)=1)*(IFERROR($O$2:$O$81*1,0)&gt;=Parametri!$B$2)*IFERROR($F$2:$F$81*1,0))),0)</f>
        <v/>
      </c>
      <c r="I7" s="57">
        <f>IF($G7="SI",IF($H7&gt;0,30*(IFERROR($F7*1,0)/$H7),0),0)</f>
        <v/>
      </c>
      <c r="J7" s="57">
        <f>IF($A7="",0,IF($G7="SI",ROUND(IFERROR($E7*1,0)+$I7,4),ROUND(IFERROR($E7*1,0),4)))</f>
        <v/>
      </c>
      <c r="K7" s="57">
        <f>IF($A7="","",IF(IFERROR(VALUE($D7),0)&lt;&gt;1,"Non attiva",IF(IFERROR(VALUE($O7),0)&lt;Parametri!$B$2,"Sotto soglia","")))</f>
        <v/>
      </c>
      <c r="L7" s="57">
        <f>IF($A7="","",$A7&amp;"|"&amp;$C7)</f>
        <v/>
      </c>
      <c r="M7" s="57">
        <f>IF($A7="","",$C7&amp;"|"&amp;TEXT($J7,"0.0000"))</f>
        <v/>
      </c>
      <c r="N7" s="57" t="n">
        <v>41</v>
      </c>
      <c r="O7" s="57">
        <f>IF($A7="",0,IFERROR(IF(SUMIFS(CriteriTecnici!$O:$O,CriteriTecnici!$Q:$Q,$A7&amp;"|"&amp;$C7)&gt;0,SUMIFS(CriteriTecnici!$O:$O,CriteriTecnici!$Q:$Q,$A7&amp;"|"&amp;$C7,CriteriTecnici!$F:$F,"Q")+SUMIFS(CriteriTecnici!$O:$O,CriteriTecnici!$Q:$Q,$A7&amp;"|"&amp;$C7,CriteriTecnici!$F:$F,"T"),IFERROR($N7*1,0)),0))</f>
        <v/>
      </c>
      <c r="P7" s="57">
        <f>IF($A7="","",IF(SUMIFS(CriteriTecnici!$O:$O,CriteriTecnici!$Q:$Q,$A7&amp;"|"&amp;$C7)&gt;0,"Criteri A-G","Aggregato"))</f>
        <v/>
      </c>
    </row>
    <row r="8">
      <c r="A8" s="56">
        <f>IF(Compila!$A18="","",Compila!$A18)</f>
        <v/>
      </c>
      <c r="B8" s="56">
        <f>IF(Compila!$A18="","",Compila!$B18)</f>
        <v/>
      </c>
      <c r="C8" s="56">
        <f>IF(Compila!$A18="","",Compila!$C18)</f>
        <v/>
      </c>
      <c r="D8" s="56">
        <f>IF(Compila!$A18="","",Compila!$D18)</f>
        <v/>
      </c>
      <c r="E8" s="57">
        <f>IF($A8="",0,IFERROR(IF(SUMIFS(CriteriTecnici!$O:$O,CriteriTecnici!$Q:$Q,$A8&amp;"|"&amp;$C8)&gt;0,IF($G8="SI",ROUND(IF(SUMPRODUCT(MAX((CriteriTecnici!$C$5:$C$2484=$C8)*(CriteriTecnici!$E$5:$E$2484="A")*(CriteriTecnici!$T$5:$T$2484="SI")*IFERROR(CriteriTecnici!$O$5:$O$2484*1,0)))&gt;0,MIN(7,SUMIFS(CriteriTecnici!$O:$O,CriteriTecnici!$Q:$Q,$A8&amp;"|"&amp;$C8,CriteriTecnici!$E:$E,"A")*(7/SUMPRODUCT(MAX((CriteriTecnici!$C$5:$C$2484=$C8)*(CriteriTecnici!$E$5:$E$2484="A")*(CriteriTecnici!$T$5:$T$2484="SI")*IFERROR(CriteriTecnici!$O$5:$O$2484*1,0))))),0)+IF(SUMPRODUCT(MAX((CriteriTecnici!$C$5:$C$2484=$C8)*(CriteriTecnici!$E$5:$E$2484="B")*(CriteriTecnici!$T$5:$T$2484="SI")*IFERROR(CriteriTecnici!$O$5:$O$2484*1,0)))&gt;0,MIN(14,SUMIFS(CriteriTecnici!$O:$O,CriteriTecnici!$Q:$Q,$A8&amp;"|"&amp;$C8,CriteriTecnici!$E:$E,"B")*(14/SUMPRODUCT(MAX((CriteriTecnici!$C$5:$C$2484=$C8)*(CriteriTecnici!$E$5:$E$2484="B")*(CriteriTecnici!$T$5:$T$2484="SI")*IFERROR(CriteriTecnici!$O$5:$O$2484*1,0))))),0)+IF(SUMPRODUCT(MAX((CriteriTecnici!$C$5:$C$2484=$C8)*(CriteriTecnici!$E$5:$E$2484="C")*(CriteriTecnici!$T$5:$T$2484="SI")*IFERROR(CriteriTecnici!$O$5:$O$2484*1,0)))&gt;0,MIN(14,SUMIFS(CriteriTecnici!$O:$O,CriteriTecnici!$Q:$Q,$A8&amp;"|"&amp;$C8,CriteriTecnici!$E:$E,"C")*(14/SUMPRODUCT(MAX((CriteriTecnici!$C$5:$C$2484=$C8)*(CriteriTecnici!$E$5:$E$2484="C")*(CriteriTecnici!$T$5:$T$2484="SI")*IFERROR(CriteriTecnici!$O$5:$O$2484*1,0))))),0)+IF(SUMPRODUCT(MAX((CriteriTecnici!$C$5:$C$2484=$C8)*(CriteriTecnici!$E$5:$E$2484="D")*(CriteriTecnici!$T$5:$T$2484="SI")*IFERROR(CriteriTecnici!$O$5:$O$2484*1,0)))&gt;0,MIN(10,SUMIFS(CriteriTecnici!$O:$O,CriteriTecnici!$Q:$Q,$A8&amp;"|"&amp;$C8,CriteriTecnici!$E:$E,"D")*(10/SUMPRODUCT(MAX((CriteriTecnici!$C$5:$C$2484=$C8)*(CriteriTecnici!$E$5:$E$2484="D")*(CriteriTecnici!$T$5:$T$2484="SI")*IFERROR(CriteriTecnici!$O$5:$O$2484*1,0))))),0)+IF(SUMPRODUCT(MAX((CriteriTecnici!$C$5:$C$2484=$C8)*(CriteriTecnici!$E$5:$E$2484="E")*(CriteriTecnici!$T$5:$T$2484="SI")*IFERROR(CriteriTecnici!$O$5:$O$2484*1,0)))&gt;0,MIN(4,SUMIFS(CriteriTecnici!$O:$O,CriteriTecnici!$Q:$Q,$A8&amp;"|"&amp;$C8,CriteriTecnici!$E:$E,"E")*(4/SUMPRODUCT(MAX((CriteriTecnici!$C$5:$C$2484=$C8)*(CriteriTecnici!$E$5:$E$2484="E")*(CriteriTecnici!$T$5:$T$2484="SI")*IFERROR(CriteriTecnici!$O$5:$O$2484*1,0))))),0)+IF(SUMPRODUCT(MAX((CriteriTecnici!$C$5:$C$2484=$C8)*(CriteriTecnici!$E$5:$E$2484="F")*(CriteriTecnici!$T$5:$T$2484="SI")*IFERROR(CriteriTecnici!$O$5:$O$2484*1,0)))&gt;0,MIN(14,SUMIFS(CriteriTecnici!$O:$O,CriteriTecnici!$Q:$Q,$A8&amp;"|"&amp;$C8,CriteriTecnici!$E:$E,"F")*(14/SUMPRODUCT(MAX((CriteriTecnici!$C$5:$C$2484=$C8)*(CriteriTecnici!$E$5:$E$2484="F")*(CriteriTecnici!$T$5:$T$2484="SI")*IFERROR(CriteriTecnici!$O$5:$O$2484*1,0))))),0)+IF(SUMPRODUCT(MAX((CriteriTecnici!$C$5:$C$2484=$C8)*(CriteriTecnici!$E$5:$E$2484="G")*(CriteriTecnici!$T$5:$T$2484="SI")*IFERROR(CriteriTecnici!$O$5:$O$2484*1,0)))&gt;0,MIN(7,SUMIFS(CriteriTecnici!$O:$O,CriteriTecnici!$Q:$Q,$A8&amp;"|"&amp;$C8,CriteriTecnici!$E:$E,"G")*(7/SUMPRODUCT(MAX((CriteriTecnici!$C$5:$C$2484=$C8)*(CriteriTecnici!$E$5:$E$2484="G")*(CriteriTecnici!$T$5:$T$2484="SI")*IFERROR(CriteriTecnici!$O$5:$O$2484*1,0))))),0),4),0),IFERROR($N8*1,0)),0))</f>
        <v/>
      </c>
      <c r="F8" s="56">
        <f>IF(Compila!$A18="","",Compila!$E18)</f>
        <v/>
      </c>
      <c r="G8" s="57">
        <f>IF($A8="","",IF(IFERROR(VALUE($D8),0)&lt;&gt;1,"NO",IF(IFERROR(VALUE($O8),0)&gt;=Parametri!$B$2,"SI","NO")))</f>
        <v/>
      </c>
      <c r="H8" s="57">
        <f>IF($G8="SI",SUMPRODUCT(MAX(($C$2:$C$81=$C8)*(IFERROR($D$2:$D$81*1,0)=1)*(IFERROR($O$2:$O$81*1,0)&gt;=Parametri!$B$2)*IFERROR($F$2:$F$81*1,0))),0)</f>
        <v/>
      </c>
      <c r="I8" s="57">
        <f>IF($G8="SI",IF($H8&gt;0,30*(IFERROR($F8*1,0)/$H8),0),0)</f>
        <v/>
      </c>
      <c r="J8" s="57">
        <f>IF($A8="",0,IF($G8="SI",ROUND(IFERROR($E8*1,0)+$I8,4),ROUND(IFERROR($E8*1,0),4)))</f>
        <v/>
      </c>
      <c r="K8" s="57">
        <f>IF($A8="","",IF(IFERROR(VALUE($D8),0)&lt;&gt;1,"Non attiva",IF(IFERROR(VALUE($O8),0)&lt;Parametri!$B$2,"Sotto soglia","")))</f>
        <v/>
      </c>
      <c r="L8" s="57">
        <f>IF($A8="","",$A8&amp;"|"&amp;$C8)</f>
        <v/>
      </c>
      <c r="M8" s="57">
        <f>IF($A8="","",$C8&amp;"|"&amp;TEXT($J8,"0.0000"))</f>
        <v/>
      </c>
      <c r="N8" s="57" t="n">
        <v>43</v>
      </c>
      <c r="O8" s="57">
        <f>IF($A8="",0,IFERROR(IF(SUMIFS(CriteriTecnici!$O:$O,CriteriTecnici!$Q:$Q,$A8&amp;"|"&amp;$C8)&gt;0,SUMIFS(CriteriTecnici!$O:$O,CriteriTecnici!$Q:$Q,$A8&amp;"|"&amp;$C8,CriteriTecnici!$F:$F,"Q")+SUMIFS(CriteriTecnici!$O:$O,CriteriTecnici!$Q:$Q,$A8&amp;"|"&amp;$C8,CriteriTecnici!$F:$F,"T"),IFERROR($N8*1,0)),0))</f>
        <v/>
      </c>
      <c r="P8" s="57">
        <f>IF($A8="","",IF(SUMIFS(CriteriTecnici!$O:$O,CriteriTecnici!$Q:$Q,$A8&amp;"|"&amp;$C8)&gt;0,"Criteri A-G","Aggregato"))</f>
        <v/>
      </c>
    </row>
    <row r="9">
      <c r="A9" s="56">
        <f>IF(Compila!$A19="","",Compila!$A19)</f>
        <v/>
      </c>
      <c r="B9" s="56">
        <f>IF(Compila!$A19="","",Compila!$B19)</f>
        <v/>
      </c>
      <c r="C9" s="56">
        <f>IF(Compila!$A19="","",Compila!$C19)</f>
        <v/>
      </c>
      <c r="D9" s="56">
        <f>IF(Compila!$A19="","",Compila!$D19)</f>
        <v/>
      </c>
      <c r="E9" s="57">
        <f>IF($A9="",0,IFERROR(IF(SUMIFS(CriteriTecnici!$O:$O,CriteriTecnici!$Q:$Q,$A9&amp;"|"&amp;$C9)&gt;0,IF($G9="SI",ROUND(IF(SUMPRODUCT(MAX((CriteriTecnici!$C$5:$C$2484=$C9)*(CriteriTecnici!$E$5:$E$2484="A")*(CriteriTecnici!$T$5:$T$2484="SI")*IFERROR(CriteriTecnici!$O$5:$O$2484*1,0)))&gt;0,MIN(7,SUMIFS(CriteriTecnici!$O:$O,CriteriTecnici!$Q:$Q,$A9&amp;"|"&amp;$C9,CriteriTecnici!$E:$E,"A")*(7/SUMPRODUCT(MAX((CriteriTecnici!$C$5:$C$2484=$C9)*(CriteriTecnici!$E$5:$E$2484="A")*(CriteriTecnici!$T$5:$T$2484="SI")*IFERROR(CriteriTecnici!$O$5:$O$2484*1,0))))),0)+IF(SUMPRODUCT(MAX((CriteriTecnici!$C$5:$C$2484=$C9)*(CriteriTecnici!$E$5:$E$2484="B")*(CriteriTecnici!$T$5:$T$2484="SI")*IFERROR(CriteriTecnici!$O$5:$O$2484*1,0)))&gt;0,MIN(14,SUMIFS(CriteriTecnici!$O:$O,CriteriTecnici!$Q:$Q,$A9&amp;"|"&amp;$C9,CriteriTecnici!$E:$E,"B")*(14/SUMPRODUCT(MAX((CriteriTecnici!$C$5:$C$2484=$C9)*(CriteriTecnici!$E$5:$E$2484="B")*(CriteriTecnici!$T$5:$T$2484="SI")*IFERROR(CriteriTecnici!$O$5:$O$2484*1,0))))),0)+IF(SUMPRODUCT(MAX((CriteriTecnici!$C$5:$C$2484=$C9)*(CriteriTecnici!$E$5:$E$2484="C")*(CriteriTecnici!$T$5:$T$2484="SI")*IFERROR(CriteriTecnici!$O$5:$O$2484*1,0)))&gt;0,MIN(14,SUMIFS(CriteriTecnici!$O:$O,CriteriTecnici!$Q:$Q,$A9&amp;"|"&amp;$C9,CriteriTecnici!$E:$E,"C")*(14/SUMPRODUCT(MAX((CriteriTecnici!$C$5:$C$2484=$C9)*(CriteriTecnici!$E$5:$E$2484="C")*(CriteriTecnici!$T$5:$T$2484="SI")*IFERROR(CriteriTecnici!$O$5:$O$2484*1,0))))),0)+IF(SUMPRODUCT(MAX((CriteriTecnici!$C$5:$C$2484=$C9)*(CriteriTecnici!$E$5:$E$2484="D")*(CriteriTecnici!$T$5:$T$2484="SI")*IFERROR(CriteriTecnici!$O$5:$O$2484*1,0)))&gt;0,MIN(10,SUMIFS(CriteriTecnici!$O:$O,CriteriTecnici!$Q:$Q,$A9&amp;"|"&amp;$C9,CriteriTecnici!$E:$E,"D")*(10/SUMPRODUCT(MAX((CriteriTecnici!$C$5:$C$2484=$C9)*(CriteriTecnici!$E$5:$E$2484="D")*(CriteriTecnici!$T$5:$T$2484="SI")*IFERROR(CriteriTecnici!$O$5:$O$2484*1,0))))),0)+IF(SUMPRODUCT(MAX((CriteriTecnici!$C$5:$C$2484=$C9)*(CriteriTecnici!$E$5:$E$2484="E")*(CriteriTecnici!$T$5:$T$2484="SI")*IFERROR(CriteriTecnici!$O$5:$O$2484*1,0)))&gt;0,MIN(4,SUMIFS(CriteriTecnici!$O:$O,CriteriTecnici!$Q:$Q,$A9&amp;"|"&amp;$C9,CriteriTecnici!$E:$E,"E")*(4/SUMPRODUCT(MAX((CriteriTecnici!$C$5:$C$2484=$C9)*(CriteriTecnici!$E$5:$E$2484="E")*(CriteriTecnici!$T$5:$T$2484="SI")*IFERROR(CriteriTecnici!$O$5:$O$2484*1,0))))),0)+IF(SUMPRODUCT(MAX((CriteriTecnici!$C$5:$C$2484=$C9)*(CriteriTecnici!$E$5:$E$2484="F")*(CriteriTecnici!$T$5:$T$2484="SI")*IFERROR(CriteriTecnici!$O$5:$O$2484*1,0)))&gt;0,MIN(14,SUMIFS(CriteriTecnici!$O:$O,CriteriTecnici!$Q:$Q,$A9&amp;"|"&amp;$C9,CriteriTecnici!$E:$E,"F")*(14/SUMPRODUCT(MAX((CriteriTecnici!$C$5:$C$2484=$C9)*(CriteriTecnici!$E$5:$E$2484="F")*(CriteriTecnici!$T$5:$T$2484="SI")*IFERROR(CriteriTecnici!$O$5:$O$2484*1,0))))),0)+IF(SUMPRODUCT(MAX((CriteriTecnici!$C$5:$C$2484=$C9)*(CriteriTecnici!$E$5:$E$2484="G")*(CriteriTecnici!$T$5:$T$2484="SI")*IFERROR(CriteriTecnici!$O$5:$O$2484*1,0)))&gt;0,MIN(7,SUMIFS(CriteriTecnici!$O:$O,CriteriTecnici!$Q:$Q,$A9&amp;"|"&amp;$C9,CriteriTecnici!$E:$E,"G")*(7/SUMPRODUCT(MAX((CriteriTecnici!$C$5:$C$2484=$C9)*(CriteriTecnici!$E$5:$E$2484="G")*(CriteriTecnici!$T$5:$T$2484="SI")*IFERROR(CriteriTecnici!$O$5:$O$2484*1,0))))),0),4),0),IFERROR($N9*1,0)),0))</f>
        <v/>
      </c>
      <c r="F9" s="56">
        <f>IF(Compila!$A19="","",Compila!$E19)</f>
        <v/>
      </c>
      <c r="G9" s="57">
        <f>IF($A9="","",IF(IFERROR(VALUE($D9),0)&lt;&gt;1,"NO",IF(IFERROR(VALUE($O9),0)&gt;=Parametri!$B$2,"SI","NO")))</f>
        <v/>
      </c>
      <c r="H9" s="57">
        <f>IF($G9="SI",SUMPRODUCT(MAX(($C$2:$C$81=$C9)*(IFERROR($D$2:$D$81*1,0)=1)*(IFERROR($O$2:$O$81*1,0)&gt;=Parametri!$B$2)*IFERROR($F$2:$F$81*1,0))),0)</f>
        <v/>
      </c>
      <c r="I9" s="57">
        <f>IF($G9="SI",IF($H9&gt;0,30*(IFERROR($F9*1,0)/$H9),0),0)</f>
        <v/>
      </c>
      <c r="J9" s="57">
        <f>IF($A9="",0,IF($G9="SI",ROUND(IFERROR($E9*1,0)+$I9,4),ROUND(IFERROR($E9*1,0),4)))</f>
        <v/>
      </c>
      <c r="K9" s="57">
        <f>IF($A9="","",IF(IFERROR(VALUE($D9),0)&lt;&gt;1,"Non attiva",IF(IFERROR(VALUE($O9),0)&lt;Parametri!$B$2,"Sotto soglia","")))</f>
        <v/>
      </c>
      <c r="L9" s="57">
        <f>IF($A9="","",$A9&amp;"|"&amp;$C9)</f>
        <v/>
      </c>
      <c r="M9" s="57">
        <f>IF($A9="","",$C9&amp;"|"&amp;TEXT($J9,"0.0000"))</f>
        <v/>
      </c>
      <c r="N9" s="57" t="n">
        <v>40</v>
      </c>
      <c r="O9" s="57">
        <f>IF($A9="",0,IFERROR(IF(SUMIFS(CriteriTecnici!$O:$O,CriteriTecnici!$Q:$Q,$A9&amp;"|"&amp;$C9)&gt;0,SUMIFS(CriteriTecnici!$O:$O,CriteriTecnici!$Q:$Q,$A9&amp;"|"&amp;$C9,CriteriTecnici!$F:$F,"Q")+SUMIFS(CriteriTecnici!$O:$O,CriteriTecnici!$Q:$Q,$A9&amp;"|"&amp;$C9,CriteriTecnici!$F:$F,"T"),IFERROR($N9*1,0)),0))</f>
        <v/>
      </c>
      <c r="P9" s="57">
        <f>IF($A9="","",IF(SUMIFS(CriteriTecnici!$O:$O,CriteriTecnici!$Q:$Q,$A9&amp;"|"&amp;$C9)&gt;0,"Criteri A-G","Aggregato"))</f>
        <v/>
      </c>
    </row>
    <row r="10">
      <c r="A10" s="56">
        <f>IF(Compila!$A20="","",Compila!$A20)</f>
        <v/>
      </c>
      <c r="B10" s="56">
        <f>IF(Compila!$A20="","",Compila!$B20)</f>
        <v/>
      </c>
      <c r="C10" s="56">
        <f>IF(Compila!$A20="","",Compila!$C20)</f>
        <v/>
      </c>
      <c r="D10" s="56">
        <f>IF(Compila!$A20="","",Compila!$D20)</f>
        <v/>
      </c>
      <c r="E10" s="57">
        <f>IF($A10="",0,IFERROR(IF(SUMIFS(CriteriTecnici!$O:$O,CriteriTecnici!$Q:$Q,$A10&amp;"|"&amp;$C10)&gt;0,IF($G10="SI",ROUND(IF(SUMPRODUCT(MAX((CriteriTecnici!$C$5:$C$2484=$C10)*(CriteriTecnici!$E$5:$E$2484="A")*(CriteriTecnici!$T$5:$T$2484="SI")*IFERROR(CriteriTecnici!$O$5:$O$2484*1,0)))&gt;0,MIN(7,SUMIFS(CriteriTecnici!$O:$O,CriteriTecnici!$Q:$Q,$A10&amp;"|"&amp;$C10,CriteriTecnici!$E:$E,"A")*(7/SUMPRODUCT(MAX((CriteriTecnici!$C$5:$C$2484=$C10)*(CriteriTecnici!$E$5:$E$2484="A")*(CriteriTecnici!$T$5:$T$2484="SI")*IFERROR(CriteriTecnici!$O$5:$O$2484*1,0))))),0)+IF(SUMPRODUCT(MAX((CriteriTecnici!$C$5:$C$2484=$C10)*(CriteriTecnici!$E$5:$E$2484="B")*(CriteriTecnici!$T$5:$T$2484="SI")*IFERROR(CriteriTecnici!$O$5:$O$2484*1,0)))&gt;0,MIN(14,SUMIFS(CriteriTecnici!$O:$O,CriteriTecnici!$Q:$Q,$A10&amp;"|"&amp;$C10,CriteriTecnici!$E:$E,"B")*(14/SUMPRODUCT(MAX((CriteriTecnici!$C$5:$C$2484=$C10)*(CriteriTecnici!$E$5:$E$2484="B")*(CriteriTecnici!$T$5:$T$2484="SI")*IFERROR(CriteriTecnici!$O$5:$O$2484*1,0))))),0)+IF(SUMPRODUCT(MAX((CriteriTecnici!$C$5:$C$2484=$C10)*(CriteriTecnici!$E$5:$E$2484="C")*(CriteriTecnici!$T$5:$T$2484="SI")*IFERROR(CriteriTecnici!$O$5:$O$2484*1,0)))&gt;0,MIN(14,SUMIFS(CriteriTecnici!$O:$O,CriteriTecnici!$Q:$Q,$A10&amp;"|"&amp;$C10,CriteriTecnici!$E:$E,"C")*(14/SUMPRODUCT(MAX((CriteriTecnici!$C$5:$C$2484=$C10)*(CriteriTecnici!$E$5:$E$2484="C")*(CriteriTecnici!$T$5:$T$2484="SI")*IFERROR(CriteriTecnici!$O$5:$O$2484*1,0))))),0)+IF(SUMPRODUCT(MAX((CriteriTecnici!$C$5:$C$2484=$C10)*(CriteriTecnici!$E$5:$E$2484="D")*(CriteriTecnici!$T$5:$T$2484="SI")*IFERROR(CriteriTecnici!$O$5:$O$2484*1,0)))&gt;0,MIN(10,SUMIFS(CriteriTecnici!$O:$O,CriteriTecnici!$Q:$Q,$A10&amp;"|"&amp;$C10,CriteriTecnici!$E:$E,"D")*(10/SUMPRODUCT(MAX((CriteriTecnici!$C$5:$C$2484=$C10)*(CriteriTecnici!$E$5:$E$2484="D")*(CriteriTecnici!$T$5:$T$2484="SI")*IFERROR(CriteriTecnici!$O$5:$O$2484*1,0))))),0)+IF(SUMPRODUCT(MAX((CriteriTecnici!$C$5:$C$2484=$C10)*(CriteriTecnici!$E$5:$E$2484="E")*(CriteriTecnici!$T$5:$T$2484="SI")*IFERROR(CriteriTecnici!$O$5:$O$2484*1,0)))&gt;0,MIN(4,SUMIFS(CriteriTecnici!$O:$O,CriteriTecnici!$Q:$Q,$A10&amp;"|"&amp;$C10,CriteriTecnici!$E:$E,"E")*(4/SUMPRODUCT(MAX((CriteriTecnici!$C$5:$C$2484=$C10)*(CriteriTecnici!$E$5:$E$2484="E")*(CriteriTecnici!$T$5:$T$2484="SI")*IFERROR(CriteriTecnici!$O$5:$O$2484*1,0))))),0)+IF(SUMPRODUCT(MAX((CriteriTecnici!$C$5:$C$2484=$C10)*(CriteriTecnici!$E$5:$E$2484="F")*(CriteriTecnici!$T$5:$T$2484="SI")*IFERROR(CriteriTecnici!$O$5:$O$2484*1,0)))&gt;0,MIN(14,SUMIFS(CriteriTecnici!$O:$O,CriteriTecnici!$Q:$Q,$A10&amp;"|"&amp;$C10,CriteriTecnici!$E:$E,"F")*(14/SUMPRODUCT(MAX((CriteriTecnici!$C$5:$C$2484=$C10)*(CriteriTecnici!$E$5:$E$2484="F")*(CriteriTecnici!$T$5:$T$2484="SI")*IFERROR(CriteriTecnici!$O$5:$O$2484*1,0))))),0)+IF(SUMPRODUCT(MAX((CriteriTecnici!$C$5:$C$2484=$C10)*(CriteriTecnici!$E$5:$E$2484="G")*(CriteriTecnici!$T$5:$T$2484="SI")*IFERROR(CriteriTecnici!$O$5:$O$2484*1,0)))&gt;0,MIN(7,SUMIFS(CriteriTecnici!$O:$O,CriteriTecnici!$Q:$Q,$A10&amp;"|"&amp;$C10,CriteriTecnici!$E:$E,"G")*(7/SUMPRODUCT(MAX((CriteriTecnici!$C$5:$C$2484=$C10)*(CriteriTecnici!$E$5:$E$2484="G")*(CriteriTecnici!$T$5:$T$2484="SI")*IFERROR(CriteriTecnici!$O$5:$O$2484*1,0))))),0),4),0),IFERROR($N10*1,0)),0))</f>
        <v/>
      </c>
      <c r="F10" s="56">
        <f>IF(Compila!$A20="","",Compila!$E20)</f>
        <v/>
      </c>
      <c r="G10" s="57">
        <f>IF($A10="","",IF(IFERROR(VALUE($D10),0)&lt;&gt;1,"NO",IF(IFERROR(VALUE($O10),0)&gt;=Parametri!$B$2,"SI","NO")))</f>
        <v/>
      </c>
      <c r="H10" s="57">
        <f>IF($G10="SI",SUMPRODUCT(MAX(($C$2:$C$81=$C10)*(IFERROR($D$2:$D$81*1,0)=1)*(IFERROR($O$2:$O$81*1,0)&gt;=Parametri!$B$2)*IFERROR($F$2:$F$81*1,0))),0)</f>
        <v/>
      </c>
      <c r="I10" s="57">
        <f>IF($G10="SI",IF($H10&gt;0,30*(IFERROR($F10*1,0)/$H10),0),0)</f>
        <v/>
      </c>
      <c r="J10" s="57">
        <f>IF($A10="",0,IF($G10="SI",ROUND(IFERROR($E10*1,0)+$I10,4),ROUND(IFERROR($E10*1,0),4)))</f>
        <v/>
      </c>
      <c r="K10" s="57">
        <f>IF($A10="","",IF(IFERROR(VALUE($D10),0)&lt;&gt;1,"Non attiva",IF(IFERROR(VALUE($O10),0)&lt;Parametri!$B$2,"Sotto soglia","")))</f>
        <v/>
      </c>
      <c r="L10" s="57">
        <f>IF($A10="","",$A10&amp;"|"&amp;$C10)</f>
        <v/>
      </c>
      <c r="M10" s="57">
        <f>IF($A10="","",$C10&amp;"|"&amp;TEXT($J10,"0.0000"))</f>
        <v/>
      </c>
      <c r="N10" s="57" t="n">
        <v>33</v>
      </c>
      <c r="O10" s="57">
        <f>IF($A10="",0,IFERROR(IF(SUMIFS(CriteriTecnici!$O:$O,CriteriTecnici!$Q:$Q,$A10&amp;"|"&amp;$C10)&gt;0,SUMIFS(CriteriTecnici!$O:$O,CriteriTecnici!$Q:$Q,$A10&amp;"|"&amp;$C10,CriteriTecnici!$F:$F,"Q")+SUMIFS(CriteriTecnici!$O:$O,CriteriTecnici!$Q:$Q,$A10&amp;"|"&amp;$C10,CriteriTecnici!$F:$F,"T"),IFERROR($N10*1,0)),0))</f>
        <v/>
      </c>
      <c r="P10" s="57">
        <f>IF($A10="","",IF(SUMIFS(CriteriTecnici!$O:$O,CriteriTecnici!$Q:$Q,$A10&amp;"|"&amp;$C10)&gt;0,"Criteri A-G","Aggregato"))</f>
        <v/>
      </c>
    </row>
    <row r="11">
      <c r="A11" s="56">
        <f>IF(Compila!$A21="","",Compila!$A21)</f>
        <v/>
      </c>
      <c r="B11" s="56">
        <f>IF(Compila!$A21="","",Compila!$B21)</f>
        <v/>
      </c>
      <c r="C11" s="56">
        <f>IF(Compila!$A21="","",Compila!$C21)</f>
        <v/>
      </c>
      <c r="D11" s="56">
        <f>IF(Compila!$A21="","",Compila!$D21)</f>
        <v/>
      </c>
      <c r="E11" s="57">
        <f>IF($A11="",0,IFERROR(IF(SUMIFS(CriteriTecnici!$O:$O,CriteriTecnici!$Q:$Q,$A11&amp;"|"&amp;$C11)&gt;0,IF($G11="SI",ROUND(IF(SUMPRODUCT(MAX((CriteriTecnici!$C$5:$C$2484=$C11)*(CriteriTecnici!$E$5:$E$2484="A")*(CriteriTecnici!$T$5:$T$2484="SI")*IFERROR(CriteriTecnici!$O$5:$O$2484*1,0)))&gt;0,MIN(7,SUMIFS(CriteriTecnici!$O:$O,CriteriTecnici!$Q:$Q,$A11&amp;"|"&amp;$C11,CriteriTecnici!$E:$E,"A")*(7/SUMPRODUCT(MAX((CriteriTecnici!$C$5:$C$2484=$C11)*(CriteriTecnici!$E$5:$E$2484="A")*(CriteriTecnici!$T$5:$T$2484="SI")*IFERROR(CriteriTecnici!$O$5:$O$2484*1,0))))),0)+IF(SUMPRODUCT(MAX((CriteriTecnici!$C$5:$C$2484=$C11)*(CriteriTecnici!$E$5:$E$2484="B")*(CriteriTecnici!$T$5:$T$2484="SI")*IFERROR(CriteriTecnici!$O$5:$O$2484*1,0)))&gt;0,MIN(14,SUMIFS(CriteriTecnici!$O:$O,CriteriTecnici!$Q:$Q,$A11&amp;"|"&amp;$C11,CriteriTecnici!$E:$E,"B")*(14/SUMPRODUCT(MAX((CriteriTecnici!$C$5:$C$2484=$C11)*(CriteriTecnici!$E$5:$E$2484="B")*(CriteriTecnici!$T$5:$T$2484="SI")*IFERROR(CriteriTecnici!$O$5:$O$2484*1,0))))),0)+IF(SUMPRODUCT(MAX((CriteriTecnici!$C$5:$C$2484=$C11)*(CriteriTecnici!$E$5:$E$2484="C")*(CriteriTecnici!$T$5:$T$2484="SI")*IFERROR(CriteriTecnici!$O$5:$O$2484*1,0)))&gt;0,MIN(14,SUMIFS(CriteriTecnici!$O:$O,CriteriTecnici!$Q:$Q,$A11&amp;"|"&amp;$C11,CriteriTecnici!$E:$E,"C")*(14/SUMPRODUCT(MAX((CriteriTecnici!$C$5:$C$2484=$C11)*(CriteriTecnici!$E$5:$E$2484="C")*(CriteriTecnici!$T$5:$T$2484="SI")*IFERROR(CriteriTecnici!$O$5:$O$2484*1,0))))),0)+IF(SUMPRODUCT(MAX((CriteriTecnici!$C$5:$C$2484=$C11)*(CriteriTecnici!$E$5:$E$2484="D")*(CriteriTecnici!$T$5:$T$2484="SI")*IFERROR(CriteriTecnici!$O$5:$O$2484*1,0)))&gt;0,MIN(10,SUMIFS(CriteriTecnici!$O:$O,CriteriTecnici!$Q:$Q,$A11&amp;"|"&amp;$C11,CriteriTecnici!$E:$E,"D")*(10/SUMPRODUCT(MAX((CriteriTecnici!$C$5:$C$2484=$C11)*(CriteriTecnici!$E$5:$E$2484="D")*(CriteriTecnici!$T$5:$T$2484="SI")*IFERROR(CriteriTecnici!$O$5:$O$2484*1,0))))),0)+IF(SUMPRODUCT(MAX((CriteriTecnici!$C$5:$C$2484=$C11)*(CriteriTecnici!$E$5:$E$2484="E")*(CriteriTecnici!$T$5:$T$2484="SI")*IFERROR(CriteriTecnici!$O$5:$O$2484*1,0)))&gt;0,MIN(4,SUMIFS(CriteriTecnici!$O:$O,CriteriTecnici!$Q:$Q,$A11&amp;"|"&amp;$C11,CriteriTecnici!$E:$E,"E")*(4/SUMPRODUCT(MAX((CriteriTecnici!$C$5:$C$2484=$C11)*(CriteriTecnici!$E$5:$E$2484="E")*(CriteriTecnici!$T$5:$T$2484="SI")*IFERROR(CriteriTecnici!$O$5:$O$2484*1,0))))),0)+IF(SUMPRODUCT(MAX((CriteriTecnici!$C$5:$C$2484=$C11)*(CriteriTecnici!$E$5:$E$2484="F")*(CriteriTecnici!$T$5:$T$2484="SI")*IFERROR(CriteriTecnici!$O$5:$O$2484*1,0)))&gt;0,MIN(14,SUMIFS(CriteriTecnici!$O:$O,CriteriTecnici!$Q:$Q,$A11&amp;"|"&amp;$C11,CriteriTecnici!$E:$E,"F")*(14/SUMPRODUCT(MAX((CriteriTecnici!$C$5:$C$2484=$C11)*(CriteriTecnici!$E$5:$E$2484="F")*(CriteriTecnici!$T$5:$T$2484="SI")*IFERROR(CriteriTecnici!$O$5:$O$2484*1,0))))),0)+IF(SUMPRODUCT(MAX((CriteriTecnici!$C$5:$C$2484=$C11)*(CriteriTecnici!$E$5:$E$2484="G")*(CriteriTecnici!$T$5:$T$2484="SI")*IFERROR(CriteriTecnici!$O$5:$O$2484*1,0)))&gt;0,MIN(7,SUMIFS(CriteriTecnici!$O:$O,CriteriTecnici!$Q:$Q,$A11&amp;"|"&amp;$C11,CriteriTecnici!$E:$E,"G")*(7/SUMPRODUCT(MAX((CriteriTecnici!$C$5:$C$2484=$C11)*(CriteriTecnici!$E$5:$E$2484="G")*(CriteriTecnici!$T$5:$T$2484="SI")*IFERROR(CriteriTecnici!$O$5:$O$2484*1,0))))),0),4),0),IFERROR($N11*1,0)),0))</f>
        <v/>
      </c>
      <c r="F11" s="56">
        <f>IF(Compila!$A21="","",Compila!$E21)</f>
        <v/>
      </c>
      <c r="G11" s="57">
        <f>IF($A11="","",IF(IFERROR(VALUE($D11),0)&lt;&gt;1,"NO",IF(IFERROR(VALUE($O11),0)&gt;=Parametri!$B$2,"SI","NO")))</f>
        <v/>
      </c>
      <c r="H11" s="57">
        <f>IF($G11="SI",SUMPRODUCT(MAX(($C$2:$C$81=$C11)*(IFERROR($D$2:$D$81*1,0)=1)*(IFERROR($O$2:$O$81*1,0)&gt;=Parametri!$B$2)*IFERROR($F$2:$F$81*1,0))),0)</f>
        <v/>
      </c>
      <c r="I11" s="57">
        <f>IF($G11="SI",IF($H11&gt;0,30*(IFERROR($F11*1,0)/$H11),0),0)</f>
        <v/>
      </c>
      <c r="J11" s="57">
        <f>IF($A11="",0,IF($G11="SI",ROUND(IFERROR($E11*1,0)+$I11,4),ROUND(IFERROR($E11*1,0),4)))</f>
        <v/>
      </c>
      <c r="K11" s="57">
        <f>IF($A11="","",IF(IFERROR(VALUE($D11),0)&lt;&gt;1,"Non attiva",IF(IFERROR(VALUE($O11),0)&lt;Parametri!$B$2,"Sotto soglia","")))</f>
        <v/>
      </c>
      <c r="L11" s="57">
        <f>IF($A11="","",$A11&amp;"|"&amp;$C11)</f>
        <v/>
      </c>
      <c r="M11" s="57">
        <f>IF($A11="","",$C11&amp;"|"&amp;TEXT($J11,"0.0000"))</f>
        <v/>
      </c>
      <c r="N11" s="57" t="n">
        <v>37</v>
      </c>
      <c r="O11" s="57">
        <f>IF($A11="",0,IFERROR(IF(SUMIFS(CriteriTecnici!$O:$O,CriteriTecnici!$Q:$Q,$A11&amp;"|"&amp;$C11)&gt;0,SUMIFS(CriteriTecnici!$O:$O,CriteriTecnici!$Q:$Q,$A11&amp;"|"&amp;$C11,CriteriTecnici!$F:$F,"Q")+SUMIFS(CriteriTecnici!$O:$O,CriteriTecnici!$Q:$Q,$A11&amp;"|"&amp;$C11,CriteriTecnici!$F:$F,"T"),IFERROR($N11*1,0)),0))</f>
        <v/>
      </c>
      <c r="P11" s="57">
        <f>IF($A11="","",IF(SUMIFS(CriteriTecnici!$O:$O,CriteriTecnici!$Q:$Q,$A11&amp;"|"&amp;$C11)&gt;0,"Criteri A-G","Aggregato"))</f>
        <v/>
      </c>
    </row>
    <row r="12">
      <c r="A12" s="56">
        <f>IF(Compila!$A22="","",Compila!$A22)</f>
        <v/>
      </c>
      <c r="B12" s="56">
        <f>IF(Compila!$A22="","",Compila!$B22)</f>
        <v/>
      </c>
      <c r="C12" s="56">
        <f>IF(Compila!$A22="","",Compila!$C22)</f>
        <v/>
      </c>
      <c r="D12" s="56">
        <f>IF(Compila!$A22="","",Compila!$D22)</f>
        <v/>
      </c>
      <c r="E12" s="57">
        <f>IF($A12="",0,IFERROR(IF(SUMIFS(CriteriTecnici!$O:$O,CriteriTecnici!$Q:$Q,$A12&amp;"|"&amp;$C12)&gt;0,IF($G12="SI",ROUND(IF(SUMPRODUCT(MAX((CriteriTecnici!$C$5:$C$2484=$C12)*(CriteriTecnici!$E$5:$E$2484="A")*(CriteriTecnici!$T$5:$T$2484="SI")*IFERROR(CriteriTecnici!$O$5:$O$2484*1,0)))&gt;0,MIN(7,SUMIFS(CriteriTecnici!$O:$O,CriteriTecnici!$Q:$Q,$A12&amp;"|"&amp;$C12,CriteriTecnici!$E:$E,"A")*(7/SUMPRODUCT(MAX((CriteriTecnici!$C$5:$C$2484=$C12)*(CriteriTecnici!$E$5:$E$2484="A")*(CriteriTecnici!$T$5:$T$2484="SI")*IFERROR(CriteriTecnici!$O$5:$O$2484*1,0))))),0)+IF(SUMPRODUCT(MAX((CriteriTecnici!$C$5:$C$2484=$C12)*(CriteriTecnici!$E$5:$E$2484="B")*(CriteriTecnici!$T$5:$T$2484="SI")*IFERROR(CriteriTecnici!$O$5:$O$2484*1,0)))&gt;0,MIN(14,SUMIFS(CriteriTecnici!$O:$O,CriteriTecnici!$Q:$Q,$A12&amp;"|"&amp;$C12,CriteriTecnici!$E:$E,"B")*(14/SUMPRODUCT(MAX((CriteriTecnici!$C$5:$C$2484=$C12)*(CriteriTecnici!$E$5:$E$2484="B")*(CriteriTecnici!$T$5:$T$2484="SI")*IFERROR(CriteriTecnici!$O$5:$O$2484*1,0))))),0)+IF(SUMPRODUCT(MAX((CriteriTecnici!$C$5:$C$2484=$C12)*(CriteriTecnici!$E$5:$E$2484="C")*(CriteriTecnici!$T$5:$T$2484="SI")*IFERROR(CriteriTecnici!$O$5:$O$2484*1,0)))&gt;0,MIN(14,SUMIFS(CriteriTecnici!$O:$O,CriteriTecnici!$Q:$Q,$A12&amp;"|"&amp;$C12,CriteriTecnici!$E:$E,"C")*(14/SUMPRODUCT(MAX((CriteriTecnici!$C$5:$C$2484=$C12)*(CriteriTecnici!$E$5:$E$2484="C")*(CriteriTecnici!$T$5:$T$2484="SI")*IFERROR(CriteriTecnici!$O$5:$O$2484*1,0))))),0)+IF(SUMPRODUCT(MAX((CriteriTecnici!$C$5:$C$2484=$C12)*(CriteriTecnici!$E$5:$E$2484="D")*(CriteriTecnici!$T$5:$T$2484="SI")*IFERROR(CriteriTecnici!$O$5:$O$2484*1,0)))&gt;0,MIN(10,SUMIFS(CriteriTecnici!$O:$O,CriteriTecnici!$Q:$Q,$A12&amp;"|"&amp;$C12,CriteriTecnici!$E:$E,"D")*(10/SUMPRODUCT(MAX((CriteriTecnici!$C$5:$C$2484=$C12)*(CriteriTecnici!$E$5:$E$2484="D")*(CriteriTecnici!$T$5:$T$2484="SI")*IFERROR(CriteriTecnici!$O$5:$O$2484*1,0))))),0)+IF(SUMPRODUCT(MAX((CriteriTecnici!$C$5:$C$2484=$C12)*(CriteriTecnici!$E$5:$E$2484="E")*(CriteriTecnici!$T$5:$T$2484="SI")*IFERROR(CriteriTecnici!$O$5:$O$2484*1,0)))&gt;0,MIN(4,SUMIFS(CriteriTecnici!$O:$O,CriteriTecnici!$Q:$Q,$A12&amp;"|"&amp;$C12,CriteriTecnici!$E:$E,"E")*(4/SUMPRODUCT(MAX((CriteriTecnici!$C$5:$C$2484=$C12)*(CriteriTecnici!$E$5:$E$2484="E")*(CriteriTecnici!$T$5:$T$2484="SI")*IFERROR(CriteriTecnici!$O$5:$O$2484*1,0))))),0)+IF(SUMPRODUCT(MAX((CriteriTecnici!$C$5:$C$2484=$C12)*(CriteriTecnici!$E$5:$E$2484="F")*(CriteriTecnici!$T$5:$T$2484="SI")*IFERROR(CriteriTecnici!$O$5:$O$2484*1,0)))&gt;0,MIN(14,SUMIFS(CriteriTecnici!$O:$O,CriteriTecnici!$Q:$Q,$A12&amp;"|"&amp;$C12,CriteriTecnici!$E:$E,"F")*(14/SUMPRODUCT(MAX((CriteriTecnici!$C$5:$C$2484=$C12)*(CriteriTecnici!$E$5:$E$2484="F")*(CriteriTecnici!$T$5:$T$2484="SI")*IFERROR(CriteriTecnici!$O$5:$O$2484*1,0))))),0)+IF(SUMPRODUCT(MAX((CriteriTecnici!$C$5:$C$2484=$C12)*(CriteriTecnici!$E$5:$E$2484="G")*(CriteriTecnici!$T$5:$T$2484="SI")*IFERROR(CriteriTecnici!$O$5:$O$2484*1,0)))&gt;0,MIN(7,SUMIFS(CriteriTecnici!$O:$O,CriteriTecnici!$Q:$Q,$A12&amp;"|"&amp;$C12,CriteriTecnici!$E:$E,"G")*(7/SUMPRODUCT(MAX((CriteriTecnici!$C$5:$C$2484=$C12)*(CriteriTecnici!$E$5:$E$2484="G")*(CriteriTecnici!$T$5:$T$2484="SI")*IFERROR(CriteriTecnici!$O$5:$O$2484*1,0))))),0),4),0),IFERROR($N12*1,0)),0))</f>
        <v/>
      </c>
      <c r="F12" s="56">
        <f>IF(Compila!$A22="","",Compila!$E22)</f>
        <v/>
      </c>
      <c r="G12" s="57">
        <f>IF($A12="","",IF(IFERROR(VALUE($D12),0)&lt;&gt;1,"NO",IF(IFERROR(VALUE($O12),0)&gt;=Parametri!$B$2,"SI","NO")))</f>
        <v/>
      </c>
      <c r="H12" s="57">
        <f>IF($G12="SI",SUMPRODUCT(MAX(($C$2:$C$81=$C12)*(IFERROR($D$2:$D$81*1,0)=1)*(IFERROR($O$2:$O$81*1,0)&gt;=Parametri!$B$2)*IFERROR($F$2:$F$81*1,0))),0)</f>
        <v/>
      </c>
      <c r="I12" s="57">
        <f>IF($G12="SI",IF($H12&gt;0,30*(IFERROR($F12*1,0)/$H12),0),0)</f>
        <v/>
      </c>
      <c r="J12" s="57">
        <f>IF($A12="",0,IF($G12="SI",ROUND(IFERROR($E12*1,0)+$I12,4),ROUND(IFERROR($E12*1,0),4)))</f>
        <v/>
      </c>
      <c r="K12" s="57">
        <f>IF($A12="","",IF(IFERROR(VALUE($D12),0)&lt;&gt;1,"Non attiva",IF(IFERROR(VALUE($O12),0)&lt;Parametri!$B$2,"Sotto soglia","")))</f>
        <v/>
      </c>
      <c r="L12" s="57">
        <f>IF($A12="","",$A12&amp;"|"&amp;$C12)</f>
        <v/>
      </c>
      <c r="M12" s="57">
        <f>IF($A12="","",$C12&amp;"|"&amp;TEXT($J12,"0.0000"))</f>
        <v/>
      </c>
      <c r="N12" s="57" t="n">
        <v>36</v>
      </c>
      <c r="O12" s="57">
        <f>IF($A12="",0,IFERROR(IF(SUMIFS(CriteriTecnici!$O:$O,CriteriTecnici!$Q:$Q,$A12&amp;"|"&amp;$C12)&gt;0,SUMIFS(CriteriTecnici!$O:$O,CriteriTecnici!$Q:$Q,$A12&amp;"|"&amp;$C12,CriteriTecnici!$F:$F,"Q")+SUMIFS(CriteriTecnici!$O:$O,CriteriTecnici!$Q:$Q,$A12&amp;"|"&amp;$C12,CriteriTecnici!$F:$F,"T"),IFERROR($N12*1,0)),0))</f>
        <v/>
      </c>
      <c r="P12" s="57">
        <f>IF($A12="","",IF(SUMIFS(CriteriTecnici!$O:$O,CriteriTecnici!$Q:$Q,$A12&amp;"|"&amp;$C12)&gt;0,"Criteri A-G","Aggregato"))</f>
        <v/>
      </c>
    </row>
    <row r="13">
      <c r="A13" s="56">
        <f>IF(Compila!$A23="","",Compila!$A23)</f>
        <v/>
      </c>
      <c r="B13" s="56">
        <f>IF(Compila!$A23="","",Compila!$B23)</f>
        <v/>
      </c>
      <c r="C13" s="56">
        <f>IF(Compila!$A23="","",Compila!$C23)</f>
        <v/>
      </c>
      <c r="D13" s="56">
        <f>IF(Compila!$A23="","",Compila!$D23)</f>
        <v/>
      </c>
      <c r="E13" s="57">
        <f>IF($A13="",0,IFERROR(IF(SUMIFS(CriteriTecnici!$O:$O,CriteriTecnici!$Q:$Q,$A13&amp;"|"&amp;$C13)&gt;0,IF($G13="SI",ROUND(IF(SUMPRODUCT(MAX((CriteriTecnici!$C$5:$C$2484=$C13)*(CriteriTecnici!$E$5:$E$2484="A")*(CriteriTecnici!$T$5:$T$2484="SI")*IFERROR(CriteriTecnici!$O$5:$O$2484*1,0)))&gt;0,MIN(7,SUMIFS(CriteriTecnici!$O:$O,CriteriTecnici!$Q:$Q,$A13&amp;"|"&amp;$C13,CriteriTecnici!$E:$E,"A")*(7/SUMPRODUCT(MAX((CriteriTecnici!$C$5:$C$2484=$C13)*(CriteriTecnici!$E$5:$E$2484="A")*(CriteriTecnici!$T$5:$T$2484="SI")*IFERROR(CriteriTecnici!$O$5:$O$2484*1,0))))),0)+IF(SUMPRODUCT(MAX((CriteriTecnici!$C$5:$C$2484=$C13)*(CriteriTecnici!$E$5:$E$2484="B")*(CriteriTecnici!$T$5:$T$2484="SI")*IFERROR(CriteriTecnici!$O$5:$O$2484*1,0)))&gt;0,MIN(14,SUMIFS(CriteriTecnici!$O:$O,CriteriTecnici!$Q:$Q,$A13&amp;"|"&amp;$C13,CriteriTecnici!$E:$E,"B")*(14/SUMPRODUCT(MAX((CriteriTecnici!$C$5:$C$2484=$C13)*(CriteriTecnici!$E$5:$E$2484="B")*(CriteriTecnici!$T$5:$T$2484="SI")*IFERROR(CriteriTecnici!$O$5:$O$2484*1,0))))),0)+IF(SUMPRODUCT(MAX((CriteriTecnici!$C$5:$C$2484=$C13)*(CriteriTecnici!$E$5:$E$2484="C")*(CriteriTecnici!$T$5:$T$2484="SI")*IFERROR(CriteriTecnici!$O$5:$O$2484*1,0)))&gt;0,MIN(14,SUMIFS(CriteriTecnici!$O:$O,CriteriTecnici!$Q:$Q,$A13&amp;"|"&amp;$C13,CriteriTecnici!$E:$E,"C")*(14/SUMPRODUCT(MAX((CriteriTecnici!$C$5:$C$2484=$C13)*(CriteriTecnici!$E$5:$E$2484="C")*(CriteriTecnici!$T$5:$T$2484="SI")*IFERROR(CriteriTecnici!$O$5:$O$2484*1,0))))),0)+IF(SUMPRODUCT(MAX((CriteriTecnici!$C$5:$C$2484=$C13)*(CriteriTecnici!$E$5:$E$2484="D")*(CriteriTecnici!$T$5:$T$2484="SI")*IFERROR(CriteriTecnici!$O$5:$O$2484*1,0)))&gt;0,MIN(10,SUMIFS(CriteriTecnici!$O:$O,CriteriTecnici!$Q:$Q,$A13&amp;"|"&amp;$C13,CriteriTecnici!$E:$E,"D")*(10/SUMPRODUCT(MAX((CriteriTecnici!$C$5:$C$2484=$C13)*(CriteriTecnici!$E$5:$E$2484="D")*(CriteriTecnici!$T$5:$T$2484="SI")*IFERROR(CriteriTecnici!$O$5:$O$2484*1,0))))),0)+IF(SUMPRODUCT(MAX((CriteriTecnici!$C$5:$C$2484=$C13)*(CriteriTecnici!$E$5:$E$2484="E")*(CriteriTecnici!$T$5:$T$2484="SI")*IFERROR(CriteriTecnici!$O$5:$O$2484*1,0)))&gt;0,MIN(4,SUMIFS(CriteriTecnici!$O:$O,CriteriTecnici!$Q:$Q,$A13&amp;"|"&amp;$C13,CriteriTecnici!$E:$E,"E")*(4/SUMPRODUCT(MAX((CriteriTecnici!$C$5:$C$2484=$C13)*(CriteriTecnici!$E$5:$E$2484="E")*(CriteriTecnici!$T$5:$T$2484="SI")*IFERROR(CriteriTecnici!$O$5:$O$2484*1,0))))),0)+IF(SUMPRODUCT(MAX((CriteriTecnici!$C$5:$C$2484=$C13)*(CriteriTecnici!$E$5:$E$2484="F")*(CriteriTecnici!$T$5:$T$2484="SI")*IFERROR(CriteriTecnici!$O$5:$O$2484*1,0)))&gt;0,MIN(14,SUMIFS(CriteriTecnici!$O:$O,CriteriTecnici!$Q:$Q,$A13&amp;"|"&amp;$C13,CriteriTecnici!$E:$E,"F")*(14/SUMPRODUCT(MAX((CriteriTecnici!$C$5:$C$2484=$C13)*(CriteriTecnici!$E$5:$E$2484="F")*(CriteriTecnici!$T$5:$T$2484="SI")*IFERROR(CriteriTecnici!$O$5:$O$2484*1,0))))),0)+IF(SUMPRODUCT(MAX((CriteriTecnici!$C$5:$C$2484=$C13)*(CriteriTecnici!$E$5:$E$2484="G")*(CriteriTecnici!$T$5:$T$2484="SI")*IFERROR(CriteriTecnici!$O$5:$O$2484*1,0)))&gt;0,MIN(7,SUMIFS(CriteriTecnici!$O:$O,CriteriTecnici!$Q:$Q,$A13&amp;"|"&amp;$C13,CriteriTecnici!$E:$E,"G")*(7/SUMPRODUCT(MAX((CriteriTecnici!$C$5:$C$2484=$C13)*(CriteriTecnici!$E$5:$E$2484="G")*(CriteriTecnici!$T$5:$T$2484="SI")*IFERROR(CriteriTecnici!$O$5:$O$2484*1,0))))),0),4),0),IFERROR($N13*1,0)),0))</f>
        <v/>
      </c>
      <c r="F13" s="56">
        <f>IF(Compila!$A23="","",Compila!$E23)</f>
        <v/>
      </c>
      <c r="G13" s="57">
        <f>IF($A13="","",IF(IFERROR(VALUE($D13),0)&lt;&gt;1,"NO",IF(IFERROR(VALUE($O13),0)&gt;=Parametri!$B$2,"SI","NO")))</f>
        <v/>
      </c>
      <c r="H13" s="57">
        <f>IF($G13="SI",SUMPRODUCT(MAX(($C$2:$C$81=$C13)*(IFERROR($D$2:$D$81*1,0)=1)*(IFERROR($O$2:$O$81*1,0)&gt;=Parametri!$B$2)*IFERROR($F$2:$F$81*1,0))),0)</f>
        <v/>
      </c>
      <c r="I13" s="57">
        <f>IF($G13="SI",IF($H13&gt;0,30*(IFERROR($F13*1,0)/$H13),0),0)</f>
        <v/>
      </c>
      <c r="J13" s="57">
        <f>IF($A13="",0,IF($G13="SI",ROUND(IFERROR($E13*1,0)+$I13,4),ROUND(IFERROR($E13*1,0),4)))</f>
        <v/>
      </c>
      <c r="K13" s="57">
        <f>IF($A13="","",IF(IFERROR(VALUE($D13),0)&lt;&gt;1,"Non attiva",IF(IFERROR(VALUE($O13),0)&lt;Parametri!$B$2,"Sotto soglia","")))</f>
        <v/>
      </c>
      <c r="L13" s="57">
        <f>IF($A13="","",$A13&amp;"|"&amp;$C13)</f>
        <v/>
      </c>
      <c r="M13" s="57">
        <f>IF($A13="","",$C13&amp;"|"&amp;TEXT($J13,"0.0000"))</f>
        <v/>
      </c>
      <c r="N13" s="57" t="n">
        <v>35</v>
      </c>
      <c r="O13" s="57">
        <f>IF($A13="",0,IFERROR(IF(SUMIFS(CriteriTecnici!$O:$O,CriteriTecnici!$Q:$Q,$A13&amp;"|"&amp;$C13)&gt;0,SUMIFS(CriteriTecnici!$O:$O,CriteriTecnici!$Q:$Q,$A13&amp;"|"&amp;$C13,CriteriTecnici!$F:$F,"Q")+SUMIFS(CriteriTecnici!$O:$O,CriteriTecnici!$Q:$Q,$A13&amp;"|"&amp;$C13,CriteriTecnici!$F:$F,"T"),IFERROR($N13*1,0)),0))</f>
        <v/>
      </c>
      <c r="P13" s="57">
        <f>IF($A13="","",IF(SUMIFS(CriteriTecnici!$O:$O,CriteriTecnici!$Q:$Q,$A13&amp;"|"&amp;$C13)&gt;0,"Criteri A-G","Aggregato"))</f>
        <v/>
      </c>
    </row>
    <row r="14">
      <c r="A14" s="56">
        <f>IF(Compila!$A24="","",Compila!$A24)</f>
        <v/>
      </c>
      <c r="B14" s="56">
        <f>IF(Compila!$A24="","",Compila!$B24)</f>
        <v/>
      </c>
      <c r="C14" s="56">
        <f>IF(Compila!$A24="","",Compila!$C24)</f>
        <v/>
      </c>
      <c r="D14" s="56">
        <f>IF(Compila!$A24="","",Compila!$D24)</f>
        <v/>
      </c>
      <c r="E14" s="57">
        <f>IF($A14="",0,IFERROR(IF(SUMIFS(CriteriTecnici!$O:$O,CriteriTecnici!$Q:$Q,$A14&amp;"|"&amp;$C14)&gt;0,IF($G14="SI",ROUND(IF(SUMPRODUCT(MAX((CriteriTecnici!$C$5:$C$2484=$C14)*(CriteriTecnici!$E$5:$E$2484="A")*(CriteriTecnici!$T$5:$T$2484="SI")*IFERROR(CriteriTecnici!$O$5:$O$2484*1,0)))&gt;0,MIN(7,SUMIFS(CriteriTecnici!$O:$O,CriteriTecnici!$Q:$Q,$A14&amp;"|"&amp;$C14,CriteriTecnici!$E:$E,"A")*(7/SUMPRODUCT(MAX((CriteriTecnici!$C$5:$C$2484=$C14)*(CriteriTecnici!$E$5:$E$2484="A")*(CriteriTecnici!$T$5:$T$2484="SI")*IFERROR(CriteriTecnici!$O$5:$O$2484*1,0))))),0)+IF(SUMPRODUCT(MAX((CriteriTecnici!$C$5:$C$2484=$C14)*(CriteriTecnici!$E$5:$E$2484="B")*(CriteriTecnici!$T$5:$T$2484="SI")*IFERROR(CriteriTecnici!$O$5:$O$2484*1,0)))&gt;0,MIN(14,SUMIFS(CriteriTecnici!$O:$O,CriteriTecnici!$Q:$Q,$A14&amp;"|"&amp;$C14,CriteriTecnici!$E:$E,"B")*(14/SUMPRODUCT(MAX((CriteriTecnici!$C$5:$C$2484=$C14)*(CriteriTecnici!$E$5:$E$2484="B")*(CriteriTecnici!$T$5:$T$2484="SI")*IFERROR(CriteriTecnici!$O$5:$O$2484*1,0))))),0)+IF(SUMPRODUCT(MAX((CriteriTecnici!$C$5:$C$2484=$C14)*(CriteriTecnici!$E$5:$E$2484="C")*(CriteriTecnici!$T$5:$T$2484="SI")*IFERROR(CriteriTecnici!$O$5:$O$2484*1,0)))&gt;0,MIN(14,SUMIFS(CriteriTecnici!$O:$O,CriteriTecnici!$Q:$Q,$A14&amp;"|"&amp;$C14,CriteriTecnici!$E:$E,"C")*(14/SUMPRODUCT(MAX((CriteriTecnici!$C$5:$C$2484=$C14)*(CriteriTecnici!$E$5:$E$2484="C")*(CriteriTecnici!$T$5:$T$2484="SI")*IFERROR(CriteriTecnici!$O$5:$O$2484*1,0))))),0)+IF(SUMPRODUCT(MAX((CriteriTecnici!$C$5:$C$2484=$C14)*(CriteriTecnici!$E$5:$E$2484="D")*(CriteriTecnici!$T$5:$T$2484="SI")*IFERROR(CriteriTecnici!$O$5:$O$2484*1,0)))&gt;0,MIN(10,SUMIFS(CriteriTecnici!$O:$O,CriteriTecnici!$Q:$Q,$A14&amp;"|"&amp;$C14,CriteriTecnici!$E:$E,"D")*(10/SUMPRODUCT(MAX((CriteriTecnici!$C$5:$C$2484=$C14)*(CriteriTecnici!$E$5:$E$2484="D")*(CriteriTecnici!$T$5:$T$2484="SI")*IFERROR(CriteriTecnici!$O$5:$O$2484*1,0))))),0)+IF(SUMPRODUCT(MAX((CriteriTecnici!$C$5:$C$2484=$C14)*(CriteriTecnici!$E$5:$E$2484="E")*(CriteriTecnici!$T$5:$T$2484="SI")*IFERROR(CriteriTecnici!$O$5:$O$2484*1,0)))&gt;0,MIN(4,SUMIFS(CriteriTecnici!$O:$O,CriteriTecnici!$Q:$Q,$A14&amp;"|"&amp;$C14,CriteriTecnici!$E:$E,"E")*(4/SUMPRODUCT(MAX((CriteriTecnici!$C$5:$C$2484=$C14)*(CriteriTecnici!$E$5:$E$2484="E")*(CriteriTecnici!$T$5:$T$2484="SI")*IFERROR(CriteriTecnici!$O$5:$O$2484*1,0))))),0)+IF(SUMPRODUCT(MAX((CriteriTecnici!$C$5:$C$2484=$C14)*(CriteriTecnici!$E$5:$E$2484="F")*(CriteriTecnici!$T$5:$T$2484="SI")*IFERROR(CriteriTecnici!$O$5:$O$2484*1,0)))&gt;0,MIN(14,SUMIFS(CriteriTecnici!$O:$O,CriteriTecnici!$Q:$Q,$A14&amp;"|"&amp;$C14,CriteriTecnici!$E:$E,"F")*(14/SUMPRODUCT(MAX((CriteriTecnici!$C$5:$C$2484=$C14)*(CriteriTecnici!$E$5:$E$2484="F")*(CriteriTecnici!$T$5:$T$2484="SI")*IFERROR(CriteriTecnici!$O$5:$O$2484*1,0))))),0)+IF(SUMPRODUCT(MAX((CriteriTecnici!$C$5:$C$2484=$C14)*(CriteriTecnici!$E$5:$E$2484="G")*(CriteriTecnici!$T$5:$T$2484="SI")*IFERROR(CriteriTecnici!$O$5:$O$2484*1,0)))&gt;0,MIN(7,SUMIFS(CriteriTecnici!$O:$O,CriteriTecnici!$Q:$Q,$A14&amp;"|"&amp;$C14,CriteriTecnici!$E:$E,"G")*(7/SUMPRODUCT(MAX((CriteriTecnici!$C$5:$C$2484=$C14)*(CriteriTecnici!$E$5:$E$2484="G")*(CriteriTecnici!$T$5:$T$2484="SI")*IFERROR(CriteriTecnici!$O$5:$O$2484*1,0))))),0),4),0),IFERROR($N14*1,0)),0))</f>
        <v/>
      </c>
      <c r="F14" s="56">
        <f>IF(Compila!$A24="","",Compila!$E24)</f>
        <v/>
      </c>
      <c r="G14" s="57">
        <f>IF($A14="","",IF(IFERROR(VALUE($D14),0)&lt;&gt;1,"NO",IF(IFERROR(VALUE($O14),0)&gt;=Parametri!$B$2,"SI","NO")))</f>
        <v/>
      </c>
      <c r="H14" s="57">
        <f>IF($G14="SI",SUMPRODUCT(MAX(($C$2:$C$81=$C14)*(IFERROR($D$2:$D$81*1,0)=1)*(IFERROR($O$2:$O$81*1,0)&gt;=Parametri!$B$2)*IFERROR($F$2:$F$81*1,0))),0)</f>
        <v/>
      </c>
      <c r="I14" s="57">
        <f>IF($G14="SI",IF($H14&gt;0,30*(IFERROR($F14*1,0)/$H14),0),0)</f>
        <v/>
      </c>
      <c r="J14" s="57">
        <f>IF($A14="",0,IF($G14="SI",ROUND(IFERROR($E14*1,0)+$I14,4),ROUND(IFERROR($E14*1,0),4)))</f>
        <v/>
      </c>
      <c r="K14" s="57">
        <f>IF($A14="","",IF(IFERROR(VALUE($D14),0)&lt;&gt;1,"Non attiva",IF(IFERROR(VALUE($O14),0)&lt;Parametri!$B$2,"Sotto soglia","")))</f>
        <v/>
      </c>
      <c r="L14" s="57">
        <f>IF($A14="","",$A14&amp;"|"&amp;$C14)</f>
        <v/>
      </c>
      <c r="M14" s="57">
        <f>IF($A14="","",$C14&amp;"|"&amp;TEXT($J14,"0.0000"))</f>
        <v/>
      </c>
      <c r="N14" s="57" t="n"/>
      <c r="O14" s="57">
        <f>IF($A14="",0,IFERROR(IF(SUMIFS(CriteriTecnici!$O:$O,CriteriTecnici!$Q:$Q,$A14&amp;"|"&amp;$C14)&gt;0,SUMIFS(CriteriTecnici!$O:$O,CriteriTecnici!$Q:$Q,$A14&amp;"|"&amp;$C14,CriteriTecnici!$F:$F,"Q")+SUMIFS(CriteriTecnici!$O:$O,CriteriTecnici!$Q:$Q,$A14&amp;"|"&amp;$C14,CriteriTecnici!$F:$F,"T"),IFERROR($N14*1,0)),0))</f>
        <v/>
      </c>
      <c r="P14" s="57">
        <f>IF($A14="","",IF(SUMIFS(CriteriTecnici!$O:$O,CriteriTecnici!$Q:$Q,$A14&amp;"|"&amp;$C14)&gt;0,"Criteri A-G","Aggregato"))</f>
        <v/>
      </c>
    </row>
    <row r="15">
      <c r="A15" s="56">
        <f>IF(Compila!$A25="","",Compila!$A25)</f>
        <v/>
      </c>
      <c r="B15" s="56">
        <f>IF(Compila!$A25="","",Compila!$B25)</f>
        <v/>
      </c>
      <c r="C15" s="56">
        <f>IF(Compila!$A25="","",Compila!$C25)</f>
        <v/>
      </c>
      <c r="D15" s="56">
        <f>IF(Compila!$A25="","",Compila!$D25)</f>
        <v/>
      </c>
      <c r="E15" s="57">
        <f>IF($A15="",0,IFERROR(IF(SUMIFS(CriteriTecnici!$O:$O,CriteriTecnici!$Q:$Q,$A15&amp;"|"&amp;$C15)&gt;0,IF($G15="SI",ROUND(IF(SUMPRODUCT(MAX((CriteriTecnici!$C$5:$C$2484=$C15)*(CriteriTecnici!$E$5:$E$2484="A")*(CriteriTecnici!$T$5:$T$2484="SI")*IFERROR(CriteriTecnici!$O$5:$O$2484*1,0)))&gt;0,MIN(7,SUMIFS(CriteriTecnici!$O:$O,CriteriTecnici!$Q:$Q,$A15&amp;"|"&amp;$C15,CriteriTecnici!$E:$E,"A")*(7/SUMPRODUCT(MAX((CriteriTecnici!$C$5:$C$2484=$C15)*(CriteriTecnici!$E$5:$E$2484="A")*(CriteriTecnici!$T$5:$T$2484="SI")*IFERROR(CriteriTecnici!$O$5:$O$2484*1,0))))),0)+IF(SUMPRODUCT(MAX((CriteriTecnici!$C$5:$C$2484=$C15)*(CriteriTecnici!$E$5:$E$2484="B")*(CriteriTecnici!$T$5:$T$2484="SI")*IFERROR(CriteriTecnici!$O$5:$O$2484*1,0)))&gt;0,MIN(14,SUMIFS(CriteriTecnici!$O:$O,CriteriTecnici!$Q:$Q,$A15&amp;"|"&amp;$C15,CriteriTecnici!$E:$E,"B")*(14/SUMPRODUCT(MAX((CriteriTecnici!$C$5:$C$2484=$C15)*(CriteriTecnici!$E$5:$E$2484="B")*(CriteriTecnici!$T$5:$T$2484="SI")*IFERROR(CriteriTecnici!$O$5:$O$2484*1,0))))),0)+IF(SUMPRODUCT(MAX((CriteriTecnici!$C$5:$C$2484=$C15)*(CriteriTecnici!$E$5:$E$2484="C")*(CriteriTecnici!$T$5:$T$2484="SI")*IFERROR(CriteriTecnici!$O$5:$O$2484*1,0)))&gt;0,MIN(14,SUMIFS(CriteriTecnici!$O:$O,CriteriTecnici!$Q:$Q,$A15&amp;"|"&amp;$C15,CriteriTecnici!$E:$E,"C")*(14/SUMPRODUCT(MAX((CriteriTecnici!$C$5:$C$2484=$C15)*(CriteriTecnici!$E$5:$E$2484="C")*(CriteriTecnici!$T$5:$T$2484="SI")*IFERROR(CriteriTecnici!$O$5:$O$2484*1,0))))),0)+IF(SUMPRODUCT(MAX((CriteriTecnici!$C$5:$C$2484=$C15)*(CriteriTecnici!$E$5:$E$2484="D")*(CriteriTecnici!$T$5:$T$2484="SI")*IFERROR(CriteriTecnici!$O$5:$O$2484*1,0)))&gt;0,MIN(10,SUMIFS(CriteriTecnici!$O:$O,CriteriTecnici!$Q:$Q,$A15&amp;"|"&amp;$C15,CriteriTecnici!$E:$E,"D")*(10/SUMPRODUCT(MAX((CriteriTecnici!$C$5:$C$2484=$C15)*(CriteriTecnici!$E$5:$E$2484="D")*(CriteriTecnici!$T$5:$T$2484="SI")*IFERROR(CriteriTecnici!$O$5:$O$2484*1,0))))),0)+IF(SUMPRODUCT(MAX((CriteriTecnici!$C$5:$C$2484=$C15)*(CriteriTecnici!$E$5:$E$2484="E")*(CriteriTecnici!$T$5:$T$2484="SI")*IFERROR(CriteriTecnici!$O$5:$O$2484*1,0)))&gt;0,MIN(4,SUMIFS(CriteriTecnici!$O:$O,CriteriTecnici!$Q:$Q,$A15&amp;"|"&amp;$C15,CriteriTecnici!$E:$E,"E")*(4/SUMPRODUCT(MAX((CriteriTecnici!$C$5:$C$2484=$C15)*(CriteriTecnici!$E$5:$E$2484="E")*(CriteriTecnici!$T$5:$T$2484="SI")*IFERROR(CriteriTecnici!$O$5:$O$2484*1,0))))),0)+IF(SUMPRODUCT(MAX((CriteriTecnici!$C$5:$C$2484=$C15)*(CriteriTecnici!$E$5:$E$2484="F")*(CriteriTecnici!$T$5:$T$2484="SI")*IFERROR(CriteriTecnici!$O$5:$O$2484*1,0)))&gt;0,MIN(14,SUMIFS(CriteriTecnici!$O:$O,CriteriTecnici!$Q:$Q,$A15&amp;"|"&amp;$C15,CriteriTecnici!$E:$E,"F")*(14/SUMPRODUCT(MAX((CriteriTecnici!$C$5:$C$2484=$C15)*(CriteriTecnici!$E$5:$E$2484="F")*(CriteriTecnici!$T$5:$T$2484="SI")*IFERROR(CriteriTecnici!$O$5:$O$2484*1,0))))),0)+IF(SUMPRODUCT(MAX((CriteriTecnici!$C$5:$C$2484=$C15)*(CriteriTecnici!$E$5:$E$2484="G")*(CriteriTecnici!$T$5:$T$2484="SI")*IFERROR(CriteriTecnici!$O$5:$O$2484*1,0)))&gt;0,MIN(7,SUMIFS(CriteriTecnici!$O:$O,CriteriTecnici!$Q:$Q,$A15&amp;"|"&amp;$C15,CriteriTecnici!$E:$E,"G")*(7/SUMPRODUCT(MAX((CriteriTecnici!$C$5:$C$2484=$C15)*(CriteriTecnici!$E$5:$E$2484="G")*(CriteriTecnici!$T$5:$T$2484="SI")*IFERROR(CriteriTecnici!$O$5:$O$2484*1,0))))),0),4),0),IFERROR($N15*1,0)),0))</f>
        <v/>
      </c>
      <c r="F15" s="56">
        <f>IF(Compila!$A25="","",Compila!$E25)</f>
        <v/>
      </c>
      <c r="G15" s="57">
        <f>IF($A15="","",IF(IFERROR(VALUE($D15),0)&lt;&gt;1,"NO",IF(IFERROR(VALUE($O15),0)&gt;=Parametri!$B$2,"SI","NO")))</f>
        <v/>
      </c>
      <c r="H15" s="57">
        <f>IF($G15="SI",SUMPRODUCT(MAX(($C$2:$C$81=$C15)*(IFERROR($D$2:$D$81*1,0)=1)*(IFERROR($O$2:$O$81*1,0)&gt;=Parametri!$B$2)*IFERROR($F$2:$F$81*1,0))),0)</f>
        <v/>
      </c>
      <c r="I15" s="57">
        <f>IF($G15="SI",IF($H15&gt;0,30*(IFERROR($F15*1,0)/$H15),0),0)</f>
        <v/>
      </c>
      <c r="J15" s="57">
        <f>IF($A15="",0,IF($G15="SI",ROUND(IFERROR($E15*1,0)+$I15,4),ROUND(IFERROR($E15*1,0),4)))</f>
        <v/>
      </c>
      <c r="K15" s="57">
        <f>IF($A15="","",IF(IFERROR(VALUE($D15),0)&lt;&gt;1,"Non attiva",IF(IFERROR(VALUE($O15),0)&lt;Parametri!$B$2,"Sotto soglia","")))</f>
        <v/>
      </c>
      <c r="L15" s="57">
        <f>IF($A15="","",$A15&amp;"|"&amp;$C15)</f>
        <v/>
      </c>
      <c r="M15" s="57">
        <f>IF($A15="","",$C15&amp;"|"&amp;TEXT($J15,"0.0000"))</f>
        <v/>
      </c>
      <c r="N15" s="57" t="n"/>
      <c r="O15" s="57">
        <f>IF($A15="",0,IFERROR(IF(SUMIFS(CriteriTecnici!$O:$O,CriteriTecnici!$Q:$Q,$A15&amp;"|"&amp;$C15)&gt;0,SUMIFS(CriteriTecnici!$O:$O,CriteriTecnici!$Q:$Q,$A15&amp;"|"&amp;$C15,CriteriTecnici!$F:$F,"Q")+SUMIFS(CriteriTecnici!$O:$O,CriteriTecnici!$Q:$Q,$A15&amp;"|"&amp;$C15,CriteriTecnici!$F:$F,"T"),IFERROR($N15*1,0)),0))</f>
        <v/>
      </c>
      <c r="P15" s="57">
        <f>IF($A15="","",IF(SUMIFS(CriteriTecnici!$O:$O,CriteriTecnici!$Q:$Q,$A15&amp;"|"&amp;$C15)&gt;0,"Criteri A-G","Aggregato"))</f>
        <v/>
      </c>
    </row>
    <row r="16">
      <c r="A16" s="56">
        <f>IF(Compila!$A26="","",Compila!$A26)</f>
        <v/>
      </c>
      <c r="B16" s="56">
        <f>IF(Compila!$A26="","",Compila!$B26)</f>
        <v/>
      </c>
      <c r="C16" s="56">
        <f>IF(Compila!$A26="","",Compila!$C26)</f>
        <v/>
      </c>
      <c r="D16" s="56">
        <f>IF(Compila!$A26="","",Compila!$D26)</f>
        <v/>
      </c>
      <c r="E16" s="57">
        <f>IF($A16="",0,IFERROR(IF(SUMIFS(CriteriTecnici!$O:$O,CriteriTecnici!$Q:$Q,$A16&amp;"|"&amp;$C16)&gt;0,IF($G16="SI",ROUND(IF(SUMPRODUCT(MAX((CriteriTecnici!$C$5:$C$2484=$C16)*(CriteriTecnici!$E$5:$E$2484="A")*(CriteriTecnici!$T$5:$T$2484="SI")*IFERROR(CriteriTecnici!$O$5:$O$2484*1,0)))&gt;0,MIN(7,SUMIFS(CriteriTecnici!$O:$O,CriteriTecnici!$Q:$Q,$A16&amp;"|"&amp;$C16,CriteriTecnici!$E:$E,"A")*(7/SUMPRODUCT(MAX((CriteriTecnici!$C$5:$C$2484=$C16)*(CriteriTecnici!$E$5:$E$2484="A")*(CriteriTecnici!$T$5:$T$2484="SI")*IFERROR(CriteriTecnici!$O$5:$O$2484*1,0))))),0)+IF(SUMPRODUCT(MAX((CriteriTecnici!$C$5:$C$2484=$C16)*(CriteriTecnici!$E$5:$E$2484="B")*(CriteriTecnici!$T$5:$T$2484="SI")*IFERROR(CriteriTecnici!$O$5:$O$2484*1,0)))&gt;0,MIN(14,SUMIFS(CriteriTecnici!$O:$O,CriteriTecnici!$Q:$Q,$A16&amp;"|"&amp;$C16,CriteriTecnici!$E:$E,"B")*(14/SUMPRODUCT(MAX((CriteriTecnici!$C$5:$C$2484=$C16)*(CriteriTecnici!$E$5:$E$2484="B")*(CriteriTecnici!$T$5:$T$2484="SI")*IFERROR(CriteriTecnici!$O$5:$O$2484*1,0))))),0)+IF(SUMPRODUCT(MAX((CriteriTecnici!$C$5:$C$2484=$C16)*(CriteriTecnici!$E$5:$E$2484="C")*(CriteriTecnici!$T$5:$T$2484="SI")*IFERROR(CriteriTecnici!$O$5:$O$2484*1,0)))&gt;0,MIN(14,SUMIFS(CriteriTecnici!$O:$O,CriteriTecnici!$Q:$Q,$A16&amp;"|"&amp;$C16,CriteriTecnici!$E:$E,"C")*(14/SUMPRODUCT(MAX((CriteriTecnici!$C$5:$C$2484=$C16)*(CriteriTecnici!$E$5:$E$2484="C")*(CriteriTecnici!$T$5:$T$2484="SI")*IFERROR(CriteriTecnici!$O$5:$O$2484*1,0))))),0)+IF(SUMPRODUCT(MAX((CriteriTecnici!$C$5:$C$2484=$C16)*(CriteriTecnici!$E$5:$E$2484="D")*(CriteriTecnici!$T$5:$T$2484="SI")*IFERROR(CriteriTecnici!$O$5:$O$2484*1,0)))&gt;0,MIN(10,SUMIFS(CriteriTecnici!$O:$O,CriteriTecnici!$Q:$Q,$A16&amp;"|"&amp;$C16,CriteriTecnici!$E:$E,"D")*(10/SUMPRODUCT(MAX((CriteriTecnici!$C$5:$C$2484=$C16)*(CriteriTecnici!$E$5:$E$2484="D")*(CriteriTecnici!$T$5:$T$2484="SI")*IFERROR(CriteriTecnici!$O$5:$O$2484*1,0))))),0)+IF(SUMPRODUCT(MAX((CriteriTecnici!$C$5:$C$2484=$C16)*(CriteriTecnici!$E$5:$E$2484="E")*(CriteriTecnici!$T$5:$T$2484="SI")*IFERROR(CriteriTecnici!$O$5:$O$2484*1,0)))&gt;0,MIN(4,SUMIFS(CriteriTecnici!$O:$O,CriteriTecnici!$Q:$Q,$A16&amp;"|"&amp;$C16,CriteriTecnici!$E:$E,"E")*(4/SUMPRODUCT(MAX((CriteriTecnici!$C$5:$C$2484=$C16)*(CriteriTecnici!$E$5:$E$2484="E")*(CriteriTecnici!$T$5:$T$2484="SI")*IFERROR(CriteriTecnici!$O$5:$O$2484*1,0))))),0)+IF(SUMPRODUCT(MAX((CriteriTecnici!$C$5:$C$2484=$C16)*(CriteriTecnici!$E$5:$E$2484="F")*(CriteriTecnici!$T$5:$T$2484="SI")*IFERROR(CriteriTecnici!$O$5:$O$2484*1,0)))&gt;0,MIN(14,SUMIFS(CriteriTecnici!$O:$O,CriteriTecnici!$Q:$Q,$A16&amp;"|"&amp;$C16,CriteriTecnici!$E:$E,"F")*(14/SUMPRODUCT(MAX((CriteriTecnici!$C$5:$C$2484=$C16)*(CriteriTecnici!$E$5:$E$2484="F")*(CriteriTecnici!$T$5:$T$2484="SI")*IFERROR(CriteriTecnici!$O$5:$O$2484*1,0))))),0)+IF(SUMPRODUCT(MAX((CriteriTecnici!$C$5:$C$2484=$C16)*(CriteriTecnici!$E$5:$E$2484="G")*(CriteriTecnici!$T$5:$T$2484="SI")*IFERROR(CriteriTecnici!$O$5:$O$2484*1,0)))&gt;0,MIN(7,SUMIFS(CriteriTecnici!$O:$O,CriteriTecnici!$Q:$Q,$A16&amp;"|"&amp;$C16,CriteriTecnici!$E:$E,"G")*(7/SUMPRODUCT(MAX((CriteriTecnici!$C$5:$C$2484=$C16)*(CriteriTecnici!$E$5:$E$2484="G")*(CriteriTecnici!$T$5:$T$2484="SI")*IFERROR(CriteriTecnici!$O$5:$O$2484*1,0))))),0),4),0),IFERROR($N16*1,0)),0))</f>
        <v/>
      </c>
      <c r="F16" s="56">
        <f>IF(Compila!$A26="","",Compila!$E26)</f>
        <v/>
      </c>
      <c r="G16" s="57">
        <f>IF($A16="","",IF(IFERROR(VALUE($D16),0)&lt;&gt;1,"NO",IF(IFERROR(VALUE($O16),0)&gt;=Parametri!$B$2,"SI","NO")))</f>
        <v/>
      </c>
      <c r="H16" s="57">
        <f>IF($G16="SI",SUMPRODUCT(MAX(($C$2:$C$81=$C16)*(IFERROR($D$2:$D$81*1,0)=1)*(IFERROR($O$2:$O$81*1,0)&gt;=Parametri!$B$2)*IFERROR($F$2:$F$81*1,0))),0)</f>
        <v/>
      </c>
      <c r="I16" s="57">
        <f>IF($G16="SI",IF($H16&gt;0,30*(IFERROR($F16*1,0)/$H16),0),0)</f>
        <v/>
      </c>
      <c r="J16" s="57">
        <f>IF($A16="",0,IF($G16="SI",ROUND(IFERROR($E16*1,0)+$I16,4),ROUND(IFERROR($E16*1,0),4)))</f>
        <v/>
      </c>
      <c r="K16" s="57">
        <f>IF($A16="","",IF(IFERROR(VALUE($D16),0)&lt;&gt;1,"Non attiva",IF(IFERROR(VALUE($O16),0)&lt;Parametri!$B$2,"Sotto soglia","")))</f>
        <v/>
      </c>
      <c r="L16" s="57">
        <f>IF($A16="","",$A16&amp;"|"&amp;$C16)</f>
        <v/>
      </c>
      <c r="M16" s="57">
        <f>IF($A16="","",$C16&amp;"|"&amp;TEXT($J16,"0.0000"))</f>
        <v/>
      </c>
      <c r="N16" s="57" t="n"/>
      <c r="O16" s="57">
        <f>IF($A16="",0,IFERROR(IF(SUMIFS(CriteriTecnici!$O:$O,CriteriTecnici!$Q:$Q,$A16&amp;"|"&amp;$C16)&gt;0,SUMIFS(CriteriTecnici!$O:$O,CriteriTecnici!$Q:$Q,$A16&amp;"|"&amp;$C16,CriteriTecnici!$F:$F,"Q")+SUMIFS(CriteriTecnici!$O:$O,CriteriTecnici!$Q:$Q,$A16&amp;"|"&amp;$C16,CriteriTecnici!$F:$F,"T"),IFERROR($N16*1,0)),0))</f>
        <v/>
      </c>
      <c r="P16" s="57">
        <f>IF($A16="","",IF(SUMIFS(CriteriTecnici!$O:$O,CriteriTecnici!$Q:$Q,$A16&amp;"|"&amp;$C16)&gt;0,"Criteri A-G","Aggregato"))</f>
        <v/>
      </c>
    </row>
    <row r="17">
      <c r="A17" s="56">
        <f>IF(Compila!$A27="","",Compila!$A27)</f>
        <v/>
      </c>
      <c r="B17" s="56">
        <f>IF(Compila!$A27="","",Compila!$B27)</f>
        <v/>
      </c>
      <c r="C17" s="56">
        <f>IF(Compila!$A27="","",Compila!$C27)</f>
        <v/>
      </c>
      <c r="D17" s="56">
        <f>IF(Compila!$A27="","",Compila!$D27)</f>
        <v/>
      </c>
      <c r="E17" s="57">
        <f>IF($A17="",0,IFERROR(IF(SUMIFS(CriteriTecnici!$O:$O,CriteriTecnici!$Q:$Q,$A17&amp;"|"&amp;$C17)&gt;0,IF($G17="SI",ROUND(IF(SUMPRODUCT(MAX((CriteriTecnici!$C$5:$C$2484=$C17)*(CriteriTecnici!$E$5:$E$2484="A")*(CriteriTecnici!$T$5:$T$2484="SI")*IFERROR(CriteriTecnici!$O$5:$O$2484*1,0)))&gt;0,MIN(7,SUMIFS(CriteriTecnici!$O:$O,CriteriTecnici!$Q:$Q,$A17&amp;"|"&amp;$C17,CriteriTecnici!$E:$E,"A")*(7/SUMPRODUCT(MAX((CriteriTecnici!$C$5:$C$2484=$C17)*(CriteriTecnici!$E$5:$E$2484="A")*(CriteriTecnici!$T$5:$T$2484="SI")*IFERROR(CriteriTecnici!$O$5:$O$2484*1,0))))),0)+IF(SUMPRODUCT(MAX((CriteriTecnici!$C$5:$C$2484=$C17)*(CriteriTecnici!$E$5:$E$2484="B")*(CriteriTecnici!$T$5:$T$2484="SI")*IFERROR(CriteriTecnici!$O$5:$O$2484*1,0)))&gt;0,MIN(14,SUMIFS(CriteriTecnici!$O:$O,CriteriTecnici!$Q:$Q,$A17&amp;"|"&amp;$C17,CriteriTecnici!$E:$E,"B")*(14/SUMPRODUCT(MAX((CriteriTecnici!$C$5:$C$2484=$C17)*(CriteriTecnici!$E$5:$E$2484="B")*(CriteriTecnici!$T$5:$T$2484="SI")*IFERROR(CriteriTecnici!$O$5:$O$2484*1,0))))),0)+IF(SUMPRODUCT(MAX((CriteriTecnici!$C$5:$C$2484=$C17)*(CriteriTecnici!$E$5:$E$2484="C")*(CriteriTecnici!$T$5:$T$2484="SI")*IFERROR(CriteriTecnici!$O$5:$O$2484*1,0)))&gt;0,MIN(14,SUMIFS(CriteriTecnici!$O:$O,CriteriTecnici!$Q:$Q,$A17&amp;"|"&amp;$C17,CriteriTecnici!$E:$E,"C")*(14/SUMPRODUCT(MAX((CriteriTecnici!$C$5:$C$2484=$C17)*(CriteriTecnici!$E$5:$E$2484="C")*(CriteriTecnici!$T$5:$T$2484="SI")*IFERROR(CriteriTecnici!$O$5:$O$2484*1,0))))),0)+IF(SUMPRODUCT(MAX((CriteriTecnici!$C$5:$C$2484=$C17)*(CriteriTecnici!$E$5:$E$2484="D")*(CriteriTecnici!$T$5:$T$2484="SI")*IFERROR(CriteriTecnici!$O$5:$O$2484*1,0)))&gt;0,MIN(10,SUMIFS(CriteriTecnici!$O:$O,CriteriTecnici!$Q:$Q,$A17&amp;"|"&amp;$C17,CriteriTecnici!$E:$E,"D")*(10/SUMPRODUCT(MAX((CriteriTecnici!$C$5:$C$2484=$C17)*(CriteriTecnici!$E$5:$E$2484="D")*(CriteriTecnici!$T$5:$T$2484="SI")*IFERROR(CriteriTecnici!$O$5:$O$2484*1,0))))),0)+IF(SUMPRODUCT(MAX((CriteriTecnici!$C$5:$C$2484=$C17)*(CriteriTecnici!$E$5:$E$2484="E")*(CriteriTecnici!$T$5:$T$2484="SI")*IFERROR(CriteriTecnici!$O$5:$O$2484*1,0)))&gt;0,MIN(4,SUMIFS(CriteriTecnici!$O:$O,CriteriTecnici!$Q:$Q,$A17&amp;"|"&amp;$C17,CriteriTecnici!$E:$E,"E")*(4/SUMPRODUCT(MAX((CriteriTecnici!$C$5:$C$2484=$C17)*(CriteriTecnici!$E$5:$E$2484="E")*(CriteriTecnici!$T$5:$T$2484="SI")*IFERROR(CriteriTecnici!$O$5:$O$2484*1,0))))),0)+IF(SUMPRODUCT(MAX((CriteriTecnici!$C$5:$C$2484=$C17)*(CriteriTecnici!$E$5:$E$2484="F")*(CriteriTecnici!$T$5:$T$2484="SI")*IFERROR(CriteriTecnici!$O$5:$O$2484*1,0)))&gt;0,MIN(14,SUMIFS(CriteriTecnici!$O:$O,CriteriTecnici!$Q:$Q,$A17&amp;"|"&amp;$C17,CriteriTecnici!$E:$E,"F")*(14/SUMPRODUCT(MAX((CriteriTecnici!$C$5:$C$2484=$C17)*(CriteriTecnici!$E$5:$E$2484="F")*(CriteriTecnici!$T$5:$T$2484="SI")*IFERROR(CriteriTecnici!$O$5:$O$2484*1,0))))),0)+IF(SUMPRODUCT(MAX((CriteriTecnici!$C$5:$C$2484=$C17)*(CriteriTecnici!$E$5:$E$2484="G")*(CriteriTecnici!$T$5:$T$2484="SI")*IFERROR(CriteriTecnici!$O$5:$O$2484*1,0)))&gt;0,MIN(7,SUMIFS(CriteriTecnici!$O:$O,CriteriTecnici!$Q:$Q,$A17&amp;"|"&amp;$C17,CriteriTecnici!$E:$E,"G")*(7/SUMPRODUCT(MAX((CriteriTecnici!$C$5:$C$2484=$C17)*(CriteriTecnici!$E$5:$E$2484="G")*(CriteriTecnici!$T$5:$T$2484="SI")*IFERROR(CriteriTecnici!$O$5:$O$2484*1,0))))),0),4),0),IFERROR($N17*1,0)),0))</f>
        <v/>
      </c>
      <c r="F17" s="56">
        <f>IF(Compila!$A27="","",Compila!$E27)</f>
        <v/>
      </c>
      <c r="G17" s="57">
        <f>IF($A17="","",IF(IFERROR(VALUE($D17),0)&lt;&gt;1,"NO",IF(IFERROR(VALUE($O17),0)&gt;=Parametri!$B$2,"SI","NO")))</f>
        <v/>
      </c>
      <c r="H17" s="57">
        <f>IF($G17="SI",SUMPRODUCT(MAX(($C$2:$C$81=$C17)*(IFERROR($D$2:$D$81*1,0)=1)*(IFERROR($O$2:$O$81*1,0)&gt;=Parametri!$B$2)*IFERROR($F$2:$F$81*1,0))),0)</f>
        <v/>
      </c>
      <c r="I17" s="57">
        <f>IF($G17="SI",IF($H17&gt;0,30*(IFERROR($F17*1,0)/$H17),0),0)</f>
        <v/>
      </c>
      <c r="J17" s="57">
        <f>IF($A17="",0,IF($G17="SI",ROUND(IFERROR($E17*1,0)+$I17,4),ROUND(IFERROR($E17*1,0),4)))</f>
        <v/>
      </c>
      <c r="K17" s="57">
        <f>IF($A17="","",IF(IFERROR(VALUE($D17),0)&lt;&gt;1,"Non attiva",IF(IFERROR(VALUE($O17),0)&lt;Parametri!$B$2,"Sotto soglia","")))</f>
        <v/>
      </c>
      <c r="L17" s="57">
        <f>IF($A17="","",$A17&amp;"|"&amp;$C17)</f>
        <v/>
      </c>
      <c r="M17" s="57">
        <f>IF($A17="","",$C17&amp;"|"&amp;TEXT($J17,"0.0000"))</f>
        <v/>
      </c>
      <c r="N17" s="57" t="n"/>
      <c r="O17" s="57">
        <f>IF($A17="",0,IFERROR(IF(SUMIFS(CriteriTecnici!$O:$O,CriteriTecnici!$Q:$Q,$A17&amp;"|"&amp;$C17)&gt;0,SUMIFS(CriteriTecnici!$O:$O,CriteriTecnici!$Q:$Q,$A17&amp;"|"&amp;$C17,CriteriTecnici!$F:$F,"Q")+SUMIFS(CriteriTecnici!$O:$O,CriteriTecnici!$Q:$Q,$A17&amp;"|"&amp;$C17,CriteriTecnici!$F:$F,"T"),IFERROR($N17*1,0)),0))</f>
        <v/>
      </c>
      <c r="P17" s="57">
        <f>IF($A17="","",IF(SUMIFS(CriteriTecnici!$O:$O,CriteriTecnici!$Q:$Q,$A17&amp;"|"&amp;$C17)&gt;0,"Criteri A-G","Aggregato"))</f>
        <v/>
      </c>
    </row>
    <row r="18">
      <c r="A18" s="56">
        <f>IF(Compila!$A28="","",Compila!$A28)</f>
        <v/>
      </c>
      <c r="B18" s="56">
        <f>IF(Compila!$A28="","",Compila!$B28)</f>
        <v/>
      </c>
      <c r="C18" s="56">
        <f>IF(Compila!$A28="","",Compila!$C28)</f>
        <v/>
      </c>
      <c r="D18" s="56">
        <f>IF(Compila!$A28="","",Compila!$D28)</f>
        <v/>
      </c>
      <c r="E18" s="57">
        <f>IF($A18="",0,IFERROR(IF(SUMIFS(CriteriTecnici!$O:$O,CriteriTecnici!$Q:$Q,$A18&amp;"|"&amp;$C18)&gt;0,IF($G18="SI",ROUND(IF(SUMPRODUCT(MAX((CriteriTecnici!$C$5:$C$2484=$C18)*(CriteriTecnici!$E$5:$E$2484="A")*(CriteriTecnici!$T$5:$T$2484="SI")*IFERROR(CriteriTecnici!$O$5:$O$2484*1,0)))&gt;0,MIN(7,SUMIFS(CriteriTecnici!$O:$O,CriteriTecnici!$Q:$Q,$A18&amp;"|"&amp;$C18,CriteriTecnici!$E:$E,"A")*(7/SUMPRODUCT(MAX((CriteriTecnici!$C$5:$C$2484=$C18)*(CriteriTecnici!$E$5:$E$2484="A")*(CriteriTecnici!$T$5:$T$2484="SI")*IFERROR(CriteriTecnici!$O$5:$O$2484*1,0))))),0)+IF(SUMPRODUCT(MAX((CriteriTecnici!$C$5:$C$2484=$C18)*(CriteriTecnici!$E$5:$E$2484="B")*(CriteriTecnici!$T$5:$T$2484="SI")*IFERROR(CriteriTecnici!$O$5:$O$2484*1,0)))&gt;0,MIN(14,SUMIFS(CriteriTecnici!$O:$O,CriteriTecnici!$Q:$Q,$A18&amp;"|"&amp;$C18,CriteriTecnici!$E:$E,"B")*(14/SUMPRODUCT(MAX((CriteriTecnici!$C$5:$C$2484=$C18)*(CriteriTecnici!$E$5:$E$2484="B")*(CriteriTecnici!$T$5:$T$2484="SI")*IFERROR(CriteriTecnici!$O$5:$O$2484*1,0))))),0)+IF(SUMPRODUCT(MAX((CriteriTecnici!$C$5:$C$2484=$C18)*(CriteriTecnici!$E$5:$E$2484="C")*(CriteriTecnici!$T$5:$T$2484="SI")*IFERROR(CriteriTecnici!$O$5:$O$2484*1,0)))&gt;0,MIN(14,SUMIFS(CriteriTecnici!$O:$O,CriteriTecnici!$Q:$Q,$A18&amp;"|"&amp;$C18,CriteriTecnici!$E:$E,"C")*(14/SUMPRODUCT(MAX((CriteriTecnici!$C$5:$C$2484=$C18)*(CriteriTecnici!$E$5:$E$2484="C")*(CriteriTecnici!$T$5:$T$2484="SI")*IFERROR(CriteriTecnici!$O$5:$O$2484*1,0))))),0)+IF(SUMPRODUCT(MAX((CriteriTecnici!$C$5:$C$2484=$C18)*(CriteriTecnici!$E$5:$E$2484="D")*(CriteriTecnici!$T$5:$T$2484="SI")*IFERROR(CriteriTecnici!$O$5:$O$2484*1,0)))&gt;0,MIN(10,SUMIFS(CriteriTecnici!$O:$O,CriteriTecnici!$Q:$Q,$A18&amp;"|"&amp;$C18,CriteriTecnici!$E:$E,"D")*(10/SUMPRODUCT(MAX((CriteriTecnici!$C$5:$C$2484=$C18)*(CriteriTecnici!$E$5:$E$2484="D")*(CriteriTecnici!$T$5:$T$2484="SI")*IFERROR(CriteriTecnici!$O$5:$O$2484*1,0))))),0)+IF(SUMPRODUCT(MAX((CriteriTecnici!$C$5:$C$2484=$C18)*(CriteriTecnici!$E$5:$E$2484="E")*(CriteriTecnici!$T$5:$T$2484="SI")*IFERROR(CriteriTecnici!$O$5:$O$2484*1,0)))&gt;0,MIN(4,SUMIFS(CriteriTecnici!$O:$O,CriteriTecnici!$Q:$Q,$A18&amp;"|"&amp;$C18,CriteriTecnici!$E:$E,"E")*(4/SUMPRODUCT(MAX((CriteriTecnici!$C$5:$C$2484=$C18)*(CriteriTecnici!$E$5:$E$2484="E")*(CriteriTecnici!$T$5:$T$2484="SI")*IFERROR(CriteriTecnici!$O$5:$O$2484*1,0))))),0)+IF(SUMPRODUCT(MAX((CriteriTecnici!$C$5:$C$2484=$C18)*(CriteriTecnici!$E$5:$E$2484="F")*(CriteriTecnici!$T$5:$T$2484="SI")*IFERROR(CriteriTecnici!$O$5:$O$2484*1,0)))&gt;0,MIN(14,SUMIFS(CriteriTecnici!$O:$O,CriteriTecnici!$Q:$Q,$A18&amp;"|"&amp;$C18,CriteriTecnici!$E:$E,"F")*(14/SUMPRODUCT(MAX((CriteriTecnici!$C$5:$C$2484=$C18)*(CriteriTecnici!$E$5:$E$2484="F")*(CriteriTecnici!$T$5:$T$2484="SI")*IFERROR(CriteriTecnici!$O$5:$O$2484*1,0))))),0)+IF(SUMPRODUCT(MAX((CriteriTecnici!$C$5:$C$2484=$C18)*(CriteriTecnici!$E$5:$E$2484="G")*(CriteriTecnici!$T$5:$T$2484="SI")*IFERROR(CriteriTecnici!$O$5:$O$2484*1,0)))&gt;0,MIN(7,SUMIFS(CriteriTecnici!$O:$O,CriteriTecnici!$Q:$Q,$A18&amp;"|"&amp;$C18,CriteriTecnici!$E:$E,"G")*(7/SUMPRODUCT(MAX((CriteriTecnici!$C$5:$C$2484=$C18)*(CriteriTecnici!$E$5:$E$2484="G")*(CriteriTecnici!$T$5:$T$2484="SI")*IFERROR(CriteriTecnici!$O$5:$O$2484*1,0))))),0),4),0),IFERROR($N18*1,0)),0))</f>
        <v/>
      </c>
      <c r="F18" s="56">
        <f>IF(Compila!$A28="","",Compila!$E28)</f>
        <v/>
      </c>
      <c r="G18" s="57">
        <f>IF($A18="","",IF(IFERROR(VALUE($D18),0)&lt;&gt;1,"NO",IF(IFERROR(VALUE($O18),0)&gt;=Parametri!$B$2,"SI","NO")))</f>
        <v/>
      </c>
      <c r="H18" s="57">
        <f>IF($G18="SI",SUMPRODUCT(MAX(($C$2:$C$81=$C18)*(IFERROR($D$2:$D$81*1,0)=1)*(IFERROR($O$2:$O$81*1,0)&gt;=Parametri!$B$2)*IFERROR($F$2:$F$81*1,0))),0)</f>
        <v/>
      </c>
      <c r="I18" s="57">
        <f>IF($G18="SI",IF($H18&gt;0,30*(IFERROR($F18*1,0)/$H18),0),0)</f>
        <v/>
      </c>
      <c r="J18" s="57">
        <f>IF($A18="",0,IF($G18="SI",ROUND(IFERROR($E18*1,0)+$I18,4),ROUND(IFERROR($E18*1,0),4)))</f>
        <v/>
      </c>
      <c r="K18" s="57">
        <f>IF($A18="","",IF(IFERROR(VALUE($D18),0)&lt;&gt;1,"Non attiva",IF(IFERROR(VALUE($O18),0)&lt;Parametri!$B$2,"Sotto soglia","")))</f>
        <v/>
      </c>
      <c r="L18" s="57">
        <f>IF($A18="","",$A18&amp;"|"&amp;$C18)</f>
        <v/>
      </c>
      <c r="M18" s="57">
        <f>IF($A18="","",$C18&amp;"|"&amp;TEXT($J18,"0.0000"))</f>
        <v/>
      </c>
      <c r="N18" s="57" t="n"/>
      <c r="O18" s="57">
        <f>IF($A18="",0,IFERROR(IF(SUMIFS(CriteriTecnici!$O:$O,CriteriTecnici!$Q:$Q,$A18&amp;"|"&amp;$C18)&gt;0,SUMIFS(CriteriTecnici!$O:$O,CriteriTecnici!$Q:$Q,$A18&amp;"|"&amp;$C18,CriteriTecnici!$F:$F,"Q")+SUMIFS(CriteriTecnici!$O:$O,CriteriTecnici!$Q:$Q,$A18&amp;"|"&amp;$C18,CriteriTecnici!$F:$F,"T"),IFERROR($N18*1,0)),0))</f>
        <v/>
      </c>
      <c r="P18" s="57">
        <f>IF($A18="","",IF(SUMIFS(CriteriTecnici!$O:$O,CriteriTecnici!$Q:$Q,$A18&amp;"|"&amp;$C18)&gt;0,"Criteri A-G","Aggregato"))</f>
        <v/>
      </c>
    </row>
    <row r="19">
      <c r="A19" s="56">
        <f>IF(Compila!$A29="","",Compila!$A29)</f>
        <v/>
      </c>
      <c r="B19" s="56">
        <f>IF(Compila!$A29="","",Compila!$B29)</f>
        <v/>
      </c>
      <c r="C19" s="56">
        <f>IF(Compila!$A29="","",Compila!$C29)</f>
        <v/>
      </c>
      <c r="D19" s="56">
        <f>IF(Compila!$A29="","",Compila!$D29)</f>
        <v/>
      </c>
      <c r="E19" s="57">
        <f>IF($A19="",0,IFERROR(IF(SUMIFS(CriteriTecnici!$O:$O,CriteriTecnici!$Q:$Q,$A19&amp;"|"&amp;$C19)&gt;0,IF($G19="SI",ROUND(IF(SUMPRODUCT(MAX((CriteriTecnici!$C$5:$C$2484=$C19)*(CriteriTecnici!$E$5:$E$2484="A")*(CriteriTecnici!$T$5:$T$2484="SI")*IFERROR(CriteriTecnici!$O$5:$O$2484*1,0)))&gt;0,MIN(7,SUMIFS(CriteriTecnici!$O:$O,CriteriTecnici!$Q:$Q,$A19&amp;"|"&amp;$C19,CriteriTecnici!$E:$E,"A")*(7/SUMPRODUCT(MAX((CriteriTecnici!$C$5:$C$2484=$C19)*(CriteriTecnici!$E$5:$E$2484="A")*(CriteriTecnici!$T$5:$T$2484="SI")*IFERROR(CriteriTecnici!$O$5:$O$2484*1,0))))),0)+IF(SUMPRODUCT(MAX((CriteriTecnici!$C$5:$C$2484=$C19)*(CriteriTecnici!$E$5:$E$2484="B")*(CriteriTecnici!$T$5:$T$2484="SI")*IFERROR(CriteriTecnici!$O$5:$O$2484*1,0)))&gt;0,MIN(14,SUMIFS(CriteriTecnici!$O:$O,CriteriTecnici!$Q:$Q,$A19&amp;"|"&amp;$C19,CriteriTecnici!$E:$E,"B")*(14/SUMPRODUCT(MAX((CriteriTecnici!$C$5:$C$2484=$C19)*(CriteriTecnici!$E$5:$E$2484="B")*(CriteriTecnici!$T$5:$T$2484="SI")*IFERROR(CriteriTecnici!$O$5:$O$2484*1,0))))),0)+IF(SUMPRODUCT(MAX((CriteriTecnici!$C$5:$C$2484=$C19)*(CriteriTecnici!$E$5:$E$2484="C")*(CriteriTecnici!$T$5:$T$2484="SI")*IFERROR(CriteriTecnici!$O$5:$O$2484*1,0)))&gt;0,MIN(14,SUMIFS(CriteriTecnici!$O:$O,CriteriTecnici!$Q:$Q,$A19&amp;"|"&amp;$C19,CriteriTecnici!$E:$E,"C")*(14/SUMPRODUCT(MAX((CriteriTecnici!$C$5:$C$2484=$C19)*(CriteriTecnici!$E$5:$E$2484="C")*(CriteriTecnici!$T$5:$T$2484="SI")*IFERROR(CriteriTecnici!$O$5:$O$2484*1,0))))),0)+IF(SUMPRODUCT(MAX((CriteriTecnici!$C$5:$C$2484=$C19)*(CriteriTecnici!$E$5:$E$2484="D")*(CriteriTecnici!$T$5:$T$2484="SI")*IFERROR(CriteriTecnici!$O$5:$O$2484*1,0)))&gt;0,MIN(10,SUMIFS(CriteriTecnici!$O:$O,CriteriTecnici!$Q:$Q,$A19&amp;"|"&amp;$C19,CriteriTecnici!$E:$E,"D")*(10/SUMPRODUCT(MAX((CriteriTecnici!$C$5:$C$2484=$C19)*(CriteriTecnici!$E$5:$E$2484="D")*(CriteriTecnici!$T$5:$T$2484="SI")*IFERROR(CriteriTecnici!$O$5:$O$2484*1,0))))),0)+IF(SUMPRODUCT(MAX((CriteriTecnici!$C$5:$C$2484=$C19)*(CriteriTecnici!$E$5:$E$2484="E")*(CriteriTecnici!$T$5:$T$2484="SI")*IFERROR(CriteriTecnici!$O$5:$O$2484*1,0)))&gt;0,MIN(4,SUMIFS(CriteriTecnici!$O:$O,CriteriTecnici!$Q:$Q,$A19&amp;"|"&amp;$C19,CriteriTecnici!$E:$E,"E")*(4/SUMPRODUCT(MAX((CriteriTecnici!$C$5:$C$2484=$C19)*(CriteriTecnici!$E$5:$E$2484="E")*(CriteriTecnici!$T$5:$T$2484="SI")*IFERROR(CriteriTecnici!$O$5:$O$2484*1,0))))),0)+IF(SUMPRODUCT(MAX((CriteriTecnici!$C$5:$C$2484=$C19)*(CriteriTecnici!$E$5:$E$2484="F")*(CriteriTecnici!$T$5:$T$2484="SI")*IFERROR(CriteriTecnici!$O$5:$O$2484*1,0)))&gt;0,MIN(14,SUMIFS(CriteriTecnici!$O:$O,CriteriTecnici!$Q:$Q,$A19&amp;"|"&amp;$C19,CriteriTecnici!$E:$E,"F")*(14/SUMPRODUCT(MAX((CriteriTecnici!$C$5:$C$2484=$C19)*(CriteriTecnici!$E$5:$E$2484="F")*(CriteriTecnici!$T$5:$T$2484="SI")*IFERROR(CriteriTecnici!$O$5:$O$2484*1,0))))),0)+IF(SUMPRODUCT(MAX((CriteriTecnici!$C$5:$C$2484=$C19)*(CriteriTecnici!$E$5:$E$2484="G")*(CriteriTecnici!$T$5:$T$2484="SI")*IFERROR(CriteriTecnici!$O$5:$O$2484*1,0)))&gt;0,MIN(7,SUMIFS(CriteriTecnici!$O:$O,CriteriTecnici!$Q:$Q,$A19&amp;"|"&amp;$C19,CriteriTecnici!$E:$E,"G")*(7/SUMPRODUCT(MAX((CriteriTecnici!$C$5:$C$2484=$C19)*(CriteriTecnici!$E$5:$E$2484="G")*(CriteriTecnici!$T$5:$T$2484="SI")*IFERROR(CriteriTecnici!$O$5:$O$2484*1,0))))),0),4),0),IFERROR($N19*1,0)),0))</f>
        <v/>
      </c>
      <c r="F19" s="56">
        <f>IF(Compila!$A29="","",Compila!$E29)</f>
        <v/>
      </c>
      <c r="G19" s="57">
        <f>IF($A19="","",IF(IFERROR(VALUE($D19),0)&lt;&gt;1,"NO",IF(IFERROR(VALUE($O19),0)&gt;=Parametri!$B$2,"SI","NO")))</f>
        <v/>
      </c>
      <c r="H19" s="57">
        <f>IF($G19="SI",SUMPRODUCT(MAX(($C$2:$C$81=$C19)*(IFERROR($D$2:$D$81*1,0)=1)*(IFERROR($O$2:$O$81*1,0)&gt;=Parametri!$B$2)*IFERROR($F$2:$F$81*1,0))),0)</f>
        <v/>
      </c>
      <c r="I19" s="57">
        <f>IF($G19="SI",IF($H19&gt;0,30*(IFERROR($F19*1,0)/$H19),0),0)</f>
        <v/>
      </c>
      <c r="J19" s="57">
        <f>IF($A19="",0,IF($G19="SI",ROUND(IFERROR($E19*1,0)+$I19,4),ROUND(IFERROR($E19*1,0),4)))</f>
        <v/>
      </c>
      <c r="K19" s="57">
        <f>IF($A19="","",IF(IFERROR(VALUE($D19),0)&lt;&gt;1,"Non attiva",IF(IFERROR(VALUE($O19),0)&lt;Parametri!$B$2,"Sotto soglia","")))</f>
        <v/>
      </c>
      <c r="L19" s="57">
        <f>IF($A19="","",$A19&amp;"|"&amp;$C19)</f>
        <v/>
      </c>
      <c r="M19" s="57">
        <f>IF($A19="","",$C19&amp;"|"&amp;TEXT($J19,"0.0000"))</f>
        <v/>
      </c>
      <c r="N19" s="57" t="n"/>
      <c r="O19" s="57">
        <f>IF($A19="",0,IFERROR(IF(SUMIFS(CriteriTecnici!$O:$O,CriteriTecnici!$Q:$Q,$A19&amp;"|"&amp;$C19)&gt;0,SUMIFS(CriteriTecnici!$O:$O,CriteriTecnici!$Q:$Q,$A19&amp;"|"&amp;$C19,CriteriTecnici!$F:$F,"Q")+SUMIFS(CriteriTecnici!$O:$O,CriteriTecnici!$Q:$Q,$A19&amp;"|"&amp;$C19,CriteriTecnici!$F:$F,"T"),IFERROR($N19*1,0)),0))</f>
        <v/>
      </c>
      <c r="P19" s="57">
        <f>IF($A19="","",IF(SUMIFS(CriteriTecnici!$O:$O,CriteriTecnici!$Q:$Q,$A19&amp;"|"&amp;$C19)&gt;0,"Criteri A-G","Aggregato"))</f>
        <v/>
      </c>
    </row>
    <row r="20">
      <c r="A20" s="56">
        <f>IF(Compila!$A30="","",Compila!$A30)</f>
        <v/>
      </c>
      <c r="B20" s="56">
        <f>IF(Compila!$A30="","",Compila!$B30)</f>
        <v/>
      </c>
      <c r="C20" s="56">
        <f>IF(Compila!$A30="","",Compila!$C30)</f>
        <v/>
      </c>
      <c r="D20" s="56">
        <f>IF(Compila!$A30="","",Compila!$D30)</f>
        <v/>
      </c>
      <c r="E20" s="57">
        <f>IF($A20="",0,IFERROR(IF(SUMIFS(CriteriTecnici!$O:$O,CriteriTecnici!$Q:$Q,$A20&amp;"|"&amp;$C20)&gt;0,IF($G20="SI",ROUND(IF(SUMPRODUCT(MAX((CriteriTecnici!$C$5:$C$2484=$C20)*(CriteriTecnici!$E$5:$E$2484="A")*(CriteriTecnici!$T$5:$T$2484="SI")*IFERROR(CriteriTecnici!$O$5:$O$2484*1,0)))&gt;0,MIN(7,SUMIFS(CriteriTecnici!$O:$O,CriteriTecnici!$Q:$Q,$A20&amp;"|"&amp;$C20,CriteriTecnici!$E:$E,"A")*(7/SUMPRODUCT(MAX((CriteriTecnici!$C$5:$C$2484=$C20)*(CriteriTecnici!$E$5:$E$2484="A")*(CriteriTecnici!$T$5:$T$2484="SI")*IFERROR(CriteriTecnici!$O$5:$O$2484*1,0))))),0)+IF(SUMPRODUCT(MAX((CriteriTecnici!$C$5:$C$2484=$C20)*(CriteriTecnici!$E$5:$E$2484="B")*(CriteriTecnici!$T$5:$T$2484="SI")*IFERROR(CriteriTecnici!$O$5:$O$2484*1,0)))&gt;0,MIN(14,SUMIFS(CriteriTecnici!$O:$O,CriteriTecnici!$Q:$Q,$A20&amp;"|"&amp;$C20,CriteriTecnici!$E:$E,"B")*(14/SUMPRODUCT(MAX((CriteriTecnici!$C$5:$C$2484=$C20)*(CriteriTecnici!$E$5:$E$2484="B")*(CriteriTecnici!$T$5:$T$2484="SI")*IFERROR(CriteriTecnici!$O$5:$O$2484*1,0))))),0)+IF(SUMPRODUCT(MAX((CriteriTecnici!$C$5:$C$2484=$C20)*(CriteriTecnici!$E$5:$E$2484="C")*(CriteriTecnici!$T$5:$T$2484="SI")*IFERROR(CriteriTecnici!$O$5:$O$2484*1,0)))&gt;0,MIN(14,SUMIFS(CriteriTecnici!$O:$O,CriteriTecnici!$Q:$Q,$A20&amp;"|"&amp;$C20,CriteriTecnici!$E:$E,"C")*(14/SUMPRODUCT(MAX((CriteriTecnici!$C$5:$C$2484=$C20)*(CriteriTecnici!$E$5:$E$2484="C")*(CriteriTecnici!$T$5:$T$2484="SI")*IFERROR(CriteriTecnici!$O$5:$O$2484*1,0))))),0)+IF(SUMPRODUCT(MAX((CriteriTecnici!$C$5:$C$2484=$C20)*(CriteriTecnici!$E$5:$E$2484="D")*(CriteriTecnici!$T$5:$T$2484="SI")*IFERROR(CriteriTecnici!$O$5:$O$2484*1,0)))&gt;0,MIN(10,SUMIFS(CriteriTecnici!$O:$O,CriteriTecnici!$Q:$Q,$A20&amp;"|"&amp;$C20,CriteriTecnici!$E:$E,"D")*(10/SUMPRODUCT(MAX((CriteriTecnici!$C$5:$C$2484=$C20)*(CriteriTecnici!$E$5:$E$2484="D")*(CriteriTecnici!$T$5:$T$2484="SI")*IFERROR(CriteriTecnici!$O$5:$O$2484*1,0))))),0)+IF(SUMPRODUCT(MAX((CriteriTecnici!$C$5:$C$2484=$C20)*(CriteriTecnici!$E$5:$E$2484="E")*(CriteriTecnici!$T$5:$T$2484="SI")*IFERROR(CriteriTecnici!$O$5:$O$2484*1,0)))&gt;0,MIN(4,SUMIFS(CriteriTecnici!$O:$O,CriteriTecnici!$Q:$Q,$A20&amp;"|"&amp;$C20,CriteriTecnici!$E:$E,"E")*(4/SUMPRODUCT(MAX((CriteriTecnici!$C$5:$C$2484=$C20)*(CriteriTecnici!$E$5:$E$2484="E")*(CriteriTecnici!$T$5:$T$2484="SI")*IFERROR(CriteriTecnici!$O$5:$O$2484*1,0))))),0)+IF(SUMPRODUCT(MAX((CriteriTecnici!$C$5:$C$2484=$C20)*(CriteriTecnici!$E$5:$E$2484="F")*(CriteriTecnici!$T$5:$T$2484="SI")*IFERROR(CriteriTecnici!$O$5:$O$2484*1,0)))&gt;0,MIN(14,SUMIFS(CriteriTecnici!$O:$O,CriteriTecnici!$Q:$Q,$A20&amp;"|"&amp;$C20,CriteriTecnici!$E:$E,"F")*(14/SUMPRODUCT(MAX((CriteriTecnici!$C$5:$C$2484=$C20)*(CriteriTecnici!$E$5:$E$2484="F")*(CriteriTecnici!$T$5:$T$2484="SI")*IFERROR(CriteriTecnici!$O$5:$O$2484*1,0))))),0)+IF(SUMPRODUCT(MAX((CriteriTecnici!$C$5:$C$2484=$C20)*(CriteriTecnici!$E$5:$E$2484="G")*(CriteriTecnici!$T$5:$T$2484="SI")*IFERROR(CriteriTecnici!$O$5:$O$2484*1,0)))&gt;0,MIN(7,SUMIFS(CriteriTecnici!$O:$O,CriteriTecnici!$Q:$Q,$A20&amp;"|"&amp;$C20,CriteriTecnici!$E:$E,"G")*(7/SUMPRODUCT(MAX((CriteriTecnici!$C$5:$C$2484=$C20)*(CriteriTecnici!$E$5:$E$2484="G")*(CriteriTecnici!$T$5:$T$2484="SI")*IFERROR(CriteriTecnici!$O$5:$O$2484*1,0))))),0),4),0),IFERROR($N20*1,0)),0))</f>
        <v/>
      </c>
      <c r="F20" s="56">
        <f>IF(Compila!$A30="","",Compila!$E30)</f>
        <v/>
      </c>
      <c r="G20" s="57">
        <f>IF($A20="","",IF(IFERROR(VALUE($D20),0)&lt;&gt;1,"NO",IF(IFERROR(VALUE($O20),0)&gt;=Parametri!$B$2,"SI","NO")))</f>
        <v/>
      </c>
      <c r="H20" s="57">
        <f>IF($G20="SI",SUMPRODUCT(MAX(($C$2:$C$81=$C20)*(IFERROR($D$2:$D$81*1,0)=1)*(IFERROR($O$2:$O$81*1,0)&gt;=Parametri!$B$2)*IFERROR($F$2:$F$81*1,0))),0)</f>
        <v/>
      </c>
      <c r="I20" s="57">
        <f>IF($G20="SI",IF($H20&gt;0,30*(IFERROR($F20*1,0)/$H20),0),0)</f>
        <v/>
      </c>
      <c r="J20" s="57">
        <f>IF($A20="",0,IF($G20="SI",ROUND(IFERROR($E20*1,0)+$I20,4),ROUND(IFERROR($E20*1,0),4)))</f>
        <v/>
      </c>
      <c r="K20" s="57">
        <f>IF($A20="","",IF(IFERROR(VALUE($D20),0)&lt;&gt;1,"Non attiva",IF(IFERROR(VALUE($O20),0)&lt;Parametri!$B$2,"Sotto soglia","")))</f>
        <v/>
      </c>
      <c r="L20" s="57">
        <f>IF($A20="","",$A20&amp;"|"&amp;$C20)</f>
        <v/>
      </c>
      <c r="M20" s="57">
        <f>IF($A20="","",$C20&amp;"|"&amp;TEXT($J20,"0.0000"))</f>
        <v/>
      </c>
      <c r="N20" s="57" t="n"/>
      <c r="O20" s="57">
        <f>IF($A20="",0,IFERROR(IF(SUMIFS(CriteriTecnici!$O:$O,CriteriTecnici!$Q:$Q,$A20&amp;"|"&amp;$C20)&gt;0,SUMIFS(CriteriTecnici!$O:$O,CriteriTecnici!$Q:$Q,$A20&amp;"|"&amp;$C20,CriteriTecnici!$F:$F,"Q")+SUMIFS(CriteriTecnici!$O:$O,CriteriTecnici!$Q:$Q,$A20&amp;"|"&amp;$C20,CriteriTecnici!$F:$F,"T"),IFERROR($N20*1,0)),0))</f>
        <v/>
      </c>
      <c r="P20" s="57">
        <f>IF($A20="","",IF(SUMIFS(CriteriTecnici!$O:$O,CriteriTecnici!$Q:$Q,$A20&amp;"|"&amp;$C20)&gt;0,"Criteri A-G","Aggregato"))</f>
        <v/>
      </c>
    </row>
    <row r="21">
      <c r="A21" s="56">
        <f>IF(Compila!$A31="","",Compila!$A31)</f>
        <v/>
      </c>
      <c r="B21" s="56">
        <f>IF(Compila!$A31="","",Compila!$B31)</f>
        <v/>
      </c>
      <c r="C21" s="56">
        <f>IF(Compila!$A31="","",Compila!$C31)</f>
        <v/>
      </c>
      <c r="D21" s="56">
        <f>IF(Compila!$A31="","",Compila!$D31)</f>
        <v/>
      </c>
      <c r="E21" s="57">
        <f>IF($A21="",0,IFERROR(IF(SUMIFS(CriteriTecnici!$O:$O,CriteriTecnici!$Q:$Q,$A21&amp;"|"&amp;$C21)&gt;0,IF($G21="SI",ROUND(IF(SUMPRODUCT(MAX((CriteriTecnici!$C$5:$C$2484=$C21)*(CriteriTecnici!$E$5:$E$2484="A")*(CriteriTecnici!$T$5:$T$2484="SI")*IFERROR(CriteriTecnici!$O$5:$O$2484*1,0)))&gt;0,MIN(7,SUMIFS(CriteriTecnici!$O:$O,CriteriTecnici!$Q:$Q,$A21&amp;"|"&amp;$C21,CriteriTecnici!$E:$E,"A")*(7/SUMPRODUCT(MAX((CriteriTecnici!$C$5:$C$2484=$C21)*(CriteriTecnici!$E$5:$E$2484="A")*(CriteriTecnici!$T$5:$T$2484="SI")*IFERROR(CriteriTecnici!$O$5:$O$2484*1,0))))),0)+IF(SUMPRODUCT(MAX((CriteriTecnici!$C$5:$C$2484=$C21)*(CriteriTecnici!$E$5:$E$2484="B")*(CriteriTecnici!$T$5:$T$2484="SI")*IFERROR(CriteriTecnici!$O$5:$O$2484*1,0)))&gt;0,MIN(14,SUMIFS(CriteriTecnici!$O:$O,CriteriTecnici!$Q:$Q,$A21&amp;"|"&amp;$C21,CriteriTecnici!$E:$E,"B")*(14/SUMPRODUCT(MAX((CriteriTecnici!$C$5:$C$2484=$C21)*(CriteriTecnici!$E$5:$E$2484="B")*(CriteriTecnici!$T$5:$T$2484="SI")*IFERROR(CriteriTecnici!$O$5:$O$2484*1,0))))),0)+IF(SUMPRODUCT(MAX((CriteriTecnici!$C$5:$C$2484=$C21)*(CriteriTecnici!$E$5:$E$2484="C")*(CriteriTecnici!$T$5:$T$2484="SI")*IFERROR(CriteriTecnici!$O$5:$O$2484*1,0)))&gt;0,MIN(14,SUMIFS(CriteriTecnici!$O:$O,CriteriTecnici!$Q:$Q,$A21&amp;"|"&amp;$C21,CriteriTecnici!$E:$E,"C")*(14/SUMPRODUCT(MAX((CriteriTecnici!$C$5:$C$2484=$C21)*(CriteriTecnici!$E$5:$E$2484="C")*(CriteriTecnici!$T$5:$T$2484="SI")*IFERROR(CriteriTecnici!$O$5:$O$2484*1,0))))),0)+IF(SUMPRODUCT(MAX((CriteriTecnici!$C$5:$C$2484=$C21)*(CriteriTecnici!$E$5:$E$2484="D")*(CriteriTecnici!$T$5:$T$2484="SI")*IFERROR(CriteriTecnici!$O$5:$O$2484*1,0)))&gt;0,MIN(10,SUMIFS(CriteriTecnici!$O:$O,CriteriTecnici!$Q:$Q,$A21&amp;"|"&amp;$C21,CriteriTecnici!$E:$E,"D")*(10/SUMPRODUCT(MAX((CriteriTecnici!$C$5:$C$2484=$C21)*(CriteriTecnici!$E$5:$E$2484="D")*(CriteriTecnici!$T$5:$T$2484="SI")*IFERROR(CriteriTecnici!$O$5:$O$2484*1,0))))),0)+IF(SUMPRODUCT(MAX((CriteriTecnici!$C$5:$C$2484=$C21)*(CriteriTecnici!$E$5:$E$2484="E")*(CriteriTecnici!$T$5:$T$2484="SI")*IFERROR(CriteriTecnici!$O$5:$O$2484*1,0)))&gt;0,MIN(4,SUMIFS(CriteriTecnici!$O:$O,CriteriTecnici!$Q:$Q,$A21&amp;"|"&amp;$C21,CriteriTecnici!$E:$E,"E")*(4/SUMPRODUCT(MAX((CriteriTecnici!$C$5:$C$2484=$C21)*(CriteriTecnici!$E$5:$E$2484="E")*(CriteriTecnici!$T$5:$T$2484="SI")*IFERROR(CriteriTecnici!$O$5:$O$2484*1,0))))),0)+IF(SUMPRODUCT(MAX((CriteriTecnici!$C$5:$C$2484=$C21)*(CriteriTecnici!$E$5:$E$2484="F")*(CriteriTecnici!$T$5:$T$2484="SI")*IFERROR(CriteriTecnici!$O$5:$O$2484*1,0)))&gt;0,MIN(14,SUMIFS(CriteriTecnici!$O:$O,CriteriTecnici!$Q:$Q,$A21&amp;"|"&amp;$C21,CriteriTecnici!$E:$E,"F")*(14/SUMPRODUCT(MAX((CriteriTecnici!$C$5:$C$2484=$C21)*(CriteriTecnici!$E$5:$E$2484="F")*(CriteriTecnici!$T$5:$T$2484="SI")*IFERROR(CriteriTecnici!$O$5:$O$2484*1,0))))),0)+IF(SUMPRODUCT(MAX((CriteriTecnici!$C$5:$C$2484=$C21)*(CriteriTecnici!$E$5:$E$2484="G")*(CriteriTecnici!$T$5:$T$2484="SI")*IFERROR(CriteriTecnici!$O$5:$O$2484*1,0)))&gt;0,MIN(7,SUMIFS(CriteriTecnici!$O:$O,CriteriTecnici!$Q:$Q,$A21&amp;"|"&amp;$C21,CriteriTecnici!$E:$E,"G")*(7/SUMPRODUCT(MAX((CriteriTecnici!$C$5:$C$2484=$C21)*(CriteriTecnici!$E$5:$E$2484="G")*(CriteriTecnici!$T$5:$T$2484="SI")*IFERROR(CriteriTecnici!$O$5:$O$2484*1,0))))),0),4),0),IFERROR($N21*1,0)),0))</f>
        <v/>
      </c>
      <c r="F21" s="56">
        <f>IF(Compila!$A31="","",Compila!$E31)</f>
        <v/>
      </c>
      <c r="G21" s="57">
        <f>IF($A21="","",IF(IFERROR(VALUE($D21),0)&lt;&gt;1,"NO",IF(IFERROR(VALUE($O21),0)&gt;=Parametri!$B$2,"SI","NO")))</f>
        <v/>
      </c>
      <c r="H21" s="57">
        <f>IF($G21="SI",SUMPRODUCT(MAX(($C$2:$C$81=$C21)*(IFERROR($D$2:$D$81*1,0)=1)*(IFERROR($O$2:$O$81*1,0)&gt;=Parametri!$B$2)*IFERROR($F$2:$F$81*1,0))),0)</f>
        <v/>
      </c>
      <c r="I21" s="57">
        <f>IF($G21="SI",IF($H21&gt;0,30*(IFERROR($F21*1,0)/$H21),0),0)</f>
        <v/>
      </c>
      <c r="J21" s="57">
        <f>IF($A21="",0,IF($G21="SI",ROUND(IFERROR($E21*1,0)+$I21,4),ROUND(IFERROR($E21*1,0),4)))</f>
        <v/>
      </c>
      <c r="K21" s="57">
        <f>IF($A21="","",IF(IFERROR(VALUE($D21),0)&lt;&gt;1,"Non attiva",IF(IFERROR(VALUE($O21),0)&lt;Parametri!$B$2,"Sotto soglia","")))</f>
        <v/>
      </c>
      <c r="L21" s="57">
        <f>IF($A21="","",$A21&amp;"|"&amp;$C21)</f>
        <v/>
      </c>
      <c r="M21" s="57">
        <f>IF($A21="","",$C21&amp;"|"&amp;TEXT($J21,"0.0000"))</f>
        <v/>
      </c>
      <c r="N21" s="57" t="n"/>
      <c r="O21" s="57">
        <f>IF($A21="",0,IFERROR(IF(SUMIFS(CriteriTecnici!$O:$O,CriteriTecnici!$Q:$Q,$A21&amp;"|"&amp;$C21)&gt;0,SUMIFS(CriteriTecnici!$O:$O,CriteriTecnici!$Q:$Q,$A21&amp;"|"&amp;$C21,CriteriTecnici!$F:$F,"Q")+SUMIFS(CriteriTecnici!$O:$O,CriteriTecnici!$Q:$Q,$A21&amp;"|"&amp;$C21,CriteriTecnici!$F:$F,"T"),IFERROR($N21*1,0)),0))</f>
        <v/>
      </c>
      <c r="P21" s="57">
        <f>IF($A21="","",IF(SUMIFS(CriteriTecnici!$O:$O,CriteriTecnici!$Q:$Q,$A21&amp;"|"&amp;$C21)&gt;0,"Criteri A-G","Aggregato"))</f>
        <v/>
      </c>
    </row>
    <row r="22">
      <c r="A22" s="56">
        <f>IF(Compila!$A32="","",Compila!$A32)</f>
        <v/>
      </c>
      <c r="B22" s="56">
        <f>IF(Compila!$A32="","",Compila!$B32)</f>
        <v/>
      </c>
      <c r="C22" s="56">
        <f>IF(Compila!$A32="","",Compila!$C32)</f>
        <v/>
      </c>
      <c r="D22" s="56">
        <f>IF(Compila!$A32="","",Compila!$D32)</f>
        <v/>
      </c>
      <c r="E22" s="57">
        <f>IF($A22="",0,IFERROR(IF(SUMIFS(CriteriTecnici!$O:$O,CriteriTecnici!$Q:$Q,$A22&amp;"|"&amp;$C22)&gt;0,IF($G22="SI",ROUND(IF(SUMPRODUCT(MAX((CriteriTecnici!$C$5:$C$2484=$C22)*(CriteriTecnici!$E$5:$E$2484="A")*(CriteriTecnici!$T$5:$T$2484="SI")*IFERROR(CriteriTecnici!$O$5:$O$2484*1,0)))&gt;0,MIN(7,SUMIFS(CriteriTecnici!$O:$O,CriteriTecnici!$Q:$Q,$A22&amp;"|"&amp;$C22,CriteriTecnici!$E:$E,"A")*(7/SUMPRODUCT(MAX((CriteriTecnici!$C$5:$C$2484=$C22)*(CriteriTecnici!$E$5:$E$2484="A")*(CriteriTecnici!$T$5:$T$2484="SI")*IFERROR(CriteriTecnici!$O$5:$O$2484*1,0))))),0)+IF(SUMPRODUCT(MAX((CriteriTecnici!$C$5:$C$2484=$C22)*(CriteriTecnici!$E$5:$E$2484="B")*(CriteriTecnici!$T$5:$T$2484="SI")*IFERROR(CriteriTecnici!$O$5:$O$2484*1,0)))&gt;0,MIN(14,SUMIFS(CriteriTecnici!$O:$O,CriteriTecnici!$Q:$Q,$A22&amp;"|"&amp;$C22,CriteriTecnici!$E:$E,"B")*(14/SUMPRODUCT(MAX((CriteriTecnici!$C$5:$C$2484=$C22)*(CriteriTecnici!$E$5:$E$2484="B")*(CriteriTecnici!$T$5:$T$2484="SI")*IFERROR(CriteriTecnici!$O$5:$O$2484*1,0))))),0)+IF(SUMPRODUCT(MAX((CriteriTecnici!$C$5:$C$2484=$C22)*(CriteriTecnici!$E$5:$E$2484="C")*(CriteriTecnici!$T$5:$T$2484="SI")*IFERROR(CriteriTecnici!$O$5:$O$2484*1,0)))&gt;0,MIN(14,SUMIFS(CriteriTecnici!$O:$O,CriteriTecnici!$Q:$Q,$A22&amp;"|"&amp;$C22,CriteriTecnici!$E:$E,"C")*(14/SUMPRODUCT(MAX((CriteriTecnici!$C$5:$C$2484=$C22)*(CriteriTecnici!$E$5:$E$2484="C")*(CriteriTecnici!$T$5:$T$2484="SI")*IFERROR(CriteriTecnici!$O$5:$O$2484*1,0))))),0)+IF(SUMPRODUCT(MAX((CriteriTecnici!$C$5:$C$2484=$C22)*(CriteriTecnici!$E$5:$E$2484="D")*(CriteriTecnici!$T$5:$T$2484="SI")*IFERROR(CriteriTecnici!$O$5:$O$2484*1,0)))&gt;0,MIN(10,SUMIFS(CriteriTecnici!$O:$O,CriteriTecnici!$Q:$Q,$A22&amp;"|"&amp;$C22,CriteriTecnici!$E:$E,"D")*(10/SUMPRODUCT(MAX((CriteriTecnici!$C$5:$C$2484=$C22)*(CriteriTecnici!$E$5:$E$2484="D")*(CriteriTecnici!$T$5:$T$2484="SI")*IFERROR(CriteriTecnici!$O$5:$O$2484*1,0))))),0)+IF(SUMPRODUCT(MAX((CriteriTecnici!$C$5:$C$2484=$C22)*(CriteriTecnici!$E$5:$E$2484="E")*(CriteriTecnici!$T$5:$T$2484="SI")*IFERROR(CriteriTecnici!$O$5:$O$2484*1,0)))&gt;0,MIN(4,SUMIFS(CriteriTecnici!$O:$O,CriteriTecnici!$Q:$Q,$A22&amp;"|"&amp;$C22,CriteriTecnici!$E:$E,"E")*(4/SUMPRODUCT(MAX((CriteriTecnici!$C$5:$C$2484=$C22)*(CriteriTecnici!$E$5:$E$2484="E")*(CriteriTecnici!$T$5:$T$2484="SI")*IFERROR(CriteriTecnici!$O$5:$O$2484*1,0))))),0)+IF(SUMPRODUCT(MAX((CriteriTecnici!$C$5:$C$2484=$C22)*(CriteriTecnici!$E$5:$E$2484="F")*(CriteriTecnici!$T$5:$T$2484="SI")*IFERROR(CriteriTecnici!$O$5:$O$2484*1,0)))&gt;0,MIN(14,SUMIFS(CriteriTecnici!$O:$O,CriteriTecnici!$Q:$Q,$A22&amp;"|"&amp;$C22,CriteriTecnici!$E:$E,"F")*(14/SUMPRODUCT(MAX((CriteriTecnici!$C$5:$C$2484=$C22)*(CriteriTecnici!$E$5:$E$2484="F")*(CriteriTecnici!$T$5:$T$2484="SI")*IFERROR(CriteriTecnici!$O$5:$O$2484*1,0))))),0)+IF(SUMPRODUCT(MAX((CriteriTecnici!$C$5:$C$2484=$C22)*(CriteriTecnici!$E$5:$E$2484="G")*(CriteriTecnici!$T$5:$T$2484="SI")*IFERROR(CriteriTecnici!$O$5:$O$2484*1,0)))&gt;0,MIN(7,SUMIFS(CriteriTecnici!$O:$O,CriteriTecnici!$Q:$Q,$A22&amp;"|"&amp;$C22,CriteriTecnici!$E:$E,"G")*(7/SUMPRODUCT(MAX((CriteriTecnici!$C$5:$C$2484=$C22)*(CriteriTecnici!$E$5:$E$2484="G")*(CriteriTecnici!$T$5:$T$2484="SI")*IFERROR(CriteriTecnici!$O$5:$O$2484*1,0))))),0),4),0),IFERROR($N22*1,0)),0))</f>
        <v/>
      </c>
      <c r="F22" s="56">
        <f>IF(Compila!$A32="","",Compila!$E32)</f>
        <v/>
      </c>
      <c r="G22" s="57">
        <f>IF($A22="","",IF(IFERROR(VALUE($D22),0)&lt;&gt;1,"NO",IF(IFERROR(VALUE($O22),0)&gt;=Parametri!$B$2,"SI","NO")))</f>
        <v/>
      </c>
      <c r="H22" s="57">
        <f>IF($G22="SI",SUMPRODUCT(MAX(($C$2:$C$81=$C22)*(IFERROR($D$2:$D$81*1,0)=1)*(IFERROR($O$2:$O$81*1,0)&gt;=Parametri!$B$2)*IFERROR($F$2:$F$81*1,0))),0)</f>
        <v/>
      </c>
      <c r="I22" s="57">
        <f>IF($G22="SI",IF($H22&gt;0,30*(IFERROR($F22*1,0)/$H22),0),0)</f>
        <v/>
      </c>
      <c r="J22" s="57">
        <f>IF($A22="",0,IF($G22="SI",ROUND(IFERROR($E22*1,0)+$I22,4),ROUND(IFERROR($E22*1,0),4)))</f>
        <v/>
      </c>
      <c r="K22" s="57">
        <f>IF($A22="","",IF(IFERROR(VALUE($D22),0)&lt;&gt;1,"Non attiva",IF(IFERROR(VALUE($O22),0)&lt;Parametri!$B$2,"Sotto soglia","")))</f>
        <v/>
      </c>
      <c r="L22" s="57">
        <f>IF($A22="","",$A22&amp;"|"&amp;$C22)</f>
        <v/>
      </c>
      <c r="M22" s="57">
        <f>IF($A22="","",$C22&amp;"|"&amp;TEXT($J22,"0.0000"))</f>
        <v/>
      </c>
      <c r="N22" s="57" t="n"/>
      <c r="O22" s="57">
        <f>IF($A22="",0,IFERROR(IF(SUMIFS(CriteriTecnici!$O:$O,CriteriTecnici!$Q:$Q,$A22&amp;"|"&amp;$C22)&gt;0,SUMIFS(CriteriTecnici!$O:$O,CriteriTecnici!$Q:$Q,$A22&amp;"|"&amp;$C22,CriteriTecnici!$F:$F,"Q")+SUMIFS(CriteriTecnici!$O:$O,CriteriTecnici!$Q:$Q,$A22&amp;"|"&amp;$C22,CriteriTecnici!$F:$F,"T"),IFERROR($N22*1,0)),0))</f>
        <v/>
      </c>
      <c r="P22" s="57">
        <f>IF($A22="","",IF(SUMIFS(CriteriTecnici!$O:$O,CriteriTecnici!$Q:$Q,$A22&amp;"|"&amp;$C22)&gt;0,"Criteri A-G","Aggregato"))</f>
        <v/>
      </c>
    </row>
    <row r="23">
      <c r="A23" s="56">
        <f>IF(Compila!$A33="","",Compila!$A33)</f>
        <v/>
      </c>
      <c r="B23" s="56">
        <f>IF(Compila!$A33="","",Compila!$B33)</f>
        <v/>
      </c>
      <c r="C23" s="56">
        <f>IF(Compila!$A33="","",Compila!$C33)</f>
        <v/>
      </c>
      <c r="D23" s="56">
        <f>IF(Compila!$A33="","",Compila!$D33)</f>
        <v/>
      </c>
      <c r="E23" s="57">
        <f>IF($A23="",0,IFERROR(IF(SUMIFS(CriteriTecnici!$O:$O,CriteriTecnici!$Q:$Q,$A23&amp;"|"&amp;$C23)&gt;0,IF($G23="SI",ROUND(IF(SUMPRODUCT(MAX((CriteriTecnici!$C$5:$C$2484=$C23)*(CriteriTecnici!$E$5:$E$2484="A")*(CriteriTecnici!$T$5:$T$2484="SI")*IFERROR(CriteriTecnici!$O$5:$O$2484*1,0)))&gt;0,MIN(7,SUMIFS(CriteriTecnici!$O:$O,CriteriTecnici!$Q:$Q,$A23&amp;"|"&amp;$C23,CriteriTecnici!$E:$E,"A")*(7/SUMPRODUCT(MAX((CriteriTecnici!$C$5:$C$2484=$C23)*(CriteriTecnici!$E$5:$E$2484="A")*(CriteriTecnici!$T$5:$T$2484="SI")*IFERROR(CriteriTecnici!$O$5:$O$2484*1,0))))),0)+IF(SUMPRODUCT(MAX((CriteriTecnici!$C$5:$C$2484=$C23)*(CriteriTecnici!$E$5:$E$2484="B")*(CriteriTecnici!$T$5:$T$2484="SI")*IFERROR(CriteriTecnici!$O$5:$O$2484*1,0)))&gt;0,MIN(14,SUMIFS(CriteriTecnici!$O:$O,CriteriTecnici!$Q:$Q,$A23&amp;"|"&amp;$C23,CriteriTecnici!$E:$E,"B")*(14/SUMPRODUCT(MAX((CriteriTecnici!$C$5:$C$2484=$C23)*(CriteriTecnici!$E$5:$E$2484="B")*(CriteriTecnici!$T$5:$T$2484="SI")*IFERROR(CriteriTecnici!$O$5:$O$2484*1,0))))),0)+IF(SUMPRODUCT(MAX((CriteriTecnici!$C$5:$C$2484=$C23)*(CriteriTecnici!$E$5:$E$2484="C")*(CriteriTecnici!$T$5:$T$2484="SI")*IFERROR(CriteriTecnici!$O$5:$O$2484*1,0)))&gt;0,MIN(14,SUMIFS(CriteriTecnici!$O:$O,CriteriTecnici!$Q:$Q,$A23&amp;"|"&amp;$C23,CriteriTecnici!$E:$E,"C")*(14/SUMPRODUCT(MAX((CriteriTecnici!$C$5:$C$2484=$C23)*(CriteriTecnici!$E$5:$E$2484="C")*(CriteriTecnici!$T$5:$T$2484="SI")*IFERROR(CriteriTecnici!$O$5:$O$2484*1,0))))),0)+IF(SUMPRODUCT(MAX((CriteriTecnici!$C$5:$C$2484=$C23)*(CriteriTecnici!$E$5:$E$2484="D")*(CriteriTecnici!$T$5:$T$2484="SI")*IFERROR(CriteriTecnici!$O$5:$O$2484*1,0)))&gt;0,MIN(10,SUMIFS(CriteriTecnici!$O:$O,CriteriTecnici!$Q:$Q,$A23&amp;"|"&amp;$C23,CriteriTecnici!$E:$E,"D")*(10/SUMPRODUCT(MAX((CriteriTecnici!$C$5:$C$2484=$C23)*(CriteriTecnici!$E$5:$E$2484="D")*(CriteriTecnici!$T$5:$T$2484="SI")*IFERROR(CriteriTecnici!$O$5:$O$2484*1,0))))),0)+IF(SUMPRODUCT(MAX((CriteriTecnici!$C$5:$C$2484=$C23)*(CriteriTecnici!$E$5:$E$2484="E")*(CriteriTecnici!$T$5:$T$2484="SI")*IFERROR(CriteriTecnici!$O$5:$O$2484*1,0)))&gt;0,MIN(4,SUMIFS(CriteriTecnici!$O:$O,CriteriTecnici!$Q:$Q,$A23&amp;"|"&amp;$C23,CriteriTecnici!$E:$E,"E")*(4/SUMPRODUCT(MAX((CriteriTecnici!$C$5:$C$2484=$C23)*(CriteriTecnici!$E$5:$E$2484="E")*(CriteriTecnici!$T$5:$T$2484="SI")*IFERROR(CriteriTecnici!$O$5:$O$2484*1,0))))),0)+IF(SUMPRODUCT(MAX((CriteriTecnici!$C$5:$C$2484=$C23)*(CriteriTecnici!$E$5:$E$2484="F")*(CriteriTecnici!$T$5:$T$2484="SI")*IFERROR(CriteriTecnici!$O$5:$O$2484*1,0)))&gt;0,MIN(14,SUMIFS(CriteriTecnici!$O:$O,CriteriTecnici!$Q:$Q,$A23&amp;"|"&amp;$C23,CriteriTecnici!$E:$E,"F")*(14/SUMPRODUCT(MAX((CriteriTecnici!$C$5:$C$2484=$C23)*(CriteriTecnici!$E$5:$E$2484="F")*(CriteriTecnici!$T$5:$T$2484="SI")*IFERROR(CriteriTecnici!$O$5:$O$2484*1,0))))),0)+IF(SUMPRODUCT(MAX((CriteriTecnici!$C$5:$C$2484=$C23)*(CriteriTecnici!$E$5:$E$2484="G")*(CriteriTecnici!$T$5:$T$2484="SI")*IFERROR(CriteriTecnici!$O$5:$O$2484*1,0)))&gt;0,MIN(7,SUMIFS(CriteriTecnici!$O:$O,CriteriTecnici!$Q:$Q,$A23&amp;"|"&amp;$C23,CriteriTecnici!$E:$E,"G")*(7/SUMPRODUCT(MAX((CriteriTecnici!$C$5:$C$2484=$C23)*(CriteriTecnici!$E$5:$E$2484="G")*(CriteriTecnici!$T$5:$T$2484="SI")*IFERROR(CriteriTecnici!$O$5:$O$2484*1,0))))),0),4),0),IFERROR($N23*1,0)),0))</f>
        <v/>
      </c>
      <c r="F23" s="56">
        <f>IF(Compila!$A33="","",Compila!$E33)</f>
        <v/>
      </c>
      <c r="G23" s="57">
        <f>IF($A23="","",IF(IFERROR(VALUE($D23),0)&lt;&gt;1,"NO",IF(IFERROR(VALUE($O23),0)&gt;=Parametri!$B$2,"SI","NO")))</f>
        <v/>
      </c>
      <c r="H23" s="57">
        <f>IF($G23="SI",SUMPRODUCT(MAX(($C$2:$C$81=$C23)*(IFERROR($D$2:$D$81*1,0)=1)*(IFERROR($O$2:$O$81*1,0)&gt;=Parametri!$B$2)*IFERROR($F$2:$F$81*1,0))),0)</f>
        <v/>
      </c>
      <c r="I23" s="57">
        <f>IF($G23="SI",IF($H23&gt;0,30*(IFERROR($F23*1,0)/$H23),0),0)</f>
        <v/>
      </c>
      <c r="J23" s="57">
        <f>IF($A23="",0,IF($G23="SI",ROUND(IFERROR($E23*1,0)+$I23,4),ROUND(IFERROR($E23*1,0),4)))</f>
        <v/>
      </c>
      <c r="K23" s="57">
        <f>IF($A23="","",IF(IFERROR(VALUE($D23),0)&lt;&gt;1,"Non attiva",IF(IFERROR(VALUE($O23),0)&lt;Parametri!$B$2,"Sotto soglia","")))</f>
        <v/>
      </c>
      <c r="L23" s="57">
        <f>IF($A23="","",$A23&amp;"|"&amp;$C23)</f>
        <v/>
      </c>
      <c r="M23" s="57">
        <f>IF($A23="","",$C23&amp;"|"&amp;TEXT($J23,"0.0000"))</f>
        <v/>
      </c>
      <c r="N23" s="57" t="n"/>
      <c r="O23" s="57">
        <f>IF($A23="",0,IFERROR(IF(SUMIFS(CriteriTecnici!$O:$O,CriteriTecnici!$Q:$Q,$A23&amp;"|"&amp;$C23)&gt;0,SUMIFS(CriteriTecnici!$O:$O,CriteriTecnici!$Q:$Q,$A23&amp;"|"&amp;$C23,CriteriTecnici!$F:$F,"Q")+SUMIFS(CriteriTecnici!$O:$O,CriteriTecnici!$Q:$Q,$A23&amp;"|"&amp;$C23,CriteriTecnici!$F:$F,"T"),IFERROR($N23*1,0)),0))</f>
        <v/>
      </c>
      <c r="P23" s="57">
        <f>IF($A23="","",IF(SUMIFS(CriteriTecnici!$O:$O,CriteriTecnici!$Q:$Q,$A23&amp;"|"&amp;$C23)&gt;0,"Criteri A-G","Aggregato"))</f>
        <v/>
      </c>
    </row>
    <row r="24">
      <c r="A24" s="56">
        <f>IF(Compila!$A34="","",Compila!$A34)</f>
        <v/>
      </c>
      <c r="B24" s="56">
        <f>IF(Compila!$A34="","",Compila!$B34)</f>
        <v/>
      </c>
      <c r="C24" s="56">
        <f>IF(Compila!$A34="","",Compila!$C34)</f>
        <v/>
      </c>
      <c r="D24" s="56">
        <f>IF(Compila!$A34="","",Compila!$D34)</f>
        <v/>
      </c>
      <c r="E24" s="57">
        <f>IF($A24="",0,IFERROR(IF(SUMIFS(CriteriTecnici!$O:$O,CriteriTecnici!$Q:$Q,$A24&amp;"|"&amp;$C24)&gt;0,IF($G24="SI",ROUND(IF(SUMPRODUCT(MAX((CriteriTecnici!$C$5:$C$2484=$C24)*(CriteriTecnici!$E$5:$E$2484="A")*(CriteriTecnici!$T$5:$T$2484="SI")*IFERROR(CriteriTecnici!$O$5:$O$2484*1,0)))&gt;0,MIN(7,SUMIFS(CriteriTecnici!$O:$O,CriteriTecnici!$Q:$Q,$A24&amp;"|"&amp;$C24,CriteriTecnici!$E:$E,"A")*(7/SUMPRODUCT(MAX((CriteriTecnici!$C$5:$C$2484=$C24)*(CriteriTecnici!$E$5:$E$2484="A")*(CriteriTecnici!$T$5:$T$2484="SI")*IFERROR(CriteriTecnici!$O$5:$O$2484*1,0))))),0)+IF(SUMPRODUCT(MAX((CriteriTecnici!$C$5:$C$2484=$C24)*(CriteriTecnici!$E$5:$E$2484="B")*(CriteriTecnici!$T$5:$T$2484="SI")*IFERROR(CriteriTecnici!$O$5:$O$2484*1,0)))&gt;0,MIN(14,SUMIFS(CriteriTecnici!$O:$O,CriteriTecnici!$Q:$Q,$A24&amp;"|"&amp;$C24,CriteriTecnici!$E:$E,"B")*(14/SUMPRODUCT(MAX((CriteriTecnici!$C$5:$C$2484=$C24)*(CriteriTecnici!$E$5:$E$2484="B")*(CriteriTecnici!$T$5:$T$2484="SI")*IFERROR(CriteriTecnici!$O$5:$O$2484*1,0))))),0)+IF(SUMPRODUCT(MAX((CriteriTecnici!$C$5:$C$2484=$C24)*(CriteriTecnici!$E$5:$E$2484="C")*(CriteriTecnici!$T$5:$T$2484="SI")*IFERROR(CriteriTecnici!$O$5:$O$2484*1,0)))&gt;0,MIN(14,SUMIFS(CriteriTecnici!$O:$O,CriteriTecnici!$Q:$Q,$A24&amp;"|"&amp;$C24,CriteriTecnici!$E:$E,"C")*(14/SUMPRODUCT(MAX((CriteriTecnici!$C$5:$C$2484=$C24)*(CriteriTecnici!$E$5:$E$2484="C")*(CriteriTecnici!$T$5:$T$2484="SI")*IFERROR(CriteriTecnici!$O$5:$O$2484*1,0))))),0)+IF(SUMPRODUCT(MAX((CriteriTecnici!$C$5:$C$2484=$C24)*(CriteriTecnici!$E$5:$E$2484="D")*(CriteriTecnici!$T$5:$T$2484="SI")*IFERROR(CriteriTecnici!$O$5:$O$2484*1,0)))&gt;0,MIN(10,SUMIFS(CriteriTecnici!$O:$O,CriteriTecnici!$Q:$Q,$A24&amp;"|"&amp;$C24,CriteriTecnici!$E:$E,"D")*(10/SUMPRODUCT(MAX((CriteriTecnici!$C$5:$C$2484=$C24)*(CriteriTecnici!$E$5:$E$2484="D")*(CriteriTecnici!$T$5:$T$2484="SI")*IFERROR(CriteriTecnici!$O$5:$O$2484*1,0))))),0)+IF(SUMPRODUCT(MAX((CriteriTecnici!$C$5:$C$2484=$C24)*(CriteriTecnici!$E$5:$E$2484="E")*(CriteriTecnici!$T$5:$T$2484="SI")*IFERROR(CriteriTecnici!$O$5:$O$2484*1,0)))&gt;0,MIN(4,SUMIFS(CriteriTecnici!$O:$O,CriteriTecnici!$Q:$Q,$A24&amp;"|"&amp;$C24,CriteriTecnici!$E:$E,"E")*(4/SUMPRODUCT(MAX((CriteriTecnici!$C$5:$C$2484=$C24)*(CriteriTecnici!$E$5:$E$2484="E")*(CriteriTecnici!$T$5:$T$2484="SI")*IFERROR(CriteriTecnici!$O$5:$O$2484*1,0))))),0)+IF(SUMPRODUCT(MAX((CriteriTecnici!$C$5:$C$2484=$C24)*(CriteriTecnici!$E$5:$E$2484="F")*(CriteriTecnici!$T$5:$T$2484="SI")*IFERROR(CriteriTecnici!$O$5:$O$2484*1,0)))&gt;0,MIN(14,SUMIFS(CriteriTecnici!$O:$O,CriteriTecnici!$Q:$Q,$A24&amp;"|"&amp;$C24,CriteriTecnici!$E:$E,"F")*(14/SUMPRODUCT(MAX((CriteriTecnici!$C$5:$C$2484=$C24)*(CriteriTecnici!$E$5:$E$2484="F")*(CriteriTecnici!$T$5:$T$2484="SI")*IFERROR(CriteriTecnici!$O$5:$O$2484*1,0))))),0)+IF(SUMPRODUCT(MAX((CriteriTecnici!$C$5:$C$2484=$C24)*(CriteriTecnici!$E$5:$E$2484="G")*(CriteriTecnici!$T$5:$T$2484="SI")*IFERROR(CriteriTecnici!$O$5:$O$2484*1,0)))&gt;0,MIN(7,SUMIFS(CriteriTecnici!$O:$O,CriteriTecnici!$Q:$Q,$A24&amp;"|"&amp;$C24,CriteriTecnici!$E:$E,"G")*(7/SUMPRODUCT(MAX((CriteriTecnici!$C$5:$C$2484=$C24)*(CriteriTecnici!$E$5:$E$2484="G")*(CriteriTecnici!$T$5:$T$2484="SI")*IFERROR(CriteriTecnici!$O$5:$O$2484*1,0))))),0),4),0),IFERROR($N24*1,0)),0))</f>
        <v/>
      </c>
      <c r="F24" s="56">
        <f>IF(Compila!$A34="","",Compila!$E34)</f>
        <v/>
      </c>
      <c r="G24" s="57">
        <f>IF($A24="","",IF(IFERROR(VALUE($D24),0)&lt;&gt;1,"NO",IF(IFERROR(VALUE($O24),0)&gt;=Parametri!$B$2,"SI","NO")))</f>
        <v/>
      </c>
      <c r="H24" s="57">
        <f>IF($G24="SI",SUMPRODUCT(MAX(($C$2:$C$81=$C24)*(IFERROR($D$2:$D$81*1,0)=1)*(IFERROR($O$2:$O$81*1,0)&gt;=Parametri!$B$2)*IFERROR($F$2:$F$81*1,0))),0)</f>
        <v/>
      </c>
      <c r="I24" s="57">
        <f>IF($G24="SI",IF($H24&gt;0,30*(IFERROR($F24*1,0)/$H24),0),0)</f>
        <v/>
      </c>
      <c r="J24" s="57">
        <f>IF($A24="",0,IF($G24="SI",ROUND(IFERROR($E24*1,0)+$I24,4),ROUND(IFERROR($E24*1,0),4)))</f>
        <v/>
      </c>
      <c r="K24" s="57">
        <f>IF($A24="","",IF(IFERROR(VALUE($D24),0)&lt;&gt;1,"Non attiva",IF(IFERROR(VALUE($O24),0)&lt;Parametri!$B$2,"Sotto soglia","")))</f>
        <v/>
      </c>
      <c r="L24" s="57">
        <f>IF($A24="","",$A24&amp;"|"&amp;$C24)</f>
        <v/>
      </c>
      <c r="M24" s="57">
        <f>IF($A24="","",$C24&amp;"|"&amp;TEXT($J24,"0.0000"))</f>
        <v/>
      </c>
      <c r="N24" s="57" t="n"/>
      <c r="O24" s="57">
        <f>IF($A24="",0,IFERROR(IF(SUMIFS(CriteriTecnici!$O:$O,CriteriTecnici!$Q:$Q,$A24&amp;"|"&amp;$C24)&gt;0,SUMIFS(CriteriTecnici!$O:$O,CriteriTecnici!$Q:$Q,$A24&amp;"|"&amp;$C24,CriteriTecnici!$F:$F,"Q")+SUMIFS(CriteriTecnici!$O:$O,CriteriTecnici!$Q:$Q,$A24&amp;"|"&amp;$C24,CriteriTecnici!$F:$F,"T"),IFERROR($N24*1,0)),0))</f>
        <v/>
      </c>
      <c r="P24" s="57">
        <f>IF($A24="","",IF(SUMIFS(CriteriTecnici!$O:$O,CriteriTecnici!$Q:$Q,$A24&amp;"|"&amp;$C24)&gt;0,"Criteri A-G","Aggregato"))</f>
        <v/>
      </c>
    </row>
    <row r="25">
      <c r="A25" s="56">
        <f>IF(Compila!$A35="","",Compila!$A35)</f>
        <v/>
      </c>
      <c r="B25" s="56">
        <f>IF(Compila!$A35="","",Compila!$B35)</f>
        <v/>
      </c>
      <c r="C25" s="56">
        <f>IF(Compila!$A35="","",Compila!$C35)</f>
        <v/>
      </c>
      <c r="D25" s="56">
        <f>IF(Compila!$A35="","",Compila!$D35)</f>
        <v/>
      </c>
      <c r="E25" s="57">
        <f>IF($A25="",0,IFERROR(IF(SUMIFS(CriteriTecnici!$O:$O,CriteriTecnici!$Q:$Q,$A25&amp;"|"&amp;$C25)&gt;0,IF($G25="SI",ROUND(IF(SUMPRODUCT(MAX((CriteriTecnici!$C$5:$C$2484=$C25)*(CriteriTecnici!$E$5:$E$2484="A")*(CriteriTecnici!$T$5:$T$2484="SI")*IFERROR(CriteriTecnici!$O$5:$O$2484*1,0)))&gt;0,MIN(7,SUMIFS(CriteriTecnici!$O:$O,CriteriTecnici!$Q:$Q,$A25&amp;"|"&amp;$C25,CriteriTecnici!$E:$E,"A")*(7/SUMPRODUCT(MAX((CriteriTecnici!$C$5:$C$2484=$C25)*(CriteriTecnici!$E$5:$E$2484="A")*(CriteriTecnici!$T$5:$T$2484="SI")*IFERROR(CriteriTecnici!$O$5:$O$2484*1,0))))),0)+IF(SUMPRODUCT(MAX((CriteriTecnici!$C$5:$C$2484=$C25)*(CriteriTecnici!$E$5:$E$2484="B")*(CriteriTecnici!$T$5:$T$2484="SI")*IFERROR(CriteriTecnici!$O$5:$O$2484*1,0)))&gt;0,MIN(14,SUMIFS(CriteriTecnici!$O:$O,CriteriTecnici!$Q:$Q,$A25&amp;"|"&amp;$C25,CriteriTecnici!$E:$E,"B")*(14/SUMPRODUCT(MAX((CriteriTecnici!$C$5:$C$2484=$C25)*(CriteriTecnici!$E$5:$E$2484="B")*(CriteriTecnici!$T$5:$T$2484="SI")*IFERROR(CriteriTecnici!$O$5:$O$2484*1,0))))),0)+IF(SUMPRODUCT(MAX((CriteriTecnici!$C$5:$C$2484=$C25)*(CriteriTecnici!$E$5:$E$2484="C")*(CriteriTecnici!$T$5:$T$2484="SI")*IFERROR(CriteriTecnici!$O$5:$O$2484*1,0)))&gt;0,MIN(14,SUMIFS(CriteriTecnici!$O:$O,CriteriTecnici!$Q:$Q,$A25&amp;"|"&amp;$C25,CriteriTecnici!$E:$E,"C")*(14/SUMPRODUCT(MAX((CriteriTecnici!$C$5:$C$2484=$C25)*(CriteriTecnici!$E$5:$E$2484="C")*(CriteriTecnici!$T$5:$T$2484="SI")*IFERROR(CriteriTecnici!$O$5:$O$2484*1,0))))),0)+IF(SUMPRODUCT(MAX((CriteriTecnici!$C$5:$C$2484=$C25)*(CriteriTecnici!$E$5:$E$2484="D")*(CriteriTecnici!$T$5:$T$2484="SI")*IFERROR(CriteriTecnici!$O$5:$O$2484*1,0)))&gt;0,MIN(10,SUMIFS(CriteriTecnici!$O:$O,CriteriTecnici!$Q:$Q,$A25&amp;"|"&amp;$C25,CriteriTecnici!$E:$E,"D")*(10/SUMPRODUCT(MAX((CriteriTecnici!$C$5:$C$2484=$C25)*(CriteriTecnici!$E$5:$E$2484="D")*(CriteriTecnici!$T$5:$T$2484="SI")*IFERROR(CriteriTecnici!$O$5:$O$2484*1,0))))),0)+IF(SUMPRODUCT(MAX((CriteriTecnici!$C$5:$C$2484=$C25)*(CriteriTecnici!$E$5:$E$2484="E")*(CriteriTecnici!$T$5:$T$2484="SI")*IFERROR(CriteriTecnici!$O$5:$O$2484*1,0)))&gt;0,MIN(4,SUMIFS(CriteriTecnici!$O:$O,CriteriTecnici!$Q:$Q,$A25&amp;"|"&amp;$C25,CriteriTecnici!$E:$E,"E")*(4/SUMPRODUCT(MAX((CriteriTecnici!$C$5:$C$2484=$C25)*(CriteriTecnici!$E$5:$E$2484="E")*(CriteriTecnici!$T$5:$T$2484="SI")*IFERROR(CriteriTecnici!$O$5:$O$2484*1,0))))),0)+IF(SUMPRODUCT(MAX((CriteriTecnici!$C$5:$C$2484=$C25)*(CriteriTecnici!$E$5:$E$2484="F")*(CriteriTecnici!$T$5:$T$2484="SI")*IFERROR(CriteriTecnici!$O$5:$O$2484*1,0)))&gt;0,MIN(14,SUMIFS(CriteriTecnici!$O:$O,CriteriTecnici!$Q:$Q,$A25&amp;"|"&amp;$C25,CriteriTecnici!$E:$E,"F")*(14/SUMPRODUCT(MAX((CriteriTecnici!$C$5:$C$2484=$C25)*(CriteriTecnici!$E$5:$E$2484="F")*(CriteriTecnici!$T$5:$T$2484="SI")*IFERROR(CriteriTecnici!$O$5:$O$2484*1,0))))),0)+IF(SUMPRODUCT(MAX((CriteriTecnici!$C$5:$C$2484=$C25)*(CriteriTecnici!$E$5:$E$2484="G")*(CriteriTecnici!$T$5:$T$2484="SI")*IFERROR(CriteriTecnici!$O$5:$O$2484*1,0)))&gt;0,MIN(7,SUMIFS(CriteriTecnici!$O:$O,CriteriTecnici!$Q:$Q,$A25&amp;"|"&amp;$C25,CriteriTecnici!$E:$E,"G")*(7/SUMPRODUCT(MAX((CriteriTecnici!$C$5:$C$2484=$C25)*(CriteriTecnici!$E$5:$E$2484="G")*(CriteriTecnici!$T$5:$T$2484="SI")*IFERROR(CriteriTecnici!$O$5:$O$2484*1,0))))),0),4),0),IFERROR($N25*1,0)),0))</f>
        <v/>
      </c>
      <c r="F25" s="56">
        <f>IF(Compila!$A35="","",Compila!$E35)</f>
        <v/>
      </c>
      <c r="G25" s="57">
        <f>IF($A25="","",IF(IFERROR(VALUE($D25),0)&lt;&gt;1,"NO",IF(IFERROR(VALUE($O25),0)&gt;=Parametri!$B$2,"SI","NO")))</f>
        <v/>
      </c>
      <c r="H25" s="57">
        <f>IF($G25="SI",SUMPRODUCT(MAX(($C$2:$C$81=$C25)*(IFERROR($D$2:$D$81*1,0)=1)*(IFERROR($O$2:$O$81*1,0)&gt;=Parametri!$B$2)*IFERROR($F$2:$F$81*1,0))),0)</f>
        <v/>
      </c>
      <c r="I25" s="57">
        <f>IF($G25="SI",IF($H25&gt;0,30*(IFERROR($F25*1,0)/$H25),0),0)</f>
        <v/>
      </c>
      <c r="J25" s="57">
        <f>IF($A25="",0,IF($G25="SI",ROUND(IFERROR($E25*1,0)+$I25,4),ROUND(IFERROR($E25*1,0),4)))</f>
        <v/>
      </c>
      <c r="K25" s="57">
        <f>IF($A25="","",IF(IFERROR(VALUE($D25),0)&lt;&gt;1,"Non attiva",IF(IFERROR(VALUE($O25),0)&lt;Parametri!$B$2,"Sotto soglia","")))</f>
        <v/>
      </c>
      <c r="L25" s="57">
        <f>IF($A25="","",$A25&amp;"|"&amp;$C25)</f>
        <v/>
      </c>
      <c r="M25" s="57">
        <f>IF($A25="","",$C25&amp;"|"&amp;TEXT($J25,"0.0000"))</f>
        <v/>
      </c>
      <c r="N25" s="57" t="n"/>
      <c r="O25" s="57">
        <f>IF($A25="",0,IFERROR(IF(SUMIFS(CriteriTecnici!$O:$O,CriteriTecnici!$Q:$Q,$A25&amp;"|"&amp;$C25)&gt;0,SUMIFS(CriteriTecnici!$O:$O,CriteriTecnici!$Q:$Q,$A25&amp;"|"&amp;$C25,CriteriTecnici!$F:$F,"Q")+SUMIFS(CriteriTecnici!$O:$O,CriteriTecnici!$Q:$Q,$A25&amp;"|"&amp;$C25,CriteriTecnici!$F:$F,"T"),IFERROR($N25*1,0)),0))</f>
        <v/>
      </c>
      <c r="P25" s="57">
        <f>IF($A25="","",IF(SUMIFS(CriteriTecnici!$O:$O,CriteriTecnici!$Q:$Q,$A25&amp;"|"&amp;$C25)&gt;0,"Criteri A-G","Aggregato"))</f>
        <v/>
      </c>
    </row>
    <row r="26">
      <c r="A26" s="56">
        <f>IF(Compila!$A36="","",Compila!$A36)</f>
        <v/>
      </c>
      <c r="B26" s="56">
        <f>IF(Compila!$A36="","",Compila!$B36)</f>
        <v/>
      </c>
      <c r="C26" s="56">
        <f>IF(Compila!$A36="","",Compila!$C36)</f>
        <v/>
      </c>
      <c r="D26" s="56">
        <f>IF(Compila!$A36="","",Compila!$D36)</f>
        <v/>
      </c>
      <c r="E26" s="57">
        <f>IF($A26="",0,IFERROR(IF(SUMIFS(CriteriTecnici!$O:$O,CriteriTecnici!$Q:$Q,$A26&amp;"|"&amp;$C26)&gt;0,IF($G26="SI",ROUND(IF(SUMPRODUCT(MAX((CriteriTecnici!$C$5:$C$2484=$C26)*(CriteriTecnici!$E$5:$E$2484="A")*(CriteriTecnici!$T$5:$T$2484="SI")*IFERROR(CriteriTecnici!$O$5:$O$2484*1,0)))&gt;0,MIN(7,SUMIFS(CriteriTecnici!$O:$O,CriteriTecnici!$Q:$Q,$A26&amp;"|"&amp;$C26,CriteriTecnici!$E:$E,"A")*(7/SUMPRODUCT(MAX((CriteriTecnici!$C$5:$C$2484=$C26)*(CriteriTecnici!$E$5:$E$2484="A")*(CriteriTecnici!$T$5:$T$2484="SI")*IFERROR(CriteriTecnici!$O$5:$O$2484*1,0))))),0)+IF(SUMPRODUCT(MAX((CriteriTecnici!$C$5:$C$2484=$C26)*(CriteriTecnici!$E$5:$E$2484="B")*(CriteriTecnici!$T$5:$T$2484="SI")*IFERROR(CriteriTecnici!$O$5:$O$2484*1,0)))&gt;0,MIN(14,SUMIFS(CriteriTecnici!$O:$O,CriteriTecnici!$Q:$Q,$A26&amp;"|"&amp;$C26,CriteriTecnici!$E:$E,"B")*(14/SUMPRODUCT(MAX((CriteriTecnici!$C$5:$C$2484=$C26)*(CriteriTecnici!$E$5:$E$2484="B")*(CriteriTecnici!$T$5:$T$2484="SI")*IFERROR(CriteriTecnici!$O$5:$O$2484*1,0))))),0)+IF(SUMPRODUCT(MAX((CriteriTecnici!$C$5:$C$2484=$C26)*(CriteriTecnici!$E$5:$E$2484="C")*(CriteriTecnici!$T$5:$T$2484="SI")*IFERROR(CriteriTecnici!$O$5:$O$2484*1,0)))&gt;0,MIN(14,SUMIFS(CriteriTecnici!$O:$O,CriteriTecnici!$Q:$Q,$A26&amp;"|"&amp;$C26,CriteriTecnici!$E:$E,"C")*(14/SUMPRODUCT(MAX((CriteriTecnici!$C$5:$C$2484=$C26)*(CriteriTecnici!$E$5:$E$2484="C")*(CriteriTecnici!$T$5:$T$2484="SI")*IFERROR(CriteriTecnici!$O$5:$O$2484*1,0))))),0)+IF(SUMPRODUCT(MAX((CriteriTecnici!$C$5:$C$2484=$C26)*(CriteriTecnici!$E$5:$E$2484="D")*(CriteriTecnici!$T$5:$T$2484="SI")*IFERROR(CriteriTecnici!$O$5:$O$2484*1,0)))&gt;0,MIN(10,SUMIFS(CriteriTecnici!$O:$O,CriteriTecnici!$Q:$Q,$A26&amp;"|"&amp;$C26,CriteriTecnici!$E:$E,"D")*(10/SUMPRODUCT(MAX((CriteriTecnici!$C$5:$C$2484=$C26)*(CriteriTecnici!$E$5:$E$2484="D")*(CriteriTecnici!$T$5:$T$2484="SI")*IFERROR(CriteriTecnici!$O$5:$O$2484*1,0))))),0)+IF(SUMPRODUCT(MAX((CriteriTecnici!$C$5:$C$2484=$C26)*(CriteriTecnici!$E$5:$E$2484="E")*(CriteriTecnici!$T$5:$T$2484="SI")*IFERROR(CriteriTecnici!$O$5:$O$2484*1,0)))&gt;0,MIN(4,SUMIFS(CriteriTecnici!$O:$O,CriteriTecnici!$Q:$Q,$A26&amp;"|"&amp;$C26,CriteriTecnici!$E:$E,"E")*(4/SUMPRODUCT(MAX((CriteriTecnici!$C$5:$C$2484=$C26)*(CriteriTecnici!$E$5:$E$2484="E")*(CriteriTecnici!$T$5:$T$2484="SI")*IFERROR(CriteriTecnici!$O$5:$O$2484*1,0))))),0)+IF(SUMPRODUCT(MAX((CriteriTecnici!$C$5:$C$2484=$C26)*(CriteriTecnici!$E$5:$E$2484="F")*(CriteriTecnici!$T$5:$T$2484="SI")*IFERROR(CriteriTecnici!$O$5:$O$2484*1,0)))&gt;0,MIN(14,SUMIFS(CriteriTecnici!$O:$O,CriteriTecnici!$Q:$Q,$A26&amp;"|"&amp;$C26,CriteriTecnici!$E:$E,"F")*(14/SUMPRODUCT(MAX((CriteriTecnici!$C$5:$C$2484=$C26)*(CriteriTecnici!$E$5:$E$2484="F")*(CriteriTecnici!$T$5:$T$2484="SI")*IFERROR(CriteriTecnici!$O$5:$O$2484*1,0))))),0)+IF(SUMPRODUCT(MAX((CriteriTecnici!$C$5:$C$2484=$C26)*(CriteriTecnici!$E$5:$E$2484="G")*(CriteriTecnici!$T$5:$T$2484="SI")*IFERROR(CriteriTecnici!$O$5:$O$2484*1,0)))&gt;0,MIN(7,SUMIFS(CriteriTecnici!$O:$O,CriteriTecnici!$Q:$Q,$A26&amp;"|"&amp;$C26,CriteriTecnici!$E:$E,"G")*(7/SUMPRODUCT(MAX((CriteriTecnici!$C$5:$C$2484=$C26)*(CriteriTecnici!$E$5:$E$2484="G")*(CriteriTecnici!$T$5:$T$2484="SI")*IFERROR(CriteriTecnici!$O$5:$O$2484*1,0))))),0),4),0),IFERROR($N26*1,0)),0))</f>
        <v/>
      </c>
      <c r="F26" s="56">
        <f>IF(Compila!$A36="","",Compila!$E36)</f>
        <v/>
      </c>
      <c r="G26" s="57">
        <f>IF($A26="","",IF(IFERROR(VALUE($D26),0)&lt;&gt;1,"NO",IF(IFERROR(VALUE($O26),0)&gt;=Parametri!$B$2,"SI","NO")))</f>
        <v/>
      </c>
      <c r="H26" s="57">
        <f>IF($G26="SI",SUMPRODUCT(MAX(($C$2:$C$81=$C26)*(IFERROR($D$2:$D$81*1,0)=1)*(IFERROR($O$2:$O$81*1,0)&gt;=Parametri!$B$2)*IFERROR($F$2:$F$81*1,0))),0)</f>
        <v/>
      </c>
      <c r="I26" s="57">
        <f>IF($G26="SI",IF($H26&gt;0,30*(IFERROR($F26*1,0)/$H26),0),0)</f>
        <v/>
      </c>
      <c r="J26" s="57">
        <f>IF($A26="",0,IF($G26="SI",ROUND(IFERROR($E26*1,0)+$I26,4),ROUND(IFERROR($E26*1,0),4)))</f>
        <v/>
      </c>
      <c r="K26" s="57">
        <f>IF($A26="","",IF(IFERROR(VALUE($D26),0)&lt;&gt;1,"Non attiva",IF(IFERROR(VALUE($O26),0)&lt;Parametri!$B$2,"Sotto soglia","")))</f>
        <v/>
      </c>
      <c r="L26" s="57">
        <f>IF($A26="","",$A26&amp;"|"&amp;$C26)</f>
        <v/>
      </c>
      <c r="M26" s="57">
        <f>IF($A26="","",$C26&amp;"|"&amp;TEXT($J26,"0.0000"))</f>
        <v/>
      </c>
      <c r="N26" s="57" t="n"/>
      <c r="O26" s="57">
        <f>IF($A26="",0,IFERROR(IF(SUMIFS(CriteriTecnici!$O:$O,CriteriTecnici!$Q:$Q,$A26&amp;"|"&amp;$C26)&gt;0,SUMIFS(CriteriTecnici!$O:$O,CriteriTecnici!$Q:$Q,$A26&amp;"|"&amp;$C26,CriteriTecnici!$F:$F,"Q")+SUMIFS(CriteriTecnici!$O:$O,CriteriTecnici!$Q:$Q,$A26&amp;"|"&amp;$C26,CriteriTecnici!$F:$F,"T"),IFERROR($N26*1,0)),0))</f>
        <v/>
      </c>
      <c r="P26" s="57">
        <f>IF($A26="","",IF(SUMIFS(CriteriTecnici!$O:$O,CriteriTecnici!$Q:$Q,$A26&amp;"|"&amp;$C26)&gt;0,"Criteri A-G","Aggregato"))</f>
        <v/>
      </c>
    </row>
    <row r="27">
      <c r="A27" s="56">
        <f>IF(Compila!$A37="","",Compila!$A37)</f>
        <v/>
      </c>
      <c r="B27" s="56">
        <f>IF(Compila!$A37="","",Compila!$B37)</f>
        <v/>
      </c>
      <c r="C27" s="56">
        <f>IF(Compila!$A37="","",Compila!$C37)</f>
        <v/>
      </c>
      <c r="D27" s="56">
        <f>IF(Compila!$A37="","",Compila!$D37)</f>
        <v/>
      </c>
      <c r="E27" s="57">
        <f>IF($A27="",0,IFERROR(IF(SUMIFS(CriteriTecnici!$O:$O,CriteriTecnici!$Q:$Q,$A27&amp;"|"&amp;$C27)&gt;0,IF($G27="SI",ROUND(IF(SUMPRODUCT(MAX((CriteriTecnici!$C$5:$C$2484=$C27)*(CriteriTecnici!$E$5:$E$2484="A")*(CriteriTecnici!$T$5:$T$2484="SI")*IFERROR(CriteriTecnici!$O$5:$O$2484*1,0)))&gt;0,MIN(7,SUMIFS(CriteriTecnici!$O:$O,CriteriTecnici!$Q:$Q,$A27&amp;"|"&amp;$C27,CriteriTecnici!$E:$E,"A")*(7/SUMPRODUCT(MAX((CriteriTecnici!$C$5:$C$2484=$C27)*(CriteriTecnici!$E$5:$E$2484="A")*(CriteriTecnici!$T$5:$T$2484="SI")*IFERROR(CriteriTecnici!$O$5:$O$2484*1,0))))),0)+IF(SUMPRODUCT(MAX((CriteriTecnici!$C$5:$C$2484=$C27)*(CriteriTecnici!$E$5:$E$2484="B")*(CriteriTecnici!$T$5:$T$2484="SI")*IFERROR(CriteriTecnici!$O$5:$O$2484*1,0)))&gt;0,MIN(14,SUMIFS(CriteriTecnici!$O:$O,CriteriTecnici!$Q:$Q,$A27&amp;"|"&amp;$C27,CriteriTecnici!$E:$E,"B")*(14/SUMPRODUCT(MAX((CriteriTecnici!$C$5:$C$2484=$C27)*(CriteriTecnici!$E$5:$E$2484="B")*(CriteriTecnici!$T$5:$T$2484="SI")*IFERROR(CriteriTecnici!$O$5:$O$2484*1,0))))),0)+IF(SUMPRODUCT(MAX((CriteriTecnici!$C$5:$C$2484=$C27)*(CriteriTecnici!$E$5:$E$2484="C")*(CriteriTecnici!$T$5:$T$2484="SI")*IFERROR(CriteriTecnici!$O$5:$O$2484*1,0)))&gt;0,MIN(14,SUMIFS(CriteriTecnici!$O:$O,CriteriTecnici!$Q:$Q,$A27&amp;"|"&amp;$C27,CriteriTecnici!$E:$E,"C")*(14/SUMPRODUCT(MAX((CriteriTecnici!$C$5:$C$2484=$C27)*(CriteriTecnici!$E$5:$E$2484="C")*(CriteriTecnici!$T$5:$T$2484="SI")*IFERROR(CriteriTecnici!$O$5:$O$2484*1,0))))),0)+IF(SUMPRODUCT(MAX((CriteriTecnici!$C$5:$C$2484=$C27)*(CriteriTecnici!$E$5:$E$2484="D")*(CriteriTecnici!$T$5:$T$2484="SI")*IFERROR(CriteriTecnici!$O$5:$O$2484*1,0)))&gt;0,MIN(10,SUMIFS(CriteriTecnici!$O:$O,CriteriTecnici!$Q:$Q,$A27&amp;"|"&amp;$C27,CriteriTecnici!$E:$E,"D")*(10/SUMPRODUCT(MAX((CriteriTecnici!$C$5:$C$2484=$C27)*(CriteriTecnici!$E$5:$E$2484="D")*(CriteriTecnici!$T$5:$T$2484="SI")*IFERROR(CriteriTecnici!$O$5:$O$2484*1,0))))),0)+IF(SUMPRODUCT(MAX((CriteriTecnici!$C$5:$C$2484=$C27)*(CriteriTecnici!$E$5:$E$2484="E")*(CriteriTecnici!$T$5:$T$2484="SI")*IFERROR(CriteriTecnici!$O$5:$O$2484*1,0)))&gt;0,MIN(4,SUMIFS(CriteriTecnici!$O:$O,CriteriTecnici!$Q:$Q,$A27&amp;"|"&amp;$C27,CriteriTecnici!$E:$E,"E")*(4/SUMPRODUCT(MAX((CriteriTecnici!$C$5:$C$2484=$C27)*(CriteriTecnici!$E$5:$E$2484="E")*(CriteriTecnici!$T$5:$T$2484="SI")*IFERROR(CriteriTecnici!$O$5:$O$2484*1,0))))),0)+IF(SUMPRODUCT(MAX((CriteriTecnici!$C$5:$C$2484=$C27)*(CriteriTecnici!$E$5:$E$2484="F")*(CriteriTecnici!$T$5:$T$2484="SI")*IFERROR(CriteriTecnici!$O$5:$O$2484*1,0)))&gt;0,MIN(14,SUMIFS(CriteriTecnici!$O:$O,CriteriTecnici!$Q:$Q,$A27&amp;"|"&amp;$C27,CriteriTecnici!$E:$E,"F")*(14/SUMPRODUCT(MAX((CriteriTecnici!$C$5:$C$2484=$C27)*(CriteriTecnici!$E$5:$E$2484="F")*(CriteriTecnici!$T$5:$T$2484="SI")*IFERROR(CriteriTecnici!$O$5:$O$2484*1,0))))),0)+IF(SUMPRODUCT(MAX((CriteriTecnici!$C$5:$C$2484=$C27)*(CriteriTecnici!$E$5:$E$2484="G")*(CriteriTecnici!$T$5:$T$2484="SI")*IFERROR(CriteriTecnici!$O$5:$O$2484*1,0)))&gt;0,MIN(7,SUMIFS(CriteriTecnici!$O:$O,CriteriTecnici!$Q:$Q,$A27&amp;"|"&amp;$C27,CriteriTecnici!$E:$E,"G")*(7/SUMPRODUCT(MAX((CriteriTecnici!$C$5:$C$2484=$C27)*(CriteriTecnici!$E$5:$E$2484="G")*(CriteriTecnici!$T$5:$T$2484="SI")*IFERROR(CriteriTecnici!$O$5:$O$2484*1,0))))),0),4),0),IFERROR($N27*1,0)),0))</f>
        <v/>
      </c>
      <c r="F27" s="56">
        <f>IF(Compila!$A37="","",Compila!$E37)</f>
        <v/>
      </c>
      <c r="G27" s="57">
        <f>IF($A27="","",IF(IFERROR(VALUE($D27),0)&lt;&gt;1,"NO",IF(IFERROR(VALUE($O27),0)&gt;=Parametri!$B$2,"SI","NO")))</f>
        <v/>
      </c>
      <c r="H27" s="57">
        <f>IF($G27="SI",SUMPRODUCT(MAX(($C$2:$C$81=$C27)*(IFERROR($D$2:$D$81*1,0)=1)*(IFERROR($O$2:$O$81*1,0)&gt;=Parametri!$B$2)*IFERROR($F$2:$F$81*1,0))),0)</f>
        <v/>
      </c>
      <c r="I27" s="57">
        <f>IF($G27="SI",IF($H27&gt;0,30*(IFERROR($F27*1,0)/$H27),0),0)</f>
        <v/>
      </c>
      <c r="J27" s="57">
        <f>IF($A27="",0,IF($G27="SI",ROUND(IFERROR($E27*1,0)+$I27,4),ROUND(IFERROR($E27*1,0),4)))</f>
        <v/>
      </c>
      <c r="K27" s="57">
        <f>IF($A27="","",IF(IFERROR(VALUE($D27),0)&lt;&gt;1,"Non attiva",IF(IFERROR(VALUE($O27),0)&lt;Parametri!$B$2,"Sotto soglia","")))</f>
        <v/>
      </c>
      <c r="L27" s="57">
        <f>IF($A27="","",$A27&amp;"|"&amp;$C27)</f>
        <v/>
      </c>
      <c r="M27" s="57">
        <f>IF($A27="","",$C27&amp;"|"&amp;TEXT($J27,"0.0000"))</f>
        <v/>
      </c>
      <c r="N27" s="57" t="n"/>
      <c r="O27" s="57">
        <f>IF($A27="",0,IFERROR(IF(SUMIFS(CriteriTecnici!$O:$O,CriteriTecnici!$Q:$Q,$A27&amp;"|"&amp;$C27)&gt;0,SUMIFS(CriteriTecnici!$O:$O,CriteriTecnici!$Q:$Q,$A27&amp;"|"&amp;$C27,CriteriTecnici!$F:$F,"Q")+SUMIFS(CriteriTecnici!$O:$O,CriteriTecnici!$Q:$Q,$A27&amp;"|"&amp;$C27,CriteriTecnici!$F:$F,"T"),IFERROR($N27*1,0)),0))</f>
        <v/>
      </c>
      <c r="P27" s="57">
        <f>IF($A27="","",IF(SUMIFS(CriteriTecnici!$O:$O,CriteriTecnici!$Q:$Q,$A27&amp;"|"&amp;$C27)&gt;0,"Criteri A-G","Aggregato"))</f>
        <v/>
      </c>
    </row>
    <row r="28">
      <c r="A28" s="56">
        <f>IF(Compila!$A38="","",Compila!$A38)</f>
        <v/>
      </c>
      <c r="B28" s="56">
        <f>IF(Compila!$A38="","",Compila!$B38)</f>
        <v/>
      </c>
      <c r="C28" s="56">
        <f>IF(Compila!$A38="","",Compila!$C38)</f>
        <v/>
      </c>
      <c r="D28" s="56">
        <f>IF(Compila!$A38="","",Compila!$D38)</f>
        <v/>
      </c>
      <c r="E28" s="57">
        <f>IF($A28="",0,IFERROR(IF(SUMIFS(CriteriTecnici!$O:$O,CriteriTecnici!$Q:$Q,$A28&amp;"|"&amp;$C28)&gt;0,IF($G28="SI",ROUND(IF(SUMPRODUCT(MAX((CriteriTecnici!$C$5:$C$2484=$C28)*(CriteriTecnici!$E$5:$E$2484="A")*(CriteriTecnici!$T$5:$T$2484="SI")*IFERROR(CriteriTecnici!$O$5:$O$2484*1,0)))&gt;0,MIN(7,SUMIFS(CriteriTecnici!$O:$O,CriteriTecnici!$Q:$Q,$A28&amp;"|"&amp;$C28,CriteriTecnici!$E:$E,"A")*(7/SUMPRODUCT(MAX((CriteriTecnici!$C$5:$C$2484=$C28)*(CriteriTecnici!$E$5:$E$2484="A")*(CriteriTecnici!$T$5:$T$2484="SI")*IFERROR(CriteriTecnici!$O$5:$O$2484*1,0))))),0)+IF(SUMPRODUCT(MAX((CriteriTecnici!$C$5:$C$2484=$C28)*(CriteriTecnici!$E$5:$E$2484="B")*(CriteriTecnici!$T$5:$T$2484="SI")*IFERROR(CriteriTecnici!$O$5:$O$2484*1,0)))&gt;0,MIN(14,SUMIFS(CriteriTecnici!$O:$O,CriteriTecnici!$Q:$Q,$A28&amp;"|"&amp;$C28,CriteriTecnici!$E:$E,"B")*(14/SUMPRODUCT(MAX((CriteriTecnici!$C$5:$C$2484=$C28)*(CriteriTecnici!$E$5:$E$2484="B")*(CriteriTecnici!$T$5:$T$2484="SI")*IFERROR(CriteriTecnici!$O$5:$O$2484*1,0))))),0)+IF(SUMPRODUCT(MAX((CriteriTecnici!$C$5:$C$2484=$C28)*(CriteriTecnici!$E$5:$E$2484="C")*(CriteriTecnici!$T$5:$T$2484="SI")*IFERROR(CriteriTecnici!$O$5:$O$2484*1,0)))&gt;0,MIN(14,SUMIFS(CriteriTecnici!$O:$O,CriteriTecnici!$Q:$Q,$A28&amp;"|"&amp;$C28,CriteriTecnici!$E:$E,"C")*(14/SUMPRODUCT(MAX((CriteriTecnici!$C$5:$C$2484=$C28)*(CriteriTecnici!$E$5:$E$2484="C")*(CriteriTecnici!$T$5:$T$2484="SI")*IFERROR(CriteriTecnici!$O$5:$O$2484*1,0))))),0)+IF(SUMPRODUCT(MAX((CriteriTecnici!$C$5:$C$2484=$C28)*(CriteriTecnici!$E$5:$E$2484="D")*(CriteriTecnici!$T$5:$T$2484="SI")*IFERROR(CriteriTecnici!$O$5:$O$2484*1,0)))&gt;0,MIN(10,SUMIFS(CriteriTecnici!$O:$O,CriteriTecnici!$Q:$Q,$A28&amp;"|"&amp;$C28,CriteriTecnici!$E:$E,"D")*(10/SUMPRODUCT(MAX((CriteriTecnici!$C$5:$C$2484=$C28)*(CriteriTecnici!$E$5:$E$2484="D")*(CriteriTecnici!$T$5:$T$2484="SI")*IFERROR(CriteriTecnici!$O$5:$O$2484*1,0))))),0)+IF(SUMPRODUCT(MAX((CriteriTecnici!$C$5:$C$2484=$C28)*(CriteriTecnici!$E$5:$E$2484="E")*(CriteriTecnici!$T$5:$T$2484="SI")*IFERROR(CriteriTecnici!$O$5:$O$2484*1,0)))&gt;0,MIN(4,SUMIFS(CriteriTecnici!$O:$O,CriteriTecnici!$Q:$Q,$A28&amp;"|"&amp;$C28,CriteriTecnici!$E:$E,"E")*(4/SUMPRODUCT(MAX((CriteriTecnici!$C$5:$C$2484=$C28)*(CriteriTecnici!$E$5:$E$2484="E")*(CriteriTecnici!$T$5:$T$2484="SI")*IFERROR(CriteriTecnici!$O$5:$O$2484*1,0))))),0)+IF(SUMPRODUCT(MAX((CriteriTecnici!$C$5:$C$2484=$C28)*(CriteriTecnici!$E$5:$E$2484="F")*(CriteriTecnici!$T$5:$T$2484="SI")*IFERROR(CriteriTecnici!$O$5:$O$2484*1,0)))&gt;0,MIN(14,SUMIFS(CriteriTecnici!$O:$O,CriteriTecnici!$Q:$Q,$A28&amp;"|"&amp;$C28,CriteriTecnici!$E:$E,"F")*(14/SUMPRODUCT(MAX((CriteriTecnici!$C$5:$C$2484=$C28)*(CriteriTecnici!$E$5:$E$2484="F")*(CriteriTecnici!$T$5:$T$2484="SI")*IFERROR(CriteriTecnici!$O$5:$O$2484*1,0))))),0)+IF(SUMPRODUCT(MAX((CriteriTecnici!$C$5:$C$2484=$C28)*(CriteriTecnici!$E$5:$E$2484="G")*(CriteriTecnici!$T$5:$T$2484="SI")*IFERROR(CriteriTecnici!$O$5:$O$2484*1,0)))&gt;0,MIN(7,SUMIFS(CriteriTecnici!$O:$O,CriteriTecnici!$Q:$Q,$A28&amp;"|"&amp;$C28,CriteriTecnici!$E:$E,"G")*(7/SUMPRODUCT(MAX((CriteriTecnici!$C$5:$C$2484=$C28)*(CriteriTecnici!$E$5:$E$2484="G")*(CriteriTecnici!$T$5:$T$2484="SI")*IFERROR(CriteriTecnici!$O$5:$O$2484*1,0))))),0),4),0),IFERROR($N28*1,0)),0))</f>
        <v/>
      </c>
      <c r="F28" s="56">
        <f>IF(Compila!$A38="","",Compila!$E38)</f>
        <v/>
      </c>
      <c r="G28" s="57">
        <f>IF($A28="","",IF(IFERROR(VALUE($D28),0)&lt;&gt;1,"NO",IF(IFERROR(VALUE($O28),0)&gt;=Parametri!$B$2,"SI","NO")))</f>
        <v/>
      </c>
      <c r="H28" s="57">
        <f>IF($G28="SI",SUMPRODUCT(MAX(($C$2:$C$81=$C28)*(IFERROR($D$2:$D$81*1,0)=1)*(IFERROR($O$2:$O$81*1,0)&gt;=Parametri!$B$2)*IFERROR($F$2:$F$81*1,0))),0)</f>
        <v/>
      </c>
      <c r="I28" s="57">
        <f>IF($G28="SI",IF($H28&gt;0,30*(IFERROR($F28*1,0)/$H28),0),0)</f>
        <v/>
      </c>
      <c r="J28" s="57">
        <f>IF($A28="",0,IF($G28="SI",ROUND(IFERROR($E28*1,0)+$I28,4),ROUND(IFERROR($E28*1,0),4)))</f>
        <v/>
      </c>
      <c r="K28" s="57">
        <f>IF($A28="","",IF(IFERROR(VALUE($D28),0)&lt;&gt;1,"Non attiva",IF(IFERROR(VALUE($O28),0)&lt;Parametri!$B$2,"Sotto soglia","")))</f>
        <v/>
      </c>
      <c r="L28" s="57">
        <f>IF($A28="","",$A28&amp;"|"&amp;$C28)</f>
        <v/>
      </c>
      <c r="M28" s="57">
        <f>IF($A28="","",$C28&amp;"|"&amp;TEXT($J28,"0.0000"))</f>
        <v/>
      </c>
      <c r="N28" s="57" t="n"/>
      <c r="O28" s="57">
        <f>IF($A28="",0,IFERROR(IF(SUMIFS(CriteriTecnici!$O:$O,CriteriTecnici!$Q:$Q,$A28&amp;"|"&amp;$C28)&gt;0,SUMIFS(CriteriTecnici!$O:$O,CriteriTecnici!$Q:$Q,$A28&amp;"|"&amp;$C28,CriteriTecnici!$F:$F,"Q")+SUMIFS(CriteriTecnici!$O:$O,CriteriTecnici!$Q:$Q,$A28&amp;"|"&amp;$C28,CriteriTecnici!$F:$F,"T"),IFERROR($N28*1,0)),0))</f>
        <v/>
      </c>
      <c r="P28" s="57">
        <f>IF($A28="","",IF(SUMIFS(CriteriTecnici!$O:$O,CriteriTecnici!$Q:$Q,$A28&amp;"|"&amp;$C28)&gt;0,"Criteri A-G","Aggregato"))</f>
        <v/>
      </c>
    </row>
    <row r="29">
      <c r="A29" s="56">
        <f>IF(Compila!$A39="","",Compila!$A39)</f>
        <v/>
      </c>
      <c r="B29" s="56">
        <f>IF(Compila!$A39="","",Compila!$B39)</f>
        <v/>
      </c>
      <c r="C29" s="56">
        <f>IF(Compila!$A39="","",Compila!$C39)</f>
        <v/>
      </c>
      <c r="D29" s="56">
        <f>IF(Compila!$A39="","",Compila!$D39)</f>
        <v/>
      </c>
      <c r="E29" s="57">
        <f>IF($A29="",0,IFERROR(IF(SUMIFS(CriteriTecnici!$O:$O,CriteriTecnici!$Q:$Q,$A29&amp;"|"&amp;$C29)&gt;0,IF($G29="SI",ROUND(IF(SUMPRODUCT(MAX((CriteriTecnici!$C$5:$C$2484=$C29)*(CriteriTecnici!$E$5:$E$2484="A")*(CriteriTecnici!$T$5:$T$2484="SI")*IFERROR(CriteriTecnici!$O$5:$O$2484*1,0)))&gt;0,MIN(7,SUMIFS(CriteriTecnici!$O:$O,CriteriTecnici!$Q:$Q,$A29&amp;"|"&amp;$C29,CriteriTecnici!$E:$E,"A")*(7/SUMPRODUCT(MAX((CriteriTecnici!$C$5:$C$2484=$C29)*(CriteriTecnici!$E$5:$E$2484="A")*(CriteriTecnici!$T$5:$T$2484="SI")*IFERROR(CriteriTecnici!$O$5:$O$2484*1,0))))),0)+IF(SUMPRODUCT(MAX((CriteriTecnici!$C$5:$C$2484=$C29)*(CriteriTecnici!$E$5:$E$2484="B")*(CriteriTecnici!$T$5:$T$2484="SI")*IFERROR(CriteriTecnici!$O$5:$O$2484*1,0)))&gt;0,MIN(14,SUMIFS(CriteriTecnici!$O:$O,CriteriTecnici!$Q:$Q,$A29&amp;"|"&amp;$C29,CriteriTecnici!$E:$E,"B")*(14/SUMPRODUCT(MAX((CriteriTecnici!$C$5:$C$2484=$C29)*(CriteriTecnici!$E$5:$E$2484="B")*(CriteriTecnici!$T$5:$T$2484="SI")*IFERROR(CriteriTecnici!$O$5:$O$2484*1,0))))),0)+IF(SUMPRODUCT(MAX((CriteriTecnici!$C$5:$C$2484=$C29)*(CriteriTecnici!$E$5:$E$2484="C")*(CriteriTecnici!$T$5:$T$2484="SI")*IFERROR(CriteriTecnici!$O$5:$O$2484*1,0)))&gt;0,MIN(14,SUMIFS(CriteriTecnici!$O:$O,CriteriTecnici!$Q:$Q,$A29&amp;"|"&amp;$C29,CriteriTecnici!$E:$E,"C")*(14/SUMPRODUCT(MAX((CriteriTecnici!$C$5:$C$2484=$C29)*(CriteriTecnici!$E$5:$E$2484="C")*(CriteriTecnici!$T$5:$T$2484="SI")*IFERROR(CriteriTecnici!$O$5:$O$2484*1,0))))),0)+IF(SUMPRODUCT(MAX((CriteriTecnici!$C$5:$C$2484=$C29)*(CriteriTecnici!$E$5:$E$2484="D")*(CriteriTecnici!$T$5:$T$2484="SI")*IFERROR(CriteriTecnici!$O$5:$O$2484*1,0)))&gt;0,MIN(10,SUMIFS(CriteriTecnici!$O:$O,CriteriTecnici!$Q:$Q,$A29&amp;"|"&amp;$C29,CriteriTecnici!$E:$E,"D")*(10/SUMPRODUCT(MAX((CriteriTecnici!$C$5:$C$2484=$C29)*(CriteriTecnici!$E$5:$E$2484="D")*(CriteriTecnici!$T$5:$T$2484="SI")*IFERROR(CriteriTecnici!$O$5:$O$2484*1,0))))),0)+IF(SUMPRODUCT(MAX((CriteriTecnici!$C$5:$C$2484=$C29)*(CriteriTecnici!$E$5:$E$2484="E")*(CriteriTecnici!$T$5:$T$2484="SI")*IFERROR(CriteriTecnici!$O$5:$O$2484*1,0)))&gt;0,MIN(4,SUMIFS(CriteriTecnici!$O:$O,CriteriTecnici!$Q:$Q,$A29&amp;"|"&amp;$C29,CriteriTecnici!$E:$E,"E")*(4/SUMPRODUCT(MAX((CriteriTecnici!$C$5:$C$2484=$C29)*(CriteriTecnici!$E$5:$E$2484="E")*(CriteriTecnici!$T$5:$T$2484="SI")*IFERROR(CriteriTecnici!$O$5:$O$2484*1,0))))),0)+IF(SUMPRODUCT(MAX((CriteriTecnici!$C$5:$C$2484=$C29)*(CriteriTecnici!$E$5:$E$2484="F")*(CriteriTecnici!$T$5:$T$2484="SI")*IFERROR(CriteriTecnici!$O$5:$O$2484*1,0)))&gt;0,MIN(14,SUMIFS(CriteriTecnici!$O:$O,CriteriTecnici!$Q:$Q,$A29&amp;"|"&amp;$C29,CriteriTecnici!$E:$E,"F")*(14/SUMPRODUCT(MAX((CriteriTecnici!$C$5:$C$2484=$C29)*(CriteriTecnici!$E$5:$E$2484="F")*(CriteriTecnici!$T$5:$T$2484="SI")*IFERROR(CriteriTecnici!$O$5:$O$2484*1,0))))),0)+IF(SUMPRODUCT(MAX((CriteriTecnici!$C$5:$C$2484=$C29)*(CriteriTecnici!$E$5:$E$2484="G")*(CriteriTecnici!$T$5:$T$2484="SI")*IFERROR(CriteriTecnici!$O$5:$O$2484*1,0)))&gt;0,MIN(7,SUMIFS(CriteriTecnici!$O:$O,CriteriTecnici!$Q:$Q,$A29&amp;"|"&amp;$C29,CriteriTecnici!$E:$E,"G")*(7/SUMPRODUCT(MAX((CriteriTecnici!$C$5:$C$2484=$C29)*(CriteriTecnici!$E$5:$E$2484="G")*(CriteriTecnici!$T$5:$T$2484="SI")*IFERROR(CriteriTecnici!$O$5:$O$2484*1,0))))),0),4),0),IFERROR($N29*1,0)),0))</f>
        <v/>
      </c>
      <c r="F29" s="56">
        <f>IF(Compila!$A39="","",Compila!$E39)</f>
        <v/>
      </c>
      <c r="G29" s="57">
        <f>IF($A29="","",IF(IFERROR(VALUE($D29),0)&lt;&gt;1,"NO",IF(IFERROR(VALUE($O29),0)&gt;=Parametri!$B$2,"SI","NO")))</f>
        <v/>
      </c>
      <c r="H29" s="57">
        <f>IF($G29="SI",SUMPRODUCT(MAX(($C$2:$C$81=$C29)*(IFERROR($D$2:$D$81*1,0)=1)*(IFERROR($O$2:$O$81*1,0)&gt;=Parametri!$B$2)*IFERROR($F$2:$F$81*1,0))),0)</f>
        <v/>
      </c>
      <c r="I29" s="57">
        <f>IF($G29="SI",IF($H29&gt;0,30*(IFERROR($F29*1,0)/$H29),0),0)</f>
        <v/>
      </c>
      <c r="J29" s="57">
        <f>IF($A29="",0,IF($G29="SI",ROUND(IFERROR($E29*1,0)+$I29,4),ROUND(IFERROR($E29*1,0),4)))</f>
        <v/>
      </c>
      <c r="K29" s="57">
        <f>IF($A29="","",IF(IFERROR(VALUE($D29),0)&lt;&gt;1,"Non attiva",IF(IFERROR(VALUE($O29),0)&lt;Parametri!$B$2,"Sotto soglia","")))</f>
        <v/>
      </c>
      <c r="L29" s="57">
        <f>IF($A29="","",$A29&amp;"|"&amp;$C29)</f>
        <v/>
      </c>
      <c r="M29" s="57">
        <f>IF($A29="","",$C29&amp;"|"&amp;TEXT($J29,"0.0000"))</f>
        <v/>
      </c>
      <c r="N29" s="57" t="n"/>
      <c r="O29" s="57">
        <f>IF($A29="",0,IFERROR(IF(SUMIFS(CriteriTecnici!$O:$O,CriteriTecnici!$Q:$Q,$A29&amp;"|"&amp;$C29)&gt;0,SUMIFS(CriteriTecnici!$O:$O,CriteriTecnici!$Q:$Q,$A29&amp;"|"&amp;$C29,CriteriTecnici!$F:$F,"Q")+SUMIFS(CriteriTecnici!$O:$O,CriteriTecnici!$Q:$Q,$A29&amp;"|"&amp;$C29,CriteriTecnici!$F:$F,"T"),IFERROR($N29*1,0)),0))</f>
        <v/>
      </c>
      <c r="P29" s="57">
        <f>IF($A29="","",IF(SUMIFS(CriteriTecnici!$O:$O,CriteriTecnici!$Q:$Q,$A29&amp;"|"&amp;$C29)&gt;0,"Criteri A-G","Aggregato"))</f>
        <v/>
      </c>
    </row>
    <row r="30">
      <c r="A30" s="56">
        <f>IF(Compila!$A40="","",Compila!$A40)</f>
        <v/>
      </c>
      <c r="B30" s="56">
        <f>IF(Compila!$A40="","",Compila!$B40)</f>
        <v/>
      </c>
      <c r="C30" s="56">
        <f>IF(Compila!$A40="","",Compila!$C40)</f>
        <v/>
      </c>
      <c r="D30" s="56">
        <f>IF(Compila!$A40="","",Compila!$D40)</f>
        <v/>
      </c>
      <c r="E30" s="57">
        <f>IF($A30="",0,IFERROR(IF(SUMIFS(CriteriTecnici!$O:$O,CriteriTecnici!$Q:$Q,$A30&amp;"|"&amp;$C30)&gt;0,IF($G30="SI",ROUND(IF(SUMPRODUCT(MAX((CriteriTecnici!$C$5:$C$2484=$C30)*(CriteriTecnici!$E$5:$E$2484="A")*(CriteriTecnici!$T$5:$T$2484="SI")*IFERROR(CriteriTecnici!$O$5:$O$2484*1,0)))&gt;0,MIN(7,SUMIFS(CriteriTecnici!$O:$O,CriteriTecnici!$Q:$Q,$A30&amp;"|"&amp;$C30,CriteriTecnici!$E:$E,"A")*(7/SUMPRODUCT(MAX((CriteriTecnici!$C$5:$C$2484=$C30)*(CriteriTecnici!$E$5:$E$2484="A")*(CriteriTecnici!$T$5:$T$2484="SI")*IFERROR(CriteriTecnici!$O$5:$O$2484*1,0))))),0)+IF(SUMPRODUCT(MAX((CriteriTecnici!$C$5:$C$2484=$C30)*(CriteriTecnici!$E$5:$E$2484="B")*(CriteriTecnici!$T$5:$T$2484="SI")*IFERROR(CriteriTecnici!$O$5:$O$2484*1,0)))&gt;0,MIN(14,SUMIFS(CriteriTecnici!$O:$O,CriteriTecnici!$Q:$Q,$A30&amp;"|"&amp;$C30,CriteriTecnici!$E:$E,"B")*(14/SUMPRODUCT(MAX((CriteriTecnici!$C$5:$C$2484=$C30)*(CriteriTecnici!$E$5:$E$2484="B")*(CriteriTecnici!$T$5:$T$2484="SI")*IFERROR(CriteriTecnici!$O$5:$O$2484*1,0))))),0)+IF(SUMPRODUCT(MAX((CriteriTecnici!$C$5:$C$2484=$C30)*(CriteriTecnici!$E$5:$E$2484="C")*(CriteriTecnici!$T$5:$T$2484="SI")*IFERROR(CriteriTecnici!$O$5:$O$2484*1,0)))&gt;0,MIN(14,SUMIFS(CriteriTecnici!$O:$O,CriteriTecnici!$Q:$Q,$A30&amp;"|"&amp;$C30,CriteriTecnici!$E:$E,"C")*(14/SUMPRODUCT(MAX((CriteriTecnici!$C$5:$C$2484=$C30)*(CriteriTecnici!$E$5:$E$2484="C")*(CriteriTecnici!$T$5:$T$2484="SI")*IFERROR(CriteriTecnici!$O$5:$O$2484*1,0))))),0)+IF(SUMPRODUCT(MAX((CriteriTecnici!$C$5:$C$2484=$C30)*(CriteriTecnici!$E$5:$E$2484="D")*(CriteriTecnici!$T$5:$T$2484="SI")*IFERROR(CriteriTecnici!$O$5:$O$2484*1,0)))&gt;0,MIN(10,SUMIFS(CriteriTecnici!$O:$O,CriteriTecnici!$Q:$Q,$A30&amp;"|"&amp;$C30,CriteriTecnici!$E:$E,"D")*(10/SUMPRODUCT(MAX((CriteriTecnici!$C$5:$C$2484=$C30)*(CriteriTecnici!$E$5:$E$2484="D")*(CriteriTecnici!$T$5:$T$2484="SI")*IFERROR(CriteriTecnici!$O$5:$O$2484*1,0))))),0)+IF(SUMPRODUCT(MAX((CriteriTecnici!$C$5:$C$2484=$C30)*(CriteriTecnici!$E$5:$E$2484="E")*(CriteriTecnici!$T$5:$T$2484="SI")*IFERROR(CriteriTecnici!$O$5:$O$2484*1,0)))&gt;0,MIN(4,SUMIFS(CriteriTecnici!$O:$O,CriteriTecnici!$Q:$Q,$A30&amp;"|"&amp;$C30,CriteriTecnici!$E:$E,"E")*(4/SUMPRODUCT(MAX((CriteriTecnici!$C$5:$C$2484=$C30)*(CriteriTecnici!$E$5:$E$2484="E")*(CriteriTecnici!$T$5:$T$2484="SI")*IFERROR(CriteriTecnici!$O$5:$O$2484*1,0))))),0)+IF(SUMPRODUCT(MAX((CriteriTecnici!$C$5:$C$2484=$C30)*(CriteriTecnici!$E$5:$E$2484="F")*(CriteriTecnici!$T$5:$T$2484="SI")*IFERROR(CriteriTecnici!$O$5:$O$2484*1,0)))&gt;0,MIN(14,SUMIFS(CriteriTecnici!$O:$O,CriteriTecnici!$Q:$Q,$A30&amp;"|"&amp;$C30,CriteriTecnici!$E:$E,"F")*(14/SUMPRODUCT(MAX((CriteriTecnici!$C$5:$C$2484=$C30)*(CriteriTecnici!$E$5:$E$2484="F")*(CriteriTecnici!$T$5:$T$2484="SI")*IFERROR(CriteriTecnici!$O$5:$O$2484*1,0))))),0)+IF(SUMPRODUCT(MAX((CriteriTecnici!$C$5:$C$2484=$C30)*(CriteriTecnici!$E$5:$E$2484="G")*(CriteriTecnici!$T$5:$T$2484="SI")*IFERROR(CriteriTecnici!$O$5:$O$2484*1,0)))&gt;0,MIN(7,SUMIFS(CriteriTecnici!$O:$O,CriteriTecnici!$Q:$Q,$A30&amp;"|"&amp;$C30,CriteriTecnici!$E:$E,"G")*(7/SUMPRODUCT(MAX((CriteriTecnici!$C$5:$C$2484=$C30)*(CriteriTecnici!$E$5:$E$2484="G")*(CriteriTecnici!$T$5:$T$2484="SI")*IFERROR(CriteriTecnici!$O$5:$O$2484*1,0))))),0),4),0),IFERROR($N30*1,0)),0))</f>
        <v/>
      </c>
      <c r="F30" s="56">
        <f>IF(Compila!$A40="","",Compila!$E40)</f>
        <v/>
      </c>
      <c r="G30" s="57">
        <f>IF($A30="","",IF(IFERROR(VALUE($D30),0)&lt;&gt;1,"NO",IF(IFERROR(VALUE($O30),0)&gt;=Parametri!$B$2,"SI","NO")))</f>
        <v/>
      </c>
      <c r="H30" s="57">
        <f>IF($G30="SI",SUMPRODUCT(MAX(($C$2:$C$81=$C30)*(IFERROR($D$2:$D$81*1,0)=1)*(IFERROR($O$2:$O$81*1,0)&gt;=Parametri!$B$2)*IFERROR($F$2:$F$81*1,0))),0)</f>
        <v/>
      </c>
      <c r="I30" s="57">
        <f>IF($G30="SI",IF($H30&gt;0,30*(IFERROR($F30*1,0)/$H30),0),0)</f>
        <v/>
      </c>
      <c r="J30" s="57">
        <f>IF($A30="",0,IF($G30="SI",ROUND(IFERROR($E30*1,0)+$I30,4),ROUND(IFERROR($E30*1,0),4)))</f>
        <v/>
      </c>
      <c r="K30" s="57">
        <f>IF($A30="","",IF(IFERROR(VALUE($D30),0)&lt;&gt;1,"Non attiva",IF(IFERROR(VALUE($O30),0)&lt;Parametri!$B$2,"Sotto soglia","")))</f>
        <v/>
      </c>
      <c r="L30" s="57">
        <f>IF($A30="","",$A30&amp;"|"&amp;$C30)</f>
        <v/>
      </c>
      <c r="M30" s="57">
        <f>IF($A30="","",$C30&amp;"|"&amp;TEXT($J30,"0.0000"))</f>
        <v/>
      </c>
      <c r="N30" s="57" t="n"/>
      <c r="O30" s="57">
        <f>IF($A30="",0,IFERROR(IF(SUMIFS(CriteriTecnici!$O:$O,CriteriTecnici!$Q:$Q,$A30&amp;"|"&amp;$C30)&gt;0,SUMIFS(CriteriTecnici!$O:$O,CriteriTecnici!$Q:$Q,$A30&amp;"|"&amp;$C30,CriteriTecnici!$F:$F,"Q")+SUMIFS(CriteriTecnici!$O:$O,CriteriTecnici!$Q:$Q,$A30&amp;"|"&amp;$C30,CriteriTecnici!$F:$F,"T"),IFERROR($N30*1,0)),0))</f>
        <v/>
      </c>
      <c r="P30" s="57">
        <f>IF($A30="","",IF(SUMIFS(CriteriTecnici!$O:$O,CriteriTecnici!$Q:$Q,$A30&amp;"|"&amp;$C30)&gt;0,"Criteri A-G","Aggregato"))</f>
        <v/>
      </c>
    </row>
    <row r="31">
      <c r="A31" s="56">
        <f>IF(Compila!$A41="","",Compila!$A41)</f>
        <v/>
      </c>
      <c r="B31" s="56">
        <f>IF(Compila!$A41="","",Compila!$B41)</f>
        <v/>
      </c>
      <c r="C31" s="56">
        <f>IF(Compila!$A41="","",Compila!$C41)</f>
        <v/>
      </c>
      <c r="D31" s="56">
        <f>IF(Compila!$A41="","",Compila!$D41)</f>
        <v/>
      </c>
      <c r="E31" s="57">
        <f>IF($A31="",0,IFERROR(IF(SUMIFS(CriteriTecnici!$O:$O,CriteriTecnici!$Q:$Q,$A31&amp;"|"&amp;$C31)&gt;0,IF($G31="SI",ROUND(IF(SUMPRODUCT(MAX((CriteriTecnici!$C$5:$C$2484=$C31)*(CriteriTecnici!$E$5:$E$2484="A")*(CriteriTecnici!$T$5:$T$2484="SI")*IFERROR(CriteriTecnici!$O$5:$O$2484*1,0)))&gt;0,MIN(7,SUMIFS(CriteriTecnici!$O:$O,CriteriTecnici!$Q:$Q,$A31&amp;"|"&amp;$C31,CriteriTecnici!$E:$E,"A")*(7/SUMPRODUCT(MAX((CriteriTecnici!$C$5:$C$2484=$C31)*(CriteriTecnici!$E$5:$E$2484="A")*(CriteriTecnici!$T$5:$T$2484="SI")*IFERROR(CriteriTecnici!$O$5:$O$2484*1,0))))),0)+IF(SUMPRODUCT(MAX((CriteriTecnici!$C$5:$C$2484=$C31)*(CriteriTecnici!$E$5:$E$2484="B")*(CriteriTecnici!$T$5:$T$2484="SI")*IFERROR(CriteriTecnici!$O$5:$O$2484*1,0)))&gt;0,MIN(14,SUMIFS(CriteriTecnici!$O:$O,CriteriTecnici!$Q:$Q,$A31&amp;"|"&amp;$C31,CriteriTecnici!$E:$E,"B")*(14/SUMPRODUCT(MAX((CriteriTecnici!$C$5:$C$2484=$C31)*(CriteriTecnici!$E$5:$E$2484="B")*(CriteriTecnici!$T$5:$T$2484="SI")*IFERROR(CriteriTecnici!$O$5:$O$2484*1,0))))),0)+IF(SUMPRODUCT(MAX((CriteriTecnici!$C$5:$C$2484=$C31)*(CriteriTecnici!$E$5:$E$2484="C")*(CriteriTecnici!$T$5:$T$2484="SI")*IFERROR(CriteriTecnici!$O$5:$O$2484*1,0)))&gt;0,MIN(14,SUMIFS(CriteriTecnici!$O:$O,CriteriTecnici!$Q:$Q,$A31&amp;"|"&amp;$C31,CriteriTecnici!$E:$E,"C")*(14/SUMPRODUCT(MAX((CriteriTecnici!$C$5:$C$2484=$C31)*(CriteriTecnici!$E$5:$E$2484="C")*(CriteriTecnici!$T$5:$T$2484="SI")*IFERROR(CriteriTecnici!$O$5:$O$2484*1,0))))),0)+IF(SUMPRODUCT(MAX((CriteriTecnici!$C$5:$C$2484=$C31)*(CriteriTecnici!$E$5:$E$2484="D")*(CriteriTecnici!$T$5:$T$2484="SI")*IFERROR(CriteriTecnici!$O$5:$O$2484*1,0)))&gt;0,MIN(10,SUMIFS(CriteriTecnici!$O:$O,CriteriTecnici!$Q:$Q,$A31&amp;"|"&amp;$C31,CriteriTecnici!$E:$E,"D")*(10/SUMPRODUCT(MAX((CriteriTecnici!$C$5:$C$2484=$C31)*(CriteriTecnici!$E$5:$E$2484="D")*(CriteriTecnici!$T$5:$T$2484="SI")*IFERROR(CriteriTecnici!$O$5:$O$2484*1,0))))),0)+IF(SUMPRODUCT(MAX((CriteriTecnici!$C$5:$C$2484=$C31)*(CriteriTecnici!$E$5:$E$2484="E")*(CriteriTecnici!$T$5:$T$2484="SI")*IFERROR(CriteriTecnici!$O$5:$O$2484*1,0)))&gt;0,MIN(4,SUMIFS(CriteriTecnici!$O:$O,CriteriTecnici!$Q:$Q,$A31&amp;"|"&amp;$C31,CriteriTecnici!$E:$E,"E")*(4/SUMPRODUCT(MAX((CriteriTecnici!$C$5:$C$2484=$C31)*(CriteriTecnici!$E$5:$E$2484="E")*(CriteriTecnici!$T$5:$T$2484="SI")*IFERROR(CriteriTecnici!$O$5:$O$2484*1,0))))),0)+IF(SUMPRODUCT(MAX((CriteriTecnici!$C$5:$C$2484=$C31)*(CriteriTecnici!$E$5:$E$2484="F")*(CriteriTecnici!$T$5:$T$2484="SI")*IFERROR(CriteriTecnici!$O$5:$O$2484*1,0)))&gt;0,MIN(14,SUMIFS(CriteriTecnici!$O:$O,CriteriTecnici!$Q:$Q,$A31&amp;"|"&amp;$C31,CriteriTecnici!$E:$E,"F")*(14/SUMPRODUCT(MAX((CriteriTecnici!$C$5:$C$2484=$C31)*(CriteriTecnici!$E$5:$E$2484="F")*(CriteriTecnici!$T$5:$T$2484="SI")*IFERROR(CriteriTecnici!$O$5:$O$2484*1,0))))),0)+IF(SUMPRODUCT(MAX((CriteriTecnici!$C$5:$C$2484=$C31)*(CriteriTecnici!$E$5:$E$2484="G")*(CriteriTecnici!$T$5:$T$2484="SI")*IFERROR(CriteriTecnici!$O$5:$O$2484*1,0)))&gt;0,MIN(7,SUMIFS(CriteriTecnici!$O:$O,CriteriTecnici!$Q:$Q,$A31&amp;"|"&amp;$C31,CriteriTecnici!$E:$E,"G")*(7/SUMPRODUCT(MAX((CriteriTecnici!$C$5:$C$2484=$C31)*(CriteriTecnici!$E$5:$E$2484="G")*(CriteriTecnici!$T$5:$T$2484="SI")*IFERROR(CriteriTecnici!$O$5:$O$2484*1,0))))),0),4),0),IFERROR($N31*1,0)),0))</f>
        <v/>
      </c>
      <c r="F31" s="56">
        <f>IF(Compila!$A41="","",Compila!$E41)</f>
        <v/>
      </c>
      <c r="G31" s="57">
        <f>IF($A31="","",IF(IFERROR(VALUE($D31),0)&lt;&gt;1,"NO",IF(IFERROR(VALUE($O31),0)&gt;=Parametri!$B$2,"SI","NO")))</f>
        <v/>
      </c>
      <c r="H31" s="57">
        <f>IF($G31="SI",SUMPRODUCT(MAX(($C$2:$C$81=$C31)*(IFERROR($D$2:$D$81*1,0)=1)*(IFERROR($O$2:$O$81*1,0)&gt;=Parametri!$B$2)*IFERROR($F$2:$F$81*1,0))),0)</f>
        <v/>
      </c>
      <c r="I31" s="57">
        <f>IF($G31="SI",IF($H31&gt;0,30*(IFERROR($F31*1,0)/$H31),0),0)</f>
        <v/>
      </c>
      <c r="J31" s="57">
        <f>IF($A31="",0,IF($G31="SI",ROUND(IFERROR($E31*1,0)+$I31,4),ROUND(IFERROR($E31*1,0),4)))</f>
        <v/>
      </c>
      <c r="K31" s="57">
        <f>IF($A31="","",IF(IFERROR(VALUE($D31),0)&lt;&gt;1,"Non attiva",IF(IFERROR(VALUE($O31),0)&lt;Parametri!$B$2,"Sotto soglia","")))</f>
        <v/>
      </c>
      <c r="L31" s="57">
        <f>IF($A31="","",$A31&amp;"|"&amp;$C31)</f>
        <v/>
      </c>
      <c r="M31" s="57">
        <f>IF($A31="","",$C31&amp;"|"&amp;TEXT($J31,"0.0000"))</f>
        <v/>
      </c>
      <c r="N31" s="57" t="n"/>
      <c r="O31" s="57">
        <f>IF($A31="",0,IFERROR(IF(SUMIFS(CriteriTecnici!$O:$O,CriteriTecnici!$Q:$Q,$A31&amp;"|"&amp;$C31)&gt;0,SUMIFS(CriteriTecnici!$O:$O,CriteriTecnici!$Q:$Q,$A31&amp;"|"&amp;$C31,CriteriTecnici!$F:$F,"Q")+SUMIFS(CriteriTecnici!$O:$O,CriteriTecnici!$Q:$Q,$A31&amp;"|"&amp;$C31,CriteriTecnici!$F:$F,"T"),IFERROR($N31*1,0)),0))</f>
        <v/>
      </c>
      <c r="P31" s="57">
        <f>IF($A31="","",IF(SUMIFS(CriteriTecnici!$O:$O,CriteriTecnici!$Q:$Q,$A31&amp;"|"&amp;$C31)&gt;0,"Criteri A-G","Aggregato"))</f>
        <v/>
      </c>
    </row>
    <row r="32">
      <c r="A32" s="56">
        <f>IF(Compila!$A42="","",Compila!$A42)</f>
        <v/>
      </c>
      <c r="B32" s="56">
        <f>IF(Compila!$A42="","",Compila!$B42)</f>
        <v/>
      </c>
      <c r="C32" s="56">
        <f>IF(Compila!$A42="","",Compila!$C42)</f>
        <v/>
      </c>
      <c r="D32" s="56">
        <f>IF(Compila!$A42="","",Compila!$D42)</f>
        <v/>
      </c>
      <c r="E32" s="57">
        <f>IF($A32="",0,IFERROR(IF(SUMIFS(CriteriTecnici!$O:$O,CriteriTecnici!$Q:$Q,$A32&amp;"|"&amp;$C32)&gt;0,IF($G32="SI",ROUND(IF(SUMPRODUCT(MAX((CriteriTecnici!$C$5:$C$2484=$C32)*(CriteriTecnici!$E$5:$E$2484="A")*(CriteriTecnici!$T$5:$T$2484="SI")*IFERROR(CriteriTecnici!$O$5:$O$2484*1,0)))&gt;0,MIN(7,SUMIFS(CriteriTecnici!$O:$O,CriteriTecnici!$Q:$Q,$A32&amp;"|"&amp;$C32,CriteriTecnici!$E:$E,"A")*(7/SUMPRODUCT(MAX((CriteriTecnici!$C$5:$C$2484=$C32)*(CriteriTecnici!$E$5:$E$2484="A")*(CriteriTecnici!$T$5:$T$2484="SI")*IFERROR(CriteriTecnici!$O$5:$O$2484*1,0))))),0)+IF(SUMPRODUCT(MAX((CriteriTecnici!$C$5:$C$2484=$C32)*(CriteriTecnici!$E$5:$E$2484="B")*(CriteriTecnici!$T$5:$T$2484="SI")*IFERROR(CriteriTecnici!$O$5:$O$2484*1,0)))&gt;0,MIN(14,SUMIFS(CriteriTecnici!$O:$O,CriteriTecnici!$Q:$Q,$A32&amp;"|"&amp;$C32,CriteriTecnici!$E:$E,"B")*(14/SUMPRODUCT(MAX((CriteriTecnici!$C$5:$C$2484=$C32)*(CriteriTecnici!$E$5:$E$2484="B")*(CriteriTecnici!$T$5:$T$2484="SI")*IFERROR(CriteriTecnici!$O$5:$O$2484*1,0))))),0)+IF(SUMPRODUCT(MAX((CriteriTecnici!$C$5:$C$2484=$C32)*(CriteriTecnici!$E$5:$E$2484="C")*(CriteriTecnici!$T$5:$T$2484="SI")*IFERROR(CriteriTecnici!$O$5:$O$2484*1,0)))&gt;0,MIN(14,SUMIFS(CriteriTecnici!$O:$O,CriteriTecnici!$Q:$Q,$A32&amp;"|"&amp;$C32,CriteriTecnici!$E:$E,"C")*(14/SUMPRODUCT(MAX((CriteriTecnici!$C$5:$C$2484=$C32)*(CriteriTecnici!$E$5:$E$2484="C")*(CriteriTecnici!$T$5:$T$2484="SI")*IFERROR(CriteriTecnici!$O$5:$O$2484*1,0))))),0)+IF(SUMPRODUCT(MAX((CriteriTecnici!$C$5:$C$2484=$C32)*(CriteriTecnici!$E$5:$E$2484="D")*(CriteriTecnici!$T$5:$T$2484="SI")*IFERROR(CriteriTecnici!$O$5:$O$2484*1,0)))&gt;0,MIN(10,SUMIFS(CriteriTecnici!$O:$O,CriteriTecnici!$Q:$Q,$A32&amp;"|"&amp;$C32,CriteriTecnici!$E:$E,"D")*(10/SUMPRODUCT(MAX((CriteriTecnici!$C$5:$C$2484=$C32)*(CriteriTecnici!$E$5:$E$2484="D")*(CriteriTecnici!$T$5:$T$2484="SI")*IFERROR(CriteriTecnici!$O$5:$O$2484*1,0))))),0)+IF(SUMPRODUCT(MAX((CriteriTecnici!$C$5:$C$2484=$C32)*(CriteriTecnici!$E$5:$E$2484="E")*(CriteriTecnici!$T$5:$T$2484="SI")*IFERROR(CriteriTecnici!$O$5:$O$2484*1,0)))&gt;0,MIN(4,SUMIFS(CriteriTecnici!$O:$O,CriteriTecnici!$Q:$Q,$A32&amp;"|"&amp;$C32,CriteriTecnici!$E:$E,"E")*(4/SUMPRODUCT(MAX((CriteriTecnici!$C$5:$C$2484=$C32)*(CriteriTecnici!$E$5:$E$2484="E")*(CriteriTecnici!$T$5:$T$2484="SI")*IFERROR(CriteriTecnici!$O$5:$O$2484*1,0))))),0)+IF(SUMPRODUCT(MAX((CriteriTecnici!$C$5:$C$2484=$C32)*(CriteriTecnici!$E$5:$E$2484="F")*(CriteriTecnici!$T$5:$T$2484="SI")*IFERROR(CriteriTecnici!$O$5:$O$2484*1,0)))&gt;0,MIN(14,SUMIFS(CriteriTecnici!$O:$O,CriteriTecnici!$Q:$Q,$A32&amp;"|"&amp;$C32,CriteriTecnici!$E:$E,"F")*(14/SUMPRODUCT(MAX((CriteriTecnici!$C$5:$C$2484=$C32)*(CriteriTecnici!$E$5:$E$2484="F")*(CriteriTecnici!$T$5:$T$2484="SI")*IFERROR(CriteriTecnici!$O$5:$O$2484*1,0))))),0)+IF(SUMPRODUCT(MAX((CriteriTecnici!$C$5:$C$2484=$C32)*(CriteriTecnici!$E$5:$E$2484="G")*(CriteriTecnici!$T$5:$T$2484="SI")*IFERROR(CriteriTecnici!$O$5:$O$2484*1,0)))&gt;0,MIN(7,SUMIFS(CriteriTecnici!$O:$O,CriteriTecnici!$Q:$Q,$A32&amp;"|"&amp;$C32,CriteriTecnici!$E:$E,"G")*(7/SUMPRODUCT(MAX((CriteriTecnici!$C$5:$C$2484=$C32)*(CriteriTecnici!$E$5:$E$2484="G")*(CriteriTecnici!$T$5:$T$2484="SI")*IFERROR(CriteriTecnici!$O$5:$O$2484*1,0))))),0),4),0),IFERROR($N32*1,0)),0))</f>
        <v/>
      </c>
      <c r="F32" s="56">
        <f>IF(Compila!$A42="","",Compila!$E42)</f>
        <v/>
      </c>
      <c r="G32" s="57">
        <f>IF($A32="","",IF(IFERROR(VALUE($D32),0)&lt;&gt;1,"NO",IF(IFERROR(VALUE($O32),0)&gt;=Parametri!$B$2,"SI","NO")))</f>
        <v/>
      </c>
      <c r="H32" s="57">
        <f>IF($G32="SI",SUMPRODUCT(MAX(($C$2:$C$81=$C32)*(IFERROR($D$2:$D$81*1,0)=1)*(IFERROR($O$2:$O$81*1,0)&gt;=Parametri!$B$2)*IFERROR($F$2:$F$81*1,0))),0)</f>
        <v/>
      </c>
      <c r="I32" s="57">
        <f>IF($G32="SI",IF($H32&gt;0,30*(IFERROR($F32*1,0)/$H32),0),0)</f>
        <v/>
      </c>
      <c r="J32" s="57">
        <f>IF($A32="",0,IF($G32="SI",ROUND(IFERROR($E32*1,0)+$I32,4),ROUND(IFERROR($E32*1,0),4)))</f>
        <v/>
      </c>
      <c r="K32" s="57">
        <f>IF($A32="","",IF(IFERROR(VALUE($D32),0)&lt;&gt;1,"Non attiva",IF(IFERROR(VALUE($O32),0)&lt;Parametri!$B$2,"Sotto soglia","")))</f>
        <v/>
      </c>
      <c r="L32" s="57">
        <f>IF($A32="","",$A32&amp;"|"&amp;$C32)</f>
        <v/>
      </c>
      <c r="M32" s="57">
        <f>IF($A32="","",$C32&amp;"|"&amp;TEXT($J32,"0.0000"))</f>
        <v/>
      </c>
      <c r="N32" s="57" t="n"/>
      <c r="O32" s="57">
        <f>IF($A32="",0,IFERROR(IF(SUMIFS(CriteriTecnici!$O:$O,CriteriTecnici!$Q:$Q,$A32&amp;"|"&amp;$C32)&gt;0,SUMIFS(CriteriTecnici!$O:$O,CriteriTecnici!$Q:$Q,$A32&amp;"|"&amp;$C32,CriteriTecnici!$F:$F,"Q")+SUMIFS(CriteriTecnici!$O:$O,CriteriTecnici!$Q:$Q,$A32&amp;"|"&amp;$C32,CriteriTecnici!$F:$F,"T"),IFERROR($N32*1,0)),0))</f>
        <v/>
      </c>
      <c r="P32" s="57">
        <f>IF($A32="","",IF(SUMIFS(CriteriTecnici!$O:$O,CriteriTecnici!$Q:$Q,$A32&amp;"|"&amp;$C32)&gt;0,"Criteri A-G","Aggregato"))</f>
        <v/>
      </c>
    </row>
    <row r="33">
      <c r="A33" s="56">
        <f>IF(Compila!$A43="","",Compila!$A43)</f>
        <v/>
      </c>
      <c r="B33" s="56">
        <f>IF(Compila!$A43="","",Compila!$B43)</f>
        <v/>
      </c>
      <c r="C33" s="56">
        <f>IF(Compila!$A43="","",Compila!$C43)</f>
        <v/>
      </c>
      <c r="D33" s="56">
        <f>IF(Compila!$A43="","",Compila!$D43)</f>
        <v/>
      </c>
      <c r="E33" s="57">
        <f>IF($A33="",0,IFERROR(IF(SUMIFS(CriteriTecnici!$O:$O,CriteriTecnici!$Q:$Q,$A33&amp;"|"&amp;$C33)&gt;0,IF($G33="SI",ROUND(IF(SUMPRODUCT(MAX((CriteriTecnici!$C$5:$C$2484=$C33)*(CriteriTecnici!$E$5:$E$2484="A")*(CriteriTecnici!$T$5:$T$2484="SI")*IFERROR(CriteriTecnici!$O$5:$O$2484*1,0)))&gt;0,MIN(7,SUMIFS(CriteriTecnici!$O:$O,CriteriTecnici!$Q:$Q,$A33&amp;"|"&amp;$C33,CriteriTecnici!$E:$E,"A")*(7/SUMPRODUCT(MAX((CriteriTecnici!$C$5:$C$2484=$C33)*(CriteriTecnici!$E$5:$E$2484="A")*(CriteriTecnici!$T$5:$T$2484="SI")*IFERROR(CriteriTecnici!$O$5:$O$2484*1,0))))),0)+IF(SUMPRODUCT(MAX((CriteriTecnici!$C$5:$C$2484=$C33)*(CriteriTecnici!$E$5:$E$2484="B")*(CriteriTecnici!$T$5:$T$2484="SI")*IFERROR(CriteriTecnici!$O$5:$O$2484*1,0)))&gt;0,MIN(14,SUMIFS(CriteriTecnici!$O:$O,CriteriTecnici!$Q:$Q,$A33&amp;"|"&amp;$C33,CriteriTecnici!$E:$E,"B")*(14/SUMPRODUCT(MAX((CriteriTecnici!$C$5:$C$2484=$C33)*(CriteriTecnici!$E$5:$E$2484="B")*(CriteriTecnici!$T$5:$T$2484="SI")*IFERROR(CriteriTecnici!$O$5:$O$2484*1,0))))),0)+IF(SUMPRODUCT(MAX((CriteriTecnici!$C$5:$C$2484=$C33)*(CriteriTecnici!$E$5:$E$2484="C")*(CriteriTecnici!$T$5:$T$2484="SI")*IFERROR(CriteriTecnici!$O$5:$O$2484*1,0)))&gt;0,MIN(14,SUMIFS(CriteriTecnici!$O:$O,CriteriTecnici!$Q:$Q,$A33&amp;"|"&amp;$C33,CriteriTecnici!$E:$E,"C")*(14/SUMPRODUCT(MAX((CriteriTecnici!$C$5:$C$2484=$C33)*(CriteriTecnici!$E$5:$E$2484="C")*(CriteriTecnici!$T$5:$T$2484="SI")*IFERROR(CriteriTecnici!$O$5:$O$2484*1,0))))),0)+IF(SUMPRODUCT(MAX((CriteriTecnici!$C$5:$C$2484=$C33)*(CriteriTecnici!$E$5:$E$2484="D")*(CriteriTecnici!$T$5:$T$2484="SI")*IFERROR(CriteriTecnici!$O$5:$O$2484*1,0)))&gt;0,MIN(10,SUMIFS(CriteriTecnici!$O:$O,CriteriTecnici!$Q:$Q,$A33&amp;"|"&amp;$C33,CriteriTecnici!$E:$E,"D")*(10/SUMPRODUCT(MAX((CriteriTecnici!$C$5:$C$2484=$C33)*(CriteriTecnici!$E$5:$E$2484="D")*(CriteriTecnici!$T$5:$T$2484="SI")*IFERROR(CriteriTecnici!$O$5:$O$2484*1,0))))),0)+IF(SUMPRODUCT(MAX((CriteriTecnici!$C$5:$C$2484=$C33)*(CriteriTecnici!$E$5:$E$2484="E")*(CriteriTecnici!$T$5:$T$2484="SI")*IFERROR(CriteriTecnici!$O$5:$O$2484*1,0)))&gt;0,MIN(4,SUMIFS(CriteriTecnici!$O:$O,CriteriTecnici!$Q:$Q,$A33&amp;"|"&amp;$C33,CriteriTecnici!$E:$E,"E")*(4/SUMPRODUCT(MAX((CriteriTecnici!$C$5:$C$2484=$C33)*(CriteriTecnici!$E$5:$E$2484="E")*(CriteriTecnici!$T$5:$T$2484="SI")*IFERROR(CriteriTecnici!$O$5:$O$2484*1,0))))),0)+IF(SUMPRODUCT(MAX((CriteriTecnici!$C$5:$C$2484=$C33)*(CriteriTecnici!$E$5:$E$2484="F")*(CriteriTecnici!$T$5:$T$2484="SI")*IFERROR(CriteriTecnici!$O$5:$O$2484*1,0)))&gt;0,MIN(14,SUMIFS(CriteriTecnici!$O:$O,CriteriTecnici!$Q:$Q,$A33&amp;"|"&amp;$C33,CriteriTecnici!$E:$E,"F")*(14/SUMPRODUCT(MAX((CriteriTecnici!$C$5:$C$2484=$C33)*(CriteriTecnici!$E$5:$E$2484="F")*(CriteriTecnici!$T$5:$T$2484="SI")*IFERROR(CriteriTecnici!$O$5:$O$2484*1,0))))),0)+IF(SUMPRODUCT(MAX((CriteriTecnici!$C$5:$C$2484=$C33)*(CriteriTecnici!$E$5:$E$2484="G")*(CriteriTecnici!$T$5:$T$2484="SI")*IFERROR(CriteriTecnici!$O$5:$O$2484*1,0)))&gt;0,MIN(7,SUMIFS(CriteriTecnici!$O:$O,CriteriTecnici!$Q:$Q,$A33&amp;"|"&amp;$C33,CriteriTecnici!$E:$E,"G")*(7/SUMPRODUCT(MAX((CriteriTecnici!$C$5:$C$2484=$C33)*(CriteriTecnici!$E$5:$E$2484="G")*(CriteriTecnici!$T$5:$T$2484="SI")*IFERROR(CriteriTecnici!$O$5:$O$2484*1,0))))),0),4),0),IFERROR($N33*1,0)),0))</f>
        <v/>
      </c>
      <c r="F33" s="56">
        <f>IF(Compila!$A43="","",Compila!$E43)</f>
        <v/>
      </c>
      <c r="G33" s="57">
        <f>IF($A33="","",IF(IFERROR(VALUE($D33),0)&lt;&gt;1,"NO",IF(IFERROR(VALUE($O33),0)&gt;=Parametri!$B$2,"SI","NO")))</f>
        <v/>
      </c>
      <c r="H33" s="57">
        <f>IF($G33="SI",SUMPRODUCT(MAX(($C$2:$C$81=$C33)*(IFERROR($D$2:$D$81*1,0)=1)*(IFERROR($O$2:$O$81*1,0)&gt;=Parametri!$B$2)*IFERROR($F$2:$F$81*1,0))),0)</f>
        <v/>
      </c>
      <c r="I33" s="57">
        <f>IF($G33="SI",IF($H33&gt;0,30*(IFERROR($F33*1,0)/$H33),0),0)</f>
        <v/>
      </c>
      <c r="J33" s="57">
        <f>IF($A33="",0,IF($G33="SI",ROUND(IFERROR($E33*1,0)+$I33,4),ROUND(IFERROR($E33*1,0),4)))</f>
        <v/>
      </c>
      <c r="K33" s="57">
        <f>IF($A33="","",IF(IFERROR(VALUE($D33),0)&lt;&gt;1,"Non attiva",IF(IFERROR(VALUE($O33),0)&lt;Parametri!$B$2,"Sotto soglia","")))</f>
        <v/>
      </c>
      <c r="L33" s="57">
        <f>IF($A33="","",$A33&amp;"|"&amp;$C33)</f>
        <v/>
      </c>
      <c r="M33" s="57">
        <f>IF($A33="","",$C33&amp;"|"&amp;TEXT($J33,"0.0000"))</f>
        <v/>
      </c>
      <c r="N33" s="57" t="n"/>
      <c r="O33" s="57">
        <f>IF($A33="",0,IFERROR(IF(SUMIFS(CriteriTecnici!$O:$O,CriteriTecnici!$Q:$Q,$A33&amp;"|"&amp;$C33)&gt;0,SUMIFS(CriteriTecnici!$O:$O,CriteriTecnici!$Q:$Q,$A33&amp;"|"&amp;$C33,CriteriTecnici!$F:$F,"Q")+SUMIFS(CriteriTecnici!$O:$O,CriteriTecnici!$Q:$Q,$A33&amp;"|"&amp;$C33,CriteriTecnici!$F:$F,"T"),IFERROR($N33*1,0)),0))</f>
        <v/>
      </c>
      <c r="P33" s="57">
        <f>IF($A33="","",IF(SUMIFS(CriteriTecnici!$O:$O,CriteriTecnici!$Q:$Q,$A33&amp;"|"&amp;$C33)&gt;0,"Criteri A-G","Aggregato"))</f>
        <v/>
      </c>
    </row>
    <row r="34">
      <c r="A34" s="56">
        <f>IF(Compila!$A44="","",Compila!$A44)</f>
        <v/>
      </c>
      <c r="B34" s="56">
        <f>IF(Compila!$A44="","",Compila!$B44)</f>
        <v/>
      </c>
      <c r="C34" s="56">
        <f>IF(Compila!$A44="","",Compila!$C44)</f>
        <v/>
      </c>
      <c r="D34" s="56">
        <f>IF(Compila!$A44="","",Compila!$D44)</f>
        <v/>
      </c>
      <c r="E34" s="57">
        <f>IF($A34="",0,IFERROR(IF(SUMIFS(CriteriTecnici!$O:$O,CriteriTecnici!$Q:$Q,$A34&amp;"|"&amp;$C34)&gt;0,IF($G34="SI",ROUND(IF(SUMPRODUCT(MAX((CriteriTecnici!$C$5:$C$2484=$C34)*(CriteriTecnici!$E$5:$E$2484="A")*(CriteriTecnici!$T$5:$T$2484="SI")*IFERROR(CriteriTecnici!$O$5:$O$2484*1,0)))&gt;0,MIN(7,SUMIFS(CriteriTecnici!$O:$O,CriteriTecnici!$Q:$Q,$A34&amp;"|"&amp;$C34,CriteriTecnici!$E:$E,"A")*(7/SUMPRODUCT(MAX((CriteriTecnici!$C$5:$C$2484=$C34)*(CriteriTecnici!$E$5:$E$2484="A")*(CriteriTecnici!$T$5:$T$2484="SI")*IFERROR(CriteriTecnici!$O$5:$O$2484*1,0))))),0)+IF(SUMPRODUCT(MAX((CriteriTecnici!$C$5:$C$2484=$C34)*(CriteriTecnici!$E$5:$E$2484="B")*(CriteriTecnici!$T$5:$T$2484="SI")*IFERROR(CriteriTecnici!$O$5:$O$2484*1,0)))&gt;0,MIN(14,SUMIFS(CriteriTecnici!$O:$O,CriteriTecnici!$Q:$Q,$A34&amp;"|"&amp;$C34,CriteriTecnici!$E:$E,"B")*(14/SUMPRODUCT(MAX((CriteriTecnici!$C$5:$C$2484=$C34)*(CriteriTecnici!$E$5:$E$2484="B")*(CriteriTecnici!$T$5:$T$2484="SI")*IFERROR(CriteriTecnici!$O$5:$O$2484*1,0))))),0)+IF(SUMPRODUCT(MAX((CriteriTecnici!$C$5:$C$2484=$C34)*(CriteriTecnici!$E$5:$E$2484="C")*(CriteriTecnici!$T$5:$T$2484="SI")*IFERROR(CriteriTecnici!$O$5:$O$2484*1,0)))&gt;0,MIN(14,SUMIFS(CriteriTecnici!$O:$O,CriteriTecnici!$Q:$Q,$A34&amp;"|"&amp;$C34,CriteriTecnici!$E:$E,"C")*(14/SUMPRODUCT(MAX((CriteriTecnici!$C$5:$C$2484=$C34)*(CriteriTecnici!$E$5:$E$2484="C")*(CriteriTecnici!$T$5:$T$2484="SI")*IFERROR(CriteriTecnici!$O$5:$O$2484*1,0))))),0)+IF(SUMPRODUCT(MAX((CriteriTecnici!$C$5:$C$2484=$C34)*(CriteriTecnici!$E$5:$E$2484="D")*(CriteriTecnici!$T$5:$T$2484="SI")*IFERROR(CriteriTecnici!$O$5:$O$2484*1,0)))&gt;0,MIN(10,SUMIFS(CriteriTecnici!$O:$O,CriteriTecnici!$Q:$Q,$A34&amp;"|"&amp;$C34,CriteriTecnici!$E:$E,"D")*(10/SUMPRODUCT(MAX((CriteriTecnici!$C$5:$C$2484=$C34)*(CriteriTecnici!$E$5:$E$2484="D")*(CriteriTecnici!$T$5:$T$2484="SI")*IFERROR(CriteriTecnici!$O$5:$O$2484*1,0))))),0)+IF(SUMPRODUCT(MAX((CriteriTecnici!$C$5:$C$2484=$C34)*(CriteriTecnici!$E$5:$E$2484="E")*(CriteriTecnici!$T$5:$T$2484="SI")*IFERROR(CriteriTecnici!$O$5:$O$2484*1,0)))&gt;0,MIN(4,SUMIFS(CriteriTecnici!$O:$O,CriteriTecnici!$Q:$Q,$A34&amp;"|"&amp;$C34,CriteriTecnici!$E:$E,"E")*(4/SUMPRODUCT(MAX((CriteriTecnici!$C$5:$C$2484=$C34)*(CriteriTecnici!$E$5:$E$2484="E")*(CriteriTecnici!$T$5:$T$2484="SI")*IFERROR(CriteriTecnici!$O$5:$O$2484*1,0))))),0)+IF(SUMPRODUCT(MAX((CriteriTecnici!$C$5:$C$2484=$C34)*(CriteriTecnici!$E$5:$E$2484="F")*(CriteriTecnici!$T$5:$T$2484="SI")*IFERROR(CriteriTecnici!$O$5:$O$2484*1,0)))&gt;0,MIN(14,SUMIFS(CriteriTecnici!$O:$O,CriteriTecnici!$Q:$Q,$A34&amp;"|"&amp;$C34,CriteriTecnici!$E:$E,"F")*(14/SUMPRODUCT(MAX((CriteriTecnici!$C$5:$C$2484=$C34)*(CriteriTecnici!$E$5:$E$2484="F")*(CriteriTecnici!$T$5:$T$2484="SI")*IFERROR(CriteriTecnici!$O$5:$O$2484*1,0))))),0)+IF(SUMPRODUCT(MAX((CriteriTecnici!$C$5:$C$2484=$C34)*(CriteriTecnici!$E$5:$E$2484="G")*(CriteriTecnici!$T$5:$T$2484="SI")*IFERROR(CriteriTecnici!$O$5:$O$2484*1,0)))&gt;0,MIN(7,SUMIFS(CriteriTecnici!$O:$O,CriteriTecnici!$Q:$Q,$A34&amp;"|"&amp;$C34,CriteriTecnici!$E:$E,"G")*(7/SUMPRODUCT(MAX((CriteriTecnici!$C$5:$C$2484=$C34)*(CriteriTecnici!$E$5:$E$2484="G")*(CriteriTecnici!$T$5:$T$2484="SI")*IFERROR(CriteriTecnici!$O$5:$O$2484*1,0))))),0),4),0),IFERROR($N34*1,0)),0))</f>
        <v/>
      </c>
      <c r="F34" s="56">
        <f>IF(Compila!$A44="","",Compila!$E44)</f>
        <v/>
      </c>
      <c r="G34" s="57">
        <f>IF($A34="","",IF(IFERROR(VALUE($D34),0)&lt;&gt;1,"NO",IF(IFERROR(VALUE($O34),0)&gt;=Parametri!$B$2,"SI","NO")))</f>
        <v/>
      </c>
      <c r="H34" s="57">
        <f>IF($G34="SI",SUMPRODUCT(MAX(($C$2:$C$81=$C34)*(IFERROR($D$2:$D$81*1,0)=1)*(IFERROR($O$2:$O$81*1,0)&gt;=Parametri!$B$2)*IFERROR($F$2:$F$81*1,0))),0)</f>
        <v/>
      </c>
      <c r="I34" s="57">
        <f>IF($G34="SI",IF($H34&gt;0,30*(IFERROR($F34*1,0)/$H34),0),0)</f>
        <v/>
      </c>
      <c r="J34" s="57">
        <f>IF($A34="",0,IF($G34="SI",ROUND(IFERROR($E34*1,0)+$I34,4),ROUND(IFERROR($E34*1,0),4)))</f>
        <v/>
      </c>
      <c r="K34" s="57">
        <f>IF($A34="","",IF(IFERROR(VALUE($D34),0)&lt;&gt;1,"Non attiva",IF(IFERROR(VALUE($O34),0)&lt;Parametri!$B$2,"Sotto soglia","")))</f>
        <v/>
      </c>
      <c r="L34" s="57">
        <f>IF($A34="","",$A34&amp;"|"&amp;$C34)</f>
        <v/>
      </c>
      <c r="M34" s="57">
        <f>IF($A34="","",$C34&amp;"|"&amp;TEXT($J34,"0.0000"))</f>
        <v/>
      </c>
      <c r="N34" s="57" t="n"/>
      <c r="O34" s="57">
        <f>IF($A34="",0,IFERROR(IF(SUMIFS(CriteriTecnici!$O:$O,CriteriTecnici!$Q:$Q,$A34&amp;"|"&amp;$C34)&gt;0,SUMIFS(CriteriTecnici!$O:$O,CriteriTecnici!$Q:$Q,$A34&amp;"|"&amp;$C34,CriteriTecnici!$F:$F,"Q")+SUMIFS(CriteriTecnici!$O:$O,CriteriTecnici!$Q:$Q,$A34&amp;"|"&amp;$C34,CriteriTecnici!$F:$F,"T"),IFERROR($N34*1,0)),0))</f>
        <v/>
      </c>
      <c r="P34" s="57">
        <f>IF($A34="","",IF(SUMIFS(CriteriTecnici!$O:$O,CriteriTecnici!$Q:$Q,$A34&amp;"|"&amp;$C34)&gt;0,"Criteri A-G","Aggregato"))</f>
        <v/>
      </c>
    </row>
    <row r="35">
      <c r="A35" s="56">
        <f>IF(Compila!$A45="","",Compila!$A45)</f>
        <v/>
      </c>
      <c r="B35" s="56">
        <f>IF(Compila!$A45="","",Compila!$B45)</f>
        <v/>
      </c>
      <c r="C35" s="56">
        <f>IF(Compila!$A45="","",Compila!$C45)</f>
        <v/>
      </c>
      <c r="D35" s="56">
        <f>IF(Compila!$A45="","",Compila!$D45)</f>
        <v/>
      </c>
      <c r="E35" s="57">
        <f>IF($A35="",0,IFERROR(IF(SUMIFS(CriteriTecnici!$O:$O,CriteriTecnici!$Q:$Q,$A35&amp;"|"&amp;$C35)&gt;0,IF($G35="SI",ROUND(IF(SUMPRODUCT(MAX((CriteriTecnici!$C$5:$C$2484=$C35)*(CriteriTecnici!$E$5:$E$2484="A")*(CriteriTecnici!$T$5:$T$2484="SI")*IFERROR(CriteriTecnici!$O$5:$O$2484*1,0)))&gt;0,MIN(7,SUMIFS(CriteriTecnici!$O:$O,CriteriTecnici!$Q:$Q,$A35&amp;"|"&amp;$C35,CriteriTecnici!$E:$E,"A")*(7/SUMPRODUCT(MAX((CriteriTecnici!$C$5:$C$2484=$C35)*(CriteriTecnici!$E$5:$E$2484="A")*(CriteriTecnici!$T$5:$T$2484="SI")*IFERROR(CriteriTecnici!$O$5:$O$2484*1,0))))),0)+IF(SUMPRODUCT(MAX((CriteriTecnici!$C$5:$C$2484=$C35)*(CriteriTecnici!$E$5:$E$2484="B")*(CriteriTecnici!$T$5:$T$2484="SI")*IFERROR(CriteriTecnici!$O$5:$O$2484*1,0)))&gt;0,MIN(14,SUMIFS(CriteriTecnici!$O:$O,CriteriTecnici!$Q:$Q,$A35&amp;"|"&amp;$C35,CriteriTecnici!$E:$E,"B")*(14/SUMPRODUCT(MAX((CriteriTecnici!$C$5:$C$2484=$C35)*(CriteriTecnici!$E$5:$E$2484="B")*(CriteriTecnici!$T$5:$T$2484="SI")*IFERROR(CriteriTecnici!$O$5:$O$2484*1,0))))),0)+IF(SUMPRODUCT(MAX((CriteriTecnici!$C$5:$C$2484=$C35)*(CriteriTecnici!$E$5:$E$2484="C")*(CriteriTecnici!$T$5:$T$2484="SI")*IFERROR(CriteriTecnici!$O$5:$O$2484*1,0)))&gt;0,MIN(14,SUMIFS(CriteriTecnici!$O:$O,CriteriTecnici!$Q:$Q,$A35&amp;"|"&amp;$C35,CriteriTecnici!$E:$E,"C")*(14/SUMPRODUCT(MAX((CriteriTecnici!$C$5:$C$2484=$C35)*(CriteriTecnici!$E$5:$E$2484="C")*(CriteriTecnici!$T$5:$T$2484="SI")*IFERROR(CriteriTecnici!$O$5:$O$2484*1,0))))),0)+IF(SUMPRODUCT(MAX((CriteriTecnici!$C$5:$C$2484=$C35)*(CriteriTecnici!$E$5:$E$2484="D")*(CriteriTecnici!$T$5:$T$2484="SI")*IFERROR(CriteriTecnici!$O$5:$O$2484*1,0)))&gt;0,MIN(10,SUMIFS(CriteriTecnici!$O:$O,CriteriTecnici!$Q:$Q,$A35&amp;"|"&amp;$C35,CriteriTecnici!$E:$E,"D")*(10/SUMPRODUCT(MAX((CriteriTecnici!$C$5:$C$2484=$C35)*(CriteriTecnici!$E$5:$E$2484="D")*(CriteriTecnici!$T$5:$T$2484="SI")*IFERROR(CriteriTecnici!$O$5:$O$2484*1,0))))),0)+IF(SUMPRODUCT(MAX((CriteriTecnici!$C$5:$C$2484=$C35)*(CriteriTecnici!$E$5:$E$2484="E")*(CriteriTecnici!$T$5:$T$2484="SI")*IFERROR(CriteriTecnici!$O$5:$O$2484*1,0)))&gt;0,MIN(4,SUMIFS(CriteriTecnici!$O:$O,CriteriTecnici!$Q:$Q,$A35&amp;"|"&amp;$C35,CriteriTecnici!$E:$E,"E")*(4/SUMPRODUCT(MAX((CriteriTecnici!$C$5:$C$2484=$C35)*(CriteriTecnici!$E$5:$E$2484="E")*(CriteriTecnici!$T$5:$T$2484="SI")*IFERROR(CriteriTecnici!$O$5:$O$2484*1,0))))),0)+IF(SUMPRODUCT(MAX((CriteriTecnici!$C$5:$C$2484=$C35)*(CriteriTecnici!$E$5:$E$2484="F")*(CriteriTecnici!$T$5:$T$2484="SI")*IFERROR(CriteriTecnici!$O$5:$O$2484*1,0)))&gt;0,MIN(14,SUMIFS(CriteriTecnici!$O:$O,CriteriTecnici!$Q:$Q,$A35&amp;"|"&amp;$C35,CriteriTecnici!$E:$E,"F")*(14/SUMPRODUCT(MAX((CriteriTecnici!$C$5:$C$2484=$C35)*(CriteriTecnici!$E$5:$E$2484="F")*(CriteriTecnici!$T$5:$T$2484="SI")*IFERROR(CriteriTecnici!$O$5:$O$2484*1,0))))),0)+IF(SUMPRODUCT(MAX((CriteriTecnici!$C$5:$C$2484=$C35)*(CriteriTecnici!$E$5:$E$2484="G")*(CriteriTecnici!$T$5:$T$2484="SI")*IFERROR(CriteriTecnici!$O$5:$O$2484*1,0)))&gt;0,MIN(7,SUMIFS(CriteriTecnici!$O:$O,CriteriTecnici!$Q:$Q,$A35&amp;"|"&amp;$C35,CriteriTecnici!$E:$E,"G")*(7/SUMPRODUCT(MAX((CriteriTecnici!$C$5:$C$2484=$C35)*(CriteriTecnici!$E$5:$E$2484="G")*(CriteriTecnici!$T$5:$T$2484="SI")*IFERROR(CriteriTecnici!$O$5:$O$2484*1,0))))),0),4),0),IFERROR($N35*1,0)),0))</f>
        <v/>
      </c>
      <c r="F35" s="56">
        <f>IF(Compila!$A45="","",Compila!$E45)</f>
        <v/>
      </c>
      <c r="G35" s="57">
        <f>IF($A35="","",IF(IFERROR(VALUE($D35),0)&lt;&gt;1,"NO",IF(IFERROR(VALUE($O35),0)&gt;=Parametri!$B$2,"SI","NO")))</f>
        <v/>
      </c>
      <c r="H35" s="57">
        <f>IF($G35="SI",SUMPRODUCT(MAX(($C$2:$C$81=$C35)*(IFERROR($D$2:$D$81*1,0)=1)*(IFERROR($O$2:$O$81*1,0)&gt;=Parametri!$B$2)*IFERROR($F$2:$F$81*1,0))),0)</f>
        <v/>
      </c>
      <c r="I35" s="57">
        <f>IF($G35="SI",IF($H35&gt;0,30*(IFERROR($F35*1,0)/$H35),0),0)</f>
        <v/>
      </c>
      <c r="J35" s="57">
        <f>IF($A35="",0,IF($G35="SI",ROUND(IFERROR($E35*1,0)+$I35,4),ROUND(IFERROR($E35*1,0),4)))</f>
        <v/>
      </c>
      <c r="K35" s="57">
        <f>IF($A35="","",IF(IFERROR(VALUE($D35),0)&lt;&gt;1,"Non attiva",IF(IFERROR(VALUE($O35),0)&lt;Parametri!$B$2,"Sotto soglia","")))</f>
        <v/>
      </c>
      <c r="L35" s="57">
        <f>IF($A35="","",$A35&amp;"|"&amp;$C35)</f>
        <v/>
      </c>
      <c r="M35" s="57">
        <f>IF($A35="","",$C35&amp;"|"&amp;TEXT($J35,"0.0000"))</f>
        <v/>
      </c>
      <c r="N35" s="57" t="n"/>
      <c r="O35" s="57">
        <f>IF($A35="",0,IFERROR(IF(SUMIFS(CriteriTecnici!$O:$O,CriteriTecnici!$Q:$Q,$A35&amp;"|"&amp;$C35)&gt;0,SUMIFS(CriteriTecnici!$O:$O,CriteriTecnici!$Q:$Q,$A35&amp;"|"&amp;$C35,CriteriTecnici!$F:$F,"Q")+SUMIFS(CriteriTecnici!$O:$O,CriteriTecnici!$Q:$Q,$A35&amp;"|"&amp;$C35,CriteriTecnici!$F:$F,"T"),IFERROR($N35*1,0)),0))</f>
        <v/>
      </c>
      <c r="P35" s="57">
        <f>IF($A35="","",IF(SUMIFS(CriteriTecnici!$O:$O,CriteriTecnici!$Q:$Q,$A35&amp;"|"&amp;$C35)&gt;0,"Criteri A-G","Aggregato"))</f>
        <v/>
      </c>
    </row>
    <row r="36">
      <c r="A36" s="56">
        <f>IF(Compila!$A46="","",Compila!$A46)</f>
        <v/>
      </c>
      <c r="B36" s="56">
        <f>IF(Compila!$A46="","",Compila!$B46)</f>
        <v/>
      </c>
      <c r="C36" s="56">
        <f>IF(Compila!$A46="","",Compila!$C46)</f>
        <v/>
      </c>
      <c r="D36" s="56">
        <f>IF(Compila!$A46="","",Compila!$D46)</f>
        <v/>
      </c>
      <c r="E36" s="57">
        <f>IF($A36="",0,IFERROR(IF(SUMIFS(CriteriTecnici!$O:$O,CriteriTecnici!$Q:$Q,$A36&amp;"|"&amp;$C36)&gt;0,IF($G36="SI",ROUND(IF(SUMPRODUCT(MAX((CriteriTecnici!$C$5:$C$2484=$C36)*(CriteriTecnici!$E$5:$E$2484="A")*(CriteriTecnici!$T$5:$T$2484="SI")*IFERROR(CriteriTecnici!$O$5:$O$2484*1,0)))&gt;0,MIN(7,SUMIFS(CriteriTecnici!$O:$O,CriteriTecnici!$Q:$Q,$A36&amp;"|"&amp;$C36,CriteriTecnici!$E:$E,"A")*(7/SUMPRODUCT(MAX((CriteriTecnici!$C$5:$C$2484=$C36)*(CriteriTecnici!$E$5:$E$2484="A")*(CriteriTecnici!$T$5:$T$2484="SI")*IFERROR(CriteriTecnici!$O$5:$O$2484*1,0))))),0)+IF(SUMPRODUCT(MAX((CriteriTecnici!$C$5:$C$2484=$C36)*(CriteriTecnici!$E$5:$E$2484="B")*(CriteriTecnici!$T$5:$T$2484="SI")*IFERROR(CriteriTecnici!$O$5:$O$2484*1,0)))&gt;0,MIN(14,SUMIFS(CriteriTecnici!$O:$O,CriteriTecnici!$Q:$Q,$A36&amp;"|"&amp;$C36,CriteriTecnici!$E:$E,"B")*(14/SUMPRODUCT(MAX((CriteriTecnici!$C$5:$C$2484=$C36)*(CriteriTecnici!$E$5:$E$2484="B")*(CriteriTecnici!$T$5:$T$2484="SI")*IFERROR(CriteriTecnici!$O$5:$O$2484*1,0))))),0)+IF(SUMPRODUCT(MAX((CriteriTecnici!$C$5:$C$2484=$C36)*(CriteriTecnici!$E$5:$E$2484="C")*(CriteriTecnici!$T$5:$T$2484="SI")*IFERROR(CriteriTecnici!$O$5:$O$2484*1,0)))&gt;0,MIN(14,SUMIFS(CriteriTecnici!$O:$O,CriteriTecnici!$Q:$Q,$A36&amp;"|"&amp;$C36,CriteriTecnici!$E:$E,"C")*(14/SUMPRODUCT(MAX((CriteriTecnici!$C$5:$C$2484=$C36)*(CriteriTecnici!$E$5:$E$2484="C")*(CriteriTecnici!$T$5:$T$2484="SI")*IFERROR(CriteriTecnici!$O$5:$O$2484*1,0))))),0)+IF(SUMPRODUCT(MAX((CriteriTecnici!$C$5:$C$2484=$C36)*(CriteriTecnici!$E$5:$E$2484="D")*(CriteriTecnici!$T$5:$T$2484="SI")*IFERROR(CriteriTecnici!$O$5:$O$2484*1,0)))&gt;0,MIN(10,SUMIFS(CriteriTecnici!$O:$O,CriteriTecnici!$Q:$Q,$A36&amp;"|"&amp;$C36,CriteriTecnici!$E:$E,"D")*(10/SUMPRODUCT(MAX((CriteriTecnici!$C$5:$C$2484=$C36)*(CriteriTecnici!$E$5:$E$2484="D")*(CriteriTecnici!$T$5:$T$2484="SI")*IFERROR(CriteriTecnici!$O$5:$O$2484*1,0))))),0)+IF(SUMPRODUCT(MAX((CriteriTecnici!$C$5:$C$2484=$C36)*(CriteriTecnici!$E$5:$E$2484="E")*(CriteriTecnici!$T$5:$T$2484="SI")*IFERROR(CriteriTecnici!$O$5:$O$2484*1,0)))&gt;0,MIN(4,SUMIFS(CriteriTecnici!$O:$O,CriteriTecnici!$Q:$Q,$A36&amp;"|"&amp;$C36,CriteriTecnici!$E:$E,"E")*(4/SUMPRODUCT(MAX((CriteriTecnici!$C$5:$C$2484=$C36)*(CriteriTecnici!$E$5:$E$2484="E")*(CriteriTecnici!$T$5:$T$2484="SI")*IFERROR(CriteriTecnici!$O$5:$O$2484*1,0))))),0)+IF(SUMPRODUCT(MAX((CriteriTecnici!$C$5:$C$2484=$C36)*(CriteriTecnici!$E$5:$E$2484="F")*(CriteriTecnici!$T$5:$T$2484="SI")*IFERROR(CriteriTecnici!$O$5:$O$2484*1,0)))&gt;0,MIN(14,SUMIFS(CriteriTecnici!$O:$O,CriteriTecnici!$Q:$Q,$A36&amp;"|"&amp;$C36,CriteriTecnici!$E:$E,"F")*(14/SUMPRODUCT(MAX((CriteriTecnici!$C$5:$C$2484=$C36)*(CriteriTecnici!$E$5:$E$2484="F")*(CriteriTecnici!$T$5:$T$2484="SI")*IFERROR(CriteriTecnici!$O$5:$O$2484*1,0))))),0)+IF(SUMPRODUCT(MAX((CriteriTecnici!$C$5:$C$2484=$C36)*(CriteriTecnici!$E$5:$E$2484="G")*(CriteriTecnici!$T$5:$T$2484="SI")*IFERROR(CriteriTecnici!$O$5:$O$2484*1,0)))&gt;0,MIN(7,SUMIFS(CriteriTecnici!$O:$O,CriteriTecnici!$Q:$Q,$A36&amp;"|"&amp;$C36,CriteriTecnici!$E:$E,"G")*(7/SUMPRODUCT(MAX((CriteriTecnici!$C$5:$C$2484=$C36)*(CriteriTecnici!$E$5:$E$2484="G")*(CriteriTecnici!$T$5:$T$2484="SI")*IFERROR(CriteriTecnici!$O$5:$O$2484*1,0))))),0),4),0),IFERROR($N36*1,0)),0))</f>
        <v/>
      </c>
      <c r="F36" s="56">
        <f>IF(Compila!$A46="","",Compila!$E46)</f>
        <v/>
      </c>
      <c r="G36" s="57">
        <f>IF($A36="","",IF(IFERROR(VALUE($D36),0)&lt;&gt;1,"NO",IF(IFERROR(VALUE($O36),0)&gt;=Parametri!$B$2,"SI","NO")))</f>
        <v/>
      </c>
      <c r="H36" s="57">
        <f>IF($G36="SI",SUMPRODUCT(MAX(($C$2:$C$81=$C36)*(IFERROR($D$2:$D$81*1,0)=1)*(IFERROR($O$2:$O$81*1,0)&gt;=Parametri!$B$2)*IFERROR($F$2:$F$81*1,0))),0)</f>
        <v/>
      </c>
      <c r="I36" s="57">
        <f>IF($G36="SI",IF($H36&gt;0,30*(IFERROR($F36*1,0)/$H36),0),0)</f>
        <v/>
      </c>
      <c r="J36" s="57">
        <f>IF($A36="",0,IF($G36="SI",ROUND(IFERROR($E36*1,0)+$I36,4),ROUND(IFERROR($E36*1,0),4)))</f>
        <v/>
      </c>
      <c r="K36" s="57">
        <f>IF($A36="","",IF(IFERROR(VALUE($D36),0)&lt;&gt;1,"Non attiva",IF(IFERROR(VALUE($O36),0)&lt;Parametri!$B$2,"Sotto soglia","")))</f>
        <v/>
      </c>
      <c r="L36" s="57">
        <f>IF($A36="","",$A36&amp;"|"&amp;$C36)</f>
        <v/>
      </c>
      <c r="M36" s="57">
        <f>IF($A36="","",$C36&amp;"|"&amp;TEXT($J36,"0.0000"))</f>
        <v/>
      </c>
      <c r="N36" s="57" t="n"/>
      <c r="O36" s="57">
        <f>IF($A36="",0,IFERROR(IF(SUMIFS(CriteriTecnici!$O:$O,CriteriTecnici!$Q:$Q,$A36&amp;"|"&amp;$C36)&gt;0,SUMIFS(CriteriTecnici!$O:$O,CriteriTecnici!$Q:$Q,$A36&amp;"|"&amp;$C36,CriteriTecnici!$F:$F,"Q")+SUMIFS(CriteriTecnici!$O:$O,CriteriTecnici!$Q:$Q,$A36&amp;"|"&amp;$C36,CriteriTecnici!$F:$F,"T"),IFERROR($N36*1,0)),0))</f>
        <v/>
      </c>
      <c r="P36" s="57">
        <f>IF($A36="","",IF(SUMIFS(CriteriTecnici!$O:$O,CriteriTecnici!$Q:$Q,$A36&amp;"|"&amp;$C36)&gt;0,"Criteri A-G","Aggregato"))</f>
        <v/>
      </c>
    </row>
    <row r="37">
      <c r="A37" s="56">
        <f>IF(Compila!$A47="","",Compila!$A47)</f>
        <v/>
      </c>
      <c r="B37" s="56">
        <f>IF(Compila!$A47="","",Compila!$B47)</f>
        <v/>
      </c>
      <c r="C37" s="56">
        <f>IF(Compila!$A47="","",Compila!$C47)</f>
        <v/>
      </c>
      <c r="D37" s="56">
        <f>IF(Compila!$A47="","",Compila!$D47)</f>
        <v/>
      </c>
      <c r="E37" s="57">
        <f>IF($A37="",0,IFERROR(IF(SUMIFS(CriteriTecnici!$O:$O,CriteriTecnici!$Q:$Q,$A37&amp;"|"&amp;$C37)&gt;0,IF($G37="SI",ROUND(IF(SUMPRODUCT(MAX((CriteriTecnici!$C$5:$C$2484=$C37)*(CriteriTecnici!$E$5:$E$2484="A")*(CriteriTecnici!$T$5:$T$2484="SI")*IFERROR(CriteriTecnici!$O$5:$O$2484*1,0)))&gt;0,MIN(7,SUMIFS(CriteriTecnici!$O:$O,CriteriTecnici!$Q:$Q,$A37&amp;"|"&amp;$C37,CriteriTecnici!$E:$E,"A")*(7/SUMPRODUCT(MAX((CriteriTecnici!$C$5:$C$2484=$C37)*(CriteriTecnici!$E$5:$E$2484="A")*(CriteriTecnici!$T$5:$T$2484="SI")*IFERROR(CriteriTecnici!$O$5:$O$2484*1,0))))),0)+IF(SUMPRODUCT(MAX((CriteriTecnici!$C$5:$C$2484=$C37)*(CriteriTecnici!$E$5:$E$2484="B")*(CriteriTecnici!$T$5:$T$2484="SI")*IFERROR(CriteriTecnici!$O$5:$O$2484*1,0)))&gt;0,MIN(14,SUMIFS(CriteriTecnici!$O:$O,CriteriTecnici!$Q:$Q,$A37&amp;"|"&amp;$C37,CriteriTecnici!$E:$E,"B")*(14/SUMPRODUCT(MAX((CriteriTecnici!$C$5:$C$2484=$C37)*(CriteriTecnici!$E$5:$E$2484="B")*(CriteriTecnici!$T$5:$T$2484="SI")*IFERROR(CriteriTecnici!$O$5:$O$2484*1,0))))),0)+IF(SUMPRODUCT(MAX((CriteriTecnici!$C$5:$C$2484=$C37)*(CriteriTecnici!$E$5:$E$2484="C")*(CriteriTecnici!$T$5:$T$2484="SI")*IFERROR(CriteriTecnici!$O$5:$O$2484*1,0)))&gt;0,MIN(14,SUMIFS(CriteriTecnici!$O:$O,CriteriTecnici!$Q:$Q,$A37&amp;"|"&amp;$C37,CriteriTecnici!$E:$E,"C")*(14/SUMPRODUCT(MAX((CriteriTecnici!$C$5:$C$2484=$C37)*(CriteriTecnici!$E$5:$E$2484="C")*(CriteriTecnici!$T$5:$T$2484="SI")*IFERROR(CriteriTecnici!$O$5:$O$2484*1,0))))),0)+IF(SUMPRODUCT(MAX((CriteriTecnici!$C$5:$C$2484=$C37)*(CriteriTecnici!$E$5:$E$2484="D")*(CriteriTecnici!$T$5:$T$2484="SI")*IFERROR(CriteriTecnici!$O$5:$O$2484*1,0)))&gt;0,MIN(10,SUMIFS(CriteriTecnici!$O:$O,CriteriTecnici!$Q:$Q,$A37&amp;"|"&amp;$C37,CriteriTecnici!$E:$E,"D")*(10/SUMPRODUCT(MAX((CriteriTecnici!$C$5:$C$2484=$C37)*(CriteriTecnici!$E$5:$E$2484="D")*(CriteriTecnici!$T$5:$T$2484="SI")*IFERROR(CriteriTecnici!$O$5:$O$2484*1,0))))),0)+IF(SUMPRODUCT(MAX((CriteriTecnici!$C$5:$C$2484=$C37)*(CriteriTecnici!$E$5:$E$2484="E")*(CriteriTecnici!$T$5:$T$2484="SI")*IFERROR(CriteriTecnici!$O$5:$O$2484*1,0)))&gt;0,MIN(4,SUMIFS(CriteriTecnici!$O:$O,CriteriTecnici!$Q:$Q,$A37&amp;"|"&amp;$C37,CriteriTecnici!$E:$E,"E")*(4/SUMPRODUCT(MAX((CriteriTecnici!$C$5:$C$2484=$C37)*(CriteriTecnici!$E$5:$E$2484="E")*(CriteriTecnici!$T$5:$T$2484="SI")*IFERROR(CriteriTecnici!$O$5:$O$2484*1,0))))),0)+IF(SUMPRODUCT(MAX((CriteriTecnici!$C$5:$C$2484=$C37)*(CriteriTecnici!$E$5:$E$2484="F")*(CriteriTecnici!$T$5:$T$2484="SI")*IFERROR(CriteriTecnici!$O$5:$O$2484*1,0)))&gt;0,MIN(14,SUMIFS(CriteriTecnici!$O:$O,CriteriTecnici!$Q:$Q,$A37&amp;"|"&amp;$C37,CriteriTecnici!$E:$E,"F")*(14/SUMPRODUCT(MAX((CriteriTecnici!$C$5:$C$2484=$C37)*(CriteriTecnici!$E$5:$E$2484="F")*(CriteriTecnici!$T$5:$T$2484="SI")*IFERROR(CriteriTecnici!$O$5:$O$2484*1,0))))),0)+IF(SUMPRODUCT(MAX((CriteriTecnici!$C$5:$C$2484=$C37)*(CriteriTecnici!$E$5:$E$2484="G")*(CriteriTecnici!$T$5:$T$2484="SI")*IFERROR(CriteriTecnici!$O$5:$O$2484*1,0)))&gt;0,MIN(7,SUMIFS(CriteriTecnici!$O:$O,CriteriTecnici!$Q:$Q,$A37&amp;"|"&amp;$C37,CriteriTecnici!$E:$E,"G")*(7/SUMPRODUCT(MAX((CriteriTecnici!$C$5:$C$2484=$C37)*(CriteriTecnici!$E$5:$E$2484="G")*(CriteriTecnici!$T$5:$T$2484="SI")*IFERROR(CriteriTecnici!$O$5:$O$2484*1,0))))),0),4),0),IFERROR($N37*1,0)),0))</f>
        <v/>
      </c>
      <c r="F37" s="56">
        <f>IF(Compila!$A47="","",Compila!$E47)</f>
        <v/>
      </c>
      <c r="G37" s="57">
        <f>IF($A37="","",IF(IFERROR(VALUE($D37),0)&lt;&gt;1,"NO",IF(IFERROR(VALUE($O37),0)&gt;=Parametri!$B$2,"SI","NO")))</f>
        <v/>
      </c>
      <c r="H37" s="57">
        <f>IF($G37="SI",SUMPRODUCT(MAX(($C$2:$C$81=$C37)*(IFERROR($D$2:$D$81*1,0)=1)*(IFERROR($O$2:$O$81*1,0)&gt;=Parametri!$B$2)*IFERROR($F$2:$F$81*1,0))),0)</f>
        <v/>
      </c>
      <c r="I37" s="57">
        <f>IF($G37="SI",IF($H37&gt;0,30*(IFERROR($F37*1,0)/$H37),0),0)</f>
        <v/>
      </c>
      <c r="J37" s="57">
        <f>IF($A37="",0,IF($G37="SI",ROUND(IFERROR($E37*1,0)+$I37,4),ROUND(IFERROR($E37*1,0),4)))</f>
        <v/>
      </c>
      <c r="K37" s="57">
        <f>IF($A37="","",IF(IFERROR(VALUE($D37),0)&lt;&gt;1,"Non attiva",IF(IFERROR(VALUE($O37),0)&lt;Parametri!$B$2,"Sotto soglia","")))</f>
        <v/>
      </c>
      <c r="L37" s="57">
        <f>IF($A37="","",$A37&amp;"|"&amp;$C37)</f>
        <v/>
      </c>
      <c r="M37" s="57">
        <f>IF($A37="","",$C37&amp;"|"&amp;TEXT($J37,"0.0000"))</f>
        <v/>
      </c>
      <c r="N37" s="57" t="n"/>
      <c r="O37" s="57">
        <f>IF($A37="",0,IFERROR(IF(SUMIFS(CriteriTecnici!$O:$O,CriteriTecnici!$Q:$Q,$A37&amp;"|"&amp;$C37)&gt;0,SUMIFS(CriteriTecnici!$O:$O,CriteriTecnici!$Q:$Q,$A37&amp;"|"&amp;$C37,CriteriTecnici!$F:$F,"Q")+SUMIFS(CriteriTecnici!$O:$O,CriteriTecnici!$Q:$Q,$A37&amp;"|"&amp;$C37,CriteriTecnici!$F:$F,"T"),IFERROR($N37*1,0)),0))</f>
        <v/>
      </c>
      <c r="P37" s="57">
        <f>IF($A37="","",IF(SUMIFS(CriteriTecnici!$O:$O,CriteriTecnici!$Q:$Q,$A37&amp;"|"&amp;$C37)&gt;0,"Criteri A-G","Aggregato"))</f>
        <v/>
      </c>
    </row>
    <row r="38">
      <c r="A38" s="56">
        <f>IF(Compila!$A48="","",Compila!$A48)</f>
        <v/>
      </c>
      <c r="B38" s="56">
        <f>IF(Compila!$A48="","",Compila!$B48)</f>
        <v/>
      </c>
      <c r="C38" s="56">
        <f>IF(Compila!$A48="","",Compila!$C48)</f>
        <v/>
      </c>
      <c r="D38" s="56">
        <f>IF(Compila!$A48="","",Compila!$D48)</f>
        <v/>
      </c>
      <c r="E38" s="57">
        <f>IF($A38="",0,IFERROR(IF(SUMIFS(CriteriTecnici!$O:$O,CriteriTecnici!$Q:$Q,$A38&amp;"|"&amp;$C38)&gt;0,IF($G38="SI",ROUND(IF(SUMPRODUCT(MAX((CriteriTecnici!$C$5:$C$2484=$C38)*(CriteriTecnici!$E$5:$E$2484="A")*(CriteriTecnici!$T$5:$T$2484="SI")*IFERROR(CriteriTecnici!$O$5:$O$2484*1,0)))&gt;0,MIN(7,SUMIFS(CriteriTecnici!$O:$O,CriteriTecnici!$Q:$Q,$A38&amp;"|"&amp;$C38,CriteriTecnici!$E:$E,"A")*(7/SUMPRODUCT(MAX((CriteriTecnici!$C$5:$C$2484=$C38)*(CriteriTecnici!$E$5:$E$2484="A")*(CriteriTecnici!$T$5:$T$2484="SI")*IFERROR(CriteriTecnici!$O$5:$O$2484*1,0))))),0)+IF(SUMPRODUCT(MAX((CriteriTecnici!$C$5:$C$2484=$C38)*(CriteriTecnici!$E$5:$E$2484="B")*(CriteriTecnici!$T$5:$T$2484="SI")*IFERROR(CriteriTecnici!$O$5:$O$2484*1,0)))&gt;0,MIN(14,SUMIFS(CriteriTecnici!$O:$O,CriteriTecnici!$Q:$Q,$A38&amp;"|"&amp;$C38,CriteriTecnici!$E:$E,"B")*(14/SUMPRODUCT(MAX((CriteriTecnici!$C$5:$C$2484=$C38)*(CriteriTecnici!$E$5:$E$2484="B")*(CriteriTecnici!$T$5:$T$2484="SI")*IFERROR(CriteriTecnici!$O$5:$O$2484*1,0))))),0)+IF(SUMPRODUCT(MAX((CriteriTecnici!$C$5:$C$2484=$C38)*(CriteriTecnici!$E$5:$E$2484="C")*(CriteriTecnici!$T$5:$T$2484="SI")*IFERROR(CriteriTecnici!$O$5:$O$2484*1,0)))&gt;0,MIN(14,SUMIFS(CriteriTecnici!$O:$O,CriteriTecnici!$Q:$Q,$A38&amp;"|"&amp;$C38,CriteriTecnici!$E:$E,"C")*(14/SUMPRODUCT(MAX((CriteriTecnici!$C$5:$C$2484=$C38)*(CriteriTecnici!$E$5:$E$2484="C")*(CriteriTecnici!$T$5:$T$2484="SI")*IFERROR(CriteriTecnici!$O$5:$O$2484*1,0))))),0)+IF(SUMPRODUCT(MAX((CriteriTecnici!$C$5:$C$2484=$C38)*(CriteriTecnici!$E$5:$E$2484="D")*(CriteriTecnici!$T$5:$T$2484="SI")*IFERROR(CriteriTecnici!$O$5:$O$2484*1,0)))&gt;0,MIN(10,SUMIFS(CriteriTecnici!$O:$O,CriteriTecnici!$Q:$Q,$A38&amp;"|"&amp;$C38,CriteriTecnici!$E:$E,"D")*(10/SUMPRODUCT(MAX((CriteriTecnici!$C$5:$C$2484=$C38)*(CriteriTecnici!$E$5:$E$2484="D")*(CriteriTecnici!$T$5:$T$2484="SI")*IFERROR(CriteriTecnici!$O$5:$O$2484*1,0))))),0)+IF(SUMPRODUCT(MAX((CriteriTecnici!$C$5:$C$2484=$C38)*(CriteriTecnici!$E$5:$E$2484="E")*(CriteriTecnici!$T$5:$T$2484="SI")*IFERROR(CriteriTecnici!$O$5:$O$2484*1,0)))&gt;0,MIN(4,SUMIFS(CriteriTecnici!$O:$O,CriteriTecnici!$Q:$Q,$A38&amp;"|"&amp;$C38,CriteriTecnici!$E:$E,"E")*(4/SUMPRODUCT(MAX((CriteriTecnici!$C$5:$C$2484=$C38)*(CriteriTecnici!$E$5:$E$2484="E")*(CriteriTecnici!$T$5:$T$2484="SI")*IFERROR(CriteriTecnici!$O$5:$O$2484*1,0))))),0)+IF(SUMPRODUCT(MAX((CriteriTecnici!$C$5:$C$2484=$C38)*(CriteriTecnici!$E$5:$E$2484="F")*(CriteriTecnici!$T$5:$T$2484="SI")*IFERROR(CriteriTecnici!$O$5:$O$2484*1,0)))&gt;0,MIN(14,SUMIFS(CriteriTecnici!$O:$O,CriteriTecnici!$Q:$Q,$A38&amp;"|"&amp;$C38,CriteriTecnici!$E:$E,"F")*(14/SUMPRODUCT(MAX((CriteriTecnici!$C$5:$C$2484=$C38)*(CriteriTecnici!$E$5:$E$2484="F")*(CriteriTecnici!$T$5:$T$2484="SI")*IFERROR(CriteriTecnici!$O$5:$O$2484*1,0))))),0)+IF(SUMPRODUCT(MAX((CriteriTecnici!$C$5:$C$2484=$C38)*(CriteriTecnici!$E$5:$E$2484="G")*(CriteriTecnici!$T$5:$T$2484="SI")*IFERROR(CriteriTecnici!$O$5:$O$2484*1,0)))&gt;0,MIN(7,SUMIFS(CriteriTecnici!$O:$O,CriteriTecnici!$Q:$Q,$A38&amp;"|"&amp;$C38,CriteriTecnici!$E:$E,"G")*(7/SUMPRODUCT(MAX((CriteriTecnici!$C$5:$C$2484=$C38)*(CriteriTecnici!$E$5:$E$2484="G")*(CriteriTecnici!$T$5:$T$2484="SI")*IFERROR(CriteriTecnici!$O$5:$O$2484*1,0))))),0),4),0),IFERROR($N38*1,0)),0))</f>
        <v/>
      </c>
      <c r="F38" s="56">
        <f>IF(Compila!$A48="","",Compila!$E48)</f>
        <v/>
      </c>
      <c r="G38" s="57">
        <f>IF($A38="","",IF(IFERROR(VALUE($D38),0)&lt;&gt;1,"NO",IF(IFERROR(VALUE($O38),0)&gt;=Parametri!$B$2,"SI","NO")))</f>
        <v/>
      </c>
      <c r="H38" s="57">
        <f>IF($G38="SI",SUMPRODUCT(MAX(($C$2:$C$81=$C38)*(IFERROR($D$2:$D$81*1,0)=1)*(IFERROR($O$2:$O$81*1,0)&gt;=Parametri!$B$2)*IFERROR($F$2:$F$81*1,0))),0)</f>
        <v/>
      </c>
      <c r="I38" s="57">
        <f>IF($G38="SI",IF($H38&gt;0,30*(IFERROR($F38*1,0)/$H38),0),0)</f>
        <v/>
      </c>
      <c r="J38" s="57">
        <f>IF($A38="",0,IF($G38="SI",ROUND(IFERROR($E38*1,0)+$I38,4),ROUND(IFERROR($E38*1,0),4)))</f>
        <v/>
      </c>
      <c r="K38" s="57">
        <f>IF($A38="","",IF(IFERROR(VALUE($D38),0)&lt;&gt;1,"Non attiva",IF(IFERROR(VALUE($O38),0)&lt;Parametri!$B$2,"Sotto soglia","")))</f>
        <v/>
      </c>
      <c r="L38" s="57">
        <f>IF($A38="","",$A38&amp;"|"&amp;$C38)</f>
        <v/>
      </c>
      <c r="M38" s="57">
        <f>IF($A38="","",$C38&amp;"|"&amp;TEXT($J38,"0.0000"))</f>
        <v/>
      </c>
      <c r="N38" s="57" t="n"/>
      <c r="O38" s="57">
        <f>IF($A38="",0,IFERROR(IF(SUMIFS(CriteriTecnici!$O:$O,CriteriTecnici!$Q:$Q,$A38&amp;"|"&amp;$C38)&gt;0,SUMIFS(CriteriTecnici!$O:$O,CriteriTecnici!$Q:$Q,$A38&amp;"|"&amp;$C38,CriteriTecnici!$F:$F,"Q")+SUMIFS(CriteriTecnici!$O:$O,CriteriTecnici!$Q:$Q,$A38&amp;"|"&amp;$C38,CriteriTecnici!$F:$F,"T"),IFERROR($N38*1,0)),0))</f>
        <v/>
      </c>
      <c r="P38" s="57">
        <f>IF($A38="","",IF(SUMIFS(CriteriTecnici!$O:$O,CriteriTecnici!$Q:$Q,$A38&amp;"|"&amp;$C38)&gt;0,"Criteri A-G","Aggregato"))</f>
        <v/>
      </c>
    </row>
    <row r="39">
      <c r="A39" s="56">
        <f>IF(Compila!$A49="","",Compila!$A49)</f>
        <v/>
      </c>
      <c r="B39" s="56">
        <f>IF(Compila!$A49="","",Compila!$B49)</f>
        <v/>
      </c>
      <c r="C39" s="56">
        <f>IF(Compila!$A49="","",Compila!$C49)</f>
        <v/>
      </c>
      <c r="D39" s="56">
        <f>IF(Compila!$A49="","",Compila!$D49)</f>
        <v/>
      </c>
      <c r="E39" s="57">
        <f>IF($A39="",0,IFERROR(IF(SUMIFS(CriteriTecnici!$O:$O,CriteriTecnici!$Q:$Q,$A39&amp;"|"&amp;$C39)&gt;0,IF($G39="SI",ROUND(IF(SUMPRODUCT(MAX((CriteriTecnici!$C$5:$C$2484=$C39)*(CriteriTecnici!$E$5:$E$2484="A")*(CriteriTecnici!$T$5:$T$2484="SI")*IFERROR(CriteriTecnici!$O$5:$O$2484*1,0)))&gt;0,MIN(7,SUMIFS(CriteriTecnici!$O:$O,CriteriTecnici!$Q:$Q,$A39&amp;"|"&amp;$C39,CriteriTecnici!$E:$E,"A")*(7/SUMPRODUCT(MAX((CriteriTecnici!$C$5:$C$2484=$C39)*(CriteriTecnici!$E$5:$E$2484="A")*(CriteriTecnici!$T$5:$T$2484="SI")*IFERROR(CriteriTecnici!$O$5:$O$2484*1,0))))),0)+IF(SUMPRODUCT(MAX((CriteriTecnici!$C$5:$C$2484=$C39)*(CriteriTecnici!$E$5:$E$2484="B")*(CriteriTecnici!$T$5:$T$2484="SI")*IFERROR(CriteriTecnici!$O$5:$O$2484*1,0)))&gt;0,MIN(14,SUMIFS(CriteriTecnici!$O:$O,CriteriTecnici!$Q:$Q,$A39&amp;"|"&amp;$C39,CriteriTecnici!$E:$E,"B")*(14/SUMPRODUCT(MAX((CriteriTecnici!$C$5:$C$2484=$C39)*(CriteriTecnici!$E$5:$E$2484="B")*(CriteriTecnici!$T$5:$T$2484="SI")*IFERROR(CriteriTecnici!$O$5:$O$2484*1,0))))),0)+IF(SUMPRODUCT(MAX((CriteriTecnici!$C$5:$C$2484=$C39)*(CriteriTecnici!$E$5:$E$2484="C")*(CriteriTecnici!$T$5:$T$2484="SI")*IFERROR(CriteriTecnici!$O$5:$O$2484*1,0)))&gt;0,MIN(14,SUMIFS(CriteriTecnici!$O:$O,CriteriTecnici!$Q:$Q,$A39&amp;"|"&amp;$C39,CriteriTecnici!$E:$E,"C")*(14/SUMPRODUCT(MAX((CriteriTecnici!$C$5:$C$2484=$C39)*(CriteriTecnici!$E$5:$E$2484="C")*(CriteriTecnici!$T$5:$T$2484="SI")*IFERROR(CriteriTecnici!$O$5:$O$2484*1,0))))),0)+IF(SUMPRODUCT(MAX((CriteriTecnici!$C$5:$C$2484=$C39)*(CriteriTecnici!$E$5:$E$2484="D")*(CriteriTecnici!$T$5:$T$2484="SI")*IFERROR(CriteriTecnici!$O$5:$O$2484*1,0)))&gt;0,MIN(10,SUMIFS(CriteriTecnici!$O:$O,CriteriTecnici!$Q:$Q,$A39&amp;"|"&amp;$C39,CriteriTecnici!$E:$E,"D")*(10/SUMPRODUCT(MAX((CriteriTecnici!$C$5:$C$2484=$C39)*(CriteriTecnici!$E$5:$E$2484="D")*(CriteriTecnici!$T$5:$T$2484="SI")*IFERROR(CriteriTecnici!$O$5:$O$2484*1,0))))),0)+IF(SUMPRODUCT(MAX((CriteriTecnici!$C$5:$C$2484=$C39)*(CriteriTecnici!$E$5:$E$2484="E")*(CriteriTecnici!$T$5:$T$2484="SI")*IFERROR(CriteriTecnici!$O$5:$O$2484*1,0)))&gt;0,MIN(4,SUMIFS(CriteriTecnici!$O:$O,CriteriTecnici!$Q:$Q,$A39&amp;"|"&amp;$C39,CriteriTecnici!$E:$E,"E")*(4/SUMPRODUCT(MAX((CriteriTecnici!$C$5:$C$2484=$C39)*(CriteriTecnici!$E$5:$E$2484="E")*(CriteriTecnici!$T$5:$T$2484="SI")*IFERROR(CriteriTecnici!$O$5:$O$2484*1,0))))),0)+IF(SUMPRODUCT(MAX((CriteriTecnici!$C$5:$C$2484=$C39)*(CriteriTecnici!$E$5:$E$2484="F")*(CriteriTecnici!$T$5:$T$2484="SI")*IFERROR(CriteriTecnici!$O$5:$O$2484*1,0)))&gt;0,MIN(14,SUMIFS(CriteriTecnici!$O:$O,CriteriTecnici!$Q:$Q,$A39&amp;"|"&amp;$C39,CriteriTecnici!$E:$E,"F")*(14/SUMPRODUCT(MAX((CriteriTecnici!$C$5:$C$2484=$C39)*(CriteriTecnici!$E$5:$E$2484="F")*(CriteriTecnici!$T$5:$T$2484="SI")*IFERROR(CriteriTecnici!$O$5:$O$2484*1,0))))),0)+IF(SUMPRODUCT(MAX((CriteriTecnici!$C$5:$C$2484=$C39)*(CriteriTecnici!$E$5:$E$2484="G")*(CriteriTecnici!$T$5:$T$2484="SI")*IFERROR(CriteriTecnici!$O$5:$O$2484*1,0)))&gt;0,MIN(7,SUMIFS(CriteriTecnici!$O:$O,CriteriTecnici!$Q:$Q,$A39&amp;"|"&amp;$C39,CriteriTecnici!$E:$E,"G")*(7/SUMPRODUCT(MAX((CriteriTecnici!$C$5:$C$2484=$C39)*(CriteriTecnici!$E$5:$E$2484="G")*(CriteriTecnici!$T$5:$T$2484="SI")*IFERROR(CriteriTecnici!$O$5:$O$2484*1,0))))),0),4),0),IFERROR($N39*1,0)),0))</f>
        <v/>
      </c>
      <c r="F39" s="56">
        <f>IF(Compila!$A49="","",Compila!$E49)</f>
        <v/>
      </c>
      <c r="G39" s="57">
        <f>IF($A39="","",IF(IFERROR(VALUE($D39),0)&lt;&gt;1,"NO",IF(IFERROR(VALUE($O39),0)&gt;=Parametri!$B$2,"SI","NO")))</f>
        <v/>
      </c>
      <c r="H39" s="57">
        <f>IF($G39="SI",SUMPRODUCT(MAX(($C$2:$C$81=$C39)*(IFERROR($D$2:$D$81*1,0)=1)*(IFERROR($O$2:$O$81*1,0)&gt;=Parametri!$B$2)*IFERROR($F$2:$F$81*1,0))),0)</f>
        <v/>
      </c>
      <c r="I39" s="57">
        <f>IF($G39="SI",IF($H39&gt;0,30*(IFERROR($F39*1,0)/$H39),0),0)</f>
        <v/>
      </c>
      <c r="J39" s="57">
        <f>IF($A39="",0,IF($G39="SI",ROUND(IFERROR($E39*1,0)+$I39,4),ROUND(IFERROR($E39*1,0),4)))</f>
        <v/>
      </c>
      <c r="K39" s="57">
        <f>IF($A39="","",IF(IFERROR(VALUE($D39),0)&lt;&gt;1,"Non attiva",IF(IFERROR(VALUE($O39),0)&lt;Parametri!$B$2,"Sotto soglia","")))</f>
        <v/>
      </c>
      <c r="L39" s="57">
        <f>IF($A39="","",$A39&amp;"|"&amp;$C39)</f>
        <v/>
      </c>
      <c r="M39" s="57">
        <f>IF($A39="","",$C39&amp;"|"&amp;TEXT($J39,"0.0000"))</f>
        <v/>
      </c>
      <c r="N39" s="57" t="n"/>
      <c r="O39" s="57">
        <f>IF($A39="",0,IFERROR(IF(SUMIFS(CriteriTecnici!$O:$O,CriteriTecnici!$Q:$Q,$A39&amp;"|"&amp;$C39)&gt;0,SUMIFS(CriteriTecnici!$O:$O,CriteriTecnici!$Q:$Q,$A39&amp;"|"&amp;$C39,CriteriTecnici!$F:$F,"Q")+SUMIFS(CriteriTecnici!$O:$O,CriteriTecnici!$Q:$Q,$A39&amp;"|"&amp;$C39,CriteriTecnici!$F:$F,"T"),IFERROR($N39*1,0)),0))</f>
        <v/>
      </c>
      <c r="P39" s="57">
        <f>IF($A39="","",IF(SUMIFS(CriteriTecnici!$O:$O,CriteriTecnici!$Q:$Q,$A39&amp;"|"&amp;$C39)&gt;0,"Criteri A-G","Aggregato"))</f>
        <v/>
      </c>
    </row>
    <row r="40">
      <c r="A40" s="56">
        <f>IF(Compila!$A50="","",Compila!$A50)</f>
        <v/>
      </c>
      <c r="B40" s="56">
        <f>IF(Compila!$A50="","",Compila!$B50)</f>
        <v/>
      </c>
      <c r="C40" s="56">
        <f>IF(Compila!$A50="","",Compila!$C50)</f>
        <v/>
      </c>
      <c r="D40" s="56">
        <f>IF(Compila!$A50="","",Compila!$D50)</f>
        <v/>
      </c>
      <c r="E40" s="57">
        <f>IF($A40="",0,IFERROR(IF(SUMIFS(CriteriTecnici!$O:$O,CriteriTecnici!$Q:$Q,$A40&amp;"|"&amp;$C40)&gt;0,IF($G40="SI",ROUND(IF(SUMPRODUCT(MAX((CriteriTecnici!$C$5:$C$2484=$C40)*(CriteriTecnici!$E$5:$E$2484="A")*(CriteriTecnici!$T$5:$T$2484="SI")*IFERROR(CriteriTecnici!$O$5:$O$2484*1,0)))&gt;0,MIN(7,SUMIFS(CriteriTecnici!$O:$O,CriteriTecnici!$Q:$Q,$A40&amp;"|"&amp;$C40,CriteriTecnici!$E:$E,"A")*(7/SUMPRODUCT(MAX((CriteriTecnici!$C$5:$C$2484=$C40)*(CriteriTecnici!$E$5:$E$2484="A")*(CriteriTecnici!$T$5:$T$2484="SI")*IFERROR(CriteriTecnici!$O$5:$O$2484*1,0))))),0)+IF(SUMPRODUCT(MAX((CriteriTecnici!$C$5:$C$2484=$C40)*(CriteriTecnici!$E$5:$E$2484="B")*(CriteriTecnici!$T$5:$T$2484="SI")*IFERROR(CriteriTecnici!$O$5:$O$2484*1,0)))&gt;0,MIN(14,SUMIFS(CriteriTecnici!$O:$O,CriteriTecnici!$Q:$Q,$A40&amp;"|"&amp;$C40,CriteriTecnici!$E:$E,"B")*(14/SUMPRODUCT(MAX((CriteriTecnici!$C$5:$C$2484=$C40)*(CriteriTecnici!$E$5:$E$2484="B")*(CriteriTecnici!$T$5:$T$2484="SI")*IFERROR(CriteriTecnici!$O$5:$O$2484*1,0))))),0)+IF(SUMPRODUCT(MAX((CriteriTecnici!$C$5:$C$2484=$C40)*(CriteriTecnici!$E$5:$E$2484="C")*(CriteriTecnici!$T$5:$T$2484="SI")*IFERROR(CriteriTecnici!$O$5:$O$2484*1,0)))&gt;0,MIN(14,SUMIFS(CriteriTecnici!$O:$O,CriteriTecnici!$Q:$Q,$A40&amp;"|"&amp;$C40,CriteriTecnici!$E:$E,"C")*(14/SUMPRODUCT(MAX((CriteriTecnici!$C$5:$C$2484=$C40)*(CriteriTecnici!$E$5:$E$2484="C")*(CriteriTecnici!$T$5:$T$2484="SI")*IFERROR(CriteriTecnici!$O$5:$O$2484*1,0))))),0)+IF(SUMPRODUCT(MAX((CriteriTecnici!$C$5:$C$2484=$C40)*(CriteriTecnici!$E$5:$E$2484="D")*(CriteriTecnici!$T$5:$T$2484="SI")*IFERROR(CriteriTecnici!$O$5:$O$2484*1,0)))&gt;0,MIN(10,SUMIFS(CriteriTecnici!$O:$O,CriteriTecnici!$Q:$Q,$A40&amp;"|"&amp;$C40,CriteriTecnici!$E:$E,"D")*(10/SUMPRODUCT(MAX((CriteriTecnici!$C$5:$C$2484=$C40)*(CriteriTecnici!$E$5:$E$2484="D")*(CriteriTecnici!$T$5:$T$2484="SI")*IFERROR(CriteriTecnici!$O$5:$O$2484*1,0))))),0)+IF(SUMPRODUCT(MAX((CriteriTecnici!$C$5:$C$2484=$C40)*(CriteriTecnici!$E$5:$E$2484="E")*(CriteriTecnici!$T$5:$T$2484="SI")*IFERROR(CriteriTecnici!$O$5:$O$2484*1,0)))&gt;0,MIN(4,SUMIFS(CriteriTecnici!$O:$O,CriteriTecnici!$Q:$Q,$A40&amp;"|"&amp;$C40,CriteriTecnici!$E:$E,"E")*(4/SUMPRODUCT(MAX((CriteriTecnici!$C$5:$C$2484=$C40)*(CriteriTecnici!$E$5:$E$2484="E")*(CriteriTecnici!$T$5:$T$2484="SI")*IFERROR(CriteriTecnici!$O$5:$O$2484*1,0))))),0)+IF(SUMPRODUCT(MAX((CriteriTecnici!$C$5:$C$2484=$C40)*(CriteriTecnici!$E$5:$E$2484="F")*(CriteriTecnici!$T$5:$T$2484="SI")*IFERROR(CriteriTecnici!$O$5:$O$2484*1,0)))&gt;0,MIN(14,SUMIFS(CriteriTecnici!$O:$O,CriteriTecnici!$Q:$Q,$A40&amp;"|"&amp;$C40,CriteriTecnici!$E:$E,"F")*(14/SUMPRODUCT(MAX((CriteriTecnici!$C$5:$C$2484=$C40)*(CriteriTecnici!$E$5:$E$2484="F")*(CriteriTecnici!$T$5:$T$2484="SI")*IFERROR(CriteriTecnici!$O$5:$O$2484*1,0))))),0)+IF(SUMPRODUCT(MAX((CriteriTecnici!$C$5:$C$2484=$C40)*(CriteriTecnici!$E$5:$E$2484="G")*(CriteriTecnici!$T$5:$T$2484="SI")*IFERROR(CriteriTecnici!$O$5:$O$2484*1,0)))&gt;0,MIN(7,SUMIFS(CriteriTecnici!$O:$O,CriteriTecnici!$Q:$Q,$A40&amp;"|"&amp;$C40,CriteriTecnici!$E:$E,"G")*(7/SUMPRODUCT(MAX((CriteriTecnici!$C$5:$C$2484=$C40)*(CriteriTecnici!$E$5:$E$2484="G")*(CriteriTecnici!$T$5:$T$2484="SI")*IFERROR(CriteriTecnici!$O$5:$O$2484*1,0))))),0),4),0),IFERROR($N40*1,0)),0))</f>
        <v/>
      </c>
      <c r="F40" s="56">
        <f>IF(Compila!$A50="","",Compila!$E50)</f>
        <v/>
      </c>
      <c r="G40" s="57">
        <f>IF($A40="","",IF(IFERROR(VALUE($D40),0)&lt;&gt;1,"NO",IF(IFERROR(VALUE($O40),0)&gt;=Parametri!$B$2,"SI","NO")))</f>
        <v/>
      </c>
      <c r="H40" s="57">
        <f>IF($G40="SI",SUMPRODUCT(MAX(($C$2:$C$81=$C40)*(IFERROR($D$2:$D$81*1,0)=1)*(IFERROR($O$2:$O$81*1,0)&gt;=Parametri!$B$2)*IFERROR($F$2:$F$81*1,0))),0)</f>
        <v/>
      </c>
      <c r="I40" s="57">
        <f>IF($G40="SI",IF($H40&gt;0,30*(IFERROR($F40*1,0)/$H40),0),0)</f>
        <v/>
      </c>
      <c r="J40" s="57">
        <f>IF($A40="",0,IF($G40="SI",ROUND(IFERROR($E40*1,0)+$I40,4),ROUND(IFERROR($E40*1,0),4)))</f>
        <v/>
      </c>
      <c r="K40" s="57">
        <f>IF($A40="","",IF(IFERROR(VALUE($D40),0)&lt;&gt;1,"Non attiva",IF(IFERROR(VALUE($O40),0)&lt;Parametri!$B$2,"Sotto soglia","")))</f>
        <v/>
      </c>
      <c r="L40" s="57">
        <f>IF($A40="","",$A40&amp;"|"&amp;$C40)</f>
        <v/>
      </c>
      <c r="M40" s="57">
        <f>IF($A40="","",$C40&amp;"|"&amp;TEXT($J40,"0.0000"))</f>
        <v/>
      </c>
      <c r="N40" s="57" t="n"/>
      <c r="O40" s="57">
        <f>IF($A40="",0,IFERROR(IF(SUMIFS(CriteriTecnici!$O:$O,CriteriTecnici!$Q:$Q,$A40&amp;"|"&amp;$C40)&gt;0,SUMIFS(CriteriTecnici!$O:$O,CriteriTecnici!$Q:$Q,$A40&amp;"|"&amp;$C40,CriteriTecnici!$F:$F,"Q")+SUMIFS(CriteriTecnici!$O:$O,CriteriTecnici!$Q:$Q,$A40&amp;"|"&amp;$C40,CriteriTecnici!$F:$F,"T"),IFERROR($N40*1,0)),0))</f>
        <v/>
      </c>
      <c r="P40" s="57">
        <f>IF($A40="","",IF(SUMIFS(CriteriTecnici!$O:$O,CriteriTecnici!$Q:$Q,$A40&amp;"|"&amp;$C40)&gt;0,"Criteri A-G","Aggregato"))</f>
        <v/>
      </c>
    </row>
    <row r="41">
      <c r="A41" s="56">
        <f>IF(Compila!$A51="","",Compila!$A51)</f>
        <v/>
      </c>
      <c r="B41" s="56">
        <f>IF(Compila!$A51="","",Compila!$B51)</f>
        <v/>
      </c>
      <c r="C41" s="56">
        <f>IF(Compila!$A51="","",Compila!$C51)</f>
        <v/>
      </c>
      <c r="D41" s="56">
        <f>IF(Compila!$A51="","",Compila!$D51)</f>
        <v/>
      </c>
      <c r="E41" s="57">
        <f>IF($A41="",0,IFERROR(IF(SUMIFS(CriteriTecnici!$O:$O,CriteriTecnici!$Q:$Q,$A41&amp;"|"&amp;$C41)&gt;0,IF($G41="SI",ROUND(IF(SUMPRODUCT(MAX((CriteriTecnici!$C$5:$C$2484=$C41)*(CriteriTecnici!$E$5:$E$2484="A")*(CriteriTecnici!$T$5:$T$2484="SI")*IFERROR(CriteriTecnici!$O$5:$O$2484*1,0)))&gt;0,MIN(7,SUMIFS(CriteriTecnici!$O:$O,CriteriTecnici!$Q:$Q,$A41&amp;"|"&amp;$C41,CriteriTecnici!$E:$E,"A")*(7/SUMPRODUCT(MAX((CriteriTecnici!$C$5:$C$2484=$C41)*(CriteriTecnici!$E$5:$E$2484="A")*(CriteriTecnici!$T$5:$T$2484="SI")*IFERROR(CriteriTecnici!$O$5:$O$2484*1,0))))),0)+IF(SUMPRODUCT(MAX((CriteriTecnici!$C$5:$C$2484=$C41)*(CriteriTecnici!$E$5:$E$2484="B")*(CriteriTecnici!$T$5:$T$2484="SI")*IFERROR(CriteriTecnici!$O$5:$O$2484*1,0)))&gt;0,MIN(14,SUMIFS(CriteriTecnici!$O:$O,CriteriTecnici!$Q:$Q,$A41&amp;"|"&amp;$C41,CriteriTecnici!$E:$E,"B")*(14/SUMPRODUCT(MAX((CriteriTecnici!$C$5:$C$2484=$C41)*(CriteriTecnici!$E$5:$E$2484="B")*(CriteriTecnici!$T$5:$T$2484="SI")*IFERROR(CriteriTecnici!$O$5:$O$2484*1,0))))),0)+IF(SUMPRODUCT(MAX((CriteriTecnici!$C$5:$C$2484=$C41)*(CriteriTecnici!$E$5:$E$2484="C")*(CriteriTecnici!$T$5:$T$2484="SI")*IFERROR(CriteriTecnici!$O$5:$O$2484*1,0)))&gt;0,MIN(14,SUMIFS(CriteriTecnici!$O:$O,CriteriTecnici!$Q:$Q,$A41&amp;"|"&amp;$C41,CriteriTecnici!$E:$E,"C")*(14/SUMPRODUCT(MAX((CriteriTecnici!$C$5:$C$2484=$C41)*(CriteriTecnici!$E$5:$E$2484="C")*(CriteriTecnici!$T$5:$T$2484="SI")*IFERROR(CriteriTecnici!$O$5:$O$2484*1,0))))),0)+IF(SUMPRODUCT(MAX((CriteriTecnici!$C$5:$C$2484=$C41)*(CriteriTecnici!$E$5:$E$2484="D")*(CriteriTecnici!$T$5:$T$2484="SI")*IFERROR(CriteriTecnici!$O$5:$O$2484*1,0)))&gt;0,MIN(10,SUMIFS(CriteriTecnici!$O:$O,CriteriTecnici!$Q:$Q,$A41&amp;"|"&amp;$C41,CriteriTecnici!$E:$E,"D")*(10/SUMPRODUCT(MAX((CriteriTecnici!$C$5:$C$2484=$C41)*(CriteriTecnici!$E$5:$E$2484="D")*(CriteriTecnici!$T$5:$T$2484="SI")*IFERROR(CriteriTecnici!$O$5:$O$2484*1,0))))),0)+IF(SUMPRODUCT(MAX((CriteriTecnici!$C$5:$C$2484=$C41)*(CriteriTecnici!$E$5:$E$2484="E")*(CriteriTecnici!$T$5:$T$2484="SI")*IFERROR(CriteriTecnici!$O$5:$O$2484*1,0)))&gt;0,MIN(4,SUMIFS(CriteriTecnici!$O:$O,CriteriTecnici!$Q:$Q,$A41&amp;"|"&amp;$C41,CriteriTecnici!$E:$E,"E")*(4/SUMPRODUCT(MAX((CriteriTecnici!$C$5:$C$2484=$C41)*(CriteriTecnici!$E$5:$E$2484="E")*(CriteriTecnici!$T$5:$T$2484="SI")*IFERROR(CriteriTecnici!$O$5:$O$2484*1,0))))),0)+IF(SUMPRODUCT(MAX((CriteriTecnici!$C$5:$C$2484=$C41)*(CriteriTecnici!$E$5:$E$2484="F")*(CriteriTecnici!$T$5:$T$2484="SI")*IFERROR(CriteriTecnici!$O$5:$O$2484*1,0)))&gt;0,MIN(14,SUMIFS(CriteriTecnici!$O:$O,CriteriTecnici!$Q:$Q,$A41&amp;"|"&amp;$C41,CriteriTecnici!$E:$E,"F")*(14/SUMPRODUCT(MAX((CriteriTecnici!$C$5:$C$2484=$C41)*(CriteriTecnici!$E$5:$E$2484="F")*(CriteriTecnici!$T$5:$T$2484="SI")*IFERROR(CriteriTecnici!$O$5:$O$2484*1,0))))),0)+IF(SUMPRODUCT(MAX((CriteriTecnici!$C$5:$C$2484=$C41)*(CriteriTecnici!$E$5:$E$2484="G")*(CriteriTecnici!$T$5:$T$2484="SI")*IFERROR(CriteriTecnici!$O$5:$O$2484*1,0)))&gt;0,MIN(7,SUMIFS(CriteriTecnici!$O:$O,CriteriTecnici!$Q:$Q,$A41&amp;"|"&amp;$C41,CriteriTecnici!$E:$E,"G")*(7/SUMPRODUCT(MAX((CriteriTecnici!$C$5:$C$2484=$C41)*(CriteriTecnici!$E$5:$E$2484="G")*(CriteriTecnici!$T$5:$T$2484="SI")*IFERROR(CriteriTecnici!$O$5:$O$2484*1,0))))),0),4),0),IFERROR($N41*1,0)),0))</f>
        <v/>
      </c>
      <c r="F41" s="56">
        <f>IF(Compila!$A51="","",Compila!$E51)</f>
        <v/>
      </c>
      <c r="G41" s="57">
        <f>IF($A41="","",IF(IFERROR(VALUE($D41),0)&lt;&gt;1,"NO",IF(IFERROR(VALUE($O41),0)&gt;=Parametri!$B$2,"SI","NO")))</f>
        <v/>
      </c>
      <c r="H41" s="57">
        <f>IF($G41="SI",SUMPRODUCT(MAX(($C$2:$C$81=$C41)*(IFERROR($D$2:$D$81*1,0)=1)*(IFERROR($O$2:$O$81*1,0)&gt;=Parametri!$B$2)*IFERROR($F$2:$F$81*1,0))),0)</f>
        <v/>
      </c>
      <c r="I41" s="57">
        <f>IF($G41="SI",IF($H41&gt;0,30*(IFERROR($F41*1,0)/$H41),0),0)</f>
        <v/>
      </c>
      <c r="J41" s="57">
        <f>IF($A41="",0,IF($G41="SI",ROUND(IFERROR($E41*1,0)+$I41,4),ROUND(IFERROR($E41*1,0),4)))</f>
        <v/>
      </c>
      <c r="K41" s="57">
        <f>IF($A41="","",IF(IFERROR(VALUE($D41),0)&lt;&gt;1,"Non attiva",IF(IFERROR(VALUE($O41),0)&lt;Parametri!$B$2,"Sotto soglia","")))</f>
        <v/>
      </c>
      <c r="L41" s="57">
        <f>IF($A41="","",$A41&amp;"|"&amp;$C41)</f>
        <v/>
      </c>
      <c r="M41" s="57">
        <f>IF($A41="","",$C41&amp;"|"&amp;TEXT($J41,"0.0000"))</f>
        <v/>
      </c>
      <c r="N41" s="57" t="n"/>
      <c r="O41" s="57">
        <f>IF($A41="",0,IFERROR(IF(SUMIFS(CriteriTecnici!$O:$O,CriteriTecnici!$Q:$Q,$A41&amp;"|"&amp;$C41)&gt;0,SUMIFS(CriteriTecnici!$O:$O,CriteriTecnici!$Q:$Q,$A41&amp;"|"&amp;$C41,CriteriTecnici!$F:$F,"Q")+SUMIFS(CriteriTecnici!$O:$O,CriteriTecnici!$Q:$Q,$A41&amp;"|"&amp;$C41,CriteriTecnici!$F:$F,"T"),IFERROR($N41*1,0)),0))</f>
        <v/>
      </c>
      <c r="P41" s="57">
        <f>IF($A41="","",IF(SUMIFS(CriteriTecnici!$O:$O,CriteriTecnici!$Q:$Q,$A41&amp;"|"&amp;$C41)&gt;0,"Criteri A-G","Aggregato"))</f>
        <v/>
      </c>
    </row>
    <row r="42">
      <c r="A42" s="56">
        <f>IF(Compila!$A52="","",Compila!$A52)</f>
        <v/>
      </c>
      <c r="B42" s="56">
        <f>IF(Compila!$A52="","",Compila!$B52)</f>
        <v/>
      </c>
      <c r="C42" s="56">
        <f>IF(Compila!$A52="","",Compila!$C52)</f>
        <v/>
      </c>
      <c r="D42" s="56">
        <f>IF(Compila!$A52="","",Compila!$D52)</f>
        <v/>
      </c>
      <c r="E42" s="57">
        <f>IF($A42="",0,IFERROR(IF(SUMIFS(CriteriTecnici!$O:$O,CriteriTecnici!$Q:$Q,$A42&amp;"|"&amp;$C42)&gt;0,IF($G42="SI",ROUND(IF(SUMPRODUCT(MAX((CriteriTecnici!$C$5:$C$2484=$C42)*(CriteriTecnici!$E$5:$E$2484="A")*(CriteriTecnici!$T$5:$T$2484="SI")*IFERROR(CriteriTecnici!$O$5:$O$2484*1,0)))&gt;0,MIN(7,SUMIFS(CriteriTecnici!$O:$O,CriteriTecnici!$Q:$Q,$A42&amp;"|"&amp;$C42,CriteriTecnici!$E:$E,"A")*(7/SUMPRODUCT(MAX((CriteriTecnici!$C$5:$C$2484=$C42)*(CriteriTecnici!$E$5:$E$2484="A")*(CriteriTecnici!$T$5:$T$2484="SI")*IFERROR(CriteriTecnici!$O$5:$O$2484*1,0))))),0)+IF(SUMPRODUCT(MAX((CriteriTecnici!$C$5:$C$2484=$C42)*(CriteriTecnici!$E$5:$E$2484="B")*(CriteriTecnici!$T$5:$T$2484="SI")*IFERROR(CriteriTecnici!$O$5:$O$2484*1,0)))&gt;0,MIN(14,SUMIFS(CriteriTecnici!$O:$O,CriteriTecnici!$Q:$Q,$A42&amp;"|"&amp;$C42,CriteriTecnici!$E:$E,"B")*(14/SUMPRODUCT(MAX((CriteriTecnici!$C$5:$C$2484=$C42)*(CriteriTecnici!$E$5:$E$2484="B")*(CriteriTecnici!$T$5:$T$2484="SI")*IFERROR(CriteriTecnici!$O$5:$O$2484*1,0))))),0)+IF(SUMPRODUCT(MAX((CriteriTecnici!$C$5:$C$2484=$C42)*(CriteriTecnici!$E$5:$E$2484="C")*(CriteriTecnici!$T$5:$T$2484="SI")*IFERROR(CriteriTecnici!$O$5:$O$2484*1,0)))&gt;0,MIN(14,SUMIFS(CriteriTecnici!$O:$O,CriteriTecnici!$Q:$Q,$A42&amp;"|"&amp;$C42,CriteriTecnici!$E:$E,"C")*(14/SUMPRODUCT(MAX((CriteriTecnici!$C$5:$C$2484=$C42)*(CriteriTecnici!$E$5:$E$2484="C")*(CriteriTecnici!$T$5:$T$2484="SI")*IFERROR(CriteriTecnici!$O$5:$O$2484*1,0))))),0)+IF(SUMPRODUCT(MAX((CriteriTecnici!$C$5:$C$2484=$C42)*(CriteriTecnici!$E$5:$E$2484="D")*(CriteriTecnici!$T$5:$T$2484="SI")*IFERROR(CriteriTecnici!$O$5:$O$2484*1,0)))&gt;0,MIN(10,SUMIFS(CriteriTecnici!$O:$O,CriteriTecnici!$Q:$Q,$A42&amp;"|"&amp;$C42,CriteriTecnici!$E:$E,"D")*(10/SUMPRODUCT(MAX((CriteriTecnici!$C$5:$C$2484=$C42)*(CriteriTecnici!$E$5:$E$2484="D")*(CriteriTecnici!$T$5:$T$2484="SI")*IFERROR(CriteriTecnici!$O$5:$O$2484*1,0))))),0)+IF(SUMPRODUCT(MAX((CriteriTecnici!$C$5:$C$2484=$C42)*(CriteriTecnici!$E$5:$E$2484="E")*(CriteriTecnici!$T$5:$T$2484="SI")*IFERROR(CriteriTecnici!$O$5:$O$2484*1,0)))&gt;0,MIN(4,SUMIFS(CriteriTecnici!$O:$O,CriteriTecnici!$Q:$Q,$A42&amp;"|"&amp;$C42,CriteriTecnici!$E:$E,"E")*(4/SUMPRODUCT(MAX((CriteriTecnici!$C$5:$C$2484=$C42)*(CriteriTecnici!$E$5:$E$2484="E")*(CriteriTecnici!$T$5:$T$2484="SI")*IFERROR(CriteriTecnici!$O$5:$O$2484*1,0))))),0)+IF(SUMPRODUCT(MAX((CriteriTecnici!$C$5:$C$2484=$C42)*(CriteriTecnici!$E$5:$E$2484="F")*(CriteriTecnici!$T$5:$T$2484="SI")*IFERROR(CriteriTecnici!$O$5:$O$2484*1,0)))&gt;0,MIN(14,SUMIFS(CriteriTecnici!$O:$O,CriteriTecnici!$Q:$Q,$A42&amp;"|"&amp;$C42,CriteriTecnici!$E:$E,"F")*(14/SUMPRODUCT(MAX((CriteriTecnici!$C$5:$C$2484=$C42)*(CriteriTecnici!$E$5:$E$2484="F")*(CriteriTecnici!$T$5:$T$2484="SI")*IFERROR(CriteriTecnici!$O$5:$O$2484*1,0))))),0)+IF(SUMPRODUCT(MAX((CriteriTecnici!$C$5:$C$2484=$C42)*(CriteriTecnici!$E$5:$E$2484="G")*(CriteriTecnici!$T$5:$T$2484="SI")*IFERROR(CriteriTecnici!$O$5:$O$2484*1,0)))&gt;0,MIN(7,SUMIFS(CriteriTecnici!$O:$O,CriteriTecnici!$Q:$Q,$A42&amp;"|"&amp;$C42,CriteriTecnici!$E:$E,"G")*(7/SUMPRODUCT(MAX((CriteriTecnici!$C$5:$C$2484=$C42)*(CriteriTecnici!$E$5:$E$2484="G")*(CriteriTecnici!$T$5:$T$2484="SI")*IFERROR(CriteriTecnici!$O$5:$O$2484*1,0))))),0),4),0),IFERROR($N42*1,0)),0))</f>
        <v/>
      </c>
      <c r="F42" s="56">
        <f>IF(Compila!$A52="","",Compila!$E52)</f>
        <v/>
      </c>
      <c r="G42" s="57">
        <f>IF($A42="","",IF(IFERROR(VALUE($D42),0)&lt;&gt;1,"NO",IF(IFERROR(VALUE($O42),0)&gt;=Parametri!$B$2,"SI","NO")))</f>
        <v/>
      </c>
      <c r="H42" s="57">
        <f>IF($G42="SI",SUMPRODUCT(MAX(($C$2:$C$81=$C42)*(IFERROR($D$2:$D$81*1,0)=1)*(IFERROR($O$2:$O$81*1,0)&gt;=Parametri!$B$2)*IFERROR($F$2:$F$81*1,0))),0)</f>
        <v/>
      </c>
      <c r="I42" s="57">
        <f>IF($G42="SI",IF($H42&gt;0,30*(IFERROR($F42*1,0)/$H42),0),0)</f>
        <v/>
      </c>
      <c r="J42" s="57">
        <f>IF($A42="",0,IF($G42="SI",ROUND(IFERROR($E42*1,0)+$I42,4),ROUND(IFERROR($E42*1,0),4)))</f>
        <v/>
      </c>
      <c r="K42" s="57">
        <f>IF($A42="","",IF(IFERROR(VALUE($D42),0)&lt;&gt;1,"Non attiva",IF(IFERROR(VALUE($O42),0)&lt;Parametri!$B$2,"Sotto soglia","")))</f>
        <v/>
      </c>
      <c r="L42" s="57">
        <f>IF($A42="","",$A42&amp;"|"&amp;$C42)</f>
        <v/>
      </c>
      <c r="M42" s="57">
        <f>IF($A42="","",$C42&amp;"|"&amp;TEXT($J42,"0.0000"))</f>
        <v/>
      </c>
      <c r="N42" s="57" t="n"/>
      <c r="O42" s="57">
        <f>IF($A42="",0,IFERROR(IF(SUMIFS(CriteriTecnici!$O:$O,CriteriTecnici!$Q:$Q,$A42&amp;"|"&amp;$C42)&gt;0,SUMIFS(CriteriTecnici!$O:$O,CriteriTecnici!$Q:$Q,$A42&amp;"|"&amp;$C42,CriteriTecnici!$F:$F,"Q")+SUMIFS(CriteriTecnici!$O:$O,CriteriTecnici!$Q:$Q,$A42&amp;"|"&amp;$C42,CriteriTecnici!$F:$F,"T"),IFERROR($N42*1,0)),0))</f>
        <v/>
      </c>
      <c r="P42" s="57">
        <f>IF($A42="","",IF(SUMIFS(CriteriTecnici!$O:$O,CriteriTecnici!$Q:$Q,$A42&amp;"|"&amp;$C42)&gt;0,"Criteri A-G","Aggregato"))</f>
        <v/>
      </c>
    </row>
    <row r="43">
      <c r="A43" s="56">
        <f>IF(Compila!$A53="","",Compila!$A53)</f>
        <v/>
      </c>
      <c r="B43" s="56">
        <f>IF(Compila!$A53="","",Compila!$B53)</f>
        <v/>
      </c>
      <c r="C43" s="56">
        <f>IF(Compila!$A53="","",Compila!$C53)</f>
        <v/>
      </c>
      <c r="D43" s="56">
        <f>IF(Compila!$A53="","",Compila!$D53)</f>
        <v/>
      </c>
      <c r="E43" s="57">
        <f>IF($A43="",0,IFERROR(IF(SUMIFS(CriteriTecnici!$O:$O,CriteriTecnici!$Q:$Q,$A43&amp;"|"&amp;$C43)&gt;0,IF($G43="SI",ROUND(IF(SUMPRODUCT(MAX((CriteriTecnici!$C$5:$C$2484=$C43)*(CriteriTecnici!$E$5:$E$2484="A")*(CriteriTecnici!$T$5:$T$2484="SI")*IFERROR(CriteriTecnici!$O$5:$O$2484*1,0)))&gt;0,MIN(7,SUMIFS(CriteriTecnici!$O:$O,CriteriTecnici!$Q:$Q,$A43&amp;"|"&amp;$C43,CriteriTecnici!$E:$E,"A")*(7/SUMPRODUCT(MAX((CriteriTecnici!$C$5:$C$2484=$C43)*(CriteriTecnici!$E$5:$E$2484="A")*(CriteriTecnici!$T$5:$T$2484="SI")*IFERROR(CriteriTecnici!$O$5:$O$2484*1,0))))),0)+IF(SUMPRODUCT(MAX((CriteriTecnici!$C$5:$C$2484=$C43)*(CriteriTecnici!$E$5:$E$2484="B")*(CriteriTecnici!$T$5:$T$2484="SI")*IFERROR(CriteriTecnici!$O$5:$O$2484*1,0)))&gt;0,MIN(14,SUMIFS(CriteriTecnici!$O:$O,CriteriTecnici!$Q:$Q,$A43&amp;"|"&amp;$C43,CriteriTecnici!$E:$E,"B")*(14/SUMPRODUCT(MAX((CriteriTecnici!$C$5:$C$2484=$C43)*(CriteriTecnici!$E$5:$E$2484="B")*(CriteriTecnici!$T$5:$T$2484="SI")*IFERROR(CriteriTecnici!$O$5:$O$2484*1,0))))),0)+IF(SUMPRODUCT(MAX((CriteriTecnici!$C$5:$C$2484=$C43)*(CriteriTecnici!$E$5:$E$2484="C")*(CriteriTecnici!$T$5:$T$2484="SI")*IFERROR(CriteriTecnici!$O$5:$O$2484*1,0)))&gt;0,MIN(14,SUMIFS(CriteriTecnici!$O:$O,CriteriTecnici!$Q:$Q,$A43&amp;"|"&amp;$C43,CriteriTecnici!$E:$E,"C")*(14/SUMPRODUCT(MAX((CriteriTecnici!$C$5:$C$2484=$C43)*(CriteriTecnici!$E$5:$E$2484="C")*(CriteriTecnici!$T$5:$T$2484="SI")*IFERROR(CriteriTecnici!$O$5:$O$2484*1,0))))),0)+IF(SUMPRODUCT(MAX((CriteriTecnici!$C$5:$C$2484=$C43)*(CriteriTecnici!$E$5:$E$2484="D")*(CriteriTecnici!$T$5:$T$2484="SI")*IFERROR(CriteriTecnici!$O$5:$O$2484*1,0)))&gt;0,MIN(10,SUMIFS(CriteriTecnici!$O:$O,CriteriTecnici!$Q:$Q,$A43&amp;"|"&amp;$C43,CriteriTecnici!$E:$E,"D")*(10/SUMPRODUCT(MAX((CriteriTecnici!$C$5:$C$2484=$C43)*(CriteriTecnici!$E$5:$E$2484="D")*(CriteriTecnici!$T$5:$T$2484="SI")*IFERROR(CriteriTecnici!$O$5:$O$2484*1,0))))),0)+IF(SUMPRODUCT(MAX((CriteriTecnici!$C$5:$C$2484=$C43)*(CriteriTecnici!$E$5:$E$2484="E")*(CriteriTecnici!$T$5:$T$2484="SI")*IFERROR(CriteriTecnici!$O$5:$O$2484*1,0)))&gt;0,MIN(4,SUMIFS(CriteriTecnici!$O:$O,CriteriTecnici!$Q:$Q,$A43&amp;"|"&amp;$C43,CriteriTecnici!$E:$E,"E")*(4/SUMPRODUCT(MAX((CriteriTecnici!$C$5:$C$2484=$C43)*(CriteriTecnici!$E$5:$E$2484="E")*(CriteriTecnici!$T$5:$T$2484="SI")*IFERROR(CriteriTecnici!$O$5:$O$2484*1,0))))),0)+IF(SUMPRODUCT(MAX((CriteriTecnici!$C$5:$C$2484=$C43)*(CriteriTecnici!$E$5:$E$2484="F")*(CriteriTecnici!$T$5:$T$2484="SI")*IFERROR(CriteriTecnici!$O$5:$O$2484*1,0)))&gt;0,MIN(14,SUMIFS(CriteriTecnici!$O:$O,CriteriTecnici!$Q:$Q,$A43&amp;"|"&amp;$C43,CriteriTecnici!$E:$E,"F")*(14/SUMPRODUCT(MAX((CriteriTecnici!$C$5:$C$2484=$C43)*(CriteriTecnici!$E$5:$E$2484="F")*(CriteriTecnici!$T$5:$T$2484="SI")*IFERROR(CriteriTecnici!$O$5:$O$2484*1,0))))),0)+IF(SUMPRODUCT(MAX((CriteriTecnici!$C$5:$C$2484=$C43)*(CriteriTecnici!$E$5:$E$2484="G")*(CriteriTecnici!$T$5:$T$2484="SI")*IFERROR(CriteriTecnici!$O$5:$O$2484*1,0)))&gt;0,MIN(7,SUMIFS(CriteriTecnici!$O:$O,CriteriTecnici!$Q:$Q,$A43&amp;"|"&amp;$C43,CriteriTecnici!$E:$E,"G")*(7/SUMPRODUCT(MAX((CriteriTecnici!$C$5:$C$2484=$C43)*(CriteriTecnici!$E$5:$E$2484="G")*(CriteriTecnici!$T$5:$T$2484="SI")*IFERROR(CriteriTecnici!$O$5:$O$2484*1,0))))),0),4),0),IFERROR($N43*1,0)),0))</f>
        <v/>
      </c>
      <c r="F43" s="56">
        <f>IF(Compila!$A53="","",Compila!$E53)</f>
        <v/>
      </c>
      <c r="G43" s="57">
        <f>IF($A43="","",IF(IFERROR(VALUE($D43),0)&lt;&gt;1,"NO",IF(IFERROR(VALUE($O43),0)&gt;=Parametri!$B$2,"SI","NO")))</f>
        <v/>
      </c>
      <c r="H43" s="57">
        <f>IF($G43="SI",SUMPRODUCT(MAX(($C$2:$C$81=$C43)*(IFERROR($D$2:$D$81*1,0)=1)*(IFERROR($O$2:$O$81*1,0)&gt;=Parametri!$B$2)*IFERROR($F$2:$F$81*1,0))),0)</f>
        <v/>
      </c>
      <c r="I43" s="57">
        <f>IF($G43="SI",IF($H43&gt;0,30*(IFERROR($F43*1,0)/$H43),0),0)</f>
        <v/>
      </c>
      <c r="J43" s="57">
        <f>IF($A43="",0,IF($G43="SI",ROUND(IFERROR($E43*1,0)+$I43,4),ROUND(IFERROR($E43*1,0),4)))</f>
        <v/>
      </c>
      <c r="K43" s="57">
        <f>IF($A43="","",IF(IFERROR(VALUE($D43),0)&lt;&gt;1,"Non attiva",IF(IFERROR(VALUE($O43),0)&lt;Parametri!$B$2,"Sotto soglia","")))</f>
        <v/>
      </c>
      <c r="L43" s="57">
        <f>IF($A43="","",$A43&amp;"|"&amp;$C43)</f>
        <v/>
      </c>
      <c r="M43" s="57">
        <f>IF($A43="","",$C43&amp;"|"&amp;TEXT($J43,"0.0000"))</f>
        <v/>
      </c>
      <c r="N43" s="57" t="n"/>
      <c r="O43" s="57">
        <f>IF($A43="",0,IFERROR(IF(SUMIFS(CriteriTecnici!$O:$O,CriteriTecnici!$Q:$Q,$A43&amp;"|"&amp;$C43)&gt;0,SUMIFS(CriteriTecnici!$O:$O,CriteriTecnici!$Q:$Q,$A43&amp;"|"&amp;$C43,CriteriTecnici!$F:$F,"Q")+SUMIFS(CriteriTecnici!$O:$O,CriteriTecnici!$Q:$Q,$A43&amp;"|"&amp;$C43,CriteriTecnici!$F:$F,"T"),IFERROR($N43*1,0)),0))</f>
        <v/>
      </c>
      <c r="P43" s="57">
        <f>IF($A43="","",IF(SUMIFS(CriteriTecnici!$O:$O,CriteriTecnici!$Q:$Q,$A43&amp;"|"&amp;$C43)&gt;0,"Criteri A-G","Aggregato"))</f>
        <v/>
      </c>
    </row>
    <row r="44">
      <c r="A44" s="56">
        <f>IF(Compila!$A54="","",Compila!$A54)</f>
        <v/>
      </c>
      <c r="B44" s="56">
        <f>IF(Compila!$A54="","",Compila!$B54)</f>
        <v/>
      </c>
      <c r="C44" s="56">
        <f>IF(Compila!$A54="","",Compila!$C54)</f>
        <v/>
      </c>
      <c r="D44" s="56">
        <f>IF(Compila!$A54="","",Compila!$D54)</f>
        <v/>
      </c>
      <c r="E44" s="57">
        <f>IF($A44="",0,IFERROR(IF(SUMIFS(CriteriTecnici!$O:$O,CriteriTecnici!$Q:$Q,$A44&amp;"|"&amp;$C44)&gt;0,IF($G44="SI",ROUND(IF(SUMPRODUCT(MAX((CriteriTecnici!$C$5:$C$2484=$C44)*(CriteriTecnici!$E$5:$E$2484="A")*(CriteriTecnici!$T$5:$T$2484="SI")*IFERROR(CriteriTecnici!$O$5:$O$2484*1,0)))&gt;0,MIN(7,SUMIFS(CriteriTecnici!$O:$O,CriteriTecnici!$Q:$Q,$A44&amp;"|"&amp;$C44,CriteriTecnici!$E:$E,"A")*(7/SUMPRODUCT(MAX((CriteriTecnici!$C$5:$C$2484=$C44)*(CriteriTecnici!$E$5:$E$2484="A")*(CriteriTecnici!$T$5:$T$2484="SI")*IFERROR(CriteriTecnici!$O$5:$O$2484*1,0))))),0)+IF(SUMPRODUCT(MAX((CriteriTecnici!$C$5:$C$2484=$C44)*(CriteriTecnici!$E$5:$E$2484="B")*(CriteriTecnici!$T$5:$T$2484="SI")*IFERROR(CriteriTecnici!$O$5:$O$2484*1,0)))&gt;0,MIN(14,SUMIFS(CriteriTecnici!$O:$O,CriteriTecnici!$Q:$Q,$A44&amp;"|"&amp;$C44,CriteriTecnici!$E:$E,"B")*(14/SUMPRODUCT(MAX((CriteriTecnici!$C$5:$C$2484=$C44)*(CriteriTecnici!$E$5:$E$2484="B")*(CriteriTecnici!$T$5:$T$2484="SI")*IFERROR(CriteriTecnici!$O$5:$O$2484*1,0))))),0)+IF(SUMPRODUCT(MAX((CriteriTecnici!$C$5:$C$2484=$C44)*(CriteriTecnici!$E$5:$E$2484="C")*(CriteriTecnici!$T$5:$T$2484="SI")*IFERROR(CriteriTecnici!$O$5:$O$2484*1,0)))&gt;0,MIN(14,SUMIFS(CriteriTecnici!$O:$O,CriteriTecnici!$Q:$Q,$A44&amp;"|"&amp;$C44,CriteriTecnici!$E:$E,"C")*(14/SUMPRODUCT(MAX((CriteriTecnici!$C$5:$C$2484=$C44)*(CriteriTecnici!$E$5:$E$2484="C")*(CriteriTecnici!$T$5:$T$2484="SI")*IFERROR(CriteriTecnici!$O$5:$O$2484*1,0))))),0)+IF(SUMPRODUCT(MAX((CriteriTecnici!$C$5:$C$2484=$C44)*(CriteriTecnici!$E$5:$E$2484="D")*(CriteriTecnici!$T$5:$T$2484="SI")*IFERROR(CriteriTecnici!$O$5:$O$2484*1,0)))&gt;0,MIN(10,SUMIFS(CriteriTecnici!$O:$O,CriteriTecnici!$Q:$Q,$A44&amp;"|"&amp;$C44,CriteriTecnici!$E:$E,"D")*(10/SUMPRODUCT(MAX((CriteriTecnici!$C$5:$C$2484=$C44)*(CriteriTecnici!$E$5:$E$2484="D")*(CriteriTecnici!$T$5:$T$2484="SI")*IFERROR(CriteriTecnici!$O$5:$O$2484*1,0))))),0)+IF(SUMPRODUCT(MAX((CriteriTecnici!$C$5:$C$2484=$C44)*(CriteriTecnici!$E$5:$E$2484="E")*(CriteriTecnici!$T$5:$T$2484="SI")*IFERROR(CriteriTecnici!$O$5:$O$2484*1,0)))&gt;0,MIN(4,SUMIFS(CriteriTecnici!$O:$O,CriteriTecnici!$Q:$Q,$A44&amp;"|"&amp;$C44,CriteriTecnici!$E:$E,"E")*(4/SUMPRODUCT(MAX((CriteriTecnici!$C$5:$C$2484=$C44)*(CriteriTecnici!$E$5:$E$2484="E")*(CriteriTecnici!$T$5:$T$2484="SI")*IFERROR(CriteriTecnici!$O$5:$O$2484*1,0))))),0)+IF(SUMPRODUCT(MAX((CriteriTecnici!$C$5:$C$2484=$C44)*(CriteriTecnici!$E$5:$E$2484="F")*(CriteriTecnici!$T$5:$T$2484="SI")*IFERROR(CriteriTecnici!$O$5:$O$2484*1,0)))&gt;0,MIN(14,SUMIFS(CriteriTecnici!$O:$O,CriteriTecnici!$Q:$Q,$A44&amp;"|"&amp;$C44,CriteriTecnici!$E:$E,"F")*(14/SUMPRODUCT(MAX((CriteriTecnici!$C$5:$C$2484=$C44)*(CriteriTecnici!$E$5:$E$2484="F")*(CriteriTecnici!$T$5:$T$2484="SI")*IFERROR(CriteriTecnici!$O$5:$O$2484*1,0))))),0)+IF(SUMPRODUCT(MAX((CriteriTecnici!$C$5:$C$2484=$C44)*(CriteriTecnici!$E$5:$E$2484="G")*(CriteriTecnici!$T$5:$T$2484="SI")*IFERROR(CriteriTecnici!$O$5:$O$2484*1,0)))&gt;0,MIN(7,SUMIFS(CriteriTecnici!$O:$O,CriteriTecnici!$Q:$Q,$A44&amp;"|"&amp;$C44,CriteriTecnici!$E:$E,"G")*(7/SUMPRODUCT(MAX((CriteriTecnici!$C$5:$C$2484=$C44)*(CriteriTecnici!$E$5:$E$2484="G")*(CriteriTecnici!$T$5:$T$2484="SI")*IFERROR(CriteriTecnici!$O$5:$O$2484*1,0))))),0),4),0),IFERROR($N44*1,0)),0))</f>
        <v/>
      </c>
      <c r="F44" s="56">
        <f>IF(Compila!$A54="","",Compila!$E54)</f>
        <v/>
      </c>
      <c r="G44" s="57">
        <f>IF($A44="","",IF(IFERROR(VALUE($D44),0)&lt;&gt;1,"NO",IF(IFERROR(VALUE($O44),0)&gt;=Parametri!$B$2,"SI","NO")))</f>
        <v/>
      </c>
      <c r="H44" s="57">
        <f>IF($G44="SI",SUMPRODUCT(MAX(($C$2:$C$81=$C44)*(IFERROR($D$2:$D$81*1,0)=1)*(IFERROR($O$2:$O$81*1,0)&gt;=Parametri!$B$2)*IFERROR($F$2:$F$81*1,0))),0)</f>
        <v/>
      </c>
      <c r="I44" s="57">
        <f>IF($G44="SI",IF($H44&gt;0,30*(IFERROR($F44*1,0)/$H44),0),0)</f>
        <v/>
      </c>
      <c r="J44" s="57">
        <f>IF($A44="",0,IF($G44="SI",ROUND(IFERROR($E44*1,0)+$I44,4),ROUND(IFERROR($E44*1,0),4)))</f>
        <v/>
      </c>
      <c r="K44" s="57">
        <f>IF($A44="","",IF(IFERROR(VALUE($D44),0)&lt;&gt;1,"Non attiva",IF(IFERROR(VALUE($O44),0)&lt;Parametri!$B$2,"Sotto soglia","")))</f>
        <v/>
      </c>
      <c r="L44" s="57">
        <f>IF($A44="","",$A44&amp;"|"&amp;$C44)</f>
        <v/>
      </c>
      <c r="M44" s="57">
        <f>IF($A44="","",$C44&amp;"|"&amp;TEXT($J44,"0.0000"))</f>
        <v/>
      </c>
      <c r="N44" s="57" t="n"/>
      <c r="O44" s="57">
        <f>IF($A44="",0,IFERROR(IF(SUMIFS(CriteriTecnici!$O:$O,CriteriTecnici!$Q:$Q,$A44&amp;"|"&amp;$C44)&gt;0,SUMIFS(CriteriTecnici!$O:$O,CriteriTecnici!$Q:$Q,$A44&amp;"|"&amp;$C44,CriteriTecnici!$F:$F,"Q")+SUMIFS(CriteriTecnici!$O:$O,CriteriTecnici!$Q:$Q,$A44&amp;"|"&amp;$C44,CriteriTecnici!$F:$F,"T"),IFERROR($N44*1,0)),0))</f>
        <v/>
      </c>
      <c r="P44" s="57">
        <f>IF($A44="","",IF(SUMIFS(CriteriTecnici!$O:$O,CriteriTecnici!$Q:$Q,$A44&amp;"|"&amp;$C44)&gt;0,"Criteri A-G","Aggregato"))</f>
        <v/>
      </c>
    </row>
    <row r="45">
      <c r="A45" s="56">
        <f>IF(Compila!$A55="","",Compila!$A55)</f>
        <v/>
      </c>
      <c r="B45" s="56">
        <f>IF(Compila!$A55="","",Compila!$B55)</f>
        <v/>
      </c>
      <c r="C45" s="56">
        <f>IF(Compila!$A55="","",Compila!$C55)</f>
        <v/>
      </c>
      <c r="D45" s="56">
        <f>IF(Compila!$A55="","",Compila!$D55)</f>
        <v/>
      </c>
      <c r="E45" s="57">
        <f>IF($A45="",0,IFERROR(IF(SUMIFS(CriteriTecnici!$O:$O,CriteriTecnici!$Q:$Q,$A45&amp;"|"&amp;$C45)&gt;0,IF($G45="SI",ROUND(IF(SUMPRODUCT(MAX((CriteriTecnici!$C$5:$C$2484=$C45)*(CriteriTecnici!$E$5:$E$2484="A")*(CriteriTecnici!$T$5:$T$2484="SI")*IFERROR(CriteriTecnici!$O$5:$O$2484*1,0)))&gt;0,MIN(7,SUMIFS(CriteriTecnici!$O:$O,CriteriTecnici!$Q:$Q,$A45&amp;"|"&amp;$C45,CriteriTecnici!$E:$E,"A")*(7/SUMPRODUCT(MAX((CriteriTecnici!$C$5:$C$2484=$C45)*(CriteriTecnici!$E$5:$E$2484="A")*(CriteriTecnici!$T$5:$T$2484="SI")*IFERROR(CriteriTecnici!$O$5:$O$2484*1,0))))),0)+IF(SUMPRODUCT(MAX((CriteriTecnici!$C$5:$C$2484=$C45)*(CriteriTecnici!$E$5:$E$2484="B")*(CriteriTecnici!$T$5:$T$2484="SI")*IFERROR(CriteriTecnici!$O$5:$O$2484*1,0)))&gt;0,MIN(14,SUMIFS(CriteriTecnici!$O:$O,CriteriTecnici!$Q:$Q,$A45&amp;"|"&amp;$C45,CriteriTecnici!$E:$E,"B")*(14/SUMPRODUCT(MAX((CriteriTecnici!$C$5:$C$2484=$C45)*(CriteriTecnici!$E$5:$E$2484="B")*(CriteriTecnici!$T$5:$T$2484="SI")*IFERROR(CriteriTecnici!$O$5:$O$2484*1,0))))),0)+IF(SUMPRODUCT(MAX((CriteriTecnici!$C$5:$C$2484=$C45)*(CriteriTecnici!$E$5:$E$2484="C")*(CriteriTecnici!$T$5:$T$2484="SI")*IFERROR(CriteriTecnici!$O$5:$O$2484*1,0)))&gt;0,MIN(14,SUMIFS(CriteriTecnici!$O:$O,CriteriTecnici!$Q:$Q,$A45&amp;"|"&amp;$C45,CriteriTecnici!$E:$E,"C")*(14/SUMPRODUCT(MAX((CriteriTecnici!$C$5:$C$2484=$C45)*(CriteriTecnici!$E$5:$E$2484="C")*(CriteriTecnici!$T$5:$T$2484="SI")*IFERROR(CriteriTecnici!$O$5:$O$2484*1,0))))),0)+IF(SUMPRODUCT(MAX((CriteriTecnici!$C$5:$C$2484=$C45)*(CriteriTecnici!$E$5:$E$2484="D")*(CriteriTecnici!$T$5:$T$2484="SI")*IFERROR(CriteriTecnici!$O$5:$O$2484*1,0)))&gt;0,MIN(10,SUMIFS(CriteriTecnici!$O:$O,CriteriTecnici!$Q:$Q,$A45&amp;"|"&amp;$C45,CriteriTecnici!$E:$E,"D")*(10/SUMPRODUCT(MAX((CriteriTecnici!$C$5:$C$2484=$C45)*(CriteriTecnici!$E$5:$E$2484="D")*(CriteriTecnici!$T$5:$T$2484="SI")*IFERROR(CriteriTecnici!$O$5:$O$2484*1,0))))),0)+IF(SUMPRODUCT(MAX((CriteriTecnici!$C$5:$C$2484=$C45)*(CriteriTecnici!$E$5:$E$2484="E")*(CriteriTecnici!$T$5:$T$2484="SI")*IFERROR(CriteriTecnici!$O$5:$O$2484*1,0)))&gt;0,MIN(4,SUMIFS(CriteriTecnici!$O:$O,CriteriTecnici!$Q:$Q,$A45&amp;"|"&amp;$C45,CriteriTecnici!$E:$E,"E")*(4/SUMPRODUCT(MAX((CriteriTecnici!$C$5:$C$2484=$C45)*(CriteriTecnici!$E$5:$E$2484="E")*(CriteriTecnici!$T$5:$T$2484="SI")*IFERROR(CriteriTecnici!$O$5:$O$2484*1,0))))),0)+IF(SUMPRODUCT(MAX((CriteriTecnici!$C$5:$C$2484=$C45)*(CriteriTecnici!$E$5:$E$2484="F")*(CriteriTecnici!$T$5:$T$2484="SI")*IFERROR(CriteriTecnici!$O$5:$O$2484*1,0)))&gt;0,MIN(14,SUMIFS(CriteriTecnici!$O:$O,CriteriTecnici!$Q:$Q,$A45&amp;"|"&amp;$C45,CriteriTecnici!$E:$E,"F")*(14/SUMPRODUCT(MAX((CriteriTecnici!$C$5:$C$2484=$C45)*(CriteriTecnici!$E$5:$E$2484="F")*(CriteriTecnici!$T$5:$T$2484="SI")*IFERROR(CriteriTecnici!$O$5:$O$2484*1,0))))),0)+IF(SUMPRODUCT(MAX((CriteriTecnici!$C$5:$C$2484=$C45)*(CriteriTecnici!$E$5:$E$2484="G")*(CriteriTecnici!$T$5:$T$2484="SI")*IFERROR(CriteriTecnici!$O$5:$O$2484*1,0)))&gt;0,MIN(7,SUMIFS(CriteriTecnici!$O:$O,CriteriTecnici!$Q:$Q,$A45&amp;"|"&amp;$C45,CriteriTecnici!$E:$E,"G")*(7/SUMPRODUCT(MAX((CriteriTecnici!$C$5:$C$2484=$C45)*(CriteriTecnici!$E$5:$E$2484="G")*(CriteriTecnici!$T$5:$T$2484="SI")*IFERROR(CriteriTecnici!$O$5:$O$2484*1,0))))),0),4),0),IFERROR($N45*1,0)),0))</f>
        <v/>
      </c>
      <c r="F45" s="56">
        <f>IF(Compila!$A55="","",Compila!$E55)</f>
        <v/>
      </c>
      <c r="G45" s="57">
        <f>IF($A45="","",IF(IFERROR(VALUE($D45),0)&lt;&gt;1,"NO",IF(IFERROR(VALUE($O45),0)&gt;=Parametri!$B$2,"SI","NO")))</f>
        <v/>
      </c>
      <c r="H45" s="57">
        <f>IF($G45="SI",SUMPRODUCT(MAX(($C$2:$C$81=$C45)*(IFERROR($D$2:$D$81*1,0)=1)*(IFERROR($O$2:$O$81*1,0)&gt;=Parametri!$B$2)*IFERROR($F$2:$F$81*1,0))),0)</f>
        <v/>
      </c>
      <c r="I45" s="57">
        <f>IF($G45="SI",IF($H45&gt;0,30*(IFERROR($F45*1,0)/$H45),0),0)</f>
        <v/>
      </c>
      <c r="J45" s="57">
        <f>IF($A45="",0,IF($G45="SI",ROUND(IFERROR($E45*1,0)+$I45,4),ROUND(IFERROR($E45*1,0),4)))</f>
        <v/>
      </c>
      <c r="K45" s="57">
        <f>IF($A45="","",IF(IFERROR(VALUE($D45),0)&lt;&gt;1,"Non attiva",IF(IFERROR(VALUE($O45),0)&lt;Parametri!$B$2,"Sotto soglia","")))</f>
        <v/>
      </c>
      <c r="L45" s="57">
        <f>IF($A45="","",$A45&amp;"|"&amp;$C45)</f>
        <v/>
      </c>
      <c r="M45" s="57">
        <f>IF($A45="","",$C45&amp;"|"&amp;TEXT($J45,"0.0000"))</f>
        <v/>
      </c>
      <c r="N45" s="57" t="n"/>
      <c r="O45" s="57">
        <f>IF($A45="",0,IFERROR(IF(SUMIFS(CriteriTecnici!$O:$O,CriteriTecnici!$Q:$Q,$A45&amp;"|"&amp;$C45)&gt;0,SUMIFS(CriteriTecnici!$O:$O,CriteriTecnici!$Q:$Q,$A45&amp;"|"&amp;$C45,CriteriTecnici!$F:$F,"Q")+SUMIFS(CriteriTecnici!$O:$O,CriteriTecnici!$Q:$Q,$A45&amp;"|"&amp;$C45,CriteriTecnici!$F:$F,"T"),IFERROR($N45*1,0)),0))</f>
        <v/>
      </c>
      <c r="P45" s="57">
        <f>IF($A45="","",IF(SUMIFS(CriteriTecnici!$O:$O,CriteriTecnici!$Q:$Q,$A45&amp;"|"&amp;$C45)&gt;0,"Criteri A-G","Aggregato"))</f>
        <v/>
      </c>
    </row>
    <row r="46">
      <c r="A46" s="56">
        <f>IF(Compila!$A56="","",Compila!$A56)</f>
        <v/>
      </c>
      <c r="B46" s="56">
        <f>IF(Compila!$A56="","",Compila!$B56)</f>
        <v/>
      </c>
      <c r="C46" s="56">
        <f>IF(Compila!$A56="","",Compila!$C56)</f>
        <v/>
      </c>
      <c r="D46" s="56">
        <f>IF(Compila!$A56="","",Compila!$D56)</f>
        <v/>
      </c>
      <c r="E46" s="57">
        <f>IF($A46="",0,IFERROR(IF(SUMIFS(CriteriTecnici!$O:$O,CriteriTecnici!$Q:$Q,$A46&amp;"|"&amp;$C46)&gt;0,IF($G46="SI",ROUND(IF(SUMPRODUCT(MAX((CriteriTecnici!$C$5:$C$2484=$C46)*(CriteriTecnici!$E$5:$E$2484="A")*(CriteriTecnici!$T$5:$T$2484="SI")*IFERROR(CriteriTecnici!$O$5:$O$2484*1,0)))&gt;0,MIN(7,SUMIFS(CriteriTecnici!$O:$O,CriteriTecnici!$Q:$Q,$A46&amp;"|"&amp;$C46,CriteriTecnici!$E:$E,"A")*(7/SUMPRODUCT(MAX((CriteriTecnici!$C$5:$C$2484=$C46)*(CriteriTecnici!$E$5:$E$2484="A")*(CriteriTecnici!$T$5:$T$2484="SI")*IFERROR(CriteriTecnici!$O$5:$O$2484*1,0))))),0)+IF(SUMPRODUCT(MAX((CriteriTecnici!$C$5:$C$2484=$C46)*(CriteriTecnici!$E$5:$E$2484="B")*(CriteriTecnici!$T$5:$T$2484="SI")*IFERROR(CriteriTecnici!$O$5:$O$2484*1,0)))&gt;0,MIN(14,SUMIFS(CriteriTecnici!$O:$O,CriteriTecnici!$Q:$Q,$A46&amp;"|"&amp;$C46,CriteriTecnici!$E:$E,"B")*(14/SUMPRODUCT(MAX((CriteriTecnici!$C$5:$C$2484=$C46)*(CriteriTecnici!$E$5:$E$2484="B")*(CriteriTecnici!$T$5:$T$2484="SI")*IFERROR(CriteriTecnici!$O$5:$O$2484*1,0))))),0)+IF(SUMPRODUCT(MAX((CriteriTecnici!$C$5:$C$2484=$C46)*(CriteriTecnici!$E$5:$E$2484="C")*(CriteriTecnici!$T$5:$T$2484="SI")*IFERROR(CriteriTecnici!$O$5:$O$2484*1,0)))&gt;0,MIN(14,SUMIFS(CriteriTecnici!$O:$O,CriteriTecnici!$Q:$Q,$A46&amp;"|"&amp;$C46,CriteriTecnici!$E:$E,"C")*(14/SUMPRODUCT(MAX((CriteriTecnici!$C$5:$C$2484=$C46)*(CriteriTecnici!$E$5:$E$2484="C")*(CriteriTecnici!$T$5:$T$2484="SI")*IFERROR(CriteriTecnici!$O$5:$O$2484*1,0))))),0)+IF(SUMPRODUCT(MAX((CriteriTecnici!$C$5:$C$2484=$C46)*(CriteriTecnici!$E$5:$E$2484="D")*(CriteriTecnici!$T$5:$T$2484="SI")*IFERROR(CriteriTecnici!$O$5:$O$2484*1,0)))&gt;0,MIN(10,SUMIFS(CriteriTecnici!$O:$O,CriteriTecnici!$Q:$Q,$A46&amp;"|"&amp;$C46,CriteriTecnici!$E:$E,"D")*(10/SUMPRODUCT(MAX((CriteriTecnici!$C$5:$C$2484=$C46)*(CriteriTecnici!$E$5:$E$2484="D")*(CriteriTecnici!$T$5:$T$2484="SI")*IFERROR(CriteriTecnici!$O$5:$O$2484*1,0))))),0)+IF(SUMPRODUCT(MAX((CriteriTecnici!$C$5:$C$2484=$C46)*(CriteriTecnici!$E$5:$E$2484="E")*(CriteriTecnici!$T$5:$T$2484="SI")*IFERROR(CriteriTecnici!$O$5:$O$2484*1,0)))&gt;0,MIN(4,SUMIFS(CriteriTecnici!$O:$O,CriteriTecnici!$Q:$Q,$A46&amp;"|"&amp;$C46,CriteriTecnici!$E:$E,"E")*(4/SUMPRODUCT(MAX((CriteriTecnici!$C$5:$C$2484=$C46)*(CriteriTecnici!$E$5:$E$2484="E")*(CriteriTecnici!$T$5:$T$2484="SI")*IFERROR(CriteriTecnici!$O$5:$O$2484*1,0))))),0)+IF(SUMPRODUCT(MAX((CriteriTecnici!$C$5:$C$2484=$C46)*(CriteriTecnici!$E$5:$E$2484="F")*(CriteriTecnici!$T$5:$T$2484="SI")*IFERROR(CriteriTecnici!$O$5:$O$2484*1,0)))&gt;0,MIN(14,SUMIFS(CriteriTecnici!$O:$O,CriteriTecnici!$Q:$Q,$A46&amp;"|"&amp;$C46,CriteriTecnici!$E:$E,"F")*(14/SUMPRODUCT(MAX((CriteriTecnici!$C$5:$C$2484=$C46)*(CriteriTecnici!$E$5:$E$2484="F")*(CriteriTecnici!$T$5:$T$2484="SI")*IFERROR(CriteriTecnici!$O$5:$O$2484*1,0))))),0)+IF(SUMPRODUCT(MAX((CriteriTecnici!$C$5:$C$2484=$C46)*(CriteriTecnici!$E$5:$E$2484="G")*(CriteriTecnici!$T$5:$T$2484="SI")*IFERROR(CriteriTecnici!$O$5:$O$2484*1,0)))&gt;0,MIN(7,SUMIFS(CriteriTecnici!$O:$O,CriteriTecnici!$Q:$Q,$A46&amp;"|"&amp;$C46,CriteriTecnici!$E:$E,"G")*(7/SUMPRODUCT(MAX((CriteriTecnici!$C$5:$C$2484=$C46)*(CriteriTecnici!$E$5:$E$2484="G")*(CriteriTecnici!$T$5:$T$2484="SI")*IFERROR(CriteriTecnici!$O$5:$O$2484*1,0))))),0),4),0),IFERROR($N46*1,0)),0))</f>
        <v/>
      </c>
      <c r="F46" s="56">
        <f>IF(Compila!$A56="","",Compila!$E56)</f>
        <v/>
      </c>
      <c r="G46" s="57">
        <f>IF($A46="","",IF(IFERROR(VALUE($D46),0)&lt;&gt;1,"NO",IF(IFERROR(VALUE($O46),0)&gt;=Parametri!$B$2,"SI","NO")))</f>
        <v/>
      </c>
      <c r="H46" s="57">
        <f>IF($G46="SI",SUMPRODUCT(MAX(($C$2:$C$81=$C46)*(IFERROR($D$2:$D$81*1,0)=1)*(IFERROR($O$2:$O$81*1,0)&gt;=Parametri!$B$2)*IFERROR($F$2:$F$81*1,0))),0)</f>
        <v/>
      </c>
      <c r="I46" s="57">
        <f>IF($G46="SI",IF($H46&gt;0,30*(IFERROR($F46*1,0)/$H46),0),0)</f>
        <v/>
      </c>
      <c r="J46" s="57">
        <f>IF($A46="",0,IF($G46="SI",ROUND(IFERROR($E46*1,0)+$I46,4),ROUND(IFERROR($E46*1,0),4)))</f>
        <v/>
      </c>
      <c r="K46" s="57">
        <f>IF($A46="","",IF(IFERROR(VALUE($D46),0)&lt;&gt;1,"Non attiva",IF(IFERROR(VALUE($O46),0)&lt;Parametri!$B$2,"Sotto soglia","")))</f>
        <v/>
      </c>
      <c r="L46" s="57">
        <f>IF($A46="","",$A46&amp;"|"&amp;$C46)</f>
        <v/>
      </c>
      <c r="M46" s="57">
        <f>IF($A46="","",$C46&amp;"|"&amp;TEXT($J46,"0.0000"))</f>
        <v/>
      </c>
      <c r="N46" s="57" t="n"/>
      <c r="O46" s="57">
        <f>IF($A46="",0,IFERROR(IF(SUMIFS(CriteriTecnici!$O:$O,CriteriTecnici!$Q:$Q,$A46&amp;"|"&amp;$C46)&gt;0,SUMIFS(CriteriTecnici!$O:$O,CriteriTecnici!$Q:$Q,$A46&amp;"|"&amp;$C46,CriteriTecnici!$F:$F,"Q")+SUMIFS(CriteriTecnici!$O:$O,CriteriTecnici!$Q:$Q,$A46&amp;"|"&amp;$C46,CriteriTecnici!$F:$F,"T"),IFERROR($N46*1,0)),0))</f>
        <v/>
      </c>
      <c r="P46" s="57">
        <f>IF($A46="","",IF(SUMIFS(CriteriTecnici!$O:$O,CriteriTecnici!$Q:$Q,$A46&amp;"|"&amp;$C46)&gt;0,"Criteri A-G","Aggregato"))</f>
        <v/>
      </c>
    </row>
    <row r="47">
      <c r="A47" s="56">
        <f>IF(Compila!$A57="","",Compila!$A57)</f>
        <v/>
      </c>
      <c r="B47" s="56">
        <f>IF(Compila!$A57="","",Compila!$B57)</f>
        <v/>
      </c>
      <c r="C47" s="56">
        <f>IF(Compila!$A57="","",Compila!$C57)</f>
        <v/>
      </c>
      <c r="D47" s="56">
        <f>IF(Compila!$A57="","",Compila!$D57)</f>
        <v/>
      </c>
      <c r="E47" s="57">
        <f>IF($A47="",0,IFERROR(IF(SUMIFS(CriteriTecnici!$O:$O,CriteriTecnici!$Q:$Q,$A47&amp;"|"&amp;$C47)&gt;0,IF($G47="SI",ROUND(IF(SUMPRODUCT(MAX((CriteriTecnici!$C$5:$C$2484=$C47)*(CriteriTecnici!$E$5:$E$2484="A")*(CriteriTecnici!$T$5:$T$2484="SI")*IFERROR(CriteriTecnici!$O$5:$O$2484*1,0)))&gt;0,MIN(7,SUMIFS(CriteriTecnici!$O:$O,CriteriTecnici!$Q:$Q,$A47&amp;"|"&amp;$C47,CriteriTecnici!$E:$E,"A")*(7/SUMPRODUCT(MAX((CriteriTecnici!$C$5:$C$2484=$C47)*(CriteriTecnici!$E$5:$E$2484="A")*(CriteriTecnici!$T$5:$T$2484="SI")*IFERROR(CriteriTecnici!$O$5:$O$2484*1,0))))),0)+IF(SUMPRODUCT(MAX((CriteriTecnici!$C$5:$C$2484=$C47)*(CriteriTecnici!$E$5:$E$2484="B")*(CriteriTecnici!$T$5:$T$2484="SI")*IFERROR(CriteriTecnici!$O$5:$O$2484*1,0)))&gt;0,MIN(14,SUMIFS(CriteriTecnici!$O:$O,CriteriTecnici!$Q:$Q,$A47&amp;"|"&amp;$C47,CriteriTecnici!$E:$E,"B")*(14/SUMPRODUCT(MAX((CriteriTecnici!$C$5:$C$2484=$C47)*(CriteriTecnici!$E$5:$E$2484="B")*(CriteriTecnici!$T$5:$T$2484="SI")*IFERROR(CriteriTecnici!$O$5:$O$2484*1,0))))),0)+IF(SUMPRODUCT(MAX((CriteriTecnici!$C$5:$C$2484=$C47)*(CriteriTecnici!$E$5:$E$2484="C")*(CriteriTecnici!$T$5:$T$2484="SI")*IFERROR(CriteriTecnici!$O$5:$O$2484*1,0)))&gt;0,MIN(14,SUMIFS(CriteriTecnici!$O:$O,CriteriTecnici!$Q:$Q,$A47&amp;"|"&amp;$C47,CriteriTecnici!$E:$E,"C")*(14/SUMPRODUCT(MAX((CriteriTecnici!$C$5:$C$2484=$C47)*(CriteriTecnici!$E$5:$E$2484="C")*(CriteriTecnici!$T$5:$T$2484="SI")*IFERROR(CriteriTecnici!$O$5:$O$2484*1,0))))),0)+IF(SUMPRODUCT(MAX((CriteriTecnici!$C$5:$C$2484=$C47)*(CriteriTecnici!$E$5:$E$2484="D")*(CriteriTecnici!$T$5:$T$2484="SI")*IFERROR(CriteriTecnici!$O$5:$O$2484*1,0)))&gt;0,MIN(10,SUMIFS(CriteriTecnici!$O:$O,CriteriTecnici!$Q:$Q,$A47&amp;"|"&amp;$C47,CriteriTecnici!$E:$E,"D")*(10/SUMPRODUCT(MAX((CriteriTecnici!$C$5:$C$2484=$C47)*(CriteriTecnici!$E$5:$E$2484="D")*(CriteriTecnici!$T$5:$T$2484="SI")*IFERROR(CriteriTecnici!$O$5:$O$2484*1,0))))),0)+IF(SUMPRODUCT(MAX((CriteriTecnici!$C$5:$C$2484=$C47)*(CriteriTecnici!$E$5:$E$2484="E")*(CriteriTecnici!$T$5:$T$2484="SI")*IFERROR(CriteriTecnici!$O$5:$O$2484*1,0)))&gt;0,MIN(4,SUMIFS(CriteriTecnici!$O:$O,CriteriTecnici!$Q:$Q,$A47&amp;"|"&amp;$C47,CriteriTecnici!$E:$E,"E")*(4/SUMPRODUCT(MAX((CriteriTecnici!$C$5:$C$2484=$C47)*(CriteriTecnici!$E$5:$E$2484="E")*(CriteriTecnici!$T$5:$T$2484="SI")*IFERROR(CriteriTecnici!$O$5:$O$2484*1,0))))),0)+IF(SUMPRODUCT(MAX((CriteriTecnici!$C$5:$C$2484=$C47)*(CriteriTecnici!$E$5:$E$2484="F")*(CriteriTecnici!$T$5:$T$2484="SI")*IFERROR(CriteriTecnici!$O$5:$O$2484*1,0)))&gt;0,MIN(14,SUMIFS(CriteriTecnici!$O:$O,CriteriTecnici!$Q:$Q,$A47&amp;"|"&amp;$C47,CriteriTecnici!$E:$E,"F")*(14/SUMPRODUCT(MAX((CriteriTecnici!$C$5:$C$2484=$C47)*(CriteriTecnici!$E$5:$E$2484="F")*(CriteriTecnici!$T$5:$T$2484="SI")*IFERROR(CriteriTecnici!$O$5:$O$2484*1,0))))),0)+IF(SUMPRODUCT(MAX((CriteriTecnici!$C$5:$C$2484=$C47)*(CriteriTecnici!$E$5:$E$2484="G")*(CriteriTecnici!$T$5:$T$2484="SI")*IFERROR(CriteriTecnici!$O$5:$O$2484*1,0)))&gt;0,MIN(7,SUMIFS(CriteriTecnici!$O:$O,CriteriTecnici!$Q:$Q,$A47&amp;"|"&amp;$C47,CriteriTecnici!$E:$E,"G")*(7/SUMPRODUCT(MAX((CriteriTecnici!$C$5:$C$2484=$C47)*(CriteriTecnici!$E$5:$E$2484="G")*(CriteriTecnici!$T$5:$T$2484="SI")*IFERROR(CriteriTecnici!$O$5:$O$2484*1,0))))),0),4),0),IFERROR($N47*1,0)),0))</f>
        <v/>
      </c>
      <c r="F47" s="56">
        <f>IF(Compila!$A57="","",Compila!$E57)</f>
        <v/>
      </c>
      <c r="G47" s="57">
        <f>IF($A47="","",IF(IFERROR(VALUE($D47),0)&lt;&gt;1,"NO",IF(IFERROR(VALUE($O47),0)&gt;=Parametri!$B$2,"SI","NO")))</f>
        <v/>
      </c>
      <c r="H47" s="57">
        <f>IF($G47="SI",SUMPRODUCT(MAX(($C$2:$C$81=$C47)*(IFERROR($D$2:$D$81*1,0)=1)*(IFERROR($O$2:$O$81*1,0)&gt;=Parametri!$B$2)*IFERROR($F$2:$F$81*1,0))),0)</f>
        <v/>
      </c>
      <c r="I47" s="57">
        <f>IF($G47="SI",IF($H47&gt;0,30*(IFERROR($F47*1,0)/$H47),0),0)</f>
        <v/>
      </c>
      <c r="J47" s="57">
        <f>IF($A47="",0,IF($G47="SI",ROUND(IFERROR($E47*1,0)+$I47,4),ROUND(IFERROR($E47*1,0),4)))</f>
        <v/>
      </c>
      <c r="K47" s="57">
        <f>IF($A47="","",IF(IFERROR(VALUE($D47),0)&lt;&gt;1,"Non attiva",IF(IFERROR(VALUE($O47),0)&lt;Parametri!$B$2,"Sotto soglia","")))</f>
        <v/>
      </c>
      <c r="L47" s="57">
        <f>IF($A47="","",$A47&amp;"|"&amp;$C47)</f>
        <v/>
      </c>
      <c r="M47" s="57">
        <f>IF($A47="","",$C47&amp;"|"&amp;TEXT($J47,"0.0000"))</f>
        <v/>
      </c>
      <c r="N47" s="57" t="n"/>
      <c r="O47" s="57">
        <f>IF($A47="",0,IFERROR(IF(SUMIFS(CriteriTecnici!$O:$O,CriteriTecnici!$Q:$Q,$A47&amp;"|"&amp;$C47)&gt;0,SUMIFS(CriteriTecnici!$O:$O,CriteriTecnici!$Q:$Q,$A47&amp;"|"&amp;$C47,CriteriTecnici!$F:$F,"Q")+SUMIFS(CriteriTecnici!$O:$O,CriteriTecnici!$Q:$Q,$A47&amp;"|"&amp;$C47,CriteriTecnici!$F:$F,"T"),IFERROR($N47*1,0)),0))</f>
        <v/>
      </c>
      <c r="P47" s="57">
        <f>IF($A47="","",IF(SUMIFS(CriteriTecnici!$O:$O,CriteriTecnici!$Q:$Q,$A47&amp;"|"&amp;$C47)&gt;0,"Criteri A-G","Aggregato"))</f>
        <v/>
      </c>
    </row>
    <row r="48">
      <c r="A48" s="56">
        <f>IF(Compila!$A58="","",Compila!$A58)</f>
        <v/>
      </c>
      <c r="B48" s="56">
        <f>IF(Compila!$A58="","",Compila!$B58)</f>
        <v/>
      </c>
      <c r="C48" s="56">
        <f>IF(Compila!$A58="","",Compila!$C58)</f>
        <v/>
      </c>
      <c r="D48" s="56">
        <f>IF(Compila!$A58="","",Compila!$D58)</f>
        <v/>
      </c>
      <c r="E48" s="57">
        <f>IF($A48="",0,IFERROR(IF(SUMIFS(CriteriTecnici!$O:$O,CriteriTecnici!$Q:$Q,$A48&amp;"|"&amp;$C48)&gt;0,IF($G48="SI",ROUND(IF(SUMPRODUCT(MAX((CriteriTecnici!$C$5:$C$2484=$C48)*(CriteriTecnici!$E$5:$E$2484="A")*(CriteriTecnici!$T$5:$T$2484="SI")*IFERROR(CriteriTecnici!$O$5:$O$2484*1,0)))&gt;0,MIN(7,SUMIFS(CriteriTecnici!$O:$O,CriteriTecnici!$Q:$Q,$A48&amp;"|"&amp;$C48,CriteriTecnici!$E:$E,"A")*(7/SUMPRODUCT(MAX((CriteriTecnici!$C$5:$C$2484=$C48)*(CriteriTecnici!$E$5:$E$2484="A")*(CriteriTecnici!$T$5:$T$2484="SI")*IFERROR(CriteriTecnici!$O$5:$O$2484*1,0))))),0)+IF(SUMPRODUCT(MAX((CriteriTecnici!$C$5:$C$2484=$C48)*(CriteriTecnici!$E$5:$E$2484="B")*(CriteriTecnici!$T$5:$T$2484="SI")*IFERROR(CriteriTecnici!$O$5:$O$2484*1,0)))&gt;0,MIN(14,SUMIFS(CriteriTecnici!$O:$O,CriteriTecnici!$Q:$Q,$A48&amp;"|"&amp;$C48,CriteriTecnici!$E:$E,"B")*(14/SUMPRODUCT(MAX((CriteriTecnici!$C$5:$C$2484=$C48)*(CriteriTecnici!$E$5:$E$2484="B")*(CriteriTecnici!$T$5:$T$2484="SI")*IFERROR(CriteriTecnici!$O$5:$O$2484*1,0))))),0)+IF(SUMPRODUCT(MAX((CriteriTecnici!$C$5:$C$2484=$C48)*(CriteriTecnici!$E$5:$E$2484="C")*(CriteriTecnici!$T$5:$T$2484="SI")*IFERROR(CriteriTecnici!$O$5:$O$2484*1,0)))&gt;0,MIN(14,SUMIFS(CriteriTecnici!$O:$O,CriteriTecnici!$Q:$Q,$A48&amp;"|"&amp;$C48,CriteriTecnici!$E:$E,"C")*(14/SUMPRODUCT(MAX((CriteriTecnici!$C$5:$C$2484=$C48)*(CriteriTecnici!$E$5:$E$2484="C")*(CriteriTecnici!$T$5:$T$2484="SI")*IFERROR(CriteriTecnici!$O$5:$O$2484*1,0))))),0)+IF(SUMPRODUCT(MAX((CriteriTecnici!$C$5:$C$2484=$C48)*(CriteriTecnici!$E$5:$E$2484="D")*(CriteriTecnici!$T$5:$T$2484="SI")*IFERROR(CriteriTecnici!$O$5:$O$2484*1,0)))&gt;0,MIN(10,SUMIFS(CriteriTecnici!$O:$O,CriteriTecnici!$Q:$Q,$A48&amp;"|"&amp;$C48,CriteriTecnici!$E:$E,"D")*(10/SUMPRODUCT(MAX((CriteriTecnici!$C$5:$C$2484=$C48)*(CriteriTecnici!$E$5:$E$2484="D")*(CriteriTecnici!$T$5:$T$2484="SI")*IFERROR(CriteriTecnici!$O$5:$O$2484*1,0))))),0)+IF(SUMPRODUCT(MAX((CriteriTecnici!$C$5:$C$2484=$C48)*(CriteriTecnici!$E$5:$E$2484="E")*(CriteriTecnici!$T$5:$T$2484="SI")*IFERROR(CriteriTecnici!$O$5:$O$2484*1,0)))&gt;0,MIN(4,SUMIFS(CriteriTecnici!$O:$O,CriteriTecnici!$Q:$Q,$A48&amp;"|"&amp;$C48,CriteriTecnici!$E:$E,"E")*(4/SUMPRODUCT(MAX((CriteriTecnici!$C$5:$C$2484=$C48)*(CriteriTecnici!$E$5:$E$2484="E")*(CriteriTecnici!$T$5:$T$2484="SI")*IFERROR(CriteriTecnici!$O$5:$O$2484*1,0))))),0)+IF(SUMPRODUCT(MAX((CriteriTecnici!$C$5:$C$2484=$C48)*(CriteriTecnici!$E$5:$E$2484="F")*(CriteriTecnici!$T$5:$T$2484="SI")*IFERROR(CriteriTecnici!$O$5:$O$2484*1,0)))&gt;0,MIN(14,SUMIFS(CriteriTecnici!$O:$O,CriteriTecnici!$Q:$Q,$A48&amp;"|"&amp;$C48,CriteriTecnici!$E:$E,"F")*(14/SUMPRODUCT(MAX((CriteriTecnici!$C$5:$C$2484=$C48)*(CriteriTecnici!$E$5:$E$2484="F")*(CriteriTecnici!$T$5:$T$2484="SI")*IFERROR(CriteriTecnici!$O$5:$O$2484*1,0))))),0)+IF(SUMPRODUCT(MAX((CriteriTecnici!$C$5:$C$2484=$C48)*(CriteriTecnici!$E$5:$E$2484="G")*(CriteriTecnici!$T$5:$T$2484="SI")*IFERROR(CriteriTecnici!$O$5:$O$2484*1,0)))&gt;0,MIN(7,SUMIFS(CriteriTecnici!$O:$O,CriteriTecnici!$Q:$Q,$A48&amp;"|"&amp;$C48,CriteriTecnici!$E:$E,"G")*(7/SUMPRODUCT(MAX((CriteriTecnici!$C$5:$C$2484=$C48)*(CriteriTecnici!$E$5:$E$2484="G")*(CriteriTecnici!$T$5:$T$2484="SI")*IFERROR(CriteriTecnici!$O$5:$O$2484*1,0))))),0),4),0),IFERROR($N48*1,0)),0))</f>
        <v/>
      </c>
      <c r="F48" s="56">
        <f>IF(Compila!$A58="","",Compila!$E58)</f>
        <v/>
      </c>
      <c r="G48" s="57">
        <f>IF($A48="","",IF(IFERROR(VALUE($D48),0)&lt;&gt;1,"NO",IF(IFERROR(VALUE($O48),0)&gt;=Parametri!$B$2,"SI","NO")))</f>
        <v/>
      </c>
      <c r="H48" s="57">
        <f>IF($G48="SI",SUMPRODUCT(MAX(($C$2:$C$81=$C48)*(IFERROR($D$2:$D$81*1,0)=1)*(IFERROR($O$2:$O$81*1,0)&gt;=Parametri!$B$2)*IFERROR($F$2:$F$81*1,0))),0)</f>
        <v/>
      </c>
      <c r="I48" s="57">
        <f>IF($G48="SI",IF($H48&gt;0,30*(IFERROR($F48*1,0)/$H48),0),0)</f>
        <v/>
      </c>
      <c r="J48" s="57">
        <f>IF($A48="",0,IF($G48="SI",ROUND(IFERROR($E48*1,0)+$I48,4),ROUND(IFERROR($E48*1,0),4)))</f>
        <v/>
      </c>
      <c r="K48" s="57">
        <f>IF($A48="","",IF(IFERROR(VALUE($D48),0)&lt;&gt;1,"Non attiva",IF(IFERROR(VALUE($O48),0)&lt;Parametri!$B$2,"Sotto soglia","")))</f>
        <v/>
      </c>
      <c r="L48" s="57">
        <f>IF($A48="","",$A48&amp;"|"&amp;$C48)</f>
        <v/>
      </c>
      <c r="M48" s="57">
        <f>IF($A48="","",$C48&amp;"|"&amp;TEXT($J48,"0.0000"))</f>
        <v/>
      </c>
      <c r="N48" s="57" t="n"/>
      <c r="O48" s="57">
        <f>IF($A48="",0,IFERROR(IF(SUMIFS(CriteriTecnici!$O:$O,CriteriTecnici!$Q:$Q,$A48&amp;"|"&amp;$C48)&gt;0,SUMIFS(CriteriTecnici!$O:$O,CriteriTecnici!$Q:$Q,$A48&amp;"|"&amp;$C48,CriteriTecnici!$F:$F,"Q")+SUMIFS(CriteriTecnici!$O:$O,CriteriTecnici!$Q:$Q,$A48&amp;"|"&amp;$C48,CriteriTecnici!$F:$F,"T"),IFERROR($N48*1,0)),0))</f>
        <v/>
      </c>
      <c r="P48" s="57">
        <f>IF($A48="","",IF(SUMIFS(CriteriTecnici!$O:$O,CriteriTecnici!$Q:$Q,$A48&amp;"|"&amp;$C48)&gt;0,"Criteri A-G","Aggregato"))</f>
        <v/>
      </c>
    </row>
    <row r="49">
      <c r="A49" s="56">
        <f>IF(Compila!$A59="","",Compila!$A59)</f>
        <v/>
      </c>
      <c r="B49" s="56">
        <f>IF(Compila!$A59="","",Compila!$B59)</f>
        <v/>
      </c>
      <c r="C49" s="56">
        <f>IF(Compila!$A59="","",Compila!$C59)</f>
        <v/>
      </c>
      <c r="D49" s="56">
        <f>IF(Compila!$A59="","",Compila!$D59)</f>
        <v/>
      </c>
      <c r="E49" s="57">
        <f>IF($A49="",0,IFERROR(IF(SUMIFS(CriteriTecnici!$O:$O,CriteriTecnici!$Q:$Q,$A49&amp;"|"&amp;$C49)&gt;0,IF($G49="SI",ROUND(IF(SUMPRODUCT(MAX((CriteriTecnici!$C$5:$C$2484=$C49)*(CriteriTecnici!$E$5:$E$2484="A")*(CriteriTecnici!$T$5:$T$2484="SI")*IFERROR(CriteriTecnici!$O$5:$O$2484*1,0)))&gt;0,MIN(7,SUMIFS(CriteriTecnici!$O:$O,CriteriTecnici!$Q:$Q,$A49&amp;"|"&amp;$C49,CriteriTecnici!$E:$E,"A")*(7/SUMPRODUCT(MAX((CriteriTecnici!$C$5:$C$2484=$C49)*(CriteriTecnici!$E$5:$E$2484="A")*(CriteriTecnici!$T$5:$T$2484="SI")*IFERROR(CriteriTecnici!$O$5:$O$2484*1,0))))),0)+IF(SUMPRODUCT(MAX((CriteriTecnici!$C$5:$C$2484=$C49)*(CriteriTecnici!$E$5:$E$2484="B")*(CriteriTecnici!$T$5:$T$2484="SI")*IFERROR(CriteriTecnici!$O$5:$O$2484*1,0)))&gt;0,MIN(14,SUMIFS(CriteriTecnici!$O:$O,CriteriTecnici!$Q:$Q,$A49&amp;"|"&amp;$C49,CriteriTecnici!$E:$E,"B")*(14/SUMPRODUCT(MAX((CriteriTecnici!$C$5:$C$2484=$C49)*(CriteriTecnici!$E$5:$E$2484="B")*(CriteriTecnici!$T$5:$T$2484="SI")*IFERROR(CriteriTecnici!$O$5:$O$2484*1,0))))),0)+IF(SUMPRODUCT(MAX((CriteriTecnici!$C$5:$C$2484=$C49)*(CriteriTecnici!$E$5:$E$2484="C")*(CriteriTecnici!$T$5:$T$2484="SI")*IFERROR(CriteriTecnici!$O$5:$O$2484*1,0)))&gt;0,MIN(14,SUMIFS(CriteriTecnici!$O:$O,CriteriTecnici!$Q:$Q,$A49&amp;"|"&amp;$C49,CriteriTecnici!$E:$E,"C")*(14/SUMPRODUCT(MAX((CriteriTecnici!$C$5:$C$2484=$C49)*(CriteriTecnici!$E$5:$E$2484="C")*(CriteriTecnici!$T$5:$T$2484="SI")*IFERROR(CriteriTecnici!$O$5:$O$2484*1,0))))),0)+IF(SUMPRODUCT(MAX((CriteriTecnici!$C$5:$C$2484=$C49)*(CriteriTecnici!$E$5:$E$2484="D")*(CriteriTecnici!$T$5:$T$2484="SI")*IFERROR(CriteriTecnici!$O$5:$O$2484*1,0)))&gt;0,MIN(10,SUMIFS(CriteriTecnici!$O:$O,CriteriTecnici!$Q:$Q,$A49&amp;"|"&amp;$C49,CriteriTecnici!$E:$E,"D")*(10/SUMPRODUCT(MAX((CriteriTecnici!$C$5:$C$2484=$C49)*(CriteriTecnici!$E$5:$E$2484="D")*(CriteriTecnici!$T$5:$T$2484="SI")*IFERROR(CriteriTecnici!$O$5:$O$2484*1,0))))),0)+IF(SUMPRODUCT(MAX((CriteriTecnici!$C$5:$C$2484=$C49)*(CriteriTecnici!$E$5:$E$2484="E")*(CriteriTecnici!$T$5:$T$2484="SI")*IFERROR(CriteriTecnici!$O$5:$O$2484*1,0)))&gt;0,MIN(4,SUMIFS(CriteriTecnici!$O:$O,CriteriTecnici!$Q:$Q,$A49&amp;"|"&amp;$C49,CriteriTecnici!$E:$E,"E")*(4/SUMPRODUCT(MAX((CriteriTecnici!$C$5:$C$2484=$C49)*(CriteriTecnici!$E$5:$E$2484="E")*(CriteriTecnici!$T$5:$T$2484="SI")*IFERROR(CriteriTecnici!$O$5:$O$2484*1,0))))),0)+IF(SUMPRODUCT(MAX((CriteriTecnici!$C$5:$C$2484=$C49)*(CriteriTecnici!$E$5:$E$2484="F")*(CriteriTecnici!$T$5:$T$2484="SI")*IFERROR(CriteriTecnici!$O$5:$O$2484*1,0)))&gt;0,MIN(14,SUMIFS(CriteriTecnici!$O:$O,CriteriTecnici!$Q:$Q,$A49&amp;"|"&amp;$C49,CriteriTecnici!$E:$E,"F")*(14/SUMPRODUCT(MAX((CriteriTecnici!$C$5:$C$2484=$C49)*(CriteriTecnici!$E$5:$E$2484="F")*(CriteriTecnici!$T$5:$T$2484="SI")*IFERROR(CriteriTecnici!$O$5:$O$2484*1,0))))),0)+IF(SUMPRODUCT(MAX((CriteriTecnici!$C$5:$C$2484=$C49)*(CriteriTecnici!$E$5:$E$2484="G")*(CriteriTecnici!$T$5:$T$2484="SI")*IFERROR(CriteriTecnici!$O$5:$O$2484*1,0)))&gt;0,MIN(7,SUMIFS(CriteriTecnici!$O:$O,CriteriTecnici!$Q:$Q,$A49&amp;"|"&amp;$C49,CriteriTecnici!$E:$E,"G")*(7/SUMPRODUCT(MAX((CriteriTecnici!$C$5:$C$2484=$C49)*(CriteriTecnici!$E$5:$E$2484="G")*(CriteriTecnici!$T$5:$T$2484="SI")*IFERROR(CriteriTecnici!$O$5:$O$2484*1,0))))),0),4),0),IFERROR($N49*1,0)),0))</f>
        <v/>
      </c>
      <c r="F49" s="56">
        <f>IF(Compila!$A59="","",Compila!$E59)</f>
        <v/>
      </c>
      <c r="G49" s="57">
        <f>IF($A49="","",IF(IFERROR(VALUE($D49),0)&lt;&gt;1,"NO",IF(IFERROR(VALUE($O49),0)&gt;=Parametri!$B$2,"SI","NO")))</f>
        <v/>
      </c>
      <c r="H49" s="57">
        <f>IF($G49="SI",SUMPRODUCT(MAX(($C$2:$C$81=$C49)*(IFERROR($D$2:$D$81*1,0)=1)*(IFERROR($O$2:$O$81*1,0)&gt;=Parametri!$B$2)*IFERROR($F$2:$F$81*1,0))),0)</f>
        <v/>
      </c>
      <c r="I49" s="57">
        <f>IF($G49="SI",IF($H49&gt;0,30*(IFERROR($F49*1,0)/$H49),0),0)</f>
        <v/>
      </c>
      <c r="J49" s="57">
        <f>IF($A49="",0,IF($G49="SI",ROUND(IFERROR($E49*1,0)+$I49,4),ROUND(IFERROR($E49*1,0),4)))</f>
        <v/>
      </c>
      <c r="K49" s="57">
        <f>IF($A49="","",IF(IFERROR(VALUE($D49),0)&lt;&gt;1,"Non attiva",IF(IFERROR(VALUE($O49),0)&lt;Parametri!$B$2,"Sotto soglia","")))</f>
        <v/>
      </c>
      <c r="L49" s="57">
        <f>IF($A49="","",$A49&amp;"|"&amp;$C49)</f>
        <v/>
      </c>
      <c r="M49" s="57">
        <f>IF($A49="","",$C49&amp;"|"&amp;TEXT($J49,"0.0000"))</f>
        <v/>
      </c>
      <c r="N49" s="57" t="n"/>
      <c r="O49" s="57">
        <f>IF($A49="",0,IFERROR(IF(SUMIFS(CriteriTecnici!$O:$O,CriteriTecnici!$Q:$Q,$A49&amp;"|"&amp;$C49)&gt;0,SUMIFS(CriteriTecnici!$O:$O,CriteriTecnici!$Q:$Q,$A49&amp;"|"&amp;$C49,CriteriTecnici!$F:$F,"Q")+SUMIFS(CriteriTecnici!$O:$O,CriteriTecnici!$Q:$Q,$A49&amp;"|"&amp;$C49,CriteriTecnici!$F:$F,"T"),IFERROR($N49*1,0)),0))</f>
        <v/>
      </c>
      <c r="P49" s="57">
        <f>IF($A49="","",IF(SUMIFS(CriteriTecnici!$O:$O,CriteriTecnici!$Q:$Q,$A49&amp;"|"&amp;$C49)&gt;0,"Criteri A-G","Aggregato"))</f>
        <v/>
      </c>
    </row>
    <row r="50">
      <c r="A50" s="56">
        <f>IF(Compila!$A60="","",Compila!$A60)</f>
        <v/>
      </c>
      <c r="B50" s="56">
        <f>IF(Compila!$A60="","",Compila!$B60)</f>
        <v/>
      </c>
      <c r="C50" s="56">
        <f>IF(Compila!$A60="","",Compila!$C60)</f>
        <v/>
      </c>
      <c r="D50" s="56">
        <f>IF(Compila!$A60="","",Compila!$D60)</f>
        <v/>
      </c>
      <c r="E50" s="57">
        <f>IF($A50="",0,IFERROR(IF(SUMIFS(CriteriTecnici!$O:$O,CriteriTecnici!$Q:$Q,$A50&amp;"|"&amp;$C50)&gt;0,IF($G50="SI",ROUND(IF(SUMPRODUCT(MAX((CriteriTecnici!$C$5:$C$2484=$C50)*(CriteriTecnici!$E$5:$E$2484="A")*(CriteriTecnici!$T$5:$T$2484="SI")*IFERROR(CriteriTecnici!$O$5:$O$2484*1,0)))&gt;0,MIN(7,SUMIFS(CriteriTecnici!$O:$O,CriteriTecnici!$Q:$Q,$A50&amp;"|"&amp;$C50,CriteriTecnici!$E:$E,"A")*(7/SUMPRODUCT(MAX((CriteriTecnici!$C$5:$C$2484=$C50)*(CriteriTecnici!$E$5:$E$2484="A")*(CriteriTecnici!$T$5:$T$2484="SI")*IFERROR(CriteriTecnici!$O$5:$O$2484*1,0))))),0)+IF(SUMPRODUCT(MAX((CriteriTecnici!$C$5:$C$2484=$C50)*(CriteriTecnici!$E$5:$E$2484="B")*(CriteriTecnici!$T$5:$T$2484="SI")*IFERROR(CriteriTecnici!$O$5:$O$2484*1,0)))&gt;0,MIN(14,SUMIFS(CriteriTecnici!$O:$O,CriteriTecnici!$Q:$Q,$A50&amp;"|"&amp;$C50,CriteriTecnici!$E:$E,"B")*(14/SUMPRODUCT(MAX((CriteriTecnici!$C$5:$C$2484=$C50)*(CriteriTecnici!$E$5:$E$2484="B")*(CriteriTecnici!$T$5:$T$2484="SI")*IFERROR(CriteriTecnici!$O$5:$O$2484*1,0))))),0)+IF(SUMPRODUCT(MAX((CriteriTecnici!$C$5:$C$2484=$C50)*(CriteriTecnici!$E$5:$E$2484="C")*(CriteriTecnici!$T$5:$T$2484="SI")*IFERROR(CriteriTecnici!$O$5:$O$2484*1,0)))&gt;0,MIN(14,SUMIFS(CriteriTecnici!$O:$O,CriteriTecnici!$Q:$Q,$A50&amp;"|"&amp;$C50,CriteriTecnici!$E:$E,"C")*(14/SUMPRODUCT(MAX((CriteriTecnici!$C$5:$C$2484=$C50)*(CriteriTecnici!$E$5:$E$2484="C")*(CriteriTecnici!$T$5:$T$2484="SI")*IFERROR(CriteriTecnici!$O$5:$O$2484*1,0))))),0)+IF(SUMPRODUCT(MAX((CriteriTecnici!$C$5:$C$2484=$C50)*(CriteriTecnici!$E$5:$E$2484="D")*(CriteriTecnici!$T$5:$T$2484="SI")*IFERROR(CriteriTecnici!$O$5:$O$2484*1,0)))&gt;0,MIN(10,SUMIFS(CriteriTecnici!$O:$O,CriteriTecnici!$Q:$Q,$A50&amp;"|"&amp;$C50,CriteriTecnici!$E:$E,"D")*(10/SUMPRODUCT(MAX((CriteriTecnici!$C$5:$C$2484=$C50)*(CriteriTecnici!$E$5:$E$2484="D")*(CriteriTecnici!$T$5:$T$2484="SI")*IFERROR(CriteriTecnici!$O$5:$O$2484*1,0))))),0)+IF(SUMPRODUCT(MAX((CriteriTecnici!$C$5:$C$2484=$C50)*(CriteriTecnici!$E$5:$E$2484="E")*(CriteriTecnici!$T$5:$T$2484="SI")*IFERROR(CriteriTecnici!$O$5:$O$2484*1,0)))&gt;0,MIN(4,SUMIFS(CriteriTecnici!$O:$O,CriteriTecnici!$Q:$Q,$A50&amp;"|"&amp;$C50,CriteriTecnici!$E:$E,"E")*(4/SUMPRODUCT(MAX((CriteriTecnici!$C$5:$C$2484=$C50)*(CriteriTecnici!$E$5:$E$2484="E")*(CriteriTecnici!$T$5:$T$2484="SI")*IFERROR(CriteriTecnici!$O$5:$O$2484*1,0))))),0)+IF(SUMPRODUCT(MAX((CriteriTecnici!$C$5:$C$2484=$C50)*(CriteriTecnici!$E$5:$E$2484="F")*(CriteriTecnici!$T$5:$T$2484="SI")*IFERROR(CriteriTecnici!$O$5:$O$2484*1,0)))&gt;0,MIN(14,SUMIFS(CriteriTecnici!$O:$O,CriteriTecnici!$Q:$Q,$A50&amp;"|"&amp;$C50,CriteriTecnici!$E:$E,"F")*(14/SUMPRODUCT(MAX((CriteriTecnici!$C$5:$C$2484=$C50)*(CriteriTecnici!$E$5:$E$2484="F")*(CriteriTecnici!$T$5:$T$2484="SI")*IFERROR(CriteriTecnici!$O$5:$O$2484*1,0))))),0)+IF(SUMPRODUCT(MAX((CriteriTecnici!$C$5:$C$2484=$C50)*(CriteriTecnici!$E$5:$E$2484="G")*(CriteriTecnici!$T$5:$T$2484="SI")*IFERROR(CriteriTecnici!$O$5:$O$2484*1,0)))&gt;0,MIN(7,SUMIFS(CriteriTecnici!$O:$O,CriteriTecnici!$Q:$Q,$A50&amp;"|"&amp;$C50,CriteriTecnici!$E:$E,"G")*(7/SUMPRODUCT(MAX((CriteriTecnici!$C$5:$C$2484=$C50)*(CriteriTecnici!$E$5:$E$2484="G")*(CriteriTecnici!$T$5:$T$2484="SI")*IFERROR(CriteriTecnici!$O$5:$O$2484*1,0))))),0),4),0),IFERROR($N50*1,0)),0))</f>
        <v/>
      </c>
      <c r="F50" s="56">
        <f>IF(Compila!$A60="","",Compila!$E60)</f>
        <v/>
      </c>
      <c r="G50" s="57">
        <f>IF($A50="","",IF(IFERROR(VALUE($D50),0)&lt;&gt;1,"NO",IF(IFERROR(VALUE($O50),0)&gt;=Parametri!$B$2,"SI","NO")))</f>
        <v/>
      </c>
      <c r="H50" s="57">
        <f>IF($G50="SI",SUMPRODUCT(MAX(($C$2:$C$81=$C50)*(IFERROR($D$2:$D$81*1,0)=1)*(IFERROR($O$2:$O$81*1,0)&gt;=Parametri!$B$2)*IFERROR($F$2:$F$81*1,0))),0)</f>
        <v/>
      </c>
      <c r="I50" s="57">
        <f>IF($G50="SI",IF($H50&gt;0,30*(IFERROR($F50*1,0)/$H50),0),0)</f>
        <v/>
      </c>
      <c r="J50" s="57">
        <f>IF($A50="",0,IF($G50="SI",ROUND(IFERROR($E50*1,0)+$I50,4),ROUND(IFERROR($E50*1,0),4)))</f>
        <v/>
      </c>
      <c r="K50" s="57">
        <f>IF($A50="","",IF(IFERROR(VALUE($D50),0)&lt;&gt;1,"Non attiva",IF(IFERROR(VALUE($O50),0)&lt;Parametri!$B$2,"Sotto soglia","")))</f>
        <v/>
      </c>
      <c r="L50" s="57">
        <f>IF($A50="","",$A50&amp;"|"&amp;$C50)</f>
        <v/>
      </c>
      <c r="M50" s="57">
        <f>IF($A50="","",$C50&amp;"|"&amp;TEXT($J50,"0.0000"))</f>
        <v/>
      </c>
      <c r="N50" s="57" t="n"/>
      <c r="O50" s="57">
        <f>IF($A50="",0,IFERROR(IF(SUMIFS(CriteriTecnici!$O:$O,CriteriTecnici!$Q:$Q,$A50&amp;"|"&amp;$C50)&gt;0,SUMIFS(CriteriTecnici!$O:$O,CriteriTecnici!$Q:$Q,$A50&amp;"|"&amp;$C50,CriteriTecnici!$F:$F,"Q")+SUMIFS(CriteriTecnici!$O:$O,CriteriTecnici!$Q:$Q,$A50&amp;"|"&amp;$C50,CriteriTecnici!$F:$F,"T"),IFERROR($N50*1,0)),0))</f>
        <v/>
      </c>
      <c r="P50" s="57">
        <f>IF($A50="","",IF(SUMIFS(CriteriTecnici!$O:$O,CriteriTecnici!$Q:$Q,$A50&amp;"|"&amp;$C50)&gt;0,"Criteri A-G","Aggregato"))</f>
        <v/>
      </c>
    </row>
    <row r="51">
      <c r="A51" s="56">
        <f>IF(Compila!$A61="","",Compila!$A61)</f>
        <v/>
      </c>
      <c r="B51" s="56">
        <f>IF(Compila!$A61="","",Compila!$B61)</f>
        <v/>
      </c>
      <c r="C51" s="56">
        <f>IF(Compila!$A61="","",Compila!$C61)</f>
        <v/>
      </c>
      <c r="D51" s="56">
        <f>IF(Compila!$A61="","",Compila!$D61)</f>
        <v/>
      </c>
      <c r="E51" s="57">
        <f>IF($A51="",0,IFERROR(IF(SUMIFS(CriteriTecnici!$O:$O,CriteriTecnici!$Q:$Q,$A51&amp;"|"&amp;$C51)&gt;0,IF($G51="SI",ROUND(IF(SUMPRODUCT(MAX((CriteriTecnici!$C$5:$C$2484=$C51)*(CriteriTecnici!$E$5:$E$2484="A")*(CriteriTecnici!$T$5:$T$2484="SI")*IFERROR(CriteriTecnici!$O$5:$O$2484*1,0)))&gt;0,MIN(7,SUMIFS(CriteriTecnici!$O:$O,CriteriTecnici!$Q:$Q,$A51&amp;"|"&amp;$C51,CriteriTecnici!$E:$E,"A")*(7/SUMPRODUCT(MAX((CriteriTecnici!$C$5:$C$2484=$C51)*(CriteriTecnici!$E$5:$E$2484="A")*(CriteriTecnici!$T$5:$T$2484="SI")*IFERROR(CriteriTecnici!$O$5:$O$2484*1,0))))),0)+IF(SUMPRODUCT(MAX((CriteriTecnici!$C$5:$C$2484=$C51)*(CriteriTecnici!$E$5:$E$2484="B")*(CriteriTecnici!$T$5:$T$2484="SI")*IFERROR(CriteriTecnici!$O$5:$O$2484*1,0)))&gt;0,MIN(14,SUMIFS(CriteriTecnici!$O:$O,CriteriTecnici!$Q:$Q,$A51&amp;"|"&amp;$C51,CriteriTecnici!$E:$E,"B")*(14/SUMPRODUCT(MAX((CriteriTecnici!$C$5:$C$2484=$C51)*(CriteriTecnici!$E$5:$E$2484="B")*(CriteriTecnici!$T$5:$T$2484="SI")*IFERROR(CriteriTecnici!$O$5:$O$2484*1,0))))),0)+IF(SUMPRODUCT(MAX((CriteriTecnici!$C$5:$C$2484=$C51)*(CriteriTecnici!$E$5:$E$2484="C")*(CriteriTecnici!$T$5:$T$2484="SI")*IFERROR(CriteriTecnici!$O$5:$O$2484*1,0)))&gt;0,MIN(14,SUMIFS(CriteriTecnici!$O:$O,CriteriTecnici!$Q:$Q,$A51&amp;"|"&amp;$C51,CriteriTecnici!$E:$E,"C")*(14/SUMPRODUCT(MAX((CriteriTecnici!$C$5:$C$2484=$C51)*(CriteriTecnici!$E$5:$E$2484="C")*(CriteriTecnici!$T$5:$T$2484="SI")*IFERROR(CriteriTecnici!$O$5:$O$2484*1,0))))),0)+IF(SUMPRODUCT(MAX((CriteriTecnici!$C$5:$C$2484=$C51)*(CriteriTecnici!$E$5:$E$2484="D")*(CriteriTecnici!$T$5:$T$2484="SI")*IFERROR(CriteriTecnici!$O$5:$O$2484*1,0)))&gt;0,MIN(10,SUMIFS(CriteriTecnici!$O:$O,CriteriTecnici!$Q:$Q,$A51&amp;"|"&amp;$C51,CriteriTecnici!$E:$E,"D")*(10/SUMPRODUCT(MAX((CriteriTecnici!$C$5:$C$2484=$C51)*(CriteriTecnici!$E$5:$E$2484="D")*(CriteriTecnici!$T$5:$T$2484="SI")*IFERROR(CriteriTecnici!$O$5:$O$2484*1,0))))),0)+IF(SUMPRODUCT(MAX((CriteriTecnici!$C$5:$C$2484=$C51)*(CriteriTecnici!$E$5:$E$2484="E")*(CriteriTecnici!$T$5:$T$2484="SI")*IFERROR(CriteriTecnici!$O$5:$O$2484*1,0)))&gt;0,MIN(4,SUMIFS(CriteriTecnici!$O:$O,CriteriTecnici!$Q:$Q,$A51&amp;"|"&amp;$C51,CriteriTecnici!$E:$E,"E")*(4/SUMPRODUCT(MAX((CriteriTecnici!$C$5:$C$2484=$C51)*(CriteriTecnici!$E$5:$E$2484="E")*(CriteriTecnici!$T$5:$T$2484="SI")*IFERROR(CriteriTecnici!$O$5:$O$2484*1,0))))),0)+IF(SUMPRODUCT(MAX((CriteriTecnici!$C$5:$C$2484=$C51)*(CriteriTecnici!$E$5:$E$2484="F")*(CriteriTecnici!$T$5:$T$2484="SI")*IFERROR(CriteriTecnici!$O$5:$O$2484*1,0)))&gt;0,MIN(14,SUMIFS(CriteriTecnici!$O:$O,CriteriTecnici!$Q:$Q,$A51&amp;"|"&amp;$C51,CriteriTecnici!$E:$E,"F")*(14/SUMPRODUCT(MAX((CriteriTecnici!$C$5:$C$2484=$C51)*(CriteriTecnici!$E$5:$E$2484="F")*(CriteriTecnici!$T$5:$T$2484="SI")*IFERROR(CriteriTecnici!$O$5:$O$2484*1,0))))),0)+IF(SUMPRODUCT(MAX((CriteriTecnici!$C$5:$C$2484=$C51)*(CriteriTecnici!$E$5:$E$2484="G")*(CriteriTecnici!$T$5:$T$2484="SI")*IFERROR(CriteriTecnici!$O$5:$O$2484*1,0)))&gt;0,MIN(7,SUMIFS(CriteriTecnici!$O:$O,CriteriTecnici!$Q:$Q,$A51&amp;"|"&amp;$C51,CriteriTecnici!$E:$E,"G")*(7/SUMPRODUCT(MAX((CriteriTecnici!$C$5:$C$2484=$C51)*(CriteriTecnici!$E$5:$E$2484="G")*(CriteriTecnici!$T$5:$T$2484="SI")*IFERROR(CriteriTecnici!$O$5:$O$2484*1,0))))),0),4),0),IFERROR($N51*1,0)),0))</f>
        <v/>
      </c>
      <c r="F51" s="56">
        <f>IF(Compila!$A61="","",Compila!$E61)</f>
        <v/>
      </c>
      <c r="G51" s="57">
        <f>IF($A51="","",IF(IFERROR(VALUE($D51),0)&lt;&gt;1,"NO",IF(IFERROR(VALUE($O51),0)&gt;=Parametri!$B$2,"SI","NO")))</f>
        <v/>
      </c>
      <c r="H51" s="57">
        <f>IF($G51="SI",SUMPRODUCT(MAX(($C$2:$C$81=$C51)*(IFERROR($D$2:$D$81*1,0)=1)*(IFERROR($O$2:$O$81*1,0)&gt;=Parametri!$B$2)*IFERROR($F$2:$F$81*1,0))),0)</f>
        <v/>
      </c>
      <c r="I51" s="57">
        <f>IF($G51="SI",IF($H51&gt;0,30*(IFERROR($F51*1,0)/$H51),0),0)</f>
        <v/>
      </c>
      <c r="J51" s="57">
        <f>IF($A51="",0,IF($G51="SI",ROUND(IFERROR($E51*1,0)+$I51,4),ROUND(IFERROR($E51*1,0),4)))</f>
        <v/>
      </c>
      <c r="K51" s="57">
        <f>IF($A51="","",IF(IFERROR(VALUE($D51),0)&lt;&gt;1,"Non attiva",IF(IFERROR(VALUE($O51),0)&lt;Parametri!$B$2,"Sotto soglia","")))</f>
        <v/>
      </c>
      <c r="L51" s="57">
        <f>IF($A51="","",$A51&amp;"|"&amp;$C51)</f>
        <v/>
      </c>
      <c r="M51" s="57">
        <f>IF($A51="","",$C51&amp;"|"&amp;TEXT($J51,"0.0000"))</f>
        <v/>
      </c>
      <c r="N51" s="57" t="n"/>
      <c r="O51" s="57">
        <f>IF($A51="",0,IFERROR(IF(SUMIFS(CriteriTecnici!$O:$O,CriteriTecnici!$Q:$Q,$A51&amp;"|"&amp;$C51)&gt;0,SUMIFS(CriteriTecnici!$O:$O,CriteriTecnici!$Q:$Q,$A51&amp;"|"&amp;$C51,CriteriTecnici!$F:$F,"Q")+SUMIFS(CriteriTecnici!$O:$O,CriteriTecnici!$Q:$Q,$A51&amp;"|"&amp;$C51,CriteriTecnici!$F:$F,"T"),IFERROR($N51*1,0)),0))</f>
        <v/>
      </c>
      <c r="P51" s="57">
        <f>IF($A51="","",IF(SUMIFS(CriteriTecnici!$O:$O,CriteriTecnici!$Q:$Q,$A51&amp;"|"&amp;$C51)&gt;0,"Criteri A-G","Aggregato"))</f>
        <v/>
      </c>
    </row>
    <row r="52">
      <c r="A52" s="56">
        <f>IF(Compila!$A62="","",Compila!$A62)</f>
        <v/>
      </c>
      <c r="B52" s="56">
        <f>IF(Compila!$A62="","",Compila!$B62)</f>
        <v/>
      </c>
      <c r="C52" s="56">
        <f>IF(Compila!$A62="","",Compila!$C62)</f>
        <v/>
      </c>
      <c r="D52" s="56">
        <f>IF(Compila!$A62="","",Compila!$D62)</f>
        <v/>
      </c>
      <c r="E52" s="57">
        <f>IF($A52="",0,IFERROR(IF(SUMIFS(CriteriTecnici!$O:$O,CriteriTecnici!$Q:$Q,$A52&amp;"|"&amp;$C52)&gt;0,IF($G52="SI",ROUND(IF(SUMPRODUCT(MAX((CriteriTecnici!$C$5:$C$2484=$C52)*(CriteriTecnici!$E$5:$E$2484="A")*(CriteriTecnici!$T$5:$T$2484="SI")*IFERROR(CriteriTecnici!$O$5:$O$2484*1,0)))&gt;0,MIN(7,SUMIFS(CriteriTecnici!$O:$O,CriteriTecnici!$Q:$Q,$A52&amp;"|"&amp;$C52,CriteriTecnici!$E:$E,"A")*(7/SUMPRODUCT(MAX((CriteriTecnici!$C$5:$C$2484=$C52)*(CriteriTecnici!$E$5:$E$2484="A")*(CriteriTecnici!$T$5:$T$2484="SI")*IFERROR(CriteriTecnici!$O$5:$O$2484*1,0))))),0)+IF(SUMPRODUCT(MAX((CriteriTecnici!$C$5:$C$2484=$C52)*(CriteriTecnici!$E$5:$E$2484="B")*(CriteriTecnici!$T$5:$T$2484="SI")*IFERROR(CriteriTecnici!$O$5:$O$2484*1,0)))&gt;0,MIN(14,SUMIFS(CriteriTecnici!$O:$O,CriteriTecnici!$Q:$Q,$A52&amp;"|"&amp;$C52,CriteriTecnici!$E:$E,"B")*(14/SUMPRODUCT(MAX((CriteriTecnici!$C$5:$C$2484=$C52)*(CriteriTecnici!$E$5:$E$2484="B")*(CriteriTecnici!$T$5:$T$2484="SI")*IFERROR(CriteriTecnici!$O$5:$O$2484*1,0))))),0)+IF(SUMPRODUCT(MAX((CriteriTecnici!$C$5:$C$2484=$C52)*(CriteriTecnici!$E$5:$E$2484="C")*(CriteriTecnici!$T$5:$T$2484="SI")*IFERROR(CriteriTecnici!$O$5:$O$2484*1,0)))&gt;0,MIN(14,SUMIFS(CriteriTecnici!$O:$O,CriteriTecnici!$Q:$Q,$A52&amp;"|"&amp;$C52,CriteriTecnici!$E:$E,"C")*(14/SUMPRODUCT(MAX((CriteriTecnici!$C$5:$C$2484=$C52)*(CriteriTecnici!$E$5:$E$2484="C")*(CriteriTecnici!$T$5:$T$2484="SI")*IFERROR(CriteriTecnici!$O$5:$O$2484*1,0))))),0)+IF(SUMPRODUCT(MAX((CriteriTecnici!$C$5:$C$2484=$C52)*(CriteriTecnici!$E$5:$E$2484="D")*(CriteriTecnici!$T$5:$T$2484="SI")*IFERROR(CriteriTecnici!$O$5:$O$2484*1,0)))&gt;0,MIN(10,SUMIFS(CriteriTecnici!$O:$O,CriteriTecnici!$Q:$Q,$A52&amp;"|"&amp;$C52,CriteriTecnici!$E:$E,"D")*(10/SUMPRODUCT(MAX((CriteriTecnici!$C$5:$C$2484=$C52)*(CriteriTecnici!$E$5:$E$2484="D")*(CriteriTecnici!$T$5:$T$2484="SI")*IFERROR(CriteriTecnici!$O$5:$O$2484*1,0))))),0)+IF(SUMPRODUCT(MAX((CriteriTecnici!$C$5:$C$2484=$C52)*(CriteriTecnici!$E$5:$E$2484="E")*(CriteriTecnici!$T$5:$T$2484="SI")*IFERROR(CriteriTecnici!$O$5:$O$2484*1,0)))&gt;0,MIN(4,SUMIFS(CriteriTecnici!$O:$O,CriteriTecnici!$Q:$Q,$A52&amp;"|"&amp;$C52,CriteriTecnici!$E:$E,"E")*(4/SUMPRODUCT(MAX((CriteriTecnici!$C$5:$C$2484=$C52)*(CriteriTecnici!$E$5:$E$2484="E")*(CriteriTecnici!$T$5:$T$2484="SI")*IFERROR(CriteriTecnici!$O$5:$O$2484*1,0))))),0)+IF(SUMPRODUCT(MAX((CriteriTecnici!$C$5:$C$2484=$C52)*(CriteriTecnici!$E$5:$E$2484="F")*(CriteriTecnici!$T$5:$T$2484="SI")*IFERROR(CriteriTecnici!$O$5:$O$2484*1,0)))&gt;0,MIN(14,SUMIFS(CriteriTecnici!$O:$O,CriteriTecnici!$Q:$Q,$A52&amp;"|"&amp;$C52,CriteriTecnici!$E:$E,"F")*(14/SUMPRODUCT(MAX((CriteriTecnici!$C$5:$C$2484=$C52)*(CriteriTecnici!$E$5:$E$2484="F")*(CriteriTecnici!$T$5:$T$2484="SI")*IFERROR(CriteriTecnici!$O$5:$O$2484*1,0))))),0)+IF(SUMPRODUCT(MAX((CriteriTecnici!$C$5:$C$2484=$C52)*(CriteriTecnici!$E$5:$E$2484="G")*(CriteriTecnici!$T$5:$T$2484="SI")*IFERROR(CriteriTecnici!$O$5:$O$2484*1,0)))&gt;0,MIN(7,SUMIFS(CriteriTecnici!$O:$O,CriteriTecnici!$Q:$Q,$A52&amp;"|"&amp;$C52,CriteriTecnici!$E:$E,"G")*(7/SUMPRODUCT(MAX((CriteriTecnici!$C$5:$C$2484=$C52)*(CriteriTecnici!$E$5:$E$2484="G")*(CriteriTecnici!$T$5:$T$2484="SI")*IFERROR(CriteriTecnici!$O$5:$O$2484*1,0))))),0),4),0),IFERROR($N52*1,0)),0))</f>
        <v/>
      </c>
      <c r="F52" s="56">
        <f>IF(Compila!$A62="","",Compila!$E62)</f>
        <v/>
      </c>
      <c r="G52" s="57">
        <f>IF($A52="","",IF(IFERROR(VALUE($D52),0)&lt;&gt;1,"NO",IF(IFERROR(VALUE($O52),0)&gt;=Parametri!$B$2,"SI","NO")))</f>
        <v/>
      </c>
      <c r="H52" s="57">
        <f>IF($G52="SI",SUMPRODUCT(MAX(($C$2:$C$81=$C52)*(IFERROR($D$2:$D$81*1,0)=1)*(IFERROR($O$2:$O$81*1,0)&gt;=Parametri!$B$2)*IFERROR($F$2:$F$81*1,0))),0)</f>
        <v/>
      </c>
      <c r="I52" s="57">
        <f>IF($G52="SI",IF($H52&gt;0,30*(IFERROR($F52*1,0)/$H52),0),0)</f>
        <v/>
      </c>
      <c r="J52" s="57">
        <f>IF($A52="",0,IF($G52="SI",ROUND(IFERROR($E52*1,0)+$I52,4),ROUND(IFERROR($E52*1,0),4)))</f>
        <v/>
      </c>
      <c r="K52" s="57">
        <f>IF($A52="","",IF(IFERROR(VALUE($D52),0)&lt;&gt;1,"Non attiva",IF(IFERROR(VALUE($O52),0)&lt;Parametri!$B$2,"Sotto soglia","")))</f>
        <v/>
      </c>
      <c r="L52" s="57">
        <f>IF($A52="","",$A52&amp;"|"&amp;$C52)</f>
        <v/>
      </c>
      <c r="M52" s="57">
        <f>IF($A52="","",$C52&amp;"|"&amp;TEXT($J52,"0.0000"))</f>
        <v/>
      </c>
      <c r="N52" s="57" t="n"/>
      <c r="O52" s="57">
        <f>IF($A52="",0,IFERROR(IF(SUMIFS(CriteriTecnici!$O:$O,CriteriTecnici!$Q:$Q,$A52&amp;"|"&amp;$C52)&gt;0,SUMIFS(CriteriTecnici!$O:$O,CriteriTecnici!$Q:$Q,$A52&amp;"|"&amp;$C52,CriteriTecnici!$F:$F,"Q")+SUMIFS(CriteriTecnici!$O:$O,CriteriTecnici!$Q:$Q,$A52&amp;"|"&amp;$C52,CriteriTecnici!$F:$F,"T"),IFERROR($N52*1,0)),0))</f>
        <v/>
      </c>
      <c r="P52" s="57">
        <f>IF($A52="","",IF(SUMIFS(CriteriTecnici!$O:$O,CriteriTecnici!$Q:$Q,$A52&amp;"|"&amp;$C52)&gt;0,"Criteri A-G","Aggregato"))</f>
        <v/>
      </c>
    </row>
    <row r="53">
      <c r="A53" s="56">
        <f>IF(Compila!$A63="","",Compila!$A63)</f>
        <v/>
      </c>
      <c r="B53" s="56">
        <f>IF(Compila!$A63="","",Compila!$B63)</f>
        <v/>
      </c>
      <c r="C53" s="56">
        <f>IF(Compila!$A63="","",Compila!$C63)</f>
        <v/>
      </c>
      <c r="D53" s="56">
        <f>IF(Compila!$A63="","",Compila!$D63)</f>
        <v/>
      </c>
      <c r="E53" s="57">
        <f>IF($A53="",0,IFERROR(IF(SUMIFS(CriteriTecnici!$O:$O,CriteriTecnici!$Q:$Q,$A53&amp;"|"&amp;$C53)&gt;0,IF($G53="SI",ROUND(IF(SUMPRODUCT(MAX((CriteriTecnici!$C$5:$C$2484=$C53)*(CriteriTecnici!$E$5:$E$2484="A")*(CriteriTecnici!$T$5:$T$2484="SI")*IFERROR(CriteriTecnici!$O$5:$O$2484*1,0)))&gt;0,MIN(7,SUMIFS(CriteriTecnici!$O:$O,CriteriTecnici!$Q:$Q,$A53&amp;"|"&amp;$C53,CriteriTecnici!$E:$E,"A")*(7/SUMPRODUCT(MAX((CriteriTecnici!$C$5:$C$2484=$C53)*(CriteriTecnici!$E$5:$E$2484="A")*(CriteriTecnici!$T$5:$T$2484="SI")*IFERROR(CriteriTecnici!$O$5:$O$2484*1,0))))),0)+IF(SUMPRODUCT(MAX((CriteriTecnici!$C$5:$C$2484=$C53)*(CriteriTecnici!$E$5:$E$2484="B")*(CriteriTecnici!$T$5:$T$2484="SI")*IFERROR(CriteriTecnici!$O$5:$O$2484*1,0)))&gt;0,MIN(14,SUMIFS(CriteriTecnici!$O:$O,CriteriTecnici!$Q:$Q,$A53&amp;"|"&amp;$C53,CriteriTecnici!$E:$E,"B")*(14/SUMPRODUCT(MAX((CriteriTecnici!$C$5:$C$2484=$C53)*(CriteriTecnici!$E$5:$E$2484="B")*(CriteriTecnici!$T$5:$T$2484="SI")*IFERROR(CriteriTecnici!$O$5:$O$2484*1,0))))),0)+IF(SUMPRODUCT(MAX((CriteriTecnici!$C$5:$C$2484=$C53)*(CriteriTecnici!$E$5:$E$2484="C")*(CriteriTecnici!$T$5:$T$2484="SI")*IFERROR(CriteriTecnici!$O$5:$O$2484*1,0)))&gt;0,MIN(14,SUMIFS(CriteriTecnici!$O:$O,CriteriTecnici!$Q:$Q,$A53&amp;"|"&amp;$C53,CriteriTecnici!$E:$E,"C")*(14/SUMPRODUCT(MAX((CriteriTecnici!$C$5:$C$2484=$C53)*(CriteriTecnici!$E$5:$E$2484="C")*(CriteriTecnici!$T$5:$T$2484="SI")*IFERROR(CriteriTecnici!$O$5:$O$2484*1,0))))),0)+IF(SUMPRODUCT(MAX((CriteriTecnici!$C$5:$C$2484=$C53)*(CriteriTecnici!$E$5:$E$2484="D")*(CriteriTecnici!$T$5:$T$2484="SI")*IFERROR(CriteriTecnici!$O$5:$O$2484*1,0)))&gt;0,MIN(10,SUMIFS(CriteriTecnici!$O:$O,CriteriTecnici!$Q:$Q,$A53&amp;"|"&amp;$C53,CriteriTecnici!$E:$E,"D")*(10/SUMPRODUCT(MAX((CriteriTecnici!$C$5:$C$2484=$C53)*(CriteriTecnici!$E$5:$E$2484="D")*(CriteriTecnici!$T$5:$T$2484="SI")*IFERROR(CriteriTecnici!$O$5:$O$2484*1,0))))),0)+IF(SUMPRODUCT(MAX((CriteriTecnici!$C$5:$C$2484=$C53)*(CriteriTecnici!$E$5:$E$2484="E")*(CriteriTecnici!$T$5:$T$2484="SI")*IFERROR(CriteriTecnici!$O$5:$O$2484*1,0)))&gt;0,MIN(4,SUMIFS(CriteriTecnici!$O:$O,CriteriTecnici!$Q:$Q,$A53&amp;"|"&amp;$C53,CriteriTecnici!$E:$E,"E")*(4/SUMPRODUCT(MAX((CriteriTecnici!$C$5:$C$2484=$C53)*(CriteriTecnici!$E$5:$E$2484="E")*(CriteriTecnici!$T$5:$T$2484="SI")*IFERROR(CriteriTecnici!$O$5:$O$2484*1,0))))),0)+IF(SUMPRODUCT(MAX((CriteriTecnici!$C$5:$C$2484=$C53)*(CriteriTecnici!$E$5:$E$2484="F")*(CriteriTecnici!$T$5:$T$2484="SI")*IFERROR(CriteriTecnici!$O$5:$O$2484*1,0)))&gt;0,MIN(14,SUMIFS(CriteriTecnici!$O:$O,CriteriTecnici!$Q:$Q,$A53&amp;"|"&amp;$C53,CriteriTecnici!$E:$E,"F")*(14/SUMPRODUCT(MAX((CriteriTecnici!$C$5:$C$2484=$C53)*(CriteriTecnici!$E$5:$E$2484="F")*(CriteriTecnici!$T$5:$T$2484="SI")*IFERROR(CriteriTecnici!$O$5:$O$2484*1,0))))),0)+IF(SUMPRODUCT(MAX((CriteriTecnici!$C$5:$C$2484=$C53)*(CriteriTecnici!$E$5:$E$2484="G")*(CriteriTecnici!$T$5:$T$2484="SI")*IFERROR(CriteriTecnici!$O$5:$O$2484*1,0)))&gt;0,MIN(7,SUMIFS(CriteriTecnici!$O:$O,CriteriTecnici!$Q:$Q,$A53&amp;"|"&amp;$C53,CriteriTecnici!$E:$E,"G")*(7/SUMPRODUCT(MAX((CriteriTecnici!$C$5:$C$2484=$C53)*(CriteriTecnici!$E$5:$E$2484="G")*(CriteriTecnici!$T$5:$T$2484="SI")*IFERROR(CriteriTecnici!$O$5:$O$2484*1,0))))),0),4),0),IFERROR($N53*1,0)),0))</f>
        <v/>
      </c>
      <c r="F53" s="56">
        <f>IF(Compila!$A63="","",Compila!$E63)</f>
        <v/>
      </c>
      <c r="G53" s="57">
        <f>IF($A53="","",IF(IFERROR(VALUE($D53),0)&lt;&gt;1,"NO",IF(IFERROR(VALUE($O53),0)&gt;=Parametri!$B$2,"SI","NO")))</f>
        <v/>
      </c>
      <c r="H53" s="57">
        <f>IF($G53="SI",SUMPRODUCT(MAX(($C$2:$C$81=$C53)*(IFERROR($D$2:$D$81*1,0)=1)*(IFERROR($O$2:$O$81*1,0)&gt;=Parametri!$B$2)*IFERROR($F$2:$F$81*1,0))),0)</f>
        <v/>
      </c>
      <c r="I53" s="57">
        <f>IF($G53="SI",IF($H53&gt;0,30*(IFERROR($F53*1,0)/$H53),0),0)</f>
        <v/>
      </c>
      <c r="J53" s="57">
        <f>IF($A53="",0,IF($G53="SI",ROUND(IFERROR($E53*1,0)+$I53,4),ROUND(IFERROR($E53*1,0),4)))</f>
        <v/>
      </c>
      <c r="K53" s="57">
        <f>IF($A53="","",IF(IFERROR(VALUE($D53),0)&lt;&gt;1,"Non attiva",IF(IFERROR(VALUE($O53),0)&lt;Parametri!$B$2,"Sotto soglia","")))</f>
        <v/>
      </c>
      <c r="L53" s="57">
        <f>IF($A53="","",$A53&amp;"|"&amp;$C53)</f>
        <v/>
      </c>
      <c r="M53" s="57">
        <f>IF($A53="","",$C53&amp;"|"&amp;TEXT($J53,"0.0000"))</f>
        <v/>
      </c>
      <c r="N53" s="57" t="n"/>
      <c r="O53" s="57">
        <f>IF($A53="",0,IFERROR(IF(SUMIFS(CriteriTecnici!$O:$O,CriteriTecnici!$Q:$Q,$A53&amp;"|"&amp;$C53)&gt;0,SUMIFS(CriteriTecnici!$O:$O,CriteriTecnici!$Q:$Q,$A53&amp;"|"&amp;$C53,CriteriTecnici!$F:$F,"Q")+SUMIFS(CriteriTecnici!$O:$O,CriteriTecnici!$Q:$Q,$A53&amp;"|"&amp;$C53,CriteriTecnici!$F:$F,"T"),IFERROR($N53*1,0)),0))</f>
        <v/>
      </c>
      <c r="P53" s="57">
        <f>IF($A53="","",IF(SUMIFS(CriteriTecnici!$O:$O,CriteriTecnici!$Q:$Q,$A53&amp;"|"&amp;$C53)&gt;0,"Criteri A-G","Aggregato"))</f>
        <v/>
      </c>
    </row>
    <row r="54">
      <c r="A54" s="56">
        <f>IF(Compila!$A64="","",Compila!$A64)</f>
        <v/>
      </c>
      <c r="B54" s="56">
        <f>IF(Compila!$A64="","",Compila!$B64)</f>
        <v/>
      </c>
      <c r="C54" s="56">
        <f>IF(Compila!$A64="","",Compila!$C64)</f>
        <v/>
      </c>
      <c r="D54" s="56">
        <f>IF(Compila!$A64="","",Compila!$D64)</f>
        <v/>
      </c>
      <c r="E54" s="57">
        <f>IF($A54="",0,IFERROR(IF(SUMIFS(CriteriTecnici!$O:$O,CriteriTecnici!$Q:$Q,$A54&amp;"|"&amp;$C54)&gt;0,IF($G54="SI",ROUND(IF(SUMPRODUCT(MAX((CriteriTecnici!$C$5:$C$2484=$C54)*(CriteriTecnici!$E$5:$E$2484="A")*(CriteriTecnici!$T$5:$T$2484="SI")*IFERROR(CriteriTecnici!$O$5:$O$2484*1,0)))&gt;0,MIN(7,SUMIFS(CriteriTecnici!$O:$O,CriteriTecnici!$Q:$Q,$A54&amp;"|"&amp;$C54,CriteriTecnici!$E:$E,"A")*(7/SUMPRODUCT(MAX((CriteriTecnici!$C$5:$C$2484=$C54)*(CriteriTecnici!$E$5:$E$2484="A")*(CriteriTecnici!$T$5:$T$2484="SI")*IFERROR(CriteriTecnici!$O$5:$O$2484*1,0))))),0)+IF(SUMPRODUCT(MAX((CriteriTecnici!$C$5:$C$2484=$C54)*(CriteriTecnici!$E$5:$E$2484="B")*(CriteriTecnici!$T$5:$T$2484="SI")*IFERROR(CriteriTecnici!$O$5:$O$2484*1,0)))&gt;0,MIN(14,SUMIFS(CriteriTecnici!$O:$O,CriteriTecnici!$Q:$Q,$A54&amp;"|"&amp;$C54,CriteriTecnici!$E:$E,"B")*(14/SUMPRODUCT(MAX((CriteriTecnici!$C$5:$C$2484=$C54)*(CriteriTecnici!$E$5:$E$2484="B")*(CriteriTecnici!$T$5:$T$2484="SI")*IFERROR(CriteriTecnici!$O$5:$O$2484*1,0))))),0)+IF(SUMPRODUCT(MAX((CriteriTecnici!$C$5:$C$2484=$C54)*(CriteriTecnici!$E$5:$E$2484="C")*(CriteriTecnici!$T$5:$T$2484="SI")*IFERROR(CriteriTecnici!$O$5:$O$2484*1,0)))&gt;0,MIN(14,SUMIFS(CriteriTecnici!$O:$O,CriteriTecnici!$Q:$Q,$A54&amp;"|"&amp;$C54,CriteriTecnici!$E:$E,"C")*(14/SUMPRODUCT(MAX((CriteriTecnici!$C$5:$C$2484=$C54)*(CriteriTecnici!$E$5:$E$2484="C")*(CriteriTecnici!$T$5:$T$2484="SI")*IFERROR(CriteriTecnici!$O$5:$O$2484*1,0))))),0)+IF(SUMPRODUCT(MAX((CriteriTecnici!$C$5:$C$2484=$C54)*(CriteriTecnici!$E$5:$E$2484="D")*(CriteriTecnici!$T$5:$T$2484="SI")*IFERROR(CriteriTecnici!$O$5:$O$2484*1,0)))&gt;0,MIN(10,SUMIFS(CriteriTecnici!$O:$O,CriteriTecnici!$Q:$Q,$A54&amp;"|"&amp;$C54,CriteriTecnici!$E:$E,"D")*(10/SUMPRODUCT(MAX((CriteriTecnici!$C$5:$C$2484=$C54)*(CriteriTecnici!$E$5:$E$2484="D")*(CriteriTecnici!$T$5:$T$2484="SI")*IFERROR(CriteriTecnici!$O$5:$O$2484*1,0))))),0)+IF(SUMPRODUCT(MAX((CriteriTecnici!$C$5:$C$2484=$C54)*(CriteriTecnici!$E$5:$E$2484="E")*(CriteriTecnici!$T$5:$T$2484="SI")*IFERROR(CriteriTecnici!$O$5:$O$2484*1,0)))&gt;0,MIN(4,SUMIFS(CriteriTecnici!$O:$O,CriteriTecnici!$Q:$Q,$A54&amp;"|"&amp;$C54,CriteriTecnici!$E:$E,"E")*(4/SUMPRODUCT(MAX((CriteriTecnici!$C$5:$C$2484=$C54)*(CriteriTecnici!$E$5:$E$2484="E")*(CriteriTecnici!$T$5:$T$2484="SI")*IFERROR(CriteriTecnici!$O$5:$O$2484*1,0))))),0)+IF(SUMPRODUCT(MAX((CriteriTecnici!$C$5:$C$2484=$C54)*(CriteriTecnici!$E$5:$E$2484="F")*(CriteriTecnici!$T$5:$T$2484="SI")*IFERROR(CriteriTecnici!$O$5:$O$2484*1,0)))&gt;0,MIN(14,SUMIFS(CriteriTecnici!$O:$O,CriteriTecnici!$Q:$Q,$A54&amp;"|"&amp;$C54,CriteriTecnici!$E:$E,"F")*(14/SUMPRODUCT(MAX((CriteriTecnici!$C$5:$C$2484=$C54)*(CriteriTecnici!$E$5:$E$2484="F")*(CriteriTecnici!$T$5:$T$2484="SI")*IFERROR(CriteriTecnici!$O$5:$O$2484*1,0))))),0)+IF(SUMPRODUCT(MAX((CriteriTecnici!$C$5:$C$2484=$C54)*(CriteriTecnici!$E$5:$E$2484="G")*(CriteriTecnici!$T$5:$T$2484="SI")*IFERROR(CriteriTecnici!$O$5:$O$2484*1,0)))&gt;0,MIN(7,SUMIFS(CriteriTecnici!$O:$O,CriteriTecnici!$Q:$Q,$A54&amp;"|"&amp;$C54,CriteriTecnici!$E:$E,"G")*(7/SUMPRODUCT(MAX((CriteriTecnici!$C$5:$C$2484=$C54)*(CriteriTecnici!$E$5:$E$2484="G")*(CriteriTecnici!$T$5:$T$2484="SI")*IFERROR(CriteriTecnici!$O$5:$O$2484*1,0))))),0),4),0),IFERROR($N54*1,0)),0))</f>
        <v/>
      </c>
      <c r="F54" s="56">
        <f>IF(Compila!$A64="","",Compila!$E64)</f>
        <v/>
      </c>
      <c r="G54" s="57">
        <f>IF($A54="","",IF(IFERROR(VALUE($D54),0)&lt;&gt;1,"NO",IF(IFERROR(VALUE($O54),0)&gt;=Parametri!$B$2,"SI","NO")))</f>
        <v/>
      </c>
      <c r="H54" s="57">
        <f>IF($G54="SI",SUMPRODUCT(MAX(($C$2:$C$81=$C54)*(IFERROR($D$2:$D$81*1,0)=1)*(IFERROR($O$2:$O$81*1,0)&gt;=Parametri!$B$2)*IFERROR($F$2:$F$81*1,0))),0)</f>
        <v/>
      </c>
      <c r="I54" s="57">
        <f>IF($G54="SI",IF($H54&gt;0,30*(IFERROR($F54*1,0)/$H54),0),0)</f>
        <v/>
      </c>
      <c r="J54" s="57">
        <f>IF($A54="",0,IF($G54="SI",ROUND(IFERROR($E54*1,0)+$I54,4),ROUND(IFERROR($E54*1,0),4)))</f>
        <v/>
      </c>
      <c r="K54" s="57">
        <f>IF($A54="","",IF(IFERROR(VALUE($D54),0)&lt;&gt;1,"Non attiva",IF(IFERROR(VALUE($O54),0)&lt;Parametri!$B$2,"Sotto soglia","")))</f>
        <v/>
      </c>
      <c r="L54" s="57">
        <f>IF($A54="","",$A54&amp;"|"&amp;$C54)</f>
        <v/>
      </c>
      <c r="M54" s="57">
        <f>IF($A54="","",$C54&amp;"|"&amp;TEXT($J54,"0.0000"))</f>
        <v/>
      </c>
      <c r="N54" s="57" t="n"/>
      <c r="O54" s="57">
        <f>IF($A54="",0,IFERROR(IF(SUMIFS(CriteriTecnici!$O:$O,CriteriTecnici!$Q:$Q,$A54&amp;"|"&amp;$C54)&gt;0,SUMIFS(CriteriTecnici!$O:$O,CriteriTecnici!$Q:$Q,$A54&amp;"|"&amp;$C54,CriteriTecnici!$F:$F,"Q")+SUMIFS(CriteriTecnici!$O:$O,CriteriTecnici!$Q:$Q,$A54&amp;"|"&amp;$C54,CriteriTecnici!$F:$F,"T"),IFERROR($N54*1,0)),0))</f>
        <v/>
      </c>
      <c r="P54" s="57">
        <f>IF($A54="","",IF(SUMIFS(CriteriTecnici!$O:$O,CriteriTecnici!$Q:$Q,$A54&amp;"|"&amp;$C54)&gt;0,"Criteri A-G","Aggregato"))</f>
        <v/>
      </c>
    </row>
    <row r="55">
      <c r="A55" s="56">
        <f>IF(Compila!$A65="","",Compila!$A65)</f>
        <v/>
      </c>
      <c r="B55" s="56">
        <f>IF(Compila!$A65="","",Compila!$B65)</f>
        <v/>
      </c>
      <c r="C55" s="56">
        <f>IF(Compila!$A65="","",Compila!$C65)</f>
        <v/>
      </c>
      <c r="D55" s="56">
        <f>IF(Compila!$A65="","",Compila!$D65)</f>
        <v/>
      </c>
      <c r="E55" s="57">
        <f>IF($A55="",0,IFERROR(IF(SUMIFS(CriteriTecnici!$O:$O,CriteriTecnici!$Q:$Q,$A55&amp;"|"&amp;$C55)&gt;0,IF($G55="SI",ROUND(IF(SUMPRODUCT(MAX((CriteriTecnici!$C$5:$C$2484=$C55)*(CriteriTecnici!$E$5:$E$2484="A")*(CriteriTecnici!$T$5:$T$2484="SI")*IFERROR(CriteriTecnici!$O$5:$O$2484*1,0)))&gt;0,MIN(7,SUMIFS(CriteriTecnici!$O:$O,CriteriTecnici!$Q:$Q,$A55&amp;"|"&amp;$C55,CriteriTecnici!$E:$E,"A")*(7/SUMPRODUCT(MAX((CriteriTecnici!$C$5:$C$2484=$C55)*(CriteriTecnici!$E$5:$E$2484="A")*(CriteriTecnici!$T$5:$T$2484="SI")*IFERROR(CriteriTecnici!$O$5:$O$2484*1,0))))),0)+IF(SUMPRODUCT(MAX((CriteriTecnici!$C$5:$C$2484=$C55)*(CriteriTecnici!$E$5:$E$2484="B")*(CriteriTecnici!$T$5:$T$2484="SI")*IFERROR(CriteriTecnici!$O$5:$O$2484*1,0)))&gt;0,MIN(14,SUMIFS(CriteriTecnici!$O:$O,CriteriTecnici!$Q:$Q,$A55&amp;"|"&amp;$C55,CriteriTecnici!$E:$E,"B")*(14/SUMPRODUCT(MAX((CriteriTecnici!$C$5:$C$2484=$C55)*(CriteriTecnici!$E$5:$E$2484="B")*(CriteriTecnici!$T$5:$T$2484="SI")*IFERROR(CriteriTecnici!$O$5:$O$2484*1,0))))),0)+IF(SUMPRODUCT(MAX((CriteriTecnici!$C$5:$C$2484=$C55)*(CriteriTecnici!$E$5:$E$2484="C")*(CriteriTecnici!$T$5:$T$2484="SI")*IFERROR(CriteriTecnici!$O$5:$O$2484*1,0)))&gt;0,MIN(14,SUMIFS(CriteriTecnici!$O:$O,CriteriTecnici!$Q:$Q,$A55&amp;"|"&amp;$C55,CriteriTecnici!$E:$E,"C")*(14/SUMPRODUCT(MAX((CriteriTecnici!$C$5:$C$2484=$C55)*(CriteriTecnici!$E$5:$E$2484="C")*(CriteriTecnici!$T$5:$T$2484="SI")*IFERROR(CriteriTecnici!$O$5:$O$2484*1,0))))),0)+IF(SUMPRODUCT(MAX((CriteriTecnici!$C$5:$C$2484=$C55)*(CriteriTecnici!$E$5:$E$2484="D")*(CriteriTecnici!$T$5:$T$2484="SI")*IFERROR(CriteriTecnici!$O$5:$O$2484*1,0)))&gt;0,MIN(10,SUMIFS(CriteriTecnici!$O:$O,CriteriTecnici!$Q:$Q,$A55&amp;"|"&amp;$C55,CriteriTecnici!$E:$E,"D")*(10/SUMPRODUCT(MAX((CriteriTecnici!$C$5:$C$2484=$C55)*(CriteriTecnici!$E$5:$E$2484="D")*(CriteriTecnici!$T$5:$T$2484="SI")*IFERROR(CriteriTecnici!$O$5:$O$2484*1,0))))),0)+IF(SUMPRODUCT(MAX((CriteriTecnici!$C$5:$C$2484=$C55)*(CriteriTecnici!$E$5:$E$2484="E")*(CriteriTecnici!$T$5:$T$2484="SI")*IFERROR(CriteriTecnici!$O$5:$O$2484*1,0)))&gt;0,MIN(4,SUMIFS(CriteriTecnici!$O:$O,CriteriTecnici!$Q:$Q,$A55&amp;"|"&amp;$C55,CriteriTecnici!$E:$E,"E")*(4/SUMPRODUCT(MAX((CriteriTecnici!$C$5:$C$2484=$C55)*(CriteriTecnici!$E$5:$E$2484="E")*(CriteriTecnici!$T$5:$T$2484="SI")*IFERROR(CriteriTecnici!$O$5:$O$2484*1,0))))),0)+IF(SUMPRODUCT(MAX((CriteriTecnici!$C$5:$C$2484=$C55)*(CriteriTecnici!$E$5:$E$2484="F")*(CriteriTecnici!$T$5:$T$2484="SI")*IFERROR(CriteriTecnici!$O$5:$O$2484*1,0)))&gt;0,MIN(14,SUMIFS(CriteriTecnici!$O:$O,CriteriTecnici!$Q:$Q,$A55&amp;"|"&amp;$C55,CriteriTecnici!$E:$E,"F")*(14/SUMPRODUCT(MAX((CriteriTecnici!$C$5:$C$2484=$C55)*(CriteriTecnici!$E$5:$E$2484="F")*(CriteriTecnici!$T$5:$T$2484="SI")*IFERROR(CriteriTecnici!$O$5:$O$2484*1,0))))),0)+IF(SUMPRODUCT(MAX((CriteriTecnici!$C$5:$C$2484=$C55)*(CriteriTecnici!$E$5:$E$2484="G")*(CriteriTecnici!$T$5:$T$2484="SI")*IFERROR(CriteriTecnici!$O$5:$O$2484*1,0)))&gt;0,MIN(7,SUMIFS(CriteriTecnici!$O:$O,CriteriTecnici!$Q:$Q,$A55&amp;"|"&amp;$C55,CriteriTecnici!$E:$E,"G")*(7/SUMPRODUCT(MAX((CriteriTecnici!$C$5:$C$2484=$C55)*(CriteriTecnici!$E$5:$E$2484="G")*(CriteriTecnici!$T$5:$T$2484="SI")*IFERROR(CriteriTecnici!$O$5:$O$2484*1,0))))),0),4),0),IFERROR($N55*1,0)),0))</f>
        <v/>
      </c>
      <c r="F55" s="56">
        <f>IF(Compila!$A65="","",Compila!$E65)</f>
        <v/>
      </c>
      <c r="G55" s="57">
        <f>IF($A55="","",IF(IFERROR(VALUE($D55),0)&lt;&gt;1,"NO",IF(IFERROR(VALUE($O55),0)&gt;=Parametri!$B$2,"SI","NO")))</f>
        <v/>
      </c>
      <c r="H55" s="57">
        <f>IF($G55="SI",SUMPRODUCT(MAX(($C$2:$C$81=$C55)*(IFERROR($D$2:$D$81*1,0)=1)*(IFERROR($O$2:$O$81*1,0)&gt;=Parametri!$B$2)*IFERROR($F$2:$F$81*1,0))),0)</f>
        <v/>
      </c>
      <c r="I55" s="57">
        <f>IF($G55="SI",IF($H55&gt;0,30*(IFERROR($F55*1,0)/$H55),0),0)</f>
        <v/>
      </c>
      <c r="J55" s="57">
        <f>IF($A55="",0,IF($G55="SI",ROUND(IFERROR($E55*1,0)+$I55,4),ROUND(IFERROR($E55*1,0),4)))</f>
        <v/>
      </c>
      <c r="K55" s="57">
        <f>IF($A55="","",IF(IFERROR(VALUE($D55),0)&lt;&gt;1,"Non attiva",IF(IFERROR(VALUE($O55),0)&lt;Parametri!$B$2,"Sotto soglia","")))</f>
        <v/>
      </c>
      <c r="L55" s="57">
        <f>IF($A55="","",$A55&amp;"|"&amp;$C55)</f>
        <v/>
      </c>
      <c r="M55" s="57">
        <f>IF($A55="","",$C55&amp;"|"&amp;TEXT($J55,"0.0000"))</f>
        <v/>
      </c>
      <c r="N55" s="57" t="n"/>
      <c r="O55" s="57">
        <f>IF($A55="",0,IFERROR(IF(SUMIFS(CriteriTecnici!$O:$O,CriteriTecnici!$Q:$Q,$A55&amp;"|"&amp;$C55)&gt;0,SUMIFS(CriteriTecnici!$O:$O,CriteriTecnici!$Q:$Q,$A55&amp;"|"&amp;$C55,CriteriTecnici!$F:$F,"Q")+SUMIFS(CriteriTecnici!$O:$O,CriteriTecnici!$Q:$Q,$A55&amp;"|"&amp;$C55,CriteriTecnici!$F:$F,"T"),IFERROR($N55*1,0)),0))</f>
        <v/>
      </c>
      <c r="P55" s="57">
        <f>IF($A55="","",IF(SUMIFS(CriteriTecnici!$O:$O,CriteriTecnici!$Q:$Q,$A55&amp;"|"&amp;$C55)&gt;0,"Criteri A-G","Aggregato"))</f>
        <v/>
      </c>
    </row>
    <row r="56">
      <c r="A56" s="56">
        <f>IF(Compila!$A66="","",Compila!$A66)</f>
        <v/>
      </c>
      <c r="B56" s="56">
        <f>IF(Compila!$A66="","",Compila!$B66)</f>
        <v/>
      </c>
      <c r="C56" s="56">
        <f>IF(Compila!$A66="","",Compila!$C66)</f>
        <v/>
      </c>
      <c r="D56" s="56">
        <f>IF(Compila!$A66="","",Compila!$D66)</f>
        <v/>
      </c>
      <c r="E56" s="57">
        <f>IF($A56="",0,IFERROR(IF(SUMIFS(CriteriTecnici!$O:$O,CriteriTecnici!$Q:$Q,$A56&amp;"|"&amp;$C56)&gt;0,IF($G56="SI",ROUND(IF(SUMPRODUCT(MAX((CriteriTecnici!$C$5:$C$2484=$C56)*(CriteriTecnici!$E$5:$E$2484="A")*(CriteriTecnici!$T$5:$T$2484="SI")*IFERROR(CriteriTecnici!$O$5:$O$2484*1,0)))&gt;0,MIN(7,SUMIFS(CriteriTecnici!$O:$O,CriteriTecnici!$Q:$Q,$A56&amp;"|"&amp;$C56,CriteriTecnici!$E:$E,"A")*(7/SUMPRODUCT(MAX((CriteriTecnici!$C$5:$C$2484=$C56)*(CriteriTecnici!$E$5:$E$2484="A")*(CriteriTecnici!$T$5:$T$2484="SI")*IFERROR(CriteriTecnici!$O$5:$O$2484*1,0))))),0)+IF(SUMPRODUCT(MAX((CriteriTecnici!$C$5:$C$2484=$C56)*(CriteriTecnici!$E$5:$E$2484="B")*(CriteriTecnici!$T$5:$T$2484="SI")*IFERROR(CriteriTecnici!$O$5:$O$2484*1,0)))&gt;0,MIN(14,SUMIFS(CriteriTecnici!$O:$O,CriteriTecnici!$Q:$Q,$A56&amp;"|"&amp;$C56,CriteriTecnici!$E:$E,"B")*(14/SUMPRODUCT(MAX((CriteriTecnici!$C$5:$C$2484=$C56)*(CriteriTecnici!$E$5:$E$2484="B")*(CriteriTecnici!$T$5:$T$2484="SI")*IFERROR(CriteriTecnici!$O$5:$O$2484*1,0))))),0)+IF(SUMPRODUCT(MAX((CriteriTecnici!$C$5:$C$2484=$C56)*(CriteriTecnici!$E$5:$E$2484="C")*(CriteriTecnici!$T$5:$T$2484="SI")*IFERROR(CriteriTecnici!$O$5:$O$2484*1,0)))&gt;0,MIN(14,SUMIFS(CriteriTecnici!$O:$O,CriteriTecnici!$Q:$Q,$A56&amp;"|"&amp;$C56,CriteriTecnici!$E:$E,"C")*(14/SUMPRODUCT(MAX((CriteriTecnici!$C$5:$C$2484=$C56)*(CriteriTecnici!$E$5:$E$2484="C")*(CriteriTecnici!$T$5:$T$2484="SI")*IFERROR(CriteriTecnici!$O$5:$O$2484*1,0))))),0)+IF(SUMPRODUCT(MAX((CriteriTecnici!$C$5:$C$2484=$C56)*(CriteriTecnici!$E$5:$E$2484="D")*(CriteriTecnici!$T$5:$T$2484="SI")*IFERROR(CriteriTecnici!$O$5:$O$2484*1,0)))&gt;0,MIN(10,SUMIFS(CriteriTecnici!$O:$O,CriteriTecnici!$Q:$Q,$A56&amp;"|"&amp;$C56,CriteriTecnici!$E:$E,"D")*(10/SUMPRODUCT(MAX((CriteriTecnici!$C$5:$C$2484=$C56)*(CriteriTecnici!$E$5:$E$2484="D")*(CriteriTecnici!$T$5:$T$2484="SI")*IFERROR(CriteriTecnici!$O$5:$O$2484*1,0))))),0)+IF(SUMPRODUCT(MAX((CriteriTecnici!$C$5:$C$2484=$C56)*(CriteriTecnici!$E$5:$E$2484="E")*(CriteriTecnici!$T$5:$T$2484="SI")*IFERROR(CriteriTecnici!$O$5:$O$2484*1,0)))&gt;0,MIN(4,SUMIFS(CriteriTecnici!$O:$O,CriteriTecnici!$Q:$Q,$A56&amp;"|"&amp;$C56,CriteriTecnici!$E:$E,"E")*(4/SUMPRODUCT(MAX((CriteriTecnici!$C$5:$C$2484=$C56)*(CriteriTecnici!$E$5:$E$2484="E")*(CriteriTecnici!$T$5:$T$2484="SI")*IFERROR(CriteriTecnici!$O$5:$O$2484*1,0))))),0)+IF(SUMPRODUCT(MAX((CriteriTecnici!$C$5:$C$2484=$C56)*(CriteriTecnici!$E$5:$E$2484="F")*(CriteriTecnici!$T$5:$T$2484="SI")*IFERROR(CriteriTecnici!$O$5:$O$2484*1,0)))&gt;0,MIN(14,SUMIFS(CriteriTecnici!$O:$O,CriteriTecnici!$Q:$Q,$A56&amp;"|"&amp;$C56,CriteriTecnici!$E:$E,"F")*(14/SUMPRODUCT(MAX((CriteriTecnici!$C$5:$C$2484=$C56)*(CriteriTecnici!$E$5:$E$2484="F")*(CriteriTecnici!$T$5:$T$2484="SI")*IFERROR(CriteriTecnici!$O$5:$O$2484*1,0))))),0)+IF(SUMPRODUCT(MAX((CriteriTecnici!$C$5:$C$2484=$C56)*(CriteriTecnici!$E$5:$E$2484="G")*(CriteriTecnici!$T$5:$T$2484="SI")*IFERROR(CriteriTecnici!$O$5:$O$2484*1,0)))&gt;0,MIN(7,SUMIFS(CriteriTecnici!$O:$O,CriteriTecnici!$Q:$Q,$A56&amp;"|"&amp;$C56,CriteriTecnici!$E:$E,"G")*(7/SUMPRODUCT(MAX((CriteriTecnici!$C$5:$C$2484=$C56)*(CriteriTecnici!$E$5:$E$2484="G")*(CriteriTecnici!$T$5:$T$2484="SI")*IFERROR(CriteriTecnici!$O$5:$O$2484*1,0))))),0),4),0),IFERROR($N56*1,0)),0))</f>
        <v/>
      </c>
      <c r="F56" s="56">
        <f>IF(Compila!$A66="","",Compila!$E66)</f>
        <v/>
      </c>
      <c r="G56" s="57">
        <f>IF($A56="","",IF(IFERROR(VALUE($D56),0)&lt;&gt;1,"NO",IF(IFERROR(VALUE($O56),0)&gt;=Parametri!$B$2,"SI","NO")))</f>
        <v/>
      </c>
      <c r="H56" s="57">
        <f>IF($G56="SI",SUMPRODUCT(MAX(($C$2:$C$81=$C56)*(IFERROR($D$2:$D$81*1,0)=1)*(IFERROR($O$2:$O$81*1,0)&gt;=Parametri!$B$2)*IFERROR($F$2:$F$81*1,0))),0)</f>
        <v/>
      </c>
      <c r="I56" s="57">
        <f>IF($G56="SI",IF($H56&gt;0,30*(IFERROR($F56*1,0)/$H56),0),0)</f>
        <v/>
      </c>
      <c r="J56" s="57">
        <f>IF($A56="",0,IF($G56="SI",ROUND(IFERROR($E56*1,0)+$I56,4),ROUND(IFERROR($E56*1,0),4)))</f>
        <v/>
      </c>
      <c r="K56" s="57">
        <f>IF($A56="","",IF(IFERROR(VALUE($D56),0)&lt;&gt;1,"Non attiva",IF(IFERROR(VALUE($O56),0)&lt;Parametri!$B$2,"Sotto soglia","")))</f>
        <v/>
      </c>
      <c r="L56" s="57">
        <f>IF($A56="","",$A56&amp;"|"&amp;$C56)</f>
        <v/>
      </c>
      <c r="M56" s="57">
        <f>IF($A56="","",$C56&amp;"|"&amp;TEXT($J56,"0.0000"))</f>
        <v/>
      </c>
      <c r="N56" s="57" t="n"/>
      <c r="O56" s="57">
        <f>IF($A56="",0,IFERROR(IF(SUMIFS(CriteriTecnici!$O:$O,CriteriTecnici!$Q:$Q,$A56&amp;"|"&amp;$C56)&gt;0,SUMIFS(CriteriTecnici!$O:$O,CriteriTecnici!$Q:$Q,$A56&amp;"|"&amp;$C56,CriteriTecnici!$F:$F,"Q")+SUMIFS(CriteriTecnici!$O:$O,CriteriTecnici!$Q:$Q,$A56&amp;"|"&amp;$C56,CriteriTecnici!$F:$F,"T"),IFERROR($N56*1,0)),0))</f>
        <v/>
      </c>
      <c r="P56" s="57">
        <f>IF($A56="","",IF(SUMIFS(CriteriTecnici!$O:$O,CriteriTecnici!$Q:$Q,$A56&amp;"|"&amp;$C56)&gt;0,"Criteri A-G","Aggregato"))</f>
        <v/>
      </c>
    </row>
    <row r="57">
      <c r="A57" s="56">
        <f>IF(Compila!$A67="","",Compila!$A67)</f>
        <v/>
      </c>
      <c r="B57" s="56">
        <f>IF(Compila!$A67="","",Compila!$B67)</f>
        <v/>
      </c>
      <c r="C57" s="56">
        <f>IF(Compila!$A67="","",Compila!$C67)</f>
        <v/>
      </c>
      <c r="D57" s="56">
        <f>IF(Compila!$A67="","",Compila!$D67)</f>
        <v/>
      </c>
      <c r="E57" s="57">
        <f>IF($A57="",0,IFERROR(IF(SUMIFS(CriteriTecnici!$O:$O,CriteriTecnici!$Q:$Q,$A57&amp;"|"&amp;$C57)&gt;0,IF($G57="SI",ROUND(IF(SUMPRODUCT(MAX((CriteriTecnici!$C$5:$C$2484=$C57)*(CriteriTecnici!$E$5:$E$2484="A")*(CriteriTecnici!$T$5:$T$2484="SI")*IFERROR(CriteriTecnici!$O$5:$O$2484*1,0)))&gt;0,MIN(7,SUMIFS(CriteriTecnici!$O:$O,CriteriTecnici!$Q:$Q,$A57&amp;"|"&amp;$C57,CriteriTecnici!$E:$E,"A")*(7/SUMPRODUCT(MAX((CriteriTecnici!$C$5:$C$2484=$C57)*(CriteriTecnici!$E$5:$E$2484="A")*(CriteriTecnici!$T$5:$T$2484="SI")*IFERROR(CriteriTecnici!$O$5:$O$2484*1,0))))),0)+IF(SUMPRODUCT(MAX((CriteriTecnici!$C$5:$C$2484=$C57)*(CriteriTecnici!$E$5:$E$2484="B")*(CriteriTecnici!$T$5:$T$2484="SI")*IFERROR(CriteriTecnici!$O$5:$O$2484*1,0)))&gt;0,MIN(14,SUMIFS(CriteriTecnici!$O:$O,CriteriTecnici!$Q:$Q,$A57&amp;"|"&amp;$C57,CriteriTecnici!$E:$E,"B")*(14/SUMPRODUCT(MAX((CriteriTecnici!$C$5:$C$2484=$C57)*(CriteriTecnici!$E$5:$E$2484="B")*(CriteriTecnici!$T$5:$T$2484="SI")*IFERROR(CriteriTecnici!$O$5:$O$2484*1,0))))),0)+IF(SUMPRODUCT(MAX((CriteriTecnici!$C$5:$C$2484=$C57)*(CriteriTecnici!$E$5:$E$2484="C")*(CriteriTecnici!$T$5:$T$2484="SI")*IFERROR(CriteriTecnici!$O$5:$O$2484*1,0)))&gt;0,MIN(14,SUMIFS(CriteriTecnici!$O:$O,CriteriTecnici!$Q:$Q,$A57&amp;"|"&amp;$C57,CriteriTecnici!$E:$E,"C")*(14/SUMPRODUCT(MAX((CriteriTecnici!$C$5:$C$2484=$C57)*(CriteriTecnici!$E$5:$E$2484="C")*(CriteriTecnici!$T$5:$T$2484="SI")*IFERROR(CriteriTecnici!$O$5:$O$2484*1,0))))),0)+IF(SUMPRODUCT(MAX((CriteriTecnici!$C$5:$C$2484=$C57)*(CriteriTecnici!$E$5:$E$2484="D")*(CriteriTecnici!$T$5:$T$2484="SI")*IFERROR(CriteriTecnici!$O$5:$O$2484*1,0)))&gt;0,MIN(10,SUMIFS(CriteriTecnici!$O:$O,CriteriTecnici!$Q:$Q,$A57&amp;"|"&amp;$C57,CriteriTecnici!$E:$E,"D")*(10/SUMPRODUCT(MAX((CriteriTecnici!$C$5:$C$2484=$C57)*(CriteriTecnici!$E$5:$E$2484="D")*(CriteriTecnici!$T$5:$T$2484="SI")*IFERROR(CriteriTecnici!$O$5:$O$2484*1,0))))),0)+IF(SUMPRODUCT(MAX((CriteriTecnici!$C$5:$C$2484=$C57)*(CriteriTecnici!$E$5:$E$2484="E")*(CriteriTecnici!$T$5:$T$2484="SI")*IFERROR(CriteriTecnici!$O$5:$O$2484*1,0)))&gt;0,MIN(4,SUMIFS(CriteriTecnici!$O:$O,CriteriTecnici!$Q:$Q,$A57&amp;"|"&amp;$C57,CriteriTecnici!$E:$E,"E")*(4/SUMPRODUCT(MAX((CriteriTecnici!$C$5:$C$2484=$C57)*(CriteriTecnici!$E$5:$E$2484="E")*(CriteriTecnici!$T$5:$T$2484="SI")*IFERROR(CriteriTecnici!$O$5:$O$2484*1,0))))),0)+IF(SUMPRODUCT(MAX((CriteriTecnici!$C$5:$C$2484=$C57)*(CriteriTecnici!$E$5:$E$2484="F")*(CriteriTecnici!$T$5:$T$2484="SI")*IFERROR(CriteriTecnici!$O$5:$O$2484*1,0)))&gt;0,MIN(14,SUMIFS(CriteriTecnici!$O:$O,CriteriTecnici!$Q:$Q,$A57&amp;"|"&amp;$C57,CriteriTecnici!$E:$E,"F")*(14/SUMPRODUCT(MAX((CriteriTecnici!$C$5:$C$2484=$C57)*(CriteriTecnici!$E$5:$E$2484="F")*(CriteriTecnici!$T$5:$T$2484="SI")*IFERROR(CriteriTecnici!$O$5:$O$2484*1,0))))),0)+IF(SUMPRODUCT(MAX((CriteriTecnici!$C$5:$C$2484=$C57)*(CriteriTecnici!$E$5:$E$2484="G")*(CriteriTecnici!$T$5:$T$2484="SI")*IFERROR(CriteriTecnici!$O$5:$O$2484*1,0)))&gt;0,MIN(7,SUMIFS(CriteriTecnici!$O:$O,CriteriTecnici!$Q:$Q,$A57&amp;"|"&amp;$C57,CriteriTecnici!$E:$E,"G")*(7/SUMPRODUCT(MAX((CriteriTecnici!$C$5:$C$2484=$C57)*(CriteriTecnici!$E$5:$E$2484="G")*(CriteriTecnici!$T$5:$T$2484="SI")*IFERROR(CriteriTecnici!$O$5:$O$2484*1,0))))),0),4),0),IFERROR($N57*1,0)),0))</f>
        <v/>
      </c>
      <c r="F57" s="56">
        <f>IF(Compila!$A67="","",Compila!$E67)</f>
        <v/>
      </c>
      <c r="G57" s="57">
        <f>IF($A57="","",IF(IFERROR(VALUE($D57),0)&lt;&gt;1,"NO",IF(IFERROR(VALUE($O57),0)&gt;=Parametri!$B$2,"SI","NO")))</f>
        <v/>
      </c>
      <c r="H57" s="57">
        <f>IF($G57="SI",SUMPRODUCT(MAX(($C$2:$C$81=$C57)*(IFERROR($D$2:$D$81*1,0)=1)*(IFERROR($O$2:$O$81*1,0)&gt;=Parametri!$B$2)*IFERROR($F$2:$F$81*1,0))),0)</f>
        <v/>
      </c>
      <c r="I57" s="57">
        <f>IF($G57="SI",IF($H57&gt;0,30*(IFERROR($F57*1,0)/$H57),0),0)</f>
        <v/>
      </c>
      <c r="J57" s="57">
        <f>IF($A57="",0,IF($G57="SI",ROUND(IFERROR($E57*1,0)+$I57,4),ROUND(IFERROR($E57*1,0),4)))</f>
        <v/>
      </c>
      <c r="K57" s="57">
        <f>IF($A57="","",IF(IFERROR(VALUE($D57),0)&lt;&gt;1,"Non attiva",IF(IFERROR(VALUE($O57),0)&lt;Parametri!$B$2,"Sotto soglia","")))</f>
        <v/>
      </c>
      <c r="L57" s="57">
        <f>IF($A57="","",$A57&amp;"|"&amp;$C57)</f>
        <v/>
      </c>
      <c r="M57" s="57">
        <f>IF($A57="","",$C57&amp;"|"&amp;TEXT($J57,"0.0000"))</f>
        <v/>
      </c>
      <c r="N57" s="57" t="n"/>
      <c r="O57" s="57">
        <f>IF($A57="",0,IFERROR(IF(SUMIFS(CriteriTecnici!$O:$O,CriteriTecnici!$Q:$Q,$A57&amp;"|"&amp;$C57)&gt;0,SUMIFS(CriteriTecnici!$O:$O,CriteriTecnici!$Q:$Q,$A57&amp;"|"&amp;$C57,CriteriTecnici!$F:$F,"Q")+SUMIFS(CriteriTecnici!$O:$O,CriteriTecnici!$Q:$Q,$A57&amp;"|"&amp;$C57,CriteriTecnici!$F:$F,"T"),IFERROR($N57*1,0)),0))</f>
        <v/>
      </c>
      <c r="P57" s="57">
        <f>IF($A57="","",IF(SUMIFS(CriteriTecnici!$O:$O,CriteriTecnici!$Q:$Q,$A57&amp;"|"&amp;$C57)&gt;0,"Criteri A-G","Aggregato"))</f>
        <v/>
      </c>
    </row>
    <row r="58">
      <c r="A58" s="56">
        <f>IF(Compila!$A68="","",Compila!$A68)</f>
        <v/>
      </c>
      <c r="B58" s="56">
        <f>IF(Compila!$A68="","",Compila!$B68)</f>
        <v/>
      </c>
      <c r="C58" s="56">
        <f>IF(Compila!$A68="","",Compila!$C68)</f>
        <v/>
      </c>
      <c r="D58" s="56">
        <f>IF(Compila!$A68="","",Compila!$D68)</f>
        <v/>
      </c>
      <c r="E58" s="57">
        <f>IF($A58="",0,IFERROR(IF(SUMIFS(CriteriTecnici!$O:$O,CriteriTecnici!$Q:$Q,$A58&amp;"|"&amp;$C58)&gt;0,IF($G58="SI",ROUND(IF(SUMPRODUCT(MAX((CriteriTecnici!$C$5:$C$2484=$C58)*(CriteriTecnici!$E$5:$E$2484="A")*(CriteriTecnici!$T$5:$T$2484="SI")*IFERROR(CriteriTecnici!$O$5:$O$2484*1,0)))&gt;0,MIN(7,SUMIFS(CriteriTecnici!$O:$O,CriteriTecnici!$Q:$Q,$A58&amp;"|"&amp;$C58,CriteriTecnici!$E:$E,"A")*(7/SUMPRODUCT(MAX((CriteriTecnici!$C$5:$C$2484=$C58)*(CriteriTecnici!$E$5:$E$2484="A")*(CriteriTecnici!$T$5:$T$2484="SI")*IFERROR(CriteriTecnici!$O$5:$O$2484*1,0))))),0)+IF(SUMPRODUCT(MAX((CriteriTecnici!$C$5:$C$2484=$C58)*(CriteriTecnici!$E$5:$E$2484="B")*(CriteriTecnici!$T$5:$T$2484="SI")*IFERROR(CriteriTecnici!$O$5:$O$2484*1,0)))&gt;0,MIN(14,SUMIFS(CriteriTecnici!$O:$O,CriteriTecnici!$Q:$Q,$A58&amp;"|"&amp;$C58,CriteriTecnici!$E:$E,"B")*(14/SUMPRODUCT(MAX((CriteriTecnici!$C$5:$C$2484=$C58)*(CriteriTecnici!$E$5:$E$2484="B")*(CriteriTecnici!$T$5:$T$2484="SI")*IFERROR(CriteriTecnici!$O$5:$O$2484*1,0))))),0)+IF(SUMPRODUCT(MAX((CriteriTecnici!$C$5:$C$2484=$C58)*(CriteriTecnici!$E$5:$E$2484="C")*(CriteriTecnici!$T$5:$T$2484="SI")*IFERROR(CriteriTecnici!$O$5:$O$2484*1,0)))&gt;0,MIN(14,SUMIFS(CriteriTecnici!$O:$O,CriteriTecnici!$Q:$Q,$A58&amp;"|"&amp;$C58,CriteriTecnici!$E:$E,"C")*(14/SUMPRODUCT(MAX((CriteriTecnici!$C$5:$C$2484=$C58)*(CriteriTecnici!$E$5:$E$2484="C")*(CriteriTecnici!$T$5:$T$2484="SI")*IFERROR(CriteriTecnici!$O$5:$O$2484*1,0))))),0)+IF(SUMPRODUCT(MAX((CriteriTecnici!$C$5:$C$2484=$C58)*(CriteriTecnici!$E$5:$E$2484="D")*(CriteriTecnici!$T$5:$T$2484="SI")*IFERROR(CriteriTecnici!$O$5:$O$2484*1,0)))&gt;0,MIN(10,SUMIFS(CriteriTecnici!$O:$O,CriteriTecnici!$Q:$Q,$A58&amp;"|"&amp;$C58,CriteriTecnici!$E:$E,"D")*(10/SUMPRODUCT(MAX((CriteriTecnici!$C$5:$C$2484=$C58)*(CriteriTecnici!$E$5:$E$2484="D")*(CriteriTecnici!$T$5:$T$2484="SI")*IFERROR(CriteriTecnici!$O$5:$O$2484*1,0))))),0)+IF(SUMPRODUCT(MAX((CriteriTecnici!$C$5:$C$2484=$C58)*(CriteriTecnici!$E$5:$E$2484="E")*(CriteriTecnici!$T$5:$T$2484="SI")*IFERROR(CriteriTecnici!$O$5:$O$2484*1,0)))&gt;0,MIN(4,SUMIFS(CriteriTecnici!$O:$O,CriteriTecnici!$Q:$Q,$A58&amp;"|"&amp;$C58,CriteriTecnici!$E:$E,"E")*(4/SUMPRODUCT(MAX((CriteriTecnici!$C$5:$C$2484=$C58)*(CriteriTecnici!$E$5:$E$2484="E")*(CriteriTecnici!$T$5:$T$2484="SI")*IFERROR(CriteriTecnici!$O$5:$O$2484*1,0))))),0)+IF(SUMPRODUCT(MAX((CriteriTecnici!$C$5:$C$2484=$C58)*(CriteriTecnici!$E$5:$E$2484="F")*(CriteriTecnici!$T$5:$T$2484="SI")*IFERROR(CriteriTecnici!$O$5:$O$2484*1,0)))&gt;0,MIN(14,SUMIFS(CriteriTecnici!$O:$O,CriteriTecnici!$Q:$Q,$A58&amp;"|"&amp;$C58,CriteriTecnici!$E:$E,"F")*(14/SUMPRODUCT(MAX((CriteriTecnici!$C$5:$C$2484=$C58)*(CriteriTecnici!$E$5:$E$2484="F")*(CriteriTecnici!$T$5:$T$2484="SI")*IFERROR(CriteriTecnici!$O$5:$O$2484*1,0))))),0)+IF(SUMPRODUCT(MAX((CriteriTecnici!$C$5:$C$2484=$C58)*(CriteriTecnici!$E$5:$E$2484="G")*(CriteriTecnici!$T$5:$T$2484="SI")*IFERROR(CriteriTecnici!$O$5:$O$2484*1,0)))&gt;0,MIN(7,SUMIFS(CriteriTecnici!$O:$O,CriteriTecnici!$Q:$Q,$A58&amp;"|"&amp;$C58,CriteriTecnici!$E:$E,"G")*(7/SUMPRODUCT(MAX((CriteriTecnici!$C$5:$C$2484=$C58)*(CriteriTecnici!$E$5:$E$2484="G")*(CriteriTecnici!$T$5:$T$2484="SI")*IFERROR(CriteriTecnici!$O$5:$O$2484*1,0))))),0),4),0),IFERROR($N58*1,0)),0))</f>
        <v/>
      </c>
      <c r="F58" s="56">
        <f>IF(Compila!$A68="","",Compila!$E68)</f>
        <v/>
      </c>
      <c r="G58" s="57">
        <f>IF($A58="","",IF(IFERROR(VALUE($D58),0)&lt;&gt;1,"NO",IF(IFERROR(VALUE($O58),0)&gt;=Parametri!$B$2,"SI","NO")))</f>
        <v/>
      </c>
      <c r="H58" s="57">
        <f>IF($G58="SI",SUMPRODUCT(MAX(($C$2:$C$81=$C58)*(IFERROR($D$2:$D$81*1,0)=1)*(IFERROR($O$2:$O$81*1,0)&gt;=Parametri!$B$2)*IFERROR($F$2:$F$81*1,0))),0)</f>
        <v/>
      </c>
      <c r="I58" s="57">
        <f>IF($G58="SI",IF($H58&gt;0,30*(IFERROR($F58*1,0)/$H58),0),0)</f>
        <v/>
      </c>
      <c r="J58" s="57">
        <f>IF($A58="",0,IF($G58="SI",ROUND(IFERROR($E58*1,0)+$I58,4),ROUND(IFERROR($E58*1,0),4)))</f>
        <v/>
      </c>
      <c r="K58" s="57">
        <f>IF($A58="","",IF(IFERROR(VALUE($D58),0)&lt;&gt;1,"Non attiva",IF(IFERROR(VALUE($O58),0)&lt;Parametri!$B$2,"Sotto soglia","")))</f>
        <v/>
      </c>
      <c r="L58" s="57">
        <f>IF($A58="","",$A58&amp;"|"&amp;$C58)</f>
        <v/>
      </c>
      <c r="M58" s="57">
        <f>IF($A58="","",$C58&amp;"|"&amp;TEXT($J58,"0.0000"))</f>
        <v/>
      </c>
      <c r="N58" s="57" t="n"/>
      <c r="O58" s="57">
        <f>IF($A58="",0,IFERROR(IF(SUMIFS(CriteriTecnici!$O:$O,CriteriTecnici!$Q:$Q,$A58&amp;"|"&amp;$C58)&gt;0,SUMIFS(CriteriTecnici!$O:$O,CriteriTecnici!$Q:$Q,$A58&amp;"|"&amp;$C58,CriteriTecnici!$F:$F,"Q")+SUMIFS(CriteriTecnici!$O:$O,CriteriTecnici!$Q:$Q,$A58&amp;"|"&amp;$C58,CriteriTecnici!$F:$F,"T"),IFERROR($N58*1,0)),0))</f>
        <v/>
      </c>
      <c r="P58" s="57">
        <f>IF($A58="","",IF(SUMIFS(CriteriTecnici!$O:$O,CriteriTecnici!$Q:$Q,$A58&amp;"|"&amp;$C58)&gt;0,"Criteri A-G","Aggregato"))</f>
        <v/>
      </c>
    </row>
    <row r="59">
      <c r="A59" s="56">
        <f>IF(Compila!$A69="","",Compila!$A69)</f>
        <v/>
      </c>
      <c r="B59" s="56">
        <f>IF(Compila!$A69="","",Compila!$B69)</f>
        <v/>
      </c>
      <c r="C59" s="56">
        <f>IF(Compila!$A69="","",Compila!$C69)</f>
        <v/>
      </c>
      <c r="D59" s="56">
        <f>IF(Compila!$A69="","",Compila!$D69)</f>
        <v/>
      </c>
      <c r="E59" s="57">
        <f>IF($A59="",0,IFERROR(IF(SUMIFS(CriteriTecnici!$O:$O,CriteriTecnici!$Q:$Q,$A59&amp;"|"&amp;$C59)&gt;0,IF($G59="SI",ROUND(IF(SUMPRODUCT(MAX((CriteriTecnici!$C$5:$C$2484=$C59)*(CriteriTecnici!$E$5:$E$2484="A")*(CriteriTecnici!$T$5:$T$2484="SI")*IFERROR(CriteriTecnici!$O$5:$O$2484*1,0)))&gt;0,MIN(7,SUMIFS(CriteriTecnici!$O:$O,CriteriTecnici!$Q:$Q,$A59&amp;"|"&amp;$C59,CriteriTecnici!$E:$E,"A")*(7/SUMPRODUCT(MAX((CriteriTecnici!$C$5:$C$2484=$C59)*(CriteriTecnici!$E$5:$E$2484="A")*(CriteriTecnici!$T$5:$T$2484="SI")*IFERROR(CriteriTecnici!$O$5:$O$2484*1,0))))),0)+IF(SUMPRODUCT(MAX((CriteriTecnici!$C$5:$C$2484=$C59)*(CriteriTecnici!$E$5:$E$2484="B")*(CriteriTecnici!$T$5:$T$2484="SI")*IFERROR(CriteriTecnici!$O$5:$O$2484*1,0)))&gt;0,MIN(14,SUMIFS(CriteriTecnici!$O:$O,CriteriTecnici!$Q:$Q,$A59&amp;"|"&amp;$C59,CriteriTecnici!$E:$E,"B")*(14/SUMPRODUCT(MAX((CriteriTecnici!$C$5:$C$2484=$C59)*(CriteriTecnici!$E$5:$E$2484="B")*(CriteriTecnici!$T$5:$T$2484="SI")*IFERROR(CriteriTecnici!$O$5:$O$2484*1,0))))),0)+IF(SUMPRODUCT(MAX((CriteriTecnici!$C$5:$C$2484=$C59)*(CriteriTecnici!$E$5:$E$2484="C")*(CriteriTecnici!$T$5:$T$2484="SI")*IFERROR(CriteriTecnici!$O$5:$O$2484*1,0)))&gt;0,MIN(14,SUMIFS(CriteriTecnici!$O:$O,CriteriTecnici!$Q:$Q,$A59&amp;"|"&amp;$C59,CriteriTecnici!$E:$E,"C")*(14/SUMPRODUCT(MAX((CriteriTecnici!$C$5:$C$2484=$C59)*(CriteriTecnici!$E$5:$E$2484="C")*(CriteriTecnici!$T$5:$T$2484="SI")*IFERROR(CriteriTecnici!$O$5:$O$2484*1,0))))),0)+IF(SUMPRODUCT(MAX((CriteriTecnici!$C$5:$C$2484=$C59)*(CriteriTecnici!$E$5:$E$2484="D")*(CriteriTecnici!$T$5:$T$2484="SI")*IFERROR(CriteriTecnici!$O$5:$O$2484*1,0)))&gt;0,MIN(10,SUMIFS(CriteriTecnici!$O:$O,CriteriTecnici!$Q:$Q,$A59&amp;"|"&amp;$C59,CriteriTecnici!$E:$E,"D")*(10/SUMPRODUCT(MAX((CriteriTecnici!$C$5:$C$2484=$C59)*(CriteriTecnici!$E$5:$E$2484="D")*(CriteriTecnici!$T$5:$T$2484="SI")*IFERROR(CriteriTecnici!$O$5:$O$2484*1,0))))),0)+IF(SUMPRODUCT(MAX((CriteriTecnici!$C$5:$C$2484=$C59)*(CriteriTecnici!$E$5:$E$2484="E")*(CriteriTecnici!$T$5:$T$2484="SI")*IFERROR(CriteriTecnici!$O$5:$O$2484*1,0)))&gt;0,MIN(4,SUMIFS(CriteriTecnici!$O:$O,CriteriTecnici!$Q:$Q,$A59&amp;"|"&amp;$C59,CriteriTecnici!$E:$E,"E")*(4/SUMPRODUCT(MAX((CriteriTecnici!$C$5:$C$2484=$C59)*(CriteriTecnici!$E$5:$E$2484="E")*(CriteriTecnici!$T$5:$T$2484="SI")*IFERROR(CriteriTecnici!$O$5:$O$2484*1,0))))),0)+IF(SUMPRODUCT(MAX((CriteriTecnici!$C$5:$C$2484=$C59)*(CriteriTecnici!$E$5:$E$2484="F")*(CriteriTecnici!$T$5:$T$2484="SI")*IFERROR(CriteriTecnici!$O$5:$O$2484*1,0)))&gt;0,MIN(14,SUMIFS(CriteriTecnici!$O:$O,CriteriTecnici!$Q:$Q,$A59&amp;"|"&amp;$C59,CriteriTecnici!$E:$E,"F")*(14/SUMPRODUCT(MAX((CriteriTecnici!$C$5:$C$2484=$C59)*(CriteriTecnici!$E$5:$E$2484="F")*(CriteriTecnici!$T$5:$T$2484="SI")*IFERROR(CriteriTecnici!$O$5:$O$2484*1,0))))),0)+IF(SUMPRODUCT(MAX((CriteriTecnici!$C$5:$C$2484=$C59)*(CriteriTecnici!$E$5:$E$2484="G")*(CriteriTecnici!$T$5:$T$2484="SI")*IFERROR(CriteriTecnici!$O$5:$O$2484*1,0)))&gt;0,MIN(7,SUMIFS(CriteriTecnici!$O:$O,CriteriTecnici!$Q:$Q,$A59&amp;"|"&amp;$C59,CriteriTecnici!$E:$E,"G")*(7/SUMPRODUCT(MAX((CriteriTecnici!$C$5:$C$2484=$C59)*(CriteriTecnici!$E$5:$E$2484="G")*(CriteriTecnici!$T$5:$T$2484="SI")*IFERROR(CriteriTecnici!$O$5:$O$2484*1,0))))),0),4),0),IFERROR($N59*1,0)),0))</f>
        <v/>
      </c>
      <c r="F59" s="56">
        <f>IF(Compila!$A69="","",Compila!$E69)</f>
        <v/>
      </c>
      <c r="G59" s="57">
        <f>IF($A59="","",IF(IFERROR(VALUE($D59),0)&lt;&gt;1,"NO",IF(IFERROR(VALUE($O59),0)&gt;=Parametri!$B$2,"SI","NO")))</f>
        <v/>
      </c>
      <c r="H59" s="57">
        <f>IF($G59="SI",SUMPRODUCT(MAX(($C$2:$C$81=$C59)*(IFERROR($D$2:$D$81*1,0)=1)*(IFERROR($O$2:$O$81*1,0)&gt;=Parametri!$B$2)*IFERROR($F$2:$F$81*1,0))),0)</f>
        <v/>
      </c>
      <c r="I59" s="57">
        <f>IF($G59="SI",IF($H59&gt;0,30*(IFERROR($F59*1,0)/$H59),0),0)</f>
        <v/>
      </c>
      <c r="J59" s="57">
        <f>IF($A59="",0,IF($G59="SI",ROUND(IFERROR($E59*1,0)+$I59,4),ROUND(IFERROR($E59*1,0),4)))</f>
        <v/>
      </c>
      <c r="K59" s="57">
        <f>IF($A59="","",IF(IFERROR(VALUE($D59),0)&lt;&gt;1,"Non attiva",IF(IFERROR(VALUE($O59),0)&lt;Parametri!$B$2,"Sotto soglia","")))</f>
        <v/>
      </c>
      <c r="L59" s="57">
        <f>IF($A59="","",$A59&amp;"|"&amp;$C59)</f>
        <v/>
      </c>
      <c r="M59" s="57">
        <f>IF($A59="","",$C59&amp;"|"&amp;TEXT($J59,"0.0000"))</f>
        <v/>
      </c>
      <c r="N59" s="57" t="n"/>
      <c r="O59" s="57">
        <f>IF($A59="",0,IFERROR(IF(SUMIFS(CriteriTecnici!$O:$O,CriteriTecnici!$Q:$Q,$A59&amp;"|"&amp;$C59)&gt;0,SUMIFS(CriteriTecnici!$O:$O,CriteriTecnici!$Q:$Q,$A59&amp;"|"&amp;$C59,CriteriTecnici!$F:$F,"Q")+SUMIFS(CriteriTecnici!$O:$O,CriteriTecnici!$Q:$Q,$A59&amp;"|"&amp;$C59,CriteriTecnici!$F:$F,"T"),IFERROR($N59*1,0)),0))</f>
        <v/>
      </c>
      <c r="P59" s="57">
        <f>IF($A59="","",IF(SUMIFS(CriteriTecnici!$O:$O,CriteriTecnici!$Q:$Q,$A59&amp;"|"&amp;$C59)&gt;0,"Criteri A-G","Aggregato"))</f>
        <v/>
      </c>
    </row>
    <row r="60">
      <c r="A60" s="56">
        <f>IF(Compila!$A70="","",Compila!$A70)</f>
        <v/>
      </c>
      <c r="B60" s="56">
        <f>IF(Compila!$A70="","",Compila!$B70)</f>
        <v/>
      </c>
      <c r="C60" s="56">
        <f>IF(Compila!$A70="","",Compila!$C70)</f>
        <v/>
      </c>
      <c r="D60" s="56">
        <f>IF(Compila!$A70="","",Compila!$D70)</f>
        <v/>
      </c>
      <c r="E60" s="57">
        <f>IF($A60="",0,IFERROR(IF(SUMIFS(CriteriTecnici!$O:$O,CriteriTecnici!$Q:$Q,$A60&amp;"|"&amp;$C60)&gt;0,IF($G60="SI",ROUND(IF(SUMPRODUCT(MAX((CriteriTecnici!$C$5:$C$2484=$C60)*(CriteriTecnici!$E$5:$E$2484="A")*(CriteriTecnici!$T$5:$T$2484="SI")*IFERROR(CriteriTecnici!$O$5:$O$2484*1,0)))&gt;0,MIN(7,SUMIFS(CriteriTecnici!$O:$O,CriteriTecnici!$Q:$Q,$A60&amp;"|"&amp;$C60,CriteriTecnici!$E:$E,"A")*(7/SUMPRODUCT(MAX((CriteriTecnici!$C$5:$C$2484=$C60)*(CriteriTecnici!$E$5:$E$2484="A")*(CriteriTecnici!$T$5:$T$2484="SI")*IFERROR(CriteriTecnici!$O$5:$O$2484*1,0))))),0)+IF(SUMPRODUCT(MAX((CriteriTecnici!$C$5:$C$2484=$C60)*(CriteriTecnici!$E$5:$E$2484="B")*(CriteriTecnici!$T$5:$T$2484="SI")*IFERROR(CriteriTecnici!$O$5:$O$2484*1,0)))&gt;0,MIN(14,SUMIFS(CriteriTecnici!$O:$O,CriteriTecnici!$Q:$Q,$A60&amp;"|"&amp;$C60,CriteriTecnici!$E:$E,"B")*(14/SUMPRODUCT(MAX((CriteriTecnici!$C$5:$C$2484=$C60)*(CriteriTecnici!$E$5:$E$2484="B")*(CriteriTecnici!$T$5:$T$2484="SI")*IFERROR(CriteriTecnici!$O$5:$O$2484*1,0))))),0)+IF(SUMPRODUCT(MAX((CriteriTecnici!$C$5:$C$2484=$C60)*(CriteriTecnici!$E$5:$E$2484="C")*(CriteriTecnici!$T$5:$T$2484="SI")*IFERROR(CriteriTecnici!$O$5:$O$2484*1,0)))&gt;0,MIN(14,SUMIFS(CriteriTecnici!$O:$O,CriteriTecnici!$Q:$Q,$A60&amp;"|"&amp;$C60,CriteriTecnici!$E:$E,"C")*(14/SUMPRODUCT(MAX((CriteriTecnici!$C$5:$C$2484=$C60)*(CriteriTecnici!$E$5:$E$2484="C")*(CriteriTecnici!$T$5:$T$2484="SI")*IFERROR(CriteriTecnici!$O$5:$O$2484*1,0))))),0)+IF(SUMPRODUCT(MAX((CriteriTecnici!$C$5:$C$2484=$C60)*(CriteriTecnici!$E$5:$E$2484="D")*(CriteriTecnici!$T$5:$T$2484="SI")*IFERROR(CriteriTecnici!$O$5:$O$2484*1,0)))&gt;0,MIN(10,SUMIFS(CriteriTecnici!$O:$O,CriteriTecnici!$Q:$Q,$A60&amp;"|"&amp;$C60,CriteriTecnici!$E:$E,"D")*(10/SUMPRODUCT(MAX((CriteriTecnici!$C$5:$C$2484=$C60)*(CriteriTecnici!$E$5:$E$2484="D")*(CriteriTecnici!$T$5:$T$2484="SI")*IFERROR(CriteriTecnici!$O$5:$O$2484*1,0))))),0)+IF(SUMPRODUCT(MAX((CriteriTecnici!$C$5:$C$2484=$C60)*(CriteriTecnici!$E$5:$E$2484="E")*(CriteriTecnici!$T$5:$T$2484="SI")*IFERROR(CriteriTecnici!$O$5:$O$2484*1,0)))&gt;0,MIN(4,SUMIFS(CriteriTecnici!$O:$O,CriteriTecnici!$Q:$Q,$A60&amp;"|"&amp;$C60,CriteriTecnici!$E:$E,"E")*(4/SUMPRODUCT(MAX((CriteriTecnici!$C$5:$C$2484=$C60)*(CriteriTecnici!$E$5:$E$2484="E")*(CriteriTecnici!$T$5:$T$2484="SI")*IFERROR(CriteriTecnici!$O$5:$O$2484*1,0))))),0)+IF(SUMPRODUCT(MAX((CriteriTecnici!$C$5:$C$2484=$C60)*(CriteriTecnici!$E$5:$E$2484="F")*(CriteriTecnici!$T$5:$T$2484="SI")*IFERROR(CriteriTecnici!$O$5:$O$2484*1,0)))&gt;0,MIN(14,SUMIFS(CriteriTecnici!$O:$O,CriteriTecnici!$Q:$Q,$A60&amp;"|"&amp;$C60,CriteriTecnici!$E:$E,"F")*(14/SUMPRODUCT(MAX((CriteriTecnici!$C$5:$C$2484=$C60)*(CriteriTecnici!$E$5:$E$2484="F")*(CriteriTecnici!$T$5:$T$2484="SI")*IFERROR(CriteriTecnici!$O$5:$O$2484*1,0))))),0)+IF(SUMPRODUCT(MAX((CriteriTecnici!$C$5:$C$2484=$C60)*(CriteriTecnici!$E$5:$E$2484="G")*(CriteriTecnici!$T$5:$T$2484="SI")*IFERROR(CriteriTecnici!$O$5:$O$2484*1,0)))&gt;0,MIN(7,SUMIFS(CriteriTecnici!$O:$O,CriteriTecnici!$Q:$Q,$A60&amp;"|"&amp;$C60,CriteriTecnici!$E:$E,"G")*(7/SUMPRODUCT(MAX((CriteriTecnici!$C$5:$C$2484=$C60)*(CriteriTecnici!$E$5:$E$2484="G")*(CriteriTecnici!$T$5:$T$2484="SI")*IFERROR(CriteriTecnici!$O$5:$O$2484*1,0))))),0),4),0),IFERROR($N60*1,0)),0))</f>
        <v/>
      </c>
      <c r="F60" s="56">
        <f>IF(Compila!$A70="","",Compila!$E70)</f>
        <v/>
      </c>
      <c r="G60" s="57">
        <f>IF($A60="","",IF(IFERROR(VALUE($D60),0)&lt;&gt;1,"NO",IF(IFERROR(VALUE($O60),0)&gt;=Parametri!$B$2,"SI","NO")))</f>
        <v/>
      </c>
      <c r="H60" s="57">
        <f>IF($G60="SI",SUMPRODUCT(MAX(($C$2:$C$81=$C60)*(IFERROR($D$2:$D$81*1,0)=1)*(IFERROR($O$2:$O$81*1,0)&gt;=Parametri!$B$2)*IFERROR($F$2:$F$81*1,0))),0)</f>
        <v/>
      </c>
      <c r="I60" s="57">
        <f>IF($G60="SI",IF($H60&gt;0,30*(IFERROR($F60*1,0)/$H60),0),0)</f>
        <v/>
      </c>
      <c r="J60" s="57">
        <f>IF($A60="",0,IF($G60="SI",ROUND(IFERROR($E60*1,0)+$I60,4),ROUND(IFERROR($E60*1,0),4)))</f>
        <v/>
      </c>
      <c r="K60" s="57">
        <f>IF($A60="","",IF(IFERROR(VALUE($D60),0)&lt;&gt;1,"Non attiva",IF(IFERROR(VALUE($O60),0)&lt;Parametri!$B$2,"Sotto soglia","")))</f>
        <v/>
      </c>
      <c r="L60" s="57">
        <f>IF($A60="","",$A60&amp;"|"&amp;$C60)</f>
        <v/>
      </c>
      <c r="M60" s="57">
        <f>IF($A60="","",$C60&amp;"|"&amp;TEXT($J60,"0.0000"))</f>
        <v/>
      </c>
      <c r="N60" s="57" t="n"/>
      <c r="O60" s="57">
        <f>IF($A60="",0,IFERROR(IF(SUMIFS(CriteriTecnici!$O:$O,CriteriTecnici!$Q:$Q,$A60&amp;"|"&amp;$C60)&gt;0,SUMIFS(CriteriTecnici!$O:$O,CriteriTecnici!$Q:$Q,$A60&amp;"|"&amp;$C60,CriteriTecnici!$F:$F,"Q")+SUMIFS(CriteriTecnici!$O:$O,CriteriTecnici!$Q:$Q,$A60&amp;"|"&amp;$C60,CriteriTecnici!$F:$F,"T"),IFERROR($N60*1,0)),0))</f>
        <v/>
      </c>
      <c r="P60" s="57">
        <f>IF($A60="","",IF(SUMIFS(CriteriTecnici!$O:$O,CriteriTecnici!$Q:$Q,$A60&amp;"|"&amp;$C60)&gt;0,"Criteri A-G","Aggregato"))</f>
        <v/>
      </c>
    </row>
    <row r="61">
      <c r="A61" s="56">
        <f>IF(Compila!$A71="","",Compila!$A71)</f>
        <v/>
      </c>
      <c r="B61" s="56">
        <f>IF(Compila!$A71="","",Compila!$B71)</f>
        <v/>
      </c>
      <c r="C61" s="56">
        <f>IF(Compila!$A71="","",Compila!$C71)</f>
        <v/>
      </c>
      <c r="D61" s="56">
        <f>IF(Compila!$A71="","",Compila!$D71)</f>
        <v/>
      </c>
      <c r="E61" s="57">
        <f>IF($A61="",0,IFERROR(IF(SUMIFS(CriteriTecnici!$O:$O,CriteriTecnici!$Q:$Q,$A61&amp;"|"&amp;$C61)&gt;0,IF($G61="SI",ROUND(IF(SUMPRODUCT(MAX((CriteriTecnici!$C$5:$C$2484=$C61)*(CriteriTecnici!$E$5:$E$2484="A")*(CriteriTecnici!$T$5:$T$2484="SI")*IFERROR(CriteriTecnici!$O$5:$O$2484*1,0)))&gt;0,MIN(7,SUMIFS(CriteriTecnici!$O:$O,CriteriTecnici!$Q:$Q,$A61&amp;"|"&amp;$C61,CriteriTecnici!$E:$E,"A")*(7/SUMPRODUCT(MAX((CriteriTecnici!$C$5:$C$2484=$C61)*(CriteriTecnici!$E$5:$E$2484="A")*(CriteriTecnici!$T$5:$T$2484="SI")*IFERROR(CriteriTecnici!$O$5:$O$2484*1,0))))),0)+IF(SUMPRODUCT(MAX((CriteriTecnici!$C$5:$C$2484=$C61)*(CriteriTecnici!$E$5:$E$2484="B")*(CriteriTecnici!$T$5:$T$2484="SI")*IFERROR(CriteriTecnici!$O$5:$O$2484*1,0)))&gt;0,MIN(14,SUMIFS(CriteriTecnici!$O:$O,CriteriTecnici!$Q:$Q,$A61&amp;"|"&amp;$C61,CriteriTecnici!$E:$E,"B")*(14/SUMPRODUCT(MAX((CriteriTecnici!$C$5:$C$2484=$C61)*(CriteriTecnici!$E$5:$E$2484="B")*(CriteriTecnici!$T$5:$T$2484="SI")*IFERROR(CriteriTecnici!$O$5:$O$2484*1,0))))),0)+IF(SUMPRODUCT(MAX((CriteriTecnici!$C$5:$C$2484=$C61)*(CriteriTecnici!$E$5:$E$2484="C")*(CriteriTecnici!$T$5:$T$2484="SI")*IFERROR(CriteriTecnici!$O$5:$O$2484*1,0)))&gt;0,MIN(14,SUMIFS(CriteriTecnici!$O:$O,CriteriTecnici!$Q:$Q,$A61&amp;"|"&amp;$C61,CriteriTecnici!$E:$E,"C")*(14/SUMPRODUCT(MAX((CriteriTecnici!$C$5:$C$2484=$C61)*(CriteriTecnici!$E$5:$E$2484="C")*(CriteriTecnici!$T$5:$T$2484="SI")*IFERROR(CriteriTecnici!$O$5:$O$2484*1,0))))),0)+IF(SUMPRODUCT(MAX((CriteriTecnici!$C$5:$C$2484=$C61)*(CriteriTecnici!$E$5:$E$2484="D")*(CriteriTecnici!$T$5:$T$2484="SI")*IFERROR(CriteriTecnici!$O$5:$O$2484*1,0)))&gt;0,MIN(10,SUMIFS(CriteriTecnici!$O:$O,CriteriTecnici!$Q:$Q,$A61&amp;"|"&amp;$C61,CriteriTecnici!$E:$E,"D")*(10/SUMPRODUCT(MAX((CriteriTecnici!$C$5:$C$2484=$C61)*(CriteriTecnici!$E$5:$E$2484="D")*(CriteriTecnici!$T$5:$T$2484="SI")*IFERROR(CriteriTecnici!$O$5:$O$2484*1,0))))),0)+IF(SUMPRODUCT(MAX((CriteriTecnici!$C$5:$C$2484=$C61)*(CriteriTecnici!$E$5:$E$2484="E")*(CriteriTecnici!$T$5:$T$2484="SI")*IFERROR(CriteriTecnici!$O$5:$O$2484*1,0)))&gt;0,MIN(4,SUMIFS(CriteriTecnici!$O:$O,CriteriTecnici!$Q:$Q,$A61&amp;"|"&amp;$C61,CriteriTecnici!$E:$E,"E")*(4/SUMPRODUCT(MAX((CriteriTecnici!$C$5:$C$2484=$C61)*(CriteriTecnici!$E$5:$E$2484="E")*(CriteriTecnici!$T$5:$T$2484="SI")*IFERROR(CriteriTecnici!$O$5:$O$2484*1,0))))),0)+IF(SUMPRODUCT(MAX((CriteriTecnici!$C$5:$C$2484=$C61)*(CriteriTecnici!$E$5:$E$2484="F")*(CriteriTecnici!$T$5:$T$2484="SI")*IFERROR(CriteriTecnici!$O$5:$O$2484*1,0)))&gt;0,MIN(14,SUMIFS(CriteriTecnici!$O:$O,CriteriTecnici!$Q:$Q,$A61&amp;"|"&amp;$C61,CriteriTecnici!$E:$E,"F")*(14/SUMPRODUCT(MAX((CriteriTecnici!$C$5:$C$2484=$C61)*(CriteriTecnici!$E$5:$E$2484="F")*(CriteriTecnici!$T$5:$T$2484="SI")*IFERROR(CriteriTecnici!$O$5:$O$2484*1,0))))),0)+IF(SUMPRODUCT(MAX((CriteriTecnici!$C$5:$C$2484=$C61)*(CriteriTecnici!$E$5:$E$2484="G")*(CriteriTecnici!$T$5:$T$2484="SI")*IFERROR(CriteriTecnici!$O$5:$O$2484*1,0)))&gt;0,MIN(7,SUMIFS(CriteriTecnici!$O:$O,CriteriTecnici!$Q:$Q,$A61&amp;"|"&amp;$C61,CriteriTecnici!$E:$E,"G")*(7/SUMPRODUCT(MAX((CriteriTecnici!$C$5:$C$2484=$C61)*(CriteriTecnici!$E$5:$E$2484="G")*(CriteriTecnici!$T$5:$T$2484="SI")*IFERROR(CriteriTecnici!$O$5:$O$2484*1,0))))),0),4),0),IFERROR($N61*1,0)),0))</f>
        <v/>
      </c>
      <c r="F61" s="56">
        <f>IF(Compila!$A71="","",Compila!$E71)</f>
        <v/>
      </c>
      <c r="G61" s="57">
        <f>IF($A61="","",IF(IFERROR(VALUE($D61),0)&lt;&gt;1,"NO",IF(IFERROR(VALUE($O61),0)&gt;=Parametri!$B$2,"SI","NO")))</f>
        <v/>
      </c>
      <c r="H61" s="57">
        <f>IF($G61="SI",SUMPRODUCT(MAX(($C$2:$C$81=$C61)*(IFERROR($D$2:$D$81*1,0)=1)*(IFERROR($O$2:$O$81*1,0)&gt;=Parametri!$B$2)*IFERROR($F$2:$F$81*1,0))),0)</f>
        <v/>
      </c>
      <c r="I61" s="57">
        <f>IF($G61="SI",IF($H61&gt;0,30*(IFERROR($F61*1,0)/$H61),0),0)</f>
        <v/>
      </c>
      <c r="J61" s="57">
        <f>IF($A61="",0,IF($G61="SI",ROUND(IFERROR($E61*1,0)+$I61,4),ROUND(IFERROR($E61*1,0),4)))</f>
        <v/>
      </c>
      <c r="K61" s="57">
        <f>IF($A61="","",IF(IFERROR(VALUE($D61),0)&lt;&gt;1,"Non attiva",IF(IFERROR(VALUE($O61),0)&lt;Parametri!$B$2,"Sotto soglia","")))</f>
        <v/>
      </c>
      <c r="L61" s="57">
        <f>IF($A61="","",$A61&amp;"|"&amp;$C61)</f>
        <v/>
      </c>
      <c r="M61" s="57">
        <f>IF($A61="","",$C61&amp;"|"&amp;TEXT($J61,"0.0000"))</f>
        <v/>
      </c>
      <c r="N61" s="57" t="n"/>
      <c r="O61" s="57">
        <f>IF($A61="",0,IFERROR(IF(SUMIFS(CriteriTecnici!$O:$O,CriteriTecnici!$Q:$Q,$A61&amp;"|"&amp;$C61)&gt;0,SUMIFS(CriteriTecnici!$O:$O,CriteriTecnici!$Q:$Q,$A61&amp;"|"&amp;$C61,CriteriTecnici!$F:$F,"Q")+SUMIFS(CriteriTecnici!$O:$O,CriteriTecnici!$Q:$Q,$A61&amp;"|"&amp;$C61,CriteriTecnici!$F:$F,"T"),IFERROR($N61*1,0)),0))</f>
        <v/>
      </c>
      <c r="P61" s="57">
        <f>IF($A61="","",IF(SUMIFS(CriteriTecnici!$O:$O,CriteriTecnici!$Q:$Q,$A61&amp;"|"&amp;$C61)&gt;0,"Criteri A-G","Aggregato"))</f>
        <v/>
      </c>
    </row>
    <row r="62">
      <c r="A62" s="56">
        <f>IF(Compila!$A72="","",Compila!$A72)</f>
        <v/>
      </c>
      <c r="B62" s="56">
        <f>IF(Compila!$A72="","",Compila!$B72)</f>
        <v/>
      </c>
      <c r="C62" s="56">
        <f>IF(Compila!$A72="","",Compila!$C72)</f>
        <v/>
      </c>
      <c r="D62" s="56">
        <f>IF(Compila!$A72="","",Compila!$D72)</f>
        <v/>
      </c>
      <c r="E62" s="57">
        <f>IF($A62="",0,IFERROR(IF(SUMIFS(CriteriTecnici!$O:$O,CriteriTecnici!$Q:$Q,$A62&amp;"|"&amp;$C62)&gt;0,IF($G62="SI",ROUND(IF(SUMPRODUCT(MAX((CriteriTecnici!$C$5:$C$2484=$C62)*(CriteriTecnici!$E$5:$E$2484="A")*(CriteriTecnici!$T$5:$T$2484="SI")*IFERROR(CriteriTecnici!$O$5:$O$2484*1,0)))&gt;0,MIN(7,SUMIFS(CriteriTecnici!$O:$O,CriteriTecnici!$Q:$Q,$A62&amp;"|"&amp;$C62,CriteriTecnici!$E:$E,"A")*(7/SUMPRODUCT(MAX((CriteriTecnici!$C$5:$C$2484=$C62)*(CriteriTecnici!$E$5:$E$2484="A")*(CriteriTecnici!$T$5:$T$2484="SI")*IFERROR(CriteriTecnici!$O$5:$O$2484*1,0))))),0)+IF(SUMPRODUCT(MAX((CriteriTecnici!$C$5:$C$2484=$C62)*(CriteriTecnici!$E$5:$E$2484="B")*(CriteriTecnici!$T$5:$T$2484="SI")*IFERROR(CriteriTecnici!$O$5:$O$2484*1,0)))&gt;0,MIN(14,SUMIFS(CriteriTecnici!$O:$O,CriteriTecnici!$Q:$Q,$A62&amp;"|"&amp;$C62,CriteriTecnici!$E:$E,"B")*(14/SUMPRODUCT(MAX((CriteriTecnici!$C$5:$C$2484=$C62)*(CriteriTecnici!$E$5:$E$2484="B")*(CriteriTecnici!$T$5:$T$2484="SI")*IFERROR(CriteriTecnici!$O$5:$O$2484*1,0))))),0)+IF(SUMPRODUCT(MAX((CriteriTecnici!$C$5:$C$2484=$C62)*(CriteriTecnici!$E$5:$E$2484="C")*(CriteriTecnici!$T$5:$T$2484="SI")*IFERROR(CriteriTecnici!$O$5:$O$2484*1,0)))&gt;0,MIN(14,SUMIFS(CriteriTecnici!$O:$O,CriteriTecnici!$Q:$Q,$A62&amp;"|"&amp;$C62,CriteriTecnici!$E:$E,"C")*(14/SUMPRODUCT(MAX((CriteriTecnici!$C$5:$C$2484=$C62)*(CriteriTecnici!$E$5:$E$2484="C")*(CriteriTecnici!$T$5:$T$2484="SI")*IFERROR(CriteriTecnici!$O$5:$O$2484*1,0))))),0)+IF(SUMPRODUCT(MAX((CriteriTecnici!$C$5:$C$2484=$C62)*(CriteriTecnici!$E$5:$E$2484="D")*(CriteriTecnici!$T$5:$T$2484="SI")*IFERROR(CriteriTecnici!$O$5:$O$2484*1,0)))&gt;0,MIN(10,SUMIFS(CriteriTecnici!$O:$O,CriteriTecnici!$Q:$Q,$A62&amp;"|"&amp;$C62,CriteriTecnici!$E:$E,"D")*(10/SUMPRODUCT(MAX((CriteriTecnici!$C$5:$C$2484=$C62)*(CriteriTecnici!$E$5:$E$2484="D")*(CriteriTecnici!$T$5:$T$2484="SI")*IFERROR(CriteriTecnici!$O$5:$O$2484*1,0))))),0)+IF(SUMPRODUCT(MAX((CriteriTecnici!$C$5:$C$2484=$C62)*(CriteriTecnici!$E$5:$E$2484="E")*(CriteriTecnici!$T$5:$T$2484="SI")*IFERROR(CriteriTecnici!$O$5:$O$2484*1,0)))&gt;0,MIN(4,SUMIFS(CriteriTecnici!$O:$O,CriteriTecnici!$Q:$Q,$A62&amp;"|"&amp;$C62,CriteriTecnici!$E:$E,"E")*(4/SUMPRODUCT(MAX((CriteriTecnici!$C$5:$C$2484=$C62)*(CriteriTecnici!$E$5:$E$2484="E")*(CriteriTecnici!$T$5:$T$2484="SI")*IFERROR(CriteriTecnici!$O$5:$O$2484*1,0))))),0)+IF(SUMPRODUCT(MAX((CriteriTecnici!$C$5:$C$2484=$C62)*(CriteriTecnici!$E$5:$E$2484="F")*(CriteriTecnici!$T$5:$T$2484="SI")*IFERROR(CriteriTecnici!$O$5:$O$2484*1,0)))&gt;0,MIN(14,SUMIFS(CriteriTecnici!$O:$O,CriteriTecnici!$Q:$Q,$A62&amp;"|"&amp;$C62,CriteriTecnici!$E:$E,"F")*(14/SUMPRODUCT(MAX((CriteriTecnici!$C$5:$C$2484=$C62)*(CriteriTecnici!$E$5:$E$2484="F")*(CriteriTecnici!$T$5:$T$2484="SI")*IFERROR(CriteriTecnici!$O$5:$O$2484*1,0))))),0)+IF(SUMPRODUCT(MAX((CriteriTecnici!$C$5:$C$2484=$C62)*(CriteriTecnici!$E$5:$E$2484="G")*(CriteriTecnici!$T$5:$T$2484="SI")*IFERROR(CriteriTecnici!$O$5:$O$2484*1,0)))&gt;0,MIN(7,SUMIFS(CriteriTecnici!$O:$O,CriteriTecnici!$Q:$Q,$A62&amp;"|"&amp;$C62,CriteriTecnici!$E:$E,"G")*(7/SUMPRODUCT(MAX((CriteriTecnici!$C$5:$C$2484=$C62)*(CriteriTecnici!$E$5:$E$2484="G")*(CriteriTecnici!$T$5:$T$2484="SI")*IFERROR(CriteriTecnici!$O$5:$O$2484*1,0))))),0),4),0),IFERROR($N62*1,0)),0))</f>
        <v/>
      </c>
      <c r="F62" s="56">
        <f>IF(Compila!$A72="","",Compila!$E72)</f>
        <v/>
      </c>
      <c r="G62" s="57">
        <f>IF($A62="","",IF(IFERROR(VALUE($D62),0)&lt;&gt;1,"NO",IF(IFERROR(VALUE($O62),0)&gt;=Parametri!$B$2,"SI","NO")))</f>
        <v/>
      </c>
      <c r="H62" s="57">
        <f>IF($G62="SI",SUMPRODUCT(MAX(($C$2:$C$81=$C62)*(IFERROR($D$2:$D$81*1,0)=1)*(IFERROR($O$2:$O$81*1,0)&gt;=Parametri!$B$2)*IFERROR($F$2:$F$81*1,0))),0)</f>
        <v/>
      </c>
      <c r="I62" s="57">
        <f>IF($G62="SI",IF($H62&gt;0,30*(IFERROR($F62*1,0)/$H62),0),0)</f>
        <v/>
      </c>
      <c r="J62" s="57">
        <f>IF($A62="",0,IF($G62="SI",ROUND(IFERROR($E62*1,0)+$I62,4),ROUND(IFERROR($E62*1,0),4)))</f>
        <v/>
      </c>
      <c r="K62" s="57">
        <f>IF($A62="","",IF(IFERROR(VALUE($D62),0)&lt;&gt;1,"Non attiva",IF(IFERROR(VALUE($O62),0)&lt;Parametri!$B$2,"Sotto soglia","")))</f>
        <v/>
      </c>
      <c r="L62" s="57">
        <f>IF($A62="","",$A62&amp;"|"&amp;$C62)</f>
        <v/>
      </c>
      <c r="M62" s="57">
        <f>IF($A62="","",$C62&amp;"|"&amp;TEXT($J62,"0.0000"))</f>
        <v/>
      </c>
      <c r="N62" s="57" t="n"/>
      <c r="O62" s="57">
        <f>IF($A62="",0,IFERROR(IF(SUMIFS(CriteriTecnici!$O:$O,CriteriTecnici!$Q:$Q,$A62&amp;"|"&amp;$C62)&gt;0,SUMIFS(CriteriTecnici!$O:$O,CriteriTecnici!$Q:$Q,$A62&amp;"|"&amp;$C62,CriteriTecnici!$F:$F,"Q")+SUMIFS(CriteriTecnici!$O:$O,CriteriTecnici!$Q:$Q,$A62&amp;"|"&amp;$C62,CriteriTecnici!$F:$F,"T"),IFERROR($N62*1,0)),0))</f>
        <v/>
      </c>
      <c r="P62" s="57">
        <f>IF($A62="","",IF(SUMIFS(CriteriTecnici!$O:$O,CriteriTecnici!$Q:$Q,$A62&amp;"|"&amp;$C62)&gt;0,"Criteri A-G","Aggregato"))</f>
        <v/>
      </c>
    </row>
    <row r="63">
      <c r="A63" s="56">
        <f>IF(Compila!$A73="","",Compila!$A73)</f>
        <v/>
      </c>
      <c r="B63" s="56">
        <f>IF(Compila!$A73="","",Compila!$B73)</f>
        <v/>
      </c>
      <c r="C63" s="56">
        <f>IF(Compila!$A73="","",Compila!$C73)</f>
        <v/>
      </c>
      <c r="D63" s="56">
        <f>IF(Compila!$A73="","",Compila!$D73)</f>
        <v/>
      </c>
      <c r="E63" s="57">
        <f>IF($A63="",0,IFERROR(IF(SUMIFS(CriteriTecnici!$O:$O,CriteriTecnici!$Q:$Q,$A63&amp;"|"&amp;$C63)&gt;0,IF($G63="SI",ROUND(IF(SUMPRODUCT(MAX((CriteriTecnici!$C$5:$C$2484=$C63)*(CriteriTecnici!$E$5:$E$2484="A")*(CriteriTecnici!$T$5:$T$2484="SI")*IFERROR(CriteriTecnici!$O$5:$O$2484*1,0)))&gt;0,MIN(7,SUMIFS(CriteriTecnici!$O:$O,CriteriTecnici!$Q:$Q,$A63&amp;"|"&amp;$C63,CriteriTecnici!$E:$E,"A")*(7/SUMPRODUCT(MAX((CriteriTecnici!$C$5:$C$2484=$C63)*(CriteriTecnici!$E$5:$E$2484="A")*(CriteriTecnici!$T$5:$T$2484="SI")*IFERROR(CriteriTecnici!$O$5:$O$2484*1,0))))),0)+IF(SUMPRODUCT(MAX((CriteriTecnici!$C$5:$C$2484=$C63)*(CriteriTecnici!$E$5:$E$2484="B")*(CriteriTecnici!$T$5:$T$2484="SI")*IFERROR(CriteriTecnici!$O$5:$O$2484*1,0)))&gt;0,MIN(14,SUMIFS(CriteriTecnici!$O:$O,CriteriTecnici!$Q:$Q,$A63&amp;"|"&amp;$C63,CriteriTecnici!$E:$E,"B")*(14/SUMPRODUCT(MAX((CriteriTecnici!$C$5:$C$2484=$C63)*(CriteriTecnici!$E$5:$E$2484="B")*(CriteriTecnici!$T$5:$T$2484="SI")*IFERROR(CriteriTecnici!$O$5:$O$2484*1,0))))),0)+IF(SUMPRODUCT(MAX((CriteriTecnici!$C$5:$C$2484=$C63)*(CriteriTecnici!$E$5:$E$2484="C")*(CriteriTecnici!$T$5:$T$2484="SI")*IFERROR(CriteriTecnici!$O$5:$O$2484*1,0)))&gt;0,MIN(14,SUMIFS(CriteriTecnici!$O:$O,CriteriTecnici!$Q:$Q,$A63&amp;"|"&amp;$C63,CriteriTecnici!$E:$E,"C")*(14/SUMPRODUCT(MAX((CriteriTecnici!$C$5:$C$2484=$C63)*(CriteriTecnici!$E$5:$E$2484="C")*(CriteriTecnici!$T$5:$T$2484="SI")*IFERROR(CriteriTecnici!$O$5:$O$2484*1,0))))),0)+IF(SUMPRODUCT(MAX((CriteriTecnici!$C$5:$C$2484=$C63)*(CriteriTecnici!$E$5:$E$2484="D")*(CriteriTecnici!$T$5:$T$2484="SI")*IFERROR(CriteriTecnici!$O$5:$O$2484*1,0)))&gt;0,MIN(10,SUMIFS(CriteriTecnici!$O:$O,CriteriTecnici!$Q:$Q,$A63&amp;"|"&amp;$C63,CriteriTecnici!$E:$E,"D")*(10/SUMPRODUCT(MAX((CriteriTecnici!$C$5:$C$2484=$C63)*(CriteriTecnici!$E$5:$E$2484="D")*(CriteriTecnici!$T$5:$T$2484="SI")*IFERROR(CriteriTecnici!$O$5:$O$2484*1,0))))),0)+IF(SUMPRODUCT(MAX((CriteriTecnici!$C$5:$C$2484=$C63)*(CriteriTecnici!$E$5:$E$2484="E")*(CriteriTecnici!$T$5:$T$2484="SI")*IFERROR(CriteriTecnici!$O$5:$O$2484*1,0)))&gt;0,MIN(4,SUMIFS(CriteriTecnici!$O:$O,CriteriTecnici!$Q:$Q,$A63&amp;"|"&amp;$C63,CriteriTecnici!$E:$E,"E")*(4/SUMPRODUCT(MAX((CriteriTecnici!$C$5:$C$2484=$C63)*(CriteriTecnici!$E$5:$E$2484="E")*(CriteriTecnici!$T$5:$T$2484="SI")*IFERROR(CriteriTecnici!$O$5:$O$2484*1,0))))),0)+IF(SUMPRODUCT(MAX((CriteriTecnici!$C$5:$C$2484=$C63)*(CriteriTecnici!$E$5:$E$2484="F")*(CriteriTecnici!$T$5:$T$2484="SI")*IFERROR(CriteriTecnici!$O$5:$O$2484*1,0)))&gt;0,MIN(14,SUMIFS(CriteriTecnici!$O:$O,CriteriTecnici!$Q:$Q,$A63&amp;"|"&amp;$C63,CriteriTecnici!$E:$E,"F")*(14/SUMPRODUCT(MAX((CriteriTecnici!$C$5:$C$2484=$C63)*(CriteriTecnici!$E$5:$E$2484="F")*(CriteriTecnici!$T$5:$T$2484="SI")*IFERROR(CriteriTecnici!$O$5:$O$2484*1,0))))),0)+IF(SUMPRODUCT(MAX((CriteriTecnici!$C$5:$C$2484=$C63)*(CriteriTecnici!$E$5:$E$2484="G")*(CriteriTecnici!$T$5:$T$2484="SI")*IFERROR(CriteriTecnici!$O$5:$O$2484*1,0)))&gt;0,MIN(7,SUMIFS(CriteriTecnici!$O:$O,CriteriTecnici!$Q:$Q,$A63&amp;"|"&amp;$C63,CriteriTecnici!$E:$E,"G")*(7/SUMPRODUCT(MAX((CriteriTecnici!$C$5:$C$2484=$C63)*(CriteriTecnici!$E$5:$E$2484="G")*(CriteriTecnici!$T$5:$T$2484="SI")*IFERROR(CriteriTecnici!$O$5:$O$2484*1,0))))),0),4),0),IFERROR($N63*1,0)),0))</f>
        <v/>
      </c>
      <c r="F63" s="56">
        <f>IF(Compila!$A73="","",Compila!$E73)</f>
        <v/>
      </c>
      <c r="G63" s="57">
        <f>IF($A63="","",IF(IFERROR(VALUE($D63),0)&lt;&gt;1,"NO",IF(IFERROR(VALUE($O63),0)&gt;=Parametri!$B$2,"SI","NO")))</f>
        <v/>
      </c>
      <c r="H63" s="57">
        <f>IF($G63="SI",SUMPRODUCT(MAX(($C$2:$C$81=$C63)*(IFERROR($D$2:$D$81*1,0)=1)*(IFERROR($O$2:$O$81*1,0)&gt;=Parametri!$B$2)*IFERROR($F$2:$F$81*1,0))),0)</f>
        <v/>
      </c>
      <c r="I63" s="57">
        <f>IF($G63="SI",IF($H63&gt;0,30*(IFERROR($F63*1,0)/$H63),0),0)</f>
        <v/>
      </c>
      <c r="J63" s="57">
        <f>IF($A63="",0,IF($G63="SI",ROUND(IFERROR($E63*1,0)+$I63,4),ROUND(IFERROR($E63*1,0),4)))</f>
        <v/>
      </c>
      <c r="K63" s="57">
        <f>IF($A63="","",IF(IFERROR(VALUE($D63),0)&lt;&gt;1,"Non attiva",IF(IFERROR(VALUE($O63),0)&lt;Parametri!$B$2,"Sotto soglia","")))</f>
        <v/>
      </c>
      <c r="L63" s="57">
        <f>IF($A63="","",$A63&amp;"|"&amp;$C63)</f>
        <v/>
      </c>
      <c r="M63" s="57">
        <f>IF($A63="","",$C63&amp;"|"&amp;TEXT($J63,"0.0000"))</f>
        <v/>
      </c>
      <c r="N63" s="57" t="n"/>
      <c r="O63" s="57">
        <f>IF($A63="",0,IFERROR(IF(SUMIFS(CriteriTecnici!$O:$O,CriteriTecnici!$Q:$Q,$A63&amp;"|"&amp;$C63)&gt;0,SUMIFS(CriteriTecnici!$O:$O,CriteriTecnici!$Q:$Q,$A63&amp;"|"&amp;$C63,CriteriTecnici!$F:$F,"Q")+SUMIFS(CriteriTecnici!$O:$O,CriteriTecnici!$Q:$Q,$A63&amp;"|"&amp;$C63,CriteriTecnici!$F:$F,"T"),IFERROR($N63*1,0)),0))</f>
        <v/>
      </c>
      <c r="P63" s="57">
        <f>IF($A63="","",IF(SUMIFS(CriteriTecnici!$O:$O,CriteriTecnici!$Q:$Q,$A63&amp;"|"&amp;$C63)&gt;0,"Criteri A-G","Aggregato"))</f>
        <v/>
      </c>
    </row>
    <row r="64">
      <c r="A64" s="56">
        <f>IF(Compila!$A74="","",Compila!$A74)</f>
        <v/>
      </c>
      <c r="B64" s="56">
        <f>IF(Compila!$A74="","",Compila!$B74)</f>
        <v/>
      </c>
      <c r="C64" s="56">
        <f>IF(Compila!$A74="","",Compila!$C74)</f>
        <v/>
      </c>
      <c r="D64" s="56">
        <f>IF(Compila!$A74="","",Compila!$D74)</f>
        <v/>
      </c>
      <c r="E64" s="57">
        <f>IF($A64="",0,IFERROR(IF(SUMIFS(CriteriTecnici!$O:$O,CriteriTecnici!$Q:$Q,$A64&amp;"|"&amp;$C64)&gt;0,IF($G64="SI",ROUND(IF(SUMPRODUCT(MAX((CriteriTecnici!$C$5:$C$2484=$C64)*(CriteriTecnici!$E$5:$E$2484="A")*(CriteriTecnici!$T$5:$T$2484="SI")*IFERROR(CriteriTecnici!$O$5:$O$2484*1,0)))&gt;0,MIN(7,SUMIFS(CriteriTecnici!$O:$O,CriteriTecnici!$Q:$Q,$A64&amp;"|"&amp;$C64,CriteriTecnici!$E:$E,"A")*(7/SUMPRODUCT(MAX((CriteriTecnici!$C$5:$C$2484=$C64)*(CriteriTecnici!$E$5:$E$2484="A")*(CriteriTecnici!$T$5:$T$2484="SI")*IFERROR(CriteriTecnici!$O$5:$O$2484*1,0))))),0)+IF(SUMPRODUCT(MAX((CriteriTecnici!$C$5:$C$2484=$C64)*(CriteriTecnici!$E$5:$E$2484="B")*(CriteriTecnici!$T$5:$T$2484="SI")*IFERROR(CriteriTecnici!$O$5:$O$2484*1,0)))&gt;0,MIN(14,SUMIFS(CriteriTecnici!$O:$O,CriteriTecnici!$Q:$Q,$A64&amp;"|"&amp;$C64,CriteriTecnici!$E:$E,"B")*(14/SUMPRODUCT(MAX((CriteriTecnici!$C$5:$C$2484=$C64)*(CriteriTecnici!$E$5:$E$2484="B")*(CriteriTecnici!$T$5:$T$2484="SI")*IFERROR(CriteriTecnici!$O$5:$O$2484*1,0))))),0)+IF(SUMPRODUCT(MAX((CriteriTecnici!$C$5:$C$2484=$C64)*(CriteriTecnici!$E$5:$E$2484="C")*(CriteriTecnici!$T$5:$T$2484="SI")*IFERROR(CriteriTecnici!$O$5:$O$2484*1,0)))&gt;0,MIN(14,SUMIFS(CriteriTecnici!$O:$O,CriteriTecnici!$Q:$Q,$A64&amp;"|"&amp;$C64,CriteriTecnici!$E:$E,"C")*(14/SUMPRODUCT(MAX((CriteriTecnici!$C$5:$C$2484=$C64)*(CriteriTecnici!$E$5:$E$2484="C")*(CriteriTecnici!$T$5:$T$2484="SI")*IFERROR(CriteriTecnici!$O$5:$O$2484*1,0))))),0)+IF(SUMPRODUCT(MAX((CriteriTecnici!$C$5:$C$2484=$C64)*(CriteriTecnici!$E$5:$E$2484="D")*(CriteriTecnici!$T$5:$T$2484="SI")*IFERROR(CriteriTecnici!$O$5:$O$2484*1,0)))&gt;0,MIN(10,SUMIFS(CriteriTecnici!$O:$O,CriteriTecnici!$Q:$Q,$A64&amp;"|"&amp;$C64,CriteriTecnici!$E:$E,"D")*(10/SUMPRODUCT(MAX((CriteriTecnici!$C$5:$C$2484=$C64)*(CriteriTecnici!$E$5:$E$2484="D")*(CriteriTecnici!$T$5:$T$2484="SI")*IFERROR(CriteriTecnici!$O$5:$O$2484*1,0))))),0)+IF(SUMPRODUCT(MAX((CriteriTecnici!$C$5:$C$2484=$C64)*(CriteriTecnici!$E$5:$E$2484="E")*(CriteriTecnici!$T$5:$T$2484="SI")*IFERROR(CriteriTecnici!$O$5:$O$2484*1,0)))&gt;0,MIN(4,SUMIFS(CriteriTecnici!$O:$O,CriteriTecnici!$Q:$Q,$A64&amp;"|"&amp;$C64,CriteriTecnici!$E:$E,"E")*(4/SUMPRODUCT(MAX((CriteriTecnici!$C$5:$C$2484=$C64)*(CriteriTecnici!$E$5:$E$2484="E")*(CriteriTecnici!$T$5:$T$2484="SI")*IFERROR(CriteriTecnici!$O$5:$O$2484*1,0))))),0)+IF(SUMPRODUCT(MAX((CriteriTecnici!$C$5:$C$2484=$C64)*(CriteriTecnici!$E$5:$E$2484="F")*(CriteriTecnici!$T$5:$T$2484="SI")*IFERROR(CriteriTecnici!$O$5:$O$2484*1,0)))&gt;0,MIN(14,SUMIFS(CriteriTecnici!$O:$O,CriteriTecnici!$Q:$Q,$A64&amp;"|"&amp;$C64,CriteriTecnici!$E:$E,"F")*(14/SUMPRODUCT(MAX((CriteriTecnici!$C$5:$C$2484=$C64)*(CriteriTecnici!$E$5:$E$2484="F")*(CriteriTecnici!$T$5:$T$2484="SI")*IFERROR(CriteriTecnici!$O$5:$O$2484*1,0))))),0)+IF(SUMPRODUCT(MAX((CriteriTecnici!$C$5:$C$2484=$C64)*(CriteriTecnici!$E$5:$E$2484="G")*(CriteriTecnici!$T$5:$T$2484="SI")*IFERROR(CriteriTecnici!$O$5:$O$2484*1,0)))&gt;0,MIN(7,SUMIFS(CriteriTecnici!$O:$O,CriteriTecnici!$Q:$Q,$A64&amp;"|"&amp;$C64,CriteriTecnici!$E:$E,"G")*(7/SUMPRODUCT(MAX((CriteriTecnici!$C$5:$C$2484=$C64)*(CriteriTecnici!$E$5:$E$2484="G")*(CriteriTecnici!$T$5:$T$2484="SI")*IFERROR(CriteriTecnici!$O$5:$O$2484*1,0))))),0),4),0),IFERROR($N64*1,0)),0))</f>
        <v/>
      </c>
      <c r="F64" s="56">
        <f>IF(Compila!$A74="","",Compila!$E74)</f>
        <v/>
      </c>
      <c r="G64" s="57">
        <f>IF($A64="","",IF(IFERROR(VALUE($D64),0)&lt;&gt;1,"NO",IF(IFERROR(VALUE($O64),0)&gt;=Parametri!$B$2,"SI","NO")))</f>
        <v/>
      </c>
      <c r="H64" s="57">
        <f>IF($G64="SI",SUMPRODUCT(MAX(($C$2:$C$81=$C64)*(IFERROR($D$2:$D$81*1,0)=1)*(IFERROR($O$2:$O$81*1,0)&gt;=Parametri!$B$2)*IFERROR($F$2:$F$81*1,0))),0)</f>
        <v/>
      </c>
      <c r="I64" s="57">
        <f>IF($G64="SI",IF($H64&gt;0,30*(IFERROR($F64*1,0)/$H64),0),0)</f>
        <v/>
      </c>
      <c r="J64" s="57">
        <f>IF($A64="",0,IF($G64="SI",ROUND(IFERROR($E64*1,0)+$I64,4),ROUND(IFERROR($E64*1,0),4)))</f>
        <v/>
      </c>
      <c r="K64" s="57">
        <f>IF($A64="","",IF(IFERROR(VALUE($D64),0)&lt;&gt;1,"Non attiva",IF(IFERROR(VALUE($O64),0)&lt;Parametri!$B$2,"Sotto soglia","")))</f>
        <v/>
      </c>
      <c r="L64" s="57">
        <f>IF($A64="","",$A64&amp;"|"&amp;$C64)</f>
        <v/>
      </c>
      <c r="M64" s="57">
        <f>IF($A64="","",$C64&amp;"|"&amp;TEXT($J64,"0.0000"))</f>
        <v/>
      </c>
      <c r="N64" s="57" t="n"/>
      <c r="O64" s="57">
        <f>IF($A64="",0,IFERROR(IF(SUMIFS(CriteriTecnici!$O:$O,CriteriTecnici!$Q:$Q,$A64&amp;"|"&amp;$C64)&gt;0,SUMIFS(CriteriTecnici!$O:$O,CriteriTecnici!$Q:$Q,$A64&amp;"|"&amp;$C64,CriteriTecnici!$F:$F,"Q")+SUMIFS(CriteriTecnici!$O:$O,CriteriTecnici!$Q:$Q,$A64&amp;"|"&amp;$C64,CriteriTecnici!$F:$F,"T"),IFERROR($N64*1,0)),0))</f>
        <v/>
      </c>
      <c r="P64" s="57">
        <f>IF($A64="","",IF(SUMIFS(CriteriTecnici!$O:$O,CriteriTecnici!$Q:$Q,$A64&amp;"|"&amp;$C64)&gt;0,"Criteri A-G","Aggregato"))</f>
        <v/>
      </c>
    </row>
    <row r="65">
      <c r="A65" s="56">
        <f>IF(Compila!$A75="","",Compila!$A75)</f>
        <v/>
      </c>
      <c r="B65" s="56">
        <f>IF(Compila!$A75="","",Compila!$B75)</f>
        <v/>
      </c>
      <c r="C65" s="56">
        <f>IF(Compila!$A75="","",Compila!$C75)</f>
        <v/>
      </c>
      <c r="D65" s="56">
        <f>IF(Compila!$A75="","",Compila!$D75)</f>
        <v/>
      </c>
      <c r="E65" s="57">
        <f>IF($A65="",0,IFERROR(IF(SUMIFS(CriteriTecnici!$O:$O,CriteriTecnici!$Q:$Q,$A65&amp;"|"&amp;$C65)&gt;0,IF($G65="SI",ROUND(IF(SUMPRODUCT(MAX((CriteriTecnici!$C$5:$C$2484=$C65)*(CriteriTecnici!$E$5:$E$2484="A")*(CriteriTecnici!$T$5:$T$2484="SI")*IFERROR(CriteriTecnici!$O$5:$O$2484*1,0)))&gt;0,MIN(7,SUMIFS(CriteriTecnici!$O:$O,CriteriTecnici!$Q:$Q,$A65&amp;"|"&amp;$C65,CriteriTecnici!$E:$E,"A")*(7/SUMPRODUCT(MAX((CriteriTecnici!$C$5:$C$2484=$C65)*(CriteriTecnici!$E$5:$E$2484="A")*(CriteriTecnici!$T$5:$T$2484="SI")*IFERROR(CriteriTecnici!$O$5:$O$2484*1,0))))),0)+IF(SUMPRODUCT(MAX((CriteriTecnici!$C$5:$C$2484=$C65)*(CriteriTecnici!$E$5:$E$2484="B")*(CriteriTecnici!$T$5:$T$2484="SI")*IFERROR(CriteriTecnici!$O$5:$O$2484*1,0)))&gt;0,MIN(14,SUMIFS(CriteriTecnici!$O:$O,CriteriTecnici!$Q:$Q,$A65&amp;"|"&amp;$C65,CriteriTecnici!$E:$E,"B")*(14/SUMPRODUCT(MAX((CriteriTecnici!$C$5:$C$2484=$C65)*(CriteriTecnici!$E$5:$E$2484="B")*(CriteriTecnici!$T$5:$T$2484="SI")*IFERROR(CriteriTecnici!$O$5:$O$2484*1,0))))),0)+IF(SUMPRODUCT(MAX((CriteriTecnici!$C$5:$C$2484=$C65)*(CriteriTecnici!$E$5:$E$2484="C")*(CriteriTecnici!$T$5:$T$2484="SI")*IFERROR(CriteriTecnici!$O$5:$O$2484*1,0)))&gt;0,MIN(14,SUMIFS(CriteriTecnici!$O:$O,CriteriTecnici!$Q:$Q,$A65&amp;"|"&amp;$C65,CriteriTecnici!$E:$E,"C")*(14/SUMPRODUCT(MAX((CriteriTecnici!$C$5:$C$2484=$C65)*(CriteriTecnici!$E$5:$E$2484="C")*(CriteriTecnici!$T$5:$T$2484="SI")*IFERROR(CriteriTecnici!$O$5:$O$2484*1,0))))),0)+IF(SUMPRODUCT(MAX((CriteriTecnici!$C$5:$C$2484=$C65)*(CriteriTecnici!$E$5:$E$2484="D")*(CriteriTecnici!$T$5:$T$2484="SI")*IFERROR(CriteriTecnici!$O$5:$O$2484*1,0)))&gt;0,MIN(10,SUMIFS(CriteriTecnici!$O:$O,CriteriTecnici!$Q:$Q,$A65&amp;"|"&amp;$C65,CriteriTecnici!$E:$E,"D")*(10/SUMPRODUCT(MAX((CriteriTecnici!$C$5:$C$2484=$C65)*(CriteriTecnici!$E$5:$E$2484="D")*(CriteriTecnici!$T$5:$T$2484="SI")*IFERROR(CriteriTecnici!$O$5:$O$2484*1,0))))),0)+IF(SUMPRODUCT(MAX((CriteriTecnici!$C$5:$C$2484=$C65)*(CriteriTecnici!$E$5:$E$2484="E")*(CriteriTecnici!$T$5:$T$2484="SI")*IFERROR(CriteriTecnici!$O$5:$O$2484*1,0)))&gt;0,MIN(4,SUMIFS(CriteriTecnici!$O:$O,CriteriTecnici!$Q:$Q,$A65&amp;"|"&amp;$C65,CriteriTecnici!$E:$E,"E")*(4/SUMPRODUCT(MAX((CriteriTecnici!$C$5:$C$2484=$C65)*(CriteriTecnici!$E$5:$E$2484="E")*(CriteriTecnici!$T$5:$T$2484="SI")*IFERROR(CriteriTecnici!$O$5:$O$2484*1,0))))),0)+IF(SUMPRODUCT(MAX((CriteriTecnici!$C$5:$C$2484=$C65)*(CriteriTecnici!$E$5:$E$2484="F")*(CriteriTecnici!$T$5:$T$2484="SI")*IFERROR(CriteriTecnici!$O$5:$O$2484*1,0)))&gt;0,MIN(14,SUMIFS(CriteriTecnici!$O:$O,CriteriTecnici!$Q:$Q,$A65&amp;"|"&amp;$C65,CriteriTecnici!$E:$E,"F")*(14/SUMPRODUCT(MAX((CriteriTecnici!$C$5:$C$2484=$C65)*(CriteriTecnici!$E$5:$E$2484="F")*(CriteriTecnici!$T$5:$T$2484="SI")*IFERROR(CriteriTecnici!$O$5:$O$2484*1,0))))),0)+IF(SUMPRODUCT(MAX((CriteriTecnici!$C$5:$C$2484=$C65)*(CriteriTecnici!$E$5:$E$2484="G")*(CriteriTecnici!$T$5:$T$2484="SI")*IFERROR(CriteriTecnici!$O$5:$O$2484*1,0)))&gt;0,MIN(7,SUMIFS(CriteriTecnici!$O:$O,CriteriTecnici!$Q:$Q,$A65&amp;"|"&amp;$C65,CriteriTecnici!$E:$E,"G")*(7/SUMPRODUCT(MAX((CriteriTecnici!$C$5:$C$2484=$C65)*(CriteriTecnici!$E$5:$E$2484="G")*(CriteriTecnici!$T$5:$T$2484="SI")*IFERROR(CriteriTecnici!$O$5:$O$2484*1,0))))),0),4),0),IFERROR($N65*1,0)),0))</f>
        <v/>
      </c>
      <c r="F65" s="56">
        <f>IF(Compila!$A75="","",Compila!$E75)</f>
        <v/>
      </c>
      <c r="G65" s="57">
        <f>IF($A65="","",IF(IFERROR(VALUE($D65),0)&lt;&gt;1,"NO",IF(IFERROR(VALUE($O65),0)&gt;=Parametri!$B$2,"SI","NO")))</f>
        <v/>
      </c>
      <c r="H65" s="57">
        <f>IF($G65="SI",SUMPRODUCT(MAX(($C$2:$C$81=$C65)*(IFERROR($D$2:$D$81*1,0)=1)*(IFERROR($O$2:$O$81*1,0)&gt;=Parametri!$B$2)*IFERROR($F$2:$F$81*1,0))),0)</f>
        <v/>
      </c>
      <c r="I65" s="57">
        <f>IF($G65="SI",IF($H65&gt;0,30*(IFERROR($F65*1,0)/$H65),0),0)</f>
        <v/>
      </c>
      <c r="J65" s="57">
        <f>IF($A65="",0,IF($G65="SI",ROUND(IFERROR($E65*1,0)+$I65,4),ROUND(IFERROR($E65*1,0),4)))</f>
        <v/>
      </c>
      <c r="K65" s="57">
        <f>IF($A65="","",IF(IFERROR(VALUE($D65),0)&lt;&gt;1,"Non attiva",IF(IFERROR(VALUE($O65),0)&lt;Parametri!$B$2,"Sotto soglia","")))</f>
        <v/>
      </c>
      <c r="L65" s="57">
        <f>IF($A65="","",$A65&amp;"|"&amp;$C65)</f>
        <v/>
      </c>
      <c r="M65" s="57">
        <f>IF($A65="","",$C65&amp;"|"&amp;TEXT($J65,"0.0000"))</f>
        <v/>
      </c>
      <c r="N65" s="57" t="n"/>
      <c r="O65" s="57">
        <f>IF($A65="",0,IFERROR(IF(SUMIFS(CriteriTecnici!$O:$O,CriteriTecnici!$Q:$Q,$A65&amp;"|"&amp;$C65)&gt;0,SUMIFS(CriteriTecnici!$O:$O,CriteriTecnici!$Q:$Q,$A65&amp;"|"&amp;$C65,CriteriTecnici!$F:$F,"Q")+SUMIFS(CriteriTecnici!$O:$O,CriteriTecnici!$Q:$Q,$A65&amp;"|"&amp;$C65,CriteriTecnici!$F:$F,"T"),IFERROR($N65*1,0)),0))</f>
        <v/>
      </c>
      <c r="P65" s="57">
        <f>IF($A65="","",IF(SUMIFS(CriteriTecnici!$O:$O,CriteriTecnici!$Q:$Q,$A65&amp;"|"&amp;$C65)&gt;0,"Criteri A-G","Aggregato"))</f>
        <v/>
      </c>
    </row>
    <row r="66">
      <c r="A66" s="56">
        <f>IF(Compila!$A76="","",Compila!$A76)</f>
        <v/>
      </c>
      <c r="B66" s="56">
        <f>IF(Compila!$A76="","",Compila!$B76)</f>
        <v/>
      </c>
      <c r="C66" s="56">
        <f>IF(Compila!$A76="","",Compila!$C76)</f>
        <v/>
      </c>
      <c r="D66" s="56">
        <f>IF(Compila!$A76="","",Compila!$D76)</f>
        <v/>
      </c>
      <c r="E66" s="57">
        <f>IF($A66="",0,IFERROR(IF(SUMIFS(CriteriTecnici!$O:$O,CriteriTecnici!$Q:$Q,$A66&amp;"|"&amp;$C66)&gt;0,IF($G66="SI",ROUND(IF(SUMPRODUCT(MAX((CriteriTecnici!$C$5:$C$2484=$C66)*(CriteriTecnici!$E$5:$E$2484="A")*(CriteriTecnici!$T$5:$T$2484="SI")*IFERROR(CriteriTecnici!$O$5:$O$2484*1,0)))&gt;0,MIN(7,SUMIFS(CriteriTecnici!$O:$O,CriteriTecnici!$Q:$Q,$A66&amp;"|"&amp;$C66,CriteriTecnici!$E:$E,"A")*(7/SUMPRODUCT(MAX((CriteriTecnici!$C$5:$C$2484=$C66)*(CriteriTecnici!$E$5:$E$2484="A")*(CriteriTecnici!$T$5:$T$2484="SI")*IFERROR(CriteriTecnici!$O$5:$O$2484*1,0))))),0)+IF(SUMPRODUCT(MAX((CriteriTecnici!$C$5:$C$2484=$C66)*(CriteriTecnici!$E$5:$E$2484="B")*(CriteriTecnici!$T$5:$T$2484="SI")*IFERROR(CriteriTecnici!$O$5:$O$2484*1,0)))&gt;0,MIN(14,SUMIFS(CriteriTecnici!$O:$O,CriteriTecnici!$Q:$Q,$A66&amp;"|"&amp;$C66,CriteriTecnici!$E:$E,"B")*(14/SUMPRODUCT(MAX((CriteriTecnici!$C$5:$C$2484=$C66)*(CriteriTecnici!$E$5:$E$2484="B")*(CriteriTecnici!$T$5:$T$2484="SI")*IFERROR(CriteriTecnici!$O$5:$O$2484*1,0))))),0)+IF(SUMPRODUCT(MAX((CriteriTecnici!$C$5:$C$2484=$C66)*(CriteriTecnici!$E$5:$E$2484="C")*(CriteriTecnici!$T$5:$T$2484="SI")*IFERROR(CriteriTecnici!$O$5:$O$2484*1,0)))&gt;0,MIN(14,SUMIFS(CriteriTecnici!$O:$O,CriteriTecnici!$Q:$Q,$A66&amp;"|"&amp;$C66,CriteriTecnici!$E:$E,"C")*(14/SUMPRODUCT(MAX((CriteriTecnici!$C$5:$C$2484=$C66)*(CriteriTecnici!$E$5:$E$2484="C")*(CriteriTecnici!$T$5:$T$2484="SI")*IFERROR(CriteriTecnici!$O$5:$O$2484*1,0))))),0)+IF(SUMPRODUCT(MAX((CriteriTecnici!$C$5:$C$2484=$C66)*(CriteriTecnici!$E$5:$E$2484="D")*(CriteriTecnici!$T$5:$T$2484="SI")*IFERROR(CriteriTecnici!$O$5:$O$2484*1,0)))&gt;0,MIN(10,SUMIFS(CriteriTecnici!$O:$O,CriteriTecnici!$Q:$Q,$A66&amp;"|"&amp;$C66,CriteriTecnici!$E:$E,"D")*(10/SUMPRODUCT(MAX((CriteriTecnici!$C$5:$C$2484=$C66)*(CriteriTecnici!$E$5:$E$2484="D")*(CriteriTecnici!$T$5:$T$2484="SI")*IFERROR(CriteriTecnici!$O$5:$O$2484*1,0))))),0)+IF(SUMPRODUCT(MAX((CriteriTecnici!$C$5:$C$2484=$C66)*(CriteriTecnici!$E$5:$E$2484="E")*(CriteriTecnici!$T$5:$T$2484="SI")*IFERROR(CriteriTecnici!$O$5:$O$2484*1,0)))&gt;0,MIN(4,SUMIFS(CriteriTecnici!$O:$O,CriteriTecnici!$Q:$Q,$A66&amp;"|"&amp;$C66,CriteriTecnici!$E:$E,"E")*(4/SUMPRODUCT(MAX((CriteriTecnici!$C$5:$C$2484=$C66)*(CriteriTecnici!$E$5:$E$2484="E")*(CriteriTecnici!$T$5:$T$2484="SI")*IFERROR(CriteriTecnici!$O$5:$O$2484*1,0))))),0)+IF(SUMPRODUCT(MAX((CriteriTecnici!$C$5:$C$2484=$C66)*(CriteriTecnici!$E$5:$E$2484="F")*(CriteriTecnici!$T$5:$T$2484="SI")*IFERROR(CriteriTecnici!$O$5:$O$2484*1,0)))&gt;0,MIN(14,SUMIFS(CriteriTecnici!$O:$O,CriteriTecnici!$Q:$Q,$A66&amp;"|"&amp;$C66,CriteriTecnici!$E:$E,"F")*(14/SUMPRODUCT(MAX((CriteriTecnici!$C$5:$C$2484=$C66)*(CriteriTecnici!$E$5:$E$2484="F")*(CriteriTecnici!$T$5:$T$2484="SI")*IFERROR(CriteriTecnici!$O$5:$O$2484*1,0))))),0)+IF(SUMPRODUCT(MAX((CriteriTecnici!$C$5:$C$2484=$C66)*(CriteriTecnici!$E$5:$E$2484="G")*(CriteriTecnici!$T$5:$T$2484="SI")*IFERROR(CriteriTecnici!$O$5:$O$2484*1,0)))&gt;0,MIN(7,SUMIFS(CriteriTecnici!$O:$O,CriteriTecnici!$Q:$Q,$A66&amp;"|"&amp;$C66,CriteriTecnici!$E:$E,"G")*(7/SUMPRODUCT(MAX((CriteriTecnici!$C$5:$C$2484=$C66)*(CriteriTecnici!$E$5:$E$2484="G")*(CriteriTecnici!$T$5:$T$2484="SI")*IFERROR(CriteriTecnici!$O$5:$O$2484*1,0))))),0),4),0),IFERROR($N66*1,0)),0))</f>
        <v/>
      </c>
      <c r="F66" s="56">
        <f>IF(Compila!$A76="","",Compila!$E76)</f>
        <v/>
      </c>
      <c r="G66" s="57">
        <f>IF($A66="","",IF(IFERROR(VALUE($D66),0)&lt;&gt;1,"NO",IF(IFERROR(VALUE($O66),0)&gt;=Parametri!$B$2,"SI","NO")))</f>
        <v/>
      </c>
      <c r="H66" s="57">
        <f>IF($G66="SI",SUMPRODUCT(MAX(($C$2:$C$81=$C66)*(IFERROR($D$2:$D$81*1,0)=1)*(IFERROR($O$2:$O$81*1,0)&gt;=Parametri!$B$2)*IFERROR($F$2:$F$81*1,0))),0)</f>
        <v/>
      </c>
      <c r="I66" s="57">
        <f>IF($G66="SI",IF($H66&gt;0,30*(IFERROR($F66*1,0)/$H66),0),0)</f>
        <v/>
      </c>
      <c r="J66" s="57">
        <f>IF($A66="",0,IF($G66="SI",ROUND(IFERROR($E66*1,0)+$I66,4),ROUND(IFERROR($E66*1,0),4)))</f>
        <v/>
      </c>
      <c r="K66" s="57">
        <f>IF($A66="","",IF(IFERROR(VALUE($D66),0)&lt;&gt;1,"Non attiva",IF(IFERROR(VALUE($O66),0)&lt;Parametri!$B$2,"Sotto soglia","")))</f>
        <v/>
      </c>
      <c r="L66" s="57">
        <f>IF($A66="","",$A66&amp;"|"&amp;$C66)</f>
        <v/>
      </c>
      <c r="M66" s="57">
        <f>IF($A66="","",$C66&amp;"|"&amp;TEXT($J66,"0.0000"))</f>
        <v/>
      </c>
      <c r="N66" s="57" t="n"/>
      <c r="O66" s="57">
        <f>IF($A66="",0,IFERROR(IF(SUMIFS(CriteriTecnici!$O:$O,CriteriTecnici!$Q:$Q,$A66&amp;"|"&amp;$C66)&gt;0,SUMIFS(CriteriTecnici!$O:$O,CriteriTecnici!$Q:$Q,$A66&amp;"|"&amp;$C66,CriteriTecnici!$F:$F,"Q")+SUMIFS(CriteriTecnici!$O:$O,CriteriTecnici!$Q:$Q,$A66&amp;"|"&amp;$C66,CriteriTecnici!$F:$F,"T"),IFERROR($N66*1,0)),0))</f>
        <v/>
      </c>
      <c r="P66" s="57">
        <f>IF($A66="","",IF(SUMIFS(CriteriTecnici!$O:$O,CriteriTecnici!$Q:$Q,$A66&amp;"|"&amp;$C66)&gt;0,"Criteri A-G","Aggregato"))</f>
        <v/>
      </c>
    </row>
    <row r="67">
      <c r="A67" s="56">
        <f>IF(Compila!$A77="","",Compila!$A77)</f>
        <v/>
      </c>
      <c r="B67" s="56">
        <f>IF(Compila!$A77="","",Compila!$B77)</f>
        <v/>
      </c>
      <c r="C67" s="56">
        <f>IF(Compila!$A77="","",Compila!$C77)</f>
        <v/>
      </c>
      <c r="D67" s="56">
        <f>IF(Compila!$A77="","",Compila!$D77)</f>
        <v/>
      </c>
      <c r="E67" s="57">
        <f>IF($A67="",0,IFERROR(IF(SUMIFS(CriteriTecnici!$O:$O,CriteriTecnici!$Q:$Q,$A67&amp;"|"&amp;$C67)&gt;0,IF($G67="SI",ROUND(IF(SUMPRODUCT(MAX((CriteriTecnici!$C$5:$C$2484=$C67)*(CriteriTecnici!$E$5:$E$2484="A")*(CriteriTecnici!$T$5:$T$2484="SI")*IFERROR(CriteriTecnici!$O$5:$O$2484*1,0)))&gt;0,MIN(7,SUMIFS(CriteriTecnici!$O:$O,CriteriTecnici!$Q:$Q,$A67&amp;"|"&amp;$C67,CriteriTecnici!$E:$E,"A")*(7/SUMPRODUCT(MAX((CriteriTecnici!$C$5:$C$2484=$C67)*(CriteriTecnici!$E$5:$E$2484="A")*(CriteriTecnici!$T$5:$T$2484="SI")*IFERROR(CriteriTecnici!$O$5:$O$2484*1,0))))),0)+IF(SUMPRODUCT(MAX((CriteriTecnici!$C$5:$C$2484=$C67)*(CriteriTecnici!$E$5:$E$2484="B")*(CriteriTecnici!$T$5:$T$2484="SI")*IFERROR(CriteriTecnici!$O$5:$O$2484*1,0)))&gt;0,MIN(14,SUMIFS(CriteriTecnici!$O:$O,CriteriTecnici!$Q:$Q,$A67&amp;"|"&amp;$C67,CriteriTecnici!$E:$E,"B")*(14/SUMPRODUCT(MAX((CriteriTecnici!$C$5:$C$2484=$C67)*(CriteriTecnici!$E$5:$E$2484="B")*(CriteriTecnici!$T$5:$T$2484="SI")*IFERROR(CriteriTecnici!$O$5:$O$2484*1,0))))),0)+IF(SUMPRODUCT(MAX((CriteriTecnici!$C$5:$C$2484=$C67)*(CriteriTecnici!$E$5:$E$2484="C")*(CriteriTecnici!$T$5:$T$2484="SI")*IFERROR(CriteriTecnici!$O$5:$O$2484*1,0)))&gt;0,MIN(14,SUMIFS(CriteriTecnici!$O:$O,CriteriTecnici!$Q:$Q,$A67&amp;"|"&amp;$C67,CriteriTecnici!$E:$E,"C")*(14/SUMPRODUCT(MAX((CriteriTecnici!$C$5:$C$2484=$C67)*(CriteriTecnici!$E$5:$E$2484="C")*(CriteriTecnici!$T$5:$T$2484="SI")*IFERROR(CriteriTecnici!$O$5:$O$2484*1,0))))),0)+IF(SUMPRODUCT(MAX((CriteriTecnici!$C$5:$C$2484=$C67)*(CriteriTecnici!$E$5:$E$2484="D")*(CriteriTecnici!$T$5:$T$2484="SI")*IFERROR(CriteriTecnici!$O$5:$O$2484*1,0)))&gt;0,MIN(10,SUMIFS(CriteriTecnici!$O:$O,CriteriTecnici!$Q:$Q,$A67&amp;"|"&amp;$C67,CriteriTecnici!$E:$E,"D")*(10/SUMPRODUCT(MAX((CriteriTecnici!$C$5:$C$2484=$C67)*(CriteriTecnici!$E$5:$E$2484="D")*(CriteriTecnici!$T$5:$T$2484="SI")*IFERROR(CriteriTecnici!$O$5:$O$2484*1,0))))),0)+IF(SUMPRODUCT(MAX((CriteriTecnici!$C$5:$C$2484=$C67)*(CriteriTecnici!$E$5:$E$2484="E")*(CriteriTecnici!$T$5:$T$2484="SI")*IFERROR(CriteriTecnici!$O$5:$O$2484*1,0)))&gt;0,MIN(4,SUMIFS(CriteriTecnici!$O:$O,CriteriTecnici!$Q:$Q,$A67&amp;"|"&amp;$C67,CriteriTecnici!$E:$E,"E")*(4/SUMPRODUCT(MAX((CriteriTecnici!$C$5:$C$2484=$C67)*(CriteriTecnici!$E$5:$E$2484="E")*(CriteriTecnici!$T$5:$T$2484="SI")*IFERROR(CriteriTecnici!$O$5:$O$2484*1,0))))),0)+IF(SUMPRODUCT(MAX((CriteriTecnici!$C$5:$C$2484=$C67)*(CriteriTecnici!$E$5:$E$2484="F")*(CriteriTecnici!$T$5:$T$2484="SI")*IFERROR(CriteriTecnici!$O$5:$O$2484*1,0)))&gt;0,MIN(14,SUMIFS(CriteriTecnici!$O:$O,CriteriTecnici!$Q:$Q,$A67&amp;"|"&amp;$C67,CriteriTecnici!$E:$E,"F")*(14/SUMPRODUCT(MAX((CriteriTecnici!$C$5:$C$2484=$C67)*(CriteriTecnici!$E$5:$E$2484="F")*(CriteriTecnici!$T$5:$T$2484="SI")*IFERROR(CriteriTecnici!$O$5:$O$2484*1,0))))),0)+IF(SUMPRODUCT(MAX((CriteriTecnici!$C$5:$C$2484=$C67)*(CriteriTecnici!$E$5:$E$2484="G")*(CriteriTecnici!$T$5:$T$2484="SI")*IFERROR(CriteriTecnici!$O$5:$O$2484*1,0)))&gt;0,MIN(7,SUMIFS(CriteriTecnici!$O:$O,CriteriTecnici!$Q:$Q,$A67&amp;"|"&amp;$C67,CriteriTecnici!$E:$E,"G")*(7/SUMPRODUCT(MAX((CriteriTecnici!$C$5:$C$2484=$C67)*(CriteriTecnici!$E$5:$E$2484="G")*(CriteriTecnici!$T$5:$T$2484="SI")*IFERROR(CriteriTecnici!$O$5:$O$2484*1,0))))),0),4),0),IFERROR($N67*1,0)),0))</f>
        <v/>
      </c>
      <c r="F67" s="56">
        <f>IF(Compila!$A77="","",Compila!$E77)</f>
        <v/>
      </c>
      <c r="G67" s="57">
        <f>IF($A67="","",IF(IFERROR(VALUE($D67),0)&lt;&gt;1,"NO",IF(IFERROR(VALUE($O67),0)&gt;=Parametri!$B$2,"SI","NO")))</f>
        <v/>
      </c>
      <c r="H67" s="57">
        <f>IF($G67="SI",SUMPRODUCT(MAX(($C$2:$C$81=$C67)*(IFERROR($D$2:$D$81*1,0)=1)*(IFERROR($O$2:$O$81*1,0)&gt;=Parametri!$B$2)*IFERROR($F$2:$F$81*1,0))),0)</f>
        <v/>
      </c>
      <c r="I67" s="57">
        <f>IF($G67="SI",IF($H67&gt;0,30*(IFERROR($F67*1,0)/$H67),0),0)</f>
        <v/>
      </c>
      <c r="J67" s="57">
        <f>IF($A67="",0,IF($G67="SI",ROUND(IFERROR($E67*1,0)+$I67,4),ROUND(IFERROR($E67*1,0),4)))</f>
        <v/>
      </c>
      <c r="K67" s="57">
        <f>IF($A67="","",IF(IFERROR(VALUE($D67),0)&lt;&gt;1,"Non attiva",IF(IFERROR(VALUE($O67),0)&lt;Parametri!$B$2,"Sotto soglia","")))</f>
        <v/>
      </c>
      <c r="L67" s="57">
        <f>IF($A67="","",$A67&amp;"|"&amp;$C67)</f>
        <v/>
      </c>
      <c r="M67" s="57">
        <f>IF($A67="","",$C67&amp;"|"&amp;TEXT($J67,"0.0000"))</f>
        <v/>
      </c>
      <c r="N67" s="57" t="n"/>
      <c r="O67" s="57">
        <f>IF($A67="",0,IFERROR(IF(SUMIFS(CriteriTecnici!$O:$O,CriteriTecnici!$Q:$Q,$A67&amp;"|"&amp;$C67)&gt;0,SUMIFS(CriteriTecnici!$O:$O,CriteriTecnici!$Q:$Q,$A67&amp;"|"&amp;$C67,CriteriTecnici!$F:$F,"Q")+SUMIFS(CriteriTecnici!$O:$O,CriteriTecnici!$Q:$Q,$A67&amp;"|"&amp;$C67,CriteriTecnici!$F:$F,"T"),IFERROR($N67*1,0)),0))</f>
        <v/>
      </c>
      <c r="P67" s="57">
        <f>IF($A67="","",IF(SUMIFS(CriteriTecnici!$O:$O,CriteriTecnici!$Q:$Q,$A67&amp;"|"&amp;$C67)&gt;0,"Criteri A-G","Aggregato"))</f>
        <v/>
      </c>
    </row>
    <row r="68">
      <c r="A68" s="56">
        <f>IF(Compila!$A78="","",Compila!$A78)</f>
        <v/>
      </c>
      <c r="B68" s="56">
        <f>IF(Compila!$A78="","",Compila!$B78)</f>
        <v/>
      </c>
      <c r="C68" s="56">
        <f>IF(Compila!$A78="","",Compila!$C78)</f>
        <v/>
      </c>
      <c r="D68" s="56">
        <f>IF(Compila!$A78="","",Compila!$D78)</f>
        <v/>
      </c>
      <c r="E68" s="57">
        <f>IF($A68="",0,IFERROR(IF(SUMIFS(CriteriTecnici!$O:$O,CriteriTecnici!$Q:$Q,$A68&amp;"|"&amp;$C68)&gt;0,IF($G68="SI",ROUND(IF(SUMPRODUCT(MAX((CriteriTecnici!$C$5:$C$2484=$C68)*(CriteriTecnici!$E$5:$E$2484="A")*(CriteriTecnici!$T$5:$T$2484="SI")*IFERROR(CriteriTecnici!$O$5:$O$2484*1,0)))&gt;0,MIN(7,SUMIFS(CriteriTecnici!$O:$O,CriteriTecnici!$Q:$Q,$A68&amp;"|"&amp;$C68,CriteriTecnici!$E:$E,"A")*(7/SUMPRODUCT(MAX((CriteriTecnici!$C$5:$C$2484=$C68)*(CriteriTecnici!$E$5:$E$2484="A")*(CriteriTecnici!$T$5:$T$2484="SI")*IFERROR(CriteriTecnici!$O$5:$O$2484*1,0))))),0)+IF(SUMPRODUCT(MAX((CriteriTecnici!$C$5:$C$2484=$C68)*(CriteriTecnici!$E$5:$E$2484="B")*(CriteriTecnici!$T$5:$T$2484="SI")*IFERROR(CriteriTecnici!$O$5:$O$2484*1,0)))&gt;0,MIN(14,SUMIFS(CriteriTecnici!$O:$O,CriteriTecnici!$Q:$Q,$A68&amp;"|"&amp;$C68,CriteriTecnici!$E:$E,"B")*(14/SUMPRODUCT(MAX((CriteriTecnici!$C$5:$C$2484=$C68)*(CriteriTecnici!$E$5:$E$2484="B")*(CriteriTecnici!$T$5:$T$2484="SI")*IFERROR(CriteriTecnici!$O$5:$O$2484*1,0))))),0)+IF(SUMPRODUCT(MAX((CriteriTecnici!$C$5:$C$2484=$C68)*(CriteriTecnici!$E$5:$E$2484="C")*(CriteriTecnici!$T$5:$T$2484="SI")*IFERROR(CriteriTecnici!$O$5:$O$2484*1,0)))&gt;0,MIN(14,SUMIFS(CriteriTecnici!$O:$O,CriteriTecnici!$Q:$Q,$A68&amp;"|"&amp;$C68,CriteriTecnici!$E:$E,"C")*(14/SUMPRODUCT(MAX((CriteriTecnici!$C$5:$C$2484=$C68)*(CriteriTecnici!$E$5:$E$2484="C")*(CriteriTecnici!$T$5:$T$2484="SI")*IFERROR(CriteriTecnici!$O$5:$O$2484*1,0))))),0)+IF(SUMPRODUCT(MAX((CriteriTecnici!$C$5:$C$2484=$C68)*(CriteriTecnici!$E$5:$E$2484="D")*(CriteriTecnici!$T$5:$T$2484="SI")*IFERROR(CriteriTecnici!$O$5:$O$2484*1,0)))&gt;0,MIN(10,SUMIFS(CriteriTecnici!$O:$O,CriteriTecnici!$Q:$Q,$A68&amp;"|"&amp;$C68,CriteriTecnici!$E:$E,"D")*(10/SUMPRODUCT(MAX((CriteriTecnici!$C$5:$C$2484=$C68)*(CriteriTecnici!$E$5:$E$2484="D")*(CriteriTecnici!$T$5:$T$2484="SI")*IFERROR(CriteriTecnici!$O$5:$O$2484*1,0))))),0)+IF(SUMPRODUCT(MAX((CriteriTecnici!$C$5:$C$2484=$C68)*(CriteriTecnici!$E$5:$E$2484="E")*(CriteriTecnici!$T$5:$T$2484="SI")*IFERROR(CriteriTecnici!$O$5:$O$2484*1,0)))&gt;0,MIN(4,SUMIFS(CriteriTecnici!$O:$O,CriteriTecnici!$Q:$Q,$A68&amp;"|"&amp;$C68,CriteriTecnici!$E:$E,"E")*(4/SUMPRODUCT(MAX((CriteriTecnici!$C$5:$C$2484=$C68)*(CriteriTecnici!$E$5:$E$2484="E")*(CriteriTecnici!$T$5:$T$2484="SI")*IFERROR(CriteriTecnici!$O$5:$O$2484*1,0))))),0)+IF(SUMPRODUCT(MAX((CriteriTecnici!$C$5:$C$2484=$C68)*(CriteriTecnici!$E$5:$E$2484="F")*(CriteriTecnici!$T$5:$T$2484="SI")*IFERROR(CriteriTecnici!$O$5:$O$2484*1,0)))&gt;0,MIN(14,SUMIFS(CriteriTecnici!$O:$O,CriteriTecnici!$Q:$Q,$A68&amp;"|"&amp;$C68,CriteriTecnici!$E:$E,"F")*(14/SUMPRODUCT(MAX((CriteriTecnici!$C$5:$C$2484=$C68)*(CriteriTecnici!$E$5:$E$2484="F")*(CriteriTecnici!$T$5:$T$2484="SI")*IFERROR(CriteriTecnici!$O$5:$O$2484*1,0))))),0)+IF(SUMPRODUCT(MAX((CriteriTecnici!$C$5:$C$2484=$C68)*(CriteriTecnici!$E$5:$E$2484="G")*(CriteriTecnici!$T$5:$T$2484="SI")*IFERROR(CriteriTecnici!$O$5:$O$2484*1,0)))&gt;0,MIN(7,SUMIFS(CriteriTecnici!$O:$O,CriteriTecnici!$Q:$Q,$A68&amp;"|"&amp;$C68,CriteriTecnici!$E:$E,"G")*(7/SUMPRODUCT(MAX((CriteriTecnici!$C$5:$C$2484=$C68)*(CriteriTecnici!$E$5:$E$2484="G")*(CriteriTecnici!$T$5:$T$2484="SI")*IFERROR(CriteriTecnici!$O$5:$O$2484*1,0))))),0),4),0),IFERROR($N68*1,0)),0))</f>
        <v/>
      </c>
      <c r="F68" s="56">
        <f>IF(Compila!$A78="","",Compila!$E78)</f>
        <v/>
      </c>
      <c r="G68" s="57">
        <f>IF($A68="","",IF(IFERROR(VALUE($D68),0)&lt;&gt;1,"NO",IF(IFERROR(VALUE($O68),0)&gt;=Parametri!$B$2,"SI","NO")))</f>
        <v/>
      </c>
      <c r="H68" s="57">
        <f>IF($G68="SI",SUMPRODUCT(MAX(($C$2:$C$81=$C68)*(IFERROR($D$2:$D$81*1,0)=1)*(IFERROR($O$2:$O$81*1,0)&gt;=Parametri!$B$2)*IFERROR($F$2:$F$81*1,0))),0)</f>
        <v/>
      </c>
      <c r="I68" s="57">
        <f>IF($G68="SI",IF($H68&gt;0,30*(IFERROR($F68*1,0)/$H68),0),0)</f>
        <v/>
      </c>
      <c r="J68" s="57">
        <f>IF($A68="",0,IF($G68="SI",ROUND(IFERROR($E68*1,0)+$I68,4),ROUND(IFERROR($E68*1,0),4)))</f>
        <v/>
      </c>
      <c r="K68" s="57">
        <f>IF($A68="","",IF(IFERROR(VALUE($D68),0)&lt;&gt;1,"Non attiva",IF(IFERROR(VALUE($O68),0)&lt;Parametri!$B$2,"Sotto soglia","")))</f>
        <v/>
      </c>
      <c r="L68" s="57">
        <f>IF($A68="","",$A68&amp;"|"&amp;$C68)</f>
        <v/>
      </c>
      <c r="M68" s="57">
        <f>IF($A68="","",$C68&amp;"|"&amp;TEXT($J68,"0.0000"))</f>
        <v/>
      </c>
      <c r="N68" s="57" t="n"/>
      <c r="O68" s="57">
        <f>IF($A68="",0,IFERROR(IF(SUMIFS(CriteriTecnici!$O:$O,CriteriTecnici!$Q:$Q,$A68&amp;"|"&amp;$C68)&gt;0,SUMIFS(CriteriTecnici!$O:$O,CriteriTecnici!$Q:$Q,$A68&amp;"|"&amp;$C68,CriteriTecnici!$F:$F,"Q")+SUMIFS(CriteriTecnici!$O:$O,CriteriTecnici!$Q:$Q,$A68&amp;"|"&amp;$C68,CriteriTecnici!$F:$F,"T"),IFERROR($N68*1,0)),0))</f>
        <v/>
      </c>
      <c r="P68" s="57">
        <f>IF($A68="","",IF(SUMIFS(CriteriTecnici!$O:$O,CriteriTecnici!$Q:$Q,$A68&amp;"|"&amp;$C68)&gt;0,"Criteri A-G","Aggregato"))</f>
        <v/>
      </c>
    </row>
    <row r="69">
      <c r="A69" s="56">
        <f>IF(Compila!$A79="","",Compila!$A79)</f>
        <v/>
      </c>
      <c r="B69" s="56">
        <f>IF(Compila!$A79="","",Compila!$B79)</f>
        <v/>
      </c>
      <c r="C69" s="56">
        <f>IF(Compila!$A79="","",Compila!$C79)</f>
        <v/>
      </c>
      <c r="D69" s="56">
        <f>IF(Compila!$A79="","",Compila!$D79)</f>
        <v/>
      </c>
      <c r="E69" s="57">
        <f>IF($A69="",0,IFERROR(IF(SUMIFS(CriteriTecnici!$O:$O,CriteriTecnici!$Q:$Q,$A69&amp;"|"&amp;$C69)&gt;0,IF($G69="SI",ROUND(IF(SUMPRODUCT(MAX((CriteriTecnici!$C$5:$C$2484=$C69)*(CriteriTecnici!$E$5:$E$2484="A")*(CriteriTecnici!$T$5:$T$2484="SI")*IFERROR(CriteriTecnici!$O$5:$O$2484*1,0)))&gt;0,MIN(7,SUMIFS(CriteriTecnici!$O:$O,CriteriTecnici!$Q:$Q,$A69&amp;"|"&amp;$C69,CriteriTecnici!$E:$E,"A")*(7/SUMPRODUCT(MAX((CriteriTecnici!$C$5:$C$2484=$C69)*(CriteriTecnici!$E$5:$E$2484="A")*(CriteriTecnici!$T$5:$T$2484="SI")*IFERROR(CriteriTecnici!$O$5:$O$2484*1,0))))),0)+IF(SUMPRODUCT(MAX((CriteriTecnici!$C$5:$C$2484=$C69)*(CriteriTecnici!$E$5:$E$2484="B")*(CriteriTecnici!$T$5:$T$2484="SI")*IFERROR(CriteriTecnici!$O$5:$O$2484*1,0)))&gt;0,MIN(14,SUMIFS(CriteriTecnici!$O:$O,CriteriTecnici!$Q:$Q,$A69&amp;"|"&amp;$C69,CriteriTecnici!$E:$E,"B")*(14/SUMPRODUCT(MAX((CriteriTecnici!$C$5:$C$2484=$C69)*(CriteriTecnici!$E$5:$E$2484="B")*(CriteriTecnici!$T$5:$T$2484="SI")*IFERROR(CriteriTecnici!$O$5:$O$2484*1,0))))),0)+IF(SUMPRODUCT(MAX((CriteriTecnici!$C$5:$C$2484=$C69)*(CriteriTecnici!$E$5:$E$2484="C")*(CriteriTecnici!$T$5:$T$2484="SI")*IFERROR(CriteriTecnici!$O$5:$O$2484*1,0)))&gt;0,MIN(14,SUMIFS(CriteriTecnici!$O:$O,CriteriTecnici!$Q:$Q,$A69&amp;"|"&amp;$C69,CriteriTecnici!$E:$E,"C")*(14/SUMPRODUCT(MAX((CriteriTecnici!$C$5:$C$2484=$C69)*(CriteriTecnici!$E$5:$E$2484="C")*(CriteriTecnici!$T$5:$T$2484="SI")*IFERROR(CriteriTecnici!$O$5:$O$2484*1,0))))),0)+IF(SUMPRODUCT(MAX((CriteriTecnici!$C$5:$C$2484=$C69)*(CriteriTecnici!$E$5:$E$2484="D")*(CriteriTecnici!$T$5:$T$2484="SI")*IFERROR(CriteriTecnici!$O$5:$O$2484*1,0)))&gt;0,MIN(10,SUMIFS(CriteriTecnici!$O:$O,CriteriTecnici!$Q:$Q,$A69&amp;"|"&amp;$C69,CriteriTecnici!$E:$E,"D")*(10/SUMPRODUCT(MAX((CriteriTecnici!$C$5:$C$2484=$C69)*(CriteriTecnici!$E$5:$E$2484="D")*(CriteriTecnici!$T$5:$T$2484="SI")*IFERROR(CriteriTecnici!$O$5:$O$2484*1,0))))),0)+IF(SUMPRODUCT(MAX((CriteriTecnici!$C$5:$C$2484=$C69)*(CriteriTecnici!$E$5:$E$2484="E")*(CriteriTecnici!$T$5:$T$2484="SI")*IFERROR(CriteriTecnici!$O$5:$O$2484*1,0)))&gt;0,MIN(4,SUMIFS(CriteriTecnici!$O:$O,CriteriTecnici!$Q:$Q,$A69&amp;"|"&amp;$C69,CriteriTecnici!$E:$E,"E")*(4/SUMPRODUCT(MAX((CriteriTecnici!$C$5:$C$2484=$C69)*(CriteriTecnici!$E$5:$E$2484="E")*(CriteriTecnici!$T$5:$T$2484="SI")*IFERROR(CriteriTecnici!$O$5:$O$2484*1,0))))),0)+IF(SUMPRODUCT(MAX((CriteriTecnici!$C$5:$C$2484=$C69)*(CriteriTecnici!$E$5:$E$2484="F")*(CriteriTecnici!$T$5:$T$2484="SI")*IFERROR(CriteriTecnici!$O$5:$O$2484*1,0)))&gt;0,MIN(14,SUMIFS(CriteriTecnici!$O:$O,CriteriTecnici!$Q:$Q,$A69&amp;"|"&amp;$C69,CriteriTecnici!$E:$E,"F")*(14/SUMPRODUCT(MAX((CriteriTecnici!$C$5:$C$2484=$C69)*(CriteriTecnici!$E$5:$E$2484="F")*(CriteriTecnici!$T$5:$T$2484="SI")*IFERROR(CriteriTecnici!$O$5:$O$2484*1,0))))),0)+IF(SUMPRODUCT(MAX((CriteriTecnici!$C$5:$C$2484=$C69)*(CriteriTecnici!$E$5:$E$2484="G")*(CriteriTecnici!$T$5:$T$2484="SI")*IFERROR(CriteriTecnici!$O$5:$O$2484*1,0)))&gt;0,MIN(7,SUMIFS(CriteriTecnici!$O:$O,CriteriTecnici!$Q:$Q,$A69&amp;"|"&amp;$C69,CriteriTecnici!$E:$E,"G")*(7/SUMPRODUCT(MAX((CriteriTecnici!$C$5:$C$2484=$C69)*(CriteriTecnici!$E$5:$E$2484="G")*(CriteriTecnici!$T$5:$T$2484="SI")*IFERROR(CriteriTecnici!$O$5:$O$2484*1,0))))),0),4),0),IFERROR($N69*1,0)),0))</f>
        <v/>
      </c>
      <c r="F69" s="56">
        <f>IF(Compila!$A79="","",Compila!$E79)</f>
        <v/>
      </c>
      <c r="G69" s="57">
        <f>IF($A69="","",IF(IFERROR(VALUE($D69),0)&lt;&gt;1,"NO",IF(IFERROR(VALUE($O69),0)&gt;=Parametri!$B$2,"SI","NO")))</f>
        <v/>
      </c>
      <c r="H69" s="57">
        <f>IF($G69="SI",SUMPRODUCT(MAX(($C$2:$C$81=$C69)*(IFERROR($D$2:$D$81*1,0)=1)*(IFERROR($O$2:$O$81*1,0)&gt;=Parametri!$B$2)*IFERROR($F$2:$F$81*1,0))),0)</f>
        <v/>
      </c>
      <c r="I69" s="57">
        <f>IF($G69="SI",IF($H69&gt;0,30*(IFERROR($F69*1,0)/$H69),0),0)</f>
        <v/>
      </c>
      <c r="J69" s="57">
        <f>IF($A69="",0,IF($G69="SI",ROUND(IFERROR($E69*1,0)+$I69,4),ROUND(IFERROR($E69*1,0),4)))</f>
        <v/>
      </c>
      <c r="K69" s="57">
        <f>IF($A69="","",IF(IFERROR(VALUE($D69),0)&lt;&gt;1,"Non attiva",IF(IFERROR(VALUE($O69),0)&lt;Parametri!$B$2,"Sotto soglia","")))</f>
        <v/>
      </c>
      <c r="L69" s="57">
        <f>IF($A69="","",$A69&amp;"|"&amp;$C69)</f>
        <v/>
      </c>
      <c r="M69" s="57">
        <f>IF($A69="","",$C69&amp;"|"&amp;TEXT($J69,"0.0000"))</f>
        <v/>
      </c>
      <c r="N69" s="57" t="n"/>
      <c r="O69" s="57">
        <f>IF($A69="",0,IFERROR(IF(SUMIFS(CriteriTecnici!$O:$O,CriteriTecnici!$Q:$Q,$A69&amp;"|"&amp;$C69)&gt;0,SUMIFS(CriteriTecnici!$O:$O,CriteriTecnici!$Q:$Q,$A69&amp;"|"&amp;$C69,CriteriTecnici!$F:$F,"Q")+SUMIFS(CriteriTecnici!$O:$O,CriteriTecnici!$Q:$Q,$A69&amp;"|"&amp;$C69,CriteriTecnici!$F:$F,"T"),IFERROR($N69*1,0)),0))</f>
        <v/>
      </c>
      <c r="P69" s="57">
        <f>IF($A69="","",IF(SUMIFS(CriteriTecnici!$O:$O,CriteriTecnici!$Q:$Q,$A69&amp;"|"&amp;$C69)&gt;0,"Criteri A-G","Aggregato"))</f>
        <v/>
      </c>
    </row>
    <row r="70">
      <c r="A70" s="56">
        <f>IF(Compila!$A80="","",Compila!$A80)</f>
        <v/>
      </c>
      <c r="B70" s="56">
        <f>IF(Compila!$A80="","",Compila!$B80)</f>
        <v/>
      </c>
      <c r="C70" s="56">
        <f>IF(Compila!$A80="","",Compila!$C80)</f>
        <v/>
      </c>
      <c r="D70" s="56">
        <f>IF(Compila!$A80="","",Compila!$D80)</f>
        <v/>
      </c>
      <c r="E70" s="57">
        <f>IF($A70="",0,IFERROR(IF(SUMIFS(CriteriTecnici!$O:$O,CriteriTecnici!$Q:$Q,$A70&amp;"|"&amp;$C70)&gt;0,IF($G70="SI",ROUND(IF(SUMPRODUCT(MAX((CriteriTecnici!$C$5:$C$2484=$C70)*(CriteriTecnici!$E$5:$E$2484="A")*(CriteriTecnici!$T$5:$T$2484="SI")*IFERROR(CriteriTecnici!$O$5:$O$2484*1,0)))&gt;0,MIN(7,SUMIFS(CriteriTecnici!$O:$O,CriteriTecnici!$Q:$Q,$A70&amp;"|"&amp;$C70,CriteriTecnici!$E:$E,"A")*(7/SUMPRODUCT(MAX((CriteriTecnici!$C$5:$C$2484=$C70)*(CriteriTecnici!$E$5:$E$2484="A")*(CriteriTecnici!$T$5:$T$2484="SI")*IFERROR(CriteriTecnici!$O$5:$O$2484*1,0))))),0)+IF(SUMPRODUCT(MAX((CriteriTecnici!$C$5:$C$2484=$C70)*(CriteriTecnici!$E$5:$E$2484="B")*(CriteriTecnici!$T$5:$T$2484="SI")*IFERROR(CriteriTecnici!$O$5:$O$2484*1,0)))&gt;0,MIN(14,SUMIFS(CriteriTecnici!$O:$O,CriteriTecnici!$Q:$Q,$A70&amp;"|"&amp;$C70,CriteriTecnici!$E:$E,"B")*(14/SUMPRODUCT(MAX((CriteriTecnici!$C$5:$C$2484=$C70)*(CriteriTecnici!$E$5:$E$2484="B")*(CriteriTecnici!$T$5:$T$2484="SI")*IFERROR(CriteriTecnici!$O$5:$O$2484*1,0))))),0)+IF(SUMPRODUCT(MAX((CriteriTecnici!$C$5:$C$2484=$C70)*(CriteriTecnici!$E$5:$E$2484="C")*(CriteriTecnici!$T$5:$T$2484="SI")*IFERROR(CriteriTecnici!$O$5:$O$2484*1,0)))&gt;0,MIN(14,SUMIFS(CriteriTecnici!$O:$O,CriteriTecnici!$Q:$Q,$A70&amp;"|"&amp;$C70,CriteriTecnici!$E:$E,"C")*(14/SUMPRODUCT(MAX((CriteriTecnici!$C$5:$C$2484=$C70)*(CriteriTecnici!$E$5:$E$2484="C")*(CriteriTecnici!$T$5:$T$2484="SI")*IFERROR(CriteriTecnici!$O$5:$O$2484*1,0))))),0)+IF(SUMPRODUCT(MAX((CriteriTecnici!$C$5:$C$2484=$C70)*(CriteriTecnici!$E$5:$E$2484="D")*(CriteriTecnici!$T$5:$T$2484="SI")*IFERROR(CriteriTecnici!$O$5:$O$2484*1,0)))&gt;0,MIN(10,SUMIFS(CriteriTecnici!$O:$O,CriteriTecnici!$Q:$Q,$A70&amp;"|"&amp;$C70,CriteriTecnici!$E:$E,"D")*(10/SUMPRODUCT(MAX((CriteriTecnici!$C$5:$C$2484=$C70)*(CriteriTecnici!$E$5:$E$2484="D")*(CriteriTecnici!$T$5:$T$2484="SI")*IFERROR(CriteriTecnici!$O$5:$O$2484*1,0))))),0)+IF(SUMPRODUCT(MAX((CriteriTecnici!$C$5:$C$2484=$C70)*(CriteriTecnici!$E$5:$E$2484="E")*(CriteriTecnici!$T$5:$T$2484="SI")*IFERROR(CriteriTecnici!$O$5:$O$2484*1,0)))&gt;0,MIN(4,SUMIFS(CriteriTecnici!$O:$O,CriteriTecnici!$Q:$Q,$A70&amp;"|"&amp;$C70,CriteriTecnici!$E:$E,"E")*(4/SUMPRODUCT(MAX((CriteriTecnici!$C$5:$C$2484=$C70)*(CriteriTecnici!$E$5:$E$2484="E")*(CriteriTecnici!$T$5:$T$2484="SI")*IFERROR(CriteriTecnici!$O$5:$O$2484*1,0))))),0)+IF(SUMPRODUCT(MAX((CriteriTecnici!$C$5:$C$2484=$C70)*(CriteriTecnici!$E$5:$E$2484="F")*(CriteriTecnici!$T$5:$T$2484="SI")*IFERROR(CriteriTecnici!$O$5:$O$2484*1,0)))&gt;0,MIN(14,SUMIFS(CriteriTecnici!$O:$O,CriteriTecnici!$Q:$Q,$A70&amp;"|"&amp;$C70,CriteriTecnici!$E:$E,"F")*(14/SUMPRODUCT(MAX((CriteriTecnici!$C$5:$C$2484=$C70)*(CriteriTecnici!$E$5:$E$2484="F")*(CriteriTecnici!$T$5:$T$2484="SI")*IFERROR(CriteriTecnici!$O$5:$O$2484*1,0))))),0)+IF(SUMPRODUCT(MAX((CriteriTecnici!$C$5:$C$2484=$C70)*(CriteriTecnici!$E$5:$E$2484="G")*(CriteriTecnici!$T$5:$T$2484="SI")*IFERROR(CriteriTecnici!$O$5:$O$2484*1,0)))&gt;0,MIN(7,SUMIFS(CriteriTecnici!$O:$O,CriteriTecnici!$Q:$Q,$A70&amp;"|"&amp;$C70,CriteriTecnici!$E:$E,"G")*(7/SUMPRODUCT(MAX((CriteriTecnici!$C$5:$C$2484=$C70)*(CriteriTecnici!$E$5:$E$2484="G")*(CriteriTecnici!$T$5:$T$2484="SI")*IFERROR(CriteriTecnici!$O$5:$O$2484*1,0))))),0),4),0),IFERROR($N70*1,0)),0))</f>
        <v/>
      </c>
      <c r="F70" s="56">
        <f>IF(Compila!$A80="","",Compila!$E80)</f>
        <v/>
      </c>
      <c r="G70" s="57">
        <f>IF($A70="","",IF(IFERROR(VALUE($D70),0)&lt;&gt;1,"NO",IF(IFERROR(VALUE($O70),0)&gt;=Parametri!$B$2,"SI","NO")))</f>
        <v/>
      </c>
      <c r="H70" s="57">
        <f>IF($G70="SI",SUMPRODUCT(MAX(($C$2:$C$81=$C70)*(IFERROR($D$2:$D$81*1,0)=1)*(IFERROR($O$2:$O$81*1,0)&gt;=Parametri!$B$2)*IFERROR($F$2:$F$81*1,0))),0)</f>
        <v/>
      </c>
      <c r="I70" s="57">
        <f>IF($G70="SI",IF($H70&gt;0,30*(IFERROR($F70*1,0)/$H70),0),0)</f>
        <v/>
      </c>
      <c r="J70" s="57">
        <f>IF($A70="",0,IF($G70="SI",ROUND(IFERROR($E70*1,0)+$I70,4),ROUND(IFERROR($E70*1,0),4)))</f>
        <v/>
      </c>
      <c r="K70" s="57">
        <f>IF($A70="","",IF(IFERROR(VALUE($D70),0)&lt;&gt;1,"Non attiva",IF(IFERROR(VALUE($O70),0)&lt;Parametri!$B$2,"Sotto soglia","")))</f>
        <v/>
      </c>
      <c r="L70" s="57">
        <f>IF($A70="","",$A70&amp;"|"&amp;$C70)</f>
        <v/>
      </c>
      <c r="M70" s="57">
        <f>IF($A70="","",$C70&amp;"|"&amp;TEXT($J70,"0.0000"))</f>
        <v/>
      </c>
      <c r="N70" s="57" t="n"/>
      <c r="O70" s="57">
        <f>IF($A70="",0,IFERROR(IF(SUMIFS(CriteriTecnici!$O:$O,CriteriTecnici!$Q:$Q,$A70&amp;"|"&amp;$C70)&gt;0,SUMIFS(CriteriTecnici!$O:$O,CriteriTecnici!$Q:$Q,$A70&amp;"|"&amp;$C70,CriteriTecnici!$F:$F,"Q")+SUMIFS(CriteriTecnici!$O:$O,CriteriTecnici!$Q:$Q,$A70&amp;"|"&amp;$C70,CriteriTecnici!$F:$F,"T"),IFERROR($N70*1,0)),0))</f>
        <v/>
      </c>
      <c r="P70" s="57">
        <f>IF($A70="","",IF(SUMIFS(CriteriTecnici!$O:$O,CriteriTecnici!$Q:$Q,$A70&amp;"|"&amp;$C70)&gt;0,"Criteri A-G","Aggregato"))</f>
        <v/>
      </c>
    </row>
    <row r="71">
      <c r="A71" s="56">
        <f>IF(Compila!$A81="","",Compila!$A81)</f>
        <v/>
      </c>
      <c r="B71" s="56">
        <f>IF(Compila!$A81="","",Compila!$B81)</f>
        <v/>
      </c>
      <c r="C71" s="56">
        <f>IF(Compila!$A81="","",Compila!$C81)</f>
        <v/>
      </c>
      <c r="D71" s="56">
        <f>IF(Compila!$A81="","",Compila!$D81)</f>
        <v/>
      </c>
      <c r="E71" s="57">
        <f>IF($A71="",0,IFERROR(IF(SUMIFS(CriteriTecnici!$O:$O,CriteriTecnici!$Q:$Q,$A71&amp;"|"&amp;$C71)&gt;0,IF($G71="SI",ROUND(IF(SUMPRODUCT(MAX((CriteriTecnici!$C$5:$C$2484=$C71)*(CriteriTecnici!$E$5:$E$2484="A")*(CriteriTecnici!$T$5:$T$2484="SI")*IFERROR(CriteriTecnici!$O$5:$O$2484*1,0)))&gt;0,MIN(7,SUMIFS(CriteriTecnici!$O:$O,CriteriTecnici!$Q:$Q,$A71&amp;"|"&amp;$C71,CriteriTecnici!$E:$E,"A")*(7/SUMPRODUCT(MAX((CriteriTecnici!$C$5:$C$2484=$C71)*(CriteriTecnici!$E$5:$E$2484="A")*(CriteriTecnici!$T$5:$T$2484="SI")*IFERROR(CriteriTecnici!$O$5:$O$2484*1,0))))),0)+IF(SUMPRODUCT(MAX((CriteriTecnici!$C$5:$C$2484=$C71)*(CriteriTecnici!$E$5:$E$2484="B")*(CriteriTecnici!$T$5:$T$2484="SI")*IFERROR(CriteriTecnici!$O$5:$O$2484*1,0)))&gt;0,MIN(14,SUMIFS(CriteriTecnici!$O:$O,CriteriTecnici!$Q:$Q,$A71&amp;"|"&amp;$C71,CriteriTecnici!$E:$E,"B")*(14/SUMPRODUCT(MAX((CriteriTecnici!$C$5:$C$2484=$C71)*(CriteriTecnici!$E$5:$E$2484="B")*(CriteriTecnici!$T$5:$T$2484="SI")*IFERROR(CriteriTecnici!$O$5:$O$2484*1,0))))),0)+IF(SUMPRODUCT(MAX((CriteriTecnici!$C$5:$C$2484=$C71)*(CriteriTecnici!$E$5:$E$2484="C")*(CriteriTecnici!$T$5:$T$2484="SI")*IFERROR(CriteriTecnici!$O$5:$O$2484*1,0)))&gt;0,MIN(14,SUMIFS(CriteriTecnici!$O:$O,CriteriTecnici!$Q:$Q,$A71&amp;"|"&amp;$C71,CriteriTecnici!$E:$E,"C")*(14/SUMPRODUCT(MAX((CriteriTecnici!$C$5:$C$2484=$C71)*(CriteriTecnici!$E$5:$E$2484="C")*(CriteriTecnici!$T$5:$T$2484="SI")*IFERROR(CriteriTecnici!$O$5:$O$2484*1,0))))),0)+IF(SUMPRODUCT(MAX((CriteriTecnici!$C$5:$C$2484=$C71)*(CriteriTecnici!$E$5:$E$2484="D")*(CriteriTecnici!$T$5:$T$2484="SI")*IFERROR(CriteriTecnici!$O$5:$O$2484*1,0)))&gt;0,MIN(10,SUMIFS(CriteriTecnici!$O:$O,CriteriTecnici!$Q:$Q,$A71&amp;"|"&amp;$C71,CriteriTecnici!$E:$E,"D")*(10/SUMPRODUCT(MAX((CriteriTecnici!$C$5:$C$2484=$C71)*(CriteriTecnici!$E$5:$E$2484="D")*(CriteriTecnici!$T$5:$T$2484="SI")*IFERROR(CriteriTecnici!$O$5:$O$2484*1,0))))),0)+IF(SUMPRODUCT(MAX((CriteriTecnici!$C$5:$C$2484=$C71)*(CriteriTecnici!$E$5:$E$2484="E")*(CriteriTecnici!$T$5:$T$2484="SI")*IFERROR(CriteriTecnici!$O$5:$O$2484*1,0)))&gt;0,MIN(4,SUMIFS(CriteriTecnici!$O:$O,CriteriTecnici!$Q:$Q,$A71&amp;"|"&amp;$C71,CriteriTecnici!$E:$E,"E")*(4/SUMPRODUCT(MAX((CriteriTecnici!$C$5:$C$2484=$C71)*(CriteriTecnici!$E$5:$E$2484="E")*(CriteriTecnici!$T$5:$T$2484="SI")*IFERROR(CriteriTecnici!$O$5:$O$2484*1,0))))),0)+IF(SUMPRODUCT(MAX((CriteriTecnici!$C$5:$C$2484=$C71)*(CriteriTecnici!$E$5:$E$2484="F")*(CriteriTecnici!$T$5:$T$2484="SI")*IFERROR(CriteriTecnici!$O$5:$O$2484*1,0)))&gt;0,MIN(14,SUMIFS(CriteriTecnici!$O:$O,CriteriTecnici!$Q:$Q,$A71&amp;"|"&amp;$C71,CriteriTecnici!$E:$E,"F")*(14/SUMPRODUCT(MAX((CriteriTecnici!$C$5:$C$2484=$C71)*(CriteriTecnici!$E$5:$E$2484="F")*(CriteriTecnici!$T$5:$T$2484="SI")*IFERROR(CriteriTecnici!$O$5:$O$2484*1,0))))),0)+IF(SUMPRODUCT(MAX((CriteriTecnici!$C$5:$C$2484=$C71)*(CriteriTecnici!$E$5:$E$2484="G")*(CriteriTecnici!$T$5:$T$2484="SI")*IFERROR(CriteriTecnici!$O$5:$O$2484*1,0)))&gt;0,MIN(7,SUMIFS(CriteriTecnici!$O:$O,CriteriTecnici!$Q:$Q,$A71&amp;"|"&amp;$C71,CriteriTecnici!$E:$E,"G")*(7/SUMPRODUCT(MAX((CriteriTecnici!$C$5:$C$2484=$C71)*(CriteriTecnici!$E$5:$E$2484="G")*(CriteriTecnici!$T$5:$T$2484="SI")*IFERROR(CriteriTecnici!$O$5:$O$2484*1,0))))),0),4),0),IFERROR($N71*1,0)),0))</f>
        <v/>
      </c>
      <c r="F71" s="56">
        <f>IF(Compila!$A81="","",Compila!$E81)</f>
        <v/>
      </c>
      <c r="G71" s="57">
        <f>IF($A71="","",IF(IFERROR(VALUE($D71),0)&lt;&gt;1,"NO",IF(IFERROR(VALUE($O71),0)&gt;=Parametri!$B$2,"SI","NO")))</f>
        <v/>
      </c>
      <c r="H71" s="57">
        <f>IF($G71="SI",SUMPRODUCT(MAX(($C$2:$C$81=$C71)*(IFERROR($D$2:$D$81*1,0)=1)*(IFERROR($O$2:$O$81*1,0)&gt;=Parametri!$B$2)*IFERROR($F$2:$F$81*1,0))),0)</f>
        <v/>
      </c>
      <c r="I71" s="57">
        <f>IF($G71="SI",IF($H71&gt;0,30*(IFERROR($F71*1,0)/$H71),0),0)</f>
        <v/>
      </c>
      <c r="J71" s="57">
        <f>IF($A71="",0,IF($G71="SI",ROUND(IFERROR($E71*1,0)+$I71,4),ROUND(IFERROR($E71*1,0),4)))</f>
        <v/>
      </c>
      <c r="K71" s="57">
        <f>IF($A71="","",IF(IFERROR(VALUE($D71),0)&lt;&gt;1,"Non attiva",IF(IFERROR(VALUE($O71),0)&lt;Parametri!$B$2,"Sotto soglia","")))</f>
        <v/>
      </c>
      <c r="L71" s="57">
        <f>IF($A71="","",$A71&amp;"|"&amp;$C71)</f>
        <v/>
      </c>
      <c r="M71" s="57">
        <f>IF($A71="","",$C71&amp;"|"&amp;TEXT($J71,"0.0000"))</f>
        <v/>
      </c>
      <c r="N71" s="57" t="n"/>
      <c r="O71" s="57">
        <f>IF($A71="",0,IFERROR(IF(SUMIFS(CriteriTecnici!$O:$O,CriteriTecnici!$Q:$Q,$A71&amp;"|"&amp;$C71)&gt;0,SUMIFS(CriteriTecnici!$O:$O,CriteriTecnici!$Q:$Q,$A71&amp;"|"&amp;$C71,CriteriTecnici!$F:$F,"Q")+SUMIFS(CriteriTecnici!$O:$O,CriteriTecnici!$Q:$Q,$A71&amp;"|"&amp;$C71,CriteriTecnici!$F:$F,"T"),IFERROR($N71*1,0)),0))</f>
        <v/>
      </c>
      <c r="P71" s="57">
        <f>IF($A71="","",IF(SUMIFS(CriteriTecnici!$O:$O,CriteriTecnici!$Q:$Q,$A71&amp;"|"&amp;$C71)&gt;0,"Criteri A-G","Aggregato"))</f>
        <v/>
      </c>
    </row>
    <row r="72">
      <c r="A72" s="56">
        <f>IF(Compila!$A82="","",Compila!$A82)</f>
        <v/>
      </c>
      <c r="B72" s="56">
        <f>IF(Compila!$A82="","",Compila!$B82)</f>
        <v/>
      </c>
      <c r="C72" s="56">
        <f>IF(Compila!$A82="","",Compila!$C82)</f>
        <v/>
      </c>
      <c r="D72" s="56">
        <f>IF(Compila!$A82="","",Compila!$D82)</f>
        <v/>
      </c>
      <c r="E72" s="57">
        <f>IF($A72="",0,IFERROR(IF(SUMIFS(CriteriTecnici!$O:$O,CriteriTecnici!$Q:$Q,$A72&amp;"|"&amp;$C72)&gt;0,IF($G72="SI",ROUND(IF(SUMPRODUCT(MAX((CriteriTecnici!$C$5:$C$2484=$C72)*(CriteriTecnici!$E$5:$E$2484="A")*(CriteriTecnici!$T$5:$T$2484="SI")*IFERROR(CriteriTecnici!$O$5:$O$2484*1,0)))&gt;0,MIN(7,SUMIFS(CriteriTecnici!$O:$O,CriteriTecnici!$Q:$Q,$A72&amp;"|"&amp;$C72,CriteriTecnici!$E:$E,"A")*(7/SUMPRODUCT(MAX((CriteriTecnici!$C$5:$C$2484=$C72)*(CriteriTecnici!$E$5:$E$2484="A")*(CriteriTecnici!$T$5:$T$2484="SI")*IFERROR(CriteriTecnici!$O$5:$O$2484*1,0))))),0)+IF(SUMPRODUCT(MAX((CriteriTecnici!$C$5:$C$2484=$C72)*(CriteriTecnici!$E$5:$E$2484="B")*(CriteriTecnici!$T$5:$T$2484="SI")*IFERROR(CriteriTecnici!$O$5:$O$2484*1,0)))&gt;0,MIN(14,SUMIFS(CriteriTecnici!$O:$O,CriteriTecnici!$Q:$Q,$A72&amp;"|"&amp;$C72,CriteriTecnici!$E:$E,"B")*(14/SUMPRODUCT(MAX((CriteriTecnici!$C$5:$C$2484=$C72)*(CriteriTecnici!$E$5:$E$2484="B")*(CriteriTecnici!$T$5:$T$2484="SI")*IFERROR(CriteriTecnici!$O$5:$O$2484*1,0))))),0)+IF(SUMPRODUCT(MAX((CriteriTecnici!$C$5:$C$2484=$C72)*(CriteriTecnici!$E$5:$E$2484="C")*(CriteriTecnici!$T$5:$T$2484="SI")*IFERROR(CriteriTecnici!$O$5:$O$2484*1,0)))&gt;0,MIN(14,SUMIFS(CriteriTecnici!$O:$O,CriteriTecnici!$Q:$Q,$A72&amp;"|"&amp;$C72,CriteriTecnici!$E:$E,"C")*(14/SUMPRODUCT(MAX((CriteriTecnici!$C$5:$C$2484=$C72)*(CriteriTecnici!$E$5:$E$2484="C")*(CriteriTecnici!$T$5:$T$2484="SI")*IFERROR(CriteriTecnici!$O$5:$O$2484*1,0))))),0)+IF(SUMPRODUCT(MAX((CriteriTecnici!$C$5:$C$2484=$C72)*(CriteriTecnici!$E$5:$E$2484="D")*(CriteriTecnici!$T$5:$T$2484="SI")*IFERROR(CriteriTecnici!$O$5:$O$2484*1,0)))&gt;0,MIN(10,SUMIFS(CriteriTecnici!$O:$O,CriteriTecnici!$Q:$Q,$A72&amp;"|"&amp;$C72,CriteriTecnici!$E:$E,"D")*(10/SUMPRODUCT(MAX((CriteriTecnici!$C$5:$C$2484=$C72)*(CriteriTecnici!$E$5:$E$2484="D")*(CriteriTecnici!$T$5:$T$2484="SI")*IFERROR(CriteriTecnici!$O$5:$O$2484*1,0))))),0)+IF(SUMPRODUCT(MAX((CriteriTecnici!$C$5:$C$2484=$C72)*(CriteriTecnici!$E$5:$E$2484="E")*(CriteriTecnici!$T$5:$T$2484="SI")*IFERROR(CriteriTecnici!$O$5:$O$2484*1,0)))&gt;0,MIN(4,SUMIFS(CriteriTecnici!$O:$O,CriteriTecnici!$Q:$Q,$A72&amp;"|"&amp;$C72,CriteriTecnici!$E:$E,"E")*(4/SUMPRODUCT(MAX((CriteriTecnici!$C$5:$C$2484=$C72)*(CriteriTecnici!$E$5:$E$2484="E")*(CriteriTecnici!$T$5:$T$2484="SI")*IFERROR(CriteriTecnici!$O$5:$O$2484*1,0))))),0)+IF(SUMPRODUCT(MAX((CriteriTecnici!$C$5:$C$2484=$C72)*(CriteriTecnici!$E$5:$E$2484="F")*(CriteriTecnici!$T$5:$T$2484="SI")*IFERROR(CriteriTecnici!$O$5:$O$2484*1,0)))&gt;0,MIN(14,SUMIFS(CriteriTecnici!$O:$O,CriteriTecnici!$Q:$Q,$A72&amp;"|"&amp;$C72,CriteriTecnici!$E:$E,"F")*(14/SUMPRODUCT(MAX((CriteriTecnici!$C$5:$C$2484=$C72)*(CriteriTecnici!$E$5:$E$2484="F")*(CriteriTecnici!$T$5:$T$2484="SI")*IFERROR(CriteriTecnici!$O$5:$O$2484*1,0))))),0)+IF(SUMPRODUCT(MAX((CriteriTecnici!$C$5:$C$2484=$C72)*(CriteriTecnici!$E$5:$E$2484="G")*(CriteriTecnici!$T$5:$T$2484="SI")*IFERROR(CriteriTecnici!$O$5:$O$2484*1,0)))&gt;0,MIN(7,SUMIFS(CriteriTecnici!$O:$O,CriteriTecnici!$Q:$Q,$A72&amp;"|"&amp;$C72,CriteriTecnici!$E:$E,"G")*(7/SUMPRODUCT(MAX((CriteriTecnici!$C$5:$C$2484=$C72)*(CriteriTecnici!$E$5:$E$2484="G")*(CriteriTecnici!$T$5:$T$2484="SI")*IFERROR(CriteriTecnici!$O$5:$O$2484*1,0))))),0),4),0),IFERROR($N72*1,0)),0))</f>
        <v/>
      </c>
      <c r="F72" s="56">
        <f>IF(Compila!$A82="","",Compila!$E82)</f>
        <v/>
      </c>
      <c r="G72" s="57">
        <f>IF($A72="","",IF(IFERROR(VALUE($D72),0)&lt;&gt;1,"NO",IF(IFERROR(VALUE($O72),0)&gt;=Parametri!$B$2,"SI","NO")))</f>
        <v/>
      </c>
      <c r="H72" s="57">
        <f>IF($G72="SI",SUMPRODUCT(MAX(($C$2:$C$81=$C72)*(IFERROR($D$2:$D$81*1,0)=1)*(IFERROR($O$2:$O$81*1,0)&gt;=Parametri!$B$2)*IFERROR($F$2:$F$81*1,0))),0)</f>
        <v/>
      </c>
      <c r="I72" s="57">
        <f>IF($G72="SI",IF($H72&gt;0,30*(IFERROR($F72*1,0)/$H72),0),0)</f>
        <v/>
      </c>
      <c r="J72" s="57">
        <f>IF($A72="",0,IF($G72="SI",ROUND(IFERROR($E72*1,0)+$I72,4),ROUND(IFERROR($E72*1,0),4)))</f>
        <v/>
      </c>
      <c r="K72" s="57">
        <f>IF($A72="","",IF(IFERROR(VALUE($D72),0)&lt;&gt;1,"Non attiva",IF(IFERROR(VALUE($O72),0)&lt;Parametri!$B$2,"Sotto soglia","")))</f>
        <v/>
      </c>
      <c r="L72" s="57">
        <f>IF($A72="","",$A72&amp;"|"&amp;$C72)</f>
        <v/>
      </c>
      <c r="M72" s="57">
        <f>IF($A72="","",$C72&amp;"|"&amp;TEXT($J72,"0.0000"))</f>
        <v/>
      </c>
      <c r="N72" s="57" t="n"/>
      <c r="O72" s="57">
        <f>IF($A72="",0,IFERROR(IF(SUMIFS(CriteriTecnici!$O:$O,CriteriTecnici!$Q:$Q,$A72&amp;"|"&amp;$C72)&gt;0,SUMIFS(CriteriTecnici!$O:$O,CriteriTecnici!$Q:$Q,$A72&amp;"|"&amp;$C72,CriteriTecnici!$F:$F,"Q")+SUMIFS(CriteriTecnici!$O:$O,CriteriTecnici!$Q:$Q,$A72&amp;"|"&amp;$C72,CriteriTecnici!$F:$F,"T"),IFERROR($N72*1,0)),0))</f>
        <v/>
      </c>
      <c r="P72" s="57">
        <f>IF($A72="","",IF(SUMIFS(CriteriTecnici!$O:$O,CriteriTecnici!$Q:$Q,$A72&amp;"|"&amp;$C72)&gt;0,"Criteri A-G","Aggregato"))</f>
        <v/>
      </c>
    </row>
    <row r="73">
      <c r="A73" s="56">
        <f>IF(Compila!$A83="","",Compila!$A83)</f>
        <v/>
      </c>
      <c r="B73" s="56">
        <f>IF(Compila!$A83="","",Compila!$B83)</f>
        <v/>
      </c>
      <c r="C73" s="56">
        <f>IF(Compila!$A83="","",Compila!$C83)</f>
        <v/>
      </c>
      <c r="D73" s="56">
        <f>IF(Compila!$A83="","",Compila!$D83)</f>
        <v/>
      </c>
      <c r="E73" s="57">
        <f>IF($A73="",0,IFERROR(IF(SUMIFS(CriteriTecnici!$O:$O,CriteriTecnici!$Q:$Q,$A73&amp;"|"&amp;$C73)&gt;0,IF($G73="SI",ROUND(IF(SUMPRODUCT(MAX((CriteriTecnici!$C$5:$C$2484=$C73)*(CriteriTecnici!$E$5:$E$2484="A")*(CriteriTecnici!$T$5:$T$2484="SI")*IFERROR(CriteriTecnici!$O$5:$O$2484*1,0)))&gt;0,MIN(7,SUMIFS(CriteriTecnici!$O:$O,CriteriTecnici!$Q:$Q,$A73&amp;"|"&amp;$C73,CriteriTecnici!$E:$E,"A")*(7/SUMPRODUCT(MAX((CriteriTecnici!$C$5:$C$2484=$C73)*(CriteriTecnici!$E$5:$E$2484="A")*(CriteriTecnici!$T$5:$T$2484="SI")*IFERROR(CriteriTecnici!$O$5:$O$2484*1,0))))),0)+IF(SUMPRODUCT(MAX((CriteriTecnici!$C$5:$C$2484=$C73)*(CriteriTecnici!$E$5:$E$2484="B")*(CriteriTecnici!$T$5:$T$2484="SI")*IFERROR(CriteriTecnici!$O$5:$O$2484*1,0)))&gt;0,MIN(14,SUMIFS(CriteriTecnici!$O:$O,CriteriTecnici!$Q:$Q,$A73&amp;"|"&amp;$C73,CriteriTecnici!$E:$E,"B")*(14/SUMPRODUCT(MAX((CriteriTecnici!$C$5:$C$2484=$C73)*(CriteriTecnici!$E$5:$E$2484="B")*(CriteriTecnici!$T$5:$T$2484="SI")*IFERROR(CriteriTecnici!$O$5:$O$2484*1,0))))),0)+IF(SUMPRODUCT(MAX((CriteriTecnici!$C$5:$C$2484=$C73)*(CriteriTecnici!$E$5:$E$2484="C")*(CriteriTecnici!$T$5:$T$2484="SI")*IFERROR(CriteriTecnici!$O$5:$O$2484*1,0)))&gt;0,MIN(14,SUMIFS(CriteriTecnici!$O:$O,CriteriTecnici!$Q:$Q,$A73&amp;"|"&amp;$C73,CriteriTecnici!$E:$E,"C")*(14/SUMPRODUCT(MAX((CriteriTecnici!$C$5:$C$2484=$C73)*(CriteriTecnici!$E$5:$E$2484="C")*(CriteriTecnici!$T$5:$T$2484="SI")*IFERROR(CriteriTecnici!$O$5:$O$2484*1,0))))),0)+IF(SUMPRODUCT(MAX((CriteriTecnici!$C$5:$C$2484=$C73)*(CriteriTecnici!$E$5:$E$2484="D")*(CriteriTecnici!$T$5:$T$2484="SI")*IFERROR(CriteriTecnici!$O$5:$O$2484*1,0)))&gt;0,MIN(10,SUMIFS(CriteriTecnici!$O:$O,CriteriTecnici!$Q:$Q,$A73&amp;"|"&amp;$C73,CriteriTecnici!$E:$E,"D")*(10/SUMPRODUCT(MAX((CriteriTecnici!$C$5:$C$2484=$C73)*(CriteriTecnici!$E$5:$E$2484="D")*(CriteriTecnici!$T$5:$T$2484="SI")*IFERROR(CriteriTecnici!$O$5:$O$2484*1,0))))),0)+IF(SUMPRODUCT(MAX((CriteriTecnici!$C$5:$C$2484=$C73)*(CriteriTecnici!$E$5:$E$2484="E")*(CriteriTecnici!$T$5:$T$2484="SI")*IFERROR(CriteriTecnici!$O$5:$O$2484*1,0)))&gt;0,MIN(4,SUMIFS(CriteriTecnici!$O:$O,CriteriTecnici!$Q:$Q,$A73&amp;"|"&amp;$C73,CriteriTecnici!$E:$E,"E")*(4/SUMPRODUCT(MAX((CriteriTecnici!$C$5:$C$2484=$C73)*(CriteriTecnici!$E$5:$E$2484="E")*(CriteriTecnici!$T$5:$T$2484="SI")*IFERROR(CriteriTecnici!$O$5:$O$2484*1,0))))),0)+IF(SUMPRODUCT(MAX((CriteriTecnici!$C$5:$C$2484=$C73)*(CriteriTecnici!$E$5:$E$2484="F")*(CriteriTecnici!$T$5:$T$2484="SI")*IFERROR(CriteriTecnici!$O$5:$O$2484*1,0)))&gt;0,MIN(14,SUMIFS(CriteriTecnici!$O:$O,CriteriTecnici!$Q:$Q,$A73&amp;"|"&amp;$C73,CriteriTecnici!$E:$E,"F")*(14/SUMPRODUCT(MAX((CriteriTecnici!$C$5:$C$2484=$C73)*(CriteriTecnici!$E$5:$E$2484="F")*(CriteriTecnici!$T$5:$T$2484="SI")*IFERROR(CriteriTecnici!$O$5:$O$2484*1,0))))),0)+IF(SUMPRODUCT(MAX((CriteriTecnici!$C$5:$C$2484=$C73)*(CriteriTecnici!$E$5:$E$2484="G")*(CriteriTecnici!$T$5:$T$2484="SI")*IFERROR(CriteriTecnici!$O$5:$O$2484*1,0)))&gt;0,MIN(7,SUMIFS(CriteriTecnici!$O:$O,CriteriTecnici!$Q:$Q,$A73&amp;"|"&amp;$C73,CriteriTecnici!$E:$E,"G")*(7/SUMPRODUCT(MAX((CriteriTecnici!$C$5:$C$2484=$C73)*(CriteriTecnici!$E$5:$E$2484="G")*(CriteriTecnici!$T$5:$T$2484="SI")*IFERROR(CriteriTecnici!$O$5:$O$2484*1,0))))),0),4),0),IFERROR($N73*1,0)),0))</f>
        <v/>
      </c>
      <c r="F73" s="56">
        <f>IF(Compila!$A83="","",Compila!$E83)</f>
        <v/>
      </c>
      <c r="G73" s="57">
        <f>IF($A73="","",IF(IFERROR(VALUE($D73),0)&lt;&gt;1,"NO",IF(IFERROR(VALUE($O73),0)&gt;=Parametri!$B$2,"SI","NO")))</f>
        <v/>
      </c>
      <c r="H73" s="57">
        <f>IF($G73="SI",SUMPRODUCT(MAX(($C$2:$C$81=$C73)*(IFERROR($D$2:$D$81*1,0)=1)*(IFERROR($O$2:$O$81*1,0)&gt;=Parametri!$B$2)*IFERROR($F$2:$F$81*1,0))),0)</f>
        <v/>
      </c>
      <c r="I73" s="57">
        <f>IF($G73="SI",IF($H73&gt;0,30*(IFERROR($F73*1,0)/$H73),0),0)</f>
        <v/>
      </c>
      <c r="J73" s="57">
        <f>IF($A73="",0,IF($G73="SI",ROUND(IFERROR($E73*1,0)+$I73,4),ROUND(IFERROR($E73*1,0),4)))</f>
        <v/>
      </c>
      <c r="K73" s="57">
        <f>IF($A73="","",IF(IFERROR(VALUE($D73),0)&lt;&gt;1,"Non attiva",IF(IFERROR(VALUE($O73),0)&lt;Parametri!$B$2,"Sotto soglia","")))</f>
        <v/>
      </c>
      <c r="L73" s="57">
        <f>IF($A73="","",$A73&amp;"|"&amp;$C73)</f>
        <v/>
      </c>
      <c r="M73" s="57">
        <f>IF($A73="","",$C73&amp;"|"&amp;TEXT($J73,"0.0000"))</f>
        <v/>
      </c>
      <c r="N73" s="57" t="n"/>
      <c r="O73" s="57">
        <f>IF($A73="",0,IFERROR(IF(SUMIFS(CriteriTecnici!$O:$O,CriteriTecnici!$Q:$Q,$A73&amp;"|"&amp;$C73)&gt;0,SUMIFS(CriteriTecnici!$O:$O,CriteriTecnici!$Q:$Q,$A73&amp;"|"&amp;$C73,CriteriTecnici!$F:$F,"Q")+SUMIFS(CriteriTecnici!$O:$O,CriteriTecnici!$Q:$Q,$A73&amp;"|"&amp;$C73,CriteriTecnici!$F:$F,"T"),IFERROR($N73*1,0)),0))</f>
        <v/>
      </c>
      <c r="P73" s="57">
        <f>IF($A73="","",IF(SUMIFS(CriteriTecnici!$O:$O,CriteriTecnici!$Q:$Q,$A73&amp;"|"&amp;$C73)&gt;0,"Criteri A-G","Aggregato"))</f>
        <v/>
      </c>
    </row>
    <row r="74">
      <c r="A74" s="56">
        <f>IF(Compila!$A84="","",Compila!$A84)</f>
        <v/>
      </c>
      <c r="B74" s="56">
        <f>IF(Compila!$A84="","",Compila!$B84)</f>
        <v/>
      </c>
      <c r="C74" s="56">
        <f>IF(Compila!$A84="","",Compila!$C84)</f>
        <v/>
      </c>
      <c r="D74" s="56">
        <f>IF(Compila!$A84="","",Compila!$D84)</f>
        <v/>
      </c>
      <c r="E74" s="57">
        <f>IF($A74="",0,IFERROR(IF(SUMIFS(CriteriTecnici!$O:$O,CriteriTecnici!$Q:$Q,$A74&amp;"|"&amp;$C74)&gt;0,IF($G74="SI",ROUND(IF(SUMPRODUCT(MAX((CriteriTecnici!$C$5:$C$2484=$C74)*(CriteriTecnici!$E$5:$E$2484="A")*(CriteriTecnici!$T$5:$T$2484="SI")*IFERROR(CriteriTecnici!$O$5:$O$2484*1,0)))&gt;0,MIN(7,SUMIFS(CriteriTecnici!$O:$O,CriteriTecnici!$Q:$Q,$A74&amp;"|"&amp;$C74,CriteriTecnici!$E:$E,"A")*(7/SUMPRODUCT(MAX((CriteriTecnici!$C$5:$C$2484=$C74)*(CriteriTecnici!$E$5:$E$2484="A")*(CriteriTecnici!$T$5:$T$2484="SI")*IFERROR(CriteriTecnici!$O$5:$O$2484*1,0))))),0)+IF(SUMPRODUCT(MAX((CriteriTecnici!$C$5:$C$2484=$C74)*(CriteriTecnici!$E$5:$E$2484="B")*(CriteriTecnici!$T$5:$T$2484="SI")*IFERROR(CriteriTecnici!$O$5:$O$2484*1,0)))&gt;0,MIN(14,SUMIFS(CriteriTecnici!$O:$O,CriteriTecnici!$Q:$Q,$A74&amp;"|"&amp;$C74,CriteriTecnici!$E:$E,"B")*(14/SUMPRODUCT(MAX((CriteriTecnici!$C$5:$C$2484=$C74)*(CriteriTecnici!$E$5:$E$2484="B")*(CriteriTecnici!$T$5:$T$2484="SI")*IFERROR(CriteriTecnici!$O$5:$O$2484*1,0))))),0)+IF(SUMPRODUCT(MAX((CriteriTecnici!$C$5:$C$2484=$C74)*(CriteriTecnici!$E$5:$E$2484="C")*(CriteriTecnici!$T$5:$T$2484="SI")*IFERROR(CriteriTecnici!$O$5:$O$2484*1,0)))&gt;0,MIN(14,SUMIFS(CriteriTecnici!$O:$O,CriteriTecnici!$Q:$Q,$A74&amp;"|"&amp;$C74,CriteriTecnici!$E:$E,"C")*(14/SUMPRODUCT(MAX((CriteriTecnici!$C$5:$C$2484=$C74)*(CriteriTecnici!$E$5:$E$2484="C")*(CriteriTecnici!$T$5:$T$2484="SI")*IFERROR(CriteriTecnici!$O$5:$O$2484*1,0))))),0)+IF(SUMPRODUCT(MAX((CriteriTecnici!$C$5:$C$2484=$C74)*(CriteriTecnici!$E$5:$E$2484="D")*(CriteriTecnici!$T$5:$T$2484="SI")*IFERROR(CriteriTecnici!$O$5:$O$2484*1,0)))&gt;0,MIN(10,SUMIFS(CriteriTecnici!$O:$O,CriteriTecnici!$Q:$Q,$A74&amp;"|"&amp;$C74,CriteriTecnici!$E:$E,"D")*(10/SUMPRODUCT(MAX((CriteriTecnici!$C$5:$C$2484=$C74)*(CriteriTecnici!$E$5:$E$2484="D")*(CriteriTecnici!$T$5:$T$2484="SI")*IFERROR(CriteriTecnici!$O$5:$O$2484*1,0))))),0)+IF(SUMPRODUCT(MAX((CriteriTecnici!$C$5:$C$2484=$C74)*(CriteriTecnici!$E$5:$E$2484="E")*(CriteriTecnici!$T$5:$T$2484="SI")*IFERROR(CriteriTecnici!$O$5:$O$2484*1,0)))&gt;0,MIN(4,SUMIFS(CriteriTecnici!$O:$O,CriteriTecnici!$Q:$Q,$A74&amp;"|"&amp;$C74,CriteriTecnici!$E:$E,"E")*(4/SUMPRODUCT(MAX((CriteriTecnici!$C$5:$C$2484=$C74)*(CriteriTecnici!$E$5:$E$2484="E")*(CriteriTecnici!$T$5:$T$2484="SI")*IFERROR(CriteriTecnici!$O$5:$O$2484*1,0))))),0)+IF(SUMPRODUCT(MAX((CriteriTecnici!$C$5:$C$2484=$C74)*(CriteriTecnici!$E$5:$E$2484="F")*(CriteriTecnici!$T$5:$T$2484="SI")*IFERROR(CriteriTecnici!$O$5:$O$2484*1,0)))&gt;0,MIN(14,SUMIFS(CriteriTecnici!$O:$O,CriteriTecnici!$Q:$Q,$A74&amp;"|"&amp;$C74,CriteriTecnici!$E:$E,"F")*(14/SUMPRODUCT(MAX((CriteriTecnici!$C$5:$C$2484=$C74)*(CriteriTecnici!$E$5:$E$2484="F")*(CriteriTecnici!$T$5:$T$2484="SI")*IFERROR(CriteriTecnici!$O$5:$O$2484*1,0))))),0)+IF(SUMPRODUCT(MAX((CriteriTecnici!$C$5:$C$2484=$C74)*(CriteriTecnici!$E$5:$E$2484="G")*(CriteriTecnici!$T$5:$T$2484="SI")*IFERROR(CriteriTecnici!$O$5:$O$2484*1,0)))&gt;0,MIN(7,SUMIFS(CriteriTecnici!$O:$O,CriteriTecnici!$Q:$Q,$A74&amp;"|"&amp;$C74,CriteriTecnici!$E:$E,"G")*(7/SUMPRODUCT(MAX((CriteriTecnici!$C$5:$C$2484=$C74)*(CriteriTecnici!$E$5:$E$2484="G")*(CriteriTecnici!$T$5:$T$2484="SI")*IFERROR(CriteriTecnici!$O$5:$O$2484*1,0))))),0),4),0),IFERROR($N74*1,0)),0))</f>
        <v/>
      </c>
      <c r="F74" s="56">
        <f>IF(Compila!$A84="","",Compila!$E84)</f>
        <v/>
      </c>
      <c r="G74" s="57">
        <f>IF($A74="","",IF(IFERROR(VALUE($D74),0)&lt;&gt;1,"NO",IF(IFERROR(VALUE($O74),0)&gt;=Parametri!$B$2,"SI","NO")))</f>
        <v/>
      </c>
      <c r="H74" s="57">
        <f>IF($G74="SI",SUMPRODUCT(MAX(($C$2:$C$81=$C74)*(IFERROR($D$2:$D$81*1,0)=1)*(IFERROR($O$2:$O$81*1,0)&gt;=Parametri!$B$2)*IFERROR($F$2:$F$81*1,0))),0)</f>
        <v/>
      </c>
      <c r="I74" s="57">
        <f>IF($G74="SI",IF($H74&gt;0,30*(IFERROR($F74*1,0)/$H74),0),0)</f>
        <v/>
      </c>
      <c r="J74" s="57">
        <f>IF($A74="",0,IF($G74="SI",ROUND(IFERROR($E74*1,0)+$I74,4),ROUND(IFERROR($E74*1,0),4)))</f>
        <v/>
      </c>
      <c r="K74" s="57">
        <f>IF($A74="","",IF(IFERROR(VALUE($D74),0)&lt;&gt;1,"Non attiva",IF(IFERROR(VALUE($O74),0)&lt;Parametri!$B$2,"Sotto soglia","")))</f>
        <v/>
      </c>
      <c r="L74" s="57">
        <f>IF($A74="","",$A74&amp;"|"&amp;$C74)</f>
        <v/>
      </c>
      <c r="M74" s="57">
        <f>IF($A74="","",$C74&amp;"|"&amp;TEXT($J74,"0.0000"))</f>
        <v/>
      </c>
      <c r="N74" s="57" t="n"/>
      <c r="O74" s="57">
        <f>IF($A74="",0,IFERROR(IF(SUMIFS(CriteriTecnici!$O:$O,CriteriTecnici!$Q:$Q,$A74&amp;"|"&amp;$C74)&gt;0,SUMIFS(CriteriTecnici!$O:$O,CriteriTecnici!$Q:$Q,$A74&amp;"|"&amp;$C74,CriteriTecnici!$F:$F,"Q")+SUMIFS(CriteriTecnici!$O:$O,CriteriTecnici!$Q:$Q,$A74&amp;"|"&amp;$C74,CriteriTecnici!$F:$F,"T"),IFERROR($N74*1,0)),0))</f>
        <v/>
      </c>
      <c r="P74" s="57">
        <f>IF($A74="","",IF(SUMIFS(CriteriTecnici!$O:$O,CriteriTecnici!$Q:$Q,$A74&amp;"|"&amp;$C74)&gt;0,"Criteri A-G","Aggregato"))</f>
        <v/>
      </c>
    </row>
    <row r="75">
      <c r="A75" s="56">
        <f>IF(Compila!$A85="","",Compila!$A85)</f>
        <v/>
      </c>
      <c r="B75" s="56">
        <f>IF(Compila!$A85="","",Compila!$B85)</f>
        <v/>
      </c>
      <c r="C75" s="56">
        <f>IF(Compila!$A85="","",Compila!$C85)</f>
        <v/>
      </c>
      <c r="D75" s="56">
        <f>IF(Compila!$A85="","",Compila!$D85)</f>
        <v/>
      </c>
      <c r="E75" s="57">
        <f>IF($A75="",0,IFERROR(IF(SUMIFS(CriteriTecnici!$O:$O,CriteriTecnici!$Q:$Q,$A75&amp;"|"&amp;$C75)&gt;0,IF($G75="SI",ROUND(IF(SUMPRODUCT(MAX((CriteriTecnici!$C$5:$C$2484=$C75)*(CriteriTecnici!$E$5:$E$2484="A")*(CriteriTecnici!$T$5:$T$2484="SI")*IFERROR(CriteriTecnici!$O$5:$O$2484*1,0)))&gt;0,MIN(7,SUMIFS(CriteriTecnici!$O:$O,CriteriTecnici!$Q:$Q,$A75&amp;"|"&amp;$C75,CriteriTecnici!$E:$E,"A")*(7/SUMPRODUCT(MAX((CriteriTecnici!$C$5:$C$2484=$C75)*(CriteriTecnici!$E$5:$E$2484="A")*(CriteriTecnici!$T$5:$T$2484="SI")*IFERROR(CriteriTecnici!$O$5:$O$2484*1,0))))),0)+IF(SUMPRODUCT(MAX((CriteriTecnici!$C$5:$C$2484=$C75)*(CriteriTecnici!$E$5:$E$2484="B")*(CriteriTecnici!$T$5:$T$2484="SI")*IFERROR(CriteriTecnici!$O$5:$O$2484*1,0)))&gt;0,MIN(14,SUMIFS(CriteriTecnici!$O:$O,CriteriTecnici!$Q:$Q,$A75&amp;"|"&amp;$C75,CriteriTecnici!$E:$E,"B")*(14/SUMPRODUCT(MAX((CriteriTecnici!$C$5:$C$2484=$C75)*(CriteriTecnici!$E$5:$E$2484="B")*(CriteriTecnici!$T$5:$T$2484="SI")*IFERROR(CriteriTecnici!$O$5:$O$2484*1,0))))),0)+IF(SUMPRODUCT(MAX((CriteriTecnici!$C$5:$C$2484=$C75)*(CriteriTecnici!$E$5:$E$2484="C")*(CriteriTecnici!$T$5:$T$2484="SI")*IFERROR(CriteriTecnici!$O$5:$O$2484*1,0)))&gt;0,MIN(14,SUMIFS(CriteriTecnici!$O:$O,CriteriTecnici!$Q:$Q,$A75&amp;"|"&amp;$C75,CriteriTecnici!$E:$E,"C")*(14/SUMPRODUCT(MAX((CriteriTecnici!$C$5:$C$2484=$C75)*(CriteriTecnici!$E$5:$E$2484="C")*(CriteriTecnici!$T$5:$T$2484="SI")*IFERROR(CriteriTecnici!$O$5:$O$2484*1,0))))),0)+IF(SUMPRODUCT(MAX((CriteriTecnici!$C$5:$C$2484=$C75)*(CriteriTecnici!$E$5:$E$2484="D")*(CriteriTecnici!$T$5:$T$2484="SI")*IFERROR(CriteriTecnici!$O$5:$O$2484*1,0)))&gt;0,MIN(10,SUMIFS(CriteriTecnici!$O:$O,CriteriTecnici!$Q:$Q,$A75&amp;"|"&amp;$C75,CriteriTecnici!$E:$E,"D")*(10/SUMPRODUCT(MAX((CriteriTecnici!$C$5:$C$2484=$C75)*(CriteriTecnici!$E$5:$E$2484="D")*(CriteriTecnici!$T$5:$T$2484="SI")*IFERROR(CriteriTecnici!$O$5:$O$2484*1,0))))),0)+IF(SUMPRODUCT(MAX((CriteriTecnici!$C$5:$C$2484=$C75)*(CriteriTecnici!$E$5:$E$2484="E")*(CriteriTecnici!$T$5:$T$2484="SI")*IFERROR(CriteriTecnici!$O$5:$O$2484*1,0)))&gt;0,MIN(4,SUMIFS(CriteriTecnici!$O:$O,CriteriTecnici!$Q:$Q,$A75&amp;"|"&amp;$C75,CriteriTecnici!$E:$E,"E")*(4/SUMPRODUCT(MAX((CriteriTecnici!$C$5:$C$2484=$C75)*(CriteriTecnici!$E$5:$E$2484="E")*(CriteriTecnici!$T$5:$T$2484="SI")*IFERROR(CriteriTecnici!$O$5:$O$2484*1,0))))),0)+IF(SUMPRODUCT(MAX((CriteriTecnici!$C$5:$C$2484=$C75)*(CriteriTecnici!$E$5:$E$2484="F")*(CriteriTecnici!$T$5:$T$2484="SI")*IFERROR(CriteriTecnici!$O$5:$O$2484*1,0)))&gt;0,MIN(14,SUMIFS(CriteriTecnici!$O:$O,CriteriTecnici!$Q:$Q,$A75&amp;"|"&amp;$C75,CriteriTecnici!$E:$E,"F")*(14/SUMPRODUCT(MAX((CriteriTecnici!$C$5:$C$2484=$C75)*(CriteriTecnici!$E$5:$E$2484="F")*(CriteriTecnici!$T$5:$T$2484="SI")*IFERROR(CriteriTecnici!$O$5:$O$2484*1,0))))),0)+IF(SUMPRODUCT(MAX((CriteriTecnici!$C$5:$C$2484=$C75)*(CriteriTecnici!$E$5:$E$2484="G")*(CriteriTecnici!$T$5:$T$2484="SI")*IFERROR(CriteriTecnici!$O$5:$O$2484*1,0)))&gt;0,MIN(7,SUMIFS(CriteriTecnici!$O:$O,CriteriTecnici!$Q:$Q,$A75&amp;"|"&amp;$C75,CriteriTecnici!$E:$E,"G")*(7/SUMPRODUCT(MAX((CriteriTecnici!$C$5:$C$2484=$C75)*(CriteriTecnici!$E$5:$E$2484="G")*(CriteriTecnici!$T$5:$T$2484="SI")*IFERROR(CriteriTecnici!$O$5:$O$2484*1,0))))),0),4),0),IFERROR($N75*1,0)),0))</f>
        <v/>
      </c>
      <c r="F75" s="56">
        <f>IF(Compila!$A85="","",Compila!$E85)</f>
        <v/>
      </c>
      <c r="G75" s="57">
        <f>IF($A75="","",IF(IFERROR(VALUE($D75),0)&lt;&gt;1,"NO",IF(IFERROR(VALUE($O75),0)&gt;=Parametri!$B$2,"SI","NO")))</f>
        <v/>
      </c>
      <c r="H75" s="57">
        <f>IF($G75="SI",SUMPRODUCT(MAX(($C$2:$C$81=$C75)*(IFERROR($D$2:$D$81*1,0)=1)*(IFERROR($O$2:$O$81*1,0)&gt;=Parametri!$B$2)*IFERROR($F$2:$F$81*1,0))),0)</f>
        <v/>
      </c>
      <c r="I75" s="57">
        <f>IF($G75="SI",IF($H75&gt;0,30*(IFERROR($F75*1,0)/$H75),0),0)</f>
        <v/>
      </c>
      <c r="J75" s="57">
        <f>IF($A75="",0,IF($G75="SI",ROUND(IFERROR($E75*1,0)+$I75,4),ROUND(IFERROR($E75*1,0),4)))</f>
        <v/>
      </c>
      <c r="K75" s="57">
        <f>IF($A75="","",IF(IFERROR(VALUE($D75),0)&lt;&gt;1,"Non attiva",IF(IFERROR(VALUE($O75),0)&lt;Parametri!$B$2,"Sotto soglia","")))</f>
        <v/>
      </c>
      <c r="L75" s="57">
        <f>IF($A75="","",$A75&amp;"|"&amp;$C75)</f>
        <v/>
      </c>
      <c r="M75" s="57">
        <f>IF($A75="","",$C75&amp;"|"&amp;TEXT($J75,"0.0000"))</f>
        <v/>
      </c>
      <c r="N75" s="57" t="n"/>
      <c r="O75" s="57">
        <f>IF($A75="",0,IFERROR(IF(SUMIFS(CriteriTecnici!$O:$O,CriteriTecnici!$Q:$Q,$A75&amp;"|"&amp;$C75)&gt;0,SUMIFS(CriteriTecnici!$O:$O,CriteriTecnici!$Q:$Q,$A75&amp;"|"&amp;$C75,CriteriTecnici!$F:$F,"Q")+SUMIFS(CriteriTecnici!$O:$O,CriteriTecnici!$Q:$Q,$A75&amp;"|"&amp;$C75,CriteriTecnici!$F:$F,"T"),IFERROR($N75*1,0)),0))</f>
        <v/>
      </c>
      <c r="P75" s="57">
        <f>IF($A75="","",IF(SUMIFS(CriteriTecnici!$O:$O,CriteriTecnici!$Q:$Q,$A75&amp;"|"&amp;$C75)&gt;0,"Criteri A-G","Aggregato"))</f>
        <v/>
      </c>
    </row>
    <row r="76">
      <c r="A76" s="56">
        <f>IF(Compila!$A86="","",Compila!$A86)</f>
        <v/>
      </c>
      <c r="B76" s="56">
        <f>IF(Compila!$A86="","",Compila!$B86)</f>
        <v/>
      </c>
      <c r="C76" s="56">
        <f>IF(Compila!$A86="","",Compila!$C86)</f>
        <v/>
      </c>
      <c r="D76" s="56">
        <f>IF(Compila!$A86="","",Compila!$D86)</f>
        <v/>
      </c>
      <c r="E76" s="57">
        <f>IF($A76="",0,IFERROR(IF(SUMIFS(CriteriTecnici!$O:$O,CriteriTecnici!$Q:$Q,$A76&amp;"|"&amp;$C76)&gt;0,IF($G76="SI",ROUND(IF(SUMPRODUCT(MAX((CriteriTecnici!$C$5:$C$2484=$C76)*(CriteriTecnici!$E$5:$E$2484="A")*(CriteriTecnici!$T$5:$T$2484="SI")*IFERROR(CriteriTecnici!$O$5:$O$2484*1,0)))&gt;0,MIN(7,SUMIFS(CriteriTecnici!$O:$O,CriteriTecnici!$Q:$Q,$A76&amp;"|"&amp;$C76,CriteriTecnici!$E:$E,"A")*(7/SUMPRODUCT(MAX((CriteriTecnici!$C$5:$C$2484=$C76)*(CriteriTecnici!$E$5:$E$2484="A")*(CriteriTecnici!$T$5:$T$2484="SI")*IFERROR(CriteriTecnici!$O$5:$O$2484*1,0))))),0)+IF(SUMPRODUCT(MAX((CriteriTecnici!$C$5:$C$2484=$C76)*(CriteriTecnici!$E$5:$E$2484="B")*(CriteriTecnici!$T$5:$T$2484="SI")*IFERROR(CriteriTecnici!$O$5:$O$2484*1,0)))&gt;0,MIN(14,SUMIFS(CriteriTecnici!$O:$O,CriteriTecnici!$Q:$Q,$A76&amp;"|"&amp;$C76,CriteriTecnici!$E:$E,"B")*(14/SUMPRODUCT(MAX((CriteriTecnici!$C$5:$C$2484=$C76)*(CriteriTecnici!$E$5:$E$2484="B")*(CriteriTecnici!$T$5:$T$2484="SI")*IFERROR(CriteriTecnici!$O$5:$O$2484*1,0))))),0)+IF(SUMPRODUCT(MAX((CriteriTecnici!$C$5:$C$2484=$C76)*(CriteriTecnici!$E$5:$E$2484="C")*(CriteriTecnici!$T$5:$T$2484="SI")*IFERROR(CriteriTecnici!$O$5:$O$2484*1,0)))&gt;0,MIN(14,SUMIFS(CriteriTecnici!$O:$O,CriteriTecnici!$Q:$Q,$A76&amp;"|"&amp;$C76,CriteriTecnici!$E:$E,"C")*(14/SUMPRODUCT(MAX((CriteriTecnici!$C$5:$C$2484=$C76)*(CriteriTecnici!$E$5:$E$2484="C")*(CriteriTecnici!$T$5:$T$2484="SI")*IFERROR(CriteriTecnici!$O$5:$O$2484*1,0))))),0)+IF(SUMPRODUCT(MAX((CriteriTecnici!$C$5:$C$2484=$C76)*(CriteriTecnici!$E$5:$E$2484="D")*(CriteriTecnici!$T$5:$T$2484="SI")*IFERROR(CriteriTecnici!$O$5:$O$2484*1,0)))&gt;0,MIN(10,SUMIFS(CriteriTecnici!$O:$O,CriteriTecnici!$Q:$Q,$A76&amp;"|"&amp;$C76,CriteriTecnici!$E:$E,"D")*(10/SUMPRODUCT(MAX((CriteriTecnici!$C$5:$C$2484=$C76)*(CriteriTecnici!$E$5:$E$2484="D")*(CriteriTecnici!$T$5:$T$2484="SI")*IFERROR(CriteriTecnici!$O$5:$O$2484*1,0))))),0)+IF(SUMPRODUCT(MAX((CriteriTecnici!$C$5:$C$2484=$C76)*(CriteriTecnici!$E$5:$E$2484="E")*(CriteriTecnici!$T$5:$T$2484="SI")*IFERROR(CriteriTecnici!$O$5:$O$2484*1,0)))&gt;0,MIN(4,SUMIFS(CriteriTecnici!$O:$O,CriteriTecnici!$Q:$Q,$A76&amp;"|"&amp;$C76,CriteriTecnici!$E:$E,"E")*(4/SUMPRODUCT(MAX((CriteriTecnici!$C$5:$C$2484=$C76)*(CriteriTecnici!$E$5:$E$2484="E")*(CriteriTecnici!$T$5:$T$2484="SI")*IFERROR(CriteriTecnici!$O$5:$O$2484*1,0))))),0)+IF(SUMPRODUCT(MAX((CriteriTecnici!$C$5:$C$2484=$C76)*(CriteriTecnici!$E$5:$E$2484="F")*(CriteriTecnici!$T$5:$T$2484="SI")*IFERROR(CriteriTecnici!$O$5:$O$2484*1,0)))&gt;0,MIN(14,SUMIFS(CriteriTecnici!$O:$O,CriteriTecnici!$Q:$Q,$A76&amp;"|"&amp;$C76,CriteriTecnici!$E:$E,"F")*(14/SUMPRODUCT(MAX((CriteriTecnici!$C$5:$C$2484=$C76)*(CriteriTecnici!$E$5:$E$2484="F")*(CriteriTecnici!$T$5:$T$2484="SI")*IFERROR(CriteriTecnici!$O$5:$O$2484*1,0))))),0)+IF(SUMPRODUCT(MAX((CriteriTecnici!$C$5:$C$2484=$C76)*(CriteriTecnici!$E$5:$E$2484="G")*(CriteriTecnici!$T$5:$T$2484="SI")*IFERROR(CriteriTecnici!$O$5:$O$2484*1,0)))&gt;0,MIN(7,SUMIFS(CriteriTecnici!$O:$O,CriteriTecnici!$Q:$Q,$A76&amp;"|"&amp;$C76,CriteriTecnici!$E:$E,"G")*(7/SUMPRODUCT(MAX((CriteriTecnici!$C$5:$C$2484=$C76)*(CriteriTecnici!$E$5:$E$2484="G")*(CriteriTecnici!$T$5:$T$2484="SI")*IFERROR(CriteriTecnici!$O$5:$O$2484*1,0))))),0),4),0),IFERROR($N76*1,0)),0))</f>
        <v/>
      </c>
      <c r="F76" s="56">
        <f>IF(Compila!$A86="","",Compila!$E86)</f>
        <v/>
      </c>
      <c r="G76" s="57">
        <f>IF($A76="","",IF(IFERROR(VALUE($D76),0)&lt;&gt;1,"NO",IF(IFERROR(VALUE($O76),0)&gt;=Parametri!$B$2,"SI","NO")))</f>
        <v/>
      </c>
      <c r="H76" s="57">
        <f>IF($G76="SI",SUMPRODUCT(MAX(($C$2:$C$81=$C76)*(IFERROR($D$2:$D$81*1,0)=1)*(IFERROR($O$2:$O$81*1,0)&gt;=Parametri!$B$2)*IFERROR($F$2:$F$81*1,0))),0)</f>
        <v/>
      </c>
      <c r="I76" s="57">
        <f>IF($G76="SI",IF($H76&gt;0,30*(IFERROR($F76*1,0)/$H76),0),0)</f>
        <v/>
      </c>
      <c r="J76" s="57">
        <f>IF($A76="",0,IF($G76="SI",ROUND(IFERROR($E76*1,0)+$I76,4),ROUND(IFERROR($E76*1,0),4)))</f>
        <v/>
      </c>
      <c r="K76" s="57">
        <f>IF($A76="","",IF(IFERROR(VALUE($D76),0)&lt;&gt;1,"Non attiva",IF(IFERROR(VALUE($O76),0)&lt;Parametri!$B$2,"Sotto soglia","")))</f>
        <v/>
      </c>
      <c r="L76" s="57">
        <f>IF($A76="","",$A76&amp;"|"&amp;$C76)</f>
        <v/>
      </c>
      <c r="M76" s="57">
        <f>IF($A76="","",$C76&amp;"|"&amp;TEXT($J76,"0.0000"))</f>
        <v/>
      </c>
      <c r="N76" s="57" t="n"/>
      <c r="O76" s="57">
        <f>IF($A76="",0,IFERROR(IF(SUMIFS(CriteriTecnici!$O:$O,CriteriTecnici!$Q:$Q,$A76&amp;"|"&amp;$C76)&gt;0,SUMIFS(CriteriTecnici!$O:$O,CriteriTecnici!$Q:$Q,$A76&amp;"|"&amp;$C76,CriteriTecnici!$F:$F,"Q")+SUMIFS(CriteriTecnici!$O:$O,CriteriTecnici!$Q:$Q,$A76&amp;"|"&amp;$C76,CriteriTecnici!$F:$F,"T"),IFERROR($N76*1,0)),0))</f>
        <v/>
      </c>
      <c r="P76" s="57">
        <f>IF($A76="","",IF(SUMIFS(CriteriTecnici!$O:$O,CriteriTecnici!$Q:$Q,$A76&amp;"|"&amp;$C76)&gt;0,"Criteri A-G","Aggregato"))</f>
        <v/>
      </c>
    </row>
    <row r="77">
      <c r="A77" s="56">
        <f>IF(Compila!$A87="","",Compila!$A87)</f>
        <v/>
      </c>
      <c r="B77" s="56">
        <f>IF(Compila!$A87="","",Compila!$B87)</f>
        <v/>
      </c>
      <c r="C77" s="56">
        <f>IF(Compila!$A87="","",Compila!$C87)</f>
        <v/>
      </c>
      <c r="D77" s="56">
        <f>IF(Compila!$A87="","",Compila!$D87)</f>
        <v/>
      </c>
      <c r="E77" s="57">
        <f>IF($A77="",0,IFERROR(IF(SUMIFS(CriteriTecnici!$O:$O,CriteriTecnici!$Q:$Q,$A77&amp;"|"&amp;$C77)&gt;0,IF($G77="SI",ROUND(IF(SUMPRODUCT(MAX((CriteriTecnici!$C$5:$C$2484=$C77)*(CriteriTecnici!$E$5:$E$2484="A")*(CriteriTecnici!$T$5:$T$2484="SI")*IFERROR(CriteriTecnici!$O$5:$O$2484*1,0)))&gt;0,MIN(7,SUMIFS(CriteriTecnici!$O:$O,CriteriTecnici!$Q:$Q,$A77&amp;"|"&amp;$C77,CriteriTecnici!$E:$E,"A")*(7/SUMPRODUCT(MAX((CriteriTecnici!$C$5:$C$2484=$C77)*(CriteriTecnici!$E$5:$E$2484="A")*(CriteriTecnici!$T$5:$T$2484="SI")*IFERROR(CriteriTecnici!$O$5:$O$2484*1,0))))),0)+IF(SUMPRODUCT(MAX((CriteriTecnici!$C$5:$C$2484=$C77)*(CriteriTecnici!$E$5:$E$2484="B")*(CriteriTecnici!$T$5:$T$2484="SI")*IFERROR(CriteriTecnici!$O$5:$O$2484*1,0)))&gt;0,MIN(14,SUMIFS(CriteriTecnici!$O:$O,CriteriTecnici!$Q:$Q,$A77&amp;"|"&amp;$C77,CriteriTecnici!$E:$E,"B")*(14/SUMPRODUCT(MAX((CriteriTecnici!$C$5:$C$2484=$C77)*(CriteriTecnici!$E$5:$E$2484="B")*(CriteriTecnici!$T$5:$T$2484="SI")*IFERROR(CriteriTecnici!$O$5:$O$2484*1,0))))),0)+IF(SUMPRODUCT(MAX((CriteriTecnici!$C$5:$C$2484=$C77)*(CriteriTecnici!$E$5:$E$2484="C")*(CriteriTecnici!$T$5:$T$2484="SI")*IFERROR(CriteriTecnici!$O$5:$O$2484*1,0)))&gt;0,MIN(14,SUMIFS(CriteriTecnici!$O:$O,CriteriTecnici!$Q:$Q,$A77&amp;"|"&amp;$C77,CriteriTecnici!$E:$E,"C")*(14/SUMPRODUCT(MAX((CriteriTecnici!$C$5:$C$2484=$C77)*(CriteriTecnici!$E$5:$E$2484="C")*(CriteriTecnici!$T$5:$T$2484="SI")*IFERROR(CriteriTecnici!$O$5:$O$2484*1,0))))),0)+IF(SUMPRODUCT(MAX((CriteriTecnici!$C$5:$C$2484=$C77)*(CriteriTecnici!$E$5:$E$2484="D")*(CriteriTecnici!$T$5:$T$2484="SI")*IFERROR(CriteriTecnici!$O$5:$O$2484*1,0)))&gt;0,MIN(10,SUMIFS(CriteriTecnici!$O:$O,CriteriTecnici!$Q:$Q,$A77&amp;"|"&amp;$C77,CriteriTecnici!$E:$E,"D")*(10/SUMPRODUCT(MAX((CriteriTecnici!$C$5:$C$2484=$C77)*(CriteriTecnici!$E$5:$E$2484="D")*(CriteriTecnici!$T$5:$T$2484="SI")*IFERROR(CriteriTecnici!$O$5:$O$2484*1,0))))),0)+IF(SUMPRODUCT(MAX((CriteriTecnici!$C$5:$C$2484=$C77)*(CriteriTecnici!$E$5:$E$2484="E")*(CriteriTecnici!$T$5:$T$2484="SI")*IFERROR(CriteriTecnici!$O$5:$O$2484*1,0)))&gt;0,MIN(4,SUMIFS(CriteriTecnici!$O:$O,CriteriTecnici!$Q:$Q,$A77&amp;"|"&amp;$C77,CriteriTecnici!$E:$E,"E")*(4/SUMPRODUCT(MAX((CriteriTecnici!$C$5:$C$2484=$C77)*(CriteriTecnici!$E$5:$E$2484="E")*(CriteriTecnici!$T$5:$T$2484="SI")*IFERROR(CriteriTecnici!$O$5:$O$2484*1,0))))),0)+IF(SUMPRODUCT(MAX((CriteriTecnici!$C$5:$C$2484=$C77)*(CriteriTecnici!$E$5:$E$2484="F")*(CriteriTecnici!$T$5:$T$2484="SI")*IFERROR(CriteriTecnici!$O$5:$O$2484*1,0)))&gt;0,MIN(14,SUMIFS(CriteriTecnici!$O:$O,CriteriTecnici!$Q:$Q,$A77&amp;"|"&amp;$C77,CriteriTecnici!$E:$E,"F")*(14/SUMPRODUCT(MAX((CriteriTecnici!$C$5:$C$2484=$C77)*(CriteriTecnici!$E$5:$E$2484="F")*(CriteriTecnici!$T$5:$T$2484="SI")*IFERROR(CriteriTecnici!$O$5:$O$2484*1,0))))),0)+IF(SUMPRODUCT(MAX((CriteriTecnici!$C$5:$C$2484=$C77)*(CriteriTecnici!$E$5:$E$2484="G")*(CriteriTecnici!$T$5:$T$2484="SI")*IFERROR(CriteriTecnici!$O$5:$O$2484*1,0)))&gt;0,MIN(7,SUMIFS(CriteriTecnici!$O:$O,CriteriTecnici!$Q:$Q,$A77&amp;"|"&amp;$C77,CriteriTecnici!$E:$E,"G")*(7/SUMPRODUCT(MAX((CriteriTecnici!$C$5:$C$2484=$C77)*(CriteriTecnici!$E$5:$E$2484="G")*(CriteriTecnici!$T$5:$T$2484="SI")*IFERROR(CriteriTecnici!$O$5:$O$2484*1,0))))),0),4),0),IFERROR($N77*1,0)),0))</f>
        <v/>
      </c>
      <c r="F77" s="56">
        <f>IF(Compila!$A87="","",Compila!$E87)</f>
        <v/>
      </c>
      <c r="G77" s="57">
        <f>IF($A77="","",IF(IFERROR(VALUE($D77),0)&lt;&gt;1,"NO",IF(IFERROR(VALUE($O77),0)&gt;=Parametri!$B$2,"SI","NO")))</f>
        <v/>
      </c>
      <c r="H77" s="57">
        <f>IF($G77="SI",SUMPRODUCT(MAX(($C$2:$C$81=$C77)*(IFERROR($D$2:$D$81*1,0)=1)*(IFERROR($O$2:$O$81*1,0)&gt;=Parametri!$B$2)*IFERROR($F$2:$F$81*1,0))),0)</f>
        <v/>
      </c>
      <c r="I77" s="57">
        <f>IF($G77="SI",IF($H77&gt;0,30*(IFERROR($F77*1,0)/$H77),0),0)</f>
        <v/>
      </c>
      <c r="J77" s="57">
        <f>IF($A77="",0,IF($G77="SI",ROUND(IFERROR($E77*1,0)+$I77,4),ROUND(IFERROR($E77*1,0),4)))</f>
        <v/>
      </c>
      <c r="K77" s="57">
        <f>IF($A77="","",IF(IFERROR(VALUE($D77),0)&lt;&gt;1,"Non attiva",IF(IFERROR(VALUE($O77),0)&lt;Parametri!$B$2,"Sotto soglia","")))</f>
        <v/>
      </c>
      <c r="L77" s="57">
        <f>IF($A77="","",$A77&amp;"|"&amp;$C77)</f>
        <v/>
      </c>
      <c r="M77" s="57">
        <f>IF($A77="","",$C77&amp;"|"&amp;TEXT($J77,"0.0000"))</f>
        <v/>
      </c>
      <c r="N77" s="57" t="n"/>
      <c r="O77" s="57">
        <f>IF($A77="",0,IFERROR(IF(SUMIFS(CriteriTecnici!$O:$O,CriteriTecnici!$Q:$Q,$A77&amp;"|"&amp;$C77)&gt;0,SUMIFS(CriteriTecnici!$O:$O,CriteriTecnici!$Q:$Q,$A77&amp;"|"&amp;$C77,CriteriTecnici!$F:$F,"Q")+SUMIFS(CriteriTecnici!$O:$O,CriteriTecnici!$Q:$Q,$A77&amp;"|"&amp;$C77,CriteriTecnici!$F:$F,"T"),IFERROR($N77*1,0)),0))</f>
        <v/>
      </c>
      <c r="P77" s="57">
        <f>IF($A77="","",IF(SUMIFS(CriteriTecnici!$O:$O,CriteriTecnici!$Q:$Q,$A77&amp;"|"&amp;$C77)&gt;0,"Criteri A-G","Aggregato"))</f>
        <v/>
      </c>
    </row>
    <row r="78">
      <c r="A78" s="56">
        <f>IF(Compila!$A88="","",Compila!$A88)</f>
        <v/>
      </c>
      <c r="B78" s="56">
        <f>IF(Compila!$A88="","",Compila!$B88)</f>
        <v/>
      </c>
      <c r="C78" s="56">
        <f>IF(Compila!$A88="","",Compila!$C88)</f>
        <v/>
      </c>
      <c r="D78" s="56">
        <f>IF(Compila!$A88="","",Compila!$D88)</f>
        <v/>
      </c>
      <c r="E78" s="57">
        <f>IF($A78="",0,IFERROR(IF(SUMIFS(CriteriTecnici!$O:$O,CriteriTecnici!$Q:$Q,$A78&amp;"|"&amp;$C78)&gt;0,IF($G78="SI",ROUND(IF(SUMPRODUCT(MAX((CriteriTecnici!$C$5:$C$2484=$C78)*(CriteriTecnici!$E$5:$E$2484="A")*(CriteriTecnici!$T$5:$T$2484="SI")*IFERROR(CriteriTecnici!$O$5:$O$2484*1,0)))&gt;0,MIN(7,SUMIFS(CriteriTecnici!$O:$O,CriteriTecnici!$Q:$Q,$A78&amp;"|"&amp;$C78,CriteriTecnici!$E:$E,"A")*(7/SUMPRODUCT(MAX((CriteriTecnici!$C$5:$C$2484=$C78)*(CriteriTecnici!$E$5:$E$2484="A")*(CriteriTecnici!$T$5:$T$2484="SI")*IFERROR(CriteriTecnici!$O$5:$O$2484*1,0))))),0)+IF(SUMPRODUCT(MAX((CriteriTecnici!$C$5:$C$2484=$C78)*(CriteriTecnici!$E$5:$E$2484="B")*(CriteriTecnici!$T$5:$T$2484="SI")*IFERROR(CriteriTecnici!$O$5:$O$2484*1,0)))&gt;0,MIN(14,SUMIFS(CriteriTecnici!$O:$O,CriteriTecnici!$Q:$Q,$A78&amp;"|"&amp;$C78,CriteriTecnici!$E:$E,"B")*(14/SUMPRODUCT(MAX((CriteriTecnici!$C$5:$C$2484=$C78)*(CriteriTecnici!$E$5:$E$2484="B")*(CriteriTecnici!$T$5:$T$2484="SI")*IFERROR(CriteriTecnici!$O$5:$O$2484*1,0))))),0)+IF(SUMPRODUCT(MAX((CriteriTecnici!$C$5:$C$2484=$C78)*(CriteriTecnici!$E$5:$E$2484="C")*(CriteriTecnici!$T$5:$T$2484="SI")*IFERROR(CriteriTecnici!$O$5:$O$2484*1,0)))&gt;0,MIN(14,SUMIFS(CriteriTecnici!$O:$O,CriteriTecnici!$Q:$Q,$A78&amp;"|"&amp;$C78,CriteriTecnici!$E:$E,"C")*(14/SUMPRODUCT(MAX((CriteriTecnici!$C$5:$C$2484=$C78)*(CriteriTecnici!$E$5:$E$2484="C")*(CriteriTecnici!$T$5:$T$2484="SI")*IFERROR(CriteriTecnici!$O$5:$O$2484*1,0))))),0)+IF(SUMPRODUCT(MAX((CriteriTecnici!$C$5:$C$2484=$C78)*(CriteriTecnici!$E$5:$E$2484="D")*(CriteriTecnici!$T$5:$T$2484="SI")*IFERROR(CriteriTecnici!$O$5:$O$2484*1,0)))&gt;0,MIN(10,SUMIFS(CriteriTecnici!$O:$O,CriteriTecnici!$Q:$Q,$A78&amp;"|"&amp;$C78,CriteriTecnici!$E:$E,"D")*(10/SUMPRODUCT(MAX((CriteriTecnici!$C$5:$C$2484=$C78)*(CriteriTecnici!$E$5:$E$2484="D")*(CriteriTecnici!$T$5:$T$2484="SI")*IFERROR(CriteriTecnici!$O$5:$O$2484*1,0))))),0)+IF(SUMPRODUCT(MAX((CriteriTecnici!$C$5:$C$2484=$C78)*(CriteriTecnici!$E$5:$E$2484="E")*(CriteriTecnici!$T$5:$T$2484="SI")*IFERROR(CriteriTecnici!$O$5:$O$2484*1,0)))&gt;0,MIN(4,SUMIFS(CriteriTecnici!$O:$O,CriteriTecnici!$Q:$Q,$A78&amp;"|"&amp;$C78,CriteriTecnici!$E:$E,"E")*(4/SUMPRODUCT(MAX((CriteriTecnici!$C$5:$C$2484=$C78)*(CriteriTecnici!$E$5:$E$2484="E")*(CriteriTecnici!$T$5:$T$2484="SI")*IFERROR(CriteriTecnici!$O$5:$O$2484*1,0))))),0)+IF(SUMPRODUCT(MAX((CriteriTecnici!$C$5:$C$2484=$C78)*(CriteriTecnici!$E$5:$E$2484="F")*(CriteriTecnici!$T$5:$T$2484="SI")*IFERROR(CriteriTecnici!$O$5:$O$2484*1,0)))&gt;0,MIN(14,SUMIFS(CriteriTecnici!$O:$O,CriteriTecnici!$Q:$Q,$A78&amp;"|"&amp;$C78,CriteriTecnici!$E:$E,"F")*(14/SUMPRODUCT(MAX((CriteriTecnici!$C$5:$C$2484=$C78)*(CriteriTecnici!$E$5:$E$2484="F")*(CriteriTecnici!$T$5:$T$2484="SI")*IFERROR(CriteriTecnici!$O$5:$O$2484*1,0))))),0)+IF(SUMPRODUCT(MAX((CriteriTecnici!$C$5:$C$2484=$C78)*(CriteriTecnici!$E$5:$E$2484="G")*(CriteriTecnici!$T$5:$T$2484="SI")*IFERROR(CriteriTecnici!$O$5:$O$2484*1,0)))&gt;0,MIN(7,SUMIFS(CriteriTecnici!$O:$O,CriteriTecnici!$Q:$Q,$A78&amp;"|"&amp;$C78,CriteriTecnici!$E:$E,"G")*(7/SUMPRODUCT(MAX((CriteriTecnici!$C$5:$C$2484=$C78)*(CriteriTecnici!$E$5:$E$2484="G")*(CriteriTecnici!$T$5:$T$2484="SI")*IFERROR(CriteriTecnici!$O$5:$O$2484*1,0))))),0),4),0),IFERROR($N78*1,0)),0))</f>
        <v/>
      </c>
      <c r="F78" s="56">
        <f>IF(Compila!$A88="","",Compila!$E88)</f>
        <v/>
      </c>
      <c r="G78" s="57">
        <f>IF($A78="","",IF(IFERROR(VALUE($D78),0)&lt;&gt;1,"NO",IF(IFERROR(VALUE($O78),0)&gt;=Parametri!$B$2,"SI","NO")))</f>
        <v/>
      </c>
      <c r="H78" s="57">
        <f>IF($G78="SI",SUMPRODUCT(MAX(($C$2:$C$81=$C78)*(IFERROR($D$2:$D$81*1,0)=1)*(IFERROR($O$2:$O$81*1,0)&gt;=Parametri!$B$2)*IFERROR($F$2:$F$81*1,0))),0)</f>
        <v/>
      </c>
      <c r="I78" s="57">
        <f>IF($G78="SI",IF($H78&gt;0,30*(IFERROR($F78*1,0)/$H78),0),0)</f>
        <v/>
      </c>
      <c r="J78" s="57">
        <f>IF($A78="",0,IF($G78="SI",ROUND(IFERROR($E78*1,0)+$I78,4),ROUND(IFERROR($E78*1,0),4)))</f>
        <v/>
      </c>
      <c r="K78" s="57">
        <f>IF($A78="","",IF(IFERROR(VALUE($D78),0)&lt;&gt;1,"Non attiva",IF(IFERROR(VALUE($O78),0)&lt;Parametri!$B$2,"Sotto soglia","")))</f>
        <v/>
      </c>
      <c r="L78" s="57">
        <f>IF($A78="","",$A78&amp;"|"&amp;$C78)</f>
        <v/>
      </c>
      <c r="M78" s="57">
        <f>IF($A78="","",$C78&amp;"|"&amp;TEXT($J78,"0.0000"))</f>
        <v/>
      </c>
      <c r="N78" s="57" t="n"/>
      <c r="O78" s="57">
        <f>IF($A78="",0,IFERROR(IF(SUMIFS(CriteriTecnici!$O:$O,CriteriTecnici!$Q:$Q,$A78&amp;"|"&amp;$C78)&gt;0,SUMIFS(CriteriTecnici!$O:$O,CriteriTecnici!$Q:$Q,$A78&amp;"|"&amp;$C78,CriteriTecnici!$F:$F,"Q")+SUMIFS(CriteriTecnici!$O:$O,CriteriTecnici!$Q:$Q,$A78&amp;"|"&amp;$C78,CriteriTecnici!$F:$F,"T"),IFERROR($N78*1,0)),0))</f>
        <v/>
      </c>
      <c r="P78" s="57">
        <f>IF($A78="","",IF(SUMIFS(CriteriTecnici!$O:$O,CriteriTecnici!$Q:$Q,$A78&amp;"|"&amp;$C78)&gt;0,"Criteri A-G","Aggregato"))</f>
        <v/>
      </c>
    </row>
    <row r="79">
      <c r="A79" s="56">
        <f>IF(Compila!$A89="","",Compila!$A89)</f>
        <v/>
      </c>
      <c r="B79" s="56">
        <f>IF(Compila!$A89="","",Compila!$B89)</f>
        <v/>
      </c>
      <c r="C79" s="56">
        <f>IF(Compila!$A89="","",Compila!$C89)</f>
        <v/>
      </c>
      <c r="D79" s="56">
        <f>IF(Compila!$A89="","",Compila!$D89)</f>
        <v/>
      </c>
      <c r="E79" s="57">
        <f>IF($A79="",0,IFERROR(IF(SUMIFS(CriteriTecnici!$O:$O,CriteriTecnici!$Q:$Q,$A79&amp;"|"&amp;$C79)&gt;0,IF($G79="SI",ROUND(IF(SUMPRODUCT(MAX((CriteriTecnici!$C$5:$C$2484=$C79)*(CriteriTecnici!$E$5:$E$2484="A")*(CriteriTecnici!$T$5:$T$2484="SI")*IFERROR(CriteriTecnici!$O$5:$O$2484*1,0)))&gt;0,MIN(7,SUMIFS(CriteriTecnici!$O:$O,CriteriTecnici!$Q:$Q,$A79&amp;"|"&amp;$C79,CriteriTecnici!$E:$E,"A")*(7/SUMPRODUCT(MAX((CriteriTecnici!$C$5:$C$2484=$C79)*(CriteriTecnici!$E$5:$E$2484="A")*(CriteriTecnici!$T$5:$T$2484="SI")*IFERROR(CriteriTecnici!$O$5:$O$2484*1,0))))),0)+IF(SUMPRODUCT(MAX((CriteriTecnici!$C$5:$C$2484=$C79)*(CriteriTecnici!$E$5:$E$2484="B")*(CriteriTecnici!$T$5:$T$2484="SI")*IFERROR(CriteriTecnici!$O$5:$O$2484*1,0)))&gt;0,MIN(14,SUMIFS(CriteriTecnici!$O:$O,CriteriTecnici!$Q:$Q,$A79&amp;"|"&amp;$C79,CriteriTecnici!$E:$E,"B")*(14/SUMPRODUCT(MAX((CriteriTecnici!$C$5:$C$2484=$C79)*(CriteriTecnici!$E$5:$E$2484="B")*(CriteriTecnici!$T$5:$T$2484="SI")*IFERROR(CriteriTecnici!$O$5:$O$2484*1,0))))),0)+IF(SUMPRODUCT(MAX((CriteriTecnici!$C$5:$C$2484=$C79)*(CriteriTecnici!$E$5:$E$2484="C")*(CriteriTecnici!$T$5:$T$2484="SI")*IFERROR(CriteriTecnici!$O$5:$O$2484*1,0)))&gt;0,MIN(14,SUMIFS(CriteriTecnici!$O:$O,CriteriTecnici!$Q:$Q,$A79&amp;"|"&amp;$C79,CriteriTecnici!$E:$E,"C")*(14/SUMPRODUCT(MAX((CriteriTecnici!$C$5:$C$2484=$C79)*(CriteriTecnici!$E$5:$E$2484="C")*(CriteriTecnici!$T$5:$T$2484="SI")*IFERROR(CriteriTecnici!$O$5:$O$2484*1,0))))),0)+IF(SUMPRODUCT(MAX((CriteriTecnici!$C$5:$C$2484=$C79)*(CriteriTecnici!$E$5:$E$2484="D")*(CriteriTecnici!$T$5:$T$2484="SI")*IFERROR(CriteriTecnici!$O$5:$O$2484*1,0)))&gt;0,MIN(10,SUMIFS(CriteriTecnici!$O:$O,CriteriTecnici!$Q:$Q,$A79&amp;"|"&amp;$C79,CriteriTecnici!$E:$E,"D")*(10/SUMPRODUCT(MAX((CriteriTecnici!$C$5:$C$2484=$C79)*(CriteriTecnici!$E$5:$E$2484="D")*(CriteriTecnici!$T$5:$T$2484="SI")*IFERROR(CriteriTecnici!$O$5:$O$2484*1,0))))),0)+IF(SUMPRODUCT(MAX((CriteriTecnici!$C$5:$C$2484=$C79)*(CriteriTecnici!$E$5:$E$2484="E")*(CriteriTecnici!$T$5:$T$2484="SI")*IFERROR(CriteriTecnici!$O$5:$O$2484*1,0)))&gt;0,MIN(4,SUMIFS(CriteriTecnici!$O:$O,CriteriTecnici!$Q:$Q,$A79&amp;"|"&amp;$C79,CriteriTecnici!$E:$E,"E")*(4/SUMPRODUCT(MAX((CriteriTecnici!$C$5:$C$2484=$C79)*(CriteriTecnici!$E$5:$E$2484="E")*(CriteriTecnici!$T$5:$T$2484="SI")*IFERROR(CriteriTecnici!$O$5:$O$2484*1,0))))),0)+IF(SUMPRODUCT(MAX((CriteriTecnici!$C$5:$C$2484=$C79)*(CriteriTecnici!$E$5:$E$2484="F")*(CriteriTecnici!$T$5:$T$2484="SI")*IFERROR(CriteriTecnici!$O$5:$O$2484*1,0)))&gt;0,MIN(14,SUMIFS(CriteriTecnici!$O:$O,CriteriTecnici!$Q:$Q,$A79&amp;"|"&amp;$C79,CriteriTecnici!$E:$E,"F")*(14/SUMPRODUCT(MAX((CriteriTecnici!$C$5:$C$2484=$C79)*(CriteriTecnici!$E$5:$E$2484="F")*(CriteriTecnici!$T$5:$T$2484="SI")*IFERROR(CriteriTecnici!$O$5:$O$2484*1,0))))),0)+IF(SUMPRODUCT(MAX((CriteriTecnici!$C$5:$C$2484=$C79)*(CriteriTecnici!$E$5:$E$2484="G")*(CriteriTecnici!$T$5:$T$2484="SI")*IFERROR(CriteriTecnici!$O$5:$O$2484*1,0)))&gt;0,MIN(7,SUMIFS(CriteriTecnici!$O:$O,CriteriTecnici!$Q:$Q,$A79&amp;"|"&amp;$C79,CriteriTecnici!$E:$E,"G")*(7/SUMPRODUCT(MAX((CriteriTecnici!$C$5:$C$2484=$C79)*(CriteriTecnici!$E$5:$E$2484="G")*(CriteriTecnici!$T$5:$T$2484="SI")*IFERROR(CriteriTecnici!$O$5:$O$2484*1,0))))),0),4),0),IFERROR($N79*1,0)),0))</f>
        <v/>
      </c>
      <c r="F79" s="56">
        <f>IF(Compila!$A89="","",Compila!$E89)</f>
        <v/>
      </c>
      <c r="G79" s="57">
        <f>IF($A79="","",IF(IFERROR(VALUE($D79),0)&lt;&gt;1,"NO",IF(IFERROR(VALUE($O79),0)&gt;=Parametri!$B$2,"SI","NO")))</f>
        <v/>
      </c>
      <c r="H79" s="57">
        <f>IF($G79="SI",SUMPRODUCT(MAX(($C$2:$C$81=$C79)*(IFERROR($D$2:$D$81*1,0)=1)*(IFERROR($O$2:$O$81*1,0)&gt;=Parametri!$B$2)*IFERROR($F$2:$F$81*1,0))),0)</f>
        <v/>
      </c>
      <c r="I79" s="57">
        <f>IF($G79="SI",IF($H79&gt;0,30*(IFERROR($F79*1,0)/$H79),0),0)</f>
        <v/>
      </c>
      <c r="J79" s="57">
        <f>IF($A79="",0,IF($G79="SI",ROUND(IFERROR($E79*1,0)+$I79,4),ROUND(IFERROR($E79*1,0),4)))</f>
        <v/>
      </c>
      <c r="K79" s="57">
        <f>IF($A79="","",IF(IFERROR(VALUE($D79),0)&lt;&gt;1,"Non attiva",IF(IFERROR(VALUE($O79),0)&lt;Parametri!$B$2,"Sotto soglia","")))</f>
        <v/>
      </c>
      <c r="L79" s="57">
        <f>IF($A79="","",$A79&amp;"|"&amp;$C79)</f>
        <v/>
      </c>
      <c r="M79" s="57">
        <f>IF($A79="","",$C79&amp;"|"&amp;TEXT($J79,"0.0000"))</f>
        <v/>
      </c>
      <c r="N79" s="57" t="n"/>
      <c r="O79" s="57">
        <f>IF($A79="",0,IFERROR(IF(SUMIFS(CriteriTecnici!$O:$O,CriteriTecnici!$Q:$Q,$A79&amp;"|"&amp;$C79)&gt;0,SUMIFS(CriteriTecnici!$O:$O,CriteriTecnici!$Q:$Q,$A79&amp;"|"&amp;$C79,CriteriTecnici!$F:$F,"Q")+SUMIFS(CriteriTecnici!$O:$O,CriteriTecnici!$Q:$Q,$A79&amp;"|"&amp;$C79,CriteriTecnici!$F:$F,"T"),IFERROR($N79*1,0)),0))</f>
        <v/>
      </c>
      <c r="P79" s="57">
        <f>IF($A79="","",IF(SUMIFS(CriteriTecnici!$O:$O,CriteriTecnici!$Q:$Q,$A79&amp;"|"&amp;$C79)&gt;0,"Criteri A-G","Aggregato"))</f>
        <v/>
      </c>
    </row>
    <row r="80">
      <c r="A80" s="56">
        <f>IF(Compila!$A90="","",Compila!$A90)</f>
        <v/>
      </c>
      <c r="B80" s="56">
        <f>IF(Compila!$A90="","",Compila!$B90)</f>
        <v/>
      </c>
      <c r="C80" s="56">
        <f>IF(Compila!$A90="","",Compila!$C90)</f>
        <v/>
      </c>
      <c r="D80" s="56">
        <f>IF(Compila!$A90="","",Compila!$D90)</f>
        <v/>
      </c>
      <c r="E80" s="57">
        <f>IF($A80="",0,IFERROR(IF(SUMIFS(CriteriTecnici!$O:$O,CriteriTecnici!$Q:$Q,$A80&amp;"|"&amp;$C80)&gt;0,IF($G80="SI",ROUND(IF(SUMPRODUCT(MAX((CriteriTecnici!$C$5:$C$2484=$C80)*(CriteriTecnici!$E$5:$E$2484="A")*(CriteriTecnici!$T$5:$T$2484="SI")*IFERROR(CriteriTecnici!$O$5:$O$2484*1,0)))&gt;0,MIN(7,SUMIFS(CriteriTecnici!$O:$O,CriteriTecnici!$Q:$Q,$A80&amp;"|"&amp;$C80,CriteriTecnici!$E:$E,"A")*(7/SUMPRODUCT(MAX((CriteriTecnici!$C$5:$C$2484=$C80)*(CriteriTecnici!$E$5:$E$2484="A")*(CriteriTecnici!$T$5:$T$2484="SI")*IFERROR(CriteriTecnici!$O$5:$O$2484*1,0))))),0)+IF(SUMPRODUCT(MAX((CriteriTecnici!$C$5:$C$2484=$C80)*(CriteriTecnici!$E$5:$E$2484="B")*(CriteriTecnici!$T$5:$T$2484="SI")*IFERROR(CriteriTecnici!$O$5:$O$2484*1,0)))&gt;0,MIN(14,SUMIFS(CriteriTecnici!$O:$O,CriteriTecnici!$Q:$Q,$A80&amp;"|"&amp;$C80,CriteriTecnici!$E:$E,"B")*(14/SUMPRODUCT(MAX((CriteriTecnici!$C$5:$C$2484=$C80)*(CriteriTecnici!$E$5:$E$2484="B")*(CriteriTecnici!$T$5:$T$2484="SI")*IFERROR(CriteriTecnici!$O$5:$O$2484*1,0))))),0)+IF(SUMPRODUCT(MAX((CriteriTecnici!$C$5:$C$2484=$C80)*(CriteriTecnici!$E$5:$E$2484="C")*(CriteriTecnici!$T$5:$T$2484="SI")*IFERROR(CriteriTecnici!$O$5:$O$2484*1,0)))&gt;0,MIN(14,SUMIFS(CriteriTecnici!$O:$O,CriteriTecnici!$Q:$Q,$A80&amp;"|"&amp;$C80,CriteriTecnici!$E:$E,"C")*(14/SUMPRODUCT(MAX((CriteriTecnici!$C$5:$C$2484=$C80)*(CriteriTecnici!$E$5:$E$2484="C")*(CriteriTecnici!$T$5:$T$2484="SI")*IFERROR(CriteriTecnici!$O$5:$O$2484*1,0))))),0)+IF(SUMPRODUCT(MAX((CriteriTecnici!$C$5:$C$2484=$C80)*(CriteriTecnici!$E$5:$E$2484="D")*(CriteriTecnici!$T$5:$T$2484="SI")*IFERROR(CriteriTecnici!$O$5:$O$2484*1,0)))&gt;0,MIN(10,SUMIFS(CriteriTecnici!$O:$O,CriteriTecnici!$Q:$Q,$A80&amp;"|"&amp;$C80,CriteriTecnici!$E:$E,"D")*(10/SUMPRODUCT(MAX((CriteriTecnici!$C$5:$C$2484=$C80)*(CriteriTecnici!$E$5:$E$2484="D")*(CriteriTecnici!$T$5:$T$2484="SI")*IFERROR(CriteriTecnici!$O$5:$O$2484*1,0))))),0)+IF(SUMPRODUCT(MAX((CriteriTecnici!$C$5:$C$2484=$C80)*(CriteriTecnici!$E$5:$E$2484="E")*(CriteriTecnici!$T$5:$T$2484="SI")*IFERROR(CriteriTecnici!$O$5:$O$2484*1,0)))&gt;0,MIN(4,SUMIFS(CriteriTecnici!$O:$O,CriteriTecnici!$Q:$Q,$A80&amp;"|"&amp;$C80,CriteriTecnici!$E:$E,"E")*(4/SUMPRODUCT(MAX((CriteriTecnici!$C$5:$C$2484=$C80)*(CriteriTecnici!$E$5:$E$2484="E")*(CriteriTecnici!$T$5:$T$2484="SI")*IFERROR(CriteriTecnici!$O$5:$O$2484*1,0))))),0)+IF(SUMPRODUCT(MAX((CriteriTecnici!$C$5:$C$2484=$C80)*(CriteriTecnici!$E$5:$E$2484="F")*(CriteriTecnici!$T$5:$T$2484="SI")*IFERROR(CriteriTecnici!$O$5:$O$2484*1,0)))&gt;0,MIN(14,SUMIFS(CriteriTecnici!$O:$O,CriteriTecnici!$Q:$Q,$A80&amp;"|"&amp;$C80,CriteriTecnici!$E:$E,"F")*(14/SUMPRODUCT(MAX((CriteriTecnici!$C$5:$C$2484=$C80)*(CriteriTecnici!$E$5:$E$2484="F")*(CriteriTecnici!$T$5:$T$2484="SI")*IFERROR(CriteriTecnici!$O$5:$O$2484*1,0))))),0)+IF(SUMPRODUCT(MAX((CriteriTecnici!$C$5:$C$2484=$C80)*(CriteriTecnici!$E$5:$E$2484="G")*(CriteriTecnici!$T$5:$T$2484="SI")*IFERROR(CriteriTecnici!$O$5:$O$2484*1,0)))&gt;0,MIN(7,SUMIFS(CriteriTecnici!$O:$O,CriteriTecnici!$Q:$Q,$A80&amp;"|"&amp;$C80,CriteriTecnici!$E:$E,"G")*(7/SUMPRODUCT(MAX((CriteriTecnici!$C$5:$C$2484=$C80)*(CriteriTecnici!$E$5:$E$2484="G")*(CriteriTecnici!$T$5:$T$2484="SI")*IFERROR(CriteriTecnici!$O$5:$O$2484*1,0))))),0),4),0),IFERROR($N80*1,0)),0))</f>
        <v/>
      </c>
      <c r="F80" s="56">
        <f>IF(Compila!$A90="","",Compila!$E90)</f>
        <v/>
      </c>
      <c r="G80" s="57">
        <f>IF($A80="","",IF(IFERROR(VALUE($D80),0)&lt;&gt;1,"NO",IF(IFERROR(VALUE($O80),0)&gt;=Parametri!$B$2,"SI","NO")))</f>
        <v/>
      </c>
      <c r="H80" s="57">
        <f>IF($G80="SI",SUMPRODUCT(MAX(($C$2:$C$81=$C80)*(IFERROR($D$2:$D$81*1,0)=1)*(IFERROR($O$2:$O$81*1,0)&gt;=Parametri!$B$2)*IFERROR($F$2:$F$81*1,0))),0)</f>
        <v/>
      </c>
      <c r="I80" s="57">
        <f>IF($G80="SI",IF($H80&gt;0,30*(IFERROR($F80*1,0)/$H80),0),0)</f>
        <v/>
      </c>
      <c r="J80" s="57">
        <f>IF($A80="",0,IF($G80="SI",ROUND(IFERROR($E80*1,0)+$I80,4),ROUND(IFERROR($E80*1,0),4)))</f>
        <v/>
      </c>
      <c r="K80" s="57">
        <f>IF($A80="","",IF(IFERROR(VALUE($D80),0)&lt;&gt;1,"Non attiva",IF(IFERROR(VALUE($O80),0)&lt;Parametri!$B$2,"Sotto soglia","")))</f>
        <v/>
      </c>
      <c r="L80" s="57">
        <f>IF($A80="","",$A80&amp;"|"&amp;$C80)</f>
        <v/>
      </c>
      <c r="M80" s="57">
        <f>IF($A80="","",$C80&amp;"|"&amp;TEXT($J80,"0.0000"))</f>
        <v/>
      </c>
      <c r="N80" s="57" t="n"/>
      <c r="O80" s="57">
        <f>IF($A80="",0,IFERROR(IF(SUMIFS(CriteriTecnici!$O:$O,CriteriTecnici!$Q:$Q,$A80&amp;"|"&amp;$C80)&gt;0,SUMIFS(CriteriTecnici!$O:$O,CriteriTecnici!$Q:$Q,$A80&amp;"|"&amp;$C80,CriteriTecnici!$F:$F,"Q")+SUMIFS(CriteriTecnici!$O:$O,CriteriTecnici!$Q:$Q,$A80&amp;"|"&amp;$C80,CriteriTecnici!$F:$F,"T"),IFERROR($N80*1,0)),0))</f>
        <v/>
      </c>
      <c r="P80" s="57">
        <f>IF($A80="","",IF(SUMIFS(CriteriTecnici!$O:$O,CriteriTecnici!$Q:$Q,$A80&amp;"|"&amp;$C80)&gt;0,"Criteri A-G","Aggregato"))</f>
        <v/>
      </c>
    </row>
    <row r="81">
      <c r="A81" s="56">
        <f>IF(Compila!$A91="","",Compila!$A91)</f>
        <v/>
      </c>
      <c r="B81" s="56">
        <f>IF(Compila!$A91="","",Compila!$B91)</f>
        <v/>
      </c>
      <c r="C81" s="56">
        <f>IF(Compila!$A91="","",Compila!$C91)</f>
        <v/>
      </c>
      <c r="D81" s="56">
        <f>IF(Compila!$A91="","",Compila!$D91)</f>
        <v/>
      </c>
      <c r="E81" s="57">
        <f>IF($A81="",0,IFERROR(IF(SUMIFS(CriteriTecnici!$O:$O,CriteriTecnici!$Q:$Q,$A81&amp;"|"&amp;$C81)&gt;0,IF($G81="SI",ROUND(IF(SUMPRODUCT(MAX((CriteriTecnici!$C$5:$C$2484=$C81)*(CriteriTecnici!$E$5:$E$2484="A")*(CriteriTecnici!$T$5:$T$2484="SI")*IFERROR(CriteriTecnici!$O$5:$O$2484*1,0)))&gt;0,MIN(7,SUMIFS(CriteriTecnici!$O:$O,CriteriTecnici!$Q:$Q,$A81&amp;"|"&amp;$C81,CriteriTecnici!$E:$E,"A")*(7/SUMPRODUCT(MAX((CriteriTecnici!$C$5:$C$2484=$C81)*(CriteriTecnici!$E$5:$E$2484="A")*(CriteriTecnici!$T$5:$T$2484="SI")*IFERROR(CriteriTecnici!$O$5:$O$2484*1,0))))),0)+IF(SUMPRODUCT(MAX((CriteriTecnici!$C$5:$C$2484=$C81)*(CriteriTecnici!$E$5:$E$2484="B")*(CriteriTecnici!$T$5:$T$2484="SI")*IFERROR(CriteriTecnici!$O$5:$O$2484*1,0)))&gt;0,MIN(14,SUMIFS(CriteriTecnici!$O:$O,CriteriTecnici!$Q:$Q,$A81&amp;"|"&amp;$C81,CriteriTecnici!$E:$E,"B")*(14/SUMPRODUCT(MAX((CriteriTecnici!$C$5:$C$2484=$C81)*(CriteriTecnici!$E$5:$E$2484="B")*(CriteriTecnici!$T$5:$T$2484="SI")*IFERROR(CriteriTecnici!$O$5:$O$2484*1,0))))),0)+IF(SUMPRODUCT(MAX((CriteriTecnici!$C$5:$C$2484=$C81)*(CriteriTecnici!$E$5:$E$2484="C")*(CriteriTecnici!$T$5:$T$2484="SI")*IFERROR(CriteriTecnici!$O$5:$O$2484*1,0)))&gt;0,MIN(14,SUMIFS(CriteriTecnici!$O:$O,CriteriTecnici!$Q:$Q,$A81&amp;"|"&amp;$C81,CriteriTecnici!$E:$E,"C")*(14/SUMPRODUCT(MAX((CriteriTecnici!$C$5:$C$2484=$C81)*(CriteriTecnici!$E$5:$E$2484="C")*(CriteriTecnici!$T$5:$T$2484="SI")*IFERROR(CriteriTecnici!$O$5:$O$2484*1,0))))),0)+IF(SUMPRODUCT(MAX((CriteriTecnici!$C$5:$C$2484=$C81)*(CriteriTecnici!$E$5:$E$2484="D")*(CriteriTecnici!$T$5:$T$2484="SI")*IFERROR(CriteriTecnici!$O$5:$O$2484*1,0)))&gt;0,MIN(10,SUMIFS(CriteriTecnici!$O:$O,CriteriTecnici!$Q:$Q,$A81&amp;"|"&amp;$C81,CriteriTecnici!$E:$E,"D")*(10/SUMPRODUCT(MAX((CriteriTecnici!$C$5:$C$2484=$C81)*(CriteriTecnici!$E$5:$E$2484="D")*(CriteriTecnici!$T$5:$T$2484="SI")*IFERROR(CriteriTecnici!$O$5:$O$2484*1,0))))),0)+IF(SUMPRODUCT(MAX((CriteriTecnici!$C$5:$C$2484=$C81)*(CriteriTecnici!$E$5:$E$2484="E")*(CriteriTecnici!$T$5:$T$2484="SI")*IFERROR(CriteriTecnici!$O$5:$O$2484*1,0)))&gt;0,MIN(4,SUMIFS(CriteriTecnici!$O:$O,CriteriTecnici!$Q:$Q,$A81&amp;"|"&amp;$C81,CriteriTecnici!$E:$E,"E")*(4/SUMPRODUCT(MAX((CriteriTecnici!$C$5:$C$2484=$C81)*(CriteriTecnici!$E$5:$E$2484="E")*(CriteriTecnici!$T$5:$T$2484="SI")*IFERROR(CriteriTecnici!$O$5:$O$2484*1,0))))),0)+IF(SUMPRODUCT(MAX((CriteriTecnici!$C$5:$C$2484=$C81)*(CriteriTecnici!$E$5:$E$2484="F")*(CriteriTecnici!$T$5:$T$2484="SI")*IFERROR(CriteriTecnici!$O$5:$O$2484*1,0)))&gt;0,MIN(14,SUMIFS(CriteriTecnici!$O:$O,CriteriTecnici!$Q:$Q,$A81&amp;"|"&amp;$C81,CriteriTecnici!$E:$E,"F")*(14/SUMPRODUCT(MAX((CriteriTecnici!$C$5:$C$2484=$C81)*(CriteriTecnici!$E$5:$E$2484="F")*(CriteriTecnici!$T$5:$T$2484="SI")*IFERROR(CriteriTecnici!$O$5:$O$2484*1,0))))),0)+IF(SUMPRODUCT(MAX((CriteriTecnici!$C$5:$C$2484=$C81)*(CriteriTecnici!$E$5:$E$2484="G")*(CriteriTecnici!$T$5:$T$2484="SI")*IFERROR(CriteriTecnici!$O$5:$O$2484*1,0)))&gt;0,MIN(7,SUMIFS(CriteriTecnici!$O:$O,CriteriTecnici!$Q:$Q,$A81&amp;"|"&amp;$C81,CriteriTecnici!$E:$E,"G")*(7/SUMPRODUCT(MAX((CriteriTecnici!$C$5:$C$2484=$C81)*(CriteriTecnici!$E$5:$E$2484="G")*(CriteriTecnici!$T$5:$T$2484="SI")*IFERROR(CriteriTecnici!$O$5:$O$2484*1,0))))),0),4),0),IFERROR($N81*1,0)),0))</f>
        <v/>
      </c>
      <c r="F81" s="56">
        <f>IF(Compila!$A91="","",Compila!$E91)</f>
        <v/>
      </c>
      <c r="G81" s="57">
        <f>IF($A81="","",IF(IFERROR(VALUE($D81),0)&lt;&gt;1,"NO",IF(IFERROR(VALUE($O81),0)&gt;=Parametri!$B$2,"SI","NO")))</f>
        <v/>
      </c>
      <c r="H81" s="57">
        <f>IF($G81="SI",SUMPRODUCT(MAX(($C$2:$C$81=$C81)*(IFERROR($D$2:$D$81*1,0)=1)*(IFERROR($O$2:$O$81*1,0)&gt;=Parametri!$B$2)*IFERROR($F$2:$F$81*1,0))),0)</f>
        <v/>
      </c>
      <c r="I81" s="57">
        <f>IF($G81="SI",IF($H81&gt;0,30*(IFERROR($F81*1,0)/$H81),0),0)</f>
        <v/>
      </c>
      <c r="J81" s="57">
        <f>IF($A81="",0,IF($G81="SI",ROUND(IFERROR($E81*1,0)+$I81,4),ROUND(IFERROR($E81*1,0),4)))</f>
        <v/>
      </c>
      <c r="K81" s="57">
        <f>IF($A81="","",IF(IFERROR(VALUE($D81),0)&lt;&gt;1,"Non attiva",IF(IFERROR(VALUE($O81),0)&lt;Parametri!$B$2,"Sotto soglia","")))</f>
        <v/>
      </c>
      <c r="L81" s="57">
        <f>IF($A81="","",$A81&amp;"|"&amp;$C81)</f>
        <v/>
      </c>
      <c r="M81" s="57">
        <f>IF($A81="","",$C81&amp;"|"&amp;TEXT($J81,"0.0000"))</f>
        <v/>
      </c>
      <c r="N81" s="57" t="n"/>
      <c r="O81" s="57">
        <f>IF($A81="",0,IFERROR(IF(SUMIFS(CriteriTecnici!$O:$O,CriteriTecnici!$Q:$Q,$A81&amp;"|"&amp;$C81)&gt;0,SUMIFS(CriteriTecnici!$O:$O,CriteriTecnici!$Q:$Q,$A81&amp;"|"&amp;$C81,CriteriTecnici!$F:$F,"Q")+SUMIFS(CriteriTecnici!$O:$O,CriteriTecnici!$Q:$Q,$A81&amp;"|"&amp;$C81,CriteriTecnici!$F:$F,"T"),IFERROR($N81*1,0)),0))</f>
        <v/>
      </c>
      <c r="P81" s="57">
        <f>IF($A81="","",IF(SUMIFS(CriteriTecnici!$O:$O,CriteriTecnici!$Q:$Q,$A81&amp;"|"&amp;$C81)&gt;0,"Criteri A-G","Aggregato"))</f>
        <v/>
      </c>
    </row>
    <row r="82">
      <c r="A82" s="56">
        <f>IF(Compila!$A92="","",Compila!$A92)</f>
        <v/>
      </c>
      <c r="B82" s="56">
        <f>IF(Compila!$A92="","",Compila!$B92)</f>
        <v/>
      </c>
      <c r="C82" s="56">
        <f>IF(Compila!$A92="","",Compila!$C92)</f>
        <v/>
      </c>
      <c r="D82" s="56">
        <f>IF(Compila!$A92="","",Compila!$D92)</f>
        <v/>
      </c>
      <c r="E82" s="57">
        <f>IF($A82="",0,IFERROR(IF(SUMIFS(CriteriTecnici!$O:$O,CriteriTecnici!$Q:$Q,$A82&amp;"|"&amp;$C82)&gt;0,IF($G82="SI",ROUND(IF(SUMPRODUCT(MAX((CriteriTecnici!$C$5:$C$6173=$C82)*(CriteriTecnici!$E$5:$E$6173="A")*(CriteriTecnici!$T$5:$T$6173="SI")*IFERROR(CriteriTecnici!$O$5:$O$6173*1,0)))&gt;0,MIN(7,SUMIFS(CriteriTecnici!$O:$O,CriteriTecnici!$Q:$Q,$A82&amp;"|"&amp;$C82,CriteriTecnici!$E:$E,"A")*(7/SUMPRODUCT(MAX((CriteriTecnici!$C$5:$C$6173=$C82)*(CriteriTecnici!$E$5:$E$6173="A")*(CriteriTecnici!$T$5:$T$6173="SI")*IFERROR(CriteriTecnici!$O$5:$O$6173*1,0))))),0)+IF(SUMPRODUCT(MAX((CriteriTecnici!$C$5:$C$6173=$C82)*(CriteriTecnici!$E$5:$E$6173="B")*(CriteriTecnici!$T$5:$T$6173="SI")*IFERROR(CriteriTecnici!$O$5:$O$6173*1,0)))&gt;0,MIN(14,SUMIFS(CriteriTecnici!$O:$O,CriteriTecnici!$Q:$Q,$A82&amp;"|"&amp;$C82,CriteriTecnici!$E:$E,"B")*(14/SUMPRODUCT(MAX((CriteriTecnici!$C$5:$C$6173=$C82)*(CriteriTecnici!$E$5:$E$6173="B")*(CriteriTecnici!$T$5:$T$6173="SI")*IFERROR(CriteriTecnici!$O$5:$O$6173*1,0))))),0)+IF(SUMPRODUCT(MAX((CriteriTecnici!$C$5:$C$6173=$C82)*(CriteriTecnici!$E$5:$E$6173="C")*(CriteriTecnici!$T$5:$T$6173="SI")*IFERROR(CriteriTecnici!$O$5:$O$6173*1,0)))&gt;0,MIN(14,SUMIFS(CriteriTecnici!$O:$O,CriteriTecnici!$Q:$Q,$A82&amp;"|"&amp;$C82,CriteriTecnici!$E:$E,"C")*(14/SUMPRODUCT(MAX((CriteriTecnici!$C$5:$C$6173=$C82)*(CriteriTecnici!$E$5:$E$6173="C")*(CriteriTecnici!$T$5:$T$6173="SI")*IFERROR(CriteriTecnici!$O$5:$O$6173*1,0))))),0)+IF(SUMPRODUCT(MAX((CriteriTecnici!$C$5:$C$6173=$C82)*(CriteriTecnici!$E$5:$E$6173="D")*(CriteriTecnici!$T$5:$T$6173="SI")*IFERROR(CriteriTecnici!$O$5:$O$6173*1,0)))&gt;0,MIN(10,SUMIFS(CriteriTecnici!$O:$O,CriteriTecnici!$Q:$Q,$A82&amp;"|"&amp;$C82,CriteriTecnici!$E:$E,"D")*(10/SUMPRODUCT(MAX((CriteriTecnici!$C$5:$C$6173=$C82)*(CriteriTecnici!$E$5:$E$6173="D")*(CriteriTecnici!$T$5:$T$6173="SI")*IFERROR(CriteriTecnici!$O$5:$O$6173*1,0))))),0)+IF(SUMPRODUCT(MAX((CriteriTecnici!$C$5:$C$6173=$C82)*(CriteriTecnici!$E$5:$E$6173="E")*(CriteriTecnici!$T$5:$T$6173="SI")*IFERROR(CriteriTecnici!$O$5:$O$6173*1,0)))&gt;0,MIN(4,SUMIFS(CriteriTecnici!$O:$O,CriteriTecnici!$Q:$Q,$A82&amp;"|"&amp;$C82,CriteriTecnici!$E:$E,"E")*(4/SUMPRODUCT(MAX((CriteriTecnici!$C$5:$C$6173=$C82)*(CriteriTecnici!$E$5:$E$6173="E")*(CriteriTecnici!$T$5:$T$6173="SI")*IFERROR(CriteriTecnici!$O$5:$O$6173*1,0))))),0)+IF(SUMPRODUCT(MAX((CriteriTecnici!$C$5:$C$6173=$C82)*(CriteriTecnici!$E$5:$E$6173="F")*(CriteriTecnici!$T$5:$T$6173="SI")*IFERROR(CriteriTecnici!$O$5:$O$6173*1,0)))&gt;0,MIN(14,SUMIFS(CriteriTecnici!$O:$O,CriteriTecnici!$Q:$Q,$A82&amp;"|"&amp;$C82,CriteriTecnici!$E:$E,"F")*(14/SUMPRODUCT(MAX((CriteriTecnici!$C$5:$C$6173=$C82)*(CriteriTecnici!$E$5:$E$6173="F")*(CriteriTecnici!$T$5:$T$6173="SI")*IFERROR(CriteriTecnici!$O$5:$O$6173*1,0))))),0)+IF(SUMPRODUCT(MAX((CriteriTecnici!$C$5:$C$6173=$C82)*(CriteriTecnici!$E$5:$E$6173="G")*(CriteriTecnici!$T$5:$T$6173="SI")*IFERROR(CriteriTecnici!$O$5:$O$6173*1,0)))&gt;0,MIN(7,SUMIFS(CriteriTecnici!$O:$O,CriteriTecnici!$Q:$Q,$A82&amp;"|"&amp;$C82,CriteriTecnici!$E:$E,"G")*(7/SUMPRODUCT(MAX((CriteriTecnici!$C$5:$C$6173=$C82)*(CriteriTecnici!$E$5:$E$6173="G")*(CriteriTecnici!$T$5:$T$6173="SI")*IFERROR(CriteriTecnici!$O$5:$O$6173*1,0))))),0),4),0),IFERROR($N82*1,0)),0))</f>
        <v/>
      </c>
      <c r="F82" s="56">
        <f>IF(Compila!$A92="","",Compila!$E92)</f>
        <v/>
      </c>
      <c r="G82" s="57">
        <f>IF($A82="","",IF(IFERROR(VALUE($D82),0)&lt;&gt;1,"NO",IF(IFERROR(VALUE($O82),0)&gt;=Parametri!$B$2,"SI","NO")))</f>
        <v/>
      </c>
      <c r="H82" s="57">
        <f>IF($G82="SI",SUMPRODUCT(MAX(($C$2:$C$200=$C82)*(IFERROR($D$2:$D$200*1,0)=1)*(IFERROR($O$2:$O$200*1,0)&gt;=Parametri!$B$2)*IFERROR($F$2:$F$200*1,0))),0)</f>
        <v/>
      </c>
      <c r="I82" s="57">
        <f>IF($G82="SI",IF($H82&gt;0,30*(IFERROR($F82*1,0)/$H82),0),0)</f>
        <v/>
      </c>
      <c r="J82" s="57">
        <f>IF($A82="",0,IF($G82="SI",ROUND(IFERROR($E82*1,0)+$I82,4),ROUND(IFERROR($E82*1,0),4)))</f>
        <v/>
      </c>
      <c r="K82" s="57">
        <f>IF($A82="","",IF(IFERROR(VALUE($D82),0)&lt;&gt;1,"Non attiva",IF(IFERROR(VALUE($O82),0)&lt;Parametri!$B$2,"Sotto soglia","")))</f>
        <v/>
      </c>
      <c r="L82" s="57">
        <f>IF($A82="","",$A82&amp;"|"&amp;$C82)</f>
        <v/>
      </c>
      <c r="M82" s="57">
        <f>IF($A82="","",$C82&amp;"|"&amp;TEXT($J82,"0.0000"))</f>
        <v/>
      </c>
      <c r="N82" s="57" t="n"/>
      <c r="O82" s="57">
        <f>IF($A82="",0,IFERROR(IF(SUMIFS(CriteriTecnici!$O:$O,CriteriTecnici!$Q:$Q,$A82&amp;"|"&amp;$C82)&gt;0,SUMIFS(CriteriTecnici!$O:$O,CriteriTecnici!$Q:$Q,$A82&amp;"|"&amp;$C82,CriteriTecnici!$F:$F,"Q")+SUMIFS(CriteriTecnici!$O:$O,CriteriTecnici!$Q:$Q,$A82&amp;"|"&amp;$C82,CriteriTecnici!$F:$F,"T"),IFERROR($N82*1,0)),0))</f>
        <v/>
      </c>
      <c r="P82" s="57">
        <f>IF($A82="","",IF(SUMIFS(CriteriTecnici!$O:$O,CriteriTecnici!$Q:$Q,$A82&amp;"|"&amp;$C82)&gt;0,"Criteri A-G","Aggregato"))</f>
        <v/>
      </c>
    </row>
    <row r="83">
      <c r="A83" s="56">
        <f>IF(Compila!$A93="","",Compila!$A93)</f>
        <v/>
      </c>
      <c r="B83" s="56">
        <f>IF(Compila!$A93="","",Compila!$B93)</f>
        <v/>
      </c>
      <c r="C83" s="56">
        <f>IF(Compila!$A93="","",Compila!$C93)</f>
        <v/>
      </c>
      <c r="D83" s="56">
        <f>IF(Compila!$A93="","",Compila!$D93)</f>
        <v/>
      </c>
      <c r="E83" s="57">
        <f>IF($A83="",0,IFERROR(IF(SUMIFS(CriteriTecnici!$O:$O,CriteriTecnici!$Q:$Q,$A83&amp;"|"&amp;$C83)&gt;0,IF($G83="SI",ROUND(IF(SUMPRODUCT(MAX((CriteriTecnici!$C$5:$C$6173=$C83)*(CriteriTecnici!$E$5:$E$6173="A")*(CriteriTecnici!$T$5:$T$6173="SI")*IFERROR(CriteriTecnici!$O$5:$O$6173*1,0)))&gt;0,MIN(7,SUMIFS(CriteriTecnici!$O:$O,CriteriTecnici!$Q:$Q,$A83&amp;"|"&amp;$C83,CriteriTecnici!$E:$E,"A")*(7/SUMPRODUCT(MAX((CriteriTecnici!$C$5:$C$6173=$C83)*(CriteriTecnici!$E$5:$E$6173="A")*(CriteriTecnici!$T$5:$T$6173="SI")*IFERROR(CriteriTecnici!$O$5:$O$6173*1,0))))),0)+IF(SUMPRODUCT(MAX((CriteriTecnici!$C$5:$C$6173=$C83)*(CriteriTecnici!$E$5:$E$6173="B")*(CriteriTecnici!$T$5:$T$6173="SI")*IFERROR(CriteriTecnici!$O$5:$O$6173*1,0)))&gt;0,MIN(14,SUMIFS(CriteriTecnici!$O:$O,CriteriTecnici!$Q:$Q,$A83&amp;"|"&amp;$C83,CriteriTecnici!$E:$E,"B")*(14/SUMPRODUCT(MAX((CriteriTecnici!$C$5:$C$6173=$C83)*(CriteriTecnici!$E$5:$E$6173="B")*(CriteriTecnici!$T$5:$T$6173="SI")*IFERROR(CriteriTecnici!$O$5:$O$6173*1,0))))),0)+IF(SUMPRODUCT(MAX((CriteriTecnici!$C$5:$C$6173=$C83)*(CriteriTecnici!$E$5:$E$6173="C")*(CriteriTecnici!$T$5:$T$6173="SI")*IFERROR(CriteriTecnici!$O$5:$O$6173*1,0)))&gt;0,MIN(14,SUMIFS(CriteriTecnici!$O:$O,CriteriTecnici!$Q:$Q,$A83&amp;"|"&amp;$C83,CriteriTecnici!$E:$E,"C")*(14/SUMPRODUCT(MAX((CriteriTecnici!$C$5:$C$6173=$C83)*(CriteriTecnici!$E$5:$E$6173="C")*(CriteriTecnici!$T$5:$T$6173="SI")*IFERROR(CriteriTecnici!$O$5:$O$6173*1,0))))),0)+IF(SUMPRODUCT(MAX((CriteriTecnici!$C$5:$C$6173=$C83)*(CriteriTecnici!$E$5:$E$6173="D")*(CriteriTecnici!$T$5:$T$6173="SI")*IFERROR(CriteriTecnici!$O$5:$O$6173*1,0)))&gt;0,MIN(10,SUMIFS(CriteriTecnici!$O:$O,CriteriTecnici!$Q:$Q,$A83&amp;"|"&amp;$C83,CriteriTecnici!$E:$E,"D")*(10/SUMPRODUCT(MAX((CriteriTecnici!$C$5:$C$6173=$C83)*(CriteriTecnici!$E$5:$E$6173="D")*(CriteriTecnici!$T$5:$T$6173="SI")*IFERROR(CriteriTecnici!$O$5:$O$6173*1,0))))),0)+IF(SUMPRODUCT(MAX((CriteriTecnici!$C$5:$C$6173=$C83)*(CriteriTecnici!$E$5:$E$6173="E")*(CriteriTecnici!$T$5:$T$6173="SI")*IFERROR(CriteriTecnici!$O$5:$O$6173*1,0)))&gt;0,MIN(4,SUMIFS(CriteriTecnici!$O:$O,CriteriTecnici!$Q:$Q,$A83&amp;"|"&amp;$C83,CriteriTecnici!$E:$E,"E")*(4/SUMPRODUCT(MAX((CriteriTecnici!$C$5:$C$6173=$C83)*(CriteriTecnici!$E$5:$E$6173="E")*(CriteriTecnici!$T$5:$T$6173="SI")*IFERROR(CriteriTecnici!$O$5:$O$6173*1,0))))),0)+IF(SUMPRODUCT(MAX((CriteriTecnici!$C$5:$C$6173=$C83)*(CriteriTecnici!$E$5:$E$6173="F")*(CriteriTecnici!$T$5:$T$6173="SI")*IFERROR(CriteriTecnici!$O$5:$O$6173*1,0)))&gt;0,MIN(14,SUMIFS(CriteriTecnici!$O:$O,CriteriTecnici!$Q:$Q,$A83&amp;"|"&amp;$C83,CriteriTecnici!$E:$E,"F")*(14/SUMPRODUCT(MAX((CriteriTecnici!$C$5:$C$6173=$C83)*(CriteriTecnici!$E$5:$E$6173="F")*(CriteriTecnici!$T$5:$T$6173="SI")*IFERROR(CriteriTecnici!$O$5:$O$6173*1,0))))),0)+IF(SUMPRODUCT(MAX((CriteriTecnici!$C$5:$C$6173=$C83)*(CriteriTecnici!$E$5:$E$6173="G")*(CriteriTecnici!$T$5:$T$6173="SI")*IFERROR(CriteriTecnici!$O$5:$O$6173*1,0)))&gt;0,MIN(7,SUMIFS(CriteriTecnici!$O:$O,CriteriTecnici!$Q:$Q,$A83&amp;"|"&amp;$C83,CriteriTecnici!$E:$E,"G")*(7/SUMPRODUCT(MAX((CriteriTecnici!$C$5:$C$6173=$C83)*(CriteriTecnici!$E$5:$E$6173="G")*(CriteriTecnici!$T$5:$T$6173="SI")*IFERROR(CriteriTecnici!$O$5:$O$6173*1,0))))),0),4),0),IFERROR($N83*1,0)),0))</f>
        <v/>
      </c>
      <c r="F83" s="56">
        <f>IF(Compila!$A93="","",Compila!$E93)</f>
        <v/>
      </c>
      <c r="G83" s="57">
        <f>IF($A83="","",IF(IFERROR(VALUE($D83),0)&lt;&gt;1,"NO",IF(IFERROR(VALUE($O83),0)&gt;=Parametri!$B$2,"SI","NO")))</f>
        <v/>
      </c>
      <c r="H83" s="57">
        <f>IF($G83="SI",SUMPRODUCT(MAX(($C$2:$C$200=$C83)*(IFERROR($D$2:$D$200*1,0)=1)*(IFERROR($O$2:$O$200*1,0)&gt;=Parametri!$B$2)*IFERROR($F$2:$F$200*1,0))),0)</f>
        <v/>
      </c>
      <c r="I83" s="57">
        <f>IF($G83="SI",IF($H83&gt;0,30*(IFERROR($F83*1,0)/$H83),0),0)</f>
        <v/>
      </c>
      <c r="J83" s="57">
        <f>IF($A83="",0,IF($G83="SI",ROUND(IFERROR($E83*1,0)+$I83,4),ROUND(IFERROR($E83*1,0),4)))</f>
        <v/>
      </c>
      <c r="K83" s="57">
        <f>IF($A83="","",IF(IFERROR(VALUE($D83),0)&lt;&gt;1,"Non attiva",IF(IFERROR(VALUE($O83),0)&lt;Parametri!$B$2,"Sotto soglia","")))</f>
        <v/>
      </c>
      <c r="L83" s="57">
        <f>IF($A83="","",$A83&amp;"|"&amp;$C83)</f>
        <v/>
      </c>
      <c r="M83" s="57">
        <f>IF($A83="","",$C83&amp;"|"&amp;TEXT($J83,"0.0000"))</f>
        <v/>
      </c>
      <c r="N83" s="57" t="n"/>
      <c r="O83" s="57">
        <f>IF($A83="",0,IFERROR(IF(SUMIFS(CriteriTecnici!$O:$O,CriteriTecnici!$Q:$Q,$A83&amp;"|"&amp;$C83)&gt;0,SUMIFS(CriteriTecnici!$O:$O,CriteriTecnici!$Q:$Q,$A83&amp;"|"&amp;$C83,CriteriTecnici!$F:$F,"Q")+SUMIFS(CriteriTecnici!$O:$O,CriteriTecnici!$Q:$Q,$A83&amp;"|"&amp;$C83,CriteriTecnici!$F:$F,"T"),IFERROR($N83*1,0)),0))</f>
        <v/>
      </c>
      <c r="P83" s="57">
        <f>IF($A83="","",IF(SUMIFS(CriteriTecnici!$O:$O,CriteriTecnici!$Q:$Q,$A83&amp;"|"&amp;$C83)&gt;0,"Criteri A-G","Aggregato"))</f>
        <v/>
      </c>
    </row>
    <row r="84">
      <c r="A84" s="56">
        <f>IF(Compila!$A94="","",Compila!$A94)</f>
        <v/>
      </c>
      <c r="B84" s="56">
        <f>IF(Compila!$A94="","",Compila!$B94)</f>
        <v/>
      </c>
      <c r="C84" s="56">
        <f>IF(Compila!$A94="","",Compila!$C94)</f>
        <v/>
      </c>
      <c r="D84" s="56">
        <f>IF(Compila!$A94="","",Compila!$D94)</f>
        <v/>
      </c>
      <c r="E84" s="57">
        <f>IF($A84="",0,IFERROR(IF(SUMIFS(CriteriTecnici!$O:$O,CriteriTecnici!$Q:$Q,$A84&amp;"|"&amp;$C84)&gt;0,IF($G84="SI",ROUND(IF(SUMPRODUCT(MAX((CriteriTecnici!$C$5:$C$6173=$C84)*(CriteriTecnici!$E$5:$E$6173="A")*(CriteriTecnici!$T$5:$T$6173="SI")*IFERROR(CriteriTecnici!$O$5:$O$6173*1,0)))&gt;0,MIN(7,SUMIFS(CriteriTecnici!$O:$O,CriteriTecnici!$Q:$Q,$A84&amp;"|"&amp;$C84,CriteriTecnici!$E:$E,"A")*(7/SUMPRODUCT(MAX((CriteriTecnici!$C$5:$C$6173=$C84)*(CriteriTecnici!$E$5:$E$6173="A")*(CriteriTecnici!$T$5:$T$6173="SI")*IFERROR(CriteriTecnici!$O$5:$O$6173*1,0))))),0)+IF(SUMPRODUCT(MAX((CriteriTecnici!$C$5:$C$6173=$C84)*(CriteriTecnici!$E$5:$E$6173="B")*(CriteriTecnici!$T$5:$T$6173="SI")*IFERROR(CriteriTecnici!$O$5:$O$6173*1,0)))&gt;0,MIN(14,SUMIFS(CriteriTecnici!$O:$O,CriteriTecnici!$Q:$Q,$A84&amp;"|"&amp;$C84,CriteriTecnici!$E:$E,"B")*(14/SUMPRODUCT(MAX((CriteriTecnici!$C$5:$C$6173=$C84)*(CriteriTecnici!$E$5:$E$6173="B")*(CriteriTecnici!$T$5:$T$6173="SI")*IFERROR(CriteriTecnici!$O$5:$O$6173*1,0))))),0)+IF(SUMPRODUCT(MAX((CriteriTecnici!$C$5:$C$6173=$C84)*(CriteriTecnici!$E$5:$E$6173="C")*(CriteriTecnici!$T$5:$T$6173="SI")*IFERROR(CriteriTecnici!$O$5:$O$6173*1,0)))&gt;0,MIN(14,SUMIFS(CriteriTecnici!$O:$O,CriteriTecnici!$Q:$Q,$A84&amp;"|"&amp;$C84,CriteriTecnici!$E:$E,"C")*(14/SUMPRODUCT(MAX((CriteriTecnici!$C$5:$C$6173=$C84)*(CriteriTecnici!$E$5:$E$6173="C")*(CriteriTecnici!$T$5:$T$6173="SI")*IFERROR(CriteriTecnici!$O$5:$O$6173*1,0))))),0)+IF(SUMPRODUCT(MAX((CriteriTecnici!$C$5:$C$6173=$C84)*(CriteriTecnici!$E$5:$E$6173="D")*(CriteriTecnici!$T$5:$T$6173="SI")*IFERROR(CriteriTecnici!$O$5:$O$6173*1,0)))&gt;0,MIN(10,SUMIFS(CriteriTecnici!$O:$O,CriteriTecnici!$Q:$Q,$A84&amp;"|"&amp;$C84,CriteriTecnici!$E:$E,"D")*(10/SUMPRODUCT(MAX((CriteriTecnici!$C$5:$C$6173=$C84)*(CriteriTecnici!$E$5:$E$6173="D")*(CriteriTecnici!$T$5:$T$6173="SI")*IFERROR(CriteriTecnici!$O$5:$O$6173*1,0))))),0)+IF(SUMPRODUCT(MAX((CriteriTecnici!$C$5:$C$6173=$C84)*(CriteriTecnici!$E$5:$E$6173="E")*(CriteriTecnici!$T$5:$T$6173="SI")*IFERROR(CriteriTecnici!$O$5:$O$6173*1,0)))&gt;0,MIN(4,SUMIFS(CriteriTecnici!$O:$O,CriteriTecnici!$Q:$Q,$A84&amp;"|"&amp;$C84,CriteriTecnici!$E:$E,"E")*(4/SUMPRODUCT(MAX((CriteriTecnici!$C$5:$C$6173=$C84)*(CriteriTecnici!$E$5:$E$6173="E")*(CriteriTecnici!$T$5:$T$6173="SI")*IFERROR(CriteriTecnici!$O$5:$O$6173*1,0))))),0)+IF(SUMPRODUCT(MAX((CriteriTecnici!$C$5:$C$6173=$C84)*(CriteriTecnici!$E$5:$E$6173="F")*(CriteriTecnici!$T$5:$T$6173="SI")*IFERROR(CriteriTecnici!$O$5:$O$6173*1,0)))&gt;0,MIN(14,SUMIFS(CriteriTecnici!$O:$O,CriteriTecnici!$Q:$Q,$A84&amp;"|"&amp;$C84,CriteriTecnici!$E:$E,"F")*(14/SUMPRODUCT(MAX((CriteriTecnici!$C$5:$C$6173=$C84)*(CriteriTecnici!$E$5:$E$6173="F")*(CriteriTecnici!$T$5:$T$6173="SI")*IFERROR(CriteriTecnici!$O$5:$O$6173*1,0))))),0)+IF(SUMPRODUCT(MAX((CriteriTecnici!$C$5:$C$6173=$C84)*(CriteriTecnici!$E$5:$E$6173="G")*(CriteriTecnici!$T$5:$T$6173="SI")*IFERROR(CriteriTecnici!$O$5:$O$6173*1,0)))&gt;0,MIN(7,SUMIFS(CriteriTecnici!$O:$O,CriteriTecnici!$Q:$Q,$A84&amp;"|"&amp;$C84,CriteriTecnici!$E:$E,"G")*(7/SUMPRODUCT(MAX((CriteriTecnici!$C$5:$C$6173=$C84)*(CriteriTecnici!$E$5:$E$6173="G")*(CriteriTecnici!$T$5:$T$6173="SI")*IFERROR(CriteriTecnici!$O$5:$O$6173*1,0))))),0),4),0),IFERROR($N84*1,0)),0))</f>
        <v/>
      </c>
      <c r="F84" s="56">
        <f>IF(Compila!$A94="","",Compila!$E94)</f>
        <v/>
      </c>
      <c r="G84" s="57">
        <f>IF($A84="","",IF(IFERROR(VALUE($D84),0)&lt;&gt;1,"NO",IF(IFERROR(VALUE($O84),0)&gt;=Parametri!$B$2,"SI","NO")))</f>
        <v/>
      </c>
      <c r="H84" s="57">
        <f>IF($G84="SI",SUMPRODUCT(MAX(($C$2:$C$200=$C84)*(IFERROR($D$2:$D$200*1,0)=1)*(IFERROR($O$2:$O$200*1,0)&gt;=Parametri!$B$2)*IFERROR($F$2:$F$200*1,0))),0)</f>
        <v/>
      </c>
      <c r="I84" s="57">
        <f>IF($G84="SI",IF($H84&gt;0,30*(IFERROR($F84*1,0)/$H84),0),0)</f>
        <v/>
      </c>
      <c r="J84" s="57">
        <f>IF($A84="",0,IF($G84="SI",ROUND(IFERROR($E84*1,0)+$I84,4),ROUND(IFERROR($E84*1,0),4)))</f>
        <v/>
      </c>
      <c r="K84" s="57">
        <f>IF($A84="","",IF(IFERROR(VALUE($D84),0)&lt;&gt;1,"Non attiva",IF(IFERROR(VALUE($O84),0)&lt;Parametri!$B$2,"Sotto soglia","")))</f>
        <v/>
      </c>
      <c r="L84" s="57">
        <f>IF($A84="","",$A84&amp;"|"&amp;$C84)</f>
        <v/>
      </c>
      <c r="M84" s="57">
        <f>IF($A84="","",$C84&amp;"|"&amp;TEXT($J84,"0.0000"))</f>
        <v/>
      </c>
      <c r="N84" s="57" t="n"/>
      <c r="O84" s="57">
        <f>IF($A84="",0,IFERROR(IF(SUMIFS(CriteriTecnici!$O:$O,CriteriTecnici!$Q:$Q,$A84&amp;"|"&amp;$C84)&gt;0,SUMIFS(CriteriTecnici!$O:$O,CriteriTecnici!$Q:$Q,$A84&amp;"|"&amp;$C84,CriteriTecnici!$F:$F,"Q")+SUMIFS(CriteriTecnici!$O:$O,CriteriTecnici!$Q:$Q,$A84&amp;"|"&amp;$C84,CriteriTecnici!$F:$F,"T"),IFERROR($N84*1,0)),0))</f>
        <v/>
      </c>
      <c r="P84" s="57">
        <f>IF($A84="","",IF(SUMIFS(CriteriTecnici!$O:$O,CriteriTecnici!$Q:$Q,$A84&amp;"|"&amp;$C84)&gt;0,"Criteri A-G","Aggregato"))</f>
        <v/>
      </c>
    </row>
    <row r="85">
      <c r="A85" s="56">
        <f>IF(Compila!$A95="","",Compila!$A95)</f>
        <v/>
      </c>
      <c r="B85" s="56">
        <f>IF(Compila!$A95="","",Compila!$B95)</f>
        <v/>
      </c>
      <c r="C85" s="56">
        <f>IF(Compila!$A95="","",Compila!$C95)</f>
        <v/>
      </c>
      <c r="D85" s="56">
        <f>IF(Compila!$A95="","",Compila!$D95)</f>
        <v/>
      </c>
      <c r="E85" s="57">
        <f>IF($A85="",0,IFERROR(IF(SUMIFS(CriteriTecnici!$O:$O,CriteriTecnici!$Q:$Q,$A85&amp;"|"&amp;$C85)&gt;0,IF($G85="SI",ROUND(IF(SUMPRODUCT(MAX((CriteriTecnici!$C$5:$C$6173=$C85)*(CriteriTecnici!$E$5:$E$6173="A")*(CriteriTecnici!$T$5:$T$6173="SI")*IFERROR(CriteriTecnici!$O$5:$O$6173*1,0)))&gt;0,MIN(7,SUMIFS(CriteriTecnici!$O:$O,CriteriTecnici!$Q:$Q,$A85&amp;"|"&amp;$C85,CriteriTecnici!$E:$E,"A")*(7/SUMPRODUCT(MAX((CriteriTecnici!$C$5:$C$6173=$C85)*(CriteriTecnici!$E$5:$E$6173="A")*(CriteriTecnici!$T$5:$T$6173="SI")*IFERROR(CriteriTecnici!$O$5:$O$6173*1,0))))),0)+IF(SUMPRODUCT(MAX((CriteriTecnici!$C$5:$C$6173=$C85)*(CriteriTecnici!$E$5:$E$6173="B")*(CriteriTecnici!$T$5:$T$6173="SI")*IFERROR(CriteriTecnici!$O$5:$O$6173*1,0)))&gt;0,MIN(14,SUMIFS(CriteriTecnici!$O:$O,CriteriTecnici!$Q:$Q,$A85&amp;"|"&amp;$C85,CriteriTecnici!$E:$E,"B")*(14/SUMPRODUCT(MAX((CriteriTecnici!$C$5:$C$6173=$C85)*(CriteriTecnici!$E$5:$E$6173="B")*(CriteriTecnici!$T$5:$T$6173="SI")*IFERROR(CriteriTecnici!$O$5:$O$6173*1,0))))),0)+IF(SUMPRODUCT(MAX((CriteriTecnici!$C$5:$C$6173=$C85)*(CriteriTecnici!$E$5:$E$6173="C")*(CriteriTecnici!$T$5:$T$6173="SI")*IFERROR(CriteriTecnici!$O$5:$O$6173*1,0)))&gt;0,MIN(14,SUMIFS(CriteriTecnici!$O:$O,CriteriTecnici!$Q:$Q,$A85&amp;"|"&amp;$C85,CriteriTecnici!$E:$E,"C")*(14/SUMPRODUCT(MAX((CriteriTecnici!$C$5:$C$6173=$C85)*(CriteriTecnici!$E$5:$E$6173="C")*(CriteriTecnici!$T$5:$T$6173="SI")*IFERROR(CriteriTecnici!$O$5:$O$6173*1,0))))),0)+IF(SUMPRODUCT(MAX((CriteriTecnici!$C$5:$C$6173=$C85)*(CriteriTecnici!$E$5:$E$6173="D")*(CriteriTecnici!$T$5:$T$6173="SI")*IFERROR(CriteriTecnici!$O$5:$O$6173*1,0)))&gt;0,MIN(10,SUMIFS(CriteriTecnici!$O:$O,CriteriTecnici!$Q:$Q,$A85&amp;"|"&amp;$C85,CriteriTecnici!$E:$E,"D")*(10/SUMPRODUCT(MAX((CriteriTecnici!$C$5:$C$6173=$C85)*(CriteriTecnici!$E$5:$E$6173="D")*(CriteriTecnici!$T$5:$T$6173="SI")*IFERROR(CriteriTecnici!$O$5:$O$6173*1,0))))),0)+IF(SUMPRODUCT(MAX((CriteriTecnici!$C$5:$C$6173=$C85)*(CriteriTecnici!$E$5:$E$6173="E")*(CriteriTecnici!$T$5:$T$6173="SI")*IFERROR(CriteriTecnici!$O$5:$O$6173*1,0)))&gt;0,MIN(4,SUMIFS(CriteriTecnici!$O:$O,CriteriTecnici!$Q:$Q,$A85&amp;"|"&amp;$C85,CriteriTecnici!$E:$E,"E")*(4/SUMPRODUCT(MAX((CriteriTecnici!$C$5:$C$6173=$C85)*(CriteriTecnici!$E$5:$E$6173="E")*(CriteriTecnici!$T$5:$T$6173="SI")*IFERROR(CriteriTecnici!$O$5:$O$6173*1,0))))),0)+IF(SUMPRODUCT(MAX((CriteriTecnici!$C$5:$C$6173=$C85)*(CriteriTecnici!$E$5:$E$6173="F")*(CriteriTecnici!$T$5:$T$6173="SI")*IFERROR(CriteriTecnici!$O$5:$O$6173*1,0)))&gt;0,MIN(14,SUMIFS(CriteriTecnici!$O:$O,CriteriTecnici!$Q:$Q,$A85&amp;"|"&amp;$C85,CriteriTecnici!$E:$E,"F")*(14/SUMPRODUCT(MAX((CriteriTecnici!$C$5:$C$6173=$C85)*(CriteriTecnici!$E$5:$E$6173="F")*(CriteriTecnici!$T$5:$T$6173="SI")*IFERROR(CriteriTecnici!$O$5:$O$6173*1,0))))),0)+IF(SUMPRODUCT(MAX((CriteriTecnici!$C$5:$C$6173=$C85)*(CriteriTecnici!$E$5:$E$6173="G")*(CriteriTecnici!$T$5:$T$6173="SI")*IFERROR(CriteriTecnici!$O$5:$O$6173*1,0)))&gt;0,MIN(7,SUMIFS(CriteriTecnici!$O:$O,CriteriTecnici!$Q:$Q,$A85&amp;"|"&amp;$C85,CriteriTecnici!$E:$E,"G")*(7/SUMPRODUCT(MAX((CriteriTecnici!$C$5:$C$6173=$C85)*(CriteriTecnici!$E$5:$E$6173="G")*(CriteriTecnici!$T$5:$T$6173="SI")*IFERROR(CriteriTecnici!$O$5:$O$6173*1,0))))),0),4),0),IFERROR($N85*1,0)),0))</f>
        <v/>
      </c>
      <c r="F85" s="56">
        <f>IF(Compila!$A95="","",Compila!$E95)</f>
        <v/>
      </c>
      <c r="G85" s="57">
        <f>IF($A85="","",IF(IFERROR(VALUE($D85),0)&lt;&gt;1,"NO",IF(IFERROR(VALUE($O85),0)&gt;=Parametri!$B$2,"SI","NO")))</f>
        <v/>
      </c>
      <c r="H85" s="57">
        <f>IF($G85="SI",SUMPRODUCT(MAX(($C$2:$C$200=$C85)*(IFERROR($D$2:$D$200*1,0)=1)*(IFERROR($O$2:$O$200*1,0)&gt;=Parametri!$B$2)*IFERROR($F$2:$F$200*1,0))),0)</f>
        <v/>
      </c>
      <c r="I85" s="57">
        <f>IF($G85="SI",IF($H85&gt;0,30*(IFERROR($F85*1,0)/$H85),0),0)</f>
        <v/>
      </c>
      <c r="J85" s="57">
        <f>IF($A85="",0,IF($G85="SI",ROUND(IFERROR($E85*1,0)+$I85,4),ROUND(IFERROR($E85*1,0),4)))</f>
        <v/>
      </c>
      <c r="K85" s="57">
        <f>IF($A85="","",IF(IFERROR(VALUE($D85),0)&lt;&gt;1,"Non attiva",IF(IFERROR(VALUE($O85),0)&lt;Parametri!$B$2,"Sotto soglia","")))</f>
        <v/>
      </c>
      <c r="L85" s="57">
        <f>IF($A85="","",$A85&amp;"|"&amp;$C85)</f>
        <v/>
      </c>
      <c r="M85" s="57">
        <f>IF($A85="","",$C85&amp;"|"&amp;TEXT($J85,"0.0000"))</f>
        <v/>
      </c>
      <c r="N85" s="57" t="n"/>
      <c r="O85" s="57">
        <f>IF($A85="",0,IFERROR(IF(SUMIFS(CriteriTecnici!$O:$O,CriteriTecnici!$Q:$Q,$A85&amp;"|"&amp;$C85)&gt;0,SUMIFS(CriteriTecnici!$O:$O,CriteriTecnici!$Q:$Q,$A85&amp;"|"&amp;$C85,CriteriTecnici!$F:$F,"Q")+SUMIFS(CriteriTecnici!$O:$O,CriteriTecnici!$Q:$Q,$A85&amp;"|"&amp;$C85,CriteriTecnici!$F:$F,"T"),IFERROR($N85*1,0)),0))</f>
        <v/>
      </c>
      <c r="P85" s="57">
        <f>IF($A85="","",IF(SUMIFS(CriteriTecnici!$O:$O,CriteriTecnici!$Q:$Q,$A85&amp;"|"&amp;$C85)&gt;0,"Criteri A-G","Aggregato"))</f>
        <v/>
      </c>
    </row>
    <row r="86">
      <c r="A86" s="56">
        <f>IF(Compila!$A96="","",Compila!$A96)</f>
        <v/>
      </c>
      <c r="B86" s="56">
        <f>IF(Compila!$A96="","",Compila!$B96)</f>
        <v/>
      </c>
      <c r="C86" s="56">
        <f>IF(Compila!$A96="","",Compila!$C96)</f>
        <v/>
      </c>
      <c r="D86" s="56">
        <f>IF(Compila!$A96="","",Compila!$D96)</f>
        <v/>
      </c>
      <c r="E86" s="57">
        <f>IF($A86="",0,IFERROR(IF(SUMIFS(CriteriTecnici!$O:$O,CriteriTecnici!$Q:$Q,$A86&amp;"|"&amp;$C86)&gt;0,IF($G86="SI",ROUND(IF(SUMPRODUCT(MAX((CriteriTecnici!$C$5:$C$6173=$C86)*(CriteriTecnici!$E$5:$E$6173="A")*(CriteriTecnici!$T$5:$T$6173="SI")*IFERROR(CriteriTecnici!$O$5:$O$6173*1,0)))&gt;0,MIN(7,SUMIFS(CriteriTecnici!$O:$O,CriteriTecnici!$Q:$Q,$A86&amp;"|"&amp;$C86,CriteriTecnici!$E:$E,"A")*(7/SUMPRODUCT(MAX((CriteriTecnici!$C$5:$C$6173=$C86)*(CriteriTecnici!$E$5:$E$6173="A")*(CriteriTecnici!$T$5:$T$6173="SI")*IFERROR(CriteriTecnici!$O$5:$O$6173*1,0))))),0)+IF(SUMPRODUCT(MAX((CriteriTecnici!$C$5:$C$6173=$C86)*(CriteriTecnici!$E$5:$E$6173="B")*(CriteriTecnici!$T$5:$T$6173="SI")*IFERROR(CriteriTecnici!$O$5:$O$6173*1,0)))&gt;0,MIN(14,SUMIFS(CriteriTecnici!$O:$O,CriteriTecnici!$Q:$Q,$A86&amp;"|"&amp;$C86,CriteriTecnici!$E:$E,"B")*(14/SUMPRODUCT(MAX((CriteriTecnici!$C$5:$C$6173=$C86)*(CriteriTecnici!$E$5:$E$6173="B")*(CriteriTecnici!$T$5:$T$6173="SI")*IFERROR(CriteriTecnici!$O$5:$O$6173*1,0))))),0)+IF(SUMPRODUCT(MAX((CriteriTecnici!$C$5:$C$6173=$C86)*(CriteriTecnici!$E$5:$E$6173="C")*(CriteriTecnici!$T$5:$T$6173="SI")*IFERROR(CriteriTecnici!$O$5:$O$6173*1,0)))&gt;0,MIN(14,SUMIFS(CriteriTecnici!$O:$O,CriteriTecnici!$Q:$Q,$A86&amp;"|"&amp;$C86,CriteriTecnici!$E:$E,"C")*(14/SUMPRODUCT(MAX((CriteriTecnici!$C$5:$C$6173=$C86)*(CriteriTecnici!$E$5:$E$6173="C")*(CriteriTecnici!$T$5:$T$6173="SI")*IFERROR(CriteriTecnici!$O$5:$O$6173*1,0))))),0)+IF(SUMPRODUCT(MAX((CriteriTecnici!$C$5:$C$6173=$C86)*(CriteriTecnici!$E$5:$E$6173="D")*(CriteriTecnici!$T$5:$T$6173="SI")*IFERROR(CriteriTecnici!$O$5:$O$6173*1,0)))&gt;0,MIN(10,SUMIFS(CriteriTecnici!$O:$O,CriteriTecnici!$Q:$Q,$A86&amp;"|"&amp;$C86,CriteriTecnici!$E:$E,"D")*(10/SUMPRODUCT(MAX((CriteriTecnici!$C$5:$C$6173=$C86)*(CriteriTecnici!$E$5:$E$6173="D")*(CriteriTecnici!$T$5:$T$6173="SI")*IFERROR(CriteriTecnici!$O$5:$O$6173*1,0))))),0)+IF(SUMPRODUCT(MAX((CriteriTecnici!$C$5:$C$6173=$C86)*(CriteriTecnici!$E$5:$E$6173="E")*(CriteriTecnici!$T$5:$T$6173="SI")*IFERROR(CriteriTecnici!$O$5:$O$6173*1,0)))&gt;0,MIN(4,SUMIFS(CriteriTecnici!$O:$O,CriteriTecnici!$Q:$Q,$A86&amp;"|"&amp;$C86,CriteriTecnici!$E:$E,"E")*(4/SUMPRODUCT(MAX((CriteriTecnici!$C$5:$C$6173=$C86)*(CriteriTecnici!$E$5:$E$6173="E")*(CriteriTecnici!$T$5:$T$6173="SI")*IFERROR(CriteriTecnici!$O$5:$O$6173*1,0))))),0)+IF(SUMPRODUCT(MAX((CriteriTecnici!$C$5:$C$6173=$C86)*(CriteriTecnici!$E$5:$E$6173="F")*(CriteriTecnici!$T$5:$T$6173="SI")*IFERROR(CriteriTecnici!$O$5:$O$6173*1,0)))&gt;0,MIN(14,SUMIFS(CriteriTecnici!$O:$O,CriteriTecnici!$Q:$Q,$A86&amp;"|"&amp;$C86,CriteriTecnici!$E:$E,"F")*(14/SUMPRODUCT(MAX((CriteriTecnici!$C$5:$C$6173=$C86)*(CriteriTecnici!$E$5:$E$6173="F")*(CriteriTecnici!$T$5:$T$6173="SI")*IFERROR(CriteriTecnici!$O$5:$O$6173*1,0))))),0)+IF(SUMPRODUCT(MAX((CriteriTecnici!$C$5:$C$6173=$C86)*(CriteriTecnici!$E$5:$E$6173="G")*(CriteriTecnici!$T$5:$T$6173="SI")*IFERROR(CriteriTecnici!$O$5:$O$6173*1,0)))&gt;0,MIN(7,SUMIFS(CriteriTecnici!$O:$O,CriteriTecnici!$Q:$Q,$A86&amp;"|"&amp;$C86,CriteriTecnici!$E:$E,"G")*(7/SUMPRODUCT(MAX((CriteriTecnici!$C$5:$C$6173=$C86)*(CriteriTecnici!$E$5:$E$6173="G")*(CriteriTecnici!$T$5:$T$6173="SI")*IFERROR(CriteriTecnici!$O$5:$O$6173*1,0))))),0),4),0),IFERROR($N86*1,0)),0))</f>
        <v/>
      </c>
      <c r="F86" s="56">
        <f>IF(Compila!$A96="","",Compila!$E96)</f>
        <v/>
      </c>
      <c r="G86" s="57">
        <f>IF($A86="","",IF(IFERROR(VALUE($D86),0)&lt;&gt;1,"NO",IF(IFERROR(VALUE($O86),0)&gt;=Parametri!$B$2,"SI","NO")))</f>
        <v/>
      </c>
      <c r="H86" s="57">
        <f>IF($G86="SI",SUMPRODUCT(MAX(($C$2:$C$200=$C86)*(IFERROR($D$2:$D$200*1,0)=1)*(IFERROR($O$2:$O$200*1,0)&gt;=Parametri!$B$2)*IFERROR($F$2:$F$200*1,0))),0)</f>
        <v/>
      </c>
      <c r="I86" s="57">
        <f>IF($G86="SI",IF($H86&gt;0,30*(IFERROR($F86*1,0)/$H86),0),0)</f>
        <v/>
      </c>
      <c r="J86" s="57">
        <f>IF($A86="",0,IF($G86="SI",ROUND(IFERROR($E86*1,0)+$I86,4),ROUND(IFERROR($E86*1,0),4)))</f>
        <v/>
      </c>
      <c r="K86" s="57">
        <f>IF($A86="","",IF(IFERROR(VALUE($D86),0)&lt;&gt;1,"Non attiva",IF(IFERROR(VALUE($O86),0)&lt;Parametri!$B$2,"Sotto soglia","")))</f>
        <v/>
      </c>
      <c r="L86" s="57">
        <f>IF($A86="","",$A86&amp;"|"&amp;$C86)</f>
        <v/>
      </c>
      <c r="M86" s="57">
        <f>IF($A86="","",$C86&amp;"|"&amp;TEXT($J86,"0.0000"))</f>
        <v/>
      </c>
      <c r="N86" s="57" t="n"/>
      <c r="O86" s="57">
        <f>IF($A86="",0,IFERROR(IF(SUMIFS(CriteriTecnici!$O:$O,CriteriTecnici!$Q:$Q,$A86&amp;"|"&amp;$C86)&gt;0,SUMIFS(CriteriTecnici!$O:$O,CriteriTecnici!$Q:$Q,$A86&amp;"|"&amp;$C86,CriteriTecnici!$F:$F,"Q")+SUMIFS(CriteriTecnici!$O:$O,CriteriTecnici!$Q:$Q,$A86&amp;"|"&amp;$C86,CriteriTecnici!$F:$F,"T"),IFERROR($N86*1,0)),0))</f>
        <v/>
      </c>
      <c r="P86" s="57">
        <f>IF($A86="","",IF(SUMIFS(CriteriTecnici!$O:$O,CriteriTecnici!$Q:$Q,$A86&amp;"|"&amp;$C86)&gt;0,"Criteri A-G","Aggregato"))</f>
        <v/>
      </c>
    </row>
    <row r="87">
      <c r="A87" s="56">
        <f>IF(Compila!$A97="","",Compila!$A97)</f>
        <v/>
      </c>
      <c r="B87" s="56">
        <f>IF(Compila!$A97="","",Compila!$B97)</f>
        <v/>
      </c>
      <c r="C87" s="56">
        <f>IF(Compila!$A97="","",Compila!$C97)</f>
        <v/>
      </c>
      <c r="D87" s="56">
        <f>IF(Compila!$A97="","",Compila!$D97)</f>
        <v/>
      </c>
      <c r="E87" s="57">
        <f>IF($A87="",0,IFERROR(IF(SUMIFS(CriteriTecnici!$O:$O,CriteriTecnici!$Q:$Q,$A87&amp;"|"&amp;$C87)&gt;0,IF($G87="SI",ROUND(IF(SUMPRODUCT(MAX((CriteriTecnici!$C$5:$C$6173=$C87)*(CriteriTecnici!$E$5:$E$6173="A")*(CriteriTecnici!$T$5:$T$6173="SI")*IFERROR(CriteriTecnici!$O$5:$O$6173*1,0)))&gt;0,MIN(7,SUMIFS(CriteriTecnici!$O:$O,CriteriTecnici!$Q:$Q,$A87&amp;"|"&amp;$C87,CriteriTecnici!$E:$E,"A")*(7/SUMPRODUCT(MAX((CriteriTecnici!$C$5:$C$6173=$C87)*(CriteriTecnici!$E$5:$E$6173="A")*(CriteriTecnici!$T$5:$T$6173="SI")*IFERROR(CriteriTecnici!$O$5:$O$6173*1,0))))),0)+IF(SUMPRODUCT(MAX((CriteriTecnici!$C$5:$C$6173=$C87)*(CriteriTecnici!$E$5:$E$6173="B")*(CriteriTecnici!$T$5:$T$6173="SI")*IFERROR(CriteriTecnici!$O$5:$O$6173*1,0)))&gt;0,MIN(14,SUMIFS(CriteriTecnici!$O:$O,CriteriTecnici!$Q:$Q,$A87&amp;"|"&amp;$C87,CriteriTecnici!$E:$E,"B")*(14/SUMPRODUCT(MAX((CriteriTecnici!$C$5:$C$6173=$C87)*(CriteriTecnici!$E$5:$E$6173="B")*(CriteriTecnici!$T$5:$T$6173="SI")*IFERROR(CriteriTecnici!$O$5:$O$6173*1,0))))),0)+IF(SUMPRODUCT(MAX((CriteriTecnici!$C$5:$C$6173=$C87)*(CriteriTecnici!$E$5:$E$6173="C")*(CriteriTecnici!$T$5:$T$6173="SI")*IFERROR(CriteriTecnici!$O$5:$O$6173*1,0)))&gt;0,MIN(14,SUMIFS(CriteriTecnici!$O:$O,CriteriTecnici!$Q:$Q,$A87&amp;"|"&amp;$C87,CriteriTecnici!$E:$E,"C")*(14/SUMPRODUCT(MAX((CriteriTecnici!$C$5:$C$6173=$C87)*(CriteriTecnici!$E$5:$E$6173="C")*(CriteriTecnici!$T$5:$T$6173="SI")*IFERROR(CriteriTecnici!$O$5:$O$6173*1,0))))),0)+IF(SUMPRODUCT(MAX((CriteriTecnici!$C$5:$C$6173=$C87)*(CriteriTecnici!$E$5:$E$6173="D")*(CriteriTecnici!$T$5:$T$6173="SI")*IFERROR(CriteriTecnici!$O$5:$O$6173*1,0)))&gt;0,MIN(10,SUMIFS(CriteriTecnici!$O:$O,CriteriTecnici!$Q:$Q,$A87&amp;"|"&amp;$C87,CriteriTecnici!$E:$E,"D")*(10/SUMPRODUCT(MAX((CriteriTecnici!$C$5:$C$6173=$C87)*(CriteriTecnici!$E$5:$E$6173="D")*(CriteriTecnici!$T$5:$T$6173="SI")*IFERROR(CriteriTecnici!$O$5:$O$6173*1,0))))),0)+IF(SUMPRODUCT(MAX((CriteriTecnici!$C$5:$C$6173=$C87)*(CriteriTecnici!$E$5:$E$6173="E")*(CriteriTecnici!$T$5:$T$6173="SI")*IFERROR(CriteriTecnici!$O$5:$O$6173*1,0)))&gt;0,MIN(4,SUMIFS(CriteriTecnici!$O:$O,CriteriTecnici!$Q:$Q,$A87&amp;"|"&amp;$C87,CriteriTecnici!$E:$E,"E")*(4/SUMPRODUCT(MAX((CriteriTecnici!$C$5:$C$6173=$C87)*(CriteriTecnici!$E$5:$E$6173="E")*(CriteriTecnici!$T$5:$T$6173="SI")*IFERROR(CriteriTecnici!$O$5:$O$6173*1,0))))),0)+IF(SUMPRODUCT(MAX((CriteriTecnici!$C$5:$C$6173=$C87)*(CriteriTecnici!$E$5:$E$6173="F")*(CriteriTecnici!$T$5:$T$6173="SI")*IFERROR(CriteriTecnici!$O$5:$O$6173*1,0)))&gt;0,MIN(14,SUMIFS(CriteriTecnici!$O:$O,CriteriTecnici!$Q:$Q,$A87&amp;"|"&amp;$C87,CriteriTecnici!$E:$E,"F")*(14/SUMPRODUCT(MAX((CriteriTecnici!$C$5:$C$6173=$C87)*(CriteriTecnici!$E$5:$E$6173="F")*(CriteriTecnici!$T$5:$T$6173="SI")*IFERROR(CriteriTecnici!$O$5:$O$6173*1,0))))),0)+IF(SUMPRODUCT(MAX((CriteriTecnici!$C$5:$C$6173=$C87)*(CriteriTecnici!$E$5:$E$6173="G")*(CriteriTecnici!$T$5:$T$6173="SI")*IFERROR(CriteriTecnici!$O$5:$O$6173*1,0)))&gt;0,MIN(7,SUMIFS(CriteriTecnici!$O:$O,CriteriTecnici!$Q:$Q,$A87&amp;"|"&amp;$C87,CriteriTecnici!$E:$E,"G")*(7/SUMPRODUCT(MAX((CriteriTecnici!$C$5:$C$6173=$C87)*(CriteriTecnici!$E$5:$E$6173="G")*(CriteriTecnici!$T$5:$T$6173="SI")*IFERROR(CriteriTecnici!$O$5:$O$6173*1,0))))),0),4),0),IFERROR($N87*1,0)),0))</f>
        <v/>
      </c>
      <c r="F87" s="56">
        <f>IF(Compila!$A97="","",Compila!$E97)</f>
        <v/>
      </c>
      <c r="G87" s="57">
        <f>IF($A87="","",IF(IFERROR(VALUE($D87),0)&lt;&gt;1,"NO",IF(IFERROR(VALUE($O87),0)&gt;=Parametri!$B$2,"SI","NO")))</f>
        <v/>
      </c>
      <c r="H87" s="57">
        <f>IF($G87="SI",SUMPRODUCT(MAX(($C$2:$C$200=$C87)*(IFERROR($D$2:$D$200*1,0)=1)*(IFERROR($O$2:$O$200*1,0)&gt;=Parametri!$B$2)*IFERROR($F$2:$F$200*1,0))),0)</f>
        <v/>
      </c>
      <c r="I87" s="57">
        <f>IF($G87="SI",IF($H87&gt;0,30*(IFERROR($F87*1,0)/$H87),0),0)</f>
        <v/>
      </c>
      <c r="J87" s="57">
        <f>IF($A87="",0,IF($G87="SI",ROUND(IFERROR($E87*1,0)+$I87,4),ROUND(IFERROR($E87*1,0),4)))</f>
        <v/>
      </c>
      <c r="K87" s="57">
        <f>IF($A87="","",IF(IFERROR(VALUE($D87),0)&lt;&gt;1,"Non attiva",IF(IFERROR(VALUE($O87),0)&lt;Parametri!$B$2,"Sotto soglia","")))</f>
        <v/>
      </c>
      <c r="L87" s="57">
        <f>IF($A87="","",$A87&amp;"|"&amp;$C87)</f>
        <v/>
      </c>
      <c r="M87" s="57">
        <f>IF($A87="","",$C87&amp;"|"&amp;TEXT($J87,"0.0000"))</f>
        <v/>
      </c>
      <c r="N87" s="57" t="n"/>
      <c r="O87" s="57">
        <f>IF($A87="",0,IFERROR(IF(SUMIFS(CriteriTecnici!$O:$O,CriteriTecnici!$Q:$Q,$A87&amp;"|"&amp;$C87)&gt;0,SUMIFS(CriteriTecnici!$O:$O,CriteriTecnici!$Q:$Q,$A87&amp;"|"&amp;$C87,CriteriTecnici!$F:$F,"Q")+SUMIFS(CriteriTecnici!$O:$O,CriteriTecnici!$Q:$Q,$A87&amp;"|"&amp;$C87,CriteriTecnici!$F:$F,"T"),IFERROR($N87*1,0)),0))</f>
        <v/>
      </c>
      <c r="P87" s="57">
        <f>IF($A87="","",IF(SUMIFS(CriteriTecnici!$O:$O,CriteriTecnici!$Q:$Q,$A87&amp;"|"&amp;$C87)&gt;0,"Criteri A-G","Aggregato"))</f>
        <v/>
      </c>
    </row>
    <row r="88">
      <c r="A88" s="56">
        <f>IF(Compila!$A98="","",Compila!$A98)</f>
        <v/>
      </c>
      <c r="B88" s="56">
        <f>IF(Compila!$A98="","",Compila!$B98)</f>
        <v/>
      </c>
      <c r="C88" s="56">
        <f>IF(Compila!$A98="","",Compila!$C98)</f>
        <v/>
      </c>
      <c r="D88" s="56">
        <f>IF(Compila!$A98="","",Compila!$D98)</f>
        <v/>
      </c>
      <c r="E88" s="57">
        <f>IF($A88="",0,IFERROR(IF(SUMIFS(CriteriTecnici!$O:$O,CriteriTecnici!$Q:$Q,$A88&amp;"|"&amp;$C88)&gt;0,IF($G88="SI",ROUND(IF(SUMPRODUCT(MAX((CriteriTecnici!$C$5:$C$6173=$C88)*(CriteriTecnici!$E$5:$E$6173="A")*(CriteriTecnici!$T$5:$T$6173="SI")*IFERROR(CriteriTecnici!$O$5:$O$6173*1,0)))&gt;0,MIN(7,SUMIFS(CriteriTecnici!$O:$O,CriteriTecnici!$Q:$Q,$A88&amp;"|"&amp;$C88,CriteriTecnici!$E:$E,"A")*(7/SUMPRODUCT(MAX((CriteriTecnici!$C$5:$C$6173=$C88)*(CriteriTecnici!$E$5:$E$6173="A")*(CriteriTecnici!$T$5:$T$6173="SI")*IFERROR(CriteriTecnici!$O$5:$O$6173*1,0))))),0)+IF(SUMPRODUCT(MAX((CriteriTecnici!$C$5:$C$6173=$C88)*(CriteriTecnici!$E$5:$E$6173="B")*(CriteriTecnici!$T$5:$T$6173="SI")*IFERROR(CriteriTecnici!$O$5:$O$6173*1,0)))&gt;0,MIN(14,SUMIFS(CriteriTecnici!$O:$O,CriteriTecnici!$Q:$Q,$A88&amp;"|"&amp;$C88,CriteriTecnici!$E:$E,"B")*(14/SUMPRODUCT(MAX((CriteriTecnici!$C$5:$C$6173=$C88)*(CriteriTecnici!$E$5:$E$6173="B")*(CriteriTecnici!$T$5:$T$6173="SI")*IFERROR(CriteriTecnici!$O$5:$O$6173*1,0))))),0)+IF(SUMPRODUCT(MAX((CriteriTecnici!$C$5:$C$6173=$C88)*(CriteriTecnici!$E$5:$E$6173="C")*(CriteriTecnici!$T$5:$T$6173="SI")*IFERROR(CriteriTecnici!$O$5:$O$6173*1,0)))&gt;0,MIN(14,SUMIFS(CriteriTecnici!$O:$O,CriteriTecnici!$Q:$Q,$A88&amp;"|"&amp;$C88,CriteriTecnici!$E:$E,"C")*(14/SUMPRODUCT(MAX((CriteriTecnici!$C$5:$C$6173=$C88)*(CriteriTecnici!$E$5:$E$6173="C")*(CriteriTecnici!$T$5:$T$6173="SI")*IFERROR(CriteriTecnici!$O$5:$O$6173*1,0))))),0)+IF(SUMPRODUCT(MAX((CriteriTecnici!$C$5:$C$6173=$C88)*(CriteriTecnici!$E$5:$E$6173="D")*(CriteriTecnici!$T$5:$T$6173="SI")*IFERROR(CriteriTecnici!$O$5:$O$6173*1,0)))&gt;0,MIN(10,SUMIFS(CriteriTecnici!$O:$O,CriteriTecnici!$Q:$Q,$A88&amp;"|"&amp;$C88,CriteriTecnici!$E:$E,"D")*(10/SUMPRODUCT(MAX((CriteriTecnici!$C$5:$C$6173=$C88)*(CriteriTecnici!$E$5:$E$6173="D")*(CriteriTecnici!$T$5:$T$6173="SI")*IFERROR(CriteriTecnici!$O$5:$O$6173*1,0))))),0)+IF(SUMPRODUCT(MAX((CriteriTecnici!$C$5:$C$6173=$C88)*(CriteriTecnici!$E$5:$E$6173="E")*(CriteriTecnici!$T$5:$T$6173="SI")*IFERROR(CriteriTecnici!$O$5:$O$6173*1,0)))&gt;0,MIN(4,SUMIFS(CriteriTecnici!$O:$O,CriteriTecnici!$Q:$Q,$A88&amp;"|"&amp;$C88,CriteriTecnici!$E:$E,"E")*(4/SUMPRODUCT(MAX((CriteriTecnici!$C$5:$C$6173=$C88)*(CriteriTecnici!$E$5:$E$6173="E")*(CriteriTecnici!$T$5:$T$6173="SI")*IFERROR(CriteriTecnici!$O$5:$O$6173*1,0))))),0)+IF(SUMPRODUCT(MAX((CriteriTecnici!$C$5:$C$6173=$C88)*(CriteriTecnici!$E$5:$E$6173="F")*(CriteriTecnici!$T$5:$T$6173="SI")*IFERROR(CriteriTecnici!$O$5:$O$6173*1,0)))&gt;0,MIN(14,SUMIFS(CriteriTecnici!$O:$O,CriteriTecnici!$Q:$Q,$A88&amp;"|"&amp;$C88,CriteriTecnici!$E:$E,"F")*(14/SUMPRODUCT(MAX((CriteriTecnici!$C$5:$C$6173=$C88)*(CriteriTecnici!$E$5:$E$6173="F")*(CriteriTecnici!$T$5:$T$6173="SI")*IFERROR(CriteriTecnici!$O$5:$O$6173*1,0))))),0)+IF(SUMPRODUCT(MAX((CriteriTecnici!$C$5:$C$6173=$C88)*(CriteriTecnici!$E$5:$E$6173="G")*(CriteriTecnici!$T$5:$T$6173="SI")*IFERROR(CriteriTecnici!$O$5:$O$6173*1,0)))&gt;0,MIN(7,SUMIFS(CriteriTecnici!$O:$O,CriteriTecnici!$Q:$Q,$A88&amp;"|"&amp;$C88,CriteriTecnici!$E:$E,"G")*(7/SUMPRODUCT(MAX((CriteriTecnici!$C$5:$C$6173=$C88)*(CriteriTecnici!$E$5:$E$6173="G")*(CriteriTecnici!$T$5:$T$6173="SI")*IFERROR(CriteriTecnici!$O$5:$O$6173*1,0))))),0),4),0),IFERROR($N88*1,0)),0))</f>
        <v/>
      </c>
      <c r="F88" s="56">
        <f>IF(Compila!$A98="","",Compila!$E98)</f>
        <v/>
      </c>
      <c r="G88" s="57">
        <f>IF($A88="","",IF(IFERROR(VALUE($D88),0)&lt;&gt;1,"NO",IF(IFERROR(VALUE($O88),0)&gt;=Parametri!$B$2,"SI","NO")))</f>
        <v/>
      </c>
      <c r="H88" s="57">
        <f>IF($G88="SI",SUMPRODUCT(MAX(($C$2:$C$200=$C88)*(IFERROR($D$2:$D$200*1,0)=1)*(IFERROR($O$2:$O$200*1,0)&gt;=Parametri!$B$2)*IFERROR($F$2:$F$200*1,0))),0)</f>
        <v/>
      </c>
      <c r="I88" s="57">
        <f>IF($G88="SI",IF($H88&gt;0,30*(IFERROR($F88*1,0)/$H88),0),0)</f>
        <v/>
      </c>
      <c r="J88" s="57">
        <f>IF($A88="",0,IF($G88="SI",ROUND(IFERROR($E88*1,0)+$I88,4),ROUND(IFERROR($E88*1,0),4)))</f>
        <v/>
      </c>
      <c r="K88" s="57">
        <f>IF($A88="","",IF(IFERROR(VALUE($D88),0)&lt;&gt;1,"Non attiva",IF(IFERROR(VALUE($O88),0)&lt;Parametri!$B$2,"Sotto soglia","")))</f>
        <v/>
      </c>
      <c r="L88" s="57">
        <f>IF($A88="","",$A88&amp;"|"&amp;$C88)</f>
        <v/>
      </c>
      <c r="M88" s="57">
        <f>IF($A88="","",$C88&amp;"|"&amp;TEXT($J88,"0.0000"))</f>
        <v/>
      </c>
      <c r="N88" s="57" t="n"/>
      <c r="O88" s="57">
        <f>IF($A88="",0,IFERROR(IF(SUMIFS(CriteriTecnici!$O:$O,CriteriTecnici!$Q:$Q,$A88&amp;"|"&amp;$C88)&gt;0,SUMIFS(CriteriTecnici!$O:$O,CriteriTecnici!$Q:$Q,$A88&amp;"|"&amp;$C88,CriteriTecnici!$F:$F,"Q")+SUMIFS(CriteriTecnici!$O:$O,CriteriTecnici!$Q:$Q,$A88&amp;"|"&amp;$C88,CriteriTecnici!$F:$F,"T"),IFERROR($N88*1,0)),0))</f>
        <v/>
      </c>
      <c r="P88" s="57">
        <f>IF($A88="","",IF(SUMIFS(CriteriTecnici!$O:$O,CriteriTecnici!$Q:$Q,$A88&amp;"|"&amp;$C88)&gt;0,"Criteri A-G","Aggregato"))</f>
        <v/>
      </c>
    </row>
    <row r="89">
      <c r="A89" s="56">
        <f>IF(Compila!$A99="","",Compila!$A99)</f>
        <v/>
      </c>
      <c r="B89" s="56">
        <f>IF(Compila!$A99="","",Compila!$B99)</f>
        <v/>
      </c>
      <c r="C89" s="56">
        <f>IF(Compila!$A99="","",Compila!$C99)</f>
        <v/>
      </c>
      <c r="D89" s="56">
        <f>IF(Compila!$A99="","",Compila!$D99)</f>
        <v/>
      </c>
      <c r="E89" s="57">
        <f>IF($A89="",0,IFERROR(IF(SUMIFS(CriteriTecnici!$O:$O,CriteriTecnici!$Q:$Q,$A89&amp;"|"&amp;$C89)&gt;0,IF($G89="SI",ROUND(IF(SUMPRODUCT(MAX((CriteriTecnici!$C$5:$C$6173=$C89)*(CriteriTecnici!$E$5:$E$6173="A")*(CriteriTecnici!$T$5:$T$6173="SI")*IFERROR(CriteriTecnici!$O$5:$O$6173*1,0)))&gt;0,MIN(7,SUMIFS(CriteriTecnici!$O:$O,CriteriTecnici!$Q:$Q,$A89&amp;"|"&amp;$C89,CriteriTecnici!$E:$E,"A")*(7/SUMPRODUCT(MAX((CriteriTecnici!$C$5:$C$6173=$C89)*(CriteriTecnici!$E$5:$E$6173="A")*(CriteriTecnici!$T$5:$T$6173="SI")*IFERROR(CriteriTecnici!$O$5:$O$6173*1,0))))),0)+IF(SUMPRODUCT(MAX((CriteriTecnici!$C$5:$C$6173=$C89)*(CriteriTecnici!$E$5:$E$6173="B")*(CriteriTecnici!$T$5:$T$6173="SI")*IFERROR(CriteriTecnici!$O$5:$O$6173*1,0)))&gt;0,MIN(14,SUMIFS(CriteriTecnici!$O:$O,CriteriTecnici!$Q:$Q,$A89&amp;"|"&amp;$C89,CriteriTecnici!$E:$E,"B")*(14/SUMPRODUCT(MAX((CriteriTecnici!$C$5:$C$6173=$C89)*(CriteriTecnici!$E$5:$E$6173="B")*(CriteriTecnici!$T$5:$T$6173="SI")*IFERROR(CriteriTecnici!$O$5:$O$6173*1,0))))),0)+IF(SUMPRODUCT(MAX((CriteriTecnici!$C$5:$C$6173=$C89)*(CriteriTecnici!$E$5:$E$6173="C")*(CriteriTecnici!$T$5:$T$6173="SI")*IFERROR(CriteriTecnici!$O$5:$O$6173*1,0)))&gt;0,MIN(14,SUMIFS(CriteriTecnici!$O:$O,CriteriTecnici!$Q:$Q,$A89&amp;"|"&amp;$C89,CriteriTecnici!$E:$E,"C")*(14/SUMPRODUCT(MAX((CriteriTecnici!$C$5:$C$6173=$C89)*(CriteriTecnici!$E$5:$E$6173="C")*(CriteriTecnici!$T$5:$T$6173="SI")*IFERROR(CriteriTecnici!$O$5:$O$6173*1,0))))),0)+IF(SUMPRODUCT(MAX((CriteriTecnici!$C$5:$C$6173=$C89)*(CriteriTecnici!$E$5:$E$6173="D")*(CriteriTecnici!$T$5:$T$6173="SI")*IFERROR(CriteriTecnici!$O$5:$O$6173*1,0)))&gt;0,MIN(10,SUMIFS(CriteriTecnici!$O:$O,CriteriTecnici!$Q:$Q,$A89&amp;"|"&amp;$C89,CriteriTecnici!$E:$E,"D")*(10/SUMPRODUCT(MAX((CriteriTecnici!$C$5:$C$6173=$C89)*(CriteriTecnici!$E$5:$E$6173="D")*(CriteriTecnici!$T$5:$T$6173="SI")*IFERROR(CriteriTecnici!$O$5:$O$6173*1,0))))),0)+IF(SUMPRODUCT(MAX((CriteriTecnici!$C$5:$C$6173=$C89)*(CriteriTecnici!$E$5:$E$6173="E")*(CriteriTecnici!$T$5:$T$6173="SI")*IFERROR(CriteriTecnici!$O$5:$O$6173*1,0)))&gt;0,MIN(4,SUMIFS(CriteriTecnici!$O:$O,CriteriTecnici!$Q:$Q,$A89&amp;"|"&amp;$C89,CriteriTecnici!$E:$E,"E")*(4/SUMPRODUCT(MAX((CriteriTecnici!$C$5:$C$6173=$C89)*(CriteriTecnici!$E$5:$E$6173="E")*(CriteriTecnici!$T$5:$T$6173="SI")*IFERROR(CriteriTecnici!$O$5:$O$6173*1,0))))),0)+IF(SUMPRODUCT(MAX((CriteriTecnici!$C$5:$C$6173=$C89)*(CriteriTecnici!$E$5:$E$6173="F")*(CriteriTecnici!$T$5:$T$6173="SI")*IFERROR(CriteriTecnici!$O$5:$O$6173*1,0)))&gt;0,MIN(14,SUMIFS(CriteriTecnici!$O:$O,CriteriTecnici!$Q:$Q,$A89&amp;"|"&amp;$C89,CriteriTecnici!$E:$E,"F")*(14/SUMPRODUCT(MAX((CriteriTecnici!$C$5:$C$6173=$C89)*(CriteriTecnici!$E$5:$E$6173="F")*(CriteriTecnici!$T$5:$T$6173="SI")*IFERROR(CriteriTecnici!$O$5:$O$6173*1,0))))),0)+IF(SUMPRODUCT(MAX((CriteriTecnici!$C$5:$C$6173=$C89)*(CriteriTecnici!$E$5:$E$6173="G")*(CriteriTecnici!$T$5:$T$6173="SI")*IFERROR(CriteriTecnici!$O$5:$O$6173*1,0)))&gt;0,MIN(7,SUMIFS(CriteriTecnici!$O:$O,CriteriTecnici!$Q:$Q,$A89&amp;"|"&amp;$C89,CriteriTecnici!$E:$E,"G")*(7/SUMPRODUCT(MAX((CriteriTecnici!$C$5:$C$6173=$C89)*(CriteriTecnici!$E$5:$E$6173="G")*(CriteriTecnici!$T$5:$T$6173="SI")*IFERROR(CriteriTecnici!$O$5:$O$6173*1,0))))),0),4),0),IFERROR($N89*1,0)),0))</f>
        <v/>
      </c>
      <c r="F89" s="56">
        <f>IF(Compila!$A99="","",Compila!$E99)</f>
        <v/>
      </c>
      <c r="G89" s="57">
        <f>IF($A89="","",IF(IFERROR(VALUE($D89),0)&lt;&gt;1,"NO",IF(IFERROR(VALUE($O89),0)&gt;=Parametri!$B$2,"SI","NO")))</f>
        <v/>
      </c>
      <c r="H89" s="57">
        <f>IF($G89="SI",SUMPRODUCT(MAX(($C$2:$C$200=$C89)*(IFERROR($D$2:$D$200*1,0)=1)*(IFERROR($O$2:$O$200*1,0)&gt;=Parametri!$B$2)*IFERROR($F$2:$F$200*1,0))),0)</f>
        <v/>
      </c>
      <c r="I89" s="57">
        <f>IF($G89="SI",IF($H89&gt;0,30*(IFERROR($F89*1,0)/$H89),0),0)</f>
        <v/>
      </c>
      <c r="J89" s="57">
        <f>IF($A89="",0,IF($G89="SI",ROUND(IFERROR($E89*1,0)+$I89,4),ROUND(IFERROR($E89*1,0),4)))</f>
        <v/>
      </c>
      <c r="K89" s="57">
        <f>IF($A89="","",IF(IFERROR(VALUE($D89),0)&lt;&gt;1,"Non attiva",IF(IFERROR(VALUE($O89),0)&lt;Parametri!$B$2,"Sotto soglia","")))</f>
        <v/>
      </c>
      <c r="L89" s="57">
        <f>IF($A89="","",$A89&amp;"|"&amp;$C89)</f>
        <v/>
      </c>
      <c r="M89" s="57">
        <f>IF($A89="","",$C89&amp;"|"&amp;TEXT($J89,"0.0000"))</f>
        <v/>
      </c>
      <c r="N89" s="57" t="n"/>
      <c r="O89" s="57">
        <f>IF($A89="",0,IFERROR(IF(SUMIFS(CriteriTecnici!$O:$O,CriteriTecnici!$Q:$Q,$A89&amp;"|"&amp;$C89)&gt;0,SUMIFS(CriteriTecnici!$O:$O,CriteriTecnici!$Q:$Q,$A89&amp;"|"&amp;$C89,CriteriTecnici!$F:$F,"Q")+SUMIFS(CriteriTecnici!$O:$O,CriteriTecnici!$Q:$Q,$A89&amp;"|"&amp;$C89,CriteriTecnici!$F:$F,"T"),IFERROR($N89*1,0)),0))</f>
        <v/>
      </c>
      <c r="P89" s="57">
        <f>IF($A89="","",IF(SUMIFS(CriteriTecnici!$O:$O,CriteriTecnici!$Q:$Q,$A89&amp;"|"&amp;$C89)&gt;0,"Criteri A-G","Aggregato"))</f>
        <v/>
      </c>
    </row>
    <row r="90">
      <c r="A90" s="56">
        <f>IF(Compila!$A100="","",Compila!$A100)</f>
        <v/>
      </c>
      <c r="B90" s="56">
        <f>IF(Compila!$A100="","",Compila!$B100)</f>
        <v/>
      </c>
      <c r="C90" s="56">
        <f>IF(Compila!$A100="","",Compila!$C100)</f>
        <v/>
      </c>
      <c r="D90" s="56">
        <f>IF(Compila!$A100="","",Compila!$D100)</f>
        <v/>
      </c>
      <c r="E90" s="57">
        <f>IF($A90="",0,IFERROR(IF(SUMIFS(CriteriTecnici!$O:$O,CriteriTecnici!$Q:$Q,$A90&amp;"|"&amp;$C90)&gt;0,IF($G90="SI",ROUND(IF(SUMPRODUCT(MAX((CriteriTecnici!$C$5:$C$6173=$C90)*(CriteriTecnici!$E$5:$E$6173="A")*(CriteriTecnici!$T$5:$T$6173="SI")*IFERROR(CriteriTecnici!$O$5:$O$6173*1,0)))&gt;0,MIN(7,SUMIFS(CriteriTecnici!$O:$O,CriteriTecnici!$Q:$Q,$A90&amp;"|"&amp;$C90,CriteriTecnici!$E:$E,"A")*(7/SUMPRODUCT(MAX((CriteriTecnici!$C$5:$C$6173=$C90)*(CriteriTecnici!$E$5:$E$6173="A")*(CriteriTecnici!$T$5:$T$6173="SI")*IFERROR(CriteriTecnici!$O$5:$O$6173*1,0))))),0)+IF(SUMPRODUCT(MAX((CriteriTecnici!$C$5:$C$6173=$C90)*(CriteriTecnici!$E$5:$E$6173="B")*(CriteriTecnici!$T$5:$T$6173="SI")*IFERROR(CriteriTecnici!$O$5:$O$6173*1,0)))&gt;0,MIN(14,SUMIFS(CriteriTecnici!$O:$O,CriteriTecnici!$Q:$Q,$A90&amp;"|"&amp;$C90,CriteriTecnici!$E:$E,"B")*(14/SUMPRODUCT(MAX((CriteriTecnici!$C$5:$C$6173=$C90)*(CriteriTecnici!$E$5:$E$6173="B")*(CriteriTecnici!$T$5:$T$6173="SI")*IFERROR(CriteriTecnici!$O$5:$O$6173*1,0))))),0)+IF(SUMPRODUCT(MAX((CriteriTecnici!$C$5:$C$6173=$C90)*(CriteriTecnici!$E$5:$E$6173="C")*(CriteriTecnici!$T$5:$T$6173="SI")*IFERROR(CriteriTecnici!$O$5:$O$6173*1,0)))&gt;0,MIN(14,SUMIFS(CriteriTecnici!$O:$O,CriteriTecnici!$Q:$Q,$A90&amp;"|"&amp;$C90,CriteriTecnici!$E:$E,"C")*(14/SUMPRODUCT(MAX((CriteriTecnici!$C$5:$C$6173=$C90)*(CriteriTecnici!$E$5:$E$6173="C")*(CriteriTecnici!$T$5:$T$6173="SI")*IFERROR(CriteriTecnici!$O$5:$O$6173*1,0))))),0)+IF(SUMPRODUCT(MAX((CriteriTecnici!$C$5:$C$6173=$C90)*(CriteriTecnici!$E$5:$E$6173="D")*(CriteriTecnici!$T$5:$T$6173="SI")*IFERROR(CriteriTecnici!$O$5:$O$6173*1,0)))&gt;0,MIN(10,SUMIFS(CriteriTecnici!$O:$O,CriteriTecnici!$Q:$Q,$A90&amp;"|"&amp;$C90,CriteriTecnici!$E:$E,"D")*(10/SUMPRODUCT(MAX((CriteriTecnici!$C$5:$C$6173=$C90)*(CriteriTecnici!$E$5:$E$6173="D")*(CriteriTecnici!$T$5:$T$6173="SI")*IFERROR(CriteriTecnici!$O$5:$O$6173*1,0))))),0)+IF(SUMPRODUCT(MAX((CriteriTecnici!$C$5:$C$6173=$C90)*(CriteriTecnici!$E$5:$E$6173="E")*(CriteriTecnici!$T$5:$T$6173="SI")*IFERROR(CriteriTecnici!$O$5:$O$6173*1,0)))&gt;0,MIN(4,SUMIFS(CriteriTecnici!$O:$O,CriteriTecnici!$Q:$Q,$A90&amp;"|"&amp;$C90,CriteriTecnici!$E:$E,"E")*(4/SUMPRODUCT(MAX((CriteriTecnici!$C$5:$C$6173=$C90)*(CriteriTecnici!$E$5:$E$6173="E")*(CriteriTecnici!$T$5:$T$6173="SI")*IFERROR(CriteriTecnici!$O$5:$O$6173*1,0))))),0)+IF(SUMPRODUCT(MAX((CriteriTecnici!$C$5:$C$6173=$C90)*(CriteriTecnici!$E$5:$E$6173="F")*(CriteriTecnici!$T$5:$T$6173="SI")*IFERROR(CriteriTecnici!$O$5:$O$6173*1,0)))&gt;0,MIN(14,SUMIFS(CriteriTecnici!$O:$O,CriteriTecnici!$Q:$Q,$A90&amp;"|"&amp;$C90,CriteriTecnici!$E:$E,"F")*(14/SUMPRODUCT(MAX((CriteriTecnici!$C$5:$C$6173=$C90)*(CriteriTecnici!$E$5:$E$6173="F")*(CriteriTecnici!$T$5:$T$6173="SI")*IFERROR(CriteriTecnici!$O$5:$O$6173*1,0))))),0)+IF(SUMPRODUCT(MAX((CriteriTecnici!$C$5:$C$6173=$C90)*(CriteriTecnici!$E$5:$E$6173="G")*(CriteriTecnici!$T$5:$T$6173="SI")*IFERROR(CriteriTecnici!$O$5:$O$6173*1,0)))&gt;0,MIN(7,SUMIFS(CriteriTecnici!$O:$O,CriteriTecnici!$Q:$Q,$A90&amp;"|"&amp;$C90,CriteriTecnici!$E:$E,"G")*(7/SUMPRODUCT(MAX((CriteriTecnici!$C$5:$C$6173=$C90)*(CriteriTecnici!$E$5:$E$6173="G")*(CriteriTecnici!$T$5:$T$6173="SI")*IFERROR(CriteriTecnici!$O$5:$O$6173*1,0))))),0),4),0),IFERROR($N90*1,0)),0))</f>
        <v/>
      </c>
      <c r="F90" s="56">
        <f>IF(Compila!$A100="","",Compila!$E100)</f>
        <v/>
      </c>
      <c r="G90" s="57">
        <f>IF($A90="","",IF(IFERROR(VALUE($D90),0)&lt;&gt;1,"NO",IF(IFERROR(VALUE($O90),0)&gt;=Parametri!$B$2,"SI","NO")))</f>
        <v/>
      </c>
      <c r="H90" s="57">
        <f>IF($G90="SI",SUMPRODUCT(MAX(($C$2:$C$200=$C90)*(IFERROR($D$2:$D$200*1,0)=1)*(IFERROR($O$2:$O$200*1,0)&gt;=Parametri!$B$2)*IFERROR($F$2:$F$200*1,0))),0)</f>
        <v/>
      </c>
      <c r="I90" s="57">
        <f>IF($G90="SI",IF($H90&gt;0,30*(IFERROR($F90*1,0)/$H90),0),0)</f>
        <v/>
      </c>
      <c r="J90" s="57">
        <f>IF($A90="",0,IF($G90="SI",ROUND(IFERROR($E90*1,0)+$I90,4),ROUND(IFERROR($E90*1,0),4)))</f>
        <v/>
      </c>
      <c r="K90" s="57">
        <f>IF($A90="","",IF(IFERROR(VALUE($D90),0)&lt;&gt;1,"Non attiva",IF(IFERROR(VALUE($O90),0)&lt;Parametri!$B$2,"Sotto soglia","")))</f>
        <v/>
      </c>
      <c r="L90" s="57">
        <f>IF($A90="","",$A90&amp;"|"&amp;$C90)</f>
        <v/>
      </c>
      <c r="M90" s="57">
        <f>IF($A90="","",$C90&amp;"|"&amp;TEXT($J90,"0.0000"))</f>
        <v/>
      </c>
      <c r="N90" s="57" t="n"/>
      <c r="O90" s="57">
        <f>IF($A90="",0,IFERROR(IF(SUMIFS(CriteriTecnici!$O:$O,CriteriTecnici!$Q:$Q,$A90&amp;"|"&amp;$C90)&gt;0,SUMIFS(CriteriTecnici!$O:$O,CriteriTecnici!$Q:$Q,$A90&amp;"|"&amp;$C90,CriteriTecnici!$F:$F,"Q")+SUMIFS(CriteriTecnici!$O:$O,CriteriTecnici!$Q:$Q,$A90&amp;"|"&amp;$C90,CriteriTecnici!$F:$F,"T"),IFERROR($N90*1,0)),0))</f>
        <v/>
      </c>
      <c r="P90" s="57">
        <f>IF($A90="","",IF(SUMIFS(CriteriTecnici!$O:$O,CriteriTecnici!$Q:$Q,$A90&amp;"|"&amp;$C90)&gt;0,"Criteri A-G","Aggregato"))</f>
        <v/>
      </c>
    </row>
    <row r="91">
      <c r="A91" s="56">
        <f>IF(Compila!$A101="","",Compila!$A101)</f>
        <v/>
      </c>
      <c r="B91" s="56">
        <f>IF(Compila!$A101="","",Compila!$B101)</f>
        <v/>
      </c>
      <c r="C91" s="56">
        <f>IF(Compila!$A101="","",Compila!$C101)</f>
        <v/>
      </c>
      <c r="D91" s="56">
        <f>IF(Compila!$A101="","",Compila!$D101)</f>
        <v/>
      </c>
      <c r="E91" s="57">
        <f>IF($A91="",0,IFERROR(IF(SUMIFS(CriteriTecnici!$O:$O,CriteriTecnici!$Q:$Q,$A91&amp;"|"&amp;$C91)&gt;0,IF($G91="SI",ROUND(IF(SUMPRODUCT(MAX((CriteriTecnici!$C$5:$C$6173=$C91)*(CriteriTecnici!$E$5:$E$6173="A")*(CriteriTecnici!$T$5:$T$6173="SI")*IFERROR(CriteriTecnici!$O$5:$O$6173*1,0)))&gt;0,MIN(7,SUMIFS(CriteriTecnici!$O:$O,CriteriTecnici!$Q:$Q,$A91&amp;"|"&amp;$C91,CriteriTecnici!$E:$E,"A")*(7/SUMPRODUCT(MAX((CriteriTecnici!$C$5:$C$6173=$C91)*(CriteriTecnici!$E$5:$E$6173="A")*(CriteriTecnici!$T$5:$T$6173="SI")*IFERROR(CriteriTecnici!$O$5:$O$6173*1,0))))),0)+IF(SUMPRODUCT(MAX((CriteriTecnici!$C$5:$C$6173=$C91)*(CriteriTecnici!$E$5:$E$6173="B")*(CriteriTecnici!$T$5:$T$6173="SI")*IFERROR(CriteriTecnici!$O$5:$O$6173*1,0)))&gt;0,MIN(14,SUMIFS(CriteriTecnici!$O:$O,CriteriTecnici!$Q:$Q,$A91&amp;"|"&amp;$C91,CriteriTecnici!$E:$E,"B")*(14/SUMPRODUCT(MAX((CriteriTecnici!$C$5:$C$6173=$C91)*(CriteriTecnici!$E$5:$E$6173="B")*(CriteriTecnici!$T$5:$T$6173="SI")*IFERROR(CriteriTecnici!$O$5:$O$6173*1,0))))),0)+IF(SUMPRODUCT(MAX((CriteriTecnici!$C$5:$C$6173=$C91)*(CriteriTecnici!$E$5:$E$6173="C")*(CriteriTecnici!$T$5:$T$6173="SI")*IFERROR(CriteriTecnici!$O$5:$O$6173*1,0)))&gt;0,MIN(14,SUMIFS(CriteriTecnici!$O:$O,CriteriTecnici!$Q:$Q,$A91&amp;"|"&amp;$C91,CriteriTecnici!$E:$E,"C")*(14/SUMPRODUCT(MAX((CriteriTecnici!$C$5:$C$6173=$C91)*(CriteriTecnici!$E$5:$E$6173="C")*(CriteriTecnici!$T$5:$T$6173="SI")*IFERROR(CriteriTecnici!$O$5:$O$6173*1,0))))),0)+IF(SUMPRODUCT(MAX((CriteriTecnici!$C$5:$C$6173=$C91)*(CriteriTecnici!$E$5:$E$6173="D")*(CriteriTecnici!$T$5:$T$6173="SI")*IFERROR(CriteriTecnici!$O$5:$O$6173*1,0)))&gt;0,MIN(10,SUMIFS(CriteriTecnici!$O:$O,CriteriTecnici!$Q:$Q,$A91&amp;"|"&amp;$C91,CriteriTecnici!$E:$E,"D")*(10/SUMPRODUCT(MAX((CriteriTecnici!$C$5:$C$6173=$C91)*(CriteriTecnici!$E$5:$E$6173="D")*(CriteriTecnici!$T$5:$T$6173="SI")*IFERROR(CriteriTecnici!$O$5:$O$6173*1,0))))),0)+IF(SUMPRODUCT(MAX((CriteriTecnici!$C$5:$C$6173=$C91)*(CriteriTecnici!$E$5:$E$6173="E")*(CriteriTecnici!$T$5:$T$6173="SI")*IFERROR(CriteriTecnici!$O$5:$O$6173*1,0)))&gt;0,MIN(4,SUMIFS(CriteriTecnici!$O:$O,CriteriTecnici!$Q:$Q,$A91&amp;"|"&amp;$C91,CriteriTecnici!$E:$E,"E")*(4/SUMPRODUCT(MAX((CriteriTecnici!$C$5:$C$6173=$C91)*(CriteriTecnici!$E$5:$E$6173="E")*(CriteriTecnici!$T$5:$T$6173="SI")*IFERROR(CriteriTecnici!$O$5:$O$6173*1,0))))),0)+IF(SUMPRODUCT(MAX((CriteriTecnici!$C$5:$C$6173=$C91)*(CriteriTecnici!$E$5:$E$6173="F")*(CriteriTecnici!$T$5:$T$6173="SI")*IFERROR(CriteriTecnici!$O$5:$O$6173*1,0)))&gt;0,MIN(14,SUMIFS(CriteriTecnici!$O:$O,CriteriTecnici!$Q:$Q,$A91&amp;"|"&amp;$C91,CriteriTecnici!$E:$E,"F")*(14/SUMPRODUCT(MAX((CriteriTecnici!$C$5:$C$6173=$C91)*(CriteriTecnici!$E$5:$E$6173="F")*(CriteriTecnici!$T$5:$T$6173="SI")*IFERROR(CriteriTecnici!$O$5:$O$6173*1,0))))),0)+IF(SUMPRODUCT(MAX((CriteriTecnici!$C$5:$C$6173=$C91)*(CriteriTecnici!$E$5:$E$6173="G")*(CriteriTecnici!$T$5:$T$6173="SI")*IFERROR(CriteriTecnici!$O$5:$O$6173*1,0)))&gt;0,MIN(7,SUMIFS(CriteriTecnici!$O:$O,CriteriTecnici!$Q:$Q,$A91&amp;"|"&amp;$C91,CriteriTecnici!$E:$E,"G")*(7/SUMPRODUCT(MAX((CriteriTecnici!$C$5:$C$6173=$C91)*(CriteriTecnici!$E$5:$E$6173="G")*(CriteriTecnici!$T$5:$T$6173="SI")*IFERROR(CriteriTecnici!$O$5:$O$6173*1,0))))),0),4),0),IFERROR($N91*1,0)),0))</f>
        <v/>
      </c>
      <c r="F91" s="56">
        <f>IF(Compila!$A101="","",Compila!$E101)</f>
        <v/>
      </c>
      <c r="G91" s="57">
        <f>IF($A91="","",IF(IFERROR(VALUE($D91),0)&lt;&gt;1,"NO",IF(IFERROR(VALUE($O91),0)&gt;=Parametri!$B$2,"SI","NO")))</f>
        <v/>
      </c>
      <c r="H91" s="57">
        <f>IF($G91="SI",SUMPRODUCT(MAX(($C$2:$C$200=$C91)*(IFERROR($D$2:$D$200*1,0)=1)*(IFERROR($O$2:$O$200*1,0)&gt;=Parametri!$B$2)*IFERROR($F$2:$F$200*1,0))),0)</f>
        <v/>
      </c>
      <c r="I91" s="57">
        <f>IF($G91="SI",IF($H91&gt;0,30*(IFERROR($F91*1,0)/$H91),0),0)</f>
        <v/>
      </c>
      <c r="J91" s="57">
        <f>IF($A91="",0,IF($G91="SI",ROUND(IFERROR($E91*1,0)+$I91,4),ROUND(IFERROR($E91*1,0),4)))</f>
        <v/>
      </c>
      <c r="K91" s="57">
        <f>IF($A91="","",IF(IFERROR(VALUE($D91),0)&lt;&gt;1,"Non attiva",IF(IFERROR(VALUE($O91),0)&lt;Parametri!$B$2,"Sotto soglia","")))</f>
        <v/>
      </c>
      <c r="L91" s="57">
        <f>IF($A91="","",$A91&amp;"|"&amp;$C91)</f>
        <v/>
      </c>
      <c r="M91" s="57">
        <f>IF($A91="","",$C91&amp;"|"&amp;TEXT($J91,"0.0000"))</f>
        <v/>
      </c>
      <c r="N91" s="57" t="n"/>
      <c r="O91" s="57">
        <f>IF($A91="",0,IFERROR(IF(SUMIFS(CriteriTecnici!$O:$O,CriteriTecnici!$Q:$Q,$A91&amp;"|"&amp;$C91)&gt;0,SUMIFS(CriteriTecnici!$O:$O,CriteriTecnici!$Q:$Q,$A91&amp;"|"&amp;$C91,CriteriTecnici!$F:$F,"Q")+SUMIFS(CriteriTecnici!$O:$O,CriteriTecnici!$Q:$Q,$A91&amp;"|"&amp;$C91,CriteriTecnici!$F:$F,"T"),IFERROR($N91*1,0)),0))</f>
        <v/>
      </c>
      <c r="P91" s="57">
        <f>IF($A91="","",IF(SUMIFS(CriteriTecnici!$O:$O,CriteriTecnici!$Q:$Q,$A91&amp;"|"&amp;$C91)&gt;0,"Criteri A-G","Aggregato"))</f>
        <v/>
      </c>
    </row>
    <row r="92">
      <c r="A92" s="56">
        <f>IF(Compila!$A102="","",Compila!$A102)</f>
        <v/>
      </c>
      <c r="B92" s="56">
        <f>IF(Compila!$A102="","",Compila!$B102)</f>
        <v/>
      </c>
      <c r="C92" s="56">
        <f>IF(Compila!$A102="","",Compila!$C102)</f>
        <v/>
      </c>
      <c r="D92" s="56">
        <f>IF(Compila!$A102="","",Compila!$D102)</f>
        <v/>
      </c>
      <c r="E92" s="57">
        <f>IF($A92="",0,IFERROR(IF(SUMIFS(CriteriTecnici!$O:$O,CriteriTecnici!$Q:$Q,$A92&amp;"|"&amp;$C92)&gt;0,IF($G92="SI",ROUND(IF(SUMPRODUCT(MAX((CriteriTecnici!$C$5:$C$6173=$C92)*(CriteriTecnici!$E$5:$E$6173="A")*(CriteriTecnici!$T$5:$T$6173="SI")*IFERROR(CriteriTecnici!$O$5:$O$6173*1,0)))&gt;0,MIN(7,SUMIFS(CriteriTecnici!$O:$O,CriteriTecnici!$Q:$Q,$A92&amp;"|"&amp;$C92,CriteriTecnici!$E:$E,"A")*(7/SUMPRODUCT(MAX((CriteriTecnici!$C$5:$C$6173=$C92)*(CriteriTecnici!$E$5:$E$6173="A")*(CriteriTecnici!$T$5:$T$6173="SI")*IFERROR(CriteriTecnici!$O$5:$O$6173*1,0))))),0)+IF(SUMPRODUCT(MAX((CriteriTecnici!$C$5:$C$6173=$C92)*(CriteriTecnici!$E$5:$E$6173="B")*(CriteriTecnici!$T$5:$T$6173="SI")*IFERROR(CriteriTecnici!$O$5:$O$6173*1,0)))&gt;0,MIN(14,SUMIFS(CriteriTecnici!$O:$O,CriteriTecnici!$Q:$Q,$A92&amp;"|"&amp;$C92,CriteriTecnici!$E:$E,"B")*(14/SUMPRODUCT(MAX((CriteriTecnici!$C$5:$C$6173=$C92)*(CriteriTecnici!$E$5:$E$6173="B")*(CriteriTecnici!$T$5:$T$6173="SI")*IFERROR(CriteriTecnici!$O$5:$O$6173*1,0))))),0)+IF(SUMPRODUCT(MAX((CriteriTecnici!$C$5:$C$6173=$C92)*(CriteriTecnici!$E$5:$E$6173="C")*(CriteriTecnici!$T$5:$T$6173="SI")*IFERROR(CriteriTecnici!$O$5:$O$6173*1,0)))&gt;0,MIN(14,SUMIFS(CriteriTecnici!$O:$O,CriteriTecnici!$Q:$Q,$A92&amp;"|"&amp;$C92,CriteriTecnici!$E:$E,"C")*(14/SUMPRODUCT(MAX((CriteriTecnici!$C$5:$C$6173=$C92)*(CriteriTecnici!$E$5:$E$6173="C")*(CriteriTecnici!$T$5:$T$6173="SI")*IFERROR(CriteriTecnici!$O$5:$O$6173*1,0))))),0)+IF(SUMPRODUCT(MAX((CriteriTecnici!$C$5:$C$6173=$C92)*(CriteriTecnici!$E$5:$E$6173="D")*(CriteriTecnici!$T$5:$T$6173="SI")*IFERROR(CriteriTecnici!$O$5:$O$6173*1,0)))&gt;0,MIN(10,SUMIFS(CriteriTecnici!$O:$O,CriteriTecnici!$Q:$Q,$A92&amp;"|"&amp;$C92,CriteriTecnici!$E:$E,"D")*(10/SUMPRODUCT(MAX((CriteriTecnici!$C$5:$C$6173=$C92)*(CriteriTecnici!$E$5:$E$6173="D")*(CriteriTecnici!$T$5:$T$6173="SI")*IFERROR(CriteriTecnici!$O$5:$O$6173*1,0))))),0)+IF(SUMPRODUCT(MAX((CriteriTecnici!$C$5:$C$6173=$C92)*(CriteriTecnici!$E$5:$E$6173="E")*(CriteriTecnici!$T$5:$T$6173="SI")*IFERROR(CriteriTecnici!$O$5:$O$6173*1,0)))&gt;0,MIN(4,SUMIFS(CriteriTecnici!$O:$O,CriteriTecnici!$Q:$Q,$A92&amp;"|"&amp;$C92,CriteriTecnici!$E:$E,"E")*(4/SUMPRODUCT(MAX((CriteriTecnici!$C$5:$C$6173=$C92)*(CriteriTecnici!$E$5:$E$6173="E")*(CriteriTecnici!$T$5:$T$6173="SI")*IFERROR(CriteriTecnici!$O$5:$O$6173*1,0))))),0)+IF(SUMPRODUCT(MAX((CriteriTecnici!$C$5:$C$6173=$C92)*(CriteriTecnici!$E$5:$E$6173="F")*(CriteriTecnici!$T$5:$T$6173="SI")*IFERROR(CriteriTecnici!$O$5:$O$6173*1,0)))&gt;0,MIN(14,SUMIFS(CriteriTecnici!$O:$O,CriteriTecnici!$Q:$Q,$A92&amp;"|"&amp;$C92,CriteriTecnici!$E:$E,"F")*(14/SUMPRODUCT(MAX((CriteriTecnici!$C$5:$C$6173=$C92)*(CriteriTecnici!$E$5:$E$6173="F")*(CriteriTecnici!$T$5:$T$6173="SI")*IFERROR(CriteriTecnici!$O$5:$O$6173*1,0))))),0)+IF(SUMPRODUCT(MAX((CriteriTecnici!$C$5:$C$6173=$C92)*(CriteriTecnici!$E$5:$E$6173="G")*(CriteriTecnici!$T$5:$T$6173="SI")*IFERROR(CriteriTecnici!$O$5:$O$6173*1,0)))&gt;0,MIN(7,SUMIFS(CriteriTecnici!$O:$O,CriteriTecnici!$Q:$Q,$A92&amp;"|"&amp;$C92,CriteriTecnici!$E:$E,"G")*(7/SUMPRODUCT(MAX((CriteriTecnici!$C$5:$C$6173=$C92)*(CriteriTecnici!$E$5:$E$6173="G")*(CriteriTecnici!$T$5:$T$6173="SI")*IFERROR(CriteriTecnici!$O$5:$O$6173*1,0))))),0),4),0),IFERROR($N92*1,0)),0))</f>
        <v/>
      </c>
      <c r="F92" s="56">
        <f>IF(Compila!$A102="","",Compila!$E102)</f>
        <v/>
      </c>
      <c r="G92" s="57">
        <f>IF($A92="","",IF(IFERROR(VALUE($D92),0)&lt;&gt;1,"NO",IF(IFERROR(VALUE($O92),0)&gt;=Parametri!$B$2,"SI","NO")))</f>
        <v/>
      </c>
      <c r="H92" s="57">
        <f>IF($G92="SI",SUMPRODUCT(MAX(($C$2:$C$200=$C92)*(IFERROR($D$2:$D$200*1,0)=1)*(IFERROR($O$2:$O$200*1,0)&gt;=Parametri!$B$2)*IFERROR($F$2:$F$200*1,0))),0)</f>
        <v/>
      </c>
      <c r="I92" s="57">
        <f>IF($G92="SI",IF($H92&gt;0,30*(IFERROR($F92*1,0)/$H92),0),0)</f>
        <v/>
      </c>
      <c r="J92" s="57">
        <f>IF($A92="",0,IF($G92="SI",ROUND(IFERROR($E92*1,0)+$I92,4),ROUND(IFERROR($E92*1,0),4)))</f>
        <v/>
      </c>
      <c r="K92" s="57">
        <f>IF($A92="","",IF(IFERROR(VALUE($D92),0)&lt;&gt;1,"Non attiva",IF(IFERROR(VALUE($O92),0)&lt;Parametri!$B$2,"Sotto soglia","")))</f>
        <v/>
      </c>
      <c r="L92" s="57">
        <f>IF($A92="","",$A92&amp;"|"&amp;$C92)</f>
        <v/>
      </c>
      <c r="M92" s="57">
        <f>IF($A92="","",$C92&amp;"|"&amp;TEXT($J92,"0.0000"))</f>
        <v/>
      </c>
      <c r="N92" s="57" t="n"/>
      <c r="O92" s="57">
        <f>IF($A92="",0,IFERROR(IF(SUMIFS(CriteriTecnici!$O:$O,CriteriTecnici!$Q:$Q,$A92&amp;"|"&amp;$C92)&gt;0,SUMIFS(CriteriTecnici!$O:$O,CriteriTecnici!$Q:$Q,$A92&amp;"|"&amp;$C92,CriteriTecnici!$F:$F,"Q")+SUMIFS(CriteriTecnici!$O:$O,CriteriTecnici!$Q:$Q,$A92&amp;"|"&amp;$C92,CriteriTecnici!$F:$F,"T"),IFERROR($N92*1,0)),0))</f>
        <v/>
      </c>
      <c r="P92" s="57">
        <f>IF($A92="","",IF(SUMIFS(CriteriTecnici!$O:$O,CriteriTecnici!$Q:$Q,$A92&amp;"|"&amp;$C92)&gt;0,"Criteri A-G","Aggregato"))</f>
        <v/>
      </c>
    </row>
    <row r="93">
      <c r="A93" s="56">
        <f>IF(Compila!$A103="","",Compila!$A103)</f>
        <v/>
      </c>
      <c r="B93" s="56">
        <f>IF(Compila!$A103="","",Compila!$B103)</f>
        <v/>
      </c>
      <c r="C93" s="56">
        <f>IF(Compila!$A103="","",Compila!$C103)</f>
        <v/>
      </c>
      <c r="D93" s="56">
        <f>IF(Compila!$A103="","",Compila!$D103)</f>
        <v/>
      </c>
      <c r="E93" s="57">
        <f>IF($A93="",0,IFERROR(IF(SUMIFS(CriteriTecnici!$O:$O,CriteriTecnici!$Q:$Q,$A93&amp;"|"&amp;$C93)&gt;0,IF($G93="SI",ROUND(IF(SUMPRODUCT(MAX((CriteriTecnici!$C$5:$C$6173=$C93)*(CriteriTecnici!$E$5:$E$6173="A")*(CriteriTecnici!$T$5:$T$6173="SI")*IFERROR(CriteriTecnici!$O$5:$O$6173*1,0)))&gt;0,MIN(7,SUMIFS(CriteriTecnici!$O:$O,CriteriTecnici!$Q:$Q,$A93&amp;"|"&amp;$C93,CriteriTecnici!$E:$E,"A")*(7/SUMPRODUCT(MAX((CriteriTecnici!$C$5:$C$6173=$C93)*(CriteriTecnici!$E$5:$E$6173="A")*(CriteriTecnici!$T$5:$T$6173="SI")*IFERROR(CriteriTecnici!$O$5:$O$6173*1,0))))),0)+IF(SUMPRODUCT(MAX((CriteriTecnici!$C$5:$C$6173=$C93)*(CriteriTecnici!$E$5:$E$6173="B")*(CriteriTecnici!$T$5:$T$6173="SI")*IFERROR(CriteriTecnici!$O$5:$O$6173*1,0)))&gt;0,MIN(14,SUMIFS(CriteriTecnici!$O:$O,CriteriTecnici!$Q:$Q,$A93&amp;"|"&amp;$C93,CriteriTecnici!$E:$E,"B")*(14/SUMPRODUCT(MAX((CriteriTecnici!$C$5:$C$6173=$C93)*(CriteriTecnici!$E$5:$E$6173="B")*(CriteriTecnici!$T$5:$T$6173="SI")*IFERROR(CriteriTecnici!$O$5:$O$6173*1,0))))),0)+IF(SUMPRODUCT(MAX((CriteriTecnici!$C$5:$C$6173=$C93)*(CriteriTecnici!$E$5:$E$6173="C")*(CriteriTecnici!$T$5:$T$6173="SI")*IFERROR(CriteriTecnici!$O$5:$O$6173*1,0)))&gt;0,MIN(14,SUMIFS(CriteriTecnici!$O:$O,CriteriTecnici!$Q:$Q,$A93&amp;"|"&amp;$C93,CriteriTecnici!$E:$E,"C")*(14/SUMPRODUCT(MAX((CriteriTecnici!$C$5:$C$6173=$C93)*(CriteriTecnici!$E$5:$E$6173="C")*(CriteriTecnici!$T$5:$T$6173="SI")*IFERROR(CriteriTecnici!$O$5:$O$6173*1,0))))),0)+IF(SUMPRODUCT(MAX((CriteriTecnici!$C$5:$C$6173=$C93)*(CriteriTecnici!$E$5:$E$6173="D")*(CriteriTecnici!$T$5:$T$6173="SI")*IFERROR(CriteriTecnici!$O$5:$O$6173*1,0)))&gt;0,MIN(10,SUMIFS(CriteriTecnici!$O:$O,CriteriTecnici!$Q:$Q,$A93&amp;"|"&amp;$C93,CriteriTecnici!$E:$E,"D")*(10/SUMPRODUCT(MAX((CriteriTecnici!$C$5:$C$6173=$C93)*(CriteriTecnici!$E$5:$E$6173="D")*(CriteriTecnici!$T$5:$T$6173="SI")*IFERROR(CriteriTecnici!$O$5:$O$6173*1,0))))),0)+IF(SUMPRODUCT(MAX((CriteriTecnici!$C$5:$C$6173=$C93)*(CriteriTecnici!$E$5:$E$6173="E")*(CriteriTecnici!$T$5:$T$6173="SI")*IFERROR(CriteriTecnici!$O$5:$O$6173*1,0)))&gt;0,MIN(4,SUMIFS(CriteriTecnici!$O:$O,CriteriTecnici!$Q:$Q,$A93&amp;"|"&amp;$C93,CriteriTecnici!$E:$E,"E")*(4/SUMPRODUCT(MAX((CriteriTecnici!$C$5:$C$6173=$C93)*(CriteriTecnici!$E$5:$E$6173="E")*(CriteriTecnici!$T$5:$T$6173="SI")*IFERROR(CriteriTecnici!$O$5:$O$6173*1,0))))),0)+IF(SUMPRODUCT(MAX((CriteriTecnici!$C$5:$C$6173=$C93)*(CriteriTecnici!$E$5:$E$6173="F")*(CriteriTecnici!$T$5:$T$6173="SI")*IFERROR(CriteriTecnici!$O$5:$O$6173*1,0)))&gt;0,MIN(14,SUMIFS(CriteriTecnici!$O:$O,CriteriTecnici!$Q:$Q,$A93&amp;"|"&amp;$C93,CriteriTecnici!$E:$E,"F")*(14/SUMPRODUCT(MAX((CriteriTecnici!$C$5:$C$6173=$C93)*(CriteriTecnici!$E$5:$E$6173="F")*(CriteriTecnici!$T$5:$T$6173="SI")*IFERROR(CriteriTecnici!$O$5:$O$6173*1,0))))),0)+IF(SUMPRODUCT(MAX((CriteriTecnici!$C$5:$C$6173=$C93)*(CriteriTecnici!$E$5:$E$6173="G")*(CriteriTecnici!$T$5:$T$6173="SI")*IFERROR(CriteriTecnici!$O$5:$O$6173*1,0)))&gt;0,MIN(7,SUMIFS(CriteriTecnici!$O:$O,CriteriTecnici!$Q:$Q,$A93&amp;"|"&amp;$C93,CriteriTecnici!$E:$E,"G")*(7/SUMPRODUCT(MAX((CriteriTecnici!$C$5:$C$6173=$C93)*(CriteriTecnici!$E$5:$E$6173="G")*(CriteriTecnici!$T$5:$T$6173="SI")*IFERROR(CriteriTecnici!$O$5:$O$6173*1,0))))),0),4),0),IFERROR($N93*1,0)),0))</f>
        <v/>
      </c>
      <c r="F93" s="56">
        <f>IF(Compila!$A103="","",Compila!$E103)</f>
        <v/>
      </c>
      <c r="G93" s="57">
        <f>IF($A93="","",IF(IFERROR(VALUE($D93),0)&lt;&gt;1,"NO",IF(IFERROR(VALUE($O93),0)&gt;=Parametri!$B$2,"SI","NO")))</f>
        <v/>
      </c>
      <c r="H93" s="57">
        <f>IF($G93="SI",SUMPRODUCT(MAX(($C$2:$C$200=$C93)*(IFERROR($D$2:$D$200*1,0)=1)*(IFERROR($O$2:$O$200*1,0)&gt;=Parametri!$B$2)*IFERROR($F$2:$F$200*1,0))),0)</f>
        <v/>
      </c>
      <c r="I93" s="57">
        <f>IF($G93="SI",IF($H93&gt;0,30*(IFERROR($F93*1,0)/$H93),0),0)</f>
        <v/>
      </c>
      <c r="J93" s="57">
        <f>IF($A93="",0,IF($G93="SI",ROUND(IFERROR($E93*1,0)+$I93,4),ROUND(IFERROR($E93*1,0),4)))</f>
        <v/>
      </c>
      <c r="K93" s="57">
        <f>IF($A93="","",IF(IFERROR(VALUE($D93),0)&lt;&gt;1,"Non attiva",IF(IFERROR(VALUE($O93),0)&lt;Parametri!$B$2,"Sotto soglia","")))</f>
        <v/>
      </c>
      <c r="L93" s="57">
        <f>IF($A93="","",$A93&amp;"|"&amp;$C93)</f>
        <v/>
      </c>
      <c r="M93" s="57">
        <f>IF($A93="","",$C93&amp;"|"&amp;TEXT($J93,"0.0000"))</f>
        <v/>
      </c>
      <c r="N93" s="57" t="n"/>
      <c r="O93" s="57">
        <f>IF($A93="",0,IFERROR(IF(SUMIFS(CriteriTecnici!$O:$O,CriteriTecnici!$Q:$Q,$A93&amp;"|"&amp;$C93)&gt;0,SUMIFS(CriteriTecnici!$O:$O,CriteriTecnici!$Q:$Q,$A93&amp;"|"&amp;$C93,CriteriTecnici!$F:$F,"Q")+SUMIFS(CriteriTecnici!$O:$O,CriteriTecnici!$Q:$Q,$A93&amp;"|"&amp;$C93,CriteriTecnici!$F:$F,"T"),IFERROR($N93*1,0)),0))</f>
        <v/>
      </c>
      <c r="P93" s="57">
        <f>IF($A93="","",IF(SUMIFS(CriteriTecnici!$O:$O,CriteriTecnici!$Q:$Q,$A93&amp;"|"&amp;$C93)&gt;0,"Criteri A-G","Aggregato"))</f>
        <v/>
      </c>
    </row>
    <row r="94">
      <c r="A94" s="56">
        <f>IF(Compila!$A104="","",Compila!$A104)</f>
        <v/>
      </c>
      <c r="B94" s="56">
        <f>IF(Compila!$A104="","",Compila!$B104)</f>
        <v/>
      </c>
      <c r="C94" s="56">
        <f>IF(Compila!$A104="","",Compila!$C104)</f>
        <v/>
      </c>
      <c r="D94" s="56">
        <f>IF(Compila!$A104="","",Compila!$D104)</f>
        <v/>
      </c>
      <c r="E94" s="57">
        <f>IF($A94="",0,IFERROR(IF(SUMIFS(CriteriTecnici!$O:$O,CriteriTecnici!$Q:$Q,$A94&amp;"|"&amp;$C94)&gt;0,IF($G94="SI",ROUND(IF(SUMPRODUCT(MAX((CriteriTecnici!$C$5:$C$6173=$C94)*(CriteriTecnici!$E$5:$E$6173="A")*(CriteriTecnici!$T$5:$T$6173="SI")*IFERROR(CriteriTecnici!$O$5:$O$6173*1,0)))&gt;0,MIN(7,SUMIFS(CriteriTecnici!$O:$O,CriteriTecnici!$Q:$Q,$A94&amp;"|"&amp;$C94,CriteriTecnici!$E:$E,"A")*(7/SUMPRODUCT(MAX((CriteriTecnici!$C$5:$C$6173=$C94)*(CriteriTecnici!$E$5:$E$6173="A")*(CriteriTecnici!$T$5:$T$6173="SI")*IFERROR(CriteriTecnici!$O$5:$O$6173*1,0))))),0)+IF(SUMPRODUCT(MAX((CriteriTecnici!$C$5:$C$6173=$C94)*(CriteriTecnici!$E$5:$E$6173="B")*(CriteriTecnici!$T$5:$T$6173="SI")*IFERROR(CriteriTecnici!$O$5:$O$6173*1,0)))&gt;0,MIN(14,SUMIFS(CriteriTecnici!$O:$O,CriteriTecnici!$Q:$Q,$A94&amp;"|"&amp;$C94,CriteriTecnici!$E:$E,"B")*(14/SUMPRODUCT(MAX((CriteriTecnici!$C$5:$C$6173=$C94)*(CriteriTecnici!$E$5:$E$6173="B")*(CriteriTecnici!$T$5:$T$6173="SI")*IFERROR(CriteriTecnici!$O$5:$O$6173*1,0))))),0)+IF(SUMPRODUCT(MAX((CriteriTecnici!$C$5:$C$6173=$C94)*(CriteriTecnici!$E$5:$E$6173="C")*(CriteriTecnici!$T$5:$T$6173="SI")*IFERROR(CriteriTecnici!$O$5:$O$6173*1,0)))&gt;0,MIN(14,SUMIFS(CriteriTecnici!$O:$O,CriteriTecnici!$Q:$Q,$A94&amp;"|"&amp;$C94,CriteriTecnici!$E:$E,"C")*(14/SUMPRODUCT(MAX((CriteriTecnici!$C$5:$C$6173=$C94)*(CriteriTecnici!$E$5:$E$6173="C")*(CriteriTecnici!$T$5:$T$6173="SI")*IFERROR(CriteriTecnici!$O$5:$O$6173*1,0))))),0)+IF(SUMPRODUCT(MAX((CriteriTecnici!$C$5:$C$6173=$C94)*(CriteriTecnici!$E$5:$E$6173="D")*(CriteriTecnici!$T$5:$T$6173="SI")*IFERROR(CriteriTecnici!$O$5:$O$6173*1,0)))&gt;0,MIN(10,SUMIFS(CriteriTecnici!$O:$O,CriteriTecnici!$Q:$Q,$A94&amp;"|"&amp;$C94,CriteriTecnici!$E:$E,"D")*(10/SUMPRODUCT(MAX((CriteriTecnici!$C$5:$C$6173=$C94)*(CriteriTecnici!$E$5:$E$6173="D")*(CriteriTecnici!$T$5:$T$6173="SI")*IFERROR(CriteriTecnici!$O$5:$O$6173*1,0))))),0)+IF(SUMPRODUCT(MAX((CriteriTecnici!$C$5:$C$6173=$C94)*(CriteriTecnici!$E$5:$E$6173="E")*(CriteriTecnici!$T$5:$T$6173="SI")*IFERROR(CriteriTecnici!$O$5:$O$6173*1,0)))&gt;0,MIN(4,SUMIFS(CriteriTecnici!$O:$O,CriteriTecnici!$Q:$Q,$A94&amp;"|"&amp;$C94,CriteriTecnici!$E:$E,"E")*(4/SUMPRODUCT(MAX((CriteriTecnici!$C$5:$C$6173=$C94)*(CriteriTecnici!$E$5:$E$6173="E")*(CriteriTecnici!$T$5:$T$6173="SI")*IFERROR(CriteriTecnici!$O$5:$O$6173*1,0))))),0)+IF(SUMPRODUCT(MAX((CriteriTecnici!$C$5:$C$6173=$C94)*(CriteriTecnici!$E$5:$E$6173="F")*(CriteriTecnici!$T$5:$T$6173="SI")*IFERROR(CriteriTecnici!$O$5:$O$6173*1,0)))&gt;0,MIN(14,SUMIFS(CriteriTecnici!$O:$O,CriteriTecnici!$Q:$Q,$A94&amp;"|"&amp;$C94,CriteriTecnici!$E:$E,"F")*(14/SUMPRODUCT(MAX((CriteriTecnici!$C$5:$C$6173=$C94)*(CriteriTecnici!$E$5:$E$6173="F")*(CriteriTecnici!$T$5:$T$6173="SI")*IFERROR(CriteriTecnici!$O$5:$O$6173*1,0))))),0)+IF(SUMPRODUCT(MAX((CriteriTecnici!$C$5:$C$6173=$C94)*(CriteriTecnici!$E$5:$E$6173="G")*(CriteriTecnici!$T$5:$T$6173="SI")*IFERROR(CriteriTecnici!$O$5:$O$6173*1,0)))&gt;0,MIN(7,SUMIFS(CriteriTecnici!$O:$O,CriteriTecnici!$Q:$Q,$A94&amp;"|"&amp;$C94,CriteriTecnici!$E:$E,"G")*(7/SUMPRODUCT(MAX((CriteriTecnici!$C$5:$C$6173=$C94)*(CriteriTecnici!$E$5:$E$6173="G")*(CriteriTecnici!$T$5:$T$6173="SI")*IFERROR(CriteriTecnici!$O$5:$O$6173*1,0))))),0),4),0),IFERROR($N94*1,0)),0))</f>
        <v/>
      </c>
      <c r="F94" s="56">
        <f>IF(Compila!$A104="","",Compila!$E104)</f>
        <v/>
      </c>
      <c r="G94" s="57">
        <f>IF($A94="","",IF(IFERROR(VALUE($D94),0)&lt;&gt;1,"NO",IF(IFERROR(VALUE($O94),0)&gt;=Parametri!$B$2,"SI","NO")))</f>
        <v/>
      </c>
      <c r="H94" s="57">
        <f>IF($G94="SI",SUMPRODUCT(MAX(($C$2:$C$200=$C94)*(IFERROR($D$2:$D$200*1,0)=1)*(IFERROR($O$2:$O$200*1,0)&gt;=Parametri!$B$2)*IFERROR($F$2:$F$200*1,0))),0)</f>
        <v/>
      </c>
      <c r="I94" s="57">
        <f>IF($G94="SI",IF($H94&gt;0,30*(IFERROR($F94*1,0)/$H94),0),0)</f>
        <v/>
      </c>
      <c r="J94" s="57">
        <f>IF($A94="",0,IF($G94="SI",ROUND(IFERROR($E94*1,0)+$I94,4),ROUND(IFERROR($E94*1,0),4)))</f>
        <v/>
      </c>
      <c r="K94" s="57">
        <f>IF($A94="","",IF(IFERROR(VALUE($D94),0)&lt;&gt;1,"Non attiva",IF(IFERROR(VALUE($O94),0)&lt;Parametri!$B$2,"Sotto soglia","")))</f>
        <v/>
      </c>
      <c r="L94" s="57">
        <f>IF($A94="","",$A94&amp;"|"&amp;$C94)</f>
        <v/>
      </c>
      <c r="M94" s="57">
        <f>IF($A94="","",$C94&amp;"|"&amp;TEXT($J94,"0.0000"))</f>
        <v/>
      </c>
      <c r="N94" s="57" t="n"/>
      <c r="O94" s="57">
        <f>IF($A94="",0,IFERROR(IF(SUMIFS(CriteriTecnici!$O:$O,CriteriTecnici!$Q:$Q,$A94&amp;"|"&amp;$C94)&gt;0,SUMIFS(CriteriTecnici!$O:$O,CriteriTecnici!$Q:$Q,$A94&amp;"|"&amp;$C94,CriteriTecnici!$F:$F,"Q")+SUMIFS(CriteriTecnici!$O:$O,CriteriTecnici!$Q:$Q,$A94&amp;"|"&amp;$C94,CriteriTecnici!$F:$F,"T"),IFERROR($N94*1,0)),0))</f>
        <v/>
      </c>
      <c r="P94" s="57">
        <f>IF($A94="","",IF(SUMIFS(CriteriTecnici!$O:$O,CriteriTecnici!$Q:$Q,$A94&amp;"|"&amp;$C94)&gt;0,"Criteri A-G","Aggregato"))</f>
        <v/>
      </c>
    </row>
    <row r="95">
      <c r="A95" s="56">
        <f>IF(Compila!$A105="","",Compila!$A105)</f>
        <v/>
      </c>
      <c r="B95" s="56">
        <f>IF(Compila!$A105="","",Compila!$B105)</f>
        <v/>
      </c>
      <c r="C95" s="56">
        <f>IF(Compila!$A105="","",Compila!$C105)</f>
        <v/>
      </c>
      <c r="D95" s="56">
        <f>IF(Compila!$A105="","",Compila!$D105)</f>
        <v/>
      </c>
      <c r="E95" s="57">
        <f>IF($A95="",0,IFERROR(IF(SUMIFS(CriteriTecnici!$O:$O,CriteriTecnici!$Q:$Q,$A95&amp;"|"&amp;$C95)&gt;0,IF($G95="SI",ROUND(IF(SUMPRODUCT(MAX((CriteriTecnici!$C$5:$C$6173=$C95)*(CriteriTecnici!$E$5:$E$6173="A")*(CriteriTecnici!$T$5:$T$6173="SI")*IFERROR(CriteriTecnici!$O$5:$O$6173*1,0)))&gt;0,MIN(7,SUMIFS(CriteriTecnici!$O:$O,CriteriTecnici!$Q:$Q,$A95&amp;"|"&amp;$C95,CriteriTecnici!$E:$E,"A")*(7/SUMPRODUCT(MAX((CriteriTecnici!$C$5:$C$6173=$C95)*(CriteriTecnici!$E$5:$E$6173="A")*(CriteriTecnici!$T$5:$T$6173="SI")*IFERROR(CriteriTecnici!$O$5:$O$6173*1,0))))),0)+IF(SUMPRODUCT(MAX((CriteriTecnici!$C$5:$C$6173=$C95)*(CriteriTecnici!$E$5:$E$6173="B")*(CriteriTecnici!$T$5:$T$6173="SI")*IFERROR(CriteriTecnici!$O$5:$O$6173*1,0)))&gt;0,MIN(14,SUMIFS(CriteriTecnici!$O:$O,CriteriTecnici!$Q:$Q,$A95&amp;"|"&amp;$C95,CriteriTecnici!$E:$E,"B")*(14/SUMPRODUCT(MAX((CriteriTecnici!$C$5:$C$6173=$C95)*(CriteriTecnici!$E$5:$E$6173="B")*(CriteriTecnici!$T$5:$T$6173="SI")*IFERROR(CriteriTecnici!$O$5:$O$6173*1,0))))),0)+IF(SUMPRODUCT(MAX((CriteriTecnici!$C$5:$C$6173=$C95)*(CriteriTecnici!$E$5:$E$6173="C")*(CriteriTecnici!$T$5:$T$6173="SI")*IFERROR(CriteriTecnici!$O$5:$O$6173*1,0)))&gt;0,MIN(14,SUMIFS(CriteriTecnici!$O:$O,CriteriTecnici!$Q:$Q,$A95&amp;"|"&amp;$C95,CriteriTecnici!$E:$E,"C")*(14/SUMPRODUCT(MAX((CriteriTecnici!$C$5:$C$6173=$C95)*(CriteriTecnici!$E$5:$E$6173="C")*(CriteriTecnici!$T$5:$T$6173="SI")*IFERROR(CriteriTecnici!$O$5:$O$6173*1,0))))),0)+IF(SUMPRODUCT(MAX((CriteriTecnici!$C$5:$C$6173=$C95)*(CriteriTecnici!$E$5:$E$6173="D")*(CriteriTecnici!$T$5:$T$6173="SI")*IFERROR(CriteriTecnici!$O$5:$O$6173*1,0)))&gt;0,MIN(10,SUMIFS(CriteriTecnici!$O:$O,CriteriTecnici!$Q:$Q,$A95&amp;"|"&amp;$C95,CriteriTecnici!$E:$E,"D")*(10/SUMPRODUCT(MAX((CriteriTecnici!$C$5:$C$6173=$C95)*(CriteriTecnici!$E$5:$E$6173="D")*(CriteriTecnici!$T$5:$T$6173="SI")*IFERROR(CriteriTecnici!$O$5:$O$6173*1,0))))),0)+IF(SUMPRODUCT(MAX((CriteriTecnici!$C$5:$C$6173=$C95)*(CriteriTecnici!$E$5:$E$6173="E")*(CriteriTecnici!$T$5:$T$6173="SI")*IFERROR(CriteriTecnici!$O$5:$O$6173*1,0)))&gt;0,MIN(4,SUMIFS(CriteriTecnici!$O:$O,CriteriTecnici!$Q:$Q,$A95&amp;"|"&amp;$C95,CriteriTecnici!$E:$E,"E")*(4/SUMPRODUCT(MAX((CriteriTecnici!$C$5:$C$6173=$C95)*(CriteriTecnici!$E$5:$E$6173="E")*(CriteriTecnici!$T$5:$T$6173="SI")*IFERROR(CriteriTecnici!$O$5:$O$6173*1,0))))),0)+IF(SUMPRODUCT(MAX((CriteriTecnici!$C$5:$C$6173=$C95)*(CriteriTecnici!$E$5:$E$6173="F")*(CriteriTecnici!$T$5:$T$6173="SI")*IFERROR(CriteriTecnici!$O$5:$O$6173*1,0)))&gt;0,MIN(14,SUMIFS(CriteriTecnici!$O:$O,CriteriTecnici!$Q:$Q,$A95&amp;"|"&amp;$C95,CriteriTecnici!$E:$E,"F")*(14/SUMPRODUCT(MAX((CriteriTecnici!$C$5:$C$6173=$C95)*(CriteriTecnici!$E$5:$E$6173="F")*(CriteriTecnici!$T$5:$T$6173="SI")*IFERROR(CriteriTecnici!$O$5:$O$6173*1,0))))),0)+IF(SUMPRODUCT(MAX((CriteriTecnici!$C$5:$C$6173=$C95)*(CriteriTecnici!$E$5:$E$6173="G")*(CriteriTecnici!$T$5:$T$6173="SI")*IFERROR(CriteriTecnici!$O$5:$O$6173*1,0)))&gt;0,MIN(7,SUMIFS(CriteriTecnici!$O:$O,CriteriTecnici!$Q:$Q,$A95&amp;"|"&amp;$C95,CriteriTecnici!$E:$E,"G")*(7/SUMPRODUCT(MAX((CriteriTecnici!$C$5:$C$6173=$C95)*(CriteriTecnici!$E$5:$E$6173="G")*(CriteriTecnici!$T$5:$T$6173="SI")*IFERROR(CriteriTecnici!$O$5:$O$6173*1,0))))),0),4),0),IFERROR($N95*1,0)),0))</f>
        <v/>
      </c>
      <c r="F95" s="56">
        <f>IF(Compila!$A105="","",Compila!$E105)</f>
        <v/>
      </c>
      <c r="G95" s="57">
        <f>IF($A95="","",IF(IFERROR(VALUE($D95),0)&lt;&gt;1,"NO",IF(IFERROR(VALUE($O95),0)&gt;=Parametri!$B$2,"SI","NO")))</f>
        <v/>
      </c>
      <c r="H95" s="57">
        <f>IF($G95="SI",SUMPRODUCT(MAX(($C$2:$C$200=$C95)*(IFERROR($D$2:$D$200*1,0)=1)*(IFERROR($O$2:$O$200*1,0)&gt;=Parametri!$B$2)*IFERROR($F$2:$F$200*1,0))),0)</f>
        <v/>
      </c>
      <c r="I95" s="57">
        <f>IF($G95="SI",IF($H95&gt;0,30*(IFERROR($F95*1,0)/$H95),0),0)</f>
        <v/>
      </c>
      <c r="J95" s="57">
        <f>IF($A95="",0,IF($G95="SI",ROUND(IFERROR($E95*1,0)+$I95,4),ROUND(IFERROR($E95*1,0),4)))</f>
        <v/>
      </c>
      <c r="K95" s="57">
        <f>IF($A95="","",IF(IFERROR(VALUE($D95),0)&lt;&gt;1,"Non attiva",IF(IFERROR(VALUE($O95),0)&lt;Parametri!$B$2,"Sotto soglia","")))</f>
        <v/>
      </c>
      <c r="L95" s="57">
        <f>IF($A95="","",$A95&amp;"|"&amp;$C95)</f>
        <v/>
      </c>
      <c r="M95" s="57">
        <f>IF($A95="","",$C95&amp;"|"&amp;TEXT($J95,"0.0000"))</f>
        <v/>
      </c>
      <c r="N95" s="57" t="n"/>
      <c r="O95" s="57">
        <f>IF($A95="",0,IFERROR(IF(SUMIFS(CriteriTecnici!$O:$O,CriteriTecnici!$Q:$Q,$A95&amp;"|"&amp;$C95)&gt;0,SUMIFS(CriteriTecnici!$O:$O,CriteriTecnici!$Q:$Q,$A95&amp;"|"&amp;$C95,CriteriTecnici!$F:$F,"Q")+SUMIFS(CriteriTecnici!$O:$O,CriteriTecnici!$Q:$Q,$A95&amp;"|"&amp;$C95,CriteriTecnici!$F:$F,"T"),IFERROR($N95*1,0)),0))</f>
        <v/>
      </c>
      <c r="P95" s="57">
        <f>IF($A95="","",IF(SUMIFS(CriteriTecnici!$O:$O,CriteriTecnici!$Q:$Q,$A95&amp;"|"&amp;$C95)&gt;0,"Criteri A-G","Aggregato"))</f>
        <v/>
      </c>
    </row>
    <row r="96">
      <c r="A96" s="56">
        <f>IF(Compila!$A106="","",Compila!$A106)</f>
        <v/>
      </c>
      <c r="B96" s="56">
        <f>IF(Compila!$A106="","",Compila!$B106)</f>
        <v/>
      </c>
      <c r="C96" s="56">
        <f>IF(Compila!$A106="","",Compila!$C106)</f>
        <v/>
      </c>
      <c r="D96" s="56">
        <f>IF(Compila!$A106="","",Compila!$D106)</f>
        <v/>
      </c>
      <c r="E96" s="57">
        <f>IF($A96="",0,IFERROR(IF(SUMIFS(CriteriTecnici!$O:$O,CriteriTecnici!$Q:$Q,$A96&amp;"|"&amp;$C96)&gt;0,IF($G96="SI",ROUND(IF(SUMPRODUCT(MAX((CriteriTecnici!$C$5:$C$6173=$C96)*(CriteriTecnici!$E$5:$E$6173="A")*(CriteriTecnici!$T$5:$T$6173="SI")*IFERROR(CriteriTecnici!$O$5:$O$6173*1,0)))&gt;0,MIN(7,SUMIFS(CriteriTecnici!$O:$O,CriteriTecnici!$Q:$Q,$A96&amp;"|"&amp;$C96,CriteriTecnici!$E:$E,"A")*(7/SUMPRODUCT(MAX((CriteriTecnici!$C$5:$C$6173=$C96)*(CriteriTecnici!$E$5:$E$6173="A")*(CriteriTecnici!$T$5:$T$6173="SI")*IFERROR(CriteriTecnici!$O$5:$O$6173*1,0))))),0)+IF(SUMPRODUCT(MAX((CriteriTecnici!$C$5:$C$6173=$C96)*(CriteriTecnici!$E$5:$E$6173="B")*(CriteriTecnici!$T$5:$T$6173="SI")*IFERROR(CriteriTecnici!$O$5:$O$6173*1,0)))&gt;0,MIN(14,SUMIFS(CriteriTecnici!$O:$O,CriteriTecnici!$Q:$Q,$A96&amp;"|"&amp;$C96,CriteriTecnici!$E:$E,"B")*(14/SUMPRODUCT(MAX((CriteriTecnici!$C$5:$C$6173=$C96)*(CriteriTecnici!$E$5:$E$6173="B")*(CriteriTecnici!$T$5:$T$6173="SI")*IFERROR(CriteriTecnici!$O$5:$O$6173*1,0))))),0)+IF(SUMPRODUCT(MAX((CriteriTecnici!$C$5:$C$6173=$C96)*(CriteriTecnici!$E$5:$E$6173="C")*(CriteriTecnici!$T$5:$T$6173="SI")*IFERROR(CriteriTecnici!$O$5:$O$6173*1,0)))&gt;0,MIN(14,SUMIFS(CriteriTecnici!$O:$O,CriteriTecnici!$Q:$Q,$A96&amp;"|"&amp;$C96,CriteriTecnici!$E:$E,"C")*(14/SUMPRODUCT(MAX((CriteriTecnici!$C$5:$C$6173=$C96)*(CriteriTecnici!$E$5:$E$6173="C")*(CriteriTecnici!$T$5:$T$6173="SI")*IFERROR(CriteriTecnici!$O$5:$O$6173*1,0))))),0)+IF(SUMPRODUCT(MAX((CriteriTecnici!$C$5:$C$6173=$C96)*(CriteriTecnici!$E$5:$E$6173="D")*(CriteriTecnici!$T$5:$T$6173="SI")*IFERROR(CriteriTecnici!$O$5:$O$6173*1,0)))&gt;0,MIN(10,SUMIFS(CriteriTecnici!$O:$O,CriteriTecnici!$Q:$Q,$A96&amp;"|"&amp;$C96,CriteriTecnici!$E:$E,"D")*(10/SUMPRODUCT(MAX((CriteriTecnici!$C$5:$C$6173=$C96)*(CriteriTecnici!$E$5:$E$6173="D")*(CriteriTecnici!$T$5:$T$6173="SI")*IFERROR(CriteriTecnici!$O$5:$O$6173*1,0))))),0)+IF(SUMPRODUCT(MAX((CriteriTecnici!$C$5:$C$6173=$C96)*(CriteriTecnici!$E$5:$E$6173="E")*(CriteriTecnici!$T$5:$T$6173="SI")*IFERROR(CriteriTecnici!$O$5:$O$6173*1,0)))&gt;0,MIN(4,SUMIFS(CriteriTecnici!$O:$O,CriteriTecnici!$Q:$Q,$A96&amp;"|"&amp;$C96,CriteriTecnici!$E:$E,"E")*(4/SUMPRODUCT(MAX((CriteriTecnici!$C$5:$C$6173=$C96)*(CriteriTecnici!$E$5:$E$6173="E")*(CriteriTecnici!$T$5:$T$6173="SI")*IFERROR(CriteriTecnici!$O$5:$O$6173*1,0))))),0)+IF(SUMPRODUCT(MAX((CriteriTecnici!$C$5:$C$6173=$C96)*(CriteriTecnici!$E$5:$E$6173="F")*(CriteriTecnici!$T$5:$T$6173="SI")*IFERROR(CriteriTecnici!$O$5:$O$6173*1,0)))&gt;0,MIN(14,SUMIFS(CriteriTecnici!$O:$O,CriteriTecnici!$Q:$Q,$A96&amp;"|"&amp;$C96,CriteriTecnici!$E:$E,"F")*(14/SUMPRODUCT(MAX((CriteriTecnici!$C$5:$C$6173=$C96)*(CriteriTecnici!$E$5:$E$6173="F")*(CriteriTecnici!$T$5:$T$6173="SI")*IFERROR(CriteriTecnici!$O$5:$O$6173*1,0))))),0)+IF(SUMPRODUCT(MAX((CriteriTecnici!$C$5:$C$6173=$C96)*(CriteriTecnici!$E$5:$E$6173="G")*(CriteriTecnici!$T$5:$T$6173="SI")*IFERROR(CriteriTecnici!$O$5:$O$6173*1,0)))&gt;0,MIN(7,SUMIFS(CriteriTecnici!$O:$O,CriteriTecnici!$Q:$Q,$A96&amp;"|"&amp;$C96,CriteriTecnici!$E:$E,"G")*(7/SUMPRODUCT(MAX((CriteriTecnici!$C$5:$C$6173=$C96)*(CriteriTecnici!$E$5:$E$6173="G")*(CriteriTecnici!$T$5:$T$6173="SI")*IFERROR(CriteriTecnici!$O$5:$O$6173*1,0))))),0),4),0),IFERROR($N96*1,0)),0))</f>
        <v/>
      </c>
      <c r="F96" s="56">
        <f>IF(Compila!$A106="","",Compila!$E106)</f>
        <v/>
      </c>
      <c r="G96" s="57">
        <f>IF($A96="","",IF(IFERROR(VALUE($D96),0)&lt;&gt;1,"NO",IF(IFERROR(VALUE($O96),0)&gt;=Parametri!$B$2,"SI","NO")))</f>
        <v/>
      </c>
      <c r="H96" s="57">
        <f>IF($G96="SI",SUMPRODUCT(MAX(($C$2:$C$200=$C96)*(IFERROR($D$2:$D$200*1,0)=1)*(IFERROR($O$2:$O$200*1,0)&gt;=Parametri!$B$2)*IFERROR($F$2:$F$200*1,0))),0)</f>
        <v/>
      </c>
      <c r="I96" s="57">
        <f>IF($G96="SI",IF($H96&gt;0,30*(IFERROR($F96*1,0)/$H96),0),0)</f>
        <v/>
      </c>
      <c r="J96" s="57">
        <f>IF($A96="",0,IF($G96="SI",ROUND(IFERROR($E96*1,0)+$I96,4),ROUND(IFERROR($E96*1,0),4)))</f>
        <v/>
      </c>
      <c r="K96" s="57">
        <f>IF($A96="","",IF(IFERROR(VALUE($D96),0)&lt;&gt;1,"Non attiva",IF(IFERROR(VALUE($O96),0)&lt;Parametri!$B$2,"Sotto soglia","")))</f>
        <v/>
      </c>
      <c r="L96" s="57">
        <f>IF($A96="","",$A96&amp;"|"&amp;$C96)</f>
        <v/>
      </c>
      <c r="M96" s="57">
        <f>IF($A96="","",$C96&amp;"|"&amp;TEXT($J96,"0.0000"))</f>
        <v/>
      </c>
      <c r="N96" s="57" t="n"/>
      <c r="O96" s="57">
        <f>IF($A96="",0,IFERROR(IF(SUMIFS(CriteriTecnici!$O:$O,CriteriTecnici!$Q:$Q,$A96&amp;"|"&amp;$C96)&gt;0,SUMIFS(CriteriTecnici!$O:$O,CriteriTecnici!$Q:$Q,$A96&amp;"|"&amp;$C96,CriteriTecnici!$F:$F,"Q")+SUMIFS(CriteriTecnici!$O:$O,CriteriTecnici!$Q:$Q,$A96&amp;"|"&amp;$C96,CriteriTecnici!$F:$F,"T"),IFERROR($N96*1,0)),0))</f>
        <v/>
      </c>
      <c r="P96" s="57">
        <f>IF($A96="","",IF(SUMIFS(CriteriTecnici!$O:$O,CriteriTecnici!$Q:$Q,$A96&amp;"|"&amp;$C96)&gt;0,"Criteri A-G","Aggregato"))</f>
        <v/>
      </c>
    </row>
    <row r="97">
      <c r="A97" s="56">
        <f>IF(Compila!$A107="","",Compila!$A107)</f>
        <v/>
      </c>
      <c r="B97" s="56">
        <f>IF(Compila!$A107="","",Compila!$B107)</f>
        <v/>
      </c>
      <c r="C97" s="56">
        <f>IF(Compila!$A107="","",Compila!$C107)</f>
        <v/>
      </c>
      <c r="D97" s="56">
        <f>IF(Compila!$A107="","",Compila!$D107)</f>
        <v/>
      </c>
      <c r="E97" s="57">
        <f>IF($A97="",0,IFERROR(IF(SUMIFS(CriteriTecnici!$O:$O,CriteriTecnici!$Q:$Q,$A97&amp;"|"&amp;$C97)&gt;0,IF($G97="SI",ROUND(IF(SUMPRODUCT(MAX((CriteriTecnici!$C$5:$C$6173=$C97)*(CriteriTecnici!$E$5:$E$6173="A")*(CriteriTecnici!$T$5:$T$6173="SI")*IFERROR(CriteriTecnici!$O$5:$O$6173*1,0)))&gt;0,MIN(7,SUMIFS(CriteriTecnici!$O:$O,CriteriTecnici!$Q:$Q,$A97&amp;"|"&amp;$C97,CriteriTecnici!$E:$E,"A")*(7/SUMPRODUCT(MAX((CriteriTecnici!$C$5:$C$6173=$C97)*(CriteriTecnici!$E$5:$E$6173="A")*(CriteriTecnici!$T$5:$T$6173="SI")*IFERROR(CriteriTecnici!$O$5:$O$6173*1,0))))),0)+IF(SUMPRODUCT(MAX((CriteriTecnici!$C$5:$C$6173=$C97)*(CriteriTecnici!$E$5:$E$6173="B")*(CriteriTecnici!$T$5:$T$6173="SI")*IFERROR(CriteriTecnici!$O$5:$O$6173*1,0)))&gt;0,MIN(14,SUMIFS(CriteriTecnici!$O:$O,CriteriTecnici!$Q:$Q,$A97&amp;"|"&amp;$C97,CriteriTecnici!$E:$E,"B")*(14/SUMPRODUCT(MAX((CriteriTecnici!$C$5:$C$6173=$C97)*(CriteriTecnici!$E$5:$E$6173="B")*(CriteriTecnici!$T$5:$T$6173="SI")*IFERROR(CriteriTecnici!$O$5:$O$6173*1,0))))),0)+IF(SUMPRODUCT(MAX((CriteriTecnici!$C$5:$C$6173=$C97)*(CriteriTecnici!$E$5:$E$6173="C")*(CriteriTecnici!$T$5:$T$6173="SI")*IFERROR(CriteriTecnici!$O$5:$O$6173*1,0)))&gt;0,MIN(14,SUMIFS(CriteriTecnici!$O:$O,CriteriTecnici!$Q:$Q,$A97&amp;"|"&amp;$C97,CriteriTecnici!$E:$E,"C")*(14/SUMPRODUCT(MAX((CriteriTecnici!$C$5:$C$6173=$C97)*(CriteriTecnici!$E$5:$E$6173="C")*(CriteriTecnici!$T$5:$T$6173="SI")*IFERROR(CriteriTecnici!$O$5:$O$6173*1,0))))),0)+IF(SUMPRODUCT(MAX((CriteriTecnici!$C$5:$C$6173=$C97)*(CriteriTecnici!$E$5:$E$6173="D")*(CriteriTecnici!$T$5:$T$6173="SI")*IFERROR(CriteriTecnici!$O$5:$O$6173*1,0)))&gt;0,MIN(10,SUMIFS(CriteriTecnici!$O:$O,CriteriTecnici!$Q:$Q,$A97&amp;"|"&amp;$C97,CriteriTecnici!$E:$E,"D")*(10/SUMPRODUCT(MAX((CriteriTecnici!$C$5:$C$6173=$C97)*(CriteriTecnici!$E$5:$E$6173="D")*(CriteriTecnici!$T$5:$T$6173="SI")*IFERROR(CriteriTecnici!$O$5:$O$6173*1,0))))),0)+IF(SUMPRODUCT(MAX((CriteriTecnici!$C$5:$C$6173=$C97)*(CriteriTecnici!$E$5:$E$6173="E")*(CriteriTecnici!$T$5:$T$6173="SI")*IFERROR(CriteriTecnici!$O$5:$O$6173*1,0)))&gt;0,MIN(4,SUMIFS(CriteriTecnici!$O:$O,CriteriTecnici!$Q:$Q,$A97&amp;"|"&amp;$C97,CriteriTecnici!$E:$E,"E")*(4/SUMPRODUCT(MAX((CriteriTecnici!$C$5:$C$6173=$C97)*(CriteriTecnici!$E$5:$E$6173="E")*(CriteriTecnici!$T$5:$T$6173="SI")*IFERROR(CriteriTecnici!$O$5:$O$6173*1,0))))),0)+IF(SUMPRODUCT(MAX((CriteriTecnici!$C$5:$C$6173=$C97)*(CriteriTecnici!$E$5:$E$6173="F")*(CriteriTecnici!$T$5:$T$6173="SI")*IFERROR(CriteriTecnici!$O$5:$O$6173*1,0)))&gt;0,MIN(14,SUMIFS(CriteriTecnici!$O:$O,CriteriTecnici!$Q:$Q,$A97&amp;"|"&amp;$C97,CriteriTecnici!$E:$E,"F")*(14/SUMPRODUCT(MAX((CriteriTecnici!$C$5:$C$6173=$C97)*(CriteriTecnici!$E$5:$E$6173="F")*(CriteriTecnici!$T$5:$T$6173="SI")*IFERROR(CriteriTecnici!$O$5:$O$6173*1,0))))),0)+IF(SUMPRODUCT(MAX((CriteriTecnici!$C$5:$C$6173=$C97)*(CriteriTecnici!$E$5:$E$6173="G")*(CriteriTecnici!$T$5:$T$6173="SI")*IFERROR(CriteriTecnici!$O$5:$O$6173*1,0)))&gt;0,MIN(7,SUMIFS(CriteriTecnici!$O:$O,CriteriTecnici!$Q:$Q,$A97&amp;"|"&amp;$C97,CriteriTecnici!$E:$E,"G")*(7/SUMPRODUCT(MAX((CriteriTecnici!$C$5:$C$6173=$C97)*(CriteriTecnici!$E$5:$E$6173="G")*(CriteriTecnici!$T$5:$T$6173="SI")*IFERROR(CriteriTecnici!$O$5:$O$6173*1,0))))),0),4),0),IFERROR($N97*1,0)),0))</f>
        <v/>
      </c>
      <c r="F97" s="56">
        <f>IF(Compila!$A107="","",Compila!$E107)</f>
        <v/>
      </c>
      <c r="G97" s="57">
        <f>IF($A97="","",IF(IFERROR(VALUE($D97),0)&lt;&gt;1,"NO",IF(IFERROR(VALUE($O97),0)&gt;=Parametri!$B$2,"SI","NO")))</f>
        <v/>
      </c>
      <c r="H97" s="57">
        <f>IF($G97="SI",SUMPRODUCT(MAX(($C$2:$C$200=$C97)*(IFERROR($D$2:$D$200*1,0)=1)*(IFERROR($O$2:$O$200*1,0)&gt;=Parametri!$B$2)*IFERROR($F$2:$F$200*1,0))),0)</f>
        <v/>
      </c>
      <c r="I97" s="57">
        <f>IF($G97="SI",IF($H97&gt;0,30*(IFERROR($F97*1,0)/$H97),0),0)</f>
        <v/>
      </c>
      <c r="J97" s="57">
        <f>IF($A97="",0,IF($G97="SI",ROUND(IFERROR($E97*1,0)+$I97,4),ROUND(IFERROR($E97*1,0),4)))</f>
        <v/>
      </c>
      <c r="K97" s="57">
        <f>IF($A97="","",IF(IFERROR(VALUE($D97),0)&lt;&gt;1,"Non attiva",IF(IFERROR(VALUE($O97),0)&lt;Parametri!$B$2,"Sotto soglia","")))</f>
        <v/>
      </c>
      <c r="L97" s="57">
        <f>IF($A97="","",$A97&amp;"|"&amp;$C97)</f>
        <v/>
      </c>
      <c r="M97" s="57">
        <f>IF($A97="","",$C97&amp;"|"&amp;TEXT($J97,"0.0000"))</f>
        <v/>
      </c>
      <c r="N97" s="57" t="n"/>
      <c r="O97" s="57">
        <f>IF($A97="",0,IFERROR(IF(SUMIFS(CriteriTecnici!$O:$O,CriteriTecnici!$Q:$Q,$A97&amp;"|"&amp;$C97)&gt;0,SUMIFS(CriteriTecnici!$O:$O,CriteriTecnici!$Q:$Q,$A97&amp;"|"&amp;$C97,CriteriTecnici!$F:$F,"Q")+SUMIFS(CriteriTecnici!$O:$O,CriteriTecnici!$Q:$Q,$A97&amp;"|"&amp;$C97,CriteriTecnici!$F:$F,"T"),IFERROR($N97*1,0)),0))</f>
        <v/>
      </c>
      <c r="P97" s="57">
        <f>IF($A97="","",IF(SUMIFS(CriteriTecnici!$O:$O,CriteriTecnici!$Q:$Q,$A97&amp;"|"&amp;$C97)&gt;0,"Criteri A-G","Aggregato"))</f>
        <v/>
      </c>
    </row>
    <row r="98">
      <c r="A98" s="56">
        <f>IF(Compila!$A108="","",Compila!$A108)</f>
        <v/>
      </c>
      <c r="B98" s="56">
        <f>IF(Compila!$A108="","",Compila!$B108)</f>
        <v/>
      </c>
      <c r="C98" s="56">
        <f>IF(Compila!$A108="","",Compila!$C108)</f>
        <v/>
      </c>
      <c r="D98" s="56">
        <f>IF(Compila!$A108="","",Compila!$D108)</f>
        <v/>
      </c>
      <c r="E98" s="57">
        <f>IF($A98="",0,IFERROR(IF(SUMIFS(CriteriTecnici!$O:$O,CriteriTecnici!$Q:$Q,$A98&amp;"|"&amp;$C98)&gt;0,IF($G98="SI",ROUND(IF(SUMPRODUCT(MAX((CriteriTecnici!$C$5:$C$6173=$C98)*(CriteriTecnici!$E$5:$E$6173="A")*(CriteriTecnici!$T$5:$T$6173="SI")*IFERROR(CriteriTecnici!$O$5:$O$6173*1,0)))&gt;0,MIN(7,SUMIFS(CriteriTecnici!$O:$O,CriteriTecnici!$Q:$Q,$A98&amp;"|"&amp;$C98,CriteriTecnici!$E:$E,"A")*(7/SUMPRODUCT(MAX((CriteriTecnici!$C$5:$C$6173=$C98)*(CriteriTecnici!$E$5:$E$6173="A")*(CriteriTecnici!$T$5:$T$6173="SI")*IFERROR(CriteriTecnici!$O$5:$O$6173*1,0))))),0)+IF(SUMPRODUCT(MAX((CriteriTecnici!$C$5:$C$6173=$C98)*(CriteriTecnici!$E$5:$E$6173="B")*(CriteriTecnici!$T$5:$T$6173="SI")*IFERROR(CriteriTecnici!$O$5:$O$6173*1,0)))&gt;0,MIN(14,SUMIFS(CriteriTecnici!$O:$O,CriteriTecnici!$Q:$Q,$A98&amp;"|"&amp;$C98,CriteriTecnici!$E:$E,"B")*(14/SUMPRODUCT(MAX((CriteriTecnici!$C$5:$C$6173=$C98)*(CriteriTecnici!$E$5:$E$6173="B")*(CriteriTecnici!$T$5:$T$6173="SI")*IFERROR(CriteriTecnici!$O$5:$O$6173*1,0))))),0)+IF(SUMPRODUCT(MAX((CriteriTecnici!$C$5:$C$6173=$C98)*(CriteriTecnici!$E$5:$E$6173="C")*(CriteriTecnici!$T$5:$T$6173="SI")*IFERROR(CriteriTecnici!$O$5:$O$6173*1,0)))&gt;0,MIN(14,SUMIFS(CriteriTecnici!$O:$O,CriteriTecnici!$Q:$Q,$A98&amp;"|"&amp;$C98,CriteriTecnici!$E:$E,"C")*(14/SUMPRODUCT(MAX((CriteriTecnici!$C$5:$C$6173=$C98)*(CriteriTecnici!$E$5:$E$6173="C")*(CriteriTecnici!$T$5:$T$6173="SI")*IFERROR(CriteriTecnici!$O$5:$O$6173*1,0))))),0)+IF(SUMPRODUCT(MAX((CriteriTecnici!$C$5:$C$6173=$C98)*(CriteriTecnici!$E$5:$E$6173="D")*(CriteriTecnici!$T$5:$T$6173="SI")*IFERROR(CriteriTecnici!$O$5:$O$6173*1,0)))&gt;0,MIN(10,SUMIFS(CriteriTecnici!$O:$O,CriteriTecnici!$Q:$Q,$A98&amp;"|"&amp;$C98,CriteriTecnici!$E:$E,"D")*(10/SUMPRODUCT(MAX((CriteriTecnici!$C$5:$C$6173=$C98)*(CriteriTecnici!$E$5:$E$6173="D")*(CriteriTecnici!$T$5:$T$6173="SI")*IFERROR(CriteriTecnici!$O$5:$O$6173*1,0))))),0)+IF(SUMPRODUCT(MAX((CriteriTecnici!$C$5:$C$6173=$C98)*(CriteriTecnici!$E$5:$E$6173="E")*(CriteriTecnici!$T$5:$T$6173="SI")*IFERROR(CriteriTecnici!$O$5:$O$6173*1,0)))&gt;0,MIN(4,SUMIFS(CriteriTecnici!$O:$O,CriteriTecnici!$Q:$Q,$A98&amp;"|"&amp;$C98,CriteriTecnici!$E:$E,"E")*(4/SUMPRODUCT(MAX((CriteriTecnici!$C$5:$C$6173=$C98)*(CriteriTecnici!$E$5:$E$6173="E")*(CriteriTecnici!$T$5:$T$6173="SI")*IFERROR(CriteriTecnici!$O$5:$O$6173*1,0))))),0)+IF(SUMPRODUCT(MAX((CriteriTecnici!$C$5:$C$6173=$C98)*(CriteriTecnici!$E$5:$E$6173="F")*(CriteriTecnici!$T$5:$T$6173="SI")*IFERROR(CriteriTecnici!$O$5:$O$6173*1,0)))&gt;0,MIN(14,SUMIFS(CriteriTecnici!$O:$O,CriteriTecnici!$Q:$Q,$A98&amp;"|"&amp;$C98,CriteriTecnici!$E:$E,"F")*(14/SUMPRODUCT(MAX((CriteriTecnici!$C$5:$C$6173=$C98)*(CriteriTecnici!$E$5:$E$6173="F")*(CriteriTecnici!$T$5:$T$6173="SI")*IFERROR(CriteriTecnici!$O$5:$O$6173*1,0))))),0)+IF(SUMPRODUCT(MAX((CriteriTecnici!$C$5:$C$6173=$C98)*(CriteriTecnici!$E$5:$E$6173="G")*(CriteriTecnici!$T$5:$T$6173="SI")*IFERROR(CriteriTecnici!$O$5:$O$6173*1,0)))&gt;0,MIN(7,SUMIFS(CriteriTecnici!$O:$O,CriteriTecnici!$Q:$Q,$A98&amp;"|"&amp;$C98,CriteriTecnici!$E:$E,"G")*(7/SUMPRODUCT(MAX((CriteriTecnici!$C$5:$C$6173=$C98)*(CriteriTecnici!$E$5:$E$6173="G")*(CriteriTecnici!$T$5:$T$6173="SI")*IFERROR(CriteriTecnici!$O$5:$O$6173*1,0))))),0),4),0),IFERROR($N98*1,0)),0))</f>
        <v/>
      </c>
      <c r="F98" s="56">
        <f>IF(Compila!$A108="","",Compila!$E108)</f>
        <v/>
      </c>
      <c r="G98" s="57">
        <f>IF($A98="","",IF(IFERROR(VALUE($D98),0)&lt;&gt;1,"NO",IF(IFERROR(VALUE($O98),0)&gt;=Parametri!$B$2,"SI","NO")))</f>
        <v/>
      </c>
      <c r="H98" s="57">
        <f>IF($G98="SI",SUMPRODUCT(MAX(($C$2:$C$200=$C98)*(IFERROR($D$2:$D$200*1,0)=1)*(IFERROR($O$2:$O$200*1,0)&gt;=Parametri!$B$2)*IFERROR($F$2:$F$200*1,0))),0)</f>
        <v/>
      </c>
      <c r="I98" s="57">
        <f>IF($G98="SI",IF($H98&gt;0,30*(IFERROR($F98*1,0)/$H98),0),0)</f>
        <v/>
      </c>
      <c r="J98" s="57">
        <f>IF($A98="",0,IF($G98="SI",ROUND(IFERROR($E98*1,0)+$I98,4),ROUND(IFERROR($E98*1,0),4)))</f>
        <v/>
      </c>
      <c r="K98" s="57">
        <f>IF($A98="","",IF(IFERROR(VALUE($D98),0)&lt;&gt;1,"Non attiva",IF(IFERROR(VALUE($O98),0)&lt;Parametri!$B$2,"Sotto soglia","")))</f>
        <v/>
      </c>
      <c r="L98" s="57">
        <f>IF($A98="","",$A98&amp;"|"&amp;$C98)</f>
        <v/>
      </c>
      <c r="M98" s="57">
        <f>IF($A98="","",$C98&amp;"|"&amp;TEXT($J98,"0.0000"))</f>
        <v/>
      </c>
      <c r="N98" s="57" t="n"/>
      <c r="O98" s="57">
        <f>IF($A98="",0,IFERROR(IF(SUMIFS(CriteriTecnici!$O:$O,CriteriTecnici!$Q:$Q,$A98&amp;"|"&amp;$C98)&gt;0,SUMIFS(CriteriTecnici!$O:$O,CriteriTecnici!$Q:$Q,$A98&amp;"|"&amp;$C98,CriteriTecnici!$F:$F,"Q")+SUMIFS(CriteriTecnici!$O:$O,CriteriTecnici!$Q:$Q,$A98&amp;"|"&amp;$C98,CriteriTecnici!$F:$F,"T"),IFERROR($N98*1,0)),0))</f>
        <v/>
      </c>
      <c r="P98" s="57">
        <f>IF($A98="","",IF(SUMIFS(CriteriTecnici!$O:$O,CriteriTecnici!$Q:$Q,$A98&amp;"|"&amp;$C98)&gt;0,"Criteri A-G","Aggregato"))</f>
        <v/>
      </c>
    </row>
    <row r="99">
      <c r="A99" s="56">
        <f>IF(Compila!$A109="","",Compila!$A109)</f>
        <v/>
      </c>
      <c r="B99" s="56">
        <f>IF(Compila!$A109="","",Compila!$B109)</f>
        <v/>
      </c>
      <c r="C99" s="56">
        <f>IF(Compila!$A109="","",Compila!$C109)</f>
        <v/>
      </c>
      <c r="D99" s="56">
        <f>IF(Compila!$A109="","",Compila!$D109)</f>
        <v/>
      </c>
      <c r="E99" s="57">
        <f>IF($A99="",0,IFERROR(IF(SUMIFS(CriteriTecnici!$O:$O,CriteriTecnici!$Q:$Q,$A99&amp;"|"&amp;$C99)&gt;0,IF($G99="SI",ROUND(IF(SUMPRODUCT(MAX((CriteriTecnici!$C$5:$C$6173=$C99)*(CriteriTecnici!$E$5:$E$6173="A")*(CriteriTecnici!$T$5:$T$6173="SI")*IFERROR(CriteriTecnici!$O$5:$O$6173*1,0)))&gt;0,MIN(7,SUMIFS(CriteriTecnici!$O:$O,CriteriTecnici!$Q:$Q,$A99&amp;"|"&amp;$C99,CriteriTecnici!$E:$E,"A")*(7/SUMPRODUCT(MAX((CriteriTecnici!$C$5:$C$6173=$C99)*(CriteriTecnici!$E$5:$E$6173="A")*(CriteriTecnici!$T$5:$T$6173="SI")*IFERROR(CriteriTecnici!$O$5:$O$6173*1,0))))),0)+IF(SUMPRODUCT(MAX((CriteriTecnici!$C$5:$C$6173=$C99)*(CriteriTecnici!$E$5:$E$6173="B")*(CriteriTecnici!$T$5:$T$6173="SI")*IFERROR(CriteriTecnici!$O$5:$O$6173*1,0)))&gt;0,MIN(14,SUMIFS(CriteriTecnici!$O:$O,CriteriTecnici!$Q:$Q,$A99&amp;"|"&amp;$C99,CriteriTecnici!$E:$E,"B")*(14/SUMPRODUCT(MAX((CriteriTecnici!$C$5:$C$6173=$C99)*(CriteriTecnici!$E$5:$E$6173="B")*(CriteriTecnici!$T$5:$T$6173="SI")*IFERROR(CriteriTecnici!$O$5:$O$6173*1,0))))),0)+IF(SUMPRODUCT(MAX((CriteriTecnici!$C$5:$C$6173=$C99)*(CriteriTecnici!$E$5:$E$6173="C")*(CriteriTecnici!$T$5:$T$6173="SI")*IFERROR(CriteriTecnici!$O$5:$O$6173*1,0)))&gt;0,MIN(14,SUMIFS(CriteriTecnici!$O:$O,CriteriTecnici!$Q:$Q,$A99&amp;"|"&amp;$C99,CriteriTecnici!$E:$E,"C")*(14/SUMPRODUCT(MAX((CriteriTecnici!$C$5:$C$6173=$C99)*(CriteriTecnici!$E$5:$E$6173="C")*(CriteriTecnici!$T$5:$T$6173="SI")*IFERROR(CriteriTecnici!$O$5:$O$6173*1,0))))),0)+IF(SUMPRODUCT(MAX((CriteriTecnici!$C$5:$C$6173=$C99)*(CriteriTecnici!$E$5:$E$6173="D")*(CriteriTecnici!$T$5:$T$6173="SI")*IFERROR(CriteriTecnici!$O$5:$O$6173*1,0)))&gt;0,MIN(10,SUMIFS(CriteriTecnici!$O:$O,CriteriTecnici!$Q:$Q,$A99&amp;"|"&amp;$C99,CriteriTecnici!$E:$E,"D")*(10/SUMPRODUCT(MAX((CriteriTecnici!$C$5:$C$6173=$C99)*(CriteriTecnici!$E$5:$E$6173="D")*(CriteriTecnici!$T$5:$T$6173="SI")*IFERROR(CriteriTecnici!$O$5:$O$6173*1,0))))),0)+IF(SUMPRODUCT(MAX((CriteriTecnici!$C$5:$C$6173=$C99)*(CriteriTecnici!$E$5:$E$6173="E")*(CriteriTecnici!$T$5:$T$6173="SI")*IFERROR(CriteriTecnici!$O$5:$O$6173*1,0)))&gt;0,MIN(4,SUMIFS(CriteriTecnici!$O:$O,CriteriTecnici!$Q:$Q,$A99&amp;"|"&amp;$C99,CriteriTecnici!$E:$E,"E")*(4/SUMPRODUCT(MAX((CriteriTecnici!$C$5:$C$6173=$C99)*(CriteriTecnici!$E$5:$E$6173="E")*(CriteriTecnici!$T$5:$T$6173="SI")*IFERROR(CriteriTecnici!$O$5:$O$6173*1,0))))),0)+IF(SUMPRODUCT(MAX((CriteriTecnici!$C$5:$C$6173=$C99)*(CriteriTecnici!$E$5:$E$6173="F")*(CriteriTecnici!$T$5:$T$6173="SI")*IFERROR(CriteriTecnici!$O$5:$O$6173*1,0)))&gt;0,MIN(14,SUMIFS(CriteriTecnici!$O:$O,CriteriTecnici!$Q:$Q,$A99&amp;"|"&amp;$C99,CriteriTecnici!$E:$E,"F")*(14/SUMPRODUCT(MAX((CriteriTecnici!$C$5:$C$6173=$C99)*(CriteriTecnici!$E$5:$E$6173="F")*(CriteriTecnici!$T$5:$T$6173="SI")*IFERROR(CriteriTecnici!$O$5:$O$6173*1,0))))),0)+IF(SUMPRODUCT(MAX((CriteriTecnici!$C$5:$C$6173=$C99)*(CriteriTecnici!$E$5:$E$6173="G")*(CriteriTecnici!$T$5:$T$6173="SI")*IFERROR(CriteriTecnici!$O$5:$O$6173*1,0)))&gt;0,MIN(7,SUMIFS(CriteriTecnici!$O:$O,CriteriTecnici!$Q:$Q,$A99&amp;"|"&amp;$C99,CriteriTecnici!$E:$E,"G")*(7/SUMPRODUCT(MAX((CriteriTecnici!$C$5:$C$6173=$C99)*(CriteriTecnici!$E$5:$E$6173="G")*(CriteriTecnici!$T$5:$T$6173="SI")*IFERROR(CriteriTecnici!$O$5:$O$6173*1,0))))),0),4),0),IFERROR($N99*1,0)),0))</f>
        <v/>
      </c>
      <c r="F99" s="56">
        <f>IF(Compila!$A109="","",Compila!$E109)</f>
        <v/>
      </c>
      <c r="G99" s="57">
        <f>IF($A99="","",IF(IFERROR(VALUE($D99),0)&lt;&gt;1,"NO",IF(IFERROR(VALUE($O99),0)&gt;=Parametri!$B$2,"SI","NO")))</f>
        <v/>
      </c>
      <c r="H99" s="57">
        <f>IF($G99="SI",SUMPRODUCT(MAX(($C$2:$C$200=$C99)*(IFERROR($D$2:$D$200*1,0)=1)*(IFERROR($O$2:$O$200*1,0)&gt;=Parametri!$B$2)*IFERROR($F$2:$F$200*1,0))),0)</f>
        <v/>
      </c>
      <c r="I99" s="57">
        <f>IF($G99="SI",IF($H99&gt;0,30*(IFERROR($F99*1,0)/$H99),0),0)</f>
        <v/>
      </c>
      <c r="J99" s="57">
        <f>IF($A99="",0,IF($G99="SI",ROUND(IFERROR($E99*1,0)+$I99,4),ROUND(IFERROR($E99*1,0),4)))</f>
        <v/>
      </c>
      <c r="K99" s="57">
        <f>IF($A99="","",IF(IFERROR(VALUE($D99),0)&lt;&gt;1,"Non attiva",IF(IFERROR(VALUE($O99),0)&lt;Parametri!$B$2,"Sotto soglia","")))</f>
        <v/>
      </c>
      <c r="L99" s="57">
        <f>IF($A99="","",$A99&amp;"|"&amp;$C99)</f>
        <v/>
      </c>
      <c r="M99" s="57">
        <f>IF($A99="","",$C99&amp;"|"&amp;TEXT($J99,"0.0000"))</f>
        <v/>
      </c>
      <c r="N99" s="57" t="n"/>
      <c r="O99" s="57">
        <f>IF($A99="",0,IFERROR(IF(SUMIFS(CriteriTecnici!$O:$O,CriteriTecnici!$Q:$Q,$A99&amp;"|"&amp;$C99)&gt;0,SUMIFS(CriteriTecnici!$O:$O,CriteriTecnici!$Q:$Q,$A99&amp;"|"&amp;$C99,CriteriTecnici!$F:$F,"Q")+SUMIFS(CriteriTecnici!$O:$O,CriteriTecnici!$Q:$Q,$A99&amp;"|"&amp;$C99,CriteriTecnici!$F:$F,"T"),IFERROR($N99*1,0)),0))</f>
        <v/>
      </c>
      <c r="P99" s="57">
        <f>IF($A99="","",IF(SUMIFS(CriteriTecnici!$O:$O,CriteriTecnici!$Q:$Q,$A99&amp;"|"&amp;$C99)&gt;0,"Criteri A-G","Aggregato"))</f>
        <v/>
      </c>
    </row>
    <row r="100">
      <c r="A100" s="56">
        <f>IF(Compila!$A110="","",Compila!$A110)</f>
        <v/>
      </c>
      <c r="B100" s="56">
        <f>IF(Compila!$A110="","",Compila!$B110)</f>
        <v/>
      </c>
      <c r="C100" s="56">
        <f>IF(Compila!$A110="","",Compila!$C110)</f>
        <v/>
      </c>
      <c r="D100" s="56">
        <f>IF(Compila!$A110="","",Compila!$D110)</f>
        <v/>
      </c>
      <c r="E100" s="57">
        <f>IF($A100="",0,IFERROR(IF(SUMIFS(CriteriTecnici!$O:$O,CriteriTecnici!$Q:$Q,$A100&amp;"|"&amp;$C100)&gt;0,IF($G100="SI",ROUND(IF(SUMPRODUCT(MAX((CriteriTecnici!$C$5:$C$6173=$C100)*(CriteriTecnici!$E$5:$E$6173="A")*(CriteriTecnici!$T$5:$T$6173="SI")*IFERROR(CriteriTecnici!$O$5:$O$6173*1,0)))&gt;0,MIN(7,SUMIFS(CriteriTecnici!$O:$O,CriteriTecnici!$Q:$Q,$A100&amp;"|"&amp;$C100,CriteriTecnici!$E:$E,"A")*(7/SUMPRODUCT(MAX((CriteriTecnici!$C$5:$C$6173=$C100)*(CriteriTecnici!$E$5:$E$6173="A")*(CriteriTecnici!$T$5:$T$6173="SI")*IFERROR(CriteriTecnici!$O$5:$O$6173*1,0))))),0)+IF(SUMPRODUCT(MAX((CriteriTecnici!$C$5:$C$6173=$C100)*(CriteriTecnici!$E$5:$E$6173="B")*(CriteriTecnici!$T$5:$T$6173="SI")*IFERROR(CriteriTecnici!$O$5:$O$6173*1,0)))&gt;0,MIN(14,SUMIFS(CriteriTecnici!$O:$O,CriteriTecnici!$Q:$Q,$A100&amp;"|"&amp;$C100,CriteriTecnici!$E:$E,"B")*(14/SUMPRODUCT(MAX((CriteriTecnici!$C$5:$C$6173=$C100)*(CriteriTecnici!$E$5:$E$6173="B")*(CriteriTecnici!$T$5:$T$6173="SI")*IFERROR(CriteriTecnici!$O$5:$O$6173*1,0))))),0)+IF(SUMPRODUCT(MAX((CriteriTecnici!$C$5:$C$6173=$C100)*(CriteriTecnici!$E$5:$E$6173="C")*(CriteriTecnici!$T$5:$T$6173="SI")*IFERROR(CriteriTecnici!$O$5:$O$6173*1,0)))&gt;0,MIN(14,SUMIFS(CriteriTecnici!$O:$O,CriteriTecnici!$Q:$Q,$A100&amp;"|"&amp;$C100,CriteriTecnici!$E:$E,"C")*(14/SUMPRODUCT(MAX((CriteriTecnici!$C$5:$C$6173=$C100)*(CriteriTecnici!$E$5:$E$6173="C")*(CriteriTecnici!$T$5:$T$6173="SI")*IFERROR(CriteriTecnici!$O$5:$O$6173*1,0))))),0)+IF(SUMPRODUCT(MAX((CriteriTecnici!$C$5:$C$6173=$C100)*(CriteriTecnici!$E$5:$E$6173="D")*(CriteriTecnici!$T$5:$T$6173="SI")*IFERROR(CriteriTecnici!$O$5:$O$6173*1,0)))&gt;0,MIN(10,SUMIFS(CriteriTecnici!$O:$O,CriteriTecnici!$Q:$Q,$A100&amp;"|"&amp;$C100,CriteriTecnici!$E:$E,"D")*(10/SUMPRODUCT(MAX((CriteriTecnici!$C$5:$C$6173=$C100)*(CriteriTecnici!$E$5:$E$6173="D")*(CriteriTecnici!$T$5:$T$6173="SI")*IFERROR(CriteriTecnici!$O$5:$O$6173*1,0))))),0)+IF(SUMPRODUCT(MAX((CriteriTecnici!$C$5:$C$6173=$C100)*(CriteriTecnici!$E$5:$E$6173="E")*(CriteriTecnici!$T$5:$T$6173="SI")*IFERROR(CriteriTecnici!$O$5:$O$6173*1,0)))&gt;0,MIN(4,SUMIFS(CriteriTecnici!$O:$O,CriteriTecnici!$Q:$Q,$A100&amp;"|"&amp;$C100,CriteriTecnici!$E:$E,"E")*(4/SUMPRODUCT(MAX((CriteriTecnici!$C$5:$C$6173=$C100)*(CriteriTecnici!$E$5:$E$6173="E")*(CriteriTecnici!$T$5:$T$6173="SI")*IFERROR(CriteriTecnici!$O$5:$O$6173*1,0))))),0)+IF(SUMPRODUCT(MAX((CriteriTecnici!$C$5:$C$6173=$C100)*(CriteriTecnici!$E$5:$E$6173="F")*(CriteriTecnici!$T$5:$T$6173="SI")*IFERROR(CriteriTecnici!$O$5:$O$6173*1,0)))&gt;0,MIN(14,SUMIFS(CriteriTecnici!$O:$O,CriteriTecnici!$Q:$Q,$A100&amp;"|"&amp;$C100,CriteriTecnici!$E:$E,"F")*(14/SUMPRODUCT(MAX((CriteriTecnici!$C$5:$C$6173=$C100)*(CriteriTecnici!$E$5:$E$6173="F")*(CriteriTecnici!$T$5:$T$6173="SI")*IFERROR(CriteriTecnici!$O$5:$O$6173*1,0))))),0)+IF(SUMPRODUCT(MAX((CriteriTecnici!$C$5:$C$6173=$C100)*(CriteriTecnici!$E$5:$E$6173="G")*(CriteriTecnici!$T$5:$T$6173="SI")*IFERROR(CriteriTecnici!$O$5:$O$6173*1,0)))&gt;0,MIN(7,SUMIFS(CriteriTecnici!$O:$O,CriteriTecnici!$Q:$Q,$A100&amp;"|"&amp;$C100,CriteriTecnici!$E:$E,"G")*(7/SUMPRODUCT(MAX((CriteriTecnici!$C$5:$C$6173=$C100)*(CriteriTecnici!$E$5:$E$6173="G")*(CriteriTecnici!$T$5:$T$6173="SI")*IFERROR(CriteriTecnici!$O$5:$O$6173*1,0))))),0),4),0),IFERROR($N100*1,0)),0))</f>
        <v/>
      </c>
      <c r="F100" s="56">
        <f>IF(Compila!$A110="","",Compila!$E110)</f>
        <v/>
      </c>
      <c r="G100" s="57">
        <f>IF($A100="","",IF(IFERROR(VALUE($D100),0)&lt;&gt;1,"NO",IF(IFERROR(VALUE($O100),0)&gt;=Parametri!$B$2,"SI","NO")))</f>
        <v/>
      </c>
      <c r="H100" s="57">
        <f>IF($G100="SI",SUMPRODUCT(MAX(($C$2:$C$200=$C100)*(IFERROR($D$2:$D$200*1,0)=1)*(IFERROR($O$2:$O$200*1,0)&gt;=Parametri!$B$2)*IFERROR($F$2:$F$200*1,0))),0)</f>
        <v/>
      </c>
      <c r="I100" s="57">
        <f>IF($G100="SI",IF($H100&gt;0,30*(IFERROR($F100*1,0)/$H100),0),0)</f>
        <v/>
      </c>
      <c r="J100" s="57">
        <f>IF($A100="",0,IF($G100="SI",ROUND(IFERROR($E100*1,0)+$I100,4),ROUND(IFERROR($E100*1,0),4)))</f>
        <v/>
      </c>
      <c r="K100" s="57">
        <f>IF($A100="","",IF(IFERROR(VALUE($D100),0)&lt;&gt;1,"Non attiva",IF(IFERROR(VALUE($O100),0)&lt;Parametri!$B$2,"Sotto soglia","")))</f>
        <v/>
      </c>
      <c r="L100" s="57">
        <f>IF($A100="","",$A100&amp;"|"&amp;$C100)</f>
        <v/>
      </c>
      <c r="M100" s="57">
        <f>IF($A100="","",$C100&amp;"|"&amp;TEXT($J100,"0.0000"))</f>
        <v/>
      </c>
      <c r="N100" s="57" t="n"/>
      <c r="O100" s="57">
        <f>IF($A100="",0,IFERROR(IF(SUMIFS(CriteriTecnici!$O:$O,CriteriTecnici!$Q:$Q,$A100&amp;"|"&amp;$C100)&gt;0,SUMIFS(CriteriTecnici!$O:$O,CriteriTecnici!$Q:$Q,$A100&amp;"|"&amp;$C100,CriteriTecnici!$F:$F,"Q")+SUMIFS(CriteriTecnici!$O:$O,CriteriTecnici!$Q:$Q,$A100&amp;"|"&amp;$C100,CriteriTecnici!$F:$F,"T"),IFERROR($N100*1,0)),0))</f>
        <v/>
      </c>
      <c r="P100" s="57">
        <f>IF($A100="","",IF(SUMIFS(CriteriTecnici!$O:$O,CriteriTecnici!$Q:$Q,$A100&amp;"|"&amp;$C100)&gt;0,"Criteri A-G","Aggregato"))</f>
        <v/>
      </c>
    </row>
    <row r="101">
      <c r="A101" s="56">
        <f>IF(Compila!$A111="","",Compila!$A111)</f>
        <v/>
      </c>
      <c r="B101" s="56">
        <f>IF(Compila!$A111="","",Compila!$B111)</f>
        <v/>
      </c>
      <c r="C101" s="56">
        <f>IF(Compila!$A111="","",Compila!$C111)</f>
        <v/>
      </c>
      <c r="D101" s="56">
        <f>IF(Compila!$A111="","",Compila!$D111)</f>
        <v/>
      </c>
      <c r="E101" s="57">
        <f>IF($A101="",0,IFERROR(IF(SUMIFS(CriteriTecnici!$O:$O,CriteriTecnici!$Q:$Q,$A101&amp;"|"&amp;$C101)&gt;0,IF($G101="SI",ROUND(IF(SUMPRODUCT(MAX((CriteriTecnici!$C$5:$C$6173=$C101)*(CriteriTecnici!$E$5:$E$6173="A")*(CriteriTecnici!$T$5:$T$6173="SI")*IFERROR(CriteriTecnici!$O$5:$O$6173*1,0)))&gt;0,MIN(7,SUMIFS(CriteriTecnici!$O:$O,CriteriTecnici!$Q:$Q,$A101&amp;"|"&amp;$C101,CriteriTecnici!$E:$E,"A")*(7/SUMPRODUCT(MAX((CriteriTecnici!$C$5:$C$6173=$C101)*(CriteriTecnici!$E$5:$E$6173="A")*(CriteriTecnici!$T$5:$T$6173="SI")*IFERROR(CriteriTecnici!$O$5:$O$6173*1,0))))),0)+IF(SUMPRODUCT(MAX((CriteriTecnici!$C$5:$C$6173=$C101)*(CriteriTecnici!$E$5:$E$6173="B")*(CriteriTecnici!$T$5:$T$6173="SI")*IFERROR(CriteriTecnici!$O$5:$O$6173*1,0)))&gt;0,MIN(14,SUMIFS(CriteriTecnici!$O:$O,CriteriTecnici!$Q:$Q,$A101&amp;"|"&amp;$C101,CriteriTecnici!$E:$E,"B")*(14/SUMPRODUCT(MAX((CriteriTecnici!$C$5:$C$6173=$C101)*(CriteriTecnici!$E$5:$E$6173="B")*(CriteriTecnici!$T$5:$T$6173="SI")*IFERROR(CriteriTecnici!$O$5:$O$6173*1,0))))),0)+IF(SUMPRODUCT(MAX((CriteriTecnici!$C$5:$C$6173=$C101)*(CriteriTecnici!$E$5:$E$6173="C")*(CriteriTecnici!$T$5:$T$6173="SI")*IFERROR(CriteriTecnici!$O$5:$O$6173*1,0)))&gt;0,MIN(14,SUMIFS(CriteriTecnici!$O:$O,CriteriTecnici!$Q:$Q,$A101&amp;"|"&amp;$C101,CriteriTecnici!$E:$E,"C")*(14/SUMPRODUCT(MAX((CriteriTecnici!$C$5:$C$6173=$C101)*(CriteriTecnici!$E$5:$E$6173="C")*(CriteriTecnici!$T$5:$T$6173="SI")*IFERROR(CriteriTecnici!$O$5:$O$6173*1,0))))),0)+IF(SUMPRODUCT(MAX((CriteriTecnici!$C$5:$C$6173=$C101)*(CriteriTecnici!$E$5:$E$6173="D")*(CriteriTecnici!$T$5:$T$6173="SI")*IFERROR(CriteriTecnici!$O$5:$O$6173*1,0)))&gt;0,MIN(10,SUMIFS(CriteriTecnici!$O:$O,CriteriTecnici!$Q:$Q,$A101&amp;"|"&amp;$C101,CriteriTecnici!$E:$E,"D")*(10/SUMPRODUCT(MAX((CriteriTecnici!$C$5:$C$6173=$C101)*(CriteriTecnici!$E$5:$E$6173="D")*(CriteriTecnici!$T$5:$T$6173="SI")*IFERROR(CriteriTecnici!$O$5:$O$6173*1,0))))),0)+IF(SUMPRODUCT(MAX((CriteriTecnici!$C$5:$C$6173=$C101)*(CriteriTecnici!$E$5:$E$6173="E")*(CriteriTecnici!$T$5:$T$6173="SI")*IFERROR(CriteriTecnici!$O$5:$O$6173*1,0)))&gt;0,MIN(4,SUMIFS(CriteriTecnici!$O:$O,CriteriTecnici!$Q:$Q,$A101&amp;"|"&amp;$C101,CriteriTecnici!$E:$E,"E")*(4/SUMPRODUCT(MAX((CriteriTecnici!$C$5:$C$6173=$C101)*(CriteriTecnici!$E$5:$E$6173="E")*(CriteriTecnici!$T$5:$T$6173="SI")*IFERROR(CriteriTecnici!$O$5:$O$6173*1,0))))),0)+IF(SUMPRODUCT(MAX((CriteriTecnici!$C$5:$C$6173=$C101)*(CriteriTecnici!$E$5:$E$6173="F")*(CriteriTecnici!$T$5:$T$6173="SI")*IFERROR(CriteriTecnici!$O$5:$O$6173*1,0)))&gt;0,MIN(14,SUMIFS(CriteriTecnici!$O:$O,CriteriTecnici!$Q:$Q,$A101&amp;"|"&amp;$C101,CriteriTecnici!$E:$E,"F")*(14/SUMPRODUCT(MAX((CriteriTecnici!$C$5:$C$6173=$C101)*(CriteriTecnici!$E$5:$E$6173="F")*(CriteriTecnici!$T$5:$T$6173="SI")*IFERROR(CriteriTecnici!$O$5:$O$6173*1,0))))),0)+IF(SUMPRODUCT(MAX((CriteriTecnici!$C$5:$C$6173=$C101)*(CriteriTecnici!$E$5:$E$6173="G")*(CriteriTecnici!$T$5:$T$6173="SI")*IFERROR(CriteriTecnici!$O$5:$O$6173*1,0)))&gt;0,MIN(7,SUMIFS(CriteriTecnici!$O:$O,CriteriTecnici!$Q:$Q,$A101&amp;"|"&amp;$C101,CriteriTecnici!$E:$E,"G")*(7/SUMPRODUCT(MAX((CriteriTecnici!$C$5:$C$6173=$C101)*(CriteriTecnici!$E$5:$E$6173="G")*(CriteriTecnici!$T$5:$T$6173="SI")*IFERROR(CriteriTecnici!$O$5:$O$6173*1,0))))),0),4),0),IFERROR($N101*1,0)),0))</f>
        <v/>
      </c>
      <c r="F101" s="56">
        <f>IF(Compila!$A111="","",Compila!$E111)</f>
        <v/>
      </c>
      <c r="G101" s="57">
        <f>IF($A101="","",IF(IFERROR(VALUE($D101),0)&lt;&gt;1,"NO",IF(IFERROR(VALUE($O101),0)&gt;=Parametri!$B$2,"SI","NO")))</f>
        <v/>
      </c>
      <c r="H101" s="57">
        <f>IF($G101="SI",SUMPRODUCT(MAX(($C$2:$C$200=$C101)*(IFERROR($D$2:$D$200*1,0)=1)*(IFERROR($O$2:$O$200*1,0)&gt;=Parametri!$B$2)*IFERROR($F$2:$F$200*1,0))),0)</f>
        <v/>
      </c>
      <c r="I101" s="57">
        <f>IF($G101="SI",IF($H101&gt;0,30*(IFERROR($F101*1,0)/$H101),0),0)</f>
        <v/>
      </c>
      <c r="J101" s="57">
        <f>IF($A101="",0,IF($G101="SI",ROUND(IFERROR($E101*1,0)+$I101,4),ROUND(IFERROR($E101*1,0),4)))</f>
        <v/>
      </c>
      <c r="K101" s="57">
        <f>IF($A101="","",IF(IFERROR(VALUE($D101),0)&lt;&gt;1,"Non attiva",IF(IFERROR(VALUE($O101),0)&lt;Parametri!$B$2,"Sotto soglia","")))</f>
        <v/>
      </c>
      <c r="L101" s="57">
        <f>IF($A101="","",$A101&amp;"|"&amp;$C101)</f>
        <v/>
      </c>
      <c r="M101" s="57">
        <f>IF($A101="","",$C101&amp;"|"&amp;TEXT($J101,"0.0000"))</f>
        <v/>
      </c>
      <c r="N101" s="57" t="n"/>
      <c r="O101" s="57">
        <f>IF($A101="",0,IFERROR(IF(SUMIFS(CriteriTecnici!$O:$O,CriteriTecnici!$Q:$Q,$A101&amp;"|"&amp;$C101)&gt;0,SUMIFS(CriteriTecnici!$O:$O,CriteriTecnici!$Q:$Q,$A101&amp;"|"&amp;$C101,CriteriTecnici!$F:$F,"Q")+SUMIFS(CriteriTecnici!$O:$O,CriteriTecnici!$Q:$Q,$A101&amp;"|"&amp;$C101,CriteriTecnici!$F:$F,"T"),IFERROR($N101*1,0)),0))</f>
        <v/>
      </c>
      <c r="P101" s="57">
        <f>IF($A101="","",IF(SUMIFS(CriteriTecnici!$O:$O,CriteriTecnici!$Q:$Q,$A101&amp;"|"&amp;$C101)&gt;0,"Criteri A-G","Aggregato"))</f>
        <v/>
      </c>
    </row>
    <row r="102">
      <c r="A102" s="56">
        <f>IF(Compila!$A112="","",Compila!$A112)</f>
        <v/>
      </c>
      <c r="B102" s="56">
        <f>IF(Compila!$A112="","",Compila!$B112)</f>
        <v/>
      </c>
      <c r="C102" s="56">
        <f>IF(Compila!$A112="","",Compila!$C112)</f>
        <v/>
      </c>
      <c r="D102" s="56">
        <f>IF(Compila!$A112="","",Compila!$D112)</f>
        <v/>
      </c>
      <c r="E102" s="57">
        <f>IF($A102="",0,IFERROR(IF(SUMIFS(CriteriTecnici!$O:$O,CriteriTecnici!$Q:$Q,$A102&amp;"|"&amp;$C102)&gt;0,IF($G102="SI",ROUND(IF(SUMPRODUCT(MAX((CriteriTecnici!$C$5:$C$6173=$C102)*(CriteriTecnici!$E$5:$E$6173="A")*(CriteriTecnici!$T$5:$T$6173="SI")*IFERROR(CriteriTecnici!$O$5:$O$6173*1,0)))&gt;0,MIN(7,SUMIFS(CriteriTecnici!$O:$O,CriteriTecnici!$Q:$Q,$A102&amp;"|"&amp;$C102,CriteriTecnici!$E:$E,"A")*(7/SUMPRODUCT(MAX((CriteriTecnici!$C$5:$C$6173=$C102)*(CriteriTecnici!$E$5:$E$6173="A")*(CriteriTecnici!$T$5:$T$6173="SI")*IFERROR(CriteriTecnici!$O$5:$O$6173*1,0))))),0)+IF(SUMPRODUCT(MAX((CriteriTecnici!$C$5:$C$6173=$C102)*(CriteriTecnici!$E$5:$E$6173="B")*(CriteriTecnici!$T$5:$T$6173="SI")*IFERROR(CriteriTecnici!$O$5:$O$6173*1,0)))&gt;0,MIN(14,SUMIFS(CriteriTecnici!$O:$O,CriteriTecnici!$Q:$Q,$A102&amp;"|"&amp;$C102,CriteriTecnici!$E:$E,"B")*(14/SUMPRODUCT(MAX((CriteriTecnici!$C$5:$C$6173=$C102)*(CriteriTecnici!$E$5:$E$6173="B")*(CriteriTecnici!$T$5:$T$6173="SI")*IFERROR(CriteriTecnici!$O$5:$O$6173*1,0))))),0)+IF(SUMPRODUCT(MAX((CriteriTecnici!$C$5:$C$6173=$C102)*(CriteriTecnici!$E$5:$E$6173="C")*(CriteriTecnici!$T$5:$T$6173="SI")*IFERROR(CriteriTecnici!$O$5:$O$6173*1,0)))&gt;0,MIN(14,SUMIFS(CriteriTecnici!$O:$O,CriteriTecnici!$Q:$Q,$A102&amp;"|"&amp;$C102,CriteriTecnici!$E:$E,"C")*(14/SUMPRODUCT(MAX((CriteriTecnici!$C$5:$C$6173=$C102)*(CriteriTecnici!$E$5:$E$6173="C")*(CriteriTecnici!$T$5:$T$6173="SI")*IFERROR(CriteriTecnici!$O$5:$O$6173*1,0))))),0)+IF(SUMPRODUCT(MAX((CriteriTecnici!$C$5:$C$6173=$C102)*(CriteriTecnici!$E$5:$E$6173="D")*(CriteriTecnici!$T$5:$T$6173="SI")*IFERROR(CriteriTecnici!$O$5:$O$6173*1,0)))&gt;0,MIN(10,SUMIFS(CriteriTecnici!$O:$O,CriteriTecnici!$Q:$Q,$A102&amp;"|"&amp;$C102,CriteriTecnici!$E:$E,"D")*(10/SUMPRODUCT(MAX((CriteriTecnici!$C$5:$C$6173=$C102)*(CriteriTecnici!$E$5:$E$6173="D")*(CriteriTecnici!$T$5:$T$6173="SI")*IFERROR(CriteriTecnici!$O$5:$O$6173*1,0))))),0)+IF(SUMPRODUCT(MAX((CriteriTecnici!$C$5:$C$6173=$C102)*(CriteriTecnici!$E$5:$E$6173="E")*(CriteriTecnici!$T$5:$T$6173="SI")*IFERROR(CriteriTecnici!$O$5:$O$6173*1,0)))&gt;0,MIN(4,SUMIFS(CriteriTecnici!$O:$O,CriteriTecnici!$Q:$Q,$A102&amp;"|"&amp;$C102,CriteriTecnici!$E:$E,"E")*(4/SUMPRODUCT(MAX((CriteriTecnici!$C$5:$C$6173=$C102)*(CriteriTecnici!$E$5:$E$6173="E")*(CriteriTecnici!$T$5:$T$6173="SI")*IFERROR(CriteriTecnici!$O$5:$O$6173*1,0))))),0)+IF(SUMPRODUCT(MAX((CriteriTecnici!$C$5:$C$6173=$C102)*(CriteriTecnici!$E$5:$E$6173="F")*(CriteriTecnici!$T$5:$T$6173="SI")*IFERROR(CriteriTecnici!$O$5:$O$6173*1,0)))&gt;0,MIN(14,SUMIFS(CriteriTecnici!$O:$O,CriteriTecnici!$Q:$Q,$A102&amp;"|"&amp;$C102,CriteriTecnici!$E:$E,"F")*(14/SUMPRODUCT(MAX((CriteriTecnici!$C$5:$C$6173=$C102)*(CriteriTecnici!$E$5:$E$6173="F")*(CriteriTecnici!$T$5:$T$6173="SI")*IFERROR(CriteriTecnici!$O$5:$O$6173*1,0))))),0)+IF(SUMPRODUCT(MAX((CriteriTecnici!$C$5:$C$6173=$C102)*(CriteriTecnici!$E$5:$E$6173="G")*(CriteriTecnici!$T$5:$T$6173="SI")*IFERROR(CriteriTecnici!$O$5:$O$6173*1,0)))&gt;0,MIN(7,SUMIFS(CriteriTecnici!$O:$O,CriteriTecnici!$Q:$Q,$A102&amp;"|"&amp;$C102,CriteriTecnici!$E:$E,"G")*(7/SUMPRODUCT(MAX((CriteriTecnici!$C$5:$C$6173=$C102)*(CriteriTecnici!$E$5:$E$6173="G")*(CriteriTecnici!$T$5:$T$6173="SI")*IFERROR(CriteriTecnici!$O$5:$O$6173*1,0))))),0),4),0),IFERROR($N102*1,0)),0))</f>
        <v/>
      </c>
      <c r="F102" s="56">
        <f>IF(Compila!$A112="","",Compila!$E112)</f>
        <v/>
      </c>
      <c r="G102" s="57">
        <f>IF($A102="","",IF(IFERROR(VALUE($D102),0)&lt;&gt;1,"NO",IF(IFERROR(VALUE($O102),0)&gt;=Parametri!$B$2,"SI","NO")))</f>
        <v/>
      </c>
      <c r="H102" s="57">
        <f>IF($G102="SI",SUMPRODUCT(MAX(($C$2:$C$200=$C102)*(IFERROR($D$2:$D$200*1,0)=1)*(IFERROR($O$2:$O$200*1,0)&gt;=Parametri!$B$2)*IFERROR($F$2:$F$200*1,0))),0)</f>
        <v/>
      </c>
      <c r="I102" s="57">
        <f>IF($G102="SI",IF($H102&gt;0,30*(IFERROR($F102*1,0)/$H102),0),0)</f>
        <v/>
      </c>
      <c r="J102" s="57">
        <f>IF($A102="",0,IF($G102="SI",ROUND(IFERROR($E102*1,0)+$I102,4),ROUND(IFERROR($E102*1,0),4)))</f>
        <v/>
      </c>
      <c r="K102" s="57">
        <f>IF($A102="","",IF(IFERROR(VALUE($D102),0)&lt;&gt;1,"Non attiva",IF(IFERROR(VALUE($O102),0)&lt;Parametri!$B$2,"Sotto soglia","")))</f>
        <v/>
      </c>
      <c r="L102" s="57">
        <f>IF($A102="","",$A102&amp;"|"&amp;$C102)</f>
        <v/>
      </c>
      <c r="M102" s="57">
        <f>IF($A102="","",$C102&amp;"|"&amp;TEXT($J102,"0.0000"))</f>
        <v/>
      </c>
      <c r="N102" s="57" t="n"/>
      <c r="O102" s="57">
        <f>IF($A102="",0,IFERROR(IF(SUMIFS(CriteriTecnici!$O:$O,CriteriTecnici!$Q:$Q,$A102&amp;"|"&amp;$C102)&gt;0,SUMIFS(CriteriTecnici!$O:$O,CriteriTecnici!$Q:$Q,$A102&amp;"|"&amp;$C102,CriteriTecnici!$F:$F,"Q")+SUMIFS(CriteriTecnici!$O:$O,CriteriTecnici!$Q:$Q,$A102&amp;"|"&amp;$C102,CriteriTecnici!$F:$F,"T"),IFERROR($N102*1,0)),0))</f>
        <v/>
      </c>
      <c r="P102" s="57">
        <f>IF($A102="","",IF(SUMIFS(CriteriTecnici!$O:$O,CriteriTecnici!$Q:$Q,$A102&amp;"|"&amp;$C102)&gt;0,"Criteri A-G","Aggregato"))</f>
        <v/>
      </c>
    </row>
    <row r="103">
      <c r="A103" s="56">
        <f>IF(Compila!$A113="","",Compila!$A113)</f>
        <v/>
      </c>
      <c r="B103" s="56">
        <f>IF(Compila!$A113="","",Compila!$B113)</f>
        <v/>
      </c>
      <c r="C103" s="56">
        <f>IF(Compila!$A113="","",Compila!$C113)</f>
        <v/>
      </c>
      <c r="D103" s="56">
        <f>IF(Compila!$A113="","",Compila!$D113)</f>
        <v/>
      </c>
      <c r="E103" s="57">
        <f>IF($A103="",0,IFERROR(IF(SUMIFS(CriteriTecnici!$O:$O,CriteriTecnici!$Q:$Q,$A103&amp;"|"&amp;$C103)&gt;0,IF($G103="SI",ROUND(IF(SUMPRODUCT(MAX((CriteriTecnici!$C$5:$C$6173=$C103)*(CriteriTecnici!$E$5:$E$6173="A")*(CriteriTecnici!$T$5:$T$6173="SI")*IFERROR(CriteriTecnici!$O$5:$O$6173*1,0)))&gt;0,MIN(7,SUMIFS(CriteriTecnici!$O:$O,CriteriTecnici!$Q:$Q,$A103&amp;"|"&amp;$C103,CriteriTecnici!$E:$E,"A")*(7/SUMPRODUCT(MAX((CriteriTecnici!$C$5:$C$6173=$C103)*(CriteriTecnici!$E$5:$E$6173="A")*(CriteriTecnici!$T$5:$T$6173="SI")*IFERROR(CriteriTecnici!$O$5:$O$6173*1,0))))),0)+IF(SUMPRODUCT(MAX((CriteriTecnici!$C$5:$C$6173=$C103)*(CriteriTecnici!$E$5:$E$6173="B")*(CriteriTecnici!$T$5:$T$6173="SI")*IFERROR(CriteriTecnici!$O$5:$O$6173*1,0)))&gt;0,MIN(14,SUMIFS(CriteriTecnici!$O:$O,CriteriTecnici!$Q:$Q,$A103&amp;"|"&amp;$C103,CriteriTecnici!$E:$E,"B")*(14/SUMPRODUCT(MAX((CriteriTecnici!$C$5:$C$6173=$C103)*(CriteriTecnici!$E$5:$E$6173="B")*(CriteriTecnici!$T$5:$T$6173="SI")*IFERROR(CriteriTecnici!$O$5:$O$6173*1,0))))),0)+IF(SUMPRODUCT(MAX((CriteriTecnici!$C$5:$C$6173=$C103)*(CriteriTecnici!$E$5:$E$6173="C")*(CriteriTecnici!$T$5:$T$6173="SI")*IFERROR(CriteriTecnici!$O$5:$O$6173*1,0)))&gt;0,MIN(14,SUMIFS(CriteriTecnici!$O:$O,CriteriTecnici!$Q:$Q,$A103&amp;"|"&amp;$C103,CriteriTecnici!$E:$E,"C")*(14/SUMPRODUCT(MAX((CriteriTecnici!$C$5:$C$6173=$C103)*(CriteriTecnici!$E$5:$E$6173="C")*(CriteriTecnici!$T$5:$T$6173="SI")*IFERROR(CriteriTecnici!$O$5:$O$6173*1,0))))),0)+IF(SUMPRODUCT(MAX((CriteriTecnici!$C$5:$C$6173=$C103)*(CriteriTecnici!$E$5:$E$6173="D")*(CriteriTecnici!$T$5:$T$6173="SI")*IFERROR(CriteriTecnici!$O$5:$O$6173*1,0)))&gt;0,MIN(10,SUMIFS(CriteriTecnici!$O:$O,CriteriTecnici!$Q:$Q,$A103&amp;"|"&amp;$C103,CriteriTecnici!$E:$E,"D")*(10/SUMPRODUCT(MAX((CriteriTecnici!$C$5:$C$6173=$C103)*(CriteriTecnici!$E$5:$E$6173="D")*(CriteriTecnici!$T$5:$T$6173="SI")*IFERROR(CriteriTecnici!$O$5:$O$6173*1,0))))),0)+IF(SUMPRODUCT(MAX((CriteriTecnici!$C$5:$C$6173=$C103)*(CriteriTecnici!$E$5:$E$6173="E")*(CriteriTecnici!$T$5:$T$6173="SI")*IFERROR(CriteriTecnici!$O$5:$O$6173*1,0)))&gt;0,MIN(4,SUMIFS(CriteriTecnici!$O:$O,CriteriTecnici!$Q:$Q,$A103&amp;"|"&amp;$C103,CriteriTecnici!$E:$E,"E")*(4/SUMPRODUCT(MAX((CriteriTecnici!$C$5:$C$6173=$C103)*(CriteriTecnici!$E$5:$E$6173="E")*(CriteriTecnici!$T$5:$T$6173="SI")*IFERROR(CriteriTecnici!$O$5:$O$6173*1,0))))),0)+IF(SUMPRODUCT(MAX((CriteriTecnici!$C$5:$C$6173=$C103)*(CriteriTecnici!$E$5:$E$6173="F")*(CriteriTecnici!$T$5:$T$6173="SI")*IFERROR(CriteriTecnici!$O$5:$O$6173*1,0)))&gt;0,MIN(14,SUMIFS(CriteriTecnici!$O:$O,CriteriTecnici!$Q:$Q,$A103&amp;"|"&amp;$C103,CriteriTecnici!$E:$E,"F")*(14/SUMPRODUCT(MAX((CriteriTecnici!$C$5:$C$6173=$C103)*(CriteriTecnici!$E$5:$E$6173="F")*(CriteriTecnici!$T$5:$T$6173="SI")*IFERROR(CriteriTecnici!$O$5:$O$6173*1,0))))),0)+IF(SUMPRODUCT(MAX((CriteriTecnici!$C$5:$C$6173=$C103)*(CriteriTecnici!$E$5:$E$6173="G")*(CriteriTecnici!$T$5:$T$6173="SI")*IFERROR(CriteriTecnici!$O$5:$O$6173*1,0)))&gt;0,MIN(7,SUMIFS(CriteriTecnici!$O:$O,CriteriTecnici!$Q:$Q,$A103&amp;"|"&amp;$C103,CriteriTecnici!$E:$E,"G")*(7/SUMPRODUCT(MAX((CriteriTecnici!$C$5:$C$6173=$C103)*(CriteriTecnici!$E$5:$E$6173="G")*(CriteriTecnici!$T$5:$T$6173="SI")*IFERROR(CriteriTecnici!$O$5:$O$6173*1,0))))),0),4),0),IFERROR($N103*1,0)),0))</f>
        <v/>
      </c>
      <c r="F103" s="56">
        <f>IF(Compila!$A113="","",Compila!$E113)</f>
        <v/>
      </c>
      <c r="G103" s="57">
        <f>IF($A103="","",IF(IFERROR(VALUE($D103),0)&lt;&gt;1,"NO",IF(IFERROR(VALUE($O103),0)&gt;=Parametri!$B$2,"SI","NO")))</f>
        <v/>
      </c>
      <c r="H103" s="57">
        <f>IF($G103="SI",SUMPRODUCT(MAX(($C$2:$C$200=$C103)*(IFERROR($D$2:$D$200*1,0)=1)*(IFERROR($O$2:$O$200*1,0)&gt;=Parametri!$B$2)*IFERROR($F$2:$F$200*1,0))),0)</f>
        <v/>
      </c>
      <c r="I103" s="57">
        <f>IF($G103="SI",IF($H103&gt;0,30*(IFERROR($F103*1,0)/$H103),0),0)</f>
        <v/>
      </c>
      <c r="J103" s="57">
        <f>IF($A103="",0,IF($G103="SI",ROUND(IFERROR($E103*1,0)+$I103,4),ROUND(IFERROR($E103*1,0),4)))</f>
        <v/>
      </c>
      <c r="K103" s="57">
        <f>IF($A103="","",IF(IFERROR(VALUE($D103),0)&lt;&gt;1,"Non attiva",IF(IFERROR(VALUE($O103),0)&lt;Parametri!$B$2,"Sotto soglia","")))</f>
        <v/>
      </c>
      <c r="L103" s="57">
        <f>IF($A103="","",$A103&amp;"|"&amp;$C103)</f>
        <v/>
      </c>
      <c r="M103" s="57">
        <f>IF($A103="","",$C103&amp;"|"&amp;TEXT($J103,"0.0000"))</f>
        <v/>
      </c>
      <c r="N103" s="57" t="n"/>
      <c r="O103" s="57">
        <f>IF($A103="",0,IFERROR(IF(SUMIFS(CriteriTecnici!$O:$O,CriteriTecnici!$Q:$Q,$A103&amp;"|"&amp;$C103)&gt;0,SUMIFS(CriteriTecnici!$O:$O,CriteriTecnici!$Q:$Q,$A103&amp;"|"&amp;$C103,CriteriTecnici!$F:$F,"Q")+SUMIFS(CriteriTecnici!$O:$O,CriteriTecnici!$Q:$Q,$A103&amp;"|"&amp;$C103,CriteriTecnici!$F:$F,"T"),IFERROR($N103*1,0)),0))</f>
        <v/>
      </c>
      <c r="P103" s="57">
        <f>IF($A103="","",IF(SUMIFS(CriteriTecnici!$O:$O,CriteriTecnici!$Q:$Q,$A103&amp;"|"&amp;$C103)&gt;0,"Criteri A-G","Aggregato"))</f>
        <v/>
      </c>
    </row>
    <row r="104">
      <c r="A104" s="56">
        <f>IF(Compila!$A114="","",Compila!$A114)</f>
        <v/>
      </c>
      <c r="B104" s="56">
        <f>IF(Compila!$A114="","",Compila!$B114)</f>
        <v/>
      </c>
      <c r="C104" s="56">
        <f>IF(Compila!$A114="","",Compila!$C114)</f>
        <v/>
      </c>
      <c r="D104" s="56">
        <f>IF(Compila!$A114="","",Compila!$D114)</f>
        <v/>
      </c>
      <c r="E104" s="57">
        <f>IF($A104="",0,IFERROR(IF(SUMIFS(CriteriTecnici!$O:$O,CriteriTecnici!$Q:$Q,$A104&amp;"|"&amp;$C104)&gt;0,IF($G104="SI",ROUND(IF(SUMPRODUCT(MAX((CriteriTecnici!$C$5:$C$6173=$C104)*(CriteriTecnici!$E$5:$E$6173="A")*(CriteriTecnici!$T$5:$T$6173="SI")*IFERROR(CriteriTecnici!$O$5:$O$6173*1,0)))&gt;0,MIN(7,SUMIFS(CriteriTecnici!$O:$O,CriteriTecnici!$Q:$Q,$A104&amp;"|"&amp;$C104,CriteriTecnici!$E:$E,"A")*(7/SUMPRODUCT(MAX((CriteriTecnici!$C$5:$C$6173=$C104)*(CriteriTecnici!$E$5:$E$6173="A")*(CriteriTecnici!$T$5:$T$6173="SI")*IFERROR(CriteriTecnici!$O$5:$O$6173*1,0))))),0)+IF(SUMPRODUCT(MAX((CriteriTecnici!$C$5:$C$6173=$C104)*(CriteriTecnici!$E$5:$E$6173="B")*(CriteriTecnici!$T$5:$T$6173="SI")*IFERROR(CriteriTecnici!$O$5:$O$6173*1,0)))&gt;0,MIN(14,SUMIFS(CriteriTecnici!$O:$O,CriteriTecnici!$Q:$Q,$A104&amp;"|"&amp;$C104,CriteriTecnici!$E:$E,"B")*(14/SUMPRODUCT(MAX((CriteriTecnici!$C$5:$C$6173=$C104)*(CriteriTecnici!$E$5:$E$6173="B")*(CriteriTecnici!$T$5:$T$6173="SI")*IFERROR(CriteriTecnici!$O$5:$O$6173*1,0))))),0)+IF(SUMPRODUCT(MAX((CriteriTecnici!$C$5:$C$6173=$C104)*(CriteriTecnici!$E$5:$E$6173="C")*(CriteriTecnici!$T$5:$T$6173="SI")*IFERROR(CriteriTecnici!$O$5:$O$6173*1,0)))&gt;0,MIN(14,SUMIFS(CriteriTecnici!$O:$O,CriteriTecnici!$Q:$Q,$A104&amp;"|"&amp;$C104,CriteriTecnici!$E:$E,"C")*(14/SUMPRODUCT(MAX((CriteriTecnici!$C$5:$C$6173=$C104)*(CriteriTecnici!$E$5:$E$6173="C")*(CriteriTecnici!$T$5:$T$6173="SI")*IFERROR(CriteriTecnici!$O$5:$O$6173*1,0))))),0)+IF(SUMPRODUCT(MAX((CriteriTecnici!$C$5:$C$6173=$C104)*(CriteriTecnici!$E$5:$E$6173="D")*(CriteriTecnici!$T$5:$T$6173="SI")*IFERROR(CriteriTecnici!$O$5:$O$6173*1,0)))&gt;0,MIN(10,SUMIFS(CriteriTecnici!$O:$O,CriteriTecnici!$Q:$Q,$A104&amp;"|"&amp;$C104,CriteriTecnici!$E:$E,"D")*(10/SUMPRODUCT(MAX((CriteriTecnici!$C$5:$C$6173=$C104)*(CriteriTecnici!$E$5:$E$6173="D")*(CriteriTecnici!$T$5:$T$6173="SI")*IFERROR(CriteriTecnici!$O$5:$O$6173*1,0))))),0)+IF(SUMPRODUCT(MAX((CriteriTecnici!$C$5:$C$6173=$C104)*(CriteriTecnici!$E$5:$E$6173="E")*(CriteriTecnici!$T$5:$T$6173="SI")*IFERROR(CriteriTecnici!$O$5:$O$6173*1,0)))&gt;0,MIN(4,SUMIFS(CriteriTecnici!$O:$O,CriteriTecnici!$Q:$Q,$A104&amp;"|"&amp;$C104,CriteriTecnici!$E:$E,"E")*(4/SUMPRODUCT(MAX((CriteriTecnici!$C$5:$C$6173=$C104)*(CriteriTecnici!$E$5:$E$6173="E")*(CriteriTecnici!$T$5:$T$6173="SI")*IFERROR(CriteriTecnici!$O$5:$O$6173*1,0))))),0)+IF(SUMPRODUCT(MAX((CriteriTecnici!$C$5:$C$6173=$C104)*(CriteriTecnici!$E$5:$E$6173="F")*(CriteriTecnici!$T$5:$T$6173="SI")*IFERROR(CriteriTecnici!$O$5:$O$6173*1,0)))&gt;0,MIN(14,SUMIFS(CriteriTecnici!$O:$O,CriteriTecnici!$Q:$Q,$A104&amp;"|"&amp;$C104,CriteriTecnici!$E:$E,"F")*(14/SUMPRODUCT(MAX((CriteriTecnici!$C$5:$C$6173=$C104)*(CriteriTecnici!$E$5:$E$6173="F")*(CriteriTecnici!$T$5:$T$6173="SI")*IFERROR(CriteriTecnici!$O$5:$O$6173*1,0))))),0)+IF(SUMPRODUCT(MAX((CriteriTecnici!$C$5:$C$6173=$C104)*(CriteriTecnici!$E$5:$E$6173="G")*(CriteriTecnici!$T$5:$T$6173="SI")*IFERROR(CriteriTecnici!$O$5:$O$6173*1,0)))&gt;0,MIN(7,SUMIFS(CriteriTecnici!$O:$O,CriteriTecnici!$Q:$Q,$A104&amp;"|"&amp;$C104,CriteriTecnici!$E:$E,"G")*(7/SUMPRODUCT(MAX((CriteriTecnici!$C$5:$C$6173=$C104)*(CriteriTecnici!$E$5:$E$6173="G")*(CriteriTecnici!$T$5:$T$6173="SI")*IFERROR(CriteriTecnici!$O$5:$O$6173*1,0))))),0),4),0),IFERROR($N104*1,0)),0))</f>
        <v/>
      </c>
      <c r="F104" s="56">
        <f>IF(Compila!$A114="","",Compila!$E114)</f>
        <v/>
      </c>
      <c r="G104" s="57">
        <f>IF($A104="","",IF(IFERROR(VALUE($D104),0)&lt;&gt;1,"NO",IF(IFERROR(VALUE($O104),0)&gt;=Parametri!$B$2,"SI","NO")))</f>
        <v/>
      </c>
      <c r="H104" s="57">
        <f>IF($G104="SI",SUMPRODUCT(MAX(($C$2:$C$200=$C104)*(IFERROR($D$2:$D$200*1,0)=1)*(IFERROR($O$2:$O$200*1,0)&gt;=Parametri!$B$2)*IFERROR($F$2:$F$200*1,0))),0)</f>
        <v/>
      </c>
      <c r="I104" s="57">
        <f>IF($G104="SI",IF($H104&gt;0,30*(IFERROR($F104*1,0)/$H104),0),0)</f>
        <v/>
      </c>
      <c r="J104" s="57">
        <f>IF($A104="",0,IF($G104="SI",ROUND(IFERROR($E104*1,0)+$I104,4),ROUND(IFERROR($E104*1,0),4)))</f>
        <v/>
      </c>
      <c r="K104" s="57">
        <f>IF($A104="","",IF(IFERROR(VALUE($D104),0)&lt;&gt;1,"Non attiva",IF(IFERROR(VALUE($O104),0)&lt;Parametri!$B$2,"Sotto soglia","")))</f>
        <v/>
      </c>
      <c r="L104" s="57">
        <f>IF($A104="","",$A104&amp;"|"&amp;$C104)</f>
        <v/>
      </c>
      <c r="M104" s="57">
        <f>IF($A104="","",$C104&amp;"|"&amp;TEXT($J104,"0.0000"))</f>
        <v/>
      </c>
      <c r="N104" s="57" t="n"/>
      <c r="O104" s="57">
        <f>IF($A104="",0,IFERROR(IF(SUMIFS(CriteriTecnici!$O:$O,CriteriTecnici!$Q:$Q,$A104&amp;"|"&amp;$C104)&gt;0,SUMIFS(CriteriTecnici!$O:$O,CriteriTecnici!$Q:$Q,$A104&amp;"|"&amp;$C104,CriteriTecnici!$F:$F,"Q")+SUMIFS(CriteriTecnici!$O:$O,CriteriTecnici!$Q:$Q,$A104&amp;"|"&amp;$C104,CriteriTecnici!$F:$F,"T"),IFERROR($N104*1,0)),0))</f>
        <v/>
      </c>
      <c r="P104" s="57">
        <f>IF($A104="","",IF(SUMIFS(CriteriTecnici!$O:$O,CriteriTecnici!$Q:$Q,$A104&amp;"|"&amp;$C104)&gt;0,"Criteri A-G","Aggregato"))</f>
        <v/>
      </c>
    </row>
    <row r="105">
      <c r="A105" s="56">
        <f>IF(Compila!$A115="","",Compila!$A115)</f>
        <v/>
      </c>
      <c r="B105" s="56">
        <f>IF(Compila!$A115="","",Compila!$B115)</f>
        <v/>
      </c>
      <c r="C105" s="56">
        <f>IF(Compila!$A115="","",Compila!$C115)</f>
        <v/>
      </c>
      <c r="D105" s="56">
        <f>IF(Compila!$A115="","",Compila!$D115)</f>
        <v/>
      </c>
      <c r="E105" s="57">
        <f>IF($A105="",0,IFERROR(IF(SUMIFS(CriteriTecnici!$O:$O,CriteriTecnici!$Q:$Q,$A105&amp;"|"&amp;$C105)&gt;0,IF($G105="SI",ROUND(IF(SUMPRODUCT(MAX((CriteriTecnici!$C$5:$C$6173=$C105)*(CriteriTecnici!$E$5:$E$6173="A")*(CriteriTecnici!$T$5:$T$6173="SI")*IFERROR(CriteriTecnici!$O$5:$O$6173*1,0)))&gt;0,MIN(7,SUMIFS(CriteriTecnici!$O:$O,CriteriTecnici!$Q:$Q,$A105&amp;"|"&amp;$C105,CriteriTecnici!$E:$E,"A")*(7/SUMPRODUCT(MAX((CriteriTecnici!$C$5:$C$6173=$C105)*(CriteriTecnici!$E$5:$E$6173="A")*(CriteriTecnici!$T$5:$T$6173="SI")*IFERROR(CriteriTecnici!$O$5:$O$6173*1,0))))),0)+IF(SUMPRODUCT(MAX((CriteriTecnici!$C$5:$C$6173=$C105)*(CriteriTecnici!$E$5:$E$6173="B")*(CriteriTecnici!$T$5:$T$6173="SI")*IFERROR(CriteriTecnici!$O$5:$O$6173*1,0)))&gt;0,MIN(14,SUMIFS(CriteriTecnici!$O:$O,CriteriTecnici!$Q:$Q,$A105&amp;"|"&amp;$C105,CriteriTecnici!$E:$E,"B")*(14/SUMPRODUCT(MAX((CriteriTecnici!$C$5:$C$6173=$C105)*(CriteriTecnici!$E$5:$E$6173="B")*(CriteriTecnici!$T$5:$T$6173="SI")*IFERROR(CriteriTecnici!$O$5:$O$6173*1,0))))),0)+IF(SUMPRODUCT(MAX((CriteriTecnici!$C$5:$C$6173=$C105)*(CriteriTecnici!$E$5:$E$6173="C")*(CriteriTecnici!$T$5:$T$6173="SI")*IFERROR(CriteriTecnici!$O$5:$O$6173*1,0)))&gt;0,MIN(14,SUMIFS(CriteriTecnici!$O:$O,CriteriTecnici!$Q:$Q,$A105&amp;"|"&amp;$C105,CriteriTecnici!$E:$E,"C")*(14/SUMPRODUCT(MAX((CriteriTecnici!$C$5:$C$6173=$C105)*(CriteriTecnici!$E$5:$E$6173="C")*(CriteriTecnici!$T$5:$T$6173="SI")*IFERROR(CriteriTecnici!$O$5:$O$6173*1,0))))),0)+IF(SUMPRODUCT(MAX((CriteriTecnici!$C$5:$C$6173=$C105)*(CriteriTecnici!$E$5:$E$6173="D")*(CriteriTecnici!$T$5:$T$6173="SI")*IFERROR(CriteriTecnici!$O$5:$O$6173*1,0)))&gt;0,MIN(10,SUMIFS(CriteriTecnici!$O:$O,CriteriTecnici!$Q:$Q,$A105&amp;"|"&amp;$C105,CriteriTecnici!$E:$E,"D")*(10/SUMPRODUCT(MAX((CriteriTecnici!$C$5:$C$6173=$C105)*(CriteriTecnici!$E$5:$E$6173="D")*(CriteriTecnici!$T$5:$T$6173="SI")*IFERROR(CriteriTecnici!$O$5:$O$6173*1,0))))),0)+IF(SUMPRODUCT(MAX((CriteriTecnici!$C$5:$C$6173=$C105)*(CriteriTecnici!$E$5:$E$6173="E")*(CriteriTecnici!$T$5:$T$6173="SI")*IFERROR(CriteriTecnici!$O$5:$O$6173*1,0)))&gt;0,MIN(4,SUMIFS(CriteriTecnici!$O:$O,CriteriTecnici!$Q:$Q,$A105&amp;"|"&amp;$C105,CriteriTecnici!$E:$E,"E")*(4/SUMPRODUCT(MAX((CriteriTecnici!$C$5:$C$6173=$C105)*(CriteriTecnici!$E$5:$E$6173="E")*(CriteriTecnici!$T$5:$T$6173="SI")*IFERROR(CriteriTecnici!$O$5:$O$6173*1,0))))),0)+IF(SUMPRODUCT(MAX((CriteriTecnici!$C$5:$C$6173=$C105)*(CriteriTecnici!$E$5:$E$6173="F")*(CriteriTecnici!$T$5:$T$6173="SI")*IFERROR(CriteriTecnici!$O$5:$O$6173*1,0)))&gt;0,MIN(14,SUMIFS(CriteriTecnici!$O:$O,CriteriTecnici!$Q:$Q,$A105&amp;"|"&amp;$C105,CriteriTecnici!$E:$E,"F")*(14/SUMPRODUCT(MAX((CriteriTecnici!$C$5:$C$6173=$C105)*(CriteriTecnici!$E$5:$E$6173="F")*(CriteriTecnici!$T$5:$T$6173="SI")*IFERROR(CriteriTecnici!$O$5:$O$6173*1,0))))),0)+IF(SUMPRODUCT(MAX((CriteriTecnici!$C$5:$C$6173=$C105)*(CriteriTecnici!$E$5:$E$6173="G")*(CriteriTecnici!$T$5:$T$6173="SI")*IFERROR(CriteriTecnici!$O$5:$O$6173*1,0)))&gt;0,MIN(7,SUMIFS(CriteriTecnici!$O:$O,CriteriTecnici!$Q:$Q,$A105&amp;"|"&amp;$C105,CriteriTecnici!$E:$E,"G")*(7/SUMPRODUCT(MAX((CriteriTecnici!$C$5:$C$6173=$C105)*(CriteriTecnici!$E$5:$E$6173="G")*(CriteriTecnici!$T$5:$T$6173="SI")*IFERROR(CriteriTecnici!$O$5:$O$6173*1,0))))),0),4),0),IFERROR($N105*1,0)),0))</f>
        <v/>
      </c>
      <c r="F105" s="56">
        <f>IF(Compila!$A115="","",Compila!$E115)</f>
        <v/>
      </c>
      <c r="G105" s="57">
        <f>IF($A105="","",IF(IFERROR(VALUE($D105),0)&lt;&gt;1,"NO",IF(IFERROR(VALUE($O105),0)&gt;=Parametri!$B$2,"SI","NO")))</f>
        <v/>
      </c>
      <c r="H105" s="57">
        <f>IF($G105="SI",SUMPRODUCT(MAX(($C$2:$C$200=$C105)*(IFERROR($D$2:$D$200*1,0)=1)*(IFERROR($O$2:$O$200*1,0)&gt;=Parametri!$B$2)*IFERROR($F$2:$F$200*1,0))),0)</f>
        <v/>
      </c>
      <c r="I105" s="57">
        <f>IF($G105="SI",IF($H105&gt;0,30*(IFERROR($F105*1,0)/$H105),0),0)</f>
        <v/>
      </c>
      <c r="J105" s="57">
        <f>IF($A105="",0,IF($G105="SI",ROUND(IFERROR($E105*1,0)+$I105,4),ROUND(IFERROR($E105*1,0),4)))</f>
        <v/>
      </c>
      <c r="K105" s="57">
        <f>IF($A105="","",IF(IFERROR(VALUE($D105),0)&lt;&gt;1,"Non attiva",IF(IFERROR(VALUE($O105),0)&lt;Parametri!$B$2,"Sotto soglia","")))</f>
        <v/>
      </c>
      <c r="L105" s="57">
        <f>IF($A105="","",$A105&amp;"|"&amp;$C105)</f>
        <v/>
      </c>
      <c r="M105" s="57">
        <f>IF($A105="","",$C105&amp;"|"&amp;TEXT($J105,"0.0000"))</f>
        <v/>
      </c>
      <c r="N105" s="57" t="n"/>
      <c r="O105" s="57">
        <f>IF($A105="",0,IFERROR(IF(SUMIFS(CriteriTecnici!$O:$O,CriteriTecnici!$Q:$Q,$A105&amp;"|"&amp;$C105)&gt;0,SUMIFS(CriteriTecnici!$O:$O,CriteriTecnici!$Q:$Q,$A105&amp;"|"&amp;$C105,CriteriTecnici!$F:$F,"Q")+SUMIFS(CriteriTecnici!$O:$O,CriteriTecnici!$Q:$Q,$A105&amp;"|"&amp;$C105,CriteriTecnici!$F:$F,"T"),IFERROR($N105*1,0)),0))</f>
        <v/>
      </c>
      <c r="P105" s="57">
        <f>IF($A105="","",IF(SUMIFS(CriteriTecnici!$O:$O,CriteriTecnici!$Q:$Q,$A105&amp;"|"&amp;$C105)&gt;0,"Criteri A-G","Aggregato"))</f>
        <v/>
      </c>
    </row>
    <row r="106">
      <c r="A106" s="56">
        <f>IF(Compila!$A116="","",Compila!$A116)</f>
        <v/>
      </c>
      <c r="B106" s="56">
        <f>IF(Compila!$A116="","",Compila!$B116)</f>
        <v/>
      </c>
      <c r="C106" s="56">
        <f>IF(Compila!$A116="","",Compila!$C116)</f>
        <v/>
      </c>
      <c r="D106" s="56">
        <f>IF(Compila!$A116="","",Compila!$D116)</f>
        <v/>
      </c>
      <c r="E106" s="57">
        <f>IF($A106="",0,IFERROR(IF(SUMIFS(CriteriTecnici!$O:$O,CriteriTecnici!$Q:$Q,$A106&amp;"|"&amp;$C106)&gt;0,IF($G106="SI",ROUND(IF(SUMPRODUCT(MAX((CriteriTecnici!$C$5:$C$6173=$C106)*(CriteriTecnici!$E$5:$E$6173="A")*(CriteriTecnici!$T$5:$T$6173="SI")*IFERROR(CriteriTecnici!$O$5:$O$6173*1,0)))&gt;0,MIN(7,SUMIFS(CriteriTecnici!$O:$O,CriteriTecnici!$Q:$Q,$A106&amp;"|"&amp;$C106,CriteriTecnici!$E:$E,"A")*(7/SUMPRODUCT(MAX((CriteriTecnici!$C$5:$C$6173=$C106)*(CriteriTecnici!$E$5:$E$6173="A")*(CriteriTecnici!$T$5:$T$6173="SI")*IFERROR(CriteriTecnici!$O$5:$O$6173*1,0))))),0)+IF(SUMPRODUCT(MAX((CriteriTecnici!$C$5:$C$6173=$C106)*(CriteriTecnici!$E$5:$E$6173="B")*(CriteriTecnici!$T$5:$T$6173="SI")*IFERROR(CriteriTecnici!$O$5:$O$6173*1,0)))&gt;0,MIN(14,SUMIFS(CriteriTecnici!$O:$O,CriteriTecnici!$Q:$Q,$A106&amp;"|"&amp;$C106,CriteriTecnici!$E:$E,"B")*(14/SUMPRODUCT(MAX((CriteriTecnici!$C$5:$C$6173=$C106)*(CriteriTecnici!$E$5:$E$6173="B")*(CriteriTecnici!$T$5:$T$6173="SI")*IFERROR(CriteriTecnici!$O$5:$O$6173*1,0))))),0)+IF(SUMPRODUCT(MAX((CriteriTecnici!$C$5:$C$6173=$C106)*(CriteriTecnici!$E$5:$E$6173="C")*(CriteriTecnici!$T$5:$T$6173="SI")*IFERROR(CriteriTecnici!$O$5:$O$6173*1,0)))&gt;0,MIN(14,SUMIFS(CriteriTecnici!$O:$O,CriteriTecnici!$Q:$Q,$A106&amp;"|"&amp;$C106,CriteriTecnici!$E:$E,"C")*(14/SUMPRODUCT(MAX((CriteriTecnici!$C$5:$C$6173=$C106)*(CriteriTecnici!$E$5:$E$6173="C")*(CriteriTecnici!$T$5:$T$6173="SI")*IFERROR(CriteriTecnici!$O$5:$O$6173*1,0))))),0)+IF(SUMPRODUCT(MAX((CriteriTecnici!$C$5:$C$6173=$C106)*(CriteriTecnici!$E$5:$E$6173="D")*(CriteriTecnici!$T$5:$T$6173="SI")*IFERROR(CriteriTecnici!$O$5:$O$6173*1,0)))&gt;0,MIN(10,SUMIFS(CriteriTecnici!$O:$O,CriteriTecnici!$Q:$Q,$A106&amp;"|"&amp;$C106,CriteriTecnici!$E:$E,"D")*(10/SUMPRODUCT(MAX((CriteriTecnici!$C$5:$C$6173=$C106)*(CriteriTecnici!$E$5:$E$6173="D")*(CriteriTecnici!$T$5:$T$6173="SI")*IFERROR(CriteriTecnici!$O$5:$O$6173*1,0))))),0)+IF(SUMPRODUCT(MAX((CriteriTecnici!$C$5:$C$6173=$C106)*(CriteriTecnici!$E$5:$E$6173="E")*(CriteriTecnici!$T$5:$T$6173="SI")*IFERROR(CriteriTecnici!$O$5:$O$6173*1,0)))&gt;0,MIN(4,SUMIFS(CriteriTecnici!$O:$O,CriteriTecnici!$Q:$Q,$A106&amp;"|"&amp;$C106,CriteriTecnici!$E:$E,"E")*(4/SUMPRODUCT(MAX((CriteriTecnici!$C$5:$C$6173=$C106)*(CriteriTecnici!$E$5:$E$6173="E")*(CriteriTecnici!$T$5:$T$6173="SI")*IFERROR(CriteriTecnici!$O$5:$O$6173*1,0))))),0)+IF(SUMPRODUCT(MAX((CriteriTecnici!$C$5:$C$6173=$C106)*(CriteriTecnici!$E$5:$E$6173="F")*(CriteriTecnici!$T$5:$T$6173="SI")*IFERROR(CriteriTecnici!$O$5:$O$6173*1,0)))&gt;0,MIN(14,SUMIFS(CriteriTecnici!$O:$O,CriteriTecnici!$Q:$Q,$A106&amp;"|"&amp;$C106,CriteriTecnici!$E:$E,"F")*(14/SUMPRODUCT(MAX((CriteriTecnici!$C$5:$C$6173=$C106)*(CriteriTecnici!$E$5:$E$6173="F")*(CriteriTecnici!$T$5:$T$6173="SI")*IFERROR(CriteriTecnici!$O$5:$O$6173*1,0))))),0)+IF(SUMPRODUCT(MAX((CriteriTecnici!$C$5:$C$6173=$C106)*(CriteriTecnici!$E$5:$E$6173="G")*(CriteriTecnici!$T$5:$T$6173="SI")*IFERROR(CriteriTecnici!$O$5:$O$6173*1,0)))&gt;0,MIN(7,SUMIFS(CriteriTecnici!$O:$O,CriteriTecnici!$Q:$Q,$A106&amp;"|"&amp;$C106,CriteriTecnici!$E:$E,"G")*(7/SUMPRODUCT(MAX((CriteriTecnici!$C$5:$C$6173=$C106)*(CriteriTecnici!$E$5:$E$6173="G")*(CriteriTecnici!$T$5:$T$6173="SI")*IFERROR(CriteriTecnici!$O$5:$O$6173*1,0))))),0),4),0),IFERROR($N106*1,0)),0))</f>
        <v/>
      </c>
      <c r="F106" s="56">
        <f>IF(Compila!$A116="","",Compila!$E116)</f>
        <v/>
      </c>
      <c r="G106" s="57">
        <f>IF($A106="","",IF(IFERROR(VALUE($D106),0)&lt;&gt;1,"NO",IF(IFERROR(VALUE($O106),0)&gt;=Parametri!$B$2,"SI","NO")))</f>
        <v/>
      </c>
      <c r="H106" s="57">
        <f>IF($G106="SI",SUMPRODUCT(MAX(($C$2:$C$200=$C106)*(IFERROR($D$2:$D$200*1,0)=1)*(IFERROR($O$2:$O$200*1,0)&gt;=Parametri!$B$2)*IFERROR($F$2:$F$200*1,0))),0)</f>
        <v/>
      </c>
      <c r="I106" s="57">
        <f>IF($G106="SI",IF($H106&gt;0,30*(IFERROR($F106*1,0)/$H106),0),0)</f>
        <v/>
      </c>
      <c r="J106" s="57">
        <f>IF($A106="",0,IF($G106="SI",ROUND(IFERROR($E106*1,0)+$I106,4),ROUND(IFERROR($E106*1,0),4)))</f>
        <v/>
      </c>
      <c r="K106" s="57">
        <f>IF($A106="","",IF(IFERROR(VALUE($D106),0)&lt;&gt;1,"Non attiva",IF(IFERROR(VALUE($O106),0)&lt;Parametri!$B$2,"Sotto soglia","")))</f>
        <v/>
      </c>
      <c r="L106" s="57">
        <f>IF($A106="","",$A106&amp;"|"&amp;$C106)</f>
        <v/>
      </c>
      <c r="M106" s="57">
        <f>IF($A106="","",$C106&amp;"|"&amp;TEXT($J106,"0.0000"))</f>
        <v/>
      </c>
      <c r="N106" s="57" t="n"/>
      <c r="O106" s="57">
        <f>IF($A106="",0,IFERROR(IF(SUMIFS(CriteriTecnici!$O:$O,CriteriTecnici!$Q:$Q,$A106&amp;"|"&amp;$C106)&gt;0,SUMIFS(CriteriTecnici!$O:$O,CriteriTecnici!$Q:$Q,$A106&amp;"|"&amp;$C106,CriteriTecnici!$F:$F,"Q")+SUMIFS(CriteriTecnici!$O:$O,CriteriTecnici!$Q:$Q,$A106&amp;"|"&amp;$C106,CriteriTecnici!$F:$F,"T"),IFERROR($N106*1,0)),0))</f>
        <v/>
      </c>
      <c r="P106" s="57">
        <f>IF($A106="","",IF(SUMIFS(CriteriTecnici!$O:$O,CriteriTecnici!$Q:$Q,$A106&amp;"|"&amp;$C106)&gt;0,"Criteri A-G","Aggregato"))</f>
        <v/>
      </c>
    </row>
    <row r="107">
      <c r="A107" s="56">
        <f>IF(Compila!$A117="","",Compila!$A117)</f>
        <v/>
      </c>
      <c r="B107" s="56">
        <f>IF(Compila!$A117="","",Compila!$B117)</f>
        <v/>
      </c>
      <c r="C107" s="56">
        <f>IF(Compila!$A117="","",Compila!$C117)</f>
        <v/>
      </c>
      <c r="D107" s="56">
        <f>IF(Compila!$A117="","",Compila!$D117)</f>
        <v/>
      </c>
      <c r="E107" s="57">
        <f>IF($A107="",0,IFERROR(IF(SUMIFS(CriteriTecnici!$O:$O,CriteriTecnici!$Q:$Q,$A107&amp;"|"&amp;$C107)&gt;0,IF($G107="SI",ROUND(IF(SUMPRODUCT(MAX((CriteriTecnici!$C$5:$C$6173=$C107)*(CriteriTecnici!$E$5:$E$6173="A")*(CriteriTecnici!$T$5:$T$6173="SI")*IFERROR(CriteriTecnici!$O$5:$O$6173*1,0)))&gt;0,MIN(7,SUMIFS(CriteriTecnici!$O:$O,CriteriTecnici!$Q:$Q,$A107&amp;"|"&amp;$C107,CriteriTecnici!$E:$E,"A")*(7/SUMPRODUCT(MAX((CriteriTecnici!$C$5:$C$6173=$C107)*(CriteriTecnici!$E$5:$E$6173="A")*(CriteriTecnici!$T$5:$T$6173="SI")*IFERROR(CriteriTecnici!$O$5:$O$6173*1,0))))),0)+IF(SUMPRODUCT(MAX((CriteriTecnici!$C$5:$C$6173=$C107)*(CriteriTecnici!$E$5:$E$6173="B")*(CriteriTecnici!$T$5:$T$6173="SI")*IFERROR(CriteriTecnici!$O$5:$O$6173*1,0)))&gt;0,MIN(14,SUMIFS(CriteriTecnici!$O:$O,CriteriTecnici!$Q:$Q,$A107&amp;"|"&amp;$C107,CriteriTecnici!$E:$E,"B")*(14/SUMPRODUCT(MAX((CriteriTecnici!$C$5:$C$6173=$C107)*(CriteriTecnici!$E$5:$E$6173="B")*(CriteriTecnici!$T$5:$T$6173="SI")*IFERROR(CriteriTecnici!$O$5:$O$6173*1,0))))),0)+IF(SUMPRODUCT(MAX((CriteriTecnici!$C$5:$C$6173=$C107)*(CriteriTecnici!$E$5:$E$6173="C")*(CriteriTecnici!$T$5:$T$6173="SI")*IFERROR(CriteriTecnici!$O$5:$O$6173*1,0)))&gt;0,MIN(14,SUMIFS(CriteriTecnici!$O:$O,CriteriTecnici!$Q:$Q,$A107&amp;"|"&amp;$C107,CriteriTecnici!$E:$E,"C")*(14/SUMPRODUCT(MAX((CriteriTecnici!$C$5:$C$6173=$C107)*(CriteriTecnici!$E$5:$E$6173="C")*(CriteriTecnici!$T$5:$T$6173="SI")*IFERROR(CriteriTecnici!$O$5:$O$6173*1,0))))),0)+IF(SUMPRODUCT(MAX((CriteriTecnici!$C$5:$C$6173=$C107)*(CriteriTecnici!$E$5:$E$6173="D")*(CriteriTecnici!$T$5:$T$6173="SI")*IFERROR(CriteriTecnici!$O$5:$O$6173*1,0)))&gt;0,MIN(10,SUMIFS(CriteriTecnici!$O:$O,CriteriTecnici!$Q:$Q,$A107&amp;"|"&amp;$C107,CriteriTecnici!$E:$E,"D")*(10/SUMPRODUCT(MAX((CriteriTecnici!$C$5:$C$6173=$C107)*(CriteriTecnici!$E$5:$E$6173="D")*(CriteriTecnici!$T$5:$T$6173="SI")*IFERROR(CriteriTecnici!$O$5:$O$6173*1,0))))),0)+IF(SUMPRODUCT(MAX((CriteriTecnici!$C$5:$C$6173=$C107)*(CriteriTecnici!$E$5:$E$6173="E")*(CriteriTecnici!$T$5:$T$6173="SI")*IFERROR(CriteriTecnici!$O$5:$O$6173*1,0)))&gt;0,MIN(4,SUMIFS(CriteriTecnici!$O:$O,CriteriTecnici!$Q:$Q,$A107&amp;"|"&amp;$C107,CriteriTecnici!$E:$E,"E")*(4/SUMPRODUCT(MAX((CriteriTecnici!$C$5:$C$6173=$C107)*(CriteriTecnici!$E$5:$E$6173="E")*(CriteriTecnici!$T$5:$T$6173="SI")*IFERROR(CriteriTecnici!$O$5:$O$6173*1,0))))),0)+IF(SUMPRODUCT(MAX((CriteriTecnici!$C$5:$C$6173=$C107)*(CriteriTecnici!$E$5:$E$6173="F")*(CriteriTecnici!$T$5:$T$6173="SI")*IFERROR(CriteriTecnici!$O$5:$O$6173*1,0)))&gt;0,MIN(14,SUMIFS(CriteriTecnici!$O:$O,CriteriTecnici!$Q:$Q,$A107&amp;"|"&amp;$C107,CriteriTecnici!$E:$E,"F")*(14/SUMPRODUCT(MAX((CriteriTecnici!$C$5:$C$6173=$C107)*(CriteriTecnici!$E$5:$E$6173="F")*(CriteriTecnici!$T$5:$T$6173="SI")*IFERROR(CriteriTecnici!$O$5:$O$6173*1,0))))),0)+IF(SUMPRODUCT(MAX((CriteriTecnici!$C$5:$C$6173=$C107)*(CriteriTecnici!$E$5:$E$6173="G")*(CriteriTecnici!$T$5:$T$6173="SI")*IFERROR(CriteriTecnici!$O$5:$O$6173*1,0)))&gt;0,MIN(7,SUMIFS(CriteriTecnici!$O:$O,CriteriTecnici!$Q:$Q,$A107&amp;"|"&amp;$C107,CriteriTecnici!$E:$E,"G")*(7/SUMPRODUCT(MAX((CriteriTecnici!$C$5:$C$6173=$C107)*(CriteriTecnici!$E$5:$E$6173="G")*(CriteriTecnici!$T$5:$T$6173="SI")*IFERROR(CriteriTecnici!$O$5:$O$6173*1,0))))),0),4),0),IFERROR($N107*1,0)),0))</f>
        <v/>
      </c>
      <c r="F107" s="56">
        <f>IF(Compila!$A117="","",Compila!$E117)</f>
        <v/>
      </c>
      <c r="G107" s="57">
        <f>IF($A107="","",IF(IFERROR(VALUE($D107),0)&lt;&gt;1,"NO",IF(IFERROR(VALUE($O107),0)&gt;=Parametri!$B$2,"SI","NO")))</f>
        <v/>
      </c>
      <c r="H107" s="57">
        <f>IF($G107="SI",SUMPRODUCT(MAX(($C$2:$C$200=$C107)*(IFERROR($D$2:$D$200*1,0)=1)*(IFERROR($O$2:$O$200*1,0)&gt;=Parametri!$B$2)*IFERROR($F$2:$F$200*1,0))),0)</f>
        <v/>
      </c>
      <c r="I107" s="57">
        <f>IF($G107="SI",IF($H107&gt;0,30*(IFERROR($F107*1,0)/$H107),0),0)</f>
        <v/>
      </c>
      <c r="J107" s="57">
        <f>IF($A107="",0,IF($G107="SI",ROUND(IFERROR($E107*1,0)+$I107,4),ROUND(IFERROR($E107*1,0),4)))</f>
        <v/>
      </c>
      <c r="K107" s="57">
        <f>IF($A107="","",IF(IFERROR(VALUE($D107),0)&lt;&gt;1,"Non attiva",IF(IFERROR(VALUE($O107),0)&lt;Parametri!$B$2,"Sotto soglia","")))</f>
        <v/>
      </c>
      <c r="L107" s="57">
        <f>IF($A107="","",$A107&amp;"|"&amp;$C107)</f>
        <v/>
      </c>
      <c r="M107" s="57">
        <f>IF($A107="","",$C107&amp;"|"&amp;TEXT($J107,"0.0000"))</f>
        <v/>
      </c>
      <c r="N107" s="57" t="n"/>
      <c r="O107" s="57">
        <f>IF($A107="",0,IFERROR(IF(SUMIFS(CriteriTecnici!$O:$O,CriteriTecnici!$Q:$Q,$A107&amp;"|"&amp;$C107)&gt;0,SUMIFS(CriteriTecnici!$O:$O,CriteriTecnici!$Q:$Q,$A107&amp;"|"&amp;$C107,CriteriTecnici!$F:$F,"Q")+SUMIFS(CriteriTecnici!$O:$O,CriteriTecnici!$Q:$Q,$A107&amp;"|"&amp;$C107,CriteriTecnici!$F:$F,"T"),IFERROR($N107*1,0)),0))</f>
        <v/>
      </c>
      <c r="P107" s="57">
        <f>IF($A107="","",IF(SUMIFS(CriteriTecnici!$O:$O,CriteriTecnici!$Q:$Q,$A107&amp;"|"&amp;$C107)&gt;0,"Criteri A-G","Aggregato"))</f>
        <v/>
      </c>
    </row>
    <row r="108">
      <c r="A108" s="56">
        <f>IF(Compila!$A118="","",Compila!$A118)</f>
        <v/>
      </c>
      <c r="B108" s="56">
        <f>IF(Compila!$A118="","",Compila!$B118)</f>
        <v/>
      </c>
      <c r="C108" s="56">
        <f>IF(Compila!$A118="","",Compila!$C118)</f>
        <v/>
      </c>
      <c r="D108" s="56">
        <f>IF(Compila!$A118="","",Compila!$D118)</f>
        <v/>
      </c>
      <c r="E108" s="57">
        <f>IF($A108="",0,IFERROR(IF(SUMIFS(CriteriTecnici!$O:$O,CriteriTecnici!$Q:$Q,$A108&amp;"|"&amp;$C108)&gt;0,IF($G108="SI",ROUND(IF(SUMPRODUCT(MAX((CriteriTecnici!$C$5:$C$6173=$C108)*(CriteriTecnici!$E$5:$E$6173="A")*(CriteriTecnici!$T$5:$T$6173="SI")*IFERROR(CriteriTecnici!$O$5:$O$6173*1,0)))&gt;0,MIN(7,SUMIFS(CriteriTecnici!$O:$O,CriteriTecnici!$Q:$Q,$A108&amp;"|"&amp;$C108,CriteriTecnici!$E:$E,"A")*(7/SUMPRODUCT(MAX((CriteriTecnici!$C$5:$C$6173=$C108)*(CriteriTecnici!$E$5:$E$6173="A")*(CriteriTecnici!$T$5:$T$6173="SI")*IFERROR(CriteriTecnici!$O$5:$O$6173*1,0))))),0)+IF(SUMPRODUCT(MAX((CriteriTecnici!$C$5:$C$6173=$C108)*(CriteriTecnici!$E$5:$E$6173="B")*(CriteriTecnici!$T$5:$T$6173="SI")*IFERROR(CriteriTecnici!$O$5:$O$6173*1,0)))&gt;0,MIN(14,SUMIFS(CriteriTecnici!$O:$O,CriteriTecnici!$Q:$Q,$A108&amp;"|"&amp;$C108,CriteriTecnici!$E:$E,"B")*(14/SUMPRODUCT(MAX((CriteriTecnici!$C$5:$C$6173=$C108)*(CriteriTecnici!$E$5:$E$6173="B")*(CriteriTecnici!$T$5:$T$6173="SI")*IFERROR(CriteriTecnici!$O$5:$O$6173*1,0))))),0)+IF(SUMPRODUCT(MAX((CriteriTecnici!$C$5:$C$6173=$C108)*(CriteriTecnici!$E$5:$E$6173="C")*(CriteriTecnici!$T$5:$T$6173="SI")*IFERROR(CriteriTecnici!$O$5:$O$6173*1,0)))&gt;0,MIN(14,SUMIFS(CriteriTecnici!$O:$O,CriteriTecnici!$Q:$Q,$A108&amp;"|"&amp;$C108,CriteriTecnici!$E:$E,"C")*(14/SUMPRODUCT(MAX((CriteriTecnici!$C$5:$C$6173=$C108)*(CriteriTecnici!$E$5:$E$6173="C")*(CriteriTecnici!$T$5:$T$6173="SI")*IFERROR(CriteriTecnici!$O$5:$O$6173*1,0))))),0)+IF(SUMPRODUCT(MAX((CriteriTecnici!$C$5:$C$6173=$C108)*(CriteriTecnici!$E$5:$E$6173="D")*(CriteriTecnici!$T$5:$T$6173="SI")*IFERROR(CriteriTecnici!$O$5:$O$6173*1,0)))&gt;0,MIN(10,SUMIFS(CriteriTecnici!$O:$O,CriteriTecnici!$Q:$Q,$A108&amp;"|"&amp;$C108,CriteriTecnici!$E:$E,"D")*(10/SUMPRODUCT(MAX((CriteriTecnici!$C$5:$C$6173=$C108)*(CriteriTecnici!$E$5:$E$6173="D")*(CriteriTecnici!$T$5:$T$6173="SI")*IFERROR(CriteriTecnici!$O$5:$O$6173*1,0))))),0)+IF(SUMPRODUCT(MAX((CriteriTecnici!$C$5:$C$6173=$C108)*(CriteriTecnici!$E$5:$E$6173="E")*(CriteriTecnici!$T$5:$T$6173="SI")*IFERROR(CriteriTecnici!$O$5:$O$6173*1,0)))&gt;0,MIN(4,SUMIFS(CriteriTecnici!$O:$O,CriteriTecnici!$Q:$Q,$A108&amp;"|"&amp;$C108,CriteriTecnici!$E:$E,"E")*(4/SUMPRODUCT(MAX((CriteriTecnici!$C$5:$C$6173=$C108)*(CriteriTecnici!$E$5:$E$6173="E")*(CriteriTecnici!$T$5:$T$6173="SI")*IFERROR(CriteriTecnici!$O$5:$O$6173*1,0))))),0)+IF(SUMPRODUCT(MAX((CriteriTecnici!$C$5:$C$6173=$C108)*(CriteriTecnici!$E$5:$E$6173="F")*(CriteriTecnici!$T$5:$T$6173="SI")*IFERROR(CriteriTecnici!$O$5:$O$6173*1,0)))&gt;0,MIN(14,SUMIFS(CriteriTecnici!$O:$O,CriteriTecnici!$Q:$Q,$A108&amp;"|"&amp;$C108,CriteriTecnici!$E:$E,"F")*(14/SUMPRODUCT(MAX((CriteriTecnici!$C$5:$C$6173=$C108)*(CriteriTecnici!$E$5:$E$6173="F")*(CriteriTecnici!$T$5:$T$6173="SI")*IFERROR(CriteriTecnici!$O$5:$O$6173*1,0))))),0)+IF(SUMPRODUCT(MAX((CriteriTecnici!$C$5:$C$6173=$C108)*(CriteriTecnici!$E$5:$E$6173="G")*(CriteriTecnici!$T$5:$T$6173="SI")*IFERROR(CriteriTecnici!$O$5:$O$6173*1,0)))&gt;0,MIN(7,SUMIFS(CriteriTecnici!$O:$O,CriteriTecnici!$Q:$Q,$A108&amp;"|"&amp;$C108,CriteriTecnici!$E:$E,"G")*(7/SUMPRODUCT(MAX((CriteriTecnici!$C$5:$C$6173=$C108)*(CriteriTecnici!$E$5:$E$6173="G")*(CriteriTecnici!$T$5:$T$6173="SI")*IFERROR(CriteriTecnici!$O$5:$O$6173*1,0))))),0),4),0),IFERROR($N108*1,0)),0))</f>
        <v/>
      </c>
      <c r="F108" s="56">
        <f>IF(Compila!$A118="","",Compila!$E118)</f>
        <v/>
      </c>
      <c r="G108" s="57">
        <f>IF($A108="","",IF(IFERROR(VALUE($D108),0)&lt;&gt;1,"NO",IF(IFERROR(VALUE($O108),0)&gt;=Parametri!$B$2,"SI","NO")))</f>
        <v/>
      </c>
      <c r="H108" s="57">
        <f>IF($G108="SI",SUMPRODUCT(MAX(($C$2:$C$200=$C108)*(IFERROR($D$2:$D$200*1,0)=1)*(IFERROR($O$2:$O$200*1,0)&gt;=Parametri!$B$2)*IFERROR($F$2:$F$200*1,0))),0)</f>
        <v/>
      </c>
      <c r="I108" s="57">
        <f>IF($G108="SI",IF($H108&gt;0,30*(IFERROR($F108*1,0)/$H108),0),0)</f>
        <v/>
      </c>
      <c r="J108" s="57">
        <f>IF($A108="",0,IF($G108="SI",ROUND(IFERROR($E108*1,0)+$I108,4),ROUND(IFERROR($E108*1,0),4)))</f>
        <v/>
      </c>
      <c r="K108" s="57">
        <f>IF($A108="","",IF(IFERROR(VALUE($D108),0)&lt;&gt;1,"Non attiva",IF(IFERROR(VALUE($O108),0)&lt;Parametri!$B$2,"Sotto soglia","")))</f>
        <v/>
      </c>
      <c r="L108" s="57">
        <f>IF($A108="","",$A108&amp;"|"&amp;$C108)</f>
        <v/>
      </c>
      <c r="M108" s="57">
        <f>IF($A108="","",$C108&amp;"|"&amp;TEXT($J108,"0.0000"))</f>
        <v/>
      </c>
      <c r="N108" s="57" t="n"/>
      <c r="O108" s="57">
        <f>IF($A108="",0,IFERROR(IF(SUMIFS(CriteriTecnici!$O:$O,CriteriTecnici!$Q:$Q,$A108&amp;"|"&amp;$C108)&gt;0,SUMIFS(CriteriTecnici!$O:$O,CriteriTecnici!$Q:$Q,$A108&amp;"|"&amp;$C108,CriteriTecnici!$F:$F,"Q")+SUMIFS(CriteriTecnici!$O:$O,CriteriTecnici!$Q:$Q,$A108&amp;"|"&amp;$C108,CriteriTecnici!$F:$F,"T"),IFERROR($N108*1,0)),0))</f>
        <v/>
      </c>
      <c r="P108" s="57">
        <f>IF($A108="","",IF(SUMIFS(CriteriTecnici!$O:$O,CriteriTecnici!$Q:$Q,$A108&amp;"|"&amp;$C108)&gt;0,"Criteri A-G","Aggregato"))</f>
        <v/>
      </c>
    </row>
    <row r="109">
      <c r="A109" s="56">
        <f>IF(Compila!$A119="","",Compila!$A119)</f>
        <v/>
      </c>
      <c r="B109" s="56">
        <f>IF(Compila!$A119="","",Compila!$B119)</f>
        <v/>
      </c>
      <c r="C109" s="56">
        <f>IF(Compila!$A119="","",Compila!$C119)</f>
        <v/>
      </c>
      <c r="D109" s="56">
        <f>IF(Compila!$A119="","",Compila!$D119)</f>
        <v/>
      </c>
      <c r="E109" s="57">
        <f>IF($A109="",0,IFERROR(IF(SUMIFS(CriteriTecnici!$O:$O,CriteriTecnici!$Q:$Q,$A109&amp;"|"&amp;$C109)&gt;0,IF($G109="SI",ROUND(IF(SUMPRODUCT(MAX((CriteriTecnici!$C$5:$C$6173=$C109)*(CriteriTecnici!$E$5:$E$6173="A")*(CriteriTecnici!$T$5:$T$6173="SI")*IFERROR(CriteriTecnici!$O$5:$O$6173*1,0)))&gt;0,MIN(7,SUMIFS(CriteriTecnici!$O:$O,CriteriTecnici!$Q:$Q,$A109&amp;"|"&amp;$C109,CriteriTecnici!$E:$E,"A")*(7/SUMPRODUCT(MAX((CriteriTecnici!$C$5:$C$6173=$C109)*(CriteriTecnici!$E$5:$E$6173="A")*(CriteriTecnici!$T$5:$T$6173="SI")*IFERROR(CriteriTecnici!$O$5:$O$6173*1,0))))),0)+IF(SUMPRODUCT(MAX((CriteriTecnici!$C$5:$C$6173=$C109)*(CriteriTecnici!$E$5:$E$6173="B")*(CriteriTecnici!$T$5:$T$6173="SI")*IFERROR(CriteriTecnici!$O$5:$O$6173*1,0)))&gt;0,MIN(14,SUMIFS(CriteriTecnici!$O:$O,CriteriTecnici!$Q:$Q,$A109&amp;"|"&amp;$C109,CriteriTecnici!$E:$E,"B")*(14/SUMPRODUCT(MAX((CriteriTecnici!$C$5:$C$6173=$C109)*(CriteriTecnici!$E$5:$E$6173="B")*(CriteriTecnici!$T$5:$T$6173="SI")*IFERROR(CriteriTecnici!$O$5:$O$6173*1,0))))),0)+IF(SUMPRODUCT(MAX((CriteriTecnici!$C$5:$C$6173=$C109)*(CriteriTecnici!$E$5:$E$6173="C")*(CriteriTecnici!$T$5:$T$6173="SI")*IFERROR(CriteriTecnici!$O$5:$O$6173*1,0)))&gt;0,MIN(14,SUMIFS(CriteriTecnici!$O:$O,CriteriTecnici!$Q:$Q,$A109&amp;"|"&amp;$C109,CriteriTecnici!$E:$E,"C")*(14/SUMPRODUCT(MAX((CriteriTecnici!$C$5:$C$6173=$C109)*(CriteriTecnici!$E$5:$E$6173="C")*(CriteriTecnici!$T$5:$T$6173="SI")*IFERROR(CriteriTecnici!$O$5:$O$6173*1,0))))),0)+IF(SUMPRODUCT(MAX((CriteriTecnici!$C$5:$C$6173=$C109)*(CriteriTecnici!$E$5:$E$6173="D")*(CriteriTecnici!$T$5:$T$6173="SI")*IFERROR(CriteriTecnici!$O$5:$O$6173*1,0)))&gt;0,MIN(10,SUMIFS(CriteriTecnici!$O:$O,CriteriTecnici!$Q:$Q,$A109&amp;"|"&amp;$C109,CriteriTecnici!$E:$E,"D")*(10/SUMPRODUCT(MAX((CriteriTecnici!$C$5:$C$6173=$C109)*(CriteriTecnici!$E$5:$E$6173="D")*(CriteriTecnici!$T$5:$T$6173="SI")*IFERROR(CriteriTecnici!$O$5:$O$6173*1,0))))),0)+IF(SUMPRODUCT(MAX((CriteriTecnici!$C$5:$C$6173=$C109)*(CriteriTecnici!$E$5:$E$6173="E")*(CriteriTecnici!$T$5:$T$6173="SI")*IFERROR(CriteriTecnici!$O$5:$O$6173*1,0)))&gt;0,MIN(4,SUMIFS(CriteriTecnici!$O:$O,CriteriTecnici!$Q:$Q,$A109&amp;"|"&amp;$C109,CriteriTecnici!$E:$E,"E")*(4/SUMPRODUCT(MAX((CriteriTecnici!$C$5:$C$6173=$C109)*(CriteriTecnici!$E$5:$E$6173="E")*(CriteriTecnici!$T$5:$T$6173="SI")*IFERROR(CriteriTecnici!$O$5:$O$6173*1,0))))),0)+IF(SUMPRODUCT(MAX((CriteriTecnici!$C$5:$C$6173=$C109)*(CriteriTecnici!$E$5:$E$6173="F")*(CriteriTecnici!$T$5:$T$6173="SI")*IFERROR(CriteriTecnici!$O$5:$O$6173*1,0)))&gt;0,MIN(14,SUMIFS(CriteriTecnici!$O:$O,CriteriTecnici!$Q:$Q,$A109&amp;"|"&amp;$C109,CriteriTecnici!$E:$E,"F")*(14/SUMPRODUCT(MAX((CriteriTecnici!$C$5:$C$6173=$C109)*(CriteriTecnici!$E$5:$E$6173="F")*(CriteriTecnici!$T$5:$T$6173="SI")*IFERROR(CriteriTecnici!$O$5:$O$6173*1,0))))),0)+IF(SUMPRODUCT(MAX((CriteriTecnici!$C$5:$C$6173=$C109)*(CriteriTecnici!$E$5:$E$6173="G")*(CriteriTecnici!$T$5:$T$6173="SI")*IFERROR(CriteriTecnici!$O$5:$O$6173*1,0)))&gt;0,MIN(7,SUMIFS(CriteriTecnici!$O:$O,CriteriTecnici!$Q:$Q,$A109&amp;"|"&amp;$C109,CriteriTecnici!$E:$E,"G")*(7/SUMPRODUCT(MAX((CriteriTecnici!$C$5:$C$6173=$C109)*(CriteriTecnici!$E$5:$E$6173="G")*(CriteriTecnici!$T$5:$T$6173="SI")*IFERROR(CriteriTecnici!$O$5:$O$6173*1,0))))),0),4),0),IFERROR($N109*1,0)),0))</f>
        <v/>
      </c>
      <c r="F109" s="56">
        <f>IF(Compila!$A119="","",Compila!$E119)</f>
        <v/>
      </c>
      <c r="G109" s="57">
        <f>IF($A109="","",IF(IFERROR(VALUE($D109),0)&lt;&gt;1,"NO",IF(IFERROR(VALUE($O109),0)&gt;=Parametri!$B$2,"SI","NO")))</f>
        <v/>
      </c>
      <c r="H109" s="57">
        <f>IF($G109="SI",SUMPRODUCT(MAX(($C$2:$C$200=$C109)*(IFERROR($D$2:$D$200*1,0)=1)*(IFERROR($O$2:$O$200*1,0)&gt;=Parametri!$B$2)*IFERROR($F$2:$F$200*1,0))),0)</f>
        <v/>
      </c>
      <c r="I109" s="57">
        <f>IF($G109="SI",IF($H109&gt;0,30*(IFERROR($F109*1,0)/$H109),0),0)</f>
        <v/>
      </c>
      <c r="J109" s="57">
        <f>IF($A109="",0,IF($G109="SI",ROUND(IFERROR($E109*1,0)+$I109,4),ROUND(IFERROR($E109*1,0),4)))</f>
        <v/>
      </c>
      <c r="K109" s="57">
        <f>IF($A109="","",IF(IFERROR(VALUE($D109),0)&lt;&gt;1,"Non attiva",IF(IFERROR(VALUE($O109),0)&lt;Parametri!$B$2,"Sotto soglia","")))</f>
        <v/>
      </c>
      <c r="L109" s="57">
        <f>IF($A109="","",$A109&amp;"|"&amp;$C109)</f>
        <v/>
      </c>
      <c r="M109" s="57">
        <f>IF($A109="","",$C109&amp;"|"&amp;TEXT($J109,"0.0000"))</f>
        <v/>
      </c>
      <c r="N109" s="57" t="n"/>
      <c r="O109" s="57">
        <f>IF($A109="",0,IFERROR(IF(SUMIFS(CriteriTecnici!$O:$O,CriteriTecnici!$Q:$Q,$A109&amp;"|"&amp;$C109)&gt;0,SUMIFS(CriteriTecnici!$O:$O,CriteriTecnici!$Q:$Q,$A109&amp;"|"&amp;$C109,CriteriTecnici!$F:$F,"Q")+SUMIFS(CriteriTecnici!$O:$O,CriteriTecnici!$Q:$Q,$A109&amp;"|"&amp;$C109,CriteriTecnici!$F:$F,"T"),IFERROR($N109*1,0)),0))</f>
        <v/>
      </c>
      <c r="P109" s="57">
        <f>IF($A109="","",IF(SUMIFS(CriteriTecnici!$O:$O,CriteriTecnici!$Q:$Q,$A109&amp;"|"&amp;$C109)&gt;0,"Criteri A-G","Aggregato"))</f>
        <v/>
      </c>
    </row>
    <row r="110">
      <c r="A110" s="56">
        <f>IF(Compila!$A120="","",Compila!$A120)</f>
        <v/>
      </c>
      <c r="B110" s="56">
        <f>IF(Compila!$A120="","",Compila!$B120)</f>
        <v/>
      </c>
      <c r="C110" s="56">
        <f>IF(Compila!$A120="","",Compila!$C120)</f>
        <v/>
      </c>
      <c r="D110" s="56">
        <f>IF(Compila!$A120="","",Compila!$D120)</f>
        <v/>
      </c>
      <c r="E110" s="57">
        <f>IF($A110="",0,IFERROR(IF(SUMIFS(CriteriTecnici!$O:$O,CriteriTecnici!$Q:$Q,$A110&amp;"|"&amp;$C110)&gt;0,IF($G110="SI",ROUND(IF(SUMPRODUCT(MAX((CriteriTecnici!$C$5:$C$6173=$C110)*(CriteriTecnici!$E$5:$E$6173="A")*(CriteriTecnici!$T$5:$T$6173="SI")*IFERROR(CriteriTecnici!$O$5:$O$6173*1,0)))&gt;0,MIN(7,SUMIFS(CriteriTecnici!$O:$O,CriteriTecnici!$Q:$Q,$A110&amp;"|"&amp;$C110,CriteriTecnici!$E:$E,"A")*(7/SUMPRODUCT(MAX((CriteriTecnici!$C$5:$C$6173=$C110)*(CriteriTecnici!$E$5:$E$6173="A")*(CriteriTecnici!$T$5:$T$6173="SI")*IFERROR(CriteriTecnici!$O$5:$O$6173*1,0))))),0)+IF(SUMPRODUCT(MAX((CriteriTecnici!$C$5:$C$6173=$C110)*(CriteriTecnici!$E$5:$E$6173="B")*(CriteriTecnici!$T$5:$T$6173="SI")*IFERROR(CriteriTecnici!$O$5:$O$6173*1,0)))&gt;0,MIN(14,SUMIFS(CriteriTecnici!$O:$O,CriteriTecnici!$Q:$Q,$A110&amp;"|"&amp;$C110,CriteriTecnici!$E:$E,"B")*(14/SUMPRODUCT(MAX((CriteriTecnici!$C$5:$C$6173=$C110)*(CriteriTecnici!$E$5:$E$6173="B")*(CriteriTecnici!$T$5:$T$6173="SI")*IFERROR(CriteriTecnici!$O$5:$O$6173*1,0))))),0)+IF(SUMPRODUCT(MAX((CriteriTecnici!$C$5:$C$6173=$C110)*(CriteriTecnici!$E$5:$E$6173="C")*(CriteriTecnici!$T$5:$T$6173="SI")*IFERROR(CriteriTecnici!$O$5:$O$6173*1,0)))&gt;0,MIN(14,SUMIFS(CriteriTecnici!$O:$O,CriteriTecnici!$Q:$Q,$A110&amp;"|"&amp;$C110,CriteriTecnici!$E:$E,"C")*(14/SUMPRODUCT(MAX((CriteriTecnici!$C$5:$C$6173=$C110)*(CriteriTecnici!$E$5:$E$6173="C")*(CriteriTecnici!$T$5:$T$6173="SI")*IFERROR(CriteriTecnici!$O$5:$O$6173*1,0))))),0)+IF(SUMPRODUCT(MAX((CriteriTecnici!$C$5:$C$6173=$C110)*(CriteriTecnici!$E$5:$E$6173="D")*(CriteriTecnici!$T$5:$T$6173="SI")*IFERROR(CriteriTecnici!$O$5:$O$6173*1,0)))&gt;0,MIN(10,SUMIFS(CriteriTecnici!$O:$O,CriteriTecnici!$Q:$Q,$A110&amp;"|"&amp;$C110,CriteriTecnici!$E:$E,"D")*(10/SUMPRODUCT(MAX((CriteriTecnici!$C$5:$C$6173=$C110)*(CriteriTecnici!$E$5:$E$6173="D")*(CriteriTecnici!$T$5:$T$6173="SI")*IFERROR(CriteriTecnici!$O$5:$O$6173*1,0))))),0)+IF(SUMPRODUCT(MAX((CriteriTecnici!$C$5:$C$6173=$C110)*(CriteriTecnici!$E$5:$E$6173="E")*(CriteriTecnici!$T$5:$T$6173="SI")*IFERROR(CriteriTecnici!$O$5:$O$6173*1,0)))&gt;0,MIN(4,SUMIFS(CriteriTecnici!$O:$O,CriteriTecnici!$Q:$Q,$A110&amp;"|"&amp;$C110,CriteriTecnici!$E:$E,"E")*(4/SUMPRODUCT(MAX((CriteriTecnici!$C$5:$C$6173=$C110)*(CriteriTecnici!$E$5:$E$6173="E")*(CriteriTecnici!$T$5:$T$6173="SI")*IFERROR(CriteriTecnici!$O$5:$O$6173*1,0))))),0)+IF(SUMPRODUCT(MAX((CriteriTecnici!$C$5:$C$6173=$C110)*(CriteriTecnici!$E$5:$E$6173="F")*(CriteriTecnici!$T$5:$T$6173="SI")*IFERROR(CriteriTecnici!$O$5:$O$6173*1,0)))&gt;0,MIN(14,SUMIFS(CriteriTecnici!$O:$O,CriteriTecnici!$Q:$Q,$A110&amp;"|"&amp;$C110,CriteriTecnici!$E:$E,"F")*(14/SUMPRODUCT(MAX((CriteriTecnici!$C$5:$C$6173=$C110)*(CriteriTecnici!$E$5:$E$6173="F")*(CriteriTecnici!$T$5:$T$6173="SI")*IFERROR(CriteriTecnici!$O$5:$O$6173*1,0))))),0)+IF(SUMPRODUCT(MAX((CriteriTecnici!$C$5:$C$6173=$C110)*(CriteriTecnici!$E$5:$E$6173="G")*(CriteriTecnici!$T$5:$T$6173="SI")*IFERROR(CriteriTecnici!$O$5:$O$6173*1,0)))&gt;0,MIN(7,SUMIFS(CriteriTecnici!$O:$O,CriteriTecnici!$Q:$Q,$A110&amp;"|"&amp;$C110,CriteriTecnici!$E:$E,"G")*(7/SUMPRODUCT(MAX((CriteriTecnici!$C$5:$C$6173=$C110)*(CriteriTecnici!$E$5:$E$6173="G")*(CriteriTecnici!$T$5:$T$6173="SI")*IFERROR(CriteriTecnici!$O$5:$O$6173*1,0))))),0),4),0),IFERROR($N110*1,0)),0))</f>
        <v/>
      </c>
      <c r="F110" s="56">
        <f>IF(Compila!$A120="","",Compila!$E120)</f>
        <v/>
      </c>
      <c r="G110" s="57">
        <f>IF($A110="","",IF(IFERROR(VALUE($D110),0)&lt;&gt;1,"NO",IF(IFERROR(VALUE($O110),0)&gt;=Parametri!$B$2,"SI","NO")))</f>
        <v/>
      </c>
      <c r="H110" s="57">
        <f>IF($G110="SI",SUMPRODUCT(MAX(($C$2:$C$200=$C110)*(IFERROR($D$2:$D$200*1,0)=1)*(IFERROR($O$2:$O$200*1,0)&gt;=Parametri!$B$2)*IFERROR($F$2:$F$200*1,0))),0)</f>
        <v/>
      </c>
      <c r="I110" s="57">
        <f>IF($G110="SI",IF($H110&gt;0,30*(IFERROR($F110*1,0)/$H110),0),0)</f>
        <v/>
      </c>
      <c r="J110" s="57">
        <f>IF($A110="",0,IF($G110="SI",ROUND(IFERROR($E110*1,0)+$I110,4),ROUND(IFERROR($E110*1,0),4)))</f>
        <v/>
      </c>
      <c r="K110" s="57">
        <f>IF($A110="","",IF(IFERROR(VALUE($D110),0)&lt;&gt;1,"Non attiva",IF(IFERROR(VALUE($O110),0)&lt;Parametri!$B$2,"Sotto soglia","")))</f>
        <v/>
      </c>
      <c r="L110" s="57">
        <f>IF($A110="","",$A110&amp;"|"&amp;$C110)</f>
        <v/>
      </c>
      <c r="M110" s="57">
        <f>IF($A110="","",$C110&amp;"|"&amp;TEXT($J110,"0.0000"))</f>
        <v/>
      </c>
      <c r="N110" s="57" t="n"/>
      <c r="O110" s="57">
        <f>IF($A110="",0,IFERROR(IF(SUMIFS(CriteriTecnici!$O:$O,CriteriTecnici!$Q:$Q,$A110&amp;"|"&amp;$C110)&gt;0,SUMIFS(CriteriTecnici!$O:$O,CriteriTecnici!$Q:$Q,$A110&amp;"|"&amp;$C110,CriteriTecnici!$F:$F,"Q")+SUMIFS(CriteriTecnici!$O:$O,CriteriTecnici!$Q:$Q,$A110&amp;"|"&amp;$C110,CriteriTecnici!$F:$F,"T"),IFERROR($N110*1,0)),0))</f>
        <v/>
      </c>
      <c r="P110" s="57">
        <f>IF($A110="","",IF(SUMIFS(CriteriTecnici!$O:$O,CriteriTecnici!$Q:$Q,$A110&amp;"|"&amp;$C110)&gt;0,"Criteri A-G","Aggregato"))</f>
        <v/>
      </c>
    </row>
    <row r="111">
      <c r="A111" s="56">
        <f>IF(Compila!$A121="","",Compila!$A121)</f>
        <v/>
      </c>
      <c r="B111" s="56">
        <f>IF(Compila!$A121="","",Compila!$B121)</f>
        <v/>
      </c>
      <c r="C111" s="56">
        <f>IF(Compila!$A121="","",Compila!$C121)</f>
        <v/>
      </c>
      <c r="D111" s="56">
        <f>IF(Compila!$A121="","",Compila!$D121)</f>
        <v/>
      </c>
      <c r="E111" s="57">
        <f>IF($A111="",0,IFERROR(IF(SUMIFS(CriteriTecnici!$O:$O,CriteriTecnici!$Q:$Q,$A111&amp;"|"&amp;$C111)&gt;0,IF($G111="SI",ROUND(IF(SUMPRODUCT(MAX((CriteriTecnici!$C$5:$C$6173=$C111)*(CriteriTecnici!$E$5:$E$6173="A")*(CriteriTecnici!$T$5:$T$6173="SI")*IFERROR(CriteriTecnici!$O$5:$O$6173*1,0)))&gt;0,MIN(7,SUMIFS(CriteriTecnici!$O:$O,CriteriTecnici!$Q:$Q,$A111&amp;"|"&amp;$C111,CriteriTecnici!$E:$E,"A")*(7/SUMPRODUCT(MAX((CriteriTecnici!$C$5:$C$6173=$C111)*(CriteriTecnici!$E$5:$E$6173="A")*(CriteriTecnici!$T$5:$T$6173="SI")*IFERROR(CriteriTecnici!$O$5:$O$6173*1,0))))),0)+IF(SUMPRODUCT(MAX((CriteriTecnici!$C$5:$C$6173=$C111)*(CriteriTecnici!$E$5:$E$6173="B")*(CriteriTecnici!$T$5:$T$6173="SI")*IFERROR(CriteriTecnici!$O$5:$O$6173*1,0)))&gt;0,MIN(14,SUMIFS(CriteriTecnici!$O:$O,CriteriTecnici!$Q:$Q,$A111&amp;"|"&amp;$C111,CriteriTecnici!$E:$E,"B")*(14/SUMPRODUCT(MAX((CriteriTecnici!$C$5:$C$6173=$C111)*(CriteriTecnici!$E$5:$E$6173="B")*(CriteriTecnici!$T$5:$T$6173="SI")*IFERROR(CriteriTecnici!$O$5:$O$6173*1,0))))),0)+IF(SUMPRODUCT(MAX((CriteriTecnici!$C$5:$C$6173=$C111)*(CriteriTecnici!$E$5:$E$6173="C")*(CriteriTecnici!$T$5:$T$6173="SI")*IFERROR(CriteriTecnici!$O$5:$O$6173*1,0)))&gt;0,MIN(14,SUMIFS(CriteriTecnici!$O:$O,CriteriTecnici!$Q:$Q,$A111&amp;"|"&amp;$C111,CriteriTecnici!$E:$E,"C")*(14/SUMPRODUCT(MAX((CriteriTecnici!$C$5:$C$6173=$C111)*(CriteriTecnici!$E$5:$E$6173="C")*(CriteriTecnici!$T$5:$T$6173="SI")*IFERROR(CriteriTecnici!$O$5:$O$6173*1,0))))),0)+IF(SUMPRODUCT(MAX((CriteriTecnici!$C$5:$C$6173=$C111)*(CriteriTecnici!$E$5:$E$6173="D")*(CriteriTecnici!$T$5:$T$6173="SI")*IFERROR(CriteriTecnici!$O$5:$O$6173*1,0)))&gt;0,MIN(10,SUMIFS(CriteriTecnici!$O:$O,CriteriTecnici!$Q:$Q,$A111&amp;"|"&amp;$C111,CriteriTecnici!$E:$E,"D")*(10/SUMPRODUCT(MAX((CriteriTecnici!$C$5:$C$6173=$C111)*(CriteriTecnici!$E$5:$E$6173="D")*(CriteriTecnici!$T$5:$T$6173="SI")*IFERROR(CriteriTecnici!$O$5:$O$6173*1,0))))),0)+IF(SUMPRODUCT(MAX((CriteriTecnici!$C$5:$C$6173=$C111)*(CriteriTecnici!$E$5:$E$6173="E")*(CriteriTecnici!$T$5:$T$6173="SI")*IFERROR(CriteriTecnici!$O$5:$O$6173*1,0)))&gt;0,MIN(4,SUMIFS(CriteriTecnici!$O:$O,CriteriTecnici!$Q:$Q,$A111&amp;"|"&amp;$C111,CriteriTecnici!$E:$E,"E")*(4/SUMPRODUCT(MAX((CriteriTecnici!$C$5:$C$6173=$C111)*(CriteriTecnici!$E$5:$E$6173="E")*(CriteriTecnici!$T$5:$T$6173="SI")*IFERROR(CriteriTecnici!$O$5:$O$6173*1,0))))),0)+IF(SUMPRODUCT(MAX((CriteriTecnici!$C$5:$C$6173=$C111)*(CriteriTecnici!$E$5:$E$6173="F")*(CriteriTecnici!$T$5:$T$6173="SI")*IFERROR(CriteriTecnici!$O$5:$O$6173*1,0)))&gt;0,MIN(14,SUMIFS(CriteriTecnici!$O:$O,CriteriTecnici!$Q:$Q,$A111&amp;"|"&amp;$C111,CriteriTecnici!$E:$E,"F")*(14/SUMPRODUCT(MAX((CriteriTecnici!$C$5:$C$6173=$C111)*(CriteriTecnici!$E$5:$E$6173="F")*(CriteriTecnici!$T$5:$T$6173="SI")*IFERROR(CriteriTecnici!$O$5:$O$6173*1,0))))),0)+IF(SUMPRODUCT(MAX((CriteriTecnici!$C$5:$C$6173=$C111)*(CriteriTecnici!$E$5:$E$6173="G")*(CriteriTecnici!$T$5:$T$6173="SI")*IFERROR(CriteriTecnici!$O$5:$O$6173*1,0)))&gt;0,MIN(7,SUMIFS(CriteriTecnici!$O:$O,CriteriTecnici!$Q:$Q,$A111&amp;"|"&amp;$C111,CriteriTecnici!$E:$E,"G")*(7/SUMPRODUCT(MAX((CriteriTecnici!$C$5:$C$6173=$C111)*(CriteriTecnici!$E$5:$E$6173="G")*(CriteriTecnici!$T$5:$T$6173="SI")*IFERROR(CriteriTecnici!$O$5:$O$6173*1,0))))),0),4),0),IFERROR($N111*1,0)),0))</f>
        <v/>
      </c>
      <c r="F111" s="56">
        <f>IF(Compila!$A121="","",Compila!$E121)</f>
        <v/>
      </c>
      <c r="G111" s="57">
        <f>IF($A111="","",IF(IFERROR(VALUE($D111),0)&lt;&gt;1,"NO",IF(IFERROR(VALUE($O111),0)&gt;=Parametri!$B$2,"SI","NO")))</f>
        <v/>
      </c>
      <c r="H111" s="57">
        <f>IF($G111="SI",SUMPRODUCT(MAX(($C$2:$C$200=$C111)*(IFERROR($D$2:$D$200*1,0)=1)*(IFERROR($O$2:$O$200*1,0)&gt;=Parametri!$B$2)*IFERROR($F$2:$F$200*1,0))),0)</f>
        <v/>
      </c>
      <c r="I111" s="57">
        <f>IF($G111="SI",IF($H111&gt;0,30*(IFERROR($F111*1,0)/$H111),0),0)</f>
        <v/>
      </c>
      <c r="J111" s="57">
        <f>IF($A111="",0,IF($G111="SI",ROUND(IFERROR($E111*1,0)+$I111,4),ROUND(IFERROR($E111*1,0),4)))</f>
        <v/>
      </c>
      <c r="K111" s="57">
        <f>IF($A111="","",IF(IFERROR(VALUE($D111),0)&lt;&gt;1,"Non attiva",IF(IFERROR(VALUE($O111),0)&lt;Parametri!$B$2,"Sotto soglia","")))</f>
        <v/>
      </c>
      <c r="L111" s="57">
        <f>IF($A111="","",$A111&amp;"|"&amp;$C111)</f>
        <v/>
      </c>
      <c r="M111" s="57">
        <f>IF($A111="","",$C111&amp;"|"&amp;TEXT($J111,"0.0000"))</f>
        <v/>
      </c>
      <c r="N111" s="57" t="n"/>
      <c r="O111" s="57">
        <f>IF($A111="",0,IFERROR(IF(SUMIFS(CriteriTecnici!$O:$O,CriteriTecnici!$Q:$Q,$A111&amp;"|"&amp;$C111)&gt;0,SUMIFS(CriteriTecnici!$O:$O,CriteriTecnici!$Q:$Q,$A111&amp;"|"&amp;$C111,CriteriTecnici!$F:$F,"Q")+SUMIFS(CriteriTecnici!$O:$O,CriteriTecnici!$Q:$Q,$A111&amp;"|"&amp;$C111,CriteriTecnici!$F:$F,"T"),IFERROR($N111*1,0)),0))</f>
        <v/>
      </c>
      <c r="P111" s="57">
        <f>IF($A111="","",IF(SUMIFS(CriteriTecnici!$O:$O,CriteriTecnici!$Q:$Q,$A111&amp;"|"&amp;$C111)&gt;0,"Criteri A-G","Aggregato"))</f>
        <v/>
      </c>
    </row>
    <row r="112">
      <c r="A112" s="56">
        <f>IF(Compila!$A122="","",Compila!$A122)</f>
        <v/>
      </c>
      <c r="B112" s="56">
        <f>IF(Compila!$A122="","",Compila!$B122)</f>
        <v/>
      </c>
      <c r="C112" s="56">
        <f>IF(Compila!$A122="","",Compila!$C122)</f>
        <v/>
      </c>
      <c r="D112" s="56">
        <f>IF(Compila!$A122="","",Compila!$D122)</f>
        <v/>
      </c>
      <c r="E112" s="57">
        <f>IF($A112="",0,IFERROR(IF(SUMIFS(CriteriTecnici!$O:$O,CriteriTecnici!$Q:$Q,$A112&amp;"|"&amp;$C112)&gt;0,IF($G112="SI",ROUND(IF(SUMPRODUCT(MAX((CriteriTecnici!$C$5:$C$6173=$C112)*(CriteriTecnici!$E$5:$E$6173="A")*(CriteriTecnici!$T$5:$T$6173="SI")*IFERROR(CriteriTecnici!$O$5:$O$6173*1,0)))&gt;0,MIN(7,SUMIFS(CriteriTecnici!$O:$O,CriteriTecnici!$Q:$Q,$A112&amp;"|"&amp;$C112,CriteriTecnici!$E:$E,"A")*(7/SUMPRODUCT(MAX((CriteriTecnici!$C$5:$C$6173=$C112)*(CriteriTecnici!$E$5:$E$6173="A")*(CriteriTecnici!$T$5:$T$6173="SI")*IFERROR(CriteriTecnici!$O$5:$O$6173*1,0))))),0)+IF(SUMPRODUCT(MAX((CriteriTecnici!$C$5:$C$6173=$C112)*(CriteriTecnici!$E$5:$E$6173="B")*(CriteriTecnici!$T$5:$T$6173="SI")*IFERROR(CriteriTecnici!$O$5:$O$6173*1,0)))&gt;0,MIN(14,SUMIFS(CriteriTecnici!$O:$O,CriteriTecnici!$Q:$Q,$A112&amp;"|"&amp;$C112,CriteriTecnici!$E:$E,"B")*(14/SUMPRODUCT(MAX((CriteriTecnici!$C$5:$C$6173=$C112)*(CriteriTecnici!$E$5:$E$6173="B")*(CriteriTecnici!$T$5:$T$6173="SI")*IFERROR(CriteriTecnici!$O$5:$O$6173*1,0))))),0)+IF(SUMPRODUCT(MAX((CriteriTecnici!$C$5:$C$6173=$C112)*(CriteriTecnici!$E$5:$E$6173="C")*(CriteriTecnici!$T$5:$T$6173="SI")*IFERROR(CriteriTecnici!$O$5:$O$6173*1,0)))&gt;0,MIN(14,SUMIFS(CriteriTecnici!$O:$O,CriteriTecnici!$Q:$Q,$A112&amp;"|"&amp;$C112,CriteriTecnici!$E:$E,"C")*(14/SUMPRODUCT(MAX((CriteriTecnici!$C$5:$C$6173=$C112)*(CriteriTecnici!$E$5:$E$6173="C")*(CriteriTecnici!$T$5:$T$6173="SI")*IFERROR(CriteriTecnici!$O$5:$O$6173*1,0))))),0)+IF(SUMPRODUCT(MAX((CriteriTecnici!$C$5:$C$6173=$C112)*(CriteriTecnici!$E$5:$E$6173="D")*(CriteriTecnici!$T$5:$T$6173="SI")*IFERROR(CriteriTecnici!$O$5:$O$6173*1,0)))&gt;0,MIN(10,SUMIFS(CriteriTecnici!$O:$O,CriteriTecnici!$Q:$Q,$A112&amp;"|"&amp;$C112,CriteriTecnici!$E:$E,"D")*(10/SUMPRODUCT(MAX((CriteriTecnici!$C$5:$C$6173=$C112)*(CriteriTecnici!$E$5:$E$6173="D")*(CriteriTecnici!$T$5:$T$6173="SI")*IFERROR(CriteriTecnici!$O$5:$O$6173*1,0))))),0)+IF(SUMPRODUCT(MAX((CriteriTecnici!$C$5:$C$6173=$C112)*(CriteriTecnici!$E$5:$E$6173="E")*(CriteriTecnici!$T$5:$T$6173="SI")*IFERROR(CriteriTecnici!$O$5:$O$6173*1,0)))&gt;0,MIN(4,SUMIFS(CriteriTecnici!$O:$O,CriteriTecnici!$Q:$Q,$A112&amp;"|"&amp;$C112,CriteriTecnici!$E:$E,"E")*(4/SUMPRODUCT(MAX((CriteriTecnici!$C$5:$C$6173=$C112)*(CriteriTecnici!$E$5:$E$6173="E")*(CriteriTecnici!$T$5:$T$6173="SI")*IFERROR(CriteriTecnici!$O$5:$O$6173*1,0))))),0)+IF(SUMPRODUCT(MAX((CriteriTecnici!$C$5:$C$6173=$C112)*(CriteriTecnici!$E$5:$E$6173="F")*(CriteriTecnici!$T$5:$T$6173="SI")*IFERROR(CriteriTecnici!$O$5:$O$6173*1,0)))&gt;0,MIN(14,SUMIFS(CriteriTecnici!$O:$O,CriteriTecnici!$Q:$Q,$A112&amp;"|"&amp;$C112,CriteriTecnici!$E:$E,"F")*(14/SUMPRODUCT(MAX((CriteriTecnici!$C$5:$C$6173=$C112)*(CriteriTecnici!$E$5:$E$6173="F")*(CriteriTecnici!$T$5:$T$6173="SI")*IFERROR(CriteriTecnici!$O$5:$O$6173*1,0))))),0)+IF(SUMPRODUCT(MAX((CriteriTecnici!$C$5:$C$6173=$C112)*(CriteriTecnici!$E$5:$E$6173="G")*(CriteriTecnici!$T$5:$T$6173="SI")*IFERROR(CriteriTecnici!$O$5:$O$6173*1,0)))&gt;0,MIN(7,SUMIFS(CriteriTecnici!$O:$O,CriteriTecnici!$Q:$Q,$A112&amp;"|"&amp;$C112,CriteriTecnici!$E:$E,"G")*(7/SUMPRODUCT(MAX((CriteriTecnici!$C$5:$C$6173=$C112)*(CriteriTecnici!$E$5:$E$6173="G")*(CriteriTecnici!$T$5:$T$6173="SI")*IFERROR(CriteriTecnici!$O$5:$O$6173*1,0))))),0),4),0),IFERROR($N112*1,0)),0))</f>
        <v/>
      </c>
      <c r="F112" s="56">
        <f>IF(Compila!$A122="","",Compila!$E122)</f>
        <v/>
      </c>
      <c r="G112" s="57">
        <f>IF($A112="","",IF(IFERROR(VALUE($D112),0)&lt;&gt;1,"NO",IF(IFERROR(VALUE($O112),0)&gt;=Parametri!$B$2,"SI","NO")))</f>
        <v/>
      </c>
      <c r="H112" s="57">
        <f>IF($G112="SI",SUMPRODUCT(MAX(($C$2:$C$200=$C112)*(IFERROR($D$2:$D$200*1,0)=1)*(IFERROR($O$2:$O$200*1,0)&gt;=Parametri!$B$2)*IFERROR($F$2:$F$200*1,0))),0)</f>
        <v/>
      </c>
      <c r="I112" s="57">
        <f>IF($G112="SI",IF($H112&gt;0,30*(IFERROR($F112*1,0)/$H112),0),0)</f>
        <v/>
      </c>
      <c r="J112" s="57">
        <f>IF($A112="",0,IF($G112="SI",ROUND(IFERROR($E112*1,0)+$I112,4),ROUND(IFERROR($E112*1,0),4)))</f>
        <v/>
      </c>
      <c r="K112" s="57">
        <f>IF($A112="","",IF(IFERROR(VALUE($D112),0)&lt;&gt;1,"Non attiva",IF(IFERROR(VALUE($O112),0)&lt;Parametri!$B$2,"Sotto soglia","")))</f>
        <v/>
      </c>
      <c r="L112" s="57">
        <f>IF($A112="","",$A112&amp;"|"&amp;$C112)</f>
        <v/>
      </c>
      <c r="M112" s="57">
        <f>IF($A112="","",$C112&amp;"|"&amp;TEXT($J112,"0.0000"))</f>
        <v/>
      </c>
      <c r="N112" s="57" t="n"/>
      <c r="O112" s="57">
        <f>IF($A112="",0,IFERROR(IF(SUMIFS(CriteriTecnici!$O:$O,CriteriTecnici!$Q:$Q,$A112&amp;"|"&amp;$C112)&gt;0,SUMIFS(CriteriTecnici!$O:$O,CriteriTecnici!$Q:$Q,$A112&amp;"|"&amp;$C112,CriteriTecnici!$F:$F,"Q")+SUMIFS(CriteriTecnici!$O:$O,CriteriTecnici!$Q:$Q,$A112&amp;"|"&amp;$C112,CriteriTecnici!$F:$F,"T"),IFERROR($N112*1,0)),0))</f>
        <v/>
      </c>
      <c r="P112" s="57">
        <f>IF($A112="","",IF(SUMIFS(CriteriTecnici!$O:$O,CriteriTecnici!$Q:$Q,$A112&amp;"|"&amp;$C112)&gt;0,"Criteri A-G","Aggregato"))</f>
        <v/>
      </c>
    </row>
    <row r="113">
      <c r="A113" s="56">
        <f>IF(Compila!$A123="","",Compila!$A123)</f>
        <v/>
      </c>
      <c r="B113" s="56">
        <f>IF(Compila!$A123="","",Compila!$B123)</f>
        <v/>
      </c>
      <c r="C113" s="56">
        <f>IF(Compila!$A123="","",Compila!$C123)</f>
        <v/>
      </c>
      <c r="D113" s="56">
        <f>IF(Compila!$A123="","",Compila!$D123)</f>
        <v/>
      </c>
      <c r="E113" s="57">
        <f>IF($A113="",0,IFERROR(IF(SUMIFS(CriteriTecnici!$O:$O,CriteriTecnici!$Q:$Q,$A113&amp;"|"&amp;$C113)&gt;0,IF($G113="SI",ROUND(IF(SUMPRODUCT(MAX((CriteriTecnici!$C$5:$C$6173=$C113)*(CriteriTecnici!$E$5:$E$6173="A")*(CriteriTecnici!$T$5:$T$6173="SI")*IFERROR(CriteriTecnici!$O$5:$O$6173*1,0)))&gt;0,MIN(7,SUMIFS(CriteriTecnici!$O:$O,CriteriTecnici!$Q:$Q,$A113&amp;"|"&amp;$C113,CriteriTecnici!$E:$E,"A")*(7/SUMPRODUCT(MAX((CriteriTecnici!$C$5:$C$6173=$C113)*(CriteriTecnici!$E$5:$E$6173="A")*(CriteriTecnici!$T$5:$T$6173="SI")*IFERROR(CriteriTecnici!$O$5:$O$6173*1,0))))),0)+IF(SUMPRODUCT(MAX((CriteriTecnici!$C$5:$C$6173=$C113)*(CriteriTecnici!$E$5:$E$6173="B")*(CriteriTecnici!$T$5:$T$6173="SI")*IFERROR(CriteriTecnici!$O$5:$O$6173*1,0)))&gt;0,MIN(14,SUMIFS(CriteriTecnici!$O:$O,CriteriTecnici!$Q:$Q,$A113&amp;"|"&amp;$C113,CriteriTecnici!$E:$E,"B")*(14/SUMPRODUCT(MAX((CriteriTecnici!$C$5:$C$6173=$C113)*(CriteriTecnici!$E$5:$E$6173="B")*(CriteriTecnici!$T$5:$T$6173="SI")*IFERROR(CriteriTecnici!$O$5:$O$6173*1,0))))),0)+IF(SUMPRODUCT(MAX((CriteriTecnici!$C$5:$C$6173=$C113)*(CriteriTecnici!$E$5:$E$6173="C")*(CriteriTecnici!$T$5:$T$6173="SI")*IFERROR(CriteriTecnici!$O$5:$O$6173*1,0)))&gt;0,MIN(14,SUMIFS(CriteriTecnici!$O:$O,CriteriTecnici!$Q:$Q,$A113&amp;"|"&amp;$C113,CriteriTecnici!$E:$E,"C")*(14/SUMPRODUCT(MAX((CriteriTecnici!$C$5:$C$6173=$C113)*(CriteriTecnici!$E$5:$E$6173="C")*(CriteriTecnici!$T$5:$T$6173="SI")*IFERROR(CriteriTecnici!$O$5:$O$6173*1,0))))),0)+IF(SUMPRODUCT(MAX((CriteriTecnici!$C$5:$C$6173=$C113)*(CriteriTecnici!$E$5:$E$6173="D")*(CriteriTecnici!$T$5:$T$6173="SI")*IFERROR(CriteriTecnici!$O$5:$O$6173*1,0)))&gt;0,MIN(10,SUMIFS(CriteriTecnici!$O:$O,CriteriTecnici!$Q:$Q,$A113&amp;"|"&amp;$C113,CriteriTecnici!$E:$E,"D")*(10/SUMPRODUCT(MAX((CriteriTecnici!$C$5:$C$6173=$C113)*(CriteriTecnici!$E$5:$E$6173="D")*(CriteriTecnici!$T$5:$T$6173="SI")*IFERROR(CriteriTecnici!$O$5:$O$6173*1,0))))),0)+IF(SUMPRODUCT(MAX((CriteriTecnici!$C$5:$C$6173=$C113)*(CriteriTecnici!$E$5:$E$6173="E")*(CriteriTecnici!$T$5:$T$6173="SI")*IFERROR(CriteriTecnici!$O$5:$O$6173*1,0)))&gt;0,MIN(4,SUMIFS(CriteriTecnici!$O:$O,CriteriTecnici!$Q:$Q,$A113&amp;"|"&amp;$C113,CriteriTecnici!$E:$E,"E")*(4/SUMPRODUCT(MAX((CriteriTecnici!$C$5:$C$6173=$C113)*(CriteriTecnici!$E$5:$E$6173="E")*(CriteriTecnici!$T$5:$T$6173="SI")*IFERROR(CriteriTecnici!$O$5:$O$6173*1,0))))),0)+IF(SUMPRODUCT(MAX((CriteriTecnici!$C$5:$C$6173=$C113)*(CriteriTecnici!$E$5:$E$6173="F")*(CriteriTecnici!$T$5:$T$6173="SI")*IFERROR(CriteriTecnici!$O$5:$O$6173*1,0)))&gt;0,MIN(14,SUMIFS(CriteriTecnici!$O:$O,CriteriTecnici!$Q:$Q,$A113&amp;"|"&amp;$C113,CriteriTecnici!$E:$E,"F")*(14/SUMPRODUCT(MAX((CriteriTecnici!$C$5:$C$6173=$C113)*(CriteriTecnici!$E$5:$E$6173="F")*(CriteriTecnici!$T$5:$T$6173="SI")*IFERROR(CriteriTecnici!$O$5:$O$6173*1,0))))),0)+IF(SUMPRODUCT(MAX((CriteriTecnici!$C$5:$C$6173=$C113)*(CriteriTecnici!$E$5:$E$6173="G")*(CriteriTecnici!$T$5:$T$6173="SI")*IFERROR(CriteriTecnici!$O$5:$O$6173*1,0)))&gt;0,MIN(7,SUMIFS(CriteriTecnici!$O:$O,CriteriTecnici!$Q:$Q,$A113&amp;"|"&amp;$C113,CriteriTecnici!$E:$E,"G")*(7/SUMPRODUCT(MAX((CriteriTecnici!$C$5:$C$6173=$C113)*(CriteriTecnici!$E$5:$E$6173="G")*(CriteriTecnici!$T$5:$T$6173="SI")*IFERROR(CriteriTecnici!$O$5:$O$6173*1,0))))),0),4),0),IFERROR($N113*1,0)),0))</f>
        <v/>
      </c>
      <c r="F113" s="56">
        <f>IF(Compila!$A123="","",Compila!$E123)</f>
        <v/>
      </c>
      <c r="G113" s="57">
        <f>IF($A113="","",IF(IFERROR(VALUE($D113),0)&lt;&gt;1,"NO",IF(IFERROR(VALUE($O113),0)&gt;=Parametri!$B$2,"SI","NO")))</f>
        <v/>
      </c>
      <c r="H113" s="57">
        <f>IF($G113="SI",SUMPRODUCT(MAX(($C$2:$C$200=$C113)*(IFERROR($D$2:$D$200*1,0)=1)*(IFERROR($O$2:$O$200*1,0)&gt;=Parametri!$B$2)*IFERROR($F$2:$F$200*1,0))),0)</f>
        <v/>
      </c>
      <c r="I113" s="57">
        <f>IF($G113="SI",IF($H113&gt;0,30*(IFERROR($F113*1,0)/$H113),0),0)</f>
        <v/>
      </c>
      <c r="J113" s="57">
        <f>IF($A113="",0,IF($G113="SI",ROUND(IFERROR($E113*1,0)+$I113,4),ROUND(IFERROR($E113*1,0),4)))</f>
        <v/>
      </c>
      <c r="K113" s="57">
        <f>IF($A113="","",IF(IFERROR(VALUE($D113),0)&lt;&gt;1,"Non attiva",IF(IFERROR(VALUE($O113),0)&lt;Parametri!$B$2,"Sotto soglia","")))</f>
        <v/>
      </c>
      <c r="L113" s="57">
        <f>IF($A113="","",$A113&amp;"|"&amp;$C113)</f>
        <v/>
      </c>
      <c r="M113" s="57">
        <f>IF($A113="","",$C113&amp;"|"&amp;TEXT($J113,"0.0000"))</f>
        <v/>
      </c>
      <c r="N113" s="57" t="n"/>
      <c r="O113" s="57">
        <f>IF($A113="",0,IFERROR(IF(SUMIFS(CriteriTecnici!$O:$O,CriteriTecnici!$Q:$Q,$A113&amp;"|"&amp;$C113)&gt;0,SUMIFS(CriteriTecnici!$O:$O,CriteriTecnici!$Q:$Q,$A113&amp;"|"&amp;$C113,CriteriTecnici!$F:$F,"Q")+SUMIFS(CriteriTecnici!$O:$O,CriteriTecnici!$Q:$Q,$A113&amp;"|"&amp;$C113,CriteriTecnici!$F:$F,"T"),IFERROR($N113*1,0)),0))</f>
        <v/>
      </c>
      <c r="P113" s="57">
        <f>IF($A113="","",IF(SUMIFS(CriteriTecnici!$O:$O,CriteriTecnici!$Q:$Q,$A113&amp;"|"&amp;$C113)&gt;0,"Criteri A-G","Aggregato"))</f>
        <v/>
      </c>
    </row>
    <row r="114">
      <c r="A114" s="56">
        <f>IF(Compila!$A124="","",Compila!$A124)</f>
        <v/>
      </c>
      <c r="B114" s="56">
        <f>IF(Compila!$A124="","",Compila!$B124)</f>
        <v/>
      </c>
      <c r="C114" s="56">
        <f>IF(Compila!$A124="","",Compila!$C124)</f>
        <v/>
      </c>
      <c r="D114" s="56">
        <f>IF(Compila!$A124="","",Compila!$D124)</f>
        <v/>
      </c>
      <c r="E114" s="57">
        <f>IF($A114="",0,IFERROR(IF(SUMIFS(CriteriTecnici!$O:$O,CriteriTecnici!$Q:$Q,$A114&amp;"|"&amp;$C114)&gt;0,IF($G114="SI",ROUND(IF(SUMPRODUCT(MAX((CriteriTecnici!$C$5:$C$6173=$C114)*(CriteriTecnici!$E$5:$E$6173="A")*(CriteriTecnici!$T$5:$T$6173="SI")*IFERROR(CriteriTecnici!$O$5:$O$6173*1,0)))&gt;0,MIN(7,SUMIFS(CriteriTecnici!$O:$O,CriteriTecnici!$Q:$Q,$A114&amp;"|"&amp;$C114,CriteriTecnici!$E:$E,"A")*(7/SUMPRODUCT(MAX((CriteriTecnici!$C$5:$C$6173=$C114)*(CriteriTecnici!$E$5:$E$6173="A")*(CriteriTecnici!$T$5:$T$6173="SI")*IFERROR(CriteriTecnici!$O$5:$O$6173*1,0))))),0)+IF(SUMPRODUCT(MAX((CriteriTecnici!$C$5:$C$6173=$C114)*(CriteriTecnici!$E$5:$E$6173="B")*(CriteriTecnici!$T$5:$T$6173="SI")*IFERROR(CriteriTecnici!$O$5:$O$6173*1,0)))&gt;0,MIN(14,SUMIFS(CriteriTecnici!$O:$O,CriteriTecnici!$Q:$Q,$A114&amp;"|"&amp;$C114,CriteriTecnici!$E:$E,"B")*(14/SUMPRODUCT(MAX((CriteriTecnici!$C$5:$C$6173=$C114)*(CriteriTecnici!$E$5:$E$6173="B")*(CriteriTecnici!$T$5:$T$6173="SI")*IFERROR(CriteriTecnici!$O$5:$O$6173*1,0))))),0)+IF(SUMPRODUCT(MAX((CriteriTecnici!$C$5:$C$6173=$C114)*(CriteriTecnici!$E$5:$E$6173="C")*(CriteriTecnici!$T$5:$T$6173="SI")*IFERROR(CriteriTecnici!$O$5:$O$6173*1,0)))&gt;0,MIN(14,SUMIFS(CriteriTecnici!$O:$O,CriteriTecnici!$Q:$Q,$A114&amp;"|"&amp;$C114,CriteriTecnici!$E:$E,"C")*(14/SUMPRODUCT(MAX((CriteriTecnici!$C$5:$C$6173=$C114)*(CriteriTecnici!$E$5:$E$6173="C")*(CriteriTecnici!$T$5:$T$6173="SI")*IFERROR(CriteriTecnici!$O$5:$O$6173*1,0))))),0)+IF(SUMPRODUCT(MAX((CriteriTecnici!$C$5:$C$6173=$C114)*(CriteriTecnici!$E$5:$E$6173="D")*(CriteriTecnici!$T$5:$T$6173="SI")*IFERROR(CriteriTecnici!$O$5:$O$6173*1,0)))&gt;0,MIN(10,SUMIFS(CriteriTecnici!$O:$O,CriteriTecnici!$Q:$Q,$A114&amp;"|"&amp;$C114,CriteriTecnici!$E:$E,"D")*(10/SUMPRODUCT(MAX((CriteriTecnici!$C$5:$C$6173=$C114)*(CriteriTecnici!$E$5:$E$6173="D")*(CriteriTecnici!$T$5:$T$6173="SI")*IFERROR(CriteriTecnici!$O$5:$O$6173*1,0))))),0)+IF(SUMPRODUCT(MAX((CriteriTecnici!$C$5:$C$6173=$C114)*(CriteriTecnici!$E$5:$E$6173="E")*(CriteriTecnici!$T$5:$T$6173="SI")*IFERROR(CriteriTecnici!$O$5:$O$6173*1,0)))&gt;0,MIN(4,SUMIFS(CriteriTecnici!$O:$O,CriteriTecnici!$Q:$Q,$A114&amp;"|"&amp;$C114,CriteriTecnici!$E:$E,"E")*(4/SUMPRODUCT(MAX((CriteriTecnici!$C$5:$C$6173=$C114)*(CriteriTecnici!$E$5:$E$6173="E")*(CriteriTecnici!$T$5:$T$6173="SI")*IFERROR(CriteriTecnici!$O$5:$O$6173*1,0))))),0)+IF(SUMPRODUCT(MAX((CriteriTecnici!$C$5:$C$6173=$C114)*(CriteriTecnici!$E$5:$E$6173="F")*(CriteriTecnici!$T$5:$T$6173="SI")*IFERROR(CriteriTecnici!$O$5:$O$6173*1,0)))&gt;0,MIN(14,SUMIFS(CriteriTecnici!$O:$O,CriteriTecnici!$Q:$Q,$A114&amp;"|"&amp;$C114,CriteriTecnici!$E:$E,"F")*(14/SUMPRODUCT(MAX((CriteriTecnici!$C$5:$C$6173=$C114)*(CriteriTecnici!$E$5:$E$6173="F")*(CriteriTecnici!$T$5:$T$6173="SI")*IFERROR(CriteriTecnici!$O$5:$O$6173*1,0))))),0)+IF(SUMPRODUCT(MAX((CriteriTecnici!$C$5:$C$6173=$C114)*(CriteriTecnici!$E$5:$E$6173="G")*(CriteriTecnici!$T$5:$T$6173="SI")*IFERROR(CriteriTecnici!$O$5:$O$6173*1,0)))&gt;0,MIN(7,SUMIFS(CriteriTecnici!$O:$O,CriteriTecnici!$Q:$Q,$A114&amp;"|"&amp;$C114,CriteriTecnici!$E:$E,"G")*(7/SUMPRODUCT(MAX((CriteriTecnici!$C$5:$C$6173=$C114)*(CriteriTecnici!$E$5:$E$6173="G")*(CriteriTecnici!$T$5:$T$6173="SI")*IFERROR(CriteriTecnici!$O$5:$O$6173*1,0))))),0),4),0),IFERROR($N114*1,0)),0))</f>
        <v/>
      </c>
      <c r="F114" s="56">
        <f>IF(Compila!$A124="","",Compila!$E124)</f>
        <v/>
      </c>
      <c r="G114" s="57">
        <f>IF($A114="","",IF(IFERROR(VALUE($D114),0)&lt;&gt;1,"NO",IF(IFERROR(VALUE($O114),0)&gt;=Parametri!$B$2,"SI","NO")))</f>
        <v/>
      </c>
      <c r="H114" s="57">
        <f>IF($G114="SI",SUMPRODUCT(MAX(($C$2:$C$200=$C114)*(IFERROR($D$2:$D$200*1,0)=1)*(IFERROR($O$2:$O$200*1,0)&gt;=Parametri!$B$2)*IFERROR($F$2:$F$200*1,0))),0)</f>
        <v/>
      </c>
      <c r="I114" s="57">
        <f>IF($G114="SI",IF($H114&gt;0,30*(IFERROR($F114*1,0)/$H114),0),0)</f>
        <v/>
      </c>
      <c r="J114" s="57">
        <f>IF($A114="",0,IF($G114="SI",ROUND(IFERROR($E114*1,0)+$I114,4),ROUND(IFERROR($E114*1,0),4)))</f>
        <v/>
      </c>
      <c r="K114" s="57">
        <f>IF($A114="","",IF(IFERROR(VALUE($D114),0)&lt;&gt;1,"Non attiva",IF(IFERROR(VALUE($O114),0)&lt;Parametri!$B$2,"Sotto soglia","")))</f>
        <v/>
      </c>
      <c r="L114" s="57">
        <f>IF($A114="","",$A114&amp;"|"&amp;$C114)</f>
        <v/>
      </c>
      <c r="M114" s="57">
        <f>IF($A114="","",$C114&amp;"|"&amp;TEXT($J114,"0.0000"))</f>
        <v/>
      </c>
      <c r="N114" s="57" t="n"/>
      <c r="O114" s="57">
        <f>IF($A114="",0,IFERROR(IF(SUMIFS(CriteriTecnici!$O:$O,CriteriTecnici!$Q:$Q,$A114&amp;"|"&amp;$C114)&gt;0,SUMIFS(CriteriTecnici!$O:$O,CriteriTecnici!$Q:$Q,$A114&amp;"|"&amp;$C114,CriteriTecnici!$F:$F,"Q")+SUMIFS(CriteriTecnici!$O:$O,CriteriTecnici!$Q:$Q,$A114&amp;"|"&amp;$C114,CriteriTecnici!$F:$F,"T"),IFERROR($N114*1,0)),0))</f>
        <v/>
      </c>
      <c r="P114" s="57">
        <f>IF($A114="","",IF(SUMIFS(CriteriTecnici!$O:$O,CriteriTecnici!$Q:$Q,$A114&amp;"|"&amp;$C114)&gt;0,"Criteri A-G","Aggregato"))</f>
        <v/>
      </c>
    </row>
    <row r="115">
      <c r="A115" s="56">
        <f>IF(Compila!$A125="","",Compila!$A125)</f>
        <v/>
      </c>
      <c r="B115" s="56">
        <f>IF(Compila!$A125="","",Compila!$B125)</f>
        <v/>
      </c>
      <c r="C115" s="56">
        <f>IF(Compila!$A125="","",Compila!$C125)</f>
        <v/>
      </c>
      <c r="D115" s="56">
        <f>IF(Compila!$A125="","",Compila!$D125)</f>
        <v/>
      </c>
      <c r="E115" s="57">
        <f>IF($A115="",0,IFERROR(IF(SUMIFS(CriteriTecnici!$O:$O,CriteriTecnici!$Q:$Q,$A115&amp;"|"&amp;$C115)&gt;0,IF($G115="SI",ROUND(IF(SUMPRODUCT(MAX((CriteriTecnici!$C$5:$C$6173=$C115)*(CriteriTecnici!$E$5:$E$6173="A")*(CriteriTecnici!$T$5:$T$6173="SI")*IFERROR(CriteriTecnici!$O$5:$O$6173*1,0)))&gt;0,MIN(7,SUMIFS(CriteriTecnici!$O:$O,CriteriTecnici!$Q:$Q,$A115&amp;"|"&amp;$C115,CriteriTecnici!$E:$E,"A")*(7/SUMPRODUCT(MAX((CriteriTecnici!$C$5:$C$6173=$C115)*(CriteriTecnici!$E$5:$E$6173="A")*(CriteriTecnici!$T$5:$T$6173="SI")*IFERROR(CriteriTecnici!$O$5:$O$6173*1,0))))),0)+IF(SUMPRODUCT(MAX((CriteriTecnici!$C$5:$C$6173=$C115)*(CriteriTecnici!$E$5:$E$6173="B")*(CriteriTecnici!$T$5:$T$6173="SI")*IFERROR(CriteriTecnici!$O$5:$O$6173*1,0)))&gt;0,MIN(14,SUMIFS(CriteriTecnici!$O:$O,CriteriTecnici!$Q:$Q,$A115&amp;"|"&amp;$C115,CriteriTecnici!$E:$E,"B")*(14/SUMPRODUCT(MAX((CriteriTecnici!$C$5:$C$6173=$C115)*(CriteriTecnici!$E$5:$E$6173="B")*(CriteriTecnici!$T$5:$T$6173="SI")*IFERROR(CriteriTecnici!$O$5:$O$6173*1,0))))),0)+IF(SUMPRODUCT(MAX((CriteriTecnici!$C$5:$C$6173=$C115)*(CriteriTecnici!$E$5:$E$6173="C")*(CriteriTecnici!$T$5:$T$6173="SI")*IFERROR(CriteriTecnici!$O$5:$O$6173*1,0)))&gt;0,MIN(14,SUMIFS(CriteriTecnici!$O:$O,CriteriTecnici!$Q:$Q,$A115&amp;"|"&amp;$C115,CriteriTecnici!$E:$E,"C")*(14/SUMPRODUCT(MAX((CriteriTecnici!$C$5:$C$6173=$C115)*(CriteriTecnici!$E$5:$E$6173="C")*(CriteriTecnici!$T$5:$T$6173="SI")*IFERROR(CriteriTecnici!$O$5:$O$6173*1,0))))),0)+IF(SUMPRODUCT(MAX((CriteriTecnici!$C$5:$C$6173=$C115)*(CriteriTecnici!$E$5:$E$6173="D")*(CriteriTecnici!$T$5:$T$6173="SI")*IFERROR(CriteriTecnici!$O$5:$O$6173*1,0)))&gt;0,MIN(10,SUMIFS(CriteriTecnici!$O:$O,CriteriTecnici!$Q:$Q,$A115&amp;"|"&amp;$C115,CriteriTecnici!$E:$E,"D")*(10/SUMPRODUCT(MAX((CriteriTecnici!$C$5:$C$6173=$C115)*(CriteriTecnici!$E$5:$E$6173="D")*(CriteriTecnici!$T$5:$T$6173="SI")*IFERROR(CriteriTecnici!$O$5:$O$6173*1,0))))),0)+IF(SUMPRODUCT(MAX((CriteriTecnici!$C$5:$C$6173=$C115)*(CriteriTecnici!$E$5:$E$6173="E")*(CriteriTecnici!$T$5:$T$6173="SI")*IFERROR(CriteriTecnici!$O$5:$O$6173*1,0)))&gt;0,MIN(4,SUMIFS(CriteriTecnici!$O:$O,CriteriTecnici!$Q:$Q,$A115&amp;"|"&amp;$C115,CriteriTecnici!$E:$E,"E")*(4/SUMPRODUCT(MAX((CriteriTecnici!$C$5:$C$6173=$C115)*(CriteriTecnici!$E$5:$E$6173="E")*(CriteriTecnici!$T$5:$T$6173="SI")*IFERROR(CriteriTecnici!$O$5:$O$6173*1,0))))),0)+IF(SUMPRODUCT(MAX((CriteriTecnici!$C$5:$C$6173=$C115)*(CriteriTecnici!$E$5:$E$6173="F")*(CriteriTecnici!$T$5:$T$6173="SI")*IFERROR(CriteriTecnici!$O$5:$O$6173*1,0)))&gt;0,MIN(14,SUMIFS(CriteriTecnici!$O:$O,CriteriTecnici!$Q:$Q,$A115&amp;"|"&amp;$C115,CriteriTecnici!$E:$E,"F")*(14/SUMPRODUCT(MAX((CriteriTecnici!$C$5:$C$6173=$C115)*(CriteriTecnici!$E$5:$E$6173="F")*(CriteriTecnici!$T$5:$T$6173="SI")*IFERROR(CriteriTecnici!$O$5:$O$6173*1,0))))),0)+IF(SUMPRODUCT(MAX((CriteriTecnici!$C$5:$C$6173=$C115)*(CriteriTecnici!$E$5:$E$6173="G")*(CriteriTecnici!$T$5:$T$6173="SI")*IFERROR(CriteriTecnici!$O$5:$O$6173*1,0)))&gt;0,MIN(7,SUMIFS(CriteriTecnici!$O:$O,CriteriTecnici!$Q:$Q,$A115&amp;"|"&amp;$C115,CriteriTecnici!$E:$E,"G")*(7/SUMPRODUCT(MAX((CriteriTecnici!$C$5:$C$6173=$C115)*(CriteriTecnici!$E$5:$E$6173="G")*(CriteriTecnici!$T$5:$T$6173="SI")*IFERROR(CriteriTecnici!$O$5:$O$6173*1,0))))),0),4),0),IFERROR($N115*1,0)),0))</f>
        <v/>
      </c>
      <c r="F115" s="56">
        <f>IF(Compila!$A125="","",Compila!$E125)</f>
        <v/>
      </c>
      <c r="G115" s="57">
        <f>IF($A115="","",IF(IFERROR(VALUE($D115),0)&lt;&gt;1,"NO",IF(IFERROR(VALUE($O115),0)&gt;=Parametri!$B$2,"SI","NO")))</f>
        <v/>
      </c>
      <c r="H115" s="57">
        <f>IF($G115="SI",SUMPRODUCT(MAX(($C$2:$C$200=$C115)*(IFERROR($D$2:$D$200*1,0)=1)*(IFERROR($O$2:$O$200*1,0)&gt;=Parametri!$B$2)*IFERROR($F$2:$F$200*1,0))),0)</f>
        <v/>
      </c>
      <c r="I115" s="57">
        <f>IF($G115="SI",IF($H115&gt;0,30*(IFERROR($F115*1,0)/$H115),0),0)</f>
        <v/>
      </c>
      <c r="J115" s="57">
        <f>IF($A115="",0,IF($G115="SI",ROUND(IFERROR($E115*1,0)+$I115,4),ROUND(IFERROR($E115*1,0),4)))</f>
        <v/>
      </c>
      <c r="K115" s="57">
        <f>IF($A115="","",IF(IFERROR(VALUE($D115),0)&lt;&gt;1,"Non attiva",IF(IFERROR(VALUE($O115),0)&lt;Parametri!$B$2,"Sotto soglia","")))</f>
        <v/>
      </c>
      <c r="L115" s="57">
        <f>IF($A115="","",$A115&amp;"|"&amp;$C115)</f>
        <v/>
      </c>
      <c r="M115" s="57">
        <f>IF($A115="","",$C115&amp;"|"&amp;TEXT($J115,"0.0000"))</f>
        <v/>
      </c>
      <c r="N115" s="57" t="n"/>
      <c r="O115" s="57">
        <f>IF($A115="",0,IFERROR(IF(SUMIFS(CriteriTecnici!$O:$O,CriteriTecnici!$Q:$Q,$A115&amp;"|"&amp;$C115)&gt;0,SUMIFS(CriteriTecnici!$O:$O,CriteriTecnici!$Q:$Q,$A115&amp;"|"&amp;$C115,CriteriTecnici!$F:$F,"Q")+SUMIFS(CriteriTecnici!$O:$O,CriteriTecnici!$Q:$Q,$A115&amp;"|"&amp;$C115,CriteriTecnici!$F:$F,"T"),IFERROR($N115*1,0)),0))</f>
        <v/>
      </c>
      <c r="P115" s="57">
        <f>IF($A115="","",IF(SUMIFS(CriteriTecnici!$O:$O,CriteriTecnici!$Q:$Q,$A115&amp;"|"&amp;$C115)&gt;0,"Criteri A-G","Aggregato"))</f>
        <v/>
      </c>
    </row>
    <row r="116">
      <c r="A116" s="56">
        <f>IF(Compila!$A126="","",Compila!$A126)</f>
        <v/>
      </c>
      <c r="B116" s="56">
        <f>IF(Compila!$A126="","",Compila!$B126)</f>
        <v/>
      </c>
      <c r="C116" s="56">
        <f>IF(Compila!$A126="","",Compila!$C126)</f>
        <v/>
      </c>
      <c r="D116" s="56">
        <f>IF(Compila!$A126="","",Compila!$D126)</f>
        <v/>
      </c>
      <c r="E116" s="57">
        <f>IF($A116="",0,IFERROR(IF(SUMIFS(CriteriTecnici!$O:$O,CriteriTecnici!$Q:$Q,$A116&amp;"|"&amp;$C116)&gt;0,IF($G116="SI",ROUND(IF(SUMPRODUCT(MAX((CriteriTecnici!$C$5:$C$6173=$C116)*(CriteriTecnici!$E$5:$E$6173="A")*(CriteriTecnici!$T$5:$T$6173="SI")*IFERROR(CriteriTecnici!$O$5:$O$6173*1,0)))&gt;0,MIN(7,SUMIFS(CriteriTecnici!$O:$O,CriteriTecnici!$Q:$Q,$A116&amp;"|"&amp;$C116,CriteriTecnici!$E:$E,"A")*(7/SUMPRODUCT(MAX((CriteriTecnici!$C$5:$C$6173=$C116)*(CriteriTecnici!$E$5:$E$6173="A")*(CriteriTecnici!$T$5:$T$6173="SI")*IFERROR(CriteriTecnici!$O$5:$O$6173*1,0))))),0)+IF(SUMPRODUCT(MAX((CriteriTecnici!$C$5:$C$6173=$C116)*(CriteriTecnici!$E$5:$E$6173="B")*(CriteriTecnici!$T$5:$T$6173="SI")*IFERROR(CriteriTecnici!$O$5:$O$6173*1,0)))&gt;0,MIN(14,SUMIFS(CriteriTecnici!$O:$O,CriteriTecnici!$Q:$Q,$A116&amp;"|"&amp;$C116,CriteriTecnici!$E:$E,"B")*(14/SUMPRODUCT(MAX((CriteriTecnici!$C$5:$C$6173=$C116)*(CriteriTecnici!$E$5:$E$6173="B")*(CriteriTecnici!$T$5:$T$6173="SI")*IFERROR(CriteriTecnici!$O$5:$O$6173*1,0))))),0)+IF(SUMPRODUCT(MAX((CriteriTecnici!$C$5:$C$6173=$C116)*(CriteriTecnici!$E$5:$E$6173="C")*(CriteriTecnici!$T$5:$T$6173="SI")*IFERROR(CriteriTecnici!$O$5:$O$6173*1,0)))&gt;0,MIN(14,SUMIFS(CriteriTecnici!$O:$O,CriteriTecnici!$Q:$Q,$A116&amp;"|"&amp;$C116,CriteriTecnici!$E:$E,"C")*(14/SUMPRODUCT(MAX((CriteriTecnici!$C$5:$C$6173=$C116)*(CriteriTecnici!$E$5:$E$6173="C")*(CriteriTecnici!$T$5:$T$6173="SI")*IFERROR(CriteriTecnici!$O$5:$O$6173*1,0))))),0)+IF(SUMPRODUCT(MAX((CriteriTecnici!$C$5:$C$6173=$C116)*(CriteriTecnici!$E$5:$E$6173="D")*(CriteriTecnici!$T$5:$T$6173="SI")*IFERROR(CriteriTecnici!$O$5:$O$6173*1,0)))&gt;0,MIN(10,SUMIFS(CriteriTecnici!$O:$O,CriteriTecnici!$Q:$Q,$A116&amp;"|"&amp;$C116,CriteriTecnici!$E:$E,"D")*(10/SUMPRODUCT(MAX((CriteriTecnici!$C$5:$C$6173=$C116)*(CriteriTecnici!$E$5:$E$6173="D")*(CriteriTecnici!$T$5:$T$6173="SI")*IFERROR(CriteriTecnici!$O$5:$O$6173*1,0))))),0)+IF(SUMPRODUCT(MAX((CriteriTecnici!$C$5:$C$6173=$C116)*(CriteriTecnici!$E$5:$E$6173="E")*(CriteriTecnici!$T$5:$T$6173="SI")*IFERROR(CriteriTecnici!$O$5:$O$6173*1,0)))&gt;0,MIN(4,SUMIFS(CriteriTecnici!$O:$O,CriteriTecnici!$Q:$Q,$A116&amp;"|"&amp;$C116,CriteriTecnici!$E:$E,"E")*(4/SUMPRODUCT(MAX((CriteriTecnici!$C$5:$C$6173=$C116)*(CriteriTecnici!$E$5:$E$6173="E")*(CriteriTecnici!$T$5:$T$6173="SI")*IFERROR(CriteriTecnici!$O$5:$O$6173*1,0))))),0)+IF(SUMPRODUCT(MAX((CriteriTecnici!$C$5:$C$6173=$C116)*(CriteriTecnici!$E$5:$E$6173="F")*(CriteriTecnici!$T$5:$T$6173="SI")*IFERROR(CriteriTecnici!$O$5:$O$6173*1,0)))&gt;0,MIN(14,SUMIFS(CriteriTecnici!$O:$O,CriteriTecnici!$Q:$Q,$A116&amp;"|"&amp;$C116,CriteriTecnici!$E:$E,"F")*(14/SUMPRODUCT(MAX((CriteriTecnici!$C$5:$C$6173=$C116)*(CriteriTecnici!$E$5:$E$6173="F")*(CriteriTecnici!$T$5:$T$6173="SI")*IFERROR(CriteriTecnici!$O$5:$O$6173*1,0))))),0)+IF(SUMPRODUCT(MAX((CriteriTecnici!$C$5:$C$6173=$C116)*(CriteriTecnici!$E$5:$E$6173="G")*(CriteriTecnici!$T$5:$T$6173="SI")*IFERROR(CriteriTecnici!$O$5:$O$6173*1,0)))&gt;0,MIN(7,SUMIFS(CriteriTecnici!$O:$O,CriteriTecnici!$Q:$Q,$A116&amp;"|"&amp;$C116,CriteriTecnici!$E:$E,"G")*(7/SUMPRODUCT(MAX((CriteriTecnici!$C$5:$C$6173=$C116)*(CriteriTecnici!$E$5:$E$6173="G")*(CriteriTecnici!$T$5:$T$6173="SI")*IFERROR(CriteriTecnici!$O$5:$O$6173*1,0))))),0),4),0),IFERROR($N116*1,0)),0))</f>
        <v/>
      </c>
      <c r="F116" s="56">
        <f>IF(Compila!$A126="","",Compila!$E126)</f>
        <v/>
      </c>
      <c r="G116" s="57">
        <f>IF($A116="","",IF(IFERROR(VALUE($D116),0)&lt;&gt;1,"NO",IF(IFERROR(VALUE($O116),0)&gt;=Parametri!$B$2,"SI","NO")))</f>
        <v/>
      </c>
      <c r="H116" s="57">
        <f>IF($G116="SI",SUMPRODUCT(MAX(($C$2:$C$200=$C116)*(IFERROR($D$2:$D$200*1,0)=1)*(IFERROR($O$2:$O$200*1,0)&gt;=Parametri!$B$2)*IFERROR($F$2:$F$200*1,0))),0)</f>
        <v/>
      </c>
      <c r="I116" s="57">
        <f>IF($G116="SI",IF($H116&gt;0,30*(IFERROR($F116*1,0)/$H116),0),0)</f>
        <v/>
      </c>
      <c r="J116" s="57">
        <f>IF($A116="",0,IF($G116="SI",ROUND(IFERROR($E116*1,0)+$I116,4),ROUND(IFERROR($E116*1,0),4)))</f>
        <v/>
      </c>
      <c r="K116" s="57">
        <f>IF($A116="","",IF(IFERROR(VALUE($D116),0)&lt;&gt;1,"Non attiva",IF(IFERROR(VALUE($O116),0)&lt;Parametri!$B$2,"Sotto soglia","")))</f>
        <v/>
      </c>
      <c r="L116" s="57">
        <f>IF($A116="","",$A116&amp;"|"&amp;$C116)</f>
        <v/>
      </c>
      <c r="M116" s="57">
        <f>IF($A116="","",$C116&amp;"|"&amp;TEXT($J116,"0.0000"))</f>
        <v/>
      </c>
      <c r="N116" s="57" t="n"/>
      <c r="O116" s="57">
        <f>IF($A116="",0,IFERROR(IF(SUMIFS(CriteriTecnici!$O:$O,CriteriTecnici!$Q:$Q,$A116&amp;"|"&amp;$C116)&gt;0,SUMIFS(CriteriTecnici!$O:$O,CriteriTecnici!$Q:$Q,$A116&amp;"|"&amp;$C116,CriteriTecnici!$F:$F,"Q")+SUMIFS(CriteriTecnici!$O:$O,CriteriTecnici!$Q:$Q,$A116&amp;"|"&amp;$C116,CriteriTecnici!$F:$F,"T"),IFERROR($N116*1,0)),0))</f>
        <v/>
      </c>
      <c r="P116" s="57">
        <f>IF($A116="","",IF(SUMIFS(CriteriTecnici!$O:$O,CriteriTecnici!$Q:$Q,$A116&amp;"|"&amp;$C116)&gt;0,"Criteri A-G","Aggregato"))</f>
        <v/>
      </c>
    </row>
    <row r="117">
      <c r="A117" s="56">
        <f>IF(Compila!$A127="","",Compila!$A127)</f>
        <v/>
      </c>
      <c r="B117" s="56">
        <f>IF(Compila!$A127="","",Compila!$B127)</f>
        <v/>
      </c>
      <c r="C117" s="56">
        <f>IF(Compila!$A127="","",Compila!$C127)</f>
        <v/>
      </c>
      <c r="D117" s="56">
        <f>IF(Compila!$A127="","",Compila!$D127)</f>
        <v/>
      </c>
      <c r="E117" s="57">
        <f>IF($A117="",0,IFERROR(IF(SUMIFS(CriteriTecnici!$O:$O,CriteriTecnici!$Q:$Q,$A117&amp;"|"&amp;$C117)&gt;0,IF($G117="SI",ROUND(IF(SUMPRODUCT(MAX((CriteriTecnici!$C$5:$C$6173=$C117)*(CriteriTecnici!$E$5:$E$6173="A")*(CriteriTecnici!$T$5:$T$6173="SI")*IFERROR(CriteriTecnici!$O$5:$O$6173*1,0)))&gt;0,MIN(7,SUMIFS(CriteriTecnici!$O:$O,CriteriTecnici!$Q:$Q,$A117&amp;"|"&amp;$C117,CriteriTecnici!$E:$E,"A")*(7/SUMPRODUCT(MAX((CriteriTecnici!$C$5:$C$6173=$C117)*(CriteriTecnici!$E$5:$E$6173="A")*(CriteriTecnici!$T$5:$T$6173="SI")*IFERROR(CriteriTecnici!$O$5:$O$6173*1,0))))),0)+IF(SUMPRODUCT(MAX((CriteriTecnici!$C$5:$C$6173=$C117)*(CriteriTecnici!$E$5:$E$6173="B")*(CriteriTecnici!$T$5:$T$6173="SI")*IFERROR(CriteriTecnici!$O$5:$O$6173*1,0)))&gt;0,MIN(14,SUMIFS(CriteriTecnici!$O:$O,CriteriTecnici!$Q:$Q,$A117&amp;"|"&amp;$C117,CriteriTecnici!$E:$E,"B")*(14/SUMPRODUCT(MAX((CriteriTecnici!$C$5:$C$6173=$C117)*(CriteriTecnici!$E$5:$E$6173="B")*(CriteriTecnici!$T$5:$T$6173="SI")*IFERROR(CriteriTecnici!$O$5:$O$6173*1,0))))),0)+IF(SUMPRODUCT(MAX((CriteriTecnici!$C$5:$C$6173=$C117)*(CriteriTecnici!$E$5:$E$6173="C")*(CriteriTecnici!$T$5:$T$6173="SI")*IFERROR(CriteriTecnici!$O$5:$O$6173*1,0)))&gt;0,MIN(14,SUMIFS(CriteriTecnici!$O:$O,CriteriTecnici!$Q:$Q,$A117&amp;"|"&amp;$C117,CriteriTecnici!$E:$E,"C")*(14/SUMPRODUCT(MAX((CriteriTecnici!$C$5:$C$6173=$C117)*(CriteriTecnici!$E$5:$E$6173="C")*(CriteriTecnici!$T$5:$T$6173="SI")*IFERROR(CriteriTecnici!$O$5:$O$6173*1,0))))),0)+IF(SUMPRODUCT(MAX((CriteriTecnici!$C$5:$C$6173=$C117)*(CriteriTecnici!$E$5:$E$6173="D")*(CriteriTecnici!$T$5:$T$6173="SI")*IFERROR(CriteriTecnici!$O$5:$O$6173*1,0)))&gt;0,MIN(10,SUMIFS(CriteriTecnici!$O:$O,CriteriTecnici!$Q:$Q,$A117&amp;"|"&amp;$C117,CriteriTecnici!$E:$E,"D")*(10/SUMPRODUCT(MAX((CriteriTecnici!$C$5:$C$6173=$C117)*(CriteriTecnici!$E$5:$E$6173="D")*(CriteriTecnici!$T$5:$T$6173="SI")*IFERROR(CriteriTecnici!$O$5:$O$6173*1,0))))),0)+IF(SUMPRODUCT(MAX((CriteriTecnici!$C$5:$C$6173=$C117)*(CriteriTecnici!$E$5:$E$6173="E")*(CriteriTecnici!$T$5:$T$6173="SI")*IFERROR(CriteriTecnici!$O$5:$O$6173*1,0)))&gt;0,MIN(4,SUMIFS(CriteriTecnici!$O:$O,CriteriTecnici!$Q:$Q,$A117&amp;"|"&amp;$C117,CriteriTecnici!$E:$E,"E")*(4/SUMPRODUCT(MAX((CriteriTecnici!$C$5:$C$6173=$C117)*(CriteriTecnici!$E$5:$E$6173="E")*(CriteriTecnici!$T$5:$T$6173="SI")*IFERROR(CriteriTecnici!$O$5:$O$6173*1,0))))),0)+IF(SUMPRODUCT(MAX((CriteriTecnici!$C$5:$C$6173=$C117)*(CriteriTecnici!$E$5:$E$6173="F")*(CriteriTecnici!$T$5:$T$6173="SI")*IFERROR(CriteriTecnici!$O$5:$O$6173*1,0)))&gt;0,MIN(14,SUMIFS(CriteriTecnici!$O:$O,CriteriTecnici!$Q:$Q,$A117&amp;"|"&amp;$C117,CriteriTecnici!$E:$E,"F")*(14/SUMPRODUCT(MAX((CriteriTecnici!$C$5:$C$6173=$C117)*(CriteriTecnici!$E$5:$E$6173="F")*(CriteriTecnici!$T$5:$T$6173="SI")*IFERROR(CriteriTecnici!$O$5:$O$6173*1,0))))),0)+IF(SUMPRODUCT(MAX((CriteriTecnici!$C$5:$C$6173=$C117)*(CriteriTecnici!$E$5:$E$6173="G")*(CriteriTecnici!$T$5:$T$6173="SI")*IFERROR(CriteriTecnici!$O$5:$O$6173*1,0)))&gt;0,MIN(7,SUMIFS(CriteriTecnici!$O:$O,CriteriTecnici!$Q:$Q,$A117&amp;"|"&amp;$C117,CriteriTecnici!$E:$E,"G")*(7/SUMPRODUCT(MAX((CriteriTecnici!$C$5:$C$6173=$C117)*(CriteriTecnici!$E$5:$E$6173="G")*(CriteriTecnici!$T$5:$T$6173="SI")*IFERROR(CriteriTecnici!$O$5:$O$6173*1,0))))),0),4),0),IFERROR($N117*1,0)),0))</f>
        <v/>
      </c>
      <c r="F117" s="56">
        <f>IF(Compila!$A127="","",Compila!$E127)</f>
        <v/>
      </c>
      <c r="G117" s="57">
        <f>IF($A117="","",IF(IFERROR(VALUE($D117),0)&lt;&gt;1,"NO",IF(IFERROR(VALUE($O117),0)&gt;=Parametri!$B$2,"SI","NO")))</f>
        <v/>
      </c>
      <c r="H117" s="57">
        <f>IF($G117="SI",SUMPRODUCT(MAX(($C$2:$C$200=$C117)*(IFERROR($D$2:$D$200*1,0)=1)*(IFERROR($O$2:$O$200*1,0)&gt;=Parametri!$B$2)*IFERROR($F$2:$F$200*1,0))),0)</f>
        <v/>
      </c>
      <c r="I117" s="57">
        <f>IF($G117="SI",IF($H117&gt;0,30*(IFERROR($F117*1,0)/$H117),0),0)</f>
        <v/>
      </c>
      <c r="J117" s="57">
        <f>IF($A117="",0,IF($G117="SI",ROUND(IFERROR($E117*1,0)+$I117,4),ROUND(IFERROR($E117*1,0),4)))</f>
        <v/>
      </c>
      <c r="K117" s="57">
        <f>IF($A117="","",IF(IFERROR(VALUE($D117),0)&lt;&gt;1,"Non attiva",IF(IFERROR(VALUE($O117),0)&lt;Parametri!$B$2,"Sotto soglia","")))</f>
        <v/>
      </c>
      <c r="L117" s="57">
        <f>IF($A117="","",$A117&amp;"|"&amp;$C117)</f>
        <v/>
      </c>
      <c r="M117" s="57">
        <f>IF($A117="","",$C117&amp;"|"&amp;TEXT($J117,"0.0000"))</f>
        <v/>
      </c>
      <c r="N117" s="57" t="n"/>
      <c r="O117" s="57">
        <f>IF($A117="",0,IFERROR(IF(SUMIFS(CriteriTecnici!$O:$O,CriteriTecnici!$Q:$Q,$A117&amp;"|"&amp;$C117)&gt;0,SUMIFS(CriteriTecnici!$O:$O,CriteriTecnici!$Q:$Q,$A117&amp;"|"&amp;$C117,CriteriTecnici!$F:$F,"Q")+SUMIFS(CriteriTecnici!$O:$O,CriteriTecnici!$Q:$Q,$A117&amp;"|"&amp;$C117,CriteriTecnici!$F:$F,"T"),IFERROR($N117*1,0)),0))</f>
        <v/>
      </c>
      <c r="P117" s="57">
        <f>IF($A117="","",IF(SUMIFS(CriteriTecnici!$O:$O,CriteriTecnici!$Q:$Q,$A117&amp;"|"&amp;$C117)&gt;0,"Criteri A-G","Aggregato"))</f>
        <v/>
      </c>
    </row>
    <row r="118">
      <c r="A118" s="56">
        <f>IF(Compila!$A128="","",Compila!$A128)</f>
        <v/>
      </c>
      <c r="B118" s="56">
        <f>IF(Compila!$A128="","",Compila!$B128)</f>
        <v/>
      </c>
      <c r="C118" s="56">
        <f>IF(Compila!$A128="","",Compila!$C128)</f>
        <v/>
      </c>
      <c r="D118" s="56">
        <f>IF(Compila!$A128="","",Compila!$D128)</f>
        <v/>
      </c>
      <c r="E118" s="57">
        <f>IF($A118="",0,IFERROR(IF(SUMIFS(CriteriTecnici!$O:$O,CriteriTecnici!$Q:$Q,$A118&amp;"|"&amp;$C118)&gt;0,IF($G118="SI",ROUND(IF(SUMPRODUCT(MAX((CriteriTecnici!$C$5:$C$6173=$C118)*(CriteriTecnici!$E$5:$E$6173="A")*(CriteriTecnici!$T$5:$T$6173="SI")*IFERROR(CriteriTecnici!$O$5:$O$6173*1,0)))&gt;0,MIN(7,SUMIFS(CriteriTecnici!$O:$O,CriteriTecnici!$Q:$Q,$A118&amp;"|"&amp;$C118,CriteriTecnici!$E:$E,"A")*(7/SUMPRODUCT(MAX((CriteriTecnici!$C$5:$C$6173=$C118)*(CriteriTecnici!$E$5:$E$6173="A")*(CriteriTecnici!$T$5:$T$6173="SI")*IFERROR(CriteriTecnici!$O$5:$O$6173*1,0))))),0)+IF(SUMPRODUCT(MAX((CriteriTecnici!$C$5:$C$6173=$C118)*(CriteriTecnici!$E$5:$E$6173="B")*(CriteriTecnici!$T$5:$T$6173="SI")*IFERROR(CriteriTecnici!$O$5:$O$6173*1,0)))&gt;0,MIN(14,SUMIFS(CriteriTecnici!$O:$O,CriteriTecnici!$Q:$Q,$A118&amp;"|"&amp;$C118,CriteriTecnici!$E:$E,"B")*(14/SUMPRODUCT(MAX((CriteriTecnici!$C$5:$C$6173=$C118)*(CriteriTecnici!$E$5:$E$6173="B")*(CriteriTecnici!$T$5:$T$6173="SI")*IFERROR(CriteriTecnici!$O$5:$O$6173*1,0))))),0)+IF(SUMPRODUCT(MAX((CriteriTecnici!$C$5:$C$6173=$C118)*(CriteriTecnici!$E$5:$E$6173="C")*(CriteriTecnici!$T$5:$T$6173="SI")*IFERROR(CriteriTecnici!$O$5:$O$6173*1,0)))&gt;0,MIN(14,SUMIFS(CriteriTecnici!$O:$O,CriteriTecnici!$Q:$Q,$A118&amp;"|"&amp;$C118,CriteriTecnici!$E:$E,"C")*(14/SUMPRODUCT(MAX((CriteriTecnici!$C$5:$C$6173=$C118)*(CriteriTecnici!$E$5:$E$6173="C")*(CriteriTecnici!$T$5:$T$6173="SI")*IFERROR(CriteriTecnici!$O$5:$O$6173*1,0))))),0)+IF(SUMPRODUCT(MAX((CriteriTecnici!$C$5:$C$6173=$C118)*(CriteriTecnici!$E$5:$E$6173="D")*(CriteriTecnici!$T$5:$T$6173="SI")*IFERROR(CriteriTecnici!$O$5:$O$6173*1,0)))&gt;0,MIN(10,SUMIFS(CriteriTecnici!$O:$O,CriteriTecnici!$Q:$Q,$A118&amp;"|"&amp;$C118,CriteriTecnici!$E:$E,"D")*(10/SUMPRODUCT(MAX((CriteriTecnici!$C$5:$C$6173=$C118)*(CriteriTecnici!$E$5:$E$6173="D")*(CriteriTecnici!$T$5:$T$6173="SI")*IFERROR(CriteriTecnici!$O$5:$O$6173*1,0))))),0)+IF(SUMPRODUCT(MAX((CriteriTecnici!$C$5:$C$6173=$C118)*(CriteriTecnici!$E$5:$E$6173="E")*(CriteriTecnici!$T$5:$T$6173="SI")*IFERROR(CriteriTecnici!$O$5:$O$6173*1,0)))&gt;0,MIN(4,SUMIFS(CriteriTecnici!$O:$O,CriteriTecnici!$Q:$Q,$A118&amp;"|"&amp;$C118,CriteriTecnici!$E:$E,"E")*(4/SUMPRODUCT(MAX((CriteriTecnici!$C$5:$C$6173=$C118)*(CriteriTecnici!$E$5:$E$6173="E")*(CriteriTecnici!$T$5:$T$6173="SI")*IFERROR(CriteriTecnici!$O$5:$O$6173*1,0))))),0)+IF(SUMPRODUCT(MAX((CriteriTecnici!$C$5:$C$6173=$C118)*(CriteriTecnici!$E$5:$E$6173="F")*(CriteriTecnici!$T$5:$T$6173="SI")*IFERROR(CriteriTecnici!$O$5:$O$6173*1,0)))&gt;0,MIN(14,SUMIFS(CriteriTecnici!$O:$O,CriteriTecnici!$Q:$Q,$A118&amp;"|"&amp;$C118,CriteriTecnici!$E:$E,"F")*(14/SUMPRODUCT(MAX((CriteriTecnici!$C$5:$C$6173=$C118)*(CriteriTecnici!$E$5:$E$6173="F")*(CriteriTecnici!$T$5:$T$6173="SI")*IFERROR(CriteriTecnici!$O$5:$O$6173*1,0))))),0)+IF(SUMPRODUCT(MAX((CriteriTecnici!$C$5:$C$6173=$C118)*(CriteriTecnici!$E$5:$E$6173="G")*(CriteriTecnici!$T$5:$T$6173="SI")*IFERROR(CriteriTecnici!$O$5:$O$6173*1,0)))&gt;0,MIN(7,SUMIFS(CriteriTecnici!$O:$O,CriteriTecnici!$Q:$Q,$A118&amp;"|"&amp;$C118,CriteriTecnici!$E:$E,"G")*(7/SUMPRODUCT(MAX((CriteriTecnici!$C$5:$C$6173=$C118)*(CriteriTecnici!$E$5:$E$6173="G")*(CriteriTecnici!$T$5:$T$6173="SI")*IFERROR(CriteriTecnici!$O$5:$O$6173*1,0))))),0),4),0),IFERROR($N118*1,0)),0))</f>
        <v/>
      </c>
      <c r="F118" s="56">
        <f>IF(Compila!$A128="","",Compila!$E128)</f>
        <v/>
      </c>
      <c r="G118" s="57">
        <f>IF($A118="","",IF(IFERROR(VALUE($D118),0)&lt;&gt;1,"NO",IF(IFERROR(VALUE($O118),0)&gt;=Parametri!$B$2,"SI","NO")))</f>
        <v/>
      </c>
      <c r="H118" s="57">
        <f>IF($G118="SI",SUMPRODUCT(MAX(($C$2:$C$200=$C118)*(IFERROR($D$2:$D$200*1,0)=1)*(IFERROR($O$2:$O$200*1,0)&gt;=Parametri!$B$2)*IFERROR($F$2:$F$200*1,0))),0)</f>
        <v/>
      </c>
      <c r="I118" s="57">
        <f>IF($G118="SI",IF($H118&gt;0,30*(IFERROR($F118*1,0)/$H118),0),0)</f>
        <v/>
      </c>
      <c r="J118" s="57">
        <f>IF($A118="",0,IF($G118="SI",ROUND(IFERROR($E118*1,0)+$I118,4),ROUND(IFERROR($E118*1,0),4)))</f>
        <v/>
      </c>
      <c r="K118" s="57">
        <f>IF($A118="","",IF(IFERROR(VALUE($D118),0)&lt;&gt;1,"Non attiva",IF(IFERROR(VALUE($O118),0)&lt;Parametri!$B$2,"Sotto soglia","")))</f>
        <v/>
      </c>
      <c r="L118" s="57">
        <f>IF($A118="","",$A118&amp;"|"&amp;$C118)</f>
        <v/>
      </c>
      <c r="M118" s="57">
        <f>IF($A118="","",$C118&amp;"|"&amp;TEXT($J118,"0.0000"))</f>
        <v/>
      </c>
      <c r="N118" s="57" t="n"/>
      <c r="O118" s="57">
        <f>IF($A118="",0,IFERROR(IF(SUMIFS(CriteriTecnici!$O:$O,CriteriTecnici!$Q:$Q,$A118&amp;"|"&amp;$C118)&gt;0,SUMIFS(CriteriTecnici!$O:$O,CriteriTecnici!$Q:$Q,$A118&amp;"|"&amp;$C118,CriteriTecnici!$F:$F,"Q")+SUMIFS(CriteriTecnici!$O:$O,CriteriTecnici!$Q:$Q,$A118&amp;"|"&amp;$C118,CriteriTecnici!$F:$F,"T"),IFERROR($N118*1,0)),0))</f>
        <v/>
      </c>
      <c r="P118" s="57">
        <f>IF($A118="","",IF(SUMIFS(CriteriTecnici!$O:$O,CriteriTecnici!$Q:$Q,$A118&amp;"|"&amp;$C118)&gt;0,"Criteri A-G","Aggregato"))</f>
        <v/>
      </c>
    </row>
    <row r="119">
      <c r="A119" s="56">
        <f>IF(Compila!$A129="","",Compila!$A129)</f>
        <v/>
      </c>
      <c r="B119" s="56">
        <f>IF(Compila!$A129="","",Compila!$B129)</f>
        <v/>
      </c>
      <c r="C119" s="56">
        <f>IF(Compila!$A129="","",Compila!$C129)</f>
        <v/>
      </c>
      <c r="D119" s="56">
        <f>IF(Compila!$A129="","",Compila!$D129)</f>
        <v/>
      </c>
      <c r="E119" s="57">
        <f>IF($A119="",0,IFERROR(IF(SUMIFS(CriteriTecnici!$O:$O,CriteriTecnici!$Q:$Q,$A119&amp;"|"&amp;$C119)&gt;0,IF($G119="SI",ROUND(IF(SUMPRODUCT(MAX((CriteriTecnici!$C$5:$C$6173=$C119)*(CriteriTecnici!$E$5:$E$6173="A")*(CriteriTecnici!$T$5:$T$6173="SI")*IFERROR(CriteriTecnici!$O$5:$O$6173*1,0)))&gt;0,MIN(7,SUMIFS(CriteriTecnici!$O:$O,CriteriTecnici!$Q:$Q,$A119&amp;"|"&amp;$C119,CriteriTecnici!$E:$E,"A")*(7/SUMPRODUCT(MAX((CriteriTecnici!$C$5:$C$6173=$C119)*(CriteriTecnici!$E$5:$E$6173="A")*(CriteriTecnici!$T$5:$T$6173="SI")*IFERROR(CriteriTecnici!$O$5:$O$6173*1,0))))),0)+IF(SUMPRODUCT(MAX((CriteriTecnici!$C$5:$C$6173=$C119)*(CriteriTecnici!$E$5:$E$6173="B")*(CriteriTecnici!$T$5:$T$6173="SI")*IFERROR(CriteriTecnici!$O$5:$O$6173*1,0)))&gt;0,MIN(14,SUMIFS(CriteriTecnici!$O:$O,CriteriTecnici!$Q:$Q,$A119&amp;"|"&amp;$C119,CriteriTecnici!$E:$E,"B")*(14/SUMPRODUCT(MAX((CriteriTecnici!$C$5:$C$6173=$C119)*(CriteriTecnici!$E$5:$E$6173="B")*(CriteriTecnici!$T$5:$T$6173="SI")*IFERROR(CriteriTecnici!$O$5:$O$6173*1,0))))),0)+IF(SUMPRODUCT(MAX((CriteriTecnici!$C$5:$C$6173=$C119)*(CriteriTecnici!$E$5:$E$6173="C")*(CriteriTecnici!$T$5:$T$6173="SI")*IFERROR(CriteriTecnici!$O$5:$O$6173*1,0)))&gt;0,MIN(14,SUMIFS(CriteriTecnici!$O:$O,CriteriTecnici!$Q:$Q,$A119&amp;"|"&amp;$C119,CriteriTecnici!$E:$E,"C")*(14/SUMPRODUCT(MAX((CriteriTecnici!$C$5:$C$6173=$C119)*(CriteriTecnici!$E$5:$E$6173="C")*(CriteriTecnici!$T$5:$T$6173="SI")*IFERROR(CriteriTecnici!$O$5:$O$6173*1,0))))),0)+IF(SUMPRODUCT(MAX((CriteriTecnici!$C$5:$C$6173=$C119)*(CriteriTecnici!$E$5:$E$6173="D")*(CriteriTecnici!$T$5:$T$6173="SI")*IFERROR(CriteriTecnici!$O$5:$O$6173*1,0)))&gt;0,MIN(10,SUMIFS(CriteriTecnici!$O:$O,CriteriTecnici!$Q:$Q,$A119&amp;"|"&amp;$C119,CriteriTecnici!$E:$E,"D")*(10/SUMPRODUCT(MAX((CriteriTecnici!$C$5:$C$6173=$C119)*(CriteriTecnici!$E$5:$E$6173="D")*(CriteriTecnici!$T$5:$T$6173="SI")*IFERROR(CriteriTecnici!$O$5:$O$6173*1,0))))),0)+IF(SUMPRODUCT(MAX((CriteriTecnici!$C$5:$C$6173=$C119)*(CriteriTecnici!$E$5:$E$6173="E")*(CriteriTecnici!$T$5:$T$6173="SI")*IFERROR(CriteriTecnici!$O$5:$O$6173*1,0)))&gt;0,MIN(4,SUMIFS(CriteriTecnici!$O:$O,CriteriTecnici!$Q:$Q,$A119&amp;"|"&amp;$C119,CriteriTecnici!$E:$E,"E")*(4/SUMPRODUCT(MAX((CriteriTecnici!$C$5:$C$6173=$C119)*(CriteriTecnici!$E$5:$E$6173="E")*(CriteriTecnici!$T$5:$T$6173="SI")*IFERROR(CriteriTecnici!$O$5:$O$6173*1,0))))),0)+IF(SUMPRODUCT(MAX((CriteriTecnici!$C$5:$C$6173=$C119)*(CriteriTecnici!$E$5:$E$6173="F")*(CriteriTecnici!$T$5:$T$6173="SI")*IFERROR(CriteriTecnici!$O$5:$O$6173*1,0)))&gt;0,MIN(14,SUMIFS(CriteriTecnici!$O:$O,CriteriTecnici!$Q:$Q,$A119&amp;"|"&amp;$C119,CriteriTecnici!$E:$E,"F")*(14/SUMPRODUCT(MAX((CriteriTecnici!$C$5:$C$6173=$C119)*(CriteriTecnici!$E$5:$E$6173="F")*(CriteriTecnici!$T$5:$T$6173="SI")*IFERROR(CriteriTecnici!$O$5:$O$6173*1,0))))),0)+IF(SUMPRODUCT(MAX((CriteriTecnici!$C$5:$C$6173=$C119)*(CriteriTecnici!$E$5:$E$6173="G")*(CriteriTecnici!$T$5:$T$6173="SI")*IFERROR(CriteriTecnici!$O$5:$O$6173*1,0)))&gt;0,MIN(7,SUMIFS(CriteriTecnici!$O:$O,CriteriTecnici!$Q:$Q,$A119&amp;"|"&amp;$C119,CriteriTecnici!$E:$E,"G")*(7/SUMPRODUCT(MAX((CriteriTecnici!$C$5:$C$6173=$C119)*(CriteriTecnici!$E$5:$E$6173="G")*(CriteriTecnici!$T$5:$T$6173="SI")*IFERROR(CriteriTecnici!$O$5:$O$6173*1,0))))),0),4),0),IFERROR($N119*1,0)),0))</f>
        <v/>
      </c>
      <c r="F119" s="56">
        <f>IF(Compila!$A129="","",Compila!$E129)</f>
        <v/>
      </c>
      <c r="G119" s="57">
        <f>IF($A119="","",IF(IFERROR(VALUE($D119),0)&lt;&gt;1,"NO",IF(IFERROR(VALUE($O119),0)&gt;=Parametri!$B$2,"SI","NO")))</f>
        <v/>
      </c>
      <c r="H119" s="57">
        <f>IF($G119="SI",SUMPRODUCT(MAX(($C$2:$C$200=$C119)*(IFERROR($D$2:$D$200*1,0)=1)*(IFERROR($O$2:$O$200*1,0)&gt;=Parametri!$B$2)*IFERROR($F$2:$F$200*1,0))),0)</f>
        <v/>
      </c>
      <c r="I119" s="57">
        <f>IF($G119="SI",IF($H119&gt;0,30*(IFERROR($F119*1,0)/$H119),0),0)</f>
        <v/>
      </c>
      <c r="J119" s="57">
        <f>IF($A119="",0,IF($G119="SI",ROUND(IFERROR($E119*1,0)+$I119,4),ROUND(IFERROR($E119*1,0),4)))</f>
        <v/>
      </c>
      <c r="K119" s="57">
        <f>IF($A119="","",IF(IFERROR(VALUE($D119),0)&lt;&gt;1,"Non attiva",IF(IFERROR(VALUE($O119),0)&lt;Parametri!$B$2,"Sotto soglia","")))</f>
        <v/>
      </c>
      <c r="L119" s="57">
        <f>IF($A119="","",$A119&amp;"|"&amp;$C119)</f>
        <v/>
      </c>
      <c r="M119" s="57">
        <f>IF($A119="","",$C119&amp;"|"&amp;TEXT($J119,"0.0000"))</f>
        <v/>
      </c>
      <c r="N119" s="57" t="n"/>
      <c r="O119" s="57">
        <f>IF($A119="",0,IFERROR(IF(SUMIFS(CriteriTecnici!$O:$O,CriteriTecnici!$Q:$Q,$A119&amp;"|"&amp;$C119)&gt;0,SUMIFS(CriteriTecnici!$O:$O,CriteriTecnici!$Q:$Q,$A119&amp;"|"&amp;$C119,CriteriTecnici!$F:$F,"Q")+SUMIFS(CriteriTecnici!$O:$O,CriteriTecnici!$Q:$Q,$A119&amp;"|"&amp;$C119,CriteriTecnici!$F:$F,"T"),IFERROR($N119*1,0)),0))</f>
        <v/>
      </c>
      <c r="P119" s="57">
        <f>IF($A119="","",IF(SUMIFS(CriteriTecnici!$O:$O,CriteriTecnici!$Q:$Q,$A119&amp;"|"&amp;$C119)&gt;0,"Criteri A-G","Aggregato"))</f>
        <v/>
      </c>
    </row>
    <row r="120">
      <c r="A120" s="56">
        <f>IF(Compila!$A130="","",Compila!$A130)</f>
        <v/>
      </c>
      <c r="B120" s="56">
        <f>IF(Compila!$A130="","",Compila!$B130)</f>
        <v/>
      </c>
      <c r="C120" s="56">
        <f>IF(Compila!$A130="","",Compila!$C130)</f>
        <v/>
      </c>
      <c r="D120" s="56">
        <f>IF(Compila!$A130="","",Compila!$D130)</f>
        <v/>
      </c>
      <c r="E120" s="57">
        <f>IF($A120="",0,IFERROR(IF(SUMIFS(CriteriTecnici!$O:$O,CriteriTecnici!$Q:$Q,$A120&amp;"|"&amp;$C120)&gt;0,IF($G120="SI",ROUND(IF(SUMPRODUCT(MAX((CriteriTecnici!$C$5:$C$6173=$C120)*(CriteriTecnici!$E$5:$E$6173="A")*(CriteriTecnici!$T$5:$T$6173="SI")*IFERROR(CriteriTecnici!$O$5:$O$6173*1,0)))&gt;0,MIN(7,SUMIFS(CriteriTecnici!$O:$O,CriteriTecnici!$Q:$Q,$A120&amp;"|"&amp;$C120,CriteriTecnici!$E:$E,"A")*(7/SUMPRODUCT(MAX((CriteriTecnici!$C$5:$C$6173=$C120)*(CriteriTecnici!$E$5:$E$6173="A")*(CriteriTecnici!$T$5:$T$6173="SI")*IFERROR(CriteriTecnici!$O$5:$O$6173*1,0))))),0)+IF(SUMPRODUCT(MAX((CriteriTecnici!$C$5:$C$6173=$C120)*(CriteriTecnici!$E$5:$E$6173="B")*(CriteriTecnici!$T$5:$T$6173="SI")*IFERROR(CriteriTecnici!$O$5:$O$6173*1,0)))&gt;0,MIN(14,SUMIFS(CriteriTecnici!$O:$O,CriteriTecnici!$Q:$Q,$A120&amp;"|"&amp;$C120,CriteriTecnici!$E:$E,"B")*(14/SUMPRODUCT(MAX((CriteriTecnici!$C$5:$C$6173=$C120)*(CriteriTecnici!$E$5:$E$6173="B")*(CriteriTecnici!$T$5:$T$6173="SI")*IFERROR(CriteriTecnici!$O$5:$O$6173*1,0))))),0)+IF(SUMPRODUCT(MAX((CriteriTecnici!$C$5:$C$6173=$C120)*(CriteriTecnici!$E$5:$E$6173="C")*(CriteriTecnici!$T$5:$T$6173="SI")*IFERROR(CriteriTecnici!$O$5:$O$6173*1,0)))&gt;0,MIN(14,SUMIFS(CriteriTecnici!$O:$O,CriteriTecnici!$Q:$Q,$A120&amp;"|"&amp;$C120,CriteriTecnici!$E:$E,"C")*(14/SUMPRODUCT(MAX((CriteriTecnici!$C$5:$C$6173=$C120)*(CriteriTecnici!$E$5:$E$6173="C")*(CriteriTecnici!$T$5:$T$6173="SI")*IFERROR(CriteriTecnici!$O$5:$O$6173*1,0))))),0)+IF(SUMPRODUCT(MAX((CriteriTecnici!$C$5:$C$6173=$C120)*(CriteriTecnici!$E$5:$E$6173="D")*(CriteriTecnici!$T$5:$T$6173="SI")*IFERROR(CriteriTecnici!$O$5:$O$6173*1,0)))&gt;0,MIN(10,SUMIFS(CriteriTecnici!$O:$O,CriteriTecnici!$Q:$Q,$A120&amp;"|"&amp;$C120,CriteriTecnici!$E:$E,"D")*(10/SUMPRODUCT(MAX((CriteriTecnici!$C$5:$C$6173=$C120)*(CriteriTecnici!$E$5:$E$6173="D")*(CriteriTecnici!$T$5:$T$6173="SI")*IFERROR(CriteriTecnici!$O$5:$O$6173*1,0))))),0)+IF(SUMPRODUCT(MAX((CriteriTecnici!$C$5:$C$6173=$C120)*(CriteriTecnici!$E$5:$E$6173="E")*(CriteriTecnici!$T$5:$T$6173="SI")*IFERROR(CriteriTecnici!$O$5:$O$6173*1,0)))&gt;0,MIN(4,SUMIFS(CriteriTecnici!$O:$O,CriteriTecnici!$Q:$Q,$A120&amp;"|"&amp;$C120,CriteriTecnici!$E:$E,"E")*(4/SUMPRODUCT(MAX((CriteriTecnici!$C$5:$C$6173=$C120)*(CriteriTecnici!$E$5:$E$6173="E")*(CriteriTecnici!$T$5:$T$6173="SI")*IFERROR(CriteriTecnici!$O$5:$O$6173*1,0))))),0)+IF(SUMPRODUCT(MAX((CriteriTecnici!$C$5:$C$6173=$C120)*(CriteriTecnici!$E$5:$E$6173="F")*(CriteriTecnici!$T$5:$T$6173="SI")*IFERROR(CriteriTecnici!$O$5:$O$6173*1,0)))&gt;0,MIN(14,SUMIFS(CriteriTecnici!$O:$O,CriteriTecnici!$Q:$Q,$A120&amp;"|"&amp;$C120,CriteriTecnici!$E:$E,"F")*(14/SUMPRODUCT(MAX((CriteriTecnici!$C$5:$C$6173=$C120)*(CriteriTecnici!$E$5:$E$6173="F")*(CriteriTecnici!$T$5:$T$6173="SI")*IFERROR(CriteriTecnici!$O$5:$O$6173*1,0))))),0)+IF(SUMPRODUCT(MAX((CriteriTecnici!$C$5:$C$6173=$C120)*(CriteriTecnici!$E$5:$E$6173="G")*(CriteriTecnici!$T$5:$T$6173="SI")*IFERROR(CriteriTecnici!$O$5:$O$6173*1,0)))&gt;0,MIN(7,SUMIFS(CriteriTecnici!$O:$O,CriteriTecnici!$Q:$Q,$A120&amp;"|"&amp;$C120,CriteriTecnici!$E:$E,"G")*(7/SUMPRODUCT(MAX((CriteriTecnici!$C$5:$C$6173=$C120)*(CriteriTecnici!$E$5:$E$6173="G")*(CriteriTecnici!$T$5:$T$6173="SI")*IFERROR(CriteriTecnici!$O$5:$O$6173*1,0))))),0),4),0),IFERROR($N120*1,0)),0))</f>
        <v/>
      </c>
      <c r="F120" s="56">
        <f>IF(Compila!$A130="","",Compila!$E130)</f>
        <v/>
      </c>
      <c r="G120" s="57">
        <f>IF($A120="","",IF(IFERROR(VALUE($D120),0)&lt;&gt;1,"NO",IF(IFERROR(VALUE($O120),0)&gt;=Parametri!$B$2,"SI","NO")))</f>
        <v/>
      </c>
      <c r="H120" s="57">
        <f>IF($G120="SI",SUMPRODUCT(MAX(($C$2:$C$200=$C120)*(IFERROR($D$2:$D$200*1,0)=1)*(IFERROR($O$2:$O$200*1,0)&gt;=Parametri!$B$2)*IFERROR($F$2:$F$200*1,0))),0)</f>
        <v/>
      </c>
      <c r="I120" s="57">
        <f>IF($G120="SI",IF($H120&gt;0,30*(IFERROR($F120*1,0)/$H120),0),0)</f>
        <v/>
      </c>
      <c r="J120" s="57">
        <f>IF($A120="",0,IF($G120="SI",ROUND(IFERROR($E120*1,0)+$I120,4),ROUND(IFERROR($E120*1,0),4)))</f>
        <v/>
      </c>
      <c r="K120" s="57">
        <f>IF($A120="","",IF(IFERROR(VALUE($D120),0)&lt;&gt;1,"Non attiva",IF(IFERROR(VALUE($O120),0)&lt;Parametri!$B$2,"Sotto soglia","")))</f>
        <v/>
      </c>
      <c r="L120" s="57">
        <f>IF($A120="","",$A120&amp;"|"&amp;$C120)</f>
        <v/>
      </c>
      <c r="M120" s="57">
        <f>IF($A120="","",$C120&amp;"|"&amp;TEXT($J120,"0.0000"))</f>
        <v/>
      </c>
      <c r="N120" s="57" t="n"/>
      <c r="O120" s="57">
        <f>IF($A120="",0,IFERROR(IF(SUMIFS(CriteriTecnici!$O:$O,CriteriTecnici!$Q:$Q,$A120&amp;"|"&amp;$C120)&gt;0,SUMIFS(CriteriTecnici!$O:$O,CriteriTecnici!$Q:$Q,$A120&amp;"|"&amp;$C120,CriteriTecnici!$F:$F,"Q")+SUMIFS(CriteriTecnici!$O:$O,CriteriTecnici!$Q:$Q,$A120&amp;"|"&amp;$C120,CriteriTecnici!$F:$F,"T"),IFERROR($N120*1,0)),0))</f>
        <v/>
      </c>
      <c r="P120" s="57">
        <f>IF($A120="","",IF(SUMIFS(CriteriTecnici!$O:$O,CriteriTecnici!$Q:$Q,$A120&amp;"|"&amp;$C120)&gt;0,"Criteri A-G","Aggregato"))</f>
        <v/>
      </c>
    </row>
    <row r="121">
      <c r="A121" s="56">
        <f>IF(Compila!$A131="","",Compila!$A131)</f>
        <v/>
      </c>
      <c r="B121" s="56">
        <f>IF(Compila!$A131="","",Compila!$B131)</f>
        <v/>
      </c>
      <c r="C121" s="56">
        <f>IF(Compila!$A131="","",Compila!$C131)</f>
        <v/>
      </c>
      <c r="D121" s="56">
        <f>IF(Compila!$A131="","",Compila!$D131)</f>
        <v/>
      </c>
      <c r="E121" s="57">
        <f>IF($A121="",0,IFERROR(IF(SUMIFS(CriteriTecnici!$O:$O,CriteriTecnici!$Q:$Q,$A121&amp;"|"&amp;$C121)&gt;0,IF($G121="SI",ROUND(IF(SUMPRODUCT(MAX((CriteriTecnici!$C$5:$C$6173=$C121)*(CriteriTecnici!$E$5:$E$6173="A")*(CriteriTecnici!$T$5:$T$6173="SI")*IFERROR(CriteriTecnici!$O$5:$O$6173*1,0)))&gt;0,MIN(7,SUMIFS(CriteriTecnici!$O:$O,CriteriTecnici!$Q:$Q,$A121&amp;"|"&amp;$C121,CriteriTecnici!$E:$E,"A")*(7/SUMPRODUCT(MAX((CriteriTecnici!$C$5:$C$6173=$C121)*(CriteriTecnici!$E$5:$E$6173="A")*(CriteriTecnici!$T$5:$T$6173="SI")*IFERROR(CriteriTecnici!$O$5:$O$6173*1,0))))),0)+IF(SUMPRODUCT(MAX((CriteriTecnici!$C$5:$C$6173=$C121)*(CriteriTecnici!$E$5:$E$6173="B")*(CriteriTecnici!$T$5:$T$6173="SI")*IFERROR(CriteriTecnici!$O$5:$O$6173*1,0)))&gt;0,MIN(14,SUMIFS(CriteriTecnici!$O:$O,CriteriTecnici!$Q:$Q,$A121&amp;"|"&amp;$C121,CriteriTecnici!$E:$E,"B")*(14/SUMPRODUCT(MAX((CriteriTecnici!$C$5:$C$6173=$C121)*(CriteriTecnici!$E$5:$E$6173="B")*(CriteriTecnici!$T$5:$T$6173="SI")*IFERROR(CriteriTecnici!$O$5:$O$6173*1,0))))),0)+IF(SUMPRODUCT(MAX((CriteriTecnici!$C$5:$C$6173=$C121)*(CriteriTecnici!$E$5:$E$6173="C")*(CriteriTecnici!$T$5:$T$6173="SI")*IFERROR(CriteriTecnici!$O$5:$O$6173*1,0)))&gt;0,MIN(14,SUMIFS(CriteriTecnici!$O:$O,CriteriTecnici!$Q:$Q,$A121&amp;"|"&amp;$C121,CriteriTecnici!$E:$E,"C")*(14/SUMPRODUCT(MAX((CriteriTecnici!$C$5:$C$6173=$C121)*(CriteriTecnici!$E$5:$E$6173="C")*(CriteriTecnici!$T$5:$T$6173="SI")*IFERROR(CriteriTecnici!$O$5:$O$6173*1,0))))),0)+IF(SUMPRODUCT(MAX((CriteriTecnici!$C$5:$C$6173=$C121)*(CriteriTecnici!$E$5:$E$6173="D")*(CriteriTecnici!$T$5:$T$6173="SI")*IFERROR(CriteriTecnici!$O$5:$O$6173*1,0)))&gt;0,MIN(10,SUMIFS(CriteriTecnici!$O:$O,CriteriTecnici!$Q:$Q,$A121&amp;"|"&amp;$C121,CriteriTecnici!$E:$E,"D")*(10/SUMPRODUCT(MAX((CriteriTecnici!$C$5:$C$6173=$C121)*(CriteriTecnici!$E$5:$E$6173="D")*(CriteriTecnici!$T$5:$T$6173="SI")*IFERROR(CriteriTecnici!$O$5:$O$6173*1,0))))),0)+IF(SUMPRODUCT(MAX((CriteriTecnici!$C$5:$C$6173=$C121)*(CriteriTecnici!$E$5:$E$6173="E")*(CriteriTecnici!$T$5:$T$6173="SI")*IFERROR(CriteriTecnici!$O$5:$O$6173*1,0)))&gt;0,MIN(4,SUMIFS(CriteriTecnici!$O:$O,CriteriTecnici!$Q:$Q,$A121&amp;"|"&amp;$C121,CriteriTecnici!$E:$E,"E")*(4/SUMPRODUCT(MAX((CriteriTecnici!$C$5:$C$6173=$C121)*(CriteriTecnici!$E$5:$E$6173="E")*(CriteriTecnici!$T$5:$T$6173="SI")*IFERROR(CriteriTecnici!$O$5:$O$6173*1,0))))),0)+IF(SUMPRODUCT(MAX((CriteriTecnici!$C$5:$C$6173=$C121)*(CriteriTecnici!$E$5:$E$6173="F")*(CriteriTecnici!$T$5:$T$6173="SI")*IFERROR(CriteriTecnici!$O$5:$O$6173*1,0)))&gt;0,MIN(14,SUMIFS(CriteriTecnici!$O:$O,CriteriTecnici!$Q:$Q,$A121&amp;"|"&amp;$C121,CriteriTecnici!$E:$E,"F")*(14/SUMPRODUCT(MAX((CriteriTecnici!$C$5:$C$6173=$C121)*(CriteriTecnici!$E$5:$E$6173="F")*(CriteriTecnici!$T$5:$T$6173="SI")*IFERROR(CriteriTecnici!$O$5:$O$6173*1,0))))),0)+IF(SUMPRODUCT(MAX((CriteriTecnici!$C$5:$C$6173=$C121)*(CriteriTecnici!$E$5:$E$6173="G")*(CriteriTecnici!$T$5:$T$6173="SI")*IFERROR(CriteriTecnici!$O$5:$O$6173*1,0)))&gt;0,MIN(7,SUMIFS(CriteriTecnici!$O:$O,CriteriTecnici!$Q:$Q,$A121&amp;"|"&amp;$C121,CriteriTecnici!$E:$E,"G")*(7/SUMPRODUCT(MAX((CriteriTecnici!$C$5:$C$6173=$C121)*(CriteriTecnici!$E$5:$E$6173="G")*(CriteriTecnici!$T$5:$T$6173="SI")*IFERROR(CriteriTecnici!$O$5:$O$6173*1,0))))),0),4),0),IFERROR($N121*1,0)),0))</f>
        <v/>
      </c>
      <c r="F121" s="56">
        <f>IF(Compila!$A131="","",Compila!$E131)</f>
        <v/>
      </c>
      <c r="G121" s="57">
        <f>IF($A121="","",IF(IFERROR(VALUE($D121),0)&lt;&gt;1,"NO",IF(IFERROR(VALUE($O121),0)&gt;=Parametri!$B$2,"SI","NO")))</f>
        <v/>
      </c>
      <c r="H121" s="57">
        <f>IF($G121="SI",SUMPRODUCT(MAX(($C$2:$C$200=$C121)*(IFERROR($D$2:$D$200*1,0)=1)*(IFERROR($O$2:$O$200*1,0)&gt;=Parametri!$B$2)*IFERROR($F$2:$F$200*1,0))),0)</f>
        <v/>
      </c>
      <c r="I121" s="57">
        <f>IF($G121="SI",IF($H121&gt;0,30*(IFERROR($F121*1,0)/$H121),0),0)</f>
        <v/>
      </c>
      <c r="J121" s="57">
        <f>IF($A121="",0,IF($G121="SI",ROUND(IFERROR($E121*1,0)+$I121,4),ROUND(IFERROR($E121*1,0),4)))</f>
        <v/>
      </c>
      <c r="K121" s="57">
        <f>IF($A121="","",IF(IFERROR(VALUE($D121),0)&lt;&gt;1,"Non attiva",IF(IFERROR(VALUE($O121),0)&lt;Parametri!$B$2,"Sotto soglia","")))</f>
        <v/>
      </c>
      <c r="L121" s="57">
        <f>IF($A121="","",$A121&amp;"|"&amp;$C121)</f>
        <v/>
      </c>
      <c r="M121" s="57">
        <f>IF($A121="","",$C121&amp;"|"&amp;TEXT($J121,"0.0000"))</f>
        <v/>
      </c>
      <c r="N121" s="57" t="n"/>
      <c r="O121" s="57">
        <f>IF($A121="",0,IFERROR(IF(SUMIFS(CriteriTecnici!$O:$O,CriteriTecnici!$Q:$Q,$A121&amp;"|"&amp;$C121)&gt;0,SUMIFS(CriteriTecnici!$O:$O,CriteriTecnici!$Q:$Q,$A121&amp;"|"&amp;$C121,CriteriTecnici!$F:$F,"Q")+SUMIFS(CriteriTecnici!$O:$O,CriteriTecnici!$Q:$Q,$A121&amp;"|"&amp;$C121,CriteriTecnici!$F:$F,"T"),IFERROR($N121*1,0)),0))</f>
        <v/>
      </c>
      <c r="P121" s="57">
        <f>IF($A121="","",IF(SUMIFS(CriteriTecnici!$O:$O,CriteriTecnici!$Q:$Q,$A121&amp;"|"&amp;$C121)&gt;0,"Criteri A-G","Aggregato"))</f>
        <v/>
      </c>
    </row>
    <row r="122">
      <c r="A122" s="56">
        <f>IF(Compila!$A132="","",Compila!$A132)</f>
        <v/>
      </c>
      <c r="B122" s="56">
        <f>IF(Compila!$A132="","",Compila!$B132)</f>
        <v/>
      </c>
      <c r="C122" s="56">
        <f>IF(Compila!$A132="","",Compila!$C132)</f>
        <v/>
      </c>
      <c r="D122" s="56">
        <f>IF(Compila!$A132="","",Compila!$D132)</f>
        <v/>
      </c>
      <c r="E122" s="57">
        <f>IF($A122="",0,IFERROR(IF(SUMIFS(CriteriTecnici!$O:$O,CriteriTecnici!$Q:$Q,$A122&amp;"|"&amp;$C122)&gt;0,IF($G122="SI",ROUND(IF(SUMPRODUCT(MAX((CriteriTecnici!$C$5:$C$6173=$C122)*(CriteriTecnici!$E$5:$E$6173="A")*(CriteriTecnici!$T$5:$T$6173="SI")*IFERROR(CriteriTecnici!$O$5:$O$6173*1,0)))&gt;0,MIN(7,SUMIFS(CriteriTecnici!$O:$O,CriteriTecnici!$Q:$Q,$A122&amp;"|"&amp;$C122,CriteriTecnici!$E:$E,"A")*(7/SUMPRODUCT(MAX((CriteriTecnici!$C$5:$C$6173=$C122)*(CriteriTecnici!$E$5:$E$6173="A")*(CriteriTecnici!$T$5:$T$6173="SI")*IFERROR(CriteriTecnici!$O$5:$O$6173*1,0))))),0)+IF(SUMPRODUCT(MAX((CriteriTecnici!$C$5:$C$6173=$C122)*(CriteriTecnici!$E$5:$E$6173="B")*(CriteriTecnici!$T$5:$T$6173="SI")*IFERROR(CriteriTecnici!$O$5:$O$6173*1,0)))&gt;0,MIN(14,SUMIFS(CriteriTecnici!$O:$O,CriteriTecnici!$Q:$Q,$A122&amp;"|"&amp;$C122,CriteriTecnici!$E:$E,"B")*(14/SUMPRODUCT(MAX((CriteriTecnici!$C$5:$C$6173=$C122)*(CriteriTecnici!$E$5:$E$6173="B")*(CriteriTecnici!$T$5:$T$6173="SI")*IFERROR(CriteriTecnici!$O$5:$O$6173*1,0))))),0)+IF(SUMPRODUCT(MAX((CriteriTecnici!$C$5:$C$6173=$C122)*(CriteriTecnici!$E$5:$E$6173="C")*(CriteriTecnici!$T$5:$T$6173="SI")*IFERROR(CriteriTecnici!$O$5:$O$6173*1,0)))&gt;0,MIN(14,SUMIFS(CriteriTecnici!$O:$O,CriteriTecnici!$Q:$Q,$A122&amp;"|"&amp;$C122,CriteriTecnici!$E:$E,"C")*(14/SUMPRODUCT(MAX((CriteriTecnici!$C$5:$C$6173=$C122)*(CriteriTecnici!$E$5:$E$6173="C")*(CriteriTecnici!$T$5:$T$6173="SI")*IFERROR(CriteriTecnici!$O$5:$O$6173*1,0))))),0)+IF(SUMPRODUCT(MAX((CriteriTecnici!$C$5:$C$6173=$C122)*(CriteriTecnici!$E$5:$E$6173="D")*(CriteriTecnici!$T$5:$T$6173="SI")*IFERROR(CriteriTecnici!$O$5:$O$6173*1,0)))&gt;0,MIN(10,SUMIFS(CriteriTecnici!$O:$O,CriteriTecnici!$Q:$Q,$A122&amp;"|"&amp;$C122,CriteriTecnici!$E:$E,"D")*(10/SUMPRODUCT(MAX((CriteriTecnici!$C$5:$C$6173=$C122)*(CriteriTecnici!$E$5:$E$6173="D")*(CriteriTecnici!$T$5:$T$6173="SI")*IFERROR(CriteriTecnici!$O$5:$O$6173*1,0))))),0)+IF(SUMPRODUCT(MAX((CriteriTecnici!$C$5:$C$6173=$C122)*(CriteriTecnici!$E$5:$E$6173="E")*(CriteriTecnici!$T$5:$T$6173="SI")*IFERROR(CriteriTecnici!$O$5:$O$6173*1,0)))&gt;0,MIN(4,SUMIFS(CriteriTecnici!$O:$O,CriteriTecnici!$Q:$Q,$A122&amp;"|"&amp;$C122,CriteriTecnici!$E:$E,"E")*(4/SUMPRODUCT(MAX((CriteriTecnici!$C$5:$C$6173=$C122)*(CriteriTecnici!$E$5:$E$6173="E")*(CriteriTecnici!$T$5:$T$6173="SI")*IFERROR(CriteriTecnici!$O$5:$O$6173*1,0))))),0)+IF(SUMPRODUCT(MAX((CriteriTecnici!$C$5:$C$6173=$C122)*(CriteriTecnici!$E$5:$E$6173="F")*(CriteriTecnici!$T$5:$T$6173="SI")*IFERROR(CriteriTecnici!$O$5:$O$6173*1,0)))&gt;0,MIN(14,SUMIFS(CriteriTecnici!$O:$O,CriteriTecnici!$Q:$Q,$A122&amp;"|"&amp;$C122,CriteriTecnici!$E:$E,"F")*(14/SUMPRODUCT(MAX((CriteriTecnici!$C$5:$C$6173=$C122)*(CriteriTecnici!$E$5:$E$6173="F")*(CriteriTecnici!$T$5:$T$6173="SI")*IFERROR(CriteriTecnici!$O$5:$O$6173*1,0))))),0)+IF(SUMPRODUCT(MAX((CriteriTecnici!$C$5:$C$6173=$C122)*(CriteriTecnici!$E$5:$E$6173="G")*(CriteriTecnici!$T$5:$T$6173="SI")*IFERROR(CriteriTecnici!$O$5:$O$6173*1,0)))&gt;0,MIN(7,SUMIFS(CriteriTecnici!$O:$O,CriteriTecnici!$Q:$Q,$A122&amp;"|"&amp;$C122,CriteriTecnici!$E:$E,"G")*(7/SUMPRODUCT(MAX((CriteriTecnici!$C$5:$C$6173=$C122)*(CriteriTecnici!$E$5:$E$6173="G")*(CriteriTecnici!$T$5:$T$6173="SI")*IFERROR(CriteriTecnici!$O$5:$O$6173*1,0))))),0),4),0),IFERROR($N122*1,0)),0))</f>
        <v/>
      </c>
      <c r="F122" s="56">
        <f>IF(Compila!$A132="","",Compila!$E132)</f>
        <v/>
      </c>
      <c r="G122" s="57">
        <f>IF($A122="","",IF(IFERROR(VALUE($D122),0)&lt;&gt;1,"NO",IF(IFERROR(VALUE($O122),0)&gt;=Parametri!$B$2,"SI","NO")))</f>
        <v/>
      </c>
      <c r="H122" s="57">
        <f>IF($G122="SI",SUMPRODUCT(MAX(($C$2:$C$200=$C122)*(IFERROR($D$2:$D$200*1,0)=1)*(IFERROR($O$2:$O$200*1,0)&gt;=Parametri!$B$2)*IFERROR($F$2:$F$200*1,0))),0)</f>
        <v/>
      </c>
      <c r="I122" s="57">
        <f>IF($G122="SI",IF($H122&gt;0,30*(IFERROR($F122*1,0)/$H122),0),0)</f>
        <v/>
      </c>
      <c r="J122" s="57">
        <f>IF($A122="",0,IF($G122="SI",ROUND(IFERROR($E122*1,0)+$I122,4),ROUND(IFERROR($E122*1,0),4)))</f>
        <v/>
      </c>
      <c r="K122" s="57">
        <f>IF($A122="","",IF(IFERROR(VALUE($D122),0)&lt;&gt;1,"Non attiva",IF(IFERROR(VALUE($O122),0)&lt;Parametri!$B$2,"Sotto soglia","")))</f>
        <v/>
      </c>
      <c r="L122" s="57">
        <f>IF($A122="","",$A122&amp;"|"&amp;$C122)</f>
        <v/>
      </c>
      <c r="M122" s="57">
        <f>IF($A122="","",$C122&amp;"|"&amp;TEXT($J122,"0.0000"))</f>
        <v/>
      </c>
      <c r="N122" s="57" t="n"/>
      <c r="O122" s="57">
        <f>IF($A122="",0,IFERROR(IF(SUMIFS(CriteriTecnici!$O:$O,CriteriTecnici!$Q:$Q,$A122&amp;"|"&amp;$C122)&gt;0,SUMIFS(CriteriTecnici!$O:$O,CriteriTecnici!$Q:$Q,$A122&amp;"|"&amp;$C122,CriteriTecnici!$F:$F,"Q")+SUMIFS(CriteriTecnici!$O:$O,CriteriTecnici!$Q:$Q,$A122&amp;"|"&amp;$C122,CriteriTecnici!$F:$F,"T"),IFERROR($N122*1,0)),0))</f>
        <v/>
      </c>
      <c r="P122" s="57">
        <f>IF($A122="","",IF(SUMIFS(CriteriTecnici!$O:$O,CriteriTecnici!$Q:$Q,$A122&amp;"|"&amp;$C122)&gt;0,"Criteri A-G","Aggregato"))</f>
        <v/>
      </c>
    </row>
    <row r="123">
      <c r="A123" s="56">
        <f>IF(Compila!$A133="","",Compila!$A133)</f>
        <v/>
      </c>
      <c r="B123" s="56">
        <f>IF(Compila!$A133="","",Compila!$B133)</f>
        <v/>
      </c>
      <c r="C123" s="56">
        <f>IF(Compila!$A133="","",Compila!$C133)</f>
        <v/>
      </c>
      <c r="D123" s="56">
        <f>IF(Compila!$A133="","",Compila!$D133)</f>
        <v/>
      </c>
      <c r="E123" s="57">
        <f>IF($A123="",0,IFERROR(IF(SUMIFS(CriteriTecnici!$O:$O,CriteriTecnici!$Q:$Q,$A123&amp;"|"&amp;$C123)&gt;0,IF($G123="SI",ROUND(IF(SUMPRODUCT(MAX((CriteriTecnici!$C$5:$C$6173=$C123)*(CriteriTecnici!$E$5:$E$6173="A")*(CriteriTecnici!$T$5:$T$6173="SI")*IFERROR(CriteriTecnici!$O$5:$O$6173*1,0)))&gt;0,MIN(7,SUMIFS(CriteriTecnici!$O:$O,CriteriTecnici!$Q:$Q,$A123&amp;"|"&amp;$C123,CriteriTecnici!$E:$E,"A")*(7/SUMPRODUCT(MAX((CriteriTecnici!$C$5:$C$6173=$C123)*(CriteriTecnici!$E$5:$E$6173="A")*(CriteriTecnici!$T$5:$T$6173="SI")*IFERROR(CriteriTecnici!$O$5:$O$6173*1,0))))),0)+IF(SUMPRODUCT(MAX((CriteriTecnici!$C$5:$C$6173=$C123)*(CriteriTecnici!$E$5:$E$6173="B")*(CriteriTecnici!$T$5:$T$6173="SI")*IFERROR(CriteriTecnici!$O$5:$O$6173*1,0)))&gt;0,MIN(14,SUMIFS(CriteriTecnici!$O:$O,CriteriTecnici!$Q:$Q,$A123&amp;"|"&amp;$C123,CriteriTecnici!$E:$E,"B")*(14/SUMPRODUCT(MAX((CriteriTecnici!$C$5:$C$6173=$C123)*(CriteriTecnici!$E$5:$E$6173="B")*(CriteriTecnici!$T$5:$T$6173="SI")*IFERROR(CriteriTecnici!$O$5:$O$6173*1,0))))),0)+IF(SUMPRODUCT(MAX((CriteriTecnici!$C$5:$C$6173=$C123)*(CriteriTecnici!$E$5:$E$6173="C")*(CriteriTecnici!$T$5:$T$6173="SI")*IFERROR(CriteriTecnici!$O$5:$O$6173*1,0)))&gt;0,MIN(14,SUMIFS(CriteriTecnici!$O:$O,CriteriTecnici!$Q:$Q,$A123&amp;"|"&amp;$C123,CriteriTecnici!$E:$E,"C")*(14/SUMPRODUCT(MAX((CriteriTecnici!$C$5:$C$6173=$C123)*(CriteriTecnici!$E$5:$E$6173="C")*(CriteriTecnici!$T$5:$T$6173="SI")*IFERROR(CriteriTecnici!$O$5:$O$6173*1,0))))),0)+IF(SUMPRODUCT(MAX((CriteriTecnici!$C$5:$C$6173=$C123)*(CriteriTecnici!$E$5:$E$6173="D")*(CriteriTecnici!$T$5:$T$6173="SI")*IFERROR(CriteriTecnici!$O$5:$O$6173*1,0)))&gt;0,MIN(10,SUMIFS(CriteriTecnici!$O:$O,CriteriTecnici!$Q:$Q,$A123&amp;"|"&amp;$C123,CriteriTecnici!$E:$E,"D")*(10/SUMPRODUCT(MAX((CriteriTecnici!$C$5:$C$6173=$C123)*(CriteriTecnici!$E$5:$E$6173="D")*(CriteriTecnici!$T$5:$T$6173="SI")*IFERROR(CriteriTecnici!$O$5:$O$6173*1,0))))),0)+IF(SUMPRODUCT(MAX((CriteriTecnici!$C$5:$C$6173=$C123)*(CriteriTecnici!$E$5:$E$6173="E")*(CriteriTecnici!$T$5:$T$6173="SI")*IFERROR(CriteriTecnici!$O$5:$O$6173*1,0)))&gt;0,MIN(4,SUMIFS(CriteriTecnici!$O:$O,CriteriTecnici!$Q:$Q,$A123&amp;"|"&amp;$C123,CriteriTecnici!$E:$E,"E")*(4/SUMPRODUCT(MAX((CriteriTecnici!$C$5:$C$6173=$C123)*(CriteriTecnici!$E$5:$E$6173="E")*(CriteriTecnici!$T$5:$T$6173="SI")*IFERROR(CriteriTecnici!$O$5:$O$6173*1,0))))),0)+IF(SUMPRODUCT(MAX((CriteriTecnici!$C$5:$C$6173=$C123)*(CriteriTecnici!$E$5:$E$6173="F")*(CriteriTecnici!$T$5:$T$6173="SI")*IFERROR(CriteriTecnici!$O$5:$O$6173*1,0)))&gt;0,MIN(14,SUMIFS(CriteriTecnici!$O:$O,CriteriTecnici!$Q:$Q,$A123&amp;"|"&amp;$C123,CriteriTecnici!$E:$E,"F")*(14/SUMPRODUCT(MAX((CriteriTecnici!$C$5:$C$6173=$C123)*(CriteriTecnici!$E$5:$E$6173="F")*(CriteriTecnici!$T$5:$T$6173="SI")*IFERROR(CriteriTecnici!$O$5:$O$6173*1,0))))),0)+IF(SUMPRODUCT(MAX((CriteriTecnici!$C$5:$C$6173=$C123)*(CriteriTecnici!$E$5:$E$6173="G")*(CriteriTecnici!$T$5:$T$6173="SI")*IFERROR(CriteriTecnici!$O$5:$O$6173*1,0)))&gt;0,MIN(7,SUMIFS(CriteriTecnici!$O:$O,CriteriTecnici!$Q:$Q,$A123&amp;"|"&amp;$C123,CriteriTecnici!$E:$E,"G")*(7/SUMPRODUCT(MAX((CriteriTecnici!$C$5:$C$6173=$C123)*(CriteriTecnici!$E$5:$E$6173="G")*(CriteriTecnici!$T$5:$T$6173="SI")*IFERROR(CriteriTecnici!$O$5:$O$6173*1,0))))),0),4),0),IFERROR($N123*1,0)),0))</f>
        <v/>
      </c>
      <c r="F123" s="56">
        <f>IF(Compila!$A133="","",Compila!$E133)</f>
        <v/>
      </c>
      <c r="G123" s="57">
        <f>IF($A123="","",IF(IFERROR(VALUE($D123),0)&lt;&gt;1,"NO",IF(IFERROR(VALUE($O123),0)&gt;=Parametri!$B$2,"SI","NO")))</f>
        <v/>
      </c>
      <c r="H123" s="57">
        <f>IF($G123="SI",SUMPRODUCT(MAX(($C$2:$C$200=$C123)*(IFERROR($D$2:$D$200*1,0)=1)*(IFERROR($O$2:$O$200*1,0)&gt;=Parametri!$B$2)*IFERROR($F$2:$F$200*1,0))),0)</f>
        <v/>
      </c>
      <c r="I123" s="57">
        <f>IF($G123="SI",IF($H123&gt;0,30*(IFERROR($F123*1,0)/$H123),0),0)</f>
        <v/>
      </c>
      <c r="J123" s="57">
        <f>IF($A123="",0,IF($G123="SI",ROUND(IFERROR($E123*1,0)+$I123,4),ROUND(IFERROR($E123*1,0),4)))</f>
        <v/>
      </c>
      <c r="K123" s="57">
        <f>IF($A123="","",IF(IFERROR(VALUE($D123),0)&lt;&gt;1,"Non attiva",IF(IFERROR(VALUE($O123),0)&lt;Parametri!$B$2,"Sotto soglia","")))</f>
        <v/>
      </c>
      <c r="L123" s="57">
        <f>IF($A123="","",$A123&amp;"|"&amp;$C123)</f>
        <v/>
      </c>
      <c r="M123" s="57">
        <f>IF($A123="","",$C123&amp;"|"&amp;TEXT($J123,"0.0000"))</f>
        <v/>
      </c>
      <c r="N123" s="57" t="n"/>
      <c r="O123" s="57">
        <f>IF($A123="",0,IFERROR(IF(SUMIFS(CriteriTecnici!$O:$O,CriteriTecnici!$Q:$Q,$A123&amp;"|"&amp;$C123)&gt;0,SUMIFS(CriteriTecnici!$O:$O,CriteriTecnici!$Q:$Q,$A123&amp;"|"&amp;$C123,CriteriTecnici!$F:$F,"Q")+SUMIFS(CriteriTecnici!$O:$O,CriteriTecnici!$Q:$Q,$A123&amp;"|"&amp;$C123,CriteriTecnici!$F:$F,"T"),IFERROR($N123*1,0)),0))</f>
        <v/>
      </c>
      <c r="P123" s="57">
        <f>IF($A123="","",IF(SUMIFS(CriteriTecnici!$O:$O,CriteriTecnici!$Q:$Q,$A123&amp;"|"&amp;$C123)&gt;0,"Criteri A-G","Aggregato"))</f>
        <v/>
      </c>
    </row>
    <row r="124">
      <c r="A124" s="56">
        <f>IF(Compila!$A134="","",Compila!$A134)</f>
        <v/>
      </c>
      <c r="B124" s="56">
        <f>IF(Compila!$A134="","",Compila!$B134)</f>
        <v/>
      </c>
      <c r="C124" s="56">
        <f>IF(Compila!$A134="","",Compila!$C134)</f>
        <v/>
      </c>
      <c r="D124" s="56">
        <f>IF(Compila!$A134="","",Compila!$D134)</f>
        <v/>
      </c>
      <c r="E124" s="57">
        <f>IF($A124="",0,IFERROR(IF(SUMIFS(CriteriTecnici!$O:$O,CriteriTecnici!$Q:$Q,$A124&amp;"|"&amp;$C124)&gt;0,IF($G124="SI",ROUND(IF(SUMPRODUCT(MAX((CriteriTecnici!$C$5:$C$6173=$C124)*(CriteriTecnici!$E$5:$E$6173="A")*(CriteriTecnici!$T$5:$T$6173="SI")*IFERROR(CriteriTecnici!$O$5:$O$6173*1,0)))&gt;0,MIN(7,SUMIFS(CriteriTecnici!$O:$O,CriteriTecnici!$Q:$Q,$A124&amp;"|"&amp;$C124,CriteriTecnici!$E:$E,"A")*(7/SUMPRODUCT(MAX((CriteriTecnici!$C$5:$C$6173=$C124)*(CriteriTecnici!$E$5:$E$6173="A")*(CriteriTecnici!$T$5:$T$6173="SI")*IFERROR(CriteriTecnici!$O$5:$O$6173*1,0))))),0)+IF(SUMPRODUCT(MAX((CriteriTecnici!$C$5:$C$6173=$C124)*(CriteriTecnici!$E$5:$E$6173="B")*(CriteriTecnici!$T$5:$T$6173="SI")*IFERROR(CriteriTecnici!$O$5:$O$6173*1,0)))&gt;0,MIN(14,SUMIFS(CriteriTecnici!$O:$O,CriteriTecnici!$Q:$Q,$A124&amp;"|"&amp;$C124,CriteriTecnici!$E:$E,"B")*(14/SUMPRODUCT(MAX((CriteriTecnici!$C$5:$C$6173=$C124)*(CriteriTecnici!$E$5:$E$6173="B")*(CriteriTecnici!$T$5:$T$6173="SI")*IFERROR(CriteriTecnici!$O$5:$O$6173*1,0))))),0)+IF(SUMPRODUCT(MAX((CriteriTecnici!$C$5:$C$6173=$C124)*(CriteriTecnici!$E$5:$E$6173="C")*(CriteriTecnici!$T$5:$T$6173="SI")*IFERROR(CriteriTecnici!$O$5:$O$6173*1,0)))&gt;0,MIN(14,SUMIFS(CriteriTecnici!$O:$O,CriteriTecnici!$Q:$Q,$A124&amp;"|"&amp;$C124,CriteriTecnici!$E:$E,"C")*(14/SUMPRODUCT(MAX((CriteriTecnici!$C$5:$C$6173=$C124)*(CriteriTecnici!$E$5:$E$6173="C")*(CriteriTecnici!$T$5:$T$6173="SI")*IFERROR(CriteriTecnici!$O$5:$O$6173*1,0))))),0)+IF(SUMPRODUCT(MAX((CriteriTecnici!$C$5:$C$6173=$C124)*(CriteriTecnici!$E$5:$E$6173="D")*(CriteriTecnici!$T$5:$T$6173="SI")*IFERROR(CriteriTecnici!$O$5:$O$6173*1,0)))&gt;0,MIN(10,SUMIFS(CriteriTecnici!$O:$O,CriteriTecnici!$Q:$Q,$A124&amp;"|"&amp;$C124,CriteriTecnici!$E:$E,"D")*(10/SUMPRODUCT(MAX((CriteriTecnici!$C$5:$C$6173=$C124)*(CriteriTecnici!$E$5:$E$6173="D")*(CriteriTecnici!$T$5:$T$6173="SI")*IFERROR(CriteriTecnici!$O$5:$O$6173*1,0))))),0)+IF(SUMPRODUCT(MAX((CriteriTecnici!$C$5:$C$6173=$C124)*(CriteriTecnici!$E$5:$E$6173="E")*(CriteriTecnici!$T$5:$T$6173="SI")*IFERROR(CriteriTecnici!$O$5:$O$6173*1,0)))&gt;0,MIN(4,SUMIFS(CriteriTecnici!$O:$O,CriteriTecnici!$Q:$Q,$A124&amp;"|"&amp;$C124,CriteriTecnici!$E:$E,"E")*(4/SUMPRODUCT(MAX((CriteriTecnici!$C$5:$C$6173=$C124)*(CriteriTecnici!$E$5:$E$6173="E")*(CriteriTecnici!$T$5:$T$6173="SI")*IFERROR(CriteriTecnici!$O$5:$O$6173*1,0))))),0)+IF(SUMPRODUCT(MAX((CriteriTecnici!$C$5:$C$6173=$C124)*(CriteriTecnici!$E$5:$E$6173="F")*(CriteriTecnici!$T$5:$T$6173="SI")*IFERROR(CriteriTecnici!$O$5:$O$6173*1,0)))&gt;0,MIN(14,SUMIFS(CriteriTecnici!$O:$O,CriteriTecnici!$Q:$Q,$A124&amp;"|"&amp;$C124,CriteriTecnici!$E:$E,"F")*(14/SUMPRODUCT(MAX((CriteriTecnici!$C$5:$C$6173=$C124)*(CriteriTecnici!$E$5:$E$6173="F")*(CriteriTecnici!$T$5:$T$6173="SI")*IFERROR(CriteriTecnici!$O$5:$O$6173*1,0))))),0)+IF(SUMPRODUCT(MAX((CriteriTecnici!$C$5:$C$6173=$C124)*(CriteriTecnici!$E$5:$E$6173="G")*(CriteriTecnici!$T$5:$T$6173="SI")*IFERROR(CriteriTecnici!$O$5:$O$6173*1,0)))&gt;0,MIN(7,SUMIFS(CriteriTecnici!$O:$O,CriteriTecnici!$Q:$Q,$A124&amp;"|"&amp;$C124,CriteriTecnici!$E:$E,"G")*(7/SUMPRODUCT(MAX((CriteriTecnici!$C$5:$C$6173=$C124)*(CriteriTecnici!$E$5:$E$6173="G")*(CriteriTecnici!$T$5:$T$6173="SI")*IFERROR(CriteriTecnici!$O$5:$O$6173*1,0))))),0),4),0),IFERROR($N124*1,0)),0))</f>
        <v/>
      </c>
      <c r="F124" s="56">
        <f>IF(Compila!$A134="","",Compila!$E134)</f>
        <v/>
      </c>
      <c r="G124" s="57">
        <f>IF($A124="","",IF(IFERROR(VALUE($D124),0)&lt;&gt;1,"NO",IF(IFERROR(VALUE($O124),0)&gt;=Parametri!$B$2,"SI","NO")))</f>
        <v/>
      </c>
      <c r="H124" s="57">
        <f>IF($G124="SI",SUMPRODUCT(MAX(($C$2:$C$200=$C124)*(IFERROR($D$2:$D$200*1,0)=1)*(IFERROR($O$2:$O$200*1,0)&gt;=Parametri!$B$2)*IFERROR($F$2:$F$200*1,0))),0)</f>
        <v/>
      </c>
      <c r="I124" s="57">
        <f>IF($G124="SI",IF($H124&gt;0,30*(IFERROR($F124*1,0)/$H124),0),0)</f>
        <v/>
      </c>
      <c r="J124" s="57">
        <f>IF($A124="",0,IF($G124="SI",ROUND(IFERROR($E124*1,0)+$I124,4),ROUND(IFERROR($E124*1,0),4)))</f>
        <v/>
      </c>
      <c r="K124" s="57">
        <f>IF($A124="","",IF(IFERROR(VALUE($D124),0)&lt;&gt;1,"Non attiva",IF(IFERROR(VALUE($O124),0)&lt;Parametri!$B$2,"Sotto soglia","")))</f>
        <v/>
      </c>
      <c r="L124" s="57">
        <f>IF($A124="","",$A124&amp;"|"&amp;$C124)</f>
        <v/>
      </c>
      <c r="M124" s="57">
        <f>IF($A124="","",$C124&amp;"|"&amp;TEXT($J124,"0.0000"))</f>
        <v/>
      </c>
      <c r="N124" s="57" t="n"/>
      <c r="O124" s="57">
        <f>IF($A124="",0,IFERROR(IF(SUMIFS(CriteriTecnici!$O:$O,CriteriTecnici!$Q:$Q,$A124&amp;"|"&amp;$C124)&gt;0,SUMIFS(CriteriTecnici!$O:$O,CriteriTecnici!$Q:$Q,$A124&amp;"|"&amp;$C124,CriteriTecnici!$F:$F,"Q")+SUMIFS(CriteriTecnici!$O:$O,CriteriTecnici!$Q:$Q,$A124&amp;"|"&amp;$C124,CriteriTecnici!$F:$F,"T"),IFERROR($N124*1,0)),0))</f>
        <v/>
      </c>
      <c r="P124" s="57">
        <f>IF($A124="","",IF(SUMIFS(CriteriTecnici!$O:$O,CriteriTecnici!$Q:$Q,$A124&amp;"|"&amp;$C124)&gt;0,"Criteri A-G","Aggregato"))</f>
        <v/>
      </c>
    </row>
    <row r="125">
      <c r="A125" s="56">
        <f>IF(Compila!$A135="","",Compila!$A135)</f>
        <v/>
      </c>
      <c r="B125" s="56">
        <f>IF(Compila!$A135="","",Compila!$B135)</f>
        <v/>
      </c>
      <c r="C125" s="56">
        <f>IF(Compila!$A135="","",Compila!$C135)</f>
        <v/>
      </c>
      <c r="D125" s="56">
        <f>IF(Compila!$A135="","",Compila!$D135)</f>
        <v/>
      </c>
      <c r="E125" s="57">
        <f>IF($A125="",0,IFERROR(IF(SUMIFS(CriteriTecnici!$O:$O,CriteriTecnici!$Q:$Q,$A125&amp;"|"&amp;$C125)&gt;0,IF($G125="SI",ROUND(IF(SUMPRODUCT(MAX((CriteriTecnici!$C$5:$C$6173=$C125)*(CriteriTecnici!$E$5:$E$6173="A")*(CriteriTecnici!$T$5:$T$6173="SI")*IFERROR(CriteriTecnici!$O$5:$O$6173*1,0)))&gt;0,MIN(7,SUMIFS(CriteriTecnici!$O:$O,CriteriTecnici!$Q:$Q,$A125&amp;"|"&amp;$C125,CriteriTecnici!$E:$E,"A")*(7/SUMPRODUCT(MAX((CriteriTecnici!$C$5:$C$6173=$C125)*(CriteriTecnici!$E$5:$E$6173="A")*(CriteriTecnici!$T$5:$T$6173="SI")*IFERROR(CriteriTecnici!$O$5:$O$6173*1,0))))),0)+IF(SUMPRODUCT(MAX((CriteriTecnici!$C$5:$C$6173=$C125)*(CriteriTecnici!$E$5:$E$6173="B")*(CriteriTecnici!$T$5:$T$6173="SI")*IFERROR(CriteriTecnici!$O$5:$O$6173*1,0)))&gt;0,MIN(14,SUMIFS(CriteriTecnici!$O:$O,CriteriTecnici!$Q:$Q,$A125&amp;"|"&amp;$C125,CriteriTecnici!$E:$E,"B")*(14/SUMPRODUCT(MAX((CriteriTecnici!$C$5:$C$6173=$C125)*(CriteriTecnici!$E$5:$E$6173="B")*(CriteriTecnici!$T$5:$T$6173="SI")*IFERROR(CriteriTecnici!$O$5:$O$6173*1,0))))),0)+IF(SUMPRODUCT(MAX((CriteriTecnici!$C$5:$C$6173=$C125)*(CriteriTecnici!$E$5:$E$6173="C")*(CriteriTecnici!$T$5:$T$6173="SI")*IFERROR(CriteriTecnici!$O$5:$O$6173*1,0)))&gt;0,MIN(14,SUMIFS(CriteriTecnici!$O:$O,CriteriTecnici!$Q:$Q,$A125&amp;"|"&amp;$C125,CriteriTecnici!$E:$E,"C")*(14/SUMPRODUCT(MAX((CriteriTecnici!$C$5:$C$6173=$C125)*(CriteriTecnici!$E$5:$E$6173="C")*(CriteriTecnici!$T$5:$T$6173="SI")*IFERROR(CriteriTecnici!$O$5:$O$6173*1,0))))),0)+IF(SUMPRODUCT(MAX((CriteriTecnici!$C$5:$C$6173=$C125)*(CriteriTecnici!$E$5:$E$6173="D")*(CriteriTecnici!$T$5:$T$6173="SI")*IFERROR(CriteriTecnici!$O$5:$O$6173*1,0)))&gt;0,MIN(10,SUMIFS(CriteriTecnici!$O:$O,CriteriTecnici!$Q:$Q,$A125&amp;"|"&amp;$C125,CriteriTecnici!$E:$E,"D")*(10/SUMPRODUCT(MAX((CriteriTecnici!$C$5:$C$6173=$C125)*(CriteriTecnici!$E$5:$E$6173="D")*(CriteriTecnici!$T$5:$T$6173="SI")*IFERROR(CriteriTecnici!$O$5:$O$6173*1,0))))),0)+IF(SUMPRODUCT(MAX((CriteriTecnici!$C$5:$C$6173=$C125)*(CriteriTecnici!$E$5:$E$6173="E")*(CriteriTecnici!$T$5:$T$6173="SI")*IFERROR(CriteriTecnici!$O$5:$O$6173*1,0)))&gt;0,MIN(4,SUMIFS(CriteriTecnici!$O:$O,CriteriTecnici!$Q:$Q,$A125&amp;"|"&amp;$C125,CriteriTecnici!$E:$E,"E")*(4/SUMPRODUCT(MAX((CriteriTecnici!$C$5:$C$6173=$C125)*(CriteriTecnici!$E$5:$E$6173="E")*(CriteriTecnici!$T$5:$T$6173="SI")*IFERROR(CriteriTecnici!$O$5:$O$6173*1,0))))),0)+IF(SUMPRODUCT(MAX((CriteriTecnici!$C$5:$C$6173=$C125)*(CriteriTecnici!$E$5:$E$6173="F")*(CriteriTecnici!$T$5:$T$6173="SI")*IFERROR(CriteriTecnici!$O$5:$O$6173*1,0)))&gt;0,MIN(14,SUMIFS(CriteriTecnici!$O:$O,CriteriTecnici!$Q:$Q,$A125&amp;"|"&amp;$C125,CriteriTecnici!$E:$E,"F")*(14/SUMPRODUCT(MAX((CriteriTecnici!$C$5:$C$6173=$C125)*(CriteriTecnici!$E$5:$E$6173="F")*(CriteriTecnici!$T$5:$T$6173="SI")*IFERROR(CriteriTecnici!$O$5:$O$6173*1,0))))),0)+IF(SUMPRODUCT(MAX((CriteriTecnici!$C$5:$C$6173=$C125)*(CriteriTecnici!$E$5:$E$6173="G")*(CriteriTecnici!$T$5:$T$6173="SI")*IFERROR(CriteriTecnici!$O$5:$O$6173*1,0)))&gt;0,MIN(7,SUMIFS(CriteriTecnici!$O:$O,CriteriTecnici!$Q:$Q,$A125&amp;"|"&amp;$C125,CriteriTecnici!$E:$E,"G")*(7/SUMPRODUCT(MAX((CriteriTecnici!$C$5:$C$6173=$C125)*(CriteriTecnici!$E$5:$E$6173="G")*(CriteriTecnici!$T$5:$T$6173="SI")*IFERROR(CriteriTecnici!$O$5:$O$6173*1,0))))),0),4),0),IFERROR($N125*1,0)),0))</f>
        <v/>
      </c>
      <c r="F125" s="56">
        <f>IF(Compila!$A135="","",Compila!$E135)</f>
        <v/>
      </c>
      <c r="G125" s="57">
        <f>IF($A125="","",IF(IFERROR(VALUE($D125),0)&lt;&gt;1,"NO",IF(IFERROR(VALUE($O125),0)&gt;=Parametri!$B$2,"SI","NO")))</f>
        <v/>
      </c>
      <c r="H125" s="57">
        <f>IF($G125="SI",SUMPRODUCT(MAX(($C$2:$C$200=$C125)*(IFERROR($D$2:$D$200*1,0)=1)*(IFERROR($O$2:$O$200*1,0)&gt;=Parametri!$B$2)*IFERROR($F$2:$F$200*1,0))),0)</f>
        <v/>
      </c>
      <c r="I125" s="57">
        <f>IF($G125="SI",IF($H125&gt;0,30*(IFERROR($F125*1,0)/$H125),0),0)</f>
        <v/>
      </c>
      <c r="J125" s="57">
        <f>IF($A125="",0,IF($G125="SI",ROUND(IFERROR($E125*1,0)+$I125,4),ROUND(IFERROR($E125*1,0),4)))</f>
        <v/>
      </c>
      <c r="K125" s="57">
        <f>IF($A125="","",IF(IFERROR(VALUE($D125),0)&lt;&gt;1,"Non attiva",IF(IFERROR(VALUE($O125),0)&lt;Parametri!$B$2,"Sotto soglia","")))</f>
        <v/>
      </c>
      <c r="L125" s="57">
        <f>IF($A125="","",$A125&amp;"|"&amp;$C125)</f>
        <v/>
      </c>
      <c r="M125" s="57">
        <f>IF($A125="","",$C125&amp;"|"&amp;TEXT($J125,"0.0000"))</f>
        <v/>
      </c>
      <c r="N125" s="57" t="n"/>
      <c r="O125" s="57">
        <f>IF($A125="",0,IFERROR(IF(SUMIFS(CriteriTecnici!$O:$O,CriteriTecnici!$Q:$Q,$A125&amp;"|"&amp;$C125)&gt;0,SUMIFS(CriteriTecnici!$O:$O,CriteriTecnici!$Q:$Q,$A125&amp;"|"&amp;$C125,CriteriTecnici!$F:$F,"Q")+SUMIFS(CriteriTecnici!$O:$O,CriteriTecnici!$Q:$Q,$A125&amp;"|"&amp;$C125,CriteriTecnici!$F:$F,"T"),IFERROR($N125*1,0)),0))</f>
        <v/>
      </c>
      <c r="P125" s="57">
        <f>IF($A125="","",IF(SUMIFS(CriteriTecnici!$O:$O,CriteriTecnici!$Q:$Q,$A125&amp;"|"&amp;$C125)&gt;0,"Criteri A-G","Aggregato"))</f>
        <v/>
      </c>
    </row>
    <row r="126">
      <c r="A126" s="56">
        <f>IF(Compila!$A136="","",Compila!$A136)</f>
        <v/>
      </c>
      <c r="B126" s="56">
        <f>IF(Compila!$A136="","",Compila!$B136)</f>
        <v/>
      </c>
      <c r="C126" s="56">
        <f>IF(Compila!$A136="","",Compila!$C136)</f>
        <v/>
      </c>
      <c r="D126" s="56">
        <f>IF(Compila!$A136="","",Compila!$D136)</f>
        <v/>
      </c>
      <c r="E126" s="57">
        <f>IF($A126="",0,IFERROR(IF(SUMIFS(CriteriTecnici!$O:$O,CriteriTecnici!$Q:$Q,$A126&amp;"|"&amp;$C126)&gt;0,IF($G126="SI",ROUND(IF(SUMPRODUCT(MAX((CriteriTecnici!$C$5:$C$6173=$C126)*(CriteriTecnici!$E$5:$E$6173="A")*(CriteriTecnici!$T$5:$T$6173="SI")*IFERROR(CriteriTecnici!$O$5:$O$6173*1,0)))&gt;0,MIN(7,SUMIFS(CriteriTecnici!$O:$O,CriteriTecnici!$Q:$Q,$A126&amp;"|"&amp;$C126,CriteriTecnici!$E:$E,"A")*(7/SUMPRODUCT(MAX((CriteriTecnici!$C$5:$C$6173=$C126)*(CriteriTecnici!$E$5:$E$6173="A")*(CriteriTecnici!$T$5:$T$6173="SI")*IFERROR(CriteriTecnici!$O$5:$O$6173*1,0))))),0)+IF(SUMPRODUCT(MAX((CriteriTecnici!$C$5:$C$6173=$C126)*(CriteriTecnici!$E$5:$E$6173="B")*(CriteriTecnici!$T$5:$T$6173="SI")*IFERROR(CriteriTecnici!$O$5:$O$6173*1,0)))&gt;0,MIN(14,SUMIFS(CriteriTecnici!$O:$O,CriteriTecnici!$Q:$Q,$A126&amp;"|"&amp;$C126,CriteriTecnici!$E:$E,"B")*(14/SUMPRODUCT(MAX((CriteriTecnici!$C$5:$C$6173=$C126)*(CriteriTecnici!$E$5:$E$6173="B")*(CriteriTecnici!$T$5:$T$6173="SI")*IFERROR(CriteriTecnici!$O$5:$O$6173*1,0))))),0)+IF(SUMPRODUCT(MAX((CriteriTecnici!$C$5:$C$6173=$C126)*(CriteriTecnici!$E$5:$E$6173="C")*(CriteriTecnici!$T$5:$T$6173="SI")*IFERROR(CriteriTecnici!$O$5:$O$6173*1,0)))&gt;0,MIN(14,SUMIFS(CriteriTecnici!$O:$O,CriteriTecnici!$Q:$Q,$A126&amp;"|"&amp;$C126,CriteriTecnici!$E:$E,"C")*(14/SUMPRODUCT(MAX((CriteriTecnici!$C$5:$C$6173=$C126)*(CriteriTecnici!$E$5:$E$6173="C")*(CriteriTecnici!$T$5:$T$6173="SI")*IFERROR(CriteriTecnici!$O$5:$O$6173*1,0))))),0)+IF(SUMPRODUCT(MAX((CriteriTecnici!$C$5:$C$6173=$C126)*(CriteriTecnici!$E$5:$E$6173="D")*(CriteriTecnici!$T$5:$T$6173="SI")*IFERROR(CriteriTecnici!$O$5:$O$6173*1,0)))&gt;0,MIN(10,SUMIFS(CriteriTecnici!$O:$O,CriteriTecnici!$Q:$Q,$A126&amp;"|"&amp;$C126,CriteriTecnici!$E:$E,"D")*(10/SUMPRODUCT(MAX((CriteriTecnici!$C$5:$C$6173=$C126)*(CriteriTecnici!$E$5:$E$6173="D")*(CriteriTecnici!$T$5:$T$6173="SI")*IFERROR(CriteriTecnici!$O$5:$O$6173*1,0))))),0)+IF(SUMPRODUCT(MAX((CriteriTecnici!$C$5:$C$6173=$C126)*(CriteriTecnici!$E$5:$E$6173="E")*(CriteriTecnici!$T$5:$T$6173="SI")*IFERROR(CriteriTecnici!$O$5:$O$6173*1,0)))&gt;0,MIN(4,SUMIFS(CriteriTecnici!$O:$O,CriteriTecnici!$Q:$Q,$A126&amp;"|"&amp;$C126,CriteriTecnici!$E:$E,"E")*(4/SUMPRODUCT(MAX((CriteriTecnici!$C$5:$C$6173=$C126)*(CriteriTecnici!$E$5:$E$6173="E")*(CriteriTecnici!$T$5:$T$6173="SI")*IFERROR(CriteriTecnici!$O$5:$O$6173*1,0))))),0)+IF(SUMPRODUCT(MAX((CriteriTecnici!$C$5:$C$6173=$C126)*(CriteriTecnici!$E$5:$E$6173="F")*(CriteriTecnici!$T$5:$T$6173="SI")*IFERROR(CriteriTecnici!$O$5:$O$6173*1,0)))&gt;0,MIN(14,SUMIFS(CriteriTecnici!$O:$O,CriteriTecnici!$Q:$Q,$A126&amp;"|"&amp;$C126,CriteriTecnici!$E:$E,"F")*(14/SUMPRODUCT(MAX((CriteriTecnici!$C$5:$C$6173=$C126)*(CriteriTecnici!$E$5:$E$6173="F")*(CriteriTecnici!$T$5:$T$6173="SI")*IFERROR(CriteriTecnici!$O$5:$O$6173*1,0))))),0)+IF(SUMPRODUCT(MAX((CriteriTecnici!$C$5:$C$6173=$C126)*(CriteriTecnici!$E$5:$E$6173="G")*(CriteriTecnici!$T$5:$T$6173="SI")*IFERROR(CriteriTecnici!$O$5:$O$6173*1,0)))&gt;0,MIN(7,SUMIFS(CriteriTecnici!$O:$O,CriteriTecnici!$Q:$Q,$A126&amp;"|"&amp;$C126,CriteriTecnici!$E:$E,"G")*(7/SUMPRODUCT(MAX((CriteriTecnici!$C$5:$C$6173=$C126)*(CriteriTecnici!$E$5:$E$6173="G")*(CriteriTecnici!$T$5:$T$6173="SI")*IFERROR(CriteriTecnici!$O$5:$O$6173*1,0))))),0),4),0),IFERROR($N126*1,0)),0))</f>
        <v/>
      </c>
      <c r="F126" s="56">
        <f>IF(Compila!$A136="","",Compila!$E136)</f>
        <v/>
      </c>
      <c r="G126" s="57">
        <f>IF($A126="","",IF(IFERROR(VALUE($D126),0)&lt;&gt;1,"NO",IF(IFERROR(VALUE($O126),0)&gt;=Parametri!$B$2,"SI","NO")))</f>
        <v/>
      </c>
      <c r="H126" s="57">
        <f>IF($G126="SI",SUMPRODUCT(MAX(($C$2:$C$200=$C126)*(IFERROR($D$2:$D$200*1,0)=1)*(IFERROR($O$2:$O$200*1,0)&gt;=Parametri!$B$2)*IFERROR($F$2:$F$200*1,0))),0)</f>
        <v/>
      </c>
      <c r="I126" s="57">
        <f>IF($G126="SI",IF($H126&gt;0,30*(IFERROR($F126*1,0)/$H126),0),0)</f>
        <v/>
      </c>
      <c r="J126" s="57">
        <f>IF($A126="",0,IF($G126="SI",ROUND(IFERROR($E126*1,0)+$I126,4),ROUND(IFERROR($E126*1,0),4)))</f>
        <v/>
      </c>
      <c r="K126" s="57">
        <f>IF($A126="","",IF(IFERROR(VALUE($D126),0)&lt;&gt;1,"Non attiva",IF(IFERROR(VALUE($O126),0)&lt;Parametri!$B$2,"Sotto soglia","")))</f>
        <v/>
      </c>
      <c r="L126" s="57">
        <f>IF($A126="","",$A126&amp;"|"&amp;$C126)</f>
        <v/>
      </c>
      <c r="M126" s="57">
        <f>IF($A126="","",$C126&amp;"|"&amp;TEXT($J126,"0.0000"))</f>
        <v/>
      </c>
      <c r="N126" s="57" t="n"/>
      <c r="O126" s="57">
        <f>IF($A126="",0,IFERROR(IF(SUMIFS(CriteriTecnici!$O:$O,CriteriTecnici!$Q:$Q,$A126&amp;"|"&amp;$C126)&gt;0,SUMIFS(CriteriTecnici!$O:$O,CriteriTecnici!$Q:$Q,$A126&amp;"|"&amp;$C126,CriteriTecnici!$F:$F,"Q")+SUMIFS(CriteriTecnici!$O:$O,CriteriTecnici!$Q:$Q,$A126&amp;"|"&amp;$C126,CriteriTecnici!$F:$F,"T"),IFERROR($N126*1,0)),0))</f>
        <v/>
      </c>
      <c r="P126" s="57">
        <f>IF($A126="","",IF(SUMIFS(CriteriTecnici!$O:$O,CriteriTecnici!$Q:$Q,$A126&amp;"|"&amp;$C126)&gt;0,"Criteri A-G","Aggregato"))</f>
        <v/>
      </c>
    </row>
    <row r="127">
      <c r="A127" s="56">
        <f>IF(Compila!$A137="","",Compila!$A137)</f>
        <v/>
      </c>
      <c r="B127" s="56">
        <f>IF(Compila!$A137="","",Compila!$B137)</f>
        <v/>
      </c>
      <c r="C127" s="56">
        <f>IF(Compila!$A137="","",Compila!$C137)</f>
        <v/>
      </c>
      <c r="D127" s="56">
        <f>IF(Compila!$A137="","",Compila!$D137)</f>
        <v/>
      </c>
      <c r="E127" s="57">
        <f>IF($A127="",0,IFERROR(IF(SUMIFS(CriteriTecnici!$O:$O,CriteriTecnici!$Q:$Q,$A127&amp;"|"&amp;$C127)&gt;0,IF($G127="SI",ROUND(IF(SUMPRODUCT(MAX((CriteriTecnici!$C$5:$C$6173=$C127)*(CriteriTecnici!$E$5:$E$6173="A")*(CriteriTecnici!$T$5:$T$6173="SI")*IFERROR(CriteriTecnici!$O$5:$O$6173*1,0)))&gt;0,MIN(7,SUMIFS(CriteriTecnici!$O:$O,CriteriTecnici!$Q:$Q,$A127&amp;"|"&amp;$C127,CriteriTecnici!$E:$E,"A")*(7/SUMPRODUCT(MAX((CriteriTecnici!$C$5:$C$6173=$C127)*(CriteriTecnici!$E$5:$E$6173="A")*(CriteriTecnici!$T$5:$T$6173="SI")*IFERROR(CriteriTecnici!$O$5:$O$6173*1,0))))),0)+IF(SUMPRODUCT(MAX((CriteriTecnici!$C$5:$C$6173=$C127)*(CriteriTecnici!$E$5:$E$6173="B")*(CriteriTecnici!$T$5:$T$6173="SI")*IFERROR(CriteriTecnici!$O$5:$O$6173*1,0)))&gt;0,MIN(14,SUMIFS(CriteriTecnici!$O:$O,CriteriTecnici!$Q:$Q,$A127&amp;"|"&amp;$C127,CriteriTecnici!$E:$E,"B")*(14/SUMPRODUCT(MAX((CriteriTecnici!$C$5:$C$6173=$C127)*(CriteriTecnici!$E$5:$E$6173="B")*(CriteriTecnici!$T$5:$T$6173="SI")*IFERROR(CriteriTecnici!$O$5:$O$6173*1,0))))),0)+IF(SUMPRODUCT(MAX((CriteriTecnici!$C$5:$C$6173=$C127)*(CriteriTecnici!$E$5:$E$6173="C")*(CriteriTecnici!$T$5:$T$6173="SI")*IFERROR(CriteriTecnici!$O$5:$O$6173*1,0)))&gt;0,MIN(14,SUMIFS(CriteriTecnici!$O:$O,CriteriTecnici!$Q:$Q,$A127&amp;"|"&amp;$C127,CriteriTecnici!$E:$E,"C")*(14/SUMPRODUCT(MAX((CriteriTecnici!$C$5:$C$6173=$C127)*(CriteriTecnici!$E$5:$E$6173="C")*(CriteriTecnici!$T$5:$T$6173="SI")*IFERROR(CriteriTecnici!$O$5:$O$6173*1,0))))),0)+IF(SUMPRODUCT(MAX((CriteriTecnici!$C$5:$C$6173=$C127)*(CriteriTecnici!$E$5:$E$6173="D")*(CriteriTecnici!$T$5:$T$6173="SI")*IFERROR(CriteriTecnici!$O$5:$O$6173*1,0)))&gt;0,MIN(10,SUMIFS(CriteriTecnici!$O:$O,CriteriTecnici!$Q:$Q,$A127&amp;"|"&amp;$C127,CriteriTecnici!$E:$E,"D")*(10/SUMPRODUCT(MAX((CriteriTecnici!$C$5:$C$6173=$C127)*(CriteriTecnici!$E$5:$E$6173="D")*(CriteriTecnici!$T$5:$T$6173="SI")*IFERROR(CriteriTecnici!$O$5:$O$6173*1,0))))),0)+IF(SUMPRODUCT(MAX((CriteriTecnici!$C$5:$C$6173=$C127)*(CriteriTecnici!$E$5:$E$6173="E")*(CriteriTecnici!$T$5:$T$6173="SI")*IFERROR(CriteriTecnici!$O$5:$O$6173*1,0)))&gt;0,MIN(4,SUMIFS(CriteriTecnici!$O:$O,CriteriTecnici!$Q:$Q,$A127&amp;"|"&amp;$C127,CriteriTecnici!$E:$E,"E")*(4/SUMPRODUCT(MAX((CriteriTecnici!$C$5:$C$6173=$C127)*(CriteriTecnici!$E$5:$E$6173="E")*(CriteriTecnici!$T$5:$T$6173="SI")*IFERROR(CriteriTecnici!$O$5:$O$6173*1,0))))),0)+IF(SUMPRODUCT(MAX((CriteriTecnici!$C$5:$C$6173=$C127)*(CriteriTecnici!$E$5:$E$6173="F")*(CriteriTecnici!$T$5:$T$6173="SI")*IFERROR(CriteriTecnici!$O$5:$O$6173*1,0)))&gt;0,MIN(14,SUMIFS(CriteriTecnici!$O:$O,CriteriTecnici!$Q:$Q,$A127&amp;"|"&amp;$C127,CriteriTecnici!$E:$E,"F")*(14/SUMPRODUCT(MAX((CriteriTecnici!$C$5:$C$6173=$C127)*(CriteriTecnici!$E$5:$E$6173="F")*(CriteriTecnici!$T$5:$T$6173="SI")*IFERROR(CriteriTecnici!$O$5:$O$6173*1,0))))),0)+IF(SUMPRODUCT(MAX((CriteriTecnici!$C$5:$C$6173=$C127)*(CriteriTecnici!$E$5:$E$6173="G")*(CriteriTecnici!$T$5:$T$6173="SI")*IFERROR(CriteriTecnici!$O$5:$O$6173*1,0)))&gt;0,MIN(7,SUMIFS(CriteriTecnici!$O:$O,CriteriTecnici!$Q:$Q,$A127&amp;"|"&amp;$C127,CriteriTecnici!$E:$E,"G")*(7/SUMPRODUCT(MAX((CriteriTecnici!$C$5:$C$6173=$C127)*(CriteriTecnici!$E$5:$E$6173="G")*(CriteriTecnici!$T$5:$T$6173="SI")*IFERROR(CriteriTecnici!$O$5:$O$6173*1,0))))),0),4),0),IFERROR($N127*1,0)),0))</f>
        <v/>
      </c>
      <c r="F127" s="56">
        <f>IF(Compila!$A137="","",Compila!$E137)</f>
        <v/>
      </c>
      <c r="G127" s="57">
        <f>IF($A127="","",IF(IFERROR(VALUE($D127),0)&lt;&gt;1,"NO",IF(IFERROR(VALUE($O127),0)&gt;=Parametri!$B$2,"SI","NO")))</f>
        <v/>
      </c>
      <c r="H127" s="57">
        <f>IF($G127="SI",SUMPRODUCT(MAX(($C$2:$C$200=$C127)*(IFERROR($D$2:$D$200*1,0)=1)*(IFERROR($O$2:$O$200*1,0)&gt;=Parametri!$B$2)*IFERROR($F$2:$F$200*1,0))),0)</f>
        <v/>
      </c>
      <c r="I127" s="57">
        <f>IF($G127="SI",IF($H127&gt;0,30*(IFERROR($F127*1,0)/$H127),0),0)</f>
        <v/>
      </c>
      <c r="J127" s="57">
        <f>IF($A127="",0,IF($G127="SI",ROUND(IFERROR($E127*1,0)+$I127,4),ROUND(IFERROR($E127*1,0),4)))</f>
        <v/>
      </c>
      <c r="K127" s="57">
        <f>IF($A127="","",IF(IFERROR(VALUE($D127),0)&lt;&gt;1,"Non attiva",IF(IFERROR(VALUE($O127),0)&lt;Parametri!$B$2,"Sotto soglia","")))</f>
        <v/>
      </c>
      <c r="L127" s="57">
        <f>IF($A127="","",$A127&amp;"|"&amp;$C127)</f>
        <v/>
      </c>
      <c r="M127" s="57">
        <f>IF($A127="","",$C127&amp;"|"&amp;TEXT($J127,"0.0000"))</f>
        <v/>
      </c>
      <c r="N127" s="57" t="n"/>
      <c r="O127" s="57">
        <f>IF($A127="",0,IFERROR(IF(SUMIFS(CriteriTecnici!$O:$O,CriteriTecnici!$Q:$Q,$A127&amp;"|"&amp;$C127)&gt;0,SUMIFS(CriteriTecnici!$O:$O,CriteriTecnici!$Q:$Q,$A127&amp;"|"&amp;$C127,CriteriTecnici!$F:$F,"Q")+SUMIFS(CriteriTecnici!$O:$O,CriteriTecnici!$Q:$Q,$A127&amp;"|"&amp;$C127,CriteriTecnici!$F:$F,"T"),IFERROR($N127*1,0)),0))</f>
        <v/>
      </c>
      <c r="P127" s="57">
        <f>IF($A127="","",IF(SUMIFS(CriteriTecnici!$O:$O,CriteriTecnici!$Q:$Q,$A127&amp;"|"&amp;$C127)&gt;0,"Criteri A-G","Aggregato"))</f>
        <v/>
      </c>
    </row>
    <row r="128">
      <c r="A128" s="56">
        <f>IF(Compila!$A138="","",Compila!$A138)</f>
        <v/>
      </c>
      <c r="B128" s="56">
        <f>IF(Compila!$A138="","",Compila!$B138)</f>
        <v/>
      </c>
      <c r="C128" s="56">
        <f>IF(Compila!$A138="","",Compila!$C138)</f>
        <v/>
      </c>
      <c r="D128" s="56">
        <f>IF(Compila!$A138="","",Compila!$D138)</f>
        <v/>
      </c>
      <c r="E128" s="57">
        <f>IF($A128="",0,IFERROR(IF(SUMIFS(CriteriTecnici!$O:$O,CriteriTecnici!$Q:$Q,$A128&amp;"|"&amp;$C128)&gt;0,IF($G128="SI",ROUND(IF(SUMPRODUCT(MAX((CriteriTecnici!$C$5:$C$6173=$C128)*(CriteriTecnici!$E$5:$E$6173="A")*(CriteriTecnici!$T$5:$T$6173="SI")*IFERROR(CriteriTecnici!$O$5:$O$6173*1,0)))&gt;0,MIN(7,SUMIFS(CriteriTecnici!$O:$O,CriteriTecnici!$Q:$Q,$A128&amp;"|"&amp;$C128,CriteriTecnici!$E:$E,"A")*(7/SUMPRODUCT(MAX((CriteriTecnici!$C$5:$C$6173=$C128)*(CriteriTecnici!$E$5:$E$6173="A")*(CriteriTecnici!$T$5:$T$6173="SI")*IFERROR(CriteriTecnici!$O$5:$O$6173*1,0))))),0)+IF(SUMPRODUCT(MAX((CriteriTecnici!$C$5:$C$6173=$C128)*(CriteriTecnici!$E$5:$E$6173="B")*(CriteriTecnici!$T$5:$T$6173="SI")*IFERROR(CriteriTecnici!$O$5:$O$6173*1,0)))&gt;0,MIN(14,SUMIFS(CriteriTecnici!$O:$O,CriteriTecnici!$Q:$Q,$A128&amp;"|"&amp;$C128,CriteriTecnici!$E:$E,"B")*(14/SUMPRODUCT(MAX((CriteriTecnici!$C$5:$C$6173=$C128)*(CriteriTecnici!$E$5:$E$6173="B")*(CriteriTecnici!$T$5:$T$6173="SI")*IFERROR(CriteriTecnici!$O$5:$O$6173*1,0))))),0)+IF(SUMPRODUCT(MAX((CriteriTecnici!$C$5:$C$6173=$C128)*(CriteriTecnici!$E$5:$E$6173="C")*(CriteriTecnici!$T$5:$T$6173="SI")*IFERROR(CriteriTecnici!$O$5:$O$6173*1,0)))&gt;0,MIN(14,SUMIFS(CriteriTecnici!$O:$O,CriteriTecnici!$Q:$Q,$A128&amp;"|"&amp;$C128,CriteriTecnici!$E:$E,"C")*(14/SUMPRODUCT(MAX((CriteriTecnici!$C$5:$C$6173=$C128)*(CriteriTecnici!$E$5:$E$6173="C")*(CriteriTecnici!$T$5:$T$6173="SI")*IFERROR(CriteriTecnici!$O$5:$O$6173*1,0))))),0)+IF(SUMPRODUCT(MAX((CriteriTecnici!$C$5:$C$6173=$C128)*(CriteriTecnici!$E$5:$E$6173="D")*(CriteriTecnici!$T$5:$T$6173="SI")*IFERROR(CriteriTecnici!$O$5:$O$6173*1,0)))&gt;0,MIN(10,SUMIFS(CriteriTecnici!$O:$O,CriteriTecnici!$Q:$Q,$A128&amp;"|"&amp;$C128,CriteriTecnici!$E:$E,"D")*(10/SUMPRODUCT(MAX((CriteriTecnici!$C$5:$C$6173=$C128)*(CriteriTecnici!$E$5:$E$6173="D")*(CriteriTecnici!$T$5:$T$6173="SI")*IFERROR(CriteriTecnici!$O$5:$O$6173*1,0))))),0)+IF(SUMPRODUCT(MAX((CriteriTecnici!$C$5:$C$6173=$C128)*(CriteriTecnici!$E$5:$E$6173="E")*(CriteriTecnici!$T$5:$T$6173="SI")*IFERROR(CriteriTecnici!$O$5:$O$6173*1,0)))&gt;0,MIN(4,SUMIFS(CriteriTecnici!$O:$O,CriteriTecnici!$Q:$Q,$A128&amp;"|"&amp;$C128,CriteriTecnici!$E:$E,"E")*(4/SUMPRODUCT(MAX((CriteriTecnici!$C$5:$C$6173=$C128)*(CriteriTecnici!$E$5:$E$6173="E")*(CriteriTecnici!$T$5:$T$6173="SI")*IFERROR(CriteriTecnici!$O$5:$O$6173*1,0))))),0)+IF(SUMPRODUCT(MAX((CriteriTecnici!$C$5:$C$6173=$C128)*(CriteriTecnici!$E$5:$E$6173="F")*(CriteriTecnici!$T$5:$T$6173="SI")*IFERROR(CriteriTecnici!$O$5:$O$6173*1,0)))&gt;0,MIN(14,SUMIFS(CriteriTecnici!$O:$O,CriteriTecnici!$Q:$Q,$A128&amp;"|"&amp;$C128,CriteriTecnici!$E:$E,"F")*(14/SUMPRODUCT(MAX((CriteriTecnici!$C$5:$C$6173=$C128)*(CriteriTecnici!$E$5:$E$6173="F")*(CriteriTecnici!$T$5:$T$6173="SI")*IFERROR(CriteriTecnici!$O$5:$O$6173*1,0))))),0)+IF(SUMPRODUCT(MAX((CriteriTecnici!$C$5:$C$6173=$C128)*(CriteriTecnici!$E$5:$E$6173="G")*(CriteriTecnici!$T$5:$T$6173="SI")*IFERROR(CriteriTecnici!$O$5:$O$6173*1,0)))&gt;0,MIN(7,SUMIFS(CriteriTecnici!$O:$O,CriteriTecnici!$Q:$Q,$A128&amp;"|"&amp;$C128,CriteriTecnici!$E:$E,"G")*(7/SUMPRODUCT(MAX((CriteriTecnici!$C$5:$C$6173=$C128)*(CriteriTecnici!$E$5:$E$6173="G")*(CriteriTecnici!$T$5:$T$6173="SI")*IFERROR(CriteriTecnici!$O$5:$O$6173*1,0))))),0),4),0),IFERROR($N128*1,0)),0))</f>
        <v/>
      </c>
      <c r="F128" s="56">
        <f>IF(Compila!$A138="","",Compila!$E138)</f>
        <v/>
      </c>
      <c r="G128" s="57">
        <f>IF($A128="","",IF(IFERROR(VALUE($D128),0)&lt;&gt;1,"NO",IF(IFERROR(VALUE($O128),0)&gt;=Parametri!$B$2,"SI","NO")))</f>
        <v/>
      </c>
      <c r="H128" s="57">
        <f>IF($G128="SI",SUMPRODUCT(MAX(($C$2:$C$200=$C128)*(IFERROR($D$2:$D$200*1,0)=1)*(IFERROR($O$2:$O$200*1,0)&gt;=Parametri!$B$2)*IFERROR($F$2:$F$200*1,0))),0)</f>
        <v/>
      </c>
      <c r="I128" s="57">
        <f>IF($G128="SI",IF($H128&gt;0,30*(IFERROR($F128*1,0)/$H128),0),0)</f>
        <v/>
      </c>
      <c r="J128" s="57">
        <f>IF($A128="",0,IF($G128="SI",ROUND(IFERROR($E128*1,0)+$I128,4),ROUND(IFERROR($E128*1,0),4)))</f>
        <v/>
      </c>
      <c r="K128" s="57">
        <f>IF($A128="","",IF(IFERROR(VALUE($D128),0)&lt;&gt;1,"Non attiva",IF(IFERROR(VALUE($O128),0)&lt;Parametri!$B$2,"Sotto soglia","")))</f>
        <v/>
      </c>
      <c r="L128" s="57">
        <f>IF($A128="","",$A128&amp;"|"&amp;$C128)</f>
        <v/>
      </c>
      <c r="M128" s="57">
        <f>IF($A128="","",$C128&amp;"|"&amp;TEXT($J128,"0.0000"))</f>
        <v/>
      </c>
      <c r="N128" s="57" t="n"/>
      <c r="O128" s="57">
        <f>IF($A128="",0,IFERROR(IF(SUMIFS(CriteriTecnici!$O:$O,CriteriTecnici!$Q:$Q,$A128&amp;"|"&amp;$C128)&gt;0,SUMIFS(CriteriTecnici!$O:$O,CriteriTecnici!$Q:$Q,$A128&amp;"|"&amp;$C128,CriteriTecnici!$F:$F,"Q")+SUMIFS(CriteriTecnici!$O:$O,CriteriTecnici!$Q:$Q,$A128&amp;"|"&amp;$C128,CriteriTecnici!$F:$F,"T"),IFERROR($N128*1,0)),0))</f>
        <v/>
      </c>
      <c r="P128" s="57">
        <f>IF($A128="","",IF(SUMIFS(CriteriTecnici!$O:$O,CriteriTecnici!$Q:$Q,$A128&amp;"|"&amp;$C128)&gt;0,"Criteri A-G","Aggregato"))</f>
        <v/>
      </c>
    </row>
    <row r="129">
      <c r="A129" s="56">
        <f>IF(Compila!$A139="","",Compila!$A139)</f>
        <v/>
      </c>
      <c r="B129" s="56">
        <f>IF(Compila!$A139="","",Compila!$B139)</f>
        <v/>
      </c>
      <c r="C129" s="56">
        <f>IF(Compila!$A139="","",Compila!$C139)</f>
        <v/>
      </c>
      <c r="D129" s="56">
        <f>IF(Compila!$A139="","",Compila!$D139)</f>
        <v/>
      </c>
      <c r="E129" s="57">
        <f>IF($A129="",0,IFERROR(IF(SUMIFS(CriteriTecnici!$O:$O,CriteriTecnici!$Q:$Q,$A129&amp;"|"&amp;$C129)&gt;0,IF($G129="SI",ROUND(IF(SUMPRODUCT(MAX((CriteriTecnici!$C$5:$C$6173=$C129)*(CriteriTecnici!$E$5:$E$6173="A")*(CriteriTecnici!$T$5:$T$6173="SI")*IFERROR(CriteriTecnici!$O$5:$O$6173*1,0)))&gt;0,MIN(7,SUMIFS(CriteriTecnici!$O:$O,CriteriTecnici!$Q:$Q,$A129&amp;"|"&amp;$C129,CriteriTecnici!$E:$E,"A")*(7/SUMPRODUCT(MAX((CriteriTecnici!$C$5:$C$6173=$C129)*(CriteriTecnici!$E$5:$E$6173="A")*(CriteriTecnici!$T$5:$T$6173="SI")*IFERROR(CriteriTecnici!$O$5:$O$6173*1,0))))),0)+IF(SUMPRODUCT(MAX((CriteriTecnici!$C$5:$C$6173=$C129)*(CriteriTecnici!$E$5:$E$6173="B")*(CriteriTecnici!$T$5:$T$6173="SI")*IFERROR(CriteriTecnici!$O$5:$O$6173*1,0)))&gt;0,MIN(14,SUMIFS(CriteriTecnici!$O:$O,CriteriTecnici!$Q:$Q,$A129&amp;"|"&amp;$C129,CriteriTecnici!$E:$E,"B")*(14/SUMPRODUCT(MAX((CriteriTecnici!$C$5:$C$6173=$C129)*(CriteriTecnici!$E$5:$E$6173="B")*(CriteriTecnici!$T$5:$T$6173="SI")*IFERROR(CriteriTecnici!$O$5:$O$6173*1,0))))),0)+IF(SUMPRODUCT(MAX((CriteriTecnici!$C$5:$C$6173=$C129)*(CriteriTecnici!$E$5:$E$6173="C")*(CriteriTecnici!$T$5:$T$6173="SI")*IFERROR(CriteriTecnici!$O$5:$O$6173*1,0)))&gt;0,MIN(14,SUMIFS(CriteriTecnici!$O:$O,CriteriTecnici!$Q:$Q,$A129&amp;"|"&amp;$C129,CriteriTecnici!$E:$E,"C")*(14/SUMPRODUCT(MAX((CriteriTecnici!$C$5:$C$6173=$C129)*(CriteriTecnici!$E$5:$E$6173="C")*(CriteriTecnici!$T$5:$T$6173="SI")*IFERROR(CriteriTecnici!$O$5:$O$6173*1,0))))),0)+IF(SUMPRODUCT(MAX((CriteriTecnici!$C$5:$C$6173=$C129)*(CriteriTecnici!$E$5:$E$6173="D")*(CriteriTecnici!$T$5:$T$6173="SI")*IFERROR(CriteriTecnici!$O$5:$O$6173*1,0)))&gt;0,MIN(10,SUMIFS(CriteriTecnici!$O:$O,CriteriTecnici!$Q:$Q,$A129&amp;"|"&amp;$C129,CriteriTecnici!$E:$E,"D")*(10/SUMPRODUCT(MAX((CriteriTecnici!$C$5:$C$6173=$C129)*(CriteriTecnici!$E$5:$E$6173="D")*(CriteriTecnici!$T$5:$T$6173="SI")*IFERROR(CriteriTecnici!$O$5:$O$6173*1,0))))),0)+IF(SUMPRODUCT(MAX((CriteriTecnici!$C$5:$C$6173=$C129)*(CriteriTecnici!$E$5:$E$6173="E")*(CriteriTecnici!$T$5:$T$6173="SI")*IFERROR(CriteriTecnici!$O$5:$O$6173*1,0)))&gt;0,MIN(4,SUMIFS(CriteriTecnici!$O:$O,CriteriTecnici!$Q:$Q,$A129&amp;"|"&amp;$C129,CriteriTecnici!$E:$E,"E")*(4/SUMPRODUCT(MAX((CriteriTecnici!$C$5:$C$6173=$C129)*(CriteriTecnici!$E$5:$E$6173="E")*(CriteriTecnici!$T$5:$T$6173="SI")*IFERROR(CriteriTecnici!$O$5:$O$6173*1,0))))),0)+IF(SUMPRODUCT(MAX((CriteriTecnici!$C$5:$C$6173=$C129)*(CriteriTecnici!$E$5:$E$6173="F")*(CriteriTecnici!$T$5:$T$6173="SI")*IFERROR(CriteriTecnici!$O$5:$O$6173*1,0)))&gt;0,MIN(14,SUMIFS(CriteriTecnici!$O:$O,CriteriTecnici!$Q:$Q,$A129&amp;"|"&amp;$C129,CriteriTecnici!$E:$E,"F")*(14/SUMPRODUCT(MAX((CriteriTecnici!$C$5:$C$6173=$C129)*(CriteriTecnici!$E$5:$E$6173="F")*(CriteriTecnici!$T$5:$T$6173="SI")*IFERROR(CriteriTecnici!$O$5:$O$6173*1,0))))),0)+IF(SUMPRODUCT(MAX((CriteriTecnici!$C$5:$C$6173=$C129)*(CriteriTecnici!$E$5:$E$6173="G")*(CriteriTecnici!$T$5:$T$6173="SI")*IFERROR(CriteriTecnici!$O$5:$O$6173*1,0)))&gt;0,MIN(7,SUMIFS(CriteriTecnici!$O:$O,CriteriTecnici!$Q:$Q,$A129&amp;"|"&amp;$C129,CriteriTecnici!$E:$E,"G")*(7/SUMPRODUCT(MAX((CriteriTecnici!$C$5:$C$6173=$C129)*(CriteriTecnici!$E$5:$E$6173="G")*(CriteriTecnici!$T$5:$T$6173="SI")*IFERROR(CriteriTecnici!$O$5:$O$6173*1,0))))),0),4),0),IFERROR($N129*1,0)),0))</f>
        <v/>
      </c>
      <c r="F129" s="56">
        <f>IF(Compila!$A139="","",Compila!$E139)</f>
        <v/>
      </c>
      <c r="G129" s="57">
        <f>IF($A129="","",IF(IFERROR(VALUE($D129),0)&lt;&gt;1,"NO",IF(IFERROR(VALUE($O129),0)&gt;=Parametri!$B$2,"SI","NO")))</f>
        <v/>
      </c>
      <c r="H129" s="57">
        <f>IF($G129="SI",SUMPRODUCT(MAX(($C$2:$C$200=$C129)*(IFERROR($D$2:$D$200*1,0)=1)*(IFERROR($O$2:$O$200*1,0)&gt;=Parametri!$B$2)*IFERROR($F$2:$F$200*1,0))),0)</f>
        <v/>
      </c>
      <c r="I129" s="57">
        <f>IF($G129="SI",IF($H129&gt;0,30*(IFERROR($F129*1,0)/$H129),0),0)</f>
        <v/>
      </c>
      <c r="J129" s="57">
        <f>IF($A129="",0,IF($G129="SI",ROUND(IFERROR($E129*1,0)+$I129,4),ROUND(IFERROR($E129*1,0),4)))</f>
        <v/>
      </c>
      <c r="K129" s="57">
        <f>IF($A129="","",IF(IFERROR(VALUE($D129),0)&lt;&gt;1,"Non attiva",IF(IFERROR(VALUE($O129),0)&lt;Parametri!$B$2,"Sotto soglia","")))</f>
        <v/>
      </c>
      <c r="L129" s="57">
        <f>IF($A129="","",$A129&amp;"|"&amp;$C129)</f>
        <v/>
      </c>
      <c r="M129" s="57">
        <f>IF($A129="","",$C129&amp;"|"&amp;TEXT($J129,"0.0000"))</f>
        <v/>
      </c>
      <c r="N129" s="57" t="n"/>
      <c r="O129" s="57">
        <f>IF($A129="",0,IFERROR(IF(SUMIFS(CriteriTecnici!$O:$O,CriteriTecnici!$Q:$Q,$A129&amp;"|"&amp;$C129)&gt;0,SUMIFS(CriteriTecnici!$O:$O,CriteriTecnici!$Q:$Q,$A129&amp;"|"&amp;$C129,CriteriTecnici!$F:$F,"Q")+SUMIFS(CriteriTecnici!$O:$O,CriteriTecnici!$Q:$Q,$A129&amp;"|"&amp;$C129,CriteriTecnici!$F:$F,"T"),IFERROR($N129*1,0)),0))</f>
        <v/>
      </c>
      <c r="P129" s="57">
        <f>IF($A129="","",IF(SUMIFS(CriteriTecnici!$O:$O,CriteriTecnici!$Q:$Q,$A129&amp;"|"&amp;$C129)&gt;0,"Criteri A-G","Aggregato"))</f>
        <v/>
      </c>
    </row>
    <row r="130">
      <c r="A130" s="56">
        <f>IF(Compila!$A140="","",Compila!$A140)</f>
        <v/>
      </c>
      <c r="B130" s="56">
        <f>IF(Compila!$A140="","",Compila!$B140)</f>
        <v/>
      </c>
      <c r="C130" s="56">
        <f>IF(Compila!$A140="","",Compila!$C140)</f>
        <v/>
      </c>
      <c r="D130" s="56">
        <f>IF(Compila!$A140="","",Compila!$D140)</f>
        <v/>
      </c>
      <c r="E130" s="57">
        <f>IF($A130="",0,IFERROR(IF(SUMIFS(CriteriTecnici!$O:$O,CriteriTecnici!$Q:$Q,$A130&amp;"|"&amp;$C130)&gt;0,IF($G130="SI",ROUND(IF(SUMPRODUCT(MAX((CriteriTecnici!$C$5:$C$6173=$C130)*(CriteriTecnici!$E$5:$E$6173="A")*(CriteriTecnici!$T$5:$T$6173="SI")*IFERROR(CriteriTecnici!$O$5:$O$6173*1,0)))&gt;0,MIN(7,SUMIFS(CriteriTecnici!$O:$O,CriteriTecnici!$Q:$Q,$A130&amp;"|"&amp;$C130,CriteriTecnici!$E:$E,"A")*(7/SUMPRODUCT(MAX((CriteriTecnici!$C$5:$C$6173=$C130)*(CriteriTecnici!$E$5:$E$6173="A")*(CriteriTecnici!$T$5:$T$6173="SI")*IFERROR(CriteriTecnici!$O$5:$O$6173*1,0))))),0)+IF(SUMPRODUCT(MAX((CriteriTecnici!$C$5:$C$6173=$C130)*(CriteriTecnici!$E$5:$E$6173="B")*(CriteriTecnici!$T$5:$T$6173="SI")*IFERROR(CriteriTecnici!$O$5:$O$6173*1,0)))&gt;0,MIN(14,SUMIFS(CriteriTecnici!$O:$O,CriteriTecnici!$Q:$Q,$A130&amp;"|"&amp;$C130,CriteriTecnici!$E:$E,"B")*(14/SUMPRODUCT(MAX((CriteriTecnici!$C$5:$C$6173=$C130)*(CriteriTecnici!$E$5:$E$6173="B")*(CriteriTecnici!$T$5:$T$6173="SI")*IFERROR(CriteriTecnici!$O$5:$O$6173*1,0))))),0)+IF(SUMPRODUCT(MAX((CriteriTecnici!$C$5:$C$6173=$C130)*(CriteriTecnici!$E$5:$E$6173="C")*(CriteriTecnici!$T$5:$T$6173="SI")*IFERROR(CriteriTecnici!$O$5:$O$6173*1,0)))&gt;0,MIN(14,SUMIFS(CriteriTecnici!$O:$O,CriteriTecnici!$Q:$Q,$A130&amp;"|"&amp;$C130,CriteriTecnici!$E:$E,"C")*(14/SUMPRODUCT(MAX((CriteriTecnici!$C$5:$C$6173=$C130)*(CriteriTecnici!$E$5:$E$6173="C")*(CriteriTecnici!$T$5:$T$6173="SI")*IFERROR(CriteriTecnici!$O$5:$O$6173*1,0))))),0)+IF(SUMPRODUCT(MAX((CriteriTecnici!$C$5:$C$6173=$C130)*(CriteriTecnici!$E$5:$E$6173="D")*(CriteriTecnici!$T$5:$T$6173="SI")*IFERROR(CriteriTecnici!$O$5:$O$6173*1,0)))&gt;0,MIN(10,SUMIFS(CriteriTecnici!$O:$O,CriteriTecnici!$Q:$Q,$A130&amp;"|"&amp;$C130,CriteriTecnici!$E:$E,"D")*(10/SUMPRODUCT(MAX((CriteriTecnici!$C$5:$C$6173=$C130)*(CriteriTecnici!$E$5:$E$6173="D")*(CriteriTecnici!$T$5:$T$6173="SI")*IFERROR(CriteriTecnici!$O$5:$O$6173*1,0))))),0)+IF(SUMPRODUCT(MAX((CriteriTecnici!$C$5:$C$6173=$C130)*(CriteriTecnici!$E$5:$E$6173="E")*(CriteriTecnici!$T$5:$T$6173="SI")*IFERROR(CriteriTecnici!$O$5:$O$6173*1,0)))&gt;0,MIN(4,SUMIFS(CriteriTecnici!$O:$O,CriteriTecnici!$Q:$Q,$A130&amp;"|"&amp;$C130,CriteriTecnici!$E:$E,"E")*(4/SUMPRODUCT(MAX((CriteriTecnici!$C$5:$C$6173=$C130)*(CriteriTecnici!$E$5:$E$6173="E")*(CriteriTecnici!$T$5:$T$6173="SI")*IFERROR(CriteriTecnici!$O$5:$O$6173*1,0))))),0)+IF(SUMPRODUCT(MAX((CriteriTecnici!$C$5:$C$6173=$C130)*(CriteriTecnici!$E$5:$E$6173="F")*(CriteriTecnici!$T$5:$T$6173="SI")*IFERROR(CriteriTecnici!$O$5:$O$6173*1,0)))&gt;0,MIN(14,SUMIFS(CriteriTecnici!$O:$O,CriteriTecnici!$Q:$Q,$A130&amp;"|"&amp;$C130,CriteriTecnici!$E:$E,"F")*(14/SUMPRODUCT(MAX((CriteriTecnici!$C$5:$C$6173=$C130)*(CriteriTecnici!$E$5:$E$6173="F")*(CriteriTecnici!$T$5:$T$6173="SI")*IFERROR(CriteriTecnici!$O$5:$O$6173*1,0))))),0)+IF(SUMPRODUCT(MAX((CriteriTecnici!$C$5:$C$6173=$C130)*(CriteriTecnici!$E$5:$E$6173="G")*(CriteriTecnici!$T$5:$T$6173="SI")*IFERROR(CriteriTecnici!$O$5:$O$6173*1,0)))&gt;0,MIN(7,SUMIFS(CriteriTecnici!$O:$O,CriteriTecnici!$Q:$Q,$A130&amp;"|"&amp;$C130,CriteriTecnici!$E:$E,"G")*(7/SUMPRODUCT(MAX((CriteriTecnici!$C$5:$C$6173=$C130)*(CriteriTecnici!$E$5:$E$6173="G")*(CriteriTecnici!$T$5:$T$6173="SI")*IFERROR(CriteriTecnici!$O$5:$O$6173*1,0))))),0),4),0),IFERROR($N130*1,0)),0))</f>
        <v/>
      </c>
      <c r="F130" s="56">
        <f>IF(Compila!$A140="","",Compila!$E140)</f>
        <v/>
      </c>
      <c r="G130" s="57">
        <f>IF($A130="","",IF(IFERROR(VALUE($D130),0)&lt;&gt;1,"NO",IF(IFERROR(VALUE($O130),0)&gt;=Parametri!$B$2,"SI","NO")))</f>
        <v/>
      </c>
      <c r="H130" s="57">
        <f>IF($G130="SI",SUMPRODUCT(MAX(($C$2:$C$200=$C130)*(IFERROR($D$2:$D$200*1,0)=1)*(IFERROR($O$2:$O$200*1,0)&gt;=Parametri!$B$2)*IFERROR($F$2:$F$200*1,0))),0)</f>
        <v/>
      </c>
      <c r="I130" s="57">
        <f>IF($G130="SI",IF($H130&gt;0,30*(IFERROR($F130*1,0)/$H130),0),0)</f>
        <v/>
      </c>
      <c r="J130" s="57">
        <f>IF($A130="",0,IF($G130="SI",ROUND(IFERROR($E130*1,0)+$I130,4),ROUND(IFERROR($E130*1,0),4)))</f>
        <v/>
      </c>
      <c r="K130" s="57">
        <f>IF($A130="","",IF(IFERROR(VALUE($D130),0)&lt;&gt;1,"Non attiva",IF(IFERROR(VALUE($O130),0)&lt;Parametri!$B$2,"Sotto soglia","")))</f>
        <v/>
      </c>
      <c r="L130" s="57">
        <f>IF($A130="","",$A130&amp;"|"&amp;$C130)</f>
        <v/>
      </c>
      <c r="M130" s="57">
        <f>IF($A130="","",$C130&amp;"|"&amp;TEXT($J130,"0.0000"))</f>
        <v/>
      </c>
      <c r="N130" s="57" t="n"/>
      <c r="O130" s="57">
        <f>IF($A130="",0,IFERROR(IF(SUMIFS(CriteriTecnici!$O:$O,CriteriTecnici!$Q:$Q,$A130&amp;"|"&amp;$C130)&gt;0,SUMIFS(CriteriTecnici!$O:$O,CriteriTecnici!$Q:$Q,$A130&amp;"|"&amp;$C130,CriteriTecnici!$F:$F,"Q")+SUMIFS(CriteriTecnici!$O:$O,CriteriTecnici!$Q:$Q,$A130&amp;"|"&amp;$C130,CriteriTecnici!$F:$F,"T"),IFERROR($N130*1,0)),0))</f>
        <v/>
      </c>
      <c r="P130" s="57">
        <f>IF($A130="","",IF(SUMIFS(CriteriTecnici!$O:$O,CriteriTecnici!$Q:$Q,$A130&amp;"|"&amp;$C130)&gt;0,"Criteri A-G","Aggregato"))</f>
        <v/>
      </c>
    </row>
    <row r="131">
      <c r="A131" s="56">
        <f>IF(Compila!$A141="","",Compila!$A141)</f>
        <v/>
      </c>
      <c r="B131" s="56">
        <f>IF(Compila!$A141="","",Compila!$B141)</f>
        <v/>
      </c>
      <c r="C131" s="56">
        <f>IF(Compila!$A141="","",Compila!$C141)</f>
        <v/>
      </c>
      <c r="D131" s="56">
        <f>IF(Compila!$A141="","",Compila!$D141)</f>
        <v/>
      </c>
      <c r="E131" s="57">
        <f>IF($A131="",0,IFERROR(IF(SUMIFS(CriteriTecnici!$O:$O,CriteriTecnici!$Q:$Q,$A131&amp;"|"&amp;$C131)&gt;0,IF($G131="SI",ROUND(IF(SUMPRODUCT(MAX((CriteriTecnici!$C$5:$C$6173=$C131)*(CriteriTecnici!$E$5:$E$6173="A")*(CriteriTecnici!$T$5:$T$6173="SI")*IFERROR(CriteriTecnici!$O$5:$O$6173*1,0)))&gt;0,MIN(7,SUMIFS(CriteriTecnici!$O:$O,CriteriTecnici!$Q:$Q,$A131&amp;"|"&amp;$C131,CriteriTecnici!$E:$E,"A")*(7/SUMPRODUCT(MAX((CriteriTecnici!$C$5:$C$6173=$C131)*(CriteriTecnici!$E$5:$E$6173="A")*(CriteriTecnici!$T$5:$T$6173="SI")*IFERROR(CriteriTecnici!$O$5:$O$6173*1,0))))),0)+IF(SUMPRODUCT(MAX((CriteriTecnici!$C$5:$C$6173=$C131)*(CriteriTecnici!$E$5:$E$6173="B")*(CriteriTecnici!$T$5:$T$6173="SI")*IFERROR(CriteriTecnici!$O$5:$O$6173*1,0)))&gt;0,MIN(14,SUMIFS(CriteriTecnici!$O:$O,CriteriTecnici!$Q:$Q,$A131&amp;"|"&amp;$C131,CriteriTecnici!$E:$E,"B")*(14/SUMPRODUCT(MAX((CriteriTecnici!$C$5:$C$6173=$C131)*(CriteriTecnici!$E$5:$E$6173="B")*(CriteriTecnici!$T$5:$T$6173="SI")*IFERROR(CriteriTecnici!$O$5:$O$6173*1,0))))),0)+IF(SUMPRODUCT(MAX((CriteriTecnici!$C$5:$C$6173=$C131)*(CriteriTecnici!$E$5:$E$6173="C")*(CriteriTecnici!$T$5:$T$6173="SI")*IFERROR(CriteriTecnici!$O$5:$O$6173*1,0)))&gt;0,MIN(14,SUMIFS(CriteriTecnici!$O:$O,CriteriTecnici!$Q:$Q,$A131&amp;"|"&amp;$C131,CriteriTecnici!$E:$E,"C")*(14/SUMPRODUCT(MAX((CriteriTecnici!$C$5:$C$6173=$C131)*(CriteriTecnici!$E$5:$E$6173="C")*(CriteriTecnici!$T$5:$T$6173="SI")*IFERROR(CriteriTecnici!$O$5:$O$6173*1,0))))),0)+IF(SUMPRODUCT(MAX((CriteriTecnici!$C$5:$C$6173=$C131)*(CriteriTecnici!$E$5:$E$6173="D")*(CriteriTecnici!$T$5:$T$6173="SI")*IFERROR(CriteriTecnici!$O$5:$O$6173*1,0)))&gt;0,MIN(10,SUMIFS(CriteriTecnici!$O:$O,CriteriTecnici!$Q:$Q,$A131&amp;"|"&amp;$C131,CriteriTecnici!$E:$E,"D")*(10/SUMPRODUCT(MAX((CriteriTecnici!$C$5:$C$6173=$C131)*(CriteriTecnici!$E$5:$E$6173="D")*(CriteriTecnici!$T$5:$T$6173="SI")*IFERROR(CriteriTecnici!$O$5:$O$6173*1,0))))),0)+IF(SUMPRODUCT(MAX((CriteriTecnici!$C$5:$C$6173=$C131)*(CriteriTecnici!$E$5:$E$6173="E")*(CriteriTecnici!$T$5:$T$6173="SI")*IFERROR(CriteriTecnici!$O$5:$O$6173*1,0)))&gt;0,MIN(4,SUMIFS(CriteriTecnici!$O:$O,CriteriTecnici!$Q:$Q,$A131&amp;"|"&amp;$C131,CriteriTecnici!$E:$E,"E")*(4/SUMPRODUCT(MAX((CriteriTecnici!$C$5:$C$6173=$C131)*(CriteriTecnici!$E$5:$E$6173="E")*(CriteriTecnici!$T$5:$T$6173="SI")*IFERROR(CriteriTecnici!$O$5:$O$6173*1,0))))),0)+IF(SUMPRODUCT(MAX((CriteriTecnici!$C$5:$C$6173=$C131)*(CriteriTecnici!$E$5:$E$6173="F")*(CriteriTecnici!$T$5:$T$6173="SI")*IFERROR(CriteriTecnici!$O$5:$O$6173*1,0)))&gt;0,MIN(14,SUMIFS(CriteriTecnici!$O:$O,CriteriTecnici!$Q:$Q,$A131&amp;"|"&amp;$C131,CriteriTecnici!$E:$E,"F")*(14/SUMPRODUCT(MAX((CriteriTecnici!$C$5:$C$6173=$C131)*(CriteriTecnici!$E$5:$E$6173="F")*(CriteriTecnici!$T$5:$T$6173="SI")*IFERROR(CriteriTecnici!$O$5:$O$6173*1,0))))),0)+IF(SUMPRODUCT(MAX((CriteriTecnici!$C$5:$C$6173=$C131)*(CriteriTecnici!$E$5:$E$6173="G")*(CriteriTecnici!$T$5:$T$6173="SI")*IFERROR(CriteriTecnici!$O$5:$O$6173*1,0)))&gt;0,MIN(7,SUMIFS(CriteriTecnici!$O:$O,CriteriTecnici!$Q:$Q,$A131&amp;"|"&amp;$C131,CriteriTecnici!$E:$E,"G")*(7/SUMPRODUCT(MAX((CriteriTecnici!$C$5:$C$6173=$C131)*(CriteriTecnici!$E$5:$E$6173="G")*(CriteriTecnici!$T$5:$T$6173="SI")*IFERROR(CriteriTecnici!$O$5:$O$6173*1,0))))),0),4),0),IFERROR($N131*1,0)),0))</f>
        <v/>
      </c>
      <c r="F131" s="56">
        <f>IF(Compila!$A141="","",Compila!$E141)</f>
        <v/>
      </c>
      <c r="G131" s="57">
        <f>IF($A131="","",IF(IFERROR(VALUE($D131),0)&lt;&gt;1,"NO",IF(IFERROR(VALUE($O131),0)&gt;=Parametri!$B$2,"SI","NO")))</f>
        <v/>
      </c>
      <c r="H131" s="57">
        <f>IF($G131="SI",SUMPRODUCT(MAX(($C$2:$C$200=$C131)*(IFERROR($D$2:$D$200*1,0)=1)*(IFERROR($O$2:$O$200*1,0)&gt;=Parametri!$B$2)*IFERROR($F$2:$F$200*1,0))),0)</f>
        <v/>
      </c>
      <c r="I131" s="57">
        <f>IF($G131="SI",IF($H131&gt;0,30*(IFERROR($F131*1,0)/$H131),0),0)</f>
        <v/>
      </c>
      <c r="J131" s="57">
        <f>IF($A131="",0,IF($G131="SI",ROUND(IFERROR($E131*1,0)+$I131,4),ROUND(IFERROR($E131*1,0),4)))</f>
        <v/>
      </c>
      <c r="K131" s="57">
        <f>IF($A131="","",IF(IFERROR(VALUE($D131),0)&lt;&gt;1,"Non attiva",IF(IFERROR(VALUE($O131),0)&lt;Parametri!$B$2,"Sotto soglia","")))</f>
        <v/>
      </c>
      <c r="L131" s="57">
        <f>IF($A131="","",$A131&amp;"|"&amp;$C131)</f>
        <v/>
      </c>
      <c r="M131" s="57">
        <f>IF($A131="","",$C131&amp;"|"&amp;TEXT($J131,"0.0000"))</f>
        <v/>
      </c>
      <c r="N131" s="57" t="n"/>
      <c r="O131" s="57">
        <f>IF($A131="",0,IFERROR(IF(SUMIFS(CriteriTecnici!$O:$O,CriteriTecnici!$Q:$Q,$A131&amp;"|"&amp;$C131)&gt;0,SUMIFS(CriteriTecnici!$O:$O,CriteriTecnici!$Q:$Q,$A131&amp;"|"&amp;$C131,CriteriTecnici!$F:$F,"Q")+SUMIFS(CriteriTecnici!$O:$O,CriteriTecnici!$Q:$Q,$A131&amp;"|"&amp;$C131,CriteriTecnici!$F:$F,"T"),IFERROR($N131*1,0)),0))</f>
        <v/>
      </c>
      <c r="P131" s="57">
        <f>IF($A131="","",IF(SUMIFS(CriteriTecnici!$O:$O,CriteriTecnici!$Q:$Q,$A131&amp;"|"&amp;$C131)&gt;0,"Criteri A-G","Aggregato"))</f>
        <v/>
      </c>
    </row>
    <row r="132">
      <c r="A132" s="56">
        <f>IF(Compila!$A142="","",Compila!$A142)</f>
        <v/>
      </c>
      <c r="B132" s="56">
        <f>IF(Compila!$A142="","",Compila!$B142)</f>
        <v/>
      </c>
      <c r="C132" s="56">
        <f>IF(Compila!$A142="","",Compila!$C142)</f>
        <v/>
      </c>
      <c r="D132" s="56">
        <f>IF(Compila!$A142="","",Compila!$D142)</f>
        <v/>
      </c>
      <c r="E132" s="57">
        <f>IF($A132="",0,IFERROR(IF(SUMIFS(CriteriTecnici!$O:$O,CriteriTecnici!$Q:$Q,$A132&amp;"|"&amp;$C132)&gt;0,IF($G132="SI",ROUND(IF(SUMPRODUCT(MAX((CriteriTecnici!$C$5:$C$6173=$C132)*(CriteriTecnici!$E$5:$E$6173="A")*(CriteriTecnici!$T$5:$T$6173="SI")*IFERROR(CriteriTecnici!$O$5:$O$6173*1,0)))&gt;0,MIN(7,SUMIFS(CriteriTecnici!$O:$O,CriteriTecnici!$Q:$Q,$A132&amp;"|"&amp;$C132,CriteriTecnici!$E:$E,"A")*(7/SUMPRODUCT(MAX((CriteriTecnici!$C$5:$C$6173=$C132)*(CriteriTecnici!$E$5:$E$6173="A")*(CriteriTecnici!$T$5:$T$6173="SI")*IFERROR(CriteriTecnici!$O$5:$O$6173*1,0))))),0)+IF(SUMPRODUCT(MAX((CriteriTecnici!$C$5:$C$6173=$C132)*(CriteriTecnici!$E$5:$E$6173="B")*(CriteriTecnici!$T$5:$T$6173="SI")*IFERROR(CriteriTecnici!$O$5:$O$6173*1,0)))&gt;0,MIN(14,SUMIFS(CriteriTecnici!$O:$O,CriteriTecnici!$Q:$Q,$A132&amp;"|"&amp;$C132,CriteriTecnici!$E:$E,"B")*(14/SUMPRODUCT(MAX((CriteriTecnici!$C$5:$C$6173=$C132)*(CriteriTecnici!$E$5:$E$6173="B")*(CriteriTecnici!$T$5:$T$6173="SI")*IFERROR(CriteriTecnici!$O$5:$O$6173*1,0))))),0)+IF(SUMPRODUCT(MAX((CriteriTecnici!$C$5:$C$6173=$C132)*(CriteriTecnici!$E$5:$E$6173="C")*(CriteriTecnici!$T$5:$T$6173="SI")*IFERROR(CriteriTecnici!$O$5:$O$6173*1,0)))&gt;0,MIN(14,SUMIFS(CriteriTecnici!$O:$O,CriteriTecnici!$Q:$Q,$A132&amp;"|"&amp;$C132,CriteriTecnici!$E:$E,"C")*(14/SUMPRODUCT(MAX((CriteriTecnici!$C$5:$C$6173=$C132)*(CriteriTecnici!$E$5:$E$6173="C")*(CriteriTecnici!$T$5:$T$6173="SI")*IFERROR(CriteriTecnici!$O$5:$O$6173*1,0))))),0)+IF(SUMPRODUCT(MAX((CriteriTecnici!$C$5:$C$6173=$C132)*(CriteriTecnici!$E$5:$E$6173="D")*(CriteriTecnici!$T$5:$T$6173="SI")*IFERROR(CriteriTecnici!$O$5:$O$6173*1,0)))&gt;0,MIN(10,SUMIFS(CriteriTecnici!$O:$O,CriteriTecnici!$Q:$Q,$A132&amp;"|"&amp;$C132,CriteriTecnici!$E:$E,"D")*(10/SUMPRODUCT(MAX((CriteriTecnici!$C$5:$C$6173=$C132)*(CriteriTecnici!$E$5:$E$6173="D")*(CriteriTecnici!$T$5:$T$6173="SI")*IFERROR(CriteriTecnici!$O$5:$O$6173*1,0))))),0)+IF(SUMPRODUCT(MAX((CriteriTecnici!$C$5:$C$6173=$C132)*(CriteriTecnici!$E$5:$E$6173="E")*(CriteriTecnici!$T$5:$T$6173="SI")*IFERROR(CriteriTecnici!$O$5:$O$6173*1,0)))&gt;0,MIN(4,SUMIFS(CriteriTecnici!$O:$O,CriteriTecnici!$Q:$Q,$A132&amp;"|"&amp;$C132,CriteriTecnici!$E:$E,"E")*(4/SUMPRODUCT(MAX((CriteriTecnici!$C$5:$C$6173=$C132)*(CriteriTecnici!$E$5:$E$6173="E")*(CriteriTecnici!$T$5:$T$6173="SI")*IFERROR(CriteriTecnici!$O$5:$O$6173*1,0))))),0)+IF(SUMPRODUCT(MAX((CriteriTecnici!$C$5:$C$6173=$C132)*(CriteriTecnici!$E$5:$E$6173="F")*(CriteriTecnici!$T$5:$T$6173="SI")*IFERROR(CriteriTecnici!$O$5:$O$6173*1,0)))&gt;0,MIN(14,SUMIFS(CriteriTecnici!$O:$O,CriteriTecnici!$Q:$Q,$A132&amp;"|"&amp;$C132,CriteriTecnici!$E:$E,"F")*(14/SUMPRODUCT(MAX((CriteriTecnici!$C$5:$C$6173=$C132)*(CriteriTecnici!$E$5:$E$6173="F")*(CriteriTecnici!$T$5:$T$6173="SI")*IFERROR(CriteriTecnici!$O$5:$O$6173*1,0))))),0)+IF(SUMPRODUCT(MAX((CriteriTecnici!$C$5:$C$6173=$C132)*(CriteriTecnici!$E$5:$E$6173="G")*(CriteriTecnici!$T$5:$T$6173="SI")*IFERROR(CriteriTecnici!$O$5:$O$6173*1,0)))&gt;0,MIN(7,SUMIFS(CriteriTecnici!$O:$O,CriteriTecnici!$Q:$Q,$A132&amp;"|"&amp;$C132,CriteriTecnici!$E:$E,"G")*(7/SUMPRODUCT(MAX((CriteriTecnici!$C$5:$C$6173=$C132)*(CriteriTecnici!$E$5:$E$6173="G")*(CriteriTecnici!$T$5:$T$6173="SI")*IFERROR(CriteriTecnici!$O$5:$O$6173*1,0))))),0),4),0),IFERROR($N132*1,0)),0))</f>
        <v/>
      </c>
      <c r="F132" s="56">
        <f>IF(Compila!$A142="","",Compila!$E142)</f>
        <v/>
      </c>
      <c r="G132" s="57">
        <f>IF($A132="","",IF(IFERROR(VALUE($D132),0)&lt;&gt;1,"NO",IF(IFERROR(VALUE($O132),0)&gt;=Parametri!$B$2,"SI","NO")))</f>
        <v/>
      </c>
      <c r="H132" s="57">
        <f>IF($G132="SI",SUMPRODUCT(MAX(($C$2:$C$200=$C132)*(IFERROR($D$2:$D$200*1,0)=1)*(IFERROR($O$2:$O$200*1,0)&gt;=Parametri!$B$2)*IFERROR($F$2:$F$200*1,0))),0)</f>
        <v/>
      </c>
      <c r="I132" s="57">
        <f>IF($G132="SI",IF($H132&gt;0,30*(IFERROR($F132*1,0)/$H132),0),0)</f>
        <v/>
      </c>
      <c r="J132" s="57">
        <f>IF($A132="",0,IF($G132="SI",ROUND(IFERROR($E132*1,0)+$I132,4),ROUND(IFERROR($E132*1,0),4)))</f>
        <v/>
      </c>
      <c r="K132" s="57">
        <f>IF($A132="","",IF(IFERROR(VALUE($D132),0)&lt;&gt;1,"Non attiva",IF(IFERROR(VALUE($O132),0)&lt;Parametri!$B$2,"Sotto soglia","")))</f>
        <v/>
      </c>
      <c r="L132" s="57">
        <f>IF($A132="","",$A132&amp;"|"&amp;$C132)</f>
        <v/>
      </c>
      <c r="M132" s="57">
        <f>IF($A132="","",$C132&amp;"|"&amp;TEXT($J132,"0.0000"))</f>
        <v/>
      </c>
      <c r="N132" s="57" t="n"/>
      <c r="O132" s="57">
        <f>IF($A132="",0,IFERROR(IF(SUMIFS(CriteriTecnici!$O:$O,CriteriTecnici!$Q:$Q,$A132&amp;"|"&amp;$C132)&gt;0,SUMIFS(CriteriTecnici!$O:$O,CriteriTecnici!$Q:$Q,$A132&amp;"|"&amp;$C132,CriteriTecnici!$F:$F,"Q")+SUMIFS(CriteriTecnici!$O:$O,CriteriTecnici!$Q:$Q,$A132&amp;"|"&amp;$C132,CriteriTecnici!$F:$F,"T"),IFERROR($N132*1,0)),0))</f>
        <v/>
      </c>
      <c r="P132" s="57">
        <f>IF($A132="","",IF(SUMIFS(CriteriTecnici!$O:$O,CriteriTecnici!$Q:$Q,$A132&amp;"|"&amp;$C132)&gt;0,"Criteri A-G","Aggregato"))</f>
        <v/>
      </c>
    </row>
    <row r="133">
      <c r="A133" s="56">
        <f>IF(Compila!$A143="","",Compila!$A143)</f>
        <v/>
      </c>
      <c r="B133" s="56">
        <f>IF(Compila!$A143="","",Compila!$B143)</f>
        <v/>
      </c>
      <c r="C133" s="56">
        <f>IF(Compila!$A143="","",Compila!$C143)</f>
        <v/>
      </c>
      <c r="D133" s="56">
        <f>IF(Compila!$A143="","",Compila!$D143)</f>
        <v/>
      </c>
      <c r="E133" s="57">
        <f>IF($A133="",0,IFERROR(IF(SUMIFS(CriteriTecnici!$O:$O,CriteriTecnici!$Q:$Q,$A133&amp;"|"&amp;$C133)&gt;0,IF($G133="SI",ROUND(IF(SUMPRODUCT(MAX((CriteriTecnici!$C$5:$C$6173=$C133)*(CriteriTecnici!$E$5:$E$6173="A")*(CriteriTecnici!$T$5:$T$6173="SI")*IFERROR(CriteriTecnici!$O$5:$O$6173*1,0)))&gt;0,MIN(7,SUMIFS(CriteriTecnici!$O:$O,CriteriTecnici!$Q:$Q,$A133&amp;"|"&amp;$C133,CriteriTecnici!$E:$E,"A")*(7/SUMPRODUCT(MAX((CriteriTecnici!$C$5:$C$6173=$C133)*(CriteriTecnici!$E$5:$E$6173="A")*(CriteriTecnici!$T$5:$T$6173="SI")*IFERROR(CriteriTecnici!$O$5:$O$6173*1,0))))),0)+IF(SUMPRODUCT(MAX((CriteriTecnici!$C$5:$C$6173=$C133)*(CriteriTecnici!$E$5:$E$6173="B")*(CriteriTecnici!$T$5:$T$6173="SI")*IFERROR(CriteriTecnici!$O$5:$O$6173*1,0)))&gt;0,MIN(14,SUMIFS(CriteriTecnici!$O:$O,CriteriTecnici!$Q:$Q,$A133&amp;"|"&amp;$C133,CriteriTecnici!$E:$E,"B")*(14/SUMPRODUCT(MAX((CriteriTecnici!$C$5:$C$6173=$C133)*(CriteriTecnici!$E$5:$E$6173="B")*(CriteriTecnici!$T$5:$T$6173="SI")*IFERROR(CriteriTecnici!$O$5:$O$6173*1,0))))),0)+IF(SUMPRODUCT(MAX((CriteriTecnici!$C$5:$C$6173=$C133)*(CriteriTecnici!$E$5:$E$6173="C")*(CriteriTecnici!$T$5:$T$6173="SI")*IFERROR(CriteriTecnici!$O$5:$O$6173*1,0)))&gt;0,MIN(14,SUMIFS(CriteriTecnici!$O:$O,CriteriTecnici!$Q:$Q,$A133&amp;"|"&amp;$C133,CriteriTecnici!$E:$E,"C")*(14/SUMPRODUCT(MAX((CriteriTecnici!$C$5:$C$6173=$C133)*(CriteriTecnici!$E$5:$E$6173="C")*(CriteriTecnici!$T$5:$T$6173="SI")*IFERROR(CriteriTecnici!$O$5:$O$6173*1,0))))),0)+IF(SUMPRODUCT(MAX((CriteriTecnici!$C$5:$C$6173=$C133)*(CriteriTecnici!$E$5:$E$6173="D")*(CriteriTecnici!$T$5:$T$6173="SI")*IFERROR(CriteriTecnici!$O$5:$O$6173*1,0)))&gt;0,MIN(10,SUMIFS(CriteriTecnici!$O:$O,CriteriTecnici!$Q:$Q,$A133&amp;"|"&amp;$C133,CriteriTecnici!$E:$E,"D")*(10/SUMPRODUCT(MAX((CriteriTecnici!$C$5:$C$6173=$C133)*(CriteriTecnici!$E$5:$E$6173="D")*(CriteriTecnici!$T$5:$T$6173="SI")*IFERROR(CriteriTecnici!$O$5:$O$6173*1,0))))),0)+IF(SUMPRODUCT(MAX((CriteriTecnici!$C$5:$C$6173=$C133)*(CriteriTecnici!$E$5:$E$6173="E")*(CriteriTecnici!$T$5:$T$6173="SI")*IFERROR(CriteriTecnici!$O$5:$O$6173*1,0)))&gt;0,MIN(4,SUMIFS(CriteriTecnici!$O:$O,CriteriTecnici!$Q:$Q,$A133&amp;"|"&amp;$C133,CriteriTecnici!$E:$E,"E")*(4/SUMPRODUCT(MAX((CriteriTecnici!$C$5:$C$6173=$C133)*(CriteriTecnici!$E$5:$E$6173="E")*(CriteriTecnici!$T$5:$T$6173="SI")*IFERROR(CriteriTecnici!$O$5:$O$6173*1,0))))),0)+IF(SUMPRODUCT(MAX((CriteriTecnici!$C$5:$C$6173=$C133)*(CriteriTecnici!$E$5:$E$6173="F")*(CriteriTecnici!$T$5:$T$6173="SI")*IFERROR(CriteriTecnici!$O$5:$O$6173*1,0)))&gt;0,MIN(14,SUMIFS(CriteriTecnici!$O:$O,CriteriTecnici!$Q:$Q,$A133&amp;"|"&amp;$C133,CriteriTecnici!$E:$E,"F")*(14/SUMPRODUCT(MAX((CriteriTecnici!$C$5:$C$6173=$C133)*(CriteriTecnici!$E$5:$E$6173="F")*(CriteriTecnici!$T$5:$T$6173="SI")*IFERROR(CriteriTecnici!$O$5:$O$6173*1,0))))),0)+IF(SUMPRODUCT(MAX((CriteriTecnici!$C$5:$C$6173=$C133)*(CriteriTecnici!$E$5:$E$6173="G")*(CriteriTecnici!$T$5:$T$6173="SI")*IFERROR(CriteriTecnici!$O$5:$O$6173*1,0)))&gt;0,MIN(7,SUMIFS(CriteriTecnici!$O:$O,CriteriTecnici!$Q:$Q,$A133&amp;"|"&amp;$C133,CriteriTecnici!$E:$E,"G")*(7/SUMPRODUCT(MAX((CriteriTecnici!$C$5:$C$6173=$C133)*(CriteriTecnici!$E$5:$E$6173="G")*(CriteriTecnici!$T$5:$T$6173="SI")*IFERROR(CriteriTecnici!$O$5:$O$6173*1,0))))),0),4),0),IFERROR($N133*1,0)),0))</f>
        <v/>
      </c>
      <c r="F133" s="56">
        <f>IF(Compila!$A143="","",Compila!$E143)</f>
        <v/>
      </c>
      <c r="G133" s="57">
        <f>IF($A133="","",IF(IFERROR(VALUE($D133),0)&lt;&gt;1,"NO",IF(IFERROR(VALUE($O133),0)&gt;=Parametri!$B$2,"SI","NO")))</f>
        <v/>
      </c>
      <c r="H133" s="57">
        <f>IF($G133="SI",SUMPRODUCT(MAX(($C$2:$C$200=$C133)*(IFERROR($D$2:$D$200*1,0)=1)*(IFERROR($O$2:$O$200*1,0)&gt;=Parametri!$B$2)*IFERROR($F$2:$F$200*1,0))),0)</f>
        <v/>
      </c>
      <c r="I133" s="57">
        <f>IF($G133="SI",IF($H133&gt;0,30*(IFERROR($F133*1,0)/$H133),0),0)</f>
        <v/>
      </c>
      <c r="J133" s="57">
        <f>IF($A133="",0,IF($G133="SI",ROUND(IFERROR($E133*1,0)+$I133,4),ROUND(IFERROR($E133*1,0),4)))</f>
        <v/>
      </c>
      <c r="K133" s="57">
        <f>IF($A133="","",IF(IFERROR(VALUE($D133),0)&lt;&gt;1,"Non attiva",IF(IFERROR(VALUE($O133),0)&lt;Parametri!$B$2,"Sotto soglia","")))</f>
        <v/>
      </c>
      <c r="L133" s="57">
        <f>IF($A133="","",$A133&amp;"|"&amp;$C133)</f>
        <v/>
      </c>
      <c r="M133" s="57">
        <f>IF($A133="","",$C133&amp;"|"&amp;TEXT($J133,"0.0000"))</f>
        <v/>
      </c>
      <c r="N133" s="57" t="n"/>
      <c r="O133" s="57">
        <f>IF($A133="",0,IFERROR(IF(SUMIFS(CriteriTecnici!$O:$O,CriteriTecnici!$Q:$Q,$A133&amp;"|"&amp;$C133)&gt;0,SUMIFS(CriteriTecnici!$O:$O,CriteriTecnici!$Q:$Q,$A133&amp;"|"&amp;$C133,CriteriTecnici!$F:$F,"Q")+SUMIFS(CriteriTecnici!$O:$O,CriteriTecnici!$Q:$Q,$A133&amp;"|"&amp;$C133,CriteriTecnici!$F:$F,"T"),IFERROR($N133*1,0)),0))</f>
        <v/>
      </c>
      <c r="P133" s="57">
        <f>IF($A133="","",IF(SUMIFS(CriteriTecnici!$O:$O,CriteriTecnici!$Q:$Q,$A133&amp;"|"&amp;$C133)&gt;0,"Criteri A-G","Aggregato"))</f>
        <v/>
      </c>
    </row>
    <row r="134">
      <c r="A134" s="56">
        <f>IF(Compila!$A144="","",Compila!$A144)</f>
        <v/>
      </c>
      <c r="B134" s="56">
        <f>IF(Compila!$A144="","",Compila!$B144)</f>
        <v/>
      </c>
      <c r="C134" s="56">
        <f>IF(Compila!$A144="","",Compila!$C144)</f>
        <v/>
      </c>
      <c r="D134" s="56">
        <f>IF(Compila!$A144="","",Compila!$D144)</f>
        <v/>
      </c>
      <c r="E134" s="57">
        <f>IF($A134="",0,IFERROR(IF(SUMIFS(CriteriTecnici!$O:$O,CriteriTecnici!$Q:$Q,$A134&amp;"|"&amp;$C134)&gt;0,IF($G134="SI",ROUND(IF(SUMPRODUCT(MAX((CriteriTecnici!$C$5:$C$6173=$C134)*(CriteriTecnici!$E$5:$E$6173="A")*(CriteriTecnici!$T$5:$T$6173="SI")*IFERROR(CriteriTecnici!$O$5:$O$6173*1,0)))&gt;0,MIN(7,SUMIFS(CriteriTecnici!$O:$O,CriteriTecnici!$Q:$Q,$A134&amp;"|"&amp;$C134,CriteriTecnici!$E:$E,"A")*(7/SUMPRODUCT(MAX((CriteriTecnici!$C$5:$C$6173=$C134)*(CriteriTecnici!$E$5:$E$6173="A")*(CriteriTecnici!$T$5:$T$6173="SI")*IFERROR(CriteriTecnici!$O$5:$O$6173*1,0))))),0)+IF(SUMPRODUCT(MAX((CriteriTecnici!$C$5:$C$6173=$C134)*(CriteriTecnici!$E$5:$E$6173="B")*(CriteriTecnici!$T$5:$T$6173="SI")*IFERROR(CriteriTecnici!$O$5:$O$6173*1,0)))&gt;0,MIN(14,SUMIFS(CriteriTecnici!$O:$O,CriteriTecnici!$Q:$Q,$A134&amp;"|"&amp;$C134,CriteriTecnici!$E:$E,"B")*(14/SUMPRODUCT(MAX((CriteriTecnici!$C$5:$C$6173=$C134)*(CriteriTecnici!$E$5:$E$6173="B")*(CriteriTecnici!$T$5:$T$6173="SI")*IFERROR(CriteriTecnici!$O$5:$O$6173*1,0))))),0)+IF(SUMPRODUCT(MAX((CriteriTecnici!$C$5:$C$6173=$C134)*(CriteriTecnici!$E$5:$E$6173="C")*(CriteriTecnici!$T$5:$T$6173="SI")*IFERROR(CriteriTecnici!$O$5:$O$6173*1,0)))&gt;0,MIN(14,SUMIFS(CriteriTecnici!$O:$O,CriteriTecnici!$Q:$Q,$A134&amp;"|"&amp;$C134,CriteriTecnici!$E:$E,"C")*(14/SUMPRODUCT(MAX((CriteriTecnici!$C$5:$C$6173=$C134)*(CriteriTecnici!$E$5:$E$6173="C")*(CriteriTecnici!$T$5:$T$6173="SI")*IFERROR(CriteriTecnici!$O$5:$O$6173*1,0))))),0)+IF(SUMPRODUCT(MAX((CriteriTecnici!$C$5:$C$6173=$C134)*(CriteriTecnici!$E$5:$E$6173="D")*(CriteriTecnici!$T$5:$T$6173="SI")*IFERROR(CriteriTecnici!$O$5:$O$6173*1,0)))&gt;0,MIN(10,SUMIFS(CriteriTecnici!$O:$O,CriteriTecnici!$Q:$Q,$A134&amp;"|"&amp;$C134,CriteriTecnici!$E:$E,"D")*(10/SUMPRODUCT(MAX((CriteriTecnici!$C$5:$C$6173=$C134)*(CriteriTecnici!$E$5:$E$6173="D")*(CriteriTecnici!$T$5:$T$6173="SI")*IFERROR(CriteriTecnici!$O$5:$O$6173*1,0))))),0)+IF(SUMPRODUCT(MAX((CriteriTecnici!$C$5:$C$6173=$C134)*(CriteriTecnici!$E$5:$E$6173="E")*(CriteriTecnici!$T$5:$T$6173="SI")*IFERROR(CriteriTecnici!$O$5:$O$6173*1,0)))&gt;0,MIN(4,SUMIFS(CriteriTecnici!$O:$O,CriteriTecnici!$Q:$Q,$A134&amp;"|"&amp;$C134,CriteriTecnici!$E:$E,"E")*(4/SUMPRODUCT(MAX((CriteriTecnici!$C$5:$C$6173=$C134)*(CriteriTecnici!$E$5:$E$6173="E")*(CriteriTecnici!$T$5:$T$6173="SI")*IFERROR(CriteriTecnici!$O$5:$O$6173*1,0))))),0)+IF(SUMPRODUCT(MAX((CriteriTecnici!$C$5:$C$6173=$C134)*(CriteriTecnici!$E$5:$E$6173="F")*(CriteriTecnici!$T$5:$T$6173="SI")*IFERROR(CriteriTecnici!$O$5:$O$6173*1,0)))&gt;0,MIN(14,SUMIFS(CriteriTecnici!$O:$O,CriteriTecnici!$Q:$Q,$A134&amp;"|"&amp;$C134,CriteriTecnici!$E:$E,"F")*(14/SUMPRODUCT(MAX((CriteriTecnici!$C$5:$C$6173=$C134)*(CriteriTecnici!$E$5:$E$6173="F")*(CriteriTecnici!$T$5:$T$6173="SI")*IFERROR(CriteriTecnici!$O$5:$O$6173*1,0))))),0)+IF(SUMPRODUCT(MAX((CriteriTecnici!$C$5:$C$6173=$C134)*(CriteriTecnici!$E$5:$E$6173="G")*(CriteriTecnici!$T$5:$T$6173="SI")*IFERROR(CriteriTecnici!$O$5:$O$6173*1,0)))&gt;0,MIN(7,SUMIFS(CriteriTecnici!$O:$O,CriteriTecnici!$Q:$Q,$A134&amp;"|"&amp;$C134,CriteriTecnici!$E:$E,"G")*(7/SUMPRODUCT(MAX((CriteriTecnici!$C$5:$C$6173=$C134)*(CriteriTecnici!$E$5:$E$6173="G")*(CriteriTecnici!$T$5:$T$6173="SI")*IFERROR(CriteriTecnici!$O$5:$O$6173*1,0))))),0),4),0),IFERROR($N134*1,0)),0))</f>
        <v/>
      </c>
      <c r="F134" s="56">
        <f>IF(Compila!$A144="","",Compila!$E144)</f>
        <v/>
      </c>
      <c r="G134" s="57">
        <f>IF($A134="","",IF(IFERROR(VALUE($D134),0)&lt;&gt;1,"NO",IF(IFERROR(VALUE($O134),0)&gt;=Parametri!$B$2,"SI","NO")))</f>
        <v/>
      </c>
      <c r="H134" s="57">
        <f>IF($G134="SI",SUMPRODUCT(MAX(($C$2:$C$200=$C134)*(IFERROR($D$2:$D$200*1,0)=1)*(IFERROR($O$2:$O$200*1,0)&gt;=Parametri!$B$2)*IFERROR($F$2:$F$200*1,0))),0)</f>
        <v/>
      </c>
      <c r="I134" s="57">
        <f>IF($G134="SI",IF($H134&gt;0,30*(IFERROR($F134*1,0)/$H134),0),0)</f>
        <v/>
      </c>
      <c r="J134" s="57">
        <f>IF($A134="",0,IF($G134="SI",ROUND(IFERROR($E134*1,0)+$I134,4),ROUND(IFERROR($E134*1,0),4)))</f>
        <v/>
      </c>
      <c r="K134" s="57">
        <f>IF($A134="","",IF(IFERROR(VALUE($D134),0)&lt;&gt;1,"Non attiva",IF(IFERROR(VALUE($O134),0)&lt;Parametri!$B$2,"Sotto soglia","")))</f>
        <v/>
      </c>
      <c r="L134" s="57">
        <f>IF($A134="","",$A134&amp;"|"&amp;$C134)</f>
        <v/>
      </c>
      <c r="M134" s="57">
        <f>IF($A134="","",$C134&amp;"|"&amp;TEXT($J134,"0.0000"))</f>
        <v/>
      </c>
      <c r="N134" s="57" t="n"/>
      <c r="O134" s="57">
        <f>IF($A134="",0,IFERROR(IF(SUMIFS(CriteriTecnici!$O:$O,CriteriTecnici!$Q:$Q,$A134&amp;"|"&amp;$C134)&gt;0,SUMIFS(CriteriTecnici!$O:$O,CriteriTecnici!$Q:$Q,$A134&amp;"|"&amp;$C134,CriteriTecnici!$F:$F,"Q")+SUMIFS(CriteriTecnici!$O:$O,CriteriTecnici!$Q:$Q,$A134&amp;"|"&amp;$C134,CriteriTecnici!$F:$F,"T"),IFERROR($N134*1,0)),0))</f>
        <v/>
      </c>
      <c r="P134" s="57">
        <f>IF($A134="","",IF(SUMIFS(CriteriTecnici!$O:$O,CriteriTecnici!$Q:$Q,$A134&amp;"|"&amp;$C134)&gt;0,"Criteri A-G","Aggregato"))</f>
        <v/>
      </c>
    </row>
    <row r="135">
      <c r="A135" s="56">
        <f>IF(Compila!$A145="","",Compila!$A145)</f>
        <v/>
      </c>
      <c r="B135" s="56">
        <f>IF(Compila!$A145="","",Compila!$B145)</f>
        <v/>
      </c>
      <c r="C135" s="56">
        <f>IF(Compila!$A145="","",Compila!$C145)</f>
        <v/>
      </c>
      <c r="D135" s="56">
        <f>IF(Compila!$A145="","",Compila!$D145)</f>
        <v/>
      </c>
      <c r="E135" s="57">
        <f>IF($A135="",0,IFERROR(IF(SUMIFS(CriteriTecnici!$O:$O,CriteriTecnici!$Q:$Q,$A135&amp;"|"&amp;$C135)&gt;0,IF($G135="SI",ROUND(IF(SUMPRODUCT(MAX((CriteriTecnici!$C$5:$C$6173=$C135)*(CriteriTecnici!$E$5:$E$6173="A")*(CriteriTecnici!$T$5:$T$6173="SI")*IFERROR(CriteriTecnici!$O$5:$O$6173*1,0)))&gt;0,MIN(7,SUMIFS(CriteriTecnici!$O:$O,CriteriTecnici!$Q:$Q,$A135&amp;"|"&amp;$C135,CriteriTecnici!$E:$E,"A")*(7/SUMPRODUCT(MAX((CriteriTecnici!$C$5:$C$6173=$C135)*(CriteriTecnici!$E$5:$E$6173="A")*(CriteriTecnici!$T$5:$T$6173="SI")*IFERROR(CriteriTecnici!$O$5:$O$6173*1,0))))),0)+IF(SUMPRODUCT(MAX((CriteriTecnici!$C$5:$C$6173=$C135)*(CriteriTecnici!$E$5:$E$6173="B")*(CriteriTecnici!$T$5:$T$6173="SI")*IFERROR(CriteriTecnici!$O$5:$O$6173*1,0)))&gt;0,MIN(14,SUMIFS(CriteriTecnici!$O:$O,CriteriTecnici!$Q:$Q,$A135&amp;"|"&amp;$C135,CriteriTecnici!$E:$E,"B")*(14/SUMPRODUCT(MAX((CriteriTecnici!$C$5:$C$6173=$C135)*(CriteriTecnici!$E$5:$E$6173="B")*(CriteriTecnici!$T$5:$T$6173="SI")*IFERROR(CriteriTecnici!$O$5:$O$6173*1,0))))),0)+IF(SUMPRODUCT(MAX((CriteriTecnici!$C$5:$C$6173=$C135)*(CriteriTecnici!$E$5:$E$6173="C")*(CriteriTecnici!$T$5:$T$6173="SI")*IFERROR(CriteriTecnici!$O$5:$O$6173*1,0)))&gt;0,MIN(14,SUMIFS(CriteriTecnici!$O:$O,CriteriTecnici!$Q:$Q,$A135&amp;"|"&amp;$C135,CriteriTecnici!$E:$E,"C")*(14/SUMPRODUCT(MAX((CriteriTecnici!$C$5:$C$6173=$C135)*(CriteriTecnici!$E$5:$E$6173="C")*(CriteriTecnici!$T$5:$T$6173="SI")*IFERROR(CriteriTecnici!$O$5:$O$6173*1,0))))),0)+IF(SUMPRODUCT(MAX((CriteriTecnici!$C$5:$C$6173=$C135)*(CriteriTecnici!$E$5:$E$6173="D")*(CriteriTecnici!$T$5:$T$6173="SI")*IFERROR(CriteriTecnici!$O$5:$O$6173*1,0)))&gt;0,MIN(10,SUMIFS(CriteriTecnici!$O:$O,CriteriTecnici!$Q:$Q,$A135&amp;"|"&amp;$C135,CriteriTecnici!$E:$E,"D")*(10/SUMPRODUCT(MAX((CriteriTecnici!$C$5:$C$6173=$C135)*(CriteriTecnici!$E$5:$E$6173="D")*(CriteriTecnici!$T$5:$T$6173="SI")*IFERROR(CriteriTecnici!$O$5:$O$6173*1,0))))),0)+IF(SUMPRODUCT(MAX((CriteriTecnici!$C$5:$C$6173=$C135)*(CriteriTecnici!$E$5:$E$6173="E")*(CriteriTecnici!$T$5:$T$6173="SI")*IFERROR(CriteriTecnici!$O$5:$O$6173*1,0)))&gt;0,MIN(4,SUMIFS(CriteriTecnici!$O:$O,CriteriTecnici!$Q:$Q,$A135&amp;"|"&amp;$C135,CriteriTecnici!$E:$E,"E")*(4/SUMPRODUCT(MAX((CriteriTecnici!$C$5:$C$6173=$C135)*(CriteriTecnici!$E$5:$E$6173="E")*(CriteriTecnici!$T$5:$T$6173="SI")*IFERROR(CriteriTecnici!$O$5:$O$6173*1,0))))),0)+IF(SUMPRODUCT(MAX((CriteriTecnici!$C$5:$C$6173=$C135)*(CriteriTecnici!$E$5:$E$6173="F")*(CriteriTecnici!$T$5:$T$6173="SI")*IFERROR(CriteriTecnici!$O$5:$O$6173*1,0)))&gt;0,MIN(14,SUMIFS(CriteriTecnici!$O:$O,CriteriTecnici!$Q:$Q,$A135&amp;"|"&amp;$C135,CriteriTecnici!$E:$E,"F")*(14/SUMPRODUCT(MAX((CriteriTecnici!$C$5:$C$6173=$C135)*(CriteriTecnici!$E$5:$E$6173="F")*(CriteriTecnici!$T$5:$T$6173="SI")*IFERROR(CriteriTecnici!$O$5:$O$6173*1,0))))),0)+IF(SUMPRODUCT(MAX((CriteriTecnici!$C$5:$C$6173=$C135)*(CriteriTecnici!$E$5:$E$6173="G")*(CriteriTecnici!$T$5:$T$6173="SI")*IFERROR(CriteriTecnici!$O$5:$O$6173*1,0)))&gt;0,MIN(7,SUMIFS(CriteriTecnici!$O:$O,CriteriTecnici!$Q:$Q,$A135&amp;"|"&amp;$C135,CriteriTecnici!$E:$E,"G")*(7/SUMPRODUCT(MAX((CriteriTecnici!$C$5:$C$6173=$C135)*(CriteriTecnici!$E$5:$E$6173="G")*(CriteriTecnici!$T$5:$T$6173="SI")*IFERROR(CriteriTecnici!$O$5:$O$6173*1,0))))),0),4),0),IFERROR($N135*1,0)),0))</f>
        <v/>
      </c>
      <c r="F135" s="56">
        <f>IF(Compila!$A145="","",Compila!$E145)</f>
        <v/>
      </c>
      <c r="G135" s="57">
        <f>IF($A135="","",IF(IFERROR(VALUE($D135),0)&lt;&gt;1,"NO",IF(IFERROR(VALUE($O135),0)&gt;=Parametri!$B$2,"SI","NO")))</f>
        <v/>
      </c>
      <c r="H135" s="57">
        <f>IF($G135="SI",SUMPRODUCT(MAX(($C$2:$C$200=$C135)*(IFERROR($D$2:$D$200*1,0)=1)*(IFERROR($O$2:$O$200*1,0)&gt;=Parametri!$B$2)*IFERROR($F$2:$F$200*1,0))),0)</f>
        <v/>
      </c>
      <c r="I135" s="57">
        <f>IF($G135="SI",IF($H135&gt;0,30*(IFERROR($F135*1,0)/$H135),0),0)</f>
        <v/>
      </c>
      <c r="J135" s="57">
        <f>IF($A135="",0,IF($G135="SI",ROUND(IFERROR($E135*1,0)+$I135,4),ROUND(IFERROR($E135*1,0),4)))</f>
        <v/>
      </c>
      <c r="K135" s="57">
        <f>IF($A135="","",IF(IFERROR(VALUE($D135),0)&lt;&gt;1,"Non attiva",IF(IFERROR(VALUE($O135),0)&lt;Parametri!$B$2,"Sotto soglia","")))</f>
        <v/>
      </c>
      <c r="L135" s="57">
        <f>IF($A135="","",$A135&amp;"|"&amp;$C135)</f>
        <v/>
      </c>
      <c r="M135" s="57">
        <f>IF($A135="","",$C135&amp;"|"&amp;TEXT($J135,"0.0000"))</f>
        <v/>
      </c>
      <c r="N135" s="57" t="n"/>
      <c r="O135" s="57">
        <f>IF($A135="",0,IFERROR(IF(SUMIFS(CriteriTecnici!$O:$O,CriteriTecnici!$Q:$Q,$A135&amp;"|"&amp;$C135)&gt;0,SUMIFS(CriteriTecnici!$O:$O,CriteriTecnici!$Q:$Q,$A135&amp;"|"&amp;$C135,CriteriTecnici!$F:$F,"Q")+SUMIFS(CriteriTecnici!$O:$O,CriteriTecnici!$Q:$Q,$A135&amp;"|"&amp;$C135,CriteriTecnici!$F:$F,"T"),IFERROR($N135*1,0)),0))</f>
        <v/>
      </c>
      <c r="P135" s="57">
        <f>IF($A135="","",IF(SUMIFS(CriteriTecnici!$O:$O,CriteriTecnici!$Q:$Q,$A135&amp;"|"&amp;$C135)&gt;0,"Criteri A-G","Aggregato"))</f>
        <v/>
      </c>
    </row>
    <row r="136">
      <c r="A136" s="56">
        <f>IF(Compila!$A146="","",Compila!$A146)</f>
        <v/>
      </c>
      <c r="B136" s="56">
        <f>IF(Compila!$A146="","",Compila!$B146)</f>
        <v/>
      </c>
      <c r="C136" s="56">
        <f>IF(Compila!$A146="","",Compila!$C146)</f>
        <v/>
      </c>
      <c r="D136" s="56">
        <f>IF(Compila!$A146="","",Compila!$D146)</f>
        <v/>
      </c>
      <c r="E136" s="57">
        <f>IF($A136="",0,IFERROR(IF(SUMIFS(CriteriTecnici!$O:$O,CriteriTecnici!$Q:$Q,$A136&amp;"|"&amp;$C136)&gt;0,IF($G136="SI",ROUND(IF(SUMPRODUCT(MAX((CriteriTecnici!$C$5:$C$6173=$C136)*(CriteriTecnici!$E$5:$E$6173="A")*(CriteriTecnici!$T$5:$T$6173="SI")*IFERROR(CriteriTecnici!$O$5:$O$6173*1,0)))&gt;0,MIN(7,SUMIFS(CriteriTecnici!$O:$O,CriteriTecnici!$Q:$Q,$A136&amp;"|"&amp;$C136,CriteriTecnici!$E:$E,"A")*(7/SUMPRODUCT(MAX((CriteriTecnici!$C$5:$C$6173=$C136)*(CriteriTecnici!$E$5:$E$6173="A")*(CriteriTecnici!$T$5:$T$6173="SI")*IFERROR(CriteriTecnici!$O$5:$O$6173*1,0))))),0)+IF(SUMPRODUCT(MAX((CriteriTecnici!$C$5:$C$6173=$C136)*(CriteriTecnici!$E$5:$E$6173="B")*(CriteriTecnici!$T$5:$T$6173="SI")*IFERROR(CriteriTecnici!$O$5:$O$6173*1,0)))&gt;0,MIN(14,SUMIFS(CriteriTecnici!$O:$O,CriteriTecnici!$Q:$Q,$A136&amp;"|"&amp;$C136,CriteriTecnici!$E:$E,"B")*(14/SUMPRODUCT(MAX((CriteriTecnici!$C$5:$C$6173=$C136)*(CriteriTecnici!$E$5:$E$6173="B")*(CriteriTecnici!$T$5:$T$6173="SI")*IFERROR(CriteriTecnici!$O$5:$O$6173*1,0))))),0)+IF(SUMPRODUCT(MAX((CriteriTecnici!$C$5:$C$6173=$C136)*(CriteriTecnici!$E$5:$E$6173="C")*(CriteriTecnici!$T$5:$T$6173="SI")*IFERROR(CriteriTecnici!$O$5:$O$6173*1,0)))&gt;0,MIN(14,SUMIFS(CriteriTecnici!$O:$O,CriteriTecnici!$Q:$Q,$A136&amp;"|"&amp;$C136,CriteriTecnici!$E:$E,"C")*(14/SUMPRODUCT(MAX((CriteriTecnici!$C$5:$C$6173=$C136)*(CriteriTecnici!$E$5:$E$6173="C")*(CriteriTecnici!$T$5:$T$6173="SI")*IFERROR(CriteriTecnici!$O$5:$O$6173*1,0))))),0)+IF(SUMPRODUCT(MAX((CriteriTecnici!$C$5:$C$6173=$C136)*(CriteriTecnici!$E$5:$E$6173="D")*(CriteriTecnici!$T$5:$T$6173="SI")*IFERROR(CriteriTecnici!$O$5:$O$6173*1,0)))&gt;0,MIN(10,SUMIFS(CriteriTecnici!$O:$O,CriteriTecnici!$Q:$Q,$A136&amp;"|"&amp;$C136,CriteriTecnici!$E:$E,"D")*(10/SUMPRODUCT(MAX((CriteriTecnici!$C$5:$C$6173=$C136)*(CriteriTecnici!$E$5:$E$6173="D")*(CriteriTecnici!$T$5:$T$6173="SI")*IFERROR(CriteriTecnici!$O$5:$O$6173*1,0))))),0)+IF(SUMPRODUCT(MAX((CriteriTecnici!$C$5:$C$6173=$C136)*(CriteriTecnici!$E$5:$E$6173="E")*(CriteriTecnici!$T$5:$T$6173="SI")*IFERROR(CriteriTecnici!$O$5:$O$6173*1,0)))&gt;0,MIN(4,SUMIFS(CriteriTecnici!$O:$O,CriteriTecnici!$Q:$Q,$A136&amp;"|"&amp;$C136,CriteriTecnici!$E:$E,"E")*(4/SUMPRODUCT(MAX((CriteriTecnici!$C$5:$C$6173=$C136)*(CriteriTecnici!$E$5:$E$6173="E")*(CriteriTecnici!$T$5:$T$6173="SI")*IFERROR(CriteriTecnici!$O$5:$O$6173*1,0))))),0)+IF(SUMPRODUCT(MAX((CriteriTecnici!$C$5:$C$6173=$C136)*(CriteriTecnici!$E$5:$E$6173="F")*(CriteriTecnici!$T$5:$T$6173="SI")*IFERROR(CriteriTecnici!$O$5:$O$6173*1,0)))&gt;0,MIN(14,SUMIFS(CriteriTecnici!$O:$O,CriteriTecnici!$Q:$Q,$A136&amp;"|"&amp;$C136,CriteriTecnici!$E:$E,"F")*(14/SUMPRODUCT(MAX((CriteriTecnici!$C$5:$C$6173=$C136)*(CriteriTecnici!$E$5:$E$6173="F")*(CriteriTecnici!$T$5:$T$6173="SI")*IFERROR(CriteriTecnici!$O$5:$O$6173*1,0))))),0)+IF(SUMPRODUCT(MAX((CriteriTecnici!$C$5:$C$6173=$C136)*(CriteriTecnici!$E$5:$E$6173="G")*(CriteriTecnici!$T$5:$T$6173="SI")*IFERROR(CriteriTecnici!$O$5:$O$6173*1,0)))&gt;0,MIN(7,SUMIFS(CriteriTecnici!$O:$O,CriteriTecnici!$Q:$Q,$A136&amp;"|"&amp;$C136,CriteriTecnici!$E:$E,"G")*(7/SUMPRODUCT(MAX((CriteriTecnici!$C$5:$C$6173=$C136)*(CriteriTecnici!$E$5:$E$6173="G")*(CriteriTecnici!$T$5:$T$6173="SI")*IFERROR(CriteriTecnici!$O$5:$O$6173*1,0))))),0),4),0),IFERROR($N136*1,0)),0))</f>
        <v/>
      </c>
      <c r="F136" s="56">
        <f>IF(Compila!$A146="","",Compila!$E146)</f>
        <v/>
      </c>
      <c r="G136" s="57">
        <f>IF($A136="","",IF(IFERROR(VALUE($D136),0)&lt;&gt;1,"NO",IF(IFERROR(VALUE($O136),0)&gt;=Parametri!$B$2,"SI","NO")))</f>
        <v/>
      </c>
      <c r="H136" s="57">
        <f>IF($G136="SI",SUMPRODUCT(MAX(($C$2:$C$200=$C136)*(IFERROR($D$2:$D$200*1,0)=1)*(IFERROR($O$2:$O$200*1,0)&gt;=Parametri!$B$2)*IFERROR($F$2:$F$200*1,0))),0)</f>
        <v/>
      </c>
      <c r="I136" s="57">
        <f>IF($G136="SI",IF($H136&gt;0,30*(IFERROR($F136*1,0)/$H136),0),0)</f>
        <v/>
      </c>
      <c r="J136" s="57">
        <f>IF($A136="",0,IF($G136="SI",ROUND(IFERROR($E136*1,0)+$I136,4),ROUND(IFERROR($E136*1,0),4)))</f>
        <v/>
      </c>
      <c r="K136" s="57">
        <f>IF($A136="","",IF(IFERROR(VALUE($D136),0)&lt;&gt;1,"Non attiva",IF(IFERROR(VALUE($O136),0)&lt;Parametri!$B$2,"Sotto soglia","")))</f>
        <v/>
      </c>
      <c r="L136" s="57">
        <f>IF($A136="","",$A136&amp;"|"&amp;$C136)</f>
        <v/>
      </c>
      <c r="M136" s="57">
        <f>IF($A136="","",$C136&amp;"|"&amp;TEXT($J136,"0.0000"))</f>
        <v/>
      </c>
      <c r="N136" s="57" t="n"/>
      <c r="O136" s="57">
        <f>IF($A136="",0,IFERROR(IF(SUMIFS(CriteriTecnici!$O:$O,CriteriTecnici!$Q:$Q,$A136&amp;"|"&amp;$C136)&gt;0,SUMIFS(CriteriTecnici!$O:$O,CriteriTecnici!$Q:$Q,$A136&amp;"|"&amp;$C136,CriteriTecnici!$F:$F,"Q")+SUMIFS(CriteriTecnici!$O:$O,CriteriTecnici!$Q:$Q,$A136&amp;"|"&amp;$C136,CriteriTecnici!$F:$F,"T"),IFERROR($N136*1,0)),0))</f>
        <v/>
      </c>
      <c r="P136" s="57">
        <f>IF($A136="","",IF(SUMIFS(CriteriTecnici!$O:$O,CriteriTecnici!$Q:$Q,$A136&amp;"|"&amp;$C136)&gt;0,"Criteri A-G","Aggregato"))</f>
        <v/>
      </c>
    </row>
    <row r="137">
      <c r="A137" s="56">
        <f>IF(Compila!$A147="","",Compila!$A147)</f>
        <v/>
      </c>
      <c r="B137" s="56">
        <f>IF(Compila!$A147="","",Compila!$B147)</f>
        <v/>
      </c>
      <c r="C137" s="56">
        <f>IF(Compila!$A147="","",Compila!$C147)</f>
        <v/>
      </c>
      <c r="D137" s="56">
        <f>IF(Compila!$A147="","",Compila!$D147)</f>
        <v/>
      </c>
      <c r="E137" s="57">
        <f>IF($A137="",0,IFERROR(IF(SUMIFS(CriteriTecnici!$O:$O,CriteriTecnici!$Q:$Q,$A137&amp;"|"&amp;$C137)&gt;0,IF($G137="SI",ROUND(IF(SUMPRODUCT(MAX((CriteriTecnici!$C$5:$C$6173=$C137)*(CriteriTecnici!$E$5:$E$6173="A")*(CriteriTecnici!$T$5:$T$6173="SI")*IFERROR(CriteriTecnici!$O$5:$O$6173*1,0)))&gt;0,MIN(7,SUMIFS(CriteriTecnici!$O:$O,CriteriTecnici!$Q:$Q,$A137&amp;"|"&amp;$C137,CriteriTecnici!$E:$E,"A")*(7/SUMPRODUCT(MAX((CriteriTecnici!$C$5:$C$6173=$C137)*(CriteriTecnici!$E$5:$E$6173="A")*(CriteriTecnici!$T$5:$T$6173="SI")*IFERROR(CriteriTecnici!$O$5:$O$6173*1,0))))),0)+IF(SUMPRODUCT(MAX((CriteriTecnici!$C$5:$C$6173=$C137)*(CriteriTecnici!$E$5:$E$6173="B")*(CriteriTecnici!$T$5:$T$6173="SI")*IFERROR(CriteriTecnici!$O$5:$O$6173*1,0)))&gt;0,MIN(14,SUMIFS(CriteriTecnici!$O:$O,CriteriTecnici!$Q:$Q,$A137&amp;"|"&amp;$C137,CriteriTecnici!$E:$E,"B")*(14/SUMPRODUCT(MAX((CriteriTecnici!$C$5:$C$6173=$C137)*(CriteriTecnici!$E$5:$E$6173="B")*(CriteriTecnici!$T$5:$T$6173="SI")*IFERROR(CriteriTecnici!$O$5:$O$6173*1,0))))),0)+IF(SUMPRODUCT(MAX((CriteriTecnici!$C$5:$C$6173=$C137)*(CriteriTecnici!$E$5:$E$6173="C")*(CriteriTecnici!$T$5:$T$6173="SI")*IFERROR(CriteriTecnici!$O$5:$O$6173*1,0)))&gt;0,MIN(14,SUMIFS(CriteriTecnici!$O:$O,CriteriTecnici!$Q:$Q,$A137&amp;"|"&amp;$C137,CriteriTecnici!$E:$E,"C")*(14/SUMPRODUCT(MAX((CriteriTecnici!$C$5:$C$6173=$C137)*(CriteriTecnici!$E$5:$E$6173="C")*(CriteriTecnici!$T$5:$T$6173="SI")*IFERROR(CriteriTecnici!$O$5:$O$6173*1,0))))),0)+IF(SUMPRODUCT(MAX((CriteriTecnici!$C$5:$C$6173=$C137)*(CriteriTecnici!$E$5:$E$6173="D")*(CriteriTecnici!$T$5:$T$6173="SI")*IFERROR(CriteriTecnici!$O$5:$O$6173*1,0)))&gt;0,MIN(10,SUMIFS(CriteriTecnici!$O:$O,CriteriTecnici!$Q:$Q,$A137&amp;"|"&amp;$C137,CriteriTecnici!$E:$E,"D")*(10/SUMPRODUCT(MAX((CriteriTecnici!$C$5:$C$6173=$C137)*(CriteriTecnici!$E$5:$E$6173="D")*(CriteriTecnici!$T$5:$T$6173="SI")*IFERROR(CriteriTecnici!$O$5:$O$6173*1,0))))),0)+IF(SUMPRODUCT(MAX((CriteriTecnici!$C$5:$C$6173=$C137)*(CriteriTecnici!$E$5:$E$6173="E")*(CriteriTecnici!$T$5:$T$6173="SI")*IFERROR(CriteriTecnici!$O$5:$O$6173*1,0)))&gt;0,MIN(4,SUMIFS(CriteriTecnici!$O:$O,CriteriTecnici!$Q:$Q,$A137&amp;"|"&amp;$C137,CriteriTecnici!$E:$E,"E")*(4/SUMPRODUCT(MAX((CriteriTecnici!$C$5:$C$6173=$C137)*(CriteriTecnici!$E$5:$E$6173="E")*(CriteriTecnici!$T$5:$T$6173="SI")*IFERROR(CriteriTecnici!$O$5:$O$6173*1,0))))),0)+IF(SUMPRODUCT(MAX((CriteriTecnici!$C$5:$C$6173=$C137)*(CriteriTecnici!$E$5:$E$6173="F")*(CriteriTecnici!$T$5:$T$6173="SI")*IFERROR(CriteriTecnici!$O$5:$O$6173*1,0)))&gt;0,MIN(14,SUMIFS(CriteriTecnici!$O:$O,CriteriTecnici!$Q:$Q,$A137&amp;"|"&amp;$C137,CriteriTecnici!$E:$E,"F")*(14/SUMPRODUCT(MAX((CriteriTecnici!$C$5:$C$6173=$C137)*(CriteriTecnici!$E$5:$E$6173="F")*(CriteriTecnici!$T$5:$T$6173="SI")*IFERROR(CriteriTecnici!$O$5:$O$6173*1,0))))),0)+IF(SUMPRODUCT(MAX((CriteriTecnici!$C$5:$C$6173=$C137)*(CriteriTecnici!$E$5:$E$6173="G")*(CriteriTecnici!$T$5:$T$6173="SI")*IFERROR(CriteriTecnici!$O$5:$O$6173*1,0)))&gt;0,MIN(7,SUMIFS(CriteriTecnici!$O:$O,CriteriTecnici!$Q:$Q,$A137&amp;"|"&amp;$C137,CriteriTecnici!$E:$E,"G")*(7/SUMPRODUCT(MAX((CriteriTecnici!$C$5:$C$6173=$C137)*(CriteriTecnici!$E$5:$E$6173="G")*(CriteriTecnici!$T$5:$T$6173="SI")*IFERROR(CriteriTecnici!$O$5:$O$6173*1,0))))),0),4),0),IFERROR($N137*1,0)),0))</f>
        <v/>
      </c>
      <c r="F137" s="56">
        <f>IF(Compila!$A147="","",Compila!$E147)</f>
        <v/>
      </c>
      <c r="G137" s="57">
        <f>IF($A137="","",IF(IFERROR(VALUE($D137),0)&lt;&gt;1,"NO",IF(IFERROR(VALUE($O137),0)&gt;=Parametri!$B$2,"SI","NO")))</f>
        <v/>
      </c>
      <c r="H137" s="57">
        <f>IF($G137="SI",SUMPRODUCT(MAX(($C$2:$C$200=$C137)*(IFERROR($D$2:$D$200*1,0)=1)*(IFERROR($O$2:$O$200*1,0)&gt;=Parametri!$B$2)*IFERROR($F$2:$F$200*1,0))),0)</f>
        <v/>
      </c>
      <c r="I137" s="57">
        <f>IF($G137="SI",IF($H137&gt;0,30*(IFERROR($F137*1,0)/$H137),0),0)</f>
        <v/>
      </c>
      <c r="J137" s="57">
        <f>IF($A137="",0,IF($G137="SI",ROUND(IFERROR($E137*1,0)+$I137,4),ROUND(IFERROR($E137*1,0),4)))</f>
        <v/>
      </c>
      <c r="K137" s="57">
        <f>IF($A137="","",IF(IFERROR(VALUE($D137),0)&lt;&gt;1,"Non attiva",IF(IFERROR(VALUE($O137),0)&lt;Parametri!$B$2,"Sotto soglia","")))</f>
        <v/>
      </c>
      <c r="L137" s="57">
        <f>IF($A137="","",$A137&amp;"|"&amp;$C137)</f>
        <v/>
      </c>
      <c r="M137" s="57">
        <f>IF($A137="","",$C137&amp;"|"&amp;TEXT($J137,"0.0000"))</f>
        <v/>
      </c>
      <c r="N137" s="57" t="n"/>
      <c r="O137" s="57">
        <f>IF($A137="",0,IFERROR(IF(SUMIFS(CriteriTecnici!$O:$O,CriteriTecnici!$Q:$Q,$A137&amp;"|"&amp;$C137)&gt;0,SUMIFS(CriteriTecnici!$O:$O,CriteriTecnici!$Q:$Q,$A137&amp;"|"&amp;$C137,CriteriTecnici!$F:$F,"Q")+SUMIFS(CriteriTecnici!$O:$O,CriteriTecnici!$Q:$Q,$A137&amp;"|"&amp;$C137,CriteriTecnici!$F:$F,"T"),IFERROR($N137*1,0)),0))</f>
        <v/>
      </c>
      <c r="P137" s="57">
        <f>IF($A137="","",IF(SUMIFS(CriteriTecnici!$O:$O,CriteriTecnici!$Q:$Q,$A137&amp;"|"&amp;$C137)&gt;0,"Criteri A-G","Aggregato"))</f>
        <v/>
      </c>
    </row>
    <row r="138">
      <c r="A138" s="56">
        <f>IF(Compila!$A148="","",Compila!$A148)</f>
        <v/>
      </c>
      <c r="B138" s="56">
        <f>IF(Compila!$A148="","",Compila!$B148)</f>
        <v/>
      </c>
      <c r="C138" s="56">
        <f>IF(Compila!$A148="","",Compila!$C148)</f>
        <v/>
      </c>
      <c r="D138" s="56">
        <f>IF(Compila!$A148="","",Compila!$D148)</f>
        <v/>
      </c>
      <c r="E138" s="57">
        <f>IF($A138="",0,IFERROR(IF(SUMIFS(CriteriTecnici!$O:$O,CriteriTecnici!$Q:$Q,$A138&amp;"|"&amp;$C138)&gt;0,IF($G138="SI",ROUND(IF(SUMPRODUCT(MAX((CriteriTecnici!$C$5:$C$6173=$C138)*(CriteriTecnici!$E$5:$E$6173="A")*(CriteriTecnici!$T$5:$T$6173="SI")*IFERROR(CriteriTecnici!$O$5:$O$6173*1,0)))&gt;0,MIN(7,SUMIFS(CriteriTecnici!$O:$O,CriteriTecnici!$Q:$Q,$A138&amp;"|"&amp;$C138,CriteriTecnici!$E:$E,"A")*(7/SUMPRODUCT(MAX((CriteriTecnici!$C$5:$C$6173=$C138)*(CriteriTecnici!$E$5:$E$6173="A")*(CriteriTecnici!$T$5:$T$6173="SI")*IFERROR(CriteriTecnici!$O$5:$O$6173*1,0))))),0)+IF(SUMPRODUCT(MAX((CriteriTecnici!$C$5:$C$6173=$C138)*(CriteriTecnici!$E$5:$E$6173="B")*(CriteriTecnici!$T$5:$T$6173="SI")*IFERROR(CriteriTecnici!$O$5:$O$6173*1,0)))&gt;0,MIN(14,SUMIFS(CriteriTecnici!$O:$O,CriteriTecnici!$Q:$Q,$A138&amp;"|"&amp;$C138,CriteriTecnici!$E:$E,"B")*(14/SUMPRODUCT(MAX((CriteriTecnici!$C$5:$C$6173=$C138)*(CriteriTecnici!$E$5:$E$6173="B")*(CriteriTecnici!$T$5:$T$6173="SI")*IFERROR(CriteriTecnici!$O$5:$O$6173*1,0))))),0)+IF(SUMPRODUCT(MAX((CriteriTecnici!$C$5:$C$6173=$C138)*(CriteriTecnici!$E$5:$E$6173="C")*(CriteriTecnici!$T$5:$T$6173="SI")*IFERROR(CriteriTecnici!$O$5:$O$6173*1,0)))&gt;0,MIN(14,SUMIFS(CriteriTecnici!$O:$O,CriteriTecnici!$Q:$Q,$A138&amp;"|"&amp;$C138,CriteriTecnici!$E:$E,"C")*(14/SUMPRODUCT(MAX((CriteriTecnici!$C$5:$C$6173=$C138)*(CriteriTecnici!$E$5:$E$6173="C")*(CriteriTecnici!$T$5:$T$6173="SI")*IFERROR(CriteriTecnici!$O$5:$O$6173*1,0))))),0)+IF(SUMPRODUCT(MAX((CriteriTecnici!$C$5:$C$6173=$C138)*(CriteriTecnici!$E$5:$E$6173="D")*(CriteriTecnici!$T$5:$T$6173="SI")*IFERROR(CriteriTecnici!$O$5:$O$6173*1,0)))&gt;0,MIN(10,SUMIFS(CriteriTecnici!$O:$O,CriteriTecnici!$Q:$Q,$A138&amp;"|"&amp;$C138,CriteriTecnici!$E:$E,"D")*(10/SUMPRODUCT(MAX((CriteriTecnici!$C$5:$C$6173=$C138)*(CriteriTecnici!$E$5:$E$6173="D")*(CriteriTecnici!$T$5:$T$6173="SI")*IFERROR(CriteriTecnici!$O$5:$O$6173*1,0))))),0)+IF(SUMPRODUCT(MAX((CriteriTecnici!$C$5:$C$6173=$C138)*(CriteriTecnici!$E$5:$E$6173="E")*(CriteriTecnici!$T$5:$T$6173="SI")*IFERROR(CriteriTecnici!$O$5:$O$6173*1,0)))&gt;0,MIN(4,SUMIFS(CriteriTecnici!$O:$O,CriteriTecnici!$Q:$Q,$A138&amp;"|"&amp;$C138,CriteriTecnici!$E:$E,"E")*(4/SUMPRODUCT(MAX((CriteriTecnici!$C$5:$C$6173=$C138)*(CriteriTecnici!$E$5:$E$6173="E")*(CriteriTecnici!$T$5:$T$6173="SI")*IFERROR(CriteriTecnici!$O$5:$O$6173*1,0))))),0)+IF(SUMPRODUCT(MAX((CriteriTecnici!$C$5:$C$6173=$C138)*(CriteriTecnici!$E$5:$E$6173="F")*(CriteriTecnici!$T$5:$T$6173="SI")*IFERROR(CriteriTecnici!$O$5:$O$6173*1,0)))&gt;0,MIN(14,SUMIFS(CriteriTecnici!$O:$O,CriteriTecnici!$Q:$Q,$A138&amp;"|"&amp;$C138,CriteriTecnici!$E:$E,"F")*(14/SUMPRODUCT(MAX((CriteriTecnici!$C$5:$C$6173=$C138)*(CriteriTecnici!$E$5:$E$6173="F")*(CriteriTecnici!$T$5:$T$6173="SI")*IFERROR(CriteriTecnici!$O$5:$O$6173*1,0))))),0)+IF(SUMPRODUCT(MAX((CriteriTecnici!$C$5:$C$6173=$C138)*(CriteriTecnici!$E$5:$E$6173="G")*(CriteriTecnici!$T$5:$T$6173="SI")*IFERROR(CriteriTecnici!$O$5:$O$6173*1,0)))&gt;0,MIN(7,SUMIFS(CriteriTecnici!$O:$O,CriteriTecnici!$Q:$Q,$A138&amp;"|"&amp;$C138,CriteriTecnici!$E:$E,"G")*(7/SUMPRODUCT(MAX((CriteriTecnici!$C$5:$C$6173=$C138)*(CriteriTecnici!$E$5:$E$6173="G")*(CriteriTecnici!$T$5:$T$6173="SI")*IFERROR(CriteriTecnici!$O$5:$O$6173*1,0))))),0),4),0),IFERROR($N138*1,0)),0))</f>
        <v/>
      </c>
      <c r="F138" s="56">
        <f>IF(Compila!$A148="","",Compila!$E148)</f>
        <v/>
      </c>
      <c r="G138" s="57">
        <f>IF($A138="","",IF(IFERROR(VALUE($D138),0)&lt;&gt;1,"NO",IF(IFERROR(VALUE($O138),0)&gt;=Parametri!$B$2,"SI","NO")))</f>
        <v/>
      </c>
      <c r="H138" s="57">
        <f>IF($G138="SI",SUMPRODUCT(MAX(($C$2:$C$200=$C138)*(IFERROR($D$2:$D$200*1,0)=1)*(IFERROR($O$2:$O$200*1,0)&gt;=Parametri!$B$2)*IFERROR($F$2:$F$200*1,0))),0)</f>
        <v/>
      </c>
      <c r="I138" s="57">
        <f>IF($G138="SI",IF($H138&gt;0,30*(IFERROR($F138*1,0)/$H138),0),0)</f>
        <v/>
      </c>
      <c r="J138" s="57">
        <f>IF($A138="",0,IF($G138="SI",ROUND(IFERROR($E138*1,0)+$I138,4),ROUND(IFERROR($E138*1,0),4)))</f>
        <v/>
      </c>
      <c r="K138" s="57">
        <f>IF($A138="","",IF(IFERROR(VALUE($D138),0)&lt;&gt;1,"Non attiva",IF(IFERROR(VALUE($O138),0)&lt;Parametri!$B$2,"Sotto soglia","")))</f>
        <v/>
      </c>
      <c r="L138" s="57">
        <f>IF($A138="","",$A138&amp;"|"&amp;$C138)</f>
        <v/>
      </c>
      <c r="M138" s="57">
        <f>IF($A138="","",$C138&amp;"|"&amp;TEXT($J138,"0.0000"))</f>
        <v/>
      </c>
      <c r="N138" s="57" t="n"/>
      <c r="O138" s="57">
        <f>IF($A138="",0,IFERROR(IF(SUMIFS(CriteriTecnici!$O:$O,CriteriTecnici!$Q:$Q,$A138&amp;"|"&amp;$C138)&gt;0,SUMIFS(CriteriTecnici!$O:$O,CriteriTecnici!$Q:$Q,$A138&amp;"|"&amp;$C138,CriteriTecnici!$F:$F,"Q")+SUMIFS(CriteriTecnici!$O:$O,CriteriTecnici!$Q:$Q,$A138&amp;"|"&amp;$C138,CriteriTecnici!$F:$F,"T"),IFERROR($N138*1,0)),0))</f>
        <v/>
      </c>
      <c r="P138" s="57">
        <f>IF($A138="","",IF(SUMIFS(CriteriTecnici!$O:$O,CriteriTecnici!$Q:$Q,$A138&amp;"|"&amp;$C138)&gt;0,"Criteri A-G","Aggregato"))</f>
        <v/>
      </c>
    </row>
    <row r="139">
      <c r="A139" s="56">
        <f>IF(Compila!$A149="","",Compila!$A149)</f>
        <v/>
      </c>
      <c r="B139" s="56">
        <f>IF(Compila!$A149="","",Compila!$B149)</f>
        <v/>
      </c>
      <c r="C139" s="56">
        <f>IF(Compila!$A149="","",Compila!$C149)</f>
        <v/>
      </c>
      <c r="D139" s="56">
        <f>IF(Compila!$A149="","",Compila!$D149)</f>
        <v/>
      </c>
      <c r="E139" s="57">
        <f>IF($A139="",0,IFERROR(IF(SUMIFS(CriteriTecnici!$O:$O,CriteriTecnici!$Q:$Q,$A139&amp;"|"&amp;$C139)&gt;0,IF($G139="SI",ROUND(IF(SUMPRODUCT(MAX((CriteriTecnici!$C$5:$C$6173=$C139)*(CriteriTecnici!$E$5:$E$6173="A")*(CriteriTecnici!$T$5:$T$6173="SI")*IFERROR(CriteriTecnici!$O$5:$O$6173*1,0)))&gt;0,MIN(7,SUMIFS(CriteriTecnici!$O:$O,CriteriTecnici!$Q:$Q,$A139&amp;"|"&amp;$C139,CriteriTecnici!$E:$E,"A")*(7/SUMPRODUCT(MAX((CriteriTecnici!$C$5:$C$6173=$C139)*(CriteriTecnici!$E$5:$E$6173="A")*(CriteriTecnici!$T$5:$T$6173="SI")*IFERROR(CriteriTecnici!$O$5:$O$6173*1,0))))),0)+IF(SUMPRODUCT(MAX((CriteriTecnici!$C$5:$C$6173=$C139)*(CriteriTecnici!$E$5:$E$6173="B")*(CriteriTecnici!$T$5:$T$6173="SI")*IFERROR(CriteriTecnici!$O$5:$O$6173*1,0)))&gt;0,MIN(14,SUMIFS(CriteriTecnici!$O:$O,CriteriTecnici!$Q:$Q,$A139&amp;"|"&amp;$C139,CriteriTecnici!$E:$E,"B")*(14/SUMPRODUCT(MAX((CriteriTecnici!$C$5:$C$6173=$C139)*(CriteriTecnici!$E$5:$E$6173="B")*(CriteriTecnici!$T$5:$T$6173="SI")*IFERROR(CriteriTecnici!$O$5:$O$6173*1,0))))),0)+IF(SUMPRODUCT(MAX((CriteriTecnici!$C$5:$C$6173=$C139)*(CriteriTecnici!$E$5:$E$6173="C")*(CriteriTecnici!$T$5:$T$6173="SI")*IFERROR(CriteriTecnici!$O$5:$O$6173*1,0)))&gt;0,MIN(14,SUMIFS(CriteriTecnici!$O:$O,CriteriTecnici!$Q:$Q,$A139&amp;"|"&amp;$C139,CriteriTecnici!$E:$E,"C")*(14/SUMPRODUCT(MAX((CriteriTecnici!$C$5:$C$6173=$C139)*(CriteriTecnici!$E$5:$E$6173="C")*(CriteriTecnici!$T$5:$T$6173="SI")*IFERROR(CriteriTecnici!$O$5:$O$6173*1,0))))),0)+IF(SUMPRODUCT(MAX((CriteriTecnici!$C$5:$C$6173=$C139)*(CriteriTecnici!$E$5:$E$6173="D")*(CriteriTecnici!$T$5:$T$6173="SI")*IFERROR(CriteriTecnici!$O$5:$O$6173*1,0)))&gt;0,MIN(10,SUMIFS(CriteriTecnici!$O:$O,CriteriTecnici!$Q:$Q,$A139&amp;"|"&amp;$C139,CriteriTecnici!$E:$E,"D")*(10/SUMPRODUCT(MAX((CriteriTecnici!$C$5:$C$6173=$C139)*(CriteriTecnici!$E$5:$E$6173="D")*(CriteriTecnici!$T$5:$T$6173="SI")*IFERROR(CriteriTecnici!$O$5:$O$6173*1,0))))),0)+IF(SUMPRODUCT(MAX((CriteriTecnici!$C$5:$C$6173=$C139)*(CriteriTecnici!$E$5:$E$6173="E")*(CriteriTecnici!$T$5:$T$6173="SI")*IFERROR(CriteriTecnici!$O$5:$O$6173*1,0)))&gt;0,MIN(4,SUMIFS(CriteriTecnici!$O:$O,CriteriTecnici!$Q:$Q,$A139&amp;"|"&amp;$C139,CriteriTecnici!$E:$E,"E")*(4/SUMPRODUCT(MAX((CriteriTecnici!$C$5:$C$6173=$C139)*(CriteriTecnici!$E$5:$E$6173="E")*(CriteriTecnici!$T$5:$T$6173="SI")*IFERROR(CriteriTecnici!$O$5:$O$6173*1,0))))),0)+IF(SUMPRODUCT(MAX((CriteriTecnici!$C$5:$C$6173=$C139)*(CriteriTecnici!$E$5:$E$6173="F")*(CriteriTecnici!$T$5:$T$6173="SI")*IFERROR(CriteriTecnici!$O$5:$O$6173*1,0)))&gt;0,MIN(14,SUMIFS(CriteriTecnici!$O:$O,CriteriTecnici!$Q:$Q,$A139&amp;"|"&amp;$C139,CriteriTecnici!$E:$E,"F")*(14/SUMPRODUCT(MAX((CriteriTecnici!$C$5:$C$6173=$C139)*(CriteriTecnici!$E$5:$E$6173="F")*(CriteriTecnici!$T$5:$T$6173="SI")*IFERROR(CriteriTecnici!$O$5:$O$6173*1,0))))),0)+IF(SUMPRODUCT(MAX((CriteriTecnici!$C$5:$C$6173=$C139)*(CriteriTecnici!$E$5:$E$6173="G")*(CriteriTecnici!$T$5:$T$6173="SI")*IFERROR(CriteriTecnici!$O$5:$O$6173*1,0)))&gt;0,MIN(7,SUMIFS(CriteriTecnici!$O:$O,CriteriTecnici!$Q:$Q,$A139&amp;"|"&amp;$C139,CriteriTecnici!$E:$E,"G")*(7/SUMPRODUCT(MAX((CriteriTecnici!$C$5:$C$6173=$C139)*(CriteriTecnici!$E$5:$E$6173="G")*(CriteriTecnici!$T$5:$T$6173="SI")*IFERROR(CriteriTecnici!$O$5:$O$6173*1,0))))),0),4),0),IFERROR($N139*1,0)),0))</f>
        <v/>
      </c>
      <c r="F139" s="56">
        <f>IF(Compila!$A149="","",Compila!$E149)</f>
        <v/>
      </c>
      <c r="G139" s="57">
        <f>IF($A139="","",IF(IFERROR(VALUE($D139),0)&lt;&gt;1,"NO",IF(IFERROR(VALUE($O139),0)&gt;=Parametri!$B$2,"SI","NO")))</f>
        <v/>
      </c>
      <c r="H139" s="57">
        <f>IF($G139="SI",SUMPRODUCT(MAX(($C$2:$C$200=$C139)*(IFERROR($D$2:$D$200*1,0)=1)*(IFERROR($O$2:$O$200*1,0)&gt;=Parametri!$B$2)*IFERROR($F$2:$F$200*1,0))),0)</f>
        <v/>
      </c>
      <c r="I139" s="57">
        <f>IF($G139="SI",IF($H139&gt;0,30*(IFERROR($F139*1,0)/$H139),0),0)</f>
        <v/>
      </c>
      <c r="J139" s="57">
        <f>IF($A139="",0,IF($G139="SI",ROUND(IFERROR($E139*1,0)+$I139,4),ROUND(IFERROR($E139*1,0),4)))</f>
        <v/>
      </c>
      <c r="K139" s="57">
        <f>IF($A139="","",IF(IFERROR(VALUE($D139),0)&lt;&gt;1,"Non attiva",IF(IFERROR(VALUE($O139),0)&lt;Parametri!$B$2,"Sotto soglia","")))</f>
        <v/>
      </c>
      <c r="L139" s="57">
        <f>IF($A139="","",$A139&amp;"|"&amp;$C139)</f>
        <v/>
      </c>
      <c r="M139" s="57">
        <f>IF($A139="","",$C139&amp;"|"&amp;TEXT($J139,"0.0000"))</f>
        <v/>
      </c>
      <c r="N139" s="57" t="n"/>
      <c r="O139" s="57">
        <f>IF($A139="",0,IFERROR(IF(SUMIFS(CriteriTecnici!$O:$O,CriteriTecnici!$Q:$Q,$A139&amp;"|"&amp;$C139)&gt;0,SUMIFS(CriteriTecnici!$O:$O,CriteriTecnici!$Q:$Q,$A139&amp;"|"&amp;$C139,CriteriTecnici!$F:$F,"Q")+SUMIFS(CriteriTecnici!$O:$O,CriteriTecnici!$Q:$Q,$A139&amp;"|"&amp;$C139,CriteriTecnici!$F:$F,"T"),IFERROR($N139*1,0)),0))</f>
        <v/>
      </c>
      <c r="P139" s="57">
        <f>IF($A139="","",IF(SUMIFS(CriteriTecnici!$O:$O,CriteriTecnici!$Q:$Q,$A139&amp;"|"&amp;$C139)&gt;0,"Criteri A-G","Aggregato"))</f>
        <v/>
      </c>
    </row>
    <row r="140">
      <c r="A140" s="56">
        <f>IF(Compila!$A150="","",Compila!$A150)</f>
        <v/>
      </c>
      <c r="B140" s="56">
        <f>IF(Compila!$A150="","",Compila!$B150)</f>
        <v/>
      </c>
      <c r="C140" s="56">
        <f>IF(Compila!$A150="","",Compila!$C150)</f>
        <v/>
      </c>
      <c r="D140" s="56">
        <f>IF(Compila!$A150="","",Compila!$D150)</f>
        <v/>
      </c>
      <c r="E140" s="57">
        <f>IF($A140="",0,IFERROR(IF(SUMIFS(CriteriTecnici!$O:$O,CriteriTecnici!$Q:$Q,$A140&amp;"|"&amp;$C140)&gt;0,IF($G140="SI",ROUND(IF(SUMPRODUCT(MAX((CriteriTecnici!$C$5:$C$6173=$C140)*(CriteriTecnici!$E$5:$E$6173="A")*(CriteriTecnici!$T$5:$T$6173="SI")*IFERROR(CriteriTecnici!$O$5:$O$6173*1,0)))&gt;0,MIN(7,SUMIFS(CriteriTecnici!$O:$O,CriteriTecnici!$Q:$Q,$A140&amp;"|"&amp;$C140,CriteriTecnici!$E:$E,"A")*(7/SUMPRODUCT(MAX((CriteriTecnici!$C$5:$C$6173=$C140)*(CriteriTecnici!$E$5:$E$6173="A")*(CriteriTecnici!$T$5:$T$6173="SI")*IFERROR(CriteriTecnici!$O$5:$O$6173*1,0))))),0)+IF(SUMPRODUCT(MAX((CriteriTecnici!$C$5:$C$6173=$C140)*(CriteriTecnici!$E$5:$E$6173="B")*(CriteriTecnici!$T$5:$T$6173="SI")*IFERROR(CriteriTecnici!$O$5:$O$6173*1,0)))&gt;0,MIN(14,SUMIFS(CriteriTecnici!$O:$O,CriteriTecnici!$Q:$Q,$A140&amp;"|"&amp;$C140,CriteriTecnici!$E:$E,"B")*(14/SUMPRODUCT(MAX((CriteriTecnici!$C$5:$C$6173=$C140)*(CriteriTecnici!$E$5:$E$6173="B")*(CriteriTecnici!$T$5:$T$6173="SI")*IFERROR(CriteriTecnici!$O$5:$O$6173*1,0))))),0)+IF(SUMPRODUCT(MAX((CriteriTecnici!$C$5:$C$6173=$C140)*(CriteriTecnici!$E$5:$E$6173="C")*(CriteriTecnici!$T$5:$T$6173="SI")*IFERROR(CriteriTecnici!$O$5:$O$6173*1,0)))&gt;0,MIN(14,SUMIFS(CriteriTecnici!$O:$O,CriteriTecnici!$Q:$Q,$A140&amp;"|"&amp;$C140,CriteriTecnici!$E:$E,"C")*(14/SUMPRODUCT(MAX((CriteriTecnici!$C$5:$C$6173=$C140)*(CriteriTecnici!$E$5:$E$6173="C")*(CriteriTecnici!$T$5:$T$6173="SI")*IFERROR(CriteriTecnici!$O$5:$O$6173*1,0))))),0)+IF(SUMPRODUCT(MAX((CriteriTecnici!$C$5:$C$6173=$C140)*(CriteriTecnici!$E$5:$E$6173="D")*(CriteriTecnici!$T$5:$T$6173="SI")*IFERROR(CriteriTecnici!$O$5:$O$6173*1,0)))&gt;0,MIN(10,SUMIFS(CriteriTecnici!$O:$O,CriteriTecnici!$Q:$Q,$A140&amp;"|"&amp;$C140,CriteriTecnici!$E:$E,"D")*(10/SUMPRODUCT(MAX((CriteriTecnici!$C$5:$C$6173=$C140)*(CriteriTecnici!$E$5:$E$6173="D")*(CriteriTecnici!$T$5:$T$6173="SI")*IFERROR(CriteriTecnici!$O$5:$O$6173*1,0))))),0)+IF(SUMPRODUCT(MAX((CriteriTecnici!$C$5:$C$6173=$C140)*(CriteriTecnici!$E$5:$E$6173="E")*(CriteriTecnici!$T$5:$T$6173="SI")*IFERROR(CriteriTecnici!$O$5:$O$6173*1,0)))&gt;0,MIN(4,SUMIFS(CriteriTecnici!$O:$O,CriteriTecnici!$Q:$Q,$A140&amp;"|"&amp;$C140,CriteriTecnici!$E:$E,"E")*(4/SUMPRODUCT(MAX((CriteriTecnici!$C$5:$C$6173=$C140)*(CriteriTecnici!$E$5:$E$6173="E")*(CriteriTecnici!$T$5:$T$6173="SI")*IFERROR(CriteriTecnici!$O$5:$O$6173*1,0))))),0)+IF(SUMPRODUCT(MAX((CriteriTecnici!$C$5:$C$6173=$C140)*(CriteriTecnici!$E$5:$E$6173="F")*(CriteriTecnici!$T$5:$T$6173="SI")*IFERROR(CriteriTecnici!$O$5:$O$6173*1,0)))&gt;0,MIN(14,SUMIFS(CriteriTecnici!$O:$O,CriteriTecnici!$Q:$Q,$A140&amp;"|"&amp;$C140,CriteriTecnici!$E:$E,"F")*(14/SUMPRODUCT(MAX((CriteriTecnici!$C$5:$C$6173=$C140)*(CriteriTecnici!$E$5:$E$6173="F")*(CriteriTecnici!$T$5:$T$6173="SI")*IFERROR(CriteriTecnici!$O$5:$O$6173*1,0))))),0)+IF(SUMPRODUCT(MAX((CriteriTecnici!$C$5:$C$6173=$C140)*(CriteriTecnici!$E$5:$E$6173="G")*(CriteriTecnici!$T$5:$T$6173="SI")*IFERROR(CriteriTecnici!$O$5:$O$6173*1,0)))&gt;0,MIN(7,SUMIFS(CriteriTecnici!$O:$O,CriteriTecnici!$Q:$Q,$A140&amp;"|"&amp;$C140,CriteriTecnici!$E:$E,"G")*(7/SUMPRODUCT(MAX((CriteriTecnici!$C$5:$C$6173=$C140)*(CriteriTecnici!$E$5:$E$6173="G")*(CriteriTecnici!$T$5:$T$6173="SI")*IFERROR(CriteriTecnici!$O$5:$O$6173*1,0))))),0),4),0),IFERROR($N140*1,0)),0))</f>
        <v/>
      </c>
      <c r="F140" s="56">
        <f>IF(Compila!$A150="","",Compila!$E150)</f>
        <v/>
      </c>
      <c r="G140" s="57">
        <f>IF($A140="","",IF(IFERROR(VALUE($D140),0)&lt;&gt;1,"NO",IF(IFERROR(VALUE($O140),0)&gt;=Parametri!$B$2,"SI","NO")))</f>
        <v/>
      </c>
      <c r="H140" s="57">
        <f>IF($G140="SI",SUMPRODUCT(MAX(($C$2:$C$200=$C140)*(IFERROR($D$2:$D$200*1,0)=1)*(IFERROR($O$2:$O$200*1,0)&gt;=Parametri!$B$2)*IFERROR($F$2:$F$200*1,0))),0)</f>
        <v/>
      </c>
      <c r="I140" s="57">
        <f>IF($G140="SI",IF($H140&gt;0,30*(IFERROR($F140*1,0)/$H140),0),0)</f>
        <v/>
      </c>
      <c r="J140" s="57">
        <f>IF($A140="",0,IF($G140="SI",ROUND(IFERROR($E140*1,0)+$I140,4),ROUND(IFERROR($E140*1,0),4)))</f>
        <v/>
      </c>
      <c r="K140" s="57">
        <f>IF($A140="","",IF(IFERROR(VALUE($D140),0)&lt;&gt;1,"Non attiva",IF(IFERROR(VALUE($O140),0)&lt;Parametri!$B$2,"Sotto soglia","")))</f>
        <v/>
      </c>
      <c r="L140" s="57">
        <f>IF($A140="","",$A140&amp;"|"&amp;$C140)</f>
        <v/>
      </c>
      <c r="M140" s="57">
        <f>IF($A140="","",$C140&amp;"|"&amp;TEXT($J140,"0.0000"))</f>
        <v/>
      </c>
      <c r="N140" s="57" t="n"/>
      <c r="O140" s="57">
        <f>IF($A140="",0,IFERROR(IF(SUMIFS(CriteriTecnici!$O:$O,CriteriTecnici!$Q:$Q,$A140&amp;"|"&amp;$C140)&gt;0,SUMIFS(CriteriTecnici!$O:$O,CriteriTecnici!$Q:$Q,$A140&amp;"|"&amp;$C140,CriteriTecnici!$F:$F,"Q")+SUMIFS(CriteriTecnici!$O:$O,CriteriTecnici!$Q:$Q,$A140&amp;"|"&amp;$C140,CriteriTecnici!$F:$F,"T"),IFERROR($N140*1,0)),0))</f>
        <v/>
      </c>
      <c r="P140" s="57">
        <f>IF($A140="","",IF(SUMIFS(CriteriTecnici!$O:$O,CriteriTecnici!$Q:$Q,$A140&amp;"|"&amp;$C140)&gt;0,"Criteri A-G","Aggregato"))</f>
        <v/>
      </c>
    </row>
    <row r="141">
      <c r="A141" s="56">
        <f>IF(Compila!$A151="","",Compila!$A151)</f>
        <v/>
      </c>
      <c r="B141" s="56">
        <f>IF(Compila!$A151="","",Compila!$B151)</f>
        <v/>
      </c>
      <c r="C141" s="56">
        <f>IF(Compila!$A151="","",Compila!$C151)</f>
        <v/>
      </c>
      <c r="D141" s="56">
        <f>IF(Compila!$A151="","",Compila!$D151)</f>
        <v/>
      </c>
      <c r="E141" s="57">
        <f>IF($A141="",0,IFERROR(IF(SUMIFS(CriteriTecnici!$O:$O,CriteriTecnici!$Q:$Q,$A141&amp;"|"&amp;$C141)&gt;0,IF($G141="SI",ROUND(IF(SUMPRODUCT(MAX((CriteriTecnici!$C$5:$C$6173=$C141)*(CriteriTecnici!$E$5:$E$6173="A")*(CriteriTecnici!$T$5:$T$6173="SI")*IFERROR(CriteriTecnici!$O$5:$O$6173*1,0)))&gt;0,MIN(7,SUMIFS(CriteriTecnici!$O:$O,CriteriTecnici!$Q:$Q,$A141&amp;"|"&amp;$C141,CriteriTecnici!$E:$E,"A")*(7/SUMPRODUCT(MAX((CriteriTecnici!$C$5:$C$6173=$C141)*(CriteriTecnici!$E$5:$E$6173="A")*(CriteriTecnici!$T$5:$T$6173="SI")*IFERROR(CriteriTecnici!$O$5:$O$6173*1,0))))),0)+IF(SUMPRODUCT(MAX((CriteriTecnici!$C$5:$C$6173=$C141)*(CriteriTecnici!$E$5:$E$6173="B")*(CriteriTecnici!$T$5:$T$6173="SI")*IFERROR(CriteriTecnici!$O$5:$O$6173*1,0)))&gt;0,MIN(14,SUMIFS(CriteriTecnici!$O:$O,CriteriTecnici!$Q:$Q,$A141&amp;"|"&amp;$C141,CriteriTecnici!$E:$E,"B")*(14/SUMPRODUCT(MAX((CriteriTecnici!$C$5:$C$6173=$C141)*(CriteriTecnici!$E$5:$E$6173="B")*(CriteriTecnici!$T$5:$T$6173="SI")*IFERROR(CriteriTecnici!$O$5:$O$6173*1,0))))),0)+IF(SUMPRODUCT(MAX((CriteriTecnici!$C$5:$C$6173=$C141)*(CriteriTecnici!$E$5:$E$6173="C")*(CriteriTecnici!$T$5:$T$6173="SI")*IFERROR(CriteriTecnici!$O$5:$O$6173*1,0)))&gt;0,MIN(14,SUMIFS(CriteriTecnici!$O:$O,CriteriTecnici!$Q:$Q,$A141&amp;"|"&amp;$C141,CriteriTecnici!$E:$E,"C")*(14/SUMPRODUCT(MAX((CriteriTecnici!$C$5:$C$6173=$C141)*(CriteriTecnici!$E$5:$E$6173="C")*(CriteriTecnici!$T$5:$T$6173="SI")*IFERROR(CriteriTecnici!$O$5:$O$6173*1,0))))),0)+IF(SUMPRODUCT(MAX((CriteriTecnici!$C$5:$C$6173=$C141)*(CriteriTecnici!$E$5:$E$6173="D")*(CriteriTecnici!$T$5:$T$6173="SI")*IFERROR(CriteriTecnici!$O$5:$O$6173*1,0)))&gt;0,MIN(10,SUMIFS(CriteriTecnici!$O:$O,CriteriTecnici!$Q:$Q,$A141&amp;"|"&amp;$C141,CriteriTecnici!$E:$E,"D")*(10/SUMPRODUCT(MAX((CriteriTecnici!$C$5:$C$6173=$C141)*(CriteriTecnici!$E$5:$E$6173="D")*(CriteriTecnici!$T$5:$T$6173="SI")*IFERROR(CriteriTecnici!$O$5:$O$6173*1,0))))),0)+IF(SUMPRODUCT(MAX((CriteriTecnici!$C$5:$C$6173=$C141)*(CriteriTecnici!$E$5:$E$6173="E")*(CriteriTecnici!$T$5:$T$6173="SI")*IFERROR(CriteriTecnici!$O$5:$O$6173*1,0)))&gt;0,MIN(4,SUMIFS(CriteriTecnici!$O:$O,CriteriTecnici!$Q:$Q,$A141&amp;"|"&amp;$C141,CriteriTecnici!$E:$E,"E")*(4/SUMPRODUCT(MAX((CriteriTecnici!$C$5:$C$6173=$C141)*(CriteriTecnici!$E$5:$E$6173="E")*(CriteriTecnici!$T$5:$T$6173="SI")*IFERROR(CriteriTecnici!$O$5:$O$6173*1,0))))),0)+IF(SUMPRODUCT(MAX((CriteriTecnici!$C$5:$C$6173=$C141)*(CriteriTecnici!$E$5:$E$6173="F")*(CriteriTecnici!$T$5:$T$6173="SI")*IFERROR(CriteriTecnici!$O$5:$O$6173*1,0)))&gt;0,MIN(14,SUMIFS(CriteriTecnici!$O:$O,CriteriTecnici!$Q:$Q,$A141&amp;"|"&amp;$C141,CriteriTecnici!$E:$E,"F")*(14/SUMPRODUCT(MAX((CriteriTecnici!$C$5:$C$6173=$C141)*(CriteriTecnici!$E$5:$E$6173="F")*(CriteriTecnici!$T$5:$T$6173="SI")*IFERROR(CriteriTecnici!$O$5:$O$6173*1,0))))),0)+IF(SUMPRODUCT(MAX((CriteriTecnici!$C$5:$C$6173=$C141)*(CriteriTecnici!$E$5:$E$6173="G")*(CriteriTecnici!$T$5:$T$6173="SI")*IFERROR(CriteriTecnici!$O$5:$O$6173*1,0)))&gt;0,MIN(7,SUMIFS(CriteriTecnici!$O:$O,CriteriTecnici!$Q:$Q,$A141&amp;"|"&amp;$C141,CriteriTecnici!$E:$E,"G")*(7/SUMPRODUCT(MAX((CriteriTecnici!$C$5:$C$6173=$C141)*(CriteriTecnici!$E$5:$E$6173="G")*(CriteriTecnici!$T$5:$T$6173="SI")*IFERROR(CriteriTecnici!$O$5:$O$6173*1,0))))),0),4),0),IFERROR($N141*1,0)),0))</f>
        <v/>
      </c>
      <c r="F141" s="56">
        <f>IF(Compila!$A151="","",Compila!$E151)</f>
        <v/>
      </c>
      <c r="G141" s="57">
        <f>IF($A141="","",IF(IFERROR(VALUE($D141),0)&lt;&gt;1,"NO",IF(IFERROR(VALUE($O141),0)&gt;=Parametri!$B$2,"SI","NO")))</f>
        <v/>
      </c>
      <c r="H141" s="57">
        <f>IF($G141="SI",SUMPRODUCT(MAX(($C$2:$C$200=$C141)*(IFERROR($D$2:$D$200*1,0)=1)*(IFERROR($O$2:$O$200*1,0)&gt;=Parametri!$B$2)*IFERROR($F$2:$F$200*1,0))),0)</f>
        <v/>
      </c>
      <c r="I141" s="57">
        <f>IF($G141="SI",IF($H141&gt;0,30*(IFERROR($F141*1,0)/$H141),0),0)</f>
        <v/>
      </c>
      <c r="J141" s="57">
        <f>IF($A141="",0,IF($G141="SI",ROUND(IFERROR($E141*1,0)+$I141,4),ROUND(IFERROR($E141*1,0),4)))</f>
        <v/>
      </c>
      <c r="K141" s="57">
        <f>IF($A141="","",IF(IFERROR(VALUE($D141),0)&lt;&gt;1,"Non attiva",IF(IFERROR(VALUE($O141),0)&lt;Parametri!$B$2,"Sotto soglia","")))</f>
        <v/>
      </c>
      <c r="L141" s="57">
        <f>IF($A141="","",$A141&amp;"|"&amp;$C141)</f>
        <v/>
      </c>
      <c r="M141" s="57">
        <f>IF($A141="","",$C141&amp;"|"&amp;TEXT($J141,"0.0000"))</f>
        <v/>
      </c>
      <c r="N141" s="57" t="n"/>
      <c r="O141" s="57">
        <f>IF($A141="",0,IFERROR(IF(SUMIFS(CriteriTecnici!$O:$O,CriteriTecnici!$Q:$Q,$A141&amp;"|"&amp;$C141)&gt;0,SUMIFS(CriteriTecnici!$O:$O,CriteriTecnici!$Q:$Q,$A141&amp;"|"&amp;$C141,CriteriTecnici!$F:$F,"Q")+SUMIFS(CriteriTecnici!$O:$O,CriteriTecnici!$Q:$Q,$A141&amp;"|"&amp;$C141,CriteriTecnici!$F:$F,"T"),IFERROR($N141*1,0)),0))</f>
        <v/>
      </c>
      <c r="P141" s="57">
        <f>IF($A141="","",IF(SUMIFS(CriteriTecnici!$O:$O,CriteriTecnici!$Q:$Q,$A141&amp;"|"&amp;$C141)&gt;0,"Criteri A-G","Aggregato"))</f>
        <v/>
      </c>
    </row>
    <row r="142">
      <c r="A142" s="56">
        <f>IF(Compila!$A152="","",Compila!$A152)</f>
        <v/>
      </c>
      <c r="B142" s="56">
        <f>IF(Compila!$A152="","",Compila!$B152)</f>
        <v/>
      </c>
      <c r="C142" s="56">
        <f>IF(Compila!$A152="","",Compila!$C152)</f>
        <v/>
      </c>
      <c r="D142" s="56">
        <f>IF(Compila!$A152="","",Compila!$D152)</f>
        <v/>
      </c>
      <c r="E142" s="57">
        <f>IF($A142="",0,IFERROR(IF(SUMIFS(CriteriTecnici!$O:$O,CriteriTecnici!$Q:$Q,$A142&amp;"|"&amp;$C142)&gt;0,IF($G142="SI",ROUND(IF(SUMPRODUCT(MAX((CriteriTecnici!$C$5:$C$6173=$C142)*(CriteriTecnici!$E$5:$E$6173="A")*(CriteriTecnici!$T$5:$T$6173="SI")*IFERROR(CriteriTecnici!$O$5:$O$6173*1,0)))&gt;0,MIN(7,SUMIFS(CriteriTecnici!$O:$O,CriteriTecnici!$Q:$Q,$A142&amp;"|"&amp;$C142,CriteriTecnici!$E:$E,"A")*(7/SUMPRODUCT(MAX((CriteriTecnici!$C$5:$C$6173=$C142)*(CriteriTecnici!$E$5:$E$6173="A")*(CriteriTecnici!$T$5:$T$6173="SI")*IFERROR(CriteriTecnici!$O$5:$O$6173*1,0))))),0)+IF(SUMPRODUCT(MAX((CriteriTecnici!$C$5:$C$6173=$C142)*(CriteriTecnici!$E$5:$E$6173="B")*(CriteriTecnici!$T$5:$T$6173="SI")*IFERROR(CriteriTecnici!$O$5:$O$6173*1,0)))&gt;0,MIN(14,SUMIFS(CriteriTecnici!$O:$O,CriteriTecnici!$Q:$Q,$A142&amp;"|"&amp;$C142,CriteriTecnici!$E:$E,"B")*(14/SUMPRODUCT(MAX((CriteriTecnici!$C$5:$C$6173=$C142)*(CriteriTecnici!$E$5:$E$6173="B")*(CriteriTecnici!$T$5:$T$6173="SI")*IFERROR(CriteriTecnici!$O$5:$O$6173*1,0))))),0)+IF(SUMPRODUCT(MAX((CriteriTecnici!$C$5:$C$6173=$C142)*(CriteriTecnici!$E$5:$E$6173="C")*(CriteriTecnici!$T$5:$T$6173="SI")*IFERROR(CriteriTecnici!$O$5:$O$6173*1,0)))&gt;0,MIN(14,SUMIFS(CriteriTecnici!$O:$O,CriteriTecnici!$Q:$Q,$A142&amp;"|"&amp;$C142,CriteriTecnici!$E:$E,"C")*(14/SUMPRODUCT(MAX((CriteriTecnici!$C$5:$C$6173=$C142)*(CriteriTecnici!$E$5:$E$6173="C")*(CriteriTecnici!$T$5:$T$6173="SI")*IFERROR(CriteriTecnici!$O$5:$O$6173*1,0))))),0)+IF(SUMPRODUCT(MAX((CriteriTecnici!$C$5:$C$6173=$C142)*(CriteriTecnici!$E$5:$E$6173="D")*(CriteriTecnici!$T$5:$T$6173="SI")*IFERROR(CriteriTecnici!$O$5:$O$6173*1,0)))&gt;0,MIN(10,SUMIFS(CriteriTecnici!$O:$O,CriteriTecnici!$Q:$Q,$A142&amp;"|"&amp;$C142,CriteriTecnici!$E:$E,"D")*(10/SUMPRODUCT(MAX((CriteriTecnici!$C$5:$C$6173=$C142)*(CriteriTecnici!$E$5:$E$6173="D")*(CriteriTecnici!$T$5:$T$6173="SI")*IFERROR(CriteriTecnici!$O$5:$O$6173*1,0))))),0)+IF(SUMPRODUCT(MAX((CriteriTecnici!$C$5:$C$6173=$C142)*(CriteriTecnici!$E$5:$E$6173="E")*(CriteriTecnici!$T$5:$T$6173="SI")*IFERROR(CriteriTecnici!$O$5:$O$6173*1,0)))&gt;0,MIN(4,SUMIFS(CriteriTecnici!$O:$O,CriteriTecnici!$Q:$Q,$A142&amp;"|"&amp;$C142,CriteriTecnici!$E:$E,"E")*(4/SUMPRODUCT(MAX((CriteriTecnici!$C$5:$C$6173=$C142)*(CriteriTecnici!$E$5:$E$6173="E")*(CriteriTecnici!$T$5:$T$6173="SI")*IFERROR(CriteriTecnici!$O$5:$O$6173*1,0))))),0)+IF(SUMPRODUCT(MAX((CriteriTecnici!$C$5:$C$6173=$C142)*(CriteriTecnici!$E$5:$E$6173="F")*(CriteriTecnici!$T$5:$T$6173="SI")*IFERROR(CriteriTecnici!$O$5:$O$6173*1,0)))&gt;0,MIN(14,SUMIFS(CriteriTecnici!$O:$O,CriteriTecnici!$Q:$Q,$A142&amp;"|"&amp;$C142,CriteriTecnici!$E:$E,"F")*(14/SUMPRODUCT(MAX((CriteriTecnici!$C$5:$C$6173=$C142)*(CriteriTecnici!$E$5:$E$6173="F")*(CriteriTecnici!$T$5:$T$6173="SI")*IFERROR(CriteriTecnici!$O$5:$O$6173*1,0))))),0)+IF(SUMPRODUCT(MAX((CriteriTecnici!$C$5:$C$6173=$C142)*(CriteriTecnici!$E$5:$E$6173="G")*(CriteriTecnici!$T$5:$T$6173="SI")*IFERROR(CriteriTecnici!$O$5:$O$6173*1,0)))&gt;0,MIN(7,SUMIFS(CriteriTecnici!$O:$O,CriteriTecnici!$Q:$Q,$A142&amp;"|"&amp;$C142,CriteriTecnici!$E:$E,"G")*(7/SUMPRODUCT(MAX((CriteriTecnici!$C$5:$C$6173=$C142)*(CriteriTecnici!$E$5:$E$6173="G")*(CriteriTecnici!$T$5:$T$6173="SI")*IFERROR(CriteriTecnici!$O$5:$O$6173*1,0))))),0),4),0),IFERROR($N142*1,0)),0))</f>
        <v/>
      </c>
      <c r="F142" s="56">
        <f>IF(Compila!$A152="","",Compila!$E152)</f>
        <v/>
      </c>
      <c r="G142" s="57">
        <f>IF($A142="","",IF(IFERROR(VALUE($D142),0)&lt;&gt;1,"NO",IF(IFERROR(VALUE($O142),0)&gt;=Parametri!$B$2,"SI","NO")))</f>
        <v/>
      </c>
      <c r="H142" s="57">
        <f>IF($G142="SI",SUMPRODUCT(MAX(($C$2:$C$200=$C142)*(IFERROR($D$2:$D$200*1,0)=1)*(IFERROR($O$2:$O$200*1,0)&gt;=Parametri!$B$2)*IFERROR($F$2:$F$200*1,0))),0)</f>
        <v/>
      </c>
      <c r="I142" s="57">
        <f>IF($G142="SI",IF($H142&gt;0,30*(IFERROR($F142*1,0)/$H142),0),0)</f>
        <v/>
      </c>
      <c r="J142" s="57">
        <f>IF($A142="",0,IF($G142="SI",ROUND(IFERROR($E142*1,0)+$I142,4),ROUND(IFERROR($E142*1,0),4)))</f>
        <v/>
      </c>
      <c r="K142" s="57">
        <f>IF($A142="","",IF(IFERROR(VALUE($D142),0)&lt;&gt;1,"Non attiva",IF(IFERROR(VALUE($O142),0)&lt;Parametri!$B$2,"Sotto soglia","")))</f>
        <v/>
      </c>
      <c r="L142" s="57">
        <f>IF($A142="","",$A142&amp;"|"&amp;$C142)</f>
        <v/>
      </c>
      <c r="M142" s="57">
        <f>IF($A142="","",$C142&amp;"|"&amp;TEXT($J142,"0.0000"))</f>
        <v/>
      </c>
      <c r="N142" s="57" t="n"/>
      <c r="O142" s="57">
        <f>IF($A142="",0,IFERROR(IF(SUMIFS(CriteriTecnici!$O:$O,CriteriTecnici!$Q:$Q,$A142&amp;"|"&amp;$C142)&gt;0,SUMIFS(CriteriTecnici!$O:$O,CriteriTecnici!$Q:$Q,$A142&amp;"|"&amp;$C142,CriteriTecnici!$F:$F,"Q")+SUMIFS(CriteriTecnici!$O:$O,CriteriTecnici!$Q:$Q,$A142&amp;"|"&amp;$C142,CriteriTecnici!$F:$F,"T"),IFERROR($N142*1,0)),0))</f>
        <v/>
      </c>
      <c r="P142" s="57">
        <f>IF($A142="","",IF(SUMIFS(CriteriTecnici!$O:$O,CriteriTecnici!$Q:$Q,$A142&amp;"|"&amp;$C142)&gt;0,"Criteri A-G","Aggregato"))</f>
        <v/>
      </c>
    </row>
    <row r="143">
      <c r="A143" s="56">
        <f>IF(Compila!$A153="","",Compila!$A153)</f>
        <v/>
      </c>
      <c r="B143" s="56">
        <f>IF(Compila!$A153="","",Compila!$B153)</f>
        <v/>
      </c>
      <c r="C143" s="56">
        <f>IF(Compila!$A153="","",Compila!$C153)</f>
        <v/>
      </c>
      <c r="D143" s="56">
        <f>IF(Compila!$A153="","",Compila!$D153)</f>
        <v/>
      </c>
      <c r="E143" s="57">
        <f>IF($A143="",0,IFERROR(IF(SUMIFS(CriteriTecnici!$O:$O,CriteriTecnici!$Q:$Q,$A143&amp;"|"&amp;$C143)&gt;0,IF($G143="SI",ROUND(IF(SUMPRODUCT(MAX((CriteriTecnici!$C$5:$C$6173=$C143)*(CriteriTecnici!$E$5:$E$6173="A")*(CriteriTecnici!$T$5:$T$6173="SI")*IFERROR(CriteriTecnici!$O$5:$O$6173*1,0)))&gt;0,MIN(7,SUMIFS(CriteriTecnici!$O:$O,CriteriTecnici!$Q:$Q,$A143&amp;"|"&amp;$C143,CriteriTecnici!$E:$E,"A")*(7/SUMPRODUCT(MAX((CriteriTecnici!$C$5:$C$6173=$C143)*(CriteriTecnici!$E$5:$E$6173="A")*(CriteriTecnici!$T$5:$T$6173="SI")*IFERROR(CriteriTecnici!$O$5:$O$6173*1,0))))),0)+IF(SUMPRODUCT(MAX((CriteriTecnici!$C$5:$C$6173=$C143)*(CriteriTecnici!$E$5:$E$6173="B")*(CriteriTecnici!$T$5:$T$6173="SI")*IFERROR(CriteriTecnici!$O$5:$O$6173*1,0)))&gt;0,MIN(14,SUMIFS(CriteriTecnici!$O:$O,CriteriTecnici!$Q:$Q,$A143&amp;"|"&amp;$C143,CriteriTecnici!$E:$E,"B")*(14/SUMPRODUCT(MAX((CriteriTecnici!$C$5:$C$6173=$C143)*(CriteriTecnici!$E$5:$E$6173="B")*(CriteriTecnici!$T$5:$T$6173="SI")*IFERROR(CriteriTecnici!$O$5:$O$6173*1,0))))),0)+IF(SUMPRODUCT(MAX((CriteriTecnici!$C$5:$C$6173=$C143)*(CriteriTecnici!$E$5:$E$6173="C")*(CriteriTecnici!$T$5:$T$6173="SI")*IFERROR(CriteriTecnici!$O$5:$O$6173*1,0)))&gt;0,MIN(14,SUMIFS(CriteriTecnici!$O:$O,CriteriTecnici!$Q:$Q,$A143&amp;"|"&amp;$C143,CriteriTecnici!$E:$E,"C")*(14/SUMPRODUCT(MAX((CriteriTecnici!$C$5:$C$6173=$C143)*(CriteriTecnici!$E$5:$E$6173="C")*(CriteriTecnici!$T$5:$T$6173="SI")*IFERROR(CriteriTecnici!$O$5:$O$6173*1,0))))),0)+IF(SUMPRODUCT(MAX((CriteriTecnici!$C$5:$C$6173=$C143)*(CriteriTecnici!$E$5:$E$6173="D")*(CriteriTecnici!$T$5:$T$6173="SI")*IFERROR(CriteriTecnici!$O$5:$O$6173*1,0)))&gt;0,MIN(10,SUMIFS(CriteriTecnici!$O:$O,CriteriTecnici!$Q:$Q,$A143&amp;"|"&amp;$C143,CriteriTecnici!$E:$E,"D")*(10/SUMPRODUCT(MAX((CriteriTecnici!$C$5:$C$6173=$C143)*(CriteriTecnici!$E$5:$E$6173="D")*(CriteriTecnici!$T$5:$T$6173="SI")*IFERROR(CriteriTecnici!$O$5:$O$6173*1,0))))),0)+IF(SUMPRODUCT(MAX((CriteriTecnici!$C$5:$C$6173=$C143)*(CriteriTecnici!$E$5:$E$6173="E")*(CriteriTecnici!$T$5:$T$6173="SI")*IFERROR(CriteriTecnici!$O$5:$O$6173*1,0)))&gt;0,MIN(4,SUMIFS(CriteriTecnici!$O:$O,CriteriTecnici!$Q:$Q,$A143&amp;"|"&amp;$C143,CriteriTecnici!$E:$E,"E")*(4/SUMPRODUCT(MAX((CriteriTecnici!$C$5:$C$6173=$C143)*(CriteriTecnici!$E$5:$E$6173="E")*(CriteriTecnici!$T$5:$T$6173="SI")*IFERROR(CriteriTecnici!$O$5:$O$6173*1,0))))),0)+IF(SUMPRODUCT(MAX((CriteriTecnici!$C$5:$C$6173=$C143)*(CriteriTecnici!$E$5:$E$6173="F")*(CriteriTecnici!$T$5:$T$6173="SI")*IFERROR(CriteriTecnici!$O$5:$O$6173*1,0)))&gt;0,MIN(14,SUMIFS(CriteriTecnici!$O:$O,CriteriTecnici!$Q:$Q,$A143&amp;"|"&amp;$C143,CriteriTecnici!$E:$E,"F")*(14/SUMPRODUCT(MAX((CriteriTecnici!$C$5:$C$6173=$C143)*(CriteriTecnici!$E$5:$E$6173="F")*(CriteriTecnici!$T$5:$T$6173="SI")*IFERROR(CriteriTecnici!$O$5:$O$6173*1,0))))),0)+IF(SUMPRODUCT(MAX((CriteriTecnici!$C$5:$C$6173=$C143)*(CriteriTecnici!$E$5:$E$6173="G")*(CriteriTecnici!$T$5:$T$6173="SI")*IFERROR(CriteriTecnici!$O$5:$O$6173*1,0)))&gt;0,MIN(7,SUMIFS(CriteriTecnici!$O:$O,CriteriTecnici!$Q:$Q,$A143&amp;"|"&amp;$C143,CriteriTecnici!$E:$E,"G")*(7/SUMPRODUCT(MAX((CriteriTecnici!$C$5:$C$6173=$C143)*(CriteriTecnici!$E$5:$E$6173="G")*(CriteriTecnici!$T$5:$T$6173="SI")*IFERROR(CriteriTecnici!$O$5:$O$6173*1,0))))),0),4),0),IFERROR($N143*1,0)),0))</f>
        <v/>
      </c>
      <c r="F143" s="56">
        <f>IF(Compila!$A153="","",Compila!$E153)</f>
        <v/>
      </c>
      <c r="G143" s="57">
        <f>IF($A143="","",IF(IFERROR(VALUE($D143),0)&lt;&gt;1,"NO",IF(IFERROR(VALUE($O143),0)&gt;=Parametri!$B$2,"SI","NO")))</f>
        <v/>
      </c>
      <c r="H143" s="57">
        <f>IF($G143="SI",SUMPRODUCT(MAX(($C$2:$C$200=$C143)*(IFERROR($D$2:$D$200*1,0)=1)*(IFERROR($O$2:$O$200*1,0)&gt;=Parametri!$B$2)*IFERROR($F$2:$F$200*1,0))),0)</f>
        <v/>
      </c>
      <c r="I143" s="57">
        <f>IF($G143="SI",IF($H143&gt;0,30*(IFERROR($F143*1,0)/$H143),0),0)</f>
        <v/>
      </c>
      <c r="J143" s="57">
        <f>IF($A143="",0,IF($G143="SI",ROUND(IFERROR($E143*1,0)+$I143,4),ROUND(IFERROR($E143*1,0),4)))</f>
        <v/>
      </c>
      <c r="K143" s="57">
        <f>IF($A143="","",IF(IFERROR(VALUE($D143),0)&lt;&gt;1,"Non attiva",IF(IFERROR(VALUE($O143),0)&lt;Parametri!$B$2,"Sotto soglia","")))</f>
        <v/>
      </c>
      <c r="L143" s="57">
        <f>IF($A143="","",$A143&amp;"|"&amp;$C143)</f>
        <v/>
      </c>
      <c r="M143" s="57">
        <f>IF($A143="","",$C143&amp;"|"&amp;TEXT($J143,"0.0000"))</f>
        <v/>
      </c>
      <c r="N143" s="57" t="n"/>
      <c r="O143" s="57">
        <f>IF($A143="",0,IFERROR(IF(SUMIFS(CriteriTecnici!$O:$O,CriteriTecnici!$Q:$Q,$A143&amp;"|"&amp;$C143)&gt;0,SUMIFS(CriteriTecnici!$O:$O,CriteriTecnici!$Q:$Q,$A143&amp;"|"&amp;$C143,CriteriTecnici!$F:$F,"Q")+SUMIFS(CriteriTecnici!$O:$O,CriteriTecnici!$Q:$Q,$A143&amp;"|"&amp;$C143,CriteriTecnici!$F:$F,"T"),IFERROR($N143*1,0)),0))</f>
        <v/>
      </c>
      <c r="P143" s="57">
        <f>IF($A143="","",IF(SUMIFS(CriteriTecnici!$O:$O,CriteriTecnici!$Q:$Q,$A143&amp;"|"&amp;$C143)&gt;0,"Criteri A-G","Aggregato"))</f>
        <v/>
      </c>
    </row>
    <row r="144">
      <c r="A144" s="56">
        <f>IF(Compila!$A154="","",Compila!$A154)</f>
        <v/>
      </c>
      <c r="B144" s="56">
        <f>IF(Compila!$A154="","",Compila!$B154)</f>
        <v/>
      </c>
      <c r="C144" s="56">
        <f>IF(Compila!$A154="","",Compila!$C154)</f>
        <v/>
      </c>
      <c r="D144" s="56">
        <f>IF(Compila!$A154="","",Compila!$D154)</f>
        <v/>
      </c>
      <c r="E144" s="57">
        <f>IF($A144="",0,IFERROR(IF(SUMIFS(CriteriTecnici!$O:$O,CriteriTecnici!$Q:$Q,$A144&amp;"|"&amp;$C144)&gt;0,IF($G144="SI",ROUND(IF(SUMPRODUCT(MAX((CriteriTecnici!$C$5:$C$6173=$C144)*(CriteriTecnici!$E$5:$E$6173="A")*(CriteriTecnici!$T$5:$T$6173="SI")*IFERROR(CriteriTecnici!$O$5:$O$6173*1,0)))&gt;0,MIN(7,SUMIFS(CriteriTecnici!$O:$O,CriteriTecnici!$Q:$Q,$A144&amp;"|"&amp;$C144,CriteriTecnici!$E:$E,"A")*(7/SUMPRODUCT(MAX((CriteriTecnici!$C$5:$C$6173=$C144)*(CriteriTecnici!$E$5:$E$6173="A")*(CriteriTecnici!$T$5:$T$6173="SI")*IFERROR(CriteriTecnici!$O$5:$O$6173*1,0))))),0)+IF(SUMPRODUCT(MAX((CriteriTecnici!$C$5:$C$6173=$C144)*(CriteriTecnici!$E$5:$E$6173="B")*(CriteriTecnici!$T$5:$T$6173="SI")*IFERROR(CriteriTecnici!$O$5:$O$6173*1,0)))&gt;0,MIN(14,SUMIFS(CriteriTecnici!$O:$O,CriteriTecnici!$Q:$Q,$A144&amp;"|"&amp;$C144,CriteriTecnici!$E:$E,"B")*(14/SUMPRODUCT(MAX((CriteriTecnici!$C$5:$C$6173=$C144)*(CriteriTecnici!$E$5:$E$6173="B")*(CriteriTecnici!$T$5:$T$6173="SI")*IFERROR(CriteriTecnici!$O$5:$O$6173*1,0))))),0)+IF(SUMPRODUCT(MAX((CriteriTecnici!$C$5:$C$6173=$C144)*(CriteriTecnici!$E$5:$E$6173="C")*(CriteriTecnici!$T$5:$T$6173="SI")*IFERROR(CriteriTecnici!$O$5:$O$6173*1,0)))&gt;0,MIN(14,SUMIFS(CriteriTecnici!$O:$O,CriteriTecnici!$Q:$Q,$A144&amp;"|"&amp;$C144,CriteriTecnici!$E:$E,"C")*(14/SUMPRODUCT(MAX((CriteriTecnici!$C$5:$C$6173=$C144)*(CriteriTecnici!$E$5:$E$6173="C")*(CriteriTecnici!$T$5:$T$6173="SI")*IFERROR(CriteriTecnici!$O$5:$O$6173*1,0))))),0)+IF(SUMPRODUCT(MAX((CriteriTecnici!$C$5:$C$6173=$C144)*(CriteriTecnici!$E$5:$E$6173="D")*(CriteriTecnici!$T$5:$T$6173="SI")*IFERROR(CriteriTecnici!$O$5:$O$6173*1,0)))&gt;0,MIN(10,SUMIFS(CriteriTecnici!$O:$O,CriteriTecnici!$Q:$Q,$A144&amp;"|"&amp;$C144,CriteriTecnici!$E:$E,"D")*(10/SUMPRODUCT(MAX((CriteriTecnici!$C$5:$C$6173=$C144)*(CriteriTecnici!$E$5:$E$6173="D")*(CriteriTecnici!$T$5:$T$6173="SI")*IFERROR(CriteriTecnici!$O$5:$O$6173*1,0))))),0)+IF(SUMPRODUCT(MAX((CriteriTecnici!$C$5:$C$6173=$C144)*(CriteriTecnici!$E$5:$E$6173="E")*(CriteriTecnici!$T$5:$T$6173="SI")*IFERROR(CriteriTecnici!$O$5:$O$6173*1,0)))&gt;0,MIN(4,SUMIFS(CriteriTecnici!$O:$O,CriteriTecnici!$Q:$Q,$A144&amp;"|"&amp;$C144,CriteriTecnici!$E:$E,"E")*(4/SUMPRODUCT(MAX((CriteriTecnici!$C$5:$C$6173=$C144)*(CriteriTecnici!$E$5:$E$6173="E")*(CriteriTecnici!$T$5:$T$6173="SI")*IFERROR(CriteriTecnici!$O$5:$O$6173*1,0))))),0)+IF(SUMPRODUCT(MAX((CriteriTecnici!$C$5:$C$6173=$C144)*(CriteriTecnici!$E$5:$E$6173="F")*(CriteriTecnici!$T$5:$T$6173="SI")*IFERROR(CriteriTecnici!$O$5:$O$6173*1,0)))&gt;0,MIN(14,SUMIFS(CriteriTecnici!$O:$O,CriteriTecnici!$Q:$Q,$A144&amp;"|"&amp;$C144,CriteriTecnici!$E:$E,"F")*(14/SUMPRODUCT(MAX((CriteriTecnici!$C$5:$C$6173=$C144)*(CriteriTecnici!$E$5:$E$6173="F")*(CriteriTecnici!$T$5:$T$6173="SI")*IFERROR(CriteriTecnici!$O$5:$O$6173*1,0))))),0)+IF(SUMPRODUCT(MAX((CriteriTecnici!$C$5:$C$6173=$C144)*(CriteriTecnici!$E$5:$E$6173="G")*(CriteriTecnici!$T$5:$T$6173="SI")*IFERROR(CriteriTecnici!$O$5:$O$6173*1,0)))&gt;0,MIN(7,SUMIFS(CriteriTecnici!$O:$O,CriteriTecnici!$Q:$Q,$A144&amp;"|"&amp;$C144,CriteriTecnici!$E:$E,"G")*(7/SUMPRODUCT(MAX((CriteriTecnici!$C$5:$C$6173=$C144)*(CriteriTecnici!$E$5:$E$6173="G")*(CriteriTecnici!$T$5:$T$6173="SI")*IFERROR(CriteriTecnici!$O$5:$O$6173*1,0))))),0),4),0),IFERROR($N144*1,0)),0))</f>
        <v/>
      </c>
      <c r="F144" s="56">
        <f>IF(Compila!$A154="","",Compila!$E154)</f>
        <v/>
      </c>
      <c r="G144" s="57">
        <f>IF($A144="","",IF(IFERROR(VALUE($D144),0)&lt;&gt;1,"NO",IF(IFERROR(VALUE($O144),0)&gt;=Parametri!$B$2,"SI","NO")))</f>
        <v/>
      </c>
      <c r="H144" s="57">
        <f>IF($G144="SI",SUMPRODUCT(MAX(($C$2:$C$200=$C144)*(IFERROR($D$2:$D$200*1,0)=1)*(IFERROR($O$2:$O$200*1,0)&gt;=Parametri!$B$2)*IFERROR($F$2:$F$200*1,0))),0)</f>
        <v/>
      </c>
      <c r="I144" s="57">
        <f>IF($G144="SI",IF($H144&gt;0,30*(IFERROR($F144*1,0)/$H144),0),0)</f>
        <v/>
      </c>
      <c r="J144" s="57">
        <f>IF($A144="",0,IF($G144="SI",ROUND(IFERROR($E144*1,0)+$I144,4),ROUND(IFERROR($E144*1,0),4)))</f>
        <v/>
      </c>
      <c r="K144" s="57">
        <f>IF($A144="","",IF(IFERROR(VALUE($D144),0)&lt;&gt;1,"Non attiva",IF(IFERROR(VALUE($O144),0)&lt;Parametri!$B$2,"Sotto soglia","")))</f>
        <v/>
      </c>
      <c r="L144" s="57">
        <f>IF($A144="","",$A144&amp;"|"&amp;$C144)</f>
        <v/>
      </c>
      <c r="M144" s="57">
        <f>IF($A144="","",$C144&amp;"|"&amp;TEXT($J144,"0.0000"))</f>
        <v/>
      </c>
      <c r="N144" s="57" t="n"/>
      <c r="O144" s="57">
        <f>IF($A144="",0,IFERROR(IF(SUMIFS(CriteriTecnici!$O:$O,CriteriTecnici!$Q:$Q,$A144&amp;"|"&amp;$C144)&gt;0,SUMIFS(CriteriTecnici!$O:$O,CriteriTecnici!$Q:$Q,$A144&amp;"|"&amp;$C144,CriteriTecnici!$F:$F,"Q")+SUMIFS(CriteriTecnici!$O:$O,CriteriTecnici!$Q:$Q,$A144&amp;"|"&amp;$C144,CriteriTecnici!$F:$F,"T"),IFERROR($N144*1,0)),0))</f>
        <v/>
      </c>
      <c r="P144" s="57">
        <f>IF($A144="","",IF(SUMIFS(CriteriTecnici!$O:$O,CriteriTecnici!$Q:$Q,$A144&amp;"|"&amp;$C144)&gt;0,"Criteri A-G","Aggregato"))</f>
        <v/>
      </c>
    </row>
    <row r="145">
      <c r="A145" s="56">
        <f>IF(Compila!$A155="","",Compila!$A155)</f>
        <v/>
      </c>
      <c r="B145" s="56">
        <f>IF(Compila!$A155="","",Compila!$B155)</f>
        <v/>
      </c>
      <c r="C145" s="56">
        <f>IF(Compila!$A155="","",Compila!$C155)</f>
        <v/>
      </c>
      <c r="D145" s="56">
        <f>IF(Compila!$A155="","",Compila!$D155)</f>
        <v/>
      </c>
      <c r="E145" s="57">
        <f>IF($A145="",0,IFERROR(IF(SUMIFS(CriteriTecnici!$O:$O,CriteriTecnici!$Q:$Q,$A145&amp;"|"&amp;$C145)&gt;0,IF($G145="SI",ROUND(IF(SUMPRODUCT(MAX((CriteriTecnici!$C$5:$C$6173=$C145)*(CriteriTecnici!$E$5:$E$6173="A")*(CriteriTecnici!$T$5:$T$6173="SI")*IFERROR(CriteriTecnici!$O$5:$O$6173*1,0)))&gt;0,MIN(7,SUMIFS(CriteriTecnici!$O:$O,CriteriTecnici!$Q:$Q,$A145&amp;"|"&amp;$C145,CriteriTecnici!$E:$E,"A")*(7/SUMPRODUCT(MAX((CriteriTecnici!$C$5:$C$6173=$C145)*(CriteriTecnici!$E$5:$E$6173="A")*(CriteriTecnici!$T$5:$T$6173="SI")*IFERROR(CriteriTecnici!$O$5:$O$6173*1,0))))),0)+IF(SUMPRODUCT(MAX((CriteriTecnici!$C$5:$C$6173=$C145)*(CriteriTecnici!$E$5:$E$6173="B")*(CriteriTecnici!$T$5:$T$6173="SI")*IFERROR(CriteriTecnici!$O$5:$O$6173*1,0)))&gt;0,MIN(14,SUMIFS(CriteriTecnici!$O:$O,CriteriTecnici!$Q:$Q,$A145&amp;"|"&amp;$C145,CriteriTecnici!$E:$E,"B")*(14/SUMPRODUCT(MAX((CriteriTecnici!$C$5:$C$6173=$C145)*(CriteriTecnici!$E$5:$E$6173="B")*(CriteriTecnici!$T$5:$T$6173="SI")*IFERROR(CriteriTecnici!$O$5:$O$6173*1,0))))),0)+IF(SUMPRODUCT(MAX((CriteriTecnici!$C$5:$C$6173=$C145)*(CriteriTecnici!$E$5:$E$6173="C")*(CriteriTecnici!$T$5:$T$6173="SI")*IFERROR(CriteriTecnici!$O$5:$O$6173*1,0)))&gt;0,MIN(14,SUMIFS(CriteriTecnici!$O:$O,CriteriTecnici!$Q:$Q,$A145&amp;"|"&amp;$C145,CriteriTecnici!$E:$E,"C")*(14/SUMPRODUCT(MAX((CriteriTecnici!$C$5:$C$6173=$C145)*(CriteriTecnici!$E$5:$E$6173="C")*(CriteriTecnici!$T$5:$T$6173="SI")*IFERROR(CriteriTecnici!$O$5:$O$6173*1,0))))),0)+IF(SUMPRODUCT(MAX((CriteriTecnici!$C$5:$C$6173=$C145)*(CriteriTecnici!$E$5:$E$6173="D")*(CriteriTecnici!$T$5:$T$6173="SI")*IFERROR(CriteriTecnici!$O$5:$O$6173*1,0)))&gt;0,MIN(10,SUMIFS(CriteriTecnici!$O:$O,CriteriTecnici!$Q:$Q,$A145&amp;"|"&amp;$C145,CriteriTecnici!$E:$E,"D")*(10/SUMPRODUCT(MAX((CriteriTecnici!$C$5:$C$6173=$C145)*(CriteriTecnici!$E$5:$E$6173="D")*(CriteriTecnici!$T$5:$T$6173="SI")*IFERROR(CriteriTecnici!$O$5:$O$6173*1,0))))),0)+IF(SUMPRODUCT(MAX((CriteriTecnici!$C$5:$C$6173=$C145)*(CriteriTecnici!$E$5:$E$6173="E")*(CriteriTecnici!$T$5:$T$6173="SI")*IFERROR(CriteriTecnici!$O$5:$O$6173*1,0)))&gt;0,MIN(4,SUMIFS(CriteriTecnici!$O:$O,CriteriTecnici!$Q:$Q,$A145&amp;"|"&amp;$C145,CriteriTecnici!$E:$E,"E")*(4/SUMPRODUCT(MAX((CriteriTecnici!$C$5:$C$6173=$C145)*(CriteriTecnici!$E$5:$E$6173="E")*(CriteriTecnici!$T$5:$T$6173="SI")*IFERROR(CriteriTecnici!$O$5:$O$6173*1,0))))),0)+IF(SUMPRODUCT(MAX((CriteriTecnici!$C$5:$C$6173=$C145)*(CriteriTecnici!$E$5:$E$6173="F")*(CriteriTecnici!$T$5:$T$6173="SI")*IFERROR(CriteriTecnici!$O$5:$O$6173*1,0)))&gt;0,MIN(14,SUMIFS(CriteriTecnici!$O:$O,CriteriTecnici!$Q:$Q,$A145&amp;"|"&amp;$C145,CriteriTecnici!$E:$E,"F")*(14/SUMPRODUCT(MAX((CriteriTecnici!$C$5:$C$6173=$C145)*(CriteriTecnici!$E$5:$E$6173="F")*(CriteriTecnici!$T$5:$T$6173="SI")*IFERROR(CriteriTecnici!$O$5:$O$6173*1,0))))),0)+IF(SUMPRODUCT(MAX((CriteriTecnici!$C$5:$C$6173=$C145)*(CriteriTecnici!$E$5:$E$6173="G")*(CriteriTecnici!$T$5:$T$6173="SI")*IFERROR(CriteriTecnici!$O$5:$O$6173*1,0)))&gt;0,MIN(7,SUMIFS(CriteriTecnici!$O:$O,CriteriTecnici!$Q:$Q,$A145&amp;"|"&amp;$C145,CriteriTecnici!$E:$E,"G")*(7/SUMPRODUCT(MAX((CriteriTecnici!$C$5:$C$6173=$C145)*(CriteriTecnici!$E$5:$E$6173="G")*(CriteriTecnici!$T$5:$T$6173="SI")*IFERROR(CriteriTecnici!$O$5:$O$6173*1,0))))),0),4),0),IFERROR($N145*1,0)),0))</f>
        <v/>
      </c>
      <c r="F145" s="56">
        <f>IF(Compila!$A155="","",Compila!$E155)</f>
        <v/>
      </c>
      <c r="G145" s="57">
        <f>IF($A145="","",IF(IFERROR(VALUE($D145),0)&lt;&gt;1,"NO",IF(IFERROR(VALUE($O145),0)&gt;=Parametri!$B$2,"SI","NO")))</f>
        <v/>
      </c>
      <c r="H145" s="57">
        <f>IF($G145="SI",SUMPRODUCT(MAX(($C$2:$C$200=$C145)*(IFERROR($D$2:$D$200*1,0)=1)*(IFERROR($O$2:$O$200*1,0)&gt;=Parametri!$B$2)*IFERROR($F$2:$F$200*1,0))),0)</f>
        <v/>
      </c>
      <c r="I145" s="57">
        <f>IF($G145="SI",IF($H145&gt;0,30*(IFERROR($F145*1,0)/$H145),0),0)</f>
        <v/>
      </c>
      <c r="J145" s="57">
        <f>IF($A145="",0,IF($G145="SI",ROUND(IFERROR($E145*1,0)+$I145,4),ROUND(IFERROR($E145*1,0),4)))</f>
        <v/>
      </c>
      <c r="K145" s="57">
        <f>IF($A145="","",IF(IFERROR(VALUE($D145),0)&lt;&gt;1,"Non attiva",IF(IFERROR(VALUE($O145),0)&lt;Parametri!$B$2,"Sotto soglia","")))</f>
        <v/>
      </c>
      <c r="L145" s="57">
        <f>IF($A145="","",$A145&amp;"|"&amp;$C145)</f>
        <v/>
      </c>
      <c r="M145" s="57">
        <f>IF($A145="","",$C145&amp;"|"&amp;TEXT($J145,"0.0000"))</f>
        <v/>
      </c>
      <c r="N145" s="57" t="n"/>
      <c r="O145" s="57">
        <f>IF($A145="",0,IFERROR(IF(SUMIFS(CriteriTecnici!$O:$O,CriteriTecnici!$Q:$Q,$A145&amp;"|"&amp;$C145)&gt;0,SUMIFS(CriteriTecnici!$O:$O,CriteriTecnici!$Q:$Q,$A145&amp;"|"&amp;$C145,CriteriTecnici!$F:$F,"Q")+SUMIFS(CriteriTecnici!$O:$O,CriteriTecnici!$Q:$Q,$A145&amp;"|"&amp;$C145,CriteriTecnici!$F:$F,"T"),IFERROR($N145*1,0)),0))</f>
        <v/>
      </c>
      <c r="P145" s="57">
        <f>IF($A145="","",IF(SUMIFS(CriteriTecnici!$O:$O,CriteriTecnici!$Q:$Q,$A145&amp;"|"&amp;$C145)&gt;0,"Criteri A-G","Aggregato"))</f>
        <v/>
      </c>
    </row>
    <row r="146">
      <c r="A146" s="56">
        <f>IF(Compila!$A156="","",Compila!$A156)</f>
        <v/>
      </c>
      <c r="B146" s="56">
        <f>IF(Compila!$A156="","",Compila!$B156)</f>
        <v/>
      </c>
      <c r="C146" s="56">
        <f>IF(Compila!$A156="","",Compila!$C156)</f>
        <v/>
      </c>
      <c r="D146" s="56">
        <f>IF(Compila!$A156="","",Compila!$D156)</f>
        <v/>
      </c>
      <c r="E146" s="57">
        <f>IF($A146="",0,IFERROR(IF(SUMIFS(CriteriTecnici!$O:$O,CriteriTecnici!$Q:$Q,$A146&amp;"|"&amp;$C146)&gt;0,IF($G146="SI",ROUND(IF(SUMPRODUCT(MAX((CriteriTecnici!$C$5:$C$6173=$C146)*(CriteriTecnici!$E$5:$E$6173="A")*(CriteriTecnici!$T$5:$T$6173="SI")*IFERROR(CriteriTecnici!$O$5:$O$6173*1,0)))&gt;0,MIN(7,SUMIFS(CriteriTecnici!$O:$O,CriteriTecnici!$Q:$Q,$A146&amp;"|"&amp;$C146,CriteriTecnici!$E:$E,"A")*(7/SUMPRODUCT(MAX((CriteriTecnici!$C$5:$C$6173=$C146)*(CriteriTecnici!$E$5:$E$6173="A")*(CriteriTecnici!$T$5:$T$6173="SI")*IFERROR(CriteriTecnici!$O$5:$O$6173*1,0))))),0)+IF(SUMPRODUCT(MAX((CriteriTecnici!$C$5:$C$6173=$C146)*(CriteriTecnici!$E$5:$E$6173="B")*(CriteriTecnici!$T$5:$T$6173="SI")*IFERROR(CriteriTecnici!$O$5:$O$6173*1,0)))&gt;0,MIN(14,SUMIFS(CriteriTecnici!$O:$O,CriteriTecnici!$Q:$Q,$A146&amp;"|"&amp;$C146,CriteriTecnici!$E:$E,"B")*(14/SUMPRODUCT(MAX((CriteriTecnici!$C$5:$C$6173=$C146)*(CriteriTecnici!$E$5:$E$6173="B")*(CriteriTecnici!$T$5:$T$6173="SI")*IFERROR(CriteriTecnici!$O$5:$O$6173*1,0))))),0)+IF(SUMPRODUCT(MAX((CriteriTecnici!$C$5:$C$6173=$C146)*(CriteriTecnici!$E$5:$E$6173="C")*(CriteriTecnici!$T$5:$T$6173="SI")*IFERROR(CriteriTecnici!$O$5:$O$6173*1,0)))&gt;0,MIN(14,SUMIFS(CriteriTecnici!$O:$O,CriteriTecnici!$Q:$Q,$A146&amp;"|"&amp;$C146,CriteriTecnici!$E:$E,"C")*(14/SUMPRODUCT(MAX((CriteriTecnici!$C$5:$C$6173=$C146)*(CriteriTecnici!$E$5:$E$6173="C")*(CriteriTecnici!$T$5:$T$6173="SI")*IFERROR(CriteriTecnici!$O$5:$O$6173*1,0))))),0)+IF(SUMPRODUCT(MAX((CriteriTecnici!$C$5:$C$6173=$C146)*(CriteriTecnici!$E$5:$E$6173="D")*(CriteriTecnici!$T$5:$T$6173="SI")*IFERROR(CriteriTecnici!$O$5:$O$6173*1,0)))&gt;0,MIN(10,SUMIFS(CriteriTecnici!$O:$O,CriteriTecnici!$Q:$Q,$A146&amp;"|"&amp;$C146,CriteriTecnici!$E:$E,"D")*(10/SUMPRODUCT(MAX((CriteriTecnici!$C$5:$C$6173=$C146)*(CriteriTecnici!$E$5:$E$6173="D")*(CriteriTecnici!$T$5:$T$6173="SI")*IFERROR(CriteriTecnici!$O$5:$O$6173*1,0))))),0)+IF(SUMPRODUCT(MAX((CriteriTecnici!$C$5:$C$6173=$C146)*(CriteriTecnici!$E$5:$E$6173="E")*(CriteriTecnici!$T$5:$T$6173="SI")*IFERROR(CriteriTecnici!$O$5:$O$6173*1,0)))&gt;0,MIN(4,SUMIFS(CriteriTecnici!$O:$O,CriteriTecnici!$Q:$Q,$A146&amp;"|"&amp;$C146,CriteriTecnici!$E:$E,"E")*(4/SUMPRODUCT(MAX((CriteriTecnici!$C$5:$C$6173=$C146)*(CriteriTecnici!$E$5:$E$6173="E")*(CriteriTecnici!$T$5:$T$6173="SI")*IFERROR(CriteriTecnici!$O$5:$O$6173*1,0))))),0)+IF(SUMPRODUCT(MAX((CriteriTecnici!$C$5:$C$6173=$C146)*(CriteriTecnici!$E$5:$E$6173="F")*(CriteriTecnici!$T$5:$T$6173="SI")*IFERROR(CriteriTecnici!$O$5:$O$6173*1,0)))&gt;0,MIN(14,SUMIFS(CriteriTecnici!$O:$O,CriteriTecnici!$Q:$Q,$A146&amp;"|"&amp;$C146,CriteriTecnici!$E:$E,"F")*(14/SUMPRODUCT(MAX((CriteriTecnici!$C$5:$C$6173=$C146)*(CriteriTecnici!$E$5:$E$6173="F")*(CriteriTecnici!$T$5:$T$6173="SI")*IFERROR(CriteriTecnici!$O$5:$O$6173*1,0))))),0)+IF(SUMPRODUCT(MAX((CriteriTecnici!$C$5:$C$6173=$C146)*(CriteriTecnici!$E$5:$E$6173="G")*(CriteriTecnici!$T$5:$T$6173="SI")*IFERROR(CriteriTecnici!$O$5:$O$6173*1,0)))&gt;0,MIN(7,SUMIFS(CriteriTecnici!$O:$O,CriteriTecnici!$Q:$Q,$A146&amp;"|"&amp;$C146,CriteriTecnici!$E:$E,"G")*(7/SUMPRODUCT(MAX((CriteriTecnici!$C$5:$C$6173=$C146)*(CriteriTecnici!$E$5:$E$6173="G")*(CriteriTecnici!$T$5:$T$6173="SI")*IFERROR(CriteriTecnici!$O$5:$O$6173*1,0))))),0),4),0),IFERROR($N146*1,0)),0))</f>
        <v/>
      </c>
      <c r="F146" s="56">
        <f>IF(Compila!$A156="","",Compila!$E156)</f>
        <v/>
      </c>
      <c r="G146" s="57">
        <f>IF($A146="","",IF(IFERROR(VALUE($D146),0)&lt;&gt;1,"NO",IF(IFERROR(VALUE($O146),0)&gt;=Parametri!$B$2,"SI","NO")))</f>
        <v/>
      </c>
      <c r="H146" s="57">
        <f>IF($G146="SI",SUMPRODUCT(MAX(($C$2:$C$200=$C146)*(IFERROR($D$2:$D$200*1,0)=1)*(IFERROR($O$2:$O$200*1,0)&gt;=Parametri!$B$2)*IFERROR($F$2:$F$200*1,0))),0)</f>
        <v/>
      </c>
      <c r="I146" s="57">
        <f>IF($G146="SI",IF($H146&gt;0,30*(IFERROR($F146*1,0)/$H146),0),0)</f>
        <v/>
      </c>
      <c r="J146" s="57">
        <f>IF($A146="",0,IF($G146="SI",ROUND(IFERROR($E146*1,0)+$I146,4),ROUND(IFERROR($E146*1,0),4)))</f>
        <v/>
      </c>
      <c r="K146" s="57">
        <f>IF($A146="","",IF(IFERROR(VALUE($D146),0)&lt;&gt;1,"Non attiva",IF(IFERROR(VALUE($O146),0)&lt;Parametri!$B$2,"Sotto soglia","")))</f>
        <v/>
      </c>
      <c r="L146" s="57">
        <f>IF($A146="","",$A146&amp;"|"&amp;$C146)</f>
        <v/>
      </c>
      <c r="M146" s="57">
        <f>IF($A146="","",$C146&amp;"|"&amp;TEXT($J146,"0.0000"))</f>
        <v/>
      </c>
      <c r="N146" s="57" t="n"/>
      <c r="O146" s="57">
        <f>IF($A146="",0,IFERROR(IF(SUMIFS(CriteriTecnici!$O:$O,CriteriTecnici!$Q:$Q,$A146&amp;"|"&amp;$C146)&gt;0,SUMIFS(CriteriTecnici!$O:$O,CriteriTecnici!$Q:$Q,$A146&amp;"|"&amp;$C146,CriteriTecnici!$F:$F,"Q")+SUMIFS(CriteriTecnici!$O:$O,CriteriTecnici!$Q:$Q,$A146&amp;"|"&amp;$C146,CriteriTecnici!$F:$F,"T"),IFERROR($N146*1,0)),0))</f>
        <v/>
      </c>
      <c r="P146" s="57">
        <f>IF($A146="","",IF(SUMIFS(CriteriTecnici!$O:$O,CriteriTecnici!$Q:$Q,$A146&amp;"|"&amp;$C146)&gt;0,"Criteri A-G","Aggregato"))</f>
        <v/>
      </c>
    </row>
    <row r="147">
      <c r="A147" s="56">
        <f>IF(Compila!$A157="","",Compila!$A157)</f>
        <v/>
      </c>
      <c r="B147" s="56">
        <f>IF(Compila!$A157="","",Compila!$B157)</f>
        <v/>
      </c>
      <c r="C147" s="56">
        <f>IF(Compila!$A157="","",Compila!$C157)</f>
        <v/>
      </c>
      <c r="D147" s="56">
        <f>IF(Compila!$A157="","",Compila!$D157)</f>
        <v/>
      </c>
      <c r="E147" s="57">
        <f>IF($A147="",0,IFERROR(IF(SUMIFS(CriteriTecnici!$O:$O,CriteriTecnici!$Q:$Q,$A147&amp;"|"&amp;$C147)&gt;0,IF($G147="SI",ROUND(IF(SUMPRODUCT(MAX((CriteriTecnici!$C$5:$C$6173=$C147)*(CriteriTecnici!$E$5:$E$6173="A")*(CriteriTecnici!$T$5:$T$6173="SI")*IFERROR(CriteriTecnici!$O$5:$O$6173*1,0)))&gt;0,MIN(7,SUMIFS(CriteriTecnici!$O:$O,CriteriTecnici!$Q:$Q,$A147&amp;"|"&amp;$C147,CriteriTecnici!$E:$E,"A")*(7/SUMPRODUCT(MAX((CriteriTecnici!$C$5:$C$6173=$C147)*(CriteriTecnici!$E$5:$E$6173="A")*(CriteriTecnici!$T$5:$T$6173="SI")*IFERROR(CriteriTecnici!$O$5:$O$6173*1,0))))),0)+IF(SUMPRODUCT(MAX((CriteriTecnici!$C$5:$C$6173=$C147)*(CriteriTecnici!$E$5:$E$6173="B")*(CriteriTecnici!$T$5:$T$6173="SI")*IFERROR(CriteriTecnici!$O$5:$O$6173*1,0)))&gt;0,MIN(14,SUMIFS(CriteriTecnici!$O:$O,CriteriTecnici!$Q:$Q,$A147&amp;"|"&amp;$C147,CriteriTecnici!$E:$E,"B")*(14/SUMPRODUCT(MAX((CriteriTecnici!$C$5:$C$6173=$C147)*(CriteriTecnici!$E$5:$E$6173="B")*(CriteriTecnici!$T$5:$T$6173="SI")*IFERROR(CriteriTecnici!$O$5:$O$6173*1,0))))),0)+IF(SUMPRODUCT(MAX((CriteriTecnici!$C$5:$C$6173=$C147)*(CriteriTecnici!$E$5:$E$6173="C")*(CriteriTecnici!$T$5:$T$6173="SI")*IFERROR(CriteriTecnici!$O$5:$O$6173*1,0)))&gt;0,MIN(14,SUMIFS(CriteriTecnici!$O:$O,CriteriTecnici!$Q:$Q,$A147&amp;"|"&amp;$C147,CriteriTecnici!$E:$E,"C")*(14/SUMPRODUCT(MAX((CriteriTecnici!$C$5:$C$6173=$C147)*(CriteriTecnici!$E$5:$E$6173="C")*(CriteriTecnici!$T$5:$T$6173="SI")*IFERROR(CriteriTecnici!$O$5:$O$6173*1,0))))),0)+IF(SUMPRODUCT(MAX((CriteriTecnici!$C$5:$C$6173=$C147)*(CriteriTecnici!$E$5:$E$6173="D")*(CriteriTecnici!$T$5:$T$6173="SI")*IFERROR(CriteriTecnici!$O$5:$O$6173*1,0)))&gt;0,MIN(10,SUMIFS(CriteriTecnici!$O:$O,CriteriTecnici!$Q:$Q,$A147&amp;"|"&amp;$C147,CriteriTecnici!$E:$E,"D")*(10/SUMPRODUCT(MAX((CriteriTecnici!$C$5:$C$6173=$C147)*(CriteriTecnici!$E$5:$E$6173="D")*(CriteriTecnici!$T$5:$T$6173="SI")*IFERROR(CriteriTecnici!$O$5:$O$6173*1,0))))),0)+IF(SUMPRODUCT(MAX((CriteriTecnici!$C$5:$C$6173=$C147)*(CriteriTecnici!$E$5:$E$6173="E")*(CriteriTecnici!$T$5:$T$6173="SI")*IFERROR(CriteriTecnici!$O$5:$O$6173*1,0)))&gt;0,MIN(4,SUMIFS(CriteriTecnici!$O:$O,CriteriTecnici!$Q:$Q,$A147&amp;"|"&amp;$C147,CriteriTecnici!$E:$E,"E")*(4/SUMPRODUCT(MAX((CriteriTecnici!$C$5:$C$6173=$C147)*(CriteriTecnici!$E$5:$E$6173="E")*(CriteriTecnici!$T$5:$T$6173="SI")*IFERROR(CriteriTecnici!$O$5:$O$6173*1,0))))),0)+IF(SUMPRODUCT(MAX((CriteriTecnici!$C$5:$C$6173=$C147)*(CriteriTecnici!$E$5:$E$6173="F")*(CriteriTecnici!$T$5:$T$6173="SI")*IFERROR(CriteriTecnici!$O$5:$O$6173*1,0)))&gt;0,MIN(14,SUMIFS(CriteriTecnici!$O:$O,CriteriTecnici!$Q:$Q,$A147&amp;"|"&amp;$C147,CriteriTecnici!$E:$E,"F")*(14/SUMPRODUCT(MAX((CriteriTecnici!$C$5:$C$6173=$C147)*(CriteriTecnici!$E$5:$E$6173="F")*(CriteriTecnici!$T$5:$T$6173="SI")*IFERROR(CriteriTecnici!$O$5:$O$6173*1,0))))),0)+IF(SUMPRODUCT(MAX((CriteriTecnici!$C$5:$C$6173=$C147)*(CriteriTecnici!$E$5:$E$6173="G")*(CriteriTecnici!$T$5:$T$6173="SI")*IFERROR(CriteriTecnici!$O$5:$O$6173*1,0)))&gt;0,MIN(7,SUMIFS(CriteriTecnici!$O:$O,CriteriTecnici!$Q:$Q,$A147&amp;"|"&amp;$C147,CriteriTecnici!$E:$E,"G")*(7/SUMPRODUCT(MAX((CriteriTecnici!$C$5:$C$6173=$C147)*(CriteriTecnici!$E$5:$E$6173="G")*(CriteriTecnici!$T$5:$T$6173="SI")*IFERROR(CriteriTecnici!$O$5:$O$6173*1,0))))),0),4),0),IFERROR($N147*1,0)),0))</f>
        <v/>
      </c>
      <c r="F147" s="56">
        <f>IF(Compila!$A157="","",Compila!$E157)</f>
        <v/>
      </c>
      <c r="G147" s="57">
        <f>IF($A147="","",IF(IFERROR(VALUE($D147),0)&lt;&gt;1,"NO",IF(IFERROR(VALUE($O147),0)&gt;=Parametri!$B$2,"SI","NO")))</f>
        <v/>
      </c>
      <c r="H147" s="57">
        <f>IF($G147="SI",SUMPRODUCT(MAX(($C$2:$C$200=$C147)*(IFERROR($D$2:$D$200*1,0)=1)*(IFERROR($O$2:$O$200*1,0)&gt;=Parametri!$B$2)*IFERROR($F$2:$F$200*1,0))),0)</f>
        <v/>
      </c>
      <c r="I147" s="57">
        <f>IF($G147="SI",IF($H147&gt;0,30*(IFERROR($F147*1,0)/$H147),0),0)</f>
        <v/>
      </c>
      <c r="J147" s="57">
        <f>IF($A147="",0,IF($G147="SI",ROUND(IFERROR($E147*1,0)+$I147,4),ROUND(IFERROR($E147*1,0),4)))</f>
        <v/>
      </c>
      <c r="K147" s="57">
        <f>IF($A147="","",IF(IFERROR(VALUE($D147),0)&lt;&gt;1,"Non attiva",IF(IFERROR(VALUE($O147),0)&lt;Parametri!$B$2,"Sotto soglia","")))</f>
        <v/>
      </c>
      <c r="L147" s="57">
        <f>IF($A147="","",$A147&amp;"|"&amp;$C147)</f>
        <v/>
      </c>
      <c r="M147" s="57">
        <f>IF($A147="","",$C147&amp;"|"&amp;TEXT($J147,"0.0000"))</f>
        <v/>
      </c>
      <c r="N147" s="57" t="n"/>
      <c r="O147" s="57">
        <f>IF($A147="",0,IFERROR(IF(SUMIFS(CriteriTecnici!$O:$O,CriteriTecnici!$Q:$Q,$A147&amp;"|"&amp;$C147)&gt;0,SUMIFS(CriteriTecnici!$O:$O,CriteriTecnici!$Q:$Q,$A147&amp;"|"&amp;$C147,CriteriTecnici!$F:$F,"Q")+SUMIFS(CriteriTecnici!$O:$O,CriteriTecnici!$Q:$Q,$A147&amp;"|"&amp;$C147,CriteriTecnici!$F:$F,"T"),IFERROR($N147*1,0)),0))</f>
        <v/>
      </c>
      <c r="P147" s="57">
        <f>IF($A147="","",IF(SUMIFS(CriteriTecnici!$O:$O,CriteriTecnici!$Q:$Q,$A147&amp;"|"&amp;$C147)&gt;0,"Criteri A-G","Aggregato"))</f>
        <v/>
      </c>
    </row>
    <row r="148">
      <c r="A148" s="56">
        <f>IF(Compila!$A158="","",Compila!$A158)</f>
        <v/>
      </c>
      <c r="B148" s="56">
        <f>IF(Compila!$A158="","",Compila!$B158)</f>
        <v/>
      </c>
      <c r="C148" s="56">
        <f>IF(Compila!$A158="","",Compila!$C158)</f>
        <v/>
      </c>
      <c r="D148" s="56">
        <f>IF(Compila!$A158="","",Compila!$D158)</f>
        <v/>
      </c>
      <c r="E148" s="57">
        <f>IF($A148="",0,IFERROR(IF(SUMIFS(CriteriTecnici!$O:$O,CriteriTecnici!$Q:$Q,$A148&amp;"|"&amp;$C148)&gt;0,IF($G148="SI",ROUND(IF(SUMPRODUCT(MAX((CriteriTecnici!$C$5:$C$6173=$C148)*(CriteriTecnici!$E$5:$E$6173="A")*(CriteriTecnici!$T$5:$T$6173="SI")*IFERROR(CriteriTecnici!$O$5:$O$6173*1,0)))&gt;0,MIN(7,SUMIFS(CriteriTecnici!$O:$O,CriteriTecnici!$Q:$Q,$A148&amp;"|"&amp;$C148,CriteriTecnici!$E:$E,"A")*(7/SUMPRODUCT(MAX((CriteriTecnici!$C$5:$C$6173=$C148)*(CriteriTecnici!$E$5:$E$6173="A")*(CriteriTecnici!$T$5:$T$6173="SI")*IFERROR(CriteriTecnici!$O$5:$O$6173*1,0))))),0)+IF(SUMPRODUCT(MAX((CriteriTecnici!$C$5:$C$6173=$C148)*(CriteriTecnici!$E$5:$E$6173="B")*(CriteriTecnici!$T$5:$T$6173="SI")*IFERROR(CriteriTecnici!$O$5:$O$6173*1,0)))&gt;0,MIN(14,SUMIFS(CriteriTecnici!$O:$O,CriteriTecnici!$Q:$Q,$A148&amp;"|"&amp;$C148,CriteriTecnici!$E:$E,"B")*(14/SUMPRODUCT(MAX((CriteriTecnici!$C$5:$C$6173=$C148)*(CriteriTecnici!$E$5:$E$6173="B")*(CriteriTecnici!$T$5:$T$6173="SI")*IFERROR(CriteriTecnici!$O$5:$O$6173*1,0))))),0)+IF(SUMPRODUCT(MAX((CriteriTecnici!$C$5:$C$6173=$C148)*(CriteriTecnici!$E$5:$E$6173="C")*(CriteriTecnici!$T$5:$T$6173="SI")*IFERROR(CriteriTecnici!$O$5:$O$6173*1,0)))&gt;0,MIN(14,SUMIFS(CriteriTecnici!$O:$O,CriteriTecnici!$Q:$Q,$A148&amp;"|"&amp;$C148,CriteriTecnici!$E:$E,"C")*(14/SUMPRODUCT(MAX((CriteriTecnici!$C$5:$C$6173=$C148)*(CriteriTecnici!$E$5:$E$6173="C")*(CriteriTecnici!$T$5:$T$6173="SI")*IFERROR(CriteriTecnici!$O$5:$O$6173*1,0))))),0)+IF(SUMPRODUCT(MAX((CriteriTecnici!$C$5:$C$6173=$C148)*(CriteriTecnici!$E$5:$E$6173="D")*(CriteriTecnici!$T$5:$T$6173="SI")*IFERROR(CriteriTecnici!$O$5:$O$6173*1,0)))&gt;0,MIN(10,SUMIFS(CriteriTecnici!$O:$O,CriteriTecnici!$Q:$Q,$A148&amp;"|"&amp;$C148,CriteriTecnici!$E:$E,"D")*(10/SUMPRODUCT(MAX((CriteriTecnici!$C$5:$C$6173=$C148)*(CriteriTecnici!$E$5:$E$6173="D")*(CriteriTecnici!$T$5:$T$6173="SI")*IFERROR(CriteriTecnici!$O$5:$O$6173*1,0))))),0)+IF(SUMPRODUCT(MAX((CriteriTecnici!$C$5:$C$6173=$C148)*(CriteriTecnici!$E$5:$E$6173="E")*(CriteriTecnici!$T$5:$T$6173="SI")*IFERROR(CriteriTecnici!$O$5:$O$6173*1,0)))&gt;0,MIN(4,SUMIFS(CriteriTecnici!$O:$O,CriteriTecnici!$Q:$Q,$A148&amp;"|"&amp;$C148,CriteriTecnici!$E:$E,"E")*(4/SUMPRODUCT(MAX((CriteriTecnici!$C$5:$C$6173=$C148)*(CriteriTecnici!$E$5:$E$6173="E")*(CriteriTecnici!$T$5:$T$6173="SI")*IFERROR(CriteriTecnici!$O$5:$O$6173*1,0))))),0)+IF(SUMPRODUCT(MAX((CriteriTecnici!$C$5:$C$6173=$C148)*(CriteriTecnici!$E$5:$E$6173="F")*(CriteriTecnici!$T$5:$T$6173="SI")*IFERROR(CriteriTecnici!$O$5:$O$6173*1,0)))&gt;0,MIN(14,SUMIFS(CriteriTecnici!$O:$O,CriteriTecnici!$Q:$Q,$A148&amp;"|"&amp;$C148,CriteriTecnici!$E:$E,"F")*(14/SUMPRODUCT(MAX((CriteriTecnici!$C$5:$C$6173=$C148)*(CriteriTecnici!$E$5:$E$6173="F")*(CriteriTecnici!$T$5:$T$6173="SI")*IFERROR(CriteriTecnici!$O$5:$O$6173*1,0))))),0)+IF(SUMPRODUCT(MAX((CriteriTecnici!$C$5:$C$6173=$C148)*(CriteriTecnici!$E$5:$E$6173="G")*(CriteriTecnici!$T$5:$T$6173="SI")*IFERROR(CriteriTecnici!$O$5:$O$6173*1,0)))&gt;0,MIN(7,SUMIFS(CriteriTecnici!$O:$O,CriteriTecnici!$Q:$Q,$A148&amp;"|"&amp;$C148,CriteriTecnici!$E:$E,"G")*(7/SUMPRODUCT(MAX((CriteriTecnici!$C$5:$C$6173=$C148)*(CriteriTecnici!$E$5:$E$6173="G")*(CriteriTecnici!$T$5:$T$6173="SI")*IFERROR(CriteriTecnici!$O$5:$O$6173*1,0))))),0),4),0),IFERROR($N148*1,0)),0))</f>
        <v/>
      </c>
      <c r="F148" s="56">
        <f>IF(Compila!$A158="","",Compila!$E158)</f>
        <v/>
      </c>
      <c r="G148" s="57">
        <f>IF($A148="","",IF(IFERROR(VALUE($D148),0)&lt;&gt;1,"NO",IF(IFERROR(VALUE($O148),0)&gt;=Parametri!$B$2,"SI","NO")))</f>
        <v/>
      </c>
      <c r="H148" s="57">
        <f>IF($G148="SI",SUMPRODUCT(MAX(($C$2:$C$200=$C148)*(IFERROR($D$2:$D$200*1,0)=1)*(IFERROR($O$2:$O$200*1,0)&gt;=Parametri!$B$2)*IFERROR($F$2:$F$200*1,0))),0)</f>
        <v/>
      </c>
      <c r="I148" s="57">
        <f>IF($G148="SI",IF($H148&gt;0,30*(IFERROR($F148*1,0)/$H148),0),0)</f>
        <v/>
      </c>
      <c r="J148" s="57">
        <f>IF($A148="",0,IF($G148="SI",ROUND(IFERROR($E148*1,0)+$I148,4),ROUND(IFERROR($E148*1,0),4)))</f>
        <v/>
      </c>
      <c r="K148" s="57">
        <f>IF($A148="","",IF(IFERROR(VALUE($D148),0)&lt;&gt;1,"Non attiva",IF(IFERROR(VALUE($O148),0)&lt;Parametri!$B$2,"Sotto soglia","")))</f>
        <v/>
      </c>
      <c r="L148" s="57">
        <f>IF($A148="","",$A148&amp;"|"&amp;$C148)</f>
        <v/>
      </c>
      <c r="M148" s="57">
        <f>IF($A148="","",$C148&amp;"|"&amp;TEXT($J148,"0.0000"))</f>
        <v/>
      </c>
      <c r="N148" s="57" t="n"/>
      <c r="O148" s="57">
        <f>IF($A148="",0,IFERROR(IF(SUMIFS(CriteriTecnici!$O:$O,CriteriTecnici!$Q:$Q,$A148&amp;"|"&amp;$C148)&gt;0,SUMIFS(CriteriTecnici!$O:$O,CriteriTecnici!$Q:$Q,$A148&amp;"|"&amp;$C148,CriteriTecnici!$F:$F,"Q")+SUMIFS(CriteriTecnici!$O:$O,CriteriTecnici!$Q:$Q,$A148&amp;"|"&amp;$C148,CriteriTecnici!$F:$F,"T"),IFERROR($N148*1,0)),0))</f>
        <v/>
      </c>
      <c r="P148" s="57">
        <f>IF($A148="","",IF(SUMIFS(CriteriTecnici!$O:$O,CriteriTecnici!$Q:$Q,$A148&amp;"|"&amp;$C148)&gt;0,"Criteri A-G","Aggregato"))</f>
        <v/>
      </c>
    </row>
    <row r="149">
      <c r="A149" s="56">
        <f>IF(Compila!$A159="","",Compila!$A159)</f>
        <v/>
      </c>
      <c r="B149" s="56">
        <f>IF(Compila!$A159="","",Compila!$B159)</f>
        <v/>
      </c>
      <c r="C149" s="56">
        <f>IF(Compila!$A159="","",Compila!$C159)</f>
        <v/>
      </c>
      <c r="D149" s="56">
        <f>IF(Compila!$A159="","",Compila!$D159)</f>
        <v/>
      </c>
      <c r="E149" s="57">
        <f>IF($A149="",0,IFERROR(IF(SUMIFS(CriteriTecnici!$O:$O,CriteriTecnici!$Q:$Q,$A149&amp;"|"&amp;$C149)&gt;0,IF($G149="SI",ROUND(IF(SUMPRODUCT(MAX((CriteriTecnici!$C$5:$C$6173=$C149)*(CriteriTecnici!$E$5:$E$6173="A")*(CriteriTecnici!$T$5:$T$6173="SI")*IFERROR(CriteriTecnici!$O$5:$O$6173*1,0)))&gt;0,MIN(7,SUMIFS(CriteriTecnici!$O:$O,CriteriTecnici!$Q:$Q,$A149&amp;"|"&amp;$C149,CriteriTecnici!$E:$E,"A")*(7/SUMPRODUCT(MAX((CriteriTecnici!$C$5:$C$6173=$C149)*(CriteriTecnici!$E$5:$E$6173="A")*(CriteriTecnici!$T$5:$T$6173="SI")*IFERROR(CriteriTecnici!$O$5:$O$6173*1,0))))),0)+IF(SUMPRODUCT(MAX((CriteriTecnici!$C$5:$C$6173=$C149)*(CriteriTecnici!$E$5:$E$6173="B")*(CriteriTecnici!$T$5:$T$6173="SI")*IFERROR(CriteriTecnici!$O$5:$O$6173*1,0)))&gt;0,MIN(14,SUMIFS(CriteriTecnici!$O:$O,CriteriTecnici!$Q:$Q,$A149&amp;"|"&amp;$C149,CriteriTecnici!$E:$E,"B")*(14/SUMPRODUCT(MAX((CriteriTecnici!$C$5:$C$6173=$C149)*(CriteriTecnici!$E$5:$E$6173="B")*(CriteriTecnici!$T$5:$T$6173="SI")*IFERROR(CriteriTecnici!$O$5:$O$6173*1,0))))),0)+IF(SUMPRODUCT(MAX((CriteriTecnici!$C$5:$C$6173=$C149)*(CriteriTecnici!$E$5:$E$6173="C")*(CriteriTecnici!$T$5:$T$6173="SI")*IFERROR(CriteriTecnici!$O$5:$O$6173*1,0)))&gt;0,MIN(14,SUMIFS(CriteriTecnici!$O:$O,CriteriTecnici!$Q:$Q,$A149&amp;"|"&amp;$C149,CriteriTecnici!$E:$E,"C")*(14/SUMPRODUCT(MAX((CriteriTecnici!$C$5:$C$6173=$C149)*(CriteriTecnici!$E$5:$E$6173="C")*(CriteriTecnici!$T$5:$T$6173="SI")*IFERROR(CriteriTecnici!$O$5:$O$6173*1,0))))),0)+IF(SUMPRODUCT(MAX((CriteriTecnici!$C$5:$C$6173=$C149)*(CriteriTecnici!$E$5:$E$6173="D")*(CriteriTecnici!$T$5:$T$6173="SI")*IFERROR(CriteriTecnici!$O$5:$O$6173*1,0)))&gt;0,MIN(10,SUMIFS(CriteriTecnici!$O:$O,CriteriTecnici!$Q:$Q,$A149&amp;"|"&amp;$C149,CriteriTecnici!$E:$E,"D")*(10/SUMPRODUCT(MAX((CriteriTecnici!$C$5:$C$6173=$C149)*(CriteriTecnici!$E$5:$E$6173="D")*(CriteriTecnici!$T$5:$T$6173="SI")*IFERROR(CriteriTecnici!$O$5:$O$6173*1,0))))),0)+IF(SUMPRODUCT(MAX((CriteriTecnici!$C$5:$C$6173=$C149)*(CriteriTecnici!$E$5:$E$6173="E")*(CriteriTecnici!$T$5:$T$6173="SI")*IFERROR(CriteriTecnici!$O$5:$O$6173*1,0)))&gt;0,MIN(4,SUMIFS(CriteriTecnici!$O:$O,CriteriTecnici!$Q:$Q,$A149&amp;"|"&amp;$C149,CriteriTecnici!$E:$E,"E")*(4/SUMPRODUCT(MAX((CriteriTecnici!$C$5:$C$6173=$C149)*(CriteriTecnici!$E$5:$E$6173="E")*(CriteriTecnici!$T$5:$T$6173="SI")*IFERROR(CriteriTecnici!$O$5:$O$6173*1,0))))),0)+IF(SUMPRODUCT(MAX((CriteriTecnici!$C$5:$C$6173=$C149)*(CriteriTecnici!$E$5:$E$6173="F")*(CriteriTecnici!$T$5:$T$6173="SI")*IFERROR(CriteriTecnici!$O$5:$O$6173*1,0)))&gt;0,MIN(14,SUMIFS(CriteriTecnici!$O:$O,CriteriTecnici!$Q:$Q,$A149&amp;"|"&amp;$C149,CriteriTecnici!$E:$E,"F")*(14/SUMPRODUCT(MAX((CriteriTecnici!$C$5:$C$6173=$C149)*(CriteriTecnici!$E$5:$E$6173="F")*(CriteriTecnici!$T$5:$T$6173="SI")*IFERROR(CriteriTecnici!$O$5:$O$6173*1,0))))),0)+IF(SUMPRODUCT(MAX((CriteriTecnici!$C$5:$C$6173=$C149)*(CriteriTecnici!$E$5:$E$6173="G")*(CriteriTecnici!$T$5:$T$6173="SI")*IFERROR(CriteriTecnici!$O$5:$O$6173*1,0)))&gt;0,MIN(7,SUMIFS(CriteriTecnici!$O:$O,CriteriTecnici!$Q:$Q,$A149&amp;"|"&amp;$C149,CriteriTecnici!$E:$E,"G")*(7/SUMPRODUCT(MAX((CriteriTecnici!$C$5:$C$6173=$C149)*(CriteriTecnici!$E$5:$E$6173="G")*(CriteriTecnici!$T$5:$T$6173="SI")*IFERROR(CriteriTecnici!$O$5:$O$6173*1,0))))),0),4),0),IFERROR($N149*1,0)),0))</f>
        <v/>
      </c>
      <c r="F149" s="56">
        <f>IF(Compila!$A159="","",Compila!$E159)</f>
        <v/>
      </c>
      <c r="G149" s="57">
        <f>IF($A149="","",IF(IFERROR(VALUE($D149),0)&lt;&gt;1,"NO",IF(IFERROR(VALUE($O149),0)&gt;=Parametri!$B$2,"SI","NO")))</f>
        <v/>
      </c>
      <c r="H149" s="57">
        <f>IF($G149="SI",SUMPRODUCT(MAX(($C$2:$C$200=$C149)*(IFERROR($D$2:$D$200*1,0)=1)*(IFERROR($O$2:$O$200*1,0)&gt;=Parametri!$B$2)*IFERROR($F$2:$F$200*1,0))),0)</f>
        <v/>
      </c>
      <c r="I149" s="57">
        <f>IF($G149="SI",IF($H149&gt;0,30*(IFERROR($F149*1,0)/$H149),0),0)</f>
        <v/>
      </c>
      <c r="J149" s="57">
        <f>IF($A149="",0,IF($G149="SI",ROUND(IFERROR($E149*1,0)+$I149,4),ROUND(IFERROR($E149*1,0),4)))</f>
        <v/>
      </c>
      <c r="K149" s="57">
        <f>IF($A149="","",IF(IFERROR(VALUE($D149),0)&lt;&gt;1,"Non attiva",IF(IFERROR(VALUE($O149),0)&lt;Parametri!$B$2,"Sotto soglia","")))</f>
        <v/>
      </c>
      <c r="L149" s="57">
        <f>IF($A149="","",$A149&amp;"|"&amp;$C149)</f>
        <v/>
      </c>
      <c r="M149" s="57">
        <f>IF($A149="","",$C149&amp;"|"&amp;TEXT($J149,"0.0000"))</f>
        <v/>
      </c>
      <c r="N149" s="57" t="n"/>
      <c r="O149" s="57">
        <f>IF($A149="",0,IFERROR(IF(SUMIFS(CriteriTecnici!$O:$O,CriteriTecnici!$Q:$Q,$A149&amp;"|"&amp;$C149)&gt;0,SUMIFS(CriteriTecnici!$O:$O,CriteriTecnici!$Q:$Q,$A149&amp;"|"&amp;$C149,CriteriTecnici!$F:$F,"Q")+SUMIFS(CriteriTecnici!$O:$O,CriteriTecnici!$Q:$Q,$A149&amp;"|"&amp;$C149,CriteriTecnici!$F:$F,"T"),IFERROR($N149*1,0)),0))</f>
        <v/>
      </c>
      <c r="P149" s="57">
        <f>IF($A149="","",IF(SUMIFS(CriteriTecnici!$O:$O,CriteriTecnici!$Q:$Q,$A149&amp;"|"&amp;$C149)&gt;0,"Criteri A-G","Aggregato"))</f>
        <v/>
      </c>
    </row>
    <row r="150">
      <c r="A150" s="56">
        <f>IF(Compila!$A160="","",Compila!$A160)</f>
        <v/>
      </c>
      <c r="B150" s="56">
        <f>IF(Compila!$A160="","",Compila!$B160)</f>
        <v/>
      </c>
      <c r="C150" s="56">
        <f>IF(Compila!$A160="","",Compila!$C160)</f>
        <v/>
      </c>
      <c r="D150" s="56">
        <f>IF(Compila!$A160="","",Compila!$D160)</f>
        <v/>
      </c>
      <c r="E150" s="57">
        <f>IF($A150="",0,IFERROR(IF(SUMIFS(CriteriTecnici!$O:$O,CriteriTecnici!$Q:$Q,$A150&amp;"|"&amp;$C150)&gt;0,IF($G150="SI",ROUND(IF(SUMPRODUCT(MAX((CriteriTecnici!$C$5:$C$6173=$C150)*(CriteriTecnici!$E$5:$E$6173="A")*(CriteriTecnici!$T$5:$T$6173="SI")*IFERROR(CriteriTecnici!$O$5:$O$6173*1,0)))&gt;0,MIN(7,SUMIFS(CriteriTecnici!$O:$O,CriteriTecnici!$Q:$Q,$A150&amp;"|"&amp;$C150,CriteriTecnici!$E:$E,"A")*(7/SUMPRODUCT(MAX((CriteriTecnici!$C$5:$C$6173=$C150)*(CriteriTecnici!$E$5:$E$6173="A")*(CriteriTecnici!$T$5:$T$6173="SI")*IFERROR(CriteriTecnici!$O$5:$O$6173*1,0))))),0)+IF(SUMPRODUCT(MAX((CriteriTecnici!$C$5:$C$6173=$C150)*(CriteriTecnici!$E$5:$E$6173="B")*(CriteriTecnici!$T$5:$T$6173="SI")*IFERROR(CriteriTecnici!$O$5:$O$6173*1,0)))&gt;0,MIN(14,SUMIFS(CriteriTecnici!$O:$O,CriteriTecnici!$Q:$Q,$A150&amp;"|"&amp;$C150,CriteriTecnici!$E:$E,"B")*(14/SUMPRODUCT(MAX((CriteriTecnici!$C$5:$C$6173=$C150)*(CriteriTecnici!$E$5:$E$6173="B")*(CriteriTecnici!$T$5:$T$6173="SI")*IFERROR(CriteriTecnici!$O$5:$O$6173*1,0))))),0)+IF(SUMPRODUCT(MAX((CriteriTecnici!$C$5:$C$6173=$C150)*(CriteriTecnici!$E$5:$E$6173="C")*(CriteriTecnici!$T$5:$T$6173="SI")*IFERROR(CriteriTecnici!$O$5:$O$6173*1,0)))&gt;0,MIN(14,SUMIFS(CriteriTecnici!$O:$O,CriteriTecnici!$Q:$Q,$A150&amp;"|"&amp;$C150,CriteriTecnici!$E:$E,"C")*(14/SUMPRODUCT(MAX((CriteriTecnici!$C$5:$C$6173=$C150)*(CriteriTecnici!$E$5:$E$6173="C")*(CriteriTecnici!$T$5:$T$6173="SI")*IFERROR(CriteriTecnici!$O$5:$O$6173*1,0))))),0)+IF(SUMPRODUCT(MAX((CriteriTecnici!$C$5:$C$6173=$C150)*(CriteriTecnici!$E$5:$E$6173="D")*(CriteriTecnici!$T$5:$T$6173="SI")*IFERROR(CriteriTecnici!$O$5:$O$6173*1,0)))&gt;0,MIN(10,SUMIFS(CriteriTecnici!$O:$O,CriteriTecnici!$Q:$Q,$A150&amp;"|"&amp;$C150,CriteriTecnici!$E:$E,"D")*(10/SUMPRODUCT(MAX((CriteriTecnici!$C$5:$C$6173=$C150)*(CriteriTecnici!$E$5:$E$6173="D")*(CriteriTecnici!$T$5:$T$6173="SI")*IFERROR(CriteriTecnici!$O$5:$O$6173*1,0))))),0)+IF(SUMPRODUCT(MAX((CriteriTecnici!$C$5:$C$6173=$C150)*(CriteriTecnici!$E$5:$E$6173="E")*(CriteriTecnici!$T$5:$T$6173="SI")*IFERROR(CriteriTecnici!$O$5:$O$6173*1,0)))&gt;0,MIN(4,SUMIFS(CriteriTecnici!$O:$O,CriteriTecnici!$Q:$Q,$A150&amp;"|"&amp;$C150,CriteriTecnici!$E:$E,"E")*(4/SUMPRODUCT(MAX((CriteriTecnici!$C$5:$C$6173=$C150)*(CriteriTecnici!$E$5:$E$6173="E")*(CriteriTecnici!$T$5:$T$6173="SI")*IFERROR(CriteriTecnici!$O$5:$O$6173*1,0))))),0)+IF(SUMPRODUCT(MAX((CriteriTecnici!$C$5:$C$6173=$C150)*(CriteriTecnici!$E$5:$E$6173="F")*(CriteriTecnici!$T$5:$T$6173="SI")*IFERROR(CriteriTecnici!$O$5:$O$6173*1,0)))&gt;0,MIN(14,SUMIFS(CriteriTecnici!$O:$O,CriteriTecnici!$Q:$Q,$A150&amp;"|"&amp;$C150,CriteriTecnici!$E:$E,"F")*(14/SUMPRODUCT(MAX((CriteriTecnici!$C$5:$C$6173=$C150)*(CriteriTecnici!$E$5:$E$6173="F")*(CriteriTecnici!$T$5:$T$6173="SI")*IFERROR(CriteriTecnici!$O$5:$O$6173*1,0))))),0)+IF(SUMPRODUCT(MAX((CriteriTecnici!$C$5:$C$6173=$C150)*(CriteriTecnici!$E$5:$E$6173="G")*(CriteriTecnici!$T$5:$T$6173="SI")*IFERROR(CriteriTecnici!$O$5:$O$6173*1,0)))&gt;0,MIN(7,SUMIFS(CriteriTecnici!$O:$O,CriteriTecnici!$Q:$Q,$A150&amp;"|"&amp;$C150,CriteriTecnici!$E:$E,"G")*(7/SUMPRODUCT(MAX((CriteriTecnici!$C$5:$C$6173=$C150)*(CriteriTecnici!$E$5:$E$6173="G")*(CriteriTecnici!$T$5:$T$6173="SI")*IFERROR(CriteriTecnici!$O$5:$O$6173*1,0))))),0),4),0),IFERROR($N150*1,0)),0))</f>
        <v/>
      </c>
      <c r="F150" s="56">
        <f>IF(Compila!$A160="","",Compila!$E160)</f>
        <v/>
      </c>
      <c r="G150" s="57">
        <f>IF($A150="","",IF(IFERROR(VALUE($D150),0)&lt;&gt;1,"NO",IF(IFERROR(VALUE($O150),0)&gt;=Parametri!$B$2,"SI","NO")))</f>
        <v/>
      </c>
      <c r="H150" s="57">
        <f>IF($G150="SI",SUMPRODUCT(MAX(($C$2:$C$200=$C150)*(IFERROR($D$2:$D$200*1,0)=1)*(IFERROR($O$2:$O$200*1,0)&gt;=Parametri!$B$2)*IFERROR($F$2:$F$200*1,0))),0)</f>
        <v/>
      </c>
      <c r="I150" s="57">
        <f>IF($G150="SI",IF($H150&gt;0,30*(IFERROR($F150*1,0)/$H150),0),0)</f>
        <v/>
      </c>
      <c r="J150" s="57">
        <f>IF($A150="",0,IF($G150="SI",ROUND(IFERROR($E150*1,0)+$I150,4),ROUND(IFERROR($E150*1,0),4)))</f>
        <v/>
      </c>
      <c r="K150" s="57">
        <f>IF($A150="","",IF(IFERROR(VALUE($D150),0)&lt;&gt;1,"Non attiva",IF(IFERROR(VALUE($O150),0)&lt;Parametri!$B$2,"Sotto soglia","")))</f>
        <v/>
      </c>
      <c r="L150" s="57">
        <f>IF($A150="","",$A150&amp;"|"&amp;$C150)</f>
        <v/>
      </c>
      <c r="M150" s="57">
        <f>IF($A150="","",$C150&amp;"|"&amp;TEXT($J150,"0.0000"))</f>
        <v/>
      </c>
      <c r="N150" s="57" t="n"/>
      <c r="O150" s="57">
        <f>IF($A150="",0,IFERROR(IF(SUMIFS(CriteriTecnici!$O:$O,CriteriTecnici!$Q:$Q,$A150&amp;"|"&amp;$C150)&gt;0,SUMIFS(CriteriTecnici!$O:$O,CriteriTecnici!$Q:$Q,$A150&amp;"|"&amp;$C150,CriteriTecnici!$F:$F,"Q")+SUMIFS(CriteriTecnici!$O:$O,CriteriTecnici!$Q:$Q,$A150&amp;"|"&amp;$C150,CriteriTecnici!$F:$F,"T"),IFERROR($N150*1,0)),0))</f>
        <v/>
      </c>
      <c r="P150" s="57">
        <f>IF($A150="","",IF(SUMIFS(CriteriTecnici!$O:$O,CriteriTecnici!$Q:$Q,$A150&amp;"|"&amp;$C150)&gt;0,"Criteri A-G","Aggregato"))</f>
        <v/>
      </c>
    </row>
    <row r="151">
      <c r="A151" s="56">
        <f>IF(Compila!$A161="","",Compila!$A161)</f>
        <v/>
      </c>
      <c r="B151" s="56">
        <f>IF(Compila!$A161="","",Compila!$B161)</f>
        <v/>
      </c>
      <c r="C151" s="56">
        <f>IF(Compila!$A161="","",Compila!$C161)</f>
        <v/>
      </c>
      <c r="D151" s="56">
        <f>IF(Compila!$A161="","",Compila!$D161)</f>
        <v/>
      </c>
      <c r="E151" s="57">
        <f>IF($A151="",0,IFERROR(IF(SUMIFS(CriteriTecnici!$O:$O,CriteriTecnici!$Q:$Q,$A151&amp;"|"&amp;$C151)&gt;0,IF($G151="SI",ROUND(IF(SUMPRODUCT(MAX((CriteriTecnici!$C$5:$C$6173=$C151)*(CriteriTecnici!$E$5:$E$6173="A")*(CriteriTecnici!$T$5:$T$6173="SI")*IFERROR(CriteriTecnici!$O$5:$O$6173*1,0)))&gt;0,MIN(7,SUMIFS(CriteriTecnici!$O:$O,CriteriTecnici!$Q:$Q,$A151&amp;"|"&amp;$C151,CriteriTecnici!$E:$E,"A")*(7/SUMPRODUCT(MAX((CriteriTecnici!$C$5:$C$6173=$C151)*(CriteriTecnici!$E$5:$E$6173="A")*(CriteriTecnici!$T$5:$T$6173="SI")*IFERROR(CriteriTecnici!$O$5:$O$6173*1,0))))),0)+IF(SUMPRODUCT(MAX((CriteriTecnici!$C$5:$C$6173=$C151)*(CriteriTecnici!$E$5:$E$6173="B")*(CriteriTecnici!$T$5:$T$6173="SI")*IFERROR(CriteriTecnici!$O$5:$O$6173*1,0)))&gt;0,MIN(14,SUMIFS(CriteriTecnici!$O:$O,CriteriTecnici!$Q:$Q,$A151&amp;"|"&amp;$C151,CriteriTecnici!$E:$E,"B")*(14/SUMPRODUCT(MAX((CriteriTecnici!$C$5:$C$6173=$C151)*(CriteriTecnici!$E$5:$E$6173="B")*(CriteriTecnici!$T$5:$T$6173="SI")*IFERROR(CriteriTecnici!$O$5:$O$6173*1,0))))),0)+IF(SUMPRODUCT(MAX((CriteriTecnici!$C$5:$C$6173=$C151)*(CriteriTecnici!$E$5:$E$6173="C")*(CriteriTecnici!$T$5:$T$6173="SI")*IFERROR(CriteriTecnici!$O$5:$O$6173*1,0)))&gt;0,MIN(14,SUMIFS(CriteriTecnici!$O:$O,CriteriTecnici!$Q:$Q,$A151&amp;"|"&amp;$C151,CriteriTecnici!$E:$E,"C")*(14/SUMPRODUCT(MAX((CriteriTecnici!$C$5:$C$6173=$C151)*(CriteriTecnici!$E$5:$E$6173="C")*(CriteriTecnici!$T$5:$T$6173="SI")*IFERROR(CriteriTecnici!$O$5:$O$6173*1,0))))),0)+IF(SUMPRODUCT(MAX((CriteriTecnici!$C$5:$C$6173=$C151)*(CriteriTecnici!$E$5:$E$6173="D")*(CriteriTecnici!$T$5:$T$6173="SI")*IFERROR(CriteriTecnici!$O$5:$O$6173*1,0)))&gt;0,MIN(10,SUMIFS(CriteriTecnici!$O:$O,CriteriTecnici!$Q:$Q,$A151&amp;"|"&amp;$C151,CriteriTecnici!$E:$E,"D")*(10/SUMPRODUCT(MAX((CriteriTecnici!$C$5:$C$6173=$C151)*(CriteriTecnici!$E$5:$E$6173="D")*(CriteriTecnici!$T$5:$T$6173="SI")*IFERROR(CriteriTecnici!$O$5:$O$6173*1,0))))),0)+IF(SUMPRODUCT(MAX((CriteriTecnici!$C$5:$C$6173=$C151)*(CriteriTecnici!$E$5:$E$6173="E")*(CriteriTecnici!$T$5:$T$6173="SI")*IFERROR(CriteriTecnici!$O$5:$O$6173*1,0)))&gt;0,MIN(4,SUMIFS(CriteriTecnici!$O:$O,CriteriTecnici!$Q:$Q,$A151&amp;"|"&amp;$C151,CriteriTecnici!$E:$E,"E")*(4/SUMPRODUCT(MAX((CriteriTecnici!$C$5:$C$6173=$C151)*(CriteriTecnici!$E$5:$E$6173="E")*(CriteriTecnici!$T$5:$T$6173="SI")*IFERROR(CriteriTecnici!$O$5:$O$6173*1,0))))),0)+IF(SUMPRODUCT(MAX((CriteriTecnici!$C$5:$C$6173=$C151)*(CriteriTecnici!$E$5:$E$6173="F")*(CriteriTecnici!$T$5:$T$6173="SI")*IFERROR(CriteriTecnici!$O$5:$O$6173*1,0)))&gt;0,MIN(14,SUMIFS(CriteriTecnici!$O:$O,CriteriTecnici!$Q:$Q,$A151&amp;"|"&amp;$C151,CriteriTecnici!$E:$E,"F")*(14/SUMPRODUCT(MAX((CriteriTecnici!$C$5:$C$6173=$C151)*(CriteriTecnici!$E$5:$E$6173="F")*(CriteriTecnici!$T$5:$T$6173="SI")*IFERROR(CriteriTecnici!$O$5:$O$6173*1,0))))),0)+IF(SUMPRODUCT(MAX((CriteriTecnici!$C$5:$C$6173=$C151)*(CriteriTecnici!$E$5:$E$6173="G")*(CriteriTecnici!$T$5:$T$6173="SI")*IFERROR(CriteriTecnici!$O$5:$O$6173*1,0)))&gt;0,MIN(7,SUMIFS(CriteriTecnici!$O:$O,CriteriTecnici!$Q:$Q,$A151&amp;"|"&amp;$C151,CriteriTecnici!$E:$E,"G")*(7/SUMPRODUCT(MAX((CriteriTecnici!$C$5:$C$6173=$C151)*(CriteriTecnici!$E$5:$E$6173="G")*(CriteriTecnici!$T$5:$T$6173="SI")*IFERROR(CriteriTecnici!$O$5:$O$6173*1,0))))),0),4),0),IFERROR($N151*1,0)),0))</f>
        <v/>
      </c>
      <c r="F151" s="56">
        <f>IF(Compila!$A161="","",Compila!$E161)</f>
        <v/>
      </c>
      <c r="G151" s="57">
        <f>IF($A151="","",IF(IFERROR(VALUE($D151),0)&lt;&gt;1,"NO",IF(IFERROR(VALUE($O151),0)&gt;=Parametri!$B$2,"SI","NO")))</f>
        <v/>
      </c>
      <c r="H151" s="57">
        <f>IF($G151="SI",SUMPRODUCT(MAX(($C$2:$C$200=$C151)*(IFERROR($D$2:$D$200*1,0)=1)*(IFERROR($O$2:$O$200*1,0)&gt;=Parametri!$B$2)*IFERROR($F$2:$F$200*1,0))),0)</f>
        <v/>
      </c>
      <c r="I151" s="57">
        <f>IF($G151="SI",IF($H151&gt;0,30*(IFERROR($F151*1,0)/$H151),0),0)</f>
        <v/>
      </c>
      <c r="J151" s="57">
        <f>IF($A151="",0,IF($G151="SI",ROUND(IFERROR($E151*1,0)+$I151,4),ROUND(IFERROR($E151*1,0),4)))</f>
        <v/>
      </c>
      <c r="K151" s="57">
        <f>IF($A151="","",IF(IFERROR(VALUE($D151),0)&lt;&gt;1,"Non attiva",IF(IFERROR(VALUE($O151),0)&lt;Parametri!$B$2,"Sotto soglia","")))</f>
        <v/>
      </c>
      <c r="L151" s="57">
        <f>IF($A151="","",$A151&amp;"|"&amp;$C151)</f>
        <v/>
      </c>
      <c r="M151" s="57">
        <f>IF($A151="","",$C151&amp;"|"&amp;TEXT($J151,"0.0000"))</f>
        <v/>
      </c>
      <c r="N151" s="57" t="n"/>
      <c r="O151" s="57">
        <f>IF($A151="",0,IFERROR(IF(SUMIFS(CriteriTecnici!$O:$O,CriteriTecnici!$Q:$Q,$A151&amp;"|"&amp;$C151)&gt;0,SUMIFS(CriteriTecnici!$O:$O,CriteriTecnici!$Q:$Q,$A151&amp;"|"&amp;$C151,CriteriTecnici!$F:$F,"Q")+SUMIFS(CriteriTecnici!$O:$O,CriteriTecnici!$Q:$Q,$A151&amp;"|"&amp;$C151,CriteriTecnici!$F:$F,"T"),IFERROR($N151*1,0)),0))</f>
        <v/>
      </c>
      <c r="P151" s="57">
        <f>IF($A151="","",IF(SUMIFS(CriteriTecnici!$O:$O,CriteriTecnici!$Q:$Q,$A151&amp;"|"&amp;$C151)&gt;0,"Criteri A-G","Aggregato"))</f>
        <v/>
      </c>
    </row>
    <row r="152">
      <c r="A152" s="56">
        <f>IF(Compila!$A162="","",Compila!$A162)</f>
        <v/>
      </c>
      <c r="B152" s="56">
        <f>IF(Compila!$A162="","",Compila!$B162)</f>
        <v/>
      </c>
      <c r="C152" s="56">
        <f>IF(Compila!$A162="","",Compila!$C162)</f>
        <v/>
      </c>
      <c r="D152" s="56">
        <f>IF(Compila!$A162="","",Compila!$D162)</f>
        <v/>
      </c>
      <c r="E152" s="57">
        <f>IF($A152="",0,IFERROR(IF(SUMIFS(CriteriTecnici!$O:$O,CriteriTecnici!$Q:$Q,$A152&amp;"|"&amp;$C152)&gt;0,IF($G152="SI",ROUND(IF(SUMPRODUCT(MAX((CriteriTecnici!$C$5:$C$6173=$C152)*(CriteriTecnici!$E$5:$E$6173="A")*(CriteriTecnici!$T$5:$T$6173="SI")*IFERROR(CriteriTecnici!$O$5:$O$6173*1,0)))&gt;0,MIN(7,SUMIFS(CriteriTecnici!$O:$O,CriteriTecnici!$Q:$Q,$A152&amp;"|"&amp;$C152,CriteriTecnici!$E:$E,"A")*(7/SUMPRODUCT(MAX((CriteriTecnici!$C$5:$C$6173=$C152)*(CriteriTecnici!$E$5:$E$6173="A")*(CriteriTecnici!$T$5:$T$6173="SI")*IFERROR(CriteriTecnici!$O$5:$O$6173*1,0))))),0)+IF(SUMPRODUCT(MAX((CriteriTecnici!$C$5:$C$6173=$C152)*(CriteriTecnici!$E$5:$E$6173="B")*(CriteriTecnici!$T$5:$T$6173="SI")*IFERROR(CriteriTecnici!$O$5:$O$6173*1,0)))&gt;0,MIN(14,SUMIFS(CriteriTecnici!$O:$O,CriteriTecnici!$Q:$Q,$A152&amp;"|"&amp;$C152,CriteriTecnici!$E:$E,"B")*(14/SUMPRODUCT(MAX((CriteriTecnici!$C$5:$C$6173=$C152)*(CriteriTecnici!$E$5:$E$6173="B")*(CriteriTecnici!$T$5:$T$6173="SI")*IFERROR(CriteriTecnici!$O$5:$O$6173*1,0))))),0)+IF(SUMPRODUCT(MAX((CriteriTecnici!$C$5:$C$6173=$C152)*(CriteriTecnici!$E$5:$E$6173="C")*(CriteriTecnici!$T$5:$T$6173="SI")*IFERROR(CriteriTecnici!$O$5:$O$6173*1,0)))&gt;0,MIN(14,SUMIFS(CriteriTecnici!$O:$O,CriteriTecnici!$Q:$Q,$A152&amp;"|"&amp;$C152,CriteriTecnici!$E:$E,"C")*(14/SUMPRODUCT(MAX((CriteriTecnici!$C$5:$C$6173=$C152)*(CriteriTecnici!$E$5:$E$6173="C")*(CriteriTecnici!$T$5:$T$6173="SI")*IFERROR(CriteriTecnici!$O$5:$O$6173*1,0))))),0)+IF(SUMPRODUCT(MAX((CriteriTecnici!$C$5:$C$6173=$C152)*(CriteriTecnici!$E$5:$E$6173="D")*(CriteriTecnici!$T$5:$T$6173="SI")*IFERROR(CriteriTecnici!$O$5:$O$6173*1,0)))&gt;0,MIN(10,SUMIFS(CriteriTecnici!$O:$O,CriteriTecnici!$Q:$Q,$A152&amp;"|"&amp;$C152,CriteriTecnici!$E:$E,"D")*(10/SUMPRODUCT(MAX((CriteriTecnici!$C$5:$C$6173=$C152)*(CriteriTecnici!$E$5:$E$6173="D")*(CriteriTecnici!$T$5:$T$6173="SI")*IFERROR(CriteriTecnici!$O$5:$O$6173*1,0))))),0)+IF(SUMPRODUCT(MAX((CriteriTecnici!$C$5:$C$6173=$C152)*(CriteriTecnici!$E$5:$E$6173="E")*(CriteriTecnici!$T$5:$T$6173="SI")*IFERROR(CriteriTecnici!$O$5:$O$6173*1,0)))&gt;0,MIN(4,SUMIFS(CriteriTecnici!$O:$O,CriteriTecnici!$Q:$Q,$A152&amp;"|"&amp;$C152,CriteriTecnici!$E:$E,"E")*(4/SUMPRODUCT(MAX((CriteriTecnici!$C$5:$C$6173=$C152)*(CriteriTecnici!$E$5:$E$6173="E")*(CriteriTecnici!$T$5:$T$6173="SI")*IFERROR(CriteriTecnici!$O$5:$O$6173*1,0))))),0)+IF(SUMPRODUCT(MAX((CriteriTecnici!$C$5:$C$6173=$C152)*(CriteriTecnici!$E$5:$E$6173="F")*(CriteriTecnici!$T$5:$T$6173="SI")*IFERROR(CriteriTecnici!$O$5:$O$6173*1,0)))&gt;0,MIN(14,SUMIFS(CriteriTecnici!$O:$O,CriteriTecnici!$Q:$Q,$A152&amp;"|"&amp;$C152,CriteriTecnici!$E:$E,"F")*(14/SUMPRODUCT(MAX((CriteriTecnici!$C$5:$C$6173=$C152)*(CriteriTecnici!$E$5:$E$6173="F")*(CriteriTecnici!$T$5:$T$6173="SI")*IFERROR(CriteriTecnici!$O$5:$O$6173*1,0))))),0)+IF(SUMPRODUCT(MAX((CriteriTecnici!$C$5:$C$6173=$C152)*(CriteriTecnici!$E$5:$E$6173="G")*(CriteriTecnici!$T$5:$T$6173="SI")*IFERROR(CriteriTecnici!$O$5:$O$6173*1,0)))&gt;0,MIN(7,SUMIFS(CriteriTecnici!$O:$O,CriteriTecnici!$Q:$Q,$A152&amp;"|"&amp;$C152,CriteriTecnici!$E:$E,"G")*(7/SUMPRODUCT(MAX((CriteriTecnici!$C$5:$C$6173=$C152)*(CriteriTecnici!$E$5:$E$6173="G")*(CriteriTecnici!$T$5:$T$6173="SI")*IFERROR(CriteriTecnici!$O$5:$O$6173*1,0))))),0),4),0),IFERROR($N152*1,0)),0))</f>
        <v/>
      </c>
      <c r="F152" s="56">
        <f>IF(Compila!$A162="","",Compila!$E162)</f>
        <v/>
      </c>
      <c r="G152" s="57">
        <f>IF($A152="","",IF(IFERROR(VALUE($D152),0)&lt;&gt;1,"NO",IF(IFERROR(VALUE($O152),0)&gt;=Parametri!$B$2,"SI","NO")))</f>
        <v/>
      </c>
      <c r="H152" s="57">
        <f>IF($G152="SI",SUMPRODUCT(MAX(($C$2:$C$200=$C152)*(IFERROR($D$2:$D$200*1,0)=1)*(IFERROR($O$2:$O$200*1,0)&gt;=Parametri!$B$2)*IFERROR($F$2:$F$200*1,0))),0)</f>
        <v/>
      </c>
      <c r="I152" s="57">
        <f>IF($G152="SI",IF($H152&gt;0,30*(IFERROR($F152*1,0)/$H152),0),0)</f>
        <v/>
      </c>
      <c r="J152" s="57">
        <f>IF($A152="",0,IF($G152="SI",ROUND(IFERROR($E152*1,0)+$I152,4),ROUND(IFERROR($E152*1,0),4)))</f>
        <v/>
      </c>
      <c r="K152" s="57">
        <f>IF($A152="","",IF(IFERROR(VALUE($D152),0)&lt;&gt;1,"Non attiva",IF(IFERROR(VALUE($O152),0)&lt;Parametri!$B$2,"Sotto soglia","")))</f>
        <v/>
      </c>
      <c r="L152" s="57">
        <f>IF($A152="","",$A152&amp;"|"&amp;$C152)</f>
        <v/>
      </c>
      <c r="M152" s="57">
        <f>IF($A152="","",$C152&amp;"|"&amp;TEXT($J152,"0.0000"))</f>
        <v/>
      </c>
      <c r="N152" s="57" t="n"/>
      <c r="O152" s="57">
        <f>IF($A152="",0,IFERROR(IF(SUMIFS(CriteriTecnici!$O:$O,CriteriTecnici!$Q:$Q,$A152&amp;"|"&amp;$C152)&gt;0,SUMIFS(CriteriTecnici!$O:$O,CriteriTecnici!$Q:$Q,$A152&amp;"|"&amp;$C152,CriteriTecnici!$F:$F,"Q")+SUMIFS(CriteriTecnici!$O:$O,CriteriTecnici!$Q:$Q,$A152&amp;"|"&amp;$C152,CriteriTecnici!$F:$F,"T"),IFERROR($N152*1,0)),0))</f>
        <v/>
      </c>
      <c r="P152" s="57">
        <f>IF($A152="","",IF(SUMIFS(CriteriTecnici!$O:$O,CriteriTecnici!$Q:$Q,$A152&amp;"|"&amp;$C152)&gt;0,"Criteri A-G","Aggregato"))</f>
        <v/>
      </c>
    </row>
    <row r="153">
      <c r="A153" s="56">
        <f>IF(Compila!$A163="","",Compila!$A163)</f>
        <v/>
      </c>
      <c r="B153" s="56">
        <f>IF(Compila!$A163="","",Compila!$B163)</f>
        <v/>
      </c>
      <c r="C153" s="56">
        <f>IF(Compila!$A163="","",Compila!$C163)</f>
        <v/>
      </c>
      <c r="D153" s="56">
        <f>IF(Compila!$A163="","",Compila!$D163)</f>
        <v/>
      </c>
      <c r="E153" s="57">
        <f>IF($A153="",0,IFERROR(IF(SUMIFS(CriteriTecnici!$O:$O,CriteriTecnici!$Q:$Q,$A153&amp;"|"&amp;$C153)&gt;0,IF($G153="SI",ROUND(IF(SUMPRODUCT(MAX((CriteriTecnici!$C$5:$C$6173=$C153)*(CriteriTecnici!$E$5:$E$6173="A")*(CriteriTecnici!$T$5:$T$6173="SI")*IFERROR(CriteriTecnici!$O$5:$O$6173*1,0)))&gt;0,MIN(7,SUMIFS(CriteriTecnici!$O:$O,CriteriTecnici!$Q:$Q,$A153&amp;"|"&amp;$C153,CriteriTecnici!$E:$E,"A")*(7/SUMPRODUCT(MAX((CriteriTecnici!$C$5:$C$6173=$C153)*(CriteriTecnici!$E$5:$E$6173="A")*(CriteriTecnici!$T$5:$T$6173="SI")*IFERROR(CriteriTecnici!$O$5:$O$6173*1,0))))),0)+IF(SUMPRODUCT(MAX((CriteriTecnici!$C$5:$C$6173=$C153)*(CriteriTecnici!$E$5:$E$6173="B")*(CriteriTecnici!$T$5:$T$6173="SI")*IFERROR(CriteriTecnici!$O$5:$O$6173*1,0)))&gt;0,MIN(14,SUMIFS(CriteriTecnici!$O:$O,CriteriTecnici!$Q:$Q,$A153&amp;"|"&amp;$C153,CriteriTecnici!$E:$E,"B")*(14/SUMPRODUCT(MAX((CriteriTecnici!$C$5:$C$6173=$C153)*(CriteriTecnici!$E$5:$E$6173="B")*(CriteriTecnici!$T$5:$T$6173="SI")*IFERROR(CriteriTecnici!$O$5:$O$6173*1,0))))),0)+IF(SUMPRODUCT(MAX((CriteriTecnici!$C$5:$C$6173=$C153)*(CriteriTecnici!$E$5:$E$6173="C")*(CriteriTecnici!$T$5:$T$6173="SI")*IFERROR(CriteriTecnici!$O$5:$O$6173*1,0)))&gt;0,MIN(14,SUMIFS(CriteriTecnici!$O:$O,CriteriTecnici!$Q:$Q,$A153&amp;"|"&amp;$C153,CriteriTecnici!$E:$E,"C")*(14/SUMPRODUCT(MAX((CriteriTecnici!$C$5:$C$6173=$C153)*(CriteriTecnici!$E$5:$E$6173="C")*(CriteriTecnici!$T$5:$T$6173="SI")*IFERROR(CriteriTecnici!$O$5:$O$6173*1,0))))),0)+IF(SUMPRODUCT(MAX((CriteriTecnici!$C$5:$C$6173=$C153)*(CriteriTecnici!$E$5:$E$6173="D")*(CriteriTecnici!$T$5:$T$6173="SI")*IFERROR(CriteriTecnici!$O$5:$O$6173*1,0)))&gt;0,MIN(10,SUMIFS(CriteriTecnici!$O:$O,CriteriTecnici!$Q:$Q,$A153&amp;"|"&amp;$C153,CriteriTecnici!$E:$E,"D")*(10/SUMPRODUCT(MAX((CriteriTecnici!$C$5:$C$6173=$C153)*(CriteriTecnici!$E$5:$E$6173="D")*(CriteriTecnici!$T$5:$T$6173="SI")*IFERROR(CriteriTecnici!$O$5:$O$6173*1,0))))),0)+IF(SUMPRODUCT(MAX((CriteriTecnici!$C$5:$C$6173=$C153)*(CriteriTecnici!$E$5:$E$6173="E")*(CriteriTecnici!$T$5:$T$6173="SI")*IFERROR(CriteriTecnici!$O$5:$O$6173*1,0)))&gt;0,MIN(4,SUMIFS(CriteriTecnici!$O:$O,CriteriTecnici!$Q:$Q,$A153&amp;"|"&amp;$C153,CriteriTecnici!$E:$E,"E")*(4/SUMPRODUCT(MAX((CriteriTecnici!$C$5:$C$6173=$C153)*(CriteriTecnici!$E$5:$E$6173="E")*(CriteriTecnici!$T$5:$T$6173="SI")*IFERROR(CriteriTecnici!$O$5:$O$6173*1,0))))),0)+IF(SUMPRODUCT(MAX((CriteriTecnici!$C$5:$C$6173=$C153)*(CriteriTecnici!$E$5:$E$6173="F")*(CriteriTecnici!$T$5:$T$6173="SI")*IFERROR(CriteriTecnici!$O$5:$O$6173*1,0)))&gt;0,MIN(14,SUMIFS(CriteriTecnici!$O:$O,CriteriTecnici!$Q:$Q,$A153&amp;"|"&amp;$C153,CriteriTecnici!$E:$E,"F")*(14/SUMPRODUCT(MAX((CriteriTecnici!$C$5:$C$6173=$C153)*(CriteriTecnici!$E$5:$E$6173="F")*(CriteriTecnici!$T$5:$T$6173="SI")*IFERROR(CriteriTecnici!$O$5:$O$6173*1,0))))),0)+IF(SUMPRODUCT(MAX((CriteriTecnici!$C$5:$C$6173=$C153)*(CriteriTecnici!$E$5:$E$6173="G")*(CriteriTecnici!$T$5:$T$6173="SI")*IFERROR(CriteriTecnici!$O$5:$O$6173*1,0)))&gt;0,MIN(7,SUMIFS(CriteriTecnici!$O:$O,CriteriTecnici!$Q:$Q,$A153&amp;"|"&amp;$C153,CriteriTecnici!$E:$E,"G")*(7/SUMPRODUCT(MAX((CriteriTecnici!$C$5:$C$6173=$C153)*(CriteriTecnici!$E$5:$E$6173="G")*(CriteriTecnici!$T$5:$T$6173="SI")*IFERROR(CriteriTecnici!$O$5:$O$6173*1,0))))),0),4),0),IFERROR($N153*1,0)),0))</f>
        <v/>
      </c>
      <c r="F153" s="56">
        <f>IF(Compila!$A163="","",Compila!$E163)</f>
        <v/>
      </c>
      <c r="G153" s="57">
        <f>IF($A153="","",IF(IFERROR(VALUE($D153),0)&lt;&gt;1,"NO",IF(IFERROR(VALUE($O153),0)&gt;=Parametri!$B$2,"SI","NO")))</f>
        <v/>
      </c>
      <c r="H153" s="57">
        <f>IF($G153="SI",SUMPRODUCT(MAX(($C$2:$C$200=$C153)*(IFERROR($D$2:$D$200*1,0)=1)*(IFERROR($O$2:$O$200*1,0)&gt;=Parametri!$B$2)*IFERROR($F$2:$F$200*1,0))),0)</f>
        <v/>
      </c>
      <c r="I153" s="57">
        <f>IF($G153="SI",IF($H153&gt;0,30*(IFERROR($F153*1,0)/$H153),0),0)</f>
        <v/>
      </c>
      <c r="J153" s="57">
        <f>IF($A153="",0,IF($G153="SI",ROUND(IFERROR($E153*1,0)+$I153,4),ROUND(IFERROR($E153*1,0),4)))</f>
        <v/>
      </c>
      <c r="K153" s="57">
        <f>IF($A153="","",IF(IFERROR(VALUE($D153),0)&lt;&gt;1,"Non attiva",IF(IFERROR(VALUE($O153),0)&lt;Parametri!$B$2,"Sotto soglia","")))</f>
        <v/>
      </c>
      <c r="L153" s="57">
        <f>IF($A153="","",$A153&amp;"|"&amp;$C153)</f>
        <v/>
      </c>
      <c r="M153" s="57">
        <f>IF($A153="","",$C153&amp;"|"&amp;TEXT($J153,"0.0000"))</f>
        <v/>
      </c>
      <c r="N153" s="57" t="n"/>
      <c r="O153" s="57">
        <f>IF($A153="",0,IFERROR(IF(SUMIFS(CriteriTecnici!$O:$O,CriteriTecnici!$Q:$Q,$A153&amp;"|"&amp;$C153)&gt;0,SUMIFS(CriteriTecnici!$O:$O,CriteriTecnici!$Q:$Q,$A153&amp;"|"&amp;$C153,CriteriTecnici!$F:$F,"Q")+SUMIFS(CriteriTecnici!$O:$O,CriteriTecnici!$Q:$Q,$A153&amp;"|"&amp;$C153,CriteriTecnici!$F:$F,"T"),IFERROR($N153*1,0)),0))</f>
        <v/>
      </c>
      <c r="P153" s="57">
        <f>IF($A153="","",IF(SUMIFS(CriteriTecnici!$O:$O,CriteriTecnici!$Q:$Q,$A153&amp;"|"&amp;$C153)&gt;0,"Criteri A-G","Aggregato"))</f>
        <v/>
      </c>
    </row>
    <row r="154">
      <c r="A154" s="56">
        <f>IF(Compila!$A164="","",Compila!$A164)</f>
        <v/>
      </c>
      <c r="B154" s="56">
        <f>IF(Compila!$A164="","",Compila!$B164)</f>
        <v/>
      </c>
      <c r="C154" s="56">
        <f>IF(Compila!$A164="","",Compila!$C164)</f>
        <v/>
      </c>
      <c r="D154" s="56">
        <f>IF(Compila!$A164="","",Compila!$D164)</f>
        <v/>
      </c>
      <c r="E154" s="57">
        <f>IF($A154="",0,IFERROR(IF(SUMIFS(CriteriTecnici!$O:$O,CriteriTecnici!$Q:$Q,$A154&amp;"|"&amp;$C154)&gt;0,IF($G154="SI",ROUND(IF(SUMPRODUCT(MAX((CriteriTecnici!$C$5:$C$6173=$C154)*(CriteriTecnici!$E$5:$E$6173="A")*(CriteriTecnici!$T$5:$T$6173="SI")*IFERROR(CriteriTecnici!$O$5:$O$6173*1,0)))&gt;0,MIN(7,SUMIFS(CriteriTecnici!$O:$O,CriteriTecnici!$Q:$Q,$A154&amp;"|"&amp;$C154,CriteriTecnici!$E:$E,"A")*(7/SUMPRODUCT(MAX((CriteriTecnici!$C$5:$C$6173=$C154)*(CriteriTecnici!$E$5:$E$6173="A")*(CriteriTecnici!$T$5:$T$6173="SI")*IFERROR(CriteriTecnici!$O$5:$O$6173*1,0))))),0)+IF(SUMPRODUCT(MAX((CriteriTecnici!$C$5:$C$6173=$C154)*(CriteriTecnici!$E$5:$E$6173="B")*(CriteriTecnici!$T$5:$T$6173="SI")*IFERROR(CriteriTecnici!$O$5:$O$6173*1,0)))&gt;0,MIN(14,SUMIFS(CriteriTecnici!$O:$O,CriteriTecnici!$Q:$Q,$A154&amp;"|"&amp;$C154,CriteriTecnici!$E:$E,"B")*(14/SUMPRODUCT(MAX((CriteriTecnici!$C$5:$C$6173=$C154)*(CriteriTecnici!$E$5:$E$6173="B")*(CriteriTecnici!$T$5:$T$6173="SI")*IFERROR(CriteriTecnici!$O$5:$O$6173*1,0))))),0)+IF(SUMPRODUCT(MAX((CriteriTecnici!$C$5:$C$6173=$C154)*(CriteriTecnici!$E$5:$E$6173="C")*(CriteriTecnici!$T$5:$T$6173="SI")*IFERROR(CriteriTecnici!$O$5:$O$6173*1,0)))&gt;0,MIN(14,SUMIFS(CriteriTecnici!$O:$O,CriteriTecnici!$Q:$Q,$A154&amp;"|"&amp;$C154,CriteriTecnici!$E:$E,"C")*(14/SUMPRODUCT(MAX((CriteriTecnici!$C$5:$C$6173=$C154)*(CriteriTecnici!$E$5:$E$6173="C")*(CriteriTecnici!$T$5:$T$6173="SI")*IFERROR(CriteriTecnici!$O$5:$O$6173*1,0))))),0)+IF(SUMPRODUCT(MAX((CriteriTecnici!$C$5:$C$6173=$C154)*(CriteriTecnici!$E$5:$E$6173="D")*(CriteriTecnici!$T$5:$T$6173="SI")*IFERROR(CriteriTecnici!$O$5:$O$6173*1,0)))&gt;0,MIN(10,SUMIFS(CriteriTecnici!$O:$O,CriteriTecnici!$Q:$Q,$A154&amp;"|"&amp;$C154,CriteriTecnici!$E:$E,"D")*(10/SUMPRODUCT(MAX((CriteriTecnici!$C$5:$C$6173=$C154)*(CriteriTecnici!$E$5:$E$6173="D")*(CriteriTecnici!$T$5:$T$6173="SI")*IFERROR(CriteriTecnici!$O$5:$O$6173*1,0))))),0)+IF(SUMPRODUCT(MAX((CriteriTecnici!$C$5:$C$6173=$C154)*(CriteriTecnici!$E$5:$E$6173="E")*(CriteriTecnici!$T$5:$T$6173="SI")*IFERROR(CriteriTecnici!$O$5:$O$6173*1,0)))&gt;0,MIN(4,SUMIFS(CriteriTecnici!$O:$O,CriteriTecnici!$Q:$Q,$A154&amp;"|"&amp;$C154,CriteriTecnici!$E:$E,"E")*(4/SUMPRODUCT(MAX((CriteriTecnici!$C$5:$C$6173=$C154)*(CriteriTecnici!$E$5:$E$6173="E")*(CriteriTecnici!$T$5:$T$6173="SI")*IFERROR(CriteriTecnici!$O$5:$O$6173*1,0))))),0)+IF(SUMPRODUCT(MAX((CriteriTecnici!$C$5:$C$6173=$C154)*(CriteriTecnici!$E$5:$E$6173="F")*(CriteriTecnici!$T$5:$T$6173="SI")*IFERROR(CriteriTecnici!$O$5:$O$6173*1,0)))&gt;0,MIN(14,SUMIFS(CriteriTecnici!$O:$O,CriteriTecnici!$Q:$Q,$A154&amp;"|"&amp;$C154,CriteriTecnici!$E:$E,"F")*(14/SUMPRODUCT(MAX((CriteriTecnici!$C$5:$C$6173=$C154)*(CriteriTecnici!$E$5:$E$6173="F")*(CriteriTecnici!$T$5:$T$6173="SI")*IFERROR(CriteriTecnici!$O$5:$O$6173*1,0))))),0)+IF(SUMPRODUCT(MAX((CriteriTecnici!$C$5:$C$6173=$C154)*(CriteriTecnici!$E$5:$E$6173="G")*(CriteriTecnici!$T$5:$T$6173="SI")*IFERROR(CriteriTecnici!$O$5:$O$6173*1,0)))&gt;0,MIN(7,SUMIFS(CriteriTecnici!$O:$O,CriteriTecnici!$Q:$Q,$A154&amp;"|"&amp;$C154,CriteriTecnici!$E:$E,"G")*(7/SUMPRODUCT(MAX((CriteriTecnici!$C$5:$C$6173=$C154)*(CriteriTecnici!$E$5:$E$6173="G")*(CriteriTecnici!$T$5:$T$6173="SI")*IFERROR(CriteriTecnici!$O$5:$O$6173*1,0))))),0),4),0),IFERROR($N154*1,0)),0))</f>
        <v/>
      </c>
      <c r="F154" s="56">
        <f>IF(Compila!$A164="","",Compila!$E164)</f>
        <v/>
      </c>
      <c r="G154" s="57">
        <f>IF($A154="","",IF(IFERROR(VALUE($D154),0)&lt;&gt;1,"NO",IF(IFERROR(VALUE($O154),0)&gt;=Parametri!$B$2,"SI","NO")))</f>
        <v/>
      </c>
      <c r="H154" s="57">
        <f>IF($G154="SI",SUMPRODUCT(MAX(($C$2:$C$200=$C154)*(IFERROR($D$2:$D$200*1,0)=1)*(IFERROR($O$2:$O$200*1,0)&gt;=Parametri!$B$2)*IFERROR($F$2:$F$200*1,0))),0)</f>
        <v/>
      </c>
      <c r="I154" s="57">
        <f>IF($G154="SI",IF($H154&gt;0,30*(IFERROR($F154*1,0)/$H154),0),0)</f>
        <v/>
      </c>
      <c r="J154" s="57">
        <f>IF($A154="",0,IF($G154="SI",ROUND(IFERROR($E154*1,0)+$I154,4),ROUND(IFERROR($E154*1,0),4)))</f>
        <v/>
      </c>
      <c r="K154" s="57">
        <f>IF($A154="","",IF(IFERROR(VALUE($D154),0)&lt;&gt;1,"Non attiva",IF(IFERROR(VALUE($O154),0)&lt;Parametri!$B$2,"Sotto soglia","")))</f>
        <v/>
      </c>
      <c r="L154" s="57">
        <f>IF($A154="","",$A154&amp;"|"&amp;$C154)</f>
        <v/>
      </c>
      <c r="M154" s="57">
        <f>IF($A154="","",$C154&amp;"|"&amp;TEXT($J154,"0.0000"))</f>
        <v/>
      </c>
      <c r="N154" s="57" t="n"/>
      <c r="O154" s="57">
        <f>IF($A154="",0,IFERROR(IF(SUMIFS(CriteriTecnici!$O:$O,CriteriTecnici!$Q:$Q,$A154&amp;"|"&amp;$C154)&gt;0,SUMIFS(CriteriTecnici!$O:$O,CriteriTecnici!$Q:$Q,$A154&amp;"|"&amp;$C154,CriteriTecnici!$F:$F,"Q")+SUMIFS(CriteriTecnici!$O:$O,CriteriTecnici!$Q:$Q,$A154&amp;"|"&amp;$C154,CriteriTecnici!$F:$F,"T"),IFERROR($N154*1,0)),0))</f>
        <v/>
      </c>
      <c r="P154" s="57">
        <f>IF($A154="","",IF(SUMIFS(CriteriTecnici!$O:$O,CriteriTecnici!$Q:$Q,$A154&amp;"|"&amp;$C154)&gt;0,"Criteri A-G","Aggregato"))</f>
        <v/>
      </c>
    </row>
    <row r="155">
      <c r="A155" s="56">
        <f>IF(Compila!$A165="","",Compila!$A165)</f>
        <v/>
      </c>
      <c r="B155" s="56">
        <f>IF(Compila!$A165="","",Compila!$B165)</f>
        <v/>
      </c>
      <c r="C155" s="56">
        <f>IF(Compila!$A165="","",Compila!$C165)</f>
        <v/>
      </c>
      <c r="D155" s="56">
        <f>IF(Compila!$A165="","",Compila!$D165)</f>
        <v/>
      </c>
      <c r="E155" s="57">
        <f>IF($A155="",0,IFERROR(IF(SUMIFS(CriteriTecnici!$O:$O,CriteriTecnici!$Q:$Q,$A155&amp;"|"&amp;$C155)&gt;0,IF($G155="SI",ROUND(IF(SUMPRODUCT(MAX((CriteriTecnici!$C$5:$C$6173=$C155)*(CriteriTecnici!$E$5:$E$6173="A")*(CriteriTecnici!$T$5:$T$6173="SI")*IFERROR(CriteriTecnici!$O$5:$O$6173*1,0)))&gt;0,MIN(7,SUMIFS(CriteriTecnici!$O:$O,CriteriTecnici!$Q:$Q,$A155&amp;"|"&amp;$C155,CriteriTecnici!$E:$E,"A")*(7/SUMPRODUCT(MAX((CriteriTecnici!$C$5:$C$6173=$C155)*(CriteriTecnici!$E$5:$E$6173="A")*(CriteriTecnici!$T$5:$T$6173="SI")*IFERROR(CriteriTecnici!$O$5:$O$6173*1,0))))),0)+IF(SUMPRODUCT(MAX((CriteriTecnici!$C$5:$C$6173=$C155)*(CriteriTecnici!$E$5:$E$6173="B")*(CriteriTecnici!$T$5:$T$6173="SI")*IFERROR(CriteriTecnici!$O$5:$O$6173*1,0)))&gt;0,MIN(14,SUMIFS(CriteriTecnici!$O:$O,CriteriTecnici!$Q:$Q,$A155&amp;"|"&amp;$C155,CriteriTecnici!$E:$E,"B")*(14/SUMPRODUCT(MAX((CriteriTecnici!$C$5:$C$6173=$C155)*(CriteriTecnici!$E$5:$E$6173="B")*(CriteriTecnici!$T$5:$T$6173="SI")*IFERROR(CriteriTecnici!$O$5:$O$6173*1,0))))),0)+IF(SUMPRODUCT(MAX((CriteriTecnici!$C$5:$C$6173=$C155)*(CriteriTecnici!$E$5:$E$6173="C")*(CriteriTecnici!$T$5:$T$6173="SI")*IFERROR(CriteriTecnici!$O$5:$O$6173*1,0)))&gt;0,MIN(14,SUMIFS(CriteriTecnici!$O:$O,CriteriTecnici!$Q:$Q,$A155&amp;"|"&amp;$C155,CriteriTecnici!$E:$E,"C")*(14/SUMPRODUCT(MAX((CriteriTecnici!$C$5:$C$6173=$C155)*(CriteriTecnici!$E$5:$E$6173="C")*(CriteriTecnici!$T$5:$T$6173="SI")*IFERROR(CriteriTecnici!$O$5:$O$6173*1,0))))),0)+IF(SUMPRODUCT(MAX((CriteriTecnici!$C$5:$C$6173=$C155)*(CriteriTecnici!$E$5:$E$6173="D")*(CriteriTecnici!$T$5:$T$6173="SI")*IFERROR(CriteriTecnici!$O$5:$O$6173*1,0)))&gt;0,MIN(10,SUMIFS(CriteriTecnici!$O:$O,CriteriTecnici!$Q:$Q,$A155&amp;"|"&amp;$C155,CriteriTecnici!$E:$E,"D")*(10/SUMPRODUCT(MAX((CriteriTecnici!$C$5:$C$6173=$C155)*(CriteriTecnici!$E$5:$E$6173="D")*(CriteriTecnici!$T$5:$T$6173="SI")*IFERROR(CriteriTecnici!$O$5:$O$6173*1,0))))),0)+IF(SUMPRODUCT(MAX((CriteriTecnici!$C$5:$C$6173=$C155)*(CriteriTecnici!$E$5:$E$6173="E")*(CriteriTecnici!$T$5:$T$6173="SI")*IFERROR(CriteriTecnici!$O$5:$O$6173*1,0)))&gt;0,MIN(4,SUMIFS(CriteriTecnici!$O:$O,CriteriTecnici!$Q:$Q,$A155&amp;"|"&amp;$C155,CriteriTecnici!$E:$E,"E")*(4/SUMPRODUCT(MAX((CriteriTecnici!$C$5:$C$6173=$C155)*(CriteriTecnici!$E$5:$E$6173="E")*(CriteriTecnici!$T$5:$T$6173="SI")*IFERROR(CriteriTecnici!$O$5:$O$6173*1,0))))),0)+IF(SUMPRODUCT(MAX((CriteriTecnici!$C$5:$C$6173=$C155)*(CriteriTecnici!$E$5:$E$6173="F")*(CriteriTecnici!$T$5:$T$6173="SI")*IFERROR(CriteriTecnici!$O$5:$O$6173*1,0)))&gt;0,MIN(14,SUMIFS(CriteriTecnici!$O:$O,CriteriTecnici!$Q:$Q,$A155&amp;"|"&amp;$C155,CriteriTecnici!$E:$E,"F")*(14/SUMPRODUCT(MAX((CriteriTecnici!$C$5:$C$6173=$C155)*(CriteriTecnici!$E$5:$E$6173="F")*(CriteriTecnici!$T$5:$T$6173="SI")*IFERROR(CriteriTecnici!$O$5:$O$6173*1,0))))),0)+IF(SUMPRODUCT(MAX((CriteriTecnici!$C$5:$C$6173=$C155)*(CriteriTecnici!$E$5:$E$6173="G")*(CriteriTecnici!$T$5:$T$6173="SI")*IFERROR(CriteriTecnici!$O$5:$O$6173*1,0)))&gt;0,MIN(7,SUMIFS(CriteriTecnici!$O:$O,CriteriTecnici!$Q:$Q,$A155&amp;"|"&amp;$C155,CriteriTecnici!$E:$E,"G")*(7/SUMPRODUCT(MAX((CriteriTecnici!$C$5:$C$6173=$C155)*(CriteriTecnici!$E$5:$E$6173="G")*(CriteriTecnici!$T$5:$T$6173="SI")*IFERROR(CriteriTecnici!$O$5:$O$6173*1,0))))),0),4),0),IFERROR($N155*1,0)),0))</f>
        <v/>
      </c>
      <c r="F155" s="56">
        <f>IF(Compila!$A165="","",Compila!$E165)</f>
        <v/>
      </c>
      <c r="G155" s="57">
        <f>IF($A155="","",IF(IFERROR(VALUE($D155),0)&lt;&gt;1,"NO",IF(IFERROR(VALUE($O155),0)&gt;=Parametri!$B$2,"SI","NO")))</f>
        <v/>
      </c>
      <c r="H155" s="57">
        <f>IF($G155="SI",SUMPRODUCT(MAX(($C$2:$C$200=$C155)*(IFERROR($D$2:$D$200*1,0)=1)*(IFERROR($O$2:$O$200*1,0)&gt;=Parametri!$B$2)*IFERROR($F$2:$F$200*1,0))),0)</f>
        <v/>
      </c>
      <c r="I155" s="57">
        <f>IF($G155="SI",IF($H155&gt;0,30*(IFERROR($F155*1,0)/$H155),0),0)</f>
        <v/>
      </c>
      <c r="J155" s="57">
        <f>IF($A155="",0,IF($G155="SI",ROUND(IFERROR($E155*1,0)+$I155,4),ROUND(IFERROR($E155*1,0),4)))</f>
        <v/>
      </c>
      <c r="K155" s="57">
        <f>IF($A155="","",IF(IFERROR(VALUE($D155),0)&lt;&gt;1,"Non attiva",IF(IFERROR(VALUE($O155),0)&lt;Parametri!$B$2,"Sotto soglia","")))</f>
        <v/>
      </c>
      <c r="L155" s="57">
        <f>IF($A155="","",$A155&amp;"|"&amp;$C155)</f>
        <v/>
      </c>
      <c r="M155" s="57">
        <f>IF($A155="","",$C155&amp;"|"&amp;TEXT($J155,"0.0000"))</f>
        <v/>
      </c>
      <c r="N155" s="57" t="n"/>
      <c r="O155" s="57">
        <f>IF($A155="",0,IFERROR(IF(SUMIFS(CriteriTecnici!$O:$O,CriteriTecnici!$Q:$Q,$A155&amp;"|"&amp;$C155)&gt;0,SUMIFS(CriteriTecnici!$O:$O,CriteriTecnici!$Q:$Q,$A155&amp;"|"&amp;$C155,CriteriTecnici!$F:$F,"Q")+SUMIFS(CriteriTecnici!$O:$O,CriteriTecnici!$Q:$Q,$A155&amp;"|"&amp;$C155,CriteriTecnici!$F:$F,"T"),IFERROR($N155*1,0)),0))</f>
        <v/>
      </c>
      <c r="P155" s="57">
        <f>IF($A155="","",IF(SUMIFS(CriteriTecnici!$O:$O,CriteriTecnici!$Q:$Q,$A155&amp;"|"&amp;$C155)&gt;0,"Criteri A-G","Aggregato"))</f>
        <v/>
      </c>
    </row>
    <row r="156">
      <c r="A156" s="56">
        <f>IF(Compila!$A166="","",Compila!$A166)</f>
        <v/>
      </c>
      <c r="B156" s="56">
        <f>IF(Compila!$A166="","",Compila!$B166)</f>
        <v/>
      </c>
      <c r="C156" s="56">
        <f>IF(Compila!$A166="","",Compila!$C166)</f>
        <v/>
      </c>
      <c r="D156" s="56">
        <f>IF(Compila!$A166="","",Compila!$D166)</f>
        <v/>
      </c>
      <c r="E156" s="57">
        <f>IF($A156="",0,IFERROR(IF(SUMIFS(CriteriTecnici!$O:$O,CriteriTecnici!$Q:$Q,$A156&amp;"|"&amp;$C156)&gt;0,IF($G156="SI",ROUND(IF(SUMPRODUCT(MAX((CriteriTecnici!$C$5:$C$6173=$C156)*(CriteriTecnici!$E$5:$E$6173="A")*(CriteriTecnici!$T$5:$T$6173="SI")*IFERROR(CriteriTecnici!$O$5:$O$6173*1,0)))&gt;0,MIN(7,SUMIFS(CriteriTecnici!$O:$O,CriteriTecnici!$Q:$Q,$A156&amp;"|"&amp;$C156,CriteriTecnici!$E:$E,"A")*(7/SUMPRODUCT(MAX((CriteriTecnici!$C$5:$C$6173=$C156)*(CriteriTecnici!$E$5:$E$6173="A")*(CriteriTecnici!$T$5:$T$6173="SI")*IFERROR(CriteriTecnici!$O$5:$O$6173*1,0))))),0)+IF(SUMPRODUCT(MAX((CriteriTecnici!$C$5:$C$6173=$C156)*(CriteriTecnici!$E$5:$E$6173="B")*(CriteriTecnici!$T$5:$T$6173="SI")*IFERROR(CriteriTecnici!$O$5:$O$6173*1,0)))&gt;0,MIN(14,SUMIFS(CriteriTecnici!$O:$O,CriteriTecnici!$Q:$Q,$A156&amp;"|"&amp;$C156,CriteriTecnici!$E:$E,"B")*(14/SUMPRODUCT(MAX((CriteriTecnici!$C$5:$C$6173=$C156)*(CriteriTecnici!$E$5:$E$6173="B")*(CriteriTecnici!$T$5:$T$6173="SI")*IFERROR(CriteriTecnici!$O$5:$O$6173*1,0))))),0)+IF(SUMPRODUCT(MAX((CriteriTecnici!$C$5:$C$6173=$C156)*(CriteriTecnici!$E$5:$E$6173="C")*(CriteriTecnici!$T$5:$T$6173="SI")*IFERROR(CriteriTecnici!$O$5:$O$6173*1,0)))&gt;0,MIN(14,SUMIFS(CriteriTecnici!$O:$O,CriteriTecnici!$Q:$Q,$A156&amp;"|"&amp;$C156,CriteriTecnici!$E:$E,"C")*(14/SUMPRODUCT(MAX((CriteriTecnici!$C$5:$C$6173=$C156)*(CriteriTecnici!$E$5:$E$6173="C")*(CriteriTecnici!$T$5:$T$6173="SI")*IFERROR(CriteriTecnici!$O$5:$O$6173*1,0))))),0)+IF(SUMPRODUCT(MAX((CriteriTecnici!$C$5:$C$6173=$C156)*(CriteriTecnici!$E$5:$E$6173="D")*(CriteriTecnici!$T$5:$T$6173="SI")*IFERROR(CriteriTecnici!$O$5:$O$6173*1,0)))&gt;0,MIN(10,SUMIFS(CriteriTecnici!$O:$O,CriteriTecnici!$Q:$Q,$A156&amp;"|"&amp;$C156,CriteriTecnici!$E:$E,"D")*(10/SUMPRODUCT(MAX((CriteriTecnici!$C$5:$C$6173=$C156)*(CriteriTecnici!$E$5:$E$6173="D")*(CriteriTecnici!$T$5:$T$6173="SI")*IFERROR(CriteriTecnici!$O$5:$O$6173*1,0))))),0)+IF(SUMPRODUCT(MAX((CriteriTecnici!$C$5:$C$6173=$C156)*(CriteriTecnici!$E$5:$E$6173="E")*(CriteriTecnici!$T$5:$T$6173="SI")*IFERROR(CriteriTecnici!$O$5:$O$6173*1,0)))&gt;0,MIN(4,SUMIFS(CriteriTecnici!$O:$O,CriteriTecnici!$Q:$Q,$A156&amp;"|"&amp;$C156,CriteriTecnici!$E:$E,"E")*(4/SUMPRODUCT(MAX((CriteriTecnici!$C$5:$C$6173=$C156)*(CriteriTecnici!$E$5:$E$6173="E")*(CriteriTecnici!$T$5:$T$6173="SI")*IFERROR(CriteriTecnici!$O$5:$O$6173*1,0))))),0)+IF(SUMPRODUCT(MAX((CriteriTecnici!$C$5:$C$6173=$C156)*(CriteriTecnici!$E$5:$E$6173="F")*(CriteriTecnici!$T$5:$T$6173="SI")*IFERROR(CriteriTecnici!$O$5:$O$6173*1,0)))&gt;0,MIN(14,SUMIFS(CriteriTecnici!$O:$O,CriteriTecnici!$Q:$Q,$A156&amp;"|"&amp;$C156,CriteriTecnici!$E:$E,"F")*(14/SUMPRODUCT(MAX((CriteriTecnici!$C$5:$C$6173=$C156)*(CriteriTecnici!$E$5:$E$6173="F")*(CriteriTecnici!$T$5:$T$6173="SI")*IFERROR(CriteriTecnici!$O$5:$O$6173*1,0))))),0)+IF(SUMPRODUCT(MAX((CriteriTecnici!$C$5:$C$6173=$C156)*(CriteriTecnici!$E$5:$E$6173="G")*(CriteriTecnici!$T$5:$T$6173="SI")*IFERROR(CriteriTecnici!$O$5:$O$6173*1,0)))&gt;0,MIN(7,SUMIFS(CriteriTecnici!$O:$O,CriteriTecnici!$Q:$Q,$A156&amp;"|"&amp;$C156,CriteriTecnici!$E:$E,"G")*(7/SUMPRODUCT(MAX((CriteriTecnici!$C$5:$C$6173=$C156)*(CriteriTecnici!$E$5:$E$6173="G")*(CriteriTecnici!$T$5:$T$6173="SI")*IFERROR(CriteriTecnici!$O$5:$O$6173*1,0))))),0),4),0),IFERROR($N156*1,0)),0))</f>
        <v/>
      </c>
      <c r="F156" s="56">
        <f>IF(Compila!$A166="","",Compila!$E166)</f>
        <v/>
      </c>
      <c r="G156" s="57">
        <f>IF($A156="","",IF(IFERROR(VALUE($D156),0)&lt;&gt;1,"NO",IF(IFERROR(VALUE($O156),0)&gt;=Parametri!$B$2,"SI","NO")))</f>
        <v/>
      </c>
      <c r="H156" s="57">
        <f>IF($G156="SI",SUMPRODUCT(MAX(($C$2:$C$200=$C156)*(IFERROR($D$2:$D$200*1,0)=1)*(IFERROR($O$2:$O$200*1,0)&gt;=Parametri!$B$2)*IFERROR($F$2:$F$200*1,0))),0)</f>
        <v/>
      </c>
      <c r="I156" s="57">
        <f>IF($G156="SI",IF($H156&gt;0,30*(IFERROR($F156*1,0)/$H156),0),0)</f>
        <v/>
      </c>
      <c r="J156" s="57">
        <f>IF($A156="",0,IF($G156="SI",ROUND(IFERROR($E156*1,0)+$I156,4),ROUND(IFERROR($E156*1,0),4)))</f>
        <v/>
      </c>
      <c r="K156" s="57">
        <f>IF($A156="","",IF(IFERROR(VALUE($D156),0)&lt;&gt;1,"Non attiva",IF(IFERROR(VALUE($O156),0)&lt;Parametri!$B$2,"Sotto soglia","")))</f>
        <v/>
      </c>
      <c r="L156" s="57">
        <f>IF($A156="","",$A156&amp;"|"&amp;$C156)</f>
        <v/>
      </c>
      <c r="M156" s="57">
        <f>IF($A156="","",$C156&amp;"|"&amp;TEXT($J156,"0.0000"))</f>
        <v/>
      </c>
      <c r="N156" s="57" t="n"/>
      <c r="O156" s="57">
        <f>IF($A156="",0,IFERROR(IF(SUMIFS(CriteriTecnici!$O:$O,CriteriTecnici!$Q:$Q,$A156&amp;"|"&amp;$C156)&gt;0,SUMIFS(CriteriTecnici!$O:$O,CriteriTecnici!$Q:$Q,$A156&amp;"|"&amp;$C156,CriteriTecnici!$F:$F,"Q")+SUMIFS(CriteriTecnici!$O:$O,CriteriTecnici!$Q:$Q,$A156&amp;"|"&amp;$C156,CriteriTecnici!$F:$F,"T"),IFERROR($N156*1,0)),0))</f>
        <v/>
      </c>
      <c r="P156" s="57">
        <f>IF($A156="","",IF(SUMIFS(CriteriTecnici!$O:$O,CriteriTecnici!$Q:$Q,$A156&amp;"|"&amp;$C156)&gt;0,"Criteri A-G","Aggregato"))</f>
        <v/>
      </c>
    </row>
    <row r="157">
      <c r="A157" s="56">
        <f>IF(Compila!$A167="","",Compila!$A167)</f>
        <v/>
      </c>
      <c r="B157" s="56">
        <f>IF(Compila!$A167="","",Compila!$B167)</f>
        <v/>
      </c>
      <c r="C157" s="56">
        <f>IF(Compila!$A167="","",Compila!$C167)</f>
        <v/>
      </c>
      <c r="D157" s="56">
        <f>IF(Compila!$A167="","",Compila!$D167)</f>
        <v/>
      </c>
      <c r="E157" s="57">
        <f>IF($A157="",0,IFERROR(IF(SUMIFS(CriteriTecnici!$O:$O,CriteriTecnici!$Q:$Q,$A157&amp;"|"&amp;$C157)&gt;0,IF($G157="SI",ROUND(IF(SUMPRODUCT(MAX((CriteriTecnici!$C$5:$C$6173=$C157)*(CriteriTecnici!$E$5:$E$6173="A")*(CriteriTecnici!$T$5:$T$6173="SI")*IFERROR(CriteriTecnici!$O$5:$O$6173*1,0)))&gt;0,MIN(7,SUMIFS(CriteriTecnici!$O:$O,CriteriTecnici!$Q:$Q,$A157&amp;"|"&amp;$C157,CriteriTecnici!$E:$E,"A")*(7/SUMPRODUCT(MAX((CriteriTecnici!$C$5:$C$6173=$C157)*(CriteriTecnici!$E$5:$E$6173="A")*(CriteriTecnici!$T$5:$T$6173="SI")*IFERROR(CriteriTecnici!$O$5:$O$6173*1,0))))),0)+IF(SUMPRODUCT(MAX((CriteriTecnici!$C$5:$C$6173=$C157)*(CriteriTecnici!$E$5:$E$6173="B")*(CriteriTecnici!$T$5:$T$6173="SI")*IFERROR(CriteriTecnici!$O$5:$O$6173*1,0)))&gt;0,MIN(14,SUMIFS(CriteriTecnici!$O:$O,CriteriTecnici!$Q:$Q,$A157&amp;"|"&amp;$C157,CriteriTecnici!$E:$E,"B")*(14/SUMPRODUCT(MAX((CriteriTecnici!$C$5:$C$6173=$C157)*(CriteriTecnici!$E$5:$E$6173="B")*(CriteriTecnici!$T$5:$T$6173="SI")*IFERROR(CriteriTecnici!$O$5:$O$6173*1,0))))),0)+IF(SUMPRODUCT(MAX((CriteriTecnici!$C$5:$C$6173=$C157)*(CriteriTecnici!$E$5:$E$6173="C")*(CriteriTecnici!$T$5:$T$6173="SI")*IFERROR(CriteriTecnici!$O$5:$O$6173*1,0)))&gt;0,MIN(14,SUMIFS(CriteriTecnici!$O:$O,CriteriTecnici!$Q:$Q,$A157&amp;"|"&amp;$C157,CriteriTecnici!$E:$E,"C")*(14/SUMPRODUCT(MAX((CriteriTecnici!$C$5:$C$6173=$C157)*(CriteriTecnici!$E$5:$E$6173="C")*(CriteriTecnici!$T$5:$T$6173="SI")*IFERROR(CriteriTecnici!$O$5:$O$6173*1,0))))),0)+IF(SUMPRODUCT(MAX((CriteriTecnici!$C$5:$C$6173=$C157)*(CriteriTecnici!$E$5:$E$6173="D")*(CriteriTecnici!$T$5:$T$6173="SI")*IFERROR(CriteriTecnici!$O$5:$O$6173*1,0)))&gt;0,MIN(10,SUMIFS(CriteriTecnici!$O:$O,CriteriTecnici!$Q:$Q,$A157&amp;"|"&amp;$C157,CriteriTecnici!$E:$E,"D")*(10/SUMPRODUCT(MAX((CriteriTecnici!$C$5:$C$6173=$C157)*(CriteriTecnici!$E$5:$E$6173="D")*(CriteriTecnici!$T$5:$T$6173="SI")*IFERROR(CriteriTecnici!$O$5:$O$6173*1,0))))),0)+IF(SUMPRODUCT(MAX((CriteriTecnici!$C$5:$C$6173=$C157)*(CriteriTecnici!$E$5:$E$6173="E")*(CriteriTecnici!$T$5:$T$6173="SI")*IFERROR(CriteriTecnici!$O$5:$O$6173*1,0)))&gt;0,MIN(4,SUMIFS(CriteriTecnici!$O:$O,CriteriTecnici!$Q:$Q,$A157&amp;"|"&amp;$C157,CriteriTecnici!$E:$E,"E")*(4/SUMPRODUCT(MAX((CriteriTecnici!$C$5:$C$6173=$C157)*(CriteriTecnici!$E$5:$E$6173="E")*(CriteriTecnici!$T$5:$T$6173="SI")*IFERROR(CriteriTecnici!$O$5:$O$6173*1,0))))),0)+IF(SUMPRODUCT(MAX((CriteriTecnici!$C$5:$C$6173=$C157)*(CriteriTecnici!$E$5:$E$6173="F")*(CriteriTecnici!$T$5:$T$6173="SI")*IFERROR(CriteriTecnici!$O$5:$O$6173*1,0)))&gt;0,MIN(14,SUMIFS(CriteriTecnici!$O:$O,CriteriTecnici!$Q:$Q,$A157&amp;"|"&amp;$C157,CriteriTecnici!$E:$E,"F")*(14/SUMPRODUCT(MAX((CriteriTecnici!$C$5:$C$6173=$C157)*(CriteriTecnici!$E$5:$E$6173="F")*(CriteriTecnici!$T$5:$T$6173="SI")*IFERROR(CriteriTecnici!$O$5:$O$6173*1,0))))),0)+IF(SUMPRODUCT(MAX((CriteriTecnici!$C$5:$C$6173=$C157)*(CriteriTecnici!$E$5:$E$6173="G")*(CriteriTecnici!$T$5:$T$6173="SI")*IFERROR(CriteriTecnici!$O$5:$O$6173*1,0)))&gt;0,MIN(7,SUMIFS(CriteriTecnici!$O:$O,CriteriTecnici!$Q:$Q,$A157&amp;"|"&amp;$C157,CriteriTecnici!$E:$E,"G")*(7/SUMPRODUCT(MAX((CriteriTecnici!$C$5:$C$6173=$C157)*(CriteriTecnici!$E$5:$E$6173="G")*(CriteriTecnici!$T$5:$T$6173="SI")*IFERROR(CriteriTecnici!$O$5:$O$6173*1,0))))),0),4),0),IFERROR($N157*1,0)),0))</f>
        <v/>
      </c>
      <c r="F157" s="56">
        <f>IF(Compila!$A167="","",Compila!$E167)</f>
        <v/>
      </c>
      <c r="G157" s="57">
        <f>IF($A157="","",IF(IFERROR(VALUE($D157),0)&lt;&gt;1,"NO",IF(IFERROR(VALUE($O157),0)&gt;=Parametri!$B$2,"SI","NO")))</f>
        <v/>
      </c>
      <c r="H157" s="57">
        <f>IF($G157="SI",SUMPRODUCT(MAX(($C$2:$C$200=$C157)*(IFERROR($D$2:$D$200*1,0)=1)*(IFERROR($O$2:$O$200*1,0)&gt;=Parametri!$B$2)*IFERROR($F$2:$F$200*1,0))),0)</f>
        <v/>
      </c>
      <c r="I157" s="57">
        <f>IF($G157="SI",IF($H157&gt;0,30*(IFERROR($F157*1,0)/$H157),0),0)</f>
        <v/>
      </c>
      <c r="J157" s="57">
        <f>IF($A157="",0,IF($G157="SI",ROUND(IFERROR($E157*1,0)+$I157,4),ROUND(IFERROR($E157*1,0),4)))</f>
        <v/>
      </c>
      <c r="K157" s="57">
        <f>IF($A157="","",IF(IFERROR(VALUE($D157),0)&lt;&gt;1,"Non attiva",IF(IFERROR(VALUE($O157),0)&lt;Parametri!$B$2,"Sotto soglia","")))</f>
        <v/>
      </c>
      <c r="L157" s="57">
        <f>IF($A157="","",$A157&amp;"|"&amp;$C157)</f>
        <v/>
      </c>
      <c r="M157" s="57">
        <f>IF($A157="","",$C157&amp;"|"&amp;TEXT($J157,"0.0000"))</f>
        <v/>
      </c>
      <c r="N157" s="57" t="n"/>
      <c r="O157" s="57">
        <f>IF($A157="",0,IFERROR(IF(SUMIFS(CriteriTecnici!$O:$O,CriteriTecnici!$Q:$Q,$A157&amp;"|"&amp;$C157)&gt;0,SUMIFS(CriteriTecnici!$O:$O,CriteriTecnici!$Q:$Q,$A157&amp;"|"&amp;$C157,CriteriTecnici!$F:$F,"Q")+SUMIFS(CriteriTecnici!$O:$O,CriteriTecnici!$Q:$Q,$A157&amp;"|"&amp;$C157,CriteriTecnici!$F:$F,"T"),IFERROR($N157*1,0)),0))</f>
        <v/>
      </c>
      <c r="P157" s="57">
        <f>IF($A157="","",IF(SUMIFS(CriteriTecnici!$O:$O,CriteriTecnici!$Q:$Q,$A157&amp;"|"&amp;$C157)&gt;0,"Criteri A-G","Aggregato"))</f>
        <v/>
      </c>
    </row>
    <row r="158">
      <c r="A158" s="56">
        <f>IF(Compila!$A168="","",Compila!$A168)</f>
        <v/>
      </c>
      <c r="B158" s="56">
        <f>IF(Compila!$A168="","",Compila!$B168)</f>
        <v/>
      </c>
      <c r="C158" s="56">
        <f>IF(Compila!$A168="","",Compila!$C168)</f>
        <v/>
      </c>
      <c r="D158" s="56">
        <f>IF(Compila!$A168="","",Compila!$D168)</f>
        <v/>
      </c>
      <c r="E158" s="57">
        <f>IF($A158="",0,IFERROR(IF(SUMIFS(CriteriTecnici!$O:$O,CriteriTecnici!$Q:$Q,$A158&amp;"|"&amp;$C158)&gt;0,IF($G158="SI",ROUND(IF(SUMPRODUCT(MAX((CriteriTecnici!$C$5:$C$6173=$C158)*(CriteriTecnici!$E$5:$E$6173="A")*(CriteriTecnici!$T$5:$T$6173="SI")*IFERROR(CriteriTecnici!$O$5:$O$6173*1,0)))&gt;0,MIN(7,SUMIFS(CriteriTecnici!$O:$O,CriteriTecnici!$Q:$Q,$A158&amp;"|"&amp;$C158,CriteriTecnici!$E:$E,"A")*(7/SUMPRODUCT(MAX((CriteriTecnici!$C$5:$C$6173=$C158)*(CriteriTecnici!$E$5:$E$6173="A")*(CriteriTecnici!$T$5:$T$6173="SI")*IFERROR(CriteriTecnici!$O$5:$O$6173*1,0))))),0)+IF(SUMPRODUCT(MAX((CriteriTecnici!$C$5:$C$6173=$C158)*(CriteriTecnici!$E$5:$E$6173="B")*(CriteriTecnici!$T$5:$T$6173="SI")*IFERROR(CriteriTecnici!$O$5:$O$6173*1,0)))&gt;0,MIN(14,SUMIFS(CriteriTecnici!$O:$O,CriteriTecnici!$Q:$Q,$A158&amp;"|"&amp;$C158,CriteriTecnici!$E:$E,"B")*(14/SUMPRODUCT(MAX((CriteriTecnici!$C$5:$C$6173=$C158)*(CriteriTecnici!$E$5:$E$6173="B")*(CriteriTecnici!$T$5:$T$6173="SI")*IFERROR(CriteriTecnici!$O$5:$O$6173*1,0))))),0)+IF(SUMPRODUCT(MAX((CriteriTecnici!$C$5:$C$6173=$C158)*(CriteriTecnici!$E$5:$E$6173="C")*(CriteriTecnici!$T$5:$T$6173="SI")*IFERROR(CriteriTecnici!$O$5:$O$6173*1,0)))&gt;0,MIN(14,SUMIFS(CriteriTecnici!$O:$O,CriteriTecnici!$Q:$Q,$A158&amp;"|"&amp;$C158,CriteriTecnici!$E:$E,"C")*(14/SUMPRODUCT(MAX((CriteriTecnici!$C$5:$C$6173=$C158)*(CriteriTecnici!$E$5:$E$6173="C")*(CriteriTecnici!$T$5:$T$6173="SI")*IFERROR(CriteriTecnici!$O$5:$O$6173*1,0))))),0)+IF(SUMPRODUCT(MAX((CriteriTecnici!$C$5:$C$6173=$C158)*(CriteriTecnici!$E$5:$E$6173="D")*(CriteriTecnici!$T$5:$T$6173="SI")*IFERROR(CriteriTecnici!$O$5:$O$6173*1,0)))&gt;0,MIN(10,SUMIFS(CriteriTecnici!$O:$O,CriteriTecnici!$Q:$Q,$A158&amp;"|"&amp;$C158,CriteriTecnici!$E:$E,"D")*(10/SUMPRODUCT(MAX((CriteriTecnici!$C$5:$C$6173=$C158)*(CriteriTecnici!$E$5:$E$6173="D")*(CriteriTecnici!$T$5:$T$6173="SI")*IFERROR(CriteriTecnici!$O$5:$O$6173*1,0))))),0)+IF(SUMPRODUCT(MAX((CriteriTecnici!$C$5:$C$6173=$C158)*(CriteriTecnici!$E$5:$E$6173="E")*(CriteriTecnici!$T$5:$T$6173="SI")*IFERROR(CriteriTecnici!$O$5:$O$6173*1,0)))&gt;0,MIN(4,SUMIFS(CriteriTecnici!$O:$O,CriteriTecnici!$Q:$Q,$A158&amp;"|"&amp;$C158,CriteriTecnici!$E:$E,"E")*(4/SUMPRODUCT(MAX((CriteriTecnici!$C$5:$C$6173=$C158)*(CriteriTecnici!$E$5:$E$6173="E")*(CriteriTecnici!$T$5:$T$6173="SI")*IFERROR(CriteriTecnici!$O$5:$O$6173*1,0))))),0)+IF(SUMPRODUCT(MAX((CriteriTecnici!$C$5:$C$6173=$C158)*(CriteriTecnici!$E$5:$E$6173="F")*(CriteriTecnici!$T$5:$T$6173="SI")*IFERROR(CriteriTecnici!$O$5:$O$6173*1,0)))&gt;0,MIN(14,SUMIFS(CriteriTecnici!$O:$O,CriteriTecnici!$Q:$Q,$A158&amp;"|"&amp;$C158,CriteriTecnici!$E:$E,"F")*(14/SUMPRODUCT(MAX((CriteriTecnici!$C$5:$C$6173=$C158)*(CriteriTecnici!$E$5:$E$6173="F")*(CriteriTecnici!$T$5:$T$6173="SI")*IFERROR(CriteriTecnici!$O$5:$O$6173*1,0))))),0)+IF(SUMPRODUCT(MAX((CriteriTecnici!$C$5:$C$6173=$C158)*(CriteriTecnici!$E$5:$E$6173="G")*(CriteriTecnici!$T$5:$T$6173="SI")*IFERROR(CriteriTecnici!$O$5:$O$6173*1,0)))&gt;0,MIN(7,SUMIFS(CriteriTecnici!$O:$O,CriteriTecnici!$Q:$Q,$A158&amp;"|"&amp;$C158,CriteriTecnici!$E:$E,"G")*(7/SUMPRODUCT(MAX((CriteriTecnici!$C$5:$C$6173=$C158)*(CriteriTecnici!$E$5:$E$6173="G")*(CriteriTecnici!$T$5:$T$6173="SI")*IFERROR(CriteriTecnici!$O$5:$O$6173*1,0))))),0),4),0),IFERROR($N158*1,0)),0))</f>
        <v/>
      </c>
      <c r="F158" s="56">
        <f>IF(Compila!$A168="","",Compila!$E168)</f>
        <v/>
      </c>
      <c r="G158" s="57">
        <f>IF($A158="","",IF(IFERROR(VALUE($D158),0)&lt;&gt;1,"NO",IF(IFERROR(VALUE($O158),0)&gt;=Parametri!$B$2,"SI","NO")))</f>
        <v/>
      </c>
      <c r="H158" s="57">
        <f>IF($G158="SI",SUMPRODUCT(MAX(($C$2:$C$200=$C158)*(IFERROR($D$2:$D$200*1,0)=1)*(IFERROR($O$2:$O$200*1,0)&gt;=Parametri!$B$2)*IFERROR($F$2:$F$200*1,0))),0)</f>
        <v/>
      </c>
      <c r="I158" s="57">
        <f>IF($G158="SI",IF($H158&gt;0,30*(IFERROR($F158*1,0)/$H158),0),0)</f>
        <v/>
      </c>
      <c r="J158" s="57">
        <f>IF($A158="",0,IF($G158="SI",ROUND(IFERROR($E158*1,0)+$I158,4),ROUND(IFERROR($E158*1,0),4)))</f>
        <v/>
      </c>
      <c r="K158" s="57">
        <f>IF($A158="","",IF(IFERROR(VALUE($D158),0)&lt;&gt;1,"Non attiva",IF(IFERROR(VALUE($O158),0)&lt;Parametri!$B$2,"Sotto soglia","")))</f>
        <v/>
      </c>
      <c r="L158" s="57">
        <f>IF($A158="","",$A158&amp;"|"&amp;$C158)</f>
        <v/>
      </c>
      <c r="M158" s="57">
        <f>IF($A158="","",$C158&amp;"|"&amp;TEXT($J158,"0.0000"))</f>
        <v/>
      </c>
      <c r="N158" s="57" t="n"/>
      <c r="O158" s="57">
        <f>IF($A158="",0,IFERROR(IF(SUMIFS(CriteriTecnici!$O:$O,CriteriTecnici!$Q:$Q,$A158&amp;"|"&amp;$C158)&gt;0,SUMIFS(CriteriTecnici!$O:$O,CriteriTecnici!$Q:$Q,$A158&amp;"|"&amp;$C158,CriteriTecnici!$F:$F,"Q")+SUMIFS(CriteriTecnici!$O:$O,CriteriTecnici!$Q:$Q,$A158&amp;"|"&amp;$C158,CriteriTecnici!$F:$F,"T"),IFERROR($N158*1,0)),0))</f>
        <v/>
      </c>
      <c r="P158" s="57">
        <f>IF($A158="","",IF(SUMIFS(CriteriTecnici!$O:$O,CriteriTecnici!$Q:$Q,$A158&amp;"|"&amp;$C158)&gt;0,"Criteri A-G","Aggregato"))</f>
        <v/>
      </c>
    </row>
    <row r="159">
      <c r="A159" s="56">
        <f>IF(Compila!$A169="","",Compila!$A169)</f>
        <v/>
      </c>
      <c r="B159" s="56">
        <f>IF(Compila!$A169="","",Compila!$B169)</f>
        <v/>
      </c>
      <c r="C159" s="56">
        <f>IF(Compila!$A169="","",Compila!$C169)</f>
        <v/>
      </c>
      <c r="D159" s="56">
        <f>IF(Compila!$A169="","",Compila!$D169)</f>
        <v/>
      </c>
      <c r="E159" s="57">
        <f>IF($A159="",0,IFERROR(IF(SUMIFS(CriteriTecnici!$O:$O,CriteriTecnici!$Q:$Q,$A159&amp;"|"&amp;$C159)&gt;0,IF($G159="SI",ROUND(IF(SUMPRODUCT(MAX((CriteriTecnici!$C$5:$C$6173=$C159)*(CriteriTecnici!$E$5:$E$6173="A")*(CriteriTecnici!$T$5:$T$6173="SI")*IFERROR(CriteriTecnici!$O$5:$O$6173*1,0)))&gt;0,MIN(7,SUMIFS(CriteriTecnici!$O:$O,CriteriTecnici!$Q:$Q,$A159&amp;"|"&amp;$C159,CriteriTecnici!$E:$E,"A")*(7/SUMPRODUCT(MAX((CriteriTecnici!$C$5:$C$6173=$C159)*(CriteriTecnici!$E$5:$E$6173="A")*(CriteriTecnici!$T$5:$T$6173="SI")*IFERROR(CriteriTecnici!$O$5:$O$6173*1,0))))),0)+IF(SUMPRODUCT(MAX((CriteriTecnici!$C$5:$C$6173=$C159)*(CriteriTecnici!$E$5:$E$6173="B")*(CriteriTecnici!$T$5:$T$6173="SI")*IFERROR(CriteriTecnici!$O$5:$O$6173*1,0)))&gt;0,MIN(14,SUMIFS(CriteriTecnici!$O:$O,CriteriTecnici!$Q:$Q,$A159&amp;"|"&amp;$C159,CriteriTecnici!$E:$E,"B")*(14/SUMPRODUCT(MAX((CriteriTecnici!$C$5:$C$6173=$C159)*(CriteriTecnici!$E$5:$E$6173="B")*(CriteriTecnici!$T$5:$T$6173="SI")*IFERROR(CriteriTecnici!$O$5:$O$6173*1,0))))),0)+IF(SUMPRODUCT(MAX((CriteriTecnici!$C$5:$C$6173=$C159)*(CriteriTecnici!$E$5:$E$6173="C")*(CriteriTecnici!$T$5:$T$6173="SI")*IFERROR(CriteriTecnici!$O$5:$O$6173*1,0)))&gt;0,MIN(14,SUMIFS(CriteriTecnici!$O:$O,CriteriTecnici!$Q:$Q,$A159&amp;"|"&amp;$C159,CriteriTecnici!$E:$E,"C")*(14/SUMPRODUCT(MAX((CriteriTecnici!$C$5:$C$6173=$C159)*(CriteriTecnici!$E$5:$E$6173="C")*(CriteriTecnici!$T$5:$T$6173="SI")*IFERROR(CriteriTecnici!$O$5:$O$6173*1,0))))),0)+IF(SUMPRODUCT(MAX((CriteriTecnici!$C$5:$C$6173=$C159)*(CriteriTecnici!$E$5:$E$6173="D")*(CriteriTecnici!$T$5:$T$6173="SI")*IFERROR(CriteriTecnici!$O$5:$O$6173*1,0)))&gt;0,MIN(10,SUMIFS(CriteriTecnici!$O:$O,CriteriTecnici!$Q:$Q,$A159&amp;"|"&amp;$C159,CriteriTecnici!$E:$E,"D")*(10/SUMPRODUCT(MAX((CriteriTecnici!$C$5:$C$6173=$C159)*(CriteriTecnici!$E$5:$E$6173="D")*(CriteriTecnici!$T$5:$T$6173="SI")*IFERROR(CriteriTecnici!$O$5:$O$6173*1,0))))),0)+IF(SUMPRODUCT(MAX((CriteriTecnici!$C$5:$C$6173=$C159)*(CriteriTecnici!$E$5:$E$6173="E")*(CriteriTecnici!$T$5:$T$6173="SI")*IFERROR(CriteriTecnici!$O$5:$O$6173*1,0)))&gt;0,MIN(4,SUMIFS(CriteriTecnici!$O:$O,CriteriTecnici!$Q:$Q,$A159&amp;"|"&amp;$C159,CriteriTecnici!$E:$E,"E")*(4/SUMPRODUCT(MAX((CriteriTecnici!$C$5:$C$6173=$C159)*(CriteriTecnici!$E$5:$E$6173="E")*(CriteriTecnici!$T$5:$T$6173="SI")*IFERROR(CriteriTecnici!$O$5:$O$6173*1,0))))),0)+IF(SUMPRODUCT(MAX((CriteriTecnici!$C$5:$C$6173=$C159)*(CriteriTecnici!$E$5:$E$6173="F")*(CriteriTecnici!$T$5:$T$6173="SI")*IFERROR(CriteriTecnici!$O$5:$O$6173*1,0)))&gt;0,MIN(14,SUMIFS(CriteriTecnici!$O:$O,CriteriTecnici!$Q:$Q,$A159&amp;"|"&amp;$C159,CriteriTecnici!$E:$E,"F")*(14/SUMPRODUCT(MAX((CriteriTecnici!$C$5:$C$6173=$C159)*(CriteriTecnici!$E$5:$E$6173="F")*(CriteriTecnici!$T$5:$T$6173="SI")*IFERROR(CriteriTecnici!$O$5:$O$6173*1,0))))),0)+IF(SUMPRODUCT(MAX((CriteriTecnici!$C$5:$C$6173=$C159)*(CriteriTecnici!$E$5:$E$6173="G")*(CriteriTecnici!$T$5:$T$6173="SI")*IFERROR(CriteriTecnici!$O$5:$O$6173*1,0)))&gt;0,MIN(7,SUMIFS(CriteriTecnici!$O:$O,CriteriTecnici!$Q:$Q,$A159&amp;"|"&amp;$C159,CriteriTecnici!$E:$E,"G")*(7/SUMPRODUCT(MAX((CriteriTecnici!$C$5:$C$6173=$C159)*(CriteriTecnici!$E$5:$E$6173="G")*(CriteriTecnici!$T$5:$T$6173="SI")*IFERROR(CriteriTecnici!$O$5:$O$6173*1,0))))),0),4),0),IFERROR($N159*1,0)),0))</f>
        <v/>
      </c>
      <c r="F159" s="56">
        <f>IF(Compila!$A169="","",Compila!$E169)</f>
        <v/>
      </c>
      <c r="G159" s="57">
        <f>IF($A159="","",IF(IFERROR(VALUE($D159),0)&lt;&gt;1,"NO",IF(IFERROR(VALUE($O159),0)&gt;=Parametri!$B$2,"SI","NO")))</f>
        <v/>
      </c>
      <c r="H159" s="57">
        <f>IF($G159="SI",SUMPRODUCT(MAX(($C$2:$C$200=$C159)*(IFERROR($D$2:$D$200*1,0)=1)*(IFERROR($O$2:$O$200*1,0)&gt;=Parametri!$B$2)*IFERROR($F$2:$F$200*1,0))),0)</f>
        <v/>
      </c>
      <c r="I159" s="57">
        <f>IF($G159="SI",IF($H159&gt;0,30*(IFERROR($F159*1,0)/$H159),0),0)</f>
        <v/>
      </c>
      <c r="J159" s="57">
        <f>IF($A159="",0,IF($G159="SI",ROUND(IFERROR($E159*1,0)+$I159,4),ROUND(IFERROR($E159*1,0),4)))</f>
        <v/>
      </c>
      <c r="K159" s="57">
        <f>IF($A159="","",IF(IFERROR(VALUE($D159),0)&lt;&gt;1,"Non attiva",IF(IFERROR(VALUE($O159),0)&lt;Parametri!$B$2,"Sotto soglia","")))</f>
        <v/>
      </c>
      <c r="L159" s="57">
        <f>IF($A159="","",$A159&amp;"|"&amp;$C159)</f>
        <v/>
      </c>
      <c r="M159" s="57">
        <f>IF($A159="","",$C159&amp;"|"&amp;TEXT($J159,"0.0000"))</f>
        <v/>
      </c>
      <c r="N159" s="57" t="n"/>
      <c r="O159" s="57">
        <f>IF($A159="",0,IFERROR(IF(SUMIFS(CriteriTecnici!$O:$O,CriteriTecnici!$Q:$Q,$A159&amp;"|"&amp;$C159)&gt;0,SUMIFS(CriteriTecnici!$O:$O,CriteriTecnici!$Q:$Q,$A159&amp;"|"&amp;$C159,CriteriTecnici!$F:$F,"Q")+SUMIFS(CriteriTecnici!$O:$O,CriteriTecnici!$Q:$Q,$A159&amp;"|"&amp;$C159,CriteriTecnici!$F:$F,"T"),IFERROR($N159*1,0)),0))</f>
        <v/>
      </c>
      <c r="P159" s="57">
        <f>IF($A159="","",IF(SUMIFS(CriteriTecnici!$O:$O,CriteriTecnici!$Q:$Q,$A159&amp;"|"&amp;$C159)&gt;0,"Criteri A-G","Aggregato"))</f>
        <v/>
      </c>
    </row>
    <row r="160">
      <c r="A160" s="56">
        <f>IF(Compila!$A170="","",Compila!$A170)</f>
        <v/>
      </c>
      <c r="B160" s="56">
        <f>IF(Compila!$A170="","",Compila!$B170)</f>
        <v/>
      </c>
      <c r="C160" s="56">
        <f>IF(Compila!$A170="","",Compila!$C170)</f>
        <v/>
      </c>
      <c r="D160" s="56">
        <f>IF(Compila!$A170="","",Compila!$D170)</f>
        <v/>
      </c>
      <c r="E160" s="57">
        <f>IF($A160="",0,IFERROR(IF(SUMIFS(CriteriTecnici!$O:$O,CriteriTecnici!$Q:$Q,$A160&amp;"|"&amp;$C160)&gt;0,IF($G160="SI",ROUND(IF(SUMPRODUCT(MAX((CriteriTecnici!$C$5:$C$6173=$C160)*(CriteriTecnici!$E$5:$E$6173="A")*(CriteriTecnici!$T$5:$T$6173="SI")*IFERROR(CriteriTecnici!$O$5:$O$6173*1,0)))&gt;0,MIN(7,SUMIFS(CriteriTecnici!$O:$O,CriteriTecnici!$Q:$Q,$A160&amp;"|"&amp;$C160,CriteriTecnici!$E:$E,"A")*(7/SUMPRODUCT(MAX((CriteriTecnici!$C$5:$C$6173=$C160)*(CriteriTecnici!$E$5:$E$6173="A")*(CriteriTecnici!$T$5:$T$6173="SI")*IFERROR(CriteriTecnici!$O$5:$O$6173*1,0))))),0)+IF(SUMPRODUCT(MAX((CriteriTecnici!$C$5:$C$6173=$C160)*(CriteriTecnici!$E$5:$E$6173="B")*(CriteriTecnici!$T$5:$T$6173="SI")*IFERROR(CriteriTecnici!$O$5:$O$6173*1,0)))&gt;0,MIN(14,SUMIFS(CriteriTecnici!$O:$O,CriteriTecnici!$Q:$Q,$A160&amp;"|"&amp;$C160,CriteriTecnici!$E:$E,"B")*(14/SUMPRODUCT(MAX((CriteriTecnici!$C$5:$C$6173=$C160)*(CriteriTecnici!$E$5:$E$6173="B")*(CriteriTecnici!$T$5:$T$6173="SI")*IFERROR(CriteriTecnici!$O$5:$O$6173*1,0))))),0)+IF(SUMPRODUCT(MAX((CriteriTecnici!$C$5:$C$6173=$C160)*(CriteriTecnici!$E$5:$E$6173="C")*(CriteriTecnici!$T$5:$T$6173="SI")*IFERROR(CriteriTecnici!$O$5:$O$6173*1,0)))&gt;0,MIN(14,SUMIFS(CriteriTecnici!$O:$O,CriteriTecnici!$Q:$Q,$A160&amp;"|"&amp;$C160,CriteriTecnici!$E:$E,"C")*(14/SUMPRODUCT(MAX((CriteriTecnici!$C$5:$C$6173=$C160)*(CriteriTecnici!$E$5:$E$6173="C")*(CriteriTecnici!$T$5:$T$6173="SI")*IFERROR(CriteriTecnici!$O$5:$O$6173*1,0))))),0)+IF(SUMPRODUCT(MAX((CriteriTecnici!$C$5:$C$6173=$C160)*(CriteriTecnici!$E$5:$E$6173="D")*(CriteriTecnici!$T$5:$T$6173="SI")*IFERROR(CriteriTecnici!$O$5:$O$6173*1,0)))&gt;0,MIN(10,SUMIFS(CriteriTecnici!$O:$O,CriteriTecnici!$Q:$Q,$A160&amp;"|"&amp;$C160,CriteriTecnici!$E:$E,"D")*(10/SUMPRODUCT(MAX((CriteriTecnici!$C$5:$C$6173=$C160)*(CriteriTecnici!$E$5:$E$6173="D")*(CriteriTecnici!$T$5:$T$6173="SI")*IFERROR(CriteriTecnici!$O$5:$O$6173*1,0))))),0)+IF(SUMPRODUCT(MAX((CriteriTecnici!$C$5:$C$6173=$C160)*(CriteriTecnici!$E$5:$E$6173="E")*(CriteriTecnici!$T$5:$T$6173="SI")*IFERROR(CriteriTecnici!$O$5:$O$6173*1,0)))&gt;0,MIN(4,SUMIFS(CriteriTecnici!$O:$O,CriteriTecnici!$Q:$Q,$A160&amp;"|"&amp;$C160,CriteriTecnici!$E:$E,"E")*(4/SUMPRODUCT(MAX((CriteriTecnici!$C$5:$C$6173=$C160)*(CriteriTecnici!$E$5:$E$6173="E")*(CriteriTecnici!$T$5:$T$6173="SI")*IFERROR(CriteriTecnici!$O$5:$O$6173*1,0))))),0)+IF(SUMPRODUCT(MAX((CriteriTecnici!$C$5:$C$6173=$C160)*(CriteriTecnici!$E$5:$E$6173="F")*(CriteriTecnici!$T$5:$T$6173="SI")*IFERROR(CriteriTecnici!$O$5:$O$6173*1,0)))&gt;0,MIN(14,SUMIFS(CriteriTecnici!$O:$O,CriteriTecnici!$Q:$Q,$A160&amp;"|"&amp;$C160,CriteriTecnici!$E:$E,"F")*(14/SUMPRODUCT(MAX((CriteriTecnici!$C$5:$C$6173=$C160)*(CriteriTecnici!$E$5:$E$6173="F")*(CriteriTecnici!$T$5:$T$6173="SI")*IFERROR(CriteriTecnici!$O$5:$O$6173*1,0))))),0)+IF(SUMPRODUCT(MAX((CriteriTecnici!$C$5:$C$6173=$C160)*(CriteriTecnici!$E$5:$E$6173="G")*(CriteriTecnici!$T$5:$T$6173="SI")*IFERROR(CriteriTecnici!$O$5:$O$6173*1,0)))&gt;0,MIN(7,SUMIFS(CriteriTecnici!$O:$O,CriteriTecnici!$Q:$Q,$A160&amp;"|"&amp;$C160,CriteriTecnici!$E:$E,"G")*(7/SUMPRODUCT(MAX((CriteriTecnici!$C$5:$C$6173=$C160)*(CriteriTecnici!$E$5:$E$6173="G")*(CriteriTecnici!$T$5:$T$6173="SI")*IFERROR(CriteriTecnici!$O$5:$O$6173*1,0))))),0),4),0),IFERROR($N160*1,0)),0))</f>
        <v/>
      </c>
      <c r="F160" s="56">
        <f>IF(Compila!$A170="","",Compila!$E170)</f>
        <v/>
      </c>
      <c r="G160" s="57">
        <f>IF($A160="","",IF(IFERROR(VALUE($D160),0)&lt;&gt;1,"NO",IF(IFERROR(VALUE($O160),0)&gt;=Parametri!$B$2,"SI","NO")))</f>
        <v/>
      </c>
      <c r="H160" s="57">
        <f>IF($G160="SI",SUMPRODUCT(MAX(($C$2:$C$200=$C160)*(IFERROR($D$2:$D$200*1,0)=1)*(IFERROR($O$2:$O$200*1,0)&gt;=Parametri!$B$2)*IFERROR($F$2:$F$200*1,0))),0)</f>
        <v/>
      </c>
      <c r="I160" s="57">
        <f>IF($G160="SI",IF($H160&gt;0,30*(IFERROR($F160*1,0)/$H160),0),0)</f>
        <v/>
      </c>
      <c r="J160" s="57">
        <f>IF($A160="",0,IF($G160="SI",ROUND(IFERROR($E160*1,0)+$I160,4),ROUND(IFERROR($E160*1,0),4)))</f>
        <v/>
      </c>
      <c r="K160" s="57">
        <f>IF($A160="","",IF(IFERROR(VALUE($D160),0)&lt;&gt;1,"Non attiva",IF(IFERROR(VALUE($O160),0)&lt;Parametri!$B$2,"Sotto soglia","")))</f>
        <v/>
      </c>
      <c r="L160" s="57">
        <f>IF($A160="","",$A160&amp;"|"&amp;$C160)</f>
        <v/>
      </c>
      <c r="M160" s="57">
        <f>IF($A160="","",$C160&amp;"|"&amp;TEXT($J160,"0.0000"))</f>
        <v/>
      </c>
      <c r="N160" s="57" t="n"/>
      <c r="O160" s="57">
        <f>IF($A160="",0,IFERROR(IF(SUMIFS(CriteriTecnici!$O:$O,CriteriTecnici!$Q:$Q,$A160&amp;"|"&amp;$C160)&gt;0,SUMIFS(CriteriTecnici!$O:$O,CriteriTecnici!$Q:$Q,$A160&amp;"|"&amp;$C160,CriteriTecnici!$F:$F,"Q")+SUMIFS(CriteriTecnici!$O:$O,CriteriTecnici!$Q:$Q,$A160&amp;"|"&amp;$C160,CriteriTecnici!$F:$F,"T"),IFERROR($N160*1,0)),0))</f>
        <v/>
      </c>
      <c r="P160" s="57">
        <f>IF($A160="","",IF(SUMIFS(CriteriTecnici!$O:$O,CriteriTecnici!$Q:$Q,$A160&amp;"|"&amp;$C160)&gt;0,"Criteri A-G","Aggregato"))</f>
        <v/>
      </c>
    </row>
    <row r="161">
      <c r="A161" s="56">
        <f>IF(Compila!$A171="","",Compila!$A171)</f>
        <v/>
      </c>
      <c r="B161" s="56">
        <f>IF(Compila!$A171="","",Compila!$B171)</f>
        <v/>
      </c>
      <c r="C161" s="56">
        <f>IF(Compila!$A171="","",Compila!$C171)</f>
        <v/>
      </c>
      <c r="D161" s="56">
        <f>IF(Compila!$A171="","",Compila!$D171)</f>
        <v/>
      </c>
      <c r="E161" s="57">
        <f>IF($A161="",0,IFERROR(IF(SUMIFS(CriteriTecnici!$O:$O,CriteriTecnici!$Q:$Q,$A161&amp;"|"&amp;$C161)&gt;0,IF($G161="SI",ROUND(IF(SUMPRODUCT(MAX((CriteriTecnici!$C$5:$C$6173=$C161)*(CriteriTecnici!$E$5:$E$6173="A")*(CriteriTecnici!$T$5:$T$6173="SI")*IFERROR(CriteriTecnici!$O$5:$O$6173*1,0)))&gt;0,MIN(7,SUMIFS(CriteriTecnici!$O:$O,CriteriTecnici!$Q:$Q,$A161&amp;"|"&amp;$C161,CriteriTecnici!$E:$E,"A")*(7/SUMPRODUCT(MAX((CriteriTecnici!$C$5:$C$6173=$C161)*(CriteriTecnici!$E$5:$E$6173="A")*(CriteriTecnici!$T$5:$T$6173="SI")*IFERROR(CriteriTecnici!$O$5:$O$6173*1,0))))),0)+IF(SUMPRODUCT(MAX((CriteriTecnici!$C$5:$C$6173=$C161)*(CriteriTecnici!$E$5:$E$6173="B")*(CriteriTecnici!$T$5:$T$6173="SI")*IFERROR(CriteriTecnici!$O$5:$O$6173*1,0)))&gt;0,MIN(14,SUMIFS(CriteriTecnici!$O:$O,CriteriTecnici!$Q:$Q,$A161&amp;"|"&amp;$C161,CriteriTecnici!$E:$E,"B")*(14/SUMPRODUCT(MAX((CriteriTecnici!$C$5:$C$6173=$C161)*(CriteriTecnici!$E$5:$E$6173="B")*(CriteriTecnici!$T$5:$T$6173="SI")*IFERROR(CriteriTecnici!$O$5:$O$6173*1,0))))),0)+IF(SUMPRODUCT(MAX((CriteriTecnici!$C$5:$C$6173=$C161)*(CriteriTecnici!$E$5:$E$6173="C")*(CriteriTecnici!$T$5:$T$6173="SI")*IFERROR(CriteriTecnici!$O$5:$O$6173*1,0)))&gt;0,MIN(14,SUMIFS(CriteriTecnici!$O:$O,CriteriTecnici!$Q:$Q,$A161&amp;"|"&amp;$C161,CriteriTecnici!$E:$E,"C")*(14/SUMPRODUCT(MAX((CriteriTecnici!$C$5:$C$6173=$C161)*(CriteriTecnici!$E$5:$E$6173="C")*(CriteriTecnici!$T$5:$T$6173="SI")*IFERROR(CriteriTecnici!$O$5:$O$6173*1,0))))),0)+IF(SUMPRODUCT(MAX((CriteriTecnici!$C$5:$C$6173=$C161)*(CriteriTecnici!$E$5:$E$6173="D")*(CriteriTecnici!$T$5:$T$6173="SI")*IFERROR(CriteriTecnici!$O$5:$O$6173*1,0)))&gt;0,MIN(10,SUMIFS(CriteriTecnici!$O:$O,CriteriTecnici!$Q:$Q,$A161&amp;"|"&amp;$C161,CriteriTecnici!$E:$E,"D")*(10/SUMPRODUCT(MAX((CriteriTecnici!$C$5:$C$6173=$C161)*(CriteriTecnici!$E$5:$E$6173="D")*(CriteriTecnici!$T$5:$T$6173="SI")*IFERROR(CriteriTecnici!$O$5:$O$6173*1,0))))),0)+IF(SUMPRODUCT(MAX((CriteriTecnici!$C$5:$C$6173=$C161)*(CriteriTecnici!$E$5:$E$6173="E")*(CriteriTecnici!$T$5:$T$6173="SI")*IFERROR(CriteriTecnici!$O$5:$O$6173*1,0)))&gt;0,MIN(4,SUMIFS(CriteriTecnici!$O:$O,CriteriTecnici!$Q:$Q,$A161&amp;"|"&amp;$C161,CriteriTecnici!$E:$E,"E")*(4/SUMPRODUCT(MAX((CriteriTecnici!$C$5:$C$6173=$C161)*(CriteriTecnici!$E$5:$E$6173="E")*(CriteriTecnici!$T$5:$T$6173="SI")*IFERROR(CriteriTecnici!$O$5:$O$6173*1,0))))),0)+IF(SUMPRODUCT(MAX((CriteriTecnici!$C$5:$C$6173=$C161)*(CriteriTecnici!$E$5:$E$6173="F")*(CriteriTecnici!$T$5:$T$6173="SI")*IFERROR(CriteriTecnici!$O$5:$O$6173*1,0)))&gt;0,MIN(14,SUMIFS(CriteriTecnici!$O:$O,CriteriTecnici!$Q:$Q,$A161&amp;"|"&amp;$C161,CriteriTecnici!$E:$E,"F")*(14/SUMPRODUCT(MAX((CriteriTecnici!$C$5:$C$6173=$C161)*(CriteriTecnici!$E$5:$E$6173="F")*(CriteriTecnici!$T$5:$T$6173="SI")*IFERROR(CriteriTecnici!$O$5:$O$6173*1,0))))),0)+IF(SUMPRODUCT(MAX((CriteriTecnici!$C$5:$C$6173=$C161)*(CriteriTecnici!$E$5:$E$6173="G")*(CriteriTecnici!$T$5:$T$6173="SI")*IFERROR(CriteriTecnici!$O$5:$O$6173*1,0)))&gt;0,MIN(7,SUMIFS(CriteriTecnici!$O:$O,CriteriTecnici!$Q:$Q,$A161&amp;"|"&amp;$C161,CriteriTecnici!$E:$E,"G")*(7/SUMPRODUCT(MAX((CriteriTecnici!$C$5:$C$6173=$C161)*(CriteriTecnici!$E$5:$E$6173="G")*(CriteriTecnici!$T$5:$T$6173="SI")*IFERROR(CriteriTecnici!$O$5:$O$6173*1,0))))),0),4),0),IFERROR($N161*1,0)),0))</f>
        <v/>
      </c>
      <c r="F161" s="56">
        <f>IF(Compila!$A171="","",Compila!$E171)</f>
        <v/>
      </c>
      <c r="G161" s="57">
        <f>IF($A161="","",IF(IFERROR(VALUE($D161),0)&lt;&gt;1,"NO",IF(IFERROR(VALUE($O161),0)&gt;=Parametri!$B$2,"SI","NO")))</f>
        <v/>
      </c>
      <c r="H161" s="57">
        <f>IF($G161="SI",SUMPRODUCT(MAX(($C$2:$C$200=$C161)*(IFERROR($D$2:$D$200*1,0)=1)*(IFERROR($O$2:$O$200*1,0)&gt;=Parametri!$B$2)*IFERROR($F$2:$F$200*1,0))),0)</f>
        <v/>
      </c>
      <c r="I161" s="57">
        <f>IF($G161="SI",IF($H161&gt;0,30*(IFERROR($F161*1,0)/$H161),0),0)</f>
        <v/>
      </c>
      <c r="J161" s="57">
        <f>IF($A161="",0,IF($G161="SI",ROUND(IFERROR($E161*1,0)+$I161,4),ROUND(IFERROR($E161*1,0),4)))</f>
        <v/>
      </c>
      <c r="K161" s="57">
        <f>IF($A161="","",IF(IFERROR(VALUE($D161),0)&lt;&gt;1,"Non attiva",IF(IFERROR(VALUE($O161),0)&lt;Parametri!$B$2,"Sotto soglia","")))</f>
        <v/>
      </c>
      <c r="L161" s="57">
        <f>IF($A161="","",$A161&amp;"|"&amp;$C161)</f>
        <v/>
      </c>
      <c r="M161" s="57">
        <f>IF($A161="","",$C161&amp;"|"&amp;TEXT($J161,"0.0000"))</f>
        <v/>
      </c>
      <c r="N161" s="57" t="n"/>
      <c r="O161" s="57">
        <f>IF($A161="",0,IFERROR(IF(SUMIFS(CriteriTecnici!$O:$O,CriteriTecnici!$Q:$Q,$A161&amp;"|"&amp;$C161)&gt;0,SUMIFS(CriteriTecnici!$O:$O,CriteriTecnici!$Q:$Q,$A161&amp;"|"&amp;$C161,CriteriTecnici!$F:$F,"Q")+SUMIFS(CriteriTecnici!$O:$O,CriteriTecnici!$Q:$Q,$A161&amp;"|"&amp;$C161,CriteriTecnici!$F:$F,"T"),IFERROR($N161*1,0)),0))</f>
        <v/>
      </c>
      <c r="P161" s="57">
        <f>IF($A161="","",IF(SUMIFS(CriteriTecnici!$O:$O,CriteriTecnici!$Q:$Q,$A161&amp;"|"&amp;$C161)&gt;0,"Criteri A-G","Aggregato"))</f>
        <v/>
      </c>
    </row>
    <row r="162">
      <c r="A162" s="56">
        <f>IF(Compila!$A172="","",Compila!$A172)</f>
        <v/>
      </c>
      <c r="B162" s="56">
        <f>IF(Compila!$A172="","",Compila!$B172)</f>
        <v/>
      </c>
      <c r="C162" s="56">
        <f>IF(Compila!$A172="","",Compila!$C172)</f>
        <v/>
      </c>
      <c r="D162" s="56">
        <f>IF(Compila!$A172="","",Compila!$D172)</f>
        <v/>
      </c>
      <c r="E162" s="57">
        <f>IF($A162="",0,IFERROR(IF(SUMIFS(CriteriTecnici!$O:$O,CriteriTecnici!$Q:$Q,$A162&amp;"|"&amp;$C162)&gt;0,IF($G162="SI",ROUND(IF(SUMPRODUCT(MAX((CriteriTecnici!$C$5:$C$6173=$C162)*(CriteriTecnici!$E$5:$E$6173="A")*(CriteriTecnici!$T$5:$T$6173="SI")*IFERROR(CriteriTecnici!$O$5:$O$6173*1,0)))&gt;0,MIN(7,SUMIFS(CriteriTecnici!$O:$O,CriteriTecnici!$Q:$Q,$A162&amp;"|"&amp;$C162,CriteriTecnici!$E:$E,"A")*(7/SUMPRODUCT(MAX((CriteriTecnici!$C$5:$C$6173=$C162)*(CriteriTecnici!$E$5:$E$6173="A")*(CriteriTecnici!$T$5:$T$6173="SI")*IFERROR(CriteriTecnici!$O$5:$O$6173*1,0))))),0)+IF(SUMPRODUCT(MAX((CriteriTecnici!$C$5:$C$6173=$C162)*(CriteriTecnici!$E$5:$E$6173="B")*(CriteriTecnici!$T$5:$T$6173="SI")*IFERROR(CriteriTecnici!$O$5:$O$6173*1,0)))&gt;0,MIN(14,SUMIFS(CriteriTecnici!$O:$O,CriteriTecnici!$Q:$Q,$A162&amp;"|"&amp;$C162,CriteriTecnici!$E:$E,"B")*(14/SUMPRODUCT(MAX((CriteriTecnici!$C$5:$C$6173=$C162)*(CriteriTecnici!$E$5:$E$6173="B")*(CriteriTecnici!$T$5:$T$6173="SI")*IFERROR(CriteriTecnici!$O$5:$O$6173*1,0))))),0)+IF(SUMPRODUCT(MAX((CriteriTecnici!$C$5:$C$6173=$C162)*(CriteriTecnici!$E$5:$E$6173="C")*(CriteriTecnici!$T$5:$T$6173="SI")*IFERROR(CriteriTecnici!$O$5:$O$6173*1,0)))&gt;0,MIN(14,SUMIFS(CriteriTecnici!$O:$O,CriteriTecnici!$Q:$Q,$A162&amp;"|"&amp;$C162,CriteriTecnici!$E:$E,"C")*(14/SUMPRODUCT(MAX((CriteriTecnici!$C$5:$C$6173=$C162)*(CriteriTecnici!$E$5:$E$6173="C")*(CriteriTecnici!$T$5:$T$6173="SI")*IFERROR(CriteriTecnici!$O$5:$O$6173*1,0))))),0)+IF(SUMPRODUCT(MAX((CriteriTecnici!$C$5:$C$6173=$C162)*(CriteriTecnici!$E$5:$E$6173="D")*(CriteriTecnici!$T$5:$T$6173="SI")*IFERROR(CriteriTecnici!$O$5:$O$6173*1,0)))&gt;0,MIN(10,SUMIFS(CriteriTecnici!$O:$O,CriteriTecnici!$Q:$Q,$A162&amp;"|"&amp;$C162,CriteriTecnici!$E:$E,"D")*(10/SUMPRODUCT(MAX((CriteriTecnici!$C$5:$C$6173=$C162)*(CriteriTecnici!$E$5:$E$6173="D")*(CriteriTecnici!$T$5:$T$6173="SI")*IFERROR(CriteriTecnici!$O$5:$O$6173*1,0))))),0)+IF(SUMPRODUCT(MAX((CriteriTecnici!$C$5:$C$6173=$C162)*(CriteriTecnici!$E$5:$E$6173="E")*(CriteriTecnici!$T$5:$T$6173="SI")*IFERROR(CriteriTecnici!$O$5:$O$6173*1,0)))&gt;0,MIN(4,SUMIFS(CriteriTecnici!$O:$O,CriteriTecnici!$Q:$Q,$A162&amp;"|"&amp;$C162,CriteriTecnici!$E:$E,"E")*(4/SUMPRODUCT(MAX((CriteriTecnici!$C$5:$C$6173=$C162)*(CriteriTecnici!$E$5:$E$6173="E")*(CriteriTecnici!$T$5:$T$6173="SI")*IFERROR(CriteriTecnici!$O$5:$O$6173*1,0))))),0)+IF(SUMPRODUCT(MAX((CriteriTecnici!$C$5:$C$6173=$C162)*(CriteriTecnici!$E$5:$E$6173="F")*(CriteriTecnici!$T$5:$T$6173="SI")*IFERROR(CriteriTecnici!$O$5:$O$6173*1,0)))&gt;0,MIN(14,SUMIFS(CriteriTecnici!$O:$O,CriteriTecnici!$Q:$Q,$A162&amp;"|"&amp;$C162,CriteriTecnici!$E:$E,"F")*(14/SUMPRODUCT(MAX((CriteriTecnici!$C$5:$C$6173=$C162)*(CriteriTecnici!$E$5:$E$6173="F")*(CriteriTecnici!$T$5:$T$6173="SI")*IFERROR(CriteriTecnici!$O$5:$O$6173*1,0))))),0)+IF(SUMPRODUCT(MAX((CriteriTecnici!$C$5:$C$6173=$C162)*(CriteriTecnici!$E$5:$E$6173="G")*(CriteriTecnici!$T$5:$T$6173="SI")*IFERROR(CriteriTecnici!$O$5:$O$6173*1,0)))&gt;0,MIN(7,SUMIFS(CriteriTecnici!$O:$O,CriteriTecnici!$Q:$Q,$A162&amp;"|"&amp;$C162,CriteriTecnici!$E:$E,"G")*(7/SUMPRODUCT(MAX((CriteriTecnici!$C$5:$C$6173=$C162)*(CriteriTecnici!$E$5:$E$6173="G")*(CriteriTecnici!$T$5:$T$6173="SI")*IFERROR(CriteriTecnici!$O$5:$O$6173*1,0))))),0),4),0),IFERROR($N162*1,0)),0))</f>
        <v/>
      </c>
      <c r="F162" s="56">
        <f>IF(Compila!$A172="","",Compila!$E172)</f>
        <v/>
      </c>
      <c r="G162" s="57">
        <f>IF($A162="","",IF(IFERROR(VALUE($D162),0)&lt;&gt;1,"NO",IF(IFERROR(VALUE($O162),0)&gt;=Parametri!$B$2,"SI","NO")))</f>
        <v/>
      </c>
      <c r="H162" s="57">
        <f>IF($G162="SI",SUMPRODUCT(MAX(($C$2:$C$200=$C162)*(IFERROR($D$2:$D$200*1,0)=1)*(IFERROR($O$2:$O$200*1,0)&gt;=Parametri!$B$2)*IFERROR($F$2:$F$200*1,0))),0)</f>
        <v/>
      </c>
      <c r="I162" s="57">
        <f>IF($G162="SI",IF($H162&gt;0,30*(IFERROR($F162*1,0)/$H162),0),0)</f>
        <v/>
      </c>
      <c r="J162" s="57">
        <f>IF($A162="",0,IF($G162="SI",ROUND(IFERROR($E162*1,0)+$I162,4),ROUND(IFERROR($E162*1,0),4)))</f>
        <v/>
      </c>
      <c r="K162" s="57">
        <f>IF($A162="","",IF(IFERROR(VALUE($D162),0)&lt;&gt;1,"Non attiva",IF(IFERROR(VALUE($O162),0)&lt;Parametri!$B$2,"Sotto soglia","")))</f>
        <v/>
      </c>
      <c r="L162" s="57">
        <f>IF($A162="","",$A162&amp;"|"&amp;$C162)</f>
        <v/>
      </c>
      <c r="M162" s="57">
        <f>IF($A162="","",$C162&amp;"|"&amp;TEXT($J162,"0.0000"))</f>
        <v/>
      </c>
      <c r="N162" s="57" t="n"/>
      <c r="O162" s="57">
        <f>IF($A162="",0,IFERROR(IF(SUMIFS(CriteriTecnici!$O:$O,CriteriTecnici!$Q:$Q,$A162&amp;"|"&amp;$C162)&gt;0,SUMIFS(CriteriTecnici!$O:$O,CriteriTecnici!$Q:$Q,$A162&amp;"|"&amp;$C162,CriteriTecnici!$F:$F,"Q")+SUMIFS(CriteriTecnici!$O:$O,CriteriTecnici!$Q:$Q,$A162&amp;"|"&amp;$C162,CriteriTecnici!$F:$F,"T"),IFERROR($N162*1,0)),0))</f>
        <v/>
      </c>
      <c r="P162" s="57">
        <f>IF($A162="","",IF(SUMIFS(CriteriTecnici!$O:$O,CriteriTecnici!$Q:$Q,$A162&amp;"|"&amp;$C162)&gt;0,"Criteri A-G","Aggregato"))</f>
        <v/>
      </c>
    </row>
    <row r="163">
      <c r="A163" s="56">
        <f>IF(Compila!$A173="","",Compila!$A173)</f>
        <v/>
      </c>
      <c r="B163" s="56">
        <f>IF(Compila!$A173="","",Compila!$B173)</f>
        <v/>
      </c>
      <c r="C163" s="56">
        <f>IF(Compila!$A173="","",Compila!$C173)</f>
        <v/>
      </c>
      <c r="D163" s="56">
        <f>IF(Compila!$A173="","",Compila!$D173)</f>
        <v/>
      </c>
      <c r="E163" s="57">
        <f>IF($A163="",0,IFERROR(IF(SUMIFS(CriteriTecnici!$O:$O,CriteriTecnici!$Q:$Q,$A163&amp;"|"&amp;$C163)&gt;0,IF($G163="SI",ROUND(IF(SUMPRODUCT(MAX((CriteriTecnici!$C$5:$C$6173=$C163)*(CriteriTecnici!$E$5:$E$6173="A")*(CriteriTecnici!$T$5:$T$6173="SI")*IFERROR(CriteriTecnici!$O$5:$O$6173*1,0)))&gt;0,MIN(7,SUMIFS(CriteriTecnici!$O:$O,CriteriTecnici!$Q:$Q,$A163&amp;"|"&amp;$C163,CriteriTecnici!$E:$E,"A")*(7/SUMPRODUCT(MAX((CriteriTecnici!$C$5:$C$6173=$C163)*(CriteriTecnici!$E$5:$E$6173="A")*(CriteriTecnici!$T$5:$T$6173="SI")*IFERROR(CriteriTecnici!$O$5:$O$6173*1,0))))),0)+IF(SUMPRODUCT(MAX((CriteriTecnici!$C$5:$C$6173=$C163)*(CriteriTecnici!$E$5:$E$6173="B")*(CriteriTecnici!$T$5:$T$6173="SI")*IFERROR(CriteriTecnici!$O$5:$O$6173*1,0)))&gt;0,MIN(14,SUMIFS(CriteriTecnici!$O:$O,CriteriTecnici!$Q:$Q,$A163&amp;"|"&amp;$C163,CriteriTecnici!$E:$E,"B")*(14/SUMPRODUCT(MAX((CriteriTecnici!$C$5:$C$6173=$C163)*(CriteriTecnici!$E$5:$E$6173="B")*(CriteriTecnici!$T$5:$T$6173="SI")*IFERROR(CriteriTecnici!$O$5:$O$6173*1,0))))),0)+IF(SUMPRODUCT(MAX((CriteriTecnici!$C$5:$C$6173=$C163)*(CriteriTecnici!$E$5:$E$6173="C")*(CriteriTecnici!$T$5:$T$6173="SI")*IFERROR(CriteriTecnici!$O$5:$O$6173*1,0)))&gt;0,MIN(14,SUMIFS(CriteriTecnici!$O:$O,CriteriTecnici!$Q:$Q,$A163&amp;"|"&amp;$C163,CriteriTecnici!$E:$E,"C")*(14/SUMPRODUCT(MAX((CriteriTecnici!$C$5:$C$6173=$C163)*(CriteriTecnici!$E$5:$E$6173="C")*(CriteriTecnici!$T$5:$T$6173="SI")*IFERROR(CriteriTecnici!$O$5:$O$6173*1,0))))),0)+IF(SUMPRODUCT(MAX((CriteriTecnici!$C$5:$C$6173=$C163)*(CriteriTecnici!$E$5:$E$6173="D")*(CriteriTecnici!$T$5:$T$6173="SI")*IFERROR(CriteriTecnici!$O$5:$O$6173*1,0)))&gt;0,MIN(10,SUMIFS(CriteriTecnici!$O:$O,CriteriTecnici!$Q:$Q,$A163&amp;"|"&amp;$C163,CriteriTecnici!$E:$E,"D")*(10/SUMPRODUCT(MAX((CriteriTecnici!$C$5:$C$6173=$C163)*(CriteriTecnici!$E$5:$E$6173="D")*(CriteriTecnici!$T$5:$T$6173="SI")*IFERROR(CriteriTecnici!$O$5:$O$6173*1,0))))),0)+IF(SUMPRODUCT(MAX((CriteriTecnici!$C$5:$C$6173=$C163)*(CriteriTecnici!$E$5:$E$6173="E")*(CriteriTecnici!$T$5:$T$6173="SI")*IFERROR(CriteriTecnici!$O$5:$O$6173*1,0)))&gt;0,MIN(4,SUMIFS(CriteriTecnici!$O:$O,CriteriTecnici!$Q:$Q,$A163&amp;"|"&amp;$C163,CriteriTecnici!$E:$E,"E")*(4/SUMPRODUCT(MAX((CriteriTecnici!$C$5:$C$6173=$C163)*(CriteriTecnici!$E$5:$E$6173="E")*(CriteriTecnici!$T$5:$T$6173="SI")*IFERROR(CriteriTecnici!$O$5:$O$6173*1,0))))),0)+IF(SUMPRODUCT(MAX((CriteriTecnici!$C$5:$C$6173=$C163)*(CriteriTecnici!$E$5:$E$6173="F")*(CriteriTecnici!$T$5:$T$6173="SI")*IFERROR(CriteriTecnici!$O$5:$O$6173*1,0)))&gt;0,MIN(14,SUMIFS(CriteriTecnici!$O:$O,CriteriTecnici!$Q:$Q,$A163&amp;"|"&amp;$C163,CriteriTecnici!$E:$E,"F")*(14/SUMPRODUCT(MAX((CriteriTecnici!$C$5:$C$6173=$C163)*(CriteriTecnici!$E$5:$E$6173="F")*(CriteriTecnici!$T$5:$T$6173="SI")*IFERROR(CriteriTecnici!$O$5:$O$6173*1,0))))),0)+IF(SUMPRODUCT(MAX((CriteriTecnici!$C$5:$C$6173=$C163)*(CriteriTecnici!$E$5:$E$6173="G")*(CriteriTecnici!$T$5:$T$6173="SI")*IFERROR(CriteriTecnici!$O$5:$O$6173*1,0)))&gt;0,MIN(7,SUMIFS(CriteriTecnici!$O:$O,CriteriTecnici!$Q:$Q,$A163&amp;"|"&amp;$C163,CriteriTecnici!$E:$E,"G")*(7/SUMPRODUCT(MAX((CriteriTecnici!$C$5:$C$6173=$C163)*(CriteriTecnici!$E$5:$E$6173="G")*(CriteriTecnici!$T$5:$T$6173="SI")*IFERROR(CriteriTecnici!$O$5:$O$6173*1,0))))),0),4),0),IFERROR($N163*1,0)),0))</f>
        <v/>
      </c>
      <c r="F163" s="56">
        <f>IF(Compila!$A173="","",Compila!$E173)</f>
        <v/>
      </c>
      <c r="G163" s="57">
        <f>IF($A163="","",IF(IFERROR(VALUE($D163),0)&lt;&gt;1,"NO",IF(IFERROR(VALUE($O163),0)&gt;=Parametri!$B$2,"SI","NO")))</f>
        <v/>
      </c>
      <c r="H163" s="57">
        <f>IF($G163="SI",SUMPRODUCT(MAX(($C$2:$C$200=$C163)*(IFERROR($D$2:$D$200*1,0)=1)*(IFERROR($O$2:$O$200*1,0)&gt;=Parametri!$B$2)*IFERROR($F$2:$F$200*1,0))),0)</f>
        <v/>
      </c>
      <c r="I163" s="57">
        <f>IF($G163="SI",IF($H163&gt;0,30*(IFERROR($F163*1,0)/$H163),0),0)</f>
        <v/>
      </c>
      <c r="J163" s="57">
        <f>IF($A163="",0,IF($G163="SI",ROUND(IFERROR($E163*1,0)+$I163,4),ROUND(IFERROR($E163*1,0),4)))</f>
        <v/>
      </c>
      <c r="K163" s="57">
        <f>IF($A163="","",IF(IFERROR(VALUE($D163),0)&lt;&gt;1,"Non attiva",IF(IFERROR(VALUE($O163),0)&lt;Parametri!$B$2,"Sotto soglia","")))</f>
        <v/>
      </c>
      <c r="L163" s="57">
        <f>IF($A163="","",$A163&amp;"|"&amp;$C163)</f>
        <v/>
      </c>
      <c r="M163" s="57">
        <f>IF($A163="","",$C163&amp;"|"&amp;TEXT($J163,"0.0000"))</f>
        <v/>
      </c>
      <c r="N163" s="57" t="n"/>
      <c r="O163" s="57">
        <f>IF($A163="",0,IFERROR(IF(SUMIFS(CriteriTecnici!$O:$O,CriteriTecnici!$Q:$Q,$A163&amp;"|"&amp;$C163)&gt;0,SUMIFS(CriteriTecnici!$O:$O,CriteriTecnici!$Q:$Q,$A163&amp;"|"&amp;$C163,CriteriTecnici!$F:$F,"Q")+SUMIFS(CriteriTecnici!$O:$O,CriteriTecnici!$Q:$Q,$A163&amp;"|"&amp;$C163,CriteriTecnici!$F:$F,"T"),IFERROR($N163*1,0)),0))</f>
        <v/>
      </c>
      <c r="P163" s="57">
        <f>IF($A163="","",IF(SUMIFS(CriteriTecnici!$O:$O,CriteriTecnici!$Q:$Q,$A163&amp;"|"&amp;$C163)&gt;0,"Criteri A-G","Aggregato"))</f>
        <v/>
      </c>
    </row>
    <row r="164">
      <c r="A164" s="56">
        <f>IF(Compila!$A174="","",Compila!$A174)</f>
        <v/>
      </c>
      <c r="B164" s="56">
        <f>IF(Compila!$A174="","",Compila!$B174)</f>
        <v/>
      </c>
      <c r="C164" s="56">
        <f>IF(Compila!$A174="","",Compila!$C174)</f>
        <v/>
      </c>
      <c r="D164" s="56">
        <f>IF(Compila!$A174="","",Compila!$D174)</f>
        <v/>
      </c>
      <c r="E164" s="57">
        <f>IF($A164="",0,IFERROR(IF(SUMIFS(CriteriTecnici!$O:$O,CriteriTecnici!$Q:$Q,$A164&amp;"|"&amp;$C164)&gt;0,IF($G164="SI",ROUND(IF(SUMPRODUCT(MAX((CriteriTecnici!$C$5:$C$6173=$C164)*(CriteriTecnici!$E$5:$E$6173="A")*(CriteriTecnici!$T$5:$T$6173="SI")*IFERROR(CriteriTecnici!$O$5:$O$6173*1,0)))&gt;0,MIN(7,SUMIFS(CriteriTecnici!$O:$O,CriteriTecnici!$Q:$Q,$A164&amp;"|"&amp;$C164,CriteriTecnici!$E:$E,"A")*(7/SUMPRODUCT(MAX((CriteriTecnici!$C$5:$C$6173=$C164)*(CriteriTecnici!$E$5:$E$6173="A")*(CriteriTecnici!$T$5:$T$6173="SI")*IFERROR(CriteriTecnici!$O$5:$O$6173*1,0))))),0)+IF(SUMPRODUCT(MAX((CriteriTecnici!$C$5:$C$6173=$C164)*(CriteriTecnici!$E$5:$E$6173="B")*(CriteriTecnici!$T$5:$T$6173="SI")*IFERROR(CriteriTecnici!$O$5:$O$6173*1,0)))&gt;0,MIN(14,SUMIFS(CriteriTecnici!$O:$O,CriteriTecnici!$Q:$Q,$A164&amp;"|"&amp;$C164,CriteriTecnici!$E:$E,"B")*(14/SUMPRODUCT(MAX((CriteriTecnici!$C$5:$C$6173=$C164)*(CriteriTecnici!$E$5:$E$6173="B")*(CriteriTecnici!$T$5:$T$6173="SI")*IFERROR(CriteriTecnici!$O$5:$O$6173*1,0))))),0)+IF(SUMPRODUCT(MAX((CriteriTecnici!$C$5:$C$6173=$C164)*(CriteriTecnici!$E$5:$E$6173="C")*(CriteriTecnici!$T$5:$T$6173="SI")*IFERROR(CriteriTecnici!$O$5:$O$6173*1,0)))&gt;0,MIN(14,SUMIFS(CriteriTecnici!$O:$O,CriteriTecnici!$Q:$Q,$A164&amp;"|"&amp;$C164,CriteriTecnici!$E:$E,"C")*(14/SUMPRODUCT(MAX((CriteriTecnici!$C$5:$C$6173=$C164)*(CriteriTecnici!$E$5:$E$6173="C")*(CriteriTecnici!$T$5:$T$6173="SI")*IFERROR(CriteriTecnici!$O$5:$O$6173*1,0))))),0)+IF(SUMPRODUCT(MAX((CriteriTecnici!$C$5:$C$6173=$C164)*(CriteriTecnici!$E$5:$E$6173="D")*(CriteriTecnici!$T$5:$T$6173="SI")*IFERROR(CriteriTecnici!$O$5:$O$6173*1,0)))&gt;0,MIN(10,SUMIFS(CriteriTecnici!$O:$O,CriteriTecnici!$Q:$Q,$A164&amp;"|"&amp;$C164,CriteriTecnici!$E:$E,"D")*(10/SUMPRODUCT(MAX((CriteriTecnici!$C$5:$C$6173=$C164)*(CriteriTecnici!$E$5:$E$6173="D")*(CriteriTecnici!$T$5:$T$6173="SI")*IFERROR(CriteriTecnici!$O$5:$O$6173*1,0))))),0)+IF(SUMPRODUCT(MAX((CriteriTecnici!$C$5:$C$6173=$C164)*(CriteriTecnici!$E$5:$E$6173="E")*(CriteriTecnici!$T$5:$T$6173="SI")*IFERROR(CriteriTecnici!$O$5:$O$6173*1,0)))&gt;0,MIN(4,SUMIFS(CriteriTecnici!$O:$O,CriteriTecnici!$Q:$Q,$A164&amp;"|"&amp;$C164,CriteriTecnici!$E:$E,"E")*(4/SUMPRODUCT(MAX((CriteriTecnici!$C$5:$C$6173=$C164)*(CriteriTecnici!$E$5:$E$6173="E")*(CriteriTecnici!$T$5:$T$6173="SI")*IFERROR(CriteriTecnici!$O$5:$O$6173*1,0))))),0)+IF(SUMPRODUCT(MAX((CriteriTecnici!$C$5:$C$6173=$C164)*(CriteriTecnici!$E$5:$E$6173="F")*(CriteriTecnici!$T$5:$T$6173="SI")*IFERROR(CriteriTecnici!$O$5:$O$6173*1,0)))&gt;0,MIN(14,SUMIFS(CriteriTecnici!$O:$O,CriteriTecnici!$Q:$Q,$A164&amp;"|"&amp;$C164,CriteriTecnici!$E:$E,"F")*(14/SUMPRODUCT(MAX((CriteriTecnici!$C$5:$C$6173=$C164)*(CriteriTecnici!$E$5:$E$6173="F")*(CriteriTecnici!$T$5:$T$6173="SI")*IFERROR(CriteriTecnici!$O$5:$O$6173*1,0))))),0)+IF(SUMPRODUCT(MAX((CriteriTecnici!$C$5:$C$6173=$C164)*(CriteriTecnici!$E$5:$E$6173="G")*(CriteriTecnici!$T$5:$T$6173="SI")*IFERROR(CriteriTecnici!$O$5:$O$6173*1,0)))&gt;0,MIN(7,SUMIFS(CriteriTecnici!$O:$O,CriteriTecnici!$Q:$Q,$A164&amp;"|"&amp;$C164,CriteriTecnici!$E:$E,"G")*(7/SUMPRODUCT(MAX((CriteriTecnici!$C$5:$C$6173=$C164)*(CriteriTecnici!$E$5:$E$6173="G")*(CriteriTecnici!$T$5:$T$6173="SI")*IFERROR(CriteriTecnici!$O$5:$O$6173*1,0))))),0),4),0),IFERROR($N164*1,0)),0))</f>
        <v/>
      </c>
      <c r="F164" s="56">
        <f>IF(Compila!$A174="","",Compila!$E174)</f>
        <v/>
      </c>
      <c r="G164" s="57">
        <f>IF($A164="","",IF(IFERROR(VALUE($D164),0)&lt;&gt;1,"NO",IF(IFERROR(VALUE($O164),0)&gt;=Parametri!$B$2,"SI","NO")))</f>
        <v/>
      </c>
      <c r="H164" s="57">
        <f>IF($G164="SI",SUMPRODUCT(MAX(($C$2:$C$200=$C164)*(IFERROR($D$2:$D$200*1,0)=1)*(IFERROR($O$2:$O$200*1,0)&gt;=Parametri!$B$2)*IFERROR($F$2:$F$200*1,0))),0)</f>
        <v/>
      </c>
      <c r="I164" s="57">
        <f>IF($G164="SI",IF($H164&gt;0,30*(IFERROR($F164*1,0)/$H164),0),0)</f>
        <v/>
      </c>
      <c r="J164" s="57">
        <f>IF($A164="",0,IF($G164="SI",ROUND(IFERROR($E164*1,0)+$I164,4),ROUND(IFERROR($E164*1,0),4)))</f>
        <v/>
      </c>
      <c r="K164" s="57">
        <f>IF($A164="","",IF(IFERROR(VALUE($D164),0)&lt;&gt;1,"Non attiva",IF(IFERROR(VALUE($O164),0)&lt;Parametri!$B$2,"Sotto soglia","")))</f>
        <v/>
      </c>
      <c r="L164" s="57">
        <f>IF($A164="","",$A164&amp;"|"&amp;$C164)</f>
        <v/>
      </c>
      <c r="M164" s="57">
        <f>IF($A164="","",$C164&amp;"|"&amp;TEXT($J164,"0.0000"))</f>
        <v/>
      </c>
      <c r="N164" s="57" t="n"/>
      <c r="O164" s="57">
        <f>IF($A164="",0,IFERROR(IF(SUMIFS(CriteriTecnici!$O:$O,CriteriTecnici!$Q:$Q,$A164&amp;"|"&amp;$C164)&gt;0,SUMIFS(CriteriTecnici!$O:$O,CriteriTecnici!$Q:$Q,$A164&amp;"|"&amp;$C164,CriteriTecnici!$F:$F,"Q")+SUMIFS(CriteriTecnici!$O:$O,CriteriTecnici!$Q:$Q,$A164&amp;"|"&amp;$C164,CriteriTecnici!$F:$F,"T"),IFERROR($N164*1,0)),0))</f>
        <v/>
      </c>
      <c r="P164" s="57">
        <f>IF($A164="","",IF(SUMIFS(CriteriTecnici!$O:$O,CriteriTecnici!$Q:$Q,$A164&amp;"|"&amp;$C164)&gt;0,"Criteri A-G","Aggregato"))</f>
        <v/>
      </c>
    </row>
    <row r="165">
      <c r="A165" s="56">
        <f>IF(Compila!$A175="","",Compila!$A175)</f>
        <v/>
      </c>
      <c r="B165" s="56">
        <f>IF(Compila!$A175="","",Compila!$B175)</f>
        <v/>
      </c>
      <c r="C165" s="56">
        <f>IF(Compila!$A175="","",Compila!$C175)</f>
        <v/>
      </c>
      <c r="D165" s="56">
        <f>IF(Compila!$A175="","",Compila!$D175)</f>
        <v/>
      </c>
      <c r="E165" s="57">
        <f>IF($A165="",0,IFERROR(IF(SUMIFS(CriteriTecnici!$O:$O,CriteriTecnici!$Q:$Q,$A165&amp;"|"&amp;$C165)&gt;0,IF($G165="SI",ROUND(IF(SUMPRODUCT(MAX((CriteriTecnici!$C$5:$C$6173=$C165)*(CriteriTecnici!$E$5:$E$6173="A")*(CriteriTecnici!$T$5:$T$6173="SI")*IFERROR(CriteriTecnici!$O$5:$O$6173*1,0)))&gt;0,MIN(7,SUMIFS(CriteriTecnici!$O:$O,CriteriTecnici!$Q:$Q,$A165&amp;"|"&amp;$C165,CriteriTecnici!$E:$E,"A")*(7/SUMPRODUCT(MAX((CriteriTecnici!$C$5:$C$6173=$C165)*(CriteriTecnici!$E$5:$E$6173="A")*(CriteriTecnici!$T$5:$T$6173="SI")*IFERROR(CriteriTecnici!$O$5:$O$6173*1,0))))),0)+IF(SUMPRODUCT(MAX((CriteriTecnici!$C$5:$C$6173=$C165)*(CriteriTecnici!$E$5:$E$6173="B")*(CriteriTecnici!$T$5:$T$6173="SI")*IFERROR(CriteriTecnici!$O$5:$O$6173*1,0)))&gt;0,MIN(14,SUMIFS(CriteriTecnici!$O:$O,CriteriTecnici!$Q:$Q,$A165&amp;"|"&amp;$C165,CriteriTecnici!$E:$E,"B")*(14/SUMPRODUCT(MAX((CriteriTecnici!$C$5:$C$6173=$C165)*(CriteriTecnici!$E$5:$E$6173="B")*(CriteriTecnici!$T$5:$T$6173="SI")*IFERROR(CriteriTecnici!$O$5:$O$6173*1,0))))),0)+IF(SUMPRODUCT(MAX((CriteriTecnici!$C$5:$C$6173=$C165)*(CriteriTecnici!$E$5:$E$6173="C")*(CriteriTecnici!$T$5:$T$6173="SI")*IFERROR(CriteriTecnici!$O$5:$O$6173*1,0)))&gt;0,MIN(14,SUMIFS(CriteriTecnici!$O:$O,CriteriTecnici!$Q:$Q,$A165&amp;"|"&amp;$C165,CriteriTecnici!$E:$E,"C")*(14/SUMPRODUCT(MAX((CriteriTecnici!$C$5:$C$6173=$C165)*(CriteriTecnici!$E$5:$E$6173="C")*(CriteriTecnici!$T$5:$T$6173="SI")*IFERROR(CriteriTecnici!$O$5:$O$6173*1,0))))),0)+IF(SUMPRODUCT(MAX((CriteriTecnici!$C$5:$C$6173=$C165)*(CriteriTecnici!$E$5:$E$6173="D")*(CriteriTecnici!$T$5:$T$6173="SI")*IFERROR(CriteriTecnici!$O$5:$O$6173*1,0)))&gt;0,MIN(10,SUMIFS(CriteriTecnici!$O:$O,CriteriTecnici!$Q:$Q,$A165&amp;"|"&amp;$C165,CriteriTecnici!$E:$E,"D")*(10/SUMPRODUCT(MAX((CriteriTecnici!$C$5:$C$6173=$C165)*(CriteriTecnici!$E$5:$E$6173="D")*(CriteriTecnici!$T$5:$T$6173="SI")*IFERROR(CriteriTecnici!$O$5:$O$6173*1,0))))),0)+IF(SUMPRODUCT(MAX((CriteriTecnici!$C$5:$C$6173=$C165)*(CriteriTecnici!$E$5:$E$6173="E")*(CriteriTecnici!$T$5:$T$6173="SI")*IFERROR(CriteriTecnici!$O$5:$O$6173*1,0)))&gt;0,MIN(4,SUMIFS(CriteriTecnici!$O:$O,CriteriTecnici!$Q:$Q,$A165&amp;"|"&amp;$C165,CriteriTecnici!$E:$E,"E")*(4/SUMPRODUCT(MAX((CriteriTecnici!$C$5:$C$6173=$C165)*(CriteriTecnici!$E$5:$E$6173="E")*(CriteriTecnici!$T$5:$T$6173="SI")*IFERROR(CriteriTecnici!$O$5:$O$6173*1,0))))),0)+IF(SUMPRODUCT(MAX((CriteriTecnici!$C$5:$C$6173=$C165)*(CriteriTecnici!$E$5:$E$6173="F")*(CriteriTecnici!$T$5:$T$6173="SI")*IFERROR(CriteriTecnici!$O$5:$O$6173*1,0)))&gt;0,MIN(14,SUMIFS(CriteriTecnici!$O:$O,CriteriTecnici!$Q:$Q,$A165&amp;"|"&amp;$C165,CriteriTecnici!$E:$E,"F")*(14/SUMPRODUCT(MAX((CriteriTecnici!$C$5:$C$6173=$C165)*(CriteriTecnici!$E$5:$E$6173="F")*(CriteriTecnici!$T$5:$T$6173="SI")*IFERROR(CriteriTecnici!$O$5:$O$6173*1,0))))),0)+IF(SUMPRODUCT(MAX((CriteriTecnici!$C$5:$C$6173=$C165)*(CriteriTecnici!$E$5:$E$6173="G")*(CriteriTecnici!$T$5:$T$6173="SI")*IFERROR(CriteriTecnici!$O$5:$O$6173*1,0)))&gt;0,MIN(7,SUMIFS(CriteriTecnici!$O:$O,CriteriTecnici!$Q:$Q,$A165&amp;"|"&amp;$C165,CriteriTecnici!$E:$E,"G")*(7/SUMPRODUCT(MAX((CriteriTecnici!$C$5:$C$6173=$C165)*(CriteriTecnici!$E$5:$E$6173="G")*(CriteriTecnici!$T$5:$T$6173="SI")*IFERROR(CriteriTecnici!$O$5:$O$6173*1,0))))),0),4),0),IFERROR($N165*1,0)),0))</f>
        <v/>
      </c>
      <c r="F165" s="56">
        <f>IF(Compila!$A175="","",Compila!$E175)</f>
        <v/>
      </c>
      <c r="G165" s="57">
        <f>IF($A165="","",IF(IFERROR(VALUE($D165),0)&lt;&gt;1,"NO",IF(IFERROR(VALUE($O165),0)&gt;=Parametri!$B$2,"SI","NO")))</f>
        <v/>
      </c>
      <c r="H165" s="57">
        <f>IF($G165="SI",SUMPRODUCT(MAX(($C$2:$C$200=$C165)*(IFERROR($D$2:$D$200*1,0)=1)*(IFERROR($O$2:$O$200*1,0)&gt;=Parametri!$B$2)*IFERROR($F$2:$F$200*1,0))),0)</f>
        <v/>
      </c>
      <c r="I165" s="57">
        <f>IF($G165="SI",IF($H165&gt;0,30*(IFERROR($F165*1,0)/$H165),0),0)</f>
        <v/>
      </c>
      <c r="J165" s="57">
        <f>IF($A165="",0,IF($G165="SI",ROUND(IFERROR($E165*1,0)+$I165,4),ROUND(IFERROR($E165*1,0),4)))</f>
        <v/>
      </c>
      <c r="K165" s="57">
        <f>IF($A165="","",IF(IFERROR(VALUE($D165),0)&lt;&gt;1,"Non attiva",IF(IFERROR(VALUE($O165),0)&lt;Parametri!$B$2,"Sotto soglia","")))</f>
        <v/>
      </c>
      <c r="L165" s="57">
        <f>IF($A165="","",$A165&amp;"|"&amp;$C165)</f>
        <v/>
      </c>
      <c r="M165" s="57">
        <f>IF($A165="","",$C165&amp;"|"&amp;TEXT($J165,"0.0000"))</f>
        <v/>
      </c>
      <c r="N165" s="57" t="n"/>
      <c r="O165" s="57">
        <f>IF($A165="",0,IFERROR(IF(SUMIFS(CriteriTecnici!$O:$O,CriteriTecnici!$Q:$Q,$A165&amp;"|"&amp;$C165)&gt;0,SUMIFS(CriteriTecnici!$O:$O,CriteriTecnici!$Q:$Q,$A165&amp;"|"&amp;$C165,CriteriTecnici!$F:$F,"Q")+SUMIFS(CriteriTecnici!$O:$O,CriteriTecnici!$Q:$Q,$A165&amp;"|"&amp;$C165,CriteriTecnici!$F:$F,"T"),IFERROR($N165*1,0)),0))</f>
        <v/>
      </c>
      <c r="P165" s="57">
        <f>IF($A165="","",IF(SUMIFS(CriteriTecnici!$O:$O,CriteriTecnici!$Q:$Q,$A165&amp;"|"&amp;$C165)&gt;0,"Criteri A-G","Aggregato"))</f>
        <v/>
      </c>
    </row>
    <row r="166">
      <c r="A166" s="56">
        <f>IF(Compila!$A176="","",Compila!$A176)</f>
        <v/>
      </c>
      <c r="B166" s="56">
        <f>IF(Compila!$A176="","",Compila!$B176)</f>
        <v/>
      </c>
      <c r="C166" s="56">
        <f>IF(Compila!$A176="","",Compila!$C176)</f>
        <v/>
      </c>
      <c r="D166" s="56">
        <f>IF(Compila!$A176="","",Compila!$D176)</f>
        <v/>
      </c>
      <c r="E166" s="57">
        <f>IF($A166="",0,IFERROR(IF(SUMIFS(CriteriTecnici!$O:$O,CriteriTecnici!$Q:$Q,$A166&amp;"|"&amp;$C166)&gt;0,IF($G166="SI",ROUND(IF(SUMPRODUCT(MAX((CriteriTecnici!$C$5:$C$6173=$C166)*(CriteriTecnici!$E$5:$E$6173="A")*(CriteriTecnici!$T$5:$T$6173="SI")*IFERROR(CriteriTecnici!$O$5:$O$6173*1,0)))&gt;0,MIN(7,SUMIFS(CriteriTecnici!$O:$O,CriteriTecnici!$Q:$Q,$A166&amp;"|"&amp;$C166,CriteriTecnici!$E:$E,"A")*(7/SUMPRODUCT(MAX((CriteriTecnici!$C$5:$C$6173=$C166)*(CriteriTecnici!$E$5:$E$6173="A")*(CriteriTecnici!$T$5:$T$6173="SI")*IFERROR(CriteriTecnici!$O$5:$O$6173*1,0))))),0)+IF(SUMPRODUCT(MAX((CriteriTecnici!$C$5:$C$6173=$C166)*(CriteriTecnici!$E$5:$E$6173="B")*(CriteriTecnici!$T$5:$T$6173="SI")*IFERROR(CriteriTecnici!$O$5:$O$6173*1,0)))&gt;0,MIN(14,SUMIFS(CriteriTecnici!$O:$O,CriteriTecnici!$Q:$Q,$A166&amp;"|"&amp;$C166,CriteriTecnici!$E:$E,"B")*(14/SUMPRODUCT(MAX((CriteriTecnici!$C$5:$C$6173=$C166)*(CriteriTecnici!$E$5:$E$6173="B")*(CriteriTecnici!$T$5:$T$6173="SI")*IFERROR(CriteriTecnici!$O$5:$O$6173*1,0))))),0)+IF(SUMPRODUCT(MAX((CriteriTecnici!$C$5:$C$6173=$C166)*(CriteriTecnici!$E$5:$E$6173="C")*(CriteriTecnici!$T$5:$T$6173="SI")*IFERROR(CriteriTecnici!$O$5:$O$6173*1,0)))&gt;0,MIN(14,SUMIFS(CriteriTecnici!$O:$O,CriteriTecnici!$Q:$Q,$A166&amp;"|"&amp;$C166,CriteriTecnici!$E:$E,"C")*(14/SUMPRODUCT(MAX((CriteriTecnici!$C$5:$C$6173=$C166)*(CriteriTecnici!$E$5:$E$6173="C")*(CriteriTecnici!$T$5:$T$6173="SI")*IFERROR(CriteriTecnici!$O$5:$O$6173*1,0))))),0)+IF(SUMPRODUCT(MAX((CriteriTecnici!$C$5:$C$6173=$C166)*(CriteriTecnici!$E$5:$E$6173="D")*(CriteriTecnici!$T$5:$T$6173="SI")*IFERROR(CriteriTecnici!$O$5:$O$6173*1,0)))&gt;0,MIN(10,SUMIFS(CriteriTecnici!$O:$O,CriteriTecnici!$Q:$Q,$A166&amp;"|"&amp;$C166,CriteriTecnici!$E:$E,"D")*(10/SUMPRODUCT(MAX((CriteriTecnici!$C$5:$C$6173=$C166)*(CriteriTecnici!$E$5:$E$6173="D")*(CriteriTecnici!$T$5:$T$6173="SI")*IFERROR(CriteriTecnici!$O$5:$O$6173*1,0))))),0)+IF(SUMPRODUCT(MAX((CriteriTecnici!$C$5:$C$6173=$C166)*(CriteriTecnici!$E$5:$E$6173="E")*(CriteriTecnici!$T$5:$T$6173="SI")*IFERROR(CriteriTecnici!$O$5:$O$6173*1,0)))&gt;0,MIN(4,SUMIFS(CriteriTecnici!$O:$O,CriteriTecnici!$Q:$Q,$A166&amp;"|"&amp;$C166,CriteriTecnici!$E:$E,"E")*(4/SUMPRODUCT(MAX((CriteriTecnici!$C$5:$C$6173=$C166)*(CriteriTecnici!$E$5:$E$6173="E")*(CriteriTecnici!$T$5:$T$6173="SI")*IFERROR(CriteriTecnici!$O$5:$O$6173*1,0))))),0)+IF(SUMPRODUCT(MAX((CriteriTecnici!$C$5:$C$6173=$C166)*(CriteriTecnici!$E$5:$E$6173="F")*(CriteriTecnici!$T$5:$T$6173="SI")*IFERROR(CriteriTecnici!$O$5:$O$6173*1,0)))&gt;0,MIN(14,SUMIFS(CriteriTecnici!$O:$O,CriteriTecnici!$Q:$Q,$A166&amp;"|"&amp;$C166,CriteriTecnici!$E:$E,"F")*(14/SUMPRODUCT(MAX((CriteriTecnici!$C$5:$C$6173=$C166)*(CriteriTecnici!$E$5:$E$6173="F")*(CriteriTecnici!$T$5:$T$6173="SI")*IFERROR(CriteriTecnici!$O$5:$O$6173*1,0))))),0)+IF(SUMPRODUCT(MAX((CriteriTecnici!$C$5:$C$6173=$C166)*(CriteriTecnici!$E$5:$E$6173="G")*(CriteriTecnici!$T$5:$T$6173="SI")*IFERROR(CriteriTecnici!$O$5:$O$6173*1,0)))&gt;0,MIN(7,SUMIFS(CriteriTecnici!$O:$O,CriteriTecnici!$Q:$Q,$A166&amp;"|"&amp;$C166,CriteriTecnici!$E:$E,"G")*(7/SUMPRODUCT(MAX((CriteriTecnici!$C$5:$C$6173=$C166)*(CriteriTecnici!$E$5:$E$6173="G")*(CriteriTecnici!$T$5:$T$6173="SI")*IFERROR(CriteriTecnici!$O$5:$O$6173*1,0))))),0),4),0),IFERROR($N166*1,0)),0))</f>
        <v/>
      </c>
      <c r="F166" s="56">
        <f>IF(Compila!$A176="","",Compila!$E176)</f>
        <v/>
      </c>
      <c r="G166" s="57">
        <f>IF($A166="","",IF(IFERROR(VALUE($D166),0)&lt;&gt;1,"NO",IF(IFERROR(VALUE($O166),0)&gt;=Parametri!$B$2,"SI","NO")))</f>
        <v/>
      </c>
      <c r="H166" s="57">
        <f>IF($G166="SI",SUMPRODUCT(MAX(($C$2:$C$200=$C166)*(IFERROR($D$2:$D$200*1,0)=1)*(IFERROR($O$2:$O$200*1,0)&gt;=Parametri!$B$2)*IFERROR($F$2:$F$200*1,0))),0)</f>
        <v/>
      </c>
      <c r="I166" s="57">
        <f>IF($G166="SI",IF($H166&gt;0,30*(IFERROR($F166*1,0)/$H166),0),0)</f>
        <v/>
      </c>
      <c r="J166" s="57">
        <f>IF($A166="",0,IF($G166="SI",ROUND(IFERROR($E166*1,0)+$I166,4),ROUND(IFERROR($E166*1,0),4)))</f>
        <v/>
      </c>
      <c r="K166" s="57">
        <f>IF($A166="","",IF(IFERROR(VALUE($D166),0)&lt;&gt;1,"Non attiva",IF(IFERROR(VALUE($O166),0)&lt;Parametri!$B$2,"Sotto soglia","")))</f>
        <v/>
      </c>
      <c r="L166" s="57">
        <f>IF($A166="","",$A166&amp;"|"&amp;$C166)</f>
        <v/>
      </c>
      <c r="M166" s="57">
        <f>IF($A166="","",$C166&amp;"|"&amp;TEXT($J166,"0.0000"))</f>
        <v/>
      </c>
      <c r="N166" s="57" t="n"/>
      <c r="O166" s="57">
        <f>IF($A166="",0,IFERROR(IF(SUMIFS(CriteriTecnici!$O:$O,CriteriTecnici!$Q:$Q,$A166&amp;"|"&amp;$C166)&gt;0,SUMIFS(CriteriTecnici!$O:$O,CriteriTecnici!$Q:$Q,$A166&amp;"|"&amp;$C166,CriteriTecnici!$F:$F,"Q")+SUMIFS(CriteriTecnici!$O:$O,CriteriTecnici!$Q:$Q,$A166&amp;"|"&amp;$C166,CriteriTecnici!$F:$F,"T"),IFERROR($N166*1,0)),0))</f>
        <v/>
      </c>
      <c r="P166" s="57">
        <f>IF($A166="","",IF(SUMIFS(CriteriTecnici!$O:$O,CriteriTecnici!$Q:$Q,$A166&amp;"|"&amp;$C166)&gt;0,"Criteri A-G","Aggregato"))</f>
        <v/>
      </c>
    </row>
    <row r="167">
      <c r="A167" s="56">
        <f>IF(Compila!$A177="","",Compila!$A177)</f>
        <v/>
      </c>
      <c r="B167" s="56">
        <f>IF(Compila!$A177="","",Compila!$B177)</f>
        <v/>
      </c>
      <c r="C167" s="56">
        <f>IF(Compila!$A177="","",Compila!$C177)</f>
        <v/>
      </c>
      <c r="D167" s="56">
        <f>IF(Compila!$A177="","",Compila!$D177)</f>
        <v/>
      </c>
      <c r="E167" s="57">
        <f>IF($A167="",0,IFERROR(IF(SUMIFS(CriteriTecnici!$O:$O,CriteriTecnici!$Q:$Q,$A167&amp;"|"&amp;$C167)&gt;0,IF($G167="SI",ROUND(IF(SUMPRODUCT(MAX((CriteriTecnici!$C$5:$C$6173=$C167)*(CriteriTecnici!$E$5:$E$6173="A")*(CriteriTecnici!$T$5:$T$6173="SI")*IFERROR(CriteriTecnici!$O$5:$O$6173*1,0)))&gt;0,MIN(7,SUMIFS(CriteriTecnici!$O:$O,CriteriTecnici!$Q:$Q,$A167&amp;"|"&amp;$C167,CriteriTecnici!$E:$E,"A")*(7/SUMPRODUCT(MAX((CriteriTecnici!$C$5:$C$6173=$C167)*(CriteriTecnici!$E$5:$E$6173="A")*(CriteriTecnici!$T$5:$T$6173="SI")*IFERROR(CriteriTecnici!$O$5:$O$6173*1,0))))),0)+IF(SUMPRODUCT(MAX((CriteriTecnici!$C$5:$C$6173=$C167)*(CriteriTecnici!$E$5:$E$6173="B")*(CriteriTecnici!$T$5:$T$6173="SI")*IFERROR(CriteriTecnici!$O$5:$O$6173*1,0)))&gt;0,MIN(14,SUMIFS(CriteriTecnici!$O:$O,CriteriTecnici!$Q:$Q,$A167&amp;"|"&amp;$C167,CriteriTecnici!$E:$E,"B")*(14/SUMPRODUCT(MAX((CriteriTecnici!$C$5:$C$6173=$C167)*(CriteriTecnici!$E$5:$E$6173="B")*(CriteriTecnici!$T$5:$T$6173="SI")*IFERROR(CriteriTecnici!$O$5:$O$6173*1,0))))),0)+IF(SUMPRODUCT(MAX((CriteriTecnici!$C$5:$C$6173=$C167)*(CriteriTecnici!$E$5:$E$6173="C")*(CriteriTecnici!$T$5:$T$6173="SI")*IFERROR(CriteriTecnici!$O$5:$O$6173*1,0)))&gt;0,MIN(14,SUMIFS(CriteriTecnici!$O:$O,CriteriTecnici!$Q:$Q,$A167&amp;"|"&amp;$C167,CriteriTecnici!$E:$E,"C")*(14/SUMPRODUCT(MAX((CriteriTecnici!$C$5:$C$6173=$C167)*(CriteriTecnici!$E$5:$E$6173="C")*(CriteriTecnici!$T$5:$T$6173="SI")*IFERROR(CriteriTecnici!$O$5:$O$6173*1,0))))),0)+IF(SUMPRODUCT(MAX((CriteriTecnici!$C$5:$C$6173=$C167)*(CriteriTecnici!$E$5:$E$6173="D")*(CriteriTecnici!$T$5:$T$6173="SI")*IFERROR(CriteriTecnici!$O$5:$O$6173*1,0)))&gt;0,MIN(10,SUMIFS(CriteriTecnici!$O:$O,CriteriTecnici!$Q:$Q,$A167&amp;"|"&amp;$C167,CriteriTecnici!$E:$E,"D")*(10/SUMPRODUCT(MAX((CriteriTecnici!$C$5:$C$6173=$C167)*(CriteriTecnici!$E$5:$E$6173="D")*(CriteriTecnici!$T$5:$T$6173="SI")*IFERROR(CriteriTecnici!$O$5:$O$6173*1,0))))),0)+IF(SUMPRODUCT(MAX((CriteriTecnici!$C$5:$C$6173=$C167)*(CriteriTecnici!$E$5:$E$6173="E")*(CriteriTecnici!$T$5:$T$6173="SI")*IFERROR(CriteriTecnici!$O$5:$O$6173*1,0)))&gt;0,MIN(4,SUMIFS(CriteriTecnici!$O:$O,CriteriTecnici!$Q:$Q,$A167&amp;"|"&amp;$C167,CriteriTecnici!$E:$E,"E")*(4/SUMPRODUCT(MAX((CriteriTecnici!$C$5:$C$6173=$C167)*(CriteriTecnici!$E$5:$E$6173="E")*(CriteriTecnici!$T$5:$T$6173="SI")*IFERROR(CriteriTecnici!$O$5:$O$6173*1,0))))),0)+IF(SUMPRODUCT(MAX((CriteriTecnici!$C$5:$C$6173=$C167)*(CriteriTecnici!$E$5:$E$6173="F")*(CriteriTecnici!$T$5:$T$6173="SI")*IFERROR(CriteriTecnici!$O$5:$O$6173*1,0)))&gt;0,MIN(14,SUMIFS(CriteriTecnici!$O:$O,CriteriTecnici!$Q:$Q,$A167&amp;"|"&amp;$C167,CriteriTecnici!$E:$E,"F")*(14/SUMPRODUCT(MAX((CriteriTecnici!$C$5:$C$6173=$C167)*(CriteriTecnici!$E$5:$E$6173="F")*(CriteriTecnici!$T$5:$T$6173="SI")*IFERROR(CriteriTecnici!$O$5:$O$6173*1,0))))),0)+IF(SUMPRODUCT(MAX((CriteriTecnici!$C$5:$C$6173=$C167)*(CriteriTecnici!$E$5:$E$6173="G")*(CriteriTecnici!$T$5:$T$6173="SI")*IFERROR(CriteriTecnici!$O$5:$O$6173*1,0)))&gt;0,MIN(7,SUMIFS(CriteriTecnici!$O:$O,CriteriTecnici!$Q:$Q,$A167&amp;"|"&amp;$C167,CriteriTecnici!$E:$E,"G")*(7/SUMPRODUCT(MAX((CriteriTecnici!$C$5:$C$6173=$C167)*(CriteriTecnici!$E$5:$E$6173="G")*(CriteriTecnici!$T$5:$T$6173="SI")*IFERROR(CriteriTecnici!$O$5:$O$6173*1,0))))),0),4),0),IFERROR($N167*1,0)),0))</f>
        <v/>
      </c>
      <c r="F167" s="56">
        <f>IF(Compila!$A177="","",Compila!$E177)</f>
        <v/>
      </c>
      <c r="G167" s="57">
        <f>IF($A167="","",IF(IFERROR(VALUE($D167),0)&lt;&gt;1,"NO",IF(IFERROR(VALUE($O167),0)&gt;=Parametri!$B$2,"SI","NO")))</f>
        <v/>
      </c>
      <c r="H167" s="57">
        <f>IF($G167="SI",SUMPRODUCT(MAX(($C$2:$C$200=$C167)*(IFERROR($D$2:$D$200*1,0)=1)*(IFERROR($O$2:$O$200*1,0)&gt;=Parametri!$B$2)*IFERROR($F$2:$F$200*1,0))),0)</f>
        <v/>
      </c>
      <c r="I167" s="57">
        <f>IF($G167="SI",IF($H167&gt;0,30*(IFERROR($F167*1,0)/$H167),0),0)</f>
        <v/>
      </c>
      <c r="J167" s="57">
        <f>IF($A167="",0,IF($G167="SI",ROUND(IFERROR($E167*1,0)+$I167,4),ROUND(IFERROR($E167*1,0),4)))</f>
        <v/>
      </c>
      <c r="K167" s="57">
        <f>IF($A167="","",IF(IFERROR(VALUE($D167),0)&lt;&gt;1,"Non attiva",IF(IFERROR(VALUE($O167),0)&lt;Parametri!$B$2,"Sotto soglia","")))</f>
        <v/>
      </c>
      <c r="L167" s="57">
        <f>IF($A167="","",$A167&amp;"|"&amp;$C167)</f>
        <v/>
      </c>
      <c r="M167" s="57">
        <f>IF($A167="","",$C167&amp;"|"&amp;TEXT($J167,"0.0000"))</f>
        <v/>
      </c>
      <c r="N167" s="57" t="n"/>
      <c r="O167" s="57">
        <f>IF($A167="",0,IFERROR(IF(SUMIFS(CriteriTecnici!$O:$O,CriteriTecnici!$Q:$Q,$A167&amp;"|"&amp;$C167)&gt;0,SUMIFS(CriteriTecnici!$O:$O,CriteriTecnici!$Q:$Q,$A167&amp;"|"&amp;$C167,CriteriTecnici!$F:$F,"Q")+SUMIFS(CriteriTecnici!$O:$O,CriteriTecnici!$Q:$Q,$A167&amp;"|"&amp;$C167,CriteriTecnici!$F:$F,"T"),IFERROR($N167*1,0)),0))</f>
        <v/>
      </c>
      <c r="P167" s="57">
        <f>IF($A167="","",IF(SUMIFS(CriteriTecnici!$O:$O,CriteriTecnici!$Q:$Q,$A167&amp;"|"&amp;$C167)&gt;0,"Criteri A-G","Aggregato"))</f>
        <v/>
      </c>
    </row>
    <row r="168">
      <c r="A168" s="56">
        <f>IF(Compila!$A178="","",Compila!$A178)</f>
        <v/>
      </c>
      <c r="B168" s="56">
        <f>IF(Compila!$A178="","",Compila!$B178)</f>
        <v/>
      </c>
      <c r="C168" s="56">
        <f>IF(Compila!$A178="","",Compila!$C178)</f>
        <v/>
      </c>
      <c r="D168" s="56">
        <f>IF(Compila!$A178="","",Compila!$D178)</f>
        <v/>
      </c>
      <c r="E168" s="57">
        <f>IF($A168="",0,IFERROR(IF(SUMIFS(CriteriTecnici!$O:$O,CriteriTecnici!$Q:$Q,$A168&amp;"|"&amp;$C168)&gt;0,IF($G168="SI",ROUND(IF(SUMPRODUCT(MAX((CriteriTecnici!$C$5:$C$6173=$C168)*(CriteriTecnici!$E$5:$E$6173="A")*(CriteriTecnici!$T$5:$T$6173="SI")*IFERROR(CriteriTecnici!$O$5:$O$6173*1,0)))&gt;0,MIN(7,SUMIFS(CriteriTecnici!$O:$O,CriteriTecnici!$Q:$Q,$A168&amp;"|"&amp;$C168,CriteriTecnici!$E:$E,"A")*(7/SUMPRODUCT(MAX((CriteriTecnici!$C$5:$C$6173=$C168)*(CriteriTecnici!$E$5:$E$6173="A")*(CriteriTecnici!$T$5:$T$6173="SI")*IFERROR(CriteriTecnici!$O$5:$O$6173*1,0))))),0)+IF(SUMPRODUCT(MAX((CriteriTecnici!$C$5:$C$6173=$C168)*(CriteriTecnici!$E$5:$E$6173="B")*(CriteriTecnici!$T$5:$T$6173="SI")*IFERROR(CriteriTecnici!$O$5:$O$6173*1,0)))&gt;0,MIN(14,SUMIFS(CriteriTecnici!$O:$O,CriteriTecnici!$Q:$Q,$A168&amp;"|"&amp;$C168,CriteriTecnici!$E:$E,"B")*(14/SUMPRODUCT(MAX((CriteriTecnici!$C$5:$C$6173=$C168)*(CriteriTecnici!$E$5:$E$6173="B")*(CriteriTecnici!$T$5:$T$6173="SI")*IFERROR(CriteriTecnici!$O$5:$O$6173*1,0))))),0)+IF(SUMPRODUCT(MAX((CriteriTecnici!$C$5:$C$6173=$C168)*(CriteriTecnici!$E$5:$E$6173="C")*(CriteriTecnici!$T$5:$T$6173="SI")*IFERROR(CriteriTecnici!$O$5:$O$6173*1,0)))&gt;0,MIN(14,SUMIFS(CriteriTecnici!$O:$O,CriteriTecnici!$Q:$Q,$A168&amp;"|"&amp;$C168,CriteriTecnici!$E:$E,"C")*(14/SUMPRODUCT(MAX((CriteriTecnici!$C$5:$C$6173=$C168)*(CriteriTecnici!$E$5:$E$6173="C")*(CriteriTecnici!$T$5:$T$6173="SI")*IFERROR(CriteriTecnici!$O$5:$O$6173*1,0))))),0)+IF(SUMPRODUCT(MAX((CriteriTecnici!$C$5:$C$6173=$C168)*(CriteriTecnici!$E$5:$E$6173="D")*(CriteriTecnici!$T$5:$T$6173="SI")*IFERROR(CriteriTecnici!$O$5:$O$6173*1,0)))&gt;0,MIN(10,SUMIFS(CriteriTecnici!$O:$O,CriteriTecnici!$Q:$Q,$A168&amp;"|"&amp;$C168,CriteriTecnici!$E:$E,"D")*(10/SUMPRODUCT(MAX((CriteriTecnici!$C$5:$C$6173=$C168)*(CriteriTecnici!$E$5:$E$6173="D")*(CriteriTecnici!$T$5:$T$6173="SI")*IFERROR(CriteriTecnici!$O$5:$O$6173*1,0))))),0)+IF(SUMPRODUCT(MAX((CriteriTecnici!$C$5:$C$6173=$C168)*(CriteriTecnici!$E$5:$E$6173="E")*(CriteriTecnici!$T$5:$T$6173="SI")*IFERROR(CriteriTecnici!$O$5:$O$6173*1,0)))&gt;0,MIN(4,SUMIFS(CriteriTecnici!$O:$O,CriteriTecnici!$Q:$Q,$A168&amp;"|"&amp;$C168,CriteriTecnici!$E:$E,"E")*(4/SUMPRODUCT(MAX((CriteriTecnici!$C$5:$C$6173=$C168)*(CriteriTecnici!$E$5:$E$6173="E")*(CriteriTecnici!$T$5:$T$6173="SI")*IFERROR(CriteriTecnici!$O$5:$O$6173*1,0))))),0)+IF(SUMPRODUCT(MAX((CriteriTecnici!$C$5:$C$6173=$C168)*(CriteriTecnici!$E$5:$E$6173="F")*(CriteriTecnici!$T$5:$T$6173="SI")*IFERROR(CriteriTecnici!$O$5:$O$6173*1,0)))&gt;0,MIN(14,SUMIFS(CriteriTecnici!$O:$O,CriteriTecnici!$Q:$Q,$A168&amp;"|"&amp;$C168,CriteriTecnici!$E:$E,"F")*(14/SUMPRODUCT(MAX((CriteriTecnici!$C$5:$C$6173=$C168)*(CriteriTecnici!$E$5:$E$6173="F")*(CriteriTecnici!$T$5:$T$6173="SI")*IFERROR(CriteriTecnici!$O$5:$O$6173*1,0))))),0)+IF(SUMPRODUCT(MAX((CriteriTecnici!$C$5:$C$6173=$C168)*(CriteriTecnici!$E$5:$E$6173="G")*(CriteriTecnici!$T$5:$T$6173="SI")*IFERROR(CriteriTecnici!$O$5:$O$6173*1,0)))&gt;0,MIN(7,SUMIFS(CriteriTecnici!$O:$O,CriteriTecnici!$Q:$Q,$A168&amp;"|"&amp;$C168,CriteriTecnici!$E:$E,"G")*(7/SUMPRODUCT(MAX((CriteriTecnici!$C$5:$C$6173=$C168)*(CriteriTecnici!$E$5:$E$6173="G")*(CriteriTecnici!$T$5:$T$6173="SI")*IFERROR(CriteriTecnici!$O$5:$O$6173*1,0))))),0),4),0),IFERROR($N168*1,0)),0))</f>
        <v/>
      </c>
      <c r="F168" s="56">
        <f>IF(Compila!$A178="","",Compila!$E178)</f>
        <v/>
      </c>
      <c r="G168" s="57">
        <f>IF($A168="","",IF(IFERROR(VALUE($D168),0)&lt;&gt;1,"NO",IF(IFERROR(VALUE($O168),0)&gt;=Parametri!$B$2,"SI","NO")))</f>
        <v/>
      </c>
      <c r="H168" s="57">
        <f>IF($G168="SI",SUMPRODUCT(MAX(($C$2:$C$200=$C168)*(IFERROR($D$2:$D$200*1,0)=1)*(IFERROR($O$2:$O$200*1,0)&gt;=Parametri!$B$2)*IFERROR($F$2:$F$200*1,0))),0)</f>
        <v/>
      </c>
      <c r="I168" s="57">
        <f>IF($G168="SI",IF($H168&gt;0,30*(IFERROR($F168*1,0)/$H168),0),0)</f>
        <v/>
      </c>
      <c r="J168" s="57">
        <f>IF($A168="",0,IF($G168="SI",ROUND(IFERROR($E168*1,0)+$I168,4),ROUND(IFERROR($E168*1,0),4)))</f>
        <v/>
      </c>
      <c r="K168" s="57">
        <f>IF($A168="","",IF(IFERROR(VALUE($D168),0)&lt;&gt;1,"Non attiva",IF(IFERROR(VALUE($O168),0)&lt;Parametri!$B$2,"Sotto soglia","")))</f>
        <v/>
      </c>
      <c r="L168" s="57">
        <f>IF($A168="","",$A168&amp;"|"&amp;$C168)</f>
        <v/>
      </c>
      <c r="M168" s="57">
        <f>IF($A168="","",$C168&amp;"|"&amp;TEXT($J168,"0.0000"))</f>
        <v/>
      </c>
      <c r="N168" s="57" t="n"/>
      <c r="O168" s="57">
        <f>IF($A168="",0,IFERROR(IF(SUMIFS(CriteriTecnici!$O:$O,CriteriTecnici!$Q:$Q,$A168&amp;"|"&amp;$C168)&gt;0,SUMIFS(CriteriTecnici!$O:$O,CriteriTecnici!$Q:$Q,$A168&amp;"|"&amp;$C168,CriteriTecnici!$F:$F,"Q")+SUMIFS(CriteriTecnici!$O:$O,CriteriTecnici!$Q:$Q,$A168&amp;"|"&amp;$C168,CriteriTecnici!$F:$F,"T"),IFERROR($N168*1,0)),0))</f>
        <v/>
      </c>
      <c r="P168" s="57">
        <f>IF($A168="","",IF(SUMIFS(CriteriTecnici!$O:$O,CriteriTecnici!$Q:$Q,$A168&amp;"|"&amp;$C168)&gt;0,"Criteri A-G","Aggregato"))</f>
        <v/>
      </c>
    </row>
    <row r="169">
      <c r="A169" s="56">
        <f>IF(Compila!$A179="","",Compila!$A179)</f>
        <v/>
      </c>
      <c r="B169" s="56">
        <f>IF(Compila!$A179="","",Compila!$B179)</f>
        <v/>
      </c>
      <c r="C169" s="56">
        <f>IF(Compila!$A179="","",Compila!$C179)</f>
        <v/>
      </c>
      <c r="D169" s="56">
        <f>IF(Compila!$A179="","",Compila!$D179)</f>
        <v/>
      </c>
      <c r="E169" s="57">
        <f>IF($A169="",0,IFERROR(IF(SUMIFS(CriteriTecnici!$O:$O,CriteriTecnici!$Q:$Q,$A169&amp;"|"&amp;$C169)&gt;0,IF($G169="SI",ROUND(IF(SUMPRODUCT(MAX((CriteriTecnici!$C$5:$C$6173=$C169)*(CriteriTecnici!$E$5:$E$6173="A")*(CriteriTecnici!$T$5:$T$6173="SI")*IFERROR(CriteriTecnici!$O$5:$O$6173*1,0)))&gt;0,MIN(7,SUMIFS(CriteriTecnici!$O:$O,CriteriTecnici!$Q:$Q,$A169&amp;"|"&amp;$C169,CriteriTecnici!$E:$E,"A")*(7/SUMPRODUCT(MAX((CriteriTecnici!$C$5:$C$6173=$C169)*(CriteriTecnici!$E$5:$E$6173="A")*(CriteriTecnici!$T$5:$T$6173="SI")*IFERROR(CriteriTecnici!$O$5:$O$6173*1,0))))),0)+IF(SUMPRODUCT(MAX((CriteriTecnici!$C$5:$C$6173=$C169)*(CriteriTecnici!$E$5:$E$6173="B")*(CriteriTecnici!$T$5:$T$6173="SI")*IFERROR(CriteriTecnici!$O$5:$O$6173*1,0)))&gt;0,MIN(14,SUMIFS(CriteriTecnici!$O:$O,CriteriTecnici!$Q:$Q,$A169&amp;"|"&amp;$C169,CriteriTecnici!$E:$E,"B")*(14/SUMPRODUCT(MAX((CriteriTecnici!$C$5:$C$6173=$C169)*(CriteriTecnici!$E$5:$E$6173="B")*(CriteriTecnici!$T$5:$T$6173="SI")*IFERROR(CriteriTecnici!$O$5:$O$6173*1,0))))),0)+IF(SUMPRODUCT(MAX((CriteriTecnici!$C$5:$C$6173=$C169)*(CriteriTecnici!$E$5:$E$6173="C")*(CriteriTecnici!$T$5:$T$6173="SI")*IFERROR(CriteriTecnici!$O$5:$O$6173*1,0)))&gt;0,MIN(14,SUMIFS(CriteriTecnici!$O:$O,CriteriTecnici!$Q:$Q,$A169&amp;"|"&amp;$C169,CriteriTecnici!$E:$E,"C")*(14/SUMPRODUCT(MAX((CriteriTecnici!$C$5:$C$6173=$C169)*(CriteriTecnici!$E$5:$E$6173="C")*(CriteriTecnici!$T$5:$T$6173="SI")*IFERROR(CriteriTecnici!$O$5:$O$6173*1,0))))),0)+IF(SUMPRODUCT(MAX((CriteriTecnici!$C$5:$C$6173=$C169)*(CriteriTecnici!$E$5:$E$6173="D")*(CriteriTecnici!$T$5:$T$6173="SI")*IFERROR(CriteriTecnici!$O$5:$O$6173*1,0)))&gt;0,MIN(10,SUMIFS(CriteriTecnici!$O:$O,CriteriTecnici!$Q:$Q,$A169&amp;"|"&amp;$C169,CriteriTecnici!$E:$E,"D")*(10/SUMPRODUCT(MAX((CriteriTecnici!$C$5:$C$6173=$C169)*(CriteriTecnici!$E$5:$E$6173="D")*(CriteriTecnici!$T$5:$T$6173="SI")*IFERROR(CriteriTecnici!$O$5:$O$6173*1,0))))),0)+IF(SUMPRODUCT(MAX((CriteriTecnici!$C$5:$C$6173=$C169)*(CriteriTecnici!$E$5:$E$6173="E")*(CriteriTecnici!$T$5:$T$6173="SI")*IFERROR(CriteriTecnici!$O$5:$O$6173*1,0)))&gt;0,MIN(4,SUMIFS(CriteriTecnici!$O:$O,CriteriTecnici!$Q:$Q,$A169&amp;"|"&amp;$C169,CriteriTecnici!$E:$E,"E")*(4/SUMPRODUCT(MAX((CriteriTecnici!$C$5:$C$6173=$C169)*(CriteriTecnici!$E$5:$E$6173="E")*(CriteriTecnici!$T$5:$T$6173="SI")*IFERROR(CriteriTecnici!$O$5:$O$6173*1,0))))),0)+IF(SUMPRODUCT(MAX((CriteriTecnici!$C$5:$C$6173=$C169)*(CriteriTecnici!$E$5:$E$6173="F")*(CriteriTecnici!$T$5:$T$6173="SI")*IFERROR(CriteriTecnici!$O$5:$O$6173*1,0)))&gt;0,MIN(14,SUMIFS(CriteriTecnici!$O:$O,CriteriTecnici!$Q:$Q,$A169&amp;"|"&amp;$C169,CriteriTecnici!$E:$E,"F")*(14/SUMPRODUCT(MAX((CriteriTecnici!$C$5:$C$6173=$C169)*(CriteriTecnici!$E$5:$E$6173="F")*(CriteriTecnici!$T$5:$T$6173="SI")*IFERROR(CriteriTecnici!$O$5:$O$6173*1,0))))),0)+IF(SUMPRODUCT(MAX((CriteriTecnici!$C$5:$C$6173=$C169)*(CriteriTecnici!$E$5:$E$6173="G")*(CriteriTecnici!$T$5:$T$6173="SI")*IFERROR(CriteriTecnici!$O$5:$O$6173*1,0)))&gt;0,MIN(7,SUMIFS(CriteriTecnici!$O:$O,CriteriTecnici!$Q:$Q,$A169&amp;"|"&amp;$C169,CriteriTecnici!$E:$E,"G")*(7/SUMPRODUCT(MAX((CriteriTecnici!$C$5:$C$6173=$C169)*(CriteriTecnici!$E$5:$E$6173="G")*(CriteriTecnici!$T$5:$T$6173="SI")*IFERROR(CriteriTecnici!$O$5:$O$6173*1,0))))),0),4),0),IFERROR($N169*1,0)),0))</f>
        <v/>
      </c>
      <c r="F169" s="56">
        <f>IF(Compila!$A179="","",Compila!$E179)</f>
        <v/>
      </c>
      <c r="G169" s="57">
        <f>IF($A169="","",IF(IFERROR(VALUE($D169),0)&lt;&gt;1,"NO",IF(IFERROR(VALUE($O169),0)&gt;=Parametri!$B$2,"SI","NO")))</f>
        <v/>
      </c>
      <c r="H169" s="57">
        <f>IF($G169="SI",SUMPRODUCT(MAX(($C$2:$C$200=$C169)*(IFERROR($D$2:$D$200*1,0)=1)*(IFERROR($O$2:$O$200*1,0)&gt;=Parametri!$B$2)*IFERROR($F$2:$F$200*1,0))),0)</f>
        <v/>
      </c>
      <c r="I169" s="57">
        <f>IF($G169="SI",IF($H169&gt;0,30*(IFERROR($F169*1,0)/$H169),0),0)</f>
        <v/>
      </c>
      <c r="J169" s="57">
        <f>IF($A169="",0,IF($G169="SI",ROUND(IFERROR($E169*1,0)+$I169,4),ROUND(IFERROR($E169*1,0),4)))</f>
        <v/>
      </c>
      <c r="K169" s="57">
        <f>IF($A169="","",IF(IFERROR(VALUE($D169),0)&lt;&gt;1,"Non attiva",IF(IFERROR(VALUE($O169),0)&lt;Parametri!$B$2,"Sotto soglia","")))</f>
        <v/>
      </c>
      <c r="L169" s="57">
        <f>IF($A169="","",$A169&amp;"|"&amp;$C169)</f>
        <v/>
      </c>
      <c r="M169" s="57">
        <f>IF($A169="","",$C169&amp;"|"&amp;TEXT($J169,"0.0000"))</f>
        <v/>
      </c>
      <c r="N169" s="57" t="n"/>
      <c r="O169" s="57">
        <f>IF($A169="",0,IFERROR(IF(SUMIFS(CriteriTecnici!$O:$O,CriteriTecnici!$Q:$Q,$A169&amp;"|"&amp;$C169)&gt;0,SUMIFS(CriteriTecnici!$O:$O,CriteriTecnici!$Q:$Q,$A169&amp;"|"&amp;$C169,CriteriTecnici!$F:$F,"Q")+SUMIFS(CriteriTecnici!$O:$O,CriteriTecnici!$Q:$Q,$A169&amp;"|"&amp;$C169,CriteriTecnici!$F:$F,"T"),IFERROR($N169*1,0)),0))</f>
        <v/>
      </c>
      <c r="P169" s="57">
        <f>IF($A169="","",IF(SUMIFS(CriteriTecnici!$O:$O,CriteriTecnici!$Q:$Q,$A169&amp;"|"&amp;$C169)&gt;0,"Criteri A-G","Aggregato"))</f>
        <v/>
      </c>
    </row>
    <row r="170">
      <c r="A170" s="56">
        <f>IF(Compila!$A180="","",Compila!$A180)</f>
        <v/>
      </c>
      <c r="B170" s="56">
        <f>IF(Compila!$A180="","",Compila!$B180)</f>
        <v/>
      </c>
      <c r="C170" s="56">
        <f>IF(Compila!$A180="","",Compila!$C180)</f>
        <v/>
      </c>
      <c r="D170" s="56">
        <f>IF(Compila!$A180="","",Compila!$D180)</f>
        <v/>
      </c>
      <c r="E170" s="57">
        <f>IF($A170="",0,IFERROR(IF(SUMIFS(CriteriTecnici!$O:$O,CriteriTecnici!$Q:$Q,$A170&amp;"|"&amp;$C170)&gt;0,IF($G170="SI",ROUND(IF(SUMPRODUCT(MAX((CriteriTecnici!$C$5:$C$6173=$C170)*(CriteriTecnici!$E$5:$E$6173="A")*(CriteriTecnici!$T$5:$T$6173="SI")*IFERROR(CriteriTecnici!$O$5:$O$6173*1,0)))&gt;0,MIN(7,SUMIFS(CriteriTecnici!$O:$O,CriteriTecnici!$Q:$Q,$A170&amp;"|"&amp;$C170,CriteriTecnici!$E:$E,"A")*(7/SUMPRODUCT(MAX((CriteriTecnici!$C$5:$C$6173=$C170)*(CriteriTecnici!$E$5:$E$6173="A")*(CriteriTecnici!$T$5:$T$6173="SI")*IFERROR(CriteriTecnici!$O$5:$O$6173*1,0))))),0)+IF(SUMPRODUCT(MAX((CriteriTecnici!$C$5:$C$6173=$C170)*(CriteriTecnici!$E$5:$E$6173="B")*(CriteriTecnici!$T$5:$T$6173="SI")*IFERROR(CriteriTecnici!$O$5:$O$6173*1,0)))&gt;0,MIN(14,SUMIFS(CriteriTecnici!$O:$O,CriteriTecnici!$Q:$Q,$A170&amp;"|"&amp;$C170,CriteriTecnici!$E:$E,"B")*(14/SUMPRODUCT(MAX((CriteriTecnici!$C$5:$C$6173=$C170)*(CriteriTecnici!$E$5:$E$6173="B")*(CriteriTecnici!$T$5:$T$6173="SI")*IFERROR(CriteriTecnici!$O$5:$O$6173*1,0))))),0)+IF(SUMPRODUCT(MAX((CriteriTecnici!$C$5:$C$6173=$C170)*(CriteriTecnici!$E$5:$E$6173="C")*(CriteriTecnici!$T$5:$T$6173="SI")*IFERROR(CriteriTecnici!$O$5:$O$6173*1,0)))&gt;0,MIN(14,SUMIFS(CriteriTecnici!$O:$O,CriteriTecnici!$Q:$Q,$A170&amp;"|"&amp;$C170,CriteriTecnici!$E:$E,"C")*(14/SUMPRODUCT(MAX((CriteriTecnici!$C$5:$C$6173=$C170)*(CriteriTecnici!$E$5:$E$6173="C")*(CriteriTecnici!$T$5:$T$6173="SI")*IFERROR(CriteriTecnici!$O$5:$O$6173*1,0))))),0)+IF(SUMPRODUCT(MAX((CriteriTecnici!$C$5:$C$6173=$C170)*(CriteriTecnici!$E$5:$E$6173="D")*(CriteriTecnici!$T$5:$T$6173="SI")*IFERROR(CriteriTecnici!$O$5:$O$6173*1,0)))&gt;0,MIN(10,SUMIFS(CriteriTecnici!$O:$O,CriteriTecnici!$Q:$Q,$A170&amp;"|"&amp;$C170,CriteriTecnici!$E:$E,"D")*(10/SUMPRODUCT(MAX((CriteriTecnici!$C$5:$C$6173=$C170)*(CriteriTecnici!$E$5:$E$6173="D")*(CriteriTecnici!$T$5:$T$6173="SI")*IFERROR(CriteriTecnici!$O$5:$O$6173*1,0))))),0)+IF(SUMPRODUCT(MAX((CriteriTecnici!$C$5:$C$6173=$C170)*(CriteriTecnici!$E$5:$E$6173="E")*(CriteriTecnici!$T$5:$T$6173="SI")*IFERROR(CriteriTecnici!$O$5:$O$6173*1,0)))&gt;0,MIN(4,SUMIFS(CriteriTecnici!$O:$O,CriteriTecnici!$Q:$Q,$A170&amp;"|"&amp;$C170,CriteriTecnici!$E:$E,"E")*(4/SUMPRODUCT(MAX((CriteriTecnici!$C$5:$C$6173=$C170)*(CriteriTecnici!$E$5:$E$6173="E")*(CriteriTecnici!$T$5:$T$6173="SI")*IFERROR(CriteriTecnici!$O$5:$O$6173*1,0))))),0)+IF(SUMPRODUCT(MAX((CriteriTecnici!$C$5:$C$6173=$C170)*(CriteriTecnici!$E$5:$E$6173="F")*(CriteriTecnici!$T$5:$T$6173="SI")*IFERROR(CriteriTecnici!$O$5:$O$6173*1,0)))&gt;0,MIN(14,SUMIFS(CriteriTecnici!$O:$O,CriteriTecnici!$Q:$Q,$A170&amp;"|"&amp;$C170,CriteriTecnici!$E:$E,"F")*(14/SUMPRODUCT(MAX((CriteriTecnici!$C$5:$C$6173=$C170)*(CriteriTecnici!$E$5:$E$6173="F")*(CriteriTecnici!$T$5:$T$6173="SI")*IFERROR(CriteriTecnici!$O$5:$O$6173*1,0))))),0)+IF(SUMPRODUCT(MAX((CriteriTecnici!$C$5:$C$6173=$C170)*(CriteriTecnici!$E$5:$E$6173="G")*(CriteriTecnici!$T$5:$T$6173="SI")*IFERROR(CriteriTecnici!$O$5:$O$6173*1,0)))&gt;0,MIN(7,SUMIFS(CriteriTecnici!$O:$O,CriteriTecnici!$Q:$Q,$A170&amp;"|"&amp;$C170,CriteriTecnici!$E:$E,"G")*(7/SUMPRODUCT(MAX((CriteriTecnici!$C$5:$C$6173=$C170)*(CriteriTecnici!$E$5:$E$6173="G")*(CriteriTecnici!$T$5:$T$6173="SI")*IFERROR(CriteriTecnici!$O$5:$O$6173*1,0))))),0),4),0),IFERROR($N170*1,0)),0))</f>
        <v/>
      </c>
      <c r="F170" s="56">
        <f>IF(Compila!$A180="","",Compila!$E180)</f>
        <v/>
      </c>
      <c r="G170" s="57">
        <f>IF($A170="","",IF(IFERROR(VALUE($D170),0)&lt;&gt;1,"NO",IF(IFERROR(VALUE($O170),0)&gt;=Parametri!$B$2,"SI","NO")))</f>
        <v/>
      </c>
      <c r="H170" s="57">
        <f>IF($G170="SI",SUMPRODUCT(MAX(($C$2:$C$200=$C170)*(IFERROR($D$2:$D$200*1,0)=1)*(IFERROR($O$2:$O$200*1,0)&gt;=Parametri!$B$2)*IFERROR($F$2:$F$200*1,0))),0)</f>
        <v/>
      </c>
      <c r="I170" s="57">
        <f>IF($G170="SI",IF($H170&gt;0,30*(IFERROR($F170*1,0)/$H170),0),0)</f>
        <v/>
      </c>
      <c r="J170" s="57">
        <f>IF($A170="",0,IF($G170="SI",ROUND(IFERROR($E170*1,0)+$I170,4),ROUND(IFERROR($E170*1,0),4)))</f>
        <v/>
      </c>
      <c r="K170" s="57">
        <f>IF($A170="","",IF(IFERROR(VALUE($D170),0)&lt;&gt;1,"Non attiva",IF(IFERROR(VALUE($O170),0)&lt;Parametri!$B$2,"Sotto soglia","")))</f>
        <v/>
      </c>
      <c r="L170" s="57">
        <f>IF($A170="","",$A170&amp;"|"&amp;$C170)</f>
        <v/>
      </c>
      <c r="M170" s="57">
        <f>IF($A170="","",$C170&amp;"|"&amp;TEXT($J170,"0.0000"))</f>
        <v/>
      </c>
      <c r="N170" s="57" t="n"/>
      <c r="O170" s="57">
        <f>IF($A170="",0,IFERROR(IF(SUMIFS(CriteriTecnici!$O:$O,CriteriTecnici!$Q:$Q,$A170&amp;"|"&amp;$C170)&gt;0,SUMIFS(CriteriTecnici!$O:$O,CriteriTecnici!$Q:$Q,$A170&amp;"|"&amp;$C170,CriteriTecnici!$F:$F,"Q")+SUMIFS(CriteriTecnici!$O:$O,CriteriTecnici!$Q:$Q,$A170&amp;"|"&amp;$C170,CriteriTecnici!$F:$F,"T"),IFERROR($N170*1,0)),0))</f>
        <v/>
      </c>
      <c r="P170" s="57">
        <f>IF($A170="","",IF(SUMIFS(CriteriTecnici!$O:$O,CriteriTecnici!$Q:$Q,$A170&amp;"|"&amp;$C170)&gt;0,"Criteri A-G","Aggregato"))</f>
        <v/>
      </c>
    </row>
    <row r="171">
      <c r="A171" s="56">
        <f>IF(Compila!$A181="","",Compila!$A181)</f>
        <v/>
      </c>
      <c r="B171" s="56">
        <f>IF(Compila!$A181="","",Compila!$B181)</f>
        <v/>
      </c>
      <c r="C171" s="56">
        <f>IF(Compila!$A181="","",Compila!$C181)</f>
        <v/>
      </c>
      <c r="D171" s="56">
        <f>IF(Compila!$A181="","",Compila!$D181)</f>
        <v/>
      </c>
      <c r="E171" s="57">
        <f>IF($A171="",0,IFERROR(IF(SUMIFS(CriteriTecnici!$O:$O,CriteriTecnici!$Q:$Q,$A171&amp;"|"&amp;$C171)&gt;0,IF($G171="SI",ROUND(IF(SUMPRODUCT(MAX((CriteriTecnici!$C$5:$C$6173=$C171)*(CriteriTecnici!$E$5:$E$6173="A")*(CriteriTecnici!$T$5:$T$6173="SI")*IFERROR(CriteriTecnici!$O$5:$O$6173*1,0)))&gt;0,MIN(7,SUMIFS(CriteriTecnici!$O:$O,CriteriTecnici!$Q:$Q,$A171&amp;"|"&amp;$C171,CriteriTecnici!$E:$E,"A")*(7/SUMPRODUCT(MAX((CriteriTecnici!$C$5:$C$6173=$C171)*(CriteriTecnici!$E$5:$E$6173="A")*(CriteriTecnici!$T$5:$T$6173="SI")*IFERROR(CriteriTecnici!$O$5:$O$6173*1,0))))),0)+IF(SUMPRODUCT(MAX((CriteriTecnici!$C$5:$C$6173=$C171)*(CriteriTecnici!$E$5:$E$6173="B")*(CriteriTecnici!$T$5:$T$6173="SI")*IFERROR(CriteriTecnici!$O$5:$O$6173*1,0)))&gt;0,MIN(14,SUMIFS(CriteriTecnici!$O:$O,CriteriTecnici!$Q:$Q,$A171&amp;"|"&amp;$C171,CriteriTecnici!$E:$E,"B")*(14/SUMPRODUCT(MAX((CriteriTecnici!$C$5:$C$6173=$C171)*(CriteriTecnici!$E$5:$E$6173="B")*(CriteriTecnici!$T$5:$T$6173="SI")*IFERROR(CriteriTecnici!$O$5:$O$6173*1,0))))),0)+IF(SUMPRODUCT(MAX((CriteriTecnici!$C$5:$C$6173=$C171)*(CriteriTecnici!$E$5:$E$6173="C")*(CriteriTecnici!$T$5:$T$6173="SI")*IFERROR(CriteriTecnici!$O$5:$O$6173*1,0)))&gt;0,MIN(14,SUMIFS(CriteriTecnici!$O:$O,CriteriTecnici!$Q:$Q,$A171&amp;"|"&amp;$C171,CriteriTecnici!$E:$E,"C")*(14/SUMPRODUCT(MAX((CriteriTecnici!$C$5:$C$6173=$C171)*(CriteriTecnici!$E$5:$E$6173="C")*(CriteriTecnici!$T$5:$T$6173="SI")*IFERROR(CriteriTecnici!$O$5:$O$6173*1,0))))),0)+IF(SUMPRODUCT(MAX((CriteriTecnici!$C$5:$C$6173=$C171)*(CriteriTecnici!$E$5:$E$6173="D")*(CriteriTecnici!$T$5:$T$6173="SI")*IFERROR(CriteriTecnici!$O$5:$O$6173*1,0)))&gt;0,MIN(10,SUMIFS(CriteriTecnici!$O:$O,CriteriTecnici!$Q:$Q,$A171&amp;"|"&amp;$C171,CriteriTecnici!$E:$E,"D")*(10/SUMPRODUCT(MAX((CriteriTecnici!$C$5:$C$6173=$C171)*(CriteriTecnici!$E$5:$E$6173="D")*(CriteriTecnici!$T$5:$T$6173="SI")*IFERROR(CriteriTecnici!$O$5:$O$6173*1,0))))),0)+IF(SUMPRODUCT(MAX((CriteriTecnici!$C$5:$C$6173=$C171)*(CriteriTecnici!$E$5:$E$6173="E")*(CriteriTecnici!$T$5:$T$6173="SI")*IFERROR(CriteriTecnici!$O$5:$O$6173*1,0)))&gt;0,MIN(4,SUMIFS(CriteriTecnici!$O:$O,CriteriTecnici!$Q:$Q,$A171&amp;"|"&amp;$C171,CriteriTecnici!$E:$E,"E")*(4/SUMPRODUCT(MAX((CriteriTecnici!$C$5:$C$6173=$C171)*(CriteriTecnici!$E$5:$E$6173="E")*(CriteriTecnici!$T$5:$T$6173="SI")*IFERROR(CriteriTecnici!$O$5:$O$6173*1,0))))),0)+IF(SUMPRODUCT(MAX((CriteriTecnici!$C$5:$C$6173=$C171)*(CriteriTecnici!$E$5:$E$6173="F")*(CriteriTecnici!$T$5:$T$6173="SI")*IFERROR(CriteriTecnici!$O$5:$O$6173*1,0)))&gt;0,MIN(14,SUMIFS(CriteriTecnici!$O:$O,CriteriTecnici!$Q:$Q,$A171&amp;"|"&amp;$C171,CriteriTecnici!$E:$E,"F")*(14/SUMPRODUCT(MAX((CriteriTecnici!$C$5:$C$6173=$C171)*(CriteriTecnici!$E$5:$E$6173="F")*(CriteriTecnici!$T$5:$T$6173="SI")*IFERROR(CriteriTecnici!$O$5:$O$6173*1,0))))),0)+IF(SUMPRODUCT(MAX((CriteriTecnici!$C$5:$C$6173=$C171)*(CriteriTecnici!$E$5:$E$6173="G")*(CriteriTecnici!$T$5:$T$6173="SI")*IFERROR(CriteriTecnici!$O$5:$O$6173*1,0)))&gt;0,MIN(7,SUMIFS(CriteriTecnici!$O:$O,CriteriTecnici!$Q:$Q,$A171&amp;"|"&amp;$C171,CriteriTecnici!$E:$E,"G")*(7/SUMPRODUCT(MAX((CriteriTecnici!$C$5:$C$6173=$C171)*(CriteriTecnici!$E$5:$E$6173="G")*(CriteriTecnici!$T$5:$T$6173="SI")*IFERROR(CriteriTecnici!$O$5:$O$6173*1,0))))),0),4),0),IFERROR($N171*1,0)),0))</f>
        <v/>
      </c>
      <c r="F171" s="56">
        <f>IF(Compila!$A181="","",Compila!$E181)</f>
        <v/>
      </c>
      <c r="G171" s="57">
        <f>IF($A171="","",IF(IFERROR(VALUE($D171),0)&lt;&gt;1,"NO",IF(IFERROR(VALUE($O171),0)&gt;=Parametri!$B$2,"SI","NO")))</f>
        <v/>
      </c>
      <c r="H171" s="57">
        <f>IF($G171="SI",SUMPRODUCT(MAX(($C$2:$C$200=$C171)*(IFERROR($D$2:$D$200*1,0)=1)*(IFERROR($O$2:$O$200*1,0)&gt;=Parametri!$B$2)*IFERROR($F$2:$F$200*1,0))),0)</f>
        <v/>
      </c>
      <c r="I171" s="57">
        <f>IF($G171="SI",IF($H171&gt;0,30*(IFERROR($F171*1,0)/$H171),0),0)</f>
        <v/>
      </c>
      <c r="J171" s="57">
        <f>IF($A171="",0,IF($G171="SI",ROUND(IFERROR($E171*1,0)+$I171,4),ROUND(IFERROR($E171*1,0),4)))</f>
        <v/>
      </c>
      <c r="K171" s="57">
        <f>IF($A171="","",IF(IFERROR(VALUE($D171),0)&lt;&gt;1,"Non attiva",IF(IFERROR(VALUE($O171),0)&lt;Parametri!$B$2,"Sotto soglia","")))</f>
        <v/>
      </c>
      <c r="L171" s="57">
        <f>IF($A171="","",$A171&amp;"|"&amp;$C171)</f>
        <v/>
      </c>
      <c r="M171" s="57">
        <f>IF($A171="","",$C171&amp;"|"&amp;TEXT($J171,"0.0000"))</f>
        <v/>
      </c>
      <c r="N171" s="57" t="n"/>
      <c r="O171" s="57">
        <f>IF($A171="",0,IFERROR(IF(SUMIFS(CriteriTecnici!$O:$O,CriteriTecnici!$Q:$Q,$A171&amp;"|"&amp;$C171)&gt;0,SUMIFS(CriteriTecnici!$O:$O,CriteriTecnici!$Q:$Q,$A171&amp;"|"&amp;$C171,CriteriTecnici!$F:$F,"Q")+SUMIFS(CriteriTecnici!$O:$O,CriteriTecnici!$Q:$Q,$A171&amp;"|"&amp;$C171,CriteriTecnici!$F:$F,"T"),IFERROR($N171*1,0)),0))</f>
        <v/>
      </c>
      <c r="P171" s="57">
        <f>IF($A171="","",IF(SUMIFS(CriteriTecnici!$O:$O,CriteriTecnici!$Q:$Q,$A171&amp;"|"&amp;$C171)&gt;0,"Criteri A-G","Aggregato"))</f>
        <v/>
      </c>
    </row>
    <row r="172">
      <c r="A172" s="56">
        <f>IF(Compila!$A182="","",Compila!$A182)</f>
        <v/>
      </c>
      <c r="B172" s="56">
        <f>IF(Compila!$A182="","",Compila!$B182)</f>
        <v/>
      </c>
      <c r="C172" s="56">
        <f>IF(Compila!$A182="","",Compila!$C182)</f>
        <v/>
      </c>
      <c r="D172" s="56">
        <f>IF(Compila!$A182="","",Compila!$D182)</f>
        <v/>
      </c>
      <c r="E172" s="57">
        <f>IF($A172="",0,IFERROR(IF(SUMIFS(CriteriTecnici!$O:$O,CriteriTecnici!$Q:$Q,$A172&amp;"|"&amp;$C172)&gt;0,IF($G172="SI",ROUND(IF(SUMPRODUCT(MAX((CriteriTecnici!$C$5:$C$6173=$C172)*(CriteriTecnici!$E$5:$E$6173="A")*(CriteriTecnici!$T$5:$T$6173="SI")*IFERROR(CriteriTecnici!$O$5:$O$6173*1,0)))&gt;0,MIN(7,SUMIFS(CriteriTecnici!$O:$O,CriteriTecnici!$Q:$Q,$A172&amp;"|"&amp;$C172,CriteriTecnici!$E:$E,"A")*(7/SUMPRODUCT(MAX((CriteriTecnici!$C$5:$C$6173=$C172)*(CriteriTecnici!$E$5:$E$6173="A")*(CriteriTecnici!$T$5:$T$6173="SI")*IFERROR(CriteriTecnici!$O$5:$O$6173*1,0))))),0)+IF(SUMPRODUCT(MAX((CriteriTecnici!$C$5:$C$6173=$C172)*(CriteriTecnici!$E$5:$E$6173="B")*(CriteriTecnici!$T$5:$T$6173="SI")*IFERROR(CriteriTecnici!$O$5:$O$6173*1,0)))&gt;0,MIN(14,SUMIFS(CriteriTecnici!$O:$O,CriteriTecnici!$Q:$Q,$A172&amp;"|"&amp;$C172,CriteriTecnici!$E:$E,"B")*(14/SUMPRODUCT(MAX((CriteriTecnici!$C$5:$C$6173=$C172)*(CriteriTecnici!$E$5:$E$6173="B")*(CriteriTecnici!$T$5:$T$6173="SI")*IFERROR(CriteriTecnici!$O$5:$O$6173*1,0))))),0)+IF(SUMPRODUCT(MAX((CriteriTecnici!$C$5:$C$6173=$C172)*(CriteriTecnici!$E$5:$E$6173="C")*(CriteriTecnici!$T$5:$T$6173="SI")*IFERROR(CriteriTecnici!$O$5:$O$6173*1,0)))&gt;0,MIN(14,SUMIFS(CriteriTecnici!$O:$O,CriteriTecnici!$Q:$Q,$A172&amp;"|"&amp;$C172,CriteriTecnici!$E:$E,"C")*(14/SUMPRODUCT(MAX((CriteriTecnici!$C$5:$C$6173=$C172)*(CriteriTecnici!$E$5:$E$6173="C")*(CriteriTecnici!$T$5:$T$6173="SI")*IFERROR(CriteriTecnici!$O$5:$O$6173*1,0))))),0)+IF(SUMPRODUCT(MAX((CriteriTecnici!$C$5:$C$6173=$C172)*(CriteriTecnici!$E$5:$E$6173="D")*(CriteriTecnici!$T$5:$T$6173="SI")*IFERROR(CriteriTecnici!$O$5:$O$6173*1,0)))&gt;0,MIN(10,SUMIFS(CriteriTecnici!$O:$O,CriteriTecnici!$Q:$Q,$A172&amp;"|"&amp;$C172,CriteriTecnici!$E:$E,"D")*(10/SUMPRODUCT(MAX((CriteriTecnici!$C$5:$C$6173=$C172)*(CriteriTecnici!$E$5:$E$6173="D")*(CriteriTecnici!$T$5:$T$6173="SI")*IFERROR(CriteriTecnici!$O$5:$O$6173*1,0))))),0)+IF(SUMPRODUCT(MAX((CriteriTecnici!$C$5:$C$6173=$C172)*(CriteriTecnici!$E$5:$E$6173="E")*(CriteriTecnici!$T$5:$T$6173="SI")*IFERROR(CriteriTecnici!$O$5:$O$6173*1,0)))&gt;0,MIN(4,SUMIFS(CriteriTecnici!$O:$O,CriteriTecnici!$Q:$Q,$A172&amp;"|"&amp;$C172,CriteriTecnici!$E:$E,"E")*(4/SUMPRODUCT(MAX((CriteriTecnici!$C$5:$C$6173=$C172)*(CriteriTecnici!$E$5:$E$6173="E")*(CriteriTecnici!$T$5:$T$6173="SI")*IFERROR(CriteriTecnici!$O$5:$O$6173*1,0))))),0)+IF(SUMPRODUCT(MAX((CriteriTecnici!$C$5:$C$6173=$C172)*(CriteriTecnici!$E$5:$E$6173="F")*(CriteriTecnici!$T$5:$T$6173="SI")*IFERROR(CriteriTecnici!$O$5:$O$6173*1,0)))&gt;0,MIN(14,SUMIFS(CriteriTecnici!$O:$O,CriteriTecnici!$Q:$Q,$A172&amp;"|"&amp;$C172,CriteriTecnici!$E:$E,"F")*(14/SUMPRODUCT(MAX((CriteriTecnici!$C$5:$C$6173=$C172)*(CriteriTecnici!$E$5:$E$6173="F")*(CriteriTecnici!$T$5:$T$6173="SI")*IFERROR(CriteriTecnici!$O$5:$O$6173*1,0))))),0)+IF(SUMPRODUCT(MAX((CriteriTecnici!$C$5:$C$6173=$C172)*(CriteriTecnici!$E$5:$E$6173="G")*(CriteriTecnici!$T$5:$T$6173="SI")*IFERROR(CriteriTecnici!$O$5:$O$6173*1,0)))&gt;0,MIN(7,SUMIFS(CriteriTecnici!$O:$O,CriteriTecnici!$Q:$Q,$A172&amp;"|"&amp;$C172,CriteriTecnici!$E:$E,"G")*(7/SUMPRODUCT(MAX((CriteriTecnici!$C$5:$C$6173=$C172)*(CriteriTecnici!$E$5:$E$6173="G")*(CriteriTecnici!$T$5:$T$6173="SI")*IFERROR(CriteriTecnici!$O$5:$O$6173*1,0))))),0),4),0),IFERROR($N172*1,0)),0))</f>
        <v/>
      </c>
      <c r="F172" s="56">
        <f>IF(Compila!$A182="","",Compila!$E182)</f>
        <v/>
      </c>
      <c r="G172" s="57">
        <f>IF($A172="","",IF(IFERROR(VALUE($D172),0)&lt;&gt;1,"NO",IF(IFERROR(VALUE($O172),0)&gt;=Parametri!$B$2,"SI","NO")))</f>
        <v/>
      </c>
      <c r="H172" s="57">
        <f>IF($G172="SI",SUMPRODUCT(MAX(($C$2:$C$200=$C172)*(IFERROR($D$2:$D$200*1,0)=1)*(IFERROR($O$2:$O$200*1,0)&gt;=Parametri!$B$2)*IFERROR($F$2:$F$200*1,0))),0)</f>
        <v/>
      </c>
      <c r="I172" s="57">
        <f>IF($G172="SI",IF($H172&gt;0,30*(IFERROR($F172*1,0)/$H172),0),0)</f>
        <v/>
      </c>
      <c r="J172" s="57">
        <f>IF($A172="",0,IF($G172="SI",ROUND(IFERROR($E172*1,0)+$I172,4),ROUND(IFERROR($E172*1,0),4)))</f>
        <v/>
      </c>
      <c r="K172" s="57">
        <f>IF($A172="","",IF(IFERROR(VALUE($D172),0)&lt;&gt;1,"Non attiva",IF(IFERROR(VALUE($O172),0)&lt;Parametri!$B$2,"Sotto soglia","")))</f>
        <v/>
      </c>
      <c r="L172" s="57">
        <f>IF($A172="","",$A172&amp;"|"&amp;$C172)</f>
        <v/>
      </c>
      <c r="M172" s="57">
        <f>IF($A172="","",$C172&amp;"|"&amp;TEXT($J172,"0.0000"))</f>
        <v/>
      </c>
      <c r="N172" s="57" t="n"/>
      <c r="O172" s="57">
        <f>IF($A172="",0,IFERROR(IF(SUMIFS(CriteriTecnici!$O:$O,CriteriTecnici!$Q:$Q,$A172&amp;"|"&amp;$C172)&gt;0,SUMIFS(CriteriTecnici!$O:$O,CriteriTecnici!$Q:$Q,$A172&amp;"|"&amp;$C172,CriteriTecnici!$F:$F,"Q")+SUMIFS(CriteriTecnici!$O:$O,CriteriTecnici!$Q:$Q,$A172&amp;"|"&amp;$C172,CriteriTecnici!$F:$F,"T"),IFERROR($N172*1,0)),0))</f>
        <v/>
      </c>
      <c r="P172" s="57">
        <f>IF($A172="","",IF(SUMIFS(CriteriTecnici!$O:$O,CriteriTecnici!$Q:$Q,$A172&amp;"|"&amp;$C172)&gt;0,"Criteri A-G","Aggregato"))</f>
        <v/>
      </c>
    </row>
    <row r="173">
      <c r="A173" s="56">
        <f>IF(Compila!$A183="","",Compila!$A183)</f>
        <v/>
      </c>
      <c r="B173" s="56">
        <f>IF(Compila!$A183="","",Compila!$B183)</f>
        <v/>
      </c>
      <c r="C173" s="56">
        <f>IF(Compila!$A183="","",Compila!$C183)</f>
        <v/>
      </c>
      <c r="D173" s="56">
        <f>IF(Compila!$A183="","",Compila!$D183)</f>
        <v/>
      </c>
      <c r="E173" s="57">
        <f>IF($A173="",0,IFERROR(IF(SUMIFS(CriteriTecnici!$O:$O,CriteriTecnici!$Q:$Q,$A173&amp;"|"&amp;$C173)&gt;0,IF($G173="SI",ROUND(IF(SUMPRODUCT(MAX((CriteriTecnici!$C$5:$C$6173=$C173)*(CriteriTecnici!$E$5:$E$6173="A")*(CriteriTecnici!$T$5:$T$6173="SI")*IFERROR(CriteriTecnici!$O$5:$O$6173*1,0)))&gt;0,MIN(7,SUMIFS(CriteriTecnici!$O:$O,CriteriTecnici!$Q:$Q,$A173&amp;"|"&amp;$C173,CriteriTecnici!$E:$E,"A")*(7/SUMPRODUCT(MAX((CriteriTecnici!$C$5:$C$6173=$C173)*(CriteriTecnici!$E$5:$E$6173="A")*(CriteriTecnici!$T$5:$T$6173="SI")*IFERROR(CriteriTecnici!$O$5:$O$6173*1,0))))),0)+IF(SUMPRODUCT(MAX((CriteriTecnici!$C$5:$C$6173=$C173)*(CriteriTecnici!$E$5:$E$6173="B")*(CriteriTecnici!$T$5:$T$6173="SI")*IFERROR(CriteriTecnici!$O$5:$O$6173*1,0)))&gt;0,MIN(14,SUMIFS(CriteriTecnici!$O:$O,CriteriTecnici!$Q:$Q,$A173&amp;"|"&amp;$C173,CriteriTecnici!$E:$E,"B")*(14/SUMPRODUCT(MAX((CriteriTecnici!$C$5:$C$6173=$C173)*(CriteriTecnici!$E$5:$E$6173="B")*(CriteriTecnici!$T$5:$T$6173="SI")*IFERROR(CriteriTecnici!$O$5:$O$6173*1,0))))),0)+IF(SUMPRODUCT(MAX((CriteriTecnici!$C$5:$C$6173=$C173)*(CriteriTecnici!$E$5:$E$6173="C")*(CriteriTecnici!$T$5:$T$6173="SI")*IFERROR(CriteriTecnici!$O$5:$O$6173*1,0)))&gt;0,MIN(14,SUMIFS(CriteriTecnici!$O:$O,CriteriTecnici!$Q:$Q,$A173&amp;"|"&amp;$C173,CriteriTecnici!$E:$E,"C")*(14/SUMPRODUCT(MAX((CriteriTecnici!$C$5:$C$6173=$C173)*(CriteriTecnici!$E$5:$E$6173="C")*(CriteriTecnici!$T$5:$T$6173="SI")*IFERROR(CriteriTecnici!$O$5:$O$6173*1,0))))),0)+IF(SUMPRODUCT(MAX((CriteriTecnici!$C$5:$C$6173=$C173)*(CriteriTecnici!$E$5:$E$6173="D")*(CriteriTecnici!$T$5:$T$6173="SI")*IFERROR(CriteriTecnici!$O$5:$O$6173*1,0)))&gt;0,MIN(10,SUMIFS(CriteriTecnici!$O:$O,CriteriTecnici!$Q:$Q,$A173&amp;"|"&amp;$C173,CriteriTecnici!$E:$E,"D")*(10/SUMPRODUCT(MAX((CriteriTecnici!$C$5:$C$6173=$C173)*(CriteriTecnici!$E$5:$E$6173="D")*(CriteriTecnici!$T$5:$T$6173="SI")*IFERROR(CriteriTecnici!$O$5:$O$6173*1,0))))),0)+IF(SUMPRODUCT(MAX((CriteriTecnici!$C$5:$C$6173=$C173)*(CriteriTecnici!$E$5:$E$6173="E")*(CriteriTecnici!$T$5:$T$6173="SI")*IFERROR(CriteriTecnici!$O$5:$O$6173*1,0)))&gt;0,MIN(4,SUMIFS(CriteriTecnici!$O:$O,CriteriTecnici!$Q:$Q,$A173&amp;"|"&amp;$C173,CriteriTecnici!$E:$E,"E")*(4/SUMPRODUCT(MAX((CriteriTecnici!$C$5:$C$6173=$C173)*(CriteriTecnici!$E$5:$E$6173="E")*(CriteriTecnici!$T$5:$T$6173="SI")*IFERROR(CriteriTecnici!$O$5:$O$6173*1,0))))),0)+IF(SUMPRODUCT(MAX((CriteriTecnici!$C$5:$C$6173=$C173)*(CriteriTecnici!$E$5:$E$6173="F")*(CriteriTecnici!$T$5:$T$6173="SI")*IFERROR(CriteriTecnici!$O$5:$O$6173*1,0)))&gt;0,MIN(14,SUMIFS(CriteriTecnici!$O:$O,CriteriTecnici!$Q:$Q,$A173&amp;"|"&amp;$C173,CriteriTecnici!$E:$E,"F")*(14/SUMPRODUCT(MAX((CriteriTecnici!$C$5:$C$6173=$C173)*(CriteriTecnici!$E$5:$E$6173="F")*(CriteriTecnici!$T$5:$T$6173="SI")*IFERROR(CriteriTecnici!$O$5:$O$6173*1,0))))),0)+IF(SUMPRODUCT(MAX((CriteriTecnici!$C$5:$C$6173=$C173)*(CriteriTecnici!$E$5:$E$6173="G")*(CriteriTecnici!$T$5:$T$6173="SI")*IFERROR(CriteriTecnici!$O$5:$O$6173*1,0)))&gt;0,MIN(7,SUMIFS(CriteriTecnici!$O:$O,CriteriTecnici!$Q:$Q,$A173&amp;"|"&amp;$C173,CriteriTecnici!$E:$E,"G")*(7/SUMPRODUCT(MAX((CriteriTecnici!$C$5:$C$6173=$C173)*(CriteriTecnici!$E$5:$E$6173="G")*(CriteriTecnici!$T$5:$T$6173="SI")*IFERROR(CriteriTecnici!$O$5:$O$6173*1,0))))),0),4),0),IFERROR($N173*1,0)),0))</f>
        <v/>
      </c>
      <c r="F173" s="56">
        <f>IF(Compila!$A183="","",Compila!$E183)</f>
        <v/>
      </c>
      <c r="G173" s="57">
        <f>IF($A173="","",IF(IFERROR(VALUE($D173),0)&lt;&gt;1,"NO",IF(IFERROR(VALUE($O173),0)&gt;=Parametri!$B$2,"SI","NO")))</f>
        <v/>
      </c>
      <c r="H173" s="57">
        <f>IF($G173="SI",SUMPRODUCT(MAX(($C$2:$C$200=$C173)*(IFERROR($D$2:$D$200*1,0)=1)*(IFERROR($O$2:$O$200*1,0)&gt;=Parametri!$B$2)*IFERROR($F$2:$F$200*1,0))),0)</f>
        <v/>
      </c>
      <c r="I173" s="57">
        <f>IF($G173="SI",IF($H173&gt;0,30*(IFERROR($F173*1,0)/$H173),0),0)</f>
        <v/>
      </c>
      <c r="J173" s="57">
        <f>IF($A173="",0,IF($G173="SI",ROUND(IFERROR($E173*1,0)+$I173,4),ROUND(IFERROR($E173*1,0),4)))</f>
        <v/>
      </c>
      <c r="K173" s="57">
        <f>IF($A173="","",IF(IFERROR(VALUE($D173),0)&lt;&gt;1,"Non attiva",IF(IFERROR(VALUE($O173),0)&lt;Parametri!$B$2,"Sotto soglia","")))</f>
        <v/>
      </c>
      <c r="L173" s="57">
        <f>IF($A173="","",$A173&amp;"|"&amp;$C173)</f>
        <v/>
      </c>
      <c r="M173" s="57">
        <f>IF($A173="","",$C173&amp;"|"&amp;TEXT($J173,"0.0000"))</f>
        <v/>
      </c>
      <c r="N173" s="57" t="n"/>
      <c r="O173" s="57">
        <f>IF($A173="",0,IFERROR(IF(SUMIFS(CriteriTecnici!$O:$O,CriteriTecnici!$Q:$Q,$A173&amp;"|"&amp;$C173)&gt;0,SUMIFS(CriteriTecnici!$O:$O,CriteriTecnici!$Q:$Q,$A173&amp;"|"&amp;$C173,CriteriTecnici!$F:$F,"Q")+SUMIFS(CriteriTecnici!$O:$O,CriteriTecnici!$Q:$Q,$A173&amp;"|"&amp;$C173,CriteriTecnici!$F:$F,"T"),IFERROR($N173*1,0)),0))</f>
        <v/>
      </c>
      <c r="P173" s="57">
        <f>IF($A173="","",IF(SUMIFS(CriteriTecnici!$O:$O,CriteriTecnici!$Q:$Q,$A173&amp;"|"&amp;$C173)&gt;0,"Criteri A-G","Aggregato"))</f>
        <v/>
      </c>
    </row>
    <row r="174">
      <c r="A174" s="56">
        <f>IF(Compila!$A184="","",Compila!$A184)</f>
        <v/>
      </c>
      <c r="B174" s="56">
        <f>IF(Compila!$A184="","",Compila!$B184)</f>
        <v/>
      </c>
      <c r="C174" s="56">
        <f>IF(Compila!$A184="","",Compila!$C184)</f>
        <v/>
      </c>
      <c r="D174" s="56">
        <f>IF(Compila!$A184="","",Compila!$D184)</f>
        <v/>
      </c>
      <c r="E174" s="57">
        <f>IF($A174="",0,IFERROR(IF(SUMIFS(CriteriTecnici!$O:$O,CriteriTecnici!$Q:$Q,$A174&amp;"|"&amp;$C174)&gt;0,IF($G174="SI",ROUND(IF(SUMPRODUCT(MAX((CriteriTecnici!$C$5:$C$6173=$C174)*(CriteriTecnici!$E$5:$E$6173="A")*(CriteriTecnici!$T$5:$T$6173="SI")*IFERROR(CriteriTecnici!$O$5:$O$6173*1,0)))&gt;0,MIN(7,SUMIFS(CriteriTecnici!$O:$O,CriteriTecnici!$Q:$Q,$A174&amp;"|"&amp;$C174,CriteriTecnici!$E:$E,"A")*(7/SUMPRODUCT(MAX((CriteriTecnici!$C$5:$C$6173=$C174)*(CriteriTecnici!$E$5:$E$6173="A")*(CriteriTecnici!$T$5:$T$6173="SI")*IFERROR(CriteriTecnici!$O$5:$O$6173*1,0))))),0)+IF(SUMPRODUCT(MAX((CriteriTecnici!$C$5:$C$6173=$C174)*(CriteriTecnici!$E$5:$E$6173="B")*(CriteriTecnici!$T$5:$T$6173="SI")*IFERROR(CriteriTecnici!$O$5:$O$6173*1,0)))&gt;0,MIN(14,SUMIFS(CriteriTecnici!$O:$O,CriteriTecnici!$Q:$Q,$A174&amp;"|"&amp;$C174,CriteriTecnici!$E:$E,"B")*(14/SUMPRODUCT(MAX((CriteriTecnici!$C$5:$C$6173=$C174)*(CriteriTecnici!$E$5:$E$6173="B")*(CriteriTecnici!$T$5:$T$6173="SI")*IFERROR(CriteriTecnici!$O$5:$O$6173*1,0))))),0)+IF(SUMPRODUCT(MAX((CriteriTecnici!$C$5:$C$6173=$C174)*(CriteriTecnici!$E$5:$E$6173="C")*(CriteriTecnici!$T$5:$T$6173="SI")*IFERROR(CriteriTecnici!$O$5:$O$6173*1,0)))&gt;0,MIN(14,SUMIFS(CriteriTecnici!$O:$O,CriteriTecnici!$Q:$Q,$A174&amp;"|"&amp;$C174,CriteriTecnici!$E:$E,"C")*(14/SUMPRODUCT(MAX((CriteriTecnici!$C$5:$C$6173=$C174)*(CriteriTecnici!$E$5:$E$6173="C")*(CriteriTecnici!$T$5:$T$6173="SI")*IFERROR(CriteriTecnici!$O$5:$O$6173*1,0))))),0)+IF(SUMPRODUCT(MAX((CriteriTecnici!$C$5:$C$6173=$C174)*(CriteriTecnici!$E$5:$E$6173="D")*(CriteriTecnici!$T$5:$T$6173="SI")*IFERROR(CriteriTecnici!$O$5:$O$6173*1,0)))&gt;0,MIN(10,SUMIFS(CriteriTecnici!$O:$O,CriteriTecnici!$Q:$Q,$A174&amp;"|"&amp;$C174,CriteriTecnici!$E:$E,"D")*(10/SUMPRODUCT(MAX((CriteriTecnici!$C$5:$C$6173=$C174)*(CriteriTecnici!$E$5:$E$6173="D")*(CriteriTecnici!$T$5:$T$6173="SI")*IFERROR(CriteriTecnici!$O$5:$O$6173*1,0))))),0)+IF(SUMPRODUCT(MAX((CriteriTecnici!$C$5:$C$6173=$C174)*(CriteriTecnici!$E$5:$E$6173="E")*(CriteriTecnici!$T$5:$T$6173="SI")*IFERROR(CriteriTecnici!$O$5:$O$6173*1,0)))&gt;0,MIN(4,SUMIFS(CriteriTecnici!$O:$O,CriteriTecnici!$Q:$Q,$A174&amp;"|"&amp;$C174,CriteriTecnici!$E:$E,"E")*(4/SUMPRODUCT(MAX((CriteriTecnici!$C$5:$C$6173=$C174)*(CriteriTecnici!$E$5:$E$6173="E")*(CriteriTecnici!$T$5:$T$6173="SI")*IFERROR(CriteriTecnici!$O$5:$O$6173*1,0))))),0)+IF(SUMPRODUCT(MAX((CriteriTecnici!$C$5:$C$6173=$C174)*(CriteriTecnici!$E$5:$E$6173="F")*(CriteriTecnici!$T$5:$T$6173="SI")*IFERROR(CriteriTecnici!$O$5:$O$6173*1,0)))&gt;0,MIN(14,SUMIFS(CriteriTecnici!$O:$O,CriteriTecnici!$Q:$Q,$A174&amp;"|"&amp;$C174,CriteriTecnici!$E:$E,"F")*(14/SUMPRODUCT(MAX((CriteriTecnici!$C$5:$C$6173=$C174)*(CriteriTecnici!$E$5:$E$6173="F")*(CriteriTecnici!$T$5:$T$6173="SI")*IFERROR(CriteriTecnici!$O$5:$O$6173*1,0))))),0)+IF(SUMPRODUCT(MAX((CriteriTecnici!$C$5:$C$6173=$C174)*(CriteriTecnici!$E$5:$E$6173="G")*(CriteriTecnici!$T$5:$T$6173="SI")*IFERROR(CriteriTecnici!$O$5:$O$6173*1,0)))&gt;0,MIN(7,SUMIFS(CriteriTecnici!$O:$O,CriteriTecnici!$Q:$Q,$A174&amp;"|"&amp;$C174,CriteriTecnici!$E:$E,"G")*(7/SUMPRODUCT(MAX((CriteriTecnici!$C$5:$C$6173=$C174)*(CriteriTecnici!$E$5:$E$6173="G")*(CriteriTecnici!$T$5:$T$6173="SI")*IFERROR(CriteriTecnici!$O$5:$O$6173*1,0))))),0),4),0),IFERROR($N174*1,0)),0))</f>
        <v/>
      </c>
      <c r="F174" s="56">
        <f>IF(Compila!$A184="","",Compila!$E184)</f>
        <v/>
      </c>
      <c r="G174" s="57">
        <f>IF($A174="","",IF(IFERROR(VALUE($D174),0)&lt;&gt;1,"NO",IF(IFERROR(VALUE($O174),0)&gt;=Parametri!$B$2,"SI","NO")))</f>
        <v/>
      </c>
      <c r="H174" s="57">
        <f>IF($G174="SI",SUMPRODUCT(MAX(($C$2:$C$200=$C174)*(IFERROR($D$2:$D$200*1,0)=1)*(IFERROR($O$2:$O$200*1,0)&gt;=Parametri!$B$2)*IFERROR($F$2:$F$200*1,0))),0)</f>
        <v/>
      </c>
      <c r="I174" s="57">
        <f>IF($G174="SI",IF($H174&gt;0,30*(IFERROR($F174*1,0)/$H174),0),0)</f>
        <v/>
      </c>
      <c r="J174" s="57">
        <f>IF($A174="",0,IF($G174="SI",ROUND(IFERROR($E174*1,0)+$I174,4),ROUND(IFERROR($E174*1,0),4)))</f>
        <v/>
      </c>
      <c r="K174" s="57">
        <f>IF($A174="","",IF(IFERROR(VALUE($D174),0)&lt;&gt;1,"Non attiva",IF(IFERROR(VALUE($O174),0)&lt;Parametri!$B$2,"Sotto soglia","")))</f>
        <v/>
      </c>
      <c r="L174" s="57">
        <f>IF($A174="","",$A174&amp;"|"&amp;$C174)</f>
        <v/>
      </c>
      <c r="M174" s="57">
        <f>IF($A174="","",$C174&amp;"|"&amp;TEXT($J174,"0.0000"))</f>
        <v/>
      </c>
      <c r="N174" s="57" t="n"/>
      <c r="O174" s="57">
        <f>IF($A174="",0,IFERROR(IF(SUMIFS(CriteriTecnici!$O:$O,CriteriTecnici!$Q:$Q,$A174&amp;"|"&amp;$C174)&gt;0,SUMIFS(CriteriTecnici!$O:$O,CriteriTecnici!$Q:$Q,$A174&amp;"|"&amp;$C174,CriteriTecnici!$F:$F,"Q")+SUMIFS(CriteriTecnici!$O:$O,CriteriTecnici!$Q:$Q,$A174&amp;"|"&amp;$C174,CriteriTecnici!$F:$F,"T"),IFERROR($N174*1,0)),0))</f>
        <v/>
      </c>
      <c r="P174" s="57">
        <f>IF($A174="","",IF(SUMIFS(CriteriTecnici!$O:$O,CriteriTecnici!$Q:$Q,$A174&amp;"|"&amp;$C174)&gt;0,"Criteri A-G","Aggregato"))</f>
        <v/>
      </c>
    </row>
    <row r="175">
      <c r="A175" s="56">
        <f>IF(Compila!$A185="","",Compila!$A185)</f>
        <v/>
      </c>
      <c r="B175" s="56">
        <f>IF(Compila!$A185="","",Compila!$B185)</f>
        <v/>
      </c>
      <c r="C175" s="56">
        <f>IF(Compila!$A185="","",Compila!$C185)</f>
        <v/>
      </c>
      <c r="D175" s="56">
        <f>IF(Compila!$A185="","",Compila!$D185)</f>
        <v/>
      </c>
      <c r="E175" s="57">
        <f>IF($A175="",0,IFERROR(IF(SUMIFS(CriteriTecnici!$O:$O,CriteriTecnici!$Q:$Q,$A175&amp;"|"&amp;$C175)&gt;0,IF($G175="SI",ROUND(IF(SUMPRODUCT(MAX((CriteriTecnici!$C$5:$C$6173=$C175)*(CriteriTecnici!$E$5:$E$6173="A")*(CriteriTecnici!$T$5:$T$6173="SI")*IFERROR(CriteriTecnici!$O$5:$O$6173*1,0)))&gt;0,MIN(7,SUMIFS(CriteriTecnici!$O:$O,CriteriTecnici!$Q:$Q,$A175&amp;"|"&amp;$C175,CriteriTecnici!$E:$E,"A")*(7/SUMPRODUCT(MAX((CriteriTecnici!$C$5:$C$6173=$C175)*(CriteriTecnici!$E$5:$E$6173="A")*(CriteriTecnici!$T$5:$T$6173="SI")*IFERROR(CriteriTecnici!$O$5:$O$6173*1,0))))),0)+IF(SUMPRODUCT(MAX((CriteriTecnici!$C$5:$C$6173=$C175)*(CriteriTecnici!$E$5:$E$6173="B")*(CriteriTecnici!$T$5:$T$6173="SI")*IFERROR(CriteriTecnici!$O$5:$O$6173*1,0)))&gt;0,MIN(14,SUMIFS(CriteriTecnici!$O:$O,CriteriTecnici!$Q:$Q,$A175&amp;"|"&amp;$C175,CriteriTecnici!$E:$E,"B")*(14/SUMPRODUCT(MAX((CriteriTecnici!$C$5:$C$6173=$C175)*(CriteriTecnici!$E$5:$E$6173="B")*(CriteriTecnici!$T$5:$T$6173="SI")*IFERROR(CriteriTecnici!$O$5:$O$6173*1,0))))),0)+IF(SUMPRODUCT(MAX((CriteriTecnici!$C$5:$C$6173=$C175)*(CriteriTecnici!$E$5:$E$6173="C")*(CriteriTecnici!$T$5:$T$6173="SI")*IFERROR(CriteriTecnici!$O$5:$O$6173*1,0)))&gt;0,MIN(14,SUMIFS(CriteriTecnici!$O:$O,CriteriTecnici!$Q:$Q,$A175&amp;"|"&amp;$C175,CriteriTecnici!$E:$E,"C")*(14/SUMPRODUCT(MAX((CriteriTecnici!$C$5:$C$6173=$C175)*(CriteriTecnici!$E$5:$E$6173="C")*(CriteriTecnici!$T$5:$T$6173="SI")*IFERROR(CriteriTecnici!$O$5:$O$6173*1,0))))),0)+IF(SUMPRODUCT(MAX((CriteriTecnici!$C$5:$C$6173=$C175)*(CriteriTecnici!$E$5:$E$6173="D")*(CriteriTecnici!$T$5:$T$6173="SI")*IFERROR(CriteriTecnici!$O$5:$O$6173*1,0)))&gt;0,MIN(10,SUMIFS(CriteriTecnici!$O:$O,CriteriTecnici!$Q:$Q,$A175&amp;"|"&amp;$C175,CriteriTecnici!$E:$E,"D")*(10/SUMPRODUCT(MAX((CriteriTecnici!$C$5:$C$6173=$C175)*(CriteriTecnici!$E$5:$E$6173="D")*(CriteriTecnici!$T$5:$T$6173="SI")*IFERROR(CriteriTecnici!$O$5:$O$6173*1,0))))),0)+IF(SUMPRODUCT(MAX((CriteriTecnici!$C$5:$C$6173=$C175)*(CriteriTecnici!$E$5:$E$6173="E")*(CriteriTecnici!$T$5:$T$6173="SI")*IFERROR(CriteriTecnici!$O$5:$O$6173*1,0)))&gt;0,MIN(4,SUMIFS(CriteriTecnici!$O:$O,CriteriTecnici!$Q:$Q,$A175&amp;"|"&amp;$C175,CriteriTecnici!$E:$E,"E")*(4/SUMPRODUCT(MAX((CriteriTecnici!$C$5:$C$6173=$C175)*(CriteriTecnici!$E$5:$E$6173="E")*(CriteriTecnici!$T$5:$T$6173="SI")*IFERROR(CriteriTecnici!$O$5:$O$6173*1,0))))),0)+IF(SUMPRODUCT(MAX((CriteriTecnici!$C$5:$C$6173=$C175)*(CriteriTecnici!$E$5:$E$6173="F")*(CriteriTecnici!$T$5:$T$6173="SI")*IFERROR(CriteriTecnici!$O$5:$O$6173*1,0)))&gt;0,MIN(14,SUMIFS(CriteriTecnici!$O:$O,CriteriTecnici!$Q:$Q,$A175&amp;"|"&amp;$C175,CriteriTecnici!$E:$E,"F")*(14/SUMPRODUCT(MAX((CriteriTecnici!$C$5:$C$6173=$C175)*(CriteriTecnici!$E$5:$E$6173="F")*(CriteriTecnici!$T$5:$T$6173="SI")*IFERROR(CriteriTecnici!$O$5:$O$6173*1,0))))),0)+IF(SUMPRODUCT(MAX((CriteriTecnici!$C$5:$C$6173=$C175)*(CriteriTecnici!$E$5:$E$6173="G")*(CriteriTecnici!$T$5:$T$6173="SI")*IFERROR(CriteriTecnici!$O$5:$O$6173*1,0)))&gt;0,MIN(7,SUMIFS(CriteriTecnici!$O:$O,CriteriTecnici!$Q:$Q,$A175&amp;"|"&amp;$C175,CriteriTecnici!$E:$E,"G")*(7/SUMPRODUCT(MAX((CriteriTecnici!$C$5:$C$6173=$C175)*(CriteriTecnici!$E$5:$E$6173="G")*(CriteriTecnici!$T$5:$T$6173="SI")*IFERROR(CriteriTecnici!$O$5:$O$6173*1,0))))),0),4),0),IFERROR($N175*1,0)),0))</f>
        <v/>
      </c>
      <c r="F175" s="56">
        <f>IF(Compila!$A185="","",Compila!$E185)</f>
        <v/>
      </c>
      <c r="G175" s="57">
        <f>IF($A175="","",IF(IFERROR(VALUE($D175),0)&lt;&gt;1,"NO",IF(IFERROR(VALUE($O175),0)&gt;=Parametri!$B$2,"SI","NO")))</f>
        <v/>
      </c>
      <c r="H175" s="57">
        <f>IF($G175="SI",SUMPRODUCT(MAX(($C$2:$C$200=$C175)*(IFERROR($D$2:$D$200*1,0)=1)*(IFERROR($O$2:$O$200*1,0)&gt;=Parametri!$B$2)*IFERROR($F$2:$F$200*1,0))),0)</f>
        <v/>
      </c>
      <c r="I175" s="57">
        <f>IF($G175="SI",IF($H175&gt;0,30*(IFERROR($F175*1,0)/$H175),0),0)</f>
        <v/>
      </c>
      <c r="J175" s="57">
        <f>IF($A175="",0,IF($G175="SI",ROUND(IFERROR($E175*1,0)+$I175,4),ROUND(IFERROR($E175*1,0),4)))</f>
        <v/>
      </c>
      <c r="K175" s="57">
        <f>IF($A175="","",IF(IFERROR(VALUE($D175),0)&lt;&gt;1,"Non attiva",IF(IFERROR(VALUE($O175),0)&lt;Parametri!$B$2,"Sotto soglia","")))</f>
        <v/>
      </c>
      <c r="L175" s="57">
        <f>IF($A175="","",$A175&amp;"|"&amp;$C175)</f>
        <v/>
      </c>
      <c r="M175" s="57">
        <f>IF($A175="","",$C175&amp;"|"&amp;TEXT($J175,"0.0000"))</f>
        <v/>
      </c>
      <c r="N175" s="57" t="n"/>
      <c r="O175" s="57">
        <f>IF($A175="",0,IFERROR(IF(SUMIFS(CriteriTecnici!$O:$O,CriteriTecnici!$Q:$Q,$A175&amp;"|"&amp;$C175)&gt;0,SUMIFS(CriteriTecnici!$O:$O,CriteriTecnici!$Q:$Q,$A175&amp;"|"&amp;$C175,CriteriTecnici!$F:$F,"Q")+SUMIFS(CriteriTecnici!$O:$O,CriteriTecnici!$Q:$Q,$A175&amp;"|"&amp;$C175,CriteriTecnici!$F:$F,"T"),IFERROR($N175*1,0)),0))</f>
        <v/>
      </c>
      <c r="P175" s="57">
        <f>IF($A175="","",IF(SUMIFS(CriteriTecnici!$O:$O,CriteriTecnici!$Q:$Q,$A175&amp;"|"&amp;$C175)&gt;0,"Criteri A-G","Aggregato"))</f>
        <v/>
      </c>
    </row>
    <row r="176">
      <c r="A176" s="56">
        <f>IF(Compila!$A186="","",Compila!$A186)</f>
        <v/>
      </c>
      <c r="B176" s="56">
        <f>IF(Compila!$A186="","",Compila!$B186)</f>
        <v/>
      </c>
      <c r="C176" s="56">
        <f>IF(Compila!$A186="","",Compila!$C186)</f>
        <v/>
      </c>
      <c r="D176" s="56">
        <f>IF(Compila!$A186="","",Compila!$D186)</f>
        <v/>
      </c>
      <c r="E176" s="57">
        <f>IF($A176="",0,IFERROR(IF(SUMIFS(CriteriTecnici!$O:$O,CriteriTecnici!$Q:$Q,$A176&amp;"|"&amp;$C176)&gt;0,IF($G176="SI",ROUND(IF(SUMPRODUCT(MAX((CriteriTecnici!$C$5:$C$6173=$C176)*(CriteriTecnici!$E$5:$E$6173="A")*(CriteriTecnici!$T$5:$T$6173="SI")*IFERROR(CriteriTecnici!$O$5:$O$6173*1,0)))&gt;0,MIN(7,SUMIFS(CriteriTecnici!$O:$O,CriteriTecnici!$Q:$Q,$A176&amp;"|"&amp;$C176,CriteriTecnici!$E:$E,"A")*(7/SUMPRODUCT(MAX((CriteriTecnici!$C$5:$C$6173=$C176)*(CriteriTecnici!$E$5:$E$6173="A")*(CriteriTecnici!$T$5:$T$6173="SI")*IFERROR(CriteriTecnici!$O$5:$O$6173*1,0))))),0)+IF(SUMPRODUCT(MAX((CriteriTecnici!$C$5:$C$6173=$C176)*(CriteriTecnici!$E$5:$E$6173="B")*(CriteriTecnici!$T$5:$T$6173="SI")*IFERROR(CriteriTecnici!$O$5:$O$6173*1,0)))&gt;0,MIN(14,SUMIFS(CriteriTecnici!$O:$O,CriteriTecnici!$Q:$Q,$A176&amp;"|"&amp;$C176,CriteriTecnici!$E:$E,"B")*(14/SUMPRODUCT(MAX((CriteriTecnici!$C$5:$C$6173=$C176)*(CriteriTecnici!$E$5:$E$6173="B")*(CriteriTecnici!$T$5:$T$6173="SI")*IFERROR(CriteriTecnici!$O$5:$O$6173*1,0))))),0)+IF(SUMPRODUCT(MAX((CriteriTecnici!$C$5:$C$6173=$C176)*(CriteriTecnici!$E$5:$E$6173="C")*(CriteriTecnici!$T$5:$T$6173="SI")*IFERROR(CriteriTecnici!$O$5:$O$6173*1,0)))&gt;0,MIN(14,SUMIFS(CriteriTecnici!$O:$O,CriteriTecnici!$Q:$Q,$A176&amp;"|"&amp;$C176,CriteriTecnici!$E:$E,"C")*(14/SUMPRODUCT(MAX((CriteriTecnici!$C$5:$C$6173=$C176)*(CriteriTecnici!$E$5:$E$6173="C")*(CriteriTecnici!$T$5:$T$6173="SI")*IFERROR(CriteriTecnici!$O$5:$O$6173*1,0))))),0)+IF(SUMPRODUCT(MAX((CriteriTecnici!$C$5:$C$6173=$C176)*(CriteriTecnici!$E$5:$E$6173="D")*(CriteriTecnici!$T$5:$T$6173="SI")*IFERROR(CriteriTecnici!$O$5:$O$6173*1,0)))&gt;0,MIN(10,SUMIFS(CriteriTecnici!$O:$O,CriteriTecnici!$Q:$Q,$A176&amp;"|"&amp;$C176,CriteriTecnici!$E:$E,"D")*(10/SUMPRODUCT(MAX((CriteriTecnici!$C$5:$C$6173=$C176)*(CriteriTecnici!$E$5:$E$6173="D")*(CriteriTecnici!$T$5:$T$6173="SI")*IFERROR(CriteriTecnici!$O$5:$O$6173*1,0))))),0)+IF(SUMPRODUCT(MAX((CriteriTecnici!$C$5:$C$6173=$C176)*(CriteriTecnici!$E$5:$E$6173="E")*(CriteriTecnici!$T$5:$T$6173="SI")*IFERROR(CriteriTecnici!$O$5:$O$6173*1,0)))&gt;0,MIN(4,SUMIFS(CriteriTecnici!$O:$O,CriteriTecnici!$Q:$Q,$A176&amp;"|"&amp;$C176,CriteriTecnici!$E:$E,"E")*(4/SUMPRODUCT(MAX((CriteriTecnici!$C$5:$C$6173=$C176)*(CriteriTecnici!$E$5:$E$6173="E")*(CriteriTecnici!$T$5:$T$6173="SI")*IFERROR(CriteriTecnici!$O$5:$O$6173*1,0))))),0)+IF(SUMPRODUCT(MAX((CriteriTecnici!$C$5:$C$6173=$C176)*(CriteriTecnici!$E$5:$E$6173="F")*(CriteriTecnici!$T$5:$T$6173="SI")*IFERROR(CriteriTecnici!$O$5:$O$6173*1,0)))&gt;0,MIN(14,SUMIFS(CriteriTecnici!$O:$O,CriteriTecnici!$Q:$Q,$A176&amp;"|"&amp;$C176,CriteriTecnici!$E:$E,"F")*(14/SUMPRODUCT(MAX((CriteriTecnici!$C$5:$C$6173=$C176)*(CriteriTecnici!$E$5:$E$6173="F")*(CriteriTecnici!$T$5:$T$6173="SI")*IFERROR(CriteriTecnici!$O$5:$O$6173*1,0))))),0)+IF(SUMPRODUCT(MAX((CriteriTecnici!$C$5:$C$6173=$C176)*(CriteriTecnici!$E$5:$E$6173="G")*(CriteriTecnici!$T$5:$T$6173="SI")*IFERROR(CriteriTecnici!$O$5:$O$6173*1,0)))&gt;0,MIN(7,SUMIFS(CriteriTecnici!$O:$O,CriteriTecnici!$Q:$Q,$A176&amp;"|"&amp;$C176,CriteriTecnici!$E:$E,"G")*(7/SUMPRODUCT(MAX((CriteriTecnici!$C$5:$C$6173=$C176)*(CriteriTecnici!$E$5:$E$6173="G")*(CriteriTecnici!$T$5:$T$6173="SI")*IFERROR(CriteriTecnici!$O$5:$O$6173*1,0))))),0),4),0),IFERROR($N176*1,0)),0))</f>
        <v/>
      </c>
      <c r="F176" s="56">
        <f>IF(Compila!$A186="","",Compila!$E186)</f>
        <v/>
      </c>
      <c r="G176" s="57">
        <f>IF($A176="","",IF(IFERROR(VALUE($D176),0)&lt;&gt;1,"NO",IF(IFERROR(VALUE($O176),0)&gt;=Parametri!$B$2,"SI","NO")))</f>
        <v/>
      </c>
      <c r="H176" s="57">
        <f>IF($G176="SI",SUMPRODUCT(MAX(($C$2:$C$200=$C176)*(IFERROR($D$2:$D$200*1,0)=1)*(IFERROR($O$2:$O$200*1,0)&gt;=Parametri!$B$2)*IFERROR($F$2:$F$200*1,0))),0)</f>
        <v/>
      </c>
      <c r="I176" s="57">
        <f>IF($G176="SI",IF($H176&gt;0,30*(IFERROR($F176*1,0)/$H176),0),0)</f>
        <v/>
      </c>
      <c r="J176" s="57">
        <f>IF($A176="",0,IF($G176="SI",ROUND(IFERROR($E176*1,0)+$I176,4),ROUND(IFERROR($E176*1,0),4)))</f>
        <v/>
      </c>
      <c r="K176" s="57">
        <f>IF($A176="","",IF(IFERROR(VALUE($D176),0)&lt;&gt;1,"Non attiva",IF(IFERROR(VALUE($O176),0)&lt;Parametri!$B$2,"Sotto soglia","")))</f>
        <v/>
      </c>
      <c r="L176" s="57">
        <f>IF($A176="","",$A176&amp;"|"&amp;$C176)</f>
        <v/>
      </c>
      <c r="M176" s="57">
        <f>IF($A176="","",$C176&amp;"|"&amp;TEXT($J176,"0.0000"))</f>
        <v/>
      </c>
      <c r="N176" s="57" t="n"/>
      <c r="O176" s="57">
        <f>IF($A176="",0,IFERROR(IF(SUMIFS(CriteriTecnici!$O:$O,CriteriTecnici!$Q:$Q,$A176&amp;"|"&amp;$C176)&gt;0,SUMIFS(CriteriTecnici!$O:$O,CriteriTecnici!$Q:$Q,$A176&amp;"|"&amp;$C176,CriteriTecnici!$F:$F,"Q")+SUMIFS(CriteriTecnici!$O:$O,CriteriTecnici!$Q:$Q,$A176&amp;"|"&amp;$C176,CriteriTecnici!$F:$F,"T"),IFERROR($N176*1,0)),0))</f>
        <v/>
      </c>
      <c r="P176" s="57">
        <f>IF($A176="","",IF(SUMIFS(CriteriTecnici!$O:$O,CriteriTecnici!$Q:$Q,$A176&amp;"|"&amp;$C176)&gt;0,"Criteri A-G","Aggregato"))</f>
        <v/>
      </c>
    </row>
    <row r="177">
      <c r="A177" s="56">
        <f>IF(Compila!$A187="","",Compila!$A187)</f>
        <v/>
      </c>
      <c r="B177" s="56">
        <f>IF(Compila!$A187="","",Compila!$B187)</f>
        <v/>
      </c>
      <c r="C177" s="56">
        <f>IF(Compila!$A187="","",Compila!$C187)</f>
        <v/>
      </c>
      <c r="D177" s="56">
        <f>IF(Compila!$A187="","",Compila!$D187)</f>
        <v/>
      </c>
      <c r="E177" s="57">
        <f>IF($A177="",0,IFERROR(IF(SUMIFS(CriteriTecnici!$O:$O,CriteriTecnici!$Q:$Q,$A177&amp;"|"&amp;$C177)&gt;0,IF($G177="SI",ROUND(IF(SUMPRODUCT(MAX((CriteriTecnici!$C$5:$C$6173=$C177)*(CriteriTecnici!$E$5:$E$6173="A")*(CriteriTecnici!$T$5:$T$6173="SI")*IFERROR(CriteriTecnici!$O$5:$O$6173*1,0)))&gt;0,MIN(7,SUMIFS(CriteriTecnici!$O:$O,CriteriTecnici!$Q:$Q,$A177&amp;"|"&amp;$C177,CriteriTecnici!$E:$E,"A")*(7/SUMPRODUCT(MAX((CriteriTecnici!$C$5:$C$6173=$C177)*(CriteriTecnici!$E$5:$E$6173="A")*(CriteriTecnici!$T$5:$T$6173="SI")*IFERROR(CriteriTecnici!$O$5:$O$6173*1,0))))),0)+IF(SUMPRODUCT(MAX((CriteriTecnici!$C$5:$C$6173=$C177)*(CriteriTecnici!$E$5:$E$6173="B")*(CriteriTecnici!$T$5:$T$6173="SI")*IFERROR(CriteriTecnici!$O$5:$O$6173*1,0)))&gt;0,MIN(14,SUMIFS(CriteriTecnici!$O:$O,CriteriTecnici!$Q:$Q,$A177&amp;"|"&amp;$C177,CriteriTecnici!$E:$E,"B")*(14/SUMPRODUCT(MAX((CriteriTecnici!$C$5:$C$6173=$C177)*(CriteriTecnici!$E$5:$E$6173="B")*(CriteriTecnici!$T$5:$T$6173="SI")*IFERROR(CriteriTecnici!$O$5:$O$6173*1,0))))),0)+IF(SUMPRODUCT(MAX((CriteriTecnici!$C$5:$C$6173=$C177)*(CriteriTecnici!$E$5:$E$6173="C")*(CriteriTecnici!$T$5:$T$6173="SI")*IFERROR(CriteriTecnici!$O$5:$O$6173*1,0)))&gt;0,MIN(14,SUMIFS(CriteriTecnici!$O:$O,CriteriTecnici!$Q:$Q,$A177&amp;"|"&amp;$C177,CriteriTecnici!$E:$E,"C")*(14/SUMPRODUCT(MAX((CriteriTecnici!$C$5:$C$6173=$C177)*(CriteriTecnici!$E$5:$E$6173="C")*(CriteriTecnici!$T$5:$T$6173="SI")*IFERROR(CriteriTecnici!$O$5:$O$6173*1,0))))),0)+IF(SUMPRODUCT(MAX((CriteriTecnici!$C$5:$C$6173=$C177)*(CriteriTecnici!$E$5:$E$6173="D")*(CriteriTecnici!$T$5:$T$6173="SI")*IFERROR(CriteriTecnici!$O$5:$O$6173*1,0)))&gt;0,MIN(10,SUMIFS(CriteriTecnici!$O:$O,CriteriTecnici!$Q:$Q,$A177&amp;"|"&amp;$C177,CriteriTecnici!$E:$E,"D")*(10/SUMPRODUCT(MAX((CriteriTecnici!$C$5:$C$6173=$C177)*(CriteriTecnici!$E$5:$E$6173="D")*(CriteriTecnici!$T$5:$T$6173="SI")*IFERROR(CriteriTecnici!$O$5:$O$6173*1,0))))),0)+IF(SUMPRODUCT(MAX((CriteriTecnici!$C$5:$C$6173=$C177)*(CriteriTecnici!$E$5:$E$6173="E")*(CriteriTecnici!$T$5:$T$6173="SI")*IFERROR(CriteriTecnici!$O$5:$O$6173*1,0)))&gt;0,MIN(4,SUMIFS(CriteriTecnici!$O:$O,CriteriTecnici!$Q:$Q,$A177&amp;"|"&amp;$C177,CriteriTecnici!$E:$E,"E")*(4/SUMPRODUCT(MAX((CriteriTecnici!$C$5:$C$6173=$C177)*(CriteriTecnici!$E$5:$E$6173="E")*(CriteriTecnici!$T$5:$T$6173="SI")*IFERROR(CriteriTecnici!$O$5:$O$6173*1,0))))),0)+IF(SUMPRODUCT(MAX((CriteriTecnici!$C$5:$C$6173=$C177)*(CriteriTecnici!$E$5:$E$6173="F")*(CriteriTecnici!$T$5:$T$6173="SI")*IFERROR(CriteriTecnici!$O$5:$O$6173*1,0)))&gt;0,MIN(14,SUMIFS(CriteriTecnici!$O:$O,CriteriTecnici!$Q:$Q,$A177&amp;"|"&amp;$C177,CriteriTecnici!$E:$E,"F")*(14/SUMPRODUCT(MAX((CriteriTecnici!$C$5:$C$6173=$C177)*(CriteriTecnici!$E$5:$E$6173="F")*(CriteriTecnici!$T$5:$T$6173="SI")*IFERROR(CriteriTecnici!$O$5:$O$6173*1,0))))),0)+IF(SUMPRODUCT(MAX((CriteriTecnici!$C$5:$C$6173=$C177)*(CriteriTecnici!$E$5:$E$6173="G")*(CriteriTecnici!$T$5:$T$6173="SI")*IFERROR(CriteriTecnici!$O$5:$O$6173*1,0)))&gt;0,MIN(7,SUMIFS(CriteriTecnici!$O:$O,CriteriTecnici!$Q:$Q,$A177&amp;"|"&amp;$C177,CriteriTecnici!$E:$E,"G")*(7/SUMPRODUCT(MAX((CriteriTecnici!$C$5:$C$6173=$C177)*(CriteriTecnici!$E$5:$E$6173="G")*(CriteriTecnici!$T$5:$T$6173="SI")*IFERROR(CriteriTecnici!$O$5:$O$6173*1,0))))),0),4),0),IFERROR($N177*1,0)),0))</f>
        <v/>
      </c>
      <c r="F177" s="56">
        <f>IF(Compila!$A187="","",Compila!$E187)</f>
        <v/>
      </c>
      <c r="G177" s="57">
        <f>IF($A177="","",IF(IFERROR(VALUE($D177),0)&lt;&gt;1,"NO",IF(IFERROR(VALUE($O177),0)&gt;=Parametri!$B$2,"SI","NO")))</f>
        <v/>
      </c>
      <c r="H177" s="57">
        <f>IF($G177="SI",SUMPRODUCT(MAX(($C$2:$C$200=$C177)*(IFERROR($D$2:$D$200*1,0)=1)*(IFERROR($O$2:$O$200*1,0)&gt;=Parametri!$B$2)*IFERROR($F$2:$F$200*1,0))),0)</f>
        <v/>
      </c>
      <c r="I177" s="57">
        <f>IF($G177="SI",IF($H177&gt;0,30*(IFERROR($F177*1,0)/$H177),0),0)</f>
        <v/>
      </c>
      <c r="J177" s="57">
        <f>IF($A177="",0,IF($G177="SI",ROUND(IFERROR($E177*1,0)+$I177,4),ROUND(IFERROR($E177*1,0),4)))</f>
        <v/>
      </c>
      <c r="K177" s="57">
        <f>IF($A177="","",IF(IFERROR(VALUE($D177),0)&lt;&gt;1,"Non attiva",IF(IFERROR(VALUE($O177),0)&lt;Parametri!$B$2,"Sotto soglia","")))</f>
        <v/>
      </c>
      <c r="L177" s="57">
        <f>IF($A177="","",$A177&amp;"|"&amp;$C177)</f>
        <v/>
      </c>
      <c r="M177" s="57">
        <f>IF($A177="","",$C177&amp;"|"&amp;TEXT($J177,"0.0000"))</f>
        <v/>
      </c>
      <c r="N177" s="57" t="n"/>
      <c r="O177" s="57">
        <f>IF($A177="",0,IFERROR(IF(SUMIFS(CriteriTecnici!$O:$O,CriteriTecnici!$Q:$Q,$A177&amp;"|"&amp;$C177)&gt;0,SUMIFS(CriteriTecnici!$O:$O,CriteriTecnici!$Q:$Q,$A177&amp;"|"&amp;$C177,CriteriTecnici!$F:$F,"Q")+SUMIFS(CriteriTecnici!$O:$O,CriteriTecnici!$Q:$Q,$A177&amp;"|"&amp;$C177,CriteriTecnici!$F:$F,"T"),IFERROR($N177*1,0)),0))</f>
        <v/>
      </c>
      <c r="P177" s="57">
        <f>IF($A177="","",IF(SUMIFS(CriteriTecnici!$O:$O,CriteriTecnici!$Q:$Q,$A177&amp;"|"&amp;$C177)&gt;0,"Criteri A-G","Aggregato"))</f>
        <v/>
      </c>
    </row>
    <row r="178">
      <c r="A178" s="56">
        <f>IF(Compila!$A188="","",Compila!$A188)</f>
        <v/>
      </c>
      <c r="B178" s="56">
        <f>IF(Compila!$A188="","",Compila!$B188)</f>
        <v/>
      </c>
      <c r="C178" s="56">
        <f>IF(Compila!$A188="","",Compila!$C188)</f>
        <v/>
      </c>
      <c r="D178" s="56">
        <f>IF(Compila!$A188="","",Compila!$D188)</f>
        <v/>
      </c>
      <c r="E178" s="57">
        <f>IF($A178="",0,IFERROR(IF(SUMIFS(CriteriTecnici!$O:$O,CriteriTecnici!$Q:$Q,$A178&amp;"|"&amp;$C178)&gt;0,IF($G178="SI",ROUND(IF(SUMPRODUCT(MAX((CriteriTecnici!$C$5:$C$6173=$C178)*(CriteriTecnici!$E$5:$E$6173="A")*(CriteriTecnici!$T$5:$T$6173="SI")*IFERROR(CriteriTecnici!$O$5:$O$6173*1,0)))&gt;0,MIN(7,SUMIFS(CriteriTecnici!$O:$O,CriteriTecnici!$Q:$Q,$A178&amp;"|"&amp;$C178,CriteriTecnici!$E:$E,"A")*(7/SUMPRODUCT(MAX((CriteriTecnici!$C$5:$C$6173=$C178)*(CriteriTecnici!$E$5:$E$6173="A")*(CriteriTecnici!$T$5:$T$6173="SI")*IFERROR(CriteriTecnici!$O$5:$O$6173*1,0))))),0)+IF(SUMPRODUCT(MAX((CriteriTecnici!$C$5:$C$6173=$C178)*(CriteriTecnici!$E$5:$E$6173="B")*(CriteriTecnici!$T$5:$T$6173="SI")*IFERROR(CriteriTecnici!$O$5:$O$6173*1,0)))&gt;0,MIN(14,SUMIFS(CriteriTecnici!$O:$O,CriteriTecnici!$Q:$Q,$A178&amp;"|"&amp;$C178,CriteriTecnici!$E:$E,"B")*(14/SUMPRODUCT(MAX((CriteriTecnici!$C$5:$C$6173=$C178)*(CriteriTecnici!$E$5:$E$6173="B")*(CriteriTecnici!$T$5:$T$6173="SI")*IFERROR(CriteriTecnici!$O$5:$O$6173*1,0))))),0)+IF(SUMPRODUCT(MAX((CriteriTecnici!$C$5:$C$6173=$C178)*(CriteriTecnici!$E$5:$E$6173="C")*(CriteriTecnici!$T$5:$T$6173="SI")*IFERROR(CriteriTecnici!$O$5:$O$6173*1,0)))&gt;0,MIN(14,SUMIFS(CriteriTecnici!$O:$O,CriteriTecnici!$Q:$Q,$A178&amp;"|"&amp;$C178,CriteriTecnici!$E:$E,"C")*(14/SUMPRODUCT(MAX((CriteriTecnici!$C$5:$C$6173=$C178)*(CriteriTecnici!$E$5:$E$6173="C")*(CriteriTecnici!$T$5:$T$6173="SI")*IFERROR(CriteriTecnici!$O$5:$O$6173*1,0))))),0)+IF(SUMPRODUCT(MAX((CriteriTecnici!$C$5:$C$6173=$C178)*(CriteriTecnici!$E$5:$E$6173="D")*(CriteriTecnici!$T$5:$T$6173="SI")*IFERROR(CriteriTecnici!$O$5:$O$6173*1,0)))&gt;0,MIN(10,SUMIFS(CriteriTecnici!$O:$O,CriteriTecnici!$Q:$Q,$A178&amp;"|"&amp;$C178,CriteriTecnici!$E:$E,"D")*(10/SUMPRODUCT(MAX((CriteriTecnici!$C$5:$C$6173=$C178)*(CriteriTecnici!$E$5:$E$6173="D")*(CriteriTecnici!$T$5:$T$6173="SI")*IFERROR(CriteriTecnici!$O$5:$O$6173*1,0))))),0)+IF(SUMPRODUCT(MAX((CriteriTecnici!$C$5:$C$6173=$C178)*(CriteriTecnici!$E$5:$E$6173="E")*(CriteriTecnici!$T$5:$T$6173="SI")*IFERROR(CriteriTecnici!$O$5:$O$6173*1,0)))&gt;0,MIN(4,SUMIFS(CriteriTecnici!$O:$O,CriteriTecnici!$Q:$Q,$A178&amp;"|"&amp;$C178,CriteriTecnici!$E:$E,"E")*(4/SUMPRODUCT(MAX((CriteriTecnici!$C$5:$C$6173=$C178)*(CriteriTecnici!$E$5:$E$6173="E")*(CriteriTecnici!$T$5:$T$6173="SI")*IFERROR(CriteriTecnici!$O$5:$O$6173*1,0))))),0)+IF(SUMPRODUCT(MAX((CriteriTecnici!$C$5:$C$6173=$C178)*(CriteriTecnici!$E$5:$E$6173="F")*(CriteriTecnici!$T$5:$T$6173="SI")*IFERROR(CriteriTecnici!$O$5:$O$6173*1,0)))&gt;0,MIN(14,SUMIFS(CriteriTecnici!$O:$O,CriteriTecnici!$Q:$Q,$A178&amp;"|"&amp;$C178,CriteriTecnici!$E:$E,"F")*(14/SUMPRODUCT(MAX((CriteriTecnici!$C$5:$C$6173=$C178)*(CriteriTecnici!$E$5:$E$6173="F")*(CriteriTecnici!$T$5:$T$6173="SI")*IFERROR(CriteriTecnici!$O$5:$O$6173*1,0))))),0)+IF(SUMPRODUCT(MAX((CriteriTecnici!$C$5:$C$6173=$C178)*(CriteriTecnici!$E$5:$E$6173="G")*(CriteriTecnici!$T$5:$T$6173="SI")*IFERROR(CriteriTecnici!$O$5:$O$6173*1,0)))&gt;0,MIN(7,SUMIFS(CriteriTecnici!$O:$O,CriteriTecnici!$Q:$Q,$A178&amp;"|"&amp;$C178,CriteriTecnici!$E:$E,"G")*(7/SUMPRODUCT(MAX((CriteriTecnici!$C$5:$C$6173=$C178)*(CriteriTecnici!$E$5:$E$6173="G")*(CriteriTecnici!$T$5:$T$6173="SI")*IFERROR(CriteriTecnici!$O$5:$O$6173*1,0))))),0),4),0),IFERROR($N178*1,0)),0))</f>
        <v/>
      </c>
      <c r="F178" s="56">
        <f>IF(Compila!$A188="","",Compila!$E188)</f>
        <v/>
      </c>
      <c r="G178" s="57">
        <f>IF($A178="","",IF(IFERROR(VALUE($D178),0)&lt;&gt;1,"NO",IF(IFERROR(VALUE($O178),0)&gt;=Parametri!$B$2,"SI","NO")))</f>
        <v/>
      </c>
      <c r="H178" s="57">
        <f>IF($G178="SI",SUMPRODUCT(MAX(($C$2:$C$200=$C178)*(IFERROR($D$2:$D$200*1,0)=1)*(IFERROR($O$2:$O$200*1,0)&gt;=Parametri!$B$2)*IFERROR($F$2:$F$200*1,0))),0)</f>
        <v/>
      </c>
      <c r="I178" s="57">
        <f>IF($G178="SI",IF($H178&gt;0,30*(IFERROR($F178*1,0)/$H178),0),0)</f>
        <v/>
      </c>
      <c r="J178" s="57">
        <f>IF($A178="",0,IF($G178="SI",ROUND(IFERROR($E178*1,0)+$I178,4),ROUND(IFERROR($E178*1,0),4)))</f>
        <v/>
      </c>
      <c r="K178" s="57">
        <f>IF($A178="","",IF(IFERROR(VALUE($D178),0)&lt;&gt;1,"Non attiva",IF(IFERROR(VALUE($O178),0)&lt;Parametri!$B$2,"Sotto soglia","")))</f>
        <v/>
      </c>
      <c r="L178" s="57">
        <f>IF($A178="","",$A178&amp;"|"&amp;$C178)</f>
        <v/>
      </c>
      <c r="M178" s="57">
        <f>IF($A178="","",$C178&amp;"|"&amp;TEXT($J178,"0.0000"))</f>
        <v/>
      </c>
      <c r="N178" s="57" t="n"/>
      <c r="O178" s="57">
        <f>IF($A178="",0,IFERROR(IF(SUMIFS(CriteriTecnici!$O:$O,CriteriTecnici!$Q:$Q,$A178&amp;"|"&amp;$C178)&gt;0,SUMIFS(CriteriTecnici!$O:$O,CriteriTecnici!$Q:$Q,$A178&amp;"|"&amp;$C178,CriteriTecnici!$F:$F,"Q")+SUMIFS(CriteriTecnici!$O:$O,CriteriTecnici!$Q:$Q,$A178&amp;"|"&amp;$C178,CriteriTecnici!$F:$F,"T"),IFERROR($N178*1,0)),0))</f>
        <v/>
      </c>
      <c r="P178" s="57">
        <f>IF($A178="","",IF(SUMIFS(CriteriTecnici!$O:$O,CriteriTecnici!$Q:$Q,$A178&amp;"|"&amp;$C178)&gt;0,"Criteri A-G","Aggregato"))</f>
        <v/>
      </c>
    </row>
    <row r="179">
      <c r="A179" s="56">
        <f>IF(Compila!$A189="","",Compila!$A189)</f>
        <v/>
      </c>
      <c r="B179" s="56">
        <f>IF(Compila!$A189="","",Compila!$B189)</f>
        <v/>
      </c>
      <c r="C179" s="56">
        <f>IF(Compila!$A189="","",Compila!$C189)</f>
        <v/>
      </c>
      <c r="D179" s="56">
        <f>IF(Compila!$A189="","",Compila!$D189)</f>
        <v/>
      </c>
      <c r="E179" s="57">
        <f>IF($A179="",0,IFERROR(IF(SUMIFS(CriteriTecnici!$O:$O,CriteriTecnici!$Q:$Q,$A179&amp;"|"&amp;$C179)&gt;0,IF($G179="SI",ROUND(IF(SUMPRODUCT(MAX((CriteriTecnici!$C$5:$C$6173=$C179)*(CriteriTecnici!$E$5:$E$6173="A")*(CriteriTecnici!$T$5:$T$6173="SI")*IFERROR(CriteriTecnici!$O$5:$O$6173*1,0)))&gt;0,MIN(7,SUMIFS(CriteriTecnici!$O:$O,CriteriTecnici!$Q:$Q,$A179&amp;"|"&amp;$C179,CriteriTecnici!$E:$E,"A")*(7/SUMPRODUCT(MAX((CriteriTecnici!$C$5:$C$6173=$C179)*(CriteriTecnici!$E$5:$E$6173="A")*(CriteriTecnici!$T$5:$T$6173="SI")*IFERROR(CriteriTecnici!$O$5:$O$6173*1,0))))),0)+IF(SUMPRODUCT(MAX((CriteriTecnici!$C$5:$C$6173=$C179)*(CriteriTecnici!$E$5:$E$6173="B")*(CriteriTecnici!$T$5:$T$6173="SI")*IFERROR(CriteriTecnici!$O$5:$O$6173*1,0)))&gt;0,MIN(14,SUMIFS(CriteriTecnici!$O:$O,CriteriTecnici!$Q:$Q,$A179&amp;"|"&amp;$C179,CriteriTecnici!$E:$E,"B")*(14/SUMPRODUCT(MAX((CriteriTecnici!$C$5:$C$6173=$C179)*(CriteriTecnici!$E$5:$E$6173="B")*(CriteriTecnici!$T$5:$T$6173="SI")*IFERROR(CriteriTecnici!$O$5:$O$6173*1,0))))),0)+IF(SUMPRODUCT(MAX((CriteriTecnici!$C$5:$C$6173=$C179)*(CriteriTecnici!$E$5:$E$6173="C")*(CriteriTecnici!$T$5:$T$6173="SI")*IFERROR(CriteriTecnici!$O$5:$O$6173*1,0)))&gt;0,MIN(14,SUMIFS(CriteriTecnici!$O:$O,CriteriTecnici!$Q:$Q,$A179&amp;"|"&amp;$C179,CriteriTecnici!$E:$E,"C")*(14/SUMPRODUCT(MAX((CriteriTecnici!$C$5:$C$6173=$C179)*(CriteriTecnici!$E$5:$E$6173="C")*(CriteriTecnici!$T$5:$T$6173="SI")*IFERROR(CriteriTecnici!$O$5:$O$6173*1,0))))),0)+IF(SUMPRODUCT(MAX((CriteriTecnici!$C$5:$C$6173=$C179)*(CriteriTecnici!$E$5:$E$6173="D")*(CriteriTecnici!$T$5:$T$6173="SI")*IFERROR(CriteriTecnici!$O$5:$O$6173*1,0)))&gt;0,MIN(10,SUMIFS(CriteriTecnici!$O:$O,CriteriTecnici!$Q:$Q,$A179&amp;"|"&amp;$C179,CriteriTecnici!$E:$E,"D")*(10/SUMPRODUCT(MAX((CriteriTecnici!$C$5:$C$6173=$C179)*(CriteriTecnici!$E$5:$E$6173="D")*(CriteriTecnici!$T$5:$T$6173="SI")*IFERROR(CriteriTecnici!$O$5:$O$6173*1,0))))),0)+IF(SUMPRODUCT(MAX((CriteriTecnici!$C$5:$C$6173=$C179)*(CriteriTecnici!$E$5:$E$6173="E")*(CriteriTecnici!$T$5:$T$6173="SI")*IFERROR(CriteriTecnici!$O$5:$O$6173*1,0)))&gt;0,MIN(4,SUMIFS(CriteriTecnici!$O:$O,CriteriTecnici!$Q:$Q,$A179&amp;"|"&amp;$C179,CriteriTecnici!$E:$E,"E")*(4/SUMPRODUCT(MAX((CriteriTecnici!$C$5:$C$6173=$C179)*(CriteriTecnici!$E$5:$E$6173="E")*(CriteriTecnici!$T$5:$T$6173="SI")*IFERROR(CriteriTecnici!$O$5:$O$6173*1,0))))),0)+IF(SUMPRODUCT(MAX((CriteriTecnici!$C$5:$C$6173=$C179)*(CriteriTecnici!$E$5:$E$6173="F")*(CriteriTecnici!$T$5:$T$6173="SI")*IFERROR(CriteriTecnici!$O$5:$O$6173*1,0)))&gt;0,MIN(14,SUMIFS(CriteriTecnici!$O:$O,CriteriTecnici!$Q:$Q,$A179&amp;"|"&amp;$C179,CriteriTecnici!$E:$E,"F")*(14/SUMPRODUCT(MAX((CriteriTecnici!$C$5:$C$6173=$C179)*(CriteriTecnici!$E$5:$E$6173="F")*(CriteriTecnici!$T$5:$T$6173="SI")*IFERROR(CriteriTecnici!$O$5:$O$6173*1,0))))),0)+IF(SUMPRODUCT(MAX((CriteriTecnici!$C$5:$C$6173=$C179)*(CriteriTecnici!$E$5:$E$6173="G")*(CriteriTecnici!$T$5:$T$6173="SI")*IFERROR(CriteriTecnici!$O$5:$O$6173*1,0)))&gt;0,MIN(7,SUMIFS(CriteriTecnici!$O:$O,CriteriTecnici!$Q:$Q,$A179&amp;"|"&amp;$C179,CriteriTecnici!$E:$E,"G")*(7/SUMPRODUCT(MAX((CriteriTecnici!$C$5:$C$6173=$C179)*(CriteriTecnici!$E$5:$E$6173="G")*(CriteriTecnici!$T$5:$T$6173="SI")*IFERROR(CriteriTecnici!$O$5:$O$6173*1,0))))),0),4),0),IFERROR($N179*1,0)),0))</f>
        <v/>
      </c>
      <c r="F179" s="56">
        <f>IF(Compila!$A189="","",Compila!$E189)</f>
        <v/>
      </c>
      <c r="G179" s="57">
        <f>IF($A179="","",IF(IFERROR(VALUE($D179),0)&lt;&gt;1,"NO",IF(IFERROR(VALUE($O179),0)&gt;=Parametri!$B$2,"SI","NO")))</f>
        <v/>
      </c>
      <c r="H179" s="57">
        <f>IF($G179="SI",SUMPRODUCT(MAX(($C$2:$C$200=$C179)*(IFERROR($D$2:$D$200*1,0)=1)*(IFERROR($O$2:$O$200*1,0)&gt;=Parametri!$B$2)*IFERROR($F$2:$F$200*1,0))),0)</f>
        <v/>
      </c>
      <c r="I179" s="57">
        <f>IF($G179="SI",IF($H179&gt;0,30*(IFERROR($F179*1,0)/$H179),0),0)</f>
        <v/>
      </c>
      <c r="J179" s="57">
        <f>IF($A179="",0,IF($G179="SI",ROUND(IFERROR($E179*1,0)+$I179,4),ROUND(IFERROR($E179*1,0),4)))</f>
        <v/>
      </c>
      <c r="K179" s="57">
        <f>IF($A179="","",IF(IFERROR(VALUE($D179),0)&lt;&gt;1,"Non attiva",IF(IFERROR(VALUE($O179),0)&lt;Parametri!$B$2,"Sotto soglia","")))</f>
        <v/>
      </c>
      <c r="L179" s="57">
        <f>IF($A179="","",$A179&amp;"|"&amp;$C179)</f>
        <v/>
      </c>
      <c r="M179" s="57">
        <f>IF($A179="","",$C179&amp;"|"&amp;TEXT($J179,"0.0000"))</f>
        <v/>
      </c>
      <c r="N179" s="57" t="n"/>
      <c r="O179" s="57">
        <f>IF($A179="",0,IFERROR(IF(SUMIFS(CriteriTecnici!$O:$O,CriteriTecnici!$Q:$Q,$A179&amp;"|"&amp;$C179)&gt;0,SUMIFS(CriteriTecnici!$O:$O,CriteriTecnici!$Q:$Q,$A179&amp;"|"&amp;$C179,CriteriTecnici!$F:$F,"Q")+SUMIFS(CriteriTecnici!$O:$O,CriteriTecnici!$Q:$Q,$A179&amp;"|"&amp;$C179,CriteriTecnici!$F:$F,"T"),IFERROR($N179*1,0)),0))</f>
        <v/>
      </c>
      <c r="P179" s="57">
        <f>IF($A179="","",IF(SUMIFS(CriteriTecnici!$O:$O,CriteriTecnici!$Q:$Q,$A179&amp;"|"&amp;$C179)&gt;0,"Criteri A-G","Aggregato"))</f>
        <v/>
      </c>
    </row>
    <row r="180">
      <c r="A180" s="56">
        <f>IF(Compila!$A190="","",Compila!$A190)</f>
        <v/>
      </c>
      <c r="B180" s="56">
        <f>IF(Compila!$A190="","",Compila!$B190)</f>
        <v/>
      </c>
      <c r="C180" s="56">
        <f>IF(Compila!$A190="","",Compila!$C190)</f>
        <v/>
      </c>
      <c r="D180" s="56">
        <f>IF(Compila!$A190="","",Compila!$D190)</f>
        <v/>
      </c>
      <c r="E180" s="57">
        <f>IF($A180="",0,IFERROR(IF(SUMIFS(CriteriTecnici!$O:$O,CriteriTecnici!$Q:$Q,$A180&amp;"|"&amp;$C180)&gt;0,IF($G180="SI",ROUND(IF(SUMPRODUCT(MAX((CriteriTecnici!$C$5:$C$6173=$C180)*(CriteriTecnici!$E$5:$E$6173="A")*(CriteriTecnici!$T$5:$T$6173="SI")*IFERROR(CriteriTecnici!$O$5:$O$6173*1,0)))&gt;0,MIN(7,SUMIFS(CriteriTecnici!$O:$O,CriteriTecnici!$Q:$Q,$A180&amp;"|"&amp;$C180,CriteriTecnici!$E:$E,"A")*(7/SUMPRODUCT(MAX((CriteriTecnici!$C$5:$C$6173=$C180)*(CriteriTecnici!$E$5:$E$6173="A")*(CriteriTecnici!$T$5:$T$6173="SI")*IFERROR(CriteriTecnici!$O$5:$O$6173*1,0))))),0)+IF(SUMPRODUCT(MAX((CriteriTecnici!$C$5:$C$6173=$C180)*(CriteriTecnici!$E$5:$E$6173="B")*(CriteriTecnici!$T$5:$T$6173="SI")*IFERROR(CriteriTecnici!$O$5:$O$6173*1,0)))&gt;0,MIN(14,SUMIFS(CriteriTecnici!$O:$O,CriteriTecnici!$Q:$Q,$A180&amp;"|"&amp;$C180,CriteriTecnici!$E:$E,"B")*(14/SUMPRODUCT(MAX((CriteriTecnici!$C$5:$C$6173=$C180)*(CriteriTecnici!$E$5:$E$6173="B")*(CriteriTecnici!$T$5:$T$6173="SI")*IFERROR(CriteriTecnici!$O$5:$O$6173*1,0))))),0)+IF(SUMPRODUCT(MAX((CriteriTecnici!$C$5:$C$6173=$C180)*(CriteriTecnici!$E$5:$E$6173="C")*(CriteriTecnici!$T$5:$T$6173="SI")*IFERROR(CriteriTecnici!$O$5:$O$6173*1,0)))&gt;0,MIN(14,SUMIFS(CriteriTecnici!$O:$O,CriteriTecnici!$Q:$Q,$A180&amp;"|"&amp;$C180,CriteriTecnici!$E:$E,"C")*(14/SUMPRODUCT(MAX((CriteriTecnici!$C$5:$C$6173=$C180)*(CriteriTecnici!$E$5:$E$6173="C")*(CriteriTecnici!$T$5:$T$6173="SI")*IFERROR(CriteriTecnici!$O$5:$O$6173*1,0))))),0)+IF(SUMPRODUCT(MAX((CriteriTecnici!$C$5:$C$6173=$C180)*(CriteriTecnici!$E$5:$E$6173="D")*(CriteriTecnici!$T$5:$T$6173="SI")*IFERROR(CriteriTecnici!$O$5:$O$6173*1,0)))&gt;0,MIN(10,SUMIFS(CriteriTecnici!$O:$O,CriteriTecnici!$Q:$Q,$A180&amp;"|"&amp;$C180,CriteriTecnici!$E:$E,"D")*(10/SUMPRODUCT(MAX((CriteriTecnici!$C$5:$C$6173=$C180)*(CriteriTecnici!$E$5:$E$6173="D")*(CriteriTecnici!$T$5:$T$6173="SI")*IFERROR(CriteriTecnici!$O$5:$O$6173*1,0))))),0)+IF(SUMPRODUCT(MAX((CriteriTecnici!$C$5:$C$6173=$C180)*(CriteriTecnici!$E$5:$E$6173="E")*(CriteriTecnici!$T$5:$T$6173="SI")*IFERROR(CriteriTecnici!$O$5:$O$6173*1,0)))&gt;0,MIN(4,SUMIFS(CriteriTecnici!$O:$O,CriteriTecnici!$Q:$Q,$A180&amp;"|"&amp;$C180,CriteriTecnici!$E:$E,"E")*(4/SUMPRODUCT(MAX((CriteriTecnici!$C$5:$C$6173=$C180)*(CriteriTecnici!$E$5:$E$6173="E")*(CriteriTecnici!$T$5:$T$6173="SI")*IFERROR(CriteriTecnici!$O$5:$O$6173*1,0))))),0)+IF(SUMPRODUCT(MAX((CriteriTecnici!$C$5:$C$6173=$C180)*(CriteriTecnici!$E$5:$E$6173="F")*(CriteriTecnici!$T$5:$T$6173="SI")*IFERROR(CriteriTecnici!$O$5:$O$6173*1,0)))&gt;0,MIN(14,SUMIFS(CriteriTecnici!$O:$O,CriteriTecnici!$Q:$Q,$A180&amp;"|"&amp;$C180,CriteriTecnici!$E:$E,"F")*(14/SUMPRODUCT(MAX((CriteriTecnici!$C$5:$C$6173=$C180)*(CriteriTecnici!$E$5:$E$6173="F")*(CriteriTecnici!$T$5:$T$6173="SI")*IFERROR(CriteriTecnici!$O$5:$O$6173*1,0))))),0)+IF(SUMPRODUCT(MAX((CriteriTecnici!$C$5:$C$6173=$C180)*(CriteriTecnici!$E$5:$E$6173="G")*(CriteriTecnici!$T$5:$T$6173="SI")*IFERROR(CriteriTecnici!$O$5:$O$6173*1,0)))&gt;0,MIN(7,SUMIFS(CriteriTecnici!$O:$O,CriteriTecnici!$Q:$Q,$A180&amp;"|"&amp;$C180,CriteriTecnici!$E:$E,"G")*(7/SUMPRODUCT(MAX((CriteriTecnici!$C$5:$C$6173=$C180)*(CriteriTecnici!$E$5:$E$6173="G")*(CriteriTecnici!$T$5:$T$6173="SI")*IFERROR(CriteriTecnici!$O$5:$O$6173*1,0))))),0),4),0),IFERROR($N180*1,0)),0))</f>
        <v/>
      </c>
      <c r="F180" s="56">
        <f>IF(Compila!$A190="","",Compila!$E190)</f>
        <v/>
      </c>
      <c r="G180" s="57">
        <f>IF($A180="","",IF(IFERROR(VALUE($D180),0)&lt;&gt;1,"NO",IF(IFERROR(VALUE($O180),0)&gt;=Parametri!$B$2,"SI","NO")))</f>
        <v/>
      </c>
      <c r="H180" s="57">
        <f>IF($G180="SI",SUMPRODUCT(MAX(($C$2:$C$200=$C180)*(IFERROR($D$2:$D$200*1,0)=1)*(IFERROR($O$2:$O$200*1,0)&gt;=Parametri!$B$2)*IFERROR($F$2:$F$200*1,0))),0)</f>
        <v/>
      </c>
      <c r="I180" s="57">
        <f>IF($G180="SI",IF($H180&gt;0,30*(IFERROR($F180*1,0)/$H180),0),0)</f>
        <v/>
      </c>
      <c r="J180" s="57">
        <f>IF($A180="",0,IF($G180="SI",ROUND(IFERROR($E180*1,0)+$I180,4),ROUND(IFERROR($E180*1,0),4)))</f>
        <v/>
      </c>
      <c r="K180" s="57">
        <f>IF($A180="","",IF(IFERROR(VALUE($D180),0)&lt;&gt;1,"Non attiva",IF(IFERROR(VALUE($O180),0)&lt;Parametri!$B$2,"Sotto soglia","")))</f>
        <v/>
      </c>
      <c r="L180" s="57">
        <f>IF($A180="","",$A180&amp;"|"&amp;$C180)</f>
        <v/>
      </c>
      <c r="M180" s="57">
        <f>IF($A180="","",$C180&amp;"|"&amp;TEXT($J180,"0.0000"))</f>
        <v/>
      </c>
      <c r="N180" s="57" t="n"/>
      <c r="O180" s="57">
        <f>IF($A180="",0,IFERROR(IF(SUMIFS(CriteriTecnici!$O:$O,CriteriTecnici!$Q:$Q,$A180&amp;"|"&amp;$C180)&gt;0,SUMIFS(CriteriTecnici!$O:$O,CriteriTecnici!$Q:$Q,$A180&amp;"|"&amp;$C180,CriteriTecnici!$F:$F,"Q")+SUMIFS(CriteriTecnici!$O:$O,CriteriTecnici!$Q:$Q,$A180&amp;"|"&amp;$C180,CriteriTecnici!$F:$F,"T"),IFERROR($N180*1,0)),0))</f>
        <v/>
      </c>
      <c r="P180" s="57">
        <f>IF($A180="","",IF(SUMIFS(CriteriTecnici!$O:$O,CriteriTecnici!$Q:$Q,$A180&amp;"|"&amp;$C180)&gt;0,"Criteri A-G","Aggregato"))</f>
        <v/>
      </c>
    </row>
    <row r="181">
      <c r="A181" s="56">
        <f>IF(Compila!$A191="","",Compila!$A191)</f>
        <v/>
      </c>
      <c r="B181" s="56">
        <f>IF(Compila!$A191="","",Compila!$B191)</f>
        <v/>
      </c>
      <c r="C181" s="56">
        <f>IF(Compila!$A191="","",Compila!$C191)</f>
        <v/>
      </c>
      <c r="D181" s="56">
        <f>IF(Compila!$A191="","",Compila!$D191)</f>
        <v/>
      </c>
      <c r="E181" s="57">
        <f>IF($A181="",0,IFERROR(IF(SUMIFS(CriteriTecnici!$O:$O,CriteriTecnici!$Q:$Q,$A181&amp;"|"&amp;$C181)&gt;0,IF($G181="SI",ROUND(IF(SUMPRODUCT(MAX((CriteriTecnici!$C$5:$C$6173=$C181)*(CriteriTecnici!$E$5:$E$6173="A")*(CriteriTecnici!$T$5:$T$6173="SI")*IFERROR(CriteriTecnici!$O$5:$O$6173*1,0)))&gt;0,MIN(7,SUMIFS(CriteriTecnici!$O:$O,CriteriTecnici!$Q:$Q,$A181&amp;"|"&amp;$C181,CriteriTecnici!$E:$E,"A")*(7/SUMPRODUCT(MAX((CriteriTecnici!$C$5:$C$6173=$C181)*(CriteriTecnici!$E$5:$E$6173="A")*(CriteriTecnici!$T$5:$T$6173="SI")*IFERROR(CriteriTecnici!$O$5:$O$6173*1,0))))),0)+IF(SUMPRODUCT(MAX((CriteriTecnici!$C$5:$C$6173=$C181)*(CriteriTecnici!$E$5:$E$6173="B")*(CriteriTecnici!$T$5:$T$6173="SI")*IFERROR(CriteriTecnici!$O$5:$O$6173*1,0)))&gt;0,MIN(14,SUMIFS(CriteriTecnici!$O:$O,CriteriTecnici!$Q:$Q,$A181&amp;"|"&amp;$C181,CriteriTecnici!$E:$E,"B")*(14/SUMPRODUCT(MAX((CriteriTecnici!$C$5:$C$6173=$C181)*(CriteriTecnici!$E$5:$E$6173="B")*(CriteriTecnici!$T$5:$T$6173="SI")*IFERROR(CriteriTecnici!$O$5:$O$6173*1,0))))),0)+IF(SUMPRODUCT(MAX((CriteriTecnici!$C$5:$C$6173=$C181)*(CriteriTecnici!$E$5:$E$6173="C")*(CriteriTecnici!$T$5:$T$6173="SI")*IFERROR(CriteriTecnici!$O$5:$O$6173*1,0)))&gt;0,MIN(14,SUMIFS(CriteriTecnici!$O:$O,CriteriTecnici!$Q:$Q,$A181&amp;"|"&amp;$C181,CriteriTecnici!$E:$E,"C")*(14/SUMPRODUCT(MAX((CriteriTecnici!$C$5:$C$6173=$C181)*(CriteriTecnici!$E$5:$E$6173="C")*(CriteriTecnici!$T$5:$T$6173="SI")*IFERROR(CriteriTecnici!$O$5:$O$6173*1,0))))),0)+IF(SUMPRODUCT(MAX((CriteriTecnici!$C$5:$C$6173=$C181)*(CriteriTecnici!$E$5:$E$6173="D")*(CriteriTecnici!$T$5:$T$6173="SI")*IFERROR(CriteriTecnici!$O$5:$O$6173*1,0)))&gt;0,MIN(10,SUMIFS(CriteriTecnici!$O:$O,CriteriTecnici!$Q:$Q,$A181&amp;"|"&amp;$C181,CriteriTecnici!$E:$E,"D")*(10/SUMPRODUCT(MAX((CriteriTecnici!$C$5:$C$6173=$C181)*(CriteriTecnici!$E$5:$E$6173="D")*(CriteriTecnici!$T$5:$T$6173="SI")*IFERROR(CriteriTecnici!$O$5:$O$6173*1,0))))),0)+IF(SUMPRODUCT(MAX((CriteriTecnici!$C$5:$C$6173=$C181)*(CriteriTecnici!$E$5:$E$6173="E")*(CriteriTecnici!$T$5:$T$6173="SI")*IFERROR(CriteriTecnici!$O$5:$O$6173*1,0)))&gt;0,MIN(4,SUMIFS(CriteriTecnici!$O:$O,CriteriTecnici!$Q:$Q,$A181&amp;"|"&amp;$C181,CriteriTecnici!$E:$E,"E")*(4/SUMPRODUCT(MAX((CriteriTecnici!$C$5:$C$6173=$C181)*(CriteriTecnici!$E$5:$E$6173="E")*(CriteriTecnici!$T$5:$T$6173="SI")*IFERROR(CriteriTecnici!$O$5:$O$6173*1,0))))),0)+IF(SUMPRODUCT(MAX((CriteriTecnici!$C$5:$C$6173=$C181)*(CriteriTecnici!$E$5:$E$6173="F")*(CriteriTecnici!$T$5:$T$6173="SI")*IFERROR(CriteriTecnici!$O$5:$O$6173*1,0)))&gt;0,MIN(14,SUMIFS(CriteriTecnici!$O:$O,CriteriTecnici!$Q:$Q,$A181&amp;"|"&amp;$C181,CriteriTecnici!$E:$E,"F")*(14/SUMPRODUCT(MAX((CriteriTecnici!$C$5:$C$6173=$C181)*(CriteriTecnici!$E$5:$E$6173="F")*(CriteriTecnici!$T$5:$T$6173="SI")*IFERROR(CriteriTecnici!$O$5:$O$6173*1,0))))),0)+IF(SUMPRODUCT(MAX((CriteriTecnici!$C$5:$C$6173=$C181)*(CriteriTecnici!$E$5:$E$6173="G")*(CriteriTecnici!$T$5:$T$6173="SI")*IFERROR(CriteriTecnici!$O$5:$O$6173*1,0)))&gt;0,MIN(7,SUMIFS(CriteriTecnici!$O:$O,CriteriTecnici!$Q:$Q,$A181&amp;"|"&amp;$C181,CriteriTecnici!$E:$E,"G")*(7/SUMPRODUCT(MAX((CriteriTecnici!$C$5:$C$6173=$C181)*(CriteriTecnici!$E$5:$E$6173="G")*(CriteriTecnici!$T$5:$T$6173="SI")*IFERROR(CriteriTecnici!$O$5:$O$6173*1,0))))),0),4),0),IFERROR($N181*1,0)),0))</f>
        <v/>
      </c>
      <c r="F181" s="56">
        <f>IF(Compila!$A191="","",Compila!$E191)</f>
        <v/>
      </c>
      <c r="G181" s="57">
        <f>IF($A181="","",IF(IFERROR(VALUE($D181),0)&lt;&gt;1,"NO",IF(IFERROR(VALUE($O181),0)&gt;=Parametri!$B$2,"SI","NO")))</f>
        <v/>
      </c>
      <c r="H181" s="57">
        <f>IF($G181="SI",SUMPRODUCT(MAX(($C$2:$C$200=$C181)*(IFERROR($D$2:$D$200*1,0)=1)*(IFERROR($O$2:$O$200*1,0)&gt;=Parametri!$B$2)*IFERROR($F$2:$F$200*1,0))),0)</f>
        <v/>
      </c>
      <c r="I181" s="57">
        <f>IF($G181="SI",IF($H181&gt;0,30*(IFERROR($F181*1,0)/$H181),0),0)</f>
        <v/>
      </c>
      <c r="J181" s="57">
        <f>IF($A181="",0,IF($G181="SI",ROUND(IFERROR($E181*1,0)+$I181,4),ROUND(IFERROR($E181*1,0),4)))</f>
        <v/>
      </c>
      <c r="K181" s="57">
        <f>IF($A181="","",IF(IFERROR(VALUE($D181),0)&lt;&gt;1,"Non attiva",IF(IFERROR(VALUE($O181),0)&lt;Parametri!$B$2,"Sotto soglia","")))</f>
        <v/>
      </c>
      <c r="L181" s="57">
        <f>IF($A181="","",$A181&amp;"|"&amp;$C181)</f>
        <v/>
      </c>
      <c r="M181" s="57">
        <f>IF($A181="","",$C181&amp;"|"&amp;TEXT($J181,"0.0000"))</f>
        <v/>
      </c>
      <c r="N181" s="57" t="n"/>
      <c r="O181" s="57">
        <f>IF($A181="",0,IFERROR(IF(SUMIFS(CriteriTecnici!$O:$O,CriteriTecnici!$Q:$Q,$A181&amp;"|"&amp;$C181)&gt;0,SUMIFS(CriteriTecnici!$O:$O,CriteriTecnici!$Q:$Q,$A181&amp;"|"&amp;$C181,CriteriTecnici!$F:$F,"Q")+SUMIFS(CriteriTecnici!$O:$O,CriteriTecnici!$Q:$Q,$A181&amp;"|"&amp;$C181,CriteriTecnici!$F:$F,"T"),IFERROR($N181*1,0)),0))</f>
        <v/>
      </c>
      <c r="P181" s="57">
        <f>IF($A181="","",IF(SUMIFS(CriteriTecnici!$O:$O,CriteriTecnici!$Q:$Q,$A181&amp;"|"&amp;$C181)&gt;0,"Criteri A-G","Aggregato"))</f>
        <v/>
      </c>
    </row>
    <row r="182">
      <c r="A182" s="56">
        <f>IF(Compila!$A192="","",Compila!$A192)</f>
        <v/>
      </c>
      <c r="B182" s="56">
        <f>IF(Compila!$A192="","",Compila!$B192)</f>
        <v/>
      </c>
      <c r="C182" s="56">
        <f>IF(Compila!$A192="","",Compila!$C192)</f>
        <v/>
      </c>
      <c r="D182" s="56">
        <f>IF(Compila!$A192="","",Compila!$D192)</f>
        <v/>
      </c>
      <c r="E182" s="57">
        <f>IF($A182="",0,IFERROR(IF(SUMIFS(CriteriTecnici!$O:$O,CriteriTecnici!$Q:$Q,$A182&amp;"|"&amp;$C182)&gt;0,IF($G182="SI",ROUND(IF(SUMPRODUCT(MAX((CriteriTecnici!$C$5:$C$6173=$C182)*(CriteriTecnici!$E$5:$E$6173="A")*(CriteriTecnici!$T$5:$T$6173="SI")*IFERROR(CriteriTecnici!$O$5:$O$6173*1,0)))&gt;0,MIN(7,SUMIFS(CriteriTecnici!$O:$O,CriteriTecnici!$Q:$Q,$A182&amp;"|"&amp;$C182,CriteriTecnici!$E:$E,"A")*(7/SUMPRODUCT(MAX((CriteriTecnici!$C$5:$C$6173=$C182)*(CriteriTecnici!$E$5:$E$6173="A")*(CriteriTecnici!$T$5:$T$6173="SI")*IFERROR(CriteriTecnici!$O$5:$O$6173*1,0))))),0)+IF(SUMPRODUCT(MAX((CriteriTecnici!$C$5:$C$6173=$C182)*(CriteriTecnici!$E$5:$E$6173="B")*(CriteriTecnici!$T$5:$T$6173="SI")*IFERROR(CriteriTecnici!$O$5:$O$6173*1,0)))&gt;0,MIN(14,SUMIFS(CriteriTecnici!$O:$O,CriteriTecnici!$Q:$Q,$A182&amp;"|"&amp;$C182,CriteriTecnici!$E:$E,"B")*(14/SUMPRODUCT(MAX((CriteriTecnici!$C$5:$C$6173=$C182)*(CriteriTecnici!$E$5:$E$6173="B")*(CriteriTecnici!$T$5:$T$6173="SI")*IFERROR(CriteriTecnici!$O$5:$O$6173*1,0))))),0)+IF(SUMPRODUCT(MAX((CriteriTecnici!$C$5:$C$6173=$C182)*(CriteriTecnici!$E$5:$E$6173="C")*(CriteriTecnici!$T$5:$T$6173="SI")*IFERROR(CriteriTecnici!$O$5:$O$6173*1,0)))&gt;0,MIN(14,SUMIFS(CriteriTecnici!$O:$O,CriteriTecnici!$Q:$Q,$A182&amp;"|"&amp;$C182,CriteriTecnici!$E:$E,"C")*(14/SUMPRODUCT(MAX((CriteriTecnici!$C$5:$C$6173=$C182)*(CriteriTecnici!$E$5:$E$6173="C")*(CriteriTecnici!$T$5:$T$6173="SI")*IFERROR(CriteriTecnici!$O$5:$O$6173*1,0))))),0)+IF(SUMPRODUCT(MAX((CriteriTecnici!$C$5:$C$6173=$C182)*(CriteriTecnici!$E$5:$E$6173="D")*(CriteriTecnici!$T$5:$T$6173="SI")*IFERROR(CriteriTecnici!$O$5:$O$6173*1,0)))&gt;0,MIN(10,SUMIFS(CriteriTecnici!$O:$O,CriteriTecnici!$Q:$Q,$A182&amp;"|"&amp;$C182,CriteriTecnici!$E:$E,"D")*(10/SUMPRODUCT(MAX((CriteriTecnici!$C$5:$C$6173=$C182)*(CriteriTecnici!$E$5:$E$6173="D")*(CriteriTecnici!$T$5:$T$6173="SI")*IFERROR(CriteriTecnici!$O$5:$O$6173*1,0))))),0)+IF(SUMPRODUCT(MAX((CriteriTecnici!$C$5:$C$6173=$C182)*(CriteriTecnici!$E$5:$E$6173="E")*(CriteriTecnici!$T$5:$T$6173="SI")*IFERROR(CriteriTecnici!$O$5:$O$6173*1,0)))&gt;0,MIN(4,SUMIFS(CriteriTecnici!$O:$O,CriteriTecnici!$Q:$Q,$A182&amp;"|"&amp;$C182,CriteriTecnici!$E:$E,"E")*(4/SUMPRODUCT(MAX((CriteriTecnici!$C$5:$C$6173=$C182)*(CriteriTecnici!$E$5:$E$6173="E")*(CriteriTecnici!$T$5:$T$6173="SI")*IFERROR(CriteriTecnici!$O$5:$O$6173*1,0))))),0)+IF(SUMPRODUCT(MAX((CriteriTecnici!$C$5:$C$6173=$C182)*(CriteriTecnici!$E$5:$E$6173="F")*(CriteriTecnici!$T$5:$T$6173="SI")*IFERROR(CriteriTecnici!$O$5:$O$6173*1,0)))&gt;0,MIN(14,SUMIFS(CriteriTecnici!$O:$O,CriteriTecnici!$Q:$Q,$A182&amp;"|"&amp;$C182,CriteriTecnici!$E:$E,"F")*(14/SUMPRODUCT(MAX((CriteriTecnici!$C$5:$C$6173=$C182)*(CriteriTecnici!$E$5:$E$6173="F")*(CriteriTecnici!$T$5:$T$6173="SI")*IFERROR(CriteriTecnici!$O$5:$O$6173*1,0))))),0)+IF(SUMPRODUCT(MAX((CriteriTecnici!$C$5:$C$6173=$C182)*(CriteriTecnici!$E$5:$E$6173="G")*(CriteriTecnici!$T$5:$T$6173="SI")*IFERROR(CriteriTecnici!$O$5:$O$6173*1,0)))&gt;0,MIN(7,SUMIFS(CriteriTecnici!$O:$O,CriteriTecnici!$Q:$Q,$A182&amp;"|"&amp;$C182,CriteriTecnici!$E:$E,"G")*(7/SUMPRODUCT(MAX((CriteriTecnici!$C$5:$C$6173=$C182)*(CriteriTecnici!$E$5:$E$6173="G")*(CriteriTecnici!$T$5:$T$6173="SI")*IFERROR(CriteriTecnici!$O$5:$O$6173*1,0))))),0),4),0),IFERROR($N182*1,0)),0))</f>
        <v/>
      </c>
      <c r="F182" s="56">
        <f>IF(Compila!$A192="","",Compila!$E192)</f>
        <v/>
      </c>
      <c r="G182" s="57">
        <f>IF($A182="","",IF(IFERROR(VALUE($D182),0)&lt;&gt;1,"NO",IF(IFERROR(VALUE($O182),0)&gt;=Parametri!$B$2,"SI","NO")))</f>
        <v/>
      </c>
      <c r="H182" s="57">
        <f>IF($G182="SI",SUMPRODUCT(MAX(($C$2:$C$200=$C182)*(IFERROR($D$2:$D$200*1,0)=1)*(IFERROR($O$2:$O$200*1,0)&gt;=Parametri!$B$2)*IFERROR($F$2:$F$200*1,0))),0)</f>
        <v/>
      </c>
      <c r="I182" s="57">
        <f>IF($G182="SI",IF($H182&gt;0,30*(IFERROR($F182*1,0)/$H182),0),0)</f>
        <v/>
      </c>
      <c r="J182" s="57">
        <f>IF($A182="",0,IF($G182="SI",ROUND(IFERROR($E182*1,0)+$I182,4),ROUND(IFERROR($E182*1,0),4)))</f>
        <v/>
      </c>
      <c r="K182" s="57">
        <f>IF($A182="","",IF(IFERROR(VALUE($D182),0)&lt;&gt;1,"Non attiva",IF(IFERROR(VALUE($O182),0)&lt;Parametri!$B$2,"Sotto soglia","")))</f>
        <v/>
      </c>
      <c r="L182" s="57">
        <f>IF($A182="","",$A182&amp;"|"&amp;$C182)</f>
        <v/>
      </c>
      <c r="M182" s="57">
        <f>IF($A182="","",$C182&amp;"|"&amp;TEXT($J182,"0.0000"))</f>
        <v/>
      </c>
      <c r="N182" s="57" t="n"/>
      <c r="O182" s="57">
        <f>IF($A182="",0,IFERROR(IF(SUMIFS(CriteriTecnici!$O:$O,CriteriTecnici!$Q:$Q,$A182&amp;"|"&amp;$C182)&gt;0,SUMIFS(CriteriTecnici!$O:$O,CriteriTecnici!$Q:$Q,$A182&amp;"|"&amp;$C182,CriteriTecnici!$F:$F,"Q")+SUMIFS(CriteriTecnici!$O:$O,CriteriTecnici!$Q:$Q,$A182&amp;"|"&amp;$C182,CriteriTecnici!$F:$F,"T"),IFERROR($N182*1,0)),0))</f>
        <v/>
      </c>
      <c r="P182" s="57">
        <f>IF($A182="","",IF(SUMIFS(CriteriTecnici!$O:$O,CriteriTecnici!$Q:$Q,$A182&amp;"|"&amp;$C182)&gt;0,"Criteri A-G","Aggregato"))</f>
        <v/>
      </c>
    </row>
    <row r="183">
      <c r="A183" s="56">
        <f>IF(Compila!$A193="","",Compila!$A193)</f>
        <v/>
      </c>
      <c r="B183" s="56">
        <f>IF(Compila!$A193="","",Compila!$B193)</f>
        <v/>
      </c>
      <c r="C183" s="56">
        <f>IF(Compila!$A193="","",Compila!$C193)</f>
        <v/>
      </c>
      <c r="D183" s="56">
        <f>IF(Compila!$A193="","",Compila!$D193)</f>
        <v/>
      </c>
      <c r="E183" s="57">
        <f>IF($A183="",0,IFERROR(IF(SUMIFS(CriteriTecnici!$O:$O,CriteriTecnici!$Q:$Q,$A183&amp;"|"&amp;$C183)&gt;0,IF($G183="SI",ROUND(IF(SUMPRODUCT(MAX((CriteriTecnici!$C$5:$C$6173=$C183)*(CriteriTecnici!$E$5:$E$6173="A")*(CriteriTecnici!$T$5:$T$6173="SI")*IFERROR(CriteriTecnici!$O$5:$O$6173*1,0)))&gt;0,MIN(7,SUMIFS(CriteriTecnici!$O:$O,CriteriTecnici!$Q:$Q,$A183&amp;"|"&amp;$C183,CriteriTecnici!$E:$E,"A")*(7/SUMPRODUCT(MAX((CriteriTecnici!$C$5:$C$6173=$C183)*(CriteriTecnici!$E$5:$E$6173="A")*(CriteriTecnici!$T$5:$T$6173="SI")*IFERROR(CriteriTecnici!$O$5:$O$6173*1,0))))),0)+IF(SUMPRODUCT(MAX((CriteriTecnici!$C$5:$C$6173=$C183)*(CriteriTecnici!$E$5:$E$6173="B")*(CriteriTecnici!$T$5:$T$6173="SI")*IFERROR(CriteriTecnici!$O$5:$O$6173*1,0)))&gt;0,MIN(14,SUMIFS(CriteriTecnici!$O:$O,CriteriTecnici!$Q:$Q,$A183&amp;"|"&amp;$C183,CriteriTecnici!$E:$E,"B")*(14/SUMPRODUCT(MAX((CriteriTecnici!$C$5:$C$6173=$C183)*(CriteriTecnici!$E$5:$E$6173="B")*(CriteriTecnici!$T$5:$T$6173="SI")*IFERROR(CriteriTecnici!$O$5:$O$6173*1,0))))),0)+IF(SUMPRODUCT(MAX((CriteriTecnici!$C$5:$C$6173=$C183)*(CriteriTecnici!$E$5:$E$6173="C")*(CriteriTecnici!$T$5:$T$6173="SI")*IFERROR(CriteriTecnici!$O$5:$O$6173*1,0)))&gt;0,MIN(14,SUMIFS(CriteriTecnici!$O:$O,CriteriTecnici!$Q:$Q,$A183&amp;"|"&amp;$C183,CriteriTecnici!$E:$E,"C")*(14/SUMPRODUCT(MAX((CriteriTecnici!$C$5:$C$6173=$C183)*(CriteriTecnici!$E$5:$E$6173="C")*(CriteriTecnici!$T$5:$T$6173="SI")*IFERROR(CriteriTecnici!$O$5:$O$6173*1,0))))),0)+IF(SUMPRODUCT(MAX((CriteriTecnici!$C$5:$C$6173=$C183)*(CriteriTecnici!$E$5:$E$6173="D")*(CriteriTecnici!$T$5:$T$6173="SI")*IFERROR(CriteriTecnici!$O$5:$O$6173*1,0)))&gt;0,MIN(10,SUMIFS(CriteriTecnici!$O:$O,CriteriTecnici!$Q:$Q,$A183&amp;"|"&amp;$C183,CriteriTecnici!$E:$E,"D")*(10/SUMPRODUCT(MAX((CriteriTecnici!$C$5:$C$6173=$C183)*(CriteriTecnici!$E$5:$E$6173="D")*(CriteriTecnici!$T$5:$T$6173="SI")*IFERROR(CriteriTecnici!$O$5:$O$6173*1,0))))),0)+IF(SUMPRODUCT(MAX((CriteriTecnici!$C$5:$C$6173=$C183)*(CriteriTecnici!$E$5:$E$6173="E")*(CriteriTecnici!$T$5:$T$6173="SI")*IFERROR(CriteriTecnici!$O$5:$O$6173*1,0)))&gt;0,MIN(4,SUMIFS(CriteriTecnici!$O:$O,CriteriTecnici!$Q:$Q,$A183&amp;"|"&amp;$C183,CriteriTecnici!$E:$E,"E")*(4/SUMPRODUCT(MAX((CriteriTecnici!$C$5:$C$6173=$C183)*(CriteriTecnici!$E$5:$E$6173="E")*(CriteriTecnici!$T$5:$T$6173="SI")*IFERROR(CriteriTecnici!$O$5:$O$6173*1,0))))),0)+IF(SUMPRODUCT(MAX((CriteriTecnici!$C$5:$C$6173=$C183)*(CriteriTecnici!$E$5:$E$6173="F")*(CriteriTecnici!$T$5:$T$6173="SI")*IFERROR(CriteriTecnici!$O$5:$O$6173*1,0)))&gt;0,MIN(14,SUMIFS(CriteriTecnici!$O:$O,CriteriTecnici!$Q:$Q,$A183&amp;"|"&amp;$C183,CriteriTecnici!$E:$E,"F")*(14/SUMPRODUCT(MAX((CriteriTecnici!$C$5:$C$6173=$C183)*(CriteriTecnici!$E$5:$E$6173="F")*(CriteriTecnici!$T$5:$T$6173="SI")*IFERROR(CriteriTecnici!$O$5:$O$6173*1,0))))),0)+IF(SUMPRODUCT(MAX((CriteriTecnici!$C$5:$C$6173=$C183)*(CriteriTecnici!$E$5:$E$6173="G")*(CriteriTecnici!$T$5:$T$6173="SI")*IFERROR(CriteriTecnici!$O$5:$O$6173*1,0)))&gt;0,MIN(7,SUMIFS(CriteriTecnici!$O:$O,CriteriTecnici!$Q:$Q,$A183&amp;"|"&amp;$C183,CriteriTecnici!$E:$E,"G")*(7/SUMPRODUCT(MAX((CriteriTecnici!$C$5:$C$6173=$C183)*(CriteriTecnici!$E$5:$E$6173="G")*(CriteriTecnici!$T$5:$T$6173="SI")*IFERROR(CriteriTecnici!$O$5:$O$6173*1,0))))),0),4),0),IFERROR($N183*1,0)),0))</f>
        <v/>
      </c>
      <c r="F183" s="56">
        <f>IF(Compila!$A193="","",Compila!$E193)</f>
        <v/>
      </c>
      <c r="G183" s="57">
        <f>IF($A183="","",IF(IFERROR(VALUE($D183),0)&lt;&gt;1,"NO",IF(IFERROR(VALUE($O183),0)&gt;=Parametri!$B$2,"SI","NO")))</f>
        <v/>
      </c>
      <c r="H183" s="57">
        <f>IF($G183="SI",SUMPRODUCT(MAX(($C$2:$C$200=$C183)*(IFERROR($D$2:$D$200*1,0)=1)*(IFERROR($O$2:$O$200*1,0)&gt;=Parametri!$B$2)*IFERROR($F$2:$F$200*1,0))),0)</f>
        <v/>
      </c>
      <c r="I183" s="57">
        <f>IF($G183="SI",IF($H183&gt;0,30*(IFERROR($F183*1,0)/$H183),0),0)</f>
        <v/>
      </c>
      <c r="J183" s="57">
        <f>IF($A183="",0,IF($G183="SI",ROUND(IFERROR($E183*1,0)+$I183,4),ROUND(IFERROR($E183*1,0),4)))</f>
        <v/>
      </c>
      <c r="K183" s="57">
        <f>IF($A183="","",IF(IFERROR(VALUE($D183),0)&lt;&gt;1,"Non attiva",IF(IFERROR(VALUE($O183),0)&lt;Parametri!$B$2,"Sotto soglia","")))</f>
        <v/>
      </c>
      <c r="L183" s="57">
        <f>IF($A183="","",$A183&amp;"|"&amp;$C183)</f>
        <v/>
      </c>
      <c r="M183" s="57">
        <f>IF($A183="","",$C183&amp;"|"&amp;TEXT($J183,"0.0000"))</f>
        <v/>
      </c>
      <c r="N183" s="57" t="n"/>
      <c r="O183" s="57">
        <f>IF($A183="",0,IFERROR(IF(SUMIFS(CriteriTecnici!$O:$O,CriteriTecnici!$Q:$Q,$A183&amp;"|"&amp;$C183)&gt;0,SUMIFS(CriteriTecnici!$O:$O,CriteriTecnici!$Q:$Q,$A183&amp;"|"&amp;$C183,CriteriTecnici!$F:$F,"Q")+SUMIFS(CriteriTecnici!$O:$O,CriteriTecnici!$Q:$Q,$A183&amp;"|"&amp;$C183,CriteriTecnici!$F:$F,"T"),IFERROR($N183*1,0)),0))</f>
        <v/>
      </c>
      <c r="P183" s="57">
        <f>IF($A183="","",IF(SUMIFS(CriteriTecnici!$O:$O,CriteriTecnici!$Q:$Q,$A183&amp;"|"&amp;$C183)&gt;0,"Criteri A-G","Aggregato"))</f>
        <v/>
      </c>
    </row>
    <row r="184">
      <c r="A184" s="56">
        <f>IF(Compila!$A194="","",Compila!$A194)</f>
        <v/>
      </c>
      <c r="B184" s="56">
        <f>IF(Compila!$A194="","",Compila!$B194)</f>
        <v/>
      </c>
      <c r="C184" s="56">
        <f>IF(Compila!$A194="","",Compila!$C194)</f>
        <v/>
      </c>
      <c r="D184" s="56">
        <f>IF(Compila!$A194="","",Compila!$D194)</f>
        <v/>
      </c>
      <c r="E184" s="57">
        <f>IF($A184="",0,IFERROR(IF(SUMIFS(CriteriTecnici!$O:$O,CriteriTecnici!$Q:$Q,$A184&amp;"|"&amp;$C184)&gt;0,IF($G184="SI",ROUND(IF(SUMPRODUCT(MAX((CriteriTecnici!$C$5:$C$6173=$C184)*(CriteriTecnici!$E$5:$E$6173="A")*(CriteriTecnici!$T$5:$T$6173="SI")*IFERROR(CriteriTecnici!$O$5:$O$6173*1,0)))&gt;0,MIN(7,SUMIFS(CriteriTecnici!$O:$O,CriteriTecnici!$Q:$Q,$A184&amp;"|"&amp;$C184,CriteriTecnici!$E:$E,"A")*(7/SUMPRODUCT(MAX((CriteriTecnici!$C$5:$C$6173=$C184)*(CriteriTecnici!$E$5:$E$6173="A")*(CriteriTecnici!$T$5:$T$6173="SI")*IFERROR(CriteriTecnici!$O$5:$O$6173*1,0))))),0)+IF(SUMPRODUCT(MAX((CriteriTecnici!$C$5:$C$6173=$C184)*(CriteriTecnici!$E$5:$E$6173="B")*(CriteriTecnici!$T$5:$T$6173="SI")*IFERROR(CriteriTecnici!$O$5:$O$6173*1,0)))&gt;0,MIN(14,SUMIFS(CriteriTecnici!$O:$O,CriteriTecnici!$Q:$Q,$A184&amp;"|"&amp;$C184,CriteriTecnici!$E:$E,"B")*(14/SUMPRODUCT(MAX((CriteriTecnici!$C$5:$C$6173=$C184)*(CriteriTecnici!$E$5:$E$6173="B")*(CriteriTecnici!$T$5:$T$6173="SI")*IFERROR(CriteriTecnici!$O$5:$O$6173*1,0))))),0)+IF(SUMPRODUCT(MAX((CriteriTecnici!$C$5:$C$6173=$C184)*(CriteriTecnici!$E$5:$E$6173="C")*(CriteriTecnici!$T$5:$T$6173="SI")*IFERROR(CriteriTecnici!$O$5:$O$6173*1,0)))&gt;0,MIN(14,SUMIFS(CriteriTecnici!$O:$O,CriteriTecnici!$Q:$Q,$A184&amp;"|"&amp;$C184,CriteriTecnici!$E:$E,"C")*(14/SUMPRODUCT(MAX((CriteriTecnici!$C$5:$C$6173=$C184)*(CriteriTecnici!$E$5:$E$6173="C")*(CriteriTecnici!$T$5:$T$6173="SI")*IFERROR(CriteriTecnici!$O$5:$O$6173*1,0))))),0)+IF(SUMPRODUCT(MAX((CriteriTecnici!$C$5:$C$6173=$C184)*(CriteriTecnici!$E$5:$E$6173="D")*(CriteriTecnici!$T$5:$T$6173="SI")*IFERROR(CriteriTecnici!$O$5:$O$6173*1,0)))&gt;0,MIN(10,SUMIFS(CriteriTecnici!$O:$O,CriteriTecnici!$Q:$Q,$A184&amp;"|"&amp;$C184,CriteriTecnici!$E:$E,"D")*(10/SUMPRODUCT(MAX((CriteriTecnici!$C$5:$C$6173=$C184)*(CriteriTecnici!$E$5:$E$6173="D")*(CriteriTecnici!$T$5:$T$6173="SI")*IFERROR(CriteriTecnici!$O$5:$O$6173*1,0))))),0)+IF(SUMPRODUCT(MAX((CriteriTecnici!$C$5:$C$6173=$C184)*(CriteriTecnici!$E$5:$E$6173="E")*(CriteriTecnici!$T$5:$T$6173="SI")*IFERROR(CriteriTecnici!$O$5:$O$6173*1,0)))&gt;0,MIN(4,SUMIFS(CriteriTecnici!$O:$O,CriteriTecnici!$Q:$Q,$A184&amp;"|"&amp;$C184,CriteriTecnici!$E:$E,"E")*(4/SUMPRODUCT(MAX((CriteriTecnici!$C$5:$C$6173=$C184)*(CriteriTecnici!$E$5:$E$6173="E")*(CriteriTecnici!$T$5:$T$6173="SI")*IFERROR(CriteriTecnici!$O$5:$O$6173*1,0))))),0)+IF(SUMPRODUCT(MAX((CriteriTecnici!$C$5:$C$6173=$C184)*(CriteriTecnici!$E$5:$E$6173="F")*(CriteriTecnici!$T$5:$T$6173="SI")*IFERROR(CriteriTecnici!$O$5:$O$6173*1,0)))&gt;0,MIN(14,SUMIFS(CriteriTecnici!$O:$O,CriteriTecnici!$Q:$Q,$A184&amp;"|"&amp;$C184,CriteriTecnici!$E:$E,"F")*(14/SUMPRODUCT(MAX((CriteriTecnici!$C$5:$C$6173=$C184)*(CriteriTecnici!$E$5:$E$6173="F")*(CriteriTecnici!$T$5:$T$6173="SI")*IFERROR(CriteriTecnici!$O$5:$O$6173*1,0))))),0)+IF(SUMPRODUCT(MAX((CriteriTecnici!$C$5:$C$6173=$C184)*(CriteriTecnici!$E$5:$E$6173="G")*(CriteriTecnici!$T$5:$T$6173="SI")*IFERROR(CriteriTecnici!$O$5:$O$6173*1,0)))&gt;0,MIN(7,SUMIFS(CriteriTecnici!$O:$O,CriteriTecnici!$Q:$Q,$A184&amp;"|"&amp;$C184,CriteriTecnici!$E:$E,"G")*(7/SUMPRODUCT(MAX((CriteriTecnici!$C$5:$C$6173=$C184)*(CriteriTecnici!$E$5:$E$6173="G")*(CriteriTecnici!$T$5:$T$6173="SI")*IFERROR(CriteriTecnici!$O$5:$O$6173*1,0))))),0),4),0),IFERROR($N184*1,0)),0))</f>
        <v/>
      </c>
      <c r="F184" s="56">
        <f>IF(Compila!$A194="","",Compila!$E194)</f>
        <v/>
      </c>
      <c r="G184" s="57">
        <f>IF($A184="","",IF(IFERROR(VALUE($D184),0)&lt;&gt;1,"NO",IF(IFERROR(VALUE($O184),0)&gt;=Parametri!$B$2,"SI","NO")))</f>
        <v/>
      </c>
      <c r="H184" s="57">
        <f>IF($G184="SI",SUMPRODUCT(MAX(($C$2:$C$200=$C184)*(IFERROR($D$2:$D$200*1,0)=1)*(IFERROR($O$2:$O$200*1,0)&gt;=Parametri!$B$2)*IFERROR($F$2:$F$200*1,0))),0)</f>
        <v/>
      </c>
      <c r="I184" s="57">
        <f>IF($G184="SI",IF($H184&gt;0,30*(IFERROR($F184*1,0)/$H184),0),0)</f>
        <v/>
      </c>
      <c r="J184" s="57">
        <f>IF($A184="",0,IF($G184="SI",ROUND(IFERROR($E184*1,0)+$I184,4),ROUND(IFERROR($E184*1,0),4)))</f>
        <v/>
      </c>
      <c r="K184" s="57">
        <f>IF($A184="","",IF(IFERROR(VALUE($D184),0)&lt;&gt;1,"Non attiva",IF(IFERROR(VALUE($O184),0)&lt;Parametri!$B$2,"Sotto soglia","")))</f>
        <v/>
      </c>
      <c r="L184" s="57">
        <f>IF($A184="","",$A184&amp;"|"&amp;$C184)</f>
        <v/>
      </c>
      <c r="M184" s="57">
        <f>IF($A184="","",$C184&amp;"|"&amp;TEXT($J184,"0.0000"))</f>
        <v/>
      </c>
      <c r="N184" s="57" t="n"/>
      <c r="O184" s="57">
        <f>IF($A184="",0,IFERROR(IF(SUMIFS(CriteriTecnici!$O:$O,CriteriTecnici!$Q:$Q,$A184&amp;"|"&amp;$C184)&gt;0,SUMIFS(CriteriTecnici!$O:$O,CriteriTecnici!$Q:$Q,$A184&amp;"|"&amp;$C184,CriteriTecnici!$F:$F,"Q")+SUMIFS(CriteriTecnici!$O:$O,CriteriTecnici!$Q:$Q,$A184&amp;"|"&amp;$C184,CriteriTecnici!$F:$F,"T"),IFERROR($N184*1,0)),0))</f>
        <v/>
      </c>
      <c r="P184" s="57">
        <f>IF($A184="","",IF(SUMIFS(CriteriTecnici!$O:$O,CriteriTecnici!$Q:$Q,$A184&amp;"|"&amp;$C184)&gt;0,"Criteri A-G","Aggregato"))</f>
        <v/>
      </c>
    </row>
    <row r="185">
      <c r="A185" s="56">
        <f>IF(Compila!$A195="","",Compila!$A195)</f>
        <v/>
      </c>
      <c r="B185" s="56">
        <f>IF(Compila!$A195="","",Compila!$B195)</f>
        <v/>
      </c>
      <c r="C185" s="56">
        <f>IF(Compila!$A195="","",Compila!$C195)</f>
        <v/>
      </c>
      <c r="D185" s="56">
        <f>IF(Compila!$A195="","",Compila!$D195)</f>
        <v/>
      </c>
      <c r="E185" s="57">
        <f>IF($A185="",0,IFERROR(IF(SUMIFS(CriteriTecnici!$O:$O,CriteriTecnici!$Q:$Q,$A185&amp;"|"&amp;$C185)&gt;0,IF($G185="SI",ROUND(IF(SUMPRODUCT(MAX((CriteriTecnici!$C$5:$C$6173=$C185)*(CriteriTecnici!$E$5:$E$6173="A")*(CriteriTecnici!$T$5:$T$6173="SI")*IFERROR(CriteriTecnici!$O$5:$O$6173*1,0)))&gt;0,MIN(7,SUMIFS(CriteriTecnici!$O:$O,CriteriTecnici!$Q:$Q,$A185&amp;"|"&amp;$C185,CriteriTecnici!$E:$E,"A")*(7/SUMPRODUCT(MAX((CriteriTecnici!$C$5:$C$6173=$C185)*(CriteriTecnici!$E$5:$E$6173="A")*(CriteriTecnici!$T$5:$T$6173="SI")*IFERROR(CriteriTecnici!$O$5:$O$6173*1,0))))),0)+IF(SUMPRODUCT(MAX((CriteriTecnici!$C$5:$C$6173=$C185)*(CriteriTecnici!$E$5:$E$6173="B")*(CriteriTecnici!$T$5:$T$6173="SI")*IFERROR(CriteriTecnici!$O$5:$O$6173*1,0)))&gt;0,MIN(14,SUMIFS(CriteriTecnici!$O:$O,CriteriTecnici!$Q:$Q,$A185&amp;"|"&amp;$C185,CriteriTecnici!$E:$E,"B")*(14/SUMPRODUCT(MAX((CriteriTecnici!$C$5:$C$6173=$C185)*(CriteriTecnici!$E$5:$E$6173="B")*(CriteriTecnici!$T$5:$T$6173="SI")*IFERROR(CriteriTecnici!$O$5:$O$6173*1,0))))),0)+IF(SUMPRODUCT(MAX((CriteriTecnici!$C$5:$C$6173=$C185)*(CriteriTecnici!$E$5:$E$6173="C")*(CriteriTecnici!$T$5:$T$6173="SI")*IFERROR(CriteriTecnici!$O$5:$O$6173*1,0)))&gt;0,MIN(14,SUMIFS(CriteriTecnici!$O:$O,CriteriTecnici!$Q:$Q,$A185&amp;"|"&amp;$C185,CriteriTecnici!$E:$E,"C")*(14/SUMPRODUCT(MAX((CriteriTecnici!$C$5:$C$6173=$C185)*(CriteriTecnici!$E$5:$E$6173="C")*(CriteriTecnici!$T$5:$T$6173="SI")*IFERROR(CriteriTecnici!$O$5:$O$6173*1,0))))),0)+IF(SUMPRODUCT(MAX((CriteriTecnici!$C$5:$C$6173=$C185)*(CriteriTecnici!$E$5:$E$6173="D")*(CriteriTecnici!$T$5:$T$6173="SI")*IFERROR(CriteriTecnici!$O$5:$O$6173*1,0)))&gt;0,MIN(10,SUMIFS(CriteriTecnici!$O:$O,CriteriTecnici!$Q:$Q,$A185&amp;"|"&amp;$C185,CriteriTecnici!$E:$E,"D")*(10/SUMPRODUCT(MAX((CriteriTecnici!$C$5:$C$6173=$C185)*(CriteriTecnici!$E$5:$E$6173="D")*(CriteriTecnici!$T$5:$T$6173="SI")*IFERROR(CriteriTecnici!$O$5:$O$6173*1,0))))),0)+IF(SUMPRODUCT(MAX((CriteriTecnici!$C$5:$C$6173=$C185)*(CriteriTecnici!$E$5:$E$6173="E")*(CriteriTecnici!$T$5:$T$6173="SI")*IFERROR(CriteriTecnici!$O$5:$O$6173*1,0)))&gt;0,MIN(4,SUMIFS(CriteriTecnici!$O:$O,CriteriTecnici!$Q:$Q,$A185&amp;"|"&amp;$C185,CriteriTecnici!$E:$E,"E")*(4/SUMPRODUCT(MAX((CriteriTecnici!$C$5:$C$6173=$C185)*(CriteriTecnici!$E$5:$E$6173="E")*(CriteriTecnici!$T$5:$T$6173="SI")*IFERROR(CriteriTecnici!$O$5:$O$6173*1,0))))),0)+IF(SUMPRODUCT(MAX((CriteriTecnici!$C$5:$C$6173=$C185)*(CriteriTecnici!$E$5:$E$6173="F")*(CriteriTecnici!$T$5:$T$6173="SI")*IFERROR(CriteriTecnici!$O$5:$O$6173*1,0)))&gt;0,MIN(14,SUMIFS(CriteriTecnici!$O:$O,CriteriTecnici!$Q:$Q,$A185&amp;"|"&amp;$C185,CriteriTecnici!$E:$E,"F")*(14/SUMPRODUCT(MAX((CriteriTecnici!$C$5:$C$6173=$C185)*(CriteriTecnici!$E$5:$E$6173="F")*(CriteriTecnici!$T$5:$T$6173="SI")*IFERROR(CriteriTecnici!$O$5:$O$6173*1,0))))),0)+IF(SUMPRODUCT(MAX((CriteriTecnici!$C$5:$C$6173=$C185)*(CriteriTecnici!$E$5:$E$6173="G")*(CriteriTecnici!$T$5:$T$6173="SI")*IFERROR(CriteriTecnici!$O$5:$O$6173*1,0)))&gt;0,MIN(7,SUMIFS(CriteriTecnici!$O:$O,CriteriTecnici!$Q:$Q,$A185&amp;"|"&amp;$C185,CriteriTecnici!$E:$E,"G")*(7/SUMPRODUCT(MAX((CriteriTecnici!$C$5:$C$6173=$C185)*(CriteriTecnici!$E$5:$E$6173="G")*(CriteriTecnici!$T$5:$T$6173="SI")*IFERROR(CriteriTecnici!$O$5:$O$6173*1,0))))),0),4),0),IFERROR($N185*1,0)),0))</f>
        <v/>
      </c>
      <c r="F185" s="56">
        <f>IF(Compila!$A195="","",Compila!$E195)</f>
        <v/>
      </c>
      <c r="G185" s="57">
        <f>IF($A185="","",IF(IFERROR(VALUE($D185),0)&lt;&gt;1,"NO",IF(IFERROR(VALUE($O185),0)&gt;=Parametri!$B$2,"SI","NO")))</f>
        <v/>
      </c>
      <c r="H185" s="57">
        <f>IF($G185="SI",SUMPRODUCT(MAX(($C$2:$C$200=$C185)*(IFERROR($D$2:$D$200*1,0)=1)*(IFERROR($O$2:$O$200*1,0)&gt;=Parametri!$B$2)*IFERROR($F$2:$F$200*1,0))),0)</f>
        <v/>
      </c>
      <c r="I185" s="57">
        <f>IF($G185="SI",IF($H185&gt;0,30*(IFERROR($F185*1,0)/$H185),0),0)</f>
        <v/>
      </c>
      <c r="J185" s="57">
        <f>IF($A185="",0,IF($G185="SI",ROUND(IFERROR($E185*1,0)+$I185,4),ROUND(IFERROR($E185*1,0),4)))</f>
        <v/>
      </c>
      <c r="K185" s="57">
        <f>IF($A185="","",IF(IFERROR(VALUE($D185),0)&lt;&gt;1,"Non attiva",IF(IFERROR(VALUE($O185),0)&lt;Parametri!$B$2,"Sotto soglia","")))</f>
        <v/>
      </c>
      <c r="L185" s="57">
        <f>IF($A185="","",$A185&amp;"|"&amp;$C185)</f>
        <v/>
      </c>
      <c r="M185" s="57">
        <f>IF($A185="","",$C185&amp;"|"&amp;TEXT($J185,"0.0000"))</f>
        <v/>
      </c>
      <c r="N185" s="57" t="n"/>
      <c r="O185" s="57">
        <f>IF($A185="",0,IFERROR(IF(SUMIFS(CriteriTecnici!$O:$O,CriteriTecnici!$Q:$Q,$A185&amp;"|"&amp;$C185)&gt;0,SUMIFS(CriteriTecnici!$O:$O,CriteriTecnici!$Q:$Q,$A185&amp;"|"&amp;$C185,CriteriTecnici!$F:$F,"Q")+SUMIFS(CriteriTecnici!$O:$O,CriteriTecnici!$Q:$Q,$A185&amp;"|"&amp;$C185,CriteriTecnici!$F:$F,"T"),IFERROR($N185*1,0)),0))</f>
        <v/>
      </c>
      <c r="P185" s="57">
        <f>IF($A185="","",IF(SUMIFS(CriteriTecnici!$O:$O,CriteriTecnici!$Q:$Q,$A185&amp;"|"&amp;$C185)&gt;0,"Criteri A-G","Aggregato"))</f>
        <v/>
      </c>
    </row>
    <row r="186">
      <c r="A186" s="56">
        <f>IF(Compila!$A196="","",Compila!$A196)</f>
        <v/>
      </c>
      <c r="B186" s="56">
        <f>IF(Compila!$A196="","",Compila!$B196)</f>
        <v/>
      </c>
      <c r="C186" s="56">
        <f>IF(Compila!$A196="","",Compila!$C196)</f>
        <v/>
      </c>
      <c r="D186" s="56">
        <f>IF(Compila!$A196="","",Compila!$D196)</f>
        <v/>
      </c>
      <c r="E186" s="57">
        <f>IF($A186="",0,IFERROR(IF(SUMIFS(CriteriTecnici!$O:$O,CriteriTecnici!$Q:$Q,$A186&amp;"|"&amp;$C186)&gt;0,IF($G186="SI",ROUND(IF(SUMPRODUCT(MAX((CriteriTecnici!$C$5:$C$6173=$C186)*(CriteriTecnici!$E$5:$E$6173="A")*(CriteriTecnici!$T$5:$T$6173="SI")*IFERROR(CriteriTecnici!$O$5:$O$6173*1,0)))&gt;0,MIN(7,SUMIFS(CriteriTecnici!$O:$O,CriteriTecnici!$Q:$Q,$A186&amp;"|"&amp;$C186,CriteriTecnici!$E:$E,"A")*(7/SUMPRODUCT(MAX((CriteriTecnici!$C$5:$C$6173=$C186)*(CriteriTecnici!$E$5:$E$6173="A")*(CriteriTecnici!$T$5:$T$6173="SI")*IFERROR(CriteriTecnici!$O$5:$O$6173*1,0))))),0)+IF(SUMPRODUCT(MAX((CriteriTecnici!$C$5:$C$6173=$C186)*(CriteriTecnici!$E$5:$E$6173="B")*(CriteriTecnici!$T$5:$T$6173="SI")*IFERROR(CriteriTecnici!$O$5:$O$6173*1,0)))&gt;0,MIN(14,SUMIFS(CriteriTecnici!$O:$O,CriteriTecnici!$Q:$Q,$A186&amp;"|"&amp;$C186,CriteriTecnici!$E:$E,"B")*(14/SUMPRODUCT(MAX((CriteriTecnici!$C$5:$C$6173=$C186)*(CriteriTecnici!$E$5:$E$6173="B")*(CriteriTecnici!$T$5:$T$6173="SI")*IFERROR(CriteriTecnici!$O$5:$O$6173*1,0))))),0)+IF(SUMPRODUCT(MAX((CriteriTecnici!$C$5:$C$6173=$C186)*(CriteriTecnici!$E$5:$E$6173="C")*(CriteriTecnici!$T$5:$T$6173="SI")*IFERROR(CriteriTecnici!$O$5:$O$6173*1,0)))&gt;0,MIN(14,SUMIFS(CriteriTecnici!$O:$O,CriteriTecnici!$Q:$Q,$A186&amp;"|"&amp;$C186,CriteriTecnici!$E:$E,"C")*(14/SUMPRODUCT(MAX((CriteriTecnici!$C$5:$C$6173=$C186)*(CriteriTecnici!$E$5:$E$6173="C")*(CriteriTecnici!$T$5:$T$6173="SI")*IFERROR(CriteriTecnici!$O$5:$O$6173*1,0))))),0)+IF(SUMPRODUCT(MAX((CriteriTecnici!$C$5:$C$6173=$C186)*(CriteriTecnici!$E$5:$E$6173="D")*(CriteriTecnici!$T$5:$T$6173="SI")*IFERROR(CriteriTecnici!$O$5:$O$6173*1,0)))&gt;0,MIN(10,SUMIFS(CriteriTecnici!$O:$O,CriteriTecnici!$Q:$Q,$A186&amp;"|"&amp;$C186,CriteriTecnici!$E:$E,"D")*(10/SUMPRODUCT(MAX((CriteriTecnici!$C$5:$C$6173=$C186)*(CriteriTecnici!$E$5:$E$6173="D")*(CriteriTecnici!$T$5:$T$6173="SI")*IFERROR(CriteriTecnici!$O$5:$O$6173*1,0))))),0)+IF(SUMPRODUCT(MAX((CriteriTecnici!$C$5:$C$6173=$C186)*(CriteriTecnici!$E$5:$E$6173="E")*(CriteriTecnici!$T$5:$T$6173="SI")*IFERROR(CriteriTecnici!$O$5:$O$6173*1,0)))&gt;0,MIN(4,SUMIFS(CriteriTecnici!$O:$O,CriteriTecnici!$Q:$Q,$A186&amp;"|"&amp;$C186,CriteriTecnici!$E:$E,"E")*(4/SUMPRODUCT(MAX((CriteriTecnici!$C$5:$C$6173=$C186)*(CriteriTecnici!$E$5:$E$6173="E")*(CriteriTecnici!$T$5:$T$6173="SI")*IFERROR(CriteriTecnici!$O$5:$O$6173*1,0))))),0)+IF(SUMPRODUCT(MAX((CriteriTecnici!$C$5:$C$6173=$C186)*(CriteriTecnici!$E$5:$E$6173="F")*(CriteriTecnici!$T$5:$T$6173="SI")*IFERROR(CriteriTecnici!$O$5:$O$6173*1,0)))&gt;0,MIN(14,SUMIFS(CriteriTecnici!$O:$O,CriteriTecnici!$Q:$Q,$A186&amp;"|"&amp;$C186,CriteriTecnici!$E:$E,"F")*(14/SUMPRODUCT(MAX((CriteriTecnici!$C$5:$C$6173=$C186)*(CriteriTecnici!$E$5:$E$6173="F")*(CriteriTecnici!$T$5:$T$6173="SI")*IFERROR(CriteriTecnici!$O$5:$O$6173*1,0))))),0)+IF(SUMPRODUCT(MAX((CriteriTecnici!$C$5:$C$6173=$C186)*(CriteriTecnici!$E$5:$E$6173="G")*(CriteriTecnici!$T$5:$T$6173="SI")*IFERROR(CriteriTecnici!$O$5:$O$6173*1,0)))&gt;0,MIN(7,SUMIFS(CriteriTecnici!$O:$O,CriteriTecnici!$Q:$Q,$A186&amp;"|"&amp;$C186,CriteriTecnici!$E:$E,"G")*(7/SUMPRODUCT(MAX((CriteriTecnici!$C$5:$C$6173=$C186)*(CriteriTecnici!$E$5:$E$6173="G")*(CriteriTecnici!$T$5:$T$6173="SI")*IFERROR(CriteriTecnici!$O$5:$O$6173*1,0))))),0),4),0),IFERROR($N186*1,0)),0))</f>
        <v/>
      </c>
      <c r="F186" s="56">
        <f>IF(Compila!$A196="","",Compila!$E196)</f>
        <v/>
      </c>
      <c r="G186" s="57">
        <f>IF($A186="","",IF(IFERROR(VALUE($D186),0)&lt;&gt;1,"NO",IF(IFERROR(VALUE($O186),0)&gt;=Parametri!$B$2,"SI","NO")))</f>
        <v/>
      </c>
      <c r="H186" s="57">
        <f>IF($G186="SI",SUMPRODUCT(MAX(($C$2:$C$200=$C186)*(IFERROR($D$2:$D$200*1,0)=1)*(IFERROR($O$2:$O$200*1,0)&gt;=Parametri!$B$2)*IFERROR($F$2:$F$200*1,0))),0)</f>
        <v/>
      </c>
      <c r="I186" s="57">
        <f>IF($G186="SI",IF($H186&gt;0,30*(IFERROR($F186*1,0)/$H186),0),0)</f>
        <v/>
      </c>
      <c r="J186" s="57">
        <f>IF($A186="",0,IF($G186="SI",ROUND(IFERROR($E186*1,0)+$I186,4),ROUND(IFERROR($E186*1,0),4)))</f>
        <v/>
      </c>
      <c r="K186" s="57">
        <f>IF($A186="","",IF(IFERROR(VALUE($D186),0)&lt;&gt;1,"Non attiva",IF(IFERROR(VALUE($O186),0)&lt;Parametri!$B$2,"Sotto soglia","")))</f>
        <v/>
      </c>
      <c r="L186" s="57">
        <f>IF($A186="","",$A186&amp;"|"&amp;$C186)</f>
        <v/>
      </c>
      <c r="M186" s="57">
        <f>IF($A186="","",$C186&amp;"|"&amp;TEXT($J186,"0.0000"))</f>
        <v/>
      </c>
      <c r="N186" s="57" t="n"/>
      <c r="O186" s="57">
        <f>IF($A186="",0,IFERROR(IF(SUMIFS(CriteriTecnici!$O:$O,CriteriTecnici!$Q:$Q,$A186&amp;"|"&amp;$C186)&gt;0,SUMIFS(CriteriTecnici!$O:$O,CriteriTecnici!$Q:$Q,$A186&amp;"|"&amp;$C186,CriteriTecnici!$F:$F,"Q")+SUMIFS(CriteriTecnici!$O:$O,CriteriTecnici!$Q:$Q,$A186&amp;"|"&amp;$C186,CriteriTecnici!$F:$F,"T"),IFERROR($N186*1,0)),0))</f>
        <v/>
      </c>
      <c r="P186" s="57">
        <f>IF($A186="","",IF(SUMIFS(CriteriTecnici!$O:$O,CriteriTecnici!$Q:$Q,$A186&amp;"|"&amp;$C186)&gt;0,"Criteri A-G","Aggregato"))</f>
        <v/>
      </c>
    </row>
    <row r="187">
      <c r="A187" s="56">
        <f>IF(Compila!$A197="","",Compila!$A197)</f>
        <v/>
      </c>
      <c r="B187" s="56">
        <f>IF(Compila!$A197="","",Compila!$B197)</f>
        <v/>
      </c>
      <c r="C187" s="56">
        <f>IF(Compila!$A197="","",Compila!$C197)</f>
        <v/>
      </c>
      <c r="D187" s="56">
        <f>IF(Compila!$A197="","",Compila!$D197)</f>
        <v/>
      </c>
      <c r="E187" s="57">
        <f>IF($A187="",0,IFERROR(IF(SUMIFS(CriteriTecnici!$O:$O,CriteriTecnici!$Q:$Q,$A187&amp;"|"&amp;$C187)&gt;0,IF($G187="SI",ROUND(IF(SUMPRODUCT(MAX((CriteriTecnici!$C$5:$C$6173=$C187)*(CriteriTecnici!$E$5:$E$6173="A")*(CriteriTecnici!$T$5:$T$6173="SI")*IFERROR(CriteriTecnici!$O$5:$O$6173*1,0)))&gt;0,MIN(7,SUMIFS(CriteriTecnici!$O:$O,CriteriTecnici!$Q:$Q,$A187&amp;"|"&amp;$C187,CriteriTecnici!$E:$E,"A")*(7/SUMPRODUCT(MAX((CriteriTecnici!$C$5:$C$6173=$C187)*(CriteriTecnici!$E$5:$E$6173="A")*(CriteriTecnici!$T$5:$T$6173="SI")*IFERROR(CriteriTecnici!$O$5:$O$6173*1,0))))),0)+IF(SUMPRODUCT(MAX((CriteriTecnici!$C$5:$C$6173=$C187)*(CriteriTecnici!$E$5:$E$6173="B")*(CriteriTecnici!$T$5:$T$6173="SI")*IFERROR(CriteriTecnici!$O$5:$O$6173*1,0)))&gt;0,MIN(14,SUMIFS(CriteriTecnici!$O:$O,CriteriTecnici!$Q:$Q,$A187&amp;"|"&amp;$C187,CriteriTecnici!$E:$E,"B")*(14/SUMPRODUCT(MAX((CriteriTecnici!$C$5:$C$6173=$C187)*(CriteriTecnici!$E$5:$E$6173="B")*(CriteriTecnici!$T$5:$T$6173="SI")*IFERROR(CriteriTecnici!$O$5:$O$6173*1,0))))),0)+IF(SUMPRODUCT(MAX((CriteriTecnici!$C$5:$C$6173=$C187)*(CriteriTecnici!$E$5:$E$6173="C")*(CriteriTecnici!$T$5:$T$6173="SI")*IFERROR(CriteriTecnici!$O$5:$O$6173*1,0)))&gt;0,MIN(14,SUMIFS(CriteriTecnici!$O:$O,CriteriTecnici!$Q:$Q,$A187&amp;"|"&amp;$C187,CriteriTecnici!$E:$E,"C")*(14/SUMPRODUCT(MAX((CriteriTecnici!$C$5:$C$6173=$C187)*(CriteriTecnici!$E$5:$E$6173="C")*(CriteriTecnici!$T$5:$T$6173="SI")*IFERROR(CriteriTecnici!$O$5:$O$6173*1,0))))),0)+IF(SUMPRODUCT(MAX((CriteriTecnici!$C$5:$C$6173=$C187)*(CriteriTecnici!$E$5:$E$6173="D")*(CriteriTecnici!$T$5:$T$6173="SI")*IFERROR(CriteriTecnici!$O$5:$O$6173*1,0)))&gt;0,MIN(10,SUMIFS(CriteriTecnici!$O:$O,CriteriTecnici!$Q:$Q,$A187&amp;"|"&amp;$C187,CriteriTecnici!$E:$E,"D")*(10/SUMPRODUCT(MAX((CriteriTecnici!$C$5:$C$6173=$C187)*(CriteriTecnici!$E$5:$E$6173="D")*(CriteriTecnici!$T$5:$T$6173="SI")*IFERROR(CriteriTecnici!$O$5:$O$6173*1,0))))),0)+IF(SUMPRODUCT(MAX((CriteriTecnici!$C$5:$C$6173=$C187)*(CriteriTecnici!$E$5:$E$6173="E")*(CriteriTecnici!$T$5:$T$6173="SI")*IFERROR(CriteriTecnici!$O$5:$O$6173*1,0)))&gt;0,MIN(4,SUMIFS(CriteriTecnici!$O:$O,CriteriTecnici!$Q:$Q,$A187&amp;"|"&amp;$C187,CriteriTecnici!$E:$E,"E")*(4/SUMPRODUCT(MAX((CriteriTecnici!$C$5:$C$6173=$C187)*(CriteriTecnici!$E$5:$E$6173="E")*(CriteriTecnici!$T$5:$T$6173="SI")*IFERROR(CriteriTecnici!$O$5:$O$6173*1,0))))),0)+IF(SUMPRODUCT(MAX((CriteriTecnici!$C$5:$C$6173=$C187)*(CriteriTecnici!$E$5:$E$6173="F")*(CriteriTecnici!$T$5:$T$6173="SI")*IFERROR(CriteriTecnici!$O$5:$O$6173*1,0)))&gt;0,MIN(14,SUMIFS(CriteriTecnici!$O:$O,CriteriTecnici!$Q:$Q,$A187&amp;"|"&amp;$C187,CriteriTecnici!$E:$E,"F")*(14/SUMPRODUCT(MAX((CriteriTecnici!$C$5:$C$6173=$C187)*(CriteriTecnici!$E$5:$E$6173="F")*(CriteriTecnici!$T$5:$T$6173="SI")*IFERROR(CriteriTecnici!$O$5:$O$6173*1,0))))),0)+IF(SUMPRODUCT(MAX((CriteriTecnici!$C$5:$C$6173=$C187)*(CriteriTecnici!$E$5:$E$6173="G")*(CriteriTecnici!$T$5:$T$6173="SI")*IFERROR(CriteriTecnici!$O$5:$O$6173*1,0)))&gt;0,MIN(7,SUMIFS(CriteriTecnici!$O:$O,CriteriTecnici!$Q:$Q,$A187&amp;"|"&amp;$C187,CriteriTecnici!$E:$E,"G")*(7/SUMPRODUCT(MAX((CriteriTecnici!$C$5:$C$6173=$C187)*(CriteriTecnici!$E$5:$E$6173="G")*(CriteriTecnici!$T$5:$T$6173="SI")*IFERROR(CriteriTecnici!$O$5:$O$6173*1,0))))),0),4),0),IFERROR($N187*1,0)),0))</f>
        <v/>
      </c>
      <c r="F187" s="56">
        <f>IF(Compila!$A197="","",Compila!$E197)</f>
        <v/>
      </c>
      <c r="G187" s="57">
        <f>IF($A187="","",IF(IFERROR(VALUE($D187),0)&lt;&gt;1,"NO",IF(IFERROR(VALUE($O187),0)&gt;=Parametri!$B$2,"SI","NO")))</f>
        <v/>
      </c>
      <c r="H187" s="57">
        <f>IF($G187="SI",SUMPRODUCT(MAX(($C$2:$C$200=$C187)*(IFERROR($D$2:$D$200*1,0)=1)*(IFERROR($O$2:$O$200*1,0)&gt;=Parametri!$B$2)*IFERROR($F$2:$F$200*1,0))),0)</f>
        <v/>
      </c>
      <c r="I187" s="57">
        <f>IF($G187="SI",IF($H187&gt;0,30*(IFERROR($F187*1,0)/$H187),0),0)</f>
        <v/>
      </c>
      <c r="J187" s="57">
        <f>IF($A187="",0,IF($G187="SI",ROUND(IFERROR($E187*1,0)+$I187,4),ROUND(IFERROR($E187*1,0),4)))</f>
        <v/>
      </c>
      <c r="K187" s="57">
        <f>IF($A187="","",IF(IFERROR(VALUE($D187),0)&lt;&gt;1,"Non attiva",IF(IFERROR(VALUE($O187),0)&lt;Parametri!$B$2,"Sotto soglia","")))</f>
        <v/>
      </c>
      <c r="L187" s="57">
        <f>IF($A187="","",$A187&amp;"|"&amp;$C187)</f>
        <v/>
      </c>
      <c r="M187" s="57">
        <f>IF($A187="","",$C187&amp;"|"&amp;TEXT($J187,"0.0000"))</f>
        <v/>
      </c>
      <c r="N187" s="57" t="n"/>
      <c r="O187" s="57">
        <f>IF($A187="",0,IFERROR(IF(SUMIFS(CriteriTecnici!$O:$O,CriteriTecnici!$Q:$Q,$A187&amp;"|"&amp;$C187)&gt;0,SUMIFS(CriteriTecnici!$O:$O,CriteriTecnici!$Q:$Q,$A187&amp;"|"&amp;$C187,CriteriTecnici!$F:$F,"Q")+SUMIFS(CriteriTecnici!$O:$O,CriteriTecnici!$Q:$Q,$A187&amp;"|"&amp;$C187,CriteriTecnici!$F:$F,"T"),IFERROR($N187*1,0)),0))</f>
        <v/>
      </c>
      <c r="P187" s="57">
        <f>IF($A187="","",IF(SUMIFS(CriteriTecnici!$O:$O,CriteriTecnici!$Q:$Q,$A187&amp;"|"&amp;$C187)&gt;0,"Criteri A-G","Aggregato"))</f>
        <v/>
      </c>
    </row>
    <row r="188">
      <c r="A188" s="56">
        <f>IF(Compila!$A198="","",Compila!$A198)</f>
        <v/>
      </c>
      <c r="B188" s="56">
        <f>IF(Compila!$A198="","",Compila!$B198)</f>
        <v/>
      </c>
      <c r="C188" s="56">
        <f>IF(Compila!$A198="","",Compila!$C198)</f>
        <v/>
      </c>
      <c r="D188" s="56">
        <f>IF(Compila!$A198="","",Compila!$D198)</f>
        <v/>
      </c>
      <c r="E188" s="57">
        <f>IF($A188="",0,IFERROR(IF(SUMIFS(CriteriTecnici!$O:$O,CriteriTecnici!$Q:$Q,$A188&amp;"|"&amp;$C188)&gt;0,IF($G188="SI",ROUND(IF(SUMPRODUCT(MAX((CriteriTecnici!$C$5:$C$6173=$C188)*(CriteriTecnici!$E$5:$E$6173="A")*(CriteriTecnici!$T$5:$T$6173="SI")*IFERROR(CriteriTecnici!$O$5:$O$6173*1,0)))&gt;0,MIN(7,SUMIFS(CriteriTecnici!$O:$O,CriteriTecnici!$Q:$Q,$A188&amp;"|"&amp;$C188,CriteriTecnici!$E:$E,"A")*(7/SUMPRODUCT(MAX((CriteriTecnici!$C$5:$C$6173=$C188)*(CriteriTecnici!$E$5:$E$6173="A")*(CriteriTecnici!$T$5:$T$6173="SI")*IFERROR(CriteriTecnici!$O$5:$O$6173*1,0))))),0)+IF(SUMPRODUCT(MAX((CriteriTecnici!$C$5:$C$6173=$C188)*(CriteriTecnici!$E$5:$E$6173="B")*(CriteriTecnici!$T$5:$T$6173="SI")*IFERROR(CriteriTecnici!$O$5:$O$6173*1,0)))&gt;0,MIN(14,SUMIFS(CriteriTecnici!$O:$O,CriteriTecnici!$Q:$Q,$A188&amp;"|"&amp;$C188,CriteriTecnici!$E:$E,"B")*(14/SUMPRODUCT(MAX((CriteriTecnici!$C$5:$C$6173=$C188)*(CriteriTecnici!$E$5:$E$6173="B")*(CriteriTecnici!$T$5:$T$6173="SI")*IFERROR(CriteriTecnici!$O$5:$O$6173*1,0))))),0)+IF(SUMPRODUCT(MAX((CriteriTecnici!$C$5:$C$6173=$C188)*(CriteriTecnici!$E$5:$E$6173="C")*(CriteriTecnici!$T$5:$T$6173="SI")*IFERROR(CriteriTecnici!$O$5:$O$6173*1,0)))&gt;0,MIN(14,SUMIFS(CriteriTecnici!$O:$O,CriteriTecnici!$Q:$Q,$A188&amp;"|"&amp;$C188,CriteriTecnici!$E:$E,"C")*(14/SUMPRODUCT(MAX((CriteriTecnici!$C$5:$C$6173=$C188)*(CriteriTecnici!$E$5:$E$6173="C")*(CriteriTecnici!$T$5:$T$6173="SI")*IFERROR(CriteriTecnici!$O$5:$O$6173*1,0))))),0)+IF(SUMPRODUCT(MAX((CriteriTecnici!$C$5:$C$6173=$C188)*(CriteriTecnici!$E$5:$E$6173="D")*(CriteriTecnici!$T$5:$T$6173="SI")*IFERROR(CriteriTecnici!$O$5:$O$6173*1,0)))&gt;0,MIN(10,SUMIFS(CriteriTecnici!$O:$O,CriteriTecnici!$Q:$Q,$A188&amp;"|"&amp;$C188,CriteriTecnici!$E:$E,"D")*(10/SUMPRODUCT(MAX((CriteriTecnici!$C$5:$C$6173=$C188)*(CriteriTecnici!$E$5:$E$6173="D")*(CriteriTecnici!$T$5:$T$6173="SI")*IFERROR(CriteriTecnici!$O$5:$O$6173*1,0))))),0)+IF(SUMPRODUCT(MAX((CriteriTecnici!$C$5:$C$6173=$C188)*(CriteriTecnici!$E$5:$E$6173="E")*(CriteriTecnici!$T$5:$T$6173="SI")*IFERROR(CriteriTecnici!$O$5:$O$6173*1,0)))&gt;0,MIN(4,SUMIFS(CriteriTecnici!$O:$O,CriteriTecnici!$Q:$Q,$A188&amp;"|"&amp;$C188,CriteriTecnici!$E:$E,"E")*(4/SUMPRODUCT(MAX((CriteriTecnici!$C$5:$C$6173=$C188)*(CriteriTecnici!$E$5:$E$6173="E")*(CriteriTecnici!$T$5:$T$6173="SI")*IFERROR(CriteriTecnici!$O$5:$O$6173*1,0))))),0)+IF(SUMPRODUCT(MAX((CriteriTecnici!$C$5:$C$6173=$C188)*(CriteriTecnici!$E$5:$E$6173="F")*(CriteriTecnici!$T$5:$T$6173="SI")*IFERROR(CriteriTecnici!$O$5:$O$6173*1,0)))&gt;0,MIN(14,SUMIFS(CriteriTecnici!$O:$O,CriteriTecnici!$Q:$Q,$A188&amp;"|"&amp;$C188,CriteriTecnici!$E:$E,"F")*(14/SUMPRODUCT(MAX((CriteriTecnici!$C$5:$C$6173=$C188)*(CriteriTecnici!$E$5:$E$6173="F")*(CriteriTecnici!$T$5:$T$6173="SI")*IFERROR(CriteriTecnici!$O$5:$O$6173*1,0))))),0)+IF(SUMPRODUCT(MAX((CriteriTecnici!$C$5:$C$6173=$C188)*(CriteriTecnici!$E$5:$E$6173="G")*(CriteriTecnici!$T$5:$T$6173="SI")*IFERROR(CriteriTecnici!$O$5:$O$6173*1,0)))&gt;0,MIN(7,SUMIFS(CriteriTecnici!$O:$O,CriteriTecnici!$Q:$Q,$A188&amp;"|"&amp;$C188,CriteriTecnici!$E:$E,"G")*(7/SUMPRODUCT(MAX((CriteriTecnici!$C$5:$C$6173=$C188)*(CriteriTecnici!$E$5:$E$6173="G")*(CriteriTecnici!$T$5:$T$6173="SI")*IFERROR(CriteriTecnici!$O$5:$O$6173*1,0))))),0),4),0),IFERROR($N188*1,0)),0))</f>
        <v/>
      </c>
      <c r="F188" s="56">
        <f>IF(Compila!$A198="","",Compila!$E198)</f>
        <v/>
      </c>
      <c r="G188" s="57">
        <f>IF($A188="","",IF(IFERROR(VALUE($D188),0)&lt;&gt;1,"NO",IF(IFERROR(VALUE($O188),0)&gt;=Parametri!$B$2,"SI","NO")))</f>
        <v/>
      </c>
      <c r="H188" s="57">
        <f>IF($G188="SI",SUMPRODUCT(MAX(($C$2:$C$200=$C188)*(IFERROR($D$2:$D$200*1,0)=1)*(IFERROR($O$2:$O$200*1,0)&gt;=Parametri!$B$2)*IFERROR($F$2:$F$200*1,0))),0)</f>
        <v/>
      </c>
      <c r="I188" s="57">
        <f>IF($G188="SI",IF($H188&gt;0,30*(IFERROR($F188*1,0)/$H188),0),0)</f>
        <v/>
      </c>
      <c r="J188" s="57">
        <f>IF($A188="",0,IF($G188="SI",ROUND(IFERROR($E188*1,0)+$I188,4),ROUND(IFERROR($E188*1,0),4)))</f>
        <v/>
      </c>
      <c r="K188" s="57">
        <f>IF($A188="","",IF(IFERROR(VALUE($D188),0)&lt;&gt;1,"Non attiva",IF(IFERROR(VALUE($O188),0)&lt;Parametri!$B$2,"Sotto soglia","")))</f>
        <v/>
      </c>
      <c r="L188" s="57">
        <f>IF($A188="","",$A188&amp;"|"&amp;$C188)</f>
        <v/>
      </c>
      <c r="M188" s="57">
        <f>IF($A188="","",$C188&amp;"|"&amp;TEXT($J188,"0.0000"))</f>
        <v/>
      </c>
      <c r="N188" s="57" t="n"/>
      <c r="O188" s="57">
        <f>IF($A188="",0,IFERROR(IF(SUMIFS(CriteriTecnici!$O:$O,CriteriTecnici!$Q:$Q,$A188&amp;"|"&amp;$C188)&gt;0,SUMIFS(CriteriTecnici!$O:$O,CriteriTecnici!$Q:$Q,$A188&amp;"|"&amp;$C188,CriteriTecnici!$F:$F,"Q")+SUMIFS(CriteriTecnici!$O:$O,CriteriTecnici!$Q:$Q,$A188&amp;"|"&amp;$C188,CriteriTecnici!$F:$F,"T"),IFERROR($N188*1,0)),0))</f>
        <v/>
      </c>
      <c r="P188" s="57">
        <f>IF($A188="","",IF(SUMIFS(CriteriTecnici!$O:$O,CriteriTecnici!$Q:$Q,$A188&amp;"|"&amp;$C188)&gt;0,"Criteri A-G","Aggregato"))</f>
        <v/>
      </c>
    </row>
    <row r="189">
      <c r="A189" s="56">
        <f>IF(Compila!$A199="","",Compila!$A199)</f>
        <v/>
      </c>
      <c r="B189" s="56">
        <f>IF(Compila!$A199="","",Compila!$B199)</f>
        <v/>
      </c>
      <c r="C189" s="56">
        <f>IF(Compila!$A199="","",Compila!$C199)</f>
        <v/>
      </c>
      <c r="D189" s="56">
        <f>IF(Compila!$A199="","",Compila!$D199)</f>
        <v/>
      </c>
      <c r="E189" s="57">
        <f>IF($A189="",0,IFERROR(IF(SUMIFS(CriteriTecnici!$O:$O,CriteriTecnici!$Q:$Q,$A189&amp;"|"&amp;$C189)&gt;0,IF($G189="SI",ROUND(IF(SUMPRODUCT(MAX((CriteriTecnici!$C$5:$C$6173=$C189)*(CriteriTecnici!$E$5:$E$6173="A")*(CriteriTecnici!$T$5:$T$6173="SI")*IFERROR(CriteriTecnici!$O$5:$O$6173*1,0)))&gt;0,MIN(7,SUMIFS(CriteriTecnici!$O:$O,CriteriTecnici!$Q:$Q,$A189&amp;"|"&amp;$C189,CriteriTecnici!$E:$E,"A")*(7/SUMPRODUCT(MAX((CriteriTecnici!$C$5:$C$6173=$C189)*(CriteriTecnici!$E$5:$E$6173="A")*(CriteriTecnici!$T$5:$T$6173="SI")*IFERROR(CriteriTecnici!$O$5:$O$6173*1,0))))),0)+IF(SUMPRODUCT(MAX((CriteriTecnici!$C$5:$C$6173=$C189)*(CriteriTecnici!$E$5:$E$6173="B")*(CriteriTecnici!$T$5:$T$6173="SI")*IFERROR(CriteriTecnici!$O$5:$O$6173*1,0)))&gt;0,MIN(14,SUMIFS(CriteriTecnici!$O:$O,CriteriTecnici!$Q:$Q,$A189&amp;"|"&amp;$C189,CriteriTecnici!$E:$E,"B")*(14/SUMPRODUCT(MAX((CriteriTecnici!$C$5:$C$6173=$C189)*(CriteriTecnici!$E$5:$E$6173="B")*(CriteriTecnici!$T$5:$T$6173="SI")*IFERROR(CriteriTecnici!$O$5:$O$6173*1,0))))),0)+IF(SUMPRODUCT(MAX((CriteriTecnici!$C$5:$C$6173=$C189)*(CriteriTecnici!$E$5:$E$6173="C")*(CriteriTecnici!$T$5:$T$6173="SI")*IFERROR(CriteriTecnici!$O$5:$O$6173*1,0)))&gt;0,MIN(14,SUMIFS(CriteriTecnici!$O:$O,CriteriTecnici!$Q:$Q,$A189&amp;"|"&amp;$C189,CriteriTecnici!$E:$E,"C")*(14/SUMPRODUCT(MAX((CriteriTecnici!$C$5:$C$6173=$C189)*(CriteriTecnici!$E$5:$E$6173="C")*(CriteriTecnici!$T$5:$T$6173="SI")*IFERROR(CriteriTecnici!$O$5:$O$6173*1,0))))),0)+IF(SUMPRODUCT(MAX((CriteriTecnici!$C$5:$C$6173=$C189)*(CriteriTecnici!$E$5:$E$6173="D")*(CriteriTecnici!$T$5:$T$6173="SI")*IFERROR(CriteriTecnici!$O$5:$O$6173*1,0)))&gt;0,MIN(10,SUMIFS(CriteriTecnici!$O:$O,CriteriTecnici!$Q:$Q,$A189&amp;"|"&amp;$C189,CriteriTecnici!$E:$E,"D")*(10/SUMPRODUCT(MAX((CriteriTecnici!$C$5:$C$6173=$C189)*(CriteriTecnici!$E$5:$E$6173="D")*(CriteriTecnici!$T$5:$T$6173="SI")*IFERROR(CriteriTecnici!$O$5:$O$6173*1,0))))),0)+IF(SUMPRODUCT(MAX((CriteriTecnici!$C$5:$C$6173=$C189)*(CriteriTecnici!$E$5:$E$6173="E")*(CriteriTecnici!$T$5:$T$6173="SI")*IFERROR(CriteriTecnici!$O$5:$O$6173*1,0)))&gt;0,MIN(4,SUMIFS(CriteriTecnici!$O:$O,CriteriTecnici!$Q:$Q,$A189&amp;"|"&amp;$C189,CriteriTecnici!$E:$E,"E")*(4/SUMPRODUCT(MAX((CriteriTecnici!$C$5:$C$6173=$C189)*(CriteriTecnici!$E$5:$E$6173="E")*(CriteriTecnici!$T$5:$T$6173="SI")*IFERROR(CriteriTecnici!$O$5:$O$6173*1,0))))),0)+IF(SUMPRODUCT(MAX((CriteriTecnici!$C$5:$C$6173=$C189)*(CriteriTecnici!$E$5:$E$6173="F")*(CriteriTecnici!$T$5:$T$6173="SI")*IFERROR(CriteriTecnici!$O$5:$O$6173*1,0)))&gt;0,MIN(14,SUMIFS(CriteriTecnici!$O:$O,CriteriTecnici!$Q:$Q,$A189&amp;"|"&amp;$C189,CriteriTecnici!$E:$E,"F")*(14/SUMPRODUCT(MAX((CriteriTecnici!$C$5:$C$6173=$C189)*(CriteriTecnici!$E$5:$E$6173="F")*(CriteriTecnici!$T$5:$T$6173="SI")*IFERROR(CriteriTecnici!$O$5:$O$6173*1,0))))),0)+IF(SUMPRODUCT(MAX((CriteriTecnici!$C$5:$C$6173=$C189)*(CriteriTecnici!$E$5:$E$6173="G")*(CriteriTecnici!$T$5:$T$6173="SI")*IFERROR(CriteriTecnici!$O$5:$O$6173*1,0)))&gt;0,MIN(7,SUMIFS(CriteriTecnici!$O:$O,CriteriTecnici!$Q:$Q,$A189&amp;"|"&amp;$C189,CriteriTecnici!$E:$E,"G")*(7/SUMPRODUCT(MAX((CriteriTecnici!$C$5:$C$6173=$C189)*(CriteriTecnici!$E$5:$E$6173="G")*(CriteriTecnici!$T$5:$T$6173="SI")*IFERROR(CriteriTecnici!$O$5:$O$6173*1,0))))),0),4),0),IFERROR($N189*1,0)),0))</f>
        <v/>
      </c>
      <c r="F189" s="56">
        <f>IF(Compila!$A199="","",Compila!$E199)</f>
        <v/>
      </c>
      <c r="G189" s="57">
        <f>IF($A189="","",IF(IFERROR(VALUE($D189),0)&lt;&gt;1,"NO",IF(IFERROR(VALUE($O189),0)&gt;=Parametri!$B$2,"SI","NO")))</f>
        <v/>
      </c>
      <c r="H189" s="57">
        <f>IF($G189="SI",SUMPRODUCT(MAX(($C$2:$C$200=$C189)*(IFERROR($D$2:$D$200*1,0)=1)*(IFERROR($O$2:$O$200*1,0)&gt;=Parametri!$B$2)*IFERROR($F$2:$F$200*1,0))),0)</f>
        <v/>
      </c>
      <c r="I189" s="57">
        <f>IF($G189="SI",IF($H189&gt;0,30*(IFERROR($F189*1,0)/$H189),0),0)</f>
        <v/>
      </c>
      <c r="J189" s="57">
        <f>IF($A189="",0,IF($G189="SI",ROUND(IFERROR($E189*1,0)+$I189,4),ROUND(IFERROR($E189*1,0),4)))</f>
        <v/>
      </c>
      <c r="K189" s="57">
        <f>IF($A189="","",IF(IFERROR(VALUE($D189),0)&lt;&gt;1,"Non attiva",IF(IFERROR(VALUE($O189),0)&lt;Parametri!$B$2,"Sotto soglia","")))</f>
        <v/>
      </c>
      <c r="L189" s="57">
        <f>IF($A189="","",$A189&amp;"|"&amp;$C189)</f>
        <v/>
      </c>
      <c r="M189" s="57">
        <f>IF($A189="","",$C189&amp;"|"&amp;TEXT($J189,"0.0000"))</f>
        <v/>
      </c>
      <c r="N189" s="57" t="n"/>
      <c r="O189" s="57">
        <f>IF($A189="",0,IFERROR(IF(SUMIFS(CriteriTecnici!$O:$O,CriteriTecnici!$Q:$Q,$A189&amp;"|"&amp;$C189)&gt;0,SUMIFS(CriteriTecnici!$O:$O,CriteriTecnici!$Q:$Q,$A189&amp;"|"&amp;$C189,CriteriTecnici!$F:$F,"Q")+SUMIFS(CriteriTecnici!$O:$O,CriteriTecnici!$Q:$Q,$A189&amp;"|"&amp;$C189,CriteriTecnici!$F:$F,"T"),IFERROR($N189*1,0)),0))</f>
        <v/>
      </c>
      <c r="P189" s="57">
        <f>IF($A189="","",IF(SUMIFS(CriteriTecnici!$O:$O,CriteriTecnici!$Q:$Q,$A189&amp;"|"&amp;$C189)&gt;0,"Criteri A-G","Aggregato"))</f>
        <v/>
      </c>
    </row>
    <row r="190">
      <c r="A190" s="56">
        <f>IF(Compila!$A200="","",Compila!$A200)</f>
        <v/>
      </c>
      <c r="B190" s="56">
        <f>IF(Compila!$A200="","",Compila!$B200)</f>
        <v/>
      </c>
      <c r="C190" s="56">
        <f>IF(Compila!$A200="","",Compila!$C200)</f>
        <v/>
      </c>
      <c r="D190" s="56">
        <f>IF(Compila!$A200="","",Compila!$D200)</f>
        <v/>
      </c>
      <c r="E190" s="57">
        <f>IF($A190="",0,IFERROR(IF(SUMIFS(CriteriTecnici!$O:$O,CriteriTecnici!$Q:$Q,$A190&amp;"|"&amp;$C190)&gt;0,IF($G190="SI",ROUND(IF(SUMPRODUCT(MAX((CriteriTecnici!$C$5:$C$6173=$C190)*(CriteriTecnici!$E$5:$E$6173="A")*(CriteriTecnici!$T$5:$T$6173="SI")*IFERROR(CriteriTecnici!$O$5:$O$6173*1,0)))&gt;0,MIN(7,SUMIFS(CriteriTecnici!$O:$O,CriteriTecnici!$Q:$Q,$A190&amp;"|"&amp;$C190,CriteriTecnici!$E:$E,"A")*(7/SUMPRODUCT(MAX((CriteriTecnici!$C$5:$C$6173=$C190)*(CriteriTecnici!$E$5:$E$6173="A")*(CriteriTecnici!$T$5:$T$6173="SI")*IFERROR(CriteriTecnici!$O$5:$O$6173*1,0))))),0)+IF(SUMPRODUCT(MAX((CriteriTecnici!$C$5:$C$6173=$C190)*(CriteriTecnici!$E$5:$E$6173="B")*(CriteriTecnici!$T$5:$T$6173="SI")*IFERROR(CriteriTecnici!$O$5:$O$6173*1,0)))&gt;0,MIN(14,SUMIFS(CriteriTecnici!$O:$O,CriteriTecnici!$Q:$Q,$A190&amp;"|"&amp;$C190,CriteriTecnici!$E:$E,"B")*(14/SUMPRODUCT(MAX((CriteriTecnici!$C$5:$C$6173=$C190)*(CriteriTecnici!$E$5:$E$6173="B")*(CriteriTecnici!$T$5:$T$6173="SI")*IFERROR(CriteriTecnici!$O$5:$O$6173*1,0))))),0)+IF(SUMPRODUCT(MAX((CriteriTecnici!$C$5:$C$6173=$C190)*(CriteriTecnici!$E$5:$E$6173="C")*(CriteriTecnici!$T$5:$T$6173="SI")*IFERROR(CriteriTecnici!$O$5:$O$6173*1,0)))&gt;0,MIN(14,SUMIFS(CriteriTecnici!$O:$O,CriteriTecnici!$Q:$Q,$A190&amp;"|"&amp;$C190,CriteriTecnici!$E:$E,"C")*(14/SUMPRODUCT(MAX((CriteriTecnici!$C$5:$C$6173=$C190)*(CriteriTecnici!$E$5:$E$6173="C")*(CriteriTecnici!$T$5:$T$6173="SI")*IFERROR(CriteriTecnici!$O$5:$O$6173*1,0))))),0)+IF(SUMPRODUCT(MAX((CriteriTecnici!$C$5:$C$6173=$C190)*(CriteriTecnici!$E$5:$E$6173="D")*(CriteriTecnici!$T$5:$T$6173="SI")*IFERROR(CriteriTecnici!$O$5:$O$6173*1,0)))&gt;0,MIN(10,SUMIFS(CriteriTecnici!$O:$O,CriteriTecnici!$Q:$Q,$A190&amp;"|"&amp;$C190,CriteriTecnici!$E:$E,"D")*(10/SUMPRODUCT(MAX((CriteriTecnici!$C$5:$C$6173=$C190)*(CriteriTecnici!$E$5:$E$6173="D")*(CriteriTecnici!$T$5:$T$6173="SI")*IFERROR(CriteriTecnici!$O$5:$O$6173*1,0))))),0)+IF(SUMPRODUCT(MAX((CriteriTecnici!$C$5:$C$6173=$C190)*(CriteriTecnici!$E$5:$E$6173="E")*(CriteriTecnici!$T$5:$T$6173="SI")*IFERROR(CriteriTecnici!$O$5:$O$6173*1,0)))&gt;0,MIN(4,SUMIFS(CriteriTecnici!$O:$O,CriteriTecnici!$Q:$Q,$A190&amp;"|"&amp;$C190,CriteriTecnici!$E:$E,"E")*(4/SUMPRODUCT(MAX((CriteriTecnici!$C$5:$C$6173=$C190)*(CriteriTecnici!$E$5:$E$6173="E")*(CriteriTecnici!$T$5:$T$6173="SI")*IFERROR(CriteriTecnici!$O$5:$O$6173*1,0))))),0)+IF(SUMPRODUCT(MAX((CriteriTecnici!$C$5:$C$6173=$C190)*(CriteriTecnici!$E$5:$E$6173="F")*(CriteriTecnici!$T$5:$T$6173="SI")*IFERROR(CriteriTecnici!$O$5:$O$6173*1,0)))&gt;0,MIN(14,SUMIFS(CriteriTecnici!$O:$O,CriteriTecnici!$Q:$Q,$A190&amp;"|"&amp;$C190,CriteriTecnici!$E:$E,"F")*(14/SUMPRODUCT(MAX((CriteriTecnici!$C$5:$C$6173=$C190)*(CriteriTecnici!$E$5:$E$6173="F")*(CriteriTecnici!$T$5:$T$6173="SI")*IFERROR(CriteriTecnici!$O$5:$O$6173*1,0))))),0)+IF(SUMPRODUCT(MAX((CriteriTecnici!$C$5:$C$6173=$C190)*(CriteriTecnici!$E$5:$E$6173="G")*(CriteriTecnici!$T$5:$T$6173="SI")*IFERROR(CriteriTecnici!$O$5:$O$6173*1,0)))&gt;0,MIN(7,SUMIFS(CriteriTecnici!$O:$O,CriteriTecnici!$Q:$Q,$A190&amp;"|"&amp;$C190,CriteriTecnici!$E:$E,"G")*(7/SUMPRODUCT(MAX((CriteriTecnici!$C$5:$C$6173=$C190)*(CriteriTecnici!$E$5:$E$6173="G")*(CriteriTecnici!$T$5:$T$6173="SI")*IFERROR(CriteriTecnici!$O$5:$O$6173*1,0))))),0),4),0),IFERROR($N190*1,0)),0))</f>
        <v/>
      </c>
      <c r="F190" s="56">
        <f>IF(Compila!$A200="","",Compila!$E200)</f>
        <v/>
      </c>
      <c r="G190" s="57">
        <f>IF($A190="","",IF(IFERROR(VALUE($D190),0)&lt;&gt;1,"NO",IF(IFERROR(VALUE($O190),0)&gt;=Parametri!$B$2,"SI","NO")))</f>
        <v/>
      </c>
      <c r="H190" s="57">
        <f>IF($G190="SI",SUMPRODUCT(MAX(($C$2:$C$200=$C190)*(IFERROR($D$2:$D$200*1,0)=1)*(IFERROR($O$2:$O$200*1,0)&gt;=Parametri!$B$2)*IFERROR($F$2:$F$200*1,0))),0)</f>
        <v/>
      </c>
      <c r="I190" s="57">
        <f>IF($G190="SI",IF($H190&gt;0,30*(IFERROR($F190*1,0)/$H190),0),0)</f>
        <v/>
      </c>
      <c r="J190" s="57">
        <f>IF($A190="",0,IF($G190="SI",ROUND(IFERROR($E190*1,0)+$I190,4),ROUND(IFERROR($E190*1,0),4)))</f>
        <v/>
      </c>
      <c r="K190" s="57">
        <f>IF($A190="","",IF(IFERROR(VALUE($D190),0)&lt;&gt;1,"Non attiva",IF(IFERROR(VALUE($O190),0)&lt;Parametri!$B$2,"Sotto soglia","")))</f>
        <v/>
      </c>
      <c r="L190" s="57">
        <f>IF($A190="","",$A190&amp;"|"&amp;$C190)</f>
        <v/>
      </c>
      <c r="M190" s="57">
        <f>IF($A190="","",$C190&amp;"|"&amp;TEXT($J190,"0.0000"))</f>
        <v/>
      </c>
      <c r="N190" s="57" t="n"/>
      <c r="O190" s="57">
        <f>IF($A190="",0,IFERROR(IF(SUMIFS(CriteriTecnici!$O:$O,CriteriTecnici!$Q:$Q,$A190&amp;"|"&amp;$C190)&gt;0,SUMIFS(CriteriTecnici!$O:$O,CriteriTecnici!$Q:$Q,$A190&amp;"|"&amp;$C190,CriteriTecnici!$F:$F,"Q")+SUMIFS(CriteriTecnici!$O:$O,CriteriTecnici!$Q:$Q,$A190&amp;"|"&amp;$C190,CriteriTecnici!$F:$F,"T"),IFERROR($N190*1,0)),0))</f>
        <v/>
      </c>
      <c r="P190" s="57">
        <f>IF($A190="","",IF(SUMIFS(CriteriTecnici!$O:$O,CriteriTecnici!$Q:$Q,$A190&amp;"|"&amp;$C190)&gt;0,"Criteri A-G","Aggregato"))</f>
        <v/>
      </c>
    </row>
    <row r="191">
      <c r="A191" s="56">
        <f>IF(Compila!$A201="","",Compila!$A201)</f>
        <v/>
      </c>
      <c r="B191" s="56">
        <f>IF(Compila!$A201="","",Compila!$B201)</f>
        <v/>
      </c>
      <c r="C191" s="56">
        <f>IF(Compila!$A201="","",Compila!$C201)</f>
        <v/>
      </c>
      <c r="D191" s="56">
        <f>IF(Compila!$A201="","",Compila!$D201)</f>
        <v/>
      </c>
      <c r="E191" s="57">
        <f>IF($A191="",0,IFERROR(IF(SUMIFS(CriteriTecnici!$O:$O,CriteriTecnici!$Q:$Q,$A191&amp;"|"&amp;$C191)&gt;0,IF($G191="SI",ROUND(IF(SUMPRODUCT(MAX((CriteriTecnici!$C$5:$C$6173=$C191)*(CriteriTecnici!$E$5:$E$6173="A")*(CriteriTecnici!$T$5:$T$6173="SI")*IFERROR(CriteriTecnici!$O$5:$O$6173*1,0)))&gt;0,MIN(7,SUMIFS(CriteriTecnici!$O:$O,CriteriTecnici!$Q:$Q,$A191&amp;"|"&amp;$C191,CriteriTecnici!$E:$E,"A")*(7/SUMPRODUCT(MAX((CriteriTecnici!$C$5:$C$6173=$C191)*(CriteriTecnici!$E$5:$E$6173="A")*(CriteriTecnici!$T$5:$T$6173="SI")*IFERROR(CriteriTecnici!$O$5:$O$6173*1,0))))),0)+IF(SUMPRODUCT(MAX((CriteriTecnici!$C$5:$C$6173=$C191)*(CriteriTecnici!$E$5:$E$6173="B")*(CriteriTecnici!$T$5:$T$6173="SI")*IFERROR(CriteriTecnici!$O$5:$O$6173*1,0)))&gt;0,MIN(14,SUMIFS(CriteriTecnici!$O:$O,CriteriTecnici!$Q:$Q,$A191&amp;"|"&amp;$C191,CriteriTecnici!$E:$E,"B")*(14/SUMPRODUCT(MAX((CriteriTecnici!$C$5:$C$6173=$C191)*(CriteriTecnici!$E$5:$E$6173="B")*(CriteriTecnici!$T$5:$T$6173="SI")*IFERROR(CriteriTecnici!$O$5:$O$6173*1,0))))),0)+IF(SUMPRODUCT(MAX((CriteriTecnici!$C$5:$C$6173=$C191)*(CriteriTecnici!$E$5:$E$6173="C")*(CriteriTecnici!$T$5:$T$6173="SI")*IFERROR(CriteriTecnici!$O$5:$O$6173*1,0)))&gt;0,MIN(14,SUMIFS(CriteriTecnici!$O:$O,CriteriTecnici!$Q:$Q,$A191&amp;"|"&amp;$C191,CriteriTecnici!$E:$E,"C")*(14/SUMPRODUCT(MAX((CriteriTecnici!$C$5:$C$6173=$C191)*(CriteriTecnici!$E$5:$E$6173="C")*(CriteriTecnici!$T$5:$T$6173="SI")*IFERROR(CriteriTecnici!$O$5:$O$6173*1,0))))),0)+IF(SUMPRODUCT(MAX((CriteriTecnici!$C$5:$C$6173=$C191)*(CriteriTecnici!$E$5:$E$6173="D")*(CriteriTecnici!$T$5:$T$6173="SI")*IFERROR(CriteriTecnici!$O$5:$O$6173*1,0)))&gt;0,MIN(10,SUMIFS(CriteriTecnici!$O:$O,CriteriTecnici!$Q:$Q,$A191&amp;"|"&amp;$C191,CriteriTecnici!$E:$E,"D")*(10/SUMPRODUCT(MAX((CriteriTecnici!$C$5:$C$6173=$C191)*(CriteriTecnici!$E$5:$E$6173="D")*(CriteriTecnici!$T$5:$T$6173="SI")*IFERROR(CriteriTecnici!$O$5:$O$6173*1,0))))),0)+IF(SUMPRODUCT(MAX((CriteriTecnici!$C$5:$C$6173=$C191)*(CriteriTecnici!$E$5:$E$6173="E")*(CriteriTecnici!$T$5:$T$6173="SI")*IFERROR(CriteriTecnici!$O$5:$O$6173*1,0)))&gt;0,MIN(4,SUMIFS(CriteriTecnici!$O:$O,CriteriTecnici!$Q:$Q,$A191&amp;"|"&amp;$C191,CriteriTecnici!$E:$E,"E")*(4/SUMPRODUCT(MAX((CriteriTecnici!$C$5:$C$6173=$C191)*(CriteriTecnici!$E$5:$E$6173="E")*(CriteriTecnici!$T$5:$T$6173="SI")*IFERROR(CriteriTecnici!$O$5:$O$6173*1,0))))),0)+IF(SUMPRODUCT(MAX((CriteriTecnici!$C$5:$C$6173=$C191)*(CriteriTecnici!$E$5:$E$6173="F")*(CriteriTecnici!$T$5:$T$6173="SI")*IFERROR(CriteriTecnici!$O$5:$O$6173*1,0)))&gt;0,MIN(14,SUMIFS(CriteriTecnici!$O:$O,CriteriTecnici!$Q:$Q,$A191&amp;"|"&amp;$C191,CriteriTecnici!$E:$E,"F")*(14/SUMPRODUCT(MAX((CriteriTecnici!$C$5:$C$6173=$C191)*(CriteriTecnici!$E$5:$E$6173="F")*(CriteriTecnici!$T$5:$T$6173="SI")*IFERROR(CriteriTecnici!$O$5:$O$6173*1,0))))),0)+IF(SUMPRODUCT(MAX((CriteriTecnici!$C$5:$C$6173=$C191)*(CriteriTecnici!$E$5:$E$6173="G")*(CriteriTecnici!$T$5:$T$6173="SI")*IFERROR(CriteriTecnici!$O$5:$O$6173*1,0)))&gt;0,MIN(7,SUMIFS(CriteriTecnici!$O:$O,CriteriTecnici!$Q:$Q,$A191&amp;"|"&amp;$C191,CriteriTecnici!$E:$E,"G")*(7/SUMPRODUCT(MAX((CriteriTecnici!$C$5:$C$6173=$C191)*(CriteriTecnici!$E$5:$E$6173="G")*(CriteriTecnici!$T$5:$T$6173="SI")*IFERROR(CriteriTecnici!$O$5:$O$6173*1,0))))),0),4),0),IFERROR($N191*1,0)),0))</f>
        <v/>
      </c>
      <c r="F191" s="56">
        <f>IF(Compila!$A201="","",Compila!$E201)</f>
        <v/>
      </c>
      <c r="G191" s="57">
        <f>IF($A191="","",IF(IFERROR(VALUE($D191),0)&lt;&gt;1,"NO",IF(IFERROR(VALUE($O191),0)&gt;=Parametri!$B$2,"SI","NO")))</f>
        <v/>
      </c>
      <c r="H191" s="57">
        <f>IF($G191="SI",SUMPRODUCT(MAX(($C$2:$C$200=$C191)*(IFERROR($D$2:$D$200*1,0)=1)*(IFERROR($O$2:$O$200*1,0)&gt;=Parametri!$B$2)*IFERROR($F$2:$F$200*1,0))),0)</f>
        <v/>
      </c>
      <c r="I191" s="57">
        <f>IF($G191="SI",IF($H191&gt;0,30*(IFERROR($F191*1,0)/$H191),0),0)</f>
        <v/>
      </c>
      <c r="J191" s="57">
        <f>IF($A191="",0,IF($G191="SI",ROUND(IFERROR($E191*1,0)+$I191,4),ROUND(IFERROR($E191*1,0),4)))</f>
        <v/>
      </c>
      <c r="K191" s="57">
        <f>IF($A191="","",IF(IFERROR(VALUE($D191),0)&lt;&gt;1,"Non attiva",IF(IFERROR(VALUE($O191),0)&lt;Parametri!$B$2,"Sotto soglia","")))</f>
        <v/>
      </c>
      <c r="L191" s="57">
        <f>IF($A191="","",$A191&amp;"|"&amp;$C191)</f>
        <v/>
      </c>
      <c r="M191" s="57">
        <f>IF($A191="","",$C191&amp;"|"&amp;TEXT($J191,"0.0000"))</f>
        <v/>
      </c>
      <c r="N191" s="57" t="n"/>
      <c r="O191" s="57">
        <f>IF($A191="",0,IFERROR(IF(SUMIFS(CriteriTecnici!$O:$O,CriteriTecnici!$Q:$Q,$A191&amp;"|"&amp;$C191)&gt;0,SUMIFS(CriteriTecnici!$O:$O,CriteriTecnici!$Q:$Q,$A191&amp;"|"&amp;$C191,CriteriTecnici!$F:$F,"Q")+SUMIFS(CriteriTecnici!$O:$O,CriteriTecnici!$Q:$Q,$A191&amp;"|"&amp;$C191,CriteriTecnici!$F:$F,"T"),IFERROR($N191*1,0)),0))</f>
        <v/>
      </c>
      <c r="P191" s="57">
        <f>IF($A191="","",IF(SUMIFS(CriteriTecnici!$O:$O,CriteriTecnici!$Q:$Q,$A191&amp;"|"&amp;$C191)&gt;0,"Criteri A-G","Aggregato"))</f>
        <v/>
      </c>
    </row>
    <row r="192">
      <c r="A192" s="56">
        <f>IF(Compila!$A202="","",Compila!$A202)</f>
        <v/>
      </c>
      <c r="B192" s="56">
        <f>IF(Compila!$A202="","",Compila!$B202)</f>
        <v/>
      </c>
      <c r="C192" s="56">
        <f>IF(Compila!$A202="","",Compila!$C202)</f>
        <v/>
      </c>
      <c r="D192" s="56">
        <f>IF(Compila!$A202="","",Compila!$D202)</f>
        <v/>
      </c>
      <c r="E192" s="57">
        <f>IF($A192="",0,IFERROR(IF(SUMIFS(CriteriTecnici!$O:$O,CriteriTecnici!$Q:$Q,$A192&amp;"|"&amp;$C192)&gt;0,IF($G192="SI",ROUND(IF(SUMPRODUCT(MAX((CriteriTecnici!$C$5:$C$6173=$C192)*(CriteriTecnici!$E$5:$E$6173="A")*(CriteriTecnici!$T$5:$T$6173="SI")*IFERROR(CriteriTecnici!$O$5:$O$6173*1,0)))&gt;0,MIN(7,SUMIFS(CriteriTecnici!$O:$O,CriteriTecnici!$Q:$Q,$A192&amp;"|"&amp;$C192,CriteriTecnici!$E:$E,"A")*(7/SUMPRODUCT(MAX((CriteriTecnici!$C$5:$C$6173=$C192)*(CriteriTecnici!$E$5:$E$6173="A")*(CriteriTecnici!$T$5:$T$6173="SI")*IFERROR(CriteriTecnici!$O$5:$O$6173*1,0))))),0)+IF(SUMPRODUCT(MAX((CriteriTecnici!$C$5:$C$6173=$C192)*(CriteriTecnici!$E$5:$E$6173="B")*(CriteriTecnici!$T$5:$T$6173="SI")*IFERROR(CriteriTecnici!$O$5:$O$6173*1,0)))&gt;0,MIN(14,SUMIFS(CriteriTecnici!$O:$O,CriteriTecnici!$Q:$Q,$A192&amp;"|"&amp;$C192,CriteriTecnici!$E:$E,"B")*(14/SUMPRODUCT(MAX((CriteriTecnici!$C$5:$C$6173=$C192)*(CriteriTecnici!$E$5:$E$6173="B")*(CriteriTecnici!$T$5:$T$6173="SI")*IFERROR(CriteriTecnici!$O$5:$O$6173*1,0))))),0)+IF(SUMPRODUCT(MAX((CriteriTecnici!$C$5:$C$6173=$C192)*(CriteriTecnici!$E$5:$E$6173="C")*(CriteriTecnici!$T$5:$T$6173="SI")*IFERROR(CriteriTecnici!$O$5:$O$6173*1,0)))&gt;0,MIN(14,SUMIFS(CriteriTecnici!$O:$O,CriteriTecnici!$Q:$Q,$A192&amp;"|"&amp;$C192,CriteriTecnici!$E:$E,"C")*(14/SUMPRODUCT(MAX((CriteriTecnici!$C$5:$C$6173=$C192)*(CriteriTecnici!$E$5:$E$6173="C")*(CriteriTecnici!$T$5:$T$6173="SI")*IFERROR(CriteriTecnici!$O$5:$O$6173*1,0))))),0)+IF(SUMPRODUCT(MAX((CriteriTecnici!$C$5:$C$6173=$C192)*(CriteriTecnici!$E$5:$E$6173="D")*(CriteriTecnici!$T$5:$T$6173="SI")*IFERROR(CriteriTecnici!$O$5:$O$6173*1,0)))&gt;0,MIN(10,SUMIFS(CriteriTecnici!$O:$O,CriteriTecnici!$Q:$Q,$A192&amp;"|"&amp;$C192,CriteriTecnici!$E:$E,"D")*(10/SUMPRODUCT(MAX((CriteriTecnici!$C$5:$C$6173=$C192)*(CriteriTecnici!$E$5:$E$6173="D")*(CriteriTecnici!$T$5:$T$6173="SI")*IFERROR(CriteriTecnici!$O$5:$O$6173*1,0))))),0)+IF(SUMPRODUCT(MAX((CriteriTecnici!$C$5:$C$6173=$C192)*(CriteriTecnici!$E$5:$E$6173="E")*(CriteriTecnici!$T$5:$T$6173="SI")*IFERROR(CriteriTecnici!$O$5:$O$6173*1,0)))&gt;0,MIN(4,SUMIFS(CriteriTecnici!$O:$O,CriteriTecnici!$Q:$Q,$A192&amp;"|"&amp;$C192,CriteriTecnici!$E:$E,"E")*(4/SUMPRODUCT(MAX((CriteriTecnici!$C$5:$C$6173=$C192)*(CriteriTecnici!$E$5:$E$6173="E")*(CriteriTecnici!$T$5:$T$6173="SI")*IFERROR(CriteriTecnici!$O$5:$O$6173*1,0))))),0)+IF(SUMPRODUCT(MAX((CriteriTecnici!$C$5:$C$6173=$C192)*(CriteriTecnici!$E$5:$E$6173="F")*(CriteriTecnici!$T$5:$T$6173="SI")*IFERROR(CriteriTecnici!$O$5:$O$6173*1,0)))&gt;0,MIN(14,SUMIFS(CriteriTecnici!$O:$O,CriteriTecnici!$Q:$Q,$A192&amp;"|"&amp;$C192,CriteriTecnici!$E:$E,"F")*(14/SUMPRODUCT(MAX((CriteriTecnici!$C$5:$C$6173=$C192)*(CriteriTecnici!$E$5:$E$6173="F")*(CriteriTecnici!$T$5:$T$6173="SI")*IFERROR(CriteriTecnici!$O$5:$O$6173*1,0))))),0)+IF(SUMPRODUCT(MAX((CriteriTecnici!$C$5:$C$6173=$C192)*(CriteriTecnici!$E$5:$E$6173="G")*(CriteriTecnici!$T$5:$T$6173="SI")*IFERROR(CriteriTecnici!$O$5:$O$6173*1,0)))&gt;0,MIN(7,SUMIFS(CriteriTecnici!$O:$O,CriteriTecnici!$Q:$Q,$A192&amp;"|"&amp;$C192,CriteriTecnici!$E:$E,"G")*(7/SUMPRODUCT(MAX((CriteriTecnici!$C$5:$C$6173=$C192)*(CriteriTecnici!$E$5:$E$6173="G")*(CriteriTecnici!$T$5:$T$6173="SI")*IFERROR(CriteriTecnici!$O$5:$O$6173*1,0))))),0),4),0),IFERROR($N192*1,0)),0))</f>
        <v/>
      </c>
      <c r="F192" s="56">
        <f>IF(Compila!$A202="","",Compila!$E202)</f>
        <v/>
      </c>
      <c r="G192" s="57">
        <f>IF($A192="","",IF(IFERROR(VALUE($D192),0)&lt;&gt;1,"NO",IF(IFERROR(VALUE($O192),0)&gt;=Parametri!$B$2,"SI","NO")))</f>
        <v/>
      </c>
      <c r="H192" s="57">
        <f>IF($G192="SI",SUMPRODUCT(MAX(($C$2:$C$200=$C192)*(IFERROR($D$2:$D$200*1,0)=1)*(IFERROR($O$2:$O$200*1,0)&gt;=Parametri!$B$2)*IFERROR($F$2:$F$200*1,0))),0)</f>
        <v/>
      </c>
      <c r="I192" s="57">
        <f>IF($G192="SI",IF($H192&gt;0,30*(IFERROR($F192*1,0)/$H192),0),0)</f>
        <v/>
      </c>
      <c r="J192" s="57">
        <f>IF($A192="",0,IF($G192="SI",ROUND(IFERROR($E192*1,0)+$I192,4),ROUND(IFERROR($E192*1,0),4)))</f>
        <v/>
      </c>
      <c r="K192" s="57">
        <f>IF($A192="","",IF(IFERROR(VALUE($D192),0)&lt;&gt;1,"Non attiva",IF(IFERROR(VALUE($O192),0)&lt;Parametri!$B$2,"Sotto soglia","")))</f>
        <v/>
      </c>
      <c r="L192" s="57">
        <f>IF($A192="","",$A192&amp;"|"&amp;$C192)</f>
        <v/>
      </c>
      <c r="M192" s="57">
        <f>IF($A192="","",$C192&amp;"|"&amp;TEXT($J192,"0.0000"))</f>
        <v/>
      </c>
      <c r="N192" s="57" t="n"/>
      <c r="O192" s="57">
        <f>IF($A192="",0,IFERROR(IF(SUMIFS(CriteriTecnici!$O:$O,CriteriTecnici!$Q:$Q,$A192&amp;"|"&amp;$C192)&gt;0,SUMIFS(CriteriTecnici!$O:$O,CriteriTecnici!$Q:$Q,$A192&amp;"|"&amp;$C192,CriteriTecnici!$F:$F,"Q")+SUMIFS(CriteriTecnici!$O:$O,CriteriTecnici!$Q:$Q,$A192&amp;"|"&amp;$C192,CriteriTecnici!$F:$F,"T"),IFERROR($N192*1,0)),0))</f>
        <v/>
      </c>
      <c r="P192" s="57">
        <f>IF($A192="","",IF(SUMIFS(CriteriTecnici!$O:$O,CriteriTecnici!$Q:$Q,$A192&amp;"|"&amp;$C192)&gt;0,"Criteri A-G","Aggregato"))</f>
        <v/>
      </c>
    </row>
    <row r="193">
      <c r="A193" s="56">
        <f>IF(Compila!$A203="","",Compila!$A203)</f>
        <v/>
      </c>
      <c r="B193" s="56">
        <f>IF(Compila!$A203="","",Compila!$B203)</f>
        <v/>
      </c>
      <c r="C193" s="56">
        <f>IF(Compila!$A203="","",Compila!$C203)</f>
        <v/>
      </c>
      <c r="D193" s="56">
        <f>IF(Compila!$A203="","",Compila!$D203)</f>
        <v/>
      </c>
      <c r="E193" s="57">
        <f>IF($A193="",0,IFERROR(IF(SUMIFS(CriteriTecnici!$O:$O,CriteriTecnici!$Q:$Q,$A193&amp;"|"&amp;$C193)&gt;0,IF($G193="SI",ROUND(IF(SUMPRODUCT(MAX((CriteriTecnici!$C$5:$C$6173=$C193)*(CriteriTecnici!$E$5:$E$6173="A")*(CriteriTecnici!$T$5:$T$6173="SI")*IFERROR(CriteriTecnici!$O$5:$O$6173*1,0)))&gt;0,MIN(7,SUMIFS(CriteriTecnici!$O:$O,CriteriTecnici!$Q:$Q,$A193&amp;"|"&amp;$C193,CriteriTecnici!$E:$E,"A")*(7/SUMPRODUCT(MAX((CriteriTecnici!$C$5:$C$6173=$C193)*(CriteriTecnici!$E$5:$E$6173="A")*(CriteriTecnici!$T$5:$T$6173="SI")*IFERROR(CriteriTecnici!$O$5:$O$6173*1,0))))),0)+IF(SUMPRODUCT(MAX((CriteriTecnici!$C$5:$C$6173=$C193)*(CriteriTecnici!$E$5:$E$6173="B")*(CriteriTecnici!$T$5:$T$6173="SI")*IFERROR(CriteriTecnici!$O$5:$O$6173*1,0)))&gt;0,MIN(14,SUMIFS(CriteriTecnici!$O:$O,CriteriTecnici!$Q:$Q,$A193&amp;"|"&amp;$C193,CriteriTecnici!$E:$E,"B")*(14/SUMPRODUCT(MAX((CriteriTecnici!$C$5:$C$6173=$C193)*(CriteriTecnici!$E$5:$E$6173="B")*(CriteriTecnici!$T$5:$T$6173="SI")*IFERROR(CriteriTecnici!$O$5:$O$6173*1,0))))),0)+IF(SUMPRODUCT(MAX((CriteriTecnici!$C$5:$C$6173=$C193)*(CriteriTecnici!$E$5:$E$6173="C")*(CriteriTecnici!$T$5:$T$6173="SI")*IFERROR(CriteriTecnici!$O$5:$O$6173*1,0)))&gt;0,MIN(14,SUMIFS(CriteriTecnici!$O:$O,CriteriTecnici!$Q:$Q,$A193&amp;"|"&amp;$C193,CriteriTecnici!$E:$E,"C")*(14/SUMPRODUCT(MAX((CriteriTecnici!$C$5:$C$6173=$C193)*(CriteriTecnici!$E$5:$E$6173="C")*(CriteriTecnici!$T$5:$T$6173="SI")*IFERROR(CriteriTecnici!$O$5:$O$6173*1,0))))),0)+IF(SUMPRODUCT(MAX((CriteriTecnici!$C$5:$C$6173=$C193)*(CriteriTecnici!$E$5:$E$6173="D")*(CriteriTecnici!$T$5:$T$6173="SI")*IFERROR(CriteriTecnici!$O$5:$O$6173*1,0)))&gt;0,MIN(10,SUMIFS(CriteriTecnici!$O:$O,CriteriTecnici!$Q:$Q,$A193&amp;"|"&amp;$C193,CriteriTecnici!$E:$E,"D")*(10/SUMPRODUCT(MAX((CriteriTecnici!$C$5:$C$6173=$C193)*(CriteriTecnici!$E$5:$E$6173="D")*(CriteriTecnici!$T$5:$T$6173="SI")*IFERROR(CriteriTecnici!$O$5:$O$6173*1,0))))),0)+IF(SUMPRODUCT(MAX((CriteriTecnici!$C$5:$C$6173=$C193)*(CriteriTecnici!$E$5:$E$6173="E")*(CriteriTecnici!$T$5:$T$6173="SI")*IFERROR(CriteriTecnici!$O$5:$O$6173*1,0)))&gt;0,MIN(4,SUMIFS(CriteriTecnici!$O:$O,CriteriTecnici!$Q:$Q,$A193&amp;"|"&amp;$C193,CriteriTecnici!$E:$E,"E")*(4/SUMPRODUCT(MAX((CriteriTecnici!$C$5:$C$6173=$C193)*(CriteriTecnici!$E$5:$E$6173="E")*(CriteriTecnici!$T$5:$T$6173="SI")*IFERROR(CriteriTecnici!$O$5:$O$6173*1,0))))),0)+IF(SUMPRODUCT(MAX((CriteriTecnici!$C$5:$C$6173=$C193)*(CriteriTecnici!$E$5:$E$6173="F")*(CriteriTecnici!$T$5:$T$6173="SI")*IFERROR(CriteriTecnici!$O$5:$O$6173*1,0)))&gt;0,MIN(14,SUMIFS(CriteriTecnici!$O:$O,CriteriTecnici!$Q:$Q,$A193&amp;"|"&amp;$C193,CriteriTecnici!$E:$E,"F")*(14/SUMPRODUCT(MAX((CriteriTecnici!$C$5:$C$6173=$C193)*(CriteriTecnici!$E$5:$E$6173="F")*(CriteriTecnici!$T$5:$T$6173="SI")*IFERROR(CriteriTecnici!$O$5:$O$6173*1,0))))),0)+IF(SUMPRODUCT(MAX((CriteriTecnici!$C$5:$C$6173=$C193)*(CriteriTecnici!$E$5:$E$6173="G")*(CriteriTecnici!$T$5:$T$6173="SI")*IFERROR(CriteriTecnici!$O$5:$O$6173*1,0)))&gt;0,MIN(7,SUMIFS(CriteriTecnici!$O:$O,CriteriTecnici!$Q:$Q,$A193&amp;"|"&amp;$C193,CriteriTecnici!$E:$E,"G")*(7/SUMPRODUCT(MAX((CriteriTecnici!$C$5:$C$6173=$C193)*(CriteriTecnici!$E$5:$E$6173="G")*(CriteriTecnici!$T$5:$T$6173="SI")*IFERROR(CriteriTecnici!$O$5:$O$6173*1,0))))),0),4),0),IFERROR($N193*1,0)),0))</f>
        <v/>
      </c>
      <c r="F193" s="56">
        <f>IF(Compila!$A203="","",Compila!$E203)</f>
        <v/>
      </c>
      <c r="G193" s="57">
        <f>IF($A193="","",IF(IFERROR(VALUE($D193),0)&lt;&gt;1,"NO",IF(IFERROR(VALUE($O193),0)&gt;=Parametri!$B$2,"SI","NO")))</f>
        <v/>
      </c>
      <c r="H193" s="57">
        <f>IF($G193="SI",SUMPRODUCT(MAX(($C$2:$C$200=$C193)*(IFERROR($D$2:$D$200*1,0)=1)*(IFERROR($O$2:$O$200*1,0)&gt;=Parametri!$B$2)*IFERROR($F$2:$F$200*1,0))),0)</f>
        <v/>
      </c>
      <c r="I193" s="57">
        <f>IF($G193="SI",IF($H193&gt;0,30*(IFERROR($F193*1,0)/$H193),0),0)</f>
        <v/>
      </c>
      <c r="J193" s="57">
        <f>IF($A193="",0,IF($G193="SI",ROUND(IFERROR($E193*1,0)+$I193,4),ROUND(IFERROR($E193*1,0),4)))</f>
        <v/>
      </c>
      <c r="K193" s="57">
        <f>IF($A193="","",IF(IFERROR(VALUE($D193),0)&lt;&gt;1,"Non attiva",IF(IFERROR(VALUE($O193),0)&lt;Parametri!$B$2,"Sotto soglia","")))</f>
        <v/>
      </c>
      <c r="L193" s="57">
        <f>IF($A193="","",$A193&amp;"|"&amp;$C193)</f>
        <v/>
      </c>
      <c r="M193" s="57">
        <f>IF($A193="","",$C193&amp;"|"&amp;TEXT($J193,"0.0000"))</f>
        <v/>
      </c>
      <c r="N193" s="57" t="n"/>
      <c r="O193" s="57">
        <f>IF($A193="",0,IFERROR(IF(SUMIFS(CriteriTecnici!$O:$O,CriteriTecnici!$Q:$Q,$A193&amp;"|"&amp;$C193)&gt;0,SUMIFS(CriteriTecnici!$O:$O,CriteriTecnici!$Q:$Q,$A193&amp;"|"&amp;$C193,CriteriTecnici!$F:$F,"Q")+SUMIFS(CriteriTecnici!$O:$O,CriteriTecnici!$Q:$Q,$A193&amp;"|"&amp;$C193,CriteriTecnici!$F:$F,"T"),IFERROR($N193*1,0)),0))</f>
        <v/>
      </c>
      <c r="P193" s="57">
        <f>IF($A193="","",IF(SUMIFS(CriteriTecnici!$O:$O,CriteriTecnici!$Q:$Q,$A193&amp;"|"&amp;$C193)&gt;0,"Criteri A-G","Aggregato"))</f>
        <v/>
      </c>
    </row>
    <row r="194">
      <c r="A194" s="56">
        <f>IF(Compila!$A204="","",Compila!$A204)</f>
        <v/>
      </c>
      <c r="B194" s="56">
        <f>IF(Compila!$A204="","",Compila!$B204)</f>
        <v/>
      </c>
      <c r="C194" s="56">
        <f>IF(Compila!$A204="","",Compila!$C204)</f>
        <v/>
      </c>
      <c r="D194" s="56">
        <f>IF(Compila!$A204="","",Compila!$D204)</f>
        <v/>
      </c>
      <c r="E194" s="57">
        <f>IF($A194="",0,IFERROR(IF(SUMIFS(CriteriTecnici!$O:$O,CriteriTecnici!$Q:$Q,$A194&amp;"|"&amp;$C194)&gt;0,IF($G194="SI",ROUND(IF(SUMPRODUCT(MAX((CriteriTecnici!$C$5:$C$6173=$C194)*(CriteriTecnici!$E$5:$E$6173="A")*(CriteriTecnici!$T$5:$T$6173="SI")*IFERROR(CriteriTecnici!$O$5:$O$6173*1,0)))&gt;0,MIN(7,SUMIFS(CriteriTecnici!$O:$O,CriteriTecnici!$Q:$Q,$A194&amp;"|"&amp;$C194,CriteriTecnici!$E:$E,"A")*(7/SUMPRODUCT(MAX((CriteriTecnici!$C$5:$C$6173=$C194)*(CriteriTecnici!$E$5:$E$6173="A")*(CriteriTecnici!$T$5:$T$6173="SI")*IFERROR(CriteriTecnici!$O$5:$O$6173*1,0))))),0)+IF(SUMPRODUCT(MAX((CriteriTecnici!$C$5:$C$6173=$C194)*(CriteriTecnici!$E$5:$E$6173="B")*(CriteriTecnici!$T$5:$T$6173="SI")*IFERROR(CriteriTecnici!$O$5:$O$6173*1,0)))&gt;0,MIN(14,SUMIFS(CriteriTecnici!$O:$O,CriteriTecnici!$Q:$Q,$A194&amp;"|"&amp;$C194,CriteriTecnici!$E:$E,"B")*(14/SUMPRODUCT(MAX((CriteriTecnici!$C$5:$C$6173=$C194)*(CriteriTecnici!$E$5:$E$6173="B")*(CriteriTecnici!$T$5:$T$6173="SI")*IFERROR(CriteriTecnici!$O$5:$O$6173*1,0))))),0)+IF(SUMPRODUCT(MAX((CriteriTecnici!$C$5:$C$6173=$C194)*(CriteriTecnici!$E$5:$E$6173="C")*(CriteriTecnici!$T$5:$T$6173="SI")*IFERROR(CriteriTecnici!$O$5:$O$6173*1,0)))&gt;0,MIN(14,SUMIFS(CriteriTecnici!$O:$O,CriteriTecnici!$Q:$Q,$A194&amp;"|"&amp;$C194,CriteriTecnici!$E:$E,"C")*(14/SUMPRODUCT(MAX((CriteriTecnici!$C$5:$C$6173=$C194)*(CriteriTecnici!$E$5:$E$6173="C")*(CriteriTecnici!$T$5:$T$6173="SI")*IFERROR(CriteriTecnici!$O$5:$O$6173*1,0))))),0)+IF(SUMPRODUCT(MAX((CriteriTecnici!$C$5:$C$6173=$C194)*(CriteriTecnici!$E$5:$E$6173="D")*(CriteriTecnici!$T$5:$T$6173="SI")*IFERROR(CriteriTecnici!$O$5:$O$6173*1,0)))&gt;0,MIN(10,SUMIFS(CriteriTecnici!$O:$O,CriteriTecnici!$Q:$Q,$A194&amp;"|"&amp;$C194,CriteriTecnici!$E:$E,"D")*(10/SUMPRODUCT(MAX((CriteriTecnici!$C$5:$C$6173=$C194)*(CriteriTecnici!$E$5:$E$6173="D")*(CriteriTecnici!$T$5:$T$6173="SI")*IFERROR(CriteriTecnici!$O$5:$O$6173*1,0))))),0)+IF(SUMPRODUCT(MAX((CriteriTecnici!$C$5:$C$6173=$C194)*(CriteriTecnici!$E$5:$E$6173="E")*(CriteriTecnici!$T$5:$T$6173="SI")*IFERROR(CriteriTecnici!$O$5:$O$6173*1,0)))&gt;0,MIN(4,SUMIFS(CriteriTecnici!$O:$O,CriteriTecnici!$Q:$Q,$A194&amp;"|"&amp;$C194,CriteriTecnici!$E:$E,"E")*(4/SUMPRODUCT(MAX((CriteriTecnici!$C$5:$C$6173=$C194)*(CriteriTecnici!$E$5:$E$6173="E")*(CriteriTecnici!$T$5:$T$6173="SI")*IFERROR(CriteriTecnici!$O$5:$O$6173*1,0))))),0)+IF(SUMPRODUCT(MAX((CriteriTecnici!$C$5:$C$6173=$C194)*(CriteriTecnici!$E$5:$E$6173="F")*(CriteriTecnici!$T$5:$T$6173="SI")*IFERROR(CriteriTecnici!$O$5:$O$6173*1,0)))&gt;0,MIN(14,SUMIFS(CriteriTecnici!$O:$O,CriteriTecnici!$Q:$Q,$A194&amp;"|"&amp;$C194,CriteriTecnici!$E:$E,"F")*(14/SUMPRODUCT(MAX((CriteriTecnici!$C$5:$C$6173=$C194)*(CriteriTecnici!$E$5:$E$6173="F")*(CriteriTecnici!$T$5:$T$6173="SI")*IFERROR(CriteriTecnici!$O$5:$O$6173*1,0))))),0)+IF(SUMPRODUCT(MAX((CriteriTecnici!$C$5:$C$6173=$C194)*(CriteriTecnici!$E$5:$E$6173="G")*(CriteriTecnici!$T$5:$T$6173="SI")*IFERROR(CriteriTecnici!$O$5:$O$6173*1,0)))&gt;0,MIN(7,SUMIFS(CriteriTecnici!$O:$O,CriteriTecnici!$Q:$Q,$A194&amp;"|"&amp;$C194,CriteriTecnici!$E:$E,"G")*(7/SUMPRODUCT(MAX((CriteriTecnici!$C$5:$C$6173=$C194)*(CriteriTecnici!$E$5:$E$6173="G")*(CriteriTecnici!$T$5:$T$6173="SI")*IFERROR(CriteriTecnici!$O$5:$O$6173*1,0))))),0),4),0),IFERROR($N194*1,0)),0))</f>
        <v/>
      </c>
      <c r="F194" s="56">
        <f>IF(Compila!$A204="","",Compila!$E204)</f>
        <v/>
      </c>
      <c r="G194" s="57">
        <f>IF($A194="","",IF(IFERROR(VALUE($D194),0)&lt;&gt;1,"NO",IF(IFERROR(VALUE($O194),0)&gt;=Parametri!$B$2,"SI","NO")))</f>
        <v/>
      </c>
      <c r="H194" s="57">
        <f>IF($G194="SI",SUMPRODUCT(MAX(($C$2:$C$200=$C194)*(IFERROR($D$2:$D$200*1,0)=1)*(IFERROR($O$2:$O$200*1,0)&gt;=Parametri!$B$2)*IFERROR($F$2:$F$200*1,0))),0)</f>
        <v/>
      </c>
      <c r="I194" s="57">
        <f>IF($G194="SI",IF($H194&gt;0,30*(IFERROR($F194*1,0)/$H194),0),0)</f>
        <v/>
      </c>
      <c r="J194" s="57">
        <f>IF($A194="",0,IF($G194="SI",ROUND(IFERROR($E194*1,0)+$I194,4),ROUND(IFERROR($E194*1,0),4)))</f>
        <v/>
      </c>
      <c r="K194" s="57">
        <f>IF($A194="","",IF(IFERROR(VALUE($D194),0)&lt;&gt;1,"Non attiva",IF(IFERROR(VALUE($O194),0)&lt;Parametri!$B$2,"Sotto soglia","")))</f>
        <v/>
      </c>
      <c r="L194" s="57">
        <f>IF($A194="","",$A194&amp;"|"&amp;$C194)</f>
        <v/>
      </c>
      <c r="M194" s="57">
        <f>IF($A194="","",$C194&amp;"|"&amp;TEXT($J194,"0.0000"))</f>
        <v/>
      </c>
      <c r="N194" s="57" t="n"/>
      <c r="O194" s="57">
        <f>IF($A194="",0,IFERROR(IF(SUMIFS(CriteriTecnici!$O:$O,CriteriTecnici!$Q:$Q,$A194&amp;"|"&amp;$C194)&gt;0,SUMIFS(CriteriTecnici!$O:$O,CriteriTecnici!$Q:$Q,$A194&amp;"|"&amp;$C194,CriteriTecnici!$F:$F,"Q")+SUMIFS(CriteriTecnici!$O:$O,CriteriTecnici!$Q:$Q,$A194&amp;"|"&amp;$C194,CriteriTecnici!$F:$F,"T"),IFERROR($N194*1,0)),0))</f>
        <v/>
      </c>
      <c r="P194" s="57">
        <f>IF($A194="","",IF(SUMIFS(CriteriTecnici!$O:$O,CriteriTecnici!$Q:$Q,$A194&amp;"|"&amp;$C194)&gt;0,"Criteri A-G","Aggregato"))</f>
        <v/>
      </c>
    </row>
    <row r="195">
      <c r="A195" s="56">
        <f>IF(Compila!$A205="","",Compila!$A205)</f>
        <v/>
      </c>
      <c r="B195" s="56">
        <f>IF(Compila!$A205="","",Compila!$B205)</f>
        <v/>
      </c>
      <c r="C195" s="56">
        <f>IF(Compila!$A205="","",Compila!$C205)</f>
        <v/>
      </c>
      <c r="D195" s="56">
        <f>IF(Compila!$A205="","",Compila!$D205)</f>
        <v/>
      </c>
      <c r="E195" s="57">
        <f>IF($A195="",0,IFERROR(IF(SUMIFS(CriteriTecnici!$O:$O,CriteriTecnici!$Q:$Q,$A195&amp;"|"&amp;$C195)&gt;0,IF($G195="SI",ROUND(IF(SUMPRODUCT(MAX((CriteriTecnici!$C$5:$C$6173=$C195)*(CriteriTecnici!$E$5:$E$6173="A")*(CriteriTecnici!$T$5:$T$6173="SI")*IFERROR(CriteriTecnici!$O$5:$O$6173*1,0)))&gt;0,MIN(7,SUMIFS(CriteriTecnici!$O:$O,CriteriTecnici!$Q:$Q,$A195&amp;"|"&amp;$C195,CriteriTecnici!$E:$E,"A")*(7/SUMPRODUCT(MAX((CriteriTecnici!$C$5:$C$6173=$C195)*(CriteriTecnici!$E$5:$E$6173="A")*(CriteriTecnici!$T$5:$T$6173="SI")*IFERROR(CriteriTecnici!$O$5:$O$6173*1,0))))),0)+IF(SUMPRODUCT(MAX((CriteriTecnici!$C$5:$C$6173=$C195)*(CriteriTecnici!$E$5:$E$6173="B")*(CriteriTecnici!$T$5:$T$6173="SI")*IFERROR(CriteriTecnici!$O$5:$O$6173*1,0)))&gt;0,MIN(14,SUMIFS(CriteriTecnici!$O:$O,CriteriTecnici!$Q:$Q,$A195&amp;"|"&amp;$C195,CriteriTecnici!$E:$E,"B")*(14/SUMPRODUCT(MAX((CriteriTecnici!$C$5:$C$6173=$C195)*(CriteriTecnici!$E$5:$E$6173="B")*(CriteriTecnici!$T$5:$T$6173="SI")*IFERROR(CriteriTecnici!$O$5:$O$6173*1,0))))),0)+IF(SUMPRODUCT(MAX((CriteriTecnici!$C$5:$C$6173=$C195)*(CriteriTecnici!$E$5:$E$6173="C")*(CriteriTecnici!$T$5:$T$6173="SI")*IFERROR(CriteriTecnici!$O$5:$O$6173*1,0)))&gt;0,MIN(14,SUMIFS(CriteriTecnici!$O:$O,CriteriTecnici!$Q:$Q,$A195&amp;"|"&amp;$C195,CriteriTecnici!$E:$E,"C")*(14/SUMPRODUCT(MAX((CriteriTecnici!$C$5:$C$6173=$C195)*(CriteriTecnici!$E$5:$E$6173="C")*(CriteriTecnici!$T$5:$T$6173="SI")*IFERROR(CriteriTecnici!$O$5:$O$6173*1,0))))),0)+IF(SUMPRODUCT(MAX((CriteriTecnici!$C$5:$C$6173=$C195)*(CriteriTecnici!$E$5:$E$6173="D")*(CriteriTecnici!$T$5:$T$6173="SI")*IFERROR(CriteriTecnici!$O$5:$O$6173*1,0)))&gt;0,MIN(10,SUMIFS(CriteriTecnici!$O:$O,CriteriTecnici!$Q:$Q,$A195&amp;"|"&amp;$C195,CriteriTecnici!$E:$E,"D")*(10/SUMPRODUCT(MAX((CriteriTecnici!$C$5:$C$6173=$C195)*(CriteriTecnici!$E$5:$E$6173="D")*(CriteriTecnici!$T$5:$T$6173="SI")*IFERROR(CriteriTecnici!$O$5:$O$6173*1,0))))),0)+IF(SUMPRODUCT(MAX((CriteriTecnici!$C$5:$C$6173=$C195)*(CriteriTecnici!$E$5:$E$6173="E")*(CriteriTecnici!$T$5:$T$6173="SI")*IFERROR(CriteriTecnici!$O$5:$O$6173*1,0)))&gt;0,MIN(4,SUMIFS(CriteriTecnici!$O:$O,CriteriTecnici!$Q:$Q,$A195&amp;"|"&amp;$C195,CriteriTecnici!$E:$E,"E")*(4/SUMPRODUCT(MAX((CriteriTecnici!$C$5:$C$6173=$C195)*(CriteriTecnici!$E$5:$E$6173="E")*(CriteriTecnici!$T$5:$T$6173="SI")*IFERROR(CriteriTecnici!$O$5:$O$6173*1,0))))),0)+IF(SUMPRODUCT(MAX((CriteriTecnici!$C$5:$C$6173=$C195)*(CriteriTecnici!$E$5:$E$6173="F")*(CriteriTecnici!$T$5:$T$6173="SI")*IFERROR(CriteriTecnici!$O$5:$O$6173*1,0)))&gt;0,MIN(14,SUMIFS(CriteriTecnici!$O:$O,CriteriTecnici!$Q:$Q,$A195&amp;"|"&amp;$C195,CriteriTecnici!$E:$E,"F")*(14/SUMPRODUCT(MAX((CriteriTecnici!$C$5:$C$6173=$C195)*(CriteriTecnici!$E$5:$E$6173="F")*(CriteriTecnici!$T$5:$T$6173="SI")*IFERROR(CriteriTecnici!$O$5:$O$6173*1,0))))),0)+IF(SUMPRODUCT(MAX((CriteriTecnici!$C$5:$C$6173=$C195)*(CriteriTecnici!$E$5:$E$6173="G")*(CriteriTecnici!$T$5:$T$6173="SI")*IFERROR(CriteriTecnici!$O$5:$O$6173*1,0)))&gt;0,MIN(7,SUMIFS(CriteriTecnici!$O:$O,CriteriTecnici!$Q:$Q,$A195&amp;"|"&amp;$C195,CriteriTecnici!$E:$E,"G")*(7/SUMPRODUCT(MAX((CriteriTecnici!$C$5:$C$6173=$C195)*(CriteriTecnici!$E$5:$E$6173="G")*(CriteriTecnici!$T$5:$T$6173="SI")*IFERROR(CriteriTecnici!$O$5:$O$6173*1,0))))),0),4),0),IFERROR($N195*1,0)),0))</f>
        <v/>
      </c>
      <c r="F195" s="56">
        <f>IF(Compila!$A205="","",Compila!$E205)</f>
        <v/>
      </c>
      <c r="G195" s="57">
        <f>IF($A195="","",IF(IFERROR(VALUE($D195),0)&lt;&gt;1,"NO",IF(IFERROR(VALUE($O195),0)&gt;=Parametri!$B$2,"SI","NO")))</f>
        <v/>
      </c>
      <c r="H195" s="57">
        <f>IF($G195="SI",SUMPRODUCT(MAX(($C$2:$C$200=$C195)*(IFERROR($D$2:$D$200*1,0)=1)*(IFERROR($O$2:$O$200*1,0)&gt;=Parametri!$B$2)*IFERROR($F$2:$F$200*1,0))),0)</f>
        <v/>
      </c>
      <c r="I195" s="57">
        <f>IF($G195="SI",IF($H195&gt;0,30*(IFERROR($F195*1,0)/$H195),0),0)</f>
        <v/>
      </c>
      <c r="J195" s="57">
        <f>IF($A195="",0,IF($G195="SI",ROUND(IFERROR($E195*1,0)+$I195,4),ROUND(IFERROR($E195*1,0),4)))</f>
        <v/>
      </c>
      <c r="K195" s="57">
        <f>IF($A195="","",IF(IFERROR(VALUE($D195),0)&lt;&gt;1,"Non attiva",IF(IFERROR(VALUE($O195),0)&lt;Parametri!$B$2,"Sotto soglia","")))</f>
        <v/>
      </c>
      <c r="L195" s="57">
        <f>IF($A195="","",$A195&amp;"|"&amp;$C195)</f>
        <v/>
      </c>
      <c r="M195" s="57">
        <f>IF($A195="","",$C195&amp;"|"&amp;TEXT($J195,"0.0000"))</f>
        <v/>
      </c>
      <c r="N195" s="57" t="n"/>
      <c r="O195" s="57">
        <f>IF($A195="",0,IFERROR(IF(SUMIFS(CriteriTecnici!$O:$O,CriteriTecnici!$Q:$Q,$A195&amp;"|"&amp;$C195)&gt;0,SUMIFS(CriteriTecnici!$O:$O,CriteriTecnici!$Q:$Q,$A195&amp;"|"&amp;$C195,CriteriTecnici!$F:$F,"Q")+SUMIFS(CriteriTecnici!$O:$O,CriteriTecnici!$Q:$Q,$A195&amp;"|"&amp;$C195,CriteriTecnici!$F:$F,"T"),IFERROR($N195*1,0)),0))</f>
        <v/>
      </c>
      <c r="P195" s="57">
        <f>IF($A195="","",IF(SUMIFS(CriteriTecnici!$O:$O,CriteriTecnici!$Q:$Q,$A195&amp;"|"&amp;$C195)&gt;0,"Criteri A-G","Aggregato"))</f>
        <v/>
      </c>
    </row>
    <row r="196">
      <c r="A196" s="56">
        <f>IF(Compila!$A206="","",Compila!$A206)</f>
        <v/>
      </c>
      <c r="B196" s="56">
        <f>IF(Compila!$A206="","",Compila!$B206)</f>
        <v/>
      </c>
      <c r="C196" s="56">
        <f>IF(Compila!$A206="","",Compila!$C206)</f>
        <v/>
      </c>
      <c r="D196" s="56">
        <f>IF(Compila!$A206="","",Compila!$D206)</f>
        <v/>
      </c>
      <c r="E196" s="57">
        <f>IF($A196="",0,IFERROR(IF(SUMIFS(CriteriTecnici!$O:$O,CriteriTecnici!$Q:$Q,$A196&amp;"|"&amp;$C196)&gt;0,IF($G196="SI",ROUND(IF(SUMPRODUCT(MAX((CriteriTecnici!$C$5:$C$6173=$C196)*(CriteriTecnici!$E$5:$E$6173="A")*(CriteriTecnici!$T$5:$T$6173="SI")*IFERROR(CriteriTecnici!$O$5:$O$6173*1,0)))&gt;0,MIN(7,SUMIFS(CriteriTecnici!$O:$O,CriteriTecnici!$Q:$Q,$A196&amp;"|"&amp;$C196,CriteriTecnici!$E:$E,"A")*(7/SUMPRODUCT(MAX((CriteriTecnici!$C$5:$C$6173=$C196)*(CriteriTecnici!$E$5:$E$6173="A")*(CriteriTecnici!$T$5:$T$6173="SI")*IFERROR(CriteriTecnici!$O$5:$O$6173*1,0))))),0)+IF(SUMPRODUCT(MAX((CriteriTecnici!$C$5:$C$6173=$C196)*(CriteriTecnici!$E$5:$E$6173="B")*(CriteriTecnici!$T$5:$T$6173="SI")*IFERROR(CriteriTecnici!$O$5:$O$6173*1,0)))&gt;0,MIN(14,SUMIFS(CriteriTecnici!$O:$O,CriteriTecnici!$Q:$Q,$A196&amp;"|"&amp;$C196,CriteriTecnici!$E:$E,"B")*(14/SUMPRODUCT(MAX((CriteriTecnici!$C$5:$C$6173=$C196)*(CriteriTecnici!$E$5:$E$6173="B")*(CriteriTecnici!$T$5:$T$6173="SI")*IFERROR(CriteriTecnici!$O$5:$O$6173*1,0))))),0)+IF(SUMPRODUCT(MAX((CriteriTecnici!$C$5:$C$6173=$C196)*(CriteriTecnici!$E$5:$E$6173="C")*(CriteriTecnici!$T$5:$T$6173="SI")*IFERROR(CriteriTecnici!$O$5:$O$6173*1,0)))&gt;0,MIN(14,SUMIFS(CriteriTecnici!$O:$O,CriteriTecnici!$Q:$Q,$A196&amp;"|"&amp;$C196,CriteriTecnici!$E:$E,"C")*(14/SUMPRODUCT(MAX((CriteriTecnici!$C$5:$C$6173=$C196)*(CriteriTecnici!$E$5:$E$6173="C")*(CriteriTecnici!$T$5:$T$6173="SI")*IFERROR(CriteriTecnici!$O$5:$O$6173*1,0))))),0)+IF(SUMPRODUCT(MAX((CriteriTecnici!$C$5:$C$6173=$C196)*(CriteriTecnici!$E$5:$E$6173="D")*(CriteriTecnici!$T$5:$T$6173="SI")*IFERROR(CriteriTecnici!$O$5:$O$6173*1,0)))&gt;0,MIN(10,SUMIFS(CriteriTecnici!$O:$O,CriteriTecnici!$Q:$Q,$A196&amp;"|"&amp;$C196,CriteriTecnici!$E:$E,"D")*(10/SUMPRODUCT(MAX((CriteriTecnici!$C$5:$C$6173=$C196)*(CriteriTecnici!$E$5:$E$6173="D")*(CriteriTecnici!$T$5:$T$6173="SI")*IFERROR(CriteriTecnici!$O$5:$O$6173*1,0))))),0)+IF(SUMPRODUCT(MAX((CriteriTecnici!$C$5:$C$6173=$C196)*(CriteriTecnici!$E$5:$E$6173="E")*(CriteriTecnici!$T$5:$T$6173="SI")*IFERROR(CriteriTecnici!$O$5:$O$6173*1,0)))&gt;0,MIN(4,SUMIFS(CriteriTecnici!$O:$O,CriteriTecnici!$Q:$Q,$A196&amp;"|"&amp;$C196,CriteriTecnici!$E:$E,"E")*(4/SUMPRODUCT(MAX((CriteriTecnici!$C$5:$C$6173=$C196)*(CriteriTecnici!$E$5:$E$6173="E")*(CriteriTecnici!$T$5:$T$6173="SI")*IFERROR(CriteriTecnici!$O$5:$O$6173*1,0))))),0)+IF(SUMPRODUCT(MAX((CriteriTecnici!$C$5:$C$6173=$C196)*(CriteriTecnici!$E$5:$E$6173="F")*(CriteriTecnici!$T$5:$T$6173="SI")*IFERROR(CriteriTecnici!$O$5:$O$6173*1,0)))&gt;0,MIN(14,SUMIFS(CriteriTecnici!$O:$O,CriteriTecnici!$Q:$Q,$A196&amp;"|"&amp;$C196,CriteriTecnici!$E:$E,"F")*(14/SUMPRODUCT(MAX((CriteriTecnici!$C$5:$C$6173=$C196)*(CriteriTecnici!$E$5:$E$6173="F")*(CriteriTecnici!$T$5:$T$6173="SI")*IFERROR(CriteriTecnici!$O$5:$O$6173*1,0))))),0)+IF(SUMPRODUCT(MAX((CriteriTecnici!$C$5:$C$6173=$C196)*(CriteriTecnici!$E$5:$E$6173="G")*(CriteriTecnici!$T$5:$T$6173="SI")*IFERROR(CriteriTecnici!$O$5:$O$6173*1,0)))&gt;0,MIN(7,SUMIFS(CriteriTecnici!$O:$O,CriteriTecnici!$Q:$Q,$A196&amp;"|"&amp;$C196,CriteriTecnici!$E:$E,"G")*(7/SUMPRODUCT(MAX((CriteriTecnici!$C$5:$C$6173=$C196)*(CriteriTecnici!$E$5:$E$6173="G")*(CriteriTecnici!$T$5:$T$6173="SI")*IFERROR(CriteriTecnici!$O$5:$O$6173*1,0))))),0),4),0),IFERROR($N196*1,0)),0))</f>
        <v/>
      </c>
      <c r="F196" s="56">
        <f>IF(Compila!$A206="","",Compila!$E206)</f>
        <v/>
      </c>
      <c r="G196" s="57">
        <f>IF($A196="","",IF(IFERROR(VALUE($D196),0)&lt;&gt;1,"NO",IF(IFERROR(VALUE($O196),0)&gt;=Parametri!$B$2,"SI","NO")))</f>
        <v/>
      </c>
      <c r="H196" s="57">
        <f>IF($G196="SI",SUMPRODUCT(MAX(($C$2:$C$200=$C196)*(IFERROR($D$2:$D$200*1,0)=1)*(IFERROR($O$2:$O$200*1,0)&gt;=Parametri!$B$2)*IFERROR($F$2:$F$200*1,0))),0)</f>
        <v/>
      </c>
      <c r="I196" s="57">
        <f>IF($G196="SI",IF($H196&gt;0,30*(IFERROR($F196*1,0)/$H196),0),0)</f>
        <v/>
      </c>
      <c r="J196" s="57">
        <f>IF($A196="",0,IF($G196="SI",ROUND(IFERROR($E196*1,0)+$I196,4),ROUND(IFERROR($E196*1,0),4)))</f>
        <v/>
      </c>
      <c r="K196" s="57">
        <f>IF($A196="","",IF(IFERROR(VALUE($D196),0)&lt;&gt;1,"Non attiva",IF(IFERROR(VALUE($O196),0)&lt;Parametri!$B$2,"Sotto soglia","")))</f>
        <v/>
      </c>
      <c r="L196" s="57">
        <f>IF($A196="","",$A196&amp;"|"&amp;$C196)</f>
        <v/>
      </c>
      <c r="M196" s="57">
        <f>IF($A196="","",$C196&amp;"|"&amp;TEXT($J196,"0.0000"))</f>
        <v/>
      </c>
      <c r="N196" s="57" t="n"/>
      <c r="O196" s="57">
        <f>IF($A196="",0,IFERROR(IF(SUMIFS(CriteriTecnici!$O:$O,CriteriTecnici!$Q:$Q,$A196&amp;"|"&amp;$C196)&gt;0,SUMIFS(CriteriTecnici!$O:$O,CriteriTecnici!$Q:$Q,$A196&amp;"|"&amp;$C196,CriteriTecnici!$F:$F,"Q")+SUMIFS(CriteriTecnici!$O:$O,CriteriTecnici!$Q:$Q,$A196&amp;"|"&amp;$C196,CriteriTecnici!$F:$F,"T"),IFERROR($N196*1,0)),0))</f>
        <v/>
      </c>
      <c r="P196" s="57">
        <f>IF($A196="","",IF(SUMIFS(CriteriTecnici!$O:$O,CriteriTecnici!$Q:$Q,$A196&amp;"|"&amp;$C196)&gt;0,"Criteri A-G","Aggregato"))</f>
        <v/>
      </c>
    </row>
    <row r="197">
      <c r="A197" s="56">
        <f>IF(Compila!$A207="","",Compila!$A207)</f>
        <v/>
      </c>
      <c r="B197" s="56">
        <f>IF(Compila!$A207="","",Compila!$B207)</f>
        <v/>
      </c>
      <c r="C197" s="56">
        <f>IF(Compila!$A207="","",Compila!$C207)</f>
        <v/>
      </c>
      <c r="D197" s="56">
        <f>IF(Compila!$A207="","",Compila!$D207)</f>
        <v/>
      </c>
      <c r="E197" s="57">
        <f>IF($A197="",0,IFERROR(IF(SUMIFS(CriteriTecnici!$O:$O,CriteriTecnici!$Q:$Q,$A197&amp;"|"&amp;$C197)&gt;0,IF($G197="SI",ROUND(IF(SUMPRODUCT(MAX((CriteriTecnici!$C$5:$C$6173=$C197)*(CriteriTecnici!$E$5:$E$6173="A")*(CriteriTecnici!$T$5:$T$6173="SI")*IFERROR(CriteriTecnici!$O$5:$O$6173*1,0)))&gt;0,MIN(7,SUMIFS(CriteriTecnici!$O:$O,CriteriTecnici!$Q:$Q,$A197&amp;"|"&amp;$C197,CriteriTecnici!$E:$E,"A")*(7/SUMPRODUCT(MAX((CriteriTecnici!$C$5:$C$6173=$C197)*(CriteriTecnici!$E$5:$E$6173="A")*(CriteriTecnici!$T$5:$T$6173="SI")*IFERROR(CriteriTecnici!$O$5:$O$6173*1,0))))),0)+IF(SUMPRODUCT(MAX((CriteriTecnici!$C$5:$C$6173=$C197)*(CriteriTecnici!$E$5:$E$6173="B")*(CriteriTecnici!$T$5:$T$6173="SI")*IFERROR(CriteriTecnici!$O$5:$O$6173*1,0)))&gt;0,MIN(14,SUMIFS(CriteriTecnici!$O:$O,CriteriTecnici!$Q:$Q,$A197&amp;"|"&amp;$C197,CriteriTecnici!$E:$E,"B")*(14/SUMPRODUCT(MAX((CriteriTecnici!$C$5:$C$6173=$C197)*(CriteriTecnici!$E$5:$E$6173="B")*(CriteriTecnici!$T$5:$T$6173="SI")*IFERROR(CriteriTecnici!$O$5:$O$6173*1,0))))),0)+IF(SUMPRODUCT(MAX((CriteriTecnici!$C$5:$C$6173=$C197)*(CriteriTecnici!$E$5:$E$6173="C")*(CriteriTecnici!$T$5:$T$6173="SI")*IFERROR(CriteriTecnici!$O$5:$O$6173*1,0)))&gt;0,MIN(14,SUMIFS(CriteriTecnici!$O:$O,CriteriTecnici!$Q:$Q,$A197&amp;"|"&amp;$C197,CriteriTecnici!$E:$E,"C")*(14/SUMPRODUCT(MAX((CriteriTecnici!$C$5:$C$6173=$C197)*(CriteriTecnici!$E$5:$E$6173="C")*(CriteriTecnici!$T$5:$T$6173="SI")*IFERROR(CriteriTecnici!$O$5:$O$6173*1,0))))),0)+IF(SUMPRODUCT(MAX((CriteriTecnici!$C$5:$C$6173=$C197)*(CriteriTecnici!$E$5:$E$6173="D")*(CriteriTecnici!$T$5:$T$6173="SI")*IFERROR(CriteriTecnici!$O$5:$O$6173*1,0)))&gt;0,MIN(10,SUMIFS(CriteriTecnici!$O:$O,CriteriTecnici!$Q:$Q,$A197&amp;"|"&amp;$C197,CriteriTecnici!$E:$E,"D")*(10/SUMPRODUCT(MAX((CriteriTecnici!$C$5:$C$6173=$C197)*(CriteriTecnici!$E$5:$E$6173="D")*(CriteriTecnici!$T$5:$T$6173="SI")*IFERROR(CriteriTecnici!$O$5:$O$6173*1,0))))),0)+IF(SUMPRODUCT(MAX((CriteriTecnici!$C$5:$C$6173=$C197)*(CriteriTecnici!$E$5:$E$6173="E")*(CriteriTecnici!$T$5:$T$6173="SI")*IFERROR(CriteriTecnici!$O$5:$O$6173*1,0)))&gt;0,MIN(4,SUMIFS(CriteriTecnici!$O:$O,CriteriTecnici!$Q:$Q,$A197&amp;"|"&amp;$C197,CriteriTecnici!$E:$E,"E")*(4/SUMPRODUCT(MAX((CriteriTecnici!$C$5:$C$6173=$C197)*(CriteriTecnici!$E$5:$E$6173="E")*(CriteriTecnici!$T$5:$T$6173="SI")*IFERROR(CriteriTecnici!$O$5:$O$6173*1,0))))),0)+IF(SUMPRODUCT(MAX((CriteriTecnici!$C$5:$C$6173=$C197)*(CriteriTecnici!$E$5:$E$6173="F")*(CriteriTecnici!$T$5:$T$6173="SI")*IFERROR(CriteriTecnici!$O$5:$O$6173*1,0)))&gt;0,MIN(14,SUMIFS(CriteriTecnici!$O:$O,CriteriTecnici!$Q:$Q,$A197&amp;"|"&amp;$C197,CriteriTecnici!$E:$E,"F")*(14/SUMPRODUCT(MAX((CriteriTecnici!$C$5:$C$6173=$C197)*(CriteriTecnici!$E$5:$E$6173="F")*(CriteriTecnici!$T$5:$T$6173="SI")*IFERROR(CriteriTecnici!$O$5:$O$6173*1,0))))),0)+IF(SUMPRODUCT(MAX((CriteriTecnici!$C$5:$C$6173=$C197)*(CriteriTecnici!$E$5:$E$6173="G")*(CriteriTecnici!$T$5:$T$6173="SI")*IFERROR(CriteriTecnici!$O$5:$O$6173*1,0)))&gt;0,MIN(7,SUMIFS(CriteriTecnici!$O:$O,CriteriTecnici!$Q:$Q,$A197&amp;"|"&amp;$C197,CriteriTecnici!$E:$E,"G")*(7/SUMPRODUCT(MAX((CriteriTecnici!$C$5:$C$6173=$C197)*(CriteriTecnici!$E$5:$E$6173="G")*(CriteriTecnici!$T$5:$T$6173="SI")*IFERROR(CriteriTecnici!$O$5:$O$6173*1,0))))),0),4),0),IFERROR($N197*1,0)),0))</f>
        <v/>
      </c>
      <c r="F197" s="56">
        <f>IF(Compila!$A207="","",Compila!$E207)</f>
        <v/>
      </c>
      <c r="G197" s="57">
        <f>IF($A197="","",IF(IFERROR(VALUE($D197),0)&lt;&gt;1,"NO",IF(IFERROR(VALUE($O197),0)&gt;=Parametri!$B$2,"SI","NO")))</f>
        <v/>
      </c>
      <c r="H197" s="57">
        <f>IF($G197="SI",SUMPRODUCT(MAX(($C$2:$C$200=$C197)*(IFERROR($D$2:$D$200*1,0)=1)*(IFERROR($O$2:$O$200*1,0)&gt;=Parametri!$B$2)*IFERROR($F$2:$F$200*1,0))),0)</f>
        <v/>
      </c>
      <c r="I197" s="57">
        <f>IF($G197="SI",IF($H197&gt;0,30*(IFERROR($F197*1,0)/$H197),0),0)</f>
        <v/>
      </c>
      <c r="J197" s="57">
        <f>IF($A197="",0,IF($G197="SI",ROUND(IFERROR($E197*1,0)+$I197,4),ROUND(IFERROR($E197*1,0),4)))</f>
        <v/>
      </c>
      <c r="K197" s="57">
        <f>IF($A197="","",IF(IFERROR(VALUE($D197),0)&lt;&gt;1,"Non attiva",IF(IFERROR(VALUE($O197),0)&lt;Parametri!$B$2,"Sotto soglia","")))</f>
        <v/>
      </c>
      <c r="L197" s="57">
        <f>IF($A197="","",$A197&amp;"|"&amp;$C197)</f>
        <v/>
      </c>
      <c r="M197" s="57">
        <f>IF($A197="","",$C197&amp;"|"&amp;TEXT($J197,"0.0000"))</f>
        <v/>
      </c>
      <c r="N197" s="57" t="n"/>
      <c r="O197" s="57">
        <f>IF($A197="",0,IFERROR(IF(SUMIFS(CriteriTecnici!$O:$O,CriteriTecnici!$Q:$Q,$A197&amp;"|"&amp;$C197)&gt;0,SUMIFS(CriteriTecnici!$O:$O,CriteriTecnici!$Q:$Q,$A197&amp;"|"&amp;$C197,CriteriTecnici!$F:$F,"Q")+SUMIFS(CriteriTecnici!$O:$O,CriteriTecnici!$Q:$Q,$A197&amp;"|"&amp;$C197,CriteriTecnici!$F:$F,"T"),IFERROR($N197*1,0)),0))</f>
        <v/>
      </c>
      <c r="P197" s="57">
        <f>IF($A197="","",IF(SUMIFS(CriteriTecnici!$O:$O,CriteriTecnici!$Q:$Q,$A197&amp;"|"&amp;$C197)&gt;0,"Criteri A-G","Aggregato"))</f>
        <v/>
      </c>
    </row>
    <row r="198">
      <c r="A198" s="56">
        <f>IF(Compila!$A208="","",Compila!$A208)</f>
        <v/>
      </c>
      <c r="B198" s="56">
        <f>IF(Compila!$A208="","",Compila!$B208)</f>
        <v/>
      </c>
      <c r="C198" s="56">
        <f>IF(Compila!$A208="","",Compila!$C208)</f>
        <v/>
      </c>
      <c r="D198" s="56">
        <f>IF(Compila!$A208="","",Compila!$D208)</f>
        <v/>
      </c>
      <c r="E198" s="57">
        <f>IF($A198="",0,IFERROR(IF(SUMIFS(CriteriTecnici!$O:$O,CriteriTecnici!$Q:$Q,$A198&amp;"|"&amp;$C198)&gt;0,IF($G198="SI",ROUND(IF(SUMPRODUCT(MAX((CriteriTecnici!$C$5:$C$6173=$C198)*(CriteriTecnici!$E$5:$E$6173="A")*(CriteriTecnici!$T$5:$T$6173="SI")*IFERROR(CriteriTecnici!$O$5:$O$6173*1,0)))&gt;0,MIN(7,SUMIFS(CriteriTecnici!$O:$O,CriteriTecnici!$Q:$Q,$A198&amp;"|"&amp;$C198,CriteriTecnici!$E:$E,"A")*(7/SUMPRODUCT(MAX((CriteriTecnici!$C$5:$C$6173=$C198)*(CriteriTecnici!$E$5:$E$6173="A")*(CriteriTecnici!$T$5:$T$6173="SI")*IFERROR(CriteriTecnici!$O$5:$O$6173*1,0))))),0)+IF(SUMPRODUCT(MAX((CriteriTecnici!$C$5:$C$6173=$C198)*(CriteriTecnici!$E$5:$E$6173="B")*(CriteriTecnici!$T$5:$T$6173="SI")*IFERROR(CriteriTecnici!$O$5:$O$6173*1,0)))&gt;0,MIN(14,SUMIFS(CriteriTecnici!$O:$O,CriteriTecnici!$Q:$Q,$A198&amp;"|"&amp;$C198,CriteriTecnici!$E:$E,"B")*(14/SUMPRODUCT(MAX((CriteriTecnici!$C$5:$C$6173=$C198)*(CriteriTecnici!$E$5:$E$6173="B")*(CriteriTecnici!$T$5:$T$6173="SI")*IFERROR(CriteriTecnici!$O$5:$O$6173*1,0))))),0)+IF(SUMPRODUCT(MAX((CriteriTecnici!$C$5:$C$6173=$C198)*(CriteriTecnici!$E$5:$E$6173="C")*(CriteriTecnici!$T$5:$T$6173="SI")*IFERROR(CriteriTecnici!$O$5:$O$6173*1,0)))&gt;0,MIN(14,SUMIFS(CriteriTecnici!$O:$O,CriteriTecnici!$Q:$Q,$A198&amp;"|"&amp;$C198,CriteriTecnici!$E:$E,"C")*(14/SUMPRODUCT(MAX((CriteriTecnici!$C$5:$C$6173=$C198)*(CriteriTecnici!$E$5:$E$6173="C")*(CriteriTecnici!$T$5:$T$6173="SI")*IFERROR(CriteriTecnici!$O$5:$O$6173*1,0))))),0)+IF(SUMPRODUCT(MAX((CriteriTecnici!$C$5:$C$6173=$C198)*(CriteriTecnici!$E$5:$E$6173="D")*(CriteriTecnici!$T$5:$T$6173="SI")*IFERROR(CriteriTecnici!$O$5:$O$6173*1,0)))&gt;0,MIN(10,SUMIFS(CriteriTecnici!$O:$O,CriteriTecnici!$Q:$Q,$A198&amp;"|"&amp;$C198,CriteriTecnici!$E:$E,"D")*(10/SUMPRODUCT(MAX((CriteriTecnici!$C$5:$C$6173=$C198)*(CriteriTecnici!$E$5:$E$6173="D")*(CriteriTecnici!$T$5:$T$6173="SI")*IFERROR(CriteriTecnici!$O$5:$O$6173*1,0))))),0)+IF(SUMPRODUCT(MAX((CriteriTecnici!$C$5:$C$6173=$C198)*(CriteriTecnici!$E$5:$E$6173="E")*(CriteriTecnici!$T$5:$T$6173="SI")*IFERROR(CriteriTecnici!$O$5:$O$6173*1,0)))&gt;0,MIN(4,SUMIFS(CriteriTecnici!$O:$O,CriteriTecnici!$Q:$Q,$A198&amp;"|"&amp;$C198,CriteriTecnici!$E:$E,"E")*(4/SUMPRODUCT(MAX((CriteriTecnici!$C$5:$C$6173=$C198)*(CriteriTecnici!$E$5:$E$6173="E")*(CriteriTecnici!$T$5:$T$6173="SI")*IFERROR(CriteriTecnici!$O$5:$O$6173*1,0))))),0)+IF(SUMPRODUCT(MAX((CriteriTecnici!$C$5:$C$6173=$C198)*(CriteriTecnici!$E$5:$E$6173="F")*(CriteriTecnici!$T$5:$T$6173="SI")*IFERROR(CriteriTecnici!$O$5:$O$6173*1,0)))&gt;0,MIN(14,SUMIFS(CriteriTecnici!$O:$O,CriteriTecnici!$Q:$Q,$A198&amp;"|"&amp;$C198,CriteriTecnici!$E:$E,"F")*(14/SUMPRODUCT(MAX((CriteriTecnici!$C$5:$C$6173=$C198)*(CriteriTecnici!$E$5:$E$6173="F")*(CriteriTecnici!$T$5:$T$6173="SI")*IFERROR(CriteriTecnici!$O$5:$O$6173*1,0))))),0)+IF(SUMPRODUCT(MAX((CriteriTecnici!$C$5:$C$6173=$C198)*(CriteriTecnici!$E$5:$E$6173="G")*(CriteriTecnici!$T$5:$T$6173="SI")*IFERROR(CriteriTecnici!$O$5:$O$6173*1,0)))&gt;0,MIN(7,SUMIFS(CriteriTecnici!$O:$O,CriteriTecnici!$Q:$Q,$A198&amp;"|"&amp;$C198,CriteriTecnici!$E:$E,"G")*(7/SUMPRODUCT(MAX((CriteriTecnici!$C$5:$C$6173=$C198)*(CriteriTecnici!$E$5:$E$6173="G")*(CriteriTecnici!$T$5:$T$6173="SI")*IFERROR(CriteriTecnici!$O$5:$O$6173*1,0))))),0),4),0),IFERROR($N198*1,0)),0))</f>
        <v/>
      </c>
      <c r="F198" s="56">
        <f>IF(Compila!$A208="","",Compila!$E208)</f>
        <v/>
      </c>
      <c r="G198" s="57">
        <f>IF($A198="","",IF(IFERROR(VALUE($D198),0)&lt;&gt;1,"NO",IF(IFERROR(VALUE($O198),0)&gt;=Parametri!$B$2,"SI","NO")))</f>
        <v/>
      </c>
      <c r="H198" s="57">
        <f>IF($G198="SI",SUMPRODUCT(MAX(($C$2:$C$200=$C198)*(IFERROR($D$2:$D$200*1,0)=1)*(IFERROR($O$2:$O$200*1,0)&gt;=Parametri!$B$2)*IFERROR($F$2:$F$200*1,0))),0)</f>
        <v/>
      </c>
      <c r="I198" s="57">
        <f>IF($G198="SI",IF($H198&gt;0,30*(IFERROR($F198*1,0)/$H198),0),0)</f>
        <v/>
      </c>
      <c r="J198" s="57">
        <f>IF($A198="",0,IF($G198="SI",ROUND(IFERROR($E198*1,0)+$I198,4),ROUND(IFERROR($E198*1,0),4)))</f>
        <v/>
      </c>
      <c r="K198" s="57">
        <f>IF($A198="","",IF(IFERROR(VALUE($D198),0)&lt;&gt;1,"Non attiva",IF(IFERROR(VALUE($O198),0)&lt;Parametri!$B$2,"Sotto soglia","")))</f>
        <v/>
      </c>
      <c r="L198" s="57">
        <f>IF($A198="","",$A198&amp;"|"&amp;$C198)</f>
        <v/>
      </c>
      <c r="M198" s="57">
        <f>IF($A198="","",$C198&amp;"|"&amp;TEXT($J198,"0.0000"))</f>
        <v/>
      </c>
      <c r="N198" s="57" t="n"/>
      <c r="O198" s="57">
        <f>IF($A198="",0,IFERROR(IF(SUMIFS(CriteriTecnici!$O:$O,CriteriTecnici!$Q:$Q,$A198&amp;"|"&amp;$C198)&gt;0,SUMIFS(CriteriTecnici!$O:$O,CriteriTecnici!$Q:$Q,$A198&amp;"|"&amp;$C198,CriteriTecnici!$F:$F,"Q")+SUMIFS(CriteriTecnici!$O:$O,CriteriTecnici!$Q:$Q,$A198&amp;"|"&amp;$C198,CriteriTecnici!$F:$F,"T"),IFERROR($N198*1,0)),0))</f>
        <v/>
      </c>
      <c r="P198" s="57">
        <f>IF($A198="","",IF(SUMIFS(CriteriTecnici!$O:$O,CriteriTecnici!$Q:$Q,$A198&amp;"|"&amp;$C198)&gt;0,"Criteri A-G","Aggregato"))</f>
        <v/>
      </c>
    </row>
    <row r="199">
      <c r="A199" s="56">
        <f>IF(Compila!$A209="","",Compila!$A209)</f>
        <v/>
      </c>
      <c r="B199" s="56">
        <f>IF(Compila!$A209="","",Compila!$B209)</f>
        <v/>
      </c>
      <c r="C199" s="56">
        <f>IF(Compila!$A209="","",Compila!$C209)</f>
        <v/>
      </c>
      <c r="D199" s="56">
        <f>IF(Compila!$A209="","",Compila!$D209)</f>
        <v/>
      </c>
      <c r="E199" s="57">
        <f>IF($A199="",0,IFERROR(IF(SUMIFS(CriteriTecnici!$O:$O,CriteriTecnici!$Q:$Q,$A199&amp;"|"&amp;$C199)&gt;0,IF($G199="SI",ROUND(IF(SUMPRODUCT(MAX((CriteriTecnici!$C$5:$C$6173=$C199)*(CriteriTecnici!$E$5:$E$6173="A")*(CriteriTecnici!$T$5:$T$6173="SI")*IFERROR(CriteriTecnici!$O$5:$O$6173*1,0)))&gt;0,MIN(7,SUMIFS(CriteriTecnici!$O:$O,CriteriTecnici!$Q:$Q,$A199&amp;"|"&amp;$C199,CriteriTecnici!$E:$E,"A")*(7/SUMPRODUCT(MAX((CriteriTecnici!$C$5:$C$6173=$C199)*(CriteriTecnici!$E$5:$E$6173="A")*(CriteriTecnici!$T$5:$T$6173="SI")*IFERROR(CriteriTecnici!$O$5:$O$6173*1,0))))),0)+IF(SUMPRODUCT(MAX((CriteriTecnici!$C$5:$C$6173=$C199)*(CriteriTecnici!$E$5:$E$6173="B")*(CriteriTecnici!$T$5:$T$6173="SI")*IFERROR(CriteriTecnici!$O$5:$O$6173*1,0)))&gt;0,MIN(14,SUMIFS(CriteriTecnici!$O:$O,CriteriTecnici!$Q:$Q,$A199&amp;"|"&amp;$C199,CriteriTecnici!$E:$E,"B")*(14/SUMPRODUCT(MAX((CriteriTecnici!$C$5:$C$6173=$C199)*(CriteriTecnici!$E$5:$E$6173="B")*(CriteriTecnici!$T$5:$T$6173="SI")*IFERROR(CriteriTecnici!$O$5:$O$6173*1,0))))),0)+IF(SUMPRODUCT(MAX((CriteriTecnici!$C$5:$C$6173=$C199)*(CriteriTecnici!$E$5:$E$6173="C")*(CriteriTecnici!$T$5:$T$6173="SI")*IFERROR(CriteriTecnici!$O$5:$O$6173*1,0)))&gt;0,MIN(14,SUMIFS(CriteriTecnici!$O:$O,CriteriTecnici!$Q:$Q,$A199&amp;"|"&amp;$C199,CriteriTecnici!$E:$E,"C")*(14/SUMPRODUCT(MAX((CriteriTecnici!$C$5:$C$6173=$C199)*(CriteriTecnici!$E$5:$E$6173="C")*(CriteriTecnici!$T$5:$T$6173="SI")*IFERROR(CriteriTecnici!$O$5:$O$6173*1,0))))),0)+IF(SUMPRODUCT(MAX((CriteriTecnici!$C$5:$C$6173=$C199)*(CriteriTecnici!$E$5:$E$6173="D")*(CriteriTecnici!$T$5:$T$6173="SI")*IFERROR(CriteriTecnici!$O$5:$O$6173*1,0)))&gt;0,MIN(10,SUMIFS(CriteriTecnici!$O:$O,CriteriTecnici!$Q:$Q,$A199&amp;"|"&amp;$C199,CriteriTecnici!$E:$E,"D")*(10/SUMPRODUCT(MAX((CriteriTecnici!$C$5:$C$6173=$C199)*(CriteriTecnici!$E$5:$E$6173="D")*(CriteriTecnici!$T$5:$T$6173="SI")*IFERROR(CriteriTecnici!$O$5:$O$6173*1,0))))),0)+IF(SUMPRODUCT(MAX((CriteriTecnici!$C$5:$C$6173=$C199)*(CriteriTecnici!$E$5:$E$6173="E")*(CriteriTecnici!$T$5:$T$6173="SI")*IFERROR(CriteriTecnici!$O$5:$O$6173*1,0)))&gt;0,MIN(4,SUMIFS(CriteriTecnici!$O:$O,CriteriTecnici!$Q:$Q,$A199&amp;"|"&amp;$C199,CriteriTecnici!$E:$E,"E")*(4/SUMPRODUCT(MAX((CriteriTecnici!$C$5:$C$6173=$C199)*(CriteriTecnici!$E$5:$E$6173="E")*(CriteriTecnici!$T$5:$T$6173="SI")*IFERROR(CriteriTecnici!$O$5:$O$6173*1,0))))),0)+IF(SUMPRODUCT(MAX((CriteriTecnici!$C$5:$C$6173=$C199)*(CriteriTecnici!$E$5:$E$6173="F")*(CriteriTecnici!$T$5:$T$6173="SI")*IFERROR(CriteriTecnici!$O$5:$O$6173*1,0)))&gt;0,MIN(14,SUMIFS(CriteriTecnici!$O:$O,CriteriTecnici!$Q:$Q,$A199&amp;"|"&amp;$C199,CriteriTecnici!$E:$E,"F")*(14/SUMPRODUCT(MAX((CriteriTecnici!$C$5:$C$6173=$C199)*(CriteriTecnici!$E$5:$E$6173="F")*(CriteriTecnici!$T$5:$T$6173="SI")*IFERROR(CriteriTecnici!$O$5:$O$6173*1,0))))),0)+IF(SUMPRODUCT(MAX((CriteriTecnici!$C$5:$C$6173=$C199)*(CriteriTecnici!$E$5:$E$6173="G")*(CriteriTecnici!$T$5:$T$6173="SI")*IFERROR(CriteriTecnici!$O$5:$O$6173*1,0)))&gt;0,MIN(7,SUMIFS(CriteriTecnici!$O:$O,CriteriTecnici!$Q:$Q,$A199&amp;"|"&amp;$C199,CriteriTecnici!$E:$E,"G")*(7/SUMPRODUCT(MAX((CriteriTecnici!$C$5:$C$6173=$C199)*(CriteriTecnici!$E$5:$E$6173="G")*(CriteriTecnici!$T$5:$T$6173="SI")*IFERROR(CriteriTecnici!$O$5:$O$6173*1,0))))),0),4),0),IFERROR($N199*1,0)),0))</f>
        <v/>
      </c>
      <c r="F199" s="56">
        <f>IF(Compila!$A209="","",Compila!$E209)</f>
        <v/>
      </c>
      <c r="G199" s="57">
        <f>IF($A199="","",IF(IFERROR(VALUE($D199),0)&lt;&gt;1,"NO",IF(IFERROR(VALUE($O199),0)&gt;=Parametri!$B$2,"SI","NO")))</f>
        <v/>
      </c>
      <c r="H199" s="57">
        <f>IF($G199="SI",SUMPRODUCT(MAX(($C$2:$C$200=$C199)*(IFERROR($D$2:$D$200*1,0)=1)*(IFERROR($O$2:$O$200*1,0)&gt;=Parametri!$B$2)*IFERROR($F$2:$F$200*1,0))),0)</f>
        <v/>
      </c>
      <c r="I199" s="57">
        <f>IF($G199="SI",IF($H199&gt;0,30*(IFERROR($F199*1,0)/$H199),0),0)</f>
        <v/>
      </c>
      <c r="J199" s="57">
        <f>IF($A199="",0,IF($G199="SI",ROUND(IFERROR($E199*1,0)+$I199,4),ROUND(IFERROR($E199*1,0),4)))</f>
        <v/>
      </c>
      <c r="K199" s="57">
        <f>IF($A199="","",IF(IFERROR(VALUE($D199),0)&lt;&gt;1,"Non attiva",IF(IFERROR(VALUE($O199),0)&lt;Parametri!$B$2,"Sotto soglia","")))</f>
        <v/>
      </c>
      <c r="L199" s="57">
        <f>IF($A199="","",$A199&amp;"|"&amp;$C199)</f>
        <v/>
      </c>
      <c r="M199" s="57">
        <f>IF($A199="","",$C199&amp;"|"&amp;TEXT($J199,"0.0000"))</f>
        <v/>
      </c>
      <c r="N199" s="57" t="n"/>
      <c r="O199" s="57">
        <f>IF($A199="",0,IFERROR(IF(SUMIFS(CriteriTecnici!$O:$O,CriteriTecnici!$Q:$Q,$A199&amp;"|"&amp;$C199)&gt;0,SUMIFS(CriteriTecnici!$O:$O,CriteriTecnici!$Q:$Q,$A199&amp;"|"&amp;$C199,CriteriTecnici!$F:$F,"Q")+SUMIFS(CriteriTecnici!$O:$O,CriteriTecnici!$Q:$Q,$A199&amp;"|"&amp;$C199,CriteriTecnici!$F:$F,"T"),IFERROR($N199*1,0)),0))</f>
        <v/>
      </c>
      <c r="P199" s="57">
        <f>IF($A199="","",IF(SUMIFS(CriteriTecnici!$O:$O,CriteriTecnici!$Q:$Q,$A199&amp;"|"&amp;$C199)&gt;0,"Criteri A-G","Aggregato"))</f>
        <v/>
      </c>
    </row>
    <row r="200">
      <c r="A200" s="56">
        <f>IF(Compila!$A210="","",Compila!$A210)</f>
        <v/>
      </c>
      <c r="B200" s="56">
        <f>IF(Compila!$A210="","",Compila!$B210)</f>
        <v/>
      </c>
      <c r="C200" s="56">
        <f>IF(Compila!$A210="","",Compila!$C210)</f>
        <v/>
      </c>
      <c r="D200" s="56">
        <f>IF(Compila!$A210="","",Compila!$D210)</f>
        <v/>
      </c>
      <c r="E200" s="57">
        <f>IF($A200="",0,IFERROR(IF(SUMIFS(CriteriTecnici!$O:$O,CriteriTecnici!$Q:$Q,$A200&amp;"|"&amp;$C200)&gt;0,IF($G200="SI",ROUND(IF(SUMPRODUCT(MAX((CriteriTecnici!$C$5:$C$6173=$C200)*(CriteriTecnici!$E$5:$E$6173="A")*(CriteriTecnici!$T$5:$T$6173="SI")*IFERROR(CriteriTecnici!$O$5:$O$6173*1,0)))&gt;0,MIN(7,SUMIFS(CriteriTecnici!$O:$O,CriteriTecnici!$Q:$Q,$A200&amp;"|"&amp;$C200,CriteriTecnici!$E:$E,"A")*(7/SUMPRODUCT(MAX((CriteriTecnici!$C$5:$C$6173=$C200)*(CriteriTecnici!$E$5:$E$6173="A")*(CriteriTecnici!$T$5:$T$6173="SI")*IFERROR(CriteriTecnici!$O$5:$O$6173*1,0))))),0)+IF(SUMPRODUCT(MAX((CriteriTecnici!$C$5:$C$6173=$C200)*(CriteriTecnici!$E$5:$E$6173="B")*(CriteriTecnici!$T$5:$T$6173="SI")*IFERROR(CriteriTecnici!$O$5:$O$6173*1,0)))&gt;0,MIN(14,SUMIFS(CriteriTecnici!$O:$O,CriteriTecnici!$Q:$Q,$A200&amp;"|"&amp;$C200,CriteriTecnici!$E:$E,"B")*(14/SUMPRODUCT(MAX((CriteriTecnici!$C$5:$C$6173=$C200)*(CriteriTecnici!$E$5:$E$6173="B")*(CriteriTecnici!$T$5:$T$6173="SI")*IFERROR(CriteriTecnici!$O$5:$O$6173*1,0))))),0)+IF(SUMPRODUCT(MAX((CriteriTecnici!$C$5:$C$6173=$C200)*(CriteriTecnici!$E$5:$E$6173="C")*(CriteriTecnici!$T$5:$T$6173="SI")*IFERROR(CriteriTecnici!$O$5:$O$6173*1,0)))&gt;0,MIN(14,SUMIFS(CriteriTecnici!$O:$O,CriteriTecnici!$Q:$Q,$A200&amp;"|"&amp;$C200,CriteriTecnici!$E:$E,"C")*(14/SUMPRODUCT(MAX((CriteriTecnici!$C$5:$C$6173=$C200)*(CriteriTecnici!$E$5:$E$6173="C")*(CriteriTecnici!$T$5:$T$6173="SI")*IFERROR(CriteriTecnici!$O$5:$O$6173*1,0))))),0)+IF(SUMPRODUCT(MAX((CriteriTecnici!$C$5:$C$6173=$C200)*(CriteriTecnici!$E$5:$E$6173="D")*(CriteriTecnici!$T$5:$T$6173="SI")*IFERROR(CriteriTecnici!$O$5:$O$6173*1,0)))&gt;0,MIN(10,SUMIFS(CriteriTecnici!$O:$O,CriteriTecnici!$Q:$Q,$A200&amp;"|"&amp;$C200,CriteriTecnici!$E:$E,"D")*(10/SUMPRODUCT(MAX((CriteriTecnici!$C$5:$C$6173=$C200)*(CriteriTecnici!$E$5:$E$6173="D")*(CriteriTecnici!$T$5:$T$6173="SI")*IFERROR(CriteriTecnici!$O$5:$O$6173*1,0))))),0)+IF(SUMPRODUCT(MAX((CriteriTecnici!$C$5:$C$6173=$C200)*(CriteriTecnici!$E$5:$E$6173="E")*(CriteriTecnici!$T$5:$T$6173="SI")*IFERROR(CriteriTecnici!$O$5:$O$6173*1,0)))&gt;0,MIN(4,SUMIFS(CriteriTecnici!$O:$O,CriteriTecnici!$Q:$Q,$A200&amp;"|"&amp;$C200,CriteriTecnici!$E:$E,"E")*(4/SUMPRODUCT(MAX((CriteriTecnici!$C$5:$C$6173=$C200)*(CriteriTecnici!$E$5:$E$6173="E")*(CriteriTecnici!$T$5:$T$6173="SI")*IFERROR(CriteriTecnici!$O$5:$O$6173*1,0))))),0)+IF(SUMPRODUCT(MAX((CriteriTecnici!$C$5:$C$6173=$C200)*(CriteriTecnici!$E$5:$E$6173="F")*(CriteriTecnici!$T$5:$T$6173="SI")*IFERROR(CriteriTecnici!$O$5:$O$6173*1,0)))&gt;0,MIN(14,SUMIFS(CriteriTecnici!$O:$O,CriteriTecnici!$Q:$Q,$A200&amp;"|"&amp;$C200,CriteriTecnici!$E:$E,"F")*(14/SUMPRODUCT(MAX((CriteriTecnici!$C$5:$C$6173=$C200)*(CriteriTecnici!$E$5:$E$6173="F")*(CriteriTecnici!$T$5:$T$6173="SI")*IFERROR(CriteriTecnici!$O$5:$O$6173*1,0))))),0)+IF(SUMPRODUCT(MAX((CriteriTecnici!$C$5:$C$6173=$C200)*(CriteriTecnici!$E$5:$E$6173="G")*(CriteriTecnici!$T$5:$T$6173="SI")*IFERROR(CriteriTecnici!$O$5:$O$6173*1,0)))&gt;0,MIN(7,SUMIFS(CriteriTecnici!$O:$O,CriteriTecnici!$Q:$Q,$A200&amp;"|"&amp;$C200,CriteriTecnici!$E:$E,"G")*(7/SUMPRODUCT(MAX((CriteriTecnici!$C$5:$C$6173=$C200)*(CriteriTecnici!$E$5:$E$6173="G")*(CriteriTecnici!$T$5:$T$6173="SI")*IFERROR(CriteriTecnici!$O$5:$O$6173*1,0))))),0),4),0),IFERROR($N200*1,0)),0))</f>
        <v/>
      </c>
      <c r="F200" s="56">
        <f>IF(Compila!$A210="","",Compila!$E210)</f>
        <v/>
      </c>
      <c r="G200" s="57">
        <f>IF($A200="","",IF(IFERROR(VALUE($D200),0)&lt;&gt;1,"NO",IF(IFERROR(VALUE($O200),0)&gt;=Parametri!$B$2,"SI","NO")))</f>
        <v/>
      </c>
      <c r="H200" s="57">
        <f>IF($G200="SI",SUMPRODUCT(MAX(($C$2:$C$200=$C200)*(IFERROR($D$2:$D$200*1,0)=1)*(IFERROR($O$2:$O$200*1,0)&gt;=Parametri!$B$2)*IFERROR($F$2:$F$200*1,0))),0)</f>
        <v/>
      </c>
      <c r="I200" s="57">
        <f>IF($G200="SI",IF($H200&gt;0,30*(IFERROR($F200*1,0)/$H200),0),0)</f>
        <v/>
      </c>
      <c r="J200" s="57">
        <f>IF($A200="",0,IF($G200="SI",ROUND(IFERROR($E200*1,0)+$I200,4),ROUND(IFERROR($E200*1,0),4)))</f>
        <v/>
      </c>
      <c r="K200" s="57">
        <f>IF($A200="","",IF(IFERROR(VALUE($D200),0)&lt;&gt;1,"Non attiva",IF(IFERROR(VALUE($O200),0)&lt;Parametri!$B$2,"Sotto soglia","")))</f>
        <v/>
      </c>
      <c r="L200" s="57">
        <f>IF($A200="","",$A200&amp;"|"&amp;$C200)</f>
        <v/>
      </c>
      <c r="M200" s="57">
        <f>IF($A200="","",$C200&amp;"|"&amp;TEXT($J200,"0.0000"))</f>
        <v/>
      </c>
      <c r="N200" s="57" t="n"/>
      <c r="O200" s="57">
        <f>IF($A200="",0,IFERROR(IF(SUMIFS(CriteriTecnici!$O:$O,CriteriTecnici!$Q:$Q,$A200&amp;"|"&amp;$C200)&gt;0,SUMIFS(CriteriTecnici!$O:$O,CriteriTecnici!$Q:$Q,$A200&amp;"|"&amp;$C200,CriteriTecnici!$F:$F,"Q")+SUMIFS(CriteriTecnici!$O:$O,CriteriTecnici!$Q:$Q,$A200&amp;"|"&amp;$C200,CriteriTecnici!$F:$F,"T"),IFERROR($N200*1,0)),0))</f>
        <v/>
      </c>
      <c r="P200" s="57">
        <f>IF($A200="","",IF(SUMIFS(CriteriTecnici!$O:$O,CriteriTecnici!$Q:$Q,$A200&amp;"|"&amp;$C200)&gt;0,"Criteri A-G","Aggregato"))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conditionalFormatting sqref="D2:D81">
    <cfRule type="cellIs" priority="5" operator="equal" dxfId="4">
      <formula>"0"</formula>
    </cfRule>
  </conditionalFormatting>
  <conditionalFormatting sqref="O2:O81">
    <cfRule type="expression" priority="6" dxfId="5">
      <formula>AND($O2&lt;Parametri!$B$2,$A2&lt;&gt;"")</formula>
    </cfRule>
  </conditionalFormatting>
  <conditionalFormatting sqref="G2:G81">
    <cfRule type="cellIs" priority="7" operator="equal" dxfId="3">
      <formula>"SI"</formula>
    </cfRule>
    <cfRule type="cellIs" priority="8" operator="equal" dxfId="4">
      <formula>"NO"</formula>
    </cfRule>
  </conditionalFormatting>
  <dataValidations count="4">
    <dataValidation sqref="C2:C81" showDropDown="0" showInputMessage="0" showErrorMessage="0" allowBlank="1" type="list">
      <formula1>"L1,L2,L3,L4"</formula1>
    </dataValidation>
    <dataValidation sqref="D2:D81" showDropDown="0" showInputMessage="0" showErrorMessage="0" allowBlank="1" type="list">
      <formula1>"1,0"</formula1>
    </dataValidation>
    <dataValidation sqref="N2:N81" showDropDown="0" showInputMessage="0" showErrorMessage="0" allowBlank="1" type="decimal" operator="between">
      <formula1>0</formula1>
      <formula2>70</formula2>
    </dataValidation>
    <dataValidation sqref="F2:F81" showDropDown="0" showInputMessage="0" showErrorMessage="0" allowBlank="1" type="decimal" operator="between">
      <formula1>0</formula1>
      <formula2>100</formula2>
    </dataValidation>
  </dataValidations>
  <pageMargins left="0.25" right="0.25" top="0.5" bottom="0.5" header="0.5" footer="0.5"/>
  <pageSetup fitToHeight="0" fitToWidth="1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 codeName="Foglio5">
    <tabColor rgb="00183B38"/>
    <outlinePr summaryBelow="1" summaryRight="1"/>
    <pageSetUpPr fitToPage="1"/>
  </sheetPr>
  <dimension ref="A1:H30"/>
  <sheetViews>
    <sheetView showGridLines="0" tabSelected="0"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8" customWidth="1" min="1" max="1"/>
    <col width="16" customWidth="1" min="2" max="2"/>
    <col width="24" customWidth="1" min="3" max="3"/>
    <col width="14" customWidth="1" min="4" max="4"/>
    <col width="14" customWidth="1" min="5" max="5"/>
    <col width="14" customWidth="1" min="6" max="6"/>
    <col width="14" customWidth="1" min="7" max="7"/>
    <col width="30" customWidth="1" min="8" max="8"/>
  </cols>
  <sheetData>
    <row r="1" ht="24" customHeight="1">
      <c r="A1" s="54" t="inlineStr">
        <is>
          <t>Lotto</t>
        </is>
      </c>
      <c r="B1" s="54" t="inlineStr">
        <is>
          <t>BidderId</t>
        </is>
      </c>
      <c r="C1" s="54" t="inlineStr">
        <is>
          <t>BidderNome</t>
        </is>
      </c>
      <c r="D1" s="54" t="inlineStr">
        <is>
          <t>Tecnico</t>
        </is>
      </c>
      <c r="E1" s="54" t="inlineStr">
        <is>
          <t>Economico</t>
        </is>
      </c>
      <c r="F1" s="54" t="inlineStr">
        <is>
          <t>Totale</t>
        </is>
      </c>
      <c r="G1" s="54" t="inlineStr">
        <is>
          <t>Ammissibile</t>
        </is>
      </c>
      <c r="H1" s="54" t="inlineStr">
        <is>
          <t>Esito</t>
        </is>
      </c>
    </row>
    <row r="2">
      <c r="A2" s="57" t="inlineStr">
        <is>
          <t>L1</t>
        </is>
      </c>
      <c r="B2" s="57" t="n"/>
      <c r="C2" s="57" t="n"/>
      <c r="D2" s="57" t="n"/>
      <c r="E2" s="57" t="n"/>
      <c r="F2" s="57" t="n"/>
      <c r="G2" s="57" t="n"/>
      <c r="H2" s="57" t="n"/>
    </row>
    <row r="3">
      <c r="A3" s="57" t="inlineStr">
        <is>
          <t>L2</t>
        </is>
      </c>
      <c r="B3" s="57" t="n"/>
      <c r="C3" s="57" t="n"/>
      <c r="D3" s="57" t="n"/>
      <c r="E3" s="57" t="n"/>
      <c r="F3" s="57" t="n"/>
      <c r="G3" s="57" t="n"/>
      <c r="H3" s="57" t="n"/>
    </row>
    <row r="4">
      <c r="A4" s="57" t="inlineStr">
        <is>
          <t>L3</t>
        </is>
      </c>
      <c r="B4" s="57" t="n"/>
      <c r="C4" s="57" t="n"/>
      <c r="D4" s="57" t="n"/>
      <c r="E4" s="57" t="n"/>
      <c r="F4" s="57" t="n"/>
      <c r="G4" s="57" t="n"/>
      <c r="H4" s="57" t="n"/>
    </row>
    <row r="5">
      <c r="A5" s="57" t="inlineStr">
        <is>
          <t>L4</t>
        </is>
      </c>
      <c r="B5" s="57" t="n"/>
      <c r="C5" s="57" t="n"/>
      <c r="D5" s="57" t="n"/>
      <c r="E5" s="57" t="n"/>
      <c r="F5" s="57" t="n"/>
      <c r="G5" s="57" t="n"/>
      <c r="H5" s="57" t="n"/>
    </row>
    <row r="6">
      <c r="A6" s="57" t="n"/>
      <c r="B6" s="57" t="n"/>
      <c r="C6" s="57" t="n"/>
      <c r="D6" s="57" t="n"/>
      <c r="E6" s="57" t="n"/>
      <c r="F6" s="57" t="n"/>
      <c r="G6" s="57" t="n"/>
      <c r="H6" s="57" t="n"/>
    </row>
    <row r="7">
      <c r="A7" s="57" t="n"/>
      <c r="B7" s="57" t="n"/>
      <c r="C7" s="57" t="n"/>
      <c r="D7" s="57" t="n"/>
      <c r="E7" s="57" t="n"/>
      <c r="F7" s="57" t="n"/>
      <c r="G7" s="57" t="n"/>
      <c r="H7" s="57" t="n"/>
    </row>
    <row r="8">
      <c r="A8" s="57" t="inlineStr">
        <is>
          <t>Combinatorie principali</t>
        </is>
      </c>
      <c r="B8" s="57" t="n"/>
      <c r="C8" s="57" t="n"/>
      <c r="D8" s="57" t="n"/>
      <c r="E8" s="57" t="n"/>
      <c r="F8" s="57" t="n"/>
      <c r="G8" s="57" t="n"/>
      <c r="H8" s="57" t="n"/>
    </row>
    <row r="9">
      <c r="A9" s="57" t="inlineStr">
        <is>
          <t>Combinazione</t>
        </is>
      </c>
      <c r="B9" s="57" t="inlineStr">
        <is>
          <t>Ammissibile</t>
        </is>
      </c>
      <c r="C9" s="57" t="inlineStr">
        <is>
          <t>Note</t>
        </is>
      </c>
      <c r="D9" s="57" t="n"/>
      <c r="E9" s="57" t="n"/>
      <c r="F9" s="57" t="n"/>
      <c r="G9" s="57" t="n"/>
      <c r="H9" s="57" t="n"/>
    </row>
    <row r="10">
      <c r="A10" s="57" t="inlineStr">
        <is>
          <t>L1+L2</t>
        </is>
      </c>
      <c r="B10" s="57" t="n"/>
      <c r="C10" s="57" t="n"/>
      <c r="D10" s="57" t="n"/>
      <c r="E10" s="57" t="n"/>
      <c r="F10" s="57" t="n"/>
      <c r="G10" s="57" t="n"/>
      <c r="H10" s="57" t="n"/>
    </row>
    <row r="11">
      <c r="A11" s="57" t="inlineStr">
        <is>
          <t>L2+L3</t>
        </is>
      </c>
      <c r="B11" s="57" t="n"/>
      <c r="C11" s="57" t="n"/>
      <c r="D11" s="57" t="n"/>
      <c r="E11" s="57" t="n"/>
      <c r="F11" s="57" t="n"/>
      <c r="G11" s="57" t="n"/>
      <c r="H11" s="57" t="n"/>
    </row>
    <row r="12">
      <c r="A12" s="57" t="inlineStr">
        <is>
          <t>L3+L4</t>
        </is>
      </c>
      <c r="B12" s="57" t="n"/>
      <c r="C12" s="57" t="n"/>
      <c r="D12" s="57" t="n"/>
      <c r="E12" s="57" t="n"/>
      <c r="F12" s="57" t="n"/>
      <c r="G12" s="57" t="n"/>
      <c r="H12" s="57" t="n"/>
    </row>
    <row r="13">
      <c r="A13" s="57" t="inlineStr">
        <is>
          <t>L1+L4</t>
        </is>
      </c>
      <c r="B13" s="57" t="n"/>
      <c r="C13" s="57" t="n"/>
      <c r="D13" s="57" t="n"/>
      <c r="E13" s="57" t="n"/>
      <c r="F13" s="57" t="n"/>
      <c r="G13" s="57" t="n"/>
      <c r="H13" s="57" t="n"/>
    </row>
    <row r="14">
      <c r="A14" s="57" t="n"/>
      <c r="B14" s="57" t="n"/>
      <c r="C14" s="57" t="n"/>
      <c r="D14" s="57" t="n"/>
      <c r="E14" s="57" t="n"/>
      <c r="F14" s="57" t="n"/>
      <c r="G14" s="57" t="n"/>
      <c r="H14" s="57" t="n"/>
    </row>
    <row r="15">
      <c r="A15" s="57" t="n"/>
      <c r="B15" s="57" t="n"/>
      <c r="C15" s="57" t="n"/>
      <c r="D15" s="57" t="n"/>
      <c r="E15" s="57" t="n"/>
      <c r="F15" s="57" t="n"/>
      <c r="G15" s="57" t="n"/>
      <c r="H15" s="57" t="n"/>
    </row>
    <row r="16">
      <c r="A16" s="57" t="n"/>
      <c r="B16" s="57" t="n"/>
      <c r="C16" s="57" t="n"/>
      <c r="D16" s="57" t="n"/>
      <c r="E16" s="57" t="n"/>
      <c r="F16" s="57" t="n"/>
      <c r="G16" s="57" t="n"/>
      <c r="H16" s="57" t="n"/>
    </row>
    <row r="17">
      <c r="A17" s="57" t="n"/>
      <c r="B17" s="57" t="n"/>
      <c r="C17" s="57" t="n"/>
      <c r="D17" s="57" t="n"/>
      <c r="E17" s="57" t="n"/>
      <c r="F17" s="57" t="n"/>
      <c r="G17" s="57" t="n"/>
      <c r="H17" s="57" t="n"/>
    </row>
    <row r="18">
      <c r="A18" s="57" t="n"/>
      <c r="B18" s="57" t="n"/>
      <c r="C18" s="57" t="n"/>
      <c r="D18" s="57" t="n"/>
      <c r="E18" s="57" t="n"/>
      <c r="F18" s="57" t="n"/>
      <c r="G18" s="57" t="n"/>
      <c r="H18" s="57" t="n"/>
    </row>
    <row r="19">
      <c r="A19" s="57" t="n"/>
      <c r="B19" s="57" t="n"/>
      <c r="C19" s="57" t="n"/>
      <c r="D19" s="57" t="n"/>
      <c r="E19" s="57" t="n"/>
      <c r="F19" s="57" t="n"/>
      <c r="G19" s="57" t="n"/>
      <c r="H19" s="57" t="n"/>
    </row>
    <row r="20">
      <c r="A20" s="57" t="n"/>
      <c r="B20" s="57" t="n"/>
      <c r="C20" s="57" t="n"/>
      <c r="D20" s="57" t="n"/>
      <c r="E20" s="57" t="n"/>
      <c r="F20" s="57" t="n"/>
      <c r="G20" s="57" t="n"/>
      <c r="H20" s="57" t="n"/>
    </row>
    <row r="21">
      <c r="A21" s="57" t="n"/>
      <c r="B21" s="57" t="n"/>
      <c r="C21" s="57" t="n"/>
      <c r="D21" s="57" t="n"/>
      <c r="E21" s="57" t="n"/>
      <c r="F21" s="57" t="n"/>
      <c r="G21" s="57" t="n"/>
      <c r="H21" s="57" t="n"/>
    </row>
    <row r="22">
      <c r="A22" s="57" t="n"/>
      <c r="B22" s="57" t="n"/>
      <c r="C22" s="57" t="n"/>
      <c r="D22" s="57" t="n"/>
      <c r="E22" s="57" t="n"/>
      <c r="F22" s="57" t="n"/>
      <c r="G22" s="57" t="n"/>
      <c r="H22" s="57" t="n"/>
    </row>
    <row r="23">
      <c r="A23" s="57" t="n"/>
      <c r="B23" s="57" t="n"/>
      <c r="C23" s="57" t="n"/>
      <c r="D23" s="57" t="n"/>
      <c r="E23" s="57" t="n"/>
      <c r="F23" s="57" t="n"/>
      <c r="G23" s="57" t="n"/>
      <c r="H23" s="57" t="n"/>
    </row>
    <row r="24">
      <c r="A24" s="57" t="n"/>
      <c r="B24" s="57" t="n"/>
      <c r="C24" s="57" t="n"/>
      <c r="D24" s="57" t="n"/>
      <c r="E24" s="57" t="n"/>
      <c r="F24" s="57" t="n"/>
      <c r="G24" s="57" t="n"/>
      <c r="H24" s="57" t="n"/>
    </row>
    <row r="25">
      <c r="A25" s="57" t="n"/>
      <c r="B25" s="57" t="n"/>
      <c r="C25" s="57" t="n"/>
      <c r="D25" s="57" t="n"/>
      <c r="E25" s="57" t="n"/>
      <c r="F25" s="57" t="n"/>
      <c r="G25" s="57" t="n"/>
      <c r="H25" s="57" t="n"/>
    </row>
    <row r="26">
      <c r="A26" s="57" t="n"/>
      <c r="B26" s="57" t="n"/>
      <c r="C26" s="57" t="n"/>
      <c r="D26" s="57" t="n"/>
      <c r="E26" s="57" t="n"/>
      <c r="F26" s="57" t="n"/>
      <c r="G26" s="57" t="n"/>
      <c r="H26" s="57" t="n"/>
    </row>
    <row r="27">
      <c r="A27" s="57" t="n"/>
      <c r="B27" s="57" t="n"/>
      <c r="C27" s="57" t="n"/>
      <c r="D27" s="57" t="n"/>
      <c r="E27" s="57" t="n"/>
      <c r="F27" s="57" t="n"/>
      <c r="G27" s="57" t="n"/>
      <c r="H27" s="57" t="n"/>
    </row>
    <row r="28">
      <c r="A28" s="57" t="n"/>
      <c r="B28" s="57" t="n"/>
      <c r="C28" s="57" t="n"/>
      <c r="D28" s="57" t="n"/>
      <c r="E28" s="57" t="n"/>
      <c r="F28" s="57" t="n"/>
      <c r="G28" s="57" t="n"/>
      <c r="H28" s="57" t="n"/>
    </row>
    <row r="29">
      <c r="A29" s="57" t="n"/>
      <c r="B29" s="57" t="n"/>
      <c r="C29" s="57" t="n"/>
      <c r="D29" s="57" t="n"/>
      <c r="E29" s="57" t="n"/>
      <c r="F29" s="57" t="n"/>
      <c r="G29" s="57" t="n"/>
      <c r="H29" s="57" t="n"/>
    </row>
    <row r="30">
      <c r="A30" s="57" t="n"/>
      <c r="B30" s="57" t="n"/>
      <c r="C30" s="57" t="n"/>
      <c r="D30" s="57" t="n"/>
      <c r="E30" s="57" t="n"/>
      <c r="F30" s="57" t="n"/>
      <c r="G30" s="57" t="n"/>
      <c r="H30" s="57" t="n"/>
    </row>
  </sheetData>
  <conditionalFormatting sqref="D2:D81">
    <cfRule type="cellIs" priority="3" operator="equal" dxfId="4">
      <formula>"NO"</formula>
    </cfRule>
    <cfRule type="cellIs" priority="4" operator="equal" dxfId="3">
      <formula>"SI"</formula>
    </cfRule>
  </conditionalFormatting>
  <pageMargins left="0.25" right="0.25" top="0.5" bottom="0.5" header="0.5" footer="0.5"/>
  <pageSetup fitToHeight="0" fitToWidth="1"/>
</worksheet>
</file>

<file path=xl/worksheets/sheet11.xml><?xml version="1.0" encoding="utf-8"?>
<worksheet xmlns="http://schemas.openxmlformats.org/spreadsheetml/2006/main">
  <sheetPr codeName="Foglio1">
    <tabColor rgb="00315A8A"/>
    <outlinePr summaryBelow="1" summaryRight="1"/>
    <pageSetUpPr fitToPage="1"/>
  </sheetPr>
  <dimension ref="A1:H14"/>
  <sheetViews>
    <sheetView showGridLines="0" tabSelected="0" workbookViewId="0">
      <pane ySplit="3" topLeftCell="A4" activePane="bottomLeft" state="frozen"/>
      <selection pane="bottomLeft" activeCell="A1" sqref="A1"/>
    </sheetView>
  </sheetViews>
  <sheetFormatPr baseColWidth="10" defaultColWidth="8.83203125" defaultRowHeight="15"/>
  <cols>
    <col width="8" customWidth="1" min="1" max="1"/>
    <col width="20" customWidth="1" min="2" max="2"/>
    <col width="24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</cols>
  <sheetData>
    <row r="1" ht="28" customHeight="1">
      <c r="A1" s="39" t="inlineStr">
        <is>
          <t>Istruzioni rapide</t>
        </is>
      </c>
    </row>
    <row r="2">
      <c r="A2" s="40" t="inlineStr">
        <is>
          <t>Punto di partenza per usare il file senza leggere documenti esterni.</t>
        </is>
      </c>
    </row>
    <row r="3"/>
    <row r="4" ht="22" customHeight="1">
      <c r="A4" s="41" t="inlineStr">
        <is>
          <t>Percorso consigliato</t>
        </is>
      </c>
    </row>
    <row r="5">
      <c r="A5" s="61" t="inlineStr">
        <is>
          <t>1</t>
        </is>
      </c>
      <c r="B5" s="62" t="inlineStr">
        <is>
          <t>Dashboard</t>
        </is>
      </c>
      <c r="C5" s="48" t="inlineStr">
        <is>
          <t>Apri la dashboard per orientarti e passare ai fogli principali.</t>
        </is>
      </c>
      <c r="D5" s="48" t="n"/>
      <c r="E5" s="48" t="n"/>
      <c r="F5" s="48" t="n"/>
      <c r="G5" s="48" t="n"/>
      <c r="H5" s="48" t="n"/>
    </row>
    <row r="6">
      <c r="A6" s="61" t="inlineStr">
        <is>
          <t>2</t>
        </is>
      </c>
      <c r="B6" s="62" t="inlineStr">
        <is>
          <t>Compila</t>
        </is>
      </c>
      <c r="C6" s="48" t="inlineStr">
        <is>
          <t>Imposta soglia, lotto attivo, concorrenti, lotti e ribassi.</t>
        </is>
      </c>
      <c r="D6" s="48" t="n"/>
      <c r="E6" s="48" t="n"/>
      <c r="F6" s="48" t="n"/>
      <c r="G6" s="48" t="n"/>
      <c r="H6" s="48" t="n"/>
    </row>
    <row r="7">
      <c r="A7" s="61" t="inlineStr">
        <is>
          <t>3</t>
        </is>
      </c>
      <c r="B7" s="62" t="inlineStr">
        <is>
          <t>CriteriTecnici</t>
        </is>
      </c>
      <c r="C7" s="48" t="inlineStr">
        <is>
          <t>Completa i sub-criteri A-G quando servono punteggi tecnici dettagliati.</t>
        </is>
      </c>
      <c r="D7" s="48" t="n"/>
      <c r="E7" s="48" t="n"/>
      <c r="F7" s="48" t="n"/>
      <c r="G7" s="48" t="n"/>
      <c r="H7" s="48" t="n"/>
    </row>
    <row r="8">
      <c r="A8" s="61" t="inlineStr">
        <is>
          <t>4</t>
        </is>
      </c>
      <c r="B8" s="62" t="inlineStr">
        <is>
          <t>Macro</t>
        </is>
      </c>
      <c r="C8" s="48" t="inlineStr">
        <is>
          <t>Esegui CheckBeforeRun, SimulaScenario e, se serve, OttimizzaLottoAttivo.</t>
        </is>
      </c>
      <c r="D8" s="48" t="n"/>
      <c r="E8" s="48" t="n"/>
      <c r="F8" s="48" t="n"/>
      <c r="G8" s="48" t="n"/>
      <c r="H8" s="48" t="n"/>
    </row>
    <row r="9">
      <c r="A9" s="61" t="inlineStr">
        <is>
          <t>5</t>
        </is>
      </c>
      <c r="B9" s="62" t="inlineStr">
        <is>
          <t>Report</t>
        </is>
      </c>
      <c r="C9" s="48" t="inlineStr">
        <is>
          <t>Leggi vincitori, combinatorie e stato scenario in forma sintetica.</t>
        </is>
      </c>
      <c r="D9" s="48" t="n"/>
      <c r="E9" s="48" t="n"/>
      <c r="F9" s="48" t="n"/>
      <c r="G9" s="48" t="n"/>
      <c r="H9" s="48" t="n"/>
    </row>
    <row r="10"/>
    <row r="11"/>
    <row r="12" ht="22" customHeight="1">
      <c r="A12" s="41" t="inlineStr">
        <is>
          <t>Avviso</t>
        </is>
      </c>
    </row>
    <row r="13">
      <c r="A13" s="63" t="inlineStr">
        <is>
          <t>Il workbook supporta simulazione offline con offerte, sub-criteri A-G e combinatorie. Per warning documentali avanzati, persistenza e confronto scenari salvati resta centrale la web app.</t>
        </is>
      </c>
    </row>
    <row r="14"/>
  </sheetData>
  <mergeCells count="10">
    <mergeCell ref="A12:H12"/>
    <mergeCell ref="A4:H4"/>
    <mergeCell ref="C6:H6"/>
    <mergeCell ref="A13:H14"/>
    <mergeCell ref="C5:H5"/>
    <mergeCell ref="A2:H2"/>
    <mergeCell ref="C9:H9"/>
    <mergeCell ref="C8:H8"/>
    <mergeCell ref="A1:H1"/>
    <mergeCell ref="C7:H7"/>
  </mergeCells>
  <pageMargins left="0.25" right="0.25" top="0.5" bottom="0.5" header="0.5" footer="0.5"/>
  <pageSetup fitToHeight="0" fitToWidth="1"/>
</worksheet>
</file>

<file path=xl/worksheets/sheet12.xml><?xml version="1.0" encoding="utf-8"?>
<worksheet xmlns="http://schemas.openxmlformats.org/spreadsheetml/2006/main">
  <sheetPr>
    <tabColor rgb="00315A8A"/>
    <outlinePr summaryBelow="1" summaryRight="1"/>
    <pageSetUpPr fitToPage="1"/>
  </sheetPr>
  <dimension ref="A1:H34"/>
  <sheetViews>
    <sheetView showGridLines="0" tabSelected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4" customWidth="1" min="1" max="1"/>
    <col width="18" customWidth="1" min="2" max="2"/>
    <col width="18" customWidth="1" min="3" max="3"/>
    <col width="18" customWidth="1" min="4" max="4"/>
    <col width="18" customWidth="1" min="5" max="5"/>
    <col width="14" customWidth="1" min="6" max="6"/>
    <col width="34" customWidth="1" min="7" max="7"/>
    <col width="10" customWidth="1" min="8" max="8"/>
  </cols>
  <sheetData>
    <row r="1" ht="28" customHeight="1">
      <c r="A1" s="39" t="inlineStr">
        <is>
          <t>Scenario globale</t>
        </is>
      </c>
    </row>
    <row r="2">
      <c r="A2" s="40" t="inlineStr">
        <is>
          <t>Matrice operativa per confrontare singoli e combinatorie compatibili dentro Excel.</t>
        </is>
      </c>
    </row>
    <row r="3"/>
    <row r="4" ht="22" customHeight="1">
      <c r="A4" s="41" t="inlineStr">
        <is>
          <t>Migliori singoli per lotto</t>
        </is>
      </c>
    </row>
    <row r="5" ht="24" customHeight="1">
      <c r="A5" s="54" t="inlineStr">
        <is>
          <t>Lotto</t>
        </is>
      </c>
      <c r="B5" s="54" t="inlineStr">
        <is>
          <t>BidderId</t>
        </is>
      </c>
      <c r="C5" s="54" t="inlineStr">
        <is>
          <t>BidderNome</t>
        </is>
      </c>
      <c r="D5" s="54" t="inlineStr">
        <is>
          <t>Totale</t>
        </is>
      </c>
      <c r="E5" s="54" t="inlineStr">
        <is>
          <t>Tecnico</t>
        </is>
      </c>
      <c r="F5" s="54" t="inlineStr">
        <is>
          <t>Economico</t>
        </is>
      </c>
      <c r="G5" s="54" t="inlineStr">
        <is>
          <t>Warning</t>
        </is>
      </c>
      <c r="H5" s="54" t="inlineStr">
        <is>
          <t>Origine</t>
        </is>
      </c>
    </row>
    <row r="6">
      <c r="A6" s="57" t="inlineStr">
        <is>
          <t>L1</t>
        </is>
      </c>
      <c r="B6" s="57">
        <f>IF($D6=0,"",IFERROR(INDEX(Offerte!$A$2:$A$81,MATCH($A6&amp;"|"&amp;TEXT($D6,"0.0000"),Offerte!$M$2:$M$81,0)),""))</f>
        <v/>
      </c>
      <c r="C6" s="57">
        <f>IF($B6="","",IFERROR(INDEX(Offerte!$B$2:$B$81,MATCH($B6&amp;"|"&amp;$A6,Offerte!$L$2:$L$81,0)),""))</f>
        <v/>
      </c>
      <c r="D6" s="57">
        <f>SUMPRODUCT(MAX((Offerte!$C$2:$C$81=$A6)*(Offerte!$G$2:$G$81="SI")*Offerte!$J$2:$J$81))</f>
        <v/>
      </c>
      <c r="E6" s="57">
        <f>IF($B6="","",IFERROR(INDEX(Offerte!$E$2:$E$81,MATCH($B6&amp;"|"&amp;$A6,Offerte!$L$2:$L$81,0)),0))</f>
        <v/>
      </c>
      <c r="F6" s="57">
        <f>IF($B6="","",IFERROR(INDEX(Offerte!$I$2:$I$81,MATCH($B6&amp;"|"&amp;$A6,Offerte!$L$2:$L$81,0)),0))</f>
        <v/>
      </c>
      <c r="G6" s="57">
        <f>IF($B6="","Nessuna offerta ammessa","")</f>
        <v/>
      </c>
      <c r="H6" s="57" t="inlineStr">
        <is>
          <t>Singolo</t>
        </is>
      </c>
    </row>
    <row r="7">
      <c r="A7" s="57" t="inlineStr">
        <is>
          <t>L2</t>
        </is>
      </c>
      <c r="B7" s="57">
        <f>IF($D7=0,"",IFERROR(INDEX(Offerte!$A$2:$A$81,MATCH($A7&amp;"|"&amp;TEXT($D7,"0.0000"),Offerte!$M$2:$M$81,0)),""))</f>
        <v/>
      </c>
      <c r="C7" s="57">
        <f>IF($B7="","",IFERROR(INDEX(Offerte!$B$2:$B$81,MATCH($B7&amp;"|"&amp;$A7,Offerte!$L$2:$L$81,0)),""))</f>
        <v/>
      </c>
      <c r="D7" s="57">
        <f>SUMPRODUCT(MAX((Offerte!$C$2:$C$81=$A7)*(Offerte!$G$2:$G$81="SI")*Offerte!$J$2:$J$81))</f>
        <v/>
      </c>
      <c r="E7" s="57">
        <f>IF($B7="","",IFERROR(INDEX(Offerte!$E$2:$E$81,MATCH($B7&amp;"|"&amp;$A7,Offerte!$L$2:$L$81,0)),0))</f>
        <v/>
      </c>
      <c r="F7" s="57">
        <f>IF($B7="","",IFERROR(INDEX(Offerte!$I$2:$I$81,MATCH($B7&amp;"|"&amp;$A7,Offerte!$L$2:$L$81,0)),0))</f>
        <v/>
      </c>
      <c r="G7" s="57">
        <f>IF($B7="","Nessuna offerta ammessa","")</f>
        <v/>
      </c>
      <c r="H7" s="57" t="inlineStr">
        <is>
          <t>Singolo</t>
        </is>
      </c>
    </row>
    <row r="8">
      <c r="A8" s="57" t="inlineStr">
        <is>
          <t>L3</t>
        </is>
      </c>
      <c r="B8" s="57">
        <f>IF($D8=0,"",IFERROR(INDEX(Offerte!$A$2:$A$81,MATCH($A8&amp;"|"&amp;TEXT($D8,"0.0000"),Offerte!$M$2:$M$81,0)),""))</f>
        <v/>
      </c>
      <c r="C8" s="57">
        <f>IF($B8="","",IFERROR(INDEX(Offerte!$B$2:$B$81,MATCH($B8&amp;"|"&amp;$A8,Offerte!$L$2:$L$81,0)),""))</f>
        <v/>
      </c>
      <c r="D8" s="57">
        <f>SUMPRODUCT(MAX((Offerte!$C$2:$C$81=$A8)*(Offerte!$G$2:$G$81="SI")*Offerte!$J$2:$J$81))</f>
        <v/>
      </c>
      <c r="E8" s="57">
        <f>IF($B8="","",IFERROR(INDEX(Offerte!$E$2:$E$81,MATCH($B8&amp;"|"&amp;$A8,Offerte!$L$2:$L$81,0)),0))</f>
        <v/>
      </c>
      <c r="F8" s="57">
        <f>IF($B8="","",IFERROR(INDEX(Offerte!$I$2:$I$81,MATCH($B8&amp;"|"&amp;$A8,Offerte!$L$2:$L$81,0)),0))</f>
        <v/>
      </c>
      <c r="G8" s="57">
        <f>IF($B8="","Nessuna offerta ammessa","")</f>
        <v/>
      </c>
      <c r="H8" s="57" t="inlineStr">
        <is>
          <t>Singolo</t>
        </is>
      </c>
    </row>
    <row r="9">
      <c r="A9" s="57" t="inlineStr">
        <is>
          <t>L4</t>
        </is>
      </c>
      <c r="B9" s="57">
        <f>IF($D9=0,"",IFERROR(INDEX(Offerte!$A$2:$A$81,MATCH($A9&amp;"|"&amp;TEXT($D9,"0.0000"),Offerte!$M$2:$M$81,0)),""))</f>
        <v/>
      </c>
      <c r="C9" s="57">
        <f>IF($B9="","",IFERROR(INDEX(Offerte!$B$2:$B$81,MATCH($B9&amp;"|"&amp;$A9,Offerte!$L$2:$L$81,0)),""))</f>
        <v/>
      </c>
      <c r="D9" s="57">
        <f>SUMPRODUCT(MAX((Offerte!$C$2:$C$81=$A9)*(Offerte!$G$2:$G$81="SI")*Offerte!$J$2:$J$81))</f>
        <v/>
      </c>
      <c r="E9" s="57">
        <f>IF($B9="","",IFERROR(INDEX(Offerte!$E$2:$E$81,MATCH($B9&amp;"|"&amp;$A9,Offerte!$L$2:$L$81,0)),0))</f>
        <v/>
      </c>
      <c r="F9" s="57">
        <f>IF($B9="","",IFERROR(INDEX(Offerte!$I$2:$I$81,MATCH($B9&amp;"|"&amp;$A9,Offerte!$L$2:$L$81,0)),0))</f>
        <v/>
      </c>
      <c r="G9" s="57">
        <f>IF($B9="","Nessuna offerta ammessa","")</f>
        <v/>
      </c>
      <c r="H9" s="57" t="inlineStr">
        <is>
          <t>Singolo</t>
        </is>
      </c>
    </row>
    <row r="10"/>
    <row r="11"/>
    <row r="12" ht="22" customHeight="1">
      <c r="A12" s="41" t="inlineStr">
        <is>
          <t>Migliori combinatorie per coppia</t>
        </is>
      </c>
    </row>
    <row r="13" ht="24" customHeight="1">
      <c r="A13" s="54" t="inlineStr">
        <is>
          <t>Coppia</t>
        </is>
      </c>
      <c r="B13" s="54" t="inlineStr">
        <is>
          <t>BidderId</t>
        </is>
      </c>
      <c r="C13" s="54" t="inlineStr">
        <is>
          <t>BidderNome</t>
        </is>
      </c>
      <c r="D13" s="54" t="inlineStr">
        <is>
          <t>Totale</t>
        </is>
      </c>
      <c r="E13" s="54" t="inlineStr">
        <is>
          <t>Ammissibile</t>
        </is>
      </c>
      <c r="F13" s="54" t="inlineStr">
        <is>
          <t>Ribasso</t>
        </is>
      </c>
      <c r="G13" s="54" t="inlineStr">
        <is>
          <t>Note</t>
        </is>
      </c>
      <c r="H13" s="54" t="inlineStr">
        <is>
          <t>Origine</t>
        </is>
      </c>
    </row>
    <row r="14">
      <c r="A14" s="57" t="inlineStr">
        <is>
          <t>L1+L2</t>
        </is>
      </c>
      <c r="B14" s="57">
        <f>IF($D14=0,"",IFERROR(INDEX(Combinatorie!$A$5:$A$80,MATCH($A14&amp;"|"&amp;TEXT($D14,"0.0000"),Combinatorie!$V$5:$V$80,0)),""))</f>
        <v/>
      </c>
      <c r="C14" s="57">
        <f>IF($B14="","",IFERROR(INDEX(Combinatorie!$B$5:$B$80,MATCH($A14&amp;"|"&amp;$B14,Combinatorie!$W$5:$W$80,0)),""))</f>
        <v/>
      </c>
      <c r="D14" s="57">
        <f>SUMPRODUCT(MAX((Combinatorie!$C$5:$C$80=$A14)*(Combinatorie!$N$5:$N$80="SI")*Combinatorie!$Q$5:$Q$80))</f>
        <v/>
      </c>
      <c r="E14" s="57">
        <f>IF($B14="","NO","SI")</f>
        <v/>
      </c>
      <c r="F14" s="57">
        <f>IF($B14="","",IFERROR(INDEX(Combinatorie!$E$5:$E$80,MATCH($A14&amp;"|"&amp;$B14,Combinatorie!$W$5:$W$80,0)),0))</f>
        <v/>
      </c>
      <c r="G14" s="57">
        <f>IF($B14="","Nessuna combinatoria ammessa","")</f>
        <v/>
      </c>
      <c r="H14" s="57" t="inlineStr">
        <is>
          <t>Combinatoria</t>
        </is>
      </c>
    </row>
    <row r="15">
      <c r="A15" s="57" t="inlineStr">
        <is>
          <t>L2+L3</t>
        </is>
      </c>
      <c r="B15" s="57">
        <f>IF($D15=0,"",IFERROR(INDEX(Combinatorie!$A$5:$A$80,MATCH($A15&amp;"|"&amp;TEXT($D15,"0.0000"),Combinatorie!$V$5:$V$80,0)),""))</f>
        <v/>
      </c>
      <c r="C15" s="57">
        <f>IF($B15="","",IFERROR(INDEX(Combinatorie!$B$5:$B$80,MATCH($A15&amp;"|"&amp;$B15,Combinatorie!$W$5:$W$80,0)),""))</f>
        <v/>
      </c>
      <c r="D15" s="57">
        <f>SUMPRODUCT(MAX((Combinatorie!$C$5:$C$80=$A15)*(Combinatorie!$N$5:$N$80="SI")*Combinatorie!$Q$5:$Q$80))</f>
        <v/>
      </c>
      <c r="E15" s="57">
        <f>IF($B15="","NO","SI")</f>
        <v/>
      </c>
      <c r="F15" s="57">
        <f>IF($B15="","",IFERROR(INDEX(Combinatorie!$E$5:$E$80,MATCH($A15&amp;"|"&amp;$B15,Combinatorie!$W$5:$W$80,0)),0))</f>
        <v/>
      </c>
      <c r="G15" s="57">
        <f>IF($B15="","Nessuna combinatoria ammessa","")</f>
        <v/>
      </c>
      <c r="H15" s="57" t="inlineStr">
        <is>
          <t>Combinatoria</t>
        </is>
      </c>
    </row>
    <row r="16">
      <c r="A16" s="57" t="inlineStr">
        <is>
          <t>L3+L4</t>
        </is>
      </c>
      <c r="B16" s="57">
        <f>IF($D16=0,"",IFERROR(INDEX(Combinatorie!$A$5:$A$80,MATCH($A16&amp;"|"&amp;TEXT($D16,"0.0000"),Combinatorie!$V$5:$V$80,0)),""))</f>
        <v/>
      </c>
      <c r="C16" s="57">
        <f>IF($B16="","",IFERROR(INDEX(Combinatorie!$B$5:$B$80,MATCH($A16&amp;"|"&amp;$B16,Combinatorie!$W$5:$W$80,0)),""))</f>
        <v/>
      </c>
      <c r="D16" s="57">
        <f>SUMPRODUCT(MAX((Combinatorie!$C$5:$C$80=$A16)*(Combinatorie!$N$5:$N$80="SI")*Combinatorie!$Q$5:$Q$80))</f>
        <v/>
      </c>
      <c r="E16" s="57">
        <f>IF($B16="","NO","SI")</f>
        <v/>
      </c>
      <c r="F16" s="57">
        <f>IF($B16="","",IFERROR(INDEX(Combinatorie!$E$5:$E$80,MATCH($A16&amp;"|"&amp;$B16,Combinatorie!$W$5:$W$80,0)),0))</f>
        <v/>
      </c>
      <c r="G16" s="57">
        <f>IF($B16="","Nessuna combinatoria ammessa","")</f>
        <v/>
      </c>
      <c r="H16" s="57" t="inlineStr">
        <is>
          <t>Combinatoria</t>
        </is>
      </c>
    </row>
    <row r="17">
      <c r="A17" s="57" t="inlineStr">
        <is>
          <t>L1+L4</t>
        </is>
      </c>
      <c r="B17" s="57">
        <f>IF($D17=0,"",IFERROR(INDEX(Combinatorie!$A$5:$A$80,MATCH($A17&amp;"|"&amp;TEXT($D17,"0.0000"),Combinatorie!$V$5:$V$80,0)),""))</f>
        <v/>
      </c>
      <c r="C17" s="57">
        <f>IF($B17="","",IFERROR(INDEX(Combinatorie!$B$5:$B$80,MATCH($A17&amp;"|"&amp;$B17,Combinatorie!$W$5:$W$80,0)),""))</f>
        <v/>
      </c>
      <c r="D17" s="57">
        <f>SUMPRODUCT(MAX((Combinatorie!$C$5:$C$80=$A17)*(Combinatorie!$N$5:$N$80="SI")*Combinatorie!$Q$5:$Q$80))</f>
        <v/>
      </c>
      <c r="E17" s="57">
        <f>IF($B17="","NO","SI")</f>
        <v/>
      </c>
      <c r="F17" s="57">
        <f>IF($B17="","",IFERROR(INDEX(Combinatorie!$E$5:$E$80,MATCH($A17&amp;"|"&amp;$B17,Combinatorie!$W$5:$W$80,0)),0))</f>
        <v/>
      </c>
      <c r="G17" s="57">
        <f>IF($B17="","Nessuna combinatoria ammessa","")</f>
        <v/>
      </c>
      <c r="H17" s="57" t="inlineStr">
        <is>
          <t>Combinatoria</t>
        </is>
      </c>
    </row>
    <row r="18"/>
    <row r="19"/>
    <row r="20" ht="22" customHeight="1">
      <c r="A20" s="41" t="inlineStr">
        <is>
          <t>Matrice scenario indicativa</t>
        </is>
      </c>
    </row>
    <row r="21" ht="24" customHeight="1">
      <c r="A21" s="54" t="inlineStr">
        <is>
          <t>Scenario</t>
        </is>
      </c>
      <c r="B21" s="54" t="inlineStr">
        <is>
          <t>L1</t>
        </is>
      </c>
      <c r="C21" s="54" t="inlineStr">
        <is>
          <t>L2</t>
        </is>
      </c>
      <c r="D21" s="54" t="inlineStr">
        <is>
          <t>L3</t>
        </is>
      </c>
      <c r="E21" s="54" t="inlineStr">
        <is>
          <t>L4</t>
        </is>
      </c>
      <c r="F21" s="54" t="inlineStr">
        <is>
          <t>Totale</t>
        </is>
      </c>
      <c r="G21" s="54" t="inlineStr">
        <is>
          <t>Nota</t>
        </is>
      </c>
      <c r="H21" s="54" t="inlineStr">
        <is>
          <t>Rank</t>
        </is>
      </c>
    </row>
    <row r="22">
      <c r="A22" s="48" t="inlineStr">
        <is>
          <t>Tutti singoli</t>
        </is>
      </c>
      <c r="B22" s="48" t="inlineStr">
        <is>
          <t>Singolo L1</t>
        </is>
      </c>
      <c r="C22" s="48" t="inlineStr">
        <is>
          <t>Singolo L2</t>
        </is>
      </c>
      <c r="D22" s="48" t="inlineStr">
        <is>
          <t>Singolo L3</t>
        </is>
      </c>
      <c r="E22" s="48" t="inlineStr">
        <is>
          <t>Singolo L4</t>
        </is>
      </c>
      <c r="F22" s="48">
        <f>SUM($D$6:$D$9)</f>
        <v/>
      </c>
      <c r="G22" s="48">
        <f>IF($F22=0,"Nessun dato sufficiente",IF($H22=1,"Scenario migliore nella matrice",""))</f>
        <v/>
      </c>
      <c r="H22" s="48">
        <f>IF($F22=0,"",RANK($F22,$F$22:$F$28,0))</f>
        <v/>
      </c>
    </row>
    <row r="23">
      <c r="A23" s="48" t="inlineStr">
        <is>
          <t>L1+L2 + singoli</t>
        </is>
      </c>
      <c r="B23" s="48" t="inlineStr">
        <is>
          <t>Combo L1+L2</t>
        </is>
      </c>
      <c r="C23" s="48" t="inlineStr">
        <is>
          <t>Combo L1+L2</t>
        </is>
      </c>
      <c r="D23" s="48" t="inlineStr">
        <is>
          <t>Singolo L3</t>
        </is>
      </c>
      <c r="E23" s="48" t="inlineStr">
        <is>
          <t>Singolo L4</t>
        </is>
      </c>
      <c r="F23" s="48">
        <f>$D$14+$D$8+$D$9</f>
        <v/>
      </c>
      <c r="G23" s="48">
        <f>IF($F23=0,"Nessun dato sufficiente",IF($H23=1,"Scenario migliore nella matrice",""))</f>
        <v/>
      </c>
      <c r="H23" s="48">
        <f>IF($F23=0,"",RANK($F23,$F$22:$F$28,0))</f>
        <v/>
      </c>
    </row>
    <row r="24">
      <c r="A24" s="48" t="inlineStr">
        <is>
          <t>L2+L3 + singoli</t>
        </is>
      </c>
      <c r="B24" s="48" t="inlineStr">
        <is>
          <t>Singolo L1</t>
        </is>
      </c>
      <c r="C24" s="48" t="inlineStr">
        <is>
          <t>Combo L2+L3</t>
        </is>
      </c>
      <c r="D24" s="48" t="inlineStr">
        <is>
          <t>Combo L2+L3</t>
        </is>
      </c>
      <c r="E24" s="48" t="inlineStr">
        <is>
          <t>Singolo L4</t>
        </is>
      </c>
      <c r="F24" s="48">
        <f>$D$6+$D$15+$D$9</f>
        <v/>
      </c>
      <c r="G24" s="48">
        <f>IF($F24=0,"Nessun dato sufficiente",IF($H24=1,"Scenario migliore nella matrice",""))</f>
        <v/>
      </c>
      <c r="H24" s="48">
        <f>IF($F24=0,"",RANK($F24,$F$22:$F$28,0))</f>
        <v/>
      </c>
    </row>
    <row r="25">
      <c r="A25" s="48" t="inlineStr">
        <is>
          <t>L3+L4 + singoli</t>
        </is>
      </c>
      <c r="B25" s="48" t="inlineStr">
        <is>
          <t>Singolo L1</t>
        </is>
      </c>
      <c r="C25" s="48" t="inlineStr">
        <is>
          <t>Singolo L2</t>
        </is>
      </c>
      <c r="D25" s="48" t="inlineStr">
        <is>
          <t>Combo L3+L4</t>
        </is>
      </c>
      <c r="E25" s="48" t="inlineStr">
        <is>
          <t>Combo L3+L4</t>
        </is>
      </c>
      <c r="F25" s="48">
        <f>$D$6+$D$7+$D$16</f>
        <v/>
      </c>
      <c r="G25" s="48">
        <f>IF($F25=0,"Nessun dato sufficiente",IF($H25=1,"Scenario migliore nella matrice",""))</f>
        <v/>
      </c>
      <c r="H25" s="48">
        <f>IF($F25=0,"",RANK($F25,$F$22:$F$28,0))</f>
        <v/>
      </c>
    </row>
    <row r="26">
      <c r="A26" s="48" t="inlineStr">
        <is>
          <t>L1+L4 + singoli</t>
        </is>
      </c>
      <c r="B26" s="48" t="inlineStr">
        <is>
          <t>Combo L1+L4</t>
        </is>
      </c>
      <c r="C26" s="48" t="inlineStr">
        <is>
          <t>Singolo L2</t>
        </is>
      </c>
      <c r="D26" s="48" t="inlineStr">
        <is>
          <t>Singolo L3</t>
        </is>
      </c>
      <c r="E26" s="48" t="inlineStr">
        <is>
          <t>Combo L1+L4</t>
        </is>
      </c>
      <c r="F26" s="48">
        <f>$D$17+$D$7+$D$8</f>
        <v/>
      </c>
      <c r="G26" s="48">
        <f>IF($F26=0,"Nessun dato sufficiente",IF($H26=1,"Scenario migliore nella matrice",""))</f>
        <v/>
      </c>
      <c r="H26" s="48">
        <f>IF($F26=0,"",RANK($F26,$F$22:$F$28,0))</f>
        <v/>
      </c>
    </row>
    <row r="27">
      <c r="A27" s="48" t="inlineStr">
        <is>
          <t>L1+L2 e L3+L4</t>
        </is>
      </c>
      <c r="B27" s="48" t="inlineStr">
        <is>
          <t>Combo L1+L2</t>
        </is>
      </c>
      <c r="C27" s="48" t="inlineStr">
        <is>
          <t>Combo L1+L2</t>
        </is>
      </c>
      <c r="D27" s="48" t="inlineStr">
        <is>
          <t>Combo L3+L4</t>
        </is>
      </c>
      <c r="E27" s="48" t="inlineStr">
        <is>
          <t>Combo L3+L4</t>
        </is>
      </c>
      <c r="F27" s="48">
        <f>$D$14+$D$16</f>
        <v/>
      </c>
      <c r="G27" s="48">
        <f>IF($F27=0,"Nessun dato sufficiente",IF($H27=1,"Scenario migliore nella matrice",""))</f>
        <v/>
      </c>
      <c r="H27" s="48">
        <f>IF($F27=0,"",RANK($F27,$F$22:$F$28,0))</f>
        <v/>
      </c>
    </row>
    <row r="28">
      <c r="A28" s="48" t="inlineStr">
        <is>
          <t>L2+L3 e L1+L4</t>
        </is>
      </c>
      <c r="B28" s="48" t="inlineStr">
        <is>
          <t>Combo L1+L4</t>
        </is>
      </c>
      <c r="C28" s="48" t="inlineStr">
        <is>
          <t>Combo L2+L3</t>
        </is>
      </c>
      <c r="D28" s="48" t="inlineStr">
        <is>
          <t>Combo L2+L3</t>
        </is>
      </c>
      <c r="E28" s="48" t="inlineStr">
        <is>
          <t>Combo L1+L4</t>
        </is>
      </c>
      <c r="F28" s="48">
        <f>$D$15+$D$17</f>
        <v/>
      </c>
      <c r="G28" s="48">
        <f>IF($F28=0,"Nessun dato sufficiente",IF($H28=1,"Scenario migliore nella matrice",""))</f>
        <v/>
      </c>
      <c r="H28" s="48">
        <f>IF($F28=0,"",RANK($F28,$F$22:$F$28,0))</f>
        <v/>
      </c>
    </row>
    <row r="29"/>
    <row r="30"/>
    <row r="31" ht="22" customHeight="1">
      <c r="A31" s="41" t="inlineStr">
        <is>
          <t>Limiti della matrice Excel</t>
        </is>
      </c>
    </row>
    <row r="32">
      <c r="A32" s="63" t="inlineStr">
        <is>
          <t>La matrice è pensata per analisi operative rapide: considera singoli e coppie compatibili principali.</t>
        </is>
      </c>
    </row>
    <row r="33">
      <c r="A33" s="64" t="inlineStr">
        <is>
          <t>Per warning documentali avanzati, persistenza JSON, simulazioni batch e deroga al limite di due lotti resta più affidabile la web app.</t>
        </is>
      </c>
    </row>
    <row r="34">
      <c r="A34" s="64" t="inlineStr">
        <is>
          <t>Se una combinatoria non compare, controlla foglio Combinatorie: singoli attivi, soglia, buste, PEF e ribasso migliorativo.</t>
        </is>
      </c>
    </row>
  </sheetData>
  <mergeCells count="9">
    <mergeCell ref="A12:H12"/>
    <mergeCell ref="A4:H4"/>
    <mergeCell ref="A20:H20"/>
    <mergeCell ref="A2:H2"/>
    <mergeCell ref="A33:H33"/>
    <mergeCell ref="A1:H1"/>
    <mergeCell ref="A32:H32"/>
    <mergeCell ref="A31:H31"/>
    <mergeCell ref="A34:H34"/>
  </mergeCells>
  <conditionalFormatting sqref="H22:H28">
    <cfRule type="cellIs" priority="1" operator="equal" dxfId="3">
      <formula>1</formula>
    </cfRule>
  </conditionalFormatting>
  <pageMargins left="0.25" right="0.25" top="0.5" bottom="0.5" header="0.5" footer="0.5"/>
  <pageSetup fitToHeight="0" fitToWidth="1"/>
</worksheet>
</file>

<file path=xl/worksheets/sheet13.xml><?xml version="1.0" encoding="utf-8"?>
<worksheet xmlns="http://schemas.openxmlformats.org/spreadsheetml/2006/main">
  <sheetPr>
    <tabColor rgb="00315A8A"/>
    <outlinePr summaryBelow="1" summaryRight="1"/>
    <pageSetUpPr fitToPage="1"/>
  </sheetPr>
  <dimension ref="A1:H2665"/>
  <sheetViews>
    <sheetView showGridLines="0" tabSelected="0" workbookViewId="0">
      <pane ySplit="12" topLeftCell="A13" activePane="bottomLeft" state="frozen"/>
      <selection pane="bottomLeft" activeCell="A1" sqref="A1"/>
    </sheetView>
  </sheetViews>
  <sheetFormatPr baseColWidth="8" defaultRowHeight="15"/>
  <cols>
    <col width="145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</cols>
  <sheetData>
    <row r="1" ht="28" customHeight="1">
      <c r="A1" s="39" t="inlineStr">
        <is>
          <t>Scambio web</t>
        </is>
      </c>
    </row>
    <row r="2">
      <c r="A2" s="40" t="inlineStr">
        <is>
          <t>JSON copiabile fra Excel e web: include offerte, sub-criteri A-G, ribassi e combinatorie.</t>
        </is>
      </c>
    </row>
    <row r="3"/>
    <row r="4" ht="22" customHeight="1">
      <c r="A4" s="41" t="inlineStr">
        <is>
          <t>Come usarlo</t>
        </is>
      </c>
    </row>
    <row r="5">
      <c r="A5" s="65" t="inlineStr">
        <is>
          <t>1</t>
        </is>
      </c>
      <c r="B5" s="48" t="inlineStr">
        <is>
          <t>Compila il foglio Compila e, se servono, Combinatorie.</t>
        </is>
      </c>
      <c r="C5" s="48" t="n"/>
      <c r="D5" s="48" t="n"/>
      <c r="E5" s="48" t="n"/>
      <c r="F5" s="48" t="n"/>
      <c r="G5" s="48" t="n"/>
      <c r="H5" s="48" t="n"/>
    </row>
    <row r="6">
      <c r="A6" s="65" t="inlineStr">
        <is>
          <t>2</t>
        </is>
      </c>
      <c r="B6" s="48" t="inlineStr">
        <is>
          <t>Esegui CheckBeforeRun e SimulaScenario per aggiornare formule e warning.</t>
        </is>
      </c>
      <c r="C6" s="48" t="n"/>
      <c r="D6" s="48" t="n"/>
      <c r="E6" s="48" t="n"/>
      <c r="F6" s="48" t="n"/>
      <c r="G6" s="48" t="n"/>
      <c r="H6" s="48" t="n"/>
    </row>
    <row r="7">
      <c r="A7" s="65" t="inlineStr">
        <is>
          <t>3</t>
        </is>
      </c>
      <c r="B7" s="48" t="inlineStr">
        <is>
          <t>Copia le righe non vuote della colonna A dalla sezione JSON generato.</t>
        </is>
      </c>
      <c r="C7" s="48" t="n"/>
      <c r="D7" s="48" t="n"/>
      <c r="E7" s="48" t="n"/>
      <c r="F7" s="48" t="n"/>
      <c r="G7" s="48" t="n"/>
      <c r="H7" s="48" t="n"/>
    </row>
    <row r="8">
      <c r="A8" s="65" t="inlineStr">
        <is>
          <t>4</t>
        </is>
      </c>
      <c r="B8" s="48" t="inlineStr">
        <is>
          <t>Salvale come file .json oppure incollale in un editor e importale dal simulatore web.</t>
        </is>
      </c>
      <c r="C8" s="48" t="n"/>
      <c r="D8" s="48" t="n"/>
      <c r="E8" s="48" t="n"/>
      <c r="F8" s="48" t="n"/>
      <c r="G8" s="48" t="n"/>
      <c r="H8" s="48" t="n"/>
    </row>
    <row r="9"/>
    <row r="10" ht="22" customHeight="1">
      <c r="A10" s="41" t="inlineStr">
        <is>
          <t>JSON generato</t>
        </is>
      </c>
    </row>
    <row r="11">
      <c r="A11" s="53" t="inlineStr">
        <is>
          <t>Copia la colonna A. Le righe vuote sono solo spazi bianchi JSON e possono essere ignorate.</t>
        </is>
      </c>
    </row>
    <row r="12"/>
    <row r="13">
      <c r="A13" s="82" t="inlineStr">
        <is>
          <t>{</t>
        </is>
      </c>
    </row>
    <row r="14">
      <c r="A14" s="82" t="inlineStr">
        <is>
          <t xml:space="preserve">  "format": "glm-excel-v1",</t>
        </is>
      </c>
    </row>
    <row r="15">
      <c r="A15" s="82" t="inlineStr">
        <is>
          <t xml:space="preserve">  "schemaVersion": 1,</t>
        </is>
      </c>
    </row>
    <row r="16">
      <c r="A16" s="82">
        <f>"  "&amp;CHAR(34)&amp;"id"&amp;CHAR(34)&amp;": "&amp;CHAR(34)&amp;"excel-"&amp;YEAR(NOW())&amp;TEXT(MONTH(NOW()),"00")&amp;TEXT(DAY(NOW()),"00")&amp;TEXT(HOUR(NOW()),"00")&amp;TEXT(MINUTE(NOW()),"00")&amp;TEXT(SECOND(NOW()),"00")&amp;CHAR(34)&amp;","</f>
        <v/>
      </c>
    </row>
    <row r="17">
      <c r="A17" s="82">
        <f>"  "&amp;CHAR(34)&amp;"name"&amp;CHAR(34)&amp;": "&amp;CHAR(34)&amp;"Scenario Excel "&amp;YEAR(TODAY())&amp;"-"&amp;TEXT(MONTH(TODAY()),"00")&amp;"-"&amp;TEXT(DAY(TODAY()),"00")&amp;CHAR(34)&amp;","</f>
        <v/>
      </c>
    </row>
    <row r="18">
      <c r="A18" s="82" t="inlineStr">
        <is>
          <t xml:space="preserve">  "baseScenarioId": "market",</t>
        </is>
      </c>
    </row>
    <row r="19">
      <c r="A19" s="82">
        <f>"  "&amp;CHAR(34)&amp;"settings"&amp;CHAR(34)&amp;": "&amp;CHAR(123)&amp;CHAR(34)&amp;"threshold"&amp;CHAR(34)&amp;": "&amp;SUBSTITUTE(TRIM(ROUND(IFERROR(Parametri!$B$2*1,IFERROR(NUMBERVALUE(Parametri!$B$2,".",","),IFERROR(NUMBERVALUE(Parametri!$B$2,",","."),0))),4)&amp;""),",",".")&amp;", "&amp;CHAR(34)&amp;"applyAwardLimitDerogation"&amp;CHAR(34)&amp;": false"&amp;CHAR(125)&amp;","</f>
        <v/>
      </c>
    </row>
    <row r="20">
      <c r="A20" s="82">
        <f>"  "&amp;CHAR(34)&amp;"selectedLotId"&amp;CHAR(34)&amp;": "&amp;CHAR(34)&amp;Parametri!$B$3&amp;CHAR(34)&amp;","</f>
        <v/>
      </c>
    </row>
    <row r="21">
      <c r="A21" s="82" t="inlineStr">
        <is>
          <t xml:space="preserve">  "selectedPairId": "L1+L2",</t>
        </is>
      </c>
    </row>
    <row r="22">
      <c r="A22" s="82" t="inlineStr">
        <is>
          <t xml:space="preserve">  "notes": "Export da Excel: offerte, sub-criteri A-G, ribassi e combinatorie.",</t>
        </is>
      </c>
    </row>
    <row r="23">
      <c r="A23" s="82" t="inlineStr">
        <is>
          <t xml:space="preserve">  "offers": [</t>
        </is>
      </c>
    </row>
    <row r="24">
      <c r="A24" s="82">
        <f>IF(Offerte!$A2="","","    "&amp;CHAR(123)&amp;CHAR(34)&amp;"bidderId"&amp;CHAR(34)&amp;": "&amp;CHAR(34)&amp;SUBSTITUTE(Offerte!$A2,CHAR(34),"'")&amp;CHAR(34)&amp;", "&amp;CHAR(34)&amp;"bidderName"&amp;CHAR(34)&amp;": "&amp;CHAR(34)&amp;SUBSTITUTE(Offerte!$B2,CHAR(34),"'")&amp;CHAR(34)&amp;", "&amp;CHAR(34)&amp;"lotId"&amp;CHAR(34)&amp;": "&amp;CHAR(34)&amp;SUBSTITUTE(Offerte!$C2,CHAR(34),"'")&amp;CHAR(34)&amp;", "&amp;CHAR(34)&amp;"enabled"&amp;CHAR(34)&amp;": "&amp;IF(IFERROR(Offerte!$D2*1,IFERROR(NUMBERVALUE(Offerte!$D2,".",","),IFERROR(NUMBERVALUE(Offerte!$D2,",","."),0)))=1,"true","false")&amp;", "&amp;CHAR(34)&amp;"technicalRaw"&amp;CHAR(34)&amp;": "&amp;SUBSTITUTE(TRIM(ROUND(IFERROR(Offerte!$E2*1,IFERROR(NUMBERVALUE(Offerte!$E2,".",","),IFERROR(NUMBERVALUE(Offerte!$E2,",","."),0))),4)&amp;""),",",".")&amp;", "&amp;CHAR(34)&amp;"discount"&amp;CHAR(34)&amp;": "&amp;SUBSTITUTE(TRIM(ROUND(IFERROR(Offerte!$F2*1,IFERROR(NUMBERVALUE(Offerte!$F2,".",","),IFERROR(NUMBERVALUE(Offerte!$F2,",","."),0))),4)&amp;""),",",".")&amp;CHAR(125)&amp;IF(COUNTA(Offerte!$A3:$A$81)&gt;0,",",""))</f>
        <v/>
      </c>
    </row>
    <row r="25">
      <c r="A25" s="82">
        <f>IF(Offerte!$A3="","","    "&amp;CHAR(123)&amp;CHAR(34)&amp;"bidderId"&amp;CHAR(34)&amp;": "&amp;CHAR(34)&amp;SUBSTITUTE(Offerte!$A3,CHAR(34),"'")&amp;CHAR(34)&amp;", "&amp;CHAR(34)&amp;"bidderName"&amp;CHAR(34)&amp;": "&amp;CHAR(34)&amp;SUBSTITUTE(Offerte!$B3,CHAR(34),"'")&amp;CHAR(34)&amp;", "&amp;CHAR(34)&amp;"lotId"&amp;CHAR(34)&amp;": "&amp;CHAR(34)&amp;SUBSTITUTE(Offerte!$C3,CHAR(34),"'")&amp;CHAR(34)&amp;", "&amp;CHAR(34)&amp;"enabled"&amp;CHAR(34)&amp;": "&amp;IF(IFERROR(Offerte!$D3*1,IFERROR(NUMBERVALUE(Offerte!$D3,".",","),IFERROR(NUMBERVALUE(Offerte!$D3,",","."),0)))=1,"true","false")&amp;", "&amp;CHAR(34)&amp;"technicalRaw"&amp;CHAR(34)&amp;": "&amp;SUBSTITUTE(TRIM(ROUND(IFERROR(Offerte!$E3*1,IFERROR(NUMBERVALUE(Offerte!$E3,".",","),IFERROR(NUMBERVALUE(Offerte!$E3,",","."),0))),4)&amp;""),",",".")&amp;", "&amp;CHAR(34)&amp;"discount"&amp;CHAR(34)&amp;": "&amp;SUBSTITUTE(TRIM(ROUND(IFERROR(Offerte!$F3*1,IFERROR(NUMBERVALUE(Offerte!$F3,".",","),IFERROR(NUMBERVALUE(Offerte!$F3,",","."),0))),4)&amp;""),",",".")&amp;CHAR(125)&amp;IF(COUNTA(Offerte!$A4:$A$81)&gt;0,",",""))</f>
        <v/>
      </c>
    </row>
    <row r="26">
      <c r="A26" s="82">
        <f>IF(Offerte!$A4="","","    "&amp;CHAR(123)&amp;CHAR(34)&amp;"bidderId"&amp;CHAR(34)&amp;": "&amp;CHAR(34)&amp;SUBSTITUTE(Offerte!$A4,CHAR(34),"'")&amp;CHAR(34)&amp;", "&amp;CHAR(34)&amp;"bidderName"&amp;CHAR(34)&amp;": "&amp;CHAR(34)&amp;SUBSTITUTE(Offerte!$B4,CHAR(34),"'")&amp;CHAR(34)&amp;", "&amp;CHAR(34)&amp;"lotId"&amp;CHAR(34)&amp;": "&amp;CHAR(34)&amp;SUBSTITUTE(Offerte!$C4,CHAR(34),"'")&amp;CHAR(34)&amp;", "&amp;CHAR(34)&amp;"enabled"&amp;CHAR(34)&amp;": "&amp;IF(IFERROR(Offerte!$D4*1,IFERROR(NUMBERVALUE(Offerte!$D4,".",","),IFERROR(NUMBERVALUE(Offerte!$D4,",","."),0)))=1,"true","false")&amp;", "&amp;CHAR(34)&amp;"technicalRaw"&amp;CHAR(34)&amp;": "&amp;SUBSTITUTE(TRIM(ROUND(IFERROR(Offerte!$E4*1,IFERROR(NUMBERVALUE(Offerte!$E4,".",","),IFERROR(NUMBERVALUE(Offerte!$E4,",","."),0))),4)&amp;""),",",".")&amp;", "&amp;CHAR(34)&amp;"discount"&amp;CHAR(34)&amp;": "&amp;SUBSTITUTE(TRIM(ROUND(IFERROR(Offerte!$F4*1,IFERROR(NUMBERVALUE(Offerte!$F4,".",","),IFERROR(NUMBERVALUE(Offerte!$F4,",","."),0))),4)&amp;""),",",".")&amp;CHAR(125)&amp;IF(COUNTA(Offerte!$A5:$A$81)&gt;0,",",""))</f>
        <v/>
      </c>
    </row>
    <row r="27">
      <c r="A27" s="82">
        <f>IF(Offerte!$A5="","","    "&amp;CHAR(123)&amp;CHAR(34)&amp;"bidderId"&amp;CHAR(34)&amp;": "&amp;CHAR(34)&amp;SUBSTITUTE(Offerte!$A5,CHAR(34),"'")&amp;CHAR(34)&amp;", "&amp;CHAR(34)&amp;"bidderName"&amp;CHAR(34)&amp;": "&amp;CHAR(34)&amp;SUBSTITUTE(Offerte!$B5,CHAR(34),"'")&amp;CHAR(34)&amp;", "&amp;CHAR(34)&amp;"lotId"&amp;CHAR(34)&amp;": "&amp;CHAR(34)&amp;SUBSTITUTE(Offerte!$C5,CHAR(34),"'")&amp;CHAR(34)&amp;", "&amp;CHAR(34)&amp;"enabled"&amp;CHAR(34)&amp;": "&amp;IF(IFERROR(Offerte!$D5*1,IFERROR(NUMBERVALUE(Offerte!$D5,".",","),IFERROR(NUMBERVALUE(Offerte!$D5,",","."),0)))=1,"true","false")&amp;", "&amp;CHAR(34)&amp;"technicalRaw"&amp;CHAR(34)&amp;": "&amp;SUBSTITUTE(TRIM(ROUND(IFERROR(Offerte!$E5*1,IFERROR(NUMBERVALUE(Offerte!$E5,".",","),IFERROR(NUMBERVALUE(Offerte!$E5,",","."),0))),4)&amp;""),",",".")&amp;", "&amp;CHAR(34)&amp;"discount"&amp;CHAR(34)&amp;": "&amp;SUBSTITUTE(TRIM(ROUND(IFERROR(Offerte!$F5*1,IFERROR(NUMBERVALUE(Offerte!$F5,".",","),IFERROR(NUMBERVALUE(Offerte!$F5,",","."),0))),4)&amp;""),",",".")&amp;CHAR(125)&amp;IF(COUNTA(Offerte!$A6:$A$81)&gt;0,",",""))</f>
        <v/>
      </c>
    </row>
    <row r="28">
      <c r="A28" s="82">
        <f>IF(Offerte!$A6="","","    "&amp;CHAR(123)&amp;CHAR(34)&amp;"bidderId"&amp;CHAR(34)&amp;": "&amp;CHAR(34)&amp;SUBSTITUTE(Offerte!$A6,CHAR(34),"'")&amp;CHAR(34)&amp;", "&amp;CHAR(34)&amp;"bidderName"&amp;CHAR(34)&amp;": "&amp;CHAR(34)&amp;SUBSTITUTE(Offerte!$B6,CHAR(34),"'")&amp;CHAR(34)&amp;", "&amp;CHAR(34)&amp;"lotId"&amp;CHAR(34)&amp;": "&amp;CHAR(34)&amp;SUBSTITUTE(Offerte!$C6,CHAR(34),"'")&amp;CHAR(34)&amp;", "&amp;CHAR(34)&amp;"enabled"&amp;CHAR(34)&amp;": "&amp;IF(IFERROR(Offerte!$D6*1,IFERROR(NUMBERVALUE(Offerte!$D6,".",","),IFERROR(NUMBERVALUE(Offerte!$D6,",","."),0)))=1,"true","false")&amp;", "&amp;CHAR(34)&amp;"technicalRaw"&amp;CHAR(34)&amp;": "&amp;SUBSTITUTE(TRIM(ROUND(IFERROR(Offerte!$E6*1,IFERROR(NUMBERVALUE(Offerte!$E6,".",","),IFERROR(NUMBERVALUE(Offerte!$E6,",","."),0))),4)&amp;""),",",".")&amp;", "&amp;CHAR(34)&amp;"discount"&amp;CHAR(34)&amp;": "&amp;SUBSTITUTE(TRIM(ROUND(IFERROR(Offerte!$F6*1,IFERROR(NUMBERVALUE(Offerte!$F6,".",","),IFERROR(NUMBERVALUE(Offerte!$F6,",","."),0))),4)&amp;""),",",".")&amp;CHAR(125)&amp;IF(COUNTA(Offerte!$A7:$A$81)&gt;0,",",""))</f>
        <v/>
      </c>
    </row>
    <row r="29">
      <c r="A29" s="82">
        <f>IF(Offerte!$A7="","","    "&amp;CHAR(123)&amp;CHAR(34)&amp;"bidderId"&amp;CHAR(34)&amp;": "&amp;CHAR(34)&amp;SUBSTITUTE(Offerte!$A7,CHAR(34),"'")&amp;CHAR(34)&amp;", "&amp;CHAR(34)&amp;"bidderName"&amp;CHAR(34)&amp;": "&amp;CHAR(34)&amp;SUBSTITUTE(Offerte!$B7,CHAR(34),"'")&amp;CHAR(34)&amp;", "&amp;CHAR(34)&amp;"lotId"&amp;CHAR(34)&amp;": "&amp;CHAR(34)&amp;SUBSTITUTE(Offerte!$C7,CHAR(34),"'")&amp;CHAR(34)&amp;", "&amp;CHAR(34)&amp;"enabled"&amp;CHAR(34)&amp;": "&amp;IF(IFERROR(Offerte!$D7*1,IFERROR(NUMBERVALUE(Offerte!$D7,".",","),IFERROR(NUMBERVALUE(Offerte!$D7,",","."),0)))=1,"true","false")&amp;", "&amp;CHAR(34)&amp;"technicalRaw"&amp;CHAR(34)&amp;": "&amp;SUBSTITUTE(TRIM(ROUND(IFERROR(Offerte!$E7*1,IFERROR(NUMBERVALUE(Offerte!$E7,".",","),IFERROR(NUMBERVALUE(Offerte!$E7,",","."),0))),4)&amp;""),",",".")&amp;", "&amp;CHAR(34)&amp;"discount"&amp;CHAR(34)&amp;": "&amp;SUBSTITUTE(TRIM(ROUND(IFERROR(Offerte!$F7*1,IFERROR(NUMBERVALUE(Offerte!$F7,".",","),IFERROR(NUMBERVALUE(Offerte!$F7,",","."),0))),4)&amp;""),",",".")&amp;CHAR(125)&amp;IF(COUNTA(Offerte!$A8:$A$81)&gt;0,",",""))</f>
        <v/>
      </c>
    </row>
    <row r="30">
      <c r="A30" s="82">
        <f>IF(Offerte!$A8="","","    "&amp;CHAR(123)&amp;CHAR(34)&amp;"bidderId"&amp;CHAR(34)&amp;": "&amp;CHAR(34)&amp;SUBSTITUTE(Offerte!$A8,CHAR(34),"'")&amp;CHAR(34)&amp;", "&amp;CHAR(34)&amp;"bidderName"&amp;CHAR(34)&amp;": "&amp;CHAR(34)&amp;SUBSTITUTE(Offerte!$B8,CHAR(34),"'")&amp;CHAR(34)&amp;", "&amp;CHAR(34)&amp;"lotId"&amp;CHAR(34)&amp;": "&amp;CHAR(34)&amp;SUBSTITUTE(Offerte!$C8,CHAR(34),"'")&amp;CHAR(34)&amp;", "&amp;CHAR(34)&amp;"enabled"&amp;CHAR(34)&amp;": "&amp;IF(IFERROR(Offerte!$D8*1,IFERROR(NUMBERVALUE(Offerte!$D8,".",","),IFERROR(NUMBERVALUE(Offerte!$D8,",","."),0)))=1,"true","false")&amp;", "&amp;CHAR(34)&amp;"technicalRaw"&amp;CHAR(34)&amp;": "&amp;SUBSTITUTE(TRIM(ROUND(IFERROR(Offerte!$E8*1,IFERROR(NUMBERVALUE(Offerte!$E8,".",","),IFERROR(NUMBERVALUE(Offerte!$E8,",","."),0))),4)&amp;""),",",".")&amp;", "&amp;CHAR(34)&amp;"discount"&amp;CHAR(34)&amp;": "&amp;SUBSTITUTE(TRIM(ROUND(IFERROR(Offerte!$F8*1,IFERROR(NUMBERVALUE(Offerte!$F8,".",","),IFERROR(NUMBERVALUE(Offerte!$F8,",","."),0))),4)&amp;""),",",".")&amp;CHAR(125)&amp;IF(COUNTA(Offerte!$A9:$A$81)&gt;0,",",""))</f>
        <v/>
      </c>
    </row>
    <row r="31">
      <c r="A31" s="82">
        <f>IF(Offerte!$A9="","","    "&amp;CHAR(123)&amp;CHAR(34)&amp;"bidderId"&amp;CHAR(34)&amp;": "&amp;CHAR(34)&amp;SUBSTITUTE(Offerte!$A9,CHAR(34),"'")&amp;CHAR(34)&amp;", "&amp;CHAR(34)&amp;"bidderName"&amp;CHAR(34)&amp;": "&amp;CHAR(34)&amp;SUBSTITUTE(Offerte!$B9,CHAR(34),"'")&amp;CHAR(34)&amp;", "&amp;CHAR(34)&amp;"lotId"&amp;CHAR(34)&amp;": "&amp;CHAR(34)&amp;SUBSTITUTE(Offerte!$C9,CHAR(34),"'")&amp;CHAR(34)&amp;", "&amp;CHAR(34)&amp;"enabled"&amp;CHAR(34)&amp;": "&amp;IF(IFERROR(Offerte!$D9*1,IFERROR(NUMBERVALUE(Offerte!$D9,".",","),IFERROR(NUMBERVALUE(Offerte!$D9,",","."),0)))=1,"true","false")&amp;", "&amp;CHAR(34)&amp;"technicalRaw"&amp;CHAR(34)&amp;": "&amp;SUBSTITUTE(TRIM(ROUND(IFERROR(Offerte!$E9*1,IFERROR(NUMBERVALUE(Offerte!$E9,".",","),IFERROR(NUMBERVALUE(Offerte!$E9,",","."),0))),4)&amp;""),",",".")&amp;", "&amp;CHAR(34)&amp;"discount"&amp;CHAR(34)&amp;": "&amp;SUBSTITUTE(TRIM(ROUND(IFERROR(Offerte!$F9*1,IFERROR(NUMBERVALUE(Offerte!$F9,".",","),IFERROR(NUMBERVALUE(Offerte!$F9,",","."),0))),4)&amp;""),",",".")&amp;CHAR(125)&amp;IF(COUNTA(Offerte!$A10:$A$81)&gt;0,",",""))</f>
        <v/>
      </c>
    </row>
    <row r="32">
      <c r="A32" s="82">
        <f>IF(Offerte!$A10="","","    "&amp;CHAR(123)&amp;CHAR(34)&amp;"bidderId"&amp;CHAR(34)&amp;": "&amp;CHAR(34)&amp;SUBSTITUTE(Offerte!$A10,CHAR(34),"'")&amp;CHAR(34)&amp;", "&amp;CHAR(34)&amp;"bidderName"&amp;CHAR(34)&amp;": "&amp;CHAR(34)&amp;SUBSTITUTE(Offerte!$B10,CHAR(34),"'")&amp;CHAR(34)&amp;", "&amp;CHAR(34)&amp;"lotId"&amp;CHAR(34)&amp;": "&amp;CHAR(34)&amp;SUBSTITUTE(Offerte!$C10,CHAR(34),"'")&amp;CHAR(34)&amp;", "&amp;CHAR(34)&amp;"enabled"&amp;CHAR(34)&amp;": "&amp;IF(IFERROR(Offerte!$D10*1,IFERROR(NUMBERVALUE(Offerte!$D10,".",","),IFERROR(NUMBERVALUE(Offerte!$D10,",","."),0)))=1,"true","false")&amp;", "&amp;CHAR(34)&amp;"technicalRaw"&amp;CHAR(34)&amp;": "&amp;SUBSTITUTE(TRIM(ROUND(IFERROR(Offerte!$E10*1,IFERROR(NUMBERVALUE(Offerte!$E10,".",","),IFERROR(NUMBERVALUE(Offerte!$E10,",","."),0))),4)&amp;""),",",".")&amp;", "&amp;CHAR(34)&amp;"discount"&amp;CHAR(34)&amp;": "&amp;SUBSTITUTE(TRIM(ROUND(IFERROR(Offerte!$F10*1,IFERROR(NUMBERVALUE(Offerte!$F10,".",","),IFERROR(NUMBERVALUE(Offerte!$F10,",","."),0))),4)&amp;""),",",".")&amp;CHAR(125)&amp;IF(COUNTA(Offerte!$A11:$A$81)&gt;0,",",""))</f>
        <v/>
      </c>
    </row>
    <row r="33">
      <c r="A33" s="82">
        <f>IF(Offerte!$A11="","","    "&amp;CHAR(123)&amp;CHAR(34)&amp;"bidderId"&amp;CHAR(34)&amp;": "&amp;CHAR(34)&amp;SUBSTITUTE(Offerte!$A11,CHAR(34),"'")&amp;CHAR(34)&amp;", "&amp;CHAR(34)&amp;"bidderName"&amp;CHAR(34)&amp;": "&amp;CHAR(34)&amp;SUBSTITUTE(Offerte!$B11,CHAR(34),"'")&amp;CHAR(34)&amp;", "&amp;CHAR(34)&amp;"lotId"&amp;CHAR(34)&amp;": "&amp;CHAR(34)&amp;SUBSTITUTE(Offerte!$C11,CHAR(34),"'")&amp;CHAR(34)&amp;", "&amp;CHAR(34)&amp;"enabled"&amp;CHAR(34)&amp;": "&amp;IF(IFERROR(Offerte!$D11*1,IFERROR(NUMBERVALUE(Offerte!$D11,".",","),IFERROR(NUMBERVALUE(Offerte!$D11,",","."),0)))=1,"true","false")&amp;", "&amp;CHAR(34)&amp;"technicalRaw"&amp;CHAR(34)&amp;": "&amp;SUBSTITUTE(TRIM(ROUND(IFERROR(Offerte!$E11*1,IFERROR(NUMBERVALUE(Offerte!$E11,".",","),IFERROR(NUMBERVALUE(Offerte!$E11,",","."),0))),4)&amp;""),",",".")&amp;", "&amp;CHAR(34)&amp;"discount"&amp;CHAR(34)&amp;": "&amp;SUBSTITUTE(TRIM(ROUND(IFERROR(Offerte!$F11*1,IFERROR(NUMBERVALUE(Offerte!$F11,".",","),IFERROR(NUMBERVALUE(Offerte!$F11,",","."),0))),4)&amp;""),",",".")&amp;CHAR(125)&amp;IF(COUNTA(Offerte!$A12:$A$81)&gt;0,",",""))</f>
        <v/>
      </c>
    </row>
    <row r="34">
      <c r="A34" s="82">
        <f>IF(Offerte!$A12="","","    "&amp;CHAR(123)&amp;CHAR(34)&amp;"bidderId"&amp;CHAR(34)&amp;": "&amp;CHAR(34)&amp;SUBSTITUTE(Offerte!$A12,CHAR(34),"'")&amp;CHAR(34)&amp;", "&amp;CHAR(34)&amp;"bidderName"&amp;CHAR(34)&amp;": "&amp;CHAR(34)&amp;SUBSTITUTE(Offerte!$B12,CHAR(34),"'")&amp;CHAR(34)&amp;", "&amp;CHAR(34)&amp;"lotId"&amp;CHAR(34)&amp;": "&amp;CHAR(34)&amp;SUBSTITUTE(Offerte!$C12,CHAR(34),"'")&amp;CHAR(34)&amp;", "&amp;CHAR(34)&amp;"enabled"&amp;CHAR(34)&amp;": "&amp;IF(IFERROR(Offerte!$D12*1,IFERROR(NUMBERVALUE(Offerte!$D12,".",","),IFERROR(NUMBERVALUE(Offerte!$D12,",","."),0)))=1,"true","false")&amp;", "&amp;CHAR(34)&amp;"technicalRaw"&amp;CHAR(34)&amp;": "&amp;SUBSTITUTE(TRIM(ROUND(IFERROR(Offerte!$E12*1,IFERROR(NUMBERVALUE(Offerte!$E12,".",","),IFERROR(NUMBERVALUE(Offerte!$E12,",","."),0))),4)&amp;""),",",".")&amp;", "&amp;CHAR(34)&amp;"discount"&amp;CHAR(34)&amp;": "&amp;SUBSTITUTE(TRIM(ROUND(IFERROR(Offerte!$F12*1,IFERROR(NUMBERVALUE(Offerte!$F12,".",","),IFERROR(NUMBERVALUE(Offerte!$F12,",","."),0))),4)&amp;""),",",".")&amp;CHAR(125)&amp;IF(COUNTA(Offerte!$A13:$A$81)&gt;0,",",""))</f>
        <v/>
      </c>
    </row>
    <row r="35">
      <c r="A35" s="82">
        <f>IF(Offerte!$A13="","","    "&amp;CHAR(123)&amp;CHAR(34)&amp;"bidderId"&amp;CHAR(34)&amp;": "&amp;CHAR(34)&amp;SUBSTITUTE(Offerte!$A13,CHAR(34),"'")&amp;CHAR(34)&amp;", "&amp;CHAR(34)&amp;"bidderName"&amp;CHAR(34)&amp;": "&amp;CHAR(34)&amp;SUBSTITUTE(Offerte!$B13,CHAR(34),"'")&amp;CHAR(34)&amp;", "&amp;CHAR(34)&amp;"lotId"&amp;CHAR(34)&amp;": "&amp;CHAR(34)&amp;SUBSTITUTE(Offerte!$C13,CHAR(34),"'")&amp;CHAR(34)&amp;", "&amp;CHAR(34)&amp;"enabled"&amp;CHAR(34)&amp;": "&amp;IF(IFERROR(Offerte!$D13*1,IFERROR(NUMBERVALUE(Offerte!$D13,".",","),IFERROR(NUMBERVALUE(Offerte!$D13,",","."),0)))=1,"true","false")&amp;", "&amp;CHAR(34)&amp;"technicalRaw"&amp;CHAR(34)&amp;": "&amp;SUBSTITUTE(TRIM(ROUND(IFERROR(Offerte!$E13*1,IFERROR(NUMBERVALUE(Offerte!$E13,".",","),IFERROR(NUMBERVALUE(Offerte!$E13,",","."),0))),4)&amp;""),",",".")&amp;", "&amp;CHAR(34)&amp;"discount"&amp;CHAR(34)&amp;": "&amp;SUBSTITUTE(TRIM(ROUND(IFERROR(Offerte!$F13*1,IFERROR(NUMBERVALUE(Offerte!$F13,".",","),IFERROR(NUMBERVALUE(Offerte!$F13,",","."),0))),4)&amp;""),",",".")&amp;CHAR(125)&amp;IF(COUNTA(Offerte!$A14:$A$81)&gt;0,",",""))</f>
        <v/>
      </c>
    </row>
    <row r="36">
      <c r="A36" s="82">
        <f>IF(Offerte!$A14="","","    "&amp;CHAR(123)&amp;CHAR(34)&amp;"bidderId"&amp;CHAR(34)&amp;": "&amp;CHAR(34)&amp;SUBSTITUTE(Offerte!$A14,CHAR(34),"'")&amp;CHAR(34)&amp;", "&amp;CHAR(34)&amp;"bidderName"&amp;CHAR(34)&amp;": "&amp;CHAR(34)&amp;SUBSTITUTE(Offerte!$B14,CHAR(34),"'")&amp;CHAR(34)&amp;", "&amp;CHAR(34)&amp;"lotId"&amp;CHAR(34)&amp;": "&amp;CHAR(34)&amp;SUBSTITUTE(Offerte!$C14,CHAR(34),"'")&amp;CHAR(34)&amp;", "&amp;CHAR(34)&amp;"enabled"&amp;CHAR(34)&amp;": "&amp;IF(IFERROR(Offerte!$D14*1,IFERROR(NUMBERVALUE(Offerte!$D14,".",","),IFERROR(NUMBERVALUE(Offerte!$D14,",","."),0)))=1,"true","false")&amp;", "&amp;CHAR(34)&amp;"technicalRaw"&amp;CHAR(34)&amp;": "&amp;SUBSTITUTE(TRIM(ROUND(IFERROR(Offerte!$E14*1,IFERROR(NUMBERVALUE(Offerte!$E14,".",","),IFERROR(NUMBERVALUE(Offerte!$E14,",","."),0))),4)&amp;""),",",".")&amp;", "&amp;CHAR(34)&amp;"discount"&amp;CHAR(34)&amp;": "&amp;SUBSTITUTE(TRIM(ROUND(IFERROR(Offerte!$F14*1,IFERROR(NUMBERVALUE(Offerte!$F14,".",","),IFERROR(NUMBERVALUE(Offerte!$F14,",","."),0))),4)&amp;""),",",".")&amp;CHAR(125)&amp;IF(COUNTA(Offerte!$A15:$A$81)&gt;0,",",""))</f>
        <v/>
      </c>
    </row>
    <row r="37">
      <c r="A37" s="82">
        <f>IF(Offerte!$A15="","","    "&amp;CHAR(123)&amp;CHAR(34)&amp;"bidderId"&amp;CHAR(34)&amp;": "&amp;CHAR(34)&amp;SUBSTITUTE(Offerte!$A15,CHAR(34),"'")&amp;CHAR(34)&amp;", "&amp;CHAR(34)&amp;"bidderName"&amp;CHAR(34)&amp;": "&amp;CHAR(34)&amp;SUBSTITUTE(Offerte!$B15,CHAR(34),"'")&amp;CHAR(34)&amp;", "&amp;CHAR(34)&amp;"lotId"&amp;CHAR(34)&amp;": "&amp;CHAR(34)&amp;SUBSTITUTE(Offerte!$C15,CHAR(34),"'")&amp;CHAR(34)&amp;", "&amp;CHAR(34)&amp;"enabled"&amp;CHAR(34)&amp;": "&amp;IF(IFERROR(Offerte!$D15*1,IFERROR(NUMBERVALUE(Offerte!$D15,".",","),IFERROR(NUMBERVALUE(Offerte!$D15,",","."),0)))=1,"true","false")&amp;", "&amp;CHAR(34)&amp;"technicalRaw"&amp;CHAR(34)&amp;": "&amp;SUBSTITUTE(TRIM(ROUND(IFERROR(Offerte!$E15*1,IFERROR(NUMBERVALUE(Offerte!$E15,".",","),IFERROR(NUMBERVALUE(Offerte!$E15,",","."),0))),4)&amp;""),",",".")&amp;", "&amp;CHAR(34)&amp;"discount"&amp;CHAR(34)&amp;": "&amp;SUBSTITUTE(TRIM(ROUND(IFERROR(Offerte!$F15*1,IFERROR(NUMBERVALUE(Offerte!$F15,".",","),IFERROR(NUMBERVALUE(Offerte!$F15,",","."),0))),4)&amp;""),",",".")&amp;CHAR(125)&amp;IF(COUNTA(Offerte!$A16:$A$81)&gt;0,",",""))</f>
        <v/>
      </c>
    </row>
    <row r="38">
      <c r="A38" s="82">
        <f>IF(Offerte!$A16="","","    "&amp;CHAR(123)&amp;CHAR(34)&amp;"bidderId"&amp;CHAR(34)&amp;": "&amp;CHAR(34)&amp;SUBSTITUTE(Offerte!$A16,CHAR(34),"'")&amp;CHAR(34)&amp;", "&amp;CHAR(34)&amp;"bidderName"&amp;CHAR(34)&amp;": "&amp;CHAR(34)&amp;SUBSTITUTE(Offerte!$B16,CHAR(34),"'")&amp;CHAR(34)&amp;", "&amp;CHAR(34)&amp;"lotId"&amp;CHAR(34)&amp;": "&amp;CHAR(34)&amp;SUBSTITUTE(Offerte!$C16,CHAR(34),"'")&amp;CHAR(34)&amp;", "&amp;CHAR(34)&amp;"enabled"&amp;CHAR(34)&amp;": "&amp;IF(IFERROR(Offerte!$D16*1,IFERROR(NUMBERVALUE(Offerte!$D16,".",","),IFERROR(NUMBERVALUE(Offerte!$D16,",","."),0)))=1,"true","false")&amp;", "&amp;CHAR(34)&amp;"technicalRaw"&amp;CHAR(34)&amp;": "&amp;SUBSTITUTE(TRIM(ROUND(IFERROR(Offerte!$E16*1,IFERROR(NUMBERVALUE(Offerte!$E16,".",","),IFERROR(NUMBERVALUE(Offerte!$E16,",","."),0))),4)&amp;""),",",".")&amp;", "&amp;CHAR(34)&amp;"discount"&amp;CHAR(34)&amp;": "&amp;SUBSTITUTE(TRIM(ROUND(IFERROR(Offerte!$F16*1,IFERROR(NUMBERVALUE(Offerte!$F16,".",","),IFERROR(NUMBERVALUE(Offerte!$F16,",","."),0))),4)&amp;""),",",".")&amp;CHAR(125)&amp;IF(COUNTA(Offerte!$A17:$A$81)&gt;0,",",""))</f>
        <v/>
      </c>
    </row>
    <row r="39">
      <c r="A39" s="82">
        <f>IF(Offerte!$A17="","","    "&amp;CHAR(123)&amp;CHAR(34)&amp;"bidderId"&amp;CHAR(34)&amp;": "&amp;CHAR(34)&amp;SUBSTITUTE(Offerte!$A17,CHAR(34),"'")&amp;CHAR(34)&amp;", "&amp;CHAR(34)&amp;"bidderName"&amp;CHAR(34)&amp;": "&amp;CHAR(34)&amp;SUBSTITUTE(Offerte!$B17,CHAR(34),"'")&amp;CHAR(34)&amp;", "&amp;CHAR(34)&amp;"lotId"&amp;CHAR(34)&amp;": "&amp;CHAR(34)&amp;SUBSTITUTE(Offerte!$C17,CHAR(34),"'")&amp;CHAR(34)&amp;", "&amp;CHAR(34)&amp;"enabled"&amp;CHAR(34)&amp;": "&amp;IF(IFERROR(Offerte!$D17*1,IFERROR(NUMBERVALUE(Offerte!$D17,".",","),IFERROR(NUMBERVALUE(Offerte!$D17,",","."),0)))=1,"true","false")&amp;", "&amp;CHAR(34)&amp;"technicalRaw"&amp;CHAR(34)&amp;": "&amp;SUBSTITUTE(TRIM(ROUND(IFERROR(Offerte!$E17*1,IFERROR(NUMBERVALUE(Offerte!$E17,".",","),IFERROR(NUMBERVALUE(Offerte!$E17,",","."),0))),4)&amp;""),",",".")&amp;", "&amp;CHAR(34)&amp;"discount"&amp;CHAR(34)&amp;": "&amp;SUBSTITUTE(TRIM(ROUND(IFERROR(Offerte!$F17*1,IFERROR(NUMBERVALUE(Offerte!$F17,".",","),IFERROR(NUMBERVALUE(Offerte!$F17,",","."),0))),4)&amp;""),",",".")&amp;CHAR(125)&amp;IF(COUNTA(Offerte!$A18:$A$81)&gt;0,",",""))</f>
        <v/>
      </c>
    </row>
    <row r="40">
      <c r="A40" s="82">
        <f>IF(Offerte!$A18="","","    "&amp;CHAR(123)&amp;CHAR(34)&amp;"bidderId"&amp;CHAR(34)&amp;": "&amp;CHAR(34)&amp;SUBSTITUTE(Offerte!$A18,CHAR(34),"'")&amp;CHAR(34)&amp;", "&amp;CHAR(34)&amp;"bidderName"&amp;CHAR(34)&amp;": "&amp;CHAR(34)&amp;SUBSTITUTE(Offerte!$B18,CHAR(34),"'")&amp;CHAR(34)&amp;", "&amp;CHAR(34)&amp;"lotId"&amp;CHAR(34)&amp;": "&amp;CHAR(34)&amp;SUBSTITUTE(Offerte!$C18,CHAR(34),"'")&amp;CHAR(34)&amp;", "&amp;CHAR(34)&amp;"enabled"&amp;CHAR(34)&amp;": "&amp;IF(IFERROR(Offerte!$D18*1,IFERROR(NUMBERVALUE(Offerte!$D18,".",","),IFERROR(NUMBERVALUE(Offerte!$D18,",","."),0)))=1,"true","false")&amp;", "&amp;CHAR(34)&amp;"technicalRaw"&amp;CHAR(34)&amp;": "&amp;SUBSTITUTE(TRIM(ROUND(IFERROR(Offerte!$E18*1,IFERROR(NUMBERVALUE(Offerte!$E18,".",","),IFERROR(NUMBERVALUE(Offerte!$E18,",","."),0))),4)&amp;""),",",".")&amp;", "&amp;CHAR(34)&amp;"discount"&amp;CHAR(34)&amp;": "&amp;SUBSTITUTE(TRIM(ROUND(IFERROR(Offerte!$F18*1,IFERROR(NUMBERVALUE(Offerte!$F18,".",","),IFERROR(NUMBERVALUE(Offerte!$F18,",","."),0))),4)&amp;""),",",".")&amp;CHAR(125)&amp;IF(COUNTA(Offerte!$A19:$A$81)&gt;0,",",""))</f>
        <v/>
      </c>
    </row>
    <row r="41">
      <c r="A41" s="82">
        <f>IF(Offerte!$A19="","","    "&amp;CHAR(123)&amp;CHAR(34)&amp;"bidderId"&amp;CHAR(34)&amp;": "&amp;CHAR(34)&amp;SUBSTITUTE(Offerte!$A19,CHAR(34),"'")&amp;CHAR(34)&amp;", "&amp;CHAR(34)&amp;"bidderName"&amp;CHAR(34)&amp;": "&amp;CHAR(34)&amp;SUBSTITUTE(Offerte!$B19,CHAR(34),"'")&amp;CHAR(34)&amp;", "&amp;CHAR(34)&amp;"lotId"&amp;CHAR(34)&amp;": "&amp;CHAR(34)&amp;SUBSTITUTE(Offerte!$C19,CHAR(34),"'")&amp;CHAR(34)&amp;", "&amp;CHAR(34)&amp;"enabled"&amp;CHAR(34)&amp;": "&amp;IF(IFERROR(Offerte!$D19*1,IFERROR(NUMBERVALUE(Offerte!$D19,".",","),IFERROR(NUMBERVALUE(Offerte!$D19,",","."),0)))=1,"true","false")&amp;", "&amp;CHAR(34)&amp;"technicalRaw"&amp;CHAR(34)&amp;": "&amp;SUBSTITUTE(TRIM(ROUND(IFERROR(Offerte!$E19*1,IFERROR(NUMBERVALUE(Offerte!$E19,".",","),IFERROR(NUMBERVALUE(Offerte!$E19,",","."),0))),4)&amp;""),",",".")&amp;", "&amp;CHAR(34)&amp;"discount"&amp;CHAR(34)&amp;": "&amp;SUBSTITUTE(TRIM(ROUND(IFERROR(Offerte!$F19*1,IFERROR(NUMBERVALUE(Offerte!$F19,".",","),IFERROR(NUMBERVALUE(Offerte!$F19,",","."),0))),4)&amp;""),",",".")&amp;CHAR(125)&amp;IF(COUNTA(Offerte!$A20:$A$81)&gt;0,",",""))</f>
        <v/>
      </c>
    </row>
    <row r="42">
      <c r="A42" s="82">
        <f>IF(Offerte!$A20="","","    "&amp;CHAR(123)&amp;CHAR(34)&amp;"bidderId"&amp;CHAR(34)&amp;": "&amp;CHAR(34)&amp;SUBSTITUTE(Offerte!$A20,CHAR(34),"'")&amp;CHAR(34)&amp;", "&amp;CHAR(34)&amp;"bidderName"&amp;CHAR(34)&amp;": "&amp;CHAR(34)&amp;SUBSTITUTE(Offerte!$B20,CHAR(34),"'")&amp;CHAR(34)&amp;", "&amp;CHAR(34)&amp;"lotId"&amp;CHAR(34)&amp;": "&amp;CHAR(34)&amp;SUBSTITUTE(Offerte!$C20,CHAR(34),"'")&amp;CHAR(34)&amp;", "&amp;CHAR(34)&amp;"enabled"&amp;CHAR(34)&amp;": "&amp;IF(IFERROR(Offerte!$D20*1,IFERROR(NUMBERVALUE(Offerte!$D20,".",","),IFERROR(NUMBERVALUE(Offerte!$D20,",","."),0)))=1,"true","false")&amp;", "&amp;CHAR(34)&amp;"technicalRaw"&amp;CHAR(34)&amp;": "&amp;SUBSTITUTE(TRIM(ROUND(IFERROR(Offerte!$E20*1,IFERROR(NUMBERVALUE(Offerte!$E20,".",","),IFERROR(NUMBERVALUE(Offerte!$E20,",","."),0))),4)&amp;""),",",".")&amp;", "&amp;CHAR(34)&amp;"discount"&amp;CHAR(34)&amp;": "&amp;SUBSTITUTE(TRIM(ROUND(IFERROR(Offerte!$F20*1,IFERROR(NUMBERVALUE(Offerte!$F20,".",","),IFERROR(NUMBERVALUE(Offerte!$F20,",","."),0))),4)&amp;""),",",".")&amp;CHAR(125)&amp;IF(COUNTA(Offerte!$A21:$A$81)&gt;0,",",""))</f>
        <v/>
      </c>
    </row>
    <row r="43">
      <c r="A43" s="82">
        <f>IF(Offerte!$A21="","","    "&amp;CHAR(123)&amp;CHAR(34)&amp;"bidderId"&amp;CHAR(34)&amp;": "&amp;CHAR(34)&amp;SUBSTITUTE(Offerte!$A21,CHAR(34),"'")&amp;CHAR(34)&amp;", "&amp;CHAR(34)&amp;"bidderName"&amp;CHAR(34)&amp;": "&amp;CHAR(34)&amp;SUBSTITUTE(Offerte!$B21,CHAR(34),"'")&amp;CHAR(34)&amp;", "&amp;CHAR(34)&amp;"lotId"&amp;CHAR(34)&amp;": "&amp;CHAR(34)&amp;SUBSTITUTE(Offerte!$C21,CHAR(34),"'")&amp;CHAR(34)&amp;", "&amp;CHAR(34)&amp;"enabled"&amp;CHAR(34)&amp;": "&amp;IF(IFERROR(Offerte!$D21*1,IFERROR(NUMBERVALUE(Offerte!$D21,".",","),IFERROR(NUMBERVALUE(Offerte!$D21,",","."),0)))=1,"true","false")&amp;", "&amp;CHAR(34)&amp;"technicalRaw"&amp;CHAR(34)&amp;": "&amp;SUBSTITUTE(TRIM(ROUND(IFERROR(Offerte!$E21*1,IFERROR(NUMBERVALUE(Offerte!$E21,".",","),IFERROR(NUMBERVALUE(Offerte!$E21,",","."),0))),4)&amp;""),",",".")&amp;", "&amp;CHAR(34)&amp;"discount"&amp;CHAR(34)&amp;": "&amp;SUBSTITUTE(TRIM(ROUND(IFERROR(Offerte!$F21*1,IFERROR(NUMBERVALUE(Offerte!$F21,".",","),IFERROR(NUMBERVALUE(Offerte!$F21,",","."),0))),4)&amp;""),",",".")&amp;CHAR(125)&amp;IF(COUNTA(Offerte!$A22:$A$81)&gt;0,",",""))</f>
        <v/>
      </c>
    </row>
    <row r="44">
      <c r="A44" s="82">
        <f>IF(Offerte!$A22="","","    "&amp;CHAR(123)&amp;CHAR(34)&amp;"bidderId"&amp;CHAR(34)&amp;": "&amp;CHAR(34)&amp;SUBSTITUTE(Offerte!$A22,CHAR(34),"'")&amp;CHAR(34)&amp;", "&amp;CHAR(34)&amp;"bidderName"&amp;CHAR(34)&amp;": "&amp;CHAR(34)&amp;SUBSTITUTE(Offerte!$B22,CHAR(34),"'")&amp;CHAR(34)&amp;", "&amp;CHAR(34)&amp;"lotId"&amp;CHAR(34)&amp;": "&amp;CHAR(34)&amp;SUBSTITUTE(Offerte!$C22,CHAR(34),"'")&amp;CHAR(34)&amp;", "&amp;CHAR(34)&amp;"enabled"&amp;CHAR(34)&amp;": "&amp;IF(IFERROR(Offerte!$D22*1,IFERROR(NUMBERVALUE(Offerte!$D22,".",","),IFERROR(NUMBERVALUE(Offerte!$D22,",","."),0)))=1,"true","false")&amp;", "&amp;CHAR(34)&amp;"technicalRaw"&amp;CHAR(34)&amp;": "&amp;SUBSTITUTE(TRIM(ROUND(IFERROR(Offerte!$E22*1,IFERROR(NUMBERVALUE(Offerte!$E22,".",","),IFERROR(NUMBERVALUE(Offerte!$E22,",","."),0))),4)&amp;""),",",".")&amp;", "&amp;CHAR(34)&amp;"discount"&amp;CHAR(34)&amp;": "&amp;SUBSTITUTE(TRIM(ROUND(IFERROR(Offerte!$F22*1,IFERROR(NUMBERVALUE(Offerte!$F22,".",","),IFERROR(NUMBERVALUE(Offerte!$F22,",","."),0))),4)&amp;""),",",".")&amp;CHAR(125)&amp;IF(COUNTA(Offerte!$A23:$A$81)&gt;0,",",""))</f>
        <v/>
      </c>
    </row>
    <row r="45">
      <c r="A45" s="82">
        <f>IF(Offerte!$A23="","","    "&amp;CHAR(123)&amp;CHAR(34)&amp;"bidderId"&amp;CHAR(34)&amp;": "&amp;CHAR(34)&amp;SUBSTITUTE(Offerte!$A23,CHAR(34),"'")&amp;CHAR(34)&amp;", "&amp;CHAR(34)&amp;"bidderName"&amp;CHAR(34)&amp;": "&amp;CHAR(34)&amp;SUBSTITUTE(Offerte!$B23,CHAR(34),"'")&amp;CHAR(34)&amp;", "&amp;CHAR(34)&amp;"lotId"&amp;CHAR(34)&amp;": "&amp;CHAR(34)&amp;SUBSTITUTE(Offerte!$C23,CHAR(34),"'")&amp;CHAR(34)&amp;", "&amp;CHAR(34)&amp;"enabled"&amp;CHAR(34)&amp;": "&amp;IF(IFERROR(Offerte!$D23*1,IFERROR(NUMBERVALUE(Offerte!$D23,".",","),IFERROR(NUMBERVALUE(Offerte!$D23,",","."),0)))=1,"true","false")&amp;", "&amp;CHAR(34)&amp;"technicalRaw"&amp;CHAR(34)&amp;": "&amp;SUBSTITUTE(TRIM(ROUND(IFERROR(Offerte!$E23*1,IFERROR(NUMBERVALUE(Offerte!$E23,".",","),IFERROR(NUMBERVALUE(Offerte!$E23,",","."),0))),4)&amp;""),",",".")&amp;", "&amp;CHAR(34)&amp;"discount"&amp;CHAR(34)&amp;": "&amp;SUBSTITUTE(TRIM(ROUND(IFERROR(Offerte!$F23*1,IFERROR(NUMBERVALUE(Offerte!$F23,".",","),IFERROR(NUMBERVALUE(Offerte!$F23,",","."),0))),4)&amp;""),",",".")&amp;CHAR(125)&amp;IF(COUNTA(Offerte!$A24:$A$81)&gt;0,",",""))</f>
        <v/>
      </c>
    </row>
    <row r="46">
      <c r="A46" s="82">
        <f>IF(Offerte!$A24="","","    "&amp;CHAR(123)&amp;CHAR(34)&amp;"bidderId"&amp;CHAR(34)&amp;": "&amp;CHAR(34)&amp;SUBSTITUTE(Offerte!$A24,CHAR(34),"'")&amp;CHAR(34)&amp;", "&amp;CHAR(34)&amp;"bidderName"&amp;CHAR(34)&amp;": "&amp;CHAR(34)&amp;SUBSTITUTE(Offerte!$B24,CHAR(34),"'")&amp;CHAR(34)&amp;", "&amp;CHAR(34)&amp;"lotId"&amp;CHAR(34)&amp;": "&amp;CHAR(34)&amp;SUBSTITUTE(Offerte!$C24,CHAR(34),"'")&amp;CHAR(34)&amp;", "&amp;CHAR(34)&amp;"enabled"&amp;CHAR(34)&amp;": "&amp;IF(IFERROR(Offerte!$D24*1,IFERROR(NUMBERVALUE(Offerte!$D24,".",","),IFERROR(NUMBERVALUE(Offerte!$D24,",","."),0)))=1,"true","false")&amp;", "&amp;CHAR(34)&amp;"technicalRaw"&amp;CHAR(34)&amp;": "&amp;SUBSTITUTE(TRIM(ROUND(IFERROR(Offerte!$E24*1,IFERROR(NUMBERVALUE(Offerte!$E24,".",","),IFERROR(NUMBERVALUE(Offerte!$E24,",","."),0))),4)&amp;""),",",".")&amp;", "&amp;CHAR(34)&amp;"discount"&amp;CHAR(34)&amp;": "&amp;SUBSTITUTE(TRIM(ROUND(IFERROR(Offerte!$F24*1,IFERROR(NUMBERVALUE(Offerte!$F24,".",","),IFERROR(NUMBERVALUE(Offerte!$F24,",","."),0))),4)&amp;""),",",".")&amp;CHAR(125)&amp;IF(COUNTA(Offerte!$A25:$A$81)&gt;0,",",""))</f>
        <v/>
      </c>
    </row>
    <row r="47">
      <c r="A47" s="82">
        <f>IF(Offerte!$A25="","","    "&amp;CHAR(123)&amp;CHAR(34)&amp;"bidderId"&amp;CHAR(34)&amp;": "&amp;CHAR(34)&amp;SUBSTITUTE(Offerte!$A25,CHAR(34),"'")&amp;CHAR(34)&amp;", "&amp;CHAR(34)&amp;"bidderName"&amp;CHAR(34)&amp;": "&amp;CHAR(34)&amp;SUBSTITUTE(Offerte!$B25,CHAR(34),"'")&amp;CHAR(34)&amp;", "&amp;CHAR(34)&amp;"lotId"&amp;CHAR(34)&amp;": "&amp;CHAR(34)&amp;SUBSTITUTE(Offerte!$C25,CHAR(34),"'")&amp;CHAR(34)&amp;", "&amp;CHAR(34)&amp;"enabled"&amp;CHAR(34)&amp;": "&amp;IF(IFERROR(Offerte!$D25*1,IFERROR(NUMBERVALUE(Offerte!$D25,".",","),IFERROR(NUMBERVALUE(Offerte!$D25,",","."),0)))=1,"true","false")&amp;", "&amp;CHAR(34)&amp;"technicalRaw"&amp;CHAR(34)&amp;": "&amp;SUBSTITUTE(TRIM(ROUND(IFERROR(Offerte!$E25*1,IFERROR(NUMBERVALUE(Offerte!$E25,".",","),IFERROR(NUMBERVALUE(Offerte!$E25,",","."),0))),4)&amp;""),",",".")&amp;", "&amp;CHAR(34)&amp;"discount"&amp;CHAR(34)&amp;": "&amp;SUBSTITUTE(TRIM(ROUND(IFERROR(Offerte!$F25*1,IFERROR(NUMBERVALUE(Offerte!$F25,".",","),IFERROR(NUMBERVALUE(Offerte!$F25,",","."),0))),4)&amp;""),",",".")&amp;CHAR(125)&amp;IF(COUNTA(Offerte!$A26:$A$81)&gt;0,",",""))</f>
        <v/>
      </c>
    </row>
    <row r="48">
      <c r="A48" s="82">
        <f>IF(Offerte!$A26="","","    "&amp;CHAR(123)&amp;CHAR(34)&amp;"bidderId"&amp;CHAR(34)&amp;": "&amp;CHAR(34)&amp;SUBSTITUTE(Offerte!$A26,CHAR(34),"'")&amp;CHAR(34)&amp;", "&amp;CHAR(34)&amp;"bidderName"&amp;CHAR(34)&amp;": "&amp;CHAR(34)&amp;SUBSTITUTE(Offerte!$B26,CHAR(34),"'")&amp;CHAR(34)&amp;", "&amp;CHAR(34)&amp;"lotId"&amp;CHAR(34)&amp;": "&amp;CHAR(34)&amp;SUBSTITUTE(Offerte!$C26,CHAR(34),"'")&amp;CHAR(34)&amp;", "&amp;CHAR(34)&amp;"enabled"&amp;CHAR(34)&amp;": "&amp;IF(IFERROR(Offerte!$D26*1,IFERROR(NUMBERVALUE(Offerte!$D26,".",","),IFERROR(NUMBERVALUE(Offerte!$D26,",","."),0)))=1,"true","false")&amp;", "&amp;CHAR(34)&amp;"technicalRaw"&amp;CHAR(34)&amp;": "&amp;SUBSTITUTE(TRIM(ROUND(IFERROR(Offerte!$E26*1,IFERROR(NUMBERVALUE(Offerte!$E26,".",","),IFERROR(NUMBERVALUE(Offerte!$E26,",","."),0))),4)&amp;""),",",".")&amp;", "&amp;CHAR(34)&amp;"discount"&amp;CHAR(34)&amp;": "&amp;SUBSTITUTE(TRIM(ROUND(IFERROR(Offerte!$F26*1,IFERROR(NUMBERVALUE(Offerte!$F26,".",","),IFERROR(NUMBERVALUE(Offerte!$F26,",","."),0))),4)&amp;""),",",".")&amp;CHAR(125)&amp;IF(COUNTA(Offerte!$A27:$A$81)&gt;0,",",""))</f>
        <v/>
      </c>
    </row>
    <row r="49">
      <c r="A49" s="82">
        <f>IF(Offerte!$A27="","","    "&amp;CHAR(123)&amp;CHAR(34)&amp;"bidderId"&amp;CHAR(34)&amp;": "&amp;CHAR(34)&amp;SUBSTITUTE(Offerte!$A27,CHAR(34),"'")&amp;CHAR(34)&amp;", "&amp;CHAR(34)&amp;"bidderName"&amp;CHAR(34)&amp;": "&amp;CHAR(34)&amp;SUBSTITUTE(Offerte!$B27,CHAR(34),"'")&amp;CHAR(34)&amp;", "&amp;CHAR(34)&amp;"lotId"&amp;CHAR(34)&amp;": "&amp;CHAR(34)&amp;SUBSTITUTE(Offerte!$C27,CHAR(34),"'")&amp;CHAR(34)&amp;", "&amp;CHAR(34)&amp;"enabled"&amp;CHAR(34)&amp;": "&amp;IF(IFERROR(Offerte!$D27*1,IFERROR(NUMBERVALUE(Offerte!$D27,".",","),IFERROR(NUMBERVALUE(Offerte!$D27,",","."),0)))=1,"true","false")&amp;", "&amp;CHAR(34)&amp;"technicalRaw"&amp;CHAR(34)&amp;": "&amp;SUBSTITUTE(TRIM(ROUND(IFERROR(Offerte!$E27*1,IFERROR(NUMBERVALUE(Offerte!$E27,".",","),IFERROR(NUMBERVALUE(Offerte!$E27,",","."),0))),4)&amp;""),",",".")&amp;", "&amp;CHAR(34)&amp;"discount"&amp;CHAR(34)&amp;": "&amp;SUBSTITUTE(TRIM(ROUND(IFERROR(Offerte!$F27*1,IFERROR(NUMBERVALUE(Offerte!$F27,".",","),IFERROR(NUMBERVALUE(Offerte!$F27,",","."),0))),4)&amp;""),",",".")&amp;CHAR(125)&amp;IF(COUNTA(Offerte!$A28:$A$81)&gt;0,",",""))</f>
        <v/>
      </c>
    </row>
    <row r="50">
      <c r="A50" s="82">
        <f>IF(Offerte!$A28="","","    "&amp;CHAR(123)&amp;CHAR(34)&amp;"bidderId"&amp;CHAR(34)&amp;": "&amp;CHAR(34)&amp;SUBSTITUTE(Offerte!$A28,CHAR(34),"'")&amp;CHAR(34)&amp;", "&amp;CHAR(34)&amp;"bidderName"&amp;CHAR(34)&amp;": "&amp;CHAR(34)&amp;SUBSTITUTE(Offerte!$B28,CHAR(34),"'")&amp;CHAR(34)&amp;", "&amp;CHAR(34)&amp;"lotId"&amp;CHAR(34)&amp;": "&amp;CHAR(34)&amp;SUBSTITUTE(Offerte!$C28,CHAR(34),"'")&amp;CHAR(34)&amp;", "&amp;CHAR(34)&amp;"enabled"&amp;CHAR(34)&amp;": "&amp;IF(IFERROR(Offerte!$D28*1,IFERROR(NUMBERVALUE(Offerte!$D28,".",","),IFERROR(NUMBERVALUE(Offerte!$D28,",","."),0)))=1,"true","false")&amp;", "&amp;CHAR(34)&amp;"technicalRaw"&amp;CHAR(34)&amp;": "&amp;SUBSTITUTE(TRIM(ROUND(IFERROR(Offerte!$E28*1,IFERROR(NUMBERVALUE(Offerte!$E28,".",","),IFERROR(NUMBERVALUE(Offerte!$E28,",","."),0))),4)&amp;""),",",".")&amp;", "&amp;CHAR(34)&amp;"discount"&amp;CHAR(34)&amp;": "&amp;SUBSTITUTE(TRIM(ROUND(IFERROR(Offerte!$F28*1,IFERROR(NUMBERVALUE(Offerte!$F28,".",","),IFERROR(NUMBERVALUE(Offerte!$F28,",","."),0))),4)&amp;""),",",".")&amp;CHAR(125)&amp;IF(COUNTA(Offerte!$A29:$A$81)&gt;0,",",""))</f>
        <v/>
      </c>
    </row>
    <row r="51">
      <c r="A51" s="82">
        <f>IF(Offerte!$A29="","","    "&amp;CHAR(123)&amp;CHAR(34)&amp;"bidderId"&amp;CHAR(34)&amp;": "&amp;CHAR(34)&amp;SUBSTITUTE(Offerte!$A29,CHAR(34),"'")&amp;CHAR(34)&amp;", "&amp;CHAR(34)&amp;"bidderName"&amp;CHAR(34)&amp;": "&amp;CHAR(34)&amp;SUBSTITUTE(Offerte!$B29,CHAR(34),"'")&amp;CHAR(34)&amp;", "&amp;CHAR(34)&amp;"lotId"&amp;CHAR(34)&amp;": "&amp;CHAR(34)&amp;SUBSTITUTE(Offerte!$C29,CHAR(34),"'")&amp;CHAR(34)&amp;", "&amp;CHAR(34)&amp;"enabled"&amp;CHAR(34)&amp;": "&amp;IF(IFERROR(Offerte!$D29*1,IFERROR(NUMBERVALUE(Offerte!$D29,".",","),IFERROR(NUMBERVALUE(Offerte!$D29,",","."),0)))=1,"true","false")&amp;", "&amp;CHAR(34)&amp;"technicalRaw"&amp;CHAR(34)&amp;": "&amp;SUBSTITUTE(TRIM(ROUND(IFERROR(Offerte!$E29*1,IFERROR(NUMBERVALUE(Offerte!$E29,".",","),IFERROR(NUMBERVALUE(Offerte!$E29,",","."),0))),4)&amp;""),",",".")&amp;", "&amp;CHAR(34)&amp;"discount"&amp;CHAR(34)&amp;": "&amp;SUBSTITUTE(TRIM(ROUND(IFERROR(Offerte!$F29*1,IFERROR(NUMBERVALUE(Offerte!$F29,".",","),IFERROR(NUMBERVALUE(Offerte!$F29,",","."),0))),4)&amp;""),",",".")&amp;CHAR(125)&amp;IF(COUNTA(Offerte!$A30:$A$81)&gt;0,",",""))</f>
        <v/>
      </c>
    </row>
    <row r="52">
      <c r="A52" s="82">
        <f>IF(Offerte!$A30="","","    "&amp;CHAR(123)&amp;CHAR(34)&amp;"bidderId"&amp;CHAR(34)&amp;": "&amp;CHAR(34)&amp;SUBSTITUTE(Offerte!$A30,CHAR(34),"'")&amp;CHAR(34)&amp;", "&amp;CHAR(34)&amp;"bidderName"&amp;CHAR(34)&amp;": "&amp;CHAR(34)&amp;SUBSTITUTE(Offerte!$B30,CHAR(34),"'")&amp;CHAR(34)&amp;", "&amp;CHAR(34)&amp;"lotId"&amp;CHAR(34)&amp;": "&amp;CHAR(34)&amp;SUBSTITUTE(Offerte!$C30,CHAR(34),"'")&amp;CHAR(34)&amp;", "&amp;CHAR(34)&amp;"enabled"&amp;CHAR(34)&amp;": "&amp;IF(IFERROR(Offerte!$D30*1,IFERROR(NUMBERVALUE(Offerte!$D30,".",","),IFERROR(NUMBERVALUE(Offerte!$D30,",","."),0)))=1,"true","false")&amp;", "&amp;CHAR(34)&amp;"technicalRaw"&amp;CHAR(34)&amp;": "&amp;SUBSTITUTE(TRIM(ROUND(IFERROR(Offerte!$E30*1,IFERROR(NUMBERVALUE(Offerte!$E30,".",","),IFERROR(NUMBERVALUE(Offerte!$E30,",","."),0))),4)&amp;""),",",".")&amp;", "&amp;CHAR(34)&amp;"discount"&amp;CHAR(34)&amp;": "&amp;SUBSTITUTE(TRIM(ROUND(IFERROR(Offerte!$F30*1,IFERROR(NUMBERVALUE(Offerte!$F30,".",","),IFERROR(NUMBERVALUE(Offerte!$F30,",","."),0))),4)&amp;""),",",".")&amp;CHAR(125)&amp;IF(COUNTA(Offerte!$A31:$A$81)&gt;0,",",""))</f>
        <v/>
      </c>
    </row>
    <row r="53">
      <c r="A53" s="82">
        <f>IF(Offerte!$A31="","","    "&amp;CHAR(123)&amp;CHAR(34)&amp;"bidderId"&amp;CHAR(34)&amp;": "&amp;CHAR(34)&amp;SUBSTITUTE(Offerte!$A31,CHAR(34),"'")&amp;CHAR(34)&amp;", "&amp;CHAR(34)&amp;"bidderName"&amp;CHAR(34)&amp;": "&amp;CHAR(34)&amp;SUBSTITUTE(Offerte!$B31,CHAR(34),"'")&amp;CHAR(34)&amp;", "&amp;CHAR(34)&amp;"lotId"&amp;CHAR(34)&amp;": "&amp;CHAR(34)&amp;SUBSTITUTE(Offerte!$C31,CHAR(34),"'")&amp;CHAR(34)&amp;", "&amp;CHAR(34)&amp;"enabled"&amp;CHAR(34)&amp;": "&amp;IF(IFERROR(Offerte!$D31*1,IFERROR(NUMBERVALUE(Offerte!$D31,".",","),IFERROR(NUMBERVALUE(Offerte!$D31,",","."),0)))=1,"true","false")&amp;", "&amp;CHAR(34)&amp;"technicalRaw"&amp;CHAR(34)&amp;": "&amp;SUBSTITUTE(TRIM(ROUND(IFERROR(Offerte!$E31*1,IFERROR(NUMBERVALUE(Offerte!$E31,".",","),IFERROR(NUMBERVALUE(Offerte!$E31,",","."),0))),4)&amp;""),",",".")&amp;", "&amp;CHAR(34)&amp;"discount"&amp;CHAR(34)&amp;": "&amp;SUBSTITUTE(TRIM(ROUND(IFERROR(Offerte!$F31*1,IFERROR(NUMBERVALUE(Offerte!$F31,".",","),IFERROR(NUMBERVALUE(Offerte!$F31,",","."),0))),4)&amp;""),",",".")&amp;CHAR(125)&amp;IF(COUNTA(Offerte!$A32:$A$81)&gt;0,",",""))</f>
        <v/>
      </c>
    </row>
    <row r="54">
      <c r="A54" s="82">
        <f>IF(Offerte!$A32="","","    "&amp;CHAR(123)&amp;CHAR(34)&amp;"bidderId"&amp;CHAR(34)&amp;": "&amp;CHAR(34)&amp;SUBSTITUTE(Offerte!$A32,CHAR(34),"'")&amp;CHAR(34)&amp;", "&amp;CHAR(34)&amp;"bidderName"&amp;CHAR(34)&amp;": "&amp;CHAR(34)&amp;SUBSTITUTE(Offerte!$B32,CHAR(34),"'")&amp;CHAR(34)&amp;", "&amp;CHAR(34)&amp;"lotId"&amp;CHAR(34)&amp;": "&amp;CHAR(34)&amp;SUBSTITUTE(Offerte!$C32,CHAR(34),"'")&amp;CHAR(34)&amp;", "&amp;CHAR(34)&amp;"enabled"&amp;CHAR(34)&amp;": "&amp;IF(IFERROR(Offerte!$D32*1,IFERROR(NUMBERVALUE(Offerte!$D32,".",","),IFERROR(NUMBERVALUE(Offerte!$D32,",","."),0)))=1,"true","false")&amp;", "&amp;CHAR(34)&amp;"technicalRaw"&amp;CHAR(34)&amp;": "&amp;SUBSTITUTE(TRIM(ROUND(IFERROR(Offerte!$E32*1,IFERROR(NUMBERVALUE(Offerte!$E32,".",","),IFERROR(NUMBERVALUE(Offerte!$E32,",","."),0))),4)&amp;""),",",".")&amp;", "&amp;CHAR(34)&amp;"discount"&amp;CHAR(34)&amp;": "&amp;SUBSTITUTE(TRIM(ROUND(IFERROR(Offerte!$F32*1,IFERROR(NUMBERVALUE(Offerte!$F32,".",","),IFERROR(NUMBERVALUE(Offerte!$F32,",","."),0))),4)&amp;""),",",".")&amp;CHAR(125)&amp;IF(COUNTA(Offerte!$A33:$A$81)&gt;0,",",""))</f>
        <v/>
      </c>
    </row>
    <row r="55">
      <c r="A55" s="82">
        <f>IF(Offerte!$A33="","","    "&amp;CHAR(123)&amp;CHAR(34)&amp;"bidderId"&amp;CHAR(34)&amp;": "&amp;CHAR(34)&amp;SUBSTITUTE(Offerte!$A33,CHAR(34),"'")&amp;CHAR(34)&amp;", "&amp;CHAR(34)&amp;"bidderName"&amp;CHAR(34)&amp;": "&amp;CHAR(34)&amp;SUBSTITUTE(Offerte!$B33,CHAR(34),"'")&amp;CHAR(34)&amp;", "&amp;CHAR(34)&amp;"lotId"&amp;CHAR(34)&amp;": "&amp;CHAR(34)&amp;SUBSTITUTE(Offerte!$C33,CHAR(34),"'")&amp;CHAR(34)&amp;", "&amp;CHAR(34)&amp;"enabled"&amp;CHAR(34)&amp;": "&amp;IF(IFERROR(Offerte!$D33*1,IFERROR(NUMBERVALUE(Offerte!$D33,".",","),IFERROR(NUMBERVALUE(Offerte!$D33,",","."),0)))=1,"true","false")&amp;", "&amp;CHAR(34)&amp;"technicalRaw"&amp;CHAR(34)&amp;": "&amp;SUBSTITUTE(TRIM(ROUND(IFERROR(Offerte!$E33*1,IFERROR(NUMBERVALUE(Offerte!$E33,".",","),IFERROR(NUMBERVALUE(Offerte!$E33,",","."),0))),4)&amp;""),",",".")&amp;", "&amp;CHAR(34)&amp;"discount"&amp;CHAR(34)&amp;": "&amp;SUBSTITUTE(TRIM(ROUND(IFERROR(Offerte!$F33*1,IFERROR(NUMBERVALUE(Offerte!$F33,".",","),IFERROR(NUMBERVALUE(Offerte!$F33,",","."),0))),4)&amp;""),",",".")&amp;CHAR(125)&amp;IF(COUNTA(Offerte!$A34:$A$81)&gt;0,",",""))</f>
        <v/>
      </c>
    </row>
    <row r="56">
      <c r="A56" s="82">
        <f>IF(Offerte!$A34="","","    "&amp;CHAR(123)&amp;CHAR(34)&amp;"bidderId"&amp;CHAR(34)&amp;": "&amp;CHAR(34)&amp;SUBSTITUTE(Offerte!$A34,CHAR(34),"'")&amp;CHAR(34)&amp;", "&amp;CHAR(34)&amp;"bidderName"&amp;CHAR(34)&amp;": "&amp;CHAR(34)&amp;SUBSTITUTE(Offerte!$B34,CHAR(34),"'")&amp;CHAR(34)&amp;", "&amp;CHAR(34)&amp;"lotId"&amp;CHAR(34)&amp;": "&amp;CHAR(34)&amp;SUBSTITUTE(Offerte!$C34,CHAR(34),"'")&amp;CHAR(34)&amp;", "&amp;CHAR(34)&amp;"enabled"&amp;CHAR(34)&amp;": "&amp;IF(IFERROR(Offerte!$D34*1,IFERROR(NUMBERVALUE(Offerte!$D34,".",","),IFERROR(NUMBERVALUE(Offerte!$D34,",","."),0)))=1,"true","false")&amp;", "&amp;CHAR(34)&amp;"technicalRaw"&amp;CHAR(34)&amp;": "&amp;SUBSTITUTE(TRIM(ROUND(IFERROR(Offerte!$E34*1,IFERROR(NUMBERVALUE(Offerte!$E34,".",","),IFERROR(NUMBERVALUE(Offerte!$E34,",","."),0))),4)&amp;""),",",".")&amp;", "&amp;CHAR(34)&amp;"discount"&amp;CHAR(34)&amp;": "&amp;SUBSTITUTE(TRIM(ROUND(IFERROR(Offerte!$F34*1,IFERROR(NUMBERVALUE(Offerte!$F34,".",","),IFERROR(NUMBERVALUE(Offerte!$F34,",","."),0))),4)&amp;""),",",".")&amp;CHAR(125)&amp;IF(COUNTA(Offerte!$A35:$A$81)&gt;0,",",""))</f>
        <v/>
      </c>
    </row>
    <row r="57">
      <c r="A57" s="82">
        <f>IF(Offerte!$A35="","","    "&amp;CHAR(123)&amp;CHAR(34)&amp;"bidderId"&amp;CHAR(34)&amp;": "&amp;CHAR(34)&amp;SUBSTITUTE(Offerte!$A35,CHAR(34),"'")&amp;CHAR(34)&amp;", "&amp;CHAR(34)&amp;"bidderName"&amp;CHAR(34)&amp;": "&amp;CHAR(34)&amp;SUBSTITUTE(Offerte!$B35,CHAR(34),"'")&amp;CHAR(34)&amp;", "&amp;CHAR(34)&amp;"lotId"&amp;CHAR(34)&amp;": "&amp;CHAR(34)&amp;SUBSTITUTE(Offerte!$C35,CHAR(34),"'")&amp;CHAR(34)&amp;", "&amp;CHAR(34)&amp;"enabled"&amp;CHAR(34)&amp;": "&amp;IF(IFERROR(Offerte!$D35*1,IFERROR(NUMBERVALUE(Offerte!$D35,".",","),IFERROR(NUMBERVALUE(Offerte!$D35,",","."),0)))=1,"true","false")&amp;", "&amp;CHAR(34)&amp;"technicalRaw"&amp;CHAR(34)&amp;": "&amp;SUBSTITUTE(TRIM(ROUND(IFERROR(Offerte!$E35*1,IFERROR(NUMBERVALUE(Offerte!$E35,".",","),IFERROR(NUMBERVALUE(Offerte!$E35,",","."),0))),4)&amp;""),",",".")&amp;", "&amp;CHAR(34)&amp;"discount"&amp;CHAR(34)&amp;": "&amp;SUBSTITUTE(TRIM(ROUND(IFERROR(Offerte!$F35*1,IFERROR(NUMBERVALUE(Offerte!$F35,".",","),IFERROR(NUMBERVALUE(Offerte!$F35,",","."),0))),4)&amp;""),",",".")&amp;CHAR(125)&amp;IF(COUNTA(Offerte!$A36:$A$81)&gt;0,",",""))</f>
        <v/>
      </c>
    </row>
    <row r="58">
      <c r="A58" s="82">
        <f>IF(Offerte!$A36="","","    "&amp;CHAR(123)&amp;CHAR(34)&amp;"bidderId"&amp;CHAR(34)&amp;": "&amp;CHAR(34)&amp;SUBSTITUTE(Offerte!$A36,CHAR(34),"'")&amp;CHAR(34)&amp;", "&amp;CHAR(34)&amp;"bidderName"&amp;CHAR(34)&amp;": "&amp;CHAR(34)&amp;SUBSTITUTE(Offerte!$B36,CHAR(34),"'")&amp;CHAR(34)&amp;", "&amp;CHAR(34)&amp;"lotId"&amp;CHAR(34)&amp;": "&amp;CHAR(34)&amp;SUBSTITUTE(Offerte!$C36,CHAR(34),"'")&amp;CHAR(34)&amp;", "&amp;CHAR(34)&amp;"enabled"&amp;CHAR(34)&amp;": "&amp;IF(IFERROR(Offerte!$D36*1,IFERROR(NUMBERVALUE(Offerte!$D36,".",","),IFERROR(NUMBERVALUE(Offerte!$D36,",","."),0)))=1,"true","false")&amp;", "&amp;CHAR(34)&amp;"technicalRaw"&amp;CHAR(34)&amp;": "&amp;SUBSTITUTE(TRIM(ROUND(IFERROR(Offerte!$E36*1,IFERROR(NUMBERVALUE(Offerte!$E36,".",","),IFERROR(NUMBERVALUE(Offerte!$E36,",","."),0))),4)&amp;""),",",".")&amp;", "&amp;CHAR(34)&amp;"discount"&amp;CHAR(34)&amp;": "&amp;SUBSTITUTE(TRIM(ROUND(IFERROR(Offerte!$F36*1,IFERROR(NUMBERVALUE(Offerte!$F36,".",","),IFERROR(NUMBERVALUE(Offerte!$F36,",","."),0))),4)&amp;""),",",".")&amp;CHAR(125)&amp;IF(COUNTA(Offerte!$A37:$A$81)&gt;0,",",""))</f>
        <v/>
      </c>
    </row>
    <row r="59">
      <c r="A59" s="82">
        <f>IF(Offerte!$A37="","","    "&amp;CHAR(123)&amp;CHAR(34)&amp;"bidderId"&amp;CHAR(34)&amp;": "&amp;CHAR(34)&amp;SUBSTITUTE(Offerte!$A37,CHAR(34),"'")&amp;CHAR(34)&amp;", "&amp;CHAR(34)&amp;"bidderName"&amp;CHAR(34)&amp;": "&amp;CHAR(34)&amp;SUBSTITUTE(Offerte!$B37,CHAR(34),"'")&amp;CHAR(34)&amp;", "&amp;CHAR(34)&amp;"lotId"&amp;CHAR(34)&amp;": "&amp;CHAR(34)&amp;SUBSTITUTE(Offerte!$C37,CHAR(34),"'")&amp;CHAR(34)&amp;", "&amp;CHAR(34)&amp;"enabled"&amp;CHAR(34)&amp;": "&amp;IF(IFERROR(Offerte!$D37*1,IFERROR(NUMBERVALUE(Offerte!$D37,".",","),IFERROR(NUMBERVALUE(Offerte!$D37,",","."),0)))=1,"true","false")&amp;", "&amp;CHAR(34)&amp;"technicalRaw"&amp;CHAR(34)&amp;": "&amp;SUBSTITUTE(TRIM(ROUND(IFERROR(Offerte!$E37*1,IFERROR(NUMBERVALUE(Offerte!$E37,".",","),IFERROR(NUMBERVALUE(Offerte!$E37,",","."),0))),4)&amp;""),",",".")&amp;", "&amp;CHAR(34)&amp;"discount"&amp;CHAR(34)&amp;": "&amp;SUBSTITUTE(TRIM(ROUND(IFERROR(Offerte!$F37*1,IFERROR(NUMBERVALUE(Offerte!$F37,".",","),IFERROR(NUMBERVALUE(Offerte!$F37,",","."),0))),4)&amp;""),",",".")&amp;CHAR(125)&amp;IF(COUNTA(Offerte!$A38:$A$81)&gt;0,",",""))</f>
        <v/>
      </c>
    </row>
    <row r="60">
      <c r="A60" s="82">
        <f>IF(Offerte!$A38="","","    "&amp;CHAR(123)&amp;CHAR(34)&amp;"bidderId"&amp;CHAR(34)&amp;": "&amp;CHAR(34)&amp;SUBSTITUTE(Offerte!$A38,CHAR(34),"'")&amp;CHAR(34)&amp;", "&amp;CHAR(34)&amp;"bidderName"&amp;CHAR(34)&amp;": "&amp;CHAR(34)&amp;SUBSTITUTE(Offerte!$B38,CHAR(34),"'")&amp;CHAR(34)&amp;", "&amp;CHAR(34)&amp;"lotId"&amp;CHAR(34)&amp;": "&amp;CHAR(34)&amp;SUBSTITUTE(Offerte!$C38,CHAR(34),"'")&amp;CHAR(34)&amp;", "&amp;CHAR(34)&amp;"enabled"&amp;CHAR(34)&amp;": "&amp;IF(IFERROR(Offerte!$D38*1,IFERROR(NUMBERVALUE(Offerte!$D38,".",","),IFERROR(NUMBERVALUE(Offerte!$D38,",","."),0)))=1,"true","false")&amp;", "&amp;CHAR(34)&amp;"technicalRaw"&amp;CHAR(34)&amp;": "&amp;SUBSTITUTE(TRIM(ROUND(IFERROR(Offerte!$E38*1,IFERROR(NUMBERVALUE(Offerte!$E38,".",","),IFERROR(NUMBERVALUE(Offerte!$E38,",","."),0))),4)&amp;""),",",".")&amp;", "&amp;CHAR(34)&amp;"discount"&amp;CHAR(34)&amp;": "&amp;SUBSTITUTE(TRIM(ROUND(IFERROR(Offerte!$F38*1,IFERROR(NUMBERVALUE(Offerte!$F38,".",","),IFERROR(NUMBERVALUE(Offerte!$F38,",","."),0))),4)&amp;""),",",".")&amp;CHAR(125)&amp;IF(COUNTA(Offerte!$A39:$A$81)&gt;0,",",""))</f>
        <v/>
      </c>
    </row>
    <row r="61">
      <c r="A61" s="82">
        <f>IF(Offerte!$A39="","","    "&amp;CHAR(123)&amp;CHAR(34)&amp;"bidderId"&amp;CHAR(34)&amp;": "&amp;CHAR(34)&amp;SUBSTITUTE(Offerte!$A39,CHAR(34),"'")&amp;CHAR(34)&amp;", "&amp;CHAR(34)&amp;"bidderName"&amp;CHAR(34)&amp;": "&amp;CHAR(34)&amp;SUBSTITUTE(Offerte!$B39,CHAR(34),"'")&amp;CHAR(34)&amp;", "&amp;CHAR(34)&amp;"lotId"&amp;CHAR(34)&amp;": "&amp;CHAR(34)&amp;SUBSTITUTE(Offerte!$C39,CHAR(34),"'")&amp;CHAR(34)&amp;", "&amp;CHAR(34)&amp;"enabled"&amp;CHAR(34)&amp;": "&amp;IF(IFERROR(Offerte!$D39*1,IFERROR(NUMBERVALUE(Offerte!$D39,".",","),IFERROR(NUMBERVALUE(Offerte!$D39,",","."),0)))=1,"true","false")&amp;", "&amp;CHAR(34)&amp;"technicalRaw"&amp;CHAR(34)&amp;": "&amp;SUBSTITUTE(TRIM(ROUND(IFERROR(Offerte!$E39*1,IFERROR(NUMBERVALUE(Offerte!$E39,".",","),IFERROR(NUMBERVALUE(Offerte!$E39,",","."),0))),4)&amp;""),",",".")&amp;", "&amp;CHAR(34)&amp;"discount"&amp;CHAR(34)&amp;": "&amp;SUBSTITUTE(TRIM(ROUND(IFERROR(Offerte!$F39*1,IFERROR(NUMBERVALUE(Offerte!$F39,".",","),IFERROR(NUMBERVALUE(Offerte!$F39,",","."),0))),4)&amp;""),",",".")&amp;CHAR(125)&amp;IF(COUNTA(Offerte!$A40:$A$81)&gt;0,",",""))</f>
        <v/>
      </c>
    </row>
    <row r="62">
      <c r="A62" s="82">
        <f>IF(Offerte!$A40="","","    "&amp;CHAR(123)&amp;CHAR(34)&amp;"bidderId"&amp;CHAR(34)&amp;": "&amp;CHAR(34)&amp;SUBSTITUTE(Offerte!$A40,CHAR(34),"'")&amp;CHAR(34)&amp;", "&amp;CHAR(34)&amp;"bidderName"&amp;CHAR(34)&amp;": "&amp;CHAR(34)&amp;SUBSTITUTE(Offerte!$B40,CHAR(34),"'")&amp;CHAR(34)&amp;", "&amp;CHAR(34)&amp;"lotId"&amp;CHAR(34)&amp;": "&amp;CHAR(34)&amp;SUBSTITUTE(Offerte!$C40,CHAR(34),"'")&amp;CHAR(34)&amp;", "&amp;CHAR(34)&amp;"enabled"&amp;CHAR(34)&amp;": "&amp;IF(IFERROR(Offerte!$D40*1,IFERROR(NUMBERVALUE(Offerte!$D40,".",","),IFERROR(NUMBERVALUE(Offerte!$D40,",","."),0)))=1,"true","false")&amp;", "&amp;CHAR(34)&amp;"technicalRaw"&amp;CHAR(34)&amp;": "&amp;SUBSTITUTE(TRIM(ROUND(IFERROR(Offerte!$E40*1,IFERROR(NUMBERVALUE(Offerte!$E40,".",","),IFERROR(NUMBERVALUE(Offerte!$E40,",","."),0))),4)&amp;""),",",".")&amp;", "&amp;CHAR(34)&amp;"discount"&amp;CHAR(34)&amp;": "&amp;SUBSTITUTE(TRIM(ROUND(IFERROR(Offerte!$F40*1,IFERROR(NUMBERVALUE(Offerte!$F40,".",","),IFERROR(NUMBERVALUE(Offerte!$F40,",","."),0))),4)&amp;""),",",".")&amp;CHAR(125)&amp;IF(COUNTA(Offerte!$A41:$A$81)&gt;0,",",""))</f>
        <v/>
      </c>
    </row>
    <row r="63">
      <c r="A63" s="82">
        <f>IF(Offerte!$A41="","","    "&amp;CHAR(123)&amp;CHAR(34)&amp;"bidderId"&amp;CHAR(34)&amp;": "&amp;CHAR(34)&amp;SUBSTITUTE(Offerte!$A41,CHAR(34),"'")&amp;CHAR(34)&amp;", "&amp;CHAR(34)&amp;"bidderName"&amp;CHAR(34)&amp;": "&amp;CHAR(34)&amp;SUBSTITUTE(Offerte!$B41,CHAR(34),"'")&amp;CHAR(34)&amp;", "&amp;CHAR(34)&amp;"lotId"&amp;CHAR(34)&amp;": "&amp;CHAR(34)&amp;SUBSTITUTE(Offerte!$C41,CHAR(34),"'")&amp;CHAR(34)&amp;", "&amp;CHAR(34)&amp;"enabled"&amp;CHAR(34)&amp;": "&amp;IF(IFERROR(Offerte!$D41*1,IFERROR(NUMBERVALUE(Offerte!$D41,".",","),IFERROR(NUMBERVALUE(Offerte!$D41,",","."),0)))=1,"true","false")&amp;", "&amp;CHAR(34)&amp;"technicalRaw"&amp;CHAR(34)&amp;": "&amp;SUBSTITUTE(TRIM(ROUND(IFERROR(Offerte!$E41*1,IFERROR(NUMBERVALUE(Offerte!$E41,".",","),IFERROR(NUMBERVALUE(Offerte!$E41,",","."),0))),4)&amp;""),",",".")&amp;", "&amp;CHAR(34)&amp;"discount"&amp;CHAR(34)&amp;": "&amp;SUBSTITUTE(TRIM(ROUND(IFERROR(Offerte!$F41*1,IFERROR(NUMBERVALUE(Offerte!$F41,".",","),IFERROR(NUMBERVALUE(Offerte!$F41,",","."),0))),4)&amp;""),",",".")&amp;CHAR(125)&amp;IF(COUNTA(Offerte!$A42:$A$81)&gt;0,",",""))</f>
        <v/>
      </c>
    </row>
    <row r="64">
      <c r="A64" s="82">
        <f>IF(Offerte!$A42="","","    "&amp;CHAR(123)&amp;CHAR(34)&amp;"bidderId"&amp;CHAR(34)&amp;": "&amp;CHAR(34)&amp;SUBSTITUTE(Offerte!$A42,CHAR(34),"'")&amp;CHAR(34)&amp;", "&amp;CHAR(34)&amp;"bidderName"&amp;CHAR(34)&amp;": "&amp;CHAR(34)&amp;SUBSTITUTE(Offerte!$B42,CHAR(34),"'")&amp;CHAR(34)&amp;", "&amp;CHAR(34)&amp;"lotId"&amp;CHAR(34)&amp;": "&amp;CHAR(34)&amp;SUBSTITUTE(Offerte!$C42,CHAR(34),"'")&amp;CHAR(34)&amp;", "&amp;CHAR(34)&amp;"enabled"&amp;CHAR(34)&amp;": "&amp;IF(IFERROR(Offerte!$D42*1,IFERROR(NUMBERVALUE(Offerte!$D42,".",","),IFERROR(NUMBERVALUE(Offerte!$D42,",","."),0)))=1,"true","false")&amp;", "&amp;CHAR(34)&amp;"technicalRaw"&amp;CHAR(34)&amp;": "&amp;SUBSTITUTE(TRIM(ROUND(IFERROR(Offerte!$E42*1,IFERROR(NUMBERVALUE(Offerte!$E42,".",","),IFERROR(NUMBERVALUE(Offerte!$E42,",","."),0))),4)&amp;""),",",".")&amp;", "&amp;CHAR(34)&amp;"discount"&amp;CHAR(34)&amp;": "&amp;SUBSTITUTE(TRIM(ROUND(IFERROR(Offerte!$F42*1,IFERROR(NUMBERVALUE(Offerte!$F42,".",","),IFERROR(NUMBERVALUE(Offerte!$F42,",","."),0))),4)&amp;""),",",".")&amp;CHAR(125)&amp;IF(COUNTA(Offerte!$A43:$A$81)&gt;0,",",""))</f>
        <v/>
      </c>
    </row>
    <row r="65">
      <c r="A65" s="82">
        <f>IF(Offerte!$A43="","","    "&amp;CHAR(123)&amp;CHAR(34)&amp;"bidderId"&amp;CHAR(34)&amp;": "&amp;CHAR(34)&amp;SUBSTITUTE(Offerte!$A43,CHAR(34),"'")&amp;CHAR(34)&amp;", "&amp;CHAR(34)&amp;"bidderName"&amp;CHAR(34)&amp;": "&amp;CHAR(34)&amp;SUBSTITUTE(Offerte!$B43,CHAR(34),"'")&amp;CHAR(34)&amp;", "&amp;CHAR(34)&amp;"lotId"&amp;CHAR(34)&amp;": "&amp;CHAR(34)&amp;SUBSTITUTE(Offerte!$C43,CHAR(34),"'")&amp;CHAR(34)&amp;", "&amp;CHAR(34)&amp;"enabled"&amp;CHAR(34)&amp;": "&amp;IF(IFERROR(Offerte!$D43*1,IFERROR(NUMBERVALUE(Offerte!$D43,".",","),IFERROR(NUMBERVALUE(Offerte!$D43,",","."),0)))=1,"true","false")&amp;", "&amp;CHAR(34)&amp;"technicalRaw"&amp;CHAR(34)&amp;": "&amp;SUBSTITUTE(TRIM(ROUND(IFERROR(Offerte!$E43*1,IFERROR(NUMBERVALUE(Offerte!$E43,".",","),IFERROR(NUMBERVALUE(Offerte!$E43,",","."),0))),4)&amp;""),",",".")&amp;", "&amp;CHAR(34)&amp;"discount"&amp;CHAR(34)&amp;": "&amp;SUBSTITUTE(TRIM(ROUND(IFERROR(Offerte!$F43*1,IFERROR(NUMBERVALUE(Offerte!$F43,".",","),IFERROR(NUMBERVALUE(Offerte!$F43,",","."),0))),4)&amp;""),",",".")&amp;CHAR(125)&amp;IF(COUNTA(Offerte!$A44:$A$81)&gt;0,",",""))</f>
        <v/>
      </c>
    </row>
    <row r="66">
      <c r="A66" s="82">
        <f>IF(Offerte!$A44="","","    "&amp;CHAR(123)&amp;CHAR(34)&amp;"bidderId"&amp;CHAR(34)&amp;": "&amp;CHAR(34)&amp;SUBSTITUTE(Offerte!$A44,CHAR(34),"'")&amp;CHAR(34)&amp;", "&amp;CHAR(34)&amp;"bidderName"&amp;CHAR(34)&amp;": "&amp;CHAR(34)&amp;SUBSTITUTE(Offerte!$B44,CHAR(34),"'")&amp;CHAR(34)&amp;", "&amp;CHAR(34)&amp;"lotId"&amp;CHAR(34)&amp;": "&amp;CHAR(34)&amp;SUBSTITUTE(Offerte!$C44,CHAR(34),"'")&amp;CHAR(34)&amp;", "&amp;CHAR(34)&amp;"enabled"&amp;CHAR(34)&amp;": "&amp;IF(IFERROR(Offerte!$D44*1,IFERROR(NUMBERVALUE(Offerte!$D44,".",","),IFERROR(NUMBERVALUE(Offerte!$D44,",","."),0)))=1,"true","false")&amp;", "&amp;CHAR(34)&amp;"technicalRaw"&amp;CHAR(34)&amp;": "&amp;SUBSTITUTE(TRIM(ROUND(IFERROR(Offerte!$E44*1,IFERROR(NUMBERVALUE(Offerte!$E44,".",","),IFERROR(NUMBERVALUE(Offerte!$E44,",","."),0))),4)&amp;""),",",".")&amp;", "&amp;CHAR(34)&amp;"discount"&amp;CHAR(34)&amp;": "&amp;SUBSTITUTE(TRIM(ROUND(IFERROR(Offerte!$F44*1,IFERROR(NUMBERVALUE(Offerte!$F44,".",","),IFERROR(NUMBERVALUE(Offerte!$F44,",","."),0))),4)&amp;""),",",".")&amp;CHAR(125)&amp;IF(COUNTA(Offerte!$A45:$A$81)&gt;0,",",""))</f>
        <v/>
      </c>
    </row>
    <row r="67">
      <c r="A67" s="82">
        <f>IF(Offerte!$A45="","","    "&amp;CHAR(123)&amp;CHAR(34)&amp;"bidderId"&amp;CHAR(34)&amp;": "&amp;CHAR(34)&amp;SUBSTITUTE(Offerte!$A45,CHAR(34),"'")&amp;CHAR(34)&amp;", "&amp;CHAR(34)&amp;"bidderName"&amp;CHAR(34)&amp;": "&amp;CHAR(34)&amp;SUBSTITUTE(Offerte!$B45,CHAR(34),"'")&amp;CHAR(34)&amp;", "&amp;CHAR(34)&amp;"lotId"&amp;CHAR(34)&amp;": "&amp;CHAR(34)&amp;SUBSTITUTE(Offerte!$C45,CHAR(34),"'")&amp;CHAR(34)&amp;", "&amp;CHAR(34)&amp;"enabled"&amp;CHAR(34)&amp;": "&amp;IF(IFERROR(Offerte!$D45*1,IFERROR(NUMBERVALUE(Offerte!$D45,".",","),IFERROR(NUMBERVALUE(Offerte!$D45,",","."),0)))=1,"true","false")&amp;", "&amp;CHAR(34)&amp;"technicalRaw"&amp;CHAR(34)&amp;": "&amp;SUBSTITUTE(TRIM(ROUND(IFERROR(Offerte!$E45*1,IFERROR(NUMBERVALUE(Offerte!$E45,".",","),IFERROR(NUMBERVALUE(Offerte!$E45,",","."),0))),4)&amp;""),",",".")&amp;", "&amp;CHAR(34)&amp;"discount"&amp;CHAR(34)&amp;": "&amp;SUBSTITUTE(TRIM(ROUND(IFERROR(Offerte!$F45*1,IFERROR(NUMBERVALUE(Offerte!$F45,".",","),IFERROR(NUMBERVALUE(Offerte!$F45,",","."),0))),4)&amp;""),",",".")&amp;CHAR(125)&amp;IF(COUNTA(Offerte!$A46:$A$81)&gt;0,",",""))</f>
        <v/>
      </c>
    </row>
    <row r="68">
      <c r="A68" s="82">
        <f>IF(Offerte!$A46="","","    "&amp;CHAR(123)&amp;CHAR(34)&amp;"bidderId"&amp;CHAR(34)&amp;": "&amp;CHAR(34)&amp;SUBSTITUTE(Offerte!$A46,CHAR(34),"'")&amp;CHAR(34)&amp;", "&amp;CHAR(34)&amp;"bidderName"&amp;CHAR(34)&amp;": "&amp;CHAR(34)&amp;SUBSTITUTE(Offerte!$B46,CHAR(34),"'")&amp;CHAR(34)&amp;", "&amp;CHAR(34)&amp;"lotId"&amp;CHAR(34)&amp;": "&amp;CHAR(34)&amp;SUBSTITUTE(Offerte!$C46,CHAR(34),"'")&amp;CHAR(34)&amp;", "&amp;CHAR(34)&amp;"enabled"&amp;CHAR(34)&amp;": "&amp;IF(IFERROR(Offerte!$D46*1,IFERROR(NUMBERVALUE(Offerte!$D46,".",","),IFERROR(NUMBERVALUE(Offerte!$D46,",","."),0)))=1,"true","false")&amp;", "&amp;CHAR(34)&amp;"technicalRaw"&amp;CHAR(34)&amp;": "&amp;SUBSTITUTE(TRIM(ROUND(IFERROR(Offerte!$E46*1,IFERROR(NUMBERVALUE(Offerte!$E46,".",","),IFERROR(NUMBERVALUE(Offerte!$E46,",","."),0))),4)&amp;""),",",".")&amp;", "&amp;CHAR(34)&amp;"discount"&amp;CHAR(34)&amp;": "&amp;SUBSTITUTE(TRIM(ROUND(IFERROR(Offerte!$F46*1,IFERROR(NUMBERVALUE(Offerte!$F46,".",","),IFERROR(NUMBERVALUE(Offerte!$F46,",","."),0))),4)&amp;""),",",".")&amp;CHAR(125)&amp;IF(COUNTA(Offerte!$A47:$A$81)&gt;0,",",""))</f>
        <v/>
      </c>
    </row>
    <row r="69">
      <c r="A69" s="82">
        <f>IF(Offerte!$A47="","","    "&amp;CHAR(123)&amp;CHAR(34)&amp;"bidderId"&amp;CHAR(34)&amp;": "&amp;CHAR(34)&amp;SUBSTITUTE(Offerte!$A47,CHAR(34),"'")&amp;CHAR(34)&amp;", "&amp;CHAR(34)&amp;"bidderName"&amp;CHAR(34)&amp;": "&amp;CHAR(34)&amp;SUBSTITUTE(Offerte!$B47,CHAR(34),"'")&amp;CHAR(34)&amp;", "&amp;CHAR(34)&amp;"lotId"&amp;CHAR(34)&amp;": "&amp;CHAR(34)&amp;SUBSTITUTE(Offerte!$C47,CHAR(34),"'")&amp;CHAR(34)&amp;", "&amp;CHAR(34)&amp;"enabled"&amp;CHAR(34)&amp;": "&amp;IF(IFERROR(Offerte!$D47*1,IFERROR(NUMBERVALUE(Offerte!$D47,".",","),IFERROR(NUMBERVALUE(Offerte!$D47,",","."),0)))=1,"true","false")&amp;", "&amp;CHAR(34)&amp;"technicalRaw"&amp;CHAR(34)&amp;": "&amp;SUBSTITUTE(TRIM(ROUND(IFERROR(Offerte!$E47*1,IFERROR(NUMBERVALUE(Offerte!$E47,".",","),IFERROR(NUMBERVALUE(Offerte!$E47,",","."),0))),4)&amp;""),",",".")&amp;", "&amp;CHAR(34)&amp;"discount"&amp;CHAR(34)&amp;": "&amp;SUBSTITUTE(TRIM(ROUND(IFERROR(Offerte!$F47*1,IFERROR(NUMBERVALUE(Offerte!$F47,".",","),IFERROR(NUMBERVALUE(Offerte!$F47,",","."),0))),4)&amp;""),",",".")&amp;CHAR(125)&amp;IF(COUNTA(Offerte!$A48:$A$81)&gt;0,",",""))</f>
        <v/>
      </c>
    </row>
    <row r="70">
      <c r="A70" s="82">
        <f>IF(Offerte!$A48="","","    "&amp;CHAR(123)&amp;CHAR(34)&amp;"bidderId"&amp;CHAR(34)&amp;": "&amp;CHAR(34)&amp;SUBSTITUTE(Offerte!$A48,CHAR(34),"'")&amp;CHAR(34)&amp;", "&amp;CHAR(34)&amp;"bidderName"&amp;CHAR(34)&amp;": "&amp;CHAR(34)&amp;SUBSTITUTE(Offerte!$B48,CHAR(34),"'")&amp;CHAR(34)&amp;", "&amp;CHAR(34)&amp;"lotId"&amp;CHAR(34)&amp;": "&amp;CHAR(34)&amp;SUBSTITUTE(Offerte!$C48,CHAR(34),"'")&amp;CHAR(34)&amp;", "&amp;CHAR(34)&amp;"enabled"&amp;CHAR(34)&amp;": "&amp;IF(IFERROR(Offerte!$D48*1,IFERROR(NUMBERVALUE(Offerte!$D48,".",","),IFERROR(NUMBERVALUE(Offerte!$D48,",","."),0)))=1,"true","false")&amp;", "&amp;CHAR(34)&amp;"technicalRaw"&amp;CHAR(34)&amp;": "&amp;SUBSTITUTE(TRIM(ROUND(IFERROR(Offerte!$E48*1,IFERROR(NUMBERVALUE(Offerte!$E48,".",","),IFERROR(NUMBERVALUE(Offerte!$E48,",","."),0))),4)&amp;""),",",".")&amp;", "&amp;CHAR(34)&amp;"discount"&amp;CHAR(34)&amp;": "&amp;SUBSTITUTE(TRIM(ROUND(IFERROR(Offerte!$F48*1,IFERROR(NUMBERVALUE(Offerte!$F48,".",","),IFERROR(NUMBERVALUE(Offerte!$F48,",","."),0))),4)&amp;""),",",".")&amp;CHAR(125)&amp;IF(COUNTA(Offerte!$A49:$A$81)&gt;0,",",""))</f>
        <v/>
      </c>
    </row>
    <row r="71">
      <c r="A71" s="82">
        <f>IF(Offerte!$A49="","","    "&amp;CHAR(123)&amp;CHAR(34)&amp;"bidderId"&amp;CHAR(34)&amp;": "&amp;CHAR(34)&amp;SUBSTITUTE(Offerte!$A49,CHAR(34),"'")&amp;CHAR(34)&amp;", "&amp;CHAR(34)&amp;"bidderName"&amp;CHAR(34)&amp;": "&amp;CHAR(34)&amp;SUBSTITUTE(Offerte!$B49,CHAR(34),"'")&amp;CHAR(34)&amp;", "&amp;CHAR(34)&amp;"lotId"&amp;CHAR(34)&amp;": "&amp;CHAR(34)&amp;SUBSTITUTE(Offerte!$C49,CHAR(34),"'")&amp;CHAR(34)&amp;", "&amp;CHAR(34)&amp;"enabled"&amp;CHAR(34)&amp;": "&amp;IF(IFERROR(Offerte!$D49*1,IFERROR(NUMBERVALUE(Offerte!$D49,".",","),IFERROR(NUMBERVALUE(Offerte!$D49,",","."),0)))=1,"true","false")&amp;", "&amp;CHAR(34)&amp;"technicalRaw"&amp;CHAR(34)&amp;": "&amp;SUBSTITUTE(TRIM(ROUND(IFERROR(Offerte!$E49*1,IFERROR(NUMBERVALUE(Offerte!$E49,".",","),IFERROR(NUMBERVALUE(Offerte!$E49,",","."),0))),4)&amp;""),",",".")&amp;", "&amp;CHAR(34)&amp;"discount"&amp;CHAR(34)&amp;": "&amp;SUBSTITUTE(TRIM(ROUND(IFERROR(Offerte!$F49*1,IFERROR(NUMBERVALUE(Offerte!$F49,".",","),IFERROR(NUMBERVALUE(Offerte!$F49,",","."),0))),4)&amp;""),",",".")&amp;CHAR(125)&amp;IF(COUNTA(Offerte!$A50:$A$81)&gt;0,",",""))</f>
        <v/>
      </c>
    </row>
    <row r="72">
      <c r="A72" s="82">
        <f>IF(Offerte!$A50="","","    "&amp;CHAR(123)&amp;CHAR(34)&amp;"bidderId"&amp;CHAR(34)&amp;": "&amp;CHAR(34)&amp;SUBSTITUTE(Offerte!$A50,CHAR(34),"'")&amp;CHAR(34)&amp;", "&amp;CHAR(34)&amp;"bidderName"&amp;CHAR(34)&amp;": "&amp;CHAR(34)&amp;SUBSTITUTE(Offerte!$B50,CHAR(34),"'")&amp;CHAR(34)&amp;", "&amp;CHAR(34)&amp;"lotId"&amp;CHAR(34)&amp;": "&amp;CHAR(34)&amp;SUBSTITUTE(Offerte!$C50,CHAR(34),"'")&amp;CHAR(34)&amp;", "&amp;CHAR(34)&amp;"enabled"&amp;CHAR(34)&amp;": "&amp;IF(IFERROR(Offerte!$D50*1,IFERROR(NUMBERVALUE(Offerte!$D50,".",","),IFERROR(NUMBERVALUE(Offerte!$D50,",","."),0)))=1,"true","false")&amp;", "&amp;CHAR(34)&amp;"technicalRaw"&amp;CHAR(34)&amp;": "&amp;SUBSTITUTE(TRIM(ROUND(IFERROR(Offerte!$E50*1,IFERROR(NUMBERVALUE(Offerte!$E50,".",","),IFERROR(NUMBERVALUE(Offerte!$E50,",","."),0))),4)&amp;""),",",".")&amp;", "&amp;CHAR(34)&amp;"discount"&amp;CHAR(34)&amp;": "&amp;SUBSTITUTE(TRIM(ROUND(IFERROR(Offerte!$F50*1,IFERROR(NUMBERVALUE(Offerte!$F50,".",","),IFERROR(NUMBERVALUE(Offerte!$F50,",","."),0))),4)&amp;""),",",".")&amp;CHAR(125)&amp;IF(COUNTA(Offerte!$A51:$A$81)&gt;0,",",""))</f>
        <v/>
      </c>
    </row>
    <row r="73">
      <c r="A73" s="82">
        <f>IF(Offerte!$A51="","","    "&amp;CHAR(123)&amp;CHAR(34)&amp;"bidderId"&amp;CHAR(34)&amp;": "&amp;CHAR(34)&amp;SUBSTITUTE(Offerte!$A51,CHAR(34),"'")&amp;CHAR(34)&amp;", "&amp;CHAR(34)&amp;"bidderName"&amp;CHAR(34)&amp;": "&amp;CHAR(34)&amp;SUBSTITUTE(Offerte!$B51,CHAR(34),"'")&amp;CHAR(34)&amp;", "&amp;CHAR(34)&amp;"lotId"&amp;CHAR(34)&amp;": "&amp;CHAR(34)&amp;SUBSTITUTE(Offerte!$C51,CHAR(34),"'")&amp;CHAR(34)&amp;", "&amp;CHAR(34)&amp;"enabled"&amp;CHAR(34)&amp;": "&amp;IF(IFERROR(Offerte!$D51*1,IFERROR(NUMBERVALUE(Offerte!$D51,".",","),IFERROR(NUMBERVALUE(Offerte!$D51,",","."),0)))=1,"true","false")&amp;", "&amp;CHAR(34)&amp;"technicalRaw"&amp;CHAR(34)&amp;": "&amp;SUBSTITUTE(TRIM(ROUND(IFERROR(Offerte!$E51*1,IFERROR(NUMBERVALUE(Offerte!$E51,".",","),IFERROR(NUMBERVALUE(Offerte!$E51,",","."),0))),4)&amp;""),",",".")&amp;", "&amp;CHAR(34)&amp;"discount"&amp;CHAR(34)&amp;": "&amp;SUBSTITUTE(TRIM(ROUND(IFERROR(Offerte!$F51*1,IFERROR(NUMBERVALUE(Offerte!$F51,".",","),IFERROR(NUMBERVALUE(Offerte!$F51,",","."),0))),4)&amp;""),",",".")&amp;CHAR(125)&amp;IF(COUNTA(Offerte!$A52:$A$81)&gt;0,",",""))</f>
        <v/>
      </c>
    </row>
    <row r="74">
      <c r="A74" s="82">
        <f>IF(Offerte!$A52="","","    "&amp;CHAR(123)&amp;CHAR(34)&amp;"bidderId"&amp;CHAR(34)&amp;": "&amp;CHAR(34)&amp;SUBSTITUTE(Offerte!$A52,CHAR(34),"'")&amp;CHAR(34)&amp;", "&amp;CHAR(34)&amp;"bidderName"&amp;CHAR(34)&amp;": "&amp;CHAR(34)&amp;SUBSTITUTE(Offerte!$B52,CHAR(34),"'")&amp;CHAR(34)&amp;", "&amp;CHAR(34)&amp;"lotId"&amp;CHAR(34)&amp;": "&amp;CHAR(34)&amp;SUBSTITUTE(Offerte!$C52,CHAR(34),"'")&amp;CHAR(34)&amp;", "&amp;CHAR(34)&amp;"enabled"&amp;CHAR(34)&amp;": "&amp;IF(IFERROR(Offerte!$D52*1,IFERROR(NUMBERVALUE(Offerte!$D52,".",","),IFERROR(NUMBERVALUE(Offerte!$D52,",","."),0)))=1,"true","false")&amp;", "&amp;CHAR(34)&amp;"technicalRaw"&amp;CHAR(34)&amp;": "&amp;SUBSTITUTE(TRIM(ROUND(IFERROR(Offerte!$E52*1,IFERROR(NUMBERVALUE(Offerte!$E52,".",","),IFERROR(NUMBERVALUE(Offerte!$E52,",","."),0))),4)&amp;""),",",".")&amp;", "&amp;CHAR(34)&amp;"discount"&amp;CHAR(34)&amp;": "&amp;SUBSTITUTE(TRIM(ROUND(IFERROR(Offerte!$F52*1,IFERROR(NUMBERVALUE(Offerte!$F52,".",","),IFERROR(NUMBERVALUE(Offerte!$F52,",","."),0))),4)&amp;""),",",".")&amp;CHAR(125)&amp;IF(COUNTA(Offerte!$A53:$A$81)&gt;0,",",""))</f>
        <v/>
      </c>
    </row>
    <row r="75">
      <c r="A75" s="82">
        <f>IF(Offerte!$A53="","","    "&amp;CHAR(123)&amp;CHAR(34)&amp;"bidderId"&amp;CHAR(34)&amp;": "&amp;CHAR(34)&amp;SUBSTITUTE(Offerte!$A53,CHAR(34),"'")&amp;CHAR(34)&amp;", "&amp;CHAR(34)&amp;"bidderName"&amp;CHAR(34)&amp;": "&amp;CHAR(34)&amp;SUBSTITUTE(Offerte!$B53,CHAR(34),"'")&amp;CHAR(34)&amp;", "&amp;CHAR(34)&amp;"lotId"&amp;CHAR(34)&amp;": "&amp;CHAR(34)&amp;SUBSTITUTE(Offerte!$C53,CHAR(34),"'")&amp;CHAR(34)&amp;", "&amp;CHAR(34)&amp;"enabled"&amp;CHAR(34)&amp;": "&amp;IF(IFERROR(Offerte!$D53*1,IFERROR(NUMBERVALUE(Offerte!$D53,".",","),IFERROR(NUMBERVALUE(Offerte!$D53,",","."),0)))=1,"true","false")&amp;", "&amp;CHAR(34)&amp;"technicalRaw"&amp;CHAR(34)&amp;": "&amp;SUBSTITUTE(TRIM(ROUND(IFERROR(Offerte!$E53*1,IFERROR(NUMBERVALUE(Offerte!$E53,".",","),IFERROR(NUMBERVALUE(Offerte!$E53,",","."),0))),4)&amp;""),",",".")&amp;", "&amp;CHAR(34)&amp;"discount"&amp;CHAR(34)&amp;": "&amp;SUBSTITUTE(TRIM(ROUND(IFERROR(Offerte!$F53*1,IFERROR(NUMBERVALUE(Offerte!$F53,".",","),IFERROR(NUMBERVALUE(Offerte!$F53,",","."),0))),4)&amp;""),",",".")&amp;CHAR(125)&amp;IF(COUNTA(Offerte!$A54:$A$81)&gt;0,",",""))</f>
        <v/>
      </c>
    </row>
    <row r="76">
      <c r="A76" s="82">
        <f>IF(Offerte!$A54="","","    "&amp;CHAR(123)&amp;CHAR(34)&amp;"bidderId"&amp;CHAR(34)&amp;": "&amp;CHAR(34)&amp;SUBSTITUTE(Offerte!$A54,CHAR(34),"'")&amp;CHAR(34)&amp;", "&amp;CHAR(34)&amp;"bidderName"&amp;CHAR(34)&amp;": "&amp;CHAR(34)&amp;SUBSTITUTE(Offerte!$B54,CHAR(34),"'")&amp;CHAR(34)&amp;", "&amp;CHAR(34)&amp;"lotId"&amp;CHAR(34)&amp;": "&amp;CHAR(34)&amp;SUBSTITUTE(Offerte!$C54,CHAR(34),"'")&amp;CHAR(34)&amp;", "&amp;CHAR(34)&amp;"enabled"&amp;CHAR(34)&amp;": "&amp;IF(IFERROR(Offerte!$D54*1,IFERROR(NUMBERVALUE(Offerte!$D54,".",","),IFERROR(NUMBERVALUE(Offerte!$D54,",","."),0)))=1,"true","false")&amp;", "&amp;CHAR(34)&amp;"technicalRaw"&amp;CHAR(34)&amp;": "&amp;SUBSTITUTE(TRIM(ROUND(IFERROR(Offerte!$E54*1,IFERROR(NUMBERVALUE(Offerte!$E54,".",","),IFERROR(NUMBERVALUE(Offerte!$E54,",","."),0))),4)&amp;""),",",".")&amp;", "&amp;CHAR(34)&amp;"discount"&amp;CHAR(34)&amp;": "&amp;SUBSTITUTE(TRIM(ROUND(IFERROR(Offerte!$F54*1,IFERROR(NUMBERVALUE(Offerte!$F54,".",","),IFERROR(NUMBERVALUE(Offerte!$F54,",","."),0))),4)&amp;""),",",".")&amp;CHAR(125)&amp;IF(COUNTA(Offerte!$A55:$A$81)&gt;0,",",""))</f>
        <v/>
      </c>
    </row>
    <row r="77">
      <c r="A77" s="82">
        <f>IF(Offerte!$A55="","","    "&amp;CHAR(123)&amp;CHAR(34)&amp;"bidderId"&amp;CHAR(34)&amp;": "&amp;CHAR(34)&amp;SUBSTITUTE(Offerte!$A55,CHAR(34),"'")&amp;CHAR(34)&amp;", "&amp;CHAR(34)&amp;"bidderName"&amp;CHAR(34)&amp;": "&amp;CHAR(34)&amp;SUBSTITUTE(Offerte!$B55,CHAR(34),"'")&amp;CHAR(34)&amp;", "&amp;CHAR(34)&amp;"lotId"&amp;CHAR(34)&amp;": "&amp;CHAR(34)&amp;SUBSTITUTE(Offerte!$C55,CHAR(34),"'")&amp;CHAR(34)&amp;", "&amp;CHAR(34)&amp;"enabled"&amp;CHAR(34)&amp;": "&amp;IF(IFERROR(Offerte!$D55*1,IFERROR(NUMBERVALUE(Offerte!$D55,".",","),IFERROR(NUMBERVALUE(Offerte!$D55,",","."),0)))=1,"true","false")&amp;", "&amp;CHAR(34)&amp;"technicalRaw"&amp;CHAR(34)&amp;": "&amp;SUBSTITUTE(TRIM(ROUND(IFERROR(Offerte!$E55*1,IFERROR(NUMBERVALUE(Offerte!$E55,".",","),IFERROR(NUMBERVALUE(Offerte!$E55,",","."),0))),4)&amp;""),",",".")&amp;", "&amp;CHAR(34)&amp;"discount"&amp;CHAR(34)&amp;": "&amp;SUBSTITUTE(TRIM(ROUND(IFERROR(Offerte!$F55*1,IFERROR(NUMBERVALUE(Offerte!$F55,".",","),IFERROR(NUMBERVALUE(Offerte!$F55,",","."),0))),4)&amp;""),",",".")&amp;CHAR(125)&amp;IF(COUNTA(Offerte!$A56:$A$81)&gt;0,",",""))</f>
        <v/>
      </c>
    </row>
    <row r="78">
      <c r="A78" s="82">
        <f>IF(Offerte!$A56="","","    "&amp;CHAR(123)&amp;CHAR(34)&amp;"bidderId"&amp;CHAR(34)&amp;": "&amp;CHAR(34)&amp;SUBSTITUTE(Offerte!$A56,CHAR(34),"'")&amp;CHAR(34)&amp;", "&amp;CHAR(34)&amp;"bidderName"&amp;CHAR(34)&amp;": "&amp;CHAR(34)&amp;SUBSTITUTE(Offerte!$B56,CHAR(34),"'")&amp;CHAR(34)&amp;", "&amp;CHAR(34)&amp;"lotId"&amp;CHAR(34)&amp;": "&amp;CHAR(34)&amp;SUBSTITUTE(Offerte!$C56,CHAR(34),"'")&amp;CHAR(34)&amp;", "&amp;CHAR(34)&amp;"enabled"&amp;CHAR(34)&amp;": "&amp;IF(IFERROR(Offerte!$D56*1,IFERROR(NUMBERVALUE(Offerte!$D56,".",","),IFERROR(NUMBERVALUE(Offerte!$D56,",","."),0)))=1,"true","false")&amp;", "&amp;CHAR(34)&amp;"technicalRaw"&amp;CHAR(34)&amp;": "&amp;SUBSTITUTE(TRIM(ROUND(IFERROR(Offerte!$E56*1,IFERROR(NUMBERVALUE(Offerte!$E56,".",","),IFERROR(NUMBERVALUE(Offerte!$E56,",","."),0))),4)&amp;""),",",".")&amp;", "&amp;CHAR(34)&amp;"discount"&amp;CHAR(34)&amp;": "&amp;SUBSTITUTE(TRIM(ROUND(IFERROR(Offerte!$F56*1,IFERROR(NUMBERVALUE(Offerte!$F56,".",","),IFERROR(NUMBERVALUE(Offerte!$F56,",","."),0))),4)&amp;""),",",".")&amp;CHAR(125)&amp;IF(COUNTA(Offerte!$A57:$A$81)&gt;0,",",""))</f>
        <v/>
      </c>
    </row>
    <row r="79">
      <c r="A79" s="82">
        <f>IF(Offerte!$A57="","","    "&amp;CHAR(123)&amp;CHAR(34)&amp;"bidderId"&amp;CHAR(34)&amp;": "&amp;CHAR(34)&amp;SUBSTITUTE(Offerte!$A57,CHAR(34),"'")&amp;CHAR(34)&amp;", "&amp;CHAR(34)&amp;"bidderName"&amp;CHAR(34)&amp;": "&amp;CHAR(34)&amp;SUBSTITUTE(Offerte!$B57,CHAR(34),"'")&amp;CHAR(34)&amp;", "&amp;CHAR(34)&amp;"lotId"&amp;CHAR(34)&amp;": "&amp;CHAR(34)&amp;SUBSTITUTE(Offerte!$C57,CHAR(34),"'")&amp;CHAR(34)&amp;", "&amp;CHAR(34)&amp;"enabled"&amp;CHAR(34)&amp;": "&amp;IF(IFERROR(Offerte!$D57*1,IFERROR(NUMBERVALUE(Offerte!$D57,".",","),IFERROR(NUMBERVALUE(Offerte!$D57,",","."),0)))=1,"true","false")&amp;", "&amp;CHAR(34)&amp;"technicalRaw"&amp;CHAR(34)&amp;": "&amp;SUBSTITUTE(TRIM(ROUND(IFERROR(Offerte!$E57*1,IFERROR(NUMBERVALUE(Offerte!$E57,".",","),IFERROR(NUMBERVALUE(Offerte!$E57,",","."),0))),4)&amp;""),",",".")&amp;", "&amp;CHAR(34)&amp;"discount"&amp;CHAR(34)&amp;": "&amp;SUBSTITUTE(TRIM(ROUND(IFERROR(Offerte!$F57*1,IFERROR(NUMBERVALUE(Offerte!$F57,".",","),IFERROR(NUMBERVALUE(Offerte!$F57,",","."),0))),4)&amp;""),",",".")&amp;CHAR(125)&amp;IF(COUNTA(Offerte!$A58:$A$81)&gt;0,",",""))</f>
        <v/>
      </c>
    </row>
    <row r="80">
      <c r="A80" s="82">
        <f>IF(Offerte!$A58="","","    "&amp;CHAR(123)&amp;CHAR(34)&amp;"bidderId"&amp;CHAR(34)&amp;": "&amp;CHAR(34)&amp;SUBSTITUTE(Offerte!$A58,CHAR(34),"'")&amp;CHAR(34)&amp;", "&amp;CHAR(34)&amp;"bidderName"&amp;CHAR(34)&amp;": "&amp;CHAR(34)&amp;SUBSTITUTE(Offerte!$B58,CHAR(34),"'")&amp;CHAR(34)&amp;", "&amp;CHAR(34)&amp;"lotId"&amp;CHAR(34)&amp;": "&amp;CHAR(34)&amp;SUBSTITUTE(Offerte!$C58,CHAR(34),"'")&amp;CHAR(34)&amp;", "&amp;CHAR(34)&amp;"enabled"&amp;CHAR(34)&amp;": "&amp;IF(IFERROR(Offerte!$D58*1,IFERROR(NUMBERVALUE(Offerte!$D58,".",","),IFERROR(NUMBERVALUE(Offerte!$D58,",","."),0)))=1,"true","false")&amp;", "&amp;CHAR(34)&amp;"technicalRaw"&amp;CHAR(34)&amp;": "&amp;SUBSTITUTE(TRIM(ROUND(IFERROR(Offerte!$E58*1,IFERROR(NUMBERVALUE(Offerte!$E58,".",","),IFERROR(NUMBERVALUE(Offerte!$E58,",","."),0))),4)&amp;""),",",".")&amp;", "&amp;CHAR(34)&amp;"discount"&amp;CHAR(34)&amp;": "&amp;SUBSTITUTE(TRIM(ROUND(IFERROR(Offerte!$F58*1,IFERROR(NUMBERVALUE(Offerte!$F58,".",","),IFERROR(NUMBERVALUE(Offerte!$F58,",","."),0))),4)&amp;""),",",".")&amp;CHAR(125)&amp;IF(COUNTA(Offerte!$A59:$A$81)&gt;0,",",""))</f>
        <v/>
      </c>
    </row>
    <row r="81">
      <c r="A81" s="82">
        <f>IF(Offerte!$A59="","","    "&amp;CHAR(123)&amp;CHAR(34)&amp;"bidderId"&amp;CHAR(34)&amp;": "&amp;CHAR(34)&amp;SUBSTITUTE(Offerte!$A59,CHAR(34),"'")&amp;CHAR(34)&amp;", "&amp;CHAR(34)&amp;"bidderName"&amp;CHAR(34)&amp;": "&amp;CHAR(34)&amp;SUBSTITUTE(Offerte!$B59,CHAR(34),"'")&amp;CHAR(34)&amp;", "&amp;CHAR(34)&amp;"lotId"&amp;CHAR(34)&amp;": "&amp;CHAR(34)&amp;SUBSTITUTE(Offerte!$C59,CHAR(34),"'")&amp;CHAR(34)&amp;", "&amp;CHAR(34)&amp;"enabled"&amp;CHAR(34)&amp;": "&amp;IF(IFERROR(Offerte!$D59*1,IFERROR(NUMBERVALUE(Offerte!$D59,".",","),IFERROR(NUMBERVALUE(Offerte!$D59,",","."),0)))=1,"true","false")&amp;", "&amp;CHAR(34)&amp;"technicalRaw"&amp;CHAR(34)&amp;": "&amp;SUBSTITUTE(TRIM(ROUND(IFERROR(Offerte!$E59*1,IFERROR(NUMBERVALUE(Offerte!$E59,".",","),IFERROR(NUMBERVALUE(Offerte!$E59,",","."),0))),4)&amp;""),",",".")&amp;", "&amp;CHAR(34)&amp;"discount"&amp;CHAR(34)&amp;": "&amp;SUBSTITUTE(TRIM(ROUND(IFERROR(Offerte!$F59*1,IFERROR(NUMBERVALUE(Offerte!$F59,".",","),IFERROR(NUMBERVALUE(Offerte!$F59,",","."),0))),4)&amp;""),",",".")&amp;CHAR(125)&amp;IF(COUNTA(Offerte!$A60:$A$81)&gt;0,",",""))</f>
        <v/>
      </c>
    </row>
    <row r="82">
      <c r="A82" s="82">
        <f>IF(Offerte!$A60="","","    "&amp;CHAR(123)&amp;CHAR(34)&amp;"bidderId"&amp;CHAR(34)&amp;": "&amp;CHAR(34)&amp;SUBSTITUTE(Offerte!$A60,CHAR(34),"'")&amp;CHAR(34)&amp;", "&amp;CHAR(34)&amp;"bidderName"&amp;CHAR(34)&amp;": "&amp;CHAR(34)&amp;SUBSTITUTE(Offerte!$B60,CHAR(34),"'")&amp;CHAR(34)&amp;", "&amp;CHAR(34)&amp;"lotId"&amp;CHAR(34)&amp;": "&amp;CHAR(34)&amp;SUBSTITUTE(Offerte!$C60,CHAR(34),"'")&amp;CHAR(34)&amp;", "&amp;CHAR(34)&amp;"enabled"&amp;CHAR(34)&amp;": "&amp;IF(IFERROR(Offerte!$D60*1,IFERROR(NUMBERVALUE(Offerte!$D60,".",","),IFERROR(NUMBERVALUE(Offerte!$D60,",","."),0)))=1,"true","false")&amp;", "&amp;CHAR(34)&amp;"technicalRaw"&amp;CHAR(34)&amp;": "&amp;SUBSTITUTE(TRIM(ROUND(IFERROR(Offerte!$E60*1,IFERROR(NUMBERVALUE(Offerte!$E60,".",","),IFERROR(NUMBERVALUE(Offerte!$E60,",","."),0))),4)&amp;""),",",".")&amp;", "&amp;CHAR(34)&amp;"discount"&amp;CHAR(34)&amp;": "&amp;SUBSTITUTE(TRIM(ROUND(IFERROR(Offerte!$F60*1,IFERROR(NUMBERVALUE(Offerte!$F60,".",","),IFERROR(NUMBERVALUE(Offerte!$F60,",","."),0))),4)&amp;""),",",".")&amp;CHAR(125)&amp;IF(COUNTA(Offerte!$A61:$A$81)&gt;0,",",""))</f>
        <v/>
      </c>
    </row>
    <row r="83">
      <c r="A83" s="82">
        <f>IF(Offerte!$A61="","","    "&amp;CHAR(123)&amp;CHAR(34)&amp;"bidderId"&amp;CHAR(34)&amp;": "&amp;CHAR(34)&amp;SUBSTITUTE(Offerte!$A61,CHAR(34),"'")&amp;CHAR(34)&amp;", "&amp;CHAR(34)&amp;"bidderName"&amp;CHAR(34)&amp;": "&amp;CHAR(34)&amp;SUBSTITUTE(Offerte!$B61,CHAR(34),"'")&amp;CHAR(34)&amp;", "&amp;CHAR(34)&amp;"lotId"&amp;CHAR(34)&amp;": "&amp;CHAR(34)&amp;SUBSTITUTE(Offerte!$C61,CHAR(34),"'")&amp;CHAR(34)&amp;", "&amp;CHAR(34)&amp;"enabled"&amp;CHAR(34)&amp;": "&amp;IF(IFERROR(Offerte!$D61*1,IFERROR(NUMBERVALUE(Offerte!$D61,".",","),IFERROR(NUMBERVALUE(Offerte!$D61,",","."),0)))=1,"true","false")&amp;", "&amp;CHAR(34)&amp;"technicalRaw"&amp;CHAR(34)&amp;": "&amp;SUBSTITUTE(TRIM(ROUND(IFERROR(Offerte!$E61*1,IFERROR(NUMBERVALUE(Offerte!$E61,".",","),IFERROR(NUMBERVALUE(Offerte!$E61,",","."),0))),4)&amp;""),",",".")&amp;", "&amp;CHAR(34)&amp;"discount"&amp;CHAR(34)&amp;": "&amp;SUBSTITUTE(TRIM(ROUND(IFERROR(Offerte!$F61*1,IFERROR(NUMBERVALUE(Offerte!$F61,".",","),IFERROR(NUMBERVALUE(Offerte!$F61,",","."),0))),4)&amp;""),",",".")&amp;CHAR(125)&amp;IF(COUNTA(Offerte!$A62:$A$81)&gt;0,",",""))</f>
        <v/>
      </c>
    </row>
    <row r="84">
      <c r="A84" s="82">
        <f>IF(Offerte!$A62="","","    "&amp;CHAR(123)&amp;CHAR(34)&amp;"bidderId"&amp;CHAR(34)&amp;": "&amp;CHAR(34)&amp;SUBSTITUTE(Offerte!$A62,CHAR(34),"'")&amp;CHAR(34)&amp;", "&amp;CHAR(34)&amp;"bidderName"&amp;CHAR(34)&amp;": "&amp;CHAR(34)&amp;SUBSTITUTE(Offerte!$B62,CHAR(34),"'")&amp;CHAR(34)&amp;", "&amp;CHAR(34)&amp;"lotId"&amp;CHAR(34)&amp;": "&amp;CHAR(34)&amp;SUBSTITUTE(Offerte!$C62,CHAR(34),"'")&amp;CHAR(34)&amp;", "&amp;CHAR(34)&amp;"enabled"&amp;CHAR(34)&amp;": "&amp;IF(IFERROR(Offerte!$D62*1,IFERROR(NUMBERVALUE(Offerte!$D62,".",","),IFERROR(NUMBERVALUE(Offerte!$D62,",","."),0)))=1,"true","false")&amp;", "&amp;CHAR(34)&amp;"technicalRaw"&amp;CHAR(34)&amp;": "&amp;SUBSTITUTE(TRIM(ROUND(IFERROR(Offerte!$E62*1,IFERROR(NUMBERVALUE(Offerte!$E62,".",","),IFERROR(NUMBERVALUE(Offerte!$E62,",","."),0))),4)&amp;""),",",".")&amp;", "&amp;CHAR(34)&amp;"discount"&amp;CHAR(34)&amp;": "&amp;SUBSTITUTE(TRIM(ROUND(IFERROR(Offerte!$F62*1,IFERROR(NUMBERVALUE(Offerte!$F62,".",","),IFERROR(NUMBERVALUE(Offerte!$F62,",","."),0))),4)&amp;""),",",".")&amp;CHAR(125)&amp;IF(COUNTA(Offerte!$A63:$A$81)&gt;0,",",""))</f>
        <v/>
      </c>
    </row>
    <row r="85">
      <c r="A85" s="82">
        <f>IF(Offerte!$A63="","","    "&amp;CHAR(123)&amp;CHAR(34)&amp;"bidderId"&amp;CHAR(34)&amp;": "&amp;CHAR(34)&amp;SUBSTITUTE(Offerte!$A63,CHAR(34),"'")&amp;CHAR(34)&amp;", "&amp;CHAR(34)&amp;"bidderName"&amp;CHAR(34)&amp;": "&amp;CHAR(34)&amp;SUBSTITUTE(Offerte!$B63,CHAR(34),"'")&amp;CHAR(34)&amp;", "&amp;CHAR(34)&amp;"lotId"&amp;CHAR(34)&amp;": "&amp;CHAR(34)&amp;SUBSTITUTE(Offerte!$C63,CHAR(34),"'")&amp;CHAR(34)&amp;", "&amp;CHAR(34)&amp;"enabled"&amp;CHAR(34)&amp;": "&amp;IF(IFERROR(Offerte!$D63*1,IFERROR(NUMBERVALUE(Offerte!$D63,".",","),IFERROR(NUMBERVALUE(Offerte!$D63,",","."),0)))=1,"true","false")&amp;", "&amp;CHAR(34)&amp;"technicalRaw"&amp;CHAR(34)&amp;": "&amp;SUBSTITUTE(TRIM(ROUND(IFERROR(Offerte!$E63*1,IFERROR(NUMBERVALUE(Offerte!$E63,".",","),IFERROR(NUMBERVALUE(Offerte!$E63,",","."),0))),4)&amp;""),",",".")&amp;", "&amp;CHAR(34)&amp;"discount"&amp;CHAR(34)&amp;": "&amp;SUBSTITUTE(TRIM(ROUND(IFERROR(Offerte!$F63*1,IFERROR(NUMBERVALUE(Offerte!$F63,".",","),IFERROR(NUMBERVALUE(Offerte!$F63,",","."),0))),4)&amp;""),",",".")&amp;CHAR(125)&amp;IF(COUNTA(Offerte!$A64:$A$81)&gt;0,",",""))</f>
        <v/>
      </c>
    </row>
    <row r="86">
      <c r="A86" s="82">
        <f>IF(Offerte!$A64="","","    "&amp;CHAR(123)&amp;CHAR(34)&amp;"bidderId"&amp;CHAR(34)&amp;": "&amp;CHAR(34)&amp;SUBSTITUTE(Offerte!$A64,CHAR(34),"'")&amp;CHAR(34)&amp;", "&amp;CHAR(34)&amp;"bidderName"&amp;CHAR(34)&amp;": "&amp;CHAR(34)&amp;SUBSTITUTE(Offerte!$B64,CHAR(34),"'")&amp;CHAR(34)&amp;", "&amp;CHAR(34)&amp;"lotId"&amp;CHAR(34)&amp;": "&amp;CHAR(34)&amp;SUBSTITUTE(Offerte!$C64,CHAR(34),"'")&amp;CHAR(34)&amp;", "&amp;CHAR(34)&amp;"enabled"&amp;CHAR(34)&amp;": "&amp;IF(IFERROR(Offerte!$D64*1,IFERROR(NUMBERVALUE(Offerte!$D64,".",","),IFERROR(NUMBERVALUE(Offerte!$D64,",","."),0)))=1,"true","false")&amp;", "&amp;CHAR(34)&amp;"technicalRaw"&amp;CHAR(34)&amp;": "&amp;SUBSTITUTE(TRIM(ROUND(IFERROR(Offerte!$E64*1,IFERROR(NUMBERVALUE(Offerte!$E64,".",","),IFERROR(NUMBERVALUE(Offerte!$E64,",","."),0))),4)&amp;""),",",".")&amp;", "&amp;CHAR(34)&amp;"discount"&amp;CHAR(34)&amp;": "&amp;SUBSTITUTE(TRIM(ROUND(IFERROR(Offerte!$F64*1,IFERROR(NUMBERVALUE(Offerte!$F64,".",","),IFERROR(NUMBERVALUE(Offerte!$F64,",","."),0))),4)&amp;""),",",".")&amp;CHAR(125)&amp;IF(COUNTA(Offerte!$A65:$A$81)&gt;0,",",""))</f>
        <v/>
      </c>
    </row>
    <row r="87">
      <c r="A87" s="82">
        <f>IF(Offerte!$A65="","","    "&amp;CHAR(123)&amp;CHAR(34)&amp;"bidderId"&amp;CHAR(34)&amp;": "&amp;CHAR(34)&amp;SUBSTITUTE(Offerte!$A65,CHAR(34),"'")&amp;CHAR(34)&amp;", "&amp;CHAR(34)&amp;"bidderName"&amp;CHAR(34)&amp;": "&amp;CHAR(34)&amp;SUBSTITUTE(Offerte!$B65,CHAR(34),"'")&amp;CHAR(34)&amp;", "&amp;CHAR(34)&amp;"lotId"&amp;CHAR(34)&amp;": "&amp;CHAR(34)&amp;SUBSTITUTE(Offerte!$C65,CHAR(34),"'")&amp;CHAR(34)&amp;", "&amp;CHAR(34)&amp;"enabled"&amp;CHAR(34)&amp;": "&amp;IF(IFERROR(Offerte!$D65*1,IFERROR(NUMBERVALUE(Offerte!$D65,".",","),IFERROR(NUMBERVALUE(Offerte!$D65,",","."),0)))=1,"true","false")&amp;", "&amp;CHAR(34)&amp;"technicalRaw"&amp;CHAR(34)&amp;": "&amp;SUBSTITUTE(TRIM(ROUND(IFERROR(Offerte!$E65*1,IFERROR(NUMBERVALUE(Offerte!$E65,".",","),IFERROR(NUMBERVALUE(Offerte!$E65,",","."),0))),4)&amp;""),",",".")&amp;", "&amp;CHAR(34)&amp;"discount"&amp;CHAR(34)&amp;": "&amp;SUBSTITUTE(TRIM(ROUND(IFERROR(Offerte!$F65*1,IFERROR(NUMBERVALUE(Offerte!$F65,".",","),IFERROR(NUMBERVALUE(Offerte!$F65,",","."),0))),4)&amp;""),",",".")&amp;CHAR(125)&amp;IF(COUNTA(Offerte!$A66:$A$81)&gt;0,",",""))</f>
        <v/>
      </c>
    </row>
    <row r="88">
      <c r="A88" s="82">
        <f>IF(Offerte!$A66="","","    "&amp;CHAR(123)&amp;CHAR(34)&amp;"bidderId"&amp;CHAR(34)&amp;": "&amp;CHAR(34)&amp;SUBSTITUTE(Offerte!$A66,CHAR(34),"'")&amp;CHAR(34)&amp;", "&amp;CHAR(34)&amp;"bidderName"&amp;CHAR(34)&amp;": "&amp;CHAR(34)&amp;SUBSTITUTE(Offerte!$B66,CHAR(34),"'")&amp;CHAR(34)&amp;", "&amp;CHAR(34)&amp;"lotId"&amp;CHAR(34)&amp;": "&amp;CHAR(34)&amp;SUBSTITUTE(Offerte!$C66,CHAR(34),"'")&amp;CHAR(34)&amp;", "&amp;CHAR(34)&amp;"enabled"&amp;CHAR(34)&amp;": "&amp;IF(IFERROR(Offerte!$D66*1,IFERROR(NUMBERVALUE(Offerte!$D66,".",","),IFERROR(NUMBERVALUE(Offerte!$D66,",","."),0)))=1,"true","false")&amp;", "&amp;CHAR(34)&amp;"technicalRaw"&amp;CHAR(34)&amp;": "&amp;SUBSTITUTE(TRIM(ROUND(IFERROR(Offerte!$E66*1,IFERROR(NUMBERVALUE(Offerte!$E66,".",","),IFERROR(NUMBERVALUE(Offerte!$E66,",","."),0))),4)&amp;""),",",".")&amp;", "&amp;CHAR(34)&amp;"discount"&amp;CHAR(34)&amp;": "&amp;SUBSTITUTE(TRIM(ROUND(IFERROR(Offerte!$F66*1,IFERROR(NUMBERVALUE(Offerte!$F66,".",","),IFERROR(NUMBERVALUE(Offerte!$F66,",","."),0))),4)&amp;""),",",".")&amp;CHAR(125)&amp;IF(COUNTA(Offerte!$A67:$A$81)&gt;0,",",""))</f>
        <v/>
      </c>
    </row>
    <row r="89">
      <c r="A89" s="82">
        <f>IF(Offerte!$A67="","","    "&amp;CHAR(123)&amp;CHAR(34)&amp;"bidderId"&amp;CHAR(34)&amp;": "&amp;CHAR(34)&amp;SUBSTITUTE(Offerte!$A67,CHAR(34),"'")&amp;CHAR(34)&amp;", "&amp;CHAR(34)&amp;"bidderName"&amp;CHAR(34)&amp;": "&amp;CHAR(34)&amp;SUBSTITUTE(Offerte!$B67,CHAR(34),"'")&amp;CHAR(34)&amp;", "&amp;CHAR(34)&amp;"lotId"&amp;CHAR(34)&amp;": "&amp;CHAR(34)&amp;SUBSTITUTE(Offerte!$C67,CHAR(34),"'")&amp;CHAR(34)&amp;", "&amp;CHAR(34)&amp;"enabled"&amp;CHAR(34)&amp;": "&amp;IF(IFERROR(Offerte!$D67*1,IFERROR(NUMBERVALUE(Offerte!$D67,".",","),IFERROR(NUMBERVALUE(Offerte!$D67,",","."),0)))=1,"true","false")&amp;", "&amp;CHAR(34)&amp;"technicalRaw"&amp;CHAR(34)&amp;": "&amp;SUBSTITUTE(TRIM(ROUND(IFERROR(Offerte!$E67*1,IFERROR(NUMBERVALUE(Offerte!$E67,".",","),IFERROR(NUMBERVALUE(Offerte!$E67,",","."),0))),4)&amp;""),",",".")&amp;", "&amp;CHAR(34)&amp;"discount"&amp;CHAR(34)&amp;": "&amp;SUBSTITUTE(TRIM(ROUND(IFERROR(Offerte!$F67*1,IFERROR(NUMBERVALUE(Offerte!$F67,".",","),IFERROR(NUMBERVALUE(Offerte!$F67,",","."),0))),4)&amp;""),",",".")&amp;CHAR(125)&amp;IF(COUNTA(Offerte!$A68:$A$81)&gt;0,",",""))</f>
        <v/>
      </c>
    </row>
    <row r="90">
      <c r="A90" s="82">
        <f>IF(Offerte!$A68="","","    "&amp;CHAR(123)&amp;CHAR(34)&amp;"bidderId"&amp;CHAR(34)&amp;": "&amp;CHAR(34)&amp;SUBSTITUTE(Offerte!$A68,CHAR(34),"'")&amp;CHAR(34)&amp;", "&amp;CHAR(34)&amp;"bidderName"&amp;CHAR(34)&amp;": "&amp;CHAR(34)&amp;SUBSTITUTE(Offerte!$B68,CHAR(34),"'")&amp;CHAR(34)&amp;", "&amp;CHAR(34)&amp;"lotId"&amp;CHAR(34)&amp;": "&amp;CHAR(34)&amp;SUBSTITUTE(Offerte!$C68,CHAR(34),"'")&amp;CHAR(34)&amp;", "&amp;CHAR(34)&amp;"enabled"&amp;CHAR(34)&amp;": "&amp;IF(IFERROR(Offerte!$D68*1,IFERROR(NUMBERVALUE(Offerte!$D68,".",","),IFERROR(NUMBERVALUE(Offerte!$D68,",","."),0)))=1,"true","false")&amp;", "&amp;CHAR(34)&amp;"technicalRaw"&amp;CHAR(34)&amp;": "&amp;SUBSTITUTE(TRIM(ROUND(IFERROR(Offerte!$E68*1,IFERROR(NUMBERVALUE(Offerte!$E68,".",","),IFERROR(NUMBERVALUE(Offerte!$E68,",","."),0))),4)&amp;""),",",".")&amp;", "&amp;CHAR(34)&amp;"discount"&amp;CHAR(34)&amp;": "&amp;SUBSTITUTE(TRIM(ROUND(IFERROR(Offerte!$F68*1,IFERROR(NUMBERVALUE(Offerte!$F68,".",","),IFERROR(NUMBERVALUE(Offerte!$F68,",","."),0))),4)&amp;""),",",".")&amp;CHAR(125)&amp;IF(COUNTA(Offerte!$A69:$A$81)&gt;0,",",""))</f>
        <v/>
      </c>
    </row>
    <row r="91">
      <c r="A91" s="82">
        <f>IF(Offerte!$A69="","","    "&amp;CHAR(123)&amp;CHAR(34)&amp;"bidderId"&amp;CHAR(34)&amp;": "&amp;CHAR(34)&amp;SUBSTITUTE(Offerte!$A69,CHAR(34),"'")&amp;CHAR(34)&amp;", "&amp;CHAR(34)&amp;"bidderName"&amp;CHAR(34)&amp;": "&amp;CHAR(34)&amp;SUBSTITUTE(Offerte!$B69,CHAR(34),"'")&amp;CHAR(34)&amp;", "&amp;CHAR(34)&amp;"lotId"&amp;CHAR(34)&amp;": "&amp;CHAR(34)&amp;SUBSTITUTE(Offerte!$C69,CHAR(34),"'")&amp;CHAR(34)&amp;", "&amp;CHAR(34)&amp;"enabled"&amp;CHAR(34)&amp;": "&amp;IF(IFERROR(Offerte!$D69*1,IFERROR(NUMBERVALUE(Offerte!$D69,".",","),IFERROR(NUMBERVALUE(Offerte!$D69,",","."),0)))=1,"true","false")&amp;", "&amp;CHAR(34)&amp;"technicalRaw"&amp;CHAR(34)&amp;": "&amp;SUBSTITUTE(TRIM(ROUND(IFERROR(Offerte!$E69*1,IFERROR(NUMBERVALUE(Offerte!$E69,".",","),IFERROR(NUMBERVALUE(Offerte!$E69,",","."),0))),4)&amp;""),",",".")&amp;", "&amp;CHAR(34)&amp;"discount"&amp;CHAR(34)&amp;": "&amp;SUBSTITUTE(TRIM(ROUND(IFERROR(Offerte!$F69*1,IFERROR(NUMBERVALUE(Offerte!$F69,".",","),IFERROR(NUMBERVALUE(Offerte!$F69,",","."),0))),4)&amp;""),",",".")&amp;CHAR(125)&amp;IF(COUNTA(Offerte!$A70:$A$81)&gt;0,",",""))</f>
        <v/>
      </c>
    </row>
    <row r="92">
      <c r="A92" s="82">
        <f>IF(Offerte!$A70="","","    "&amp;CHAR(123)&amp;CHAR(34)&amp;"bidderId"&amp;CHAR(34)&amp;": "&amp;CHAR(34)&amp;SUBSTITUTE(Offerte!$A70,CHAR(34),"'")&amp;CHAR(34)&amp;", "&amp;CHAR(34)&amp;"bidderName"&amp;CHAR(34)&amp;": "&amp;CHAR(34)&amp;SUBSTITUTE(Offerte!$B70,CHAR(34),"'")&amp;CHAR(34)&amp;", "&amp;CHAR(34)&amp;"lotId"&amp;CHAR(34)&amp;": "&amp;CHAR(34)&amp;SUBSTITUTE(Offerte!$C70,CHAR(34),"'")&amp;CHAR(34)&amp;", "&amp;CHAR(34)&amp;"enabled"&amp;CHAR(34)&amp;": "&amp;IF(IFERROR(Offerte!$D70*1,IFERROR(NUMBERVALUE(Offerte!$D70,".",","),IFERROR(NUMBERVALUE(Offerte!$D70,",","."),0)))=1,"true","false")&amp;", "&amp;CHAR(34)&amp;"technicalRaw"&amp;CHAR(34)&amp;": "&amp;SUBSTITUTE(TRIM(ROUND(IFERROR(Offerte!$E70*1,IFERROR(NUMBERVALUE(Offerte!$E70,".",","),IFERROR(NUMBERVALUE(Offerte!$E70,",","."),0))),4)&amp;""),",",".")&amp;", "&amp;CHAR(34)&amp;"discount"&amp;CHAR(34)&amp;": "&amp;SUBSTITUTE(TRIM(ROUND(IFERROR(Offerte!$F70*1,IFERROR(NUMBERVALUE(Offerte!$F70,".",","),IFERROR(NUMBERVALUE(Offerte!$F70,",","."),0))),4)&amp;""),",",".")&amp;CHAR(125)&amp;IF(COUNTA(Offerte!$A71:$A$81)&gt;0,",",""))</f>
        <v/>
      </c>
    </row>
    <row r="93">
      <c r="A93" s="82">
        <f>IF(Offerte!$A71="","","    "&amp;CHAR(123)&amp;CHAR(34)&amp;"bidderId"&amp;CHAR(34)&amp;": "&amp;CHAR(34)&amp;SUBSTITUTE(Offerte!$A71,CHAR(34),"'")&amp;CHAR(34)&amp;", "&amp;CHAR(34)&amp;"bidderName"&amp;CHAR(34)&amp;": "&amp;CHAR(34)&amp;SUBSTITUTE(Offerte!$B71,CHAR(34),"'")&amp;CHAR(34)&amp;", "&amp;CHAR(34)&amp;"lotId"&amp;CHAR(34)&amp;": "&amp;CHAR(34)&amp;SUBSTITUTE(Offerte!$C71,CHAR(34),"'")&amp;CHAR(34)&amp;", "&amp;CHAR(34)&amp;"enabled"&amp;CHAR(34)&amp;": "&amp;IF(IFERROR(Offerte!$D71*1,IFERROR(NUMBERVALUE(Offerte!$D71,".",","),IFERROR(NUMBERVALUE(Offerte!$D71,",","."),0)))=1,"true","false")&amp;", "&amp;CHAR(34)&amp;"technicalRaw"&amp;CHAR(34)&amp;": "&amp;SUBSTITUTE(TRIM(ROUND(IFERROR(Offerte!$E71*1,IFERROR(NUMBERVALUE(Offerte!$E71,".",","),IFERROR(NUMBERVALUE(Offerte!$E71,",","."),0))),4)&amp;""),",",".")&amp;", "&amp;CHAR(34)&amp;"discount"&amp;CHAR(34)&amp;": "&amp;SUBSTITUTE(TRIM(ROUND(IFERROR(Offerte!$F71*1,IFERROR(NUMBERVALUE(Offerte!$F71,".",","),IFERROR(NUMBERVALUE(Offerte!$F71,",","."),0))),4)&amp;""),",",".")&amp;CHAR(125)&amp;IF(COUNTA(Offerte!$A72:$A$81)&gt;0,",",""))</f>
        <v/>
      </c>
    </row>
    <row r="94">
      <c r="A94" s="82">
        <f>IF(Offerte!$A72="","","    "&amp;CHAR(123)&amp;CHAR(34)&amp;"bidderId"&amp;CHAR(34)&amp;": "&amp;CHAR(34)&amp;SUBSTITUTE(Offerte!$A72,CHAR(34),"'")&amp;CHAR(34)&amp;", "&amp;CHAR(34)&amp;"bidderName"&amp;CHAR(34)&amp;": "&amp;CHAR(34)&amp;SUBSTITUTE(Offerte!$B72,CHAR(34),"'")&amp;CHAR(34)&amp;", "&amp;CHAR(34)&amp;"lotId"&amp;CHAR(34)&amp;": "&amp;CHAR(34)&amp;SUBSTITUTE(Offerte!$C72,CHAR(34),"'")&amp;CHAR(34)&amp;", "&amp;CHAR(34)&amp;"enabled"&amp;CHAR(34)&amp;": "&amp;IF(IFERROR(Offerte!$D72*1,IFERROR(NUMBERVALUE(Offerte!$D72,".",","),IFERROR(NUMBERVALUE(Offerte!$D72,",","."),0)))=1,"true","false")&amp;", "&amp;CHAR(34)&amp;"technicalRaw"&amp;CHAR(34)&amp;": "&amp;SUBSTITUTE(TRIM(ROUND(IFERROR(Offerte!$E72*1,IFERROR(NUMBERVALUE(Offerte!$E72,".",","),IFERROR(NUMBERVALUE(Offerte!$E72,",","."),0))),4)&amp;""),",",".")&amp;", "&amp;CHAR(34)&amp;"discount"&amp;CHAR(34)&amp;": "&amp;SUBSTITUTE(TRIM(ROUND(IFERROR(Offerte!$F72*1,IFERROR(NUMBERVALUE(Offerte!$F72,".",","),IFERROR(NUMBERVALUE(Offerte!$F72,",","."),0))),4)&amp;""),",",".")&amp;CHAR(125)&amp;IF(COUNTA(Offerte!$A73:$A$81)&gt;0,",",""))</f>
        <v/>
      </c>
    </row>
    <row r="95">
      <c r="A95" s="82">
        <f>IF(Offerte!$A73="","","    "&amp;CHAR(123)&amp;CHAR(34)&amp;"bidderId"&amp;CHAR(34)&amp;": "&amp;CHAR(34)&amp;SUBSTITUTE(Offerte!$A73,CHAR(34),"'")&amp;CHAR(34)&amp;", "&amp;CHAR(34)&amp;"bidderName"&amp;CHAR(34)&amp;": "&amp;CHAR(34)&amp;SUBSTITUTE(Offerte!$B73,CHAR(34),"'")&amp;CHAR(34)&amp;", "&amp;CHAR(34)&amp;"lotId"&amp;CHAR(34)&amp;": "&amp;CHAR(34)&amp;SUBSTITUTE(Offerte!$C73,CHAR(34),"'")&amp;CHAR(34)&amp;", "&amp;CHAR(34)&amp;"enabled"&amp;CHAR(34)&amp;": "&amp;IF(IFERROR(Offerte!$D73*1,IFERROR(NUMBERVALUE(Offerte!$D73,".",","),IFERROR(NUMBERVALUE(Offerte!$D73,",","."),0)))=1,"true","false")&amp;", "&amp;CHAR(34)&amp;"technicalRaw"&amp;CHAR(34)&amp;": "&amp;SUBSTITUTE(TRIM(ROUND(IFERROR(Offerte!$E73*1,IFERROR(NUMBERVALUE(Offerte!$E73,".",","),IFERROR(NUMBERVALUE(Offerte!$E73,",","."),0))),4)&amp;""),",",".")&amp;", "&amp;CHAR(34)&amp;"discount"&amp;CHAR(34)&amp;": "&amp;SUBSTITUTE(TRIM(ROUND(IFERROR(Offerte!$F73*1,IFERROR(NUMBERVALUE(Offerte!$F73,".",","),IFERROR(NUMBERVALUE(Offerte!$F73,",","."),0))),4)&amp;""),",",".")&amp;CHAR(125)&amp;IF(COUNTA(Offerte!$A74:$A$81)&gt;0,",",""))</f>
        <v/>
      </c>
    </row>
    <row r="96">
      <c r="A96" s="82">
        <f>IF(Offerte!$A74="","","    "&amp;CHAR(123)&amp;CHAR(34)&amp;"bidderId"&amp;CHAR(34)&amp;": "&amp;CHAR(34)&amp;SUBSTITUTE(Offerte!$A74,CHAR(34),"'")&amp;CHAR(34)&amp;", "&amp;CHAR(34)&amp;"bidderName"&amp;CHAR(34)&amp;": "&amp;CHAR(34)&amp;SUBSTITUTE(Offerte!$B74,CHAR(34),"'")&amp;CHAR(34)&amp;", "&amp;CHAR(34)&amp;"lotId"&amp;CHAR(34)&amp;": "&amp;CHAR(34)&amp;SUBSTITUTE(Offerte!$C74,CHAR(34),"'")&amp;CHAR(34)&amp;", "&amp;CHAR(34)&amp;"enabled"&amp;CHAR(34)&amp;": "&amp;IF(IFERROR(Offerte!$D74*1,IFERROR(NUMBERVALUE(Offerte!$D74,".",","),IFERROR(NUMBERVALUE(Offerte!$D74,",","."),0)))=1,"true","false")&amp;", "&amp;CHAR(34)&amp;"technicalRaw"&amp;CHAR(34)&amp;": "&amp;SUBSTITUTE(TRIM(ROUND(IFERROR(Offerte!$E74*1,IFERROR(NUMBERVALUE(Offerte!$E74,".",","),IFERROR(NUMBERVALUE(Offerte!$E74,",","."),0))),4)&amp;""),",",".")&amp;", "&amp;CHAR(34)&amp;"discount"&amp;CHAR(34)&amp;": "&amp;SUBSTITUTE(TRIM(ROUND(IFERROR(Offerte!$F74*1,IFERROR(NUMBERVALUE(Offerte!$F74,".",","),IFERROR(NUMBERVALUE(Offerte!$F74,",","."),0))),4)&amp;""),",",".")&amp;CHAR(125)&amp;IF(COUNTA(Offerte!$A75:$A$81)&gt;0,",",""))</f>
        <v/>
      </c>
    </row>
    <row r="97">
      <c r="A97" s="82">
        <f>IF(Offerte!$A75="","","    "&amp;CHAR(123)&amp;CHAR(34)&amp;"bidderId"&amp;CHAR(34)&amp;": "&amp;CHAR(34)&amp;SUBSTITUTE(Offerte!$A75,CHAR(34),"'")&amp;CHAR(34)&amp;", "&amp;CHAR(34)&amp;"bidderName"&amp;CHAR(34)&amp;": "&amp;CHAR(34)&amp;SUBSTITUTE(Offerte!$B75,CHAR(34),"'")&amp;CHAR(34)&amp;", "&amp;CHAR(34)&amp;"lotId"&amp;CHAR(34)&amp;": "&amp;CHAR(34)&amp;SUBSTITUTE(Offerte!$C75,CHAR(34),"'")&amp;CHAR(34)&amp;", "&amp;CHAR(34)&amp;"enabled"&amp;CHAR(34)&amp;": "&amp;IF(IFERROR(Offerte!$D75*1,IFERROR(NUMBERVALUE(Offerte!$D75,".",","),IFERROR(NUMBERVALUE(Offerte!$D75,",","."),0)))=1,"true","false")&amp;", "&amp;CHAR(34)&amp;"technicalRaw"&amp;CHAR(34)&amp;": "&amp;SUBSTITUTE(TRIM(ROUND(IFERROR(Offerte!$E75*1,IFERROR(NUMBERVALUE(Offerte!$E75,".",","),IFERROR(NUMBERVALUE(Offerte!$E75,",","."),0))),4)&amp;""),",",".")&amp;", "&amp;CHAR(34)&amp;"discount"&amp;CHAR(34)&amp;": "&amp;SUBSTITUTE(TRIM(ROUND(IFERROR(Offerte!$F75*1,IFERROR(NUMBERVALUE(Offerte!$F75,".",","),IFERROR(NUMBERVALUE(Offerte!$F75,",","."),0))),4)&amp;""),",",".")&amp;CHAR(125)&amp;IF(COUNTA(Offerte!$A76:$A$81)&gt;0,",",""))</f>
        <v/>
      </c>
    </row>
    <row r="98">
      <c r="A98" s="82">
        <f>IF(Offerte!$A76="","","    "&amp;CHAR(123)&amp;CHAR(34)&amp;"bidderId"&amp;CHAR(34)&amp;": "&amp;CHAR(34)&amp;SUBSTITUTE(Offerte!$A76,CHAR(34),"'")&amp;CHAR(34)&amp;", "&amp;CHAR(34)&amp;"bidderName"&amp;CHAR(34)&amp;": "&amp;CHAR(34)&amp;SUBSTITUTE(Offerte!$B76,CHAR(34),"'")&amp;CHAR(34)&amp;", "&amp;CHAR(34)&amp;"lotId"&amp;CHAR(34)&amp;": "&amp;CHAR(34)&amp;SUBSTITUTE(Offerte!$C76,CHAR(34),"'")&amp;CHAR(34)&amp;", "&amp;CHAR(34)&amp;"enabled"&amp;CHAR(34)&amp;": "&amp;IF(IFERROR(Offerte!$D76*1,IFERROR(NUMBERVALUE(Offerte!$D76,".",","),IFERROR(NUMBERVALUE(Offerte!$D76,",","."),0)))=1,"true","false")&amp;", "&amp;CHAR(34)&amp;"technicalRaw"&amp;CHAR(34)&amp;": "&amp;SUBSTITUTE(TRIM(ROUND(IFERROR(Offerte!$E76*1,IFERROR(NUMBERVALUE(Offerte!$E76,".",","),IFERROR(NUMBERVALUE(Offerte!$E76,",","."),0))),4)&amp;""),",",".")&amp;", "&amp;CHAR(34)&amp;"discount"&amp;CHAR(34)&amp;": "&amp;SUBSTITUTE(TRIM(ROUND(IFERROR(Offerte!$F76*1,IFERROR(NUMBERVALUE(Offerte!$F76,".",","),IFERROR(NUMBERVALUE(Offerte!$F76,",","."),0))),4)&amp;""),",",".")&amp;CHAR(125)&amp;IF(COUNTA(Offerte!$A77:$A$81)&gt;0,",",""))</f>
        <v/>
      </c>
    </row>
    <row r="99">
      <c r="A99" s="82">
        <f>IF(Offerte!$A77="","","    "&amp;CHAR(123)&amp;CHAR(34)&amp;"bidderId"&amp;CHAR(34)&amp;": "&amp;CHAR(34)&amp;SUBSTITUTE(Offerte!$A77,CHAR(34),"'")&amp;CHAR(34)&amp;", "&amp;CHAR(34)&amp;"bidderName"&amp;CHAR(34)&amp;": "&amp;CHAR(34)&amp;SUBSTITUTE(Offerte!$B77,CHAR(34),"'")&amp;CHAR(34)&amp;", "&amp;CHAR(34)&amp;"lotId"&amp;CHAR(34)&amp;": "&amp;CHAR(34)&amp;SUBSTITUTE(Offerte!$C77,CHAR(34),"'")&amp;CHAR(34)&amp;", "&amp;CHAR(34)&amp;"enabled"&amp;CHAR(34)&amp;": "&amp;IF(IFERROR(Offerte!$D77*1,IFERROR(NUMBERVALUE(Offerte!$D77,".",","),IFERROR(NUMBERVALUE(Offerte!$D77,",","."),0)))=1,"true","false")&amp;", "&amp;CHAR(34)&amp;"technicalRaw"&amp;CHAR(34)&amp;": "&amp;SUBSTITUTE(TRIM(ROUND(IFERROR(Offerte!$E77*1,IFERROR(NUMBERVALUE(Offerte!$E77,".",","),IFERROR(NUMBERVALUE(Offerte!$E77,",","."),0))),4)&amp;""),",",".")&amp;", "&amp;CHAR(34)&amp;"discount"&amp;CHAR(34)&amp;": "&amp;SUBSTITUTE(TRIM(ROUND(IFERROR(Offerte!$F77*1,IFERROR(NUMBERVALUE(Offerte!$F77,".",","),IFERROR(NUMBERVALUE(Offerte!$F77,",","."),0))),4)&amp;""),",",".")&amp;CHAR(125)&amp;IF(COUNTA(Offerte!$A78:$A$81)&gt;0,",",""))</f>
        <v/>
      </c>
    </row>
    <row r="100">
      <c r="A100" s="82">
        <f>IF(Offerte!$A78="","","    "&amp;CHAR(123)&amp;CHAR(34)&amp;"bidderId"&amp;CHAR(34)&amp;": "&amp;CHAR(34)&amp;SUBSTITUTE(Offerte!$A78,CHAR(34),"'")&amp;CHAR(34)&amp;", "&amp;CHAR(34)&amp;"bidderName"&amp;CHAR(34)&amp;": "&amp;CHAR(34)&amp;SUBSTITUTE(Offerte!$B78,CHAR(34),"'")&amp;CHAR(34)&amp;", "&amp;CHAR(34)&amp;"lotId"&amp;CHAR(34)&amp;": "&amp;CHAR(34)&amp;SUBSTITUTE(Offerte!$C78,CHAR(34),"'")&amp;CHAR(34)&amp;", "&amp;CHAR(34)&amp;"enabled"&amp;CHAR(34)&amp;": "&amp;IF(IFERROR(Offerte!$D78*1,IFERROR(NUMBERVALUE(Offerte!$D78,".",","),IFERROR(NUMBERVALUE(Offerte!$D78,",","."),0)))=1,"true","false")&amp;", "&amp;CHAR(34)&amp;"technicalRaw"&amp;CHAR(34)&amp;": "&amp;SUBSTITUTE(TRIM(ROUND(IFERROR(Offerte!$E78*1,IFERROR(NUMBERVALUE(Offerte!$E78,".",","),IFERROR(NUMBERVALUE(Offerte!$E78,",","."),0))),4)&amp;""),",",".")&amp;", "&amp;CHAR(34)&amp;"discount"&amp;CHAR(34)&amp;": "&amp;SUBSTITUTE(TRIM(ROUND(IFERROR(Offerte!$F78*1,IFERROR(NUMBERVALUE(Offerte!$F78,".",","),IFERROR(NUMBERVALUE(Offerte!$F78,",","."),0))),4)&amp;""),",",".")&amp;CHAR(125)&amp;IF(COUNTA(Offerte!$A79:$A$81)&gt;0,",",""))</f>
        <v/>
      </c>
    </row>
    <row r="101">
      <c r="A101" s="82">
        <f>IF(Offerte!$A79="","","    "&amp;CHAR(123)&amp;CHAR(34)&amp;"bidderId"&amp;CHAR(34)&amp;": "&amp;CHAR(34)&amp;SUBSTITUTE(Offerte!$A79,CHAR(34),"'")&amp;CHAR(34)&amp;", "&amp;CHAR(34)&amp;"bidderName"&amp;CHAR(34)&amp;": "&amp;CHAR(34)&amp;SUBSTITUTE(Offerte!$B79,CHAR(34),"'")&amp;CHAR(34)&amp;", "&amp;CHAR(34)&amp;"lotId"&amp;CHAR(34)&amp;": "&amp;CHAR(34)&amp;SUBSTITUTE(Offerte!$C79,CHAR(34),"'")&amp;CHAR(34)&amp;", "&amp;CHAR(34)&amp;"enabled"&amp;CHAR(34)&amp;": "&amp;IF(IFERROR(Offerte!$D79*1,IFERROR(NUMBERVALUE(Offerte!$D79,".",","),IFERROR(NUMBERVALUE(Offerte!$D79,",","."),0)))=1,"true","false")&amp;", "&amp;CHAR(34)&amp;"technicalRaw"&amp;CHAR(34)&amp;": "&amp;SUBSTITUTE(TRIM(ROUND(IFERROR(Offerte!$E79*1,IFERROR(NUMBERVALUE(Offerte!$E79,".",","),IFERROR(NUMBERVALUE(Offerte!$E79,",","."),0))),4)&amp;""),",",".")&amp;", "&amp;CHAR(34)&amp;"discount"&amp;CHAR(34)&amp;": "&amp;SUBSTITUTE(TRIM(ROUND(IFERROR(Offerte!$F79*1,IFERROR(NUMBERVALUE(Offerte!$F79,".",","),IFERROR(NUMBERVALUE(Offerte!$F79,",","."),0))),4)&amp;""),",",".")&amp;CHAR(125)&amp;IF(COUNTA(Offerte!$A80:$A$81)&gt;0,",",""))</f>
        <v/>
      </c>
    </row>
    <row r="102">
      <c r="A102" s="82">
        <f>IF(Offerte!$A80="","","    "&amp;CHAR(123)&amp;CHAR(34)&amp;"bidderId"&amp;CHAR(34)&amp;": "&amp;CHAR(34)&amp;SUBSTITUTE(Offerte!$A80,CHAR(34),"'")&amp;CHAR(34)&amp;", "&amp;CHAR(34)&amp;"bidderName"&amp;CHAR(34)&amp;": "&amp;CHAR(34)&amp;SUBSTITUTE(Offerte!$B80,CHAR(34),"'")&amp;CHAR(34)&amp;", "&amp;CHAR(34)&amp;"lotId"&amp;CHAR(34)&amp;": "&amp;CHAR(34)&amp;SUBSTITUTE(Offerte!$C80,CHAR(34),"'")&amp;CHAR(34)&amp;", "&amp;CHAR(34)&amp;"enabled"&amp;CHAR(34)&amp;": "&amp;IF(IFERROR(Offerte!$D80*1,IFERROR(NUMBERVALUE(Offerte!$D80,".",","),IFERROR(NUMBERVALUE(Offerte!$D80,",","."),0)))=1,"true","false")&amp;", "&amp;CHAR(34)&amp;"technicalRaw"&amp;CHAR(34)&amp;": "&amp;SUBSTITUTE(TRIM(ROUND(IFERROR(Offerte!$E80*1,IFERROR(NUMBERVALUE(Offerte!$E80,".",","),IFERROR(NUMBERVALUE(Offerte!$E80,",","."),0))),4)&amp;""),",",".")&amp;", "&amp;CHAR(34)&amp;"discount"&amp;CHAR(34)&amp;": "&amp;SUBSTITUTE(TRIM(ROUND(IFERROR(Offerte!$F80*1,IFERROR(NUMBERVALUE(Offerte!$F80,".",","),IFERROR(NUMBERVALUE(Offerte!$F80,",","."),0))),4)&amp;""),",",".")&amp;CHAR(125)&amp;IF(COUNTA(Offerte!$A81:$A$81)&gt;0,",",""))</f>
        <v/>
      </c>
    </row>
    <row r="103">
      <c r="A103" s="82">
        <f>IF(Offerte!$A81="","","    "&amp;CHAR(123)&amp;CHAR(34)&amp;"bidderId"&amp;CHAR(34)&amp;": "&amp;CHAR(34)&amp;SUBSTITUTE(Offerte!$A81,CHAR(34),"'")&amp;CHAR(34)&amp;", "&amp;CHAR(34)&amp;"bidderName"&amp;CHAR(34)&amp;": "&amp;CHAR(34)&amp;SUBSTITUTE(Offerte!$B81,CHAR(34),"'")&amp;CHAR(34)&amp;", "&amp;CHAR(34)&amp;"lotId"&amp;CHAR(34)&amp;": "&amp;CHAR(34)&amp;SUBSTITUTE(Offerte!$C81,CHAR(34),"'")&amp;CHAR(34)&amp;", "&amp;CHAR(34)&amp;"enabled"&amp;CHAR(34)&amp;": "&amp;IF(IFERROR(Offerte!$D81*1,IFERROR(NUMBERVALUE(Offerte!$D81,".",","),IFERROR(NUMBERVALUE(Offerte!$D81,",","."),0)))=1,"true","false")&amp;", "&amp;CHAR(34)&amp;"technicalRaw"&amp;CHAR(34)&amp;": "&amp;SUBSTITUTE(TRIM(ROUND(IFERROR(Offerte!$E81*1,IFERROR(NUMBERVALUE(Offerte!$E81,".",","),IFERROR(NUMBERVALUE(Offerte!$E81,",","."),0))),4)&amp;""),",",".")&amp;", "&amp;CHAR(34)&amp;"discount"&amp;CHAR(34)&amp;": "&amp;SUBSTITUTE(TRIM(ROUND(IFERROR(Offerte!$F81*1,IFERROR(NUMBERVALUE(Offerte!$F81,".",","),IFERROR(NUMBERVALUE(Offerte!$F81,",","."),0))),4)&amp;""),",",".")&amp;CHAR(125)&amp;IF(FALSE,",",""))</f>
        <v/>
      </c>
    </row>
    <row r="104">
      <c r="A104" s="82" t="inlineStr">
        <is>
          <t xml:space="preserve">  ],</t>
        </is>
      </c>
    </row>
    <row r="105">
      <c r="A105" s="82" t="inlineStr">
        <is>
          <t xml:space="preserve">  "criteria": [</t>
        </is>
      </c>
    </row>
    <row r="106">
      <c r="A106" s="82">
        <f>IF(CriteriTecnici!$A5="","","    "&amp;CHAR(123)&amp;CHAR(34)&amp;"bidderId"&amp;CHAR(34)&amp;": "&amp;CHAR(34)&amp;SUBSTITUTE(CriteriTecnici!$A5,CHAR(34),"'")&amp;CHAR(34)&amp;", "&amp;CHAR(34)&amp;"lotId"&amp;CHAR(34)&amp;": "&amp;CHAR(34)&amp;SUBSTITUTE(CriteriTecnici!$C5,CHAR(34),"'")&amp;CHAR(34)&amp;", "&amp;CHAR(34)&amp;"criterionId"&amp;CHAR(34)&amp;": "&amp;CHAR(34)&amp;SUBSTITUTE(CriteriTecnici!$D5,CHAR(34),"'")&amp;CHAR(34)&amp;", "&amp;CHAR(34)&amp;"kind"&amp;CHAR(34)&amp;": "&amp;CHAR(34)&amp;SUBSTITUTE(CriteriTecnici!$F5,CHAR(34),"'")&amp;CHAR(34)&amp;", "&amp;CHAR(34)&amp;"value"&amp;CHAR(34)&amp;": "&amp;SUBSTITUTE(TRIM(ROUND(IFERROR(CriteriTecnici!$N5*1,IFERROR(NUMBERVALUE(CriteriTecnici!$N5,".",","),IFERROR(NUMBERVALUE(CriteriTecnici!$N5,",","."),0))),4)&amp;""),",",".")&amp;", "&amp;CHAR(34)&amp;"numerator"&amp;CHAR(34)&amp;": "&amp;SUBSTITUTE(TRIM(ROUND(IFERROR(CriteriTecnici!$K5*1,IFERROR(NUMBERVALUE(CriteriTecnici!$K5,".",","),IFERROR(NUMBERVALUE(CriteriTecnici!$K5,",","."),0))),4)&amp;""),",",".")&amp;", "&amp;CHAR(34)&amp;"denominator"&amp;CHAR(34)&amp;": "&amp;SUBSTITUTE(TRIM(ROUND(IFERROR(CriteriTecnici!$L5*1,IFERROR(NUMBERVALUE(CriteriTecnici!$L5,".",","),IFERROR(NUMBERVALUE(CriteriTecnici!$L5,",","."),0))),4)&amp;""),",",".")&amp;", "&amp;CHAR(34)&amp;"flag"&amp;CHAR(34)&amp;": "&amp;SUBSTITUTE(TRIM(ROUND(IFERROR(CriteriTecnici!$M5*1,IFERROR(NUMBERVALUE(CriteriTecnici!$M5,".",","),IFERROR(NUMBERVALUE(CriteriTecnici!$M5,",","."),0))),4)&amp;""),",",".")&amp;", "&amp;CHAR(34)&amp;"rawScore"&amp;CHAR(34)&amp;": "&amp;SUBSTITUTE(TRIM(ROUND(IFERROR(CriteriTecnici!$O5*1,IFERROR(NUMBERVALUE(CriteriTecnici!$O5,".",","),IFERROR(NUMBERVALUE(CriteriTecnici!$O5,",","."),0))),4)&amp;""),",",".")&amp;CHAR(125)&amp;IF(TRUE,",",""))</f>
        <v/>
      </c>
    </row>
    <row r="107">
      <c r="A107" s="82">
        <f>IF(CriteriTecnici!$A6="","","    "&amp;CHAR(123)&amp;CHAR(34)&amp;"bidderId"&amp;CHAR(34)&amp;": "&amp;CHAR(34)&amp;SUBSTITUTE(CriteriTecnici!$A6,CHAR(34),"'")&amp;CHAR(34)&amp;", "&amp;CHAR(34)&amp;"lotId"&amp;CHAR(34)&amp;": "&amp;CHAR(34)&amp;SUBSTITUTE(CriteriTecnici!$C6,CHAR(34),"'")&amp;CHAR(34)&amp;", "&amp;CHAR(34)&amp;"criterionId"&amp;CHAR(34)&amp;": "&amp;CHAR(34)&amp;SUBSTITUTE(CriteriTecnici!$D6,CHAR(34),"'")&amp;CHAR(34)&amp;", "&amp;CHAR(34)&amp;"kind"&amp;CHAR(34)&amp;": "&amp;CHAR(34)&amp;SUBSTITUTE(CriteriTecnici!$F6,CHAR(34),"'")&amp;CHAR(34)&amp;", "&amp;CHAR(34)&amp;"value"&amp;CHAR(34)&amp;": "&amp;SUBSTITUTE(TRIM(ROUND(IFERROR(CriteriTecnici!$N6*1,IFERROR(NUMBERVALUE(CriteriTecnici!$N6,".",","),IFERROR(NUMBERVALUE(CriteriTecnici!$N6,",","."),0))),4)&amp;""),",",".")&amp;", "&amp;CHAR(34)&amp;"numerator"&amp;CHAR(34)&amp;": "&amp;SUBSTITUTE(TRIM(ROUND(IFERROR(CriteriTecnici!$K6*1,IFERROR(NUMBERVALUE(CriteriTecnici!$K6,".",","),IFERROR(NUMBERVALUE(CriteriTecnici!$K6,",","."),0))),4)&amp;""),",",".")&amp;", "&amp;CHAR(34)&amp;"denominator"&amp;CHAR(34)&amp;": "&amp;SUBSTITUTE(TRIM(ROUND(IFERROR(CriteriTecnici!$L6*1,IFERROR(NUMBERVALUE(CriteriTecnici!$L6,".",","),IFERROR(NUMBERVALUE(CriteriTecnici!$L6,",","."),0))),4)&amp;""),",",".")&amp;", "&amp;CHAR(34)&amp;"flag"&amp;CHAR(34)&amp;": "&amp;SUBSTITUTE(TRIM(ROUND(IFERROR(CriteriTecnici!$M6*1,IFERROR(NUMBERVALUE(CriteriTecnici!$M6,".",","),IFERROR(NUMBERVALUE(CriteriTecnici!$M6,",","."),0))),4)&amp;""),",",".")&amp;", "&amp;CHAR(34)&amp;"rawScore"&amp;CHAR(34)&amp;": "&amp;SUBSTITUTE(TRIM(ROUND(IFERROR(CriteriTecnici!$O6*1,IFERROR(NUMBERVALUE(CriteriTecnici!$O6,".",","),IFERROR(NUMBERVALUE(CriteriTecnici!$O6,",","."),0))),4)&amp;""),",",".")&amp;CHAR(125)&amp;IF(TRUE,",",""))</f>
        <v/>
      </c>
    </row>
    <row r="108">
      <c r="A108" s="82">
        <f>IF(CriteriTecnici!$A7="","","    "&amp;CHAR(123)&amp;CHAR(34)&amp;"bidderId"&amp;CHAR(34)&amp;": "&amp;CHAR(34)&amp;SUBSTITUTE(CriteriTecnici!$A7,CHAR(34),"'")&amp;CHAR(34)&amp;", "&amp;CHAR(34)&amp;"lotId"&amp;CHAR(34)&amp;": "&amp;CHAR(34)&amp;SUBSTITUTE(CriteriTecnici!$C7,CHAR(34),"'")&amp;CHAR(34)&amp;", "&amp;CHAR(34)&amp;"criterionId"&amp;CHAR(34)&amp;": "&amp;CHAR(34)&amp;SUBSTITUTE(CriteriTecnici!$D7,CHAR(34),"'")&amp;CHAR(34)&amp;", "&amp;CHAR(34)&amp;"kind"&amp;CHAR(34)&amp;": "&amp;CHAR(34)&amp;SUBSTITUTE(CriteriTecnici!$F7,CHAR(34),"'")&amp;CHAR(34)&amp;", "&amp;CHAR(34)&amp;"value"&amp;CHAR(34)&amp;": "&amp;SUBSTITUTE(TRIM(ROUND(IFERROR(CriteriTecnici!$N7*1,IFERROR(NUMBERVALUE(CriteriTecnici!$N7,".",","),IFERROR(NUMBERVALUE(CriteriTecnici!$N7,",","."),0))),4)&amp;""),",",".")&amp;", "&amp;CHAR(34)&amp;"numerator"&amp;CHAR(34)&amp;": "&amp;SUBSTITUTE(TRIM(ROUND(IFERROR(CriteriTecnici!$K7*1,IFERROR(NUMBERVALUE(CriteriTecnici!$K7,".",","),IFERROR(NUMBERVALUE(CriteriTecnici!$K7,",","."),0))),4)&amp;""),",",".")&amp;", "&amp;CHAR(34)&amp;"denominator"&amp;CHAR(34)&amp;": "&amp;SUBSTITUTE(TRIM(ROUND(IFERROR(CriteriTecnici!$L7*1,IFERROR(NUMBERVALUE(CriteriTecnici!$L7,".",","),IFERROR(NUMBERVALUE(CriteriTecnici!$L7,",","."),0))),4)&amp;""),",",".")&amp;", "&amp;CHAR(34)&amp;"flag"&amp;CHAR(34)&amp;": "&amp;SUBSTITUTE(TRIM(ROUND(IFERROR(CriteriTecnici!$M7*1,IFERROR(NUMBERVALUE(CriteriTecnici!$M7,".",","),IFERROR(NUMBERVALUE(CriteriTecnici!$M7,",","."),0))),4)&amp;""),",",".")&amp;", "&amp;CHAR(34)&amp;"rawScore"&amp;CHAR(34)&amp;": "&amp;SUBSTITUTE(TRIM(ROUND(IFERROR(CriteriTecnici!$O7*1,IFERROR(NUMBERVALUE(CriteriTecnici!$O7,".",","),IFERROR(NUMBERVALUE(CriteriTecnici!$O7,",","."),0))),4)&amp;""),",",".")&amp;CHAR(125)&amp;IF(TRUE,",",""))</f>
        <v/>
      </c>
    </row>
    <row r="109">
      <c r="A109" s="82">
        <f>IF(CriteriTecnici!$A8="","","    "&amp;CHAR(123)&amp;CHAR(34)&amp;"bidderId"&amp;CHAR(34)&amp;": "&amp;CHAR(34)&amp;SUBSTITUTE(CriteriTecnici!$A8,CHAR(34),"'")&amp;CHAR(34)&amp;", "&amp;CHAR(34)&amp;"lotId"&amp;CHAR(34)&amp;": "&amp;CHAR(34)&amp;SUBSTITUTE(CriteriTecnici!$C8,CHAR(34),"'")&amp;CHAR(34)&amp;", "&amp;CHAR(34)&amp;"criterionId"&amp;CHAR(34)&amp;": "&amp;CHAR(34)&amp;SUBSTITUTE(CriteriTecnici!$D8,CHAR(34),"'")&amp;CHAR(34)&amp;", "&amp;CHAR(34)&amp;"kind"&amp;CHAR(34)&amp;": "&amp;CHAR(34)&amp;SUBSTITUTE(CriteriTecnici!$F8,CHAR(34),"'")&amp;CHAR(34)&amp;", "&amp;CHAR(34)&amp;"value"&amp;CHAR(34)&amp;": "&amp;SUBSTITUTE(TRIM(ROUND(IFERROR(CriteriTecnici!$N8*1,IFERROR(NUMBERVALUE(CriteriTecnici!$N8,".",","),IFERROR(NUMBERVALUE(CriteriTecnici!$N8,",","."),0))),4)&amp;""),",",".")&amp;", "&amp;CHAR(34)&amp;"numerator"&amp;CHAR(34)&amp;": "&amp;SUBSTITUTE(TRIM(ROUND(IFERROR(CriteriTecnici!$K8*1,IFERROR(NUMBERVALUE(CriteriTecnici!$K8,".",","),IFERROR(NUMBERVALUE(CriteriTecnici!$K8,",","."),0))),4)&amp;""),",",".")&amp;", "&amp;CHAR(34)&amp;"denominator"&amp;CHAR(34)&amp;": "&amp;SUBSTITUTE(TRIM(ROUND(IFERROR(CriteriTecnici!$L8*1,IFERROR(NUMBERVALUE(CriteriTecnici!$L8,".",","),IFERROR(NUMBERVALUE(CriteriTecnici!$L8,",","."),0))),4)&amp;""),",",".")&amp;", "&amp;CHAR(34)&amp;"flag"&amp;CHAR(34)&amp;": "&amp;SUBSTITUTE(TRIM(ROUND(IFERROR(CriteriTecnici!$M8*1,IFERROR(NUMBERVALUE(CriteriTecnici!$M8,".",","),IFERROR(NUMBERVALUE(CriteriTecnici!$M8,",","."),0))),4)&amp;""),",",".")&amp;", "&amp;CHAR(34)&amp;"rawScore"&amp;CHAR(34)&amp;": "&amp;SUBSTITUTE(TRIM(ROUND(IFERROR(CriteriTecnici!$O8*1,IFERROR(NUMBERVALUE(CriteriTecnici!$O8,".",","),IFERROR(NUMBERVALUE(CriteriTecnici!$O8,",","."),0))),4)&amp;""),",",".")&amp;CHAR(125)&amp;IF(TRUE,",",""))</f>
        <v/>
      </c>
    </row>
    <row r="110">
      <c r="A110" s="82">
        <f>IF(CriteriTecnici!$A9="","","    "&amp;CHAR(123)&amp;CHAR(34)&amp;"bidderId"&amp;CHAR(34)&amp;": "&amp;CHAR(34)&amp;SUBSTITUTE(CriteriTecnici!$A9,CHAR(34),"'")&amp;CHAR(34)&amp;", "&amp;CHAR(34)&amp;"lotId"&amp;CHAR(34)&amp;": "&amp;CHAR(34)&amp;SUBSTITUTE(CriteriTecnici!$C9,CHAR(34),"'")&amp;CHAR(34)&amp;", "&amp;CHAR(34)&amp;"criterionId"&amp;CHAR(34)&amp;": "&amp;CHAR(34)&amp;SUBSTITUTE(CriteriTecnici!$D9,CHAR(34),"'")&amp;CHAR(34)&amp;", "&amp;CHAR(34)&amp;"kind"&amp;CHAR(34)&amp;": "&amp;CHAR(34)&amp;SUBSTITUTE(CriteriTecnici!$F9,CHAR(34),"'")&amp;CHAR(34)&amp;", "&amp;CHAR(34)&amp;"value"&amp;CHAR(34)&amp;": "&amp;SUBSTITUTE(TRIM(ROUND(IFERROR(CriteriTecnici!$N9*1,IFERROR(NUMBERVALUE(CriteriTecnici!$N9,".",","),IFERROR(NUMBERVALUE(CriteriTecnici!$N9,",","."),0))),4)&amp;""),",",".")&amp;", "&amp;CHAR(34)&amp;"numerator"&amp;CHAR(34)&amp;": "&amp;SUBSTITUTE(TRIM(ROUND(IFERROR(CriteriTecnici!$K9*1,IFERROR(NUMBERVALUE(CriteriTecnici!$K9,".",","),IFERROR(NUMBERVALUE(CriteriTecnici!$K9,",","."),0))),4)&amp;""),",",".")&amp;", "&amp;CHAR(34)&amp;"denominator"&amp;CHAR(34)&amp;": "&amp;SUBSTITUTE(TRIM(ROUND(IFERROR(CriteriTecnici!$L9*1,IFERROR(NUMBERVALUE(CriteriTecnici!$L9,".",","),IFERROR(NUMBERVALUE(CriteriTecnici!$L9,",","."),0))),4)&amp;""),",",".")&amp;", "&amp;CHAR(34)&amp;"flag"&amp;CHAR(34)&amp;": "&amp;SUBSTITUTE(TRIM(ROUND(IFERROR(CriteriTecnici!$M9*1,IFERROR(NUMBERVALUE(CriteriTecnici!$M9,".",","),IFERROR(NUMBERVALUE(CriteriTecnici!$M9,",","."),0))),4)&amp;""),",",".")&amp;", "&amp;CHAR(34)&amp;"rawScore"&amp;CHAR(34)&amp;": "&amp;SUBSTITUTE(TRIM(ROUND(IFERROR(CriteriTecnici!$O9*1,IFERROR(NUMBERVALUE(CriteriTecnici!$O9,".",","),IFERROR(NUMBERVALUE(CriteriTecnici!$O9,",","."),0))),4)&amp;""),",",".")&amp;CHAR(125)&amp;IF(TRUE,",",""))</f>
        <v/>
      </c>
    </row>
    <row r="111">
      <c r="A111" s="82">
        <f>IF(CriteriTecnici!$A10="","","    "&amp;CHAR(123)&amp;CHAR(34)&amp;"bidderId"&amp;CHAR(34)&amp;": "&amp;CHAR(34)&amp;SUBSTITUTE(CriteriTecnici!$A10,CHAR(34),"'")&amp;CHAR(34)&amp;", "&amp;CHAR(34)&amp;"lotId"&amp;CHAR(34)&amp;": "&amp;CHAR(34)&amp;SUBSTITUTE(CriteriTecnici!$C10,CHAR(34),"'")&amp;CHAR(34)&amp;", "&amp;CHAR(34)&amp;"criterionId"&amp;CHAR(34)&amp;": "&amp;CHAR(34)&amp;SUBSTITUTE(CriteriTecnici!$D10,CHAR(34),"'")&amp;CHAR(34)&amp;", "&amp;CHAR(34)&amp;"kind"&amp;CHAR(34)&amp;": "&amp;CHAR(34)&amp;SUBSTITUTE(CriteriTecnici!$F10,CHAR(34),"'")&amp;CHAR(34)&amp;", "&amp;CHAR(34)&amp;"value"&amp;CHAR(34)&amp;": "&amp;SUBSTITUTE(TRIM(ROUND(IFERROR(CriteriTecnici!$N10*1,IFERROR(NUMBERVALUE(CriteriTecnici!$N10,".",","),IFERROR(NUMBERVALUE(CriteriTecnici!$N10,",","."),0))),4)&amp;""),",",".")&amp;", "&amp;CHAR(34)&amp;"numerator"&amp;CHAR(34)&amp;": "&amp;SUBSTITUTE(TRIM(ROUND(IFERROR(CriteriTecnici!$K10*1,IFERROR(NUMBERVALUE(CriteriTecnici!$K10,".",","),IFERROR(NUMBERVALUE(CriteriTecnici!$K10,",","."),0))),4)&amp;""),",",".")&amp;", "&amp;CHAR(34)&amp;"denominator"&amp;CHAR(34)&amp;": "&amp;SUBSTITUTE(TRIM(ROUND(IFERROR(CriteriTecnici!$L10*1,IFERROR(NUMBERVALUE(CriteriTecnici!$L10,".",","),IFERROR(NUMBERVALUE(CriteriTecnici!$L10,",","."),0))),4)&amp;""),",",".")&amp;", "&amp;CHAR(34)&amp;"flag"&amp;CHAR(34)&amp;": "&amp;SUBSTITUTE(TRIM(ROUND(IFERROR(CriteriTecnici!$M10*1,IFERROR(NUMBERVALUE(CriteriTecnici!$M10,".",","),IFERROR(NUMBERVALUE(CriteriTecnici!$M10,",","."),0))),4)&amp;""),",",".")&amp;", "&amp;CHAR(34)&amp;"rawScore"&amp;CHAR(34)&amp;": "&amp;SUBSTITUTE(TRIM(ROUND(IFERROR(CriteriTecnici!$O10*1,IFERROR(NUMBERVALUE(CriteriTecnici!$O10,".",","),IFERROR(NUMBERVALUE(CriteriTecnici!$O10,",","."),0))),4)&amp;""),",",".")&amp;CHAR(125)&amp;IF(TRUE,",",""))</f>
        <v/>
      </c>
    </row>
    <row r="112">
      <c r="A112" s="82">
        <f>IF(CriteriTecnici!$A11="","","    "&amp;CHAR(123)&amp;CHAR(34)&amp;"bidderId"&amp;CHAR(34)&amp;": "&amp;CHAR(34)&amp;SUBSTITUTE(CriteriTecnici!$A11,CHAR(34),"'")&amp;CHAR(34)&amp;", "&amp;CHAR(34)&amp;"lotId"&amp;CHAR(34)&amp;": "&amp;CHAR(34)&amp;SUBSTITUTE(CriteriTecnici!$C11,CHAR(34),"'")&amp;CHAR(34)&amp;", "&amp;CHAR(34)&amp;"criterionId"&amp;CHAR(34)&amp;": "&amp;CHAR(34)&amp;SUBSTITUTE(CriteriTecnici!$D11,CHAR(34),"'")&amp;CHAR(34)&amp;", "&amp;CHAR(34)&amp;"kind"&amp;CHAR(34)&amp;": "&amp;CHAR(34)&amp;SUBSTITUTE(CriteriTecnici!$F11,CHAR(34),"'")&amp;CHAR(34)&amp;", "&amp;CHAR(34)&amp;"value"&amp;CHAR(34)&amp;": "&amp;SUBSTITUTE(TRIM(ROUND(IFERROR(CriteriTecnici!$N11*1,IFERROR(NUMBERVALUE(CriteriTecnici!$N11,".",","),IFERROR(NUMBERVALUE(CriteriTecnici!$N11,",","."),0))),4)&amp;""),",",".")&amp;", "&amp;CHAR(34)&amp;"numerator"&amp;CHAR(34)&amp;": "&amp;SUBSTITUTE(TRIM(ROUND(IFERROR(CriteriTecnici!$K11*1,IFERROR(NUMBERVALUE(CriteriTecnici!$K11,".",","),IFERROR(NUMBERVALUE(CriteriTecnici!$K11,",","."),0))),4)&amp;""),",",".")&amp;", "&amp;CHAR(34)&amp;"denominator"&amp;CHAR(34)&amp;": "&amp;SUBSTITUTE(TRIM(ROUND(IFERROR(CriteriTecnici!$L11*1,IFERROR(NUMBERVALUE(CriteriTecnici!$L11,".",","),IFERROR(NUMBERVALUE(CriteriTecnici!$L11,",","."),0))),4)&amp;""),",",".")&amp;", "&amp;CHAR(34)&amp;"flag"&amp;CHAR(34)&amp;": "&amp;SUBSTITUTE(TRIM(ROUND(IFERROR(CriteriTecnici!$M11*1,IFERROR(NUMBERVALUE(CriteriTecnici!$M11,".",","),IFERROR(NUMBERVALUE(CriteriTecnici!$M11,",","."),0))),4)&amp;""),",",".")&amp;", "&amp;CHAR(34)&amp;"rawScore"&amp;CHAR(34)&amp;": "&amp;SUBSTITUTE(TRIM(ROUND(IFERROR(CriteriTecnici!$O11*1,IFERROR(NUMBERVALUE(CriteriTecnici!$O11,".",","),IFERROR(NUMBERVALUE(CriteriTecnici!$O11,",","."),0))),4)&amp;""),",",".")&amp;CHAR(125)&amp;IF(TRUE,",",""))</f>
        <v/>
      </c>
    </row>
    <row r="113">
      <c r="A113" s="82">
        <f>IF(CriteriTecnici!$A12="","","    "&amp;CHAR(123)&amp;CHAR(34)&amp;"bidderId"&amp;CHAR(34)&amp;": "&amp;CHAR(34)&amp;SUBSTITUTE(CriteriTecnici!$A12,CHAR(34),"'")&amp;CHAR(34)&amp;", "&amp;CHAR(34)&amp;"lotId"&amp;CHAR(34)&amp;": "&amp;CHAR(34)&amp;SUBSTITUTE(CriteriTecnici!$C12,CHAR(34),"'")&amp;CHAR(34)&amp;", "&amp;CHAR(34)&amp;"criterionId"&amp;CHAR(34)&amp;": "&amp;CHAR(34)&amp;SUBSTITUTE(CriteriTecnici!$D12,CHAR(34),"'")&amp;CHAR(34)&amp;", "&amp;CHAR(34)&amp;"kind"&amp;CHAR(34)&amp;": "&amp;CHAR(34)&amp;SUBSTITUTE(CriteriTecnici!$F12,CHAR(34),"'")&amp;CHAR(34)&amp;", "&amp;CHAR(34)&amp;"value"&amp;CHAR(34)&amp;": "&amp;SUBSTITUTE(TRIM(ROUND(IFERROR(CriteriTecnici!$N12*1,IFERROR(NUMBERVALUE(CriteriTecnici!$N12,".",","),IFERROR(NUMBERVALUE(CriteriTecnici!$N12,",","."),0))),4)&amp;""),",",".")&amp;", "&amp;CHAR(34)&amp;"numerator"&amp;CHAR(34)&amp;": "&amp;SUBSTITUTE(TRIM(ROUND(IFERROR(CriteriTecnici!$K12*1,IFERROR(NUMBERVALUE(CriteriTecnici!$K12,".",","),IFERROR(NUMBERVALUE(CriteriTecnici!$K12,",","."),0))),4)&amp;""),",",".")&amp;", "&amp;CHAR(34)&amp;"denominator"&amp;CHAR(34)&amp;": "&amp;SUBSTITUTE(TRIM(ROUND(IFERROR(CriteriTecnici!$L12*1,IFERROR(NUMBERVALUE(CriteriTecnici!$L12,".",","),IFERROR(NUMBERVALUE(CriteriTecnici!$L12,",","."),0))),4)&amp;""),",",".")&amp;", "&amp;CHAR(34)&amp;"flag"&amp;CHAR(34)&amp;": "&amp;SUBSTITUTE(TRIM(ROUND(IFERROR(CriteriTecnici!$M12*1,IFERROR(NUMBERVALUE(CriteriTecnici!$M12,".",","),IFERROR(NUMBERVALUE(CriteriTecnici!$M12,",","."),0))),4)&amp;""),",",".")&amp;", "&amp;CHAR(34)&amp;"rawScore"&amp;CHAR(34)&amp;": "&amp;SUBSTITUTE(TRIM(ROUND(IFERROR(CriteriTecnici!$O12*1,IFERROR(NUMBERVALUE(CriteriTecnici!$O12,".",","),IFERROR(NUMBERVALUE(CriteriTecnici!$O12,",","."),0))),4)&amp;""),",",".")&amp;CHAR(125)&amp;IF(TRUE,",",""))</f>
        <v/>
      </c>
    </row>
    <row r="114">
      <c r="A114" s="82">
        <f>IF(CriteriTecnici!$A13="","","    "&amp;CHAR(123)&amp;CHAR(34)&amp;"bidderId"&amp;CHAR(34)&amp;": "&amp;CHAR(34)&amp;SUBSTITUTE(CriteriTecnici!$A13,CHAR(34),"'")&amp;CHAR(34)&amp;", "&amp;CHAR(34)&amp;"lotId"&amp;CHAR(34)&amp;": "&amp;CHAR(34)&amp;SUBSTITUTE(CriteriTecnici!$C13,CHAR(34),"'")&amp;CHAR(34)&amp;", "&amp;CHAR(34)&amp;"criterionId"&amp;CHAR(34)&amp;": "&amp;CHAR(34)&amp;SUBSTITUTE(CriteriTecnici!$D13,CHAR(34),"'")&amp;CHAR(34)&amp;", "&amp;CHAR(34)&amp;"kind"&amp;CHAR(34)&amp;": "&amp;CHAR(34)&amp;SUBSTITUTE(CriteriTecnici!$F13,CHAR(34),"'")&amp;CHAR(34)&amp;", "&amp;CHAR(34)&amp;"value"&amp;CHAR(34)&amp;": "&amp;SUBSTITUTE(TRIM(ROUND(IFERROR(CriteriTecnici!$N13*1,IFERROR(NUMBERVALUE(CriteriTecnici!$N13,".",","),IFERROR(NUMBERVALUE(CriteriTecnici!$N13,",","."),0))),4)&amp;""),",",".")&amp;", "&amp;CHAR(34)&amp;"numerator"&amp;CHAR(34)&amp;": "&amp;SUBSTITUTE(TRIM(ROUND(IFERROR(CriteriTecnici!$K13*1,IFERROR(NUMBERVALUE(CriteriTecnici!$K13,".",","),IFERROR(NUMBERVALUE(CriteriTecnici!$K13,",","."),0))),4)&amp;""),",",".")&amp;", "&amp;CHAR(34)&amp;"denominator"&amp;CHAR(34)&amp;": "&amp;SUBSTITUTE(TRIM(ROUND(IFERROR(CriteriTecnici!$L13*1,IFERROR(NUMBERVALUE(CriteriTecnici!$L13,".",","),IFERROR(NUMBERVALUE(CriteriTecnici!$L13,",","."),0))),4)&amp;""),",",".")&amp;", "&amp;CHAR(34)&amp;"flag"&amp;CHAR(34)&amp;": "&amp;SUBSTITUTE(TRIM(ROUND(IFERROR(CriteriTecnici!$M13*1,IFERROR(NUMBERVALUE(CriteriTecnici!$M13,".",","),IFERROR(NUMBERVALUE(CriteriTecnici!$M13,",","."),0))),4)&amp;""),",",".")&amp;", "&amp;CHAR(34)&amp;"rawScore"&amp;CHAR(34)&amp;": "&amp;SUBSTITUTE(TRIM(ROUND(IFERROR(CriteriTecnici!$O13*1,IFERROR(NUMBERVALUE(CriteriTecnici!$O13,".",","),IFERROR(NUMBERVALUE(CriteriTecnici!$O13,",","."),0))),4)&amp;""),",",".")&amp;CHAR(125)&amp;IF(TRUE,",",""))</f>
        <v/>
      </c>
    </row>
    <row r="115">
      <c r="A115" s="82">
        <f>IF(CriteriTecnici!$A14="","","    "&amp;CHAR(123)&amp;CHAR(34)&amp;"bidderId"&amp;CHAR(34)&amp;": "&amp;CHAR(34)&amp;SUBSTITUTE(CriteriTecnici!$A14,CHAR(34),"'")&amp;CHAR(34)&amp;", "&amp;CHAR(34)&amp;"lotId"&amp;CHAR(34)&amp;": "&amp;CHAR(34)&amp;SUBSTITUTE(CriteriTecnici!$C14,CHAR(34),"'")&amp;CHAR(34)&amp;", "&amp;CHAR(34)&amp;"criterionId"&amp;CHAR(34)&amp;": "&amp;CHAR(34)&amp;SUBSTITUTE(CriteriTecnici!$D14,CHAR(34),"'")&amp;CHAR(34)&amp;", "&amp;CHAR(34)&amp;"kind"&amp;CHAR(34)&amp;": "&amp;CHAR(34)&amp;SUBSTITUTE(CriteriTecnici!$F14,CHAR(34),"'")&amp;CHAR(34)&amp;", "&amp;CHAR(34)&amp;"value"&amp;CHAR(34)&amp;": "&amp;SUBSTITUTE(TRIM(ROUND(IFERROR(CriteriTecnici!$N14*1,IFERROR(NUMBERVALUE(CriteriTecnici!$N14,".",","),IFERROR(NUMBERVALUE(CriteriTecnici!$N14,",","."),0))),4)&amp;""),",",".")&amp;", "&amp;CHAR(34)&amp;"numerator"&amp;CHAR(34)&amp;": "&amp;SUBSTITUTE(TRIM(ROUND(IFERROR(CriteriTecnici!$K14*1,IFERROR(NUMBERVALUE(CriteriTecnici!$K14,".",","),IFERROR(NUMBERVALUE(CriteriTecnici!$K14,",","."),0))),4)&amp;""),",",".")&amp;", "&amp;CHAR(34)&amp;"denominator"&amp;CHAR(34)&amp;": "&amp;SUBSTITUTE(TRIM(ROUND(IFERROR(CriteriTecnici!$L14*1,IFERROR(NUMBERVALUE(CriteriTecnici!$L14,".",","),IFERROR(NUMBERVALUE(CriteriTecnici!$L14,",","."),0))),4)&amp;""),",",".")&amp;", "&amp;CHAR(34)&amp;"flag"&amp;CHAR(34)&amp;": "&amp;SUBSTITUTE(TRIM(ROUND(IFERROR(CriteriTecnici!$M14*1,IFERROR(NUMBERVALUE(CriteriTecnici!$M14,".",","),IFERROR(NUMBERVALUE(CriteriTecnici!$M14,",","."),0))),4)&amp;""),",",".")&amp;", "&amp;CHAR(34)&amp;"rawScore"&amp;CHAR(34)&amp;": "&amp;SUBSTITUTE(TRIM(ROUND(IFERROR(CriteriTecnici!$O14*1,IFERROR(NUMBERVALUE(CriteriTecnici!$O14,".",","),IFERROR(NUMBERVALUE(CriteriTecnici!$O14,",","."),0))),4)&amp;""),",",".")&amp;CHAR(125)&amp;IF(TRUE,",",""))</f>
        <v/>
      </c>
    </row>
    <row r="116">
      <c r="A116" s="82">
        <f>IF(CriteriTecnici!$A15="","","    "&amp;CHAR(123)&amp;CHAR(34)&amp;"bidderId"&amp;CHAR(34)&amp;": "&amp;CHAR(34)&amp;SUBSTITUTE(CriteriTecnici!$A15,CHAR(34),"'")&amp;CHAR(34)&amp;", "&amp;CHAR(34)&amp;"lotId"&amp;CHAR(34)&amp;": "&amp;CHAR(34)&amp;SUBSTITUTE(CriteriTecnici!$C15,CHAR(34),"'")&amp;CHAR(34)&amp;", "&amp;CHAR(34)&amp;"criterionId"&amp;CHAR(34)&amp;": "&amp;CHAR(34)&amp;SUBSTITUTE(CriteriTecnici!$D15,CHAR(34),"'")&amp;CHAR(34)&amp;", "&amp;CHAR(34)&amp;"kind"&amp;CHAR(34)&amp;": "&amp;CHAR(34)&amp;SUBSTITUTE(CriteriTecnici!$F15,CHAR(34),"'")&amp;CHAR(34)&amp;", "&amp;CHAR(34)&amp;"value"&amp;CHAR(34)&amp;": "&amp;SUBSTITUTE(TRIM(ROUND(IFERROR(CriteriTecnici!$N15*1,IFERROR(NUMBERVALUE(CriteriTecnici!$N15,".",","),IFERROR(NUMBERVALUE(CriteriTecnici!$N15,",","."),0))),4)&amp;""),",",".")&amp;", "&amp;CHAR(34)&amp;"numerator"&amp;CHAR(34)&amp;": "&amp;SUBSTITUTE(TRIM(ROUND(IFERROR(CriteriTecnici!$K15*1,IFERROR(NUMBERVALUE(CriteriTecnici!$K15,".",","),IFERROR(NUMBERVALUE(CriteriTecnici!$K15,",","."),0))),4)&amp;""),",",".")&amp;", "&amp;CHAR(34)&amp;"denominator"&amp;CHAR(34)&amp;": "&amp;SUBSTITUTE(TRIM(ROUND(IFERROR(CriteriTecnici!$L15*1,IFERROR(NUMBERVALUE(CriteriTecnici!$L15,".",","),IFERROR(NUMBERVALUE(CriteriTecnici!$L15,",","."),0))),4)&amp;""),",",".")&amp;", "&amp;CHAR(34)&amp;"flag"&amp;CHAR(34)&amp;": "&amp;SUBSTITUTE(TRIM(ROUND(IFERROR(CriteriTecnici!$M15*1,IFERROR(NUMBERVALUE(CriteriTecnici!$M15,".",","),IFERROR(NUMBERVALUE(CriteriTecnici!$M15,",","."),0))),4)&amp;""),",",".")&amp;", "&amp;CHAR(34)&amp;"rawScore"&amp;CHAR(34)&amp;": "&amp;SUBSTITUTE(TRIM(ROUND(IFERROR(CriteriTecnici!$O15*1,IFERROR(NUMBERVALUE(CriteriTecnici!$O15,".",","),IFERROR(NUMBERVALUE(CriteriTecnici!$O15,",","."),0))),4)&amp;""),",",".")&amp;CHAR(125)&amp;IF(TRUE,",",""))</f>
        <v/>
      </c>
    </row>
    <row r="117">
      <c r="A117" s="82">
        <f>IF(CriteriTecnici!$A16="","","    "&amp;CHAR(123)&amp;CHAR(34)&amp;"bidderId"&amp;CHAR(34)&amp;": "&amp;CHAR(34)&amp;SUBSTITUTE(CriteriTecnici!$A16,CHAR(34),"'")&amp;CHAR(34)&amp;", "&amp;CHAR(34)&amp;"lotId"&amp;CHAR(34)&amp;": "&amp;CHAR(34)&amp;SUBSTITUTE(CriteriTecnici!$C16,CHAR(34),"'")&amp;CHAR(34)&amp;", "&amp;CHAR(34)&amp;"criterionId"&amp;CHAR(34)&amp;": "&amp;CHAR(34)&amp;SUBSTITUTE(CriteriTecnici!$D16,CHAR(34),"'")&amp;CHAR(34)&amp;", "&amp;CHAR(34)&amp;"kind"&amp;CHAR(34)&amp;": "&amp;CHAR(34)&amp;SUBSTITUTE(CriteriTecnici!$F16,CHAR(34),"'")&amp;CHAR(34)&amp;", "&amp;CHAR(34)&amp;"value"&amp;CHAR(34)&amp;": "&amp;SUBSTITUTE(TRIM(ROUND(IFERROR(CriteriTecnici!$N16*1,IFERROR(NUMBERVALUE(CriteriTecnici!$N16,".",","),IFERROR(NUMBERVALUE(CriteriTecnici!$N16,",","."),0))),4)&amp;""),",",".")&amp;", "&amp;CHAR(34)&amp;"numerator"&amp;CHAR(34)&amp;": "&amp;SUBSTITUTE(TRIM(ROUND(IFERROR(CriteriTecnici!$K16*1,IFERROR(NUMBERVALUE(CriteriTecnici!$K16,".",","),IFERROR(NUMBERVALUE(CriteriTecnici!$K16,",","."),0))),4)&amp;""),",",".")&amp;", "&amp;CHAR(34)&amp;"denominator"&amp;CHAR(34)&amp;": "&amp;SUBSTITUTE(TRIM(ROUND(IFERROR(CriteriTecnici!$L16*1,IFERROR(NUMBERVALUE(CriteriTecnici!$L16,".",","),IFERROR(NUMBERVALUE(CriteriTecnici!$L16,",","."),0))),4)&amp;""),",",".")&amp;", "&amp;CHAR(34)&amp;"flag"&amp;CHAR(34)&amp;": "&amp;SUBSTITUTE(TRIM(ROUND(IFERROR(CriteriTecnici!$M16*1,IFERROR(NUMBERVALUE(CriteriTecnici!$M16,".",","),IFERROR(NUMBERVALUE(CriteriTecnici!$M16,",","."),0))),4)&amp;""),",",".")&amp;", "&amp;CHAR(34)&amp;"rawScore"&amp;CHAR(34)&amp;": "&amp;SUBSTITUTE(TRIM(ROUND(IFERROR(CriteriTecnici!$O16*1,IFERROR(NUMBERVALUE(CriteriTecnici!$O16,".",","),IFERROR(NUMBERVALUE(CriteriTecnici!$O16,",","."),0))),4)&amp;""),",",".")&amp;CHAR(125)&amp;IF(TRUE,",",""))</f>
        <v/>
      </c>
    </row>
    <row r="118">
      <c r="A118" s="82">
        <f>IF(CriteriTecnici!$A17="","","    "&amp;CHAR(123)&amp;CHAR(34)&amp;"bidderId"&amp;CHAR(34)&amp;": "&amp;CHAR(34)&amp;SUBSTITUTE(CriteriTecnici!$A17,CHAR(34),"'")&amp;CHAR(34)&amp;", "&amp;CHAR(34)&amp;"lotId"&amp;CHAR(34)&amp;": "&amp;CHAR(34)&amp;SUBSTITUTE(CriteriTecnici!$C17,CHAR(34),"'")&amp;CHAR(34)&amp;", "&amp;CHAR(34)&amp;"criterionId"&amp;CHAR(34)&amp;": "&amp;CHAR(34)&amp;SUBSTITUTE(CriteriTecnici!$D17,CHAR(34),"'")&amp;CHAR(34)&amp;", "&amp;CHAR(34)&amp;"kind"&amp;CHAR(34)&amp;": "&amp;CHAR(34)&amp;SUBSTITUTE(CriteriTecnici!$F17,CHAR(34),"'")&amp;CHAR(34)&amp;", "&amp;CHAR(34)&amp;"value"&amp;CHAR(34)&amp;": "&amp;SUBSTITUTE(TRIM(ROUND(IFERROR(CriteriTecnici!$N17*1,IFERROR(NUMBERVALUE(CriteriTecnici!$N17,".",","),IFERROR(NUMBERVALUE(CriteriTecnici!$N17,",","."),0))),4)&amp;""),",",".")&amp;", "&amp;CHAR(34)&amp;"numerator"&amp;CHAR(34)&amp;": "&amp;SUBSTITUTE(TRIM(ROUND(IFERROR(CriteriTecnici!$K17*1,IFERROR(NUMBERVALUE(CriteriTecnici!$K17,".",","),IFERROR(NUMBERVALUE(CriteriTecnici!$K17,",","."),0))),4)&amp;""),",",".")&amp;", "&amp;CHAR(34)&amp;"denominator"&amp;CHAR(34)&amp;": "&amp;SUBSTITUTE(TRIM(ROUND(IFERROR(CriteriTecnici!$L17*1,IFERROR(NUMBERVALUE(CriteriTecnici!$L17,".",","),IFERROR(NUMBERVALUE(CriteriTecnici!$L17,",","."),0))),4)&amp;""),",",".")&amp;", "&amp;CHAR(34)&amp;"flag"&amp;CHAR(34)&amp;": "&amp;SUBSTITUTE(TRIM(ROUND(IFERROR(CriteriTecnici!$M17*1,IFERROR(NUMBERVALUE(CriteriTecnici!$M17,".",","),IFERROR(NUMBERVALUE(CriteriTecnici!$M17,",","."),0))),4)&amp;""),",",".")&amp;", "&amp;CHAR(34)&amp;"rawScore"&amp;CHAR(34)&amp;": "&amp;SUBSTITUTE(TRIM(ROUND(IFERROR(CriteriTecnici!$O17*1,IFERROR(NUMBERVALUE(CriteriTecnici!$O17,".",","),IFERROR(NUMBERVALUE(CriteriTecnici!$O17,",","."),0))),4)&amp;""),",",".")&amp;CHAR(125)&amp;IF(TRUE,",",""))</f>
        <v/>
      </c>
    </row>
    <row r="119">
      <c r="A119" s="82">
        <f>IF(CriteriTecnici!$A18="","","    "&amp;CHAR(123)&amp;CHAR(34)&amp;"bidderId"&amp;CHAR(34)&amp;": "&amp;CHAR(34)&amp;SUBSTITUTE(CriteriTecnici!$A18,CHAR(34),"'")&amp;CHAR(34)&amp;", "&amp;CHAR(34)&amp;"lotId"&amp;CHAR(34)&amp;": "&amp;CHAR(34)&amp;SUBSTITUTE(CriteriTecnici!$C18,CHAR(34),"'")&amp;CHAR(34)&amp;", "&amp;CHAR(34)&amp;"criterionId"&amp;CHAR(34)&amp;": "&amp;CHAR(34)&amp;SUBSTITUTE(CriteriTecnici!$D18,CHAR(34),"'")&amp;CHAR(34)&amp;", "&amp;CHAR(34)&amp;"kind"&amp;CHAR(34)&amp;": "&amp;CHAR(34)&amp;SUBSTITUTE(CriteriTecnici!$F18,CHAR(34),"'")&amp;CHAR(34)&amp;", "&amp;CHAR(34)&amp;"value"&amp;CHAR(34)&amp;": "&amp;SUBSTITUTE(TRIM(ROUND(IFERROR(CriteriTecnici!$N18*1,IFERROR(NUMBERVALUE(CriteriTecnici!$N18,".",","),IFERROR(NUMBERVALUE(CriteriTecnici!$N18,",","."),0))),4)&amp;""),",",".")&amp;", "&amp;CHAR(34)&amp;"numerator"&amp;CHAR(34)&amp;": "&amp;SUBSTITUTE(TRIM(ROUND(IFERROR(CriteriTecnici!$K18*1,IFERROR(NUMBERVALUE(CriteriTecnici!$K18,".",","),IFERROR(NUMBERVALUE(CriteriTecnici!$K18,",","."),0))),4)&amp;""),",",".")&amp;", "&amp;CHAR(34)&amp;"denominator"&amp;CHAR(34)&amp;": "&amp;SUBSTITUTE(TRIM(ROUND(IFERROR(CriteriTecnici!$L18*1,IFERROR(NUMBERVALUE(CriteriTecnici!$L18,".",","),IFERROR(NUMBERVALUE(CriteriTecnici!$L18,",","."),0))),4)&amp;""),",",".")&amp;", "&amp;CHAR(34)&amp;"flag"&amp;CHAR(34)&amp;": "&amp;SUBSTITUTE(TRIM(ROUND(IFERROR(CriteriTecnici!$M18*1,IFERROR(NUMBERVALUE(CriteriTecnici!$M18,".",","),IFERROR(NUMBERVALUE(CriteriTecnici!$M18,",","."),0))),4)&amp;""),",",".")&amp;", "&amp;CHAR(34)&amp;"rawScore"&amp;CHAR(34)&amp;": "&amp;SUBSTITUTE(TRIM(ROUND(IFERROR(CriteriTecnici!$O18*1,IFERROR(NUMBERVALUE(CriteriTecnici!$O18,".",","),IFERROR(NUMBERVALUE(CriteriTecnici!$O18,",","."),0))),4)&amp;""),",",".")&amp;CHAR(125)&amp;IF(TRUE,",",""))</f>
        <v/>
      </c>
    </row>
    <row r="120">
      <c r="A120" s="82">
        <f>IF(CriteriTecnici!$A19="","","    "&amp;CHAR(123)&amp;CHAR(34)&amp;"bidderId"&amp;CHAR(34)&amp;": "&amp;CHAR(34)&amp;SUBSTITUTE(CriteriTecnici!$A19,CHAR(34),"'")&amp;CHAR(34)&amp;", "&amp;CHAR(34)&amp;"lotId"&amp;CHAR(34)&amp;": "&amp;CHAR(34)&amp;SUBSTITUTE(CriteriTecnici!$C19,CHAR(34),"'")&amp;CHAR(34)&amp;", "&amp;CHAR(34)&amp;"criterionId"&amp;CHAR(34)&amp;": "&amp;CHAR(34)&amp;SUBSTITUTE(CriteriTecnici!$D19,CHAR(34),"'")&amp;CHAR(34)&amp;", "&amp;CHAR(34)&amp;"kind"&amp;CHAR(34)&amp;": "&amp;CHAR(34)&amp;SUBSTITUTE(CriteriTecnici!$F19,CHAR(34),"'")&amp;CHAR(34)&amp;", "&amp;CHAR(34)&amp;"value"&amp;CHAR(34)&amp;": "&amp;SUBSTITUTE(TRIM(ROUND(IFERROR(CriteriTecnici!$N19*1,IFERROR(NUMBERVALUE(CriteriTecnici!$N19,".",","),IFERROR(NUMBERVALUE(CriteriTecnici!$N19,",","."),0))),4)&amp;""),",",".")&amp;", "&amp;CHAR(34)&amp;"numerator"&amp;CHAR(34)&amp;": "&amp;SUBSTITUTE(TRIM(ROUND(IFERROR(CriteriTecnici!$K19*1,IFERROR(NUMBERVALUE(CriteriTecnici!$K19,".",","),IFERROR(NUMBERVALUE(CriteriTecnici!$K19,",","."),0))),4)&amp;""),",",".")&amp;", "&amp;CHAR(34)&amp;"denominator"&amp;CHAR(34)&amp;": "&amp;SUBSTITUTE(TRIM(ROUND(IFERROR(CriteriTecnici!$L19*1,IFERROR(NUMBERVALUE(CriteriTecnici!$L19,".",","),IFERROR(NUMBERVALUE(CriteriTecnici!$L19,",","."),0))),4)&amp;""),",",".")&amp;", "&amp;CHAR(34)&amp;"flag"&amp;CHAR(34)&amp;": "&amp;SUBSTITUTE(TRIM(ROUND(IFERROR(CriteriTecnici!$M19*1,IFERROR(NUMBERVALUE(CriteriTecnici!$M19,".",","),IFERROR(NUMBERVALUE(CriteriTecnici!$M19,",","."),0))),4)&amp;""),",",".")&amp;", "&amp;CHAR(34)&amp;"rawScore"&amp;CHAR(34)&amp;": "&amp;SUBSTITUTE(TRIM(ROUND(IFERROR(CriteriTecnici!$O19*1,IFERROR(NUMBERVALUE(CriteriTecnici!$O19,".",","),IFERROR(NUMBERVALUE(CriteriTecnici!$O19,",","."),0))),4)&amp;""),",",".")&amp;CHAR(125)&amp;IF(TRUE,",",""))</f>
        <v/>
      </c>
    </row>
    <row r="121">
      <c r="A121" s="82">
        <f>IF(CriteriTecnici!$A20="","","    "&amp;CHAR(123)&amp;CHAR(34)&amp;"bidderId"&amp;CHAR(34)&amp;": "&amp;CHAR(34)&amp;SUBSTITUTE(CriteriTecnici!$A20,CHAR(34),"'")&amp;CHAR(34)&amp;", "&amp;CHAR(34)&amp;"lotId"&amp;CHAR(34)&amp;": "&amp;CHAR(34)&amp;SUBSTITUTE(CriteriTecnici!$C20,CHAR(34),"'")&amp;CHAR(34)&amp;", "&amp;CHAR(34)&amp;"criterionId"&amp;CHAR(34)&amp;": "&amp;CHAR(34)&amp;SUBSTITUTE(CriteriTecnici!$D20,CHAR(34),"'")&amp;CHAR(34)&amp;", "&amp;CHAR(34)&amp;"kind"&amp;CHAR(34)&amp;": "&amp;CHAR(34)&amp;SUBSTITUTE(CriteriTecnici!$F20,CHAR(34),"'")&amp;CHAR(34)&amp;", "&amp;CHAR(34)&amp;"value"&amp;CHAR(34)&amp;": "&amp;SUBSTITUTE(TRIM(ROUND(IFERROR(CriteriTecnici!$N20*1,IFERROR(NUMBERVALUE(CriteriTecnici!$N20,".",","),IFERROR(NUMBERVALUE(CriteriTecnici!$N20,",","."),0))),4)&amp;""),",",".")&amp;", "&amp;CHAR(34)&amp;"numerator"&amp;CHAR(34)&amp;": "&amp;SUBSTITUTE(TRIM(ROUND(IFERROR(CriteriTecnici!$K20*1,IFERROR(NUMBERVALUE(CriteriTecnici!$K20,".",","),IFERROR(NUMBERVALUE(CriteriTecnici!$K20,",","."),0))),4)&amp;""),",",".")&amp;", "&amp;CHAR(34)&amp;"denominator"&amp;CHAR(34)&amp;": "&amp;SUBSTITUTE(TRIM(ROUND(IFERROR(CriteriTecnici!$L20*1,IFERROR(NUMBERVALUE(CriteriTecnici!$L20,".",","),IFERROR(NUMBERVALUE(CriteriTecnici!$L20,",","."),0))),4)&amp;""),",",".")&amp;", "&amp;CHAR(34)&amp;"flag"&amp;CHAR(34)&amp;": "&amp;SUBSTITUTE(TRIM(ROUND(IFERROR(CriteriTecnici!$M20*1,IFERROR(NUMBERVALUE(CriteriTecnici!$M20,".",","),IFERROR(NUMBERVALUE(CriteriTecnici!$M20,",","."),0))),4)&amp;""),",",".")&amp;", "&amp;CHAR(34)&amp;"rawScore"&amp;CHAR(34)&amp;": "&amp;SUBSTITUTE(TRIM(ROUND(IFERROR(CriteriTecnici!$O20*1,IFERROR(NUMBERVALUE(CriteriTecnici!$O20,".",","),IFERROR(NUMBERVALUE(CriteriTecnici!$O20,",","."),0))),4)&amp;""),",",".")&amp;CHAR(125)&amp;IF(TRUE,",",""))</f>
        <v/>
      </c>
    </row>
    <row r="122">
      <c r="A122" s="82">
        <f>IF(CriteriTecnici!$A21="","","    "&amp;CHAR(123)&amp;CHAR(34)&amp;"bidderId"&amp;CHAR(34)&amp;": "&amp;CHAR(34)&amp;SUBSTITUTE(CriteriTecnici!$A21,CHAR(34),"'")&amp;CHAR(34)&amp;", "&amp;CHAR(34)&amp;"lotId"&amp;CHAR(34)&amp;": "&amp;CHAR(34)&amp;SUBSTITUTE(CriteriTecnici!$C21,CHAR(34),"'")&amp;CHAR(34)&amp;", "&amp;CHAR(34)&amp;"criterionId"&amp;CHAR(34)&amp;": "&amp;CHAR(34)&amp;SUBSTITUTE(CriteriTecnici!$D21,CHAR(34),"'")&amp;CHAR(34)&amp;", "&amp;CHAR(34)&amp;"kind"&amp;CHAR(34)&amp;": "&amp;CHAR(34)&amp;SUBSTITUTE(CriteriTecnici!$F21,CHAR(34),"'")&amp;CHAR(34)&amp;", "&amp;CHAR(34)&amp;"value"&amp;CHAR(34)&amp;": "&amp;SUBSTITUTE(TRIM(ROUND(IFERROR(CriteriTecnici!$N21*1,IFERROR(NUMBERVALUE(CriteriTecnici!$N21,".",","),IFERROR(NUMBERVALUE(CriteriTecnici!$N21,",","."),0))),4)&amp;""),",",".")&amp;", "&amp;CHAR(34)&amp;"numerator"&amp;CHAR(34)&amp;": "&amp;SUBSTITUTE(TRIM(ROUND(IFERROR(CriteriTecnici!$K21*1,IFERROR(NUMBERVALUE(CriteriTecnici!$K21,".",","),IFERROR(NUMBERVALUE(CriteriTecnici!$K21,",","."),0))),4)&amp;""),",",".")&amp;", "&amp;CHAR(34)&amp;"denominator"&amp;CHAR(34)&amp;": "&amp;SUBSTITUTE(TRIM(ROUND(IFERROR(CriteriTecnici!$L21*1,IFERROR(NUMBERVALUE(CriteriTecnici!$L21,".",","),IFERROR(NUMBERVALUE(CriteriTecnici!$L21,",","."),0))),4)&amp;""),",",".")&amp;", "&amp;CHAR(34)&amp;"flag"&amp;CHAR(34)&amp;": "&amp;SUBSTITUTE(TRIM(ROUND(IFERROR(CriteriTecnici!$M21*1,IFERROR(NUMBERVALUE(CriteriTecnici!$M21,".",","),IFERROR(NUMBERVALUE(CriteriTecnici!$M21,",","."),0))),4)&amp;""),",",".")&amp;", "&amp;CHAR(34)&amp;"rawScore"&amp;CHAR(34)&amp;": "&amp;SUBSTITUTE(TRIM(ROUND(IFERROR(CriteriTecnici!$O21*1,IFERROR(NUMBERVALUE(CriteriTecnici!$O21,".",","),IFERROR(NUMBERVALUE(CriteriTecnici!$O21,",","."),0))),4)&amp;""),",",".")&amp;CHAR(125)&amp;IF(TRUE,",",""))</f>
        <v/>
      </c>
    </row>
    <row r="123">
      <c r="A123" s="82">
        <f>IF(CriteriTecnici!$A22="","","    "&amp;CHAR(123)&amp;CHAR(34)&amp;"bidderId"&amp;CHAR(34)&amp;": "&amp;CHAR(34)&amp;SUBSTITUTE(CriteriTecnici!$A22,CHAR(34),"'")&amp;CHAR(34)&amp;", "&amp;CHAR(34)&amp;"lotId"&amp;CHAR(34)&amp;": "&amp;CHAR(34)&amp;SUBSTITUTE(CriteriTecnici!$C22,CHAR(34),"'")&amp;CHAR(34)&amp;", "&amp;CHAR(34)&amp;"criterionId"&amp;CHAR(34)&amp;": "&amp;CHAR(34)&amp;SUBSTITUTE(CriteriTecnici!$D22,CHAR(34),"'")&amp;CHAR(34)&amp;", "&amp;CHAR(34)&amp;"kind"&amp;CHAR(34)&amp;": "&amp;CHAR(34)&amp;SUBSTITUTE(CriteriTecnici!$F22,CHAR(34),"'")&amp;CHAR(34)&amp;", "&amp;CHAR(34)&amp;"value"&amp;CHAR(34)&amp;": "&amp;SUBSTITUTE(TRIM(ROUND(IFERROR(CriteriTecnici!$N22*1,IFERROR(NUMBERVALUE(CriteriTecnici!$N22,".",","),IFERROR(NUMBERVALUE(CriteriTecnici!$N22,",","."),0))),4)&amp;""),",",".")&amp;", "&amp;CHAR(34)&amp;"numerator"&amp;CHAR(34)&amp;": "&amp;SUBSTITUTE(TRIM(ROUND(IFERROR(CriteriTecnici!$K22*1,IFERROR(NUMBERVALUE(CriteriTecnici!$K22,".",","),IFERROR(NUMBERVALUE(CriteriTecnici!$K22,",","."),0))),4)&amp;""),",",".")&amp;", "&amp;CHAR(34)&amp;"denominator"&amp;CHAR(34)&amp;": "&amp;SUBSTITUTE(TRIM(ROUND(IFERROR(CriteriTecnici!$L22*1,IFERROR(NUMBERVALUE(CriteriTecnici!$L22,".",","),IFERROR(NUMBERVALUE(CriteriTecnici!$L22,",","."),0))),4)&amp;""),",",".")&amp;", "&amp;CHAR(34)&amp;"flag"&amp;CHAR(34)&amp;": "&amp;SUBSTITUTE(TRIM(ROUND(IFERROR(CriteriTecnici!$M22*1,IFERROR(NUMBERVALUE(CriteriTecnici!$M22,".",","),IFERROR(NUMBERVALUE(CriteriTecnici!$M22,",","."),0))),4)&amp;""),",",".")&amp;", "&amp;CHAR(34)&amp;"rawScore"&amp;CHAR(34)&amp;": "&amp;SUBSTITUTE(TRIM(ROUND(IFERROR(CriteriTecnici!$O22*1,IFERROR(NUMBERVALUE(CriteriTecnici!$O22,".",","),IFERROR(NUMBERVALUE(CriteriTecnici!$O22,",","."),0))),4)&amp;""),",",".")&amp;CHAR(125)&amp;IF(TRUE,",",""))</f>
        <v/>
      </c>
    </row>
    <row r="124">
      <c r="A124" s="82">
        <f>IF(CriteriTecnici!$A23="","","    "&amp;CHAR(123)&amp;CHAR(34)&amp;"bidderId"&amp;CHAR(34)&amp;": "&amp;CHAR(34)&amp;SUBSTITUTE(CriteriTecnici!$A23,CHAR(34),"'")&amp;CHAR(34)&amp;", "&amp;CHAR(34)&amp;"lotId"&amp;CHAR(34)&amp;": "&amp;CHAR(34)&amp;SUBSTITUTE(CriteriTecnici!$C23,CHAR(34),"'")&amp;CHAR(34)&amp;", "&amp;CHAR(34)&amp;"criterionId"&amp;CHAR(34)&amp;": "&amp;CHAR(34)&amp;SUBSTITUTE(CriteriTecnici!$D23,CHAR(34),"'")&amp;CHAR(34)&amp;", "&amp;CHAR(34)&amp;"kind"&amp;CHAR(34)&amp;": "&amp;CHAR(34)&amp;SUBSTITUTE(CriteriTecnici!$F23,CHAR(34),"'")&amp;CHAR(34)&amp;", "&amp;CHAR(34)&amp;"value"&amp;CHAR(34)&amp;": "&amp;SUBSTITUTE(TRIM(ROUND(IFERROR(CriteriTecnici!$N23*1,IFERROR(NUMBERVALUE(CriteriTecnici!$N23,".",","),IFERROR(NUMBERVALUE(CriteriTecnici!$N23,",","."),0))),4)&amp;""),",",".")&amp;", "&amp;CHAR(34)&amp;"numerator"&amp;CHAR(34)&amp;": "&amp;SUBSTITUTE(TRIM(ROUND(IFERROR(CriteriTecnici!$K23*1,IFERROR(NUMBERVALUE(CriteriTecnici!$K23,".",","),IFERROR(NUMBERVALUE(CriteriTecnici!$K23,",","."),0))),4)&amp;""),",",".")&amp;", "&amp;CHAR(34)&amp;"denominator"&amp;CHAR(34)&amp;": "&amp;SUBSTITUTE(TRIM(ROUND(IFERROR(CriteriTecnici!$L23*1,IFERROR(NUMBERVALUE(CriteriTecnici!$L23,".",","),IFERROR(NUMBERVALUE(CriteriTecnici!$L23,",","."),0))),4)&amp;""),",",".")&amp;", "&amp;CHAR(34)&amp;"flag"&amp;CHAR(34)&amp;": "&amp;SUBSTITUTE(TRIM(ROUND(IFERROR(CriteriTecnici!$M23*1,IFERROR(NUMBERVALUE(CriteriTecnici!$M23,".",","),IFERROR(NUMBERVALUE(CriteriTecnici!$M23,",","."),0))),4)&amp;""),",",".")&amp;", "&amp;CHAR(34)&amp;"rawScore"&amp;CHAR(34)&amp;": "&amp;SUBSTITUTE(TRIM(ROUND(IFERROR(CriteriTecnici!$O23*1,IFERROR(NUMBERVALUE(CriteriTecnici!$O23,".",","),IFERROR(NUMBERVALUE(CriteriTecnici!$O23,",","."),0))),4)&amp;""),",",".")&amp;CHAR(125)&amp;IF(TRUE,",",""))</f>
        <v/>
      </c>
    </row>
    <row r="125">
      <c r="A125" s="82">
        <f>IF(CriteriTecnici!$A24="","","    "&amp;CHAR(123)&amp;CHAR(34)&amp;"bidderId"&amp;CHAR(34)&amp;": "&amp;CHAR(34)&amp;SUBSTITUTE(CriteriTecnici!$A24,CHAR(34),"'")&amp;CHAR(34)&amp;", "&amp;CHAR(34)&amp;"lotId"&amp;CHAR(34)&amp;": "&amp;CHAR(34)&amp;SUBSTITUTE(CriteriTecnici!$C24,CHAR(34),"'")&amp;CHAR(34)&amp;", "&amp;CHAR(34)&amp;"criterionId"&amp;CHAR(34)&amp;": "&amp;CHAR(34)&amp;SUBSTITUTE(CriteriTecnici!$D24,CHAR(34),"'")&amp;CHAR(34)&amp;", "&amp;CHAR(34)&amp;"kind"&amp;CHAR(34)&amp;": "&amp;CHAR(34)&amp;SUBSTITUTE(CriteriTecnici!$F24,CHAR(34),"'")&amp;CHAR(34)&amp;", "&amp;CHAR(34)&amp;"value"&amp;CHAR(34)&amp;": "&amp;SUBSTITUTE(TRIM(ROUND(IFERROR(CriteriTecnici!$N24*1,IFERROR(NUMBERVALUE(CriteriTecnici!$N24,".",","),IFERROR(NUMBERVALUE(CriteriTecnici!$N24,",","."),0))),4)&amp;""),",",".")&amp;", "&amp;CHAR(34)&amp;"numerator"&amp;CHAR(34)&amp;": "&amp;SUBSTITUTE(TRIM(ROUND(IFERROR(CriteriTecnici!$K24*1,IFERROR(NUMBERVALUE(CriteriTecnici!$K24,".",","),IFERROR(NUMBERVALUE(CriteriTecnici!$K24,",","."),0))),4)&amp;""),",",".")&amp;", "&amp;CHAR(34)&amp;"denominator"&amp;CHAR(34)&amp;": "&amp;SUBSTITUTE(TRIM(ROUND(IFERROR(CriteriTecnici!$L24*1,IFERROR(NUMBERVALUE(CriteriTecnici!$L24,".",","),IFERROR(NUMBERVALUE(CriteriTecnici!$L24,",","."),0))),4)&amp;""),",",".")&amp;", "&amp;CHAR(34)&amp;"flag"&amp;CHAR(34)&amp;": "&amp;SUBSTITUTE(TRIM(ROUND(IFERROR(CriteriTecnici!$M24*1,IFERROR(NUMBERVALUE(CriteriTecnici!$M24,".",","),IFERROR(NUMBERVALUE(CriteriTecnici!$M24,",","."),0))),4)&amp;""),",",".")&amp;", "&amp;CHAR(34)&amp;"rawScore"&amp;CHAR(34)&amp;": "&amp;SUBSTITUTE(TRIM(ROUND(IFERROR(CriteriTecnici!$O24*1,IFERROR(NUMBERVALUE(CriteriTecnici!$O24,".",","),IFERROR(NUMBERVALUE(CriteriTecnici!$O24,",","."),0))),4)&amp;""),",",".")&amp;CHAR(125)&amp;IF(TRUE,",",""))</f>
        <v/>
      </c>
    </row>
    <row r="126">
      <c r="A126" s="82">
        <f>IF(CriteriTecnici!$A25="","","    "&amp;CHAR(123)&amp;CHAR(34)&amp;"bidderId"&amp;CHAR(34)&amp;": "&amp;CHAR(34)&amp;SUBSTITUTE(CriteriTecnici!$A25,CHAR(34),"'")&amp;CHAR(34)&amp;", "&amp;CHAR(34)&amp;"lotId"&amp;CHAR(34)&amp;": "&amp;CHAR(34)&amp;SUBSTITUTE(CriteriTecnici!$C25,CHAR(34),"'")&amp;CHAR(34)&amp;", "&amp;CHAR(34)&amp;"criterionId"&amp;CHAR(34)&amp;": "&amp;CHAR(34)&amp;SUBSTITUTE(CriteriTecnici!$D25,CHAR(34),"'")&amp;CHAR(34)&amp;", "&amp;CHAR(34)&amp;"kind"&amp;CHAR(34)&amp;": "&amp;CHAR(34)&amp;SUBSTITUTE(CriteriTecnici!$F25,CHAR(34),"'")&amp;CHAR(34)&amp;", "&amp;CHAR(34)&amp;"value"&amp;CHAR(34)&amp;": "&amp;SUBSTITUTE(TRIM(ROUND(IFERROR(CriteriTecnici!$N25*1,IFERROR(NUMBERVALUE(CriteriTecnici!$N25,".",","),IFERROR(NUMBERVALUE(CriteriTecnici!$N25,",","."),0))),4)&amp;""),",",".")&amp;", "&amp;CHAR(34)&amp;"numerator"&amp;CHAR(34)&amp;": "&amp;SUBSTITUTE(TRIM(ROUND(IFERROR(CriteriTecnici!$K25*1,IFERROR(NUMBERVALUE(CriteriTecnici!$K25,".",","),IFERROR(NUMBERVALUE(CriteriTecnici!$K25,",","."),0))),4)&amp;""),",",".")&amp;", "&amp;CHAR(34)&amp;"denominator"&amp;CHAR(34)&amp;": "&amp;SUBSTITUTE(TRIM(ROUND(IFERROR(CriteriTecnici!$L25*1,IFERROR(NUMBERVALUE(CriteriTecnici!$L25,".",","),IFERROR(NUMBERVALUE(CriteriTecnici!$L25,",","."),0))),4)&amp;""),",",".")&amp;", "&amp;CHAR(34)&amp;"flag"&amp;CHAR(34)&amp;": "&amp;SUBSTITUTE(TRIM(ROUND(IFERROR(CriteriTecnici!$M25*1,IFERROR(NUMBERVALUE(CriteriTecnici!$M25,".",","),IFERROR(NUMBERVALUE(CriteriTecnici!$M25,",","."),0))),4)&amp;""),",",".")&amp;", "&amp;CHAR(34)&amp;"rawScore"&amp;CHAR(34)&amp;": "&amp;SUBSTITUTE(TRIM(ROUND(IFERROR(CriteriTecnici!$O25*1,IFERROR(NUMBERVALUE(CriteriTecnici!$O25,".",","),IFERROR(NUMBERVALUE(CriteriTecnici!$O25,",","."),0))),4)&amp;""),",",".")&amp;CHAR(125)&amp;IF(TRUE,",",""))</f>
        <v/>
      </c>
    </row>
    <row r="127">
      <c r="A127" s="82">
        <f>IF(CriteriTecnici!$A26="","","    "&amp;CHAR(123)&amp;CHAR(34)&amp;"bidderId"&amp;CHAR(34)&amp;": "&amp;CHAR(34)&amp;SUBSTITUTE(CriteriTecnici!$A26,CHAR(34),"'")&amp;CHAR(34)&amp;", "&amp;CHAR(34)&amp;"lotId"&amp;CHAR(34)&amp;": "&amp;CHAR(34)&amp;SUBSTITUTE(CriteriTecnici!$C26,CHAR(34),"'")&amp;CHAR(34)&amp;", "&amp;CHAR(34)&amp;"criterionId"&amp;CHAR(34)&amp;": "&amp;CHAR(34)&amp;SUBSTITUTE(CriteriTecnici!$D26,CHAR(34),"'")&amp;CHAR(34)&amp;", "&amp;CHAR(34)&amp;"kind"&amp;CHAR(34)&amp;": "&amp;CHAR(34)&amp;SUBSTITUTE(CriteriTecnici!$F26,CHAR(34),"'")&amp;CHAR(34)&amp;", "&amp;CHAR(34)&amp;"value"&amp;CHAR(34)&amp;": "&amp;SUBSTITUTE(TRIM(ROUND(IFERROR(CriteriTecnici!$N26*1,IFERROR(NUMBERVALUE(CriteriTecnici!$N26,".",","),IFERROR(NUMBERVALUE(CriteriTecnici!$N26,",","."),0))),4)&amp;""),",",".")&amp;", "&amp;CHAR(34)&amp;"numerator"&amp;CHAR(34)&amp;": "&amp;SUBSTITUTE(TRIM(ROUND(IFERROR(CriteriTecnici!$K26*1,IFERROR(NUMBERVALUE(CriteriTecnici!$K26,".",","),IFERROR(NUMBERVALUE(CriteriTecnici!$K26,",","."),0))),4)&amp;""),",",".")&amp;", "&amp;CHAR(34)&amp;"denominator"&amp;CHAR(34)&amp;": "&amp;SUBSTITUTE(TRIM(ROUND(IFERROR(CriteriTecnici!$L26*1,IFERROR(NUMBERVALUE(CriteriTecnici!$L26,".",","),IFERROR(NUMBERVALUE(CriteriTecnici!$L26,",","."),0))),4)&amp;""),",",".")&amp;", "&amp;CHAR(34)&amp;"flag"&amp;CHAR(34)&amp;": "&amp;SUBSTITUTE(TRIM(ROUND(IFERROR(CriteriTecnici!$M26*1,IFERROR(NUMBERVALUE(CriteriTecnici!$M26,".",","),IFERROR(NUMBERVALUE(CriteriTecnici!$M26,",","."),0))),4)&amp;""),",",".")&amp;", "&amp;CHAR(34)&amp;"rawScore"&amp;CHAR(34)&amp;": "&amp;SUBSTITUTE(TRIM(ROUND(IFERROR(CriteriTecnici!$O26*1,IFERROR(NUMBERVALUE(CriteriTecnici!$O26,".",","),IFERROR(NUMBERVALUE(CriteriTecnici!$O26,",","."),0))),4)&amp;""),",",".")&amp;CHAR(125)&amp;IF(TRUE,",",""))</f>
        <v/>
      </c>
    </row>
    <row r="128">
      <c r="A128" s="82">
        <f>IF(CriteriTecnici!$A27="","","    "&amp;CHAR(123)&amp;CHAR(34)&amp;"bidderId"&amp;CHAR(34)&amp;": "&amp;CHAR(34)&amp;SUBSTITUTE(CriteriTecnici!$A27,CHAR(34),"'")&amp;CHAR(34)&amp;", "&amp;CHAR(34)&amp;"lotId"&amp;CHAR(34)&amp;": "&amp;CHAR(34)&amp;SUBSTITUTE(CriteriTecnici!$C27,CHAR(34),"'")&amp;CHAR(34)&amp;", "&amp;CHAR(34)&amp;"criterionId"&amp;CHAR(34)&amp;": "&amp;CHAR(34)&amp;SUBSTITUTE(CriteriTecnici!$D27,CHAR(34),"'")&amp;CHAR(34)&amp;", "&amp;CHAR(34)&amp;"kind"&amp;CHAR(34)&amp;": "&amp;CHAR(34)&amp;SUBSTITUTE(CriteriTecnici!$F27,CHAR(34),"'")&amp;CHAR(34)&amp;", "&amp;CHAR(34)&amp;"value"&amp;CHAR(34)&amp;": "&amp;SUBSTITUTE(TRIM(ROUND(IFERROR(CriteriTecnici!$N27*1,IFERROR(NUMBERVALUE(CriteriTecnici!$N27,".",","),IFERROR(NUMBERVALUE(CriteriTecnici!$N27,",","."),0))),4)&amp;""),",",".")&amp;", "&amp;CHAR(34)&amp;"numerator"&amp;CHAR(34)&amp;": "&amp;SUBSTITUTE(TRIM(ROUND(IFERROR(CriteriTecnici!$K27*1,IFERROR(NUMBERVALUE(CriteriTecnici!$K27,".",","),IFERROR(NUMBERVALUE(CriteriTecnici!$K27,",","."),0))),4)&amp;""),",",".")&amp;", "&amp;CHAR(34)&amp;"denominator"&amp;CHAR(34)&amp;": "&amp;SUBSTITUTE(TRIM(ROUND(IFERROR(CriteriTecnici!$L27*1,IFERROR(NUMBERVALUE(CriteriTecnici!$L27,".",","),IFERROR(NUMBERVALUE(CriteriTecnici!$L27,",","."),0))),4)&amp;""),",",".")&amp;", "&amp;CHAR(34)&amp;"flag"&amp;CHAR(34)&amp;": "&amp;SUBSTITUTE(TRIM(ROUND(IFERROR(CriteriTecnici!$M27*1,IFERROR(NUMBERVALUE(CriteriTecnici!$M27,".",","),IFERROR(NUMBERVALUE(CriteriTecnici!$M27,",","."),0))),4)&amp;""),",",".")&amp;", "&amp;CHAR(34)&amp;"rawScore"&amp;CHAR(34)&amp;": "&amp;SUBSTITUTE(TRIM(ROUND(IFERROR(CriteriTecnici!$O27*1,IFERROR(NUMBERVALUE(CriteriTecnici!$O27,".",","),IFERROR(NUMBERVALUE(CriteriTecnici!$O27,",","."),0))),4)&amp;""),",",".")&amp;CHAR(125)&amp;IF(TRUE,",",""))</f>
        <v/>
      </c>
    </row>
    <row r="129">
      <c r="A129" s="82">
        <f>IF(CriteriTecnici!$A28="","","    "&amp;CHAR(123)&amp;CHAR(34)&amp;"bidderId"&amp;CHAR(34)&amp;": "&amp;CHAR(34)&amp;SUBSTITUTE(CriteriTecnici!$A28,CHAR(34),"'")&amp;CHAR(34)&amp;", "&amp;CHAR(34)&amp;"lotId"&amp;CHAR(34)&amp;": "&amp;CHAR(34)&amp;SUBSTITUTE(CriteriTecnici!$C28,CHAR(34),"'")&amp;CHAR(34)&amp;", "&amp;CHAR(34)&amp;"criterionId"&amp;CHAR(34)&amp;": "&amp;CHAR(34)&amp;SUBSTITUTE(CriteriTecnici!$D28,CHAR(34),"'")&amp;CHAR(34)&amp;", "&amp;CHAR(34)&amp;"kind"&amp;CHAR(34)&amp;": "&amp;CHAR(34)&amp;SUBSTITUTE(CriteriTecnici!$F28,CHAR(34),"'")&amp;CHAR(34)&amp;", "&amp;CHAR(34)&amp;"value"&amp;CHAR(34)&amp;": "&amp;SUBSTITUTE(TRIM(ROUND(IFERROR(CriteriTecnici!$N28*1,IFERROR(NUMBERVALUE(CriteriTecnici!$N28,".",","),IFERROR(NUMBERVALUE(CriteriTecnici!$N28,",","."),0))),4)&amp;""),",",".")&amp;", "&amp;CHAR(34)&amp;"numerator"&amp;CHAR(34)&amp;": "&amp;SUBSTITUTE(TRIM(ROUND(IFERROR(CriteriTecnici!$K28*1,IFERROR(NUMBERVALUE(CriteriTecnici!$K28,".",","),IFERROR(NUMBERVALUE(CriteriTecnici!$K28,",","."),0))),4)&amp;""),",",".")&amp;", "&amp;CHAR(34)&amp;"denominator"&amp;CHAR(34)&amp;": "&amp;SUBSTITUTE(TRIM(ROUND(IFERROR(CriteriTecnici!$L28*1,IFERROR(NUMBERVALUE(CriteriTecnici!$L28,".",","),IFERROR(NUMBERVALUE(CriteriTecnici!$L28,",","."),0))),4)&amp;""),",",".")&amp;", "&amp;CHAR(34)&amp;"flag"&amp;CHAR(34)&amp;": "&amp;SUBSTITUTE(TRIM(ROUND(IFERROR(CriteriTecnici!$M28*1,IFERROR(NUMBERVALUE(CriteriTecnici!$M28,".",","),IFERROR(NUMBERVALUE(CriteriTecnici!$M28,",","."),0))),4)&amp;""),",",".")&amp;", "&amp;CHAR(34)&amp;"rawScore"&amp;CHAR(34)&amp;": "&amp;SUBSTITUTE(TRIM(ROUND(IFERROR(CriteriTecnici!$O28*1,IFERROR(NUMBERVALUE(CriteriTecnici!$O28,".",","),IFERROR(NUMBERVALUE(CriteriTecnici!$O28,",","."),0))),4)&amp;""),",",".")&amp;CHAR(125)&amp;IF(TRUE,",",""))</f>
        <v/>
      </c>
    </row>
    <row r="130">
      <c r="A130" s="82">
        <f>IF(CriteriTecnici!$A29="","","    "&amp;CHAR(123)&amp;CHAR(34)&amp;"bidderId"&amp;CHAR(34)&amp;": "&amp;CHAR(34)&amp;SUBSTITUTE(CriteriTecnici!$A29,CHAR(34),"'")&amp;CHAR(34)&amp;", "&amp;CHAR(34)&amp;"lotId"&amp;CHAR(34)&amp;": "&amp;CHAR(34)&amp;SUBSTITUTE(CriteriTecnici!$C29,CHAR(34),"'")&amp;CHAR(34)&amp;", "&amp;CHAR(34)&amp;"criterionId"&amp;CHAR(34)&amp;": "&amp;CHAR(34)&amp;SUBSTITUTE(CriteriTecnici!$D29,CHAR(34),"'")&amp;CHAR(34)&amp;", "&amp;CHAR(34)&amp;"kind"&amp;CHAR(34)&amp;": "&amp;CHAR(34)&amp;SUBSTITUTE(CriteriTecnici!$F29,CHAR(34),"'")&amp;CHAR(34)&amp;", "&amp;CHAR(34)&amp;"value"&amp;CHAR(34)&amp;": "&amp;SUBSTITUTE(TRIM(ROUND(IFERROR(CriteriTecnici!$N29*1,IFERROR(NUMBERVALUE(CriteriTecnici!$N29,".",","),IFERROR(NUMBERVALUE(CriteriTecnici!$N29,",","."),0))),4)&amp;""),",",".")&amp;", "&amp;CHAR(34)&amp;"numerator"&amp;CHAR(34)&amp;": "&amp;SUBSTITUTE(TRIM(ROUND(IFERROR(CriteriTecnici!$K29*1,IFERROR(NUMBERVALUE(CriteriTecnici!$K29,".",","),IFERROR(NUMBERVALUE(CriteriTecnici!$K29,",","."),0))),4)&amp;""),",",".")&amp;", "&amp;CHAR(34)&amp;"denominator"&amp;CHAR(34)&amp;": "&amp;SUBSTITUTE(TRIM(ROUND(IFERROR(CriteriTecnici!$L29*1,IFERROR(NUMBERVALUE(CriteriTecnici!$L29,".",","),IFERROR(NUMBERVALUE(CriteriTecnici!$L29,",","."),0))),4)&amp;""),",",".")&amp;", "&amp;CHAR(34)&amp;"flag"&amp;CHAR(34)&amp;": "&amp;SUBSTITUTE(TRIM(ROUND(IFERROR(CriteriTecnici!$M29*1,IFERROR(NUMBERVALUE(CriteriTecnici!$M29,".",","),IFERROR(NUMBERVALUE(CriteriTecnici!$M29,",","."),0))),4)&amp;""),",",".")&amp;", "&amp;CHAR(34)&amp;"rawScore"&amp;CHAR(34)&amp;": "&amp;SUBSTITUTE(TRIM(ROUND(IFERROR(CriteriTecnici!$O29*1,IFERROR(NUMBERVALUE(CriteriTecnici!$O29,".",","),IFERROR(NUMBERVALUE(CriteriTecnici!$O29,",","."),0))),4)&amp;""),",",".")&amp;CHAR(125)&amp;IF(TRUE,",",""))</f>
        <v/>
      </c>
    </row>
    <row r="131">
      <c r="A131" s="82">
        <f>IF(CriteriTecnici!$A30="","","    "&amp;CHAR(123)&amp;CHAR(34)&amp;"bidderId"&amp;CHAR(34)&amp;": "&amp;CHAR(34)&amp;SUBSTITUTE(CriteriTecnici!$A30,CHAR(34),"'")&amp;CHAR(34)&amp;", "&amp;CHAR(34)&amp;"lotId"&amp;CHAR(34)&amp;": "&amp;CHAR(34)&amp;SUBSTITUTE(CriteriTecnici!$C30,CHAR(34),"'")&amp;CHAR(34)&amp;", "&amp;CHAR(34)&amp;"criterionId"&amp;CHAR(34)&amp;": "&amp;CHAR(34)&amp;SUBSTITUTE(CriteriTecnici!$D30,CHAR(34),"'")&amp;CHAR(34)&amp;", "&amp;CHAR(34)&amp;"kind"&amp;CHAR(34)&amp;": "&amp;CHAR(34)&amp;SUBSTITUTE(CriteriTecnici!$F30,CHAR(34),"'")&amp;CHAR(34)&amp;", "&amp;CHAR(34)&amp;"value"&amp;CHAR(34)&amp;": "&amp;SUBSTITUTE(TRIM(ROUND(IFERROR(CriteriTecnici!$N30*1,IFERROR(NUMBERVALUE(CriteriTecnici!$N30,".",","),IFERROR(NUMBERVALUE(CriteriTecnici!$N30,",","."),0))),4)&amp;""),",",".")&amp;", "&amp;CHAR(34)&amp;"numerator"&amp;CHAR(34)&amp;": "&amp;SUBSTITUTE(TRIM(ROUND(IFERROR(CriteriTecnici!$K30*1,IFERROR(NUMBERVALUE(CriteriTecnici!$K30,".",","),IFERROR(NUMBERVALUE(CriteriTecnici!$K30,",","."),0))),4)&amp;""),",",".")&amp;", "&amp;CHAR(34)&amp;"denominator"&amp;CHAR(34)&amp;": "&amp;SUBSTITUTE(TRIM(ROUND(IFERROR(CriteriTecnici!$L30*1,IFERROR(NUMBERVALUE(CriteriTecnici!$L30,".",","),IFERROR(NUMBERVALUE(CriteriTecnici!$L30,",","."),0))),4)&amp;""),",",".")&amp;", "&amp;CHAR(34)&amp;"flag"&amp;CHAR(34)&amp;": "&amp;SUBSTITUTE(TRIM(ROUND(IFERROR(CriteriTecnici!$M30*1,IFERROR(NUMBERVALUE(CriteriTecnici!$M30,".",","),IFERROR(NUMBERVALUE(CriteriTecnici!$M30,",","."),0))),4)&amp;""),",",".")&amp;", "&amp;CHAR(34)&amp;"rawScore"&amp;CHAR(34)&amp;": "&amp;SUBSTITUTE(TRIM(ROUND(IFERROR(CriteriTecnici!$O30*1,IFERROR(NUMBERVALUE(CriteriTecnici!$O30,".",","),IFERROR(NUMBERVALUE(CriteriTecnici!$O30,",","."),0))),4)&amp;""),",",".")&amp;CHAR(125)&amp;IF(TRUE,",",""))</f>
        <v/>
      </c>
    </row>
    <row r="132">
      <c r="A132" s="82">
        <f>IF(CriteriTecnici!$A31="","","    "&amp;CHAR(123)&amp;CHAR(34)&amp;"bidderId"&amp;CHAR(34)&amp;": "&amp;CHAR(34)&amp;SUBSTITUTE(CriteriTecnici!$A31,CHAR(34),"'")&amp;CHAR(34)&amp;", "&amp;CHAR(34)&amp;"lotId"&amp;CHAR(34)&amp;": "&amp;CHAR(34)&amp;SUBSTITUTE(CriteriTecnici!$C31,CHAR(34),"'")&amp;CHAR(34)&amp;", "&amp;CHAR(34)&amp;"criterionId"&amp;CHAR(34)&amp;": "&amp;CHAR(34)&amp;SUBSTITUTE(CriteriTecnici!$D31,CHAR(34),"'")&amp;CHAR(34)&amp;", "&amp;CHAR(34)&amp;"kind"&amp;CHAR(34)&amp;": "&amp;CHAR(34)&amp;SUBSTITUTE(CriteriTecnici!$F31,CHAR(34),"'")&amp;CHAR(34)&amp;", "&amp;CHAR(34)&amp;"value"&amp;CHAR(34)&amp;": "&amp;SUBSTITUTE(TRIM(ROUND(IFERROR(CriteriTecnici!$N31*1,IFERROR(NUMBERVALUE(CriteriTecnici!$N31,".",","),IFERROR(NUMBERVALUE(CriteriTecnici!$N31,",","."),0))),4)&amp;""),",",".")&amp;", "&amp;CHAR(34)&amp;"numerator"&amp;CHAR(34)&amp;": "&amp;SUBSTITUTE(TRIM(ROUND(IFERROR(CriteriTecnici!$K31*1,IFERROR(NUMBERVALUE(CriteriTecnici!$K31,".",","),IFERROR(NUMBERVALUE(CriteriTecnici!$K31,",","."),0))),4)&amp;""),",",".")&amp;", "&amp;CHAR(34)&amp;"denominator"&amp;CHAR(34)&amp;": "&amp;SUBSTITUTE(TRIM(ROUND(IFERROR(CriteriTecnici!$L31*1,IFERROR(NUMBERVALUE(CriteriTecnici!$L31,".",","),IFERROR(NUMBERVALUE(CriteriTecnici!$L31,",","."),0))),4)&amp;""),",",".")&amp;", "&amp;CHAR(34)&amp;"flag"&amp;CHAR(34)&amp;": "&amp;SUBSTITUTE(TRIM(ROUND(IFERROR(CriteriTecnici!$M31*1,IFERROR(NUMBERVALUE(CriteriTecnici!$M31,".",","),IFERROR(NUMBERVALUE(CriteriTecnici!$M31,",","."),0))),4)&amp;""),",",".")&amp;", "&amp;CHAR(34)&amp;"rawScore"&amp;CHAR(34)&amp;": "&amp;SUBSTITUTE(TRIM(ROUND(IFERROR(CriteriTecnici!$O31*1,IFERROR(NUMBERVALUE(CriteriTecnici!$O31,".",","),IFERROR(NUMBERVALUE(CriteriTecnici!$O31,",","."),0))),4)&amp;""),",",".")&amp;CHAR(125)&amp;IF(TRUE,",",""))</f>
        <v/>
      </c>
    </row>
    <row r="133">
      <c r="A133" s="82">
        <f>IF(CriteriTecnici!$A32="","","    "&amp;CHAR(123)&amp;CHAR(34)&amp;"bidderId"&amp;CHAR(34)&amp;": "&amp;CHAR(34)&amp;SUBSTITUTE(CriteriTecnici!$A32,CHAR(34),"'")&amp;CHAR(34)&amp;", "&amp;CHAR(34)&amp;"lotId"&amp;CHAR(34)&amp;": "&amp;CHAR(34)&amp;SUBSTITUTE(CriteriTecnici!$C32,CHAR(34),"'")&amp;CHAR(34)&amp;", "&amp;CHAR(34)&amp;"criterionId"&amp;CHAR(34)&amp;": "&amp;CHAR(34)&amp;SUBSTITUTE(CriteriTecnici!$D32,CHAR(34),"'")&amp;CHAR(34)&amp;", "&amp;CHAR(34)&amp;"kind"&amp;CHAR(34)&amp;": "&amp;CHAR(34)&amp;SUBSTITUTE(CriteriTecnici!$F32,CHAR(34),"'")&amp;CHAR(34)&amp;", "&amp;CHAR(34)&amp;"value"&amp;CHAR(34)&amp;": "&amp;SUBSTITUTE(TRIM(ROUND(IFERROR(CriteriTecnici!$N32*1,IFERROR(NUMBERVALUE(CriteriTecnici!$N32,".",","),IFERROR(NUMBERVALUE(CriteriTecnici!$N32,",","."),0))),4)&amp;""),",",".")&amp;", "&amp;CHAR(34)&amp;"numerator"&amp;CHAR(34)&amp;": "&amp;SUBSTITUTE(TRIM(ROUND(IFERROR(CriteriTecnici!$K32*1,IFERROR(NUMBERVALUE(CriteriTecnici!$K32,".",","),IFERROR(NUMBERVALUE(CriteriTecnici!$K32,",","."),0))),4)&amp;""),",",".")&amp;", "&amp;CHAR(34)&amp;"denominator"&amp;CHAR(34)&amp;": "&amp;SUBSTITUTE(TRIM(ROUND(IFERROR(CriteriTecnici!$L32*1,IFERROR(NUMBERVALUE(CriteriTecnici!$L32,".",","),IFERROR(NUMBERVALUE(CriteriTecnici!$L32,",","."),0))),4)&amp;""),",",".")&amp;", "&amp;CHAR(34)&amp;"flag"&amp;CHAR(34)&amp;": "&amp;SUBSTITUTE(TRIM(ROUND(IFERROR(CriteriTecnici!$M32*1,IFERROR(NUMBERVALUE(CriteriTecnici!$M32,".",","),IFERROR(NUMBERVALUE(CriteriTecnici!$M32,",","."),0))),4)&amp;""),",",".")&amp;", "&amp;CHAR(34)&amp;"rawScore"&amp;CHAR(34)&amp;": "&amp;SUBSTITUTE(TRIM(ROUND(IFERROR(CriteriTecnici!$O32*1,IFERROR(NUMBERVALUE(CriteriTecnici!$O32,".",","),IFERROR(NUMBERVALUE(CriteriTecnici!$O32,",","."),0))),4)&amp;""),",",".")&amp;CHAR(125)&amp;IF(TRUE,",",""))</f>
        <v/>
      </c>
    </row>
    <row r="134">
      <c r="A134" s="82">
        <f>IF(CriteriTecnici!$A33="","","    "&amp;CHAR(123)&amp;CHAR(34)&amp;"bidderId"&amp;CHAR(34)&amp;": "&amp;CHAR(34)&amp;SUBSTITUTE(CriteriTecnici!$A33,CHAR(34),"'")&amp;CHAR(34)&amp;", "&amp;CHAR(34)&amp;"lotId"&amp;CHAR(34)&amp;": "&amp;CHAR(34)&amp;SUBSTITUTE(CriteriTecnici!$C33,CHAR(34),"'")&amp;CHAR(34)&amp;", "&amp;CHAR(34)&amp;"criterionId"&amp;CHAR(34)&amp;": "&amp;CHAR(34)&amp;SUBSTITUTE(CriteriTecnici!$D33,CHAR(34),"'")&amp;CHAR(34)&amp;", "&amp;CHAR(34)&amp;"kind"&amp;CHAR(34)&amp;": "&amp;CHAR(34)&amp;SUBSTITUTE(CriteriTecnici!$F33,CHAR(34),"'")&amp;CHAR(34)&amp;", "&amp;CHAR(34)&amp;"value"&amp;CHAR(34)&amp;": "&amp;SUBSTITUTE(TRIM(ROUND(IFERROR(CriteriTecnici!$N33*1,IFERROR(NUMBERVALUE(CriteriTecnici!$N33,".",","),IFERROR(NUMBERVALUE(CriteriTecnici!$N33,",","."),0))),4)&amp;""),",",".")&amp;", "&amp;CHAR(34)&amp;"numerator"&amp;CHAR(34)&amp;": "&amp;SUBSTITUTE(TRIM(ROUND(IFERROR(CriteriTecnici!$K33*1,IFERROR(NUMBERVALUE(CriteriTecnici!$K33,".",","),IFERROR(NUMBERVALUE(CriteriTecnici!$K33,",","."),0))),4)&amp;""),",",".")&amp;", "&amp;CHAR(34)&amp;"denominator"&amp;CHAR(34)&amp;": "&amp;SUBSTITUTE(TRIM(ROUND(IFERROR(CriteriTecnici!$L33*1,IFERROR(NUMBERVALUE(CriteriTecnici!$L33,".",","),IFERROR(NUMBERVALUE(CriteriTecnici!$L33,",","."),0))),4)&amp;""),",",".")&amp;", "&amp;CHAR(34)&amp;"flag"&amp;CHAR(34)&amp;": "&amp;SUBSTITUTE(TRIM(ROUND(IFERROR(CriteriTecnici!$M33*1,IFERROR(NUMBERVALUE(CriteriTecnici!$M33,".",","),IFERROR(NUMBERVALUE(CriteriTecnici!$M33,",","."),0))),4)&amp;""),",",".")&amp;", "&amp;CHAR(34)&amp;"rawScore"&amp;CHAR(34)&amp;": "&amp;SUBSTITUTE(TRIM(ROUND(IFERROR(CriteriTecnici!$O33*1,IFERROR(NUMBERVALUE(CriteriTecnici!$O33,".",","),IFERROR(NUMBERVALUE(CriteriTecnici!$O33,",","."),0))),4)&amp;""),",",".")&amp;CHAR(125)&amp;IF(TRUE,",",""))</f>
        <v/>
      </c>
    </row>
    <row r="135">
      <c r="A135" s="82">
        <f>IF(CriteriTecnici!$A34="","","    "&amp;CHAR(123)&amp;CHAR(34)&amp;"bidderId"&amp;CHAR(34)&amp;": "&amp;CHAR(34)&amp;SUBSTITUTE(CriteriTecnici!$A34,CHAR(34),"'")&amp;CHAR(34)&amp;", "&amp;CHAR(34)&amp;"lotId"&amp;CHAR(34)&amp;": "&amp;CHAR(34)&amp;SUBSTITUTE(CriteriTecnici!$C34,CHAR(34),"'")&amp;CHAR(34)&amp;", "&amp;CHAR(34)&amp;"criterionId"&amp;CHAR(34)&amp;": "&amp;CHAR(34)&amp;SUBSTITUTE(CriteriTecnici!$D34,CHAR(34),"'")&amp;CHAR(34)&amp;", "&amp;CHAR(34)&amp;"kind"&amp;CHAR(34)&amp;": "&amp;CHAR(34)&amp;SUBSTITUTE(CriteriTecnici!$F34,CHAR(34),"'")&amp;CHAR(34)&amp;", "&amp;CHAR(34)&amp;"value"&amp;CHAR(34)&amp;": "&amp;SUBSTITUTE(TRIM(ROUND(IFERROR(CriteriTecnici!$N34*1,IFERROR(NUMBERVALUE(CriteriTecnici!$N34,".",","),IFERROR(NUMBERVALUE(CriteriTecnici!$N34,",","."),0))),4)&amp;""),",",".")&amp;", "&amp;CHAR(34)&amp;"numerator"&amp;CHAR(34)&amp;": "&amp;SUBSTITUTE(TRIM(ROUND(IFERROR(CriteriTecnici!$K34*1,IFERROR(NUMBERVALUE(CriteriTecnici!$K34,".",","),IFERROR(NUMBERVALUE(CriteriTecnici!$K34,",","."),0))),4)&amp;""),",",".")&amp;", "&amp;CHAR(34)&amp;"denominator"&amp;CHAR(34)&amp;": "&amp;SUBSTITUTE(TRIM(ROUND(IFERROR(CriteriTecnici!$L34*1,IFERROR(NUMBERVALUE(CriteriTecnici!$L34,".",","),IFERROR(NUMBERVALUE(CriteriTecnici!$L34,",","."),0))),4)&amp;""),",",".")&amp;", "&amp;CHAR(34)&amp;"flag"&amp;CHAR(34)&amp;": "&amp;SUBSTITUTE(TRIM(ROUND(IFERROR(CriteriTecnici!$M34*1,IFERROR(NUMBERVALUE(CriteriTecnici!$M34,".",","),IFERROR(NUMBERVALUE(CriteriTecnici!$M34,",","."),0))),4)&amp;""),",",".")&amp;", "&amp;CHAR(34)&amp;"rawScore"&amp;CHAR(34)&amp;": "&amp;SUBSTITUTE(TRIM(ROUND(IFERROR(CriteriTecnici!$O34*1,IFERROR(NUMBERVALUE(CriteriTecnici!$O34,".",","),IFERROR(NUMBERVALUE(CriteriTecnici!$O34,",","."),0))),4)&amp;""),",",".")&amp;CHAR(125)&amp;IF(TRUE,",",""))</f>
        <v/>
      </c>
    </row>
    <row r="136">
      <c r="A136" s="82">
        <f>IF(CriteriTecnici!$A35="","","    "&amp;CHAR(123)&amp;CHAR(34)&amp;"bidderId"&amp;CHAR(34)&amp;": "&amp;CHAR(34)&amp;SUBSTITUTE(CriteriTecnici!$A35,CHAR(34),"'")&amp;CHAR(34)&amp;", "&amp;CHAR(34)&amp;"lotId"&amp;CHAR(34)&amp;": "&amp;CHAR(34)&amp;SUBSTITUTE(CriteriTecnici!$C35,CHAR(34),"'")&amp;CHAR(34)&amp;", "&amp;CHAR(34)&amp;"criterionId"&amp;CHAR(34)&amp;": "&amp;CHAR(34)&amp;SUBSTITUTE(CriteriTecnici!$D35,CHAR(34),"'")&amp;CHAR(34)&amp;", "&amp;CHAR(34)&amp;"kind"&amp;CHAR(34)&amp;": "&amp;CHAR(34)&amp;SUBSTITUTE(CriteriTecnici!$F35,CHAR(34),"'")&amp;CHAR(34)&amp;", "&amp;CHAR(34)&amp;"value"&amp;CHAR(34)&amp;": "&amp;SUBSTITUTE(TRIM(ROUND(IFERROR(CriteriTecnici!$N35*1,IFERROR(NUMBERVALUE(CriteriTecnici!$N35,".",","),IFERROR(NUMBERVALUE(CriteriTecnici!$N35,",","."),0))),4)&amp;""),",",".")&amp;", "&amp;CHAR(34)&amp;"numerator"&amp;CHAR(34)&amp;": "&amp;SUBSTITUTE(TRIM(ROUND(IFERROR(CriteriTecnici!$K35*1,IFERROR(NUMBERVALUE(CriteriTecnici!$K35,".",","),IFERROR(NUMBERVALUE(CriteriTecnici!$K35,",","."),0))),4)&amp;""),",",".")&amp;", "&amp;CHAR(34)&amp;"denominator"&amp;CHAR(34)&amp;": "&amp;SUBSTITUTE(TRIM(ROUND(IFERROR(CriteriTecnici!$L35*1,IFERROR(NUMBERVALUE(CriteriTecnici!$L35,".",","),IFERROR(NUMBERVALUE(CriteriTecnici!$L35,",","."),0))),4)&amp;""),",",".")&amp;", "&amp;CHAR(34)&amp;"flag"&amp;CHAR(34)&amp;": "&amp;SUBSTITUTE(TRIM(ROUND(IFERROR(CriteriTecnici!$M35*1,IFERROR(NUMBERVALUE(CriteriTecnici!$M35,".",","),IFERROR(NUMBERVALUE(CriteriTecnici!$M35,",","."),0))),4)&amp;""),",",".")&amp;", "&amp;CHAR(34)&amp;"rawScore"&amp;CHAR(34)&amp;": "&amp;SUBSTITUTE(TRIM(ROUND(IFERROR(CriteriTecnici!$O35*1,IFERROR(NUMBERVALUE(CriteriTecnici!$O35,".",","),IFERROR(NUMBERVALUE(CriteriTecnici!$O35,",","."),0))),4)&amp;""),",",".")&amp;CHAR(125)&amp;IF(COUNTA(Offerte!$A3:$A$81)&gt;0,",",""))</f>
        <v/>
      </c>
    </row>
    <row r="137">
      <c r="A137" s="82">
        <f>IF(CriteriTecnici!$A36="","","    "&amp;CHAR(123)&amp;CHAR(34)&amp;"bidderId"&amp;CHAR(34)&amp;": "&amp;CHAR(34)&amp;SUBSTITUTE(CriteriTecnici!$A36,CHAR(34),"'")&amp;CHAR(34)&amp;", "&amp;CHAR(34)&amp;"lotId"&amp;CHAR(34)&amp;": "&amp;CHAR(34)&amp;SUBSTITUTE(CriteriTecnici!$C36,CHAR(34),"'")&amp;CHAR(34)&amp;", "&amp;CHAR(34)&amp;"criterionId"&amp;CHAR(34)&amp;": "&amp;CHAR(34)&amp;SUBSTITUTE(CriteriTecnici!$D36,CHAR(34),"'")&amp;CHAR(34)&amp;", "&amp;CHAR(34)&amp;"kind"&amp;CHAR(34)&amp;": "&amp;CHAR(34)&amp;SUBSTITUTE(CriteriTecnici!$F36,CHAR(34),"'")&amp;CHAR(34)&amp;", "&amp;CHAR(34)&amp;"value"&amp;CHAR(34)&amp;": "&amp;SUBSTITUTE(TRIM(ROUND(IFERROR(CriteriTecnici!$N36*1,IFERROR(NUMBERVALUE(CriteriTecnici!$N36,".",","),IFERROR(NUMBERVALUE(CriteriTecnici!$N36,",","."),0))),4)&amp;""),",",".")&amp;", "&amp;CHAR(34)&amp;"numerator"&amp;CHAR(34)&amp;": "&amp;SUBSTITUTE(TRIM(ROUND(IFERROR(CriteriTecnici!$K36*1,IFERROR(NUMBERVALUE(CriteriTecnici!$K36,".",","),IFERROR(NUMBERVALUE(CriteriTecnici!$K36,",","."),0))),4)&amp;""),",",".")&amp;", "&amp;CHAR(34)&amp;"denominator"&amp;CHAR(34)&amp;": "&amp;SUBSTITUTE(TRIM(ROUND(IFERROR(CriteriTecnici!$L36*1,IFERROR(NUMBERVALUE(CriteriTecnici!$L36,".",","),IFERROR(NUMBERVALUE(CriteriTecnici!$L36,",","."),0))),4)&amp;""),",",".")&amp;", "&amp;CHAR(34)&amp;"flag"&amp;CHAR(34)&amp;": "&amp;SUBSTITUTE(TRIM(ROUND(IFERROR(CriteriTecnici!$M36*1,IFERROR(NUMBERVALUE(CriteriTecnici!$M36,".",","),IFERROR(NUMBERVALUE(CriteriTecnici!$M36,",","."),0))),4)&amp;""),",",".")&amp;", "&amp;CHAR(34)&amp;"rawScore"&amp;CHAR(34)&amp;": "&amp;SUBSTITUTE(TRIM(ROUND(IFERROR(CriteriTecnici!$O36*1,IFERROR(NUMBERVALUE(CriteriTecnici!$O36,".",","),IFERROR(NUMBERVALUE(CriteriTecnici!$O36,",","."),0))),4)&amp;""),",",".")&amp;CHAR(125)&amp;IF(TRUE,",",""))</f>
        <v/>
      </c>
    </row>
    <row r="138">
      <c r="A138" s="82">
        <f>IF(CriteriTecnici!$A37="","","    "&amp;CHAR(123)&amp;CHAR(34)&amp;"bidderId"&amp;CHAR(34)&amp;": "&amp;CHAR(34)&amp;SUBSTITUTE(CriteriTecnici!$A37,CHAR(34),"'")&amp;CHAR(34)&amp;", "&amp;CHAR(34)&amp;"lotId"&amp;CHAR(34)&amp;": "&amp;CHAR(34)&amp;SUBSTITUTE(CriteriTecnici!$C37,CHAR(34),"'")&amp;CHAR(34)&amp;", "&amp;CHAR(34)&amp;"criterionId"&amp;CHAR(34)&amp;": "&amp;CHAR(34)&amp;SUBSTITUTE(CriteriTecnici!$D37,CHAR(34),"'")&amp;CHAR(34)&amp;", "&amp;CHAR(34)&amp;"kind"&amp;CHAR(34)&amp;": "&amp;CHAR(34)&amp;SUBSTITUTE(CriteriTecnici!$F37,CHAR(34),"'")&amp;CHAR(34)&amp;", "&amp;CHAR(34)&amp;"value"&amp;CHAR(34)&amp;": "&amp;SUBSTITUTE(TRIM(ROUND(IFERROR(CriteriTecnici!$N37*1,IFERROR(NUMBERVALUE(CriteriTecnici!$N37,".",","),IFERROR(NUMBERVALUE(CriteriTecnici!$N37,",","."),0))),4)&amp;""),",",".")&amp;", "&amp;CHAR(34)&amp;"numerator"&amp;CHAR(34)&amp;": "&amp;SUBSTITUTE(TRIM(ROUND(IFERROR(CriteriTecnici!$K37*1,IFERROR(NUMBERVALUE(CriteriTecnici!$K37,".",","),IFERROR(NUMBERVALUE(CriteriTecnici!$K37,",","."),0))),4)&amp;""),",",".")&amp;", "&amp;CHAR(34)&amp;"denominator"&amp;CHAR(34)&amp;": "&amp;SUBSTITUTE(TRIM(ROUND(IFERROR(CriteriTecnici!$L37*1,IFERROR(NUMBERVALUE(CriteriTecnici!$L37,".",","),IFERROR(NUMBERVALUE(CriteriTecnici!$L37,",","."),0))),4)&amp;""),",",".")&amp;", "&amp;CHAR(34)&amp;"flag"&amp;CHAR(34)&amp;": "&amp;SUBSTITUTE(TRIM(ROUND(IFERROR(CriteriTecnici!$M37*1,IFERROR(NUMBERVALUE(CriteriTecnici!$M37,".",","),IFERROR(NUMBERVALUE(CriteriTecnici!$M37,",","."),0))),4)&amp;""),",",".")&amp;", "&amp;CHAR(34)&amp;"rawScore"&amp;CHAR(34)&amp;": "&amp;SUBSTITUTE(TRIM(ROUND(IFERROR(CriteriTecnici!$O37*1,IFERROR(NUMBERVALUE(CriteriTecnici!$O37,".",","),IFERROR(NUMBERVALUE(CriteriTecnici!$O37,",","."),0))),4)&amp;""),",",".")&amp;CHAR(125)&amp;IF(TRUE,",",""))</f>
        <v/>
      </c>
    </row>
    <row r="139">
      <c r="A139" s="82">
        <f>IF(CriteriTecnici!$A38="","","    "&amp;CHAR(123)&amp;CHAR(34)&amp;"bidderId"&amp;CHAR(34)&amp;": "&amp;CHAR(34)&amp;SUBSTITUTE(CriteriTecnici!$A38,CHAR(34),"'")&amp;CHAR(34)&amp;", "&amp;CHAR(34)&amp;"lotId"&amp;CHAR(34)&amp;": "&amp;CHAR(34)&amp;SUBSTITUTE(CriteriTecnici!$C38,CHAR(34),"'")&amp;CHAR(34)&amp;", "&amp;CHAR(34)&amp;"criterionId"&amp;CHAR(34)&amp;": "&amp;CHAR(34)&amp;SUBSTITUTE(CriteriTecnici!$D38,CHAR(34),"'")&amp;CHAR(34)&amp;", "&amp;CHAR(34)&amp;"kind"&amp;CHAR(34)&amp;": "&amp;CHAR(34)&amp;SUBSTITUTE(CriteriTecnici!$F38,CHAR(34),"'")&amp;CHAR(34)&amp;", "&amp;CHAR(34)&amp;"value"&amp;CHAR(34)&amp;": "&amp;SUBSTITUTE(TRIM(ROUND(IFERROR(CriteriTecnici!$N38*1,IFERROR(NUMBERVALUE(CriteriTecnici!$N38,".",","),IFERROR(NUMBERVALUE(CriteriTecnici!$N38,",","."),0))),4)&amp;""),",",".")&amp;", "&amp;CHAR(34)&amp;"numerator"&amp;CHAR(34)&amp;": "&amp;SUBSTITUTE(TRIM(ROUND(IFERROR(CriteriTecnici!$K38*1,IFERROR(NUMBERVALUE(CriteriTecnici!$K38,".",","),IFERROR(NUMBERVALUE(CriteriTecnici!$K38,",","."),0))),4)&amp;""),",",".")&amp;", "&amp;CHAR(34)&amp;"denominator"&amp;CHAR(34)&amp;": "&amp;SUBSTITUTE(TRIM(ROUND(IFERROR(CriteriTecnici!$L38*1,IFERROR(NUMBERVALUE(CriteriTecnici!$L38,".",","),IFERROR(NUMBERVALUE(CriteriTecnici!$L38,",","."),0))),4)&amp;""),",",".")&amp;", "&amp;CHAR(34)&amp;"flag"&amp;CHAR(34)&amp;": "&amp;SUBSTITUTE(TRIM(ROUND(IFERROR(CriteriTecnici!$M38*1,IFERROR(NUMBERVALUE(CriteriTecnici!$M38,".",","),IFERROR(NUMBERVALUE(CriteriTecnici!$M38,",","."),0))),4)&amp;""),",",".")&amp;", "&amp;CHAR(34)&amp;"rawScore"&amp;CHAR(34)&amp;": "&amp;SUBSTITUTE(TRIM(ROUND(IFERROR(CriteriTecnici!$O38*1,IFERROR(NUMBERVALUE(CriteriTecnici!$O38,".",","),IFERROR(NUMBERVALUE(CriteriTecnici!$O38,",","."),0))),4)&amp;""),",",".")&amp;CHAR(125)&amp;IF(TRUE,",",""))</f>
        <v/>
      </c>
    </row>
    <row r="140">
      <c r="A140" s="82">
        <f>IF(CriteriTecnici!$A39="","","    "&amp;CHAR(123)&amp;CHAR(34)&amp;"bidderId"&amp;CHAR(34)&amp;": "&amp;CHAR(34)&amp;SUBSTITUTE(CriteriTecnici!$A39,CHAR(34),"'")&amp;CHAR(34)&amp;", "&amp;CHAR(34)&amp;"lotId"&amp;CHAR(34)&amp;": "&amp;CHAR(34)&amp;SUBSTITUTE(CriteriTecnici!$C39,CHAR(34),"'")&amp;CHAR(34)&amp;", "&amp;CHAR(34)&amp;"criterionId"&amp;CHAR(34)&amp;": "&amp;CHAR(34)&amp;SUBSTITUTE(CriteriTecnici!$D39,CHAR(34),"'")&amp;CHAR(34)&amp;", "&amp;CHAR(34)&amp;"kind"&amp;CHAR(34)&amp;": "&amp;CHAR(34)&amp;SUBSTITUTE(CriteriTecnici!$F39,CHAR(34),"'")&amp;CHAR(34)&amp;", "&amp;CHAR(34)&amp;"value"&amp;CHAR(34)&amp;": "&amp;SUBSTITUTE(TRIM(ROUND(IFERROR(CriteriTecnici!$N39*1,IFERROR(NUMBERVALUE(CriteriTecnici!$N39,".",","),IFERROR(NUMBERVALUE(CriteriTecnici!$N39,",","."),0))),4)&amp;""),",",".")&amp;", "&amp;CHAR(34)&amp;"numerator"&amp;CHAR(34)&amp;": "&amp;SUBSTITUTE(TRIM(ROUND(IFERROR(CriteriTecnici!$K39*1,IFERROR(NUMBERVALUE(CriteriTecnici!$K39,".",","),IFERROR(NUMBERVALUE(CriteriTecnici!$K39,",","."),0))),4)&amp;""),",",".")&amp;", "&amp;CHAR(34)&amp;"denominator"&amp;CHAR(34)&amp;": "&amp;SUBSTITUTE(TRIM(ROUND(IFERROR(CriteriTecnici!$L39*1,IFERROR(NUMBERVALUE(CriteriTecnici!$L39,".",","),IFERROR(NUMBERVALUE(CriteriTecnici!$L39,",","."),0))),4)&amp;""),",",".")&amp;", "&amp;CHAR(34)&amp;"flag"&amp;CHAR(34)&amp;": "&amp;SUBSTITUTE(TRIM(ROUND(IFERROR(CriteriTecnici!$M39*1,IFERROR(NUMBERVALUE(CriteriTecnici!$M39,".",","),IFERROR(NUMBERVALUE(CriteriTecnici!$M39,",","."),0))),4)&amp;""),",",".")&amp;", "&amp;CHAR(34)&amp;"rawScore"&amp;CHAR(34)&amp;": "&amp;SUBSTITUTE(TRIM(ROUND(IFERROR(CriteriTecnici!$O39*1,IFERROR(NUMBERVALUE(CriteriTecnici!$O39,".",","),IFERROR(NUMBERVALUE(CriteriTecnici!$O39,",","."),0))),4)&amp;""),",",".")&amp;CHAR(125)&amp;IF(TRUE,",",""))</f>
        <v/>
      </c>
    </row>
    <row r="141">
      <c r="A141" s="82">
        <f>IF(CriteriTecnici!$A40="","","    "&amp;CHAR(123)&amp;CHAR(34)&amp;"bidderId"&amp;CHAR(34)&amp;": "&amp;CHAR(34)&amp;SUBSTITUTE(CriteriTecnici!$A40,CHAR(34),"'")&amp;CHAR(34)&amp;", "&amp;CHAR(34)&amp;"lotId"&amp;CHAR(34)&amp;": "&amp;CHAR(34)&amp;SUBSTITUTE(CriteriTecnici!$C40,CHAR(34),"'")&amp;CHAR(34)&amp;", "&amp;CHAR(34)&amp;"criterionId"&amp;CHAR(34)&amp;": "&amp;CHAR(34)&amp;SUBSTITUTE(CriteriTecnici!$D40,CHAR(34),"'")&amp;CHAR(34)&amp;", "&amp;CHAR(34)&amp;"kind"&amp;CHAR(34)&amp;": "&amp;CHAR(34)&amp;SUBSTITUTE(CriteriTecnici!$F40,CHAR(34),"'")&amp;CHAR(34)&amp;", "&amp;CHAR(34)&amp;"value"&amp;CHAR(34)&amp;": "&amp;SUBSTITUTE(TRIM(ROUND(IFERROR(CriteriTecnici!$N40*1,IFERROR(NUMBERVALUE(CriteriTecnici!$N40,".",","),IFERROR(NUMBERVALUE(CriteriTecnici!$N40,",","."),0))),4)&amp;""),",",".")&amp;", "&amp;CHAR(34)&amp;"numerator"&amp;CHAR(34)&amp;": "&amp;SUBSTITUTE(TRIM(ROUND(IFERROR(CriteriTecnici!$K40*1,IFERROR(NUMBERVALUE(CriteriTecnici!$K40,".",","),IFERROR(NUMBERVALUE(CriteriTecnici!$K40,",","."),0))),4)&amp;""),",",".")&amp;", "&amp;CHAR(34)&amp;"denominator"&amp;CHAR(34)&amp;": "&amp;SUBSTITUTE(TRIM(ROUND(IFERROR(CriteriTecnici!$L40*1,IFERROR(NUMBERVALUE(CriteriTecnici!$L40,".",","),IFERROR(NUMBERVALUE(CriteriTecnici!$L40,",","."),0))),4)&amp;""),",",".")&amp;", "&amp;CHAR(34)&amp;"flag"&amp;CHAR(34)&amp;": "&amp;SUBSTITUTE(TRIM(ROUND(IFERROR(CriteriTecnici!$M40*1,IFERROR(NUMBERVALUE(CriteriTecnici!$M40,".",","),IFERROR(NUMBERVALUE(CriteriTecnici!$M40,",","."),0))),4)&amp;""),",",".")&amp;", "&amp;CHAR(34)&amp;"rawScore"&amp;CHAR(34)&amp;": "&amp;SUBSTITUTE(TRIM(ROUND(IFERROR(CriteriTecnici!$O40*1,IFERROR(NUMBERVALUE(CriteriTecnici!$O40,".",","),IFERROR(NUMBERVALUE(CriteriTecnici!$O40,",","."),0))),4)&amp;""),",",".")&amp;CHAR(125)&amp;IF(TRUE,",",""))</f>
        <v/>
      </c>
    </row>
    <row r="142">
      <c r="A142" s="82">
        <f>IF(CriteriTecnici!$A41="","","    "&amp;CHAR(123)&amp;CHAR(34)&amp;"bidderId"&amp;CHAR(34)&amp;": "&amp;CHAR(34)&amp;SUBSTITUTE(CriteriTecnici!$A41,CHAR(34),"'")&amp;CHAR(34)&amp;", "&amp;CHAR(34)&amp;"lotId"&amp;CHAR(34)&amp;": "&amp;CHAR(34)&amp;SUBSTITUTE(CriteriTecnici!$C41,CHAR(34),"'")&amp;CHAR(34)&amp;", "&amp;CHAR(34)&amp;"criterionId"&amp;CHAR(34)&amp;": "&amp;CHAR(34)&amp;SUBSTITUTE(CriteriTecnici!$D41,CHAR(34),"'")&amp;CHAR(34)&amp;", "&amp;CHAR(34)&amp;"kind"&amp;CHAR(34)&amp;": "&amp;CHAR(34)&amp;SUBSTITUTE(CriteriTecnici!$F41,CHAR(34),"'")&amp;CHAR(34)&amp;", "&amp;CHAR(34)&amp;"value"&amp;CHAR(34)&amp;": "&amp;SUBSTITUTE(TRIM(ROUND(IFERROR(CriteriTecnici!$N41*1,IFERROR(NUMBERVALUE(CriteriTecnici!$N41,".",","),IFERROR(NUMBERVALUE(CriteriTecnici!$N41,",","."),0))),4)&amp;""),",",".")&amp;", "&amp;CHAR(34)&amp;"numerator"&amp;CHAR(34)&amp;": "&amp;SUBSTITUTE(TRIM(ROUND(IFERROR(CriteriTecnici!$K41*1,IFERROR(NUMBERVALUE(CriteriTecnici!$K41,".",","),IFERROR(NUMBERVALUE(CriteriTecnici!$K41,",","."),0))),4)&amp;""),",",".")&amp;", "&amp;CHAR(34)&amp;"denominator"&amp;CHAR(34)&amp;": "&amp;SUBSTITUTE(TRIM(ROUND(IFERROR(CriteriTecnici!$L41*1,IFERROR(NUMBERVALUE(CriteriTecnici!$L41,".",","),IFERROR(NUMBERVALUE(CriteriTecnici!$L41,",","."),0))),4)&amp;""),",",".")&amp;", "&amp;CHAR(34)&amp;"flag"&amp;CHAR(34)&amp;": "&amp;SUBSTITUTE(TRIM(ROUND(IFERROR(CriteriTecnici!$M41*1,IFERROR(NUMBERVALUE(CriteriTecnici!$M41,".",","),IFERROR(NUMBERVALUE(CriteriTecnici!$M41,",","."),0))),4)&amp;""),",",".")&amp;", "&amp;CHAR(34)&amp;"rawScore"&amp;CHAR(34)&amp;": "&amp;SUBSTITUTE(TRIM(ROUND(IFERROR(CriteriTecnici!$O41*1,IFERROR(NUMBERVALUE(CriteriTecnici!$O41,".",","),IFERROR(NUMBERVALUE(CriteriTecnici!$O41,",","."),0))),4)&amp;""),",",".")&amp;CHAR(125)&amp;IF(TRUE,",",""))</f>
        <v/>
      </c>
    </row>
    <row r="143">
      <c r="A143" s="82">
        <f>IF(CriteriTecnici!$A42="","","    "&amp;CHAR(123)&amp;CHAR(34)&amp;"bidderId"&amp;CHAR(34)&amp;": "&amp;CHAR(34)&amp;SUBSTITUTE(CriteriTecnici!$A42,CHAR(34),"'")&amp;CHAR(34)&amp;", "&amp;CHAR(34)&amp;"lotId"&amp;CHAR(34)&amp;": "&amp;CHAR(34)&amp;SUBSTITUTE(CriteriTecnici!$C42,CHAR(34),"'")&amp;CHAR(34)&amp;", "&amp;CHAR(34)&amp;"criterionId"&amp;CHAR(34)&amp;": "&amp;CHAR(34)&amp;SUBSTITUTE(CriteriTecnici!$D42,CHAR(34),"'")&amp;CHAR(34)&amp;", "&amp;CHAR(34)&amp;"kind"&amp;CHAR(34)&amp;": "&amp;CHAR(34)&amp;SUBSTITUTE(CriteriTecnici!$F42,CHAR(34),"'")&amp;CHAR(34)&amp;", "&amp;CHAR(34)&amp;"value"&amp;CHAR(34)&amp;": "&amp;SUBSTITUTE(TRIM(ROUND(IFERROR(CriteriTecnici!$N42*1,IFERROR(NUMBERVALUE(CriteriTecnici!$N42,".",","),IFERROR(NUMBERVALUE(CriteriTecnici!$N42,",","."),0))),4)&amp;""),",",".")&amp;", "&amp;CHAR(34)&amp;"numerator"&amp;CHAR(34)&amp;": "&amp;SUBSTITUTE(TRIM(ROUND(IFERROR(CriteriTecnici!$K42*1,IFERROR(NUMBERVALUE(CriteriTecnici!$K42,".",","),IFERROR(NUMBERVALUE(CriteriTecnici!$K42,",","."),0))),4)&amp;""),",",".")&amp;", "&amp;CHAR(34)&amp;"denominator"&amp;CHAR(34)&amp;": "&amp;SUBSTITUTE(TRIM(ROUND(IFERROR(CriteriTecnici!$L42*1,IFERROR(NUMBERVALUE(CriteriTecnici!$L42,".",","),IFERROR(NUMBERVALUE(CriteriTecnici!$L42,",","."),0))),4)&amp;""),",",".")&amp;", "&amp;CHAR(34)&amp;"flag"&amp;CHAR(34)&amp;": "&amp;SUBSTITUTE(TRIM(ROUND(IFERROR(CriteriTecnici!$M42*1,IFERROR(NUMBERVALUE(CriteriTecnici!$M42,".",","),IFERROR(NUMBERVALUE(CriteriTecnici!$M42,",","."),0))),4)&amp;""),",",".")&amp;", "&amp;CHAR(34)&amp;"rawScore"&amp;CHAR(34)&amp;": "&amp;SUBSTITUTE(TRIM(ROUND(IFERROR(CriteriTecnici!$O42*1,IFERROR(NUMBERVALUE(CriteriTecnici!$O42,".",","),IFERROR(NUMBERVALUE(CriteriTecnici!$O42,",","."),0))),4)&amp;""),",",".")&amp;CHAR(125)&amp;IF(TRUE,",",""))</f>
        <v/>
      </c>
    </row>
    <row r="144">
      <c r="A144" s="82">
        <f>IF(CriteriTecnici!$A43="","","    "&amp;CHAR(123)&amp;CHAR(34)&amp;"bidderId"&amp;CHAR(34)&amp;": "&amp;CHAR(34)&amp;SUBSTITUTE(CriteriTecnici!$A43,CHAR(34),"'")&amp;CHAR(34)&amp;", "&amp;CHAR(34)&amp;"lotId"&amp;CHAR(34)&amp;": "&amp;CHAR(34)&amp;SUBSTITUTE(CriteriTecnici!$C43,CHAR(34),"'")&amp;CHAR(34)&amp;", "&amp;CHAR(34)&amp;"criterionId"&amp;CHAR(34)&amp;": "&amp;CHAR(34)&amp;SUBSTITUTE(CriteriTecnici!$D43,CHAR(34),"'")&amp;CHAR(34)&amp;", "&amp;CHAR(34)&amp;"kind"&amp;CHAR(34)&amp;": "&amp;CHAR(34)&amp;SUBSTITUTE(CriteriTecnici!$F43,CHAR(34),"'")&amp;CHAR(34)&amp;", "&amp;CHAR(34)&amp;"value"&amp;CHAR(34)&amp;": "&amp;SUBSTITUTE(TRIM(ROUND(IFERROR(CriteriTecnici!$N43*1,IFERROR(NUMBERVALUE(CriteriTecnici!$N43,".",","),IFERROR(NUMBERVALUE(CriteriTecnici!$N43,",","."),0))),4)&amp;""),",",".")&amp;", "&amp;CHAR(34)&amp;"numerator"&amp;CHAR(34)&amp;": "&amp;SUBSTITUTE(TRIM(ROUND(IFERROR(CriteriTecnici!$K43*1,IFERROR(NUMBERVALUE(CriteriTecnici!$K43,".",","),IFERROR(NUMBERVALUE(CriteriTecnici!$K43,",","."),0))),4)&amp;""),",",".")&amp;", "&amp;CHAR(34)&amp;"denominator"&amp;CHAR(34)&amp;": "&amp;SUBSTITUTE(TRIM(ROUND(IFERROR(CriteriTecnici!$L43*1,IFERROR(NUMBERVALUE(CriteriTecnici!$L43,".",","),IFERROR(NUMBERVALUE(CriteriTecnici!$L43,",","."),0))),4)&amp;""),",",".")&amp;", "&amp;CHAR(34)&amp;"flag"&amp;CHAR(34)&amp;": "&amp;SUBSTITUTE(TRIM(ROUND(IFERROR(CriteriTecnici!$M43*1,IFERROR(NUMBERVALUE(CriteriTecnici!$M43,".",","),IFERROR(NUMBERVALUE(CriteriTecnici!$M43,",","."),0))),4)&amp;""),",",".")&amp;", "&amp;CHAR(34)&amp;"rawScore"&amp;CHAR(34)&amp;": "&amp;SUBSTITUTE(TRIM(ROUND(IFERROR(CriteriTecnici!$O43*1,IFERROR(NUMBERVALUE(CriteriTecnici!$O43,".",","),IFERROR(NUMBERVALUE(CriteriTecnici!$O43,",","."),0))),4)&amp;""),",",".")&amp;CHAR(125)&amp;IF(TRUE,",",""))</f>
        <v/>
      </c>
    </row>
    <row r="145">
      <c r="A145" s="82">
        <f>IF(CriteriTecnici!$A44="","","    "&amp;CHAR(123)&amp;CHAR(34)&amp;"bidderId"&amp;CHAR(34)&amp;": "&amp;CHAR(34)&amp;SUBSTITUTE(CriteriTecnici!$A44,CHAR(34),"'")&amp;CHAR(34)&amp;", "&amp;CHAR(34)&amp;"lotId"&amp;CHAR(34)&amp;": "&amp;CHAR(34)&amp;SUBSTITUTE(CriteriTecnici!$C44,CHAR(34),"'")&amp;CHAR(34)&amp;", "&amp;CHAR(34)&amp;"criterionId"&amp;CHAR(34)&amp;": "&amp;CHAR(34)&amp;SUBSTITUTE(CriteriTecnici!$D44,CHAR(34),"'")&amp;CHAR(34)&amp;", "&amp;CHAR(34)&amp;"kind"&amp;CHAR(34)&amp;": "&amp;CHAR(34)&amp;SUBSTITUTE(CriteriTecnici!$F44,CHAR(34),"'")&amp;CHAR(34)&amp;", "&amp;CHAR(34)&amp;"value"&amp;CHAR(34)&amp;": "&amp;SUBSTITUTE(TRIM(ROUND(IFERROR(CriteriTecnici!$N44*1,IFERROR(NUMBERVALUE(CriteriTecnici!$N44,".",","),IFERROR(NUMBERVALUE(CriteriTecnici!$N44,",","."),0))),4)&amp;""),",",".")&amp;", "&amp;CHAR(34)&amp;"numerator"&amp;CHAR(34)&amp;": "&amp;SUBSTITUTE(TRIM(ROUND(IFERROR(CriteriTecnici!$K44*1,IFERROR(NUMBERVALUE(CriteriTecnici!$K44,".",","),IFERROR(NUMBERVALUE(CriteriTecnici!$K44,",","."),0))),4)&amp;""),",",".")&amp;", "&amp;CHAR(34)&amp;"denominator"&amp;CHAR(34)&amp;": "&amp;SUBSTITUTE(TRIM(ROUND(IFERROR(CriteriTecnici!$L44*1,IFERROR(NUMBERVALUE(CriteriTecnici!$L44,".",","),IFERROR(NUMBERVALUE(CriteriTecnici!$L44,",","."),0))),4)&amp;""),",",".")&amp;", "&amp;CHAR(34)&amp;"flag"&amp;CHAR(34)&amp;": "&amp;SUBSTITUTE(TRIM(ROUND(IFERROR(CriteriTecnici!$M44*1,IFERROR(NUMBERVALUE(CriteriTecnici!$M44,".",","),IFERROR(NUMBERVALUE(CriteriTecnici!$M44,",","."),0))),4)&amp;""),",",".")&amp;", "&amp;CHAR(34)&amp;"rawScore"&amp;CHAR(34)&amp;": "&amp;SUBSTITUTE(TRIM(ROUND(IFERROR(CriteriTecnici!$O44*1,IFERROR(NUMBERVALUE(CriteriTecnici!$O44,".",","),IFERROR(NUMBERVALUE(CriteriTecnici!$O44,",","."),0))),4)&amp;""),",",".")&amp;CHAR(125)&amp;IF(TRUE,",",""))</f>
        <v/>
      </c>
    </row>
    <row r="146">
      <c r="A146" s="82">
        <f>IF(CriteriTecnici!$A45="","","    "&amp;CHAR(123)&amp;CHAR(34)&amp;"bidderId"&amp;CHAR(34)&amp;": "&amp;CHAR(34)&amp;SUBSTITUTE(CriteriTecnici!$A45,CHAR(34),"'")&amp;CHAR(34)&amp;", "&amp;CHAR(34)&amp;"lotId"&amp;CHAR(34)&amp;": "&amp;CHAR(34)&amp;SUBSTITUTE(CriteriTecnici!$C45,CHAR(34),"'")&amp;CHAR(34)&amp;", "&amp;CHAR(34)&amp;"criterionId"&amp;CHAR(34)&amp;": "&amp;CHAR(34)&amp;SUBSTITUTE(CriteriTecnici!$D45,CHAR(34),"'")&amp;CHAR(34)&amp;", "&amp;CHAR(34)&amp;"kind"&amp;CHAR(34)&amp;": "&amp;CHAR(34)&amp;SUBSTITUTE(CriteriTecnici!$F45,CHAR(34),"'")&amp;CHAR(34)&amp;", "&amp;CHAR(34)&amp;"value"&amp;CHAR(34)&amp;": "&amp;SUBSTITUTE(TRIM(ROUND(IFERROR(CriteriTecnici!$N45*1,IFERROR(NUMBERVALUE(CriteriTecnici!$N45,".",","),IFERROR(NUMBERVALUE(CriteriTecnici!$N45,",","."),0))),4)&amp;""),",",".")&amp;", "&amp;CHAR(34)&amp;"numerator"&amp;CHAR(34)&amp;": "&amp;SUBSTITUTE(TRIM(ROUND(IFERROR(CriteriTecnici!$K45*1,IFERROR(NUMBERVALUE(CriteriTecnici!$K45,".",","),IFERROR(NUMBERVALUE(CriteriTecnici!$K45,",","."),0))),4)&amp;""),",",".")&amp;", "&amp;CHAR(34)&amp;"denominator"&amp;CHAR(34)&amp;": "&amp;SUBSTITUTE(TRIM(ROUND(IFERROR(CriteriTecnici!$L45*1,IFERROR(NUMBERVALUE(CriteriTecnici!$L45,".",","),IFERROR(NUMBERVALUE(CriteriTecnici!$L45,",","."),0))),4)&amp;""),",",".")&amp;", "&amp;CHAR(34)&amp;"flag"&amp;CHAR(34)&amp;": "&amp;SUBSTITUTE(TRIM(ROUND(IFERROR(CriteriTecnici!$M45*1,IFERROR(NUMBERVALUE(CriteriTecnici!$M45,".",","),IFERROR(NUMBERVALUE(CriteriTecnici!$M45,",","."),0))),4)&amp;""),",",".")&amp;", "&amp;CHAR(34)&amp;"rawScore"&amp;CHAR(34)&amp;": "&amp;SUBSTITUTE(TRIM(ROUND(IFERROR(CriteriTecnici!$O45*1,IFERROR(NUMBERVALUE(CriteriTecnici!$O45,".",","),IFERROR(NUMBERVALUE(CriteriTecnici!$O45,",","."),0))),4)&amp;""),",",".")&amp;CHAR(125)&amp;IF(TRUE,",",""))</f>
        <v/>
      </c>
    </row>
    <row r="147">
      <c r="A147" s="82">
        <f>IF(CriteriTecnici!$A46="","","    "&amp;CHAR(123)&amp;CHAR(34)&amp;"bidderId"&amp;CHAR(34)&amp;": "&amp;CHAR(34)&amp;SUBSTITUTE(CriteriTecnici!$A46,CHAR(34),"'")&amp;CHAR(34)&amp;", "&amp;CHAR(34)&amp;"lotId"&amp;CHAR(34)&amp;": "&amp;CHAR(34)&amp;SUBSTITUTE(CriteriTecnici!$C46,CHAR(34),"'")&amp;CHAR(34)&amp;", "&amp;CHAR(34)&amp;"criterionId"&amp;CHAR(34)&amp;": "&amp;CHAR(34)&amp;SUBSTITUTE(CriteriTecnici!$D46,CHAR(34),"'")&amp;CHAR(34)&amp;", "&amp;CHAR(34)&amp;"kind"&amp;CHAR(34)&amp;": "&amp;CHAR(34)&amp;SUBSTITUTE(CriteriTecnici!$F46,CHAR(34),"'")&amp;CHAR(34)&amp;", "&amp;CHAR(34)&amp;"value"&amp;CHAR(34)&amp;": "&amp;SUBSTITUTE(TRIM(ROUND(IFERROR(CriteriTecnici!$N46*1,IFERROR(NUMBERVALUE(CriteriTecnici!$N46,".",","),IFERROR(NUMBERVALUE(CriteriTecnici!$N46,",","."),0))),4)&amp;""),",",".")&amp;", "&amp;CHAR(34)&amp;"numerator"&amp;CHAR(34)&amp;": "&amp;SUBSTITUTE(TRIM(ROUND(IFERROR(CriteriTecnici!$K46*1,IFERROR(NUMBERVALUE(CriteriTecnici!$K46,".",","),IFERROR(NUMBERVALUE(CriteriTecnici!$K46,",","."),0))),4)&amp;""),",",".")&amp;", "&amp;CHAR(34)&amp;"denominator"&amp;CHAR(34)&amp;": "&amp;SUBSTITUTE(TRIM(ROUND(IFERROR(CriteriTecnici!$L46*1,IFERROR(NUMBERVALUE(CriteriTecnici!$L46,".",","),IFERROR(NUMBERVALUE(CriteriTecnici!$L46,",","."),0))),4)&amp;""),",",".")&amp;", "&amp;CHAR(34)&amp;"flag"&amp;CHAR(34)&amp;": "&amp;SUBSTITUTE(TRIM(ROUND(IFERROR(CriteriTecnici!$M46*1,IFERROR(NUMBERVALUE(CriteriTecnici!$M46,".",","),IFERROR(NUMBERVALUE(CriteriTecnici!$M46,",","."),0))),4)&amp;""),",",".")&amp;", "&amp;CHAR(34)&amp;"rawScore"&amp;CHAR(34)&amp;": "&amp;SUBSTITUTE(TRIM(ROUND(IFERROR(CriteriTecnici!$O46*1,IFERROR(NUMBERVALUE(CriteriTecnici!$O46,".",","),IFERROR(NUMBERVALUE(CriteriTecnici!$O46,",","."),0))),4)&amp;""),",",".")&amp;CHAR(125)&amp;IF(TRUE,",",""))</f>
        <v/>
      </c>
    </row>
    <row r="148">
      <c r="A148" s="82">
        <f>IF(CriteriTecnici!$A47="","","    "&amp;CHAR(123)&amp;CHAR(34)&amp;"bidderId"&amp;CHAR(34)&amp;": "&amp;CHAR(34)&amp;SUBSTITUTE(CriteriTecnici!$A47,CHAR(34),"'")&amp;CHAR(34)&amp;", "&amp;CHAR(34)&amp;"lotId"&amp;CHAR(34)&amp;": "&amp;CHAR(34)&amp;SUBSTITUTE(CriteriTecnici!$C47,CHAR(34),"'")&amp;CHAR(34)&amp;", "&amp;CHAR(34)&amp;"criterionId"&amp;CHAR(34)&amp;": "&amp;CHAR(34)&amp;SUBSTITUTE(CriteriTecnici!$D47,CHAR(34),"'")&amp;CHAR(34)&amp;", "&amp;CHAR(34)&amp;"kind"&amp;CHAR(34)&amp;": "&amp;CHAR(34)&amp;SUBSTITUTE(CriteriTecnici!$F47,CHAR(34),"'")&amp;CHAR(34)&amp;", "&amp;CHAR(34)&amp;"value"&amp;CHAR(34)&amp;": "&amp;SUBSTITUTE(TRIM(ROUND(IFERROR(CriteriTecnici!$N47*1,IFERROR(NUMBERVALUE(CriteriTecnici!$N47,".",","),IFERROR(NUMBERVALUE(CriteriTecnici!$N47,",","."),0))),4)&amp;""),",",".")&amp;", "&amp;CHAR(34)&amp;"numerator"&amp;CHAR(34)&amp;": "&amp;SUBSTITUTE(TRIM(ROUND(IFERROR(CriteriTecnici!$K47*1,IFERROR(NUMBERVALUE(CriteriTecnici!$K47,".",","),IFERROR(NUMBERVALUE(CriteriTecnici!$K47,",","."),0))),4)&amp;""),",",".")&amp;", "&amp;CHAR(34)&amp;"denominator"&amp;CHAR(34)&amp;": "&amp;SUBSTITUTE(TRIM(ROUND(IFERROR(CriteriTecnici!$L47*1,IFERROR(NUMBERVALUE(CriteriTecnici!$L47,".",","),IFERROR(NUMBERVALUE(CriteriTecnici!$L47,",","."),0))),4)&amp;""),",",".")&amp;", "&amp;CHAR(34)&amp;"flag"&amp;CHAR(34)&amp;": "&amp;SUBSTITUTE(TRIM(ROUND(IFERROR(CriteriTecnici!$M47*1,IFERROR(NUMBERVALUE(CriteriTecnici!$M47,".",","),IFERROR(NUMBERVALUE(CriteriTecnici!$M47,",","."),0))),4)&amp;""),",",".")&amp;", "&amp;CHAR(34)&amp;"rawScore"&amp;CHAR(34)&amp;": "&amp;SUBSTITUTE(TRIM(ROUND(IFERROR(CriteriTecnici!$O47*1,IFERROR(NUMBERVALUE(CriteriTecnici!$O47,".",","),IFERROR(NUMBERVALUE(CriteriTecnici!$O47,",","."),0))),4)&amp;""),",",".")&amp;CHAR(125)&amp;IF(TRUE,",",""))</f>
        <v/>
      </c>
    </row>
    <row r="149">
      <c r="A149" s="82">
        <f>IF(CriteriTecnici!$A48="","","    "&amp;CHAR(123)&amp;CHAR(34)&amp;"bidderId"&amp;CHAR(34)&amp;": "&amp;CHAR(34)&amp;SUBSTITUTE(CriteriTecnici!$A48,CHAR(34),"'")&amp;CHAR(34)&amp;", "&amp;CHAR(34)&amp;"lotId"&amp;CHAR(34)&amp;": "&amp;CHAR(34)&amp;SUBSTITUTE(CriteriTecnici!$C48,CHAR(34),"'")&amp;CHAR(34)&amp;", "&amp;CHAR(34)&amp;"criterionId"&amp;CHAR(34)&amp;": "&amp;CHAR(34)&amp;SUBSTITUTE(CriteriTecnici!$D48,CHAR(34),"'")&amp;CHAR(34)&amp;", "&amp;CHAR(34)&amp;"kind"&amp;CHAR(34)&amp;": "&amp;CHAR(34)&amp;SUBSTITUTE(CriteriTecnici!$F48,CHAR(34),"'")&amp;CHAR(34)&amp;", "&amp;CHAR(34)&amp;"value"&amp;CHAR(34)&amp;": "&amp;SUBSTITUTE(TRIM(ROUND(IFERROR(CriteriTecnici!$N48*1,IFERROR(NUMBERVALUE(CriteriTecnici!$N48,".",","),IFERROR(NUMBERVALUE(CriteriTecnici!$N48,",","."),0))),4)&amp;""),",",".")&amp;", "&amp;CHAR(34)&amp;"numerator"&amp;CHAR(34)&amp;": "&amp;SUBSTITUTE(TRIM(ROUND(IFERROR(CriteriTecnici!$K48*1,IFERROR(NUMBERVALUE(CriteriTecnici!$K48,".",","),IFERROR(NUMBERVALUE(CriteriTecnici!$K48,",","."),0))),4)&amp;""),",",".")&amp;", "&amp;CHAR(34)&amp;"denominator"&amp;CHAR(34)&amp;": "&amp;SUBSTITUTE(TRIM(ROUND(IFERROR(CriteriTecnici!$L48*1,IFERROR(NUMBERVALUE(CriteriTecnici!$L48,".",","),IFERROR(NUMBERVALUE(CriteriTecnici!$L48,",","."),0))),4)&amp;""),",",".")&amp;", "&amp;CHAR(34)&amp;"flag"&amp;CHAR(34)&amp;": "&amp;SUBSTITUTE(TRIM(ROUND(IFERROR(CriteriTecnici!$M48*1,IFERROR(NUMBERVALUE(CriteriTecnici!$M48,".",","),IFERROR(NUMBERVALUE(CriteriTecnici!$M48,",","."),0))),4)&amp;""),",",".")&amp;", "&amp;CHAR(34)&amp;"rawScore"&amp;CHAR(34)&amp;": "&amp;SUBSTITUTE(TRIM(ROUND(IFERROR(CriteriTecnici!$O48*1,IFERROR(NUMBERVALUE(CriteriTecnici!$O48,".",","),IFERROR(NUMBERVALUE(CriteriTecnici!$O48,",","."),0))),4)&amp;""),",",".")&amp;CHAR(125)&amp;IF(TRUE,",",""))</f>
        <v/>
      </c>
    </row>
    <row r="150">
      <c r="A150" s="82">
        <f>IF(CriteriTecnici!$A49="","","    "&amp;CHAR(123)&amp;CHAR(34)&amp;"bidderId"&amp;CHAR(34)&amp;": "&amp;CHAR(34)&amp;SUBSTITUTE(CriteriTecnici!$A49,CHAR(34),"'")&amp;CHAR(34)&amp;", "&amp;CHAR(34)&amp;"lotId"&amp;CHAR(34)&amp;": "&amp;CHAR(34)&amp;SUBSTITUTE(CriteriTecnici!$C49,CHAR(34),"'")&amp;CHAR(34)&amp;", "&amp;CHAR(34)&amp;"criterionId"&amp;CHAR(34)&amp;": "&amp;CHAR(34)&amp;SUBSTITUTE(CriteriTecnici!$D49,CHAR(34),"'")&amp;CHAR(34)&amp;", "&amp;CHAR(34)&amp;"kind"&amp;CHAR(34)&amp;": "&amp;CHAR(34)&amp;SUBSTITUTE(CriteriTecnici!$F49,CHAR(34),"'")&amp;CHAR(34)&amp;", "&amp;CHAR(34)&amp;"value"&amp;CHAR(34)&amp;": "&amp;SUBSTITUTE(TRIM(ROUND(IFERROR(CriteriTecnici!$N49*1,IFERROR(NUMBERVALUE(CriteriTecnici!$N49,".",","),IFERROR(NUMBERVALUE(CriteriTecnici!$N49,",","."),0))),4)&amp;""),",",".")&amp;", "&amp;CHAR(34)&amp;"numerator"&amp;CHAR(34)&amp;": "&amp;SUBSTITUTE(TRIM(ROUND(IFERROR(CriteriTecnici!$K49*1,IFERROR(NUMBERVALUE(CriteriTecnici!$K49,".",","),IFERROR(NUMBERVALUE(CriteriTecnici!$K49,",","."),0))),4)&amp;""),",",".")&amp;", "&amp;CHAR(34)&amp;"denominator"&amp;CHAR(34)&amp;": "&amp;SUBSTITUTE(TRIM(ROUND(IFERROR(CriteriTecnici!$L49*1,IFERROR(NUMBERVALUE(CriteriTecnici!$L49,".",","),IFERROR(NUMBERVALUE(CriteriTecnici!$L49,",","."),0))),4)&amp;""),",",".")&amp;", "&amp;CHAR(34)&amp;"flag"&amp;CHAR(34)&amp;": "&amp;SUBSTITUTE(TRIM(ROUND(IFERROR(CriteriTecnici!$M49*1,IFERROR(NUMBERVALUE(CriteriTecnici!$M49,".",","),IFERROR(NUMBERVALUE(CriteriTecnici!$M49,",","."),0))),4)&amp;""),",",".")&amp;", "&amp;CHAR(34)&amp;"rawScore"&amp;CHAR(34)&amp;": "&amp;SUBSTITUTE(TRIM(ROUND(IFERROR(CriteriTecnici!$O49*1,IFERROR(NUMBERVALUE(CriteriTecnici!$O49,".",","),IFERROR(NUMBERVALUE(CriteriTecnici!$O49,",","."),0))),4)&amp;""),",",".")&amp;CHAR(125)&amp;IF(TRUE,",",""))</f>
        <v/>
      </c>
    </row>
    <row r="151">
      <c r="A151" s="82">
        <f>IF(CriteriTecnici!$A50="","","    "&amp;CHAR(123)&amp;CHAR(34)&amp;"bidderId"&amp;CHAR(34)&amp;": "&amp;CHAR(34)&amp;SUBSTITUTE(CriteriTecnici!$A50,CHAR(34),"'")&amp;CHAR(34)&amp;", "&amp;CHAR(34)&amp;"lotId"&amp;CHAR(34)&amp;": "&amp;CHAR(34)&amp;SUBSTITUTE(CriteriTecnici!$C50,CHAR(34),"'")&amp;CHAR(34)&amp;", "&amp;CHAR(34)&amp;"criterionId"&amp;CHAR(34)&amp;": "&amp;CHAR(34)&amp;SUBSTITUTE(CriteriTecnici!$D50,CHAR(34),"'")&amp;CHAR(34)&amp;", "&amp;CHAR(34)&amp;"kind"&amp;CHAR(34)&amp;": "&amp;CHAR(34)&amp;SUBSTITUTE(CriteriTecnici!$F50,CHAR(34),"'")&amp;CHAR(34)&amp;", "&amp;CHAR(34)&amp;"value"&amp;CHAR(34)&amp;": "&amp;SUBSTITUTE(TRIM(ROUND(IFERROR(CriteriTecnici!$N50*1,IFERROR(NUMBERVALUE(CriteriTecnici!$N50,".",","),IFERROR(NUMBERVALUE(CriteriTecnici!$N50,",","."),0))),4)&amp;""),",",".")&amp;", "&amp;CHAR(34)&amp;"numerator"&amp;CHAR(34)&amp;": "&amp;SUBSTITUTE(TRIM(ROUND(IFERROR(CriteriTecnici!$K50*1,IFERROR(NUMBERVALUE(CriteriTecnici!$K50,".",","),IFERROR(NUMBERVALUE(CriteriTecnici!$K50,",","."),0))),4)&amp;""),",",".")&amp;", "&amp;CHAR(34)&amp;"denominator"&amp;CHAR(34)&amp;": "&amp;SUBSTITUTE(TRIM(ROUND(IFERROR(CriteriTecnici!$L50*1,IFERROR(NUMBERVALUE(CriteriTecnici!$L50,".",","),IFERROR(NUMBERVALUE(CriteriTecnici!$L50,",","."),0))),4)&amp;""),",",".")&amp;", "&amp;CHAR(34)&amp;"flag"&amp;CHAR(34)&amp;": "&amp;SUBSTITUTE(TRIM(ROUND(IFERROR(CriteriTecnici!$M50*1,IFERROR(NUMBERVALUE(CriteriTecnici!$M50,".",","),IFERROR(NUMBERVALUE(CriteriTecnici!$M50,",","."),0))),4)&amp;""),",",".")&amp;", "&amp;CHAR(34)&amp;"rawScore"&amp;CHAR(34)&amp;": "&amp;SUBSTITUTE(TRIM(ROUND(IFERROR(CriteriTecnici!$O50*1,IFERROR(NUMBERVALUE(CriteriTecnici!$O50,".",","),IFERROR(NUMBERVALUE(CriteriTecnici!$O50,",","."),0))),4)&amp;""),",",".")&amp;CHAR(125)&amp;IF(TRUE,",",""))</f>
        <v/>
      </c>
    </row>
    <row r="152">
      <c r="A152" s="82">
        <f>IF(CriteriTecnici!$A51="","","    "&amp;CHAR(123)&amp;CHAR(34)&amp;"bidderId"&amp;CHAR(34)&amp;": "&amp;CHAR(34)&amp;SUBSTITUTE(CriteriTecnici!$A51,CHAR(34),"'")&amp;CHAR(34)&amp;", "&amp;CHAR(34)&amp;"lotId"&amp;CHAR(34)&amp;": "&amp;CHAR(34)&amp;SUBSTITUTE(CriteriTecnici!$C51,CHAR(34),"'")&amp;CHAR(34)&amp;", "&amp;CHAR(34)&amp;"criterionId"&amp;CHAR(34)&amp;": "&amp;CHAR(34)&amp;SUBSTITUTE(CriteriTecnici!$D51,CHAR(34),"'")&amp;CHAR(34)&amp;", "&amp;CHAR(34)&amp;"kind"&amp;CHAR(34)&amp;": "&amp;CHAR(34)&amp;SUBSTITUTE(CriteriTecnici!$F51,CHAR(34),"'")&amp;CHAR(34)&amp;", "&amp;CHAR(34)&amp;"value"&amp;CHAR(34)&amp;": "&amp;SUBSTITUTE(TRIM(ROUND(IFERROR(CriteriTecnici!$N51*1,IFERROR(NUMBERVALUE(CriteriTecnici!$N51,".",","),IFERROR(NUMBERVALUE(CriteriTecnici!$N51,",","."),0))),4)&amp;""),",",".")&amp;", "&amp;CHAR(34)&amp;"numerator"&amp;CHAR(34)&amp;": "&amp;SUBSTITUTE(TRIM(ROUND(IFERROR(CriteriTecnici!$K51*1,IFERROR(NUMBERVALUE(CriteriTecnici!$K51,".",","),IFERROR(NUMBERVALUE(CriteriTecnici!$K51,",","."),0))),4)&amp;""),",",".")&amp;", "&amp;CHAR(34)&amp;"denominator"&amp;CHAR(34)&amp;": "&amp;SUBSTITUTE(TRIM(ROUND(IFERROR(CriteriTecnici!$L51*1,IFERROR(NUMBERVALUE(CriteriTecnici!$L51,".",","),IFERROR(NUMBERVALUE(CriteriTecnici!$L51,",","."),0))),4)&amp;""),",",".")&amp;", "&amp;CHAR(34)&amp;"flag"&amp;CHAR(34)&amp;": "&amp;SUBSTITUTE(TRIM(ROUND(IFERROR(CriteriTecnici!$M51*1,IFERROR(NUMBERVALUE(CriteriTecnici!$M51,".",","),IFERROR(NUMBERVALUE(CriteriTecnici!$M51,",","."),0))),4)&amp;""),",",".")&amp;", "&amp;CHAR(34)&amp;"rawScore"&amp;CHAR(34)&amp;": "&amp;SUBSTITUTE(TRIM(ROUND(IFERROR(CriteriTecnici!$O51*1,IFERROR(NUMBERVALUE(CriteriTecnici!$O51,".",","),IFERROR(NUMBERVALUE(CriteriTecnici!$O51,",","."),0))),4)&amp;""),",",".")&amp;CHAR(125)&amp;IF(TRUE,",",""))</f>
        <v/>
      </c>
    </row>
    <row r="153">
      <c r="A153" s="82">
        <f>IF(CriteriTecnici!$A52="","","    "&amp;CHAR(123)&amp;CHAR(34)&amp;"bidderId"&amp;CHAR(34)&amp;": "&amp;CHAR(34)&amp;SUBSTITUTE(CriteriTecnici!$A52,CHAR(34),"'")&amp;CHAR(34)&amp;", "&amp;CHAR(34)&amp;"lotId"&amp;CHAR(34)&amp;": "&amp;CHAR(34)&amp;SUBSTITUTE(CriteriTecnici!$C52,CHAR(34),"'")&amp;CHAR(34)&amp;", "&amp;CHAR(34)&amp;"criterionId"&amp;CHAR(34)&amp;": "&amp;CHAR(34)&amp;SUBSTITUTE(CriteriTecnici!$D52,CHAR(34),"'")&amp;CHAR(34)&amp;", "&amp;CHAR(34)&amp;"kind"&amp;CHAR(34)&amp;": "&amp;CHAR(34)&amp;SUBSTITUTE(CriteriTecnici!$F52,CHAR(34),"'")&amp;CHAR(34)&amp;", "&amp;CHAR(34)&amp;"value"&amp;CHAR(34)&amp;": "&amp;SUBSTITUTE(TRIM(ROUND(IFERROR(CriteriTecnici!$N52*1,IFERROR(NUMBERVALUE(CriteriTecnici!$N52,".",","),IFERROR(NUMBERVALUE(CriteriTecnici!$N52,",","."),0))),4)&amp;""),",",".")&amp;", "&amp;CHAR(34)&amp;"numerator"&amp;CHAR(34)&amp;": "&amp;SUBSTITUTE(TRIM(ROUND(IFERROR(CriteriTecnici!$K52*1,IFERROR(NUMBERVALUE(CriteriTecnici!$K52,".",","),IFERROR(NUMBERVALUE(CriteriTecnici!$K52,",","."),0))),4)&amp;""),",",".")&amp;", "&amp;CHAR(34)&amp;"denominator"&amp;CHAR(34)&amp;": "&amp;SUBSTITUTE(TRIM(ROUND(IFERROR(CriteriTecnici!$L52*1,IFERROR(NUMBERVALUE(CriteriTecnici!$L52,".",","),IFERROR(NUMBERVALUE(CriteriTecnici!$L52,",","."),0))),4)&amp;""),",",".")&amp;", "&amp;CHAR(34)&amp;"flag"&amp;CHAR(34)&amp;": "&amp;SUBSTITUTE(TRIM(ROUND(IFERROR(CriteriTecnici!$M52*1,IFERROR(NUMBERVALUE(CriteriTecnici!$M52,".",","),IFERROR(NUMBERVALUE(CriteriTecnici!$M52,",","."),0))),4)&amp;""),",",".")&amp;", "&amp;CHAR(34)&amp;"rawScore"&amp;CHAR(34)&amp;": "&amp;SUBSTITUTE(TRIM(ROUND(IFERROR(CriteriTecnici!$O52*1,IFERROR(NUMBERVALUE(CriteriTecnici!$O52,".",","),IFERROR(NUMBERVALUE(CriteriTecnici!$O52,",","."),0))),4)&amp;""),",",".")&amp;CHAR(125)&amp;IF(TRUE,",",""))</f>
        <v/>
      </c>
    </row>
    <row r="154">
      <c r="A154" s="82">
        <f>IF(CriteriTecnici!$A53="","","    "&amp;CHAR(123)&amp;CHAR(34)&amp;"bidderId"&amp;CHAR(34)&amp;": "&amp;CHAR(34)&amp;SUBSTITUTE(CriteriTecnici!$A53,CHAR(34),"'")&amp;CHAR(34)&amp;", "&amp;CHAR(34)&amp;"lotId"&amp;CHAR(34)&amp;": "&amp;CHAR(34)&amp;SUBSTITUTE(CriteriTecnici!$C53,CHAR(34),"'")&amp;CHAR(34)&amp;", "&amp;CHAR(34)&amp;"criterionId"&amp;CHAR(34)&amp;": "&amp;CHAR(34)&amp;SUBSTITUTE(CriteriTecnici!$D53,CHAR(34),"'")&amp;CHAR(34)&amp;", "&amp;CHAR(34)&amp;"kind"&amp;CHAR(34)&amp;": "&amp;CHAR(34)&amp;SUBSTITUTE(CriteriTecnici!$F53,CHAR(34),"'")&amp;CHAR(34)&amp;", "&amp;CHAR(34)&amp;"value"&amp;CHAR(34)&amp;": "&amp;SUBSTITUTE(TRIM(ROUND(IFERROR(CriteriTecnici!$N53*1,IFERROR(NUMBERVALUE(CriteriTecnici!$N53,".",","),IFERROR(NUMBERVALUE(CriteriTecnici!$N53,",","."),0))),4)&amp;""),",",".")&amp;", "&amp;CHAR(34)&amp;"numerator"&amp;CHAR(34)&amp;": "&amp;SUBSTITUTE(TRIM(ROUND(IFERROR(CriteriTecnici!$K53*1,IFERROR(NUMBERVALUE(CriteriTecnici!$K53,".",","),IFERROR(NUMBERVALUE(CriteriTecnici!$K53,",","."),0))),4)&amp;""),",",".")&amp;", "&amp;CHAR(34)&amp;"denominator"&amp;CHAR(34)&amp;": "&amp;SUBSTITUTE(TRIM(ROUND(IFERROR(CriteriTecnici!$L53*1,IFERROR(NUMBERVALUE(CriteriTecnici!$L53,".",","),IFERROR(NUMBERVALUE(CriteriTecnici!$L53,",","."),0))),4)&amp;""),",",".")&amp;", "&amp;CHAR(34)&amp;"flag"&amp;CHAR(34)&amp;": "&amp;SUBSTITUTE(TRIM(ROUND(IFERROR(CriteriTecnici!$M53*1,IFERROR(NUMBERVALUE(CriteriTecnici!$M53,".",","),IFERROR(NUMBERVALUE(CriteriTecnici!$M53,",","."),0))),4)&amp;""),",",".")&amp;", "&amp;CHAR(34)&amp;"rawScore"&amp;CHAR(34)&amp;": "&amp;SUBSTITUTE(TRIM(ROUND(IFERROR(CriteriTecnici!$O53*1,IFERROR(NUMBERVALUE(CriteriTecnici!$O53,".",","),IFERROR(NUMBERVALUE(CriteriTecnici!$O53,",","."),0))),4)&amp;""),",",".")&amp;CHAR(125)&amp;IF(TRUE,",",""))</f>
        <v/>
      </c>
    </row>
    <row r="155">
      <c r="A155" s="82">
        <f>IF(CriteriTecnici!$A54="","","    "&amp;CHAR(123)&amp;CHAR(34)&amp;"bidderId"&amp;CHAR(34)&amp;": "&amp;CHAR(34)&amp;SUBSTITUTE(CriteriTecnici!$A54,CHAR(34),"'")&amp;CHAR(34)&amp;", "&amp;CHAR(34)&amp;"lotId"&amp;CHAR(34)&amp;": "&amp;CHAR(34)&amp;SUBSTITUTE(CriteriTecnici!$C54,CHAR(34),"'")&amp;CHAR(34)&amp;", "&amp;CHAR(34)&amp;"criterionId"&amp;CHAR(34)&amp;": "&amp;CHAR(34)&amp;SUBSTITUTE(CriteriTecnici!$D54,CHAR(34),"'")&amp;CHAR(34)&amp;", "&amp;CHAR(34)&amp;"kind"&amp;CHAR(34)&amp;": "&amp;CHAR(34)&amp;SUBSTITUTE(CriteriTecnici!$F54,CHAR(34),"'")&amp;CHAR(34)&amp;", "&amp;CHAR(34)&amp;"value"&amp;CHAR(34)&amp;": "&amp;SUBSTITUTE(TRIM(ROUND(IFERROR(CriteriTecnici!$N54*1,IFERROR(NUMBERVALUE(CriteriTecnici!$N54,".",","),IFERROR(NUMBERVALUE(CriteriTecnici!$N54,",","."),0))),4)&amp;""),",",".")&amp;", "&amp;CHAR(34)&amp;"numerator"&amp;CHAR(34)&amp;": "&amp;SUBSTITUTE(TRIM(ROUND(IFERROR(CriteriTecnici!$K54*1,IFERROR(NUMBERVALUE(CriteriTecnici!$K54,".",","),IFERROR(NUMBERVALUE(CriteriTecnici!$K54,",","."),0))),4)&amp;""),",",".")&amp;", "&amp;CHAR(34)&amp;"denominator"&amp;CHAR(34)&amp;": "&amp;SUBSTITUTE(TRIM(ROUND(IFERROR(CriteriTecnici!$L54*1,IFERROR(NUMBERVALUE(CriteriTecnici!$L54,".",","),IFERROR(NUMBERVALUE(CriteriTecnici!$L54,",","."),0))),4)&amp;""),",",".")&amp;", "&amp;CHAR(34)&amp;"flag"&amp;CHAR(34)&amp;": "&amp;SUBSTITUTE(TRIM(ROUND(IFERROR(CriteriTecnici!$M54*1,IFERROR(NUMBERVALUE(CriteriTecnici!$M54,".",","),IFERROR(NUMBERVALUE(CriteriTecnici!$M54,",","."),0))),4)&amp;""),",",".")&amp;", "&amp;CHAR(34)&amp;"rawScore"&amp;CHAR(34)&amp;": "&amp;SUBSTITUTE(TRIM(ROUND(IFERROR(CriteriTecnici!$O54*1,IFERROR(NUMBERVALUE(CriteriTecnici!$O54,".",","),IFERROR(NUMBERVALUE(CriteriTecnici!$O54,",","."),0))),4)&amp;""),",",".")&amp;CHAR(125)&amp;IF(TRUE,",",""))</f>
        <v/>
      </c>
    </row>
    <row r="156">
      <c r="A156" s="82">
        <f>IF(CriteriTecnici!$A55="","","    "&amp;CHAR(123)&amp;CHAR(34)&amp;"bidderId"&amp;CHAR(34)&amp;": "&amp;CHAR(34)&amp;SUBSTITUTE(CriteriTecnici!$A55,CHAR(34),"'")&amp;CHAR(34)&amp;", "&amp;CHAR(34)&amp;"lotId"&amp;CHAR(34)&amp;": "&amp;CHAR(34)&amp;SUBSTITUTE(CriteriTecnici!$C55,CHAR(34),"'")&amp;CHAR(34)&amp;", "&amp;CHAR(34)&amp;"criterionId"&amp;CHAR(34)&amp;": "&amp;CHAR(34)&amp;SUBSTITUTE(CriteriTecnici!$D55,CHAR(34),"'")&amp;CHAR(34)&amp;", "&amp;CHAR(34)&amp;"kind"&amp;CHAR(34)&amp;": "&amp;CHAR(34)&amp;SUBSTITUTE(CriteriTecnici!$F55,CHAR(34),"'")&amp;CHAR(34)&amp;", "&amp;CHAR(34)&amp;"value"&amp;CHAR(34)&amp;": "&amp;SUBSTITUTE(TRIM(ROUND(IFERROR(CriteriTecnici!$N55*1,IFERROR(NUMBERVALUE(CriteriTecnici!$N55,".",","),IFERROR(NUMBERVALUE(CriteriTecnici!$N55,",","."),0))),4)&amp;""),",",".")&amp;", "&amp;CHAR(34)&amp;"numerator"&amp;CHAR(34)&amp;": "&amp;SUBSTITUTE(TRIM(ROUND(IFERROR(CriteriTecnici!$K55*1,IFERROR(NUMBERVALUE(CriteriTecnici!$K55,".",","),IFERROR(NUMBERVALUE(CriteriTecnici!$K55,",","."),0))),4)&amp;""),",",".")&amp;", "&amp;CHAR(34)&amp;"denominator"&amp;CHAR(34)&amp;": "&amp;SUBSTITUTE(TRIM(ROUND(IFERROR(CriteriTecnici!$L55*1,IFERROR(NUMBERVALUE(CriteriTecnici!$L55,".",","),IFERROR(NUMBERVALUE(CriteriTecnici!$L55,",","."),0))),4)&amp;""),",",".")&amp;", "&amp;CHAR(34)&amp;"flag"&amp;CHAR(34)&amp;": "&amp;SUBSTITUTE(TRIM(ROUND(IFERROR(CriteriTecnici!$M55*1,IFERROR(NUMBERVALUE(CriteriTecnici!$M55,".",","),IFERROR(NUMBERVALUE(CriteriTecnici!$M55,",","."),0))),4)&amp;""),",",".")&amp;", "&amp;CHAR(34)&amp;"rawScore"&amp;CHAR(34)&amp;": "&amp;SUBSTITUTE(TRIM(ROUND(IFERROR(CriteriTecnici!$O55*1,IFERROR(NUMBERVALUE(CriteriTecnici!$O55,".",","),IFERROR(NUMBERVALUE(CriteriTecnici!$O55,",","."),0))),4)&amp;""),",",".")&amp;CHAR(125)&amp;IF(TRUE,",",""))</f>
        <v/>
      </c>
    </row>
    <row r="157">
      <c r="A157" s="82">
        <f>IF(CriteriTecnici!$A56="","","    "&amp;CHAR(123)&amp;CHAR(34)&amp;"bidderId"&amp;CHAR(34)&amp;": "&amp;CHAR(34)&amp;SUBSTITUTE(CriteriTecnici!$A56,CHAR(34),"'")&amp;CHAR(34)&amp;", "&amp;CHAR(34)&amp;"lotId"&amp;CHAR(34)&amp;": "&amp;CHAR(34)&amp;SUBSTITUTE(CriteriTecnici!$C56,CHAR(34),"'")&amp;CHAR(34)&amp;", "&amp;CHAR(34)&amp;"criterionId"&amp;CHAR(34)&amp;": "&amp;CHAR(34)&amp;SUBSTITUTE(CriteriTecnici!$D56,CHAR(34),"'")&amp;CHAR(34)&amp;", "&amp;CHAR(34)&amp;"kind"&amp;CHAR(34)&amp;": "&amp;CHAR(34)&amp;SUBSTITUTE(CriteriTecnici!$F56,CHAR(34),"'")&amp;CHAR(34)&amp;", "&amp;CHAR(34)&amp;"value"&amp;CHAR(34)&amp;": "&amp;SUBSTITUTE(TRIM(ROUND(IFERROR(CriteriTecnici!$N56*1,IFERROR(NUMBERVALUE(CriteriTecnici!$N56,".",","),IFERROR(NUMBERVALUE(CriteriTecnici!$N56,",","."),0))),4)&amp;""),",",".")&amp;", "&amp;CHAR(34)&amp;"numerator"&amp;CHAR(34)&amp;": "&amp;SUBSTITUTE(TRIM(ROUND(IFERROR(CriteriTecnici!$K56*1,IFERROR(NUMBERVALUE(CriteriTecnici!$K56,".",","),IFERROR(NUMBERVALUE(CriteriTecnici!$K56,",","."),0))),4)&amp;""),",",".")&amp;", "&amp;CHAR(34)&amp;"denominator"&amp;CHAR(34)&amp;": "&amp;SUBSTITUTE(TRIM(ROUND(IFERROR(CriteriTecnici!$L56*1,IFERROR(NUMBERVALUE(CriteriTecnici!$L56,".",","),IFERROR(NUMBERVALUE(CriteriTecnici!$L56,",","."),0))),4)&amp;""),",",".")&amp;", "&amp;CHAR(34)&amp;"flag"&amp;CHAR(34)&amp;": "&amp;SUBSTITUTE(TRIM(ROUND(IFERROR(CriteriTecnici!$M56*1,IFERROR(NUMBERVALUE(CriteriTecnici!$M56,".",","),IFERROR(NUMBERVALUE(CriteriTecnici!$M56,",","."),0))),4)&amp;""),",",".")&amp;", "&amp;CHAR(34)&amp;"rawScore"&amp;CHAR(34)&amp;": "&amp;SUBSTITUTE(TRIM(ROUND(IFERROR(CriteriTecnici!$O56*1,IFERROR(NUMBERVALUE(CriteriTecnici!$O56,".",","),IFERROR(NUMBERVALUE(CriteriTecnici!$O56,",","."),0))),4)&amp;""),",",".")&amp;CHAR(125)&amp;IF(TRUE,",",""))</f>
        <v/>
      </c>
    </row>
    <row r="158">
      <c r="A158" s="82">
        <f>IF(CriteriTecnici!$A57="","","    "&amp;CHAR(123)&amp;CHAR(34)&amp;"bidderId"&amp;CHAR(34)&amp;": "&amp;CHAR(34)&amp;SUBSTITUTE(CriteriTecnici!$A57,CHAR(34),"'")&amp;CHAR(34)&amp;", "&amp;CHAR(34)&amp;"lotId"&amp;CHAR(34)&amp;": "&amp;CHAR(34)&amp;SUBSTITUTE(CriteriTecnici!$C57,CHAR(34),"'")&amp;CHAR(34)&amp;", "&amp;CHAR(34)&amp;"criterionId"&amp;CHAR(34)&amp;": "&amp;CHAR(34)&amp;SUBSTITUTE(CriteriTecnici!$D57,CHAR(34),"'")&amp;CHAR(34)&amp;", "&amp;CHAR(34)&amp;"kind"&amp;CHAR(34)&amp;": "&amp;CHAR(34)&amp;SUBSTITUTE(CriteriTecnici!$F57,CHAR(34),"'")&amp;CHAR(34)&amp;", "&amp;CHAR(34)&amp;"value"&amp;CHAR(34)&amp;": "&amp;SUBSTITUTE(TRIM(ROUND(IFERROR(CriteriTecnici!$N57*1,IFERROR(NUMBERVALUE(CriteriTecnici!$N57,".",","),IFERROR(NUMBERVALUE(CriteriTecnici!$N57,",","."),0))),4)&amp;""),",",".")&amp;", "&amp;CHAR(34)&amp;"numerator"&amp;CHAR(34)&amp;": "&amp;SUBSTITUTE(TRIM(ROUND(IFERROR(CriteriTecnici!$K57*1,IFERROR(NUMBERVALUE(CriteriTecnici!$K57,".",","),IFERROR(NUMBERVALUE(CriteriTecnici!$K57,",","."),0))),4)&amp;""),",",".")&amp;", "&amp;CHAR(34)&amp;"denominator"&amp;CHAR(34)&amp;": "&amp;SUBSTITUTE(TRIM(ROUND(IFERROR(CriteriTecnici!$L57*1,IFERROR(NUMBERVALUE(CriteriTecnici!$L57,".",","),IFERROR(NUMBERVALUE(CriteriTecnici!$L57,",","."),0))),4)&amp;""),",",".")&amp;", "&amp;CHAR(34)&amp;"flag"&amp;CHAR(34)&amp;": "&amp;SUBSTITUTE(TRIM(ROUND(IFERROR(CriteriTecnici!$M57*1,IFERROR(NUMBERVALUE(CriteriTecnici!$M57,".",","),IFERROR(NUMBERVALUE(CriteriTecnici!$M57,",","."),0))),4)&amp;""),",",".")&amp;", "&amp;CHAR(34)&amp;"rawScore"&amp;CHAR(34)&amp;": "&amp;SUBSTITUTE(TRIM(ROUND(IFERROR(CriteriTecnici!$O57*1,IFERROR(NUMBERVALUE(CriteriTecnici!$O57,".",","),IFERROR(NUMBERVALUE(CriteriTecnici!$O57,",","."),0))),4)&amp;""),",",".")&amp;CHAR(125)&amp;IF(TRUE,",",""))</f>
        <v/>
      </c>
    </row>
    <row r="159">
      <c r="A159" s="82">
        <f>IF(CriteriTecnici!$A58="","","    "&amp;CHAR(123)&amp;CHAR(34)&amp;"bidderId"&amp;CHAR(34)&amp;": "&amp;CHAR(34)&amp;SUBSTITUTE(CriteriTecnici!$A58,CHAR(34),"'")&amp;CHAR(34)&amp;", "&amp;CHAR(34)&amp;"lotId"&amp;CHAR(34)&amp;": "&amp;CHAR(34)&amp;SUBSTITUTE(CriteriTecnici!$C58,CHAR(34),"'")&amp;CHAR(34)&amp;", "&amp;CHAR(34)&amp;"criterionId"&amp;CHAR(34)&amp;": "&amp;CHAR(34)&amp;SUBSTITUTE(CriteriTecnici!$D58,CHAR(34),"'")&amp;CHAR(34)&amp;", "&amp;CHAR(34)&amp;"kind"&amp;CHAR(34)&amp;": "&amp;CHAR(34)&amp;SUBSTITUTE(CriteriTecnici!$F58,CHAR(34),"'")&amp;CHAR(34)&amp;", "&amp;CHAR(34)&amp;"value"&amp;CHAR(34)&amp;": "&amp;SUBSTITUTE(TRIM(ROUND(IFERROR(CriteriTecnici!$N58*1,IFERROR(NUMBERVALUE(CriteriTecnici!$N58,".",","),IFERROR(NUMBERVALUE(CriteriTecnici!$N58,",","."),0))),4)&amp;""),",",".")&amp;", "&amp;CHAR(34)&amp;"numerator"&amp;CHAR(34)&amp;": "&amp;SUBSTITUTE(TRIM(ROUND(IFERROR(CriteriTecnici!$K58*1,IFERROR(NUMBERVALUE(CriteriTecnici!$K58,".",","),IFERROR(NUMBERVALUE(CriteriTecnici!$K58,",","."),0))),4)&amp;""),",",".")&amp;", "&amp;CHAR(34)&amp;"denominator"&amp;CHAR(34)&amp;": "&amp;SUBSTITUTE(TRIM(ROUND(IFERROR(CriteriTecnici!$L58*1,IFERROR(NUMBERVALUE(CriteriTecnici!$L58,".",","),IFERROR(NUMBERVALUE(CriteriTecnici!$L58,",","."),0))),4)&amp;""),",",".")&amp;", "&amp;CHAR(34)&amp;"flag"&amp;CHAR(34)&amp;": "&amp;SUBSTITUTE(TRIM(ROUND(IFERROR(CriteriTecnici!$M58*1,IFERROR(NUMBERVALUE(CriteriTecnici!$M58,".",","),IFERROR(NUMBERVALUE(CriteriTecnici!$M58,",","."),0))),4)&amp;""),",",".")&amp;", "&amp;CHAR(34)&amp;"rawScore"&amp;CHAR(34)&amp;": "&amp;SUBSTITUTE(TRIM(ROUND(IFERROR(CriteriTecnici!$O58*1,IFERROR(NUMBERVALUE(CriteriTecnici!$O58,".",","),IFERROR(NUMBERVALUE(CriteriTecnici!$O58,",","."),0))),4)&amp;""),",",".")&amp;CHAR(125)&amp;IF(TRUE,",",""))</f>
        <v/>
      </c>
    </row>
    <row r="160">
      <c r="A160" s="82">
        <f>IF(CriteriTecnici!$A59="","","    "&amp;CHAR(123)&amp;CHAR(34)&amp;"bidderId"&amp;CHAR(34)&amp;": "&amp;CHAR(34)&amp;SUBSTITUTE(CriteriTecnici!$A59,CHAR(34),"'")&amp;CHAR(34)&amp;", "&amp;CHAR(34)&amp;"lotId"&amp;CHAR(34)&amp;": "&amp;CHAR(34)&amp;SUBSTITUTE(CriteriTecnici!$C59,CHAR(34),"'")&amp;CHAR(34)&amp;", "&amp;CHAR(34)&amp;"criterionId"&amp;CHAR(34)&amp;": "&amp;CHAR(34)&amp;SUBSTITUTE(CriteriTecnici!$D59,CHAR(34),"'")&amp;CHAR(34)&amp;", "&amp;CHAR(34)&amp;"kind"&amp;CHAR(34)&amp;": "&amp;CHAR(34)&amp;SUBSTITUTE(CriteriTecnici!$F59,CHAR(34),"'")&amp;CHAR(34)&amp;", "&amp;CHAR(34)&amp;"value"&amp;CHAR(34)&amp;": "&amp;SUBSTITUTE(TRIM(ROUND(IFERROR(CriteriTecnici!$N59*1,IFERROR(NUMBERVALUE(CriteriTecnici!$N59,".",","),IFERROR(NUMBERVALUE(CriteriTecnici!$N59,",","."),0))),4)&amp;""),",",".")&amp;", "&amp;CHAR(34)&amp;"numerator"&amp;CHAR(34)&amp;": "&amp;SUBSTITUTE(TRIM(ROUND(IFERROR(CriteriTecnici!$K59*1,IFERROR(NUMBERVALUE(CriteriTecnici!$K59,".",","),IFERROR(NUMBERVALUE(CriteriTecnici!$K59,",","."),0))),4)&amp;""),",",".")&amp;", "&amp;CHAR(34)&amp;"denominator"&amp;CHAR(34)&amp;": "&amp;SUBSTITUTE(TRIM(ROUND(IFERROR(CriteriTecnici!$L59*1,IFERROR(NUMBERVALUE(CriteriTecnici!$L59,".",","),IFERROR(NUMBERVALUE(CriteriTecnici!$L59,",","."),0))),4)&amp;""),",",".")&amp;", "&amp;CHAR(34)&amp;"flag"&amp;CHAR(34)&amp;": "&amp;SUBSTITUTE(TRIM(ROUND(IFERROR(CriteriTecnici!$M59*1,IFERROR(NUMBERVALUE(CriteriTecnici!$M59,".",","),IFERROR(NUMBERVALUE(CriteriTecnici!$M59,",","."),0))),4)&amp;""),",",".")&amp;", "&amp;CHAR(34)&amp;"rawScore"&amp;CHAR(34)&amp;": "&amp;SUBSTITUTE(TRIM(ROUND(IFERROR(CriteriTecnici!$O59*1,IFERROR(NUMBERVALUE(CriteriTecnici!$O59,".",","),IFERROR(NUMBERVALUE(CriteriTecnici!$O59,",","."),0))),4)&amp;""),",",".")&amp;CHAR(125)&amp;IF(TRUE,",",""))</f>
        <v/>
      </c>
    </row>
    <row r="161">
      <c r="A161" s="82">
        <f>IF(CriteriTecnici!$A60="","","    "&amp;CHAR(123)&amp;CHAR(34)&amp;"bidderId"&amp;CHAR(34)&amp;": "&amp;CHAR(34)&amp;SUBSTITUTE(CriteriTecnici!$A60,CHAR(34),"'")&amp;CHAR(34)&amp;", "&amp;CHAR(34)&amp;"lotId"&amp;CHAR(34)&amp;": "&amp;CHAR(34)&amp;SUBSTITUTE(CriteriTecnici!$C60,CHAR(34),"'")&amp;CHAR(34)&amp;", "&amp;CHAR(34)&amp;"criterionId"&amp;CHAR(34)&amp;": "&amp;CHAR(34)&amp;SUBSTITUTE(CriteriTecnici!$D60,CHAR(34),"'")&amp;CHAR(34)&amp;", "&amp;CHAR(34)&amp;"kind"&amp;CHAR(34)&amp;": "&amp;CHAR(34)&amp;SUBSTITUTE(CriteriTecnici!$F60,CHAR(34),"'")&amp;CHAR(34)&amp;", "&amp;CHAR(34)&amp;"value"&amp;CHAR(34)&amp;": "&amp;SUBSTITUTE(TRIM(ROUND(IFERROR(CriteriTecnici!$N60*1,IFERROR(NUMBERVALUE(CriteriTecnici!$N60,".",","),IFERROR(NUMBERVALUE(CriteriTecnici!$N60,",","."),0))),4)&amp;""),",",".")&amp;", "&amp;CHAR(34)&amp;"numerator"&amp;CHAR(34)&amp;": "&amp;SUBSTITUTE(TRIM(ROUND(IFERROR(CriteriTecnici!$K60*1,IFERROR(NUMBERVALUE(CriteriTecnici!$K60,".",","),IFERROR(NUMBERVALUE(CriteriTecnici!$K60,",","."),0))),4)&amp;""),",",".")&amp;", "&amp;CHAR(34)&amp;"denominator"&amp;CHAR(34)&amp;": "&amp;SUBSTITUTE(TRIM(ROUND(IFERROR(CriteriTecnici!$L60*1,IFERROR(NUMBERVALUE(CriteriTecnici!$L60,".",","),IFERROR(NUMBERVALUE(CriteriTecnici!$L60,",","."),0))),4)&amp;""),",",".")&amp;", "&amp;CHAR(34)&amp;"flag"&amp;CHAR(34)&amp;": "&amp;SUBSTITUTE(TRIM(ROUND(IFERROR(CriteriTecnici!$M60*1,IFERROR(NUMBERVALUE(CriteriTecnici!$M60,".",","),IFERROR(NUMBERVALUE(CriteriTecnici!$M60,",","."),0))),4)&amp;""),",",".")&amp;", "&amp;CHAR(34)&amp;"rawScore"&amp;CHAR(34)&amp;": "&amp;SUBSTITUTE(TRIM(ROUND(IFERROR(CriteriTecnici!$O60*1,IFERROR(NUMBERVALUE(CriteriTecnici!$O60,".",","),IFERROR(NUMBERVALUE(CriteriTecnici!$O60,",","."),0))),4)&amp;""),",",".")&amp;CHAR(125)&amp;IF(TRUE,",",""))</f>
        <v/>
      </c>
    </row>
    <row r="162">
      <c r="A162" s="82">
        <f>IF(CriteriTecnici!$A61="","","    "&amp;CHAR(123)&amp;CHAR(34)&amp;"bidderId"&amp;CHAR(34)&amp;": "&amp;CHAR(34)&amp;SUBSTITUTE(CriteriTecnici!$A61,CHAR(34),"'")&amp;CHAR(34)&amp;", "&amp;CHAR(34)&amp;"lotId"&amp;CHAR(34)&amp;": "&amp;CHAR(34)&amp;SUBSTITUTE(CriteriTecnici!$C61,CHAR(34),"'")&amp;CHAR(34)&amp;", "&amp;CHAR(34)&amp;"criterionId"&amp;CHAR(34)&amp;": "&amp;CHAR(34)&amp;SUBSTITUTE(CriteriTecnici!$D61,CHAR(34),"'")&amp;CHAR(34)&amp;", "&amp;CHAR(34)&amp;"kind"&amp;CHAR(34)&amp;": "&amp;CHAR(34)&amp;SUBSTITUTE(CriteriTecnici!$F61,CHAR(34),"'")&amp;CHAR(34)&amp;", "&amp;CHAR(34)&amp;"value"&amp;CHAR(34)&amp;": "&amp;SUBSTITUTE(TRIM(ROUND(IFERROR(CriteriTecnici!$N61*1,IFERROR(NUMBERVALUE(CriteriTecnici!$N61,".",","),IFERROR(NUMBERVALUE(CriteriTecnici!$N61,",","."),0))),4)&amp;""),",",".")&amp;", "&amp;CHAR(34)&amp;"numerator"&amp;CHAR(34)&amp;": "&amp;SUBSTITUTE(TRIM(ROUND(IFERROR(CriteriTecnici!$K61*1,IFERROR(NUMBERVALUE(CriteriTecnici!$K61,".",","),IFERROR(NUMBERVALUE(CriteriTecnici!$K61,",","."),0))),4)&amp;""),",",".")&amp;", "&amp;CHAR(34)&amp;"denominator"&amp;CHAR(34)&amp;": "&amp;SUBSTITUTE(TRIM(ROUND(IFERROR(CriteriTecnici!$L61*1,IFERROR(NUMBERVALUE(CriteriTecnici!$L61,".",","),IFERROR(NUMBERVALUE(CriteriTecnici!$L61,",","."),0))),4)&amp;""),",",".")&amp;", "&amp;CHAR(34)&amp;"flag"&amp;CHAR(34)&amp;": "&amp;SUBSTITUTE(TRIM(ROUND(IFERROR(CriteriTecnici!$M61*1,IFERROR(NUMBERVALUE(CriteriTecnici!$M61,".",","),IFERROR(NUMBERVALUE(CriteriTecnici!$M61,",","."),0))),4)&amp;""),",",".")&amp;", "&amp;CHAR(34)&amp;"rawScore"&amp;CHAR(34)&amp;": "&amp;SUBSTITUTE(TRIM(ROUND(IFERROR(CriteriTecnici!$O61*1,IFERROR(NUMBERVALUE(CriteriTecnici!$O61,".",","),IFERROR(NUMBERVALUE(CriteriTecnici!$O61,",","."),0))),4)&amp;""),",",".")&amp;CHAR(125)&amp;IF(TRUE,",",""))</f>
        <v/>
      </c>
    </row>
    <row r="163">
      <c r="A163" s="82">
        <f>IF(CriteriTecnici!$A62="","","    "&amp;CHAR(123)&amp;CHAR(34)&amp;"bidderId"&amp;CHAR(34)&amp;": "&amp;CHAR(34)&amp;SUBSTITUTE(CriteriTecnici!$A62,CHAR(34),"'")&amp;CHAR(34)&amp;", "&amp;CHAR(34)&amp;"lotId"&amp;CHAR(34)&amp;": "&amp;CHAR(34)&amp;SUBSTITUTE(CriteriTecnici!$C62,CHAR(34),"'")&amp;CHAR(34)&amp;", "&amp;CHAR(34)&amp;"criterionId"&amp;CHAR(34)&amp;": "&amp;CHAR(34)&amp;SUBSTITUTE(CriteriTecnici!$D62,CHAR(34),"'")&amp;CHAR(34)&amp;", "&amp;CHAR(34)&amp;"kind"&amp;CHAR(34)&amp;": "&amp;CHAR(34)&amp;SUBSTITUTE(CriteriTecnici!$F62,CHAR(34),"'")&amp;CHAR(34)&amp;", "&amp;CHAR(34)&amp;"value"&amp;CHAR(34)&amp;": "&amp;SUBSTITUTE(TRIM(ROUND(IFERROR(CriteriTecnici!$N62*1,IFERROR(NUMBERVALUE(CriteriTecnici!$N62,".",","),IFERROR(NUMBERVALUE(CriteriTecnici!$N62,",","."),0))),4)&amp;""),",",".")&amp;", "&amp;CHAR(34)&amp;"numerator"&amp;CHAR(34)&amp;": "&amp;SUBSTITUTE(TRIM(ROUND(IFERROR(CriteriTecnici!$K62*1,IFERROR(NUMBERVALUE(CriteriTecnici!$K62,".",","),IFERROR(NUMBERVALUE(CriteriTecnici!$K62,",","."),0))),4)&amp;""),",",".")&amp;", "&amp;CHAR(34)&amp;"denominator"&amp;CHAR(34)&amp;": "&amp;SUBSTITUTE(TRIM(ROUND(IFERROR(CriteriTecnici!$L62*1,IFERROR(NUMBERVALUE(CriteriTecnici!$L62,".",","),IFERROR(NUMBERVALUE(CriteriTecnici!$L62,",","."),0))),4)&amp;""),",",".")&amp;", "&amp;CHAR(34)&amp;"flag"&amp;CHAR(34)&amp;": "&amp;SUBSTITUTE(TRIM(ROUND(IFERROR(CriteriTecnici!$M62*1,IFERROR(NUMBERVALUE(CriteriTecnici!$M62,".",","),IFERROR(NUMBERVALUE(CriteriTecnici!$M62,",","."),0))),4)&amp;""),",",".")&amp;", "&amp;CHAR(34)&amp;"rawScore"&amp;CHAR(34)&amp;": "&amp;SUBSTITUTE(TRIM(ROUND(IFERROR(CriteriTecnici!$O62*1,IFERROR(NUMBERVALUE(CriteriTecnici!$O62,".",","),IFERROR(NUMBERVALUE(CriteriTecnici!$O62,",","."),0))),4)&amp;""),",",".")&amp;CHAR(125)&amp;IF(TRUE,",",""))</f>
        <v/>
      </c>
    </row>
    <row r="164">
      <c r="A164" s="82">
        <f>IF(CriteriTecnici!$A63="","","    "&amp;CHAR(123)&amp;CHAR(34)&amp;"bidderId"&amp;CHAR(34)&amp;": "&amp;CHAR(34)&amp;SUBSTITUTE(CriteriTecnici!$A63,CHAR(34),"'")&amp;CHAR(34)&amp;", "&amp;CHAR(34)&amp;"lotId"&amp;CHAR(34)&amp;": "&amp;CHAR(34)&amp;SUBSTITUTE(CriteriTecnici!$C63,CHAR(34),"'")&amp;CHAR(34)&amp;", "&amp;CHAR(34)&amp;"criterionId"&amp;CHAR(34)&amp;": "&amp;CHAR(34)&amp;SUBSTITUTE(CriteriTecnici!$D63,CHAR(34),"'")&amp;CHAR(34)&amp;", "&amp;CHAR(34)&amp;"kind"&amp;CHAR(34)&amp;": "&amp;CHAR(34)&amp;SUBSTITUTE(CriteriTecnici!$F63,CHAR(34),"'")&amp;CHAR(34)&amp;", "&amp;CHAR(34)&amp;"value"&amp;CHAR(34)&amp;": "&amp;SUBSTITUTE(TRIM(ROUND(IFERROR(CriteriTecnici!$N63*1,IFERROR(NUMBERVALUE(CriteriTecnici!$N63,".",","),IFERROR(NUMBERVALUE(CriteriTecnici!$N63,",","."),0))),4)&amp;""),",",".")&amp;", "&amp;CHAR(34)&amp;"numerator"&amp;CHAR(34)&amp;": "&amp;SUBSTITUTE(TRIM(ROUND(IFERROR(CriteriTecnici!$K63*1,IFERROR(NUMBERVALUE(CriteriTecnici!$K63,".",","),IFERROR(NUMBERVALUE(CriteriTecnici!$K63,",","."),0))),4)&amp;""),",",".")&amp;", "&amp;CHAR(34)&amp;"denominator"&amp;CHAR(34)&amp;": "&amp;SUBSTITUTE(TRIM(ROUND(IFERROR(CriteriTecnici!$L63*1,IFERROR(NUMBERVALUE(CriteriTecnici!$L63,".",","),IFERROR(NUMBERVALUE(CriteriTecnici!$L63,",","."),0))),4)&amp;""),",",".")&amp;", "&amp;CHAR(34)&amp;"flag"&amp;CHAR(34)&amp;": "&amp;SUBSTITUTE(TRIM(ROUND(IFERROR(CriteriTecnici!$M63*1,IFERROR(NUMBERVALUE(CriteriTecnici!$M63,".",","),IFERROR(NUMBERVALUE(CriteriTecnici!$M63,",","."),0))),4)&amp;""),",",".")&amp;", "&amp;CHAR(34)&amp;"rawScore"&amp;CHAR(34)&amp;": "&amp;SUBSTITUTE(TRIM(ROUND(IFERROR(CriteriTecnici!$O63*1,IFERROR(NUMBERVALUE(CriteriTecnici!$O63,".",","),IFERROR(NUMBERVALUE(CriteriTecnici!$O63,",","."),0))),4)&amp;""),",",".")&amp;CHAR(125)&amp;IF(TRUE,",",""))</f>
        <v/>
      </c>
    </row>
    <row r="165">
      <c r="A165" s="82">
        <f>IF(CriteriTecnici!$A64="","","    "&amp;CHAR(123)&amp;CHAR(34)&amp;"bidderId"&amp;CHAR(34)&amp;": "&amp;CHAR(34)&amp;SUBSTITUTE(CriteriTecnici!$A64,CHAR(34),"'")&amp;CHAR(34)&amp;", "&amp;CHAR(34)&amp;"lotId"&amp;CHAR(34)&amp;": "&amp;CHAR(34)&amp;SUBSTITUTE(CriteriTecnici!$C64,CHAR(34),"'")&amp;CHAR(34)&amp;", "&amp;CHAR(34)&amp;"criterionId"&amp;CHAR(34)&amp;": "&amp;CHAR(34)&amp;SUBSTITUTE(CriteriTecnici!$D64,CHAR(34),"'")&amp;CHAR(34)&amp;", "&amp;CHAR(34)&amp;"kind"&amp;CHAR(34)&amp;": "&amp;CHAR(34)&amp;SUBSTITUTE(CriteriTecnici!$F64,CHAR(34),"'")&amp;CHAR(34)&amp;", "&amp;CHAR(34)&amp;"value"&amp;CHAR(34)&amp;": "&amp;SUBSTITUTE(TRIM(ROUND(IFERROR(CriteriTecnici!$N64*1,IFERROR(NUMBERVALUE(CriteriTecnici!$N64,".",","),IFERROR(NUMBERVALUE(CriteriTecnici!$N64,",","."),0))),4)&amp;""),",",".")&amp;", "&amp;CHAR(34)&amp;"numerator"&amp;CHAR(34)&amp;": "&amp;SUBSTITUTE(TRIM(ROUND(IFERROR(CriteriTecnici!$K64*1,IFERROR(NUMBERVALUE(CriteriTecnici!$K64,".",","),IFERROR(NUMBERVALUE(CriteriTecnici!$K64,",","."),0))),4)&amp;""),",",".")&amp;", "&amp;CHAR(34)&amp;"denominator"&amp;CHAR(34)&amp;": "&amp;SUBSTITUTE(TRIM(ROUND(IFERROR(CriteriTecnici!$L64*1,IFERROR(NUMBERVALUE(CriteriTecnici!$L64,".",","),IFERROR(NUMBERVALUE(CriteriTecnici!$L64,",","."),0))),4)&amp;""),",",".")&amp;", "&amp;CHAR(34)&amp;"flag"&amp;CHAR(34)&amp;": "&amp;SUBSTITUTE(TRIM(ROUND(IFERROR(CriteriTecnici!$M64*1,IFERROR(NUMBERVALUE(CriteriTecnici!$M64,".",","),IFERROR(NUMBERVALUE(CriteriTecnici!$M64,",","."),0))),4)&amp;""),",",".")&amp;", "&amp;CHAR(34)&amp;"rawScore"&amp;CHAR(34)&amp;": "&amp;SUBSTITUTE(TRIM(ROUND(IFERROR(CriteriTecnici!$O64*1,IFERROR(NUMBERVALUE(CriteriTecnici!$O64,".",","),IFERROR(NUMBERVALUE(CriteriTecnici!$O64,",","."),0))),4)&amp;""),",",".")&amp;CHAR(125)&amp;IF(TRUE,",",""))</f>
        <v/>
      </c>
    </row>
    <row r="166">
      <c r="A166" s="82">
        <f>IF(CriteriTecnici!$A65="","","    "&amp;CHAR(123)&amp;CHAR(34)&amp;"bidderId"&amp;CHAR(34)&amp;": "&amp;CHAR(34)&amp;SUBSTITUTE(CriteriTecnici!$A65,CHAR(34),"'")&amp;CHAR(34)&amp;", "&amp;CHAR(34)&amp;"lotId"&amp;CHAR(34)&amp;": "&amp;CHAR(34)&amp;SUBSTITUTE(CriteriTecnici!$C65,CHAR(34),"'")&amp;CHAR(34)&amp;", "&amp;CHAR(34)&amp;"criterionId"&amp;CHAR(34)&amp;": "&amp;CHAR(34)&amp;SUBSTITUTE(CriteriTecnici!$D65,CHAR(34),"'")&amp;CHAR(34)&amp;", "&amp;CHAR(34)&amp;"kind"&amp;CHAR(34)&amp;": "&amp;CHAR(34)&amp;SUBSTITUTE(CriteriTecnici!$F65,CHAR(34),"'")&amp;CHAR(34)&amp;", "&amp;CHAR(34)&amp;"value"&amp;CHAR(34)&amp;": "&amp;SUBSTITUTE(TRIM(ROUND(IFERROR(CriteriTecnici!$N65*1,IFERROR(NUMBERVALUE(CriteriTecnici!$N65,".",","),IFERROR(NUMBERVALUE(CriteriTecnici!$N65,",","."),0))),4)&amp;""),",",".")&amp;", "&amp;CHAR(34)&amp;"numerator"&amp;CHAR(34)&amp;": "&amp;SUBSTITUTE(TRIM(ROUND(IFERROR(CriteriTecnici!$K65*1,IFERROR(NUMBERVALUE(CriteriTecnici!$K65,".",","),IFERROR(NUMBERVALUE(CriteriTecnici!$K65,",","."),0))),4)&amp;""),",",".")&amp;", "&amp;CHAR(34)&amp;"denominator"&amp;CHAR(34)&amp;": "&amp;SUBSTITUTE(TRIM(ROUND(IFERROR(CriteriTecnici!$L65*1,IFERROR(NUMBERVALUE(CriteriTecnici!$L65,".",","),IFERROR(NUMBERVALUE(CriteriTecnici!$L65,",","."),0))),4)&amp;""),",",".")&amp;", "&amp;CHAR(34)&amp;"flag"&amp;CHAR(34)&amp;": "&amp;SUBSTITUTE(TRIM(ROUND(IFERROR(CriteriTecnici!$M65*1,IFERROR(NUMBERVALUE(CriteriTecnici!$M65,".",","),IFERROR(NUMBERVALUE(CriteriTecnici!$M65,",","."),0))),4)&amp;""),",",".")&amp;", "&amp;CHAR(34)&amp;"rawScore"&amp;CHAR(34)&amp;": "&amp;SUBSTITUTE(TRIM(ROUND(IFERROR(CriteriTecnici!$O65*1,IFERROR(NUMBERVALUE(CriteriTecnici!$O65,".",","),IFERROR(NUMBERVALUE(CriteriTecnici!$O65,",","."),0))),4)&amp;""),",",".")&amp;CHAR(125)&amp;IF(TRUE,",",""))</f>
        <v/>
      </c>
    </row>
    <row r="167">
      <c r="A167" s="82">
        <f>IF(CriteriTecnici!$A66="","","    "&amp;CHAR(123)&amp;CHAR(34)&amp;"bidderId"&amp;CHAR(34)&amp;": "&amp;CHAR(34)&amp;SUBSTITUTE(CriteriTecnici!$A66,CHAR(34),"'")&amp;CHAR(34)&amp;", "&amp;CHAR(34)&amp;"lotId"&amp;CHAR(34)&amp;": "&amp;CHAR(34)&amp;SUBSTITUTE(CriteriTecnici!$C66,CHAR(34),"'")&amp;CHAR(34)&amp;", "&amp;CHAR(34)&amp;"criterionId"&amp;CHAR(34)&amp;": "&amp;CHAR(34)&amp;SUBSTITUTE(CriteriTecnici!$D66,CHAR(34),"'")&amp;CHAR(34)&amp;", "&amp;CHAR(34)&amp;"kind"&amp;CHAR(34)&amp;": "&amp;CHAR(34)&amp;SUBSTITUTE(CriteriTecnici!$F66,CHAR(34),"'")&amp;CHAR(34)&amp;", "&amp;CHAR(34)&amp;"value"&amp;CHAR(34)&amp;": "&amp;SUBSTITUTE(TRIM(ROUND(IFERROR(CriteriTecnici!$N66*1,IFERROR(NUMBERVALUE(CriteriTecnici!$N66,".",","),IFERROR(NUMBERVALUE(CriteriTecnici!$N66,",","."),0))),4)&amp;""),",",".")&amp;", "&amp;CHAR(34)&amp;"numerator"&amp;CHAR(34)&amp;": "&amp;SUBSTITUTE(TRIM(ROUND(IFERROR(CriteriTecnici!$K66*1,IFERROR(NUMBERVALUE(CriteriTecnici!$K66,".",","),IFERROR(NUMBERVALUE(CriteriTecnici!$K66,",","."),0))),4)&amp;""),",",".")&amp;", "&amp;CHAR(34)&amp;"denominator"&amp;CHAR(34)&amp;": "&amp;SUBSTITUTE(TRIM(ROUND(IFERROR(CriteriTecnici!$L66*1,IFERROR(NUMBERVALUE(CriteriTecnici!$L66,".",","),IFERROR(NUMBERVALUE(CriteriTecnici!$L66,",","."),0))),4)&amp;""),",",".")&amp;", "&amp;CHAR(34)&amp;"flag"&amp;CHAR(34)&amp;": "&amp;SUBSTITUTE(TRIM(ROUND(IFERROR(CriteriTecnici!$M66*1,IFERROR(NUMBERVALUE(CriteriTecnici!$M66,".",","),IFERROR(NUMBERVALUE(CriteriTecnici!$M66,",","."),0))),4)&amp;""),",",".")&amp;", "&amp;CHAR(34)&amp;"rawScore"&amp;CHAR(34)&amp;": "&amp;SUBSTITUTE(TRIM(ROUND(IFERROR(CriteriTecnici!$O66*1,IFERROR(NUMBERVALUE(CriteriTecnici!$O66,".",","),IFERROR(NUMBERVALUE(CriteriTecnici!$O66,",","."),0))),4)&amp;""),",",".")&amp;CHAR(125)&amp;IF(COUNTA(Offerte!$A4:$A$81)&gt;0,",",""))</f>
        <v/>
      </c>
    </row>
    <row r="168">
      <c r="A168" s="82">
        <f>IF(CriteriTecnici!$A67="","","    "&amp;CHAR(123)&amp;CHAR(34)&amp;"bidderId"&amp;CHAR(34)&amp;": "&amp;CHAR(34)&amp;SUBSTITUTE(CriteriTecnici!$A67,CHAR(34),"'")&amp;CHAR(34)&amp;", "&amp;CHAR(34)&amp;"lotId"&amp;CHAR(34)&amp;": "&amp;CHAR(34)&amp;SUBSTITUTE(CriteriTecnici!$C67,CHAR(34),"'")&amp;CHAR(34)&amp;", "&amp;CHAR(34)&amp;"criterionId"&amp;CHAR(34)&amp;": "&amp;CHAR(34)&amp;SUBSTITUTE(CriteriTecnici!$D67,CHAR(34),"'")&amp;CHAR(34)&amp;", "&amp;CHAR(34)&amp;"kind"&amp;CHAR(34)&amp;": "&amp;CHAR(34)&amp;SUBSTITUTE(CriteriTecnici!$F67,CHAR(34),"'")&amp;CHAR(34)&amp;", "&amp;CHAR(34)&amp;"value"&amp;CHAR(34)&amp;": "&amp;SUBSTITUTE(TRIM(ROUND(IFERROR(CriteriTecnici!$N67*1,IFERROR(NUMBERVALUE(CriteriTecnici!$N67,".",","),IFERROR(NUMBERVALUE(CriteriTecnici!$N67,",","."),0))),4)&amp;""),",",".")&amp;", "&amp;CHAR(34)&amp;"numerator"&amp;CHAR(34)&amp;": "&amp;SUBSTITUTE(TRIM(ROUND(IFERROR(CriteriTecnici!$K67*1,IFERROR(NUMBERVALUE(CriteriTecnici!$K67,".",","),IFERROR(NUMBERVALUE(CriteriTecnici!$K67,",","."),0))),4)&amp;""),",",".")&amp;", "&amp;CHAR(34)&amp;"denominator"&amp;CHAR(34)&amp;": "&amp;SUBSTITUTE(TRIM(ROUND(IFERROR(CriteriTecnici!$L67*1,IFERROR(NUMBERVALUE(CriteriTecnici!$L67,".",","),IFERROR(NUMBERVALUE(CriteriTecnici!$L67,",","."),0))),4)&amp;""),",",".")&amp;", "&amp;CHAR(34)&amp;"flag"&amp;CHAR(34)&amp;": "&amp;SUBSTITUTE(TRIM(ROUND(IFERROR(CriteriTecnici!$M67*1,IFERROR(NUMBERVALUE(CriteriTecnici!$M67,".",","),IFERROR(NUMBERVALUE(CriteriTecnici!$M67,",","."),0))),4)&amp;""),",",".")&amp;", "&amp;CHAR(34)&amp;"rawScore"&amp;CHAR(34)&amp;": "&amp;SUBSTITUTE(TRIM(ROUND(IFERROR(CriteriTecnici!$O67*1,IFERROR(NUMBERVALUE(CriteriTecnici!$O67,".",","),IFERROR(NUMBERVALUE(CriteriTecnici!$O67,",","."),0))),4)&amp;""),",",".")&amp;CHAR(125)&amp;IF(TRUE,",",""))</f>
        <v/>
      </c>
    </row>
    <row r="169">
      <c r="A169" s="82">
        <f>IF(CriteriTecnici!$A68="","","    "&amp;CHAR(123)&amp;CHAR(34)&amp;"bidderId"&amp;CHAR(34)&amp;": "&amp;CHAR(34)&amp;SUBSTITUTE(CriteriTecnici!$A68,CHAR(34),"'")&amp;CHAR(34)&amp;", "&amp;CHAR(34)&amp;"lotId"&amp;CHAR(34)&amp;": "&amp;CHAR(34)&amp;SUBSTITUTE(CriteriTecnici!$C68,CHAR(34),"'")&amp;CHAR(34)&amp;", "&amp;CHAR(34)&amp;"criterionId"&amp;CHAR(34)&amp;": "&amp;CHAR(34)&amp;SUBSTITUTE(CriteriTecnici!$D68,CHAR(34),"'")&amp;CHAR(34)&amp;", "&amp;CHAR(34)&amp;"kind"&amp;CHAR(34)&amp;": "&amp;CHAR(34)&amp;SUBSTITUTE(CriteriTecnici!$F68,CHAR(34),"'")&amp;CHAR(34)&amp;", "&amp;CHAR(34)&amp;"value"&amp;CHAR(34)&amp;": "&amp;SUBSTITUTE(TRIM(ROUND(IFERROR(CriteriTecnici!$N68*1,IFERROR(NUMBERVALUE(CriteriTecnici!$N68,".",","),IFERROR(NUMBERVALUE(CriteriTecnici!$N68,",","."),0))),4)&amp;""),",",".")&amp;", "&amp;CHAR(34)&amp;"numerator"&amp;CHAR(34)&amp;": "&amp;SUBSTITUTE(TRIM(ROUND(IFERROR(CriteriTecnici!$K68*1,IFERROR(NUMBERVALUE(CriteriTecnici!$K68,".",","),IFERROR(NUMBERVALUE(CriteriTecnici!$K68,",","."),0))),4)&amp;""),",",".")&amp;", "&amp;CHAR(34)&amp;"denominator"&amp;CHAR(34)&amp;": "&amp;SUBSTITUTE(TRIM(ROUND(IFERROR(CriteriTecnici!$L68*1,IFERROR(NUMBERVALUE(CriteriTecnici!$L68,".",","),IFERROR(NUMBERVALUE(CriteriTecnici!$L68,",","."),0))),4)&amp;""),",",".")&amp;", "&amp;CHAR(34)&amp;"flag"&amp;CHAR(34)&amp;": "&amp;SUBSTITUTE(TRIM(ROUND(IFERROR(CriteriTecnici!$M68*1,IFERROR(NUMBERVALUE(CriteriTecnici!$M68,".",","),IFERROR(NUMBERVALUE(CriteriTecnici!$M68,",","."),0))),4)&amp;""),",",".")&amp;", "&amp;CHAR(34)&amp;"rawScore"&amp;CHAR(34)&amp;": "&amp;SUBSTITUTE(TRIM(ROUND(IFERROR(CriteriTecnici!$O68*1,IFERROR(NUMBERVALUE(CriteriTecnici!$O68,".",","),IFERROR(NUMBERVALUE(CriteriTecnici!$O68,",","."),0))),4)&amp;""),",",".")&amp;CHAR(125)&amp;IF(TRUE,",",""))</f>
        <v/>
      </c>
    </row>
    <row r="170">
      <c r="A170" s="82">
        <f>IF(CriteriTecnici!$A69="","","    "&amp;CHAR(123)&amp;CHAR(34)&amp;"bidderId"&amp;CHAR(34)&amp;": "&amp;CHAR(34)&amp;SUBSTITUTE(CriteriTecnici!$A69,CHAR(34),"'")&amp;CHAR(34)&amp;", "&amp;CHAR(34)&amp;"lotId"&amp;CHAR(34)&amp;": "&amp;CHAR(34)&amp;SUBSTITUTE(CriteriTecnici!$C69,CHAR(34),"'")&amp;CHAR(34)&amp;", "&amp;CHAR(34)&amp;"criterionId"&amp;CHAR(34)&amp;": "&amp;CHAR(34)&amp;SUBSTITUTE(CriteriTecnici!$D69,CHAR(34),"'")&amp;CHAR(34)&amp;", "&amp;CHAR(34)&amp;"kind"&amp;CHAR(34)&amp;": "&amp;CHAR(34)&amp;SUBSTITUTE(CriteriTecnici!$F69,CHAR(34),"'")&amp;CHAR(34)&amp;", "&amp;CHAR(34)&amp;"value"&amp;CHAR(34)&amp;": "&amp;SUBSTITUTE(TRIM(ROUND(IFERROR(CriteriTecnici!$N69*1,IFERROR(NUMBERVALUE(CriteriTecnici!$N69,".",","),IFERROR(NUMBERVALUE(CriteriTecnici!$N69,",","."),0))),4)&amp;""),",",".")&amp;", "&amp;CHAR(34)&amp;"numerator"&amp;CHAR(34)&amp;": "&amp;SUBSTITUTE(TRIM(ROUND(IFERROR(CriteriTecnici!$K69*1,IFERROR(NUMBERVALUE(CriteriTecnici!$K69,".",","),IFERROR(NUMBERVALUE(CriteriTecnici!$K69,",","."),0))),4)&amp;""),",",".")&amp;", "&amp;CHAR(34)&amp;"denominator"&amp;CHAR(34)&amp;": "&amp;SUBSTITUTE(TRIM(ROUND(IFERROR(CriteriTecnici!$L69*1,IFERROR(NUMBERVALUE(CriteriTecnici!$L69,".",","),IFERROR(NUMBERVALUE(CriteriTecnici!$L69,",","."),0))),4)&amp;""),",",".")&amp;", "&amp;CHAR(34)&amp;"flag"&amp;CHAR(34)&amp;": "&amp;SUBSTITUTE(TRIM(ROUND(IFERROR(CriteriTecnici!$M69*1,IFERROR(NUMBERVALUE(CriteriTecnici!$M69,".",","),IFERROR(NUMBERVALUE(CriteriTecnici!$M69,",","."),0))),4)&amp;""),",",".")&amp;", "&amp;CHAR(34)&amp;"rawScore"&amp;CHAR(34)&amp;": "&amp;SUBSTITUTE(TRIM(ROUND(IFERROR(CriteriTecnici!$O69*1,IFERROR(NUMBERVALUE(CriteriTecnici!$O69,".",","),IFERROR(NUMBERVALUE(CriteriTecnici!$O69,",","."),0))),4)&amp;""),",",".")&amp;CHAR(125)&amp;IF(TRUE,",",""))</f>
        <v/>
      </c>
    </row>
    <row r="171">
      <c r="A171" s="82">
        <f>IF(CriteriTecnici!$A70="","","    "&amp;CHAR(123)&amp;CHAR(34)&amp;"bidderId"&amp;CHAR(34)&amp;": "&amp;CHAR(34)&amp;SUBSTITUTE(CriteriTecnici!$A70,CHAR(34),"'")&amp;CHAR(34)&amp;", "&amp;CHAR(34)&amp;"lotId"&amp;CHAR(34)&amp;": "&amp;CHAR(34)&amp;SUBSTITUTE(CriteriTecnici!$C70,CHAR(34),"'")&amp;CHAR(34)&amp;", "&amp;CHAR(34)&amp;"criterionId"&amp;CHAR(34)&amp;": "&amp;CHAR(34)&amp;SUBSTITUTE(CriteriTecnici!$D70,CHAR(34),"'")&amp;CHAR(34)&amp;", "&amp;CHAR(34)&amp;"kind"&amp;CHAR(34)&amp;": "&amp;CHAR(34)&amp;SUBSTITUTE(CriteriTecnici!$F70,CHAR(34),"'")&amp;CHAR(34)&amp;", "&amp;CHAR(34)&amp;"value"&amp;CHAR(34)&amp;": "&amp;SUBSTITUTE(TRIM(ROUND(IFERROR(CriteriTecnici!$N70*1,IFERROR(NUMBERVALUE(CriteriTecnici!$N70,".",","),IFERROR(NUMBERVALUE(CriteriTecnici!$N70,",","."),0))),4)&amp;""),",",".")&amp;", "&amp;CHAR(34)&amp;"numerator"&amp;CHAR(34)&amp;": "&amp;SUBSTITUTE(TRIM(ROUND(IFERROR(CriteriTecnici!$K70*1,IFERROR(NUMBERVALUE(CriteriTecnici!$K70,".",","),IFERROR(NUMBERVALUE(CriteriTecnici!$K70,",","."),0))),4)&amp;""),",",".")&amp;", "&amp;CHAR(34)&amp;"denominator"&amp;CHAR(34)&amp;": "&amp;SUBSTITUTE(TRIM(ROUND(IFERROR(CriteriTecnici!$L70*1,IFERROR(NUMBERVALUE(CriteriTecnici!$L70,".",","),IFERROR(NUMBERVALUE(CriteriTecnici!$L70,",","."),0))),4)&amp;""),",",".")&amp;", "&amp;CHAR(34)&amp;"flag"&amp;CHAR(34)&amp;": "&amp;SUBSTITUTE(TRIM(ROUND(IFERROR(CriteriTecnici!$M70*1,IFERROR(NUMBERVALUE(CriteriTecnici!$M70,".",","),IFERROR(NUMBERVALUE(CriteriTecnici!$M70,",","."),0))),4)&amp;""),",",".")&amp;", "&amp;CHAR(34)&amp;"rawScore"&amp;CHAR(34)&amp;": "&amp;SUBSTITUTE(TRIM(ROUND(IFERROR(CriteriTecnici!$O70*1,IFERROR(NUMBERVALUE(CriteriTecnici!$O70,".",","),IFERROR(NUMBERVALUE(CriteriTecnici!$O70,",","."),0))),4)&amp;""),",",".")&amp;CHAR(125)&amp;IF(TRUE,",",""))</f>
        <v/>
      </c>
    </row>
    <row r="172">
      <c r="A172" s="82">
        <f>IF(CriteriTecnici!$A71="","","    "&amp;CHAR(123)&amp;CHAR(34)&amp;"bidderId"&amp;CHAR(34)&amp;": "&amp;CHAR(34)&amp;SUBSTITUTE(CriteriTecnici!$A71,CHAR(34),"'")&amp;CHAR(34)&amp;", "&amp;CHAR(34)&amp;"lotId"&amp;CHAR(34)&amp;": "&amp;CHAR(34)&amp;SUBSTITUTE(CriteriTecnici!$C71,CHAR(34),"'")&amp;CHAR(34)&amp;", "&amp;CHAR(34)&amp;"criterionId"&amp;CHAR(34)&amp;": "&amp;CHAR(34)&amp;SUBSTITUTE(CriteriTecnici!$D71,CHAR(34),"'")&amp;CHAR(34)&amp;", "&amp;CHAR(34)&amp;"kind"&amp;CHAR(34)&amp;": "&amp;CHAR(34)&amp;SUBSTITUTE(CriteriTecnici!$F71,CHAR(34),"'")&amp;CHAR(34)&amp;", "&amp;CHAR(34)&amp;"value"&amp;CHAR(34)&amp;": "&amp;SUBSTITUTE(TRIM(ROUND(IFERROR(CriteriTecnici!$N71*1,IFERROR(NUMBERVALUE(CriteriTecnici!$N71,".",","),IFERROR(NUMBERVALUE(CriteriTecnici!$N71,",","."),0))),4)&amp;""),",",".")&amp;", "&amp;CHAR(34)&amp;"numerator"&amp;CHAR(34)&amp;": "&amp;SUBSTITUTE(TRIM(ROUND(IFERROR(CriteriTecnici!$K71*1,IFERROR(NUMBERVALUE(CriteriTecnici!$K71,".",","),IFERROR(NUMBERVALUE(CriteriTecnici!$K71,",","."),0))),4)&amp;""),",",".")&amp;", "&amp;CHAR(34)&amp;"denominator"&amp;CHAR(34)&amp;": "&amp;SUBSTITUTE(TRIM(ROUND(IFERROR(CriteriTecnici!$L71*1,IFERROR(NUMBERVALUE(CriteriTecnici!$L71,".",","),IFERROR(NUMBERVALUE(CriteriTecnici!$L71,",","."),0))),4)&amp;""),",",".")&amp;", "&amp;CHAR(34)&amp;"flag"&amp;CHAR(34)&amp;": "&amp;SUBSTITUTE(TRIM(ROUND(IFERROR(CriteriTecnici!$M71*1,IFERROR(NUMBERVALUE(CriteriTecnici!$M71,".",","),IFERROR(NUMBERVALUE(CriteriTecnici!$M71,",","."),0))),4)&amp;""),",",".")&amp;", "&amp;CHAR(34)&amp;"rawScore"&amp;CHAR(34)&amp;": "&amp;SUBSTITUTE(TRIM(ROUND(IFERROR(CriteriTecnici!$O71*1,IFERROR(NUMBERVALUE(CriteriTecnici!$O71,".",","),IFERROR(NUMBERVALUE(CriteriTecnici!$O71,",","."),0))),4)&amp;""),",",".")&amp;CHAR(125)&amp;IF(TRUE,",",""))</f>
        <v/>
      </c>
    </row>
    <row r="173">
      <c r="A173" s="82">
        <f>IF(CriteriTecnici!$A72="","","    "&amp;CHAR(123)&amp;CHAR(34)&amp;"bidderId"&amp;CHAR(34)&amp;": "&amp;CHAR(34)&amp;SUBSTITUTE(CriteriTecnici!$A72,CHAR(34),"'")&amp;CHAR(34)&amp;", "&amp;CHAR(34)&amp;"lotId"&amp;CHAR(34)&amp;": "&amp;CHAR(34)&amp;SUBSTITUTE(CriteriTecnici!$C72,CHAR(34),"'")&amp;CHAR(34)&amp;", "&amp;CHAR(34)&amp;"criterionId"&amp;CHAR(34)&amp;": "&amp;CHAR(34)&amp;SUBSTITUTE(CriteriTecnici!$D72,CHAR(34),"'")&amp;CHAR(34)&amp;", "&amp;CHAR(34)&amp;"kind"&amp;CHAR(34)&amp;": "&amp;CHAR(34)&amp;SUBSTITUTE(CriteriTecnici!$F72,CHAR(34),"'")&amp;CHAR(34)&amp;", "&amp;CHAR(34)&amp;"value"&amp;CHAR(34)&amp;": "&amp;SUBSTITUTE(TRIM(ROUND(IFERROR(CriteriTecnici!$N72*1,IFERROR(NUMBERVALUE(CriteriTecnici!$N72,".",","),IFERROR(NUMBERVALUE(CriteriTecnici!$N72,",","."),0))),4)&amp;""),",",".")&amp;", "&amp;CHAR(34)&amp;"numerator"&amp;CHAR(34)&amp;": "&amp;SUBSTITUTE(TRIM(ROUND(IFERROR(CriteriTecnici!$K72*1,IFERROR(NUMBERVALUE(CriteriTecnici!$K72,".",","),IFERROR(NUMBERVALUE(CriteriTecnici!$K72,",","."),0))),4)&amp;""),",",".")&amp;", "&amp;CHAR(34)&amp;"denominator"&amp;CHAR(34)&amp;": "&amp;SUBSTITUTE(TRIM(ROUND(IFERROR(CriteriTecnici!$L72*1,IFERROR(NUMBERVALUE(CriteriTecnici!$L72,".",","),IFERROR(NUMBERVALUE(CriteriTecnici!$L72,",","."),0))),4)&amp;""),",",".")&amp;", "&amp;CHAR(34)&amp;"flag"&amp;CHAR(34)&amp;": "&amp;SUBSTITUTE(TRIM(ROUND(IFERROR(CriteriTecnici!$M72*1,IFERROR(NUMBERVALUE(CriteriTecnici!$M72,".",","),IFERROR(NUMBERVALUE(CriteriTecnici!$M72,",","."),0))),4)&amp;""),",",".")&amp;", "&amp;CHAR(34)&amp;"rawScore"&amp;CHAR(34)&amp;": "&amp;SUBSTITUTE(TRIM(ROUND(IFERROR(CriteriTecnici!$O72*1,IFERROR(NUMBERVALUE(CriteriTecnici!$O72,".",","),IFERROR(NUMBERVALUE(CriteriTecnici!$O72,",","."),0))),4)&amp;""),",",".")&amp;CHAR(125)&amp;IF(TRUE,",",""))</f>
        <v/>
      </c>
    </row>
    <row r="174">
      <c r="A174" s="82">
        <f>IF(CriteriTecnici!$A73="","","    "&amp;CHAR(123)&amp;CHAR(34)&amp;"bidderId"&amp;CHAR(34)&amp;": "&amp;CHAR(34)&amp;SUBSTITUTE(CriteriTecnici!$A73,CHAR(34),"'")&amp;CHAR(34)&amp;", "&amp;CHAR(34)&amp;"lotId"&amp;CHAR(34)&amp;": "&amp;CHAR(34)&amp;SUBSTITUTE(CriteriTecnici!$C73,CHAR(34),"'")&amp;CHAR(34)&amp;", "&amp;CHAR(34)&amp;"criterionId"&amp;CHAR(34)&amp;": "&amp;CHAR(34)&amp;SUBSTITUTE(CriteriTecnici!$D73,CHAR(34),"'")&amp;CHAR(34)&amp;", "&amp;CHAR(34)&amp;"kind"&amp;CHAR(34)&amp;": "&amp;CHAR(34)&amp;SUBSTITUTE(CriteriTecnici!$F73,CHAR(34),"'")&amp;CHAR(34)&amp;", "&amp;CHAR(34)&amp;"value"&amp;CHAR(34)&amp;": "&amp;SUBSTITUTE(TRIM(ROUND(IFERROR(CriteriTecnici!$N73*1,IFERROR(NUMBERVALUE(CriteriTecnici!$N73,".",","),IFERROR(NUMBERVALUE(CriteriTecnici!$N73,",","."),0))),4)&amp;""),",",".")&amp;", "&amp;CHAR(34)&amp;"numerator"&amp;CHAR(34)&amp;": "&amp;SUBSTITUTE(TRIM(ROUND(IFERROR(CriteriTecnici!$K73*1,IFERROR(NUMBERVALUE(CriteriTecnici!$K73,".",","),IFERROR(NUMBERVALUE(CriteriTecnici!$K73,",","."),0))),4)&amp;""),",",".")&amp;", "&amp;CHAR(34)&amp;"denominator"&amp;CHAR(34)&amp;": "&amp;SUBSTITUTE(TRIM(ROUND(IFERROR(CriteriTecnici!$L73*1,IFERROR(NUMBERVALUE(CriteriTecnici!$L73,".",","),IFERROR(NUMBERVALUE(CriteriTecnici!$L73,",","."),0))),4)&amp;""),",",".")&amp;", "&amp;CHAR(34)&amp;"flag"&amp;CHAR(34)&amp;": "&amp;SUBSTITUTE(TRIM(ROUND(IFERROR(CriteriTecnici!$M73*1,IFERROR(NUMBERVALUE(CriteriTecnici!$M73,".",","),IFERROR(NUMBERVALUE(CriteriTecnici!$M73,",","."),0))),4)&amp;""),",",".")&amp;", "&amp;CHAR(34)&amp;"rawScore"&amp;CHAR(34)&amp;": "&amp;SUBSTITUTE(TRIM(ROUND(IFERROR(CriteriTecnici!$O73*1,IFERROR(NUMBERVALUE(CriteriTecnici!$O73,".",","),IFERROR(NUMBERVALUE(CriteriTecnici!$O73,",","."),0))),4)&amp;""),",",".")&amp;CHAR(125)&amp;IF(TRUE,",",""))</f>
        <v/>
      </c>
    </row>
    <row r="175">
      <c r="A175" s="82">
        <f>IF(CriteriTecnici!$A74="","","    "&amp;CHAR(123)&amp;CHAR(34)&amp;"bidderId"&amp;CHAR(34)&amp;": "&amp;CHAR(34)&amp;SUBSTITUTE(CriteriTecnici!$A74,CHAR(34),"'")&amp;CHAR(34)&amp;", "&amp;CHAR(34)&amp;"lotId"&amp;CHAR(34)&amp;": "&amp;CHAR(34)&amp;SUBSTITUTE(CriteriTecnici!$C74,CHAR(34),"'")&amp;CHAR(34)&amp;", "&amp;CHAR(34)&amp;"criterionId"&amp;CHAR(34)&amp;": "&amp;CHAR(34)&amp;SUBSTITUTE(CriteriTecnici!$D74,CHAR(34),"'")&amp;CHAR(34)&amp;", "&amp;CHAR(34)&amp;"kind"&amp;CHAR(34)&amp;": "&amp;CHAR(34)&amp;SUBSTITUTE(CriteriTecnici!$F74,CHAR(34),"'")&amp;CHAR(34)&amp;", "&amp;CHAR(34)&amp;"value"&amp;CHAR(34)&amp;": "&amp;SUBSTITUTE(TRIM(ROUND(IFERROR(CriteriTecnici!$N74*1,IFERROR(NUMBERVALUE(CriteriTecnici!$N74,".",","),IFERROR(NUMBERVALUE(CriteriTecnici!$N74,",","."),0))),4)&amp;""),",",".")&amp;", "&amp;CHAR(34)&amp;"numerator"&amp;CHAR(34)&amp;": "&amp;SUBSTITUTE(TRIM(ROUND(IFERROR(CriteriTecnici!$K74*1,IFERROR(NUMBERVALUE(CriteriTecnici!$K74,".",","),IFERROR(NUMBERVALUE(CriteriTecnici!$K74,",","."),0))),4)&amp;""),",",".")&amp;", "&amp;CHAR(34)&amp;"denominator"&amp;CHAR(34)&amp;": "&amp;SUBSTITUTE(TRIM(ROUND(IFERROR(CriteriTecnici!$L74*1,IFERROR(NUMBERVALUE(CriteriTecnici!$L74,".",","),IFERROR(NUMBERVALUE(CriteriTecnici!$L74,",","."),0))),4)&amp;""),",",".")&amp;", "&amp;CHAR(34)&amp;"flag"&amp;CHAR(34)&amp;": "&amp;SUBSTITUTE(TRIM(ROUND(IFERROR(CriteriTecnici!$M74*1,IFERROR(NUMBERVALUE(CriteriTecnici!$M74,".",","),IFERROR(NUMBERVALUE(CriteriTecnici!$M74,",","."),0))),4)&amp;""),",",".")&amp;", "&amp;CHAR(34)&amp;"rawScore"&amp;CHAR(34)&amp;": "&amp;SUBSTITUTE(TRIM(ROUND(IFERROR(CriteriTecnici!$O74*1,IFERROR(NUMBERVALUE(CriteriTecnici!$O74,".",","),IFERROR(NUMBERVALUE(CriteriTecnici!$O74,",","."),0))),4)&amp;""),",",".")&amp;CHAR(125)&amp;IF(TRUE,",",""))</f>
        <v/>
      </c>
    </row>
    <row r="176">
      <c r="A176" s="82">
        <f>IF(CriteriTecnici!$A75="","","    "&amp;CHAR(123)&amp;CHAR(34)&amp;"bidderId"&amp;CHAR(34)&amp;": "&amp;CHAR(34)&amp;SUBSTITUTE(CriteriTecnici!$A75,CHAR(34),"'")&amp;CHAR(34)&amp;", "&amp;CHAR(34)&amp;"lotId"&amp;CHAR(34)&amp;": "&amp;CHAR(34)&amp;SUBSTITUTE(CriteriTecnici!$C75,CHAR(34),"'")&amp;CHAR(34)&amp;", "&amp;CHAR(34)&amp;"criterionId"&amp;CHAR(34)&amp;": "&amp;CHAR(34)&amp;SUBSTITUTE(CriteriTecnici!$D75,CHAR(34),"'")&amp;CHAR(34)&amp;", "&amp;CHAR(34)&amp;"kind"&amp;CHAR(34)&amp;": "&amp;CHAR(34)&amp;SUBSTITUTE(CriteriTecnici!$F75,CHAR(34),"'")&amp;CHAR(34)&amp;", "&amp;CHAR(34)&amp;"value"&amp;CHAR(34)&amp;": "&amp;SUBSTITUTE(TRIM(ROUND(IFERROR(CriteriTecnici!$N75*1,IFERROR(NUMBERVALUE(CriteriTecnici!$N75,".",","),IFERROR(NUMBERVALUE(CriteriTecnici!$N75,",","."),0))),4)&amp;""),",",".")&amp;", "&amp;CHAR(34)&amp;"numerator"&amp;CHAR(34)&amp;": "&amp;SUBSTITUTE(TRIM(ROUND(IFERROR(CriteriTecnici!$K75*1,IFERROR(NUMBERVALUE(CriteriTecnici!$K75,".",","),IFERROR(NUMBERVALUE(CriteriTecnici!$K75,",","."),0))),4)&amp;""),",",".")&amp;", "&amp;CHAR(34)&amp;"denominator"&amp;CHAR(34)&amp;": "&amp;SUBSTITUTE(TRIM(ROUND(IFERROR(CriteriTecnici!$L75*1,IFERROR(NUMBERVALUE(CriteriTecnici!$L75,".",","),IFERROR(NUMBERVALUE(CriteriTecnici!$L75,",","."),0))),4)&amp;""),",",".")&amp;", "&amp;CHAR(34)&amp;"flag"&amp;CHAR(34)&amp;": "&amp;SUBSTITUTE(TRIM(ROUND(IFERROR(CriteriTecnici!$M75*1,IFERROR(NUMBERVALUE(CriteriTecnici!$M75,".",","),IFERROR(NUMBERVALUE(CriteriTecnici!$M75,",","."),0))),4)&amp;""),",",".")&amp;", "&amp;CHAR(34)&amp;"rawScore"&amp;CHAR(34)&amp;": "&amp;SUBSTITUTE(TRIM(ROUND(IFERROR(CriteriTecnici!$O75*1,IFERROR(NUMBERVALUE(CriteriTecnici!$O75,".",","),IFERROR(NUMBERVALUE(CriteriTecnici!$O75,",","."),0))),4)&amp;""),",",".")&amp;CHAR(125)&amp;IF(TRUE,",",""))</f>
        <v/>
      </c>
    </row>
    <row r="177">
      <c r="A177" s="82">
        <f>IF(CriteriTecnici!$A76="","","    "&amp;CHAR(123)&amp;CHAR(34)&amp;"bidderId"&amp;CHAR(34)&amp;": "&amp;CHAR(34)&amp;SUBSTITUTE(CriteriTecnici!$A76,CHAR(34),"'")&amp;CHAR(34)&amp;", "&amp;CHAR(34)&amp;"lotId"&amp;CHAR(34)&amp;": "&amp;CHAR(34)&amp;SUBSTITUTE(CriteriTecnici!$C76,CHAR(34),"'")&amp;CHAR(34)&amp;", "&amp;CHAR(34)&amp;"criterionId"&amp;CHAR(34)&amp;": "&amp;CHAR(34)&amp;SUBSTITUTE(CriteriTecnici!$D76,CHAR(34),"'")&amp;CHAR(34)&amp;", "&amp;CHAR(34)&amp;"kind"&amp;CHAR(34)&amp;": "&amp;CHAR(34)&amp;SUBSTITUTE(CriteriTecnici!$F76,CHAR(34),"'")&amp;CHAR(34)&amp;", "&amp;CHAR(34)&amp;"value"&amp;CHAR(34)&amp;": "&amp;SUBSTITUTE(TRIM(ROUND(IFERROR(CriteriTecnici!$N76*1,IFERROR(NUMBERVALUE(CriteriTecnici!$N76,".",","),IFERROR(NUMBERVALUE(CriteriTecnici!$N76,",","."),0))),4)&amp;""),",",".")&amp;", "&amp;CHAR(34)&amp;"numerator"&amp;CHAR(34)&amp;": "&amp;SUBSTITUTE(TRIM(ROUND(IFERROR(CriteriTecnici!$K76*1,IFERROR(NUMBERVALUE(CriteriTecnici!$K76,".",","),IFERROR(NUMBERVALUE(CriteriTecnici!$K76,",","."),0))),4)&amp;""),",",".")&amp;", "&amp;CHAR(34)&amp;"denominator"&amp;CHAR(34)&amp;": "&amp;SUBSTITUTE(TRIM(ROUND(IFERROR(CriteriTecnici!$L76*1,IFERROR(NUMBERVALUE(CriteriTecnici!$L76,".",","),IFERROR(NUMBERVALUE(CriteriTecnici!$L76,",","."),0))),4)&amp;""),",",".")&amp;", "&amp;CHAR(34)&amp;"flag"&amp;CHAR(34)&amp;": "&amp;SUBSTITUTE(TRIM(ROUND(IFERROR(CriteriTecnici!$M76*1,IFERROR(NUMBERVALUE(CriteriTecnici!$M76,".",","),IFERROR(NUMBERVALUE(CriteriTecnici!$M76,",","."),0))),4)&amp;""),",",".")&amp;", "&amp;CHAR(34)&amp;"rawScore"&amp;CHAR(34)&amp;": "&amp;SUBSTITUTE(TRIM(ROUND(IFERROR(CriteriTecnici!$O76*1,IFERROR(NUMBERVALUE(CriteriTecnici!$O76,".",","),IFERROR(NUMBERVALUE(CriteriTecnici!$O76,",","."),0))),4)&amp;""),",",".")&amp;CHAR(125)&amp;IF(TRUE,",",""))</f>
        <v/>
      </c>
    </row>
    <row r="178">
      <c r="A178" s="82">
        <f>IF(CriteriTecnici!$A77="","","    "&amp;CHAR(123)&amp;CHAR(34)&amp;"bidderId"&amp;CHAR(34)&amp;": "&amp;CHAR(34)&amp;SUBSTITUTE(CriteriTecnici!$A77,CHAR(34),"'")&amp;CHAR(34)&amp;", "&amp;CHAR(34)&amp;"lotId"&amp;CHAR(34)&amp;": "&amp;CHAR(34)&amp;SUBSTITUTE(CriteriTecnici!$C77,CHAR(34),"'")&amp;CHAR(34)&amp;", "&amp;CHAR(34)&amp;"criterionId"&amp;CHAR(34)&amp;": "&amp;CHAR(34)&amp;SUBSTITUTE(CriteriTecnici!$D77,CHAR(34),"'")&amp;CHAR(34)&amp;", "&amp;CHAR(34)&amp;"kind"&amp;CHAR(34)&amp;": "&amp;CHAR(34)&amp;SUBSTITUTE(CriteriTecnici!$F77,CHAR(34),"'")&amp;CHAR(34)&amp;", "&amp;CHAR(34)&amp;"value"&amp;CHAR(34)&amp;": "&amp;SUBSTITUTE(TRIM(ROUND(IFERROR(CriteriTecnici!$N77*1,IFERROR(NUMBERVALUE(CriteriTecnici!$N77,".",","),IFERROR(NUMBERVALUE(CriteriTecnici!$N77,",","."),0))),4)&amp;""),",",".")&amp;", "&amp;CHAR(34)&amp;"numerator"&amp;CHAR(34)&amp;": "&amp;SUBSTITUTE(TRIM(ROUND(IFERROR(CriteriTecnici!$K77*1,IFERROR(NUMBERVALUE(CriteriTecnici!$K77,".",","),IFERROR(NUMBERVALUE(CriteriTecnici!$K77,",","."),0))),4)&amp;""),",",".")&amp;", "&amp;CHAR(34)&amp;"denominator"&amp;CHAR(34)&amp;": "&amp;SUBSTITUTE(TRIM(ROUND(IFERROR(CriteriTecnici!$L77*1,IFERROR(NUMBERVALUE(CriteriTecnici!$L77,".",","),IFERROR(NUMBERVALUE(CriteriTecnici!$L77,",","."),0))),4)&amp;""),",",".")&amp;", "&amp;CHAR(34)&amp;"flag"&amp;CHAR(34)&amp;": "&amp;SUBSTITUTE(TRIM(ROUND(IFERROR(CriteriTecnici!$M77*1,IFERROR(NUMBERVALUE(CriteriTecnici!$M77,".",","),IFERROR(NUMBERVALUE(CriteriTecnici!$M77,",","."),0))),4)&amp;""),",",".")&amp;", "&amp;CHAR(34)&amp;"rawScore"&amp;CHAR(34)&amp;": "&amp;SUBSTITUTE(TRIM(ROUND(IFERROR(CriteriTecnici!$O77*1,IFERROR(NUMBERVALUE(CriteriTecnici!$O77,".",","),IFERROR(NUMBERVALUE(CriteriTecnici!$O77,",","."),0))),4)&amp;""),",",".")&amp;CHAR(125)&amp;IF(TRUE,",",""))</f>
        <v/>
      </c>
    </row>
    <row r="179">
      <c r="A179" s="82">
        <f>IF(CriteriTecnici!$A78="","","    "&amp;CHAR(123)&amp;CHAR(34)&amp;"bidderId"&amp;CHAR(34)&amp;": "&amp;CHAR(34)&amp;SUBSTITUTE(CriteriTecnici!$A78,CHAR(34),"'")&amp;CHAR(34)&amp;", "&amp;CHAR(34)&amp;"lotId"&amp;CHAR(34)&amp;": "&amp;CHAR(34)&amp;SUBSTITUTE(CriteriTecnici!$C78,CHAR(34),"'")&amp;CHAR(34)&amp;", "&amp;CHAR(34)&amp;"criterionId"&amp;CHAR(34)&amp;": "&amp;CHAR(34)&amp;SUBSTITUTE(CriteriTecnici!$D78,CHAR(34),"'")&amp;CHAR(34)&amp;", "&amp;CHAR(34)&amp;"kind"&amp;CHAR(34)&amp;": "&amp;CHAR(34)&amp;SUBSTITUTE(CriteriTecnici!$F78,CHAR(34),"'")&amp;CHAR(34)&amp;", "&amp;CHAR(34)&amp;"value"&amp;CHAR(34)&amp;": "&amp;SUBSTITUTE(TRIM(ROUND(IFERROR(CriteriTecnici!$N78*1,IFERROR(NUMBERVALUE(CriteriTecnici!$N78,".",","),IFERROR(NUMBERVALUE(CriteriTecnici!$N78,",","."),0))),4)&amp;""),",",".")&amp;", "&amp;CHAR(34)&amp;"numerator"&amp;CHAR(34)&amp;": "&amp;SUBSTITUTE(TRIM(ROUND(IFERROR(CriteriTecnici!$K78*1,IFERROR(NUMBERVALUE(CriteriTecnici!$K78,".",","),IFERROR(NUMBERVALUE(CriteriTecnici!$K78,",","."),0))),4)&amp;""),",",".")&amp;", "&amp;CHAR(34)&amp;"denominator"&amp;CHAR(34)&amp;": "&amp;SUBSTITUTE(TRIM(ROUND(IFERROR(CriteriTecnici!$L78*1,IFERROR(NUMBERVALUE(CriteriTecnici!$L78,".",","),IFERROR(NUMBERVALUE(CriteriTecnici!$L78,",","."),0))),4)&amp;""),",",".")&amp;", "&amp;CHAR(34)&amp;"flag"&amp;CHAR(34)&amp;": "&amp;SUBSTITUTE(TRIM(ROUND(IFERROR(CriteriTecnici!$M78*1,IFERROR(NUMBERVALUE(CriteriTecnici!$M78,".",","),IFERROR(NUMBERVALUE(CriteriTecnici!$M78,",","."),0))),4)&amp;""),",",".")&amp;", "&amp;CHAR(34)&amp;"rawScore"&amp;CHAR(34)&amp;": "&amp;SUBSTITUTE(TRIM(ROUND(IFERROR(CriteriTecnici!$O78*1,IFERROR(NUMBERVALUE(CriteriTecnici!$O78,".",","),IFERROR(NUMBERVALUE(CriteriTecnici!$O78,",","."),0))),4)&amp;""),",",".")&amp;CHAR(125)&amp;IF(TRUE,",",""))</f>
        <v/>
      </c>
    </row>
    <row r="180">
      <c r="A180" s="82">
        <f>IF(CriteriTecnici!$A79="","","    "&amp;CHAR(123)&amp;CHAR(34)&amp;"bidderId"&amp;CHAR(34)&amp;": "&amp;CHAR(34)&amp;SUBSTITUTE(CriteriTecnici!$A79,CHAR(34),"'")&amp;CHAR(34)&amp;", "&amp;CHAR(34)&amp;"lotId"&amp;CHAR(34)&amp;": "&amp;CHAR(34)&amp;SUBSTITUTE(CriteriTecnici!$C79,CHAR(34),"'")&amp;CHAR(34)&amp;", "&amp;CHAR(34)&amp;"criterionId"&amp;CHAR(34)&amp;": "&amp;CHAR(34)&amp;SUBSTITUTE(CriteriTecnici!$D79,CHAR(34),"'")&amp;CHAR(34)&amp;", "&amp;CHAR(34)&amp;"kind"&amp;CHAR(34)&amp;": "&amp;CHAR(34)&amp;SUBSTITUTE(CriteriTecnici!$F79,CHAR(34),"'")&amp;CHAR(34)&amp;", "&amp;CHAR(34)&amp;"value"&amp;CHAR(34)&amp;": "&amp;SUBSTITUTE(TRIM(ROUND(IFERROR(CriteriTecnici!$N79*1,IFERROR(NUMBERVALUE(CriteriTecnici!$N79,".",","),IFERROR(NUMBERVALUE(CriteriTecnici!$N79,",","."),0))),4)&amp;""),",",".")&amp;", "&amp;CHAR(34)&amp;"numerator"&amp;CHAR(34)&amp;": "&amp;SUBSTITUTE(TRIM(ROUND(IFERROR(CriteriTecnici!$K79*1,IFERROR(NUMBERVALUE(CriteriTecnici!$K79,".",","),IFERROR(NUMBERVALUE(CriteriTecnici!$K79,",","."),0))),4)&amp;""),",",".")&amp;", "&amp;CHAR(34)&amp;"denominator"&amp;CHAR(34)&amp;": "&amp;SUBSTITUTE(TRIM(ROUND(IFERROR(CriteriTecnici!$L79*1,IFERROR(NUMBERVALUE(CriteriTecnici!$L79,".",","),IFERROR(NUMBERVALUE(CriteriTecnici!$L79,",","."),0))),4)&amp;""),",",".")&amp;", "&amp;CHAR(34)&amp;"flag"&amp;CHAR(34)&amp;": "&amp;SUBSTITUTE(TRIM(ROUND(IFERROR(CriteriTecnici!$M79*1,IFERROR(NUMBERVALUE(CriteriTecnici!$M79,".",","),IFERROR(NUMBERVALUE(CriteriTecnici!$M79,",","."),0))),4)&amp;""),",",".")&amp;", "&amp;CHAR(34)&amp;"rawScore"&amp;CHAR(34)&amp;": "&amp;SUBSTITUTE(TRIM(ROUND(IFERROR(CriteriTecnici!$O79*1,IFERROR(NUMBERVALUE(CriteriTecnici!$O79,".",","),IFERROR(NUMBERVALUE(CriteriTecnici!$O79,",","."),0))),4)&amp;""),",",".")&amp;CHAR(125)&amp;IF(TRUE,",",""))</f>
        <v/>
      </c>
    </row>
    <row r="181">
      <c r="A181" s="82">
        <f>IF(CriteriTecnici!$A80="","","    "&amp;CHAR(123)&amp;CHAR(34)&amp;"bidderId"&amp;CHAR(34)&amp;": "&amp;CHAR(34)&amp;SUBSTITUTE(CriteriTecnici!$A80,CHAR(34),"'")&amp;CHAR(34)&amp;", "&amp;CHAR(34)&amp;"lotId"&amp;CHAR(34)&amp;": "&amp;CHAR(34)&amp;SUBSTITUTE(CriteriTecnici!$C80,CHAR(34),"'")&amp;CHAR(34)&amp;", "&amp;CHAR(34)&amp;"criterionId"&amp;CHAR(34)&amp;": "&amp;CHAR(34)&amp;SUBSTITUTE(CriteriTecnici!$D80,CHAR(34),"'")&amp;CHAR(34)&amp;", "&amp;CHAR(34)&amp;"kind"&amp;CHAR(34)&amp;": "&amp;CHAR(34)&amp;SUBSTITUTE(CriteriTecnici!$F80,CHAR(34),"'")&amp;CHAR(34)&amp;", "&amp;CHAR(34)&amp;"value"&amp;CHAR(34)&amp;": "&amp;SUBSTITUTE(TRIM(ROUND(IFERROR(CriteriTecnici!$N80*1,IFERROR(NUMBERVALUE(CriteriTecnici!$N80,".",","),IFERROR(NUMBERVALUE(CriteriTecnici!$N80,",","."),0))),4)&amp;""),",",".")&amp;", "&amp;CHAR(34)&amp;"numerator"&amp;CHAR(34)&amp;": "&amp;SUBSTITUTE(TRIM(ROUND(IFERROR(CriteriTecnici!$K80*1,IFERROR(NUMBERVALUE(CriteriTecnici!$K80,".",","),IFERROR(NUMBERVALUE(CriteriTecnici!$K80,",","."),0))),4)&amp;""),",",".")&amp;", "&amp;CHAR(34)&amp;"denominator"&amp;CHAR(34)&amp;": "&amp;SUBSTITUTE(TRIM(ROUND(IFERROR(CriteriTecnici!$L80*1,IFERROR(NUMBERVALUE(CriteriTecnici!$L80,".",","),IFERROR(NUMBERVALUE(CriteriTecnici!$L80,",","."),0))),4)&amp;""),",",".")&amp;", "&amp;CHAR(34)&amp;"flag"&amp;CHAR(34)&amp;": "&amp;SUBSTITUTE(TRIM(ROUND(IFERROR(CriteriTecnici!$M80*1,IFERROR(NUMBERVALUE(CriteriTecnici!$M80,".",","),IFERROR(NUMBERVALUE(CriteriTecnici!$M80,",","."),0))),4)&amp;""),",",".")&amp;", "&amp;CHAR(34)&amp;"rawScore"&amp;CHAR(34)&amp;": "&amp;SUBSTITUTE(TRIM(ROUND(IFERROR(CriteriTecnici!$O80*1,IFERROR(NUMBERVALUE(CriteriTecnici!$O80,".",","),IFERROR(NUMBERVALUE(CriteriTecnici!$O80,",","."),0))),4)&amp;""),",",".")&amp;CHAR(125)&amp;IF(TRUE,",",""))</f>
        <v/>
      </c>
    </row>
    <row r="182">
      <c r="A182" s="82">
        <f>IF(CriteriTecnici!$A81="","","    "&amp;CHAR(123)&amp;CHAR(34)&amp;"bidderId"&amp;CHAR(34)&amp;": "&amp;CHAR(34)&amp;SUBSTITUTE(CriteriTecnici!$A81,CHAR(34),"'")&amp;CHAR(34)&amp;", "&amp;CHAR(34)&amp;"lotId"&amp;CHAR(34)&amp;": "&amp;CHAR(34)&amp;SUBSTITUTE(CriteriTecnici!$C81,CHAR(34),"'")&amp;CHAR(34)&amp;", "&amp;CHAR(34)&amp;"criterionId"&amp;CHAR(34)&amp;": "&amp;CHAR(34)&amp;SUBSTITUTE(CriteriTecnici!$D81,CHAR(34),"'")&amp;CHAR(34)&amp;", "&amp;CHAR(34)&amp;"kind"&amp;CHAR(34)&amp;": "&amp;CHAR(34)&amp;SUBSTITUTE(CriteriTecnici!$F81,CHAR(34),"'")&amp;CHAR(34)&amp;", "&amp;CHAR(34)&amp;"value"&amp;CHAR(34)&amp;": "&amp;SUBSTITUTE(TRIM(ROUND(IFERROR(CriteriTecnici!$N81*1,IFERROR(NUMBERVALUE(CriteriTecnici!$N81,".",","),IFERROR(NUMBERVALUE(CriteriTecnici!$N81,",","."),0))),4)&amp;""),",",".")&amp;", "&amp;CHAR(34)&amp;"numerator"&amp;CHAR(34)&amp;": "&amp;SUBSTITUTE(TRIM(ROUND(IFERROR(CriteriTecnici!$K81*1,IFERROR(NUMBERVALUE(CriteriTecnici!$K81,".",","),IFERROR(NUMBERVALUE(CriteriTecnici!$K81,",","."),0))),4)&amp;""),",",".")&amp;", "&amp;CHAR(34)&amp;"denominator"&amp;CHAR(34)&amp;": "&amp;SUBSTITUTE(TRIM(ROUND(IFERROR(CriteriTecnici!$L81*1,IFERROR(NUMBERVALUE(CriteriTecnici!$L81,".",","),IFERROR(NUMBERVALUE(CriteriTecnici!$L81,",","."),0))),4)&amp;""),",",".")&amp;", "&amp;CHAR(34)&amp;"flag"&amp;CHAR(34)&amp;": "&amp;SUBSTITUTE(TRIM(ROUND(IFERROR(CriteriTecnici!$M81*1,IFERROR(NUMBERVALUE(CriteriTecnici!$M81,".",","),IFERROR(NUMBERVALUE(CriteriTecnici!$M81,",","."),0))),4)&amp;""),",",".")&amp;", "&amp;CHAR(34)&amp;"rawScore"&amp;CHAR(34)&amp;": "&amp;SUBSTITUTE(TRIM(ROUND(IFERROR(CriteriTecnici!$O81*1,IFERROR(NUMBERVALUE(CriteriTecnici!$O81,".",","),IFERROR(NUMBERVALUE(CriteriTecnici!$O81,",","."),0))),4)&amp;""),",",".")&amp;CHAR(125)&amp;IF(TRUE,",",""))</f>
        <v/>
      </c>
    </row>
    <row r="183">
      <c r="A183" s="82">
        <f>IF(CriteriTecnici!$A82="","","    "&amp;CHAR(123)&amp;CHAR(34)&amp;"bidderId"&amp;CHAR(34)&amp;": "&amp;CHAR(34)&amp;SUBSTITUTE(CriteriTecnici!$A82,CHAR(34),"'")&amp;CHAR(34)&amp;", "&amp;CHAR(34)&amp;"lotId"&amp;CHAR(34)&amp;": "&amp;CHAR(34)&amp;SUBSTITUTE(CriteriTecnici!$C82,CHAR(34),"'")&amp;CHAR(34)&amp;", "&amp;CHAR(34)&amp;"criterionId"&amp;CHAR(34)&amp;": "&amp;CHAR(34)&amp;SUBSTITUTE(CriteriTecnici!$D82,CHAR(34),"'")&amp;CHAR(34)&amp;", "&amp;CHAR(34)&amp;"kind"&amp;CHAR(34)&amp;": "&amp;CHAR(34)&amp;SUBSTITUTE(CriteriTecnici!$F82,CHAR(34),"'")&amp;CHAR(34)&amp;", "&amp;CHAR(34)&amp;"value"&amp;CHAR(34)&amp;": "&amp;SUBSTITUTE(TRIM(ROUND(IFERROR(CriteriTecnici!$N82*1,IFERROR(NUMBERVALUE(CriteriTecnici!$N82,".",","),IFERROR(NUMBERVALUE(CriteriTecnici!$N82,",","."),0))),4)&amp;""),",",".")&amp;", "&amp;CHAR(34)&amp;"numerator"&amp;CHAR(34)&amp;": "&amp;SUBSTITUTE(TRIM(ROUND(IFERROR(CriteriTecnici!$K82*1,IFERROR(NUMBERVALUE(CriteriTecnici!$K82,".",","),IFERROR(NUMBERVALUE(CriteriTecnici!$K82,",","."),0))),4)&amp;""),",",".")&amp;", "&amp;CHAR(34)&amp;"denominator"&amp;CHAR(34)&amp;": "&amp;SUBSTITUTE(TRIM(ROUND(IFERROR(CriteriTecnici!$L82*1,IFERROR(NUMBERVALUE(CriteriTecnici!$L82,".",","),IFERROR(NUMBERVALUE(CriteriTecnici!$L82,",","."),0))),4)&amp;""),",",".")&amp;", "&amp;CHAR(34)&amp;"flag"&amp;CHAR(34)&amp;": "&amp;SUBSTITUTE(TRIM(ROUND(IFERROR(CriteriTecnici!$M82*1,IFERROR(NUMBERVALUE(CriteriTecnici!$M82,".",","),IFERROR(NUMBERVALUE(CriteriTecnici!$M82,",","."),0))),4)&amp;""),",",".")&amp;", "&amp;CHAR(34)&amp;"rawScore"&amp;CHAR(34)&amp;": "&amp;SUBSTITUTE(TRIM(ROUND(IFERROR(CriteriTecnici!$O82*1,IFERROR(NUMBERVALUE(CriteriTecnici!$O82,".",","),IFERROR(NUMBERVALUE(CriteriTecnici!$O82,",","."),0))),4)&amp;""),",",".")&amp;CHAR(125)&amp;IF(TRUE,",",""))</f>
        <v/>
      </c>
    </row>
    <row r="184">
      <c r="A184" s="82">
        <f>IF(CriteriTecnici!$A83="","","    "&amp;CHAR(123)&amp;CHAR(34)&amp;"bidderId"&amp;CHAR(34)&amp;": "&amp;CHAR(34)&amp;SUBSTITUTE(CriteriTecnici!$A83,CHAR(34),"'")&amp;CHAR(34)&amp;", "&amp;CHAR(34)&amp;"lotId"&amp;CHAR(34)&amp;": "&amp;CHAR(34)&amp;SUBSTITUTE(CriteriTecnici!$C83,CHAR(34),"'")&amp;CHAR(34)&amp;", "&amp;CHAR(34)&amp;"criterionId"&amp;CHAR(34)&amp;": "&amp;CHAR(34)&amp;SUBSTITUTE(CriteriTecnici!$D83,CHAR(34),"'")&amp;CHAR(34)&amp;", "&amp;CHAR(34)&amp;"kind"&amp;CHAR(34)&amp;": "&amp;CHAR(34)&amp;SUBSTITUTE(CriteriTecnici!$F83,CHAR(34),"'")&amp;CHAR(34)&amp;", "&amp;CHAR(34)&amp;"value"&amp;CHAR(34)&amp;": "&amp;SUBSTITUTE(TRIM(ROUND(IFERROR(CriteriTecnici!$N83*1,IFERROR(NUMBERVALUE(CriteriTecnici!$N83,".",","),IFERROR(NUMBERVALUE(CriteriTecnici!$N83,",","."),0))),4)&amp;""),",",".")&amp;", "&amp;CHAR(34)&amp;"numerator"&amp;CHAR(34)&amp;": "&amp;SUBSTITUTE(TRIM(ROUND(IFERROR(CriteriTecnici!$K83*1,IFERROR(NUMBERVALUE(CriteriTecnici!$K83,".",","),IFERROR(NUMBERVALUE(CriteriTecnici!$K83,",","."),0))),4)&amp;""),",",".")&amp;", "&amp;CHAR(34)&amp;"denominator"&amp;CHAR(34)&amp;": "&amp;SUBSTITUTE(TRIM(ROUND(IFERROR(CriteriTecnici!$L83*1,IFERROR(NUMBERVALUE(CriteriTecnici!$L83,".",","),IFERROR(NUMBERVALUE(CriteriTecnici!$L83,",","."),0))),4)&amp;""),",",".")&amp;", "&amp;CHAR(34)&amp;"flag"&amp;CHAR(34)&amp;": "&amp;SUBSTITUTE(TRIM(ROUND(IFERROR(CriteriTecnici!$M83*1,IFERROR(NUMBERVALUE(CriteriTecnici!$M83,".",","),IFERROR(NUMBERVALUE(CriteriTecnici!$M83,",","."),0))),4)&amp;""),",",".")&amp;", "&amp;CHAR(34)&amp;"rawScore"&amp;CHAR(34)&amp;": "&amp;SUBSTITUTE(TRIM(ROUND(IFERROR(CriteriTecnici!$O83*1,IFERROR(NUMBERVALUE(CriteriTecnici!$O83,".",","),IFERROR(NUMBERVALUE(CriteriTecnici!$O83,",","."),0))),4)&amp;""),",",".")&amp;CHAR(125)&amp;IF(TRUE,",",""))</f>
        <v/>
      </c>
    </row>
    <row r="185">
      <c r="A185" s="82">
        <f>IF(CriteriTecnici!$A84="","","    "&amp;CHAR(123)&amp;CHAR(34)&amp;"bidderId"&amp;CHAR(34)&amp;": "&amp;CHAR(34)&amp;SUBSTITUTE(CriteriTecnici!$A84,CHAR(34),"'")&amp;CHAR(34)&amp;", "&amp;CHAR(34)&amp;"lotId"&amp;CHAR(34)&amp;": "&amp;CHAR(34)&amp;SUBSTITUTE(CriteriTecnici!$C84,CHAR(34),"'")&amp;CHAR(34)&amp;", "&amp;CHAR(34)&amp;"criterionId"&amp;CHAR(34)&amp;": "&amp;CHAR(34)&amp;SUBSTITUTE(CriteriTecnici!$D84,CHAR(34),"'")&amp;CHAR(34)&amp;", "&amp;CHAR(34)&amp;"kind"&amp;CHAR(34)&amp;": "&amp;CHAR(34)&amp;SUBSTITUTE(CriteriTecnici!$F84,CHAR(34),"'")&amp;CHAR(34)&amp;", "&amp;CHAR(34)&amp;"value"&amp;CHAR(34)&amp;": "&amp;SUBSTITUTE(TRIM(ROUND(IFERROR(CriteriTecnici!$N84*1,IFERROR(NUMBERVALUE(CriteriTecnici!$N84,".",","),IFERROR(NUMBERVALUE(CriteriTecnici!$N84,",","."),0))),4)&amp;""),",",".")&amp;", "&amp;CHAR(34)&amp;"numerator"&amp;CHAR(34)&amp;": "&amp;SUBSTITUTE(TRIM(ROUND(IFERROR(CriteriTecnici!$K84*1,IFERROR(NUMBERVALUE(CriteriTecnici!$K84,".",","),IFERROR(NUMBERVALUE(CriteriTecnici!$K84,",","."),0))),4)&amp;""),",",".")&amp;", "&amp;CHAR(34)&amp;"denominator"&amp;CHAR(34)&amp;": "&amp;SUBSTITUTE(TRIM(ROUND(IFERROR(CriteriTecnici!$L84*1,IFERROR(NUMBERVALUE(CriteriTecnici!$L84,".",","),IFERROR(NUMBERVALUE(CriteriTecnici!$L84,",","."),0))),4)&amp;""),",",".")&amp;", "&amp;CHAR(34)&amp;"flag"&amp;CHAR(34)&amp;": "&amp;SUBSTITUTE(TRIM(ROUND(IFERROR(CriteriTecnici!$M84*1,IFERROR(NUMBERVALUE(CriteriTecnici!$M84,".",","),IFERROR(NUMBERVALUE(CriteriTecnici!$M84,",","."),0))),4)&amp;""),",",".")&amp;", "&amp;CHAR(34)&amp;"rawScore"&amp;CHAR(34)&amp;": "&amp;SUBSTITUTE(TRIM(ROUND(IFERROR(CriteriTecnici!$O84*1,IFERROR(NUMBERVALUE(CriteriTecnici!$O84,".",","),IFERROR(NUMBERVALUE(CriteriTecnici!$O84,",","."),0))),4)&amp;""),",",".")&amp;CHAR(125)&amp;IF(TRUE,",",""))</f>
        <v/>
      </c>
    </row>
    <row r="186">
      <c r="A186" s="82">
        <f>IF(CriteriTecnici!$A85="","","    "&amp;CHAR(123)&amp;CHAR(34)&amp;"bidderId"&amp;CHAR(34)&amp;": "&amp;CHAR(34)&amp;SUBSTITUTE(CriteriTecnici!$A85,CHAR(34),"'")&amp;CHAR(34)&amp;", "&amp;CHAR(34)&amp;"lotId"&amp;CHAR(34)&amp;": "&amp;CHAR(34)&amp;SUBSTITUTE(CriteriTecnici!$C85,CHAR(34),"'")&amp;CHAR(34)&amp;", "&amp;CHAR(34)&amp;"criterionId"&amp;CHAR(34)&amp;": "&amp;CHAR(34)&amp;SUBSTITUTE(CriteriTecnici!$D85,CHAR(34),"'")&amp;CHAR(34)&amp;", "&amp;CHAR(34)&amp;"kind"&amp;CHAR(34)&amp;": "&amp;CHAR(34)&amp;SUBSTITUTE(CriteriTecnici!$F85,CHAR(34),"'")&amp;CHAR(34)&amp;", "&amp;CHAR(34)&amp;"value"&amp;CHAR(34)&amp;": "&amp;SUBSTITUTE(TRIM(ROUND(IFERROR(CriteriTecnici!$N85*1,IFERROR(NUMBERVALUE(CriteriTecnici!$N85,".",","),IFERROR(NUMBERVALUE(CriteriTecnici!$N85,",","."),0))),4)&amp;""),",",".")&amp;", "&amp;CHAR(34)&amp;"numerator"&amp;CHAR(34)&amp;": "&amp;SUBSTITUTE(TRIM(ROUND(IFERROR(CriteriTecnici!$K85*1,IFERROR(NUMBERVALUE(CriteriTecnici!$K85,".",","),IFERROR(NUMBERVALUE(CriteriTecnici!$K85,",","."),0))),4)&amp;""),",",".")&amp;", "&amp;CHAR(34)&amp;"denominator"&amp;CHAR(34)&amp;": "&amp;SUBSTITUTE(TRIM(ROUND(IFERROR(CriteriTecnici!$L85*1,IFERROR(NUMBERVALUE(CriteriTecnici!$L85,".",","),IFERROR(NUMBERVALUE(CriteriTecnici!$L85,",","."),0))),4)&amp;""),",",".")&amp;", "&amp;CHAR(34)&amp;"flag"&amp;CHAR(34)&amp;": "&amp;SUBSTITUTE(TRIM(ROUND(IFERROR(CriteriTecnici!$M85*1,IFERROR(NUMBERVALUE(CriteriTecnici!$M85,".",","),IFERROR(NUMBERVALUE(CriteriTecnici!$M85,",","."),0))),4)&amp;""),",",".")&amp;", "&amp;CHAR(34)&amp;"rawScore"&amp;CHAR(34)&amp;": "&amp;SUBSTITUTE(TRIM(ROUND(IFERROR(CriteriTecnici!$O85*1,IFERROR(NUMBERVALUE(CriteriTecnici!$O85,".",","),IFERROR(NUMBERVALUE(CriteriTecnici!$O85,",","."),0))),4)&amp;""),",",".")&amp;CHAR(125)&amp;IF(TRUE,",",""))</f>
        <v/>
      </c>
    </row>
    <row r="187">
      <c r="A187" s="82">
        <f>IF(CriteriTecnici!$A86="","","    "&amp;CHAR(123)&amp;CHAR(34)&amp;"bidderId"&amp;CHAR(34)&amp;": "&amp;CHAR(34)&amp;SUBSTITUTE(CriteriTecnici!$A86,CHAR(34),"'")&amp;CHAR(34)&amp;", "&amp;CHAR(34)&amp;"lotId"&amp;CHAR(34)&amp;": "&amp;CHAR(34)&amp;SUBSTITUTE(CriteriTecnici!$C86,CHAR(34),"'")&amp;CHAR(34)&amp;", "&amp;CHAR(34)&amp;"criterionId"&amp;CHAR(34)&amp;": "&amp;CHAR(34)&amp;SUBSTITUTE(CriteriTecnici!$D86,CHAR(34),"'")&amp;CHAR(34)&amp;", "&amp;CHAR(34)&amp;"kind"&amp;CHAR(34)&amp;": "&amp;CHAR(34)&amp;SUBSTITUTE(CriteriTecnici!$F86,CHAR(34),"'")&amp;CHAR(34)&amp;", "&amp;CHAR(34)&amp;"value"&amp;CHAR(34)&amp;": "&amp;SUBSTITUTE(TRIM(ROUND(IFERROR(CriteriTecnici!$N86*1,IFERROR(NUMBERVALUE(CriteriTecnici!$N86,".",","),IFERROR(NUMBERVALUE(CriteriTecnici!$N86,",","."),0))),4)&amp;""),",",".")&amp;", "&amp;CHAR(34)&amp;"numerator"&amp;CHAR(34)&amp;": "&amp;SUBSTITUTE(TRIM(ROUND(IFERROR(CriteriTecnici!$K86*1,IFERROR(NUMBERVALUE(CriteriTecnici!$K86,".",","),IFERROR(NUMBERVALUE(CriteriTecnici!$K86,",","."),0))),4)&amp;""),",",".")&amp;", "&amp;CHAR(34)&amp;"denominator"&amp;CHAR(34)&amp;": "&amp;SUBSTITUTE(TRIM(ROUND(IFERROR(CriteriTecnici!$L86*1,IFERROR(NUMBERVALUE(CriteriTecnici!$L86,".",","),IFERROR(NUMBERVALUE(CriteriTecnici!$L86,",","."),0))),4)&amp;""),",",".")&amp;", "&amp;CHAR(34)&amp;"flag"&amp;CHAR(34)&amp;": "&amp;SUBSTITUTE(TRIM(ROUND(IFERROR(CriteriTecnici!$M86*1,IFERROR(NUMBERVALUE(CriteriTecnici!$M86,".",","),IFERROR(NUMBERVALUE(CriteriTecnici!$M86,",","."),0))),4)&amp;""),",",".")&amp;", "&amp;CHAR(34)&amp;"rawScore"&amp;CHAR(34)&amp;": "&amp;SUBSTITUTE(TRIM(ROUND(IFERROR(CriteriTecnici!$O86*1,IFERROR(NUMBERVALUE(CriteriTecnici!$O86,".",","),IFERROR(NUMBERVALUE(CriteriTecnici!$O86,",","."),0))),4)&amp;""),",",".")&amp;CHAR(125)&amp;IF(TRUE,",",""))</f>
        <v/>
      </c>
    </row>
    <row r="188">
      <c r="A188" s="82">
        <f>IF(CriteriTecnici!$A87="","","    "&amp;CHAR(123)&amp;CHAR(34)&amp;"bidderId"&amp;CHAR(34)&amp;": "&amp;CHAR(34)&amp;SUBSTITUTE(CriteriTecnici!$A87,CHAR(34),"'")&amp;CHAR(34)&amp;", "&amp;CHAR(34)&amp;"lotId"&amp;CHAR(34)&amp;": "&amp;CHAR(34)&amp;SUBSTITUTE(CriteriTecnici!$C87,CHAR(34),"'")&amp;CHAR(34)&amp;", "&amp;CHAR(34)&amp;"criterionId"&amp;CHAR(34)&amp;": "&amp;CHAR(34)&amp;SUBSTITUTE(CriteriTecnici!$D87,CHAR(34),"'")&amp;CHAR(34)&amp;", "&amp;CHAR(34)&amp;"kind"&amp;CHAR(34)&amp;": "&amp;CHAR(34)&amp;SUBSTITUTE(CriteriTecnici!$F87,CHAR(34),"'")&amp;CHAR(34)&amp;", "&amp;CHAR(34)&amp;"value"&amp;CHAR(34)&amp;": "&amp;SUBSTITUTE(TRIM(ROUND(IFERROR(CriteriTecnici!$N87*1,IFERROR(NUMBERVALUE(CriteriTecnici!$N87,".",","),IFERROR(NUMBERVALUE(CriteriTecnici!$N87,",","."),0))),4)&amp;""),",",".")&amp;", "&amp;CHAR(34)&amp;"numerator"&amp;CHAR(34)&amp;": "&amp;SUBSTITUTE(TRIM(ROUND(IFERROR(CriteriTecnici!$K87*1,IFERROR(NUMBERVALUE(CriteriTecnici!$K87,".",","),IFERROR(NUMBERVALUE(CriteriTecnici!$K87,",","."),0))),4)&amp;""),",",".")&amp;", "&amp;CHAR(34)&amp;"denominator"&amp;CHAR(34)&amp;": "&amp;SUBSTITUTE(TRIM(ROUND(IFERROR(CriteriTecnici!$L87*1,IFERROR(NUMBERVALUE(CriteriTecnici!$L87,".",","),IFERROR(NUMBERVALUE(CriteriTecnici!$L87,",","."),0))),4)&amp;""),",",".")&amp;", "&amp;CHAR(34)&amp;"flag"&amp;CHAR(34)&amp;": "&amp;SUBSTITUTE(TRIM(ROUND(IFERROR(CriteriTecnici!$M87*1,IFERROR(NUMBERVALUE(CriteriTecnici!$M87,".",","),IFERROR(NUMBERVALUE(CriteriTecnici!$M87,",","."),0))),4)&amp;""),",",".")&amp;", "&amp;CHAR(34)&amp;"rawScore"&amp;CHAR(34)&amp;": "&amp;SUBSTITUTE(TRIM(ROUND(IFERROR(CriteriTecnici!$O87*1,IFERROR(NUMBERVALUE(CriteriTecnici!$O87,".",","),IFERROR(NUMBERVALUE(CriteriTecnici!$O87,",","."),0))),4)&amp;""),",",".")&amp;CHAR(125)&amp;IF(TRUE,",",""))</f>
        <v/>
      </c>
    </row>
    <row r="189">
      <c r="A189" s="82">
        <f>IF(CriteriTecnici!$A88="","","    "&amp;CHAR(123)&amp;CHAR(34)&amp;"bidderId"&amp;CHAR(34)&amp;": "&amp;CHAR(34)&amp;SUBSTITUTE(CriteriTecnici!$A88,CHAR(34),"'")&amp;CHAR(34)&amp;", "&amp;CHAR(34)&amp;"lotId"&amp;CHAR(34)&amp;": "&amp;CHAR(34)&amp;SUBSTITUTE(CriteriTecnici!$C88,CHAR(34),"'")&amp;CHAR(34)&amp;", "&amp;CHAR(34)&amp;"criterionId"&amp;CHAR(34)&amp;": "&amp;CHAR(34)&amp;SUBSTITUTE(CriteriTecnici!$D88,CHAR(34),"'")&amp;CHAR(34)&amp;", "&amp;CHAR(34)&amp;"kind"&amp;CHAR(34)&amp;": "&amp;CHAR(34)&amp;SUBSTITUTE(CriteriTecnici!$F88,CHAR(34),"'")&amp;CHAR(34)&amp;", "&amp;CHAR(34)&amp;"value"&amp;CHAR(34)&amp;": "&amp;SUBSTITUTE(TRIM(ROUND(IFERROR(CriteriTecnici!$N88*1,IFERROR(NUMBERVALUE(CriteriTecnici!$N88,".",","),IFERROR(NUMBERVALUE(CriteriTecnici!$N88,",","."),0))),4)&amp;""),",",".")&amp;", "&amp;CHAR(34)&amp;"numerator"&amp;CHAR(34)&amp;": "&amp;SUBSTITUTE(TRIM(ROUND(IFERROR(CriteriTecnici!$K88*1,IFERROR(NUMBERVALUE(CriteriTecnici!$K88,".",","),IFERROR(NUMBERVALUE(CriteriTecnici!$K88,",","."),0))),4)&amp;""),",",".")&amp;", "&amp;CHAR(34)&amp;"denominator"&amp;CHAR(34)&amp;": "&amp;SUBSTITUTE(TRIM(ROUND(IFERROR(CriteriTecnici!$L88*1,IFERROR(NUMBERVALUE(CriteriTecnici!$L88,".",","),IFERROR(NUMBERVALUE(CriteriTecnici!$L88,",","."),0))),4)&amp;""),",",".")&amp;", "&amp;CHAR(34)&amp;"flag"&amp;CHAR(34)&amp;": "&amp;SUBSTITUTE(TRIM(ROUND(IFERROR(CriteriTecnici!$M88*1,IFERROR(NUMBERVALUE(CriteriTecnici!$M88,".",","),IFERROR(NUMBERVALUE(CriteriTecnici!$M88,",","."),0))),4)&amp;""),",",".")&amp;", "&amp;CHAR(34)&amp;"rawScore"&amp;CHAR(34)&amp;": "&amp;SUBSTITUTE(TRIM(ROUND(IFERROR(CriteriTecnici!$O88*1,IFERROR(NUMBERVALUE(CriteriTecnici!$O88,".",","),IFERROR(NUMBERVALUE(CriteriTecnici!$O88,",","."),0))),4)&amp;""),",",".")&amp;CHAR(125)&amp;IF(TRUE,",",""))</f>
        <v/>
      </c>
    </row>
    <row r="190">
      <c r="A190" s="82">
        <f>IF(CriteriTecnici!$A89="","","    "&amp;CHAR(123)&amp;CHAR(34)&amp;"bidderId"&amp;CHAR(34)&amp;": "&amp;CHAR(34)&amp;SUBSTITUTE(CriteriTecnici!$A89,CHAR(34),"'")&amp;CHAR(34)&amp;", "&amp;CHAR(34)&amp;"lotId"&amp;CHAR(34)&amp;": "&amp;CHAR(34)&amp;SUBSTITUTE(CriteriTecnici!$C89,CHAR(34),"'")&amp;CHAR(34)&amp;", "&amp;CHAR(34)&amp;"criterionId"&amp;CHAR(34)&amp;": "&amp;CHAR(34)&amp;SUBSTITUTE(CriteriTecnici!$D89,CHAR(34),"'")&amp;CHAR(34)&amp;", "&amp;CHAR(34)&amp;"kind"&amp;CHAR(34)&amp;": "&amp;CHAR(34)&amp;SUBSTITUTE(CriteriTecnici!$F89,CHAR(34),"'")&amp;CHAR(34)&amp;", "&amp;CHAR(34)&amp;"value"&amp;CHAR(34)&amp;": "&amp;SUBSTITUTE(TRIM(ROUND(IFERROR(CriteriTecnici!$N89*1,IFERROR(NUMBERVALUE(CriteriTecnici!$N89,".",","),IFERROR(NUMBERVALUE(CriteriTecnici!$N89,",","."),0))),4)&amp;""),",",".")&amp;", "&amp;CHAR(34)&amp;"numerator"&amp;CHAR(34)&amp;": "&amp;SUBSTITUTE(TRIM(ROUND(IFERROR(CriteriTecnici!$K89*1,IFERROR(NUMBERVALUE(CriteriTecnici!$K89,".",","),IFERROR(NUMBERVALUE(CriteriTecnici!$K89,",","."),0))),4)&amp;""),",",".")&amp;", "&amp;CHAR(34)&amp;"denominator"&amp;CHAR(34)&amp;": "&amp;SUBSTITUTE(TRIM(ROUND(IFERROR(CriteriTecnici!$L89*1,IFERROR(NUMBERVALUE(CriteriTecnici!$L89,".",","),IFERROR(NUMBERVALUE(CriteriTecnici!$L89,",","."),0))),4)&amp;""),",",".")&amp;", "&amp;CHAR(34)&amp;"flag"&amp;CHAR(34)&amp;": "&amp;SUBSTITUTE(TRIM(ROUND(IFERROR(CriteriTecnici!$M89*1,IFERROR(NUMBERVALUE(CriteriTecnici!$M89,".",","),IFERROR(NUMBERVALUE(CriteriTecnici!$M89,",","."),0))),4)&amp;""),",",".")&amp;", "&amp;CHAR(34)&amp;"rawScore"&amp;CHAR(34)&amp;": "&amp;SUBSTITUTE(TRIM(ROUND(IFERROR(CriteriTecnici!$O89*1,IFERROR(NUMBERVALUE(CriteriTecnici!$O89,".",","),IFERROR(NUMBERVALUE(CriteriTecnici!$O89,",","."),0))),4)&amp;""),",",".")&amp;CHAR(125)&amp;IF(TRUE,",",""))</f>
        <v/>
      </c>
    </row>
    <row r="191">
      <c r="A191" s="82">
        <f>IF(CriteriTecnici!$A90="","","    "&amp;CHAR(123)&amp;CHAR(34)&amp;"bidderId"&amp;CHAR(34)&amp;": "&amp;CHAR(34)&amp;SUBSTITUTE(CriteriTecnici!$A90,CHAR(34),"'")&amp;CHAR(34)&amp;", "&amp;CHAR(34)&amp;"lotId"&amp;CHAR(34)&amp;": "&amp;CHAR(34)&amp;SUBSTITUTE(CriteriTecnici!$C90,CHAR(34),"'")&amp;CHAR(34)&amp;", "&amp;CHAR(34)&amp;"criterionId"&amp;CHAR(34)&amp;": "&amp;CHAR(34)&amp;SUBSTITUTE(CriteriTecnici!$D90,CHAR(34),"'")&amp;CHAR(34)&amp;", "&amp;CHAR(34)&amp;"kind"&amp;CHAR(34)&amp;": "&amp;CHAR(34)&amp;SUBSTITUTE(CriteriTecnici!$F90,CHAR(34),"'")&amp;CHAR(34)&amp;", "&amp;CHAR(34)&amp;"value"&amp;CHAR(34)&amp;": "&amp;SUBSTITUTE(TRIM(ROUND(IFERROR(CriteriTecnici!$N90*1,IFERROR(NUMBERVALUE(CriteriTecnici!$N90,".",","),IFERROR(NUMBERVALUE(CriteriTecnici!$N90,",","."),0))),4)&amp;""),",",".")&amp;", "&amp;CHAR(34)&amp;"numerator"&amp;CHAR(34)&amp;": "&amp;SUBSTITUTE(TRIM(ROUND(IFERROR(CriteriTecnici!$K90*1,IFERROR(NUMBERVALUE(CriteriTecnici!$K90,".",","),IFERROR(NUMBERVALUE(CriteriTecnici!$K90,",","."),0))),4)&amp;""),",",".")&amp;", "&amp;CHAR(34)&amp;"denominator"&amp;CHAR(34)&amp;": "&amp;SUBSTITUTE(TRIM(ROUND(IFERROR(CriteriTecnici!$L90*1,IFERROR(NUMBERVALUE(CriteriTecnici!$L90,".",","),IFERROR(NUMBERVALUE(CriteriTecnici!$L90,",","."),0))),4)&amp;""),",",".")&amp;", "&amp;CHAR(34)&amp;"flag"&amp;CHAR(34)&amp;": "&amp;SUBSTITUTE(TRIM(ROUND(IFERROR(CriteriTecnici!$M90*1,IFERROR(NUMBERVALUE(CriteriTecnici!$M90,".",","),IFERROR(NUMBERVALUE(CriteriTecnici!$M90,",","."),0))),4)&amp;""),",",".")&amp;", "&amp;CHAR(34)&amp;"rawScore"&amp;CHAR(34)&amp;": "&amp;SUBSTITUTE(TRIM(ROUND(IFERROR(CriteriTecnici!$O90*1,IFERROR(NUMBERVALUE(CriteriTecnici!$O90,".",","),IFERROR(NUMBERVALUE(CriteriTecnici!$O90,",","."),0))),4)&amp;""),",",".")&amp;CHAR(125)&amp;IF(TRUE,",",""))</f>
        <v/>
      </c>
    </row>
    <row r="192">
      <c r="A192" s="82">
        <f>IF(CriteriTecnici!$A91="","","    "&amp;CHAR(123)&amp;CHAR(34)&amp;"bidderId"&amp;CHAR(34)&amp;": "&amp;CHAR(34)&amp;SUBSTITUTE(CriteriTecnici!$A91,CHAR(34),"'")&amp;CHAR(34)&amp;", "&amp;CHAR(34)&amp;"lotId"&amp;CHAR(34)&amp;": "&amp;CHAR(34)&amp;SUBSTITUTE(CriteriTecnici!$C91,CHAR(34),"'")&amp;CHAR(34)&amp;", "&amp;CHAR(34)&amp;"criterionId"&amp;CHAR(34)&amp;": "&amp;CHAR(34)&amp;SUBSTITUTE(CriteriTecnici!$D91,CHAR(34),"'")&amp;CHAR(34)&amp;", "&amp;CHAR(34)&amp;"kind"&amp;CHAR(34)&amp;": "&amp;CHAR(34)&amp;SUBSTITUTE(CriteriTecnici!$F91,CHAR(34),"'")&amp;CHAR(34)&amp;", "&amp;CHAR(34)&amp;"value"&amp;CHAR(34)&amp;": "&amp;SUBSTITUTE(TRIM(ROUND(IFERROR(CriteriTecnici!$N91*1,IFERROR(NUMBERVALUE(CriteriTecnici!$N91,".",","),IFERROR(NUMBERVALUE(CriteriTecnici!$N91,",","."),0))),4)&amp;""),",",".")&amp;", "&amp;CHAR(34)&amp;"numerator"&amp;CHAR(34)&amp;": "&amp;SUBSTITUTE(TRIM(ROUND(IFERROR(CriteriTecnici!$K91*1,IFERROR(NUMBERVALUE(CriteriTecnici!$K91,".",","),IFERROR(NUMBERVALUE(CriteriTecnici!$K91,",","."),0))),4)&amp;""),",",".")&amp;", "&amp;CHAR(34)&amp;"denominator"&amp;CHAR(34)&amp;": "&amp;SUBSTITUTE(TRIM(ROUND(IFERROR(CriteriTecnici!$L91*1,IFERROR(NUMBERVALUE(CriteriTecnici!$L91,".",","),IFERROR(NUMBERVALUE(CriteriTecnici!$L91,",","."),0))),4)&amp;""),",",".")&amp;", "&amp;CHAR(34)&amp;"flag"&amp;CHAR(34)&amp;": "&amp;SUBSTITUTE(TRIM(ROUND(IFERROR(CriteriTecnici!$M91*1,IFERROR(NUMBERVALUE(CriteriTecnici!$M91,".",","),IFERROR(NUMBERVALUE(CriteriTecnici!$M91,",","."),0))),4)&amp;""),",",".")&amp;", "&amp;CHAR(34)&amp;"rawScore"&amp;CHAR(34)&amp;": "&amp;SUBSTITUTE(TRIM(ROUND(IFERROR(CriteriTecnici!$O91*1,IFERROR(NUMBERVALUE(CriteriTecnici!$O91,".",","),IFERROR(NUMBERVALUE(CriteriTecnici!$O91,",","."),0))),4)&amp;""),",",".")&amp;CHAR(125)&amp;IF(TRUE,",",""))</f>
        <v/>
      </c>
    </row>
    <row r="193">
      <c r="A193" s="82">
        <f>IF(CriteriTecnici!$A92="","","    "&amp;CHAR(123)&amp;CHAR(34)&amp;"bidderId"&amp;CHAR(34)&amp;": "&amp;CHAR(34)&amp;SUBSTITUTE(CriteriTecnici!$A92,CHAR(34),"'")&amp;CHAR(34)&amp;", "&amp;CHAR(34)&amp;"lotId"&amp;CHAR(34)&amp;": "&amp;CHAR(34)&amp;SUBSTITUTE(CriteriTecnici!$C92,CHAR(34),"'")&amp;CHAR(34)&amp;", "&amp;CHAR(34)&amp;"criterionId"&amp;CHAR(34)&amp;": "&amp;CHAR(34)&amp;SUBSTITUTE(CriteriTecnici!$D92,CHAR(34),"'")&amp;CHAR(34)&amp;", "&amp;CHAR(34)&amp;"kind"&amp;CHAR(34)&amp;": "&amp;CHAR(34)&amp;SUBSTITUTE(CriteriTecnici!$F92,CHAR(34),"'")&amp;CHAR(34)&amp;", "&amp;CHAR(34)&amp;"value"&amp;CHAR(34)&amp;": "&amp;SUBSTITUTE(TRIM(ROUND(IFERROR(CriteriTecnici!$N92*1,IFERROR(NUMBERVALUE(CriteriTecnici!$N92,".",","),IFERROR(NUMBERVALUE(CriteriTecnici!$N92,",","."),0))),4)&amp;""),",",".")&amp;", "&amp;CHAR(34)&amp;"numerator"&amp;CHAR(34)&amp;": "&amp;SUBSTITUTE(TRIM(ROUND(IFERROR(CriteriTecnici!$K92*1,IFERROR(NUMBERVALUE(CriteriTecnici!$K92,".",","),IFERROR(NUMBERVALUE(CriteriTecnici!$K92,",","."),0))),4)&amp;""),",",".")&amp;", "&amp;CHAR(34)&amp;"denominator"&amp;CHAR(34)&amp;": "&amp;SUBSTITUTE(TRIM(ROUND(IFERROR(CriteriTecnici!$L92*1,IFERROR(NUMBERVALUE(CriteriTecnici!$L92,".",","),IFERROR(NUMBERVALUE(CriteriTecnici!$L92,",","."),0))),4)&amp;""),",",".")&amp;", "&amp;CHAR(34)&amp;"flag"&amp;CHAR(34)&amp;": "&amp;SUBSTITUTE(TRIM(ROUND(IFERROR(CriteriTecnici!$M92*1,IFERROR(NUMBERVALUE(CriteriTecnici!$M92,".",","),IFERROR(NUMBERVALUE(CriteriTecnici!$M92,",","."),0))),4)&amp;""),",",".")&amp;", "&amp;CHAR(34)&amp;"rawScore"&amp;CHAR(34)&amp;": "&amp;SUBSTITUTE(TRIM(ROUND(IFERROR(CriteriTecnici!$O92*1,IFERROR(NUMBERVALUE(CriteriTecnici!$O92,".",","),IFERROR(NUMBERVALUE(CriteriTecnici!$O92,",","."),0))),4)&amp;""),",",".")&amp;CHAR(125)&amp;IF(TRUE,",",""))</f>
        <v/>
      </c>
    </row>
    <row r="194">
      <c r="A194" s="82">
        <f>IF(CriteriTecnici!$A93="","","    "&amp;CHAR(123)&amp;CHAR(34)&amp;"bidderId"&amp;CHAR(34)&amp;": "&amp;CHAR(34)&amp;SUBSTITUTE(CriteriTecnici!$A93,CHAR(34),"'")&amp;CHAR(34)&amp;", "&amp;CHAR(34)&amp;"lotId"&amp;CHAR(34)&amp;": "&amp;CHAR(34)&amp;SUBSTITUTE(CriteriTecnici!$C93,CHAR(34),"'")&amp;CHAR(34)&amp;", "&amp;CHAR(34)&amp;"criterionId"&amp;CHAR(34)&amp;": "&amp;CHAR(34)&amp;SUBSTITUTE(CriteriTecnici!$D93,CHAR(34),"'")&amp;CHAR(34)&amp;", "&amp;CHAR(34)&amp;"kind"&amp;CHAR(34)&amp;": "&amp;CHAR(34)&amp;SUBSTITUTE(CriteriTecnici!$F93,CHAR(34),"'")&amp;CHAR(34)&amp;", "&amp;CHAR(34)&amp;"value"&amp;CHAR(34)&amp;": "&amp;SUBSTITUTE(TRIM(ROUND(IFERROR(CriteriTecnici!$N93*1,IFERROR(NUMBERVALUE(CriteriTecnici!$N93,".",","),IFERROR(NUMBERVALUE(CriteriTecnici!$N93,",","."),0))),4)&amp;""),",",".")&amp;", "&amp;CHAR(34)&amp;"numerator"&amp;CHAR(34)&amp;": "&amp;SUBSTITUTE(TRIM(ROUND(IFERROR(CriteriTecnici!$K93*1,IFERROR(NUMBERVALUE(CriteriTecnici!$K93,".",","),IFERROR(NUMBERVALUE(CriteriTecnici!$K93,",","."),0))),4)&amp;""),",",".")&amp;", "&amp;CHAR(34)&amp;"denominator"&amp;CHAR(34)&amp;": "&amp;SUBSTITUTE(TRIM(ROUND(IFERROR(CriteriTecnici!$L93*1,IFERROR(NUMBERVALUE(CriteriTecnici!$L93,".",","),IFERROR(NUMBERVALUE(CriteriTecnici!$L93,",","."),0))),4)&amp;""),",",".")&amp;", "&amp;CHAR(34)&amp;"flag"&amp;CHAR(34)&amp;": "&amp;SUBSTITUTE(TRIM(ROUND(IFERROR(CriteriTecnici!$M93*1,IFERROR(NUMBERVALUE(CriteriTecnici!$M93,".",","),IFERROR(NUMBERVALUE(CriteriTecnici!$M93,",","."),0))),4)&amp;""),",",".")&amp;", "&amp;CHAR(34)&amp;"rawScore"&amp;CHAR(34)&amp;": "&amp;SUBSTITUTE(TRIM(ROUND(IFERROR(CriteriTecnici!$O93*1,IFERROR(NUMBERVALUE(CriteriTecnici!$O93,".",","),IFERROR(NUMBERVALUE(CriteriTecnici!$O93,",","."),0))),4)&amp;""),",",".")&amp;CHAR(125)&amp;IF(TRUE,",",""))</f>
        <v/>
      </c>
    </row>
    <row r="195">
      <c r="A195" s="82">
        <f>IF(CriteriTecnici!$A94="","","    "&amp;CHAR(123)&amp;CHAR(34)&amp;"bidderId"&amp;CHAR(34)&amp;": "&amp;CHAR(34)&amp;SUBSTITUTE(CriteriTecnici!$A94,CHAR(34),"'")&amp;CHAR(34)&amp;", "&amp;CHAR(34)&amp;"lotId"&amp;CHAR(34)&amp;": "&amp;CHAR(34)&amp;SUBSTITUTE(CriteriTecnici!$C94,CHAR(34),"'")&amp;CHAR(34)&amp;", "&amp;CHAR(34)&amp;"criterionId"&amp;CHAR(34)&amp;": "&amp;CHAR(34)&amp;SUBSTITUTE(CriteriTecnici!$D94,CHAR(34),"'")&amp;CHAR(34)&amp;", "&amp;CHAR(34)&amp;"kind"&amp;CHAR(34)&amp;": "&amp;CHAR(34)&amp;SUBSTITUTE(CriteriTecnici!$F94,CHAR(34),"'")&amp;CHAR(34)&amp;", "&amp;CHAR(34)&amp;"value"&amp;CHAR(34)&amp;": "&amp;SUBSTITUTE(TRIM(ROUND(IFERROR(CriteriTecnici!$N94*1,IFERROR(NUMBERVALUE(CriteriTecnici!$N94,".",","),IFERROR(NUMBERVALUE(CriteriTecnici!$N94,",","."),0))),4)&amp;""),",",".")&amp;", "&amp;CHAR(34)&amp;"numerator"&amp;CHAR(34)&amp;": "&amp;SUBSTITUTE(TRIM(ROUND(IFERROR(CriteriTecnici!$K94*1,IFERROR(NUMBERVALUE(CriteriTecnici!$K94,".",","),IFERROR(NUMBERVALUE(CriteriTecnici!$K94,",","."),0))),4)&amp;""),",",".")&amp;", "&amp;CHAR(34)&amp;"denominator"&amp;CHAR(34)&amp;": "&amp;SUBSTITUTE(TRIM(ROUND(IFERROR(CriteriTecnici!$L94*1,IFERROR(NUMBERVALUE(CriteriTecnici!$L94,".",","),IFERROR(NUMBERVALUE(CriteriTecnici!$L94,",","."),0))),4)&amp;""),",",".")&amp;", "&amp;CHAR(34)&amp;"flag"&amp;CHAR(34)&amp;": "&amp;SUBSTITUTE(TRIM(ROUND(IFERROR(CriteriTecnici!$M94*1,IFERROR(NUMBERVALUE(CriteriTecnici!$M94,".",","),IFERROR(NUMBERVALUE(CriteriTecnici!$M94,",","."),0))),4)&amp;""),",",".")&amp;", "&amp;CHAR(34)&amp;"rawScore"&amp;CHAR(34)&amp;": "&amp;SUBSTITUTE(TRIM(ROUND(IFERROR(CriteriTecnici!$O94*1,IFERROR(NUMBERVALUE(CriteriTecnici!$O94,".",","),IFERROR(NUMBERVALUE(CriteriTecnici!$O94,",","."),0))),4)&amp;""),",",".")&amp;CHAR(125)&amp;IF(TRUE,",",""))</f>
        <v/>
      </c>
    </row>
    <row r="196">
      <c r="A196" s="82">
        <f>IF(CriteriTecnici!$A95="","","    "&amp;CHAR(123)&amp;CHAR(34)&amp;"bidderId"&amp;CHAR(34)&amp;": "&amp;CHAR(34)&amp;SUBSTITUTE(CriteriTecnici!$A95,CHAR(34),"'")&amp;CHAR(34)&amp;", "&amp;CHAR(34)&amp;"lotId"&amp;CHAR(34)&amp;": "&amp;CHAR(34)&amp;SUBSTITUTE(CriteriTecnici!$C95,CHAR(34),"'")&amp;CHAR(34)&amp;", "&amp;CHAR(34)&amp;"criterionId"&amp;CHAR(34)&amp;": "&amp;CHAR(34)&amp;SUBSTITUTE(CriteriTecnici!$D95,CHAR(34),"'")&amp;CHAR(34)&amp;", "&amp;CHAR(34)&amp;"kind"&amp;CHAR(34)&amp;": "&amp;CHAR(34)&amp;SUBSTITUTE(CriteriTecnici!$F95,CHAR(34),"'")&amp;CHAR(34)&amp;", "&amp;CHAR(34)&amp;"value"&amp;CHAR(34)&amp;": "&amp;SUBSTITUTE(TRIM(ROUND(IFERROR(CriteriTecnici!$N95*1,IFERROR(NUMBERVALUE(CriteriTecnici!$N95,".",","),IFERROR(NUMBERVALUE(CriteriTecnici!$N95,",","."),0))),4)&amp;""),",",".")&amp;", "&amp;CHAR(34)&amp;"numerator"&amp;CHAR(34)&amp;": "&amp;SUBSTITUTE(TRIM(ROUND(IFERROR(CriteriTecnici!$K95*1,IFERROR(NUMBERVALUE(CriteriTecnici!$K95,".",","),IFERROR(NUMBERVALUE(CriteriTecnici!$K95,",","."),0))),4)&amp;""),",",".")&amp;", "&amp;CHAR(34)&amp;"denominator"&amp;CHAR(34)&amp;": "&amp;SUBSTITUTE(TRIM(ROUND(IFERROR(CriteriTecnici!$L95*1,IFERROR(NUMBERVALUE(CriteriTecnici!$L95,".",","),IFERROR(NUMBERVALUE(CriteriTecnici!$L95,",","."),0))),4)&amp;""),",",".")&amp;", "&amp;CHAR(34)&amp;"flag"&amp;CHAR(34)&amp;": "&amp;SUBSTITUTE(TRIM(ROUND(IFERROR(CriteriTecnici!$M95*1,IFERROR(NUMBERVALUE(CriteriTecnici!$M95,".",","),IFERROR(NUMBERVALUE(CriteriTecnici!$M95,",","."),0))),4)&amp;""),",",".")&amp;", "&amp;CHAR(34)&amp;"rawScore"&amp;CHAR(34)&amp;": "&amp;SUBSTITUTE(TRIM(ROUND(IFERROR(CriteriTecnici!$O95*1,IFERROR(NUMBERVALUE(CriteriTecnici!$O95,".",","),IFERROR(NUMBERVALUE(CriteriTecnici!$O95,",","."),0))),4)&amp;""),",",".")&amp;CHAR(125)&amp;IF(TRUE,",",""))</f>
        <v/>
      </c>
    </row>
    <row r="197">
      <c r="A197" s="82">
        <f>IF(CriteriTecnici!$A96="","","    "&amp;CHAR(123)&amp;CHAR(34)&amp;"bidderId"&amp;CHAR(34)&amp;": "&amp;CHAR(34)&amp;SUBSTITUTE(CriteriTecnici!$A96,CHAR(34),"'")&amp;CHAR(34)&amp;", "&amp;CHAR(34)&amp;"lotId"&amp;CHAR(34)&amp;": "&amp;CHAR(34)&amp;SUBSTITUTE(CriteriTecnici!$C96,CHAR(34),"'")&amp;CHAR(34)&amp;", "&amp;CHAR(34)&amp;"criterionId"&amp;CHAR(34)&amp;": "&amp;CHAR(34)&amp;SUBSTITUTE(CriteriTecnici!$D96,CHAR(34),"'")&amp;CHAR(34)&amp;", "&amp;CHAR(34)&amp;"kind"&amp;CHAR(34)&amp;": "&amp;CHAR(34)&amp;SUBSTITUTE(CriteriTecnici!$F96,CHAR(34),"'")&amp;CHAR(34)&amp;", "&amp;CHAR(34)&amp;"value"&amp;CHAR(34)&amp;": "&amp;SUBSTITUTE(TRIM(ROUND(IFERROR(CriteriTecnici!$N96*1,IFERROR(NUMBERVALUE(CriteriTecnici!$N96,".",","),IFERROR(NUMBERVALUE(CriteriTecnici!$N96,",","."),0))),4)&amp;""),",",".")&amp;", "&amp;CHAR(34)&amp;"numerator"&amp;CHAR(34)&amp;": "&amp;SUBSTITUTE(TRIM(ROUND(IFERROR(CriteriTecnici!$K96*1,IFERROR(NUMBERVALUE(CriteriTecnici!$K96,".",","),IFERROR(NUMBERVALUE(CriteriTecnici!$K96,",","."),0))),4)&amp;""),",",".")&amp;", "&amp;CHAR(34)&amp;"denominator"&amp;CHAR(34)&amp;": "&amp;SUBSTITUTE(TRIM(ROUND(IFERROR(CriteriTecnici!$L96*1,IFERROR(NUMBERVALUE(CriteriTecnici!$L96,".",","),IFERROR(NUMBERVALUE(CriteriTecnici!$L96,",","."),0))),4)&amp;""),",",".")&amp;", "&amp;CHAR(34)&amp;"flag"&amp;CHAR(34)&amp;": "&amp;SUBSTITUTE(TRIM(ROUND(IFERROR(CriteriTecnici!$M96*1,IFERROR(NUMBERVALUE(CriteriTecnici!$M96,".",","),IFERROR(NUMBERVALUE(CriteriTecnici!$M96,",","."),0))),4)&amp;""),",",".")&amp;", "&amp;CHAR(34)&amp;"rawScore"&amp;CHAR(34)&amp;": "&amp;SUBSTITUTE(TRIM(ROUND(IFERROR(CriteriTecnici!$O96*1,IFERROR(NUMBERVALUE(CriteriTecnici!$O96,".",","),IFERROR(NUMBERVALUE(CriteriTecnici!$O96,",","."),0))),4)&amp;""),",",".")&amp;CHAR(125)&amp;IF(TRUE,",",""))</f>
        <v/>
      </c>
    </row>
    <row r="198">
      <c r="A198" s="82">
        <f>IF(CriteriTecnici!$A97="","","    "&amp;CHAR(123)&amp;CHAR(34)&amp;"bidderId"&amp;CHAR(34)&amp;": "&amp;CHAR(34)&amp;SUBSTITUTE(CriteriTecnici!$A97,CHAR(34),"'")&amp;CHAR(34)&amp;", "&amp;CHAR(34)&amp;"lotId"&amp;CHAR(34)&amp;": "&amp;CHAR(34)&amp;SUBSTITUTE(CriteriTecnici!$C97,CHAR(34),"'")&amp;CHAR(34)&amp;", "&amp;CHAR(34)&amp;"criterionId"&amp;CHAR(34)&amp;": "&amp;CHAR(34)&amp;SUBSTITUTE(CriteriTecnici!$D97,CHAR(34),"'")&amp;CHAR(34)&amp;", "&amp;CHAR(34)&amp;"kind"&amp;CHAR(34)&amp;": "&amp;CHAR(34)&amp;SUBSTITUTE(CriteriTecnici!$F97,CHAR(34),"'")&amp;CHAR(34)&amp;", "&amp;CHAR(34)&amp;"value"&amp;CHAR(34)&amp;": "&amp;SUBSTITUTE(TRIM(ROUND(IFERROR(CriteriTecnici!$N97*1,IFERROR(NUMBERVALUE(CriteriTecnici!$N97,".",","),IFERROR(NUMBERVALUE(CriteriTecnici!$N97,",","."),0))),4)&amp;""),",",".")&amp;", "&amp;CHAR(34)&amp;"numerator"&amp;CHAR(34)&amp;": "&amp;SUBSTITUTE(TRIM(ROUND(IFERROR(CriteriTecnici!$K97*1,IFERROR(NUMBERVALUE(CriteriTecnici!$K97,".",","),IFERROR(NUMBERVALUE(CriteriTecnici!$K97,",","."),0))),4)&amp;""),",",".")&amp;", "&amp;CHAR(34)&amp;"denominator"&amp;CHAR(34)&amp;": "&amp;SUBSTITUTE(TRIM(ROUND(IFERROR(CriteriTecnici!$L97*1,IFERROR(NUMBERVALUE(CriteriTecnici!$L97,".",","),IFERROR(NUMBERVALUE(CriteriTecnici!$L97,",","."),0))),4)&amp;""),",",".")&amp;", "&amp;CHAR(34)&amp;"flag"&amp;CHAR(34)&amp;": "&amp;SUBSTITUTE(TRIM(ROUND(IFERROR(CriteriTecnici!$M97*1,IFERROR(NUMBERVALUE(CriteriTecnici!$M97,".",","),IFERROR(NUMBERVALUE(CriteriTecnici!$M97,",","."),0))),4)&amp;""),",",".")&amp;", "&amp;CHAR(34)&amp;"rawScore"&amp;CHAR(34)&amp;": "&amp;SUBSTITUTE(TRIM(ROUND(IFERROR(CriteriTecnici!$O97*1,IFERROR(NUMBERVALUE(CriteriTecnici!$O97,".",","),IFERROR(NUMBERVALUE(CriteriTecnici!$O97,",","."),0))),4)&amp;""),",",".")&amp;CHAR(125)&amp;IF(COUNTA(Offerte!$A5:$A$81)&gt;0,",",""))</f>
        <v/>
      </c>
    </row>
    <row r="199">
      <c r="A199" s="82">
        <f>IF(CriteriTecnici!$A98="","","    "&amp;CHAR(123)&amp;CHAR(34)&amp;"bidderId"&amp;CHAR(34)&amp;": "&amp;CHAR(34)&amp;SUBSTITUTE(CriteriTecnici!$A98,CHAR(34),"'")&amp;CHAR(34)&amp;", "&amp;CHAR(34)&amp;"lotId"&amp;CHAR(34)&amp;": "&amp;CHAR(34)&amp;SUBSTITUTE(CriteriTecnici!$C98,CHAR(34),"'")&amp;CHAR(34)&amp;", "&amp;CHAR(34)&amp;"criterionId"&amp;CHAR(34)&amp;": "&amp;CHAR(34)&amp;SUBSTITUTE(CriteriTecnici!$D98,CHAR(34),"'")&amp;CHAR(34)&amp;", "&amp;CHAR(34)&amp;"kind"&amp;CHAR(34)&amp;": "&amp;CHAR(34)&amp;SUBSTITUTE(CriteriTecnici!$F98,CHAR(34),"'")&amp;CHAR(34)&amp;", "&amp;CHAR(34)&amp;"value"&amp;CHAR(34)&amp;": "&amp;SUBSTITUTE(TRIM(ROUND(IFERROR(CriteriTecnici!$N98*1,IFERROR(NUMBERVALUE(CriteriTecnici!$N98,".",","),IFERROR(NUMBERVALUE(CriteriTecnici!$N98,",","."),0))),4)&amp;""),",",".")&amp;", "&amp;CHAR(34)&amp;"numerator"&amp;CHAR(34)&amp;": "&amp;SUBSTITUTE(TRIM(ROUND(IFERROR(CriteriTecnici!$K98*1,IFERROR(NUMBERVALUE(CriteriTecnici!$K98,".",","),IFERROR(NUMBERVALUE(CriteriTecnici!$K98,",","."),0))),4)&amp;""),",",".")&amp;", "&amp;CHAR(34)&amp;"denominator"&amp;CHAR(34)&amp;": "&amp;SUBSTITUTE(TRIM(ROUND(IFERROR(CriteriTecnici!$L98*1,IFERROR(NUMBERVALUE(CriteriTecnici!$L98,".",","),IFERROR(NUMBERVALUE(CriteriTecnici!$L98,",","."),0))),4)&amp;""),",",".")&amp;", "&amp;CHAR(34)&amp;"flag"&amp;CHAR(34)&amp;": "&amp;SUBSTITUTE(TRIM(ROUND(IFERROR(CriteriTecnici!$M98*1,IFERROR(NUMBERVALUE(CriteriTecnici!$M98,".",","),IFERROR(NUMBERVALUE(CriteriTecnici!$M98,",","."),0))),4)&amp;""),",",".")&amp;", "&amp;CHAR(34)&amp;"rawScore"&amp;CHAR(34)&amp;": "&amp;SUBSTITUTE(TRIM(ROUND(IFERROR(CriteriTecnici!$O98*1,IFERROR(NUMBERVALUE(CriteriTecnici!$O98,".",","),IFERROR(NUMBERVALUE(CriteriTecnici!$O98,",","."),0))),4)&amp;""),",",".")&amp;CHAR(125)&amp;IF(TRUE,",",""))</f>
        <v/>
      </c>
    </row>
    <row r="200">
      <c r="A200" s="82">
        <f>IF(CriteriTecnici!$A99="","","    "&amp;CHAR(123)&amp;CHAR(34)&amp;"bidderId"&amp;CHAR(34)&amp;": "&amp;CHAR(34)&amp;SUBSTITUTE(CriteriTecnici!$A99,CHAR(34),"'")&amp;CHAR(34)&amp;", "&amp;CHAR(34)&amp;"lotId"&amp;CHAR(34)&amp;": "&amp;CHAR(34)&amp;SUBSTITUTE(CriteriTecnici!$C99,CHAR(34),"'")&amp;CHAR(34)&amp;", "&amp;CHAR(34)&amp;"criterionId"&amp;CHAR(34)&amp;": "&amp;CHAR(34)&amp;SUBSTITUTE(CriteriTecnici!$D99,CHAR(34),"'")&amp;CHAR(34)&amp;", "&amp;CHAR(34)&amp;"kind"&amp;CHAR(34)&amp;": "&amp;CHAR(34)&amp;SUBSTITUTE(CriteriTecnici!$F99,CHAR(34),"'")&amp;CHAR(34)&amp;", "&amp;CHAR(34)&amp;"value"&amp;CHAR(34)&amp;": "&amp;SUBSTITUTE(TRIM(ROUND(IFERROR(CriteriTecnici!$N99*1,IFERROR(NUMBERVALUE(CriteriTecnici!$N99,".",","),IFERROR(NUMBERVALUE(CriteriTecnici!$N99,",","."),0))),4)&amp;""),",",".")&amp;", "&amp;CHAR(34)&amp;"numerator"&amp;CHAR(34)&amp;": "&amp;SUBSTITUTE(TRIM(ROUND(IFERROR(CriteriTecnici!$K99*1,IFERROR(NUMBERVALUE(CriteriTecnici!$K99,".",","),IFERROR(NUMBERVALUE(CriteriTecnici!$K99,",","."),0))),4)&amp;""),",",".")&amp;", "&amp;CHAR(34)&amp;"denominator"&amp;CHAR(34)&amp;": "&amp;SUBSTITUTE(TRIM(ROUND(IFERROR(CriteriTecnici!$L99*1,IFERROR(NUMBERVALUE(CriteriTecnici!$L99,".",","),IFERROR(NUMBERVALUE(CriteriTecnici!$L99,",","."),0))),4)&amp;""),",",".")&amp;", "&amp;CHAR(34)&amp;"flag"&amp;CHAR(34)&amp;": "&amp;SUBSTITUTE(TRIM(ROUND(IFERROR(CriteriTecnici!$M99*1,IFERROR(NUMBERVALUE(CriteriTecnici!$M99,".",","),IFERROR(NUMBERVALUE(CriteriTecnici!$M99,",","."),0))),4)&amp;""),",",".")&amp;", "&amp;CHAR(34)&amp;"rawScore"&amp;CHAR(34)&amp;": "&amp;SUBSTITUTE(TRIM(ROUND(IFERROR(CriteriTecnici!$O99*1,IFERROR(NUMBERVALUE(CriteriTecnici!$O99,".",","),IFERROR(NUMBERVALUE(CriteriTecnici!$O99,",","."),0))),4)&amp;""),",",".")&amp;CHAR(125)&amp;IF(TRUE,",",""))</f>
        <v/>
      </c>
    </row>
    <row r="201">
      <c r="A201" s="82">
        <f>IF(CriteriTecnici!$A100="","","    "&amp;CHAR(123)&amp;CHAR(34)&amp;"bidderId"&amp;CHAR(34)&amp;": "&amp;CHAR(34)&amp;SUBSTITUTE(CriteriTecnici!$A100,CHAR(34),"'")&amp;CHAR(34)&amp;", "&amp;CHAR(34)&amp;"lotId"&amp;CHAR(34)&amp;": "&amp;CHAR(34)&amp;SUBSTITUTE(CriteriTecnici!$C100,CHAR(34),"'")&amp;CHAR(34)&amp;", "&amp;CHAR(34)&amp;"criterionId"&amp;CHAR(34)&amp;": "&amp;CHAR(34)&amp;SUBSTITUTE(CriteriTecnici!$D100,CHAR(34),"'")&amp;CHAR(34)&amp;", "&amp;CHAR(34)&amp;"kind"&amp;CHAR(34)&amp;": "&amp;CHAR(34)&amp;SUBSTITUTE(CriteriTecnici!$F100,CHAR(34),"'")&amp;CHAR(34)&amp;", "&amp;CHAR(34)&amp;"value"&amp;CHAR(34)&amp;": "&amp;SUBSTITUTE(TRIM(ROUND(IFERROR(CriteriTecnici!$N100*1,IFERROR(NUMBERVALUE(CriteriTecnici!$N100,".",","),IFERROR(NUMBERVALUE(CriteriTecnici!$N100,",","."),0))),4)&amp;""),",",".")&amp;", "&amp;CHAR(34)&amp;"numerator"&amp;CHAR(34)&amp;": "&amp;SUBSTITUTE(TRIM(ROUND(IFERROR(CriteriTecnici!$K100*1,IFERROR(NUMBERVALUE(CriteriTecnici!$K100,".",","),IFERROR(NUMBERVALUE(CriteriTecnici!$K100,",","."),0))),4)&amp;""),",",".")&amp;", "&amp;CHAR(34)&amp;"denominator"&amp;CHAR(34)&amp;": "&amp;SUBSTITUTE(TRIM(ROUND(IFERROR(CriteriTecnici!$L100*1,IFERROR(NUMBERVALUE(CriteriTecnici!$L100,".",","),IFERROR(NUMBERVALUE(CriteriTecnici!$L100,",","."),0))),4)&amp;""),",",".")&amp;", "&amp;CHAR(34)&amp;"flag"&amp;CHAR(34)&amp;": "&amp;SUBSTITUTE(TRIM(ROUND(IFERROR(CriteriTecnici!$M100*1,IFERROR(NUMBERVALUE(CriteriTecnici!$M100,".",","),IFERROR(NUMBERVALUE(CriteriTecnici!$M100,",","."),0))),4)&amp;""),",",".")&amp;", "&amp;CHAR(34)&amp;"rawScore"&amp;CHAR(34)&amp;": "&amp;SUBSTITUTE(TRIM(ROUND(IFERROR(CriteriTecnici!$O100*1,IFERROR(NUMBERVALUE(CriteriTecnici!$O100,".",","),IFERROR(NUMBERVALUE(CriteriTecnici!$O100,",","."),0))),4)&amp;""),",",".")&amp;CHAR(125)&amp;IF(TRUE,",",""))</f>
        <v/>
      </c>
    </row>
    <row r="202">
      <c r="A202" s="82">
        <f>IF(CriteriTecnici!$A101="","","    "&amp;CHAR(123)&amp;CHAR(34)&amp;"bidderId"&amp;CHAR(34)&amp;": "&amp;CHAR(34)&amp;SUBSTITUTE(CriteriTecnici!$A101,CHAR(34),"'")&amp;CHAR(34)&amp;", "&amp;CHAR(34)&amp;"lotId"&amp;CHAR(34)&amp;": "&amp;CHAR(34)&amp;SUBSTITUTE(CriteriTecnici!$C101,CHAR(34),"'")&amp;CHAR(34)&amp;", "&amp;CHAR(34)&amp;"criterionId"&amp;CHAR(34)&amp;": "&amp;CHAR(34)&amp;SUBSTITUTE(CriteriTecnici!$D101,CHAR(34),"'")&amp;CHAR(34)&amp;", "&amp;CHAR(34)&amp;"kind"&amp;CHAR(34)&amp;": "&amp;CHAR(34)&amp;SUBSTITUTE(CriteriTecnici!$F101,CHAR(34),"'")&amp;CHAR(34)&amp;", "&amp;CHAR(34)&amp;"value"&amp;CHAR(34)&amp;": "&amp;SUBSTITUTE(TRIM(ROUND(IFERROR(CriteriTecnici!$N101*1,IFERROR(NUMBERVALUE(CriteriTecnici!$N101,".",","),IFERROR(NUMBERVALUE(CriteriTecnici!$N101,",","."),0))),4)&amp;""),",",".")&amp;", "&amp;CHAR(34)&amp;"numerator"&amp;CHAR(34)&amp;": "&amp;SUBSTITUTE(TRIM(ROUND(IFERROR(CriteriTecnici!$K101*1,IFERROR(NUMBERVALUE(CriteriTecnici!$K101,".",","),IFERROR(NUMBERVALUE(CriteriTecnici!$K101,",","."),0))),4)&amp;""),",",".")&amp;", "&amp;CHAR(34)&amp;"denominator"&amp;CHAR(34)&amp;": "&amp;SUBSTITUTE(TRIM(ROUND(IFERROR(CriteriTecnici!$L101*1,IFERROR(NUMBERVALUE(CriteriTecnici!$L101,".",","),IFERROR(NUMBERVALUE(CriteriTecnici!$L101,",","."),0))),4)&amp;""),",",".")&amp;", "&amp;CHAR(34)&amp;"flag"&amp;CHAR(34)&amp;": "&amp;SUBSTITUTE(TRIM(ROUND(IFERROR(CriteriTecnici!$M101*1,IFERROR(NUMBERVALUE(CriteriTecnici!$M101,".",","),IFERROR(NUMBERVALUE(CriteriTecnici!$M101,",","."),0))),4)&amp;""),",",".")&amp;", "&amp;CHAR(34)&amp;"rawScore"&amp;CHAR(34)&amp;": "&amp;SUBSTITUTE(TRIM(ROUND(IFERROR(CriteriTecnici!$O101*1,IFERROR(NUMBERVALUE(CriteriTecnici!$O101,".",","),IFERROR(NUMBERVALUE(CriteriTecnici!$O101,",","."),0))),4)&amp;""),",",".")&amp;CHAR(125)&amp;IF(TRUE,",",""))</f>
        <v/>
      </c>
    </row>
    <row r="203">
      <c r="A203" s="82">
        <f>IF(CriteriTecnici!$A102="","","    "&amp;CHAR(123)&amp;CHAR(34)&amp;"bidderId"&amp;CHAR(34)&amp;": "&amp;CHAR(34)&amp;SUBSTITUTE(CriteriTecnici!$A102,CHAR(34),"'")&amp;CHAR(34)&amp;", "&amp;CHAR(34)&amp;"lotId"&amp;CHAR(34)&amp;": "&amp;CHAR(34)&amp;SUBSTITUTE(CriteriTecnici!$C102,CHAR(34),"'")&amp;CHAR(34)&amp;", "&amp;CHAR(34)&amp;"criterionId"&amp;CHAR(34)&amp;": "&amp;CHAR(34)&amp;SUBSTITUTE(CriteriTecnici!$D102,CHAR(34),"'")&amp;CHAR(34)&amp;", "&amp;CHAR(34)&amp;"kind"&amp;CHAR(34)&amp;": "&amp;CHAR(34)&amp;SUBSTITUTE(CriteriTecnici!$F102,CHAR(34),"'")&amp;CHAR(34)&amp;", "&amp;CHAR(34)&amp;"value"&amp;CHAR(34)&amp;": "&amp;SUBSTITUTE(TRIM(ROUND(IFERROR(CriteriTecnici!$N102*1,IFERROR(NUMBERVALUE(CriteriTecnici!$N102,".",","),IFERROR(NUMBERVALUE(CriteriTecnici!$N102,",","."),0))),4)&amp;""),",",".")&amp;", "&amp;CHAR(34)&amp;"numerator"&amp;CHAR(34)&amp;": "&amp;SUBSTITUTE(TRIM(ROUND(IFERROR(CriteriTecnici!$K102*1,IFERROR(NUMBERVALUE(CriteriTecnici!$K102,".",","),IFERROR(NUMBERVALUE(CriteriTecnici!$K102,",","."),0))),4)&amp;""),",",".")&amp;", "&amp;CHAR(34)&amp;"denominator"&amp;CHAR(34)&amp;": "&amp;SUBSTITUTE(TRIM(ROUND(IFERROR(CriteriTecnici!$L102*1,IFERROR(NUMBERVALUE(CriteriTecnici!$L102,".",","),IFERROR(NUMBERVALUE(CriteriTecnici!$L102,",","."),0))),4)&amp;""),",",".")&amp;", "&amp;CHAR(34)&amp;"flag"&amp;CHAR(34)&amp;": "&amp;SUBSTITUTE(TRIM(ROUND(IFERROR(CriteriTecnici!$M102*1,IFERROR(NUMBERVALUE(CriteriTecnici!$M102,".",","),IFERROR(NUMBERVALUE(CriteriTecnici!$M102,",","."),0))),4)&amp;""),",",".")&amp;", "&amp;CHAR(34)&amp;"rawScore"&amp;CHAR(34)&amp;": "&amp;SUBSTITUTE(TRIM(ROUND(IFERROR(CriteriTecnici!$O102*1,IFERROR(NUMBERVALUE(CriteriTecnici!$O102,".",","),IFERROR(NUMBERVALUE(CriteriTecnici!$O102,",","."),0))),4)&amp;""),",",".")&amp;CHAR(125)&amp;IF(TRUE,",",""))</f>
        <v/>
      </c>
    </row>
    <row r="204">
      <c r="A204" s="82">
        <f>IF(CriteriTecnici!$A103="","","    "&amp;CHAR(123)&amp;CHAR(34)&amp;"bidderId"&amp;CHAR(34)&amp;": "&amp;CHAR(34)&amp;SUBSTITUTE(CriteriTecnici!$A103,CHAR(34),"'")&amp;CHAR(34)&amp;", "&amp;CHAR(34)&amp;"lotId"&amp;CHAR(34)&amp;": "&amp;CHAR(34)&amp;SUBSTITUTE(CriteriTecnici!$C103,CHAR(34),"'")&amp;CHAR(34)&amp;", "&amp;CHAR(34)&amp;"criterionId"&amp;CHAR(34)&amp;": "&amp;CHAR(34)&amp;SUBSTITUTE(CriteriTecnici!$D103,CHAR(34),"'")&amp;CHAR(34)&amp;", "&amp;CHAR(34)&amp;"kind"&amp;CHAR(34)&amp;": "&amp;CHAR(34)&amp;SUBSTITUTE(CriteriTecnici!$F103,CHAR(34),"'")&amp;CHAR(34)&amp;", "&amp;CHAR(34)&amp;"value"&amp;CHAR(34)&amp;": "&amp;SUBSTITUTE(TRIM(ROUND(IFERROR(CriteriTecnici!$N103*1,IFERROR(NUMBERVALUE(CriteriTecnici!$N103,".",","),IFERROR(NUMBERVALUE(CriteriTecnici!$N103,",","."),0))),4)&amp;""),",",".")&amp;", "&amp;CHAR(34)&amp;"numerator"&amp;CHAR(34)&amp;": "&amp;SUBSTITUTE(TRIM(ROUND(IFERROR(CriteriTecnici!$K103*1,IFERROR(NUMBERVALUE(CriteriTecnici!$K103,".",","),IFERROR(NUMBERVALUE(CriteriTecnici!$K103,",","."),0))),4)&amp;""),",",".")&amp;", "&amp;CHAR(34)&amp;"denominator"&amp;CHAR(34)&amp;": "&amp;SUBSTITUTE(TRIM(ROUND(IFERROR(CriteriTecnici!$L103*1,IFERROR(NUMBERVALUE(CriteriTecnici!$L103,".",","),IFERROR(NUMBERVALUE(CriteriTecnici!$L103,",","."),0))),4)&amp;""),",",".")&amp;", "&amp;CHAR(34)&amp;"flag"&amp;CHAR(34)&amp;": "&amp;SUBSTITUTE(TRIM(ROUND(IFERROR(CriteriTecnici!$M103*1,IFERROR(NUMBERVALUE(CriteriTecnici!$M103,".",","),IFERROR(NUMBERVALUE(CriteriTecnici!$M103,",","."),0))),4)&amp;""),",",".")&amp;", "&amp;CHAR(34)&amp;"rawScore"&amp;CHAR(34)&amp;": "&amp;SUBSTITUTE(TRIM(ROUND(IFERROR(CriteriTecnici!$O103*1,IFERROR(NUMBERVALUE(CriteriTecnici!$O103,".",","),IFERROR(NUMBERVALUE(CriteriTecnici!$O103,",","."),0))),4)&amp;""),",",".")&amp;CHAR(125)&amp;IF(TRUE,",",""))</f>
        <v/>
      </c>
    </row>
    <row r="205">
      <c r="A205" s="82">
        <f>IF(CriteriTecnici!$A104="","","    "&amp;CHAR(123)&amp;CHAR(34)&amp;"bidderId"&amp;CHAR(34)&amp;": "&amp;CHAR(34)&amp;SUBSTITUTE(CriteriTecnici!$A104,CHAR(34),"'")&amp;CHAR(34)&amp;", "&amp;CHAR(34)&amp;"lotId"&amp;CHAR(34)&amp;": "&amp;CHAR(34)&amp;SUBSTITUTE(CriteriTecnici!$C104,CHAR(34),"'")&amp;CHAR(34)&amp;", "&amp;CHAR(34)&amp;"criterionId"&amp;CHAR(34)&amp;": "&amp;CHAR(34)&amp;SUBSTITUTE(CriteriTecnici!$D104,CHAR(34),"'")&amp;CHAR(34)&amp;", "&amp;CHAR(34)&amp;"kind"&amp;CHAR(34)&amp;": "&amp;CHAR(34)&amp;SUBSTITUTE(CriteriTecnici!$F104,CHAR(34),"'")&amp;CHAR(34)&amp;", "&amp;CHAR(34)&amp;"value"&amp;CHAR(34)&amp;": "&amp;SUBSTITUTE(TRIM(ROUND(IFERROR(CriteriTecnici!$N104*1,IFERROR(NUMBERVALUE(CriteriTecnici!$N104,".",","),IFERROR(NUMBERVALUE(CriteriTecnici!$N104,",","."),0))),4)&amp;""),",",".")&amp;", "&amp;CHAR(34)&amp;"numerator"&amp;CHAR(34)&amp;": "&amp;SUBSTITUTE(TRIM(ROUND(IFERROR(CriteriTecnici!$K104*1,IFERROR(NUMBERVALUE(CriteriTecnici!$K104,".",","),IFERROR(NUMBERVALUE(CriteriTecnici!$K104,",","."),0))),4)&amp;""),",",".")&amp;", "&amp;CHAR(34)&amp;"denominator"&amp;CHAR(34)&amp;": "&amp;SUBSTITUTE(TRIM(ROUND(IFERROR(CriteriTecnici!$L104*1,IFERROR(NUMBERVALUE(CriteriTecnici!$L104,".",","),IFERROR(NUMBERVALUE(CriteriTecnici!$L104,",","."),0))),4)&amp;""),",",".")&amp;", "&amp;CHAR(34)&amp;"flag"&amp;CHAR(34)&amp;": "&amp;SUBSTITUTE(TRIM(ROUND(IFERROR(CriteriTecnici!$M104*1,IFERROR(NUMBERVALUE(CriteriTecnici!$M104,".",","),IFERROR(NUMBERVALUE(CriteriTecnici!$M104,",","."),0))),4)&amp;""),",",".")&amp;", "&amp;CHAR(34)&amp;"rawScore"&amp;CHAR(34)&amp;": "&amp;SUBSTITUTE(TRIM(ROUND(IFERROR(CriteriTecnici!$O104*1,IFERROR(NUMBERVALUE(CriteriTecnici!$O104,".",","),IFERROR(NUMBERVALUE(CriteriTecnici!$O104,",","."),0))),4)&amp;""),",",".")&amp;CHAR(125)&amp;IF(TRUE,",",""))</f>
        <v/>
      </c>
    </row>
    <row r="206">
      <c r="A206" s="82">
        <f>IF(CriteriTecnici!$A105="","","    "&amp;CHAR(123)&amp;CHAR(34)&amp;"bidderId"&amp;CHAR(34)&amp;": "&amp;CHAR(34)&amp;SUBSTITUTE(CriteriTecnici!$A105,CHAR(34),"'")&amp;CHAR(34)&amp;", "&amp;CHAR(34)&amp;"lotId"&amp;CHAR(34)&amp;": "&amp;CHAR(34)&amp;SUBSTITUTE(CriteriTecnici!$C105,CHAR(34),"'")&amp;CHAR(34)&amp;", "&amp;CHAR(34)&amp;"criterionId"&amp;CHAR(34)&amp;": "&amp;CHAR(34)&amp;SUBSTITUTE(CriteriTecnici!$D105,CHAR(34),"'")&amp;CHAR(34)&amp;", "&amp;CHAR(34)&amp;"kind"&amp;CHAR(34)&amp;": "&amp;CHAR(34)&amp;SUBSTITUTE(CriteriTecnici!$F105,CHAR(34),"'")&amp;CHAR(34)&amp;", "&amp;CHAR(34)&amp;"value"&amp;CHAR(34)&amp;": "&amp;SUBSTITUTE(TRIM(ROUND(IFERROR(CriteriTecnici!$N105*1,IFERROR(NUMBERVALUE(CriteriTecnici!$N105,".",","),IFERROR(NUMBERVALUE(CriteriTecnici!$N105,",","."),0))),4)&amp;""),",",".")&amp;", "&amp;CHAR(34)&amp;"numerator"&amp;CHAR(34)&amp;": "&amp;SUBSTITUTE(TRIM(ROUND(IFERROR(CriteriTecnici!$K105*1,IFERROR(NUMBERVALUE(CriteriTecnici!$K105,".",","),IFERROR(NUMBERVALUE(CriteriTecnici!$K105,",","."),0))),4)&amp;""),",",".")&amp;", "&amp;CHAR(34)&amp;"denominator"&amp;CHAR(34)&amp;": "&amp;SUBSTITUTE(TRIM(ROUND(IFERROR(CriteriTecnici!$L105*1,IFERROR(NUMBERVALUE(CriteriTecnici!$L105,".",","),IFERROR(NUMBERVALUE(CriteriTecnici!$L105,",","."),0))),4)&amp;""),",",".")&amp;", "&amp;CHAR(34)&amp;"flag"&amp;CHAR(34)&amp;": "&amp;SUBSTITUTE(TRIM(ROUND(IFERROR(CriteriTecnici!$M105*1,IFERROR(NUMBERVALUE(CriteriTecnici!$M105,".",","),IFERROR(NUMBERVALUE(CriteriTecnici!$M105,",","."),0))),4)&amp;""),",",".")&amp;", "&amp;CHAR(34)&amp;"rawScore"&amp;CHAR(34)&amp;": "&amp;SUBSTITUTE(TRIM(ROUND(IFERROR(CriteriTecnici!$O105*1,IFERROR(NUMBERVALUE(CriteriTecnici!$O105,".",","),IFERROR(NUMBERVALUE(CriteriTecnici!$O105,",","."),0))),4)&amp;""),",",".")&amp;CHAR(125)&amp;IF(TRUE,",",""))</f>
        <v/>
      </c>
    </row>
    <row r="207">
      <c r="A207" s="82">
        <f>IF(CriteriTecnici!$A106="","","    "&amp;CHAR(123)&amp;CHAR(34)&amp;"bidderId"&amp;CHAR(34)&amp;": "&amp;CHAR(34)&amp;SUBSTITUTE(CriteriTecnici!$A106,CHAR(34),"'")&amp;CHAR(34)&amp;", "&amp;CHAR(34)&amp;"lotId"&amp;CHAR(34)&amp;": "&amp;CHAR(34)&amp;SUBSTITUTE(CriteriTecnici!$C106,CHAR(34),"'")&amp;CHAR(34)&amp;", "&amp;CHAR(34)&amp;"criterionId"&amp;CHAR(34)&amp;": "&amp;CHAR(34)&amp;SUBSTITUTE(CriteriTecnici!$D106,CHAR(34),"'")&amp;CHAR(34)&amp;", "&amp;CHAR(34)&amp;"kind"&amp;CHAR(34)&amp;": "&amp;CHAR(34)&amp;SUBSTITUTE(CriteriTecnici!$F106,CHAR(34),"'")&amp;CHAR(34)&amp;", "&amp;CHAR(34)&amp;"value"&amp;CHAR(34)&amp;": "&amp;SUBSTITUTE(TRIM(ROUND(IFERROR(CriteriTecnici!$N106*1,IFERROR(NUMBERVALUE(CriteriTecnici!$N106,".",","),IFERROR(NUMBERVALUE(CriteriTecnici!$N106,",","."),0))),4)&amp;""),",",".")&amp;", "&amp;CHAR(34)&amp;"numerator"&amp;CHAR(34)&amp;": "&amp;SUBSTITUTE(TRIM(ROUND(IFERROR(CriteriTecnici!$K106*1,IFERROR(NUMBERVALUE(CriteriTecnici!$K106,".",","),IFERROR(NUMBERVALUE(CriteriTecnici!$K106,",","."),0))),4)&amp;""),",",".")&amp;", "&amp;CHAR(34)&amp;"denominator"&amp;CHAR(34)&amp;": "&amp;SUBSTITUTE(TRIM(ROUND(IFERROR(CriteriTecnici!$L106*1,IFERROR(NUMBERVALUE(CriteriTecnici!$L106,".",","),IFERROR(NUMBERVALUE(CriteriTecnici!$L106,",","."),0))),4)&amp;""),",",".")&amp;", "&amp;CHAR(34)&amp;"flag"&amp;CHAR(34)&amp;": "&amp;SUBSTITUTE(TRIM(ROUND(IFERROR(CriteriTecnici!$M106*1,IFERROR(NUMBERVALUE(CriteriTecnici!$M106,".",","),IFERROR(NUMBERVALUE(CriteriTecnici!$M106,",","."),0))),4)&amp;""),",",".")&amp;", "&amp;CHAR(34)&amp;"rawScore"&amp;CHAR(34)&amp;": "&amp;SUBSTITUTE(TRIM(ROUND(IFERROR(CriteriTecnici!$O106*1,IFERROR(NUMBERVALUE(CriteriTecnici!$O106,".",","),IFERROR(NUMBERVALUE(CriteriTecnici!$O106,",","."),0))),4)&amp;""),",",".")&amp;CHAR(125)&amp;IF(TRUE,",",""))</f>
        <v/>
      </c>
    </row>
    <row r="208">
      <c r="A208" s="82">
        <f>IF(CriteriTecnici!$A107="","","    "&amp;CHAR(123)&amp;CHAR(34)&amp;"bidderId"&amp;CHAR(34)&amp;": "&amp;CHAR(34)&amp;SUBSTITUTE(CriteriTecnici!$A107,CHAR(34),"'")&amp;CHAR(34)&amp;", "&amp;CHAR(34)&amp;"lotId"&amp;CHAR(34)&amp;": "&amp;CHAR(34)&amp;SUBSTITUTE(CriteriTecnici!$C107,CHAR(34),"'")&amp;CHAR(34)&amp;", "&amp;CHAR(34)&amp;"criterionId"&amp;CHAR(34)&amp;": "&amp;CHAR(34)&amp;SUBSTITUTE(CriteriTecnici!$D107,CHAR(34),"'")&amp;CHAR(34)&amp;", "&amp;CHAR(34)&amp;"kind"&amp;CHAR(34)&amp;": "&amp;CHAR(34)&amp;SUBSTITUTE(CriteriTecnici!$F107,CHAR(34),"'")&amp;CHAR(34)&amp;", "&amp;CHAR(34)&amp;"value"&amp;CHAR(34)&amp;": "&amp;SUBSTITUTE(TRIM(ROUND(IFERROR(CriteriTecnici!$N107*1,IFERROR(NUMBERVALUE(CriteriTecnici!$N107,".",","),IFERROR(NUMBERVALUE(CriteriTecnici!$N107,",","."),0))),4)&amp;""),",",".")&amp;", "&amp;CHAR(34)&amp;"numerator"&amp;CHAR(34)&amp;": "&amp;SUBSTITUTE(TRIM(ROUND(IFERROR(CriteriTecnici!$K107*1,IFERROR(NUMBERVALUE(CriteriTecnici!$K107,".",","),IFERROR(NUMBERVALUE(CriteriTecnici!$K107,",","."),0))),4)&amp;""),",",".")&amp;", "&amp;CHAR(34)&amp;"denominator"&amp;CHAR(34)&amp;": "&amp;SUBSTITUTE(TRIM(ROUND(IFERROR(CriteriTecnici!$L107*1,IFERROR(NUMBERVALUE(CriteriTecnici!$L107,".",","),IFERROR(NUMBERVALUE(CriteriTecnici!$L107,",","."),0))),4)&amp;""),",",".")&amp;", "&amp;CHAR(34)&amp;"flag"&amp;CHAR(34)&amp;": "&amp;SUBSTITUTE(TRIM(ROUND(IFERROR(CriteriTecnici!$M107*1,IFERROR(NUMBERVALUE(CriteriTecnici!$M107,".",","),IFERROR(NUMBERVALUE(CriteriTecnici!$M107,",","."),0))),4)&amp;""),",",".")&amp;", "&amp;CHAR(34)&amp;"rawScore"&amp;CHAR(34)&amp;": "&amp;SUBSTITUTE(TRIM(ROUND(IFERROR(CriteriTecnici!$O107*1,IFERROR(NUMBERVALUE(CriteriTecnici!$O107,".",","),IFERROR(NUMBERVALUE(CriteriTecnici!$O107,",","."),0))),4)&amp;""),",",".")&amp;CHAR(125)&amp;IF(TRUE,",",""))</f>
        <v/>
      </c>
    </row>
    <row r="209">
      <c r="A209" s="82">
        <f>IF(CriteriTecnici!$A108="","","    "&amp;CHAR(123)&amp;CHAR(34)&amp;"bidderId"&amp;CHAR(34)&amp;": "&amp;CHAR(34)&amp;SUBSTITUTE(CriteriTecnici!$A108,CHAR(34),"'")&amp;CHAR(34)&amp;", "&amp;CHAR(34)&amp;"lotId"&amp;CHAR(34)&amp;": "&amp;CHAR(34)&amp;SUBSTITUTE(CriteriTecnici!$C108,CHAR(34),"'")&amp;CHAR(34)&amp;", "&amp;CHAR(34)&amp;"criterionId"&amp;CHAR(34)&amp;": "&amp;CHAR(34)&amp;SUBSTITUTE(CriteriTecnici!$D108,CHAR(34),"'")&amp;CHAR(34)&amp;", "&amp;CHAR(34)&amp;"kind"&amp;CHAR(34)&amp;": "&amp;CHAR(34)&amp;SUBSTITUTE(CriteriTecnici!$F108,CHAR(34),"'")&amp;CHAR(34)&amp;", "&amp;CHAR(34)&amp;"value"&amp;CHAR(34)&amp;": "&amp;SUBSTITUTE(TRIM(ROUND(IFERROR(CriteriTecnici!$N108*1,IFERROR(NUMBERVALUE(CriteriTecnici!$N108,".",","),IFERROR(NUMBERVALUE(CriteriTecnici!$N108,",","."),0))),4)&amp;""),",",".")&amp;", "&amp;CHAR(34)&amp;"numerator"&amp;CHAR(34)&amp;": "&amp;SUBSTITUTE(TRIM(ROUND(IFERROR(CriteriTecnici!$K108*1,IFERROR(NUMBERVALUE(CriteriTecnici!$K108,".",","),IFERROR(NUMBERVALUE(CriteriTecnici!$K108,",","."),0))),4)&amp;""),",",".")&amp;", "&amp;CHAR(34)&amp;"denominator"&amp;CHAR(34)&amp;": "&amp;SUBSTITUTE(TRIM(ROUND(IFERROR(CriteriTecnici!$L108*1,IFERROR(NUMBERVALUE(CriteriTecnici!$L108,".",","),IFERROR(NUMBERVALUE(CriteriTecnici!$L108,",","."),0))),4)&amp;""),",",".")&amp;", "&amp;CHAR(34)&amp;"flag"&amp;CHAR(34)&amp;": "&amp;SUBSTITUTE(TRIM(ROUND(IFERROR(CriteriTecnici!$M108*1,IFERROR(NUMBERVALUE(CriteriTecnici!$M108,".",","),IFERROR(NUMBERVALUE(CriteriTecnici!$M108,",","."),0))),4)&amp;""),",",".")&amp;", "&amp;CHAR(34)&amp;"rawScore"&amp;CHAR(34)&amp;": "&amp;SUBSTITUTE(TRIM(ROUND(IFERROR(CriteriTecnici!$O108*1,IFERROR(NUMBERVALUE(CriteriTecnici!$O108,".",","),IFERROR(NUMBERVALUE(CriteriTecnici!$O108,",","."),0))),4)&amp;""),",",".")&amp;CHAR(125)&amp;IF(TRUE,",",""))</f>
        <v/>
      </c>
    </row>
    <row r="210">
      <c r="A210" s="82">
        <f>IF(CriteriTecnici!$A109="","","    "&amp;CHAR(123)&amp;CHAR(34)&amp;"bidderId"&amp;CHAR(34)&amp;": "&amp;CHAR(34)&amp;SUBSTITUTE(CriteriTecnici!$A109,CHAR(34),"'")&amp;CHAR(34)&amp;", "&amp;CHAR(34)&amp;"lotId"&amp;CHAR(34)&amp;": "&amp;CHAR(34)&amp;SUBSTITUTE(CriteriTecnici!$C109,CHAR(34),"'")&amp;CHAR(34)&amp;", "&amp;CHAR(34)&amp;"criterionId"&amp;CHAR(34)&amp;": "&amp;CHAR(34)&amp;SUBSTITUTE(CriteriTecnici!$D109,CHAR(34),"'")&amp;CHAR(34)&amp;", "&amp;CHAR(34)&amp;"kind"&amp;CHAR(34)&amp;": "&amp;CHAR(34)&amp;SUBSTITUTE(CriteriTecnici!$F109,CHAR(34),"'")&amp;CHAR(34)&amp;", "&amp;CHAR(34)&amp;"value"&amp;CHAR(34)&amp;": "&amp;SUBSTITUTE(TRIM(ROUND(IFERROR(CriteriTecnici!$N109*1,IFERROR(NUMBERVALUE(CriteriTecnici!$N109,".",","),IFERROR(NUMBERVALUE(CriteriTecnici!$N109,",","."),0))),4)&amp;""),",",".")&amp;", "&amp;CHAR(34)&amp;"numerator"&amp;CHAR(34)&amp;": "&amp;SUBSTITUTE(TRIM(ROUND(IFERROR(CriteriTecnici!$K109*1,IFERROR(NUMBERVALUE(CriteriTecnici!$K109,".",","),IFERROR(NUMBERVALUE(CriteriTecnici!$K109,",","."),0))),4)&amp;""),",",".")&amp;", "&amp;CHAR(34)&amp;"denominator"&amp;CHAR(34)&amp;": "&amp;SUBSTITUTE(TRIM(ROUND(IFERROR(CriteriTecnici!$L109*1,IFERROR(NUMBERVALUE(CriteriTecnici!$L109,".",","),IFERROR(NUMBERVALUE(CriteriTecnici!$L109,",","."),0))),4)&amp;""),",",".")&amp;", "&amp;CHAR(34)&amp;"flag"&amp;CHAR(34)&amp;": "&amp;SUBSTITUTE(TRIM(ROUND(IFERROR(CriteriTecnici!$M109*1,IFERROR(NUMBERVALUE(CriteriTecnici!$M109,".",","),IFERROR(NUMBERVALUE(CriteriTecnici!$M109,",","."),0))),4)&amp;""),",",".")&amp;", "&amp;CHAR(34)&amp;"rawScore"&amp;CHAR(34)&amp;": "&amp;SUBSTITUTE(TRIM(ROUND(IFERROR(CriteriTecnici!$O109*1,IFERROR(NUMBERVALUE(CriteriTecnici!$O109,".",","),IFERROR(NUMBERVALUE(CriteriTecnici!$O109,",","."),0))),4)&amp;""),",",".")&amp;CHAR(125)&amp;IF(TRUE,",",""))</f>
        <v/>
      </c>
    </row>
    <row r="211">
      <c r="A211" s="82">
        <f>IF(CriteriTecnici!$A110="","","    "&amp;CHAR(123)&amp;CHAR(34)&amp;"bidderId"&amp;CHAR(34)&amp;": "&amp;CHAR(34)&amp;SUBSTITUTE(CriteriTecnici!$A110,CHAR(34),"'")&amp;CHAR(34)&amp;", "&amp;CHAR(34)&amp;"lotId"&amp;CHAR(34)&amp;": "&amp;CHAR(34)&amp;SUBSTITUTE(CriteriTecnici!$C110,CHAR(34),"'")&amp;CHAR(34)&amp;", "&amp;CHAR(34)&amp;"criterionId"&amp;CHAR(34)&amp;": "&amp;CHAR(34)&amp;SUBSTITUTE(CriteriTecnici!$D110,CHAR(34),"'")&amp;CHAR(34)&amp;", "&amp;CHAR(34)&amp;"kind"&amp;CHAR(34)&amp;": "&amp;CHAR(34)&amp;SUBSTITUTE(CriteriTecnici!$F110,CHAR(34),"'")&amp;CHAR(34)&amp;", "&amp;CHAR(34)&amp;"value"&amp;CHAR(34)&amp;": "&amp;SUBSTITUTE(TRIM(ROUND(IFERROR(CriteriTecnici!$N110*1,IFERROR(NUMBERVALUE(CriteriTecnici!$N110,".",","),IFERROR(NUMBERVALUE(CriteriTecnici!$N110,",","."),0))),4)&amp;""),",",".")&amp;", "&amp;CHAR(34)&amp;"numerator"&amp;CHAR(34)&amp;": "&amp;SUBSTITUTE(TRIM(ROUND(IFERROR(CriteriTecnici!$K110*1,IFERROR(NUMBERVALUE(CriteriTecnici!$K110,".",","),IFERROR(NUMBERVALUE(CriteriTecnici!$K110,",","."),0))),4)&amp;""),",",".")&amp;", "&amp;CHAR(34)&amp;"denominator"&amp;CHAR(34)&amp;": "&amp;SUBSTITUTE(TRIM(ROUND(IFERROR(CriteriTecnici!$L110*1,IFERROR(NUMBERVALUE(CriteriTecnici!$L110,".",","),IFERROR(NUMBERVALUE(CriteriTecnici!$L110,",","."),0))),4)&amp;""),",",".")&amp;", "&amp;CHAR(34)&amp;"flag"&amp;CHAR(34)&amp;": "&amp;SUBSTITUTE(TRIM(ROUND(IFERROR(CriteriTecnici!$M110*1,IFERROR(NUMBERVALUE(CriteriTecnici!$M110,".",","),IFERROR(NUMBERVALUE(CriteriTecnici!$M110,",","."),0))),4)&amp;""),",",".")&amp;", "&amp;CHAR(34)&amp;"rawScore"&amp;CHAR(34)&amp;": "&amp;SUBSTITUTE(TRIM(ROUND(IFERROR(CriteriTecnici!$O110*1,IFERROR(NUMBERVALUE(CriteriTecnici!$O110,".",","),IFERROR(NUMBERVALUE(CriteriTecnici!$O110,",","."),0))),4)&amp;""),",",".")&amp;CHAR(125)&amp;IF(TRUE,",",""))</f>
        <v/>
      </c>
    </row>
    <row r="212">
      <c r="A212" s="82">
        <f>IF(CriteriTecnici!$A111="","","    "&amp;CHAR(123)&amp;CHAR(34)&amp;"bidderId"&amp;CHAR(34)&amp;": "&amp;CHAR(34)&amp;SUBSTITUTE(CriteriTecnici!$A111,CHAR(34),"'")&amp;CHAR(34)&amp;", "&amp;CHAR(34)&amp;"lotId"&amp;CHAR(34)&amp;": "&amp;CHAR(34)&amp;SUBSTITUTE(CriteriTecnici!$C111,CHAR(34),"'")&amp;CHAR(34)&amp;", "&amp;CHAR(34)&amp;"criterionId"&amp;CHAR(34)&amp;": "&amp;CHAR(34)&amp;SUBSTITUTE(CriteriTecnici!$D111,CHAR(34),"'")&amp;CHAR(34)&amp;", "&amp;CHAR(34)&amp;"kind"&amp;CHAR(34)&amp;": "&amp;CHAR(34)&amp;SUBSTITUTE(CriteriTecnici!$F111,CHAR(34),"'")&amp;CHAR(34)&amp;", "&amp;CHAR(34)&amp;"value"&amp;CHAR(34)&amp;": "&amp;SUBSTITUTE(TRIM(ROUND(IFERROR(CriteriTecnici!$N111*1,IFERROR(NUMBERVALUE(CriteriTecnici!$N111,".",","),IFERROR(NUMBERVALUE(CriteriTecnici!$N111,",","."),0))),4)&amp;""),",",".")&amp;", "&amp;CHAR(34)&amp;"numerator"&amp;CHAR(34)&amp;": "&amp;SUBSTITUTE(TRIM(ROUND(IFERROR(CriteriTecnici!$K111*1,IFERROR(NUMBERVALUE(CriteriTecnici!$K111,".",","),IFERROR(NUMBERVALUE(CriteriTecnici!$K111,",","."),0))),4)&amp;""),",",".")&amp;", "&amp;CHAR(34)&amp;"denominator"&amp;CHAR(34)&amp;": "&amp;SUBSTITUTE(TRIM(ROUND(IFERROR(CriteriTecnici!$L111*1,IFERROR(NUMBERVALUE(CriteriTecnici!$L111,".",","),IFERROR(NUMBERVALUE(CriteriTecnici!$L111,",","."),0))),4)&amp;""),",",".")&amp;", "&amp;CHAR(34)&amp;"flag"&amp;CHAR(34)&amp;": "&amp;SUBSTITUTE(TRIM(ROUND(IFERROR(CriteriTecnici!$M111*1,IFERROR(NUMBERVALUE(CriteriTecnici!$M111,".",","),IFERROR(NUMBERVALUE(CriteriTecnici!$M111,",","."),0))),4)&amp;""),",",".")&amp;", "&amp;CHAR(34)&amp;"rawScore"&amp;CHAR(34)&amp;": "&amp;SUBSTITUTE(TRIM(ROUND(IFERROR(CriteriTecnici!$O111*1,IFERROR(NUMBERVALUE(CriteriTecnici!$O111,".",","),IFERROR(NUMBERVALUE(CriteriTecnici!$O111,",","."),0))),4)&amp;""),",",".")&amp;CHAR(125)&amp;IF(TRUE,",",""))</f>
        <v/>
      </c>
    </row>
    <row r="213">
      <c r="A213" s="82">
        <f>IF(CriteriTecnici!$A112="","","    "&amp;CHAR(123)&amp;CHAR(34)&amp;"bidderId"&amp;CHAR(34)&amp;": "&amp;CHAR(34)&amp;SUBSTITUTE(CriteriTecnici!$A112,CHAR(34),"'")&amp;CHAR(34)&amp;", "&amp;CHAR(34)&amp;"lotId"&amp;CHAR(34)&amp;": "&amp;CHAR(34)&amp;SUBSTITUTE(CriteriTecnici!$C112,CHAR(34),"'")&amp;CHAR(34)&amp;", "&amp;CHAR(34)&amp;"criterionId"&amp;CHAR(34)&amp;": "&amp;CHAR(34)&amp;SUBSTITUTE(CriteriTecnici!$D112,CHAR(34),"'")&amp;CHAR(34)&amp;", "&amp;CHAR(34)&amp;"kind"&amp;CHAR(34)&amp;": "&amp;CHAR(34)&amp;SUBSTITUTE(CriteriTecnici!$F112,CHAR(34),"'")&amp;CHAR(34)&amp;", "&amp;CHAR(34)&amp;"value"&amp;CHAR(34)&amp;": "&amp;SUBSTITUTE(TRIM(ROUND(IFERROR(CriteriTecnici!$N112*1,IFERROR(NUMBERVALUE(CriteriTecnici!$N112,".",","),IFERROR(NUMBERVALUE(CriteriTecnici!$N112,",","."),0))),4)&amp;""),",",".")&amp;", "&amp;CHAR(34)&amp;"numerator"&amp;CHAR(34)&amp;": "&amp;SUBSTITUTE(TRIM(ROUND(IFERROR(CriteriTecnici!$K112*1,IFERROR(NUMBERVALUE(CriteriTecnici!$K112,".",","),IFERROR(NUMBERVALUE(CriteriTecnici!$K112,",","."),0))),4)&amp;""),",",".")&amp;", "&amp;CHAR(34)&amp;"denominator"&amp;CHAR(34)&amp;": "&amp;SUBSTITUTE(TRIM(ROUND(IFERROR(CriteriTecnici!$L112*1,IFERROR(NUMBERVALUE(CriteriTecnici!$L112,".",","),IFERROR(NUMBERVALUE(CriteriTecnici!$L112,",","."),0))),4)&amp;""),",",".")&amp;", "&amp;CHAR(34)&amp;"flag"&amp;CHAR(34)&amp;": "&amp;SUBSTITUTE(TRIM(ROUND(IFERROR(CriteriTecnici!$M112*1,IFERROR(NUMBERVALUE(CriteriTecnici!$M112,".",","),IFERROR(NUMBERVALUE(CriteriTecnici!$M112,",","."),0))),4)&amp;""),",",".")&amp;", "&amp;CHAR(34)&amp;"rawScore"&amp;CHAR(34)&amp;": "&amp;SUBSTITUTE(TRIM(ROUND(IFERROR(CriteriTecnici!$O112*1,IFERROR(NUMBERVALUE(CriteriTecnici!$O112,".",","),IFERROR(NUMBERVALUE(CriteriTecnici!$O112,",","."),0))),4)&amp;""),",",".")&amp;CHAR(125)&amp;IF(TRUE,",",""))</f>
        <v/>
      </c>
    </row>
    <row r="214">
      <c r="A214" s="82">
        <f>IF(CriteriTecnici!$A113="","","    "&amp;CHAR(123)&amp;CHAR(34)&amp;"bidderId"&amp;CHAR(34)&amp;": "&amp;CHAR(34)&amp;SUBSTITUTE(CriteriTecnici!$A113,CHAR(34),"'")&amp;CHAR(34)&amp;", "&amp;CHAR(34)&amp;"lotId"&amp;CHAR(34)&amp;": "&amp;CHAR(34)&amp;SUBSTITUTE(CriteriTecnici!$C113,CHAR(34),"'")&amp;CHAR(34)&amp;", "&amp;CHAR(34)&amp;"criterionId"&amp;CHAR(34)&amp;": "&amp;CHAR(34)&amp;SUBSTITUTE(CriteriTecnici!$D113,CHAR(34),"'")&amp;CHAR(34)&amp;", "&amp;CHAR(34)&amp;"kind"&amp;CHAR(34)&amp;": "&amp;CHAR(34)&amp;SUBSTITUTE(CriteriTecnici!$F113,CHAR(34),"'")&amp;CHAR(34)&amp;", "&amp;CHAR(34)&amp;"value"&amp;CHAR(34)&amp;": "&amp;SUBSTITUTE(TRIM(ROUND(IFERROR(CriteriTecnici!$N113*1,IFERROR(NUMBERVALUE(CriteriTecnici!$N113,".",","),IFERROR(NUMBERVALUE(CriteriTecnici!$N113,",","."),0))),4)&amp;""),",",".")&amp;", "&amp;CHAR(34)&amp;"numerator"&amp;CHAR(34)&amp;": "&amp;SUBSTITUTE(TRIM(ROUND(IFERROR(CriteriTecnici!$K113*1,IFERROR(NUMBERVALUE(CriteriTecnici!$K113,".",","),IFERROR(NUMBERVALUE(CriteriTecnici!$K113,",","."),0))),4)&amp;""),",",".")&amp;", "&amp;CHAR(34)&amp;"denominator"&amp;CHAR(34)&amp;": "&amp;SUBSTITUTE(TRIM(ROUND(IFERROR(CriteriTecnici!$L113*1,IFERROR(NUMBERVALUE(CriteriTecnici!$L113,".",","),IFERROR(NUMBERVALUE(CriteriTecnici!$L113,",","."),0))),4)&amp;""),",",".")&amp;", "&amp;CHAR(34)&amp;"flag"&amp;CHAR(34)&amp;": "&amp;SUBSTITUTE(TRIM(ROUND(IFERROR(CriteriTecnici!$M113*1,IFERROR(NUMBERVALUE(CriteriTecnici!$M113,".",","),IFERROR(NUMBERVALUE(CriteriTecnici!$M113,",","."),0))),4)&amp;""),",",".")&amp;", "&amp;CHAR(34)&amp;"rawScore"&amp;CHAR(34)&amp;": "&amp;SUBSTITUTE(TRIM(ROUND(IFERROR(CriteriTecnici!$O113*1,IFERROR(NUMBERVALUE(CriteriTecnici!$O113,".",","),IFERROR(NUMBERVALUE(CriteriTecnici!$O113,",","."),0))),4)&amp;""),",",".")&amp;CHAR(125)&amp;IF(TRUE,",",""))</f>
        <v/>
      </c>
    </row>
    <row r="215">
      <c r="A215" s="82">
        <f>IF(CriteriTecnici!$A114="","","    "&amp;CHAR(123)&amp;CHAR(34)&amp;"bidderId"&amp;CHAR(34)&amp;": "&amp;CHAR(34)&amp;SUBSTITUTE(CriteriTecnici!$A114,CHAR(34),"'")&amp;CHAR(34)&amp;", "&amp;CHAR(34)&amp;"lotId"&amp;CHAR(34)&amp;": "&amp;CHAR(34)&amp;SUBSTITUTE(CriteriTecnici!$C114,CHAR(34),"'")&amp;CHAR(34)&amp;", "&amp;CHAR(34)&amp;"criterionId"&amp;CHAR(34)&amp;": "&amp;CHAR(34)&amp;SUBSTITUTE(CriteriTecnici!$D114,CHAR(34),"'")&amp;CHAR(34)&amp;", "&amp;CHAR(34)&amp;"kind"&amp;CHAR(34)&amp;": "&amp;CHAR(34)&amp;SUBSTITUTE(CriteriTecnici!$F114,CHAR(34),"'")&amp;CHAR(34)&amp;", "&amp;CHAR(34)&amp;"value"&amp;CHAR(34)&amp;": "&amp;SUBSTITUTE(TRIM(ROUND(IFERROR(CriteriTecnici!$N114*1,IFERROR(NUMBERVALUE(CriteriTecnici!$N114,".",","),IFERROR(NUMBERVALUE(CriteriTecnici!$N114,",","."),0))),4)&amp;""),",",".")&amp;", "&amp;CHAR(34)&amp;"numerator"&amp;CHAR(34)&amp;": "&amp;SUBSTITUTE(TRIM(ROUND(IFERROR(CriteriTecnici!$K114*1,IFERROR(NUMBERVALUE(CriteriTecnici!$K114,".",","),IFERROR(NUMBERVALUE(CriteriTecnici!$K114,",","."),0))),4)&amp;""),",",".")&amp;", "&amp;CHAR(34)&amp;"denominator"&amp;CHAR(34)&amp;": "&amp;SUBSTITUTE(TRIM(ROUND(IFERROR(CriteriTecnici!$L114*1,IFERROR(NUMBERVALUE(CriteriTecnici!$L114,".",","),IFERROR(NUMBERVALUE(CriteriTecnici!$L114,",","."),0))),4)&amp;""),",",".")&amp;", "&amp;CHAR(34)&amp;"flag"&amp;CHAR(34)&amp;": "&amp;SUBSTITUTE(TRIM(ROUND(IFERROR(CriteriTecnici!$M114*1,IFERROR(NUMBERVALUE(CriteriTecnici!$M114,".",","),IFERROR(NUMBERVALUE(CriteriTecnici!$M114,",","."),0))),4)&amp;""),",",".")&amp;", "&amp;CHAR(34)&amp;"rawScore"&amp;CHAR(34)&amp;": "&amp;SUBSTITUTE(TRIM(ROUND(IFERROR(CriteriTecnici!$O114*1,IFERROR(NUMBERVALUE(CriteriTecnici!$O114,".",","),IFERROR(NUMBERVALUE(CriteriTecnici!$O114,",","."),0))),4)&amp;""),",",".")&amp;CHAR(125)&amp;IF(TRUE,",",""))</f>
        <v/>
      </c>
    </row>
    <row r="216">
      <c r="A216" s="82">
        <f>IF(CriteriTecnici!$A115="","","    "&amp;CHAR(123)&amp;CHAR(34)&amp;"bidderId"&amp;CHAR(34)&amp;": "&amp;CHAR(34)&amp;SUBSTITUTE(CriteriTecnici!$A115,CHAR(34),"'")&amp;CHAR(34)&amp;", "&amp;CHAR(34)&amp;"lotId"&amp;CHAR(34)&amp;": "&amp;CHAR(34)&amp;SUBSTITUTE(CriteriTecnici!$C115,CHAR(34),"'")&amp;CHAR(34)&amp;", "&amp;CHAR(34)&amp;"criterionId"&amp;CHAR(34)&amp;": "&amp;CHAR(34)&amp;SUBSTITUTE(CriteriTecnici!$D115,CHAR(34),"'")&amp;CHAR(34)&amp;", "&amp;CHAR(34)&amp;"kind"&amp;CHAR(34)&amp;": "&amp;CHAR(34)&amp;SUBSTITUTE(CriteriTecnici!$F115,CHAR(34),"'")&amp;CHAR(34)&amp;", "&amp;CHAR(34)&amp;"value"&amp;CHAR(34)&amp;": "&amp;SUBSTITUTE(TRIM(ROUND(IFERROR(CriteriTecnici!$N115*1,IFERROR(NUMBERVALUE(CriteriTecnici!$N115,".",","),IFERROR(NUMBERVALUE(CriteriTecnici!$N115,",","."),0))),4)&amp;""),",",".")&amp;", "&amp;CHAR(34)&amp;"numerator"&amp;CHAR(34)&amp;": "&amp;SUBSTITUTE(TRIM(ROUND(IFERROR(CriteriTecnici!$K115*1,IFERROR(NUMBERVALUE(CriteriTecnici!$K115,".",","),IFERROR(NUMBERVALUE(CriteriTecnici!$K115,",","."),0))),4)&amp;""),",",".")&amp;", "&amp;CHAR(34)&amp;"denominator"&amp;CHAR(34)&amp;": "&amp;SUBSTITUTE(TRIM(ROUND(IFERROR(CriteriTecnici!$L115*1,IFERROR(NUMBERVALUE(CriteriTecnici!$L115,".",","),IFERROR(NUMBERVALUE(CriteriTecnici!$L115,",","."),0))),4)&amp;""),",",".")&amp;", "&amp;CHAR(34)&amp;"flag"&amp;CHAR(34)&amp;": "&amp;SUBSTITUTE(TRIM(ROUND(IFERROR(CriteriTecnici!$M115*1,IFERROR(NUMBERVALUE(CriteriTecnici!$M115,".",","),IFERROR(NUMBERVALUE(CriteriTecnici!$M115,",","."),0))),4)&amp;""),",",".")&amp;", "&amp;CHAR(34)&amp;"rawScore"&amp;CHAR(34)&amp;": "&amp;SUBSTITUTE(TRIM(ROUND(IFERROR(CriteriTecnici!$O115*1,IFERROR(NUMBERVALUE(CriteriTecnici!$O115,".",","),IFERROR(NUMBERVALUE(CriteriTecnici!$O115,",","."),0))),4)&amp;""),",",".")&amp;CHAR(125)&amp;IF(TRUE,",",""))</f>
        <v/>
      </c>
    </row>
    <row r="217">
      <c r="A217" s="82">
        <f>IF(CriteriTecnici!$A116="","","    "&amp;CHAR(123)&amp;CHAR(34)&amp;"bidderId"&amp;CHAR(34)&amp;": "&amp;CHAR(34)&amp;SUBSTITUTE(CriteriTecnici!$A116,CHAR(34),"'")&amp;CHAR(34)&amp;", "&amp;CHAR(34)&amp;"lotId"&amp;CHAR(34)&amp;": "&amp;CHAR(34)&amp;SUBSTITUTE(CriteriTecnici!$C116,CHAR(34),"'")&amp;CHAR(34)&amp;", "&amp;CHAR(34)&amp;"criterionId"&amp;CHAR(34)&amp;": "&amp;CHAR(34)&amp;SUBSTITUTE(CriteriTecnici!$D116,CHAR(34),"'")&amp;CHAR(34)&amp;", "&amp;CHAR(34)&amp;"kind"&amp;CHAR(34)&amp;": "&amp;CHAR(34)&amp;SUBSTITUTE(CriteriTecnici!$F116,CHAR(34),"'")&amp;CHAR(34)&amp;", "&amp;CHAR(34)&amp;"value"&amp;CHAR(34)&amp;": "&amp;SUBSTITUTE(TRIM(ROUND(IFERROR(CriteriTecnici!$N116*1,IFERROR(NUMBERVALUE(CriteriTecnici!$N116,".",","),IFERROR(NUMBERVALUE(CriteriTecnici!$N116,",","."),0))),4)&amp;""),",",".")&amp;", "&amp;CHAR(34)&amp;"numerator"&amp;CHAR(34)&amp;": "&amp;SUBSTITUTE(TRIM(ROUND(IFERROR(CriteriTecnici!$K116*1,IFERROR(NUMBERVALUE(CriteriTecnici!$K116,".",","),IFERROR(NUMBERVALUE(CriteriTecnici!$K116,",","."),0))),4)&amp;""),",",".")&amp;", "&amp;CHAR(34)&amp;"denominator"&amp;CHAR(34)&amp;": "&amp;SUBSTITUTE(TRIM(ROUND(IFERROR(CriteriTecnici!$L116*1,IFERROR(NUMBERVALUE(CriteriTecnici!$L116,".",","),IFERROR(NUMBERVALUE(CriteriTecnici!$L116,",","."),0))),4)&amp;""),",",".")&amp;", "&amp;CHAR(34)&amp;"flag"&amp;CHAR(34)&amp;": "&amp;SUBSTITUTE(TRIM(ROUND(IFERROR(CriteriTecnici!$M116*1,IFERROR(NUMBERVALUE(CriteriTecnici!$M116,".",","),IFERROR(NUMBERVALUE(CriteriTecnici!$M116,",","."),0))),4)&amp;""),",",".")&amp;", "&amp;CHAR(34)&amp;"rawScore"&amp;CHAR(34)&amp;": "&amp;SUBSTITUTE(TRIM(ROUND(IFERROR(CriteriTecnici!$O116*1,IFERROR(NUMBERVALUE(CriteriTecnici!$O116,".",","),IFERROR(NUMBERVALUE(CriteriTecnici!$O116,",","."),0))),4)&amp;""),",",".")&amp;CHAR(125)&amp;IF(TRUE,",",""))</f>
        <v/>
      </c>
    </row>
    <row r="218">
      <c r="A218" s="82">
        <f>IF(CriteriTecnici!$A117="","","    "&amp;CHAR(123)&amp;CHAR(34)&amp;"bidderId"&amp;CHAR(34)&amp;": "&amp;CHAR(34)&amp;SUBSTITUTE(CriteriTecnici!$A117,CHAR(34),"'")&amp;CHAR(34)&amp;", "&amp;CHAR(34)&amp;"lotId"&amp;CHAR(34)&amp;": "&amp;CHAR(34)&amp;SUBSTITUTE(CriteriTecnici!$C117,CHAR(34),"'")&amp;CHAR(34)&amp;", "&amp;CHAR(34)&amp;"criterionId"&amp;CHAR(34)&amp;": "&amp;CHAR(34)&amp;SUBSTITUTE(CriteriTecnici!$D117,CHAR(34),"'")&amp;CHAR(34)&amp;", "&amp;CHAR(34)&amp;"kind"&amp;CHAR(34)&amp;": "&amp;CHAR(34)&amp;SUBSTITUTE(CriteriTecnici!$F117,CHAR(34),"'")&amp;CHAR(34)&amp;", "&amp;CHAR(34)&amp;"value"&amp;CHAR(34)&amp;": "&amp;SUBSTITUTE(TRIM(ROUND(IFERROR(CriteriTecnici!$N117*1,IFERROR(NUMBERVALUE(CriteriTecnici!$N117,".",","),IFERROR(NUMBERVALUE(CriteriTecnici!$N117,",","."),0))),4)&amp;""),",",".")&amp;", "&amp;CHAR(34)&amp;"numerator"&amp;CHAR(34)&amp;": "&amp;SUBSTITUTE(TRIM(ROUND(IFERROR(CriteriTecnici!$K117*1,IFERROR(NUMBERVALUE(CriteriTecnici!$K117,".",","),IFERROR(NUMBERVALUE(CriteriTecnici!$K117,",","."),0))),4)&amp;""),",",".")&amp;", "&amp;CHAR(34)&amp;"denominator"&amp;CHAR(34)&amp;": "&amp;SUBSTITUTE(TRIM(ROUND(IFERROR(CriteriTecnici!$L117*1,IFERROR(NUMBERVALUE(CriteriTecnici!$L117,".",","),IFERROR(NUMBERVALUE(CriteriTecnici!$L117,",","."),0))),4)&amp;""),",",".")&amp;", "&amp;CHAR(34)&amp;"flag"&amp;CHAR(34)&amp;": "&amp;SUBSTITUTE(TRIM(ROUND(IFERROR(CriteriTecnici!$M117*1,IFERROR(NUMBERVALUE(CriteriTecnici!$M117,".",","),IFERROR(NUMBERVALUE(CriteriTecnici!$M117,",","."),0))),4)&amp;""),",",".")&amp;", "&amp;CHAR(34)&amp;"rawScore"&amp;CHAR(34)&amp;": "&amp;SUBSTITUTE(TRIM(ROUND(IFERROR(CriteriTecnici!$O117*1,IFERROR(NUMBERVALUE(CriteriTecnici!$O117,".",","),IFERROR(NUMBERVALUE(CriteriTecnici!$O117,",","."),0))),4)&amp;""),",",".")&amp;CHAR(125)&amp;IF(TRUE,",",""))</f>
        <v/>
      </c>
    </row>
    <row r="219">
      <c r="A219" s="82">
        <f>IF(CriteriTecnici!$A118="","","    "&amp;CHAR(123)&amp;CHAR(34)&amp;"bidderId"&amp;CHAR(34)&amp;": "&amp;CHAR(34)&amp;SUBSTITUTE(CriteriTecnici!$A118,CHAR(34),"'")&amp;CHAR(34)&amp;", "&amp;CHAR(34)&amp;"lotId"&amp;CHAR(34)&amp;": "&amp;CHAR(34)&amp;SUBSTITUTE(CriteriTecnici!$C118,CHAR(34),"'")&amp;CHAR(34)&amp;", "&amp;CHAR(34)&amp;"criterionId"&amp;CHAR(34)&amp;": "&amp;CHAR(34)&amp;SUBSTITUTE(CriteriTecnici!$D118,CHAR(34),"'")&amp;CHAR(34)&amp;", "&amp;CHAR(34)&amp;"kind"&amp;CHAR(34)&amp;": "&amp;CHAR(34)&amp;SUBSTITUTE(CriteriTecnici!$F118,CHAR(34),"'")&amp;CHAR(34)&amp;", "&amp;CHAR(34)&amp;"value"&amp;CHAR(34)&amp;": "&amp;SUBSTITUTE(TRIM(ROUND(IFERROR(CriteriTecnici!$N118*1,IFERROR(NUMBERVALUE(CriteriTecnici!$N118,".",","),IFERROR(NUMBERVALUE(CriteriTecnici!$N118,",","."),0))),4)&amp;""),",",".")&amp;", "&amp;CHAR(34)&amp;"numerator"&amp;CHAR(34)&amp;": "&amp;SUBSTITUTE(TRIM(ROUND(IFERROR(CriteriTecnici!$K118*1,IFERROR(NUMBERVALUE(CriteriTecnici!$K118,".",","),IFERROR(NUMBERVALUE(CriteriTecnici!$K118,",","."),0))),4)&amp;""),",",".")&amp;", "&amp;CHAR(34)&amp;"denominator"&amp;CHAR(34)&amp;": "&amp;SUBSTITUTE(TRIM(ROUND(IFERROR(CriteriTecnici!$L118*1,IFERROR(NUMBERVALUE(CriteriTecnici!$L118,".",","),IFERROR(NUMBERVALUE(CriteriTecnici!$L118,",","."),0))),4)&amp;""),",",".")&amp;", "&amp;CHAR(34)&amp;"flag"&amp;CHAR(34)&amp;": "&amp;SUBSTITUTE(TRIM(ROUND(IFERROR(CriteriTecnici!$M118*1,IFERROR(NUMBERVALUE(CriteriTecnici!$M118,".",","),IFERROR(NUMBERVALUE(CriteriTecnici!$M118,",","."),0))),4)&amp;""),",",".")&amp;", "&amp;CHAR(34)&amp;"rawScore"&amp;CHAR(34)&amp;": "&amp;SUBSTITUTE(TRIM(ROUND(IFERROR(CriteriTecnici!$O118*1,IFERROR(NUMBERVALUE(CriteriTecnici!$O118,".",","),IFERROR(NUMBERVALUE(CriteriTecnici!$O118,",","."),0))),4)&amp;""),",",".")&amp;CHAR(125)&amp;IF(TRUE,",",""))</f>
        <v/>
      </c>
    </row>
    <row r="220">
      <c r="A220" s="82">
        <f>IF(CriteriTecnici!$A119="","","    "&amp;CHAR(123)&amp;CHAR(34)&amp;"bidderId"&amp;CHAR(34)&amp;": "&amp;CHAR(34)&amp;SUBSTITUTE(CriteriTecnici!$A119,CHAR(34),"'")&amp;CHAR(34)&amp;", "&amp;CHAR(34)&amp;"lotId"&amp;CHAR(34)&amp;": "&amp;CHAR(34)&amp;SUBSTITUTE(CriteriTecnici!$C119,CHAR(34),"'")&amp;CHAR(34)&amp;", "&amp;CHAR(34)&amp;"criterionId"&amp;CHAR(34)&amp;": "&amp;CHAR(34)&amp;SUBSTITUTE(CriteriTecnici!$D119,CHAR(34),"'")&amp;CHAR(34)&amp;", "&amp;CHAR(34)&amp;"kind"&amp;CHAR(34)&amp;": "&amp;CHAR(34)&amp;SUBSTITUTE(CriteriTecnici!$F119,CHAR(34),"'")&amp;CHAR(34)&amp;", "&amp;CHAR(34)&amp;"value"&amp;CHAR(34)&amp;": "&amp;SUBSTITUTE(TRIM(ROUND(IFERROR(CriteriTecnici!$N119*1,IFERROR(NUMBERVALUE(CriteriTecnici!$N119,".",","),IFERROR(NUMBERVALUE(CriteriTecnici!$N119,",","."),0))),4)&amp;""),",",".")&amp;", "&amp;CHAR(34)&amp;"numerator"&amp;CHAR(34)&amp;": "&amp;SUBSTITUTE(TRIM(ROUND(IFERROR(CriteriTecnici!$K119*1,IFERROR(NUMBERVALUE(CriteriTecnici!$K119,".",","),IFERROR(NUMBERVALUE(CriteriTecnici!$K119,",","."),0))),4)&amp;""),",",".")&amp;", "&amp;CHAR(34)&amp;"denominator"&amp;CHAR(34)&amp;": "&amp;SUBSTITUTE(TRIM(ROUND(IFERROR(CriteriTecnici!$L119*1,IFERROR(NUMBERVALUE(CriteriTecnici!$L119,".",","),IFERROR(NUMBERVALUE(CriteriTecnici!$L119,",","."),0))),4)&amp;""),",",".")&amp;", "&amp;CHAR(34)&amp;"flag"&amp;CHAR(34)&amp;": "&amp;SUBSTITUTE(TRIM(ROUND(IFERROR(CriteriTecnici!$M119*1,IFERROR(NUMBERVALUE(CriteriTecnici!$M119,".",","),IFERROR(NUMBERVALUE(CriteriTecnici!$M119,",","."),0))),4)&amp;""),",",".")&amp;", "&amp;CHAR(34)&amp;"rawScore"&amp;CHAR(34)&amp;": "&amp;SUBSTITUTE(TRIM(ROUND(IFERROR(CriteriTecnici!$O119*1,IFERROR(NUMBERVALUE(CriteriTecnici!$O119,".",","),IFERROR(NUMBERVALUE(CriteriTecnici!$O119,",","."),0))),4)&amp;""),",",".")&amp;CHAR(125)&amp;IF(TRUE,",",""))</f>
        <v/>
      </c>
    </row>
    <row r="221">
      <c r="A221" s="82">
        <f>IF(CriteriTecnici!$A120="","","    "&amp;CHAR(123)&amp;CHAR(34)&amp;"bidderId"&amp;CHAR(34)&amp;": "&amp;CHAR(34)&amp;SUBSTITUTE(CriteriTecnici!$A120,CHAR(34),"'")&amp;CHAR(34)&amp;", "&amp;CHAR(34)&amp;"lotId"&amp;CHAR(34)&amp;": "&amp;CHAR(34)&amp;SUBSTITUTE(CriteriTecnici!$C120,CHAR(34),"'")&amp;CHAR(34)&amp;", "&amp;CHAR(34)&amp;"criterionId"&amp;CHAR(34)&amp;": "&amp;CHAR(34)&amp;SUBSTITUTE(CriteriTecnici!$D120,CHAR(34),"'")&amp;CHAR(34)&amp;", "&amp;CHAR(34)&amp;"kind"&amp;CHAR(34)&amp;": "&amp;CHAR(34)&amp;SUBSTITUTE(CriteriTecnici!$F120,CHAR(34),"'")&amp;CHAR(34)&amp;", "&amp;CHAR(34)&amp;"value"&amp;CHAR(34)&amp;": "&amp;SUBSTITUTE(TRIM(ROUND(IFERROR(CriteriTecnici!$N120*1,IFERROR(NUMBERVALUE(CriteriTecnici!$N120,".",","),IFERROR(NUMBERVALUE(CriteriTecnici!$N120,",","."),0))),4)&amp;""),",",".")&amp;", "&amp;CHAR(34)&amp;"numerator"&amp;CHAR(34)&amp;": "&amp;SUBSTITUTE(TRIM(ROUND(IFERROR(CriteriTecnici!$K120*1,IFERROR(NUMBERVALUE(CriteriTecnici!$K120,".",","),IFERROR(NUMBERVALUE(CriteriTecnici!$K120,",","."),0))),4)&amp;""),",",".")&amp;", "&amp;CHAR(34)&amp;"denominator"&amp;CHAR(34)&amp;": "&amp;SUBSTITUTE(TRIM(ROUND(IFERROR(CriteriTecnici!$L120*1,IFERROR(NUMBERVALUE(CriteriTecnici!$L120,".",","),IFERROR(NUMBERVALUE(CriteriTecnici!$L120,",","."),0))),4)&amp;""),",",".")&amp;", "&amp;CHAR(34)&amp;"flag"&amp;CHAR(34)&amp;": "&amp;SUBSTITUTE(TRIM(ROUND(IFERROR(CriteriTecnici!$M120*1,IFERROR(NUMBERVALUE(CriteriTecnici!$M120,".",","),IFERROR(NUMBERVALUE(CriteriTecnici!$M120,",","."),0))),4)&amp;""),",",".")&amp;", "&amp;CHAR(34)&amp;"rawScore"&amp;CHAR(34)&amp;": "&amp;SUBSTITUTE(TRIM(ROUND(IFERROR(CriteriTecnici!$O120*1,IFERROR(NUMBERVALUE(CriteriTecnici!$O120,".",","),IFERROR(NUMBERVALUE(CriteriTecnici!$O120,",","."),0))),4)&amp;""),",",".")&amp;CHAR(125)&amp;IF(TRUE,",",""))</f>
        <v/>
      </c>
    </row>
    <row r="222">
      <c r="A222" s="82">
        <f>IF(CriteriTecnici!$A121="","","    "&amp;CHAR(123)&amp;CHAR(34)&amp;"bidderId"&amp;CHAR(34)&amp;": "&amp;CHAR(34)&amp;SUBSTITUTE(CriteriTecnici!$A121,CHAR(34),"'")&amp;CHAR(34)&amp;", "&amp;CHAR(34)&amp;"lotId"&amp;CHAR(34)&amp;": "&amp;CHAR(34)&amp;SUBSTITUTE(CriteriTecnici!$C121,CHAR(34),"'")&amp;CHAR(34)&amp;", "&amp;CHAR(34)&amp;"criterionId"&amp;CHAR(34)&amp;": "&amp;CHAR(34)&amp;SUBSTITUTE(CriteriTecnici!$D121,CHAR(34),"'")&amp;CHAR(34)&amp;", "&amp;CHAR(34)&amp;"kind"&amp;CHAR(34)&amp;": "&amp;CHAR(34)&amp;SUBSTITUTE(CriteriTecnici!$F121,CHAR(34),"'")&amp;CHAR(34)&amp;", "&amp;CHAR(34)&amp;"value"&amp;CHAR(34)&amp;": "&amp;SUBSTITUTE(TRIM(ROUND(IFERROR(CriteriTecnici!$N121*1,IFERROR(NUMBERVALUE(CriteriTecnici!$N121,".",","),IFERROR(NUMBERVALUE(CriteriTecnici!$N121,",","."),0))),4)&amp;""),",",".")&amp;", "&amp;CHAR(34)&amp;"numerator"&amp;CHAR(34)&amp;": "&amp;SUBSTITUTE(TRIM(ROUND(IFERROR(CriteriTecnici!$K121*1,IFERROR(NUMBERVALUE(CriteriTecnici!$K121,".",","),IFERROR(NUMBERVALUE(CriteriTecnici!$K121,",","."),0))),4)&amp;""),",",".")&amp;", "&amp;CHAR(34)&amp;"denominator"&amp;CHAR(34)&amp;": "&amp;SUBSTITUTE(TRIM(ROUND(IFERROR(CriteriTecnici!$L121*1,IFERROR(NUMBERVALUE(CriteriTecnici!$L121,".",","),IFERROR(NUMBERVALUE(CriteriTecnici!$L121,",","."),0))),4)&amp;""),",",".")&amp;", "&amp;CHAR(34)&amp;"flag"&amp;CHAR(34)&amp;": "&amp;SUBSTITUTE(TRIM(ROUND(IFERROR(CriteriTecnici!$M121*1,IFERROR(NUMBERVALUE(CriteriTecnici!$M121,".",","),IFERROR(NUMBERVALUE(CriteriTecnici!$M121,",","."),0))),4)&amp;""),",",".")&amp;", "&amp;CHAR(34)&amp;"rawScore"&amp;CHAR(34)&amp;": "&amp;SUBSTITUTE(TRIM(ROUND(IFERROR(CriteriTecnici!$O121*1,IFERROR(NUMBERVALUE(CriteriTecnici!$O121,".",","),IFERROR(NUMBERVALUE(CriteriTecnici!$O121,",","."),0))),4)&amp;""),",",".")&amp;CHAR(125)&amp;IF(TRUE,",",""))</f>
        <v/>
      </c>
    </row>
    <row r="223">
      <c r="A223" s="82">
        <f>IF(CriteriTecnici!$A122="","","    "&amp;CHAR(123)&amp;CHAR(34)&amp;"bidderId"&amp;CHAR(34)&amp;": "&amp;CHAR(34)&amp;SUBSTITUTE(CriteriTecnici!$A122,CHAR(34),"'")&amp;CHAR(34)&amp;", "&amp;CHAR(34)&amp;"lotId"&amp;CHAR(34)&amp;": "&amp;CHAR(34)&amp;SUBSTITUTE(CriteriTecnici!$C122,CHAR(34),"'")&amp;CHAR(34)&amp;", "&amp;CHAR(34)&amp;"criterionId"&amp;CHAR(34)&amp;": "&amp;CHAR(34)&amp;SUBSTITUTE(CriteriTecnici!$D122,CHAR(34),"'")&amp;CHAR(34)&amp;", "&amp;CHAR(34)&amp;"kind"&amp;CHAR(34)&amp;": "&amp;CHAR(34)&amp;SUBSTITUTE(CriteriTecnici!$F122,CHAR(34),"'")&amp;CHAR(34)&amp;", "&amp;CHAR(34)&amp;"value"&amp;CHAR(34)&amp;": "&amp;SUBSTITUTE(TRIM(ROUND(IFERROR(CriteriTecnici!$N122*1,IFERROR(NUMBERVALUE(CriteriTecnici!$N122,".",","),IFERROR(NUMBERVALUE(CriteriTecnici!$N122,",","."),0))),4)&amp;""),",",".")&amp;", "&amp;CHAR(34)&amp;"numerator"&amp;CHAR(34)&amp;": "&amp;SUBSTITUTE(TRIM(ROUND(IFERROR(CriteriTecnici!$K122*1,IFERROR(NUMBERVALUE(CriteriTecnici!$K122,".",","),IFERROR(NUMBERVALUE(CriteriTecnici!$K122,",","."),0))),4)&amp;""),",",".")&amp;", "&amp;CHAR(34)&amp;"denominator"&amp;CHAR(34)&amp;": "&amp;SUBSTITUTE(TRIM(ROUND(IFERROR(CriteriTecnici!$L122*1,IFERROR(NUMBERVALUE(CriteriTecnici!$L122,".",","),IFERROR(NUMBERVALUE(CriteriTecnici!$L122,",","."),0))),4)&amp;""),",",".")&amp;", "&amp;CHAR(34)&amp;"flag"&amp;CHAR(34)&amp;": "&amp;SUBSTITUTE(TRIM(ROUND(IFERROR(CriteriTecnici!$M122*1,IFERROR(NUMBERVALUE(CriteriTecnici!$M122,".",","),IFERROR(NUMBERVALUE(CriteriTecnici!$M122,",","."),0))),4)&amp;""),",",".")&amp;", "&amp;CHAR(34)&amp;"rawScore"&amp;CHAR(34)&amp;": "&amp;SUBSTITUTE(TRIM(ROUND(IFERROR(CriteriTecnici!$O122*1,IFERROR(NUMBERVALUE(CriteriTecnici!$O122,".",","),IFERROR(NUMBERVALUE(CriteriTecnici!$O122,",","."),0))),4)&amp;""),",",".")&amp;CHAR(125)&amp;IF(TRUE,",",""))</f>
        <v/>
      </c>
    </row>
    <row r="224">
      <c r="A224" s="82">
        <f>IF(CriteriTecnici!$A123="","","    "&amp;CHAR(123)&amp;CHAR(34)&amp;"bidderId"&amp;CHAR(34)&amp;": "&amp;CHAR(34)&amp;SUBSTITUTE(CriteriTecnici!$A123,CHAR(34),"'")&amp;CHAR(34)&amp;", "&amp;CHAR(34)&amp;"lotId"&amp;CHAR(34)&amp;": "&amp;CHAR(34)&amp;SUBSTITUTE(CriteriTecnici!$C123,CHAR(34),"'")&amp;CHAR(34)&amp;", "&amp;CHAR(34)&amp;"criterionId"&amp;CHAR(34)&amp;": "&amp;CHAR(34)&amp;SUBSTITUTE(CriteriTecnici!$D123,CHAR(34),"'")&amp;CHAR(34)&amp;", "&amp;CHAR(34)&amp;"kind"&amp;CHAR(34)&amp;": "&amp;CHAR(34)&amp;SUBSTITUTE(CriteriTecnici!$F123,CHAR(34),"'")&amp;CHAR(34)&amp;", "&amp;CHAR(34)&amp;"value"&amp;CHAR(34)&amp;": "&amp;SUBSTITUTE(TRIM(ROUND(IFERROR(CriteriTecnici!$N123*1,IFERROR(NUMBERVALUE(CriteriTecnici!$N123,".",","),IFERROR(NUMBERVALUE(CriteriTecnici!$N123,",","."),0))),4)&amp;""),",",".")&amp;", "&amp;CHAR(34)&amp;"numerator"&amp;CHAR(34)&amp;": "&amp;SUBSTITUTE(TRIM(ROUND(IFERROR(CriteriTecnici!$K123*1,IFERROR(NUMBERVALUE(CriteriTecnici!$K123,".",","),IFERROR(NUMBERVALUE(CriteriTecnici!$K123,",","."),0))),4)&amp;""),",",".")&amp;", "&amp;CHAR(34)&amp;"denominator"&amp;CHAR(34)&amp;": "&amp;SUBSTITUTE(TRIM(ROUND(IFERROR(CriteriTecnici!$L123*1,IFERROR(NUMBERVALUE(CriteriTecnici!$L123,".",","),IFERROR(NUMBERVALUE(CriteriTecnici!$L123,",","."),0))),4)&amp;""),",",".")&amp;", "&amp;CHAR(34)&amp;"flag"&amp;CHAR(34)&amp;": "&amp;SUBSTITUTE(TRIM(ROUND(IFERROR(CriteriTecnici!$M123*1,IFERROR(NUMBERVALUE(CriteriTecnici!$M123,".",","),IFERROR(NUMBERVALUE(CriteriTecnici!$M123,",","."),0))),4)&amp;""),",",".")&amp;", "&amp;CHAR(34)&amp;"rawScore"&amp;CHAR(34)&amp;": "&amp;SUBSTITUTE(TRIM(ROUND(IFERROR(CriteriTecnici!$O123*1,IFERROR(NUMBERVALUE(CriteriTecnici!$O123,".",","),IFERROR(NUMBERVALUE(CriteriTecnici!$O123,",","."),0))),4)&amp;""),",",".")&amp;CHAR(125)&amp;IF(TRUE,",",""))</f>
        <v/>
      </c>
    </row>
    <row r="225">
      <c r="A225" s="82">
        <f>IF(CriteriTecnici!$A124="","","    "&amp;CHAR(123)&amp;CHAR(34)&amp;"bidderId"&amp;CHAR(34)&amp;": "&amp;CHAR(34)&amp;SUBSTITUTE(CriteriTecnici!$A124,CHAR(34),"'")&amp;CHAR(34)&amp;", "&amp;CHAR(34)&amp;"lotId"&amp;CHAR(34)&amp;": "&amp;CHAR(34)&amp;SUBSTITUTE(CriteriTecnici!$C124,CHAR(34),"'")&amp;CHAR(34)&amp;", "&amp;CHAR(34)&amp;"criterionId"&amp;CHAR(34)&amp;": "&amp;CHAR(34)&amp;SUBSTITUTE(CriteriTecnici!$D124,CHAR(34),"'")&amp;CHAR(34)&amp;", "&amp;CHAR(34)&amp;"kind"&amp;CHAR(34)&amp;": "&amp;CHAR(34)&amp;SUBSTITUTE(CriteriTecnici!$F124,CHAR(34),"'")&amp;CHAR(34)&amp;", "&amp;CHAR(34)&amp;"value"&amp;CHAR(34)&amp;": "&amp;SUBSTITUTE(TRIM(ROUND(IFERROR(CriteriTecnici!$N124*1,IFERROR(NUMBERVALUE(CriteriTecnici!$N124,".",","),IFERROR(NUMBERVALUE(CriteriTecnici!$N124,",","."),0))),4)&amp;""),",",".")&amp;", "&amp;CHAR(34)&amp;"numerator"&amp;CHAR(34)&amp;": "&amp;SUBSTITUTE(TRIM(ROUND(IFERROR(CriteriTecnici!$K124*1,IFERROR(NUMBERVALUE(CriteriTecnici!$K124,".",","),IFERROR(NUMBERVALUE(CriteriTecnici!$K124,",","."),0))),4)&amp;""),",",".")&amp;", "&amp;CHAR(34)&amp;"denominator"&amp;CHAR(34)&amp;": "&amp;SUBSTITUTE(TRIM(ROUND(IFERROR(CriteriTecnici!$L124*1,IFERROR(NUMBERVALUE(CriteriTecnici!$L124,".",","),IFERROR(NUMBERVALUE(CriteriTecnici!$L124,",","."),0))),4)&amp;""),",",".")&amp;", "&amp;CHAR(34)&amp;"flag"&amp;CHAR(34)&amp;": "&amp;SUBSTITUTE(TRIM(ROUND(IFERROR(CriteriTecnici!$M124*1,IFERROR(NUMBERVALUE(CriteriTecnici!$M124,".",","),IFERROR(NUMBERVALUE(CriteriTecnici!$M124,",","."),0))),4)&amp;""),",",".")&amp;", "&amp;CHAR(34)&amp;"rawScore"&amp;CHAR(34)&amp;": "&amp;SUBSTITUTE(TRIM(ROUND(IFERROR(CriteriTecnici!$O124*1,IFERROR(NUMBERVALUE(CriteriTecnici!$O124,".",","),IFERROR(NUMBERVALUE(CriteriTecnici!$O124,",","."),0))),4)&amp;""),",",".")&amp;CHAR(125)&amp;IF(TRUE,",",""))</f>
        <v/>
      </c>
    </row>
    <row r="226">
      <c r="A226" s="82">
        <f>IF(CriteriTecnici!$A125="","","    "&amp;CHAR(123)&amp;CHAR(34)&amp;"bidderId"&amp;CHAR(34)&amp;": "&amp;CHAR(34)&amp;SUBSTITUTE(CriteriTecnici!$A125,CHAR(34),"'")&amp;CHAR(34)&amp;", "&amp;CHAR(34)&amp;"lotId"&amp;CHAR(34)&amp;": "&amp;CHAR(34)&amp;SUBSTITUTE(CriteriTecnici!$C125,CHAR(34),"'")&amp;CHAR(34)&amp;", "&amp;CHAR(34)&amp;"criterionId"&amp;CHAR(34)&amp;": "&amp;CHAR(34)&amp;SUBSTITUTE(CriteriTecnici!$D125,CHAR(34),"'")&amp;CHAR(34)&amp;", "&amp;CHAR(34)&amp;"kind"&amp;CHAR(34)&amp;": "&amp;CHAR(34)&amp;SUBSTITUTE(CriteriTecnici!$F125,CHAR(34),"'")&amp;CHAR(34)&amp;", "&amp;CHAR(34)&amp;"value"&amp;CHAR(34)&amp;": "&amp;SUBSTITUTE(TRIM(ROUND(IFERROR(CriteriTecnici!$N125*1,IFERROR(NUMBERVALUE(CriteriTecnici!$N125,".",","),IFERROR(NUMBERVALUE(CriteriTecnici!$N125,",","."),0))),4)&amp;""),",",".")&amp;", "&amp;CHAR(34)&amp;"numerator"&amp;CHAR(34)&amp;": "&amp;SUBSTITUTE(TRIM(ROUND(IFERROR(CriteriTecnici!$K125*1,IFERROR(NUMBERVALUE(CriteriTecnici!$K125,".",","),IFERROR(NUMBERVALUE(CriteriTecnici!$K125,",","."),0))),4)&amp;""),",",".")&amp;", "&amp;CHAR(34)&amp;"denominator"&amp;CHAR(34)&amp;": "&amp;SUBSTITUTE(TRIM(ROUND(IFERROR(CriteriTecnici!$L125*1,IFERROR(NUMBERVALUE(CriteriTecnici!$L125,".",","),IFERROR(NUMBERVALUE(CriteriTecnici!$L125,",","."),0))),4)&amp;""),",",".")&amp;", "&amp;CHAR(34)&amp;"flag"&amp;CHAR(34)&amp;": "&amp;SUBSTITUTE(TRIM(ROUND(IFERROR(CriteriTecnici!$M125*1,IFERROR(NUMBERVALUE(CriteriTecnici!$M125,".",","),IFERROR(NUMBERVALUE(CriteriTecnici!$M125,",","."),0))),4)&amp;""),",",".")&amp;", "&amp;CHAR(34)&amp;"rawScore"&amp;CHAR(34)&amp;": "&amp;SUBSTITUTE(TRIM(ROUND(IFERROR(CriteriTecnici!$O125*1,IFERROR(NUMBERVALUE(CriteriTecnici!$O125,".",","),IFERROR(NUMBERVALUE(CriteriTecnici!$O125,",","."),0))),4)&amp;""),",",".")&amp;CHAR(125)&amp;IF(TRUE,",",""))</f>
        <v/>
      </c>
    </row>
    <row r="227">
      <c r="A227" s="82">
        <f>IF(CriteriTecnici!$A126="","","    "&amp;CHAR(123)&amp;CHAR(34)&amp;"bidderId"&amp;CHAR(34)&amp;": "&amp;CHAR(34)&amp;SUBSTITUTE(CriteriTecnici!$A126,CHAR(34),"'")&amp;CHAR(34)&amp;", "&amp;CHAR(34)&amp;"lotId"&amp;CHAR(34)&amp;": "&amp;CHAR(34)&amp;SUBSTITUTE(CriteriTecnici!$C126,CHAR(34),"'")&amp;CHAR(34)&amp;", "&amp;CHAR(34)&amp;"criterionId"&amp;CHAR(34)&amp;": "&amp;CHAR(34)&amp;SUBSTITUTE(CriteriTecnici!$D126,CHAR(34),"'")&amp;CHAR(34)&amp;", "&amp;CHAR(34)&amp;"kind"&amp;CHAR(34)&amp;": "&amp;CHAR(34)&amp;SUBSTITUTE(CriteriTecnici!$F126,CHAR(34),"'")&amp;CHAR(34)&amp;", "&amp;CHAR(34)&amp;"value"&amp;CHAR(34)&amp;": "&amp;SUBSTITUTE(TRIM(ROUND(IFERROR(CriteriTecnici!$N126*1,IFERROR(NUMBERVALUE(CriteriTecnici!$N126,".",","),IFERROR(NUMBERVALUE(CriteriTecnici!$N126,",","."),0))),4)&amp;""),",",".")&amp;", "&amp;CHAR(34)&amp;"numerator"&amp;CHAR(34)&amp;": "&amp;SUBSTITUTE(TRIM(ROUND(IFERROR(CriteriTecnici!$K126*1,IFERROR(NUMBERVALUE(CriteriTecnici!$K126,".",","),IFERROR(NUMBERVALUE(CriteriTecnici!$K126,",","."),0))),4)&amp;""),",",".")&amp;", "&amp;CHAR(34)&amp;"denominator"&amp;CHAR(34)&amp;": "&amp;SUBSTITUTE(TRIM(ROUND(IFERROR(CriteriTecnici!$L126*1,IFERROR(NUMBERVALUE(CriteriTecnici!$L126,".",","),IFERROR(NUMBERVALUE(CriteriTecnici!$L126,",","."),0))),4)&amp;""),",",".")&amp;", "&amp;CHAR(34)&amp;"flag"&amp;CHAR(34)&amp;": "&amp;SUBSTITUTE(TRIM(ROUND(IFERROR(CriteriTecnici!$M126*1,IFERROR(NUMBERVALUE(CriteriTecnici!$M126,".",","),IFERROR(NUMBERVALUE(CriteriTecnici!$M126,",","."),0))),4)&amp;""),",",".")&amp;", "&amp;CHAR(34)&amp;"rawScore"&amp;CHAR(34)&amp;": "&amp;SUBSTITUTE(TRIM(ROUND(IFERROR(CriteriTecnici!$O126*1,IFERROR(NUMBERVALUE(CriteriTecnici!$O126,".",","),IFERROR(NUMBERVALUE(CriteriTecnici!$O126,",","."),0))),4)&amp;""),",",".")&amp;CHAR(125)&amp;IF(TRUE,",",""))</f>
        <v/>
      </c>
    </row>
    <row r="228">
      <c r="A228" s="82">
        <f>IF(CriteriTecnici!$A127="","","    "&amp;CHAR(123)&amp;CHAR(34)&amp;"bidderId"&amp;CHAR(34)&amp;": "&amp;CHAR(34)&amp;SUBSTITUTE(CriteriTecnici!$A127,CHAR(34),"'")&amp;CHAR(34)&amp;", "&amp;CHAR(34)&amp;"lotId"&amp;CHAR(34)&amp;": "&amp;CHAR(34)&amp;SUBSTITUTE(CriteriTecnici!$C127,CHAR(34),"'")&amp;CHAR(34)&amp;", "&amp;CHAR(34)&amp;"criterionId"&amp;CHAR(34)&amp;": "&amp;CHAR(34)&amp;SUBSTITUTE(CriteriTecnici!$D127,CHAR(34),"'")&amp;CHAR(34)&amp;", "&amp;CHAR(34)&amp;"kind"&amp;CHAR(34)&amp;": "&amp;CHAR(34)&amp;SUBSTITUTE(CriteriTecnici!$F127,CHAR(34),"'")&amp;CHAR(34)&amp;", "&amp;CHAR(34)&amp;"value"&amp;CHAR(34)&amp;": "&amp;SUBSTITUTE(TRIM(ROUND(IFERROR(CriteriTecnici!$N127*1,IFERROR(NUMBERVALUE(CriteriTecnici!$N127,".",","),IFERROR(NUMBERVALUE(CriteriTecnici!$N127,",","."),0))),4)&amp;""),",",".")&amp;", "&amp;CHAR(34)&amp;"numerator"&amp;CHAR(34)&amp;": "&amp;SUBSTITUTE(TRIM(ROUND(IFERROR(CriteriTecnici!$K127*1,IFERROR(NUMBERVALUE(CriteriTecnici!$K127,".",","),IFERROR(NUMBERVALUE(CriteriTecnici!$K127,",","."),0))),4)&amp;""),",",".")&amp;", "&amp;CHAR(34)&amp;"denominator"&amp;CHAR(34)&amp;": "&amp;SUBSTITUTE(TRIM(ROUND(IFERROR(CriteriTecnici!$L127*1,IFERROR(NUMBERVALUE(CriteriTecnici!$L127,".",","),IFERROR(NUMBERVALUE(CriteriTecnici!$L127,",","."),0))),4)&amp;""),",",".")&amp;", "&amp;CHAR(34)&amp;"flag"&amp;CHAR(34)&amp;": "&amp;SUBSTITUTE(TRIM(ROUND(IFERROR(CriteriTecnici!$M127*1,IFERROR(NUMBERVALUE(CriteriTecnici!$M127,".",","),IFERROR(NUMBERVALUE(CriteriTecnici!$M127,",","."),0))),4)&amp;""),",",".")&amp;", "&amp;CHAR(34)&amp;"rawScore"&amp;CHAR(34)&amp;": "&amp;SUBSTITUTE(TRIM(ROUND(IFERROR(CriteriTecnici!$O127*1,IFERROR(NUMBERVALUE(CriteriTecnici!$O127,".",","),IFERROR(NUMBERVALUE(CriteriTecnici!$O127,",","."),0))),4)&amp;""),",",".")&amp;CHAR(125)&amp;IF(TRUE,",",""))</f>
        <v/>
      </c>
    </row>
    <row r="229">
      <c r="A229" s="82">
        <f>IF(CriteriTecnici!$A128="","","    "&amp;CHAR(123)&amp;CHAR(34)&amp;"bidderId"&amp;CHAR(34)&amp;": "&amp;CHAR(34)&amp;SUBSTITUTE(CriteriTecnici!$A128,CHAR(34),"'")&amp;CHAR(34)&amp;", "&amp;CHAR(34)&amp;"lotId"&amp;CHAR(34)&amp;": "&amp;CHAR(34)&amp;SUBSTITUTE(CriteriTecnici!$C128,CHAR(34),"'")&amp;CHAR(34)&amp;", "&amp;CHAR(34)&amp;"criterionId"&amp;CHAR(34)&amp;": "&amp;CHAR(34)&amp;SUBSTITUTE(CriteriTecnici!$D128,CHAR(34),"'")&amp;CHAR(34)&amp;", "&amp;CHAR(34)&amp;"kind"&amp;CHAR(34)&amp;": "&amp;CHAR(34)&amp;SUBSTITUTE(CriteriTecnici!$F128,CHAR(34),"'")&amp;CHAR(34)&amp;", "&amp;CHAR(34)&amp;"value"&amp;CHAR(34)&amp;": "&amp;SUBSTITUTE(TRIM(ROUND(IFERROR(CriteriTecnici!$N128*1,IFERROR(NUMBERVALUE(CriteriTecnici!$N128,".",","),IFERROR(NUMBERVALUE(CriteriTecnici!$N128,",","."),0))),4)&amp;""),",",".")&amp;", "&amp;CHAR(34)&amp;"numerator"&amp;CHAR(34)&amp;": "&amp;SUBSTITUTE(TRIM(ROUND(IFERROR(CriteriTecnici!$K128*1,IFERROR(NUMBERVALUE(CriteriTecnici!$K128,".",","),IFERROR(NUMBERVALUE(CriteriTecnici!$K128,",","."),0))),4)&amp;""),",",".")&amp;", "&amp;CHAR(34)&amp;"denominator"&amp;CHAR(34)&amp;": "&amp;SUBSTITUTE(TRIM(ROUND(IFERROR(CriteriTecnici!$L128*1,IFERROR(NUMBERVALUE(CriteriTecnici!$L128,".",","),IFERROR(NUMBERVALUE(CriteriTecnici!$L128,",","."),0))),4)&amp;""),",",".")&amp;", "&amp;CHAR(34)&amp;"flag"&amp;CHAR(34)&amp;": "&amp;SUBSTITUTE(TRIM(ROUND(IFERROR(CriteriTecnici!$M128*1,IFERROR(NUMBERVALUE(CriteriTecnici!$M128,".",","),IFERROR(NUMBERVALUE(CriteriTecnici!$M128,",","."),0))),4)&amp;""),",",".")&amp;", "&amp;CHAR(34)&amp;"rawScore"&amp;CHAR(34)&amp;": "&amp;SUBSTITUTE(TRIM(ROUND(IFERROR(CriteriTecnici!$O128*1,IFERROR(NUMBERVALUE(CriteriTecnici!$O128,".",","),IFERROR(NUMBERVALUE(CriteriTecnici!$O128,",","."),0))),4)&amp;""),",",".")&amp;CHAR(125)&amp;IF(COUNTA(Offerte!$A6:$A$81)&gt;0,",",""))</f>
        <v/>
      </c>
    </row>
    <row r="230">
      <c r="A230" s="82">
        <f>IF(CriteriTecnici!$A129="","","    "&amp;CHAR(123)&amp;CHAR(34)&amp;"bidderId"&amp;CHAR(34)&amp;": "&amp;CHAR(34)&amp;SUBSTITUTE(CriteriTecnici!$A129,CHAR(34),"'")&amp;CHAR(34)&amp;", "&amp;CHAR(34)&amp;"lotId"&amp;CHAR(34)&amp;": "&amp;CHAR(34)&amp;SUBSTITUTE(CriteriTecnici!$C129,CHAR(34),"'")&amp;CHAR(34)&amp;", "&amp;CHAR(34)&amp;"criterionId"&amp;CHAR(34)&amp;": "&amp;CHAR(34)&amp;SUBSTITUTE(CriteriTecnici!$D129,CHAR(34),"'")&amp;CHAR(34)&amp;", "&amp;CHAR(34)&amp;"kind"&amp;CHAR(34)&amp;": "&amp;CHAR(34)&amp;SUBSTITUTE(CriteriTecnici!$F129,CHAR(34),"'")&amp;CHAR(34)&amp;", "&amp;CHAR(34)&amp;"value"&amp;CHAR(34)&amp;": "&amp;SUBSTITUTE(TRIM(ROUND(IFERROR(CriteriTecnici!$N129*1,IFERROR(NUMBERVALUE(CriteriTecnici!$N129,".",","),IFERROR(NUMBERVALUE(CriteriTecnici!$N129,",","."),0))),4)&amp;""),",",".")&amp;", "&amp;CHAR(34)&amp;"numerator"&amp;CHAR(34)&amp;": "&amp;SUBSTITUTE(TRIM(ROUND(IFERROR(CriteriTecnici!$K129*1,IFERROR(NUMBERVALUE(CriteriTecnici!$K129,".",","),IFERROR(NUMBERVALUE(CriteriTecnici!$K129,",","."),0))),4)&amp;""),",",".")&amp;", "&amp;CHAR(34)&amp;"denominator"&amp;CHAR(34)&amp;": "&amp;SUBSTITUTE(TRIM(ROUND(IFERROR(CriteriTecnici!$L129*1,IFERROR(NUMBERVALUE(CriteriTecnici!$L129,".",","),IFERROR(NUMBERVALUE(CriteriTecnici!$L129,",","."),0))),4)&amp;""),",",".")&amp;", "&amp;CHAR(34)&amp;"flag"&amp;CHAR(34)&amp;": "&amp;SUBSTITUTE(TRIM(ROUND(IFERROR(CriteriTecnici!$M129*1,IFERROR(NUMBERVALUE(CriteriTecnici!$M129,".",","),IFERROR(NUMBERVALUE(CriteriTecnici!$M129,",","."),0))),4)&amp;""),",",".")&amp;", "&amp;CHAR(34)&amp;"rawScore"&amp;CHAR(34)&amp;": "&amp;SUBSTITUTE(TRIM(ROUND(IFERROR(CriteriTecnici!$O129*1,IFERROR(NUMBERVALUE(CriteriTecnici!$O129,".",","),IFERROR(NUMBERVALUE(CriteriTecnici!$O129,",","."),0))),4)&amp;""),",",".")&amp;CHAR(125)&amp;IF(TRUE,",",""))</f>
        <v/>
      </c>
    </row>
    <row r="231">
      <c r="A231" s="82">
        <f>IF(CriteriTecnici!$A130="","","    "&amp;CHAR(123)&amp;CHAR(34)&amp;"bidderId"&amp;CHAR(34)&amp;": "&amp;CHAR(34)&amp;SUBSTITUTE(CriteriTecnici!$A130,CHAR(34),"'")&amp;CHAR(34)&amp;", "&amp;CHAR(34)&amp;"lotId"&amp;CHAR(34)&amp;": "&amp;CHAR(34)&amp;SUBSTITUTE(CriteriTecnici!$C130,CHAR(34),"'")&amp;CHAR(34)&amp;", "&amp;CHAR(34)&amp;"criterionId"&amp;CHAR(34)&amp;": "&amp;CHAR(34)&amp;SUBSTITUTE(CriteriTecnici!$D130,CHAR(34),"'")&amp;CHAR(34)&amp;", "&amp;CHAR(34)&amp;"kind"&amp;CHAR(34)&amp;": "&amp;CHAR(34)&amp;SUBSTITUTE(CriteriTecnici!$F130,CHAR(34),"'")&amp;CHAR(34)&amp;", "&amp;CHAR(34)&amp;"value"&amp;CHAR(34)&amp;": "&amp;SUBSTITUTE(TRIM(ROUND(IFERROR(CriteriTecnici!$N130*1,IFERROR(NUMBERVALUE(CriteriTecnici!$N130,".",","),IFERROR(NUMBERVALUE(CriteriTecnici!$N130,",","."),0))),4)&amp;""),",",".")&amp;", "&amp;CHAR(34)&amp;"numerator"&amp;CHAR(34)&amp;": "&amp;SUBSTITUTE(TRIM(ROUND(IFERROR(CriteriTecnici!$K130*1,IFERROR(NUMBERVALUE(CriteriTecnici!$K130,".",","),IFERROR(NUMBERVALUE(CriteriTecnici!$K130,",","."),0))),4)&amp;""),",",".")&amp;", "&amp;CHAR(34)&amp;"denominator"&amp;CHAR(34)&amp;": "&amp;SUBSTITUTE(TRIM(ROUND(IFERROR(CriteriTecnici!$L130*1,IFERROR(NUMBERVALUE(CriteriTecnici!$L130,".",","),IFERROR(NUMBERVALUE(CriteriTecnici!$L130,",","."),0))),4)&amp;""),",",".")&amp;", "&amp;CHAR(34)&amp;"flag"&amp;CHAR(34)&amp;": "&amp;SUBSTITUTE(TRIM(ROUND(IFERROR(CriteriTecnici!$M130*1,IFERROR(NUMBERVALUE(CriteriTecnici!$M130,".",","),IFERROR(NUMBERVALUE(CriteriTecnici!$M130,",","."),0))),4)&amp;""),",",".")&amp;", "&amp;CHAR(34)&amp;"rawScore"&amp;CHAR(34)&amp;": "&amp;SUBSTITUTE(TRIM(ROUND(IFERROR(CriteriTecnici!$O130*1,IFERROR(NUMBERVALUE(CriteriTecnici!$O130,".",","),IFERROR(NUMBERVALUE(CriteriTecnici!$O130,",","."),0))),4)&amp;""),",",".")&amp;CHAR(125)&amp;IF(TRUE,",",""))</f>
        <v/>
      </c>
    </row>
    <row r="232">
      <c r="A232" s="82">
        <f>IF(CriteriTecnici!$A131="","","    "&amp;CHAR(123)&amp;CHAR(34)&amp;"bidderId"&amp;CHAR(34)&amp;": "&amp;CHAR(34)&amp;SUBSTITUTE(CriteriTecnici!$A131,CHAR(34),"'")&amp;CHAR(34)&amp;", "&amp;CHAR(34)&amp;"lotId"&amp;CHAR(34)&amp;": "&amp;CHAR(34)&amp;SUBSTITUTE(CriteriTecnici!$C131,CHAR(34),"'")&amp;CHAR(34)&amp;", "&amp;CHAR(34)&amp;"criterionId"&amp;CHAR(34)&amp;": "&amp;CHAR(34)&amp;SUBSTITUTE(CriteriTecnici!$D131,CHAR(34),"'")&amp;CHAR(34)&amp;", "&amp;CHAR(34)&amp;"kind"&amp;CHAR(34)&amp;": "&amp;CHAR(34)&amp;SUBSTITUTE(CriteriTecnici!$F131,CHAR(34),"'")&amp;CHAR(34)&amp;", "&amp;CHAR(34)&amp;"value"&amp;CHAR(34)&amp;": "&amp;SUBSTITUTE(TRIM(ROUND(IFERROR(CriteriTecnici!$N131*1,IFERROR(NUMBERVALUE(CriteriTecnici!$N131,".",","),IFERROR(NUMBERVALUE(CriteriTecnici!$N131,",","."),0))),4)&amp;""),",",".")&amp;", "&amp;CHAR(34)&amp;"numerator"&amp;CHAR(34)&amp;": "&amp;SUBSTITUTE(TRIM(ROUND(IFERROR(CriteriTecnici!$K131*1,IFERROR(NUMBERVALUE(CriteriTecnici!$K131,".",","),IFERROR(NUMBERVALUE(CriteriTecnici!$K131,",","."),0))),4)&amp;""),",",".")&amp;", "&amp;CHAR(34)&amp;"denominator"&amp;CHAR(34)&amp;": "&amp;SUBSTITUTE(TRIM(ROUND(IFERROR(CriteriTecnici!$L131*1,IFERROR(NUMBERVALUE(CriteriTecnici!$L131,".",","),IFERROR(NUMBERVALUE(CriteriTecnici!$L131,",","."),0))),4)&amp;""),",",".")&amp;", "&amp;CHAR(34)&amp;"flag"&amp;CHAR(34)&amp;": "&amp;SUBSTITUTE(TRIM(ROUND(IFERROR(CriteriTecnici!$M131*1,IFERROR(NUMBERVALUE(CriteriTecnici!$M131,".",","),IFERROR(NUMBERVALUE(CriteriTecnici!$M131,",","."),0))),4)&amp;""),",",".")&amp;", "&amp;CHAR(34)&amp;"rawScore"&amp;CHAR(34)&amp;": "&amp;SUBSTITUTE(TRIM(ROUND(IFERROR(CriteriTecnici!$O131*1,IFERROR(NUMBERVALUE(CriteriTecnici!$O131,".",","),IFERROR(NUMBERVALUE(CriteriTecnici!$O131,",","."),0))),4)&amp;""),",",".")&amp;CHAR(125)&amp;IF(TRUE,",",""))</f>
        <v/>
      </c>
    </row>
    <row r="233">
      <c r="A233" s="82">
        <f>IF(CriteriTecnici!$A132="","","    "&amp;CHAR(123)&amp;CHAR(34)&amp;"bidderId"&amp;CHAR(34)&amp;": "&amp;CHAR(34)&amp;SUBSTITUTE(CriteriTecnici!$A132,CHAR(34),"'")&amp;CHAR(34)&amp;", "&amp;CHAR(34)&amp;"lotId"&amp;CHAR(34)&amp;": "&amp;CHAR(34)&amp;SUBSTITUTE(CriteriTecnici!$C132,CHAR(34),"'")&amp;CHAR(34)&amp;", "&amp;CHAR(34)&amp;"criterionId"&amp;CHAR(34)&amp;": "&amp;CHAR(34)&amp;SUBSTITUTE(CriteriTecnici!$D132,CHAR(34),"'")&amp;CHAR(34)&amp;", "&amp;CHAR(34)&amp;"kind"&amp;CHAR(34)&amp;": "&amp;CHAR(34)&amp;SUBSTITUTE(CriteriTecnici!$F132,CHAR(34),"'")&amp;CHAR(34)&amp;", "&amp;CHAR(34)&amp;"value"&amp;CHAR(34)&amp;": "&amp;SUBSTITUTE(TRIM(ROUND(IFERROR(CriteriTecnici!$N132*1,IFERROR(NUMBERVALUE(CriteriTecnici!$N132,".",","),IFERROR(NUMBERVALUE(CriteriTecnici!$N132,",","."),0))),4)&amp;""),",",".")&amp;", "&amp;CHAR(34)&amp;"numerator"&amp;CHAR(34)&amp;": "&amp;SUBSTITUTE(TRIM(ROUND(IFERROR(CriteriTecnici!$K132*1,IFERROR(NUMBERVALUE(CriteriTecnici!$K132,".",","),IFERROR(NUMBERVALUE(CriteriTecnici!$K132,",","."),0))),4)&amp;""),",",".")&amp;", "&amp;CHAR(34)&amp;"denominator"&amp;CHAR(34)&amp;": "&amp;SUBSTITUTE(TRIM(ROUND(IFERROR(CriteriTecnici!$L132*1,IFERROR(NUMBERVALUE(CriteriTecnici!$L132,".",","),IFERROR(NUMBERVALUE(CriteriTecnici!$L132,",","."),0))),4)&amp;""),",",".")&amp;", "&amp;CHAR(34)&amp;"flag"&amp;CHAR(34)&amp;": "&amp;SUBSTITUTE(TRIM(ROUND(IFERROR(CriteriTecnici!$M132*1,IFERROR(NUMBERVALUE(CriteriTecnici!$M132,".",","),IFERROR(NUMBERVALUE(CriteriTecnici!$M132,",","."),0))),4)&amp;""),",",".")&amp;", "&amp;CHAR(34)&amp;"rawScore"&amp;CHAR(34)&amp;": "&amp;SUBSTITUTE(TRIM(ROUND(IFERROR(CriteriTecnici!$O132*1,IFERROR(NUMBERVALUE(CriteriTecnici!$O132,".",","),IFERROR(NUMBERVALUE(CriteriTecnici!$O132,",","."),0))),4)&amp;""),",",".")&amp;CHAR(125)&amp;IF(TRUE,",",""))</f>
        <v/>
      </c>
    </row>
    <row r="234">
      <c r="A234" s="82">
        <f>IF(CriteriTecnici!$A133="","","    "&amp;CHAR(123)&amp;CHAR(34)&amp;"bidderId"&amp;CHAR(34)&amp;": "&amp;CHAR(34)&amp;SUBSTITUTE(CriteriTecnici!$A133,CHAR(34),"'")&amp;CHAR(34)&amp;", "&amp;CHAR(34)&amp;"lotId"&amp;CHAR(34)&amp;": "&amp;CHAR(34)&amp;SUBSTITUTE(CriteriTecnici!$C133,CHAR(34),"'")&amp;CHAR(34)&amp;", "&amp;CHAR(34)&amp;"criterionId"&amp;CHAR(34)&amp;": "&amp;CHAR(34)&amp;SUBSTITUTE(CriteriTecnici!$D133,CHAR(34),"'")&amp;CHAR(34)&amp;", "&amp;CHAR(34)&amp;"kind"&amp;CHAR(34)&amp;": "&amp;CHAR(34)&amp;SUBSTITUTE(CriteriTecnici!$F133,CHAR(34),"'")&amp;CHAR(34)&amp;", "&amp;CHAR(34)&amp;"value"&amp;CHAR(34)&amp;": "&amp;SUBSTITUTE(TRIM(ROUND(IFERROR(CriteriTecnici!$N133*1,IFERROR(NUMBERVALUE(CriteriTecnici!$N133,".",","),IFERROR(NUMBERVALUE(CriteriTecnici!$N133,",","."),0))),4)&amp;""),",",".")&amp;", "&amp;CHAR(34)&amp;"numerator"&amp;CHAR(34)&amp;": "&amp;SUBSTITUTE(TRIM(ROUND(IFERROR(CriteriTecnici!$K133*1,IFERROR(NUMBERVALUE(CriteriTecnici!$K133,".",","),IFERROR(NUMBERVALUE(CriteriTecnici!$K133,",","."),0))),4)&amp;""),",",".")&amp;", "&amp;CHAR(34)&amp;"denominator"&amp;CHAR(34)&amp;": "&amp;SUBSTITUTE(TRIM(ROUND(IFERROR(CriteriTecnici!$L133*1,IFERROR(NUMBERVALUE(CriteriTecnici!$L133,".",","),IFERROR(NUMBERVALUE(CriteriTecnici!$L133,",","."),0))),4)&amp;""),",",".")&amp;", "&amp;CHAR(34)&amp;"flag"&amp;CHAR(34)&amp;": "&amp;SUBSTITUTE(TRIM(ROUND(IFERROR(CriteriTecnici!$M133*1,IFERROR(NUMBERVALUE(CriteriTecnici!$M133,".",","),IFERROR(NUMBERVALUE(CriteriTecnici!$M133,",","."),0))),4)&amp;""),",",".")&amp;", "&amp;CHAR(34)&amp;"rawScore"&amp;CHAR(34)&amp;": "&amp;SUBSTITUTE(TRIM(ROUND(IFERROR(CriteriTecnici!$O133*1,IFERROR(NUMBERVALUE(CriteriTecnici!$O133,".",","),IFERROR(NUMBERVALUE(CriteriTecnici!$O133,",","."),0))),4)&amp;""),",",".")&amp;CHAR(125)&amp;IF(TRUE,",",""))</f>
        <v/>
      </c>
    </row>
    <row r="235">
      <c r="A235" s="82">
        <f>IF(CriteriTecnici!$A134="","","    "&amp;CHAR(123)&amp;CHAR(34)&amp;"bidderId"&amp;CHAR(34)&amp;": "&amp;CHAR(34)&amp;SUBSTITUTE(CriteriTecnici!$A134,CHAR(34),"'")&amp;CHAR(34)&amp;", "&amp;CHAR(34)&amp;"lotId"&amp;CHAR(34)&amp;": "&amp;CHAR(34)&amp;SUBSTITUTE(CriteriTecnici!$C134,CHAR(34),"'")&amp;CHAR(34)&amp;", "&amp;CHAR(34)&amp;"criterionId"&amp;CHAR(34)&amp;": "&amp;CHAR(34)&amp;SUBSTITUTE(CriteriTecnici!$D134,CHAR(34),"'")&amp;CHAR(34)&amp;", "&amp;CHAR(34)&amp;"kind"&amp;CHAR(34)&amp;": "&amp;CHAR(34)&amp;SUBSTITUTE(CriteriTecnici!$F134,CHAR(34),"'")&amp;CHAR(34)&amp;", "&amp;CHAR(34)&amp;"value"&amp;CHAR(34)&amp;": "&amp;SUBSTITUTE(TRIM(ROUND(IFERROR(CriteriTecnici!$N134*1,IFERROR(NUMBERVALUE(CriteriTecnici!$N134,".",","),IFERROR(NUMBERVALUE(CriteriTecnici!$N134,",","."),0))),4)&amp;""),",",".")&amp;", "&amp;CHAR(34)&amp;"numerator"&amp;CHAR(34)&amp;": "&amp;SUBSTITUTE(TRIM(ROUND(IFERROR(CriteriTecnici!$K134*1,IFERROR(NUMBERVALUE(CriteriTecnici!$K134,".",","),IFERROR(NUMBERVALUE(CriteriTecnici!$K134,",","."),0))),4)&amp;""),",",".")&amp;", "&amp;CHAR(34)&amp;"denominator"&amp;CHAR(34)&amp;": "&amp;SUBSTITUTE(TRIM(ROUND(IFERROR(CriteriTecnici!$L134*1,IFERROR(NUMBERVALUE(CriteriTecnici!$L134,".",","),IFERROR(NUMBERVALUE(CriteriTecnici!$L134,",","."),0))),4)&amp;""),",",".")&amp;", "&amp;CHAR(34)&amp;"flag"&amp;CHAR(34)&amp;": "&amp;SUBSTITUTE(TRIM(ROUND(IFERROR(CriteriTecnici!$M134*1,IFERROR(NUMBERVALUE(CriteriTecnici!$M134,".",","),IFERROR(NUMBERVALUE(CriteriTecnici!$M134,",","."),0))),4)&amp;""),",",".")&amp;", "&amp;CHAR(34)&amp;"rawScore"&amp;CHAR(34)&amp;": "&amp;SUBSTITUTE(TRIM(ROUND(IFERROR(CriteriTecnici!$O134*1,IFERROR(NUMBERVALUE(CriteriTecnici!$O134,".",","),IFERROR(NUMBERVALUE(CriteriTecnici!$O134,",","."),0))),4)&amp;""),",",".")&amp;CHAR(125)&amp;IF(TRUE,",",""))</f>
        <v/>
      </c>
    </row>
    <row r="236">
      <c r="A236" s="82">
        <f>IF(CriteriTecnici!$A135="","","    "&amp;CHAR(123)&amp;CHAR(34)&amp;"bidderId"&amp;CHAR(34)&amp;": "&amp;CHAR(34)&amp;SUBSTITUTE(CriteriTecnici!$A135,CHAR(34),"'")&amp;CHAR(34)&amp;", "&amp;CHAR(34)&amp;"lotId"&amp;CHAR(34)&amp;": "&amp;CHAR(34)&amp;SUBSTITUTE(CriteriTecnici!$C135,CHAR(34),"'")&amp;CHAR(34)&amp;", "&amp;CHAR(34)&amp;"criterionId"&amp;CHAR(34)&amp;": "&amp;CHAR(34)&amp;SUBSTITUTE(CriteriTecnici!$D135,CHAR(34),"'")&amp;CHAR(34)&amp;", "&amp;CHAR(34)&amp;"kind"&amp;CHAR(34)&amp;": "&amp;CHAR(34)&amp;SUBSTITUTE(CriteriTecnici!$F135,CHAR(34),"'")&amp;CHAR(34)&amp;", "&amp;CHAR(34)&amp;"value"&amp;CHAR(34)&amp;": "&amp;SUBSTITUTE(TRIM(ROUND(IFERROR(CriteriTecnici!$N135*1,IFERROR(NUMBERVALUE(CriteriTecnici!$N135,".",","),IFERROR(NUMBERVALUE(CriteriTecnici!$N135,",","."),0))),4)&amp;""),",",".")&amp;", "&amp;CHAR(34)&amp;"numerator"&amp;CHAR(34)&amp;": "&amp;SUBSTITUTE(TRIM(ROUND(IFERROR(CriteriTecnici!$K135*1,IFERROR(NUMBERVALUE(CriteriTecnici!$K135,".",","),IFERROR(NUMBERVALUE(CriteriTecnici!$K135,",","."),0))),4)&amp;""),",",".")&amp;", "&amp;CHAR(34)&amp;"denominator"&amp;CHAR(34)&amp;": "&amp;SUBSTITUTE(TRIM(ROUND(IFERROR(CriteriTecnici!$L135*1,IFERROR(NUMBERVALUE(CriteriTecnici!$L135,".",","),IFERROR(NUMBERVALUE(CriteriTecnici!$L135,",","."),0))),4)&amp;""),",",".")&amp;", "&amp;CHAR(34)&amp;"flag"&amp;CHAR(34)&amp;": "&amp;SUBSTITUTE(TRIM(ROUND(IFERROR(CriteriTecnici!$M135*1,IFERROR(NUMBERVALUE(CriteriTecnici!$M135,".",","),IFERROR(NUMBERVALUE(CriteriTecnici!$M135,",","."),0))),4)&amp;""),",",".")&amp;", "&amp;CHAR(34)&amp;"rawScore"&amp;CHAR(34)&amp;": "&amp;SUBSTITUTE(TRIM(ROUND(IFERROR(CriteriTecnici!$O135*1,IFERROR(NUMBERVALUE(CriteriTecnici!$O135,".",","),IFERROR(NUMBERVALUE(CriteriTecnici!$O135,",","."),0))),4)&amp;""),",",".")&amp;CHAR(125)&amp;IF(TRUE,",",""))</f>
        <v/>
      </c>
    </row>
    <row r="237">
      <c r="A237" s="82">
        <f>IF(CriteriTecnici!$A136="","","    "&amp;CHAR(123)&amp;CHAR(34)&amp;"bidderId"&amp;CHAR(34)&amp;": "&amp;CHAR(34)&amp;SUBSTITUTE(CriteriTecnici!$A136,CHAR(34),"'")&amp;CHAR(34)&amp;", "&amp;CHAR(34)&amp;"lotId"&amp;CHAR(34)&amp;": "&amp;CHAR(34)&amp;SUBSTITUTE(CriteriTecnici!$C136,CHAR(34),"'")&amp;CHAR(34)&amp;", "&amp;CHAR(34)&amp;"criterionId"&amp;CHAR(34)&amp;": "&amp;CHAR(34)&amp;SUBSTITUTE(CriteriTecnici!$D136,CHAR(34),"'")&amp;CHAR(34)&amp;", "&amp;CHAR(34)&amp;"kind"&amp;CHAR(34)&amp;": "&amp;CHAR(34)&amp;SUBSTITUTE(CriteriTecnici!$F136,CHAR(34),"'")&amp;CHAR(34)&amp;", "&amp;CHAR(34)&amp;"value"&amp;CHAR(34)&amp;": "&amp;SUBSTITUTE(TRIM(ROUND(IFERROR(CriteriTecnici!$N136*1,IFERROR(NUMBERVALUE(CriteriTecnici!$N136,".",","),IFERROR(NUMBERVALUE(CriteriTecnici!$N136,",","."),0))),4)&amp;""),",",".")&amp;", "&amp;CHAR(34)&amp;"numerator"&amp;CHAR(34)&amp;": "&amp;SUBSTITUTE(TRIM(ROUND(IFERROR(CriteriTecnici!$K136*1,IFERROR(NUMBERVALUE(CriteriTecnici!$K136,".",","),IFERROR(NUMBERVALUE(CriteriTecnici!$K136,",","."),0))),4)&amp;""),",",".")&amp;", "&amp;CHAR(34)&amp;"denominator"&amp;CHAR(34)&amp;": "&amp;SUBSTITUTE(TRIM(ROUND(IFERROR(CriteriTecnici!$L136*1,IFERROR(NUMBERVALUE(CriteriTecnici!$L136,".",","),IFERROR(NUMBERVALUE(CriteriTecnici!$L136,",","."),0))),4)&amp;""),",",".")&amp;", "&amp;CHAR(34)&amp;"flag"&amp;CHAR(34)&amp;": "&amp;SUBSTITUTE(TRIM(ROUND(IFERROR(CriteriTecnici!$M136*1,IFERROR(NUMBERVALUE(CriteriTecnici!$M136,".",","),IFERROR(NUMBERVALUE(CriteriTecnici!$M136,",","."),0))),4)&amp;""),",",".")&amp;", "&amp;CHAR(34)&amp;"rawScore"&amp;CHAR(34)&amp;": "&amp;SUBSTITUTE(TRIM(ROUND(IFERROR(CriteriTecnici!$O136*1,IFERROR(NUMBERVALUE(CriteriTecnici!$O136,".",","),IFERROR(NUMBERVALUE(CriteriTecnici!$O136,",","."),0))),4)&amp;""),",",".")&amp;CHAR(125)&amp;IF(TRUE,",",""))</f>
        <v/>
      </c>
    </row>
    <row r="238">
      <c r="A238" s="82">
        <f>IF(CriteriTecnici!$A137="","","    "&amp;CHAR(123)&amp;CHAR(34)&amp;"bidderId"&amp;CHAR(34)&amp;": "&amp;CHAR(34)&amp;SUBSTITUTE(CriteriTecnici!$A137,CHAR(34),"'")&amp;CHAR(34)&amp;", "&amp;CHAR(34)&amp;"lotId"&amp;CHAR(34)&amp;": "&amp;CHAR(34)&amp;SUBSTITUTE(CriteriTecnici!$C137,CHAR(34),"'")&amp;CHAR(34)&amp;", "&amp;CHAR(34)&amp;"criterionId"&amp;CHAR(34)&amp;": "&amp;CHAR(34)&amp;SUBSTITUTE(CriteriTecnici!$D137,CHAR(34),"'")&amp;CHAR(34)&amp;", "&amp;CHAR(34)&amp;"kind"&amp;CHAR(34)&amp;": "&amp;CHAR(34)&amp;SUBSTITUTE(CriteriTecnici!$F137,CHAR(34),"'")&amp;CHAR(34)&amp;", "&amp;CHAR(34)&amp;"value"&amp;CHAR(34)&amp;": "&amp;SUBSTITUTE(TRIM(ROUND(IFERROR(CriteriTecnici!$N137*1,IFERROR(NUMBERVALUE(CriteriTecnici!$N137,".",","),IFERROR(NUMBERVALUE(CriteriTecnici!$N137,",","."),0))),4)&amp;""),",",".")&amp;", "&amp;CHAR(34)&amp;"numerator"&amp;CHAR(34)&amp;": "&amp;SUBSTITUTE(TRIM(ROUND(IFERROR(CriteriTecnici!$K137*1,IFERROR(NUMBERVALUE(CriteriTecnici!$K137,".",","),IFERROR(NUMBERVALUE(CriteriTecnici!$K137,",","."),0))),4)&amp;""),",",".")&amp;", "&amp;CHAR(34)&amp;"denominator"&amp;CHAR(34)&amp;": "&amp;SUBSTITUTE(TRIM(ROUND(IFERROR(CriteriTecnici!$L137*1,IFERROR(NUMBERVALUE(CriteriTecnici!$L137,".",","),IFERROR(NUMBERVALUE(CriteriTecnici!$L137,",","."),0))),4)&amp;""),",",".")&amp;", "&amp;CHAR(34)&amp;"flag"&amp;CHAR(34)&amp;": "&amp;SUBSTITUTE(TRIM(ROUND(IFERROR(CriteriTecnici!$M137*1,IFERROR(NUMBERVALUE(CriteriTecnici!$M137,".",","),IFERROR(NUMBERVALUE(CriteriTecnici!$M137,",","."),0))),4)&amp;""),",",".")&amp;", "&amp;CHAR(34)&amp;"rawScore"&amp;CHAR(34)&amp;": "&amp;SUBSTITUTE(TRIM(ROUND(IFERROR(CriteriTecnici!$O137*1,IFERROR(NUMBERVALUE(CriteriTecnici!$O137,".",","),IFERROR(NUMBERVALUE(CriteriTecnici!$O137,",","."),0))),4)&amp;""),",",".")&amp;CHAR(125)&amp;IF(TRUE,",",""))</f>
        <v/>
      </c>
    </row>
    <row r="239">
      <c r="A239" s="82">
        <f>IF(CriteriTecnici!$A138="","","    "&amp;CHAR(123)&amp;CHAR(34)&amp;"bidderId"&amp;CHAR(34)&amp;": "&amp;CHAR(34)&amp;SUBSTITUTE(CriteriTecnici!$A138,CHAR(34),"'")&amp;CHAR(34)&amp;", "&amp;CHAR(34)&amp;"lotId"&amp;CHAR(34)&amp;": "&amp;CHAR(34)&amp;SUBSTITUTE(CriteriTecnici!$C138,CHAR(34),"'")&amp;CHAR(34)&amp;", "&amp;CHAR(34)&amp;"criterionId"&amp;CHAR(34)&amp;": "&amp;CHAR(34)&amp;SUBSTITUTE(CriteriTecnici!$D138,CHAR(34),"'")&amp;CHAR(34)&amp;", "&amp;CHAR(34)&amp;"kind"&amp;CHAR(34)&amp;": "&amp;CHAR(34)&amp;SUBSTITUTE(CriteriTecnici!$F138,CHAR(34),"'")&amp;CHAR(34)&amp;", "&amp;CHAR(34)&amp;"value"&amp;CHAR(34)&amp;": "&amp;SUBSTITUTE(TRIM(ROUND(IFERROR(CriteriTecnici!$N138*1,IFERROR(NUMBERVALUE(CriteriTecnici!$N138,".",","),IFERROR(NUMBERVALUE(CriteriTecnici!$N138,",","."),0))),4)&amp;""),",",".")&amp;", "&amp;CHAR(34)&amp;"numerator"&amp;CHAR(34)&amp;": "&amp;SUBSTITUTE(TRIM(ROUND(IFERROR(CriteriTecnici!$K138*1,IFERROR(NUMBERVALUE(CriteriTecnici!$K138,".",","),IFERROR(NUMBERVALUE(CriteriTecnici!$K138,",","."),0))),4)&amp;""),",",".")&amp;", "&amp;CHAR(34)&amp;"denominator"&amp;CHAR(34)&amp;": "&amp;SUBSTITUTE(TRIM(ROUND(IFERROR(CriteriTecnici!$L138*1,IFERROR(NUMBERVALUE(CriteriTecnici!$L138,".",","),IFERROR(NUMBERVALUE(CriteriTecnici!$L138,",","."),0))),4)&amp;""),",",".")&amp;", "&amp;CHAR(34)&amp;"flag"&amp;CHAR(34)&amp;": "&amp;SUBSTITUTE(TRIM(ROUND(IFERROR(CriteriTecnici!$M138*1,IFERROR(NUMBERVALUE(CriteriTecnici!$M138,".",","),IFERROR(NUMBERVALUE(CriteriTecnici!$M138,",","."),0))),4)&amp;""),",",".")&amp;", "&amp;CHAR(34)&amp;"rawScore"&amp;CHAR(34)&amp;": "&amp;SUBSTITUTE(TRIM(ROUND(IFERROR(CriteriTecnici!$O138*1,IFERROR(NUMBERVALUE(CriteriTecnici!$O138,".",","),IFERROR(NUMBERVALUE(CriteriTecnici!$O138,",","."),0))),4)&amp;""),",",".")&amp;CHAR(125)&amp;IF(TRUE,",",""))</f>
        <v/>
      </c>
    </row>
    <row r="240">
      <c r="A240" s="82">
        <f>IF(CriteriTecnici!$A139="","","    "&amp;CHAR(123)&amp;CHAR(34)&amp;"bidderId"&amp;CHAR(34)&amp;": "&amp;CHAR(34)&amp;SUBSTITUTE(CriteriTecnici!$A139,CHAR(34),"'")&amp;CHAR(34)&amp;", "&amp;CHAR(34)&amp;"lotId"&amp;CHAR(34)&amp;": "&amp;CHAR(34)&amp;SUBSTITUTE(CriteriTecnici!$C139,CHAR(34),"'")&amp;CHAR(34)&amp;", "&amp;CHAR(34)&amp;"criterionId"&amp;CHAR(34)&amp;": "&amp;CHAR(34)&amp;SUBSTITUTE(CriteriTecnici!$D139,CHAR(34),"'")&amp;CHAR(34)&amp;", "&amp;CHAR(34)&amp;"kind"&amp;CHAR(34)&amp;": "&amp;CHAR(34)&amp;SUBSTITUTE(CriteriTecnici!$F139,CHAR(34),"'")&amp;CHAR(34)&amp;", "&amp;CHAR(34)&amp;"value"&amp;CHAR(34)&amp;": "&amp;SUBSTITUTE(TRIM(ROUND(IFERROR(CriteriTecnici!$N139*1,IFERROR(NUMBERVALUE(CriteriTecnici!$N139,".",","),IFERROR(NUMBERVALUE(CriteriTecnici!$N139,",","."),0))),4)&amp;""),",",".")&amp;", "&amp;CHAR(34)&amp;"numerator"&amp;CHAR(34)&amp;": "&amp;SUBSTITUTE(TRIM(ROUND(IFERROR(CriteriTecnici!$K139*1,IFERROR(NUMBERVALUE(CriteriTecnici!$K139,".",","),IFERROR(NUMBERVALUE(CriteriTecnici!$K139,",","."),0))),4)&amp;""),",",".")&amp;", "&amp;CHAR(34)&amp;"denominator"&amp;CHAR(34)&amp;": "&amp;SUBSTITUTE(TRIM(ROUND(IFERROR(CriteriTecnici!$L139*1,IFERROR(NUMBERVALUE(CriteriTecnici!$L139,".",","),IFERROR(NUMBERVALUE(CriteriTecnici!$L139,",","."),0))),4)&amp;""),",",".")&amp;", "&amp;CHAR(34)&amp;"flag"&amp;CHAR(34)&amp;": "&amp;SUBSTITUTE(TRIM(ROUND(IFERROR(CriteriTecnici!$M139*1,IFERROR(NUMBERVALUE(CriteriTecnici!$M139,".",","),IFERROR(NUMBERVALUE(CriteriTecnici!$M139,",","."),0))),4)&amp;""),",",".")&amp;", "&amp;CHAR(34)&amp;"rawScore"&amp;CHAR(34)&amp;": "&amp;SUBSTITUTE(TRIM(ROUND(IFERROR(CriteriTecnici!$O139*1,IFERROR(NUMBERVALUE(CriteriTecnici!$O139,".",","),IFERROR(NUMBERVALUE(CriteriTecnici!$O139,",","."),0))),4)&amp;""),",",".")&amp;CHAR(125)&amp;IF(TRUE,",",""))</f>
        <v/>
      </c>
    </row>
    <row r="241">
      <c r="A241" s="82">
        <f>IF(CriteriTecnici!$A140="","","    "&amp;CHAR(123)&amp;CHAR(34)&amp;"bidderId"&amp;CHAR(34)&amp;": "&amp;CHAR(34)&amp;SUBSTITUTE(CriteriTecnici!$A140,CHAR(34),"'")&amp;CHAR(34)&amp;", "&amp;CHAR(34)&amp;"lotId"&amp;CHAR(34)&amp;": "&amp;CHAR(34)&amp;SUBSTITUTE(CriteriTecnici!$C140,CHAR(34),"'")&amp;CHAR(34)&amp;", "&amp;CHAR(34)&amp;"criterionId"&amp;CHAR(34)&amp;": "&amp;CHAR(34)&amp;SUBSTITUTE(CriteriTecnici!$D140,CHAR(34),"'")&amp;CHAR(34)&amp;", "&amp;CHAR(34)&amp;"kind"&amp;CHAR(34)&amp;": "&amp;CHAR(34)&amp;SUBSTITUTE(CriteriTecnici!$F140,CHAR(34),"'")&amp;CHAR(34)&amp;", "&amp;CHAR(34)&amp;"value"&amp;CHAR(34)&amp;": "&amp;SUBSTITUTE(TRIM(ROUND(IFERROR(CriteriTecnici!$N140*1,IFERROR(NUMBERVALUE(CriteriTecnici!$N140,".",","),IFERROR(NUMBERVALUE(CriteriTecnici!$N140,",","."),0))),4)&amp;""),",",".")&amp;", "&amp;CHAR(34)&amp;"numerator"&amp;CHAR(34)&amp;": "&amp;SUBSTITUTE(TRIM(ROUND(IFERROR(CriteriTecnici!$K140*1,IFERROR(NUMBERVALUE(CriteriTecnici!$K140,".",","),IFERROR(NUMBERVALUE(CriteriTecnici!$K140,",","."),0))),4)&amp;""),",",".")&amp;", "&amp;CHAR(34)&amp;"denominator"&amp;CHAR(34)&amp;": "&amp;SUBSTITUTE(TRIM(ROUND(IFERROR(CriteriTecnici!$L140*1,IFERROR(NUMBERVALUE(CriteriTecnici!$L140,".",","),IFERROR(NUMBERVALUE(CriteriTecnici!$L140,",","."),0))),4)&amp;""),",",".")&amp;", "&amp;CHAR(34)&amp;"flag"&amp;CHAR(34)&amp;": "&amp;SUBSTITUTE(TRIM(ROUND(IFERROR(CriteriTecnici!$M140*1,IFERROR(NUMBERVALUE(CriteriTecnici!$M140,".",","),IFERROR(NUMBERVALUE(CriteriTecnici!$M140,",","."),0))),4)&amp;""),",",".")&amp;", "&amp;CHAR(34)&amp;"rawScore"&amp;CHAR(34)&amp;": "&amp;SUBSTITUTE(TRIM(ROUND(IFERROR(CriteriTecnici!$O140*1,IFERROR(NUMBERVALUE(CriteriTecnici!$O140,".",","),IFERROR(NUMBERVALUE(CriteriTecnici!$O140,",","."),0))),4)&amp;""),",",".")&amp;CHAR(125)&amp;IF(TRUE,",",""))</f>
        <v/>
      </c>
    </row>
    <row r="242">
      <c r="A242" s="82">
        <f>IF(CriteriTecnici!$A141="","","    "&amp;CHAR(123)&amp;CHAR(34)&amp;"bidderId"&amp;CHAR(34)&amp;": "&amp;CHAR(34)&amp;SUBSTITUTE(CriteriTecnici!$A141,CHAR(34),"'")&amp;CHAR(34)&amp;", "&amp;CHAR(34)&amp;"lotId"&amp;CHAR(34)&amp;": "&amp;CHAR(34)&amp;SUBSTITUTE(CriteriTecnici!$C141,CHAR(34),"'")&amp;CHAR(34)&amp;", "&amp;CHAR(34)&amp;"criterionId"&amp;CHAR(34)&amp;": "&amp;CHAR(34)&amp;SUBSTITUTE(CriteriTecnici!$D141,CHAR(34),"'")&amp;CHAR(34)&amp;", "&amp;CHAR(34)&amp;"kind"&amp;CHAR(34)&amp;": "&amp;CHAR(34)&amp;SUBSTITUTE(CriteriTecnici!$F141,CHAR(34),"'")&amp;CHAR(34)&amp;", "&amp;CHAR(34)&amp;"value"&amp;CHAR(34)&amp;": "&amp;SUBSTITUTE(TRIM(ROUND(IFERROR(CriteriTecnici!$N141*1,IFERROR(NUMBERVALUE(CriteriTecnici!$N141,".",","),IFERROR(NUMBERVALUE(CriteriTecnici!$N141,",","."),0))),4)&amp;""),",",".")&amp;", "&amp;CHAR(34)&amp;"numerator"&amp;CHAR(34)&amp;": "&amp;SUBSTITUTE(TRIM(ROUND(IFERROR(CriteriTecnici!$K141*1,IFERROR(NUMBERVALUE(CriteriTecnici!$K141,".",","),IFERROR(NUMBERVALUE(CriteriTecnici!$K141,",","."),0))),4)&amp;""),",",".")&amp;", "&amp;CHAR(34)&amp;"denominator"&amp;CHAR(34)&amp;": "&amp;SUBSTITUTE(TRIM(ROUND(IFERROR(CriteriTecnici!$L141*1,IFERROR(NUMBERVALUE(CriteriTecnici!$L141,".",","),IFERROR(NUMBERVALUE(CriteriTecnici!$L141,",","."),0))),4)&amp;""),",",".")&amp;", "&amp;CHAR(34)&amp;"flag"&amp;CHAR(34)&amp;": "&amp;SUBSTITUTE(TRIM(ROUND(IFERROR(CriteriTecnici!$M141*1,IFERROR(NUMBERVALUE(CriteriTecnici!$M141,".",","),IFERROR(NUMBERVALUE(CriteriTecnici!$M141,",","."),0))),4)&amp;""),",",".")&amp;", "&amp;CHAR(34)&amp;"rawScore"&amp;CHAR(34)&amp;": "&amp;SUBSTITUTE(TRIM(ROUND(IFERROR(CriteriTecnici!$O141*1,IFERROR(NUMBERVALUE(CriteriTecnici!$O141,".",","),IFERROR(NUMBERVALUE(CriteriTecnici!$O141,",","."),0))),4)&amp;""),",",".")&amp;CHAR(125)&amp;IF(TRUE,",",""))</f>
        <v/>
      </c>
    </row>
    <row r="243">
      <c r="A243" s="82">
        <f>IF(CriteriTecnici!$A142="","","    "&amp;CHAR(123)&amp;CHAR(34)&amp;"bidderId"&amp;CHAR(34)&amp;": "&amp;CHAR(34)&amp;SUBSTITUTE(CriteriTecnici!$A142,CHAR(34),"'")&amp;CHAR(34)&amp;", "&amp;CHAR(34)&amp;"lotId"&amp;CHAR(34)&amp;": "&amp;CHAR(34)&amp;SUBSTITUTE(CriteriTecnici!$C142,CHAR(34),"'")&amp;CHAR(34)&amp;", "&amp;CHAR(34)&amp;"criterionId"&amp;CHAR(34)&amp;": "&amp;CHAR(34)&amp;SUBSTITUTE(CriteriTecnici!$D142,CHAR(34),"'")&amp;CHAR(34)&amp;", "&amp;CHAR(34)&amp;"kind"&amp;CHAR(34)&amp;": "&amp;CHAR(34)&amp;SUBSTITUTE(CriteriTecnici!$F142,CHAR(34),"'")&amp;CHAR(34)&amp;", "&amp;CHAR(34)&amp;"value"&amp;CHAR(34)&amp;": "&amp;SUBSTITUTE(TRIM(ROUND(IFERROR(CriteriTecnici!$N142*1,IFERROR(NUMBERVALUE(CriteriTecnici!$N142,".",","),IFERROR(NUMBERVALUE(CriteriTecnici!$N142,",","."),0))),4)&amp;""),",",".")&amp;", "&amp;CHAR(34)&amp;"numerator"&amp;CHAR(34)&amp;": "&amp;SUBSTITUTE(TRIM(ROUND(IFERROR(CriteriTecnici!$K142*1,IFERROR(NUMBERVALUE(CriteriTecnici!$K142,".",","),IFERROR(NUMBERVALUE(CriteriTecnici!$K142,",","."),0))),4)&amp;""),",",".")&amp;", "&amp;CHAR(34)&amp;"denominator"&amp;CHAR(34)&amp;": "&amp;SUBSTITUTE(TRIM(ROUND(IFERROR(CriteriTecnici!$L142*1,IFERROR(NUMBERVALUE(CriteriTecnici!$L142,".",","),IFERROR(NUMBERVALUE(CriteriTecnici!$L142,",","."),0))),4)&amp;""),",",".")&amp;", "&amp;CHAR(34)&amp;"flag"&amp;CHAR(34)&amp;": "&amp;SUBSTITUTE(TRIM(ROUND(IFERROR(CriteriTecnici!$M142*1,IFERROR(NUMBERVALUE(CriteriTecnici!$M142,".",","),IFERROR(NUMBERVALUE(CriteriTecnici!$M142,",","."),0))),4)&amp;""),",",".")&amp;", "&amp;CHAR(34)&amp;"rawScore"&amp;CHAR(34)&amp;": "&amp;SUBSTITUTE(TRIM(ROUND(IFERROR(CriteriTecnici!$O142*1,IFERROR(NUMBERVALUE(CriteriTecnici!$O142,".",","),IFERROR(NUMBERVALUE(CriteriTecnici!$O142,",","."),0))),4)&amp;""),",",".")&amp;CHAR(125)&amp;IF(TRUE,",",""))</f>
        <v/>
      </c>
    </row>
    <row r="244">
      <c r="A244" s="82">
        <f>IF(CriteriTecnici!$A143="","","    "&amp;CHAR(123)&amp;CHAR(34)&amp;"bidderId"&amp;CHAR(34)&amp;": "&amp;CHAR(34)&amp;SUBSTITUTE(CriteriTecnici!$A143,CHAR(34),"'")&amp;CHAR(34)&amp;", "&amp;CHAR(34)&amp;"lotId"&amp;CHAR(34)&amp;": "&amp;CHAR(34)&amp;SUBSTITUTE(CriteriTecnici!$C143,CHAR(34),"'")&amp;CHAR(34)&amp;", "&amp;CHAR(34)&amp;"criterionId"&amp;CHAR(34)&amp;": "&amp;CHAR(34)&amp;SUBSTITUTE(CriteriTecnici!$D143,CHAR(34),"'")&amp;CHAR(34)&amp;", "&amp;CHAR(34)&amp;"kind"&amp;CHAR(34)&amp;": "&amp;CHAR(34)&amp;SUBSTITUTE(CriteriTecnici!$F143,CHAR(34),"'")&amp;CHAR(34)&amp;", "&amp;CHAR(34)&amp;"value"&amp;CHAR(34)&amp;": "&amp;SUBSTITUTE(TRIM(ROUND(IFERROR(CriteriTecnici!$N143*1,IFERROR(NUMBERVALUE(CriteriTecnici!$N143,".",","),IFERROR(NUMBERVALUE(CriteriTecnici!$N143,",","."),0))),4)&amp;""),",",".")&amp;", "&amp;CHAR(34)&amp;"numerator"&amp;CHAR(34)&amp;": "&amp;SUBSTITUTE(TRIM(ROUND(IFERROR(CriteriTecnici!$K143*1,IFERROR(NUMBERVALUE(CriteriTecnici!$K143,".",","),IFERROR(NUMBERVALUE(CriteriTecnici!$K143,",","."),0))),4)&amp;""),",",".")&amp;", "&amp;CHAR(34)&amp;"denominator"&amp;CHAR(34)&amp;": "&amp;SUBSTITUTE(TRIM(ROUND(IFERROR(CriteriTecnici!$L143*1,IFERROR(NUMBERVALUE(CriteriTecnici!$L143,".",","),IFERROR(NUMBERVALUE(CriteriTecnici!$L143,",","."),0))),4)&amp;""),",",".")&amp;", "&amp;CHAR(34)&amp;"flag"&amp;CHAR(34)&amp;": "&amp;SUBSTITUTE(TRIM(ROUND(IFERROR(CriteriTecnici!$M143*1,IFERROR(NUMBERVALUE(CriteriTecnici!$M143,".",","),IFERROR(NUMBERVALUE(CriteriTecnici!$M143,",","."),0))),4)&amp;""),",",".")&amp;", "&amp;CHAR(34)&amp;"rawScore"&amp;CHAR(34)&amp;": "&amp;SUBSTITUTE(TRIM(ROUND(IFERROR(CriteriTecnici!$O143*1,IFERROR(NUMBERVALUE(CriteriTecnici!$O143,".",","),IFERROR(NUMBERVALUE(CriteriTecnici!$O143,",","."),0))),4)&amp;""),",",".")&amp;CHAR(125)&amp;IF(TRUE,",",""))</f>
        <v/>
      </c>
    </row>
    <row r="245">
      <c r="A245" s="82">
        <f>IF(CriteriTecnici!$A144="","","    "&amp;CHAR(123)&amp;CHAR(34)&amp;"bidderId"&amp;CHAR(34)&amp;": "&amp;CHAR(34)&amp;SUBSTITUTE(CriteriTecnici!$A144,CHAR(34),"'")&amp;CHAR(34)&amp;", "&amp;CHAR(34)&amp;"lotId"&amp;CHAR(34)&amp;": "&amp;CHAR(34)&amp;SUBSTITUTE(CriteriTecnici!$C144,CHAR(34),"'")&amp;CHAR(34)&amp;", "&amp;CHAR(34)&amp;"criterionId"&amp;CHAR(34)&amp;": "&amp;CHAR(34)&amp;SUBSTITUTE(CriteriTecnici!$D144,CHAR(34),"'")&amp;CHAR(34)&amp;", "&amp;CHAR(34)&amp;"kind"&amp;CHAR(34)&amp;": "&amp;CHAR(34)&amp;SUBSTITUTE(CriteriTecnici!$F144,CHAR(34),"'")&amp;CHAR(34)&amp;", "&amp;CHAR(34)&amp;"value"&amp;CHAR(34)&amp;": "&amp;SUBSTITUTE(TRIM(ROUND(IFERROR(CriteriTecnici!$N144*1,IFERROR(NUMBERVALUE(CriteriTecnici!$N144,".",","),IFERROR(NUMBERVALUE(CriteriTecnici!$N144,",","."),0))),4)&amp;""),",",".")&amp;", "&amp;CHAR(34)&amp;"numerator"&amp;CHAR(34)&amp;": "&amp;SUBSTITUTE(TRIM(ROUND(IFERROR(CriteriTecnici!$K144*1,IFERROR(NUMBERVALUE(CriteriTecnici!$K144,".",","),IFERROR(NUMBERVALUE(CriteriTecnici!$K144,",","."),0))),4)&amp;""),",",".")&amp;", "&amp;CHAR(34)&amp;"denominator"&amp;CHAR(34)&amp;": "&amp;SUBSTITUTE(TRIM(ROUND(IFERROR(CriteriTecnici!$L144*1,IFERROR(NUMBERVALUE(CriteriTecnici!$L144,".",","),IFERROR(NUMBERVALUE(CriteriTecnici!$L144,",","."),0))),4)&amp;""),",",".")&amp;", "&amp;CHAR(34)&amp;"flag"&amp;CHAR(34)&amp;": "&amp;SUBSTITUTE(TRIM(ROUND(IFERROR(CriteriTecnici!$M144*1,IFERROR(NUMBERVALUE(CriteriTecnici!$M144,".",","),IFERROR(NUMBERVALUE(CriteriTecnici!$M144,",","."),0))),4)&amp;""),",",".")&amp;", "&amp;CHAR(34)&amp;"rawScore"&amp;CHAR(34)&amp;": "&amp;SUBSTITUTE(TRIM(ROUND(IFERROR(CriteriTecnici!$O144*1,IFERROR(NUMBERVALUE(CriteriTecnici!$O144,".",","),IFERROR(NUMBERVALUE(CriteriTecnici!$O144,",","."),0))),4)&amp;""),",",".")&amp;CHAR(125)&amp;IF(TRUE,",",""))</f>
        <v/>
      </c>
    </row>
    <row r="246">
      <c r="A246" s="82">
        <f>IF(CriteriTecnici!$A145="","","    "&amp;CHAR(123)&amp;CHAR(34)&amp;"bidderId"&amp;CHAR(34)&amp;": "&amp;CHAR(34)&amp;SUBSTITUTE(CriteriTecnici!$A145,CHAR(34),"'")&amp;CHAR(34)&amp;", "&amp;CHAR(34)&amp;"lotId"&amp;CHAR(34)&amp;": "&amp;CHAR(34)&amp;SUBSTITUTE(CriteriTecnici!$C145,CHAR(34),"'")&amp;CHAR(34)&amp;", "&amp;CHAR(34)&amp;"criterionId"&amp;CHAR(34)&amp;": "&amp;CHAR(34)&amp;SUBSTITUTE(CriteriTecnici!$D145,CHAR(34),"'")&amp;CHAR(34)&amp;", "&amp;CHAR(34)&amp;"kind"&amp;CHAR(34)&amp;": "&amp;CHAR(34)&amp;SUBSTITUTE(CriteriTecnici!$F145,CHAR(34),"'")&amp;CHAR(34)&amp;", "&amp;CHAR(34)&amp;"value"&amp;CHAR(34)&amp;": "&amp;SUBSTITUTE(TRIM(ROUND(IFERROR(CriteriTecnici!$N145*1,IFERROR(NUMBERVALUE(CriteriTecnici!$N145,".",","),IFERROR(NUMBERVALUE(CriteriTecnici!$N145,",","."),0))),4)&amp;""),",",".")&amp;", "&amp;CHAR(34)&amp;"numerator"&amp;CHAR(34)&amp;": "&amp;SUBSTITUTE(TRIM(ROUND(IFERROR(CriteriTecnici!$K145*1,IFERROR(NUMBERVALUE(CriteriTecnici!$K145,".",","),IFERROR(NUMBERVALUE(CriteriTecnici!$K145,",","."),0))),4)&amp;""),",",".")&amp;", "&amp;CHAR(34)&amp;"denominator"&amp;CHAR(34)&amp;": "&amp;SUBSTITUTE(TRIM(ROUND(IFERROR(CriteriTecnici!$L145*1,IFERROR(NUMBERVALUE(CriteriTecnici!$L145,".",","),IFERROR(NUMBERVALUE(CriteriTecnici!$L145,",","."),0))),4)&amp;""),",",".")&amp;", "&amp;CHAR(34)&amp;"flag"&amp;CHAR(34)&amp;": "&amp;SUBSTITUTE(TRIM(ROUND(IFERROR(CriteriTecnici!$M145*1,IFERROR(NUMBERVALUE(CriteriTecnici!$M145,".",","),IFERROR(NUMBERVALUE(CriteriTecnici!$M145,",","."),0))),4)&amp;""),",",".")&amp;", "&amp;CHAR(34)&amp;"rawScore"&amp;CHAR(34)&amp;": "&amp;SUBSTITUTE(TRIM(ROUND(IFERROR(CriteriTecnici!$O145*1,IFERROR(NUMBERVALUE(CriteriTecnici!$O145,".",","),IFERROR(NUMBERVALUE(CriteriTecnici!$O145,",","."),0))),4)&amp;""),",",".")&amp;CHAR(125)&amp;IF(TRUE,",",""))</f>
        <v/>
      </c>
    </row>
    <row r="247">
      <c r="A247" s="82">
        <f>IF(CriteriTecnici!$A146="","","    "&amp;CHAR(123)&amp;CHAR(34)&amp;"bidderId"&amp;CHAR(34)&amp;": "&amp;CHAR(34)&amp;SUBSTITUTE(CriteriTecnici!$A146,CHAR(34),"'")&amp;CHAR(34)&amp;", "&amp;CHAR(34)&amp;"lotId"&amp;CHAR(34)&amp;": "&amp;CHAR(34)&amp;SUBSTITUTE(CriteriTecnici!$C146,CHAR(34),"'")&amp;CHAR(34)&amp;", "&amp;CHAR(34)&amp;"criterionId"&amp;CHAR(34)&amp;": "&amp;CHAR(34)&amp;SUBSTITUTE(CriteriTecnici!$D146,CHAR(34),"'")&amp;CHAR(34)&amp;", "&amp;CHAR(34)&amp;"kind"&amp;CHAR(34)&amp;": "&amp;CHAR(34)&amp;SUBSTITUTE(CriteriTecnici!$F146,CHAR(34),"'")&amp;CHAR(34)&amp;", "&amp;CHAR(34)&amp;"value"&amp;CHAR(34)&amp;": "&amp;SUBSTITUTE(TRIM(ROUND(IFERROR(CriteriTecnici!$N146*1,IFERROR(NUMBERVALUE(CriteriTecnici!$N146,".",","),IFERROR(NUMBERVALUE(CriteriTecnici!$N146,",","."),0))),4)&amp;""),",",".")&amp;", "&amp;CHAR(34)&amp;"numerator"&amp;CHAR(34)&amp;": "&amp;SUBSTITUTE(TRIM(ROUND(IFERROR(CriteriTecnici!$K146*1,IFERROR(NUMBERVALUE(CriteriTecnici!$K146,".",","),IFERROR(NUMBERVALUE(CriteriTecnici!$K146,",","."),0))),4)&amp;""),",",".")&amp;", "&amp;CHAR(34)&amp;"denominator"&amp;CHAR(34)&amp;": "&amp;SUBSTITUTE(TRIM(ROUND(IFERROR(CriteriTecnici!$L146*1,IFERROR(NUMBERVALUE(CriteriTecnici!$L146,".",","),IFERROR(NUMBERVALUE(CriteriTecnici!$L146,",","."),0))),4)&amp;""),",",".")&amp;", "&amp;CHAR(34)&amp;"flag"&amp;CHAR(34)&amp;": "&amp;SUBSTITUTE(TRIM(ROUND(IFERROR(CriteriTecnici!$M146*1,IFERROR(NUMBERVALUE(CriteriTecnici!$M146,".",","),IFERROR(NUMBERVALUE(CriteriTecnici!$M146,",","."),0))),4)&amp;""),",",".")&amp;", "&amp;CHAR(34)&amp;"rawScore"&amp;CHAR(34)&amp;": "&amp;SUBSTITUTE(TRIM(ROUND(IFERROR(CriteriTecnici!$O146*1,IFERROR(NUMBERVALUE(CriteriTecnici!$O146,".",","),IFERROR(NUMBERVALUE(CriteriTecnici!$O146,",","."),0))),4)&amp;""),",",".")&amp;CHAR(125)&amp;IF(TRUE,",",""))</f>
        <v/>
      </c>
    </row>
    <row r="248">
      <c r="A248" s="82">
        <f>IF(CriteriTecnici!$A147="","","    "&amp;CHAR(123)&amp;CHAR(34)&amp;"bidderId"&amp;CHAR(34)&amp;": "&amp;CHAR(34)&amp;SUBSTITUTE(CriteriTecnici!$A147,CHAR(34),"'")&amp;CHAR(34)&amp;", "&amp;CHAR(34)&amp;"lotId"&amp;CHAR(34)&amp;": "&amp;CHAR(34)&amp;SUBSTITUTE(CriteriTecnici!$C147,CHAR(34),"'")&amp;CHAR(34)&amp;", "&amp;CHAR(34)&amp;"criterionId"&amp;CHAR(34)&amp;": "&amp;CHAR(34)&amp;SUBSTITUTE(CriteriTecnici!$D147,CHAR(34),"'")&amp;CHAR(34)&amp;", "&amp;CHAR(34)&amp;"kind"&amp;CHAR(34)&amp;": "&amp;CHAR(34)&amp;SUBSTITUTE(CriteriTecnici!$F147,CHAR(34),"'")&amp;CHAR(34)&amp;", "&amp;CHAR(34)&amp;"value"&amp;CHAR(34)&amp;": "&amp;SUBSTITUTE(TRIM(ROUND(IFERROR(CriteriTecnici!$N147*1,IFERROR(NUMBERVALUE(CriteriTecnici!$N147,".",","),IFERROR(NUMBERVALUE(CriteriTecnici!$N147,",","."),0))),4)&amp;""),",",".")&amp;", "&amp;CHAR(34)&amp;"numerator"&amp;CHAR(34)&amp;": "&amp;SUBSTITUTE(TRIM(ROUND(IFERROR(CriteriTecnici!$K147*1,IFERROR(NUMBERVALUE(CriteriTecnici!$K147,".",","),IFERROR(NUMBERVALUE(CriteriTecnici!$K147,",","."),0))),4)&amp;""),",",".")&amp;", "&amp;CHAR(34)&amp;"denominator"&amp;CHAR(34)&amp;": "&amp;SUBSTITUTE(TRIM(ROUND(IFERROR(CriteriTecnici!$L147*1,IFERROR(NUMBERVALUE(CriteriTecnici!$L147,".",","),IFERROR(NUMBERVALUE(CriteriTecnici!$L147,",","."),0))),4)&amp;""),",",".")&amp;", "&amp;CHAR(34)&amp;"flag"&amp;CHAR(34)&amp;": "&amp;SUBSTITUTE(TRIM(ROUND(IFERROR(CriteriTecnici!$M147*1,IFERROR(NUMBERVALUE(CriteriTecnici!$M147,".",","),IFERROR(NUMBERVALUE(CriteriTecnici!$M147,",","."),0))),4)&amp;""),",",".")&amp;", "&amp;CHAR(34)&amp;"rawScore"&amp;CHAR(34)&amp;": "&amp;SUBSTITUTE(TRIM(ROUND(IFERROR(CriteriTecnici!$O147*1,IFERROR(NUMBERVALUE(CriteriTecnici!$O147,".",","),IFERROR(NUMBERVALUE(CriteriTecnici!$O147,",","."),0))),4)&amp;""),",",".")&amp;CHAR(125)&amp;IF(TRUE,",",""))</f>
        <v/>
      </c>
    </row>
    <row r="249">
      <c r="A249" s="82">
        <f>IF(CriteriTecnici!$A148="","","    "&amp;CHAR(123)&amp;CHAR(34)&amp;"bidderId"&amp;CHAR(34)&amp;": "&amp;CHAR(34)&amp;SUBSTITUTE(CriteriTecnici!$A148,CHAR(34),"'")&amp;CHAR(34)&amp;", "&amp;CHAR(34)&amp;"lotId"&amp;CHAR(34)&amp;": "&amp;CHAR(34)&amp;SUBSTITUTE(CriteriTecnici!$C148,CHAR(34),"'")&amp;CHAR(34)&amp;", "&amp;CHAR(34)&amp;"criterionId"&amp;CHAR(34)&amp;": "&amp;CHAR(34)&amp;SUBSTITUTE(CriteriTecnici!$D148,CHAR(34),"'")&amp;CHAR(34)&amp;", "&amp;CHAR(34)&amp;"kind"&amp;CHAR(34)&amp;": "&amp;CHAR(34)&amp;SUBSTITUTE(CriteriTecnici!$F148,CHAR(34),"'")&amp;CHAR(34)&amp;", "&amp;CHAR(34)&amp;"value"&amp;CHAR(34)&amp;": "&amp;SUBSTITUTE(TRIM(ROUND(IFERROR(CriteriTecnici!$N148*1,IFERROR(NUMBERVALUE(CriteriTecnici!$N148,".",","),IFERROR(NUMBERVALUE(CriteriTecnici!$N148,",","."),0))),4)&amp;""),",",".")&amp;", "&amp;CHAR(34)&amp;"numerator"&amp;CHAR(34)&amp;": "&amp;SUBSTITUTE(TRIM(ROUND(IFERROR(CriteriTecnici!$K148*1,IFERROR(NUMBERVALUE(CriteriTecnici!$K148,".",","),IFERROR(NUMBERVALUE(CriteriTecnici!$K148,",","."),0))),4)&amp;""),",",".")&amp;", "&amp;CHAR(34)&amp;"denominator"&amp;CHAR(34)&amp;": "&amp;SUBSTITUTE(TRIM(ROUND(IFERROR(CriteriTecnici!$L148*1,IFERROR(NUMBERVALUE(CriteriTecnici!$L148,".",","),IFERROR(NUMBERVALUE(CriteriTecnici!$L148,",","."),0))),4)&amp;""),",",".")&amp;", "&amp;CHAR(34)&amp;"flag"&amp;CHAR(34)&amp;": "&amp;SUBSTITUTE(TRIM(ROUND(IFERROR(CriteriTecnici!$M148*1,IFERROR(NUMBERVALUE(CriteriTecnici!$M148,".",","),IFERROR(NUMBERVALUE(CriteriTecnici!$M148,",","."),0))),4)&amp;""),",",".")&amp;", "&amp;CHAR(34)&amp;"rawScore"&amp;CHAR(34)&amp;": "&amp;SUBSTITUTE(TRIM(ROUND(IFERROR(CriteriTecnici!$O148*1,IFERROR(NUMBERVALUE(CriteriTecnici!$O148,".",","),IFERROR(NUMBERVALUE(CriteriTecnici!$O148,",","."),0))),4)&amp;""),",",".")&amp;CHAR(125)&amp;IF(TRUE,",",""))</f>
        <v/>
      </c>
    </row>
    <row r="250">
      <c r="A250" s="82">
        <f>IF(CriteriTecnici!$A149="","","    "&amp;CHAR(123)&amp;CHAR(34)&amp;"bidderId"&amp;CHAR(34)&amp;": "&amp;CHAR(34)&amp;SUBSTITUTE(CriteriTecnici!$A149,CHAR(34),"'")&amp;CHAR(34)&amp;", "&amp;CHAR(34)&amp;"lotId"&amp;CHAR(34)&amp;": "&amp;CHAR(34)&amp;SUBSTITUTE(CriteriTecnici!$C149,CHAR(34),"'")&amp;CHAR(34)&amp;", "&amp;CHAR(34)&amp;"criterionId"&amp;CHAR(34)&amp;": "&amp;CHAR(34)&amp;SUBSTITUTE(CriteriTecnici!$D149,CHAR(34),"'")&amp;CHAR(34)&amp;", "&amp;CHAR(34)&amp;"kind"&amp;CHAR(34)&amp;": "&amp;CHAR(34)&amp;SUBSTITUTE(CriteriTecnici!$F149,CHAR(34),"'")&amp;CHAR(34)&amp;", "&amp;CHAR(34)&amp;"value"&amp;CHAR(34)&amp;": "&amp;SUBSTITUTE(TRIM(ROUND(IFERROR(CriteriTecnici!$N149*1,IFERROR(NUMBERVALUE(CriteriTecnici!$N149,".",","),IFERROR(NUMBERVALUE(CriteriTecnici!$N149,",","."),0))),4)&amp;""),",",".")&amp;", "&amp;CHAR(34)&amp;"numerator"&amp;CHAR(34)&amp;": "&amp;SUBSTITUTE(TRIM(ROUND(IFERROR(CriteriTecnici!$K149*1,IFERROR(NUMBERVALUE(CriteriTecnici!$K149,".",","),IFERROR(NUMBERVALUE(CriteriTecnici!$K149,",","."),0))),4)&amp;""),",",".")&amp;", "&amp;CHAR(34)&amp;"denominator"&amp;CHAR(34)&amp;": "&amp;SUBSTITUTE(TRIM(ROUND(IFERROR(CriteriTecnici!$L149*1,IFERROR(NUMBERVALUE(CriteriTecnici!$L149,".",","),IFERROR(NUMBERVALUE(CriteriTecnici!$L149,",","."),0))),4)&amp;""),",",".")&amp;", "&amp;CHAR(34)&amp;"flag"&amp;CHAR(34)&amp;": "&amp;SUBSTITUTE(TRIM(ROUND(IFERROR(CriteriTecnici!$M149*1,IFERROR(NUMBERVALUE(CriteriTecnici!$M149,".",","),IFERROR(NUMBERVALUE(CriteriTecnici!$M149,",","."),0))),4)&amp;""),",",".")&amp;", "&amp;CHAR(34)&amp;"rawScore"&amp;CHAR(34)&amp;": "&amp;SUBSTITUTE(TRIM(ROUND(IFERROR(CriteriTecnici!$O149*1,IFERROR(NUMBERVALUE(CriteriTecnici!$O149,".",","),IFERROR(NUMBERVALUE(CriteriTecnici!$O149,",","."),0))),4)&amp;""),",",".")&amp;CHAR(125)&amp;IF(TRUE,",",""))</f>
        <v/>
      </c>
    </row>
    <row r="251">
      <c r="A251" s="82">
        <f>IF(CriteriTecnici!$A150="","","    "&amp;CHAR(123)&amp;CHAR(34)&amp;"bidderId"&amp;CHAR(34)&amp;": "&amp;CHAR(34)&amp;SUBSTITUTE(CriteriTecnici!$A150,CHAR(34),"'")&amp;CHAR(34)&amp;", "&amp;CHAR(34)&amp;"lotId"&amp;CHAR(34)&amp;": "&amp;CHAR(34)&amp;SUBSTITUTE(CriteriTecnici!$C150,CHAR(34),"'")&amp;CHAR(34)&amp;", "&amp;CHAR(34)&amp;"criterionId"&amp;CHAR(34)&amp;": "&amp;CHAR(34)&amp;SUBSTITUTE(CriteriTecnici!$D150,CHAR(34),"'")&amp;CHAR(34)&amp;", "&amp;CHAR(34)&amp;"kind"&amp;CHAR(34)&amp;": "&amp;CHAR(34)&amp;SUBSTITUTE(CriteriTecnici!$F150,CHAR(34),"'")&amp;CHAR(34)&amp;", "&amp;CHAR(34)&amp;"value"&amp;CHAR(34)&amp;": "&amp;SUBSTITUTE(TRIM(ROUND(IFERROR(CriteriTecnici!$N150*1,IFERROR(NUMBERVALUE(CriteriTecnici!$N150,".",","),IFERROR(NUMBERVALUE(CriteriTecnici!$N150,",","."),0))),4)&amp;""),",",".")&amp;", "&amp;CHAR(34)&amp;"numerator"&amp;CHAR(34)&amp;": "&amp;SUBSTITUTE(TRIM(ROUND(IFERROR(CriteriTecnici!$K150*1,IFERROR(NUMBERVALUE(CriteriTecnici!$K150,".",","),IFERROR(NUMBERVALUE(CriteriTecnici!$K150,",","."),0))),4)&amp;""),",",".")&amp;", "&amp;CHAR(34)&amp;"denominator"&amp;CHAR(34)&amp;": "&amp;SUBSTITUTE(TRIM(ROUND(IFERROR(CriteriTecnici!$L150*1,IFERROR(NUMBERVALUE(CriteriTecnici!$L150,".",","),IFERROR(NUMBERVALUE(CriteriTecnici!$L150,",","."),0))),4)&amp;""),",",".")&amp;", "&amp;CHAR(34)&amp;"flag"&amp;CHAR(34)&amp;": "&amp;SUBSTITUTE(TRIM(ROUND(IFERROR(CriteriTecnici!$M150*1,IFERROR(NUMBERVALUE(CriteriTecnici!$M150,".",","),IFERROR(NUMBERVALUE(CriteriTecnici!$M150,",","."),0))),4)&amp;""),",",".")&amp;", "&amp;CHAR(34)&amp;"rawScore"&amp;CHAR(34)&amp;": "&amp;SUBSTITUTE(TRIM(ROUND(IFERROR(CriteriTecnici!$O150*1,IFERROR(NUMBERVALUE(CriteriTecnici!$O150,".",","),IFERROR(NUMBERVALUE(CriteriTecnici!$O150,",","."),0))),4)&amp;""),",",".")&amp;CHAR(125)&amp;IF(TRUE,",",""))</f>
        <v/>
      </c>
    </row>
    <row r="252">
      <c r="A252" s="82">
        <f>IF(CriteriTecnici!$A151="","","    "&amp;CHAR(123)&amp;CHAR(34)&amp;"bidderId"&amp;CHAR(34)&amp;": "&amp;CHAR(34)&amp;SUBSTITUTE(CriteriTecnici!$A151,CHAR(34),"'")&amp;CHAR(34)&amp;", "&amp;CHAR(34)&amp;"lotId"&amp;CHAR(34)&amp;": "&amp;CHAR(34)&amp;SUBSTITUTE(CriteriTecnici!$C151,CHAR(34),"'")&amp;CHAR(34)&amp;", "&amp;CHAR(34)&amp;"criterionId"&amp;CHAR(34)&amp;": "&amp;CHAR(34)&amp;SUBSTITUTE(CriteriTecnici!$D151,CHAR(34),"'")&amp;CHAR(34)&amp;", "&amp;CHAR(34)&amp;"kind"&amp;CHAR(34)&amp;": "&amp;CHAR(34)&amp;SUBSTITUTE(CriteriTecnici!$F151,CHAR(34),"'")&amp;CHAR(34)&amp;", "&amp;CHAR(34)&amp;"value"&amp;CHAR(34)&amp;": "&amp;SUBSTITUTE(TRIM(ROUND(IFERROR(CriteriTecnici!$N151*1,IFERROR(NUMBERVALUE(CriteriTecnici!$N151,".",","),IFERROR(NUMBERVALUE(CriteriTecnici!$N151,",","."),0))),4)&amp;""),",",".")&amp;", "&amp;CHAR(34)&amp;"numerator"&amp;CHAR(34)&amp;": "&amp;SUBSTITUTE(TRIM(ROUND(IFERROR(CriteriTecnici!$K151*1,IFERROR(NUMBERVALUE(CriteriTecnici!$K151,".",","),IFERROR(NUMBERVALUE(CriteriTecnici!$K151,",","."),0))),4)&amp;""),",",".")&amp;", "&amp;CHAR(34)&amp;"denominator"&amp;CHAR(34)&amp;": "&amp;SUBSTITUTE(TRIM(ROUND(IFERROR(CriteriTecnici!$L151*1,IFERROR(NUMBERVALUE(CriteriTecnici!$L151,".",","),IFERROR(NUMBERVALUE(CriteriTecnici!$L151,",","."),0))),4)&amp;""),",",".")&amp;", "&amp;CHAR(34)&amp;"flag"&amp;CHAR(34)&amp;": "&amp;SUBSTITUTE(TRIM(ROUND(IFERROR(CriteriTecnici!$M151*1,IFERROR(NUMBERVALUE(CriteriTecnici!$M151,".",","),IFERROR(NUMBERVALUE(CriteriTecnici!$M151,",","."),0))),4)&amp;""),",",".")&amp;", "&amp;CHAR(34)&amp;"rawScore"&amp;CHAR(34)&amp;": "&amp;SUBSTITUTE(TRIM(ROUND(IFERROR(CriteriTecnici!$O151*1,IFERROR(NUMBERVALUE(CriteriTecnici!$O151,".",","),IFERROR(NUMBERVALUE(CriteriTecnici!$O151,",","."),0))),4)&amp;""),",",".")&amp;CHAR(125)&amp;IF(TRUE,",",""))</f>
        <v/>
      </c>
    </row>
    <row r="253">
      <c r="A253" s="82">
        <f>IF(CriteriTecnici!$A152="","","    "&amp;CHAR(123)&amp;CHAR(34)&amp;"bidderId"&amp;CHAR(34)&amp;": "&amp;CHAR(34)&amp;SUBSTITUTE(CriteriTecnici!$A152,CHAR(34),"'")&amp;CHAR(34)&amp;", "&amp;CHAR(34)&amp;"lotId"&amp;CHAR(34)&amp;": "&amp;CHAR(34)&amp;SUBSTITUTE(CriteriTecnici!$C152,CHAR(34),"'")&amp;CHAR(34)&amp;", "&amp;CHAR(34)&amp;"criterionId"&amp;CHAR(34)&amp;": "&amp;CHAR(34)&amp;SUBSTITUTE(CriteriTecnici!$D152,CHAR(34),"'")&amp;CHAR(34)&amp;", "&amp;CHAR(34)&amp;"kind"&amp;CHAR(34)&amp;": "&amp;CHAR(34)&amp;SUBSTITUTE(CriteriTecnici!$F152,CHAR(34),"'")&amp;CHAR(34)&amp;", "&amp;CHAR(34)&amp;"value"&amp;CHAR(34)&amp;": "&amp;SUBSTITUTE(TRIM(ROUND(IFERROR(CriteriTecnici!$N152*1,IFERROR(NUMBERVALUE(CriteriTecnici!$N152,".",","),IFERROR(NUMBERVALUE(CriteriTecnici!$N152,",","."),0))),4)&amp;""),",",".")&amp;", "&amp;CHAR(34)&amp;"numerator"&amp;CHAR(34)&amp;": "&amp;SUBSTITUTE(TRIM(ROUND(IFERROR(CriteriTecnici!$K152*1,IFERROR(NUMBERVALUE(CriteriTecnici!$K152,".",","),IFERROR(NUMBERVALUE(CriteriTecnici!$K152,",","."),0))),4)&amp;""),",",".")&amp;", "&amp;CHAR(34)&amp;"denominator"&amp;CHAR(34)&amp;": "&amp;SUBSTITUTE(TRIM(ROUND(IFERROR(CriteriTecnici!$L152*1,IFERROR(NUMBERVALUE(CriteriTecnici!$L152,".",","),IFERROR(NUMBERVALUE(CriteriTecnici!$L152,",","."),0))),4)&amp;""),",",".")&amp;", "&amp;CHAR(34)&amp;"flag"&amp;CHAR(34)&amp;": "&amp;SUBSTITUTE(TRIM(ROUND(IFERROR(CriteriTecnici!$M152*1,IFERROR(NUMBERVALUE(CriteriTecnici!$M152,".",","),IFERROR(NUMBERVALUE(CriteriTecnici!$M152,",","."),0))),4)&amp;""),",",".")&amp;", "&amp;CHAR(34)&amp;"rawScore"&amp;CHAR(34)&amp;": "&amp;SUBSTITUTE(TRIM(ROUND(IFERROR(CriteriTecnici!$O152*1,IFERROR(NUMBERVALUE(CriteriTecnici!$O152,".",","),IFERROR(NUMBERVALUE(CriteriTecnici!$O152,",","."),0))),4)&amp;""),",",".")&amp;CHAR(125)&amp;IF(TRUE,",",""))</f>
        <v/>
      </c>
    </row>
    <row r="254">
      <c r="A254" s="82">
        <f>IF(CriteriTecnici!$A153="","","    "&amp;CHAR(123)&amp;CHAR(34)&amp;"bidderId"&amp;CHAR(34)&amp;": "&amp;CHAR(34)&amp;SUBSTITUTE(CriteriTecnici!$A153,CHAR(34),"'")&amp;CHAR(34)&amp;", "&amp;CHAR(34)&amp;"lotId"&amp;CHAR(34)&amp;": "&amp;CHAR(34)&amp;SUBSTITUTE(CriteriTecnici!$C153,CHAR(34),"'")&amp;CHAR(34)&amp;", "&amp;CHAR(34)&amp;"criterionId"&amp;CHAR(34)&amp;": "&amp;CHAR(34)&amp;SUBSTITUTE(CriteriTecnici!$D153,CHAR(34),"'")&amp;CHAR(34)&amp;", "&amp;CHAR(34)&amp;"kind"&amp;CHAR(34)&amp;": "&amp;CHAR(34)&amp;SUBSTITUTE(CriteriTecnici!$F153,CHAR(34),"'")&amp;CHAR(34)&amp;", "&amp;CHAR(34)&amp;"value"&amp;CHAR(34)&amp;": "&amp;SUBSTITUTE(TRIM(ROUND(IFERROR(CriteriTecnici!$N153*1,IFERROR(NUMBERVALUE(CriteriTecnici!$N153,".",","),IFERROR(NUMBERVALUE(CriteriTecnici!$N153,",","."),0))),4)&amp;""),",",".")&amp;", "&amp;CHAR(34)&amp;"numerator"&amp;CHAR(34)&amp;": "&amp;SUBSTITUTE(TRIM(ROUND(IFERROR(CriteriTecnici!$K153*1,IFERROR(NUMBERVALUE(CriteriTecnici!$K153,".",","),IFERROR(NUMBERVALUE(CriteriTecnici!$K153,",","."),0))),4)&amp;""),",",".")&amp;", "&amp;CHAR(34)&amp;"denominator"&amp;CHAR(34)&amp;": "&amp;SUBSTITUTE(TRIM(ROUND(IFERROR(CriteriTecnici!$L153*1,IFERROR(NUMBERVALUE(CriteriTecnici!$L153,".",","),IFERROR(NUMBERVALUE(CriteriTecnici!$L153,",","."),0))),4)&amp;""),",",".")&amp;", "&amp;CHAR(34)&amp;"flag"&amp;CHAR(34)&amp;": "&amp;SUBSTITUTE(TRIM(ROUND(IFERROR(CriteriTecnici!$M153*1,IFERROR(NUMBERVALUE(CriteriTecnici!$M153,".",","),IFERROR(NUMBERVALUE(CriteriTecnici!$M153,",","."),0))),4)&amp;""),",",".")&amp;", "&amp;CHAR(34)&amp;"rawScore"&amp;CHAR(34)&amp;": "&amp;SUBSTITUTE(TRIM(ROUND(IFERROR(CriteriTecnici!$O153*1,IFERROR(NUMBERVALUE(CriteriTecnici!$O153,".",","),IFERROR(NUMBERVALUE(CriteriTecnici!$O153,",","."),0))),4)&amp;""),",",".")&amp;CHAR(125)&amp;IF(TRUE,",",""))</f>
        <v/>
      </c>
    </row>
    <row r="255">
      <c r="A255" s="82">
        <f>IF(CriteriTecnici!$A154="","","    "&amp;CHAR(123)&amp;CHAR(34)&amp;"bidderId"&amp;CHAR(34)&amp;": "&amp;CHAR(34)&amp;SUBSTITUTE(CriteriTecnici!$A154,CHAR(34),"'")&amp;CHAR(34)&amp;", "&amp;CHAR(34)&amp;"lotId"&amp;CHAR(34)&amp;": "&amp;CHAR(34)&amp;SUBSTITUTE(CriteriTecnici!$C154,CHAR(34),"'")&amp;CHAR(34)&amp;", "&amp;CHAR(34)&amp;"criterionId"&amp;CHAR(34)&amp;": "&amp;CHAR(34)&amp;SUBSTITUTE(CriteriTecnici!$D154,CHAR(34),"'")&amp;CHAR(34)&amp;", "&amp;CHAR(34)&amp;"kind"&amp;CHAR(34)&amp;": "&amp;CHAR(34)&amp;SUBSTITUTE(CriteriTecnici!$F154,CHAR(34),"'")&amp;CHAR(34)&amp;", "&amp;CHAR(34)&amp;"value"&amp;CHAR(34)&amp;": "&amp;SUBSTITUTE(TRIM(ROUND(IFERROR(CriteriTecnici!$N154*1,IFERROR(NUMBERVALUE(CriteriTecnici!$N154,".",","),IFERROR(NUMBERVALUE(CriteriTecnici!$N154,",","."),0))),4)&amp;""),",",".")&amp;", "&amp;CHAR(34)&amp;"numerator"&amp;CHAR(34)&amp;": "&amp;SUBSTITUTE(TRIM(ROUND(IFERROR(CriteriTecnici!$K154*1,IFERROR(NUMBERVALUE(CriteriTecnici!$K154,".",","),IFERROR(NUMBERVALUE(CriteriTecnici!$K154,",","."),0))),4)&amp;""),",",".")&amp;", "&amp;CHAR(34)&amp;"denominator"&amp;CHAR(34)&amp;": "&amp;SUBSTITUTE(TRIM(ROUND(IFERROR(CriteriTecnici!$L154*1,IFERROR(NUMBERVALUE(CriteriTecnici!$L154,".",","),IFERROR(NUMBERVALUE(CriteriTecnici!$L154,",","."),0))),4)&amp;""),",",".")&amp;", "&amp;CHAR(34)&amp;"flag"&amp;CHAR(34)&amp;": "&amp;SUBSTITUTE(TRIM(ROUND(IFERROR(CriteriTecnici!$M154*1,IFERROR(NUMBERVALUE(CriteriTecnici!$M154,".",","),IFERROR(NUMBERVALUE(CriteriTecnici!$M154,",","."),0))),4)&amp;""),",",".")&amp;", "&amp;CHAR(34)&amp;"rawScore"&amp;CHAR(34)&amp;": "&amp;SUBSTITUTE(TRIM(ROUND(IFERROR(CriteriTecnici!$O154*1,IFERROR(NUMBERVALUE(CriteriTecnici!$O154,".",","),IFERROR(NUMBERVALUE(CriteriTecnici!$O154,",","."),0))),4)&amp;""),",",".")&amp;CHAR(125)&amp;IF(TRUE,",",""))</f>
        <v/>
      </c>
    </row>
    <row r="256">
      <c r="A256" s="82">
        <f>IF(CriteriTecnici!$A155="","","    "&amp;CHAR(123)&amp;CHAR(34)&amp;"bidderId"&amp;CHAR(34)&amp;": "&amp;CHAR(34)&amp;SUBSTITUTE(CriteriTecnici!$A155,CHAR(34),"'")&amp;CHAR(34)&amp;", "&amp;CHAR(34)&amp;"lotId"&amp;CHAR(34)&amp;": "&amp;CHAR(34)&amp;SUBSTITUTE(CriteriTecnici!$C155,CHAR(34),"'")&amp;CHAR(34)&amp;", "&amp;CHAR(34)&amp;"criterionId"&amp;CHAR(34)&amp;": "&amp;CHAR(34)&amp;SUBSTITUTE(CriteriTecnici!$D155,CHAR(34),"'")&amp;CHAR(34)&amp;", "&amp;CHAR(34)&amp;"kind"&amp;CHAR(34)&amp;": "&amp;CHAR(34)&amp;SUBSTITUTE(CriteriTecnici!$F155,CHAR(34),"'")&amp;CHAR(34)&amp;", "&amp;CHAR(34)&amp;"value"&amp;CHAR(34)&amp;": "&amp;SUBSTITUTE(TRIM(ROUND(IFERROR(CriteriTecnici!$N155*1,IFERROR(NUMBERVALUE(CriteriTecnici!$N155,".",","),IFERROR(NUMBERVALUE(CriteriTecnici!$N155,",","."),0))),4)&amp;""),",",".")&amp;", "&amp;CHAR(34)&amp;"numerator"&amp;CHAR(34)&amp;": "&amp;SUBSTITUTE(TRIM(ROUND(IFERROR(CriteriTecnici!$K155*1,IFERROR(NUMBERVALUE(CriteriTecnici!$K155,".",","),IFERROR(NUMBERVALUE(CriteriTecnici!$K155,",","."),0))),4)&amp;""),",",".")&amp;", "&amp;CHAR(34)&amp;"denominator"&amp;CHAR(34)&amp;": "&amp;SUBSTITUTE(TRIM(ROUND(IFERROR(CriteriTecnici!$L155*1,IFERROR(NUMBERVALUE(CriteriTecnici!$L155,".",","),IFERROR(NUMBERVALUE(CriteriTecnici!$L155,",","."),0))),4)&amp;""),",",".")&amp;", "&amp;CHAR(34)&amp;"flag"&amp;CHAR(34)&amp;": "&amp;SUBSTITUTE(TRIM(ROUND(IFERROR(CriteriTecnici!$M155*1,IFERROR(NUMBERVALUE(CriteriTecnici!$M155,".",","),IFERROR(NUMBERVALUE(CriteriTecnici!$M155,",","."),0))),4)&amp;""),",",".")&amp;", "&amp;CHAR(34)&amp;"rawScore"&amp;CHAR(34)&amp;": "&amp;SUBSTITUTE(TRIM(ROUND(IFERROR(CriteriTecnici!$O155*1,IFERROR(NUMBERVALUE(CriteriTecnici!$O155,".",","),IFERROR(NUMBERVALUE(CriteriTecnici!$O155,",","."),0))),4)&amp;""),",",".")&amp;CHAR(125)&amp;IF(TRUE,",",""))</f>
        <v/>
      </c>
    </row>
    <row r="257">
      <c r="A257" s="82">
        <f>IF(CriteriTecnici!$A156="","","    "&amp;CHAR(123)&amp;CHAR(34)&amp;"bidderId"&amp;CHAR(34)&amp;": "&amp;CHAR(34)&amp;SUBSTITUTE(CriteriTecnici!$A156,CHAR(34),"'")&amp;CHAR(34)&amp;", "&amp;CHAR(34)&amp;"lotId"&amp;CHAR(34)&amp;": "&amp;CHAR(34)&amp;SUBSTITUTE(CriteriTecnici!$C156,CHAR(34),"'")&amp;CHAR(34)&amp;", "&amp;CHAR(34)&amp;"criterionId"&amp;CHAR(34)&amp;": "&amp;CHAR(34)&amp;SUBSTITUTE(CriteriTecnici!$D156,CHAR(34),"'")&amp;CHAR(34)&amp;", "&amp;CHAR(34)&amp;"kind"&amp;CHAR(34)&amp;": "&amp;CHAR(34)&amp;SUBSTITUTE(CriteriTecnici!$F156,CHAR(34),"'")&amp;CHAR(34)&amp;", "&amp;CHAR(34)&amp;"value"&amp;CHAR(34)&amp;": "&amp;SUBSTITUTE(TRIM(ROUND(IFERROR(CriteriTecnici!$N156*1,IFERROR(NUMBERVALUE(CriteriTecnici!$N156,".",","),IFERROR(NUMBERVALUE(CriteriTecnici!$N156,",","."),0))),4)&amp;""),",",".")&amp;", "&amp;CHAR(34)&amp;"numerator"&amp;CHAR(34)&amp;": "&amp;SUBSTITUTE(TRIM(ROUND(IFERROR(CriteriTecnici!$K156*1,IFERROR(NUMBERVALUE(CriteriTecnici!$K156,".",","),IFERROR(NUMBERVALUE(CriteriTecnici!$K156,",","."),0))),4)&amp;""),",",".")&amp;", "&amp;CHAR(34)&amp;"denominator"&amp;CHAR(34)&amp;": "&amp;SUBSTITUTE(TRIM(ROUND(IFERROR(CriteriTecnici!$L156*1,IFERROR(NUMBERVALUE(CriteriTecnici!$L156,".",","),IFERROR(NUMBERVALUE(CriteriTecnici!$L156,",","."),0))),4)&amp;""),",",".")&amp;", "&amp;CHAR(34)&amp;"flag"&amp;CHAR(34)&amp;": "&amp;SUBSTITUTE(TRIM(ROUND(IFERROR(CriteriTecnici!$M156*1,IFERROR(NUMBERVALUE(CriteriTecnici!$M156,".",","),IFERROR(NUMBERVALUE(CriteriTecnici!$M156,",","."),0))),4)&amp;""),",",".")&amp;", "&amp;CHAR(34)&amp;"rawScore"&amp;CHAR(34)&amp;": "&amp;SUBSTITUTE(TRIM(ROUND(IFERROR(CriteriTecnici!$O156*1,IFERROR(NUMBERVALUE(CriteriTecnici!$O156,".",","),IFERROR(NUMBERVALUE(CriteriTecnici!$O156,",","."),0))),4)&amp;""),",",".")&amp;CHAR(125)&amp;IF(TRUE,",",""))</f>
        <v/>
      </c>
    </row>
    <row r="258">
      <c r="A258" s="82">
        <f>IF(CriteriTecnici!$A157="","","    "&amp;CHAR(123)&amp;CHAR(34)&amp;"bidderId"&amp;CHAR(34)&amp;": "&amp;CHAR(34)&amp;SUBSTITUTE(CriteriTecnici!$A157,CHAR(34),"'")&amp;CHAR(34)&amp;", "&amp;CHAR(34)&amp;"lotId"&amp;CHAR(34)&amp;": "&amp;CHAR(34)&amp;SUBSTITUTE(CriteriTecnici!$C157,CHAR(34),"'")&amp;CHAR(34)&amp;", "&amp;CHAR(34)&amp;"criterionId"&amp;CHAR(34)&amp;": "&amp;CHAR(34)&amp;SUBSTITUTE(CriteriTecnici!$D157,CHAR(34),"'")&amp;CHAR(34)&amp;", "&amp;CHAR(34)&amp;"kind"&amp;CHAR(34)&amp;": "&amp;CHAR(34)&amp;SUBSTITUTE(CriteriTecnici!$F157,CHAR(34),"'")&amp;CHAR(34)&amp;", "&amp;CHAR(34)&amp;"value"&amp;CHAR(34)&amp;": "&amp;SUBSTITUTE(TRIM(ROUND(IFERROR(CriteriTecnici!$N157*1,IFERROR(NUMBERVALUE(CriteriTecnici!$N157,".",","),IFERROR(NUMBERVALUE(CriteriTecnici!$N157,",","."),0))),4)&amp;""),",",".")&amp;", "&amp;CHAR(34)&amp;"numerator"&amp;CHAR(34)&amp;": "&amp;SUBSTITUTE(TRIM(ROUND(IFERROR(CriteriTecnici!$K157*1,IFERROR(NUMBERVALUE(CriteriTecnici!$K157,".",","),IFERROR(NUMBERVALUE(CriteriTecnici!$K157,",","."),0))),4)&amp;""),",",".")&amp;", "&amp;CHAR(34)&amp;"denominator"&amp;CHAR(34)&amp;": "&amp;SUBSTITUTE(TRIM(ROUND(IFERROR(CriteriTecnici!$L157*1,IFERROR(NUMBERVALUE(CriteriTecnici!$L157,".",","),IFERROR(NUMBERVALUE(CriteriTecnici!$L157,",","."),0))),4)&amp;""),",",".")&amp;", "&amp;CHAR(34)&amp;"flag"&amp;CHAR(34)&amp;": "&amp;SUBSTITUTE(TRIM(ROUND(IFERROR(CriteriTecnici!$M157*1,IFERROR(NUMBERVALUE(CriteriTecnici!$M157,".",","),IFERROR(NUMBERVALUE(CriteriTecnici!$M157,",","."),0))),4)&amp;""),",",".")&amp;", "&amp;CHAR(34)&amp;"rawScore"&amp;CHAR(34)&amp;": "&amp;SUBSTITUTE(TRIM(ROUND(IFERROR(CriteriTecnici!$O157*1,IFERROR(NUMBERVALUE(CriteriTecnici!$O157,".",","),IFERROR(NUMBERVALUE(CriteriTecnici!$O157,",","."),0))),4)&amp;""),",",".")&amp;CHAR(125)&amp;IF(TRUE,",",""))</f>
        <v/>
      </c>
    </row>
    <row r="259">
      <c r="A259" s="82">
        <f>IF(CriteriTecnici!$A158="","","    "&amp;CHAR(123)&amp;CHAR(34)&amp;"bidderId"&amp;CHAR(34)&amp;": "&amp;CHAR(34)&amp;SUBSTITUTE(CriteriTecnici!$A158,CHAR(34),"'")&amp;CHAR(34)&amp;", "&amp;CHAR(34)&amp;"lotId"&amp;CHAR(34)&amp;": "&amp;CHAR(34)&amp;SUBSTITUTE(CriteriTecnici!$C158,CHAR(34),"'")&amp;CHAR(34)&amp;", "&amp;CHAR(34)&amp;"criterionId"&amp;CHAR(34)&amp;": "&amp;CHAR(34)&amp;SUBSTITUTE(CriteriTecnici!$D158,CHAR(34),"'")&amp;CHAR(34)&amp;", "&amp;CHAR(34)&amp;"kind"&amp;CHAR(34)&amp;": "&amp;CHAR(34)&amp;SUBSTITUTE(CriteriTecnici!$F158,CHAR(34),"'")&amp;CHAR(34)&amp;", "&amp;CHAR(34)&amp;"value"&amp;CHAR(34)&amp;": "&amp;SUBSTITUTE(TRIM(ROUND(IFERROR(CriteriTecnici!$N158*1,IFERROR(NUMBERVALUE(CriteriTecnici!$N158,".",","),IFERROR(NUMBERVALUE(CriteriTecnici!$N158,",","."),0))),4)&amp;""),",",".")&amp;", "&amp;CHAR(34)&amp;"numerator"&amp;CHAR(34)&amp;": "&amp;SUBSTITUTE(TRIM(ROUND(IFERROR(CriteriTecnici!$K158*1,IFERROR(NUMBERVALUE(CriteriTecnici!$K158,".",","),IFERROR(NUMBERVALUE(CriteriTecnici!$K158,",","."),0))),4)&amp;""),",",".")&amp;", "&amp;CHAR(34)&amp;"denominator"&amp;CHAR(34)&amp;": "&amp;SUBSTITUTE(TRIM(ROUND(IFERROR(CriteriTecnici!$L158*1,IFERROR(NUMBERVALUE(CriteriTecnici!$L158,".",","),IFERROR(NUMBERVALUE(CriteriTecnici!$L158,",","."),0))),4)&amp;""),",",".")&amp;", "&amp;CHAR(34)&amp;"flag"&amp;CHAR(34)&amp;": "&amp;SUBSTITUTE(TRIM(ROUND(IFERROR(CriteriTecnici!$M158*1,IFERROR(NUMBERVALUE(CriteriTecnici!$M158,".",","),IFERROR(NUMBERVALUE(CriteriTecnici!$M158,",","."),0))),4)&amp;""),",",".")&amp;", "&amp;CHAR(34)&amp;"rawScore"&amp;CHAR(34)&amp;": "&amp;SUBSTITUTE(TRIM(ROUND(IFERROR(CriteriTecnici!$O158*1,IFERROR(NUMBERVALUE(CriteriTecnici!$O158,".",","),IFERROR(NUMBERVALUE(CriteriTecnici!$O158,",","."),0))),4)&amp;""),",",".")&amp;CHAR(125)&amp;IF(TRUE,",",""))</f>
        <v/>
      </c>
    </row>
    <row r="260">
      <c r="A260" s="82">
        <f>IF(CriteriTecnici!$A159="","","    "&amp;CHAR(123)&amp;CHAR(34)&amp;"bidderId"&amp;CHAR(34)&amp;": "&amp;CHAR(34)&amp;SUBSTITUTE(CriteriTecnici!$A159,CHAR(34),"'")&amp;CHAR(34)&amp;", "&amp;CHAR(34)&amp;"lotId"&amp;CHAR(34)&amp;": "&amp;CHAR(34)&amp;SUBSTITUTE(CriteriTecnici!$C159,CHAR(34),"'")&amp;CHAR(34)&amp;", "&amp;CHAR(34)&amp;"criterionId"&amp;CHAR(34)&amp;": "&amp;CHAR(34)&amp;SUBSTITUTE(CriteriTecnici!$D159,CHAR(34),"'")&amp;CHAR(34)&amp;", "&amp;CHAR(34)&amp;"kind"&amp;CHAR(34)&amp;": "&amp;CHAR(34)&amp;SUBSTITUTE(CriteriTecnici!$F159,CHAR(34),"'")&amp;CHAR(34)&amp;", "&amp;CHAR(34)&amp;"value"&amp;CHAR(34)&amp;": "&amp;SUBSTITUTE(TRIM(ROUND(IFERROR(CriteriTecnici!$N159*1,IFERROR(NUMBERVALUE(CriteriTecnici!$N159,".",","),IFERROR(NUMBERVALUE(CriteriTecnici!$N159,",","."),0))),4)&amp;""),",",".")&amp;", "&amp;CHAR(34)&amp;"numerator"&amp;CHAR(34)&amp;": "&amp;SUBSTITUTE(TRIM(ROUND(IFERROR(CriteriTecnici!$K159*1,IFERROR(NUMBERVALUE(CriteriTecnici!$K159,".",","),IFERROR(NUMBERVALUE(CriteriTecnici!$K159,",","."),0))),4)&amp;""),",",".")&amp;", "&amp;CHAR(34)&amp;"denominator"&amp;CHAR(34)&amp;": "&amp;SUBSTITUTE(TRIM(ROUND(IFERROR(CriteriTecnici!$L159*1,IFERROR(NUMBERVALUE(CriteriTecnici!$L159,".",","),IFERROR(NUMBERVALUE(CriteriTecnici!$L159,",","."),0))),4)&amp;""),",",".")&amp;", "&amp;CHAR(34)&amp;"flag"&amp;CHAR(34)&amp;": "&amp;SUBSTITUTE(TRIM(ROUND(IFERROR(CriteriTecnici!$M159*1,IFERROR(NUMBERVALUE(CriteriTecnici!$M159,".",","),IFERROR(NUMBERVALUE(CriteriTecnici!$M159,",","."),0))),4)&amp;""),",",".")&amp;", "&amp;CHAR(34)&amp;"rawScore"&amp;CHAR(34)&amp;": "&amp;SUBSTITUTE(TRIM(ROUND(IFERROR(CriteriTecnici!$O159*1,IFERROR(NUMBERVALUE(CriteriTecnici!$O159,".",","),IFERROR(NUMBERVALUE(CriteriTecnici!$O159,",","."),0))),4)&amp;""),",",".")&amp;CHAR(125)&amp;IF(COUNTA(Offerte!$A7:$A$81)&gt;0,",",""))</f>
        <v/>
      </c>
    </row>
    <row r="261">
      <c r="A261" s="82">
        <f>IF(CriteriTecnici!$A160="","","    "&amp;CHAR(123)&amp;CHAR(34)&amp;"bidderId"&amp;CHAR(34)&amp;": "&amp;CHAR(34)&amp;SUBSTITUTE(CriteriTecnici!$A160,CHAR(34),"'")&amp;CHAR(34)&amp;", "&amp;CHAR(34)&amp;"lotId"&amp;CHAR(34)&amp;": "&amp;CHAR(34)&amp;SUBSTITUTE(CriteriTecnici!$C160,CHAR(34),"'")&amp;CHAR(34)&amp;", "&amp;CHAR(34)&amp;"criterionId"&amp;CHAR(34)&amp;": "&amp;CHAR(34)&amp;SUBSTITUTE(CriteriTecnici!$D160,CHAR(34),"'")&amp;CHAR(34)&amp;", "&amp;CHAR(34)&amp;"kind"&amp;CHAR(34)&amp;": "&amp;CHAR(34)&amp;SUBSTITUTE(CriteriTecnici!$F160,CHAR(34),"'")&amp;CHAR(34)&amp;", "&amp;CHAR(34)&amp;"value"&amp;CHAR(34)&amp;": "&amp;SUBSTITUTE(TRIM(ROUND(IFERROR(CriteriTecnici!$N160*1,IFERROR(NUMBERVALUE(CriteriTecnici!$N160,".",","),IFERROR(NUMBERVALUE(CriteriTecnici!$N160,",","."),0))),4)&amp;""),",",".")&amp;", "&amp;CHAR(34)&amp;"numerator"&amp;CHAR(34)&amp;": "&amp;SUBSTITUTE(TRIM(ROUND(IFERROR(CriteriTecnici!$K160*1,IFERROR(NUMBERVALUE(CriteriTecnici!$K160,".",","),IFERROR(NUMBERVALUE(CriteriTecnici!$K160,",","."),0))),4)&amp;""),",",".")&amp;", "&amp;CHAR(34)&amp;"denominator"&amp;CHAR(34)&amp;": "&amp;SUBSTITUTE(TRIM(ROUND(IFERROR(CriteriTecnici!$L160*1,IFERROR(NUMBERVALUE(CriteriTecnici!$L160,".",","),IFERROR(NUMBERVALUE(CriteriTecnici!$L160,",","."),0))),4)&amp;""),",",".")&amp;", "&amp;CHAR(34)&amp;"flag"&amp;CHAR(34)&amp;": "&amp;SUBSTITUTE(TRIM(ROUND(IFERROR(CriteriTecnici!$M160*1,IFERROR(NUMBERVALUE(CriteriTecnici!$M160,".",","),IFERROR(NUMBERVALUE(CriteriTecnici!$M160,",","."),0))),4)&amp;""),",",".")&amp;", "&amp;CHAR(34)&amp;"rawScore"&amp;CHAR(34)&amp;": "&amp;SUBSTITUTE(TRIM(ROUND(IFERROR(CriteriTecnici!$O160*1,IFERROR(NUMBERVALUE(CriteriTecnici!$O160,".",","),IFERROR(NUMBERVALUE(CriteriTecnici!$O160,",","."),0))),4)&amp;""),",",".")&amp;CHAR(125)&amp;IF(TRUE,",",""))</f>
        <v/>
      </c>
    </row>
    <row r="262">
      <c r="A262" s="82">
        <f>IF(CriteriTecnici!$A161="","","    "&amp;CHAR(123)&amp;CHAR(34)&amp;"bidderId"&amp;CHAR(34)&amp;": "&amp;CHAR(34)&amp;SUBSTITUTE(CriteriTecnici!$A161,CHAR(34),"'")&amp;CHAR(34)&amp;", "&amp;CHAR(34)&amp;"lotId"&amp;CHAR(34)&amp;": "&amp;CHAR(34)&amp;SUBSTITUTE(CriteriTecnici!$C161,CHAR(34),"'")&amp;CHAR(34)&amp;", "&amp;CHAR(34)&amp;"criterionId"&amp;CHAR(34)&amp;": "&amp;CHAR(34)&amp;SUBSTITUTE(CriteriTecnici!$D161,CHAR(34),"'")&amp;CHAR(34)&amp;", "&amp;CHAR(34)&amp;"kind"&amp;CHAR(34)&amp;": "&amp;CHAR(34)&amp;SUBSTITUTE(CriteriTecnici!$F161,CHAR(34),"'")&amp;CHAR(34)&amp;", "&amp;CHAR(34)&amp;"value"&amp;CHAR(34)&amp;": "&amp;SUBSTITUTE(TRIM(ROUND(IFERROR(CriteriTecnici!$N161*1,IFERROR(NUMBERVALUE(CriteriTecnici!$N161,".",","),IFERROR(NUMBERVALUE(CriteriTecnici!$N161,",","."),0))),4)&amp;""),",",".")&amp;", "&amp;CHAR(34)&amp;"numerator"&amp;CHAR(34)&amp;": "&amp;SUBSTITUTE(TRIM(ROUND(IFERROR(CriteriTecnici!$K161*1,IFERROR(NUMBERVALUE(CriteriTecnici!$K161,".",","),IFERROR(NUMBERVALUE(CriteriTecnici!$K161,",","."),0))),4)&amp;""),",",".")&amp;", "&amp;CHAR(34)&amp;"denominator"&amp;CHAR(34)&amp;": "&amp;SUBSTITUTE(TRIM(ROUND(IFERROR(CriteriTecnici!$L161*1,IFERROR(NUMBERVALUE(CriteriTecnici!$L161,".",","),IFERROR(NUMBERVALUE(CriteriTecnici!$L161,",","."),0))),4)&amp;""),",",".")&amp;", "&amp;CHAR(34)&amp;"flag"&amp;CHAR(34)&amp;": "&amp;SUBSTITUTE(TRIM(ROUND(IFERROR(CriteriTecnici!$M161*1,IFERROR(NUMBERVALUE(CriteriTecnici!$M161,".",","),IFERROR(NUMBERVALUE(CriteriTecnici!$M161,",","."),0))),4)&amp;""),",",".")&amp;", "&amp;CHAR(34)&amp;"rawScore"&amp;CHAR(34)&amp;": "&amp;SUBSTITUTE(TRIM(ROUND(IFERROR(CriteriTecnici!$O161*1,IFERROR(NUMBERVALUE(CriteriTecnici!$O161,".",","),IFERROR(NUMBERVALUE(CriteriTecnici!$O161,",","."),0))),4)&amp;""),",",".")&amp;CHAR(125)&amp;IF(TRUE,",",""))</f>
        <v/>
      </c>
    </row>
    <row r="263">
      <c r="A263" s="82">
        <f>IF(CriteriTecnici!$A162="","","    "&amp;CHAR(123)&amp;CHAR(34)&amp;"bidderId"&amp;CHAR(34)&amp;": "&amp;CHAR(34)&amp;SUBSTITUTE(CriteriTecnici!$A162,CHAR(34),"'")&amp;CHAR(34)&amp;", "&amp;CHAR(34)&amp;"lotId"&amp;CHAR(34)&amp;": "&amp;CHAR(34)&amp;SUBSTITUTE(CriteriTecnici!$C162,CHAR(34),"'")&amp;CHAR(34)&amp;", "&amp;CHAR(34)&amp;"criterionId"&amp;CHAR(34)&amp;": "&amp;CHAR(34)&amp;SUBSTITUTE(CriteriTecnici!$D162,CHAR(34),"'")&amp;CHAR(34)&amp;", "&amp;CHAR(34)&amp;"kind"&amp;CHAR(34)&amp;": "&amp;CHAR(34)&amp;SUBSTITUTE(CriteriTecnici!$F162,CHAR(34),"'")&amp;CHAR(34)&amp;", "&amp;CHAR(34)&amp;"value"&amp;CHAR(34)&amp;": "&amp;SUBSTITUTE(TRIM(ROUND(IFERROR(CriteriTecnici!$N162*1,IFERROR(NUMBERVALUE(CriteriTecnici!$N162,".",","),IFERROR(NUMBERVALUE(CriteriTecnici!$N162,",","."),0))),4)&amp;""),",",".")&amp;", "&amp;CHAR(34)&amp;"numerator"&amp;CHAR(34)&amp;": "&amp;SUBSTITUTE(TRIM(ROUND(IFERROR(CriteriTecnici!$K162*1,IFERROR(NUMBERVALUE(CriteriTecnici!$K162,".",","),IFERROR(NUMBERVALUE(CriteriTecnici!$K162,",","."),0))),4)&amp;""),",",".")&amp;", "&amp;CHAR(34)&amp;"denominator"&amp;CHAR(34)&amp;": "&amp;SUBSTITUTE(TRIM(ROUND(IFERROR(CriteriTecnici!$L162*1,IFERROR(NUMBERVALUE(CriteriTecnici!$L162,".",","),IFERROR(NUMBERVALUE(CriteriTecnici!$L162,",","."),0))),4)&amp;""),",",".")&amp;", "&amp;CHAR(34)&amp;"flag"&amp;CHAR(34)&amp;": "&amp;SUBSTITUTE(TRIM(ROUND(IFERROR(CriteriTecnici!$M162*1,IFERROR(NUMBERVALUE(CriteriTecnici!$M162,".",","),IFERROR(NUMBERVALUE(CriteriTecnici!$M162,",","."),0))),4)&amp;""),",",".")&amp;", "&amp;CHAR(34)&amp;"rawScore"&amp;CHAR(34)&amp;": "&amp;SUBSTITUTE(TRIM(ROUND(IFERROR(CriteriTecnici!$O162*1,IFERROR(NUMBERVALUE(CriteriTecnici!$O162,".",","),IFERROR(NUMBERVALUE(CriteriTecnici!$O162,",","."),0))),4)&amp;""),",",".")&amp;CHAR(125)&amp;IF(TRUE,",",""))</f>
        <v/>
      </c>
    </row>
    <row r="264">
      <c r="A264" s="82">
        <f>IF(CriteriTecnici!$A163="","","    "&amp;CHAR(123)&amp;CHAR(34)&amp;"bidderId"&amp;CHAR(34)&amp;": "&amp;CHAR(34)&amp;SUBSTITUTE(CriteriTecnici!$A163,CHAR(34),"'")&amp;CHAR(34)&amp;", "&amp;CHAR(34)&amp;"lotId"&amp;CHAR(34)&amp;": "&amp;CHAR(34)&amp;SUBSTITUTE(CriteriTecnici!$C163,CHAR(34),"'")&amp;CHAR(34)&amp;", "&amp;CHAR(34)&amp;"criterionId"&amp;CHAR(34)&amp;": "&amp;CHAR(34)&amp;SUBSTITUTE(CriteriTecnici!$D163,CHAR(34),"'")&amp;CHAR(34)&amp;", "&amp;CHAR(34)&amp;"kind"&amp;CHAR(34)&amp;": "&amp;CHAR(34)&amp;SUBSTITUTE(CriteriTecnici!$F163,CHAR(34),"'")&amp;CHAR(34)&amp;", "&amp;CHAR(34)&amp;"value"&amp;CHAR(34)&amp;": "&amp;SUBSTITUTE(TRIM(ROUND(IFERROR(CriteriTecnici!$N163*1,IFERROR(NUMBERVALUE(CriteriTecnici!$N163,".",","),IFERROR(NUMBERVALUE(CriteriTecnici!$N163,",","."),0))),4)&amp;""),",",".")&amp;", "&amp;CHAR(34)&amp;"numerator"&amp;CHAR(34)&amp;": "&amp;SUBSTITUTE(TRIM(ROUND(IFERROR(CriteriTecnici!$K163*1,IFERROR(NUMBERVALUE(CriteriTecnici!$K163,".",","),IFERROR(NUMBERVALUE(CriteriTecnici!$K163,",","."),0))),4)&amp;""),",",".")&amp;", "&amp;CHAR(34)&amp;"denominator"&amp;CHAR(34)&amp;": "&amp;SUBSTITUTE(TRIM(ROUND(IFERROR(CriteriTecnici!$L163*1,IFERROR(NUMBERVALUE(CriteriTecnici!$L163,".",","),IFERROR(NUMBERVALUE(CriteriTecnici!$L163,",","."),0))),4)&amp;""),",",".")&amp;", "&amp;CHAR(34)&amp;"flag"&amp;CHAR(34)&amp;": "&amp;SUBSTITUTE(TRIM(ROUND(IFERROR(CriteriTecnici!$M163*1,IFERROR(NUMBERVALUE(CriteriTecnici!$M163,".",","),IFERROR(NUMBERVALUE(CriteriTecnici!$M163,",","."),0))),4)&amp;""),",",".")&amp;", "&amp;CHAR(34)&amp;"rawScore"&amp;CHAR(34)&amp;": "&amp;SUBSTITUTE(TRIM(ROUND(IFERROR(CriteriTecnici!$O163*1,IFERROR(NUMBERVALUE(CriteriTecnici!$O163,".",","),IFERROR(NUMBERVALUE(CriteriTecnici!$O163,",","."),0))),4)&amp;""),",",".")&amp;CHAR(125)&amp;IF(TRUE,",",""))</f>
        <v/>
      </c>
    </row>
    <row r="265">
      <c r="A265" s="82">
        <f>IF(CriteriTecnici!$A164="","","    "&amp;CHAR(123)&amp;CHAR(34)&amp;"bidderId"&amp;CHAR(34)&amp;": "&amp;CHAR(34)&amp;SUBSTITUTE(CriteriTecnici!$A164,CHAR(34),"'")&amp;CHAR(34)&amp;", "&amp;CHAR(34)&amp;"lotId"&amp;CHAR(34)&amp;": "&amp;CHAR(34)&amp;SUBSTITUTE(CriteriTecnici!$C164,CHAR(34),"'")&amp;CHAR(34)&amp;", "&amp;CHAR(34)&amp;"criterionId"&amp;CHAR(34)&amp;": "&amp;CHAR(34)&amp;SUBSTITUTE(CriteriTecnici!$D164,CHAR(34),"'")&amp;CHAR(34)&amp;", "&amp;CHAR(34)&amp;"kind"&amp;CHAR(34)&amp;": "&amp;CHAR(34)&amp;SUBSTITUTE(CriteriTecnici!$F164,CHAR(34),"'")&amp;CHAR(34)&amp;", "&amp;CHAR(34)&amp;"value"&amp;CHAR(34)&amp;": "&amp;SUBSTITUTE(TRIM(ROUND(IFERROR(CriteriTecnici!$N164*1,IFERROR(NUMBERVALUE(CriteriTecnici!$N164,".",","),IFERROR(NUMBERVALUE(CriteriTecnici!$N164,",","."),0))),4)&amp;""),",",".")&amp;", "&amp;CHAR(34)&amp;"numerator"&amp;CHAR(34)&amp;": "&amp;SUBSTITUTE(TRIM(ROUND(IFERROR(CriteriTecnici!$K164*1,IFERROR(NUMBERVALUE(CriteriTecnici!$K164,".",","),IFERROR(NUMBERVALUE(CriteriTecnici!$K164,",","."),0))),4)&amp;""),",",".")&amp;", "&amp;CHAR(34)&amp;"denominator"&amp;CHAR(34)&amp;": "&amp;SUBSTITUTE(TRIM(ROUND(IFERROR(CriteriTecnici!$L164*1,IFERROR(NUMBERVALUE(CriteriTecnici!$L164,".",","),IFERROR(NUMBERVALUE(CriteriTecnici!$L164,",","."),0))),4)&amp;""),",",".")&amp;", "&amp;CHAR(34)&amp;"flag"&amp;CHAR(34)&amp;": "&amp;SUBSTITUTE(TRIM(ROUND(IFERROR(CriteriTecnici!$M164*1,IFERROR(NUMBERVALUE(CriteriTecnici!$M164,".",","),IFERROR(NUMBERVALUE(CriteriTecnici!$M164,",","."),0))),4)&amp;""),",",".")&amp;", "&amp;CHAR(34)&amp;"rawScore"&amp;CHAR(34)&amp;": "&amp;SUBSTITUTE(TRIM(ROUND(IFERROR(CriteriTecnici!$O164*1,IFERROR(NUMBERVALUE(CriteriTecnici!$O164,".",","),IFERROR(NUMBERVALUE(CriteriTecnici!$O164,",","."),0))),4)&amp;""),",",".")&amp;CHAR(125)&amp;IF(TRUE,",",""))</f>
        <v/>
      </c>
    </row>
    <row r="266">
      <c r="A266" s="82">
        <f>IF(CriteriTecnici!$A165="","","    "&amp;CHAR(123)&amp;CHAR(34)&amp;"bidderId"&amp;CHAR(34)&amp;": "&amp;CHAR(34)&amp;SUBSTITUTE(CriteriTecnici!$A165,CHAR(34),"'")&amp;CHAR(34)&amp;", "&amp;CHAR(34)&amp;"lotId"&amp;CHAR(34)&amp;": "&amp;CHAR(34)&amp;SUBSTITUTE(CriteriTecnici!$C165,CHAR(34),"'")&amp;CHAR(34)&amp;", "&amp;CHAR(34)&amp;"criterionId"&amp;CHAR(34)&amp;": "&amp;CHAR(34)&amp;SUBSTITUTE(CriteriTecnici!$D165,CHAR(34),"'")&amp;CHAR(34)&amp;", "&amp;CHAR(34)&amp;"kind"&amp;CHAR(34)&amp;": "&amp;CHAR(34)&amp;SUBSTITUTE(CriteriTecnici!$F165,CHAR(34),"'")&amp;CHAR(34)&amp;", "&amp;CHAR(34)&amp;"value"&amp;CHAR(34)&amp;": "&amp;SUBSTITUTE(TRIM(ROUND(IFERROR(CriteriTecnici!$N165*1,IFERROR(NUMBERVALUE(CriteriTecnici!$N165,".",","),IFERROR(NUMBERVALUE(CriteriTecnici!$N165,",","."),0))),4)&amp;""),",",".")&amp;", "&amp;CHAR(34)&amp;"numerator"&amp;CHAR(34)&amp;": "&amp;SUBSTITUTE(TRIM(ROUND(IFERROR(CriteriTecnici!$K165*1,IFERROR(NUMBERVALUE(CriteriTecnici!$K165,".",","),IFERROR(NUMBERVALUE(CriteriTecnici!$K165,",","."),0))),4)&amp;""),",",".")&amp;", "&amp;CHAR(34)&amp;"denominator"&amp;CHAR(34)&amp;": "&amp;SUBSTITUTE(TRIM(ROUND(IFERROR(CriteriTecnici!$L165*1,IFERROR(NUMBERVALUE(CriteriTecnici!$L165,".",","),IFERROR(NUMBERVALUE(CriteriTecnici!$L165,",","."),0))),4)&amp;""),",",".")&amp;", "&amp;CHAR(34)&amp;"flag"&amp;CHAR(34)&amp;": "&amp;SUBSTITUTE(TRIM(ROUND(IFERROR(CriteriTecnici!$M165*1,IFERROR(NUMBERVALUE(CriteriTecnici!$M165,".",","),IFERROR(NUMBERVALUE(CriteriTecnici!$M165,",","."),0))),4)&amp;""),",",".")&amp;", "&amp;CHAR(34)&amp;"rawScore"&amp;CHAR(34)&amp;": "&amp;SUBSTITUTE(TRIM(ROUND(IFERROR(CriteriTecnici!$O165*1,IFERROR(NUMBERVALUE(CriteriTecnici!$O165,".",","),IFERROR(NUMBERVALUE(CriteriTecnici!$O165,",","."),0))),4)&amp;""),",",".")&amp;CHAR(125)&amp;IF(TRUE,",",""))</f>
        <v/>
      </c>
    </row>
    <row r="267">
      <c r="A267" s="82">
        <f>IF(CriteriTecnici!$A166="","","    "&amp;CHAR(123)&amp;CHAR(34)&amp;"bidderId"&amp;CHAR(34)&amp;": "&amp;CHAR(34)&amp;SUBSTITUTE(CriteriTecnici!$A166,CHAR(34),"'")&amp;CHAR(34)&amp;", "&amp;CHAR(34)&amp;"lotId"&amp;CHAR(34)&amp;": "&amp;CHAR(34)&amp;SUBSTITUTE(CriteriTecnici!$C166,CHAR(34),"'")&amp;CHAR(34)&amp;", "&amp;CHAR(34)&amp;"criterionId"&amp;CHAR(34)&amp;": "&amp;CHAR(34)&amp;SUBSTITUTE(CriteriTecnici!$D166,CHAR(34),"'")&amp;CHAR(34)&amp;", "&amp;CHAR(34)&amp;"kind"&amp;CHAR(34)&amp;": "&amp;CHAR(34)&amp;SUBSTITUTE(CriteriTecnici!$F166,CHAR(34),"'")&amp;CHAR(34)&amp;", "&amp;CHAR(34)&amp;"value"&amp;CHAR(34)&amp;": "&amp;SUBSTITUTE(TRIM(ROUND(IFERROR(CriteriTecnici!$N166*1,IFERROR(NUMBERVALUE(CriteriTecnici!$N166,".",","),IFERROR(NUMBERVALUE(CriteriTecnici!$N166,",","."),0))),4)&amp;""),",",".")&amp;", "&amp;CHAR(34)&amp;"numerator"&amp;CHAR(34)&amp;": "&amp;SUBSTITUTE(TRIM(ROUND(IFERROR(CriteriTecnici!$K166*1,IFERROR(NUMBERVALUE(CriteriTecnici!$K166,".",","),IFERROR(NUMBERVALUE(CriteriTecnici!$K166,",","."),0))),4)&amp;""),",",".")&amp;", "&amp;CHAR(34)&amp;"denominator"&amp;CHAR(34)&amp;": "&amp;SUBSTITUTE(TRIM(ROUND(IFERROR(CriteriTecnici!$L166*1,IFERROR(NUMBERVALUE(CriteriTecnici!$L166,".",","),IFERROR(NUMBERVALUE(CriteriTecnici!$L166,",","."),0))),4)&amp;""),",",".")&amp;", "&amp;CHAR(34)&amp;"flag"&amp;CHAR(34)&amp;": "&amp;SUBSTITUTE(TRIM(ROUND(IFERROR(CriteriTecnici!$M166*1,IFERROR(NUMBERVALUE(CriteriTecnici!$M166,".",","),IFERROR(NUMBERVALUE(CriteriTecnici!$M166,",","."),0))),4)&amp;""),",",".")&amp;", "&amp;CHAR(34)&amp;"rawScore"&amp;CHAR(34)&amp;": "&amp;SUBSTITUTE(TRIM(ROUND(IFERROR(CriteriTecnici!$O166*1,IFERROR(NUMBERVALUE(CriteriTecnici!$O166,".",","),IFERROR(NUMBERVALUE(CriteriTecnici!$O166,",","."),0))),4)&amp;""),",",".")&amp;CHAR(125)&amp;IF(TRUE,",",""))</f>
        <v/>
      </c>
    </row>
    <row r="268">
      <c r="A268" s="82">
        <f>IF(CriteriTecnici!$A167="","","    "&amp;CHAR(123)&amp;CHAR(34)&amp;"bidderId"&amp;CHAR(34)&amp;": "&amp;CHAR(34)&amp;SUBSTITUTE(CriteriTecnici!$A167,CHAR(34),"'")&amp;CHAR(34)&amp;", "&amp;CHAR(34)&amp;"lotId"&amp;CHAR(34)&amp;": "&amp;CHAR(34)&amp;SUBSTITUTE(CriteriTecnici!$C167,CHAR(34),"'")&amp;CHAR(34)&amp;", "&amp;CHAR(34)&amp;"criterionId"&amp;CHAR(34)&amp;": "&amp;CHAR(34)&amp;SUBSTITUTE(CriteriTecnici!$D167,CHAR(34),"'")&amp;CHAR(34)&amp;", "&amp;CHAR(34)&amp;"kind"&amp;CHAR(34)&amp;": "&amp;CHAR(34)&amp;SUBSTITUTE(CriteriTecnici!$F167,CHAR(34),"'")&amp;CHAR(34)&amp;", "&amp;CHAR(34)&amp;"value"&amp;CHAR(34)&amp;": "&amp;SUBSTITUTE(TRIM(ROUND(IFERROR(CriteriTecnici!$N167*1,IFERROR(NUMBERVALUE(CriteriTecnici!$N167,".",","),IFERROR(NUMBERVALUE(CriteriTecnici!$N167,",","."),0))),4)&amp;""),",",".")&amp;", "&amp;CHAR(34)&amp;"numerator"&amp;CHAR(34)&amp;": "&amp;SUBSTITUTE(TRIM(ROUND(IFERROR(CriteriTecnici!$K167*1,IFERROR(NUMBERVALUE(CriteriTecnici!$K167,".",","),IFERROR(NUMBERVALUE(CriteriTecnici!$K167,",","."),0))),4)&amp;""),",",".")&amp;", "&amp;CHAR(34)&amp;"denominator"&amp;CHAR(34)&amp;": "&amp;SUBSTITUTE(TRIM(ROUND(IFERROR(CriteriTecnici!$L167*1,IFERROR(NUMBERVALUE(CriteriTecnici!$L167,".",","),IFERROR(NUMBERVALUE(CriteriTecnici!$L167,",","."),0))),4)&amp;""),",",".")&amp;", "&amp;CHAR(34)&amp;"flag"&amp;CHAR(34)&amp;": "&amp;SUBSTITUTE(TRIM(ROUND(IFERROR(CriteriTecnici!$M167*1,IFERROR(NUMBERVALUE(CriteriTecnici!$M167,".",","),IFERROR(NUMBERVALUE(CriteriTecnici!$M167,",","."),0))),4)&amp;""),",",".")&amp;", "&amp;CHAR(34)&amp;"rawScore"&amp;CHAR(34)&amp;": "&amp;SUBSTITUTE(TRIM(ROUND(IFERROR(CriteriTecnici!$O167*1,IFERROR(NUMBERVALUE(CriteriTecnici!$O167,".",","),IFERROR(NUMBERVALUE(CriteriTecnici!$O167,",","."),0))),4)&amp;""),",",".")&amp;CHAR(125)&amp;IF(TRUE,",",""))</f>
        <v/>
      </c>
    </row>
    <row r="269">
      <c r="A269" s="82">
        <f>IF(CriteriTecnici!$A168="","","    "&amp;CHAR(123)&amp;CHAR(34)&amp;"bidderId"&amp;CHAR(34)&amp;": "&amp;CHAR(34)&amp;SUBSTITUTE(CriteriTecnici!$A168,CHAR(34),"'")&amp;CHAR(34)&amp;", "&amp;CHAR(34)&amp;"lotId"&amp;CHAR(34)&amp;": "&amp;CHAR(34)&amp;SUBSTITUTE(CriteriTecnici!$C168,CHAR(34),"'")&amp;CHAR(34)&amp;", "&amp;CHAR(34)&amp;"criterionId"&amp;CHAR(34)&amp;": "&amp;CHAR(34)&amp;SUBSTITUTE(CriteriTecnici!$D168,CHAR(34),"'")&amp;CHAR(34)&amp;", "&amp;CHAR(34)&amp;"kind"&amp;CHAR(34)&amp;": "&amp;CHAR(34)&amp;SUBSTITUTE(CriteriTecnici!$F168,CHAR(34),"'")&amp;CHAR(34)&amp;", "&amp;CHAR(34)&amp;"value"&amp;CHAR(34)&amp;": "&amp;SUBSTITUTE(TRIM(ROUND(IFERROR(CriteriTecnici!$N168*1,IFERROR(NUMBERVALUE(CriteriTecnici!$N168,".",","),IFERROR(NUMBERVALUE(CriteriTecnici!$N168,",","."),0))),4)&amp;""),",",".")&amp;", "&amp;CHAR(34)&amp;"numerator"&amp;CHAR(34)&amp;": "&amp;SUBSTITUTE(TRIM(ROUND(IFERROR(CriteriTecnici!$K168*1,IFERROR(NUMBERVALUE(CriteriTecnici!$K168,".",","),IFERROR(NUMBERVALUE(CriteriTecnici!$K168,",","."),0))),4)&amp;""),",",".")&amp;", "&amp;CHAR(34)&amp;"denominator"&amp;CHAR(34)&amp;": "&amp;SUBSTITUTE(TRIM(ROUND(IFERROR(CriteriTecnici!$L168*1,IFERROR(NUMBERVALUE(CriteriTecnici!$L168,".",","),IFERROR(NUMBERVALUE(CriteriTecnici!$L168,",","."),0))),4)&amp;""),",",".")&amp;", "&amp;CHAR(34)&amp;"flag"&amp;CHAR(34)&amp;": "&amp;SUBSTITUTE(TRIM(ROUND(IFERROR(CriteriTecnici!$M168*1,IFERROR(NUMBERVALUE(CriteriTecnici!$M168,".",","),IFERROR(NUMBERVALUE(CriteriTecnici!$M168,",","."),0))),4)&amp;""),",",".")&amp;", "&amp;CHAR(34)&amp;"rawScore"&amp;CHAR(34)&amp;": "&amp;SUBSTITUTE(TRIM(ROUND(IFERROR(CriteriTecnici!$O168*1,IFERROR(NUMBERVALUE(CriteriTecnici!$O168,".",","),IFERROR(NUMBERVALUE(CriteriTecnici!$O168,",","."),0))),4)&amp;""),",",".")&amp;CHAR(125)&amp;IF(TRUE,",",""))</f>
        <v/>
      </c>
    </row>
    <row r="270">
      <c r="A270" s="82">
        <f>IF(CriteriTecnici!$A169="","","    "&amp;CHAR(123)&amp;CHAR(34)&amp;"bidderId"&amp;CHAR(34)&amp;": "&amp;CHAR(34)&amp;SUBSTITUTE(CriteriTecnici!$A169,CHAR(34),"'")&amp;CHAR(34)&amp;", "&amp;CHAR(34)&amp;"lotId"&amp;CHAR(34)&amp;": "&amp;CHAR(34)&amp;SUBSTITUTE(CriteriTecnici!$C169,CHAR(34),"'")&amp;CHAR(34)&amp;", "&amp;CHAR(34)&amp;"criterionId"&amp;CHAR(34)&amp;": "&amp;CHAR(34)&amp;SUBSTITUTE(CriteriTecnici!$D169,CHAR(34),"'")&amp;CHAR(34)&amp;", "&amp;CHAR(34)&amp;"kind"&amp;CHAR(34)&amp;": "&amp;CHAR(34)&amp;SUBSTITUTE(CriteriTecnici!$F169,CHAR(34),"'")&amp;CHAR(34)&amp;", "&amp;CHAR(34)&amp;"value"&amp;CHAR(34)&amp;": "&amp;SUBSTITUTE(TRIM(ROUND(IFERROR(CriteriTecnici!$N169*1,IFERROR(NUMBERVALUE(CriteriTecnici!$N169,".",","),IFERROR(NUMBERVALUE(CriteriTecnici!$N169,",","."),0))),4)&amp;""),",",".")&amp;", "&amp;CHAR(34)&amp;"numerator"&amp;CHAR(34)&amp;": "&amp;SUBSTITUTE(TRIM(ROUND(IFERROR(CriteriTecnici!$K169*1,IFERROR(NUMBERVALUE(CriteriTecnici!$K169,".",","),IFERROR(NUMBERVALUE(CriteriTecnici!$K169,",","."),0))),4)&amp;""),",",".")&amp;", "&amp;CHAR(34)&amp;"denominator"&amp;CHAR(34)&amp;": "&amp;SUBSTITUTE(TRIM(ROUND(IFERROR(CriteriTecnici!$L169*1,IFERROR(NUMBERVALUE(CriteriTecnici!$L169,".",","),IFERROR(NUMBERVALUE(CriteriTecnici!$L169,",","."),0))),4)&amp;""),",",".")&amp;", "&amp;CHAR(34)&amp;"flag"&amp;CHAR(34)&amp;": "&amp;SUBSTITUTE(TRIM(ROUND(IFERROR(CriteriTecnici!$M169*1,IFERROR(NUMBERVALUE(CriteriTecnici!$M169,".",","),IFERROR(NUMBERVALUE(CriteriTecnici!$M169,",","."),0))),4)&amp;""),",",".")&amp;", "&amp;CHAR(34)&amp;"rawScore"&amp;CHAR(34)&amp;": "&amp;SUBSTITUTE(TRIM(ROUND(IFERROR(CriteriTecnici!$O169*1,IFERROR(NUMBERVALUE(CriteriTecnici!$O169,".",","),IFERROR(NUMBERVALUE(CriteriTecnici!$O169,",","."),0))),4)&amp;""),",",".")&amp;CHAR(125)&amp;IF(TRUE,",",""))</f>
        <v/>
      </c>
    </row>
    <row r="271">
      <c r="A271" s="82">
        <f>IF(CriteriTecnici!$A170="","","    "&amp;CHAR(123)&amp;CHAR(34)&amp;"bidderId"&amp;CHAR(34)&amp;": "&amp;CHAR(34)&amp;SUBSTITUTE(CriteriTecnici!$A170,CHAR(34),"'")&amp;CHAR(34)&amp;", "&amp;CHAR(34)&amp;"lotId"&amp;CHAR(34)&amp;": "&amp;CHAR(34)&amp;SUBSTITUTE(CriteriTecnici!$C170,CHAR(34),"'")&amp;CHAR(34)&amp;", "&amp;CHAR(34)&amp;"criterionId"&amp;CHAR(34)&amp;": "&amp;CHAR(34)&amp;SUBSTITUTE(CriteriTecnici!$D170,CHAR(34),"'")&amp;CHAR(34)&amp;", "&amp;CHAR(34)&amp;"kind"&amp;CHAR(34)&amp;": "&amp;CHAR(34)&amp;SUBSTITUTE(CriteriTecnici!$F170,CHAR(34),"'")&amp;CHAR(34)&amp;", "&amp;CHAR(34)&amp;"value"&amp;CHAR(34)&amp;": "&amp;SUBSTITUTE(TRIM(ROUND(IFERROR(CriteriTecnici!$N170*1,IFERROR(NUMBERVALUE(CriteriTecnici!$N170,".",","),IFERROR(NUMBERVALUE(CriteriTecnici!$N170,",","."),0))),4)&amp;""),",",".")&amp;", "&amp;CHAR(34)&amp;"numerator"&amp;CHAR(34)&amp;": "&amp;SUBSTITUTE(TRIM(ROUND(IFERROR(CriteriTecnici!$K170*1,IFERROR(NUMBERVALUE(CriteriTecnici!$K170,".",","),IFERROR(NUMBERVALUE(CriteriTecnici!$K170,",","."),0))),4)&amp;""),",",".")&amp;", "&amp;CHAR(34)&amp;"denominator"&amp;CHAR(34)&amp;": "&amp;SUBSTITUTE(TRIM(ROUND(IFERROR(CriteriTecnici!$L170*1,IFERROR(NUMBERVALUE(CriteriTecnici!$L170,".",","),IFERROR(NUMBERVALUE(CriteriTecnici!$L170,",","."),0))),4)&amp;""),",",".")&amp;", "&amp;CHAR(34)&amp;"flag"&amp;CHAR(34)&amp;": "&amp;SUBSTITUTE(TRIM(ROUND(IFERROR(CriteriTecnici!$M170*1,IFERROR(NUMBERVALUE(CriteriTecnici!$M170,".",","),IFERROR(NUMBERVALUE(CriteriTecnici!$M170,",","."),0))),4)&amp;""),",",".")&amp;", "&amp;CHAR(34)&amp;"rawScore"&amp;CHAR(34)&amp;": "&amp;SUBSTITUTE(TRIM(ROUND(IFERROR(CriteriTecnici!$O170*1,IFERROR(NUMBERVALUE(CriteriTecnici!$O170,".",","),IFERROR(NUMBERVALUE(CriteriTecnici!$O170,",","."),0))),4)&amp;""),",",".")&amp;CHAR(125)&amp;IF(TRUE,",",""))</f>
        <v/>
      </c>
    </row>
    <row r="272">
      <c r="A272" s="82">
        <f>IF(CriteriTecnici!$A171="","","    "&amp;CHAR(123)&amp;CHAR(34)&amp;"bidderId"&amp;CHAR(34)&amp;": "&amp;CHAR(34)&amp;SUBSTITUTE(CriteriTecnici!$A171,CHAR(34),"'")&amp;CHAR(34)&amp;", "&amp;CHAR(34)&amp;"lotId"&amp;CHAR(34)&amp;": "&amp;CHAR(34)&amp;SUBSTITUTE(CriteriTecnici!$C171,CHAR(34),"'")&amp;CHAR(34)&amp;", "&amp;CHAR(34)&amp;"criterionId"&amp;CHAR(34)&amp;": "&amp;CHAR(34)&amp;SUBSTITUTE(CriteriTecnici!$D171,CHAR(34),"'")&amp;CHAR(34)&amp;", "&amp;CHAR(34)&amp;"kind"&amp;CHAR(34)&amp;": "&amp;CHAR(34)&amp;SUBSTITUTE(CriteriTecnici!$F171,CHAR(34),"'")&amp;CHAR(34)&amp;", "&amp;CHAR(34)&amp;"value"&amp;CHAR(34)&amp;": "&amp;SUBSTITUTE(TRIM(ROUND(IFERROR(CriteriTecnici!$N171*1,IFERROR(NUMBERVALUE(CriteriTecnici!$N171,".",","),IFERROR(NUMBERVALUE(CriteriTecnici!$N171,",","."),0))),4)&amp;""),",",".")&amp;", "&amp;CHAR(34)&amp;"numerator"&amp;CHAR(34)&amp;": "&amp;SUBSTITUTE(TRIM(ROUND(IFERROR(CriteriTecnici!$K171*1,IFERROR(NUMBERVALUE(CriteriTecnici!$K171,".",","),IFERROR(NUMBERVALUE(CriteriTecnici!$K171,",","."),0))),4)&amp;""),",",".")&amp;", "&amp;CHAR(34)&amp;"denominator"&amp;CHAR(34)&amp;": "&amp;SUBSTITUTE(TRIM(ROUND(IFERROR(CriteriTecnici!$L171*1,IFERROR(NUMBERVALUE(CriteriTecnici!$L171,".",","),IFERROR(NUMBERVALUE(CriteriTecnici!$L171,",","."),0))),4)&amp;""),",",".")&amp;", "&amp;CHAR(34)&amp;"flag"&amp;CHAR(34)&amp;": "&amp;SUBSTITUTE(TRIM(ROUND(IFERROR(CriteriTecnici!$M171*1,IFERROR(NUMBERVALUE(CriteriTecnici!$M171,".",","),IFERROR(NUMBERVALUE(CriteriTecnici!$M171,",","."),0))),4)&amp;""),",",".")&amp;", "&amp;CHAR(34)&amp;"rawScore"&amp;CHAR(34)&amp;": "&amp;SUBSTITUTE(TRIM(ROUND(IFERROR(CriteriTecnici!$O171*1,IFERROR(NUMBERVALUE(CriteriTecnici!$O171,".",","),IFERROR(NUMBERVALUE(CriteriTecnici!$O171,",","."),0))),4)&amp;""),",",".")&amp;CHAR(125)&amp;IF(TRUE,",",""))</f>
        <v/>
      </c>
    </row>
    <row r="273">
      <c r="A273" s="82">
        <f>IF(CriteriTecnici!$A172="","","    "&amp;CHAR(123)&amp;CHAR(34)&amp;"bidderId"&amp;CHAR(34)&amp;": "&amp;CHAR(34)&amp;SUBSTITUTE(CriteriTecnici!$A172,CHAR(34),"'")&amp;CHAR(34)&amp;", "&amp;CHAR(34)&amp;"lotId"&amp;CHAR(34)&amp;": "&amp;CHAR(34)&amp;SUBSTITUTE(CriteriTecnici!$C172,CHAR(34),"'")&amp;CHAR(34)&amp;", "&amp;CHAR(34)&amp;"criterionId"&amp;CHAR(34)&amp;": "&amp;CHAR(34)&amp;SUBSTITUTE(CriteriTecnici!$D172,CHAR(34),"'")&amp;CHAR(34)&amp;", "&amp;CHAR(34)&amp;"kind"&amp;CHAR(34)&amp;": "&amp;CHAR(34)&amp;SUBSTITUTE(CriteriTecnici!$F172,CHAR(34),"'")&amp;CHAR(34)&amp;", "&amp;CHAR(34)&amp;"value"&amp;CHAR(34)&amp;": "&amp;SUBSTITUTE(TRIM(ROUND(IFERROR(CriteriTecnici!$N172*1,IFERROR(NUMBERVALUE(CriteriTecnici!$N172,".",","),IFERROR(NUMBERVALUE(CriteriTecnici!$N172,",","."),0))),4)&amp;""),",",".")&amp;", "&amp;CHAR(34)&amp;"numerator"&amp;CHAR(34)&amp;": "&amp;SUBSTITUTE(TRIM(ROUND(IFERROR(CriteriTecnici!$K172*1,IFERROR(NUMBERVALUE(CriteriTecnici!$K172,".",","),IFERROR(NUMBERVALUE(CriteriTecnici!$K172,",","."),0))),4)&amp;""),",",".")&amp;", "&amp;CHAR(34)&amp;"denominator"&amp;CHAR(34)&amp;": "&amp;SUBSTITUTE(TRIM(ROUND(IFERROR(CriteriTecnici!$L172*1,IFERROR(NUMBERVALUE(CriteriTecnici!$L172,".",","),IFERROR(NUMBERVALUE(CriteriTecnici!$L172,",","."),0))),4)&amp;""),",",".")&amp;", "&amp;CHAR(34)&amp;"flag"&amp;CHAR(34)&amp;": "&amp;SUBSTITUTE(TRIM(ROUND(IFERROR(CriteriTecnici!$M172*1,IFERROR(NUMBERVALUE(CriteriTecnici!$M172,".",","),IFERROR(NUMBERVALUE(CriteriTecnici!$M172,",","."),0))),4)&amp;""),",",".")&amp;", "&amp;CHAR(34)&amp;"rawScore"&amp;CHAR(34)&amp;": "&amp;SUBSTITUTE(TRIM(ROUND(IFERROR(CriteriTecnici!$O172*1,IFERROR(NUMBERVALUE(CriteriTecnici!$O172,".",","),IFERROR(NUMBERVALUE(CriteriTecnici!$O172,",","."),0))),4)&amp;""),",",".")&amp;CHAR(125)&amp;IF(TRUE,",",""))</f>
        <v/>
      </c>
    </row>
    <row r="274">
      <c r="A274" s="82">
        <f>IF(CriteriTecnici!$A173="","","    "&amp;CHAR(123)&amp;CHAR(34)&amp;"bidderId"&amp;CHAR(34)&amp;": "&amp;CHAR(34)&amp;SUBSTITUTE(CriteriTecnici!$A173,CHAR(34),"'")&amp;CHAR(34)&amp;", "&amp;CHAR(34)&amp;"lotId"&amp;CHAR(34)&amp;": "&amp;CHAR(34)&amp;SUBSTITUTE(CriteriTecnici!$C173,CHAR(34),"'")&amp;CHAR(34)&amp;", "&amp;CHAR(34)&amp;"criterionId"&amp;CHAR(34)&amp;": "&amp;CHAR(34)&amp;SUBSTITUTE(CriteriTecnici!$D173,CHAR(34),"'")&amp;CHAR(34)&amp;", "&amp;CHAR(34)&amp;"kind"&amp;CHAR(34)&amp;": "&amp;CHAR(34)&amp;SUBSTITUTE(CriteriTecnici!$F173,CHAR(34),"'")&amp;CHAR(34)&amp;", "&amp;CHAR(34)&amp;"value"&amp;CHAR(34)&amp;": "&amp;SUBSTITUTE(TRIM(ROUND(IFERROR(CriteriTecnici!$N173*1,IFERROR(NUMBERVALUE(CriteriTecnici!$N173,".",","),IFERROR(NUMBERVALUE(CriteriTecnici!$N173,",","."),0))),4)&amp;""),",",".")&amp;", "&amp;CHAR(34)&amp;"numerator"&amp;CHAR(34)&amp;": "&amp;SUBSTITUTE(TRIM(ROUND(IFERROR(CriteriTecnici!$K173*1,IFERROR(NUMBERVALUE(CriteriTecnici!$K173,".",","),IFERROR(NUMBERVALUE(CriteriTecnici!$K173,",","."),0))),4)&amp;""),",",".")&amp;", "&amp;CHAR(34)&amp;"denominator"&amp;CHAR(34)&amp;": "&amp;SUBSTITUTE(TRIM(ROUND(IFERROR(CriteriTecnici!$L173*1,IFERROR(NUMBERVALUE(CriteriTecnici!$L173,".",","),IFERROR(NUMBERVALUE(CriteriTecnici!$L173,",","."),0))),4)&amp;""),",",".")&amp;", "&amp;CHAR(34)&amp;"flag"&amp;CHAR(34)&amp;": "&amp;SUBSTITUTE(TRIM(ROUND(IFERROR(CriteriTecnici!$M173*1,IFERROR(NUMBERVALUE(CriteriTecnici!$M173,".",","),IFERROR(NUMBERVALUE(CriteriTecnici!$M173,",","."),0))),4)&amp;""),",",".")&amp;", "&amp;CHAR(34)&amp;"rawScore"&amp;CHAR(34)&amp;": "&amp;SUBSTITUTE(TRIM(ROUND(IFERROR(CriteriTecnici!$O173*1,IFERROR(NUMBERVALUE(CriteriTecnici!$O173,".",","),IFERROR(NUMBERVALUE(CriteriTecnici!$O173,",","."),0))),4)&amp;""),",",".")&amp;CHAR(125)&amp;IF(TRUE,",",""))</f>
        <v/>
      </c>
    </row>
    <row r="275">
      <c r="A275" s="82">
        <f>IF(CriteriTecnici!$A174="","","    "&amp;CHAR(123)&amp;CHAR(34)&amp;"bidderId"&amp;CHAR(34)&amp;": "&amp;CHAR(34)&amp;SUBSTITUTE(CriteriTecnici!$A174,CHAR(34),"'")&amp;CHAR(34)&amp;", "&amp;CHAR(34)&amp;"lotId"&amp;CHAR(34)&amp;": "&amp;CHAR(34)&amp;SUBSTITUTE(CriteriTecnici!$C174,CHAR(34),"'")&amp;CHAR(34)&amp;", "&amp;CHAR(34)&amp;"criterionId"&amp;CHAR(34)&amp;": "&amp;CHAR(34)&amp;SUBSTITUTE(CriteriTecnici!$D174,CHAR(34),"'")&amp;CHAR(34)&amp;", "&amp;CHAR(34)&amp;"kind"&amp;CHAR(34)&amp;": "&amp;CHAR(34)&amp;SUBSTITUTE(CriteriTecnici!$F174,CHAR(34),"'")&amp;CHAR(34)&amp;", "&amp;CHAR(34)&amp;"value"&amp;CHAR(34)&amp;": "&amp;SUBSTITUTE(TRIM(ROUND(IFERROR(CriteriTecnici!$N174*1,IFERROR(NUMBERVALUE(CriteriTecnici!$N174,".",","),IFERROR(NUMBERVALUE(CriteriTecnici!$N174,",","."),0))),4)&amp;""),",",".")&amp;", "&amp;CHAR(34)&amp;"numerator"&amp;CHAR(34)&amp;": "&amp;SUBSTITUTE(TRIM(ROUND(IFERROR(CriteriTecnici!$K174*1,IFERROR(NUMBERVALUE(CriteriTecnici!$K174,".",","),IFERROR(NUMBERVALUE(CriteriTecnici!$K174,",","."),0))),4)&amp;""),",",".")&amp;", "&amp;CHAR(34)&amp;"denominator"&amp;CHAR(34)&amp;": "&amp;SUBSTITUTE(TRIM(ROUND(IFERROR(CriteriTecnici!$L174*1,IFERROR(NUMBERVALUE(CriteriTecnici!$L174,".",","),IFERROR(NUMBERVALUE(CriteriTecnici!$L174,",","."),0))),4)&amp;""),",",".")&amp;", "&amp;CHAR(34)&amp;"flag"&amp;CHAR(34)&amp;": "&amp;SUBSTITUTE(TRIM(ROUND(IFERROR(CriteriTecnici!$M174*1,IFERROR(NUMBERVALUE(CriteriTecnici!$M174,".",","),IFERROR(NUMBERVALUE(CriteriTecnici!$M174,",","."),0))),4)&amp;""),",",".")&amp;", "&amp;CHAR(34)&amp;"rawScore"&amp;CHAR(34)&amp;": "&amp;SUBSTITUTE(TRIM(ROUND(IFERROR(CriteriTecnici!$O174*1,IFERROR(NUMBERVALUE(CriteriTecnici!$O174,".",","),IFERROR(NUMBERVALUE(CriteriTecnici!$O174,",","."),0))),4)&amp;""),",",".")&amp;CHAR(125)&amp;IF(TRUE,",",""))</f>
        <v/>
      </c>
    </row>
    <row r="276">
      <c r="A276" s="82">
        <f>IF(CriteriTecnici!$A175="","","    "&amp;CHAR(123)&amp;CHAR(34)&amp;"bidderId"&amp;CHAR(34)&amp;": "&amp;CHAR(34)&amp;SUBSTITUTE(CriteriTecnici!$A175,CHAR(34),"'")&amp;CHAR(34)&amp;", "&amp;CHAR(34)&amp;"lotId"&amp;CHAR(34)&amp;": "&amp;CHAR(34)&amp;SUBSTITUTE(CriteriTecnici!$C175,CHAR(34),"'")&amp;CHAR(34)&amp;", "&amp;CHAR(34)&amp;"criterionId"&amp;CHAR(34)&amp;": "&amp;CHAR(34)&amp;SUBSTITUTE(CriteriTecnici!$D175,CHAR(34),"'")&amp;CHAR(34)&amp;", "&amp;CHAR(34)&amp;"kind"&amp;CHAR(34)&amp;": "&amp;CHAR(34)&amp;SUBSTITUTE(CriteriTecnici!$F175,CHAR(34),"'")&amp;CHAR(34)&amp;", "&amp;CHAR(34)&amp;"value"&amp;CHAR(34)&amp;": "&amp;SUBSTITUTE(TRIM(ROUND(IFERROR(CriteriTecnici!$N175*1,IFERROR(NUMBERVALUE(CriteriTecnici!$N175,".",","),IFERROR(NUMBERVALUE(CriteriTecnici!$N175,",","."),0))),4)&amp;""),",",".")&amp;", "&amp;CHAR(34)&amp;"numerator"&amp;CHAR(34)&amp;": "&amp;SUBSTITUTE(TRIM(ROUND(IFERROR(CriteriTecnici!$K175*1,IFERROR(NUMBERVALUE(CriteriTecnici!$K175,".",","),IFERROR(NUMBERVALUE(CriteriTecnici!$K175,",","."),0))),4)&amp;""),",",".")&amp;", "&amp;CHAR(34)&amp;"denominator"&amp;CHAR(34)&amp;": "&amp;SUBSTITUTE(TRIM(ROUND(IFERROR(CriteriTecnici!$L175*1,IFERROR(NUMBERVALUE(CriteriTecnici!$L175,".",","),IFERROR(NUMBERVALUE(CriteriTecnici!$L175,",","."),0))),4)&amp;""),",",".")&amp;", "&amp;CHAR(34)&amp;"flag"&amp;CHAR(34)&amp;": "&amp;SUBSTITUTE(TRIM(ROUND(IFERROR(CriteriTecnici!$M175*1,IFERROR(NUMBERVALUE(CriteriTecnici!$M175,".",","),IFERROR(NUMBERVALUE(CriteriTecnici!$M175,",","."),0))),4)&amp;""),",",".")&amp;", "&amp;CHAR(34)&amp;"rawScore"&amp;CHAR(34)&amp;": "&amp;SUBSTITUTE(TRIM(ROUND(IFERROR(CriteriTecnici!$O175*1,IFERROR(NUMBERVALUE(CriteriTecnici!$O175,".",","),IFERROR(NUMBERVALUE(CriteriTecnici!$O175,",","."),0))),4)&amp;""),",",".")&amp;CHAR(125)&amp;IF(TRUE,",",""))</f>
        <v/>
      </c>
    </row>
    <row r="277">
      <c r="A277" s="82">
        <f>IF(CriteriTecnici!$A176="","","    "&amp;CHAR(123)&amp;CHAR(34)&amp;"bidderId"&amp;CHAR(34)&amp;": "&amp;CHAR(34)&amp;SUBSTITUTE(CriteriTecnici!$A176,CHAR(34),"'")&amp;CHAR(34)&amp;", "&amp;CHAR(34)&amp;"lotId"&amp;CHAR(34)&amp;": "&amp;CHAR(34)&amp;SUBSTITUTE(CriteriTecnici!$C176,CHAR(34),"'")&amp;CHAR(34)&amp;", "&amp;CHAR(34)&amp;"criterionId"&amp;CHAR(34)&amp;": "&amp;CHAR(34)&amp;SUBSTITUTE(CriteriTecnici!$D176,CHAR(34),"'")&amp;CHAR(34)&amp;", "&amp;CHAR(34)&amp;"kind"&amp;CHAR(34)&amp;": "&amp;CHAR(34)&amp;SUBSTITUTE(CriteriTecnici!$F176,CHAR(34),"'")&amp;CHAR(34)&amp;", "&amp;CHAR(34)&amp;"value"&amp;CHAR(34)&amp;": "&amp;SUBSTITUTE(TRIM(ROUND(IFERROR(CriteriTecnici!$N176*1,IFERROR(NUMBERVALUE(CriteriTecnici!$N176,".",","),IFERROR(NUMBERVALUE(CriteriTecnici!$N176,",","."),0))),4)&amp;""),",",".")&amp;", "&amp;CHAR(34)&amp;"numerator"&amp;CHAR(34)&amp;": "&amp;SUBSTITUTE(TRIM(ROUND(IFERROR(CriteriTecnici!$K176*1,IFERROR(NUMBERVALUE(CriteriTecnici!$K176,".",","),IFERROR(NUMBERVALUE(CriteriTecnici!$K176,",","."),0))),4)&amp;""),",",".")&amp;", "&amp;CHAR(34)&amp;"denominator"&amp;CHAR(34)&amp;": "&amp;SUBSTITUTE(TRIM(ROUND(IFERROR(CriteriTecnici!$L176*1,IFERROR(NUMBERVALUE(CriteriTecnici!$L176,".",","),IFERROR(NUMBERVALUE(CriteriTecnici!$L176,",","."),0))),4)&amp;""),",",".")&amp;", "&amp;CHAR(34)&amp;"flag"&amp;CHAR(34)&amp;": "&amp;SUBSTITUTE(TRIM(ROUND(IFERROR(CriteriTecnici!$M176*1,IFERROR(NUMBERVALUE(CriteriTecnici!$M176,".",","),IFERROR(NUMBERVALUE(CriteriTecnici!$M176,",","."),0))),4)&amp;""),",",".")&amp;", "&amp;CHAR(34)&amp;"rawScore"&amp;CHAR(34)&amp;": "&amp;SUBSTITUTE(TRIM(ROUND(IFERROR(CriteriTecnici!$O176*1,IFERROR(NUMBERVALUE(CriteriTecnici!$O176,".",","),IFERROR(NUMBERVALUE(CriteriTecnici!$O176,",","."),0))),4)&amp;""),",",".")&amp;CHAR(125)&amp;IF(TRUE,",",""))</f>
        <v/>
      </c>
    </row>
    <row r="278">
      <c r="A278" s="82">
        <f>IF(CriteriTecnici!$A177="","","    "&amp;CHAR(123)&amp;CHAR(34)&amp;"bidderId"&amp;CHAR(34)&amp;": "&amp;CHAR(34)&amp;SUBSTITUTE(CriteriTecnici!$A177,CHAR(34),"'")&amp;CHAR(34)&amp;", "&amp;CHAR(34)&amp;"lotId"&amp;CHAR(34)&amp;": "&amp;CHAR(34)&amp;SUBSTITUTE(CriteriTecnici!$C177,CHAR(34),"'")&amp;CHAR(34)&amp;", "&amp;CHAR(34)&amp;"criterionId"&amp;CHAR(34)&amp;": "&amp;CHAR(34)&amp;SUBSTITUTE(CriteriTecnici!$D177,CHAR(34),"'")&amp;CHAR(34)&amp;", "&amp;CHAR(34)&amp;"kind"&amp;CHAR(34)&amp;": "&amp;CHAR(34)&amp;SUBSTITUTE(CriteriTecnici!$F177,CHAR(34),"'")&amp;CHAR(34)&amp;", "&amp;CHAR(34)&amp;"value"&amp;CHAR(34)&amp;": "&amp;SUBSTITUTE(TRIM(ROUND(IFERROR(CriteriTecnici!$N177*1,IFERROR(NUMBERVALUE(CriteriTecnici!$N177,".",","),IFERROR(NUMBERVALUE(CriteriTecnici!$N177,",","."),0))),4)&amp;""),",",".")&amp;", "&amp;CHAR(34)&amp;"numerator"&amp;CHAR(34)&amp;": "&amp;SUBSTITUTE(TRIM(ROUND(IFERROR(CriteriTecnici!$K177*1,IFERROR(NUMBERVALUE(CriteriTecnici!$K177,".",","),IFERROR(NUMBERVALUE(CriteriTecnici!$K177,",","."),0))),4)&amp;""),",",".")&amp;", "&amp;CHAR(34)&amp;"denominator"&amp;CHAR(34)&amp;": "&amp;SUBSTITUTE(TRIM(ROUND(IFERROR(CriteriTecnici!$L177*1,IFERROR(NUMBERVALUE(CriteriTecnici!$L177,".",","),IFERROR(NUMBERVALUE(CriteriTecnici!$L177,",","."),0))),4)&amp;""),",",".")&amp;", "&amp;CHAR(34)&amp;"flag"&amp;CHAR(34)&amp;": "&amp;SUBSTITUTE(TRIM(ROUND(IFERROR(CriteriTecnici!$M177*1,IFERROR(NUMBERVALUE(CriteriTecnici!$M177,".",","),IFERROR(NUMBERVALUE(CriteriTecnici!$M177,",","."),0))),4)&amp;""),",",".")&amp;", "&amp;CHAR(34)&amp;"rawScore"&amp;CHAR(34)&amp;": "&amp;SUBSTITUTE(TRIM(ROUND(IFERROR(CriteriTecnici!$O177*1,IFERROR(NUMBERVALUE(CriteriTecnici!$O177,".",","),IFERROR(NUMBERVALUE(CriteriTecnici!$O177,",","."),0))),4)&amp;""),",",".")&amp;CHAR(125)&amp;IF(TRUE,",",""))</f>
        <v/>
      </c>
    </row>
    <row r="279">
      <c r="A279" s="82">
        <f>IF(CriteriTecnici!$A178="","","    "&amp;CHAR(123)&amp;CHAR(34)&amp;"bidderId"&amp;CHAR(34)&amp;": "&amp;CHAR(34)&amp;SUBSTITUTE(CriteriTecnici!$A178,CHAR(34),"'")&amp;CHAR(34)&amp;", "&amp;CHAR(34)&amp;"lotId"&amp;CHAR(34)&amp;": "&amp;CHAR(34)&amp;SUBSTITUTE(CriteriTecnici!$C178,CHAR(34),"'")&amp;CHAR(34)&amp;", "&amp;CHAR(34)&amp;"criterionId"&amp;CHAR(34)&amp;": "&amp;CHAR(34)&amp;SUBSTITUTE(CriteriTecnici!$D178,CHAR(34),"'")&amp;CHAR(34)&amp;", "&amp;CHAR(34)&amp;"kind"&amp;CHAR(34)&amp;": "&amp;CHAR(34)&amp;SUBSTITUTE(CriteriTecnici!$F178,CHAR(34),"'")&amp;CHAR(34)&amp;", "&amp;CHAR(34)&amp;"value"&amp;CHAR(34)&amp;": "&amp;SUBSTITUTE(TRIM(ROUND(IFERROR(CriteriTecnici!$N178*1,IFERROR(NUMBERVALUE(CriteriTecnici!$N178,".",","),IFERROR(NUMBERVALUE(CriteriTecnici!$N178,",","."),0))),4)&amp;""),",",".")&amp;", "&amp;CHAR(34)&amp;"numerator"&amp;CHAR(34)&amp;": "&amp;SUBSTITUTE(TRIM(ROUND(IFERROR(CriteriTecnici!$K178*1,IFERROR(NUMBERVALUE(CriteriTecnici!$K178,".",","),IFERROR(NUMBERVALUE(CriteriTecnici!$K178,",","."),0))),4)&amp;""),",",".")&amp;", "&amp;CHAR(34)&amp;"denominator"&amp;CHAR(34)&amp;": "&amp;SUBSTITUTE(TRIM(ROUND(IFERROR(CriteriTecnici!$L178*1,IFERROR(NUMBERVALUE(CriteriTecnici!$L178,".",","),IFERROR(NUMBERVALUE(CriteriTecnici!$L178,",","."),0))),4)&amp;""),",",".")&amp;", "&amp;CHAR(34)&amp;"flag"&amp;CHAR(34)&amp;": "&amp;SUBSTITUTE(TRIM(ROUND(IFERROR(CriteriTecnici!$M178*1,IFERROR(NUMBERVALUE(CriteriTecnici!$M178,".",","),IFERROR(NUMBERVALUE(CriteriTecnici!$M178,",","."),0))),4)&amp;""),",",".")&amp;", "&amp;CHAR(34)&amp;"rawScore"&amp;CHAR(34)&amp;": "&amp;SUBSTITUTE(TRIM(ROUND(IFERROR(CriteriTecnici!$O178*1,IFERROR(NUMBERVALUE(CriteriTecnici!$O178,".",","),IFERROR(NUMBERVALUE(CriteriTecnici!$O178,",","."),0))),4)&amp;""),",",".")&amp;CHAR(125)&amp;IF(TRUE,",",""))</f>
        <v/>
      </c>
    </row>
    <row r="280">
      <c r="A280" s="82">
        <f>IF(CriteriTecnici!$A179="","","    "&amp;CHAR(123)&amp;CHAR(34)&amp;"bidderId"&amp;CHAR(34)&amp;": "&amp;CHAR(34)&amp;SUBSTITUTE(CriteriTecnici!$A179,CHAR(34),"'")&amp;CHAR(34)&amp;", "&amp;CHAR(34)&amp;"lotId"&amp;CHAR(34)&amp;": "&amp;CHAR(34)&amp;SUBSTITUTE(CriteriTecnici!$C179,CHAR(34),"'")&amp;CHAR(34)&amp;", "&amp;CHAR(34)&amp;"criterionId"&amp;CHAR(34)&amp;": "&amp;CHAR(34)&amp;SUBSTITUTE(CriteriTecnici!$D179,CHAR(34),"'")&amp;CHAR(34)&amp;", "&amp;CHAR(34)&amp;"kind"&amp;CHAR(34)&amp;": "&amp;CHAR(34)&amp;SUBSTITUTE(CriteriTecnici!$F179,CHAR(34),"'")&amp;CHAR(34)&amp;", "&amp;CHAR(34)&amp;"value"&amp;CHAR(34)&amp;": "&amp;SUBSTITUTE(TRIM(ROUND(IFERROR(CriteriTecnici!$N179*1,IFERROR(NUMBERVALUE(CriteriTecnici!$N179,".",","),IFERROR(NUMBERVALUE(CriteriTecnici!$N179,",","."),0))),4)&amp;""),",",".")&amp;", "&amp;CHAR(34)&amp;"numerator"&amp;CHAR(34)&amp;": "&amp;SUBSTITUTE(TRIM(ROUND(IFERROR(CriteriTecnici!$K179*1,IFERROR(NUMBERVALUE(CriteriTecnici!$K179,".",","),IFERROR(NUMBERVALUE(CriteriTecnici!$K179,",","."),0))),4)&amp;""),",",".")&amp;", "&amp;CHAR(34)&amp;"denominator"&amp;CHAR(34)&amp;": "&amp;SUBSTITUTE(TRIM(ROUND(IFERROR(CriteriTecnici!$L179*1,IFERROR(NUMBERVALUE(CriteriTecnici!$L179,".",","),IFERROR(NUMBERVALUE(CriteriTecnici!$L179,",","."),0))),4)&amp;""),",",".")&amp;", "&amp;CHAR(34)&amp;"flag"&amp;CHAR(34)&amp;": "&amp;SUBSTITUTE(TRIM(ROUND(IFERROR(CriteriTecnici!$M179*1,IFERROR(NUMBERVALUE(CriteriTecnici!$M179,".",","),IFERROR(NUMBERVALUE(CriteriTecnici!$M179,",","."),0))),4)&amp;""),",",".")&amp;", "&amp;CHAR(34)&amp;"rawScore"&amp;CHAR(34)&amp;": "&amp;SUBSTITUTE(TRIM(ROUND(IFERROR(CriteriTecnici!$O179*1,IFERROR(NUMBERVALUE(CriteriTecnici!$O179,".",","),IFERROR(NUMBERVALUE(CriteriTecnici!$O179,",","."),0))),4)&amp;""),",",".")&amp;CHAR(125)&amp;IF(TRUE,",",""))</f>
        <v/>
      </c>
    </row>
    <row r="281">
      <c r="A281" s="82">
        <f>IF(CriteriTecnici!$A180="","","    "&amp;CHAR(123)&amp;CHAR(34)&amp;"bidderId"&amp;CHAR(34)&amp;": "&amp;CHAR(34)&amp;SUBSTITUTE(CriteriTecnici!$A180,CHAR(34),"'")&amp;CHAR(34)&amp;", "&amp;CHAR(34)&amp;"lotId"&amp;CHAR(34)&amp;": "&amp;CHAR(34)&amp;SUBSTITUTE(CriteriTecnici!$C180,CHAR(34),"'")&amp;CHAR(34)&amp;", "&amp;CHAR(34)&amp;"criterionId"&amp;CHAR(34)&amp;": "&amp;CHAR(34)&amp;SUBSTITUTE(CriteriTecnici!$D180,CHAR(34),"'")&amp;CHAR(34)&amp;", "&amp;CHAR(34)&amp;"kind"&amp;CHAR(34)&amp;": "&amp;CHAR(34)&amp;SUBSTITUTE(CriteriTecnici!$F180,CHAR(34),"'")&amp;CHAR(34)&amp;", "&amp;CHAR(34)&amp;"value"&amp;CHAR(34)&amp;": "&amp;SUBSTITUTE(TRIM(ROUND(IFERROR(CriteriTecnici!$N180*1,IFERROR(NUMBERVALUE(CriteriTecnici!$N180,".",","),IFERROR(NUMBERVALUE(CriteriTecnici!$N180,",","."),0))),4)&amp;""),",",".")&amp;", "&amp;CHAR(34)&amp;"numerator"&amp;CHAR(34)&amp;": "&amp;SUBSTITUTE(TRIM(ROUND(IFERROR(CriteriTecnici!$K180*1,IFERROR(NUMBERVALUE(CriteriTecnici!$K180,".",","),IFERROR(NUMBERVALUE(CriteriTecnici!$K180,",","."),0))),4)&amp;""),",",".")&amp;", "&amp;CHAR(34)&amp;"denominator"&amp;CHAR(34)&amp;": "&amp;SUBSTITUTE(TRIM(ROUND(IFERROR(CriteriTecnici!$L180*1,IFERROR(NUMBERVALUE(CriteriTecnici!$L180,".",","),IFERROR(NUMBERVALUE(CriteriTecnici!$L180,",","."),0))),4)&amp;""),",",".")&amp;", "&amp;CHAR(34)&amp;"flag"&amp;CHAR(34)&amp;": "&amp;SUBSTITUTE(TRIM(ROUND(IFERROR(CriteriTecnici!$M180*1,IFERROR(NUMBERVALUE(CriteriTecnici!$M180,".",","),IFERROR(NUMBERVALUE(CriteriTecnici!$M180,",","."),0))),4)&amp;""),",",".")&amp;", "&amp;CHAR(34)&amp;"rawScore"&amp;CHAR(34)&amp;": "&amp;SUBSTITUTE(TRIM(ROUND(IFERROR(CriteriTecnici!$O180*1,IFERROR(NUMBERVALUE(CriteriTecnici!$O180,".",","),IFERROR(NUMBERVALUE(CriteriTecnici!$O180,",","."),0))),4)&amp;""),",",".")&amp;CHAR(125)&amp;IF(TRUE,",",""))</f>
        <v/>
      </c>
    </row>
    <row r="282">
      <c r="A282" s="82">
        <f>IF(CriteriTecnici!$A181="","","    "&amp;CHAR(123)&amp;CHAR(34)&amp;"bidderId"&amp;CHAR(34)&amp;": "&amp;CHAR(34)&amp;SUBSTITUTE(CriteriTecnici!$A181,CHAR(34),"'")&amp;CHAR(34)&amp;", "&amp;CHAR(34)&amp;"lotId"&amp;CHAR(34)&amp;": "&amp;CHAR(34)&amp;SUBSTITUTE(CriteriTecnici!$C181,CHAR(34),"'")&amp;CHAR(34)&amp;", "&amp;CHAR(34)&amp;"criterionId"&amp;CHAR(34)&amp;": "&amp;CHAR(34)&amp;SUBSTITUTE(CriteriTecnici!$D181,CHAR(34),"'")&amp;CHAR(34)&amp;", "&amp;CHAR(34)&amp;"kind"&amp;CHAR(34)&amp;": "&amp;CHAR(34)&amp;SUBSTITUTE(CriteriTecnici!$F181,CHAR(34),"'")&amp;CHAR(34)&amp;", "&amp;CHAR(34)&amp;"value"&amp;CHAR(34)&amp;": "&amp;SUBSTITUTE(TRIM(ROUND(IFERROR(CriteriTecnici!$N181*1,IFERROR(NUMBERVALUE(CriteriTecnici!$N181,".",","),IFERROR(NUMBERVALUE(CriteriTecnici!$N181,",","."),0))),4)&amp;""),",",".")&amp;", "&amp;CHAR(34)&amp;"numerator"&amp;CHAR(34)&amp;": "&amp;SUBSTITUTE(TRIM(ROUND(IFERROR(CriteriTecnici!$K181*1,IFERROR(NUMBERVALUE(CriteriTecnici!$K181,".",","),IFERROR(NUMBERVALUE(CriteriTecnici!$K181,",","."),0))),4)&amp;""),",",".")&amp;", "&amp;CHAR(34)&amp;"denominator"&amp;CHAR(34)&amp;": "&amp;SUBSTITUTE(TRIM(ROUND(IFERROR(CriteriTecnici!$L181*1,IFERROR(NUMBERVALUE(CriteriTecnici!$L181,".",","),IFERROR(NUMBERVALUE(CriteriTecnici!$L181,",","."),0))),4)&amp;""),",",".")&amp;", "&amp;CHAR(34)&amp;"flag"&amp;CHAR(34)&amp;": "&amp;SUBSTITUTE(TRIM(ROUND(IFERROR(CriteriTecnici!$M181*1,IFERROR(NUMBERVALUE(CriteriTecnici!$M181,".",","),IFERROR(NUMBERVALUE(CriteriTecnici!$M181,",","."),0))),4)&amp;""),",",".")&amp;", "&amp;CHAR(34)&amp;"rawScore"&amp;CHAR(34)&amp;": "&amp;SUBSTITUTE(TRIM(ROUND(IFERROR(CriteriTecnici!$O181*1,IFERROR(NUMBERVALUE(CriteriTecnici!$O181,".",","),IFERROR(NUMBERVALUE(CriteriTecnici!$O181,",","."),0))),4)&amp;""),",",".")&amp;CHAR(125)&amp;IF(TRUE,",",""))</f>
        <v/>
      </c>
    </row>
    <row r="283">
      <c r="A283" s="82">
        <f>IF(CriteriTecnici!$A182="","","    "&amp;CHAR(123)&amp;CHAR(34)&amp;"bidderId"&amp;CHAR(34)&amp;": "&amp;CHAR(34)&amp;SUBSTITUTE(CriteriTecnici!$A182,CHAR(34),"'")&amp;CHAR(34)&amp;", "&amp;CHAR(34)&amp;"lotId"&amp;CHAR(34)&amp;": "&amp;CHAR(34)&amp;SUBSTITUTE(CriteriTecnici!$C182,CHAR(34),"'")&amp;CHAR(34)&amp;", "&amp;CHAR(34)&amp;"criterionId"&amp;CHAR(34)&amp;": "&amp;CHAR(34)&amp;SUBSTITUTE(CriteriTecnici!$D182,CHAR(34),"'")&amp;CHAR(34)&amp;", "&amp;CHAR(34)&amp;"kind"&amp;CHAR(34)&amp;": "&amp;CHAR(34)&amp;SUBSTITUTE(CriteriTecnici!$F182,CHAR(34),"'")&amp;CHAR(34)&amp;", "&amp;CHAR(34)&amp;"value"&amp;CHAR(34)&amp;": "&amp;SUBSTITUTE(TRIM(ROUND(IFERROR(CriteriTecnici!$N182*1,IFERROR(NUMBERVALUE(CriteriTecnici!$N182,".",","),IFERROR(NUMBERVALUE(CriteriTecnici!$N182,",","."),0))),4)&amp;""),",",".")&amp;", "&amp;CHAR(34)&amp;"numerator"&amp;CHAR(34)&amp;": "&amp;SUBSTITUTE(TRIM(ROUND(IFERROR(CriteriTecnici!$K182*1,IFERROR(NUMBERVALUE(CriteriTecnici!$K182,".",","),IFERROR(NUMBERVALUE(CriteriTecnici!$K182,",","."),0))),4)&amp;""),",",".")&amp;", "&amp;CHAR(34)&amp;"denominator"&amp;CHAR(34)&amp;": "&amp;SUBSTITUTE(TRIM(ROUND(IFERROR(CriteriTecnici!$L182*1,IFERROR(NUMBERVALUE(CriteriTecnici!$L182,".",","),IFERROR(NUMBERVALUE(CriteriTecnici!$L182,",","."),0))),4)&amp;""),",",".")&amp;", "&amp;CHAR(34)&amp;"flag"&amp;CHAR(34)&amp;": "&amp;SUBSTITUTE(TRIM(ROUND(IFERROR(CriteriTecnici!$M182*1,IFERROR(NUMBERVALUE(CriteriTecnici!$M182,".",","),IFERROR(NUMBERVALUE(CriteriTecnici!$M182,",","."),0))),4)&amp;""),",",".")&amp;", "&amp;CHAR(34)&amp;"rawScore"&amp;CHAR(34)&amp;": "&amp;SUBSTITUTE(TRIM(ROUND(IFERROR(CriteriTecnici!$O182*1,IFERROR(NUMBERVALUE(CriteriTecnici!$O182,".",","),IFERROR(NUMBERVALUE(CriteriTecnici!$O182,",","."),0))),4)&amp;""),",",".")&amp;CHAR(125)&amp;IF(TRUE,",",""))</f>
        <v/>
      </c>
    </row>
    <row r="284">
      <c r="A284" s="82">
        <f>IF(CriteriTecnici!$A183="","","    "&amp;CHAR(123)&amp;CHAR(34)&amp;"bidderId"&amp;CHAR(34)&amp;": "&amp;CHAR(34)&amp;SUBSTITUTE(CriteriTecnici!$A183,CHAR(34),"'")&amp;CHAR(34)&amp;", "&amp;CHAR(34)&amp;"lotId"&amp;CHAR(34)&amp;": "&amp;CHAR(34)&amp;SUBSTITUTE(CriteriTecnici!$C183,CHAR(34),"'")&amp;CHAR(34)&amp;", "&amp;CHAR(34)&amp;"criterionId"&amp;CHAR(34)&amp;": "&amp;CHAR(34)&amp;SUBSTITUTE(CriteriTecnici!$D183,CHAR(34),"'")&amp;CHAR(34)&amp;", "&amp;CHAR(34)&amp;"kind"&amp;CHAR(34)&amp;": "&amp;CHAR(34)&amp;SUBSTITUTE(CriteriTecnici!$F183,CHAR(34),"'")&amp;CHAR(34)&amp;", "&amp;CHAR(34)&amp;"value"&amp;CHAR(34)&amp;": "&amp;SUBSTITUTE(TRIM(ROUND(IFERROR(CriteriTecnici!$N183*1,IFERROR(NUMBERVALUE(CriteriTecnici!$N183,".",","),IFERROR(NUMBERVALUE(CriteriTecnici!$N183,",","."),0))),4)&amp;""),",",".")&amp;", "&amp;CHAR(34)&amp;"numerator"&amp;CHAR(34)&amp;": "&amp;SUBSTITUTE(TRIM(ROUND(IFERROR(CriteriTecnici!$K183*1,IFERROR(NUMBERVALUE(CriteriTecnici!$K183,".",","),IFERROR(NUMBERVALUE(CriteriTecnici!$K183,",","."),0))),4)&amp;""),",",".")&amp;", "&amp;CHAR(34)&amp;"denominator"&amp;CHAR(34)&amp;": "&amp;SUBSTITUTE(TRIM(ROUND(IFERROR(CriteriTecnici!$L183*1,IFERROR(NUMBERVALUE(CriteriTecnici!$L183,".",","),IFERROR(NUMBERVALUE(CriteriTecnici!$L183,",","."),0))),4)&amp;""),",",".")&amp;", "&amp;CHAR(34)&amp;"flag"&amp;CHAR(34)&amp;": "&amp;SUBSTITUTE(TRIM(ROUND(IFERROR(CriteriTecnici!$M183*1,IFERROR(NUMBERVALUE(CriteriTecnici!$M183,".",","),IFERROR(NUMBERVALUE(CriteriTecnici!$M183,",","."),0))),4)&amp;""),",",".")&amp;", "&amp;CHAR(34)&amp;"rawScore"&amp;CHAR(34)&amp;": "&amp;SUBSTITUTE(TRIM(ROUND(IFERROR(CriteriTecnici!$O183*1,IFERROR(NUMBERVALUE(CriteriTecnici!$O183,".",","),IFERROR(NUMBERVALUE(CriteriTecnici!$O183,",","."),0))),4)&amp;""),",",".")&amp;CHAR(125)&amp;IF(TRUE,",",""))</f>
        <v/>
      </c>
    </row>
    <row r="285">
      <c r="A285" s="82">
        <f>IF(CriteriTecnici!$A184="","","    "&amp;CHAR(123)&amp;CHAR(34)&amp;"bidderId"&amp;CHAR(34)&amp;": "&amp;CHAR(34)&amp;SUBSTITUTE(CriteriTecnici!$A184,CHAR(34),"'")&amp;CHAR(34)&amp;", "&amp;CHAR(34)&amp;"lotId"&amp;CHAR(34)&amp;": "&amp;CHAR(34)&amp;SUBSTITUTE(CriteriTecnici!$C184,CHAR(34),"'")&amp;CHAR(34)&amp;", "&amp;CHAR(34)&amp;"criterionId"&amp;CHAR(34)&amp;": "&amp;CHAR(34)&amp;SUBSTITUTE(CriteriTecnici!$D184,CHAR(34),"'")&amp;CHAR(34)&amp;", "&amp;CHAR(34)&amp;"kind"&amp;CHAR(34)&amp;": "&amp;CHAR(34)&amp;SUBSTITUTE(CriteriTecnici!$F184,CHAR(34),"'")&amp;CHAR(34)&amp;", "&amp;CHAR(34)&amp;"value"&amp;CHAR(34)&amp;": "&amp;SUBSTITUTE(TRIM(ROUND(IFERROR(CriteriTecnici!$N184*1,IFERROR(NUMBERVALUE(CriteriTecnici!$N184,".",","),IFERROR(NUMBERVALUE(CriteriTecnici!$N184,",","."),0))),4)&amp;""),",",".")&amp;", "&amp;CHAR(34)&amp;"numerator"&amp;CHAR(34)&amp;": "&amp;SUBSTITUTE(TRIM(ROUND(IFERROR(CriteriTecnici!$K184*1,IFERROR(NUMBERVALUE(CriteriTecnici!$K184,".",","),IFERROR(NUMBERVALUE(CriteriTecnici!$K184,",","."),0))),4)&amp;""),",",".")&amp;", "&amp;CHAR(34)&amp;"denominator"&amp;CHAR(34)&amp;": "&amp;SUBSTITUTE(TRIM(ROUND(IFERROR(CriteriTecnici!$L184*1,IFERROR(NUMBERVALUE(CriteriTecnici!$L184,".",","),IFERROR(NUMBERVALUE(CriteriTecnici!$L184,",","."),0))),4)&amp;""),",",".")&amp;", "&amp;CHAR(34)&amp;"flag"&amp;CHAR(34)&amp;": "&amp;SUBSTITUTE(TRIM(ROUND(IFERROR(CriteriTecnici!$M184*1,IFERROR(NUMBERVALUE(CriteriTecnici!$M184,".",","),IFERROR(NUMBERVALUE(CriteriTecnici!$M184,",","."),0))),4)&amp;""),",",".")&amp;", "&amp;CHAR(34)&amp;"rawScore"&amp;CHAR(34)&amp;": "&amp;SUBSTITUTE(TRIM(ROUND(IFERROR(CriteriTecnici!$O184*1,IFERROR(NUMBERVALUE(CriteriTecnici!$O184,".",","),IFERROR(NUMBERVALUE(CriteriTecnici!$O184,",","."),0))),4)&amp;""),",",".")&amp;CHAR(125)&amp;IF(TRUE,",",""))</f>
        <v/>
      </c>
    </row>
    <row r="286">
      <c r="A286" s="82">
        <f>IF(CriteriTecnici!$A185="","","    "&amp;CHAR(123)&amp;CHAR(34)&amp;"bidderId"&amp;CHAR(34)&amp;": "&amp;CHAR(34)&amp;SUBSTITUTE(CriteriTecnici!$A185,CHAR(34),"'")&amp;CHAR(34)&amp;", "&amp;CHAR(34)&amp;"lotId"&amp;CHAR(34)&amp;": "&amp;CHAR(34)&amp;SUBSTITUTE(CriteriTecnici!$C185,CHAR(34),"'")&amp;CHAR(34)&amp;", "&amp;CHAR(34)&amp;"criterionId"&amp;CHAR(34)&amp;": "&amp;CHAR(34)&amp;SUBSTITUTE(CriteriTecnici!$D185,CHAR(34),"'")&amp;CHAR(34)&amp;", "&amp;CHAR(34)&amp;"kind"&amp;CHAR(34)&amp;": "&amp;CHAR(34)&amp;SUBSTITUTE(CriteriTecnici!$F185,CHAR(34),"'")&amp;CHAR(34)&amp;", "&amp;CHAR(34)&amp;"value"&amp;CHAR(34)&amp;": "&amp;SUBSTITUTE(TRIM(ROUND(IFERROR(CriteriTecnici!$N185*1,IFERROR(NUMBERVALUE(CriteriTecnici!$N185,".",","),IFERROR(NUMBERVALUE(CriteriTecnici!$N185,",","."),0))),4)&amp;""),",",".")&amp;", "&amp;CHAR(34)&amp;"numerator"&amp;CHAR(34)&amp;": "&amp;SUBSTITUTE(TRIM(ROUND(IFERROR(CriteriTecnici!$K185*1,IFERROR(NUMBERVALUE(CriteriTecnici!$K185,".",","),IFERROR(NUMBERVALUE(CriteriTecnici!$K185,",","."),0))),4)&amp;""),",",".")&amp;", "&amp;CHAR(34)&amp;"denominator"&amp;CHAR(34)&amp;": "&amp;SUBSTITUTE(TRIM(ROUND(IFERROR(CriteriTecnici!$L185*1,IFERROR(NUMBERVALUE(CriteriTecnici!$L185,".",","),IFERROR(NUMBERVALUE(CriteriTecnici!$L185,",","."),0))),4)&amp;""),",",".")&amp;", "&amp;CHAR(34)&amp;"flag"&amp;CHAR(34)&amp;": "&amp;SUBSTITUTE(TRIM(ROUND(IFERROR(CriteriTecnici!$M185*1,IFERROR(NUMBERVALUE(CriteriTecnici!$M185,".",","),IFERROR(NUMBERVALUE(CriteriTecnici!$M185,",","."),0))),4)&amp;""),",",".")&amp;", "&amp;CHAR(34)&amp;"rawScore"&amp;CHAR(34)&amp;": "&amp;SUBSTITUTE(TRIM(ROUND(IFERROR(CriteriTecnici!$O185*1,IFERROR(NUMBERVALUE(CriteriTecnici!$O185,".",","),IFERROR(NUMBERVALUE(CriteriTecnici!$O185,",","."),0))),4)&amp;""),",",".")&amp;CHAR(125)&amp;IF(TRUE,",",""))</f>
        <v/>
      </c>
    </row>
    <row r="287">
      <c r="A287" s="82">
        <f>IF(CriteriTecnici!$A186="","","    "&amp;CHAR(123)&amp;CHAR(34)&amp;"bidderId"&amp;CHAR(34)&amp;": "&amp;CHAR(34)&amp;SUBSTITUTE(CriteriTecnici!$A186,CHAR(34),"'")&amp;CHAR(34)&amp;", "&amp;CHAR(34)&amp;"lotId"&amp;CHAR(34)&amp;": "&amp;CHAR(34)&amp;SUBSTITUTE(CriteriTecnici!$C186,CHAR(34),"'")&amp;CHAR(34)&amp;", "&amp;CHAR(34)&amp;"criterionId"&amp;CHAR(34)&amp;": "&amp;CHAR(34)&amp;SUBSTITUTE(CriteriTecnici!$D186,CHAR(34),"'")&amp;CHAR(34)&amp;", "&amp;CHAR(34)&amp;"kind"&amp;CHAR(34)&amp;": "&amp;CHAR(34)&amp;SUBSTITUTE(CriteriTecnici!$F186,CHAR(34),"'")&amp;CHAR(34)&amp;", "&amp;CHAR(34)&amp;"value"&amp;CHAR(34)&amp;": "&amp;SUBSTITUTE(TRIM(ROUND(IFERROR(CriteriTecnici!$N186*1,IFERROR(NUMBERVALUE(CriteriTecnici!$N186,".",","),IFERROR(NUMBERVALUE(CriteriTecnici!$N186,",","."),0))),4)&amp;""),",",".")&amp;", "&amp;CHAR(34)&amp;"numerator"&amp;CHAR(34)&amp;": "&amp;SUBSTITUTE(TRIM(ROUND(IFERROR(CriteriTecnici!$K186*1,IFERROR(NUMBERVALUE(CriteriTecnici!$K186,".",","),IFERROR(NUMBERVALUE(CriteriTecnici!$K186,",","."),0))),4)&amp;""),",",".")&amp;", "&amp;CHAR(34)&amp;"denominator"&amp;CHAR(34)&amp;": "&amp;SUBSTITUTE(TRIM(ROUND(IFERROR(CriteriTecnici!$L186*1,IFERROR(NUMBERVALUE(CriteriTecnici!$L186,".",","),IFERROR(NUMBERVALUE(CriteriTecnici!$L186,",","."),0))),4)&amp;""),",",".")&amp;", "&amp;CHAR(34)&amp;"flag"&amp;CHAR(34)&amp;": "&amp;SUBSTITUTE(TRIM(ROUND(IFERROR(CriteriTecnici!$M186*1,IFERROR(NUMBERVALUE(CriteriTecnici!$M186,".",","),IFERROR(NUMBERVALUE(CriteriTecnici!$M186,",","."),0))),4)&amp;""),",",".")&amp;", "&amp;CHAR(34)&amp;"rawScore"&amp;CHAR(34)&amp;": "&amp;SUBSTITUTE(TRIM(ROUND(IFERROR(CriteriTecnici!$O186*1,IFERROR(NUMBERVALUE(CriteriTecnici!$O186,".",","),IFERROR(NUMBERVALUE(CriteriTecnici!$O186,",","."),0))),4)&amp;""),",",".")&amp;CHAR(125)&amp;IF(TRUE,",",""))</f>
        <v/>
      </c>
    </row>
    <row r="288">
      <c r="A288" s="82">
        <f>IF(CriteriTecnici!$A187="","","    "&amp;CHAR(123)&amp;CHAR(34)&amp;"bidderId"&amp;CHAR(34)&amp;": "&amp;CHAR(34)&amp;SUBSTITUTE(CriteriTecnici!$A187,CHAR(34),"'")&amp;CHAR(34)&amp;", "&amp;CHAR(34)&amp;"lotId"&amp;CHAR(34)&amp;": "&amp;CHAR(34)&amp;SUBSTITUTE(CriteriTecnici!$C187,CHAR(34),"'")&amp;CHAR(34)&amp;", "&amp;CHAR(34)&amp;"criterionId"&amp;CHAR(34)&amp;": "&amp;CHAR(34)&amp;SUBSTITUTE(CriteriTecnici!$D187,CHAR(34),"'")&amp;CHAR(34)&amp;", "&amp;CHAR(34)&amp;"kind"&amp;CHAR(34)&amp;": "&amp;CHAR(34)&amp;SUBSTITUTE(CriteriTecnici!$F187,CHAR(34),"'")&amp;CHAR(34)&amp;", "&amp;CHAR(34)&amp;"value"&amp;CHAR(34)&amp;": "&amp;SUBSTITUTE(TRIM(ROUND(IFERROR(CriteriTecnici!$N187*1,IFERROR(NUMBERVALUE(CriteriTecnici!$N187,".",","),IFERROR(NUMBERVALUE(CriteriTecnici!$N187,",","."),0))),4)&amp;""),",",".")&amp;", "&amp;CHAR(34)&amp;"numerator"&amp;CHAR(34)&amp;": "&amp;SUBSTITUTE(TRIM(ROUND(IFERROR(CriteriTecnici!$K187*1,IFERROR(NUMBERVALUE(CriteriTecnici!$K187,".",","),IFERROR(NUMBERVALUE(CriteriTecnici!$K187,",","."),0))),4)&amp;""),",",".")&amp;", "&amp;CHAR(34)&amp;"denominator"&amp;CHAR(34)&amp;": "&amp;SUBSTITUTE(TRIM(ROUND(IFERROR(CriteriTecnici!$L187*1,IFERROR(NUMBERVALUE(CriteriTecnici!$L187,".",","),IFERROR(NUMBERVALUE(CriteriTecnici!$L187,",","."),0))),4)&amp;""),",",".")&amp;", "&amp;CHAR(34)&amp;"flag"&amp;CHAR(34)&amp;": "&amp;SUBSTITUTE(TRIM(ROUND(IFERROR(CriteriTecnici!$M187*1,IFERROR(NUMBERVALUE(CriteriTecnici!$M187,".",","),IFERROR(NUMBERVALUE(CriteriTecnici!$M187,",","."),0))),4)&amp;""),",",".")&amp;", "&amp;CHAR(34)&amp;"rawScore"&amp;CHAR(34)&amp;": "&amp;SUBSTITUTE(TRIM(ROUND(IFERROR(CriteriTecnici!$O187*1,IFERROR(NUMBERVALUE(CriteriTecnici!$O187,".",","),IFERROR(NUMBERVALUE(CriteriTecnici!$O187,",","."),0))),4)&amp;""),",",".")&amp;CHAR(125)&amp;IF(TRUE,",",""))</f>
        <v/>
      </c>
    </row>
    <row r="289">
      <c r="A289" s="82">
        <f>IF(CriteriTecnici!$A188="","","    "&amp;CHAR(123)&amp;CHAR(34)&amp;"bidderId"&amp;CHAR(34)&amp;": "&amp;CHAR(34)&amp;SUBSTITUTE(CriteriTecnici!$A188,CHAR(34),"'")&amp;CHAR(34)&amp;", "&amp;CHAR(34)&amp;"lotId"&amp;CHAR(34)&amp;": "&amp;CHAR(34)&amp;SUBSTITUTE(CriteriTecnici!$C188,CHAR(34),"'")&amp;CHAR(34)&amp;", "&amp;CHAR(34)&amp;"criterionId"&amp;CHAR(34)&amp;": "&amp;CHAR(34)&amp;SUBSTITUTE(CriteriTecnici!$D188,CHAR(34),"'")&amp;CHAR(34)&amp;", "&amp;CHAR(34)&amp;"kind"&amp;CHAR(34)&amp;": "&amp;CHAR(34)&amp;SUBSTITUTE(CriteriTecnici!$F188,CHAR(34),"'")&amp;CHAR(34)&amp;", "&amp;CHAR(34)&amp;"value"&amp;CHAR(34)&amp;": "&amp;SUBSTITUTE(TRIM(ROUND(IFERROR(CriteriTecnici!$N188*1,IFERROR(NUMBERVALUE(CriteriTecnici!$N188,".",","),IFERROR(NUMBERVALUE(CriteriTecnici!$N188,",","."),0))),4)&amp;""),",",".")&amp;", "&amp;CHAR(34)&amp;"numerator"&amp;CHAR(34)&amp;": "&amp;SUBSTITUTE(TRIM(ROUND(IFERROR(CriteriTecnici!$K188*1,IFERROR(NUMBERVALUE(CriteriTecnici!$K188,".",","),IFERROR(NUMBERVALUE(CriteriTecnici!$K188,",","."),0))),4)&amp;""),",",".")&amp;", "&amp;CHAR(34)&amp;"denominator"&amp;CHAR(34)&amp;": "&amp;SUBSTITUTE(TRIM(ROUND(IFERROR(CriteriTecnici!$L188*1,IFERROR(NUMBERVALUE(CriteriTecnici!$L188,".",","),IFERROR(NUMBERVALUE(CriteriTecnici!$L188,",","."),0))),4)&amp;""),",",".")&amp;", "&amp;CHAR(34)&amp;"flag"&amp;CHAR(34)&amp;": "&amp;SUBSTITUTE(TRIM(ROUND(IFERROR(CriteriTecnici!$M188*1,IFERROR(NUMBERVALUE(CriteriTecnici!$M188,".",","),IFERROR(NUMBERVALUE(CriteriTecnici!$M188,",","."),0))),4)&amp;""),",",".")&amp;", "&amp;CHAR(34)&amp;"rawScore"&amp;CHAR(34)&amp;": "&amp;SUBSTITUTE(TRIM(ROUND(IFERROR(CriteriTecnici!$O188*1,IFERROR(NUMBERVALUE(CriteriTecnici!$O188,".",","),IFERROR(NUMBERVALUE(CriteriTecnici!$O188,",","."),0))),4)&amp;""),",",".")&amp;CHAR(125)&amp;IF(TRUE,",",""))</f>
        <v/>
      </c>
    </row>
    <row r="290">
      <c r="A290" s="82">
        <f>IF(CriteriTecnici!$A189="","","    "&amp;CHAR(123)&amp;CHAR(34)&amp;"bidderId"&amp;CHAR(34)&amp;": "&amp;CHAR(34)&amp;SUBSTITUTE(CriteriTecnici!$A189,CHAR(34),"'")&amp;CHAR(34)&amp;", "&amp;CHAR(34)&amp;"lotId"&amp;CHAR(34)&amp;": "&amp;CHAR(34)&amp;SUBSTITUTE(CriteriTecnici!$C189,CHAR(34),"'")&amp;CHAR(34)&amp;", "&amp;CHAR(34)&amp;"criterionId"&amp;CHAR(34)&amp;": "&amp;CHAR(34)&amp;SUBSTITUTE(CriteriTecnici!$D189,CHAR(34),"'")&amp;CHAR(34)&amp;", "&amp;CHAR(34)&amp;"kind"&amp;CHAR(34)&amp;": "&amp;CHAR(34)&amp;SUBSTITUTE(CriteriTecnici!$F189,CHAR(34),"'")&amp;CHAR(34)&amp;", "&amp;CHAR(34)&amp;"value"&amp;CHAR(34)&amp;": "&amp;SUBSTITUTE(TRIM(ROUND(IFERROR(CriteriTecnici!$N189*1,IFERROR(NUMBERVALUE(CriteriTecnici!$N189,".",","),IFERROR(NUMBERVALUE(CriteriTecnici!$N189,",","."),0))),4)&amp;""),",",".")&amp;", "&amp;CHAR(34)&amp;"numerator"&amp;CHAR(34)&amp;": "&amp;SUBSTITUTE(TRIM(ROUND(IFERROR(CriteriTecnici!$K189*1,IFERROR(NUMBERVALUE(CriteriTecnici!$K189,".",","),IFERROR(NUMBERVALUE(CriteriTecnici!$K189,",","."),0))),4)&amp;""),",",".")&amp;", "&amp;CHAR(34)&amp;"denominator"&amp;CHAR(34)&amp;": "&amp;SUBSTITUTE(TRIM(ROUND(IFERROR(CriteriTecnici!$L189*1,IFERROR(NUMBERVALUE(CriteriTecnici!$L189,".",","),IFERROR(NUMBERVALUE(CriteriTecnici!$L189,",","."),0))),4)&amp;""),",",".")&amp;", "&amp;CHAR(34)&amp;"flag"&amp;CHAR(34)&amp;": "&amp;SUBSTITUTE(TRIM(ROUND(IFERROR(CriteriTecnici!$M189*1,IFERROR(NUMBERVALUE(CriteriTecnici!$M189,".",","),IFERROR(NUMBERVALUE(CriteriTecnici!$M189,",","."),0))),4)&amp;""),",",".")&amp;", "&amp;CHAR(34)&amp;"rawScore"&amp;CHAR(34)&amp;": "&amp;SUBSTITUTE(TRIM(ROUND(IFERROR(CriteriTecnici!$O189*1,IFERROR(NUMBERVALUE(CriteriTecnici!$O189,".",","),IFERROR(NUMBERVALUE(CriteriTecnici!$O189,",","."),0))),4)&amp;""),",",".")&amp;CHAR(125)&amp;IF(TRUE,",",""))</f>
        <v/>
      </c>
    </row>
    <row r="291">
      <c r="A291" s="82">
        <f>IF(CriteriTecnici!$A190="","","    "&amp;CHAR(123)&amp;CHAR(34)&amp;"bidderId"&amp;CHAR(34)&amp;": "&amp;CHAR(34)&amp;SUBSTITUTE(CriteriTecnici!$A190,CHAR(34),"'")&amp;CHAR(34)&amp;", "&amp;CHAR(34)&amp;"lotId"&amp;CHAR(34)&amp;": "&amp;CHAR(34)&amp;SUBSTITUTE(CriteriTecnici!$C190,CHAR(34),"'")&amp;CHAR(34)&amp;", "&amp;CHAR(34)&amp;"criterionId"&amp;CHAR(34)&amp;": "&amp;CHAR(34)&amp;SUBSTITUTE(CriteriTecnici!$D190,CHAR(34),"'")&amp;CHAR(34)&amp;", "&amp;CHAR(34)&amp;"kind"&amp;CHAR(34)&amp;": "&amp;CHAR(34)&amp;SUBSTITUTE(CriteriTecnici!$F190,CHAR(34),"'")&amp;CHAR(34)&amp;", "&amp;CHAR(34)&amp;"value"&amp;CHAR(34)&amp;": "&amp;SUBSTITUTE(TRIM(ROUND(IFERROR(CriteriTecnici!$N190*1,IFERROR(NUMBERVALUE(CriteriTecnici!$N190,".",","),IFERROR(NUMBERVALUE(CriteriTecnici!$N190,",","."),0))),4)&amp;""),",",".")&amp;", "&amp;CHAR(34)&amp;"numerator"&amp;CHAR(34)&amp;": "&amp;SUBSTITUTE(TRIM(ROUND(IFERROR(CriteriTecnici!$K190*1,IFERROR(NUMBERVALUE(CriteriTecnici!$K190,".",","),IFERROR(NUMBERVALUE(CriteriTecnici!$K190,",","."),0))),4)&amp;""),",",".")&amp;", "&amp;CHAR(34)&amp;"denominator"&amp;CHAR(34)&amp;": "&amp;SUBSTITUTE(TRIM(ROUND(IFERROR(CriteriTecnici!$L190*1,IFERROR(NUMBERVALUE(CriteriTecnici!$L190,".",","),IFERROR(NUMBERVALUE(CriteriTecnici!$L190,",","."),0))),4)&amp;""),",",".")&amp;", "&amp;CHAR(34)&amp;"flag"&amp;CHAR(34)&amp;": "&amp;SUBSTITUTE(TRIM(ROUND(IFERROR(CriteriTecnici!$M190*1,IFERROR(NUMBERVALUE(CriteriTecnici!$M190,".",","),IFERROR(NUMBERVALUE(CriteriTecnici!$M190,",","."),0))),4)&amp;""),",",".")&amp;", "&amp;CHAR(34)&amp;"rawScore"&amp;CHAR(34)&amp;": "&amp;SUBSTITUTE(TRIM(ROUND(IFERROR(CriteriTecnici!$O190*1,IFERROR(NUMBERVALUE(CriteriTecnici!$O190,".",","),IFERROR(NUMBERVALUE(CriteriTecnici!$O190,",","."),0))),4)&amp;""),",",".")&amp;CHAR(125)&amp;IF(COUNTA(Offerte!$A8:$A$81)&gt;0,",",""))</f>
        <v/>
      </c>
    </row>
    <row r="292">
      <c r="A292" s="82">
        <f>IF(CriteriTecnici!$A191="","","    "&amp;CHAR(123)&amp;CHAR(34)&amp;"bidderId"&amp;CHAR(34)&amp;": "&amp;CHAR(34)&amp;SUBSTITUTE(CriteriTecnici!$A191,CHAR(34),"'")&amp;CHAR(34)&amp;", "&amp;CHAR(34)&amp;"lotId"&amp;CHAR(34)&amp;": "&amp;CHAR(34)&amp;SUBSTITUTE(CriteriTecnici!$C191,CHAR(34),"'")&amp;CHAR(34)&amp;", "&amp;CHAR(34)&amp;"criterionId"&amp;CHAR(34)&amp;": "&amp;CHAR(34)&amp;SUBSTITUTE(CriteriTecnici!$D191,CHAR(34),"'")&amp;CHAR(34)&amp;", "&amp;CHAR(34)&amp;"kind"&amp;CHAR(34)&amp;": "&amp;CHAR(34)&amp;SUBSTITUTE(CriteriTecnici!$F191,CHAR(34),"'")&amp;CHAR(34)&amp;", "&amp;CHAR(34)&amp;"value"&amp;CHAR(34)&amp;": "&amp;SUBSTITUTE(TRIM(ROUND(IFERROR(CriteriTecnici!$N191*1,IFERROR(NUMBERVALUE(CriteriTecnici!$N191,".",","),IFERROR(NUMBERVALUE(CriteriTecnici!$N191,",","."),0))),4)&amp;""),",",".")&amp;", "&amp;CHAR(34)&amp;"numerator"&amp;CHAR(34)&amp;": "&amp;SUBSTITUTE(TRIM(ROUND(IFERROR(CriteriTecnici!$K191*1,IFERROR(NUMBERVALUE(CriteriTecnici!$K191,".",","),IFERROR(NUMBERVALUE(CriteriTecnici!$K191,",","."),0))),4)&amp;""),",",".")&amp;", "&amp;CHAR(34)&amp;"denominator"&amp;CHAR(34)&amp;": "&amp;SUBSTITUTE(TRIM(ROUND(IFERROR(CriteriTecnici!$L191*1,IFERROR(NUMBERVALUE(CriteriTecnici!$L191,".",","),IFERROR(NUMBERVALUE(CriteriTecnici!$L191,",","."),0))),4)&amp;""),",",".")&amp;", "&amp;CHAR(34)&amp;"flag"&amp;CHAR(34)&amp;": "&amp;SUBSTITUTE(TRIM(ROUND(IFERROR(CriteriTecnici!$M191*1,IFERROR(NUMBERVALUE(CriteriTecnici!$M191,".",","),IFERROR(NUMBERVALUE(CriteriTecnici!$M191,",","."),0))),4)&amp;""),",",".")&amp;", "&amp;CHAR(34)&amp;"rawScore"&amp;CHAR(34)&amp;": "&amp;SUBSTITUTE(TRIM(ROUND(IFERROR(CriteriTecnici!$O191*1,IFERROR(NUMBERVALUE(CriteriTecnici!$O191,".",","),IFERROR(NUMBERVALUE(CriteriTecnici!$O191,",","."),0))),4)&amp;""),",",".")&amp;CHAR(125)&amp;IF(TRUE,",",""))</f>
        <v/>
      </c>
    </row>
    <row r="293">
      <c r="A293" s="82">
        <f>IF(CriteriTecnici!$A192="","","    "&amp;CHAR(123)&amp;CHAR(34)&amp;"bidderId"&amp;CHAR(34)&amp;": "&amp;CHAR(34)&amp;SUBSTITUTE(CriteriTecnici!$A192,CHAR(34),"'")&amp;CHAR(34)&amp;", "&amp;CHAR(34)&amp;"lotId"&amp;CHAR(34)&amp;": "&amp;CHAR(34)&amp;SUBSTITUTE(CriteriTecnici!$C192,CHAR(34),"'")&amp;CHAR(34)&amp;", "&amp;CHAR(34)&amp;"criterionId"&amp;CHAR(34)&amp;": "&amp;CHAR(34)&amp;SUBSTITUTE(CriteriTecnici!$D192,CHAR(34),"'")&amp;CHAR(34)&amp;", "&amp;CHAR(34)&amp;"kind"&amp;CHAR(34)&amp;": "&amp;CHAR(34)&amp;SUBSTITUTE(CriteriTecnici!$F192,CHAR(34),"'")&amp;CHAR(34)&amp;", "&amp;CHAR(34)&amp;"value"&amp;CHAR(34)&amp;": "&amp;SUBSTITUTE(TRIM(ROUND(IFERROR(CriteriTecnici!$N192*1,IFERROR(NUMBERVALUE(CriteriTecnici!$N192,".",","),IFERROR(NUMBERVALUE(CriteriTecnici!$N192,",","."),0))),4)&amp;""),",",".")&amp;", "&amp;CHAR(34)&amp;"numerator"&amp;CHAR(34)&amp;": "&amp;SUBSTITUTE(TRIM(ROUND(IFERROR(CriteriTecnici!$K192*1,IFERROR(NUMBERVALUE(CriteriTecnici!$K192,".",","),IFERROR(NUMBERVALUE(CriteriTecnici!$K192,",","."),0))),4)&amp;""),",",".")&amp;", "&amp;CHAR(34)&amp;"denominator"&amp;CHAR(34)&amp;": "&amp;SUBSTITUTE(TRIM(ROUND(IFERROR(CriteriTecnici!$L192*1,IFERROR(NUMBERVALUE(CriteriTecnici!$L192,".",","),IFERROR(NUMBERVALUE(CriteriTecnici!$L192,",","."),0))),4)&amp;""),",",".")&amp;", "&amp;CHAR(34)&amp;"flag"&amp;CHAR(34)&amp;": "&amp;SUBSTITUTE(TRIM(ROUND(IFERROR(CriteriTecnici!$M192*1,IFERROR(NUMBERVALUE(CriteriTecnici!$M192,".",","),IFERROR(NUMBERVALUE(CriteriTecnici!$M192,",","."),0))),4)&amp;""),",",".")&amp;", "&amp;CHAR(34)&amp;"rawScore"&amp;CHAR(34)&amp;": "&amp;SUBSTITUTE(TRIM(ROUND(IFERROR(CriteriTecnici!$O192*1,IFERROR(NUMBERVALUE(CriteriTecnici!$O192,".",","),IFERROR(NUMBERVALUE(CriteriTecnici!$O192,",","."),0))),4)&amp;""),",",".")&amp;CHAR(125)&amp;IF(TRUE,",",""))</f>
        <v/>
      </c>
    </row>
    <row r="294">
      <c r="A294" s="82">
        <f>IF(CriteriTecnici!$A193="","","    "&amp;CHAR(123)&amp;CHAR(34)&amp;"bidderId"&amp;CHAR(34)&amp;": "&amp;CHAR(34)&amp;SUBSTITUTE(CriteriTecnici!$A193,CHAR(34),"'")&amp;CHAR(34)&amp;", "&amp;CHAR(34)&amp;"lotId"&amp;CHAR(34)&amp;": "&amp;CHAR(34)&amp;SUBSTITUTE(CriteriTecnici!$C193,CHAR(34),"'")&amp;CHAR(34)&amp;", "&amp;CHAR(34)&amp;"criterionId"&amp;CHAR(34)&amp;": "&amp;CHAR(34)&amp;SUBSTITUTE(CriteriTecnici!$D193,CHAR(34),"'")&amp;CHAR(34)&amp;", "&amp;CHAR(34)&amp;"kind"&amp;CHAR(34)&amp;": "&amp;CHAR(34)&amp;SUBSTITUTE(CriteriTecnici!$F193,CHAR(34),"'")&amp;CHAR(34)&amp;", "&amp;CHAR(34)&amp;"value"&amp;CHAR(34)&amp;": "&amp;SUBSTITUTE(TRIM(ROUND(IFERROR(CriteriTecnici!$N193*1,IFERROR(NUMBERVALUE(CriteriTecnici!$N193,".",","),IFERROR(NUMBERVALUE(CriteriTecnici!$N193,",","."),0))),4)&amp;""),",",".")&amp;", "&amp;CHAR(34)&amp;"numerator"&amp;CHAR(34)&amp;": "&amp;SUBSTITUTE(TRIM(ROUND(IFERROR(CriteriTecnici!$K193*1,IFERROR(NUMBERVALUE(CriteriTecnici!$K193,".",","),IFERROR(NUMBERVALUE(CriteriTecnici!$K193,",","."),0))),4)&amp;""),",",".")&amp;", "&amp;CHAR(34)&amp;"denominator"&amp;CHAR(34)&amp;": "&amp;SUBSTITUTE(TRIM(ROUND(IFERROR(CriteriTecnici!$L193*1,IFERROR(NUMBERVALUE(CriteriTecnici!$L193,".",","),IFERROR(NUMBERVALUE(CriteriTecnici!$L193,",","."),0))),4)&amp;""),",",".")&amp;", "&amp;CHAR(34)&amp;"flag"&amp;CHAR(34)&amp;": "&amp;SUBSTITUTE(TRIM(ROUND(IFERROR(CriteriTecnici!$M193*1,IFERROR(NUMBERVALUE(CriteriTecnici!$M193,".",","),IFERROR(NUMBERVALUE(CriteriTecnici!$M193,",","."),0))),4)&amp;""),",",".")&amp;", "&amp;CHAR(34)&amp;"rawScore"&amp;CHAR(34)&amp;": "&amp;SUBSTITUTE(TRIM(ROUND(IFERROR(CriteriTecnici!$O193*1,IFERROR(NUMBERVALUE(CriteriTecnici!$O193,".",","),IFERROR(NUMBERVALUE(CriteriTecnici!$O193,",","."),0))),4)&amp;""),",",".")&amp;CHAR(125)&amp;IF(TRUE,",",""))</f>
        <v/>
      </c>
    </row>
    <row r="295">
      <c r="A295" s="82">
        <f>IF(CriteriTecnici!$A194="","","    "&amp;CHAR(123)&amp;CHAR(34)&amp;"bidderId"&amp;CHAR(34)&amp;": "&amp;CHAR(34)&amp;SUBSTITUTE(CriteriTecnici!$A194,CHAR(34),"'")&amp;CHAR(34)&amp;", "&amp;CHAR(34)&amp;"lotId"&amp;CHAR(34)&amp;": "&amp;CHAR(34)&amp;SUBSTITUTE(CriteriTecnici!$C194,CHAR(34),"'")&amp;CHAR(34)&amp;", "&amp;CHAR(34)&amp;"criterionId"&amp;CHAR(34)&amp;": "&amp;CHAR(34)&amp;SUBSTITUTE(CriteriTecnici!$D194,CHAR(34),"'")&amp;CHAR(34)&amp;", "&amp;CHAR(34)&amp;"kind"&amp;CHAR(34)&amp;": "&amp;CHAR(34)&amp;SUBSTITUTE(CriteriTecnici!$F194,CHAR(34),"'")&amp;CHAR(34)&amp;", "&amp;CHAR(34)&amp;"value"&amp;CHAR(34)&amp;": "&amp;SUBSTITUTE(TRIM(ROUND(IFERROR(CriteriTecnici!$N194*1,IFERROR(NUMBERVALUE(CriteriTecnici!$N194,".",","),IFERROR(NUMBERVALUE(CriteriTecnici!$N194,",","."),0))),4)&amp;""),",",".")&amp;", "&amp;CHAR(34)&amp;"numerator"&amp;CHAR(34)&amp;": "&amp;SUBSTITUTE(TRIM(ROUND(IFERROR(CriteriTecnici!$K194*1,IFERROR(NUMBERVALUE(CriteriTecnici!$K194,".",","),IFERROR(NUMBERVALUE(CriteriTecnici!$K194,",","."),0))),4)&amp;""),",",".")&amp;", "&amp;CHAR(34)&amp;"denominator"&amp;CHAR(34)&amp;": "&amp;SUBSTITUTE(TRIM(ROUND(IFERROR(CriteriTecnici!$L194*1,IFERROR(NUMBERVALUE(CriteriTecnici!$L194,".",","),IFERROR(NUMBERVALUE(CriteriTecnici!$L194,",","."),0))),4)&amp;""),",",".")&amp;", "&amp;CHAR(34)&amp;"flag"&amp;CHAR(34)&amp;": "&amp;SUBSTITUTE(TRIM(ROUND(IFERROR(CriteriTecnici!$M194*1,IFERROR(NUMBERVALUE(CriteriTecnici!$M194,".",","),IFERROR(NUMBERVALUE(CriteriTecnici!$M194,",","."),0))),4)&amp;""),",",".")&amp;", "&amp;CHAR(34)&amp;"rawScore"&amp;CHAR(34)&amp;": "&amp;SUBSTITUTE(TRIM(ROUND(IFERROR(CriteriTecnici!$O194*1,IFERROR(NUMBERVALUE(CriteriTecnici!$O194,".",","),IFERROR(NUMBERVALUE(CriteriTecnici!$O194,",","."),0))),4)&amp;""),",",".")&amp;CHAR(125)&amp;IF(TRUE,",",""))</f>
        <v/>
      </c>
    </row>
    <row r="296">
      <c r="A296" s="82">
        <f>IF(CriteriTecnici!$A195="","","    "&amp;CHAR(123)&amp;CHAR(34)&amp;"bidderId"&amp;CHAR(34)&amp;": "&amp;CHAR(34)&amp;SUBSTITUTE(CriteriTecnici!$A195,CHAR(34),"'")&amp;CHAR(34)&amp;", "&amp;CHAR(34)&amp;"lotId"&amp;CHAR(34)&amp;": "&amp;CHAR(34)&amp;SUBSTITUTE(CriteriTecnici!$C195,CHAR(34),"'")&amp;CHAR(34)&amp;", "&amp;CHAR(34)&amp;"criterionId"&amp;CHAR(34)&amp;": "&amp;CHAR(34)&amp;SUBSTITUTE(CriteriTecnici!$D195,CHAR(34),"'")&amp;CHAR(34)&amp;", "&amp;CHAR(34)&amp;"kind"&amp;CHAR(34)&amp;": "&amp;CHAR(34)&amp;SUBSTITUTE(CriteriTecnici!$F195,CHAR(34),"'")&amp;CHAR(34)&amp;", "&amp;CHAR(34)&amp;"value"&amp;CHAR(34)&amp;": "&amp;SUBSTITUTE(TRIM(ROUND(IFERROR(CriteriTecnici!$N195*1,IFERROR(NUMBERVALUE(CriteriTecnici!$N195,".",","),IFERROR(NUMBERVALUE(CriteriTecnici!$N195,",","."),0))),4)&amp;""),",",".")&amp;", "&amp;CHAR(34)&amp;"numerator"&amp;CHAR(34)&amp;": "&amp;SUBSTITUTE(TRIM(ROUND(IFERROR(CriteriTecnici!$K195*1,IFERROR(NUMBERVALUE(CriteriTecnici!$K195,".",","),IFERROR(NUMBERVALUE(CriteriTecnici!$K195,",","."),0))),4)&amp;""),",",".")&amp;", "&amp;CHAR(34)&amp;"denominator"&amp;CHAR(34)&amp;": "&amp;SUBSTITUTE(TRIM(ROUND(IFERROR(CriteriTecnici!$L195*1,IFERROR(NUMBERVALUE(CriteriTecnici!$L195,".",","),IFERROR(NUMBERVALUE(CriteriTecnici!$L195,",","."),0))),4)&amp;""),",",".")&amp;", "&amp;CHAR(34)&amp;"flag"&amp;CHAR(34)&amp;": "&amp;SUBSTITUTE(TRIM(ROUND(IFERROR(CriteriTecnici!$M195*1,IFERROR(NUMBERVALUE(CriteriTecnici!$M195,".",","),IFERROR(NUMBERVALUE(CriteriTecnici!$M195,",","."),0))),4)&amp;""),",",".")&amp;", "&amp;CHAR(34)&amp;"rawScore"&amp;CHAR(34)&amp;": "&amp;SUBSTITUTE(TRIM(ROUND(IFERROR(CriteriTecnici!$O195*1,IFERROR(NUMBERVALUE(CriteriTecnici!$O195,".",","),IFERROR(NUMBERVALUE(CriteriTecnici!$O195,",","."),0))),4)&amp;""),",",".")&amp;CHAR(125)&amp;IF(TRUE,",",""))</f>
        <v/>
      </c>
    </row>
    <row r="297">
      <c r="A297" s="82">
        <f>IF(CriteriTecnici!$A196="","","    "&amp;CHAR(123)&amp;CHAR(34)&amp;"bidderId"&amp;CHAR(34)&amp;": "&amp;CHAR(34)&amp;SUBSTITUTE(CriteriTecnici!$A196,CHAR(34),"'")&amp;CHAR(34)&amp;", "&amp;CHAR(34)&amp;"lotId"&amp;CHAR(34)&amp;": "&amp;CHAR(34)&amp;SUBSTITUTE(CriteriTecnici!$C196,CHAR(34),"'")&amp;CHAR(34)&amp;", "&amp;CHAR(34)&amp;"criterionId"&amp;CHAR(34)&amp;": "&amp;CHAR(34)&amp;SUBSTITUTE(CriteriTecnici!$D196,CHAR(34),"'")&amp;CHAR(34)&amp;", "&amp;CHAR(34)&amp;"kind"&amp;CHAR(34)&amp;": "&amp;CHAR(34)&amp;SUBSTITUTE(CriteriTecnici!$F196,CHAR(34),"'")&amp;CHAR(34)&amp;", "&amp;CHAR(34)&amp;"value"&amp;CHAR(34)&amp;": "&amp;SUBSTITUTE(TRIM(ROUND(IFERROR(CriteriTecnici!$N196*1,IFERROR(NUMBERVALUE(CriteriTecnici!$N196,".",","),IFERROR(NUMBERVALUE(CriteriTecnici!$N196,",","."),0))),4)&amp;""),",",".")&amp;", "&amp;CHAR(34)&amp;"numerator"&amp;CHAR(34)&amp;": "&amp;SUBSTITUTE(TRIM(ROUND(IFERROR(CriteriTecnici!$K196*1,IFERROR(NUMBERVALUE(CriteriTecnici!$K196,".",","),IFERROR(NUMBERVALUE(CriteriTecnici!$K196,",","."),0))),4)&amp;""),",",".")&amp;", "&amp;CHAR(34)&amp;"denominator"&amp;CHAR(34)&amp;": "&amp;SUBSTITUTE(TRIM(ROUND(IFERROR(CriteriTecnici!$L196*1,IFERROR(NUMBERVALUE(CriteriTecnici!$L196,".",","),IFERROR(NUMBERVALUE(CriteriTecnici!$L196,",","."),0))),4)&amp;""),",",".")&amp;", "&amp;CHAR(34)&amp;"flag"&amp;CHAR(34)&amp;": "&amp;SUBSTITUTE(TRIM(ROUND(IFERROR(CriteriTecnici!$M196*1,IFERROR(NUMBERVALUE(CriteriTecnici!$M196,".",","),IFERROR(NUMBERVALUE(CriteriTecnici!$M196,",","."),0))),4)&amp;""),",",".")&amp;", "&amp;CHAR(34)&amp;"rawScore"&amp;CHAR(34)&amp;": "&amp;SUBSTITUTE(TRIM(ROUND(IFERROR(CriteriTecnici!$O196*1,IFERROR(NUMBERVALUE(CriteriTecnici!$O196,".",","),IFERROR(NUMBERVALUE(CriteriTecnici!$O196,",","."),0))),4)&amp;""),",",".")&amp;CHAR(125)&amp;IF(TRUE,",",""))</f>
        <v/>
      </c>
    </row>
    <row r="298">
      <c r="A298" s="82">
        <f>IF(CriteriTecnici!$A197="","","    "&amp;CHAR(123)&amp;CHAR(34)&amp;"bidderId"&amp;CHAR(34)&amp;": "&amp;CHAR(34)&amp;SUBSTITUTE(CriteriTecnici!$A197,CHAR(34),"'")&amp;CHAR(34)&amp;", "&amp;CHAR(34)&amp;"lotId"&amp;CHAR(34)&amp;": "&amp;CHAR(34)&amp;SUBSTITUTE(CriteriTecnici!$C197,CHAR(34),"'")&amp;CHAR(34)&amp;", "&amp;CHAR(34)&amp;"criterionId"&amp;CHAR(34)&amp;": "&amp;CHAR(34)&amp;SUBSTITUTE(CriteriTecnici!$D197,CHAR(34),"'")&amp;CHAR(34)&amp;", "&amp;CHAR(34)&amp;"kind"&amp;CHAR(34)&amp;": "&amp;CHAR(34)&amp;SUBSTITUTE(CriteriTecnici!$F197,CHAR(34),"'")&amp;CHAR(34)&amp;", "&amp;CHAR(34)&amp;"value"&amp;CHAR(34)&amp;": "&amp;SUBSTITUTE(TRIM(ROUND(IFERROR(CriteriTecnici!$N197*1,IFERROR(NUMBERVALUE(CriteriTecnici!$N197,".",","),IFERROR(NUMBERVALUE(CriteriTecnici!$N197,",","."),0))),4)&amp;""),",",".")&amp;", "&amp;CHAR(34)&amp;"numerator"&amp;CHAR(34)&amp;": "&amp;SUBSTITUTE(TRIM(ROUND(IFERROR(CriteriTecnici!$K197*1,IFERROR(NUMBERVALUE(CriteriTecnici!$K197,".",","),IFERROR(NUMBERVALUE(CriteriTecnici!$K197,",","."),0))),4)&amp;""),",",".")&amp;", "&amp;CHAR(34)&amp;"denominator"&amp;CHAR(34)&amp;": "&amp;SUBSTITUTE(TRIM(ROUND(IFERROR(CriteriTecnici!$L197*1,IFERROR(NUMBERVALUE(CriteriTecnici!$L197,".",","),IFERROR(NUMBERVALUE(CriteriTecnici!$L197,",","."),0))),4)&amp;""),",",".")&amp;", "&amp;CHAR(34)&amp;"flag"&amp;CHAR(34)&amp;": "&amp;SUBSTITUTE(TRIM(ROUND(IFERROR(CriteriTecnici!$M197*1,IFERROR(NUMBERVALUE(CriteriTecnici!$M197,".",","),IFERROR(NUMBERVALUE(CriteriTecnici!$M197,",","."),0))),4)&amp;""),",",".")&amp;", "&amp;CHAR(34)&amp;"rawScore"&amp;CHAR(34)&amp;": "&amp;SUBSTITUTE(TRIM(ROUND(IFERROR(CriteriTecnici!$O197*1,IFERROR(NUMBERVALUE(CriteriTecnici!$O197,".",","),IFERROR(NUMBERVALUE(CriteriTecnici!$O197,",","."),0))),4)&amp;""),",",".")&amp;CHAR(125)&amp;IF(TRUE,",",""))</f>
        <v/>
      </c>
    </row>
    <row r="299">
      <c r="A299" s="82">
        <f>IF(CriteriTecnici!$A198="","","    "&amp;CHAR(123)&amp;CHAR(34)&amp;"bidderId"&amp;CHAR(34)&amp;": "&amp;CHAR(34)&amp;SUBSTITUTE(CriteriTecnici!$A198,CHAR(34),"'")&amp;CHAR(34)&amp;", "&amp;CHAR(34)&amp;"lotId"&amp;CHAR(34)&amp;": "&amp;CHAR(34)&amp;SUBSTITUTE(CriteriTecnici!$C198,CHAR(34),"'")&amp;CHAR(34)&amp;", "&amp;CHAR(34)&amp;"criterionId"&amp;CHAR(34)&amp;": "&amp;CHAR(34)&amp;SUBSTITUTE(CriteriTecnici!$D198,CHAR(34),"'")&amp;CHAR(34)&amp;", "&amp;CHAR(34)&amp;"kind"&amp;CHAR(34)&amp;": "&amp;CHAR(34)&amp;SUBSTITUTE(CriteriTecnici!$F198,CHAR(34),"'")&amp;CHAR(34)&amp;", "&amp;CHAR(34)&amp;"value"&amp;CHAR(34)&amp;": "&amp;SUBSTITUTE(TRIM(ROUND(IFERROR(CriteriTecnici!$N198*1,IFERROR(NUMBERVALUE(CriteriTecnici!$N198,".",","),IFERROR(NUMBERVALUE(CriteriTecnici!$N198,",","."),0))),4)&amp;""),",",".")&amp;", "&amp;CHAR(34)&amp;"numerator"&amp;CHAR(34)&amp;": "&amp;SUBSTITUTE(TRIM(ROUND(IFERROR(CriteriTecnici!$K198*1,IFERROR(NUMBERVALUE(CriteriTecnici!$K198,".",","),IFERROR(NUMBERVALUE(CriteriTecnici!$K198,",","."),0))),4)&amp;""),",",".")&amp;", "&amp;CHAR(34)&amp;"denominator"&amp;CHAR(34)&amp;": "&amp;SUBSTITUTE(TRIM(ROUND(IFERROR(CriteriTecnici!$L198*1,IFERROR(NUMBERVALUE(CriteriTecnici!$L198,".",","),IFERROR(NUMBERVALUE(CriteriTecnici!$L198,",","."),0))),4)&amp;""),",",".")&amp;", "&amp;CHAR(34)&amp;"flag"&amp;CHAR(34)&amp;": "&amp;SUBSTITUTE(TRIM(ROUND(IFERROR(CriteriTecnici!$M198*1,IFERROR(NUMBERVALUE(CriteriTecnici!$M198,".",","),IFERROR(NUMBERVALUE(CriteriTecnici!$M198,",","."),0))),4)&amp;""),",",".")&amp;", "&amp;CHAR(34)&amp;"rawScore"&amp;CHAR(34)&amp;": "&amp;SUBSTITUTE(TRIM(ROUND(IFERROR(CriteriTecnici!$O198*1,IFERROR(NUMBERVALUE(CriteriTecnici!$O198,".",","),IFERROR(NUMBERVALUE(CriteriTecnici!$O198,",","."),0))),4)&amp;""),",",".")&amp;CHAR(125)&amp;IF(TRUE,",",""))</f>
        <v/>
      </c>
    </row>
    <row r="300">
      <c r="A300" s="82">
        <f>IF(CriteriTecnici!$A199="","","    "&amp;CHAR(123)&amp;CHAR(34)&amp;"bidderId"&amp;CHAR(34)&amp;": "&amp;CHAR(34)&amp;SUBSTITUTE(CriteriTecnici!$A199,CHAR(34),"'")&amp;CHAR(34)&amp;", "&amp;CHAR(34)&amp;"lotId"&amp;CHAR(34)&amp;": "&amp;CHAR(34)&amp;SUBSTITUTE(CriteriTecnici!$C199,CHAR(34),"'")&amp;CHAR(34)&amp;", "&amp;CHAR(34)&amp;"criterionId"&amp;CHAR(34)&amp;": "&amp;CHAR(34)&amp;SUBSTITUTE(CriteriTecnici!$D199,CHAR(34),"'")&amp;CHAR(34)&amp;", "&amp;CHAR(34)&amp;"kind"&amp;CHAR(34)&amp;": "&amp;CHAR(34)&amp;SUBSTITUTE(CriteriTecnici!$F199,CHAR(34),"'")&amp;CHAR(34)&amp;", "&amp;CHAR(34)&amp;"value"&amp;CHAR(34)&amp;": "&amp;SUBSTITUTE(TRIM(ROUND(IFERROR(CriteriTecnici!$N199*1,IFERROR(NUMBERVALUE(CriteriTecnici!$N199,".",","),IFERROR(NUMBERVALUE(CriteriTecnici!$N199,",","."),0))),4)&amp;""),",",".")&amp;", "&amp;CHAR(34)&amp;"numerator"&amp;CHAR(34)&amp;": "&amp;SUBSTITUTE(TRIM(ROUND(IFERROR(CriteriTecnici!$K199*1,IFERROR(NUMBERVALUE(CriteriTecnici!$K199,".",","),IFERROR(NUMBERVALUE(CriteriTecnici!$K199,",","."),0))),4)&amp;""),",",".")&amp;", "&amp;CHAR(34)&amp;"denominator"&amp;CHAR(34)&amp;": "&amp;SUBSTITUTE(TRIM(ROUND(IFERROR(CriteriTecnici!$L199*1,IFERROR(NUMBERVALUE(CriteriTecnici!$L199,".",","),IFERROR(NUMBERVALUE(CriteriTecnici!$L199,",","."),0))),4)&amp;""),",",".")&amp;", "&amp;CHAR(34)&amp;"flag"&amp;CHAR(34)&amp;": "&amp;SUBSTITUTE(TRIM(ROUND(IFERROR(CriteriTecnici!$M199*1,IFERROR(NUMBERVALUE(CriteriTecnici!$M199,".",","),IFERROR(NUMBERVALUE(CriteriTecnici!$M199,",","."),0))),4)&amp;""),",",".")&amp;", "&amp;CHAR(34)&amp;"rawScore"&amp;CHAR(34)&amp;": "&amp;SUBSTITUTE(TRIM(ROUND(IFERROR(CriteriTecnici!$O199*1,IFERROR(NUMBERVALUE(CriteriTecnici!$O199,".",","),IFERROR(NUMBERVALUE(CriteriTecnici!$O199,",","."),0))),4)&amp;""),",",".")&amp;CHAR(125)&amp;IF(TRUE,",",""))</f>
        <v/>
      </c>
    </row>
    <row r="301">
      <c r="A301" s="82">
        <f>IF(CriteriTecnici!$A200="","","    "&amp;CHAR(123)&amp;CHAR(34)&amp;"bidderId"&amp;CHAR(34)&amp;": "&amp;CHAR(34)&amp;SUBSTITUTE(CriteriTecnici!$A200,CHAR(34),"'")&amp;CHAR(34)&amp;", "&amp;CHAR(34)&amp;"lotId"&amp;CHAR(34)&amp;": "&amp;CHAR(34)&amp;SUBSTITUTE(CriteriTecnici!$C200,CHAR(34),"'")&amp;CHAR(34)&amp;", "&amp;CHAR(34)&amp;"criterionId"&amp;CHAR(34)&amp;": "&amp;CHAR(34)&amp;SUBSTITUTE(CriteriTecnici!$D200,CHAR(34),"'")&amp;CHAR(34)&amp;", "&amp;CHAR(34)&amp;"kind"&amp;CHAR(34)&amp;": "&amp;CHAR(34)&amp;SUBSTITUTE(CriteriTecnici!$F200,CHAR(34),"'")&amp;CHAR(34)&amp;", "&amp;CHAR(34)&amp;"value"&amp;CHAR(34)&amp;": "&amp;SUBSTITUTE(TRIM(ROUND(IFERROR(CriteriTecnici!$N200*1,IFERROR(NUMBERVALUE(CriteriTecnici!$N200,".",","),IFERROR(NUMBERVALUE(CriteriTecnici!$N200,",","."),0))),4)&amp;""),",",".")&amp;", "&amp;CHAR(34)&amp;"numerator"&amp;CHAR(34)&amp;": "&amp;SUBSTITUTE(TRIM(ROUND(IFERROR(CriteriTecnici!$K200*1,IFERROR(NUMBERVALUE(CriteriTecnici!$K200,".",","),IFERROR(NUMBERVALUE(CriteriTecnici!$K200,",","."),0))),4)&amp;""),",",".")&amp;", "&amp;CHAR(34)&amp;"denominator"&amp;CHAR(34)&amp;": "&amp;SUBSTITUTE(TRIM(ROUND(IFERROR(CriteriTecnici!$L200*1,IFERROR(NUMBERVALUE(CriteriTecnici!$L200,".",","),IFERROR(NUMBERVALUE(CriteriTecnici!$L200,",","."),0))),4)&amp;""),",",".")&amp;", "&amp;CHAR(34)&amp;"flag"&amp;CHAR(34)&amp;": "&amp;SUBSTITUTE(TRIM(ROUND(IFERROR(CriteriTecnici!$M200*1,IFERROR(NUMBERVALUE(CriteriTecnici!$M200,".",","),IFERROR(NUMBERVALUE(CriteriTecnici!$M200,",","."),0))),4)&amp;""),",",".")&amp;", "&amp;CHAR(34)&amp;"rawScore"&amp;CHAR(34)&amp;": "&amp;SUBSTITUTE(TRIM(ROUND(IFERROR(CriteriTecnici!$O200*1,IFERROR(NUMBERVALUE(CriteriTecnici!$O200,".",","),IFERROR(NUMBERVALUE(CriteriTecnici!$O200,",","."),0))),4)&amp;""),",",".")&amp;CHAR(125)&amp;IF(TRUE,",",""))</f>
        <v/>
      </c>
    </row>
    <row r="302">
      <c r="A302" s="82">
        <f>IF(CriteriTecnici!$A201="","","    "&amp;CHAR(123)&amp;CHAR(34)&amp;"bidderId"&amp;CHAR(34)&amp;": "&amp;CHAR(34)&amp;SUBSTITUTE(CriteriTecnici!$A201,CHAR(34),"'")&amp;CHAR(34)&amp;", "&amp;CHAR(34)&amp;"lotId"&amp;CHAR(34)&amp;": "&amp;CHAR(34)&amp;SUBSTITUTE(CriteriTecnici!$C201,CHAR(34),"'")&amp;CHAR(34)&amp;", "&amp;CHAR(34)&amp;"criterionId"&amp;CHAR(34)&amp;": "&amp;CHAR(34)&amp;SUBSTITUTE(CriteriTecnici!$D201,CHAR(34),"'")&amp;CHAR(34)&amp;", "&amp;CHAR(34)&amp;"kind"&amp;CHAR(34)&amp;": "&amp;CHAR(34)&amp;SUBSTITUTE(CriteriTecnici!$F201,CHAR(34),"'")&amp;CHAR(34)&amp;", "&amp;CHAR(34)&amp;"value"&amp;CHAR(34)&amp;": "&amp;SUBSTITUTE(TRIM(ROUND(IFERROR(CriteriTecnici!$N201*1,IFERROR(NUMBERVALUE(CriteriTecnici!$N201,".",","),IFERROR(NUMBERVALUE(CriteriTecnici!$N201,",","."),0))),4)&amp;""),",",".")&amp;", "&amp;CHAR(34)&amp;"numerator"&amp;CHAR(34)&amp;": "&amp;SUBSTITUTE(TRIM(ROUND(IFERROR(CriteriTecnici!$K201*1,IFERROR(NUMBERVALUE(CriteriTecnici!$K201,".",","),IFERROR(NUMBERVALUE(CriteriTecnici!$K201,",","."),0))),4)&amp;""),",",".")&amp;", "&amp;CHAR(34)&amp;"denominator"&amp;CHAR(34)&amp;": "&amp;SUBSTITUTE(TRIM(ROUND(IFERROR(CriteriTecnici!$L201*1,IFERROR(NUMBERVALUE(CriteriTecnici!$L201,".",","),IFERROR(NUMBERVALUE(CriteriTecnici!$L201,",","."),0))),4)&amp;""),",",".")&amp;", "&amp;CHAR(34)&amp;"flag"&amp;CHAR(34)&amp;": "&amp;SUBSTITUTE(TRIM(ROUND(IFERROR(CriteriTecnici!$M201*1,IFERROR(NUMBERVALUE(CriteriTecnici!$M201,".",","),IFERROR(NUMBERVALUE(CriteriTecnici!$M201,",","."),0))),4)&amp;""),",",".")&amp;", "&amp;CHAR(34)&amp;"rawScore"&amp;CHAR(34)&amp;": "&amp;SUBSTITUTE(TRIM(ROUND(IFERROR(CriteriTecnici!$O201*1,IFERROR(NUMBERVALUE(CriteriTecnici!$O201,".",","),IFERROR(NUMBERVALUE(CriteriTecnici!$O201,",","."),0))),4)&amp;""),",",".")&amp;CHAR(125)&amp;IF(TRUE,",",""))</f>
        <v/>
      </c>
    </row>
    <row r="303">
      <c r="A303" s="82">
        <f>IF(CriteriTecnici!$A202="","","    "&amp;CHAR(123)&amp;CHAR(34)&amp;"bidderId"&amp;CHAR(34)&amp;": "&amp;CHAR(34)&amp;SUBSTITUTE(CriteriTecnici!$A202,CHAR(34),"'")&amp;CHAR(34)&amp;", "&amp;CHAR(34)&amp;"lotId"&amp;CHAR(34)&amp;": "&amp;CHAR(34)&amp;SUBSTITUTE(CriteriTecnici!$C202,CHAR(34),"'")&amp;CHAR(34)&amp;", "&amp;CHAR(34)&amp;"criterionId"&amp;CHAR(34)&amp;": "&amp;CHAR(34)&amp;SUBSTITUTE(CriteriTecnici!$D202,CHAR(34),"'")&amp;CHAR(34)&amp;", "&amp;CHAR(34)&amp;"kind"&amp;CHAR(34)&amp;": "&amp;CHAR(34)&amp;SUBSTITUTE(CriteriTecnici!$F202,CHAR(34),"'")&amp;CHAR(34)&amp;", "&amp;CHAR(34)&amp;"value"&amp;CHAR(34)&amp;": "&amp;SUBSTITUTE(TRIM(ROUND(IFERROR(CriteriTecnici!$N202*1,IFERROR(NUMBERVALUE(CriteriTecnici!$N202,".",","),IFERROR(NUMBERVALUE(CriteriTecnici!$N202,",","."),0))),4)&amp;""),",",".")&amp;", "&amp;CHAR(34)&amp;"numerator"&amp;CHAR(34)&amp;": "&amp;SUBSTITUTE(TRIM(ROUND(IFERROR(CriteriTecnici!$K202*1,IFERROR(NUMBERVALUE(CriteriTecnici!$K202,".",","),IFERROR(NUMBERVALUE(CriteriTecnici!$K202,",","."),0))),4)&amp;""),",",".")&amp;", "&amp;CHAR(34)&amp;"denominator"&amp;CHAR(34)&amp;": "&amp;SUBSTITUTE(TRIM(ROUND(IFERROR(CriteriTecnici!$L202*1,IFERROR(NUMBERVALUE(CriteriTecnici!$L202,".",","),IFERROR(NUMBERVALUE(CriteriTecnici!$L202,",","."),0))),4)&amp;""),",",".")&amp;", "&amp;CHAR(34)&amp;"flag"&amp;CHAR(34)&amp;": "&amp;SUBSTITUTE(TRIM(ROUND(IFERROR(CriteriTecnici!$M202*1,IFERROR(NUMBERVALUE(CriteriTecnici!$M202,".",","),IFERROR(NUMBERVALUE(CriteriTecnici!$M202,",","."),0))),4)&amp;""),",",".")&amp;", "&amp;CHAR(34)&amp;"rawScore"&amp;CHAR(34)&amp;": "&amp;SUBSTITUTE(TRIM(ROUND(IFERROR(CriteriTecnici!$O202*1,IFERROR(NUMBERVALUE(CriteriTecnici!$O202,".",","),IFERROR(NUMBERVALUE(CriteriTecnici!$O202,",","."),0))),4)&amp;""),",",".")&amp;CHAR(125)&amp;IF(TRUE,",",""))</f>
        <v/>
      </c>
    </row>
    <row r="304">
      <c r="A304" s="82">
        <f>IF(CriteriTecnici!$A203="","","    "&amp;CHAR(123)&amp;CHAR(34)&amp;"bidderId"&amp;CHAR(34)&amp;": "&amp;CHAR(34)&amp;SUBSTITUTE(CriteriTecnici!$A203,CHAR(34),"'")&amp;CHAR(34)&amp;", "&amp;CHAR(34)&amp;"lotId"&amp;CHAR(34)&amp;": "&amp;CHAR(34)&amp;SUBSTITUTE(CriteriTecnici!$C203,CHAR(34),"'")&amp;CHAR(34)&amp;", "&amp;CHAR(34)&amp;"criterionId"&amp;CHAR(34)&amp;": "&amp;CHAR(34)&amp;SUBSTITUTE(CriteriTecnici!$D203,CHAR(34),"'")&amp;CHAR(34)&amp;", "&amp;CHAR(34)&amp;"kind"&amp;CHAR(34)&amp;": "&amp;CHAR(34)&amp;SUBSTITUTE(CriteriTecnici!$F203,CHAR(34),"'")&amp;CHAR(34)&amp;", "&amp;CHAR(34)&amp;"value"&amp;CHAR(34)&amp;": "&amp;SUBSTITUTE(TRIM(ROUND(IFERROR(CriteriTecnici!$N203*1,IFERROR(NUMBERVALUE(CriteriTecnici!$N203,".",","),IFERROR(NUMBERVALUE(CriteriTecnici!$N203,",","."),0))),4)&amp;""),",",".")&amp;", "&amp;CHAR(34)&amp;"numerator"&amp;CHAR(34)&amp;": "&amp;SUBSTITUTE(TRIM(ROUND(IFERROR(CriteriTecnici!$K203*1,IFERROR(NUMBERVALUE(CriteriTecnici!$K203,".",","),IFERROR(NUMBERVALUE(CriteriTecnici!$K203,",","."),0))),4)&amp;""),",",".")&amp;", "&amp;CHAR(34)&amp;"denominator"&amp;CHAR(34)&amp;": "&amp;SUBSTITUTE(TRIM(ROUND(IFERROR(CriteriTecnici!$L203*1,IFERROR(NUMBERVALUE(CriteriTecnici!$L203,".",","),IFERROR(NUMBERVALUE(CriteriTecnici!$L203,",","."),0))),4)&amp;""),",",".")&amp;", "&amp;CHAR(34)&amp;"flag"&amp;CHAR(34)&amp;": "&amp;SUBSTITUTE(TRIM(ROUND(IFERROR(CriteriTecnici!$M203*1,IFERROR(NUMBERVALUE(CriteriTecnici!$M203,".",","),IFERROR(NUMBERVALUE(CriteriTecnici!$M203,",","."),0))),4)&amp;""),",",".")&amp;", "&amp;CHAR(34)&amp;"rawScore"&amp;CHAR(34)&amp;": "&amp;SUBSTITUTE(TRIM(ROUND(IFERROR(CriteriTecnici!$O203*1,IFERROR(NUMBERVALUE(CriteriTecnici!$O203,".",","),IFERROR(NUMBERVALUE(CriteriTecnici!$O203,",","."),0))),4)&amp;""),",",".")&amp;CHAR(125)&amp;IF(TRUE,",",""))</f>
        <v/>
      </c>
    </row>
    <row r="305">
      <c r="A305" s="82">
        <f>IF(CriteriTecnici!$A204="","","    "&amp;CHAR(123)&amp;CHAR(34)&amp;"bidderId"&amp;CHAR(34)&amp;": "&amp;CHAR(34)&amp;SUBSTITUTE(CriteriTecnici!$A204,CHAR(34),"'")&amp;CHAR(34)&amp;", "&amp;CHAR(34)&amp;"lotId"&amp;CHAR(34)&amp;": "&amp;CHAR(34)&amp;SUBSTITUTE(CriteriTecnici!$C204,CHAR(34),"'")&amp;CHAR(34)&amp;", "&amp;CHAR(34)&amp;"criterionId"&amp;CHAR(34)&amp;": "&amp;CHAR(34)&amp;SUBSTITUTE(CriteriTecnici!$D204,CHAR(34),"'")&amp;CHAR(34)&amp;", "&amp;CHAR(34)&amp;"kind"&amp;CHAR(34)&amp;": "&amp;CHAR(34)&amp;SUBSTITUTE(CriteriTecnici!$F204,CHAR(34),"'")&amp;CHAR(34)&amp;", "&amp;CHAR(34)&amp;"value"&amp;CHAR(34)&amp;": "&amp;SUBSTITUTE(TRIM(ROUND(IFERROR(CriteriTecnici!$N204*1,IFERROR(NUMBERVALUE(CriteriTecnici!$N204,".",","),IFERROR(NUMBERVALUE(CriteriTecnici!$N204,",","."),0))),4)&amp;""),",",".")&amp;", "&amp;CHAR(34)&amp;"numerator"&amp;CHAR(34)&amp;": "&amp;SUBSTITUTE(TRIM(ROUND(IFERROR(CriteriTecnici!$K204*1,IFERROR(NUMBERVALUE(CriteriTecnici!$K204,".",","),IFERROR(NUMBERVALUE(CriteriTecnici!$K204,",","."),0))),4)&amp;""),",",".")&amp;", "&amp;CHAR(34)&amp;"denominator"&amp;CHAR(34)&amp;": "&amp;SUBSTITUTE(TRIM(ROUND(IFERROR(CriteriTecnici!$L204*1,IFERROR(NUMBERVALUE(CriteriTecnici!$L204,".",","),IFERROR(NUMBERVALUE(CriteriTecnici!$L204,",","."),0))),4)&amp;""),",",".")&amp;", "&amp;CHAR(34)&amp;"flag"&amp;CHAR(34)&amp;": "&amp;SUBSTITUTE(TRIM(ROUND(IFERROR(CriteriTecnici!$M204*1,IFERROR(NUMBERVALUE(CriteriTecnici!$M204,".",","),IFERROR(NUMBERVALUE(CriteriTecnici!$M204,",","."),0))),4)&amp;""),",",".")&amp;", "&amp;CHAR(34)&amp;"rawScore"&amp;CHAR(34)&amp;": "&amp;SUBSTITUTE(TRIM(ROUND(IFERROR(CriteriTecnici!$O204*1,IFERROR(NUMBERVALUE(CriteriTecnici!$O204,".",","),IFERROR(NUMBERVALUE(CriteriTecnici!$O204,",","."),0))),4)&amp;""),",",".")&amp;CHAR(125)&amp;IF(TRUE,",",""))</f>
        <v/>
      </c>
    </row>
    <row r="306">
      <c r="A306" s="82">
        <f>IF(CriteriTecnici!$A205="","","    "&amp;CHAR(123)&amp;CHAR(34)&amp;"bidderId"&amp;CHAR(34)&amp;": "&amp;CHAR(34)&amp;SUBSTITUTE(CriteriTecnici!$A205,CHAR(34),"'")&amp;CHAR(34)&amp;", "&amp;CHAR(34)&amp;"lotId"&amp;CHAR(34)&amp;": "&amp;CHAR(34)&amp;SUBSTITUTE(CriteriTecnici!$C205,CHAR(34),"'")&amp;CHAR(34)&amp;", "&amp;CHAR(34)&amp;"criterionId"&amp;CHAR(34)&amp;": "&amp;CHAR(34)&amp;SUBSTITUTE(CriteriTecnici!$D205,CHAR(34),"'")&amp;CHAR(34)&amp;", "&amp;CHAR(34)&amp;"kind"&amp;CHAR(34)&amp;": "&amp;CHAR(34)&amp;SUBSTITUTE(CriteriTecnici!$F205,CHAR(34),"'")&amp;CHAR(34)&amp;", "&amp;CHAR(34)&amp;"value"&amp;CHAR(34)&amp;": "&amp;SUBSTITUTE(TRIM(ROUND(IFERROR(CriteriTecnici!$N205*1,IFERROR(NUMBERVALUE(CriteriTecnici!$N205,".",","),IFERROR(NUMBERVALUE(CriteriTecnici!$N205,",","."),0))),4)&amp;""),",",".")&amp;", "&amp;CHAR(34)&amp;"numerator"&amp;CHAR(34)&amp;": "&amp;SUBSTITUTE(TRIM(ROUND(IFERROR(CriteriTecnici!$K205*1,IFERROR(NUMBERVALUE(CriteriTecnici!$K205,".",","),IFERROR(NUMBERVALUE(CriteriTecnici!$K205,",","."),0))),4)&amp;""),",",".")&amp;", "&amp;CHAR(34)&amp;"denominator"&amp;CHAR(34)&amp;": "&amp;SUBSTITUTE(TRIM(ROUND(IFERROR(CriteriTecnici!$L205*1,IFERROR(NUMBERVALUE(CriteriTecnici!$L205,".",","),IFERROR(NUMBERVALUE(CriteriTecnici!$L205,",","."),0))),4)&amp;""),",",".")&amp;", "&amp;CHAR(34)&amp;"flag"&amp;CHAR(34)&amp;": "&amp;SUBSTITUTE(TRIM(ROUND(IFERROR(CriteriTecnici!$M205*1,IFERROR(NUMBERVALUE(CriteriTecnici!$M205,".",","),IFERROR(NUMBERVALUE(CriteriTecnici!$M205,",","."),0))),4)&amp;""),",",".")&amp;", "&amp;CHAR(34)&amp;"rawScore"&amp;CHAR(34)&amp;": "&amp;SUBSTITUTE(TRIM(ROUND(IFERROR(CriteriTecnici!$O205*1,IFERROR(NUMBERVALUE(CriteriTecnici!$O205,".",","),IFERROR(NUMBERVALUE(CriteriTecnici!$O205,",","."),0))),4)&amp;""),",",".")&amp;CHAR(125)&amp;IF(TRUE,",",""))</f>
        <v/>
      </c>
    </row>
    <row r="307">
      <c r="A307" s="82">
        <f>IF(CriteriTecnici!$A206="","","    "&amp;CHAR(123)&amp;CHAR(34)&amp;"bidderId"&amp;CHAR(34)&amp;": "&amp;CHAR(34)&amp;SUBSTITUTE(CriteriTecnici!$A206,CHAR(34),"'")&amp;CHAR(34)&amp;", "&amp;CHAR(34)&amp;"lotId"&amp;CHAR(34)&amp;": "&amp;CHAR(34)&amp;SUBSTITUTE(CriteriTecnici!$C206,CHAR(34),"'")&amp;CHAR(34)&amp;", "&amp;CHAR(34)&amp;"criterionId"&amp;CHAR(34)&amp;": "&amp;CHAR(34)&amp;SUBSTITUTE(CriteriTecnici!$D206,CHAR(34),"'")&amp;CHAR(34)&amp;", "&amp;CHAR(34)&amp;"kind"&amp;CHAR(34)&amp;": "&amp;CHAR(34)&amp;SUBSTITUTE(CriteriTecnici!$F206,CHAR(34),"'")&amp;CHAR(34)&amp;", "&amp;CHAR(34)&amp;"value"&amp;CHAR(34)&amp;": "&amp;SUBSTITUTE(TRIM(ROUND(IFERROR(CriteriTecnici!$N206*1,IFERROR(NUMBERVALUE(CriteriTecnici!$N206,".",","),IFERROR(NUMBERVALUE(CriteriTecnici!$N206,",","."),0))),4)&amp;""),",",".")&amp;", "&amp;CHAR(34)&amp;"numerator"&amp;CHAR(34)&amp;": "&amp;SUBSTITUTE(TRIM(ROUND(IFERROR(CriteriTecnici!$K206*1,IFERROR(NUMBERVALUE(CriteriTecnici!$K206,".",","),IFERROR(NUMBERVALUE(CriteriTecnici!$K206,",","."),0))),4)&amp;""),",",".")&amp;", "&amp;CHAR(34)&amp;"denominator"&amp;CHAR(34)&amp;": "&amp;SUBSTITUTE(TRIM(ROUND(IFERROR(CriteriTecnici!$L206*1,IFERROR(NUMBERVALUE(CriteriTecnici!$L206,".",","),IFERROR(NUMBERVALUE(CriteriTecnici!$L206,",","."),0))),4)&amp;""),",",".")&amp;", "&amp;CHAR(34)&amp;"flag"&amp;CHAR(34)&amp;": "&amp;SUBSTITUTE(TRIM(ROUND(IFERROR(CriteriTecnici!$M206*1,IFERROR(NUMBERVALUE(CriteriTecnici!$M206,".",","),IFERROR(NUMBERVALUE(CriteriTecnici!$M206,",","."),0))),4)&amp;""),",",".")&amp;", "&amp;CHAR(34)&amp;"rawScore"&amp;CHAR(34)&amp;": "&amp;SUBSTITUTE(TRIM(ROUND(IFERROR(CriteriTecnici!$O206*1,IFERROR(NUMBERVALUE(CriteriTecnici!$O206,".",","),IFERROR(NUMBERVALUE(CriteriTecnici!$O206,",","."),0))),4)&amp;""),",",".")&amp;CHAR(125)&amp;IF(TRUE,",",""))</f>
        <v/>
      </c>
    </row>
    <row r="308">
      <c r="A308" s="82">
        <f>IF(CriteriTecnici!$A207="","","    "&amp;CHAR(123)&amp;CHAR(34)&amp;"bidderId"&amp;CHAR(34)&amp;": "&amp;CHAR(34)&amp;SUBSTITUTE(CriteriTecnici!$A207,CHAR(34),"'")&amp;CHAR(34)&amp;", "&amp;CHAR(34)&amp;"lotId"&amp;CHAR(34)&amp;": "&amp;CHAR(34)&amp;SUBSTITUTE(CriteriTecnici!$C207,CHAR(34),"'")&amp;CHAR(34)&amp;", "&amp;CHAR(34)&amp;"criterionId"&amp;CHAR(34)&amp;": "&amp;CHAR(34)&amp;SUBSTITUTE(CriteriTecnici!$D207,CHAR(34),"'")&amp;CHAR(34)&amp;", "&amp;CHAR(34)&amp;"kind"&amp;CHAR(34)&amp;": "&amp;CHAR(34)&amp;SUBSTITUTE(CriteriTecnici!$F207,CHAR(34),"'")&amp;CHAR(34)&amp;", "&amp;CHAR(34)&amp;"value"&amp;CHAR(34)&amp;": "&amp;SUBSTITUTE(TRIM(ROUND(IFERROR(CriteriTecnici!$N207*1,IFERROR(NUMBERVALUE(CriteriTecnici!$N207,".",","),IFERROR(NUMBERVALUE(CriteriTecnici!$N207,",","."),0))),4)&amp;""),",",".")&amp;", "&amp;CHAR(34)&amp;"numerator"&amp;CHAR(34)&amp;": "&amp;SUBSTITUTE(TRIM(ROUND(IFERROR(CriteriTecnici!$K207*1,IFERROR(NUMBERVALUE(CriteriTecnici!$K207,".",","),IFERROR(NUMBERVALUE(CriteriTecnici!$K207,",","."),0))),4)&amp;""),",",".")&amp;", "&amp;CHAR(34)&amp;"denominator"&amp;CHAR(34)&amp;": "&amp;SUBSTITUTE(TRIM(ROUND(IFERROR(CriteriTecnici!$L207*1,IFERROR(NUMBERVALUE(CriteriTecnici!$L207,".",","),IFERROR(NUMBERVALUE(CriteriTecnici!$L207,",","."),0))),4)&amp;""),",",".")&amp;", "&amp;CHAR(34)&amp;"flag"&amp;CHAR(34)&amp;": "&amp;SUBSTITUTE(TRIM(ROUND(IFERROR(CriteriTecnici!$M207*1,IFERROR(NUMBERVALUE(CriteriTecnici!$M207,".",","),IFERROR(NUMBERVALUE(CriteriTecnici!$M207,",","."),0))),4)&amp;""),",",".")&amp;", "&amp;CHAR(34)&amp;"rawScore"&amp;CHAR(34)&amp;": "&amp;SUBSTITUTE(TRIM(ROUND(IFERROR(CriteriTecnici!$O207*1,IFERROR(NUMBERVALUE(CriteriTecnici!$O207,".",","),IFERROR(NUMBERVALUE(CriteriTecnici!$O207,",","."),0))),4)&amp;""),",",".")&amp;CHAR(125)&amp;IF(TRUE,",",""))</f>
        <v/>
      </c>
    </row>
    <row r="309">
      <c r="A309" s="82">
        <f>IF(CriteriTecnici!$A208="","","    "&amp;CHAR(123)&amp;CHAR(34)&amp;"bidderId"&amp;CHAR(34)&amp;": "&amp;CHAR(34)&amp;SUBSTITUTE(CriteriTecnici!$A208,CHAR(34),"'")&amp;CHAR(34)&amp;", "&amp;CHAR(34)&amp;"lotId"&amp;CHAR(34)&amp;": "&amp;CHAR(34)&amp;SUBSTITUTE(CriteriTecnici!$C208,CHAR(34),"'")&amp;CHAR(34)&amp;", "&amp;CHAR(34)&amp;"criterionId"&amp;CHAR(34)&amp;": "&amp;CHAR(34)&amp;SUBSTITUTE(CriteriTecnici!$D208,CHAR(34),"'")&amp;CHAR(34)&amp;", "&amp;CHAR(34)&amp;"kind"&amp;CHAR(34)&amp;": "&amp;CHAR(34)&amp;SUBSTITUTE(CriteriTecnici!$F208,CHAR(34),"'")&amp;CHAR(34)&amp;", "&amp;CHAR(34)&amp;"value"&amp;CHAR(34)&amp;": "&amp;SUBSTITUTE(TRIM(ROUND(IFERROR(CriteriTecnici!$N208*1,IFERROR(NUMBERVALUE(CriteriTecnici!$N208,".",","),IFERROR(NUMBERVALUE(CriteriTecnici!$N208,",","."),0))),4)&amp;""),",",".")&amp;", "&amp;CHAR(34)&amp;"numerator"&amp;CHAR(34)&amp;": "&amp;SUBSTITUTE(TRIM(ROUND(IFERROR(CriteriTecnici!$K208*1,IFERROR(NUMBERVALUE(CriteriTecnici!$K208,".",","),IFERROR(NUMBERVALUE(CriteriTecnici!$K208,",","."),0))),4)&amp;""),",",".")&amp;", "&amp;CHAR(34)&amp;"denominator"&amp;CHAR(34)&amp;": "&amp;SUBSTITUTE(TRIM(ROUND(IFERROR(CriteriTecnici!$L208*1,IFERROR(NUMBERVALUE(CriteriTecnici!$L208,".",","),IFERROR(NUMBERVALUE(CriteriTecnici!$L208,",","."),0))),4)&amp;""),",",".")&amp;", "&amp;CHAR(34)&amp;"flag"&amp;CHAR(34)&amp;": "&amp;SUBSTITUTE(TRIM(ROUND(IFERROR(CriteriTecnici!$M208*1,IFERROR(NUMBERVALUE(CriteriTecnici!$M208,".",","),IFERROR(NUMBERVALUE(CriteriTecnici!$M208,",","."),0))),4)&amp;""),",",".")&amp;", "&amp;CHAR(34)&amp;"rawScore"&amp;CHAR(34)&amp;": "&amp;SUBSTITUTE(TRIM(ROUND(IFERROR(CriteriTecnici!$O208*1,IFERROR(NUMBERVALUE(CriteriTecnici!$O208,".",","),IFERROR(NUMBERVALUE(CriteriTecnici!$O208,",","."),0))),4)&amp;""),",",".")&amp;CHAR(125)&amp;IF(TRUE,",",""))</f>
        <v/>
      </c>
    </row>
    <row r="310">
      <c r="A310" s="82">
        <f>IF(CriteriTecnici!$A209="","","    "&amp;CHAR(123)&amp;CHAR(34)&amp;"bidderId"&amp;CHAR(34)&amp;": "&amp;CHAR(34)&amp;SUBSTITUTE(CriteriTecnici!$A209,CHAR(34),"'")&amp;CHAR(34)&amp;", "&amp;CHAR(34)&amp;"lotId"&amp;CHAR(34)&amp;": "&amp;CHAR(34)&amp;SUBSTITUTE(CriteriTecnici!$C209,CHAR(34),"'")&amp;CHAR(34)&amp;", "&amp;CHAR(34)&amp;"criterionId"&amp;CHAR(34)&amp;": "&amp;CHAR(34)&amp;SUBSTITUTE(CriteriTecnici!$D209,CHAR(34),"'")&amp;CHAR(34)&amp;", "&amp;CHAR(34)&amp;"kind"&amp;CHAR(34)&amp;": "&amp;CHAR(34)&amp;SUBSTITUTE(CriteriTecnici!$F209,CHAR(34),"'")&amp;CHAR(34)&amp;", "&amp;CHAR(34)&amp;"value"&amp;CHAR(34)&amp;": "&amp;SUBSTITUTE(TRIM(ROUND(IFERROR(CriteriTecnici!$N209*1,IFERROR(NUMBERVALUE(CriteriTecnici!$N209,".",","),IFERROR(NUMBERVALUE(CriteriTecnici!$N209,",","."),0))),4)&amp;""),",",".")&amp;", "&amp;CHAR(34)&amp;"numerator"&amp;CHAR(34)&amp;": "&amp;SUBSTITUTE(TRIM(ROUND(IFERROR(CriteriTecnici!$K209*1,IFERROR(NUMBERVALUE(CriteriTecnici!$K209,".",","),IFERROR(NUMBERVALUE(CriteriTecnici!$K209,",","."),0))),4)&amp;""),",",".")&amp;", "&amp;CHAR(34)&amp;"denominator"&amp;CHAR(34)&amp;": "&amp;SUBSTITUTE(TRIM(ROUND(IFERROR(CriteriTecnici!$L209*1,IFERROR(NUMBERVALUE(CriteriTecnici!$L209,".",","),IFERROR(NUMBERVALUE(CriteriTecnici!$L209,",","."),0))),4)&amp;""),",",".")&amp;", "&amp;CHAR(34)&amp;"flag"&amp;CHAR(34)&amp;": "&amp;SUBSTITUTE(TRIM(ROUND(IFERROR(CriteriTecnici!$M209*1,IFERROR(NUMBERVALUE(CriteriTecnici!$M209,".",","),IFERROR(NUMBERVALUE(CriteriTecnici!$M209,",","."),0))),4)&amp;""),",",".")&amp;", "&amp;CHAR(34)&amp;"rawScore"&amp;CHAR(34)&amp;": "&amp;SUBSTITUTE(TRIM(ROUND(IFERROR(CriteriTecnici!$O209*1,IFERROR(NUMBERVALUE(CriteriTecnici!$O209,".",","),IFERROR(NUMBERVALUE(CriteriTecnici!$O209,",","."),0))),4)&amp;""),",",".")&amp;CHAR(125)&amp;IF(TRUE,",",""))</f>
        <v/>
      </c>
    </row>
    <row r="311">
      <c r="A311" s="82">
        <f>IF(CriteriTecnici!$A210="","","    "&amp;CHAR(123)&amp;CHAR(34)&amp;"bidderId"&amp;CHAR(34)&amp;": "&amp;CHAR(34)&amp;SUBSTITUTE(CriteriTecnici!$A210,CHAR(34),"'")&amp;CHAR(34)&amp;", "&amp;CHAR(34)&amp;"lotId"&amp;CHAR(34)&amp;": "&amp;CHAR(34)&amp;SUBSTITUTE(CriteriTecnici!$C210,CHAR(34),"'")&amp;CHAR(34)&amp;", "&amp;CHAR(34)&amp;"criterionId"&amp;CHAR(34)&amp;": "&amp;CHAR(34)&amp;SUBSTITUTE(CriteriTecnici!$D210,CHAR(34),"'")&amp;CHAR(34)&amp;", "&amp;CHAR(34)&amp;"kind"&amp;CHAR(34)&amp;": "&amp;CHAR(34)&amp;SUBSTITUTE(CriteriTecnici!$F210,CHAR(34),"'")&amp;CHAR(34)&amp;", "&amp;CHAR(34)&amp;"value"&amp;CHAR(34)&amp;": "&amp;SUBSTITUTE(TRIM(ROUND(IFERROR(CriteriTecnici!$N210*1,IFERROR(NUMBERVALUE(CriteriTecnici!$N210,".",","),IFERROR(NUMBERVALUE(CriteriTecnici!$N210,",","."),0))),4)&amp;""),",",".")&amp;", "&amp;CHAR(34)&amp;"numerator"&amp;CHAR(34)&amp;": "&amp;SUBSTITUTE(TRIM(ROUND(IFERROR(CriteriTecnici!$K210*1,IFERROR(NUMBERVALUE(CriteriTecnici!$K210,".",","),IFERROR(NUMBERVALUE(CriteriTecnici!$K210,",","."),0))),4)&amp;""),",",".")&amp;", "&amp;CHAR(34)&amp;"denominator"&amp;CHAR(34)&amp;": "&amp;SUBSTITUTE(TRIM(ROUND(IFERROR(CriteriTecnici!$L210*1,IFERROR(NUMBERVALUE(CriteriTecnici!$L210,".",","),IFERROR(NUMBERVALUE(CriteriTecnici!$L210,",","."),0))),4)&amp;""),",",".")&amp;", "&amp;CHAR(34)&amp;"flag"&amp;CHAR(34)&amp;": "&amp;SUBSTITUTE(TRIM(ROUND(IFERROR(CriteriTecnici!$M210*1,IFERROR(NUMBERVALUE(CriteriTecnici!$M210,".",","),IFERROR(NUMBERVALUE(CriteriTecnici!$M210,",","."),0))),4)&amp;""),",",".")&amp;", "&amp;CHAR(34)&amp;"rawScore"&amp;CHAR(34)&amp;": "&amp;SUBSTITUTE(TRIM(ROUND(IFERROR(CriteriTecnici!$O210*1,IFERROR(NUMBERVALUE(CriteriTecnici!$O210,".",","),IFERROR(NUMBERVALUE(CriteriTecnici!$O210,",","."),0))),4)&amp;""),",",".")&amp;CHAR(125)&amp;IF(TRUE,",",""))</f>
        <v/>
      </c>
    </row>
    <row r="312">
      <c r="A312" s="82">
        <f>IF(CriteriTecnici!$A211="","","    "&amp;CHAR(123)&amp;CHAR(34)&amp;"bidderId"&amp;CHAR(34)&amp;": "&amp;CHAR(34)&amp;SUBSTITUTE(CriteriTecnici!$A211,CHAR(34),"'")&amp;CHAR(34)&amp;", "&amp;CHAR(34)&amp;"lotId"&amp;CHAR(34)&amp;": "&amp;CHAR(34)&amp;SUBSTITUTE(CriteriTecnici!$C211,CHAR(34),"'")&amp;CHAR(34)&amp;", "&amp;CHAR(34)&amp;"criterionId"&amp;CHAR(34)&amp;": "&amp;CHAR(34)&amp;SUBSTITUTE(CriteriTecnici!$D211,CHAR(34),"'")&amp;CHAR(34)&amp;", "&amp;CHAR(34)&amp;"kind"&amp;CHAR(34)&amp;": "&amp;CHAR(34)&amp;SUBSTITUTE(CriteriTecnici!$F211,CHAR(34),"'")&amp;CHAR(34)&amp;", "&amp;CHAR(34)&amp;"value"&amp;CHAR(34)&amp;": "&amp;SUBSTITUTE(TRIM(ROUND(IFERROR(CriteriTecnici!$N211*1,IFERROR(NUMBERVALUE(CriteriTecnici!$N211,".",","),IFERROR(NUMBERVALUE(CriteriTecnici!$N211,",","."),0))),4)&amp;""),",",".")&amp;", "&amp;CHAR(34)&amp;"numerator"&amp;CHAR(34)&amp;": "&amp;SUBSTITUTE(TRIM(ROUND(IFERROR(CriteriTecnici!$K211*1,IFERROR(NUMBERVALUE(CriteriTecnici!$K211,".",","),IFERROR(NUMBERVALUE(CriteriTecnici!$K211,",","."),0))),4)&amp;""),",",".")&amp;", "&amp;CHAR(34)&amp;"denominator"&amp;CHAR(34)&amp;": "&amp;SUBSTITUTE(TRIM(ROUND(IFERROR(CriteriTecnici!$L211*1,IFERROR(NUMBERVALUE(CriteriTecnici!$L211,".",","),IFERROR(NUMBERVALUE(CriteriTecnici!$L211,",","."),0))),4)&amp;""),",",".")&amp;", "&amp;CHAR(34)&amp;"flag"&amp;CHAR(34)&amp;": "&amp;SUBSTITUTE(TRIM(ROUND(IFERROR(CriteriTecnici!$M211*1,IFERROR(NUMBERVALUE(CriteriTecnici!$M211,".",","),IFERROR(NUMBERVALUE(CriteriTecnici!$M211,",","."),0))),4)&amp;""),",",".")&amp;", "&amp;CHAR(34)&amp;"rawScore"&amp;CHAR(34)&amp;": "&amp;SUBSTITUTE(TRIM(ROUND(IFERROR(CriteriTecnici!$O211*1,IFERROR(NUMBERVALUE(CriteriTecnici!$O211,".",","),IFERROR(NUMBERVALUE(CriteriTecnici!$O211,",","."),0))),4)&amp;""),",",".")&amp;CHAR(125)&amp;IF(TRUE,",",""))</f>
        <v/>
      </c>
    </row>
    <row r="313">
      <c r="A313" s="82">
        <f>IF(CriteriTecnici!$A212="","","    "&amp;CHAR(123)&amp;CHAR(34)&amp;"bidderId"&amp;CHAR(34)&amp;": "&amp;CHAR(34)&amp;SUBSTITUTE(CriteriTecnici!$A212,CHAR(34),"'")&amp;CHAR(34)&amp;", "&amp;CHAR(34)&amp;"lotId"&amp;CHAR(34)&amp;": "&amp;CHAR(34)&amp;SUBSTITUTE(CriteriTecnici!$C212,CHAR(34),"'")&amp;CHAR(34)&amp;", "&amp;CHAR(34)&amp;"criterionId"&amp;CHAR(34)&amp;": "&amp;CHAR(34)&amp;SUBSTITUTE(CriteriTecnici!$D212,CHAR(34),"'")&amp;CHAR(34)&amp;", "&amp;CHAR(34)&amp;"kind"&amp;CHAR(34)&amp;": "&amp;CHAR(34)&amp;SUBSTITUTE(CriteriTecnici!$F212,CHAR(34),"'")&amp;CHAR(34)&amp;", "&amp;CHAR(34)&amp;"value"&amp;CHAR(34)&amp;": "&amp;SUBSTITUTE(TRIM(ROUND(IFERROR(CriteriTecnici!$N212*1,IFERROR(NUMBERVALUE(CriteriTecnici!$N212,".",","),IFERROR(NUMBERVALUE(CriteriTecnici!$N212,",","."),0))),4)&amp;""),",",".")&amp;", "&amp;CHAR(34)&amp;"numerator"&amp;CHAR(34)&amp;": "&amp;SUBSTITUTE(TRIM(ROUND(IFERROR(CriteriTecnici!$K212*1,IFERROR(NUMBERVALUE(CriteriTecnici!$K212,".",","),IFERROR(NUMBERVALUE(CriteriTecnici!$K212,",","."),0))),4)&amp;""),",",".")&amp;", "&amp;CHAR(34)&amp;"denominator"&amp;CHAR(34)&amp;": "&amp;SUBSTITUTE(TRIM(ROUND(IFERROR(CriteriTecnici!$L212*1,IFERROR(NUMBERVALUE(CriteriTecnici!$L212,".",","),IFERROR(NUMBERVALUE(CriteriTecnici!$L212,",","."),0))),4)&amp;""),",",".")&amp;", "&amp;CHAR(34)&amp;"flag"&amp;CHAR(34)&amp;": "&amp;SUBSTITUTE(TRIM(ROUND(IFERROR(CriteriTecnici!$M212*1,IFERROR(NUMBERVALUE(CriteriTecnici!$M212,".",","),IFERROR(NUMBERVALUE(CriteriTecnici!$M212,",","."),0))),4)&amp;""),",",".")&amp;", "&amp;CHAR(34)&amp;"rawScore"&amp;CHAR(34)&amp;": "&amp;SUBSTITUTE(TRIM(ROUND(IFERROR(CriteriTecnici!$O212*1,IFERROR(NUMBERVALUE(CriteriTecnici!$O212,".",","),IFERROR(NUMBERVALUE(CriteriTecnici!$O212,",","."),0))),4)&amp;""),",",".")&amp;CHAR(125)&amp;IF(TRUE,",",""))</f>
        <v/>
      </c>
    </row>
    <row r="314">
      <c r="A314" s="82">
        <f>IF(CriteriTecnici!$A213="","","    "&amp;CHAR(123)&amp;CHAR(34)&amp;"bidderId"&amp;CHAR(34)&amp;": "&amp;CHAR(34)&amp;SUBSTITUTE(CriteriTecnici!$A213,CHAR(34),"'")&amp;CHAR(34)&amp;", "&amp;CHAR(34)&amp;"lotId"&amp;CHAR(34)&amp;": "&amp;CHAR(34)&amp;SUBSTITUTE(CriteriTecnici!$C213,CHAR(34),"'")&amp;CHAR(34)&amp;", "&amp;CHAR(34)&amp;"criterionId"&amp;CHAR(34)&amp;": "&amp;CHAR(34)&amp;SUBSTITUTE(CriteriTecnici!$D213,CHAR(34),"'")&amp;CHAR(34)&amp;", "&amp;CHAR(34)&amp;"kind"&amp;CHAR(34)&amp;": "&amp;CHAR(34)&amp;SUBSTITUTE(CriteriTecnici!$F213,CHAR(34),"'")&amp;CHAR(34)&amp;", "&amp;CHAR(34)&amp;"value"&amp;CHAR(34)&amp;": "&amp;SUBSTITUTE(TRIM(ROUND(IFERROR(CriteriTecnici!$N213*1,IFERROR(NUMBERVALUE(CriteriTecnici!$N213,".",","),IFERROR(NUMBERVALUE(CriteriTecnici!$N213,",","."),0))),4)&amp;""),",",".")&amp;", "&amp;CHAR(34)&amp;"numerator"&amp;CHAR(34)&amp;": "&amp;SUBSTITUTE(TRIM(ROUND(IFERROR(CriteriTecnici!$K213*1,IFERROR(NUMBERVALUE(CriteriTecnici!$K213,".",","),IFERROR(NUMBERVALUE(CriteriTecnici!$K213,",","."),0))),4)&amp;""),",",".")&amp;", "&amp;CHAR(34)&amp;"denominator"&amp;CHAR(34)&amp;": "&amp;SUBSTITUTE(TRIM(ROUND(IFERROR(CriteriTecnici!$L213*1,IFERROR(NUMBERVALUE(CriteriTecnici!$L213,".",","),IFERROR(NUMBERVALUE(CriteriTecnici!$L213,",","."),0))),4)&amp;""),",",".")&amp;", "&amp;CHAR(34)&amp;"flag"&amp;CHAR(34)&amp;": "&amp;SUBSTITUTE(TRIM(ROUND(IFERROR(CriteriTecnici!$M213*1,IFERROR(NUMBERVALUE(CriteriTecnici!$M213,".",","),IFERROR(NUMBERVALUE(CriteriTecnici!$M213,",","."),0))),4)&amp;""),",",".")&amp;", "&amp;CHAR(34)&amp;"rawScore"&amp;CHAR(34)&amp;": "&amp;SUBSTITUTE(TRIM(ROUND(IFERROR(CriteriTecnici!$O213*1,IFERROR(NUMBERVALUE(CriteriTecnici!$O213,".",","),IFERROR(NUMBERVALUE(CriteriTecnici!$O213,",","."),0))),4)&amp;""),",",".")&amp;CHAR(125)&amp;IF(TRUE,",",""))</f>
        <v/>
      </c>
    </row>
    <row r="315">
      <c r="A315" s="82">
        <f>IF(CriteriTecnici!$A214="","","    "&amp;CHAR(123)&amp;CHAR(34)&amp;"bidderId"&amp;CHAR(34)&amp;": "&amp;CHAR(34)&amp;SUBSTITUTE(CriteriTecnici!$A214,CHAR(34),"'")&amp;CHAR(34)&amp;", "&amp;CHAR(34)&amp;"lotId"&amp;CHAR(34)&amp;": "&amp;CHAR(34)&amp;SUBSTITUTE(CriteriTecnici!$C214,CHAR(34),"'")&amp;CHAR(34)&amp;", "&amp;CHAR(34)&amp;"criterionId"&amp;CHAR(34)&amp;": "&amp;CHAR(34)&amp;SUBSTITUTE(CriteriTecnici!$D214,CHAR(34),"'")&amp;CHAR(34)&amp;", "&amp;CHAR(34)&amp;"kind"&amp;CHAR(34)&amp;": "&amp;CHAR(34)&amp;SUBSTITUTE(CriteriTecnici!$F214,CHAR(34),"'")&amp;CHAR(34)&amp;", "&amp;CHAR(34)&amp;"value"&amp;CHAR(34)&amp;": "&amp;SUBSTITUTE(TRIM(ROUND(IFERROR(CriteriTecnici!$N214*1,IFERROR(NUMBERVALUE(CriteriTecnici!$N214,".",","),IFERROR(NUMBERVALUE(CriteriTecnici!$N214,",","."),0))),4)&amp;""),",",".")&amp;", "&amp;CHAR(34)&amp;"numerator"&amp;CHAR(34)&amp;": "&amp;SUBSTITUTE(TRIM(ROUND(IFERROR(CriteriTecnici!$K214*1,IFERROR(NUMBERVALUE(CriteriTecnici!$K214,".",","),IFERROR(NUMBERVALUE(CriteriTecnici!$K214,",","."),0))),4)&amp;""),",",".")&amp;", "&amp;CHAR(34)&amp;"denominator"&amp;CHAR(34)&amp;": "&amp;SUBSTITUTE(TRIM(ROUND(IFERROR(CriteriTecnici!$L214*1,IFERROR(NUMBERVALUE(CriteriTecnici!$L214,".",","),IFERROR(NUMBERVALUE(CriteriTecnici!$L214,",","."),0))),4)&amp;""),",",".")&amp;", "&amp;CHAR(34)&amp;"flag"&amp;CHAR(34)&amp;": "&amp;SUBSTITUTE(TRIM(ROUND(IFERROR(CriteriTecnici!$M214*1,IFERROR(NUMBERVALUE(CriteriTecnici!$M214,".",","),IFERROR(NUMBERVALUE(CriteriTecnici!$M214,",","."),0))),4)&amp;""),",",".")&amp;", "&amp;CHAR(34)&amp;"rawScore"&amp;CHAR(34)&amp;": "&amp;SUBSTITUTE(TRIM(ROUND(IFERROR(CriteriTecnici!$O214*1,IFERROR(NUMBERVALUE(CriteriTecnici!$O214,".",","),IFERROR(NUMBERVALUE(CriteriTecnici!$O214,",","."),0))),4)&amp;""),",",".")&amp;CHAR(125)&amp;IF(TRUE,",",""))</f>
        <v/>
      </c>
    </row>
    <row r="316">
      <c r="A316" s="82">
        <f>IF(CriteriTecnici!$A215="","","    "&amp;CHAR(123)&amp;CHAR(34)&amp;"bidderId"&amp;CHAR(34)&amp;": "&amp;CHAR(34)&amp;SUBSTITUTE(CriteriTecnici!$A215,CHAR(34),"'")&amp;CHAR(34)&amp;", "&amp;CHAR(34)&amp;"lotId"&amp;CHAR(34)&amp;": "&amp;CHAR(34)&amp;SUBSTITUTE(CriteriTecnici!$C215,CHAR(34),"'")&amp;CHAR(34)&amp;", "&amp;CHAR(34)&amp;"criterionId"&amp;CHAR(34)&amp;": "&amp;CHAR(34)&amp;SUBSTITUTE(CriteriTecnici!$D215,CHAR(34),"'")&amp;CHAR(34)&amp;", "&amp;CHAR(34)&amp;"kind"&amp;CHAR(34)&amp;": "&amp;CHAR(34)&amp;SUBSTITUTE(CriteriTecnici!$F215,CHAR(34),"'")&amp;CHAR(34)&amp;", "&amp;CHAR(34)&amp;"value"&amp;CHAR(34)&amp;": "&amp;SUBSTITUTE(TRIM(ROUND(IFERROR(CriteriTecnici!$N215*1,IFERROR(NUMBERVALUE(CriteriTecnici!$N215,".",","),IFERROR(NUMBERVALUE(CriteriTecnici!$N215,",","."),0))),4)&amp;""),",",".")&amp;", "&amp;CHAR(34)&amp;"numerator"&amp;CHAR(34)&amp;": "&amp;SUBSTITUTE(TRIM(ROUND(IFERROR(CriteriTecnici!$K215*1,IFERROR(NUMBERVALUE(CriteriTecnici!$K215,".",","),IFERROR(NUMBERVALUE(CriteriTecnici!$K215,",","."),0))),4)&amp;""),",",".")&amp;", "&amp;CHAR(34)&amp;"denominator"&amp;CHAR(34)&amp;": "&amp;SUBSTITUTE(TRIM(ROUND(IFERROR(CriteriTecnici!$L215*1,IFERROR(NUMBERVALUE(CriteriTecnici!$L215,".",","),IFERROR(NUMBERVALUE(CriteriTecnici!$L215,",","."),0))),4)&amp;""),",",".")&amp;", "&amp;CHAR(34)&amp;"flag"&amp;CHAR(34)&amp;": "&amp;SUBSTITUTE(TRIM(ROUND(IFERROR(CriteriTecnici!$M215*1,IFERROR(NUMBERVALUE(CriteriTecnici!$M215,".",","),IFERROR(NUMBERVALUE(CriteriTecnici!$M215,",","."),0))),4)&amp;""),",",".")&amp;", "&amp;CHAR(34)&amp;"rawScore"&amp;CHAR(34)&amp;": "&amp;SUBSTITUTE(TRIM(ROUND(IFERROR(CriteriTecnici!$O215*1,IFERROR(NUMBERVALUE(CriteriTecnici!$O215,".",","),IFERROR(NUMBERVALUE(CriteriTecnici!$O215,",","."),0))),4)&amp;""),",",".")&amp;CHAR(125)&amp;IF(TRUE,",",""))</f>
        <v/>
      </c>
    </row>
    <row r="317">
      <c r="A317" s="82">
        <f>IF(CriteriTecnici!$A216="","","    "&amp;CHAR(123)&amp;CHAR(34)&amp;"bidderId"&amp;CHAR(34)&amp;": "&amp;CHAR(34)&amp;SUBSTITUTE(CriteriTecnici!$A216,CHAR(34),"'")&amp;CHAR(34)&amp;", "&amp;CHAR(34)&amp;"lotId"&amp;CHAR(34)&amp;": "&amp;CHAR(34)&amp;SUBSTITUTE(CriteriTecnici!$C216,CHAR(34),"'")&amp;CHAR(34)&amp;", "&amp;CHAR(34)&amp;"criterionId"&amp;CHAR(34)&amp;": "&amp;CHAR(34)&amp;SUBSTITUTE(CriteriTecnici!$D216,CHAR(34),"'")&amp;CHAR(34)&amp;", "&amp;CHAR(34)&amp;"kind"&amp;CHAR(34)&amp;": "&amp;CHAR(34)&amp;SUBSTITUTE(CriteriTecnici!$F216,CHAR(34),"'")&amp;CHAR(34)&amp;", "&amp;CHAR(34)&amp;"value"&amp;CHAR(34)&amp;": "&amp;SUBSTITUTE(TRIM(ROUND(IFERROR(CriteriTecnici!$N216*1,IFERROR(NUMBERVALUE(CriteriTecnici!$N216,".",","),IFERROR(NUMBERVALUE(CriteriTecnici!$N216,",","."),0))),4)&amp;""),",",".")&amp;", "&amp;CHAR(34)&amp;"numerator"&amp;CHAR(34)&amp;": "&amp;SUBSTITUTE(TRIM(ROUND(IFERROR(CriteriTecnici!$K216*1,IFERROR(NUMBERVALUE(CriteriTecnici!$K216,".",","),IFERROR(NUMBERVALUE(CriteriTecnici!$K216,",","."),0))),4)&amp;""),",",".")&amp;", "&amp;CHAR(34)&amp;"denominator"&amp;CHAR(34)&amp;": "&amp;SUBSTITUTE(TRIM(ROUND(IFERROR(CriteriTecnici!$L216*1,IFERROR(NUMBERVALUE(CriteriTecnici!$L216,".",","),IFERROR(NUMBERVALUE(CriteriTecnici!$L216,",","."),0))),4)&amp;""),",",".")&amp;", "&amp;CHAR(34)&amp;"flag"&amp;CHAR(34)&amp;": "&amp;SUBSTITUTE(TRIM(ROUND(IFERROR(CriteriTecnici!$M216*1,IFERROR(NUMBERVALUE(CriteriTecnici!$M216,".",","),IFERROR(NUMBERVALUE(CriteriTecnici!$M216,",","."),0))),4)&amp;""),",",".")&amp;", "&amp;CHAR(34)&amp;"rawScore"&amp;CHAR(34)&amp;": "&amp;SUBSTITUTE(TRIM(ROUND(IFERROR(CriteriTecnici!$O216*1,IFERROR(NUMBERVALUE(CriteriTecnici!$O216,".",","),IFERROR(NUMBERVALUE(CriteriTecnici!$O216,",","."),0))),4)&amp;""),",",".")&amp;CHAR(125)&amp;IF(TRUE,",",""))</f>
        <v/>
      </c>
    </row>
    <row r="318">
      <c r="A318" s="82">
        <f>IF(CriteriTecnici!$A217="","","    "&amp;CHAR(123)&amp;CHAR(34)&amp;"bidderId"&amp;CHAR(34)&amp;": "&amp;CHAR(34)&amp;SUBSTITUTE(CriteriTecnici!$A217,CHAR(34),"'")&amp;CHAR(34)&amp;", "&amp;CHAR(34)&amp;"lotId"&amp;CHAR(34)&amp;": "&amp;CHAR(34)&amp;SUBSTITUTE(CriteriTecnici!$C217,CHAR(34),"'")&amp;CHAR(34)&amp;", "&amp;CHAR(34)&amp;"criterionId"&amp;CHAR(34)&amp;": "&amp;CHAR(34)&amp;SUBSTITUTE(CriteriTecnici!$D217,CHAR(34),"'")&amp;CHAR(34)&amp;", "&amp;CHAR(34)&amp;"kind"&amp;CHAR(34)&amp;": "&amp;CHAR(34)&amp;SUBSTITUTE(CriteriTecnici!$F217,CHAR(34),"'")&amp;CHAR(34)&amp;", "&amp;CHAR(34)&amp;"value"&amp;CHAR(34)&amp;": "&amp;SUBSTITUTE(TRIM(ROUND(IFERROR(CriteriTecnici!$N217*1,IFERROR(NUMBERVALUE(CriteriTecnici!$N217,".",","),IFERROR(NUMBERVALUE(CriteriTecnici!$N217,",","."),0))),4)&amp;""),",",".")&amp;", "&amp;CHAR(34)&amp;"numerator"&amp;CHAR(34)&amp;": "&amp;SUBSTITUTE(TRIM(ROUND(IFERROR(CriteriTecnici!$K217*1,IFERROR(NUMBERVALUE(CriteriTecnici!$K217,".",","),IFERROR(NUMBERVALUE(CriteriTecnici!$K217,",","."),0))),4)&amp;""),",",".")&amp;", "&amp;CHAR(34)&amp;"denominator"&amp;CHAR(34)&amp;": "&amp;SUBSTITUTE(TRIM(ROUND(IFERROR(CriteriTecnici!$L217*1,IFERROR(NUMBERVALUE(CriteriTecnici!$L217,".",","),IFERROR(NUMBERVALUE(CriteriTecnici!$L217,",","."),0))),4)&amp;""),",",".")&amp;", "&amp;CHAR(34)&amp;"flag"&amp;CHAR(34)&amp;": "&amp;SUBSTITUTE(TRIM(ROUND(IFERROR(CriteriTecnici!$M217*1,IFERROR(NUMBERVALUE(CriteriTecnici!$M217,".",","),IFERROR(NUMBERVALUE(CriteriTecnici!$M217,",","."),0))),4)&amp;""),",",".")&amp;", "&amp;CHAR(34)&amp;"rawScore"&amp;CHAR(34)&amp;": "&amp;SUBSTITUTE(TRIM(ROUND(IFERROR(CriteriTecnici!$O217*1,IFERROR(NUMBERVALUE(CriteriTecnici!$O217,".",","),IFERROR(NUMBERVALUE(CriteriTecnici!$O217,",","."),0))),4)&amp;""),",",".")&amp;CHAR(125)&amp;IF(TRUE,",",""))</f>
        <v/>
      </c>
    </row>
    <row r="319">
      <c r="A319" s="82">
        <f>IF(CriteriTecnici!$A218="","","    "&amp;CHAR(123)&amp;CHAR(34)&amp;"bidderId"&amp;CHAR(34)&amp;": "&amp;CHAR(34)&amp;SUBSTITUTE(CriteriTecnici!$A218,CHAR(34),"'")&amp;CHAR(34)&amp;", "&amp;CHAR(34)&amp;"lotId"&amp;CHAR(34)&amp;": "&amp;CHAR(34)&amp;SUBSTITUTE(CriteriTecnici!$C218,CHAR(34),"'")&amp;CHAR(34)&amp;", "&amp;CHAR(34)&amp;"criterionId"&amp;CHAR(34)&amp;": "&amp;CHAR(34)&amp;SUBSTITUTE(CriteriTecnici!$D218,CHAR(34),"'")&amp;CHAR(34)&amp;", "&amp;CHAR(34)&amp;"kind"&amp;CHAR(34)&amp;": "&amp;CHAR(34)&amp;SUBSTITUTE(CriteriTecnici!$F218,CHAR(34),"'")&amp;CHAR(34)&amp;", "&amp;CHAR(34)&amp;"value"&amp;CHAR(34)&amp;": "&amp;SUBSTITUTE(TRIM(ROUND(IFERROR(CriteriTecnici!$N218*1,IFERROR(NUMBERVALUE(CriteriTecnici!$N218,".",","),IFERROR(NUMBERVALUE(CriteriTecnici!$N218,",","."),0))),4)&amp;""),",",".")&amp;", "&amp;CHAR(34)&amp;"numerator"&amp;CHAR(34)&amp;": "&amp;SUBSTITUTE(TRIM(ROUND(IFERROR(CriteriTecnici!$K218*1,IFERROR(NUMBERVALUE(CriteriTecnici!$K218,".",","),IFERROR(NUMBERVALUE(CriteriTecnici!$K218,",","."),0))),4)&amp;""),",",".")&amp;", "&amp;CHAR(34)&amp;"denominator"&amp;CHAR(34)&amp;": "&amp;SUBSTITUTE(TRIM(ROUND(IFERROR(CriteriTecnici!$L218*1,IFERROR(NUMBERVALUE(CriteriTecnici!$L218,".",","),IFERROR(NUMBERVALUE(CriteriTecnici!$L218,",","."),0))),4)&amp;""),",",".")&amp;", "&amp;CHAR(34)&amp;"flag"&amp;CHAR(34)&amp;": "&amp;SUBSTITUTE(TRIM(ROUND(IFERROR(CriteriTecnici!$M218*1,IFERROR(NUMBERVALUE(CriteriTecnici!$M218,".",","),IFERROR(NUMBERVALUE(CriteriTecnici!$M218,",","."),0))),4)&amp;""),",",".")&amp;", "&amp;CHAR(34)&amp;"rawScore"&amp;CHAR(34)&amp;": "&amp;SUBSTITUTE(TRIM(ROUND(IFERROR(CriteriTecnici!$O218*1,IFERROR(NUMBERVALUE(CriteriTecnici!$O218,".",","),IFERROR(NUMBERVALUE(CriteriTecnici!$O218,",","."),0))),4)&amp;""),",",".")&amp;CHAR(125)&amp;IF(TRUE,",",""))</f>
        <v/>
      </c>
    </row>
    <row r="320">
      <c r="A320" s="82">
        <f>IF(CriteriTecnici!$A219="","","    "&amp;CHAR(123)&amp;CHAR(34)&amp;"bidderId"&amp;CHAR(34)&amp;": "&amp;CHAR(34)&amp;SUBSTITUTE(CriteriTecnici!$A219,CHAR(34),"'")&amp;CHAR(34)&amp;", "&amp;CHAR(34)&amp;"lotId"&amp;CHAR(34)&amp;": "&amp;CHAR(34)&amp;SUBSTITUTE(CriteriTecnici!$C219,CHAR(34),"'")&amp;CHAR(34)&amp;", "&amp;CHAR(34)&amp;"criterionId"&amp;CHAR(34)&amp;": "&amp;CHAR(34)&amp;SUBSTITUTE(CriteriTecnici!$D219,CHAR(34),"'")&amp;CHAR(34)&amp;", "&amp;CHAR(34)&amp;"kind"&amp;CHAR(34)&amp;": "&amp;CHAR(34)&amp;SUBSTITUTE(CriteriTecnici!$F219,CHAR(34),"'")&amp;CHAR(34)&amp;", "&amp;CHAR(34)&amp;"value"&amp;CHAR(34)&amp;": "&amp;SUBSTITUTE(TRIM(ROUND(IFERROR(CriteriTecnici!$N219*1,IFERROR(NUMBERVALUE(CriteriTecnici!$N219,".",","),IFERROR(NUMBERVALUE(CriteriTecnici!$N219,",","."),0))),4)&amp;""),",",".")&amp;", "&amp;CHAR(34)&amp;"numerator"&amp;CHAR(34)&amp;": "&amp;SUBSTITUTE(TRIM(ROUND(IFERROR(CriteriTecnici!$K219*1,IFERROR(NUMBERVALUE(CriteriTecnici!$K219,".",","),IFERROR(NUMBERVALUE(CriteriTecnici!$K219,",","."),0))),4)&amp;""),",",".")&amp;", "&amp;CHAR(34)&amp;"denominator"&amp;CHAR(34)&amp;": "&amp;SUBSTITUTE(TRIM(ROUND(IFERROR(CriteriTecnici!$L219*1,IFERROR(NUMBERVALUE(CriteriTecnici!$L219,".",","),IFERROR(NUMBERVALUE(CriteriTecnici!$L219,",","."),0))),4)&amp;""),",",".")&amp;", "&amp;CHAR(34)&amp;"flag"&amp;CHAR(34)&amp;": "&amp;SUBSTITUTE(TRIM(ROUND(IFERROR(CriteriTecnici!$M219*1,IFERROR(NUMBERVALUE(CriteriTecnici!$M219,".",","),IFERROR(NUMBERVALUE(CriteriTecnici!$M219,",","."),0))),4)&amp;""),",",".")&amp;", "&amp;CHAR(34)&amp;"rawScore"&amp;CHAR(34)&amp;": "&amp;SUBSTITUTE(TRIM(ROUND(IFERROR(CriteriTecnici!$O219*1,IFERROR(NUMBERVALUE(CriteriTecnici!$O219,".",","),IFERROR(NUMBERVALUE(CriteriTecnici!$O219,",","."),0))),4)&amp;""),",",".")&amp;CHAR(125)&amp;IF(TRUE,",",""))</f>
        <v/>
      </c>
    </row>
    <row r="321">
      <c r="A321" s="82">
        <f>IF(CriteriTecnici!$A220="","","    "&amp;CHAR(123)&amp;CHAR(34)&amp;"bidderId"&amp;CHAR(34)&amp;": "&amp;CHAR(34)&amp;SUBSTITUTE(CriteriTecnici!$A220,CHAR(34),"'")&amp;CHAR(34)&amp;", "&amp;CHAR(34)&amp;"lotId"&amp;CHAR(34)&amp;": "&amp;CHAR(34)&amp;SUBSTITUTE(CriteriTecnici!$C220,CHAR(34),"'")&amp;CHAR(34)&amp;", "&amp;CHAR(34)&amp;"criterionId"&amp;CHAR(34)&amp;": "&amp;CHAR(34)&amp;SUBSTITUTE(CriteriTecnici!$D220,CHAR(34),"'")&amp;CHAR(34)&amp;", "&amp;CHAR(34)&amp;"kind"&amp;CHAR(34)&amp;": "&amp;CHAR(34)&amp;SUBSTITUTE(CriteriTecnici!$F220,CHAR(34),"'")&amp;CHAR(34)&amp;", "&amp;CHAR(34)&amp;"value"&amp;CHAR(34)&amp;": "&amp;SUBSTITUTE(TRIM(ROUND(IFERROR(CriteriTecnici!$N220*1,IFERROR(NUMBERVALUE(CriteriTecnici!$N220,".",","),IFERROR(NUMBERVALUE(CriteriTecnici!$N220,",","."),0))),4)&amp;""),",",".")&amp;", "&amp;CHAR(34)&amp;"numerator"&amp;CHAR(34)&amp;": "&amp;SUBSTITUTE(TRIM(ROUND(IFERROR(CriteriTecnici!$K220*1,IFERROR(NUMBERVALUE(CriteriTecnici!$K220,".",","),IFERROR(NUMBERVALUE(CriteriTecnici!$K220,",","."),0))),4)&amp;""),",",".")&amp;", "&amp;CHAR(34)&amp;"denominator"&amp;CHAR(34)&amp;": "&amp;SUBSTITUTE(TRIM(ROUND(IFERROR(CriteriTecnici!$L220*1,IFERROR(NUMBERVALUE(CriteriTecnici!$L220,".",","),IFERROR(NUMBERVALUE(CriteriTecnici!$L220,",","."),0))),4)&amp;""),",",".")&amp;", "&amp;CHAR(34)&amp;"flag"&amp;CHAR(34)&amp;": "&amp;SUBSTITUTE(TRIM(ROUND(IFERROR(CriteriTecnici!$M220*1,IFERROR(NUMBERVALUE(CriteriTecnici!$M220,".",","),IFERROR(NUMBERVALUE(CriteriTecnici!$M220,",","."),0))),4)&amp;""),",",".")&amp;", "&amp;CHAR(34)&amp;"rawScore"&amp;CHAR(34)&amp;": "&amp;SUBSTITUTE(TRIM(ROUND(IFERROR(CriteriTecnici!$O220*1,IFERROR(NUMBERVALUE(CriteriTecnici!$O220,".",","),IFERROR(NUMBERVALUE(CriteriTecnici!$O220,",","."),0))),4)&amp;""),",",".")&amp;CHAR(125)&amp;IF(TRUE,",",""))</f>
        <v/>
      </c>
    </row>
    <row r="322">
      <c r="A322" s="82">
        <f>IF(CriteriTecnici!$A221="","","    "&amp;CHAR(123)&amp;CHAR(34)&amp;"bidderId"&amp;CHAR(34)&amp;": "&amp;CHAR(34)&amp;SUBSTITUTE(CriteriTecnici!$A221,CHAR(34),"'")&amp;CHAR(34)&amp;", "&amp;CHAR(34)&amp;"lotId"&amp;CHAR(34)&amp;": "&amp;CHAR(34)&amp;SUBSTITUTE(CriteriTecnici!$C221,CHAR(34),"'")&amp;CHAR(34)&amp;", "&amp;CHAR(34)&amp;"criterionId"&amp;CHAR(34)&amp;": "&amp;CHAR(34)&amp;SUBSTITUTE(CriteriTecnici!$D221,CHAR(34),"'")&amp;CHAR(34)&amp;", "&amp;CHAR(34)&amp;"kind"&amp;CHAR(34)&amp;": "&amp;CHAR(34)&amp;SUBSTITUTE(CriteriTecnici!$F221,CHAR(34),"'")&amp;CHAR(34)&amp;", "&amp;CHAR(34)&amp;"value"&amp;CHAR(34)&amp;": "&amp;SUBSTITUTE(TRIM(ROUND(IFERROR(CriteriTecnici!$N221*1,IFERROR(NUMBERVALUE(CriteriTecnici!$N221,".",","),IFERROR(NUMBERVALUE(CriteriTecnici!$N221,",","."),0))),4)&amp;""),",",".")&amp;", "&amp;CHAR(34)&amp;"numerator"&amp;CHAR(34)&amp;": "&amp;SUBSTITUTE(TRIM(ROUND(IFERROR(CriteriTecnici!$K221*1,IFERROR(NUMBERVALUE(CriteriTecnici!$K221,".",","),IFERROR(NUMBERVALUE(CriteriTecnici!$K221,",","."),0))),4)&amp;""),",",".")&amp;", "&amp;CHAR(34)&amp;"denominator"&amp;CHAR(34)&amp;": "&amp;SUBSTITUTE(TRIM(ROUND(IFERROR(CriteriTecnici!$L221*1,IFERROR(NUMBERVALUE(CriteriTecnici!$L221,".",","),IFERROR(NUMBERVALUE(CriteriTecnici!$L221,",","."),0))),4)&amp;""),",",".")&amp;", "&amp;CHAR(34)&amp;"flag"&amp;CHAR(34)&amp;": "&amp;SUBSTITUTE(TRIM(ROUND(IFERROR(CriteriTecnici!$M221*1,IFERROR(NUMBERVALUE(CriteriTecnici!$M221,".",","),IFERROR(NUMBERVALUE(CriteriTecnici!$M221,",","."),0))),4)&amp;""),",",".")&amp;", "&amp;CHAR(34)&amp;"rawScore"&amp;CHAR(34)&amp;": "&amp;SUBSTITUTE(TRIM(ROUND(IFERROR(CriteriTecnici!$O221*1,IFERROR(NUMBERVALUE(CriteriTecnici!$O221,".",","),IFERROR(NUMBERVALUE(CriteriTecnici!$O221,",","."),0))),4)&amp;""),",",".")&amp;CHAR(125)&amp;IF(COUNTA(Offerte!$A9:$A$81)&gt;0,",",""))</f>
        <v/>
      </c>
    </row>
    <row r="323">
      <c r="A323" s="82">
        <f>IF(CriteriTecnici!$A222="","","    "&amp;CHAR(123)&amp;CHAR(34)&amp;"bidderId"&amp;CHAR(34)&amp;": "&amp;CHAR(34)&amp;SUBSTITUTE(CriteriTecnici!$A222,CHAR(34),"'")&amp;CHAR(34)&amp;", "&amp;CHAR(34)&amp;"lotId"&amp;CHAR(34)&amp;": "&amp;CHAR(34)&amp;SUBSTITUTE(CriteriTecnici!$C222,CHAR(34),"'")&amp;CHAR(34)&amp;", "&amp;CHAR(34)&amp;"criterionId"&amp;CHAR(34)&amp;": "&amp;CHAR(34)&amp;SUBSTITUTE(CriteriTecnici!$D222,CHAR(34),"'")&amp;CHAR(34)&amp;", "&amp;CHAR(34)&amp;"kind"&amp;CHAR(34)&amp;": "&amp;CHAR(34)&amp;SUBSTITUTE(CriteriTecnici!$F222,CHAR(34),"'")&amp;CHAR(34)&amp;", "&amp;CHAR(34)&amp;"value"&amp;CHAR(34)&amp;": "&amp;SUBSTITUTE(TRIM(ROUND(IFERROR(CriteriTecnici!$N222*1,IFERROR(NUMBERVALUE(CriteriTecnici!$N222,".",","),IFERROR(NUMBERVALUE(CriteriTecnici!$N222,",","."),0))),4)&amp;""),",",".")&amp;", "&amp;CHAR(34)&amp;"numerator"&amp;CHAR(34)&amp;": "&amp;SUBSTITUTE(TRIM(ROUND(IFERROR(CriteriTecnici!$K222*1,IFERROR(NUMBERVALUE(CriteriTecnici!$K222,".",","),IFERROR(NUMBERVALUE(CriteriTecnici!$K222,",","."),0))),4)&amp;""),",",".")&amp;", "&amp;CHAR(34)&amp;"denominator"&amp;CHAR(34)&amp;": "&amp;SUBSTITUTE(TRIM(ROUND(IFERROR(CriteriTecnici!$L222*1,IFERROR(NUMBERVALUE(CriteriTecnici!$L222,".",","),IFERROR(NUMBERVALUE(CriteriTecnici!$L222,",","."),0))),4)&amp;""),",",".")&amp;", "&amp;CHAR(34)&amp;"flag"&amp;CHAR(34)&amp;": "&amp;SUBSTITUTE(TRIM(ROUND(IFERROR(CriteriTecnici!$M222*1,IFERROR(NUMBERVALUE(CriteriTecnici!$M222,".",","),IFERROR(NUMBERVALUE(CriteriTecnici!$M222,",","."),0))),4)&amp;""),",",".")&amp;", "&amp;CHAR(34)&amp;"rawScore"&amp;CHAR(34)&amp;": "&amp;SUBSTITUTE(TRIM(ROUND(IFERROR(CriteriTecnici!$O222*1,IFERROR(NUMBERVALUE(CriteriTecnici!$O222,".",","),IFERROR(NUMBERVALUE(CriteriTecnici!$O222,",","."),0))),4)&amp;""),",",".")&amp;CHAR(125)&amp;IF(TRUE,",",""))</f>
        <v/>
      </c>
    </row>
    <row r="324">
      <c r="A324" s="82">
        <f>IF(CriteriTecnici!$A223="","","    "&amp;CHAR(123)&amp;CHAR(34)&amp;"bidderId"&amp;CHAR(34)&amp;": "&amp;CHAR(34)&amp;SUBSTITUTE(CriteriTecnici!$A223,CHAR(34),"'")&amp;CHAR(34)&amp;", "&amp;CHAR(34)&amp;"lotId"&amp;CHAR(34)&amp;": "&amp;CHAR(34)&amp;SUBSTITUTE(CriteriTecnici!$C223,CHAR(34),"'")&amp;CHAR(34)&amp;", "&amp;CHAR(34)&amp;"criterionId"&amp;CHAR(34)&amp;": "&amp;CHAR(34)&amp;SUBSTITUTE(CriteriTecnici!$D223,CHAR(34),"'")&amp;CHAR(34)&amp;", "&amp;CHAR(34)&amp;"kind"&amp;CHAR(34)&amp;": "&amp;CHAR(34)&amp;SUBSTITUTE(CriteriTecnici!$F223,CHAR(34),"'")&amp;CHAR(34)&amp;", "&amp;CHAR(34)&amp;"value"&amp;CHAR(34)&amp;": "&amp;SUBSTITUTE(TRIM(ROUND(IFERROR(CriteriTecnici!$N223*1,IFERROR(NUMBERVALUE(CriteriTecnici!$N223,".",","),IFERROR(NUMBERVALUE(CriteriTecnici!$N223,",","."),0))),4)&amp;""),",",".")&amp;", "&amp;CHAR(34)&amp;"numerator"&amp;CHAR(34)&amp;": "&amp;SUBSTITUTE(TRIM(ROUND(IFERROR(CriteriTecnici!$K223*1,IFERROR(NUMBERVALUE(CriteriTecnici!$K223,".",","),IFERROR(NUMBERVALUE(CriteriTecnici!$K223,",","."),0))),4)&amp;""),",",".")&amp;", "&amp;CHAR(34)&amp;"denominator"&amp;CHAR(34)&amp;": "&amp;SUBSTITUTE(TRIM(ROUND(IFERROR(CriteriTecnici!$L223*1,IFERROR(NUMBERVALUE(CriteriTecnici!$L223,".",","),IFERROR(NUMBERVALUE(CriteriTecnici!$L223,",","."),0))),4)&amp;""),",",".")&amp;", "&amp;CHAR(34)&amp;"flag"&amp;CHAR(34)&amp;": "&amp;SUBSTITUTE(TRIM(ROUND(IFERROR(CriteriTecnici!$M223*1,IFERROR(NUMBERVALUE(CriteriTecnici!$M223,".",","),IFERROR(NUMBERVALUE(CriteriTecnici!$M223,",","."),0))),4)&amp;""),",",".")&amp;", "&amp;CHAR(34)&amp;"rawScore"&amp;CHAR(34)&amp;": "&amp;SUBSTITUTE(TRIM(ROUND(IFERROR(CriteriTecnici!$O223*1,IFERROR(NUMBERVALUE(CriteriTecnici!$O223,".",","),IFERROR(NUMBERVALUE(CriteriTecnici!$O223,",","."),0))),4)&amp;""),",",".")&amp;CHAR(125)&amp;IF(TRUE,",",""))</f>
        <v/>
      </c>
    </row>
    <row r="325">
      <c r="A325" s="82">
        <f>IF(CriteriTecnici!$A224="","","    "&amp;CHAR(123)&amp;CHAR(34)&amp;"bidderId"&amp;CHAR(34)&amp;": "&amp;CHAR(34)&amp;SUBSTITUTE(CriteriTecnici!$A224,CHAR(34),"'")&amp;CHAR(34)&amp;", "&amp;CHAR(34)&amp;"lotId"&amp;CHAR(34)&amp;": "&amp;CHAR(34)&amp;SUBSTITUTE(CriteriTecnici!$C224,CHAR(34),"'")&amp;CHAR(34)&amp;", "&amp;CHAR(34)&amp;"criterionId"&amp;CHAR(34)&amp;": "&amp;CHAR(34)&amp;SUBSTITUTE(CriteriTecnici!$D224,CHAR(34),"'")&amp;CHAR(34)&amp;", "&amp;CHAR(34)&amp;"kind"&amp;CHAR(34)&amp;": "&amp;CHAR(34)&amp;SUBSTITUTE(CriteriTecnici!$F224,CHAR(34),"'")&amp;CHAR(34)&amp;", "&amp;CHAR(34)&amp;"value"&amp;CHAR(34)&amp;": "&amp;SUBSTITUTE(TRIM(ROUND(IFERROR(CriteriTecnici!$N224*1,IFERROR(NUMBERVALUE(CriteriTecnici!$N224,".",","),IFERROR(NUMBERVALUE(CriteriTecnici!$N224,",","."),0))),4)&amp;""),",",".")&amp;", "&amp;CHAR(34)&amp;"numerator"&amp;CHAR(34)&amp;": "&amp;SUBSTITUTE(TRIM(ROUND(IFERROR(CriteriTecnici!$K224*1,IFERROR(NUMBERVALUE(CriteriTecnici!$K224,".",","),IFERROR(NUMBERVALUE(CriteriTecnici!$K224,",","."),0))),4)&amp;""),",",".")&amp;", "&amp;CHAR(34)&amp;"denominator"&amp;CHAR(34)&amp;": "&amp;SUBSTITUTE(TRIM(ROUND(IFERROR(CriteriTecnici!$L224*1,IFERROR(NUMBERVALUE(CriteriTecnici!$L224,".",","),IFERROR(NUMBERVALUE(CriteriTecnici!$L224,",","."),0))),4)&amp;""),",",".")&amp;", "&amp;CHAR(34)&amp;"flag"&amp;CHAR(34)&amp;": "&amp;SUBSTITUTE(TRIM(ROUND(IFERROR(CriteriTecnici!$M224*1,IFERROR(NUMBERVALUE(CriteriTecnici!$M224,".",","),IFERROR(NUMBERVALUE(CriteriTecnici!$M224,",","."),0))),4)&amp;""),",",".")&amp;", "&amp;CHAR(34)&amp;"rawScore"&amp;CHAR(34)&amp;": "&amp;SUBSTITUTE(TRIM(ROUND(IFERROR(CriteriTecnici!$O224*1,IFERROR(NUMBERVALUE(CriteriTecnici!$O224,".",","),IFERROR(NUMBERVALUE(CriteriTecnici!$O224,",","."),0))),4)&amp;""),",",".")&amp;CHAR(125)&amp;IF(TRUE,",",""))</f>
        <v/>
      </c>
    </row>
    <row r="326">
      <c r="A326" s="82">
        <f>IF(CriteriTecnici!$A225="","","    "&amp;CHAR(123)&amp;CHAR(34)&amp;"bidderId"&amp;CHAR(34)&amp;": "&amp;CHAR(34)&amp;SUBSTITUTE(CriteriTecnici!$A225,CHAR(34),"'")&amp;CHAR(34)&amp;", "&amp;CHAR(34)&amp;"lotId"&amp;CHAR(34)&amp;": "&amp;CHAR(34)&amp;SUBSTITUTE(CriteriTecnici!$C225,CHAR(34),"'")&amp;CHAR(34)&amp;", "&amp;CHAR(34)&amp;"criterionId"&amp;CHAR(34)&amp;": "&amp;CHAR(34)&amp;SUBSTITUTE(CriteriTecnici!$D225,CHAR(34),"'")&amp;CHAR(34)&amp;", "&amp;CHAR(34)&amp;"kind"&amp;CHAR(34)&amp;": "&amp;CHAR(34)&amp;SUBSTITUTE(CriteriTecnici!$F225,CHAR(34),"'")&amp;CHAR(34)&amp;", "&amp;CHAR(34)&amp;"value"&amp;CHAR(34)&amp;": "&amp;SUBSTITUTE(TRIM(ROUND(IFERROR(CriteriTecnici!$N225*1,IFERROR(NUMBERVALUE(CriteriTecnici!$N225,".",","),IFERROR(NUMBERVALUE(CriteriTecnici!$N225,",","."),0))),4)&amp;""),",",".")&amp;", "&amp;CHAR(34)&amp;"numerator"&amp;CHAR(34)&amp;": "&amp;SUBSTITUTE(TRIM(ROUND(IFERROR(CriteriTecnici!$K225*1,IFERROR(NUMBERVALUE(CriteriTecnici!$K225,".",","),IFERROR(NUMBERVALUE(CriteriTecnici!$K225,",","."),0))),4)&amp;""),",",".")&amp;", "&amp;CHAR(34)&amp;"denominator"&amp;CHAR(34)&amp;": "&amp;SUBSTITUTE(TRIM(ROUND(IFERROR(CriteriTecnici!$L225*1,IFERROR(NUMBERVALUE(CriteriTecnici!$L225,".",","),IFERROR(NUMBERVALUE(CriteriTecnici!$L225,",","."),0))),4)&amp;""),",",".")&amp;", "&amp;CHAR(34)&amp;"flag"&amp;CHAR(34)&amp;": "&amp;SUBSTITUTE(TRIM(ROUND(IFERROR(CriteriTecnici!$M225*1,IFERROR(NUMBERVALUE(CriteriTecnici!$M225,".",","),IFERROR(NUMBERVALUE(CriteriTecnici!$M225,",","."),0))),4)&amp;""),",",".")&amp;", "&amp;CHAR(34)&amp;"rawScore"&amp;CHAR(34)&amp;": "&amp;SUBSTITUTE(TRIM(ROUND(IFERROR(CriteriTecnici!$O225*1,IFERROR(NUMBERVALUE(CriteriTecnici!$O225,".",","),IFERROR(NUMBERVALUE(CriteriTecnici!$O225,",","."),0))),4)&amp;""),",",".")&amp;CHAR(125)&amp;IF(TRUE,",",""))</f>
        <v/>
      </c>
    </row>
    <row r="327">
      <c r="A327" s="82">
        <f>IF(CriteriTecnici!$A226="","","    "&amp;CHAR(123)&amp;CHAR(34)&amp;"bidderId"&amp;CHAR(34)&amp;": "&amp;CHAR(34)&amp;SUBSTITUTE(CriteriTecnici!$A226,CHAR(34),"'")&amp;CHAR(34)&amp;", "&amp;CHAR(34)&amp;"lotId"&amp;CHAR(34)&amp;": "&amp;CHAR(34)&amp;SUBSTITUTE(CriteriTecnici!$C226,CHAR(34),"'")&amp;CHAR(34)&amp;", "&amp;CHAR(34)&amp;"criterionId"&amp;CHAR(34)&amp;": "&amp;CHAR(34)&amp;SUBSTITUTE(CriteriTecnici!$D226,CHAR(34),"'")&amp;CHAR(34)&amp;", "&amp;CHAR(34)&amp;"kind"&amp;CHAR(34)&amp;": "&amp;CHAR(34)&amp;SUBSTITUTE(CriteriTecnici!$F226,CHAR(34),"'")&amp;CHAR(34)&amp;", "&amp;CHAR(34)&amp;"value"&amp;CHAR(34)&amp;": "&amp;SUBSTITUTE(TRIM(ROUND(IFERROR(CriteriTecnici!$N226*1,IFERROR(NUMBERVALUE(CriteriTecnici!$N226,".",","),IFERROR(NUMBERVALUE(CriteriTecnici!$N226,",","."),0))),4)&amp;""),",",".")&amp;", "&amp;CHAR(34)&amp;"numerator"&amp;CHAR(34)&amp;": "&amp;SUBSTITUTE(TRIM(ROUND(IFERROR(CriteriTecnici!$K226*1,IFERROR(NUMBERVALUE(CriteriTecnici!$K226,".",","),IFERROR(NUMBERVALUE(CriteriTecnici!$K226,",","."),0))),4)&amp;""),",",".")&amp;", "&amp;CHAR(34)&amp;"denominator"&amp;CHAR(34)&amp;": "&amp;SUBSTITUTE(TRIM(ROUND(IFERROR(CriteriTecnici!$L226*1,IFERROR(NUMBERVALUE(CriteriTecnici!$L226,".",","),IFERROR(NUMBERVALUE(CriteriTecnici!$L226,",","."),0))),4)&amp;""),",",".")&amp;", "&amp;CHAR(34)&amp;"flag"&amp;CHAR(34)&amp;": "&amp;SUBSTITUTE(TRIM(ROUND(IFERROR(CriteriTecnici!$M226*1,IFERROR(NUMBERVALUE(CriteriTecnici!$M226,".",","),IFERROR(NUMBERVALUE(CriteriTecnici!$M226,",","."),0))),4)&amp;""),",",".")&amp;", "&amp;CHAR(34)&amp;"rawScore"&amp;CHAR(34)&amp;": "&amp;SUBSTITUTE(TRIM(ROUND(IFERROR(CriteriTecnici!$O226*1,IFERROR(NUMBERVALUE(CriteriTecnici!$O226,".",","),IFERROR(NUMBERVALUE(CriteriTecnici!$O226,",","."),0))),4)&amp;""),",",".")&amp;CHAR(125)&amp;IF(TRUE,",",""))</f>
        <v/>
      </c>
    </row>
    <row r="328">
      <c r="A328" s="82">
        <f>IF(CriteriTecnici!$A227="","","    "&amp;CHAR(123)&amp;CHAR(34)&amp;"bidderId"&amp;CHAR(34)&amp;": "&amp;CHAR(34)&amp;SUBSTITUTE(CriteriTecnici!$A227,CHAR(34),"'")&amp;CHAR(34)&amp;", "&amp;CHAR(34)&amp;"lotId"&amp;CHAR(34)&amp;": "&amp;CHAR(34)&amp;SUBSTITUTE(CriteriTecnici!$C227,CHAR(34),"'")&amp;CHAR(34)&amp;", "&amp;CHAR(34)&amp;"criterionId"&amp;CHAR(34)&amp;": "&amp;CHAR(34)&amp;SUBSTITUTE(CriteriTecnici!$D227,CHAR(34),"'")&amp;CHAR(34)&amp;", "&amp;CHAR(34)&amp;"kind"&amp;CHAR(34)&amp;": "&amp;CHAR(34)&amp;SUBSTITUTE(CriteriTecnici!$F227,CHAR(34),"'")&amp;CHAR(34)&amp;", "&amp;CHAR(34)&amp;"value"&amp;CHAR(34)&amp;": "&amp;SUBSTITUTE(TRIM(ROUND(IFERROR(CriteriTecnici!$N227*1,IFERROR(NUMBERVALUE(CriteriTecnici!$N227,".",","),IFERROR(NUMBERVALUE(CriteriTecnici!$N227,",","."),0))),4)&amp;""),",",".")&amp;", "&amp;CHAR(34)&amp;"numerator"&amp;CHAR(34)&amp;": "&amp;SUBSTITUTE(TRIM(ROUND(IFERROR(CriteriTecnici!$K227*1,IFERROR(NUMBERVALUE(CriteriTecnici!$K227,".",","),IFERROR(NUMBERVALUE(CriteriTecnici!$K227,",","."),0))),4)&amp;""),",",".")&amp;", "&amp;CHAR(34)&amp;"denominator"&amp;CHAR(34)&amp;": "&amp;SUBSTITUTE(TRIM(ROUND(IFERROR(CriteriTecnici!$L227*1,IFERROR(NUMBERVALUE(CriteriTecnici!$L227,".",","),IFERROR(NUMBERVALUE(CriteriTecnici!$L227,",","."),0))),4)&amp;""),",",".")&amp;", "&amp;CHAR(34)&amp;"flag"&amp;CHAR(34)&amp;": "&amp;SUBSTITUTE(TRIM(ROUND(IFERROR(CriteriTecnici!$M227*1,IFERROR(NUMBERVALUE(CriteriTecnici!$M227,".",","),IFERROR(NUMBERVALUE(CriteriTecnici!$M227,",","."),0))),4)&amp;""),",",".")&amp;", "&amp;CHAR(34)&amp;"rawScore"&amp;CHAR(34)&amp;": "&amp;SUBSTITUTE(TRIM(ROUND(IFERROR(CriteriTecnici!$O227*1,IFERROR(NUMBERVALUE(CriteriTecnici!$O227,".",","),IFERROR(NUMBERVALUE(CriteriTecnici!$O227,",","."),0))),4)&amp;""),",",".")&amp;CHAR(125)&amp;IF(TRUE,",",""))</f>
        <v/>
      </c>
    </row>
    <row r="329">
      <c r="A329" s="82">
        <f>IF(CriteriTecnici!$A228="","","    "&amp;CHAR(123)&amp;CHAR(34)&amp;"bidderId"&amp;CHAR(34)&amp;": "&amp;CHAR(34)&amp;SUBSTITUTE(CriteriTecnici!$A228,CHAR(34),"'")&amp;CHAR(34)&amp;", "&amp;CHAR(34)&amp;"lotId"&amp;CHAR(34)&amp;": "&amp;CHAR(34)&amp;SUBSTITUTE(CriteriTecnici!$C228,CHAR(34),"'")&amp;CHAR(34)&amp;", "&amp;CHAR(34)&amp;"criterionId"&amp;CHAR(34)&amp;": "&amp;CHAR(34)&amp;SUBSTITUTE(CriteriTecnici!$D228,CHAR(34),"'")&amp;CHAR(34)&amp;", "&amp;CHAR(34)&amp;"kind"&amp;CHAR(34)&amp;": "&amp;CHAR(34)&amp;SUBSTITUTE(CriteriTecnici!$F228,CHAR(34),"'")&amp;CHAR(34)&amp;", "&amp;CHAR(34)&amp;"value"&amp;CHAR(34)&amp;": "&amp;SUBSTITUTE(TRIM(ROUND(IFERROR(CriteriTecnici!$N228*1,IFERROR(NUMBERVALUE(CriteriTecnici!$N228,".",","),IFERROR(NUMBERVALUE(CriteriTecnici!$N228,",","."),0))),4)&amp;""),",",".")&amp;", "&amp;CHAR(34)&amp;"numerator"&amp;CHAR(34)&amp;": "&amp;SUBSTITUTE(TRIM(ROUND(IFERROR(CriteriTecnici!$K228*1,IFERROR(NUMBERVALUE(CriteriTecnici!$K228,".",","),IFERROR(NUMBERVALUE(CriteriTecnici!$K228,",","."),0))),4)&amp;""),",",".")&amp;", "&amp;CHAR(34)&amp;"denominator"&amp;CHAR(34)&amp;": "&amp;SUBSTITUTE(TRIM(ROUND(IFERROR(CriteriTecnici!$L228*1,IFERROR(NUMBERVALUE(CriteriTecnici!$L228,".",","),IFERROR(NUMBERVALUE(CriteriTecnici!$L228,",","."),0))),4)&amp;""),",",".")&amp;", "&amp;CHAR(34)&amp;"flag"&amp;CHAR(34)&amp;": "&amp;SUBSTITUTE(TRIM(ROUND(IFERROR(CriteriTecnici!$M228*1,IFERROR(NUMBERVALUE(CriteriTecnici!$M228,".",","),IFERROR(NUMBERVALUE(CriteriTecnici!$M228,",","."),0))),4)&amp;""),",",".")&amp;", "&amp;CHAR(34)&amp;"rawScore"&amp;CHAR(34)&amp;": "&amp;SUBSTITUTE(TRIM(ROUND(IFERROR(CriteriTecnici!$O228*1,IFERROR(NUMBERVALUE(CriteriTecnici!$O228,".",","),IFERROR(NUMBERVALUE(CriteriTecnici!$O228,",","."),0))),4)&amp;""),",",".")&amp;CHAR(125)&amp;IF(TRUE,",",""))</f>
        <v/>
      </c>
    </row>
    <row r="330">
      <c r="A330" s="82">
        <f>IF(CriteriTecnici!$A229="","","    "&amp;CHAR(123)&amp;CHAR(34)&amp;"bidderId"&amp;CHAR(34)&amp;": "&amp;CHAR(34)&amp;SUBSTITUTE(CriteriTecnici!$A229,CHAR(34),"'")&amp;CHAR(34)&amp;", "&amp;CHAR(34)&amp;"lotId"&amp;CHAR(34)&amp;": "&amp;CHAR(34)&amp;SUBSTITUTE(CriteriTecnici!$C229,CHAR(34),"'")&amp;CHAR(34)&amp;", "&amp;CHAR(34)&amp;"criterionId"&amp;CHAR(34)&amp;": "&amp;CHAR(34)&amp;SUBSTITUTE(CriteriTecnici!$D229,CHAR(34),"'")&amp;CHAR(34)&amp;", "&amp;CHAR(34)&amp;"kind"&amp;CHAR(34)&amp;": "&amp;CHAR(34)&amp;SUBSTITUTE(CriteriTecnici!$F229,CHAR(34),"'")&amp;CHAR(34)&amp;", "&amp;CHAR(34)&amp;"value"&amp;CHAR(34)&amp;": "&amp;SUBSTITUTE(TRIM(ROUND(IFERROR(CriteriTecnici!$N229*1,IFERROR(NUMBERVALUE(CriteriTecnici!$N229,".",","),IFERROR(NUMBERVALUE(CriteriTecnici!$N229,",","."),0))),4)&amp;""),",",".")&amp;", "&amp;CHAR(34)&amp;"numerator"&amp;CHAR(34)&amp;": "&amp;SUBSTITUTE(TRIM(ROUND(IFERROR(CriteriTecnici!$K229*1,IFERROR(NUMBERVALUE(CriteriTecnici!$K229,".",","),IFERROR(NUMBERVALUE(CriteriTecnici!$K229,",","."),0))),4)&amp;""),",",".")&amp;", "&amp;CHAR(34)&amp;"denominator"&amp;CHAR(34)&amp;": "&amp;SUBSTITUTE(TRIM(ROUND(IFERROR(CriteriTecnici!$L229*1,IFERROR(NUMBERVALUE(CriteriTecnici!$L229,".",","),IFERROR(NUMBERVALUE(CriteriTecnici!$L229,",","."),0))),4)&amp;""),",",".")&amp;", "&amp;CHAR(34)&amp;"flag"&amp;CHAR(34)&amp;": "&amp;SUBSTITUTE(TRIM(ROUND(IFERROR(CriteriTecnici!$M229*1,IFERROR(NUMBERVALUE(CriteriTecnici!$M229,".",","),IFERROR(NUMBERVALUE(CriteriTecnici!$M229,",","."),0))),4)&amp;""),",",".")&amp;", "&amp;CHAR(34)&amp;"rawScore"&amp;CHAR(34)&amp;": "&amp;SUBSTITUTE(TRIM(ROUND(IFERROR(CriteriTecnici!$O229*1,IFERROR(NUMBERVALUE(CriteriTecnici!$O229,".",","),IFERROR(NUMBERVALUE(CriteriTecnici!$O229,",","."),0))),4)&amp;""),",",".")&amp;CHAR(125)&amp;IF(TRUE,",",""))</f>
        <v/>
      </c>
    </row>
    <row r="331">
      <c r="A331" s="82">
        <f>IF(CriteriTecnici!$A230="","","    "&amp;CHAR(123)&amp;CHAR(34)&amp;"bidderId"&amp;CHAR(34)&amp;": "&amp;CHAR(34)&amp;SUBSTITUTE(CriteriTecnici!$A230,CHAR(34),"'")&amp;CHAR(34)&amp;", "&amp;CHAR(34)&amp;"lotId"&amp;CHAR(34)&amp;": "&amp;CHAR(34)&amp;SUBSTITUTE(CriteriTecnici!$C230,CHAR(34),"'")&amp;CHAR(34)&amp;", "&amp;CHAR(34)&amp;"criterionId"&amp;CHAR(34)&amp;": "&amp;CHAR(34)&amp;SUBSTITUTE(CriteriTecnici!$D230,CHAR(34),"'")&amp;CHAR(34)&amp;", "&amp;CHAR(34)&amp;"kind"&amp;CHAR(34)&amp;": "&amp;CHAR(34)&amp;SUBSTITUTE(CriteriTecnici!$F230,CHAR(34),"'")&amp;CHAR(34)&amp;", "&amp;CHAR(34)&amp;"value"&amp;CHAR(34)&amp;": "&amp;SUBSTITUTE(TRIM(ROUND(IFERROR(CriteriTecnici!$N230*1,IFERROR(NUMBERVALUE(CriteriTecnici!$N230,".",","),IFERROR(NUMBERVALUE(CriteriTecnici!$N230,",","."),0))),4)&amp;""),",",".")&amp;", "&amp;CHAR(34)&amp;"numerator"&amp;CHAR(34)&amp;": "&amp;SUBSTITUTE(TRIM(ROUND(IFERROR(CriteriTecnici!$K230*1,IFERROR(NUMBERVALUE(CriteriTecnici!$K230,".",","),IFERROR(NUMBERVALUE(CriteriTecnici!$K230,",","."),0))),4)&amp;""),",",".")&amp;", "&amp;CHAR(34)&amp;"denominator"&amp;CHAR(34)&amp;": "&amp;SUBSTITUTE(TRIM(ROUND(IFERROR(CriteriTecnici!$L230*1,IFERROR(NUMBERVALUE(CriteriTecnici!$L230,".",","),IFERROR(NUMBERVALUE(CriteriTecnici!$L230,",","."),0))),4)&amp;""),",",".")&amp;", "&amp;CHAR(34)&amp;"flag"&amp;CHAR(34)&amp;": "&amp;SUBSTITUTE(TRIM(ROUND(IFERROR(CriteriTecnici!$M230*1,IFERROR(NUMBERVALUE(CriteriTecnici!$M230,".",","),IFERROR(NUMBERVALUE(CriteriTecnici!$M230,",","."),0))),4)&amp;""),",",".")&amp;", "&amp;CHAR(34)&amp;"rawScore"&amp;CHAR(34)&amp;": "&amp;SUBSTITUTE(TRIM(ROUND(IFERROR(CriteriTecnici!$O230*1,IFERROR(NUMBERVALUE(CriteriTecnici!$O230,".",","),IFERROR(NUMBERVALUE(CriteriTecnici!$O230,",","."),0))),4)&amp;""),",",".")&amp;CHAR(125)&amp;IF(TRUE,",",""))</f>
        <v/>
      </c>
    </row>
    <row r="332">
      <c r="A332" s="82">
        <f>IF(CriteriTecnici!$A231="","","    "&amp;CHAR(123)&amp;CHAR(34)&amp;"bidderId"&amp;CHAR(34)&amp;": "&amp;CHAR(34)&amp;SUBSTITUTE(CriteriTecnici!$A231,CHAR(34),"'")&amp;CHAR(34)&amp;", "&amp;CHAR(34)&amp;"lotId"&amp;CHAR(34)&amp;": "&amp;CHAR(34)&amp;SUBSTITUTE(CriteriTecnici!$C231,CHAR(34),"'")&amp;CHAR(34)&amp;", "&amp;CHAR(34)&amp;"criterionId"&amp;CHAR(34)&amp;": "&amp;CHAR(34)&amp;SUBSTITUTE(CriteriTecnici!$D231,CHAR(34),"'")&amp;CHAR(34)&amp;", "&amp;CHAR(34)&amp;"kind"&amp;CHAR(34)&amp;": "&amp;CHAR(34)&amp;SUBSTITUTE(CriteriTecnici!$F231,CHAR(34),"'")&amp;CHAR(34)&amp;", "&amp;CHAR(34)&amp;"value"&amp;CHAR(34)&amp;": "&amp;SUBSTITUTE(TRIM(ROUND(IFERROR(CriteriTecnici!$N231*1,IFERROR(NUMBERVALUE(CriteriTecnici!$N231,".",","),IFERROR(NUMBERVALUE(CriteriTecnici!$N231,",","."),0))),4)&amp;""),",",".")&amp;", "&amp;CHAR(34)&amp;"numerator"&amp;CHAR(34)&amp;": "&amp;SUBSTITUTE(TRIM(ROUND(IFERROR(CriteriTecnici!$K231*1,IFERROR(NUMBERVALUE(CriteriTecnici!$K231,".",","),IFERROR(NUMBERVALUE(CriteriTecnici!$K231,",","."),0))),4)&amp;""),",",".")&amp;", "&amp;CHAR(34)&amp;"denominator"&amp;CHAR(34)&amp;": "&amp;SUBSTITUTE(TRIM(ROUND(IFERROR(CriteriTecnici!$L231*1,IFERROR(NUMBERVALUE(CriteriTecnici!$L231,".",","),IFERROR(NUMBERVALUE(CriteriTecnici!$L231,",","."),0))),4)&amp;""),",",".")&amp;", "&amp;CHAR(34)&amp;"flag"&amp;CHAR(34)&amp;": "&amp;SUBSTITUTE(TRIM(ROUND(IFERROR(CriteriTecnici!$M231*1,IFERROR(NUMBERVALUE(CriteriTecnici!$M231,".",","),IFERROR(NUMBERVALUE(CriteriTecnici!$M231,",","."),0))),4)&amp;""),",",".")&amp;", "&amp;CHAR(34)&amp;"rawScore"&amp;CHAR(34)&amp;": "&amp;SUBSTITUTE(TRIM(ROUND(IFERROR(CriteriTecnici!$O231*1,IFERROR(NUMBERVALUE(CriteriTecnici!$O231,".",","),IFERROR(NUMBERVALUE(CriteriTecnici!$O231,",","."),0))),4)&amp;""),",",".")&amp;CHAR(125)&amp;IF(TRUE,",",""))</f>
        <v/>
      </c>
    </row>
    <row r="333">
      <c r="A333" s="82">
        <f>IF(CriteriTecnici!$A232="","","    "&amp;CHAR(123)&amp;CHAR(34)&amp;"bidderId"&amp;CHAR(34)&amp;": "&amp;CHAR(34)&amp;SUBSTITUTE(CriteriTecnici!$A232,CHAR(34),"'")&amp;CHAR(34)&amp;", "&amp;CHAR(34)&amp;"lotId"&amp;CHAR(34)&amp;": "&amp;CHAR(34)&amp;SUBSTITUTE(CriteriTecnici!$C232,CHAR(34),"'")&amp;CHAR(34)&amp;", "&amp;CHAR(34)&amp;"criterionId"&amp;CHAR(34)&amp;": "&amp;CHAR(34)&amp;SUBSTITUTE(CriteriTecnici!$D232,CHAR(34),"'")&amp;CHAR(34)&amp;", "&amp;CHAR(34)&amp;"kind"&amp;CHAR(34)&amp;": "&amp;CHAR(34)&amp;SUBSTITUTE(CriteriTecnici!$F232,CHAR(34),"'")&amp;CHAR(34)&amp;", "&amp;CHAR(34)&amp;"value"&amp;CHAR(34)&amp;": "&amp;SUBSTITUTE(TRIM(ROUND(IFERROR(CriteriTecnici!$N232*1,IFERROR(NUMBERVALUE(CriteriTecnici!$N232,".",","),IFERROR(NUMBERVALUE(CriteriTecnici!$N232,",","."),0))),4)&amp;""),",",".")&amp;", "&amp;CHAR(34)&amp;"numerator"&amp;CHAR(34)&amp;": "&amp;SUBSTITUTE(TRIM(ROUND(IFERROR(CriteriTecnici!$K232*1,IFERROR(NUMBERVALUE(CriteriTecnici!$K232,".",","),IFERROR(NUMBERVALUE(CriteriTecnici!$K232,",","."),0))),4)&amp;""),",",".")&amp;", "&amp;CHAR(34)&amp;"denominator"&amp;CHAR(34)&amp;": "&amp;SUBSTITUTE(TRIM(ROUND(IFERROR(CriteriTecnici!$L232*1,IFERROR(NUMBERVALUE(CriteriTecnici!$L232,".",","),IFERROR(NUMBERVALUE(CriteriTecnici!$L232,",","."),0))),4)&amp;""),",",".")&amp;", "&amp;CHAR(34)&amp;"flag"&amp;CHAR(34)&amp;": "&amp;SUBSTITUTE(TRIM(ROUND(IFERROR(CriteriTecnici!$M232*1,IFERROR(NUMBERVALUE(CriteriTecnici!$M232,".",","),IFERROR(NUMBERVALUE(CriteriTecnici!$M232,",","."),0))),4)&amp;""),",",".")&amp;", "&amp;CHAR(34)&amp;"rawScore"&amp;CHAR(34)&amp;": "&amp;SUBSTITUTE(TRIM(ROUND(IFERROR(CriteriTecnici!$O232*1,IFERROR(NUMBERVALUE(CriteriTecnici!$O232,".",","),IFERROR(NUMBERVALUE(CriteriTecnici!$O232,",","."),0))),4)&amp;""),",",".")&amp;CHAR(125)&amp;IF(TRUE,",",""))</f>
        <v/>
      </c>
    </row>
    <row r="334">
      <c r="A334" s="82">
        <f>IF(CriteriTecnici!$A233="","","    "&amp;CHAR(123)&amp;CHAR(34)&amp;"bidderId"&amp;CHAR(34)&amp;": "&amp;CHAR(34)&amp;SUBSTITUTE(CriteriTecnici!$A233,CHAR(34),"'")&amp;CHAR(34)&amp;", "&amp;CHAR(34)&amp;"lotId"&amp;CHAR(34)&amp;": "&amp;CHAR(34)&amp;SUBSTITUTE(CriteriTecnici!$C233,CHAR(34),"'")&amp;CHAR(34)&amp;", "&amp;CHAR(34)&amp;"criterionId"&amp;CHAR(34)&amp;": "&amp;CHAR(34)&amp;SUBSTITUTE(CriteriTecnici!$D233,CHAR(34),"'")&amp;CHAR(34)&amp;", "&amp;CHAR(34)&amp;"kind"&amp;CHAR(34)&amp;": "&amp;CHAR(34)&amp;SUBSTITUTE(CriteriTecnici!$F233,CHAR(34),"'")&amp;CHAR(34)&amp;", "&amp;CHAR(34)&amp;"value"&amp;CHAR(34)&amp;": "&amp;SUBSTITUTE(TRIM(ROUND(IFERROR(CriteriTecnici!$N233*1,IFERROR(NUMBERVALUE(CriteriTecnici!$N233,".",","),IFERROR(NUMBERVALUE(CriteriTecnici!$N233,",","."),0))),4)&amp;""),",",".")&amp;", "&amp;CHAR(34)&amp;"numerator"&amp;CHAR(34)&amp;": "&amp;SUBSTITUTE(TRIM(ROUND(IFERROR(CriteriTecnici!$K233*1,IFERROR(NUMBERVALUE(CriteriTecnici!$K233,".",","),IFERROR(NUMBERVALUE(CriteriTecnici!$K233,",","."),0))),4)&amp;""),",",".")&amp;", "&amp;CHAR(34)&amp;"denominator"&amp;CHAR(34)&amp;": "&amp;SUBSTITUTE(TRIM(ROUND(IFERROR(CriteriTecnici!$L233*1,IFERROR(NUMBERVALUE(CriteriTecnici!$L233,".",","),IFERROR(NUMBERVALUE(CriteriTecnici!$L233,",","."),0))),4)&amp;""),",",".")&amp;", "&amp;CHAR(34)&amp;"flag"&amp;CHAR(34)&amp;": "&amp;SUBSTITUTE(TRIM(ROUND(IFERROR(CriteriTecnici!$M233*1,IFERROR(NUMBERVALUE(CriteriTecnici!$M233,".",","),IFERROR(NUMBERVALUE(CriteriTecnici!$M233,",","."),0))),4)&amp;""),",",".")&amp;", "&amp;CHAR(34)&amp;"rawScore"&amp;CHAR(34)&amp;": "&amp;SUBSTITUTE(TRIM(ROUND(IFERROR(CriteriTecnici!$O233*1,IFERROR(NUMBERVALUE(CriteriTecnici!$O233,".",","),IFERROR(NUMBERVALUE(CriteriTecnici!$O233,",","."),0))),4)&amp;""),",",".")&amp;CHAR(125)&amp;IF(TRUE,",",""))</f>
        <v/>
      </c>
    </row>
    <row r="335">
      <c r="A335" s="82">
        <f>IF(CriteriTecnici!$A234="","","    "&amp;CHAR(123)&amp;CHAR(34)&amp;"bidderId"&amp;CHAR(34)&amp;": "&amp;CHAR(34)&amp;SUBSTITUTE(CriteriTecnici!$A234,CHAR(34),"'")&amp;CHAR(34)&amp;", "&amp;CHAR(34)&amp;"lotId"&amp;CHAR(34)&amp;": "&amp;CHAR(34)&amp;SUBSTITUTE(CriteriTecnici!$C234,CHAR(34),"'")&amp;CHAR(34)&amp;", "&amp;CHAR(34)&amp;"criterionId"&amp;CHAR(34)&amp;": "&amp;CHAR(34)&amp;SUBSTITUTE(CriteriTecnici!$D234,CHAR(34),"'")&amp;CHAR(34)&amp;", "&amp;CHAR(34)&amp;"kind"&amp;CHAR(34)&amp;": "&amp;CHAR(34)&amp;SUBSTITUTE(CriteriTecnici!$F234,CHAR(34),"'")&amp;CHAR(34)&amp;", "&amp;CHAR(34)&amp;"value"&amp;CHAR(34)&amp;": "&amp;SUBSTITUTE(TRIM(ROUND(IFERROR(CriteriTecnici!$N234*1,IFERROR(NUMBERVALUE(CriteriTecnici!$N234,".",","),IFERROR(NUMBERVALUE(CriteriTecnici!$N234,",","."),0))),4)&amp;""),",",".")&amp;", "&amp;CHAR(34)&amp;"numerator"&amp;CHAR(34)&amp;": "&amp;SUBSTITUTE(TRIM(ROUND(IFERROR(CriteriTecnici!$K234*1,IFERROR(NUMBERVALUE(CriteriTecnici!$K234,".",","),IFERROR(NUMBERVALUE(CriteriTecnici!$K234,",","."),0))),4)&amp;""),",",".")&amp;", "&amp;CHAR(34)&amp;"denominator"&amp;CHAR(34)&amp;": "&amp;SUBSTITUTE(TRIM(ROUND(IFERROR(CriteriTecnici!$L234*1,IFERROR(NUMBERVALUE(CriteriTecnici!$L234,".",","),IFERROR(NUMBERVALUE(CriteriTecnici!$L234,",","."),0))),4)&amp;""),",",".")&amp;", "&amp;CHAR(34)&amp;"flag"&amp;CHAR(34)&amp;": "&amp;SUBSTITUTE(TRIM(ROUND(IFERROR(CriteriTecnici!$M234*1,IFERROR(NUMBERVALUE(CriteriTecnici!$M234,".",","),IFERROR(NUMBERVALUE(CriteriTecnici!$M234,",","."),0))),4)&amp;""),",",".")&amp;", "&amp;CHAR(34)&amp;"rawScore"&amp;CHAR(34)&amp;": "&amp;SUBSTITUTE(TRIM(ROUND(IFERROR(CriteriTecnici!$O234*1,IFERROR(NUMBERVALUE(CriteriTecnici!$O234,".",","),IFERROR(NUMBERVALUE(CriteriTecnici!$O234,",","."),0))),4)&amp;""),",",".")&amp;CHAR(125)&amp;IF(TRUE,",",""))</f>
        <v/>
      </c>
    </row>
    <row r="336">
      <c r="A336" s="82">
        <f>IF(CriteriTecnici!$A235="","","    "&amp;CHAR(123)&amp;CHAR(34)&amp;"bidderId"&amp;CHAR(34)&amp;": "&amp;CHAR(34)&amp;SUBSTITUTE(CriteriTecnici!$A235,CHAR(34),"'")&amp;CHAR(34)&amp;", "&amp;CHAR(34)&amp;"lotId"&amp;CHAR(34)&amp;": "&amp;CHAR(34)&amp;SUBSTITUTE(CriteriTecnici!$C235,CHAR(34),"'")&amp;CHAR(34)&amp;", "&amp;CHAR(34)&amp;"criterionId"&amp;CHAR(34)&amp;": "&amp;CHAR(34)&amp;SUBSTITUTE(CriteriTecnici!$D235,CHAR(34),"'")&amp;CHAR(34)&amp;", "&amp;CHAR(34)&amp;"kind"&amp;CHAR(34)&amp;": "&amp;CHAR(34)&amp;SUBSTITUTE(CriteriTecnici!$F235,CHAR(34),"'")&amp;CHAR(34)&amp;", "&amp;CHAR(34)&amp;"value"&amp;CHAR(34)&amp;": "&amp;SUBSTITUTE(TRIM(ROUND(IFERROR(CriteriTecnici!$N235*1,IFERROR(NUMBERVALUE(CriteriTecnici!$N235,".",","),IFERROR(NUMBERVALUE(CriteriTecnici!$N235,",","."),0))),4)&amp;""),",",".")&amp;", "&amp;CHAR(34)&amp;"numerator"&amp;CHAR(34)&amp;": "&amp;SUBSTITUTE(TRIM(ROUND(IFERROR(CriteriTecnici!$K235*1,IFERROR(NUMBERVALUE(CriteriTecnici!$K235,".",","),IFERROR(NUMBERVALUE(CriteriTecnici!$K235,",","."),0))),4)&amp;""),",",".")&amp;", "&amp;CHAR(34)&amp;"denominator"&amp;CHAR(34)&amp;": "&amp;SUBSTITUTE(TRIM(ROUND(IFERROR(CriteriTecnici!$L235*1,IFERROR(NUMBERVALUE(CriteriTecnici!$L235,".",","),IFERROR(NUMBERVALUE(CriteriTecnici!$L235,",","."),0))),4)&amp;""),",",".")&amp;", "&amp;CHAR(34)&amp;"flag"&amp;CHAR(34)&amp;": "&amp;SUBSTITUTE(TRIM(ROUND(IFERROR(CriteriTecnici!$M235*1,IFERROR(NUMBERVALUE(CriteriTecnici!$M235,".",","),IFERROR(NUMBERVALUE(CriteriTecnici!$M235,",","."),0))),4)&amp;""),",",".")&amp;", "&amp;CHAR(34)&amp;"rawScore"&amp;CHAR(34)&amp;": "&amp;SUBSTITUTE(TRIM(ROUND(IFERROR(CriteriTecnici!$O235*1,IFERROR(NUMBERVALUE(CriteriTecnici!$O235,".",","),IFERROR(NUMBERVALUE(CriteriTecnici!$O235,",","."),0))),4)&amp;""),",",".")&amp;CHAR(125)&amp;IF(TRUE,",",""))</f>
        <v/>
      </c>
    </row>
    <row r="337">
      <c r="A337" s="82">
        <f>IF(CriteriTecnici!$A236="","","    "&amp;CHAR(123)&amp;CHAR(34)&amp;"bidderId"&amp;CHAR(34)&amp;": "&amp;CHAR(34)&amp;SUBSTITUTE(CriteriTecnici!$A236,CHAR(34),"'")&amp;CHAR(34)&amp;", "&amp;CHAR(34)&amp;"lotId"&amp;CHAR(34)&amp;": "&amp;CHAR(34)&amp;SUBSTITUTE(CriteriTecnici!$C236,CHAR(34),"'")&amp;CHAR(34)&amp;", "&amp;CHAR(34)&amp;"criterionId"&amp;CHAR(34)&amp;": "&amp;CHAR(34)&amp;SUBSTITUTE(CriteriTecnici!$D236,CHAR(34),"'")&amp;CHAR(34)&amp;", "&amp;CHAR(34)&amp;"kind"&amp;CHAR(34)&amp;": "&amp;CHAR(34)&amp;SUBSTITUTE(CriteriTecnici!$F236,CHAR(34),"'")&amp;CHAR(34)&amp;", "&amp;CHAR(34)&amp;"value"&amp;CHAR(34)&amp;": "&amp;SUBSTITUTE(TRIM(ROUND(IFERROR(CriteriTecnici!$N236*1,IFERROR(NUMBERVALUE(CriteriTecnici!$N236,".",","),IFERROR(NUMBERVALUE(CriteriTecnici!$N236,",","."),0))),4)&amp;""),",",".")&amp;", "&amp;CHAR(34)&amp;"numerator"&amp;CHAR(34)&amp;": "&amp;SUBSTITUTE(TRIM(ROUND(IFERROR(CriteriTecnici!$K236*1,IFERROR(NUMBERVALUE(CriteriTecnici!$K236,".",","),IFERROR(NUMBERVALUE(CriteriTecnici!$K236,",","."),0))),4)&amp;""),",",".")&amp;", "&amp;CHAR(34)&amp;"denominator"&amp;CHAR(34)&amp;": "&amp;SUBSTITUTE(TRIM(ROUND(IFERROR(CriteriTecnici!$L236*1,IFERROR(NUMBERVALUE(CriteriTecnici!$L236,".",","),IFERROR(NUMBERVALUE(CriteriTecnici!$L236,",","."),0))),4)&amp;""),",",".")&amp;", "&amp;CHAR(34)&amp;"flag"&amp;CHAR(34)&amp;": "&amp;SUBSTITUTE(TRIM(ROUND(IFERROR(CriteriTecnici!$M236*1,IFERROR(NUMBERVALUE(CriteriTecnici!$M236,".",","),IFERROR(NUMBERVALUE(CriteriTecnici!$M236,",","."),0))),4)&amp;""),",",".")&amp;", "&amp;CHAR(34)&amp;"rawScore"&amp;CHAR(34)&amp;": "&amp;SUBSTITUTE(TRIM(ROUND(IFERROR(CriteriTecnici!$O236*1,IFERROR(NUMBERVALUE(CriteriTecnici!$O236,".",","),IFERROR(NUMBERVALUE(CriteriTecnici!$O236,",","."),0))),4)&amp;""),",",".")&amp;CHAR(125)&amp;IF(TRUE,",",""))</f>
        <v/>
      </c>
    </row>
    <row r="338">
      <c r="A338" s="82">
        <f>IF(CriteriTecnici!$A237="","","    "&amp;CHAR(123)&amp;CHAR(34)&amp;"bidderId"&amp;CHAR(34)&amp;": "&amp;CHAR(34)&amp;SUBSTITUTE(CriteriTecnici!$A237,CHAR(34),"'")&amp;CHAR(34)&amp;", "&amp;CHAR(34)&amp;"lotId"&amp;CHAR(34)&amp;": "&amp;CHAR(34)&amp;SUBSTITUTE(CriteriTecnici!$C237,CHAR(34),"'")&amp;CHAR(34)&amp;", "&amp;CHAR(34)&amp;"criterionId"&amp;CHAR(34)&amp;": "&amp;CHAR(34)&amp;SUBSTITUTE(CriteriTecnici!$D237,CHAR(34),"'")&amp;CHAR(34)&amp;", "&amp;CHAR(34)&amp;"kind"&amp;CHAR(34)&amp;": "&amp;CHAR(34)&amp;SUBSTITUTE(CriteriTecnici!$F237,CHAR(34),"'")&amp;CHAR(34)&amp;", "&amp;CHAR(34)&amp;"value"&amp;CHAR(34)&amp;": "&amp;SUBSTITUTE(TRIM(ROUND(IFERROR(CriteriTecnici!$N237*1,IFERROR(NUMBERVALUE(CriteriTecnici!$N237,".",","),IFERROR(NUMBERVALUE(CriteriTecnici!$N237,",","."),0))),4)&amp;""),",",".")&amp;", "&amp;CHAR(34)&amp;"numerator"&amp;CHAR(34)&amp;": "&amp;SUBSTITUTE(TRIM(ROUND(IFERROR(CriteriTecnici!$K237*1,IFERROR(NUMBERVALUE(CriteriTecnici!$K237,".",","),IFERROR(NUMBERVALUE(CriteriTecnici!$K237,",","."),0))),4)&amp;""),",",".")&amp;", "&amp;CHAR(34)&amp;"denominator"&amp;CHAR(34)&amp;": "&amp;SUBSTITUTE(TRIM(ROUND(IFERROR(CriteriTecnici!$L237*1,IFERROR(NUMBERVALUE(CriteriTecnici!$L237,".",","),IFERROR(NUMBERVALUE(CriteriTecnici!$L237,",","."),0))),4)&amp;""),",",".")&amp;", "&amp;CHAR(34)&amp;"flag"&amp;CHAR(34)&amp;": "&amp;SUBSTITUTE(TRIM(ROUND(IFERROR(CriteriTecnici!$M237*1,IFERROR(NUMBERVALUE(CriteriTecnici!$M237,".",","),IFERROR(NUMBERVALUE(CriteriTecnici!$M237,",","."),0))),4)&amp;""),",",".")&amp;", "&amp;CHAR(34)&amp;"rawScore"&amp;CHAR(34)&amp;": "&amp;SUBSTITUTE(TRIM(ROUND(IFERROR(CriteriTecnici!$O237*1,IFERROR(NUMBERVALUE(CriteriTecnici!$O237,".",","),IFERROR(NUMBERVALUE(CriteriTecnici!$O237,",","."),0))),4)&amp;""),",",".")&amp;CHAR(125)&amp;IF(TRUE,",",""))</f>
        <v/>
      </c>
    </row>
    <row r="339">
      <c r="A339" s="82">
        <f>IF(CriteriTecnici!$A238="","","    "&amp;CHAR(123)&amp;CHAR(34)&amp;"bidderId"&amp;CHAR(34)&amp;": "&amp;CHAR(34)&amp;SUBSTITUTE(CriteriTecnici!$A238,CHAR(34),"'")&amp;CHAR(34)&amp;", "&amp;CHAR(34)&amp;"lotId"&amp;CHAR(34)&amp;": "&amp;CHAR(34)&amp;SUBSTITUTE(CriteriTecnici!$C238,CHAR(34),"'")&amp;CHAR(34)&amp;", "&amp;CHAR(34)&amp;"criterionId"&amp;CHAR(34)&amp;": "&amp;CHAR(34)&amp;SUBSTITUTE(CriteriTecnici!$D238,CHAR(34),"'")&amp;CHAR(34)&amp;", "&amp;CHAR(34)&amp;"kind"&amp;CHAR(34)&amp;": "&amp;CHAR(34)&amp;SUBSTITUTE(CriteriTecnici!$F238,CHAR(34),"'")&amp;CHAR(34)&amp;", "&amp;CHAR(34)&amp;"value"&amp;CHAR(34)&amp;": "&amp;SUBSTITUTE(TRIM(ROUND(IFERROR(CriteriTecnici!$N238*1,IFERROR(NUMBERVALUE(CriteriTecnici!$N238,".",","),IFERROR(NUMBERVALUE(CriteriTecnici!$N238,",","."),0))),4)&amp;""),",",".")&amp;", "&amp;CHAR(34)&amp;"numerator"&amp;CHAR(34)&amp;": "&amp;SUBSTITUTE(TRIM(ROUND(IFERROR(CriteriTecnici!$K238*1,IFERROR(NUMBERVALUE(CriteriTecnici!$K238,".",","),IFERROR(NUMBERVALUE(CriteriTecnici!$K238,",","."),0))),4)&amp;""),",",".")&amp;", "&amp;CHAR(34)&amp;"denominator"&amp;CHAR(34)&amp;": "&amp;SUBSTITUTE(TRIM(ROUND(IFERROR(CriteriTecnici!$L238*1,IFERROR(NUMBERVALUE(CriteriTecnici!$L238,".",","),IFERROR(NUMBERVALUE(CriteriTecnici!$L238,",","."),0))),4)&amp;""),",",".")&amp;", "&amp;CHAR(34)&amp;"flag"&amp;CHAR(34)&amp;": "&amp;SUBSTITUTE(TRIM(ROUND(IFERROR(CriteriTecnici!$M238*1,IFERROR(NUMBERVALUE(CriteriTecnici!$M238,".",","),IFERROR(NUMBERVALUE(CriteriTecnici!$M238,",","."),0))),4)&amp;""),",",".")&amp;", "&amp;CHAR(34)&amp;"rawScore"&amp;CHAR(34)&amp;": "&amp;SUBSTITUTE(TRIM(ROUND(IFERROR(CriteriTecnici!$O238*1,IFERROR(NUMBERVALUE(CriteriTecnici!$O238,".",","),IFERROR(NUMBERVALUE(CriteriTecnici!$O238,",","."),0))),4)&amp;""),",",".")&amp;CHAR(125)&amp;IF(TRUE,",",""))</f>
        <v/>
      </c>
    </row>
    <row r="340">
      <c r="A340" s="82">
        <f>IF(CriteriTecnici!$A239="","","    "&amp;CHAR(123)&amp;CHAR(34)&amp;"bidderId"&amp;CHAR(34)&amp;": "&amp;CHAR(34)&amp;SUBSTITUTE(CriteriTecnici!$A239,CHAR(34),"'")&amp;CHAR(34)&amp;", "&amp;CHAR(34)&amp;"lotId"&amp;CHAR(34)&amp;": "&amp;CHAR(34)&amp;SUBSTITUTE(CriteriTecnici!$C239,CHAR(34),"'")&amp;CHAR(34)&amp;", "&amp;CHAR(34)&amp;"criterionId"&amp;CHAR(34)&amp;": "&amp;CHAR(34)&amp;SUBSTITUTE(CriteriTecnici!$D239,CHAR(34),"'")&amp;CHAR(34)&amp;", "&amp;CHAR(34)&amp;"kind"&amp;CHAR(34)&amp;": "&amp;CHAR(34)&amp;SUBSTITUTE(CriteriTecnici!$F239,CHAR(34),"'")&amp;CHAR(34)&amp;", "&amp;CHAR(34)&amp;"value"&amp;CHAR(34)&amp;": "&amp;SUBSTITUTE(TRIM(ROUND(IFERROR(CriteriTecnici!$N239*1,IFERROR(NUMBERVALUE(CriteriTecnici!$N239,".",","),IFERROR(NUMBERVALUE(CriteriTecnici!$N239,",","."),0))),4)&amp;""),",",".")&amp;", "&amp;CHAR(34)&amp;"numerator"&amp;CHAR(34)&amp;": "&amp;SUBSTITUTE(TRIM(ROUND(IFERROR(CriteriTecnici!$K239*1,IFERROR(NUMBERVALUE(CriteriTecnici!$K239,".",","),IFERROR(NUMBERVALUE(CriteriTecnici!$K239,",","."),0))),4)&amp;""),",",".")&amp;", "&amp;CHAR(34)&amp;"denominator"&amp;CHAR(34)&amp;": "&amp;SUBSTITUTE(TRIM(ROUND(IFERROR(CriteriTecnici!$L239*1,IFERROR(NUMBERVALUE(CriteriTecnici!$L239,".",","),IFERROR(NUMBERVALUE(CriteriTecnici!$L239,",","."),0))),4)&amp;""),",",".")&amp;", "&amp;CHAR(34)&amp;"flag"&amp;CHAR(34)&amp;": "&amp;SUBSTITUTE(TRIM(ROUND(IFERROR(CriteriTecnici!$M239*1,IFERROR(NUMBERVALUE(CriteriTecnici!$M239,".",","),IFERROR(NUMBERVALUE(CriteriTecnici!$M239,",","."),0))),4)&amp;""),",",".")&amp;", "&amp;CHAR(34)&amp;"rawScore"&amp;CHAR(34)&amp;": "&amp;SUBSTITUTE(TRIM(ROUND(IFERROR(CriteriTecnici!$O239*1,IFERROR(NUMBERVALUE(CriteriTecnici!$O239,".",","),IFERROR(NUMBERVALUE(CriteriTecnici!$O239,",","."),0))),4)&amp;""),",",".")&amp;CHAR(125)&amp;IF(TRUE,",",""))</f>
        <v/>
      </c>
    </row>
    <row r="341">
      <c r="A341" s="82">
        <f>IF(CriteriTecnici!$A240="","","    "&amp;CHAR(123)&amp;CHAR(34)&amp;"bidderId"&amp;CHAR(34)&amp;": "&amp;CHAR(34)&amp;SUBSTITUTE(CriteriTecnici!$A240,CHAR(34),"'")&amp;CHAR(34)&amp;", "&amp;CHAR(34)&amp;"lotId"&amp;CHAR(34)&amp;": "&amp;CHAR(34)&amp;SUBSTITUTE(CriteriTecnici!$C240,CHAR(34),"'")&amp;CHAR(34)&amp;", "&amp;CHAR(34)&amp;"criterionId"&amp;CHAR(34)&amp;": "&amp;CHAR(34)&amp;SUBSTITUTE(CriteriTecnici!$D240,CHAR(34),"'")&amp;CHAR(34)&amp;", "&amp;CHAR(34)&amp;"kind"&amp;CHAR(34)&amp;": "&amp;CHAR(34)&amp;SUBSTITUTE(CriteriTecnici!$F240,CHAR(34),"'")&amp;CHAR(34)&amp;", "&amp;CHAR(34)&amp;"value"&amp;CHAR(34)&amp;": "&amp;SUBSTITUTE(TRIM(ROUND(IFERROR(CriteriTecnici!$N240*1,IFERROR(NUMBERVALUE(CriteriTecnici!$N240,".",","),IFERROR(NUMBERVALUE(CriteriTecnici!$N240,",","."),0))),4)&amp;""),",",".")&amp;", "&amp;CHAR(34)&amp;"numerator"&amp;CHAR(34)&amp;": "&amp;SUBSTITUTE(TRIM(ROUND(IFERROR(CriteriTecnici!$K240*1,IFERROR(NUMBERVALUE(CriteriTecnici!$K240,".",","),IFERROR(NUMBERVALUE(CriteriTecnici!$K240,",","."),0))),4)&amp;""),",",".")&amp;", "&amp;CHAR(34)&amp;"denominator"&amp;CHAR(34)&amp;": "&amp;SUBSTITUTE(TRIM(ROUND(IFERROR(CriteriTecnici!$L240*1,IFERROR(NUMBERVALUE(CriteriTecnici!$L240,".",","),IFERROR(NUMBERVALUE(CriteriTecnici!$L240,",","."),0))),4)&amp;""),",",".")&amp;", "&amp;CHAR(34)&amp;"flag"&amp;CHAR(34)&amp;": "&amp;SUBSTITUTE(TRIM(ROUND(IFERROR(CriteriTecnici!$M240*1,IFERROR(NUMBERVALUE(CriteriTecnici!$M240,".",","),IFERROR(NUMBERVALUE(CriteriTecnici!$M240,",","."),0))),4)&amp;""),",",".")&amp;", "&amp;CHAR(34)&amp;"rawScore"&amp;CHAR(34)&amp;": "&amp;SUBSTITUTE(TRIM(ROUND(IFERROR(CriteriTecnici!$O240*1,IFERROR(NUMBERVALUE(CriteriTecnici!$O240,".",","),IFERROR(NUMBERVALUE(CriteriTecnici!$O240,",","."),0))),4)&amp;""),",",".")&amp;CHAR(125)&amp;IF(TRUE,",",""))</f>
        <v/>
      </c>
    </row>
    <row r="342">
      <c r="A342" s="82">
        <f>IF(CriteriTecnici!$A241="","","    "&amp;CHAR(123)&amp;CHAR(34)&amp;"bidderId"&amp;CHAR(34)&amp;": "&amp;CHAR(34)&amp;SUBSTITUTE(CriteriTecnici!$A241,CHAR(34),"'")&amp;CHAR(34)&amp;", "&amp;CHAR(34)&amp;"lotId"&amp;CHAR(34)&amp;": "&amp;CHAR(34)&amp;SUBSTITUTE(CriteriTecnici!$C241,CHAR(34),"'")&amp;CHAR(34)&amp;", "&amp;CHAR(34)&amp;"criterionId"&amp;CHAR(34)&amp;": "&amp;CHAR(34)&amp;SUBSTITUTE(CriteriTecnici!$D241,CHAR(34),"'")&amp;CHAR(34)&amp;", "&amp;CHAR(34)&amp;"kind"&amp;CHAR(34)&amp;": "&amp;CHAR(34)&amp;SUBSTITUTE(CriteriTecnici!$F241,CHAR(34),"'")&amp;CHAR(34)&amp;", "&amp;CHAR(34)&amp;"value"&amp;CHAR(34)&amp;": "&amp;SUBSTITUTE(TRIM(ROUND(IFERROR(CriteriTecnici!$N241*1,IFERROR(NUMBERVALUE(CriteriTecnici!$N241,".",","),IFERROR(NUMBERVALUE(CriteriTecnici!$N241,",","."),0))),4)&amp;""),",",".")&amp;", "&amp;CHAR(34)&amp;"numerator"&amp;CHAR(34)&amp;": "&amp;SUBSTITUTE(TRIM(ROUND(IFERROR(CriteriTecnici!$K241*1,IFERROR(NUMBERVALUE(CriteriTecnici!$K241,".",","),IFERROR(NUMBERVALUE(CriteriTecnici!$K241,",","."),0))),4)&amp;""),",",".")&amp;", "&amp;CHAR(34)&amp;"denominator"&amp;CHAR(34)&amp;": "&amp;SUBSTITUTE(TRIM(ROUND(IFERROR(CriteriTecnici!$L241*1,IFERROR(NUMBERVALUE(CriteriTecnici!$L241,".",","),IFERROR(NUMBERVALUE(CriteriTecnici!$L241,",","."),0))),4)&amp;""),",",".")&amp;", "&amp;CHAR(34)&amp;"flag"&amp;CHAR(34)&amp;": "&amp;SUBSTITUTE(TRIM(ROUND(IFERROR(CriteriTecnici!$M241*1,IFERROR(NUMBERVALUE(CriteriTecnici!$M241,".",","),IFERROR(NUMBERVALUE(CriteriTecnici!$M241,",","."),0))),4)&amp;""),",",".")&amp;", "&amp;CHAR(34)&amp;"rawScore"&amp;CHAR(34)&amp;": "&amp;SUBSTITUTE(TRIM(ROUND(IFERROR(CriteriTecnici!$O241*1,IFERROR(NUMBERVALUE(CriteriTecnici!$O241,".",","),IFERROR(NUMBERVALUE(CriteriTecnici!$O241,",","."),0))),4)&amp;""),",",".")&amp;CHAR(125)&amp;IF(TRUE,",",""))</f>
        <v/>
      </c>
    </row>
    <row r="343">
      <c r="A343" s="82">
        <f>IF(CriteriTecnici!$A242="","","    "&amp;CHAR(123)&amp;CHAR(34)&amp;"bidderId"&amp;CHAR(34)&amp;": "&amp;CHAR(34)&amp;SUBSTITUTE(CriteriTecnici!$A242,CHAR(34),"'")&amp;CHAR(34)&amp;", "&amp;CHAR(34)&amp;"lotId"&amp;CHAR(34)&amp;": "&amp;CHAR(34)&amp;SUBSTITUTE(CriteriTecnici!$C242,CHAR(34),"'")&amp;CHAR(34)&amp;", "&amp;CHAR(34)&amp;"criterionId"&amp;CHAR(34)&amp;": "&amp;CHAR(34)&amp;SUBSTITUTE(CriteriTecnici!$D242,CHAR(34),"'")&amp;CHAR(34)&amp;", "&amp;CHAR(34)&amp;"kind"&amp;CHAR(34)&amp;": "&amp;CHAR(34)&amp;SUBSTITUTE(CriteriTecnici!$F242,CHAR(34),"'")&amp;CHAR(34)&amp;", "&amp;CHAR(34)&amp;"value"&amp;CHAR(34)&amp;": "&amp;SUBSTITUTE(TRIM(ROUND(IFERROR(CriteriTecnici!$N242*1,IFERROR(NUMBERVALUE(CriteriTecnici!$N242,".",","),IFERROR(NUMBERVALUE(CriteriTecnici!$N242,",","."),0))),4)&amp;""),",",".")&amp;", "&amp;CHAR(34)&amp;"numerator"&amp;CHAR(34)&amp;": "&amp;SUBSTITUTE(TRIM(ROUND(IFERROR(CriteriTecnici!$K242*1,IFERROR(NUMBERVALUE(CriteriTecnici!$K242,".",","),IFERROR(NUMBERVALUE(CriteriTecnici!$K242,",","."),0))),4)&amp;""),",",".")&amp;", "&amp;CHAR(34)&amp;"denominator"&amp;CHAR(34)&amp;": "&amp;SUBSTITUTE(TRIM(ROUND(IFERROR(CriteriTecnici!$L242*1,IFERROR(NUMBERVALUE(CriteriTecnici!$L242,".",","),IFERROR(NUMBERVALUE(CriteriTecnici!$L242,",","."),0))),4)&amp;""),",",".")&amp;", "&amp;CHAR(34)&amp;"flag"&amp;CHAR(34)&amp;": "&amp;SUBSTITUTE(TRIM(ROUND(IFERROR(CriteriTecnici!$M242*1,IFERROR(NUMBERVALUE(CriteriTecnici!$M242,".",","),IFERROR(NUMBERVALUE(CriteriTecnici!$M242,",","."),0))),4)&amp;""),",",".")&amp;", "&amp;CHAR(34)&amp;"rawScore"&amp;CHAR(34)&amp;": "&amp;SUBSTITUTE(TRIM(ROUND(IFERROR(CriteriTecnici!$O242*1,IFERROR(NUMBERVALUE(CriteriTecnici!$O242,".",","),IFERROR(NUMBERVALUE(CriteriTecnici!$O242,",","."),0))),4)&amp;""),",",".")&amp;CHAR(125)&amp;IF(TRUE,",",""))</f>
        <v/>
      </c>
    </row>
    <row r="344">
      <c r="A344" s="82">
        <f>IF(CriteriTecnici!$A243="","","    "&amp;CHAR(123)&amp;CHAR(34)&amp;"bidderId"&amp;CHAR(34)&amp;": "&amp;CHAR(34)&amp;SUBSTITUTE(CriteriTecnici!$A243,CHAR(34),"'")&amp;CHAR(34)&amp;", "&amp;CHAR(34)&amp;"lotId"&amp;CHAR(34)&amp;": "&amp;CHAR(34)&amp;SUBSTITUTE(CriteriTecnici!$C243,CHAR(34),"'")&amp;CHAR(34)&amp;", "&amp;CHAR(34)&amp;"criterionId"&amp;CHAR(34)&amp;": "&amp;CHAR(34)&amp;SUBSTITUTE(CriteriTecnici!$D243,CHAR(34),"'")&amp;CHAR(34)&amp;", "&amp;CHAR(34)&amp;"kind"&amp;CHAR(34)&amp;": "&amp;CHAR(34)&amp;SUBSTITUTE(CriteriTecnici!$F243,CHAR(34),"'")&amp;CHAR(34)&amp;", "&amp;CHAR(34)&amp;"value"&amp;CHAR(34)&amp;": "&amp;SUBSTITUTE(TRIM(ROUND(IFERROR(CriteriTecnici!$N243*1,IFERROR(NUMBERVALUE(CriteriTecnici!$N243,".",","),IFERROR(NUMBERVALUE(CriteriTecnici!$N243,",","."),0))),4)&amp;""),",",".")&amp;", "&amp;CHAR(34)&amp;"numerator"&amp;CHAR(34)&amp;": "&amp;SUBSTITUTE(TRIM(ROUND(IFERROR(CriteriTecnici!$K243*1,IFERROR(NUMBERVALUE(CriteriTecnici!$K243,".",","),IFERROR(NUMBERVALUE(CriteriTecnici!$K243,",","."),0))),4)&amp;""),",",".")&amp;", "&amp;CHAR(34)&amp;"denominator"&amp;CHAR(34)&amp;": "&amp;SUBSTITUTE(TRIM(ROUND(IFERROR(CriteriTecnici!$L243*1,IFERROR(NUMBERVALUE(CriteriTecnici!$L243,".",","),IFERROR(NUMBERVALUE(CriteriTecnici!$L243,",","."),0))),4)&amp;""),",",".")&amp;", "&amp;CHAR(34)&amp;"flag"&amp;CHAR(34)&amp;": "&amp;SUBSTITUTE(TRIM(ROUND(IFERROR(CriteriTecnici!$M243*1,IFERROR(NUMBERVALUE(CriteriTecnici!$M243,".",","),IFERROR(NUMBERVALUE(CriteriTecnici!$M243,",","."),0))),4)&amp;""),",",".")&amp;", "&amp;CHAR(34)&amp;"rawScore"&amp;CHAR(34)&amp;": "&amp;SUBSTITUTE(TRIM(ROUND(IFERROR(CriteriTecnici!$O243*1,IFERROR(NUMBERVALUE(CriteriTecnici!$O243,".",","),IFERROR(NUMBERVALUE(CriteriTecnici!$O243,",","."),0))),4)&amp;""),",",".")&amp;CHAR(125)&amp;IF(TRUE,",",""))</f>
        <v/>
      </c>
    </row>
    <row r="345">
      <c r="A345" s="82">
        <f>IF(CriteriTecnici!$A244="","","    "&amp;CHAR(123)&amp;CHAR(34)&amp;"bidderId"&amp;CHAR(34)&amp;": "&amp;CHAR(34)&amp;SUBSTITUTE(CriteriTecnici!$A244,CHAR(34),"'")&amp;CHAR(34)&amp;", "&amp;CHAR(34)&amp;"lotId"&amp;CHAR(34)&amp;": "&amp;CHAR(34)&amp;SUBSTITUTE(CriteriTecnici!$C244,CHAR(34),"'")&amp;CHAR(34)&amp;", "&amp;CHAR(34)&amp;"criterionId"&amp;CHAR(34)&amp;": "&amp;CHAR(34)&amp;SUBSTITUTE(CriteriTecnici!$D244,CHAR(34),"'")&amp;CHAR(34)&amp;", "&amp;CHAR(34)&amp;"kind"&amp;CHAR(34)&amp;": "&amp;CHAR(34)&amp;SUBSTITUTE(CriteriTecnici!$F244,CHAR(34),"'")&amp;CHAR(34)&amp;", "&amp;CHAR(34)&amp;"value"&amp;CHAR(34)&amp;": "&amp;SUBSTITUTE(TRIM(ROUND(IFERROR(CriteriTecnici!$N244*1,IFERROR(NUMBERVALUE(CriteriTecnici!$N244,".",","),IFERROR(NUMBERVALUE(CriteriTecnici!$N244,",","."),0))),4)&amp;""),",",".")&amp;", "&amp;CHAR(34)&amp;"numerator"&amp;CHAR(34)&amp;": "&amp;SUBSTITUTE(TRIM(ROUND(IFERROR(CriteriTecnici!$K244*1,IFERROR(NUMBERVALUE(CriteriTecnici!$K244,".",","),IFERROR(NUMBERVALUE(CriteriTecnici!$K244,",","."),0))),4)&amp;""),",",".")&amp;", "&amp;CHAR(34)&amp;"denominator"&amp;CHAR(34)&amp;": "&amp;SUBSTITUTE(TRIM(ROUND(IFERROR(CriteriTecnici!$L244*1,IFERROR(NUMBERVALUE(CriteriTecnici!$L244,".",","),IFERROR(NUMBERVALUE(CriteriTecnici!$L244,",","."),0))),4)&amp;""),",",".")&amp;", "&amp;CHAR(34)&amp;"flag"&amp;CHAR(34)&amp;": "&amp;SUBSTITUTE(TRIM(ROUND(IFERROR(CriteriTecnici!$M244*1,IFERROR(NUMBERVALUE(CriteriTecnici!$M244,".",","),IFERROR(NUMBERVALUE(CriteriTecnici!$M244,",","."),0))),4)&amp;""),",",".")&amp;", "&amp;CHAR(34)&amp;"rawScore"&amp;CHAR(34)&amp;": "&amp;SUBSTITUTE(TRIM(ROUND(IFERROR(CriteriTecnici!$O244*1,IFERROR(NUMBERVALUE(CriteriTecnici!$O244,".",","),IFERROR(NUMBERVALUE(CriteriTecnici!$O244,",","."),0))),4)&amp;""),",",".")&amp;CHAR(125)&amp;IF(TRUE,",",""))</f>
        <v/>
      </c>
    </row>
    <row r="346">
      <c r="A346" s="82">
        <f>IF(CriteriTecnici!$A245="","","    "&amp;CHAR(123)&amp;CHAR(34)&amp;"bidderId"&amp;CHAR(34)&amp;": "&amp;CHAR(34)&amp;SUBSTITUTE(CriteriTecnici!$A245,CHAR(34),"'")&amp;CHAR(34)&amp;", "&amp;CHAR(34)&amp;"lotId"&amp;CHAR(34)&amp;": "&amp;CHAR(34)&amp;SUBSTITUTE(CriteriTecnici!$C245,CHAR(34),"'")&amp;CHAR(34)&amp;", "&amp;CHAR(34)&amp;"criterionId"&amp;CHAR(34)&amp;": "&amp;CHAR(34)&amp;SUBSTITUTE(CriteriTecnici!$D245,CHAR(34),"'")&amp;CHAR(34)&amp;", "&amp;CHAR(34)&amp;"kind"&amp;CHAR(34)&amp;": "&amp;CHAR(34)&amp;SUBSTITUTE(CriteriTecnici!$F245,CHAR(34),"'")&amp;CHAR(34)&amp;", "&amp;CHAR(34)&amp;"value"&amp;CHAR(34)&amp;": "&amp;SUBSTITUTE(TRIM(ROUND(IFERROR(CriteriTecnici!$N245*1,IFERROR(NUMBERVALUE(CriteriTecnici!$N245,".",","),IFERROR(NUMBERVALUE(CriteriTecnici!$N245,",","."),0))),4)&amp;""),",",".")&amp;", "&amp;CHAR(34)&amp;"numerator"&amp;CHAR(34)&amp;": "&amp;SUBSTITUTE(TRIM(ROUND(IFERROR(CriteriTecnici!$K245*1,IFERROR(NUMBERVALUE(CriteriTecnici!$K245,".",","),IFERROR(NUMBERVALUE(CriteriTecnici!$K245,",","."),0))),4)&amp;""),",",".")&amp;", "&amp;CHAR(34)&amp;"denominator"&amp;CHAR(34)&amp;": "&amp;SUBSTITUTE(TRIM(ROUND(IFERROR(CriteriTecnici!$L245*1,IFERROR(NUMBERVALUE(CriteriTecnici!$L245,".",","),IFERROR(NUMBERVALUE(CriteriTecnici!$L245,",","."),0))),4)&amp;""),",",".")&amp;", "&amp;CHAR(34)&amp;"flag"&amp;CHAR(34)&amp;": "&amp;SUBSTITUTE(TRIM(ROUND(IFERROR(CriteriTecnici!$M245*1,IFERROR(NUMBERVALUE(CriteriTecnici!$M245,".",","),IFERROR(NUMBERVALUE(CriteriTecnici!$M245,",","."),0))),4)&amp;""),",",".")&amp;", "&amp;CHAR(34)&amp;"rawScore"&amp;CHAR(34)&amp;": "&amp;SUBSTITUTE(TRIM(ROUND(IFERROR(CriteriTecnici!$O245*1,IFERROR(NUMBERVALUE(CriteriTecnici!$O245,".",","),IFERROR(NUMBERVALUE(CriteriTecnici!$O245,",","."),0))),4)&amp;""),",",".")&amp;CHAR(125)&amp;IF(TRUE,",",""))</f>
        <v/>
      </c>
    </row>
    <row r="347">
      <c r="A347" s="82">
        <f>IF(CriteriTecnici!$A246="","","    "&amp;CHAR(123)&amp;CHAR(34)&amp;"bidderId"&amp;CHAR(34)&amp;": "&amp;CHAR(34)&amp;SUBSTITUTE(CriteriTecnici!$A246,CHAR(34),"'")&amp;CHAR(34)&amp;", "&amp;CHAR(34)&amp;"lotId"&amp;CHAR(34)&amp;": "&amp;CHAR(34)&amp;SUBSTITUTE(CriteriTecnici!$C246,CHAR(34),"'")&amp;CHAR(34)&amp;", "&amp;CHAR(34)&amp;"criterionId"&amp;CHAR(34)&amp;": "&amp;CHAR(34)&amp;SUBSTITUTE(CriteriTecnici!$D246,CHAR(34),"'")&amp;CHAR(34)&amp;", "&amp;CHAR(34)&amp;"kind"&amp;CHAR(34)&amp;": "&amp;CHAR(34)&amp;SUBSTITUTE(CriteriTecnici!$F246,CHAR(34),"'")&amp;CHAR(34)&amp;", "&amp;CHAR(34)&amp;"value"&amp;CHAR(34)&amp;": "&amp;SUBSTITUTE(TRIM(ROUND(IFERROR(CriteriTecnici!$N246*1,IFERROR(NUMBERVALUE(CriteriTecnici!$N246,".",","),IFERROR(NUMBERVALUE(CriteriTecnici!$N246,",","."),0))),4)&amp;""),",",".")&amp;", "&amp;CHAR(34)&amp;"numerator"&amp;CHAR(34)&amp;": "&amp;SUBSTITUTE(TRIM(ROUND(IFERROR(CriteriTecnici!$K246*1,IFERROR(NUMBERVALUE(CriteriTecnici!$K246,".",","),IFERROR(NUMBERVALUE(CriteriTecnici!$K246,",","."),0))),4)&amp;""),",",".")&amp;", "&amp;CHAR(34)&amp;"denominator"&amp;CHAR(34)&amp;": "&amp;SUBSTITUTE(TRIM(ROUND(IFERROR(CriteriTecnici!$L246*1,IFERROR(NUMBERVALUE(CriteriTecnici!$L246,".",","),IFERROR(NUMBERVALUE(CriteriTecnici!$L246,",","."),0))),4)&amp;""),",",".")&amp;", "&amp;CHAR(34)&amp;"flag"&amp;CHAR(34)&amp;": "&amp;SUBSTITUTE(TRIM(ROUND(IFERROR(CriteriTecnici!$M246*1,IFERROR(NUMBERVALUE(CriteriTecnici!$M246,".",","),IFERROR(NUMBERVALUE(CriteriTecnici!$M246,",","."),0))),4)&amp;""),",",".")&amp;", "&amp;CHAR(34)&amp;"rawScore"&amp;CHAR(34)&amp;": "&amp;SUBSTITUTE(TRIM(ROUND(IFERROR(CriteriTecnici!$O246*1,IFERROR(NUMBERVALUE(CriteriTecnici!$O246,".",","),IFERROR(NUMBERVALUE(CriteriTecnici!$O246,",","."),0))),4)&amp;""),",",".")&amp;CHAR(125)&amp;IF(TRUE,",",""))</f>
        <v/>
      </c>
    </row>
    <row r="348">
      <c r="A348" s="82">
        <f>IF(CriteriTecnici!$A247="","","    "&amp;CHAR(123)&amp;CHAR(34)&amp;"bidderId"&amp;CHAR(34)&amp;": "&amp;CHAR(34)&amp;SUBSTITUTE(CriteriTecnici!$A247,CHAR(34),"'")&amp;CHAR(34)&amp;", "&amp;CHAR(34)&amp;"lotId"&amp;CHAR(34)&amp;": "&amp;CHAR(34)&amp;SUBSTITUTE(CriteriTecnici!$C247,CHAR(34),"'")&amp;CHAR(34)&amp;", "&amp;CHAR(34)&amp;"criterionId"&amp;CHAR(34)&amp;": "&amp;CHAR(34)&amp;SUBSTITUTE(CriteriTecnici!$D247,CHAR(34),"'")&amp;CHAR(34)&amp;", "&amp;CHAR(34)&amp;"kind"&amp;CHAR(34)&amp;": "&amp;CHAR(34)&amp;SUBSTITUTE(CriteriTecnici!$F247,CHAR(34),"'")&amp;CHAR(34)&amp;", "&amp;CHAR(34)&amp;"value"&amp;CHAR(34)&amp;": "&amp;SUBSTITUTE(TRIM(ROUND(IFERROR(CriteriTecnici!$N247*1,IFERROR(NUMBERVALUE(CriteriTecnici!$N247,".",","),IFERROR(NUMBERVALUE(CriteriTecnici!$N247,",","."),0))),4)&amp;""),",",".")&amp;", "&amp;CHAR(34)&amp;"numerator"&amp;CHAR(34)&amp;": "&amp;SUBSTITUTE(TRIM(ROUND(IFERROR(CriteriTecnici!$K247*1,IFERROR(NUMBERVALUE(CriteriTecnici!$K247,".",","),IFERROR(NUMBERVALUE(CriteriTecnici!$K247,",","."),0))),4)&amp;""),",",".")&amp;", "&amp;CHAR(34)&amp;"denominator"&amp;CHAR(34)&amp;": "&amp;SUBSTITUTE(TRIM(ROUND(IFERROR(CriteriTecnici!$L247*1,IFERROR(NUMBERVALUE(CriteriTecnici!$L247,".",","),IFERROR(NUMBERVALUE(CriteriTecnici!$L247,",","."),0))),4)&amp;""),",",".")&amp;", "&amp;CHAR(34)&amp;"flag"&amp;CHAR(34)&amp;": "&amp;SUBSTITUTE(TRIM(ROUND(IFERROR(CriteriTecnici!$M247*1,IFERROR(NUMBERVALUE(CriteriTecnici!$M247,".",","),IFERROR(NUMBERVALUE(CriteriTecnici!$M247,",","."),0))),4)&amp;""),",",".")&amp;", "&amp;CHAR(34)&amp;"rawScore"&amp;CHAR(34)&amp;": "&amp;SUBSTITUTE(TRIM(ROUND(IFERROR(CriteriTecnici!$O247*1,IFERROR(NUMBERVALUE(CriteriTecnici!$O247,".",","),IFERROR(NUMBERVALUE(CriteriTecnici!$O247,",","."),0))),4)&amp;""),",",".")&amp;CHAR(125)&amp;IF(TRUE,",",""))</f>
        <v/>
      </c>
    </row>
    <row r="349">
      <c r="A349" s="82">
        <f>IF(CriteriTecnici!$A248="","","    "&amp;CHAR(123)&amp;CHAR(34)&amp;"bidderId"&amp;CHAR(34)&amp;": "&amp;CHAR(34)&amp;SUBSTITUTE(CriteriTecnici!$A248,CHAR(34),"'")&amp;CHAR(34)&amp;", "&amp;CHAR(34)&amp;"lotId"&amp;CHAR(34)&amp;": "&amp;CHAR(34)&amp;SUBSTITUTE(CriteriTecnici!$C248,CHAR(34),"'")&amp;CHAR(34)&amp;", "&amp;CHAR(34)&amp;"criterionId"&amp;CHAR(34)&amp;": "&amp;CHAR(34)&amp;SUBSTITUTE(CriteriTecnici!$D248,CHAR(34),"'")&amp;CHAR(34)&amp;", "&amp;CHAR(34)&amp;"kind"&amp;CHAR(34)&amp;": "&amp;CHAR(34)&amp;SUBSTITUTE(CriteriTecnici!$F248,CHAR(34),"'")&amp;CHAR(34)&amp;", "&amp;CHAR(34)&amp;"value"&amp;CHAR(34)&amp;": "&amp;SUBSTITUTE(TRIM(ROUND(IFERROR(CriteriTecnici!$N248*1,IFERROR(NUMBERVALUE(CriteriTecnici!$N248,".",","),IFERROR(NUMBERVALUE(CriteriTecnici!$N248,",","."),0))),4)&amp;""),",",".")&amp;", "&amp;CHAR(34)&amp;"numerator"&amp;CHAR(34)&amp;": "&amp;SUBSTITUTE(TRIM(ROUND(IFERROR(CriteriTecnici!$K248*1,IFERROR(NUMBERVALUE(CriteriTecnici!$K248,".",","),IFERROR(NUMBERVALUE(CriteriTecnici!$K248,",","."),0))),4)&amp;""),",",".")&amp;", "&amp;CHAR(34)&amp;"denominator"&amp;CHAR(34)&amp;": "&amp;SUBSTITUTE(TRIM(ROUND(IFERROR(CriteriTecnici!$L248*1,IFERROR(NUMBERVALUE(CriteriTecnici!$L248,".",","),IFERROR(NUMBERVALUE(CriteriTecnici!$L248,",","."),0))),4)&amp;""),",",".")&amp;", "&amp;CHAR(34)&amp;"flag"&amp;CHAR(34)&amp;": "&amp;SUBSTITUTE(TRIM(ROUND(IFERROR(CriteriTecnici!$M248*1,IFERROR(NUMBERVALUE(CriteriTecnici!$M248,".",","),IFERROR(NUMBERVALUE(CriteriTecnici!$M248,",","."),0))),4)&amp;""),",",".")&amp;", "&amp;CHAR(34)&amp;"rawScore"&amp;CHAR(34)&amp;": "&amp;SUBSTITUTE(TRIM(ROUND(IFERROR(CriteriTecnici!$O248*1,IFERROR(NUMBERVALUE(CriteriTecnici!$O248,".",","),IFERROR(NUMBERVALUE(CriteriTecnici!$O248,",","."),0))),4)&amp;""),",",".")&amp;CHAR(125)&amp;IF(TRUE,",",""))</f>
        <v/>
      </c>
    </row>
    <row r="350">
      <c r="A350" s="82">
        <f>IF(CriteriTecnici!$A249="","","    "&amp;CHAR(123)&amp;CHAR(34)&amp;"bidderId"&amp;CHAR(34)&amp;": "&amp;CHAR(34)&amp;SUBSTITUTE(CriteriTecnici!$A249,CHAR(34),"'")&amp;CHAR(34)&amp;", "&amp;CHAR(34)&amp;"lotId"&amp;CHAR(34)&amp;": "&amp;CHAR(34)&amp;SUBSTITUTE(CriteriTecnici!$C249,CHAR(34),"'")&amp;CHAR(34)&amp;", "&amp;CHAR(34)&amp;"criterionId"&amp;CHAR(34)&amp;": "&amp;CHAR(34)&amp;SUBSTITUTE(CriteriTecnici!$D249,CHAR(34),"'")&amp;CHAR(34)&amp;", "&amp;CHAR(34)&amp;"kind"&amp;CHAR(34)&amp;": "&amp;CHAR(34)&amp;SUBSTITUTE(CriteriTecnici!$F249,CHAR(34),"'")&amp;CHAR(34)&amp;", "&amp;CHAR(34)&amp;"value"&amp;CHAR(34)&amp;": "&amp;SUBSTITUTE(TRIM(ROUND(IFERROR(CriteriTecnici!$N249*1,IFERROR(NUMBERVALUE(CriteriTecnici!$N249,".",","),IFERROR(NUMBERVALUE(CriteriTecnici!$N249,",","."),0))),4)&amp;""),",",".")&amp;", "&amp;CHAR(34)&amp;"numerator"&amp;CHAR(34)&amp;": "&amp;SUBSTITUTE(TRIM(ROUND(IFERROR(CriteriTecnici!$K249*1,IFERROR(NUMBERVALUE(CriteriTecnici!$K249,".",","),IFERROR(NUMBERVALUE(CriteriTecnici!$K249,",","."),0))),4)&amp;""),",",".")&amp;", "&amp;CHAR(34)&amp;"denominator"&amp;CHAR(34)&amp;": "&amp;SUBSTITUTE(TRIM(ROUND(IFERROR(CriteriTecnici!$L249*1,IFERROR(NUMBERVALUE(CriteriTecnici!$L249,".",","),IFERROR(NUMBERVALUE(CriteriTecnici!$L249,",","."),0))),4)&amp;""),",",".")&amp;", "&amp;CHAR(34)&amp;"flag"&amp;CHAR(34)&amp;": "&amp;SUBSTITUTE(TRIM(ROUND(IFERROR(CriteriTecnici!$M249*1,IFERROR(NUMBERVALUE(CriteriTecnici!$M249,".",","),IFERROR(NUMBERVALUE(CriteriTecnici!$M249,",","."),0))),4)&amp;""),",",".")&amp;", "&amp;CHAR(34)&amp;"rawScore"&amp;CHAR(34)&amp;": "&amp;SUBSTITUTE(TRIM(ROUND(IFERROR(CriteriTecnici!$O249*1,IFERROR(NUMBERVALUE(CriteriTecnici!$O249,".",","),IFERROR(NUMBERVALUE(CriteriTecnici!$O249,",","."),0))),4)&amp;""),",",".")&amp;CHAR(125)&amp;IF(TRUE,",",""))</f>
        <v/>
      </c>
    </row>
    <row r="351">
      <c r="A351" s="82">
        <f>IF(CriteriTecnici!$A250="","","    "&amp;CHAR(123)&amp;CHAR(34)&amp;"bidderId"&amp;CHAR(34)&amp;": "&amp;CHAR(34)&amp;SUBSTITUTE(CriteriTecnici!$A250,CHAR(34),"'")&amp;CHAR(34)&amp;", "&amp;CHAR(34)&amp;"lotId"&amp;CHAR(34)&amp;": "&amp;CHAR(34)&amp;SUBSTITUTE(CriteriTecnici!$C250,CHAR(34),"'")&amp;CHAR(34)&amp;", "&amp;CHAR(34)&amp;"criterionId"&amp;CHAR(34)&amp;": "&amp;CHAR(34)&amp;SUBSTITUTE(CriteriTecnici!$D250,CHAR(34),"'")&amp;CHAR(34)&amp;", "&amp;CHAR(34)&amp;"kind"&amp;CHAR(34)&amp;": "&amp;CHAR(34)&amp;SUBSTITUTE(CriteriTecnici!$F250,CHAR(34),"'")&amp;CHAR(34)&amp;", "&amp;CHAR(34)&amp;"value"&amp;CHAR(34)&amp;": "&amp;SUBSTITUTE(TRIM(ROUND(IFERROR(CriteriTecnici!$N250*1,IFERROR(NUMBERVALUE(CriteriTecnici!$N250,".",","),IFERROR(NUMBERVALUE(CriteriTecnici!$N250,",","."),0))),4)&amp;""),",",".")&amp;", "&amp;CHAR(34)&amp;"numerator"&amp;CHAR(34)&amp;": "&amp;SUBSTITUTE(TRIM(ROUND(IFERROR(CriteriTecnici!$K250*1,IFERROR(NUMBERVALUE(CriteriTecnici!$K250,".",","),IFERROR(NUMBERVALUE(CriteriTecnici!$K250,",","."),0))),4)&amp;""),",",".")&amp;", "&amp;CHAR(34)&amp;"denominator"&amp;CHAR(34)&amp;": "&amp;SUBSTITUTE(TRIM(ROUND(IFERROR(CriteriTecnici!$L250*1,IFERROR(NUMBERVALUE(CriteriTecnici!$L250,".",","),IFERROR(NUMBERVALUE(CriteriTecnici!$L250,",","."),0))),4)&amp;""),",",".")&amp;", "&amp;CHAR(34)&amp;"flag"&amp;CHAR(34)&amp;": "&amp;SUBSTITUTE(TRIM(ROUND(IFERROR(CriteriTecnici!$M250*1,IFERROR(NUMBERVALUE(CriteriTecnici!$M250,".",","),IFERROR(NUMBERVALUE(CriteriTecnici!$M250,",","."),0))),4)&amp;""),",",".")&amp;", "&amp;CHAR(34)&amp;"rawScore"&amp;CHAR(34)&amp;": "&amp;SUBSTITUTE(TRIM(ROUND(IFERROR(CriteriTecnici!$O250*1,IFERROR(NUMBERVALUE(CriteriTecnici!$O250,".",","),IFERROR(NUMBERVALUE(CriteriTecnici!$O250,",","."),0))),4)&amp;""),",",".")&amp;CHAR(125)&amp;IF(TRUE,",",""))</f>
        <v/>
      </c>
    </row>
    <row r="352">
      <c r="A352" s="82">
        <f>IF(CriteriTecnici!$A251="","","    "&amp;CHAR(123)&amp;CHAR(34)&amp;"bidderId"&amp;CHAR(34)&amp;": "&amp;CHAR(34)&amp;SUBSTITUTE(CriteriTecnici!$A251,CHAR(34),"'")&amp;CHAR(34)&amp;", "&amp;CHAR(34)&amp;"lotId"&amp;CHAR(34)&amp;": "&amp;CHAR(34)&amp;SUBSTITUTE(CriteriTecnici!$C251,CHAR(34),"'")&amp;CHAR(34)&amp;", "&amp;CHAR(34)&amp;"criterionId"&amp;CHAR(34)&amp;": "&amp;CHAR(34)&amp;SUBSTITUTE(CriteriTecnici!$D251,CHAR(34),"'")&amp;CHAR(34)&amp;", "&amp;CHAR(34)&amp;"kind"&amp;CHAR(34)&amp;": "&amp;CHAR(34)&amp;SUBSTITUTE(CriteriTecnici!$F251,CHAR(34),"'")&amp;CHAR(34)&amp;", "&amp;CHAR(34)&amp;"value"&amp;CHAR(34)&amp;": "&amp;SUBSTITUTE(TRIM(ROUND(IFERROR(CriteriTecnici!$N251*1,IFERROR(NUMBERVALUE(CriteriTecnici!$N251,".",","),IFERROR(NUMBERVALUE(CriteriTecnici!$N251,",","."),0))),4)&amp;""),",",".")&amp;", "&amp;CHAR(34)&amp;"numerator"&amp;CHAR(34)&amp;": "&amp;SUBSTITUTE(TRIM(ROUND(IFERROR(CriteriTecnici!$K251*1,IFERROR(NUMBERVALUE(CriteriTecnici!$K251,".",","),IFERROR(NUMBERVALUE(CriteriTecnici!$K251,",","."),0))),4)&amp;""),",",".")&amp;", "&amp;CHAR(34)&amp;"denominator"&amp;CHAR(34)&amp;": "&amp;SUBSTITUTE(TRIM(ROUND(IFERROR(CriteriTecnici!$L251*1,IFERROR(NUMBERVALUE(CriteriTecnici!$L251,".",","),IFERROR(NUMBERVALUE(CriteriTecnici!$L251,",","."),0))),4)&amp;""),",",".")&amp;", "&amp;CHAR(34)&amp;"flag"&amp;CHAR(34)&amp;": "&amp;SUBSTITUTE(TRIM(ROUND(IFERROR(CriteriTecnici!$M251*1,IFERROR(NUMBERVALUE(CriteriTecnici!$M251,".",","),IFERROR(NUMBERVALUE(CriteriTecnici!$M251,",","."),0))),4)&amp;""),",",".")&amp;", "&amp;CHAR(34)&amp;"rawScore"&amp;CHAR(34)&amp;": "&amp;SUBSTITUTE(TRIM(ROUND(IFERROR(CriteriTecnici!$O251*1,IFERROR(NUMBERVALUE(CriteriTecnici!$O251,".",","),IFERROR(NUMBERVALUE(CriteriTecnici!$O251,",","."),0))),4)&amp;""),",",".")&amp;CHAR(125)&amp;IF(TRUE,",",""))</f>
        <v/>
      </c>
    </row>
    <row r="353">
      <c r="A353" s="82">
        <f>IF(CriteriTecnici!$A252="","","    "&amp;CHAR(123)&amp;CHAR(34)&amp;"bidderId"&amp;CHAR(34)&amp;": "&amp;CHAR(34)&amp;SUBSTITUTE(CriteriTecnici!$A252,CHAR(34),"'")&amp;CHAR(34)&amp;", "&amp;CHAR(34)&amp;"lotId"&amp;CHAR(34)&amp;": "&amp;CHAR(34)&amp;SUBSTITUTE(CriteriTecnici!$C252,CHAR(34),"'")&amp;CHAR(34)&amp;", "&amp;CHAR(34)&amp;"criterionId"&amp;CHAR(34)&amp;": "&amp;CHAR(34)&amp;SUBSTITUTE(CriteriTecnici!$D252,CHAR(34),"'")&amp;CHAR(34)&amp;", "&amp;CHAR(34)&amp;"kind"&amp;CHAR(34)&amp;": "&amp;CHAR(34)&amp;SUBSTITUTE(CriteriTecnici!$F252,CHAR(34),"'")&amp;CHAR(34)&amp;", "&amp;CHAR(34)&amp;"value"&amp;CHAR(34)&amp;": "&amp;SUBSTITUTE(TRIM(ROUND(IFERROR(CriteriTecnici!$N252*1,IFERROR(NUMBERVALUE(CriteriTecnici!$N252,".",","),IFERROR(NUMBERVALUE(CriteriTecnici!$N252,",","."),0))),4)&amp;""),",",".")&amp;", "&amp;CHAR(34)&amp;"numerator"&amp;CHAR(34)&amp;": "&amp;SUBSTITUTE(TRIM(ROUND(IFERROR(CriteriTecnici!$K252*1,IFERROR(NUMBERVALUE(CriteriTecnici!$K252,".",","),IFERROR(NUMBERVALUE(CriteriTecnici!$K252,",","."),0))),4)&amp;""),",",".")&amp;", "&amp;CHAR(34)&amp;"denominator"&amp;CHAR(34)&amp;": "&amp;SUBSTITUTE(TRIM(ROUND(IFERROR(CriteriTecnici!$L252*1,IFERROR(NUMBERVALUE(CriteriTecnici!$L252,".",","),IFERROR(NUMBERVALUE(CriteriTecnici!$L252,",","."),0))),4)&amp;""),",",".")&amp;", "&amp;CHAR(34)&amp;"flag"&amp;CHAR(34)&amp;": "&amp;SUBSTITUTE(TRIM(ROUND(IFERROR(CriteriTecnici!$M252*1,IFERROR(NUMBERVALUE(CriteriTecnici!$M252,".",","),IFERROR(NUMBERVALUE(CriteriTecnici!$M252,",","."),0))),4)&amp;""),",",".")&amp;", "&amp;CHAR(34)&amp;"rawScore"&amp;CHAR(34)&amp;": "&amp;SUBSTITUTE(TRIM(ROUND(IFERROR(CriteriTecnici!$O252*1,IFERROR(NUMBERVALUE(CriteriTecnici!$O252,".",","),IFERROR(NUMBERVALUE(CriteriTecnici!$O252,",","."),0))),4)&amp;""),",",".")&amp;CHAR(125)&amp;IF(COUNTA(Offerte!$A10:$A$81)&gt;0,",",""))</f>
        <v/>
      </c>
    </row>
    <row r="354">
      <c r="A354" s="82">
        <f>IF(CriteriTecnici!$A253="","","    "&amp;CHAR(123)&amp;CHAR(34)&amp;"bidderId"&amp;CHAR(34)&amp;": "&amp;CHAR(34)&amp;SUBSTITUTE(CriteriTecnici!$A253,CHAR(34),"'")&amp;CHAR(34)&amp;", "&amp;CHAR(34)&amp;"lotId"&amp;CHAR(34)&amp;": "&amp;CHAR(34)&amp;SUBSTITUTE(CriteriTecnici!$C253,CHAR(34),"'")&amp;CHAR(34)&amp;", "&amp;CHAR(34)&amp;"criterionId"&amp;CHAR(34)&amp;": "&amp;CHAR(34)&amp;SUBSTITUTE(CriteriTecnici!$D253,CHAR(34),"'")&amp;CHAR(34)&amp;", "&amp;CHAR(34)&amp;"kind"&amp;CHAR(34)&amp;": "&amp;CHAR(34)&amp;SUBSTITUTE(CriteriTecnici!$F253,CHAR(34),"'")&amp;CHAR(34)&amp;", "&amp;CHAR(34)&amp;"value"&amp;CHAR(34)&amp;": "&amp;SUBSTITUTE(TRIM(ROUND(IFERROR(CriteriTecnici!$N253*1,IFERROR(NUMBERVALUE(CriteriTecnici!$N253,".",","),IFERROR(NUMBERVALUE(CriteriTecnici!$N253,",","."),0))),4)&amp;""),",",".")&amp;", "&amp;CHAR(34)&amp;"numerator"&amp;CHAR(34)&amp;": "&amp;SUBSTITUTE(TRIM(ROUND(IFERROR(CriteriTecnici!$K253*1,IFERROR(NUMBERVALUE(CriteriTecnici!$K253,".",","),IFERROR(NUMBERVALUE(CriteriTecnici!$K253,",","."),0))),4)&amp;""),",",".")&amp;", "&amp;CHAR(34)&amp;"denominator"&amp;CHAR(34)&amp;": "&amp;SUBSTITUTE(TRIM(ROUND(IFERROR(CriteriTecnici!$L253*1,IFERROR(NUMBERVALUE(CriteriTecnici!$L253,".",","),IFERROR(NUMBERVALUE(CriteriTecnici!$L253,",","."),0))),4)&amp;""),",",".")&amp;", "&amp;CHAR(34)&amp;"flag"&amp;CHAR(34)&amp;": "&amp;SUBSTITUTE(TRIM(ROUND(IFERROR(CriteriTecnici!$M253*1,IFERROR(NUMBERVALUE(CriteriTecnici!$M253,".",","),IFERROR(NUMBERVALUE(CriteriTecnici!$M253,",","."),0))),4)&amp;""),",",".")&amp;", "&amp;CHAR(34)&amp;"rawScore"&amp;CHAR(34)&amp;": "&amp;SUBSTITUTE(TRIM(ROUND(IFERROR(CriteriTecnici!$O253*1,IFERROR(NUMBERVALUE(CriteriTecnici!$O253,".",","),IFERROR(NUMBERVALUE(CriteriTecnici!$O253,",","."),0))),4)&amp;""),",",".")&amp;CHAR(125)&amp;IF(TRUE,",",""))</f>
        <v/>
      </c>
    </row>
    <row r="355">
      <c r="A355" s="82">
        <f>IF(CriteriTecnici!$A254="","","    "&amp;CHAR(123)&amp;CHAR(34)&amp;"bidderId"&amp;CHAR(34)&amp;": "&amp;CHAR(34)&amp;SUBSTITUTE(CriteriTecnici!$A254,CHAR(34),"'")&amp;CHAR(34)&amp;", "&amp;CHAR(34)&amp;"lotId"&amp;CHAR(34)&amp;": "&amp;CHAR(34)&amp;SUBSTITUTE(CriteriTecnici!$C254,CHAR(34),"'")&amp;CHAR(34)&amp;", "&amp;CHAR(34)&amp;"criterionId"&amp;CHAR(34)&amp;": "&amp;CHAR(34)&amp;SUBSTITUTE(CriteriTecnici!$D254,CHAR(34),"'")&amp;CHAR(34)&amp;", "&amp;CHAR(34)&amp;"kind"&amp;CHAR(34)&amp;": "&amp;CHAR(34)&amp;SUBSTITUTE(CriteriTecnici!$F254,CHAR(34),"'")&amp;CHAR(34)&amp;", "&amp;CHAR(34)&amp;"value"&amp;CHAR(34)&amp;": "&amp;SUBSTITUTE(TRIM(ROUND(IFERROR(CriteriTecnici!$N254*1,IFERROR(NUMBERVALUE(CriteriTecnici!$N254,".",","),IFERROR(NUMBERVALUE(CriteriTecnici!$N254,",","."),0))),4)&amp;""),",",".")&amp;", "&amp;CHAR(34)&amp;"numerator"&amp;CHAR(34)&amp;": "&amp;SUBSTITUTE(TRIM(ROUND(IFERROR(CriteriTecnici!$K254*1,IFERROR(NUMBERVALUE(CriteriTecnici!$K254,".",","),IFERROR(NUMBERVALUE(CriteriTecnici!$K254,",","."),0))),4)&amp;""),",",".")&amp;", "&amp;CHAR(34)&amp;"denominator"&amp;CHAR(34)&amp;": "&amp;SUBSTITUTE(TRIM(ROUND(IFERROR(CriteriTecnici!$L254*1,IFERROR(NUMBERVALUE(CriteriTecnici!$L254,".",","),IFERROR(NUMBERVALUE(CriteriTecnici!$L254,",","."),0))),4)&amp;""),",",".")&amp;", "&amp;CHAR(34)&amp;"flag"&amp;CHAR(34)&amp;": "&amp;SUBSTITUTE(TRIM(ROUND(IFERROR(CriteriTecnici!$M254*1,IFERROR(NUMBERVALUE(CriteriTecnici!$M254,".",","),IFERROR(NUMBERVALUE(CriteriTecnici!$M254,",","."),0))),4)&amp;""),",",".")&amp;", "&amp;CHAR(34)&amp;"rawScore"&amp;CHAR(34)&amp;": "&amp;SUBSTITUTE(TRIM(ROUND(IFERROR(CriteriTecnici!$O254*1,IFERROR(NUMBERVALUE(CriteriTecnici!$O254,".",","),IFERROR(NUMBERVALUE(CriteriTecnici!$O254,",","."),0))),4)&amp;""),",",".")&amp;CHAR(125)&amp;IF(TRUE,",",""))</f>
        <v/>
      </c>
    </row>
    <row r="356">
      <c r="A356" s="82">
        <f>IF(CriteriTecnici!$A255="","","    "&amp;CHAR(123)&amp;CHAR(34)&amp;"bidderId"&amp;CHAR(34)&amp;": "&amp;CHAR(34)&amp;SUBSTITUTE(CriteriTecnici!$A255,CHAR(34),"'")&amp;CHAR(34)&amp;", "&amp;CHAR(34)&amp;"lotId"&amp;CHAR(34)&amp;": "&amp;CHAR(34)&amp;SUBSTITUTE(CriteriTecnici!$C255,CHAR(34),"'")&amp;CHAR(34)&amp;", "&amp;CHAR(34)&amp;"criterionId"&amp;CHAR(34)&amp;": "&amp;CHAR(34)&amp;SUBSTITUTE(CriteriTecnici!$D255,CHAR(34),"'")&amp;CHAR(34)&amp;", "&amp;CHAR(34)&amp;"kind"&amp;CHAR(34)&amp;": "&amp;CHAR(34)&amp;SUBSTITUTE(CriteriTecnici!$F255,CHAR(34),"'")&amp;CHAR(34)&amp;", "&amp;CHAR(34)&amp;"value"&amp;CHAR(34)&amp;": "&amp;SUBSTITUTE(TRIM(ROUND(IFERROR(CriteriTecnici!$N255*1,IFERROR(NUMBERVALUE(CriteriTecnici!$N255,".",","),IFERROR(NUMBERVALUE(CriteriTecnici!$N255,",","."),0))),4)&amp;""),",",".")&amp;", "&amp;CHAR(34)&amp;"numerator"&amp;CHAR(34)&amp;": "&amp;SUBSTITUTE(TRIM(ROUND(IFERROR(CriteriTecnici!$K255*1,IFERROR(NUMBERVALUE(CriteriTecnici!$K255,".",","),IFERROR(NUMBERVALUE(CriteriTecnici!$K255,",","."),0))),4)&amp;""),",",".")&amp;", "&amp;CHAR(34)&amp;"denominator"&amp;CHAR(34)&amp;": "&amp;SUBSTITUTE(TRIM(ROUND(IFERROR(CriteriTecnici!$L255*1,IFERROR(NUMBERVALUE(CriteriTecnici!$L255,".",","),IFERROR(NUMBERVALUE(CriteriTecnici!$L255,",","."),0))),4)&amp;""),",",".")&amp;", "&amp;CHAR(34)&amp;"flag"&amp;CHAR(34)&amp;": "&amp;SUBSTITUTE(TRIM(ROUND(IFERROR(CriteriTecnici!$M255*1,IFERROR(NUMBERVALUE(CriteriTecnici!$M255,".",","),IFERROR(NUMBERVALUE(CriteriTecnici!$M255,",","."),0))),4)&amp;""),",",".")&amp;", "&amp;CHAR(34)&amp;"rawScore"&amp;CHAR(34)&amp;": "&amp;SUBSTITUTE(TRIM(ROUND(IFERROR(CriteriTecnici!$O255*1,IFERROR(NUMBERVALUE(CriteriTecnici!$O255,".",","),IFERROR(NUMBERVALUE(CriteriTecnici!$O255,",","."),0))),4)&amp;""),",",".")&amp;CHAR(125)&amp;IF(TRUE,",",""))</f>
        <v/>
      </c>
    </row>
    <row r="357">
      <c r="A357" s="82">
        <f>IF(CriteriTecnici!$A256="","","    "&amp;CHAR(123)&amp;CHAR(34)&amp;"bidderId"&amp;CHAR(34)&amp;": "&amp;CHAR(34)&amp;SUBSTITUTE(CriteriTecnici!$A256,CHAR(34),"'")&amp;CHAR(34)&amp;", "&amp;CHAR(34)&amp;"lotId"&amp;CHAR(34)&amp;": "&amp;CHAR(34)&amp;SUBSTITUTE(CriteriTecnici!$C256,CHAR(34),"'")&amp;CHAR(34)&amp;", "&amp;CHAR(34)&amp;"criterionId"&amp;CHAR(34)&amp;": "&amp;CHAR(34)&amp;SUBSTITUTE(CriteriTecnici!$D256,CHAR(34),"'")&amp;CHAR(34)&amp;", "&amp;CHAR(34)&amp;"kind"&amp;CHAR(34)&amp;": "&amp;CHAR(34)&amp;SUBSTITUTE(CriteriTecnici!$F256,CHAR(34),"'")&amp;CHAR(34)&amp;", "&amp;CHAR(34)&amp;"value"&amp;CHAR(34)&amp;": "&amp;SUBSTITUTE(TRIM(ROUND(IFERROR(CriteriTecnici!$N256*1,IFERROR(NUMBERVALUE(CriteriTecnici!$N256,".",","),IFERROR(NUMBERVALUE(CriteriTecnici!$N256,",","."),0))),4)&amp;""),",",".")&amp;", "&amp;CHAR(34)&amp;"numerator"&amp;CHAR(34)&amp;": "&amp;SUBSTITUTE(TRIM(ROUND(IFERROR(CriteriTecnici!$K256*1,IFERROR(NUMBERVALUE(CriteriTecnici!$K256,".",","),IFERROR(NUMBERVALUE(CriteriTecnici!$K256,",","."),0))),4)&amp;""),",",".")&amp;", "&amp;CHAR(34)&amp;"denominator"&amp;CHAR(34)&amp;": "&amp;SUBSTITUTE(TRIM(ROUND(IFERROR(CriteriTecnici!$L256*1,IFERROR(NUMBERVALUE(CriteriTecnici!$L256,".",","),IFERROR(NUMBERVALUE(CriteriTecnici!$L256,",","."),0))),4)&amp;""),",",".")&amp;", "&amp;CHAR(34)&amp;"flag"&amp;CHAR(34)&amp;": "&amp;SUBSTITUTE(TRIM(ROUND(IFERROR(CriteriTecnici!$M256*1,IFERROR(NUMBERVALUE(CriteriTecnici!$M256,".",","),IFERROR(NUMBERVALUE(CriteriTecnici!$M256,",","."),0))),4)&amp;""),",",".")&amp;", "&amp;CHAR(34)&amp;"rawScore"&amp;CHAR(34)&amp;": "&amp;SUBSTITUTE(TRIM(ROUND(IFERROR(CriteriTecnici!$O256*1,IFERROR(NUMBERVALUE(CriteriTecnici!$O256,".",","),IFERROR(NUMBERVALUE(CriteriTecnici!$O256,",","."),0))),4)&amp;""),",",".")&amp;CHAR(125)&amp;IF(TRUE,",",""))</f>
        <v/>
      </c>
    </row>
    <row r="358">
      <c r="A358" s="82">
        <f>IF(CriteriTecnici!$A257="","","    "&amp;CHAR(123)&amp;CHAR(34)&amp;"bidderId"&amp;CHAR(34)&amp;": "&amp;CHAR(34)&amp;SUBSTITUTE(CriteriTecnici!$A257,CHAR(34),"'")&amp;CHAR(34)&amp;", "&amp;CHAR(34)&amp;"lotId"&amp;CHAR(34)&amp;": "&amp;CHAR(34)&amp;SUBSTITUTE(CriteriTecnici!$C257,CHAR(34),"'")&amp;CHAR(34)&amp;", "&amp;CHAR(34)&amp;"criterionId"&amp;CHAR(34)&amp;": "&amp;CHAR(34)&amp;SUBSTITUTE(CriteriTecnici!$D257,CHAR(34),"'")&amp;CHAR(34)&amp;", "&amp;CHAR(34)&amp;"kind"&amp;CHAR(34)&amp;": "&amp;CHAR(34)&amp;SUBSTITUTE(CriteriTecnici!$F257,CHAR(34),"'")&amp;CHAR(34)&amp;", "&amp;CHAR(34)&amp;"value"&amp;CHAR(34)&amp;": "&amp;SUBSTITUTE(TRIM(ROUND(IFERROR(CriteriTecnici!$N257*1,IFERROR(NUMBERVALUE(CriteriTecnici!$N257,".",","),IFERROR(NUMBERVALUE(CriteriTecnici!$N257,",","."),0))),4)&amp;""),",",".")&amp;", "&amp;CHAR(34)&amp;"numerator"&amp;CHAR(34)&amp;": "&amp;SUBSTITUTE(TRIM(ROUND(IFERROR(CriteriTecnici!$K257*1,IFERROR(NUMBERVALUE(CriteriTecnici!$K257,".",","),IFERROR(NUMBERVALUE(CriteriTecnici!$K257,",","."),0))),4)&amp;""),",",".")&amp;", "&amp;CHAR(34)&amp;"denominator"&amp;CHAR(34)&amp;": "&amp;SUBSTITUTE(TRIM(ROUND(IFERROR(CriteriTecnici!$L257*1,IFERROR(NUMBERVALUE(CriteriTecnici!$L257,".",","),IFERROR(NUMBERVALUE(CriteriTecnici!$L257,",","."),0))),4)&amp;""),",",".")&amp;", "&amp;CHAR(34)&amp;"flag"&amp;CHAR(34)&amp;": "&amp;SUBSTITUTE(TRIM(ROUND(IFERROR(CriteriTecnici!$M257*1,IFERROR(NUMBERVALUE(CriteriTecnici!$M257,".",","),IFERROR(NUMBERVALUE(CriteriTecnici!$M257,",","."),0))),4)&amp;""),",",".")&amp;", "&amp;CHAR(34)&amp;"rawScore"&amp;CHAR(34)&amp;": "&amp;SUBSTITUTE(TRIM(ROUND(IFERROR(CriteriTecnici!$O257*1,IFERROR(NUMBERVALUE(CriteriTecnici!$O257,".",","),IFERROR(NUMBERVALUE(CriteriTecnici!$O257,",","."),0))),4)&amp;""),",",".")&amp;CHAR(125)&amp;IF(TRUE,",",""))</f>
        <v/>
      </c>
    </row>
    <row r="359">
      <c r="A359" s="82">
        <f>IF(CriteriTecnici!$A258="","","    "&amp;CHAR(123)&amp;CHAR(34)&amp;"bidderId"&amp;CHAR(34)&amp;": "&amp;CHAR(34)&amp;SUBSTITUTE(CriteriTecnici!$A258,CHAR(34),"'")&amp;CHAR(34)&amp;", "&amp;CHAR(34)&amp;"lotId"&amp;CHAR(34)&amp;": "&amp;CHAR(34)&amp;SUBSTITUTE(CriteriTecnici!$C258,CHAR(34),"'")&amp;CHAR(34)&amp;", "&amp;CHAR(34)&amp;"criterionId"&amp;CHAR(34)&amp;": "&amp;CHAR(34)&amp;SUBSTITUTE(CriteriTecnici!$D258,CHAR(34),"'")&amp;CHAR(34)&amp;", "&amp;CHAR(34)&amp;"kind"&amp;CHAR(34)&amp;": "&amp;CHAR(34)&amp;SUBSTITUTE(CriteriTecnici!$F258,CHAR(34),"'")&amp;CHAR(34)&amp;", "&amp;CHAR(34)&amp;"value"&amp;CHAR(34)&amp;": "&amp;SUBSTITUTE(TRIM(ROUND(IFERROR(CriteriTecnici!$N258*1,IFERROR(NUMBERVALUE(CriteriTecnici!$N258,".",","),IFERROR(NUMBERVALUE(CriteriTecnici!$N258,",","."),0))),4)&amp;""),",",".")&amp;", "&amp;CHAR(34)&amp;"numerator"&amp;CHAR(34)&amp;": "&amp;SUBSTITUTE(TRIM(ROUND(IFERROR(CriteriTecnici!$K258*1,IFERROR(NUMBERVALUE(CriteriTecnici!$K258,".",","),IFERROR(NUMBERVALUE(CriteriTecnici!$K258,",","."),0))),4)&amp;""),",",".")&amp;", "&amp;CHAR(34)&amp;"denominator"&amp;CHAR(34)&amp;": "&amp;SUBSTITUTE(TRIM(ROUND(IFERROR(CriteriTecnici!$L258*1,IFERROR(NUMBERVALUE(CriteriTecnici!$L258,".",","),IFERROR(NUMBERVALUE(CriteriTecnici!$L258,",","."),0))),4)&amp;""),",",".")&amp;", "&amp;CHAR(34)&amp;"flag"&amp;CHAR(34)&amp;": "&amp;SUBSTITUTE(TRIM(ROUND(IFERROR(CriteriTecnici!$M258*1,IFERROR(NUMBERVALUE(CriteriTecnici!$M258,".",","),IFERROR(NUMBERVALUE(CriteriTecnici!$M258,",","."),0))),4)&amp;""),",",".")&amp;", "&amp;CHAR(34)&amp;"rawScore"&amp;CHAR(34)&amp;": "&amp;SUBSTITUTE(TRIM(ROUND(IFERROR(CriteriTecnici!$O258*1,IFERROR(NUMBERVALUE(CriteriTecnici!$O258,".",","),IFERROR(NUMBERVALUE(CriteriTecnici!$O258,",","."),0))),4)&amp;""),",",".")&amp;CHAR(125)&amp;IF(TRUE,",",""))</f>
        <v/>
      </c>
    </row>
    <row r="360">
      <c r="A360" s="82">
        <f>IF(CriteriTecnici!$A259="","","    "&amp;CHAR(123)&amp;CHAR(34)&amp;"bidderId"&amp;CHAR(34)&amp;": "&amp;CHAR(34)&amp;SUBSTITUTE(CriteriTecnici!$A259,CHAR(34),"'")&amp;CHAR(34)&amp;", "&amp;CHAR(34)&amp;"lotId"&amp;CHAR(34)&amp;": "&amp;CHAR(34)&amp;SUBSTITUTE(CriteriTecnici!$C259,CHAR(34),"'")&amp;CHAR(34)&amp;", "&amp;CHAR(34)&amp;"criterionId"&amp;CHAR(34)&amp;": "&amp;CHAR(34)&amp;SUBSTITUTE(CriteriTecnici!$D259,CHAR(34),"'")&amp;CHAR(34)&amp;", "&amp;CHAR(34)&amp;"kind"&amp;CHAR(34)&amp;": "&amp;CHAR(34)&amp;SUBSTITUTE(CriteriTecnici!$F259,CHAR(34),"'")&amp;CHAR(34)&amp;", "&amp;CHAR(34)&amp;"value"&amp;CHAR(34)&amp;": "&amp;SUBSTITUTE(TRIM(ROUND(IFERROR(CriteriTecnici!$N259*1,IFERROR(NUMBERVALUE(CriteriTecnici!$N259,".",","),IFERROR(NUMBERVALUE(CriteriTecnici!$N259,",","."),0))),4)&amp;""),",",".")&amp;", "&amp;CHAR(34)&amp;"numerator"&amp;CHAR(34)&amp;": "&amp;SUBSTITUTE(TRIM(ROUND(IFERROR(CriteriTecnici!$K259*1,IFERROR(NUMBERVALUE(CriteriTecnici!$K259,".",","),IFERROR(NUMBERVALUE(CriteriTecnici!$K259,",","."),0))),4)&amp;""),",",".")&amp;", "&amp;CHAR(34)&amp;"denominator"&amp;CHAR(34)&amp;": "&amp;SUBSTITUTE(TRIM(ROUND(IFERROR(CriteriTecnici!$L259*1,IFERROR(NUMBERVALUE(CriteriTecnici!$L259,".",","),IFERROR(NUMBERVALUE(CriteriTecnici!$L259,",","."),0))),4)&amp;""),",",".")&amp;", "&amp;CHAR(34)&amp;"flag"&amp;CHAR(34)&amp;": "&amp;SUBSTITUTE(TRIM(ROUND(IFERROR(CriteriTecnici!$M259*1,IFERROR(NUMBERVALUE(CriteriTecnici!$M259,".",","),IFERROR(NUMBERVALUE(CriteriTecnici!$M259,",","."),0))),4)&amp;""),",",".")&amp;", "&amp;CHAR(34)&amp;"rawScore"&amp;CHAR(34)&amp;": "&amp;SUBSTITUTE(TRIM(ROUND(IFERROR(CriteriTecnici!$O259*1,IFERROR(NUMBERVALUE(CriteriTecnici!$O259,".",","),IFERROR(NUMBERVALUE(CriteriTecnici!$O259,",","."),0))),4)&amp;""),",",".")&amp;CHAR(125)&amp;IF(TRUE,",",""))</f>
        <v/>
      </c>
    </row>
    <row r="361">
      <c r="A361" s="82">
        <f>IF(CriteriTecnici!$A260="","","    "&amp;CHAR(123)&amp;CHAR(34)&amp;"bidderId"&amp;CHAR(34)&amp;": "&amp;CHAR(34)&amp;SUBSTITUTE(CriteriTecnici!$A260,CHAR(34),"'")&amp;CHAR(34)&amp;", "&amp;CHAR(34)&amp;"lotId"&amp;CHAR(34)&amp;": "&amp;CHAR(34)&amp;SUBSTITUTE(CriteriTecnici!$C260,CHAR(34),"'")&amp;CHAR(34)&amp;", "&amp;CHAR(34)&amp;"criterionId"&amp;CHAR(34)&amp;": "&amp;CHAR(34)&amp;SUBSTITUTE(CriteriTecnici!$D260,CHAR(34),"'")&amp;CHAR(34)&amp;", "&amp;CHAR(34)&amp;"kind"&amp;CHAR(34)&amp;": "&amp;CHAR(34)&amp;SUBSTITUTE(CriteriTecnici!$F260,CHAR(34),"'")&amp;CHAR(34)&amp;", "&amp;CHAR(34)&amp;"value"&amp;CHAR(34)&amp;": "&amp;SUBSTITUTE(TRIM(ROUND(IFERROR(CriteriTecnici!$N260*1,IFERROR(NUMBERVALUE(CriteriTecnici!$N260,".",","),IFERROR(NUMBERVALUE(CriteriTecnici!$N260,",","."),0))),4)&amp;""),",",".")&amp;", "&amp;CHAR(34)&amp;"numerator"&amp;CHAR(34)&amp;": "&amp;SUBSTITUTE(TRIM(ROUND(IFERROR(CriteriTecnici!$K260*1,IFERROR(NUMBERVALUE(CriteriTecnici!$K260,".",","),IFERROR(NUMBERVALUE(CriteriTecnici!$K260,",","."),0))),4)&amp;""),",",".")&amp;", "&amp;CHAR(34)&amp;"denominator"&amp;CHAR(34)&amp;": "&amp;SUBSTITUTE(TRIM(ROUND(IFERROR(CriteriTecnici!$L260*1,IFERROR(NUMBERVALUE(CriteriTecnici!$L260,".",","),IFERROR(NUMBERVALUE(CriteriTecnici!$L260,",","."),0))),4)&amp;""),",",".")&amp;", "&amp;CHAR(34)&amp;"flag"&amp;CHAR(34)&amp;": "&amp;SUBSTITUTE(TRIM(ROUND(IFERROR(CriteriTecnici!$M260*1,IFERROR(NUMBERVALUE(CriteriTecnici!$M260,".",","),IFERROR(NUMBERVALUE(CriteriTecnici!$M260,",","."),0))),4)&amp;""),",",".")&amp;", "&amp;CHAR(34)&amp;"rawScore"&amp;CHAR(34)&amp;": "&amp;SUBSTITUTE(TRIM(ROUND(IFERROR(CriteriTecnici!$O260*1,IFERROR(NUMBERVALUE(CriteriTecnici!$O260,".",","),IFERROR(NUMBERVALUE(CriteriTecnici!$O260,",","."),0))),4)&amp;""),",",".")&amp;CHAR(125)&amp;IF(TRUE,",",""))</f>
        <v/>
      </c>
    </row>
    <row r="362">
      <c r="A362" s="82">
        <f>IF(CriteriTecnici!$A261="","","    "&amp;CHAR(123)&amp;CHAR(34)&amp;"bidderId"&amp;CHAR(34)&amp;": "&amp;CHAR(34)&amp;SUBSTITUTE(CriteriTecnici!$A261,CHAR(34),"'")&amp;CHAR(34)&amp;", "&amp;CHAR(34)&amp;"lotId"&amp;CHAR(34)&amp;": "&amp;CHAR(34)&amp;SUBSTITUTE(CriteriTecnici!$C261,CHAR(34),"'")&amp;CHAR(34)&amp;", "&amp;CHAR(34)&amp;"criterionId"&amp;CHAR(34)&amp;": "&amp;CHAR(34)&amp;SUBSTITUTE(CriteriTecnici!$D261,CHAR(34),"'")&amp;CHAR(34)&amp;", "&amp;CHAR(34)&amp;"kind"&amp;CHAR(34)&amp;": "&amp;CHAR(34)&amp;SUBSTITUTE(CriteriTecnici!$F261,CHAR(34),"'")&amp;CHAR(34)&amp;", "&amp;CHAR(34)&amp;"value"&amp;CHAR(34)&amp;": "&amp;SUBSTITUTE(TRIM(ROUND(IFERROR(CriteriTecnici!$N261*1,IFERROR(NUMBERVALUE(CriteriTecnici!$N261,".",","),IFERROR(NUMBERVALUE(CriteriTecnici!$N261,",","."),0))),4)&amp;""),",",".")&amp;", "&amp;CHAR(34)&amp;"numerator"&amp;CHAR(34)&amp;": "&amp;SUBSTITUTE(TRIM(ROUND(IFERROR(CriteriTecnici!$K261*1,IFERROR(NUMBERVALUE(CriteriTecnici!$K261,".",","),IFERROR(NUMBERVALUE(CriteriTecnici!$K261,",","."),0))),4)&amp;""),",",".")&amp;", "&amp;CHAR(34)&amp;"denominator"&amp;CHAR(34)&amp;": "&amp;SUBSTITUTE(TRIM(ROUND(IFERROR(CriteriTecnici!$L261*1,IFERROR(NUMBERVALUE(CriteriTecnici!$L261,".",","),IFERROR(NUMBERVALUE(CriteriTecnici!$L261,",","."),0))),4)&amp;""),",",".")&amp;", "&amp;CHAR(34)&amp;"flag"&amp;CHAR(34)&amp;": "&amp;SUBSTITUTE(TRIM(ROUND(IFERROR(CriteriTecnici!$M261*1,IFERROR(NUMBERVALUE(CriteriTecnici!$M261,".",","),IFERROR(NUMBERVALUE(CriteriTecnici!$M261,",","."),0))),4)&amp;""),",",".")&amp;", "&amp;CHAR(34)&amp;"rawScore"&amp;CHAR(34)&amp;": "&amp;SUBSTITUTE(TRIM(ROUND(IFERROR(CriteriTecnici!$O261*1,IFERROR(NUMBERVALUE(CriteriTecnici!$O261,".",","),IFERROR(NUMBERVALUE(CriteriTecnici!$O261,",","."),0))),4)&amp;""),",",".")&amp;CHAR(125)&amp;IF(TRUE,",",""))</f>
        <v/>
      </c>
    </row>
    <row r="363">
      <c r="A363" s="82">
        <f>IF(CriteriTecnici!$A262="","","    "&amp;CHAR(123)&amp;CHAR(34)&amp;"bidderId"&amp;CHAR(34)&amp;": "&amp;CHAR(34)&amp;SUBSTITUTE(CriteriTecnici!$A262,CHAR(34),"'")&amp;CHAR(34)&amp;", "&amp;CHAR(34)&amp;"lotId"&amp;CHAR(34)&amp;": "&amp;CHAR(34)&amp;SUBSTITUTE(CriteriTecnici!$C262,CHAR(34),"'")&amp;CHAR(34)&amp;", "&amp;CHAR(34)&amp;"criterionId"&amp;CHAR(34)&amp;": "&amp;CHAR(34)&amp;SUBSTITUTE(CriteriTecnici!$D262,CHAR(34),"'")&amp;CHAR(34)&amp;", "&amp;CHAR(34)&amp;"kind"&amp;CHAR(34)&amp;": "&amp;CHAR(34)&amp;SUBSTITUTE(CriteriTecnici!$F262,CHAR(34),"'")&amp;CHAR(34)&amp;", "&amp;CHAR(34)&amp;"value"&amp;CHAR(34)&amp;": "&amp;SUBSTITUTE(TRIM(ROUND(IFERROR(CriteriTecnici!$N262*1,IFERROR(NUMBERVALUE(CriteriTecnici!$N262,".",","),IFERROR(NUMBERVALUE(CriteriTecnici!$N262,",","."),0))),4)&amp;""),",",".")&amp;", "&amp;CHAR(34)&amp;"numerator"&amp;CHAR(34)&amp;": "&amp;SUBSTITUTE(TRIM(ROUND(IFERROR(CriteriTecnici!$K262*1,IFERROR(NUMBERVALUE(CriteriTecnici!$K262,".",","),IFERROR(NUMBERVALUE(CriteriTecnici!$K262,",","."),0))),4)&amp;""),",",".")&amp;", "&amp;CHAR(34)&amp;"denominator"&amp;CHAR(34)&amp;": "&amp;SUBSTITUTE(TRIM(ROUND(IFERROR(CriteriTecnici!$L262*1,IFERROR(NUMBERVALUE(CriteriTecnici!$L262,".",","),IFERROR(NUMBERVALUE(CriteriTecnici!$L262,",","."),0))),4)&amp;""),",",".")&amp;", "&amp;CHAR(34)&amp;"flag"&amp;CHAR(34)&amp;": "&amp;SUBSTITUTE(TRIM(ROUND(IFERROR(CriteriTecnici!$M262*1,IFERROR(NUMBERVALUE(CriteriTecnici!$M262,".",","),IFERROR(NUMBERVALUE(CriteriTecnici!$M262,",","."),0))),4)&amp;""),",",".")&amp;", "&amp;CHAR(34)&amp;"rawScore"&amp;CHAR(34)&amp;": "&amp;SUBSTITUTE(TRIM(ROUND(IFERROR(CriteriTecnici!$O262*1,IFERROR(NUMBERVALUE(CriteriTecnici!$O262,".",","),IFERROR(NUMBERVALUE(CriteriTecnici!$O262,",","."),0))),4)&amp;""),",",".")&amp;CHAR(125)&amp;IF(TRUE,",",""))</f>
        <v/>
      </c>
    </row>
    <row r="364">
      <c r="A364" s="82">
        <f>IF(CriteriTecnici!$A263="","","    "&amp;CHAR(123)&amp;CHAR(34)&amp;"bidderId"&amp;CHAR(34)&amp;": "&amp;CHAR(34)&amp;SUBSTITUTE(CriteriTecnici!$A263,CHAR(34),"'")&amp;CHAR(34)&amp;", "&amp;CHAR(34)&amp;"lotId"&amp;CHAR(34)&amp;": "&amp;CHAR(34)&amp;SUBSTITUTE(CriteriTecnici!$C263,CHAR(34),"'")&amp;CHAR(34)&amp;", "&amp;CHAR(34)&amp;"criterionId"&amp;CHAR(34)&amp;": "&amp;CHAR(34)&amp;SUBSTITUTE(CriteriTecnici!$D263,CHAR(34),"'")&amp;CHAR(34)&amp;", "&amp;CHAR(34)&amp;"kind"&amp;CHAR(34)&amp;": "&amp;CHAR(34)&amp;SUBSTITUTE(CriteriTecnici!$F263,CHAR(34),"'")&amp;CHAR(34)&amp;", "&amp;CHAR(34)&amp;"value"&amp;CHAR(34)&amp;": "&amp;SUBSTITUTE(TRIM(ROUND(IFERROR(CriteriTecnici!$N263*1,IFERROR(NUMBERVALUE(CriteriTecnici!$N263,".",","),IFERROR(NUMBERVALUE(CriteriTecnici!$N263,",","."),0))),4)&amp;""),",",".")&amp;", "&amp;CHAR(34)&amp;"numerator"&amp;CHAR(34)&amp;": "&amp;SUBSTITUTE(TRIM(ROUND(IFERROR(CriteriTecnici!$K263*1,IFERROR(NUMBERVALUE(CriteriTecnici!$K263,".",","),IFERROR(NUMBERVALUE(CriteriTecnici!$K263,",","."),0))),4)&amp;""),",",".")&amp;", "&amp;CHAR(34)&amp;"denominator"&amp;CHAR(34)&amp;": "&amp;SUBSTITUTE(TRIM(ROUND(IFERROR(CriteriTecnici!$L263*1,IFERROR(NUMBERVALUE(CriteriTecnici!$L263,".",","),IFERROR(NUMBERVALUE(CriteriTecnici!$L263,",","."),0))),4)&amp;""),",",".")&amp;", "&amp;CHAR(34)&amp;"flag"&amp;CHAR(34)&amp;": "&amp;SUBSTITUTE(TRIM(ROUND(IFERROR(CriteriTecnici!$M263*1,IFERROR(NUMBERVALUE(CriteriTecnici!$M263,".",","),IFERROR(NUMBERVALUE(CriteriTecnici!$M263,",","."),0))),4)&amp;""),",",".")&amp;", "&amp;CHAR(34)&amp;"rawScore"&amp;CHAR(34)&amp;": "&amp;SUBSTITUTE(TRIM(ROUND(IFERROR(CriteriTecnici!$O263*1,IFERROR(NUMBERVALUE(CriteriTecnici!$O263,".",","),IFERROR(NUMBERVALUE(CriteriTecnici!$O263,",","."),0))),4)&amp;""),",",".")&amp;CHAR(125)&amp;IF(TRUE,",",""))</f>
        <v/>
      </c>
    </row>
    <row r="365">
      <c r="A365" s="82">
        <f>IF(CriteriTecnici!$A264="","","    "&amp;CHAR(123)&amp;CHAR(34)&amp;"bidderId"&amp;CHAR(34)&amp;": "&amp;CHAR(34)&amp;SUBSTITUTE(CriteriTecnici!$A264,CHAR(34),"'")&amp;CHAR(34)&amp;", "&amp;CHAR(34)&amp;"lotId"&amp;CHAR(34)&amp;": "&amp;CHAR(34)&amp;SUBSTITUTE(CriteriTecnici!$C264,CHAR(34),"'")&amp;CHAR(34)&amp;", "&amp;CHAR(34)&amp;"criterionId"&amp;CHAR(34)&amp;": "&amp;CHAR(34)&amp;SUBSTITUTE(CriteriTecnici!$D264,CHAR(34),"'")&amp;CHAR(34)&amp;", "&amp;CHAR(34)&amp;"kind"&amp;CHAR(34)&amp;": "&amp;CHAR(34)&amp;SUBSTITUTE(CriteriTecnici!$F264,CHAR(34),"'")&amp;CHAR(34)&amp;", "&amp;CHAR(34)&amp;"value"&amp;CHAR(34)&amp;": "&amp;SUBSTITUTE(TRIM(ROUND(IFERROR(CriteriTecnici!$N264*1,IFERROR(NUMBERVALUE(CriteriTecnici!$N264,".",","),IFERROR(NUMBERVALUE(CriteriTecnici!$N264,",","."),0))),4)&amp;""),",",".")&amp;", "&amp;CHAR(34)&amp;"numerator"&amp;CHAR(34)&amp;": "&amp;SUBSTITUTE(TRIM(ROUND(IFERROR(CriteriTecnici!$K264*1,IFERROR(NUMBERVALUE(CriteriTecnici!$K264,".",","),IFERROR(NUMBERVALUE(CriteriTecnici!$K264,",","."),0))),4)&amp;""),",",".")&amp;", "&amp;CHAR(34)&amp;"denominator"&amp;CHAR(34)&amp;": "&amp;SUBSTITUTE(TRIM(ROUND(IFERROR(CriteriTecnici!$L264*1,IFERROR(NUMBERVALUE(CriteriTecnici!$L264,".",","),IFERROR(NUMBERVALUE(CriteriTecnici!$L264,",","."),0))),4)&amp;""),",",".")&amp;", "&amp;CHAR(34)&amp;"flag"&amp;CHAR(34)&amp;": "&amp;SUBSTITUTE(TRIM(ROUND(IFERROR(CriteriTecnici!$M264*1,IFERROR(NUMBERVALUE(CriteriTecnici!$M264,".",","),IFERROR(NUMBERVALUE(CriteriTecnici!$M264,",","."),0))),4)&amp;""),",",".")&amp;", "&amp;CHAR(34)&amp;"rawScore"&amp;CHAR(34)&amp;": "&amp;SUBSTITUTE(TRIM(ROUND(IFERROR(CriteriTecnici!$O264*1,IFERROR(NUMBERVALUE(CriteriTecnici!$O264,".",","),IFERROR(NUMBERVALUE(CriteriTecnici!$O264,",","."),0))),4)&amp;""),",",".")&amp;CHAR(125)&amp;IF(TRUE,",",""))</f>
        <v/>
      </c>
    </row>
    <row r="366">
      <c r="A366" s="82">
        <f>IF(CriteriTecnici!$A265="","","    "&amp;CHAR(123)&amp;CHAR(34)&amp;"bidderId"&amp;CHAR(34)&amp;": "&amp;CHAR(34)&amp;SUBSTITUTE(CriteriTecnici!$A265,CHAR(34),"'")&amp;CHAR(34)&amp;", "&amp;CHAR(34)&amp;"lotId"&amp;CHAR(34)&amp;": "&amp;CHAR(34)&amp;SUBSTITUTE(CriteriTecnici!$C265,CHAR(34),"'")&amp;CHAR(34)&amp;", "&amp;CHAR(34)&amp;"criterionId"&amp;CHAR(34)&amp;": "&amp;CHAR(34)&amp;SUBSTITUTE(CriteriTecnici!$D265,CHAR(34),"'")&amp;CHAR(34)&amp;", "&amp;CHAR(34)&amp;"kind"&amp;CHAR(34)&amp;": "&amp;CHAR(34)&amp;SUBSTITUTE(CriteriTecnici!$F265,CHAR(34),"'")&amp;CHAR(34)&amp;", "&amp;CHAR(34)&amp;"value"&amp;CHAR(34)&amp;": "&amp;SUBSTITUTE(TRIM(ROUND(IFERROR(CriteriTecnici!$N265*1,IFERROR(NUMBERVALUE(CriteriTecnici!$N265,".",","),IFERROR(NUMBERVALUE(CriteriTecnici!$N265,",","."),0))),4)&amp;""),",",".")&amp;", "&amp;CHAR(34)&amp;"numerator"&amp;CHAR(34)&amp;": "&amp;SUBSTITUTE(TRIM(ROUND(IFERROR(CriteriTecnici!$K265*1,IFERROR(NUMBERVALUE(CriteriTecnici!$K265,".",","),IFERROR(NUMBERVALUE(CriteriTecnici!$K265,",","."),0))),4)&amp;""),",",".")&amp;", "&amp;CHAR(34)&amp;"denominator"&amp;CHAR(34)&amp;": "&amp;SUBSTITUTE(TRIM(ROUND(IFERROR(CriteriTecnici!$L265*1,IFERROR(NUMBERVALUE(CriteriTecnici!$L265,".",","),IFERROR(NUMBERVALUE(CriteriTecnici!$L265,",","."),0))),4)&amp;""),",",".")&amp;", "&amp;CHAR(34)&amp;"flag"&amp;CHAR(34)&amp;": "&amp;SUBSTITUTE(TRIM(ROUND(IFERROR(CriteriTecnici!$M265*1,IFERROR(NUMBERVALUE(CriteriTecnici!$M265,".",","),IFERROR(NUMBERVALUE(CriteriTecnici!$M265,",","."),0))),4)&amp;""),",",".")&amp;", "&amp;CHAR(34)&amp;"rawScore"&amp;CHAR(34)&amp;": "&amp;SUBSTITUTE(TRIM(ROUND(IFERROR(CriteriTecnici!$O265*1,IFERROR(NUMBERVALUE(CriteriTecnici!$O265,".",","),IFERROR(NUMBERVALUE(CriteriTecnici!$O265,",","."),0))),4)&amp;""),",",".")&amp;CHAR(125)&amp;IF(TRUE,",",""))</f>
        <v/>
      </c>
    </row>
    <row r="367">
      <c r="A367" s="82">
        <f>IF(CriteriTecnici!$A266="","","    "&amp;CHAR(123)&amp;CHAR(34)&amp;"bidderId"&amp;CHAR(34)&amp;": "&amp;CHAR(34)&amp;SUBSTITUTE(CriteriTecnici!$A266,CHAR(34),"'")&amp;CHAR(34)&amp;", "&amp;CHAR(34)&amp;"lotId"&amp;CHAR(34)&amp;": "&amp;CHAR(34)&amp;SUBSTITUTE(CriteriTecnici!$C266,CHAR(34),"'")&amp;CHAR(34)&amp;", "&amp;CHAR(34)&amp;"criterionId"&amp;CHAR(34)&amp;": "&amp;CHAR(34)&amp;SUBSTITUTE(CriteriTecnici!$D266,CHAR(34),"'")&amp;CHAR(34)&amp;", "&amp;CHAR(34)&amp;"kind"&amp;CHAR(34)&amp;": "&amp;CHAR(34)&amp;SUBSTITUTE(CriteriTecnici!$F266,CHAR(34),"'")&amp;CHAR(34)&amp;", "&amp;CHAR(34)&amp;"value"&amp;CHAR(34)&amp;": "&amp;SUBSTITUTE(TRIM(ROUND(IFERROR(CriteriTecnici!$N266*1,IFERROR(NUMBERVALUE(CriteriTecnici!$N266,".",","),IFERROR(NUMBERVALUE(CriteriTecnici!$N266,",","."),0))),4)&amp;""),",",".")&amp;", "&amp;CHAR(34)&amp;"numerator"&amp;CHAR(34)&amp;": "&amp;SUBSTITUTE(TRIM(ROUND(IFERROR(CriteriTecnici!$K266*1,IFERROR(NUMBERVALUE(CriteriTecnici!$K266,".",","),IFERROR(NUMBERVALUE(CriteriTecnici!$K266,",","."),0))),4)&amp;""),",",".")&amp;", "&amp;CHAR(34)&amp;"denominator"&amp;CHAR(34)&amp;": "&amp;SUBSTITUTE(TRIM(ROUND(IFERROR(CriteriTecnici!$L266*1,IFERROR(NUMBERVALUE(CriteriTecnici!$L266,".",","),IFERROR(NUMBERVALUE(CriteriTecnici!$L266,",","."),0))),4)&amp;""),",",".")&amp;", "&amp;CHAR(34)&amp;"flag"&amp;CHAR(34)&amp;": "&amp;SUBSTITUTE(TRIM(ROUND(IFERROR(CriteriTecnici!$M266*1,IFERROR(NUMBERVALUE(CriteriTecnici!$M266,".",","),IFERROR(NUMBERVALUE(CriteriTecnici!$M266,",","."),0))),4)&amp;""),",",".")&amp;", "&amp;CHAR(34)&amp;"rawScore"&amp;CHAR(34)&amp;": "&amp;SUBSTITUTE(TRIM(ROUND(IFERROR(CriteriTecnici!$O266*1,IFERROR(NUMBERVALUE(CriteriTecnici!$O266,".",","),IFERROR(NUMBERVALUE(CriteriTecnici!$O266,",","."),0))),4)&amp;""),",",".")&amp;CHAR(125)&amp;IF(TRUE,",",""))</f>
        <v/>
      </c>
    </row>
    <row r="368">
      <c r="A368" s="82">
        <f>IF(CriteriTecnici!$A267="","","    "&amp;CHAR(123)&amp;CHAR(34)&amp;"bidderId"&amp;CHAR(34)&amp;": "&amp;CHAR(34)&amp;SUBSTITUTE(CriteriTecnici!$A267,CHAR(34),"'")&amp;CHAR(34)&amp;", "&amp;CHAR(34)&amp;"lotId"&amp;CHAR(34)&amp;": "&amp;CHAR(34)&amp;SUBSTITUTE(CriteriTecnici!$C267,CHAR(34),"'")&amp;CHAR(34)&amp;", "&amp;CHAR(34)&amp;"criterionId"&amp;CHAR(34)&amp;": "&amp;CHAR(34)&amp;SUBSTITUTE(CriteriTecnici!$D267,CHAR(34),"'")&amp;CHAR(34)&amp;", "&amp;CHAR(34)&amp;"kind"&amp;CHAR(34)&amp;": "&amp;CHAR(34)&amp;SUBSTITUTE(CriteriTecnici!$F267,CHAR(34),"'")&amp;CHAR(34)&amp;", "&amp;CHAR(34)&amp;"value"&amp;CHAR(34)&amp;": "&amp;SUBSTITUTE(TRIM(ROUND(IFERROR(CriteriTecnici!$N267*1,IFERROR(NUMBERVALUE(CriteriTecnici!$N267,".",","),IFERROR(NUMBERVALUE(CriteriTecnici!$N267,",","."),0))),4)&amp;""),",",".")&amp;", "&amp;CHAR(34)&amp;"numerator"&amp;CHAR(34)&amp;": "&amp;SUBSTITUTE(TRIM(ROUND(IFERROR(CriteriTecnici!$K267*1,IFERROR(NUMBERVALUE(CriteriTecnici!$K267,".",","),IFERROR(NUMBERVALUE(CriteriTecnici!$K267,",","."),0))),4)&amp;""),",",".")&amp;", "&amp;CHAR(34)&amp;"denominator"&amp;CHAR(34)&amp;": "&amp;SUBSTITUTE(TRIM(ROUND(IFERROR(CriteriTecnici!$L267*1,IFERROR(NUMBERVALUE(CriteriTecnici!$L267,".",","),IFERROR(NUMBERVALUE(CriteriTecnici!$L267,",","."),0))),4)&amp;""),",",".")&amp;", "&amp;CHAR(34)&amp;"flag"&amp;CHAR(34)&amp;": "&amp;SUBSTITUTE(TRIM(ROUND(IFERROR(CriteriTecnici!$M267*1,IFERROR(NUMBERVALUE(CriteriTecnici!$M267,".",","),IFERROR(NUMBERVALUE(CriteriTecnici!$M267,",","."),0))),4)&amp;""),",",".")&amp;", "&amp;CHAR(34)&amp;"rawScore"&amp;CHAR(34)&amp;": "&amp;SUBSTITUTE(TRIM(ROUND(IFERROR(CriteriTecnici!$O267*1,IFERROR(NUMBERVALUE(CriteriTecnici!$O267,".",","),IFERROR(NUMBERVALUE(CriteriTecnici!$O267,",","."),0))),4)&amp;""),",",".")&amp;CHAR(125)&amp;IF(TRUE,",",""))</f>
        <v/>
      </c>
    </row>
    <row r="369">
      <c r="A369" s="82">
        <f>IF(CriteriTecnici!$A268="","","    "&amp;CHAR(123)&amp;CHAR(34)&amp;"bidderId"&amp;CHAR(34)&amp;": "&amp;CHAR(34)&amp;SUBSTITUTE(CriteriTecnici!$A268,CHAR(34),"'")&amp;CHAR(34)&amp;", "&amp;CHAR(34)&amp;"lotId"&amp;CHAR(34)&amp;": "&amp;CHAR(34)&amp;SUBSTITUTE(CriteriTecnici!$C268,CHAR(34),"'")&amp;CHAR(34)&amp;", "&amp;CHAR(34)&amp;"criterionId"&amp;CHAR(34)&amp;": "&amp;CHAR(34)&amp;SUBSTITUTE(CriteriTecnici!$D268,CHAR(34),"'")&amp;CHAR(34)&amp;", "&amp;CHAR(34)&amp;"kind"&amp;CHAR(34)&amp;": "&amp;CHAR(34)&amp;SUBSTITUTE(CriteriTecnici!$F268,CHAR(34),"'")&amp;CHAR(34)&amp;", "&amp;CHAR(34)&amp;"value"&amp;CHAR(34)&amp;": "&amp;SUBSTITUTE(TRIM(ROUND(IFERROR(CriteriTecnici!$N268*1,IFERROR(NUMBERVALUE(CriteriTecnici!$N268,".",","),IFERROR(NUMBERVALUE(CriteriTecnici!$N268,",","."),0))),4)&amp;""),",",".")&amp;", "&amp;CHAR(34)&amp;"numerator"&amp;CHAR(34)&amp;": "&amp;SUBSTITUTE(TRIM(ROUND(IFERROR(CriteriTecnici!$K268*1,IFERROR(NUMBERVALUE(CriteriTecnici!$K268,".",","),IFERROR(NUMBERVALUE(CriteriTecnici!$K268,",","."),0))),4)&amp;""),",",".")&amp;", "&amp;CHAR(34)&amp;"denominator"&amp;CHAR(34)&amp;": "&amp;SUBSTITUTE(TRIM(ROUND(IFERROR(CriteriTecnici!$L268*1,IFERROR(NUMBERVALUE(CriteriTecnici!$L268,".",","),IFERROR(NUMBERVALUE(CriteriTecnici!$L268,",","."),0))),4)&amp;""),",",".")&amp;", "&amp;CHAR(34)&amp;"flag"&amp;CHAR(34)&amp;": "&amp;SUBSTITUTE(TRIM(ROUND(IFERROR(CriteriTecnici!$M268*1,IFERROR(NUMBERVALUE(CriteriTecnici!$M268,".",","),IFERROR(NUMBERVALUE(CriteriTecnici!$M268,",","."),0))),4)&amp;""),",",".")&amp;", "&amp;CHAR(34)&amp;"rawScore"&amp;CHAR(34)&amp;": "&amp;SUBSTITUTE(TRIM(ROUND(IFERROR(CriteriTecnici!$O268*1,IFERROR(NUMBERVALUE(CriteriTecnici!$O268,".",","),IFERROR(NUMBERVALUE(CriteriTecnici!$O268,",","."),0))),4)&amp;""),",",".")&amp;CHAR(125)&amp;IF(TRUE,",",""))</f>
        <v/>
      </c>
    </row>
    <row r="370">
      <c r="A370" s="82">
        <f>IF(CriteriTecnici!$A269="","","    "&amp;CHAR(123)&amp;CHAR(34)&amp;"bidderId"&amp;CHAR(34)&amp;": "&amp;CHAR(34)&amp;SUBSTITUTE(CriteriTecnici!$A269,CHAR(34),"'")&amp;CHAR(34)&amp;", "&amp;CHAR(34)&amp;"lotId"&amp;CHAR(34)&amp;": "&amp;CHAR(34)&amp;SUBSTITUTE(CriteriTecnici!$C269,CHAR(34),"'")&amp;CHAR(34)&amp;", "&amp;CHAR(34)&amp;"criterionId"&amp;CHAR(34)&amp;": "&amp;CHAR(34)&amp;SUBSTITUTE(CriteriTecnici!$D269,CHAR(34),"'")&amp;CHAR(34)&amp;", "&amp;CHAR(34)&amp;"kind"&amp;CHAR(34)&amp;": "&amp;CHAR(34)&amp;SUBSTITUTE(CriteriTecnici!$F269,CHAR(34),"'")&amp;CHAR(34)&amp;", "&amp;CHAR(34)&amp;"value"&amp;CHAR(34)&amp;": "&amp;SUBSTITUTE(TRIM(ROUND(IFERROR(CriteriTecnici!$N269*1,IFERROR(NUMBERVALUE(CriteriTecnici!$N269,".",","),IFERROR(NUMBERVALUE(CriteriTecnici!$N269,",","."),0))),4)&amp;""),",",".")&amp;", "&amp;CHAR(34)&amp;"numerator"&amp;CHAR(34)&amp;": "&amp;SUBSTITUTE(TRIM(ROUND(IFERROR(CriteriTecnici!$K269*1,IFERROR(NUMBERVALUE(CriteriTecnici!$K269,".",","),IFERROR(NUMBERVALUE(CriteriTecnici!$K269,",","."),0))),4)&amp;""),",",".")&amp;", "&amp;CHAR(34)&amp;"denominator"&amp;CHAR(34)&amp;": "&amp;SUBSTITUTE(TRIM(ROUND(IFERROR(CriteriTecnici!$L269*1,IFERROR(NUMBERVALUE(CriteriTecnici!$L269,".",","),IFERROR(NUMBERVALUE(CriteriTecnici!$L269,",","."),0))),4)&amp;""),",",".")&amp;", "&amp;CHAR(34)&amp;"flag"&amp;CHAR(34)&amp;": "&amp;SUBSTITUTE(TRIM(ROUND(IFERROR(CriteriTecnici!$M269*1,IFERROR(NUMBERVALUE(CriteriTecnici!$M269,".",","),IFERROR(NUMBERVALUE(CriteriTecnici!$M269,",","."),0))),4)&amp;""),",",".")&amp;", "&amp;CHAR(34)&amp;"rawScore"&amp;CHAR(34)&amp;": "&amp;SUBSTITUTE(TRIM(ROUND(IFERROR(CriteriTecnici!$O269*1,IFERROR(NUMBERVALUE(CriteriTecnici!$O269,".",","),IFERROR(NUMBERVALUE(CriteriTecnici!$O269,",","."),0))),4)&amp;""),",",".")&amp;CHAR(125)&amp;IF(TRUE,",",""))</f>
        <v/>
      </c>
    </row>
    <row r="371">
      <c r="A371" s="82">
        <f>IF(CriteriTecnici!$A270="","","    "&amp;CHAR(123)&amp;CHAR(34)&amp;"bidderId"&amp;CHAR(34)&amp;": "&amp;CHAR(34)&amp;SUBSTITUTE(CriteriTecnici!$A270,CHAR(34),"'")&amp;CHAR(34)&amp;", "&amp;CHAR(34)&amp;"lotId"&amp;CHAR(34)&amp;": "&amp;CHAR(34)&amp;SUBSTITUTE(CriteriTecnici!$C270,CHAR(34),"'")&amp;CHAR(34)&amp;", "&amp;CHAR(34)&amp;"criterionId"&amp;CHAR(34)&amp;": "&amp;CHAR(34)&amp;SUBSTITUTE(CriteriTecnici!$D270,CHAR(34),"'")&amp;CHAR(34)&amp;", "&amp;CHAR(34)&amp;"kind"&amp;CHAR(34)&amp;": "&amp;CHAR(34)&amp;SUBSTITUTE(CriteriTecnici!$F270,CHAR(34),"'")&amp;CHAR(34)&amp;", "&amp;CHAR(34)&amp;"value"&amp;CHAR(34)&amp;": "&amp;SUBSTITUTE(TRIM(ROUND(IFERROR(CriteriTecnici!$N270*1,IFERROR(NUMBERVALUE(CriteriTecnici!$N270,".",","),IFERROR(NUMBERVALUE(CriteriTecnici!$N270,",","."),0))),4)&amp;""),",",".")&amp;", "&amp;CHAR(34)&amp;"numerator"&amp;CHAR(34)&amp;": "&amp;SUBSTITUTE(TRIM(ROUND(IFERROR(CriteriTecnici!$K270*1,IFERROR(NUMBERVALUE(CriteriTecnici!$K270,".",","),IFERROR(NUMBERVALUE(CriteriTecnici!$K270,",","."),0))),4)&amp;""),",",".")&amp;", "&amp;CHAR(34)&amp;"denominator"&amp;CHAR(34)&amp;": "&amp;SUBSTITUTE(TRIM(ROUND(IFERROR(CriteriTecnici!$L270*1,IFERROR(NUMBERVALUE(CriteriTecnici!$L270,".",","),IFERROR(NUMBERVALUE(CriteriTecnici!$L270,",","."),0))),4)&amp;""),",",".")&amp;", "&amp;CHAR(34)&amp;"flag"&amp;CHAR(34)&amp;": "&amp;SUBSTITUTE(TRIM(ROUND(IFERROR(CriteriTecnici!$M270*1,IFERROR(NUMBERVALUE(CriteriTecnici!$M270,".",","),IFERROR(NUMBERVALUE(CriteriTecnici!$M270,",","."),0))),4)&amp;""),",",".")&amp;", "&amp;CHAR(34)&amp;"rawScore"&amp;CHAR(34)&amp;": "&amp;SUBSTITUTE(TRIM(ROUND(IFERROR(CriteriTecnici!$O270*1,IFERROR(NUMBERVALUE(CriteriTecnici!$O270,".",","),IFERROR(NUMBERVALUE(CriteriTecnici!$O270,",","."),0))),4)&amp;""),",",".")&amp;CHAR(125)&amp;IF(TRUE,",",""))</f>
        <v/>
      </c>
    </row>
    <row r="372">
      <c r="A372" s="82">
        <f>IF(CriteriTecnici!$A271="","","    "&amp;CHAR(123)&amp;CHAR(34)&amp;"bidderId"&amp;CHAR(34)&amp;": "&amp;CHAR(34)&amp;SUBSTITUTE(CriteriTecnici!$A271,CHAR(34),"'")&amp;CHAR(34)&amp;", "&amp;CHAR(34)&amp;"lotId"&amp;CHAR(34)&amp;": "&amp;CHAR(34)&amp;SUBSTITUTE(CriteriTecnici!$C271,CHAR(34),"'")&amp;CHAR(34)&amp;", "&amp;CHAR(34)&amp;"criterionId"&amp;CHAR(34)&amp;": "&amp;CHAR(34)&amp;SUBSTITUTE(CriteriTecnici!$D271,CHAR(34),"'")&amp;CHAR(34)&amp;", "&amp;CHAR(34)&amp;"kind"&amp;CHAR(34)&amp;": "&amp;CHAR(34)&amp;SUBSTITUTE(CriteriTecnici!$F271,CHAR(34),"'")&amp;CHAR(34)&amp;", "&amp;CHAR(34)&amp;"value"&amp;CHAR(34)&amp;": "&amp;SUBSTITUTE(TRIM(ROUND(IFERROR(CriteriTecnici!$N271*1,IFERROR(NUMBERVALUE(CriteriTecnici!$N271,".",","),IFERROR(NUMBERVALUE(CriteriTecnici!$N271,",","."),0))),4)&amp;""),",",".")&amp;", "&amp;CHAR(34)&amp;"numerator"&amp;CHAR(34)&amp;": "&amp;SUBSTITUTE(TRIM(ROUND(IFERROR(CriteriTecnici!$K271*1,IFERROR(NUMBERVALUE(CriteriTecnici!$K271,".",","),IFERROR(NUMBERVALUE(CriteriTecnici!$K271,",","."),0))),4)&amp;""),",",".")&amp;", "&amp;CHAR(34)&amp;"denominator"&amp;CHAR(34)&amp;": "&amp;SUBSTITUTE(TRIM(ROUND(IFERROR(CriteriTecnici!$L271*1,IFERROR(NUMBERVALUE(CriteriTecnici!$L271,".",","),IFERROR(NUMBERVALUE(CriteriTecnici!$L271,",","."),0))),4)&amp;""),",",".")&amp;", "&amp;CHAR(34)&amp;"flag"&amp;CHAR(34)&amp;": "&amp;SUBSTITUTE(TRIM(ROUND(IFERROR(CriteriTecnici!$M271*1,IFERROR(NUMBERVALUE(CriteriTecnici!$M271,".",","),IFERROR(NUMBERVALUE(CriteriTecnici!$M271,",","."),0))),4)&amp;""),",",".")&amp;", "&amp;CHAR(34)&amp;"rawScore"&amp;CHAR(34)&amp;": "&amp;SUBSTITUTE(TRIM(ROUND(IFERROR(CriteriTecnici!$O271*1,IFERROR(NUMBERVALUE(CriteriTecnici!$O271,".",","),IFERROR(NUMBERVALUE(CriteriTecnici!$O271,",","."),0))),4)&amp;""),",",".")&amp;CHAR(125)&amp;IF(TRUE,",",""))</f>
        <v/>
      </c>
    </row>
    <row r="373">
      <c r="A373" s="82">
        <f>IF(CriteriTecnici!$A272="","","    "&amp;CHAR(123)&amp;CHAR(34)&amp;"bidderId"&amp;CHAR(34)&amp;": "&amp;CHAR(34)&amp;SUBSTITUTE(CriteriTecnici!$A272,CHAR(34),"'")&amp;CHAR(34)&amp;", "&amp;CHAR(34)&amp;"lotId"&amp;CHAR(34)&amp;": "&amp;CHAR(34)&amp;SUBSTITUTE(CriteriTecnici!$C272,CHAR(34),"'")&amp;CHAR(34)&amp;", "&amp;CHAR(34)&amp;"criterionId"&amp;CHAR(34)&amp;": "&amp;CHAR(34)&amp;SUBSTITUTE(CriteriTecnici!$D272,CHAR(34),"'")&amp;CHAR(34)&amp;", "&amp;CHAR(34)&amp;"kind"&amp;CHAR(34)&amp;": "&amp;CHAR(34)&amp;SUBSTITUTE(CriteriTecnici!$F272,CHAR(34),"'")&amp;CHAR(34)&amp;", "&amp;CHAR(34)&amp;"value"&amp;CHAR(34)&amp;": "&amp;SUBSTITUTE(TRIM(ROUND(IFERROR(CriteriTecnici!$N272*1,IFERROR(NUMBERVALUE(CriteriTecnici!$N272,".",","),IFERROR(NUMBERVALUE(CriteriTecnici!$N272,",","."),0))),4)&amp;""),",",".")&amp;", "&amp;CHAR(34)&amp;"numerator"&amp;CHAR(34)&amp;": "&amp;SUBSTITUTE(TRIM(ROUND(IFERROR(CriteriTecnici!$K272*1,IFERROR(NUMBERVALUE(CriteriTecnici!$K272,".",","),IFERROR(NUMBERVALUE(CriteriTecnici!$K272,",","."),0))),4)&amp;""),",",".")&amp;", "&amp;CHAR(34)&amp;"denominator"&amp;CHAR(34)&amp;": "&amp;SUBSTITUTE(TRIM(ROUND(IFERROR(CriteriTecnici!$L272*1,IFERROR(NUMBERVALUE(CriteriTecnici!$L272,".",","),IFERROR(NUMBERVALUE(CriteriTecnici!$L272,",","."),0))),4)&amp;""),",",".")&amp;", "&amp;CHAR(34)&amp;"flag"&amp;CHAR(34)&amp;": "&amp;SUBSTITUTE(TRIM(ROUND(IFERROR(CriteriTecnici!$M272*1,IFERROR(NUMBERVALUE(CriteriTecnici!$M272,".",","),IFERROR(NUMBERVALUE(CriteriTecnici!$M272,",","."),0))),4)&amp;""),",",".")&amp;", "&amp;CHAR(34)&amp;"rawScore"&amp;CHAR(34)&amp;": "&amp;SUBSTITUTE(TRIM(ROUND(IFERROR(CriteriTecnici!$O272*1,IFERROR(NUMBERVALUE(CriteriTecnici!$O272,".",","),IFERROR(NUMBERVALUE(CriteriTecnici!$O272,",","."),0))),4)&amp;""),",",".")&amp;CHAR(125)&amp;IF(TRUE,",",""))</f>
        <v/>
      </c>
    </row>
    <row r="374">
      <c r="A374" s="82">
        <f>IF(CriteriTecnici!$A273="","","    "&amp;CHAR(123)&amp;CHAR(34)&amp;"bidderId"&amp;CHAR(34)&amp;": "&amp;CHAR(34)&amp;SUBSTITUTE(CriteriTecnici!$A273,CHAR(34),"'")&amp;CHAR(34)&amp;", "&amp;CHAR(34)&amp;"lotId"&amp;CHAR(34)&amp;": "&amp;CHAR(34)&amp;SUBSTITUTE(CriteriTecnici!$C273,CHAR(34),"'")&amp;CHAR(34)&amp;", "&amp;CHAR(34)&amp;"criterionId"&amp;CHAR(34)&amp;": "&amp;CHAR(34)&amp;SUBSTITUTE(CriteriTecnici!$D273,CHAR(34),"'")&amp;CHAR(34)&amp;", "&amp;CHAR(34)&amp;"kind"&amp;CHAR(34)&amp;": "&amp;CHAR(34)&amp;SUBSTITUTE(CriteriTecnici!$F273,CHAR(34),"'")&amp;CHAR(34)&amp;", "&amp;CHAR(34)&amp;"value"&amp;CHAR(34)&amp;": "&amp;SUBSTITUTE(TRIM(ROUND(IFERROR(CriteriTecnici!$N273*1,IFERROR(NUMBERVALUE(CriteriTecnici!$N273,".",","),IFERROR(NUMBERVALUE(CriteriTecnici!$N273,",","."),0))),4)&amp;""),",",".")&amp;", "&amp;CHAR(34)&amp;"numerator"&amp;CHAR(34)&amp;": "&amp;SUBSTITUTE(TRIM(ROUND(IFERROR(CriteriTecnici!$K273*1,IFERROR(NUMBERVALUE(CriteriTecnici!$K273,".",","),IFERROR(NUMBERVALUE(CriteriTecnici!$K273,",","."),0))),4)&amp;""),",",".")&amp;", "&amp;CHAR(34)&amp;"denominator"&amp;CHAR(34)&amp;": "&amp;SUBSTITUTE(TRIM(ROUND(IFERROR(CriteriTecnici!$L273*1,IFERROR(NUMBERVALUE(CriteriTecnici!$L273,".",","),IFERROR(NUMBERVALUE(CriteriTecnici!$L273,",","."),0))),4)&amp;""),",",".")&amp;", "&amp;CHAR(34)&amp;"flag"&amp;CHAR(34)&amp;": "&amp;SUBSTITUTE(TRIM(ROUND(IFERROR(CriteriTecnici!$M273*1,IFERROR(NUMBERVALUE(CriteriTecnici!$M273,".",","),IFERROR(NUMBERVALUE(CriteriTecnici!$M273,",","."),0))),4)&amp;""),",",".")&amp;", "&amp;CHAR(34)&amp;"rawScore"&amp;CHAR(34)&amp;": "&amp;SUBSTITUTE(TRIM(ROUND(IFERROR(CriteriTecnici!$O273*1,IFERROR(NUMBERVALUE(CriteriTecnici!$O273,".",","),IFERROR(NUMBERVALUE(CriteriTecnici!$O273,",","."),0))),4)&amp;""),",",".")&amp;CHAR(125)&amp;IF(TRUE,",",""))</f>
        <v/>
      </c>
    </row>
    <row r="375">
      <c r="A375" s="82">
        <f>IF(CriteriTecnici!$A274="","","    "&amp;CHAR(123)&amp;CHAR(34)&amp;"bidderId"&amp;CHAR(34)&amp;": "&amp;CHAR(34)&amp;SUBSTITUTE(CriteriTecnici!$A274,CHAR(34),"'")&amp;CHAR(34)&amp;", "&amp;CHAR(34)&amp;"lotId"&amp;CHAR(34)&amp;": "&amp;CHAR(34)&amp;SUBSTITUTE(CriteriTecnici!$C274,CHAR(34),"'")&amp;CHAR(34)&amp;", "&amp;CHAR(34)&amp;"criterionId"&amp;CHAR(34)&amp;": "&amp;CHAR(34)&amp;SUBSTITUTE(CriteriTecnici!$D274,CHAR(34),"'")&amp;CHAR(34)&amp;", "&amp;CHAR(34)&amp;"kind"&amp;CHAR(34)&amp;": "&amp;CHAR(34)&amp;SUBSTITUTE(CriteriTecnici!$F274,CHAR(34),"'")&amp;CHAR(34)&amp;", "&amp;CHAR(34)&amp;"value"&amp;CHAR(34)&amp;": "&amp;SUBSTITUTE(TRIM(ROUND(IFERROR(CriteriTecnici!$N274*1,IFERROR(NUMBERVALUE(CriteriTecnici!$N274,".",","),IFERROR(NUMBERVALUE(CriteriTecnici!$N274,",","."),0))),4)&amp;""),",",".")&amp;", "&amp;CHAR(34)&amp;"numerator"&amp;CHAR(34)&amp;": "&amp;SUBSTITUTE(TRIM(ROUND(IFERROR(CriteriTecnici!$K274*1,IFERROR(NUMBERVALUE(CriteriTecnici!$K274,".",","),IFERROR(NUMBERVALUE(CriteriTecnici!$K274,",","."),0))),4)&amp;""),",",".")&amp;", "&amp;CHAR(34)&amp;"denominator"&amp;CHAR(34)&amp;": "&amp;SUBSTITUTE(TRIM(ROUND(IFERROR(CriteriTecnici!$L274*1,IFERROR(NUMBERVALUE(CriteriTecnici!$L274,".",","),IFERROR(NUMBERVALUE(CriteriTecnici!$L274,",","."),0))),4)&amp;""),",",".")&amp;", "&amp;CHAR(34)&amp;"flag"&amp;CHAR(34)&amp;": "&amp;SUBSTITUTE(TRIM(ROUND(IFERROR(CriteriTecnici!$M274*1,IFERROR(NUMBERVALUE(CriteriTecnici!$M274,".",","),IFERROR(NUMBERVALUE(CriteriTecnici!$M274,",","."),0))),4)&amp;""),",",".")&amp;", "&amp;CHAR(34)&amp;"rawScore"&amp;CHAR(34)&amp;": "&amp;SUBSTITUTE(TRIM(ROUND(IFERROR(CriteriTecnici!$O274*1,IFERROR(NUMBERVALUE(CriteriTecnici!$O274,".",","),IFERROR(NUMBERVALUE(CriteriTecnici!$O274,",","."),0))),4)&amp;""),",",".")&amp;CHAR(125)&amp;IF(TRUE,",",""))</f>
        <v/>
      </c>
    </row>
    <row r="376">
      <c r="A376" s="82">
        <f>IF(CriteriTecnici!$A275="","","    "&amp;CHAR(123)&amp;CHAR(34)&amp;"bidderId"&amp;CHAR(34)&amp;": "&amp;CHAR(34)&amp;SUBSTITUTE(CriteriTecnici!$A275,CHAR(34),"'")&amp;CHAR(34)&amp;", "&amp;CHAR(34)&amp;"lotId"&amp;CHAR(34)&amp;": "&amp;CHAR(34)&amp;SUBSTITUTE(CriteriTecnici!$C275,CHAR(34),"'")&amp;CHAR(34)&amp;", "&amp;CHAR(34)&amp;"criterionId"&amp;CHAR(34)&amp;": "&amp;CHAR(34)&amp;SUBSTITUTE(CriteriTecnici!$D275,CHAR(34),"'")&amp;CHAR(34)&amp;", "&amp;CHAR(34)&amp;"kind"&amp;CHAR(34)&amp;": "&amp;CHAR(34)&amp;SUBSTITUTE(CriteriTecnici!$F275,CHAR(34),"'")&amp;CHAR(34)&amp;", "&amp;CHAR(34)&amp;"value"&amp;CHAR(34)&amp;": "&amp;SUBSTITUTE(TRIM(ROUND(IFERROR(CriteriTecnici!$N275*1,IFERROR(NUMBERVALUE(CriteriTecnici!$N275,".",","),IFERROR(NUMBERVALUE(CriteriTecnici!$N275,",","."),0))),4)&amp;""),",",".")&amp;", "&amp;CHAR(34)&amp;"numerator"&amp;CHAR(34)&amp;": "&amp;SUBSTITUTE(TRIM(ROUND(IFERROR(CriteriTecnici!$K275*1,IFERROR(NUMBERVALUE(CriteriTecnici!$K275,".",","),IFERROR(NUMBERVALUE(CriteriTecnici!$K275,",","."),0))),4)&amp;""),",",".")&amp;", "&amp;CHAR(34)&amp;"denominator"&amp;CHAR(34)&amp;": "&amp;SUBSTITUTE(TRIM(ROUND(IFERROR(CriteriTecnici!$L275*1,IFERROR(NUMBERVALUE(CriteriTecnici!$L275,".",","),IFERROR(NUMBERVALUE(CriteriTecnici!$L275,",","."),0))),4)&amp;""),",",".")&amp;", "&amp;CHAR(34)&amp;"flag"&amp;CHAR(34)&amp;": "&amp;SUBSTITUTE(TRIM(ROUND(IFERROR(CriteriTecnici!$M275*1,IFERROR(NUMBERVALUE(CriteriTecnici!$M275,".",","),IFERROR(NUMBERVALUE(CriteriTecnici!$M275,",","."),0))),4)&amp;""),",",".")&amp;", "&amp;CHAR(34)&amp;"rawScore"&amp;CHAR(34)&amp;": "&amp;SUBSTITUTE(TRIM(ROUND(IFERROR(CriteriTecnici!$O275*1,IFERROR(NUMBERVALUE(CriteriTecnici!$O275,".",","),IFERROR(NUMBERVALUE(CriteriTecnici!$O275,",","."),0))),4)&amp;""),",",".")&amp;CHAR(125)&amp;IF(TRUE,",",""))</f>
        <v/>
      </c>
    </row>
    <row r="377">
      <c r="A377" s="82">
        <f>IF(CriteriTecnici!$A276="","","    "&amp;CHAR(123)&amp;CHAR(34)&amp;"bidderId"&amp;CHAR(34)&amp;": "&amp;CHAR(34)&amp;SUBSTITUTE(CriteriTecnici!$A276,CHAR(34),"'")&amp;CHAR(34)&amp;", "&amp;CHAR(34)&amp;"lotId"&amp;CHAR(34)&amp;": "&amp;CHAR(34)&amp;SUBSTITUTE(CriteriTecnici!$C276,CHAR(34),"'")&amp;CHAR(34)&amp;", "&amp;CHAR(34)&amp;"criterionId"&amp;CHAR(34)&amp;": "&amp;CHAR(34)&amp;SUBSTITUTE(CriteriTecnici!$D276,CHAR(34),"'")&amp;CHAR(34)&amp;", "&amp;CHAR(34)&amp;"kind"&amp;CHAR(34)&amp;": "&amp;CHAR(34)&amp;SUBSTITUTE(CriteriTecnici!$F276,CHAR(34),"'")&amp;CHAR(34)&amp;", "&amp;CHAR(34)&amp;"value"&amp;CHAR(34)&amp;": "&amp;SUBSTITUTE(TRIM(ROUND(IFERROR(CriteriTecnici!$N276*1,IFERROR(NUMBERVALUE(CriteriTecnici!$N276,".",","),IFERROR(NUMBERVALUE(CriteriTecnici!$N276,",","."),0))),4)&amp;""),",",".")&amp;", "&amp;CHAR(34)&amp;"numerator"&amp;CHAR(34)&amp;": "&amp;SUBSTITUTE(TRIM(ROUND(IFERROR(CriteriTecnici!$K276*1,IFERROR(NUMBERVALUE(CriteriTecnici!$K276,".",","),IFERROR(NUMBERVALUE(CriteriTecnici!$K276,",","."),0))),4)&amp;""),",",".")&amp;", "&amp;CHAR(34)&amp;"denominator"&amp;CHAR(34)&amp;": "&amp;SUBSTITUTE(TRIM(ROUND(IFERROR(CriteriTecnici!$L276*1,IFERROR(NUMBERVALUE(CriteriTecnici!$L276,".",","),IFERROR(NUMBERVALUE(CriteriTecnici!$L276,",","."),0))),4)&amp;""),",",".")&amp;", "&amp;CHAR(34)&amp;"flag"&amp;CHAR(34)&amp;": "&amp;SUBSTITUTE(TRIM(ROUND(IFERROR(CriteriTecnici!$M276*1,IFERROR(NUMBERVALUE(CriteriTecnici!$M276,".",","),IFERROR(NUMBERVALUE(CriteriTecnici!$M276,",","."),0))),4)&amp;""),",",".")&amp;", "&amp;CHAR(34)&amp;"rawScore"&amp;CHAR(34)&amp;": "&amp;SUBSTITUTE(TRIM(ROUND(IFERROR(CriteriTecnici!$O276*1,IFERROR(NUMBERVALUE(CriteriTecnici!$O276,".",","),IFERROR(NUMBERVALUE(CriteriTecnici!$O276,",","."),0))),4)&amp;""),",",".")&amp;CHAR(125)&amp;IF(TRUE,",",""))</f>
        <v/>
      </c>
    </row>
    <row r="378">
      <c r="A378" s="82">
        <f>IF(CriteriTecnici!$A277="","","    "&amp;CHAR(123)&amp;CHAR(34)&amp;"bidderId"&amp;CHAR(34)&amp;": "&amp;CHAR(34)&amp;SUBSTITUTE(CriteriTecnici!$A277,CHAR(34),"'")&amp;CHAR(34)&amp;", "&amp;CHAR(34)&amp;"lotId"&amp;CHAR(34)&amp;": "&amp;CHAR(34)&amp;SUBSTITUTE(CriteriTecnici!$C277,CHAR(34),"'")&amp;CHAR(34)&amp;", "&amp;CHAR(34)&amp;"criterionId"&amp;CHAR(34)&amp;": "&amp;CHAR(34)&amp;SUBSTITUTE(CriteriTecnici!$D277,CHAR(34),"'")&amp;CHAR(34)&amp;", "&amp;CHAR(34)&amp;"kind"&amp;CHAR(34)&amp;": "&amp;CHAR(34)&amp;SUBSTITUTE(CriteriTecnici!$F277,CHAR(34),"'")&amp;CHAR(34)&amp;", "&amp;CHAR(34)&amp;"value"&amp;CHAR(34)&amp;": "&amp;SUBSTITUTE(TRIM(ROUND(IFERROR(CriteriTecnici!$N277*1,IFERROR(NUMBERVALUE(CriteriTecnici!$N277,".",","),IFERROR(NUMBERVALUE(CriteriTecnici!$N277,",","."),0))),4)&amp;""),",",".")&amp;", "&amp;CHAR(34)&amp;"numerator"&amp;CHAR(34)&amp;": "&amp;SUBSTITUTE(TRIM(ROUND(IFERROR(CriteriTecnici!$K277*1,IFERROR(NUMBERVALUE(CriteriTecnici!$K277,".",","),IFERROR(NUMBERVALUE(CriteriTecnici!$K277,",","."),0))),4)&amp;""),",",".")&amp;", "&amp;CHAR(34)&amp;"denominator"&amp;CHAR(34)&amp;": "&amp;SUBSTITUTE(TRIM(ROUND(IFERROR(CriteriTecnici!$L277*1,IFERROR(NUMBERVALUE(CriteriTecnici!$L277,".",","),IFERROR(NUMBERVALUE(CriteriTecnici!$L277,",","."),0))),4)&amp;""),",",".")&amp;", "&amp;CHAR(34)&amp;"flag"&amp;CHAR(34)&amp;": "&amp;SUBSTITUTE(TRIM(ROUND(IFERROR(CriteriTecnici!$M277*1,IFERROR(NUMBERVALUE(CriteriTecnici!$M277,".",","),IFERROR(NUMBERVALUE(CriteriTecnici!$M277,",","."),0))),4)&amp;""),",",".")&amp;", "&amp;CHAR(34)&amp;"rawScore"&amp;CHAR(34)&amp;": "&amp;SUBSTITUTE(TRIM(ROUND(IFERROR(CriteriTecnici!$O277*1,IFERROR(NUMBERVALUE(CriteriTecnici!$O277,".",","),IFERROR(NUMBERVALUE(CriteriTecnici!$O277,",","."),0))),4)&amp;""),",",".")&amp;CHAR(125)&amp;IF(TRUE,",",""))</f>
        <v/>
      </c>
    </row>
    <row r="379">
      <c r="A379" s="82">
        <f>IF(CriteriTecnici!$A278="","","    "&amp;CHAR(123)&amp;CHAR(34)&amp;"bidderId"&amp;CHAR(34)&amp;": "&amp;CHAR(34)&amp;SUBSTITUTE(CriteriTecnici!$A278,CHAR(34),"'")&amp;CHAR(34)&amp;", "&amp;CHAR(34)&amp;"lotId"&amp;CHAR(34)&amp;": "&amp;CHAR(34)&amp;SUBSTITUTE(CriteriTecnici!$C278,CHAR(34),"'")&amp;CHAR(34)&amp;", "&amp;CHAR(34)&amp;"criterionId"&amp;CHAR(34)&amp;": "&amp;CHAR(34)&amp;SUBSTITUTE(CriteriTecnici!$D278,CHAR(34),"'")&amp;CHAR(34)&amp;", "&amp;CHAR(34)&amp;"kind"&amp;CHAR(34)&amp;": "&amp;CHAR(34)&amp;SUBSTITUTE(CriteriTecnici!$F278,CHAR(34),"'")&amp;CHAR(34)&amp;", "&amp;CHAR(34)&amp;"value"&amp;CHAR(34)&amp;": "&amp;SUBSTITUTE(TRIM(ROUND(IFERROR(CriteriTecnici!$N278*1,IFERROR(NUMBERVALUE(CriteriTecnici!$N278,".",","),IFERROR(NUMBERVALUE(CriteriTecnici!$N278,",","."),0))),4)&amp;""),",",".")&amp;", "&amp;CHAR(34)&amp;"numerator"&amp;CHAR(34)&amp;": "&amp;SUBSTITUTE(TRIM(ROUND(IFERROR(CriteriTecnici!$K278*1,IFERROR(NUMBERVALUE(CriteriTecnici!$K278,".",","),IFERROR(NUMBERVALUE(CriteriTecnici!$K278,",","."),0))),4)&amp;""),",",".")&amp;", "&amp;CHAR(34)&amp;"denominator"&amp;CHAR(34)&amp;": "&amp;SUBSTITUTE(TRIM(ROUND(IFERROR(CriteriTecnici!$L278*1,IFERROR(NUMBERVALUE(CriteriTecnici!$L278,".",","),IFERROR(NUMBERVALUE(CriteriTecnici!$L278,",","."),0))),4)&amp;""),",",".")&amp;", "&amp;CHAR(34)&amp;"flag"&amp;CHAR(34)&amp;": "&amp;SUBSTITUTE(TRIM(ROUND(IFERROR(CriteriTecnici!$M278*1,IFERROR(NUMBERVALUE(CriteriTecnici!$M278,".",","),IFERROR(NUMBERVALUE(CriteriTecnici!$M278,",","."),0))),4)&amp;""),",",".")&amp;", "&amp;CHAR(34)&amp;"rawScore"&amp;CHAR(34)&amp;": "&amp;SUBSTITUTE(TRIM(ROUND(IFERROR(CriteriTecnici!$O278*1,IFERROR(NUMBERVALUE(CriteriTecnici!$O278,".",","),IFERROR(NUMBERVALUE(CriteriTecnici!$O278,",","."),0))),4)&amp;""),",",".")&amp;CHAR(125)&amp;IF(TRUE,",",""))</f>
        <v/>
      </c>
    </row>
    <row r="380">
      <c r="A380" s="82">
        <f>IF(CriteriTecnici!$A279="","","    "&amp;CHAR(123)&amp;CHAR(34)&amp;"bidderId"&amp;CHAR(34)&amp;": "&amp;CHAR(34)&amp;SUBSTITUTE(CriteriTecnici!$A279,CHAR(34),"'")&amp;CHAR(34)&amp;", "&amp;CHAR(34)&amp;"lotId"&amp;CHAR(34)&amp;": "&amp;CHAR(34)&amp;SUBSTITUTE(CriteriTecnici!$C279,CHAR(34),"'")&amp;CHAR(34)&amp;", "&amp;CHAR(34)&amp;"criterionId"&amp;CHAR(34)&amp;": "&amp;CHAR(34)&amp;SUBSTITUTE(CriteriTecnici!$D279,CHAR(34),"'")&amp;CHAR(34)&amp;", "&amp;CHAR(34)&amp;"kind"&amp;CHAR(34)&amp;": "&amp;CHAR(34)&amp;SUBSTITUTE(CriteriTecnici!$F279,CHAR(34),"'")&amp;CHAR(34)&amp;", "&amp;CHAR(34)&amp;"value"&amp;CHAR(34)&amp;": "&amp;SUBSTITUTE(TRIM(ROUND(IFERROR(CriteriTecnici!$N279*1,IFERROR(NUMBERVALUE(CriteriTecnici!$N279,".",","),IFERROR(NUMBERVALUE(CriteriTecnici!$N279,",","."),0))),4)&amp;""),",",".")&amp;", "&amp;CHAR(34)&amp;"numerator"&amp;CHAR(34)&amp;": "&amp;SUBSTITUTE(TRIM(ROUND(IFERROR(CriteriTecnici!$K279*1,IFERROR(NUMBERVALUE(CriteriTecnici!$K279,".",","),IFERROR(NUMBERVALUE(CriteriTecnici!$K279,",","."),0))),4)&amp;""),",",".")&amp;", "&amp;CHAR(34)&amp;"denominator"&amp;CHAR(34)&amp;": "&amp;SUBSTITUTE(TRIM(ROUND(IFERROR(CriteriTecnici!$L279*1,IFERROR(NUMBERVALUE(CriteriTecnici!$L279,".",","),IFERROR(NUMBERVALUE(CriteriTecnici!$L279,",","."),0))),4)&amp;""),",",".")&amp;", "&amp;CHAR(34)&amp;"flag"&amp;CHAR(34)&amp;": "&amp;SUBSTITUTE(TRIM(ROUND(IFERROR(CriteriTecnici!$M279*1,IFERROR(NUMBERVALUE(CriteriTecnici!$M279,".",","),IFERROR(NUMBERVALUE(CriteriTecnici!$M279,",","."),0))),4)&amp;""),",",".")&amp;", "&amp;CHAR(34)&amp;"rawScore"&amp;CHAR(34)&amp;": "&amp;SUBSTITUTE(TRIM(ROUND(IFERROR(CriteriTecnici!$O279*1,IFERROR(NUMBERVALUE(CriteriTecnici!$O279,".",","),IFERROR(NUMBERVALUE(CriteriTecnici!$O279,",","."),0))),4)&amp;""),",",".")&amp;CHAR(125)&amp;IF(TRUE,",",""))</f>
        <v/>
      </c>
    </row>
    <row r="381">
      <c r="A381" s="82">
        <f>IF(CriteriTecnici!$A280="","","    "&amp;CHAR(123)&amp;CHAR(34)&amp;"bidderId"&amp;CHAR(34)&amp;": "&amp;CHAR(34)&amp;SUBSTITUTE(CriteriTecnici!$A280,CHAR(34),"'")&amp;CHAR(34)&amp;", "&amp;CHAR(34)&amp;"lotId"&amp;CHAR(34)&amp;": "&amp;CHAR(34)&amp;SUBSTITUTE(CriteriTecnici!$C280,CHAR(34),"'")&amp;CHAR(34)&amp;", "&amp;CHAR(34)&amp;"criterionId"&amp;CHAR(34)&amp;": "&amp;CHAR(34)&amp;SUBSTITUTE(CriteriTecnici!$D280,CHAR(34),"'")&amp;CHAR(34)&amp;", "&amp;CHAR(34)&amp;"kind"&amp;CHAR(34)&amp;": "&amp;CHAR(34)&amp;SUBSTITUTE(CriteriTecnici!$F280,CHAR(34),"'")&amp;CHAR(34)&amp;", "&amp;CHAR(34)&amp;"value"&amp;CHAR(34)&amp;": "&amp;SUBSTITUTE(TRIM(ROUND(IFERROR(CriteriTecnici!$N280*1,IFERROR(NUMBERVALUE(CriteriTecnici!$N280,".",","),IFERROR(NUMBERVALUE(CriteriTecnici!$N280,",","."),0))),4)&amp;""),",",".")&amp;", "&amp;CHAR(34)&amp;"numerator"&amp;CHAR(34)&amp;": "&amp;SUBSTITUTE(TRIM(ROUND(IFERROR(CriteriTecnici!$K280*1,IFERROR(NUMBERVALUE(CriteriTecnici!$K280,".",","),IFERROR(NUMBERVALUE(CriteriTecnici!$K280,",","."),0))),4)&amp;""),",",".")&amp;", "&amp;CHAR(34)&amp;"denominator"&amp;CHAR(34)&amp;": "&amp;SUBSTITUTE(TRIM(ROUND(IFERROR(CriteriTecnici!$L280*1,IFERROR(NUMBERVALUE(CriteriTecnici!$L280,".",","),IFERROR(NUMBERVALUE(CriteriTecnici!$L280,",","."),0))),4)&amp;""),",",".")&amp;", "&amp;CHAR(34)&amp;"flag"&amp;CHAR(34)&amp;": "&amp;SUBSTITUTE(TRIM(ROUND(IFERROR(CriteriTecnici!$M280*1,IFERROR(NUMBERVALUE(CriteriTecnici!$M280,".",","),IFERROR(NUMBERVALUE(CriteriTecnici!$M280,",","."),0))),4)&amp;""),",",".")&amp;", "&amp;CHAR(34)&amp;"rawScore"&amp;CHAR(34)&amp;": "&amp;SUBSTITUTE(TRIM(ROUND(IFERROR(CriteriTecnici!$O280*1,IFERROR(NUMBERVALUE(CriteriTecnici!$O280,".",","),IFERROR(NUMBERVALUE(CriteriTecnici!$O280,",","."),0))),4)&amp;""),",",".")&amp;CHAR(125)&amp;IF(TRUE,",",""))</f>
        <v/>
      </c>
    </row>
    <row r="382">
      <c r="A382" s="82">
        <f>IF(CriteriTecnici!$A281="","","    "&amp;CHAR(123)&amp;CHAR(34)&amp;"bidderId"&amp;CHAR(34)&amp;": "&amp;CHAR(34)&amp;SUBSTITUTE(CriteriTecnici!$A281,CHAR(34),"'")&amp;CHAR(34)&amp;", "&amp;CHAR(34)&amp;"lotId"&amp;CHAR(34)&amp;": "&amp;CHAR(34)&amp;SUBSTITUTE(CriteriTecnici!$C281,CHAR(34),"'")&amp;CHAR(34)&amp;", "&amp;CHAR(34)&amp;"criterionId"&amp;CHAR(34)&amp;": "&amp;CHAR(34)&amp;SUBSTITUTE(CriteriTecnici!$D281,CHAR(34),"'")&amp;CHAR(34)&amp;", "&amp;CHAR(34)&amp;"kind"&amp;CHAR(34)&amp;": "&amp;CHAR(34)&amp;SUBSTITUTE(CriteriTecnici!$F281,CHAR(34),"'")&amp;CHAR(34)&amp;", "&amp;CHAR(34)&amp;"value"&amp;CHAR(34)&amp;": "&amp;SUBSTITUTE(TRIM(ROUND(IFERROR(CriteriTecnici!$N281*1,IFERROR(NUMBERVALUE(CriteriTecnici!$N281,".",","),IFERROR(NUMBERVALUE(CriteriTecnici!$N281,",","."),0))),4)&amp;""),",",".")&amp;", "&amp;CHAR(34)&amp;"numerator"&amp;CHAR(34)&amp;": "&amp;SUBSTITUTE(TRIM(ROUND(IFERROR(CriteriTecnici!$K281*1,IFERROR(NUMBERVALUE(CriteriTecnici!$K281,".",","),IFERROR(NUMBERVALUE(CriteriTecnici!$K281,",","."),0))),4)&amp;""),",",".")&amp;", "&amp;CHAR(34)&amp;"denominator"&amp;CHAR(34)&amp;": "&amp;SUBSTITUTE(TRIM(ROUND(IFERROR(CriteriTecnici!$L281*1,IFERROR(NUMBERVALUE(CriteriTecnici!$L281,".",","),IFERROR(NUMBERVALUE(CriteriTecnici!$L281,",","."),0))),4)&amp;""),",",".")&amp;", "&amp;CHAR(34)&amp;"flag"&amp;CHAR(34)&amp;": "&amp;SUBSTITUTE(TRIM(ROUND(IFERROR(CriteriTecnici!$M281*1,IFERROR(NUMBERVALUE(CriteriTecnici!$M281,".",","),IFERROR(NUMBERVALUE(CriteriTecnici!$M281,",","."),0))),4)&amp;""),",",".")&amp;", "&amp;CHAR(34)&amp;"rawScore"&amp;CHAR(34)&amp;": "&amp;SUBSTITUTE(TRIM(ROUND(IFERROR(CriteriTecnici!$O281*1,IFERROR(NUMBERVALUE(CriteriTecnici!$O281,".",","),IFERROR(NUMBERVALUE(CriteriTecnici!$O281,",","."),0))),4)&amp;""),",",".")&amp;CHAR(125)&amp;IF(TRUE,",",""))</f>
        <v/>
      </c>
    </row>
    <row r="383">
      <c r="A383" s="82">
        <f>IF(CriteriTecnici!$A282="","","    "&amp;CHAR(123)&amp;CHAR(34)&amp;"bidderId"&amp;CHAR(34)&amp;": "&amp;CHAR(34)&amp;SUBSTITUTE(CriteriTecnici!$A282,CHAR(34),"'")&amp;CHAR(34)&amp;", "&amp;CHAR(34)&amp;"lotId"&amp;CHAR(34)&amp;": "&amp;CHAR(34)&amp;SUBSTITUTE(CriteriTecnici!$C282,CHAR(34),"'")&amp;CHAR(34)&amp;", "&amp;CHAR(34)&amp;"criterionId"&amp;CHAR(34)&amp;": "&amp;CHAR(34)&amp;SUBSTITUTE(CriteriTecnici!$D282,CHAR(34),"'")&amp;CHAR(34)&amp;", "&amp;CHAR(34)&amp;"kind"&amp;CHAR(34)&amp;": "&amp;CHAR(34)&amp;SUBSTITUTE(CriteriTecnici!$F282,CHAR(34),"'")&amp;CHAR(34)&amp;", "&amp;CHAR(34)&amp;"value"&amp;CHAR(34)&amp;": "&amp;SUBSTITUTE(TRIM(ROUND(IFERROR(CriteriTecnici!$N282*1,IFERROR(NUMBERVALUE(CriteriTecnici!$N282,".",","),IFERROR(NUMBERVALUE(CriteriTecnici!$N282,",","."),0))),4)&amp;""),",",".")&amp;", "&amp;CHAR(34)&amp;"numerator"&amp;CHAR(34)&amp;": "&amp;SUBSTITUTE(TRIM(ROUND(IFERROR(CriteriTecnici!$K282*1,IFERROR(NUMBERVALUE(CriteriTecnici!$K282,".",","),IFERROR(NUMBERVALUE(CriteriTecnici!$K282,",","."),0))),4)&amp;""),",",".")&amp;", "&amp;CHAR(34)&amp;"denominator"&amp;CHAR(34)&amp;": "&amp;SUBSTITUTE(TRIM(ROUND(IFERROR(CriteriTecnici!$L282*1,IFERROR(NUMBERVALUE(CriteriTecnici!$L282,".",","),IFERROR(NUMBERVALUE(CriteriTecnici!$L282,",","."),0))),4)&amp;""),",",".")&amp;", "&amp;CHAR(34)&amp;"flag"&amp;CHAR(34)&amp;": "&amp;SUBSTITUTE(TRIM(ROUND(IFERROR(CriteriTecnici!$M282*1,IFERROR(NUMBERVALUE(CriteriTecnici!$M282,".",","),IFERROR(NUMBERVALUE(CriteriTecnici!$M282,",","."),0))),4)&amp;""),",",".")&amp;", "&amp;CHAR(34)&amp;"rawScore"&amp;CHAR(34)&amp;": "&amp;SUBSTITUTE(TRIM(ROUND(IFERROR(CriteriTecnici!$O282*1,IFERROR(NUMBERVALUE(CriteriTecnici!$O282,".",","),IFERROR(NUMBERVALUE(CriteriTecnici!$O282,",","."),0))),4)&amp;""),",",".")&amp;CHAR(125)&amp;IF(TRUE,",",""))</f>
        <v/>
      </c>
    </row>
    <row r="384">
      <c r="A384" s="82">
        <f>IF(CriteriTecnici!$A283="","","    "&amp;CHAR(123)&amp;CHAR(34)&amp;"bidderId"&amp;CHAR(34)&amp;": "&amp;CHAR(34)&amp;SUBSTITUTE(CriteriTecnici!$A283,CHAR(34),"'")&amp;CHAR(34)&amp;", "&amp;CHAR(34)&amp;"lotId"&amp;CHAR(34)&amp;": "&amp;CHAR(34)&amp;SUBSTITUTE(CriteriTecnici!$C283,CHAR(34),"'")&amp;CHAR(34)&amp;", "&amp;CHAR(34)&amp;"criterionId"&amp;CHAR(34)&amp;": "&amp;CHAR(34)&amp;SUBSTITUTE(CriteriTecnici!$D283,CHAR(34),"'")&amp;CHAR(34)&amp;", "&amp;CHAR(34)&amp;"kind"&amp;CHAR(34)&amp;": "&amp;CHAR(34)&amp;SUBSTITUTE(CriteriTecnici!$F283,CHAR(34),"'")&amp;CHAR(34)&amp;", "&amp;CHAR(34)&amp;"value"&amp;CHAR(34)&amp;": "&amp;SUBSTITUTE(TRIM(ROUND(IFERROR(CriteriTecnici!$N283*1,IFERROR(NUMBERVALUE(CriteriTecnici!$N283,".",","),IFERROR(NUMBERVALUE(CriteriTecnici!$N283,",","."),0))),4)&amp;""),",",".")&amp;", "&amp;CHAR(34)&amp;"numerator"&amp;CHAR(34)&amp;": "&amp;SUBSTITUTE(TRIM(ROUND(IFERROR(CriteriTecnici!$K283*1,IFERROR(NUMBERVALUE(CriteriTecnici!$K283,".",","),IFERROR(NUMBERVALUE(CriteriTecnici!$K283,",","."),0))),4)&amp;""),",",".")&amp;", "&amp;CHAR(34)&amp;"denominator"&amp;CHAR(34)&amp;": "&amp;SUBSTITUTE(TRIM(ROUND(IFERROR(CriteriTecnici!$L283*1,IFERROR(NUMBERVALUE(CriteriTecnici!$L283,".",","),IFERROR(NUMBERVALUE(CriteriTecnici!$L283,",","."),0))),4)&amp;""),",",".")&amp;", "&amp;CHAR(34)&amp;"flag"&amp;CHAR(34)&amp;": "&amp;SUBSTITUTE(TRIM(ROUND(IFERROR(CriteriTecnici!$M283*1,IFERROR(NUMBERVALUE(CriteriTecnici!$M283,".",","),IFERROR(NUMBERVALUE(CriteriTecnici!$M283,",","."),0))),4)&amp;""),",",".")&amp;", "&amp;CHAR(34)&amp;"rawScore"&amp;CHAR(34)&amp;": "&amp;SUBSTITUTE(TRIM(ROUND(IFERROR(CriteriTecnici!$O283*1,IFERROR(NUMBERVALUE(CriteriTecnici!$O283,".",","),IFERROR(NUMBERVALUE(CriteriTecnici!$O283,",","."),0))),4)&amp;""),",",".")&amp;CHAR(125)&amp;IF(COUNTA(Offerte!$A11:$A$81)&gt;0,",",""))</f>
        <v/>
      </c>
    </row>
    <row r="385">
      <c r="A385" s="82">
        <f>IF(CriteriTecnici!$A284="","","    "&amp;CHAR(123)&amp;CHAR(34)&amp;"bidderId"&amp;CHAR(34)&amp;": "&amp;CHAR(34)&amp;SUBSTITUTE(CriteriTecnici!$A284,CHAR(34),"'")&amp;CHAR(34)&amp;", "&amp;CHAR(34)&amp;"lotId"&amp;CHAR(34)&amp;": "&amp;CHAR(34)&amp;SUBSTITUTE(CriteriTecnici!$C284,CHAR(34),"'")&amp;CHAR(34)&amp;", "&amp;CHAR(34)&amp;"criterionId"&amp;CHAR(34)&amp;": "&amp;CHAR(34)&amp;SUBSTITUTE(CriteriTecnici!$D284,CHAR(34),"'")&amp;CHAR(34)&amp;", "&amp;CHAR(34)&amp;"kind"&amp;CHAR(34)&amp;": "&amp;CHAR(34)&amp;SUBSTITUTE(CriteriTecnici!$F284,CHAR(34),"'")&amp;CHAR(34)&amp;", "&amp;CHAR(34)&amp;"value"&amp;CHAR(34)&amp;": "&amp;SUBSTITUTE(TRIM(ROUND(IFERROR(CriteriTecnici!$N284*1,IFERROR(NUMBERVALUE(CriteriTecnici!$N284,".",","),IFERROR(NUMBERVALUE(CriteriTecnici!$N284,",","."),0))),4)&amp;""),",",".")&amp;", "&amp;CHAR(34)&amp;"numerator"&amp;CHAR(34)&amp;": "&amp;SUBSTITUTE(TRIM(ROUND(IFERROR(CriteriTecnici!$K284*1,IFERROR(NUMBERVALUE(CriteriTecnici!$K284,".",","),IFERROR(NUMBERVALUE(CriteriTecnici!$K284,",","."),0))),4)&amp;""),",",".")&amp;", "&amp;CHAR(34)&amp;"denominator"&amp;CHAR(34)&amp;": "&amp;SUBSTITUTE(TRIM(ROUND(IFERROR(CriteriTecnici!$L284*1,IFERROR(NUMBERVALUE(CriteriTecnici!$L284,".",","),IFERROR(NUMBERVALUE(CriteriTecnici!$L284,",","."),0))),4)&amp;""),",",".")&amp;", "&amp;CHAR(34)&amp;"flag"&amp;CHAR(34)&amp;": "&amp;SUBSTITUTE(TRIM(ROUND(IFERROR(CriteriTecnici!$M284*1,IFERROR(NUMBERVALUE(CriteriTecnici!$M284,".",","),IFERROR(NUMBERVALUE(CriteriTecnici!$M284,",","."),0))),4)&amp;""),",",".")&amp;", "&amp;CHAR(34)&amp;"rawScore"&amp;CHAR(34)&amp;": "&amp;SUBSTITUTE(TRIM(ROUND(IFERROR(CriteriTecnici!$O284*1,IFERROR(NUMBERVALUE(CriteriTecnici!$O284,".",","),IFERROR(NUMBERVALUE(CriteriTecnici!$O284,",","."),0))),4)&amp;""),",",".")&amp;CHAR(125)&amp;IF(TRUE,",",""))</f>
        <v/>
      </c>
    </row>
    <row r="386">
      <c r="A386" s="82">
        <f>IF(CriteriTecnici!$A285="","","    "&amp;CHAR(123)&amp;CHAR(34)&amp;"bidderId"&amp;CHAR(34)&amp;": "&amp;CHAR(34)&amp;SUBSTITUTE(CriteriTecnici!$A285,CHAR(34),"'")&amp;CHAR(34)&amp;", "&amp;CHAR(34)&amp;"lotId"&amp;CHAR(34)&amp;": "&amp;CHAR(34)&amp;SUBSTITUTE(CriteriTecnici!$C285,CHAR(34),"'")&amp;CHAR(34)&amp;", "&amp;CHAR(34)&amp;"criterionId"&amp;CHAR(34)&amp;": "&amp;CHAR(34)&amp;SUBSTITUTE(CriteriTecnici!$D285,CHAR(34),"'")&amp;CHAR(34)&amp;", "&amp;CHAR(34)&amp;"kind"&amp;CHAR(34)&amp;": "&amp;CHAR(34)&amp;SUBSTITUTE(CriteriTecnici!$F285,CHAR(34),"'")&amp;CHAR(34)&amp;", "&amp;CHAR(34)&amp;"value"&amp;CHAR(34)&amp;": "&amp;SUBSTITUTE(TRIM(ROUND(IFERROR(CriteriTecnici!$N285*1,IFERROR(NUMBERVALUE(CriteriTecnici!$N285,".",","),IFERROR(NUMBERVALUE(CriteriTecnici!$N285,",","."),0))),4)&amp;""),",",".")&amp;", "&amp;CHAR(34)&amp;"numerator"&amp;CHAR(34)&amp;": "&amp;SUBSTITUTE(TRIM(ROUND(IFERROR(CriteriTecnici!$K285*1,IFERROR(NUMBERVALUE(CriteriTecnici!$K285,".",","),IFERROR(NUMBERVALUE(CriteriTecnici!$K285,",","."),0))),4)&amp;""),",",".")&amp;", "&amp;CHAR(34)&amp;"denominator"&amp;CHAR(34)&amp;": "&amp;SUBSTITUTE(TRIM(ROUND(IFERROR(CriteriTecnici!$L285*1,IFERROR(NUMBERVALUE(CriteriTecnici!$L285,".",","),IFERROR(NUMBERVALUE(CriteriTecnici!$L285,",","."),0))),4)&amp;""),",",".")&amp;", "&amp;CHAR(34)&amp;"flag"&amp;CHAR(34)&amp;": "&amp;SUBSTITUTE(TRIM(ROUND(IFERROR(CriteriTecnici!$M285*1,IFERROR(NUMBERVALUE(CriteriTecnici!$M285,".",","),IFERROR(NUMBERVALUE(CriteriTecnici!$M285,",","."),0))),4)&amp;""),",",".")&amp;", "&amp;CHAR(34)&amp;"rawScore"&amp;CHAR(34)&amp;": "&amp;SUBSTITUTE(TRIM(ROUND(IFERROR(CriteriTecnici!$O285*1,IFERROR(NUMBERVALUE(CriteriTecnici!$O285,".",","),IFERROR(NUMBERVALUE(CriteriTecnici!$O285,",","."),0))),4)&amp;""),",",".")&amp;CHAR(125)&amp;IF(TRUE,",",""))</f>
        <v/>
      </c>
    </row>
    <row r="387">
      <c r="A387" s="82">
        <f>IF(CriteriTecnici!$A286="","","    "&amp;CHAR(123)&amp;CHAR(34)&amp;"bidderId"&amp;CHAR(34)&amp;": "&amp;CHAR(34)&amp;SUBSTITUTE(CriteriTecnici!$A286,CHAR(34),"'")&amp;CHAR(34)&amp;", "&amp;CHAR(34)&amp;"lotId"&amp;CHAR(34)&amp;": "&amp;CHAR(34)&amp;SUBSTITUTE(CriteriTecnici!$C286,CHAR(34),"'")&amp;CHAR(34)&amp;", "&amp;CHAR(34)&amp;"criterionId"&amp;CHAR(34)&amp;": "&amp;CHAR(34)&amp;SUBSTITUTE(CriteriTecnici!$D286,CHAR(34),"'")&amp;CHAR(34)&amp;", "&amp;CHAR(34)&amp;"kind"&amp;CHAR(34)&amp;": "&amp;CHAR(34)&amp;SUBSTITUTE(CriteriTecnici!$F286,CHAR(34),"'")&amp;CHAR(34)&amp;", "&amp;CHAR(34)&amp;"value"&amp;CHAR(34)&amp;": "&amp;SUBSTITUTE(TRIM(ROUND(IFERROR(CriteriTecnici!$N286*1,IFERROR(NUMBERVALUE(CriteriTecnici!$N286,".",","),IFERROR(NUMBERVALUE(CriteriTecnici!$N286,",","."),0))),4)&amp;""),",",".")&amp;", "&amp;CHAR(34)&amp;"numerator"&amp;CHAR(34)&amp;": "&amp;SUBSTITUTE(TRIM(ROUND(IFERROR(CriteriTecnici!$K286*1,IFERROR(NUMBERVALUE(CriteriTecnici!$K286,".",","),IFERROR(NUMBERVALUE(CriteriTecnici!$K286,",","."),0))),4)&amp;""),",",".")&amp;", "&amp;CHAR(34)&amp;"denominator"&amp;CHAR(34)&amp;": "&amp;SUBSTITUTE(TRIM(ROUND(IFERROR(CriteriTecnici!$L286*1,IFERROR(NUMBERVALUE(CriteriTecnici!$L286,".",","),IFERROR(NUMBERVALUE(CriteriTecnici!$L286,",","."),0))),4)&amp;""),",",".")&amp;", "&amp;CHAR(34)&amp;"flag"&amp;CHAR(34)&amp;": "&amp;SUBSTITUTE(TRIM(ROUND(IFERROR(CriteriTecnici!$M286*1,IFERROR(NUMBERVALUE(CriteriTecnici!$M286,".",","),IFERROR(NUMBERVALUE(CriteriTecnici!$M286,",","."),0))),4)&amp;""),",",".")&amp;", "&amp;CHAR(34)&amp;"rawScore"&amp;CHAR(34)&amp;": "&amp;SUBSTITUTE(TRIM(ROUND(IFERROR(CriteriTecnici!$O286*1,IFERROR(NUMBERVALUE(CriteriTecnici!$O286,".",","),IFERROR(NUMBERVALUE(CriteriTecnici!$O286,",","."),0))),4)&amp;""),",",".")&amp;CHAR(125)&amp;IF(TRUE,",",""))</f>
        <v/>
      </c>
    </row>
    <row r="388">
      <c r="A388" s="82">
        <f>IF(CriteriTecnici!$A287="","","    "&amp;CHAR(123)&amp;CHAR(34)&amp;"bidderId"&amp;CHAR(34)&amp;": "&amp;CHAR(34)&amp;SUBSTITUTE(CriteriTecnici!$A287,CHAR(34),"'")&amp;CHAR(34)&amp;", "&amp;CHAR(34)&amp;"lotId"&amp;CHAR(34)&amp;": "&amp;CHAR(34)&amp;SUBSTITUTE(CriteriTecnici!$C287,CHAR(34),"'")&amp;CHAR(34)&amp;", "&amp;CHAR(34)&amp;"criterionId"&amp;CHAR(34)&amp;": "&amp;CHAR(34)&amp;SUBSTITUTE(CriteriTecnici!$D287,CHAR(34),"'")&amp;CHAR(34)&amp;", "&amp;CHAR(34)&amp;"kind"&amp;CHAR(34)&amp;": "&amp;CHAR(34)&amp;SUBSTITUTE(CriteriTecnici!$F287,CHAR(34),"'")&amp;CHAR(34)&amp;", "&amp;CHAR(34)&amp;"value"&amp;CHAR(34)&amp;": "&amp;SUBSTITUTE(TRIM(ROUND(IFERROR(CriteriTecnici!$N287*1,IFERROR(NUMBERVALUE(CriteriTecnici!$N287,".",","),IFERROR(NUMBERVALUE(CriteriTecnici!$N287,",","."),0))),4)&amp;""),",",".")&amp;", "&amp;CHAR(34)&amp;"numerator"&amp;CHAR(34)&amp;": "&amp;SUBSTITUTE(TRIM(ROUND(IFERROR(CriteriTecnici!$K287*1,IFERROR(NUMBERVALUE(CriteriTecnici!$K287,".",","),IFERROR(NUMBERVALUE(CriteriTecnici!$K287,",","."),0))),4)&amp;""),",",".")&amp;", "&amp;CHAR(34)&amp;"denominator"&amp;CHAR(34)&amp;": "&amp;SUBSTITUTE(TRIM(ROUND(IFERROR(CriteriTecnici!$L287*1,IFERROR(NUMBERVALUE(CriteriTecnici!$L287,".",","),IFERROR(NUMBERVALUE(CriteriTecnici!$L287,",","."),0))),4)&amp;""),",",".")&amp;", "&amp;CHAR(34)&amp;"flag"&amp;CHAR(34)&amp;": "&amp;SUBSTITUTE(TRIM(ROUND(IFERROR(CriteriTecnici!$M287*1,IFERROR(NUMBERVALUE(CriteriTecnici!$M287,".",","),IFERROR(NUMBERVALUE(CriteriTecnici!$M287,",","."),0))),4)&amp;""),",",".")&amp;", "&amp;CHAR(34)&amp;"rawScore"&amp;CHAR(34)&amp;": "&amp;SUBSTITUTE(TRIM(ROUND(IFERROR(CriteriTecnici!$O287*1,IFERROR(NUMBERVALUE(CriteriTecnici!$O287,".",","),IFERROR(NUMBERVALUE(CriteriTecnici!$O287,",","."),0))),4)&amp;""),",",".")&amp;CHAR(125)&amp;IF(TRUE,",",""))</f>
        <v/>
      </c>
    </row>
    <row r="389">
      <c r="A389" s="82">
        <f>IF(CriteriTecnici!$A288="","","    "&amp;CHAR(123)&amp;CHAR(34)&amp;"bidderId"&amp;CHAR(34)&amp;": "&amp;CHAR(34)&amp;SUBSTITUTE(CriteriTecnici!$A288,CHAR(34),"'")&amp;CHAR(34)&amp;", "&amp;CHAR(34)&amp;"lotId"&amp;CHAR(34)&amp;": "&amp;CHAR(34)&amp;SUBSTITUTE(CriteriTecnici!$C288,CHAR(34),"'")&amp;CHAR(34)&amp;", "&amp;CHAR(34)&amp;"criterionId"&amp;CHAR(34)&amp;": "&amp;CHAR(34)&amp;SUBSTITUTE(CriteriTecnici!$D288,CHAR(34),"'")&amp;CHAR(34)&amp;", "&amp;CHAR(34)&amp;"kind"&amp;CHAR(34)&amp;": "&amp;CHAR(34)&amp;SUBSTITUTE(CriteriTecnici!$F288,CHAR(34),"'")&amp;CHAR(34)&amp;", "&amp;CHAR(34)&amp;"value"&amp;CHAR(34)&amp;": "&amp;SUBSTITUTE(TRIM(ROUND(IFERROR(CriteriTecnici!$N288*1,IFERROR(NUMBERVALUE(CriteriTecnici!$N288,".",","),IFERROR(NUMBERVALUE(CriteriTecnici!$N288,",","."),0))),4)&amp;""),",",".")&amp;", "&amp;CHAR(34)&amp;"numerator"&amp;CHAR(34)&amp;": "&amp;SUBSTITUTE(TRIM(ROUND(IFERROR(CriteriTecnici!$K288*1,IFERROR(NUMBERVALUE(CriteriTecnici!$K288,".",","),IFERROR(NUMBERVALUE(CriteriTecnici!$K288,",","."),0))),4)&amp;""),",",".")&amp;", "&amp;CHAR(34)&amp;"denominator"&amp;CHAR(34)&amp;": "&amp;SUBSTITUTE(TRIM(ROUND(IFERROR(CriteriTecnici!$L288*1,IFERROR(NUMBERVALUE(CriteriTecnici!$L288,".",","),IFERROR(NUMBERVALUE(CriteriTecnici!$L288,",","."),0))),4)&amp;""),",",".")&amp;", "&amp;CHAR(34)&amp;"flag"&amp;CHAR(34)&amp;": "&amp;SUBSTITUTE(TRIM(ROUND(IFERROR(CriteriTecnici!$M288*1,IFERROR(NUMBERVALUE(CriteriTecnici!$M288,".",","),IFERROR(NUMBERVALUE(CriteriTecnici!$M288,",","."),0))),4)&amp;""),",",".")&amp;", "&amp;CHAR(34)&amp;"rawScore"&amp;CHAR(34)&amp;": "&amp;SUBSTITUTE(TRIM(ROUND(IFERROR(CriteriTecnici!$O288*1,IFERROR(NUMBERVALUE(CriteriTecnici!$O288,".",","),IFERROR(NUMBERVALUE(CriteriTecnici!$O288,",","."),0))),4)&amp;""),",",".")&amp;CHAR(125)&amp;IF(TRUE,",",""))</f>
        <v/>
      </c>
    </row>
    <row r="390">
      <c r="A390" s="82">
        <f>IF(CriteriTecnici!$A289="","","    "&amp;CHAR(123)&amp;CHAR(34)&amp;"bidderId"&amp;CHAR(34)&amp;": "&amp;CHAR(34)&amp;SUBSTITUTE(CriteriTecnici!$A289,CHAR(34),"'")&amp;CHAR(34)&amp;", "&amp;CHAR(34)&amp;"lotId"&amp;CHAR(34)&amp;": "&amp;CHAR(34)&amp;SUBSTITUTE(CriteriTecnici!$C289,CHAR(34),"'")&amp;CHAR(34)&amp;", "&amp;CHAR(34)&amp;"criterionId"&amp;CHAR(34)&amp;": "&amp;CHAR(34)&amp;SUBSTITUTE(CriteriTecnici!$D289,CHAR(34),"'")&amp;CHAR(34)&amp;", "&amp;CHAR(34)&amp;"kind"&amp;CHAR(34)&amp;": "&amp;CHAR(34)&amp;SUBSTITUTE(CriteriTecnici!$F289,CHAR(34),"'")&amp;CHAR(34)&amp;", "&amp;CHAR(34)&amp;"value"&amp;CHAR(34)&amp;": "&amp;SUBSTITUTE(TRIM(ROUND(IFERROR(CriteriTecnici!$N289*1,IFERROR(NUMBERVALUE(CriteriTecnici!$N289,".",","),IFERROR(NUMBERVALUE(CriteriTecnici!$N289,",","."),0))),4)&amp;""),",",".")&amp;", "&amp;CHAR(34)&amp;"numerator"&amp;CHAR(34)&amp;": "&amp;SUBSTITUTE(TRIM(ROUND(IFERROR(CriteriTecnici!$K289*1,IFERROR(NUMBERVALUE(CriteriTecnici!$K289,".",","),IFERROR(NUMBERVALUE(CriteriTecnici!$K289,",","."),0))),4)&amp;""),",",".")&amp;", "&amp;CHAR(34)&amp;"denominator"&amp;CHAR(34)&amp;": "&amp;SUBSTITUTE(TRIM(ROUND(IFERROR(CriteriTecnici!$L289*1,IFERROR(NUMBERVALUE(CriteriTecnici!$L289,".",","),IFERROR(NUMBERVALUE(CriteriTecnici!$L289,",","."),0))),4)&amp;""),",",".")&amp;", "&amp;CHAR(34)&amp;"flag"&amp;CHAR(34)&amp;": "&amp;SUBSTITUTE(TRIM(ROUND(IFERROR(CriteriTecnici!$M289*1,IFERROR(NUMBERVALUE(CriteriTecnici!$M289,".",","),IFERROR(NUMBERVALUE(CriteriTecnici!$M289,",","."),0))),4)&amp;""),",",".")&amp;", "&amp;CHAR(34)&amp;"rawScore"&amp;CHAR(34)&amp;": "&amp;SUBSTITUTE(TRIM(ROUND(IFERROR(CriteriTecnici!$O289*1,IFERROR(NUMBERVALUE(CriteriTecnici!$O289,".",","),IFERROR(NUMBERVALUE(CriteriTecnici!$O289,",","."),0))),4)&amp;""),",",".")&amp;CHAR(125)&amp;IF(TRUE,",",""))</f>
        <v/>
      </c>
    </row>
    <row r="391">
      <c r="A391" s="82">
        <f>IF(CriteriTecnici!$A290="","","    "&amp;CHAR(123)&amp;CHAR(34)&amp;"bidderId"&amp;CHAR(34)&amp;": "&amp;CHAR(34)&amp;SUBSTITUTE(CriteriTecnici!$A290,CHAR(34),"'")&amp;CHAR(34)&amp;", "&amp;CHAR(34)&amp;"lotId"&amp;CHAR(34)&amp;": "&amp;CHAR(34)&amp;SUBSTITUTE(CriteriTecnici!$C290,CHAR(34),"'")&amp;CHAR(34)&amp;", "&amp;CHAR(34)&amp;"criterionId"&amp;CHAR(34)&amp;": "&amp;CHAR(34)&amp;SUBSTITUTE(CriteriTecnici!$D290,CHAR(34),"'")&amp;CHAR(34)&amp;", "&amp;CHAR(34)&amp;"kind"&amp;CHAR(34)&amp;": "&amp;CHAR(34)&amp;SUBSTITUTE(CriteriTecnici!$F290,CHAR(34),"'")&amp;CHAR(34)&amp;", "&amp;CHAR(34)&amp;"value"&amp;CHAR(34)&amp;": "&amp;SUBSTITUTE(TRIM(ROUND(IFERROR(CriteriTecnici!$N290*1,IFERROR(NUMBERVALUE(CriteriTecnici!$N290,".",","),IFERROR(NUMBERVALUE(CriteriTecnici!$N290,",","."),0))),4)&amp;""),",",".")&amp;", "&amp;CHAR(34)&amp;"numerator"&amp;CHAR(34)&amp;": "&amp;SUBSTITUTE(TRIM(ROUND(IFERROR(CriteriTecnici!$K290*1,IFERROR(NUMBERVALUE(CriteriTecnici!$K290,".",","),IFERROR(NUMBERVALUE(CriteriTecnici!$K290,",","."),0))),4)&amp;""),",",".")&amp;", "&amp;CHAR(34)&amp;"denominator"&amp;CHAR(34)&amp;": "&amp;SUBSTITUTE(TRIM(ROUND(IFERROR(CriteriTecnici!$L290*1,IFERROR(NUMBERVALUE(CriteriTecnici!$L290,".",","),IFERROR(NUMBERVALUE(CriteriTecnici!$L290,",","."),0))),4)&amp;""),",",".")&amp;", "&amp;CHAR(34)&amp;"flag"&amp;CHAR(34)&amp;": "&amp;SUBSTITUTE(TRIM(ROUND(IFERROR(CriteriTecnici!$M290*1,IFERROR(NUMBERVALUE(CriteriTecnici!$M290,".",","),IFERROR(NUMBERVALUE(CriteriTecnici!$M290,",","."),0))),4)&amp;""),",",".")&amp;", "&amp;CHAR(34)&amp;"rawScore"&amp;CHAR(34)&amp;": "&amp;SUBSTITUTE(TRIM(ROUND(IFERROR(CriteriTecnici!$O290*1,IFERROR(NUMBERVALUE(CriteriTecnici!$O290,".",","),IFERROR(NUMBERVALUE(CriteriTecnici!$O290,",","."),0))),4)&amp;""),",",".")&amp;CHAR(125)&amp;IF(TRUE,",",""))</f>
        <v/>
      </c>
    </row>
    <row r="392">
      <c r="A392" s="82">
        <f>IF(CriteriTecnici!$A291="","","    "&amp;CHAR(123)&amp;CHAR(34)&amp;"bidderId"&amp;CHAR(34)&amp;": "&amp;CHAR(34)&amp;SUBSTITUTE(CriteriTecnici!$A291,CHAR(34),"'")&amp;CHAR(34)&amp;", "&amp;CHAR(34)&amp;"lotId"&amp;CHAR(34)&amp;": "&amp;CHAR(34)&amp;SUBSTITUTE(CriteriTecnici!$C291,CHAR(34),"'")&amp;CHAR(34)&amp;", "&amp;CHAR(34)&amp;"criterionId"&amp;CHAR(34)&amp;": "&amp;CHAR(34)&amp;SUBSTITUTE(CriteriTecnici!$D291,CHAR(34),"'")&amp;CHAR(34)&amp;", "&amp;CHAR(34)&amp;"kind"&amp;CHAR(34)&amp;": "&amp;CHAR(34)&amp;SUBSTITUTE(CriteriTecnici!$F291,CHAR(34),"'")&amp;CHAR(34)&amp;", "&amp;CHAR(34)&amp;"value"&amp;CHAR(34)&amp;": "&amp;SUBSTITUTE(TRIM(ROUND(IFERROR(CriteriTecnici!$N291*1,IFERROR(NUMBERVALUE(CriteriTecnici!$N291,".",","),IFERROR(NUMBERVALUE(CriteriTecnici!$N291,",","."),0))),4)&amp;""),",",".")&amp;", "&amp;CHAR(34)&amp;"numerator"&amp;CHAR(34)&amp;": "&amp;SUBSTITUTE(TRIM(ROUND(IFERROR(CriteriTecnici!$K291*1,IFERROR(NUMBERVALUE(CriteriTecnici!$K291,".",","),IFERROR(NUMBERVALUE(CriteriTecnici!$K291,",","."),0))),4)&amp;""),",",".")&amp;", "&amp;CHAR(34)&amp;"denominator"&amp;CHAR(34)&amp;": "&amp;SUBSTITUTE(TRIM(ROUND(IFERROR(CriteriTecnici!$L291*1,IFERROR(NUMBERVALUE(CriteriTecnici!$L291,".",","),IFERROR(NUMBERVALUE(CriteriTecnici!$L291,",","."),0))),4)&amp;""),",",".")&amp;", "&amp;CHAR(34)&amp;"flag"&amp;CHAR(34)&amp;": "&amp;SUBSTITUTE(TRIM(ROUND(IFERROR(CriteriTecnici!$M291*1,IFERROR(NUMBERVALUE(CriteriTecnici!$M291,".",","),IFERROR(NUMBERVALUE(CriteriTecnici!$M291,",","."),0))),4)&amp;""),",",".")&amp;", "&amp;CHAR(34)&amp;"rawScore"&amp;CHAR(34)&amp;": "&amp;SUBSTITUTE(TRIM(ROUND(IFERROR(CriteriTecnici!$O291*1,IFERROR(NUMBERVALUE(CriteriTecnici!$O291,".",","),IFERROR(NUMBERVALUE(CriteriTecnici!$O291,",","."),0))),4)&amp;""),",",".")&amp;CHAR(125)&amp;IF(TRUE,",",""))</f>
        <v/>
      </c>
    </row>
    <row r="393">
      <c r="A393" s="82">
        <f>IF(CriteriTecnici!$A292="","","    "&amp;CHAR(123)&amp;CHAR(34)&amp;"bidderId"&amp;CHAR(34)&amp;": "&amp;CHAR(34)&amp;SUBSTITUTE(CriteriTecnici!$A292,CHAR(34),"'")&amp;CHAR(34)&amp;", "&amp;CHAR(34)&amp;"lotId"&amp;CHAR(34)&amp;": "&amp;CHAR(34)&amp;SUBSTITUTE(CriteriTecnici!$C292,CHAR(34),"'")&amp;CHAR(34)&amp;", "&amp;CHAR(34)&amp;"criterionId"&amp;CHAR(34)&amp;": "&amp;CHAR(34)&amp;SUBSTITUTE(CriteriTecnici!$D292,CHAR(34),"'")&amp;CHAR(34)&amp;", "&amp;CHAR(34)&amp;"kind"&amp;CHAR(34)&amp;": "&amp;CHAR(34)&amp;SUBSTITUTE(CriteriTecnici!$F292,CHAR(34),"'")&amp;CHAR(34)&amp;", "&amp;CHAR(34)&amp;"value"&amp;CHAR(34)&amp;": "&amp;SUBSTITUTE(TRIM(ROUND(IFERROR(CriteriTecnici!$N292*1,IFERROR(NUMBERVALUE(CriteriTecnici!$N292,".",","),IFERROR(NUMBERVALUE(CriteriTecnici!$N292,",","."),0))),4)&amp;""),",",".")&amp;", "&amp;CHAR(34)&amp;"numerator"&amp;CHAR(34)&amp;": "&amp;SUBSTITUTE(TRIM(ROUND(IFERROR(CriteriTecnici!$K292*1,IFERROR(NUMBERVALUE(CriteriTecnici!$K292,".",","),IFERROR(NUMBERVALUE(CriteriTecnici!$K292,",","."),0))),4)&amp;""),",",".")&amp;", "&amp;CHAR(34)&amp;"denominator"&amp;CHAR(34)&amp;": "&amp;SUBSTITUTE(TRIM(ROUND(IFERROR(CriteriTecnici!$L292*1,IFERROR(NUMBERVALUE(CriteriTecnici!$L292,".",","),IFERROR(NUMBERVALUE(CriteriTecnici!$L292,",","."),0))),4)&amp;""),",",".")&amp;", "&amp;CHAR(34)&amp;"flag"&amp;CHAR(34)&amp;": "&amp;SUBSTITUTE(TRIM(ROUND(IFERROR(CriteriTecnici!$M292*1,IFERROR(NUMBERVALUE(CriteriTecnici!$M292,".",","),IFERROR(NUMBERVALUE(CriteriTecnici!$M292,",","."),0))),4)&amp;""),",",".")&amp;", "&amp;CHAR(34)&amp;"rawScore"&amp;CHAR(34)&amp;": "&amp;SUBSTITUTE(TRIM(ROUND(IFERROR(CriteriTecnici!$O292*1,IFERROR(NUMBERVALUE(CriteriTecnici!$O292,".",","),IFERROR(NUMBERVALUE(CriteriTecnici!$O292,",","."),0))),4)&amp;""),",",".")&amp;CHAR(125)&amp;IF(TRUE,",",""))</f>
        <v/>
      </c>
    </row>
    <row r="394">
      <c r="A394" s="82">
        <f>IF(CriteriTecnici!$A293="","","    "&amp;CHAR(123)&amp;CHAR(34)&amp;"bidderId"&amp;CHAR(34)&amp;": "&amp;CHAR(34)&amp;SUBSTITUTE(CriteriTecnici!$A293,CHAR(34),"'")&amp;CHAR(34)&amp;", "&amp;CHAR(34)&amp;"lotId"&amp;CHAR(34)&amp;": "&amp;CHAR(34)&amp;SUBSTITUTE(CriteriTecnici!$C293,CHAR(34),"'")&amp;CHAR(34)&amp;", "&amp;CHAR(34)&amp;"criterionId"&amp;CHAR(34)&amp;": "&amp;CHAR(34)&amp;SUBSTITUTE(CriteriTecnici!$D293,CHAR(34),"'")&amp;CHAR(34)&amp;", "&amp;CHAR(34)&amp;"kind"&amp;CHAR(34)&amp;": "&amp;CHAR(34)&amp;SUBSTITUTE(CriteriTecnici!$F293,CHAR(34),"'")&amp;CHAR(34)&amp;", "&amp;CHAR(34)&amp;"value"&amp;CHAR(34)&amp;": "&amp;SUBSTITUTE(TRIM(ROUND(IFERROR(CriteriTecnici!$N293*1,IFERROR(NUMBERVALUE(CriteriTecnici!$N293,".",","),IFERROR(NUMBERVALUE(CriteriTecnici!$N293,",","."),0))),4)&amp;""),",",".")&amp;", "&amp;CHAR(34)&amp;"numerator"&amp;CHAR(34)&amp;": "&amp;SUBSTITUTE(TRIM(ROUND(IFERROR(CriteriTecnici!$K293*1,IFERROR(NUMBERVALUE(CriteriTecnici!$K293,".",","),IFERROR(NUMBERVALUE(CriteriTecnici!$K293,",","."),0))),4)&amp;""),",",".")&amp;", "&amp;CHAR(34)&amp;"denominator"&amp;CHAR(34)&amp;": "&amp;SUBSTITUTE(TRIM(ROUND(IFERROR(CriteriTecnici!$L293*1,IFERROR(NUMBERVALUE(CriteriTecnici!$L293,".",","),IFERROR(NUMBERVALUE(CriteriTecnici!$L293,",","."),0))),4)&amp;""),",",".")&amp;", "&amp;CHAR(34)&amp;"flag"&amp;CHAR(34)&amp;": "&amp;SUBSTITUTE(TRIM(ROUND(IFERROR(CriteriTecnici!$M293*1,IFERROR(NUMBERVALUE(CriteriTecnici!$M293,".",","),IFERROR(NUMBERVALUE(CriteriTecnici!$M293,",","."),0))),4)&amp;""),",",".")&amp;", "&amp;CHAR(34)&amp;"rawScore"&amp;CHAR(34)&amp;": "&amp;SUBSTITUTE(TRIM(ROUND(IFERROR(CriteriTecnici!$O293*1,IFERROR(NUMBERVALUE(CriteriTecnici!$O293,".",","),IFERROR(NUMBERVALUE(CriteriTecnici!$O293,",","."),0))),4)&amp;""),",",".")&amp;CHAR(125)&amp;IF(TRUE,",",""))</f>
        <v/>
      </c>
    </row>
    <row r="395">
      <c r="A395" s="82">
        <f>IF(CriteriTecnici!$A294="","","    "&amp;CHAR(123)&amp;CHAR(34)&amp;"bidderId"&amp;CHAR(34)&amp;": "&amp;CHAR(34)&amp;SUBSTITUTE(CriteriTecnici!$A294,CHAR(34),"'")&amp;CHAR(34)&amp;", "&amp;CHAR(34)&amp;"lotId"&amp;CHAR(34)&amp;": "&amp;CHAR(34)&amp;SUBSTITUTE(CriteriTecnici!$C294,CHAR(34),"'")&amp;CHAR(34)&amp;", "&amp;CHAR(34)&amp;"criterionId"&amp;CHAR(34)&amp;": "&amp;CHAR(34)&amp;SUBSTITUTE(CriteriTecnici!$D294,CHAR(34),"'")&amp;CHAR(34)&amp;", "&amp;CHAR(34)&amp;"kind"&amp;CHAR(34)&amp;": "&amp;CHAR(34)&amp;SUBSTITUTE(CriteriTecnici!$F294,CHAR(34),"'")&amp;CHAR(34)&amp;", "&amp;CHAR(34)&amp;"value"&amp;CHAR(34)&amp;": "&amp;SUBSTITUTE(TRIM(ROUND(IFERROR(CriteriTecnici!$N294*1,IFERROR(NUMBERVALUE(CriteriTecnici!$N294,".",","),IFERROR(NUMBERVALUE(CriteriTecnici!$N294,",","."),0))),4)&amp;""),",",".")&amp;", "&amp;CHAR(34)&amp;"numerator"&amp;CHAR(34)&amp;": "&amp;SUBSTITUTE(TRIM(ROUND(IFERROR(CriteriTecnici!$K294*1,IFERROR(NUMBERVALUE(CriteriTecnici!$K294,".",","),IFERROR(NUMBERVALUE(CriteriTecnici!$K294,",","."),0))),4)&amp;""),",",".")&amp;", "&amp;CHAR(34)&amp;"denominator"&amp;CHAR(34)&amp;": "&amp;SUBSTITUTE(TRIM(ROUND(IFERROR(CriteriTecnici!$L294*1,IFERROR(NUMBERVALUE(CriteriTecnici!$L294,".",","),IFERROR(NUMBERVALUE(CriteriTecnici!$L294,",","."),0))),4)&amp;""),",",".")&amp;", "&amp;CHAR(34)&amp;"flag"&amp;CHAR(34)&amp;": "&amp;SUBSTITUTE(TRIM(ROUND(IFERROR(CriteriTecnici!$M294*1,IFERROR(NUMBERVALUE(CriteriTecnici!$M294,".",","),IFERROR(NUMBERVALUE(CriteriTecnici!$M294,",","."),0))),4)&amp;""),",",".")&amp;", "&amp;CHAR(34)&amp;"rawScore"&amp;CHAR(34)&amp;": "&amp;SUBSTITUTE(TRIM(ROUND(IFERROR(CriteriTecnici!$O294*1,IFERROR(NUMBERVALUE(CriteriTecnici!$O294,".",","),IFERROR(NUMBERVALUE(CriteriTecnici!$O294,",","."),0))),4)&amp;""),",",".")&amp;CHAR(125)&amp;IF(TRUE,",",""))</f>
        <v/>
      </c>
    </row>
    <row r="396">
      <c r="A396" s="82">
        <f>IF(CriteriTecnici!$A295="","","    "&amp;CHAR(123)&amp;CHAR(34)&amp;"bidderId"&amp;CHAR(34)&amp;": "&amp;CHAR(34)&amp;SUBSTITUTE(CriteriTecnici!$A295,CHAR(34),"'")&amp;CHAR(34)&amp;", "&amp;CHAR(34)&amp;"lotId"&amp;CHAR(34)&amp;": "&amp;CHAR(34)&amp;SUBSTITUTE(CriteriTecnici!$C295,CHAR(34),"'")&amp;CHAR(34)&amp;", "&amp;CHAR(34)&amp;"criterionId"&amp;CHAR(34)&amp;": "&amp;CHAR(34)&amp;SUBSTITUTE(CriteriTecnici!$D295,CHAR(34),"'")&amp;CHAR(34)&amp;", "&amp;CHAR(34)&amp;"kind"&amp;CHAR(34)&amp;": "&amp;CHAR(34)&amp;SUBSTITUTE(CriteriTecnici!$F295,CHAR(34),"'")&amp;CHAR(34)&amp;", "&amp;CHAR(34)&amp;"value"&amp;CHAR(34)&amp;": "&amp;SUBSTITUTE(TRIM(ROUND(IFERROR(CriteriTecnici!$N295*1,IFERROR(NUMBERVALUE(CriteriTecnici!$N295,".",","),IFERROR(NUMBERVALUE(CriteriTecnici!$N295,",","."),0))),4)&amp;""),",",".")&amp;", "&amp;CHAR(34)&amp;"numerator"&amp;CHAR(34)&amp;": "&amp;SUBSTITUTE(TRIM(ROUND(IFERROR(CriteriTecnici!$K295*1,IFERROR(NUMBERVALUE(CriteriTecnici!$K295,".",","),IFERROR(NUMBERVALUE(CriteriTecnici!$K295,",","."),0))),4)&amp;""),",",".")&amp;", "&amp;CHAR(34)&amp;"denominator"&amp;CHAR(34)&amp;": "&amp;SUBSTITUTE(TRIM(ROUND(IFERROR(CriteriTecnici!$L295*1,IFERROR(NUMBERVALUE(CriteriTecnici!$L295,".",","),IFERROR(NUMBERVALUE(CriteriTecnici!$L295,",","."),0))),4)&amp;""),",",".")&amp;", "&amp;CHAR(34)&amp;"flag"&amp;CHAR(34)&amp;": "&amp;SUBSTITUTE(TRIM(ROUND(IFERROR(CriteriTecnici!$M295*1,IFERROR(NUMBERVALUE(CriteriTecnici!$M295,".",","),IFERROR(NUMBERVALUE(CriteriTecnici!$M295,",","."),0))),4)&amp;""),",",".")&amp;", "&amp;CHAR(34)&amp;"rawScore"&amp;CHAR(34)&amp;": "&amp;SUBSTITUTE(TRIM(ROUND(IFERROR(CriteriTecnici!$O295*1,IFERROR(NUMBERVALUE(CriteriTecnici!$O295,".",","),IFERROR(NUMBERVALUE(CriteriTecnici!$O295,",","."),0))),4)&amp;""),",",".")&amp;CHAR(125)&amp;IF(TRUE,",",""))</f>
        <v/>
      </c>
    </row>
    <row r="397">
      <c r="A397" s="82">
        <f>IF(CriteriTecnici!$A296="","","    "&amp;CHAR(123)&amp;CHAR(34)&amp;"bidderId"&amp;CHAR(34)&amp;": "&amp;CHAR(34)&amp;SUBSTITUTE(CriteriTecnici!$A296,CHAR(34),"'")&amp;CHAR(34)&amp;", "&amp;CHAR(34)&amp;"lotId"&amp;CHAR(34)&amp;": "&amp;CHAR(34)&amp;SUBSTITUTE(CriteriTecnici!$C296,CHAR(34),"'")&amp;CHAR(34)&amp;", "&amp;CHAR(34)&amp;"criterionId"&amp;CHAR(34)&amp;": "&amp;CHAR(34)&amp;SUBSTITUTE(CriteriTecnici!$D296,CHAR(34),"'")&amp;CHAR(34)&amp;", "&amp;CHAR(34)&amp;"kind"&amp;CHAR(34)&amp;": "&amp;CHAR(34)&amp;SUBSTITUTE(CriteriTecnici!$F296,CHAR(34),"'")&amp;CHAR(34)&amp;", "&amp;CHAR(34)&amp;"value"&amp;CHAR(34)&amp;": "&amp;SUBSTITUTE(TRIM(ROUND(IFERROR(CriteriTecnici!$N296*1,IFERROR(NUMBERVALUE(CriteriTecnici!$N296,".",","),IFERROR(NUMBERVALUE(CriteriTecnici!$N296,",","."),0))),4)&amp;""),",",".")&amp;", "&amp;CHAR(34)&amp;"numerator"&amp;CHAR(34)&amp;": "&amp;SUBSTITUTE(TRIM(ROUND(IFERROR(CriteriTecnici!$K296*1,IFERROR(NUMBERVALUE(CriteriTecnici!$K296,".",","),IFERROR(NUMBERVALUE(CriteriTecnici!$K296,",","."),0))),4)&amp;""),",",".")&amp;", "&amp;CHAR(34)&amp;"denominator"&amp;CHAR(34)&amp;": "&amp;SUBSTITUTE(TRIM(ROUND(IFERROR(CriteriTecnici!$L296*1,IFERROR(NUMBERVALUE(CriteriTecnici!$L296,".",","),IFERROR(NUMBERVALUE(CriteriTecnici!$L296,",","."),0))),4)&amp;""),",",".")&amp;", "&amp;CHAR(34)&amp;"flag"&amp;CHAR(34)&amp;": "&amp;SUBSTITUTE(TRIM(ROUND(IFERROR(CriteriTecnici!$M296*1,IFERROR(NUMBERVALUE(CriteriTecnici!$M296,".",","),IFERROR(NUMBERVALUE(CriteriTecnici!$M296,",","."),0))),4)&amp;""),",",".")&amp;", "&amp;CHAR(34)&amp;"rawScore"&amp;CHAR(34)&amp;": "&amp;SUBSTITUTE(TRIM(ROUND(IFERROR(CriteriTecnici!$O296*1,IFERROR(NUMBERVALUE(CriteriTecnici!$O296,".",","),IFERROR(NUMBERVALUE(CriteriTecnici!$O296,",","."),0))),4)&amp;""),",",".")&amp;CHAR(125)&amp;IF(TRUE,",",""))</f>
        <v/>
      </c>
    </row>
    <row r="398">
      <c r="A398" s="82">
        <f>IF(CriteriTecnici!$A297="","","    "&amp;CHAR(123)&amp;CHAR(34)&amp;"bidderId"&amp;CHAR(34)&amp;": "&amp;CHAR(34)&amp;SUBSTITUTE(CriteriTecnici!$A297,CHAR(34),"'")&amp;CHAR(34)&amp;", "&amp;CHAR(34)&amp;"lotId"&amp;CHAR(34)&amp;": "&amp;CHAR(34)&amp;SUBSTITUTE(CriteriTecnici!$C297,CHAR(34),"'")&amp;CHAR(34)&amp;", "&amp;CHAR(34)&amp;"criterionId"&amp;CHAR(34)&amp;": "&amp;CHAR(34)&amp;SUBSTITUTE(CriteriTecnici!$D297,CHAR(34),"'")&amp;CHAR(34)&amp;", "&amp;CHAR(34)&amp;"kind"&amp;CHAR(34)&amp;": "&amp;CHAR(34)&amp;SUBSTITUTE(CriteriTecnici!$F297,CHAR(34),"'")&amp;CHAR(34)&amp;", "&amp;CHAR(34)&amp;"value"&amp;CHAR(34)&amp;": "&amp;SUBSTITUTE(TRIM(ROUND(IFERROR(CriteriTecnici!$N297*1,IFERROR(NUMBERVALUE(CriteriTecnici!$N297,".",","),IFERROR(NUMBERVALUE(CriteriTecnici!$N297,",","."),0))),4)&amp;""),",",".")&amp;", "&amp;CHAR(34)&amp;"numerator"&amp;CHAR(34)&amp;": "&amp;SUBSTITUTE(TRIM(ROUND(IFERROR(CriteriTecnici!$K297*1,IFERROR(NUMBERVALUE(CriteriTecnici!$K297,".",","),IFERROR(NUMBERVALUE(CriteriTecnici!$K297,",","."),0))),4)&amp;""),",",".")&amp;", "&amp;CHAR(34)&amp;"denominator"&amp;CHAR(34)&amp;": "&amp;SUBSTITUTE(TRIM(ROUND(IFERROR(CriteriTecnici!$L297*1,IFERROR(NUMBERVALUE(CriteriTecnici!$L297,".",","),IFERROR(NUMBERVALUE(CriteriTecnici!$L297,",","."),0))),4)&amp;""),",",".")&amp;", "&amp;CHAR(34)&amp;"flag"&amp;CHAR(34)&amp;": "&amp;SUBSTITUTE(TRIM(ROUND(IFERROR(CriteriTecnici!$M297*1,IFERROR(NUMBERVALUE(CriteriTecnici!$M297,".",","),IFERROR(NUMBERVALUE(CriteriTecnici!$M297,",","."),0))),4)&amp;""),",",".")&amp;", "&amp;CHAR(34)&amp;"rawScore"&amp;CHAR(34)&amp;": "&amp;SUBSTITUTE(TRIM(ROUND(IFERROR(CriteriTecnici!$O297*1,IFERROR(NUMBERVALUE(CriteriTecnici!$O297,".",","),IFERROR(NUMBERVALUE(CriteriTecnici!$O297,",","."),0))),4)&amp;""),",",".")&amp;CHAR(125)&amp;IF(TRUE,",",""))</f>
        <v/>
      </c>
    </row>
    <row r="399">
      <c r="A399" s="82">
        <f>IF(CriteriTecnici!$A298="","","    "&amp;CHAR(123)&amp;CHAR(34)&amp;"bidderId"&amp;CHAR(34)&amp;": "&amp;CHAR(34)&amp;SUBSTITUTE(CriteriTecnici!$A298,CHAR(34),"'")&amp;CHAR(34)&amp;", "&amp;CHAR(34)&amp;"lotId"&amp;CHAR(34)&amp;": "&amp;CHAR(34)&amp;SUBSTITUTE(CriteriTecnici!$C298,CHAR(34),"'")&amp;CHAR(34)&amp;", "&amp;CHAR(34)&amp;"criterionId"&amp;CHAR(34)&amp;": "&amp;CHAR(34)&amp;SUBSTITUTE(CriteriTecnici!$D298,CHAR(34),"'")&amp;CHAR(34)&amp;", "&amp;CHAR(34)&amp;"kind"&amp;CHAR(34)&amp;": "&amp;CHAR(34)&amp;SUBSTITUTE(CriteriTecnici!$F298,CHAR(34),"'")&amp;CHAR(34)&amp;", "&amp;CHAR(34)&amp;"value"&amp;CHAR(34)&amp;": "&amp;SUBSTITUTE(TRIM(ROUND(IFERROR(CriteriTecnici!$N298*1,IFERROR(NUMBERVALUE(CriteriTecnici!$N298,".",","),IFERROR(NUMBERVALUE(CriteriTecnici!$N298,",","."),0))),4)&amp;""),",",".")&amp;", "&amp;CHAR(34)&amp;"numerator"&amp;CHAR(34)&amp;": "&amp;SUBSTITUTE(TRIM(ROUND(IFERROR(CriteriTecnici!$K298*1,IFERROR(NUMBERVALUE(CriteriTecnici!$K298,".",","),IFERROR(NUMBERVALUE(CriteriTecnici!$K298,",","."),0))),4)&amp;""),",",".")&amp;", "&amp;CHAR(34)&amp;"denominator"&amp;CHAR(34)&amp;": "&amp;SUBSTITUTE(TRIM(ROUND(IFERROR(CriteriTecnici!$L298*1,IFERROR(NUMBERVALUE(CriteriTecnici!$L298,".",","),IFERROR(NUMBERVALUE(CriteriTecnici!$L298,",","."),0))),4)&amp;""),",",".")&amp;", "&amp;CHAR(34)&amp;"flag"&amp;CHAR(34)&amp;": "&amp;SUBSTITUTE(TRIM(ROUND(IFERROR(CriteriTecnici!$M298*1,IFERROR(NUMBERVALUE(CriteriTecnici!$M298,".",","),IFERROR(NUMBERVALUE(CriteriTecnici!$M298,",","."),0))),4)&amp;""),",",".")&amp;", "&amp;CHAR(34)&amp;"rawScore"&amp;CHAR(34)&amp;": "&amp;SUBSTITUTE(TRIM(ROUND(IFERROR(CriteriTecnici!$O298*1,IFERROR(NUMBERVALUE(CriteriTecnici!$O298,".",","),IFERROR(NUMBERVALUE(CriteriTecnici!$O298,",","."),0))),4)&amp;""),",",".")&amp;CHAR(125)&amp;IF(TRUE,",",""))</f>
        <v/>
      </c>
    </row>
    <row r="400">
      <c r="A400" s="82">
        <f>IF(CriteriTecnici!$A299="","","    "&amp;CHAR(123)&amp;CHAR(34)&amp;"bidderId"&amp;CHAR(34)&amp;": "&amp;CHAR(34)&amp;SUBSTITUTE(CriteriTecnici!$A299,CHAR(34),"'")&amp;CHAR(34)&amp;", "&amp;CHAR(34)&amp;"lotId"&amp;CHAR(34)&amp;": "&amp;CHAR(34)&amp;SUBSTITUTE(CriteriTecnici!$C299,CHAR(34),"'")&amp;CHAR(34)&amp;", "&amp;CHAR(34)&amp;"criterionId"&amp;CHAR(34)&amp;": "&amp;CHAR(34)&amp;SUBSTITUTE(CriteriTecnici!$D299,CHAR(34),"'")&amp;CHAR(34)&amp;", "&amp;CHAR(34)&amp;"kind"&amp;CHAR(34)&amp;": "&amp;CHAR(34)&amp;SUBSTITUTE(CriteriTecnici!$F299,CHAR(34),"'")&amp;CHAR(34)&amp;", "&amp;CHAR(34)&amp;"value"&amp;CHAR(34)&amp;": "&amp;SUBSTITUTE(TRIM(ROUND(IFERROR(CriteriTecnici!$N299*1,IFERROR(NUMBERVALUE(CriteriTecnici!$N299,".",","),IFERROR(NUMBERVALUE(CriteriTecnici!$N299,",","."),0))),4)&amp;""),",",".")&amp;", "&amp;CHAR(34)&amp;"numerator"&amp;CHAR(34)&amp;": "&amp;SUBSTITUTE(TRIM(ROUND(IFERROR(CriteriTecnici!$K299*1,IFERROR(NUMBERVALUE(CriteriTecnici!$K299,".",","),IFERROR(NUMBERVALUE(CriteriTecnici!$K299,",","."),0))),4)&amp;""),",",".")&amp;", "&amp;CHAR(34)&amp;"denominator"&amp;CHAR(34)&amp;": "&amp;SUBSTITUTE(TRIM(ROUND(IFERROR(CriteriTecnici!$L299*1,IFERROR(NUMBERVALUE(CriteriTecnici!$L299,".",","),IFERROR(NUMBERVALUE(CriteriTecnici!$L299,",","."),0))),4)&amp;""),",",".")&amp;", "&amp;CHAR(34)&amp;"flag"&amp;CHAR(34)&amp;": "&amp;SUBSTITUTE(TRIM(ROUND(IFERROR(CriteriTecnici!$M299*1,IFERROR(NUMBERVALUE(CriteriTecnici!$M299,".",","),IFERROR(NUMBERVALUE(CriteriTecnici!$M299,",","."),0))),4)&amp;""),",",".")&amp;", "&amp;CHAR(34)&amp;"rawScore"&amp;CHAR(34)&amp;": "&amp;SUBSTITUTE(TRIM(ROUND(IFERROR(CriteriTecnici!$O299*1,IFERROR(NUMBERVALUE(CriteriTecnici!$O299,".",","),IFERROR(NUMBERVALUE(CriteriTecnici!$O299,",","."),0))),4)&amp;""),",",".")&amp;CHAR(125)&amp;IF(TRUE,",",""))</f>
        <v/>
      </c>
    </row>
    <row r="401">
      <c r="A401" s="82">
        <f>IF(CriteriTecnici!$A300="","","    "&amp;CHAR(123)&amp;CHAR(34)&amp;"bidderId"&amp;CHAR(34)&amp;": "&amp;CHAR(34)&amp;SUBSTITUTE(CriteriTecnici!$A300,CHAR(34),"'")&amp;CHAR(34)&amp;", "&amp;CHAR(34)&amp;"lotId"&amp;CHAR(34)&amp;": "&amp;CHAR(34)&amp;SUBSTITUTE(CriteriTecnici!$C300,CHAR(34),"'")&amp;CHAR(34)&amp;", "&amp;CHAR(34)&amp;"criterionId"&amp;CHAR(34)&amp;": "&amp;CHAR(34)&amp;SUBSTITUTE(CriteriTecnici!$D300,CHAR(34),"'")&amp;CHAR(34)&amp;", "&amp;CHAR(34)&amp;"kind"&amp;CHAR(34)&amp;": "&amp;CHAR(34)&amp;SUBSTITUTE(CriteriTecnici!$F300,CHAR(34),"'")&amp;CHAR(34)&amp;", "&amp;CHAR(34)&amp;"value"&amp;CHAR(34)&amp;": "&amp;SUBSTITUTE(TRIM(ROUND(IFERROR(CriteriTecnici!$N300*1,IFERROR(NUMBERVALUE(CriteriTecnici!$N300,".",","),IFERROR(NUMBERVALUE(CriteriTecnici!$N300,",","."),0))),4)&amp;""),",",".")&amp;", "&amp;CHAR(34)&amp;"numerator"&amp;CHAR(34)&amp;": "&amp;SUBSTITUTE(TRIM(ROUND(IFERROR(CriteriTecnici!$K300*1,IFERROR(NUMBERVALUE(CriteriTecnici!$K300,".",","),IFERROR(NUMBERVALUE(CriteriTecnici!$K300,",","."),0))),4)&amp;""),",",".")&amp;", "&amp;CHAR(34)&amp;"denominator"&amp;CHAR(34)&amp;": "&amp;SUBSTITUTE(TRIM(ROUND(IFERROR(CriteriTecnici!$L300*1,IFERROR(NUMBERVALUE(CriteriTecnici!$L300,".",","),IFERROR(NUMBERVALUE(CriteriTecnici!$L300,",","."),0))),4)&amp;""),",",".")&amp;", "&amp;CHAR(34)&amp;"flag"&amp;CHAR(34)&amp;": "&amp;SUBSTITUTE(TRIM(ROUND(IFERROR(CriteriTecnici!$M300*1,IFERROR(NUMBERVALUE(CriteriTecnici!$M300,".",","),IFERROR(NUMBERVALUE(CriteriTecnici!$M300,",","."),0))),4)&amp;""),",",".")&amp;", "&amp;CHAR(34)&amp;"rawScore"&amp;CHAR(34)&amp;": "&amp;SUBSTITUTE(TRIM(ROUND(IFERROR(CriteriTecnici!$O300*1,IFERROR(NUMBERVALUE(CriteriTecnici!$O300,".",","),IFERROR(NUMBERVALUE(CriteriTecnici!$O300,",","."),0))),4)&amp;""),",",".")&amp;CHAR(125)&amp;IF(TRUE,",",""))</f>
        <v/>
      </c>
    </row>
    <row r="402">
      <c r="A402" s="82">
        <f>IF(CriteriTecnici!$A301="","","    "&amp;CHAR(123)&amp;CHAR(34)&amp;"bidderId"&amp;CHAR(34)&amp;": "&amp;CHAR(34)&amp;SUBSTITUTE(CriteriTecnici!$A301,CHAR(34),"'")&amp;CHAR(34)&amp;", "&amp;CHAR(34)&amp;"lotId"&amp;CHAR(34)&amp;": "&amp;CHAR(34)&amp;SUBSTITUTE(CriteriTecnici!$C301,CHAR(34),"'")&amp;CHAR(34)&amp;", "&amp;CHAR(34)&amp;"criterionId"&amp;CHAR(34)&amp;": "&amp;CHAR(34)&amp;SUBSTITUTE(CriteriTecnici!$D301,CHAR(34),"'")&amp;CHAR(34)&amp;", "&amp;CHAR(34)&amp;"kind"&amp;CHAR(34)&amp;": "&amp;CHAR(34)&amp;SUBSTITUTE(CriteriTecnici!$F301,CHAR(34),"'")&amp;CHAR(34)&amp;", "&amp;CHAR(34)&amp;"value"&amp;CHAR(34)&amp;": "&amp;SUBSTITUTE(TRIM(ROUND(IFERROR(CriteriTecnici!$N301*1,IFERROR(NUMBERVALUE(CriteriTecnici!$N301,".",","),IFERROR(NUMBERVALUE(CriteriTecnici!$N301,",","."),0))),4)&amp;""),",",".")&amp;", "&amp;CHAR(34)&amp;"numerator"&amp;CHAR(34)&amp;": "&amp;SUBSTITUTE(TRIM(ROUND(IFERROR(CriteriTecnici!$K301*1,IFERROR(NUMBERVALUE(CriteriTecnici!$K301,".",","),IFERROR(NUMBERVALUE(CriteriTecnici!$K301,",","."),0))),4)&amp;""),",",".")&amp;", "&amp;CHAR(34)&amp;"denominator"&amp;CHAR(34)&amp;": "&amp;SUBSTITUTE(TRIM(ROUND(IFERROR(CriteriTecnici!$L301*1,IFERROR(NUMBERVALUE(CriteriTecnici!$L301,".",","),IFERROR(NUMBERVALUE(CriteriTecnici!$L301,",","."),0))),4)&amp;""),",",".")&amp;", "&amp;CHAR(34)&amp;"flag"&amp;CHAR(34)&amp;": "&amp;SUBSTITUTE(TRIM(ROUND(IFERROR(CriteriTecnici!$M301*1,IFERROR(NUMBERVALUE(CriteriTecnici!$M301,".",","),IFERROR(NUMBERVALUE(CriteriTecnici!$M301,",","."),0))),4)&amp;""),",",".")&amp;", "&amp;CHAR(34)&amp;"rawScore"&amp;CHAR(34)&amp;": "&amp;SUBSTITUTE(TRIM(ROUND(IFERROR(CriteriTecnici!$O301*1,IFERROR(NUMBERVALUE(CriteriTecnici!$O301,".",","),IFERROR(NUMBERVALUE(CriteriTecnici!$O301,",","."),0))),4)&amp;""),",",".")&amp;CHAR(125)&amp;IF(TRUE,",",""))</f>
        <v/>
      </c>
    </row>
    <row r="403">
      <c r="A403" s="82">
        <f>IF(CriteriTecnici!$A302="","","    "&amp;CHAR(123)&amp;CHAR(34)&amp;"bidderId"&amp;CHAR(34)&amp;": "&amp;CHAR(34)&amp;SUBSTITUTE(CriteriTecnici!$A302,CHAR(34),"'")&amp;CHAR(34)&amp;", "&amp;CHAR(34)&amp;"lotId"&amp;CHAR(34)&amp;": "&amp;CHAR(34)&amp;SUBSTITUTE(CriteriTecnici!$C302,CHAR(34),"'")&amp;CHAR(34)&amp;", "&amp;CHAR(34)&amp;"criterionId"&amp;CHAR(34)&amp;": "&amp;CHAR(34)&amp;SUBSTITUTE(CriteriTecnici!$D302,CHAR(34),"'")&amp;CHAR(34)&amp;", "&amp;CHAR(34)&amp;"kind"&amp;CHAR(34)&amp;": "&amp;CHAR(34)&amp;SUBSTITUTE(CriteriTecnici!$F302,CHAR(34),"'")&amp;CHAR(34)&amp;", "&amp;CHAR(34)&amp;"value"&amp;CHAR(34)&amp;": "&amp;SUBSTITUTE(TRIM(ROUND(IFERROR(CriteriTecnici!$N302*1,IFERROR(NUMBERVALUE(CriteriTecnici!$N302,".",","),IFERROR(NUMBERVALUE(CriteriTecnici!$N302,",","."),0))),4)&amp;""),",",".")&amp;", "&amp;CHAR(34)&amp;"numerator"&amp;CHAR(34)&amp;": "&amp;SUBSTITUTE(TRIM(ROUND(IFERROR(CriteriTecnici!$K302*1,IFERROR(NUMBERVALUE(CriteriTecnici!$K302,".",","),IFERROR(NUMBERVALUE(CriteriTecnici!$K302,",","."),0))),4)&amp;""),",",".")&amp;", "&amp;CHAR(34)&amp;"denominator"&amp;CHAR(34)&amp;": "&amp;SUBSTITUTE(TRIM(ROUND(IFERROR(CriteriTecnici!$L302*1,IFERROR(NUMBERVALUE(CriteriTecnici!$L302,".",","),IFERROR(NUMBERVALUE(CriteriTecnici!$L302,",","."),0))),4)&amp;""),",",".")&amp;", "&amp;CHAR(34)&amp;"flag"&amp;CHAR(34)&amp;": "&amp;SUBSTITUTE(TRIM(ROUND(IFERROR(CriteriTecnici!$M302*1,IFERROR(NUMBERVALUE(CriteriTecnici!$M302,".",","),IFERROR(NUMBERVALUE(CriteriTecnici!$M302,",","."),0))),4)&amp;""),",",".")&amp;", "&amp;CHAR(34)&amp;"rawScore"&amp;CHAR(34)&amp;": "&amp;SUBSTITUTE(TRIM(ROUND(IFERROR(CriteriTecnici!$O302*1,IFERROR(NUMBERVALUE(CriteriTecnici!$O302,".",","),IFERROR(NUMBERVALUE(CriteriTecnici!$O302,",","."),0))),4)&amp;""),",",".")&amp;CHAR(125)&amp;IF(TRUE,",",""))</f>
        <v/>
      </c>
    </row>
    <row r="404">
      <c r="A404" s="82">
        <f>IF(CriteriTecnici!$A303="","","    "&amp;CHAR(123)&amp;CHAR(34)&amp;"bidderId"&amp;CHAR(34)&amp;": "&amp;CHAR(34)&amp;SUBSTITUTE(CriteriTecnici!$A303,CHAR(34),"'")&amp;CHAR(34)&amp;", "&amp;CHAR(34)&amp;"lotId"&amp;CHAR(34)&amp;": "&amp;CHAR(34)&amp;SUBSTITUTE(CriteriTecnici!$C303,CHAR(34),"'")&amp;CHAR(34)&amp;", "&amp;CHAR(34)&amp;"criterionId"&amp;CHAR(34)&amp;": "&amp;CHAR(34)&amp;SUBSTITUTE(CriteriTecnici!$D303,CHAR(34),"'")&amp;CHAR(34)&amp;", "&amp;CHAR(34)&amp;"kind"&amp;CHAR(34)&amp;": "&amp;CHAR(34)&amp;SUBSTITUTE(CriteriTecnici!$F303,CHAR(34),"'")&amp;CHAR(34)&amp;", "&amp;CHAR(34)&amp;"value"&amp;CHAR(34)&amp;": "&amp;SUBSTITUTE(TRIM(ROUND(IFERROR(CriteriTecnici!$N303*1,IFERROR(NUMBERVALUE(CriteriTecnici!$N303,".",","),IFERROR(NUMBERVALUE(CriteriTecnici!$N303,",","."),0))),4)&amp;""),",",".")&amp;", "&amp;CHAR(34)&amp;"numerator"&amp;CHAR(34)&amp;": "&amp;SUBSTITUTE(TRIM(ROUND(IFERROR(CriteriTecnici!$K303*1,IFERROR(NUMBERVALUE(CriteriTecnici!$K303,".",","),IFERROR(NUMBERVALUE(CriteriTecnici!$K303,",","."),0))),4)&amp;""),",",".")&amp;", "&amp;CHAR(34)&amp;"denominator"&amp;CHAR(34)&amp;": "&amp;SUBSTITUTE(TRIM(ROUND(IFERROR(CriteriTecnici!$L303*1,IFERROR(NUMBERVALUE(CriteriTecnici!$L303,".",","),IFERROR(NUMBERVALUE(CriteriTecnici!$L303,",","."),0))),4)&amp;""),",",".")&amp;", "&amp;CHAR(34)&amp;"flag"&amp;CHAR(34)&amp;": "&amp;SUBSTITUTE(TRIM(ROUND(IFERROR(CriteriTecnici!$M303*1,IFERROR(NUMBERVALUE(CriteriTecnici!$M303,".",","),IFERROR(NUMBERVALUE(CriteriTecnici!$M303,",","."),0))),4)&amp;""),",",".")&amp;", "&amp;CHAR(34)&amp;"rawScore"&amp;CHAR(34)&amp;": "&amp;SUBSTITUTE(TRIM(ROUND(IFERROR(CriteriTecnici!$O303*1,IFERROR(NUMBERVALUE(CriteriTecnici!$O303,".",","),IFERROR(NUMBERVALUE(CriteriTecnici!$O303,",","."),0))),4)&amp;""),",",".")&amp;CHAR(125)&amp;IF(TRUE,",",""))</f>
        <v/>
      </c>
    </row>
    <row r="405">
      <c r="A405" s="82">
        <f>IF(CriteriTecnici!$A304="","","    "&amp;CHAR(123)&amp;CHAR(34)&amp;"bidderId"&amp;CHAR(34)&amp;": "&amp;CHAR(34)&amp;SUBSTITUTE(CriteriTecnici!$A304,CHAR(34),"'")&amp;CHAR(34)&amp;", "&amp;CHAR(34)&amp;"lotId"&amp;CHAR(34)&amp;": "&amp;CHAR(34)&amp;SUBSTITUTE(CriteriTecnici!$C304,CHAR(34),"'")&amp;CHAR(34)&amp;", "&amp;CHAR(34)&amp;"criterionId"&amp;CHAR(34)&amp;": "&amp;CHAR(34)&amp;SUBSTITUTE(CriteriTecnici!$D304,CHAR(34),"'")&amp;CHAR(34)&amp;", "&amp;CHAR(34)&amp;"kind"&amp;CHAR(34)&amp;": "&amp;CHAR(34)&amp;SUBSTITUTE(CriteriTecnici!$F304,CHAR(34),"'")&amp;CHAR(34)&amp;", "&amp;CHAR(34)&amp;"value"&amp;CHAR(34)&amp;": "&amp;SUBSTITUTE(TRIM(ROUND(IFERROR(CriteriTecnici!$N304*1,IFERROR(NUMBERVALUE(CriteriTecnici!$N304,".",","),IFERROR(NUMBERVALUE(CriteriTecnici!$N304,",","."),0))),4)&amp;""),",",".")&amp;", "&amp;CHAR(34)&amp;"numerator"&amp;CHAR(34)&amp;": "&amp;SUBSTITUTE(TRIM(ROUND(IFERROR(CriteriTecnici!$K304*1,IFERROR(NUMBERVALUE(CriteriTecnici!$K304,".",","),IFERROR(NUMBERVALUE(CriteriTecnici!$K304,",","."),0))),4)&amp;""),",",".")&amp;", "&amp;CHAR(34)&amp;"denominator"&amp;CHAR(34)&amp;": "&amp;SUBSTITUTE(TRIM(ROUND(IFERROR(CriteriTecnici!$L304*1,IFERROR(NUMBERVALUE(CriteriTecnici!$L304,".",","),IFERROR(NUMBERVALUE(CriteriTecnici!$L304,",","."),0))),4)&amp;""),",",".")&amp;", "&amp;CHAR(34)&amp;"flag"&amp;CHAR(34)&amp;": "&amp;SUBSTITUTE(TRIM(ROUND(IFERROR(CriteriTecnici!$M304*1,IFERROR(NUMBERVALUE(CriteriTecnici!$M304,".",","),IFERROR(NUMBERVALUE(CriteriTecnici!$M304,",","."),0))),4)&amp;""),",",".")&amp;", "&amp;CHAR(34)&amp;"rawScore"&amp;CHAR(34)&amp;": "&amp;SUBSTITUTE(TRIM(ROUND(IFERROR(CriteriTecnici!$O304*1,IFERROR(NUMBERVALUE(CriteriTecnici!$O304,".",","),IFERROR(NUMBERVALUE(CriteriTecnici!$O304,",","."),0))),4)&amp;""),",",".")&amp;CHAR(125)&amp;IF(TRUE,",",""))</f>
        <v/>
      </c>
    </row>
    <row r="406">
      <c r="A406" s="82">
        <f>IF(CriteriTecnici!$A305="","","    "&amp;CHAR(123)&amp;CHAR(34)&amp;"bidderId"&amp;CHAR(34)&amp;": "&amp;CHAR(34)&amp;SUBSTITUTE(CriteriTecnici!$A305,CHAR(34),"'")&amp;CHAR(34)&amp;", "&amp;CHAR(34)&amp;"lotId"&amp;CHAR(34)&amp;": "&amp;CHAR(34)&amp;SUBSTITUTE(CriteriTecnici!$C305,CHAR(34),"'")&amp;CHAR(34)&amp;", "&amp;CHAR(34)&amp;"criterionId"&amp;CHAR(34)&amp;": "&amp;CHAR(34)&amp;SUBSTITUTE(CriteriTecnici!$D305,CHAR(34),"'")&amp;CHAR(34)&amp;", "&amp;CHAR(34)&amp;"kind"&amp;CHAR(34)&amp;": "&amp;CHAR(34)&amp;SUBSTITUTE(CriteriTecnici!$F305,CHAR(34),"'")&amp;CHAR(34)&amp;", "&amp;CHAR(34)&amp;"value"&amp;CHAR(34)&amp;": "&amp;SUBSTITUTE(TRIM(ROUND(IFERROR(CriteriTecnici!$N305*1,IFERROR(NUMBERVALUE(CriteriTecnici!$N305,".",","),IFERROR(NUMBERVALUE(CriteriTecnici!$N305,",","."),0))),4)&amp;""),",",".")&amp;", "&amp;CHAR(34)&amp;"numerator"&amp;CHAR(34)&amp;": "&amp;SUBSTITUTE(TRIM(ROUND(IFERROR(CriteriTecnici!$K305*1,IFERROR(NUMBERVALUE(CriteriTecnici!$K305,".",","),IFERROR(NUMBERVALUE(CriteriTecnici!$K305,",","."),0))),4)&amp;""),",",".")&amp;", "&amp;CHAR(34)&amp;"denominator"&amp;CHAR(34)&amp;": "&amp;SUBSTITUTE(TRIM(ROUND(IFERROR(CriteriTecnici!$L305*1,IFERROR(NUMBERVALUE(CriteriTecnici!$L305,".",","),IFERROR(NUMBERVALUE(CriteriTecnici!$L305,",","."),0))),4)&amp;""),",",".")&amp;", "&amp;CHAR(34)&amp;"flag"&amp;CHAR(34)&amp;": "&amp;SUBSTITUTE(TRIM(ROUND(IFERROR(CriteriTecnici!$M305*1,IFERROR(NUMBERVALUE(CriteriTecnici!$M305,".",","),IFERROR(NUMBERVALUE(CriteriTecnici!$M305,",","."),0))),4)&amp;""),",",".")&amp;", "&amp;CHAR(34)&amp;"rawScore"&amp;CHAR(34)&amp;": "&amp;SUBSTITUTE(TRIM(ROUND(IFERROR(CriteriTecnici!$O305*1,IFERROR(NUMBERVALUE(CriteriTecnici!$O305,".",","),IFERROR(NUMBERVALUE(CriteriTecnici!$O305,",","."),0))),4)&amp;""),",",".")&amp;CHAR(125)&amp;IF(TRUE,",",""))</f>
        <v/>
      </c>
    </row>
    <row r="407">
      <c r="A407" s="82">
        <f>IF(CriteriTecnici!$A306="","","    "&amp;CHAR(123)&amp;CHAR(34)&amp;"bidderId"&amp;CHAR(34)&amp;": "&amp;CHAR(34)&amp;SUBSTITUTE(CriteriTecnici!$A306,CHAR(34),"'")&amp;CHAR(34)&amp;", "&amp;CHAR(34)&amp;"lotId"&amp;CHAR(34)&amp;": "&amp;CHAR(34)&amp;SUBSTITUTE(CriteriTecnici!$C306,CHAR(34),"'")&amp;CHAR(34)&amp;", "&amp;CHAR(34)&amp;"criterionId"&amp;CHAR(34)&amp;": "&amp;CHAR(34)&amp;SUBSTITUTE(CriteriTecnici!$D306,CHAR(34),"'")&amp;CHAR(34)&amp;", "&amp;CHAR(34)&amp;"kind"&amp;CHAR(34)&amp;": "&amp;CHAR(34)&amp;SUBSTITUTE(CriteriTecnici!$F306,CHAR(34),"'")&amp;CHAR(34)&amp;", "&amp;CHAR(34)&amp;"value"&amp;CHAR(34)&amp;": "&amp;SUBSTITUTE(TRIM(ROUND(IFERROR(CriteriTecnici!$N306*1,IFERROR(NUMBERVALUE(CriteriTecnici!$N306,".",","),IFERROR(NUMBERVALUE(CriteriTecnici!$N306,",","."),0))),4)&amp;""),",",".")&amp;", "&amp;CHAR(34)&amp;"numerator"&amp;CHAR(34)&amp;": "&amp;SUBSTITUTE(TRIM(ROUND(IFERROR(CriteriTecnici!$K306*1,IFERROR(NUMBERVALUE(CriteriTecnici!$K306,".",","),IFERROR(NUMBERVALUE(CriteriTecnici!$K306,",","."),0))),4)&amp;""),",",".")&amp;", "&amp;CHAR(34)&amp;"denominator"&amp;CHAR(34)&amp;": "&amp;SUBSTITUTE(TRIM(ROUND(IFERROR(CriteriTecnici!$L306*1,IFERROR(NUMBERVALUE(CriteriTecnici!$L306,".",","),IFERROR(NUMBERVALUE(CriteriTecnici!$L306,",","."),0))),4)&amp;""),",",".")&amp;", "&amp;CHAR(34)&amp;"flag"&amp;CHAR(34)&amp;": "&amp;SUBSTITUTE(TRIM(ROUND(IFERROR(CriteriTecnici!$M306*1,IFERROR(NUMBERVALUE(CriteriTecnici!$M306,".",","),IFERROR(NUMBERVALUE(CriteriTecnici!$M306,",","."),0))),4)&amp;""),",",".")&amp;", "&amp;CHAR(34)&amp;"rawScore"&amp;CHAR(34)&amp;": "&amp;SUBSTITUTE(TRIM(ROUND(IFERROR(CriteriTecnici!$O306*1,IFERROR(NUMBERVALUE(CriteriTecnici!$O306,".",","),IFERROR(NUMBERVALUE(CriteriTecnici!$O306,",","."),0))),4)&amp;""),",",".")&amp;CHAR(125)&amp;IF(TRUE,",",""))</f>
        <v/>
      </c>
    </row>
    <row r="408">
      <c r="A408" s="82">
        <f>IF(CriteriTecnici!$A307="","","    "&amp;CHAR(123)&amp;CHAR(34)&amp;"bidderId"&amp;CHAR(34)&amp;": "&amp;CHAR(34)&amp;SUBSTITUTE(CriteriTecnici!$A307,CHAR(34),"'")&amp;CHAR(34)&amp;", "&amp;CHAR(34)&amp;"lotId"&amp;CHAR(34)&amp;": "&amp;CHAR(34)&amp;SUBSTITUTE(CriteriTecnici!$C307,CHAR(34),"'")&amp;CHAR(34)&amp;", "&amp;CHAR(34)&amp;"criterionId"&amp;CHAR(34)&amp;": "&amp;CHAR(34)&amp;SUBSTITUTE(CriteriTecnici!$D307,CHAR(34),"'")&amp;CHAR(34)&amp;", "&amp;CHAR(34)&amp;"kind"&amp;CHAR(34)&amp;": "&amp;CHAR(34)&amp;SUBSTITUTE(CriteriTecnici!$F307,CHAR(34),"'")&amp;CHAR(34)&amp;", "&amp;CHAR(34)&amp;"value"&amp;CHAR(34)&amp;": "&amp;SUBSTITUTE(TRIM(ROUND(IFERROR(CriteriTecnici!$N307*1,IFERROR(NUMBERVALUE(CriteriTecnici!$N307,".",","),IFERROR(NUMBERVALUE(CriteriTecnici!$N307,",","."),0))),4)&amp;""),",",".")&amp;", "&amp;CHAR(34)&amp;"numerator"&amp;CHAR(34)&amp;": "&amp;SUBSTITUTE(TRIM(ROUND(IFERROR(CriteriTecnici!$K307*1,IFERROR(NUMBERVALUE(CriteriTecnici!$K307,".",","),IFERROR(NUMBERVALUE(CriteriTecnici!$K307,",","."),0))),4)&amp;""),",",".")&amp;", "&amp;CHAR(34)&amp;"denominator"&amp;CHAR(34)&amp;": "&amp;SUBSTITUTE(TRIM(ROUND(IFERROR(CriteriTecnici!$L307*1,IFERROR(NUMBERVALUE(CriteriTecnici!$L307,".",","),IFERROR(NUMBERVALUE(CriteriTecnici!$L307,",","."),0))),4)&amp;""),",",".")&amp;", "&amp;CHAR(34)&amp;"flag"&amp;CHAR(34)&amp;": "&amp;SUBSTITUTE(TRIM(ROUND(IFERROR(CriteriTecnici!$M307*1,IFERROR(NUMBERVALUE(CriteriTecnici!$M307,".",","),IFERROR(NUMBERVALUE(CriteriTecnici!$M307,",","."),0))),4)&amp;""),",",".")&amp;", "&amp;CHAR(34)&amp;"rawScore"&amp;CHAR(34)&amp;": "&amp;SUBSTITUTE(TRIM(ROUND(IFERROR(CriteriTecnici!$O307*1,IFERROR(NUMBERVALUE(CriteriTecnici!$O307,".",","),IFERROR(NUMBERVALUE(CriteriTecnici!$O307,",","."),0))),4)&amp;""),",",".")&amp;CHAR(125)&amp;IF(TRUE,",",""))</f>
        <v/>
      </c>
    </row>
    <row r="409">
      <c r="A409" s="82">
        <f>IF(CriteriTecnici!$A308="","","    "&amp;CHAR(123)&amp;CHAR(34)&amp;"bidderId"&amp;CHAR(34)&amp;": "&amp;CHAR(34)&amp;SUBSTITUTE(CriteriTecnici!$A308,CHAR(34),"'")&amp;CHAR(34)&amp;", "&amp;CHAR(34)&amp;"lotId"&amp;CHAR(34)&amp;": "&amp;CHAR(34)&amp;SUBSTITUTE(CriteriTecnici!$C308,CHAR(34),"'")&amp;CHAR(34)&amp;", "&amp;CHAR(34)&amp;"criterionId"&amp;CHAR(34)&amp;": "&amp;CHAR(34)&amp;SUBSTITUTE(CriteriTecnici!$D308,CHAR(34),"'")&amp;CHAR(34)&amp;", "&amp;CHAR(34)&amp;"kind"&amp;CHAR(34)&amp;": "&amp;CHAR(34)&amp;SUBSTITUTE(CriteriTecnici!$F308,CHAR(34),"'")&amp;CHAR(34)&amp;", "&amp;CHAR(34)&amp;"value"&amp;CHAR(34)&amp;": "&amp;SUBSTITUTE(TRIM(ROUND(IFERROR(CriteriTecnici!$N308*1,IFERROR(NUMBERVALUE(CriteriTecnici!$N308,".",","),IFERROR(NUMBERVALUE(CriteriTecnici!$N308,",","."),0))),4)&amp;""),",",".")&amp;", "&amp;CHAR(34)&amp;"numerator"&amp;CHAR(34)&amp;": "&amp;SUBSTITUTE(TRIM(ROUND(IFERROR(CriteriTecnici!$K308*1,IFERROR(NUMBERVALUE(CriteriTecnici!$K308,".",","),IFERROR(NUMBERVALUE(CriteriTecnici!$K308,",","."),0))),4)&amp;""),",",".")&amp;", "&amp;CHAR(34)&amp;"denominator"&amp;CHAR(34)&amp;": "&amp;SUBSTITUTE(TRIM(ROUND(IFERROR(CriteriTecnici!$L308*1,IFERROR(NUMBERVALUE(CriteriTecnici!$L308,".",","),IFERROR(NUMBERVALUE(CriteriTecnici!$L308,",","."),0))),4)&amp;""),",",".")&amp;", "&amp;CHAR(34)&amp;"flag"&amp;CHAR(34)&amp;": "&amp;SUBSTITUTE(TRIM(ROUND(IFERROR(CriteriTecnici!$M308*1,IFERROR(NUMBERVALUE(CriteriTecnici!$M308,".",","),IFERROR(NUMBERVALUE(CriteriTecnici!$M308,",","."),0))),4)&amp;""),",",".")&amp;", "&amp;CHAR(34)&amp;"rawScore"&amp;CHAR(34)&amp;": "&amp;SUBSTITUTE(TRIM(ROUND(IFERROR(CriteriTecnici!$O308*1,IFERROR(NUMBERVALUE(CriteriTecnici!$O308,".",","),IFERROR(NUMBERVALUE(CriteriTecnici!$O308,",","."),0))),4)&amp;""),",",".")&amp;CHAR(125)&amp;IF(TRUE,",",""))</f>
        <v/>
      </c>
    </row>
    <row r="410">
      <c r="A410" s="82">
        <f>IF(CriteriTecnici!$A309="","","    "&amp;CHAR(123)&amp;CHAR(34)&amp;"bidderId"&amp;CHAR(34)&amp;": "&amp;CHAR(34)&amp;SUBSTITUTE(CriteriTecnici!$A309,CHAR(34),"'")&amp;CHAR(34)&amp;", "&amp;CHAR(34)&amp;"lotId"&amp;CHAR(34)&amp;": "&amp;CHAR(34)&amp;SUBSTITUTE(CriteriTecnici!$C309,CHAR(34),"'")&amp;CHAR(34)&amp;", "&amp;CHAR(34)&amp;"criterionId"&amp;CHAR(34)&amp;": "&amp;CHAR(34)&amp;SUBSTITUTE(CriteriTecnici!$D309,CHAR(34),"'")&amp;CHAR(34)&amp;", "&amp;CHAR(34)&amp;"kind"&amp;CHAR(34)&amp;": "&amp;CHAR(34)&amp;SUBSTITUTE(CriteriTecnici!$F309,CHAR(34),"'")&amp;CHAR(34)&amp;", "&amp;CHAR(34)&amp;"value"&amp;CHAR(34)&amp;": "&amp;SUBSTITUTE(TRIM(ROUND(IFERROR(CriteriTecnici!$N309*1,IFERROR(NUMBERVALUE(CriteriTecnici!$N309,".",","),IFERROR(NUMBERVALUE(CriteriTecnici!$N309,",","."),0))),4)&amp;""),",",".")&amp;", "&amp;CHAR(34)&amp;"numerator"&amp;CHAR(34)&amp;": "&amp;SUBSTITUTE(TRIM(ROUND(IFERROR(CriteriTecnici!$K309*1,IFERROR(NUMBERVALUE(CriteriTecnici!$K309,".",","),IFERROR(NUMBERVALUE(CriteriTecnici!$K309,",","."),0))),4)&amp;""),",",".")&amp;", "&amp;CHAR(34)&amp;"denominator"&amp;CHAR(34)&amp;": "&amp;SUBSTITUTE(TRIM(ROUND(IFERROR(CriteriTecnici!$L309*1,IFERROR(NUMBERVALUE(CriteriTecnici!$L309,".",","),IFERROR(NUMBERVALUE(CriteriTecnici!$L309,",","."),0))),4)&amp;""),",",".")&amp;", "&amp;CHAR(34)&amp;"flag"&amp;CHAR(34)&amp;": "&amp;SUBSTITUTE(TRIM(ROUND(IFERROR(CriteriTecnici!$M309*1,IFERROR(NUMBERVALUE(CriteriTecnici!$M309,".",","),IFERROR(NUMBERVALUE(CriteriTecnici!$M309,",","."),0))),4)&amp;""),",",".")&amp;", "&amp;CHAR(34)&amp;"rawScore"&amp;CHAR(34)&amp;": "&amp;SUBSTITUTE(TRIM(ROUND(IFERROR(CriteriTecnici!$O309*1,IFERROR(NUMBERVALUE(CriteriTecnici!$O309,".",","),IFERROR(NUMBERVALUE(CriteriTecnici!$O309,",","."),0))),4)&amp;""),",",".")&amp;CHAR(125)&amp;IF(TRUE,",",""))</f>
        <v/>
      </c>
    </row>
    <row r="411">
      <c r="A411" s="82">
        <f>IF(CriteriTecnici!$A310="","","    "&amp;CHAR(123)&amp;CHAR(34)&amp;"bidderId"&amp;CHAR(34)&amp;": "&amp;CHAR(34)&amp;SUBSTITUTE(CriteriTecnici!$A310,CHAR(34),"'")&amp;CHAR(34)&amp;", "&amp;CHAR(34)&amp;"lotId"&amp;CHAR(34)&amp;": "&amp;CHAR(34)&amp;SUBSTITUTE(CriteriTecnici!$C310,CHAR(34),"'")&amp;CHAR(34)&amp;", "&amp;CHAR(34)&amp;"criterionId"&amp;CHAR(34)&amp;": "&amp;CHAR(34)&amp;SUBSTITUTE(CriteriTecnici!$D310,CHAR(34),"'")&amp;CHAR(34)&amp;", "&amp;CHAR(34)&amp;"kind"&amp;CHAR(34)&amp;": "&amp;CHAR(34)&amp;SUBSTITUTE(CriteriTecnici!$F310,CHAR(34),"'")&amp;CHAR(34)&amp;", "&amp;CHAR(34)&amp;"value"&amp;CHAR(34)&amp;": "&amp;SUBSTITUTE(TRIM(ROUND(IFERROR(CriteriTecnici!$N310*1,IFERROR(NUMBERVALUE(CriteriTecnici!$N310,".",","),IFERROR(NUMBERVALUE(CriteriTecnici!$N310,",","."),0))),4)&amp;""),",",".")&amp;", "&amp;CHAR(34)&amp;"numerator"&amp;CHAR(34)&amp;": "&amp;SUBSTITUTE(TRIM(ROUND(IFERROR(CriteriTecnici!$K310*1,IFERROR(NUMBERVALUE(CriteriTecnici!$K310,".",","),IFERROR(NUMBERVALUE(CriteriTecnici!$K310,",","."),0))),4)&amp;""),",",".")&amp;", "&amp;CHAR(34)&amp;"denominator"&amp;CHAR(34)&amp;": "&amp;SUBSTITUTE(TRIM(ROUND(IFERROR(CriteriTecnici!$L310*1,IFERROR(NUMBERVALUE(CriteriTecnici!$L310,".",","),IFERROR(NUMBERVALUE(CriteriTecnici!$L310,",","."),0))),4)&amp;""),",",".")&amp;", "&amp;CHAR(34)&amp;"flag"&amp;CHAR(34)&amp;": "&amp;SUBSTITUTE(TRIM(ROUND(IFERROR(CriteriTecnici!$M310*1,IFERROR(NUMBERVALUE(CriteriTecnici!$M310,".",","),IFERROR(NUMBERVALUE(CriteriTecnici!$M310,",","."),0))),4)&amp;""),",",".")&amp;", "&amp;CHAR(34)&amp;"rawScore"&amp;CHAR(34)&amp;": "&amp;SUBSTITUTE(TRIM(ROUND(IFERROR(CriteriTecnici!$O310*1,IFERROR(NUMBERVALUE(CriteriTecnici!$O310,".",","),IFERROR(NUMBERVALUE(CriteriTecnici!$O310,",","."),0))),4)&amp;""),",",".")&amp;CHAR(125)&amp;IF(TRUE,",",""))</f>
        <v/>
      </c>
    </row>
    <row r="412">
      <c r="A412" s="82">
        <f>IF(CriteriTecnici!$A311="","","    "&amp;CHAR(123)&amp;CHAR(34)&amp;"bidderId"&amp;CHAR(34)&amp;": "&amp;CHAR(34)&amp;SUBSTITUTE(CriteriTecnici!$A311,CHAR(34),"'")&amp;CHAR(34)&amp;", "&amp;CHAR(34)&amp;"lotId"&amp;CHAR(34)&amp;": "&amp;CHAR(34)&amp;SUBSTITUTE(CriteriTecnici!$C311,CHAR(34),"'")&amp;CHAR(34)&amp;", "&amp;CHAR(34)&amp;"criterionId"&amp;CHAR(34)&amp;": "&amp;CHAR(34)&amp;SUBSTITUTE(CriteriTecnici!$D311,CHAR(34),"'")&amp;CHAR(34)&amp;", "&amp;CHAR(34)&amp;"kind"&amp;CHAR(34)&amp;": "&amp;CHAR(34)&amp;SUBSTITUTE(CriteriTecnici!$F311,CHAR(34),"'")&amp;CHAR(34)&amp;", "&amp;CHAR(34)&amp;"value"&amp;CHAR(34)&amp;": "&amp;SUBSTITUTE(TRIM(ROUND(IFERROR(CriteriTecnici!$N311*1,IFERROR(NUMBERVALUE(CriteriTecnici!$N311,".",","),IFERROR(NUMBERVALUE(CriteriTecnici!$N311,",","."),0))),4)&amp;""),",",".")&amp;", "&amp;CHAR(34)&amp;"numerator"&amp;CHAR(34)&amp;": "&amp;SUBSTITUTE(TRIM(ROUND(IFERROR(CriteriTecnici!$K311*1,IFERROR(NUMBERVALUE(CriteriTecnici!$K311,".",","),IFERROR(NUMBERVALUE(CriteriTecnici!$K311,",","."),0))),4)&amp;""),",",".")&amp;", "&amp;CHAR(34)&amp;"denominator"&amp;CHAR(34)&amp;": "&amp;SUBSTITUTE(TRIM(ROUND(IFERROR(CriteriTecnici!$L311*1,IFERROR(NUMBERVALUE(CriteriTecnici!$L311,".",","),IFERROR(NUMBERVALUE(CriteriTecnici!$L311,",","."),0))),4)&amp;""),",",".")&amp;", "&amp;CHAR(34)&amp;"flag"&amp;CHAR(34)&amp;": "&amp;SUBSTITUTE(TRIM(ROUND(IFERROR(CriteriTecnici!$M311*1,IFERROR(NUMBERVALUE(CriteriTecnici!$M311,".",","),IFERROR(NUMBERVALUE(CriteriTecnici!$M311,",","."),0))),4)&amp;""),",",".")&amp;", "&amp;CHAR(34)&amp;"rawScore"&amp;CHAR(34)&amp;": "&amp;SUBSTITUTE(TRIM(ROUND(IFERROR(CriteriTecnici!$O311*1,IFERROR(NUMBERVALUE(CriteriTecnici!$O311,".",","),IFERROR(NUMBERVALUE(CriteriTecnici!$O311,",","."),0))),4)&amp;""),",",".")&amp;CHAR(125)&amp;IF(TRUE,",",""))</f>
        <v/>
      </c>
    </row>
    <row r="413">
      <c r="A413" s="82">
        <f>IF(CriteriTecnici!$A312="","","    "&amp;CHAR(123)&amp;CHAR(34)&amp;"bidderId"&amp;CHAR(34)&amp;": "&amp;CHAR(34)&amp;SUBSTITUTE(CriteriTecnici!$A312,CHAR(34),"'")&amp;CHAR(34)&amp;", "&amp;CHAR(34)&amp;"lotId"&amp;CHAR(34)&amp;": "&amp;CHAR(34)&amp;SUBSTITUTE(CriteriTecnici!$C312,CHAR(34),"'")&amp;CHAR(34)&amp;", "&amp;CHAR(34)&amp;"criterionId"&amp;CHAR(34)&amp;": "&amp;CHAR(34)&amp;SUBSTITUTE(CriteriTecnici!$D312,CHAR(34),"'")&amp;CHAR(34)&amp;", "&amp;CHAR(34)&amp;"kind"&amp;CHAR(34)&amp;": "&amp;CHAR(34)&amp;SUBSTITUTE(CriteriTecnici!$F312,CHAR(34),"'")&amp;CHAR(34)&amp;", "&amp;CHAR(34)&amp;"value"&amp;CHAR(34)&amp;": "&amp;SUBSTITUTE(TRIM(ROUND(IFERROR(CriteriTecnici!$N312*1,IFERROR(NUMBERVALUE(CriteriTecnici!$N312,".",","),IFERROR(NUMBERVALUE(CriteriTecnici!$N312,",","."),0))),4)&amp;""),",",".")&amp;", "&amp;CHAR(34)&amp;"numerator"&amp;CHAR(34)&amp;": "&amp;SUBSTITUTE(TRIM(ROUND(IFERROR(CriteriTecnici!$K312*1,IFERROR(NUMBERVALUE(CriteriTecnici!$K312,".",","),IFERROR(NUMBERVALUE(CriteriTecnici!$K312,",","."),0))),4)&amp;""),",",".")&amp;", "&amp;CHAR(34)&amp;"denominator"&amp;CHAR(34)&amp;": "&amp;SUBSTITUTE(TRIM(ROUND(IFERROR(CriteriTecnici!$L312*1,IFERROR(NUMBERVALUE(CriteriTecnici!$L312,".",","),IFERROR(NUMBERVALUE(CriteriTecnici!$L312,",","."),0))),4)&amp;""),",",".")&amp;", "&amp;CHAR(34)&amp;"flag"&amp;CHAR(34)&amp;": "&amp;SUBSTITUTE(TRIM(ROUND(IFERROR(CriteriTecnici!$M312*1,IFERROR(NUMBERVALUE(CriteriTecnici!$M312,".",","),IFERROR(NUMBERVALUE(CriteriTecnici!$M312,",","."),0))),4)&amp;""),",",".")&amp;", "&amp;CHAR(34)&amp;"rawScore"&amp;CHAR(34)&amp;": "&amp;SUBSTITUTE(TRIM(ROUND(IFERROR(CriteriTecnici!$O312*1,IFERROR(NUMBERVALUE(CriteriTecnici!$O312,".",","),IFERROR(NUMBERVALUE(CriteriTecnici!$O312,",","."),0))),4)&amp;""),",",".")&amp;CHAR(125)&amp;IF(TRUE,",",""))</f>
        <v/>
      </c>
    </row>
    <row r="414">
      <c r="A414" s="82">
        <f>IF(CriteriTecnici!$A313="","","    "&amp;CHAR(123)&amp;CHAR(34)&amp;"bidderId"&amp;CHAR(34)&amp;": "&amp;CHAR(34)&amp;SUBSTITUTE(CriteriTecnici!$A313,CHAR(34),"'")&amp;CHAR(34)&amp;", "&amp;CHAR(34)&amp;"lotId"&amp;CHAR(34)&amp;": "&amp;CHAR(34)&amp;SUBSTITUTE(CriteriTecnici!$C313,CHAR(34),"'")&amp;CHAR(34)&amp;", "&amp;CHAR(34)&amp;"criterionId"&amp;CHAR(34)&amp;": "&amp;CHAR(34)&amp;SUBSTITUTE(CriteriTecnici!$D313,CHAR(34),"'")&amp;CHAR(34)&amp;", "&amp;CHAR(34)&amp;"kind"&amp;CHAR(34)&amp;": "&amp;CHAR(34)&amp;SUBSTITUTE(CriteriTecnici!$F313,CHAR(34),"'")&amp;CHAR(34)&amp;", "&amp;CHAR(34)&amp;"value"&amp;CHAR(34)&amp;": "&amp;SUBSTITUTE(TRIM(ROUND(IFERROR(CriteriTecnici!$N313*1,IFERROR(NUMBERVALUE(CriteriTecnici!$N313,".",","),IFERROR(NUMBERVALUE(CriteriTecnici!$N313,",","."),0))),4)&amp;""),",",".")&amp;", "&amp;CHAR(34)&amp;"numerator"&amp;CHAR(34)&amp;": "&amp;SUBSTITUTE(TRIM(ROUND(IFERROR(CriteriTecnici!$K313*1,IFERROR(NUMBERVALUE(CriteriTecnici!$K313,".",","),IFERROR(NUMBERVALUE(CriteriTecnici!$K313,",","."),0))),4)&amp;""),",",".")&amp;", "&amp;CHAR(34)&amp;"denominator"&amp;CHAR(34)&amp;": "&amp;SUBSTITUTE(TRIM(ROUND(IFERROR(CriteriTecnici!$L313*1,IFERROR(NUMBERVALUE(CriteriTecnici!$L313,".",","),IFERROR(NUMBERVALUE(CriteriTecnici!$L313,",","."),0))),4)&amp;""),",",".")&amp;", "&amp;CHAR(34)&amp;"flag"&amp;CHAR(34)&amp;": "&amp;SUBSTITUTE(TRIM(ROUND(IFERROR(CriteriTecnici!$M313*1,IFERROR(NUMBERVALUE(CriteriTecnici!$M313,".",","),IFERROR(NUMBERVALUE(CriteriTecnici!$M313,",","."),0))),4)&amp;""),",",".")&amp;", "&amp;CHAR(34)&amp;"rawScore"&amp;CHAR(34)&amp;": "&amp;SUBSTITUTE(TRIM(ROUND(IFERROR(CriteriTecnici!$O313*1,IFERROR(NUMBERVALUE(CriteriTecnici!$O313,".",","),IFERROR(NUMBERVALUE(CriteriTecnici!$O313,",","."),0))),4)&amp;""),",",".")&amp;CHAR(125)&amp;IF(TRUE,",",""))</f>
        <v/>
      </c>
    </row>
    <row r="415">
      <c r="A415" s="82">
        <f>IF(CriteriTecnici!$A314="","","    "&amp;CHAR(123)&amp;CHAR(34)&amp;"bidderId"&amp;CHAR(34)&amp;": "&amp;CHAR(34)&amp;SUBSTITUTE(CriteriTecnici!$A314,CHAR(34),"'")&amp;CHAR(34)&amp;", "&amp;CHAR(34)&amp;"lotId"&amp;CHAR(34)&amp;": "&amp;CHAR(34)&amp;SUBSTITUTE(CriteriTecnici!$C314,CHAR(34),"'")&amp;CHAR(34)&amp;", "&amp;CHAR(34)&amp;"criterionId"&amp;CHAR(34)&amp;": "&amp;CHAR(34)&amp;SUBSTITUTE(CriteriTecnici!$D314,CHAR(34),"'")&amp;CHAR(34)&amp;", "&amp;CHAR(34)&amp;"kind"&amp;CHAR(34)&amp;": "&amp;CHAR(34)&amp;SUBSTITUTE(CriteriTecnici!$F314,CHAR(34),"'")&amp;CHAR(34)&amp;", "&amp;CHAR(34)&amp;"value"&amp;CHAR(34)&amp;": "&amp;SUBSTITUTE(TRIM(ROUND(IFERROR(CriteriTecnici!$N314*1,IFERROR(NUMBERVALUE(CriteriTecnici!$N314,".",","),IFERROR(NUMBERVALUE(CriteriTecnici!$N314,",","."),0))),4)&amp;""),",",".")&amp;", "&amp;CHAR(34)&amp;"numerator"&amp;CHAR(34)&amp;": "&amp;SUBSTITUTE(TRIM(ROUND(IFERROR(CriteriTecnici!$K314*1,IFERROR(NUMBERVALUE(CriteriTecnici!$K314,".",","),IFERROR(NUMBERVALUE(CriteriTecnici!$K314,",","."),0))),4)&amp;""),",",".")&amp;", "&amp;CHAR(34)&amp;"denominator"&amp;CHAR(34)&amp;": "&amp;SUBSTITUTE(TRIM(ROUND(IFERROR(CriteriTecnici!$L314*1,IFERROR(NUMBERVALUE(CriteriTecnici!$L314,".",","),IFERROR(NUMBERVALUE(CriteriTecnici!$L314,",","."),0))),4)&amp;""),",",".")&amp;", "&amp;CHAR(34)&amp;"flag"&amp;CHAR(34)&amp;": "&amp;SUBSTITUTE(TRIM(ROUND(IFERROR(CriteriTecnici!$M314*1,IFERROR(NUMBERVALUE(CriteriTecnici!$M314,".",","),IFERROR(NUMBERVALUE(CriteriTecnici!$M314,",","."),0))),4)&amp;""),",",".")&amp;", "&amp;CHAR(34)&amp;"rawScore"&amp;CHAR(34)&amp;": "&amp;SUBSTITUTE(TRIM(ROUND(IFERROR(CriteriTecnici!$O314*1,IFERROR(NUMBERVALUE(CriteriTecnici!$O314,".",","),IFERROR(NUMBERVALUE(CriteriTecnici!$O314,",","."),0))),4)&amp;""),",",".")&amp;CHAR(125)&amp;IF(COUNTA(Offerte!$A12:$A$81)&gt;0,",",""))</f>
        <v/>
      </c>
    </row>
    <row r="416">
      <c r="A416" s="82">
        <f>IF(CriteriTecnici!$A315="","","    "&amp;CHAR(123)&amp;CHAR(34)&amp;"bidderId"&amp;CHAR(34)&amp;": "&amp;CHAR(34)&amp;SUBSTITUTE(CriteriTecnici!$A315,CHAR(34),"'")&amp;CHAR(34)&amp;", "&amp;CHAR(34)&amp;"lotId"&amp;CHAR(34)&amp;": "&amp;CHAR(34)&amp;SUBSTITUTE(CriteriTecnici!$C315,CHAR(34),"'")&amp;CHAR(34)&amp;", "&amp;CHAR(34)&amp;"criterionId"&amp;CHAR(34)&amp;": "&amp;CHAR(34)&amp;SUBSTITUTE(CriteriTecnici!$D315,CHAR(34),"'")&amp;CHAR(34)&amp;", "&amp;CHAR(34)&amp;"kind"&amp;CHAR(34)&amp;": "&amp;CHAR(34)&amp;SUBSTITUTE(CriteriTecnici!$F315,CHAR(34),"'")&amp;CHAR(34)&amp;", "&amp;CHAR(34)&amp;"value"&amp;CHAR(34)&amp;": "&amp;SUBSTITUTE(TRIM(ROUND(IFERROR(CriteriTecnici!$N315*1,IFERROR(NUMBERVALUE(CriteriTecnici!$N315,".",","),IFERROR(NUMBERVALUE(CriteriTecnici!$N315,",","."),0))),4)&amp;""),",",".")&amp;", "&amp;CHAR(34)&amp;"numerator"&amp;CHAR(34)&amp;": "&amp;SUBSTITUTE(TRIM(ROUND(IFERROR(CriteriTecnici!$K315*1,IFERROR(NUMBERVALUE(CriteriTecnici!$K315,".",","),IFERROR(NUMBERVALUE(CriteriTecnici!$K315,",","."),0))),4)&amp;""),",",".")&amp;", "&amp;CHAR(34)&amp;"denominator"&amp;CHAR(34)&amp;": "&amp;SUBSTITUTE(TRIM(ROUND(IFERROR(CriteriTecnici!$L315*1,IFERROR(NUMBERVALUE(CriteriTecnici!$L315,".",","),IFERROR(NUMBERVALUE(CriteriTecnici!$L315,",","."),0))),4)&amp;""),",",".")&amp;", "&amp;CHAR(34)&amp;"flag"&amp;CHAR(34)&amp;": "&amp;SUBSTITUTE(TRIM(ROUND(IFERROR(CriteriTecnici!$M315*1,IFERROR(NUMBERVALUE(CriteriTecnici!$M315,".",","),IFERROR(NUMBERVALUE(CriteriTecnici!$M315,",","."),0))),4)&amp;""),",",".")&amp;", "&amp;CHAR(34)&amp;"rawScore"&amp;CHAR(34)&amp;": "&amp;SUBSTITUTE(TRIM(ROUND(IFERROR(CriteriTecnici!$O315*1,IFERROR(NUMBERVALUE(CriteriTecnici!$O315,".",","),IFERROR(NUMBERVALUE(CriteriTecnici!$O315,",","."),0))),4)&amp;""),",",".")&amp;CHAR(125)&amp;IF(TRUE,",",""))</f>
        <v/>
      </c>
    </row>
    <row r="417">
      <c r="A417" s="82">
        <f>IF(CriteriTecnici!$A316="","","    "&amp;CHAR(123)&amp;CHAR(34)&amp;"bidderId"&amp;CHAR(34)&amp;": "&amp;CHAR(34)&amp;SUBSTITUTE(CriteriTecnici!$A316,CHAR(34),"'")&amp;CHAR(34)&amp;", "&amp;CHAR(34)&amp;"lotId"&amp;CHAR(34)&amp;": "&amp;CHAR(34)&amp;SUBSTITUTE(CriteriTecnici!$C316,CHAR(34),"'")&amp;CHAR(34)&amp;", "&amp;CHAR(34)&amp;"criterionId"&amp;CHAR(34)&amp;": "&amp;CHAR(34)&amp;SUBSTITUTE(CriteriTecnici!$D316,CHAR(34),"'")&amp;CHAR(34)&amp;", "&amp;CHAR(34)&amp;"kind"&amp;CHAR(34)&amp;": "&amp;CHAR(34)&amp;SUBSTITUTE(CriteriTecnici!$F316,CHAR(34),"'")&amp;CHAR(34)&amp;", "&amp;CHAR(34)&amp;"value"&amp;CHAR(34)&amp;": "&amp;SUBSTITUTE(TRIM(ROUND(IFERROR(CriteriTecnici!$N316*1,IFERROR(NUMBERVALUE(CriteriTecnici!$N316,".",","),IFERROR(NUMBERVALUE(CriteriTecnici!$N316,",","."),0))),4)&amp;""),",",".")&amp;", "&amp;CHAR(34)&amp;"numerator"&amp;CHAR(34)&amp;": "&amp;SUBSTITUTE(TRIM(ROUND(IFERROR(CriteriTecnici!$K316*1,IFERROR(NUMBERVALUE(CriteriTecnici!$K316,".",","),IFERROR(NUMBERVALUE(CriteriTecnici!$K316,",","."),0))),4)&amp;""),",",".")&amp;", "&amp;CHAR(34)&amp;"denominator"&amp;CHAR(34)&amp;": "&amp;SUBSTITUTE(TRIM(ROUND(IFERROR(CriteriTecnici!$L316*1,IFERROR(NUMBERVALUE(CriteriTecnici!$L316,".",","),IFERROR(NUMBERVALUE(CriteriTecnici!$L316,",","."),0))),4)&amp;""),",",".")&amp;", "&amp;CHAR(34)&amp;"flag"&amp;CHAR(34)&amp;": "&amp;SUBSTITUTE(TRIM(ROUND(IFERROR(CriteriTecnici!$M316*1,IFERROR(NUMBERVALUE(CriteriTecnici!$M316,".",","),IFERROR(NUMBERVALUE(CriteriTecnici!$M316,",","."),0))),4)&amp;""),",",".")&amp;", "&amp;CHAR(34)&amp;"rawScore"&amp;CHAR(34)&amp;": "&amp;SUBSTITUTE(TRIM(ROUND(IFERROR(CriteriTecnici!$O316*1,IFERROR(NUMBERVALUE(CriteriTecnici!$O316,".",","),IFERROR(NUMBERVALUE(CriteriTecnici!$O316,",","."),0))),4)&amp;""),",",".")&amp;CHAR(125)&amp;IF(TRUE,",",""))</f>
        <v/>
      </c>
    </row>
    <row r="418">
      <c r="A418" s="82">
        <f>IF(CriteriTecnici!$A317="","","    "&amp;CHAR(123)&amp;CHAR(34)&amp;"bidderId"&amp;CHAR(34)&amp;": "&amp;CHAR(34)&amp;SUBSTITUTE(CriteriTecnici!$A317,CHAR(34),"'")&amp;CHAR(34)&amp;", "&amp;CHAR(34)&amp;"lotId"&amp;CHAR(34)&amp;": "&amp;CHAR(34)&amp;SUBSTITUTE(CriteriTecnici!$C317,CHAR(34),"'")&amp;CHAR(34)&amp;", "&amp;CHAR(34)&amp;"criterionId"&amp;CHAR(34)&amp;": "&amp;CHAR(34)&amp;SUBSTITUTE(CriteriTecnici!$D317,CHAR(34),"'")&amp;CHAR(34)&amp;", "&amp;CHAR(34)&amp;"kind"&amp;CHAR(34)&amp;": "&amp;CHAR(34)&amp;SUBSTITUTE(CriteriTecnici!$F317,CHAR(34),"'")&amp;CHAR(34)&amp;", "&amp;CHAR(34)&amp;"value"&amp;CHAR(34)&amp;": "&amp;SUBSTITUTE(TRIM(ROUND(IFERROR(CriteriTecnici!$N317*1,IFERROR(NUMBERVALUE(CriteriTecnici!$N317,".",","),IFERROR(NUMBERVALUE(CriteriTecnici!$N317,",","."),0))),4)&amp;""),",",".")&amp;", "&amp;CHAR(34)&amp;"numerator"&amp;CHAR(34)&amp;": "&amp;SUBSTITUTE(TRIM(ROUND(IFERROR(CriteriTecnici!$K317*1,IFERROR(NUMBERVALUE(CriteriTecnici!$K317,".",","),IFERROR(NUMBERVALUE(CriteriTecnici!$K317,",","."),0))),4)&amp;""),",",".")&amp;", "&amp;CHAR(34)&amp;"denominator"&amp;CHAR(34)&amp;": "&amp;SUBSTITUTE(TRIM(ROUND(IFERROR(CriteriTecnici!$L317*1,IFERROR(NUMBERVALUE(CriteriTecnici!$L317,".",","),IFERROR(NUMBERVALUE(CriteriTecnici!$L317,",","."),0))),4)&amp;""),",",".")&amp;", "&amp;CHAR(34)&amp;"flag"&amp;CHAR(34)&amp;": "&amp;SUBSTITUTE(TRIM(ROUND(IFERROR(CriteriTecnici!$M317*1,IFERROR(NUMBERVALUE(CriteriTecnici!$M317,".",","),IFERROR(NUMBERVALUE(CriteriTecnici!$M317,",","."),0))),4)&amp;""),",",".")&amp;", "&amp;CHAR(34)&amp;"rawScore"&amp;CHAR(34)&amp;": "&amp;SUBSTITUTE(TRIM(ROUND(IFERROR(CriteriTecnici!$O317*1,IFERROR(NUMBERVALUE(CriteriTecnici!$O317,".",","),IFERROR(NUMBERVALUE(CriteriTecnici!$O317,",","."),0))),4)&amp;""),",",".")&amp;CHAR(125)&amp;IF(TRUE,",",""))</f>
        <v/>
      </c>
    </row>
    <row r="419">
      <c r="A419" s="82">
        <f>IF(CriteriTecnici!$A318="","","    "&amp;CHAR(123)&amp;CHAR(34)&amp;"bidderId"&amp;CHAR(34)&amp;": "&amp;CHAR(34)&amp;SUBSTITUTE(CriteriTecnici!$A318,CHAR(34),"'")&amp;CHAR(34)&amp;", "&amp;CHAR(34)&amp;"lotId"&amp;CHAR(34)&amp;": "&amp;CHAR(34)&amp;SUBSTITUTE(CriteriTecnici!$C318,CHAR(34),"'")&amp;CHAR(34)&amp;", "&amp;CHAR(34)&amp;"criterionId"&amp;CHAR(34)&amp;": "&amp;CHAR(34)&amp;SUBSTITUTE(CriteriTecnici!$D318,CHAR(34),"'")&amp;CHAR(34)&amp;", "&amp;CHAR(34)&amp;"kind"&amp;CHAR(34)&amp;": "&amp;CHAR(34)&amp;SUBSTITUTE(CriteriTecnici!$F318,CHAR(34),"'")&amp;CHAR(34)&amp;", "&amp;CHAR(34)&amp;"value"&amp;CHAR(34)&amp;": "&amp;SUBSTITUTE(TRIM(ROUND(IFERROR(CriteriTecnici!$N318*1,IFERROR(NUMBERVALUE(CriteriTecnici!$N318,".",","),IFERROR(NUMBERVALUE(CriteriTecnici!$N318,",","."),0))),4)&amp;""),",",".")&amp;", "&amp;CHAR(34)&amp;"numerator"&amp;CHAR(34)&amp;": "&amp;SUBSTITUTE(TRIM(ROUND(IFERROR(CriteriTecnici!$K318*1,IFERROR(NUMBERVALUE(CriteriTecnici!$K318,".",","),IFERROR(NUMBERVALUE(CriteriTecnici!$K318,",","."),0))),4)&amp;""),",",".")&amp;", "&amp;CHAR(34)&amp;"denominator"&amp;CHAR(34)&amp;": "&amp;SUBSTITUTE(TRIM(ROUND(IFERROR(CriteriTecnici!$L318*1,IFERROR(NUMBERVALUE(CriteriTecnici!$L318,".",","),IFERROR(NUMBERVALUE(CriteriTecnici!$L318,",","."),0))),4)&amp;""),",",".")&amp;", "&amp;CHAR(34)&amp;"flag"&amp;CHAR(34)&amp;": "&amp;SUBSTITUTE(TRIM(ROUND(IFERROR(CriteriTecnici!$M318*1,IFERROR(NUMBERVALUE(CriteriTecnici!$M318,".",","),IFERROR(NUMBERVALUE(CriteriTecnici!$M318,",","."),0))),4)&amp;""),",",".")&amp;", "&amp;CHAR(34)&amp;"rawScore"&amp;CHAR(34)&amp;": "&amp;SUBSTITUTE(TRIM(ROUND(IFERROR(CriteriTecnici!$O318*1,IFERROR(NUMBERVALUE(CriteriTecnici!$O318,".",","),IFERROR(NUMBERVALUE(CriteriTecnici!$O318,",","."),0))),4)&amp;""),",",".")&amp;CHAR(125)&amp;IF(TRUE,",",""))</f>
        <v/>
      </c>
    </row>
    <row r="420">
      <c r="A420" s="82">
        <f>IF(CriteriTecnici!$A319="","","    "&amp;CHAR(123)&amp;CHAR(34)&amp;"bidderId"&amp;CHAR(34)&amp;": "&amp;CHAR(34)&amp;SUBSTITUTE(CriteriTecnici!$A319,CHAR(34),"'")&amp;CHAR(34)&amp;", "&amp;CHAR(34)&amp;"lotId"&amp;CHAR(34)&amp;": "&amp;CHAR(34)&amp;SUBSTITUTE(CriteriTecnici!$C319,CHAR(34),"'")&amp;CHAR(34)&amp;", "&amp;CHAR(34)&amp;"criterionId"&amp;CHAR(34)&amp;": "&amp;CHAR(34)&amp;SUBSTITUTE(CriteriTecnici!$D319,CHAR(34),"'")&amp;CHAR(34)&amp;", "&amp;CHAR(34)&amp;"kind"&amp;CHAR(34)&amp;": "&amp;CHAR(34)&amp;SUBSTITUTE(CriteriTecnici!$F319,CHAR(34),"'")&amp;CHAR(34)&amp;", "&amp;CHAR(34)&amp;"value"&amp;CHAR(34)&amp;": "&amp;SUBSTITUTE(TRIM(ROUND(IFERROR(CriteriTecnici!$N319*1,IFERROR(NUMBERVALUE(CriteriTecnici!$N319,".",","),IFERROR(NUMBERVALUE(CriteriTecnici!$N319,",","."),0))),4)&amp;""),",",".")&amp;", "&amp;CHAR(34)&amp;"numerator"&amp;CHAR(34)&amp;": "&amp;SUBSTITUTE(TRIM(ROUND(IFERROR(CriteriTecnici!$K319*1,IFERROR(NUMBERVALUE(CriteriTecnici!$K319,".",","),IFERROR(NUMBERVALUE(CriteriTecnici!$K319,",","."),0))),4)&amp;""),",",".")&amp;", "&amp;CHAR(34)&amp;"denominator"&amp;CHAR(34)&amp;": "&amp;SUBSTITUTE(TRIM(ROUND(IFERROR(CriteriTecnici!$L319*1,IFERROR(NUMBERVALUE(CriteriTecnici!$L319,".",","),IFERROR(NUMBERVALUE(CriteriTecnici!$L319,",","."),0))),4)&amp;""),",",".")&amp;", "&amp;CHAR(34)&amp;"flag"&amp;CHAR(34)&amp;": "&amp;SUBSTITUTE(TRIM(ROUND(IFERROR(CriteriTecnici!$M319*1,IFERROR(NUMBERVALUE(CriteriTecnici!$M319,".",","),IFERROR(NUMBERVALUE(CriteriTecnici!$M319,",","."),0))),4)&amp;""),",",".")&amp;", "&amp;CHAR(34)&amp;"rawScore"&amp;CHAR(34)&amp;": "&amp;SUBSTITUTE(TRIM(ROUND(IFERROR(CriteriTecnici!$O319*1,IFERROR(NUMBERVALUE(CriteriTecnici!$O319,".",","),IFERROR(NUMBERVALUE(CriteriTecnici!$O319,",","."),0))),4)&amp;""),",",".")&amp;CHAR(125)&amp;IF(TRUE,",",""))</f>
        <v/>
      </c>
    </row>
    <row r="421">
      <c r="A421" s="82">
        <f>IF(CriteriTecnici!$A320="","","    "&amp;CHAR(123)&amp;CHAR(34)&amp;"bidderId"&amp;CHAR(34)&amp;": "&amp;CHAR(34)&amp;SUBSTITUTE(CriteriTecnici!$A320,CHAR(34),"'")&amp;CHAR(34)&amp;", "&amp;CHAR(34)&amp;"lotId"&amp;CHAR(34)&amp;": "&amp;CHAR(34)&amp;SUBSTITUTE(CriteriTecnici!$C320,CHAR(34),"'")&amp;CHAR(34)&amp;", "&amp;CHAR(34)&amp;"criterionId"&amp;CHAR(34)&amp;": "&amp;CHAR(34)&amp;SUBSTITUTE(CriteriTecnici!$D320,CHAR(34),"'")&amp;CHAR(34)&amp;", "&amp;CHAR(34)&amp;"kind"&amp;CHAR(34)&amp;": "&amp;CHAR(34)&amp;SUBSTITUTE(CriteriTecnici!$F320,CHAR(34),"'")&amp;CHAR(34)&amp;", "&amp;CHAR(34)&amp;"value"&amp;CHAR(34)&amp;": "&amp;SUBSTITUTE(TRIM(ROUND(IFERROR(CriteriTecnici!$N320*1,IFERROR(NUMBERVALUE(CriteriTecnici!$N320,".",","),IFERROR(NUMBERVALUE(CriteriTecnici!$N320,",","."),0))),4)&amp;""),",",".")&amp;", "&amp;CHAR(34)&amp;"numerator"&amp;CHAR(34)&amp;": "&amp;SUBSTITUTE(TRIM(ROUND(IFERROR(CriteriTecnici!$K320*1,IFERROR(NUMBERVALUE(CriteriTecnici!$K320,".",","),IFERROR(NUMBERVALUE(CriteriTecnici!$K320,",","."),0))),4)&amp;""),",",".")&amp;", "&amp;CHAR(34)&amp;"denominator"&amp;CHAR(34)&amp;": "&amp;SUBSTITUTE(TRIM(ROUND(IFERROR(CriteriTecnici!$L320*1,IFERROR(NUMBERVALUE(CriteriTecnici!$L320,".",","),IFERROR(NUMBERVALUE(CriteriTecnici!$L320,",","."),0))),4)&amp;""),",",".")&amp;", "&amp;CHAR(34)&amp;"flag"&amp;CHAR(34)&amp;": "&amp;SUBSTITUTE(TRIM(ROUND(IFERROR(CriteriTecnici!$M320*1,IFERROR(NUMBERVALUE(CriteriTecnici!$M320,".",","),IFERROR(NUMBERVALUE(CriteriTecnici!$M320,",","."),0))),4)&amp;""),",",".")&amp;", "&amp;CHAR(34)&amp;"rawScore"&amp;CHAR(34)&amp;": "&amp;SUBSTITUTE(TRIM(ROUND(IFERROR(CriteriTecnici!$O320*1,IFERROR(NUMBERVALUE(CriteriTecnici!$O320,".",","),IFERROR(NUMBERVALUE(CriteriTecnici!$O320,",","."),0))),4)&amp;""),",",".")&amp;CHAR(125)&amp;IF(TRUE,",",""))</f>
        <v/>
      </c>
    </row>
    <row r="422">
      <c r="A422" s="82">
        <f>IF(CriteriTecnici!$A321="","","    "&amp;CHAR(123)&amp;CHAR(34)&amp;"bidderId"&amp;CHAR(34)&amp;": "&amp;CHAR(34)&amp;SUBSTITUTE(CriteriTecnici!$A321,CHAR(34),"'")&amp;CHAR(34)&amp;", "&amp;CHAR(34)&amp;"lotId"&amp;CHAR(34)&amp;": "&amp;CHAR(34)&amp;SUBSTITUTE(CriteriTecnici!$C321,CHAR(34),"'")&amp;CHAR(34)&amp;", "&amp;CHAR(34)&amp;"criterionId"&amp;CHAR(34)&amp;": "&amp;CHAR(34)&amp;SUBSTITUTE(CriteriTecnici!$D321,CHAR(34),"'")&amp;CHAR(34)&amp;", "&amp;CHAR(34)&amp;"kind"&amp;CHAR(34)&amp;": "&amp;CHAR(34)&amp;SUBSTITUTE(CriteriTecnici!$F321,CHAR(34),"'")&amp;CHAR(34)&amp;", "&amp;CHAR(34)&amp;"value"&amp;CHAR(34)&amp;": "&amp;SUBSTITUTE(TRIM(ROUND(IFERROR(CriteriTecnici!$N321*1,IFERROR(NUMBERVALUE(CriteriTecnici!$N321,".",","),IFERROR(NUMBERVALUE(CriteriTecnici!$N321,",","."),0))),4)&amp;""),",",".")&amp;", "&amp;CHAR(34)&amp;"numerator"&amp;CHAR(34)&amp;": "&amp;SUBSTITUTE(TRIM(ROUND(IFERROR(CriteriTecnici!$K321*1,IFERROR(NUMBERVALUE(CriteriTecnici!$K321,".",","),IFERROR(NUMBERVALUE(CriteriTecnici!$K321,",","."),0))),4)&amp;""),",",".")&amp;", "&amp;CHAR(34)&amp;"denominator"&amp;CHAR(34)&amp;": "&amp;SUBSTITUTE(TRIM(ROUND(IFERROR(CriteriTecnici!$L321*1,IFERROR(NUMBERVALUE(CriteriTecnici!$L321,".",","),IFERROR(NUMBERVALUE(CriteriTecnici!$L321,",","."),0))),4)&amp;""),",",".")&amp;", "&amp;CHAR(34)&amp;"flag"&amp;CHAR(34)&amp;": "&amp;SUBSTITUTE(TRIM(ROUND(IFERROR(CriteriTecnici!$M321*1,IFERROR(NUMBERVALUE(CriteriTecnici!$M321,".",","),IFERROR(NUMBERVALUE(CriteriTecnici!$M321,",","."),0))),4)&amp;""),",",".")&amp;", "&amp;CHAR(34)&amp;"rawScore"&amp;CHAR(34)&amp;": "&amp;SUBSTITUTE(TRIM(ROUND(IFERROR(CriteriTecnici!$O321*1,IFERROR(NUMBERVALUE(CriteriTecnici!$O321,".",","),IFERROR(NUMBERVALUE(CriteriTecnici!$O321,",","."),0))),4)&amp;""),",",".")&amp;CHAR(125)&amp;IF(TRUE,",",""))</f>
        <v/>
      </c>
    </row>
    <row r="423">
      <c r="A423" s="82">
        <f>IF(CriteriTecnici!$A322="","","    "&amp;CHAR(123)&amp;CHAR(34)&amp;"bidderId"&amp;CHAR(34)&amp;": "&amp;CHAR(34)&amp;SUBSTITUTE(CriteriTecnici!$A322,CHAR(34),"'")&amp;CHAR(34)&amp;", "&amp;CHAR(34)&amp;"lotId"&amp;CHAR(34)&amp;": "&amp;CHAR(34)&amp;SUBSTITUTE(CriteriTecnici!$C322,CHAR(34),"'")&amp;CHAR(34)&amp;", "&amp;CHAR(34)&amp;"criterionId"&amp;CHAR(34)&amp;": "&amp;CHAR(34)&amp;SUBSTITUTE(CriteriTecnici!$D322,CHAR(34),"'")&amp;CHAR(34)&amp;", "&amp;CHAR(34)&amp;"kind"&amp;CHAR(34)&amp;": "&amp;CHAR(34)&amp;SUBSTITUTE(CriteriTecnici!$F322,CHAR(34),"'")&amp;CHAR(34)&amp;", "&amp;CHAR(34)&amp;"value"&amp;CHAR(34)&amp;": "&amp;SUBSTITUTE(TRIM(ROUND(IFERROR(CriteriTecnici!$N322*1,IFERROR(NUMBERVALUE(CriteriTecnici!$N322,".",","),IFERROR(NUMBERVALUE(CriteriTecnici!$N322,",","."),0))),4)&amp;""),",",".")&amp;", "&amp;CHAR(34)&amp;"numerator"&amp;CHAR(34)&amp;": "&amp;SUBSTITUTE(TRIM(ROUND(IFERROR(CriteriTecnici!$K322*1,IFERROR(NUMBERVALUE(CriteriTecnici!$K322,".",","),IFERROR(NUMBERVALUE(CriteriTecnici!$K322,",","."),0))),4)&amp;""),",",".")&amp;", "&amp;CHAR(34)&amp;"denominator"&amp;CHAR(34)&amp;": "&amp;SUBSTITUTE(TRIM(ROUND(IFERROR(CriteriTecnici!$L322*1,IFERROR(NUMBERVALUE(CriteriTecnici!$L322,".",","),IFERROR(NUMBERVALUE(CriteriTecnici!$L322,",","."),0))),4)&amp;""),",",".")&amp;", "&amp;CHAR(34)&amp;"flag"&amp;CHAR(34)&amp;": "&amp;SUBSTITUTE(TRIM(ROUND(IFERROR(CriteriTecnici!$M322*1,IFERROR(NUMBERVALUE(CriteriTecnici!$M322,".",","),IFERROR(NUMBERVALUE(CriteriTecnici!$M322,",","."),0))),4)&amp;""),",",".")&amp;", "&amp;CHAR(34)&amp;"rawScore"&amp;CHAR(34)&amp;": "&amp;SUBSTITUTE(TRIM(ROUND(IFERROR(CriteriTecnici!$O322*1,IFERROR(NUMBERVALUE(CriteriTecnici!$O322,".",","),IFERROR(NUMBERVALUE(CriteriTecnici!$O322,",","."),0))),4)&amp;""),",",".")&amp;CHAR(125)&amp;IF(TRUE,",",""))</f>
        <v/>
      </c>
    </row>
    <row r="424">
      <c r="A424" s="82">
        <f>IF(CriteriTecnici!$A323="","","    "&amp;CHAR(123)&amp;CHAR(34)&amp;"bidderId"&amp;CHAR(34)&amp;": "&amp;CHAR(34)&amp;SUBSTITUTE(CriteriTecnici!$A323,CHAR(34),"'")&amp;CHAR(34)&amp;", "&amp;CHAR(34)&amp;"lotId"&amp;CHAR(34)&amp;": "&amp;CHAR(34)&amp;SUBSTITUTE(CriteriTecnici!$C323,CHAR(34),"'")&amp;CHAR(34)&amp;", "&amp;CHAR(34)&amp;"criterionId"&amp;CHAR(34)&amp;": "&amp;CHAR(34)&amp;SUBSTITUTE(CriteriTecnici!$D323,CHAR(34),"'")&amp;CHAR(34)&amp;", "&amp;CHAR(34)&amp;"kind"&amp;CHAR(34)&amp;": "&amp;CHAR(34)&amp;SUBSTITUTE(CriteriTecnici!$F323,CHAR(34),"'")&amp;CHAR(34)&amp;", "&amp;CHAR(34)&amp;"value"&amp;CHAR(34)&amp;": "&amp;SUBSTITUTE(TRIM(ROUND(IFERROR(CriteriTecnici!$N323*1,IFERROR(NUMBERVALUE(CriteriTecnici!$N323,".",","),IFERROR(NUMBERVALUE(CriteriTecnici!$N323,",","."),0))),4)&amp;""),",",".")&amp;", "&amp;CHAR(34)&amp;"numerator"&amp;CHAR(34)&amp;": "&amp;SUBSTITUTE(TRIM(ROUND(IFERROR(CriteriTecnici!$K323*1,IFERROR(NUMBERVALUE(CriteriTecnici!$K323,".",","),IFERROR(NUMBERVALUE(CriteriTecnici!$K323,",","."),0))),4)&amp;""),",",".")&amp;", "&amp;CHAR(34)&amp;"denominator"&amp;CHAR(34)&amp;": "&amp;SUBSTITUTE(TRIM(ROUND(IFERROR(CriteriTecnici!$L323*1,IFERROR(NUMBERVALUE(CriteriTecnici!$L323,".",","),IFERROR(NUMBERVALUE(CriteriTecnici!$L323,",","."),0))),4)&amp;""),",",".")&amp;", "&amp;CHAR(34)&amp;"flag"&amp;CHAR(34)&amp;": "&amp;SUBSTITUTE(TRIM(ROUND(IFERROR(CriteriTecnici!$M323*1,IFERROR(NUMBERVALUE(CriteriTecnici!$M323,".",","),IFERROR(NUMBERVALUE(CriteriTecnici!$M323,",","."),0))),4)&amp;""),",",".")&amp;", "&amp;CHAR(34)&amp;"rawScore"&amp;CHAR(34)&amp;": "&amp;SUBSTITUTE(TRIM(ROUND(IFERROR(CriteriTecnici!$O323*1,IFERROR(NUMBERVALUE(CriteriTecnici!$O323,".",","),IFERROR(NUMBERVALUE(CriteriTecnici!$O323,",","."),0))),4)&amp;""),",",".")&amp;CHAR(125)&amp;IF(TRUE,",",""))</f>
        <v/>
      </c>
    </row>
    <row r="425">
      <c r="A425" s="82">
        <f>IF(CriteriTecnici!$A324="","","    "&amp;CHAR(123)&amp;CHAR(34)&amp;"bidderId"&amp;CHAR(34)&amp;": "&amp;CHAR(34)&amp;SUBSTITUTE(CriteriTecnici!$A324,CHAR(34),"'")&amp;CHAR(34)&amp;", "&amp;CHAR(34)&amp;"lotId"&amp;CHAR(34)&amp;": "&amp;CHAR(34)&amp;SUBSTITUTE(CriteriTecnici!$C324,CHAR(34),"'")&amp;CHAR(34)&amp;", "&amp;CHAR(34)&amp;"criterionId"&amp;CHAR(34)&amp;": "&amp;CHAR(34)&amp;SUBSTITUTE(CriteriTecnici!$D324,CHAR(34),"'")&amp;CHAR(34)&amp;", "&amp;CHAR(34)&amp;"kind"&amp;CHAR(34)&amp;": "&amp;CHAR(34)&amp;SUBSTITUTE(CriteriTecnici!$F324,CHAR(34),"'")&amp;CHAR(34)&amp;", "&amp;CHAR(34)&amp;"value"&amp;CHAR(34)&amp;": "&amp;SUBSTITUTE(TRIM(ROUND(IFERROR(CriteriTecnici!$N324*1,IFERROR(NUMBERVALUE(CriteriTecnici!$N324,".",","),IFERROR(NUMBERVALUE(CriteriTecnici!$N324,",","."),0))),4)&amp;""),",",".")&amp;", "&amp;CHAR(34)&amp;"numerator"&amp;CHAR(34)&amp;": "&amp;SUBSTITUTE(TRIM(ROUND(IFERROR(CriteriTecnici!$K324*1,IFERROR(NUMBERVALUE(CriteriTecnici!$K324,".",","),IFERROR(NUMBERVALUE(CriteriTecnici!$K324,",","."),0))),4)&amp;""),",",".")&amp;", "&amp;CHAR(34)&amp;"denominator"&amp;CHAR(34)&amp;": "&amp;SUBSTITUTE(TRIM(ROUND(IFERROR(CriteriTecnici!$L324*1,IFERROR(NUMBERVALUE(CriteriTecnici!$L324,".",","),IFERROR(NUMBERVALUE(CriteriTecnici!$L324,",","."),0))),4)&amp;""),",",".")&amp;", "&amp;CHAR(34)&amp;"flag"&amp;CHAR(34)&amp;": "&amp;SUBSTITUTE(TRIM(ROUND(IFERROR(CriteriTecnici!$M324*1,IFERROR(NUMBERVALUE(CriteriTecnici!$M324,".",","),IFERROR(NUMBERVALUE(CriteriTecnici!$M324,",","."),0))),4)&amp;""),",",".")&amp;", "&amp;CHAR(34)&amp;"rawScore"&amp;CHAR(34)&amp;": "&amp;SUBSTITUTE(TRIM(ROUND(IFERROR(CriteriTecnici!$O324*1,IFERROR(NUMBERVALUE(CriteriTecnici!$O324,".",","),IFERROR(NUMBERVALUE(CriteriTecnici!$O324,",","."),0))),4)&amp;""),",",".")&amp;CHAR(125)&amp;IF(TRUE,",",""))</f>
        <v/>
      </c>
    </row>
    <row r="426">
      <c r="A426" s="82">
        <f>IF(CriteriTecnici!$A325="","","    "&amp;CHAR(123)&amp;CHAR(34)&amp;"bidderId"&amp;CHAR(34)&amp;": "&amp;CHAR(34)&amp;SUBSTITUTE(CriteriTecnici!$A325,CHAR(34),"'")&amp;CHAR(34)&amp;", "&amp;CHAR(34)&amp;"lotId"&amp;CHAR(34)&amp;": "&amp;CHAR(34)&amp;SUBSTITUTE(CriteriTecnici!$C325,CHAR(34),"'")&amp;CHAR(34)&amp;", "&amp;CHAR(34)&amp;"criterionId"&amp;CHAR(34)&amp;": "&amp;CHAR(34)&amp;SUBSTITUTE(CriteriTecnici!$D325,CHAR(34),"'")&amp;CHAR(34)&amp;", "&amp;CHAR(34)&amp;"kind"&amp;CHAR(34)&amp;": "&amp;CHAR(34)&amp;SUBSTITUTE(CriteriTecnici!$F325,CHAR(34),"'")&amp;CHAR(34)&amp;", "&amp;CHAR(34)&amp;"value"&amp;CHAR(34)&amp;": "&amp;SUBSTITUTE(TRIM(ROUND(IFERROR(CriteriTecnici!$N325*1,IFERROR(NUMBERVALUE(CriteriTecnici!$N325,".",","),IFERROR(NUMBERVALUE(CriteriTecnici!$N325,",","."),0))),4)&amp;""),",",".")&amp;", "&amp;CHAR(34)&amp;"numerator"&amp;CHAR(34)&amp;": "&amp;SUBSTITUTE(TRIM(ROUND(IFERROR(CriteriTecnici!$K325*1,IFERROR(NUMBERVALUE(CriteriTecnici!$K325,".",","),IFERROR(NUMBERVALUE(CriteriTecnici!$K325,",","."),0))),4)&amp;""),",",".")&amp;", "&amp;CHAR(34)&amp;"denominator"&amp;CHAR(34)&amp;": "&amp;SUBSTITUTE(TRIM(ROUND(IFERROR(CriteriTecnici!$L325*1,IFERROR(NUMBERVALUE(CriteriTecnici!$L325,".",","),IFERROR(NUMBERVALUE(CriteriTecnici!$L325,",","."),0))),4)&amp;""),",",".")&amp;", "&amp;CHAR(34)&amp;"flag"&amp;CHAR(34)&amp;": "&amp;SUBSTITUTE(TRIM(ROUND(IFERROR(CriteriTecnici!$M325*1,IFERROR(NUMBERVALUE(CriteriTecnici!$M325,".",","),IFERROR(NUMBERVALUE(CriteriTecnici!$M325,",","."),0))),4)&amp;""),",",".")&amp;", "&amp;CHAR(34)&amp;"rawScore"&amp;CHAR(34)&amp;": "&amp;SUBSTITUTE(TRIM(ROUND(IFERROR(CriteriTecnici!$O325*1,IFERROR(NUMBERVALUE(CriteriTecnici!$O325,".",","),IFERROR(NUMBERVALUE(CriteriTecnici!$O325,",","."),0))),4)&amp;""),",",".")&amp;CHAR(125)&amp;IF(TRUE,",",""))</f>
        <v/>
      </c>
    </row>
    <row r="427">
      <c r="A427" s="82">
        <f>IF(CriteriTecnici!$A326="","","    "&amp;CHAR(123)&amp;CHAR(34)&amp;"bidderId"&amp;CHAR(34)&amp;": "&amp;CHAR(34)&amp;SUBSTITUTE(CriteriTecnici!$A326,CHAR(34),"'")&amp;CHAR(34)&amp;", "&amp;CHAR(34)&amp;"lotId"&amp;CHAR(34)&amp;": "&amp;CHAR(34)&amp;SUBSTITUTE(CriteriTecnici!$C326,CHAR(34),"'")&amp;CHAR(34)&amp;", "&amp;CHAR(34)&amp;"criterionId"&amp;CHAR(34)&amp;": "&amp;CHAR(34)&amp;SUBSTITUTE(CriteriTecnici!$D326,CHAR(34),"'")&amp;CHAR(34)&amp;", "&amp;CHAR(34)&amp;"kind"&amp;CHAR(34)&amp;": "&amp;CHAR(34)&amp;SUBSTITUTE(CriteriTecnici!$F326,CHAR(34),"'")&amp;CHAR(34)&amp;", "&amp;CHAR(34)&amp;"value"&amp;CHAR(34)&amp;": "&amp;SUBSTITUTE(TRIM(ROUND(IFERROR(CriteriTecnici!$N326*1,IFERROR(NUMBERVALUE(CriteriTecnici!$N326,".",","),IFERROR(NUMBERVALUE(CriteriTecnici!$N326,",","."),0))),4)&amp;""),",",".")&amp;", "&amp;CHAR(34)&amp;"numerator"&amp;CHAR(34)&amp;": "&amp;SUBSTITUTE(TRIM(ROUND(IFERROR(CriteriTecnici!$K326*1,IFERROR(NUMBERVALUE(CriteriTecnici!$K326,".",","),IFERROR(NUMBERVALUE(CriteriTecnici!$K326,",","."),0))),4)&amp;""),",",".")&amp;", "&amp;CHAR(34)&amp;"denominator"&amp;CHAR(34)&amp;": "&amp;SUBSTITUTE(TRIM(ROUND(IFERROR(CriteriTecnici!$L326*1,IFERROR(NUMBERVALUE(CriteriTecnici!$L326,".",","),IFERROR(NUMBERVALUE(CriteriTecnici!$L326,",","."),0))),4)&amp;""),",",".")&amp;", "&amp;CHAR(34)&amp;"flag"&amp;CHAR(34)&amp;": "&amp;SUBSTITUTE(TRIM(ROUND(IFERROR(CriteriTecnici!$M326*1,IFERROR(NUMBERVALUE(CriteriTecnici!$M326,".",","),IFERROR(NUMBERVALUE(CriteriTecnici!$M326,",","."),0))),4)&amp;""),",",".")&amp;", "&amp;CHAR(34)&amp;"rawScore"&amp;CHAR(34)&amp;": "&amp;SUBSTITUTE(TRIM(ROUND(IFERROR(CriteriTecnici!$O326*1,IFERROR(NUMBERVALUE(CriteriTecnici!$O326,".",","),IFERROR(NUMBERVALUE(CriteriTecnici!$O326,",","."),0))),4)&amp;""),",",".")&amp;CHAR(125)&amp;IF(TRUE,",",""))</f>
        <v/>
      </c>
    </row>
    <row r="428">
      <c r="A428" s="82">
        <f>IF(CriteriTecnici!$A327="","","    "&amp;CHAR(123)&amp;CHAR(34)&amp;"bidderId"&amp;CHAR(34)&amp;": "&amp;CHAR(34)&amp;SUBSTITUTE(CriteriTecnici!$A327,CHAR(34),"'")&amp;CHAR(34)&amp;", "&amp;CHAR(34)&amp;"lotId"&amp;CHAR(34)&amp;": "&amp;CHAR(34)&amp;SUBSTITUTE(CriteriTecnici!$C327,CHAR(34),"'")&amp;CHAR(34)&amp;", "&amp;CHAR(34)&amp;"criterionId"&amp;CHAR(34)&amp;": "&amp;CHAR(34)&amp;SUBSTITUTE(CriteriTecnici!$D327,CHAR(34),"'")&amp;CHAR(34)&amp;", "&amp;CHAR(34)&amp;"kind"&amp;CHAR(34)&amp;": "&amp;CHAR(34)&amp;SUBSTITUTE(CriteriTecnici!$F327,CHAR(34),"'")&amp;CHAR(34)&amp;", "&amp;CHAR(34)&amp;"value"&amp;CHAR(34)&amp;": "&amp;SUBSTITUTE(TRIM(ROUND(IFERROR(CriteriTecnici!$N327*1,IFERROR(NUMBERVALUE(CriteriTecnici!$N327,".",","),IFERROR(NUMBERVALUE(CriteriTecnici!$N327,",","."),0))),4)&amp;""),",",".")&amp;", "&amp;CHAR(34)&amp;"numerator"&amp;CHAR(34)&amp;": "&amp;SUBSTITUTE(TRIM(ROUND(IFERROR(CriteriTecnici!$K327*1,IFERROR(NUMBERVALUE(CriteriTecnici!$K327,".",","),IFERROR(NUMBERVALUE(CriteriTecnici!$K327,",","."),0))),4)&amp;""),",",".")&amp;", "&amp;CHAR(34)&amp;"denominator"&amp;CHAR(34)&amp;": "&amp;SUBSTITUTE(TRIM(ROUND(IFERROR(CriteriTecnici!$L327*1,IFERROR(NUMBERVALUE(CriteriTecnici!$L327,".",","),IFERROR(NUMBERVALUE(CriteriTecnici!$L327,",","."),0))),4)&amp;""),",",".")&amp;", "&amp;CHAR(34)&amp;"flag"&amp;CHAR(34)&amp;": "&amp;SUBSTITUTE(TRIM(ROUND(IFERROR(CriteriTecnici!$M327*1,IFERROR(NUMBERVALUE(CriteriTecnici!$M327,".",","),IFERROR(NUMBERVALUE(CriteriTecnici!$M327,",","."),0))),4)&amp;""),",",".")&amp;", "&amp;CHAR(34)&amp;"rawScore"&amp;CHAR(34)&amp;": "&amp;SUBSTITUTE(TRIM(ROUND(IFERROR(CriteriTecnici!$O327*1,IFERROR(NUMBERVALUE(CriteriTecnici!$O327,".",","),IFERROR(NUMBERVALUE(CriteriTecnici!$O327,",","."),0))),4)&amp;""),",",".")&amp;CHAR(125)&amp;IF(TRUE,",",""))</f>
        <v/>
      </c>
    </row>
    <row r="429">
      <c r="A429" s="82">
        <f>IF(CriteriTecnici!$A328="","","    "&amp;CHAR(123)&amp;CHAR(34)&amp;"bidderId"&amp;CHAR(34)&amp;": "&amp;CHAR(34)&amp;SUBSTITUTE(CriteriTecnici!$A328,CHAR(34),"'")&amp;CHAR(34)&amp;", "&amp;CHAR(34)&amp;"lotId"&amp;CHAR(34)&amp;": "&amp;CHAR(34)&amp;SUBSTITUTE(CriteriTecnici!$C328,CHAR(34),"'")&amp;CHAR(34)&amp;", "&amp;CHAR(34)&amp;"criterionId"&amp;CHAR(34)&amp;": "&amp;CHAR(34)&amp;SUBSTITUTE(CriteriTecnici!$D328,CHAR(34),"'")&amp;CHAR(34)&amp;", "&amp;CHAR(34)&amp;"kind"&amp;CHAR(34)&amp;": "&amp;CHAR(34)&amp;SUBSTITUTE(CriteriTecnici!$F328,CHAR(34),"'")&amp;CHAR(34)&amp;", "&amp;CHAR(34)&amp;"value"&amp;CHAR(34)&amp;": "&amp;SUBSTITUTE(TRIM(ROUND(IFERROR(CriteriTecnici!$N328*1,IFERROR(NUMBERVALUE(CriteriTecnici!$N328,".",","),IFERROR(NUMBERVALUE(CriteriTecnici!$N328,",","."),0))),4)&amp;""),",",".")&amp;", "&amp;CHAR(34)&amp;"numerator"&amp;CHAR(34)&amp;": "&amp;SUBSTITUTE(TRIM(ROUND(IFERROR(CriteriTecnici!$K328*1,IFERROR(NUMBERVALUE(CriteriTecnici!$K328,".",","),IFERROR(NUMBERVALUE(CriteriTecnici!$K328,",","."),0))),4)&amp;""),",",".")&amp;", "&amp;CHAR(34)&amp;"denominator"&amp;CHAR(34)&amp;": "&amp;SUBSTITUTE(TRIM(ROUND(IFERROR(CriteriTecnici!$L328*1,IFERROR(NUMBERVALUE(CriteriTecnici!$L328,".",","),IFERROR(NUMBERVALUE(CriteriTecnici!$L328,",","."),0))),4)&amp;""),",",".")&amp;", "&amp;CHAR(34)&amp;"flag"&amp;CHAR(34)&amp;": "&amp;SUBSTITUTE(TRIM(ROUND(IFERROR(CriteriTecnici!$M328*1,IFERROR(NUMBERVALUE(CriteriTecnici!$M328,".",","),IFERROR(NUMBERVALUE(CriteriTecnici!$M328,",","."),0))),4)&amp;""),",",".")&amp;", "&amp;CHAR(34)&amp;"rawScore"&amp;CHAR(34)&amp;": "&amp;SUBSTITUTE(TRIM(ROUND(IFERROR(CriteriTecnici!$O328*1,IFERROR(NUMBERVALUE(CriteriTecnici!$O328,".",","),IFERROR(NUMBERVALUE(CriteriTecnici!$O328,",","."),0))),4)&amp;""),",",".")&amp;CHAR(125)&amp;IF(TRUE,",",""))</f>
        <v/>
      </c>
    </row>
    <row r="430">
      <c r="A430" s="82">
        <f>IF(CriteriTecnici!$A329="","","    "&amp;CHAR(123)&amp;CHAR(34)&amp;"bidderId"&amp;CHAR(34)&amp;": "&amp;CHAR(34)&amp;SUBSTITUTE(CriteriTecnici!$A329,CHAR(34),"'")&amp;CHAR(34)&amp;", "&amp;CHAR(34)&amp;"lotId"&amp;CHAR(34)&amp;": "&amp;CHAR(34)&amp;SUBSTITUTE(CriteriTecnici!$C329,CHAR(34),"'")&amp;CHAR(34)&amp;", "&amp;CHAR(34)&amp;"criterionId"&amp;CHAR(34)&amp;": "&amp;CHAR(34)&amp;SUBSTITUTE(CriteriTecnici!$D329,CHAR(34),"'")&amp;CHAR(34)&amp;", "&amp;CHAR(34)&amp;"kind"&amp;CHAR(34)&amp;": "&amp;CHAR(34)&amp;SUBSTITUTE(CriteriTecnici!$F329,CHAR(34),"'")&amp;CHAR(34)&amp;", "&amp;CHAR(34)&amp;"value"&amp;CHAR(34)&amp;": "&amp;SUBSTITUTE(TRIM(ROUND(IFERROR(CriteriTecnici!$N329*1,IFERROR(NUMBERVALUE(CriteriTecnici!$N329,".",","),IFERROR(NUMBERVALUE(CriteriTecnici!$N329,",","."),0))),4)&amp;""),",",".")&amp;", "&amp;CHAR(34)&amp;"numerator"&amp;CHAR(34)&amp;": "&amp;SUBSTITUTE(TRIM(ROUND(IFERROR(CriteriTecnici!$K329*1,IFERROR(NUMBERVALUE(CriteriTecnici!$K329,".",","),IFERROR(NUMBERVALUE(CriteriTecnici!$K329,",","."),0))),4)&amp;""),",",".")&amp;", "&amp;CHAR(34)&amp;"denominator"&amp;CHAR(34)&amp;": "&amp;SUBSTITUTE(TRIM(ROUND(IFERROR(CriteriTecnici!$L329*1,IFERROR(NUMBERVALUE(CriteriTecnici!$L329,".",","),IFERROR(NUMBERVALUE(CriteriTecnici!$L329,",","."),0))),4)&amp;""),",",".")&amp;", "&amp;CHAR(34)&amp;"flag"&amp;CHAR(34)&amp;": "&amp;SUBSTITUTE(TRIM(ROUND(IFERROR(CriteriTecnici!$M329*1,IFERROR(NUMBERVALUE(CriteriTecnici!$M329,".",","),IFERROR(NUMBERVALUE(CriteriTecnici!$M329,",","."),0))),4)&amp;""),",",".")&amp;", "&amp;CHAR(34)&amp;"rawScore"&amp;CHAR(34)&amp;": "&amp;SUBSTITUTE(TRIM(ROUND(IFERROR(CriteriTecnici!$O329*1,IFERROR(NUMBERVALUE(CriteriTecnici!$O329,".",","),IFERROR(NUMBERVALUE(CriteriTecnici!$O329,",","."),0))),4)&amp;""),",",".")&amp;CHAR(125)&amp;IF(TRUE,",",""))</f>
        <v/>
      </c>
    </row>
    <row r="431">
      <c r="A431" s="82">
        <f>IF(CriteriTecnici!$A330="","","    "&amp;CHAR(123)&amp;CHAR(34)&amp;"bidderId"&amp;CHAR(34)&amp;": "&amp;CHAR(34)&amp;SUBSTITUTE(CriteriTecnici!$A330,CHAR(34),"'")&amp;CHAR(34)&amp;", "&amp;CHAR(34)&amp;"lotId"&amp;CHAR(34)&amp;": "&amp;CHAR(34)&amp;SUBSTITUTE(CriteriTecnici!$C330,CHAR(34),"'")&amp;CHAR(34)&amp;", "&amp;CHAR(34)&amp;"criterionId"&amp;CHAR(34)&amp;": "&amp;CHAR(34)&amp;SUBSTITUTE(CriteriTecnici!$D330,CHAR(34),"'")&amp;CHAR(34)&amp;", "&amp;CHAR(34)&amp;"kind"&amp;CHAR(34)&amp;": "&amp;CHAR(34)&amp;SUBSTITUTE(CriteriTecnici!$F330,CHAR(34),"'")&amp;CHAR(34)&amp;", "&amp;CHAR(34)&amp;"value"&amp;CHAR(34)&amp;": "&amp;SUBSTITUTE(TRIM(ROUND(IFERROR(CriteriTecnici!$N330*1,IFERROR(NUMBERVALUE(CriteriTecnici!$N330,".",","),IFERROR(NUMBERVALUE(CriteriTecnici!$N330,",","."),0))),4)&amp;""),",",".")&amp;", "&amp;CHAR(34)&amp;"numerator"&amp;CHAR(34)&amp;": "&amp;SUBSTITUTE(TRIM(ROUND(IFERROR(CriteriTecnici!$K330*1,IFERROR(NUMBERVALUE(CriteriTecnici!$K330,".",","),IFERROR(NUMBERVALUE(CriteriTecnici!$K330,",","."),0))),4)&amp;""),",",".")&amp;", "&amp;CHAR(34)&amp;"denominator"&amp;CHAR(34)&amp;": "&amp;SUBSTITUTE(TRIM(ROUND(IFERROR(CriteriTecnici!$L330*1,IFERROR(NUMBERVALUE(CriteriTecnici!$L330,".",","),IFERROR(NUMBERVALUE(CriteriTecnici!$L330,",","."),0))),4)&amp;""),",",".")&amp;", "&amp;CHAR(34)&amp;"flag"&amp;CHAR(34)&amp;": "&amp;SUBSTITUTE(TRIM(ROUND(IFERROR(CriteriTecnici!$M330*1,IFERROR(NUMBERVALUE(CriteriTecnici!$M330,".",","),IFERROR(NUMBERVALUE(CriteriTecnici!$M330,",","."),0))),4)&amp;""),",",".")&amp;", "&amp;CHAR(34)&amp;"rawScore"&amp;CHAR(34)&amp;": "&amp;SUBSTITUTE(TRIM(ROUND(IFERROR(CriteriTecnici!$O330*1,IFERROR(NUMBERVALUE(CriteriTecnici!$O330,".",","),IFERROR(NUMBERVALUE(CriteriTecnici!$O330,",","."),0))),4)&amp;""),",",".")&amp;CHAR(125)&amp;IF(TRUE,",",""))</f>
        <v/>
      </c>
    </row>
    <row r="432">
      <c r="A432" s="82">
        <f>IF(CriteriTecnici!$A331="","","    "&amp;CHAR(123)&amp;CHAR(34)&amp;"bidderId"&amp;CHAR(34)&amp;": "&amp;CHAR(34)&amp;SUBSTITUTE(CriteriTecnici!$A331,CHAR(34),"'")&amp;CHAR(34)&amp;", "&amp;CHAR(34)&amp;"lotId"&amp;CHAR(34)&amp;": "&amp;CHAR(34)&amp;SUBSTITUTE(CriteriTecnici!$C331,CHAR(34),"'")&amp;CHAR(34)&amp;", "&amp;CHAR(34)&amp;"criterionId"&amp;CHAR(34)&amp;": "&amp;CHAR(34)&amp;SUBSTITUTE(CriteriTecnici!$D331,CHAR(34),"'")&amp;CHAR(34)&amp;", "&amp;CHAR(34)&amp;"kind"&amp;CHAR(34)&amp;": "&amp;CHAR(34)&amp;SUBSTITUTE(CriteriTecnici!$F331,CHAR(34),"'")&amp;CHAR(34)&amp;", "&amp;CHAR(34)&amp;"value"&amp;CHAR(34)&amp;": "&amp;SUBSTITUTE(TRIM(ROUND(IFERROR(CriteriTecnici!$N331*1,IFERROR(NUMBERVALUE(CriteriTecnici!$N331,".",","),IFERROR(NUMBERVALUE(CriteriTecnici!$N331,",","."),0))),4)&amp;""),",",".")&amp;", "&amp;CHAR(34)&amp;"numerator"&amp;CHAR(34)&amp;": "&amp;SUBSTITUTE(TRIM(ROUND(IFERROR(CriteriTecnici!$K331*1,IFERROR(NUMBERVALUE(CriteriTecnici!$K331,".",","),IFERROR(NUMBERVALUE(CriteriTecnici!$K331,",","."),0))),4)&amp;""),",",".")&amp;", "&amp;CHAR(34)&amp;"denominator"&amp;CHAR(34)&amp;": "&amp;SUBSTITUTE(TRIM(ROUND(IFERROR(CriteriTecnici!$L331*1,IFERROR(NUMBERVALUE(CriteriTecnici!$L331,".",","),IFERROR(NUMBERVALUE(CriteriTecnici!$L331,",","."),0))),4)&amp;""),",",".")&amp;", "&amp;CHAR(34)&amp;"flag"&amp;CHAR(34)&amp;": "&amp;SUBSTITUTE(TRIM(ROUND(IFERROR(CriteriTecnici!$M331*1,IFERROR(NUMBERVALUE(CriteriTecnici!$M331,".",","),IFERROR(NUMBERVALUE(CriteriTecnici!$M331,",","."),0))),4)&amp;""),",",".")&amp;", "&amp;CHAR(34)&amp;"rawScore"&amp;CHAR(34)&amp;": "&amp;SUBSTITUTE(TRIM(ROUND(IFERROR(CriteriTecnici!$O331*1,IFERROR(NUMBERVALUE(CriteriTecnici!$O331,".",","),IFERROR(NUMBERVALUE(CriteriTecnici!$O331,",","."),0))),4)&amp;""),",",".")&amp;CHAR(125)&amp;IF(TRUE,",",""))</f>
        <v/>
      </c>
    </row>
    <row r="433">
      <c r="A433" s="82">
        <f>IF(CriteriTecnici!$A332="","","    "&amp;CHAR(123)&amp;CHAR(34)&amp;"bidderId"&amp;CHAR(34)&amp;": "&amp;CHAR(34)&amp;SUBSTITUTE(CriteriTecnici!$A332,CHAR(34),"'")&amp;CHAR(34)&amp;", "&amp;CHAR(34)&amp;"lotId"&amp;CHAR(34)&amp;": "&amp;CHAR(34)&amp;SUBSTITUTE(CriteriTecnici!$C332,CHAR(34),"'")&amp;CHAR(34)&amp;", "&amp;CHAR(34)&amp;"criterionId"&amp;CHAR(34)&amp;": "&amp;CHAR(34)&amp;SUBSTITUTE(CriteriTecnici!$D332,CHAR(34),"'")&amp;CHAR(34)&amp;", "&amp;CHAR(34)&amp;"kind"&amp;CHAR(34)&amp;": "&amp;CHAR(34)&amp;SUBSTITUTE(CriteriTecnici!$F332,CHAR(34),"'")&amp;CHAR(34)&amp;", "&amp;CHAR(34)&amp;"value"&amp;CHAR(34)&amp;": "&amp;SUBSTITUTE(TRIM(ROUND(IFERROR(CriteriTecnici!$N332*1,IFERROR(NUMBERVALUE(CriteriTecnici!$N332,".",","),IFERROR(NUMBERVALUE(CriteriTecnici!$N332,",","."),0))),4)&amp;""),",",".")&amp;", "&amp;CHAR(34)&amp;"numerator"&amp;CHAR(34)&amp;": "&amp;SUBSTITUTE(TRIM(ROUND(IFERROR(CriteriTecnici!$K332*1,IFERROR(NUMBERVALUE(CriteriTecnici!$K332,".",","),IFERROR(NUMBERVALUE(CriteriTecnici!$K332,",","."),0))),4)&amp;""),",",".")&amp;", "&amp;CHAR(34)&amp;"denominator"&amp;CHAR(34)&amp;": "&amp;SUBSTITUTE(TRIM(ROUND(IFERROR(CriteriTecnici!$L332*1,IFERROR(NUMBERVALUE(CriteriTecnici!$L332,".",","),IFERROR(NUMBERVALUE(CriteriTecnici!$L332,",","."),0))),4)&amp;""),",",".")&amp;", "&amp;CHAR(34)&amp;"flag"&amp;CHAR(34)&amp;": "&amp;SUBSTITUTE(TRIM(ROUND(IFERROR(CriteriTecnici!$M332*1,IFERROR(NUMBERVALUE(CriteriTecnici!$M332,".",","),IFERROR(NUMBERVALUE(CriteriTecnici!$M332,",","."),0))),4)&amp;""),",",".")&amp;", "&amp;CHAR(34)&amp;"rawScore"&amp;CHAR(34)&amp;": "&amp;SUBSTITUTE(TRIM(ROUND(IFERROR(CriteriTecnici!$O332*1,IFERROR(NUMBERVALUE(CriteriTecnici!$O332,".",","),IFERROR(NUMBERVALUE(CriteriTecnici!$O332,",","."),0))),4)&amp;""),",",".")&amp;CHAR(125)&amp;IF(TRUE,",",""))</f>
        <v/>
      </c>
    </row>
    <row r="434">
      <c r="A434" s="82">
        <f>IF(CriteriTecnici!$A333="","","    "&amp;CHAR(123)&amp;CHAR(34)&amp;"bidderId"&amp;CHAR(34)&amp;": "&amp;CHAR(34)&amp;SUBSTITUTE(CriteriTecnici!$A333,CHAR(34),"'")&amp;CHAR(34)&amp;", "&amp;CHAR(34)&amp;"lotId"&amp;CHAR(34)&amp;": "&amp;CHAR(34)&amp;SUBSTITUTE(CriteriTecnici!$C333,CHAR(34),"'")&amp;CHAR(34)&amp;", "&amp;CHAR(34)&amp;"criterionId"&amp;CHAR(34)&amp;": "&amp;CHAR(34)&amp;SUBSTITUTE(CriteriTecnici!$D333,CHAR(34),"'")&amp;CHAR(34)&amp;", "&amp;CHAR(34)&amp;"kind"&amp;CHAR(34)&amp;": "&amp;CHAR(34)&amp;SUBSTITUTE(CriteriTecnici!$F333,CHAR(34),"'")&amp;CHAR(34)&amp;", "&amp;CHAR(34)&amp;"value"&amp;CHAR(34)&amp;": "&amp;SUBSTITUTE(TRIM(ROUND(IFERROR(CriteriTecnici!$N333*1,IFERROR(NUMBERVALUE(CriteriTecnici!$N333,".",","),IFERROR(NUMBERVALUE(CriteriTecnici!$N333,",","."),0))),4)&amp;""),",",".")&amp;", "&amp;CHAR(34)&amp;"numerator"&amp;CHAR(34)&amp;": "&amp;SUBSTITUTE(TRIM(ROUND(IFERROR(CriteriTecnici!$K333*1,IFERROR(NUMBERVALUE(CriteriTecnici!$K333,".",","),IFERROR(NUMBERVALUE(CriteriTecnici!$K333,",","."),0))),4)&amp;""),",",".")&amp;", "&amp;CHAR(34)&amp;"denominator"&amp;CHAR(34)&amp;": "&amp;SUBSTITUTE(TRIM(ROUND(IFERROR(CriteriTecnici!$L333*1,IFERROR(NUMBERVALUE(CriteriTecnici!$L333,".",","),IFERROR(NUMBERVALUE(CriteriTecnici!$L333,",","."),0))),4)&amp;""),",",".")&amp;", "&amp;CHAR(34)&amp;"flag"&amp;CHAR(34)&amp;": "&amp;SUBSTITUTE(TRIM(ROUND(IFERROR(CriteriTecnici!$M333*1,IFERROR(NUMBERVALUE(CriteriTecnici!$M333,".",","),IFERROR(NUMBERVALUE(CriteriTecnici!$M333,",","."),0))),4)&amp;""),",",".")&amp;", "&amp;CHAR(34)&amp;"rawScore"&amp;CHAR(34)&amp;": "&amp;SUBSTITUTE(TRIM(ROUND(IFERROR(CriteriTecnici!$O333*1,IFERROR(NUMBERVALUE(CriteriTecnici!$O333,".",","),IFERROR(NUMBERVALUE(CriteriTecnici!$O333,",","."),0))),4)&amp;""),",",".")&amp;CHAR(125)&amp;IF(TRUE,",",""))</f>
        <v/>
      </c>
    </row>
    <row r="435">
      <c r="A435" s="82">
        <f>IF(CriteriTecnici!$A334="","","    "&amp;CHAR(123)&amp;CHAR(34)&amp;"bidderId"&amp;CHAR(34)&amp;": "&amp;CHAR(34)&amp;SUBSTITUTE(CriteriTecnici!$A334,CHAR(34),"'")&amp;CHAR(34)&amp;", "&amp;CHAR(34)&amp;"lotId"&amp;CHAR(34)&amp;": "&amp;CHAR(34)&amp;SUBSTITUTE(CriteriTecnici!$C334,CHAR(34),"'")&amp;CHAR(34)&amp;", "&amp;CHAR(34)&amp;"criterionId"&amp;CHAR(34)&amp;": "&amp;CHAR(34)&amp;SUBSTITUTE(CriteriTecnici!$D334,CHAR(34),"'")&amp;CHAR(34)&amp;", "&amp;CHAR(34)&amp;"kind"&amp;CHAR(34)&amp;": "&amp;CHAR(34)&amp;SUBSTITUTE(CriteriTecnici!$F334,CHAR(34),"'")&amp;CHAR(34)&amp;", "&amp;CHAR(34)&amp;"value"&amp;CHAR(34)&amp;": "&amp;SUBSTITUTE(TRIM(ROUND(IFERROR(CriteriTecnici!$N334*1,IFERROR(NUMBERVALUE(CriteriTecnici!$N334,".",","),IFERROR(NUMBERVALUE(CriteriTecnici!$N334,",","."),0))),4)&amp;""),",",".")&amp;", "&amp;CHAR(34)&amp;"numerator"&amp;CHAR(34)&amp;": "&amp;SUBSTITUTE(TRIM(ROUND(IFERROR(CriteriTecnici!$K334*1,IFERROR(NUMBERVALUE(CriteriTecnici!$K334,".",","),IFERROR(NUMBERVALUE(CriteriTecnici!$K334,",","."),0))),4)&amp;""),",",".")&amp;", "&amp;CHAR(34)&amp;"denominator"&amp;CHAR(34)&amp;": "&amp;SUBSTITUTE(TRIM(ROUND(IFERROR(CriteriTecnici!$L334*1,IFERROR(NUMBERVALUE(CriteriTecnici!$L334,".",","),IFERROR(NUMBERVALUE(CriteriTecnici!$L334,",","."),0))),4)&amp;""),",",".")&amp;", "&amp;CHAR(34)&amp;"flag"&amp;CHAR(34)&amp;": "&amp;SUBSTITUTE(TRIM(ROUND(IFERROR(CriteriTecnici!$M334*1,IFERROR(NUMBERVALUE(CriteriTecnici!$M334,".",","),IFERROR(NUMBERVALUE(CriteriTecnici!$M334,",","."),0))),4)&amp;""),",",".")&amp;", "&amp;CHAR(34)&amp;"rawScore"&amp;CHAR(34)&amp;": "&amp;SUBSTITUTE(TRIM(ROUND(IFERROR(CriteriTecnici!$O334*1,IFERROR(NUMBERVALUE(CriteriTecnici!$O334,".",","),IFERROR(NUMBERVALUE(CriteriTecnici!$O334,",","."),0))),4)&amp;""),",",".")&amp;CHAR(125)&amp;IF(TRUE,",",""))</f>
        <v/>
      </c>
    </row>
    <row r="436">
      <c r="A436" s="82">
        <f>IF(CriteriTecnici!$A335="","","    "&amp;CHAR(123)&amp;CHAR(34)&amp;"bidderId"&amp;CHAR(34)&amp;": "&amp;CHAR(34)&amp;SUBSTITUTE(CriteriTecnici!$A335,CHAR(34),"'")&amp;CHAR(34)&amp;", "&amp;CHAR(34)&amp;"lotId"&amp;CHAR(34)&amp;": "&amp;CHAR(34)&amp;SUBSTITUTE(CriteriTecnici!$C335,CHAR(34),"'")&amp;CHAR(34)&amp;", "&amp;CHAR(34)&amp;"criterionId"&amp;CHAR(34)&amp;": "&amp;CHAR(34)&amp;SUBSTITUTE(CriteriTecnici!$D335,CHAR(34),"'")&amp;CHAR(34)&amp;", "&amp;CHAR(34)&amp;"kind"&amp;CHAR(34)&amp;": "&amp;CHAR(34)&amp;SUBSTITUTE(CriteriTecnici!$F335,CHAR(34),"'")&amp;CHAR(34)&amp;", "&amp;CHAR(34)&amp;"value"&amp;CHAR(34)&amp;": "&amp;SUBSTITUTE(TRIM(ROUND(IFERROR(CriteriTecnici!$N335*1,IFERROR(NUMBERVALUE(CriteriTecnici!$N335,".",","),IFERROR(NUMBERVALUE(CriteriTecnici!$N335,",","."),0))),4)&amp;""),",",".")&amp;", "&amp;CHAR(34)&amp;"numerator"&amp;CHAR(34)&amp;": "&amp;SUBSTITUTE(TRIM(ROUND(IFERROR(CriteriTecnici!$K335*1,IFERROR(NUMBERVALUE(CriteriTecnici!$K335,".",","),IFERROR(NUMBERVALUE(CriteriTecnici!$K335,",","."),0))),4)&amp;""),",",".")&amp;", "&amp;CHAR(34)&amp;"denominator"&amp;CHAR(34)&amp;": "&amp;SUBSTITUTE(TRIM(ROUND(IFERROR(CriteriTecnici!$L335*1,IFERROR(NUMBERVALUE(CriteriTecnici!$L335,".",","),IFERROR(NUMBERVALUE(CriteriTecnici!$L335,",","."),0))),4)&amp;""),",",".")&amp;", "&amp;CHAR(34)&amp;"flag"&amp;CHAR(34)&amp;": "&amp;SUBSTITUTE(TRIM(ROUND(IFERROR(CriteriTecnici!$M335*1,IFERROR(NUMBERVALUE(CriteriTecnici!$M335,".",","),IFERROR(NUMBERVALUE(CriteriTecnici!$M335,",","."),0))),4)&amp;""),",",".")&amp;", "&amp;CHAR(34)&amp;"rawScore"&amp;CHAR(34)&amp;": "&amp;SUBSTITUTE(TRIM(ROUND(IFERROR(CriteriTecnici!$O335*1,IFERROR(NUMBERVALUE(CriteriTecnici!$O335,".",","),IFERROR(NUMBERVALUE(CriteriTecnici!$O335,",","."),0))),4)&amp;""),",",".")&amp;CHAR(125)&amp;IF(TRUE,",",""))</f>
        <v/>
      </c>
    </row>
    <row r="437">
      <c r="A437" s="82">
        <f>IF(CriteriTecnici!$A336="","","    "&amp;CHAR(123)&amp;CHAR(34)&amp;"bidderId"&amp;CHAR(34)&amp;": "&amp;CHAR(34)&amp;SUBSTITUTE(CriteriTecnici!$A336,CHAR(34),"'")&amp;CHAR(34)&amp;", "&amp;CHAR(34)&amp;"lotId"&amp;CHAR(34)&amp;": "&amp;CHAR(34)&amp;SUBSTITUTE(CriteriTecnici!$C336,CHAR(34),"'")&amp;CHAR(34)&amp;", "&amp;CHAR(34)&amp;"criterionId"&amp;CHAR(34)&amp;": "&amp;CHAR(34)&amp;SUBSTITUTE(CriteriTecnici!$D336,CHAR(34),"'")&amp;CHAR(34)&amp;", "&amp;CHAR(34)&amp;"kind"&amp;CHAR(34)&amp;": "&amp;CHAR(34)&amp;SUBSTITUTE(CriteriTecnici!$F336,CHAR(34),"'")&amp;CHAR(34)&amp;", "&amp;CHAR(34)&amp;"value"&amp;CHAR(34)&amp;": "&amp;SUBSTITUTE(TRIM(ROUND(IFERROR(CriteriTecnici!$N336*1,IFERROR(NUMBERVALUE(CriteriTecnici!$N336,".",","),IFERROR(NUMBERVALUE(CriteriTecnici!$N336,",","."),0))),4)&amp;""),",",".")&amp;", "&amp;CHAR(34)&amp;"numerator"&amp;CHAR(34)&amp;": "&amp;SUBSTITUTE(TRIM(ROUND(IFERROR(CriteriTecnici!$K336*1,IFERROR(NUMBERVALUE(CriteriTecnici!$K336,".",","),IFERROR(NUMBERVALUE(CriteriTecnici!$K336,",","."),0))),4)&amp;""),",",".")&amp;", "&amp;CHAR(34)&amp;"denominator"&amp;CHAR(34)&amp;": "&amp;SUBSTITUTE(TRIM(ROUND(IFERROR(CriteriTecnici!$L336*1,IFERROR(NUMBERVALUE(CriteriTecnici!$L336,".",","),IFERROR(NUMBERVALUE(CriteriTecnici!$L336,",","."),0))),4)&amp;""),",",".")&amp;", "&amp;CHAR(34)&amp;"flag"&amp;CHAR(34)&amp;": "&amp;SUBSTITUTE(TRIM(ROUND(IFERROR(CriteriTecnici!$M336*1,IFERROR(NUMBERVALUE(CriteriTecnici!$M336,".",","),IFERROR(NUMBERVALUE(CriteriTecnici!$M336,",","."),0))),4)&amp;""),",",".")&amp;", "&amp;CHAR(34)&amp;"rawScore"&amp;CHAR(34)&amp;": "&amp;SUBSTITUTE(TRIM(ROUND(IFERROR(CriteriTecnici!$O336*1,IFERROR(NUMBERVALUE(CriteriTecnici!$O336,".",","),IFERROR(NUMBERVALUE(CriteriTecnici!$O336,",","."),0))),4)&amp;""),",",".")&amp;CHAR(125)&amp;IF(TRUE,",",""))</f>
        <v/>
      </c>
    </row>
    <row r="438">
      <c r="A438" s="82">
        <f>IF(CriteriTecnici!$A337="","","    "&amp;CHAR(123)&amp;CHAR(34)&amp;"bidderId"&amp;CHAR(34)&amp;": "&amp;CHAR(34)&amp;SUBSTITUTE(CriteriTecnici!$A337,CHAR(34),"'")&amp;CHAR(34)&amp;", "&amp;CHAR(34)&amp;"lotId"&amp;CHAR(34)&amp;": "&amp;CHAR(34)&amp;SUBSTITUTE(CriteriTecnici!$C337,CHAR(34),"'")&amp;CHAR(34)&amp;", "&amp;CHAR(34)&amp;"criterionId"&amp;CHAR(34)&amp;": "&amp;CHAR(34)&amp;SUBSTITUTE(CriteriTecnici!$D337,CHAR(34),"'")&amp;CHAR(34)&amp;", "&amp;CHAR(34)&amp;"kind"&amp;CHAR(34)&amp;": "&amp;CHAR(34)&amp;SUBSTITUTE(CriteriTecnici!$F337,CHAR(34),"'")&amp;CHAR(34)&amp;", "&amp;CHAR(34)&amp;"value"&amp;CHAR(34)&amp;": "&amp;SUBSTITUTE(TRIM(ROUND(IFERROR(CriteriTecnici!$N337*1,IFERROR(NUMBERVALUE(CriteriTecnici!$N337,".",","),IFERROR(NUMBERVALUE(CriteriTecnici!$N337,",","."),0))),4)&amp;""),",",".")&amp;", "&amp;CHAR(34)&amp;"numerator"&amp;CHAR(34)&amp;": "&amp;SUBSTITUTE(TRIM(ROUND(IFERROR(CriteriTecnici!$K337*1,IFERROR(NUMBERVALUE(CriteriTecnici!$K337,".",","),IFERROR(NUMBERVALUE(CriteriTecnici!$K337,",","."),0))),4)&amp;""),",",".")&amp;", "&amp;CHAR(34)&amp;"denominator"&amp;CHAR(34)&amp;": "&amp;SUBSTITUTE(TRIM(ROUND(IFERROR(CriteriTecnici!$L337*1,IFERROR(NUMBERVALUE(CriteriTecnici!$L337,".",","),IFERROR(NUMBERVALUE(CriteriTecnici!$L337,",","."),0))),4)&amp;""),",",".")&amp;", "&amp;CHAR(34)&amp;"flag"&amp;CHAR(34)&amp;": "&amp;SUBSTITUTE(TRIM(ROUND(IFERROR(CriteriTecnici!$M337*1,IFERROR(NUMBERVALUE(CriteriTecnici!$M337,".",","),IFERROR(NUMBERVALUE(CriteriTecnici!$M337,",","."),0))),4)&amp;""),",",".")&amp;", "&amp;CHAR(34)&amp;"rawScore"&amp;CHAR(34)&amp;": "&amp;SUBSTITUTE(TRIM(ROUND(IFERROR(CriteriTecnici!$O337*1,IFERROR(NUMBERVALUE(CriteriTecnici!$O337,".",","),IFERROR(NUMBERVALUE(CriteriTecnici!$O337,",","."),0))),4)&amp;""),",",".")&amp;CHAR(125)&amp;IF(TRUE,",",""))</f>
        <v/>
      </c>
    </row>
    <row r="439">
      <c r="A439" s="82">
        <f>IF(CriteriTecnici!$A338="","","    "&amp;CHAR(123)&amp;CHAR(34)&amp;"bidderId"&amp;CHAR(34)&amp;": "&amp;CHAR(34)&amp;SUBSTITUTE(CriteriTecnici!$A338,CHAR(34),"'")&amp;CHAR(34)&amp;", "&amp;CHAR(34)&amp;"lotId"&amp;CHAR(34)&amp;": "&amp;CHAR(34)&amp;SUBSTITUTE(CriteriTecnici!$C338,CHAR(34),"'")&amp;CHAR(34)&amp;", "&amp;CHAR(34)&amp;"criterionId"&amp;CHAR(34)&amp;": "&amp;CHAR(34)&amp;SUBSTITUTE(CriteriTecnici!$D338,CHAR(34),"'")&amp;CHAR(34)&amp;", "&amp;CHAR(34)&amp;"kind"&amp;CHAR(34)&amp;": "&amp;CHAR(34)&amp;SUBSTITUTE(CriteriTecnici!$F338,CHAR(34),"'")&amp;CHAR(34)&amp;", "&amp;CHAR(34)&amp;"value"&amp;CHAR(34)&amp;": "&amp;SUBSTITUTE(TRIM(ROUND(IFERROR(CriteriTecnici!$N338*1,IFERROR(NUMBERVALUE(CriteriTecnici!$N338,".",","),IFERROR(NUMBERVALUE(CriteriTecnici!$N338,",","."),0))),4)&amp;""),",",".")&amp;", "&amp;CHAR(34)&amp;"numerator"&amp;CHAR(34)&amp;": "&amp;SUBSTITUTE(TRIM(ROUND(IFERROR(CriteriTecnici!$K338*1,IFERROR(NUMBERVALUE(CriteriTecnici!$K338,".",","),IFERROR(NUMBERVALUE(CriteriTecnici!$K338,",","."),0))),4)&amp;""),",",".")&amp;", "&amp;CHAR(34)&amp;"denominator"&amp;CHAR(34)&amp;": "&amp;SUBSTITUTE(TRIM(ROUND(IFERROR(CriteriTecnici!$L338*1,IFERROR(NUMBERVALUE(CriteriTecnici!$L338,".",","),IFERROR(NUMBERVALUE(CriteriTecnici!$L338,",","."),0))),4)&amp;""),",",".")&amp;", "&amp;CHAR(34)&amp;"flag"&amp;CHAR(34)&amp;": "&amp;SUBSTITUTE(TRIM(ROUND(IFERROR(CriteriTecnici!$M338*1,IFERROR(NUMBERVALUE(CriteriTecnici!$M338,".",","),IFERROR(NUMBERVALUE(CriteriTecnici!$M338,",","."),0))),4)&amp;""),",",".")&amp;", "&amp;CHAR(34)&amp;"rawScore"&amp;CHAR(34)&amp;": "&amp;SUBSTITUTE(TRIM(ROUND(IFERROR(CriteriTecnici!$O338*1,IFERROR(NUMBERVALUE(CriteriTecnici!$O338,".",","),IFERROR(NUMBERVALUE(CriteriTecnici!$O338,",","."),0))),4)&amp;""),",",".")&amp;CHAR(125)&amp;IF(TRUE,",",""))</f>
        <v/>
      </c>
    </row>
    <row r="440">
      <c r="A440" s="82">
        <f>IF(CriteriTecnici!$A339="","","    "&amp;CHAR(123)&amp;CHAR(34)&amp;"bidderId"&amp;CHAR(34)&amp;": "&amp;CHAR(34)&amp;SUBSTITUTE(CriteriTecnici!$A339,CHAR(34),"'")&amp;CHAR(34)&amp;", "&amp;CHAR(34)&amp;"lotId"&amp;CHAR(34)&amp;": "&amp;CHAR(34)&amp;SUBSTITUTE(CriteriTecnici!$C339,CHAR(34),"'")&amp;CHAR(34)&amp;", "&amp;CHAR(34)&amp;"criterionId"&amp;CHAR(34)&amp;": "&amp;CHAR(34)&amp;SUBSTITUTE(CriteriTecnici!$D339,CHAR(34),"'")&amp;CHAR(34)&amp;", "&amp;CHAR(34)&amp;"kind"&amp;CHAR(34)&amp;": "&amp;CHAR(34)&amp;SUBSTITUTE(CriteriTecnici!$F339,CHAR(34),"'")&amp;CHAR(34)&amp;", "&amp;CHAR(34)&amp;"value"&amp;CHAR(34)&amp;": "&amp;SUBSTITUTE(TRIM(ROUND(IFERROR(CriteriTecnici!$N339*1,IFERROR(NUMBERVALUE(CriteriTecnici!$N339,".",","),IFERROR(NUMBERVALUE(CriteriTecnici!$N339,",","."),0))),4)&amp;""),",",".")&amp;", "&amp;CHAR(34)&amp;"numerator"&amp;CHAR(34)&amp;": "&amp;SUBSTITUTE(TRIM(ROUND(IFERROR(CriteriTecnici!$K339*1,IFERROR(NUMBERVALUE(CriteriTecnici!$K339,".",","),IFERROR(NUMBERVALUE(CriteriTecnici!$K339,",","."),0))),4)&amp;""),",",".")&amp;", "&amp;CHAR(34)&amp;"denominator"&amp;CHAR(34)&amp;": "&amp;SUBSTITUTE(TRIM(ROUND(IFERROR(CriteriTecnici!$L339*1,IFERROR(NUMBERVALUE(CriteriTecnici!$L339,".",","),IFERROR(NUMBERVALUE(CriteriTecnici!$L339,",","."),0))),4)&amp;""),",",".")&amp;", "&amp;CHAR(34)&amp;"flag"&amp;CHAR(34)&amp;": "&amp;SUBSTITUTE(TRIM(ROUND(IFERROR(CriteriTecnici!$M339*1,IFERROR(NUMBERVALUE(CriteriTecnici!$M339,".",","),IFERROR(NUMBERVALUE(CriteriTecnici!$M339,",","."),0))),4)&amp;""),",",".")&amp;", "&amp;CHAR(34)&amp;"rawScore"&amp;CHAR(34)&amp;": "&amp;SUBSTITUTE(TRIM(ROUND(IFERROR(CriteriTecnici!$O339*1,IFERROR(NUMBERVALUE(CriteriTecnici!$O339,".",","),IFERROR(NUMBERVALUE(CriteriTecnici!$O339,",","."),0))),4)&amp;""),",",".")&amp;CHAR(125)&amp;IF(TRUE,",",""))</f>
        <v/>
      </c>
    </row>
    <row r="441">
      <c r="A441" s="82">
        <f>IF(CriteriTecnici!$A340="","","    "&amp;CHAR(123)&amp;CHAR(34)&amp;"bidderId"&amp;CHAR(34)&amp;": "&amp;CHAR(34)&amp;SUBSTITUTE(CriteriTecnici!$A340,CHAR(34),"'")&amp;CHAR(34)&amp;", "&amp;CHAR(34)&amp;"lotId"&amp;CHAR(34)&amp;": "&amp;CHAR(34)&amp;SUBSTITUTE(CriteriTecnici!$C340,CHAR(34),"'")&amp;CHAR(34)&amp;", "&amp;CHAR(34)&amp;"criterionId"&amp;CHAR(34)&amp;": "&amp;CHAR(34)&amp;SUBSTITUTE(CriteriTecnici!$D340,CHAR(34),"'")&amp;CHAR(34)&amp;", "&amp;CHAR(34)&amp;"kind"&amp;CHAR(34)&amp;": "&amp;CHAR(34)&amp;SUBSTITUTE(CriteriTecnici!$F340,CHAR(34),"'")&amp;CHAR(34)&amp;", "&amp;CHAR(34)&amp;"value"&amp;CHAR(34)&amp;": "&amp;SUBSTITUTE(TRIM(ROUND(IFERROR(CriteriTecnici!$N340*1,IFERROR(NUMBERVALUE(CriteriTecnici!$N340,".",","),IFERROR(NUMBERVALUE(CriteriTecnici!$N340,",","."),0))),4)&amp;""),",",".")&amp;", "&amp;CHAR(34)&amp;"numerator"&amp;CHAR(34)&amp;": "&amp;SUBSTITUTE(TRIM(ROUND(IFERROR(CriteriTecnici!$K340*1,IFERROR(NUMBERVALUE(CriteriTecnici!$K340,".",","),IFERROR(NUMBERVALUE(CriteriTecnici!$K340,",","."),0))),4)&amp;""),",",".")&amp;", "&amp;CHAR(34)&amp;"denominator"&amp;CHAR(34)&amp;": "&amp;SUBSTITUTE(TRIM(ROUND(IFERROR(CriteriTecnici!$L340*1,IFERROR(NUMBERVALUE(CriteriTecnici!$L340,".",","),IFERROR(NUMBERVALUE(CriteriTecnici!$L340,",","."),0))),4)&amp;""),",",".")&amp;", "&amp;CHAR(34)&amp;"flag"&amp;CHAR(34)&amp;": "&amp;SUBSTITUTE(TRIM(ROUND(IFERROR(CriteriTecnici!$M340*1,IFERROR(NUMBERVALUE(CriteriTecnici!$M340,".",","),IFERROR(NUMBERVALUE(CriteriTecnici!$M340,",","."),0))),4)&amp;""),",",".")&amp;", "&amp;CHAR(34)&amp;"rawScore"&amp;CHAR(34)&amp;": "&amp;SUBSTITUTE(TRIM(ROUND(IFERROR(CriteriTecnici!$O340*1,IFERROR(NUMBERVALUE(CriteriTecnici!$O340,".",","),IFERROR(NUMBERVALUE(CriteriTecnici!$O340,",","."),0))),4)&amp;""),",",".")&amp;CHAR(125)&amp;IF(TRUE,",",""))</f>
        <v/>
      </c>
    </row>
    <row r="442">
      <c r="A442" s="82">
        <f>IF(CriteriTecnici!$A341="","","    "&amp;CHAR(123)&amp;CHAR(34)&amp;"bidderId"&amp;CHAR(34)&amp;": "&amp;CHAR(34)&amp;SUBSTITUTE(CriteriTecnici!$A341,CHAR(34),"'")&amp;CHAR(34)&amp;", "&amp;CHAR(34)&amp;"lotId"&amp;CHAR(34)&amp;": "&amp;CHAR(34)&amp;SUBSTITUTE(CriteriTecnici!$C341,CHAR(34),"'")&amp;CHAR(34)&amp;", "&amp;CHAR(34)&amp;"criterionId"&amp;CHAR(34)&amp;": "&amp;CHAR(34)&amp;SUBSTITUTE(CriteriTecnici!$D341,CHAR(34),"'")&amp;CHAR(34)&amp;", "&amp;CHAR(34)&amp;"kind"&amp;CHAR(34)&amp;": "&amp;CHAR(34)&amp;SUBSTITUTE(CriteriTecnici!$F341,CHAR(34),"'")&amp;CHAR(34)&amp;", "&amp;CHAR(34)&amp;"value"&amp;CHAR(34)&amp;": "&amp;SUBSTITUTE(TRIM(ROUND(IFERROR(CriteriTecnici!$N341*1,IFERROR(NUMBERVALUE(CriteriTecnici!$N341,".",","),IFERROR(NUMBERVALUE(CriteriTecnici!$N341,",","."),0))),4)&amp;""),",",".")&amp;", "&amp;CHAR(34)&amp;"numerator"&amp;CHAR(34)&amp;": "&amp;SUBSTITUTE(TRIM(ROUND(IFERROR(CriteriTecnici!$K341*1,IFERROR(NUMBERVALUE(CriteriTecnici!$K341,".",","),IFERROR(NUMBERVALUE(CriteriTecnici!$K341,",","."),0))),4)&amp;""),",",".")&amp;", "&amp;CHAR(34)&amp;"denominator"&amp;CHAR(34)&amp;": "&amp;SUBSTITUTE(TRIM(ROUND(IFERROR(CriteriTecnici!$L341*1,IFERROR(NUMBERVALUE(CriteriTecnici!$L341,".",","),IFERROR(NUMBERVALUE(CriteriTecnici!$L341,",","."),0))),4)&amp;""),",",".")&amp;", "&amp;CHAR(34)&amp;"flag"&amp;CHAR(34)&amp;": "&amp;SUBSTITUTE(TRIM(ROUND(IFERROR(CriteriTecnici!$M341*1,IFERROR(NUMBERVALUE(CriteriTecnici!$M341,".",","),IFERROR(NUMBERVALUE(CriteriTecnici!$M341,",","."),0))),4)&amp;""),",",".")&amp;", "&amp;CHAR(34)&amp;"rawScore"&amp;CHAR(34)&amp;": "&amp;SUBSTITUTE(TRIM(ROUND(IFERROR(CriteriTecnici!$O341*1,IFERROR(NUMBERVALUE(CriteriTecnici!$O341,".",","),IFERROR(NUMBERVALUE(CriteriTecnici!$O341,",","."),0))),4)&amp;""),",",".")&amp;CHAR(125)&amp;IF(TRUE,",",""))</f>
        <v/>
      </c>
    </row>
    <row r="443">
      <c r="A443" s="82">
        <f>IF(CriteriTecnici!$A342="","","    "&amp;CHAR(123)&amp;CHAR(34)&amp;"bidderId"&amp;CHAR(34)&amp;": "&amp;CHAR(34)&amp;SUBSTITUTE(CriteriTecnici!$A342,CHAR(34),"'")&amp;CHAR(34)&amp;", "&amp;CHAR(34)&amp;"lotId"&amp;CHAR(34)&amp;": "&amp;CHAR(34)&amp;SUBSTITUTE(CriteriTecnici!$C342,CHAR(34),"'")&amp;CHAR(34)&amp;", "&amp;CHAR(34)&amp;"criterionId"&amp;CHAR(34)&amp;": "&amp;CHAR(34)&amp;SUBSTITUTE(CriteriTecnici!$D342,CHAR(34),"'")&amp;CHAR(34)&amp;", "&amp;CHAR(34)&amp;"kind"&amp;CHAR(34)&amp;": "&amp;CHAR(34)&amp;SUBSTITUTE(CriteriTecnici!$F342,CHAR(34),"'")&amp;CHAR(34)&amp;", "&amp;CHAR(34)&amp;"value"&amp;CHAR(34)&amp;": "&amp;SUBSTITUTE(TRIM(ROUND(IFERROR(CriteriTecnici!$N342*1,IFERROR(NUMBERVALUE(CriteriTecnici!$N342,".",","),IFERROR(NUMBERVALUE(CriteriTecnici!$N342,",","."),0))),4)&amp;""),",",".")&amp;", "&amp;CHAR(34)&amp;"numerator"&amp;CHAR(34)&amp;": "&amp;SUBSTITUTE(TRIM(ROUND(IFERROR(CriteriTecnici!$K342*1,IFERROR(NUMBERVALUE(CriteriTecnici!$K342,".",","),IFERROR(NUMBERVALUE(CriteriTecnici!$K342,",","."),0))),4)&amp;""),",",".")&amp;", "&amp;CHAR(34)&amp;"denominator"&amp;CHAR(34)&amp;": "&amp;SUBSTITUTE(TRIM(ROUND(IFERROR(CriteriTecnici!$L342*1,IFERROR(NUMBERVALUE(CriteriTecnici!$L342,".",","),IFERROR(NUMBERVALUE(CriteriTecnici!$L342,",","."),0))),4)&amp;""),",",".")&amp;", "&amp;CHAR(34)&amp;"flag"&amp;CHAR(34)&amp;": "&amp;SUBSTITUTE(TRIM(ROUND(IFERROR(CriteriTecnici!$M342*1,IFERROR(NUMBERVALUE(CriteriTecnici!$M342,".",","),IFERROR(NUMBERVALUE(CriteriTecnici!$M342,",","."),0))),4)&amp;""),",",".")&amp;", "&amp;CHAR(34)&amp;"rawScore"&amp;CHAR(34)&amp;": "&amp;SUBSTITUTE(TRIM(ROUND(IFERROR(CriteriTecnici!$O342*1,IFERROR(NUMBERVALUE(CriteriTecnici!$O342,".",","),IFERROR(NUMBERVALUE(CriteriTecnici!$O342,",","."),0))),4)&amp;""),",",".")&amp;CHAR(125)&amp;IF(TRUE,",",""))</f>
        <v/>
      </c>
    </row>
    <row r="444">
      <c r="A444" s="82">
        <f>IF(CriteriTecnici!$A343="","","    "&amp;CHAR(123)&amp;CHAR(34)&amp;"bidderId"&amp;CHAR(34)&amp;": "&amp;CHAR(34)&amp;SUBSTITUTE(CriteriTecnici!$A343,CHAR(34),"'")&amp;CHAR(34)&amp;", "&amp;CHAR(34)&amp;"lotId"&amp;CHAR(34)&amp;": "&amp;CHAR(34)&amp;SUBSTITUTE(CriteriTecnici!$C343,CHAR(34),"'")&amp;CHAR(34)&amp;", "&amp;CHAR(34)&amp;"criterionId"&amp;CHAR(34)&amp;": "&amp;CHAR(34)&amp;SUBSTITUTE(CriteriTecnici!$D343,CHAR(34),"'")&amp;CHAR(34)&amp;", "&amp;CHAR(34)&amp;"kind"&amp;CHAR(34)&amp;": "&amp;CHAR(34)&amp;SUBSTITUTE(CriteriTecnici!$F343,CHAR(34),"'")&amp;CHAR(34)&amp;", "&amp;CHAR(34)&amp;"value"&amp;CHAR(34)&amp;": "&amp;SUBSTITUTE(TRIM(ROUND(IFERROR(CriteriTecnici!$N343*1,IFERROR(NUMBERVALUE(CriteriTecnici!$N343,".",","),IFERROR(NUMBERVALUE(CriteriTecnici!$N343,",","."),0))),4)&amp;""),",",".")&amp;", "&amp;CHAR(34)&amp;"numerator"&amp;CHAR(34)&amp;": "&amp;SUBSTITUTE(TRIM(ROUND(IFERROR(CriteriTecnici!$K343*1,IFERROR(NUMBERVALUE(CriteriTecnici!$K343,".",","),IFERROR(NUMBERVALUE(CriteriTecnici!$K343,",","."),0))),4)&amp;""),",",".")&amp;", "&amp;CHAR(34)&amp;"denominator"&amp;CHAR(34)&amp;": "&amp;SUBSTITUTE(TRIM(ROUND(IFERROR(CriteriTecnici!$L343*1,IFERROR(NUMBERVALUE(CriteriTecnici!$L343,".",","),IFERROR(NUMBERVALUE(CriteriTecnici!$L343,",","."),0))),4)&amp;""),",",".")&amp;", "&amp;CHAR(34)&amp;"flag"&amp;CHAR(34)&amp;": "&amp;SUBSTITUTE(TRIM(ROUND(IFERROR(CriteriTecnici!$M343*1,IFERROR(NUMBERVALUE(CriteriTecnici!$M343,".",","),IFERROR(NUMBERVALUE(CriteriTecnici!$M343,",","."),0))),4)&amp;""),",",".")&amp;", "&amp;CHAR(34)&amp;"rawScore"&amp;CHAR(34)&amp;": "&amp;SUBSTITUTE(TRIM(ROUND(IFERROR(CriteriTecnici!$O343*1,IFERROR(NUMBERVALUE(CriteriTecnici!$O343,".",","),IFERROR(NUMBERVALUE(CriteriTecnici!$O343,",","."),0))),4)&amp;""),",",".")&amp;CHAR(125)&amp;IF(TRUE,",",""))</f>
        <v/>
      </c>
    </row>
    <row r="445">
      <c r="A445" s="82">
        <f>IF(CriteriTecnici!$A344="","","    "&amp;CHAR(123)&amp;CHAR(34)&amp;"bidderId"&amp;CHAR(34)&amp;": "&amp;CHAR(34)&amp;SUBSTITUTE(CriteriTecnici!$A344,CHAR(34),"'")&amp;CHAR(34)&amp;", "&amp;CHAR(34)&amp;"lotId"&amp;CHAR(34)&amp;": "&amp;CHAR(34)&amp;SUBSTITUTE(CriteriTecnici!$C344,CHAR(34),"'")&amp;CHAR(34)&amp;", "&amp;CHAR(34)&amp;"criterionId"&amp;CHAR(34)&amp;": "&amp;CHAR(34)&amp;SUBSTITUTE(CriteriTecnici!$D344,CHAR(34),"'")&amp;CHAR(34)&amp;", "&amp;CHAR(34)&amp;"kind"&amp;CHAR(34)&amp;": "&amp;CHAR(34)&amp;SUBSTITUTE(CriteriTecnici!$F344,CHAR(34),"'")&amp;CHAR(34)&amp;", "&amp;CHAR(34)&amp;"value"&amp;CHAR(34)&amp;": "&amp;SUBSTITUTE(TRIM(ROUND(IFERROR(CriteriTecnici!$N344*1,IFERROR(NUMBERVALUE(CriteriTecnici!$N344,".",","),IFERROR(NUMBERVALUE(CriteriTecnici!$N344,",","."),0))),4)&amp;""),",",".")&amp;", "&amp;CHAR(34)&amp;"numerator"&amp;CHAR(34)&amp;": "&amp;SUBSTITUTE(TRIM(ROUND(IFERROR(CriteriTecnici!$K344*1,IFERROR(NUMBERVALUE(CriteriTecnici!$K344,".",","),IFERROR(NUMBERVALUE(CriteriTecnici!$K344,",","."),0))),4)&amp;""),",",".")&amp;", "&amp;CHAR(34)&amp;"denominator"&amp;CHAR(34)&amp;": "&amp;SUBSTITUTE(TRIM(ROUND(IFERROR(CriteriTecnici!$L344*1,IFERROR(NUMBERVALUE(CriteriTecnici!$L344,".",","),IFERROR(NUMBERVALUE(CriteriTecnici!$L344,",","."),0))),4)&amp;""),",",".")&amp;", "&amp;CHAR(34)&amp;"flag"&amp;CHAR(34)&amp;": "&amp;SUBSTITUTE(TRIM(ROUND(IFERROR(CriteriTecnici!$M344*1,IFERROR(NUMBERVALUE(CriteriTecnici!$M344,".",","),IFERROR(NUMBERVALUE(CriteriTecnici!$M344,",","."),0))),4)&amp;""),",",".")&amp;", "&amp;CHAR(34)&amp;"rawScore"&amp;CHAR(34)&amp;": "&amp;SUBSTITUTE(TRIM(ROUND(IFERROR(CriteriTecnici!$O344*1,IFERROR(NUMBERVALUE(CriteriTecnici!$O344,".",","),IFERROR(NUMBERVALUE(CriteriTecnici!$O344,",","."),0))),4)&amp;""),",",".")&amp;CHAR(125)&amp;IF(TRUE,",",""))</f>
        <v/>
      </c>
    </row>
    <row r="446">
      <c r="A446" s="82">
        <f>IF(CriteriTecnici!$A345="","","    "&amp;CHAR(123)&amp;CHAR(34)&amp;"bidderId"&amp;CHAR(34)&amp;": "&amp;CHAR(34)&amp;SUBSTITUTE(CriteriTecnici!$A345,CHAR(34),"'")&amp;CHAR(34)&amp;", "&amp;CHAR(34)&amp;"lotId"&amp;CHAR(34)&amp;": "&amp;CHAR(34)&amp;SUBSTITUTE(CriteriTecnici!$C345,CHAR(34),"'")&amp;CHAR(34)&amp;", "&amp;CHAR(34)&amp;"criterionId"&amp;CHAR(34)&amp;": "&amp;CHAR(34)&amp;SUBSTITUTE(CriteriTecnici!$D345,CHAR(34),"'")&amp;CHAR(34)&amp;", "&amp;CHAR(34)&amp;"kind"&amp;CHAR(34)&amp;": "&amp;CHAR(34)&amp;SUBSTITUTE(CriteriTecnici!$F345,CHAR(34),"'")&amp;CHAR(34)&amp;", "&amp;CHAR(34)&amp;"value"&amp;CHAR(34)&amp;": "&amp;SUBSTITUTE(TRIM(ROUND(IFERROR(CriteriTecnici!$N345*1,IFERROR(NUMBERVALUE(CriteriTecnici!$N345,".",","),IFERROR(NUMBERVALUE(CriteriTecnici!$N345,",","."),0))),4)&amp;""),",",".")&amp;", "&amp;CHAR(34)&amp;"numerator"&amp;CHAR(34)&amp;": "&amp;SUBSTITUTE(TRIM(ROUND(IFERROR(CriteriTecnici!$K345*1,IFERROR(NUMBERVALUE(CriteriTecnici!$K345,".",","),IFERROR(NUMBERVALUE(CriteriTecnici!$K345,",","."),0))),4)&amp;""),",",".")&amp;", "&amp;CHAR(34)&amp;"denominator"&amp;CHAR(34)&amp;": "&amp;SUBSTITUTE(TRIM(ROUND(IFERROR(CriteriTecnici!$L345*1,IFERROR(NUMBERVALUE(CriteriTecnici!$L345,".",","),IFERROR(NUMBERVALUE(CriteriTecnici!$L345,",","."),0))),4)&amp;""),",",".")&amp;", "&amp;CHAR(34)&amp;"flag"&amp;CHAR(34)&amp;": "&amp;SUBSTITUTE(TRIM(ROUND(IFERROR(CriteriTecnici!$M345*1,IFERROR(NUMBERVALUE(CriteriTecnici!$M345,".",","),IFERROR(NUMBERVALUE(CriteriTecnici!$M345,",","."),0))),4)&amp;""),",",".")&amp;", "&amp;CHAR(34)&amp;"rawScore"&amp;CHAR(34)&amp;": "&amp;SUBSTITUTE(TRIM(ROUND(IFERROR(CriteriTecnici!$O345*1,IFERROR(NUMBERVALUE(CriteriTecnici!$O345,".",","),IFERROR(NUMBERVALUE(CriteriTecnici!$O345,",","."),0))),4)&amp;""),",",".")&amp;CHAR(125)&amp;IF(COUNTA(Offerte!$A13:$A$81)&gt;0,",",""))</f>
        <v/>
      </c>
    </row>
    <row r="447">
      <c r="A447" s="82">
        <f>IF(CriteriTecnici!$A346="","","    "&amp;CHAR(123)&amp;CHAR(34)&amp;"bidderId"&amp;CHAR(34)&amp;": "&amp;CHAR(34)&amp;SUBSTITUTE(CriteriTecnici!$A346,CHAR(34),"'")&amp;CHAR(34)&amp;", "&amp;CHAR(34)&amp;"lotId"&amp;CHAR(34)&amp;": "&amp;CHAR(34)&amp;SUBSTITUTE(CriteriTecnici!$C346,CHAR(34),"'")&amp;CHAR(34)&amp;", "&amp;CHAR(34)&amp;"criterionId"&amp;CHAR(34)&amp;": "&amp;CHAR(34)&amp;SUBSTITUTE(CriteriTecnici!$D346,CHAR(34),"'")&amp;CHAR(34)&amp;", "&amp;CHAR(34)&amp;"kind"&amp;CHAR(34)&amp;": "&amp;CHAR(34)&amp;SUBSTITUTE(CriteriTecnici!$F346,CHAR(34),"'")&amp;CHAR(34)&amp;", "&amp;CHAR(34)&amp;"value"&amp;CHAR(34)&amp;": "&amp;SUBSTITUTE(TRIM(ROUND(IFERROR(CriteriTecnici!$N346*1,IFERROR(NUMBERVALUE(CriteriTecnici!$N346,".",","),IFERROR(NUMBERVALUE(CriteriTecnici!$N346,",","."),0))),4)&amp;""),",",".")&amp;", "&amp;CHAR(34)&amp;"numerator"&amp;CHAR(34)&amp;": "&amp;SUBSTITUTE(TRIM(ROUND(IFERROR(CriteriTecnici!$K346*1,IFERROR(NUMBERVALUE(CriteriTecnici!$K346,".",","),IFERROR(NUMBERVALUE(CriteriTecnici!$K346,",","."),0))),4)&amp;""),",",".")&amp;", "&amp;CHAR(34)&amp;"denominator"&amp;CHAR(34)&amp;": "&amp;SUBSTITUTE(TRIM(ROUND(IFERROR(CriteriTecnici!$L346*1,IFERROR(NUMBERVALUE(CriteriTecnici!$L346,".",","),IFERROR(NUMBERVALUE(CriteriTecnici!$L346,",","."),0))),4)&amp;""),",",".")&amp;", "&amp;CHAR(34)&amp;"flag"&amp;CHAR(34)&amp;": "&amp;SUBSTITUTE(TRIM(ROUND(IFERROR(CriteriTecnici!$M346*1,IFERROR(NUMBERVALUE(CriteriTecnici!$M346,".",","),IFERROR(NUMBERVALUE(CriteriTecnici!$M346,",","."),0))),4)&amp;""),",",".")&amp;", "&amp;CHAR(34)&amp;"rawScore"&amp;CHAR(34)&amp;": "&amp;SUBSTITUTE(TRIM(ROUND(IFERROR(CriteriTecnici!$O346*1,IFERROR(NUMBERVALUE(CriteriTecnici!$O346,".",","),IFERROR(NUMBERVALUE(CriteriTecnici!$O346,",","."),0))),4)&amp;""),",",".")&amp;CHAR(125)&amp;IF(TRUE,",",""))</f>
        <v/>
      </c>
    </row>
    <row r="448">
      <c r="A448" s="82">
        <f>IF(CriteriTecnici!$A347="","","    "&amp;CHAR(123)&amp;CHAR(34)&amp;"bidderId"&amp;CHAR(34)&amp;": "&amp;CHAR(34)&amp;SUBSTITUTE(CriteriTecnici!$A347,CHAR(34),"'")&amp;CHAR(34)&amp;", "&amp;CHAR(34)&amp;"lotId"&amp;CHAR(34)&amp;": "&amp;CHAR(34)&amp;SUBSTITUTE(CriteriTecnici!$C347,CHAR(34),"'")&amp;CHAR(34)&amp;", "&amp;CHAR(34)&amp;"criterionId"&amp;CHAR(34)&amp;": "&amp;CHAR(34)&amp;SUBSTITUTE(CriteriTecnici!$D347,CHAR(34),"'")&amp;CHAR(34)&amp;", "&amp;CHAR(34)&amp;"kind"&amp;CHAR(34)&amp;": "&amp;CHAR(34)&amp;SUBSTITUTE(CriteriTecnici!$F347,CHAR(34),"'")&amp;CHAR(34)&amp;", "&amp;CHAR(34)&amp;"value"&amp;CHAR(34)&amp;": "&amp;SUBSTITUTE(TRIM(ROUND(IFERROR(CriteriTecnici!$N347*1,IFERROR(NUMBERVALUE(CriteriTecnici!$N347,".",","),IFERROR(NUMBERVALUE(CriteriTecnici!$N347,",","."),0))),4)&amp;""),",",".")&amp;", "&amp;CHAR(34)&amp;"numerator"&amp;CHAR(34)&amp;": "&amp;SUBSTITUTE(TRIM(ROUND(IFERROR(CriteriTecnici!$K347*1,IFERROR(NUMBERVALUE(CriteriTecnici!$K347,".",","),IFERROR(NUMBERVALUE(CriteriTecnici!$K347,",","."),0))),4)&amp;""),",",".")&amp;", "&amp;CHAR(34)&amp;"denominator"&amp;CHAR(34)&amp;": "&amp;SUBSTITUTE(TRIM(ROUND(IFERROR(CriteriTecnici!$L347*1,IFERROR(NUMBERVALUE(CriteriTecnici!$L347,".",","),IFERROR(NUMBERVALUE(CriteriTecnici!$L347,",","."),0))),4)&amp;""),",",".")&amp;", "&amp;CHAR(34)&amp;"flag"&amp;CHAR(34)&amp;": "&amp;SUBSTITUTE(TRIM(ROUND(IFERROR(CriteriTecnici!$M347*1,IFERROR(NUMBERVALUE(CriteriTecnici!$M347,".",","),IFERROR(NUMBERVALUE(CriteriTecnici!$M347,",","."),0))),4)&amp;""),",",".")&amp;", "&amp;CHAR(34)&amp;"rawScore"&amp;CHAR(34)&amp;": "&amp;SUBSTITUTE(TRIM(ROUND(IFERROR(CriteriTecnici!$O347*1,IFERROR(NUMBERVALUE(CriteriTecnici!$O347,".",","),IFERROR(NUMBERVALUE(CriteriTecnici!$O347,",","."),0))),4)&amp;""),",",".")&amp;CHAR(125)&amp;IF(TRUE,",",""))</f>
        <v/>
      </c>
    </row>
    <row r="449">
      <c r="A449" s="82">
        <f>IF(CriteriTecnici!$A348="","","    "&amp;CHAR(123)&amp;CHAR(34)&amp;"bidderId"&amp;CHAR(34)&amp;": "&amp;CHAR(34)&amp;SUBSTITUTE(CriteriTecnici!$A348,CHAR(34),"'")&amp;CHAR(34)&amp;", "&amp;CHAR(34)&amp;"lotId"&amp;CHAR(34)&amp;": "&amp;CHAR(34)&amp;SUBSTITUTE(CriteriTecnici!$C348,CHAR(34),"'")&amp;CHAR(34)&amp;", "&amp;CHAR(34)&amp;"criterionId"&amp;CHAR(34)&amp;": "&amp;CHAR(34)&amp;SUBSTITUTE(CriteriTecnici!$D348,CHAR(34),"'")&amp;CHAR(34)&amp;", "&amp;CHAR(34)&amp;"kind"&amp;CHAR(34)&amp;": "&amp;CHAR(34)&amp;SUBSTITUTE(CriteriTecnici!$F348,CHAR(34),"'")&amp;CHAR(34)&amp;", "&amp;CHAR(34)&amp;"value"&amp;CHAR(34)&amp;": "&amp;SUBSTITUTE(TRIM(ROUND(IFERROR(CriteriTecnici!$N348*1,IFERROR(NUMBERVALUE(CriteriTecnici!$N348,".",","),IFERROR(NUMBERVALUE(CriteriTecnici!$N348,",","."),0))),4)&amp;""),",",".")&amp;", "&amp;CHAR(34)&amp;"numerator"&amp;CHAR(34)&amp;": "&amp;SUBSTITUTE(TRIM(ROUND(IFERROR(CriteriTecnici!$K348*1,IFERROR(NUMBERVALUE(CriteriTecnici!$K348,".",","),IFERROR(NUMBERVALUE(CriteriTecnici!$K348,",","."),0))),4)&amp;""),",",".")&amp;", "&amp;CHAR(34)&amp;"denominator"&amp;CHAR(34)&amp;": "&amp;SUBSTITUTE(TRIM(ROUND(IFERROR(CriteriTecnici!$L348*1,IFERROR(NUMBERVALUE(CriteriTecnici!$L348,".",","),IFERROR(NUMBERVALUE(CriteriTecnici!$L348,",","."),0))),4)&amp;""),",",".")&amp;", "&amp;CHAR(34)&amp;"flag"&amp;CHAR(34)&amp;": "&amp;SUBSTITUTE(TRIM(ROUND(IFERROR(CriteriTecnici!$M348*1,IFERROR(NUMBERVALUE(CriteriTecnici!$M348,".",","),IFERROR(NUMBERVALUE(CriteriTecnici!$M348,",","."),0))),4)&amp;""),",",".")&amp;", "&amp;CHAR(34)&amp;"rawScore"&amp;CHAR(34)&amp;": "&amp;SUBSTITUTE(TRIM(ROUND(IFERROR(CriteriTecnici!$O348*1,IFERROR(NUMBERVALUE(CriteriTecnici!$O348,".",","),IFERROR(NUMBERVALUE(CriteriTecnici!$O348,",","."),0))),4)&amp;""),",",".")&amp;CHAR(125)&amp;IF(TRUE,",",""))</f>
        <v/>
      </c>
    </row>
    <row r="450">
      <c r="A450" s="82">
        <f>IF(CriteriTecnici!$A349="","","    "&amp;CHAR(123)&amp;CHAR(34)&amp;"bidderId"&amp;CHAR(34)&amp;": "&amp;CHAR(34)&amp;SUBSTITUTE(CriteriTecnici!$A349,CHAR(34),"'")&amp;CHAR(34)&amp;", "&amp;CHAR(34)&amp;"lotId"&amp;CHAR(34)&amp;": "&amp;CHAR(34)&amp;SUBSTITUTE(CriteriTecnici!$C349,CHAR(34),"'")&amp;CHAR(34)&amp;", "&amp;CHAR(34)&amp;"criterionId"&amp;CHAR(34)&amp;": "&amp;CHAR(34)&amp;SUBSTITUTE(CriteriTecnici!$D349,CHAR(34),"'")&amp;CHAR(34)&amp;", "&amp;CHAR(34)&amp;"kind"&amp;CHAR(34)&amp;": "&amp;CHAR(34)&amp;SUBSTITUTE(CriteriTecnici!$F349,CHAR(34),"'")&amp;CHAR(34)&amp;", "&amp;CHAR(34)&amp;"value"&amp;CHAR(34)&amp;": "&amp;SUBSTITUTE(TRIM(ROUND(IFERROR(CriteriTecnici!$N349*1,IFERROR(NUMBERVALUE(CriteriTecnici!$N349,".",","),IFERROR(NUMBERVALUE(CriteriTecnici!$N349,",","."),0))),4)&amp;""),",",".")&amp;", "&amp;CHAR(34)&amp;"numerator"&amp;CHAR(34)&amp;": "&amp;SUBSTITUTE(TRIM(ROUND(IFERROR(CriteriTecnici!$K349*1,IFERROR(NUMBERVALUE(CriteriTecnici!$K349,".",","),IFERROR(NUMBERVALUE(CriteriTecnici!$K349,",","."),0))),4)&amp;""),",",".")&amp;", "&amp;CHAR(34)&amp;"denominator"&amp;CHAR(34)&amp;": "&amp;SUBSTITUTE(TRIM(ROUND(IFERROR(CriteriTecnici!$L349*1,IFERROR(NUMBERVALUE(CriteriTecnici!$L349,".",","),IFERROR(NUMBERVALUE(CriteriTecnici!$L349,",","."),0))),4)&amp;""),",",".")&amp;", "&amp;CHAR(34)&amp;"flag"&amp;CHAR(34)&amp;": "&amp;SUBSTITUTE(TRIM(ROUND(IFERROR(CriteriTecnici!$M349*1,IFERROR(NUMBERVALUE(CriteriTecnici!$M349,".",","),IFERROR(NUMBERVALUE(CriteriTecnici!$M349,",","."),0))),4)&amp;""),",",".")&amp;", "&amp;CHAR(34)&amp;"rawScore"&amp;CHAR(34)&amp;": "&amp;SUBSTITUTE(TRIM(ROUND(IFERROR(CriteriTecnici!$O349*1,IFERROR(NUMBERVALUE(CriteriTecnici!$O349,".",","),IFERROR(NUMBERVALUE(CriteriTecnici!$O349,",","."),0))),4)&amp;""),",",".")&amp;CHAR(125)&amp;IF(TRUE,",",""))</f>
        <v/>
      </c>
    </row>
    <row r="451">
      <c r="A451" s="82">
        <f>IF(CriteriTecnici!$A350="","","    "&amp;CHAR(123)&amp;CHAR(34)&amp;"bidderId"&amp;CHAR(34)&amp;": "&amp;CHAR(34)&amp;SUBSTITUTE(CriteriTecnici!$A350,CHAR(34),"'")&amp;CHAR(34)&amp;", "&amp;CHAR(34)&amp;"lotId"&amp;CHAR(34)&amp;": "&amp;CHAR(34)&amp;SUBSTITUTE(CriteriTecnici!$C350,CHAR(34),"'")&amp;CHAR(34)&amp;", "&amp;CHAR(34)&amp;"criterionId"&amp;CHAR(34)&amp;": "&amp;CHAR(34)&amp;SUBSTITUTE(CriteriTecnici!$D350,CHAR(34),"'")&amp;CHAR(34)&amp;", "&amp;CHAR(34)&amp;"kind"&amp;CHAR(34)&amp;": "&amp;CHAR(34)&amp;SUBSTITUTE(CriteriTecnici!$F350,CHAR(34),"'")&amp;CHAR(34)&amp;", "&amp;CHAR(34)&amp;"value"&amp;CHAR(34)&amp;": "&amp;SUBSTITUTE(TRIM(ROUND(IFERROR(CriteriTecnici!$N350*1,IFERROR(NUMBERVALUE(CriteriTecnici!$N350,".",","),IFERROR(NUMBERVALUE(CriteriTecnici!$N350,",","."),0))),4)&amp;""),",",".")&amp;", "&amp;CHAR(34)&amp;"numerator"&amp;CHAR(34)&amp;": "&amp;SUBSTITUTE(TRIM(ROUND(IFERROR(CriteriTecnici!$K350*1,IFERROR(NUMBERVALUE(CriteriTecnici!$K350,".",","),IFERROR(NUMBERVALUE(CriteriTecnici!$K350,",","."),0))),4)&amp;""),",",".")&amp;", "&amp;CHAR(34)&amp;"denominator"&amp;CHAR(34)&amp;": "&amp;SUBSTITUTE(TRIM(ROUND(IFERROR(CriteriTecnici!$L350*1,IFERROR(NUMBERVALUE(CriteriTecnici!$L350,".",","),IFERROR(NUMBERVALUE(CriteriTecnici!$L350,",","."),0))),4)&amp;""),",",".")&amp;", "&amp;CHAR(34)&amp;"flag"&amp;CHAR(34)&amp;": "&amp;SUBSTITUTE(TRIM(ROUND(IFERROR(CriteriTecnici!$M350*1,IFERROR(NUMBERVALUE(CriteriTecnici!$M350,".",","),IFERROR(NUMBERVALUE(CriteriTecnici!$M350,",","."),0))),4)&amp;""),",",".")&amp;", "&amp;CHAR(34)&amp;"rawScore"&amp;CHAR(34)&amp;": "&amp;SUBSTITUTE(TRIM(ROUND(IFERROR(CriteriTecnici!$O350*1,IFERROR(NUMBERVALUE(CriteriTecnici!$O350,".",","),IFERROR(NUMBERVALUE(CriteriTecnici!$O350,",","."),0))),4)&amp;""),",",".")&amp;CHAR(125)&amp;IF(TRUE,",",""))</f>
        <v/>
      </c>
    </row>
    <row r="452">
      <c r="A452" s="82">
        <f>IF(CriteriTecnici!$A351="","","    "&amp;CHAR(123)&amp;CHAR(34)&amp;"bidderId"&amp;CHAR(34)&amp;": "&amp;CHAR(34)&amp;SUBSTITUTE(CriteriTecnici!$A351,CHAR(34),"'")&amp;CHAR(34)&amp;", "&amp;CHAR(34)&amp;"lotId"&amp;CHAR(34)&amp;": "&amp;CHAR(34)&amp;SUBSTITUTE(CriteriTecnici!$C351,CHAR(34),"'")&amp;CHAR(34)&amp;", "&amp;CHAR(34)&amp;"criterionId"&amp;CHAR(34)&amp;": "&amp;CHAR(34)&amp;SUBSTITUTE(CriteriTecnici!$D351,CHAR(34),"'")&amp;CHAR(34)&amp;", "&amp;CHAR(34)&amp;"kind"&amp;CHAR(34)&amp;": "&amp;CHAR(34)&amp;SUBSTITUTE(CriteriTecnici!$F351,CHAR(34),"'")&amp;CHAR(34)&amp;", "&amp;CHAR(34)&amp;"value"&amp;CHAR(34)&amp;": "&amp;SUBSTITUTE(TRIM(ROUND(IFERROR(CriteriTecnici!$N351*1,IFERROR(NUMBERVALUE(CriteriTecnici!$N351,".",","),IFERROR(NUMBERVALUE(CriteriTecnici!$N351,",","."),0))),4)&amp;""),",",".")&amp;", "&amp;CHAR(34)&amp;"numerator"&amp;CHAR(34)&amp;": "&amp;SUBSTITUTE(TRIM(ROUND(IFERROR(CriteriTecnici!$K351*1,IFERROR(NUMBERVALUE(CriteriTecnici!$K351,".",","),IFERROR(NUMBERVALUE(CriteriTecnici!$K351,",","."),0))),4)&amp;""),",",".")&amp;", "&amp;CHAR(34)&amp;"denominator"&amp;CHAR(34)&amp;": "&amp;SUBSTITUTE(TRIM(ROUND(IFERROR(CriteriTecnici!$L351*1,IFERROR(NUMBERVALUE(CriteriTecnici!$L351,".",","),IFERROR(NUMBERVALUE(CriteriTecnici!$L351,",","."),0))),4)&amp;""),",",".")&amp;", "&amp;CHAR(34)&amp;"flag"&amp;CHAR(34)&amp;": "&amp;SUBSTITUTE(TRIM(ROUND(IFERROR(CriteriTecnici!$M351*1,IFERROR(NUMBERVALUE(CriteriTecnici!$M351,".",","),IFERROR(NUMBERVALUE(CriteriTecnici!$M351,",","."),0))),4)&amp;""),",",".")&amp;", "&amp;CHAR(34)&amp;"rawScore"&amp;CHAR(34)&amp;": "&amp;SUBSTITUTE(TRIM(ROUND(IFERROR(CriteriTecnici!$O351*1,IFERROR(NUMBERVALUE(CriteriTecnici!$O351,".",","),IFERROR(NUMBERVALUE(CriteriTecnici!$O351,",","."),0))),4)&amp;""),",",".")&amp;CHAR(125)&amp;IF(TRUE,",",""))</f>
        <v/>
      </c>
    </row>
    <row r="453">
      <c r="A453" s="82">
        <f>IF(CriteriTecnici!$A352="","","    "&amp;CHAR(123)&amp;CHAR(34)&amp;"bidderId"&amp;CHAR(34)&amp;": "&amp;CHAR(34)&amp;SUBSTITUTE(CriteriTecnici!$A352,CHAR(34),"'")&amp;CHAR(34)&amp;", "&amp;CHAR(34)&amp;"lotId"&amp;CHAR(34)&amp;": "&amp;CHAR(34)&amp;SUBSTITUTE(CriteriTecnici!$C352,CHAR(34),"'")&amp;CHAR(34)&amp;", "&amp;CHAR(34)&amp;"criterionId"&amp;CHAR(34)&amp;": "&amp;CHAR(34)&amp;SUBSTITUTE(CriteriTecnici!$D352,CHAR(34),"'")&amp;CHAR(34)&amp;", "&amp;CHAR(34)&amp;"kind"&amp;CHAR(34)&amp;": "&amp;CHAR(34)&amp;SUBSTITUTE(CriteriTecnici!$F352,CHAR(34),"'")&amp;CHAR(34)&amp;", "&amp;CHAR(34)&amp;"value"&amp;CHAR(34)&amp;": "&amp;SUBSTITUTE(TRIM(ROUND(IFERROR(CriteriTecnici!$N352*1,IFERROR(NUMBERVALUE(CriteriTecnici!$N352,".",","),IFERROR(NUMBERVALUE(CriteriTecnici!$N352,",","."),0))),4)&amp;""),",",".")&amp;", "&amp;CHAR(34)&amp;"numerator"&amp;CHAR(34)&amp;": "&amp;SUBSTITUTE(TRIM(ROUND(IFERROR(CriteriTecnici!$K352*1,IFERROR(NUMBERVALUE(CriteriTecnici!$K352,".",","),IFERROR(NUMBERVALUE(CriteriTecnici!$K352,",","."),0))),4)&amp;""),",",".")&amp;", "&amp;CHAR(34)&amp;"denominator"&amp;CHAR(34)&amp;": "&amp;SUBSTITUTE(TRIM(ROUND(IFERROR(CriteriTecnici!$L352*1,IFERROR(NUMBERVALUE(CriteriTecnici!$L352,".",","),IFERROR(NUMBERVALUE(CriteriTecnici!$L352,",","."),0))),4)&amp;""),",",".")&amp;", "&amp;CHAR(34)&amp;"flag"&amp;CHAR(34)&amp;": "&amp;SUBSTITUTE(TRIM(ROUND(IFERROR(CriteriTecnici!$M352*1,IFERROR(NUMBERVALUE(CriteriTecnici!$M352,".",","),IFERROR(NUMBERVALUE(CriteriTecnici!$M352,",","."),0))),4)&amp;""),",",".")&amp;", "&amp;CHAR(34)&amp;"rawScore"&amp;CHAR(34)&amp;": "&amp;SUBSTITUTE(TRIM(ROUND(IFERROR(CriteriTecnici!$O352*1,IFERROR(NUMBERVALUE(CriteriTecnici!$O352,".",","),IFERROR(NUMBERVALUE(CriteriTecnici!$O352,",","."),0))),4)&amp;""),",",".")&amp;CHAR(125)&amp;IF(TRUE,",",""))</f>
        <v/>
      </c>
    </row>
    <row r="454">
      <c r="A454" s="82">
        <f>IF(CriteriTecnici!$A353="","","    "&amp;CHAR(123)&amp;CHAR(34)&amp;"bidderId"&amp;CHAR(34)&amp;": "&amp;CHAR(34)&amp;SUBSTITUTE(CriteriTecnici!$A353,CHAR(34),"'")&amp;CHAR(34)&amp;", "&amp;CHAR(34)&amp;"lotId"&amp;CHAR(34)&amp;": "&amp;CHAR(34)&amp;SUBSTITUTE(CriteriTecnici!$C353,CHAR(34),"'")&amp;CHAR(34)&amp;", "&amp;CHAR(34)&amp;"criterionId"&amp;CHAR(34)&amp;": "&amp;CHAR(34)&amp;SUBSTITUTE(CriteriTecnici!$D353,CHAR(34),"'")&amp;CHAR(34)&amp;", "&amp;CHAR(34)&amp;"kind"&amp;CHAR(34)&amp;": "&amp;CHAR(34)&amp;SUBSTITUTE(CriteriTecnici!$F353,CHAR(34),"'")&amp;CHAR(34)&amp;", "&amp;CHAR(34)&amp;"value"&amp;CHAR(34)&amp;": "&amp;SUBSTITUTE(TRIM(ROUND(IFERROR(CriteriTecnici!$N353*1,IFERROR(NUMBERVALUE(CriteriTecnici!$N353,".",","),IFERROR(NUMBERVALUE(CriteriTecnici!$N353,",","."),0))),4)&amp;""),",",".")&amp;", "&amp;CHAR(34)&amp;"numerator"&amp;CHAR(34)&amp;": "&amp;SUBSTITUTE(TRIM(ROUND(IFERROR(CriteriTecnici!$K353*1,IFERROR(NUMBERVALUE(CriteriTecnici!$K353,".",","),IFERROR(NUMBERVALUE(CriteriTecnici!$K353,",","."),0))),4)&amp;""),",",".")&amp;", "&amp;CHAR(34)&amp;"denominator"&amp;CHAR(34)&amp;": "&amp;SUBSTITUTE(TRIM(ROUND(IFERROR(CriteriTecnici!$L353*1,IFERROR(NUMBERVALUE(CriteriTecnici!$L353,".",","),IFERROR(NUMBERVALUE(CriteriTecnici!$L353,",","."),0))),4)&amp;""),",",".")&amp;", "&amp;CHAR(34)&amp;"flag"&amp;CHAR(34)&amp;": "&amp;SUBSTITUTE(TRIM(ROUND(IFERROR(CriteriTecnici!$M353*1,IFERROR(NUMBERVALUE(CriteriTecnici!$M353,".",","),IFERROR(NUMBERVALUE(CriteriTecnici!$M353,",","."),0))),4)&amp;""),",",".")&amp;", "&amp;CHAR(34)&amp;"rawScore"&amp;CHAR(34)&amp;": "&amp;SUBSTITUTE(TRIM(ROUND(IFERROR(CriteriTecnici!$O353*1,IFERROR(NUMBERVALUE(CriteriTecnici!$O353,".",","),IFERROR(NUMBERVALUE(CriteriTecnici!$O353,",","."),0))),4)&amp;""),",",".")&amp;CHAR(125)&amp;IF(TRUE,",",""))</f>
        <v/>
      </c>
    </row>
    <row r="455">
      <c r="A455" s="82">
        <f>IF(CriteriTecnici!$A354="","","    "&amp;CHAR(123)&amp;CHAR(34)&amp;"bidderId"&amp;CHAR(34)&amp;": "&amp;CHAR(34)&amp;SUBSTITUTE(CriteriTecnici!$A354,CHAR(34),"'")&amp;CHAR(34)&amp;", "&amp;CHAR(34)&amp;"lotId"&amp;CHAR(34)&amp;": "&amp;CHAR(34)&amp;SUBSTITUTE(CriteriTecnici!$C354,CHAR(34),"'")&amp;CHAR(34)&amp;", "&amp;CHAR(34)&amp;"criterionId"&amp;CHAR(34)&amp;": "&amp;CHAR(34)&amp;SUBSTITUTE(CriteriTecnici!$D354,CHAR(34),"'")&amp;CHAR(34)&amp;", "&amp;CHAR(34)&amp;"kind"&amp;CHAR(34)&amp;": "&amp;CHAR(34)&amp;SUBSTITUTE(CriteriTecnici!$F354,CHAR(34),"'")&amp;CHAR(34)&amp;", "&amp;CHAR(34)&amp;"value"&amp;CHAR(34)&amp;": "&amp;SUBSTITUTE(TRIM(ROUND(IFERROR(CriteriTecnici!$N354*1,IFERROR(NUMBERVALUE(CriteriTecnici!$N354,".",","),IFERROR(NUMBERVALUE(CriteriTecnici!$N354,",","."),0))),4)&amp;""),",",".")&amp;", "&amp;CHAR(34)&amp;"numerator"&amp;CHAR(34)&amp;": "&amp;SUBSTITUTE(TRIM(ROUND(IFERROR(CriteriTecnici!$K354*1,IFERROR(NUMBERVALUE(CriteriTecnici!$K354,".",","),IFERROR(NUMBERVALUE(CriteriTecnici!$K354,",","."),0))),4)&amp;""),",",".")&amp;", "&amp;CHAR(34)&amp;"denominator"&amp;CHAR(34)&amp;": "&amp;SUBSTITUTE(TRIM(ROUND(IFERROR(CriteriTecnici!$L354*1,IFERROR(NUMBERVALUE(CriteriTecnici!$L354,".",","),IFERROR(NUMBERVALUE(CriteriTecnici!$L354,",","."),0))),4)&amp;""),",",".")&amp;", "&amp;CHAR(34)&amp;"flag"&amp;CHAR(34)&amp;": "&amp;SUBSTITUTE(TRIM(ROUND(IFERROR(CriteriTecnici!$M354*1,IFERROR(NUMBERVALUE(CriteriTecnici!$M354,".",","),IFERROR(NUMBERVALUE(CriteriTecnici!$M354,",","."),0))),4)&amp;""),",",".")&amp;", "&amp;CHAR(34)&amp;"rawScore"&amp;CHAR(34)&amp;": "&amp;SUBSTITUTE(TRIM(ROUND(IFERROR(CriteriTecnici!$O354*1,IFERROR(NUMBERVALUE(CriteriTecnici!$O354,".",","),IFERROR(NUMBERVALUE(CriteriTecnici!$O354,",","."),0))),4)&amp;""),",",".")&amp;CHAR(125)&amp;IF(TRUE,",",""))</f>
        <v/>
      </c>
    </row>
    <row r="456">
      <c r="A456" s="82">
        <f>IF(CriteriTecnici!$A355="","","    "&amp;CHAR(123)&amp;CHAR(34)&amp;"bidderId"&amp;CHAR(34)&amp;": "&amp;CHAR(34)&amp;SUBSTITUTE(CriteriTecnici!$A355,CHAR(34),"'")&amp;CHAR(34)&amp;", "&amp;CHAR(34)&amp;"lotId"&amp;CHAR(34)&amp;": "&amp;CHAR(34)&amp;SUBSTITUTE(CriteriTecnici!$C355,CHAR(34),"'")&amp;CHAR(34)&amp;", "&amp;CHAR(34)&amp;"criterionId"&amp;CHAR(34)&amp;": "&amp;CHAR(34)&amp;SUBSTITUTE(CriteriTecnici!$D355,CHAR(34),"'")&amp;CHAR(34)&amp;", "&amp;CHAR(34)&amp;"kind"&amp;CHAR(34)&amp;": "&amp;CHAR(34)&amp;SUBSTITUTE(CriteriTecnici!$F355,CHAR(34),"'")&amp;CHAR(34)&amp;", "&amp;CHAR(34)&amp;"value"&amp;CHAR(34)&amp;": "&amp;SUBSTITUTE(TRIM(ROUND(IFERROR(CriteriTecnici!$N355*1,IFERROR(NUMBERVALUE(CriteriTecnici!$N355,".",","),IFERROR(NUMBERVALUE(CriteriTecnici!$N355,",","."),0))),4)&amp;""),",",".")&amp;", "&amp;CHAR(34)&amp;"numerator"&amp;CHAR(34)&amp;": "&amp;SUBSTITUTE(TRIM(ROUND(IFERROR(CriteriTecnici!$K355*1,IFERROR(NUMBERVALUE(CriteriTecnici!$K355,".",","),IFERROR(NUMBERVALUE(CriteriTecnici!$K355,",","."),0))),4)&amp;""),",",".")&amp;", "&amp;CHAR(34)&amp;"denominator"&amp;CHAR(34)&amp;": "&amp;SUBSTITUTE(TRIM(ROUND(IFERROR(CriteriTecnici!$L355*1,IFERROR(NUMBERVALUE(CriteriTecnici!$L355,".",","),IFERROR(NUMBERVALUE(CriteriTecnici!$L355,",","."),0))),4)&amp;""),",",".")&amp;", "&amp;CHAR(34)&amp;"flag"&amp;CHAR(34)&amp;": "&amp;SUBSTITUTE(TRIM(ROUND(IFERROR(CriteriTecnici!$M355*1,IFERROR(NUMBERVALUE(CriteriTecnici!$M355,".",","),IFERROR(NUMBERVALUE(CriteriTecnici!$M355,",","."),0))),4)&amp;""),",",".")&amp;", "&amp;CHAR(34)&amp;"rawScore"&amp;CHAR(34)&amp;": "&amp;SUBSTITUTE(TRIM(ROUND(IFERROR(CriteriTecnici!$O355*1,IFERROR(NUMBERVALUE(CriteriTecnici!$O355,".",","),IFERROR(NUMBERVALUE(CriteriTecnici!$O355,",","."),0))),4)&amp;""),",",".")&amp;CHAR(125)&amp;IF(TRUE,",",""))</f>
        <v/>
      </c>
    </row>
    <row r="457">
      <c r="A457" s="82">
        <f>IF(CriteriTecnici!$A356="","","    "&amp;CHAR(123)&amp;CHAR(34)&amp;"bidderId"&amp;CHAR(34)&amp;": "&amp;CHAR(34)&amp;SUBSTITUTE(CriteriTecnici!$A356,CHAR(34),"'")&amp;CHAR(34)&amp;", "&amp;CHAR(34)&amp;"lotId"&amp;CHAR(34)&amp;": "&amp;CHAR(34)&amp;SUBSTITUTE(CriteriTecnici!$C356,CHAR(34),"'")&amp;CHAR(34)&amp;", "&amp;CHAR(34)&amp;"criterionId"&amp;CHAR(34)&amp;": "&amp;CHAR(34)&amp;SUBSTITUTE(CriteriTecnici!$D356,CHAR(34),"'")&amp;CHAR(34)&amp;", "&amp;CHAR(34)&amp;"kind"&amp;CHAR(34)&amp;": "&amp;CHAR(34)&amp;SUBSTITUTE(CriteriTecnici!$F356,CHAR(34),"'")&amp;CHAR(34)&amp;", "&amp;CHAR(34)&amp;"value"&amp;CHAR(34)&amp;": "&amp;SUBSTITUTE(TRIM(ROUND(IFERROR(CriteriTecnici!$N356*1,IFERROR(NUMBERVALUE(CriteriTecnici!$N356,".",","),IFERROR(NUMBERVALUE(CriteriTecnici!$N356,",","."),0))),4)&amp;""),",",".")&amp;", "&amp;CHAR(34)&amp;"numerator"&amp;CHAR(34)&amp;": "&amp;SUBSTITUTE(TRIM(ROUND(IFERROR(CriteriTecnici!$K356*1,IFERROR(NUMBERVALUE(CriteriTecnici!$K356,".",","),IFERROR(NUMBERVALUE(CriteriTecnici!$K356,",","."),0))),4)&amp;""),",",".")&amp;", "&amp;CHAR(34)&amp;"denominator"&amp;CHAR(34)&amp;": "&amp;SUBSTITUTE(TRIM(ROUND(IFERROR(CriteriTecnici!$L356*1,IFERROR(NUMBERVALUE(CriteriTecnici!$L356,".",","),IFERROR(NUMBERVALUE(CriteriTecnici!$L356,",","."),0))),4)&amp;""),",",".")&amp;", "&amp;CHAR(34)&amp;"flag"&amp;CHAR(34)&amp;": "&amp;SUBSTITUTE(TRIM(ROUND(IFERROR(CriteriTecnici!$M356*1,IFERROR(NUMBERVALUE(CriteriTecnici!$M356,".",","),IFERROR(NUMBERVALUE(CriteriTecnici!$M356,",","."),0))),4)&amp;""),",",".")&amp;", "&amp;CHAR(34)&amp;"rawScore"&amp;CHAR(34)&amp;": "&amp;SUBSTITUTE(TRIM(ROUND(IFERROR(CriteriTecnici!$O356*1,IFERROR(NUMBERVALUE(CriteriTecnici!$O356,".",","),IFERROR(NUMBERVALUE(CriteriTecnici!$O356,",","."),0))),4)&amp;""),",",".")&amp;CHAR(125)&amp;IF(TRUE,",",""))</f>
        <v/>
      </c>
    </row>
    <row r="458">
      <c r="A458" s="82">
        <f>IF(CriteriTecnici!$A357="","","    "&amp;CHAR(123)&amp;CHAR(34)&amp;"bidderId"&amp;CHAR(34)&amp;": "&amp;CHAR(34)&amp;SUBSTITUTE(CriteriTecnici!$A357,CHAR(34),"'")&amp;CHAR(34)&amp;", "&amp;CHAR(34)&amp;"lotId"&amp;CHAR(34)&amp;": "&amp;CHAR(34)&amp;SUBSTITUTE(CriteriTecnici!$C357,CHAR(34),"'")&amp;CHAR(34)&amp;", "&amp;CHAR(34)&amp;"criterionId"&amp;CHAR(34)&amp;": "&amp;CHAR(34)&amp;SUBSTITUTE(CriteriTecnici!$D357,CHAR(34),"'")&amp;CHAR(34)&amp;", "&amp;CHAR(34)&amp;"kind"&amp;CHAR(34)&amp;": "&amp;CHAR(34)&amp;SUBSTITUTE(CriteriTecnici!$F357,CHAR(34),"'")&amp;CHAR(34)&amp;", "&amp;CHAR(34)&amp;"value"&amp;CHAR(34)&amp;": "&amp;SUBSTITUTE(TRIM(ROUND(IFERROR(CriteriTecnici!$N357*1,IFERROR(NUMBERVALUE(CriteriTecnici!$N357,".",","),IFERROR(NUMBERVALUE(CriteriTecnici!$N357,",","."),0))),4)&amp;""),",",".")&amp;", "&amp;CHAR(34)&amp;"numerator"&amp;CHAR(34)&amp;": "&amp;SUBSTITUTE(TRIM(ROUND(IFERROR(CriteriTecnici!$K357*1,IFERROR(NUMBERVALUE(CriteriTecnici!$K357,".",","),IFERROR(NUMBERVALUE(CriteriTecnici!$K357,",","."),0))),4)&amp;""),",",".")&amp;", "&amp;CHAR(34)&amp;"denominator"&amp;CHAR(34)&amp;": "&amp;SUBSTITUTE(TRIM(ROUND(IFERROR(CriteriTecnici!$L357*1,IFERROR(NUMBERVALUE(CriteriTecnici!$L357,".",","),IFERROR(NUMBERVALUE(CriteriTecnici!$L357,",","."),0))),4)&amp;""),",",".")&amp;", "&amp;CHAR(34)&amp;"flag"&amp;CHAR(34)&amp;": "&amp;SUBSTITUTE(TRIM(ROUND(IFERROR(CriteriTecnici!$M357*1,IFERROR(NUMBERVALUE(CriteriTecnici!$M357,".",","),IFERROR(NUMBERVALUE(CriteriTecnici!$M357,",","."),0))),4)&amp;""),",",".")&amp;", "&amp;CHAR(34)&amp;"rawScore"&amp;CHAR(34)&amp;": "&amp;SUBSTITUTE(TRIM(ROUND(IFERROR(CriteriTecnici!$O357*1,IFERROR(NUMBERVALUE(CriteriTecnici!$O357,".",","),IFERROR(NUMBERVALUE(CriteriTecnici!$O357,",","."),0))),4)&amp;""),",",".")&amp;CHAR(125)&amp;IF(TRUE,",",""))</f>
        <v/>
      </c>
    </row>
    <row r="459">
      <c r="A459" s="82">
        <f>IF(CriteriTecnici!$A358="","","    "&amp;CHAR(123)&amp;CHAR(34)&amp;"bidderId"&amp;CHAR(34)&amp;": "&amp;CHAR(34)&amp;SUBSTITUTE(CriteriTecnici!$A358,CHAR(34),"'")&amp;CHAR(34)&amp;", "&amp;CHAR(34)&amp;"lotId"&amp;CHAR(34)&amp;": "&amp;CHAR(34)&amp;SUBSTITUTE(CriteriTecnici!$C358,CHAR(34),"'")&amp;CHAR(34)&amp;", "&amp;CHAR(34)&amp;"criterionId"&amp;CHAR(34)&amp;": "&amp;CHAR(34)&amp;SUBSTITUTE(CriteriTecnici!$D358,CHAR(34),"'")&amp;CHAR(34)&amp;", "&amp;CHAR(34)&amp;"kind"&amp;CHAR(34)&amp;": "&amp;CHAR(34)&amp;SUBSTITUTE(CriteriTecnici!$F358,CHAR(34),"'")&amp;CHAR(34)&amp;", "&amp;CHAR(34)&amp;"value"&amp;CHAR(34)&amp;": "&amp;SUBSTITUTE(TRIM(ROUND(IFERROR(CriteriTecnici!$N358*1,IFERROR(NUMBERVALUE(CriteriTecnici!$N358,".",","),IFERROR(NUMBERVALUE(CriteriTecnici!$N358,",","."),0))),4)&amp;""),",",".")&amp;", "&amp;CHAR(34)&amp;"numerator"&amp;CHAR(34)&amp;": "&amp;SUBSTITUTE(TRIM(ROUND(IFERROR(CriteriTecnici!$K358*1,IFERROR(NUMBERVALUE(CriteriTecnici!$K358,".",","),IFERROR(NUMBERVALUE(CriteriTecnici!$K358,",","."),0))),4)&amp;""),",",".")&amp;", "&amp;CHAR(34)&amp;"denominator"&amp;CHAR(34)&amp;": "&amp;SUBSTITUTE(TRIM(ROUND(IFERROR(CriteriTecnici!$L358*1,IFERROR(NUMBERVALUE(CriteriTecnici!$L358,".",","),IFERROR(NUMBERVALUE(CriteriTecnici!$L358,",","."),0))),4)&amp;""),",",".")&amp;", "&amp;CHAR(34)&amp;"flag"&amp;CHAR(34)&amp;": "&amp;SUBSTITUTE(TRIM(ROUND(IFERROR(CriteriTecnici!$M358*1,IFERROR(NUMBERVALUE(CriteriTecnici!$M358,".",","),IFERROR(NUMBERVALUE(CriteriTecnici!$M358,",","."),0))),4)&amp;""),",",".")&amp;", "&amp;CHAR(34)&amp;"rawScore"&amp;CHAR(34)&amp;": "&amp;SUBSTITUTE(TRIM(ROUND(IFERROR(CriteriTecnici!$O358*1,IFERROR(NUMBERVALUE(CriteriTecnici!$O358,".",","),IFERROR(NUMBERVALUE(CriteriTecnici!$O358,",","."),0))),4)&amp;""),",",".")&amp;CHAR(125)&amp;IF(TRUE,",",""))</f>
        <v/>
      </c>
    </row>
    <row r="460">
      <c r="A460" s="82">
        <f>IF(CriteriTecnici!$A359="","","    "&amp;CHAR(123)&amp;CHAR(34)&amp;"bidderId"&amp;CHAR(34)&amp;": "&amp;CHAR(34)&amp;SUBSTITUTE(CriteriTecnici!$A359,CHAR(34),"'")&amp;CHAR(34)&amp;", "&amp;CHAR(34)&amp;"lotId"&amp;CHAR(34)&amp;": "&amp;CHAR(34)&amp;SUBSTITUTE(CriteriTecnici!$C359,CHAR(34),"'")&amp;CHAR(34)&amp;", "&amp;CHAR(34)&amp;"criterionId"&amp;CHAR(34)&amp;": "&amp;CHAR(34)&amp;SUBSTITUTE(CriteriTecnici!$D359,CHAR(34),"'")&amp;CHAR(34)&amp;", "&amp;CHAR(34)&amp;"kind"&amp;CHAR(34)&amp;": "&amp;CHAR(34)&amp;SUBSTITUTE(CriteriTecnici!$F359,CHAR(34),"'")&amp;CHAR(34)&amp;", "&amp;CHAR(34)&amp;"value"&amp;CHAR(34)&amp;": "&amp;SUBSTITUTE(TRIM(ROUND(IFERROR(CriteriTecnici!$N359*1,IFERROR(NUMBERVALUE(CriteriTecnici!$N359,".",","),IFERROR(NUMBERVALUE(CriteriTecnici!$N359,",","."),0))),4)&amp;""),",",".")&amp;", "&amp;CHAR(34)&amp;"numerator"&amp;CHAR(34)&amp;": "&amp;SUBSTITUTE(TRIM(ROUND(IFERROR(CriteriTecnici!$K359*1,IFERROR(NUMBERVALUE(CriteriTecnici!$K359,".",","),IFERROR(NUMBERVALUE(CriteriTecnici!$K359,",","."),0))),4)&amp;""),",",".")&amp;", "&amp;CHAR(34)&amp;"denominator"&amp;CHAR(34)&amp;": "&amp;SUBSTITUTE(TRIM(ROUND(IFERROR(CriteriTecnici!$L359*1,IFERROR(NUMBERVALUE(CriteriTecnici!$L359,".",","),IFERROR(NUMBERVALUE(CriteriTecnici!$L359,",","."),0))),4)&amp;""),",",".")&amp;", "&amp;CHAR(34)&amp;"flag"&amp;CHAR(34)&amp;": "&amp;SUBSTITUTE(TRIM(ROUND(IFERROR(CriteriTecnici!$M359*1,IFERROR(NUMBERVALUE(CriteriTecnici!$M359,".",","),IFERROR(NUMBERVALUE(CriteriTecnici!$M359,",","."),0))),4)&amp;""),",",".")&amp;", "&amp;CHAR(34)&amp;"rawScore"&amp;CHAR(34)&amp;": "&amp;SUBSTITUTE(TRIM(ROUND(IFERROR(CriteriTecnici!$O359*1,IFERROR(NUMBERVALUE(CriteriTecnici!$O359,".",","),IFERROR(NUMBERVALUE(CriteriTecnici!$O359,",","."),0))),4)&amp;""),",",".")&amp;CHAR(125)&amp;IF(TRUE,",",""))</f>
        <v/>
      </c>
    </row>
    <row r="461">
      <c r="A461" s="82">
        <f>IF(CriteriTecnici!$A360="","","    "&amp;CHAR(123)&amp;CHAR(34)&amp;"bidderId"&amp;CHAR(34)&amp;": "&amp;CHAR(34)&amp;SUBSTITUTE(CriteriTecnici!$A360,CHAR(34),"'")&amp;CHAR(34)&amp;", "&amp;CHAR(34)&amp;"lotId"&amp;CHAR(34)&amp;": "&amp;CHAR(34)&amp;SUBSTITUTE(CriteriTecnici!$C360,CHAR(34),"'")&amp;CHAR(34)&amp;", "&amp;CHAR(34)&amp;"criterionId"&amp;CHAR(34)&amp;": "&amp;CHAR(34)&amp;SUBSTITUTE(CriteriTecnici!$D360,CHAR(34),"'")&amp;CHAR(34)&amp;", "&amp;CHAR(34)&amp;"kind"&amp;CHAR(34)&amp;": "&amp;CHAR(34)&amp;SUBSTITUTE(CriteriTecnici!$F360,CHAR(34),"'")&amp;CHAR(34)&amp;", "&amp;CHAR(34)&amp;"value"&amp;CHAR(34)&amp;": "&amp;SUBSTITUTE(TRIM(ROUND(IFERROR(CriteriTecnici!$N360*1,IFERROR(NUMBERVALUE(CriteriTecnici!$N360,".",","),IFERROR(NUMBERVALUE(CriteriTecnici!$N360,",","."),0))),4)&amp;""),",",".")&amp;", "&amp;CHAR(34)&amp;"numerator"&amp;CHAR(34)&amp;": "&amp;SUBSTITUTE(TRIM(ROUND(IFERROR(CriteriTecnici!$K360*1,IFERROR(NUMBERVALUE(CriteriTecnici!$K360,".",","),IFERROR(NUMBERVALUE(CriteriTecnici!$K360,",","."),0))),4)&amp;""),",",".")&amp;", "&amp;CHAR(34)&amp;"denominator"&amp;CHAR(34)&amp;": "&amp;SUBSTITUTE(TRIM(ROUND(IFERROR(CriteriTecnici!$L360*1,IFERROR(NUMBERVALUE(CriteriTecnici!$L360,".",","),IFERROR(NUMBERVALUE(CriteriTecnici!$L360,",","."),0))),4)&amp;""),",",".")&amp;", "&amp;CHAR(34)&amp;"flag"&amp;CHAR(34)&amp;": "&amp;SUBSTITUTE(TRIM(ROUND(IFERROR(CriteriTecnici!$M360*1,IFERROR(NUMBERVALUE(CriteriTecnici!$M360,".",","),IFERROR(NUMBERVALUE(CriteriTecnici!$M360,",","."),0))),4)&amp;""),",",".")&amp;", "&amp;CHAR(34)&amp;"rawScore"&amp;CHAR(34)&amp;": "&amp;SUBSTITUTE(TRIM(ROUND(IFERROR(CriteriTecnici!$O360*1,IFERROR(NUMBERVALUE(CriteriTecnici!$O360,".",","),IFERROR(NUMBERVALUE(CriteriTecnici!$O360,",","."),0))),4)&amp;""),",",".")&amp;CHAR(125)&amp;IF(TRUE,",",""))</f>
        <v/>
      </c>
    </row>
    <row r="462">
      <c r="A462" s="82">
        <f>IF(CriteriTecnici!$A361="","","    "&amp;CHAR(123)&amp;CHAR(34)&amp;"bidderId"&amp;CHAR(34)&amp;": "&amp;CHAR(34)&amp;SUBSTITUTE(CriteriTecnici!$A361,CHAR(34),"'")&amp;CHAR(34)&amp;", "&amp;CHAR(34)&amp;"lotId"&amp;CHAR(34)&amp;": "&amp;CHAR(34)&amp;SUBSTITUTE(CriteriTecnici!$C361,CHAR(34),"'")&amp;CHAR(34)&amp;", "&amp;CHAR(34)&amp;"criterionId"&amp;CHAR(34)&amp;": "&amp;CHAR(34)&amp;SUBSTITUTE(CriteriTecnici!$D361,CHAR(34),"'")&amp;CHAR(34)&amp;", "&amp;CHAR(34)&amp;"kind"&amp;CHAR(34)&amp;": "&amp;CHAR(34)&amp;SUBSTITUTE(CriteriTecnici!$F361,CHAR(34),"'")&amp;CHAR(34)&amp;", "&amp;CHAR(34)&amp;"value"&amp;CHAR(34)&amp;": "&amp;SUBSTITUTE(TRIM(ROUND(IFERROR(CriteriTecnici!$N361*1,IFERROR(NUMBERVALUE(CriteriTecnici!$N361,".",","),IFERROR(NUMBERVALUE(CriteriTecnici!$N361,",","."),0))),4)&amp;""),",",".")&amp;", "&amp;CHAR(34)&amp;"numerator"&amp;CHAR(34)&amp;": "&amp;SUBSTITUTE(TRIM(ROUND(IFERROR(CriteriTecnici!$K361*1,IFERROR(NUMBERVALUE(CriteriTecnici!$K361,".",","),IFERROR(NUMBERVALUE(CriteriTecnici!$K361,",","."),0))),4)&amp;""),",",".")&amp;", "&amp;CHAR(34)&amp;"denominator"&amp;CHAR(34)&amp;": "&amp;SUBSTITUTE(TRIM(ROUND(IFERROR(CriteriTecnici!$L361*1,IFERROR(NUMBERVALUE(CriteriTecnici!$L361,".",","),IFERROR(NUMBERVALUE(CriteriTecnici!$L361,",","."),0))),4)&amp;""),",",".")&amp;", "&amp;CHAR(34)&amp;"flag"&amp;CHAR(34)&amp;": "&amp;SUBSTITUTE(TRIM(ROUND(IFERROR(CriteriTecnici!$M361*1,IFERROR(NUMBERVALUE(CriteriTecnici!$M361,".",","),IFERROR(NUMBERVALUE(CriteriTecnici!$M361,",","."),0))),4)&amp;""),",",".")&amp;", "&amp;CHAR(34)&amp;"rawScore"&amp;CHAR(34)&amp;": "&amp;SUBSTITUTE(TRIM(ROUND(IFERROR(CriteriTecnici!$O361*1,IFERROR(NUMBERVALUE(CriteriTecnici!$O361,".",","),IFERROR(NUMBERVALUE(CriteriTecnici!$O361,",","."),0))),4)&amp;""),",",".")&amp;CHAR(125)&amp;IF(TRUE,",",""))</f>
        <v/>
      </c>
    </row>
    <row r="463">
      <c r="A463" s="82">
        <f>IF(CriteriTecnici!$A362="","","    "&amp;CHAR(123)&amp;CHAR(34)&amp;"bidderId"&amp;CHAR(34)&amp;": "&amp;CHAR(34)&amp;SUBSTITUTE(CriteriTecnici!$A362,CHAR(34),"'")&amp;CHAR(34)&amp;", "&amp;CHAR(34)&amp;"lotId"&amp;CHAR(34)&amp;": "&amp;CHAR(34)&amp;SUBSTITUTE(CriteriTecnici!$C362,CHAR(34),"'")&amp;CHAR(34)&amp;", "&amp;CHAR(34)&amp;"criterionId"&amp;CHAR(34)&amp;": "&amp;CHAR(34)&amp;SUBSTITUTE(CriteriTecnici!$D362,CHAR(34),"'")&amp;CHAR(34)&amp;", "&amp;CHAR(34)&amp;"kind"&amp;CHAR(34)&amp;": "&amp;CHAR(34)&amp;SUBSTITUTE(CriteriTecnici!$F362,CHAR(34),"'")&amp;CHAR(34)&amp;", "&amp;CHAR(34)&amp;"value"&amp;CHAR(34)&amp;": "&amp;SUBSTITUTE(TRIM(ROUND(IFERROR(CriteriTecnici!$N362*1,IFERROR(NUMBERVALUE(CriteriTecnici!$N362,".",","),IFERROR(NUMBERVALUE(CriteriTecnici!$N362,",","."),0))),4)&amp;""),",",".")&amp;", "&amp;CHAR(34)&amp;"numerator"&amp;CHAR(34)&amp;": "&amp;SUBSTITUTE(TRIM(ROUND(IFERROR(CriteriTecnici!$K362*1,IFERROR(NUMBERVALUE(CriteriTecnici!$K362,".",","),IFERROR(NUMBERVALUE(CriteriTecnici!$K362,",","."),0))),4)&amp;""),",",".")&amp;", "&amp;CHAR(34)&amp;"denominator"&amp;CHAR(34)&amp;": "&amp;SUBSTITUTE(TRIM(ROUND(IFERROR(CriteriTecnici!$L362*1,IFERROR(NUMBERVALUE(CriteriTecnici!$L362,".",","),IFERROR(NUMBERVALUE(CriteriTecnici!$L362,",","."),0))),4)&amp;""),",",".")&amp;", "&amp;CHAR(34)&amp;"flag"&amp;CHAR(34)&amp;": "&amp;SUBSTITUTE(TRIM(ROUND(IFERROR(CriteriTecnici!$M362*1,IFERROR(NUMBERVALUE(CriteriTecnici!$M362,".",","),IFERROR(NUMBERVALUE(CriteriTecnici!$M362,",","."),0))),4)&amp;""),",",".")&amp;", "&amp;CHAR(34)&amp;"rawScore"&amp;CHAR(34)&amp;": "&amp;SUBSTITUTE(TRIM(ROUND(IFERROR(CriteriTecnici!$O362*1,IFERROR(NUMBERVALUE(CriteriTecnici!$O362,".",","),IFERROR(NUMBERVALUE(CriteriTecnici!$O362,",","."),0))),4)&amp;""),",",".")&amp;CHAR(125)&amp;IF(TRUE,",",""))</f>
        <v/>
      </c>
    </row>
    <row r="464">
      <c r="A464" s="82">
        <f>IF(CriteriTecnici!$A363="","","    "&amp;CHAR(123)&amp;CHAR(34)&amp;"bidderId"&amp;CHAR(34)&amp;": "&amp;CHAR(34)&amp;SUBSTITUTE(CriteriTecnici!$A363,CHAR(34),"'")&amp;CHAR(34)&amp;", "&amp;CHAR(34)&amp;"lotId"&amp;CHAR(34)&amp;": "&amp;CHAR(34)&amp;SUBSTITUTE(CriteriTecnici!$C363,CHAR(34),"'")&amp;CHAR(34)&amp;", "&amp;CHAR(34)&amp;"criterionId"&amp;CHAR(34)&amp;": "&amp;CHAR(34)&amp;SUBSTITUTE(CriteriTecnici!$D363,CHAR(34),"'")&amp;CHAR(34)&amp;", "&amp;CHAR(34)&amp;"kind"&amp;CHAR(34)&amp;": "&amp;CHAR(34)&amp;SUBSTITUTE(CriteriTecnici!$F363,CHAR(34),"'")&amp;CHAR(34)&amp;", "&amp;CHAR(34)&amp;"value"&amp;CHAR(34)&amp;": "&amp;SUBSTITUTE(TRIM(ROUND(IFERROR(CriteriTecnici!$N363*1,IFERROR(NUMBERVALUE(CriteriTecnici!$N363,".",","),IFERROR(NUMBERVALUE(CriteriTecnici!$N363,",","."),0))),4)&amp;""),",",".")&amp;", "&amp;CHAR(34)&amp;"numerator"&amp;CHAR(34)&amp;": "&amp;SUBSTITUTE(TRIM(ROUND(IFERROR(CriteriTecnici!$K363*1,IFERROR(NUMBERVALUE(CriteriTecnici!$K363,".",","),IFERROR(NUMBERVALUE(CriteriTecnici!$K363,",","."),0))),4)&amp;""),",",".")&amp;", "&amp;CHAR(34)&amp;"denominator"&amp;CHAR(34)&amp;": "&amp;SUBSTITUTE(TRIM(ROUND(IFERROR(CriteriTecnici!$L363*1,IFERROR(NUMBERVALUE(CriteriTecnici!$L363,".",","),IFERROR(NUMBERVALUE(CriteriTecnici!$L363,",","."),0))),4)&amp;""),",",".")&amp;", "&amp;CHAR(34)&amp;"flag"&amp;CHAR(34)&amp;": "&amp;SUBSTITUTE(TRIM(ROUND(IFERROR(CriteriTecnici!$M363*1,IFERROR(NUMBERVALUE(CriteriTecnici!$M363,".",","),IFERROR(NUMBERVALUE(CriteriTecnici!$M363,",","."),0))),4)&amp;""),",",".")&amp;", "&amp;CHAR(34)&amp;"rawScore"&amp;CHAR(34)&amp;": "&amp;SUBSTITUTE(TRIM(ROUND(IFERROR(CriteriTecnici!$O363*1,IFERROR(NUMBERVALUE(CriteriTecnici!$O363,".",","),IFERROR(NUMBERVALUE(CriteriTecnici!$O363,",","."),0))),4)&amp;""),",",".")&amp;CHAR(125)&amp;IF(TRUE,",",""))</f>
        <v/>
      </c>
    </row>
    <row r="465">
      <c r="A465" s="82">
        <f>IF(CriteriTecnici!$A364="","","    "&amp;CHAR(123)&amp;CHAR(34)&amp;"bidderId"&amp;CHAR(34)&amp;": "&amp;CHAR(34)&amp;SUBSTITUTE(CriteriTecnici!$A364,CHAR(34),"'")&amp;CHAR(34)&amp;", "&amp;CHAR(34)&amp;"lotId"&amp;CHAR(34)&amp;": "&amp;CHAR(34)&amp;SUBSTITUTE(CriteriTecnici!$C364,CHAR(34),"'")&amp;CHAR(34)&amp;", "&amp;CHAR(34)&amp;"criterionId"&amp;CHAR(34)&amp;": "&amp;CHAR(34)&amp;SUBSTITUTE(CriteriTecnici!$D364,CHAR(34),"'")&amp;CHAR(34)&amp;", "&amp;CHAR(34)&amp;"kind"&amp;CHAR(34)&amp;": "&amp;CHAR(34)&amp;SUBSTITUTE(CriteriTecnici!$F364,CHAR(34),"'")&amp;CHAR(34)&amp;", "&amp;CHAR(34)&amp;"value"&amp;CHAR(34)&amp;": "&amp;SUBSTITUTE(TRIM(ROUND(IFERROR(CriteriTecnici!$N364*1,IFERROR(NUMBERVALUE(CriteriTecnici!$N364,".",","),IFERROR(NUMBERVALUE(CriteriTecnici!$N364,",","."),0))),4)&amp;""),",",".")&amp;", "&amp;CHAR(34)&amp;"numerator"&amp;CHAR(34)&amp;": "&amp;SUBSTITUTE(TRIM(ROUND(IFERROR(CriteriTecnici!$K364*1,IFERROR(NUMBERVALUE(CriteriTecnici!$K364,".",","),IFERROR(NUMBERVALUE(CriteriTecnici!$K364,",","."),0))),4)&amp;""),",",".")&amp;", "&amp;CHAR(34)&amp;"denominator"&amp;CHAR(34)&amp;": "&amp;SUBSTITUTE(TRIM(ROUND(IFERROR(CriteriTecnici!$L364*1,IFERROR(NUMBERVALUE(CriteriTecnici!$L364,".",","),IFERROR(NUMBERVALUE(CriteriTecnici!$L364,",","."),0))),4)&amp;""),",",".")&amp;", "&amp;CHAR(34)&amp;"flag"&amp;CHAR(34)&amp;": "&amp;SUBSTITUTE(TRIM(ROUND(IFERROR(CriteriTecnici!$M364*1,IFERROR(NUMBERVALUE(CriteriTecnici!$M364,".",","),IFERROR(NUMBERVALUE(CriteriTecnici!$M364,",","."),0))),4)&amp;""),",",".")&amp;", "&amp;CHAR(34)&amp;"rawScore"&amp;CHAR(34)&amp;": "&amp;SUBSTITUTE(TRIM(ROUND(IFERROR(CriteriTecnici!$O364*1,IFERROR(NUMBERVALUE(CriteriTecnici!$O364,".",","),IFERROR(NUMBERVALUE(CriteriTecnici!$O364,",","."),0))),4)&amp;""),",",".")&amp;CHAR(125)&amp;IF(TRUE,",",""))</f>
        <v/>
      </c>
    </row>
    <row r="466">
      <c r="A466" s="82">
        <f>IF(CriteriTecnici!$A365="","","    "&amp;CHAR(123)&amp;CHAR(34)&amp;"bidderId"&amp;CHAR(34)&amp;": "&amp;CHAR(34)&amp;SUBSTITUTE(CriteriTecnici!$A365,CHAR(34),"'")&amp;CHAR(34)&amp;", "&amp;CHAR(34)&amp;"lotId"&amp;CHAR(34)&amp;": "&amp;CHAR(34)&amp;SUBSTITUTE(CriteriTecnici!$C365,CHAR(34),"'")&amp;CHAR(34)&amp;", "&amp;CHAR(34)&amp;"criterionId"&amp;CHAR(34)&amp;": "&amp;CHAR(34)&amp;SUBSTITUTE(CriteriTecnici!$D365,CHAR(34),"'")&amp;CHAR(34)&amp;", "&amp;CHAR(34)&amp;"kind"&amp;CHAR(34)&amp;": "&amp;CHAR(34)&amp;SUBSTITUTE(CriteriTecnici!$F365,CHAR(34),"'")&amp;CHAR(34)&amp;", "&amp;CHAR(34)&amp;"value"&amp;CHAR(34)&amp;": "&amp;SUBSTITUTE(TRIM(ROUND(IFERROR(CriteriTecnici!$N365*1,IFERROR(NUMBERVALUE(CriteriTecnici!$N365,".",","),IFERROR(NUMBERVALUE(CriteriTecnici!$N365,",","."),0))),4)&amp;""),",",".")&amp;", "&amp;CHAR(34)&amp;"numerator"&amp;CHAR(34)&amp;": "&amp;SUBSTITUTE(TRIM(ROUND(IFERROR(CriteriTecnici!$K365*1,IFERROR(NUMBERVALUE(CriteriTecnici!$K365,".",","),IFERROR(NUMBERVALUE(CriteriTecnici!$K365,",","."),0))),4)&amp;""),",",".")&amp;", "&amp;CHAR(34)&amp;"denominator"&amp;CHAR(34)&amp;": "&amp;SUBSTITUTE(TRIM(ROUND(IFERROR(CriteriTecnici!$L365*1,IFERROR(NUMBERVALUE(CriteriTecnici!$L365,".",","),IFERROR(NUMBERVALUE(CriteriTecnici!$L365,",","."),0))),4)&amp;""),",",".")&amp;", "&amp;CHAR(34)&amp;"flag"&amp;CHAR(34)&amp;": "&amp;SUBSTITUTE(TRIM(ROUND(IFERROR(CriteriTecnici!$M365*1,IFERROR(NUMBERVALUE(CriteriTecnici!$M365,".",","),IFERROR(NUMBERVALUE(CriteriTecnici!$M365,",","."),0))),4)&amp;""),",",".")&amp;", "&amp;CHAR(34)&amp;"rawScore"&amp;CHAR(34)&amp;": "&amp;SUBSTITUTE(TRIM(ROUND(IFERROR(CriteriTecnici!$O365*1,IFERROR(NUMBERVALUE(CriteriTecnici!$O365,".",","),IFERROR(NUMBERVALUE(CriteriTecnici!$O365,",","."),0))),4)&amp;""),",",".")&amp;CHAR(125)&amp;IF(TRUE,",",""))</f>
        <v/>
      </c>
    </row>
    <row r="467">
      <c r="A467" s="82">
        <f>IF(CriteriTecnici!$A366="","","    "&amp;CHAR(123)&amp;CHAR(34)&amp;"bidderId"&amp;CHAR(34)&amp;": "&amp;CHAR(34)&amp;SUBSTITUTE(CriteriTecnici!$A366,CHAR(34),"'")&amp;CHAR(34)&amp;", "&amp;CHAR(34)&amp;"lotId"&amp;CHAR(34)&amp;": "&amp;CHAR(34)&amp;SUBSTITUTE(CriteriTecnici!$C366,CHAR(34),"'")&amp;CHAR(34)&amp;", "&amp;CHAR(34)&amp;"criterionId"&amp;CHAR(34)&amp;": "&amp;CHAR(34)&amp;SUBSTITUTE(CriteriTecnici!$D366,CHAR(34),"'")&amp;CHAR(34)&amp;", "&amp;CHAR(34)&amp;"kind"&amp;CHAR(34)&amp;": "&amp;CHAR(34)&amp;SUBSTITUTE(CriteriTecnici!$F366,CHAR(34),"'")&amp;CHAR(34)&amp;", "&amp;CHAR(34)&amp;"value"&amp;CHAR(34)&amp;": "&amp;SUBSTITUTE(TRIM(ROUND(IFERROR(CriteriTecnici!$N366*1,IFERROR(NUMBERVALUE(CriteriTecnici!$N366,".",","),IFERROR(NUMBERVALUE(CriteriTecnici!$N366,",","."),0))),4)&amp;""),",",".")&amp;", "&amp;CHAR(34)&amp;"numerator"&amp;CHAR(34)&amp;": "&amp;SUBSTITUTE(TRIM(ROUND(IFERROR(CriteriTecnici!$K366*1,IFERROR(NUMBERVALUE(CriteriTecnici!$K366,".",","),IFERROR(NUMBERVALUE(CriteriTecnici!$K366,",","."),0))),4)&amp;""),",",".")&amp;", "&amp;CHAR(34)&amp;"denominator"&amp;CHAR(34)&amp;": "&amp;SUBSTITUTE(TRIM(ROUND(IFERROR(CriteriTecnici!$L366*1,IFERROR(NUMBERVALUE(CriteriTecnici!$L366,".",","),IFERROR(NUMBERVALUE(CriteriTecnici!$L366,",","."),0))),4)&amp;""),",",".")&amp;", "&amp;CHAR(34)&amp;"flag"&amp;CHAR(34)&amp;": "&amp;SUBSTITUTE(TRIM(ROUND(IFERROR(CriteriTecnici!$M366*1,IFERROR(NUMBERVALUE(CriteriTecnici!$M366,".",","),IFERROR(NUMBERVALUE(CriteriTecnici!$M366,",","."),0))),4)&amp;""),",",".")&amp;", "&amp;CHAR(34)&amp;"rawScore"&amp;CHAR(34)&amp;": "&amp;SUBSTITUTE(TRIM(ROUND(IFERROR(CriteriTecnici!$O366*1,IFERROR(NUMBERVALUE(CriteriTecnici!$O366,".",","),IFERROR(NUMBERVALUE(CriteriTecnici!$O366,",","."),0))),4)&amp;""),",",".")&amp;CHAR(125)&amp;IF(TRUE,",",""))</f>
        <v/>
      </c>
    </row>
    <row r="468">
      <c r="A468" s="82">
        <f>IF(CriteriTecnici!$A367="","","    "&amp;CHAR(123)&amp;CHAR(34)&amp;"bidderId"&amp;CHAR(34)&amp;": "&amp;CHAR(34)&amp;SUBSTITUTE(CriteriTecnici!$A367,CHAR(34),"'")&amp;CHAR(34)&amp;", "&amp;CHAR(34)&amp;"lotId"&amp;CHAR(34)&amp;": "&amp;CHAR(34)&amp;SUBSTITUTE(CriteriTecnici!$C367,CHAR(34),"'")&amp;CHAR(34)&amp;", "&amp;CHAR(34)&amp;"criterionId"&amp;CHAR(34)&amp;": "&amp;CHAR(34)&amp;SUBSTITUTE(CriteriTecnici!$D367,CHAR(34),"'")&amp;CHAR(34)&amp;", "&amp;CHAR(34)&amp;"kind"&amp;CHAR(34)&amp;": "&amp;CHAR(34)&amp;SUBSTITUTE(CriteriTecnici!$F367,CHAR(34),"'")&amp;CHAR(34)&amp;", "&amp;CHAR(34)&amp;"value"&amp;CHAR(34)&amp;": "&amp;SUBSTITUTE(TRIM(ROUND(IFERROR(CriteriTecnici!$N367*1,IFERROR(NUMBERVALUE(CriteriTecnici!$N367,".",","),IFERROR(NUMBERVALUE(CriteriTecnici!$N367,",","."),0))),4)&amp;""),",",".")&amp;", "&amp;CHAR(34)&amp;"numerator"&amp;CHAR(34)&amp;": "&amp;SUBSTITUTE(TRIM(ROUND(IFERROR(CriteriTecnici!$K367*1,IFERROR(NUMBERVALUE(CriteriTecnici!$K367,".",","),IFERROR(NUMBERVALUE(CriteriTecnici!$K367,",","."),0))),4)&amp;""),",",".")&amp;", "&amp;CHAR(34)&amp;"denominator"&amp;CHAR(34)&amp;": "&amp;SUBSTITUTE(TRIM(ROUND(IFERROR(CriteriTecnici!$L367*1,IFERROR(NUMBERVALUE(CriteriTecnici!$L367,".",","),IFERROR(NUMBERVALUE(CriteriTecnici!$L367,",","."),0))),4)&amp;""),",",".")&amp;", "&amp;CHAR(34)&amp;"flag"&amp;CHAR(34)&amp;": "&amp;SUBSTITUTE(TRIM(ROUND(IFERROR(CriteriTecnici!$M367*1,IFERROR(NUMBERVALUE(CriteriTecnici!$M367,".",","),IFERROR(NUMBERVALUE(CriteriTecnici!$M367,",","."),0))),4)&amp;""),",",".")&amp;", "&amp;CHAR(34)&amp;"rawScore"&amp;CHAR(34)&amp;": "&amp;SUBSTITUTE(TRIM(ROUND(IFERROR(CriteriTecnici!$O367*1,IFERROR(NUMBERVALUE(CriteriTecnici!$O367,".",","),IFERROR(NUMBERVALUE(CriteriTecnici!$O367,",","."),0))),4)&amp;""),",",".")&amp;CHAR(125)&amp;IF(TRUE,",",""))</f>
        <v/>
      </c>
    </row>
    <row r="469">
      <c r="A469" s="82">
        <f>IF(CriteriTecnici!$A368="","","    "&amp;CHAR(123)&amp;CHAR(34)&amp;"bidderId"&amp;CHAR(34)&amp;": "&amp;CHAR(34)&amp;SUBSTITUTE(CriteriTecnici!$A368,CHAR(34),"'")&amp;CHAR(34)&amp;", "&amp;CHAR(34)&amp;"lotId"&amp;CHAR(34)&amp;": "&amp;CHAR(34)&amp;SUBSTITUTE(CriteriTecnici!$C368,CHAR(34),"'")&amp;CHAR(34)&amp;", "&amp;CHAR(34)&amp;"criterionId"&amp;CHAR(34)&amp;": "&amp;CHAR(34)&amp;SUBSTITUTE(CriteriTecnici!$D368,CHAR(34),"'")&amp;CHAR(34)&amp;", "&amp;CHAR(34)&amp;"kind"&amp;CHAR(34)&amp;": "&amp;CHAR(34)&amp;SUBSTITUTE(CriteriTecnici!$F368,CHAR(34),"'")&amp;CHAR(34)&amp;", "&amp;CHAR(34)&amp;"value"&amp;CHAR(34)&amp;": "&amp;SUBSTITUTE(TRIM(ROUND(IFERROR(CriteriTecnici!$N368*1,IFERROR(NUMBERVALUE(CriteriTecnici!$N368,".",","),IFERROR(NUMBERVALUE(CriteriTecnici!$N368,",","."),0))),4)&amp;""),",",".")&amp;", "&amp;CHAR(34)&amp;"numerator"&amp;CHAR(34)&amp;": "&amp;SUBSTITUTE(TRIM(ROUND(IFERROR(CriteriTecnici!$K368*1,IFERROR(NUMBERVALUE(CriteriTecnici!$K368,".",","),IFERROR(NUMBERVALUE(CriteriTecnici!$K368,",","."),0))),4)&amp;""),",",".")&amp;", "&amp;CHAR(34)&amp;"denominator"&amp;CHAR(34)&amp;": "&amp;SUBSTITUTE(TRIM(ROUND(IFERROR(CriteriTecnici!$L368*1,IFERROR(NUMBERVALUE(CriteriTecnici!$L368,".",","),IFERROR(NUMBERVALUE(CriteriTecnici!$L368,",","."),0))),4)&amp;""),",",".")&amp;", "&amp;CHAR(34)&amp;"flag"&amp;CHAR(34)&amp;": "&amp;SUBSTITUTE(TRIM(ROUND(IFERROR(CriteriTecnici!$M368*1,IFERROR(NUMBERVALUE(CriteriTecnici!$M368,".",","),IFERROR(NUMBERVALUE(CriteriTecnici!$M368,",","."),0))),4)&amp;""),",",".")&amp;", "&amp;CHAR(34)&amp;"rawScore"&amp;CHAR(34)&amp;": "&amp;SUBSTITUTE(TRIM(ROUND(IFERROR(CriteriTecnici!$O368*1,IFERROR(NUMBERVALUE(CriteriTecnici!$O368,".",","),IFERROR(NUMBERVALUE(CriteriTecnici!$O368,",","."),0))),4)&amp;""),",",".")&amp;CHAR(125)&amp;IF(TRUE,",",""))</f>
        <v/>
      </c>
    </row>
    <row r="470">
      <c r="A470" s="82">
        <f>IF(CriteriTecnici!$A369="","","    "&amp;CHAR(123)&amp;CHAR(34)&amp;"bidderId"&amp;CHAR(34)&amp;": "&amp;CHAR(34)&amp;SUBSTITUTE(CriteriTecnici!$A369,CHAR(34),"'")&amp;CHAR(34)&amp;", "&amp;CHAR(34)&amp;"lotId"&amp;CHAR(34)&amp;": "&amp;CHAR(34)&amp;SUBSTITUTE(CriteriTecnici!$C369,CHAR(34),"'")&amp;CHAR(34)&amp;", "&amp;CHAR(34)&amp;"criterionId"&amp;CHAR(34)&amp;": "&amp;CHAR(34)&amp;SUBSTITUTE(CriteriTecnici!$D369,CHAR(34),"'")&amp;CHAR(34)&amp;", "&amp;CHAR(34)&amp;"kind"&amp;CHAR(34)&amp;": "&amp;CHAR(34)&amp;SUBSTITUTE(CriteriTecnici!$F369,CHAR(34),"'")&amp;CHAR(34)&amp;", "&amp;CHAR(34)&amp;"value"&amp;CHAR(34)&amp;": "&amp;SUBSTITUTE(TRIM(ROUND(IFERROR(CriteriTecnici!$N369*1,IFERROR(NUMBERVALUE(CriteriTecnici!$N369,".",","),IFERROR(NUMBERVALUE(CriteriTecnici!$N369,",","."),0))),4)&amp;""),",",".")&amp;", "&amp;CHAR(34)&amp;"numerator"&amp;CHAR(34)&amp;": "&amp;SUBSTITUTE(TRIM(ROUND(IFERROR(CriteriTecnici!$K369*1,IFERROR(NUMBERVALUE(CriteriTecnici!$K369,".",","),IFERROR(NUMBERVALUE(CriteriTecnici!$K369,",","."),0))),4)&amp;""),",",".")&amp;", "&amp;CHAR(34)&amp;"denominator"&amp;CHAR(34)&amp;": "&amp;SUBSTITUTE(TRIM(ROUND(IFERROR(CriteriTecnici!$L369*1,IFERROR(NUMBERVALUE(CriteriTecnici!$L369,".",","),IFERROR(NUMBERVALUE(CriteriTecnici!$L369,",","."),0))),4)&amp;""),",",".")&amp;", "&amp;CHAR(34)&amp;"flag"&amp;CHAR(34)&amp;": "&amp;SUBSTITUTE(TRIM(ROUND(IFERROR(CriteriTecnici!$M369*1,IFERROR(NUMBERVALUE(CriteriTecnici!$M369,".",","),IFERROR(NUMBERVALUE(CriteriTecnici!$M369,",","."),0))),4)&amp;""),",",".")&amp;", "&amp;CHAR(34)&amp;"rawScore"&amp;CHAR(34)&amp;": "&amp;SUBSTITUTE(TRIM(ROUND(IFERROR(CriteriTecnici!$O369*1,IFERROR(NUMBERVALUE(CriteriTecnici!$O369,".",","),IFERROR(NUMBERVALUE(CriteriTecnici!$O369,",","."),0))),4)&amp;""),",",".")&amp;CHAR(125)&amp;IF(TRUE,",",""))</f>
        <v/>
      </c>
    </row>
    <row r="471">
      <c r="A471" s="82">
        <f>IF(CriteriTecnici!$A370="","","    "&amp;CHAR(123)&amp;CHAR(34)&amp;"bidderId"&amp;CHAR(34)&amp;": "&amp;CHAR(34)&amp;SUBSTITUTE(CriteriTecnici!$A370,CHAR(34),"'")&amp;CHAR(34)&amp;", "&amp;CHAR(34)&amp;"lotId"&amp;CHAR(34)&amp;": "&amp;CHAR(34)&amp;SUBSTITUTE(CriteriTecnici!$C370,CHAR(34),"'")&amp;CHAR(34)&amp;", "&amp;CHAR(34)&amp;"criterionId"&amp;CHAR(34)&amp;": "&amp;CHAR(34)&amp;SUBSTITUTE(CriteriTecnici!$D370,CHAR(34),"'")&amp;CHAR(34)&amp;", "&amp;CHAR(34)&amp;"kind"&amp;CHAR(34)&amp;": "&amp;CHAR(34)&amp;SUBSTITUTE(CriteriTecnici!$F370,CHAR(34),"'")&amp;CHAR(34)&amp;", "&amp;CHAR(34)&amp;"value"&amp;CHAR(34)&amp;": "&amp;SUBSTITUTE(TRIM(ROUND(IFERROR(CriteriTecnici!$N370*1,IFERROR(NUMBERVALUE(CriteriTecnici!$N370,".",","),IFERROR(NUMBERVALUE(CriteriTecnici!$N370,",","."),0))),4)&amp;""),",",".")&amp;", "&amp;CHAR(34)&amp;"numerator"&amp;CHAR(34)&amp;": "&amp;SUBSTITUTE(TRIM(ROUND(IFERROR(CriteriTecnici!$K370*1,IFERROR(NUMBERVALUE(CriteriTecnici!$K370,".",","),IFERROR(NUMBERVALUE(CriteriTecnici!$K370,",","."),0))),4)&amp;""),",",".")&amp;", "&amp;CHAR(34)&amp;"denominator"&amp;CHAR(34)&amp;": "&amp;SUBSTITUTE(TRIM(ROUND(IFERROR(CriteriTecnici!$L370*1,IFERROR(NUMBERVALUE(CriteriTecnici!$L370,".",","),IFERROR(NUMBERVALUE(CriteriTecnici!$L370,",","."),0))),4)&amp;""),",",".")&amp;", "&amp;CHAR(34)&amp;"flag"&amp;CHAR(34)&amp;": "&amp;SUBSTITUTE(TRIM(ROUND(IFERROR(CriteriTecnici!$M370*1,IFERROR(NUMBERVALUE(CriteriTecnici!$M370,".",","),IFERROR(NUMBERVALUE(CriteriTecnici!$M370,",","."),0))),4)&amp;""),",",".")&amp;", "&amp;CHAR(34)&amp;"rawScore"&amp;CHAR(34)&amp;": "&amp;SUBSTITUTE(TRIM(ROUND(IFERROR(CriteriTecnici!$O370*1,IFERROR(NUMBERVALUE(CriteriTecnici!$O370,".",","),IFERROR(NUMBERVALUE(CriteriTecnici!$O370,",","."),0))),4)&amp;""),",",".")&amp;CHAR(125)&amp;IF(TRUE,",",""))</f>
        <v/>
      </c>
    </row>
    <row r="472">
      <c r="A472" s="82">
        <f>IF(CriteriTecnici!$A371="","","    "&amp;CHAR(123)&amp;CHAR(34)&amp;"bidderId"&amp;CHAR(34)&amp;": "&amp;CHAR(34)&amp;SUBSTITUTE(CriteriTecnici!$A371,CHAR(34),"'")&amp;CHAR(34)&amp;", "&amp;CHAR(34)&amp;"lotId"&amp;CHAR(34)&amp;": "&amp;CHAR(34)&amp;SUBSTITUTE(CriteriTecnici!$C371,CHAR(34),"'")&amp;CHAR(34)&amp;", "&amp;CHAR(34)&amp;"criterionId"&amp;CHAR(34)&amp;": "&amp;CHAR(34)&amp;SUBSTITUTE(CriteriTecnici!$D371,CHAR(34),"'")&amp;CHAR(34)&amp;", "&amp;CHAR(34)&amp;"kind"&amp;CHAR(34)&amp;": "&amp;CHAR(34)&amp;SUBSTITUTE(CriteriTecnici!$F371,CHAR(34),"'")&amp;CHAR(34)&amp;", "&amp;CHAR(34)&amp;"value"&amp;CHAR(34)&amp;": "&amp;SUBSTITUTE(TRIM(ROUND(IFERROR(CriteriTecnici!$N371*1,IFERROR(NUMBERVALUE(CriteriTecnici!$N371,".",","),IFERROR(NUMBERVALUE(CriteriTecnici!$N371,",","."),0))),4)&amp;""),",",".")&amp;", "&amp;CHAR(34)&amp;"numerator"&amp;CHAR(34)&amp;": "&amp;SUBSTITUTE(TRIM(ROUND(IFERROR(CriteriTecnici!$K371*1,IFERROR(NUMBERVALUE(CriteriTecnici!$K371,".",","),IFERROR(NUMBERVALUE(CriteriTecnici!$K371,",","."),0))),4)&amp;""),",",".")&amp;", "&amp;CHAR(34)&amp;"denominator"&amp;CHAR(34)&amp;": "&amp;SUBSTITUTE(TRIM(ROUND(IFERROR(CriteriTecnici!$L371*1,IFERROR(NUMBERVALUE(CriteriTecnici!$L371,".",","),IFERROR(NUMBERVALUE(CriteriTecnici!$L371,",","."),0))),4)&amp;""),",",".")&amp;", "&amp;CHAR(34)&amp;"flag"&amp;CHAR(34)&amp;": "&amp;SUBSTITUTE(TRIM(ROUND(IFERROR(CriteriTecnici!$M371*1,IFERROR(NUMBERVALUE(CriteriTecnici!$M371,".",","),IFERROR(NUMBERVALUE(CriteriTecnici!$M371,",","."),0))),4)&amp;""),",",".")&amp;", "&amp;CHAR(34)&amp;"rawScore"&amp;CHAR(34)&amp;": "&amp;SUBSTITUTE(TRIM(ROUND(IFERROR(CriteriTecnici!$O371*1,IFERROR(NUMBERVALUE(CriteriTecnici!$O371,".",","),IFERROR(NUMBERVALUE(CriteriTecnici!$O371,",","."),0))),4)&amp;""),",",".")&amp;CHAR(125)&amp;IF(TRUE,",",""))</f>
        <v/>
      </c>
    </row>
    <row r="473">
      <c r="A473" s="82">
        <f>IF(CriteriTecnici!$A372="","","    "&amp;CHAR(123)&amp;CHAR(34)&amp;"bidderId"&amp;CHAR(34)&amp;": "&amp;CHAR(34)&amp;SUBSTITUTE(CriteriTecnici!$A372,CHAR(34),"'")&amp;CHAR(34)&amp;", "&amp;CHAR(34)&amp;"lotId"&amp;CHAR(34)&amp;": "&amp;CHAR(34)&amp;SUBSTITUTE(CriteriTecnici!$C372,CHAR(34),"'")&amp;CHAR(34)&amp;", "&amp;CHAR(34)&amp;"criterionId"&amp;CHAR(34)&amp;": "&amp;CHAR(34)&amp;SUBSTITUTE(CriteriTecnici!$D372,CHAR(34),"'")&amp;CHAR(34)&amp;", "&amp;CHAR(34)&amp;"kind"&amp;CHAR(34)&amp;": "&amp;CHAR(34)&amp;SUBSTITUTE(CriteriTecnici!$F372,CHAR(34),"'")&amp;CHAR(34)&amp;", "&amp;CHAR(34)&amp;"value"&amp;CHAR(34)&amp;": "&amp;SUBSTITUTE(TRIM(ROUND(IFERROR(CriteriTecnici!$N372*1,IFERROR(NUMBERVALUE(CriteriTecnici!$N372,".",","),IFERROR(NUMBERVALUE(CriteriTecnici!$N372,",","."),0))),4)&amp;""),",",".")&amp;", "&amp;CHAR(34)&amp;"numerator"&amp;CHAR(34)&amp;": "&amp;SUBSTITUTE(TRIM(ROUND(IFERROR(CriteriTecnici!$K372*1,IFERROR(NUMBERVALUE(CriteriTecnici!$K372,".",","),IFERROR(NUMBERVALUE(CriteriTecnici!$K372,",","."),0))),4)&amp;""),",",".")&amp;", "&amp;CHAR(34)&amp;"denominator"&amp;CHAR(34)&amp;": "&amp;SUBSTITUTE(TRIM(ROUND(IFERROR(CriteriTecnici!$L372*1,IFERROR(NUMBERVALUE(CriteriTecnici!$L372,".",","),IFERROR(NUMBERVALUE(CriteriTecnici!$L372,",","."),0))),4)&amp;""),",",".")&amp;", "&amp;CHAR(34)&amp;"flag"&amp;CHAR(34)&amp;": "&amp;SUBSTITUTE(TRIM(ROUND(IFERROR(CriteriTecnici!$M372*1,IFERROR(NUMBERVALUE(CriteriTecnici!$M372,".",","),IFERROR(NUMBERVALUE(CriteriTecnici!$M372,",","."),0))),4)&amp;""),",",".")&amp;", "&amp;CHAR(34)&amp;"rawScore"&amp;CHAR(34)&amp;": "&amp;SUBSTITUTE(TRIM(ROUND(IFERROR(CriteriTecnici!$O372*1,IFERROR(NUMBERVALUE(CriteriTecnici!$O372,".",","),IFERROR(NUMBERVALUE(CriteriTecnici!$O372,",","."),0))),4)&amp;""),",",".")&amp;CHAR(125)&amp;IF(TRUE,",",""))</f>
        <v/>
      </c>
    </row>
    <row r="474">
      <c r="A474" s="82">
        <f>IF(CriteriTecnici!$A373="","","    "&amp;CHAR(123)&amp;CHAR(34)&amp;"bidderId"&amp;CHAR(34)&amp;": "&amp;CHAR(34)&amp;SUBSTITUTE(CriteriTecnici!$A373,CHAR(34),"'")&amp;CHAR(34)&amp;", "&amp;CHAR(34)&amp;"lotId"&amp;CHAR(34)&amp;": "&amp;CHAR(34)&amp;SUBSTITUTE(CriteriTecnici!$C373,CHAR(34),"'")&amp;CHAR(34)&amp;", "&amp;CHAR(34)&amp;"criterionId"&amp;CHAR(34)&amp;": "&amp;CHAR(34)&amp;SUBSTITUTE(CriteriTecnici!$D373,CHAR(34),"'")&amp;CHAR(34)&amp;", "&amp;CHAR(34)&amp;"kind"&amp;CHAR(34)&amp;": "&amp;CHAR(34)&amp;SUBSTITUTE(CriteriTecnici!$F373,CHAR(34),"'")&amp;CHAR(34)&amp;", "&amp;CHAR(34)&amp;"value"&amp;CHAR(34)&amp;": "&amp;SUBSTITUTE(TRIM(ROUND(IFERROR(CriteriTecnici!$N373*1,IFERROR(NUMBERVALUE(CriteriTecnici!$N373,".",","),IFERROR(NUMBERVALUE(CriteriTecnici!$N373,",","."),0))),4)&amp;""),",",".")&amp;", "&amp;CHAR(34)&amp;"numerator"&amp;CHAR(34)&amp;": "&amp;SUBSTITUTE(TRIM(ROUND(IFERROR(CriteriTecnici!$K373*1,IFERROR(NUMBERVALUE(CriteriTecnici!$K373,".",","),IFERROR(NUMBERVALUE(CriteriTecnici!$K373,",","."),0))),4)&amp;""),",",".")&amp;", "&amp;CHAR(34)&amp;"denominator"&amp;CHAR(34)&amp;": "&amp;SUBSTITUTE(TRIM(ROUND(IFERROR(CriteriTecnici!$L373*1,IFERROR(NUMBERVALUE(CriteriTecnici!$L373,".",","),IFERROR(NUMBERVALUE(CriteriTecnici!$L373,",","."),0))),4)&amp;""),",",".")&amp;", "&amp;CHAR(34)&amp;"flag"&amp;CHAR(34)&amp;": "&amp;SUBSTITUTE(TRIM(ROUND(IFERROR(CriteriTecnici!$M373*1,IFERROR(NUMBERVALUE(CriteriTecnici!$M373,".",","),IFERROR(NUMBERVALUE(CriteriTecnici!$M373,",","."),0))),4)&amp;""),",",".")&amp;", "&amp;CHAR(34)&amp;"rawScore"&amp;CHAR(34)&amp;": "&amp;SUBSTITUTE(TRIM(ROUND(IFERROR(CriteriTecnici!$O373*1,IFERROR(NUMBERVALUE(CriteriTecnici!$O373,".",","),IFERROR(NUMBERVALUE(CriteriTecnici!$O373,",","."),0))),4)&amp;""),",",".")&amp;CHAR(125)&amp;IF(TRUE,",",""))</f>
        <v/>
      </c>
    </row>
    <row r="475">
      <c r="A475" s="82">
        <f>IF(CriteriTecnici!$A374="","","    "&amp;CHAR(123)&amp;CHAR(34)&amp;"bidderId"&amp;CHAR(34)&amp;": "&amp;CHAR(34)&amp;SUBSTITUTE(CriteriTecnici!$A374,CHAR(34),"'")&amp;CHAR(34)&amp;", "&amp;CHAR(34)&amp;"lotId"&amp;CHAR(34)&amp;": "&amp;CHAR(34)&amp;SUBSTITUTE(CriteriTecnici!$C374,CHAR(34),"'")&amp;CHAR(34)&amp;", "&amp;CHAR(34)&amp;"criterionId"&amp;CHAR(34)&amp;": "&amp;CHAR(34)&amp;SUBSTITUTE(CriteriTecnici!$D374,CHAR(34),"'")&amp;CHAR(34)&amp;", "&amp;CHAR(34)&amp;"kind"&amp;CHAR(34)&amp;": "&amp;CHAR(34)&amp;SUBSTITUTE(CriteriTecnici!$F374,CHAR(34),"'")&amp;CHAR(34)&amp;", "&amp;CHAR(34)&amp;"value"&amp;CHAR(34)&amp;": "&amp;SUBSTITUTE(TRIM(ROUND(IFERROR(CriteriTecnici!$N374*1,IFERROR(NUMBERVALUE(CriteriTecnici!$N374,".",","),IFERROR(NUMBERVALUE(CriteriTecnici!$N374,",","."),0))),4)&amp;""),",",".")&amp;", "&amp;CHAR(34)&amp;"numerator"&amp;CHAR(34)&amp;": "&amp;SUBSTITUTE(TRIM(ROUND(IFERROR(CriteriTecnici!$K374*1,IFERROR(NUMBERVALUE(CriteriTecnici!$K374,".",","),IFERROR(NUMBERVALUE(CriteriTecnici!$K374,",","."),0))),4)&amp;""),",",".")&amp;", "&amp;CHAR(34)&amp;"denominator"&amp;CHAR(34)&amp;": "&amp;SUBSTITUTE(TRIM(ROUND(IFERROR(CriteriTecnici!$L374*1,IFERROR(NUMBERVALUE(CriteriTecnici!$L374,".",","),IFERROR(NUMBERVALUE(CriteriTecnici!$L374,",","."),0))),4)&amp;""),",",".")&amp;", "&amp;CHAR(34)&amp;"flag"&amp;CHAR(34)&amp;": "&amp;SUBSTITUTE(TRIM(ROUND(IFERROR(CriteriTecnici!$M374*1,IFERROR(NUMBERVALUE(CriteriTecnici!$M374,".",","),IFERROR(NUMBERVALUE(CriteriTecnici!$M374,",","."),0))),4)&amp;""),",",".")&amp;", "&amp;CHAR(34)&amp;"rawScore"&amp;CHAR(34)&amp;": "&amp;SUBSTITUTE(TRIM(ROUND(IFERROR(CriteriTecnici!$O374*1,IFERROR(NUMBERVALUE(CriteriTecnici!$O374,".",","),IFERROR(NUMBERVALUE(CriteriTecnici!$O374,",","."),0))),4)&amp;""),",",".")&amp;CHAR(125)&amp;IF(TRUE,",",""))</f>
        <v/>
      </c>
    </row>
    <row r="476">
      <c r="A476" s="82">
        <f>IF(CriteriTecnici!$A375="","","    "&amp;CHAR(123)&amp;CHAR(34)&amp;"bidderId"&amp;CHAR(34)&amp;": "&amp;CHAR(34)&amp;SUBSTITUTE(CriteriTecnici!$A375,CHAR(34),"'")&amp;CHAR(34)&amp;", "&amp;CHAR(34)&amp;"lotId"&amp;CHAR(34)&amp;": "&amp;CHAR(34)&amp;SUBSTITUTE(CriteriTecnici!$C375,CHAR(34),"'")&amp;CHAR(34)&amp;", "&amp;CHAR(34)&amp;"criterionId"&amp;CHAR(34)&amp;": "&amp;CHAR(34)&amp;SUBSTITUTE(CriteriTecnici!$D375,CHAR(34),"'")&amp;CHAR(34)&amp;", "&amp;CHAR(34)&amp;"kind"&amp;CHAR(34)&amp;": "&amp;CHAR(34)&amp;SUBSTITUTE(CriteriTecnici!$F375,CHAR(34),"'")&amp;CHAR(34)&amp;", "&amp;CHAR(34)&amp;"value"&amp;CHAR(34)&amp;": "&amp;SUBSTITUTE(TRIM(ROUND(IFERROR(CriteriTecnici!$N375*1,IFERROR(NUMBERVALUE(CriteriTecnici!$N375,".",","),IFERROR(NUMBERVALUE(CriteriTecnici!$N375,",","."),0))),4)&amp;""),",",".")&amp;", "&amp;CHAR(34)&amp;"numerator"&amp;CHAR(34)&amp;": "&amp;SUBSTITUTE(TRIM(ROUND(IFERROR(CriteriTecnici!$K375*1,IFERROR(NUMBERVALUE(CriteriTecnici!$K375,".",","),IFERROR(NUMBERVALUE(CriteriTecnici!$K375,",","."),0))),4)&amp;""),",",".")&amp;", "&amp;CHAR(34)&amp;"denominator"&amp;CHAR(34)&amp;": "&amp;SUBSTITUTE(TRIM(ROUND(IFERROR(CriteriTecnici!$L375*1,IFERROR(NUMBERVALUE(CriteriTecnici!$L375,".",","),IFERROR(NUMBERVALUE(CriteriTecnici!$L375,",","."),0))),4)&amp;""),",",".")&amp;", "&amp;CHAR(34)&amp;"flag"&amp;CHAR(34)&amp;": "&amp;SUBSTITUTE(TRIM(ROUND(IFERROR(CriteriTecnici!$M375*1,IFERROR(NUMBERVALUE(CriteriTecnici!$M375,".",","),IFERROR(NUMBERVALUE(CriteriTecnici!$M375,",","."),0))),4)&amp;""),",",".")&amp;", "&amp;CHAR(34)&amp;"rawScore"&amp;CHAR(34)&amp;": "&amp;SUBSTITUTE(TRIM(ROUND(IFERROR(CriteriTecnici!$O375*1,IFERROR(NUMBERVALUE(CriteriTecnici!$O375,".",","),IFERROR(NUMBERVALUE(CriteriTecnici!$O375,",","."),0))),4)&amp;""),",",".")&amp;CHAR(125)&amp;IF(TRUE,",",""))</f>
        <v/>
      </c>
    </row>
    <row r="477">
      <c r="A477" s="82">
        <f>IF(CriteriTecnici!$A376="","","    "&amp;CHAR(123)&amp;CHAR(34)&amp;"bidderId"&amp;CHAR(34)&amp;": "&amp;CHAR(34)&amp;SUBSTITUTE(CriteriTecnici!$A376,CHAR(34),"'")&amp;CHAR(34)&amp;", "&amp;CHAR(34)&amp;"lotId"&amp;CHAR(34)&amp;": "&amp;CHAR(34)&amp;SUBSTITUTE(CriteriTecnici!$C376,CHAR(34),"'")&amp;CHAR(34)&amp;", "&amp;CHAR(34)&amp;"criterionId"&amp;CHAR(34)&amp;": "&amp;CHAR(34)&amp;SUBSTITUTE(CriteriTecnici!$D376,CHAR(34),"'")&amp;CHAR(34)&amp;", "&amp;CHAR(34)&amp;"kind"&amp;CHAR(34)&amp;": "&amp;CHAR(34)&amp;SUBSTITUTE(CriteriTecnici!$F376,CHAR(34),"'")&amp;CHAR(34)&amp;", "&amp;CHAR(34)&amp;"value"&amp;CHAR(34)&amp;": "&amp;SUBSTITUTE(TRIM(ROUND(IFERROR(CriteriTecnici!$N376*1,IFERROR(NUMBERVALUE(CriteriTecnici!$N376,".",","),IFERROR(NUMBERVALUE(CriteriTecnici!$N376,",","."),0))),4)&amp;""),",",".")&amp;", "&amp;CHAR(34)&amp;"numerator"&amp;CHAR(34)&amp;": "&amp;SUBSTITUTE(TRIM(ROUND(IFERROR(CriteriTecnici!$K376*1,IFERROR(NUMBERVALUE(CriteriTecnici!$K376,".",","),IFERROR(NUMBERVALUE(CriteriTecnici!$K376,",","."),0))),4)&amp;""),",",".")&amp;", "&amp;CHAR(34)&amp;"denominator"&amp;CHAR(34)&amp;": "&amp;SUBSTITUTE(TRIM(ROUND(IFERROR(CriteriTecnici!$L376*1,IFERROR(NUMBERVALUE(CriteriTecnici!$L376,".",","),IFERROR(NUMBERVALUE(CriteriTecnici!$L376,",","."),0))),4)&amp;""),",",".")&amp;", "&amp;CHAR(34)&amp;"flag"&amp;CHAR(34)&amp;": "&amp;SUBSTITUTE(TRIM(ROUND(IFERROR(CriteriTecnici!$M376*1,IFERROR(NUMBERVALUE(CriteriTecnici!$M376,".",","),IFERROR(NUMBERVALUE(CriteriTecnici!$M376,",","."),0))),4)&amp;""),",",".")&amp;", "&amp;CHAR(34)&amp;"rawScore"&amp;CHAR(34)&amp;": "&amp;SUBSTITUTE(TRIM(ROUND(IFERROR(CriteriTecnici!$O376*1,IFERROR(NUMBERVALUE(CriteriTecnici!$O376,".",","),IFERROR(NUMBERVALUE(CriteriTecnici!$O376,",","."),0))),4)&amp;""),",",".")&amp;CHAR(125)&amp;IF(COUNTA(Offerte!$A14:$A$81)&gt;0,",",""))</f>
        <v/>
      </c>
    </row>
    <row r="478">
      <c r="A478" s="82">
        <f>IF(CriteriTecnici!$A377="","","    "&amp;CHAR(123)&amp;CHAR(34)&amp;"bidderId"&amp;CHAR(34)&amp;": "&amp;CHAR(34)&amp;SUBSTITUTE(CriteriTecnici!$A377,CHAR(34),"'")&amp;CHAR(34)&amp;", "&amp;CHAR(34)&amp;"lotId"&amp;CHAR(34)&amp;": "&amp;CHAR(34)&amp;SUBSTITUTE(CriteriTecnici!$C377,CHAR(34),"'")&amp;CHAR(34)&amp;", "&amp;CHAR(34)&amp;"criterionId"&amp;CHAR(34)&amp;": "&amp;CHAR(34)&amp;SUBSTITUTE(CriteriTecnici!$D377,CHAR(34),"'")&amp;CHAR(34)&amp;", "&amp;CHAR(34)&amp;"kind"&amp;CHAR(34)&amp;": "&amp;CHAR(34)&amp;SUBSTITUTE(CriteriTecnici!$F377,CHAR(34),"'")&amp;CHAR(34)&amp;", "&amp;CHAR(34)&amp;"value"&amp;CHAR(34)&amp;": "&amp;SUBSTITUTE(TRIM(ROUND(IFERROR(CriteriTecnici!$N377*1,IFERROR(NUMBERVALUE(CriteriTecnici!$N377,".",","),IFERROR(NUMBERVALUE(CriteriTecnici!$N377,",","."),0))),4)&amp;""),",",".")&amp;", "&amp;CHAR(34)&amp;"numerator"&amp;CHAR(34)&amp;": "&amp;SUBSTITUTE(TRIM(ROUND(IFERROR(CriteriTecnici!$K377*1,IFERROR(NUMBERVALUE(CriteriTecnici!$K377,".",","),IFERROR(NUMBERVALUE(CriteriTecnici!$K377,",","."),0))),4)&amp;""),",",".")&amp;", "&amp;CHAR(34)&amp;"denominator"&amp;CHAR(34)&amp;": "&amp;SUBSTITUTE(TRIM(ROUND(IFERROR(CriteriTecnici!$L377*1,IFERROR(NUMBERVALUE(CriteriTecnici!$L377,".",","),IFERROR(NUMBERVALUE(CriteriTecnici!$L377,",","."),0))),4)&amp;""),",",".")&amp;", "&amp;CHAR(34)&amp;"flag"&amp;CHAR(34)&amp;": "&amp;SUBSTITUTE(TRIM(ROUND(IFERROR(CriteriTecnici!$M377*1,IFERROR(NUMBERVALUE(CriteriTecnici!$M377,".",","),IFERROR(NUMBERVALUE(CriteriTecnici!$M377,",","."),0))),4)&amp;""),",",".")&amp;", "&amp;CHAR(34)&amp;"rawScore"&amp;CHAR(34)&amp;": "&amp;SUBSTITUTE(TRIM(ROUND(IFERROR(CriteriTecnici!$O377*1,IFERROR(NUMBERVALUE(CriteriTecnici!$O377,".",","),IFERROR(NUMBERVALUE(CriteriTecnici!$O377,",","."),0))),4)&amp;""),",",".")&amp;CHAR(125)&amp;IF(TRUE,",",""))</f>
        <v/>
      </c>
    </row>
    <row r="479">
      <c r="A479" s="82">
        <f>IF(CriteriTecnici!$A378="","","    "&amp;CHAR(123)&amp;CHAR(34)&amp;"bidderId"&amp;CHAR(34)&amp;": "&amp;CHAR(34)&amp;SUBSTITUTE(CriteriTecnici!$A378,CHAR(34),"'")&amp;CHAR(34)&amp;", "&amp;CHAR(34)&amp;"lotId"&amp;CHAR(34)&amp;": "&amp;CHAR(34)&amp;SUBSTITUTE(CriteriTecnici!$C378,CHAR(34),"'")&amp;CHAR(34)&amp;", "&amp;CHAR(34)&amp;"criterionId"&amp;CHAR(34)&amp;": "&amp;CHAR(34)&amp;SUBSTITUTE(CriteriTecnici!$D378,CHAR(34),"'")&amp;CHAR(34)&amp;", "&amp;CHAR(34)&amp;"kind"&amp;CHAR(34)&amp;": "&amp;CHAR(34)&amp;SUBSTITUTE(CriteriTecnici!$F378,CHAR(34),"'")&amp;CHAR(34)&amp;", "&amp;CHAR(34)&amp;"value"&amp;CHAR(34)&amp;": "&amp;SUBSTITUTE(TRIM(ROUND(IFERROR(CriteriTecnici!$N378*1,IFERROR(NUMBERVALUE(CriteriTecnici!$N378,".",","),IFERROR(NUMBERVALUE(CriteriTecnici!$N378,",","."),0))),4)&amp;""),",",".")&amp;", "&amp;CHAR(34)&amp;"numerator"&amp;CHAR(34)&amp;": "&amp;SUBSTITUTE(TRIM(ROUND(IFERROR(CriteriTecnici!$K378*1,IFERROR(NUMBERVALUE(CriteriTecnici!$K378,".",","),IFERROR(NUMBERVALUE(CriteriTecnici!$K378,",","."),0))),4)&amp;""),",",".")&amp;", "&amp;CHAR(34)&amp;"denominator"&amp;CHAR(34)&amp;": "&amp;SUBSTITUTE(TRIM(ROUND(IFERROR(CriteriTecnici!$L378*1,IFERROR(NUMBERVALUE(CriteriTecnici!$L378,".",","),IFERROR(NUMBERVALUE(CriteriTecnici!$L378,",","."),0))),4)&amp;""),",",".")&amp;", "&amp;CHAR(34)&amp;"flag"&amp;CHAR(34)&amp;": "&amp;SUBSTITUTE(TRIM(ROUND(IFERROR(CriteriTecnici!$M378*1,IFERROR(NUMBERVALUE(CriteriTecnici!$M378,".",","),IFERROR(NUMBERVALUE(CriteriTecnici!$M378,",","."),0))),4)&amp;""),",",".")&amp;", "&amp;CHAR(34)&amp;"rawScore"&amp;CHAR(34)&amp;": "&amp;SUBSTITUTE(TRIM(ROUND(IFERROR(CriteriTecnici!$O378*1,IFERROR(NUMBERVALUE(CriteriTecnici!$O378,".",","),IFERROR(NUMBERVALUE(CriteriTecnici!$O378,",","."),0))),4)&amp;""),",",".")&amp;CHAR(125)&amp;IF(TRUE,",",""))</f>
        <v/>
      </c>
    </row>
    <row r="480">
      <c r="A480" s="82">
        <f>IF(CriteriTecnici!$A379="","","    "&amp;CHAR(123)&amp;CHAR(34)&amp;"bidderId"&amp;CHAR(34)&amp;": "&amp;CHAR(34)&amp;SUBSTITUTE(CriteriTecnici!$A379,CHAR(34),"'")&amp;CHAR(34)&amp;", "&amp;CHAR(34)&amp;"lotId"&amp;CHAR(34)&amp;": "&amp;CHAR(34)&amp;SUBSTITUTE(CriteriTecnici!$C379,CHAR(34),"'")&amp;CHAR(34)&amp;", "&amp;CHAR(34)&amp;"criterionId"&amp;CHAR(34)&amp;": "&amp;CHAR(34)&amp;SUBSTITUTE(CriteriTecnici!$D379,CHAR(34),"'")&amp;CHAR(34)&amp;", "&amp;CHAR(34)&amp;"kind"&amp;CHAR(34)&amp;": "&amp;CHAR(34)&amp;SUBSTITUTE(CriteriTecnici!$F379,CHAR(34),"'")&amp;CHAR(34)&amp;", "&amp;CHAR(34)&amp;"value"&amp;CHAR(34)&amp;": "&amp;SUBSTITUTE(TRIM(ROUND(IFERROR(CriteriTecnici!$N379*1,IFERROR(NUMBERVALUE(CriteriTecnici!$N379,".",","),IFERROR(NUMBERVALUE(CriteriTecnici!$N379,",","."),0))),4)&amp;""),",",".")&amp;", "&amp;CHAR(34)&amp;"numerator"&amp;CHAR(34)&amp;": "&amp;SUBSTITUTE(TRIM(ROUND(IFERROR(CriteriTecnici!$K379*1,IFERROR(NUMBERVALUE(CriteriTecnici!$K379,".",","),IFERROR(NUMBERVALUE(CriteriTecnici!$K379,",","."),0))),4)&amp;""),",",".")&amp;", "&amp;CHAR(34)&amp;"denominator"&amp;CHAR(34)&amp;": "&amp;SUBSTITUTE(TRIM(ROUND(IFERROR(CriteriTecnici!$L379*1,IFERROR(NUMBERVALUE(CriteriTecnici!$L379,".",","),IFERROR(NUMBERVALUE(CriteriTecnici!$L379,",","."),0))),4)&amp;""),",",".")&amp;", "&amp;CHAR(34)&amp;"flag"&amp;CHAR(34)&amp;": "&amp;SUBSTITUTE(TRIM(ROUND(IFERROR(CriteriTecnici!$M379*1,IFERROR(NUMBERVALUE(CriteriTecnici!$M379,".",","),IFERROR(NUMBERVALUE(CriteriTecnici!$M379,",","."),0))),4)&amp;""),",",".")&amp;", "&amp;CHAR(34)&amp;"rawScore"&amp;CHAR(34)&amp;": "&amp;SUBSTITUTE(TRIM(ROUND(IFERROR(CriteriTecnici!$O379*1,IFERROR(NUMBERVALUE(CriteriTecnici!$O379,".",","),IFERROR(NUMBERVALUE(CriteriTecnici!$O379,",","."),0))),4)&amp;""),",",".")&amp;CHAR(125)&amp;IF(TRUE,",",""))</f>
        <v/>
      </c>
    </row>
    <row r="481">
      <c r="A481" s="82">
        <f>IF(CriteriTecnici!$A380="","","    "&amp;CHAR(123)&amp;CHAR(34)&amp;"bidderId"&amp;CHAR(34)&amp;": "&amp;CHAR(34)&amp;SUBSTITUTE(CriteriTecnici!$A380,CHAR(34),"'")&amp;CHAR(34)&amp;", "&amp;CHAR(34)&amp;"lotId"&amp;CHAR(34)&amp;": "&amp;CHAR(34)&amp;SUBSTITUTE(CriteriTecnici!$C380,CHAR(34),"'")&amp;CHAR(34)&amp;", "&amp;CHAR(34)&amp;"criterionId"&amp;CHAR(34)&amp;": "&amp;CHAR(34)&amp;SUBSTITUTE(CriteriTecnici!$D380,CHAR(34),"'")&amp;CHAR(34)&amp;", "&amp;CHAR(34)&amp;"kind"&amp;CHAR(34)&amp;": "&amp;CHAR(34)&amp;SUBSTITUTE(CriteriTecnici!$F380,CHAR(34),"'")&amp;CHAR(34)&amp;", "&amp;CHAR(34)&amp;"value"&amp;CHAR(34)&amp;": "&amp;SUBSTITUTE(TRIM(ROUND(IFERROR(CriteriTecnici!$N380*1,IFERROR(NUMBERVALUE(CriteriTecnici!$N380,".",","),IFERROR(NUMBERVALUE(CriteriTecnici!$N380,",","."),0))),4)&amp;""),",",".")&amp;", "&amp;CHAR(34)&amp;"numerator"&amp;CHAR(34)&amp;": "&amp;SUBSTITUTE(TRIM(ROUND(IFERROR(CriteriTecnici!$K380*1,IFERROR(NUMBERVALUE(CriteriTecnici!$K380,".",","),IFERROR(NUMBERVALUE(CriteriTecnici!$K380,",","."),0))),4)&amp;""),",",".")&amp;", "&amp;CHAR(34)&amp;"denominator"&amp;CHAR(34)&amp;": "&amp;SUBSTITUTE(TRIM(ROUND(IFERROR(CriteriTecnici!$L380*1,IFERROR(NUMBERVALUE(CriteriTecnici!$L380,".",","),IFERROR(NUMBERVALUE(CriteriTecnici!$L380,",","."),0))),4)&amp;""),",",".")&amp;", "&amp;CHAR(34)&amp;"flag"&amp;CHAR(34)&amp;": "&amp;SUBSTITUTE(TRIM(ROUND(IFERROR(CriteriTecnici!$M380*1,IFERROR(NUMBERVALUE(CriteriTecnici!$M380,".",","),IFERROR(NUMBERVALUE(CriteriTecnici!$M380,",","."),0))),4)&amp;""),",",".")&amp;", "&amp;CHAR(34)&amp;"rawScore"&amp;CHAR(34)&amp;": "&amp;SUBSTITUTE(TRIM(ROUND(IFERROR(CriteriTecnici!$O380*1,IFERROR(NUMBERVALUE(CriteriTecnici!$O380,".",","),IFERROR(NUMBERVALUE(CriteriTecnici!$O380,",","."),0))),4)&amp;""),",",".")&amp;CHAR(125)&amp;IF(TRUE,",",""))</f>
        <v/>
      </c>
    </row>
    <row r="482">
      <c r="A482" s="82">
        <f>IF(CriteriTecnici!$A381="","","    "&amp;CHAR(123)&amp;CHAR(34)&amp;"bidderId"&amp;CHAR(34)&amp;": "&amp;CHAR(34)&amp;SUBSTITUTE(CriteriTecnici!$A381,CHAR(34),"'")&amp;CHAR(34)&amp;", "&amp;CHAR(34)&amp;"lotId"&amp;CHAR(34)&amp;": "&amp;CHAR(34)&amp;SUBSTITUTE(CriteriTecnici!$C381,CHAR(34),"'")&amp;CHAR(34)&amp;", "&amp;CHAR(34)&amp;"criterionId"&amp;CHAR(34)&amp;": "&amp;CHAR(34)&amp;SUBSTITUTE(CriteriTecnici!$D381,CHAR(34),"'")&amp;CHAR(34)&amp;", "&amp;CHAR(34)&amp;"kind"&amp;CHAR(34)&amp;": "&amp;CHAR(34)&amp;SUBSTITUTE(CriteriTecnici!$F381,CHAR(34),"'")&amp;CHAR(34)&amp;", "&amp;CHAR(34)&amp;"value"&amp;CHAR(34)&amp;": "&amp;SUBSTITUTE(TRIM(ROUND(IFERROR(CriteriTecnici!$N381*1,IFERROR(NUMBERVALUE(CriteriTecnici!$N381,".",","),IFERROR(NUMBERVALUE(CriteriTecnici!$N381,",","."),0))),4)&amp;""),",",".")&amp;", "&amp;CHAR(34)&amp;"numerator"&amp;CHAR(34)&amp;": "&amp;SUBSTITUTE(TRIM(ROUND(IFERROR(CriteriTecnici!$K381*1,IFERROR(NUMBERVALUE(CriteriTecnici!$K381,".",","),IFERROR(NUMBERVALUE(CriteriTecnici!$K381,",","."),0))),4)&amp;""),",",".")&amp;", "&amp;CHAR(34)&amp;"denominator"&amp;CHAR(34)&amp;": "&amp;SUBSTITUTE(TRIM(ROUND(IFERROR(CriteriTecnici!$L381*1,IFERROR(NUMBERVALUE(CriteriTecnici!$L381,".",","),IFERROR(NUMBERVALUE(CriteriTecnici!$L381,",","."),0))),4)&amp;""),",",".")&amp;", "&amp;CHAR(34)&amp;"flag"&amp;CHAR(34)&amp;": "&amp;SUBSTITUTE(TRIM(ROUND(IFERROR(CriteriTecnici!$M381*1,IFERROR(NUMBERVALUE(CriteriTecnici!$M381,".",","),IFERROR(NUMBERVALUE(CriteriTecnici!$M381,",","."),0))),4)&amp;""),",",".")&amp;", "&amp;CHAR(34)&amp;"rawScore"&amp;CHAR(34)&amp;": "&amp;SUBSTITUTE(TRIM(ROUND(IFERROR(CriteriTecnici!$O381*1,IFERROR(NUMBERVALUE(CriteriTecnici!$O381,".",","),IFERROR(NUMBERVALUE(CriteriTecnici!$O381,",","."),0))),4)&amp;""),",",".")&amp;CHAR(125)&amp;IF(TRUE,",",""))</f>
        <v/>
      </c>
    </row>
    <row r="483">
      <c r="A483" s="82">
        <f>IF(CriteriTecnici!$A382="","","    "&amp;CHAR(123)&amp;CHAR(34)&amp;"bidderId"&amp;CHAR(34)&amp;": "&amp;CHAR(34)&amp;SUBSTITUTE(CriteriTecnici!$A382,CHAR(34),"'")&amp;CHAR(34)&amp;", "&amp;CHAR(34)&amp;"lotId"&amp;CHAR(34)&amp;": "&amp;CHAR(34)&amp;SUBSTITUTE(CriteriTecnici!$C382,CHAR(34),"'")&amp;CHAR(34)&amp;", "&amp;CHAR(34)&amp;"criterionId"&amp;CHAR(34)&amp;": "&amp;CHAR(34)&amp;SUBSTITUTE(CriteriTecnici!$D382,CHAR(34),"'")&amp;CHAR(34)&amp;", "&amp;CHAR(34)&amp;"kind"&amp;CHAR(34)&amp;": "&amp;CHAR(34)&amp;SUBSTITUTE(CriteriTecnici!$F382,CHAR(34),"'")&amp;CHAR(34)&amp;", "&amp;CHAR(34)&amp;"value"&amp;CHAR(34)&amp;": "&amp;SUBSTITUTE(TRIM(ROUND(IFERROR(CriteriTecnici!$N382*1,IFERROR(NUMBERVALUE(CriteriTecnici!$N382,".",","),IFERROR(NUMBERVALUE(CriteriTecnici!$N382,",","."),0))),4)&amp;""),",",".")&amp;", "&amp;CHAR(34)&amp;"numerator"&amp;CHAR(34)&amp;": "&amp;SUBSTITUTE(TRIM(ROUND(IFERROR(CriteriTecnici!$K382*1,IFERROR(NUMBERVALUE(CriteriTecnici!$K382,".",","),IFERROR(NUMBERVALUE(CriteriTecnici!$K382,",","."),0))),4)&amp;""),",",".")&amp;", "&amp;CHAR(34)&amp;"denominator"&amp;CHAR(34)&amp;": "&amp;SUBSTITUTE(TRIM(ROUND(IFERROR(CriteriTecnici!$L382*1,IFERROR(NUMBERVALUE(CriteriTecnici!$L382,".",","),IFERROR(NUMBERVALUE(CriteriTecnici!$L382,",","."),0))),4)&amp;""),",",".")&amp;", "&amp;CHAR(34)&amp;"flag"&amp;CHAR(34)&amp;": "&amp;SUBSTITUTE(TRIM(ROUND(IFERROR(CriteriTecnici!$M382*1,IFERROR(NUMBERVALUE(CriteriTecnici!$M382,".",","),IFERROR(NUMBERVALUE(CriteriTecnici!$M382,",","."),0))),4)&amp;""),",",".")&amp;", "&amp;CHAR(34)&amp;"rawScore"&amp;CHAR(34)&amp;": "&amp;SUBSTITUTE(TRIM(ROUND(IFERROR(CriteriTecnici!$O382*1,IFERROR(NUMBERVALUE(CriteriTecnici!$O382,".",","),IFERROR(NUMBERVALUE(CriteriTecnici!$O382,",","."),0))),4)&amp;""),",",".")&amp;CHAR(125)&amp;IF(TRUE,",",""))</f>
        <v/>
      </c>
    </row>
    <row r="484">
      <c r="A484" s="82">
        <f>IF(CriteriTecnici!$A383="","","    "&amp;CHAR(123)&amp;CHAR(34)&amp;"bidderId"&amp;CHAR(34)&amp;": "&amp;CHAR(34)&amp;SUBSTITUTE(CriteriTecnici!$A383,CHAR(34),"'")&amp;CHAR(34)&amp;", "&amp;CHAR(34)&amp;"lotId"&amp;CHAR(34)&amp;": "&amp;CHAR(34)&amp;SUBSTITUTE(CriteriTecnici!$C383,CHAR(34),"'")&amp;CHAR(34)&amp;", "&amp;CHAR(34)&amp;"criterionId"&amp;CHAR(34)&amp;": "&amp;CHAR(34)&amp;SUBSTITUTE(CriteriTecnici!$D383,CHAR(34),"'")&amp;CHAR(34)&amp;", "&amp;CHAR(34)&amp;"kind"&amp;CHAR(34)&amp;": "&amp;CHAR(34)&amp;SUBSTITUTE(CriteriTecnici!$F383,CHAR(34),"'")&amp;CHAR(34)&amp;", "&amp;CHAR(34)&amp;"value"&amp;CHAR(34)&amp;": "&amp;SUBSTITUTE(TRIM(ROUND(IFERROR(CriteriTecnici!$N383*1,IFERROR(NUMBERVALUE(CriteriTecnici!$N383,".",","),IFERROR(NUMBERVALUE(CriteriTecnici!$N383,",","."),0))),4)&amp;""),",",".")&amp;", "&amp;CHAR(34)&amp;"numerator"&amp;CHAR(34)&amp;": "&amp;SUBSTITUTE(TRIM(ROUND(IFERROR(CriteriTecnici!$K383*1,IFERROR(NUMBERVALUE(CriteriTecnici!$K383,".",","),IFERROR(NUMBERVALUE(CriteriTecnici!$K383,",","."),0))),4)&amp;""),",",".")&amp;", "&amp;CHAR(34)&amp;"denominator"&amp;CHAR(34)&amp;": "&amp;SUBSTITUTE(TRIM(ROUND(IFERROR(CriteriTecnici!$L383*1,IFERROR(NUMBERVALUE(CriteriTecnici!$L383,".",","),IFERROR(NUMBERVALUE(CriteriTecnici!$L383,",","."),0))),4)&amp;""),",",".")&amp;", "&amp;CHAR(34)&amp;"flag"&amp;CHAR(34)&amp;": "&amp;SUBSTITUTE(TRIM(ROUND(IFERROR(CriteriTecnici!$M383*1,IFERROR(NUMBERVALUE(CriteriTecnici!$M383,".",","),IFERROR(NUMBERVALUE(CriteriTecnici!$M383,",","."),0))),4)&amp;""),",",".")&amp;", "&amp;CHAR(34)&amp;"rawScore"&amp;CHAR(34)&amp;": "&amp;SUBSTITUTE(TRIM(ROUND(IFERROR(CriteriTecnici!$O383*1,IFERROR(NUMBERVALUE(CriteriTecnici!$O383,".",","),IFERROR(NUMBERVALUE(CriteriTecnici!$O383,",","."),0))),4)&amp;""),",",".")&amp;CHAR(125)&amp;IF(TRUE,",",""))</f>
        <v/>
      </c>
    </row>
    <row r="485">
      <c r="A485" s="82">
        <f>IF(CriteriTecnici!$A384="","","    "&amp;CHAR(123)&amp;CHAR(34)&amp;"bidderId"&amp;CHAR(34)&amp;": "&amp;CHAR(34)&amp;SUBSTITUTE(CriteriTecnici!$A384,CHAR(34),"'")&amp;CHAR(34)&amp;", "&amp;CHAR(34)&amp;"lotId"&amp;CHAR(34)&amp;": "&amp;CHAR(34)&amp;SUBSTITUTE(CriteriTecnici!$C384,CHAR(34),"'")&amp;CHAR(34)&amp;", "&amp;CHAR(34)&amp;"criterionId"&amp;CHAR(34)&amp;": "&amp;CHAR(34)&amp;SUBSTITUTE(CriteriTecnici!$D384,CHAR(34),"'")&amp;CHAR(34)&amp;", "&amp;CHAR(34)&amp;"kind"&amp;CHAR(34)&amp;": "&amp;CHAR(34)&amp;SUBSTITUTE(CriteriTecnici!$F384,CHAR(34),"'")&amp;CHAR(34)&amp;", "&amp;CHAR(34)&amp;"value"&amp;CHAR(34)&amp;": "&amp;SUBSTITUTE(TRIM(ROUND(IFERROR(CriteriTecnici!$N384*1,IFERROR(NUMBERVALUE(CriteriTecnici!$N384,".",","),IFERROR(NUMBERVALUE(CriteriTecnici!$N384,",","."),0))),4)&amp;""),",",".")&amp;", "&amp;CHAR(34)&amp;"numerator"&amp;CHAR(34)&amp;": "&amp;SUBSTITUTE(TRIM(ROUND(IFERROR(CriteriTecnici!$K384*1,IFERROR(NUMBERVALUE(CriteriTecnici!$K384,".",","),IFERROR(NUMBERVALUE(CriteriTecnici!$K384,",","."),0))),4)&amp;""),",",".")&amp;", "&amp;CHAR(34)&amp;"denominator"&amp;CHAR(34)&amp;": "&amp;SUBSTITUTE(TRIM(ROUND(IFERROR(CriteriTecnici!$L384*1,IFERROR(NUMBERVALUE(CriteriTecnici!$L384,".",","),IFERROR(NUMBERVALUE(CriteriTecnici!$L384,",","."),0))),4)&amp;""),",",".")&amp;", "&amp;CHAR(34)&amp;"flag"&amp;CHAR(34)&amp;": "&amp;SUBSTITUTE(TRIM(ROUND(IFERROR(CriteriTecnici!$M384*1,IFERROR(NUMBERVALUE(CriteriTecnici!$M384,".",","),IFERROR(NUMBERVALUE(CriteriTecnici!$M384,",","."),0))),4)&amp;""),",",".")&amp;", "&amp;CHAR(34)&amp;"rawScore"&amp;CHAR(34)&amp;": "&amp;SUBSTITUTE(TRIM(ROUND(IFERROR(CriteriTecnici!$O384*1,IFERROR(NUMBERVALUE(CriteriTecnici!$O384,".",","),IFERROR(NUMBERVALUE(CriteriTecnici!$O384,",","."),0))),4)&amp;""),",",".")&amp;CHAR(125)&amp;IF(TRUE,",",""))</f>
        <v/>
      </c>
    </row>
    <row r="486">
      <c r="A486" s="82">
        <f>IF(CriteriTecnici!$A385="","","    "&amp;CHAR(123)&amp;CHAR(34)&amp;"bidderId"&amp;CHAR(34)&amp;": "&amp;CHAR(34)&amp;SUBSTITUTE(CriteriTecnici!$A385,CHAR(34),"'")&amp;CHAR(34)&amp;", "&amp;CHAR(34)&amp;"lotId"&amp;CHAR(34)&amp;": "&amp;CHAR(34)&amp;SUBSTITUTE(CriteriTecnici!$C385,CHAR(34),"'")&amp;CHAR(34)&amp;", "&amp;CHAR(34)&amp;"criterionId"&amp;CHAR(34)&amp;": "&amp;CHAR(34)&amp;SUBSTITUTE(CriteriTecnici!$D385,CHAR(34),"'")&amp;CHAR(34)&amp;", "&amp;CHAR(34)&amp;"kind"&amp;CHAR(34)&amp;": "&amp;CHAR(34)&amp;SUBSTITUTE(CriteriTecnici!$F385,CHAR(34),"'")&amp;CHAR(34)&amp;", "&amp;CHAR(34)&amp;"value"&amp;CHAR(34)&amp;": "&amp;SUBSTITUTE(TRIM(ROUND(IFERROR(CriteriTecnici!$N385*1,IFERROR(NUMBERVALUE(CriteriTecnici!$N385,".",","),IFERROR(NUMBERVALUE(CriteriTecnici!$N385,",","."),0))),4)&amp;""),",",".")&amp;", "&amp;CHAR(34)&amp;"numerator"&amp;CHAR(34)&amp;": "&amp;SUBSTITUTE(TRIM(ROUND(IFERROR(CriteriTecnici!$K385*1,IFERROR(NUMBERVALUE(CriteriTecnici!$K385,".",","),IFERROR(NUMBERVALUE(CriteriTecnici!$K385,",","."),0))),4)&amp;""),",",".")&amp;", "&amp;CHAR(34)&amp;"denominator"&amp;CHAR(34)&amp;": "&amp;SUBSTITUTE(TRIM(ROUND(IFERROR(CriteriTecnici!$L385*1,IFERROR(NUMBERVALUE(CriteriTecnici!$L385,".",","),IFERROR(NUMBERVALUE(CriteriTecnici!$L385,",","."),0))),4)&amp;""),",",".")&amp;", "&amp;CHAR(34)&amp;"flag"&amp;CHAR(34)&amp;": "&amp;SUBSTITUTE(TRIM(ROUND(IFERROR(CriteriTecnici!$M385*1,IFERROR(NUMBERVALUE(CriteriTecnici!$M385,".",","),IFERROR(NUMBERVALUE(CriteriTecnici!$M385,",","."),0))),4)&amp;""),",",".")&amp;", "&amp;CHAR(34)&amp;"rawScore"&amp;CHAR(34)&amp;": "&amp;SUBSTITUTE(TRIM(ROUND(IFERROR(CriteriTecnici!$O385*1,IFERROR(NUMBERVALUE(CriteriTecnici!$O385,".",","),IFERROR(NUMBERVALUE(CriteriTecnici!$O385,",","."),0))),4)&amp;""),",",".")&amp;CHAR(125)&amp;IF(TRUE,",",""))</f>
        <v/>
      </c>
    </row>
    <row r="487">
      <c r="A487" s="82">
        <f>IF(CriteriTecnici!$A386="","","    "&amp;CHAR(123)&amp;CHAR(34)&amp;"bidderId"&amp;CHAR(34)&amp;": "&amp;CHAR(34)&amp;SUBSTITUTE(CriteriTecnici!$A386,CHAR(34),"'")&amp;CHAR(34)&amp;", "&amp;CHAR(34)&amp;"lotId"&amp;CHAR(34)&amp;": "&amp;CHAR(34)&amp;SUBSTITUTE(CriteriTecnici!$C386,CHAR(34),"'")&amp;CHAR(34)&amp;", "&amp;CHAR(34)&amp;"criterionId"&amp;CHAR(34)&amp;": "&amp;CHAR(34)&amp;SUBSTITUTE(CriteriTecnici!$D386,CHAR(34),"'")&amp;CHAR(34)&amp;", "&amp;CHAR(34)&amp;"kind"&amp;CHAR(34)&amp;": "&amp;CHAR(34)&amp;SUBSTITUTE(CriteriTecnici!$F386,CHAR(34),"'")&amp;CHAR(34)&amp;", "&amp;CHAR(34)&amp;"value"&amp;CHAR(34)&amp;": "&amp;SUBSTITUTE(TRIM(ROUND(IFERROR(CriteriTecnici!$N386*1,IFERROR(NUMBERVALUE(CriteriTecnici!$N386,".",","),IFERROR(NUMBERVALUE(CriteriTecnici!$N386,",","."),0))),4)&amp;""),",",".")&amp;", "&amp;CHAR(34)&amp;"numerator"&amp;CHAR(34)&amp;": "&amp;SUBSTITUTE(TRIM(ROUND(IFERROR(CriteriTecnici!$K386*1,IFERROR(NUMBERVALUE(CriteriTecnici!$K386,".",","),IFERROR(NUMBERVALUE(CriteriTecnici!$K386,",","."),0))),4)&amp;""),",",".")&amp;", "&amp;CHAR(34)&amp;"denominator"&amp;CHAR(34)&amp;": "&amp;SUBSTITUTE(TRIM(ROUND(IFERROR(CriteriTecnici!$L386*1,IFERROR(NUMBERVALUE(CriteriTecnici!$L386,".",","),IFERROR(NUMBERVALUE(CriteriTecnici!$L386,",","."),0))),4)&amp;""),",",".")&amp;", "&amp;CHAR(34)&amp;"flag"&amp;CHAR(34)&amp;": "&amp;SUBSTITUTE(TRIM(ROUND(IFERROR(CriteriTecnici!$M386*1,IFERROR(NUMBERVALUE(CriteriTecnici!$M386,".",","),IFERROR(NUMBERVALUE(CriteriTecnici!$M386,",","."),0))),4)&amp;""),",",".")&amp;", "&amp;CHAR(34)&amp;"rawScore"&amp;CHAR(34)&amp;": "&amp;SUBSTITUTE(TRIM(ROUND(IFERROR(CriteriTecnici!$O386*1,IFERROR(NUMBERVALUE(CriteriTecnici!$O386,".",","),IFERROR(NUMBERVALUE(CriteriTecnici!$O386,",","."),0))),4)&amp;""),",",".")&amp;CHAR(125)&amp;IF(TRUE,",",""))</f>
        <v/>
      </c>
    </row>
    <row r="488">
      <c r="A488" s="82">
        <f>IF(CriteriTecnici!$A387="","","    "&amp;CHAR(123)&amp;CHAR(34)&amp;"bidderId"&amp;CHAR(34)&amp;": "&amp;CHAR(34)&amp;SUBSTITUTE(CriteriTecnici!$A387,CHAR(34),"'")&amp;CHAR(34)&amp;", "&amp;CHAR(34)&amp;"lotId"&amp;CHAR(34)&amp;": "&amp;CHAR(34)&amp;SUBSTITUTE(CriteriTecnici!$C387,CHAR(34),"'")&amp;CHAR(34)&amp;", "&amp;CHAR(34)&amp;"criterionId"&amp;CHAR(34)&amp;": "&amp;CHAR(34)&amp;SUBSTITUTE(CriteriTecnici!$D387,CHAR(34),"'")&amp;CHAR(34)&amp;", "&amp;CHAR(34)&amp;"kind"&amp;CHAR(34)&amp;": "&amp;CHAR(34)&amp;SUBSTITUTE(CriteriTecnici!$F387,CHAR(34),"'")&amp;CHAR(34)&amp;", "&amp;CHAR(34)&amp;"value"&amp;CHAR(34)&amp;": "&amp;SUBSTITUTE(TRIM(ROUND(IFERROR(CriteriTecnici!$N387*1,IFERROR(NUMBERVALUE(CriteriTecnici!$N387,".",","),IFERROR(NUMBERVALUE(CriteriTecnici!$N387,",","."),0))),4)&amp;""),",",".")&amp;", "&amp;CHAR(34)&amp;"numerator"&amp;CHAR(34)&amp;": "&amp;SUBSTITUTE(TRIM(ROUND(IFERROR(CriteriTecnici!$K387*1,IFERROR(NUMBERVALUE(CriteriTecnici!$K387,".",","),IFERROR(NUMBERVALUE(CriteriTecnici!$K387,",","."),0))),4)&amp;""),",",".")&amp;", "&amp;CHAR(34)&amp;"denominator"&amp;CHAR(34)&amp;": "&amp;SUBSTITUTE(TRIM(ROUND(IFERROR(CriteriTecnici!$L387*1,IFERROR(NUMBERVALUE(CriteriTecnici!$L387,".",","),IFERROR(NUMBERVALUE(CriteriTecnici!$L387,",","."),0))),4)&amp;""),",",".")&amp;", "&amp;CHAR(34)&amp;"flag"&amp;CHAR(34)&amp;": "&amp;SUBSTITUTE(TRIM(ROUND(IFERROR(CriteriTecnici!$M387*1,IFERROR(NUMBERVALUE(CriteriTecnici!$M387,".",","),IFERROR(NUMBERVALUE(CriteriTecnici!$M387,",","."),0))),4)&amp;""),",",".")&amp;", "&amp;CHAR(34)&amp;"rawScore"&amp;CHAR(34)&amp;": "&amp;SUBSTITUTE(TRIM(ROUND(IFERROR(CriteriTecnici!$O387*1,IFERROR(NUMBERVALUE(CriteriTecnici!$O387,".",","),IFERROR(NUMBERVALUE(CriteriTecnici!$O387,",","."),0))),4)&amp;""),",",".")&amp;CHAR(125)&amp;IF(TRUE,",",""))</f>
        <v/>
      </c>
    </row>
    <row r="489">
      <c r="A489" s="82">
        <f>IF(CriteriTecnici!$A388="","","    "&amp;CHAR(123)&amp;CHAR(34)&amp;"bidderId"&amp;CHAR(34)&amp;": "&amp;CHAR(34)&amp;SUBSTITUTE(CriteriTecnici!$A388,CHAR(34),"'")&amp;CHAR(34)&amp;", "&amp;CHAR(34)&amp;"lotId"&amp;CHAR(34)&amp;": "&amp;CHAR(34)&amp;SUBSTITUTE(CriteriTecnici!$C388,CHAR(34),"'")&amp;CHAR(34)&amp;", "&amp;CHAR(34)&amp;"criterionId"&amp;CHAR(34)&amp;": "&amp;CHAR(34)&amp;SUBSTITUTE(CriteriTecnici!$D388,CHAR(34),"'")&amp;CHAR(34)&amp;", "&amp;CHAR(34)&amp;"kind"&amp;CHAR(34)&amp;": "&amp;CHAR(34)&amp;SUBSTITUTE(CriteriTecnici!$F388,CHAR(34),"'")&amp;CHAR(34)&amp;", "&amp;CHAR(34)&amp;"value"&amp;CHAR(34)&amp;": "&amp;SUBSTITUTE(TRIM(ROUND(IFERROR(CriteriTecnici!$N388*1,IFERROR(NUMBERVALUE(CriteriTecnici!$N388,".",","),IFERROR(NUMBERVALUE(CriteriTecnici!$N388,",","."),0))),4)&amp;""),",",".")&amp;", "&amp;CHAR(34)&amp;"numerator"&amp;CHAR(34)&amp;": "&amp;SUBSTITUTE(TRIM(ROUND(IFERROR(CriteriTecnici!$K388*1,IFERROR(NUMBERVALUE(CriteriTecnici!$K388,".",","),IFERROR(NUMBERVALUE(CriteriTecnici!$K388,",","."),0))),4)&amp;""),",",".")&amp;", "&amp;CHAR(34)&amp;"denominator"&amp;CHAR(34)&amp;": "&amp;SUBSTITUTE(TRIM(ROUND(IFERROR(CriteriTecnici!$L388*1,IFERROR(NUMBERVALUE(CriteriTecnici!$L388,".",","),IFERROR(NUMBERVALUE(CriteriTecnici!$L388,",","."),0))),4)&amp;""),",",".")&amp;", "&amp;CHAR(34)&amp;"flag"&amp;CHAR(34)&amp;": "&amp;SUBSTITUTE(TRIM(ROUND(IFERROR(CriteriTecnici!$M388*1,IFERROR(NUMBERVALUE(CriteriTecnici!$M388,".",","),IFERROR(NUMBERVALUE(CriteriTecnici!$M388,",","."),0))),4)&amp;""),",",".")&amp;", "&amp;CHAR(34)&amp;"rawScore"&amp;CHAR(34)&amp;": "&amp;SUBSTITUTE(TRIM(ROUND(IFERROR(CriteriTecnici!$O388*1,IFERROR(NUMBERVALUE(CriteriTecnici!$O388,".",","),IFERROR(NUMBERVALUE(CriteriTecnici!$O388,",","."),0))),4)&amp;""),",",".")&amp;CHAR(125)&amp;IF(TRUE,",",""))</f>
        <v/>
      </c>
    </row>
    <row r="490">
      <c r="A490" s="82">
        <f>IF(CriteriTecnici!$A389="","","    "&amp;CHAR(123)&amp;CHAR(34)&amp;"bidderId"&amp;CHAR(34)&amp;": "&amp;CHAR(34)&amp;SUBSTITUTE(CriteriTecnici!$A389,CHAR(34),"'")&amp;CHAR(34)&amp;", "&amp;CHAR(34)&amp;"lotId"&amp;CHAR(34)&amp;": "&amp;CHAR(34)&amp;SUBSTITUTE(CriteriTecnici!$C389,CHAR(34),"'")&amp;CHAR(34)&amp;", "&amp;CHAR(34)&amp;"criterionId"&amp;CHAR(34)&amp;": "&amp;CHAR(34)&amp;SUBSTITUTE(CriteriTecnici!$D389,CHAR(34),"'")&amp;CHAR(34)&amp;", "&amp;CHAR(34)&amp;"kind"&amp;CHAR(34)&amp;": "&amp;CHAR(34)&amp;SUBSTITUTE(CriteriTecnici!$F389,CHAR(34),"'")&amp;CHAR(34)&amp;", "&amp;CHAR(34)&amp;"value"&amp;CHAR(34)&amp;": "&amp;SUBSTITUTE(TRIM(ROUND(IFERROR(CriteriTecnici!$N389*1,IFERROR(NUMBERVALUE(CriteriTecnici!$N389,".",","),IFERROR(NUMBERVALUE(CriteriTecnici!$N389,",","."),0))),4)&amp;""),",",".")&amp;", "&amp;CHAR(34)&amp;"numerator"&amp;CHAR(34)&amp;": "&amp;SUBSTITUTE(TRIM(ROUND(IFERROR(CriteriTecnici!$K389*1,IFERROR(NUMBERVALUE(CriteriTecnici!$K389,".",","),IFERROR(NUMBERVALUE(CriteriTecnici!$K389,",","."),0))),4)&amp;""),",",".")&amp;", "&amp;CHAR(34)&amp;"denominator"&amp;CHAR(34)&amp;": "&amp;SUBSTITUTE(TRIM(ROUND(IFERROR(CriteriTecnici!$L389*1,IFERROR(NUMBERVALUE(CriteriTecnici!$L389,".",","),IFERROR(NUMBERVALUE(CriteriTecnici!$L389,",","."),0))),4)&amp;""),",",".")&amp;", "&amp;CHAR(34)&amp;"flag"&amp;CHAR(34)&amp;": "&amp;SUBSTITUTE(TRIM(ROUND(IFERROR(CriteriTecnici!$M389*1,IFERROR(NUMBERVALUE(CriteriTecnici!$M389,".",","),IFERROR(NUMBERVALUE(CriteriTecnici!$M389,",","."),0))),4)&amp;""),",",".")&amp;", "&amp;CHAR(34)&amp;"rawScore"&amp;CHAR(34)&amp;": "&amp;SUBSTITUTE(TRIM(ROUND(IFERROR(CriteriTecnici!$O389*1,IFERROR(NUMBERVALUE(CriteriTecnici!$O389,".",","),IFERROR(NUMBERVALUE(CriteriTecnici!$O389,",","."),0))),4)&amp;""),",",".")&amp;CHAR(125)&amp;IF(TRUE,",",""))</f>
        <v/>
      </c>
    </row>
    <row r="491">
      <c r="A491" s="82">
        <f>IF(CriteriTecnici!$A390="","","    "&amp;CHAR(123)&amp;CHAR(34)&amp;"bidderId"&amp;CHAR(34)&amp;": "&amp;CHAR(34)&amp;SUBSTITUTE(CriteriTecnici!$A390,CHAR(34),"'")&amp;CHAR(34)&amp;", "&amp;CHAR(34)&amp;"lotId"&amp;CHAR(34)&amp;": "&amp;CHAR(34)&amp;SUBSTITUTE(CriteriTecnici!$C390,CHAR(34),"'")&amp;CHAR(34)&amp;", "&amp;CHAR(34)&amp;"criterionId"&amp;CHAR(34)&amp;": "&amp;CHAR(34)&amp;SUBSTITUTE(CriteriTecnici!$D390,CHAR(34),"'")&amp;CHAR(34)&amp;", "&amp;CHAR(34)&amp;"kind"&amp;CHAR(34)&amp;": "&amp;CHAR(34)&amp;SUBSTITUTE(CriteriTecnici!$F390,CHAR(34),"'")&amp;CHAR(34)&amp;", "&amp;CHAR(34)&amp;"value"&amp;CHAR(34)&amp;": "&amp;SUBSTITUTE(TRIM(ROUND(IFERROR(CriteriTecnici!$N390*1,IFERROR(NUMBERVALUE(CriteriTecnici!$N390,".",","),IFERROR(NUMBERVALUE(CriteriTecnici!$N390,",","."),0))),4)&amp;""),",",".")&amp;", "&amp;CHAR(34)&amp;"numerator"&amp;CHAR(34)&amp;": "&amp;SUBSTITUTE(TRIM(ROUND(IFERROR(CriteriTecnici!$K390*1,IFERROR(NUMBERVALUE(CriteriTecnici!$K390,".",","),IFERROR(NUMBERVALUE(CriteriTecnici!$K390,",","."),0))),4)&amp;""),",",".")&amp;", "&amp;CHAR(34)&amp;"denominator"&amp;CHAR(34)&amp;": "&amp;SUBSTITUTE(TRIM(ROUND(IFERROR(CriteriTecnici!$L390*1,IFERROR(NUMBERVALUE(CriteriTecnici!$L390,".",","),IFERROR(NUMBERVALUE(CriteriTecnici!$L390,",","."),0))),4)&amp;""),",",".")&amp;", "&amp;CHAR(34)&amp;"flag"&amp;CHAR(34)&amp;": "&amp;SUBSTITUTE(TRIM(ROUND(IFERROR(CriteriTecnici!$M390*1,IFERROR(NUMBERVALUE(CriteriTecnici!$M390,".",","),IFERROR(NUMBERVALUE(CriteriTecnici!$M390,",","."),0))),4)&amp;""),",",".")&amp;", "&amp;CHAR(34)&amp;"rawScore"&amp;CHAR(34)&amp;": "&amp;SUBSTITUTE(TRIM(ROUND(IFERROR(CriteriTecnici!$O390*1,IFERROR(NUMBERVALUE(CriteriTecnici!$O390,".",","),IFERROR(NUMBERVALUE(CriteriTecnici!$O390,",","."),0))),4)&amp;""),",",".")&amp;CHAR(125)&amp;IF(TRUE,",",""))</f>
        <v/>
      </c>
    </row>
    <row r="492">
      <c r="A492" s="82">
        <f>IF(CriteriTecnici!$A391="","","    "&amp;CHAR(123)&amp;CHAR(34)&amp;"bidderId"&amp;CHAR(34)&amp;": "&amp;CHAR(34)&amp;SUBSTITUTE(CriteriTecnici!$A391,CHAR(34),"'")&amp;CHAR(34)&amp;", "&amp;CHAR(34)&amp;"lotId"&amp;CHAR(34)&amp;": "&amp;CHAR(34)&amp;SUBSTITUTE(CriteriTecnici!$C391,CHAR(34),"'")&amp;CHAR(34)&amp;", "&amp;CHAR(34)&amp;"criterionId"&amp;CHAR(34)&amp;": "&amp;CHAR(34)&amp;SUBSTITUTE(CriteriTecnici!$D391,CHAR(34),"'")&amp;CHAR(34)&amp;", "&amp;CHAR(34)&amp;"kind"&amp;CHAR(34)&amp;": "&amp;CHAR(34)&amp;SUBSTITUTE(CriteriTecnici!$F391,CHAR(34),"'")&amp;CHAR(34)&amp;", "&amp;CHAR(34)&amp;"value"&amp;CHAR(34)&amp;": "&amp;SUBSTITUTE(TRIM(ROUND(IFERROR(CriteriTecnici!$N391*1,IFERROR(NUMBERVALUE(CriteriTecnici!$N391,".",","),IFERROR(NUMBERVALUE(CriteriTecnici!$N391,",","."),0))),4)&amp;""),",",".")&amp;", "&amp;CHAR(34)&amp;"numerator"&amp;CHAR(34)&amp;": "&amp;SUBSTITUTE(TRIM(ROUND(IFERROR(CriteriTecnici!$K391*1,IFERROR(NUMBERVALUE(CriteriTecnici!$K391,".",","),IFERROR(NUMBERVALUE(CriteriTecnici!$K391,",","."),0))),4)&amp;""),",",".")&amp;", "&amp;CHAR(34)&amp;"denominator"&amp;CHAR(34)&amp;": "&amp;SUBSTITUTE(TRIM(ROUND(IFERROR(CriteriTecnici!$L391*1,IFERROR(NUMBERVALUE(CriteriTecnici!$L391,".",","),IFERROR(NUMBERVALUE(CriteriTecnici!$L391,",","."),0))),4)&amp;""),",",".")&amp;", "&amp;CHAR(34)&amp;"flag"&amp;CHAR(34)&amp;": "&amp;SUBSTITUTE(TRIM(ROUND(IFERROR(CriteriTecnici!$M391*1,IFERROR(NUMBERVALUE(CriteriTecnici!$M391,".",","),IFERROR(NUMBERVALUE(CriteriTecnici!$M391,",","."),0))),4)&amp;""),",",".")&amp;", "&amp;CHAR(34)&amp;"rawScore"&amp;CHAR(34)&amp;": "&amp;SUBSTITUTE(TRIM(ROUND(IFERROR(CriteriTecnici!$O391*1,IFERROR(NUMBERVALUE(CriteriTecnici!$O391,".",","),IFERROR(NUMBERVALUE(CriteriTecnici!$O391,",","."),0))),4)&amp;""),",",".")&amp;CHAR(125)&amp;IF(TRUE,",",""))</f>
        <v/>
      </c>
    </row>
    <row r="493">
      <c r="A493" s="82">
        <f>IF(CriteriTecnici!$A392="","","    "&amp;CHAR(123)&amp;CHAR(34)&amp;"bidderId"&amp;CHAR(34)&amp;": "&amp;CHAR(34)&amp;SUBSTITUTE(CriteriTecnici!$A392,CHAR(34),"'")&amp;CHAR(34)&amp;", "&amp;CHAR(34)&amp;"lotId"&amp;CHAR(34)&amp;": "&amp;CHAR(34)&amp;SUBSTITUTE(CriteriTecnici!$C392,CHAR(34),"'")&amp;CHAR(34)&amp;", "&amp;CHAR(34)&amp;"criterionId"&amp;CHAR(34)&amp;": "&amp;CHAR(34)&amp;SUBSTITUTE(CriteriTecnici!$D392,CHAR(34),"'")&amp;CHAR(34)&amp;", "&amp;CHAR(34)&amp;"kind"&amp;CHAR(34)&amp;": "&amp;CHAR(34)&amp;SUBSTITUTE(CriteriTecnici!$F392,CHAR(34),"'")&amp;CHAR(34)&amp;", "&amp;CHAR(34)&amp;"value"&amp;CHAR(34)&amp;": "&amp;SUBSTITUTE(TRIM(ROUND(IFERROR(CriteriTecnici!$N392*1,IFERROR(NUMBERVALUE(CriteriTecnici!$N392,".",","),IFERROR(NUMBERVALUE(CriteriTecnici!$N392,",","."),0))),4)&amp;""),",",".")&amp;", "&amp;CHAR(34)&amp;"numerator"&amp;CHAR(34)&amp;": "&amp;SUBSTITUTE(TRIM(ROUND(IFERROR(CriteriTecnici!$K392*1,IFERROR(NUMBERVALUE(CriteriTecnici!$K392,".",","),IFERROR(NUMBERVALUE(CriteriTecnici!$K392,",","."),0))),4)&amp;""),",",".")&amp;", "&amp;CHAR(34)&amp;"denominator"&amp;CHAR(34)&amp;": "&amp;SUBSTITUTE(TRIM(ROUND(IFERROR(CriteriTecnici!$L392*1,IFERROR(NUMBERVALUE(CriteriTecnici!$L392,".",","),IFERROR(NUMBERVALUE(CriteriTecnici!$L392,",","."),0))),4)&amp;""),",",".")&amp;", "&amp;CHAR(34)&amp;"flag"&amp;CHAR(34)&amp;": "&amp;SUBSTITUTE(TRIM(ROUND(IFERROR(CriteriTecnici!$M392*1,IFERROR(NUMBERVALUE(CriteriTecnici!$M392,".",","),IFERROR(NUMBERVALUE(CriteriTecnici!$M392,",","."),0))),4)&amp;""),",",".")&amp;", "&amp;CHAR(34)&amp;"rawScore"&amp;CHAR(34)&amp;": "&amp;SUBSTITUTE(TRIM(ROUND(IFERROR(CriteriTecnici!$O392*1,IFERROR(NUMBERVALUE(CriteriTecnici!$O392,".",","),IFERROR(NUMBERVALUE(CriteriTecnici!$O392,",","."),0))),4)&amp;""),",",".")&amp;CHAR(125)&amp;IF(TRUE,",",""))</f>
        <v/>
      </c>
    </row>
    <row r="494">
      <c r="A494" s="82">
        <f>IF(CriteriTecnici!$A393="","","    "&amp;CHAR(123)&amp;CHAR(34)&amp;"bidderId"&amp;CHAR(34)&amp;": "&amp;CHAR(34)&amp;SUBSTITUTE(CriteriTecnici!$A393,CHAR(34),"'")&amp;CHAR(34)&amp;", "&amp;CHAR(34)&amp;"lotId"&amp;CHAR(34)&amp;": "&amp;CHAR(34)&amp;SUBSTITUTE(CriteriTecnici!$C393,CHAR(34),"'")&amp;CHAR(34)&amp;", "&amp;CHAR(34)&amp;"criterionId"&amp;CHAR(34)&amp;": "&amp;CHAR(34)&amp;SUBSTITUTE(CriteriTecnici!$D393,CHAR(34),"'")&amp;CHAR(34)&amp;", "&amp;CHAR(34)&amp;"kind"&amp;CHAR(34)&amp;": "&amp;CHAR(34)&amp;SUBSTITUTE(CriteriTecnici!$F393,CHAR(34),"'")&amp;CHAR(34)&amp;", "&amp;CHAR(34)&amp;"value"&amp;CHAR(34)&amp;": "&amp;SUBSTITUTE(TRIM(ROUND(IFERROR(CriteriTecnici!$N393*1,IFERROR(NUMBERVALUE(CriteriTecnici!$N393,".",","),IFERROR(NUMBERVALUE(CriteriTecnici!$N393,",","."),0))),4)&amp;""),",",".")&amp;", "&amp;CHAR(34)&amp;"numerator"&amp;CHAR(34)&amp;": "&amp;SUBSTITUTE(TRIM(ROUND(IFERROR(CriteriTecnici!$K393*1,IFERROR(NUMBERVALUE(CriteriTecnici!$K393,".",","),IFERROR(NUMBERVALUE(CriteriTecnici!$K393,",","."),0))),4)&amp;""),",",".")&amp;", "&amp;CHAR(34)&amp;"denominator"&amp;CHAR(34)&amp;": "&amp;SUBSTITUTE(TRIM(ROUND(IFERROR(CriteriTecnici!$L393*1,IFERROR(NUMBERVALUE(CriteriTecnici!$L393,".",","),IFERROR(NUMBERVALUE(CriteriTecnici!$L393,",","."),0))),4)&amp;""),",",".")&amp;", "&amp;CHAR(34)&amp;"flag"&amp;CHAR(34)&amp;": "&amp;SUBSTITUTE(TRIM(ROUND(IFERROR(CriteriTecnici!$M393*1,IFERROR(NUMBERVALUE(CriteriTecnici!$M393,".",","),IFERROR(NUMBERVALUE(CriteriTecnici!$M393,",","."),0))),4)&amp;""),",",".")&amp;", "&amp;CHAR(34)&amp;"rawScore"&amp;CHAR(34)&amp;": "&amp;SUBSTITUTE(TRIM(ROUND(IFERROR(CriteriTecnici!$O393*1,IFERROR(NUMBERVALUE(CriteriTecnici!$O393,".",","),IFERROR(NUMBERVALUE(CriteriTecnici!$O393,",","."),0))),4)&amp;""),",",".")&amp;CHAR(125)&amp;IF(TRUE,",",""))</f>
        <v/>
      </c>
    </row>
    <row r="495">
      <c r="A495" s="82">
        <f>IF(CriteriTecnici!$A394="","","    "&amp;CHAR(123)&amp;CHAR(34)&amp;"bidderId"&amp;CHAR(34)&amp;": "&amp;CHAR(34)&amp;SUBSTITUTE(CriteriTecnici!$A394,CHAR(34),"'")&amp;CHAR(34)&amp;", "&amp;CHAR(34)&amp;"lotId"&amp;CHAR(34)&amp;": "&amp;CHAR(34)&amp;SUBSTITUTE(CriteriTecnici!$C394,CHAR(34),"'")&amp;CHAR(34)&amp;", "&amp;CHAR(34)&amp;"criterionId"&amp;CHAR(34)&amp;": "&amp;CHAR(34)&amp;SUBSTITUTE(CriteriTecnici!$D394,CHAR(34),"'")&amp;CHAR(34)&amp;", "&amp;CHAR(34)&amp;"kind"&amp;CHAR(34)&amp;": "&amp;CHAR(34)&amp;SUBSTITUTE(CriteriTecnici!$F394,CHAR(34),"'")&amp;CHAR(34)&amp;", "&amp;CHAR(34)&amp;"value"&amp;CHAR(34)&amp;": "&amp;SUBSTITUTE(TRIM(ROUND(IFERROR(CriteriTecnici!$N394*1,IFERROR(NUMBERVALUE(CriteriTecnici!$N394,".",","),IFERROR(NUMBERVALUE(CriteriTecnici!$N394,",","."),0))),4)&amp;""),",",".")&amp;", "&amp;CHAR(34)&amp;"numerator"&amp;CHAR(34)&amp;": "&amp;SUBSTITUTE(TRIM(ROUND(IFERROR(CriteriTecnici!$K394*1,IFERROR(NUMBERVALUE(CriteriTecnici!$K394,".",","),IFERROR(NUMBERVALUE(CriteriTecnici!$K394,",","."),0))),4)&amp;""),",",".")&amp;", "&amp;CHAR(34)&amp;"denominator"&amp;CHAR(34)&amp;": "&amp;SUBSTITUTE(TRIM(ROUND(IFERROR(CriteriTecnici!$L394*1,IFERROR(NUMBERVALUE(CriteriTecnici!$L394,".",","),IFERROR(NUMBERVALUE(CriteriTecnici!$L394,",","."),0))),4)&amp;""),",",".")&amp;", "&amp;CHAR(34)&amp;"flag"&amp;CHAR(34)&amp;": "&amp;SUBSTITUTE(TRIM(ROUND(IFERROR(CriteriTecnici!$M394*1,IFERROR(NUMBERVALUE(CriteriTecnici!$M394,".",","),IFERROR(NUMBERVALUE(CriteriTecnici!$M394,",","."),0))),4)&amp;""),",",".")&amp;", "&amp;CHAR(34)&amp;"rawScore"&amp;CHAR(34)&amp;": "&amp;SUBSTITUTE(TRIM(ROUND(IFERROR(CriteriTecnici!$O394*1,IFERROR(NUMBERVALUE(CriteriTecnici!$O394,".",","),IFERROR(NUMBERVALUE(CriteriTecnici!$O394,",","."),0))),4)&amp;""),",",".")&amp;CHAR(125)&amp;IF(TRUE,",",""))</f>
        <v/>
      </c>
    </row>
    <row r="496">
      <c r="A496" s="82">
        <f>IF(CriteriTecnici!$A395="","","    "&amp;CHAR(123)&amp;CHAR(34)&amp;"bidderId"&amp;CHAR(34)&amp;": "&amp;CHAR(34)&amp;SUBSTITUTE(CriteriTecnici!$A395,CHAR(34),"'")&amp;CHAR(34)&amp;", "&amp;CHAR(34)&amp;"lotId"&amp;CHAR(34)&amp;": "&amp;CHAR(34)&amp;SUBSTITUTE(CriteriTecnici!$C395,CHAR(34),"'")&amp;CHAR(34)&amp;", "&amp;CHAR(34)&amp;"criterionId"&amp;CHAR(34)&amp;": "&amp;CHAR(34)&amp;SUBSTITUTE(CriteriTecnici!$D395,CHAR(34),"'")&amp;CHAR(34)&amp;", "&amp;CHAR(34)&amp;"kind"&amp;CHAR(34)&amp;": "&amp;CHAR(34)&amp;SUBSTITUTE(CriteriTecnici!$F395,CHAR(34),"'")&amp;CHAR(34)&amp;", "&amp;CHAR(34)&amp;"value"&amp;CHAR(34)&amp;": "&amp;SUBSTITUTE(TRIM(ROUND(IFERROR(CriteriTecnici!$N395*1,IFERROR(NUMBERVALUE(CriteriTecnici!$N395,".",","),IFERROR(NUMBERVALUE(CriteriTecnici!$N395,",","."),0))),4)&amp;""),",",".")&amp;", "&amp;CHAR(34)&amp;"numerator"&amp;CHAR(34)&amp;": "&amp;SUBSTITUTE(TRIM(ROUND(IFERROR(CriteriTecnici!$K395*1,IFERROR(NUMBERVALUE(CriteriTecnici!$K395,".",","),IFERROR(NUMBERVALUE(CriteriTecnici!$K395,",","."),0))),4)&amp;""),",",".")&amp;", "&amp;CHAR(34)&amp;"denominator"&amp;CHAR(34)&amp;": "&amp;SUBSTITUTE(TRIM(ROUND(IFERROR(CriteriTecnici!$L395*1,IFERROR(NUMBERVALUE(CriteriTecnici!$L395,".",","),IFERROR(NUMBERVALUE(CriteriTecnici!$L395,",","."),0))),4)&amp;""),",",".")&amp;", "&amp;CHAR(34)&amp;"flag"&amp;CHAR(34)&amp;": "&amp;SUBSTITUTE(TRIM(ROUND(IFERROR(CriteriTecnici!$M395*1,IFERROR(NUMBERVALUE(CriteriTecnici!$M395,".",","),IFERROR(NUMBERVALUE(CriteriTecnici!$M395,",","."),0))),4)&amp;""),",",".")&amp;", "&amp;CHAR(34)&amp;"rawScore"&amp;CHAR(34)&amp;": "&amp;SUBSTITUTE(TRIM(ROUND(IFERROR(CriteriTecnici!$O395*1,IFERROR(NUMBERVALUE(CriteriTecnici!$O395,".",","),IFERROR(NUMBERVALUE(CriteriTecnici!$O395,",","."),0))),4)&amp;""),",",".")&amp;CHAR(125)&amp;IF(TRUE,",",""))</f>
        <v/>
      </c>
    </row>
    <row r="497">
      <c r="A497" s="82">
        <f>IF(CriteriTecnici!$A396="","","    "&amp;CHAR(123)&amp;CHAR(34)&amp;"bidderId"&amp;CHAR(34)&amp;": "&amp;CHAR(34)&amp;SUBSTITUTE(CriteriTecnici!$A396,CHAR(34),"'")&amp;CHAR(34)&amp;", "&amp;CHAR(34)&amp;"lotId"&amp;CHAR(34)&amp;": "&amp;CHAR(34)&amp;SUBSTITUTE(CriteriTecnici!$C396,CHAR(34),"'")&amp;CHAR(34)&amp;", "&amp;CHAR(34)&amp;"criterionId"&amp;CHAR(34)&amp;": "&amp;CHAR(34)&amp;SUBSTITUTE(CriteriTecnici!$D396,CHAR(34),"'")&amp;CHAR(34)&amp;", "&amp;CHAR(34)&amp;"kind"&amp;CHAR(34)&amp;": "&amp;CHAR(34)&amp;SUBSTITUTE(CriteriTecnici!$F396,CHAR(34),"'")&amp;CHAR(34)&amp;", "&amp;CHAR(34)&amp;"value"&amp;CHAR(34)&amp;": "&amp;SUBSTITUTE(TRIM(ROUND(IFERROR(CriteriTecnici!$N396*1,IFERROR(NUMBERVALUE(CriteriTecnici!$N396,".",","),IFERROR(NUMBERVALUE(CriteriTecnici!$N396,",","."),0))),4)&amp;""),",",".")&amp;", "&amp;CHAR(34)&amp;"numerator"&amp;CHAR(34)&amp;": "&amp;SUBSTITUTE(TRIM(ROUND(IFERROR(CriteriTecnici!$K396*1,IFERROR(NUMBERVALUE(CriteriTecnici!$K396,".",","),IFERROR(NUMBERVALUE(CriteriTecnici!$K396,",","."),0))),4)&amp;""),",",".")&amp;", "&amp;CHAR(34)&amp;"denominator"&amp;CHAR(34)&amp;": "&amp;SUBSTITUTE(TRIM(ROUND(IFERROR(CriteriTecnici!$L396*1,IFERROR(NUMBERVALUE(CriteriTecnici!$L396,".",","),IFERROR(NUMBERVALUE(CriteriTecnici!$L396,",","."),0))),4)&amp;""),",",".")&amp;", "&amp;CHAR(34)&amp;"flag"&amp;CHAR(34)&amp;": "&amp;SUBSTITUTE(TRIM(ROUND(IFERROR(CriteriTecnici!$M396*1,IFERROR(NUMBERVALUE(CriteriTecnici!$M396,".",","),IFERROR(NUMBERVALUE(CriteriTecnici!$M396,",","."),0))),4)&amp;""),",",".")&amp;", "&amp;CHAR(34)&amp;"rawScore"&amp;CHAR(34)&amp;": "&amp;SUBSTITUTE(TRIM(ROUND(IFERROR(CriteriTecnici!$O396*1,IFERROR(NUMBERVALUE(CriteriTecnici!$O396,".",","),IFERROR(NUMBERVALUE(CriteriTecnici!$O396,",","."),0))),4)&amp;""),",",".")&amp;CHAR(125)&amp;IF(TRUE,",",""))</f>
        <v/>
      </c>
    </row>
    <row r="498">
      <c r="A498" s="82">
        <f>IF(CriteriTecnici!$A397="","","    "&amp;CHAR(123)&amp;CHAR(34)&amp;"bidderId"&amp;CHAR(34)&amp;": "&amp;CHAR(34)&amp;SUBSTITUTE(CriteriTecnici!$A397,CHAR(34),"'")&amp;CHAR(34)&amp;", "&amp;CHAR(34)&amp;"lotId"&amp;CHAR(34)&amp;": "&amp;CHAR(34)&amp;SUBSTITUTE(CriteriTecnici!$C397,CHAR(34),"'")&amp;CHAR(34)&amp;", "&amp;CHAR(34)&amp;"criterionId"&amp;CHAR(34)&amp;": "&amp;CHAR(34)&amp;SUBSTITUTE(CriteriTecnici!$D397,CHAR(34),"'")&amp;CHAR(34)&amp;", "&amp;CHAR(34)&amp;"kind"&amp;CHAR(34)&amp;": "&amp;CHAR(34)&amp;SUBSTITUTE(CriteriTecnici!$F397,CHAR(34),"'")&amp;CHAR(34)&amp;", "&amp;CHAR(34)&amp;"value"&amp;CHAR(34)&amp;": "&amp;SUBSTITUTE(TRIM(ROUND(IFERROR(CriteriTecnici!$N397*1,IFERROR(NUMBERVALUE(CriteriTecnici!$N397,".",","),IFERROR(NUMBERVALUE(CriteriTecnici!$N397,",","."),0))),4)&amp;""),",",".")&amp;", "&amp;CHAR(34)&amp;"numerator"&amp;CHAR(34)&amp;": "&amp;SUBSTITUTE(TRIM(ROUND(IFERROR(CriteriTecnici!$K397*1,IFERROR(NUMBERVALUE(CriteriTecnici!$K397,".",","),IFERROR(NUMBERVALUE(CriteriTecnici!$K397,",","."),0))),4)&amp;""),",",".")&amp;", "&amp;CHAR(34)&amp;"denominator"&amp;CHAR(34)&amp;": "&amp;SUBSTITUTE(TRIM(ROUND(IFERROR(CriteriTecnici!$L397*1,IFERROR(NUMBERVALUE(CriteriTecnici!$L397,".",","),IFERROR(NUMBERVALUE(CriteriTecnici!$L397,",","."),0))),4)&amp;""),",",".")&amp;", "&amp;CHAR(34)&amp;"flag"&amp;CHAR(34)&amp;": "&amp;SUBSTITUTE(TRIM(ROUND(IFERROR(CriteriTecnici!$M397*1,IFERROR(NUMBERVALUE(CriteriTecnici!$M397,".",","),IFERROR(NUMBERVALUE(CriteriTecnici!$M397,",","."),0))),4)&amp;""),",",".")&amp;", "&amp;CHAR(34)&amp;"rawScore"&amp;CHAR(34)&amp;": "&amp;SUBSTITUTE(TRIM(ROUND(IFERROR(CriteriTecnici!$O397*1,IFERROR(NUMBERVALUE(CriteriTecnici!$O397,".",","),IFERROR(NUMBERVALUE(CriteriTecnici!$O397,",","."),0))),4)&amp;""),",",".")&amp;CHAR(125)&amp;IF(TRUE,",",""))</f>
        <v/>
      </c>
    </row>
    <row r="499">
      <c r="A499" s="82">
        <f>IF(CriteriTecnici!$A398="","","    "&amp;CHAR(123)&amp;CHAR(34)&amp;"bidderId"&amp;CHAR(34)&amp;": "&amp;CHAR(34)&amp;SUBSTITUTE(CriteriTecnici!$A398,CHAR(34),"'")&amp;CHAR(34)&amp;", "&amp;CHAR(34)&amp;"lotId"&amp;CHAR(34)&amp;": "&amp;CHAR(34)&amp;SUBSTITUTE(CriteriTecnici!$C398,CHAR(34),"'")&amp;CHAR(34)&amp;", "&amp;CHAR(34)&amp;"criterionId"&amp;CHAR(34)&amp;": "&amp;CHAR(34)&amp;SUBSTITUTE(CriteriTecnici!$D398,CHAR(34),"'")&amp;CHAR(34)&amp;", "&amp;CHAR(34)&amp;"kind"&amp;CHAR(34)&amp;": "&amp;CHAR(34)&amp;SUBSTITUTE(CriteriTecnici!$F398,CHAR(34),"'")&amp;CHAR(34)&amp;", "&amp;CHAR(34)&amp;"value"&amp;CHAR(34)&amp;": "&amp;SUBSTITUTE(TRIM(ROUND(IFERROR(CriteriTecnici!$N398*1,IFERROR(NUMBERVALUE(CriteriTecnici!$N398,".",","),IFERROR(NUMBERVALUE(CriteriTecnici!$N398,",","."),0))),4)&amp;""),",",".")&amp;", "&amp;CHAR(34)&amp;"numerator"&amp;CHAR(34)&amp;": "&amp;SUBSTITUTE(TRIM(ROUND(IFERROR(CriteriTecnici!$K398*1,IFERROR(NUMBERVALUE(CriteriTecnici!$K398,".",","),IFERROR(NUMBERVALUE(CriteriTecnici!$K398,",","."),0))),4)&amp;""),",",".")&amp;", "&amp;CHAR(34)&amp;"denominator"&amp;CHAR(34)&amp;": "&amp;SUBSTITUTE(TRIM(ROUND(IFERROR(CriteriTecnici!$L398*1,IFERROR(NUMBERVALUE(CriteriTecnici!$L398,".",","),IFERROR(NUMBERVALUE(CriteriTecnici!$L398,",","."),0))),4)&amp;""),",",".")&amp;", "&amp;CHAR(34)&amp;"flag"&amp;CHAR(34)&amp;": "&amp;SUBSTITUTE(TRIM(ROUND(IFERROR(CriteriTecnici!$M398*1,IFERROR(NUMBERVALUE(CriteriTecnici!$M398,".",","),IFERROR(NUMBERVALUE(CriteriTecnici!$M398,",","."),0))),4)&amp;""),",",".")&amp;", "&amp;CHAR(34)&amp;"rawScore"&amp;CHAR(34)&amp;": "&amp;SUBSTITUTE(TRIM(ROUND(IFERROR(CriteriTecnici!$O398*1,IFERROR(NUMBERVALUE(CriteriTecnici!$O398,".",","),IFERROR(NUMBERVALUE(CriteriTecnici!$O398,",","."),0))),4)&amp;""),",",".")&amp;CHAR(125)&amp;IF(TRUE,",",""))</f>
        <v/>
      </c>
    </row>
    <row r="500">
      <c r="A500" s="82">
        <f>IF(CriteriTecnici!$A399="","","    "&amp;CHAR(123)&amp;CHAR(34)&amp;"bidderId"&amp;CHAR(34)&amp;": "&amp;CHAR(34)&amp;SUBSTITUTE(CriteriTecnici!$A399,CHAR(34),"'")&amp;CHAR(34)&amp;", "&amp;CHAR(34)&amp;"lotId"&amp;CHAR(34)&amp;": "&amp;CHAR(34)&amp;SUBSTITUTE(CriteriTecnici!$C399,CHAR(34),"'")&amp;CHAR(34)&amp;", "&amp;CHAR(34)&amp;"criterionId"&amp;CHAR(34)&amp;": "&amp;CHAR(34)&amp;SUBSTITUTE(CriteriTecnici!$D399,CHAR(34),"'")&amp;CHAR(34)&amp;", "&amp;CHAR(34)&amp;"kind"&amp;CHAR(34)&amp;": "&amp;CHAR(34)&amp;SUBSTITUTE(CriteriTecnici!$F399,CHAR(34),"'")&amp;CHAR(34)&amp;", "&amp;CHAR(34)&amp;"value"&amp;CHAR(34)&amp;": "&amp;SUBSTITUTE(TRIM(ROUND(IFERROR(CriteriTecnici!$N399*1,IFERROR(NUMBERVALUE(CriteriTecnici!$N399,".",","),IFERROR(NUMBERVALUE(CriteriTecnici!$N399,",","."),0))),4)&amp;""),",",".")&amp;", "&amp;CHAR(34)&amp;"numerator"&amp;CHAR(34)&amp;": "&amp;SUBSTITUTE(TRIM(ROUND(IFERROR(CriteriTecnici!$K399*1,IFERROR(NUMBERVALUE(CriteriTecnici!$K399,".",","),IFERROR(NUMBERVALUE(CriteriTecnici!$K399,",","."),0))),4)&amp;""),",",".")&amp;", "&amp;CHAR(34)&amp;"denominator"&amp;CHAR(34)&amp;": "&amp;SUBSTITUTE(TRIM(ROUND(IFERROR(CriteriTecnici!$L399*1,IFERROR(NUMBERVALUE(CriteriTecnici!$L399,".",","),IFERROR(NUMBERVALUE(CriteriTecnici!$L399,",","."),0))),4)&amp;""),",",".")&amp;", "&amp;CHAR(34)&amp;"flag"&amp;CHAR(34)&amp;": "&amp;SUBSTITUTE(TRIM(ROUND(IFERROR(CriteriTecnici!$M399*1,IFERROR(NUMBERVALUE(CriteriTecnici!$M399,".",","),IFERROR(NUMBERVALUE(CriteriTecnici!$M399,",","."),0))),4)&amp;""),",",".")&amp;", "&amp;CHAR(34)&amp;"rawScore"&amp;CHAR(34)&amp;": "&amp;SUBSTITUTE(TRIM(ROUND(IFERROR(CriteriTecnici!$O399*1,IFERROR(NUMBERVALUE(CriteriTecnici!$O399,".",","),IFERROR(NUMBERVALUE(CriteriTecnici!$O399,",","."),0))),4)&amp;""),",",".")&amp;CHAR(125)&amp;IF(TRUE,",",""))</f>
        <v/>
      </c>
    </row>
    <row r="501">
      <c r="A501" s="82">
        <f>IF(CriteriTecnici!$A400="","","    "&amp;CHAR(123)&amp;CHAR(34)&amp;"bidderId"&amp;CHAR(34)&amp;": "&amp;CHAR(34)&amp;SUBSTITUTE(CriteriTecnici!$A400,CHAR(34),"'")&amp;CHAR(34)&amp;", "&amp;CHAR(34)&amp;"lotId"&amp;CHAR(34)&amp;": "&amp;CHAR(34)&amp;SUBSTITUTE(CriteriTecnici!$C400,CHAR(34),"'")&amp;CHAR(34)&amp;", "&amp;CHAR(34)&amp;"criterionId"&amp;CHAR(34)&amp;": "&amp;CHAR(34)&amp;SUBSTITUTE(CriteriTecnici!$D400,CHAR(34),"'")&amp;CHAR(34)&amp;", "&amp;CHAR(34)&amp;"kind"&amp;CHAR(34)&amp;": "&amp;CHAR(34)&amp;SUBSTITUTE(CriteriTecnici!$F400,CHAR(34),"'")&amp;CHAR(34)&amp;", "&amp;CHAR(34)&amp;"value"&amp;CHAR(34)&amp;": "&amp;SUBSTITUTE(TRIM(ROUND(IFERROR(CriteriTecnici!$N400*1,IFERROR(NUMBERVALUE(CriteriTecnici!$N400,".",","),IFERROR(NUMBERVALUE(CriteriTecnici!$N400,",","."),0))),4)&amp;""),",",".")&amp;", "&amp;CHAR(34)&amp;"numerator"&amp;CHAR(34)&amp;": "&amp;SUBSTITUTE(TRIM(ROUND(IFERROR(CriteriTecnici!$K400*1,IFERROR(NUMBERVALUE(CriteriTecnici!$K400,".",","),IFERROR(NUMBERVALUE(CriteriTecnici!$K400,",","."),0))),4)&amp;""),",",".")&amp;", "&amp;CHAR(34)&amp;"denominator"&amp;CHAR(34)&amp;": "&amp;SUBSTITUTE(TRIM(ROUND(IFERROR(CriteriTecnici!$L400*1,IFERROR(NUMBERVALUE(CriteriTecnici!$L400,".",","),IFERROR(NUMBERVALUE(CriteriTecnici!$L400,",","."),0))),4)&amp;""),",",".")&amp;", "&amp;CHAR(34)&amp;"flag"&amp;CHAR(34)&amp;": "&amp;SUBSTITUTE(TRIM(ROUND(IFERROR(CriteriTecnici!$M400*1,IFERROR(NUMBERVALUE(CriteriTecnici!$M400,".",","),IFERROR(NUMBERVALUE(CriteriTecnici!$M400,",","."),0))),4)&amp;""),",",".")&amp;", "&amp;CHAR(34)&amp;"rawScore"&amp;CHAR(34)&amp;": "&amp;SUBSTITUTE(TRIM(ROUND(IFERROR(CriteriTecnici!$O400*1,IFERROR(NUMBERVALUE(CriteriTecnici!$O400,".",","),IFERROR(NUMBERVALUE(CriteriTecnici!$O400,",","."),0))),4)&amp;""),",",".")&amp;CHAR(125)&amp;IF(TRUE,",",""))</f>
        <v/>
      </c>
    </row>
    <row r="502">
      <c r="A502" s="82">
        <f>IF(CriteriTecnici!$A401="","","    "&amp;CHAR(123)&amp;CHAR(34)&amp;"bidderId"&amp;CHAR(34)&amp;": "&amp;CHAR(34)&amp;SUBSTITUTE(CriteriTecnici!$A401,CHAR(34),"'")&amp;CHAR(34)&amp;", "&amp;CHAR(34)&amp;"lotId"&amp;CHAR(34)&amp;": "&amp;CHAR(34)&amp;SUBSTITUTE(CriteriTecnici!$C401,CHAR(34),"'")&amp;CHAR(34)&amp;", "&amp;CHAR(34)&amp;"criterionId"&amp;CHAR(34)&amp;": "&amp;CHAR(34)&amp;SUBSTITUTE(CriteriTecnici!$D401,CHAR(34),"'")&amp;CHAR(34)&amp;", "&amp;CHAR(34)&amp;"kind"&amp;CHAR(34)&amp;": "&amp;CHAR(34)&amp;SUBSTITUTE(CriteriTecnici!$F401,CHAR(34),"'")&amp;CHAR(34)&amp;", "&amp;CHAR(34)&amp;"value"&amp;CHAR(34)&amp;": "&amp;SUBSTITUTE(TRIM(ROUND(IFERROR(CriteriTecnici!$N401*1,IFERROR(NUMBERVALUE(CriteriTecnici!$N401,".",","),IFERROR(NUMBERVALUE(CriteriTecnici!$N401,",","."),0))),4)&amp;""),",",".")&amp;", "&amp;CHAR(34)&amp;"numerator"&amp;CHAR(34)&amp;": "&amp;SUBSTITUTE(TRIM(ROUND(IFERROR(CriteriTecnici!$K401*1,IFERROR(NUMBERVALUE(CriteriTecnici!$K401,".",","),IFERROR(NUMBERVALUE(CriteriTecnici!$K401,",","."),0))),4)&amp;""),",",".")&amp;", "&amp;CHAR(34)&amp;"denominator"&amp;CHAR(34)&amp;": "&amp;SUBSTITUTE(TRIM(ROUND(IFERROR(CriteriTecnici!$L401*1,IFERROR(NUMBERVALUE(CriteriTecnici!$L401,".",","),IFERROR(NUMBERVALUE(CriteriTecnici!$L401,",","."),0))),4)&amp;""),",",".")&amp;", "&amp;CHAR(34)&amp;"flag"&amp;CHAR(34)&amp;": "&amp;SUBSTITUTE(TRIM(ROUND(IFERROR(CriteriTecnici!$M401*1,IFERROR(NUMBERVALUE(CriteriTecnici!$M401,".",","),IFERROR(NUMBERVALUE(CriteriTecnici!$M401,",","."),0))),4)&amp;""),",",".")&amp;", "&amp;CHAR(34)&amp;"rawScore"&amp;CHAR(34)&amp;": "&amp;SUBSTITUTE(TRIM(ROUND(IFERROR(CriteriTecnici!$O401*1,IFERROR(NUMBERVALUE(CriteriTecnici!$O401,".",","),IFERROR(NUMBERVALUE(CriteriTecnici!$O401,",","."),0))),4)&amp;""),",",".")&amp;CHAR(125)&amp;IF(TRUE,",",""))</f>
        <v/>
      </c>
    </row>
    <row r="503">
      <c r="A503" s="82">
        <f>IF(CriteriTecnici!$A402="","","    "&amp;CHAR(123)&amp;CHAR(34)&amp;"bidderId"&amp;CHAR(34)&amp;": "&amp;CHAR(34)&amp;SUBSTITUTE(CriteriTecnici!$A402,CHAR(34),"'")&amp;CHAR(34)&amp;", "&amp;CHAR(34)&amp;"lotId"&amp;CHAR(34)&amp;": "&amp;CHAR(34)&amp;SUBSTITUTE(CriteriTecnici!$C402,CHAR(34),"'")&amp;CHAR(34)&amp;", "&amp;CHAR(34)&amp;"criterionId"&amp;CHAR(34)&amp;": "&amp;CHAR(34)&amp;SUBSTITUTE(CriteriTecnici!$D402,CHAR(34),"'")&amp;CHAR(34)&amp;", "&amp;CHAR(34)&amp;"kind"&amp;CHAR(34)&amp;": "&amp;CHAR(34)&amp;SUBSTITUTE(CriteriTecnici!$F402,CHAR(34),"'")&amp;CHAR(34)&amp;", "&amp;CHAR(34)&amp;"value"&amp;CHAR(34)&amp;": "&amp;SUBSTITUTE(TRIM(ROUND(IFERROR(CriteriTecnici!$N402*1,IFERROR(NUMBERVALUE(CriteriTecnici!$N402,".",","),IFERROR(NUMBERVALUE(CriteriTecnici!$N402,",","."),0))),4)&amp;""),",",".")&amp;", "&amp;CHAR(34)&amp;"numerator"&amp;CHAR(34)&amp;": "&amp;SUBSTITUTE(TRIM(ROUND(IFERROR(CriteriTecnici!$K402*1,IFERROR(NUMBERVALUE(CriteriTecnici!$K402,".",","),IFERROR(NUMBERVALUE(CriteriTecnici!$K402,",","."),0))),4)&amp;""),",",".")&amp;", "&amp;CHAR(34)&amp;"denominator"&amp;CHAR(34)&amp;": "&amp;SUBSTITUTE(TRIM(ROUND(IFERROR(CriteriTecnici!$L402*1,IFERROR(NUMBERVALUE(CriteriTecnici!$L402,".",","),IFERROR(NUMBERVALUE(CriteriTecnici!$L402,",","."),0))),4)&amp;""),",",".")&amp;", "&amp;CHAR(34)&amp;"flag"&amp;CHAR(34)&amp;": "&amp;SUBSTITUTE(TRIM(ROUND(IFERROR(CriteriTecnici!$M402*1,IFERROR(NUMBERVALUE(CriteriTecnici!$M402,".",","),IFERROR(NUMBERVALUE(CriteriTecnici!$M402,",","."),0))),4)&amp;""),",",".")&amp;", "&amp;CHAR(34)&amp;"rawScore"&amp;CHAR(34)&amp;": "&amp;SUBSTITUTE(TRIM(ROUND(IFERROR(CriteriTecnici!$O402*1,IFERROR(NUMBERVALUE(CriteriTecnici!$O402,".",","),IFERROR(NUMBERVALUE(CriteriTecnici!$O402,",","."),0))),4)&amp;""),",",".")&amp;CHAR(125)&amp;IF(TRUE,",",""))</f>
        <v/>
      </c>
    </row>
    <row r="504">
      <c r="A504" s="82">
        <f>IF(CriteriTecnici!$A403="","","    "&amp;CHAR(123)&amp;CHAR(34)&amp;"bidderId"&amp;CHAR(34)&amp;": "&amp;CHAR(34)&amp;SUBSTITUTE(CriteriTecnici!$A403,CHAR(34),"'")&amp;CHAR(34)&amp;", "&amp;CHAR(34)&amp;"lotId"&amp;CHAR(34)&amp;": "&amp;CHAR(34)&amp;SUBSTITUTE(CriteriTecnici!$C403,CHAR(34),"'")&amp;CHAR(34)&amp;", "&amp;CHAR(34)&amp;"criterionId"&amp;CHAR(34)&amp;": "&amp;CHAR(34)&amp;SUBSTITUTE(CriteriTecnici!$D403,CHAR(34),"'")&amp;CHAR(34)&amp;", "&amp;CHAR(34)&amp;"kind"&amp;CHAR(34)&amp;": "&amp;CHAR(34)&amp;SUBSTITUTE(CriteriTecnici!$F403,CHAR(34),"'")&amp;CHAR(34)&amp;", "&amp;CHAR(34)&amp;"value"&amp;CHAR(34)&amp;": "&amp;SUBSTITUTE(TRIM(ROUND(IFERROR(CriteriTecnici!$N403*1,IFERROR(NUMBERVALUE(CriteriTecnici!$N403,".",","),IFERROR(NUMBERVALUE(CriteriTecnici!$N403,",","."),0))),4)&amp;""),",",".")&amp;", "&amp;CHAR(34)&amp;"numerator"&amp;CHAR(34)&amp;": "&amp;SUBSTITUTE(TRIM(ROUND(IFERROR(CriteriTecnici!$K403*1,IFERROR(NUMBERVALUE(CriteriTecnici!$K403,".",","),IFERROR(NUMBERVALUE(CriteriTecnici!$K403,",","."),0))),4)&amp;""),",",".")&amp;", "&amp;CHAR(34)&amp;"denominator"&amp;CHAR(34)&amp;": "&amp;SUBSTITUTE(TRIM(ROUND(IFERROR(CriteriTecnici!$L403*1,IFERROR(NUMBERVALUE(CriteriTecnici!$L403,".",","),IFERROR(NUMBERVALUE(CriteriTecnici!$L403,",","."),0))),4)&amp;""),",",".")&amp;", "&amp;CHAR(34)&amp;"flag"&amp;CHAR(34)&amp;": "&amp;SUBSTITUTE(TRIM(ROUND(IFERROR(CriteriTecnici!$M403*1,IFERROR(NUMBERVALUE(CriteriTecnici!$M403,".",","),IFERROR(NUMBERVALUE(CriteriTecnici!$M403,",","."),0))),4)&amp;""),",",".")&amp;", "&amp;CHAR(34)&amp;"rawScore"&amp;CHAR(34)&amp;": "&amp;SUBSTITUTE(TRIM(ROUND(IFERROR(CriteriTecnici!$O403*1,IFERROR(NUMBERVALUE(CriteriTecnici!$O403,".",","),IFERROR(NUMBERVALUE(CriteriTecnici!$O403,",","."),0))),4)&amp;""),",",".")&amp;CHAR(125)&amp;IF(TRUE,",",""))</f>
        <v/>
      </c>
    </row>
    <row r="505">
      <c r="A505" s="82">
        <f>IF(CriteriTecnici!$A404="","","    "&amp;CHAR(123)&amp;CHAR(34)&amp;"bidderId"&amp;CHAR(34)&amp;": "&amp;CHAR(34)&amp;SUBSTITUTE(CriteriTecnici!$A404,CHAR(34),"'")&amp;CHAR(34)&amp;", "&amp;CHAR(34)&amp;"lotId"&amp;CHAR(34)&amp;": "&amp;CHAR(34)&amp;SUBSTITUTE(CriteriTecnici!$C404,CHAR(34),"'")&amp;CHAR(34)&amp;", "&amp;CHAR(34)&amp;"criterionId"&amp;CHAR(34)&amp;": "&amp;CHAR(34)&amp;SUBSTITUTE(CriteriTecnici!$D404,CHAR(34),"'")&amp;CHAR(34)&amp;", "&amp;CHAR(34)&amp;"kind"&amp;CHAR(34)&amp;": "&amp;CHAR(34)&amp;SUBSTITUTE(CriteriTecnici!$F404,CHAR(34),"'")&amp;CHAR(34)&amp;", "&amp;CHAR(34)&amp;"value"&amp;CHAR(34)&amp;": "&amp;SUBSTITUTE(TRIM(ROUND(IFERROR(CriteriTecnici!$N404*1,IFERROR(NUMBERVALUE(CriteriTecnici!$N404,".",","),IFERROR(NUMBERVALUE(CriteriTecnici!$N404,",","."),0))),4)&amp;""),",",".")&amp;", "&amp;CHAR(34)&amp;"numerator"&amp;CHAR(34)&amp;": "&amp;SUBSTITUTE(TRIM(ROUND(IFERROR(CriteriTecnici!$K404*1,IFERROR(NUMBERVALUE(CriteriTecnici!$K404,".",","),IFERROR(NUMBERVALUE(CriteriTecnici!$K404,",","."),0))),4)&amp;""),",",".")&amp;", "&amp;CHAR(34)&amp;"denominator"&amp;CHAR(34)&amp;": "&amp;SUBSTITUTE(TRIM(ROUND(IFERROR(CriteriTecnici!$L404*1,IFERROR(NUMBERVALUE(CriteriTecnici!$L404,".",","),IFERROR(NUMBERVALUE(CriteriTecnici!$L404,",","."),0))),4)&amp;""),",",".")&amp;", "&amp;CHAR(34)&amp;"flag"&amp;CHAR(34)&amp;": "&amp;SUBSTITUTE(TRIM(ROUND(IFERROR(CriteriTecnici!$M404*1,IFERROR(NUMBERVALUE(CriteriTecnici!$M404,".",","),IFERROR(NUMBERVALUE(CriteriTecnici!$M404,",","."),0))),4)&amp;""),",",".")&amp;", "&amp;CHAR(34)&amp;"rawScore"&amp;CHAR(34)&amp;": "&amp;SUBSTITUTE(TRIM(ROUND(IFERROR(CriteriTecnici!$O404*1,IFERROR(NUMBERVALUE(CriteriTecnici!$O404,".",","),IFERROR(NUMBERVALUE(CriteriTecnici!$O404,",","."),0))),4)&amp;""),",",".")&amp;CHAR(125)&amp;IF(TRUE,",",""))</f>
        <v/>
      </c>
    </row>
    <row r="506">
      <c r="A506" s="82">
        <f>IF(CriteriTecnici!$A405="","","    "&amp;CHAR(123)&amp;CHAR(34)&amp;"bidderId"&amp;CHAR(34)&amp;": "&amp;CHAR(34)&amp;SUBSTITUTE(CriteriTecnici!$A405,CHAR(34),"'")&amp;CHAR(34)&amp;", "&amp;CHAR(34)&amp;"lotId"&amp;CHAR(34)&amp;": "&amp;CHAR(34)&amp;SUBSTITUTE(CriteriTecnici!$C405,CHAR(34),"'")&amp;CHAR(34)&amp;", "&amp;CHAR(34)&amp;"criterionId"&amp;CHAR(34)&amp;": "&amp;CHAR(34)&amp;SUBSTITUTE(CriteriTecnici!$D405,CHAR(34),"'")&amp;CHAR(34)&amp;", "&amp;CHAR(34)&amp;"kind"&amp;CHAR(34)&amp;": "&amp;CHAR(34)&amp;SUBSTITUTE(CriteriTecnici!$F405,CHAR(34),"'")&amp;CHAR(34)&amp;", "&amp;CHAR(34)&amp;"value"&amp;CHAR(34)&amp;": "&amp;SUBSTITUTE(TRIM(ROUND(IFERROR(CriteriTecnici!$N405*1,IFERROR(NUMBERVALUE(CriteriTecnici!$N405,".",","),IFERROR(NUMBERVALUE(CriteriTecnici!$N405,",","."),0))),4)&amp;""),",",".")&amp;", "&amp;CHAR(34)&amp;"numerator"&amp;CHAR(34)&amp;": "&amp;SUBSTITUTE(TRIM(ROUND(IFERROR(CriteriTecnici!$K405*1,IFERROR(NUMBERVALUE(CriteriTecnici!$K405,".",","),IFERROR(NUMBERVALUE(CriteriTecnici!$K405,",","."),0))),4)&amp;""),",",".")&amp;", "&amp;CHAR(34)&amp;"denominator"&amp;CHAR(34)&amp;": "&amp;SUBSTITUTE(TRIM(ROUND(IFERROR(CriteriTecnici!$L405*1,IFERROR(NUMBERVALUE(CriteriTecnici!$L405,".",","),IFERROR(NUMBERVALUE(CriteriTecnici!$L405,",","."),0))),4)&amp;""),",",".")&amp;", "&amp;CHAR(34)&amp;"flag"&amp;CHAR(34)&amp;": "&amp;SUBSTITUTE(TRIM(ROUND(IFERROR(CriteriTecnici!$M405*1,IFERROR(NUMBERVALUE(CriteriTecnici!$M405,".",","),IFERROR(NUMBERVALUE(CriteriTecnici!$M405,",","."),0))),4)&amp;""),",",".")&amp;", "&amp;CHAR(34)&amp;"rawScore"&amp;CHAR(34)&amp;": "&amp;SUBSTITUTE(TRIM(ROUND(IFERROR(CriteriTecnici!$O405*1,IFERROR(NUMBERVALUE(CriteriTecnici!$O405,".",","),IFERROR(NUMBERVALUE(CriteriTecnici!$O405,",","."),0))),4)&amp;""),",",".")&amp;CHAR(125)&amp;IF(TRUE,",",""))</f>
        <v/>
      </c>
    </row>
    <row r="507">
      <c r="A507" s="82">
        <f>IF(CriteriTecnici!$A406="","","    "&amp;CHAR(123)&amp;CHAR(34)&amp;"bidderId"&amp;CHAR(34)&amp;": "&amp;CHAR(34)&amp;SUBSTITUTE(CriteriTecnici!$A406,CHAR(34),"'")&amp;CHAR(34)&amp;", "&amp;CHAR(34)&amp;"lotId"&amp;CHAR(34)&amp;": "&amp;CHAR(34)&amp;SUBSTITUTE(CriteriTecnici!$C406,CHAR(34),"'")&amp;CHAR(34)&amp;", "&amp;CHAR(34)&amp;"criterionId"&amp;CHAR(34)&amp;": "&amp;CHAR(34)&amp;SUBSTITUTE(CriteriTecnici!$D406,CHAR(34),"'")&amp;CHAR(34)&amp;", "&amp;CHAR(34)&amp;"kind"&amp;CHAR(34)&amp;": "&amp;CHAR(34)&amp;SUBSTITUTE(CriteriTecnici!$F406,CHAR(34),"'")&amp;CHAR(34)&amp;", "&amp;CHAR(34)&amp;"value"&amp;CHAR(34)&amp;": "&amp;SUBSTITUTE(TRIM(ROUND(IFERROR(CriteriTecnici!$N406*1,IFERROR(NUMBERVALUE(CriteriTecnici!$N406,".",","),IFERROR(NUMBERVALUE(CriteriTecnici!$N406,",","."),0))),4)&amp;""),",",".")&amp;", "&amp;CHAR(34)&amp;"numerator"&amp;CHAR(34)&amp;": "&amp;SUBSTITUTE(TRIM(ROUND(IFERROR(CriteriTecnici!$K406*1,IFERROR(NUMBERVALUE(CriteriTecnici!$K406,".",","),IFERROR(NUMBERVALUE(CriteriTecnici!$K406,",","."),0))),4)&amp;""),",",".")&amp;", "&amp;CHAR(34)&amp;"denominator"&amp;CHAR(34)&amp;": "&amp;SUBSTITUTE(TRIM(ROUND(IFERROR(CriteriTecnici!$L406*1,IFERROR(NUMBERVALUE(CriteriTecnici!$L406,".",","),IFERROR(NUMBERVALUE(CriteriTecnici!$L406,",","."),0))),4)&amp;""),",",".")&amp;", "&amp;CHAR(34)&amp;"flag"&amp;CHAR(34)&amp;": "&amp;SUBSTITUTE(TRIM(ROUND(IFERROR(CriteriTecnici!$M406*1,IFERROR(NUMBERVALUE(CriteriTecnici!$M406,".",","),IFERROR(NUMBERVALUE(CriteriTecnici!$M406,",","."),0))),4)&amp;""),",",".")&amp;", "&amp;CHAR(34)&amp;"rawScore"&amp;CHAR(34)&amp;": "&amp;SUBSTITUTE(TRIM(ROUND(IFERROR(CriteriTecnici!$O406*1,IFERROR(NUMBERVALUE(CriteriTecnici!$O406,".",","),IFERROR(NUMBERVALUE(CriteriTecnici!$O406,",","."),0))),4)&amp;""),",",".")&amp;CHAR(125)&amp;IF(TRUE,",",""))</f>
        <v/>
      </c>
    </row>
    <row r="508">
      <c r="A508" s="82">
        <f>IF(CriteriTecnici!$A407="","","    "&amp;CHAR(123)&amp;CHAR(34)&amp;"bidderId"&amp;CHAR(34)&amp;": "&amp;CHAR(34)&amp;SUBSTITUTE(CriteriTecnici!$A407,CHAR(34),"'")&amp;CHAR(34)&amp;", "&amp;CHAR(34)&amp;"lotId"&amp;CHAR(34)&amp;": "&amp;CHAR(34)&amp;SUBSTITUTE(CriteriTecnici!$C407,CHAR(34),"'")&amp;CHAR(34)&amp;", "&amp;CHAR(34)&amp;"criterionId"&amp;CHAR(34)&amp;": "&amp;CHAR(34)&amp;SUBSTITUTE(CriteriTecnici!$D407,CHAR(34),"'")&amp;CHAR(34)&amp;", "&amp;CHAR(34)&amp;"kind"&amp;CHAR(34)&amp;": "&amp;CHAR(34)&amp;SUBSTITUTE(CriteriTecnici!$F407,CHAR(34),"'")&amp;CHAR(34)&amp;", "&amp;CHAR(34)&amp;"value"&amp;CHAR(34)&amp;": "&amp;SUBSTITUTE(TRIM(ROUND(IFERROR(CriteriTecnici!$N407*1,IFERROR(NUMBERVALUE(CriteriTecnici!$N407,".",","),IFERROR(NUMBERVALUE(CriteriTecnici!$N407,",","."),0))),4)&amp;""),",",".")&amp;", "&amp;CHAR(34)&amp;"numerator"&amp;CHAR(34)&amp;": "&amp;SUBSTITUTE(TRIM(ROUND(IFERROR(CriteriTecnici!$K407*1,IFERROR(NUMBERVALUE(CriteriTecnici!$K407,".",","),IFERROR(NUMBERVALUE(CriteriTecnici!$K407,",","."),0))),4)&amp;""),",",".")&amp;", "&amp;CHAR(34)&amp;"denominator"&amp;CHAR(34)&amp;": "&amp;SUBSTITUTE(TRIM(ROUND(IFERROR(CriteriTecnici!$L407*1,IFERROR(NUMBERVALUE(CriteriTecnici!$L407,".",","),IFERROR(NUMBERVALUE(CriteriTecnici!$L407,",","."),0))),4)&amp;""),",",".")&amp;", "&amp;CHAR(34)&amp;"flag"&amp;CHAR(34)&amp;": "&amp;SUBSTITUTE(TRIM(ROUND(IFERROR(CriteriTecnici!$M407*1,IFERROR(NUMBERVALUE(CriteriTecnici!$M407,".",","),IFERROR(NUMBERVALUE(CriteriTecnici!$M407,",","."),0))),4)&amp;""),",",".")&amp;", "&amp;CHAR(34)&amp;"rawScore"&amp;CHAR(34)&amp;": "&amp;SUBSTITUTE(TRIM(ROUND(IFERROR(CriteriTecnici!$O407*1,IFERROR(NUMBERVALUE(CriteriTecnici!$O407,".",","),IFERROR(NUMBERVALUE(CriteriTecnici!$O407,",","."),0))),4)&amp;""),",",".")&amp;CHAR(125)&amp;IF(COUNTA(Offerte!$A15:$A$81)&gt;0,",",""))</f>
        <v/>
      </c>
    </row>
    <row r="509">
      <c r="A509" s="82">
        <f>IF(CriteriTecnici!$A408="","","    "&amp;CHAR(123)&amp;CHAR(34)&amp;"bidderId"&amp;CHAR(34)&amp;": "&amp;CHAR(34)&amp;SUBSTITUTE(CriteriTecnici!$A408,CHAR(34),"'")&amp;CHAR(34)&amp;", "&amp;CHAR(34)&amp;"lotId"&amp;CHAR(34)&amp;": "&amp;CHAR(34)&amp;SUBSTITUTE(CriteriTecnici!$C408,CHAR(34),"'")&amp;CHAR(34)&amp;", "&amp;CHAR(34)&amp;"criterionId"&amp;CHAR(34)&amp;": "&amp;CHAR(34)&amp;SUBSTITUTE(CriteriTecnici!$D408,CHAR(34),"'")&amp;CHAR(34)&amp;", "&amp;CHAR(34)&amp;"kind"&amp;CHAR(34)&amp;": "&amp;CHAR(34)&amp;SUBSTITUTE(CriteriTecnici!$F408,CHAR(34),"'")&amp;CHAR(34)&amp;", "&amp;CHAR(34)&amp;"value"&amp;CHAR(34)&amp;": "&amp;SUBSTITUTE(TRIM(ROUND(IFERROR(CriteriTecnici!$N408*1,IFERROR(NUMBERVALUE(CriteriTecnici!$N408,".",","),IFERROR(NUMBERVALUE(CriteriTecnici!$N408,",","."),0))),4)&amp;""),",",".")&amp;", "&amp;CHAR(34)&amp;"numerator"&amp;CHAR(34)&amp;": "&amp;SUBSTITUTE(TRIM(ROUND(IFERROR(CriteriTecnici!$K408*1,IFERROR(NUMBERVALUE(CriteriTecnici!$K408,".",","),IFERROR(NUMBERVALUE(CriteriTecnici!$K408,",","."),0))),4)&amp;""),",",".")&amp;", "&amp;CHAR(34)&amp;"denominator"&amp;CHAR(34)&amp;": "&amp;SUBSTITUTE(TRIM(ROUND(IFERROR(CriteriTecnici!$L408*1,IFERROR(NUMBERVALUE(CriteriTecnici!$L408,".",","),IFERROR(NUMBERVALUE(CriteriTecnici!$L408,",","."),0))),4)&amp;""),",",".")&amp;", "&amp;CHAR(34)&amp;"flag"&amp;CHAR(34)&amp;": "&amp;SUBSTITUTE(TRIM(ROUND(IFERROR(CriteriTecnici!$M408*1,IFERROR(NUMBERVALUE(CriteriTecnici!$M408,".",","),IFERROR(NUMBERVALUE(CriteriTecnici!$M408,",","."),0))),4)&amp;""),",",".")&amp;", "&amp;CHAR(34)&amp;"rawScore"&amp;CHAR(34)&amp;": "&amp;SUBSTITUTE(TRIM(ROUND(IFERROR(CriteriTecnici!$O408*1,IFERROR(NUMBERVALUE(CriteriTecnici!$O408,".",","),IFERROR(NUMBERVALUE(CriteriTecnici!$O408,",","."),0))),4)&amp;""),",",".")&amp;CHAR(125)&amp;IF(TRUE,",",""))</f>
        <v/>
      </c>
    </row>
    <row r="510">
      <c r="A510" s="82">
        <f>IF(CriteriTecnici!$A409="","","    "&amp;CHAR(123)&amp;CHAR(34)&amp;"bidderId"&amp;CHAR(34)&amp;": "&amp;CHAR(34)&amp;SUBSTITUTE(CriteriTecnici!$A409,CHAR(34),"'")&amp;CHAR(34)&amp;", "&amp;CHAR(34)&amp;"lotId"&amp;CHAR(34)&amp;": "&amp;CHAR(34)&amp;SUBSTITUTE(CriteriTecnici!$C409,CHAR(34),"'")&amp;CHAR(34)&amp;", "&amp;CHAR(34)&amp;"criterionId"&amp;CHAR(34)&amp;": "&amp;CHAR(34)&amp;SUBSTITUTE(CriteriTecnici!$D409,CHAR(34),"'")&amp;CHAR(34)&amp;", "&amp;CHAR(34)&amp;"kind"&amp;CHAR(34)&amp;": "&amp;CHAR(34)&amp;SUBSTITUTE(CriteriTecnici!$F409,CHAR(34),"'")&amp;CHAR(34)&amp;", "&amp;CHAR(34)&amp;"value"&amp;CHAR(34)&amp;": "&amp;SUBSTITUTE(TRIM(ROUND(IFERROR(CriteriTecnici!$N409*1,IFERROR(NUMBERVALUE(CriteriTecnici!$N409,".",","),IFERROR(NUMBERVALUE(CriteriTecnici!$N409,",","."),0))),4)&amp;""),",",".")&amp;", "&amp;CHAR(34)&amp;"numerator"&amp;CHAR(34)&amp;": "&amp;SUBSTITUTE(TRIM(ROUND(IFERROR(CriteriTecnici!$K409*1,IFERROR(NUMBERVALUE(CriteriTecnici!$K409,".",","),IFERROR(NUMBERVALUE(CriteriTecnici!$K409,",","."),0))),4)&amp;""),",",".")&amp;", "&amp;CHAR(34)&amp;"denominator"&amp;CHAR(34)&amp;": "&amp;SUBSTITUTE(TRIM(ROUND(IFERROR(CriteriTecnici!$L409*1,IFERROR(NUMBERVALUE(CriteriTecnici!$L409,".",","),IFERROR(NUMBERVALUE(CriteriTecnici!$L409,",","."),0))),4)&amp;""),",",".")&amp;", "&amp;CHAR(34)&amp;"flag"&amp;CHAR(34)&amp;": "&amp;SUBSTITUTE(TRIM(ROUND(IFERROR(CriteriTecnici!$M409*1,IFERROR(NUMBERVALUE(CriteriTecnici!$M409,".",","),IFERROR(NUMBERVALUE(CriteriTecnici!$M409,",","."),0))),4)&amp;""),",",".")&amp;", "&amp;CHAR(34)&amp;"rawScore"&amp;CHAR(34)&amp;": "&amp;SUBSTITUTE(TRIM(ROUND(IFERROR(CriteriTecnici!$O409*1,IFERROR(NUMBERVALUE(CriteriTecnici!$O409,".",","),IFERROR(NUMBERVALUE(CriteriTecnici!$O409,",","."),0))),4)&amp;""),",",".")&amp;CHAR(125)&amp;IF(TRUE,",",""))</f>
        <v/>
      </c>
    </row>
    <row r="511">
      <c r="A511" s="82">
        <f>IF(CriteriTecnici!$A410="","","    "&amp;CHAR(123)&amp;CHAR(34)&amp;"bidderId"&amp;CHAR(34)&amp;": "&amp;CHAR(34)&amp;SUBSTITUTE(CriteriTecnici!$A410,CHAR(34),"'")&amp;CHAR(34)&amp;", "&amp;CHAR(34)&amp;"lotId"&amp;CHAR(34)&amp;": "&amp;CHAR(34)&amp;SUBSTITUTE(CriteriTecnici!$C410,CHAR(34),"'")&amp;CHAR(34)&amp;", "&amp;CHAR(34)&amp;"criterionId"&amp;CHAR(34)&amp;": "&amp;CHAR(34)&amp;SUBSTITUTE(CriteriTecnici!$D410,CHAR(34),"'")&amp;CHAR(34)&amp;", "&amp;CHAR(34)&amp;"kind"&amp;CHAR(34)&amp;": "&amp;CHAR(34)&amp;SUBSTITUTE(CriteriTecnici!$F410,CHAR(34),"'")&amp;CHAR(34)&amp;", "&amp;CHAR(34)&amp;"value"&amp;CHAR(34)&amp;": "&amp;SUBSTITUTE(TRIM(ROUND(IFERROR(CriteriTecnici!$N410*1,IFERROR(NUMBERVALUE(CriteriTecnici!$N410,".",","),IFERROR(NUMBERVALUE(CriteriTecnici!$N410,",","."),0))),4)&amp;""),",",".")&amp;", "&amp;CHAR(34)&amp;"numerator"&amp;CHAR(34)&amp;": "&amp;SUBSTITUTE(TRIM(ROUND(IFERROR(CriteriTecnici!$K410*1,IFERROR(NUMBERVALUE(CriteriTecnici!$K410,".",","),IFERROR(NUMBERVALUE(CriteriTecnici!$K410,",","."),0))),4)&amp;""),",",".")&amp;", "&amp;CHAR(34)&amp;"denominator"&amp;CHAR(34)&amp;": "&amp;SUBSTITUTE(TRIM(ROUND(IFERROR(CriteriTecnici!$L410*1,IFERROR(NUMBERVALUE(CriteriTecnici!$L410,".",","),IFERROR(NUMBERVALUE(CriteriTecnici!$L410,",","."),0))),4)&amp;""),",",".")&amp;", "&amp;CHAR(34)&amp;"flag"&amp;CHAR(34)&amp;": "&amp;SUBSTITUTE(TRIM(ROUND(IFERROR(CriteriTecnici!$M410*1,IFERROR(NUMBERVALUE(CriteriTecnici!$M410,".",","),IFERROR(NUMBERVALUE(CriteriTecnici!$M410,",","."),0))),4)&amp;""),",",".")&amp;", "&amp;CHAR(34)&amp;"rawScore"&amp;CHAR(34)&amp;": "&amp;SUBSTITUTE(TRIM(ROUND(IFERROR(CriteriTecnici!$O410*1,IFERROR(NUMBERVALUE(CriteriTecnici!$O410,".",","),IFERROR(NUMBERVALUE(CriteriTecnici!$O410,",","."),0))),4)&amp;""),",",".")&amp;CHAR(125)&amp;IF(TRUE,",",""))</f>
        <v/>
      </c>
    </row>
    <row r="512">
      <c r="A512" s="82">
        <f>IF(CriteriTecnici!$A411="","","    "&amp;CHAR(123)&amp;CHAR(34)&amp;"bidderId"&amp;CHAR(34)&amp;": "&amp;CHAR(34)&amp;SUBSTITUTE(CriteriTecnici!$A411,CHAR(34),"'")&amp;CHAR(34)&amp;", "&amp;CHAR(34)&amp;"lotId"&amp;CHAR(34)&amp;": "&amp;CHAR(34)&amp;SUBSTITUTE(CriteriTecnici!$C411,CHAR(34),"'")&amp;CHAR(34)&amp;", "&amp;CHAR(34)&amp;"criterionId"&amp;CHAR(34)&amp;": "&amp;CHAR(34)&amp;SUBSTITUTE(CriteriTecnici!$D411,CHAR(34),"'")&amp;CHAR(34)&amp;", "&amp;CHAR(34)&amp;"kind"&amp;CHAR(34)&amp;": "&amp;CHAR(34)&amp;SUBSTITUTE(CriteriTecnici!$F411,CHAR(34),"'")&amp;CHAR(34)&amp;", "&amp;CHAR(34)&amp;"value"&amp;CHAR(34)&amp;": "&amp;SUBSTITUTE(TRIM(ROUND(IFERROR(CriteriTecnici!$N411*1,IFERROR(NUMBERVALUE(CriteriTecnici!$N411,".",","),IFERROR(NUMBERVALUE(CriteriTecnici!$N411,",","."),0))),4)&amp;""),",",".")&amp;", "&amp;CHAR(34)&amp;"numerator"&amp;CHAR(34)&amp;": "&amp;SUBSTITUTE(TRIM(ROUND(IFERROR(CriteriTecnici!$K411*1,IFERROR(NUMBERVALUE(CriteriTecnici!$K411,".",","),IFERROR(NUMBERVALUE(CriteriTecnici!$K411,",","."),0))),4)&amp;""),",",".")&amp;", "&amp;CHAR(34)&amp;"denominator"&amp;CHAR(34)&amp;": "&amp;SUBSTITUTE(TRIM(ROUND(IFERROR(CriteriTecnici!$L411*1,IFERROR(NUMBERVALUE(CriteriTecnici!$L411,".",","),IFERROR(NUMBERVALUE(CriteriTecnici!$L411,",","."),0))),4)&amp;""),",",".")&amp;", "&amp;CHAR(34)&amp;"flag"&amp;CHAR(34)&amp;": "&amp;SUBSTITUTE(TRIM(ROUND(IFERROR(CriteriTecnici!$M411*1,IFERROR(NUMBERVALUE(CriteriTecnici!$M411,".",","),IFERROR(NUMBERVALUE(CriteriTecnici!$M411,",","."),0))),4)&amp;""),",",".")&amp;", "&amp;CHAR(34)&amp;"rawScore"&amp;CHAR(34)&amp;": "&amp;SUBSTITUTE(TRIM(ROUND(IFERROR(CriteriTecnici!$O411*1,IFERROR(NUMBERVALUE(CriteriTecnici!$O411,".",","),IFERROR(NUMBERVALUE(CriteriTecnici!$O411,",","."),0))),4)&amp;""),",",".")&amp;CHAR(125)&amp;IF(TRUE,",",""))</f>
        <v/>
      </c>
    </row>
    <row r="513">
      <c r="A513" s="82">
        <f>IF(CriteriTecnici!$A412="","","    "&amp;CHAR(123)&amp;CHAR(34)&amp;"bidderId"&amp;CHAR(34)&amp;": "&amp;CHAR(34)&amp;SUBSTITUTE(CriteriTecnici!$A412,CHAR(34),"'")&amp;CHAR(34)&amp;", "&amp;CHAR(34)&amp;"lotId"&amp;CHAR(34)&amp;": "&amp;CHAR(34)&amp;SUBSTITUTE(CriteriTecnici!$C412,CHAR(34),"'")&amp;CHAR(34)&amp;", "&amp;CHAR(34)&amp;"criterionId"&amp;CHAR(34)&amp;": "&amp;CHAR(34)&amp;SUBSTITUTE(CriteriTecnici!$D412,CHAR(34),"'")&amp;CHAR(34)&amp;", "&amp;CHAR(34)&amp;"kind"&amp;CHAR(34)&amp;": "&amp;CHAR(34)&amp;SUBSTITUTE(CriteriTecnici!$F412,CHAR(34),"'")&amp;CHAR(34)&amp;", "&amp;CHAR(34)&amp;"value"&amp;CHAR(34)&amp;": "&amp;SUBSTITUTE(TRIM(ROUND(IFERROR(CriteriTecnici!$N412*1,IFERROR(NUMBERVALUE(CriteriTecnici!$N412,".",","),IFERROR(NUMBERVALUE(CriteriTecnici!$N412,",","."),0))),4)&amp;""),",",".")&amp;", "&amp;CHAR(34)&amp;"numerator"&amp;CHAR(34)&amp;": "&amp;SUBSTITUTE(TRIM(ROUND(IFERROR(CriteriTecnici!$K412*1,IFERROR(NUMBERVALUE(CriteriTecnici!$K412,".",","),IFERROR(NUMBERVALUE(CriteriTecnici!$K412,",","."),0))),4)&amp;""),",",".")&amp;", "&amp;CHAR(34)&amp;"denominator"&amp;CHAR(34)&amp;": "&amp;SUBSTITUTE(TRIM(ROUND(IFERROR(CriteriTecnici!$L412*1,IFERROR(NUMBERVALUE(CriteriTecnici!$L412,".",","),IFERROR(NUMBERVALUE(CriteriTecnici!$L412,",","."),0))),4)&amp;""),",",".")&amp;", "&amp;CHAR(34)&amp;"flag"&amp;CHAR(34)&amp;": "&amp;SUBSTITUTE(TRIM(ROUND(IFERROR(CriteriTecnici!$M412*1,IFERROR(NUMBERVALUE(CriteriTecnici!$M412,".",","),IFERROR(NUMBERVALUE(CriteriTecnici!$M412,",","."),0))),4)&amp;""),",",".")&amp;", "&amp;CHAR(34)&amp;"rawScore"&amp;CHAR(34)&amp;": "&amp;SUBSTITUTE(TRIM(ROUND(IFERROR(CriteriTecnici!$O412*1,IFERROR(NUMBERVALUE(CriteriTecnici!$O412,".",","),IFERROR(NUMBERVALUE(CriteriTecnici!$O412,",","."),0))),4)&amp;""),",",".")&amp;CHAR(125)&amp;IF(TRUE,",",""))</f>
        <v/>
      </c>
    </row>
    <row r="514">
      <c r="A514" s="82">
        <f>IF(CriteriTecnici!$A413="","","    "&amp;CHAR(123)&amp;CHAR(34)&amp;"bidderId"&amp;CHAR(34)&amp;": "&amp;CHAR(34)&amp;SUBSTITUTE(CriteriTecnici!$A413,CHAR(34),"'")&amp;CHAR(34)&amp;", "&amp;CHAR(34)&amp;"lotId"&amp;CHAR(34)&amp;": "&amp;CHAR(34)&amp;SUBSTITUTE(CriteriTecnici!$C413,CHAR(34),"'")&amp;CHAR(34)&amp;", "&amp;CHAR(34)&amp;"criterionId"&amp;CHAR(34)&amp;": "&amp;CHAR(34)&amp;SUBSTITUTE(CriteriTecnici!$D413,CHAR(34),"'")&amp;CHAR(34)&amp;", "&amp;CHAR(34)&amp;"kind"&amp;CHAR(34)&amp;": "&amp;CHAR(34)&amp;SUBSTITUTE(CriteriTecnici!$F413,CHAR(34),"'")&amp;CHAR(34)&amp;", "&amp;CHAR(34)&amp;"value"&amp;CHAR(34)&amp;": "&amp;SUBSTITUTE(TRIM(ROUND(IFERROR(CriteriTecnici!$N413*1,IFERROR(NUMBERVALUE(CriteriTecnici!$N413,".",","),IFERROR(NUMBERVALUE(CriteriTecnici!$N413,",","."),0))),4)&amp;""),",",".")&amp;", "&amp;CHAR(34)&amp;"numerator"&amp;CHAR(34)&amp;": "&amp;SUBSTITUTE(TRIM(ROUND(IFERROR(CriteriTecnici!$K413*1,IFERROR(NUMBERVALUE(CriteriTecnici!$K413,".",","),IFERROR(NUMBERVALUE(CriteriTecnici!$K413,",","."),0))),4)&amp;""),",",".")&amp;", "&amp;CHAR(34)&amp;"denominator"&amp;CHAR(34)&amp;": "&amp;SUBSTITUTE(TRIM(ROUND(IFERROR(CriteriTecnici!$L413*1,IFERROR(NUMBERVALUE(CriteriTecnici!$L413,".",","),IFERROR(NUMBERVALUE(CriteriTecnici!$L413,",","."),0))),4)&amp;""),",",".")&amp;", "&amp;CHAR(34)&amp;"flag"&amp;CHAR(34)&amp;": "&amp;SUBSTITUTE(TRIM(ROUND(IFERROR(CriteriTecnici!$M413*1,IFERROR(NUMBERVALUE(CriteriTecnici!$M413,".",","),IFERROR(NUMBERVALUE(CriteriTecnici!$M413,",","."),0))),4)&amp;""),",",".")&amp;", "&amp;CHAR(34)&amp;"rawScore"&amp;CHAR(34)&amp;": "&amp;SUBSTITUTE(TRIM(ROUND(IFERROR(CriteriTecnici!$O413*1,IFERROR(NUMBERVALUE(CriteriTecnici!$O413,".",","),IFERROR(NUMBERVALUE(CriteriTecnici!$O413,",","."),0))),4)&amp;""),",",".")&amp;CHAR(125)&amp;IF(TRUE,",",""))</f>
        <v/>
      </c>
    </row>
    <row r="515">
      <c r="A515" s="82">
        <f>IF(CriteriTecnici!$A414="","","    "&amp;CHAR(123)&amp;CHAR(34)&amp;"bidderId"&amp;CHAR(34)&amp;": "&amp;CHAR(34)&amp;SUBSTITUTE(CriteriTecnici!$A414,CHAR(34),"'")&amp;CHAR(34)&amp;", "&amp;CHAR(34)&amp;"lotId"&amp;CHAR(34)&amp;": "&amp;CHAR(34)&amp;SUBSTITUTE(CriteriTecnici!$C414,CHAR(34),"'")&amp;CHAR(34)&amp;", "&amp;CHAR(34)&amp;"criterionId"&amp;CHAR(34)&amp;": "&amp;CHAR(34)&amp;SUBSTITUTE(CriteriTecnici!$D414,CHAR(34),"'")&amp;CHAR(34)&amp;", "&amp;CHAR(34)&amp;"kind"&amp;CHAR(34)&amp;": "&amp;CHAR(34)&amp;SUBSTITUTE(CriteriTecnici!$F414,CHAR(34),"'")&amp;CHAR(34)&amp;", "&amp;CHAR(34)&amp;"value"&amp;CHAR(34)&amp;": "&amp;SUBSTITUTE(TRIM(ROUND(IFERROR(CriteriTecnici!$N414*1,IFERROR(NUMBERVALUE(CriteriTecnici!$N414,".",","),IFERROR(NUMBERVALUE(CriteriTecnici!$N414,",","."),0))),4)&amp;""),",",".")&amp;", "&amp;CHAR(34)&amp;"numerator"&amp;CHAR(34)&amp;": "&amp;SUBSTITUTE(TRIM(ROUND(IFERROR(CriteriTecnici!$K414*1,IFERROR(NUMBERVALUE(CriteriTecnici!$K414,".",","),IFERROR(NUMBERVALUE(CriteriTecnici!$K414,",","."),0))),4)&amp;""),",",".")&amp;", "&amp;CHAR(34)&amp;"denominator"&amp;CHAR(34)&amp;": "&amp;SUBSTITUTE(TRIM(ROUND(IFERROR(CriteriTecnici!$L414*1,IFERROR(NUMBERVALUE(CriteriTecnici!$L414,".",","),IFERROR(NUMBERVALUE(CriteriTecnici!$L414,",","."),0))),4)&amp;""),",",".")&amp;", "&amp;CHAR(34)&amp;"flag"&amp;CHAR(34)&amp;": "&amp;SUBSTITUTE(TRIM(ROUND(IFERROR(CriteriTecnici!$M414*1,IFERROR(NUMBERVALUE(CriteriTecnici!$M414,".",","),IFERROR(NUMBERVALUE(CriteriTecnici!$M414,",","."),0))),4)&amp;""),",",".")&amp;", "&amp;CHAR(34)&amp;"rawScore"&amp;CHAR(34)&amp;": "&amp;SUBSTITUTE(TRIM(ROUND(IFERROR(CriteriTecnici!$O414*1,IFERROR(NUMBERVALUE(CriteriTecnici!$O414,".",","),IFERROR(NUMBERVALUE(CriteriTecnici!$O414,",","."),0))),4)&amp;""),",",".")&amp;CHAR(125)&amp;IF(TRUE,",",""))</f>
        <v/>
      </c>
    </row>
    <row r="516">
      <c r="A516" s="82">
        <f>IF(CriteriTecnici!$A415="","","    "&amp;CHAR(123)&amp;CHAR(34)&amp;"bidderId"&amp;CHAR(34)&amp;": "&amp;CHAR(34)&amp;SUBSTITUTE(CriteriTecnici!$A415,CHAR(34),"'")&amp;CHAR(34)&amp;", "&amp;CHAR(34)&amp;"lotId"&amp;CHAR(34)&amp;": "&amp;CHAR(34)&amp;SUBSTITUTE(CriteriTecnici!$C415,CHAR(34),"'")&amp;CHAR(34)&amp;", "&amp;CHAR(34)&amp;"criterionId"&amp;CHAR(34)&amp;": "&amp;CHAR(34)&amp;SUBSTITUTE(CriteriTecnici!$D415,CHAR(34),"'")&amp;CHAR(34)&amp;", "&amp;CHAR(34)&amp;"kind"&amp;CHAR(34)&amp;": "&amp;CHAR(34)&amp;SUBSTITUTE(CriteriTecnici!$F415,CHAR(34),"'")&amp;CHAR(34)&amp;", "&amp;CHAR(34)&amp;"value"&amp;CHAR(34)&amp;": "&amp;SUBSTITUTE(TRIM(ROUND(IFERROR(CriteriTecnici!$N415*1,IFERROR(NUMBERVALUE(CriteriTecnici!$N415,".",","),IFERROR(NUMBERVALUE(CriteriTecnici!$N415,",","."),0))),4)&amp;""),",",".")&amp;", "&amp;CHAR(34)&amp;"numerator"&amp;CHAR(34)&amp;": "&amp;SUBSTITUTE(TRIM(ROUND(IFERROR(CriteriTecnici!$K415*1,IFERROR(NUMBERVALUE(CriteriTecnici!$K415,".",","),IFERROR(NUMBERVALUE(CriteriTecnici!$K415,",","."),0))),4)&amp;""),",",".")&amp;", "&amp;CHAR(34)&amp;"denominator"&amp;CHAR(34)&amp;": "&amp;SUBSTITUTE(TRIM(ROUND(IFERROR(CriteriTecnici!$L415*1,IFERROR(NUMBERVALUE(CriteriTecnici!$L415,".",","),IFERROR(NUMBERVALUE(CriteriTecnici!$L415,",","."),0))),4)&amp;""),",",".")&amp;", "&amp;CHAR(34)&amp;"flag"&amp;CHAR(34)&amp;": "&amp;SUBSTITUTE(TRIM(ROUND(IFERROR(CriteriTecnici!$M415*1,IFERROR(NUMBERVALUE(CriteriTecnici!$M415,".",","),IFERROR(NUMBERVALUE(CriteriTecnici!$M415,",","."),0))),4)&amp;""),",",".")&amp;", "&amp;CHAR(34)&amp;"rawScore"&amp;CHAR(34)&amp;": "&amp;SUBSTITUTE(TRIM(ROUND(IFERROR(CriteriTecnici!$O415*1,IFERROR(NUMBERVALUE(CriteriTecnici!$O415,".",","),IFERROR(NUMBERVALUE(CriteriTecnici!$O415,",","."),0))),4)&amp;""),",",".")&amp;CHAR(125)&amp;IF(TRUE,",",""))</f>
        <v/>
      </c>
    </row>
    <row r="517">
      <c r="A517" s="82">
        <f>IF(CriteriTecnici!$A416="","","    "&amp;CHAR(123)&amp;CHAR(34)&amp;"bidderId"&amp;CHAR(34)&amp;": "&amp;CHAR(34)&amp;SUBSTITUTE(CriteriTecnici!$A416,CHAR(34),"'")&amp;CHAR(34)&amp;", "&amp;CHAR(34)&amp;"lotId"&amp;CHAR(34)&amp;": "&amp;CHAR(34)&amp;SUBSTITUTE(CriteriTecnici!$C416,CHAR(34),"'")&amp;CHAR(34)&amp;", "&amp;CHAR(34)&amp;"criterionId"&amp;CHAR(34)&amp;": "&amp;CHAR(34)&amp;SUBSTITUTE(CriteriTecnici!$D416,CHAR(34),"'")&amp;CHAR(34)&amp;", "&amp;CHAR(34)&amp;"kind"&amp;CHAR(34)&amp;": "&amp;CHAR(34)&amp;SUBSTITUTE(CriteriTecnici!$F416,CHAR(34),"'")&amp;CHAR(34)&amp;", "&amp;CHAR(34)&amp;"value"&amp;CHAR(34)&amp;": "&amp;SUBSTITUTE(TRIM(ROUND(IFERROR(CriteriTecnici!$N416*1,IFERROR(NUMBERVALUE(CriteriTecnici!$N416,".",","),IFERROR(NUMBERVALUE(CriteriTecnici!$N416,",","."),0))),4)&amp;""),",",".")&amp;", "&amp;CHAR(34)&amp;"numerator"&amp;CHAR(34)&amp;": "&amp;SUBSTITUTE(TRIM(ROUND(IFERROR(CriteriTecnici!$K416*1,IFERROR(NUMBERVALUE(CriteriTecnici!$K416,".",","),IFERROR(NUMBERVALUE(CriteriTecnici!$K416,",","."),0))),4)&amp;""),",",".")&amp;", "&amp;CHAR(34)&amp;"denominator"&amp;CHAR(34)&amp;": "&amp;SUBSTITUTE(TRIM(ROUND(IFERROR(CriteriTecnici!$L416*1,IFERROR(NUMBERVALUE(CriteriTecnici!$L416,".",","),IFERROR(NUMBERVALUE(CriteriTecnici!$L416,",","."),0))),4)&amp;""),",",".")&amp;", "&amp;CHAR(34)&amp;"flag"&amp;CHAR(34)&amp;": "&amp;SUBSTITUTE(TRIM(ROUND(IFERROR(CriteriTecnici!$M416*1,IFERROR(NUMBERVALUE(CriteriTecnici!$M416,".",","),IFERROR(NUMBERVALUE(CriteriTecnici!$M416,",","."),0))),4)&amp;""),",",".")&amp;", "&amp;CHAR(34)&amp;"rawScore"&amp;CHAR(34)&amp;": "&amp;SUBSTITUTE(TRIM(ROUND(IFERROR(CriteriTecnici!$O416*1,IFERROR(NUMBERVALUE(CriteriTecnici!$O416,".",","),IFERROR(NUMBERVALUE(CriteriTecnici!$O416,",","."),0))),4)&amp;""),",",".")&amp;CHAR(125)&amp;IF(TRUE,",",""))</f>
        <v/>
      </c>
    </row>
    <row r="518">
      <c r="A518" s="82">
        <f>IF(CriteriTecnici!$A417="","","    "&amp;CHAR(123)&amp;CHAR(34)&amp;"bidderId"&amp;CHAR(34)&amp;": "&amp;CHAR(34)&amp;SUBSTITUTE(CriteriTecnici!$A417,CHAR(34),"'")&amp;CHAR(34)&amp;", "&amp;CHAR(34)&amp;"lotId"&amp;CHAR(34)&amp;": "&amp;CHAR(34)&amp;SUBSTITUTE(CriteriTecnici!$C417,CHAR(34),"'")&amp;CHAR(34)&amp;", "&amp;CHAR(34)&amp;"criterionId"&amp;CHAR(34)&amp;": "&amp;CHAR(34)&amp;SUBSTITUTE(CriteriTecnici!$D417,CHAR(34),"'")&amp;CHAR(34)&amp;", "&amp;CHAR(34)&amp;"kind"&amp;CHAR(34)&amp;": "&amp;CHAR(34)&amp;SUBSTITUTE(CriteriTecnici!$F417,CHAR(34),"'")&amp;CHAR(34)&amp;", "&amp;CHAR(34)&amp;"value"&amp;CHAR(34)&amp;": "&amp;SUBSTITUTE(TRIM(ROUND(IFERROR(CriteriTecnici!$N417*1,IFERROR(NUMBERVALUE(CriteriTecnici!$N417,".",","),IFERROR(NUMBERVALUE(CriteriTecnici!$N417,",","."),0))),4)&amp;""),",",".")&amp;", "&amp;CHAR(34)&amp;"numerator"&amp;CHAR(34)&amp;": "&amp;SUBSTITUTE(TRIM(ROUND(IFERROR(CriteriTecnici!$K417*1,IFERROR(NUMBERVALUE(CriteriTecnici!$K417,".",","),IFERROR(NUMBERVALUE(CriteriTecnici!$K417,",","."),0))),4)&amp;""),",",".")&amp;", "&amp;CHAR(34)&amp;"denominator"&amp;CHAR(34)&amp;": "&amp;SUBSTITUTE(TRIM(ROUND(IFERROR(CriteriTecnici!$L417*1,IFERROR(NUMBERVALUE(CriteriTecnici!$L417,".",","),IFERROR(NUMBERVALUE(CriteriTecnici!$L417,",","."),0))),4)&amp;""),",",".")&amp;", "&amp;CHAR(34)&amp;"flag"&amp;CHAR(34)&amp;": "&amp;SUBSTITUTE(TRIM(ROUND(IFERROR(CriteriTecnici!$M417*1,IFERROR(NUMBERVALUE(CriteriTecnici!$M417,".",","),IFERROR(NUMBERVALUE(CriteriTecnici!$M417,",","."),0))),4)&amp;""),",",".")&amp;", "&amp;CHAR(34)&amp;"rawScore"&amp;CHAR(34)&amp;": "&amp;SUBSTITUTE(TRIM(ROUND(IFERROR(CriteriTecnici!$O417*1,IFERROR(NUMBERVALUE(CriteriTecnici!$O417,".",","),IFERROR(NUMBERVALUE(CriteriTecnici!$O417,",","."),0))),4)&amp;""),",",".")&amp;CHAR(125)&amp;IF(TRUE,",",""))</f>
        <v/>
      </c>
    </row>
    <row r="519">
      <c r="A519" s="82">
        <f>IF(CriteriTecnici!$A418="","","    "&amp;CHAR(123)&amp;CHAR(34)&amp;"bidderId"&amp;CHAR(34)&amp;": "&amp;CHAR(34)&amp;SUBSTITUTE(CriteriTecnici!$A418,CHAR(34),"'")&amp;CHAR(34)&amp;", "&amp;CHAR(34)&amp;"lotId"&amp;CHAR(34)&amp;": "&amp;CHAR(34)&amp;SUBSTITUTE(CriteriTecnici!$C418,CHAR(34),"'")&amp;CHAR(34)&amp;", "&amp;CHAR(34)&amp;"criterionId"&amp;CHAR(34)&amp;": "&amp;CHAR(34)&amp;SUBSTITUTE(CriteriTecnici!$D418,CHAR(34),"'")&amp;CHAR(34)&amp;", "&amp;CHAR(34)&amp;"kind"&amp;CHAR(34)&amp;": "&amp;CHAR(34)&amp;SUBSTITUTE(CriteriTecnici!$F418,CHAR(34),"'")&amp;CHAR(34)&amp;", "&amp;CHAR(34)&amp;"value"&amp;CHAR(34)&amp;": "&amp;SUBSTITUTE(TRIM(ROUND(IFERROR(CriteriTecnici!$N418*1,IFERROR(NUMBERVALUE(CriteriTecnici!$N418,".",","),IFERROR(NUMBERVALUE(CriteriTecnici!$N418,",","."),0))),4)&amp;""),",",".")&amp;", "&amp;CHAR(34)&amp;"numerator"&amp;CHAR(34)&amp;": "&amp;SUBSTITUTE(TRIM(ROUND(IFERROR(CriteriTecnici!$K418*1,IFERROR(NUMBERVALUE(CriteriTecnici!$K418,".",","),IFERROR(NUMBERVALUE(CriteriTecnici!$K418,",","."),0))),4)&amp;""),",",".")&amp;", "&amp;CHAR(34)&amp;"denominator"&amp;CHAR(34)&amp;": "&amp;SUBSTITUTE(TRIM(ROUND(IFERROR(CriteriTecnici!$L418*1,IFERROR(NUMBERVALUE(CriteriTecnici!$L418,".",","),IFERROR(NUMBERVALUE(CriteriTecnici!$L418,",","."),0))),4)&amp;""),",",".")&amp;", "&amp;CHAR(34)&amp;"flag"&amp;CHAR(34)&amp;": "&amp;SUBSTITUTE(TRIM(ROUND(IFERROR(CriteriTecnici!$M418*1,IFERROR(NUMBERVALUE(CriteriTecnici!$M418,".",","),IFERROR(NUMBERVALUE(CriteriTecnici!$M418,",","."),0))),4)&amp;""),",",".")&amp;", "&amp;CHAR(34)&amp;"rawScore"&amp;CHAR(34)&amp;": "&amp;SUBSTITUTE(TRIM(ROUND(IFERROR(CriteriTecnici!$O418*1,IFERROR(NUMBERVALUE(CriteriTecnici!$O418,".",","),IFERROR(NUMBERVALUE(CriteriTecnici!$O418,",","."),0))),4)&amp;""),",",".")&amp;CHAR(125)&amp;IF(TRUE,",",""))</f>
        <v/>
      </c>
    </row>
    <row r="520">
      <c r="A520" s="82">
        <f>IF(CriteriTecnici!$A419="","","    "&amp;CHAR(123)&amp;CHAR(34)&amp;"bidderId"&amp;CHAR(34)&amp;": "&amp;CHAR(34)&amp;SUBSTITUTE(CriteriTecnici!$A419,CHAR(34),"'")&amp;CHAR(34)&amp;", "&amp;CHAR(34)&amp;"lotId"&amp;CHAR(34)&amp;": "&amp;CHAR(34)&amp;SUBSTITUTE(CriteriTecnici!$C419,CHAR(34),"'")&amp;CHAR(34)&amp;", "&amp;CHAR(34)&amp;"criterionId"&amp;CHAR(34)&amp;": "&amp;CHAR(34)&amp;SUBSTITUTE(CriteriTecnici!$D419,CHAR(34),"'")&amp;CHAR(34)&amp;", "&amp;CHAR(34)&amp;"kind"&amp;CHAR(34)&amp;": "&amp;CHAR(34)&amp;SUBSTITUTE(CriteriTecnici!$F419,CHAR(34),"'")&amp;CHAR(34)&amp;", "&amp;CHAR(34)&amp;"value"&amp;CHAR(34)&amp;": "&amp;SUBSTITUTE(TRIM(ROUND(IFERROR(CriteriTecnici!$N419*1,IFERROR(NUMBERVALUE(CriteriTecnici!$N419,".",","),IFERROR(NUMBERVALUE(CriteriTecnici!$N419,",","."),0))),4)&amp;""),",",".")&amp;", "&amp;CHAR(34)&amp;"numerator"&amp;CHAR(34)&amp;": "&amp;SUBSTITUTE(TRIM(ROUND(IFERROR(CriteriTecnici!$K419*1,IFERROR(NUMBERVALUE(CriteriTecnici!$K419,".",","),IFERROR(NUMBERVALUE(CriteriTecnici!$K419,",","."),0))),4)&amp;""),",",".")&amp;", "&amp;CHAR(34)&amp;"denominator"&amp;CHAR(34)&amp;": "&amp;SUBSTITUTE(TRIM(ROUND(IFERROR(CriteriTecnici!$L419*1,IFERROR(NUMBERVALUE(CriteriTecnici!$L419,".",","),IFERROR(NUMBERVALUE(CriteriTecnici!$L419,",","."),0))),4)&amp;""),",",".")&amp;", "&amp;CHAR(34)&amp;"flag"&amp;CHAR(34)&amp;": "&amp;SUBSTITUTE(TRIM(ROUND(IFERROR(CriteriTecnici!$M419*1,IFERROR(NUMBERVALUE(CriteriTecnici!$M419,".",","),IFERROR(NUMBERVALUE(CriteriTecnici!$M419,",","."),0))),4)&amp;""),",",".")&amp;", "&amp;CHAR(34)&amp;"rawScore"&amp;CHAR(34)&amp;": "&amp;SUBSTITUTE(TRIM(ROUND(IFERROR(CriteriTecnici!$O419*1,IFERROR(NUMBERVALUE(CriteriTecnici!$O419,".",","),IFERROR(NUMBERVALUE(CriteriTecnici!$O419,",","."),0))),4)&amp;""),",",".")&amp;CHAR(125)&amp;IF(TRUE,",",""))</f>
        <v/>
      </c>
    </row>
    <row r="521">
      <c r="A521" s="82">
        <f>IF(CriteriTecnici!$A420="","","    "&amp;CHAR(123)&amp;CHAR(34)&amp;"bidderId"&amp;CHAR(34)&amp;": "&amp;CHAR(34)&amp;SUBSTITUTE(CriteriTecnici!$A420,CHAR(34),"'")&amp;CHAR(34)&amp;", "&amp;CHAR(34)&amp;"lotId"&amp;CHAR(34)&amp;": "&amp;CHAR(34)&amp;SUBSTITUTE(CriteriTecnici!$C420,CHAR(34),"'")&amp;CHAR(34)&amp;", "&amp;CHAR(34)&amp;"criterionId"&amp;CHAR(34)&amp;": "&amp;CHAR(34)&amp;SUBSTITUTE(CriteriTecnici!$D420,CHAR(34),"'")&amp;CHAR(34)&amp;", "&amp;CHAR(34)&amp;"kind"&amp;CHAR(34)&amp;": "&amp;CHAR(34)&amp;SUBSTITUTE(CriteriTecnici!$F420,CHAR(34),"'")&amp;CHAR(34)&amp;", "&amp;CHAR(34)&amp;"value"&amp;CHAR(34)&amp;": "&amp;SUBSTITUTE(TRIM(ROUND(IFERROR(CriteriTecnici!$N420*1,IFERROR(NUMBERVALUE(CriteriTecnici!$N420,".",","),IFERROR(NUMBERVALUE(CriteriTecnici!$N420,",","."),0))),4)&amp;""),",",".")&amp;", "&amp;CHAR(34)&amp;"numerator"&amp;CHAR(34)&amp;": "&amp;SUBSTITUTE(TRIM(ROUND(IFERROR(CriteriTecnici!$K420*1,IFERROR(NUMBERVALUE(CriteriTecnici!$K420,".",","),IFERROR(NUMBERVALUE(CriteriTecnici!$K420,",","."),0))),4)&amp;""),",",".")&amp;", "&amp;CHAR(34)&amp;"denominator"&amp;CHAR(34)&amp;": "&amp;SUBSTITUTE(TRIM(ROUND(IFERROR(CriteriTecnici!$L420*1,IFERROR(NUMBERVALUE(CriteriTecnici!$L420,".",","),IFERROR(NUMBERVALUE(CriteriTecnici!$L420,",","."),0))),4)&amp;""),",",".")&amp;", "&amp;CHAR(34)&amp;"flag"&amp;CHAR(34)&amp;": "&amp;SUBSTITUTE(TRIM(ROUND(IFERROR(CriteriTecnici!$M420*1,IFERROR(NUMBERVALUE(CriteriTecnici!$M420,".",","),IFERROR(NUMBERVALUE(CriteriTecnici!$M420,",","."),0))),4)&amp;""),",",".")&amp;", "&amp;CHAR(34)&amp;"rawScore"&amp;CHAR(34)&amp;": "&amp;SUBSTITUTE(TRIM(ROUND(IFERROR(CriteriTecnici!$O420*1,IFERROR(NUMBERVALUE(CriteriTecnici!$O420,".",","),IFERROR(NUMBERVALUE(CriteriTecnici!$O420,",","."),0))),4)&amp;""),",",".")&amp;CHAR(125)&amp;IF(TRUE,",",""))</f>
        <v/>
      </c>
    </row>
    <row r="522">
      <c r="A522" s="82">
        <f>IF(CriteriTecnici!$A421="","","    "&amp;CHAR(123)&amp;CHAR(34)&amp;"bidderId"&amp;CHAR(34)&amp;": "&amp;CHAR(34)&amp;SUBSTITUTE(CriteriTecnici!$A421,CHAR(34),"'")&amp;CHAR(34)&amp;", "&amp;CHAR(34)&amp;"lotId"&amp;CHAR(34)&amp;": "&amp;CHAR(34)&amp;SUBSTITUTE(CriteriTecnici!$C421,CHAR(34),"'")&amp;CHAR(34)&amp;", "&amp;CHAR(34)&amp;"criterionId"&amp;CHAR(34)&amp;": "&amp;CHAR(34)&amp;SUBSTITUTE(CriteriTecnici!$D421,CHAR(34),"'")&amp;CHAR(34)&amp;", "&amp;CHAR(34)&amp;"kind"&amp;CHAR(34)&amp;": "&amp;CHAR(34)&amp;SUBSTITUTE(CriteriTecnici!$F421,CHAR(34),"'")&amp;CHAR(34)&amp;", "&amp;CHAR(34)&amp;"value"&amp;CHAR(34)&amp;": "&amp;SUBSTITUTE(TRIM(ROUND(IFERROR(CriteriTecnici!$N421*1,IFERROR(NUMBERVALUE(CriteriTecnici!$N421,".",","),IFERROR(NUMBERVALUE(CriteriTecnici!$N421,",","."),0))),4)&amp;""),",",".")&amp;", "&amp;CHAR(34)&amp;"numerator"&amp;CHAR(34)&amp;": "&amp;SUBSTITUTE(TRIM(ROUND(IFERROR(CriteriTecnici!$K421*1,IFERROR(NUMBERVALUE(CriteriTecnici!$K421,".",","),IFERROR(NUMBERVALUE(CriteriTecnici!$K421,",","."),0))),4)&amp;""),",",".")&amp;", "&amp;CHAR(34)&amp;"denominator"&amp;CHAR(34)&amp;": "&amp;SUBSTITUTE(TRIM(ROUND(IFERROR(CriteriTecnici!$L421*1,IFERROR(NUMBERVALUE(CriteriTecnici!$L421,".",","),IFERROR(NUMBERVALUE(CriteriTecnici!$L421,",","."),0))),4)&amp;""),",",".")&amp;", "&amp;CHAR(34)&amp;"flag"&amp;CHAR(34)&amp;": "&amp;SUBSTITUTE(TRIM(ROUND(IFERROR(CriteriTecnici!$M421*1,IFERROR(NUMBERVALUE(CriteriTecnici!$M421,".",","),IFERROR(NUMBERVALUE(CriteriTecnici!$M421,",","."),0))),4)&amp;""),",",".")&amp;", "&amp;CHAR(34)&amp;"rawScore"&amp;CHAR(34)&amp;": "&amp;SUBSTITUTE(TRIM(ROUND(IFERROR(CriteriTecnici!$O421*1,IFERROR(NUMBERVALUE(CriteriTecnici!$O421,".",","),IFERROR(NUMBERVALUE(CriteriTecnici!$O421,",","."),0))),4)&amp;""),",",".")&amp;CHAR(125)&amp;IF(TRUE,",",""))</f>
        <v/>
      </c>
    </row>
    <row r="523">
      <c r="A523" s="82">
        <f>IF(CriteriTecnici!$A422="","","    "&amp;CHAR(123)&amp;CHAR(34)&amp;"bidderId"&amp;CHAR(34)&amp;": "&amp;CHAR(34)&amp;SUBSTITUTE(CriteriTecnici!$A422,CHAR(34),"'")&amp;CHAR(34)&amp;", "&amp;CHAR(34)&amp;"lotId"&amp;CHAR(34)&amp;": "&amp;CHAR(34)&amp;SUBSTITUTE(CriteriTecnici!$C422,CHAR(34),"'")&amp;CHAR(34)&amp;", "&amp;CHAR(34)&amp;"criterionId"&amp;CHAR(34)&amp;": "&amp;CHAR(34)&amp;SUBSTITUTE(CriteriTecnici!$D422,CHAR(34),"'")&amp;CHAR(34)&amp;", "&amp;CHAR(34)&amp;"kind"&amp;CHAR(34)&amp;": "&amp;CHAR(34)&amp;SUBSTITUTE(CriteriTecnici!$F422,CHAR(34),"'")&amp;CHAR(34)&amp;", "&amp;CHAR(34)&amp;"value"&amp;CHAR(34)&amp;": "&amp;SUBSTITUTE(TRIM(ROUND(IFERROR(CriteriTecnici!$N422*1,IFERROR(NUMBERVALUE(CriteriTecnici!$N422,".",","),IFERROR(NUMBERVALUE(CriteriTecnici!$N422,",","."),0))),4)&amp;""),",",".")&amp;", "&amp;CHAR(34)&amp;"numerator"&amp;CHAR(34)&amp;": "&amp;SUBSTITUTE(TRIM(ROUND(IFERROR(CriteriTecnici!$K422*1,IFERROR(NUMBERVALUE(CriteriTecnici!$K422,".",","),IFERROR(NUMBERVALUE(CriteriTecnici!$K422,",","."),0))),4)&amp;""),",",".")&amp;", "&amp;CHAR(34)&amp;"denominator"&amp;CHAR(34)&amp;": "&amp;SUBSTITUTE(TRIM(ROUND(IFERROR(CriteriTecnici!$L422*1,IFERROR(NUMBERVALUE(CriteriTecnici!$L422,".",","),IFERROR(NUMBERVALUE(CriteriTecnici!$L422,",","."),0))),4)&amp;""),",",".")&amp;", "&amp;CHAR(34)&amp;"flag"&amp;CHAR(34)&amp;": "&amp;SUBSTITUTE(TRIM(ROUND(IFERROR(CriteriTecnici!$M422*1,IFERROR(NUMBERVALUE(CriteriTecnici!$M422,".",","),IFERROR(NUMBERVALUE(CriteriTecnici!$M422,",","."),0))),4)&amp;""),",",".")&amp;", "&amp;CHAR(34)&amp;"rawScore"&amp;CHAR(34)&amp;": "&amp;SUBSTITUTE(TRIM(ROUND(IFERROR(CriteriTecnici!$O422*1,IFERROR(NUMBERVALUE(CriteriTecnici!$O422,".",","),IFERROR(NUMBERVALUE(CriteriTecnici!$O422,",","."),0))),4)&amp;""),",",".")&amp;CHAR(125)&amp;IF(TRUE,",",""))</f>
        <v/>
      </c>
    </row>
    <row r="524">
      <c r="A524" s="82">
        <f>IF(CriteriTecnici!$A423="","","    "&amp;CHAR(123)&amp;CHAR(34)&amp;"bidderId"&amp;CHAR(34)&amp;": "&amp;CHAR(34)&amp;SUBSTITUTE(CriteriTecnici!$A423,CHAR(34),"'")&amp;CHAR(34)&amp;", "&amp;CHAR(34)&amp;"lotId"&amp;CHAR(34)&amp;": "&amp;CHAR(34)&amp;SUBSTITUTE(CriteriTecnici!$C423,CHAR(34),"'")&amp;CHAR(34)&amp;", "&amp;CHAR(34)&amp;"criterionId"&amp;CHAR(34)&amp;": "&amp;CHAR(34)&amp;SUBSTITUTE(CriteriTecnici!$D423,CHAR(34),"'")&amp;CHAR(34)&amp;", "&amp;CHAR(34)&amp;"kind"&amp;CHAR(34)&amp;": "&amp;CHAR(34)&amp;SUBSTITUTE(CriteriTecnici!$F423,CHAR(34),"'")&amp;CHAR(34)&amp;", "&amp;CHAR(34)&amp;"value"&amp;CHAR(34)&amp;": "&amp;SUBSTITUTE(TRIM(ROUND(IFERROR(CriteriTecnici!$N423*1,IFERROR(NUMBERVALUE(CriteriTecnici!$N423,".",","),IFERROR(NUMBERVALUE(CriteriTecnici!$N423,",","."),0))),4)&amp;""),",",".")&amp;", "&amp;CHAR(34)&amp;"numerator"&amp;CHAR(34)&amp;": "&amp;SUBSTITUTE(TRIM(ROUND(IFERROR(CriteriTecnici!$K423*1,IFERROR(NUMBERVALUE(CriteriTecnici!$K423,".",","),IFERROR(NUMBERVALUE(CriteriTecnici!$K423,",","."),0))),4)&amp;""),",",".")&amp;", "&amp;CHAR(34)&amp;"denominator"&amp;CHAR(34)&amp;": "&amp;SUBSTITUTE(TRIM(ROUND(IFERROR(CriteriTecnici!$L423*1,IFERROR(NUMBERVALUE(CriteriTecnici!$L423,".",","),IFERROR(NUMBERVALUE(CriteriTecnici!$L423,",","."),0))),4)&amp;""),",",".")&amp;", "&amp;CHAR(34)&amp;"flag"&amp;CHAR(34)&amp;": "&amp;SUBSTITUTE(TRIM(ROUND(IFERROR(CriteriTecnici!$M423*1,IFERROR(NUMBERVALUE(CriteriTecnici!$M423,".",","),IFERROR(NUMBERVALUE(CriteriTecnici!$M423,",","."),0))),4)&amp;""),",",".")&amp;", "&amp;CHAR(34)&amp;"rawScore"&amp;CHAR(34)&amp;": "&amp;SUBSTITUTE(TRIM(ROUND(IFERROR(CriteriTecnici!$O423*1,IFERROR(NUMBERVALUE(CriteriTecnici!$O423,".",","),IFERROR(NUMBERVALUE(CriteriTecnici!$O423,",","."),0))),4)&amp;""),",",".")&amp;CHAR(125)&amp;IF(TRUE,",",""))</f>
        <v/>
      </c>
    </row>
    <row r="525">
      <c r="A525" s="82">
        <f>IF(CriteriTecnici!$A424="","","    "&amp;CHAR(123)&amp;CHAR(34)&amp;"bidderId"&amp;CHAR(34)&amp;": "&amp;CHAR(34)&amp;SUBSTITUTE(CriteriTecnici!$A424,CHAR(34),"'")&amp;CHAR(34)&amp;", "&amp;CHAR(34)&amp;"lotId"&amp;CHAR(34)&amp;": "&amp;CHAR(34)&amp;SUBSTITUTE(CriteriTecnici!$C424,CHAR(34),"'")&amp;CHAR(34)&amp;", "&amp;CHAR(34)&amp;"criterionId"&amp;CHAR(34)&amp;": "&amp;CHAR(34)&amp;SUBSTITUTE(CriteriTecnici!$D424,CHAR(34),"'")&amp;CHAR(34)&amp;", "&amp;CHAR(34)&amp;"kind"&amp;CHAR(34)&amp;": "&amp;CHAR(34)&amp;SUBSTITUTE(CriteriTecnici!$F424,CHAR(34),"'")&amp;CHAR(34)&amp;", "&amp;CHAR(34)&amp;"value"&amp;CHAR(34)&amp;": "&amp;SUBSTITUTE(TRIM(ROUND(IFERROR(CriteriTecnici!$N424*1,IFERROR(NUMBERVALUE(CriteriTecnici!$N424,".",","),IFERROR(NUMBERVALUE(CriteriTecnici!$N424,",","."),0))),4)&amp;""),",",".")&amp;", "&amp;CHAR(34)&amp;"numerator"&amp;CHAR(34)&amp;": "&amp;SUBSTITUTE(TRIM(ROUND(IFERROR(CriteriTecnici!$K424*1,IFERROR(NUMBERVALUE(CriteriTecnici!$K424,".",","),IFERROR(NUMBERVALUE(CriteriTecnici!$K424,",","."),0))),4)&amp;""),",",".")&amp;", "&amp;CHAR(34)&amp;"denominator"&amp;CHAR(34)&amp;": "&amp;SUBSTITUTE(TRIM(ROUND(IFERROR(CriteriTecnici!$L424*1,IFERROR(NUMBERVALUE(CriteriTecnici!$L424,".",","),IFERROR(NUMBERVALUE(CriteriTecnici!$L424,",","."),0))),4)&amp;""),",",".")&amp;", "&amp;CHAR(34)&amp;"flag"&amp;CHAR(34)&amp;": "&amp;SUBSTITUTE(TRIM(ROUND(IFERROR(CriteriTecnici!$M424*1,IFERROR(NUMBERVALUE(CriteriTecnici!$M424,".",","),IFERROR(NUMBERVALUE(CriteriTecnici!$M424,",","."),0))),4)&amp;""),",",".")&amp;", "&amp;CHAR(34)&amp;"rawScore"&amp;CHAR(34)&amp;": "&amp;SUBSTITUTE(TRIM(ROUND(IFERROR(CriteriTecnici!$O424*1,IFERROR(NUMBERVALUE(CriteriTecnici!$O424,".",","),IFERROR(NUMBERVALUE(CriteriTecnici!$O424,",","."),0))),4)&amp;""),",",".")&amp;CHAR(125)&amp;IF(TRUE,",",""))</f>
        <v/>
      </c>
    </row>
    <row r="526">
      <c r="A526" s="82">
        <f>IF(CriteriTecnici!$A425="","","    "&amp;CHAR(123)&amp;CHAR(34)&amp;"bidderId"&amp;CHAR(34)&amp;": "&amp;CHAR(34)&amp;SUBSTITUTE(CriteriTecnici!$A425,CHAR(34),"'")&amp;CHAR(34)&amp;", "&amp;CHAR(34)&amp;"lotId"&amp;CHAR(34)&amp;": "&amp;CHAR(34)&amp;SUBSTITUTE(CriteriTecnici!$C425,CHAR(34),"'")&amp;CHAR(34)&amp;", "&amp;CHAR(34)&amp;"criterionId"&amp;CHAR(34)&amp;": "&amp;CHAR(34)&amp;SUBSTITUTE(CriteriTecnici!$D425,CHAR(34),"'")&amp;CHAR(34)&amp;", "&amp;CHAR(34)&amp;"kind"&amp;CHAR(34)&amp;": "&amp;CHAR(34)&amp;SUBSTITUTE(CriteriTecnici!$F425,CHAR(34),"'")&amp;CHAR(34)&amp;", "&amp;CHAR(34)&amp;"value"&amp;CHAR(34)&amp;": "&amp;SUBSTITUTE(TRIM(ROUND(IFERROR(CriteriTecnici!$N425*1,IFERROR(NUMBERVALUE(CriteriTecnici!$N425,".",","),IFERROR(NUMBERVALUE(CriteriTecnici!$N425,",","."),0))),4)&amp;""),",",".")&amp;", "&amp;CHAR(34)&amp;"numerator"&amp;CHAR(34)&amp;": "&amp;SUBSTITUTE(TRIM(ROUND(IFERROR(CriteriTecnici!$K425*1,IFERROR(NUMBERVALUE(CriteriTecnici!$K425,".",","),IFERROR(NUMBERVALUE(CriteriTecnici!$K425,",","."),0))),4)&amp;""),",",".")&amp;", "&amp;CHAR(34)&amp;"denominator"&amp;CHAR(34)&amp;": "&amp;SUBSTITUTE(TRIM(ROUND(IFERROR(CriteriTecnici!$L425*1,IFERROR(NUMBERVALUE(CriteriTecnici!$L425,".",","),IFERROR(NUMBERVALUE(CriteriTecnici!$L425,",","."),0))),4)&amp;""),",",".")&amp;", "&amp;CHAR(34)&amp;"flag"&amp;CHAR(34)&amp;": "&amp;SUBSTITUTE(TRIM(ROUND(IFERROR(CriteriTecnici!$M425*1,IFERROR(NUMBERVALUE(CriteriTecnici!$M425,".",","),IFERROR(NUMBERVALUE(CriteriTecnici!$M425,",","."),0))),4)&amp;""),",",".")&amp;", "&amp;CHAR(34)&amp;"rawScore"&amp;CHAR(34)&amp;": "&amp;SUBSTITUTE(TRIM(ROUND(IFERROR(CriteriTecnici!$O425*1,IFERROR(NUMBERVALUE(CriteriTecnici!$O425,".",","),IFERROR(NUMBERVALUE(CriteriTecnici!$O425,",","."),0))),4)&amp;""),",",".")&amp;CHAR(125)&amp;IF(TRUE,",",""))</f>
        <v/>
      </c>
    </row>
    <row r="527">
      <c r="A527" s="82">
        <f>IF(CriteriTecnici!$A426="","","    "&amp;CHAR(123)&amp;CHAR(34)&amp;"bidderId"&amp;CHAR(34)&amp;": "&amp;CHAR(34)&amp;SUBSTITUTE(CriteriTecnici!$A426,CHAR(34),"'")&amp;CHAR(34)&amp;", "&amp;CHAR(34)&amp;"lotId"&amp;CHAR(34)&amp;": "&amp;CHAR(34)&amp;SUBSTITUTE(CriteriTecnici!$C426,CHAR(34),"'")&amp;CHAR(34)&amp;", "&amp;CHAR(34)&amp;"criterionId"&amp;CHAR(34)&amp;": "&amp;CHAR(34)&amp;SUBSTITUTE(CriteriTecnici!$D426,CHAR(34),"'")&amp;CHAR(34)&amp;", "&amp;CHAR(34)&amp;"kind"&amp;CHAR(34)&amp;": "&amp;CHAR(34)&amp;SUBSTITUTE(CriteriTecnici!$F426,CHAR(34),"'")&amp;CHAR(34)&amp;", "&amp;CHAR(34)&amp;"value"&amp;CHAR(34)&amp;": "&amp;SUBSTITUTE(TRIM(ROUND(IFERROR(CriteriTecnici!$N426*1,IFERROR(NUMBERVALUE(CriteriTecnici!$N426,".",","),IFERROR(NUMBERVALUE(CriteriTecnici!$N426,",","."),0))),4)&amp;""),",",".")&amp;", "&amp;CHAR(34)&amp;"numerator"&amp;CHAR(34)&amp;": "&amp;SUBSTITUTE(TRIM(ROUND(IFERROR(CriteriTecnici!$K426*1,IFERROR(NUMBERVALUE(CriteriTecnici!$K426,".",","),IFERROR(NUMBERVALUE(CriteriTecnici!$K426,",","."),0))),4)&amp;""),",",".")&amp;", "&amp;CHAR(34)&amp;"denominator"&amp;CHAR(34)&amp;": "&amp;SUBSTITUTE(TRIM(ROUND(IFERROR(CriteriTecnici!$L426*1,IFERROR(NUMBERVALUE(CriteriTecnici!$L426,".",","),IFERROR(NUMBERVALUE(CriteriTecnici!$L426,",","."),0))),4)&amp;""),",",".")&amp;", "&amp;CHAR(34)&amp;"flag"&amp;CHAR(34)&amp;": "&amp;SUBSTITUTE(TRIM(ROUND(IFERROR(CriteriTecnici!$M426*1,IFERROR(NUMBERVALUE(CriteriTecnici!$M426,".",","),IFERROR(NUMBERVALUE(CriteriTecnici!$M426,",","."),0))),4)&amp;""),",",".")&amp;", "&amp;CHAR(34)&amp;"rawScore"&amp;CHAR(34)&amp;": "&amp;SUBSTITUTE(TRIM(ROUND(IFERROR(CriteriTecnici!$O426*1,IFERROR(NUMBERVALUE(CriteriTecnici!$O426,".",","),IFERROR(NUMBERVALUE(CriteriTecnici!$O426,",","."),0))),4)&amp;""),",",".")&amp;CHAR(125)&amp;IF(TRUE,",",""))</f>
        <v/>
      </c>
    </row>
    <row r="528">
      <c r="A528" s="82">
        <f>IF(CriteriTecnici!$A427="","","    "&amp;CHAR(123)&amp;CHAR(34)&amp;"bidderId"&amp;CHAR(34)&amp;": "&amp;CHAR(34)&amp;SUBSTITUTE(CriteriTecnici!$A427,CHAR(34),"'")&amp;CHAR(34)&amp;", "&amp;CHAR(34)&amp;"lotId"&amp;CHAR(34)&amp;": "&amp;CHAR(34)&amp;SUBSTITUTE(CriteriTecnici!$C427,CHAR(34),"'")&amp;CHAR(34)&amp;", "&amp;CHAR(34)&amp;"criterionId"&amp;CHAR(34)&amp;": "&amp;CHAR(34)&amp;SUBSTITUTE(CriteriTecnici!$D427,CHAR(34),"'")&amp;CHAR(34)&amp;", "&amp;CHAR(34)&amp;"kind"&amp;CHAR(34)&amp;": "&amp;CHAR(34)&amp;SUBSTITUTE(CriteriTecnici!$F427,CHAR(34),"'")&amp;CHAR(34)&amp;", "&amp;CHAR(34)&amp;"value"&amp;CHAR(34)&amp;": "&amp;SUBSTITUTE(TRIM(ROUND(IFERROR(CriteriTecnici!$N427*1,IFERROR(NUMBERVALUE(CriteriTecnici!$N427,".",","),IFERROR(NUMBERVALUE(CriteriTecnici!$N427,",","."),0))),4)&amp;""),",",".")&amp;", "&amp;CHAR(34)&amp;"numerator"&amp;CHAR(34)&amp;": "&amp;SUBSTITUTE(TRIM(ROUND(IFERROR(CriteriTecnici!$K427*1,IFERROR(NUMBERVALUE(CriteriTecnici!$K427,".",","),IFERROR(NUMBERVALUE(CriteriTecnici!$K427,",","."),0))),4)&amp;""),",",".")&amp;", "&amp;CHAR(34)&amp;"denominator"&amp;CHAR(34)&amp;": "&amp;SUBSTITUTE(TRIM(ROUND(IFERROR(CriteriTecnici!$L427*1,IFERROR(NUMBERVALUE(CriteriTecnici!$L427,".",","),IFERROR(NUMBERVALUE(CriteriTecnici!$L427,",","."),0))),4)&amp;""),",",".")&amp;", "&amp;CHAR(34)&amp;"flag"&amp;CHAR(34)&amp;": "&amp;SUBSTITUTE(TRIM(ROUND(IFERROR(CriteriTecnici!$M427*1,IFERROR(NUMBERVALUE(CriteriTecnici!$M427,".",","),IFERROR(NUMBERVALUE(CriteriTecnici!$M427,",","."),0))),4)&amp;""),",",".")&amp;", "&amp;CHAR(34)&amp;"rawScore"&amp;CHAR(34)&amp;": "&amp;SUBSTITUTE(TRIM(ROUND(IFERROR(CriteriTecnici!$O427*1,IFERROR(NUMBERVALUE(CriteriTecnici!$O427,".",","),IFERROR(NUMBERVALUE(CriteriTecnici!$O427,",","."),0))),4)&amp;""),",",".")&amp;CHAR(125)&amp;IF(TRUE,",",""))</f>
        <v/>
      </c>
    </row>
    <row r="529">
      <c r="A529" s="82">
        <f>IF(CriteriTecnici!$A428="","","    "&amp;CHAR(123)&amp;CHAR(34)&amp;"bidderId"&amp;CHAR(34)&amp;": "&amp;CHAR(34)&amp;SUBSTITUTE(CriteriTecnici!$A428,CHAR(34),"'")&amp;CHAR(34)&amp;", "&amp;CHAR(34)&amp;"lotId"&amp;CHAR(34)&amp;": "&amp;CHAR(34)&amp;SUBSTITUTE(CriteriTecnici!$C428,CHAR(34),"'")&amp;CHAR(34)&amp;", "&amp;CHAR(34)&amp;"criterionId"&amp;CHAR(34)&amp;": "&amp;CHAR(34)&amp;SUBSTITUTE(CriteriTecnici!$D428,CHAR(34),"'")&amp;CHAR(34)&amp;", "&amp;CHAR(34)&amp;"kind"&amp;CHAR(34)&amp;": "&amp;CHAR(34)&amp;SUBSTITUTE(CriteriTecnici!$F428,CHAR(34),"'")&amp;CHAR(34)&amp;", "&amp;CHAR(34)&amp;"value"&amp;CHAR(34)&amp;": "&amp;SUBSTITUTE(TRIM(ROUND(IFERROR(CriteriTecnici!$N428*1,IFERROR(NUMBERVALUE(CriteriTecnici!$N428,".",","),IFERROR(NUMBERVALUE(CriteriTecnici!$N428,",","."),0))),4)&amp;""),",",".")&amp;", "&amp;CHAR(34)&amp;"numerator"&amp;CHAR(34)&amp;": "&amp;SUBSTITUTE(TRIM(ROUND(IFERROR(CriteriTecnici!$K428*1,IFERROR(NUMBERVALUE(CriteriTecnici!$K428,".",","),IFERROR(NUMBERVALUE(CriteriTecnici!$K428,",","."),0))),4)&amp;""),",",".")&amp;", "&amp;CHAR(34)&amp;"denominator"&amp;CHAR(34)&amp;": "&amp;SUBSTITUTE(TRIM(ROUND(IFERROR(CriteriTecnici!$L428*1,IFERROR(NUMBERVALUE(CriteriTecnici!$L428,".",","),IFERROR(NUMBERVALUE(CriteriTecnici!$L428,",","."),0))),4)&amp;""),",",".")&amp;", "&amp;CHAR(34)&amp;"flag"&amp;CHAR(34)&amp;": "&amp;SUBSTITUTE(TRIM(ROUND(IFERROR(CriteriTecnici!$M428*1,IFERROR(NUMBERVALUE(CriteriTecnici!$M428,".",","),IFERROR(NUMBERVALUE(CriteriTecnici!$M428,",","."),0))),4)&amp;""),",",".")&amp;", "&amp;CHAR(34)&amp;"rawScore"&amp;CHAR(34)&amp;": "&amp;SUBSTITUTE(TRIM(ROUND(IFERROR(CriteriTecnici!$O428*1,IFERROR(NUMBERVALUE(CriteriTecnici!$O428,".",","),IFERROR(NUMBERVALUE(CriteriTecnici!$O428,",","."),0))),4)&amp;""),",",".")&amp;CHAR(125)&amp;IF(TRUE,",",""))</f>
        <v/>
      </c>
    </row>
    <row r="530">
      <c r="A530" s="82">
        <f>IF(CriteriTecnici!$A429="","","    "&amp;CHAR(123)&amp;CHAR(34)&amp;"bidderId"&amp;CHAR(34)&amp;": "&amp;CHAR(34)&amp;SUBSTITUTE(CriteriTecnici!$A429,CHAR(34),"'")&amp;CHAR(34)&amp;", "&amp;CHAR(34)&amp;"lotId"&amp;CHAR(34)&amp;": "&amp;CHAR(34)&amp;SUBSTITUTE(CriteriTecnici!$C429,CHAR(34),"'")&amp;CHAR(34)&amp;", "&amp;CHAR(34)&amp;"criterionId"&amp;CHAR(34)&amp;": "&amp;CHAR(34)&amp;SUBSTITUTE(CriteriTecnici!$D429,CHAR(34),"'")&amp;CHAR(34)&amp;", "&amp;CHAR(34)&amp;"kind"&amp;CHAR(34)&amp;": "&amp;CHAR(34)&amp;SUBSTITUTE(CriteriTecnici!$F429,CHAR(34),"'")&amp;CHAR(34)&amp;", "&amp;CHAR(34)&amp;"value"&amp;CHAR(34)&amp;": "&amp;SUBSTITUTE(TRIM(ROUND(IFERROR(CriteriTecnici!$N429*1,IFERROR(NUMBERVALUE(CriteriTecnici!$N429,".",","),IFERROR(NUMBERVALUE(CriteriTecnici!$N429,",","."),0))),4)&amp;""),",",".")&amp;", "&amp;CHAR(34)&amp;"numerator"&amp;CHAR(34)&amp;": "&amp;SUBSTITUTE(TRIM(ROUND(IFERROR(CriteriTecnici!$K429*1,IFERROR(NUMBERVALUE(CriteriTecnici!$K429,".",","),IFERROR(NUMBERVALUE(CriteriTecnici!$K429,",","."),0))),4)&amp;""),",",".")&amp;", "&amp;CHAR(34)&amp;"denominator"&amp;CHAR(34)&amp;": "&amp;SUBSTITUTE(TRIM(ROUND(IFERROR(CriteriTecnici!$L429*1,IFERROR(NUMBERVALUE(CriteriTecnici!$L429,".",","),IFERROR(NUMBERVALUE(CriteriTecnici!$L429,",","."),0))),4)&amp;""),",",".")&amp;", "&amp;CHAR(34)&amp;"flag"&amp;CHAR(34)&amp;": "&amp;SUBSTITUTE(TRIM(ROUND(IFERROR(CriteriTecnici!$M429*1,IFERROR(NUMBERVALUE(CriteriTecnici!$M429,".",","),IFERROR(NUMBERVALUE(CriteriTecnici!$M429,",","."),0))),4)&amp;""),",",".")&amp;", "&amp;CHAR(34)&amp;"rawScore"&amp;CHAR(34)&amp;": "&amp;SUBSTITUTE(TRIM(ROUND(IFERROR(CriteriTecnici!$O429*1,IFERROR(NUMBERVALUE(CriteriTecnici!$O429,".",","),IFERROR(NUMBERVALUE(CriteriTecnici!$O429,",","."),0))),4)&amp;""),",",".")&amp;CHAR(125)&amp;IF(TRUE,",",""))</f>
        <v/>
      </c>
    </row>
    <row r="531">
      <c r="A531" s="82">
        <f>IF(CriteriTecnici!$A430="","","    "&amp;CHAR(123)&amp;CHAR(34)&amp;"bidderId"&amp;CHAR(34)&amp;": "&amp;CHAR(34)&amp;SUBSTITUTE(CriteriTecnici!$A430,CHAR(34),"'")&amp;CHAR(34)&amp;", "&amp;CHAR(34)&amp;"lotId"&amp;CHAR(34)&amp;": "&amp;CHAR(34)&amp;SUBSTITUTE(CriteriTecnici!$C430,CHAR(34),"'")&amp;CHAR(34)&amp;", "&amp;CHAR(34)&amp;"criterionId"&amp;CHAR(34)&amp;": "&amp;CHAR(34)&amp;SUBSTITUTE(CriteriTecnici!$D430,CHAR(34),"'")&amp;CHAR(34)&amp;", "&amp;CHAR(34)&amp;"kind"&amp;CHAR(34)&amp;": "&amp;CHAR(34)&amp;SUBSTITUTE(CriteriTecnici!$F430,CHAR(34),"'")&amp;CHAR(34)&amp;", "&amp;CHAR(34)&amp;"value"&amp;CHAR(34)&amp;": "&amp;SUBSTITUTE(TRIM(ROUND(IFERROR(CriteriTecnici!$N430*1,IFERROR(NUMBERVALUE(CriteriTecnici!$N430,".",","),IFERROR(NUMBERVALUE(CriteriTecnici!$N430,",","."),0))),4)&amp;""),",",".")&amp;", "&amp;CHAR(34)&amp;"numerator"&amp;CHAR(34)&amp;": "&amp;SUBSTITUTE(TRIM(ROUND(IFERROR(CriteriTecnici!$K430*1,IFERROR(NUMBERVALUE(CriteriTecnici!$K430,".",","),IFERROR(NUMBERVALUE(CriteriTecnici!$K430,",","."),0))),4)&amp;""),",",".")&amp;", "&amp;CHAR(34)&amp;"denominator"&amp;CHAR(34)&amp;": "&amp;SUBSTITUTE(TRIM(ROUND(IFERROR(CriteriTecnici!$L430*1,IFERROR(NUMBERVALUE(CriteriTecnici!$L430,".",","),IFERROR(NUMBERVALUE(CriteriTecnici!$L430,",","."),0))),4)&amp;""),",",".")&amp;", "&amp;CHAR(34)&amp;"flag"&amp;CHAR(34)&amp;": "&amp;SUBSTITUTE(TRIM(ROUND(IFERROR(CriteriTecnici!$M430*1,IFERROR(NUMBERVALUE(CriteriTecnici!$M430,".",","),IFERROR(NUMBERVALUE(CriteriTecnici!$M430,",","."),0))),4)&amp;""),",",".")&amp;", "&amp;CHAR(34)&amp;"rawScore"&amp;CHAR(34)&amp;": "&amp;SUBSTITUTE(TRIM(ROUND(IFERROR(CriteriTecnici!$O430*1,IFERROR(NUMBERVALUE(CriteriTecnici!$O430,".",","),IFERROR(NUMBERVALUE(CriteriTecnici!$O430,",","."),0))),4)&amp;""),",",".")&amp;CHAR(125)&amp;IF(TRUE,",",""))</f>
        <v/>
      </c>
    </row>
    <row r="532">
      <c r="A532" s="82">
        <f>IF(CriteriTecnici!$A431="","","    "&amp;CHAR(123)&amp;CHAR(34)&amp;"bidderId"&amp;CHAR(34)&amp;": "&amp;CHAR(34)&amp;SUBSTITUTE(CriteriTecnici!$A431,CHAR(34),"'")&amp;CHAR(34)&amp;", "&amp;CHAR(34)&amp;"lotId"&amp;CHAR(34)&amp;": "&amp;CHAR(34)&amp;SUBSTITUTE(CriteriTecnici!$C431,CHAR(34),"'")&amp;CHAR(34)&amp;", "&amp;CHAR(34)&amp;"criterionId"&amp;CHAR(34)&amp;": "&amp;CHAR(34)&amp;SUBSTITUTE(CriteriTecnici!$D431,CHAR(34),"'")&amp;CHAR(34)&amp;", "&amp;CHAR(34)&amp;"kind"&amp;CHAR(34)&amp;": "&amp;CHAR(34)&amp;SUBSTITUTE(CriteriTecnici!$F431,CHAR(34),"'")&amp;CHAR(34)&amp;", "&amp;CHAR(34)&amp;"value"&amp;CHAR(34)&amp;": "&amp;SUBSTITUTE(TRIM(ROUND(IFERROR(CriteriTecnici!$N431*1,IFERROR(NUMBERVALUE(CriteriTecnici!$N431,".",","),IFERROR(NUMBERVALUE(CriteriTecnici!$N431,",","."),0))),4)&amp;""),",",".")&amp;", "&amp;CHAR(34)&amp;"numerator"&amp;CHAR(34)&amp;": "&amp;SUBSTITUTE(TRIM(ROUND(IFERROR(CriteriTecnici!$K431*1,IFERROR(NUMBERVALUE(CriteriTecnici!$K431,".",","),IFERROR(NUMBERVALUE(CriteriTecnici!$K431,",","."),0))),4)&amp;""),",",".")&amp;", "&amp;CHAR(34)&amp;"denominator"&amp;CHAR(34)&amp;": "&amp;SUBSTITUTE(TRIM(ROUND(IFERROR(CriteriTecnici!$L431*1,IFERROR(NUMBERVALUE(CriteriTecnici!$L431,".",","),IFERROR(NUMBERVALUE(CriteriTecnici!$L431,",","."),0))),4)&amp;""),",",".")&amp;", "&amp;CHAR(34)&amp;"flag"&amp;CHAR(34)&amp;": "&amp;SUBSTITUTE(TRIM(ROUND(IFERROR(CriteriTecnici!$M431*1,IFERROR(NUMBERVALUE(CriteriTecnici!$M431,".",","),IFERROR(NUMBERVALUE(CriteriTecnici!$M431,",","."),0))),4)&amp;""),",",".")&amp;", "&amp;CHAR(34)&amp;"rawScore"&amp;CHAR(34)&amp;": "&amp;SUBSTITUTE(TRIM(ROUND(IFERROR(CriteriTecnici!$O431*1,IFERROR(NUMBERVALUE(CriteriTecnici!$O431,".",","),IFERROR(NUMBERVALUE(CriteriTecnici!$O431,",","."),0))),4)&amp;""),",",".")&amp;CHAR(125)&amp;IF(TRUE,",",""))</f>
        <v/>
      </c>
    </row>
    <row r="533">
      <c r="A533" s="82">
        <f>IF(CriteriTecnici!$A432="","","    "&amp;CHAR(123)&amp;CHAR(34)&amp;"bidderId"&amp;CHAR(34)&amp;": "&amp;CHAR(34)&amp;SUBSTITUTE(CriteriTecnici!$A432,CHAR(34),"'")&amp;CHAR(34)&amp;", "&amp;CHAR(34)&amp;"lotId"&amp;CHAR(34)&amp;": "&amp;CHAR(34)&amp;SUBSTITUTE(CriteriTecnici!$C432,CHAR(34),"'")&amp;CHAR(34)&amp;", "&amp;CHAR(34)&amp;"criterionId"&amp;CHAR(34)&amp;": "&amp;CHAR(34)&amp;SUBSTITUTE(CriteriTecnici!$D432,CHAR(34),"'")&amp;CHAR(34)&amp;", "&amp;CHAR(34)&amp;"kind"&amp;CHAR(34)&amp;": "&amp;CHAR(34)&amp;SUBSTITUTE(CriteriTecnici!$F432,CHAR(34),"'")&amp;CHAR(34)&amp;", "&amp;CHAR(34)&amp;"value"&amp;CHAR(34)&amp;": "&amp;SUBSTITUTE(TRIM(ROUND(IFERROR(CriteriTecnici!$N432*1,IFERROR(NUMBERVALUE(CriteriTecnici!$N432,".",","),IFERROR(NUMBERVALUE(CriteriTecnici!$N432,",","."),0))),4)&amp;""),",",".")&amp;", "&amp;CHAR(34)&amp;"numerator"&amp;CHAR(34)&amp;": "&amp;SUBSTITUTE(TRIM(ROUND(IFERROR(CriteriTecnici!$K432*1,IFERROR(NUMBERVALUE(CriteriTecnici!$K432,".",","),IFERROR(NUMBERVALUE(CriteriTecnici!$K432,",","."),0))),4)&amp;""),",",".")&amp;", "&amp;CHAR(34)&amp;"denominator"&amp;CHAR(34)&amp;": "&amp;SUBSTITUTE(TRIM(ROUND(IFERROR(CriteriTecnici!$L432*1,IFERROR(NUMBERVALUE(CriteriTecnici!$L432,".",","),IFERROR(NUMBERVALUE(CriteriTecnici!$L432,",","."),0))),4)&amp;""),",",".")&amp;", "&amp;CHAR(34)&amp;"flag"&amp;CHAR(34)&amp;": "&amp;SUBSTITUTE(TRIM(ROUND(IFERROR(CriteriTecnici!$M432*1,IFERROR(NUMBERVALUE(CriteriTecnici!$M432,".",","),IFERROR(NUMBERVALUE(CriteriTecnici!$M432,",","."),0))),4)&amp;""),",",".")&amp;", "&amp;CHAR(34)&amp;"rawScore"&amp;CHAR(34)&amp;": "&amp;SUBSTITUTE(TRIM(ROUND(IFERROR(CriteriTecnici!$O432*1,IFERROR(NUMBERVALUE(CriteriTecnici!$O432,".",","),IFERROR(NUMBERVALUE(CriteriTecnici!$O432,",","."),0))),4)&amp;""),",",".")&amp;CHAR(125)&amp;IF(TRUE,",",""))</f>
        <v/>
      </c>
    </row>
    <row r="534">
      <c r="A534" s="82">
        <f>IF(CriteriTecnici!$A433="","","    "&amp;CHAR(123)&amp;CHAR(34)&amp;"bidderId"&amp;CHAR(34)&amp;": "&amp;CHAR(34)&amp;SUBSTITUTE(CriteriTecnici!$A433,CHAR(34),"'")&amp;CHAR(34)&amp;", "&amp;CHAR(34)&amp;"lotId"&amp;CHAR(34)&amp;": "&amp;CHAR(34)&amp;SUBSTITUTE(CriteriTecnici!$C433,CHAR(34),"'")&amp;CHAR(34)&amp;", "&amp;CHAR(34)&amp;"criterionId"&amp;CHAR(34)&amp;": "&amp;CHAR(34)&amp;SUBSTITUTE(CriteriTecnici!$D433,CHAR(34),"'")&amp;CHAR(34)&amp;", "&amp;CHAR(34)&amp;"kind"&amp;CHAR(34)&amp;": "&amp;CHAR(34)&amp;SUBSTITUTE(CriteriTecnici!$F433,CHAR(34),"'")&amp;CHAR(34)&amp;", "&amp;CHAR(34)&amp;"value"&amp;CHAR(34)&amp;": "&amp;SUBSTITUTE(TRIM(ROUND(IFERROR(CriteriTecnici!$N433*1,IFERROR(NUMBERVALUE(CriteriTecnici!$N433,".",","),IFERROR(NUMBERVALUE(CriteriTecnici!$N433,",","."),0))),4)&amp;""),",",".")&amp;", "&amp;CHAR(34)&amp;"numerator"&amp;CHAR(34)&amp;": "&amp;SUBSTITUTE(TRIM(ROUND(IFERROR(CriteriTecnici!$K433*1,IFERROR(NUMBERVALUE(CriteriTecnici!$K433,".",","),IFERROR(NUMBERVALUE(CriteriTecnici!$K433,",","."),0))),4)&amp;""),",",".")&amp;", "&amp;CHAR(34)&amp;"denominator"&amp;CHAR(34)&amp;": "&amp;SUBSTITUTE(TRIM(ROUND(IFERROR(CriteriTecnici!$L433*1,IFERROR(NUMBERVALUE(CriteriTecnici!$L433,".",","),IFERROR(NUMBERVALUE(CriteriTecnici!$L433,",","."),0))),4)&amp;""),",",".")&amp;", "&amp;CHAR(34)&amp;"flag"&amp;CHAR(34)&amp;": "&amp;SUBSTITUTE(TRIM(ROUND(IFERROR(CriteriTecnici!$M433*1,IFERROR(NUMBERVALUE(CriteriTecnici!$M433,".",","),IFERROR(NUMBERVALUE(CriteriTecnici!$M433,",","."),0))),4)&amp;""),",",".")&amp;", "&amp;CHAR(34)&amp;"rawScore"&amp;CHAR(34)&amp;": "&amp;SUBSTITUTE(TRIM(ROUND(IFERROR(CriteriTecnici!$O433*1,IFERROR(NUMBERVALUE(CriteriTecnici!$O433,".",","),IFERROR(NUMBERVALUE(CriteriTecnici!$O433,",","."),0))),4)&amp;""),",",".")&amp;CHAR(125)&amp;IF(TRUE,",",""))</f>
        <v/>
      </c>
    </row>
    <row r="535">
      <c r="A535" s="82">
        <f>IF(CriteriTecnici!$A434="","","    "&amp;CHAR(123)&amp;CHAR(34)&amp;"bidderId"&amp;CHAR(34)&amp;": "&amp;CHAR(34)&amp;SUBSTITUTE(CriteriTecnici!$A434,CHAR(34),"'")&amp;CHAR(34)&amp;", "&amp;CHAR(34)&amp;"lotId"&amp;CHAR(34)&amp;": "&amp;CHAR(34)&amp;SUBSTITUTE(CriteriTecnici!$C434,CHAR(34),"'")&amp;CHAR(34)&amp;", "&amp;CHAR(34)&amp;"criterionId"&amp;CHAR(34)&amp;": "&amp;CHAR(34)&amp;SUBSTITUTE(CriteriTecnici!$D434,CHAR(34),"'")&amp;CHAR(34)&amp;", "&amp;CHAR(34)&amp;"kind"&amp;CHAR(34)&amp;": "&amp;CHAR(34)&amp;SUBSTITUTE(CriteriTecnici!$F434,CHAR(34),"'")&amp;CHAR(34)&amp;", "&amp;CHAR(34)&amp;"value"&amp;CHAR(34)&amp;": "&amp;SUBSTITUTE(TRIM(ROUND(IFERROR(CriteriTecnici!$N434*1,IFERROR(NUMBERVALUE(CriteriTecnici!$N434,".",","),IFERROR(NUMBERVALUE(CriteriTecnici!$N434,",","."),0))),4)&amp;""),",",".")&amp;", "&amp;CHAR(34)&amp;"numerator"&amp;CHAR(34)&amp;": "&amp;SUBSTITUTE(TRIM(ROUND(IFERROR(CriteriTecnici!$K434*1,IFERROR(NUMBERVALUE(CriteriTecnici!$K434,".",","),IFERROR(NUMBERVALUE(CriteriTecnici!$K434,",","."),0))),4)&amp;""),",",".")&amp;", "&amp;CHAR(34)&amp;"denominator"&amp;CHAR(34)&amp;": "&amp;SUBSTITUTE(TRIM(ROUND(IFERROR(CriteriTecnici!$L434*1,IFERROR(NUMBERVALUE(CriteriTecnici!$L434,".",","),IFERROR(NUMBERVALUE(CriteriTecnici!$L434,",","."),0))),4)&amp;""),",",".")&amp;", "&amp;CHAR(34)&amp;"flag"&amp;CHAR(34)&amp;": "&amp;SUBSTITUTE(TRIM(ROUND(IFERROR(CriteriTecnici!$M434*1,IFERROR(NUMBERVALUE(CriteriTecnici!$M434,".",","),IFERROR(NUMBERVALUE(CriteriTecnici!$M434,",","."),0))),4)&amp;""),",",".")&amp;", "&amp;CHAR(34)&amp;"rawScore"&amp;CHAR(34)&amp;": "&amp;SUBSTITUTE(TRIM(ROUND(IFERROR(CriteriTecnici!$O434*1,IFERROR(NUMBERVALUE(CriteriTecnici!$O434,".",","),IFERROR(NUMBERVALUE(CriteriTecnici!$O434,",","."),0))),4)&amp;""),",",".")&amp;CHAR(125)&amp;IF(TRUE,",",""))</f>
        <v/>
      </c>
    </row>
    <row r="536">
      <c r="A536" s="82">
        <f>IF(CriteriTecnici!$A435="","","    "&amp;CHAR(123)&amp;CHAR(34)&amp;"bidderId"&amp;CHAR(34)&amp;": "&amp;CHAR(34)&amp;SUBSTITUTE(CriteriTecnici!$A435,CHAR(34),"'")&amp;CHAR(34)&amp;", "&amp;CHAR(34)&amp;"lotId"&amp;CHAR(34)&amp;": "&amp;CHAR(34)&amp;SUBSTITUTE(CriteriTecnici!$C435,CHAR(34),"'")&amp;CHAR(34)&amp;", "&amp;CHAR(34)&amp;"criterionId"&amp;CHAR(34)&amp;": "&amp;CHAR(34)&amp;SUBSTITUTE(CriteriTecnici!$D435,CHAR(34),"'")&amp;CHAR(34)&amp;", "&amp;CHAR(34)&amp;"kind"&amp;CHAR(34)&amp;": "&amp;CHAR(34)&amp;SUBSTITUTE(CriteriTecnici!$F435,CHAR(34),"'")&amp;CHAR(34)&amp;", "&amp;CHAR(34)&amp;"value"&amp;CHAR(34)&amp;": "&amp;SUBSTITUTE(TRIM(ROUND(IFERROR(CriteriTecnici!$N435*1,IFERROR(NUMBERVALUE(CriteriTecnici!$N435,".",","),IFERROR(NUMBERVALUE(CriteriTecnici!$N435,",","."),0))),4)&amp;""),",",".")&amp;", "&amp;CHAR(34)&amp;"numerator"&amp;CHAR(34)&amp;": "&amp;SUBSTITUTE(TRIM(ROUND(IFERROR(CriteriTecnici!$K435*1,IFERROR(NUMBERVALUE(CriteriTecnici!$K435,".",","),IFERROR(NUMBERVALUE(CriteriTecnici!$K435,",","."),0))),4)&amp;""),",",".")&amp;", "&amp;CHAR(34)&amp;"denominator"&amp;CHAR(34)&amp;": "&amp;SUBSTITUTE(TRIM(ROUND(IFERROR(CriteriTecnici!$L435*1,IFERROR(NUMBERVALUE(CriteriTecnici!$L435,".",","),IFERROR(NUMBERVALUE(CriteriTecnici!$L435,",","."),0))),4)&amp;""),",",".")&amp;", "&amp;CHAR(34)&amp;"flag"&amp;CHAR(34)&amp;": "&amp;SUBSTITUTE(TRIM(ROUND(IFERROR(CriteriTecnici!$M435*1,IFERROR(NUMBERVALUE(CriteriTecnici!$M435,".",","),IFERROR(NUMBERVALUE(CriteriTecnici!$M435,",","."),0))),4)&amp;""),",",".")&amp;", "&amp;CHAR(34)&amp;"rawScore"&amp;CHAR(34)&amp;": "&amp;SUBSTITUTE(TRIM(ROUND(IFERROR(CriteriTecnici!$O435*1,IFERROR(NUMBERVALUE(CriteriTecnici!$O435,".",","),IFERROR(NUMBERVALUE(CriteriTecnici!$O435,",","."),0))),4)&amp;""),",",".")&amp;CHAR(125)&amp;IF(TRUE,",",""))</f>
        <v/>
      </c>
    </row>
    <row r="537">
      <c r="A537" s="82">
        <f>IF(CriteriTecnici!$A436="","","    "&amp;CHAR(123)&amp;CHAR(34)&amp;"bidderId"&amp;CHAR(34)&amp;": "&amp;CHAR(34)&amp;SUBSTITUTE(CriteriTecnici!$A436,CHAR(34),"'")&amp;CHAR(34)&amp;", "&amp;CHAR(34)&amp;"lotId"&amp;CHAR(34)&amp;": "&amp;CHAR(34)&amp;SUBSTITUTE(CriteriTecnici!$C436,CHAR(34),"'")&amp;CHAR(34)&amp;", "&amp;CHAR(34)&amp;"criterionId"&amp;CHAR(34)&amp;": "&amp;CHAR(34)&amp;SUBSTITUTE(CriteriTecnici!$D436,CHAR(34),"'")&amp;CHAR(34)&amp;", "&amp;CHAR(34)&amp;"kind"&amp;CHAR(34)&amp;": "&amp;CHAR(34)&amp;SUBSTITUTE(CriteriTecnici!$F436,CHAR(34),"'")&amp;CHAR(34)&amp;", "&amp;CHAR(34)&amp;"value"&amp;CHAR(34)&amp;": "&amp;SUBSTITUTE(TRIM(ROUND(IFERROR(CriteriTecnici!$N436*1,IFERROR(NUMBERVALUE(CriteriTecnici!$N436,".",","),IFERROR(NUMBERVALUE(CriteriTecnici!$N436,",","."),0))),4)&amp;""),",",".")&amp;", "&amp;CHAR(34)&amp;"numerator"&amp;CHAR(34)&amp;": "&amp;SUBSTITUTE(TRIM(ROUND(IFERROR(CriteriTecnici!$K436*1,IFERROR(NUMBERVALUE(CriteriTecnici!$K436,".",","),IFERROR(NUMBERVALUE(CriteriTecnici!$K436,",","."),0))),4)&amp;""),",",".")&amp;", "&amp;CHAR(34)&amp;"denominator"&amp;CHAR(34)&amp;": "&amp;SUBSTITUTE(TRIM(ROUND(IFERROR(CriteriTecnici!$L436*1,IFERROR(NUMBERVALUE(CriteriTecnici!$L436,".",","),IFERROR(NUMBERVALUE(CriteriTecnici!$L436,",","."),0))),4)&amp;""),",",".")&amp;", "&amp;CHAR(34)&amp;"flag"&amp;CHAR(34)&amp;": "&amp;SUBSTITUTE(TRIM(ROUND(IFERROR(CriteriTecnici!$M436*1,IFERROR(NUMBERVALUE(CriteriTecnici!$M436,".",","),IFERROR(NUMBERVALUE(CriteriTecnici!$M436,",","."),0))),4)&amp;""),",",".")&amp;", "&amp;CHAR(34)&amp;"rawScore"&amp;CHAR(34)&amp;": "&amp;SUBSTITUTE(TRIM(ROUND(IFERROR(CriteriTecnici!$O436*1,IFERROR(NUMBERVALUE(CriteriTecnici!$O436,".",","),IFERROR(NUMBERVALUE(CriteriTecnici!$O436,",","."),0))),4)&amp;""),",",".")&amp;CHAR(125)&amp;IF(TRUE,",",""))</f>
        <v/>
      </c>
    </row>
    <row r="538">
      <c r="A538" s="82">
        <f>IF(CriteriTecnici!$A437="","","    "&amp;CHAR(123)&amp;CHAR(34)&amp;"bidderId"&amp;CHAR(34)&amp;": "&amp;CHAR(34)&amp;SUBSTITUTE(CriteriTecnici!$A437,CHAR(34),"'")&amp;CHAR(34)&amp;", "&amp;CHAR(34)&amp;"lotId"&amp;CHAR(34)&amp;": "&amp;CHAR(34)&amp;SUBSTITUTE(CriteriTecnici!$C437,CHAR(34),"'")&amp;CHAR(34)&amp;", "&amp;CHAR(34)&amp;"criterionId"&amp;CHAR(34)&amp;": "&amp;CHAR(34)&amp;SUBSTITUTE(CriteriTecnici!$D437,CHAR(34),"'")&amp;CHAR(34)&amp;", "&amp;CHAR(34)&amp;"kind"&amp;CHAR(34)&amp;": "&amp;CHAR(34)&amp;SUBSTITUTE(CriteriTecnici!$F437,CHAR(34),"'")&amp;CHAR(34)&amp;", "&amp;CHAR(34)&amp;"value"&amp;CHAR(34)&amp;": "&amp;SUBSTITUTE(TRIM(ROUND(IFERROR(CriteriTecnici!$N437*1,IFERROR(NUMBERVALUE(CriteriTecnici!$N437,".",","),IFERROR(NUMBERVALUE(CriteriTecnici!$N437,",","."),0))),4)&amp;""),",",".")&amp;", "&amp;CHAR(34)&amp;"numerator"&amp;CHAR(34)&amp;": "&amp;SUBSTITUTE(TRIM(ROUND(IFERROR(CriteriTecnici!$K437*1,IFERROR(NUMBERVALUE(CriteriTecnici!$K437,".",","),IFERROR(NUMBERVALUE(CriteriTecnici!$K437,",","."),0))),4)&amp;""),",",".")&amp;", "&amp;CHAR(34)&amp;"denominator"&amp;CHAR(34)&amp;": "&amp;SUBSTITUTE(TRIM(ROUND(IFERROR(CriteriTecnici!$L437*1,IFERROR(NUMBERVALUE(CriteriTecnici!$L437,".",","),IFERROR(NUMBERVALUE(CriteriTecnici!$L437,",","."),0))),4)&amp;""),",",".")&amp;", "&amp;CHAR(34)&amp;"flag"&amp;CHAR(34)&amp;": "&amp;SUBSTITUTE(TRIM(ROUND(IFERROR(CriteriTecnici!$M437*1,IFERROR(NUMBERVALUE(CriteriTecnici!$M437,".",","),IFERROR(NUMBERVALUE(CriteriTecnici!$M437,",","."),0))),4)&amp;""),",",".")&amp;", "&amp;CHAR(34)&amp;"rawScore"&amp;CHAR(34)&amp;": "&amp;SUBSTITUTE(TRIM(ROUND(IFERROR(CriteriTecnici!$O437*1,IFERROR(NUMBERVALUE(CriteriTecnici!$O437,".",","),IFERROR(NUMBERVALUE(CriteriTecnici!$O437,",","."),0))),4)&amp;""),",",".")&amp;CHAR(125)&amp;IF(TRUE,",",""))</f>
        <v/>
      </c>
    </row>
    <row r="539">
      <c r="A539" s="82">
        <f>IF(CriteriTecnici!$A438="","","    "&amp;CHAR(123)&amp;CHAR(34)&amp;"bidderId"&amp;CHAR(34)&amp;": "&amp;CHAR(34)&amp;SUBSTITUTE(CriteriTecnici!$A438,CHAR(34),"'")&amp;CHAR(34)&amp;", "&amp;CHAR(34)&amp;"lotId"&amp;CHAR(34)&amp;": "&amp;CHAR(34)&amp;SUBSTITUTE(CriteriTecnici!$C438,CHAR(34),"'")&amp;CHAR(34)&amp;", "&amp;CHAR(34)&amp;"criterionId"&amp;CHAR(34)&amp;": "&amp;CHAR(34)&amp;SUBSTITUTE(CriteriTecnici!$D438,CHAR(34),"'")&amp;CHAR(34)&amp;", "&amp;CHAR(34)&amp;"kind"&amp;CHAR(34)&amp;": "&amp;CHAR(34)&amp;SUBSTITUTE(CriteriTecnici!$F438,CHAR(34),"'")&amp;CHAR(34)&amp;", "&amp;CHAR(34)&amp;"value"&amp;CHAR(34)&amp;": "&amp;SUBSTITUTE(TRIM(ROUND(IFERROR(CriteriTecnici!$N438*1,IFERROR(NUMBERVALUE(CriteriTecnici!$N438,".",","),IFERROR(NUMBERVALUE(CriteriTecnici!$N438,",","."),0))),4)&amp;""),",",".")&amp;", "&amp;CHAR(34)&amp;"numerator"&amp;CHAR(34)&amp;": "&amp;SUBSTITUTE(TRIM(ROUND(IFERROR(CriteriTecnici!$K438*1,IFERROR(NUMBERVALUE(CriteriTecnici!$K438,".",","),IFERROR(NUMBERVALUE(CriteriTecnici!$K438,",","."),0))),4)&amp;""),",",".")&amp;", "&amp;CHAR(34)&amp;"denominator"&amp;CHAR(34)&amp;": "&amp;SUBSTITUTE(TRIM(ROUND(IFERROR(CriteriTecnici!$L438*1,IFERROR(NUMBERVALUE(CriteriTecnici!$L438,".",","),IFERROR(NUMBERVALUE(CriteriTecnici!$L438,",","."),0))),4)&amp;""),",",".")&amp;", "&amp;CHAR(34)&amp;"flag"&amp;CHAR(34)&amp;": "&amp;SUBSTITUTE(TRIM(ROUND(IFERROR(CriteriTecnici!$M438*1,IFERROR(NUMBERVALUE(CriteriTecnici!$M438,".",","),IFERROR(NUMBERVALUE(CriteriTecnici!$M438,",","."),0))),4)&amp;""),",",".")&amp;", "&amp;CHAR(34)&amp;"rawScore"&amp;CHAR(34)&amp;": "&amp;SUBSTITUTE(TRIM(ROUND(IFERROR(CriteriTecnici!$O438*1,IFERROR(NUMBERVALUE(CriteriTecnici!$O438,".",","),IFERROR(NUMBERVALUE(CriteriTecnici!$O438,",","."),0))),4)&amp;""),",",".")&amp;CHAR(125)&amp;IF(COUNTA(Offerte!$A16:$A$81)&gt;0,",",""))</f>
        <v/>
      </c>
    </row>
    <row r="540">
      <c r="A540" s="82">
        <f>IF(CriteriTecnici!$A439="","","    "&amp;CHAR(123)&amp;CHAR(34)&amp;"bidderId"&amp;CHAR(34)&amp;": "&amp;CHAR(34)&amp;SUBSTITUTE(CriteriTecnici!$A439,CHAR(34),"'")&amp;CHAR(34)&amp;", "&amp;CHAR(34)&amp;"lotId"&amp;CHAR(34)&amp;": "&amp;CHAR(34)&amp;SUBSTITUTE(CriteriTecnici!$C439,CHAR(34),"'")&amp;CHAR(34)&amp;", "&amp;CHAR(34)&amp;"criterionId"&amp;CHAR(34)&amp;": "&amp;CHAR(34)&amp;SUBSTITUTE(CriteriTecnici!$D439,CHAR(34),"'")&amp;CHAR(34)&amp;", "&amp;CHAR(34)&amp;"kind"&amp;CHAR(34)&amp;": "&amp;CHAR(34)&amp;SUBSTITUTE(CriteriTecnici!$F439,CHAR(34),"'")&amp;CHAR(34)&amp;", "&amp;CHAR(34)&amp;"value"&amp;CHAR(34)&amp;": "&amp;SUBSTITUTE(TRIM(ROUND(IFERROR(CriteriTecnici!$N439*1,IFERROR(NUMBERVALUE(CriteriTecnici!$N439,".",","),IFERROR(NUMBERVALUE(CriteriTecnici!$N439,",","."),0))),4)&amp;""),",",".")&amp;", "&amp;CHAR(34)&amp;"numerator"&amp;CHAR(34)&amp;": "&amp;SUBSTITUTE(TRIM(ROUND(IFERROR(CriteriTecnici!$K439*1,IFERROR(NUMBERVALUE(CriteriTecnici!$K439,".",","),IFERROR(NUMBERVALUE(CriteriTecnici!$K439,",","."),0))),4)&amp;""),",",".")&amp;", "&amp;CHAR(34)&amp;"denominator"&amp;CHAR(34)&amp;": "&amp;SUBSTITUTE(TRIM(ROUND(IFERROR(CriteriTecnici!$L439*1,IFERROR(NUMBERVALUE(CriteriTecnici!$L439,".",","),IFERROR(NUMBERVALUE(CriteriTecnici!$L439,",","."),0))),4)&amp;""),",",".")&amp;", "&amp;CHAR(34)&amp;"flag"&amp;CHAR(34)&amp;": "&amp;SUBSTITUTE(TRIM(ROUND(IFERROR(CriteriTecnici!$M439*1,IFERROR(NUMBERVALUE(CriteriTecnici!$M439,".",","),IFERROR(NUMBERVALUE(CriteriTecnici!$M439,",","."),0))),4)&amp;""),",",".")&amp;", "&amp;CHAR(34)&amp;"rawScore"&amp;CHAR(34)&amp;": "&amp;SUBSTITUTE(TRIM(ROUND(IFERROR(CriteriTecnici!$O439*1,IFERROR(NUMBERVALUE(CriteriTecnici!$O439,".",","),IFERROR(NUMBERVALUE(CriteriTecnici!$O439,",","."),0))),4)&amp;""),",",".")&amp;CHAR(125)&amp;IF(TRUE,",",""))</f>
        <v/>
      </c>
    </row>
    <row r="541">
      <c r="A541" s="82">
        <f>IF(CriteriTecnici!$A440="","","    "&amp;CHAR(123)&amp;CHAR(34)&amp;"bidderId"&amp;CHAR(34)&amp;": "&amp;CHAR(34)&amp;SUBSTITUTE(CriteriTecnici!$A440,CHAR(34),"'")&amp;CHAR(34)&amp;", "&amp;CHAR(34)&amp;"lotId"&amp;CHAR(34)&amp;": "&amp;CHAR(34)&amp;SUBSTITUTE(CriteriTecnici!$C440,CHAR(34),"'")&amp;CHAR(34)&amp;", "&amp;CHAR(34)&amp;"criterionId"&amp;CHAR(34)&amp;": "&amp;CHAR(34)&amp;SUBSTITUTE(CriteriTecnici!$D440,CHAR(34),"'")&amp;CHAR(34)&amp;", "&amp;CHAR(34)&amp;"kind"&amp;CHAR(34)&amp;": "&amp;CHAR(34)&amp;SUBSTITUTE(CriteriTecnici!$F440,CHAR(34),"'")&amp;CHAR(34)&amp;", "&amp;CHAR(34)&amp;"value"&amp;CHAR(34)&amp;": "&amp;SUBSTITUTE(TRIM(ROUND(IFERROR(CriteriTecnici!$N440*1,IFERROR(NUMBERVALUE(CriteriTecnici!$N440,".",","),IFERROR(NUMBERVALUE(CriteriTecnici!$N440,",","."),0))),4)&amp;""),",",".")&amp;", "&amp;CHAR(34)&amp;"numerator"&amp;CHAR(34)&amp;": "&amp;SUBSTITUTE(TRIM(ROUND(IFERROR(CriteriTecnici!$K440*1,IFERROR(NUMBERVALUE(CriteriTecnici!$K440,".",","),IFERROR(NUMBERVALUE(CriteriTecnici!$K440,",","."),0))),4)&amp;""),",",".")&amp;", "&amp;CHAR(34)&amp;"denominator"&amp;CHAR(34)&amp;": "&amp;SUBSTITUTE(TRIM(ROUND(IFERROR(CriteriTecnici!$L440*1,IFERROR(NUMBERVALUE(CriteriTecnici!$L440,".",","),IFERROR(NUMBERVALUE(CriteriTecnici!$L440,",","."),0))),4)&amp;""),",",".")&amp;", "&amp;CHAR(34)&amp;"flag"&amp;CHAR(34)&amp;": "&amp;SUBSTITUTE(TRIM(ROUND(IFERROR(CriteriTecnici!$M440*1,IFERROR(NUMBERVALUE(CriteriTecnici!$M440,".",","),IFERROR(NUMBERVALUE(CriteriTecnici!$M440,",","."),0))),4)&amp;""),",",".")&amp;", "&amp;CHAR(34)&amp;"rawScore"&amp;CHAR(34)&amp;": "&amp;SUBSTITUTE(TRIM(ROUND(IFERROR(CriteriTecnici!$O440*1,IFERROR(NUMBERVALUE(CriteriTecnici!$O440,".",","),IFERROR(NUMBERVALUE(CriteriTecnici!$O440,",","."),0))),4)&amp;""),",",".")&amp;CHAR(125)&amp;IF(TRUE,",",""))</f>
        <v/>
      </c>
    </row>
    <row r="542">
      <c r="A542" s="82">
        <f>IF(CriteriTecnici!$A441="","","    "&amp;CHAR(123)&amp;CHAR(34)&amp;"bidderId"&amp;CHAR(34)&amp;": "&amp;CHAR(34)&amp;SUBSTITUTE(CriteriTecnici!$A441,CHAR(34),"'")&amp;CHAR(34)&amp;", "&amp;CHAR(34)&amp;"lotId"&amp;CHAR(34)&amp;": "&amp;CHAR(34)&amp;SUBSTITUTE(CriteriTecnici!$C441,CHAR(34),"'")&amp;CHAR(34)&amp;", "&amp;CHAR(34)&amp;"criterionId"&amp;CHAR(34)&amp;": "&amp;CHAR(34)&amp;SUBSTITUTE(CriteriTecnici!$D441,CHAR(34),"'")&amp;CHAR(34)&amp;", "&amp;CHAR(34)&amp;"kind"&amp;CHAR(34)&amp;": "&amp;CHAR(34)&amp;SUBSTITUTE(CriteriTecnici!$F441,CHAR(34),"'")&amp;CHAR(34)&amp;", "&amp;CHAR(34)&amp;"value"&amp;CHAR(34)&amp;": "&amp;SUBSTITUTE(TRIM(ROUND(IFERROR(CriteriTecnici!$N441*1,IFERROR(NUMBERVALUE(CriteriTecnici!$N441,".",","),IFERROR(NUMBERVALUE(CriteriTecnici!$N441,",","."),0))),4)&amp;""),",",".")&amp;", "&amp;CHAR(34)&amp;"numerator"&amp;CHAR(34)&amp;": "&amp;SUBSTITUTE(TRIM(ROUND(IFERROR(CriteriTecnici!$K441*1,IFERROR(NUMBERVALUE(CriteriTecnici!$K441,".",","),IFERROR(NUMBERVALUE(CriteriTecnici!$K441,",","."),0))),4)&amp;""),",",".")&amp;", "&amp;CHAR(34)&amp;"denominator"&amp;CHAR(34)&amp;": "&amp;SUBSTITUTE(TRIM(ROUND(IFERROR(CriteriTecnici!$L441*1,IFERROR(NUMBERVALUE(CriteriTecnici!$L441,".",","),IFERROR(NUMBERVALUE(CriteriTecnici!$L441,",","."),0))),4)&amp;""),",",".")&amp;", "&amp;CHAR(34)&amp;"flag"&amp;CHAR(34)&amp;": "&amp;SUBSTITUTE(TRIM(ROUND(IFERROR(CriteriTecnici!$M441*1,IFERROR(NUMBERVALUE(CriteriTecnici!$M441,".",","),IFERROR(NUMBERVALUE(CriteriTecnici!$M441,",","."),0))),4)&amp;""),",",".")&amp;", "&amp;CHAR(34)&amp;"rawScore"&amp;CHAR(34)&amp;": "&amp;SUBSTITUTE(TRIM(ROUND(IFERROR(CriteriTecnici!$O441*1,IFERROR(NUMBERVALUE(CriteriTecnici!$O441,".",","),IFERROR(NUMBERVALUE(CriteriTecnici!$O441,",","."),0))),4)&amp;""),",",".")&amp;CHAR(125)&amp;IF(TRUE,",",""))</f>
        <v/>
      </c>
    </row>
    <row r="543">
      <c r="A543" s="82">
        <f>IF(CriteriTecnici!$A442="","","    "&amp;CHAR(123)&amp;CHAR(34)&amp;"bidderId"&amp;CHAR(34)&amp;": "&amp;CHAR(34)&amp;SUBSTITUTE(CriteriTecnici!$A442,CHAR(34),"'")&amp;CHAR(34)&amp;", "&amp;CHAR(34)&amp;"lotId"&amp;CHAR(34)&amp;": "&amp;CHAR(34)&amp;SUBSTITUTE(CriteriTecnici!$C442,CHAR(34),"'")&amp;CHAR(34)&amp;", "&amp;CHAR(34)&amp;"criterionId"&amp;CHAR(34)&amp;": "&amp;CHAR(34)&amp;SUBSTITUTE(CriteriTecnici!$D442,CHAR(34),"'")&amp;CHAR(34)&amp;", "&amp;CHAR(34)&amp;"kind"&amp;CHAR(34)&amp;": "&amp;CHAR(34)&amp;SUBSTITUTE(CriteriTecnici!$F442,CHAR(34),"'")&amp;CHAR(34)&amp;", "&amp;CHAR(34)&amp;"value"&amp;CHAR(34)&amp;": "&amp;SUBSTITUTE(TRIM(ROUND(IFERROR(CriteriTecnici!$N442*1,IFERROR(NUMBERVALUE(CriteriTecnici!$N442,".",","),IFERROR(NUMBERVALUE(CriteriTecnici!$N442,",","."),0))),4)&amp;""),",",".")&amp;", "&amp;CHAR(34)&amp;"numerator"&amp;CHAR(34)&amp;": "&amp;SUBSTITUTE(TRIM(ROUND(IFERROR(CriteriTecnici!$K442*1,IFERROR(NUMBERVALUE(CriteriTecnici!$K442,".",","),IFERROR(NUMBERVALUE(CriteriTecnici!$K442,",","."),0))),4)&amp;""),",",".")&amp;", "&amp;CHAR(34)&amp;"denominator"&amp;CHAR(34)&amp;": "&amp;SUBSTITUTE(TRIM(ROUND(IFERROR(CriteriTecnici!$L442*1,IFERROR(NUMBERVALUE(CriteriTecnici!$L442,".",","),IFERROR(NUMBERVALUE(CriteriTecnici!$L442,",","."),0))),4)&amp;""),",",".")&amp;", "&amp;CHAR(34)&amp;"flag"&amp;CHAR(34)&amp;": "&amp;SUBSTITUTE(TRIM(ROUND(IFERROR(CriteriTecnici!$M442*1,IFERROR(NUMBERVALUE(CriteriTecnici!$M442,".",","),IFERROR(NUMBERVALUE(CriteriTecnici!$M442,",","."),0))),4)&amp;""),",",".")&amp;", "&amp;CHAR(34)&amp;"rawScore"&amp;CHAR(34)&amp;": "&amp;SUBSTITUTE(TRIM(ROUND(IFERROR(CriteriTecnici!$O442*1,IFERROR(NUMBERVALUE(CriteriTecnici!$O442,".",","),IFERROR(NUMBERVALUE(CriteriTecnici!$O442,",","."),0))),4)&amp;""),",",".")&amp;CHAR(125)&amp;IF(TRUE,",",""))</f>
        <v/>
      </c>
    </row>
    <row r="544">
      <c r="A544" s="82">
        <f>IF(CriteriTecnici!$A443="","","    "&amp;CHAR(123)&amp;CHAR(34)&amp;"bidderId"&amp;CHAR(34)&amp;": "&amp;CHAR(34)&amp;SUBSTITUTE(CriteriTecnici!$A443,CHAR(34),"'")&amp;CHAR(34)&amp;", "&amp;CHAR(34)&amp;"lotId"&amp;CHAR(34)&amp;": "&amp;CHAR(34)&amp;SUBSTITUTE(CriteriTecnici!$C443,CHAR(34),"'")&amp;CHAR(34)&amp;", "&amp;CHAR(34)&amp;"criterionId"&amp;CHAR(34)&amp;": "&amp;CHAR(34)&amp;SUBSTITUTE(CriteriTecnici!$D443,CHAR(34),"'")&amp;CHAR(34)&amp;", "&amp;CHAR(34)&amp;"kind"&amp;CHAR(34)&amp;": "&amp;CHAR(34)&amp;SUBSTITUTE(CriteriTecnici!$F443,CHAR(34),"'")&amp;CHAR(34)&amp;", "&amp;CHAR(34)&amp;"value"&amp;CHAR(34)&amp;": "&amp;SUBSTITUTE(TRIM(ROUND(IFERROR(CriteriTecnici!$N443*1,IFERROR(NUMBERVALUE(CriteriTecnici!$N443,".",","),IFERROR(NUMBERVALUE(CriteriTecnici!$N443,",","."),0))),4)&amp;""),",",".")&amp;", "&amp;CHAR(34)&amp;"numerator"&amp;CHAR(34)&amp;": "&amp;SUBSTITUTE(TRIM(ROUND(IFERROR(CriteriTecnici!$K443*1,IFERROR(NUMBERVALUE(CriteriTecnici!$K443,".",","),IFERROR(NUMBERVALUE(CriteriTecnici!$K443,",","."),0))),4)&amp;""),",",".")&amp;", "&amp;CHAR(34)&amp;"denominator"&amp;CHAR(34)&amp;": "&amp;SUBSTITUTE(TRIM(ROUND(IFERROR(CriteriTecnici!$L443*1,IFERROR(NUMBERVALUE(CriteriTecnici!$L443,".",","),IFERROR(NUMBERVALUE(CriteriTecnici!$L443,",","."),0))),4)&amp;""),",",".")&amp;", "&amp;CHAR(34)&amp;"flag"&amp;CHAR(34)&amp;": "&amp;SUBSTITUTE(TRIM(ROUND(IFERROR(CriteriTecnici!$M443*1,IFERROR(NUMBERVALUE(CriteriTecnici!$M443,".",","),IFERROR(NUMBERVALUE(CriteriTecnici!$M443,",","."),0))),4)&amp;""),",",".")&amp;", "&amp;CHAR(34)&amp;"rawScore"&amp;CHAR(34)&amp;": "&amp;SUBSTITUTE(TRIM(ROUND(IFERROR(CriteriTecnici!$O443*1,IFERROR(NUMBERVALUE(CriteriTecnici!$O443,".",","),IFERROR(NUMBERVALUE(CriteriTecnici!$O443,",","."),0))),4)&amp;""),",",".")&amp;CHAR(125)&amp;IF(TRUE,",",""))</f>
        <v/>
      </c>
    </row>
    <row r="545">
      <c r="A545" s="82">
        <f>IF(CriteriTecnici!$A444="","","    "&amp;CHAR(123)&amp;CHAR(34)&amp;"bidderId"&amp;CHAR(34)&amp;": "&amp;CHAR(34)&amp;SUBSTITUTE(CriteriTecnici!$A444,CHAR(34),"'")&amp;CHAR(34)&amp;", "&amp;CHAR(34)&amp;"lotId"&amp;CHAR(34)&amp;": "&amp;CHAR(34)&amp;SUBSTITUTE(CriteriTecnici!$C444,CHAR(34),"'")&amp;CHAR(34)&amp;", "&amp;CHAR(34)&amp;"criterionId"&amp;CHAR(34)&amp;": "&amp;CHAR(34)&amp;SUBSTITUTE(CriteriTecnici!$D444,CHAR(34),"'")&amp;CHAR(34)&amp;", "&amp;CHAR(34)&amp;"kind"&amp;CHAR(34)&amp;": "&amp;CHAR(34)&amp;SUBSTITUTE(CriteriTecnici!$F444,CHAR(34),"'")&amp;CHAR(34)&amp;", "&amp;CHAR(34)&amp;"value"&amp;CHAR(34)&amp;": "&amp;SUBSTITUTE(TRIM(ROUND(IFERROR(CriteriTecnici!$N444*1,IFERROR(NUMBERVALUE(CriteriTecnici!$N444,".",","),IFERROR(NUMBERVALUE(CriteriTecnici!$N444,",","."),0))),4)&amp;""),",",".")&amp;", "&amp;CHAR(34)&amp;"numerator"&amp;CHAR(34)&amp;": "&amp;SUBSTITUTE(TRIM(ROUND(IFERROR(CriteriTecnici!$K444*1,IFERROR(NUMBERVALUE(CriteriTecnici!$K444,".",","),IFERROR(NUMBERVALUE(CriteriTecnici!$K444,",","."),0))),4)&amp;""),",",".")&amp;", "&amp;CHAR(34)&amp;"denominator"&amp;CHAR(34)&amp;": "&amp;SUBSTITUTE(TRIM(ROUND(IFERROR(CriteriTecnici!$L444*1,IFERROR(NUMBERVALUE(CriteriTecnici!$L444,".",","),IFERROR(NUMBERVALUE(CriteriTecnici!$L444,",","."),0))),4)&amp;""),",",".")&amp;", "&amp;CHAR(34)&amp;"flag"&amp;CHAR(34)&amp;": "&amp;SUBSTITUTE(TRIM(ROUND(IFERROR(CriteriTecnici!$M444*1,IFERROR(NUMBERVALUE(CriteriTecnici!$M444,".",","),IFERROR(NUMBERVALUE(CriteriTecnici!$M444,",","."),0))),4)&amp;""),",",".")&amp;", "&amp;CHAR(34)&amp;"rawScore"&amp;CHAR(34)&amp;": "&amp;SUBSTITUTE(TRIM(ROUND(IFERROR(CriteriTecnici!$O444*1,IFERROR(NUMBERVALUE(CriteriTecnici!$O444,".",","),IFERROR(NUMBERVALUE(CriteriTecnici!$O444,",","."),0))),4)&amp;""),",",".")&amp;CHAR(125)&amp;IF(TRUE,",",""))</f>
        <v/>
      </c>
    </row>
    <row r="546">
      <c r="A546" s="82">
        <f>IF(CriteriTecnici!$A445="","","    "&amp;CHAR(123)&amp;CHAR(34)&amp;"bidderId"&amp;CHAR(34)&amp;": "&amp;CHAR(34)&amp;SUBSTITUTE(CriteriTecnici!$A445,CHAR(34),"'")&amp;CHAR(34)&amp;", "&amp;CHAR(34)&amp;"lotId"&amp;CHAR(34)&amp;": "&amp;CHAR(34)&amp;SUBSTITUTE(CriteriTecnici!$C445,CHAR(34),"'")&amp;CHAR(34)&amp;", "&amp;CHAR(34)&amp;"criterionId"&amp;CHAR(34)&amp;": "&amp;CHAR(34)&amp;SUBSTITUTE(CriteriTecnici!$D445,CHAR(34),"'")&amp;CHAR(34)&amp;", "&amp;CHAR(34)&amp;"kind"&amp;CHAR(34)&amp;": "&amp;CHAR(34)&amp;SUBSTITUTE(CriteriTecnici!$F445,CHAR(34),"'")&amp;CHAR(34)&amp;", "&amp;CHAR(34)&amp;"value"&amp;CHAR(34)&amp;": "&amp;SUBSTITUTE(TRIM(ROUND(IFERROR(CriteriTecnici!$N445*1,IFERROR(NUMBERVALUE(CriteriTecnici!$N445,".",","),IFERROR(NUMBERVALUE(CriteriTecnici!$N445,",","."),0))),4)&amp;""),",",".")&amp;", "&amp;CHAR(34)&amp;"numerator"&amp;CHAR(34)&amp;": "&amp;SUBSTITUTE(TRIM(ROUND(IFERROR(CriteriTecnici!$K445*1,IFERROR(NUMBERVALUE(CriteriTecnici!$K445,".",","),IFERROR(NUMBERVALUE(CriteriTecnici!$K445,",","."),0))),4)&amp;""),",",".")&amp;", "&amp;CHAR(34)&amp;"denominator"&amp;CHAR(34)&amp;": "&amp;SUBSTITUTE(TRIM(ROUND(IFERROR(CriteriTecnici!$L445*1,IFERROR(NUMBERVALUE(CriteriTecnici!$L445,".",","),IFERROR(NUMBERVALUE(CriteriTecnici!$L445,",","."),0))),4)&amp;""),",",".")&amp;", "&amp;CHAR(34)&amp;"flag"&amp;CHAR(34)&amp;": "&amp;SUBSTITUTE(TRIM(ROUND(IFERROR(CriteriTecnici!$M445*1,IFERROR(NUMBERVALUE(CriteriTecnici!$M445,".",","),IFERROR(NUMBERVALUE(CriteriTecnici!$M445,",","."),0))),4)&amp;""),",",".")&amp;", "&amp;CHAR(34)&amp;"rawScore"&amp;CHAR(34)&amp;": "&amp;SUBSTITUTE(TRIM(ROUND(IFERROR(CriteriTecnici!$O445*1,IFERROR(NUMBERVALUE(CriteriTecnici!$O445,".",","),IFERROR(NUMBERVALUE(CriteriTecnici!$O445,",","."),0))),4)&amp;""),",",".")&amp;CHAR(125)&amp;IF(TRUE,",",""))</f>
        <v/>
      </c>
    </row>
    <row r="547">
      <c r="A547" s="82">
        <f>IF(CriteriTecnici!$A446="","","    "&amp;CHAR(123)&amp;CHAR(34)&amp;"bidderId"&amp;CHAR(34)&amp;": "&amp;CHAR(34)&amp;SUBSTITUTE(CriteriTecnici!$A446,CHAR(34),"'")&amp;CHAR(34)&amp;", "&amp;CHAR(34)&amp;"lotId"&amp;CHAR(34)&amp;": "&amp;CHAR(34)&amp;SUBSTITUTE(CriteriTecnici!$C446,CHAR(34),"'")&amp;CHAR(34)&amp;", "&amp;CHAR(34)&amp;"criterionId"&amp;CHAR(34)&amp;": "&amp;CHAR(34)&amp;SUBSTITUTE(CriteriTecnici!$D446,CHAR(34),"'")&amp;CHAR(34)&amp;", "&amp;CHAR(34)&amp;"kind"&amp;CHAR(34)&amp;": "&amp;CHAR(34)&amp;SUBSTITUTE(CriteriTecnici!$F446,CHAR(34),"'")&amp;CHAR(34)&amp;", "&amp;CHAR(34)&amp;"value"&amp;CHAR(34)&amp;": "&amp;SUBSTITUTE(TRIM(ROUND(IFERROR(CriteriTecnici!$N446*1,IFERROR(NUMBERVALUE(CriteriTecnici!$N446,".",","),IFERROR(NUMBERVALUE(CriteriTecnici!$N446,",","."),0))),4)&amp;""),",",".")&amp;", "&amp;CHAR(34)&amp;"numerator"&amp;CHAR(34)&amp;": "&amp;SUBSTITUTE(TRIM(ROUND(IFERROR(CriteriTecnici!$K446*1,IFERROR(NUMBERVALUE(CriteriTecnici!$K446,".",","),IFERROR(NUMBERVALUE(CriteriTecnici!$K446,",","."),0))),4)&amp;""),",",".")&amp;", "&amp;CHAR(34)&amp;"denominator"&amp;CHAR(34)&amp;": "&amp;SUBSTITUTE(TRIM(ROUND(IFERROR(CriteriTecnici!$L446*1,IFERROR(NUMBERVALUE(CriteriTecnici!$L446,".",","),IFERROR(NUMBERVALUE(CriteriTecnici!$L446,",","."),0))),4)&amp;""),",",".")&amp;", "&amp;CHAR(34)&amp;"flag"&amp;CHAR(34)&amp;": "&amp;SUBSTITUTE(TRIM(ROUND(IFERROR(CriteriTecnici!$M446*1,IFERROR(NUMBERVALUE(CriteriTecnici!$M446,".",","),IFERROR(NUMBERVALUE(CriteriTecnici!$M446,",","."),0))),4)&amp;""),",",".")&amp;", "&amp;CHAR(34)&amp;"rawScore"&amp;CHAR(34)&amp;": "&amp;SUBSTITUTE(TRIM(ROUND(IFERROR(CriteriTecnici!$O446*1,IFERROR(NUMBERVALUE(CriteriTecnici!$O446,".",","),IFERROR(NUMBERVALUE(CriteriTecnici!$O446,",","."),0))),4)&amp;""),",",".")&amp;CHAR(125)&amp;IF(TRUE,",",""))</f>
        <v/>
      </c>
    </row>
    <row r="548">
      <c r="A548" s="82">
        <f>IF(CriteriTecnici!$A447="","","    "&amp;CHAR(123)&amp;CHAR(34)&amp;"bidderId"&amp;CHAR(34)&amp;": "&amp;CHAR(34)&amp;SUBSTITUTE(CriteriTecnici!$A447,CHAR(34),"'")&amp;CHAR(34)&amp;", "&amp;CHAR(34)&amp;"lotId"&amp;CHAR(34)&amp;": "&amp;CHAR(34)&amp;SUBSTITUTE(CriteriTecnici!$C447,CHAR(34),"'")&amp;CHAR(34)&amp;", "&amp;CHAR(34)&amp;"criterionId"&amp;CHAR(34)&amp;": "&amp;CHAR(34)&amp;SUBSTITUTE(CriteriTecnici!$D447,CHAR(34),"'")&amp;CHAR(34)&amp;", "&amp;CHAR(34)&amp;"kind"&amp;CHAR(34)&amp;": "&amp;CHAR(34)&amp;SUBSTITUTE(CriteriTecnici!$F447,CHAR(34),"'")&amp;CHAR(34)&amp;", "&amp;CHAR(34)&amp;"value"&amp;CHAR(34)&amp;": "&amp;SUBSTITUTE(TRIM(ROUND(IFERROR(CriteriTecnici!$N447*1,IFERROR(NUMBERVALUE(CriteriTecnici!$N447,".",","),IFERROR(NUMBERVALUE(CriteriTecnici!$N447,",","."),0))),4)&amp;""),",",".")&amp;", "&amp;CHAR(34)&amp;"numerator"&amp;CHAR(34)&amp;": "&amp;SUBSTITUTE(TRIM(ROUND(IFERROR(CriteriTecnici!$K447*1,IFERROR(NUMBERVALUE(CriteriTecnici!$K447,".",","),IFERROR(NUMBERVALUE(CriteriTecnici!$K447,",","."),0))),4)&amp;""),",",".")&amp;", "&amp;CHAR(34)&amp;"denominator"&amp;CHAR(34)&amp;": "&amp;SUBSTITUTE(TRIM(ROUND(IFERROR(CriteriTecnici!$L447*1,IFERROR(NUMBERVALUE(CriteriTecnici!$L447,".",","),IFERROR(NUMBERVALUE(CriteriTecnici!$L447,",","."),0))),4)&amp;""),",",".")&amp;", "&amp;CHAR(34)&amp;"flag"&amp;CHAR(34)&amp;": "&amp;SUBSTITUTE(TRIM(ROUND(IFERROR(CriteriTecnici!$M447*1,IFERROR(NUMBERVALUE(CriteriTecnici!$M447,".",","),IFERROR(NUMBERVALUE(CriteriTecnici!$M447,",","."),0))),4)&amp;""),",",".")&amp;", "&amp;CHAR(34)&amp;"rawScore"&amp;CHAR(34)&amp;": "&amp;SUBSTITUTE(TRIM(ROUND(IFERROR(CriteriTecnici!$O447*1,IFERROR(NUMBERVALUE(CriteriTecnici!$O447,".",","),IFERROR(NUMBERVALUE(CriteriTecnici!$O447,",","."),0))),4)&amp;""),",",".")&amp;CHAR(125)&amp;IF(TRUE,",",""))</f>
        <v/>
      </c>
    </row>
    <row r="549">
      <c r="A549" s="82">
        <f>IF(CriteriTecnici!$A448="","","    "&amp;CHAR(123)&amp;CHAR(34)&amp;"bidderId"&amp;CHAR(34)&amp;": "&amp;CHAR(34)&amp;SUBSTITUTE(CriteriTecnici!$A448,CHAR(34),"'")&amp;CHAR(34)&amp;", "&amp;CHAR(34)&amp;"lotId"&amp;CHAR(34)&amp;": "&amp;CHAR(34)&amp;SUBSTITUTE(CriteriTecnici!$C448,CHAR(34),"'")&amp;CHAR(34)&amp;", "&amp;CHAR(34)&amp;"criterionId"&amp;CHAR(34)&amp;": "&amp;CHAR(34)&amp;SUBSTITUTE(CriteriTecnici!$D448,CHAR(34),"'")&amp;CHAR(34)&amp;", "&amp;CHAR(34)&amp;"kind"&amp;CHAR(34)&amp;": "&amp;CHAR(34)&amp;SUBSTITUTE(CriteriTecnici!$F448,CHAR(34),"'")&amp;CHAR(34)&amp;", "&amp;CHAR(34)&amp;"value"&amp;CHAR(34)&amp;": "&amp;SUBSTITUTE(TRIM(ROUND(IFERROR(CriteriTecnici!$N448*1,IFERROR(NUMBERVALUE(CriteriTecnici!$N448,".",","),IFERROR(NUMBERVALUE(CriteriTecnici!$N448,",","."),0))),4)&amp;""),",",".")&amp;", "&amp;CHAR(34)&amp;"numerator"&amp;CHAR(34)&amp;": "&amp;SUBSTITUTE(TRIM(ROUND(IFERROR(CriteriTecnici!$K448*1,IFERROR(NUMBERVALUE(CriteriTecnici!$K448,".",","),IFERROR(NUMBERVALUE(CriteriTecnici!$K448,",","."),0))),4)&amp;""),",",".")&amp;", "&amp;CHAR(34)&amp;"denominator"&amp;CHAR(34)&amp;": "&amp;SUBSTITUTE(TRIM(ROUND(IFERROR(CriteriTecnici!$L448*1,IFERROR(NUMBERVALUE(CriteriTecnici!$L448,".",","),IFERROR(NUMBERVALUE(CriteriTecnici!$L448,",","."),0))),4)&amp;""),",",".")&amp;", "&amp;CHAR(34)&amp;"flag"&amp;CHAR(34)&amp;": "&amp;SUBSTITUTE(TRIM(ROUND(IFERROR(CriteriTecnici!$M448*1,IFERROR(NUMBERVALUE(CriteriTecnici!$M448,".",","),IFERROR(NUMBERVALUE(CriteriTecnici!$M448,",","."),0))),4)&amp;""),",",".")&amp;", "&amp;CHAR(34)&amp;"rawScore"&amp;CHAR(34)&amp;": "&amp;SUBSTITUTE(TRIM(ROUND(IFERROR(CriteriTecnici!$O448*1,IFERROR(NUMBERVALUE(CriteriTecnici!$O448,".",","),IFERROR(NUMBERVALUE(CriteriTecnici!$O448,",","."),0))),4)&amp;""),",",".")&amp;CHAR(125)&amp;IF(TRUE,",",""))</f>
        <v/>
      </c>
    </row>
    <row r="550">
      <c r="A550" s="82">
        <f>IF(CriteriTecnici!$A449="","","    "&amp;CHAR(123)&amp;CHAR(34)&amp;"bidderId"&amp;CHAR(34)&amp;": "&amp;CHAR(34)&amp;SUBSTITUTE(CriteriTecnici!$A449,CHAR(34),"'")&amp;CHAR(34)&amp;", "&amp;CHAR(34)&amp;"lotId"&amp;CHAR(34)&amp;": "&amp;CHAR(34)&amp;SUBSTITUTE(CriteriTecnici!$C449,CHAR(34),"'")&amp;CHAR(34)&amp;", "&amp;CHAR(34)&amp;"criterionId"&amp;CHAR(34)&amp;": "&amp;CHAR(34)&amp;SUBSTITUTE(CriteriTecnici!$D449,CHAR(34),"'")&amp;CHAR(34)&amp;", "&amp;CHAR(34)&amp;"kind"&amp;CHAR(34)&amp;": "&amp;CHAR(34)&amp;SUBSTITUTE(CriteriTecnici!$F449,CHAR(34),"'")&amp;CHAR(34)&amp;", "&amp;CHAR(34)&amp;"value"&amp;CHAR(34)&amp;": "&amp;SUBSTITUTE(TRIM(ROUND(IFERROR(CriteriTecnici!$N449*1,IFERROR(NUMBERVALUE(CriteriTecnici!$N449,".",","),IFERROR(NUMBERVALUE(CriteriTecnici!$N449,",","."),0))),4)&amp;""),",",".")&amp;", "&amp;CHAR(34)&amp;"numerator"&amp;CHAR(34)&amp;": "&amp;SUBSTITUTE(TRIM(ROUND(IFERROR(CriteriTecnici!$K449*1,IFERROR(NUMBERVALUE(CriteriTecnici!$K449,".",","),IFERROR(NUMBERVALUE(CriteriTecnici!$K449,",","."),0))),4)&amp;""),",",".")&amp;", "&amp;CHAR(34)&amp;"denominator"&amp;CHAR(34)&amp;": "&amp;SUBSTITUTE(TRIM(ROUND(IFERROR(CriteriTecnici!$L449*1,IFERROR(NUMBERVALUE(CriteriTecnici!$L449,".",","),IFERROR(NUMBERVALUE(CriteriTecnici!$L449,",","."),0))),4)&amp;""),",",".")&amp;", "&amp;CHAR(34)&amp;"flag"&amp;CHAR(34)&amp;": "&amp;SUBSTITUTE(TRIM(ROUND(IFERROR(CriteriTecnici!$M449*1,IFERROR(NUMBERVALUE(CriteriTecnici!$M449,".",","),IFERROR(NUMBERVALUE(CriteriTecnici!$M449,",","."),0))),4)&amp;""),",",".")&amp;", "&amp;CHAR(34)&amp;"rawScore"&amp;CHAR(34)&amp;": "&amp;SUBSTITUTE(TRIM(ROUND(IFERROR(CriteriTecnici!$O449*1,IFERROR(NUMBERVALUE(CriteriTecnici!$O449,".",","),IFERROR(NUMBERVALUE(CriteriTecnici!$O449,",","."),0))),4)&amp;""),",",".")&amp;CHAR(125)&amp;IF(TRUE,",",""))</f>
        <v/>
      </c>
    </row>
    <row r="551">
      <c r="A551" s="82">
        <f>IF(CriteriTecnici!$A450="","","    "&amp;CHAR(123)&amp;CHAR(34)&amp;"bidderId"&amp;CHAR(34)&amp;": "&amp;CHAR(34)&amp;SUBSTITUTE(CriteriTecnici!$A450,CHAR(34),"'")&amp;CHAR(34)&amp;", "&amp;CHAR(34)&amp;"lotId"&amp;CHAR(34)&amp;": "&amp;CHAR(34)&amp;SUBSTITUTE(CriteriTecnici!$C450,CHAR(34),"'")&amp;CHAR(34)&amp;", "&amp;CHAR(34)&amp;"criterionId"&amp;CHAR(34)&amp;": "&amp;CHAR(34)&amp;SUBSTITUTE(CriteriTecnici!$D450,CHAR(34),"'")&amp;CHAR(34)&amp;", "&amp;CHAR(34)&amp;"kind"&amp;CHAR(34)&amp;": "&amp;CHAR(34)&amp;SUBSTITUTE(CriteriTecnici!$F450,CHAR(34),"'")&amp;CHAR(34)&amp;", "&amp;CHAR(34)&amp;"value"&amp;CHAR(34)&amp;": "&amp;SUBSTITUTE(TRIM(ROUND(IFERROR(CriteriTecnici!$N450*1,IFERROR(NUMBERVALUE(CriteriTecnici!$N450,".",","),IFERROR(NUMBERVALUE(CriteriTecnici!$N450,",","."),0))),4)&amp;""),",",".")&amp;", "&amp;CHAR(34)&amp;"numerator"&amp;CHAR(34)&amp;": "&amp;SUBSTITUTE(TRIM(ROUND(IFERROR(CriteriTecnici!$K450*1,IFERROR(NUMBERVALUE(CriteriTecnici!$K450,".",","),IFERROR(NUMBERVALUE(CriteriTecnici!$K450,",","."),0))),4)&amp;""),",",".")&amp;", "&amp;CHAR(34)&amp;"denominator"&amp;CHAR(34)&amp;": "&amp;SUBSTITUTE(TRIM(ROUND(IFERROR(CriteriTecnici!$L450*1,IFERROR(NUMBERVALUE(CriteriTecnici!$L450,".",","),IFERROR(NUMBERVALUE(CriteriTecnici!$L450,",","."),0))),4)&amp;""),",",".")&amp;", "&amp;CHAR(34)&amp;"flag"&amp;CHAR(34)&amp;": "&amp;SUBSTITUTE(TRIM(ROUND(IFERROR(CriteriTecnici!$M450*1,IFERROR(NUMBERVALUE(CriteriTecnici!$M450,".",","),IFERROR(NUMBERVALUE(CriteriTecnici!$M450,",","."),0))),4)&amp;""),",",".")&amp;", "&amp;CHAR(34)&amp;"rawScore"&amp;CHAR(34)&amp;": "&amp;SUBSTITUTE(TRIM(ROUND(IFERROR(CriteriTecnici!$O450*1,IFERROR(NUMBERVALUE(CriteriTecnici!$O450,".",","),IFERROR(NUMBERVALUE(CriteriTecnici!$O450,",","."),0))),4)&amp;""),",",".")&amp;CHAR(125)&amp;IF(TRUE,",",""))</f>
        <v/>
      </c>
    </row>
    <row r="552">
      <c r="A552" s="82">
        <f>IF(CriteriTecnici!$A451="","","    "&amp;CHAR(123)&amp;CHAR(34)&amp;"bidderId"&amp;CHAR(34)&amp;": "&amp;CHAR(34)&amp;SUBSTITUTE(CriteriTecnici!$A451,CHAR(34),"'")&amp;CHAR(34)&amp;", "&amp;CHAR(34)&amp;"lotId"&amp;CHAR(34)&amp;": "&amp;CHAR(34)&amp;SUBSTITUTE(CriteriTecnici!$C451,CHAR(34),"'")&amp;CHAR(34)&amp;", "&amp;CHAR(34)&amp;"criterionId"&amp;CHAR(34)&amp;": "&amp;CHAR(34)&amp;SUBSTITUTE(CriteriTecnici!$D451,CHAR(34),"'")&amp;CHAR(34)&amp;", "&amp;CHAR(34)&amp;"kind"&amp;CHAR(34)&amp;": "&amp;CHAR(34)&amp;SUBSTITUTE(CriteriTecnici!$F451,CHAR(34),"'")&amp;CHAR(34)&amp;", "&amp;CHAR(34)&amp;"value"&amp;CHAR(34)&amp;": "&amp;SUBSTITUTE(TRIM(ROUND(IFERROR(CriteriTecnici!$N451*1,IFERROR(NUMBERVALUE(CriteriTecnici!$N451,".",","),IFERROR(NUMBERVALUE(CriteriTecnici!$N451,",","."),0))),4)&amp;""),",",".")&amp;", "&amp;CHAR(34)&amp;"numerator"&amp;CHAR(34)&amp;": "&amp;SUBSTITUTE(TRIM(ROUND(IFERROR(CriteriTecnici!$K451*1,IFERROR(NUMBERVALUE(CriteriTecnici!$K451,".",","),IFERROR(NUMBERVALUE(CriteriTecnici!$K451,",","."),0))),4)&amp;""),",",".")&amp;", "&amp;CHAR(34)&amp;"denominator"&amp;CHAR(34)&amp;": "&amp;SUBSTITUTE(TRIM(ROUND(IFERROR(CriteriTecnici!$L451*1,IFERROR(NUMBERVALUE(CriteriTecnici!$L451,".",","),IFERROR(NUMBERVALUE(CriteriTecnici!$L451,",","."),0))),4)&amp;""),",",".")&amp;", "&amp;CHAR(34)&amp;"flag"&amp;CHAR(34)&amp;": "&amp;SUBSTITUTE(TRIM(ROUND(IFERROR(CriteriTecnici!$M451*1,IFERROR(NUMBERVALUE(CriteriTecnici!$M451,".",","),IFERROR(NUMBERVALUE(CriteriTecnici!$M451,",","."),0))),4)&amp;""),",",".")&amp;", "&amp;CHAR(34)&amp;"rawScore"&amp;CHAR(34)&amp;": "&amp;SUBSTITUTE(TRIM(ROUND(IFERROR(CriteriTecnici!$O451*1,IFERROR(NUMBERVALUE(CriteriTecnici!$O451,".",","),IFERROR(NUMBERVALUE(CriteriTecnici!$O451,",","."),0))),4)&amp;""),",",".")&amp;CHAR(125)&amp;IF(TRUE,",",""))</f>
        <v/>
      </c>
    </row>
    <row r="553">
      <c r="A553" s="82">
        <f>IF(CriteriTecnici!$A452="","","    "&amp;CHAR(123)&amp;CHAR(34)&amp;"bidderId"&amp;CHAR(34)&amp;": "&amp;CHAR(34)&amp;SUBSTITUTE(CriteriTecnici!$A452,CHAR(34),"'")&amp;CHAR(34)&amp;", "&amp;CHAR(34)&amp;"lotId"&amp;CHAR(34)&amp;": "&amp;CHAR(34)&amp;SUBSTITUTE(CriteriTecnici!$C452,CHAR(34),"'")&amp;CHAR(34)&amp;", "&amp;CHAR(34)&amp;"criterionId"&amp;CHAR(34)&amp;": "&amp;CHAR(34)&amp;SUBSTITUTE(CriteriTecnici!$D452,CHAR(34),"'")&amp;CHAR(34)&amp;", "&amp;CHAR(34)&amp;"kind"&amp;CHAR(34)&amp;": "&amp;CHAR(34)&amp;SUBSTITUTE(CriteriTecnici!$F452,CHAR(34),"'")&amp;CHAR(34)&amp;", "&amp;CHAR(34)&amp;"value"&amp;CHAR(34)&amp;": "&amp;SUBSTITUTE(TRIM(ROUND(IFERROR(CriteriTecnici!$N452*1,IFERROR(NUMBERVALUE(CriteriTecnici!$N452,".",","),IFERROR(NUMBERVALUE(CriteriTecnici!$N452,",","."),0))),4)&amp;""),",",".")&amp;", "&amp;CHAR(34)&amp;"numerator"&amp;CHAR(34)&amp;": "&amp;SUBSTITUTE(TRIM(ROUND(IFERROR(CriteriTecnici!$K452*1,IFERROR(NUMBERVALUE(CriteriTecnici!$K452,".",","),IFERROR(NUMBERVALUE(CriteriTecnici!$K452,",","."),0))),4)&amp;""),",",".")&amp;", "&amp;CHAR(34)&amp;"denominator"&amp;CHAR(34)&amp;": "&amp;SUBSTITUTE(TRIM(ROUND(IFERROR(CriteriTecnici!$L452*1,IFERROR(NUMBERVALUE(CriteriTecnici!$L452,".",","),IFERROR(NUMBERVALUE(CriteriTecnici!$L452,",","."),0))),4)&amp;""),",",".")&amp;", "&amp;CHAR(34)&amp;"flag"&amp;CHAR(34)&amp;": "&amp;SUBSTITUTE(TRIM(ROUND(IFERROR(CriteriTecnici!$M452*1,IFERROR(NUMBERVALUE(CriteriTecnici!$M452,".",","),IFERROR(NUMBERVALUE(CriteriTecnici!$M452,",","."),0))),4)&amp;""),",",".")&amp;", "&amp;CHAR(34)&amp;"rawScore"&amp;CHAR(34)&amp;": "&amp;SUBSTITUTE(TRIM(ROUND(IFERROR(CriteriTecnici!$O452*1,IFERROR(NUMBERVALUE(CriteriTecnici!$O452,".",","),IFERROR(NUMBERVALUE(CriteriTecnici!$O452,",","."),0))),4)&amp;""),",",".")&amp;CHAR(125)&amp;IF(TRUE,",",""))</f>
        <v/>
      </c>
    </row>
    <row r="554">
      <c r="A554" s="82">
        <f>IF(CriteriTecnici!$A453="","","    "&amp;CHAR(123)&amp;CHAR(34)&amp;"bidderId"&amp;CHAR(34)&amp;": "&amp;CHAR(34)&amp;SUBSTITUTE(CriteriTecnici!$A453,CHAR(34),"'")&amp;CHAR(34)&amp;", "&amp;CHAR(34)&amp;"lotId"&amp;CHAR(34)&amp;": "&amp;CHAR(34)&amp;SUBSTITUTE(CriteriTecnici!$C453,CHAR(34),"'")&amp;CHAR(34)&amp;", "&amp;CHAR(34)&amp;"criterionId"&amp;CHAR(34)&amp;": "&amp;CHAR(34)&amp;SUBSTITUTE(CriteriTecnici!$D453,CHAR(34),"'")&amp;CHAR(34)&amp;", "&amp;CHAR(34)&amp;"kind"&amp;CHAR(34)&amp;": "&amp;CHAR(34)&amp;SUBSTITUTE(CriteriTecnici!$F453,CHAR(34),"'")&amp;CHAR(34)&amp;", "&amp;CHAR(34)&amp;"value"&amp;CHAR(34)&amp;": "&amp;SUBSTITUTE(TRIM(ROUND(IFERROR(CriteriTecnici!$N453*1,IFERROR(NUMBERVALUE(CriteriTecnici!$N453,".",","),IFERROR(NUMBERVALUE(CriteriTecnici!$N453,",","."),0))),4)&amp;""),",",".")&amp;", "&amp;CHAR(34)&amp;"numerator"&amp;CHAR(34)&amp;": "&amp;SUBSTITUTE(TRIM(ROUND(IFERROR(CriteriTecnici!$K453*1,IFERROR(NUMBERVALUE(CriteriTecnici!$K453,".",","),IFERROR(NUMBERVALUE(CriteriTecnici!$K453,",","."),0))),4)&amp;""),",",".")&amp;", "&amp;CHAR(34)&amp;"denominator"&amp;CHAR(34)&amp;": "&amp;SUBSTITUTE(TRIM(ROUND(IFERROR(CriteriTecnici!$L453*1,IFERROR(NUMBERVALUE(CriteriTecnici!$L453,".",","),IFERROR(NUMBERVALUE(CriteriTecnici!$L453,",","."),0))),4)&amp;""),",",".")&amp;", "&amp;CHAR(34)&amp;"flag"&amp;CHAR(34)&amp;": "&amp;SUBSTITUTE(TRIM(ROUND(IFERROR(CriteriTecnici!$M453*1,IFERROR(NUMBERVALUE(CriteriTecnici!$M453,".",","),IFERROR(NUMBERVALUE(CriteriTecnici!$M453,",","."),0))),4)&amp;""),",",".")&amp;", "&amp;CHAR(34)&amp;"rawScore"&amp;CHAR(34)&amp;": "&amp;SUBSTITUTE(TRIM(ROUND(IFERROR(CriteriTecnici!$O453*1,IFERROR(NUMBERVALUE(CriteriTecnici!$O453,".",","),IFERROR(NUMBERVALUE(CriteriTecnici!$O453,",","."),0))),4)&amp;""),",",".")&amp;CHAR(125)&amp;IF(TRUE,",",""))</f>
        <v/>
      </c>
    </row>
    <row r="555">
      <c r="A555" s="82">
        <f>IF(CriteriTecnici!$A454="","","    "&amp;CHAR(123)&amp;CHAR(34)&amp;"bidderId"&amp;CHAR(34)&amp;": "&amp;CHAR(34)&amp;SUBSTITUTE(CriteriTecnici!$A454,CHAR(34),"'")&amp;CHAR(34)&amp;", "&amp;CHAR(34)&amp;"lotId"&amp;CHAR(34)&amp;": "&amp;CHAR(34)&amp;SUBSTITUTE(CriteriTecnici!$C454,CHAR(34),"'")&amp;CHAR(34)&amp;", "&amp;CHAR(34)&amp;"criterionId"&amp;CHAR(34)&amp;": "&amp;CHAR(34)&amp;SUBSTITUTE(CriteriTecnici!$D454,CHAR(34),"'")&amp;CHAR(34)&amp;", "&amp;CHAR(34)&amp;"kind"&amp;CHAR(34)&amp;": "&amp;CHAR(34)&amp;SUBSTITUTE(CriteriTecnici!$F454,CHAR(34),"'")&amp;CHAR(34)&amp;", "&amp;CHAR(34)&amp;"value"&amp;CHAR(34)&amp;": "&amp;SUBSTITUTE(TRIM(ROUND(IFERROR(CriteriTecnici!$N454*1,IFERROR(NUMBERVALUE(CriteriTecnici!$N454,".",","),IFERROR(NUMBERVALUE(CriteriTecnici!$N454,",","."),0))),4)&amp;""),",",".")&amp;", "&amp;CHAR(34)&amp;"numerator"&amp;CHAR(34)&amp;": "&amp;SUBSTITUTE(TRIM(ROUND(IFERROR(CriteriTecnici!$K454*1,IFERROR(NUMBERVALUE(CriteriTecnici!$K454,".",","),IFERROR(NUMBERVALUE(CriteriTecnici!$K454,",","."),0))),4)&amp;""),",",".")&amp;", "&amp;CHAR(34)&amp;"denominator"&amp;CHAR(34)&amp;": "&amp;SUBSTITUTE(TRIM(ROUND(IFERROR(CriteriTecnici!$L454*1,IFERROR(NUMBERVALUE(CriteriTecnici!$L454,".",","),IFERROR(NUMBERVALUE(CriteriTecnici!$L454,",","."),0))),4)&amp;""),",",".")&amp;", "&amp;CHAR(34)&amp;"flag"&amp;CHAR(34)&amp;": "&amp;SUBSTITUTE(TRIM(ROUND(IFERROR(CriteriTecnici!$M454*1,IFERROR(NUMBERVALUE(CriteriTecnici!$M454,".",","),IFERROR(NUMBERVALUE(CriteriTecnici!$M454,",","."),0))),4)&amp;""),",",".")&amp;", "&amp;CHAR(34)&amp;"rawScore"&amp;CHAR(34)&amp;": "&amp;SUBSTITUTE(TRIM(ROUND(IFERROR(CriteriTecnici!$O454*1,IFERROR(NUMBERVALUE(CriteriTecnici!$O454,".",","),IFERROR(NUMBERVALUE(CriteriTecnici!$O454,",","."),0))),4)&amp;""),",",".")&amp;CHAR(125)&amp;IF(TRUE,",",""))</f>
        <v/>
      </c>
    </row>
    <row r="556">
      <c r="A556" s="82">
        <f>IF(CriteriTecnici!$A455="","","    "&amp;CHAR(123)&amp;CHAR(34)&amp;"bidderId"&amp;CHAR(34)&amp;": "&amp;CHAR(34)&amp;SUBSTITUTE(CriteriTecnici!$A455,CHAR(34),"'")&amp;CHAR(34)&amp;", "&amp;CHAR(34)&amp;"lotId"&amp;CHAR(34)&amp;": "&amp;CHAR(34)&amp;SUBSTITUTE(CriteriTecnici!$C455,CHAR(34),"'")&amp;CHAR(34)&amp;", "&amp;CHAR(34)&amp;"criterionId"&amp;CHAR(34)&amp;": "&amp;CHAR(34)&amp;SUBSTITUTE(CriteriTecnici!$D455,CHAR(34),"'")&amp;CHAR(34)&amp;", "&amp;CHAR(34)&amp;"kind"&amp;CHAR(34)&amp;": "&amp;CHAR(34)&amp;SUBSTITUTE(CriteriTecnici!$F455,CHAR(34),"'")&amp;CHAR(34)&amp;", "&amp;CHAR(34)&amp;"value"&amp;CHAR(34)&amp;": "&amp;SUBSTITUTE(TRIM(ROUND(IFERROR(CriteriTecnici!$N455*1,IFERROR(NUMBERVALUE(CriteriTecnici!$N455,".",","),IFERROR(NUMBERVALUE(CriteriTecnici!$N455,",","."),0))),4)&amp;""),",",".")&amp;", "&amp;CHAR(34)&amp;"numerator"&amp;CHAR(34)&amp;": "&amp;SUBSTITUTE(TRIM(ROUND(IFERROR(CriteriTecnici!$K455*1,IFERROR(NUMBERVALUE(CriteriTecnici!$K455,".",","),IFERROR(NUMBERVALUE(CriteriTecnici!$K455,",","."),0))),4)&amp;""),",",".")&amp;", "&amp;CHAR(34)&amp;"denominator"&amp;CHAR(34)&amp;": "&amp;SUBSTITUTE(TRIM(ROUND(IFERROR(CriteriTecnici!$L455*1,IFERROR(NUMBERVALUE(CriteriTecnici!$L455,".",","),IFERROR(NUMBERVALUE(CriteriTecnici!$L455,",","."),0))),4)&amp;""),",",".")&amp;", "&amp;CHAR(34)&amp;"flag"&amp;CHAR(34)&amp;": "&amp;SUBSTITUTE(TRIM(ROUND(IFERROR(CriteriTecnici!$M455*1,IFERROR(NUMBERVALUE(CriteriTecnici!$M455,".",","),IFERROR(NUMBERVALUE(CriteriTecnici!$M455,",","."),0))),4)&amp;""),",",".")&amp;", "&amp;CHAR(34)&amp;"rawScore"&amp;CHAR(34)&amp;": "&amp;SUBSTITUTE(TRIM(ROUND(IFERROR(CriteriTecnici!$O455*1,IFERROR(NUMBERVALUE(CriteriTecnici!$O455,".",","),IFERROR(NUMBERVALUE(CriteriTecnici!$O455,",","."),0))),4)&amp;""),",",".")&amp;CHAR(125)&amp;IF(TRUE,",",""))</f>
        <v/>
      </c>
    </row>
    <row r="557">
      <c r="A557" s="82">
        <f>IF(CriteriTecnici!$A456="","","    "&amp;CHAR(123)&amp;CHAR(34)&amp;"bidderId"&amp;CHAR(34)&amp;": "&amp;CHAR(34)&amp;SUBSTITUTE(CriteriTecnici!$A456,CHAR(34),"'")&amp;CHAR(34)&amp;", "&amp;CHAR(34)&amp;"lotId"&amp;CHAR(34)&amp;": "&amp;CHAR(34)&amp;SUBSTITUTE(CriteriTecnici!$C456,CHAR(34),"'")&amp;CHAR(34)&amp;", "&amp;CHAR(34)&amp;"criterionId"&amp;CHAR(34)&amp;": "&amp;CHAR(34)&amp;SUBSTITUTE(CriteriTecnici!$D456,CHAR(34),"'")&amp;CHAR(34)&amp;", "&amp;CHAR(34)&amp;"kind"&amp;CHAR(34)&amp;": "&amp;CHAR(34)&amp;SUBSTITUTE(CriteriTecnici!$F456,CHAR(34),"'")&amp;CHAR(34)&amp;", "&amp;CHAR(34)&amp;"value"&amp;CHAR(34)&amp;": "&amp;SUBSTITUTE(TRIM(ROUND(IFERROR(CriteriTecnici!$N456*1,IFERROR(NUMBERVALUE(CriteriTecnici!$N456,".",","),IFERROR(NUMBERVALUE(CriteriTecnici!$N456,",","."),0))),4)&amp;""),",",".")&amp;", "&amp;CHAR(34)&amp;"numerator"&amp;CHAR(34)&amp;": "&amp;SUBSTITUTE(TRIM(ROUND(IFERROR(CriteriTecnici!$K456*1,IFERROR(NUMBERVALUE(CriteriTecnici!$K456,".",","),IFERROR(NUMBERVALUE(CriteriTecnici!$K456,",","."),0))),4)&amp;""),",",".")&amp;", "&amp;CHAR(34)&amp;"denominator"&amp;CHAR(34)&amp;": "&amp;SUBSTITUTE(TRIM(ROUND(IFERROR(CriteriTecnici!$L456*1,IFERROR(NUMBERVALUE(CriteriTecnici!$L456,".",","),IFERROR(NUMBERVALUE(CriteriTecnici!$L456,",","."),0))),4)&amp;""),",",".")&amp;", "&amp;CHAR(34)&amp;"flag"&amp;CHAR(34)&amp;": "&amp;SUBSTITUTE(TRIM(ROUND(IFERROR(CriteriTecnici!$M456*1,IFERROR(NUMBERVALUE(CriteriTecnici!$M456,".",","),IFERROR(NUMBERVALUE(CriteriTecnici!$M456,",","."),0))),4)&amp;""),",",".")&amp;", "&amp;CHAR(34)&amp;"rawScore"&amp;CHAR(34)&amp;": "&amp;SUBSTITUTE(TRIM(ROUND(IFERROR(CriteriTecnici!$O456*1,IFERROR(NUMBERVALUE(CriteriTecnici!$O456,".",","),IFERROR(NUMBERVALUE(CriteriTecnici!$O456,",","."),0))),4)&amp;""),",",".")&amp;CHAR(125)&amp;IF(TRUE,",",""))</f>
        <v/>
      </c>
    </row>
    <row r="558">
      <c r="A558" s="82">
        <f>IF(CriteriTecnici!$A457="","","    "&amp;CHAR(123)&amp;CHAR(34)&amp;"bidderId"&amp;CHAR(34)&amp;": "&amp;CHAR(34)&amp;SUBSTITUTE(CriteriTecnici!$A457,CHAR(34),"'")&amp;CHAR(34)&amp;", "&amp;CHAR(34)&amp;"lotId"&amp;CHAR(34)&amp;": "&amp;CHAR(34)&amp;SUBSTITUTE(CriteriTecnici!$C457,CHAR(34),"'")&amp;CHAR(34)&amp;", "&amp;CHAR(34)&amp;"criterionId"&amp;CHAR(34)&amp;": "&amp;CHAR(34)&amp;SUBSTITUTE(CriteriTecnici!$D457,CHAR(34),"'")&amp;CHAR(34)&amp;", "&amp;CHAR(34)&amp;"kind"&amp;CHAR(34)&amp;": "&amp;CHAR(34)&amp;SUBSTITUTE(CriteriTecnici!$F457,CHAR(34),"'")&amp;CHAR(34)&amp;", "&amp;CHAR(34)&amp;"value"&amp;CHAR(34)&amp;": "&amp;SUBSTITUTE(TRIM(ROUND(IFERROR(CriteriTecnici!$N457*1,IFERROR(NUMBERVALUE(CriteriTecnici!$N457,".",","),IFERROR(NUMBERVALUE(CriteriTecnici!$N457,",","."),0))),4)&amp;""),",",".")&amp;", "&amp;CHAR(34)&amp;"numerator"&amp;CHAR(34)&amp;": "&amp;SUBSTITUTE(TRIM(ROUND(IFERROR(CriteriTecnici!$K457*1,IFERROR(NUMBERVALUE(CriteriTecnici!$K457,".",","),IFERROR(NUMBERVALUE(CriteriTecnici!$K457,",","."),0))),4)&amp;""),",",".")&amp;", "&amp;CHAR(34)&amp;"denominator"&amp;CHAR(34)&amp;": "&amp;SUBSTITUTE(TRIM(ROUND(IFERROR(CriteriTecnici!$L457*1,IFERROR(NUMBERVALUE(CriteriTecnici!$L457,".",","),IFERROR(NUMBERVALUE(CriteriTecnici!$L457,",","."),0))),4)&amp;""),",",".")&amp;", "&amp;CHAR(34)&amp;"flag"&amp;CHAR(34)&amp;": "&amp;SUBSTITUTE(TRIM(ROUND(IFERROR(CriteriTecnici!$M457*1,IFERROR(NUMBERVALUE(CriteriTecnici!$M457,".",","),IFERROR(NUMBERVALUE(CriteriTecnici!$M457,",","."),0))),4)&amp;""),",",".")&amp;", "&amp;CHAR(34)&amp;"rawScore"&amp;CHAR(34)&amp;": "&amp;SUBSTITUTE(TRIM(ROUND(IFERROR(CriteriTecnici!$O457*1,IFERROR(NUMBERVALUE(CriteriTecnici!$O457,".",","),IFERROR(NUMBERVALUE(CriteriTecnici!$O457,",","."),0))),4)&amp;""),",",".")&amp;CHAR(125)&amp;IF(TRUE,",",""))</f>
        <v/>
      </c>
    </row>
    <row r="559">
      <c r="A559" s="82">
        <f>IF(CriteriTecnici!$A458="","","    "&amp;CHAR(123)&amp;CHAR(34)&amp;"bidderId"&amp;CHAR(34)&amp;": "&amp;CHAR(34)&amp;SUBSTITUTE(CriteriTecnici!$A458,CHAR(34),"'")&amp;CHAR(34)&amp;", "&amp;CHAR(34)&amp;"lotId"&amp;CHAR(34)&amp;": "&amp;CHAR(34)&amp;SUBSTITUTE(CriteriTecnici!$C458,CHAR(34),"'")&amp;CHAR(34)&amp;", "&amp;CHAR(34)&amp;"criterionId"&amp;CHAR(34)&amp;": "&amp;CHAR(34)&amp;SUBSTITUTE(CriteriTecnici!$D458,CHAR(34),"'")&amp;CHAR(34)&amp;", "&amp;CHAR(34)&amp;"kind"&amp;CHAR(34)&amp;": "&amp;CHAR(34)&amp;SUBSTITUTE(CriteriTecnici!$F458,CHAR(34),"'")&amp;CHAR(34)&amp;", "&amp;CHAR(34)&amp;"value"&amp;CHAR(34)&amp;": "&amp;SUBSTITUTE(TRIM(ROUND(IFERROR(CriteriTecnici!$N458*1,IFERROR(NUMBERVALUE(CriteriTecnici!$N458,".",","),IFERROR(NUMBERVALUE(CriteriTecnici!$N458,",","."),0))),4)&amp;""),",",".")&amp;", "&amp;CHAR(34)&amp;"numerator"&amp;CHAR(34)&amp;": "&amp;SUBSTITUTE(TRIM(ROUND(IFERROR(CriteriTecnici!$K458*1,IFERROR(NUMBERVALUE(CriteriTecnici!$K458,".",","),IFERROR(NUMBERVALUE(CriteriTecnici!$K458,",","."),0))),4)&amp;""),",",".")&amp;", "&amp;CHAR(34)&amp;"denominator"&amp;CHAR(34)&amp;": "&amp;SUBSTITUTE(TRIM(ROUND(IFERROR(CriteriTecnici!$L458*1,IFERROR(NUMBERVALUE(CriteriTecnici!$L458,".",","),IFERROR(NUMBERVALUE(CriteriTecnici!$L458,",","."),0))),4)&amp;""),",",".")&amp;", "&amp;CHAR(34)&amp;"flag"&amp;CHAR(34)&amp;": "&amp;SUBSTITUTE(TRIM(ROUND(IFERROR(CriteriTecnici!$M458*1,IFERROR(NUMBERVALUE(CriteriTecnici!$M458,".",","),IFERROR(NUMBERVALUE(CriteriTecnici!$M458,",","."),0))),4)&amp;""),",",".")&amp;", "&amp;CHAR(34)&amp;"rawScore"&amp;CHAR(34)&amp;": "&amp;SUBSTITUTE(TRIM(ROUND(IFERROR(CriteriTecnici!$O458*1,IFERROR(NUMBERVALUE(CriteriTecnici!$O458,".",","),IFERROR(NUMBERVALUE(CriteriTecnici!$O458,",","."),0))),4)&amp;""),",",".")&amp;CHAR(125)&amp;IF(TRUE,",",""))</f>
        <v/>
      </c>
    </row>
    <row r="560">
      <c r="A560" s="82">
        <f>IF(CriteriTecnici!$A459="","","    "&amp;CHAR(123)&amp;CHAR(34)&amp;"bidderId"&amp;CHAR(34)&amp;": "&amp;CHAR(34)&amp;SUBSTITUTE(CriteriTecnici!$A459,CHAR(34),"'")&amp;CHAR(34)&amp;", "&amp;CHAR(34)&amp;"lotId"&amp;CHAR(34)&amp;": "&amp;CHAR(34)&amp;SUBSTITUTE(CriteriTecnici!$C459,CHAR(34),"'")&amp;CHAR(34)&amp;", "&amp;CHAR(34)&amp;"criterionId"&amp;CHAR(34)&amp;": "&amp;CHAR(34)&amp;SUBSTITUTE(CriteriTecnici!$D459,CHAR(34),"'")&amp;CHAR(34)&amp;", "&amp;CHAR(34)&amp;"kind"&amp;CHAR(34)&amp;": "&amp;CHAR(34)&amp;SUBSTITUTE(CriteriTecnici!$F459,CHAR(34),"'")&amp;CHAR(34)&amp;", "&amp;CHAR(34)&amp;"value"&amp;CHAR(34)&amp;": "&amp;SUBSTITUTE(TRIM(ROUND(IFERROR(CriteriTecnici!$N459*1,IFERROR(NUMBERVALUE(CriteriTecnici!$N459,".",","),IFERROR(NUMBERVALUE(CriteriTecnici!$N459,",","."),0))),4)&amp;""),",",".")&amp;", "&amp;CHAR(34)&amp;"numerator"&amp;CHAR(34)&amp;": "&amp;SUBSTITUTE(TRIM(ROUND(IFERROR(CriteriTecnici!$K459*1,IFERROR(NUMBERVALUE(CriteriTecnici!$K459,".",","),IFERROR(NUMBERVALUE(CriteriTecnici!$K459,",","."),0))),4)&amp;""),",",".")&amp;", "&amp;CHAR(34)&amp;"denominator"&amp;CHAR(34)&amp;": "&amp;SUBSTITUTE(TRIM(ROUND(IFERROR(CriteriTecnici!$L459*1,IFERROR(NUMBERVALUE(CriteriTecnici!$L459,".",","),IFERROR(NUMBERVALUE(CriteriTecnici!$L459,",","."),0))),4)&amp;""),",",".")&amp;", "&amp;CHAR(34)&amp;"flag"&amp;CHAR(34)&amp;": "&amp;SUBSTITUTE(TRIM(ROUND(IFERROR(CriteriTecnici!$M459*1,IFERROR(NUMBERVALUE(CriteriTecnici!$M459,".",","),IFERROR(NUMBERVALUE(CriteriTecnici!$M459,",","."),0))),4)&amp;""),",",".")&amp;", "&amp;CHAR(34)&amp;"rawScore"&amp;CHAR(34)&amp;": "&amp;SUBSTITUTE(TRIM(ROUND(IFERROR(CriteriTecnici!$O459*1,IFERROR(NUMBERVALUE(CriteriTecnici!$O459,".",","),IFERROR(NUMBERVALUE(CriteriTecnici!$O459,",","."),0))),4)&amp;""),",",".")&amp;CHAR(125)&amp;IF(TRUE,",",""))</f>
        <v/>
      </c>
    </row>
    <row r="561">
      <c r="A561" s="82">
        <f>IF(CriteriTecnici!$A460="","","    "&amp;CHAR(123)&amp;CHAR(34)&amp;"bidderId"&amp;CHAR(34)&amp;": "&amp;CHAR(34)&amp;SUBSTITUTE(CriteriTecnici!$A460,CHAR(34),"'")&amp;CHAR(34)&amp;", "&amp;CHAR(34)&amp;"lotId"&amp;CHAR(34)&amp;": "&amp;CHAR(34)&amp;SUBSTITUTE(CriteriTecnici!$C460,CHAR(34),"'")&amp;CHAR(34)&amp;", "&amp;CHAR(34)&amp;"criterionId"&amp;CHAR(34)&amp;": "&amp;CHAR(34)&amp;SUBSTITUTE(CriteriTecnici!$D460,CHAR(34),"'")&amp;CHAR(34)&amp;", "&amp;CHAR(34)&amp;"kind"&amp;CHAR(34)&amp;": "&amp;CHAR(34)&amp;SUBSTITUTE(CriteriTecnici!$F460,CHAR(34),"'")&amp;CHAR(34)&amp;", "&amp;CHAR(34)&amp;"value"&amp;CHAR(34)&amp;": "&amp;SUBSTITUTE(TRIM(ROUND(IFERROR(CriteriTecnici!$N460*1,IFERROR(NUMBERVALUE(CriteriTecnici!$N460,".",","),IFERROR(NUMBERVALUE(CriteriTecnici!$N460,",","."),0))),4)&amp;""),",",".")&amp;", "&amp;CHAR(34)&amp;"numerator"&amp;CHAR(34)&amp;": "&amp;SUBSTITUTE(TRIM(ROUND(IFERROR(CriteriTecnici!$K460*1,IFERROR(NUMBERVALUE(CriteriTecnici!$K460,".",","),IFERROR(NUMBERVALUE(CriteriTecnici!$K460,",","."),0))),4)&amp;""),",",".")&amp;", "&amp;CHAR(34)&amp;"denominator"&amp;CHAR(34)&amp;": "&amp;SUBSTITUTE(TRIM(ROUND(IFERROR(CriteriTecnici!$L460*1,IFERROR(NUMBERVALUE(CriteriTecnici!$L460,".",","),IFERROR(NUMBERVALUE(CriteriTecnici!$L460,",","."),0))),4)&amp;""),",",".")&amp;", "&amp;CHAR(34)&amp;"flag"&amp;CHAR(34)&amp;": "&amp;SUBSTITUTE(TRIM(ROUND(IFERROR(CriteriTecnici!$M460*1,IFERROR(NUMBERVALUE(CriteriTecnici!$M460,".",","),IFERROR(NUMBERVALUE(CriteriTecnici!$M460,",","."),0))),4)&amp;""),",",".")&amp;", "&amp;CHAR(34)&amp;"rawScore"&amp;CHAR(34)&amp;": "&amp;SUBSTITUTE(TRIM(ROUND(IFERROR(CriteriTecnici!$O460*1,IFERROR(NUMBERVALUE(CriteriTecnici!$O460,".",","),IFERROR(NUMBERVALUE(CriteriTecnici!$O460,",","."),0))),4)&amp;""),",",".")&amp;CHAR(125)&amp;IF(TRUE,",",""))</f>
        <v/>
      </c>
    </row>
    <row r="562">
      <c r="A562" s="82">
        <f>IF(CriteriTecnici!$A461="","","    "&amp;CHAR(123)&amp;CHAR(34)&amp;"bidderId"&amp;CHAR(34)&amp;": "&amp;CHAR(34)&amp;SUBSTITUTE(CriteriTecnici!$A461,CHAR(34),"'")&amp;CHAR(34)&amp;", "&amp;CHAR(34)&amp;"lotId"&amp;CHAR(34)&amp;": "&amp;CHAR(34)&amp;SUBSTITUTE(CriteriTecnici!$C461,CHAR(34),"'")&amp;CHAR(34)&amp;", "&amp;CHAR(34)&amp;"criterionId"&amp;CHAR(34)&amp;": "&amp;CHAR(34)&amp;SUBSTITUTE(CriteriTecnici!$D461,CHAR(34),"'")&amp;CHAR(34)&amp;", "&amp;CHAR(34)&amp;"kind"&amp;CHAR(34)&amp;": "&amp;CHAR(34)&amp;SUBSTITUTE(CriteriTecnici!$F461,CHAR(34),"'")&amp;CHAR(34)&amp;", "&amp;CHAR(34)&amp;"value"&amp;CHAR(34)&amp;": "&amp;SUBSTITUTE(TRIM(ROUND(IFERROR(CriteriTecnici!$N461*1,IFERROR(NUMBERVALUE(CriteriTecnici!$N461,".",","),IFERROR(NUMBERVALUE(CriteriTecnici!$N461,",","."),0))),4)&amp;""),",",".")&amp;", "&amp;CHAR(34)&amp;"numerator"&amp;CHAR(34)&amp;": "&amp;SUBSTITUTE(TRIM(ROUND(IFERROR(CriteriTecnici!$K461*1,IFERROR(NUMBERVALUE(CriteriTecnici!$K461,".",","),IFERROR(NUMBERVALUE(CriteriTecnici!$K461,",","."),0))),4)&amp;""),",",".")&amp;", "&amp;CHAR(34)&amp;"denominator"&amp;CHAR(34)&amp;": "&amp;SUBSTITUTE(TRIM(ROUND(IFERROR(CriteriTecnici!$L461*1,IFERROR(NUMBERVALUE(CriteriTecnici!$L461,".",","),IFERROR(NUMBERVALUE(CriteriTecnici!$L461,",","."),0))),4)&amp;""),",",".")&amp;", "&amp;CHAR(34)&amp;"flag"&amp;CHAR(34)&amp;": "&amp;SUBSTITUTE(TRIM(ROUND(IFERROR(CriteriTecnici!$M461*1,IFERROR(NUMBERVALUE(CriteriTecnici!$M461,".",","),IFERROR(NUMBERVALUE(CriteriTecnici!$M461,",","."),0))),4)&amp;""),",",".")&amp;", "&amp;CHAR(34)&amp;"rawScore"&amp;CHAR(34)&amp;": "&amp;SUBSTITUTE(TRIM(ROUND(IFERROR(CriteriTecnici!$O461*1,IFERROR(NUMBERVALUE(CriteriTecnici!$O461,".",","),IFERROR(NUMBERVALUE(CriteriTecnici!$O461,",","."),0))),4)&amp;""),",",".")&amp;CHAR(125)&amp;IF(TRUE,",",""))</f>
        <v/>
      </c>
    </row>
    <row r="563">
      <c r="A563" s="82">
        <f>IF(CriteriTecnici!$A462="","","    "&amp;CHAR(123)&amp;CHAR(34)&amp;"bidderId"&amp;CHAR(34)&amp;": "&amp;CHAR(34)&amp;SUBSTITUTE(CriteriTecnici!$A462,CHAR(34),"'")&amp;CHAR(34)&amp;", "&amp;CHAR(34)&amp;"lotId"&amp;CHAR(34)&amp;": "&amp;CHAR(34)&amp;SUBSTITUTE(CriteriTecnici!$C462,CHAR(34),"'")&amp;CHAR(34)&amp;", "&amp;CHAR(34)&amp;"criterionId"&amp;CHAR(34)&amp;": "&amp;CHAR(34)&amp;SUBSTITUTE(CriteriTecnici!$D462,CHAR(34),"'")&amp;CHAR(34)&amp;", "&amp;CHAR(34)&amp;"kind"&amp;CHAR(34)&amp;": "&amp;CHAR(34)&amp;SUBSTITUTE(CriteriTecnici!$F462,CHAR(34),"'")&amp;CHAR(34)&amp;", "&amp;CHAR(34)&amp;"value"&amp;CHAR(34)&amp;": "&amp;SUBSTITUTE(TRIM(ROUND(IFERROR(CriteriTecnici!$N462*1,IFERROR(NUMBERVALUE(CriteriTecnici!$N462,".",","),IFERROR(NUMBERVALUE(CriteriTecnici!$N462,",","."),0))),4)&amp;""),",",".")&amp;", "&amp;CHAR(34)&amp;"numerator"&amp;CHAR(34)&amp;": "&amp;SUBSTITUTE(TRIM(ROUND(IFERROR(CriteriTecnici!$K462*1,IFERROR(NUMBERVALUE(CriteriTecnici!$K462,".",","),IFERROR(NUMBERVALUE(CriteriTecnici!$K462,",","."),0))),4)&amp;""),",",".")&amp;", "&amp;CHAR(34)&amp;"denominator"&amp;CHAR(34)&amp;": "&amp;SUBSTITUTE(TRIM(ROUND(IFERROR(CriteriTecnici!$L462*1,IFERROR(NUMBERVALUE(CriteriTecnici!$L462,".",","),IFERROR(NUMBERVALUE(CriteriTecnici!$L462,",","."),0))),4)&amp;""),",",".")&amp;", "&amp;CHAR(34)&amp;"flag"&amp;CHAR(34)&amp;": "&amp;SUBSTITUTE(TRIM(ROUND(IFERROR(CriteriTecnici!$M462*1,IFERROR(NUMBERVALUE(CriteriTecnici!$M462,".",","),IFERROR(NUMBERVALUE(CriteriTecnici!$M462,",","."),0))),4)&amp;""),",",".")&amp;", "&amp;CHAR(34)&amp;"rawScore"&amp;CHAR(34)&amp;": "&amp;SUBSTITUTE(TRIM(ROUND(IFERROR(CriteriTecnici!$O462*1,IFERROR(NUMBERVALUE(CriteriTecnici!$O462,".",","),IFERROR(NUMBERVALUE(CriteriTecnici!$O462,",","."),0))),4)&amp;""),",",".")&amp;CHAR(125)&amp;IF(TRUE,",",""))</f>
        <v/>
      </c>
    </row>
    <row r="564">
      <c r="A564" s="82">
        <f>IF(CriteriTecnici!$A463="","","    "&amp;CHAR(123)&amp;CHAR(34)&amp;"bidderId"&amp;CHAR(34)&amp;": "&amp;CHAR(34)&amp;SUBSTITUTE(CriteriTecnici!$A463,CHAR(34),"'")&amp;CHAR(34)&amp;", "&amp;CHAR(34)&amp;"lotId"&amp;CHAR(34)&amp;": "&amp;CHAR(34)&amp;SUBSTITUTE(CriteriTecnici!$C463,CHAR(34),"'")&amp;CHAR(34)&amp;", "&amp;CHAR(34)&amp;"criterionId"&amp;CHAR(34)&amp;": "&amp;CHAR(34)&amp;SUBSTITUTE(CriteriTecnici!$D463,CHAR(34),"'")&amp;CHAR(34)&amp;", "&amp;CHAR(34)&amp;"kind"&amp;CHAR(34)&amp;": "&amp;CHAR(34)&amp;SUBSTITUTE(CriteriTecnici!$F463,CHAR(34),"'")&amp;CHAR(34)&amp;", "&amp;CHAR(34)&amp;"value"&amp;CHAR(34)&amp;": "&amp;SUBSTITUTE(TRIM(ROUND(IFERROR(CriteriTecnici!$N463*1,IFERROR(NUMBERVALUE(CriteriTecnici!$N463,".",","),IFERROR(NUMBERVALUE(CriteriTecnici!$N463,",","."),0))),4)&amp;""),",",".")&amp;", "&amp;CHAR(34)&amp;"numerator"&amp;CHAR(34)&amp;": "&amp;SUBSTITUTE(TRIM(ROUND(IFERROR(CriteriTecnici!$K463*1,IFERROR(NUMBERVALUE(CriteriTecnici!$K463,".",","),IFERROR(NUMBERVALUE(CriteriTecnici!$K463,",","."),0))),4)&amp;""),",",".")&amp;", "&amp;CHAR(34)&amp;"denominator"&amp;CHAR(34)&amp;": "&amp;SUBSTITUTE(TRIM(ROUND(IFERROR(CriteriTecnici!$L463*1,IFERROR(NUMBERVALUE(CriteriTecnici!$L463,".",","),IFERROR(NUMBERVALUE(CriteriTecnici!$L463,",","."),0))),4)&amp;""),",",".")&amp;", "&amp;CHAR(34)&amp;"flag"&amp;CHAR(34)&amp;": "&amp;SUBSTITUTE(TRIM(ROUND(IFERROR(CriteriTecnici!$M463*1,IFERROR(NUMBERVALUE(CriteriTecnici!$M463,".",","),IFERROR(NUMBERVALUE(CriteriTecnici!$M463,",","."),0))),4)&amp;""),",",".")&amp;", "&amp;CHAR(34)&amp;"rawScore"&amp;CHAR(34)&amp;": "&amp;SUBSTITUTE(TRIM(ROUND(IFERROR(CriteriTecnici!$O463*1,IFERROR(NUMBERVALUE(CriteriTecnici!$O463,".",","),IFERROR(NUMBERVALUE(CriteriTecnici!$O463,",","."),0))),4)&amp;""),",",".")&amp;CHAR(125)&amp;IF(TRUE,",",""))</f>
        <v/>
      </c>
    </row>
    <row r="565">
      <c r="A565" s="82">
        <f>IF(CriteriTecnici!$A464="","","    "&amp;CHAR(123)&amp;CHAR(34)&amp;"bidderId"&amp;CHAR(34)&amp;": "&amp;CHAR(34)&amp;SUBSTITUTE(CriteriTecnici!$A464,CHAR(34),"'")&amp;CHAR(34)&amp;", "&amp;CHAR(34)&amp;"lotId"&amp;CHAR(34)&amp;": "&amp;CHAR(34)&amp;SUBSTITUTE(CriteriTecnici!$C464,CHAR(34),"'")&amp;CHAR(34)&amp;", "&amp;CHAR(34)&amp;"criterionId"&amp;CHAR(34)&amp;": "&amp;CHAR(34)&amp;SUBSTITUTE(CriteriTecnici!$D464,CHAR(34),"'")&amp;CHAR(34)&amp;", "&amp;CHAR(34)&amp;"kind"&amp;CHAR(34)&amp;": "&amp;CHAR(34)&amp;SUBSTITUTE(CriteriTecnici!$F464,CHAR(34),"'")&amp;CHAR(34)&amp;", "&amp;CHAR(34)&amp;"value"&amp;CHAR(34)&amp;": "&amp;SUBSTITUTE(TRIM(ROUND(IFERROR(CriteriTecnici!$N464*1,IFERROR(NUMBERVALUE(CriteriTecnici!$N464,".",","),IFERROR(NUMBERVALUE(CriteriTecnici!$N464,",","."),0))),4)&amp;""),",",".")&amp;", "&amp;CHAR(34)&amp;"numerator"&amp;CHAR(34)&amp;": "&amp;SUBSTITUTE(TRIM(ROUND(IFERROR(CriteriTecnici!$K464*1,IFERROR(NUMBERVALUE(CriteriTecnici!$K464,".",","),IFERROR(NUMBERVALUE(CriteriTecnici!$K464,",","."),0))),4)&amp;""),",",".")&amp;", "&amp;CHAR(34)&amp;"denominator"&amp;CHAR(34)&amp;": "&amp;SUBSTITUTE(TRIM(ROUND(IFERROR(CriteriTecnici!$L464*1,IFERROR(NUMBERVALUE(CriteriTecnici!$L464,".",","),IFERROR(NUMBERVALUE(CriteriTecnici!$L464,",","."),0))),4)&amp;""),",",".")&amp;", "&amp;CHAR(34)&amp;"flag"&amp;CHAR(34)&amp;": "&amp;SUBSTITUTE(TRIM(ROUND(IFERROR(CriteriTecnici!$M464*1,IFERROR(NUMBERVALUE(CriteriTecnici!$M464,".",","),IFERROR(NUMBERVALUE(CriteriTecnici!$M464,",","."),0))),4)&amp;""),",",".")&amp;", "&amp;CHAR(34)&amp;"rawScore"&amp;CHAR(34)&amp;": "&amp;SUBSTITUTE(TRIM(ROUND(IFERROR(CriteriTecnici!$O464*1,IFERROR(NUMBERVALUE(CriteriTecnici!$O464,".",","),IFERROR(NUMBERVALUE(CriteriTecnici!$O464,",","."),0))),4)&amp;""),",",".")&amp;CHAR(125)&amp;IF(TRUE,",",""))</f>
        <v/>
      </c>
    </row>
    <row r="566">
      <c r="A566" s="82">
        <f>IF(CriteriTecnici!$A465="","","    "&amp;CHAR(123)&amp;CHAR(34)&amp;"bidderId"&amp;CHAR(34)&amp;": "&amp;CHAR(34)&amp;SUBSTITUTE(CriteriTecnici!$A465,CHAR(34),"'")&amp;CHAR(34)&amp;", "&amp;CHAR(34)&amp;"lotId"&amp;CHAR(34)&amp;": "&amp;CHAR(34)&amp;SUBSTITUTE(CriteriTecnici!$C465,CHAR(34),"'")&amp;CHAR(34)&amp;", "&amp;CHAR(34)&amp;"criterionId"&amp;CHAR(34)&amp;": "&amp;CHAR(34)&amp;SUBSTITUTE(CriteriTecnici!$D465,CHAR(34),"'")&amp;CHAR(34)&amp;", "&amp;CHAR(34)&amp;"kind"&amp;CHAR(34)&amp;": "&amp;CHAR(34)&amp;SUBSTITUTE(CriteriTecnici!$F465,CHAR(34),"'")&amp;CHAR(34)&amp;", "&amp;CHAR(34)&amp;"value"&amp;CHAR(34)&amp;": "&amp;SUBSTITUTE(TRIM(ROUND(IFERROR(CriteriTecnici!$N465*1,IFERROR(NUMBERVALUE(CriteriTecnici!$N465,".",","),IFERROR(NUMBERVALUE(CriteriTecnici!$N465,",","."),0))),4)&amp;""),",",".")&amp;", "&amp;CHAR(34)&amp;"numerator"&amp;CHAR(34)&amp;": "&amp;SUBSTITUTE(TRIM(ROUND(IFERROR(CriteriTecnici!$K465*1,IFERROR(NUMBERVALUE(CriteriTecnici!$K465,".",","),IFERROR(NUMBERVALUE(CriteriTecnici!$K465,",","."),0))),4)&amp;""),",",".")&amp;", "&amp;CHAR(34)&amp;"denominator"&amp;CHAR(34)&amp;": "&amp;SUBSTITUTE(TRIM(ROUND(IFERROR(CriteriTecnici!$L465*1,IFERROR(NUMBERVALUE(CriteriTecnici!$L465,".",","),IFERROR(NUMBERVALUE(CriteriTecnici!$L465,",","."),0))),4)&amp;""),",",".")&amp;", "&amp;CHAR(34)&amp;"flag"&amp;CHAR(34)&amp;": "&amp;SUBSTITUTE(TRIM(ROUND(IFERROR(CriteriTecnici!$M465*1,IFERROR(NUMBERVALUE(CriteriTecnici!$M465,".",","),IFERROR(NUMBERVALUE(CriteriTecnici!$M465,",","."),0))),4)&amp;""),",",".")&amp;", "&amp;CHAR(34)&amp;"rawScore"&amp;CHAR(34)&amp;": "&amp;SUBSTITUTE(TRIM(ROUND(IFERROR(CriteriTecnici!$O465*1,IFERROR(NUMBERVALUE(CriteriTecnici!$O465,".",","),IFERROR(NUMBERVALUE(CriteriTecnici!$O465,",","."),0))),4)&amp;""),",",".")&amp;CHAR(125)&amp;IF(TRUE,",",""))</f>
        <v/>
      </c>
    </row>
    <row r="567">
      <c r="A567" s="82">
        <f>IF(CriteriTecnici!$A466="","","    "&amp;CHAR(123)&amp;CHAR(34)&amp;"bidderId"&amp;CHAR(34)&amp;": "&amp;CHAR(34)&amp;SUBSTITUTE(CriteriTecnici!$A466,CHAR(34),"'")&amp;CHAR(34)&amp;", "&amp;CHAR(34)&amp;"lotId"&amp;CHAR(34)&amp;": "&amp;CHAR(34)&amp;SUBSTITUTE(CriteriTecnici!$C466,CHAR(34),"'")&amp;CHAR(34)&amp;", "&amp;CHAR(34)&amp;"criterionId"&amp;CHAR(34)&amp;": "&amp;CHAR(34)&amp;SUBSTITUTE(CriteriTecnici!$D466,CHAR(34),"'")&amp;CHAR(34)&amp;", "&amp;CHAR(34)&amp;"kind"&amp;CHAR(34)&amp;": "&amp;CHAR(34)&amp;SUBSTITUTE(CriteriTecnici!$F466,CHAR(34),"'")&amp;CHAR(34)&amp;", "&amp;CHAR(34)&amp;"value"&amp;CHAR(34)&amp;": "&amp;SUBSTITUTE(TRIM(ROUND(IFERROR(CriteriTecnici!$N466*1,IFERROR(NUMBERVALUE(CriteriTecnici!$N466,".",","),IFERROR(NUMBERVALUE(CriteriTecnici!$N466,",","."),0))),4)&amp;""),",",".")&amp;", "&amp;CHAR(34)&amp;"numerator"&amp;CHAR(34)&amp;": "&amp;SUBSTITUTE(TRIM(ROUND(IFERROR(CriteriTecnici!$K466*1,IFERROR(NUMBERVALUE(CriteriTecnici!$K466,".",","),IFERROR(NUMBERVALUE(CriteriTecnici!$K466,",","."),0))),4)&amp;""),",",".")&amp;", "&amp;CHAR(34)&amp;"denominator"&amp;CHAR(34)&amp;": "&amp;SUBSTITUTE(TRIM(ROUND(IFERROR(CriteriTecnici!$L466*1,IFERROR(NUMBERVALUE(CriteriTecnici!$L466,".",","),IFERROR(NUMBERVALUE(CriteriTecnici!$L466,",","."),0))),4)&amp;""),",",".")&amp;", "&amp;CHAR(34)&amp;"flag"&amp;CHAR(34)&amp;": "&amp;SUBSTITUTE(TRIM(ROUND(IFERROR(CriteriTecnici!$M466*1,IFERROR(NUMBERVALUE(CriteriTecnici!$M466,".",","),IFERROR(NUMBERVALUE(CriteriTecnici!$M466,",","."),0))),4)&amp;""),",",".")&amp;", "&amp;CHAR(34)&amp;"rawScore"&amp;CHAR(34)&amp;": "&amp;SUBSTITUTE(TRIM(ROUND(IFERROR(CriteriTecnici!$O466*1,IFERROR(NUMBERVALUE(CriteriTecnici!$O466,".",","),IFERROR(NUMBERVALUE(CriteriTecnici!$O466,",","."),0))),4)&amp;""),",",".")&amp;CHAR(125)&amp;IF(TRUE,",",""))</f>
        <v/>
      </c>
    </row>
    <row r="568">
      <c r="A568" s="82">
        <f>IF(CriteriTecnici!$A467="","","    "&amp;CHAR(123)&amp;CHAR(34)&amp;"bidderId"&amp;CHAR(34)&amp;": "&amp;CHAR(34)&amp;SUBSTITUTE(CriteriTecnici!$A467,CHAR(34),"'")&amp;CHAR(34)&amp;", "&amp;CHAR(34)&amp;"lotId"&amp;CHAR(34)&amp;": "&amp;CHAR(34)&amp;SUBSTITUTE(CriteriTecnici!$C467,CHAR(34),"'")&amp;CHAR(34)&amp;", "&amp;CHAR(34)&amp;"criterionId"&amp;CHAR(34)&amp;": "&amp;CHAR(34)&amp;SUBSTITUTE(CriteriTecnici!$D467,CHAR(34),"'")&amp;CHAR(34)&amp;", "&amp;CHAR(34)&amp;"kind"&amp;CHAR(34)&amp;": "&amp;CHAR(34)&amp;SUBSTITUTE(CriteriTecnici!$F467,CHAR(34),"'")&amp;CHAR(34)&amp;", "&amp;CHAR(34)&amp;"value"&amp;CHAR(34)&amp;": "&amp;SUBSTITUTE(TRIM(ROUND(IFERROR(CriteriTecnici!$N467*1,IFERROR(NUMBERVALUE(CriteriTecnici!$N467,".",","),IFERROR(NUMBERVALUE(CriteriTecnici!$N467,",","."),0))),4)&amp;""),",",".")&amp;", "&amp;CHAR(34)&amp;"numerator"&amp;CHAR(34)&amp;": "&amp;SUBSTITUTE(TRIM(ROUND(IFERROR(CriteriTecnici!$K467*1,IFERROR(NUMBERVALUE(CriteriTecnici!$K467,".",","),IFERROR(NUMBERVALUE(CriteriTecnici!$K467,",","."),0))),4)&amp;""),",",".")&amp;", "&amp;CHAR(34)&amp;"denominator"&amp;CHAR(34)&amp;": "&amp;SUBSTITUTE(TRIM(ROUND(IFERROR(CriteriTecnici!$L467*1,IFERROR(NUMBERVALUE(CriteriTecnici!$L467,".",","),IFERROR(NUMBERVALUE(CriteriTecnici!$L467,",","."),0))),4)&amp;""),",",".")&amp;", "&amp;CHAR(34)&amp;"flag"&amp;CHAR(34)&amp;": "&amp;SUBSTITUTE(TRIM(ROUND(IFERROR(CriteriTecnici!$M467*1,IFERROR(NUMBERVALUE(CriteriTecnici!$M467,".",","),IFERROR(NUMBERVALUE(CriteriTecnici!$M467,",","."),0))),4)&amp;""),",",".")&amp;", "&amp;CHAR(34)&amp;"rawScore"&amp;CHAR(34)&amp;": "&amp;SUBSTITUTE(TRIM(ROUND(IFERROR(CriteriTecnici!$O467*1,IFERROR(NUMBERVALUE(CriteriTecnici!$O467,".",","),IFERROR(NUMBERVALUE(CriteriTecnici!$O467,",","."),0))),4)&amp;""),",",".")&amp;CHAR(125)&amp;IF(TRUE,",",""))</f>
        <v/>
      </c>
    </row>
    <row r="569">
      <c r="A569" s="82">
        <f>IF(CriteriTecnici!$A468="","","    "&amp;CHAR(123)&amp;CHAR(34)&amp;"bidderId"&amp;CHAR(34)&amp;": "&amp;CHAR(34)&amp;SUBSTITUTE(CriteriTecnici!$A468,CHAR(34),"'")&amp;CHAR(34)&amp;", "&amp;CHAR(34)&amp;"lotId"&amp;CHAR(34)&amp;": "&amp;CHAR(34)&amp;SUBSTITUTE(CriteriTecnici!$C468,CHAR(34),"'")&amp;CHAR(34)&amp;", "&amp;CHAR(34)&amp;"criterionId"&amp;CHAR(34)&amp;": "&amp;CHAR(34)&amp;SUBSTITUTE(CriteriTecnici!$D468,CHAR(34),"'")&amp;CHAR(34)&amp;", "&amp;CHAR(34)&amp;"kind"&amp;CHAR(34)&amp;": "&amp;CHAR(34)&amp;SUBSTITUTE(CriteriTecnici!$F468,CHAR(34),"'")&amp;CHAR(34)&amp;", "&amp;CHAR(34)&amp;"value"&amp;CHAR(34)&amp;": "&amp;SUBSTITUTE(TRIM(ROUND(IFERROR(CriteriTecnici!$N468*1,IFERROR(NUMBERVALUE(CriteriTecnici!$N468,".",","),IFERROR(NUMBERVALUE(CriteriTecnici!$N468,",","."),0))),4)&amp;""),",",".")&amp;", "&amp;CHAR(34)&amp;"numerator"&amp;CHAR(34)&amp;": "&amp;SUBSTITUTE(TRIM(ROUND(IFERROR(CriteriTecnici!$K468*1,IFERROR(NUMBERVALUE(CriteriTecnici!$K468,".",","),IFERROR(NUMBERVALUE(CriteriTecnici!$K468,",","."),0))),4)&amp;""),",",".")&amp;", "&amp;CHAR(34)&amp;"denominator"&amp;CHAR(34)&amp;": "&amp;SUBSTITUTE(TRIM(ROUND(IFERROR(CriteriTecnici!$L468*1,IFERROR(NUMBERVALUE(CriteriTecnici!$L468,".",","),IFERROR(NUMBERVALUE(CriteriTecnici!$L468,",","."),0))),4)&amp;""),",",".")&amp;", "&amp;CHAR(34)&amp;"flag"&amp;CHAR(34)&amp;": "&amp;SUBSTITUTE(TRIM(ROUND(IFERROR(CriteriTecnici!$M468*1,IFERROR(NUMBERVALUE(CriteriTecnici!$M468,".",","),IFERROR(NUMBERVALUE(CriteriTecnici!$M468,",","."),0))),4)&amp;""),",",".")&amp;", "&amp;CHAR(34)&amp;"rawScore"&amp;CHAR(34)&amp;": "&amp;SUBSTITUTE(TRIM(ROUND(IFERROR(CriteriTecnici!$O468*1,IFERROR(NUMBERVALUE(CriteriTecnici!$O468,".",","),IFERROR(NUMBERVALUE(CriteriTecnici!$O468,",","."),0))),4)&amp;""),",",".")&amp;CHAR(125)&amp;IF(TRUE,",",""))</f>
        <v/>
      </c>
    </row>
    <row r="570">
      <c r="A570" s="82">
        <f>IF(CriteriTecnici!$A469="","","    "&amp;CHAR(123)&amp;CHAR(34)&amp;"bidderId"&amp;CHAR(34)&amp;": "&amp;CHAR(34)&amp;SUBSTITUTE(CriteriTecnici!$A469,CHAR(34),"'")&amp;CHAR(34)&amp;", "&amp;CHAR(34)&amp;"lotId"&amp;CHAR(34)&amp;": "&amp;CHAR(34)&amp;SUBSTITUTE(CriteriTecnici!$C469,CHAR(34),"'")&amp;CHAR(34)&amp;", "&amp;CHAR(34)&amp;"criterionId"&amp;CHAR(34)&amp;": "&amp;CHAR(34)&amp;SUBSTITUTE(CriteriTecnici!$D469,CHAR(34),"'")&amp;CHAR(34)&amp;", "&amp;CHAR(34)&amp;"kind"&amp;CHAR(34)&amp;": "&amp;CHAR(34)&amp;SUBSTITUTE(CriteriTecnici!$F469,CHAR(34),"'")&amp;CHAR(34)&amp;", "&amp;CHAR(34)&amp;"value"&amp;CHAR(34)&amp;": "&amp;SUBSTITUTE(TRIM(ROUND(IFERROR(CriteriTecnici!$N469*1,IFERROR(NUMBERVALUE(CriteriTecnici!$N469,".",","),IFERROR(NUMBERVALUE(CriteriTecnici!$N469,",","."),0))),4)&amp;""),",",".")&amp;", "&amp;CHAR(34)&amp;"numerator"&amp;CHAR(34)&amp;": "&amp;SUBSTITUTE(TRIM(ROUND(IFERROR(CriteriTecnici!$K469*1,IFERROR(NUMBERVALUE(CriteriTecnici!$K469,".",","),IFERROR(NUMBERVALUE(CriteriTecnici!$K469,",","."),0))),4)&amp;""),",",".")&amp;", "&amp;CHAR(34)&amp;"denominator"&amp;CHAR(34)&amp;": "&amp;SUBSTITUTE(TRIM(ROUND(IFERROR(CriteriTecnici!$L469*1,IFERROR(NUMBERVALUE(CriteriTecnici!$L469,".",","),IFERROR(NUMBERVALUE(CriteriTecnici!$L469,",","."),0))),4)&amp;""),",",".")&amp;", "&amp;CHAR(34)&amp;"flag"&amp;CHAR(34)&amp;": "&amp;SUBSTITUTE(TRIM(ROUND(IFERROR(CriteriTecnici!$M469*1,IFERROR(NUMBERVALUE(CriteriTecnici!$M469,".",","),IFERROR(NUMBERVALUE(CriteriTecnici!$M469,",","."),0))),4)&amp;""),",",".")&amp;", "&amp;CHAR(34)&amp;"rawScore"&amp;CHAR(34)&amp;": "&amp;SUBSTITUTE(TRIM(ROUND(IFERROR(CriteriTecnici!$O469*1,IFERROR(NUMBERVALUE(CriteriTecnici!$O469,".",","),IFERROR(NUMBERVALUE(CriteriTecnici!$O469,",","."),0))),4)&amp;""),",",".")&amp;CHAR(125)&amp;IF(COUNTA(Offerte!$A17:$A$81)&gt;0,",",""))</f>
        <v/>
      </c>
    </row>
    <row r="571">
      <c r="A571" s="82">
        <f>IF(CriteriTecnici!$A470="","","    "&amp;CHAR(123)&amp;CHAR(34)&amp;"bidderId"&amp;CHAR(34)&amp;": "&amp;CHAR(34)&amp;SUBSTITUTE(CriteriTecnici!$A470,CHAR(34),"'")&amp;CHAR(34)&amp;", "&amp;CHAR(34)&amp;"lotId"&amp;CHAR(34)&amp;": "&amp;CHAR(34)&amp;SUBSTITUTE(CriteriTecnici!$C470,CHAR(34),"'")&amp;CHAR(34)&amp;", "&amp;CHAR(34)&amp;"criterionId"&amp;CHAR(34)&amp;": "&amp;CHAR(34)&amp;SUBSTITUTE(CriteriTecnici!$D470,CHAR(34),"'")&amp;CHAR(34)&amp;", "&amp;CHAR(34)&amp;"kind"&amp;CHAR(34)&amp;": "&amp;CHAR(34)&amp;SUBSTITUTE(CriteriTecnici!$F470,CHAR(34),"'")&amp;CHAR(34)&amp;", "&amp;CHAR(34)&amp;"value"&amp;CHAR(34)&amp;": "&amp;SUBSTITUTE(TRIM(ROUND(IFERROR(CriteriTecnici!$N470*1,IFERROR(NUMBERVALUE(CriteriTecnici!$N470,".",","),IFERROR(NUMBERVALUE(CriteriTecnici!$N470,",","."),0))),4)&amp;""),",",".")&amp;", "&amp;CHAR(34)&amp;"numerator"&amp;CHAR(34)&amp;": "&amp;SUBSTITUTE(TRIM(ROUND(IFERROR(CriteriTecnici!$K470*1,IFERROR(NUMBERVALUE(CriteriTecnici!$K470,".",","),IFERROR(NUMBERVALUE(CriteriTecnici!$K470,",","."),0))),4)&amp;""),",",".")&amp;", "&amp;CHAR(34)&amp;"denominator"&amp;CHAR(34)&amp;": "&amp;SUBSTITUTE(TRIM(ROUND(IFERROR(CriteriTecnici!$L470*1,IFERROR(NUMBERVALUE(CriteriTecnici!$L470,".",","),IFERROR(NUMBERVALUE(CriteriTecnici!$L470,",","."),0))),4)&amp;""),",",".")&amp;", "&amp;CHAR(34)&amp;"flag"&amp;CHAR(34)&amp;": "&amp;SUBSTITUTE(TRIM(ROUND(IFERROR(CriteriTecnici!$M470*1,IFERROR(NUMBERVALUE(CriteriTecnici!$M470,".",","),IFERROR(NUMBERVALUE(CriteriTecnici!$M470,",","."),0))),4)&amp;""),",",".")&amp;", "&amp;CHAR(34)&amp;"rawScore"&amp;CHAR(34)&amp;": "&amp;SUBSTITUTE(TRIM(ROUND(IFERROR(CriteriTecnici!$O470*1,IFERROR(NUMBERVALUE(CriteriTecnici!$O470,".",","),IFERROR(NUMBERVALUE(CriteriTecnici!$O470,",","."),0))),4)&amp;""),",",".")&amp;CHAR(125)&amp;IF(TRUE,",",""))</f>
        <v/>
      </c>
    </row>
    <row r="572">
      <c r="A572" s="82">
        <f>IF(CriteriTecnici!$A471="","","    "&amp;CHAR(123)&amp;CHAR(34)&amp;"bidderId"&amp;CHAR(34)&amp;": "&amp;CHAR(34)&amp;SUBSTITUTE(CriteriTecnici!$A471,CHAR(34),"'")&amp;CHAR(34)&amp;", "&amp;CHAR(34)&amp;"lotId"&amp;CHAR(34)&amp;": "&amp;CHAR(34)&amp;SUBSTITUTE(CriteriTecnici!$C471,CHAR(34),"'")&amp;CHAR(34)&amp;", "&amp;CHAR(34)&amp;"criterionId"&amp;CHAR(34)&amp;": "&amp;CHAR(34)&amp;SUBSTITUTE(CriteriTecnici!$D471,CHAR(34),"'")&amp;CHAR(34)&amp;", "&amp;CHAR(34)&amp;"kind"&amp;CHAR(34)&amp;": "&amp;CHAR(34)&amp;SUBSTITUTE(CriteriTecnici!$F471,CHAR(34),"'")&amp;CHAR(34)&amp;", "&amp;CHAR(34)&amp;"value"&amp;CHAR(34)&amp;": "&amp;SUBSTITUTE(TRIM(ROUND(IFERROR(CriteriTecnici!$N471*1,IFERROR(NUMBERVALUE(CriteriTecnici!$N471,".",","),IFERROR(NUMBERVALUE(CriteriTecnici!$N471,",","."),0))),4)&amp;""),",",".")&amp;", "&amp;CHAR(34)&amp;"numerator"&amp;CHAR(34)&amp;": "&amp;SUBSTITUTE(TRIM(ROUND(IFERROR(CriteriTecnici!$K471*1,IFERROR(NUMBERVALUE(CriteriTecnici!$K471,".",","),IFERROR(NUMBERVALUE(CriteriTecnici!$K471,",","."),0))),4)&amp;""),",",".")&amp;", "&amp;CHAR(34)&amp;"denominator"&amp;CHAR(34)&amp;": "&amp;SUBSTITUTE(TRIM(ROUND(IFERROR(CriteriTecnici!$L471*1,IFERROR(NUMBERVALUE(CriteriTecnici!$L471,".",","),IFERROR(NUMBERVALUE(CriteriTecnici!$L471,",","."),0))),4)&amp;""),",",".")&amp;", "&amp;CHAR(34)&amp;"flag"&amp;CHAR(34)&amp;": "&amp;SUBSTITUTE(TRIM(ROUND(IFERROR(CriteriTecnici!$M471*1,IFERROR(NUMBERVALUE(CriteriTecnici!$M471,".",","),IFERROR(NUMBERVALUE(CriteriTecnici!$M471,",","."),0))),4)&amp;""),",",".")&amp;", "&amp;CHAR(34)&amp;"rawScore"&amp;CHAR(34)&amp;": "&amp;SUBSTITUTE(TRIM(ROUND(IFERROR(CriteriTecnici!$O471*1,IFERROR(NUMBERVALUE(CriteriTecnici!$O471,".",","),IFERROR(NUMBERVALUE(CriteriTecnici!$O471,",","."),0))),4)&amp;""),",",".")&amp;CHAR(125)&amp;IF(TRUE,",",""))</f>
        <v/>
      </c>
    </row>
    <row r="573">
      <c r="A573" s="82">
        <f>IF(CriteriTecnici!$A472="","","    "&amp;CHAR(123)&amp;CHAR(34)&amp;"bidderId"&amp;CHAR(34)&amp;": "&amp;CHAR(34)&amp;SUBSTITUTE(CriteriTecnici!$A472,CHAR(34),"'")&amp;CHAR(34)&amp;", "&amp;CHAR(34)&amp;"lotId"&amp;CHAR(34)&amp;": "&amp;CHAR(34)&amp;SUBSTITUTE(CriteriTecnici!$C472,CHAR(34),"'")&amp;CHAR(34)&amp;", "&amp;CHAR(34)&amp;"criterionId"&amp;CHAR(34)&amp;": "&amp;CHAR(34)&amp;SUBSTITUTE(CriteriTecnici!$D472,CHAR(34),"'")&amp;CHAR(34)&amp;", "&amp;CHAR(34)&amp;"kind"&amp;CHAR(34)&amp;": "&amp;CHAR(34)&amp;SUBSTITUTE(CriteriTecnici!$F472,CHAR(34),"'")&amp;CHAR(34)&amp;", "&amp;CHAR(34)&amp;"value"&amp;CHAR(34)&amp;": "&amp;SUBSTITUTE(TRIM(ROUND(IFERROR(CriteriTecnici!$N472*1,IFERROR(NUMBERVALUE(CriteriTecnici!$N472,".",","),IFERROR(NUMBERVALUE(CriteriTecnici!$N472,",","."),0))),4)&amp;""),",",".")&amp;", "&amp;CHAR(34)&amp;"numerator"&amp;CHAR(34)&amp;": "&amp;SUBSTITUTE(TRIM(ROUND(IFERROR(CriteriTecnici!$K472*1,IFERROR(NUMBERVALUE(CriteriTecnici!$K472,".",","),IFERROR(NUMBERVALUE(CriteriTecnici!$K472,",","."),0))),4)&amp;""),",",".")&amp;", "&amp;CHAR(34)&amp;"denominator"&amp;CHAR(34)&amp;": "&amp;SUBSTITUTE(TRIM(ROUND(IFERROR(CriteriTecnici!$L472*1,IFERROR(NUMBERVALUE(CriteriTecnici!$L472,".",","),IFERROR(NUMBERVALUE(CriteriTecnici!$L472,",","."),0))),4)&amp;""),",",".")&amp;", "&amp;CHAR(34)&amp;"flag"&amp;CHAR(34)&amp;": "&amp;SUBSTITUTE(TRIM(ROUND(IFERROR(CriteriTecnici!$M472*1,IFERROR(NUMBERVALUE(CriteriTecnici!$M472,".",","),IFERROR(NUMBERVALUE(CriteriTecnici!$M472,",","."),0))),4)&amp;""),",",".")&amp;", "&amp;CHAR(34)&amp;"rawScore"&amp;CHAR(34)&amp;": "&amp;SUBSTITUTE(TRIM(ROUND(IFERROR(CriteriTecnici!$O472*1,IFERROR(NUMBERVALUE(CriteriTecnici!$O472,".",","),IFERROR(NUMBERVALUE(CriteriTecnici!$O472,",","."),0))),4)&amp;""),",",".")&amp;CHAR(125)&amp;IF(TRUE,",",""))</f>
        <v/>
      </c>
    </row>
    <row r="574">
      <c r="A574" s="82">
        <f>IF(CriteriTecnici!$A473="","","    "&amp;CHAR(123)&amp;CHAR(34)&amp;"bidderId"&amp;CHAR(34)&amp;": "&amp;CHAR(34)&amp;SUBSTITUTE(CriteriTecnici!$A473,CHAR(34),"'")&amp;CHAR(34)&amp;", "&amp;CHAR(34)&amp;"lotId"&amp;CHAR(34)&amp;": "&amp;CHAR(34)&amp;SUBSTITUTE(CriteriTecnici!$C473,CHAR(34),"'")&amp;CHAR(34)&amp;", "&amp;CHAR(34)&amp;"criterionId"&amp;CHAR(34)&amp;": "&amp;CHAR(34)&amp;SUBSTITUTE(CriteriTecnici!$D473,CHAR(34),"'")&amp;CHAR(34)&amp;", "&amp;CHAR(34)&amp;"kind"&amp;CHAR(34)&amp;": "&amp;CHAR(34)&amp;SUBSTITUTE(CriteriTecnici!$F473,CHAR(34),"'")&amp;CHAR(34)&amp;", "&amp;CHAR(34)&amp;"value"&amp;CHAR(34)&amp;": "&amp;SUBSTITUTE(TRIM(ROUND(IFERROR(CriteriTecnici!$N473*1,IFERROR(NUMBERVALUE(CriteriTecnici!$N473,".",","),IFERROR(NUMBERVALUE(CriteriTecnici!$N473,",","."),0))),4)&amp;""),",",".")&amp;", "&amp;CHAR(34)&amp;"numerator"&amp;CHAR(34)&amp;": "&amp;SUBSTITUTE(TRIM(ROUND(IFERROR(CriteriTecnici!$K473*1,IFERROR(NUMBERVALUE(CriteriTecnici!$K473,".",","),IFERROR(NUMBERVALUE(CriteriTecnici!$K473,",","."),0))),4)&amp;""),",",".")&amp;", "&amp;CHAR(34)&amp;"denominator"&amp;CHAR(34)&amp;": "&amp;SUBSTITUTE(TRIM(ROUND(IFERROR(CriteriTecnici!$L473*1,IFERROR(NUMBERVALUE(CriteriTecnici!$L473,".",","),IFERROR(NUMBERVALUE(CriteriTecnici!$L473,",","."),0))),4)&amp;""),",",".")&amp;", "&amp;CHAR(34)&amp;"flag"&amp;CHAR(34)&amp;": "&amp;SUBSTITUTE(TRIM(ROUND(IFERROR(CriteriTecnici!$M473*1,IFERROR(NUMBERVALUE(CriteriTecnici!$M473,".",","),IFERROR(NUMBERVALUE(CriteriTecnici!$M473,",","."),0))),4)&amp;""),",",".")&amp;", "&amp;CHAR(34)&amp;"rawScore"&amp;CHAR(34)&amp;": "&amp;SUBSTITUTE(TRIM(ROUND(IFERROR(CriteriTecnici!$O473*1,IFERROR(NUMBERVALUE(CriteriTecnici!$O473,".",","),IFERROR(NUMBERVALUE(CriteriTecnici!$O473,",","."),0))),4)&amp;""),",",".")&amp;CHAR(125)&amp;IF(TRUE,",",""))</f>
        <v/>
      </c>
    </row>
    <row r="575">
      <c r="A575" s="82">
        <f>IF(CriteriTecnici!$A474="","","    "&amp;CHAR(123)&amp;CHAR(34)&amp;"bidderId"&amp;CHAR(34)&amp;": "&amp;CHAR(34)&amp;SUBSTITUTE(CriteriTecnici!$A474,CHAR(34),"'")&amp;CHAR(34)&amp;", "&amp;CHAR(34)&amp;"lotId"&amp;CHAR(34)&amp;": "&amp;CHAR(34)&amp;SUBSTITUTE(CriteriTecnici!$C474,CHAR(34),"'")&amp;CHAR(34)&amp;", "&amp;CHAR(34)&amp;"criterionId"&amp;CHAR(34)&amp;": "&amp;CHAR(34)&amp;SUBSTITUTE(CriteriTecnici!$D474,CHAR(34),"'")&amp;CHAR(34)&amp;", "&amp;CHAR(34)&amp;"kind"&amp;CHAR(34)&amp;": "&amp;CHAR(34)&amp;SUBSTITUTE(CriteriTecnici!$F474,CHAR(34),"'")&amp;CHAR(34)&amp;", "&amp;CHAR(34)&amp;"value"&amp;CHAR(34)&amp;": "&amp;SUBSTITUTE(TRIM(ROUND(IFERROR(CriteriTecnici!$N474*1,IFERROR(NUMBERVALUE(CriteriTecnici!$N474,".",","),IFERROR(NUMBERVALUE(CriteriTecnici!$N474,",","."),0))),4)&amp;""),",",".")&amp;", "&amp;CHAR(34)&amp;"numerator"&amp;CHAR(34)&amp;": "&amp;SUBSTITUTE(TRIM(ROUND(IFERROR(CriteriTecnici!$K474*1,IFERROR(NUMBERVALUE(CriteriTecnici!$K474,".",","),IFERROR(NUMBERVALUE(CriteriTecnici!$K474,",","."),0))),4)&amp;""),",",".")&amp;", "&amp;CHAR(34)&amp;"denominator"&amp;CHAR(34)&amp;": "&amp;SUBSTITUTE(TRIM(ROUND(IFERROR(CriteriTecnici!$L474*1,IFERROR(NUMBERVALUE(CriteriTecnici!$L474,".",","),IFERROR(NUMBERVALUE(CriteriTecnici!$L474,",","."),0))),4)&amp;""),",",".")&amp;", "&amp;CHAR(34)&amp;"flag"&amp;CHAR(34)&amp;": "&amp;SUBSTITUTE(TRIM(ROUND(IFERROR(CriteriTecnici!$M474*1,IFERROR(NUMBERVALUE(CriteriTecnici!$M474,".",","),IFERROR(NUMBERVALUE(CriteriTecnici!$M474,",","."),0))),4)&amp;""),",",".")&amp;", "&amp;CHAR(34)&amp;"rawScore"&amp;CHAR(34)&amp;": "&amp;SUBSTITUTE(TRIM(ROUND(IFERROR(CriteriTecnici!$O474*1,IFERROR(NUMBERVALUE(CriteriTecnici!$O474,".",","),IFERROR(NUMBERVALUE(CriteriTecnici!$O474,",","."),0))),4)&amp;""),",",".")&amp;CHAR(125)&amp;IF(TRUE,",",""))</f>
        <v/>
      </c>
    </row>
    <row r="576">
      <c r="A576" s="82">
        <f>IF(CriteriTecnici!$A475="","","    "&amp;CHAR(123)&amp;CHAR(34)&amp;"bidderId"&amp;CHAR(34)&amp;": "&amp;CHAR(34)&amp;SUBSTITUTE(CriteriTecnici!$A475,CHAR(34),"'")&amp;CHAR(34)&amp;", "&amp;CHAR(34)&amp;"lotId"&amp;CHAR(34)&amp;": "&amp;CHAR(34)&amp;SUBSTITUTE(CriteriTecnici!$C475,CHAR(34),"'")&amp;CHAR(34)&amp;", "&amp;CHAR(34)&amp;"criterionId"&amp;CHAR(34)&amp;": "&amp;CHAR(34)&amp;SUBSTITUTE(CriteriTecnici!$D475,CHAR(34),"'")&amp;CHAR(34)&amp;", "&amp;CHAR(34)&amp;"kind"&amp;CHAR(34)&amp;": "&amp;CHAR(34)&amp;SUBSTITUTE(CriteriTecnici!$F475,CHAR(34),"'")&amp;CHAR(34)&amp;", "&amp;CHAR(34)&amp;"value"&amp;CHAR(34)&amp;": "&amp;SUBSTITUTE(TRIM(ROUND(IFERROR(CriteriTecnici!$N475*1,IFERROR(NUMBERVALUE(CriteriTecnici!$N475,".",","),IFERROR(NUMBERVALUE(CriteriTecnici!$N475,",","."),0))),4)&amp;""),",",".")&amp;", "&amp;CHAR(34)&amp;"numerator"&amp;CHAR(34)&amp;": "&amp;SUBSTITUTE(TRIM(ROUND(IFERROR(CriteriTecnici!$K475*1,IFERROR(NUMBERVALUE(CriteriTecnici!$K475,".",","),IFERROR(NUMBERVALUE(CriteriTecnici!$K475,",","."),0))),4)&amp;""),",",".")&amp;", "&amp;CHAR(34)&amp;"denominator"&amp;CHAR(34)&amp;": "&amp;SUBSTITUTE(TRIM(ROUND(IFERROR(CriteriTecnici!$L475*1,IFERROR(NUMBERVALUE(CriteriTecnici!$L475,".",","),IFERROR(NUMBERVALUE(CriteriTecnici!$L475,",","."),0))),4)&amp;""),",",".")&amp;", "&amp;CHAR(34)&amp;"flag"&amp;CHAR(34)&amp;": "&amp;SUBSTITUTE(TRIM(ROUND(IFERROR(CriteriTecnici!$M475*1,IFERROR(NUMBERVALUE(CriteriTecnici!$M475,".",","),IFERROR(NUMBERVALUE(CriteriTecnici!$M475,",","."),0))),4)&amp;""),",",".")&amp;", "&amp;CHAR(34)&amp;"rawScore"&amp;CHAR(34)&amp;": "&amp;SUBSTITUTE(TRIM(ROUND(IFERROR(CriteriTecnici!$O475*1,IFERROR(NUMBERVALUE(CriteriTecnici!$O475,".",","),IFERROR(NUMBERVALUE(CriteriTecnici!$O475,",","."),0))),4)&amp;""),",",".")&amp;CHAR(125)&amp;IF(TRUE,",",""))</f>
        <v/>
      </c>
    </row>
    <row r="577">
      <c r="A577" s="82">
        <f>IF(CriteriTecnici!$A476="","","    "&amp;CHAR(123)&amp;CHAR(34)&amp;"bidderId"&amp;CHAR(34)&amp;": "&amp;CHAR(34)&amp;SUBSTITUTE(CriteriTecnici!$A476,CHAR(34),"'")&amp;CHAR(34)&amp;", "&amp;CHAR(34)&amp;"lotId"&amp;CHAR(34)&amp;": "&amp;CHAR(34)&amp;SUBSTITUTE(CriteriTecnici!$C476,CHAR(34),"'")&amp;CHAR(34)&amp;", "&amp;CHAR(34)&amp;"criterionId"&amp;CHAR(34)&amp;": "&amp;CHAR(34)&amp;SUBSTITUTE(CriteriTecnici!$D476,CHAR(34),"'")&amp;CHAR(34)&amp;", "&amp;CHAR(34)&amp;"kind"&amp;CHAR(34)&amp;": "&amp;CHAR(34)&amp;SUBSTITUTE(CriteriTecnici!$F476,CHAR(34),"'")&amp;CHAR(34)&amp;", "&amp;CHAR(34)&amp;"value"&amp;CHAR(34)&amp;": "&amp;SUBSTITUTE(TRIM(ROUND(IFERROR(CriteriTecnici!$N476*1,IFERROR(NUMBERVALUE(CriteriTecnici!$N476,".",","),IFERROR(NUMBERVALUE(CriteriTecnici!$N476,",","."),0))),4)&amp;""),",",".")&amp;", "&amp;CHAR(34)&amp;"numerator"&amp;CHAR(34)&amp;": "&amp;SUBSTITUTE(TRIM(ROUND(IFERROR(CriteriTecnici!$K476*1,IFERROR(NUMBERVALUE(CriteriTecnici!$K476,".",","),IFERROR(NUMBERVALUE(CriteriTecnici!$K476,",","."),0))),4)&amp;""),",",".")&amp;", "&amp;CHAR(34)&amp;"denominator"&amp;CHAR(34)&amp;": "&amp;SUBSTITUTE(TRIM(ROUND(IFERROR(CriteriTecnici!$L476*1,IFERROR(NUMBERVALUE(CriteriTecnici!$L476,".",","),IFERROR(NUMBERVALUE(CriteriTecnici!$L476,",","."),0))),4)&amp;""),",",".")&amp;", "&amp;CHAR(34)&amp;"flag"&amp;CHAR(34)&amp;": "&amp;SUBSTITUTE(TRIM(ROUND(IFERROR(CriteriTecnici!$M476*1,IFERROR(NUMBERVALUE(CriteriTecnici!$M476,".",","),IFERROR(NUMBERVALUE(CriteriTecnici!$M476,",","."),0))),4)&amp;""),",",".")&amp;", "&amp;CHAR(34)&amp;"rawScore"&amp;CHAR(34)&amp;": "&amp;SUBSTITUTE(TRIM(ROUND(IFERROR(CriteriTecnici!$O476*1,IFERROR(NUMBERVALUE(CriteriTecnici!$O476,".",","),IFERROR(NUMBERVALUE(CriteriTecnici!$O476,",","."),0))),4)&amp;""),",",".")&amp;CHAR(125)&amp;IF(TRUE,",",""))</f>
        <v/>
      </c>
    </row>
    <row r="578">
      <c r="A578" s="82">
        <f>IF(CriteriTecnici!$A477="","","    "&amp;CHAR(123)&amp;CHAR(34)&amp;"bidderId"&amp;CHAR(34)&amp;": "&amp;CHAR(34)&amp;SUBSTITUTE(CriteriTecnici!$A477,CHAR(34),"'")&amp;CHAR(34)&amp;", "&amp;CHAR(34)&amp;"lotId"&amp;CHAR(34)&amp;": "&amp;CHAR(34)&amp;SUBSTITUTE(CriteriTecnici!$C477,CHAR(34),"'")&amp;CHAR(34)&amp;", "&amp;CHAR(34)&amp;"criterionId"&amp;CHAR(34)&amp;": "&amp;CHAR(34)&amp;SUBSTITUTE(CriteriTecnici!$D477,CHAR(34),"'")&amp;CHAR(34)&amp;", "&amp;CHAR(34)&amp;"kind"&amp;CHAR(34)&amp;": "&amp;CHAR(34)&amp;SUBSTITUTE(CriteriTecnici!$F477,CHAR(34),"'")&amp;CHAR(34)&amp;", "&amp;CHAR(34)&amp;"value"&amp;CHAR(34)&amp;": "&amp;SUBSTITUTE(TRIM(ROUND(IFERROR(CriteriTecnici!$N477*1,IFERROR(NUMBERVALUE(CriteriTecnici!$N477,".",","),IFERROR(NUMBERVALUE(CriteriTecnici!$N477,",","."),0))),4)&amp;""),",",".")&amp;", "&amp;CHAR(34)&amp;"numerator"&amp;CHAR(34)&amp;": "&amp;SUBSTITUTE(TRIM(ROUND(IFERROR(CriteriTecnici!$K477*1,IFERROR(NUMBERVALUE(CriteriTecnici!$K477,".",","),IFERROR(NUMBERVALUE(CriteriTecnici!$K477,",","."),0))),4)&amp;""),",",".")&amp;", "&amp;CHAR(34)&amp;"denominator"&amp;CHAR(34)&amp;": "&amp;SUBSTITUTE(TRIM(ROUND(IFERROR(CriteriTecnici!$L477*1,IFERROR(NUMBERVALUE(CriteriTecnici!$L477,".",","),IFERROR(NUMBERVALUE(CriteriTecnici!$L477,",","."),0))),4)&amp;""),",",".")&amp;", "&amp;CHAR(34)&amp;"flag"&amp;CHAR(34)&amp;": "&amp;SUBSTITUTE(TRIM(ROUND(IFERROR(CriteriTecnici!$M477*1,IFERROR(NUMBERVALUE(CriteriTecnici!$M477,".",","),IFERROR(NUMBERVALUE(CriteriTecnici!$M477,",","."),0))),4)&amp;""),",",".")&amp;", "&amp;CHAR(34)&amp;"rawScore"&amp;CHAR(34)&amp;": "&amp;SUBSTITUTE(TRIM(ROUND(IFERROR(CriteriTecnici!$O477*1,IFERROR(NUMBERVALUE(CriteriTecnici!$O477,".",","),IFERROR(NUMBERVALUE(CriteriTecnici!$O477,",","."),0))),4)&amp;""),",",".")&amp;CHAR(125)&amp;IF(TRUE,",",""))</f>
        <v/>
      </c>
    </row>
    <row r="579">
      <c r="A579" s="82">
        <f>IF(CriteriTecnici!$A478="","","    "&amp;CHAR(123)&amp;CHAR(34)&amp;"bidderId"&amp;CHAR(34)&amp;": "&amp;CHAR(34)&amp;SUBSTITUTE(CriteriTecnici!$A478,CHAR(34),"'")&amp;CHAR(34)&amp;", "&amp;CHAR(34)&amp;"lotId"&amp;CHAR(34)&amp;": "&amp;CHAR(34)&amp;SUBSTITUTE(CriteriTecnici!$C478,CHAR(34),"'")&amp;CHAR(34)&amp;", "&amp;CHAR(34)&amp;"criterionId"&amp;CHAR(34)&amp;": "&amp;CHAR(34)&amp;SUBSTITUTE(CriteriTecnici!$D478,CHAR(34),"'")&amp;CHAR(34)&amp;", "&amp;CHAR(34)&amp;"kind"&amp;CHAR(34)&amp;": "&amp;CHAR(34)&amp;SUBSTITUTE(CriteriTecnici!$F478,CHAR(34),"'")&amp;CHAR(34)&amp;", "&amp;CHAR(34)&amp;"value"&amp;CHAR(34)&amp;": "&amp;SUBSTITUTE(TRIM(ROUND(IFERROR(CriteriTecnici!$N478*1,IFERROR(NUMBERVALUE(CriteriTecnici!$N478,".",","),IFERROR(NUMBERVALUE(CriteriTecnici!$N478,",","."),0))),4)&amp;""),",",".")&amp;", "&amp;CHAR(34)&amp;"numerator"&amp;CHAR(34)&amp;": "&amp;SUBSTITUTE(TRIM(ROUND(IFERROR(CriteriTecnici!$K478*1,IFERROR(NUMBERVALUE(CriteriTecnici!$K478,".",","),IFERROR(NUMBERVALUE(CriteriTecnici!$K478,",","."),0))),4)&amp;""),",",".")&amp;", "&amp;CHAR(34)&amp;"denominator"&amp;CHAR(34)&amp;": "&amp;SUBSTITUTE(TRIM(ROUND(IFERROR(CriteriTecnici!$L478*1,IFERROR(NUMBERVALUE(CriteriTecnici!$L478,".",","),IFERROR(NUMBERVALUE(CriteriTecnici!$L478,",","."),0))),4)&amp;""),",",".")&amp;", "&amp;CHAR(34)&amp;"flag"&amp;CHAR(34)&amp;": "&amp;SUBSTITUTE(TRIM(ROUND(IFERROR(CriteriTecnici!$M478*1,IFERROR(NUMBERVALUE(CriteriTecnici!$M478,".",","),IFERROR(NUMBERVALUE(CriteriTecnici!$M478,",","."),0))),4)&amp;""),",",".")&amp;", "&amp;CHAR(34)&amp;"rawScore"&amp;CHAR(34)&amp;": "&amp;SUBSTITUTE(TRIM(ROUND(IFERROR(CriteriTecnici!$O478*1,IFERROR(NUMBERVALUE(CriteriTecnici!$O478,".",","),IFERROR(NUMBERVALUE(CriteriTecnici!$O478,",","."),0))),4)&amp;""),",",".")&amp;CHAR(125)&amp;IF(TRUE,",",""))</f>
        <v/>
      </c>
    </row>
    <row r="580">
      <c r="A580" s="82">
        <f>IF(CriteriTecnici!$A479="","","    "&amp;CHAR(123)&amp;CHAR(34)&amp;"bidderId"&amp;CHAR(34)&amp;": "&amp;CHAR(34)&amp;SUBSTITUTE(CriteriTecnici!$A479,CHAR(34),"'")&amp;CHAR(34)&amp;", "&amp;CHAR(34)&amp;"lotId"&amp;CHAR(34)&amp;": "&amp;CHAR(34)&amp;SUBSTITUTE(CriteriTecnici!$C479,CHAR(34),"'")&amp;CHAR(34)&amp;", "&amp;CHAR(34)&amp;"criterionId"&amp;CHAR(34)&amp;": "&amp;CHAR(34)&amp;SUBSTITUTE(CriteriTecnici!$D479,CHAR(34),"'")&amp;CHAR(34)&amp;", "&amp;CHAR(34)&amp;"kind"&amp;CHAR(34)&amp;": "&amp;CHAR(34)&amp;SUBSTITUTE(CriteriTecnici!$F479,CHAR(34),"'")&amp;CHAR(34)&amp;", "&amp;CHAR(34)&amp;"value"&amp;CHAR(34)&amp;": "&amp;SUBSTITUTE(TRIM(ROUND(IFERROR(CriteriTecnici!$N479*1,IFERROR(NUMBERVALUE(CriteriTecnici!$N479,".",","),IFERROR(NUMBERVALUE(CriteriTecnici!$N479,",","."),0))),4)&amp;""),",",".")&amp;", "&amp;CHAR(34)&amp;"numerator"&amp;CHAR(34)&amp;": "&amp;SUBSTITUTE(TRIM(ROUND(IFERROR(CriteriTecnici!$K479*1,IFERROR(NUMBERVALUE(CriteriTecnici!$K479,".",","),IFERROR(NUMBERVALUE(CriteriTecnici!$K479,",","."),0))),4)&amp;""),",",".")&amp;", "&amp;CHAR(34)&amp;"denominator"&amp;CHAR(34)&amp;": "&amp;SUBSTITUTE(TRIM(ROUND(IFERROR(CriteriTecnici!$L479*1,IFERROR(NUMBERVALUE(CriteriTecnici!$L479,".",","),IFERROR(NUMBERVALUE(CriteriTecnici!$L479,",","."),0))),4)&amp;""),",",".")&amp;", "&amp;CHAR(34)&amp;"flag"&amp;CHAR(34)&amp;": "&amp;SUBSTITUTE(TRIM(ROUND(IFERROR(CriteriTecnici!$M479*1,IFERROR(NUMBERVALUE(CriteriTecnici!$M479,".",","),IFERROR(NUMBERVALUE(CriteriTecnici!$M479,",","."),0))),4)&amp;""),",",".")&amp;", "&amp;CHAR(34)&amp;"rawScore"&amp;CHAR(34)&amp;": "&amp;SUBSTITUTE(TRIM(ROUND(IFERROR(CriteriTecnici!$O479*1,IFERROR(NUMBERVALUE(CriteriTecnici!$O479,".",","),IFERROR(NUMBERVALUE(CriteriTecnici!$O479,",","."),0))),4)&amp;""),",",".")&amp;CHAR(125)&amp;IF(TRUE,",",""))</f>
        <v/>
      </c>
    </row>
    <row r="581">
      <c r="A581" s="82">
        <f>IF(CriteriTecnici!$A480="","","    "&amp;CHAR(123)&amp;CHAR(34)&amp;"bidderId"&amp;CHAR(34)&amp;": "&amp;CHAR(34)&amp;SUBSTITUTE(CriteriTecnici!$A480,CHAR(34),"'")&amp;CHAR(34)&amp;", "&amp;CHAR(34)&amp;"lotId"&amp;CHAR(34)&amp;": "&amp;CHAR(34)&amp;SUBSTITUTE(CriteriTecnici!$C480,CHAR(34),"'")&amp;CHAR(34)&amp;", "&amp;CHAR(34)&amp;"criterionId"&amp;CHAR(34)&amp;": "&amp;CHAR(34)&amp;SUBSTITUTE(CriteriTecnici!$D480,CHAR(34),"'")&amp;CHAR(34)&amp;", "&amp;CHAR(34)&amp;"kind"&amp;CHAR(34)&amp;": "&amp;CHAR(34)&amp;SUBSTITUTE(CriteriTecnici!$F480,CHAR(34),"'")&amp;CHAR(34)&amp;", "&amp;CHAR(34)&amp;"value"&amp;CHAR(34)&amp;": "&amp;SUBSTITUTE(TRIM(ROUND(IFERROR(CriteriTecnici!$N480*1,IFERROR(NUMBERVALUE(CriteriTecnici!$N480,".",","),IFERROR(NUMBERVALUE(CriteriTecnici!$N480,",","."),0))),4)&amp;""),",",".")&amp;", "&amp;CHAR(34)&amp;"numerator"&amp;CHAR(34)&amp;": "&amp;SUBSTITUTE(TRIM(ROUND(IFERROR(CriteriTecnici!$K480*1,IFERROR(NUMBERVALUE(CriteriTecnici!$K480,".",","),IFERROR(NUMBERVALUE(CriteriTecnici!$K480,",","."),0))),4)&amp;""),",",".")&amp;", "&amp;CHAR(34)&amp;"denominator"&amp;CHAR(34)&amp;": "&amp;SUBSTITUTE(TRIM(ROUND(IFERROR(CriteriTecnici!$L480*1,IFERROR(NUMBERVALUE(CriteriTecnici!$L480,".",","),IFERROR(NUMBERVALUE(CriteriTecnici!$L480,",","."),0))),4)&amp;""),",",".")&amp;", "&amp;CHAR(34)&amp;"flag"&amp;CHAR(34)&amp;": "&amp;SUBSTITUTE(TRIM(ROUND(IFERROR(CriteriTecnici!$M480*1,IFERROR(NUMBERVALUE(CriteriTecnici!$M480,".",","),IFERROR(NUMBERVALUE(CriteriTecnici!$M480,",","."),0))),4)&amp;""),",",".")&amp;", "&amp;CHAR(34)&amp;"rawScore"&amp;CHAR(34)&amp;": "&amp;SUBSTITUTE(TRIM(ROUND(IFERROR(CriteriTecnici!$O480*1,IFERROR(NUMBERVALUE(CriteriTecnici!$O480,".",","),IFERROR(NUMBERVALUE(CriteriTecnici!$O480,",","."),0))),4)&amp;""),",",".")&amp;CHAR(125)&amp;IF(TRUE,",",""))</f>
        <v/>
      </c>
    </row>
    <row r="582">
      <c r="A582" s="82">
        <f>IF(CriteriTecnici!$A481="","","    "&amp;CHAR(123)&amp;CHAR(34)&amp;"bidderId"&amp;CHAR(34)&amp;": "&amp;CHAR(34)&amp;SUBSTITUTE(CriteriTecnici!$A481,CHAR(34),"'")&amp;CHAR(34)&amp;", "&amp;CHAR(34)&amp;"lotId"&amp;CHAR(34)&amp;": "&amp;CHAR(34)&amp;SUBSTITUTE(CriteriTecnici!$C481,CHAR(34),"'")&amp;CHAR(34)&amp;", "&amp;CHAR(34)&amp;"criterionId"&amp;CHAR(34)&amp;": "&amp;CHAR(34)&amp;SUBSTITUTE(CriteriTecnici!$D481,CHAR(34),"'")&amp;CHAR(34)&amp;", "&amp;CHAR(34)&amp;"kind"&amp;CHAR(34)&amp;": "&amp;CHAR(34)&amp;SUBSTITUTE(CriteriTecnici!$F481,CHAR(34),"'")&amp;CHAR(34)&amp;", "&amp;CHAR(34)&amp;"value"&amp;CHAR(34)&amp;": "&amp;SUBSTITUTE(TRIM(ROUND(IFERROR(CriteriTecnici!$N481*1,IFERROR(NUMBERVALUE(CriteriTecnici!$N481,".",","),IFERROR(NUMBERVALUE(CriteriTecnici!$N481,",","."),0))),4)&amp;""),",",".")&amp;", "&amp;CHAR(34)&amp;"numerator"&amp;CHAR(34)&amp;": "&amp;SUBSTITUTE(TRIM(ROUND(IFERROR(CriteriTecnici!$K481*1,IFERROR(NUMBERVALUE(CriteriTecnici!$K481,".",","),IFERROR(NUMBERVALUE(CriteriTecnici!$K481,",","."),0))),4)&amp;""),",",".")&amp;", "&amp;CHAR(34)&amp;"denominator"&amp;CHAR(34)&amp;": "&amp;SUBSTITUTE(TRIM(ROUND(IFERROR(CriteriTecnici!$L481*1,IFERROR(NUMBERVALUE(CriteriTecnici!$L481,".",","),IFERROR(NUMBERVALUE(CriteriTecnici!$L481,",","."),0))),4)&amp;""),",",".")&amp;", "&amp;CHAR(34)&amp;"flag"&amp;CHAR(34)&amp;": "&amp;SUBSTITUTE(TRIM(ROUND(IFERROR(CriteriTecnici!$M481*1,IFERROR(NUMBERVALUE(CriteriTecnici!$M481,".",","),IFERROR(NUMBERVALUE(CriteriTecnici!$M481,",","."),0))),4)&amp;""),",",".")&amp;", "&amp;CHAR(34)&amp;"rawScore"&amp;CHAR(34)&amp;": "&amp;SUBSTITUTE(TRIM(ROUND(IFERROR(CriteriTecnici!$O481*1,IFERROR(NUMBERVALUE(CriteriTecnici!$O481,".",","),IFERROR(NUMBERVALUE(CriteriTecnici!$O481,",","."),0))),4)&amp;""),",",".")&amp;CHAR(125)&amp;IF(TRUE,",",""))</f>
        <v/>
      </c>
    </row>
    <row r="583">
      <c r="A583" s="82">
        <f>IF(CriteriTecnici!$A482="","","    "&amp;CHAR(123)&amp;CHAR(34)&amp;"bidderId"&amp;CHAR(34)&amp;": "&amp;CHAR(34)&amp;SUBSTITUTE(CriteriTecnici!$A482,CHAR(34),"'")&amp;CHAR(34)&amp;", "&amp;CHAR(34)&amp;"lotId"&amp;CHAR(34)&amp;": "&amp;CHAR(34)&amp;SUBSTITUTE(CriteriTecnici!$C482,CHAR(34),"'")&amp;CHAR(34)&amp;", "&amp;CHAR(34)&amp;"criterionId"&amp;CHAR(34)&amp;": "&amp;CHAR(34)&amp;SUBSTITUTE(CriteriTecnici!$D482,CHAR(34),"'")&amp;CHAR(34)&amp;", "&amp;CHAR(34)&amp;"kind"&amp;CHAR(34)&amp;": "&amp;CHAR(34)&amp;SUBSTITUTE(CriteriTecnici!$F482,CHAR(34),"'")&amp;CHAR(34)&amp;", "&amp;CHAR(34)&amp;"value"&amp;CHAR(34)&amp;": "&amp;SUBSTITUTE(TRIM(ROUND(IFERROR(CriteriTecnici!$N482*1,IFERROR(NUMBERVALUE(CriteriTecnici!$N482,".",","),IFERROR(NUMBERVALUE(CriteriTecnici!$N482,",","."),0))),4)&amp;""),",",".")&amp;", "&amp;CHAR(34)&amp;"numerator"&amp;CHAR(34)&amp;": "&amp;SUBSTITUTE(TRIM(ROUND(IFERROR(CriteriTecnici!$K482*1,IFERROR(NUMBERVALUE(CriteriTecnici!$K482,".",","),IFERROR(NUMBERVALUE(CriteriTecnici!$K482,",","."),0))),4)&amp;""),",",".")&amp;", "&amp;CHAR(34)&amp;"denominator"&amp;CHAR(34)&amp;": "&amp;SUBSTITUTE(TRIM(ROUND(IFERROR(CriteriTecnici!$L482*1,IFERROR(NUMBERVALUE(CriteriTecnici!$L482,".",","),IFERROR(NUMBERVALUE(CriteriTecnici!$L482,",","."),0))),4)&amp;""),",",".")&amp;", "&amp;CHAR(34)&amp;"flag"&amp;CHAR(34)&amp;": "&amp;SUBSTITUTE(TRIM(ROUND(IFERROR(CriteriTecnici!$M482*1,IFERROR(NUMBERVALUE(CriteriTecnici!$M482,".",","),IFERROR(NUMBERVALUE(CriteriTecnici!$M482,",","."),0))),4)&amp;""),",",".")&amp;", "&amp;CHAR(34)&amp;"rawScore"&amp;CHAR(34)&amp;": "&amp;SUBSTITUTE(TRIM(ROUND(IFERROR(CriteriTecnici!$O482*1,IFERROR(NUMBERVALUE(CriteriTecnici!$O482,".",","),IFERROR(NUMBERVALUE(CriteriTecnici!$O482,",","."),0))),4)&amp;""),",",".")&amp;CHAR(125)&amp;IF(TRUE,",",""))</f>
        <v/>
      </c>
    </row>
    <row r="584">
      <c r="A584" s="82">
        <f>IF(CriteriTecnici!$A483="","","    "&amp;CHAR(123)&amp;CHAR(34)&amp;"bidderId"&amp;CHAR(34)&amp;": "&amp;CHAR(34)&amp;SUBSTITUTE(CriteriTecnici!$A483,CHAR(34),"'")&amp;CHAR(34)&amp;", "&amp;CHAR(34)&amp;"lotId"&amp;CHAR(34)&amp;": "&amp;CHAR(34)&amp;SUBSTITUTE(CriteriTecnici!$C483,CHAR(34),"'")&amp;CHAR(34)&amp;", "&amp;CHAR(34)&amp;"criterionId"&amp;CHAR(34)&amp;": "&amp;CHAR(34)&amp;SUBSTITUTE(CriteriTecnici!$D483,CHAR(34),"'")&amp;CHAR(34)&amp;", "&amp;CHAR(34)&amp;"kind"&amp;CHAR(34)&amp;": "&amp;CHAR(34)&amp;SUBSTITUTE(CriteriTecnici!$F483,CHAR(34),"'")&amp;CHAR(34)&amp;", "&amp;CHAR(34)&amp;"value"&amp;CHAR(34)&amp;": "&amp;SUBSTITUTE(TRIM(ROUND(IFERROR(CriteriTecnici!$N483*1,IFERROR(NUMBERVALUE(CriteriTecnici!$N483,".",","),IFERROR(NUMBERVALUE(CriteriTecnici!$N483,",","."),0))),4)&amp;""),",",".")&amp;", "&amp;CHAR(34)&amp;"numerator"&amp;CHAR(34)&amp;": "&amp;SUBSTITUTE(TRIM(ROUND(IFERROR(CriteriTecnici!$K483*1,IFERROR(NUMBERVALUE(CriteriTecnici!$K483,".",","),IFERROR(NUMBERVALUE(CriteriTecnici!$K483,",","."),0))),4)&amp;""),",",".")&amp;", "&amp;CHAR(34)&amp;"denominator"&amp;CHAR(34)&amp;": "&amp;SUBSTITUTE(TRIM(ROUND(IFERROR(CriteriTecnici!$L483*1,IFERROR(NUMBERVALUE(CriteriTecnici!$L483,".",","),IFERROR(NUMBERVALUE(CriteriTecnici!$L483,",","."),0))),4)&amp;""),",",".")&amp;", "&amp;CHAR(34)&amp;"flag"&amp;CHAR(34)&amp;": "&amp;SUBSTITUTE(TRIM(ROUND(IFERROR(CriteriTecnici!$M483*1,IFERROR(NUMBERVALUE(CriteriTecnici!$M483,".",","),IFERROR(NUMBERVALUE(CriteriTecnici!$M483,",","."),0))),4)&amp;""),",",".")&amp;", "&amp;CHAR(34)&amp;"rawScore"&amp;CHAR(34)&amp;": "&amp;SUBSTITUTE(TRIM(ROUND(IFERROR(CriteriTecnici!$O483*1,IFERROR(NUMBERVALUE(CriteriTecnici!$O483,".",","),IFERROR(NUMBERVALUE(CriteriTecnici!$O483,",","."),0))),4)&amp;""),",",".")&amp;CHAR(125)&amp;IF(TRUE,",",""))</f>
        <v/>
      </c>
    </row>
    <row r="585">
      <c r="A585" s="82">
        <f>IF(CriteriTecnici!$A484="","","    "&amp;CHAR(123)&amp;CHAR(34)&amp;"bidderId"&amp;CHAR(34)&amp;": "&amp;CHAR(34)&amp;SUBSTITUTE(CriteriTecnici!$A484,CHAR(34),"'")&amp;CHAR(34)&amp;", "&amp;CHAR(34)&amp;"lotId"&amp;CHAR(34)&amp;": "&amp;CHAR(34)&amp;SUBSTITUTE(CriteriTecnici!$C484,CHAR(34),"'")&amp;CHAR(34)&amp;", "&amp;CHAR(34)&amp;"criterionId"&amp;CHAR(34)&amp;": "&amp;CHAR(34)&amp;SUBSTITUTE(CriteriTecnici!$D484,CHAR(34),"'")&amp;CHAR(34)&amp;", "&amp;CHAR(34)&amp;"kind"&amp;CHAR(34)&amp;": "&amp;CHAR(34)&amp;SUBSTITUTE(CriteriTecnici!$F484,CHAR(34),"'")&amp;CHAR(34)&amp;", "&amp;CHAR(34)&amp;"value"&amp;CHAR(34)&amp;": "&amp;SUBSTITUTE(TRIM(ROUND(IFERROR(CriteriTecnici!$N484*1,IFERROR(NUMBERVALUE(CriteriTecnici!$N484,".",","),IFERROR(NUMBERVALUE(CriteriTecnici!$N484,",","."),0))),4)&amp;""),",",".")&amp;", "&amp;CHAR(34)&amp;"numerator"&amp;CHAR(34)&amp;": "&amp;SUBSTITUTE(TRIM(ROUND(IFERROR(CriteriTecnici!$K484*1,IFERROR(NUMBERVALUE(CriteriTecnici!$K484,".",","),IFERROR(NUMBERVALUE(CriteriTecnici!$K484,",","."),0))),4)&amp;""),",",".")&amp;", "&amp;CHAR(34)&amp;"denominator"&amp;CHAR(34)&amp;": "&amp;SUBSTITUTE(TRIM(ROUND(IFERROR(CriteriTecnici!$L484*1,IFERROR(NUMBERVALUE(CriteriTecnici!$L484,".",","),IFERROR(NUMBERVALUE(CriteriTecnici!$L484,",","."),0))),4)&amp;""),",",".")&amp;", "&amp;CHAR(34)&amp;"flag"&amp;CHAR(34)&amp;": "&amp;SUBSTITUTE(TRIM(ROUND(IFERROR(CriteriTecnici!$M484*1,IFERROR(NUMBERVALUE(CriteriTecnici!$M484,".",","),IFERROR(NUMBERVALUE(CriteriTecnici!$M484,",","."),0))),4)&amp;""),",",".")&amp;", "&amp;CHAR(34)&amp;"rawScore"&amp;CHAR(34)&amp;": "&amp;SUBSTITUTE(TRIM(ROUND(IFERROR(CriteriTecnici!$O484*1,IFERROR(NUMBERVALUE(CriteriTecnici!$O484,".",","),IFERROR(NUMBERVALUE(CriteriTecnici!$O484,",","."),0))),4)&amp;""),",",".")&amp;CHAR(125)&amp;IF(TRUE,",",""))</f>
        <v/>
      </c>
    </row>
    <row r="586">
      <c r="A586" s="82">
        <f>IF(CriteriTecnici!$A485="","","    "&amp;CHAR(123)&amp;CHAR(34)&amp;"bidderId"&amp;CHAR(34)&amp;": "&amp;CHAR(34)&amp;SUBSTITUTE(CriteriTecnici!$A485,CHAR(34),"'")&amp;CHAR(34)&amp;", "&amp;CHAR(34)&amp;"lotId"&amp;CHAR(34)&amp;": "&amp;CHAR(34)&amp;SUBSTITUTE(CriteriTecnici!$C485,CHAR(34),"'")&amp;CHAR(34)&amp;", "&amp;CHAR(34)&amp;"criterionId"&amp;CHAR(34)&amp;": "&amp;CHAR(34)&amp;SUBSTITUTE(CriteriTecnici!$D485,CHAR(34),"'")&amp;CHAR(34)&amp;", "&amp;CHAR(34)&amp;"kind"&amp;CHAR(34)&amp;": "&amp;CHAR(34)&amp;SUBSTITUTE(CriteriTecnici!$F485,CHAR(34),"'")&amp;CHAR(34)&amp;", "&amp;CHAR(34)&amp;"value"&amp;CHAR(34)&amp;": "&amp;SUBSTITUTE(TRIM(ROUND(IFERROR(CriteriTecnici!$N485*1,IFERROR(NUMBERVALUE(CriteriTecnici!$N485,".",","),IFERROR(NUMBERVALUE(CriteriTecnici!$N485,",","."),0))),4)&amp;""),",",".")&amp;", "&amp;CHAR(34)&amp;"numerator"&amp;CHAR(34)&amp;": "&amp;SUBSTITUTE(TRIM(ROUND(IFERROR(CriteriTecnici!$K485*1,IFERROR(NUMBERVALUE(CriteriTecnici!$K485,".",","),IFERROR(NUMBERVALUE(CriteriTecnici!$K485,",","."),0))),4)&amp;""),",",".")&amp;", "&amp;CHAR(34)&amp;"denominator"&amp;CHAR(34)&amp;": "&amp;SUBSTITUTE(TRIM(ROUND(IFERROR(CriteriTecnici!$L485*1,IFERROR(NUMBERVALUE(CriteriTecnici!$L485,".",","),IFERROR(NUMBERVALUE(CriteriTecnici!$L485,",","."),0))),4)&amp;""),",",".")&amp;", "&amp;CHAR(34)&amp;"flag"&amp;CHAR(34)&amp;": "&amp;SUBSTITUTE(TRIM(ROUND(IFERROR(CriteriTecnici!$M485*1,IFERROR(NUMBERVALUE(CriteriTecnici!$M485,".",","),IFERROR(NUMBERVALUE(CriteriTecnici!$M485,",","."),0))),4)&amp;""),",",".")&amp;", "&amp;CHAR(34)&amp;"rawScore"&amp;CHAR(34)&amp;": "&amp;SUBSTITUTE(TRIM(ROUND(IFERROR(CriteriTecnici!$O485*1,IFERROR(NUMBERVALUE(CriteriTecnici!$O485,".",","),IFERROR(NUMBERVALUE(CriteriTecnici!$O485,",","."),0))),4)&amp;""),",",".")&amp;CHAR(125)&amp;IF(TRUE,",",""))</f>
        <v/>
      </c>
    </row>
    <row r="587">
      <c r="A587" s="82">
        <f>IF(CriteriTecnici!$A486="","","    "&amp;CHAR(123)&amp;CHAR(34)&amp;"bidderId"&amp;CHAR(34)&amp;": "&amp;CHAR(34)&amp;SUBSTITUTE(CriteriTecnici!$A486,CHAR(34),"'")&amp;CHAR(34)&amp;", "&amp;CHAR(34)&amp;"lotId"&amp;CHAR(34)&amp;": "&amp;CHAR(34)&amp;SUBSTITUTE(CriteriTecnici!$C486,CHAR(34),"'")&amp;CHAR(34)&amp;", "&amp;CHAR(34)&amp;"criterionId"&amp;CHAR(34)&amp;": "&amp;CHAR(34)&amp;SUBSTITUTE(CriteriTecnici!$D486,CHAR(34),"'")&amp;CHAR(34)&amp;", "&amp;CHAR(34)&amp;"kind"&amp;CHAR(34)&amp;": "&amp;CHAR(34)&amp;SUBSTITUTE(CriteriTecnici!$F486,CHAR(34),"'")&amp;CHAR(34)&amp;", "&amp;CHAR(34)&amp;"value"&amp;CHAR(34)&amp;": "&amp;SUBSTITUTE(TRIM(ROUND(IFERROR(CriteriTecnici!$N486*1,IFERROR(NUMBERVALUE(CriteriTecnici!$N486,".",","),IFERROR(NUMBERVALUE(CriteriTecnici!$N486,",","."),0))),4)&amp;""),",",".")&amp;", "&amp;CHAR(34)&amp;"numerator"&amp;CHAR(34)&amp;": "&amp;SUBSTITUTE(TRIM(ROUND(IFERROR(CriteriTecnici!$K486*1,IFERROR(NUMBERVALUE(CriteriTecnici!$K486,".",","),IFERROR(NUMBERVALUE(CriteriTecnici!$K486,",","."),0))),4)&amp;""),",",".")&amp;", "&amp;CHAR(34)&amp;"denominator"&amp;CHAR(34)&amp;": "&amp;SUBSTITUTE(TRIM(ROUND(IFERROR(CriteriTecnici!$L486*1,IFERROR(NUMBERVALUE(CriteriTecnici!$L486,".",","),IFERROR(NUMBERVALUE(CriteriTecnici!$L486,",","."),0))),4)&amp;""),",",".")&amp;", "&amp;CHAR(34)&amp;"flag"&amp;CHAR(34)&amp;": "&amp;SUBSTITUTE(TRIM(ROUND(IFERROR(CriteriTecnici!$M486*1,IFERROR(NUMBERVALUE(CriteriTecnici!$M486,".",","),IFERROR(NUMBERVALUE(CriteriTecnici!$M486,",","."),0))),4)&amp;""),",",".")&amp;", "&amp;CHAR(34)&amp;"rawScore"&amp;CHAR(34)&amp;": "&amp;SUBSTITUTE(TRIM(ROUND(IFERROR(CriteriTecnici!$O486*1,IFERROR(NUMBERVALUE(CriteriTecnici!$O486,".",","),IFERROR(NUMBERVALUE(CriteriTecnici!$O486,",","."),0))),4)&amp;""),",",".")&amp;CHAR(125)&amp;IF(TRUE,",",""))</f>
        <v/>
      </c>
    </row>
    <row r="588">
      <c r="A588" s="82">
        <f>IF(CriteriTecnici!$A487="","","    "&amp;CHAR(123)&amp;CHAR(34)&amp;"bidderId"&amp;CHAR(34)&amp;": "&amp;CHAR(34)&amp;SUBSTITUTE(CriteriTecnici!$A487,CHAR(34),"'")&amp;CHAR(34)&amp;", "&amp;CHAR(34)&amp;"lotId"&amp;CHAR(34)&amp;": "&amp;CHAR(34)&amp;SUBSTITUTE(CriteriTecnici!$C487,CHAR(34),"'")&amp;CHAR(34)&amp;", "&amp;CHAR(34)&amp;"criterionId"&amp;CHAR(34)&amp;": "&amp;CHAR(34)&amp;SUBSTITUTE(CriteriTecnici!$D487,CHAR(34),"'")&amp;CHAR(34)&amp;", "&amp;CHAR(34)&amp;"kind"&amp;CHAR(34)&amp;": "&amp;CHAR(34)&amp;SUBSTITUTE(CriteriTecnici!$F487,CHAR(34),"'")&amp;CHAR(34)&amp;", "&amp;CHAR(34)&amp;"value"&amp;CHAR(34)&amp;": "&amp;SUBSTITUTE(TRIM(ROUND(IFERROR(CriteriTecnici!$N487*1,IFERROR(NUMBERVALUE(CriteriTecnici!$N487,".",","),IFERROR(NUMBERVALUE(CriteriTecnici!$N487,",","."),0))),4)&amp;""),",",".")&amp;", "&amp;CHAR(34)&amp;"numerator"&amp;CHAR(34)&amp;": "&amp;SUBSTITUTE(TRIM(ROUND(IFERROR(CriteriTecnici!$K487*1,IFERROR(NUMBERVALUE(CriteriTecnici!$K487,".",","),IFERROR(NUMBERVALUE(CriteriTecnici!$K487,",","."),0))),4)&amp;""),",",".")&amp;", "&amp;CHAR(34)&amp;"denominator"&amp;CHAR(34)&amp;": "&amp;SUBSTITUTE(TRIM(ROUND(IFERROR(CriteriTecnici!$L487*1,IFERROR(NUMBERVALUE(CriteriTecnici!$L487,".",","),IFERROR(NUMBERVALUE(CriteriTecnici!$L487,",","."),0))),4)&amp;""),",",".")&amp;", "&amp;CHAR(34)&amp;"flag"&amp;CHAR(34)&amp;": "&amp;SUBSTITUTE(TRIM(ROUND(IFERROR(CriteriTecnici!$M487*1,IFERROR(NUMBERVALUE(CriteriTecnici!$M487,".",","),IFERROR(NUMBERVALUE(CriteriTecnici!$M487,",","."),0))),4)&amp;""),",",".")&amp;", "&amp;CHAR(34)&amp;"rawScore"&amp;CHAR(34)&amp;": "&amp;SUBSTITUTE(TRIM(ROUND(IFERROR(CriteriTecnici!$O487*1,IFERROR(NUMBERVALUE(CriteriTecnici!$O487,".",","),IFERROR(NUMBERVALUE(CriteriTecnici!$O487,",","."),0))),4)&amp;""),",",".")&amp;CHAR(125)&amp;IF(TRUE,",",""))</f>
        <v/>
      </c>
    </row>
    <row r="589">
      <c r="A589" s="82">
        <f>IF(CriteriTecnici!$A488="","","    "&amp;CHAR(123)&amp;CHAR(34)&amp;"bidderId"&amp;CHAR(34)&amp;": "&amp;CHAR(34)&amp;SUBSTITUTE(CriteriTecnici!$A488,CHAR(34),"'")&amp;CHAR(34)&amp;", "&amp;CHAR(34)&amp;"lotId"&amp;CHAR(34)&amp;": "&amp;CHAR(34)&amp;SUBSTITUTE(CriteriTecnici!$C488,CHAR(34),"'")&amp;CHAR(34)&amp;", "&amp;CHAR(34)&amp;"criterionId"&amp;CHAR(34)&amp;": "&amp;CHAR(34)&amp;SUBSTITUTE(CriteriTecnici!$D488,CHAR(34),"'")&amp;CHAR(34)&amp;", "&amp;CHAR(34)&amp;"kind"&amp;CHAR(34)&amp;": "&amp;CHAR(34)&amp;SUBSTITUTE(CriteriTecnici!$F488,CHAR(34),"'")&amp;CHAR(34)&amp;", "&amp;CHAR(34)&amp;"value"&amp;CHAR(34)&amp;": "&amp;SUBSTITUTE(TRIM(ROUND(IFERROR(CriteriTecnici!$N488*1,IFERROR(NUMBERVALUE(CriteriTecnici!$N488,".",","),IFERROR(NUMBERVALUE(CriteriTecnici!$N488,",","."),0))),4)&amp;""),",",".")&amp;", "&amp;CHAR(34)&amp;"numerator"&amp;CHAR(34)&amp;": "&amp;SUBSTITUTE(TRIM(ROUND(IFERROR(CriteriTecnici!$K488*1,IFERROR(NUMBERVALUE(CriteriTecnici!$K488,".",","),IFERROR(NUMBERVALUE(CriteriTecnici!$K488,",","."),0))),4)&amp;""),",",".")&amp;", "&amp;CHAR(34)&amp;"denominator"&amp;CHAR(34)&amp;": "&amp;SUBSTITUTE(TRIM(ROUND(IFERROR(CriteriTecnici!$L488*1,IFERROR(NUMBERVALUE(CriteriTecnici!$L488,".",","),IFERROR(NUMBERVALUE(CriteriTecnici!$L488,",","."),0))),4)&amp;""),",",".")&amp;", "&amp;CHAR(34)&amp;"flag"&amp;CHAR(34)&amp;": "&amp;SUBSTITUTE(TRIM(ROUND(IFERROR(CriteriTecnici!$M488*1,IFERROR(NUMBERVALUE(CriteriTecnici!$M488,".",","),IFERROR(NUMBERVALUE(CriteriTecnici!$M488,",","."),0))),4)&amp;""),",",".")&amp;", "&amp;CHAR(34)&amp;"rawScore"&amp;CHAR(34)&amp;": "&amp;SUBSTITUTE(TRIM(ROUND(IFERROR(CriteriTecnici!$O488*1,IFERROR(NUMBERVALUE(CriteriTecnici!$O488,".",","),IFERROR(NUMBERVALUE(CriteriTecnici!$O488,",","."),0))),4)&amp;""),",",".")&amp;CHAR(125)&amp;IF(TRUE,",",""))</f>
        <v/>
      </c>
    </row>
    <row r="590">
      <c r="A590" s="82">
        <f>IF(CriteriTecnici!$A489="","","    "&amp;CHAR(123)&amp;CHAR(34)&amp;"bidderId"&amp;CHAR(34)&amp;": "&amp;CHAR(34)&amp;SUBSTITUTE(CriteriTecnici!$A489,CHAR(34),"'")&amp;CHAR(34)&amp;", "&amp;CHAR(34)&amp;"lotId"&amp;CHAR(34)&amp;": "&amp;CHAR(34)&amp;SUBSTITUTE(CriteriTecnici!$C489,CHAR(34),"'")&amp;CHAR(34)&amp;", "&amp;CHAR(34)&amp;"criterionId"&amp;CHAR(34)&amp;": "&amp;CHAR(34)&amp;SUBSTITUTE(CriteriTecnici!$D489,CHAR(34),"'")&amp;CHAR(34)&amp;", "&amp;CHAR(34)&amp;"kind"&amp;CHAR(34)&amp;": "&amp;CHAR(34)&amp;SUBSTITUTE(CriteriTecnici!$F489,CHAR(34),"'")&amp;CHAR(34)&amp;", "&amp;CHAR(34)&amp;"value"&amp;CHAR(34)&amp;": "&amp;SUBSTITUTE(TRIM(ROUND(IFERROR(CriteriTecnici!$N489*1,IFERROR(NUMBERVALUE(CriteriTecnici!$N489,".",","),IFERROR(NUMBERVALUE(CriteriTecnici!$N489,",","."),0))),4)&amp;""),",",".")&amp;", "&amp;CHAR(34)&amp;"numerator"&amp;CHAR(34)&amp;": "&amp;SUBSTITUTE(TRIM(ROUND(IFERROR(CriteriTecnici!$K489*1,IFERROR(NUMBERVALUE(CriteriTecnici!$K489,".",","),IFERROR(NUMBERVALUE(CriteriTecnici!$K489,",","."),0))),4)&amp;""),",",".")&amp;", "&amp;CHAR(34)&amp;"denominator"&amp;CHAR(34)&amp;": "&amp;SUBSTITUTE(TRIM(ROUND(IFERROR(CriteriTecnici!$L489*1,IFERROR(NUMBERVALUE(CriteriTecnici!$L489,".",","),IFERROR(NUMBERVALUE(CriteriTecnici!$L489,",","."),0))),4)&amp;""),",",".")&amp;", "&amp;CHAR(34)&amp;"flag"&amp;CHAR(34)&amp;": "&amp;SUBSTITUTE(TRIM(ROUND(IFERROR(CriteriTecnici!$M489*1,IFERROR(NUMBERVALUE(CriteriTecnici!$M489,".",","),IFERROR(NUMBERVALUE(CriteriTecnici!$M489,",","."),0))),4)&amp;""),",",".")&amp;", "&amp;CHAR(34)&amp;"rawScore"&amp;CHAR(34)&amp;": "&amp;SUBSTITUTE(TRIM(ROUND(IFERROR(CriteriTecnici!$O489*1,IFERROR(NUMBERVALUE(CriteriTecnici!$O489,".",","),IFERROR(NUMBERVALUE(CriteriTecnici!$O489,",","."),0))),4)&amp;""),",",".")&amp;CHAR(125)&amp;IF(TRUE,",",""))</f>
        <v/>
      </c>
    </row>
    <row r="591">
      <c r="A591" s="82">
        <f>IF(CriteriTecnici!$A490="","","    "&amp;CHAR(123)&amp;CHAR(34)&amp;"bidderId"&amp;CHAR(34)&amp;": "&amp;CHAR(34)&amp;SUBSTITUTE(CriteriTecnici!$A490,CHAR(34),"'")&amp;CHAR(34)&amp;", "&amp;CHAR(34)&amp;"lotId"&amp;CHAR(34)&amp;": "&amp;CHAR(34)&amp;SUBSTITUTE(CriteriTecnici!$C490,CHAR(34),"'")&amp;CHAR(34)&amp;", "&amp;CHAR(34)&amp;"criterionId"&amp;CHAR(34)&amp;": "&amp;CHAR(34)&amp;SUBSTITUTE(CriteriTecnici!$D490,CHAR(34),"'")&amp;CHAR(34)&amp;", "&amp;CHAR(34)&amp;"kind"&amp;CHAR(34)&amp;": "&amp;CHAR(34)&amp;SUBSTITUTE(CriteriTecnici!$F490,CHAR(34),"'")&amp;CHAR(34)&amp;", "&amp;CHAR(34)&amp;"value"&amp;CHAR(34)&amp;": "&amp;SUBSTITUTE(TRIM(ROUND(IFERROR(CriteriTecnici!$N490*1,IFERROR(NUMBERVALUE(CriteriTecnici!$N490,".",","),IFERROR(NUMBERVALUE(CriteriTecnici!$N490,",","."),0))),4)&amp;""),",",".")&amp;", "&amp;CHAR(34)&amp;"numerator"&amp;CHAR(34)&amp;": "&amp;SUBSTITUTE(TRIM(ROUND(IFERROR(CriteriTecnici!$K490*1,IFERROR(NUMBERVALUE(CriteriTecnici!$K490,".",","),IFERROR(NUMBERVALUE(CriteriTecnici!$K490,",","."),0))),4)&amp;""),",",".")&amp;", "&amp;CHAR(34)&amp;"denominator"&amp;CHAR(34)&amp;": "&amp;SUBSTITUTE(TRIM(ROUND(IFERROR(CriteriTecnici!$L490*1,IFERROR(NUMBERVALUE(CriteriTecnici!$L490,".",","),IFERROR(NUMBERVALUE(CriteriTecnici!$L490,",","."),0))),4)&amp;""),",",".")&amp;", "&amp;CHAR(34)&amp;"flag"&amp;CHAR(34)&amp;": "&amp;SUBSTITUTE(TRIM(ROUND(IFERROR(CriteriTecnici!$M490*1,IFERROR(NUMBERVALUE(CriteriTecnici!$M490,".",","),IFERROR(NUMBERVALUE(CriteriTecnici!$M490,",","."),0))),4)&amp;""),",",".")&amp;", "&amp;CHAR(34)&amp;"rawScore"&amp;CHAR(34)&amp;": "&amp;SUBSTITUTE(TRIM(ROUND(IFERROR(CriteriTecnici!$O490*1,IFERROR(NUMBERVALUE(CriteriTecnici!$O490,".",","),IFERROR(NUMBERVALUE(CriteriTecnici!$O490,",","."),0))),4)&amp;""),",",".")&amp;CHAR(125)&amp;IF(TRUE,",",""))</f>
        <v/>
      </c>
    </row>
    <row r="592">
      <c r="A592" s="82">
        <f>IF(CriteriTecnici!$A491="","","    "&amp;CHAR(123)&amp;CHAR(34)&amp;"bidderId"&amp;CHAR(34)&amp;": "&amp;CHAR(34)&amp;SUBSTITUTE(CriteriTecnici!$A491,CHAR(34),"'")&amp;CHAR(34)&amp;", "&amp;CHAR(34)&amp;"lotId"&amp;CHAR(34)&amp;": "&amp;CHAR(34)&amp;SUBSTITUTE(CriteriTecnici!$C491,CHAR(34),"'")&amp;CHAR(34)&amp;", "&amp;CHAR(34)&amp;"criterionId"&amp;CHAR(34)&amp;": "&amp;CHAR(34)&amp;SUBSTITUTE(CriteriTecnici!$D491,CHAR(34),"'")&amp;CHAR(34)&amp;", "&amp;CHAR(34)&amp;"kind"&amp;CHAR(34)&amp;": "&amp;CHAR(34)&amp;SUBSTITUTE(CriteriTecnici!$F491,CHAR(34),"'")&amp;CHAR(34)&amp;", "&amp;CHAR(34)&amp;"value"&amp;CHAR(34)&amp;": "&amp;SUBSTITUTE(TRIM(ROUND(IFERROR(CriteriTecnici!$N491*1,IFERROR(NUMBERVALUE(CriteriTecnici!$N491,".",","),IFERROR(NUMBERVALUE(CriteriTecnici!$N491,",","."),0))),4)&amp;""),",",".")&amp;", "&amp;CHAR(34)&amp;"numerator"&amp;CHAR(34)&amp;": "&amp;SUBSTITUTE(TRIM(ROUND(IFERROR(CriteriTecnici!$K491*1,IFERROR(NUMBERVALUE(CriteriTecnici!$K491,".",","),IFERROR(NUMBERVALUE(CriteriTecnici!$K491,",","."),0))),4)&amp;""),",",".")&amp;", "&amp;CHAR(34)&amp;"denominator"&amp;CHAR(34)&amp;": "&amp;SUBSTITUTE(TRIM(ROUND(IFERROR(CriteriTecnici!$L491*1,IFERROR(NUMBERVALUE(CriteriTecnici!$L491,".",","),IFERROR(NUMBERVALUE(CriteriTecnici!$L491,",","."),0))),4)&amp;""),",",".")&amp;", "&amp;CHAR(34)&amp;"flag"&amp;CHAR(34)&amp;": "&amp;SUBSTITUTE(TRIM(ROUND(IFERROR(CriteriTecnici!$M491*1,IFERROR(NUMBERVALUE(CriteriTecnici!$M491,".",","),IFERROR(NUMBERVALUE(CriteriTecnici!$M491,",","."),0))),4)&amp;""),",",".")&amp;", "&amp;CHAR(34)&amp;"rawScore"&amp;CHAR(34)&amp;": "&amp;SUBSTITUTE(TRIM(ROUND(IFERROR(CriteriTecnici!$O491*1,IFERROR(NUMBERVALUE(CriteriTecnici!$O491,".",","),IFERROR(NUMBERVALUE(CriteriTecnici!$O491,",","."),0))),4)&amp;""),",",".")&amp;CHAR(125)&amp;IF(TRUE,",",""))</f>
        <v/>
      </c>
    </row>
    <row r="593">
      <c r="A593" s="82">
        <f>IF(CriteriTecnici!$A492="","","    "&amp;CHAR(123)&amp;CHAR(34)&amp;"bidderId"&amp;CHAR(34)&amp;": "&amp;CHAR(34)&amp;SUBSTITUTE(CriteriTecnici!$A492,CHAR(34),"'")&amp;CHAR(34)&amp;", "&amp;CHAR(34)&amp;"lotId"&amp;CHAR(34)&amp;": "&amp;CHAR(34)&amp;SUBSTITUTE(CriteriTecnici!$C492,CHAR(34),"'")&amp;CHAR(34)&amp;", "&amp;CHAR(34)&amp;"criterionId"&amp;CHAR(34)&amp;": "&amp;CHAR(34)&amp;SUBSTITUTE(CriteriTecnici!$D492,CHAR(34),"'")&amp;CHAR(34)&amp;", "&amp;CHAR(34)&amp;"kind"&amp;CHAR(34)&amp;": "&amp;CHAR(34)&amp;SUBSTITUTE(CriteriTecnici!$F492,CHAR(34),"'")&amp;CHAR(34)&amp;", "&amp;CHAR(34)&amp;"value"&amp;CHAR(34)&amp;": "&amp;SUBSTITUTE(TRIM(ROUND(IFERROR(CriteriTecnici!$N492*1,IFERROR(NUMBERVALUE(CriteriTecnici!$N492,".",","),IFERROR(NUMBERVALUE(CriteriTecnici!$N492,",","."),0))),4)&amp;""),",",".")&amp;", "&amp;CHAR(34)&amp;"numerator"&amp;CHAR(34)&amp;": "&amp;SUBSTITUTE(TRIM(ROUND(IFERROR(CriteriTecnici!$K492*1,IFERROR(NUMBERVALUE(CriteriTecnici!$K492,".",","),IFERROR(NUMBERVALUE(CriteriTecnici!$K492,",","."),0))),4)&amp;""),",",".")&amp;", "&amp;CHAR(34)&amp;"denominator"&amp;CHAR(34)&amp;": "&amp;SUBSTITUTE(TRIM(ROUND(IFERROR(CriteriTecnici!$L492*1,IFERROR(NUMBERVALUE(CriteriTecnici!$L492,".",","),IFERROR(NUMBERVALUE(CriteriTecnici!$L492,",","."),0))),4)&amp;""),",",".")&amp;", "&amp;CHAR(34)&amp;"flag"&amp;CHAR(34)&amp;": "&amp;SUBSTITUTE(TRIM(ROUND(IFERROR(CriteriTecnici!$M492*1,IFERROR(NUMBERVALUE(CriteriTecnici!$M492,".",","),IFERROR(NUMBERVALUE(CriteriTecnici!$M492,",","."),0))),4)&amp;""),",",".")&amp;", "&amp;CHAR(34)&amp;"rawScore"&amp;CHAR(34)&amp;": "&amp;SUBSTITUTE(TRIM(ROUND(IFERROR(CriteriTecnici!$O492*1,IFERROR(NUMBERVALUE(CriteriTecnici!$O492,".",","),IFERROR(NUMBERVALUE(CriteriTecnici!$O492,",","."),0))),4)&amp;""),",",".")&amp;CHAR(125)&amp;IF(TRUE,",",""))</f>
        <v/>
      </c>
    </row>
    <row r="594">
      <c r="A594" s="82">
        <f>IF(CriteriTecnici!$A493="","","    "&amp;CHAR(123)&amp;CHAR(34)&amp;"bidderId"&amp;CHAR(34)&amp;": "&amp;CHAR(34)&amp;SUBSTITUTE(CriteriTecnici!$A493,CHAR(34),"'")&amp;CHAR(34)&amp;", "&amp;CHAR(34)&amp;"lotId"&amp;CHAR(34)&amp;": "&amp;CHAR(34)&amp;SUBSTITUTE(CriteriTecnici!$C493,CHAR(34),"'")&amp;CHAR(34)&amp;", "&amp;CHAR(34)&amp;"criterionId"&amp;CHAR(34)&amp;": "&amp;CHAR(34)&amp;SUBSTITUTE(CriteriTecnici!$D493,CHAR(34),"'")&amp;CHAR(34)&amp;", "&amp;CHAR(34)&amp;"kind"&amp;CHAR(34)&amp;": "&amp;CHAR(34)&amp;SUBSTITUTE(CriteriTecnici!$F493,CHAR(34),"'")&amp;CHAR(34)&amp;", "&amp;CHAR(34)&amp;"value"&amp;CHAR(34)&amp;": "&amp;SUBSTITUTE(TRIM(ROUND(IFERROR(CriteriTecnici!$N493*1,IFERROR(NUMBERVALUE(CriteriTecnici!$N493,".",","),IFERROR(NUMBERVALUE(CriteriTecnici!$N493,",","."),0))),4)&amp;""),",",".")&amp;", "&amp;CHAR(34)&amp;"numerator"&amp;CHAR(34)&amp;": "&amp;SUBSTITUTE(TRIM(ROUND(IFERROR(CriteriTecnici!$K493*1,IFERROR(NUMBERVALUE(CriteriTecnici!$K493,".",","),IFERROR(NUMBERVALUE(CriteriTecnici!$K493,",","."),0))),4)&amp;""),",",".")&amp;", "&amp;CHAR(34)&amp;"denominator"&amp;CHAR(34)&amp;": "&amp;SUBSTITUTE(TRIM(ROUND(IFERROR(CriteriTecnici!$L493*1,IFERROR(NUMBERVALUE(CriteriTecnici!$L493,".",","),IFERROR(NUMBERVALUE(CriteriTecnici!$L493,",","."),0))),4)&amp;""),",",".")&amp;", "&amp;CHAR(34)&amp;"flag"&amp;CHAR(34)&amp;": "&amp;SUBSTITUTE(TRIM(ROUND(IFERROR(CriteriTecnici!$M493*1,IFERROR(NUMBERVALUE(CriteriTecnici!$M493,".",","),IFERROR(NUMBERVALUE(CriteriTecnici!$M493,",","."),0))),4)&amp;""),",",".")&amp;", "&amp;CHAR(34)&amp;"rawScore"&amp;CHAR(34)&amp;": "&amp;SUBSTITUTE(TRIM(ROUND(IFERROR(CriteriTecnici!$O493*1,IFERROR(NUMBERVALUE(CriteriTecnici!$O493,".",","),IFERROR(NUMBERVALUE(CriteriTecnici!$O493,",","."),0))),4)&amp;""),",",".")&amp;CHAR(125)&amp;IF(TRUE,",",""))</f>
        <v/>
      </c>
    </row>
    <row r="595">
      <c r="A595" s="82">
        <f>IF(CriteriTecnici!$A494="","","    "&amp;CHAR(123)&amp;CHAR(34)&amp;"bidderId"&amp;CHAR(34)&amp;": "&amp;CHAR(34)&amp;SUBSTITUTE(CriteriTecnici!$A494,CHAR(34),"'")&amp;CHAR(34)&amp;", "&amp;CHAR(34)&amp;"lotId"&amp;CHAR(34)&amp;": "&amp;CHAR(34)&amp;SUBSTITUTE(CriteriTecnici!$C494,CHAR(34),"'")&amp;CHAR(34)&amp;", "&amp;CHAR(34)&amp;"criterionId"&amp;CHAR(34)&amp;": "&amp;CHAR(34)&amp;SUBSTITUTE(CriteriTecnici!$D494,CHAR(34),"'")&amp;CHAR(34)&amp;", "&amp;CHAR(34)&amp;"kind"&amp;CHAR(34)&amp;": "&amp;CHAR(34)&amp;SUBSTITUTE(CriteriTecnici!$F494,CHAR(34),"'")&amp;CHAR(34)&amp;", "&amp;CHAR(34)&amp;"value"&amp;CHAR(34)&amp;": "&amp;SUBSTITUTE(TRIM(ROUND(IFERROR(CriteriTecnici!$N494*1,IFERROR(NUMBERVALUE(CriteriTecnici!$N494,".",","),IFERROR(NUMBERVALUE(CriteriTecnici!$N494,",","."),0))),4)&amp;""),",",".")&amp;", "&amp;CHAR(34)&amp;"numerator"&amp;CHAR(34)&amp;": "&amp;SUBSTITUTE(TRIM(ROUND(IFERROR(CriteriTecnici!$K494*1,IFERROR(NUMBERVALUE(CriteriTecnici!$K494,".",","),IFERROR(NUMBERVALUE(CriteriTecnici!$K494,",","."),0))),4)&amp;""),",",".")&amp;", "&amp;CHAR(34)&amp;"denominator"&amp;CHAR(34)&amp;": "&amp;SUBSTITUTE(TRIM(ROUND(IFERROR(CriteriTecnici!$L494*1,IFERROR(NUMBERVALUE(CriteriTecnici!$L494,".",","),IFERROR(NUMBERVALUE(CriteriTecnici!$L494,",","."),0))),4)&amp;""),",",".")&amp;", "&amp;CHAR(34)&amp;"flag"&amp;CHAR(34)&amp;": "&amp;SUBSTITUTE(TRIM(ROUND(IFERROR(CriteriTecnici!$M494*1,IFERROR(NUMBERVALUE(CriteriTecnici!$M494,".",","),IFERROR(NUMBERVALUE(CriteriTecnici!$M494,",","."),0))),4)&amp;""),",",".")&amp;", "&amp;CHAR(34)&amp;"rawScore"&amp;CHAR(34)&amp;": "&amp;SUBSTITUTE(TRIM(ROUND(IFERROR(CriteriTecnici!$O494*1,IFERROR(NUMBERVALUE(CriteriTecnici!$O494,".",","),IFERROR(NUMBERVALUE(CriteriTecnici!$O494,",","."),0))),4)&amp;""),",",".")&amp;CHAR(125)&amp;IF(TRUE,",",""))</f>
        <v/>
      </c>
    </row>
    <row r="596">
      <c r="A596" s="82">
        <f>IF(CriteriTecnici!$A495="","","    "&amp;CHAR(123)&amp;CHAR(34)&amp;"bidderId"&amp;CHAR(34)&amp;": "&amp;CHAR(34)&amp;SUBSTITUTE(CriteriTecnici!$A495,CHAR(34),"'")&amp;CHAR(34)&amp;", "&amp;CHAR(34)&amp;"lotId"&amp;CHAR(34)&amp;": "&amp;CHAR(34)&amp;SUBSTITUTE(CriteriTecnici!$C495,CHAR(34),"'")&amp;CHAR(34)&amp;", "&amp;CHAR(34)&amp;"criterionId"&amp;CHAR(34)&amp;": "&amp;CHAR(34)&amp;SUBSTITUTE(CriteriTecnici!$D495,CHAR(34),"'")&amp;CHAR(34)&amp;", "&amp;CHAR(34)&amp;"kind"&amp;CHAR(34)&amp;": "&amp;CHAR(34)&amp;SUBSTITUTE(CriteriTecnici!$F495,CHAR(34),"'")&amp;CHAR(34)&amp;", "&amp;CHAR(34)&amp;"value"&amp;CHAR(34)&amp;": "&amp;SUBSTITUTE(TRIM(ROUND(IFERROR(CriteriTecnici!$N495*1,IFERROR(NUMBERVALUE(CriteriTecnici!$N495,".",","),IFERROR(NUMBERVALUE(CriteriTecnici!$N495,",","."),0))),4)&amp;""),",",".")&amp;", "&amp;CHAR(34)&amp;"numerator"&amp;CHAR(34)&amp;": "&amp;SUBSTITUTE(TRIM(ROUND(IFERROR(CriteriTecnici!$K495*1,IFERROR(NUMBERVALUE(CriteriTecnici!$K495,".",","),IFERROR(NUMBERVALUE(CriteriTecnici!$K495,",","."),0))),4)&amp;""),",",".")&amp;", "&amp;CHAR(34)&amp;"denominator"&amp;CHAR(34)&amp;": "&amp;SUBSTITUTE(TRIM(ROUND(IFERROR(CriteriTecnici!$L495*1,IFERROR(NUMBERVALUE(CriteriTecnici!$L495,".",","),IFERROR(NUMBERVALUE(CriteriTecnici!$L495,",","."),0))),4)&amp;""),",",".")&amp;", "&amp;CHAR(34)&amp;"flag"&amp;CHAR(34)&amp;": "&amp;SUBSTITUTE(TRIM(ROUND(IFERROR(CriteriTecnici!$M495*1,IFERROR(NUMBERVALUE(CriteriTecnici!$M495,".",","),IFERROR(NUMBERVALUE(CriteriTecnici!$M495,",","."),0))),4)&amp;""),",",".")&amp;", "&amp;CHAR(34)&amp;"rawScore"&amp;CHAR(34)&amp;": "&amp;SUBSTITUTE(TRIM(ROUND(IFERROR(CriteriTecnici!$O495*1,IFERROR(NUMBERVALUE(CriteriTecnici!$O495,".",","),IFERROR(NUMBERVALUE(CriteriTecnici!$O495,",","."),0))),4)&amp;""),",",".")&amp;CHAR(125)&amp;IF(TRUE,",",""))</f>
        <v/>
      </c>
    </row>
    <row r="597">
      <c r="A597" s="82">
        <f>IF(CriteriTecnici!$A496="","","    "&amp;CHAR(123)&amp;CHAR(34)&amp;"bidderId"&amp;CHAR(34)&amp;": "&amp;CHAR(34)&amp;SUBSTITUTE(CriteriTecnici!$A496,CHAR(34),"'")&amp;CHAR(34)&amp;", "&amp;CHAR(34)&amp;"lotId"&amp;CHAR(34)&amp;": "&amp;CHAR(34)&amp;SUBSTITUTE(CriteriTecnici!$C496,CHAR(34),"'")&amp;CHAR(34)&amp;", "&amp;CHAR(34)&amp;"criterionId"&amp;CHAR(34)&amp;": "&amp;CHAR(34)&amp;SUBSTITUTE(CriteriTecnici!$D496,CHAR(34),"'")&amp;CHAR(34)&amp;", "&amp;CHAR(34)&amp;"kind"&amp;CHAR(34)&amp;": "&amp;CHAR(34)&amp;SUBSTITUTE(CriteriTecnici!$F496,CHAR(34),"'")&amp;CHAR(34)&amp;", "&amp;CHAR(34)&amp;"value"&amp;CHAR(34)&amp;": "&amp;SUBSTITUTE(TRIM(ROUND(IFERROR(CriteriTecnici!$N496*1,IFERROR(NUMBERVALUE(CriteriTecnici!$N496,".",","),IFERROR(NUMBERVALUE(CriteriTecnici!$N496,",","."),0))),4)&amp;""),",",".")&amp;", "&amp;CHAR(34)&amp;"numerator"&amp;CHAR(34)&amp;": "&amp;SUBSTITUTE(TRIM(ROUND(IFERROR(CriteriTecnici!$K496*1,IFERROR(NUMBERVALUE(CriteriTecnici!$K496,".",","),IFERROR(NUMBERVALUE(CriteriTecnici!$K496,",","."),0))),4)&amp;""),",",".")&amp;", "&amp;CHAR(34)&amp;"denominator"&amp;CHAR(34)&amp;": "&amp;SUBSTITUTE(TRIM(ROUND(IFERROR(CriteriTecnici!$L496*1,IFERROR(NUMBERVALUE(CriteriTecnici!$L496,".",","),IFERROR(NUMBERVALUE(CriteriTecnici!$L496,",","."),0))),4)&amp;""),",",".")&amp;", "&amp;CHAR(34)&amp;"flag"&amp;CHAR(34)&amp;": "&amp;SUBSTITUTE(TRIM(ROUND(IFERROR(CriteriTecnici!$M496*1,IFERROR(NUMBERVALUE(CriteriTecnici!$M496,".",","),IFERROR(NUMBERVALUE(CriteriTecnici!$M496,",","."),0))),4)&amp;""),",",".")&amp;", "&amp;CHAR(34)&amp;"rawScore"&amp;CHAR(34)&amp;": "&amp;SUBSTITUTE(TRIM(ROUND(IFERROR(CriteriTecnici!$O496*1,IFERROR(NUMBERVALUE(CriteriTecnici!$O496,".",","),IFERROR(NUMBERVALUE(CriteriTecnici!$O496,",","."),0))),4)&amp;""),",",".")&amp;CHAR(125)&amp;IF(TRUE,",",""))</f>
        <v/>
      </c>
    </row>
    <row r="598">
      <c r="A598" s="82">
        <f>IF(CriteriTecnici!$A497="","","    "&amp;CHAR(123)&amp;CHAR(34)&amp;"bidderId"&amp;CHAR(34)&amp;": "&amp;CHAR(34)&amp;SUBSTITUTE(CriteriTecnici!$A497,CHAR(34),"'")&amp;CHAR(34)&amp;", "&amp;CHAR(34)&amp;"lotId"&amp;CHAR(34)&amp;": "&amp;CHAR(34)&amp;SUBSTITUTE(CriteriTecnici!$C497,CHAR(34),"'")&amp;CHAR(34)&amp;", "&amp;CHAR(34)&amp;"criterionId"&amp;CHAR(34)&amp;": "&amp;CHAR(34)&amp;SUBSTITUTE(CriteriTecnici!$D497,CHAR(34),"'")&amp;CHAR(34)&amp;", "&amp;CHAR(34)&amp;"kind"&amp;CHAR(34)&amp;": "&amp;CHAR(34)&amp;SUBSTITUTE(CriteriTecnici!$F497,CHAR(34),"'")&amp;CHAR(34)&amp;", "&amp;CHAR(34)&amp;"value"&amp;CHAR(34)&amp;": "&amp;SUBSTITUTE(TRIM(ROUND(IFERROR(CriteriTecnici!$N497*1,IFERROR(NUMBERVALUE(CriteriTecnici!$N497,".",","),IFERROR(NUMBERVALUE(CriteriTecnici!$N497,",","."),0))),4)&amp;""),",",".")&amp;", "&amp;CHAR(34)&amp;"numerator"&amp;CHAR(34)&amp;": "&amp;SUBSTITUTE(TRIM(ROUND(IFERROR(CriteriTecnici!$K497*1,IFERROR(NUMBERVALUE(CriteriTecnici!$K497,".",","),IFERROR(NUMBERVALUE(CriteriTecnici!$K497,",","."),0))),4)&amp;""),",",".")&amp;", "&amp;CHAR(34)&amp;"denominator"&amp;CHAR(34)&amp;": "&amp;SUBSTITUTE(TRIM(ROUND(IFERROR(CriteriTecnici!$L497*1,IFERROR(NUMBERVALUE(CriteriTecnici!$L497,".",","),IFERROR(NUMBERVALUE(CriteriTecnici!$L497,",","."),0))),4)&amp;""),",",".")&amp;", "&amp;CHAR(34)&amp;"flag"&amp;CHAR(34)&amp;": "&amp;SUBSTITUTE(TRIM(ROUND(IFERROR(CriteriTecnici!$M497*1,IFERROR(NUMBERVALUE(CriteriTecnici!$M497,".",","),IFERROR(NUMBERVALUE(CriteriTecnici!$M497,",","."),0))),4)&amp;""),",",".")&amp;", "&amp;CHAR(34)&amp;"rawScore"&amp;CHAR(34)&amp;": "&amp;SUBSTITUTE(TRIM(ROUND(IFERROR(CriteriTecnici!$O497*1,IFERROR(NUMBERVALUE(CriteriTecnici!$O497,".",","),IFERROR(NUMBERVALUE(CriteriTecnici!$O497,",","."),0))),4)&amp;""),",",".")&amp;CHAR(125)&amp;IF(TRUE,",",""))</f>
        <v/>
      </c>
    </row>
    <row r="599">
      <c r="A599" s="82">
        <f>IF(CriteriTecnici!$A498="","","    "&amp;CHAR(123)&amp;CHAR(34)&amp;"bidderId"&amp;CHAR(34)&amp;": "&amp;CHAR(34)&amp;SUBSTITUTE(CriteriTecnici!$A498,CHAR(34),"'")&amp;CHAR(34)&amp;", "&amp;CHAR(34)&amp;"lotId"&amp;CHAR(34)&amp;": "&amp;CHAR(34)&amp;SUBSTITUTE(CriteriTecnici!$C498,CHAR(34),"'")&amp;CHAR(34)&amp;", "&amp;CHAR(34)&amp;"criterionId"&amp;CHAR(34)&amp;": "&amp;CHAR(34)&amp;SUBSTITUTE(CriteriTecnici!$D498,CHAR(34),"'")&amp;CHAR(34)&amp;", "&amp;CHAR(34)&amp;"kind"&amp;CHAR(34)&amp;": "&amp;CHAR(34)&amp;SUBSTITUTE(CriteriTecnici!$F498,CHAR(34),"'")&amp;CHAR(34)&amp;", "&amp;CHAR(34)&amp;"value"&amp;CHAR(34)&amp;": "&amp;SUBSTITUTE(TRIM(ROUND(IFERROR(CriteriTecnici!$N498*1,IFERROR(NUMBERVALUE(CriteriTecnici!$N498,".",","),IFERROR(NUMBERVALUE(CriteriTecnici!$N498,",","."),0))),4)&amp;""),",",".")&amp;", "&amp;CHAR(34)&amp;"numerator"&amp;CHAR(34)&amp;": "&amp;SUBSTITUTE(TRIM(ROUND(IFERROR(CriteriTecnici!$K498*1,IFERROR(NUMBERVALUE(CriteriTecnici!$K498,".",","),IFERROR(NUMBERVALUE(CriteriTecnici!$K498,",","."),0))),4)&amp;""),",",".")&amp;", "&amp;CHAR(34)&amp;"denominator"&amp;CHAR(34)&amp;": "&amp;SUBSTITUTE(TRIM(ROUND(IFERROR(CriteriTecnici!$L498*1,IFERROR(NUMBERVALUE(CriteriTecnici!$L498,".",","),IFERROR(NUMBERVALUE(CriteriTecnici!$L498,",","."),0))),4)&amp;""),",",".")&amp;", "&amp;CHAR(34)&amp;"flag"&amp;CHAR(34)&amp;": "&amp;SUBSTITUTE(TRIM(ROUND(IFERROR(CriteriTecnici!$M498*1,IFERROR(NUMBERVALUE(CriteriTecnici!$M498,".",","),IFERROR(NUMBERVALUE(CriteriTecnici!$M498,",","."),0))),4)&amp;""),",",".")&amp;", "&amp;CHAR(34)&amp;"rawScore"&amp;CHAR(34)&amp;": "&amp;SUBSTITUTE(TRIM(ROUND(IFERROR(CriteriTecnici!$O498*1,IFERROR(NUMBERVALUE(CriteriTecnici!$O498,".",","),IFERROR(NUMBERVALUE(CriteriTecnici!$O498,",","."),0))),4)&amp;""),",",".")&amp;CHAR(125)&amp;IF(TRUE,",",""))</f>
        <v/>
      </c>
    </row>
    <row r="600">
      <c r="A600" s="82">
        <f>IF(CriteriTecnici!$A499="","","    "&amp;CHAR(123)&amp;CHAR(34)&amp;"bidderId"&amp;CHAR(34)&amp;": "&amp;CHAR(34)&amp;SUBSTITUTE(CriteriTecnici!$A499,CHAR(34),"'")&amp;CHAR(34)&amp;", "&amp;CHAR(34)&amp;"lotId"&amp;CHAR(34)&amp;": "&amp;CHAR(34)&amp;SUBSTITUTE(CriteriTecnici!$C499,CHAR(34),"'")&amp;CHAR(34)&amp;", "&amp;CHAR(34)&amp;"criterionId"&amp;CHAR(34)&amp;": "&amp;CHAR(34)&amp;SUBSTITUTE(CriteriTecnici!$D499,CHAR(34),"'")&amp;CHAR(34)&amp;", "&amp;CHAR(34)&amp;"kind"&amp;CHAR(34)&amp;": "&amp;CHAR(34)&amp;SUBSTITUTE(CriteriTecnici!$F499,CHAR(34),"'")&amp;CHAR(34)&amp;", "&amp;CHAR(34)&amp;"value"&amp;CHAR(34)&amp;": "&amp;SUBSTITUTE(TRIM(ROUND(IFERROR(CriteriTecnici!$N499*1,IFERROR(NUMBERVALUE(CriteriTecnici!$N499,".",","),IFERROR(NUMBERVALUE(CriteriTecnici!$N499,",","."),0))),4)&amp;""),",",".")&amp;", "&amp;CHAR(34)&amp;"numerator"&amp;CHAR(34)&amp;": "&amp;SUBSTITUTE(TRIM(ROUND(IFERROR(CriteriTecnici!$K499*1,IFERROR(NUMBERVALUE(CriteriTecnici!$K499,".",","),IFERROR(NUMBERVALUE(CriteriTecnici!$K499,",","."),0))),4)&amp;""),",",".")&amp;", "&amp;CHAR(34)&amp;"denominator"&amp;CHAR(34)&amp;": "&amp;SUBSTITUTE(TRIM(ROUND(IFERROR(CriteriTecnici!$L499*1,IFERROR(NUMBERVALUE(CriteriTecnici!$L499,".",","),IFERROR(NUMBERVALUE(CriteriTecnici!$L499,",","."),0))),4)&amp;""),",",".")&amp;", "&amp;CHAR(34)&amp;"flag"&amp;CHAR(34)&amp;": "&amp;SUBSTITUTE(TRIM(ROUND(IFERROR(CriteriTecnici!$M499*1,IFERROR(NUMBERVALUE(CriteriTecnici!$M499,".",","),IFERROR(NUMBERVALUE(CriteriTecnici!$M499,",","."),0))),4)&amp;""),",",".")&amp;", "&amp;CHAR(34)&amp;"rawScore"&amp;CHAR(34)&amp;": "&amp;SUBSTITUTE(TRIM(ROUND(IFERROR(CriteriTecnici!$O499*1,IFERROR(NUMBERVALUE(CriteriTecnici!$O499,".",","),IFERROR(NUMBERVALUE(CriteriTecnici!$O499,",","."),0))),4)&amp;""),",",".")&amp;CHAR(125)&amp;IF(TRUE,",",""))</f>
        <v/>
      </c>
    </row>
    <row r="601">
      <c r="A601" s="82">
        <f>IF(CriteriTecnici!$A500="","","    "&amp;CHAR(123)&amp;CHAR(34)&amp;"bidderId"&amp;CHAR(34)&amp;": "&amp;CHAR(34)&amp;SUBSTITUTE(CriteriTecnici!$A500,CHAR(34),"'")&amp;CHAR(34)&amp;", "&amp;CHAR(34)&amp;"lotId"&amp;CHAR(34)&amp;": "&amp;CHAR(34)&amp;SUBSTITUTE(CriteriTecnici!$C500,CHAR(34),"'")&amp;CHAR(34)&amp;", "&amp;CHAR(34)&amp;"criterionId"&amp;CHAR(34)&amp;": "&amp;CHAR(34)&amp;SUBSTITUTE(CriteriTecnici!$D500,CHAR(34),"'")&amp;CHAR(34)&amp;", "&amp;CHAR(34)&amp;"kind"&amp;CHAR(34)&amp;": "&amp;CHAR(34)&amp;SUBSTITUTE(CriteriTecnici!$F500,CHAR(34),"'")&amp;CHAR(34)&amp;", "&amp;CHAR(34)&amp;"value"&amp;CHAR(34)&amp;": "&amp;SUBSTITUTE(TRIM(ROUND(IFERROR(CriteriTecnici!$N500*1,IFERROR(NUMBERVALUE(CriteriTecnici!$N500,".",","),IFERROR(NUMBERVALUE(CriteriTecnici!$N500,",","."),0))),4)&amp;""),",",".")&amp;", "&amp;CHAR(34)&amp;"numerator"&amp;CHAR(34)&amp;": "&amp;SUBSTITUTE(TRIM(ROUND(IFERROR(CriteriTecnici!$K500*1,IFERROR(NUMBERVALUE(CriteriTecnici!$K500,".",","),IFERROR(NUMBERVALUE(CriteriTecnici!$K500,",","."),0))),4)&amp;""),",",".")&amp;", "&amp;CHAR(34)&amp;"denominator"&amp;CHAR(34)&amp;": "&amp;SUBSTITUTE(TRIM(ROUND(IFERROR(CriteriTecnici!$L500*1,IFERROR(NUMBERVALUE(CriteriTecnici!$L500,".",","),IFERROR(NUMBERVALUE(CriteriTecnici!$L500,",","."),0))),4)&amp;""),",",".")&amp;", "&amp;CHAR(34)&amp;"flag"&amp;CHAR(34)&amp;": "&amp;SUBSTITUTE(TRIM(ROUND(IFERROR(CriteriTecnici!$M500*1,IFERROR(NUMBERVALUE(CriteriTecnici!$M500,".",","),IFERROR(NUMBERVALUE(CriteriTecnici!$M500,",","."),0))),4)&amp;""),",",".")&amp;", "&amp;CHAR(34)&amp;"rawScore"&amp;CHAR(34)&amp;": "&amp;SUBSTITUTE(TRIM(ROUND(IFERROR(CriteriTecnici!$O500*1,IFERROR(NUMBERVALUE(CriteriTecnici!$O500,".",","),IFERROR(NUMBERVALUE(CriteriTecnici!$O500,",","."),0))),4)&amp;""),",",".")&amp;CHAR(125)&amp;IF(COUNTA(Offerte!$A18:$A$81)&gt;0,",",""))</f>
        <v/>
      </c>
    </row>
    <row r="602">
      <c r="A602" s="82">
        <f>IF(CriteriTecnici!$A501="","","    "&amp;CHAR(123)&amp;CHAR(34)&amp;"bidderId"&amp;CHAR(34)&amp;": "&amp;CHAR(34)&amp;SUBSTITUTE(CriteriTecnici!$A501,CHAR(34),"'")&amp;CHAR(34)&amp;", "&amp;CHAR(34)&amp;"lotId"&amp;CHAR(34)&amp;": "&amp;CHAR(34)&amp;SUBSTITUTE(CriteriTecnici!$C501,CHAR(34),"'")&amp;CHAR(34)&amp;", "&amp;CHAR(34)&amp;"criterionId"&amp;CHAR(34)&amp;": "&amp;CHAR(34)&amp;SUBSTITUTE(CriteriTecnici!$D501,CHAR(34),"'")&amp;CHAR(34)&amp;", "&amp;CHAR(34)&amp;"kind"&amp;CHAR(34)&amp;": "&amp;CHAR(34)&amp;SUBSTITUTE(CriteriTecnici!$F501,CHAR(34),"'")&amp;CHAR(34)&amp;", "&amp;CHAR(34)&amp;"value"&amp;CHAR(34)&amp;": "&amp;SUBSTITUTE(TRIM(ROUND(IFERROR(CriteriTecnici!$N501*1,IFERROR(NUMBERVALUE(CriteriTecnici!$N501,".",","),IFERROR(NUMBERVALUE(CriteriTecnici!$N501,",","."),0))),4)&amp;""),",",".")&amp;", "&amp;CHAR(34)&amp;"numerator"&amp;CHAR(34)&amp;": "&amp;SUBSTITUTE(TRIM(ROUND(IFERROR(CriteriTecnici!$K501*1,IFERROR(NUMBERVALUE(CriteriTecnici!$K501,".",","),IFERROR(NUMBERVALUE(CriteriTecnici!$K501,",","."),0))),4)&amp;""),",",".")&amp;", "&amp;CHAR(34)&amp;"denominator"&amp;CHAR(34)&amp;": "&amp;SUBSTITUTE(TRIM(ROUND(IFERROR(CriteriTecnici!$L501*1,IFERROR(NUMBERVALUE(CriteriTecnici!$L501,".",","),IFERROR(NUMBERVALUE(CriteriTecnici!$L501,",","."),0))),4)&amp;""),",",".")&amp;", "&amp;CHAR(34)&amp;"flag"&amp;CHAR(34)&amp;": "&amp;SUBSTITUTE(TRIM(ROUND(IFERROR(CriteriTecnici!$M501*1,IFERROR(NUMBERVALUE(CriteriTecnici!$M501,".",","),IFERROR(NUMBERVALUE(CriteriTecnici!$M501,",","."),0))),4)&amp;""),",",".")&amp;", "&amp;CHAR(34)&amp;"rawScore"&amp;CHAR(34)&amp;": "&amp;SUBSTITUTE(TRIM(ROUND(IFERROR(CriteriTecnici!$O501*1,IFERROR(NUMBERVALUE(CriteriTecnici!$O501,".",","),IFERROR(NUMBERVALUE(CriteriTecnici!$O501,",","."),0))),4)&amp;""),",",".")&amp;CHAR(125)&amp;IF(TRUE,",",""))</f>
        <v/>
      </c>
    </row>
    <row r="603">
      <c r="A603" s="82">
        <f>IF(CriteriTecnici!$A502="","","    "&amp;CHAR(123)&amp;CHAR(34)&amp;"bidderId"&amp;CHAR(34)&amp;": "&amp;CHAR(34)&amp;SUBSTITUTE(CriteriTecnici!$A502,CHAR(34),"'")&amp;CHAR(34)&amp;", "&amp;CHAR(34)&amp;"lotId"&amp;CHAR(34)&amp;": "&amp;CHAR(34)&amp;SUBSTITUTE(CriteriTecnici!$C502,CHAR(34),"'")&amp;CHAR(34)&amp;", "&amp;CHAR(34)&amp;"criterionId"&amp;CHAR(34)&amp;": "&amp;CHAR(34)&amp;SUBSTITUTE(CriteriTecnici!$D502,CHAR(34),"'")&amp;CHAR(34)&amp;", "&amp;CHAR(34)&amp;"kind"&amp;CHAR(34)&amp;": "&amp;CHAR(34)&amp;SUBSTITUTE(CriteriTecnici!$F502,CHAR(34),"'")&amp;CHAR(34)&amp;", "&amp;CHAR(34)&amp;"value"&amp;CHAR(34)&amp;": "&amp;SUBSTITUTE(TRIM(ROUND(IFERROR(CriteriTecnici!$N502*1,IFERROR(NUMBERVALUE(CriteriTecnici!$N502,".",","),IFERROR(NUMBERVALUE(CriteriTecnici!$N502,",","."),0))),4)&amp;""),",",".")&amp;", "&amp;CHAR(34)&amp;"numerator"&amp;CHAR(34)&amp;": "&amp;SUBSTITUTE(TRIM(ROUND(IFERROR(CriteriTecnici!$K502*1,IFERROR(NUMBERVALUE(CriteriTecnici!$K502,".",","),IFERROR(NUMBERVALUE(CriteriTecnici!$K502,",","."),0))),4)&amp;""),",",".")&amp;", "&amp;CHAR(34)&amp;"denominator"&amp;CHAR(34)&amp;": "&amp;SUBSTITUTE(TRIM(ROUND(IFERROR(CriteriTecnici!$L502*1,IFERROR(NUMBERVALUE(CriteriTecnici!$L502,".",","),IFERROR(NUMBERVALUE(CriteriTecnici!$L502,",","."),0))),4)&amp;""),",",".")&amp;", "&amp;CHAR(34)&amp;"flag"&amp;CHAR(34)&amp;": "&amp;SUBSTITUTE(TRIM(ROUND(IFERROR(CriteriTecnici!$M502*1,IFERROR(NUMBERVALUE(CriteriTecnici!$M502,".",","),IFERROR(NUMBERVALUE(CriteriTecnici!$M502,",","."),0))),4)&amp;""),",",".")&amp;", "&amp;CHAR(34)&amp;"rawScore"&amp;CHAR(34)&amp;": "&amp;SUBSTITUTE(TRIM(ROUND(IFERROR(CriteriTecnici!$O502*1,IFERROR(NUMBERVALUE(CriteriTecnici!$O502,".",","),IFERROR(NUMBERVALUE(CriteriTecnici!$O502,",","."),0))),4)&amp;""),",",".")&amp;CHAR(125)&amp;IF(TRUE,",",""))</f>
        <v/>
      </c>
    </row>
    <row r="604">
      <c r="A604" s="82">
        <f>IF(CriteriTecnici!$A503="","","    "&amp;CHAR(123)&amp;CHAR(34)&amp;"bidderId"&amp;CHAR(34)&amp;": "&amp;CHAR(34)&amp;SUBSTITUTE(CriteriTecnici!$A503,CHAR(34),"'")&amp;CHAR(34)&amp;", "&amp;CHAR(34)&amp;"lotId"&amp;CHAR(34)&amp;": "&amp;CHAR(34)&amp;SUBSTITUTE(CriteriTecnici!$C503,CHAR(34),"'")&amp;CHAR(34)&amp;", "&amp;CHAR(34)&amp;"criterionId"&amp;CHAR(34)&amp;": "&amp;CHAR(34)&amp;SUBSTITUTE(CriteriTecnici!$D503,CHAR(34),"'")&amp;CHAR(34)&amp;", "&amp;CHAR(34)&amp;"kind"&amp;CHAR(34)&amp;": "&amp;CHAR(34)&amp;SUBSTITUTE(CriteriTecnici!$F503,CHAR(34),"'")&amp;CHAR(34)&amp;", "&amp;CHAR(34)&amp;"value"&amp;CHAR(34)&amp;": "&amp;SUBSTITUTE(TRIM(ROUND(IFERROR(CriteriTecnici!$N503*1,IFERROR(NUMBERVALUE(CriteriTecnici!$N503,".",","),IFERROR(NUMBERVALUE(CriteriTecnici!$N503,",","."),0))),4)&amp;""),",",".")&amp;", "&amp;CHAR(34)&amp;"numerator"&amp;CHAR(34)&amp;": "&amp;SUBSTITUTE(TRIM(ROUND(IFERROR(CriteriTecnici!$K503*1,IFERROR(NUMBERVALUE(CriteriTecnici!$K503,".",","),IFERROR(NUMBERVALUE(CriteriTecnici!$K503,",","."),0))),4)&amp;""),",",".")&amp;", "&amp;CHAR(34)&amp;"denominator"&amp;CHAR(34)&amp;": "&amp;SUBSTITUTE(TRIM(ROUND(IFERROR(CriteriTecnici!$L503*1,IFERROR(NUMBERVALUE(CriteriTecnici!$L503,".",","),IFERROR(NUMBERVALUE(CriteriTecnici!$L503,",","."),0))),4)&amp;""),",",".")&amp;", "&amp;CHAR(34)&amp;"flag"&amp;CHAR(34)&amp;": "&amp;SUBSTITUTE(TRIM(ROUND(IFERROR(CriteriTecnici!$M503*1,IFERROR(NUMBERVALUE(CriteriTecnici!$M503,".",","),IFERROR(NUMBERVALUE(CriteriTecnici!$M503,",","."),0))),4)&amp;""),",",".")&amp;", "&amp;CHAR(34)&amp;"rawScore"&amp;CHAR(34)&amp;": "&amp;SUBSTITUTE(TRIM(ROUND(IFERROR(CriteriTecnici!$O503*1,IFERROR(NUMBERVALUE(CriteriTecnici!$O503,".",","),IFERROR(NUMBERVALUE(CriteriTecnici!$O503,",","."),0))),4)&amp;""),",",".")&amp;CHAR(125)&amp;IF(TRUE,",",""))</f>
        <v/>
      </c>
    </row>
    <row r="605">
      <c r="A605" s="82">
        <f>IF(CriteriTecnici!$A504="","","    "&amp;CHAR(123)&amp;CHAR(34)&amp;"bidderId"&amp;CHAR(34)&amp;": "&amp;CHAR(34)&amp;SUBSTITUTE(CriteriTecnici!$A504,CHAR(34),"'")&amp;CHAR(34)&amp;", "&amp;CHAR(34)&amp;"lotId"&amp;CHAR(34)&amp;": "&amp;CHAR(34)&amp;SUBSTITUTE(CriteriTecnici!$C504,CHAR(34),"'")&amp;CHAR(34)&amp;", "&amp;CHAR(34)&amp;"criterionId"&amp;CHAR(34)&amp;": "&amp;CHAR(34)&amp;SUBSTITUTE(CriteriTecnici!$D504,CHAR(34),"'")&amp;CHAR(34)&amp;", "&amp;CHAR(34)&amp;"kind"&amp;CHAR(34)&amp;": "&amp;CHAR(34)&amp;SUBSTITUTE(CriteriTecnici!$F504,CHAR(34),"'")&amp;CHAR(34)&amp;", "&amp;CHAR(34)&amp;"value"&amp;CHAR(34)&amp;": "&amp;SUBSTITUTE(TRIM(ROUND(IFERROR(CriteriTecnici!$N504*1,IFERROR(NUMBERVALUE(CriteriTecnici!$N504,".",","),IFERROR(NUMBERVALUE(CriteriTecnici!$N504,",","."),0))),4)&amp;""),",",".")&amp;", "&amp;CHAR(34)&amp;"numerator"&amp;CHAR(34)&amp;": "&amp;SUBSTITUTE(TRIM(ROUND(IFERROR(CriteriTecnici!$K504*1,IFERROR(NUMBERVALUE(CriteriTecnici!$K504,".",","),IFERROR(NUMBERVALUE(CriteriTecnici!$K504,",","."),0))),4)&amp;""),",",".")&amp;", "&amp;CHAR(34)&amp;"denominator"&amp;CHAR(34)&amp;": "&amp;SUBSTITUTE(TRIM(ROUND(IFERROR(CriteriTecnici!$L504*1,IFERROR(NUMBERVALUE(CriteriTecnici!$L504,".",","),IFERROR(NUMBERVALUE(CriteriTecnici!$L504,",","."),0))),4)&amp;""),",",".")&amp;", "&amp;CHAR(34)&amp;"flag"&amp;CHAR(34)&amp;": "&amp;SUBSTITUTE(TRIM(ROUND(IFERROR(CriteriTecnici!$M504*1,IFERROR(NUMBERVALUE(CriteriTecnici!$M504,".",","),IFERROR(NUMBERVALUE(CriteriTecnici!$M504,",","."),0))),4)&amp;""),",",".")&amp;", "&amp;CHAR(34)&amp;"rawScore"&amp;CHAR(34)&amp;": "&amp;SUBSTITUTE(TRIM(ROUND(IFERROR(CriteriTecnici!$O504*1,IFERROR(NUMBERVALUE(CriteriTecnici!$O504,".",","),IFERROR(NUMBERVALUE(CriteriTecnici!$O504,",","."),0))),4)&amp;""),",",".")&amp;CHAR(125)&amp;IF(TRUE,",",""))</f>
        <v/>
      </c>
    </row>
    <row r="606">
      <c r="A606" s="82">
        <f>IF(CriteriTecnici!$A505="","","    "&amp;CHAR(123)&amp;CHAR(34)&amp;"bidderId"&amp;CHAR(34)&amp;": "&amp;CHAR(34)&amp;SUBSTITUTE(CriteriTecnici!$A505,CHAR(34),"'")&amp;CHAR(34)&amp;", "&amp;CHAR(34)&amp;"lotId"&amp;CHAR(34)&amp;": "&amp;CHAR(34)&amp;SUBSTITUTE(CriteriTecnici!$C505,CHAR(34),"'")&amp;CHAR(34)&amp;", "&amp;CHAR(34)&amp;"criterionId"&amp;CHAR(34)&amp;": "&amp;CHAR(34)&amp;SUBSTITUTE(CriteriTecnici!$D505,CHAR(34),"'")&amp;CHAR(34)&amp;", "&amp;CHAR(34)&amp;"kind"&amp;CHAR(34)&amp;": "&amp;CHAR(34)&amp;SUBSTITUTE(CriteriTecnici!$F505,CHAR(34),"'")&amp;CHAR(34)&amp;", "&amp;CHAR(34)&amp;"value"&amp;CHAR(34)&amp;": "&amp;SUBSTITUTE(TRIM(ROUND(IFERROR(CriteriTecnici!$N505*1,IFERROR(NUMBERVALUE(CriteriTecnici!$N505,".",","),IFERROR(NUMBERVALUE(CriteriTecnici!$N505,",","."),0))),4)&amp;""),",",".")&amp;", "&amp;CHAR(34)&amp;"numerator"&amp;CHAR(34)&amp;": "&amp;SUBSTITUTE(TRIM(ROUND(IFERROR(CriteriTecnici!$K505*1,IFERROR(NUMBERVALUE(CriteriTecnici!$K505,".",","),IFERROR(NUMBERVALUE(CriteriTecnici!$K505,",","."),0))),4)&amp;""),",",".")&amp;", "&amp;CHAR(34)&amp;"denominator"&amp;CHAR(34)&amp;": "&amp;SUBSTITUTE(TRIM(ROUND(IFERROR(CriteriTecnici!$L505*1,IFERROR(NUMBERVALUE(CriteriTecnici!$L505,".",","),IFERROR(NUMBERVALUE(CriteriTecnici!$L505,",","."),0))),4)&amp;""),",",".")&amp;", "&amp;CHAR(34)&amp;"flag"&amp;CHAR(34)&amp;": "&amp;SUBSTITUTE(TRIM(ROUND(IFERROR(CriteriTecnici!$M505*1,IFERROR(NUMBERVALUE(CriteriTecnici!$M505,".",","),IFERROR(NUMBERVALUE(CriteriTecnici!$M505,",","."),0))),4)&amp;""),",",".")&amp;", "&amp;CHAR(34)&amp;"rawScore"&amp;CHAR(34)&amp;": "&amp;SUBSTITUTE(TRIM(ROUND(IFERROR(CriteriTecnici!$O505*1,IFERROR(NUMBERVALUE(CriteriTecnici!$O505,".",","),IFERROR(NUMBERVALUE(CriteriTecnici!$O505,",","."),0))),4)&amp;""),",",".")&amp;CHAR(125)&amp;IF(TRUE,",",""))</f>
        <v/>
      </c>
    </row>
    <row r="607">
      <c r="A607" s="82">
        <f>IF(CriteriTecnici!$A506="","","    "&amp;CHAR(123)&amp;CHAR(34)&amp;"bidderId"&amp;CHAR(34)&amp;": "&amp;CHAR(34)&amp;SUBSTITUTE(CriteriTecnici!$A506,CHAR(34),"'")&amp;CHAR(34)&amp;", "&amp;CHAR(34)&amp;"lotId"&amp;CHAR(34)&amp;": "&amp;CHAR(34)&amp;SUBSTITUTE(CriteriTecnici!$C506,CHAR(34),"'")&amp;CHAR(34)&amp;", "&amp;CHAR(34)&amp;"criterionId"&amp;CHAR(34)&amp;": "&amp;CHAR(34)&amp;SUBSTITUTE(CriteriTecnici!$D506,CHAR(34),"'")&amp;CHAR(34)&amp;", "&amp;CHAR(34)&amp;"kind"&amp;CHAR(34)&amp;": "&amp;CHAR(34)&amp;SUBSTITUTE(CriteriTecnici!$F506,CHAR(34),"'")&amp;CHAR(34)&amp;", "&amp;CHAR(34)&amp;"value"&amp;CHAR(34)&amp;": "&amp;SUBSTITUTE(TRIM(ROUND(IFERROR(CriteriTecnici!$N506*1,IFERROR(NUMBERVALUE(CriteriTecnici!$N506,".",","),IFERROR(NUMBERVALUE(CriteriTecnici!$N506,",","."),0))),4)&amp;""),",",".")&amp;", "&amp;CHAR(34)&amp;"numerator"&amp;CHAR(34)&amp;": "&amp;SUBSTITUTE(TRIM(ROUND(IFERROR(CriteriTecnici!$K506*1,IFERROR(NUMBERVALUE(CriteriTecnici!$K506,".",","),IFERROR(NUMBERVALUE(CriteriTecnici!$K506,",","."),0))),4)&amp;""),",",".")&amp;", "&amp;CHAR(34)&amp;"denominator"&amp;CHAR(34)&amp;": "&amp;SUBSTITUTE(TRIM(ROUND(IFERROR(CriteriTecnici!$L506*1,IFERROR(NUMBERVALUE(CriteriTecnici!$L506,".",","),IFERROR(NUMBERVALUE(CriteriTecnici!$L506,",","."),0))),4)&amp;""),",",".")&amp;", "&amp;CHAR(34)&amp;"flag"&amp;CHAR(34)&amp;": "&amp;SUBSTITUTE(TRIM(ROUND(IFERROR(CriteriTecnici!$M506*1,IFERROR(NUMBERVALUE(CriteriTecnici!$M506,".",","),IFERROR(NUMBERVALUE(CriteriTecnici!$M506,",","."),0))),4)&amp;""),",",".")&amp;", "&amp;CHAR(34)&amp;"rawScore"&amp;CHAR(34)&amp;": "&amp;SUBSTITUTE(TRIM(ROUND(IFERROR(CriteriTecnici!$O506*1,IFERROR(NUMBERVALUE(CriteriTecnici!$O506,".",","),IFERROR(NUMBERVALUE(CriteriTecnici!$O506,",","."),0))),4)&amp;""),",",".")&amp;CHAR(125)&amp;IF(TRUE,",",""))</f>
        <v/>
      </c>
    </row>
    <row r="608">
      <c r="A608" s="82">
        <f>IF(CriteriTecnici!$A507="","","    "&amp;CHAR(123)&amp;CHAR(34)&amp;"bidderId"&amp;CHAR(34)&amp;": "&amp;CHAR(34)&amp;SUBSTITUTE(CriteriTecnici!$A507,CHAR(34),"'")&amp;CHAR(34)&amp;", "&amp;CHAR(34)&amp;"lotId"&amp;CHAR(34)&amp;": "&amp;CHAR(34)&amp;SUBSTITUTE(CriteriTecnici!$C507,CHAR(34),"'")&amp;CHAR(34)&amp;", "&amp;CHAR(34)&amp;"criterionId"&amp;CHAR(34)&amp;": "&amp;CHAR(34)&amp;SUBSTITUTE(CriteriTecnici!$D507,CHAR(34),"'")&amp;CHAR(34)&amp;", "&amp;CHAR(34)&amp;"kind"&amp;CHAR(34)&amp;": "&amp;CHAR(34)&amp;SUBSTITUTE(CriteriTecnici!$F507,CHAR(34),"'")&amp;CHAR(34)&amp;", "&amp;CHAR(34)&amp;"value"&amp;CHAR(34)&amp;": "&amp;SUBSTITUTE(TRIM(ROUND(IFERROR(CriteriTecnici!$N507*1,IFERROR(NUMBERVALUE(CriteriTecnici!$N507,".",","),IFERROR(NUMBERVALUE(CriteriTecnici!$N507,",","."),0))),4)&amp;""),",",".")&amp;", "&amp;CHAR(34)&amp;"numerator"&amp;CHAR(34)&amp;": "&amp;SUBSTITUTE(TRIM(ROUND(IFERROR(CriteriTecnici!$K507*1,IFERROR(NUMBERVALUE(CriteriTecnici!$K507,".",","),IFERROR(NUMBERVALUE(CriteriTecnici!$K507,",","."),0))),4)&amp;""),",",".")&amp;", "&amp;CHAR(34)&amp;"denominator"&amp;CHAR(34)&amp;": "&amp;SUBSTITUTE(TRIM(ROUND(IFERROR(CriteriTecnici!$L507*1,IFERROR(NUMBERVALUE(CriteriTecnici!$L507,".",","),IFERROR(NUMBERVALUE(CriteriTecnici!$L507,",","."),0))),4)&amp;""),",",".")&amp;", "&amp;CHAR(34)&amp;"flag"&amp;CHAR(34)&amp;": "&amp;SUBSTITUTE(TRIM(ROUND(IFERROR(CriteriTecnici!$M507*1,IFERROR(NUMBERVALUE(CriteriTecnici!$M507,".",","),IFERROR(NUMBERVALUE(CriteriTecnici!$M507,",","."),0))),4)&amp;""),",",".")&amp;", "&amp;CHAR(34)&amp;"rawScore"&amp;CHAR(34)&amp;": "&amp;SUBSTITUTE(TRIM(ROUND(IFERROR(CriteriTecnici!$O507*1,IFERROR(NUMBERVALUE(CriteriTecnici!$O507,".",","),IFERROR(NUMBERVALUE(CriteriTecnici!$O507,",","."),0))),4)&amp;""),",",".")&amp;CHAR(125)&amp;IF(TRUE,",",""))</f>
        <v/>
      </c>
    </row>
    <row r="609">
      <c r="A609" s="82">
        <f>IF(CriteriTecnici!$A508="","","    "&amp;CHAR(123)&amp;CHAR(34)&amp;"bidderId"&amp;CHAR(34)&amp;": "&amp;CHAR(34)&amp;SUBSTITUTE(CriteriTecnici!$A508,CHAR(34),"'")&amp;CHAR(34)&amp;", "&amp;CHAR(34)&amp;"lotId"&amp;CHAR(34)&amp;": "&amp;CHAR(34)&amp;SUBSTITUTE(CriteriTecnici!$C508,CHAR(34),"'")&amp;CHAR(34)&amp;", "&amp;CHAR(34)&amp;"criterionId"&amp;CHAR(34)&amp;": "&amp;CHAR(34)&amp;SUBSTITUTE(CriteriTecnici!$D508,CHAR(34),"'")&amp;CHAR(34)&amp;", "&amp;CHAR(34)&amp;"kind"&amp;CHAR(34)&amp;": "&amp;CHAR(34)&amp;SUBSTITUTE(CriteriTecnici!$F508,CHAR(34),"'")&amp;CHAR(34)&amp;", "&amp;CHAR(34)&amp;"value"&amp;CHAR(34)&amp;": "&amp;SUBSTITUTE(TRIM(ROUND(IFERROR(CriteriTecnici!$N508*1,IFERROR(NUMBERVALUE(CriteriTecnici!$N508,".",","),IFERROR(NUMBERVALUE(CriteriTecnici!$N508,",","."),0))),4)&amp;""),",",".")&amp;", "&amp;CHAR(34)&amp;"numerator"&amp;CHAR(34)&amp;": "&amp;SUBSTITUTE(TRIM(ROUND(IFERROR(CriteriTecnici!$K508*1,IFERROR(NUMBERVALUE(CriteriTecnici!$K508,".",","),IFERROR(NUMBERVALUE(CriteriTecnici!$K508,",","."),0))),4)&amp;""),",",".")&amp;", "&amp;CHAR(34)&amp;"denominator"&amp;CHAR(34)&amp;": "&amp;SUBSTITUTE(TRIM(ROUND(IFERROR(CriteriTecnici!$L508*1,IFERROR(NUMBERVALUE(CriteriTecnici!$L508,".",","),IFERROR(NUMBERVALUE(CriteriTecnici!$L508,",","."),0))),4)&amp;""),",",".")&amp;", "&amp;CHAR(34)&amp;"flag"&amp;CHAR(34)&amp;": "&amp;SUBSTITUTE(TRIM(ROUND(IFERROR(CriteriTecnici!$M508*1,IFERROR(NUMBERVALUE(CriteriTecnici!$M508,".",","),IFERROR(NUMBERVALUE(CriteriTecnici!$M508,",","."),0))),4)&amp;""),",",".")&amp;", "&amp;CHAR(34)&amp;"rawScore"&amp;CHAR(34)&amp;": "&amp;SUBSTITUTE(TRIM(ROUND(IFERROR(CriteriTecnici!$O508*1,IFERROR(NUMBERVALUE(CriteriTecnici!$O508,".",","),IFERROR(NUMBERVALUE(CriteriTecnici!$O508,",","."),0))),4)&amp;""),",",".")&amp;CHAR(125)&amp;IF(TRUE,",",""))</f>
        <v/>
      </c>
    </row>
    <row r="610">
      <c r="A610" s="82">
        <f>IF(CriteriTecnici!$A509="","","    "&amp;CHAR(123)&amp;CHAR(34)&amp;"bidderId"&amp;CHAR(34)&amp;": "&amp;CHAR(34)&amp;SUBSTITUTE(CriteriTecnici!$A509,CHAR(34),"'")&amp;CHAR(34)&amp;", "&amp;CHAR(34)&amp;"lotId"&amp;CHAR(34)&amp;": "&amp;CHAR(34)&amp;SUBSTITUTE(CriteriTecnici!$C509,CHAR(34),"'")&amp;CHAR(34)&amp;", "&amp;CHAR(34)&amp;"criterionId"&amp;CHAR(34)&amp;": "&amp;CHAR(34)&amp;SUBSTITUTE(CriteriTecnici!$D509,CHAR(34),"'")&amp;CHAR(34)&amp;", "&amp;CHAR(34)&amp;"kind"&amp;CHAR(34)&amp;": "&amp;CHAR(34)&amp;SUBSTITUTE(CriteriTecnici!$F509,CHAR(34),"'")&amp;CHAR(34)&amp;", "&amp;CHAR(34)&amp;"value"&amp;CHAR(34)&amp;": "&amp;SUBSTITUTE(TRIM(ROUND(IFERROR(CriteriTecnici!$N509*1,IFERROR(NUMBERVALUE(CriteriTecnici!$N509,".",","),IFERROR(NUMBERVALUE(CriteriTecnici!$N509,",","."),0))),4)&amp;""),",",".")&amp;", "&amp;CHAR(34)&amp;"numerator"&amp;CHAR(34)&amp;": "&amp;SUBSTITUTE(TRIM(ROUND(IFERROR(CriteriTecnici!$K509*1,IFERROR(NUMBERVALUE(CriteriTecnici!$K509,".",","),IFERROR(NUMBERVALUE(CriteriTecnici!$K509,",","."),0))),4)&amp;""),",",".")&amp;", "&amp;CHAR(34)&amp;"denominator"&amp;CHAR(34)&amp;": "&amp;SUBSTITUTE(TRIM(ROUND(IFERROR(CriteriTecnici!$L509*1,IFERROR(NUMBERVALUE(CriteriTecnici!$L509,".",","),IFERROR(NUMBERVALUE(CriteriTecnici!$L509,",","."),0))),4)&amp;""),",",".")&amp;", "&amp;CHAR(34)&amp;"flag"&amp;CHAR(34)&amp;": "&amp;SUBSTITUTE(TRIM(ROUND(IFERROR(CriteriTecnici!$M509*1,IFERROR(NUMBERVALUE(CriteriTecnici!$M509,".",","),IFERROR(NUMBERVALUE(CriteriTecnici!$M509,",","."),0))),4)&amp;""),",",".")&amp;", "&amp;CHAR(34)&amp;"rawScore"&amp;CHAR(34)&amp;": "&amp;SUBSTITUTE(TRIM(ROUND(IFERROR(CriteriTecnici!$O509*1,IFERROR(NUMBERVALUE(CriteriTecnici!$O509,".",","),IFERROR(NUMBERVALUE(CriteriTecnici!$O509,",","."),0))),4)&amp;""),",",".")&amp;CHAR(125)&amp;IF(TRUE,",",""))</f>
        <v/>
      </c>
    </row>
    <row r="611">
      <c r="A611" s="82">
        <f>IF(CriteriTecnici!$A510="","","    "&amp;CHAR(123)&amp;CHAR(34)&amp;"bidderId"&amp;CHAR(34)&amp;": "&amp;CHAR(34)&amp;SUBSTITUTE(CriteriTecnici!$A510,CHAR(34),"'")&amp;CHAR(34)&amp;", "&amp;CHAR(34)&amp;"lotId"&amp;CHAR(34)&amp;": "&amp;CHAR(34)&amp;SUBSTITUTE(CriteriTecnici!$C510,CHAR(34),"'")&amp;CHAR(34)&amp;", "&amp;CHAR(34)&amp;"criterionId"&amp;CHAR(34)&amp;": "&amp;CHAR(34)&amp;SUBSTITUTE(CriteriTecnici!$D510,CHAR(34),"'")&amp;CHAR(34)&amp;", "&amp;CHAR(34)&amp;"kind"&amp;CHAR(34)&amp;": "&amp;CHAR(34)&amp;SUBSTITUTE(CriteriTecnici!$F510,CHAR(34),"'")&amp;CHAR(34)&amp;", "&amp;CHAR(34)&amp;"value"&amp;CHAR(34)&amp;": "&amp;SUBSTITUTE(TRIM(ROUND(IFERROR(CriteriTecnici!$N510*1,IFERROR(NUMBERVALUE(CriteriTecnici!$N510,".",","),IFERROR(NUMBERVALUE(CriteriTecnici!$N510,",","."),0))),4)&amp;""),",",".")&amp;", "&amp;CHAR(34)&amp;"numerator"&amp;CHAR(34)&amp;": "&amp;SUBSTITUTE(TRIM(ROUND(IFERROR(CriteriTecnici!$K510*1,IFERROR(NUMBERVALUE(CriteriTecnici!$K510,".",","),IFERROR(NUMBERVALUE(CriteriTecnici!$K510,",","."),0))),4)&amp;""),",",".")&amp;", "&amp;CHAR(34)&amp;"denominator"&amp;CHAR(34)&amp;": "&amp;SUBSTITUTE(TRIM(ROUND(IFERROR(CriteriTecnici!$L510*1,IFERROR(NUMBERVALUE(CriteriTecnici!$L510,".",","),IFERROR(NUMBERVALUE(CriteriTecnici!$L510,",","."),0))),4)&amp;""),",",".")&amp;", "&amp;CHAR(34)&amp;"flag"&amp;CHAR(34)&amp;": "&amp;SUBSTITUTE(TRIM(ROUND(IFERROR(CriteriTecnici!$M510*1,IFERROR(NUMBERVALUE(CriteriTecnici!$M510,".",","),IFERROR(NUMBERVALUE(CriteriTecnici!$M510,",","."),0))),4)&amp;""),",",".")&amp;", "&amp;CHAR(34)&amp;"rawScore"&amp;CHAR(34)&amp;": "&amp;SUBSTITUTE(TRIM(ROUND(IFERROR(CriteriTecnici!$O510*1,IFERROR(NUMBERVALUE(CriteriTecnici!$O510,".",","),IFERROR(NUMBERVALUE(CriteriTecnici!$O510,",","."),0))),4)&amp;""),",",".")&amp;CHAR(125)&amp;IF(TRUE,",",""))</f>
        <v/>
      </c>
    </row>
    <row r="612">
      <c r="A612" s="82">
        <f>IF(CriteriTecnici!$A511="","","    "&amp;CHAR(123)&amp;CHAR(34)&amp;"bidderId"&amp;CHAR(34)&amp;": "&amp;CHAR(34)&amp;SUBSTITUTE(CriteriTecnici!$A511,CHAR(34),"'")&amp;CHAR(34)&amp;", "&amp;CHAR(34)&amp;"lotId"&amp;CHAR(34)&amp;": "&amp;CHAR(34)&amp;SUBSTITUTE(CriteriTecnici!$C511,CHAR(34),"'")&amp;CHAR(34)&amp;", "&amp;CHAR(34)&amp;"criterionId"&amp;CHAR(34)&amp;": "&amp;CHAR(34)&amp;SUBSTITUTE(CriteriTecnici!$D511,CHAR(34),"'")&amp;CHAR(34)&amp;", "&amp;CHAR(34)&amp;"kind"&amp;CHAR(34)&amp;": "&amp;CHAR(34)&amp;SUBSTITUTE(CriteriTecnici!$F511,CHAR(34),"'")&amp;CHAR(34)&amp;", "&amp;CHAR(34)&amp;"value"&amp;CHAR(34)&amp;": "&amp;SUBSTITUTE(TRIM(ROUND(IFERROR(CriteriTecnici!$N511*1,IFERROR(NUMBERVALUE(CriteriTecnici!$N511,".",","),IFERROR(NUMBERVALUE(CriteriTecnici!$N511,",","."),0))),4)&amp;""),",",".")&amp;", "&amp;CHAR(34)&amp;"numerator"&amp;CHAR(34)&amp;": "&amp;SUBSTITUTE(TRIM(ROUND(IFERROR(CriteriTecnici!$K511*1,IFERROR(NUMBERVALUE(CriteriTecnici!$K511,".",","),IFERROR(NUMBERVALUE(CriteriTecnici!$K511,",","."),0))),4)&amp;""),",",".")&amp;", "&amp;CHAR(34)&amp;"denominator"&amp;CHAR(34)&amp;": "&amp;SUBSTITUTE(TRIM(ROUND(IFERROR(CriteriTecnici!$L511*1,IFERROR(NUMBERVALUE(CriteriTecnici!$L511,".",","),IFERROR(NUMBERVALUE(CriteriTecnici!$L511,",","."),0))),4)&amp;""),",",".")&amp;", "&amp;CHAR(34)&amp;"flag"&amp;CHAR(34)&amp;": "&amp;SUBSTITUTE(TRIM(ROUND(IFERROR(CriteriTecnici!$M511*1,IFERROR(NUMBERVALUE(CriteriTecnici!$M511,".",","),IFERROR(NUMBERVALUE(CriteriTecnici!$M511,",","."),0))),4)&amp;""),",",".")&amp;", "&amp;CHAR(34)&amp;"rawScore"&amp;CHAR(34)&amp;": "&amp;SUBSTITUTE(TRIM(ROUND(IFERROR(CriteriTecnici!$O511*1,IFERROR(NUMBERVALUE(CriteriTecnici!$O511,".",","),IFERROR(NUMBERVALUE(CriteriTecnici!$O511,",","."),0))),4)&amp;""),",",".")&amp;CHAR(125)&amp;IF(TRUE,",",""))</f>
        <v/>
      </c>
    </row>
    <row r="613">
      <c r="A613" s="82">
        <f>IF(CriteriTecnici!$A512="","","    "&amp;CHAR(123)&amp;CHAR(34)&amp;"bidderId"&amp;CHAR(34)&amp;": "&amp;CHAR(34)&amp;SUBSTITUTE(CriteriTecnici!$A512,CHAR(34),"'")&amp;CHAR(34)&amp;", "&amp;CHAR(34)&amp;"lotId"&amp;CHAR(34)&amp;": "&amp;CHAR(34)&amp;SUBSTITUTE(CriteriTecnici!$C512,CHAR(34),"'")&amp;CHAR(34)&amp;", "&amp;CHAR(34)&amp;"criterionId"&amp;CHAR(34)&amp;": "&amp;CHAR(34)&amp;SUBSTITUTE(CriteriTecnici!$D512,CHAR(34),"'")&amp;CHAR(34)&amp;", "&amp;CHAR(34)&amp;"kind"&amp;CHAR(34)&amp;": "&amp;CHAR(34)&amp;SUBSTITUTE(CriteriTecnici!$F512,CHAR(34),"'")&amp;CHAR(34)&amp;", "&amp;CHAR(34)&amp;"value"&amp;CHAR(34)&amp;": "&amp;SUBSTITUTE(TRIM(ROUND(IFERROR(CriteriTecnici!$N512*1,IFERROR(NUMBERVALUE(CriteriTecnici!$N512,".",","),IFERROR(NUMBERVALUE(CriteriTecnici!$N512,",","."),0))),4)&amp;""),",",".")&amp;", "&amp;CHAR(34)&amp;"numerator"&amp;CHAR(34)&amp;": "&amp;SUBSTITUTE(TRIM(ROUND(IFERROR(CriteriTecnici!$K512*1,IFERROR(NUMBERVALUE(CriteriTecnici!$K512,".",","),IFERROR(NUMBERVALUE(CriteriTecnici!$K512,",","."),0))),4)&amp;""),",",".")&amp;", "&amp;CHAR(34)&amp;"denominator"&amp;CHAR(34)&amp;": "&amp;SUBSTITUTE(TRIM(ROUND(IFERROR(CriteriTecnici!$L512*1,IFERROR(NUMBERVALUE(CriteriTecnici!$L512,".",","),IFERROR(NUMBERVALUE(CriteriTecnici!$L512,",","."),0))),4)&amp;""),",",".")&amp;", "&amp;CHAR(34)&amp;"flag"&amp;CHAR(34)&amp;": "&amp;SUBSTITUTE(TRIM(ROUND(IFERROR(CriteriTecnici!$M512*1,IFERROR(NUMBERVALUE(CriteriTecnici!$M512,".",","),IFERROR(NUMBERVALUE(CriteriTecnici!$M512,",","."),0))),4)&amp;""),",",".")&amp;", "&amp;CHAR(34)&amp;"rawScore"&amp;CHAR(34)&amp;": "&amp;SUBSTITUTE(TRIM(ROUND(IFERROR(CriteriTecnici!$O512*1,IFERROR(NUMBERVALUE(CriteriTecnici!$O512,".",","),IFERROR(NUMBERVALUE(CriteriTecnici!$O512,",","."),0))),4)&amp;""),",",".")&amp;CHAR(125)&amp;IF(TRUE,",",""))</f>
        <v/>
      </c>
    </row>
    <row r="614">
      <c r="A614" s="82">
        <f>IF(CriteriTecnici!$A513="","","    "&amp;CHAR(123)&amp;CHAR(34)&amp;"bidderId"&amp;CHAR(34)&amp;": "&amp;CHAR(34)&amp;SUBSTITUTE(CriteriTecnici!$A513,CHAR(34),"'")&amp;CHAR(34)&amp;", "&amp;CHAR(34)&amp;"lotId"&amp;CHAR(34)&amp;": "&amp;CHAR(34)&amp;SUBSTITUTE(CriteriTecnici!$C513,CHAR(34),"'")&amp;CHAR(34)&amp;", "&amp;CHAR(34)&amp;"criterionId"&amp;CHAR(34)&amp;": "&amp;CHAR(34)&amp;SUBSTITUTE(CriteriTecnici!$D513,CHAR(34),"'")&amp;CHAR(34)&amp;", "&amp;CHAR(34)&amp;"kind"&amp;CHAR(34)&amp;": "&amp;CHAR(34)&amp;SUBSTITUTE(CriteriTecnici!$F513,CHAR(34),"'")&amp;CHAR(34)&amp;", "&amp;CHAR(34)&amp;"value"&amp;CHAR(34)&amp;": "&amp;SUBSTITUTE(TRIM(ROUND(IFERROR(CriteriTecnici!$N513*1,IFERROR(NUMBERVALUE(CriteriTecnici!$N513,".",","),IFERROR(NUMBERVALUE(CriteriTecnici!$N513,",","."),0))),4)&amp;""),",",".")&amp;", "&amp;CHAR(34)&amp;"numerator"&amp;CHAR(34)&amp;": "&amp;SUBSTITUTE(TRIM(ROUND(IFERROR(CriteriTecnici!$K513*1,IFERROR(NUMBERVALUE(CriteriTecnici!$K513,".",","),IFERROR(NUMBERVALUE(CriteriTecnici!$K513,",","."),0))),4)&amp;""),",",".")&amp;", "&amp;CHAR(34)&amp;"denominator"&amp;CHAR(34)&amp;": "&amp;SUBSTITUTE(TRIM(ROUND(IFERROR(CriteriTecnici!$L513*1,IFERROR(NUMBERVALUE(CriteriTecnici!$L513,".",","),IFERROR(NUMBERVALUE(CriteriTecnici!$L513,",","."),0))),4)&amp;""),",",".")&amp;", "&amp;CHAR(34)&amp;"flag"&amp;CHAR(34)&amp;": "&amp;SUBSTITUTE(TRIM(ROUND(IFERROR(CriteriTecnici!$M513*1,IFERROR(NUMBERVALUE(CriteriTecnici!$M513,".",","),IFERROR(NUMBERVALUE(CriteriTecnici!$M513,",","."),0))),4)&amp;""),",",".")&amp;", "&amp;CHAR(34)&amp;"rawScore"&amp;CHAR(34)&amp;": "&amp;SUBSTITUTE(TRIM(ROUND(IFERROR(CriteriTecnici!$O513*1,IFERROR(NUMBERVALUE(CriteriTecnici!$O513,".",","),IFERROR(NUMBERVALUE(CriteriTecnici!$O513,",","."),0))),4)&amp;""),",",".")&amp;CHAR(125)&amp;IF(TRUE,",",""))</f>
        <v/>
      </c>
    </row>
    <row r="615">
      <c r="A615" s="82">
        <f>IF(CriteriTecnici!$A514="","","    "&amp;CHAR(123)&amp;CHAR(34)&amp;"bidderId"&amp;CHAR(34)&amp;": "&amp;CHAR(34)&amp;SUBSTITUTE(CriteriTecnici!$A514,CHAR(34),"'")&amp;CHAR(34)&amp;", "&amp;CHAR(34)&amp;"lotId"&amp;CHAR(34)&amp;": "&amp;CHAR(34)&amp;SUBSTITUTE(CriteriTecnici!$C514,CHAR(34),"'")&amp;CHAR(34)&amp;", "&amp;CHAR(34)&amp;"criterionId"&amp;CHAR(34)&amp;": "&amp;CHAR(34)&amp;SUBSTITUTE(CriteriTecnici!$D514,CHAR(34),"'")&amp;CHAR(34)&amp;", "&amp;CHAR(34)&amp;"kind"&amp;CHAR(34)&amp;": "&amp;CHAR(34)&amp;SUBSTITUTE(CriteriTecnici!$F514,CHAR(34),"'")&amp;CHAR(34)&amp;", "&amp;CHAR(34)&amp;"value"&amp;CHAR(34)&amp;": "&amp;SUBSTITUTE(TRIM(ROUND(IFERROR(CriteriTecnici!$N514*1,IFERROR(NUMBERVALUE(CriteriTecnici!$N514,".",","),IFERROR(NUMBERVALUE(CriteriTecnici!$N514,",","."),0))),4)&amp;""),",",".")&amp;", "&amp;CHAR(34)&amp;"numerator"&amp;CHAR(34)&amp;": "&amp;SUBSTITUTE(TRIM(ROUND(IFERROR(CriteriTecnici!$K514*1,IFERROR(NUMBERVALUE(CriteriTecnici!$K514,".",","),IFERROR(NUMBERVALUE(CriteriTecnici!$K514,",","."),0))),4)&amp;""),",",".")&amp;", "&amp;CHAR(34)&amp;"denominator"&amp;CHAR(34)&amp;": "&amp;SUBSTITUTE(TRIM(ROUND(IFERROR(CriteriTecnici!$L514*1,IFERROR(NUMBERVALUE(CriteriTecnici!$L514,".",","),IFERROR(NUMBERVALUE(CriteriTecnici!$L514,",","."),0))),4)&amp;""),",",".")&amp;", "&amp;CHAR(34)&amp;"flag"&amp;CHAR(34)&amp;": "&amp;SUBSTITUTE(TRIM(ROUND(IFERROR(CriteriTecnici!$M514*1,IFERROR(NUMBERVALUE(CriteriTecnici!$M514,".",","),IFERROR(NUMBERVALUE(CriteriTecnici!$M514,",","."),0))),4)&amp;""),",",".")&amp;", "&amp;CHAR(34)&amp;"rawScore"&amp;CHAR(34)&amp;": "&amp;SUBSTITUTE(TRIM(ROUND(IFERROR(CriteriTecnici!$O514*1,IFERROR(NUMBERVALUE(CriteriTecnici!$O514,".",","),IFERROR(NUMBERVALUE(CriteriTecnici!$O514,",","."),0))),4)&amp;""),",",".")&amp;CHAR(125)&amp;IF(TRUE,",",""))</f>
        <v/>
      </c>
    </row>
    <row r="616">
      <c r="A616" s="82">
        <f>IF(CriteriTecnici!$A515="","","    "&amp;CHAR(123)&amp;CHAR(34)&amp;"bidderId"&amp;CHAR(34)&amp;": "&amp;CHAR(34)&amp;SUBSTITUTE(CriteriTecnici!$A515,CHAR(34),"'")&amp;CHAR(34)&amp;", "&amp;CHAR(34)&amp;"lotId"&amp;CHAR(34)&amp;": "&amp;CHAR(34)&amp;SUBSTITUTE(CriteriTecnici!$C515,CHAR(34),"'")&amp;CHAR(34)&amp;", "&amp;CHAR(34)&amp;"criterionId"&amp;CHAR(34)&amp;": "&amp;CHAR(34)&amp;SUBSTITUTE(CriteriTecnici!$D515,CHAR(34),"'")&amp;CHAR(34)&amp;", "&amp;CHAR(34)&amp;"kind"&amp;CHAR(34)&amp;": "&amp;CHAR(34)&amp;SUBSTITUTE(CriteriTecnici!$F515,CHAR(34),"'")&amp;CHAR(34)&amp;", "&amp;CHAR(34)&amp;"value"&amp;CHAR(34)&amp;": "&amp;SUBSTITUTE(TRIM(ROUND(IFERROR(CriteriTecnici!$N515*1,IFERROR(NUMBERVALUE(CriteriTecnici!$N515,".",","),IFERROR(NUMBERVALUE(CriteriTecnici!$N515,",","."),0))),4)&amp;""),",",".")&amp;", "&amp;CHAR(34)&amp;"numerator"&amp;CHAR(34)&amp;": "&amp;SUBSTITUTE(TRIM(ROUND(IFERROR(CriteriTecnici!$K515*1,IFERROR(NUMBERVALUE(CriteriTecnici!$K515,".",","),IFERROR(NUMBERVALUE(CriteriTecnici!$K515,",","."),0))),4)&amp;""),",",".")&amp;", "&amp;CHAR(34)&amp;"denominator"&amp;CHAR(34)&amp;": "&amp;SUBSTITUTE(TRIM(ROUND(IFERROR(CriteriTecnici!$L515*1,IFERROR(NUMBERVALUE(CriteriTecnici!$L515,".",","),IFERROR(NUMBERVALUE(CriteriTecnici!$L515,",","."),0))),4)&amp;""),",",".")&amp;", "&amp;CHAR(34)&amp;"flag"&amp;CHAR(34)&amp;": "&amp;SUBSTITUTE(TRIM(ROUND(IFERROR(CriteriTecnici!$M515*1,IFERROR(NUMBERVALUE(CriteriTecnici!$M515,".",","),IFERROR(NUMBERVALUE(CriteriTecnici!$M515,",","."),0))),4)&amp;""),",",".")&amp;", "&amp;CHAR(34)&amp;"rawScore"&amp;CHAR(34)&amp;": "&amp;SUBSTITUTE(TRIM(ROUND(IFERROR(CriteriTecnici!$O515*1,IFERROR(NUMBERVALUE(CriteriTecnici!$O515,".",","),IFERROR(NUMBERVALUE(CriteriTecnici!$O515,",","."),0))),4)&amp;""),",",".")&amp;CHAR(125)&amp;IF(TRUE,",",""))</f>
        <v/>
      </c>
    </row>
    <row r="617">
      <c r="A617" s="82">
        <f>IF(CriteriTecnici!$A516="","","    "&amp;CHAR(123)&amp;CHAR(34)&amp;"bidderId"&amp;CHAR(34)&amp;": "&amp;CHAR(34)&amp;SUBSTITUTE(CriteriTecnici!$A516,CHAR(34),"'")&amp;CHAR(34)&amp;", "&amp;CHAR(34)&amp;"lotId"&amp;CHAR(34)&amp;": "&amp;CHAR(34)&amp;SUBSTITUTE(CriteriTecnici!$C516,CHAR(34),"'")&amp;CHAR(34)&amp;", "&amp;CHAR(34)&amp;"criterionId"&amp;CHAR(34)&amp;": "&amp;CHAR(34)&amp;SUBSTITUTE(CriteriTecnici!$D516,CHAR(34),"'")&amp;CHAR(34)&amp;", "&amp;CHAR(34)&amp;"kind"&amp;CHAR(34)&amp;": "&amp;CHAR(34)&amp;SUBSTITUTE(CriteriTecnici!$F516,CHAR(34),"'")&amp;CHAR(34)&amp;", "&amp;CHAR(34)&amp;"value"&amp;CHAR(34)&amp;": "&amp;SUBSTITUTE(TRIM(ROUND(IFERROR(CriteriTecnici!$N516*1,IFERROR(NUMBERVALUE(CriteriTecnici!$N516,".",","),IFERROR(NUMBERVALUE(CriteriTecnici!$N516,",","."),0))),4)&amp;""),",",".")&amp;", "&amp;CHAR(34)&amp;"numerator"&amp;CHAR(34)&amp;": "&amp;SUBSTITUTE(TRIM(ROUND(IFERROR(CriteriTecnici!$K516*1,IFERROR(NUMBERVALUE(CriteriTecnici!$K516,".",","),IFERROR(NUMBERVALUE(CriteriTecnici!$K516,",","."),0))),4)&amp;""),",",".")&amp;", "&amp;CHAR(34)&amp;"denominator"&amp;CHAR(34)&amp;": "&amp;SUBSTITUTE(TRIM(ROUND(IFERROR(CriteriTecnici!$L516*1,IFERROR(NUMBERVALUE(CriteriTecnici!$L516,".",","),IFERROR(NUMBERVALUE(CriteriTecnici!$L516,",","."),0))),4)&amp;""),",",".")&amp;", "&amp;CHAR(34)&amp;"flag"&amp;CHAR(34)&amp;": "&amp;SUBSTITUTE(TRIM(ROUND(IFERROR(CriteriTecnici!$M516*1,IFERROR(NUMBERVALUE(CriteriTecnici!$M516,".",","),IFERROR(NUMBERVALUE(CriteriTecnici!$M516,",","."),0))),4)&amp;""),",",".")&amp;", "&amp;CHAR(34)&amp;"rawScore"&amp;CHAR(34)&amp;": "&amp;SUBSTITUTE(TRIM(ROUND(IFERROR(CriteriTecnici!$O516*1,IFERROR(NUMBERVALUE(CriteriTecnici!$O516,".",","),IFERROR(NUMBERVALUE(CriteriTecnici!$O516,",","."),0))),4)&amp;""),",",".")&amp;CHAR(125)&amp;IF(TRUE,",",""))</f>
        <v/>
      </c>
    </row>
    <row r="618">
      <c r="A618" s="82">
        <f>IF(CriteriTecnici!$A517="","","    "&amp;CHAR(123)&amp;CHAR(34)&amp;"bidderId"&amp;CHAR(34)&amp;": "&amp;CHAR(34)&amp;SUBSTITUTE(CriteriTecnici!$A517,CHAR(34),"'")&amp;CHAR(34)&amp;", "&amp;CHAR(34)&amp;"lotId"&amp;CHAR(34)&amp;": "&amp;CHAR(34)&amp;SUBSTITUTE(CriteriTecnici!$C517,CHAR(34),"'")&amp;CHAR(34)&amp;", "&amp;CHAR(34)&amp;"criterionId"&amp;CHAR(34)&amp;": "&amp;CHAR(34)&amp;SUBSTITUTE(CriteriTecnici!$D517,CHAR(34),"'")&amp;CHAR(34)&amp;", "&amp;CHAR(34)&amp;"kind"&amp;CHAR(34)&amp;": "&amp;CHAR(34)&amp;SUBSTITUTE(CriteriTecnici!$F517,CHAR(34),"'")&amp;CHAR(34)&amp;", "&amp;CHAR(34)&amp;"value"&amp;CHAR(34)&amp;": "&amp;SUBSTITUTE(TRIM(ROUND(IFERROR(CriteriTecnici!$N517*1,IFERROR(NUMBERVALUE(CriteriTecnici!$N517,".",","),IFERROR(NUMBERVALUE(CriteriTecnici!$N517,",","."),0))),4)&amp;""),",",".")&amp;", "&amp;CHAR(34)&amp;"numerator"&amp;CHAR(34)&amp;": "&amp;SUBSTITUTE(TRIM(ROUND(IFERROR(CriteriTecnici!$K517*1,IFERROR(NUMBERVALUE(CriteriTecnici!$K517,".",","),IFERROR(NUMBERVALUE(CriteriTecnici!$K517,",","."),0))),4)&amp;""),",",".")&amp;", "&amp;CHAR(34)&amp;"denominator"&amp;CHAR(34)&amp;": "&amp;SUBSTITUTE(TRIM(ROUND(IFERROR(CriteriTecnici!$L517*1,IFERROR(NUMBERVALUE(CriteriTecnici!$L517,".",","),IFERROR(NUMBERVALUE(CriteriTecnici!$L517,",","."),0))),4)&amp;""),",",".")&amp;", "&amp;CHAR(34)&amp;"flag"&amp;CHAR(34)&amp;": "&amp;SUBSTITUTE(TRIM(ROUND(IFERROR(CriteriTecnici!$M517*1,IFERROR(NUMBERVALUE(CriteriTecnici!$M517,".",","),IFERROR(NUMBERVALUE(CriteriTecnici!$M517,",","."),0))),4)&amp;""),",",".")&amp;", "&amp;CHAR(34)&amp;"rawScore"&amp;CHAR(34)&amp;": "&amp;SUBSTITUTE(TRIM(ROUND(IFERROR(CriteriTecnici!$O517*1,IFERROR(NUMBERVALUE(CriteriTecnici!$O517,".",","),IFERROR(NUMBERVALUE(CriteriTecnici!$O517,",","."),0))),4)&amp;""),",",".")&amp;CHAR(125)&amp;IF(TRUE,",",""))</f>
        <v/>
      </c>
    </row>
    <row r="619">
      <c r="A619" s="82">
        <f>IF(CriteriTecnici!$A518="","","    "&amp;CHAR(123)&amp;CHAR(34)&amp;"bidderId"&amp;CHAR(34)&amp;": "&amp;CHAR(34)&amp;SUBSTITUTE(CriteriTecnici!$A518,CHAR(34),"'")&amp;CHAR(34)&amp;", "&amp;CHAR(34)&amp;"lotId"&amp;CHAR(34)&amp;": "&amp;CHAR(34)&amp;SUBSTITUTE(CriteriTecnici!$C518,CHAR(34),"'")&amp;CHAR(34)&amp;", "&amp;CHAR(34)&amp;"criterionId"&amp;CHAR(34)&amp;": "&amp;CHAR(34)&amp;SUBSTITUTE(CriteriTecnici!$D518,CHAR(34),"'")&amp;CHAR(34)&amp;", "&amp;CHAR(34)&amp;"kind"&amp;CHAR(34)&amp;": "&amp;CHAR(34)&amp;SUBSTITUTE(CriteriTecnici!$F518,CHAR(34),"'")&amp;CHAR(34)&amp;", "&amp;CHAR(34)&amp;"value"&amp;CHAR(34)&amp;": "&amp;SUBSTITUTE(TRIM(ROUND(IFERROR(CriteriTecnici!$N518*1,IFERROR(NUMBERVALUE(CriteriTecnici!$N518,".",","),IFERROR(NUMBERVALUE(CriteriTecnici!$N518,",","."),0))),4)&amp;""),",",".")&amp;", "&amp;CHAR(34)&amp;"numerator"&amp;CHAR(34)&amp;": "&amp;SUBSTITUTE(TRIM(ROUND(IFERROR(CriteriTecnici!$K518*1,IFERROR(NUMBERVALUE(CriteriTecnici!$K518,".",","),IFERROR(NUMBERVALUE(CriteriTecnici!$K518,",","."),0))),4)&amp;""),",",".")&amp;", "&amp;CHAR(34)&amp;"denominator"&amp;CHAR(34)&amp;": "&amp;SUBSTITUTE(TRIM(ROUND(IFERROR(CriteriTecnici!$L518*1,IFERROR(NUMBERVALUE(CriteriTecnici!$L518,".",","),IFERROR(NUMBERVALUE(CriteriTecnici!$L518,",","."),0))),4)&amp;""),",",".")&amp;", "&amp;CHAR(34)&amp;"flag"&amp;CHAR(34)&amp;": "&amp;SUBSTITUTE(TRIM(ROUND(IFERROR(CriteriTecnici!$M518*1,IFERROR(NUMBERVALUE(CriteriTecnici!$M518,".",","),IFERROR(NUMBERVALUE(CriteriTecnici!$M518,",","."),0))),4)&amp;""),",",".")&amp;", "&amp;CHAR(34)&amp;"rawScore"&amp;CHAR(34)&amp;": "&amp;SUBSTITUTE(TRIM(ROUND(IFERROR(CriteriTecnici!$O518*1,IFERROR(NUMBERVALUE(CriteriTecnici!$O518,".",","),IFERROR(NUMBERVALUE(CriteriTecnici!$O518,",","."),0))),4)&amp;""),",",".")&amp;CHAR(125)&amp;IF(TRUE,",",""))</f>
        <v/>
      </c>
    </row>
    <row r="620">
      <c r="A620" s="82">
        <f>IF(CriteriTecnici!$A519="","","    "&amp;CHAR(123)&amp;CHAR(34)&amp;"bidderId"&amp;CHAR(34)&amp;": "&amp;CHAR(34)&amp;SUBSTITUTE(CriteriTecnici!$A519,CHAR(34),"'")&amp;CHAR(34)&amp;", "&amp;CHAR(34)&amp;"lotId"&amp;CHAR(34)&amp;": "&amp;CHAR(34)&amp;SUBSTITUTE(CriteriTecnici!$C519,CHAR(34),"'")&amp;CHAR(34)&amp;", "&amp;CHAR(34)&amp;"criterionId"&amp;CHAR(34)&amp;": "&amp;CHAR(34)&amp;SUBSTITUTE(CriteriTecnici!$D519,CHAR(34),"'")&amp;CHAR(34)&amp;", "&amp;CHAR(34)&amp;"kind"&amp;CHAR(34)&amp;": "&amp;CHAR(34)&amp;SUBSTITUTE(CriteriTecnici!$F519,CHAR(34),"'")&amp;CHAR(34)&amp;", "&amp;CHAR(34)&amp;"value"&amp;CHAR(34)&amp;": "&amp;SUBSTITUTE(TRIM(ROUND(IFERROR(CriteriTecnici!$N519*1,IFERROR(NUMBERVALUE(CriteriTecnici!$N519,".",","),IFERROR(NUMBERVALUE(CriteriTecnici!$N519,",","."),0))),4)&amp;""),",",".")&amp;", "&amp;CHAR(34)&amp;"numerator"&amp;CHAR(34)&amp;": "&amp;SUBSTITUTE(TRIM(ROUND(IFERROR(CriteriTecnici!$K519*1,IFERROR(NUMBERVALUE(CriteriTecnici!$K519,".",","),IFERROR(NUMBERVALUE(CriteriTecnici!$K519,",","."),0))),4)&amp;""),",",".")&amp;", "&amp;CHAR(34)&amp;"denominator"&amp;CHAR(34)&amp;": "&amp;SUBSTITUTE(TRIM(ROUND(IFERROR(CriteriTecnici!$L519*1,IFERROR(NUMBERVALUE(CriteriTecnici!$L519,".",","),IFERROR(NUMBERVALUE(CriteriTecnici!$L519,",","."),0))),4)&amp;""),",",".")&amp;", "&amp;CHAR(34)&amp;"flag"&amp;CHAR(34)&amp;": "&amp;SUBSTITUTE(TRIM(ROUND(IFERROR(CriteriTecnici!$M519*1,IFERROR(NUMBERVALUE(CriteriTecnici!$M519,".",","),IFERROR(NUMBERVALUE(CriteriTecnici!$M519,",","."),0))),4)&amp;""),",",".")&amp;", "&amp;CHAR(34)&amp;"rawScore"&amp;CHAR(34)&amp;": "&amp;SUBSTITUTE(TRIM(ROUND(IFERROR(CriteriTecnici!$O519*1,IFERROR(NUMBERVALUE(CriteriTecnici!$O519,".",","),IFERROR(NUMBERVALUE(CriteriTecnici!$O519,",","."),0))),4)&amp;""),",",".")&amp;CHAR(125)&amp;IF(TRUE,",",""))</f>
        <v/>
      </c>
    </row>
    <row r="621">
      <c r="A621" s="82">
        <f>IF(CriteriTecnici!$A520="","","    "&amp;CHAR(123)&amp;CHAR(34)&amp;"bidderId"&amp;CHAR(34)&amp;": "&amp;CHAR(34)&amp;SUBSTITUTE(CriteriTecnici!$A520,CHAR(34),"'")&amp;CHAR(34)&amp;", "&amp;CHAR(34)&amp;"lotId"&amp;CHAR(34)&amp;": "&amp;CHAR(34)&amp;SUBSTITUTE(CriteriTecnici!$C520,CHAR(34),"'")&amp;CHAR(34)&amp;", "&amp;CHAR(34)&amp;"criterionId"&amp;CHAR(34)&amp;": "&amp;CHAR(34)&amp;SUBSTITUTE(CriteriTecnici!$D520,CHAR(34),"'")&amp;CHAR(34)&amp;", "&amp;CHAR(34)&amp;"kind"&amp;CHAR(34)&amp;": "&amp;CHAR(34)&amp;SUBSTITUTE(CriteriTecnici!$F520,CHAR(34),"'")&amp;CHAR(34)&amp;", "&amp;CHAR(34)&amp;"value"&amp;CHAR(34)&amp;": "&amp;SUBSTITUTE(TRIM(ROUND(IFERROR(CriteriTecnici!$N520*1,IFERROR(NUMBERVALUE(CriteriTecnici!$N520,".",","),IFERROR(NUMBERVALUE(CriteriTecnici!$N520,",","."),0))),4)&amp;""),",",".")&amp;", "&amp;CHAR(34)&amp;"numerator"&amp;CHAR(34)&amp;": "&amp;SUBSTITUTE(TRIM(ROUND(IFERROR(CriteriTecnici!$K520*1,IFERROR(NUMBERVALUE(CriteriTecnici!$K520,".",","),IFERROR(NUMBERVALUE(CriteriTecnici!$K520,",","."),0))),4)&amp;""),",",".")&amp;", "&amp;CHAR(34)&amp;"denominator"&amp;CHAR(34)&amp;": "&amp;SUBSTITUTE(TRIM(ROUND(IFERROR(CriteriTecnici!$L520*1,IFERROR(NUMBERVALUE(CriteriTecnici!$L520,".",","),IFERROR(NUMBERVALUE(CriteriTecnici!$L520,",","."),0))),4)&amp;""),",",".")&amp;", "&amp;CHAR(34)&amp;"flag"&amp;CHAR(34)&amp;": "&amp;SUBSTITUTE(TRIM(ROUND(IFERROR(CriteriTecnici!$M520*1,IFERROR(NUMBERVALUE(CriteriTecnici!$M520,".",","),IFERROR(NUMBERVALUE(CriteriTecnici!$M520,",","."),0))),4)&amp;""),",",".")&amp;", "&amp;CHAR(34)&amp;"rawScore"&amp;CHAR(34)&amp;": "&amp;SUBSTITUTE(TRIM(ROUND(IFERROR(CriteriTecnici!$O520*1,IFERROR(NUMBERVALUE(CriteriTecnici!$O520,".",","),IFERROR(NUMBERVALUE(CriteriTecnici!$O520,",","."),0))),4)&amp;""),",",".")&amp;CHAR(125)&amp;IF(TRUE,",",""))</f>
        <v/>
      </c>
    </row>
    <row r="622">
      <c r="A622" s="82">
        <f>IF(CriteriTecnici!$A521="","","    "&amp;CHAR(123)&amp;CHAR(34)&amp;"bidderId"&amp;CHAR(34)&amp;": "&amp;CHAR(34)&amp;SUBSTITUTE(CriteriTecnici!$A521,CHAR(34),"'")&amp;CHAR(34)&amp;", "&amp;CHAR(34)&amp;"lotId"&amp;CHAR(34)&amp;": "&amp;CHAR(34)&amp;SUBSTITUTE(CriteriTecnici!$C521,CHAR(34),"'")&amp;CHAR(34)&amp;", "&amp;CHAR(34)&amp;"criterionId"&amp;CHAR(34)&amp;": "&amp;CHAR(34)&amp;SUBSTITUTE(CriteriTecnici!$D521,CHAR(34),"'")&amp;CHAR(34)&amp;", "&amp;CHAR(34)&amp;"kind"&amp;CHAR(34)&amp;": "&amp;CHAR(34)&amp;SUBSTITUTE(CriteriTecnici!$F521,CHAR(34),"'")&amp;CHAR(34)&amp;", "&amp;CHAR(34)&amp;"value"&amp;CHAR(34)&amp;": "&amp;SUBSTITUTE(TRIM(ROUND(IFERROR(CriteriTecnici!$N521*1,IFERROR(NUMBERVALUE(CriteriTecnici!$N521,".",","),IFERROR(NUMBERVALUE(CriteriTecnici!$N521,",","."),0))),4)&amp;""),",",".")&amp;", "&amp;CHAR(34)&amp;"numerator"&amp;CHAR(34)&amp;": "&amp;SUBSTITUTE(TRIM(ROUND(IFERROR(CriteriTecnici!$K521*1,IFERROR(NUMBERVALUE(CriteriTecnici!$K521,".",","),IFERROR(NUMBERVALUE(CriteriTecnici!$K521,",","."),0))),4)&amp;""),",",".")&amp;", "&amp;CHAR(34)&amp;"denominator"&amp;CHAR(34)&amp;": "&amp;SUBSTITUTE(TRIM(ROUND(IFERROR(CriteriTecnici!$L521*1,IFERROR(NUMBERVALUE(CriteriTecnici!$L521,".",","),IFERROR(NUMBERVALUE(CriteriTecnici!$L521,",","."),0))),4)&amp;""),",",".")&amp;", "&amp;CHAR(34)&amp;"flag"&amp;CHAR(34)&amp;": "&amp;SUBSTITUTE(TRIM(ROUND(IFERROR(CriteriTecnici!$M521*1,IFERROR(NUMBERVALUE(CriteriTecnici!$M521,".",","),IFERROR(NUMBERVALUE(CriteriTecnici!$M521,",","."),0))),4)&amp;""),",",".")&amp;", "&amp;CHAR(34)&amp;"rawScore"&amp;CHAR(34)&amp;": "&amp;SUBSTITUTE(TRIM(ROUND(IFERROR(CriteriTecnici!$O521*1,IFERROR(NUMBERVALUE(CriteriTecnici!$O521,".",","),IFERROR(NUMBERVALUE(CriteriTecnici!$O521,",","."),0))),4)&amp;""),",",".")&amp;CHAR(125)&amp;IF(TRUE,",",""))</f>
        <v/>
      </c>
    </row>
    <row r="623">
      <c r="A623" s="82">
        <f>IF(CriteriTecnici!$A522="","","    "&amp;CHAR(123)&amp;CHAR(34)&amp;"bidderId"&amp;CHAR(34)&amp;": "&amp;CHAR(34)&amp;SUBSTITUTE(CriteriTecnici!$A522,CHAR(34),"'")&amp;CHAR(34)&amp;", "&amp;CHAR(34)&amp;"lotId"&amp;CHAR(34)&amp;": "&amp;CHAR(34)&amp;SUBSTITUTE(CriteriTecnici!$C522,CHAR(34),"'")&amp;CHAR(34)&amp;", "&amp;CHAR(34)&amp;"criterionId"&amp;CHAR(34)&amp;": "&amp;CHAR(34)&amp;SUBSTITUTE(CriteriTecnici!$D522,CHAR(34),"'")&amp;CHAR(34)&amp;", "&amp;CHAR(34)&amp;"kind"&amp;CHAR(34)&amp;": "&amp;CHAR(34)&amp;SUBSTITUTE(CriteriTecnici!$F522,CHAR(34),"'")&amp;CHAR(34)&amp;", "&amp;CHAR(34)&amp;"value"&amp;CHAR(34)&amp;": "&amp;SUBSTITUTE(TRIM(ROUND(IFERROR(CriteriTecnici!$N522*1,IFERROR(NUMBERVALUE(CriteriTecnici!$N522,".",","),IFERROR(NUMBERVALUE(CriteriTecnici!$N522,",","."),0))),4)&amp;""),",",".")&amp;", "&amp;CHAR(34)&amp;"numerator"&amp;CHAR(34)&amp;": "&amp;SUBSTITUTE(TRIM(ROUND(IFERROR(CriteriTecnici!$K522*1,IFERROR(NUMBERVALUE(CriteriTecnici!$K522,".",","),IFERROR(NUMBERVALUE(CriteriTecnici!$K522,",","."),0))),4)&amp;""),",",".")&amp;", "&amp;CHAR(34)&amp;"denominator"&amp;CHAR(34)&amp;": "&amp;SUBSTITUTE(TRIM(ROUND(IFERROR(CriteriTecnici!$L522*1,IFERROR(NUMBERVALUE(CriteriTecnici!$L522,".",","),IFERROR(NUMBERVALUE(CriteriTecnici!$L522,",","."),0))),4)&amp;""),",",".")&amp;", "&amp;CHAR(34)&amp;"flag"&amp;CHAR(34)&amp;": "&amp;SUBSTITUTE(TRIM(ROUND(IFERROR(CriteriTecnici!$M522*1,IFERROR(NUMBERVALUE(CriteriTecnici!$M522,".",","),IFERROR(NUMBERVALUE(CriteriTecnici!$M522,",","."),0))),4)&amp;""),",",".")&amp;", "&amp;CHAR(34)&amp;"rawScore"&amp;CHAR(34)&amp;": "&amp;SUBSTITUTE(TRIM(ROUND(IFERROR(CriteriTecnici!$O522*1,IFERROR(NUMBERVALUE(CriteriTecnici!$O522,".",","),IFERROR(NUMBERVALUE(CriteriTecnici!$O522,",","."),0))),4)&amp;""),",",".")&amp;CHAR(125)&amp;IF(TRUE,",",""))</f>
        <v/>
      </c>
    </row>
    <row r="624">
      <c r="A624" s="82">
        <f>IF(CriteriTecnici!$A523="","","    "&amp;CHAR(123)&amp;CHAR(34)&amp;"bidderId"&amp;CHAR(34)&amp;": "&amp;CHAR(34)&amp;SUBSTITUTE(CriteriTecnici!$A523,CHAR(34),"'")&amp;CHAR(34)&amp;", "&amp;CHAR(34)&amp;"lotId"&amp;CHAR(34)&amp;": "&amp;CHAR(34)&amp;SUBSTITUTE(CriteriTecnici!$C523,CHAR(34),"'")&amp;CHAR(34)&amp;", "&amp;CHAR(34)&amp;"criterionId"&amp;CHAR(34)&amp;": "&amp;CHAR(34)&amp;SUBSTITUTE(CriteriTecnici!$D523,CHAR(34),"'")&amp;CHAR(34)&amp;", "&amp;CHAR(34)&amp;"kind"&amp;CHAR(34)&amp;": "&amp;CHAR(34)&amp;SUBSTITUTE(CriteriTecnici!$F523,CHAR(34),"'")&amp;CHAR(34)&amp;", "&amp;CHAR(34)&amp;"value"&amp;CHAR(34)&amp;": "&amp;SUBSTITUTE(TRIM(ROUND(IFERROR(CriteriTecnici!$N523*1,IFERROR(NUMBERVALUE(CriteriTecnici!$N523,".",","),IFERROR(NUMBERVALUE(CriteriTecnici!$N523,",","."),0))),4)&amp;""),",",".")&amp;", "&amp;CHAR(34)&amp;"numerator"&amp;CHAR(34)&amp;": "&amp;SUBSTITUTE(TRIM(ROUND(IFERROR(CriteriTecnici!$K523*1,IFERROR(NUMBERVALUE(CriteriTecnici!$K523,".",","),IFERROR(NUMBERVALUE(CriteriTecnici!$K523,",","."),0))),4)&amp;""),",",".")&amp;", "&amp;CHAR(34)&amp;"denominator"&amp;CHAR(34)&amp;": "&amp;SUBSTITUTE(TRIM(ROUND(IFERROR(CriteriTecnici!$L523*1,IFERROR(NUMBERVALUE(CriteriTecnici!$L523,".",","),IFERROR(NUMBERVALUE(CriteriTecnici!$L523,",","."),0))),4)&amp;""),",",".")&amp;", "&amp;CHAR(34)&amp;"flag"&amp;CHAR(34)&amp;": "&amp;SUBSTITUTE(TRIM(ROUND(IFERROR(CriteriTecnici!$M523*1,IFERROR(NUMBERVALUE(CriteriTecnici!$M523,".",","),IFERROR(NUMBERVALUE(CriteriTecnici!$M523,",","."),0))),4)&amp;""),",",".")&amp;", "&amp;CHAR(34)&amp;"rawScore"&amp;CHAR(34)&amp;": "&amp;SUBSTITUTE(TRIM(ROUND(IFERROR(CriteriTecnici!$O523*1,IFERROR(NUMBERVALUE(CriteriTecnici!$O523,".",","),IFERROR(NUMBERVALUE(CriteriTecnici!$O523,",","."),0))),4)&amp;""),",",".")&amp;CHAR(125)&amp;IF(TRUE,",",""))</f>
        <v/>
      </c>
    </row>
    <row r="625">
      <c r="A625" s="82">
        <f>IF(CriteriTecnici!$A524="","","    "&amp;CHAR(123)&amp;CHAR(34)&amp;"bidderId"&amp;CHAR(34)&amp;": "&amp;CHAR(34)&amp;SUBSTITUTE(CriteriTecnici!$A524,CHAR(34),"'")&amp;CHAR(34)&amp;", "&amp;CHAR(34)&amp;"lotId"&amp;CHAR(34)&amp;": "&amp;CHAR(34)&amp;SUBSTITUTE(CriteriTecnici!$C524,CHAR(34),"'")&amp;CHAR(34)&amp;", "&amp;CHAR(34)&amp;"criterionId"&amp;CHAR(34)&amp;": "&amp;CHAR(34)&amp;SUBSTITUTE(CriteriTecnici!$D524,CHAR(34),"'")&amp;CHAR(34)&amp;", "&amp;CHAR(34)&amp;"kind"&amp;CHAR(34)&amp;": "&amp;CHAR(34)&amp;SUBSTITUTE(CriteriTecnici!$F524,CHAR(34),"'")&amp;CHAR(34)&amp;", "&amp;CHAR(34)&amp;"value"&amp;CHAR(34)&amp;": "&amp;SUBSTITUTE(TRIM(ROUND(IFERROR(CriteriTecnici!$N524*1,IFERROR(NUMBERVALUE(CriteriTecnici!$N524,".",","),IFERROR(NUMBERVALUE(CriteriTecnici!$N524,",","."),0))),4)&amp;""),",",".")&amp;", "&amp;CHAR(34)&amp;"numerator"&amp;CHAR(34)&amp;": "&amp;SUBSTITUTE(TRIM(ROUND(IFERROR(CriteriTecnici!$K524*1,IFERROR(NUMBERVALUE(CriteriTecnici!$K524,".",","),IFERROR(NUMBERVALUE(CriteriTecnici!$K524,",","."),0))),4)&amp;""),",",".")&amp;", "&amp;CHAR(34)&amp;"denominator"&amp;CHAR(34)&amp;": "&amp;SUBSTITUTE(TRIM(ROUND(IFERROR(CriteriTecnici!$L524*1,IFERROR(NUMBERVALUE(CriteriTecnici!$L524,".",","),IFERROR(NUMBERVALUE(CriteriTecnici!$L524,",","."),0))),4)&amp;""),",",".")&amp;", "&amp;CHAR(34)&amp;"flag"&amp;CHAR(34)&amp;": "&amp;SUBSTITUTE(TRIM(ROUND(IFERROR(CriteriTecnici!$M524*1,IFERROR(NUMBERVALUE(CriteriTecnici!$M524,".",","),IFERROR(NUMBERVALUE(CriteriTecnici!$M524,",","."),0))),4)&amp;""),",",".")&amp;", "&amp;CHAR(34)&amp;"rawScore"&amp;CHAR(34)&amp;": "&amp;SUBSTITUTE(TRIM(ROUND(IFERROR(CriteriTecnici!$O524*1,IFERROR(NUMBERVALUE(CriteriTecnici!$O524,".",","),IFERROR(NUMBERVALUE(CriteriTecnici!$O524,",","."),0))),4)&amp;""),",",".")&amp;CHAR(125)&amp;IF(TRUE,",",""))</f>
        <v/>
      </c>
    </row>
    <row r="626">
      <c r="A626" s="82">
        <f>IF(CriteriTecnici!$A525="","","    "&amp;CHAR(123)&amp;CHAR(34)&amp;"bidderId"&amp;CHAR(34)&amp;": "&amp;CHAR(34)&amp;SUBSTITUTE(CriteriTecnici!$A525,CHAR(34),"'")&amp;CHAR(34)&amp;", "&amp;CHAR(34)&amp;"lotId"&amp;CHAR(34)&amp;": "&amp;CHAR(34)&amp;SUBSTITUTE(CriteriTecnici!$C525,CHAR(34),"'")&amp;CHAR(34)&amp;", "&amp;CHAR(34)&amp;"criterionId"&amp;CHAR(34)&amp;": "&amp;CHAR(34)&amp;SUBSTITUTE(CriteriTecnici!$D525,CHAR(34),"'")&amp;CHAR(34)&amp;", "&amp;CHAR(34)&amp;"kind"&amp;CHAR(34)&amp;": "&amp;CHAR(34)&amp;SUBSTITUTE(CriteriTecnici!$F525,CHAR(34),"'")&amp;CHAR(34)&amp;", "&amp;CHAR(34)&amp;"value"&amp;CHAR(34)&amp;": "&amp;SUBSTITUTE(TRIM(ROUND(IFERROR(CriteriTecnici!$N525*1,IFERROR(NUMBERVALUE(CriteriTecnici!$N525,".",","),IFERROR(NUMBERVALUE(CriteriTecnici!$N525,",","."),0))),4)&amp;""),",",".")&amp;", "&amp;CHAR(34)&amp;"numerator"&amp;CHAR(34)&amp;": "&amp;SUBSTITUTE(TRIM(ROUND(IFERROR(CriteriTecnici!$K525*1,IFERROR(NUMBERVALUE(CriteriTecnici!$K525,".",","),IFERROR(NUMBERVALUE(CriteriTecnici!$K525,",","."),0))),4)&amp;""),",",".")&amp;", "&amp;CHAR(34)&amp;"denominator"&amp;CHAR(34)&amp;": "&amp;SUBSTITUTE(TRIM(ROUND(IFERROR(CriteriTecnici!$L525*1,IFERROR(NUMBERVALUE(CriteriTecnici!$L525,".",","),IFERROR(NUMBERVALUE(CriteriTecnici!$L525,",","."),0))),4)&amp;""),",",".")&amp;", "&amp;CHAR(34)&amp;"flag"&amp;CHAR(34)&amp;": "&amp;SUBSTITUTE(TRIM(ROUND(IFERROR(CriteriTecnici!$M525*1,IFERROR(NUMBERVALUE(CriteriTecnici!$M525,".",","),IFERROR(NUMBERVALUE(CriteriTecnici!$M525,",","."),0))),4)&amp;""),",",".")&amp;", "&amp;CHAR(34)&amp;"rawScore"&amp;CHAR(34)&amp;": "&amp;SUBSTITUTE(TRIM(ROUND(IFERROR(CriteriTecnici!$O525*1,IFERROR(NUMBERVALUE(CriteriTecnici!$O525,".",","),IFERROR(NUMBERVALUE(CriteriTecnici!$O525,",","."),0))),4)&amp;""),",",".")&amp;CHAR(125)&amp;IF(TRUE,",",""))</f>
        <v/>
      </c>
    </row>
    <row r="627">
      <c r="A627" s="82">
        <f>IF(CriteriTecnici!$A526="","","    "&amp;CHAR(123)&amp;CHAR(34)&amp;"bidderId"&amp;CHAR(34)&amp;": "&amp;CHAR(34)&amp;SUBSTITUTE(CriteriTecnici!$A526,CHAR(34),"'")&amp;CHAR(34)&amp;", "&amp;CHAR(34)&amp;"lotId"&amp;CHAR(34)&amp;": "&amp;CHAR(34)&amp;SUBSTITUTE(CriteriTecnici!$C526,CHAR(34),"'")&amp;CHAR(34)&amp;", "&amp;CHAR(34)&amp;"criterionId"&amp;CHAR(34)&amp;": "&amp;CHAR(34)&amp;SUBSTITUTE(CriteriTecnici!$D526,CHAR(34),"'")&amp;CHAR(34)&amp;", "&amp;CHAR(34)&amp;"kind"&amp;CHAR(34)&amp;": "&amp;CHAR(34)&amp;SUBSTITUTE(CriteriTecnici!$F526,CHAR(34),"'")&amp;CHAR(34)&amp;", "&amp;CHAR(34)&amp;"value"&amp;CHAR(34)&amp;": "&amp;SUBSTITUTE(TRIM(ROUND(IFERROR(CriteriTecnici!$N526*1,IFERROR(NUMBERVALUE(CriteriTecnici!$N526,".",","),IFERROR(NUMBERVALUE(CriteriTecnici!$N526,",","."),0))),4)&amp;""),",",".")&amp;", "&amp;CHAR(34)&amp;"numerator"&amp;CHAR(34)&amp;": "&amp;SUBSTITUTE(TRIM(ROUND(IFERROR(CriteriTecnici!$K526*1,IFERROR(NUMBERVALUE(CriteriTecnici!$K526,".",","),IFERROR(NUMBERVALUE(CriteriTecnici!$K526,",","."),0))),4)&amp;""),",",".")&amp;", "&amp;CHAR(34)&amp;"denominator"&amp;CHAR(34)&amp;": "&amp;SUBSTITUTE(TRIM(ROUND(IFERROR(CriteriTecnici!$L526*1,IFERROR(NUMBERVALUE(CriteriTecnici!$L526,".",","),IFERROR(NUMBERVALUE(CriteriTecnici!$L526,",","."),0))),4)&amp;""),",",".")&amp;", "&amp;CHAR(34)&amp;"flag"&amp;CHAR(34)&amp;": "&amp;SUBSTITUTE(TRIM(ROUND(IFERROR(CriteriTecnici!$M526*1,IFERROR(NUMBERVALUE(CriteriTecnici!$M526,".",","),IFERROR(NUMBERVALUE(CriteriTecnici!$M526,",","."),0))),4)&amp;""),",",".")&amp;", "&amp;CHAR(34)&amp;"rawScore"&amp;CHAR(34)&amp;": "&amp;SUBSTITUTE(TRIM(ROUND(IFERROR(CriteriTecnici!$O526*1,IFERROR(NUMBERVALUE(CriteriTecnici!$O526,".",","),IFERROR(NUMBERVALUE(CriteriTecnici!$O526,",","."),0))),4)&amp;""),",",".")&amp;CHAR(125)&amp;IF(TRUE,",",""))</f>
        <v/>
      </c>
    </row>
    <row r="628">
      <c r="A628" s="82">
        <f>IF(CriteriTecnici!$A527="","","    "&amp;CHAR(123)&amp;CHAR(34)&amp;"bidderId"&amp;CHAR(34)&amp;": "&amp;CHAR(34)&amp;SUBSTITUTE(CriteriTecnici!$A527,CHAR(34),"'")&amp;CHAR(34)&amp;", "&amp;CHAR(34)&amp;"lotId"&amp;CHAR(34)&amp;": "&amp;CHAR(34)&amp;SUBSTITUTE(CriteriTecnici!$C527,CHAR(34),"'")&amp;CHAR(34)&amp;", "&amp;CHAR(34)&amp;"criterionId"&amp;CHAR(34)&amp;": "&amp;CHAR(34)&amp;SUBSTITUTE(CriteriTecnici!$D527,CHAR(34),"'")&amp;CHAR(34)&amp;", "&amp;CHAR(34)&amp;"kind"&amp;CHAR(34)&amp;": "&amp;CHAR(34)&amp;SUBSTITUTE(CriteriTecnici!$F527,CHAR(34),"'")&amp;CHAR(34)&amp;", "&amp;CHAR(34)&amp;"value"&amp;CHAR(34)&amp;": "&amp;SUBSTITUTE(TRIM(ROUND(IFERROR(CriteriTecnici!$N527*1,IFERROR(NUMBERVALUE(CriteriTecnici!$N527,".",","),IFERROR(NUMBERVALUE(CriteriTecnici!$N527,",","."),0))),4)&amp;""),",",".")&amp;", "&amp;CHAR(34)&amp;"numerator"&amp;CHAR(34)&amp;": "&amp;SUBSTITUTE(TRIM(ROUND(IFERROR(CriteriTecnici!$K527*1,IFERROR(NUMBERVALUE(CriteriTecnici!$K527,".",","),IFERROR(NUMBERVALUE(CriteriTecnici!$K527,",","."),0))),4)&amp;""),",",".")&amp;", "&amp;CHAR(34)&amp;"denominator"&amp;CHAR(34)&amp;": "&amp;SUBSTITUTE(TRIM(ROUND(IFERROR(CriteriTecnici!$L527*1,IFERROR(NUMBERVALUE(CriteriTecnici!$L527,".",","),IFERROR(NUMBERVALUE(CriteriTecnici!$L527,",","."),0))),4)&amp;""),",",".")&amp;", "&amp;CHAR(34)&amp;"flag"&amp;CHAR(34)&amp;": "&amp;SUBSTITUTE(TRIM(ROUND(IFERROR(CriteriTecnici!$M527*1,IFERROR(NUMBERVALUE(CriteriTecnici!$M527,".",","),IFERROR(NUMBERVALUE(CriteriTecnici!$M527,",","."),0))),4)&amp;""),",",".")&amp;", "&amp;CHAR(34)&amp;"rawScore"&amp;CHAR(34)&amp;": "&amp;SUBSTITUTE(TRIM(ROUND(IFERROR(CriteriTecnici!$O527*1,IFERROR(NUMBERVALUE(CriteriTecnici!$O527,".",","),IFERROR(NUMBERVALUE(CriteriTecnici!$O527,",","."),0))),4)&amp;""),",",".")&amp;CHAR(125)&amp;IF(TRUE,",",""))</f>
        <v/>
      </c>
    </row>
    <row r="629">
      <c r="A629" s="82">
        <f>IF(CriteriTecnici!$A528="","","    "&amp;CHAR(123)&amp;CHAR(34)&amp;"bidderId"&amp;CHAR(34)&amp;": "&amp;CHAR(34)&amp;SUBSTITUTE(CriteriTecnici!$A528,CHAR(34),"'")&amp;CHAR(34)&amp;", "&amp;CHAR(34)&amp;"lotId"&amp;CHAR(34)&amp;": "&amp;CHAR(34)&amp;SUBSTITUTE(CriteriTecnici!$C528,CHAR(34),"'")&amp;CHAR(34)&amp;", "&amp;CHAR(34)&amp;"criterionId"&amp;CHAR(34)&amp;": "&amp;CHAR(34)&amp;SUBSTITUTE(CriteriTecnici!$D528,CHAR(34),"'")&amp;CHAR(34)&amp;", "&amp;CHAR(34)&amp;"kind"&amp;CHAR(34)&amp;": "&amp;CHAR(34)&amp;SUBSTITUTE(CriteriTecnici!$F528,CHAR(34),"'")&amp;CHAR(34)&amp;", "&amp;CHAR(34)&amp;"value"&amp;CHAR(34)&amp;": "&amp;SUBSTITUTE(TRIM(ROUND(IFERROR(CriteriTecnici!$N528*1,IFERROR(NUMBERVALUE(CriteriTecnici!$N528,".",","),IFERROR(NUMBERVALUE(CriteriTecnici!$N528,",","."),0))),4)&amp;""),",",".")&amp;", "&amp;CHAR(34)&amp;"numerator"&amp;CHAR(34)&amp;": "&amp;SUBSTITUTE(TRIM(ROUND(IFERROR(CriteriTecnici!$K528*1,IFERROR(NUMBERVALUE(CriteriTecnici!$K528,".",","),IFERROR(NUMBERVALUE(CriteriTecnici!$K528,",","."),0))),4)&amp;""),",",".")&amp;", "&amp;CHAR(34)&amp;"denominator"&amp;CHAR(34)&amp;": "&amp;SUBSTITUTE(TRIM(ROUND(IFERROR(CriteriTecnici!$L528*1,IFERROR(NUMBERVALUE(CriteriTecnici!$L528,".",","),IFERROR(NUMBERVALUE(CriteriTecnici!$L528,",","."),0))),4)&amp;""),",",".")&amp;", "&amp;CHAR(34)&amp;"flag"&amp;CHAR(34)&amp;": "&amp;SUBSTITUTE(TRIM(ROUND(IFERROR(CriteriTecnici!$M528*1,IFERROR(NUMBERVALUE(CriteriTecnici!$M528,".",","),IFERROR(NUMBERVALUE(CriteriTecnici!$M528,",","."),0))),4)&amp;""),",",".")&amp;", "&amp;CHAR(34)&amp;"rawScore"&amp;CHAR(34)&amp;": "&amp;SUBSTITUTE(TRIM(ROUND(IFERROR(CriteriTecnici!$O528*1,IFERROR(NUMBERVALUE(CriteriTecnici!$O528,".",","),IFERROR(NUMBERVALUE(CriteriTecnici!$O528,",","."),0))),4)&amp;""),",",".")&amp;CHAR(125)&amp;IF(TRUE,",",""))</f>
        <v/>
      </c>
    </row>
    <row r="630">
      <c r="A630" s="82">
        <f>IF(CriteriTecnici!$A529="","","    "&amp;CHAR(123)&amp;CHAR(34)&amp;"bidderId"&amp;CHAR(34)&amp;": "&amp;CHAR(34)&amp;SUBSTITUTE(CriteriTecnici!$A529,CHAR(34),"'")&amp;CHAR(34)&amp;", "&amp;CHAR(34)&amp;"lotId"&amp;CHAR(34)&amp;": "&amp;CHAR(34)&amp;SUBSTITUTE(CriteriTecnici!$C529,CHAR(34),"'")&amp;CHAR(34)&amp;", "&amp;CHAR(34)&amp;"criterionId"&amp;CHAR(34)&amp;": "&amp;CHAR(34)&amp;SUBSTITUTE(CriteriTecnici!$D529,CHAR(34),"'")&amp;CHAR(34)&amp;", "&amp;CHAR(34)&amp;"kind"&amp;CHAR(34)&amp;": "&amp;CHAR(34)&amp;SUBSTITUTE(CriteriTecnici!$F529,CHAR(34),"'")&amp;CHAR(34)&amp;", "&amp;CHAR(34)&amp;"value"&amp;CHAR(34)&amp;": "&amp;SUBSTITUTE(TRIM(ROUND(IFERROR(CriteriTecnici!$N529*1,IFERROR(NUMBERVALUE(CriteriTecnici!$N529,".",","),IFERROR(NUMBERVALUE(CriteriTecnici!$N529,",","."),0))),4)&amp;""),",",".")&amp;", "&amp;CHAR(34)&amp;"numerator"&amp;CHAR(34)&amp;": "&amp;SUBSTITUTE(TRIM(ROUND(IFERROR(CriteriTecnici!$K529*1,IFERROR(NUMBERVALUE(CriteriTecnici!$K529,".",","),IFERROR(NUMBERVALUE(CriteriTecnici!$K529,",","."),0))),4)&amp;""),",",".")&amp;", "&amp;CHAR(34)&amp;"denominator"&amp;CHAR(34)&amp;": "&amp;SUBSTITUTE(TRIM(ROUND(IFERROR(CriteriTecnici!$L529*1,IFERROR(NUMBERVALUE(CriteriTecnici!$L529,".",","),IFERROR(NUMBERVALUE(CriteriTecnici!$L529,",","."),0))),4)&amp;""),",",".")&amp;", "&amp;CHAR(34)&amp;"flag"&amp;CHAR(34)&amp;": "&amp;SUBSTITUTE(TRIM(ROUND(IFERROR(CriteriTecnici!$M529*1,IFERROR(NUMBERVALUE(CriteriTecnici!$M529,".",","),IFERROR(NUMBERVALUE(CriteriTecnici!$M529,",","."),0))),4)&amp;""),",",".")&amp;", "&amp;CHAR(34)&amp;"rawScore"&amp;CHAR(34)&amp;": "&amp;SUBSTITUTE(TRIM(ROUND(IFERROR(CriteriTecnici!$O529*1,IFERROR(NUMBERVALUE(CriteriTecnici!$O529,".",","),IFERROR(NUMBERVALUE(CriteriTecnici!$O529,",","."),0))),4)&amp;""),",",".")&amp;CHAR(125)&amp;IF(TRUE,",",""))</f>
        <v/>
      </c>
    </row>
    <row r="631">
      <c r="A631" s="82">
        <f>IF(CriteriTecnici!$A530="","","    "&amp;CHAR(123)&amp;CHAR(34)&amp;"bidderId"&amp;CHAR(34)&amp;": "&amp;CHAR(34)&amp;SUBSTITUTE(CriteriTecnici!$A530,CHAR(34),"'")&amp;CHAR(34)&amp;", "&amp;CHAR(34)&amp;"lotId"&amp;CHAR(34)&amp;": "&amp;CHAR(34)&amp;SUBSTITUTE(CriteriTecnici!$C530,CHAR(34),"'")&amp;CHAR(34)&amp;", "&amp;CHAR(34)&amp;"criterionId"&amp;CHAR(34)&amp;": "&amp;CHAR(34)&amp;SUBSTITUTE(CriteriTecnici!$D530,CHAR(34),"'")&amp;CHAR(34)&amp;", "&amp;CHAR(34)&amp;"kind"&amp;CHAR(34)&amp;": "&amp;CHAR(34)&amp;SUBSTITUTE(CriteriTecnici!$F530,CHAR(34),"'")&amp;CHAR(34)&amp;", "&amp;CHAR(34)&amp;"value"&amp;CHAR(34)&amp;": "&amp;SUBSTITUTE(TRIM(ROUND(IFERROR(CriteriTecnici!$N530*1,IFERROR(NUMBERVALUE(CriteriTecnici!$N530,".",","),IFERROR(NUMBERVALUE(CriteriTecnici!$N530,",","."),0))),4)&amp;""),",",".")&amp;", "&amp;CHAR(34)&amp;"numerator"&amp;CHAR(34)&amp;": "&amp;SUBSTITUTE(TRIM(ROUND(IFERROR(CriteriTecnici!$K530*1,IFERROR(NUMBERVALUE(CriteriTecnici!$K530,".",","),IFERROR(NUMBERVALUE(CriteriTecnici!$K530,",","."),0))),4)&amp;""),",",".")&amp;", "&amp;CHAR(34)&amp;"denominator"&amp;CHAR(34)&amp;": "&amp;SUBSTITUTE(TRIM(ROUND(IFERROR(CriteriTecnici!$L530*1,IFERROR(NUMBERVALUE(CriteriTecnici!$L530,".",","),IFERROR(NUMBERVALUE(CriteriTecnici!$L530,",","."),0))),4)&amp;""),",",".")&amp;", "&amp;CHAR(34)&amp;"flag"&amp;CHAR(34)&amp;": "&amp;SUBSTITUTE(TRIM(ROUND(IFERROR(CriteriTecnici!$M530*1,IFERROR(NUMBERVALUE(CriteriTecnici!$M530,".",","),IFERROR(NUMBERVALUE(CriteriTecnici!$M530,",","."),0))),4)&amp;""),",",".")&amp;", "&amp;CHAR(34)&amp;"rawScore"&amp;CHAR(34)&amp;": "&amp;SUBSTITUTE(TRIM(ROUND(IFERROR(CriteriTecnici!$O530*1,IFERROR(NUMBERVALUE(CriteriTecnici!$O530,".",","),IFERROR(NUMBERVALUE(CriteriTecnici!$O530,",","."),0))),4)&amp;""),",",".")&amp;CHAR(125)&amp;IF(TRUE,",",""))</f>
        <v/>
      </c>
    </row>
    <row r="632">
      <c r="A632" s="82">
        <f>IF(CriteriTecnici!$A531="","","    "&amp;CHAR(123)&amp;CHAR(34)&amp;"bidderId"&amp;CHAR(34)&amp;": "&amp;CHAR(34)&amp;SUBSTITUTE(CriteriTecnici!$A531,CHAR(34),"'")&amp;CHAR(34)&amp;", "&amp;CHAR(34)&amp;"lotId"&amp;CHAR(34)&amp;": "&amp;CHAR(34)&amp;SUBSTITUTE(CriteriTecnici!$C531,CHAR(34),"'")&amp;CHAR(34)&amp;", "&amp;CHAR(34)&amp;"criterionId"&amp;CHAR(34)&amp;": "&amp;CHAR(34)&amp;SUBSTITUTE(CriteriTecnici!$D531,CHAR(34),"'")&amp;CHAR(34)&amp;", "&amp;CHAR(34)&amp;"kind"&amp;CHAR(34)&amp;": "&amp;CHAR(34)&amp;SUBSTITUTE(CriteriTecnici!$F531,CHAR(34),"'")&amp;CHAR(34)&amp;", "&amp;CHAR(34)&amp;"value"&amp;CHAR(34)&amp;": "&amp;SUBSTITUTE(TRIM(ROUND(IFERROR(CriteriTecnici!$N531*1,IFERROR(NUMBERVALUE(CriteriTecnici!$N531,".",","),IFERROR(NUMBERVALUE(CriteriTecnici!$N531,",","."),0))),4)&amp;""),",",".")&amp;", "&amp;CHAR(34)&amp;"numerator"&amp;CHAR(34)&amp;": "&amp;SUBSTITUTE(TRIM(ROUND(IFERROR(CriteriTecnici!$K531*1,IFERROR(NUMBERVALUE(CriteriTecnici!$K531,".",","),IFERROR(NUMBERVALUE(CriteriTecnici!$K531,",","."),0))),4)&amp;""),",",".")&amp;", "&amp;CHAR(34)&amp;"denominator"&amp;CHAR(34)&amp;": "&amp;SUBSTITUTE(TRIM(ROUND(IFERROR(CriteriTecnici!$L531*1,IFERROR(NUMBERVALUE(CriteriTecnici!$L531,".",","),IFERROR(NUMBERVALUE(CriteriTecnici!$L531,",","."),0))),4)&amp;""),",",".")&amp;", "&amp;CHAR(34)&amp;"flag"&amp;CHAR(34)&amp;": "&amp;SUBSTITUTE(TRIM(ROUND(IFERROR(CriteriTecnici!$M531*1,IFERROR(NUMBERVALUE(CriteriTecnici!$M531,".",","),IFERROR(NUMBERVALUE(CriteriTecnici!$M531,",","."),0))),4)&amp;""),",",".")&amp;", "&amp;CHAR(34)&amp;"rawScore"&amp;CHAR(34)&amp;": "&amp;SUBSTITUTE(TRIM(ROUND(IFERROR(CriteriTecnici!$O531*1,IFERROR(NUMBERVALUE(CriteriTecnici!$O531,".",","),IFERROR(NUMBERVALUE(CriteriTecnici!$O531,",","."),0))),4)&amp;""),",",".")&amp;CHAR(125)&amp;IF(COUNTA(Offerte!$A19:$A$81)&gt;0,",",""))</f>
        <v/>
      </c>
    </row>
    <row r="633">
      <c r="A633" s="82">
        <f>IF(CriteriTecnici!$A532="","","    "&amp;CHAR(123)&amp;CHAR(34)&amp;"bidderId"&amp;CHAR(34)&amp;": "&amp;CHAR(34)&amp;SUBSTITUTE(CriteriTecnici!$A532,CHAR(34),"'")&amp;CHAR(34)&amp;", "&amp;CHAR(34)&amp;"lotId"&amp;CHAR(34)&amp;": "&amp;CHAR(34)&amp;SUBSTITUTE(CriteriTecnici!$C532,CHAR(34),"'")&amp;CHAR(34)&amp;", "&amp;CHAR(34)&amp;"criterionId"&amp;CHAR(34)&amp;": "&amp;CHAR(34)&amp;SUBSTITUTE(CriteriTecnici!$D532,CHAR(34),"'")&amp;CHAR(34)&amp;", "&amp;CHAR(34)&amp;"kind"&amp;CHAR(34)&amp;": "&amp;CHAR(34)&amp;SUBSTITUTE(CriteriTecnici!$F532,CHAR(34),"'")&amp;CHAR(34)&amp;", "&amp;CHAR(34)&amp;"value"&amp;CHAR(34)&amp;": "&amp;SUBSTITUTE(TRIM(ROUND(IFERROR(CriteriTecnici!$N532*1,IFERROR(NUMBERVALUE(CriteriTecnici!$N532,".",","),IFERROR(NUMBERVALUE(CriteriTecnici!$N532,",","."),0))),4)&amp;""),",",".")&amp;", "&amp;CHAR(34)&amp;"numerator"&amp;CHAR(34)&amp;": "&amp;SUBSTITUTE(TRIM(ROUND(IFERROR(CriteriTecnici!$K532*1,IFERROR(NUMBERVALUE(CriteriTecnici!$K532,".",","),IFERROR(NUMBERVALUE(CriteriTecnici!$K532,",","."),0))),4)&amp;""),",",".")&amp;", "&amp;CHAR(34)&amp;"denominator"&amp;CHAR(34)&amp;": "&amp;SUBSTITUTE(TRIM(ROUND(IFERROR(CriteriTecnici!$L532*1,IFERROR(NUMBERVALUE(CriteriTecnici!$L532,".",","),IFERROR(NUMBERVALUE(CriteriTecnici!$L532,",","."),0))),4)&amp;""),",",".")&amp;", "&amp;CHAR(34)&amp;"flag"&amp;CHAR(34)&amp;": "&amp;SUBSTITUTE(TRIM(ROUND(IFERROR(CriteriTecnici!$M532*1,IFERROR(NUMBERVALUE(CriteriTecnici!$M532,".",","),IFERROR(NUMBERVALUE(CriteriTecnici!$M532,",","."),0))),4)&amp;""),",",".")&amp;", "&amp;CHAR(34)&amp;"rawScore"&amp;CHAR(34)&amp;": "&amp;SUBSTITUTE(TRIM(ROUND(IFERROR(CriteriTecnici!$O532*1,IFERROR(NUMBERVALUE(CriteriTecnici!$O532,".",","),IFERROR(NUMBERVALUE(CriteriTecnici!$O532,",","."),0))),4)&amp;""),",",".")&amp;CHAR(125)&amp;IF(TRUE,",",""))</f>
        <v/>
      </c>
    </row>
    <row r="634">
      <c r="A634" s="82">
        <f>IF(CriteriTecnici!$A533="","","    "&amp;CHAR(123)&amp;CHAR(34)&amp;"bidderId"&amp;CHAR(34)&amp;": "&amp;CHAR(34)&amp;SUBSTITUTE(CriteriTecnici!$A533,CHAR(34),"'")&amp;CHAR(34)&amp;", "&amp;CHAR(34)&amp;"lotId"&amp;CHAR(34)&amp;": "&amp;CHAR(34)&amp;SUBSTITUTE(CriteriTecnici!$C533,CHAR(34),"'")&amp;CHAR(34)&amp;", "&amp;CHAR(34)&amp;"criterionId"&amp;CHAR(34)&amp;": "&amp;CHAR(34)&amp;SUBSTITUTE(CriteriTecnici!$D533,CHAR(34),"'")&amp;CHAR(34)&amp;", "&amp;CHAR(34)&amp;"kind"&amp;CHAR(34)&amp;": "&amp;CHAR(34)&amp;SUBSTITUTE(CriteriTecnici!$F533,CHAR(34),"'")&amp;CHAR(34)&amp;", "&amp;CHAR(34)&amp;"value"&amp;CHAR(34)&amp;": "&amp;SUBSTITUTE(TRIM(ROUND(IFERROR(CriteriTecnici!$N533*1,IFERROR(NUMBERVALUE(CriteriTecnici!$N533,".",","),IFERROR(NUMBERVALUE(CriteriTecnici!$N533,",","."),0))),4)&amp;""),",",".")&amp;", "&amp;CHAR(34)&amp;"numerator"&amp;CHAR(34)&amp;": "&amp;SUBSTITUTE(TRIM(ROUND(IFERROR(CriteriTecnici!$K533*1,IFERROR(NUMBERVALUE(CriteriTecnici!$K533,".",","),IFERROR(NUMBERVALUE(CriteriTecnici!$K533,",","."),0))),4)&amp;""),",",".")&amp;", "&amp;CHAR(34)&amp;"denominator"&amp;CHAR(34)&amp;": "&amp;SUBSTITUTE(TRIM(ROUND(IFERROR(CriteriTecnici!$L533*1,IFERROR(NUMBERVALUE(CriteriTecnici!$L533,".",","),IFERROR(NUMBERVALUE(CriteriTecnici!$L533,",","."),0))),4)&amp;""),",",".")&amp;", "&amp;CHAR(34)&amp;"flag"&amp;CHAR(34)&amp;": "&amp;SUBSTITUTE(TRIM(ROUND(IFERROR(CriteriTecnici!$M533*1,IFERROR(NUMBERVALUE(CriteriTecnici!$M533,".",","),IFERROR(NUMBERVALUE(CriteriTecnici!$M533,",","."),0))),4)&amp;""),",",".")&amp;", "&amp;CHAR(34)&amp;"rawScore"&amp;CHAR(34)&amp;": "&amp;SUBSTITUTE(TRIM(ROUND(IFERROR(CriteriTecnici!$O533*1,IFERROR(NUMBERVALUE(CriteriTecnici!$O533,".",","),IFERROR(NUMBERVALUE(CriteriTecnici!$O533,",","."),0))),4)&amp;""),",",".")&amp;CHAR(125)&amp;IF(TRUE,",",""))</f>
        <v/>
      </c>
    </row>
    <row r="635">
      <c r="A635" s="82">
        <f>IF(CriteriTecnici!$A534="","","    "&amp;CHAR(123)&amp;CHAR(34)&amp;"bidderId"&amp;CHAR(34)&amp;": "&amp;CHAR(34)&amp;SUBSTITUTE(CriteriTecnici!$A534,CHAR(34),"'")&amp;CHAR(34)&amp;", "&amp;CHAR(34)&amp;"lotId"&amp;CHAR(34)&amp;": "&amp;CHAR(34)&amp;SUBSTITUTE(CriteriTecnici!$C534,CHAR(34),"'")&amp;CHAR(34)&amp;", "&amp;CHAR(34)&amp;"criterionId"&amp;CHAR(34)&amp;": "&amp;CHAR(34)&amp;SUBSTITUTE(CriteriTecnici!$D534,CHAR(34),"'")&amp;CHAR(34)&amp;", "&amp;CHAR(34)&amp;"kind"&amp;CHAR(34)&amp;": "&amp;CHAR(34)&amp;SUBSTITUTE(CriteriTecnici!$F534,CHAR(34),"'")&amp;CHAR(34)&amp;", "&amp;CHAR(34)&amp;"value"&amp;CHAR(34)&amp;": "&amp;SUBSTITUTE(TRIM(ROUND(IFERROR(CriteriTecnici!$N534*1,IFERROR(NUMBERVALUE(CriteriTecnici!$N534,".",","),IFERROR(NUMBERVALUE(CriteriTecnici!$N534,",","."),0))),4)&amp;""),",",".")&amp;", "&amp;CHAR(34)&amp;"numerator"&amp;CHAR(34)&amp;": "&amp;SUBSTITUTE(TRIM(ROUND(IFERROR(CriteriTecnici!$K534*1,IFERROR(NUMBERVALUE(CriteriTecnici!$K534,".",","),IFERROR(NUMBERVALUE(CriteriTecnici!$K534,",","."),0))),4)&amp;""),",",".")&amp;", "&amp;CHAR(34)&amp;"denominator"&amp;CHAR(34)&amp;": "&amp;SUBSTITUTE(TRIM(ROUND(IFERROR(CriteriTecnici!$L534*1,IFERROR(NUMBERVALUE(CriteriTecnici!$L534,".",","),IFERROR(NUMBERVALUE(CriteriTecnici!$L534,",","."),0))),4)&amp;""),",",".")&amp;", "&amp;CHAR(34)&amp;"flag"&amp;CHAR(34)&amp;": "&amp;SUBSTITUTE(TRIM(ROUND(IFERROR(CriteriTecnici!$M534*1,IFERROR(NUMBERVALUE(CriteriTecnici!$M534,".",","),IFERROR(NUMBERVALUE(CriteriTecnici!$M534,",","."),0))),4)&amp;""),",",".")&amp;", "&amp;CHAR(34)&amp;"rawScore"&amp;CHAR(34)&amp;": "&amp;SUBSTITUTE(TRIM(ROUND(IFERROR(CriteriTecnici!$O534*1,IFERROR(NUMBERVALUE(CriteriTecnici!$O534,".",","),IFERROR(NUMBERVALUE(CriteriTecnici!$O534,",","."),0))),4)&amp;""),",",".")&amp;CHAR(125)&amp;IF(TRUE,",",""))</f>
        <v/>
      </c>
    </row>
    <row r="636">
      <c r="A636" s="82">
        <f>IF(CriteriTecnici!$A535="","","    "&amp;CHAR(123)&amp;CHAR(34)&amp;"bidderId"&amp;CHAR(34)&amp;": "&amp;CHAR(34)&amp;SUBSTITUTE(CriteriTecnici!$A535,CHAR(34),"'")&amp;CHAR(34)&amp;", "&amp;CHAR(34)&amp;"lotId"&amp;CHAR(34)&amp;": "&amp;CHAR(34)&amp;SUBSTITUTE(CriteriTecnici!$C535,CHAR(34),"'")&amp;CHAR(34)&amp;", "&amp;CHAR(34)&amp;"criterionId"&amp;CHAR(34)&amp;": "&amp;CHAR(34)&amp;SUBSTITUTE(CriteriTecnici!$D535,CHAR(34),"'")&amp;CHAR(34)&amp;", "&amp;CHAR(34)&amp;"kind"&amp;CHAR(34)&amp;": "&amp;CHAR(34)&amp;SUBSTITUTE(CriteriTecnici!$F535,CHAR(34),"'")&amp;CHAR(34)&amp;", "&amp;CHAR(34)&amp;"value"&amp;CHAR(34)&amp;": "&amp;SUBSTITUTE(TRIM(ROUND(IFERROR(CriteriTecnici!$N535*1,IFERROR(NUMBERVALUE(CriteriTecnici!$N535,".",","),IFERROR(NUMBERVALUE(CriteriTecnici!$N535,",","."),0))),4)&amp;""),",",".")&amp;", "&amp;CHAR(34)&amp;"numerator"&amp;CHAR(34)&amp;": "&amp;SUBSTITUTE(TRIM(ROUND(IFERROR(CriteriTecnici!$K535*1,IFERROR(NUMBERVALUE(CriteriTecnici!$K535,".",","),IFERROR(NUMBERVALUE(CriteriTecnici!$K535,",","."),0))),4)&amp;""),",",".")&amp;", "&amp;CHAR(34)&amp;"denominator"&amp;CHAR(34)&amp;": "&amp;SUBSTITUTE(TRIM(ROUND(IFERROR(CriteriTecnici!$L535*1,IFERROR(NUMBERVALUE(CriteriTecnici!$L535,".",","),IFERROR(NUMBERVALUE(CriteriTecnici!$L535,",","."),0))),4)&amp;""),",",".")&amp;", "&amp;CHAR(34)&amp;"flag"&amp;CHAR(34)&amp;": "&amp;SUBSTITUTE(TRIM(ROUND(IFERROR(CriteriTecnici!$M535*1,IFERROR(NUMBERVALUE(CriteriTecnici!$M535,".",","),IFERROR(NUMBERVALUE(CriteriTecnici!$M535,",","."),0))),4)&amp;""),",",".")&amp;", "&amp;CHAR(34)&amp;"rawScore"&amp;CHAR(34)&amp;": "&amp;SUBSTITUTE(TRIM(ROUND(IFERROR(CriteriTecnici!$O535*1,IFERROR(NUMBERVALUE(CriteriTecnici!$O535,".",","),IFERROR(NUMBERVALUE(CriteriTecnici!$O535,",","."),0))),4)&amp;""),",",".")&amp;CHAR(125)&amp;IF(TRUE,",",""))</f>
        <v/>
      </c>
    </row>
    <row r="637">
      <c r="A637" s="82">
        <f>IF(CriteriTecnici!$A536="","","    "&amp;CHAR(123)&amp;CHAR(34)&amp;"bidderId"&amp;CHAR(34)&amp;": "&amp;CHAR(34)&amp;SUBSTITUTE(CriteriTecnici!$A536,CHAR(34),"'")&amp;CHAR(34)&amp;", "&amp;CHAR(34)&amp;"lotId"&amp;CHAR(34)&amp;": "&amp;CHAR(34)&amp;SUBSTITUTE(CriteriTecnici!$C536,CHAR(34),"'")&amp;CHAR(34)&amp;", "&amp;CHAR(34)&amp;"criterionId"&amp;CHAR(34)&amp;": "&amp;CHAR(34)&amp;SUBSTITUTE(CriteriTecnici!$D536,CHAR(34),"'")&amp;CHAR(34)&amp;", "&amp;CHAR(34)&amp;"kind"&amp;CHAR(34)&amp;": "&amp;CHAR(34)&amp;SUBSTITUTE(CriteriTecnici!$F536,CHAR(34),"'")&amp;CHAR(34)&amp;", "&amp;CHAR(34)&amp;"value"&amp;CHAR(34)&amp;": "&amp;SUBSTITUTE(TRIM(ROUND(IFERROR(CriteriTecnici!$N536*1,IFERROR(NUMBERVALUE(CriteriTecnici!$N536,".",","),IFERROR(NUMBERVALUE(CriteriTecnici!$N536,",","."),0))),4)&amp;""),",",".")&amp;", "&amp;CHAR(34)&amp;"numerator"&amp;CHAR(34)&amp;": "&amp;SUBSTITUTE(TRIM(ROUND(IFERROR(CriteriTecnici!$K536*1,IFERROR(NUMBERVALUE(CriteriTecnici!$K536,".",","),IFERROR(NUMBERVALUE(CriteriTecnici!$K536,",","."),0))),4)&amp;""),",",".")&amp;", "&amp;CHAR(34)&amp;"denominator"&amp;CHAR(34)&amp;": "&amp;SUBSTITUTE(TRIM(ROUND(IFERROR(CriteriTecnici!$L536*1,IFERROR(NUMBERVALUE(CriteriTecnici!$L536,".",","),IFERROR(NUMBERVALUE(CriteriTecnici!$L536,",","."),0))),4)&amp;""),",",".")&amp;", "&amp;CHAR(34)&amp;"flag"&amp;CHAR(34)&amp;": "&amp;SUBSTITUTE(TRIM(ROUND(IFERROR(CriteriTecnici!$M536*1,IFERROR(NUMBERVALUE(CriteriTecnici!$M536,".",","),IFERROR(NUMBERVALUE(CriteriTecnici!$M536,",","."),0))),4)&amp;""),",",".")&amp;", "&amp;CHAR(34)&amp;"rawScore"&amp;CHAR(34)&amp;": "&amp;SUBSTITUTE(TRIM(ROUND(IFERROR(CriteriTecnici!$O536*1,IFERROR(NUMBERVALUE(CriteriTecnici!$O536,".",","),IFERROR(NUMBERVALUE(CriteriTecnici!$O536,",","."),0))),4)&amp;""),",",".")&amp;CHAR(125)&amp;IF(TRUE,",",""))</f>
        <v/>
      </c>
    </row>
    <row r="638">
      <c r="A638" s="82">
        <f>IF(CriteriTecnici!$A537="","","    "&amp;CHAR(123)&amp;CHAR(34)&amp;"bidderId"&amp;CHAR(34)&amp;": "&amp;CHAR(34)&amp;SUBSTITUTE(CriteriTecnici!$A537,CHAR(34),"'")&amp;CHAR(34)&amp;", "&amp;CHAR(34)&amp;"lotId"&amp;CHAR(34)&amp;": "&amp;CHAR(34)&amp;SUBSTITUTE(CriteriTecnici!$C537,CHAR(34),"'")&amp;CHAR(34)&amp;", "&amp;CHAR(34)&amp;"criterionId"&amp;CHAR(34)&amp;": "&amp;CHAR(34)&amp;SUBSTITUTE(CriteriTecnici!$D537,CHAR(34),"'")&amp;CHAR(34)&amp;", "&amp;CHAR(34)&amp;"kind"&amp;CHAR(34)&amp;": "&amp;CHAR(34)&amp;SUBSTITUTE(CriteriTecnici!$F537,CHAR(34),"'")&amp;CHAR(34)&amp;", "&amp;CHAR(34)&amp;"value"&amp;CHAR(34)&amp;": "&amp;SUBSTITUTE(TRIM(ROUND(IFERROR(CriteriTecnici!$N537*1,IFERROR(NUMBERVALUE(CriteriTecnici!$N537,".",","),IFERROR(NUMBERVALUE(CriteriTecnici!$N537,",","."),0))),4)&amp;""),",",".")&amp;", "&amp;CHAR(34)&amp;"numerator"&amp;CHAR(34)&amp;": "&amp;SUBSTITUTE(TRIM(ROUND(IFERROR(CriteriTecnici!$K537*1,IFERROR(NUMBERVALUE(CriteriTecnici!$K537,".",","),IFERROR(NUMBERVALUE(CriteriTecnici!$K537,",","."),0))),4)&amp;""),",",".")&amp;", "&amp;CHAR(34)&amp;"denominator"&amp;CHAR(34)&amp;": "&amp;SUBSTITUTE(TRIM(ROUND(IFERROR(CriteriTecnici!$L537*1,IFERROR(NUMBERVALUE(CriteriTecnici!$L537,".",","),IFERROR(NUMBERVALUE(CriteriTecnici!$L537,",","."),0))),4)&amp;""),",",".")&amp;", "&amp;CHAR(34)&amp;"flag"&amp;CHAR(34)&amp;": "&amp;SUBSTITUTE(TRIM(ROUND(IFERROR(CriteriTecnici!$M537*1,IFERROR(NUMBERVALUE(CriteriTecnici!$M537,".",","),IFERROR(NUMBERVALUE(CriteriTecnici!$M537,",","."),0))),4)&amp;""),",",".")&amp;", "&amp;CHAR(34)&amp;"rawScore"&amp;CHAR(34)&amp;": "&amp;SUBSTITUTE(TRIM(ROUND(IFERROR(CriteriTecnici!$O537*1,IFERROR(NUMBERVALUE(CriteriTecnici!$O537,".",","),IFERROR(NUMBERVALUE(CriteriTecnici!$O537,",","."),0))),4)&amp;""),",",".")&amp;CHAR(125)&amp;IF(TRUE,",",""))</f>
        <v/>
      </c>
    </row>
    <row r="639">
      <c r="A639" s="82">
        <f>IF(CriteriTecnici!$A538="","","    "&amp;CHAR(123)&amp;CHAR(34)&amp;"bidderId"&amp;CHAR(34)&amp;": "&amp;CHAR(34)&amp;SUBSTITUTE(CriteriTecnici!$A538,CHAR(34),"'")&amp;CHAR(34)&amp;", "&amp;CHAR(34)&amp;"lotId"&amp;CHAR(34)&amp;": "&amp;CHAR(34)&amp;SUBSTITUTE(CriteriTecnici!$C538,CHAR(34),"'")&amp;CHAR(34)&amp;", "&amp;CHAR(34)&amp;"criterionId"&amp;CHAR(34)&amp;": "&amp;CHAR(34)&amp;SUBSTITUTE(CriteriTecnici!$D538,CHAR(34),"'")&amp;CHAR(34)&amp;", "&amp;CHAR(34)&amp;"kind"&amp;CHAR(34)&amp;": "&amp;CHAR(34)&amp;SUBSTITUTE(CriteriTecnici!$F538,CHAR(34),"'")&amp;CHAR(34)&amp;", "&amp;CHAR(34)&amp;"value"&amp;CHAR(34)&amp;": "&amp;SUBSTITUTE(TRIM(ROUND(IFERROR(CriteriTecnici!$N538*1,IFERROR(NUMBERVALUE(CriteriTecnici!$N538,".",","),IFERROR(NUMBERVALUE(CriteriTecnici!$N538,",","."),0))),4)&amp;""),",",".")&amp;", "&amp;CHAR(34)&amp;"numerator"&amp;CHAR(34)&amp;": "&amp;SUBSTITUTE(TRIM(ROUND(IFERROR(CriteriTecnici!$K538*1,IFERROR(NUMBERVALUE(CriteriTecnici!$K538,".",","),IFERROR(NUMBERVALUE(CriteriTecnici!$K538,",","."),0))),4)&amp;""),",",".")&amp;", "&amp;CHAR(34)&amp;"denominator"&amp;CHAR(34)&amp;": "&amp;SUBSTITUTE(TRIM(ROUND(IFERROR(CriteriTecnici!$L538*1,IFERROR(NUMBERVALUE(CriteriTecnici!$L538,".",","),IFERROR(NUMBERVALUE(CriteriTecnici!$L538,",","."),0))),4)&amp;""),",",".")&amp;", "&amp;CHAR(34)&amp;"flag"&amp;CHAR(34)&amp;": "&amp;SUBSTITUTE(TRIM(ROUND(IFERROR(CriteriTecnici!$M538*1,IFERROR(NUMBERVALUE(CriteriTecnici!$M538,".",","),IFERROR(NUMBERVALUE(CriteriTecnici!$M538,",","."),0))),4)&amp;""),",",".")&amp;", "&amp;CHAR(34)&amp;"rawScore"&amp;CHAR(34)&amp;": "&amp;SUBSTITUTE(TRIM(ROUND(IFERROR(CriteriTecnici!$O538*1,IFERROR(NUMBERVALUE(CriteriTecnici!$O538,".",","),IFERROR(NUMBERVALUE(CriteriTecnici!$O538,",","."),0))),4)&amp;""),",",".")&amp;CHAR(125)&amp;IF(TRUE,",",""))</f>
        <v/>
      </c>
    </row>
    <row r="640">
      <c r="A640" s="82">
        <f>IF(CriteriTecnici!$A539="","","    "&amp;CHAR(123)&amp;CHAR(34)&amp;"bidderId"&amp;CHAR(34)&amp;": "&amp;CHAR(34)&amp;SUBSTITUTE(CriteriTecnici!$A539,CHAR(34),"'")&amp;CHAR(34)&amp;", "&amp;CHAR(34)&amp;"lotId"&amp;CHAR(34)&amp;": "&amp;CHAR(34)&amp;SUBSTITUTE(CriteriTecnici!$C539,CHAR(34),"'")&amp;CHAR(34)&amp;", "&amp;CHAR(34)&amp;"criterionId"&amp;CHAR(34)&amp;": "&amp;CHAR(34)&amp;SUBSTITUTE(CriteriTecnici!$D539,CHAR(34),"'")&amp;CHAR(34)&amp;", "&amp;CHAR(34)&amp;"kind"&amp;CHAR(34)&amp;": "&amp;CHAR(34)&amp;SUBSTITUTE(CriteriTecnici!$F539,CHAR(34),"'")&amp;CHAR(34)&amp;", "&amp;CHAR(34)&amp;"value"&amp;CHAR(34)&amp;": "&amp;SUBSTITUTE(TRIM(ROUND(IFERROR(CriteriTecnici!$N539*1,IFERROR(NUMBERVALUE(CriteriTecnici!$N539,".",","),IFERROR(NUMBERVALUE(CriteriTecnici!$N539,",","."),0))),4)&amp;""),",",".")&amp;", "&amp;CHAR(34)&amp;"numerator"&amp;CHAR(34)&amp;": "&amp;SUBSTITUTE(TRIM(ROUND(IFERROR(CriteriTecnici!$K539*1,IFERROR(NUMBERVALUE(CriteriTecnici!$K539,".",","),IFERROR(NUMBERVALUE(CriteriTecnici!$K539,",","."),0))),4)&amp;""),",",".")&amp;", "&amp;CHAR(34)&amp;"denominator"&amp;CHAR(34)&amp;": "&amp;SUBSTITUTE(TRIM(ROUND(IFERROR(CriteriTecnici!$L539*1,IFERROR(NUMBERVALUE(CriteriTecnici!$L539,".",","),IFERROR(NUMBERVALUE(CriteriTecnici!$L539,",","."),0))),4)&amp;""),",",".")&amp;", "&amp;CHAR(34)&amp;"flag"&amp;CHAR(34)&amp;": "&amp;SUBSTITUTE(TRIM(ROUND(IFERROR(CriteriTecnici!$M539*1,IFERROR(NUMBERVALUE(CriteriTecnici!$M539,".",","),IFERROR(NUMBERVALUE(CriteriTecnici!$M539,",","."),0))),4)&amp;""),",",".")&amp;", "&amp;CHAR(34)&amp;"rawScore"&amp;CHAR(34)&amp;": "&amp;SUBSTITUTE(TRIM(ROUND(IFERROR(CriteriTecnici!$O539*1,IFERROR(NUMBERVALUE(CriteriTecnici!$O539,".",","),IFERROR(NUMBERVALUE(CriteriTecnici!$O539,",","."),0))),4)&amp;""),",",".")&amp;CHAR(125)&amp;IF(TRUE,",",""))</f>
        <v/>
      </c>
    </row>
    <row r="641">
      <c r="A641" s="82">
        <f>IF(CriteriTecnici!$A540="","","    "&amp;CHAR(123)&amp;CHAR(34)&amp;"bidderId"&amp;CHAR(34)&amp;": "&amp;CHAR(34)&amp;SUBSTITUTE(CriteriTecnici!$A540,CHAR(34),"'")&amp;CHAR(34)&amp;", "&amp;CHAR(34)&amp;"lotId"&amp;CHAR(34)&amp;": "&amp;CHAR(34)&amp;SUBSTITUTE(CriteriTecnici!$C540,CHAR(34),"'")&amp;CHAR(34)&amp;", "&amp;CHAR(34)&amp;"criterionId"&amp;CHAR(34)&amp;": "&amp;CHAR(34)&amp;SUBSTITUTE(CriteriTecnici!$D540,CHAR(34),"'")&amp;CHAR(34)&amp;", "&amp;CHAR(34)&amp;"kind"&amp;CHAR(34)&amp;": "&amp;CHAR(34)&amp;SUBSTITUTE(CriteriTecnici!$F540,CHAR(34),"'")&amp;CHAR(34)&amp;", "&amp;CHAR(34)&amp;"value"&amp;CHAR(34)&amp;": "&amp;SUBSTITUTE(TRIM(ROUND(IFERROR(CriteriTecnici!$N540*1,IFERROR(NUMBERVALUE(CriteriTecnici!$N540,".",","),IFERROR(NUMBERVALUE(CriteriTecnici!$N540,",","."),0))),4)&amp;""),",",".")&amp;", "&amp;CHAR(34)&amp;"numerator"&amp;CHAR(34)&amp;": "&amp;SUBSTITUTE(TRIM(ROUND(IFERROR(CriteriTecnici!$K540*1,IFERROR(NUMBERVALUE(CriteriTecnici!$K540,".",","),IFERROR(NUMBERVALUE(CriteriTecnici!$K540,",","."),0))),4)&amp;""),",",".")&amp;", "&amp;CHAR(34)&amp;"denominator"&amp;CHAR(34)&amp;": "&amp;SUBSTITUTE(TRIM(ROUND(IFERROR(CriteriTecnici!$L540*1,IFERROR(NUMBERVALUE(CriteriTecnici!$L540,".",","),IFERROR(NUMBERVALUE(CriteriTecnici!$L540,",","."),0))),4)&amp;""),",",".")&amp;", "&amp;CHAR(34)&amp;"flag"&amp;CHAR(34)&amp;": "&amp;SUBSTITUTE(TRIM(ROUND(IFERROR(CriteriTecnici!$M540*1,IFERROR(NUMBERVALUE(CriteriTecnici!$M540,".",","),IFERROR(NUMBERVALUE(CriteriTecnici!$M540,",","."),0))),4)&amp;""),",",".")&amp;", "&amp;CHAR(34)&amp;"rawScore"&amp;CHAR(34)&amp;": "&amp;SUBSTITUTE(TRIM(ROUND(IFERROR(CriteriTecnici!$O540*1,IFERROR(NUMBERVALUE(CriteriTecnici!$O540,".",","),IFERROR(NUMBERVALUE(CriteriTecnici!$O540,",","."),0))),4)&amp;""),",",".")&amp;CHAR(125)&amp;IF(TRUE,",",""))</f>
        <v/>
      </c>
    </row>
    <row r="642">
      <c r="A642" s="82">
        <f>IF(CriteriTecnici!$A541="","","    "&amp;CHAR(123)&amp;CHAR(34)&amp;"bidderId"&amp;CHAR(34)&amp;": "&amp;CHAR(34)&amp;SUBSTITUTE(CriteriTecnici!$A541,CHAR(34),"'")&amp;CHAR(34)&amp;", "&amp;CHAR(34)&amp;"lotId"&amp;CHAR(34)&amp;": "&amp;CHAR(34)&amp;SUBSTITUTE(CriteriTecnici!$C541,CHAR(34),"'")&amp;CHAR(34)&amp;", "&amp;CHAR(34)&amp;"criterionId"&amp;CHAR(34)&amp;": "&amp;CHAR(34)&amp;SUBSTITUTE(CriteriTecnici!$D541,CHAR(34),"'")&amp;CHAR(34)&amp;", "&amp;CHAR(34)&amp;"kind"&amp;CHAR(34)&amp;": "&amp;CHAR(34)&amp;SUBSTITUTE(CriteriTecnici!$F541,CHAR(34),"'")&amp;CHAR(34)&amp;", "&amp;CHAR(34)&amp;"value"&amp;CHAR(34)&amp;": "&amp;SUBSTITUTE(TRIM(ROUND(IFERROR(CriteriTecnici!$N541*1,IFERROR(NUMBERVALUE(CriteriTecnici!$N541,".",","),IFERROR(NUMBERVALUE(CriteriTecnici!$N541,",","."),0))),4)&amp;""),",",".")&amp;", "&amp;CHAR(34)&amp;"numerator"&amp;CHAR(34)&amp;": "&amp;SUBSTITUTE(TRIM(ROUND(IFERROR(CriteriTecnici!$K541*1,IFERROR(NUMBERVALUE(CriteriTecnici!$K541,".",","),IFERROR(NUMBERVALUE(CriteriTecnici!$K541,",","."),0))),4)&amp;""),",",".")&amp;", "&amp;CHAR(34)&amp;"denominator"&amp;CHAR(34)&amp;": "&amp;SUBSTITUTE(TRIM(ROUND(IFERROR(CriteriTecnici!$L541*1,IFERROR(NUMBERVALUE(CriteriTecnici!$L541,".",","),IFERROR(NUMBERVALUE(CriteriTecnici!$L541,",","."),0))),4)&amp;""),",",".")&amp;", "&amp;CHAR(34)&amp;"flag"&amp;CHAR(34)&amp;": "&amp;SUBSTITUTE(TRIM(ROUND(IFERROR(CriteriTecnici!$M541*1,IFERROR(NUMBERVALUE(CriteriTecnici!$M541,".",","),IFERROR(NUMBERVALUE(CriteriTecnici!$M541,",","."),0))),4)&amp;""),",",".")&amp;", "&amp;CHAR(34)&amp;"rawScore"&amp;CHAR(34)&amp;": "&amp;SUBSTITUTE(TRIM(ROUND(IFERROR(CriteriTecnici!$O541*1,IFERROR(NUMBERVALUE(CriteriTecnici!$O541,".",","),IFERROR(NUMBERVALUE(CriteriTecnici!$O541,",","."),0))),4)&amp;""),",",".")&amp;CHAR(125)&amp;IF(TRUE,",",""))</f>
        <v/>
      </c>
    </row>
    <row r="643">
      <c r="A643" s="82">
        <f>IF(CriteriTecnici!$A542="","","    "&amp;CHAR(123)&amp;CHAR(34)&amp;"bidderId"&amp;CHAR(34)&amp;": "&amp;CHAR(34)&amp;SUBSTITUTE(CriteriTecnici!$A542,CHAR(34),"'")&amp;CHAR(34)&amp;", "&amp;CHAR(34)&amp;"lotId"&amp;CHAR(34)&amp;": "&amp;CHAR(34)&amp;SUBSTITUTE(CriteriTecnici!$C542,CHAR(34),"'")&amp;CHAR(34)&amp;", "&amp;CHAR(34)&amp;"criterionId"&amp;CHAR(34)&amp;": "&amp;CHAR(34)&amp;SUBSTITUTE(CriteriTecnici!$D542,CHAR(34),"'")&amp;CHAR(34)&amp;", "&amp;CHAR(34)&amp;"kind"&amp;CHAR(34)&amp;": "&amp;CHAR(34)&amp;SUBSTITUTE(CriteriTecnici!$F542,CHAR(34),"'")&amp;CHAR(34)&amp;", "&amp;CHAR(34)&amp;"value"&amp;CHAR(34)&amp;": "&amp;SUBSTITUTE(TRIM(ROUND(IFERROR(CriteriTecnici!$N542*1,IFERROR(NUMBERVALUE(CriteriTecnici!$N542,".",","),IFERROR(NUMBERVALUE(CriteriTecnici!$N542,",","."),0))),4)&amp;""),",",".")&amp;", "&amp;CHAR(34)&amp;"numerator"&amp;CHAR(34)&amp;": "&amp;SUBSTITUTE(TRIM(ROUND(IFERROR(CriteriTecnici!$K542*1,IFERROR(NUMBERVALUE(CriteriTecnici!$K542,".",","),IFERROR(NUMBERVALUE(CriteriTecnici!$K542,",","."),0))),4)&amp;""),",",".")&amp;", "&amp;CHAR(34)&amp;"denominator"&amp;CHAR(34)&amp;": "&amp;SUBSTITUTE(TRIM(ROUND(IFERROR(CriteriTecnici!$L542*1,IFERROR(NUMBERVALUE(CriteriTecnici!$L542,".",","),IFERROR(NUMBERVALUE(CriteriTecnici!$L542,",","."),0))),4)&amp;""),",",".")&amp;", "&amp;CHAR(34)&amp;"flag"&amp;CHAR(34)&amp;": "&amp;SUBSTITUTE(TRIM(ROUND(IFERROR(CriteriTecnici!$M542*1,IFERROR(NUMBERVALUE(CriteriTecnici!$M542,".",","),IFERROR(NUMBERVALUE(CriteriTecnici!$M542,",","."),0))),4)&amp;""),",",".")&amp;", "&amp;CHAR(34)&amp;"rawScore"&amp;CHAR(34)&amp;": "&amp;SUBSTITUTE(TRIM(ROUND(IFERROR(CriteriTecnici!$O542*1,IFERROR(NUMBERVALUE(CriteriTecnici!$O542,".",","),IFERROR(NUMBERVALUE(CriteriTecnici!$O542,",","."),0))),4)&amp;""),",",".")&amp;CHAR(125)&amp;IF(TRUE,",",""))</f>
        <v/>
      </c>
    </row>
    <row r="644">
      <c r="A644" s="82">
        <f>IF(CriteriTecnici!$A543="","","    "&amp;CHAR(123)&amp;CHAR(34)&amp;"bidderId"&amp;CHAR(34)&amp;": "&amp;CHAR(34)&amp;SUBSTITUTE(CriteriTecnici!$A543,CHAR(34),"'")&amp;CHAR(34)&amp;", "&amp;CHAR(34)&amp;"lotId"&amp;CHAR(34)&amp;": "&amp;CHAR(34)&amp;SUBSTITUTE(CriteriTecnici!$C543,CHAR(34),"'")&amp;CHAR(34)&amp;", "&amp;CHAR(34)&amp;"criterionId"&amp;CHAR(34)&amp;": "&amp;CHAR(34)&amp;SUBSTITUTE(CriteriTecnici!$D543,CHAR(34),"'")&amp;CHAR(34)&amp;", "&amp;CHAR(34)&amp;"kind"&amp;CHAR(34)&amp;": "&amp;CHAR(34)&amp;SUBSTITUTE(CriteriTecnici!$F543,CHAR(34),"'")&amp;CHAR(34)&amp;", "&amp;CHAR(34)&amp;"value"&amp;CHAR(34)&amp;": "&amp;SUBSTITUTE(TRIM(ROUND(IFERROR(CriteriTecnici!$N543*1,IFERROR(NUMBERVALUE(CriteriTecnici!$N543,".",","),IFERROR(NUMBERVALUE(CriteriTecnici!$N543,",","."),0))),4)&amp;""),",",".")&amp;", "&amp;CHAR(34)&amp;"numerator"&amp;CHAR(34)&amp;": "&amp;SUBSTITUTE(TRIM(ROUND(IFERROR(CriteriTecnici!$K543*1,IFERROR(NUMBERVALUE(CriteriTecnici!$K543,".",","),IFERROR(NUMBERVALUE(CriteriTecnici!$K543,",","."),0))),4)&amp;""),",",".")&amp;", "&amp;CHAR(34)&amp;"denominator"&amp;CHAR(34)&amp;": "&amp;SUBSTITUTE(TRIM(ROUND(IFERROR(CriteriTecnici!$L543*1,IFERROR(NUMBERVALUE(CriteriTecnici!$L543,".",","),IFERROR(NUMBERVALUE(CriteriTecnici!$L543,",","."),0))),4)&amp;""),",",".")&amp;", "&amp;CHAR(34)&amp;"flag"&amp;CHAR(34)&amp;": "&amp;SUBSTITUTE(TRIM(ROUND(IFERROR(CriteriTecnici!$M543*1,IFERROR(NUMBERVALUE(CriteriTecnici!$M543,".",","),IFERROR(NUMBERVALUE(CriteriTecnici!$M543,",","."),0))),4)&amp;""),",",".")&amp;", "&amp;CHAR(34)&amp;"rawScore"&amp;CHAR(34)&amp;": "&amp;SUBSTITUTE(TRIM(ROUND(IFERROR(CriteriTecnici!$O543*1,IFERROR(NUMBERVALUE(CriteriTecnici!$O543,".",","),IFERROR(NUMBERVALUE(CriteriTecnici!$O543,",","."),0))),4)&amp;""),",",".")&amp;CHAR(125)&amp;IF(TRUE,",",""))</f>
        <v/>
      </c>
    </row>
    <row r="645">
      <c r="A645" s="82">
        <f>IF(CriteriTecnici!$A544="","","    "&amp;CHAR(123)&amp;CHAR(34)&amp;"bidderId"&amp;CHAR(34)&amp;": "&amp;CHAR(34)&amp;SUBSTITUTE(CriteriTecnici!$A544,CHAR(34),"'")&amp;CHAR(34)&amp;", "&amp;CHAR(34)&amp;"lotId"&amp;CHAR(34)&amp;": "&amp;CHAR(34)&amp;SUBSTITUTE(CriteriTecnici!$C544,CHAR(34),"'")&amp;CHAR(34)&amp;", "&amp;CHAR(34)&amp;"criterionId"&amp;CHAR(34)&amp;": "&amp;CHAR(34)&amp;SUBSTITUTE(CriteriTecnici!$D544,CHAR(34),"'")&amp;CHAR(34)&amp;", "&amp;CHAR(34)&amp;"kind"&amp;CHAR(34)&amp;": "&amp;CHAR(34)&amp;SUBSTITUTE(CriteriTecnici!$F544,CHAR(34),"'")&amp;CHAR(34)&amp;", "&amp;CHAR(34)&amp;"value"&amp;CHAR(34)&amp;": "&amp;SUBSTITUTE(TRIM(ROUND(IFERROR(CriteriTecnici!$N544*1,IFERROR(NUMBERVALUE(CriteriTecnici!$N544,".",","),IFERROR(NUMBERVALUE(CriteriTecnici!$N544,",","."),0))),4)&amp;""),",",".")&amp;", "&amp;CHAR(34)&amp;"numerator"&amp;CHAR(34)&amp;": "&amp;SUBSTITUTE(TRIM(ROUND(IFERROR(CriteriTecnici!$K544*1,IFERROR(NUMBERVALUE(CriteriTecnici!$K544,".",","),IFERROR(NUMBERVALUE(CriteriTecnici!$K544,",","."),0))),4)&amp;""),",",".")&amp;", "&amp;CHAR(34)&amp;"denominator"&amp;CHAR(34)&amp;": "&amp;SUBSTITUTE(TRIM(ROUND(IFERROR(CriteriTecnici!$L544*1,IFERROR(NUMBERVALUE(CriteriTecnici!$L544,".",","),IFERROR(NUMBERVALUE(CriteriTecnici!$L544,",","."),0))),4)&amp;""),",",".")&amp;", "&amp;CHAR(34)&amp;"flag"&amp;CHAR(34)&amp;": "&amp;SUBSTITUTE(TRIM(ROUND(IFERROR(CriteriTecnici!$M544*1,IFERROR(NUMBERVALUE(CriteriTecnici!$M544,".",","),IFERROR(NUMBERVALUE(CriteriTecnici!$M544,",","."),0))),4)&amp;""),",",".")&amp;", "&amp;CHAR(34)&amp;"rawScore"&amp;CHAR(34)&amp;": "&amp;SUBSTITUTE(TRIM(ROUND(IFERROR(CriteriTecnici!$O544*1,IFERROR(NUMBERVALUE(CriteriTecnici!$O544,".",","),IFERROR(NUMBERVALUE(CriteriTecnici!$O544,",","."),0))),4)&amp;""),",",".")&amp;CHAR(125)&amp;IF(TRUE,",",""))</f>
        <v/>
      </c>
    </row>
    <row r="646">
      <c r="A646" s="82">
        <f>IF(CriteriTecnici!$A545="","","    "&amp;CHAR(123)&amp;CHAR(34)&amp;"bidderId"&amp;CHAR(34)&amp;": "&amp;CHAR(34)&amp;SUBSTITUTE(CriteriTecnici!$A545,CHAR(34),"'")&amp;CHAR(34)&amp;", "&amp;CHAR(34)&amp;"lotId"&amp;CHAR(34)&amp;": "&amp;CHAR(34)&amp;SUBSTITUTE(CriteriTecnici!$C545,CHAR(34),"'")&amp;CHAR(34)&amp;", "&amp;CHAR(34)&amp;"criterionId"&amp;CHAR(34)&amp;": "&amp;CHAR(34)&amp;SUBSTITUTE(CriteriTecnici!$D545,CHAR(34),"'")&amp;CHAR(34)&amp;", "&amp;CHAR(34)&amp;"kind"&amp;CHAR(34)&amp;": "&amp;CHAR(34)&amp;SUBSTITUTE(CriteriTecnici!$F545,CHAR(34),"'")&amp;CHAR(34)&amp;", "&amp;CHAR(34)&amp;"value"&amp;CHAR(34)&amp;": "&amp;SUBSTITUTE(TRIM(ROUND(IFERROR(CriteriTecnici!$N545*1,IFERROR(NUMBERVALUE(CriteriTecnici!$N545,".",","),IFERROR(NUMBERVALUE(CriteriTecnici!$N545,",","."),0))),4)&amp;""),",",".")&amp;", "&amp;CHAR(34)&amp;"numerator"&amp;CHAR(34)&amp;": "&amp;SUBSTITUTE(TRIM(ROUND(IFERROR(CriteriTecnici!$K545*1,IFERROR(NUMBERVALUE(CriteriTecnici!$K545,".",","),IFERROR(NUMBERVALUE(CriteriTecnici!$K545,",","."),0))),4)&amp;""),",",".")&amp;", "&amp;CHAR(34)&amp;"denominator"&amp;CHAR(34)&amp;": "&amp;SUBSTITUTE(TRIM(ROUND(IFERROR(CriteriTecnici!$L545*1,IFERROR(NUMBERVALUE(CriteriTecnici!$L545,".",","),IFERROR(NUMBERVALUE(CriteriTecnici!$L545,",","."),0))),4)&amp;""),",",".")&amp;", "&amp;CHAR(34)&amp;"flag"&amp;CHAR(34)&amp;": "&amp;SUBSTITUTE(TRIM(ROUND(IFERROR(CriteriTecnici!$M545*1,IFERROR(NUMBERVALUE(CriteriTecnici!$M545,".",","),IFERROR(NUMBERVALUE(CriteriTecnici!$M545,",","."),0))),4)&amp;""),",",".")&amp;", "&amp;CHAR(34)&amp;"rawScore"&amp;CHAR(34)&amp;": "&amp;SUBSTITUTE(TRIM(ROUND(IFERROR(CriteriTecnici!$O545*1,IFERROR(NUMBERVALUE(CriteriTecnici!$O545,".",","),IFERROR(NUMBERVALUE(CriteriTecnici!$O545,",","."),0))),4)&amp;""),",",".")&amp;CHAR(125)&amp;IF(TRUE,",",""))</f>
        <v/>
      </c>
    </row>
    <row r="647">
      <c r="A647" s="82">
        <f>IF(CriteriTecnici!$A546="","","    "&amp;CHAR(123)&amp;CHAR(34)&amp;"bidderId"&amp;CHAR(34)&amp;": "&amp;CHAR(34)&amp;SUBSTITUTE(CriteriTecnici!$A546,CHAR(34),"'")&amp;CHAR(34)&amp;", "&amp;CHAR(34)&amp;"lotId"&amp;CHAR(34)&amp;": "&amp;CHAR(34)&amp;SUBSTITUTE(CriteriTecnici!$C546,CHAR(34),"'")&amp;CHAR(34)&amp;", "&amp;CHAR(34)&amp;"criterionId"&amp;CHAR(34)&amp;": "&amp;CHAR(34)&amp;SUBSTITUTE(CriteriTecnici!$D546,CHAR(34),"'")&amp;CHAR(34)&amp;", "&amp;CHAR(34)&amp;"kind"&amp;CHAR(34)&amp;": "&amp;CHAR(34)&amp;SUBSTITUTE(CriteriTecnici!$F546,CHAR(34),"'")&amp;CHAR(34)&amp;", "&amp;CHAR(34)&amp;"value"&amp;CHAR(34)&amp;": "&amp;SUBSTITUTE(TRIM(ROUND(IFERROR(CriteriTecnici!$N546*1,IFERROR(NUMBERVALUE(CriteriTecnici!$N546,".",","),IFERROR(NUMBERVALUE(CriteriTecnici!$N546,",","."),0))),4)&amp;""),",",".")&amp;", "&amp;CHAR(34)&amp;"numerator"&amp;CHAR(34)&amp;": "&amp;SUBSTITUTE(TRIM(ROUND(IFERROR(CriteriTecnici!$K546*1,IFERROR(NUMBERVALUE(CriteriTecnici!$K546,".",","),IFERROR(NUMBERVALUE(CriteriTecnici!$K546,",","."),0))),4)&amp;""),",",".")&amp;", "&amp;CHAR(34)&amp;"denominator"&amp;CHAR(34)&amp;": "&amp;SUBSTITUTE(TRIM(ROUND(IFERROR(CriteriTecnici!$L546*1,IFERROR(NUMBERVALUE(CriteriTecnici!$L546,".",","),IFERROR(NUMBERVALUE(CriteriTecnici!$L546,",","."),0))),4)&amp;""),",",".")&amp;", "&amp;CHAR(34)&amp;"flag"&amp;CHAR(34)&amp;": "&amp;SUBSTITUTE(TRIM(ROUND(IFERROR(CriteriTecnici!$M546*1,IFERROR(NUMBERVALUE(CriteriTecnici!$M546,".",","),IFERROR(NUMBERVALUE(CriteriTecnici!$M546,",","."),0))),4)&amp;""),",",".")&amp;", "&amp;CHAR(34)&amp;"rawScore"&amp;CHAR(34)&amp;": "&amp;SUBSTITUTE(TRIM(ROUND(IFERROR(CriteriTecnici!$O546*1,IFERROR(NUMBERVALUE(CriteriTecnici!$O546,".",","),IFERROR(NUMBERVALUE(CriteriTecnici!$O546,",","."),0))),4)&amp;""),",",".")&amp;CHAR(125)&amp;IF(TRUE,",",""))</f>
        <v/>
      </c>
    </row>
    <row r="648">
      <c r="A648" s="82">
        <f>IF(CriteriTecnici!$A547="","","    "&amp;CHAR(123)&amp;CHAR(34)&amp;"bidderId"&amp;CHAR(34)&amp;": "&amp;CHAR(34)&amp;SUBSTITUTE(CriteriTecnici!$A547,CHAR(34),"'")&amp;CHAR(34)&amp;", "&amp;CHAR(34)&amp;"lotId"&amp;CHAR(34)&amp;": "&amp;CHAR(34)&amp;SUBSTITUTE(CriteriTecnici!$C547,CHAR(34),"'")&amp;CHAR(34)&amp;", "&amp;CHAR(34)&amp;"criterionId"&amp;CHAR(34)&amp;": "&amp;CHAR(34)&amp;SUBSTITUTE(CriteriTecnici!$D547,CHAR(34),"'")&amp;CHAR(34)&amp;", "&amp;CHAR(34)&amp;"kind"&amp;CHAR(34)&amp;": "&amp;CHAR(34)&amp;SUBSTITUTE(CriteriTecnici!$F547,CHAR(34),"'")&amp;CHAR(34)&amp;", "&amp;CHAR(34)&amp;"value"&amp;CHAR(34)&amp;": "&amp;SUBSTITUTE(TRIM(ROUND(IFERROR(CriteriTecnici!$N547*1,IFERROR(NUMBERVALUE(CriteriTecnici!$N547,".",","),IFERROR(NUMBERVALUE(CriteriTecnici!$N547,",","."),0))),4)&amp;""),",",".")&amp;", "&amp;CHAR(34)&amp;"numerator"&amp;CHAR(34)&amp;": "&amp;SUBSTITUTE(TRIM(ROUND(IFERROR(CriteriTecnici!$K547*1,IFERROR(NUMBERVALUE(CriteriTecnici!$K547,".",","),IFERROR(NUMBERVALUE(CriteriTecnici!$K547,",","."),0))),4)&amp;""),",",".")&amp;", "&amp;CHAR(34)&amp;"denominator"&amp;CHAR(34)&amp;": "&amp;SUBSTITUTE(TRIM(ROUND(IFERROR(CriteriTecnici!$L547*1,IFERROR(NUMBERVALUE(CriteriTecnici!$L547,".",","),IFERROR(NUMBERVALUE(CriteriTecnici!$L547,",","."),0))),4)&amp;""),",",".")&amp;", "&amp;CHAR(34)&amp;"flag"&amp;CHAR(34)&amp;": "&amp;SUBSTITUTE(TRIM(ROUND(IFERROR(CriteriTecnici!$M547*1,IFERROR(NUMBERVALUE(CriteriTecnici!$M547,".",","),IFERROR(NUMBERVALUE(CriteriTecnici!$M547,",","."),0))),4)&amp;""),",",".")&amp;", "&amp;CHAR(34)&amp;"rawScore"&amp;CHAR(34)&amp;": "&amp;SUBSTITUTE(TRIM(ROUND(IFERROR(CriteriTecnici!$O547*1,IFERROR(NUMBERVALUE(CriteriTecnici!$O547,".",","),IFERROR(NUMBERVALUE(CriteriTecnici!$O547,",","."),0))),4)&amp;""),",",".")&amp;CHAR(125)&amp;IF(TRUE,",",""))</f>
        <v/>
      </c>
    </row>
    <row r="649">
      <c r="A649" s="82">
        <f>IF(CriteriTecnici!$A548="","","    "&amp;CHAR(123)&amp;CHAR(34)&amp;"bidderId"&amp;CHAR(34)&amp;": "&amp;CHAR(34)&amp;SUBSTITUTE(CriteriTecnici!$A548,CHAR(34),"'")&amp;CHAR(34)&amp;", "&amp;CHAR(34)&amp;"lotId"&amp;CHAR(34)&amp;": "&amp;CHAR(34)&amp;SUBSTITUTE(CriteriTecnici!$C548,CHAR(34),"'")&amp;CHAR(34)&amp;", "&amp;CHAR(34)&amp;"criterionId"&amp;CHAR(34)&amp;": "&amp;CHAR(34)&amp;SUBSTITUTE(CriteriTecnici!$D548,CHAR(34),"'")&amp;CHAR(34)&amp;", "&amp;CHAR(34)&amp;"kind"&amp;CHAR(34)&amp;": "&amp;CHAR(34)&amp;SUBSTITUTE(CriteriTecnici!$F548,CHAR(34),"'")&amp;CHAR(34)&amp;", "&amp;CHAR(34)&amp;"value"&amp;CHAR(34)&amp;": "&amp;SUBSTITUTE(TRIM(ROUND(IFERROR(CriteriTecnici!$N548*1,IFERROR(NUMBERVALUE(CriteriTecnici!$N548,".",","),IFERROR(NUMBERVALUE(CriteriTecnici!$N548,",","."),0))),4)&amp;""),",",".")&amp;", "&amp;CHAR(34)&amp;"numerator"&amp;CHAR(34)&amp;": "&amp;SUBSTITUTE(TRIM(ROUND(IFERROR(CriteriTecnici!$K548*1,IFERROR(NUMBERVALUE(CriteriTecnici!$K548,".",","),IFERROR(NUMBERVALUE(CriteriTecnici!$K548,",","."),0))),4)&amp;""),",",".")&amp;", "&amp;CHAR(34)&amp;"denominator"&amp;CHAR(34)&amp;": "&amp;SUBSTITUTE(TRIM(ROUND(IFERROR(CriteriTecnici!$L548*1,IFERROR(NUMBERVALUE(CriteriTecnici!$L548,".",","),IFERROR(NUMBERVALUE(CriteriTecnici!$L548,",","."),0))),4)&amp;""),",",".")&amp;", "&amp;CHAR(34)&amp;"flag"&amp;CHAR(34)&amp;": "&amp;SUBSTITUTE(TRIM(ROUND(IFERROR(CriteriTecnici!$M548*1,IFERROR(NUMBERVALUE(CriteriTecnici!$M548,".",","),IFERROR(NUMBERVALUE(CriteriTecnici!$M548,",","."),0))),4)&amp;""),",",".")&amp;", "&amp;CHAR(34)&amp;"rawScore"&amp;CHAR(34)&amp;": "&amp;SUBSTITUTE(TRIM(ROUND(IFERROR(CriteriTecnici!$O548*1,IFERROR(NUMBERVALUE(CriteriTecnici!$O548,".",","),IFERROR(NUMBERVALUE(CriteriTecnici!$O548,",","."),0))),4)&amp;""),",",".")&amp;CHAR(125)&amp;IF(TRUE,",",""))</f>
        <v/>
      </c>
    </row>
    <row r="650">
      <c r="A650" s="82">
        <f>IF(CriteriTecnici!$A549="","","    "&amp;CHAR(123)&amp;CHAR(34)&amp;"bidderId"&amp;CHAR(34)&amp;": "&amp;CHAR(34)&amp;SUBSTITUTE(CriteriTecnici!$A549,CHAR(34),"'")&amp;CHAR(34)&amp;", "&amp;CHAR(34)&amp;"lotId"&amp;CHAR(34)&amp;": "&amp;CHAR(34)&amp;SUBSTITUTE(CriteriTecnici!$C549,CHAR(34),"'")&amp;CHAR(34)&amp;", "&amp;CHAR(34)&amp;"criterionId"&amp;CHAR(34)&amp;": "&amp;CHAR(34)&amp;SUBSTITUTE(CriteriTecnici!$D549,CHAR(34),"'")&amp;CHAR(34)&amp;", "&amp;CHAR(34)&amp;"kind"&amp;CHAR(34)&amp;": "&amp;CHAR(34)&amp;SUBSTITUTE(CriteriTecnici!$F549,CHAR(34),"'")&amp;CHAR(34)&amp;", "&amp;CHAR(34)&amp;"value"&amp;CHAR(34)&amp;": "&amp;SUBSTITUTE(TRIM(ROUND(IFERROR(CriteriTecnici!$N549*1,IFERROR(NUMBERVALUE(CriteriTecnici!$N549,".",","),IFERROR(NUMBERVALUE(CriteriTecnici!$N549,",","."),0))),4)&amp;""),",",".")&amp;", "&amp;CHAR(34)&amp;"numerator"&amp;CHAR(34)&amp;": "&amp;SUBSTITUTE(TRIM(ROUND(IFERROR(CriteriTecnici!$K549*1,IFERROR(NUMBERVALUE(CriteriTecnici!$K549,".",","),IFERROR(NUMBERVALUE(CriteriTecnici!$K549,",","."),0))),4)&amp;""),",",".")&amp;", "&amp;CHAR(34)&amp;"denominator"&amp;CHAR(34)&amp;": "&amp;SUBSTITUTE(TRIM(ROUND(IFERROR(CriteriTecnici!$L549*1,IFERROR(NUMBERVALUE(CriteriTecnici!$L549,".",","),IFERROR(NUMBERVALUE(CriteriTecnici!$L549,",","."),0))),4)&amp;""),",",".")&amp;", "&amp;CHAR(34)&amp;"flag"&amp;CHAR(34)&amp;": "&amp;SUBSTITUTE(TRIM(ROUND(IFERROR(CriteriTecnici!$M549*1,IFERROR(NUMBERVALUE(CriteriTecnici!$M549,".",","),IFERROR(NUMBERVALUE(CriteriTecnici!$M549,",","."),0))),4)&amp;""),",",".")&amp;", "&amp;CHAR(34)&amp;"rawScore"&amp;CHAR(34)&amp;": "&amp;SUBSTITUTE(TRIM(ROUND(IFERROR(CriteriTecnici!$O549*1,IFERROR(NUMBERVALUE(CriteriTecnici!$O549,".",","),IFERROR(NUMBERVALUE(CriteriTecnici!$O549,",","."),0))),4)&amp;""),",",".")&amp;CHAR(125)&amp;IF(TRUE,",",""))</f>
        <v/>
      </c>
    </row>
    <row r="651">
      <c r="A651" s="82">
        <f>IF(CriteriTecnici!$A550="","","    "&amp;CHAR(123)&amp;CHAR(34)&amp;"bidderId"&amp;CHAR(34)&amp;": "&amp;CHAR(34)&amp;SUBSTITUTE(CriteriTecnici!$A550,CHAR(34),"'")&amp;CHAR(34)&amp;", "&amp;CHAR(34)&amp;"lotId"&amp;CHAR(34)&amp;": "&amp;CHAR(34)&amp;SUBSTITUTE(CriteriTecnici!$C550,CHAR(34),"'")&amp;CHAR(34)&amp;", "&amp;CHAR(34)&amp;"criterionId"&amp;CHAR(34)&amp;": "&amp;CHAR(34)&amp;SUBSTITUTE(CriteriTecnici!$D550,CHAR(34),"'")&amp;CHAR(34)&amp;", "&amp;CHAR(34)&amp;"kind"&amp;CHAR(34)&amp;": "&amp;CHAR(34)&amp;SUBSTITUTE(CriteriTecnici!$F550,CHAR(34),"'")&amp;CHAR(34)&amp;", "&amp;CHAR(34)&amp;"value"&amp;CHAR(34)&amp;": "&amp;SUBSTITUTE(TRIM(ROUND(IFERROR(CriteriTecnici!$N550*1,IFERROR(NUMBERVALUE(CriteriTecnici!$N550,".",","),IFERROR(NUMBERVALUE(CriteriTecnici!$N550,",","."),0))),4)&amp;""),",",".")&amp;", "&amp;CHAR(34)&amp;"numerator"&amp;CHAR(34)&amp;": "&amp;SUBSTITUTE(TRIM(ROUND(IFERROR(CriteriTecnici!$K550*1,IFERROR(NUMBERVALUE(CriteriTecnici!$K550,".",","),IFERROR(NUMBERVALUE(CriteriTecnici!$K550,",","."),0))),4)&amp;""),",",".")&amp;", "&amp;CHAR(34)&amp;"denominator"&amp;CHAR(34)&amp;": "&amp;SUBSTITUTE(TRIM(ROUND(IFERROR(CriteriTecnici!$L550*1,IFERROR(NUMBERVALUE(CriteriTecnici!$L550,".",","),IFERROR(NUMBERVALUE(CriteriTecnici!$L550,",","."),0))),4)&amp;""),",",".")&amp;", "&amp;CHAR(34)&amp;"flag"&amp;CHAR(34)&amp;": "&amp;SUBSTITUTE(TRIM(ROUND(IFERROR(CriteriTecnici!$M550*1,IFERROR(NUMBERVALUE(CriteriTecnici!$M550,".",","),IFERROR(NUMBERVALUE(CriteriTecnici!$M550,",","."),0))),4)&amp;""),",",".")&amp;", "&amp;CHAR(34)&amp;"rawScore"&amp;CHAR(34)&amp;": "&amp;SUBSTITUTE(TRIM(ROUND(IFERROR(CriteriTecnici!$O550*1,IFERROR(NUMBERVALUE(CriteriTecnici!$O550,".",","),IFERROR(NUMBERVALUE(CriteriTecnici!$O550,",","."),0))),4)&amp;""),",",".")&amp;CHAR(125)&amp;IF(TRUE,",",""))</f>
        <v/>
      </c>
    </row>
    <row r="652">
      <c r="A652" s="82">
        <f>IF(CriteriTecnici!$A551="","","    "&amp;CHAR(123)&amp;CHAR(34)&amp;"bidderId"&amp;CHAR(34)&amp;": "&amp;CHAR(34)&amp;SUBSTITUTE(CriteriTecnici!$A551,CHAR(34),"'")&amp;CHAR(34)&amp;", "&amp;CHAR(34)&amp;"lotId"&amp;CHAR(34)&amp;": "&amp;CHAR(34)&amp;SUBSTITUTE(CriteriTecnici!$C551,CHAR(34),"'")&amp;CHAR(34)&amp;", "&amp;CHAR(34)&amp;"criterionId"&amp;CHAR(34)&amp;": "&amp;CHAR(34)&amp;SUBSTITUTE(CriteriTecnici!$D551,CHAR(34),"'")&amp;CHAR(34)&amp;", "&amp;CHAR(34)&amp;"kind"&amp;CHAR(34)&amp;": "&amp;CHAR(34)&amp;SUBSTITUTE(CriteriTecnici!$F551,CHAR(34),"'")&amp;CHAR(34)&amp;", "&amp;CHAR(34)&amp;"value"&amp;CHAR(34)&amp;": "&amp;SUBSTITUTE(TRIM(ROUND(IFERROR(CriteriTecnici!$N551*1,IFERROR(NUMBERVALUE(CriteriTecnici!$N551,".",","),IFERROR(NUMBERVALUE(CriteriTecnici!$N551,",","."),0))),4)&amp;""),",",".")&amp;", "&amp;CHAR(34)&amp;"numerator"&amp;CHAR(34)&amp;": "&amp;SUBSTITUTE(TRIM(ROUND(IFERROR(CriteriTecnici!$K551*1,IFERROR(NUMBERVALUE(CriteriTecnici!$K551,".",","),IFERROR(NUMBERVALUE(CriteriTecnici!$K551,",","."),0))),4)&amp;""),",",".")&amp;", "&amp;CHAR(34)&amp;"denominator"&amp;CHAR(34)&amp;": "&amp;SUBSTITUTE(TRIM(ROUND(IFERROR(CriteriTecnici!$L551*1,IFERROR(NUMBERVALUE(CriteriTecnici!$L551,".",","),IFERROR(NUMBERVALUE(CriteriTecnici!$L551,",","."),0))),4)&amp;""),",",".")&amp;", "&amp;CHAR(34)&amp;"flag"&amp;CHAR(34)&amp;": "&amp;SUBSTITUTE(TRIM(ROUND(IFERROR(CriteriTecnici!$M551*1,IFERROR(NUMBERVALUE(CriteriTecnici!$M551,".",","),IFERROR(NUMBERVALUE(CriteriTecnici!$M551,",","."),0))),4)&amp;""),",",".")&amp;", "&amp;CHAR(34)&amp;"rawScore"&amp;CHAR(34)&amp;": "&amp;SUBSTITUTE(TRIM(ROUND(IFERROR(CriteriTecnici!$O551*1,IFERROR(NUMBERVALUE(CriteriTecnici!$O551,".",","),IFERROR(NUMBERVALUE(CriteriTecnici!$O551,",","."),0))),4)&amp;""),",",".")&amp;CHAR(125)&amp;IF(TRUE,",",""))</f>
        <v/>
      </c>
    </row>
    <row r="653">
      <c r="A653" s="82">
        <f>IF(CriteriTecnici!$A552="","","    "&amp;CHAR(123)&amp;CHAR(34)&amp;"bidderId"&amp;CHAR(34)&amp;": "&amp;CHAR(34)&amp;SUBSTITUTE(CriteriTecnici!$A552,CHAR(34),"'")&amp;CHAR(34)&amp;", "&amp;CHAR(34)&amp;"lotId"&amp;CHAR(34)&amp;": "&amp;CHAR(34)&amp;SUBSTITUTE(CriteriTecnici!$C552,CHAR(34),"'")&amp;CHAR(34)&amp;", "&amp;CHAR(34)&amp;"criterionId"&amp;CHAR(34)&amp;": "&amp;CHAR(34)&amp;SUBSTITUTE(CriteriTecnici!$D552,CHAR(34),"'")&amp;CHAR(34)&amp;", "&amp;CHAR(34)&amp;"kind"&amp;CHAR(34)&amp;": "&amp;CHAR(34)&amp;SUBSTITUTE(CriteriTecnici!$F552,CHAR(34),"'")&amp;CHAR(34)&amp;", "&amp;CHAR(34)&amp;"value"&amp;CHAR(34)&amp;": "&amp;SUBSTITUTE(TRIM(ROUND(IFERROR(CriteriTecnici!$N552*1,IFERROR(NUMBERVALUE(CriteriTecnici!$N552,".",","),IFERROR(NUMBERVALUE(CriteriTecnici!$N552,",","."),0))),4)&amp;""),",",".")&amp;", "&amp;CHAR(34)&amp;"numerator"&amp;CHAR(34)&amp;": "&amp;SUBSTITUTE(TRIM(ROUND(IFERROR(CriteriTecnici!$K552*1,IFERROR(NUMBERVALUE(CriteriTecnici!$K552,".",","),IFERROR(NUMBERVALUE(CriteriTecnici!$K552,",","."),0))),4)&amp;""),",",".")&amp;", "&amp;CHAR(34)&amp;"denominator"&amp;CHAR(34)&amp;": "&amp;SUBSTITUTE(TRIM(ROUND(IFERROR(CriteriTecnici!$L552*1,IFERROR(NUMBERVALUE(CriteriTecnici!$L552,".",","),IFERROR(NUMBERVALUE(CriteriTecnici!$L552,",","."),0))),4)&amp;""),",",".")&amp;", "&amp;CHAR(34)&amp;"flag"&amp;CHAR(34)&amp;": "&amp;SUBSTITUTE(TRIM(ROUND(IFERROR(CriteriTecnici!$M552*1,IFERROR(NUMBERVALUE(CriteriTecnici!$M552,".",","),IFERROR(NUMBERVALUE(CriteriTecnici!$M552,",","."),0))),4)&amp;""),",",".")&amp;", "&amp;CHAR(34)&amp;"rawScore"&amp;CHAR(34)&amp;": "&amp;SUBSTITUTE(TRIM(ROUND(IFERROR(CriteriTecnici!$O552*1,IFERROR(NUMBERVALUE(CriteriTecnici!$O552,".",","),IFERROR(NUMBERVALUE(CriteriTecnici!$O552,",","."),0))),4)&amp;""),",",".")&amp;CHAR(125)&amp;IF(TRUE,",",""))</f>
        <v/>
      </c>
    </row>
    <row r="654">
      <c r="A654" s="82">
        <f>IF(CriteriTecnici!$A553="","","    "&amp;CHAR(123)&amp;CHAR(34)&amp;"bidderId"&amp;CHAR(34)&amp;": "&amp;CHAR(34)&amp;SUBSTITUTE(CriteriTecnici!$A553,CHAR(34),"'")&amp;CHAR(34)&amp;", "&amp;CHAR(34)&amp;"lotId"&amp;CHAR(34)&amp;": "&amp;CHAR(34)&amp;SUBSTITUTE(CriteriTecnici!$C553,CHAR(34),"'")&amp;CHAR(34)&amp;", "&amp;CHAR(34)&amp;"criterionId"&amp;CHAR(34)&amp;": "&amp;CHAR(34)&amp;SUBSTITUTE(CriteriTecnici!$D553,CHAR(34),"'")&amp;CHAR(34)&amp;", "&amp;CHAR(34)&amp;"kind"&amp;CHAR(34)&amp;": "&amp;CHAR(34)&amp;SUBSTITUTE(CriteriTecnici!$F553,CHAR(34),"'")&amp;CHAR(34)&amp;", "&amp;CHAR(34)&amp;"value"&amp;CHAR(34)&amp;": "&amp;SUBSTITUTE(TRIM(ROUND(IFERROR(CriteriTecnici!$N553*1,IFERROR(NUMBERVALUE(CriteriTecnici!$N553,".",","),IFERROR(NUMBERVALUE(CriteriTecnici!$N553,",","."),0))),4)&amp;""),",",".")&amp;", "&amp;CHAR(34)&amp;"numerator"&amp;CHAR(34)&amp;": "&amp;SUBSTITUTE(TRIM(ROUND(IFERROR(CriteriTecnici!$K553*1,IFERROR(NUMBERVALUE(CriteriTecnici!$K553,".",","),IFERROR(NUMBERVALUE(CriteriTecnici!$K553,",","."),0))),4)&amp;""),",",".")&amp;", "&amp;CHAR(34)&amp;"denominator"&amp;CHAR(34)&amp;": "&amp;SUBSTITUTE(TRIM(ROUND(IFERROR(CriteriTecnici!$L553*1,IFERROR(NUMBERVALUE(CriteriTecnici!$L553,".",","),IFERROR(NUMBERVALUE(CriteriTecnici!$L553,",","."),0))),4)&amp;""),",",".")&amp;", "&amp;CHAR(34)&amp;"flag"&amp;CHAR(34)&amp;": "&amp;SUBSTITUTE(TRIM(ROUND(IFERROR(CriteriTecnici!$M553*1,IFERROR(NUMBERVALUE(CriteriTecnici!$M553,".",","),IFERROR(NUMBERVALUE(CriteriTecnici!$M553,",","."),0))),4)&amp;""),",",".")&amp;", "&amp;CHAR(34)&amp;"rawScore"&amp;CHAR(34)&amp;": "&amp;SUBSTITUTE(TRIM(ROUND(IFERROR(CriteriTecnici!$O553*1,IFERROR(NUMBERVALUE(CriteriTecnici!$O553,".",","),IFERROR(NUMBERVALUE(CriteriTecnici!$O553,",","."),0))),4)&amp;""),",",".")&amp;CHAR(125)&amp;IF(TRUE,",",""))</f>
        <v/>
      </c>
    </row>
    <row r="655">
      <c r="A655" s="82">
        <f>IF(CriteriTecnici!$A554="","","    "&amp;CHAR(123)&amp;CHAR(34)&amp;"bidderId"&amp;CHAR(34)&amp;": "&amp;CHAR(34)&amp;SUBSTITUTE(CriteriTecnici!$A554,CHAR(34),"'")&amp;CHAR(34)&amp;", "&amp;CHAR(34)&amp;"lotId"&amp;CHAR(34)&amp;": "&amp;CHAR(34)&amp;SUBSTITUTE(CriteriTecnici!$C554,CHAR(34),"'")&amp;CHAR(34)&amp;", "&amp;CHAR(34)&amp;"criterionId"&amp;CHAR(34)&amp;": "&amp;CHAR(34)&amp;SUBSTITUTE(CriteriTecnici!$D554,CHAR(34),"'")&amp;CHAR(34)&amp;", "&amp;CHAR(34)&amp;"kind"&amp;CHAR(34)&amp;": "&amp;CHAR(34)&amp;SUBSTITUTE(CriteriTecnici!$F554,CHAR(34),"'")&amp;CHAR(34)&amp;", "&amp;CHAR(34)&amp;"value"&amp;CHAR(34)&amp;": "&amp;SUBSTITUTE(TRIM(ROUND(IFERROR(CriteriTecnici!$N554*1,IFERROR(NUMBERVALUE(CriteriTecnici!$N554,".",","),IFERROR(NUMBERVALUE(CriteriTecnici!$N554,",","."),0))),4)&amp;""),",",".")&amp;", "&amp;CHAR(34)&amp;"numerator"&amp;CHAR(34)&amp;": "&amp;SUBSTITUTE(TRIM(ROUND(IFERROR(CriteriTecnici!$K554*1,IFERROR(NUMBERVALUE(CriteriTecnici!$K554,".",","),IFERROR(NUMBERVALUE(CriteriTecnici!$K554,",","."),0))),4)&amp;""),",",".")&amp;", "&amp;CHAR(34)&amp;"denominator"&amp;CHAR(34)&amp;": "&amp;SUBSTITUTE(TRIM(ROUND(IFERROR(CriteriTecnici!$L554*1,IFERROR(NUMBERVALUE(CriteriTecnici!$L554,".",","),IFERROR(NUMBERVALUE(CriteriTecnici!$L554,",","."),0))),4)&amp;""),",",".")&amp;", "&amp;CHAR(34)&amp;"flag"&amp;CHAR(34)&amp;": "&amp;SUBSTITUTE(TRIM(ROUND(IFERROR(CriteriTecnici!$M554*1,IFERROR(NUMBERVALUE(CriteriTecnici!$M554,".",","),IFERROR(NUMBERVALUE(CriteriTecnici!$M554,",","."),0))),4)&amp;""),",",".")&amp;", "&amp;CHAR(34)&amp;"rawScore"&amp;CHAR(34)&amp;": "&amp;SUBSTITUTE(TRIM(ROUND(IFERROR(CriteriTecnici!$O554*1,IFERROR(NUMBERVALUE(CriteriTecnici!$O554,".",","),IFERROR(NUMBERVALUE(CriteriTecnici!$O554,",","."),0))),4)&amp;""),",",".")&amp;CHAR(125)&amp;IF(TRUE,",",""))</f>
        <v/>
      </c>
    </row>
    <row r="656">
      <c r="A656" s="82">
        <f>IF(CriteriTecnici!$A555="","","    "&amp;CHAR(123)&amp;CHAR(34)&amp;"bidderId"&amp;CHAR(34)&amp;": "&amp;CHAR(34)&amp;SUBSTITUTE(CriteriTecnici!$A555,CHAR(34),"'")&amp;CHAR(34)&amp;", "&amp;CHAR(34)&amp;"lotId"&amp;CHAR(34)&amp;": "&amp;CHAR(34)&amp;SUBSTITUTE(CriteriTecnici!$C555,CHAR(34),"'")&amp;CHAR(34)&amp;", "&amp;CHAR(34)&amp;"criterionId"&amp;CHAR(34)&amp;": "&amp;CHAR(34)&amp;SUBSTITUTE(CriteriTecnici!$D555,CHAR(34),"'")&amp;CHAR(34)&amp;", "&amp;CHAR(34)&amp;"kind"&amp;CHAR(34)&amp;": "&amp;CHAR(34)&amp;SUBSTITUTE(CriteriTecnici!$F555,CHAR(34),"'")&amp;CHAR(34)&amp;", "&amp;CHAR(34)&amp;"value"&amp;CHAR(34)&amp;": "&amp;SUBSTITUTE(TRIM(ROUND(IFERROR(CriteriTecnici!$N555*1,IFERROR(NUMBERVALUE(CriteriTecnici!$N555,".",","),IFERROR(NUMBERVALUE(CriteriTecnici!$N555,",","."),0))),4)&amp;""),",",".")&amp;", "&amp;CHAR(34)&amp;"numerator"&amp;CHAR(34)&amp;": "&amp;SUBSTITUTE(TRIM(ROUND(IFERROR(CriteriTecnici!$K555*1,IFERROR(NUMBERVALUE(CriteriTecnici!$K555,".",","),IFERROR(NUMBERVALUE(CriteriTecnici!$K555,",","."),0))),4)&amp;""),",",".")&amp;", "&amp;CHAR(34)&amp;"denominator"&amp;CHAR(34)&amp;": "&amp;SUBSTITUTE(TRIM(ROUND(IFERROR(CriteriTecnici!$L555*1,IFERROR(NUMBERVALUE(CriteriTecnici!$L555,".",","),IFERROR(NUMBERVALUE(CriteriTecnici!$L555,",","."),0))),4)&amp;""),",",".")&amp;", "&amp;CHAR(34)&amp;"flag"&amp;CHAR(34)&amp;": "&amp;SUBSTITUTE(TRIM(ROUND(IFERROR(CriteriTecnici!$M555*1,IFERROR(NUMBERVALUE(CriteriTecnici!$M555,".",","),IFERROR(NUMBERVALUE(CriteriTecnici!$M555,",","."),0))),4)&amp;""),",",".")&amp;", "&amp;CHAR(34)&amp;"rawScore"&amp;CHAR(34)&amp;": "&amp;SUBSTITUTE(TRIM(ROUND(IFERROR(CriteriTecnici!$O555*1,IFERROR(NUMBERVALUE(CriteriTecnici!$O555,".",","),IFERROR(NUMBERVALUE(CriteriTecnici!$O555,",","."),0))),4)&amp;""),",",".")&amp;CHAR(125)&amp;IF(TRUE,",",""))</f>
        <v/>
      </c>
    </row>
    <row r="657">
      <c r="A657" s="82">
        <f>IF(CriteriTecnici!$A556="","","    "&amp;CHAR(123)&amp;CHAR(34)&amp;"bidderId"&amp;CHAR(34)&amp;": "&amp;CHAR(34)&amp;SUBSTITUTE(CriteriTecnici!$A556,CHAR(34),"'")&amp;CHAR(34)&amp;", "&amp;CHAR(34)&amp;"lotId"&amp;CHAR(34)&amp;": "&amp;CHAR(34)&amp;SUBSTITUTE(CriteriTecnici!$C556,CHAR(34),"'")&amp;CHAR(34)&amp;", "&amp;CHAR(34)&amp;"criterionId"&amp;CHAR(34)&amp;": "&amp;CHAR(34)&amp;SUBSTITUTE(CriteriTecnici!$D556,CHAR(34),"'")&amp;CHAR(34)&amp;", "&amp;CHAR(34)&amp;"kind"&amp;CHAR(34)&amp;": "&amp;CHAR(34)&amp;SUBSTITUTE(CriteriTecnici!$F556,CHAR(34),"'")&amp;CHAR(34)&amp;", "&amp;CHAR(34)&amp;"value"&amp;CHAR(34)&amp;": "&amp;SUBSTITUTE(TRIM(ROUND(IFERROR(CriteriTecnici!$N556*1,IFERROR(NUMBERVALUE(CriteriTecnici!$N556,".",","),IFERROR(NUMBERVALUE(CriteriTecnici!$N556,",","."),0))),4)&amp;""),",",".")&amp;", "&amp;CHAR(34)&amp;"numerator"&amp;CHAR(34)&amp;": "&amp;SUBSTITUTE(TRIM(ROUND(IFERROR(CriteriTecnici!$K556*1,IFERROR(NUMBERVALUE(CriteriTecnici!$K556,".",","),IFERROR(NUMBERVALUE(CriteriTecnici!$K556,",","."),0))),4)&amp;""),",",".")&amp;", "&amp;CHAR(34)&amp;"denominator"&amp;CHAR(34)&amp;": "&amp;SUBSTITUTE(TRIM(ROUND(IFERROR(CriteriTecnici!$L556*1,IFERROR(NUMBERVALUE(CriteriTecnici!$L556,".",","),IFERROR(NUMBERVALUE(CriteriTecnici!$L556,",","."),0))),4)&amp;""),",",".")&amp;", "&amp;CHAR(34)&amp;"flag"&amp;CHAR(34)&amp;": "&amp;SUBSTITUTE(TRIM(ROUND(IFERROR(CriteriTecnici!$M556*1,IFERROR(NUMBERVALUE(CriteriTecnici!$M556,".",","),IFERROR(NUMBERVALUE(CriteriTecnici!$M556,",","."),0))),4)&amp;""),",",".")&amp;", "&amp;CHAR(34)&amp;"rawScore"&amp;CHAR(34)&amp;": "&amp;SUBSTITUTE(TRIM(ROUND(IFERROR(CriteriTecnici!$O556*1,IFERROR(NUMBERVALUE(CriteriTecnici!$O556,".",","),IFERROR(NUMBERVALUE(CriteriTecnici!$O556,",","."),0))),4)&amp;""),",",".")&amp;CHAR(125)&amp;IF(TRUE,",",""))</f>
        <v/>
      </c>
    </row>
    <row r="658">
      <c r="A658" s="82">
        <f>IF(CriteriTecnici!$A557="","","    "&amp;CHAR(123)&amp;CHAR(34)&amp;"bidderId"&amp;CHAR(34)&amp;": "&amp;CHAR(34)&amp;SUBSTITUTE(CriteriTecnici!$A557,CHAR(34),"'")&amp;CHAR(34)&amp;", "&amp;CHAR(34)&amp;"lotId"&amp;CHAR(34)&amp;": "&amp;CHAR(34)&amp;SUBSTITUTE(CriteriTecnici!$C557,CHAR(34),"'")&amp;CHAR(34)&amp;", "&amp;CHAR(34)&amp;"criterionId"&amp;CHAR(34)&amp;": "&amp;CHAR(34)&amp;SUBSTITUTE(CriteriTecnici!$D557,CHAR(34),"'")&amp;CHAR(34)&amp;", "&amp;CHAR(34)&amp;"kind"&amp;CHAR(34)&amp;": "&amp;CHAR(34)&amp;SUBSTITUTE(CriteriTecnici!$F557,CHAR(34),"'")&amp;CHAR(34)&amp;", "&amp;CHAR(34)&amp;"value"&amp;CHAR(34)&amp;": "&amp;SUBSTITUTE(TRIM(ROUND(IFERROR(CriteriTecnici!$N557*1,IFERROR(NUMBERVALUE(CriteriTecnici!$N557,".",","),IFERROR(NUMBERVALUE(CriteriTecnici!$N557,",","."),0))),4)&amp;""),",",".")&amp;", "&amp;CHAR(34)&amp;"numerator"&amp;CHAR(34)&amp;": "&amp;SUBSTITUTE(TRIM(ROUND(IFERROR(CriteriTecnici!$K557*1,IFERROR(NUMBERVALUE(CriteriTecnici!$K557,".",","),IFERROR(NUMBERVALUE(CriteriTecnici!$K557,",","."),0))),4)&amp;""),",",".")&amp;", "&amp;CHAR(34)&amp;"denominator"&amp;CHAR(34)&amp;": "&amp;SUBSTITUTE(TRIM(ROUND(IFERROR(CriteriTecnici!$L557*1,IFERROR(NUMBERVALUE(CriteriTecnici!$L557,".",","),IFERROR(NUMBERVALUE(CriteriTecnici!$L557,",","."),0))),4)&amp;""),",",".")&amp;", "&amp;CHAR(34)&amp;"flag"&amp;CHAR(34)&amp;": "&amp;SUBSTITUTE(TRIM(ROUND(IFERROR(CriteriTecnici!$M557*1,IFERROR(NUMBERVALUE(CriteriTecnici!$M557,".",","),IFERROR(NUMBERVALUE(CriteriTecnici!$M557,",","."),0))),4)&amp;""),",",".")&amp;", "&amp;CHAR(34)&amp;"rawScore"&amp;CHAR(34)&amp;": "&amp;SUBSTITUTE(TRIM(ROUND(IFERROR(CriteriTecnici!$O557*1,IFERROR(NUMBERVALUE(CriteriTecnici!$O557,".",","),IFERROR(NUMBERVALUE(CriteriTecnici!$O557,",","."),0))),4)&amp;""),",",".")&amp;CHAR(125)&amp;IF(TRUE,",",""))</f>
        <v/>
      </c>
    </row>
    <row r="659">
      <c r="A659" s="82">
        <f>IF(CriteriTecnici!$A558="","","    "&amp;CHAR(123)&amp;CHAR(34)&amp;"bidderId"&amp;CHAR(34)&amp;": "&amp;CHAR(34)&amp;SUBSTITUTE(CriteriTecnici!$A558,CHAR(34),"'")&amp;CHAR(34)&amp;", "&amp;CHAR(34)&amp;"lotId"&amp;CHAR(34)&amp;": "&amp;CHAR(34)&amp;SUBSTITUTE(CriteriTecnici!$C558,CHAR(34),"'")&amp;CHAR(34)&amp;", "&amp;CHAR(34)&amp;"criterionId"&amp;CHAR(34)&amp;": "&amp;CHAR(34)&amp;SUBSTITUTE(CriteriTecnici!$D558,CHAR(34),"'")&amp;CHAR(34)&amp;", "&amp;CHAR(34)&amp;"kind"&amp;CHAR(34)&amp;": "&amp;CHAR(34)&amp;SUBSTITUTE(CriteriTecnici!$F558,CHAR(34),"'")&amp;CHAR(34)&amp;", "&amp;CHAR(34)&amp;"value"&amp;CHAR(34)&amp;": "&amp;SUBSTITUTE(TRIM(ROUND(IFERROR(CriteriTecnici!$N558*1,IFERROR(NUMBERVALUE(CriteriTecnici!$N558,".",","),IFERROR(NUMBERVALUE(CriteriTecnici!$N558,",","."),0))),4)&amp;""),",",".")&amp;", "&amp;CHAR(34)&amp;"numerator"&amp;CHAR(34)&amp;": "&amp;SUBSTITUTE(TRIM(ROUND(IFERROR(CriteriTecnici!$K558*1,IFERROR(NUMBERVALUE(CriteriTecnici!$K558,".",","),IFERROR(NUMBERVALUE(CriteriTecnici!$K558,",","."),0))),4)&amp;""),",",".")&amp;", "&amp;CHAR(34)&amp;"denominator"&amp;CHAR(34)&amp;": "&amp;SUBSTITUTE(TRIM(ROUND(IFERROR(CriteriTecnici!$L558*1,IFERROR(NUMBERVALUE(CriteriTecnici!$L558,".",","),IFERROR(NUMBERVALUE(CriteriTecnici!$L558,",","."),0))),4)&amp;""),",",".")&amp;", "&amp;CHAR(34)&amp;"flag"&amp;CHAR(34)&amp;": "&amp;SUBSTITUTE(TRIM(ROUND(IFERROR(CriteriTecnici!$M558*1,IFERROR(NUMBERVALUE(CriteriTecnici!$M558,".",","),IFERROR(NUMBERVALUE(CriteriTecnici!$M558,",","."),0))),4)&amp;""),",",".")&amp;", "&amp;CHAR(34)&amp;"rawScore"&amp;CHAR(34)&amp;": "&amp;SUBSTITUTE(TRIM(ROUND(IFERROR(CriteriTecnici!$O558*1,IFERROR(NUMBERVALUE(CriteriTecnici!$O558,".",","),IFERROR(NUMBERVALUE(CriteriTecnici!$O558,",","."),0))),4)&amp;""),",",".")&amp;CHAR(125)&amp;IF(TRUE,",",""))</f>
        <v/>
      </c>
    </row>
    <row r="660">
      <c r="A660" s="82">
        <f>IF(CriteriTecnici!$A559="","","    "&amp;CHAR(123)&amp;CHAR(34)&amp;"bidderId"&amp;CHAR(34)&amp;": "&amp;CHAR(34)&amp;SUBSTITUTE(CriteriTecnici!$A559,CHAR(34),"'")&amp;CHAR(34)&amp;", "&amp;CHAR(34)&amp;"lotId"&amp;CHAR(34)&amp;": "&amp;CHAR(34)&amp;SUBSTITUTE(CriteriTecnici!$C559,CHAR(34),"'")&amp;CHAR(34)&amp;", "&amp;CHAR(34)&amp;"criterionId"&amp;CHAR(34)&amp;": "&amp;CHAR(34)&amp;SUBSTITUTE(CriteriTecnici!$D559,CHAR(34),"'")&amp;CHAR(34)&amp;", "&amp;CHAR(34)&amp;"kind"&amp;CHAR(34)&amp;": "&amp;CHAR(34)&amp;SUBSTITUTE(CriteriTecnici!$F559,CHAR(34),"'")&amp;CHAR(34)&amp;", "&amp;CHAR(34)&amp;"value"&amp;CHAR(34)&amp;": "&amp;SUBSTITUTE(TRIM(ROUND(IFERROR(CriteriTecnici!$N559*1,IFERROR(NUMBERVALUE(CriteriTecnici!$N559,".",","),IFERROR(NUMBERVALUE(CriteriTecnici!$N559,",","."),0))),4)&amp;""),",",".")&amp;", "&amp;CHAR(34)&amp;"numerator"&amp;CHAR(34)&amp;": "&amp;SUBSTITUTE(TRIM(ROUND(IFERROR(CriteriTecnici!$K559*1,IFERROR(NUMBERVALUE(CriteriTecnici!$K559,".",","),IFERROR(NUMBERVALUE(CriteriTecnici!$K559,",","."),0))),4)&amp;""),",",".")&amp;", "&amp;CHAR(34)&amp;"denominator"&amp;CHAR(34)&amp;": "&amp;SUBSTITUTE(TRIM(ROUND(IFERROR(CriteriTecnici!$L559*1,IFERROR(NUMBERVALUE(CriteriTecnici!$L559,".",","),IFERROR(NUMBERVALUE(CriteriTecnici!$L559,",","."),0))),4)&amp;""),",",".")&amp;", "&amp;CHAR(34)&amp;"flag"&amp;CHAR(34)&amp;": "&amp;SUBSTITUTE(TRIM(ROUND(IFERROR(CriteriTecnici!$M559*1,IFERROR(NUMBERVALUE(CriteriTecnici!$M559,".",","),IFERROR(NUMBERVALUE(CriteriTecnici!$M559,",","."),0))),4)&amp;""),",",".")&amp;", "&amp;CHAR(34)&amp;"rawScore"&amp;CHAR(34)&amp;": "&amp;SUBSTITUTE(TRIM(ROUND(IFERROR(CriteriTecnici!$O559*1,IFERROR(NUMBERVALUE(CriteriTecnici!$O559,".",","),IFERROR(NUMBERVALUE(CriteriTecnici!$O559,",","."),0))),4)&amp;""),",",".")&amp;CHAR(125)&amp;IF(TRUE,",",""))</f>
        <v/>
      </c>
    </row>
    <row r="661">
      <c r="A661" s="82">
        <f>IF(CriteriTecnici!$A560="","","    "&amp;CHAR(123)&amp;CHAR(34)&amp;"bidderId"&amp;CHAR(34)&amp;": "&amp;CHAR(34)&amp;SUBSTITUTE(CriteriTecnici!$A560,CHAR(34),"'")&amp;CHAR(34)&amp;", "&amp;CHAR(34)&amp;"lotId"&amp;CHAR(34)&amp;": "&amp;CHAR(34)&amp;SUBSTITUTE(CriteriTecnici!$C560,CHAR(34),"'")&amp;CHAR(34)&amp;", "&amp;CHAR(34)&amp;"criterionId"&amp;CHAR(34)&amp;": "&amp;CHAR(34)&amp;SUBSTITUTE(CriteriTecnici!$D560,CHAR(34),"'")&amp;CHAR(34)&amp;", "&amp;CHAR(34)&amp;"kind"&amp;CHAR(34)&amp;": "&amp;CHAR(34)&amp;SUBSTITUTE(CriteriTecnici!$F560,CHAR(34),"'")&amp;CHAR(34)&amp;", "&amp;CHAR(34)&amp;"value"&amp;CHAR(34)&amp;": "&amp;SUBSTITUTE(TRIM(ROUND(IFERROR(CriteriTecnici!$N560*1,IFERROR(NUMBERVALUE(CriteriTecnici!$N560,".",","),IFERROR(NUMBERVALUE(CriteriTecnici!$N560,",","."),0))),4)&amp;""),",",".")&amp;", "&amp;CHAR(34)&amp;"numerator"&amp;CHAR(34)&amp;": "&amp;SUBSTITUTE(TRIM(ROUND(IFERROR(CriteriTecnici!$K560*1,IFERROR(NUMBERVALUE(CriteriTecnici!$K560,".",","),IFERROR(NUMBERVALUE(CriteriTecnici!$K560,",","."),0))),4)&amp;""),",",".")&amp;", "&amp;CHAR(34)&amp;"denominator"&amp;CHAR(34)&amp;": "&amp;SUBSTITUTE(TRIM(ROUND(IFERROR(CriteriTecnici!$L560*1,IFERROR(NUMBERVALUE(CriteriTecnici!$L560,".",","),IFERROR(NUMBERVALUE(CriteriTecnici!$L560,",","."),0))),4)&amp;""),",",".")&amp;", "&amp;CHAR(34)&amp;"flag"&amp;CHAR(34)&amp;": "&amp;SUBSTITUTE(TRIM(ROUND(IFERROR(CriteriTecnici!$M560*1,IFERROR(NUMBERVALUE(CriteriTecnici!$M560,".",","),IFERROR(NUMBERVALUE(CriteriTecnici!$M560,",","."),0))),4)&amp;""),",",".")&amp;", "&amp;CHAR(34)&amp;"rawScore"&amp;CHAR(34)&amp;": "&amp;SUBSTITUTE(TRIM(ROUND(IFERROR(CriteriTecnici!$O560*1,IFERROR(NUMBERVALUE(CriteriTecnici!$O560,".",","),IFERROR(NUMBERVALUE(CriteriTecnici!$O560,",","."),0))),4)&amp;""),",",".")&amp;CHAR(125)&amp;IF(TRUE,",",""))</f>
        <v/>
      </c>
    </row>
    <row r="662">
      <c r="A662" s="82">
        <f>IF(CriteriTecnici!$A561="","","    "&amp;CHAR(123)&amp;CHAR(34)&amp;"bidderId"&amp;CHAR(34)&amp;": "&amp;CHAR(34)&amp;SUBSTITUTE(CriteriTecnici!$A561,CHAR(34),"'")&amp;CHAR(34)&amp;", "&amp;CHAR(34)&amp;"lotId"&amp;CHAR(34)&amp;": "&amp;CHAR(34)&amp;SUBSTITUTE(CriteriTecnici!$C561,CHAR(34),"'")&amp;CHAR(34)&amp;", "&amp;CHAR(34)&amp;"criterionId"&amp;CHAR(34)&amp;": "&amp;CHAR(34)&amp;SUBSTITUTE(CriteriTecnici!$D561,CHAR(34),"'")&amp;CHAR(34)&amp;", "&amp;CHAR(34)&amp;"kind"&amp;CHAR(34)&amp;": "&amp;CHAR(34)&amp;SUBSTITUTE(CriteriTecnici!$F561,CHAR(34),"'")&amp;CHAR(34)&amp;", "&amp;CHAR(34)&amp;"value"&amp;CHAR(34)&amp;": "&amp;SUBSTITUTE(TRIM(ROUND(IFERROR(CriteriTecnici!$N561*1,IFERROR(NUMBERVALUE(CriteriTecnici!$N561,".",","),IFERROR(NUMBERVALUE(CriteriTecnici!$N561,",","."),0))),4)&amp;""),",",".")&amp;", "&amp;CHAR(34)&amp;"numerator"&amp;CHAR(34)&amp;": "&amp;SUBSTITUTE(TRIM(ROUND(IFERROR(CriteriTecnici!$K561*1,IFERROR(NUMBERVALUE(CriteriTecnici!$K561,".",","),IFERROR(NUMBERVALUE(CriteriTecnici!$K561,",","."),0))),4)&amp;""),",",".")&amp;", "&amp;CHAR(34)&amp;"denominator"&amp;CHAR(34)&amp;": "&amp;SUBSTITUTE(TRIM(ROUND(IFERROR(CriteriTecnici!$L561*1,IFERROR(NUMBERVALUE(CriteriTecnici!$L561,".",","),IFERROR(NUMBERVALUE(CriteriTecnici!$L561,",","."),0))),4)&amp;""),",",".")&amp;", "&amp;CHAR(34)&amp;"flag"&amp;CHAR(34)&amp;": "&amp;SUBSTITUTE(TRIM(ROUND(IFERROR(CriteriTecnici!$M561*1,IFERROR(NUMBERVALUE(CriteriTecnici!$M561,".",","),IFERROR(NUMBERVALUE(CriteriTecnici!$M561,",","."),0))),4)&amp;""),",",".")&amp;", "&amp;CHAR(34)&amp;"rawScore"&amp;CHAR(34)&amp;": "&amp;SUBSTITUTE(TRIM(ROUND(IFERROR(CriteriTecnici!$O561*1,IFERROR(NUMBERVALUE(CriteriTecnici!$O561,".",","),IFERROR(NUMBERVALUE(CriteriTecnici!$O561,",","."),0))),4)&amp;""),",",".")&amp;CHAR(125)&amp;IF(TRUE,",",""))</f>
        <v/>
      </c>
    </row>
    <row r="663">
      <c r="A663" s="82">
        <f>IF(CriteriTecnici!$A562="","","    "&amp;CHAR(123)&amp;CHAR(34)&amp;"bidderId"&amp;CHAR(34)&amp;": "&amp;CHAR(34)&amp;SUBSTITUTE(CriteriTecnici!$A562,CHAR(34),"'")&amp;CHAR(34)&amp;", "&amp;CHAR(34)&amp;"lotId"&amp;CHAR(34)&amp;": "&amp;CHAR(34)&amp;SUBSTITUTE(CriteriTecnici!$C562,CHAR(34),"'")&amp;CHAR(34)&amp;", "&amp;CHAR(34)&amp;"criterionId"&amp;CHAR(34)&amp;": "&amp;CHAR(34)&amp;SUBSTITUTE(CriteriTecnici!$D562,CHAR(34),"'")&amp;CHAR(34)&amp;", "&amp;CHAR(34)&amp;"kind"&amp;CHAR(34)&amp;": "&amp;CHAR(34)&amp;SUBSTITUTE(CriteriTecnici!$F562,CHAR(34),"'")&amp;CHAR(34)&amp;", "&amp;CHAR(34)&amp;"value"&amp;CHAR(34)&amp;": "&amp;SUBSTITUTE(TRIM(ROUND(IFERROR(CriteriTecnici!$N562*1,IFERROR(NUMBERVALUE(CriteriTecnici!$N562,".",","),IFERROR(NUMBERVALUE(CriteriTecnici!$N562,",","."),0))),4)&amp;""),",",".")&amp;", "&amp;CHAR(34)&amp;"numerator"&amp;CHAR(34)&amp;": "&amp;SUBSTITUTE(TRIM(ROUND(IFERROR(CriteriTecnici!$K562*1,IFERROR(NUMBERVALUE(CriteriTecnici!$K562,".",","),IFERROR(NUMBERVALUE(CriteriTecnici!$K562,",","."),0))),4)&amp;""),",",".")&amp;", "&amp;CHAR(34)&amp;"denominator"&amp;CHAR(34)&amp;": "&amp;SUBSTITUTE(TRIM(ROUND(IFERROR(CriteriTecnici!$L562*1,IFERROR(NUMBERVALUE(CriteriTecnici!$L562,".",","),IFERROR(NUMBERVALUE(CriteriTecnici!$L562,",","."),0))),4)&amp;""),",",".")&amp;", "&amp;CHAR(34)&amp;"flag"&amp;CHAR(34)&amp;": "&amp;SUBSTITUTE(TRIM(ROUND(IFERROR(CriteriTecnici!$M562*1,IFERROR(NUMBERVALUE(CriteriTecnici!$M562,".",","),IFERROR(NUMBERVALUE(CriteriTecnici!$M562,",","."),0))),4)&amp;""),",",".")&amp;", "&amp;CHAR(34)&amp;"rawScore"&amp;CHAR(34)&amp;": "&amp;SUBSTITUTE(TRIM(ROUND(IFERROR(CriteriTecnici!$O562*1,IFERROR(NUMBERVALUE(CriteriTecnici!$O562,".",","),IFERROR(NUMBERVALUE(CriteriTecnici!$O562,",","."),0))),4)&amp;""),",",".")&amp;CHAR(125)&amp;IF(COUNTA(Offerte!$A20:$A$81)&gt;0,",",""))</f>
        <v/>
      </c>
    </row>
    <row r="664">
      <c r="A664" s="82">
        <f>IF(CriteriTecnici!$A563="","","    "&amp;CHAR(123)&amp;CHAR(34)&amp;"bidderId"&amp;CHAR(34)&amp;": "&amp;CHAR(34)&amp;SUBSTITUTE(CriteriTecnici!$A563,CHAR(34),"'")&amp;CHAR(34)&amp;", "&amp;CHAR(34)&amp;"lotId"&amp;CHAR(34)&amp;": "&amp;CHAR(34)&amp;SUBSTITUTE(CriteriTecnici!$C563,CHAR(34),"'")&amp;CHAR(34)&amp;", "&amp;CHAR(34)&amp;"criterionId"&amp;CHAR(34)&amp;": "&amp;CHAR(34)&amp;SUBSTITUTE(CriteriTecnici!$D563,CHAR(34),"'")&amp;CHAR(34)&amp;", "&amp;CHAR(34)&amp;"kind"&amp;CHAR(34)&amp;": "&amp;CHAR(34)&amp;SUBSTITUTE(CriteriTecnici!$F563,CHAR(34),"'")&amp;CHAR(34)&amp;", "&amp;CHAR(34)&amp;"value"&amp;CHAR(34)&amp;": "&amp;SUBSTITUTE(TRIM(ROUND(IFERROR(CriteriTecnici!$N563*1,IFERROR(NUMBERVALUE(CriteriTecnici!$N563,".",","),IFERROR(NUMBERVALUE(CriteriTecnici!$N563,",","."),0))),4)&amp;""),",",".")&amp;", "&amp;CHAR(34)&amp;"numerator"&amp;CHAR(34)&amp;": "&amp;SUBSTITUTE(TRIM(ROUND(IFERROR(CriteriTecnici!$K563*1,IFERROR(NUMBERVALUE(CriteriTecnici!$K563,".",","),IFERROR(NUMBERVALUE(CriteriTecnici!$K563,",","."),0))),4)&amp;""),",",".")&amp;", "&amp;CHAR(34)&amp;"denominator"&amp;CHAR(34)&amp;": "&amp;SUBSTITUTE(TRIM(ROUND(IFERROR(CriteriTecnici!$L563*1,IFERROR(NUMBERVALUE(CriteriTecnici!$L563,".",","),IFERROR(NUMBERVALUE(CriteriTecnici!$L563,",","."),0))),4)&amp;""),",",".")&amp;", "&amp;CHAR(34)&amp;"flag"&amp;CHAR(34)&amp;": "&amp;SUBSTITUTE(TRIM(ROUND(IFERROR(CriteriTecnici!$M563*1,IFERROR(NUMBERVALUE(CriteriTecnici!$M563,".",","),IFERROR(NUMBERVALUE(CriteriTecnici!$M563,",","."),0))),4)&amp;""),",",".")&amp;", "&amp;CHAR(34)&amp;"rawScore"&amp;CHAR(34)&amp;": "&amp;SUBSTITUTE(TRIM(ROUND(IFERROR(CriteriTecnici!$O563*1,IFERROR(NUMBERVALUE(CriteriTecnici!$O563,".",","),IFERROR(NUMBERVALUE(CriteriTecnici!$O563,",","."),0))),4)&amp;""),",",".")&amp;CHAR(125)&amp;IF(TRUE,",",""))</f>
        <v/>
      </c>
    </row>
    <row r="665">
      <c r="A665" s="82">
        <f>IF(CriteriTecnici!$A564="","","    "&amp;CHAR(123)&amp;CHAR(34)&amp;"bidderId"&amp;CHAR(34)&amp;": "&amp;CHAR(34)&amp;SUBSTITUTE(CriteriTecnici!$A564,CHAR(34),"'")&amp;CHAR(34)&amp;", "&amp;CHAR(34)&amp;"lotId"&amp;CHAR(34)&amp;": "&amp;CHAR(34)&amp;SUBSTITUTE(CriteriTecnici!$C564,CHAR(34),"'")&amp;CHAR(34)&amp;", "&amp;CHAR(34)&amp;"criterionId"&amp;CHAR(34)&amp;": "&amp;CHAR(34)&amp;SUBSTITUTE(CriteriTecnici!$D564,CHAR(34),"'")&amp;CHAR(34)&amp;", "&amp;CHAR(34)&amp;"kind"&amp;CHAR(34)&amp;": "&amp;CHAR(34)&amp;SUBSTITUTE(CriteriTecnici!$F564,CHAR(34),"'")&amp;CHAR(34)&amp;", "&amp;CHAR(34)&amp;"value"&amp;CHAR(34)&amp;": "&amp;SUBSTITUTE(TRIM(ROUND(IFERROR(CriteriTecnici!$N564*1,IFERROR(NUMBERVALUE(CriteriTecnici!$N564,".",","),IFERROR(NUMBERVALUE(CriteriTecnici!$N564,",","."),0))),4)&amp;""),",",".")&amp;", "&amp;CHAR(34)&amp;"numerator"&amp;CHAR(34)&amp;": "&amp;SUBSTITUTE(TRIM(ROUND(IFERROR(CriteriTecnici!$K564*1,IFERROR(NUMBERVALUE(CriteriTecnici!$K564,".",","),IFERROR(NUMBERVALUE(CriteriTecnici!$K564,",","."),0))),4)&amp;""),",",".")&amp;", "&amp;CHAR(34)&amp;"denominator"&amp;CHAR(34)&amp;": "&amp;SUBSTITUTE(TRIM(ROUND(IFERROR(CriteriTecnici!$L564*1,IFERROR(NUMBERVALUE(CriteriTecnici!$L564,".",","),IFERROR(NUMBERVALUE(CriteriTecnici!$L564,",","."),0))),4)&amp;""),",",".")&amp;", "&amp;CHAR(34)&amp;"flag"&amp;CHAR(34)&amp;": "&amp;SUBSTITUTE(TRIM(ROUND(IFERROR(CriteriTecnici!$M564*1,IFERROR(NUMBERVALUE(CriteriTecnici!$M564,".",","),IFERROR(NUMBERVALUE(CriteriTecnici!$M564,",","."),0))),4)&amp;""),",",".")&amp;", "&amp;CHAR(34)&amp;"rawScore"&amp;CHAR(34)&amp;": "&amp;SUBSTITUTE(TRIM(ROUND(IFERROR(CriteriTecnici!$O564*1,IFERROR(NUMBERVALUE(CriteriTecnici!$O564,".",","),IFERROR(NUMBERVALUE(CriteriTecnici!$O564,",","."),0))),4)&amp;""),",",".")&amp;CHAR(125)&amp;IF(TRUE,",",""))</f>
        <v/>
      </c>
    </row>
    <row r="666">
      <c r="A666" s="82">
        <f>IF(CriteriTecnici!$A565="","","    "&amp;CHAR(123)&amp;CHAR(34)&amp;"bidderId"&amp;CHAR(34)&amp;": "&amp;CHAR(34)&amp;SUBSTITUTE(CriteriTecnici!$A565,CHAR(34),"'")&amp;CHAR(34)&amp;", "&amp;CHAR(34)&amp;"lotId"&amp;CHAR(34)&amp;": "&amp;CHAR(34)&amp;SUBSTITUTE(CriteriTecnici!$C565,CHAR(34),"'")&amp;CHAR(34)&amp;", "&amp;CHAR(34)&amp;"criterionId"&amp;CHAR(34)&amp;": "&amp;CHAR(34)&amp;SUBSTITUTE(CriteriTecnici!$D565,CHAR(34),"'")&amp;CHAR(34)&amp;", "&amp;CHAR(34)&amp;"kind"&amp;CHAR(34)&amp;": "&amp;CHAR(34)&amp;SUBSTITUTE(CriteriTecnici!$F565,CHAR(34),"'")&amp;CHAR(34)&amp;", "&amp;CHAR(34)&amp;"value"&amp;CHAR(34)&amp;": "&amp;SUBSTITUTE(TRIM(ROUND(IFERROR(CriteriTecnici!$N565*1,IFERROR(NUMBERVALUE(CriteriTecnici!$N565,".",","),IFERROR(NUMBERVALUE(CriteriTecnici!$N565,",","."),0))),4)&amp;""),",",".")&amp;", "&amp;CHAR(34)&amp;"numerator"&amp;CHAR(34)&amp;": "&amp;SUBSTITUTE(TRIM(ROUND(IFERROR(CriteriTecnici!$K565*1,IFERROR(NUMBERVALUE(CriteriTecnici!$K565,".",","),IFERROR(NUMBERVALUE(CriteriTecnici!$K565,",","."),0))),4)&amp;""),",",".")&amp;", "&amp;CHAR(34)&amp;"denominator"&amp;CHAR(34)&amp;": "&amp;SUBSTITUTE(TRIM(ROUND(IFERROR(CriteriTecnici!$L565*1,IFERROR(NUMBERVALUE(CriteriTecnici!$L565,".",","),IFERROR(NUMBERVALUE(CriteriTecnici!$L565,",","."),0))),4)&amp;""),",",".")&amp;", "&amp;CHAR(34)&amp;"flag"&amp;CHAR(34)&amp;": "&amp;SUBSTITUTE(TRIM(ROUND(IFERROR(CriteriTecnici!$M565*1,IFERROR(NUMBERVALUE(CriteriTecnici!$M565,".",","),IFERROR(NUMBERVALUE(CriteriTecnici!$M565,",","."),0))),4)&amp;""),",",".")&amp;", "&amp;CHAR(34)&amp;"rawScore"&amp;CHAR(34)&amp;": "&amp;SUBSTITUTE(TRIM(ROUND(IFERROR(CriteriTecnici!$O565*1,IFERROR(NUMBERVALUE(CriteriTecnici!$O565,".",","),IFERROR(NUMBERVALUE(CriteriTecnici!$O565,",","."),0))),4)&amp;""),",",".")&amp;CHAR(125)&amp;IF(TRUE,",",""))</f>
        <v/>
      </c>
    </row>
    <row r="667">
      <c r="A667" s="82">
        <f>IF(CriteriTecnici!$A566="","","    "&amp;CHAR(123)&amp;CHAR(34)&amp;"bidderId"&amp;CHAR(34)&amp;": "&amp;CHAR(34)&amp;SUBSTITUTE(CriteriTecnici!$A566,CHAR(34),"'")&amp;CHAR(34)&amp;", "&amp;CHAR(34)&amp;"lotId"&amp;CHAR(34)&amp;": "&amp;CHAR(34)&amp;SUBSTITUTE(CriteriTecnici!$C566,CHAR(34),"'")&amp;CHAR(34)&amp;", "&amp;CHAR(34)&amp;"criterionId"&amp;CHAR(34)&amp;": "&amp;CHAR(34)&amp;SUBSTITUTE(CriteriTecnici!$D566,CHAR(34),"'")&amp;CHAR(34)&amp;", "&amp;CHAR(34)&amp;"kind"&amp;CHAR(34)&amp;": "&amp;CHAR(34)&amp;SUBSTITUTE(CriteriTecnici!$F566,CHAR(34),"'")&amp;CHAR(34)&amp;", "&amp;CHAR(34)&amp;"value"&amp;CHAR(34)&amp;": "&amp;SUBSTITUTE(TRIM(ROUND(IFERROR(CriteriTecnici!$N566*1,IFERROR(NUMBERVALUE(CriteriTecnici!$N566,".",","),IFERROR(NUMBERVALUE(CriteriTecnici!$N566,",","."),0))),4)&amp;""),",",".")&amp;", "&amp;CHAR(34)&amp;"numerator"&amp;CHAR(34)&amp;": "&amp;SUBSTITUTE(TRIM(ROUND(IFERROR(CriteriTecnici!$K566*1,IFERROR(NUMBERVALUE(CriteriTecnici!$K566,".",","),IFERROR(NUMBERVALUE(CriteriTecnici!$K566,",","."),0))),4)&amp;""),",",".")&amp;", "&amp;CHAR(34)&amp;"denominator"&amp;CHAR(34)&amp;": "&amp;SUBSTITUTE(TRIM(ROUND(IFERROR(CriteriTecnici!$L566*1,IFERROR(NUMBERVALUE(CriteriTecnici!$L566,".",","),IFERROR(NUMBERVALUE(CriteriTecnici!$L566,",","."),0))),4)&amp;""),",",".")&amp;", "&amp;CHAR(34)&amp;"flag"&amp;CHAR(34)&amp;": "&amp;SUBSTITUTE(TRIM(ROUND(IFERROR(CriteriTecnici!$M566*1,IFERROR(NUMBERVALUE(CriteriTecnici!$M566,".",","),IFERROR(NUMBERVALUE(CriteriTecnici!$M566,",","."),0))),4)&amp;""),",",".")&amp;", "&amp;CHAR(34)&amp;"rawScore"&amp;CHAR(34)&amp;": "&amp;SUBSTITUTE(TRIM(ROUND(IFERROR(CriteriTecnici!$O566*1,IFERROR(NUMBERVALUE(CriteriTecnici!$O566,".",","),IFERROR(NUMBERVALUE(CriteriTecnici!$O566,",","."),0))),4)&amp;""),",",".")&amp;CHAR(125)&amp;IF(TRUE,",",""))</f>
        <v/>
      </c>
    </row>
    <row r="668">
      <c r="A668" s="82">
        <f>IF(CriteriTecnici!$A567="","","    "&amp;CHAR(123)&amp;CHAR(34)&amp;"bidderId"&amp;CHAR(34)&amp;": "&amp;CHAR(34)&amp;SUBSTITUTE(CriteriTecnici!$A567,CHAR(34),"'")&amp;CHAR(34)&amp;", "&amp;CHAR(34)&amp;"lotId"&amp;CHAR(34)&amp;": "&amp;CHAR(34)&amp;SUBSTITUTE(CriteriTecnici!$C567,CHAR(34),"'")&amp;CHAR(34)&amp;", "&amp;CHAR(34)&amp;"criterionId"&amp;CHAR(34)&amp;": "&amp;CHAR(34)&amp;SUBSTITUTE(CriteriTecnici!$D567,CHAR(34),"'")&amp;CHAR(34)&amp;", "&amp;CHAR(34)&amp;"kind"&amp;CHAR(34)&amp;": "&amp;CHAR(34)&amp;SUBSTITUTE(CriteriTecnici!$F567,CHAR(34),"'")&amp;CHAR(34)&amp;", "&amp;CHAR(34)&amp;"value"&amp;CHAR(34)&amp;": "&amp;SUBSTITUTE(TRIM(ROUND(IFERROR(CriteriTecnici!$N567*1,IFERROR(NUMBERVALUE(CriteriTecnici!$N567,".",","),IFERROR(NUMBERVALUE(CriteriTecnici!$N567,",","."),0))),4)&amp;""),",",".")&amp;", "&amp;CHAR(34)&amp;"numerator"&amp;CHAR(34)&amp;": "&amp;SUBSTITUTE(TRIM(ROUND(IFERROR(CriteriTecnici!$K567*1,IFERROR(NUMBERVALUE(CriteriTecnici!$K567,".",","),IFERROR(NUMBERVALUE(CriteriTecnici!$K567,",","."),0))),4)&amp;""),",",".")&amp;", "&amp;CHAR(34)&amp;"denominator"&amp;CHAR(34)&amp;": "&amp;SUBSTITUTE(TRIM(ROUND(IFERROR(CriteriTecnici!$L567*1,IFERROR(NUMBERVALUE(CriteriTecnici!$L567,".",","),IFERROR(NUMBERVALUE(CriteriTecnici!$L567,",","."),0))),4)&amp;""),",",".")&amp;", "&amp;CHAR(34)&amp;"flag"&amp;CHAR(34)&amp;": "&amp;SUBSTITUTE(TRIM(ROUND(IFERROR(CriteriTecnici!$M567*1,IFERROR(NUMBERVALUE(CriteriTecnici!$M567,".",","),IFERROR(NUMBERVALUE(CriteriTecnici!$M567,",","."),0))),4)&amp;""),",",".")&amp;", "&amp;CHAR(34)&amp;"rawScore"&amp;CHAR(34)&amp;": "&amp;SUBSTITUTE(TRIM(ROUND(IFERROR(CriteriTecnici!$O567*1,IFERROR(NUMBERVALUE(CriteriTecnici!$O567,".",","),IFERROR(NUMBERVALUE(CriteriTecnici!$O567,",","."),0))),4)&amp;""),",",".")&amp;CHAR(125)&amp;IF(TRUE,",",""))</f>
        <v/>
      </c>
    </row>
    <row r="669">
      <c r="A669" s="82">
        <f>IF(CriteriTecnici!$A568="","","    "&amp;CHAR(123)&amp;CHAR(34)&amp;"bidderId"&amp;CHAR(34)&amp;": "&amp;CHAR(34)&amp;SUBSTITUTE(CriteriTecnici!$A568,CHAR(34),"'")&amp;CHAR(34)&amp;", "&amp;CHAR(34)&amp;"lotId"&amp;CHAR(34)&amp;": "&amp;CHAR(34)&amp;SUBSTITUTE(CriteriTecnici!$C568,CHAR(34),"'")&amp;CHAR(34)&amp;", "&amp;CHAR(34)&amp;"criterionId"&amp;CHAR(34)&amp;": "&amp;CHAR(34)&amp;SUBSTITUTE(CriteriTecnici!$D568,CHAR(34),"'")&amp;CHAR(34)&amp;", "&amp;CHAR(34)&amp;"kind"&amp;CHAR(34)&amp;": "&amp;CHAR(34)&amp;SUBSTITUTE(CriteriTecnici!$F568,CHAR(34),"'")&amp;CHAR(34)&amp;", "&amp;CHAR(34)&amp;"value"&amp;CHAR(34)&amp;": "&amp;SUBSTITUTE(TRIM(ROUND(IFERROR(CriteriTecnici!$N568*1,IFERROR(NUMBERVALUE(CriteriTecnici!$N568,".",","),IFERROR(NUMBERVALUE(CriteriTecnici!$N568,",","."),0))),4)&amp;""),",",".")&amp;", "&amp;CHAR(34)&amp;"numerator"&amp;CHAR(34)&amp;": "&amp;SUBSTITUTE(TRIM(ROUND(IFERROR(CriteriTecnici!$K568*1,IFERROR(NUMBERVALUE(CriteriTecnici!$K568,".",","),IFERROR(NUMBERVALUE(CriteriTecnici!$K568,",","."),0))),4)&amp;""),",",".")&amp;", "&amp;CHAR(34)&amp;"denominator"&amp;CHAR(34)&amp;": "&amp;SUBSTITUTE(TRIM(ROUND(IFERROR(CriteriTecnici!$L568*1,IFERROR(NUMBERVALUE(CriteriTecnici!$L568,".",","),IFERROR(NUMBERVALUE(CriteriTecnici!$L568,",","."),0))),4)&amp;""),",",".")&amp;", "&amp;CHAR(34)&amp;"flag"&amp;CHAR(34)&amp;": "&amp;SUBSTITUTE(TRIM(ROUND(IFERROR(CriteriTecnici!$M568*1,IFERROR(NUMBERVALUE(CriteriTecnici!$M568,".",","),IFERROR(NUMBERVALUE(CriteriTecnici!$M568,",","."),0))),4)&amp;""),",",".")&amp;", "&amp;CHAR(34)&amp;"rawScore"&amp;CHAR(34)&amp;": "&amp;SUBSTITUTE(TRIM(ROUND(IFERROR(CriteriTecnici!$O568*1,IFERROR(NUMBERVALUE(CriteriTecnici!$O568,".",","),IFERROR(NUMBERVALUE(CriteriTecnici!$O568,",","."),0))),4)&amp;""),",",".")&amp;CHAR(125)&amp;IF(TRUE,",",""))</f>
        <v/>
      </c>
    </row>
    <row r="670">
      <c r="A670" s="82">
        <f>IF(CriteriTecnici!$A569="","","    "&amp;CHAR(123)&amp;CHAR(34)&amp;"bidderId"&amp;CHAR(34)&amp;": "&amp;CHAR(34)&amp;SUBSTITUTE(CriteriTecnici!$A569,CHAR(34),"'")&amp;CHAR(34)&amp;", "&amp;CHAR(34)&amp;"lotId"&amp;CHAR(34)&amp;": "&amp;CHAR(34)&amp;SUBSTITUTE(CriteriTecnici!$C569,CHAR(34),"'")&amp;CHAR(34)&amp;", "&amp;CHAR(34)&amp;"criterionId"&amp;CHAR(34)&amp;": "&amp;CHAR(34)&amp;SUBSTITUTE(CriteriTecnici!$D569,CHAR(34),"'")&amp;CHAR(34)&amp;", "&amp;CHAR(34)&amp;"kind"&amp;CHAR(34)&amp;": "&amp;CHAR(34)&amp;SUBSTITUTE(CriteriTecnici!$F569,CHAR(34),"'")&amp;CHAR(34)&amp;", "&amp;CHAR(34)&amp;"value"&amp;CHAR(34)&amp;": "&amp;SUBSTITUTE(TRIM(ROUND(IFERROR(CriteriTecnici!$N569*1,IFERROR(NUMBERVALUE(CriteriTecnici!$N569,".",","),IFERROR(NUMBERVALUE(CriteriTecnici!$N569,",","."),0))),4)&amp;""),",",".")&amp;", "&amp;CHAR(34)&amp;"numerator"&amp;CHAR(34)&amp;": "&amp;SUBSTITUTE(TRIM(ROUND(IFERROR(CriteriTecnici!$K569*1,IFERROR(NUMBERVALUE(CriteriTecnici!$K569,".",","),IFERROR(NUMBERVALUE(CriteriTecnici!$K569,",","."),0))),4)&amp;""),",",".")&amp;", "&amp;CHAR(34)&amp;"denominator"&amp;CHAR(34)&amp;": "&amp;SUBSTITUTE(TRIM(ROUND(IFERROR(CriteriTecnici!$L569*1,IFERROR(NUMBERVALUE(CriteriTecnici!$L569,".",","),IFERROR(NUMBERVALUE(CriteriTecnici!$L569,",","."),0))),4)&amp;""),",",".")&amp;", "&amp;CHAR(34)&amp;"flag"&amp;CHAR(34)&amp;": "&amp;SUBSTITUTE(TRIM(ROUND(IFERROR(CriteriTecnici!$M569*1,IFERROR(NUMBERVALUE(CriteriTecnici!$M569,".",","),IFERROR(NUMBERVALUE(CriteriTecnici!$M569,",","."),0))),4)&amp;""),",",".")&amp;", "&amp;CHAR(34)&amp;"rawScore"&amp;CHAR(34)&amp;": "&amp;SUBSTITUTE(TRIM(ROUND(IFERROR(CriteriTecnici!$O569*1,IFERROR(NUMBERVALUE(CriteriTecnici!$O569,".",","),IFERROR(NUMBERVALUE(CriteriTecnici!$O569,",","."),0))),4)&amp;""),",",".")&amp;CHAR(125)&amp;IF(TRUE,",",""))</f>
        <v/>
      </c>
    </row>
    <row r="671">
      <c r="A671" s="82">
        <f>IF(CriteriTecnici!$A570="","","    "&amp;CHAR(123)&amp;CHAR(34)&amp;"bidderId"&amp;CHAR(34)&amp;": "&amp;CHAR(34)&amp;SUBSTITUTE(CriteriTecnici!$A570,CHAR(34),"'")&amp;CHAR(34)&amp;", "&amp;CHAR(34)&amp;"lotId"&amp;CHAR(34)&amp;": "&amp;CHAR(34)&amp;SUBSTITUTE(CriteriTecnici!$C570,CHAR(34),"'")&amp;CHAR(34)&amp;", "&amp;CHAR(34)&amp;"criterionId"&amp;CHAR(34)&amp;": "&amp;CHAR(34)&amp;SUBSTITUTE(CriteriTecnici!$D570,CHAR(34),"'")&amp;CHAR(34)&amp;", "&amp;CHAR(34)&amp;"kind"&amp;CHAR(34)&amp;": "&amp;CHAR(34)&amp;SUBSTITUTE(CriteriTecnici!$F570,CHAR(34),"'")&amp;CHAR(34)&amp;", "&amp;CHAR(34)&amp;"value"&amp;CHAR(34)&amp;": "&amp;SUBSTITUTE(TRIM(ROUND(IFERROR(CriteriTecnici!$N570*1,IFERROR(NUMBERVALUE(CriteriTecnici!$N570,".",","),IFERROR(NUMBERVALUE(CriteriTecnici!$N570,",","."),0))),4)&amp;""),",",".")&amp;", "&amp;CHAR(34)&amp;"numerator"&amp;CHAR(34)&amp;": "&amp;SUBSTITUTE(TRIM(ROUND(IFERROR(CriteriTecnici!$K570*1,IFERROR(NUMBERVALUE(CriteriTecnici!$K570,".",","),IFERROR(NUMBERVALUE(CriteriTecnici!$K570,",","."),0))),4)&amp;""),",",".")&amp;", "&amp;CHAR(34)&amp;"denominator"&amp;CHAR(34)&amp;": "&amp;SUBSTITUTE(TRIM(ROUND(IFERROR(CriteriTecnici!$L570*1,IFERROR(NUMBERVALUE(CriteriTecnici!$L570,".",","),IFERROR(NUMBERVALUE(CriteriTecnici!$L570,",","."),0))),4)&amp;""),",",".")&amp;", "&amp;CHAR(34)&amp;"flag"&amp;CHAR(34)&amp;": "&amp;SUBSTITUTE(TRIM(ROUND(IFERROR(CriteriTecnici!$M570*1,IFERROR(NUMBERVALUE(CriteriTecnici!$M570,".",","),IFERROR(NUMBERVALUE(CriteriTecnici!$M570,",","."),0))),4)&amp;""),",",".")&amp;", "&amp;CHAR(34)&amp;"rawScore"&amp;CHAR(34)&amp;": "&amp;SUBSTITUTE(TRIM(ROUND(IFERROR(CriteriTecnici!$O570*1,IFERROR(NUMBERVALUE(CriteriTecnici!$O570,".",","),IFERROR(NUMBERVALUE(CriteriTecnici!$O570,",","."),0))),4)&amp;""),",",".")&amp;CHAR(125)&amp;IF(TRUE,",",""))</f>
        <v/>
      </c>
    </row>
    <row r="672">
      <c r="A672" s="82">
        <f>IF(CriteriTecnici!$A571="","","    "&amp;CHAR(123)&amp;CHAR(34)&amp;"bidderId"&amp;CHAR(34)&amp;": "&amp;CHAR(34)&amp;SUBSTITUTE(CriteriTecnici!$A571,CHAR(34),"'")&amp;CHAR(34)&amp;", "&amp;CHAR(34)&amp;"lotId"&amp;CHAR(34)&amp;": "&amp;CHAR(34)&amp;SUBSTITUTE(CriteriTecnici!$C571,CHAR(34),"'")&amp;CHAR(34)&amp;", "&amp;CHAR(34)&amp;"criterionId"&amp;CHAR(34)&amp;": "&amp;CHAR(34)&amp;SUBSTITUTE(CriteriTecnici!$D571,CHAR(34),"'")&amp;CHAR(34)&amp;", "&amp;CHAR(34)&amp;"kind"&amp;CHAR(34)&amp;": "&amp;CHAR(34)&amp;SUBSTITUTE(CriteriTecnici!$F571,CHAR(34),"'")&amp;CHAR(34)&amp;", "&amp;CHAR(34)&amp;"value"&amp;CHAR(34)&amp;": "&amp;SUBSTITUTE(TRIM(ROUND(IFERROR(CriteriTecnici!$N571*1,IFERROR(NUMBERVALUE(CriteriTecnici!$N571,".",","),IFERROR(NUMBERVALUE(CriteriTecnici!$N571,",","."),0))),4)&amp;""),",",".")&amp;", "&amp;CHAR(34)&amp;"numerator"&amp;CHAR(34)&amp;": "&amp;SUBSTITUTE(TRIM(ROUND(IFERROR(CriteriTecnici!$K571*1,IFERROR(NUMBERVALUE(CriteriTecnici!$K571,".",","),IFERROR(NUMBERVALUE(CriteriTecnici!$K571,",","."),0))),4)&amp;""),",",".")&amp;", "&amp;CHAR(34)&amp;"denominator"&amp;CHAR(34)&amp;": "&amp;SUBSTITUTE(TRIM(ROUND(IFERROR(CriteriTecnici!$L571*1,IFERROR(NUMBERVALUE(CriteriTecnici!$L571,".",","),IFERROR(NUMBERVALUE(CriteriTecnici!$L571,",","."),0))),4)&amp;""),",",".")&amp;", "&amp;CHAR(34)&amp;"flag"&amp;CHAR(34)&amp;": "&amp;SUBSTITUTE(TRIM(ROUND(IFERROR(CriteriTecnici!$M571*1,IFERROR(NUMBERVALUE(CriteriTecnici!$M571,".",","),IFERROR(NUMBERVALUE(CriteriTecnici!$M571,",","."),0))),4)&amp;""),",",".")&amp;", "&amp;CHAR(34)&amp;"rawScore"&amp;CHAR(34)&amp;": "&amp;SUBSTITUTE(TRIM(ROUND(IFERROR(CriteriTecnici!$O571*1,IFERROR(NUMBERVALUE(CriteriTecnici!$O571,".",","),IFERROR(NUMBERVALUE(CriteriTecnici!$O571,",","."),0))),4)&amp;""),",",".")&amp;CHAR(125)&amp;IF(TRUE,",",""))</f>
        <v/>
      </c>
    </row>
    <row r="673">
      <c r="A673" s="82">
        <f>IF(CriteriTecnici!$A572="","","    "&amp;CHAR(123)&amp;CHAR(34)&amp;"bidderId"&amp;CHAR(34)&amp;": "&amp;CHAR(34)&amp;SUBSTITUTE(CriteriTecnici!$A572,CHAR(34),"'")&amp;CHAR(34)&amp;", "&amp;CHAR(34)&amp;"lotId"&amp;CHAR(34)&amp;": "&amp;CHAR(34)&amp;SUBSTITUTE(CriteriTecnici!$C572,CHAR(34),"'")&amp;CHAR(34)&amp;", "&amp;CHAR(34)&amp;"criterionId"&amp;CHAR(34)&amp;": "&amp;CHAR(34)&amp;SUBSTITUTE(CriteriTecnici!$D572,CHAR(34),"'")&amp;CHAR(34)&amp;", "&amp;CHAR(34)&amp;"kind"&amp;CHAR(34)&amp;": "&amp;CHAR(34)&amp;SUBSTITUTE(CriteriTecnici!$F572,CHAR(34),"'")&amp;CHAR(34)&amp;", "&amp;CHAR(34)&amp;"value"&amp;CHAR(34)&amp;": "&amp;SUBSTITUTE(TRIM(ROUND(IFERROR(CriteriTecnici!$N572*1,IFERROR(NUMBERVALUE(CriteriTecnici!$N572,".",","),IFERROR(NUMBERVALUE(CriteriTecnici!$N572,",","."),0))),4)&amp;""),",",".")&amp;", "&amp;CHAR(34)&amp;"numerator"&amp;CHAR(34)&amp;": "&amp;SUBSTITUTE(TRIM(ROUND(IFERROR(CriteriTecnici!$K572*1,IFERROR(NUMBERVALUE(CriteriTecnici!$K572,".",","),IFERROR(NUMBERVALUE(CriteriTecnici!$K572,",","."),0))),4)&amp;""),",",".")&amp;", "&amp;CHAR(34)&amp;"denominator"&amp;CHAR(34)&amp;": "&amp;SUBSTITUTE(TRIM(ROUND(IFERROR(CriteriTecnici!$L572*1,IFERROR(NUMBERVALUE(CriteriTecnici!$L572,".",","),IFERROR(NUMBERVALUE(CriteriTecnici!$L572,",","."),0))),4)&amp;""),",",".")&amp;", "&amp;CHAR(34)&amp;"flag"&amp;CHAR(34)&amp;": "&amp;SUBSTITUTE(TRIM(ROUND(IFERROR(CriteriTecnici!$M572*1,IFERROR(NUMBERVALUE(CriteriTecnici!$M572,".",","),IFERROR(NUMBERVALUE(CriteriTecnici!$M572,",","."),0))),4)&amp;""),",",".")&amp;", "&amp;CHAR(34)&amp;"rawScore"&amp;CHAR(34)&amp;": "&amp;SUBSTITUTE(TRIM(ROUND(IFERROR(CriteriTecnici!$O572*1,IFERROR(NUMBERVALUE(CriteriTecnici!$O572,".",","),IFERROR(NUMBERVALUE(CriteriTecnici!$O572,",","."),0))),4)&amp;""),",",".")&amp;CHAR(125)&amp;IF(TRUE,",",""))</f>
        <v/>
      </c>
    </row>
    <row r="674">
      <c r="A674" s="82">
        <f>IF(CriteriTecnici!$A573="","","    "&amp;CHAR(123)&amp;CHAR(34)&amp;"bidderId"&amp;CHAR(34)&amp;": "&amp;CHAR(34)&amp;SUBSTITUTE(CriteriTecnici!$A573,CHAR(34),"'")&amp;CHAR(34)&amp;", "&amp;CHAR(34)&amp;"lotId"&amp;CHAR(34)&amp;": "&amp;CHAR(34)&amp;SUBSTITUTE(CriteriTecnici!$C573,CHAR(34),"'")&amp;CHAR(34)&amp;", "&amp;CHAR(34)&amp;"criterionId"&amp;CHAR(34)&amp;": "&amp;CHAR(34)&amp;SUBSTITUTE(CriteriTecnici!$D573,CHAR(34),"'")&amp;CHAR(34)&amp;", "&amp;CHAR(34)&amp;"kind"&amp;CHAR(34)&amp;": "&amp;CHAR(34)&amp;SUBSTITUTE(CriteriTecnici!$F573,CHAR(34),"'")&amp;CHAR(34)&amp;", "&amp;CHAR(34)&amp;"value"&amp;CHAR(34)&amp;": "&amp;SUBSTITUTE(TRIM(ROUND(IFERROR(CriteriTecnici!$N573*1,IFERROR(NUMBERVALUE(CriteriTecnici!$N573,".",","),IFERROR(NUMBERVALUE(CriteriTecnici!$N573,",","."),0))),4)&amp;""),",",".")&amp;", "&amp;CHAR(34)&amp;"numerator"&amp;CHAR(34)&amp;": "&amp;SUBSTITUTE(TRIM(ROUND(IFERROR(CriteriTecnici!$K573*1,IFERROR(NUMBERVALUE(CriteriTecnici!$K573,".",","),IFERROR(NUMBERVALUE(CriteriTecnici!$K573,",","."),0))),4)&amp;""),",",".")&amp;", "&amp;CHAR(34)&amp;"denominator"&amp;CHAR(34)&amp;": "&amp;SUBSTITUTE(TRIM(ROUND(IFERROR(CriteriTecnici!$L573*1,IFERROR(NUMBERVALUE(CriteriTecnici!$L573,".",","),IFERROR(NUMBERVALUE(CriteriTecnici!$L573,",","."),0))),4)&amp;""),",",".")&amp;", "&amp;CHAR(34)&amp;"flag"&amp;CHAR(34)&amp;": "&amp;SUBSTITUTE(TRIM(ROUND(IFERROR(CriteriTecnici!$M573*1,IFERROR(NUMBERVALUE(CriteriTecnici!$M573,".",","),IFERROR(NUMBERVALUE(CriteriTecnici!$M573,",","."),0))),4)&amp;""),",",".")&amp;", "&amp;CHAR(34)&amp;"rawScore"&amp;CHAR(34)&amp;": "&amp;SUBSTITUTE(TRIM(ROUND(IFERROR(CriteriTecnici!$O573*1,IFERROR(NUMBERVALUE(CriteriTecnici!$O573,".",","),IFERROR(NUMBERVALUE(CriteriTecnici!$O573,",","."),0))),4)&amp;""),",",".")&amp;CHAR(125)&amp;IF(TRUE,",",""))</f>
        <v/>
      </c>
    </row>
    <row r="675">
      <c r="A675" s="82">
        <f>IF(CriteriTecnici!$A574="","","    "&amp;CHAR(123)&amp;CHAR(34)&amp;"bidderId"&amp;CHAR(34)&amp;": "&amp;CHAR(34)&amp;SUBSTITUTE(CriteriTecnici!$A574,CHAR(34),"'")&amp;CHAR(34)&amp;", "&amp;CHAR(34)&amp;"lotId"&amp;CHAR(34)&amp;": "&amp;CHAR(34)&amp;SUBSTITUTE(CriteriTecnici!$C574,CHAR(34),"'")&amp;CHAR(34)&amp;", "&amp;CHAR(34)&amp;"criterionId"&amp;CHAR(34)&amp;": "&amp;CHAR(34)&amp;SUBSTITUTE(CriteriTecnici!$D574,CHAR(34),"'")&amp;CHAR(34)&amp;", "&amp;CHAR(34)&amp;"kind"&amp;CHAR(34)&amp;": "&amp;CHAR(34)&amp;SUBSTITUTE(CriteriTecnici!$F574,CHAR(34),"'")&amp;CHAR(34)&amp;", "&amp;CHAR(34)&amp;"value"&amp;CHAR(34)&amp;": "&amp;SUBSTITUTE(TRIM(ROUND(IFERROR(CriteriTecnici!$N574*1,IFERROR(NUMBERVALUE(CriteriTecnici!$N574,".",","),IFERROR(NUMBERVALUE(CriteriTecnici!$N574,",","."),0))),4)&amp;""),",",".")&amp;", "&amp;CHAR(34)&amp;"numerator"&amp;CHAR(34)&amp;": "&amp;SUBSTITUTE(TRIM(ROUND(IFERROR(CriteriTecnici!$K574*1,IFERROR(NUMBERVALUE(CriteriTecnici!$K574,".",","),IFERROR(NUMBERVALUE(CriteriTecnici!$K574,",","."),0))),4)&amp;""),",",".")&amp;", "&amp;CHAR(34)&amp;"denominator"&amp;CHAR(34)&amp;": "&amp;SUBSTITUTE(TRIM(ROUND(IFERROR(CriteriTecnici!$L574*1,IFERROR(NUMBERVALUE(CriteriTecnici!$L574,".",","),IFERROR(NUMBERVALUE(CriteriTecnici!$L574,",","."),0))),4)&amp;""),",",".")&amp;", "&amp;CHAR(34)&amp;"flag"&amp;CHAR(34)&amp;": "&amp;SUBSTITUTE(TRIM(ROUND(IFERROR(CriteriTecnici!$M574*1,IFERROR(NUMBERVALUE(CriteriTecnici!$M574,".",","),IFERROR(NUMBERVALUE(CriteriTecnici!$M574,",","."),0))),4)&amp;""),",",".")&amp;", "&amp;CHAR(34)&amp;"rawScore"&amp;CHAR(34)&amp;": "&amp;SUBSTITUTE(TRIM(ROUND(IFERROR(CriteriTecnici!$O574*1,IFERROR(NUMBERVALUE(CriteriTecnici!$O574,".",","),IFERROR(NUMBERVALUE(CriteriTecnici!$O574,",","."),0))),4)&amp;""),",",".")&amp;CHAR(125)&amp;IF(TRUE,",",""))</f>
        <v/>
      </c>
    </row>
    <row r="676">
      <c r="A676" s="82">
        <f>IF(CriteriTecnici!$A575="","","    "&amp;CHAR(123)&amp;CHAR(34)&amp;"bidderId"&amp;CHAR(34)&amp;": "&amp;CHAR(34)&amp;SUBSTITUTE(CriteriTecnici!$A575,CHAR(34),"'")&amp;CHAR(34)&amp;", "&amp;CHAR(34)&amp;"lotId"&amp;CHAR(34)&amp;": "&amp;CHAR(34)&amp;SUBSTITUTE(CriteriTecnici!$C575,CHAR(34),"'")&amp;CHAR(34)&amp;", "&amp;CHAR(34)&amp;"criterionId"&amp;CHAR(34)&amp;": "&amp;CHAR(34)&amp;SUBSTITUTE(CriteriTecnici!$D575,CHAR(34),"'")&amp;CHAR(34)&amp;", "&amp;CHAR(34)&amp;"kind"&amp;CHAR(34)&amp;": "&amp;CHAR(34)&amp;SUBSTITUTE(CriteriTecnici!$F575,CHAR(34),"'")&amp;CHAR(34)&amp;", "&amp;CHAR(34)&amp;"value"&amp;CHAR(34)&amp;": "&amp;SUBSTITUTE(TRIM(ROUND(IFERROR(CriteriTecnici!$N575*1,IFERROR(NUMBERVALUE(CriteriTecnici!$N575,".",","),IFERROR(NUMBERVALUE(CriteriTecnici!$N575,",","."),0))),4)&amp;""),",",".")&amp;", "&amp;CHAR(34)&amp;"numerator"&amp;CHAR(34)&amp;": "&amp;SUBSTITUTE(TRIM(ROUND(IFERROR(CriteriTecnici!$K575*1,IFERROR(NUMBERVALUE(CriteriTecnici!$K575,".",","),IFERROR(NUMBERVALUE(CriteriTecnici!$K575,",","."),0))),4)&amp;""),",",".")&amp;", "&amp;CHAR(34)&amp;"denominator"&amp;CHAR(34)&amp;": "&amp;SUBSTITUTE(TRIM(ROUND(IFERROR(CriteriTecnici!$L575*1,IFERROR(NUMBERVALUE(CriteriTecnici!$L575,".",","),IFERROR(NUMBERVALUE(CriteriTecnici!$L575,",","."),0))),4)&amp;""),",",".")&amp;", "&amp;CHAR(34)&amp;"flag"&amp;CHAR(34)&amp;": "&amp;SUBSTITUTE(TRIM(ROUND(IFERROR(CriteriTecnici!$M575*1,IFERROR(NUMBERVALUE(CriteriTecnici!$M575,".",","),IFERROR(NUMBERVALUE(CriteriTecnici!$M575,",","."),0))),4)&amp;""),",",".")&amp;", "&amp;CHAR(34)&amp;"rawScore"&amp;CHAR(34)&amp;": "&amp;SUBSTITUTE(TRIM(ROUND(IFERROR(CriteriTecnici!$O575*1,IFERROR(NUMBERVALUE(CriteriTecnici!$O575,".",","),IFERROR(NUMBERVALUE(CriteriTecnici!$O575,",","."),0))),4)&amp;""),",",".")&amp;CHAR(125)&amp;IF(TRUE,",",""))</f>
        <v/>
      </c>
    </row>
    <row r="677">
      <c r="A677" s="82">
        <f>IF(CriteriTecnici!$A576="","","    "&amp;CHAR(123)&amp;CHAR(34)&amp;"bidderId"&amp;CHAR(34)&amp;": "&amp;CHAR(34)&amp;SUBSTITUTE(CriteriTecnici!$A576,CHAR(34),"'")&amp;CHAR(34)&amp;", "&amp;CHAR(34)&amp;"lotId"&amp;CHAR(34)&amp;": "&amp;CHAR(34)&amp;SUBSTITUTE(CriteriTecnici!$C576,CHAR(34),"'")&amp;CHAR(34)&amp;", "&amp;CHAR(34)&amp;"criterionId"&amp;CHAR(34)&amp;": "&amp;CHAR(34)&amp;SUBSTITUTE(CriteriTecnici!$D576,CHAR(34),"'")&amp;CHAR(34)&amp;", "&amp;CHAR(34)&amp;"kind"&amp;CHAR(34)&amp;": "&amp;CHAR(34)&amp;SUBSTITUTE(CriteriTecnici!$F576,CHAR(34),"'")&amp;CHAR(34)&amp;", "&amp;CHAR(34)&amp;"value"&amp;CHAR(34)&amp;": "&amp;SUBSTITUTE(TRIM(ROUND(IFERROR(CriteriTecnici!$N576*1,IFERROR(NUMBERVALUE(CriteriTecnici!$N576,".",","),IFERROR(NUMBERVALUE(CriteriTecnici!$N576,",","."),0))),4)&amp;""),",",".")&amp;", "&amp;CHAR(34)&amp;"numerator"&amp;CHAR(34)&amp;": "&amp;SUBSTITUTE(TRIM(ROUND(IFERROR(CriteriTecnici!$K576*1,IFERROR(NUMBERVALUE(CriteriTecnici!$K576,".",","),IFERROR(NUMBERVALUE(CriteriTecnici!$K576,",","."),0))),4)&amp;""),",",".")&amp;", "&amp;CHAR(34)&amp;"denominator"&amp;CHAR(34)&amp;": "&amp;SUBSTITUTE(TRIM(ROUND(IFERROR(CriteriTecnici!$L576*1,IFERROR(NUMBERVALUE(CriteriTecnici!$L576,".",","),IFERROR(NUMBERVALUE(CriteriTecnici!$L576,",","."),0))),4)&amp;""),",",".")&amp;", "&amp;CHAR(34)&amp;"flag"&amp;CHAR(34)&amp;": "&amp;SUBSTITUTE(TRIM(ROUND(IFERROR(CriteriTecnici!$M576*1,IFERROR(NUMBERVALUE(CriteriTecnici!$M576,".",","),IFERROR(NUMBERVALUE(CriteriTecnici!$M576,",","."),0))),4)&amp;""),",",".")&amp;", "&amp;CHAR(34)&amp;"rawScore"&amp;CHAR(34)&amp;": "&amp;SUBSTITUTE(TRIM(ROUND(IFERROR(CriteriTecnici!$O576*1,IFERROR(NUMBERVALUE(CriteriTecnici!$O576,".",","),IFERROR(NUMBERVALUE(CriteriTecnici!$O576,",","."),0))),4)&amp;""),",",".")&amp;CHAR(125)&amp;IF(TRUE,",",""))</f>
        <v/>
      </c>
    </row>
    <row r="678">
      <c r="A678" s="82">
        <f>IF(CriteriTecnici!$A577="","","    "&amp;CHAR(123)&amp;CHAR(34)&amp;"bidderId"&amp;CHAR(34)&amp;": "&amp;CHAR(34)&amp;SUBSTITUTE(CriteriTecnici!$A577,CHAR(34),"'")&amp;CHAR(34)&amp;", "&amp;CHAR(34)&amp;"lotId"&amp;CHAR(34)&amp;": "&amp;CHAR(34)&amp;SUBSTITUTE(CriteriTecnici!$C577,CHAR(34),"'")&amp;CHAR(34)&amp;", "&amp;CHAR(34)&amp;"criterionId"&amp;CHAR(34)&amp;": "&amp;CHAR(34)&amp;SUBSTITUTE(CriteriTecnici!$D577,CHAR(34),"'")&amp;CHAR(34)&amp;", "&amp;CHAR(34)&amp;"kind"&amp;CHAR(34)&amp;": "&amp;CHAR(34)&amp;SUBSTITUTE(CriteriTecnici!$F577,CHAR(34),"'")&amp;CHAR(34)&amp;", "&amp;CHAR(34)&amp;"value"&amp;CHAR(34)&amp;": "&amp;SUBSTITUTE(TRIM(ROUND(IFERROR(CriteriTecnici!$N577*1,IFERROR(NUMBERVALUE(CriteriTecnici!$N577,".",","),IFERROR(NUMBERVALUE(CriteriTecnici!$N577,",","."),0))),4)&amp;""),",",".")&amp;", "&amp;CHAR(34)&amp;"numerator"&amp;CHAR(34)&amp;": "&amp;SUBSTITUTE(TRIM(ROUND(IFERROR(CriteriTecnici!$K577*1,IFERROR(NUMBERVALUE(CriteriTecnici!$K577,".",","),IFERROR(NUMBERVALUE(CriteriTecnici!$K577,",","."),0))),4)&amp;""),",",".")&amp;", "&amp;CHAR(34)&amp;"denominator"&amp;CHAR(34)&amp;": "&amp;SUBSTITUTE(TRIM(ROUND(IFERROR(CriteriTecnici!$L577*1,IFERROR(NUMBERVALUE(CriteriTecnici!$L577,".",","),IFERROR(NUMBERVALUE(CriteriTecnici!$L577,",","."),0))),4)&amp;""),",",".")&amp;", "&amp;CHAR(34)&amp;"flag"&amp;CHAR(34)&amp;": "&amp;SUBSTITUTE(TRIM(ROUND(IFERROR(CriteriTecnici!$M577*1,IFERROR(NUMBERVALUE(CriteriTecnici!$M577,".",","),IFERROR(NUMBERVALUE(CriteriTecnici!$M577,",","."),0))),4)&amp;""),",",".")&amp;", "&amp;CHAR(34)&amp;"rawScore"&amp;CHAR(34)&amp;": "&amp;SUBSTITUTE(TRIM(ROUND(IFERROR(CriteriTecnici!$O577*1,IFERROR(NUMBERVALUE(CriteriTecnici!$O577,".",","),IFERROR(NUMBERVALUE(CriteriTecnici!$O577,",","."),0))),4)&amp;""),",",".")&amp;CHAR(125)&amp;IF(TRUE,",",""))</f>
        <v/>
      </c>
    </row>
    <row r="679">
      <c r="A679" s="82">
        <f>IF(CriteriTecnici!$A578="","","    "&amp;CHAR(123)&amp;CHAR(34)&amp;"bidderId"&amp;CHAR(34)&amp;": "&amp;CHAR(34)&amp;SUBSTITUTE(CriteriTecnici!$A578,CHAR(34),"'")&amp;CHAR(34)&amp;", "&amp;CHAR(34)&amp;"lotId"&amp;CHAR(34)&amp;": "&amp;CHAR(34)&amp;SUBSTITUTE(CriteriTecnici!$C578,CHAR(34),"'")&amp;CHAR(34)&amp;", "&amp;CHAR(34)&amp;"criterionId"&amp;CHAR(34)&amp;": "&amp;CHAR(34)&amp;SUBSTITUTE(CriteriTecnici!$D578,CHAR(34),"'")&amp;CHAR(34)&amp;", "&amp;CHAR(34)&amp;"kind"&amp;CHAR(34)&amp;": "&amp;CHAR(34)&amp;SUBSTITUTE(CriteriTecnici!$F578,CHAR(34),"'")&amp;CHAR(34)&amp;", "&amp;CHAR(34)&amp;"value"&amp;CHAR(34)&amp;": "&amp;SUBSTITUTE(TRIM(ROUND(IFERROR(CriteriTecnici!$N578*1,IFERROR(NUMBERVALUE(CriteriTecnici!$N578,".",","),IFERROR(NUMBERVALUE(CriteriTecnici!$N578,",","."),0))),4)&amp;""),",",".")&amp;", "&amp;CHAR(34)&amp;"numerator"&amp;CHAR(34)&amp;": "&amp;SUBSTITUTE(TRIM(ROUND(IFERROR(CriteriTecnici!$K578*1,IFERROR(NUMBERVALUE(CriteriTecnici!$K578,".",","),IFERROR(NUMBERVALUE(CriteriTecnici!$K578,",","."),0))),4)&amp;""),",",".")&amp;", "&amp;CHAR(34)&amp;"denominator"&amp;CHAR(34)&amp;": "&amp;SUBSTITUTE(TRIM(ROUND(IFERROR(CriteriTecnici!$L578*1,IFERROR(NUMBERVALUE(CriteriTecnici!$L578,".",","),IFERROR(NUMBERVALUE(CriteriTecnici!$L578,",","."),0))),4)&amp;""),",",".")&amp;", "&amp;CHAR(34)&amp;"flag"&amp;CHAR(34)&amp;": "&amp;SUBSTITUTE(TRIM(ROUND(IFERROR(CriteriTecnici!$M578*1,IFERROR(NUMBERVALUE(CriteriTecnici!$M578,".",","),IFERROR(NUMBERVALUE(CriteriTecnici!$M578,",","."),0))),4)&amp;""),",",".")&amp;", "&amp;CHAR(34)&amp;"rawScore"&amp;CHAR(34)&amp;": "&amp;SUBSTITUTE(TRIM(ROUND(IFERROR(CriteriTecnici!$O578*1,IFERROR(NUMBERVALUE(CriteriTecnici!$O578,".",","),IFERROR(NUMBERVALUE(CriteriTecnici!$O578,",","."),0))),4)&amp;""),",",".")&amp;CHAR(125)&amp;IF(TRUE,",",""))</f>
        <v/>
      </c>
    </row>
    <row r="680">
      <c r="A680" s="82">
        <f>IF(CriteriTecnici!$A579="","","    "&amp;CHAR(123)&amp;CHAR(34)&amp;"bidderId"&amp;CHAR(34)&amp;": "&amp;CHAR(34)&amp;SUBSTITUTE(CriteriTecnici!$A579,CHAR(34),"'")&amp;CHAR(34)&amp;", "&amp;CHAR(34)&amp;"lotId"&amp;CHAR(34)&amp;": "&amp;CHAR(34)&amp;SUBSTITUTE(CriteriTecnici!$C579,CHAR(34),"'")&amp;CHAR(34)&amp;", "&amp;CHAR(34)&amp;"criterionId"&amp;CHAR(34)&amp;": "&amp;CHAR(34)&amp;SUBSTITUTE(CriteriTecnici!$D579,CHAR(34),"'")&amp;CHAR(34)&amp;", "&amp;CHAR(34)&amp;"kind"&amp;CHAR(34)&amp;": "&amp;CHAR(34)&amp;SUBSTITUTE(CriteriTecnici!$F579,CHAR(34),"'")&amp;CHAR(34)&amp;", "&amp;CHAR(34)&amp;"value"&amp;CHAR(34)&amp;": "&amp;SUBSTITUTE(TRIM(ROUND(IFERROR(CriteriTecnici!$N579*1,IFERROR(NUMBERVALUE(CriteriTecnici!$N579,".",","),IFERROR(NUMBERVALUE(CriteriTecnici!$N579,",","."),0))),4)&amp;""),",",".")&amp;", "&amp;CHAR(34)&amp;"numerator"&amp;CHAR(34)&amp;": "&amp;SUBSTITUTE(TRIM(ROUND(IFERROR(CriteriTecnici!$K579*1,IFERROR(NUMBERVALUE(CriteriTecnici!$K579,".",","),IFERROR(NUMBERVALUE(CriteriTecnici!$K579,",","."),0))),4)&amp;""),",",".")&amp;", "&amp;CHAR(34)&amp;"denominator"&amp;CHAR(34)&amp;": "&amp;SUBSTITUTE(TRIM(ROUND(IFERROR(CriteriTecnici!$L579*1,IFERROR(NUMBERVALUE(CriteriTecnici!$L579,".",","),IFERROR(NUMBERVALUE(CriteriTecnici!$L579,",","."),0))),4)&amp;""),",",".")&amp;", "&amp;CHAR(34)&amp;"flag"&amp;CHAR(34)&amp;": "&amp;SUBSTITUTE(TRIM(ROUND(IFERROR(CriteriTecnici!$M579*1,IFERROR(NUMBERVALUE(CriteriTecnici!$M579,".",","),IFERROR(NUMBERVALUE(CriteriTecnici!$M579,",","."),0))),4)&amp;""),",",".")&amp;", "&amp;CHAR(34)&amp;"rawScore"&amp;CHAR(34)&amp;": "&amp;SUBSTITUTE(TRIM(ROUND(IFERROR(CriteriTecnici!$O579*1,IFERROR(NUMBERVALUE(CriteriTecnici!$O579,".",","),IFERROR(NUMBERVALUE(CriteriTecnici!$O579,",","."),0))),4)&amp;""),",",".")&amp;CHAR(125)&amp;IF(TRUE,",",""))</f>
        <v/>
      </c>
    </row>
    <row r="681">
      <c r="A681" s="82">
        <f>IF(CriteriTecnici!$A580="","","    "&amp;CHAR(123)&amp;CHAR(34)&amp;"bidderId"&amp;CHAR(34)&amp;": "&amp;CHAR(34)&amp;SUBSTITUTE(CriteriTecnici!$A580,CHAR(34),"'")&amp;CHAR(34)&amp;", "&amp;CHAR(34)&amp;"lotId"&amp;CHAR(34)&amp;": "&amp;CHAR(34)&amp;SUBSTITUTE(CriteriTecnici!$C580,CHAR(34),"'")&amp;CHAR(34)&amp;", "&amp;CHAR(34)&amp;"criterionId"&amp;CHAR(34)&amp;": "&amp;CHAR(34)&amp;SUBSTITUTE(CriteriTecnici!$D580,CHAR(34),"'")&amp;CHAR(34)&amp;", "&amp;CHAR(34)&amp;"kind"&amp;CHAR(34)&amp;": "&amp;CHAR(34)&amp;SUBSTITUTE(CriteriTecnici!$F580,CHAR(34),"'")&amp;CHAR(34)&amp;", "&amp;CHAR(34)&amp;"value"&amp;CHAR(34)&amp;": "&amp;SUBSTITUTE(TRIM(ROUND(IFERROR(CriteriTecnici!$N580*1,IFERROR(NUMBERVALUE(CriteriTecnici!$N580,".",","),IFERROR(NUMBERVALUE(CriteriTecnici!$N580,",","."),0))),4)&amp;""),",",".")&amp;", "&amp;CHAR(34)&amp;"numerator"&amp;CHAR(34)&amp;": "&amp;SUBSTITUTE(TRIM(ROUND(IFERROR(CriteriTecnici!$K580*1,IFERROR(NUMBERVALUE(CriteriTecnici!$K580,".",","),IFERROR(NUMBERVALUE(CriteriTecnici!$K580,",","."),0))),4)&amp;""),",",".")&amp;", "&amp;CHAR(34)&amp;"denominator"&amp;CHAR(34)&amp;": "&amp;SUBSTITUTE(TRIM(ROUND(IFERROR(CriteriTecnici!$L580*1,IFERROR(NUMBERVALUE(CriteriTecnici!$L580,".",","),IFERROR(NUMBERVALUE(CriteriTecnici!$L580,",","."),0))),4)&amp;""),",",".")&amp;", "&amp;CHAR(34)&amp;"flag"&amp;CHAR(34)&amp;": "&amp;SUBSTITUTE(TRIM(ROUND(IFERROR(CriteriTecnici!$M580*1,IFERROR(NUMBERVALUE(CriteriTecnici!$M580,".",","),IFERROR(NUMBERVALUE(CriteriTecnici!$M580,",","."),0))),4)&amp;""),",",".")&amp;", "&amp;CHAR(34)&amp;"rawScore"&amp;CHAR(34)&amp;": "&amp;SUBSTITUTE(TRIM(ROUND(IFERROR(CriteriTecnici!$O580*1,IFERROR(NUMBERVALUE(CriteriTecnici!$O580,".",","),IFERROR(NUMBERVALUE(CriteriTecnici!$O580,",","."),0))),4)&amp;""),",",".")&amp;CHAR(125)&amp;IF(TRUE,",",""))</f>
        <v/>
      </c>
    </row>
    <row r="682">
      <c r="A682" s="82">
        <f>IF(CriteriTecnici!$A581="","","    "&amp;CHAR(123)&amp;CHAR(34)&amp;"bidderId"&amp;CHAR(34)&amp;": "&amp;CHAR(34)&amp;SUBSTITUTE(CriteriTecnici!$A581,CHAR(34),"'")&amp;CHAR(34)&amp;", "&amp;CHAR(34)&amp;"lotId"&amp;CHAR(34)&amp;": "&amp;CHAR(34)&amp;SUBSTITUTE(CriteriTecnici!$C581,CHAR(34),"'")&amp;CHAR(34)&amp;", "&amp;CHAR(34)&amp;"criterionId"&amp;CHAR(34)&amp;": "&amp;CHAR(34)&amp;SUBSTITUTE(CriteriTecnici!$D581,CHAR(34),"'")&amp;CHAR(34)&amp;", "&amp;CHAR(34)&amp;"kind"&amp;CHAR(34)&amp;": "&amp;CHAR(34)&amp;SUBSTITUTE(CriteriTecnici!$F581,CHAR(34),"'")&amp;CHAR(34)&amp;", "&amp;CHAR(34)&amp;"value"&amp;CHAR(34)&amp;": "&amp;SUBSTITUTE(TRIM(ROUND(IFERROR(CriteriTecnici!$N581*1,IFERROR(NUMBERVALUE(CriteriTecnici!$N581,".",","),IFERROR(NUMBERVALUE(CriteriTecnici!$N581,",","."),0))),4)&amp;""),",",".")&amp;", "&amp;CHAR(34)&amp;"numerator"&amp;CHAR(34)&amp;": "&amp;SUBSTITUTE(TRIM(ROUND(IFERROR(CriteriTecnici!$K581*1,IFERROR(NUMBERVALUE(CriteriTecnici!$K581,".",","),IFERROR(NUMBERVALUE(CriteriTecnici!$K581,",","."),0))),4)&amp;""),",",".")&amp;", "&amp;CHAR(34)&amp;"denominator"&amp;CHAR(34)&amp;": "&amp;SUBSTITUTE(TRIM(ROUND(IFERROR(CriteriTecnici!$L581*1,IFERROR(NUMBERVALUE(CriteriTecnici!$L581,".",","),IFERROR(NUMBERVALUE(CriteriTecnici!$L581,",","."),0))),4)&amp;""),",",".")&amp;", "&amp;CHAR(34)&amp;"flag"&amp;CHAR(34)&amp;": "&amp;SUBSTITUTE(TRIM(ROUND(IFERROR(CriteriTecnici!$M581*1,IFERROR(NUMBERVALUE(CriteriTecnici!$M581,".",","),IFERROR(NUMBERVALUE(CriteriTecnici!$M581,",","."),0))),4)&amp;""),",",".")&amp;", "&amp;CHAR(34)&amp;"rawScore"&amp;CHAR(34)&amp;": "&amp;SUBSTITUTE(TRIM(ROUND(IFERROR(CriteriTecnici!$O581*1,IFERROR(NUMBERVALUE(CriteriTecnici!$O581,".",","),IFERROR(NUMBERVALUE(CriteriTecnici!$O581,",","."),0))),4)&amp;""),",",".")&amp;CHAR(125)&amp;IF(TRUE,",",""))</f>
        <v/>
      </c>
    </row>
    <row r="683">
      <c r="A683" s="82">
        <f>IF(CriteriTecnici!$A582="","","    "&amp;CHAR(123)&amp;CHAR(34)&amp;"bidderId"&amp;CHAR(34)&amp;": "&amp;CHAR(34)&amp;SUBSTITUTE(CriteriTecnici!$A582,CHAR(34),"'")&amp;CHAR(34)&amp;", "&amp;CHAR(34)&amp;"lotId"&amp;CHAR(34)&amp;": "&amp;CHAR(34)&amp;SUBSTITUTE(CriteriTecnici!$C582,CHAR(34),"'")&amp;CHAR(34)&amp;", "&amp;CHAR(34)&amp;"criterionId"&amp;CHAR(34)&amp;": "&amp;CHAR(34)&amp;SUBSTITUTE(CriteriTecnici!$D582,CHAR(34),"'")&amp;CHAR(34)&amp;", "&amp;CHAR(34)&amp;"kind"&amp;CHAR(34)&amp;": "&amp;CHAR(34)&amp;SUBSTITUTE(CriteriTecnici!$F582,CHAR(34),"'")&amp;CHAR(34)&amp;", "&amp;CHAR(34)&amp;"value"&amp;CHAR(34)&amp;": "&amp;SUBSTITUTE(TRIM(ROUND(IFERROR(CriteriTecnici!$N582*1,IFERROR(NUMBERVALUE(CriteriTecnici!$N582,".",","),IFERROR(NUMBERVALUE(CriteriTecnici!$N582,",","."),0))),4)&amp;""),",",".")&amp;", "&amp;CHAR(34)&amp;"numerator"&amp;CHAR(34)&amp;": "&amp;SUBSTITUTE(TRIM(ROUND(IFERROR(CriteriTecnici!$K582*1,IFERROR(NUMBERVALUE(CriteriTecnici!$K582,".",","),IFERROR(NUMBERVALUE(CriteriTecnici!$K582,",","."),0))),4)&amp;""),",",".")&amp;", "&amp;CHAR(34)&amp;"denominator"&amp;CHAR(34)&amp;": "&amp;SUBSTITUTE(TRIM(ROUND(IFERROR(CriteriTecnici!$L582*1,IFERROR(NUMBERVALUE(CriteriTecnici!$L582,".",","),IFERROR(NUMBERVALUE(CriteriTecnici!$L582,",","."),0))),4)&amp;""),",",".")&amp;", "&amp;CHAR(34)&amp;"flag"&amp;CHAR(34)&amp;": "&amp;SUBSTITUTE(TRIM(ROUND(IFERROR(CriteriTecnici!$M582*1,IFERROR(NUMBERVALUE(CriteriTecnici!$M582,".",","),IFERROR(NUMBERVALUE(CriteriTecnici!$M582,",","."),0))),4)&amp;""),",",".")&amp;", "&amp;CHAR(34)&amp;"rawScore"&amp;CHAR(34)&amp;": "&amp;SUBSTITUTE(TRIM(ROUND(IFERROR(CriteriTecnici!$O582*1,IFERROR(NUMBERVALUE(CriteriTecnici!$O582,".",","),IFERROR(NUMBERVALUE(CriteriTecnici!$O582,",","."),0))),4)&amp;""),",",".")&amp;CHAR(125)&amp;IF(TRUE,",",""))</f>
        <v/>
      </c>
    </row>
    <row r="684">
      <c r="A684" s="82">
        <f>IF(CriteriTecnici!$A583="","","    "&amp;CHAR(123)&amp;CHAR(34)&amp;"bidderId"&amp;CHAR(34)&amp;": "&amp;CHAR(34)&amp;SUBSTITUTE(CriteriTecnici!$A583,CHAR(34),"'")&amp;CHAR(34)&amp;", "&amp;CHAR(34)&amp;"lotId"&amp;CHAR(34)&amp;": "&amp;CHAR(34)&amp;SUBSTITUTE(CriteriTecnici!$C583,CHAR(34),"'")&amp;CHAR(34)&amp;", "&amp;CHAR(34)&amp;"criterionId"&amp;CHAR(34)&amp;": "&amp;CHAR(34)&amp;SUBSTITUTE(CriteriTecnici!$D583,CHAR(34),"'")&amp;CHAR(34)&amp;", "&amp;CHAR(34)&amp;"kind"&amp;CHAR(34)&amp;": "&amp;CHAR(34)&amp;SUBSTITUTE(CriteriTecnici!$F583,CHAR(34),"'")&amp;CHAR(34)&amp;", "&amp;CHAR(34)&amp;"value"&amp;CHAR(34)&amp;": "&amp;SUBSTITUTE(TRIM(ROUND(IFERROR(CriteriTecnici!$N583*1,IFERROR(NUMBERVALUE(CriteriTecnici!$N583,".",","),IFERROR(NUMBERVALUE(CriteriTecnici!$N583,",","."),0))),4)&amp;""),",",".")&amp;", "&amp;CHAR(34)&amp;"numerator"&amp;CHAR(34)&amp;": "&amp;SUBSTITUTE(TRIM(ROUND(IFERROR(CriteriTecnici!$K583*1,IFERROR(NUMBERVALUE(CriteriTecnici!$K583,".",","),IFERROR(NUMBERVALUE(CriteriTecnici!$K583,",","."),0))),4)&amp;""),",",".")&amp;", "&amp;CHAR(34)&amp;"denominator"&amp;CHAR(34)&amp;": "&amp;SUBSTITUTE(TRIM(ROUND(IFERROR(CriteriTecnici!$L583*1,IFERROR(NUMBERVALUE(CriteriTecnici!$L583,".",","),IFERROR(NUMBERVALUE(CriteriTecnici!$L583,",","."),0))),4)&amp;""),",",".")&amp;", "&amp;CHAR(34)&amp;"flag"&amp;CHAR(34)&amp;": "&amp;SUBSTITUTE(TRIM(ROUND(IFERROR(CriteriTecnici!$M583*1,IFERROR(NUMBERVALUE(CriteriTecnici!$M583,".",","),IFERROR(NUMBERVALUE(CriteriTecnici!$M583,",","."),0))),4)&amp;""),",",".")&amp;", "&amp;CHAR(34)&amp;"rawScore"&amp;CHAR(34)&amp;": "&amp;SUBSTITUTE(TRIM(ROUND(IFERROR(CriteriTecnici!$O583*1,IFERROR(NUMBERVALUE(CriteriTecnici!$O583,".",","),IFERROR(NUMBERVALUE(CriteriTecnici!$O583,",","."),0))),4)&amp;""),",",".")&amp;CHAR(125)&amp;IF(TRUE,",",""))</f>
        <v/>
      </c>
    </row>
    <row r="685">
      <c r="A685" s="82">
        <f>IF(CriteriTecnici!$A584="","","    "&amp;CHAR(123)&amp;CHAR(34)&amp;"bidderId"&amp;CHAR(34)&amp;": "&amp;CHAR(34)&amp;SUBSTITUTE(CriteriTecnici!$A584,CHAR(34),"'")&amp;CHAR(34)&amp;", "&amp;CHAR(34)&amp;"lotId"&amp;CHAR(34)&amp;": "&amp;CHAR(34)&amp;SUBSTITUTE(CriteriTecnici!$C584,CHAR(34),"'")&amp;CHAR(34)&amp;", "&amp;CHAR(34)&amp;"criterionId"&amp;CHAR(34)&amp;": "&amp;CHAR(34)&amp;SUBSTITUTE(CriteriTecnici!$D584,CHAR(34),"'")&amp;CHAR(34)&amp;", "&amp;CHAR(34)&amp;"kind"&amp;CHAR(34)&amp;": "&amp;CHAR(34)&amp;SUBSTITUTE(CriteriTecnici!$F584,CHAR(34),"'")&amp;CHAR(34)&amp;", "&amp;CHAR(34)&amp;"value"&amp;CHAR(34)&amp;": "&amp;SUBSTITUTE(TRIM(ROUND(IFERROR(CriteriTecnici!$N584*1,IFERROR(NUMBERVALUE(CriteriTecnici!$N584,".",","),IFERROR(NUMBERVALUE(CriteriTecnici!$N584,",","."),0))),4)&amp;""),",",".")&amp;", "&amp;CHAR(34)&amp;"numerator"&amp;CHAR(34)&amp;": "&amp;SUBSTITUTE(TRIM(ROUND(IFERROR(CriteriTecnici!$K584*1,IFERROR(NUMBERVALUE(CriteriTecnici!$K584,".",","),IFERROR(NUMBERVALUE(CriteriTecnici!$K584,",","."),0))),4)&amp;""),",",".")&amp;", "&amp;CHAR(34)&amp;"denominator"&amp;CHAR(34)&amp;": "&amp;SUBSTITUTE(TRIM(ROUND(IFERROR(CriteriTecnici!$L584*1,IFERROR(NUMBERVALUE(CriteriTecnici!$L584,".",","),IFERROR(NUMBERVALUE(CriteriTecnici!$L584,",","."),0))),4)&amp;""),",",".")&amp;", "&amp;CHAR(34)&amp;"flag"&amp;CHAR(34)&amp;": "&amp;SUBSTITUTE(TRIM(ROUND(IFERROR(CriteriTecnici!$M584*1,IFERROR(NUMBERVALUE(CriteriTecnici!$M584,".",","),IFERROR(NUMBERVALUE(CriteriTecnici!$M584,",","."),0))),4)&amp;""),",",".")&amp;", "&amp;CHAR(34)&amp;"rawScore"&amp;CHAR(34)&amp;": "&amp;SUBSTITUTE(TRIM(ROUND(IFERROR(CriteriTecnici!$O584*1,IFERROR(NUMBERVALUE(CriteriTecnici!$O584,".",","),IFERROR(NUMBERVALUE(CriteriTecnici!$O584,",","."),0))),4)&amp;""),",",".")&amp;CHAR(125)&amp;IF(TRUE,",",""))</f>
        <v/>
      </c>
    </row>
    <row r="686">
      <c r="A686" s="82">
        <f>IF(CriteriTecnici!$A585="","","    "&amp;CHAR(123)&amp;CHAR(34)&amp;"bidderId"&amp;CHAR(34)&amp;": "&amp;CHAR(34)&amp;SUBSTITUTE(CriteriTecnici!$A585,CHAR(34),"'")&amp;CHAR(34)&amp;", "&amp;CHAR(34)&amp;"lotId"&amp;CHAR(34)&amp;": "&amp;CHAR(34)&amp;SUBSTITUTE(CriteriTecnici!$C585,CHAR(34),"'")&amp;CHAR(34)&amp;", "&amp;CHAR(34)&amp;"criterionId"&amp;CHAR(34)&amp;": "&amp;CHAR(34)&amp;SUBSTITUTE(CriteriTecnici!$D585,CHAR(34),"'")&amp;CHAR(34)&amp;", "&amp;CHAR(34)&amp;"kind"&amp;CHAR(34)&amp;": "&amp;CHAR(34)&amp;SUBSTITUTE(CriteriTecnici!$F585,CHAR(34),"'")&amp;CHAR(34)&amp;", "&amp;CHAR(34)&amp;"value"&amp;CHAR(34)&amp;": "&amp;SUBSTITUTE(TRIM(ROUND(IFERROR(CriteriTecnici!$N585*1,IFERROR(NUMBERVALUE(CriteriTecnici!$N585,".",","),IFERROR(NUMBERVALUE(CriteriTecnici!$N585,",","."),0))),4)&amp;""),",",".")&amp;", "&amp;CHAR(34)&amp;"numerator"&amp;CHAR(34)&amp;": "&amp;SUBSTITUTE(TRIM(ROUND(IFERROR(CriteriTecnici!$K585*1,IFERROR(NUMBERVALUE(CriteriTecnici!$K585,".",","),IFERROR(NUMBERVALUE(CriteriTecnici!$K585,",","."),0))),4)&amp;""),",",".")&amp;", "&amp;CHAR(34)&amp;"denominator"&amp;CHAR(34)&amp;": "&amp;SUBSTITUTE(TRIM(ROUND(IFERROR(CriteriTecnici!$L585*1,IFERROR(NUMBERVALUE(CriteriTecnici!$L585,".",","),IFERROR(NUMBERVALUE(CriteriTecnici!$L585,",","."),0))),4)&amp;""),",",".")&amp;", "&amp;CHAR(34)&amp;"flag"&amp;CHAR(34)&amp;": "&amp;SUBSTITUTE(TRIM(ROUND(IFERROR(CriteriTecnici!$M585*1,IFERROR(NUMBERVALUE(CriteriTecnici!$M585,".",","),IFERROR(NUMBERVALUE(CriteriTecnici!$M585,",","."),0))),4)&amp;""),",",".")&amp;", "&amp;CHAR(34)&amp;"rawScore"&amp;CHAR(34)&amp;": "&amp;SUBSTITUTE(TRIM(ROUND(IFERROR(CriteriTecnici!$O585*1,IFERROR(NUMBERVALUE(CriteriTecnici!$O585,".",","),IFERROR(NUMBERVALUE(CriteriTecnici!$O585,",","."),0))),4)&amp;""),",",".")&amp;CHAR(125)&amp;IF(TRUE,",",""))</f>
        <v/>
      </c>
    </row>
    <row r="687">
      <c r="A687" s="82">
        <f>IF(CriteriTecnici!$A586="","","    "&amp;CHAR(123)&amp;CHAR(34)&amp;"bidderId"&amp;CHAR(34)&amp;": "&amp;CHAR(34)&amp;SUBSTITUTE(CriteriTecnici!$A586,CHAR(34),"'")&amp;CHAR(34)&amp;", "&amp;CHAR(34)&amp;"lotId"&amp;CHAR(34)&amp;": "&amp;CHAR(34)&amp;SUBSTITUTE(CriteriTecnici!$C586,CHAR(34),"'")&amp;CHAR(34)&amp;", "&amp;CHAR(34)&amp;"criterionId"&amp;CHAR(34)&amp;": "&amp;CHAR(34)&amp;SUBSTITUTE(CriteriTecnici!$D586,CHAR(34),"'")&amp;CHAR(34)&amp;", "&amp;CHAR(34)&amp;"kind"&amp;CHAR(34)&amp;": "&amp;CHAR(34)&amp;SUBSTITUTE(CriteriTecnici!$F586,CHAR(34),"'")&amp;CHAR(34)&amp;", "&amp;CHAR(34)&amp;"value"&amp;CHAR(34)&amp;": "&amp;SUBSTITUTE(TRIM(ROUND(IFERROR(CriteriTecnici!$N586*1,IFERROR(NUMBERVALUE(CriteriTecnici!$N586,".",","),IFERROR(NUMBERVALUE(CriteriTecnici!$N586,",","."),0))),4)&amp;""),",",".")&amp;", "&amp;CHAR(34)&amp;"numerator"&amp;CHAR(34)&amp;": "&amp;SUBSTITUTE(TRIM(ROUND(IFERROR(CriteriTecnici!$K586*1,IFERROR(NUMBERVALUE(CriteriTecnici!$K586,".",","),IFERROR(NUMBERVALUE(CriteriTecnici!$K586,",","."),0))),4)&amp;""),",",".")&amp;", "&amp;CHAR(34)&amp;"denominator"&amp;CHAR(34)&amp;": "&amp;SUBSTITUTE(TRIM(ROUND(IFERROR(CriteriTecnici!$L586*1,IFERROR(NUMBERVALUE(CriteriTecnici!$L586,".",","),IFERROR(NUMBERVALUE(CriteriTecnici!$L586,",","."),0))),4)&amp;""),",",".")&amp;", "&amp;CHAR(34)&amp;"flag"&amp;CHAR(34)&amp;": "&amp;SUBSTITUTE(TRIM(ROUND(IFERROR(CriteriTecnici!$M586*1,IFERROR(NUMBERVALUE(CriteriTecnici!$M586,".",","),IFERROR(NUMBERVALUE(CriteriTecnici!$M586,",","."),0))),4)&amp;""),",",".")&amp;", "&amp;CHAR(34)&amp;"rawScore"&amp;CHAR(34)&amp;": "&amp;SUBSTITUTE(TRIM(ROUND(IFERROR(CriteriTecnici!$O586*1,IFERROR(NUMBERVALUE(CriteriTecnici!$O586,".",","),IFERROR(NUMBERVALUE(CriteriTecnici!$O586,",","."),0))),4)&amp;""),",",".")&amp;CHAR(125)&amp;IF(TRUE,",",""))</f>
        <v/>
      </c>
    </row>
    <row r="688">
      <c r="A688" s="82">
        <f>IF(CriteriTecnici!$A587="","","    "&amp;CHAR(123)&amp;CHAR(34)&amp;"bidderId"&amp;CHAR(34)&amp;": "&amp;CHAR(34)&amp;SUBSTITUTE(CriteriTecnici!$A587,CHAR(34),"'")&amp;CHAR(34)&amp;", "&amp;CHAR(34)&amp;"lotId"&amp;CHAR(34)&amp;": "&amp;CHAR(34)&amp;SUBSTITUTE(CriteriTecnici!$C587,CHAR(34),"'")&amp;CHAR(34)&amp;", "&amp;CHAR(34)&amp;"criterionId"&amp;CHAR(34)&amp;": "&amp;CHAR(34)&amp;SUBSTITUTE(CriteriTecnici!$D587,CHAR(34),"'")&amp;CHAR(34)&amp;", "&amp;CHAR(34)&amp;"kind"&amp;CHAR(34)&amp;": "&amp;CHAR(34)&amp;SUBSTITUTE(CriteriTecnici!$F587,CHAR(34),"'")&amp;CHAR(34)&amp;", "&amp;CHAR(34)&amp;"value"&amp;CHAR(34)&amp;": "&amp;SUBSTITUTE(TRIM(ROUND(IFERROR(CriteriTecnici!$N587*1,IFERROR(NUMBERVALUE(CriteriTecnici!$N587,".",","),IFERROR(NUMBERVALUE(CriteriTecnici!$N587,",","."),0))),4)&amp;""),",",".")&amp;", "&amp;CHAR(34)&amp;"numerator"&amp;CHAR(34)&amp;": "&amp;SUBSTITUTE(TRIM(ROUND(IFERROR(CriteriTecnici!$K587*1,IFERROR(NUMBERVALUE(CriteriTecnici!$K587,".",","),IFERROR(NUMBERVALUE(CriteriTecnici!$K587,",","."),0))),4)&amp;""),",",".")&amp;", "&amp;CHAR(34)&amp;"denominator"&amp;CHAR(34)&amp;": "&amp;SUBSTITUTE(TRIM(ROUND(IFERROR(CriteriTecnici!$L587*1,IFERROR(NUMBERVALUE(CriteriTecnici!$L587,".",","),IFERROR(NUMBERVALUE(CriteriTecnici!$L587,",","."),0))),4)&amp;""),",",".")&amp;", "&amp;CHAR(34)&amp;"flag"&amp;CHAR(34)&amp;": "&amp;SUBSTITUTE(TRIM(ROUND(IFERROR(CriteriTecnici!$M587*1,IFERROR(NUMBERVALUE(CriteriTecnici!$M587,".",","),IFERROR(NUMBERVALUE(CriteriTecnici!$M587,",","."),0))),4)&amp;""),",",".")&amp;", "&amp;CHAR(34)&amp;"rawScore"&amp;CHAR(34)&amp;": "&amp;SUBSTITUTE(TRIM(ROUND(IFERROR(CriteriTecnici!$O587*1,IFERROR(NUMBERVALUE(CriteriTecnici!$O587,".",","),IFERROR(NUMBERVALUE(CriteriTecnici!$O587,",","."),0))),4)&amp;""),",",".")&amp;CHAR(125)&amp;IF(TRUE,",",""))</f>
        <v/>
      </c>
    </row>
    <row r="689">
      <c r="A689" s="82">
        <f>IF(CriteriTecnici!$A588="","","    "&amp;CHAR(123)&amp;CHAR(34)&amp;"bidderId"&amp;CHAR(34)&amp;": "&amp;CHAR(34)&amp;SUBSTITUTE(CriteriTecnici!$A588,CHAR(34),"'")&amp;CHAR(34)&amp;", "&amp;CHAR(34)&amp;"lotId"&amp;CHAR(34)&amp;": "&amp;CHAR(34)&amp;SUBSTITUTE(CriteriTecnici!$C588,CHAR(34),"'")&amp;CHAR(34)&amp;", "&amp;CHAR(34)&amp;"criterionId"&amp;CHAR(34)&amp;": "&amp;CHAR(34)&amp;SUBSTITUTE(CriteriTecnici!$D588,CHAR(34),"'")&amp;CHAR(34)&amp;", "&amp;CHAR(34)&amp;"kind"&amp;CHAR(34)&amp;": "&amp;CHAR(34)&amp;SUBSTITUTE(CriteriTecnici!$F588,CHAR(34),"'")&amp;CHAR(34)&amp;", "&amp;CHAR(34)&amp;"value"&amp;CHAR(34)&amp;": "&amp;SUBSTITUTE(TRIM(ROUND(IFERROR(CriteriTecnici!$N588*1,IFERROR(NUMBERVALUE(CriteriTecnici!$N588,".",","),IFERROR(NUMBERVALUE(CriteriTecnici!$N588,",","."),0))),4)&amp;""),",",".")&amp;", "&amp;CHAR(34)&amp;"numerator"&amp;CHAR(34)&amp;": "&amp;SUBSTITUTE(TRIM(ROUND(IFERROR(CriteriTecnici!$K588*1,IFERROR(NUMBERVALUE(CriteriTecnici!$K588,".",","),IFERROR(NUMBERVALUE(CriteriTecnici!$K588,",","."),0))),4)&amp;""),",",".")&amp;", "&amp;CHAR(34)&amp;"denominator"&amp;CHAR(34)&amp;": "&amp;SUBSTITUTE(TRIM(ROUND(IFERROR(CriteriTecnici!$L588*1,IFERROR(NUMBERVALUE(CriteriTecnici!$L588,".",","),IFERROR(NUMBERVALUE(CriteriTecnici!$L588,",","."),0))),4)&amp;""),",",".")&amp;", "&amp;CHAR(34)&amp;"flag"&amp;CHAR(34)&amp;": "&amp;SUBSTITUTE(TRIM(ROUND(IFERROR(CriteriTecnici!$M588*1,IFERROR(NUMBERVALUE(CriteriTecnici!$M588,".",","),IFERROR(NUMBERVALUE(CriteriTecnici!$M588,",","."),0))),4)&amp;""),",",".")&amp;", "&amp;CHAR(34)&amp;"rawScore"&amp;CHAR(34)&amp;": "&amp;SUBSTITUTE(TRIM(ROUND(IFERROR(CriteriTecnici!$O588*1,IFERROR(NUMBERVALUE(CriteriTecnici!$O588,".",","),IFERROR(NUMBERVALUE(CriteriTecnici!$O588,",","."),0))),4)&amp;""),",",".")&amp;CHAR(125)&amp;IF(TRUE,",",""))</f>
        <v/>
      </c>
    </row>
    <row r="690">
      <c r="A690" s="82">
        <f>IF(CriteriTecnici!$A589="","","    "&amp;CHAR(123)&amp;CHAR(34)&amp;"bidderId"&amp;CHAR(34)&amp;": "&amp;CHAR(34)&amp;SUBSTITUTE(CriteriTecnici!$A589,CHAR(34),"'")&amp;CHAR(34)&amp;", "&amp;CHAR(34)&amp;"lotId"&amp;CHAR(34)&amp;": "&amp;CHAR(34)&amp;SUBSTITUTE(CriteriTecnici!$C589,CHAR(34),"'")&amp;CHAR(34)&amp;", "&amp;CHAR(34)&amp;"criterionId"&amp;CHAR(34)&amp;": "&amp;CHAR(34)&amp;SUBSTITUTE(CriteriTecnici!$D589,CHAR(34),"'")&amp;CHAR(34)&amp;", "&amp;CHAR(34)&amp;"kind"&amp;CHAR(34)&amp;": "&amp;CHAR(34)&amp;SUBSTITUTE(CriteriTecnici!$F589,CHAR(34),"'")&amp;CHAR(34)&amp;", "&amp;CHAR(34)&amp;"value"&amp;CHAR(34)&amp;": "&amp;SUBSTITUTE(TRIM(ROUND(IFERROR(CriteriTecnici!$N589*1,IFERROR(NUMBERVALUE(CriteriTecnici!$N589,".",","),IFERROR(NUMBERVALUE(CriteriTecnici!$N589,",","."),0))),4)&amp;""),",",".")&amp;", "&amp;CHAR(34)&amp;"numerator"&amp;CHAR(34)&amp;": "&amp;SUBSTITUTE(TRIM(ROUND(IFERROR(CriteriTecnici!$K589*1,IFERROR(NUMBERVALUE(CriteriTecnici!$K589,".",","),IFERROR(NUMBERVALUE(CriteriTecnici!$K589,",","."),0))),4)&amp;""),",",".")&amp;", "&amp;CHAR(34)&amp;"denominator"&amp;CHAR(34)&amp;": "&amp;SUBSTITUTE(TRIM(ROUND(IFERROR(CriteriTecnici!$L589*1,IFERROR(NUMBERVALUE(CriteriTecnici!$L589,".",","),IFERROR(NUMBERVALUE(CriteriTecnici!$L589,",","."),0))),4)&amp;""),",",".")&amp;", "&amp;CHAR(34)&amp;"flag"&amp;CHAR(34)&amp;": "&amp;SUBSTITUTE(TRIM(ROUND(IFERROR(CriteriTecnici!$M589*1,IFERROR(NUMBERVALUE(CriteriTecnici!$M589,".",","),IFERROR(NUMBERVALUE(CriteriTecnici!$M589,",","."),0))),4)&amp;""),",",".")&amp;", "&amp;CHAR(34)&amp;"rawScore"&amp;CHAR(34)&amp;": "&amp;SUBSTITUTE(TRIM(ROUND(IFERROR(CriteriTecnici!$O589*1,IFERROR(NUMBERVALUE(CriteriTecnici!$O589,".",","),IFERROR(NUMBERVALUE(CriteriTecnici!$O589,",","."),0))),4)&amp;""),",",".")&amp;CHAR(125)&amp;IF(TRUE,",",""))</f>
        <v/>
      </c>
    </row>
    <row r="691">
      <c r="A691" s="82">
        <f>IF(CriteriTecnici!$A590="","","    "&amp;CHAR(123)&amp;CHAR(34)&amp;"bidderId"&amp;CHAR(34)&amp;": "&amp;CHAR(34)&amp;SUBSTITUTE(CriteriTecnici!$A590,CHAR(34),"'")&amp;CHAR(34)&amp;", "&amp;CHAR(34)&amp;"lotId"&amp;CHAR(34)&amp;": "&amp;CHAR(34)&amp;SUBSTITUTE(CriteriTecnici!$C590,CHAR(34),"'")&amp;CHAR(34)&amp;", "&amp;CHAR(34)&amp;"criterionId"&amp;CHAR(34)&amp;": "&amp;CHAR(34)&amp;SUBSTITUTE(CriteriTecnici!$D590,CHAR(34),"'")&amp;CHAR(34)&amp;", "&amp;CHAR(34)&amp;"kind"&amp;CHAR(34)&amp;": "&amp;CHAR(34)&amp;SUBSTITUTE(CriteriTecnici!$F590,CHAR(34),"'")&amp;CHAR(34)&amp;", "&amp;CHAR(34)&amp;"value"&amp;CHAR(34)&amp;": "&amp;SUBSTITUTE(TRIM(ROUND(IFERROR(CriteriTecnici!$N590*1,IFERROR(NUMBERVALUE(CriteriTecnici!$N590,".",","),IFERROR(NUMBERVALUE(CriteriTecnici!$N590,",","."),0))),4)&amp;""),",",".")&amp;", "&amp;CHAR(34)&amp;"numerator"&amp;CHAR(34)&amp;": "&amp;SUBSTITUTE(TRIM(ROUND(IFERROR(CriteriTecnici!$K590*1,IFERROR(NUMBERVALUE(CriteriTecnici!$K590,".",","),IFERROR(NUMBERVALUE(CriteriTecnici!$K590,",","."),0))),4)&amp;""),",",".")&amp;", "&amp;CHAR(34)&amp;"denominator"&amp;CHAR(34)&amp;": "&amp;SUBSTITUTE(TRIM(ROUND(IFERROR(CriteriTecnici!$L590*1,IFERROR(NUMBERVALUE(CriteriTecnici!$L590,".",","),IFERROR(NUMBERVALUE(CriteriTecnici!$L590,",","."),0))),4)&amp;""),",",".")&amp;", "&amp;CHAR(34)&amp;"flag"&amp;CHAR(34)&amp;": "&amp;SUBSTITUTE(TRIM(ROUND(IFERROR(CriteriTecnici!$M590*1,IFERROR(NUMBERVALUE(CriteriTecnici!$M590,".",","),IFERROR(NUMBERVALUE(CriteriTecnici!$M590,",","."),0))),4)&amp;""),",",".")&amp;", "&amp;CHAR(34)&amp;"rawScore"&amp;CHAR(34)&amp;": "&amp;SUBSTITUTE(TRIM(ROUND(IFERROR(CriteriTecnici!$O590*1,IFERROR(NUMBERVALUE(CriteriTecnici!$O590,".",","),IFERROR(NUMBERVALUE(CriteriTecnici!$O590,",","."),0))),4)&amp;""),",",".")&amp;CHAR(125)&amp;IF(TRUE,",",""))</f>
        <v/>
      </c>
    </row>
    <row r="692">
      <c r="A692" s="82">
        <f>IF(CriteriTecnici!$A591="","","    "&amp;CHAR(123)&amp;CHAR(34)&amp;"bidderId"&amp;CHAR(34)&amp;": "&amp;CHAR(34)&amp;SUBSTITUTE(CriteriTecnici!$A591,CHAR(34),"'")&amp;CHAR(34)&amp;", "&amp;CHAR(34)&amp;"lotId"&amp;CHAR(34)&amp;": "&amp;CHAR(34)&amp;SUBSTITUTE(CriteriTecnici!$C591,CHAR(34),"'")&amp;CHAR(34)&amp;", "&amp;CHAR(34)&amp;"criterionId"&amp;CHAR(34)&amp;": "&amp;CHAR(34)&amp;SUBSTITUTE(CriteriTecnici!$D591,CHAR(34),"'")&amp;CHAR(34)&amp;", "&amp;CHAR(34)&amp;"kind"&amp;CHAR(34)&amp;": "&amp;CHAR(34)&amp;SUBSTITUTE(CriteriTecnici!$F591,CHAR(34),"'")&amp;CHAR(34)&amp;", "&amp;CHAR(34)&amp;"value"&amp;CHAR(34)&amp;": "&amp;SUBSTITUTE(TRIM(ROUND(IFERROR(CriteriTecnici!$N591*1,IFERROR(NUMBERVALUE(CriteriTecnici!$N591,".",","),IFERROR(NUMBERVALUE(CriteriTecnici!$N591,",","."),0))),4)&amp;""),",",".")&amp;", "&amp;CHAR(34)&amp;"numerator"&amp;CHAR(34)&amp;": "&amp;SUBSTITUTE(TRIM(ROUND(IFERROR(CriteriTecnici!$K591*1,IFERROR(NUMBERVALUE(CriteriTecnici!$K591,".",","),IFERROR(NUMBERVALUE(CriteriTecnici!$K591,",","."),0))),4)&amp;""),",",".")&amp;", "&amp;CHAR(34)&amp;"denominator"&amp;CHAR(34)&amp;": "&amp;SUBSTITUTE(TRIM(ROUND(IFERROR(CriteriTecnici!$L591*1,IFERROR(NUMBERVALUE(CriteriTecnici!$L591,".",","),IFERROR(NUMBERVALUE(CriteriTecnici!$L591,",","."),0))),4)&amp;""),",",".")&amp;", "&amp;CHAR(34)&amp;"flag"&amp;CHAR(34)&amp;": "&amp;SUBSTITUTE(TRIM(ROUND(IFERROR(CriteriTecnici!$M591*1,IFERROR(NUMBERVALUE(CriteriTecnici!$M591,".",","),IFERROR(NUMBERVALUE(CriteriTecnici!$M591,",","."),0))),4)&amp;""),",",".")&amp;", "&amp;CHAR(34)&amp;"rawScore"&amp;CHAR(34)&amp;": "&amp;SUBSTITUTE(TRIM(ROUND(IFERROR(CriteriTecnici!$O591*1,IFERROR(NUMBERVALUE(CriteriTecnici!$O591,".",","),IFERROR(NUMBERVALUE(CriteriTecnici!$O591,",","."),0))),4)&amp;""),",",".")&amp;CHAR(125)&amp;IF(TRUE,",",""))</f>
        <v/>
      </c>
    </row>
    <row r="693">
      <c r="A693" s="82">
        <f>IF(CriteriTecnici!$A592="","","    "&amp;CHAR(123)&amp;CHAR(34)&amp;"bidderId"&amp;CHAR(34)&amp;": "&amp;CHAR(34)&amp;SUBSTITUTE(CriteriTecnici!$A592,CHAR(34),"'")&amp;CHAR(34)&amp;", "&amp;CHAR(34)&amp;"lotId"&amp;CHAR(34)&amp;": "&amp;CHAR(34)&amp;SUBSTITUTE(CriteriTecnici!$C592,CHAR(34),"'")&amp;CHAR(34)&amp;", "&amp;CHAR(34)&amp;"criterionId"&amp;CHAR(34)&amp;": "&amp;CHAR(34)&amp;SUBSTITUTE(CriteriTecnici!$D592,CHAR(34),"'")&amp;CHAR(34)&amp;", "&amp;CHAR(34)&amp;"kind"&amp;CHAR(34)&amp;": "&amp;CHAR(34)&amp;SUBSTITUTE(CriteriTecnici!$F592,CHAR(34),"'")&amp;CHAR(34)&amp;", "&amp;CHAR(34)&amp;"value"&amp;CHAR(34)&amp;": "&amp;SUBSTITUTE(TRIM(ROUND(IFERROR(CriteriTecnici!$N592*1,IFERROR(NUMBERVALUE(CriteriTecnici!$N592,".",","),IFERROR(NUMBERVALUE(CriteriTecnici!$N592,",","."),0))),4)&amp;""),",",".")&amp;", "&amp;CHAR(34)&amp;"numerator"&amp;CHAR(34)&amp;": "&amp;SUBSTITUTE(TRIM(ROUND(IFERROR(CriteriTecnici!$K592*1,IFERROR(NUMBERVALUE(CriteriTecnici!$K592,".",","),IFERROR(NUMBERVALUE(CriteriTecnici!$K592,",","."),0))),4)&amp;""),",",".")&amp;", "&amp;CHAR(34)&amp;"denominator"&amp;CHAR(34)&amp;": "&amp;SUBSTITUTE(TRIM(ROUND(IFERROR(CriteriTecnici!$L592*1,IFERROR(NUMBERVALUE(CriteriTecnici!$L592,".",","),IFERROR(NUMBERVALUE(CriteriTecnici!$L592,",","."),0))),4)&amp;""),",",".")&amp;", "&amp;CHAR(34)&amp;"flag"&amp;CHAR(34)&amp;": "&amp;SUBSTITUTE(TRIM(ROUND(IFERROR(CriteriTecnici!$M592*1,IFERROR(NUMBERVALUE(CriteriTecnici!$M592,".",","),IFERROR(NUMBERVALUE(CriteriTecnici!$M592,",","."),0))),4)&amp;""),",",".")&amp;", "&amp;CHAR(34)&amp;"rawScore"&amp;CHAR(34)&amp;": "&amp;SUBSTITUTE(TRIM(ROUND(IFERROR(CriteriTecnici!$O592*1,IFERROR(NUMBERVALUE(CriteriTecnici!$O592,".",","),IFERROR(NUMBERVALUE(CriteriTecnici!$O592,",","."),0))),4)&amp;""),",",".")&amp;CHAR(125)&amp;IF(TRUE,",",""))</f>
        <v/>
      </c>
    </row>
    <row r="694">
      <c r="A694" s="82">
        <f>IF(CriteriTecnici!$A593="","","    "&amp;CHAR(123)&amp;CHAR(34)&amp;"bidderId"&amp;CHAR(34)&amp;": "&amp;CHAR(34)&amp;SUBSTITUTE(CriteriTecnici!$A593,CHAR(34),"'")&amp;CHAR(34)&amp;", "&amp;CHAR(34)&amp;"lotId"&amp;CHAR(34)&amp;": "&amp;CHAR(34)&amp;SUBSTITUTE(CriteriTecnici!$C593,CHAR(34),"'")&amp;CHAR(34)&amp;", "&amp;CHAR(34)&amp;"criterionId"&amp;CHAR(34)&amp;": "&amp;CHAR(34)&amp;SUBSTITUTE(CriteriTecnici!$D593,CHAR(34),"'")&amp;CHAR(34)&amp;", "&amp;CHAR(34)&amp;"kind"&amp;CHAR(34)&amp;": "&amp;CHAR(34)&amp;SUBSTITUTE(CriteriTecnici!$F593,CHAR(34),"'")&amp;CHAR(34)&amp;", "&amp;CHAR(34)&amp;"value"&amp;CHAR(34)&amp;": "&amp;SUBSTITUTE(TRIM(ROUND(IFERROR(CriteriTecnici!$N593*1,IFERROR(NUMBERVALUE(CriteriTecnici!$N593,".",","),IFERROR(NUMBERVALUE(CriteriTecnici!$N593,",","."),0))),4)&amp;""),",",".")&amp;", "&amp;CHAR(34)&amp;"numerator"&amp;CHAR(34)&amp;": "&amp;SUBSTITUTE(TRIM(ROUND(IFERROR(CriteriTecnici!$K593*1,IFERROR(NUMBERVALUE(CriteriTecnici!$K593,".",","),IFERROR(NUMBERVALUE(CriteriTecnici!$K593,",","."),0))),4)&amp;""),",",".")&amp;", "&amp;CHAR(34)&amp;"denominator"&amp;CHAR(34)&amp;": "&amp;SUBSTITUTE(TRIM(ROUND(IFERROR(CriteriTecnici!$L593*1,IFERROR(NUMBERVALUE(CriteriTecnici!$L593,".",","),IFERROR(NUMBERVALUE(CriteriTecnici!$L593,",","."),0))),4)&amp;""),",",".")&amp;", "&amp;CHAR(34)&amp;"flag"&amp;CHAR(34)&amp;": "&amp;SUBSTITUTE(TRIM(ROUND(IFERROR(CriteriTecnici!$M593*1,IFERROR(NUMBERVALUE(CriteriTecnici!$M593,".",","),IFERROR(NUMBERVALUE(CriteriTecnici!$M593,",","."),0))),4)&amp;""),",",".")&amp;", "&amp;CHAR(34)&amp;"rawScore"&amp;CHAR(34)&amp;": "&amp;SUBSTITUTE(TRIM(ROUND(IFERROR(CriteriTecnici!$O593*1,IFERROR(NUMBERVALUE(CriteriTecnici!$O593,".",","),IFERROR(NUMBERVALUE(CriteriTecnici!$O593,",","."),0))),4)&amp;""),",",".")&amp;CHAR(125)&amp;IF(COUNTA(Offerte!$A21:$A$81)&gt;0,",",""))</f>
        <v/>
      </c>
    </row>
    <row r="695">
      <c r="A695" s="82">
        <f>IF(CriteriTecnici!$A594="","","    "&amp;CHAR(123)&amp;CHAR(34)&amp;"bidderId"&amp;CHAR(34)&amp;": "&amp;CHAR(34)&amp;SUBSTITUTE(CriteriTecnici!$A594,CHAR(34),"'")&amp;CHAR(34)&amp;", "&amp;CHAR(34)&amp;"lotId"&amp;CHAR(34)&amp;": "&amp;CHAR(34)&amp;SUBSTITUTE(CriteriTecnici!$C594,CHAR(34),"'")&amp;CHAR(34)&amp;", "&amp;CHAR(34)&amp;"criterionId"&amp;CHAR(34)&amp;": "&amp;CHAR(34)&amp;SUBSTITUTE(CriteriTecnici!$D594,CHAR(34),"'")&amp;CHAR(34)&amp;", "&amp;CHAR(34)&amp;"kind"&amp;CHAR(34)&amp;": "&amp;CHAR(34)&amp;SUBSTITUTE(CriteriTecnici!$F594,CHAR(34),"'")&amp;CHAR(34)&amp;", "&amp;CHAR(34)&amp;"value"&amp;CHAR(34)&amp;": "&amp;SUBSTITUTE(TRIM(ROUND(IFERROR(CriteriTecnici!$N594*1,IFERROR(NUMBERVALUE(CriteriTecnici!$N594,".",","),IFERROR(NUMBERVALUE(CriteriTecnici!$N594,",","."),0))),4)&amp;""),",",".")&amp;", "&amp;CHAR(34)&amp;"numerator"&amp;CHAR(34)&amp;": "&amp;SUBSTITUTE(TRIM(ROUND(IFERROR(CriteriTecnici!$K594*1,IFERROR(NUMBERVALUE(CriteriTecnici!$K594,".",","),IFERROR(NUMBERVALUE(CriteriTecnici!$K594,",","."),0))),4)&amp;""),",",".")&amp;", "&amp;CHAR(34)&amp;"denominator"&amp;CHAR(34)&amp;": "&amp;SUBSTITUTE(TRIM(ROUND(IFERROR(CriteriTecnici!$L594*1,IFERROR(NUMBERVALUE(CriteriTecnici!$L594,".",","),IFERROR(NUMBERVALUE(CriteriTecnici!$L594,",","."),0))),4)&amp;""),",",".")&amp;", "&amp;CHAR(34)&amp;"flag"&amp;CHAR(34)&amp;": "&amp;SUBSTITUTE(TRIM(ROUND(IFERROR(CriteriTecnici!$M594*1,IFERROR(NUMBERVALUE(CriteriTecnici!$M594,".",","),IFERROR(NUMBERVALUE(CriteriTecnici!$M594,",","."),0))),4)&amp;""),",",".")&amp;", "&amp;CHAR(34)&amp;"rawScore"&amp;CHAR(34)&amp;": "&amp;SUBSTITUTE(TRIM(ROUND(IFERROR(CriteriTecnici!$O594*1,IFERROR(NUMBERVALUE(CriteriTecnici!$O594,".",","),IFERROR(NUMBERVALUE(CriteriTecnici!$O594,",","."),0))),4)&amp;""),",",".")&amp;CHAR(125)&amp;IF(TRUE,",",""))</f>
        <v/>
      </c>
    </row>
    <row r="696">
      <c r="A696" s="82">
        <f>IF(CriteriTecnici!$A595="","","    "&amp;CHAR(123)&amp;CHAR(34)&amp;"bidderId"&amp;CHAR(34)&amp;": "&amp;CHAR(34)&amp;SUBSTITUTE(CriteriTecnici!$A595,CHAR(34),"'")&amp;CHAR(34)&amp;", "&amp;CHAR(34)&amp;"lotId"&amp;CHAR(34)&amp;": "&amp;CHAR(34)&amp;SUBSTITUTE(CriteriTecnici!$C595,CHAR(34),"'")&amp;CHAR(34)&amp;", "&amp;CHAR(34)&amp;"criterionId"&amp;CHAR(34)&amp;": "&amp;CHAR(34)&amp;SUBSTITUTE(CriteriTecnici!$D595,CHAR(34),"'")&amp;CHAR(34)&amp;", "&amp;CHAR(34)&amp;"kind"&amp;CHAR(34)&amp;": "&amp;CHAR(34)&amp;SUBSTITUTE(CriteriTecnici!$F595,CHAR(34),"'")&amp;CHAR(34)&amp;", "&amp;CHAR(34)&amp;"value"&amp;CHAR(34)&amp;": "&amp;SUBSTITUTE(TRIM(ROUND(IFERROR(CriteriTecnici!$N595*1,IFERROR(NUMBERVALUE(CriteriTecnici!$N595,".",","),IFERROR(NUMBERVALUE(CriteriTecnici!$N595,",","."),0))),4)&amp;""),",",".")&amp;", "&amp;CHAR(34)&amp;"numerator"&amp;CHAR(34)&amp;": "&amp;SUBSTITUTE(TRIM(ROUND(IFERROR(CriteriTecnici!$K595*1,IFERROR(NUMBERVALUE(CriteriTecnici!$K595,".",","),IFERROR(NUMBERVALUE(CriteriTecnici!$K595,",","."),0))),4)&amp;""),",",".")&amp;", "&amp;CHAR(34)&amp;"denominator"&amp;CHAR(34)&amp;": "&amp;SUBSTITUTE(TRIM(ROUND(IFERROR(CriteriTecnici!$L595*1,IFERROR(NUMBERVALUE(CriteriTecnici!$L595,".",","),IFERROR(NUMBERVALUE(CriteriTecnici!$L595,",","."),0))),4)&amp;""),",",".")&amp;", "&amp;CHAR(34)&amp;"flag"&amp;CHAR(34)&amp;": "&amp;SUBSTITUTE(TRIM(ROUND(IFERROR(CriteriTecnici!$M595*1,IFERROR(NUMBERVALUE(CriteriTecnici!$M595,".",","),IFERROR(NUMBERVALUE(CriteriTecnici!$M595,",","."),0))),4)&amp;""),",",".")&amp;", "&amp;CHAR(34)&amp;"rawScore"&amp;CHAR(34)&amp;": "&amp;SUBSTITUTE(TRIM(ROUND(IFERROR(CriteriTecnici!$O595*1,IFERROR(NUMBERVALUE(CriteriTecnici!$O595,".",","),IFERROR(NUMBERVALUE(CriteriTecnici!$O595,",","."),0))),4)&amp;""),",",".")&amp;CHAR(125)&amp;IF(TRUE,",",""))</f>
        <v/>
      </c>
    </row>
    <row r="697">
      <c r="A697" s="82">
        <f>IF(CriteriTecnici!$A596="","","    "&amp;CHAR(123)&amp;CHAR(34)&amp;"bidderId"&amp;CHAR(34)&amp;": "&amp;CHAR(34)&amp;SUBSTITUTE(CriteriTecnici!$A596,CHAR(34),"'")&amp;CHAR(34)&amp;", "&amp;CHAR(34)&amp;"lotId"&amp;CHAR(34)&amp;": "&amp;CHAR(34)&amp;SUBSTITUTE(CriteriTecnici!$C596,CHAR(34),"'")&amp;CHAR(34)&amp;", "&amp;CHAR(34)&amp;"criterionId"&amp;CHAR(34)&amp;": "&amp;CHAR(34)&amp;SUBSTITUTE(CriteriTecnici!$D596,CHAR(34),"'")&amp;CHAR(34)&amp;", "&amp;CHAR(34)&amp;"kind"&amp;CHAR(34)&amp;": "&amp;CHAR(34)&amp;SUBSTITUTE(CriteriTecnici!$F596,CHAR(34),"'")&amp;CHAR(34)&amp;", "&amp;CHAR(34)&amp;"value"&amp;CHAR(34)&amp;": "&amp;SUBSTITUTE(TRIM(ROUND(IFERROR(CriteriTecnici!$N596*1,IFERROR(NUMBERVALUE(CriteriTecnici!$N596,".",","),IFERROR(NUMBERVALUE(CriteriTecnici!$N596,",","."),0))),4)&amp;""),",",".")&amp;", "&amp;CHAR(34)&amp;"numerator"&amp;CHAR(34)&amp;": "&amp;SUBSTITUTE(TRIM(ROUND(IFERROR(CriteriTecnici!$K596*1,IFERROR(NUMBERVALUE(CriteriTecnici!$K596,".",","),IFERROR(NUMBERVALUE(CriteriTecnici!$K596,",","."),0))),4)&amp;""),",",".")&amp;", "&amp;CHAR(34)&amp;"denominator"&amp;CHAR(34)&amp;": "&amp;SUBSTITUTE(TRIM(ROUND(IFERROR(CriteriTecnici!$L596*1,IFERROR(NUMBERVALUE(CriteriTecnici!$L596,".",","),IFERROR(NUMBERVALUE(CriteriTecnici!$L596,",","."),0))),4)&amp;""),",",".")&amp;", "&amp;CHAR(34)&amp;"flag"&amp;CHAR(34)&amp;": "&amp;SUBSTITUTE(TRIM(ROUND(IFERROR(CriteriTecnici!$M596*1,IFERROR(NUMBERVALUE(CriteriTecnici!$M596,".",","),IFERROR(NUMBERVALUE(CriteriTecnici!$M596,",","."),0))),4)&amp;""),",",".")&amp;", "&amp;CHAR(34)&amp;"rawScore"&amp;CHAR(34)&amp;": "&amp;SUBSTITUTE(TRIM(ROUND(IFERROR(CriteriTecnici!$O596*1,IFERROR(NUMBERVALUE(CriteriTecnici!$O596,".",","),IFERROR(NUMBERVALUE(CriteriTecnici!$O596,",","."),0))),4)&amp;""),",",".")&amp;CHAR(125)&amp;IF(TRUE,",",""))</f>
        <v/>
      </c>
    </row>
    <row r="698">
      <c r="A698" s="82">
        <f>IF(CriteriTecnici!$A597="","","    "&amp;CHAR(123)&amp;CHAR(34)&amp;"bidderId"&amp;CHAR(34)&amp;": "&amp;CHAR(34)&amp;SUBSTITUTE(CriteriTecnici!$A597,CHAR(34),"'")&amp;CHAR(34)&amp;", "&amp;CHAR(34)&amp;"lotId"&amp;CHAR(34)&amp;": "&amp;CHAR(34)&amp;SUBSTITUTE(CriteriTecnici!$C597,CHAR(34),"'")&amp;CHAR(34)&amp;", "&amp;CHAR(34)&amp;"criterionId"&amp;CHAR(34)&amp;": "&amp;CHAR(34)&amp;SUBSTITUTE(CriteriTecnici!$D597,CHAR(34),"'")&amp;CHAR(34)&amp;", "&amp;CHAR(34)&amp;"kind"&amp;CHAR(34)&amp;": "&amp;CHAR(34)&amp;SUBSTITUTE(CriteriTecnici!$F597,CHAR(34),"'")&amp;CHAR(34)&amp;", "&amp;CHAR(34)&amp;"value"&amp;CHAR(34)&amp;": "&amp;SUBSTITUTE(TRIM(ROUND(IFERROR(CriteriTecnici!$N597*1,IFERROR(NUMBERVALUE(CriteriTecnici!$N597,".",","),IFERROR(NUMBERVALUE(CriteriTecnici!$N597,",","."),0))),4)&amp;""),",",".")&amp;", "&amp;CHAR(34)&amp;"numerator"&amp;CHAR(34)&amp;": "&amp;SUBSTITUTE(TRIM(ROUND(IFERROR(CriteriTecnici!$K597*1,IFERROR(NUMBERVALUE(CriteriTecnici!$K597,".",","),IFERROR(NUMBERVALUE(CriteriTecnici!$K597,",","."),0))),4)&amp;""),",",".")&amp;", "&amp;CHAR(34)&amp;"denominator"&amp;CHAR(34)&amp;": "&amp;SUBSTITUTE(TRIM(ROUND(IFERROR(CriteriTecnici!$L597*1,IFERROR(NUMBERVALUE(CriteriTecnici!$L597,".",","),IFERROR(NUMBERVALUE(CriteriTecnici!$L597,",","."),0))),4)&amp;""),",",".")&amp;", "&amp;CHAR(34)&amp;"flag"&amp;CHAR(34)&amp;": "&amp;SUBSTITUTE(TRIM(ROUND(IFERROR(CriteriTecnici!$M597*1,IFERROR(NUMBERVALUE(CriteriTecnici!$M597,".",","),IFERROR(NUMBERVALUE(CriteriTecnici!$M597,",","."),0))),4)&amp;""),",",".")&amp;", "&amp;CHAR(34)&amp;"rawScore"&amp;CHAR(34)&amp;": "&amp;SUBSTITUTE(TRIM(ROUND(IFERROR(CriteriTecnici!$O597*1,IFERROR(NUMBERVALUE(CriteriTecnici!$O597,".",","),IFERROR(NUMBERVALUE(CriteriTecnici!$O597,",","."),0))),4)&amp;""),",",".")&amp;CHAR(125)&amp;IF(TRUE,",",""))</f>
        <v/>
      </c>
    </row>
    <row r="699">
      <c r="A699" s="82">
        <f>IF(CriteriTecnici!$A598="","","    "&amp;CHAR(123)&amp;CHAR(34)&amp;"bidderId"&amp;CHAR(34)&amp;": "&amp;CHAR(34)&amp;SUBSTITUTE(CriteriTecnici!$A598,CHAR(34),"'")&amp;CHAR(34)&amp;", "&amp;CHAR(34)&amp;"lotId"&amp;CHAR(34)&amp;": "&amp;CHAR(34)&amp;SUBSTITUTE(CriteriTecnici!$C598,CHAR(34),"'")&amp;CHAR(34)&amp;", "&amp;CHAR(34)&amp;"criterionId"&amp;CHAR(34)&amp;": "&amp;CHAR(34)&amp;SUBSTITUTE(CriteriTecnici!$D598,CHAR(34),"'")&amp;CHAR(34)&amp;", "&amp;CHAR(34)&amp;"kind"&amp;CHAR(34)&amp;": "&amp;CHAR(34)&amp;SUBSTITUTE(CriteriTecnici!$F598,CHAR(34),"'")&amp;CHAR(34)&amp;", "&amp;CHAR(34)&amp;"value"&amp;CHAR(34)&amp;": "&amp;SUBSTITUTE(TRIM(ROUND(IFERROR(CriteriTecnici!$N598*1,IFERROR(NUMBERVALUE(CriteriTecnici!$N598,".",","),IFERROR(NUMBERVALUE(CriteriTecnici!$N598,",","."),0))),4)&amp;""),",",".")&amp;", "&amp;CHAR(34)&amp;"numerator"&amp;CHAR(34)&amp;": "&amp;SUBSTITUTE(TRIM(ROUND(IFERROR(CriteriTecnici!$K598*1,IFERROR(NUMBERVALUE(CriteriTecnici!$K598,".",","),IFERROR(NUMBERVALUE(CriteriTecnici!$K598,",","."),0))),4)&amp;""),",",".")&amp;", "&amp;CHAR(34)&amp;"denominator"&amp;CHAR(34)&amp;": "&amp;SUBSTITUTE(TRIM(ROUND(IFERROR(CriteriTecnici!$L598*1,IFERROR(NUMBERVALUE(CriteriTecnici!$L598,".",","),IFERROR(NUMBERVALUE(CriteriTecnici!$L598,",","."),0))),4)&amp;""),",",".")&amp;", "&amp;CHAR(34)&amp;"flag"&amp;CHAR(34)&amp;": "&amp;SUBSTITUTE(TRIM(ROUND(IFERROR(CriteriTecnici!$M598*1,IFERROR(NUMBERVALUE(CriteriTecnici!$M598,".",","),IFERROR(NUMBERVALUE(CriteriTecnici!$M598,",","."),0))),4)&amp;""),",",".")&amp;", "&amp;CHAR(34)&amp;"rawScore"&amp;CHAR(34)&amp;": "&amp;SUBSTITUTE(TRIM(ROUND(IFERROR(CriteriTecnici!$O598*1,IFERROR(NUMBERVALUE(CriteriTecnici!$O598,".",","),IFERROR(NUMBERVALUE(CriteriTecnici!$O598,",","."),0))),4)&amp;""),",",".")&amp;CHAR(125)&amp;IF(TRUE,",",""))</f>
        <v/>
      </c>
    </row>
    <row r="700">
      <c r="A700" s="82">
        <f>IF(CriteriTecnici!$A599="","","    "&amp;CHAR(123)&amp;CHAR(34)&amp;"bidderId"&amp;CHAR(34)&amp;": "&amp;CHAR(34)&amp;SUBSTITUTE(CriteriTecnici!$A599,CHAR(34),"'")&amp;CHAR(34)&amp;", "&amp;CHAR(34)&amp;"lotId"&amp;CHAR(34)&amp;": "&amp;CHAR(34)&amp;SUBSTITUTE(CriteriTecnici!$C599,CHAR(34),"'")&amp;CHAR(34)&amp;", "&amp;CHAR(34)&amp;"criterionId"&amp;CHAR(34)&amp;": "&amp;CHAR(34)&amp;SUBSTITUTE(CriteriTecnici!$D599,CHAR(34),"'")&amp;CHAR(34)&amp;", "&amp;CHAR(34)&amp;"kind"&amp;CHAR(34)&amp;": "&amp;CHAR(34)&amp;SUBSTITUTE(CriteriTecnici!$F599,CHAR(34),"'")&amp;CHAR(34)&amp;", "&amp;CHAR(34)&amp;"value"&amp;CHAR(34)&amp;": "&amp;SUBSTITUTE(TRIM(ROUND(IFERROR(CriteriTecnici!$N599*1,IFERROR(NUMBERVALUE(CriteriTecnici!$N599,".",","),IFERROR(NUMBERVALUE(CriteriTecnici!$N599,",","."),0))),4)&amp;""),",",".")&amp;", "&amp;CHAR(34)&amp;"numerator"&amp;CHAR(34)&amp;": "&amp;SUBSTITUTE(TRIM(ROUND(IFERROR(CriteriTecnici!$K599*1,IFERROR(NUMBERVALUE(CriteriTecnici!$K599,".",","),IFERROR(NUMBERVALUE(CriteriTecnici!$K599,",","."),0))),4)&amp;""),",",".")&amp;", "&amp;CHAR(34)&amp;"denominator"&amp;CHAR(34)&amp;": "&amp;SUBSTITUTE(TRIM(ROUND(IFERROR(CriteriTecnici!$L599*1,IFERROR(NUMBERVALUE(CriteriTecnici!$L599,".",","),IFERROR(NUMBERVALUE(CriteriTecnici!$L599,",","."),0))),4)&amp;""),",",".")&amp;", "&amp;CHAR(34)&amp;"flag"&amp;CHAR(34)&amp;": "&amp;SUBSTITUTE(TRIM(ROUND(IFERROR(CriteriTecnici!$M599*1,IFERROR(NUMBERVALUE(CriteriTecnici!$M599,".",","),IFERROR(NUMBERVALUE(CriteriTecnici!$M599,",","."),0))),4)&amp;""),",",".")&amp;", "&amp;CHAR(34)&amp;"rawScore"&amp;CHAR(34)&amp;": "&amp;SUBSTITUTE(TRIM(ROUND(IFERROR(CriteriTecnici!$O599*1,IFERROR(NUMBERVALUE(CriteriTecnici!$O599,".",","),IFERROR(NUMBERVALUE(CriteriTecnici!$O599,",","."),0))),4)&amp;""),",",".")&amp;CHAR(125)&amp;IF(TRUE,",",""))</f>
        <v/>
      </c>
    </row>
    <row r="701">
      <c r="A701" s="82">
        <f>IF(CriteriTecnici!$A600="","","    "&amp;CHAR(123)&amp;CHAR(34)&amp;"bidderId"&amp;CHAR(34)&amp;": "&amp;CHAR(34)&amp;SUBSTITUTE(CriteriTecnici!$A600,CHAR(34),"'")&amp;CHAR(34)&amp;", "&amp;CHAR(34)&amp;"lotId"&amp;CHAR(34)&amp;": "&amp;CHAR(34)&amp;SUBSTITUTE(CriteriTecnici!$C600,CHAR(34),"'")&amp;CHAR(34)&amp;", "&amp;CHAR(34)&amp;"criterionId"&amp;CHAR(34)&amp;": "&amp;CHAR(34)&amp;SUBSTITUTE(CriteriTecnici!$D600,CHAR(34),"'")&amp;CHAR(34)&amp;", "&amp;CHAR(34)&amp;"kind"&amp;CHAR(34)&amp;": "&amp;CHAR(34)&amp;SUBSTITUTE(CriteriTecnici!$F600,CHAR(34),"'")&amp;CHAR(34)&amp;", "&amp;CHAR(34)&amp;"value"&amp;CHAR(34)&amp;": "&amp;SUBSTITUTE(TRIM(ROUND(IFERROR(CriteriTecnici!$N600*1,IFERROR(NUMBERVALUE(CriteriTecnici!$N600,".",","),IFERROR(NUMBERVALUE(CriteriTecnici!$N600,",","."),0))),4)&amp;""),",",".")&amp;", "&amp;CHAR(34)&amp;"numerator"&amp;CHAR(34)&amp;": "&amp;SUBSTITUTE(TRIM(ROUND(IFERROR(CriteriTecnici!$K600*1,IFERROR(NUMBERVALUE(CriteriTecnici!$K600,".",","),IFERROR(NUMBERVALUE(CriteriTecnici!$K600,",","."),0))),4)&amp;""),",",".")&amp;", "&amp;CHAR(34)&amp;"denominator"&amp;CHAR(34)&amp;": "&amp;SUBSTITUTE(TRIM(ROUND(IFERROR(CriteriTecnici!$L600*1,IFERROR(NUMBERVALUE(CriteriTecnici!$L600,".",","),IFERROR(NUMBERVALUE(CriteriTecnici!$L600,",","."),0))),4)&amp;""),",",".")&amp;", "&amp;CHAR(34)&amp;"flag"&amp;CHAR(34)&amp;": "&amp;SUBSTITUTE(TRIM(ROUND(IFERROR(CriteriTecnici!$M600*1,IFERROR(NUMBERVALUE(CriteriTecnici!$M600,".",","),IFERROR(NUMBERVALUE(CriteriTecnici!$M600,",","."),0))),4)&amp;""),",",".")&amp;", "&amp;CHAR(34)&amp;"rawScore"&amp;CHAR(34)&amp;": "&amp;SUBSTITUTE(TRIM(ROUND(IFERROR(CriteriTecnici!$O600*1,IFERROR(NUMBERVALUE(CriteriTecnici!$O600,".",","),IFERROR(NUMBERVALUE(CriteriTecnici!$O600,",","."),0))),4)&amp;""),",",".")&amp;CHAR(125)&amp;IF(TRUE,",",""))</f>
        <v/>
      </c>
    </row>
    <row r="702">
      <c r="A702" s="82">
        <f>IF(CriteriTecnici!$A601="","","    "&amp;CHAR(123)&amp;CHAR(34)&amp;"bidderId"&amp;CHAR(34)&amp;": "&amp;CHAR(34)&amp;SUBSTITUTE(CriteriTecnici!$A601,CHAR(34),"'")&amp;CHAR(34)&amp;", "&amp;CHAR(34)&amp;"lotId"&amp;CHAR(34)&amp;": "&amp;CHAR(34)&amp;SUBSTITUTE(CriteriTecnici!$C601,CHAR(34),"'")&amp;CHAR(34)&amp;", "&amp;CHAR(34)&amp;"criterionId"&amp;CHAR(34)&amp;": "&amp;CHAR(34)&amp;SUBSTITUTE(CriteriTecnici!$D601,CHAR(34),"'")&amp;CHAR(34)&amp;", "&amp;CHAR(34)&amp;"kind"&amp;CHAR(34)&amp;": "&amp;CHAR(34)&amp;SUBSTITUTE(CriteriTecnici!$F601,CHAR(34),"'")&amp;CHAR(34)&amp;", "&amp;CHAR(34)&amp;"value"&amp;CHAR(34)&amp;": "&amp;SUBSTITUTE(TRIM(ROUND(IFERROR(CriteriTecnici!$N601*1,IFERROR(NUMBERVALUE(CriteriTecnici!$N601,".",","),IFERROR(NUMBERVALUE(CriteriTecnici!$N601,",","."),0))),4)&amp;""),",",".")&amp;", "&amp;CHAR(34)&amp;"numerator"&amp;CHAR(34)&amp;": "&amp;SUBSTITUTE(TRIM(ROUND(IFERROR(CriteriTecnici!$K601*1,IFERROR(NUMBERVALUE(CriteriTecnici!$K601,".",","),IFERROR(NUMBERVALUE(CriteriTecnici!$K601,",","."),0))),4)&amp;""),",",".")&amp;", "&amp;CHAR(34)&amp;"denominator"&amp;CHAR(34)&amp;": "&amp;SUBSTITUTE(TRIM(ROUND(IFERROR(CriteriTecnici!$L601*1,IFERROR(NUMBERVALUE(CriteriTecnici!$L601,".",","),IFERROR(NUMBERVALUE(CriteriTecnici!$L601,",","."),0))),4)&amp;""),",",".")&amp;", "&amp;CHAR(34)&amp;"flag"&amp;CHAR(34)&amp;": "&amp;SUBSTITUTE(TRIM(ROUND(IFERROR(CriteriTecnici!$M601*1,IFERROR(NUMBERVALUE(CriteriTecnici!$M601,".",","),IFERROR(NUMBERVALUE(CriteriTecnici!$M601,",","."),0))),4)&amp;""),",",".")&amp;", "&amp;CHAR(34)&amp;"rawScore"&amp;CHAR(34)&amp;": "&amp;SUBSTITUTE(TRIM(ROUND(IFERROR(CriteriTecnici!$O601*1,IFERROR(NUMBERVALUE(CriteriTecnici!$O601,".",","),IFERROR(NUMBERVALUE(CriteriTecnici!$O601,",","."),0))),4)&amp;""),",",".")&amp;CHAR(125)&amp;IF(TRUE,",",""))</f>
        <v/>
      </c>
    </row>
    <row r="703">
      <c r="A703" s="82">
        <f>IF(CriteriTecnici!$A602="","","    "&amp;CHAR(123)&amp;CHAR(34)&amp;"bidderId"&amp;CHAR(34)&amp;": "&amp;CHAR(34)&amp;SUBSTITUTE(CriteriTecnici!$A602,CHAR(34),"'")&amp;CHAR(34)&amp;", "&amp;CHAR(34)&amp;"lotId"&amp;CHAR(34)&amp;": "&amp;CHAR(34)&amp;SUBSTITUTE(CriteriTecnici!$C602,CHAR(34),"'")&amp;CHAR(34)&amp;", "&amp;CHAR(34)&amp;"criterionId"&amp;CHAR(34)&amp;": "&amp;CHAR(34)&amp;SUBSTITUTE(CriteriTecnici!$D602,CHAR(34),"'")&amp;CHAR(34)&amp;", "&amp;CHAR(34)&amp;"kind"&amp;CHAR(34)&amp;": "&amp;CHAR(34)&amp;SUBSTITUTE(CriteriTecnici!$F602,CHAR(34),"'")&amp;CHAR(34)&amp;", "&amp;CHAR(34)&amp;"value"&amp;CHAR(34)&amp;": "&amp;SUBSTITUTE(TRIM(ROUND(IFERROR(CriteriTecnici!$N602*1,IFERROR(NUMBERVALUE(CriteriTecnici!$N602,".",","),IFERROR(NUMBERVALUE(CriteriTecnici!$N602,",","."),0))),4)&amp;""),",",".")&amp;", "&amp;CHAR(34)&amp;"numerator"&amp;CHAR(34)&amp;": "&amp;SUBSTITUTE(TRIM(ROUND(IFERROR(CriteriTecnici!$K602*1,IFERROR(NUMBERVALUE(CriteriTecnici!$K602,".",","),IFERROR(NUMBERVALUE(CriteriTecnici!$K602,",","."),0))),4)&amp;""),",",".")&amp;", "&amp;CHAR(34)&amp;"denominator"&amp;CHAR(34)&amp;": "&amp;SUBSTITUTE(TRIM(ROUND(IFERROR(CriteriTecnici!$L602*1,IFERROR(NUMBERVALUE(CriteriTecnici!$L602,".",","),IFERROR(NUMBERVALUE(CriteriTecnici!$L602,",","."),0))),4)&amp;""),",",".")&amp;", "&amp;CHAR(34)&amp;"flag"&amp;CHAR(34)&amp;": "&amp;SUBSTITUTE(TRIM(ROUND(IFERROR(CriteriTecnici!$M602*1,IFERROR(NUMBERVALUE(CriteriTecnici!$M602,".",","),IFERROR(NUMBERVALUE(CriteriTecnici!$M602,",","."),0))),4)&amp;""),",",".")&amp;", "&amp;CHAR(34)&amp;"rawScore"&amp;CHAR(34)&amp;": "&amp;SUBSTITUTE(TRIM(ROUND(IFERROR(CriteriTecnici!$O602*1,IFERROR(NUMBERVALUE(CriteriTecnici!$O602,".",","),IFERROR(NUMBERVALUE(CriteriTecnici!$O602,",","."),0))),4)&amp;""),",",".")&amp;CHAR(125)&amp;IF(TRUE,",",""))</f>
        <v/>
      </c>
    </row>
    <row r="704">
      <c r="A704" s="82">
        <f>IF(CriteriTecnici!$A603="","","    "&amp;CHAR(123)&amp;CHAR(34)&amp;"bidderId"&amp;CHAR(34)&amp;": "&amp;CHAR(34)&amp;SUBSTITUTE(CriteriTecnici!$A603,CHAR(34),"'")&amp;CHAR(34)&amp;", "&amp;CHAR(34)&amp;"lotId"&amp;CHAR(34)&amp;": "&amp;CHAR(34)&amp;SUBSTITUTE(CriteriTecnici!$C603,CHAR(34),"'")&amp;CHAR(34)&amp;", "&amp;CHAR(34)&amp;"criterionId"&amp;CHAR(34)&amp;": "&amp;CHAR(34)&amp;SUBSTITUTE(CriteriTecnici!$D603,CHAR(34),"'")&amp;CHAR(34)&amp;", "&amp;CHAR(34)&amp;"kind"&amp;CHAR(34)&amp;": "&amp;CHAR(34)&amp;SUBSTITUTE(CriteriTecnici!$F603,CHAR(34),"'")&amp;CHAR(34)&amp;", "&amp;CHAR(34)&amp;"value"&amp;CHAR(34)&amp;": "&amp;SUBSTITUTE(TRIM(ROUND(IFERROR(CriteriTecnici!$N603*1,IFERROR(NUMBERVALUE(CriteriTecnici!$N603,".",","),IFERROR(NUMBERVALUE(CriteriTecnici!$N603,",","."),0))),4)&amp;""),",",".")&amp;", "&amp;CHAR(34)&amp;"numerator"&amp;CHAR(34)&amp;": "&amp;SUBSTITUTE(TRIM(ROUND(IFERROR(CriteriTecnici!$K603*1,IFERROR(NUMBERVALUE(CriteriTecnici!$K603,".",","),IFERROR(NUMBERVALUE(CriteriTecnici!$K603,",","."),0))),4)&amp;""),",",".")&amp;", "&amp;CHAR(34)&amp;"denominator"&amp;CHAR(34)&amp;": "&amp;SUBSTITUTE(TRIM(ROUND(IFERROR(CriteriTecnici!$L603*1,IFERROR(NUMBERVALUE(CriteriTecnici!$L603,".",","),IFERROR(NUMBERVALUE(CriteriTecnici!$L603,",","."),0))),4)&amp;""),",",".")&amp;", "&amp;CHAR(34)&amp;"flag"&amp;CHAR(34)&amp;": "&amp;SUBSTITUTE(TRIM(ROUND(IFERROR(CriteriTecnici!$M603*1,IFERROR(NUMBERVALUE(CriteriTecnici!$M603,".",","),IFERROR(NUMBERVALUE(CriteriTecnici!$M603,",","."),0))),4)&amp;""),",",".")&amp;", "&amp;CHAR(34)&amp;"rawScore"&amp;CHAR(34)&amp;": "&amp;SUBSTITUTE(TRIM(ROUND(IFERROR(CriteriTecnici!$O603*1,IFERROR(NUMBERVALUE(CriteriTecnici!$O603,".",","),IFERROR(NUMBERVALUE(CriteriTecnici!$O603,",","."),0))),4)&amp;""),",",".")&amp;CHAR(125)&amp;IF(TRUE,",",""))</f>
        <v/>
      </c>
    </row>
    <row r="705">
      <c r="A705" s="82">
        <f>IF(CriteriTecnici!$A604="","","    "&amp;CHAR(123)&amp;CHAR(34)&amp;"bidderId"&amp;CHAR(34)&amp;": "&amp;CHAR(34)&amp;SUBSTITUTE(CriteriTecnici!$A604,CHAR(34),"'")&amp;CHAR(34)&amp;", "&amp;CHAR(34)&amp;"lotId"&amp;CHAR(34)&amp;": "&amp;CHAR(34)&amp;SUBSTITUTE(CriteriTecnici!$C604,CHAR(34),"'")&amp;CHAR(34)&amp;", "&amp;CHAR(34)&amp;"criterionId"&amp;CHAR(34)&amp;": "&amp;CHAR(34)&amp;SUBSTITUTE(CriteriTecnici!$D604,CHAR(34),"'")&amp;CHAR(34)&amp;", "&amp;CHAR(34)&amp;"kind"&amp;CHAR(34)&amp;": "&amp;CHAR(34)&amp;SUBSTITUTE(CriteriTecnici!$F604,CHAR(34),"'")&amp;CHAR(34)&amp;", "&amp;CHAR(34)&amp;"value"&amp;CHAR(34)&amp;": "&amp;SUBSTITUTE(TRIM(ROUND(IFERROR(CriteriTecnici!$N604*1,IFERROR(NUMBERVALUE(CriteriTecnici!$N604,".",","),IFERROR(NUMBERVALUE(CriteriTecnici!$N604,",","."),0))),4)&amp;""),",",".")&amp;", "&amp;CHAR(34)&amp;"numerator"&amp;CHAR(34)&amp;": "&amp;SUBSTITUTE(TRIM(ROUND(IFERROR(CriteriTecnici!$K604*1,IFERROR(NUMBERVALUE(CriteriTecnici!$K604,".",","),IFERROR(NUMBERVALUE(CriteriTecnici!$K604,",","."),0))),4)&amp;""),",",".")&amp;", "&amp;CHAR(34)&amp;"denominator"&amp;CHAR(34)&amp;": "&amp;SUBSTITUTE(TRIM(ROUND(IFERROR(CriteriTecnici!$L604*1,IFERROR(NUMBERVALUE(CriteriTecnici!$L604,".",","),IFERROR(NUMBERVALUE(CriteriTecnici!$L604,",","."),0))),4)&amp;""),",",".")&amp;", "&amp;CHAR(34)&amp;"flag"&amp;CHAR(34)&amp;": "&amp;SUBSTITUTE(TRIM(ROUND(IFERROR(CriteriTecnici!$M604*1,IFERROR(NUMBERVALUE(CriteriTecnici!$M604,".",","),IFERROR(NUMBERVALUE(CriteriTecnici!$M604,",","."),0))),4)&amp;""),",",".")&amp;", "&amp;CHAR(34)&amp;"rawScore"&amp;CHAR(34)&amp;": "&amp;SUBSTITUTE(TRIM(ROUND(IFERROR(CriteriTecnici!$O604*1,IFERROR(NUMBERVALUE(CriteriTecnici!$O604,".",","),IFERROR(NUMBERVALUE(CriteriTecnici!$O604,",","."),0))),4)&amp;""),",",".")&amp;CHAR(125)&amp;IF(TRUE,",",""))</f>
        <v/>
      </c>
    </row>
    <row r="706">
      <c r="A706" s="82">
        <f>IF(CriteriTecnici!$A605="","","    "&amp;CHAR(123)&amp;CHAR(34)&amp;"bidderId"&amp;CHAR(34)&amp;": "&amp;CHAR(34)&amp;SUBSTITUTE(CriteriTecnici!$A605,CHAR(34),"'")&amp;CHAR(34)&amp;", "&amp;CHAR(34)&amp;"lotId"&amp;CHAR(34)&amp;": "&amp;CHAR(34)&amp;SUBSTITUTE(CriteriTecnici!$C605,CHAR(34),"'")&amp;CHAR(34)&amp;", "&amp;CHAR(34)&amp;"criterionId"&amp;CHAR(34)&amp;": "&amp;CHAR(34)&amp;SUBSTITUTE(CriteriTecnici!$D605,CHAR(34),"'")&amp;CHAR(34)&amp;", "&amp;CHAR(34)&amp;"kind"&amp;CHAR(34)&amp;": "&amp;CHAR(34)&amp;SUBSTITUTE(CriteriTecnici!$F605,CHAR(34),"'")&amp;CHAR(34)&amp;", "&amp;CHAR(34)&amp;"value"&amp;CHAR(34)&amp;": "&amp;SUBSTITUTE(TRIM(ROUND(IFERROR(CriteriTecnici!$N605*1,IFERROR(NUMBERVALUE(CriteriTecnici!$N605,".",","),IFERROR(NUMBERVALUE(CriteriTecnici!$N605,",","."),0))),4)&amp;""),",",".")&amp;", "&amp;CHAR(34)&amp;"numerator"&amp;CHAR(34)&amp;": "&amp;SUBSTITUTE(TRIM(ROUND(IFERROR(CriteriTecnici!$K605*1,IFERROR(NUMBERVALUE(CriteriTecnici!$K605,".",","),IFERROR(NUMBERVALUE(CriteriTecnici!$K605,",","."),0))),4)&amp;""),",",".")&amp;", "&amp;CHAR(34)&amp;"denominator"&amp;CHAR(34)&amp;": "&amp;SUBSTITUTE(TRIM(ROUND(IFERROR(CriteriTecnici!$L605*1,IFERROR(NUMBERVALUE(CriteriTecnici!$L605,".",","),IFERROR(NUMBERVALUE(CriteriTecnici!$L605,",","."),0))),4)&amp;""),",",".")&amp;", "&amp;CHAR(34)&amp;"flag"&amp;CHAR(34)&amp;": "&amp;SUBSTITUTE(TRIM(ROUND(IFERROR(CriteriTecnici!$M605*1,IFERROR(NUMBERVALUE(CriteriTecnici!$M605,".",","),IFERROR(NUMBERVALUE(CriteriTecnici!$M605,",","."),0))),4)&amp;""),",",".")&amp;", "&amp;CHAR(34)&amp;"rawScore"&amp;CHAR(34)&amp;": "&amp;SUBSTITUTE(TRIM(ROUND(IFERROR(CriteriTecnici!$O605*1,IFERROR(NUMBERVALUE(CriteriTecnici!$O605,".",","),IFERROR(NUMBERVALUE(CriteriTecnici!$O605,",","."),0))),4)&amp;""),",",".")&amp;CHAR(125)&amp;IF(TRUE,",",""))</f>
        <v/>
      </c>
    </row>
    <row r="707">
      <c r="A707" s="82">
        <f>IF(CriteriTecnici!$A606="","","    "&amp;CHAR(123)&amp;CHAR(34)&amp;"bidderId"&amp;CHAR(34)&amp;": "&amp;CHAR(34)&amp;SUBSTITUTE(CriteriTecnici!$A606,CHAR(34),"'")&amp;CHAR(34)&amp;", "&amp;CHAR(34)&amp;"lotId"&amp;CHAR(34)&amp;": "&amp;CHAR(34)&amp;SUBSTITUTE(CriteriTecnici!$C606,CHAR(34),"'")&amp;CHAR(34)&amp;", "&amp;CHAR(34)&amp;"criterionId"&amp;CHAR(34)&amp;": "&amp;CHAR(34)&amp;SUBSTITUTE(CriteriTecnici!$D606,CHAR(34),"'")&amp;CHAR(34)&amp;", "&amp;CHAR(34)&amp;"kind"&amp;CHAR(34)&amp;": "&amp;CHAR(34)&amp;SUBSTITUTE(CriteriTecnici!$F606,CHAR(34),"'")&amp;CHAR(34)&amp;", "&amp;CHAR(34)&amp;"value"&amp;CHAR(34)&amp;": "&amp;SUBSTITUTE(TRIM(ROUND(IFERROR(CriteriTecnici!$N606*1,IFERROR(NUMBERVALUE(CriteriTecnici!$N606,".",","),IFERROR(NUMBERVALUE(CriteriTecnici!$N606,",","."),0))),4)&amp;""),",",".")&amp;", "&amp;CHAR(34)&amp;"numerator"&amp;CHAR(34)&amp;": "&amp;SUBSTITUTE(TRIM(ROUND(IFERROR(CriteriTecnici!$K606*1,IFERROR(NUMBERVALUE(CriteriTecnici!$K606,".",","),IFERROR(NUMBERVALUE(CriteriTecnici!$K606,",","."),0))),4)&amp;""),",",".")&amp;", "&amp;CHAR(34)&amp;"denominator"&amp;CHAR(34)&amp;": "&amp;SUBSTITUTE(TRIM(ROUND(IFERROR(CriteriTecnici!$L606*1,IFERROR(NUMBERVALUE(CriteriTecnici!$L606,".",","),IFERROR(NUMBERVALUE(CriteriTecnici!$L606,",","."),0))),4)&amp;""),",",".")&amp;", "&amp;CHAR(34)&amp;"flag"&amp;CHAR(34)&amp;": "&amp;SUBSTITUTE(TRIM(ROUND(IFERROR(CriteriTecnici!$M606*1,IFERROR(NUMBERVALUE(CriteriTecnici!$M606,".",","),IFERROR(NUMBERVALUE(CriteriTecnici!$M606,",","."),0))),4)&amp;""),",",".")&amp;", "&amp;CHAR(34)&amp;"rawScore"&amp;CHAR(34)&amp;": "&amp;SUBSTITUTE(TRIM(ROUND(IFERROR(CriteriTecnici!$O606*1,IFERROR(NUMBERVALUE(CriteriTecnici!$O606,".",","),IFERROR(NUMBERVALUE(CriteriTecnici!$O606,",","."),0))),4)&amp;""),",",".")&amp;CHAR(125)&amp;IF(TRUE,",",""))</f>
        <v/>
      </c>
    </row>
    <row r="708">
      <c r="A708" s="82">
        <f>IF(CriteriTecnici!$A607="","","    "&amp;CHAR(123)&amp;CHAR(34)&amp;"bidderId"&amp;CHAR(34)&amp;": "&amp;CHAR(34)&amp;SUBSTITUTE(CriteriTecnici!$A607,CHAR(34),"'")&amp;CHAR(34)&amp;", "&amp;CHAR(34)&amp;"lotId"&amp;CHAR(34)&amp;": "&amp;CHAR(34)&amp;SUBSTITUTE(CriteriTecnici!$C607,CHAR(34),"'")&amp;CHAR(34)&amp;", "&amp;CHAR(34)&amp;"criterionId"&amp;CHAR(34)&amp;": "&amp;CHAR(34)&amp;SUBSTITUTE(CriteriTecnici!$D607,CHAR(34),"'")&amp;CHAR(34)&amp;", "&amp;CHAR(34)&amp;"kind"&amp;CHAR(34)&amp;": "&amp;CHAR(34)&amp;SUBSTITUTE(CriteriTecnici!$F607,CHAR(34),"'")&amp;CHAR(34)&amp;", "&amp;CHAR(34)&amp;"value"&amp;CHAR(34)&amp;": "&amp;SUBSTITUTE(TRIM(ROUND(IFERROR(CriteriTecnici!$N607*1,IFERROR(NUMBERVALUE(CriteriTecnici!$N607,".",","),IFERROR(NUMBERVALUE(CriteriTecnici!$N607,",","."),0))),4)&amp;""),",",".")&amp;", "&amp;CHAR(34)&amp;"numerator"&amp;CHAR(34)&amp;": "&amp;SUBSTITUTE(TRIM(ROUND(IFERROR(CriteriTecnici!$K607*1,IFERROR(NUMBERVALUE(CriteriTecnici!$K607,".",","),IFERROR(NUMBERVALUE(CriteriTecnici!$K607,",","."),0))),4)&amp;""),",",".")&amp;", "&amp;CHAR(34)&amp;"denominator"&amp;CHAR(34)&amp;": "&amp;SUBSTITUTE(TRIM(ROUND(IFERROR(CriteriTecnici!$L607*1,IFERROR(NUMBERVALUE(CriteriTecnici!$L607,".",","),IFERROR(NUMBERVALUE(CriteriTecnici!$L607,",","."),0))),4)&amp;""),",",".")&amp;", "&amp;CHAR(34)&amp;"flag"&amp;CHAR(34)&amp;": "&amp;SUBSTITUTE(TRIM(ROUND(IFERROR(CriteriTecnici!$M607*1,IFERROR(NUMBERVALUE(CriteriTecnici!$M607,".",","),IFERROR(NUMBERVALUE(CriteriTecnici!$M607,",","."),0))),4)&amp;""),",",".")&amp;", "&amp;CHAR(34)&amp;"rawScore"&amp;CHAR(34)&amp;": "&amp;SUBSTITUTE(TRIM(ROUND(IFERROR(CriteriTecnici!$O607*1,IFERROR(NUMBERVALUE(CriteriTecnici!$O607,".",","),IFERROR(NUMBERVALUE(CriteriTecnici!$O607,",","."),0))),4)&amp;""),",",".")&amp;CHAR(125)&amp;IF(TRUE,",",""))</f>
        <v/>
      </c>
    </row>
    <row r="709">
      <c r="A709" s="82">
        <f>IF(CriteriTecnici!$A608="","","    "&amp;CHAR(123)&amp;CHAR(34)&amp;"bidderId"&amp;CHAR(34)&amp;": "&amp;CHAR(34)&amp;SUBSTITUTE(CriteriTecnici!$A608,CHAR(34),"'")&amp;CHAR(34)&amp;", "&amp;CHAR(34)&amp;"lotId"&amp;CHAR(34)&amp;": "&amp;CHAR(34)&amp;SUBSTITUTE(CriteriTecnici!$C608,CHAR(34),"'")&amp;CHAR(34)&amp;", "&amp;CHAR(34)&amp;"criterionId"&amp;CHAR(34)&amp;": "&amp;CHAR(34)&amp;SUBSTITUTE(CriteriTecnici!$D608,CHAR(34),"'")&amp;CHAR(34)&amp;", "&amp;CHAR(34)&amp;"kind"&amp;CHAR(34)&amp;": "&amp;CHAR(34)&amp;SUBSTITUTE(CriteriTecnici!$F608,CHAR(34),"'")&amp;CHAR(34)&amp;", "&amp;CHAR(34)&amp;"value"&amp;CHAR(34)&amp;": "&amp;SUBSTITUTE(TRIM(ROUND(IFERROR(CriteriTecnici!$N608*1,IFERROR(NUMBERVALUE(CriteriTecnici!$N608,".",","),IFERROR(NUMBERVALUE(CriteriTecnici!$N608,",","."),0))),4)&amp;""),",",".")&amp;", "&amp;CHAR(34)&amp;"numerator"&amp;CHAR(34)&amp;": "&amp;SUBSTITUTE(TRIM(ROUND(IFERROR(CriteriTecnici!$K608*1,IFERROR(NUMBERVALUE(CriteriTecnici!$K608,".",","),IFERROR(NUMBERVALUE(CriteriTecnici!$K608,",","."),0))),4)&amp;""),",",".")&amp;", "&amp;CHAR(34)&amp;"denominator"&amp;CHAR(34)&amp;": "&amp;SUBSTITUTE(TRIM(ROUND(IFERROR(CriteriTecnici!$L608*1,IFERROR(NUMBERVALUE(CriteriTecnici!$L608,".",","),IFERROR(NUMBERVALUE(CriteriTecnici!$L608,",","."),0))),4)&amp;""),",",".")&amp;", "&amp;CHAR(34)&amp;"flag"&amp;CHAR(34)&amp;": "&amp;SUBSTITUTE(TRIM(ROUND(IFERROR(CriteriTecnici!$M608*1,IFERROR(NUMBERVALUE(CriteriTecnici!$M608,".",","),IFERROR(NUMBERVALUE(CriteriTecnici!$M608,",","."),0))),4)&amp;""),",",".")&amp;", "&amp;CHAR(34)&amp;"rawScore"&amp;CHAR(34)&amp;": "&amp;SUBSTITUTE(TRIM(ROUND(IFERROR(CriteriTecnici!$O608*1,IFERROR(NUMBERVALUE(CriteriTecnici!$O608,".",","),IFERROR(NUMBERVALUE(CriteriTecnici!$O608,",","."),0))),4)&amp;""),",",".")&amp;CHAR(125)&amp;IF(TRUE,",",""))</f>
        <v/>
      </c>
    </row>
    <row r="710">
      <c r="A710" s="82">
        <f>IF(CriteriTecnici!$A609="","","    "&amp;CHAR(123)&amp;CHAR(34)&amp;"bidderId"&amp;CHAR(34)&amp;": "&amp;CHAR(34)&amp;SUBSTITUTE(CriteriTecnici!$A609,CHAR(34),"'")&amp;CHAR(34)&amp;", "&amp;CHAR(34)&amp;"lotId"&amp;CHAR(34)&amp;": "&amp;CHAR(34)&amp;SUBSTITUTE(CriteriTecnici!$C609,CHAR(34),"'")&amp;CHAR(34)&amp;", "&amp;CHAR(34)&amp;"criterionId"&amp;CHAR(34)&amp;": "&amp;CHAR(34)&amp;SUBSTITUTE(CriteriTecnici!$D609,CHAR(34),"'")&amp;CHAR(34)&amp;", "&amp;CHAR(34)&amp;"kind"&amp;CHAR(34)&amp;": "&amp;CHAR(34)&amp;SUBSTITUTE(CriteriTecnici!$F609,CHAR(34),"'")&amp;CHAR(34)&amp;", "&amp;CHAR(34)&amp;"value"&amp;CHAR(34)&amp;": "&amp;SUBSTITUTE(TRIM(ROUND(IFERROR(CriteriTecnici!$N609*1,IFERROR(NUMBERVALUE(CriteriTecnici!$N609,".",","),IFERROR(NUMBERVALUE(CriteriTecnici!$N609,",","."),0))),4)&amp;""),",",".")&amp;", "&amp;CHAR(34)&amp;"numerator"&amp;CHAR(34)&amp;": "&amp;SUBSTITUTE(TRIM(ROUND(IFERROR(CriteriTecnici!$K609*1,IFERROR(NUMBERVALUE(CriteriTecnici!$K609,".",","),IFERROR(NUMBERVALUE(CriteriTecnici!$K609,",","."),0))),4)&amp;""),",",".")&amp;", "&amp;CHAR(34)&amp;"denominator"&amp;CHAR(34)&amp;": "&amp;SUBSTITUTE(TRIM(ROUND(IFERROR(CriteriTecnici!$L609*1,IFERROR(NUMBERVALUE(CriteriTecnici!$L609,".",","),IFERROR(NUMBERVALUE(CriteriTecnici!$L609,",","."),0))),4)&amp;""),",",".")&amp;", "&amp;CHAR(34)&amp;"flag"&amp;CHAR(34)&amp;": "&amp;SUBSTITUTE(TRIM(ROUND(IFERROR(CriteriTecnici!$M609*1,IFERROR(NUMBERVALUE(CriteriTecnici!$M609,".",","),IFERROR(NUMBERVALUE(CriteriTecnici!$M609,",","."),0))),4)&amp;""),",",".")&amp;", "&amp;CHAR(34)&amp;"rawScore"&amp;CHAR(34)&amp;": "&amp;SUBSTITUTE(TRIM(ROUND(IFERROR(CriteriTecnici!$O609*1,IFERROR(NUMBERVALUE(CriteriTecnici!$O609,".",","),IFERROR(NUMBERVALUE(CriteriTecnici!$O609,",","."),0))),4)&amp;""),",",".")&amp;CHAR(125)&amp;IF(TRUE,",",""))</f>
        <v/>
      </c>
    </row>
    <row r="711">
      <c r="A711" s="82">
        <f>IF(CriteriTecnici!$A610="","","    "&amp;CHAR(123)&amp;CHAR(34)&amp;"bidderId"&amp;CHAR(34)&amp;": "&amp;CHAR(34)&amp;SUBSTITUTE(CriteriTecnici!$A610,CHAR(34),"'")&amp;CHAR(34)&amp;", "&amp;CHAR(34)&amp;"lotId"&amp;CHAR(34)&amp;": "&amp;CHAR(34)&amp;SUBSTITUTE(CriteriTecnici!$C610,CHAR(34),"'")&amp;CHAR(34)&amp;", "&amp;CHAR(34)&amp;"criterionId"&amp;CHAR(34)&amp;": "&amp;CHAR(34)&amp;SUBSTITUTE(CriteriTecnici!$D610,CHAR(34),"'")&amp;CHAR(34)&amp;", "&amp;CHAR(34)&amp;"kind"&amp;CHAR(34)&amp;": "&amp;CHAR(34)&amp;SUBSTITUTE(CriteriTecnici!$F610,CHAR(34),"'")&amp;CHAR(34)&amp;", "&amp;CHAR(34)&amp;"value"&amp;CHAR(34)&amp;": "&amp;SUBSTITUTE(TRIM(ROUND(IFERROR(CriteriTecnici!$N610*1,IFERROR(NUMBERVALUE(CriteriTecnici!$N610,".",","),IFERROR(NUMBERVALUE(CriteriTecnici!$N610,",","."),0))),4)&amp;""),",",".")&amp;", "&amp;CHAR(34)&amp;"numerator"&amp;CHAR(34)&amp;": "&amp;SUBSTITUTE(TRIM(ROUND(IFERROR(CriteriTecnici!$K610*1,IFERROR(NUMBERVALUE(CriteriTecnici!$K610,".",","),IFERROR(NUMBERVALUE(CriteriTecnici!$K610,",","."),0))),4)&amp;""),",",".")&amp;", "&amp;CHAR(34)&amp;"denominator"&amp;CHAR(34)&amp;": "&amp;SUBSTITUTE(TRIM(ROUND(IFERROR(CriteriTecnici!$L610*1,IFERROR(NUMBERVALUE(CriteriTecnici!$L610,".",","),IFERROR(NUMBERVALUE(CriteriTecnici!$L610,",","."),0))),4)&amp;""),",",".")&amp;", "&amp;CHAR(34)&amp;"flag"&amp;CHAR(34)&amp;": "&amp;SUBSTITUTE(TRIM(ROUND(IFERROR(CriteriTecnici!$M610*1,IFERROR(NUMBERVALUE(CriteriTecnici!$M610,".",","),IFERROR(NUMBERVALUE(CriteriTecnici!$M610,",","."),0))),4)&amp;""),",",".")&amp;", "&amp;CHAR(34)&amp;"rawScore"&amp;CHAR(34)&amp;": "&amp;SUBSTITUTE(TRIM(ROUND(IFERROR(CriteriTecnici!$O610*1,IFERROR(NUMBERVALUE(CriteriTecnici!$O610,".",","),IFERROR(NUMBERVALUE(CriteriTecnici!$O610,",","."),0))),4)&amp;""),",",".")&amp;CHAR(125)&amp;IF(TRUE,",",""))</f>
        <v/>
      </c>
    </row>
    <row r="712">
      <c r="A712" s="82">
        <f>IF(CriteriTecnici!$A611="","","    "&amp;CHAR(123)&amp;CHAR(34)&amp;"bidderId"&amp;CHAR(34)&amp;": "&amp;CHAR(34)&amp;SUBSTITUTE(CriteriTecnici!$A611,CHAR(34),"'")&amp;CHAR(34)&amp;", "&amp;CHAR(34)&amp;"lotId"&amp;CHAR(34)&amp;": "&amp;CHAR(34)&amp;SUBSTITUTE(CriteriTecnici!$C611,CHAR(34),"'")&amp;CHAR(34)&amp;", "&amp;CHAR(34)&amp;"criterionId"&amp;CHAR(34)&amp;": "&amp;CHAR(34)&amp;SUBSTITUTE(CriteriTecnici!$D611,CHAR(34),"'")&amp;CHAR(34)&amp;", "&amp;CHAR(34)&amp;"kind"&amp;CHAR(34)&amp;": "&amp;CHAR(34)&amp;SUBSTITUTE(CriteriTecnici!$F611,CHAR(34),"'")&amp;CHAR(34)&amp;", "&amp;CHAR(34)&amp;"value"&amp;CHAR(34)&amp;": "&amp;SUBSTITUTE(TRIM(ROUND(IFERROR(CriteriTecnici!$N611*1,IFERROR(NUMBERVALUE(CriteriTecnici!$N611,".",","),IFERROR(NUMBERVALUE(CriteriTecnici!$N611,",","."),0))),4)&amp;""),",",".")&amp;", "&amp;CHAR(34)&amp;"numerator"&amp;CHAR(34)&amp;": "&amp;SUBSTITUTE(TRIM(ROUND(IFERROR(CriteriTecnici!$K611*1,IFERROR(NUMBERVALUE(CriteriTecnici!$K611,".",","),IFERROR(NUMBERVALUE(CriteriTecnici!$K611,",","."),0))),4)&amp;""),",",".")&amp;", "&amp;CHAR(34)&amp;"denominator"&amp;CHAR(34)&amp;": "&amp;SUBSTITUTE(TRIM(ROUND(IFERROR(CriteriTecnici!$L611*1,IFERROR(NUMBERVALUE(CriteriTecnici!$L611,".",","),IFERROR(NUMBERVALUE(CriteriTecnici!$L611,",","."),0))),4)&amp;""),",",".")&amp;", "&amp;CHAR(34)&amp;"flag"&amp;CHAR(34)&amp;": "&amp;SUBSTITUTE(TRIM(ROUND(IFERROR(CriteriTecnici!$M611*1,IFERROR(NUMBERVALUE(CriteriTecnici!$M611,".",","),IFERROR(NUMBERVALUE(CriteriTecnici!$M611,",","."),0))),4)&amp;""),",",".")&amp;", "&amp;CHAR(34)&amp;"rawScore"&amp;CHAR(34)&amp;": "&amp;SUBSTITUTE(TRIM(ROUND(IFERROR(CriteriTecnici!$O611*1,IFERROR(NUMBERVALUE(CriteriTecnici!$O611,".",","),IFERROR(NUMBERVALUE(CriteriTecnici!$O611,",","."),0))),4)&amp;""),",",".")&amp;CHAR(125)&amp;IF(TRUE,",",""))</f>
        <v/>
      </c>
    </row>
    <row r="713">
      <c r="A713" s="82">
        <f>IF(CriteriTecnici!$A612="","","    "&amp;CHAR(123)&amp;CHAR(34)&amp;"bidderId"&amp;CHAR(34)&amp;": "&amp;CHAR(34)&amp;SUBSTITUTE(CriteriTecnici!$A612,CHAR(34),"'")&amp;CHAR(34)&amp;", "&amp;CHAR(34)&amp;"lotId"&amp;CHAR(34)&amp;": "&amp;CHAR(34)&amp;SUBSTITUTE(CriteriTecnici!$C612,CHAR(34),"'")&amp;CHAR(34)&amp;", "&amp;CHAR(34)&amp;"criterionId"&amp;CHAR(34)&amp;": "&amp;CHAR(34)&amp;SUBSTITUTE(CriteriTecnici!$D612,CHAR(34),"'")&amp;CHAR(34)&amp;", "&amp;CHAR(34)&amp;"kind"&amp;CHAR(34)&amp;": "&amp;CHAR(34)&amp;SUBSTITUTE(CriteriTecnici!$F612,CHAR(34),"'")&amp;CHAR(34)&amp;", "&amp;CHAR(34)&amp;"value"&amp;CHAR(34)&amp;": "&amp;SUBSTITUTE(TRIM(ROUND(IFERROR(CriteriTecnici!$N612*1,IFERROR(NUMBERVALUE(CriteriTecnici!$N612,".",","),IFERROR(NUMBERVALUE(CriteriTecnici!$N612,",","."),0))),4)&amp;""),",",".")&amp;", "&amp;CHAR(34)&amp;"numerator"&amp;CHAR(34)&amp;": "&amp;SUBSTITUTE(TRIM(ROUND(IFERROR(CriteriTecnici!$K612*1,IFERROR(NUMBERVALUE(CriteriTecnici!$K612,".",","),IFERROR(NUMBERVALUE(CriteriTecnici!$K612,",","."),0))),4)&amp;""),",",".")&amp;", "&amp;CHAR(34)&amp;"denominator"&amp;CHAR(34)&amp;": "&amp;SUBSTITUTE(TRIM(ROUND(IFERROR(CriteriTecnici!$L612*1,IFERROR(NUMBERVALUE(CriteriTecnici!$L612,".",","),IFERROR(NUMBERVALUE(CriteriTecnici!$L612,",","."),0))),4)&amp;""),",",".")&amp;", "&amp;CHAR(34)&amp;"flag"&amp;CHAR(34)&amp;": "&amp;SUBSTITUTE(TRIM(ROUND(IFERROR(CriteriTecnici!$M612*1,IFERROR(NUMBERVALUE(CriteriTecnici!$M612,".",","),IFERROR(NUMBERVALUE(CriteriTecnici!$M612,",","."),0))),4)&amp;""),",",".")&amp;", "&amp;CHAR(34)&amp;"rawScore"&amp;CHAR(34)&amp;": "&amp;SUBSTITUTE(TRIM(ROUND(IFERROR(CriteriTecnici!$O612*1,IFERROR(NUMBERVALUE(CriteriTecnici!$O612,".",","),IFERROR(NUMBERVALUE(CriteriTecnici!$O612,",","."),0))),4)&amp;""),",",".")&amp;CHAR(125)&amp;IF(TRUE,",",""))</f>
        <v/>
      </c>
    </row>
    <row r="714">
      <c r="A714" s="82">
        <f>IF(CriteriTecnici!$A613="","","    "&amp;CHAR(123)&amp;CHAR(34)&amp;"bidderId"&amp;CHAR(34)&amp;": "&amp;CHAR(34)&amp;SUBSTITUTE(CriteriTecnici!$A613,CHAR(34),"'")&amp;CHAR(34)&amp;", "&amp;CHAR(34)&amp;"lotId"&amp;CHAR(34)&amp;": "&amp;CHAR(34)&amp;SUBSTITUTE(CriteriTecnici!$C613,CHAR(34),"'")&amp;CHAR(34)&amp;", "&amp;CHAR(34)&amp;"criterionId"&amp;CHAR(34)&amp;": "&amp;CHAR(34)&amp;SUBSTITUTE(CriteriTecnici!$D613,CHAR(34),"'")&amp;CHAR(34)&amp;", "&amp;CHAR(34)&amp;"kind"&amp;CHAR(34)&amp;": "&amp;CHAR(34)&amp;SUBSTITUTE(CriteriTecnici!$F613,CHAR(34),"'")&amp;CHAR(34)&amp;", "&amp;CHAR(34)&amp;"value"&amp;CHAR(34)&amp;": "&amp;SUBSTITUTE(TRIM(ROUND(IFERROR(CriteriTecnici!$N613*1,IFERROR(NUMBERVALUE(CriteriTecnici!$N613,".",","),IFERROR(NUMBERVALUE(CriteriTecnici!$N613,",","."),0))),4)&amp;""),",",".")&amp;", "&amp;CHAR(34)&amp;"numerator"&amp;CHAR(34)&amp;": "&amp;SUBSTITUTE(TRIM(ROUND(IFERROR(CriteriTecnici!$K613*1,IFERROR(NUMBERVALUE(CriteriTecnici!$K613,".",","),IFERROR(NUMBERVALUE(CriteriTecnici!$K613,",","."),0))),4)&amp;""),",",".")&amp;", "&amp;CHAR(34)&amp;"denominator"&amp;CHAR(34)&amp;": "&amp;SUBSTITUTE(TRIM(ROUND(IFERROR(CriteriTecnici!$L613*1,IFERROR(NUMBERVALUE(CriteriTecnici!$L613,".",","),IFERROR(NUMBERVALUE(CriteriTecnici!$L613,",","."),0))),4)&amp;""),",",".")&amp;", "&amp;CHAR(34)&amp;"flag"&amp;CHAR(34)&amp;": "&amp;SUBSTITUTE(TRIM(ROUND(IFERROR(CriteriTecnici!$M613*1,IFERROR(NUMBERVALUE(CriteriTecnici!$M613,".",","),IFERROR(NUMBERVALUE(CriteriTecnici!$M613,",","."),0))),4)&amp;""),",",".")&amp;", "&amp;CHAR(34)&amp;"rawScore"&amp;CHAR(34)&amp;": "&amp;SUBSTITUTE(TRIM(ROUND(IFERROR(CriteriTecnici!$O613*1,IFERROR(NUMBERVALUE(CriteriTecnici!$O613,".",","),IFERROR(NUMBERVALUE(CriteriTecnici!$O613,",","."),0))),4)&amp;""),",",".")&amp;CHAR(125)&amp;IF(TRUE,",",""))</f>
        <v/>
      </c>
    </row>
    <row r="715">
      <c r="A715" s="82">
        <f>IF(CriteriTecnici!$A614="","","    "&amp;CHAR(123)&amp;CHAR(34)&amp;"bidderId"&amp;CHAR(34)&amp;": "&amp;CHAR(34)&amp;SUBSTITUTE(CriteriTecnici!$A614,CHAR(34),"'")&amp;CHAR(34)&amp;", "&amp;CHAR(34)&amp;"lotId"&amp;CHAR(34)&amp;": "&amp;CHAR(34)&amp;SUBSTITUTE(CriteriTecnici!$C614,CHAR(34),"'")&amp;CHAR(34)&amp;", "&amp;CHAR(34)&amp;"criterionId"&amp;CHAR(34)&amp;": "&amp;CHAR(34)&amp;SUBSTITUTE(CriteriTecnici!$D614,CHAR(34),"'")&amp;CHAR(34)&amp;", "&amp;CHAR(34)&amp;"kind"&amp;CHAR(34)&amp;": "&amp;CHAR(34)&amp;SUBSTITUTE(CriteriTecnici!$F614,CHAR(34),"'")&amp;CHAR(34)&amp;", "&amp;CHAR(34)&amp;"value"&amp;CHAR(34)&amp;": "&amp;SUBSTITUTE(TRIM(ROUND(IFERROR(CriteriTecnici!$N614*1,IFERROR(NUMBERVALUE(CriteriTecnici!$N614,".",","),IFERROR(NUMBERVALUE(CriteriTecnici!$N614,",","."),0))),4)&amp;""),",",".")&amp;", "&amp;CHAR(34)&amp;"numerator"&amp;CHAR(34)&amp;": "&amp;SUBSTITUTE(TRIM(ROUND(IFERROR(CriteriTecnici!$K614*1,IFERROR(NUMBERVALUE(CriteriTecnici!$K614,".",","),IFERROR(NUMBERVALUE(CriteriTecnici!$K614,",","."),0))),4)&amp;""),",",".")&amp;", "&amp;CHAR(34)&amp;"denominator"&amp;CHAR(34)&amp;": "&amp;SUBSTITUTE(TRIM(ROUND(IFERROR(CriteriTecnici!$L614*1,IFERROR(NUMBERVALUE(CriteriTecnici!$L614,".",","),IFERROR(NUMBERVALUE(CriteriTecnici!$L614,",","."),0))),4)&amp;""),",",".")&amp;", "&amp;CHAR(34)&amp;"flag"&amp;CHAR(34)&amp;": "&amp;SUBSTITUTE(TRIM(ROUND(IFERROR(CriteriTecnici!$M614*1,IFERROR(NUMBERVALUE(CriteriTecnici!$M614,".",","),IFERROR(NUMBERVALUE(CriteriTecnici!$M614,",","."),0))),4)&amp;""),",",".")&amp;", "&amp;CHAR(34)&amp;"rawScore"&amp;CHAR(34)&amp;": "&amp;SUBSTITUTE(TRIM(ROUND(IFERROR(CriteriTecnici!$O614*1,IFERROR(NUMBERVALUE(CriteriTecnici!$O614,".",","),IFERROR(NUMBERVALUE(CriteriTecnici!$O614,",","."),0))),4)&amp;""),",",".")&amp;CHAR(125)&amp;IF(TRUE,",",""))</f>
        <v/>
      </c>
    </row>
    <row r="716">
      <c r="A716" s="82">
        <f>IF(CriteriTecnici!$A615="","","    "&amp;CHAR(123)&amp;CHAR(34)&amp;"bidderId"&amp;CHAR(34)&amp;": "&amp;CHAR(34)&amp;SUBSTITUTE(CriteriTecnici!$A615,CHAR(34),"'")&amp;CHAR(34)&amp;", "&amp;CHAR(34)&amp;"lotId"&amp;CHAR(34)&amp;": "&amp;CHAR(34)&amp;SUBSTITUTE(CriteriTecnici!$C615,CHAR(34),"'")&amp;CHAR(34)&amp;", "&amp;CHAR(34)&amp;"criterionId"&amp;CHAR(34)&amp;": "&amp;CHAR(34)&amp;SUBSTITUTE(CriteriTecnici!$D615,CHAR(34),"'")&amp;CHAR(34)&amp;", "&amp;CHAR(34)&amp;"kind"&amp;CHAR(34)&amp;": "&amp;CHAR(34)&amp;SUBSTITUTE(CriteriTecnici!$F615,CHAR(34),"'")&amp;CHAR(34)&amp;", "&amp;CHAR(34)&amp;"value"&amp;CHAR(34)&amp;": "&amp;SUBSTITUTE(TRIM(ROUND(IFERROR(CriteriTecnici!$N615*1,IFERROR(NUMBERVALUE(CriteriTecnici!$N615,".",","),IFERROR(NUMBERVALUE(CriteriTecnici!$N615,",","."),0))),4)&amp;""),",",".")&amp;", "&amp;CHAR(34)&amp;"numerator"&amp;CHAR(34)&amp;": "&amp;SUBSTITUTE(TRIM(ROUND(IFERROR(CriteriTecnici!$K615*1,IFERROR(NUMBERVALUE(CriteriTecnici!$K615,".",","),IFERROR(NUMBERVALUE(CriteriTecnici!$K615,",","."),0))),4)&amp;""),",",".")&amp;", "&amp;CHAR(34)&amp;"denominator"&amp;CHAR(34)&amp;": "&amp;SUBSTITUTE(TRIM(ROUND(IFERROR(CriteriTecnici!$L615*1,IFERROR(NUMBERVALUE(CriteriTecnici!$L615,".",","),IFERROR(NUMBERVALUE(CriteriTecnici!$L615,",","."),0))),4)&amp;""),",",".")&amp;", "&amp;CHAR(34)&amp;"flag"&amp;CHAR(34)&amp;": "&amp;SUBSTITUTE(TRIM(ROUND(IFERROR(CriteriTecnici!$M615*1,IFERROR(NUMBERVALUE(CriteriTecnici!$M615,".",","),IFERROR(NUMBERVALUE(CriteriTecnici!$M615,",","."),0))),4)&amp;""),",",".")&amp;", "&amp;CHAR(34)&amp;"rawScore"&amp;CHAR(34)&amp;": "&amp;SUBSTITUTE(TRIM(ROUND(IFERROR(CriteriTecnici!$O615*1,IFERROR(NUMBERVALUE(CriteriTecnici!$O615,".",","),IFERROR(NUMBERVALUE(CriteriTecnici!$O615,",","."),0))),4)&amp;""),",",".")&amp;CHAR(125)&amp;IF(TRUE,",",""))</f>
        <v/>
      </c>
    </row>
    <row r="717">
      <c r="A717" s="82">
        <f>IF(CriteriTecnici!$A616="","","    "&amp;CHAR(123)&amp;CHAR(34)&amp;"bidderId"&amp;CHAR(34)&amp;": "&amp;CHAR(34)&amp;SUBSTITUTE(CriteriTecnici!$A616,CHAR(34),"'")&amp;CHAR(34)&amp;", "&amp;CHAR(34)&amp;"lotId"&amp;CHAR(34)&amp;": "&amp;CHAR(34)&amp;SUBSTITUTE(CriteriTecnici!$C616,CHAR(34),"'")&amp;CHAR(34)&amp;", "&amp;CHAR(34)&amp;"criterionId"&amp;CHAR(34)&amp;": "&amp;CHAR(34)&amp;SUBSTITUTE(CriteriTecnici!$D616,CHAR(34),"'")&amp;CHAR(34)&amp;", "&amp;CHAR(34)&amp;"kind"&amp;CHAR(34)&amp;": "&amp;CHAR(34)&amp;SUBSTITUTE(CriteriTecnici!$F616,CHAR(34),"'")&amp;CHAR(34)&amp;", "&amp;CHAR(34)&amp;"value"&amp;CHAR(34)&amp;": "&amp;SUBSTITUTE(TRIM(ROUND(IFERROR(CriteriTecnici!$N616*1,IFERROR(NUMBERVALUE(CriteriTecnici!$N616,".",","),IFERROR(NUMBERVALUE(CriteriTecnici!$N616,",","."),0))),4)&amp;""),",",".")&amp;", "&amp;CHAR(34)&amp;"numerator"&amp;CHAR(34)&amp;": "&amp;SUBSTITUTE(TRIM(ROUND(IFERROR(CriteriTecnici!$K616*1,IFERROR(NUMBERVALUE(CriteriTecnici!$K616,".",","),IFERROR(NUMBERVALUE(CriteriTecnici!$K616,",","."),0))),4)&amp;""),",",".")&amp;", "&amp;CHAR(34)&amp;"denominator"&amp;CHAR(34)&amp;": "&amp;SUBSTITUTE(TRIM(ROUND(IFERROR(CriteriTecnici!$L616*1,IFERROR(NUMBERVALUE(CriteriTecnici!$L616,".",","),IFERROR(NUMBERVALUE(CriteriTecnici!$L616,",","."),0))),4)&amp;""),",",".")&amp;", "&amp;CHAR(34)&amp;"flag"&amp;CHAR(34)&amp;": "&amp;SUBSTITUTE(TRIM(ROUND(IFERROR(CriteriTecnici!$M616*1,IFERROR(NUMBERVALUE(CriteriTecnici!$M616,".",","),IFERROR(NUMBERVALUE(CriteriTecnici!$M616,",","."),0))),4)&amp;""),",",".")&amp;", "&amp;CHAR(34)&amp;"rawScore"&amp;CHAR(34)&amp;": "&amp;SUBSTITUTE(TRIM(ROUND(IFERROR(CriteriTecnici!$O616*1,IFERROR(NUMBERVALUE(CriteriTecnici!$O616,".",","),IFERROR(NUMBERVALUE(CriteriTecnici!$O616,",","."),0))),4)&amp;""),",",".")&amp;CHAR(125)&amp;IF(TRUE,",",""))</f>
        <v/>
      </c>
    </row>
    <row r="718">
      <c r="A718" s="82">
        <f>IF(CriteriTecnici!$A617="","","    "&amp;CHAR(123)&amp;CHAR(34)&amp;"bidderId"&amp;CHAR(34)&amp;": "&amp;CHAR(34)&amp;SUBSTITUTE(CriteriTecnici!$A617,CHAR(34),"'")&amp;CHAR(34)&amp;", "&amp;CHAR(34)&amp;"lotId"&amp;CHAR(34)&amp;": "&amp;CHAR(34)&amp;SUBSTITUTE(CriteriTecnici!$C617,CHAR(34),"'")&amp;CHAR(34)&amp;", "&amp;CHAR(34)&amp;"criterionId"&amp;CHAR(34)&amp;": "&amp;CHAR(34)&amp;SUBSTITUTE(CriteriTecnici!$D617,CHAR(34),"'")&amp;CHAR(34)&amp;", "&amp;CHAR(34)&amp;"kind"&amp;CHAR(34)&amp;": "&amp;CHAR(34)&amp;SUBSTITUTE(CriteriTecnici!$F617,CHAR(34),"'")&amp;CHAR(34)&amp;", "&amp;CHAR(34)&amp;"value"&amp;CHAR(34)&amp;": "&amp;SUBSTITUTE(TRIM(ROUND(IFERROR(CriteriTecnici!$N617*1,IFERROR(NUMBERVALUE(CriteriTecnici!$N617,".",","),IFERROR(NUMBERVALUE(CriteriTecnici!$N617,",","."),0))),4)&amp;""),",",".")&amp;", "&amp;CHAR(34)&amp;"numerator"&amp;CHAR(34)&amp;": "&amp;SUBSTITUTE(TRIM(ROUND(IFERROR(CriteriTecnici!$K617*1,IFERROR(NUMBERVALUE(CriteriTecnici!$K617,".",","),IFERROR(NUMBERVALUE(CriteriTecnici!$K617,",","."),0))),4)&amp;""),",",".")&amp;", "&amp;CHAR(34)&amp;"denominator"&amp;CHAR(34)&amp;": "&amp;SUBSTITUTE(TRIM(ROUND(IFERROR(CriteriTecnici!$L617*1,IFERROR(NUMBERVALUE(CriteriTecnici!$L617,".",","),IFERROR(NUMBERVALUE(CriteriTecnici!$L617,",","."),0))),4)&amp;""),",",".")&amp;", "&amp;CHAR(34)&amp;"flag"&amp;CHAR(34)&amp;": "&amp;SUBSTITUTE(TRIM(ROUND(IFERROR(CriteriTecnici!$M617*1,IFERROR(NUMBERVALUE(CriteriTecnici!$M617,".",","),IFERROR(NUMBERVALUE(CriteriTecnici!$M617,",","."),0))),4)&amp;""),",",".")&amp;", "&amp;CHAR(34)&amp;"rawScore"&amp;CHAR(34)&amp;": "&amp;SUBSTITUTE(TRIM(ROUND(IFERROR(CriteriTecnici!$O617*1,IFERROR(NUMBERVALUE(CriteriTecnici!$O617,".",","),IFERROR(NUMBERVALUE(CriteriTecnici!$O617,",","."),0))),4)&amp;""),",",".")&amp;CHAR(125)&amp;IF(TRUE,",",""))</f>
        <v/>
      </c>
    </row>
    <row r="719">
      <c r="A719" s="82">
        <f>IF(CriteriTecnici!$A618="","","    "&amp;CHAR(123)&amp;CHAR(34)&amp;"bidderId"&amp;CHAR(34)&amp;": "&amp;CHAR(34)&amp;SUBSTITUTE(CriteriTecnici!$A618,CHAR(34),"'")&amp;CHAR(34)&amp;", "&amp;CHAR(34)&amp;"lotId"&amp;CHAR(34)&amp;": "&amp;CHAR(34)&amp;SUBSTITUTE(CriteriTecnici!$C618,CHAR(34),"'")&amp;CHAR(34)&amp;", "&amp;CHAR(34)&amp;"criterionId"&amp;CHAR(34)&amp;": "&amp;CHAR(34)&amp;SUBSTITUTE(CriteriTecnici!$D618,CHAR(34),"'")&amp;CHAR(34)&amp;", "&amp;CHAR(34)&amp;"kind"&amp;CHAR(34)&amp;": "&amp;CHAR(34)&amp;SUBSTITUTE(CriteriTecnici!$F618,CHAR(34),"'")&amp;CHAR(34)&amp;", "&amp;CHAR(34)&amp;"value"&amp;CHAR(34)&amp;": "&amp;SUBSTITUTE(TRIM(ROUND(IFERROR(CriteriTecnici!$N618*1,IFERROR(NUMBERVALUE(CriteriTecnici!$N618,".",","),IFERROR(NUMBERVALUE(CriteriTecnici!$N618,",","."),0))),4)&amp;""),",",".")&amp;", "&amp;CHAR(34)&amp;"numerator"&amp;CHAR(34)&amp;": "&amp;SUBSTITUTE(TRIM(ROUND(IFERROR(CriteriTecnici!$K618*1,IFERROR(NUMBERVALUE(CriteriTecnici!$K618,".",","),IFERROR(NUMBERVALUE(CriteriTecnici!$K618,",","."),0))),4)&amp;""),",",".")&amp;", "&amp;CHAR(34)&amp;"denominator"&amp;CHAR(34)&amp;": "&amp;SUBSTITUTE(TRIM(ROUND(IFERROR(CriteriTecnici!$L618*1,IFERROR(NUMBERVALUE(CriteriTecnici!$L618,".",","),IFERROR(NUMBERVALUE(CriteriTecnici!$L618,",","."),0))),4)&amp;""),",",".")&amp;", "&amp;CHAR(34)&amp;"flag"&amp;CHAR(34)&amp;": "&amp;SUBSTITUTE(TRIM(ROUND(IFERROR(CriteriTecnici!$M618*1,IFERROR(NUMBERVALUE(CriteriTecnici!$M618,".",","),IFERROR(NUMBERVALUE(CriteriTecnici!$M618,",","."),0))),4)&amp;""),",",".")&amp;", "&amp;CHAR(34)&amp;"rawScore"&amp;CHAR(34)&amp;": "&amp;SUBSTITUTE(TRIM(ROUND(IFERROR(CriteriTecnici!$O618*1,IFERROR(NUMBERVALUE(CriteriTecnici!$O618,".",","),IFERROR(NUMBERVALUE(CriteriTecnici!$O618,",","."),0))),4)&amp;""),",",".")&amp;CHAR(125)&amp;IF(TRUE,",",""))</f>
        <v/>
      </c>
    </row>
    <row r="720">
      <c r="A720" s="82">
        <f>IF(CriteriTecnici!$A619="","","    "&amp;CHAR(123)&amp;CHAR(34)&amp;"bidderId"&amp;CHAR(34)&amp;": "&amp;CHAR(34)&amp;SUBSTITUTE(CriteriTecnici!$A619,CHAR(34),"'")&amp;CHAR(34)&amp;", "&amp;CHAR(34)&amp;"lotId"&amp;CHAR(34)&amp;": "&amp;CHAR(34)&amp;SUBSTITUTE(CriteriTecnici!$C619,CHAR(34),"'")&amp;CHAR(34)&amp;", "&amp;CHAR(34)&amp;"criterionId"&amp;CHAR(34)&amp;": "&amp;CHAR(34)&amp;SUBSTITUTE(CriteriTecnici!$D619,CHAR(34),"'")&amp;CHAR(34)&amp;", "&amp;CHAR(34)&amp;"kind"&amp;CHAR(34)&amp;": "&amp;CHAR(34)&amp;SUBSTITUTE(CriteriTecnici!$F619,CHAR(34),"'")&amp;CHAR(34)&amp;", "&amp;CHAR(34)&amp;"value"&amp;CHAR(34)&amp;": "&amp;SUBSTITUTE(TRIM(ROUND(IFERROR(CriteriTecnici!$N619*1,IFERROR(NUMBERVALUE(CriteriTecnici!$N619,".",","),IFERROR(NUMBERVALUE(CriteriTecnici!$N619,",","."),0))),4)&amp;""),",",".")&amp;", "&amp;CHAR(34)&amp;"numerator"&amp;CHAR(34)&amp;": "&amp;SUBSTITUTE(TRIM(ROUND(IFERROR(CriteriTecnici!$K619*1,IFERROR(NUMBERVALUE(CriteriTecnici!$K619,".",","),IFERROR(NUMBERVALUE(CriteriTecnici!$K619,",","."),0))),4)&amp;""),",",".")&amp;", "&amp;CHAR(34)&amp;"denominator"&amp;CHAR(34)&amp;": "&amp;SUBSTITUTE(TRIM(ROUND(IFERROR(CriteriTecnici!$L619*1,IFERROR(NUMBERVALUE(CriteriTecnici!$L619,".",","),IFERROR(NUMBERVALUE(CriteriTecnici!$L619,",","."),0))),4)&amp;""),",",".")&amp;", "&amp;CHAR(34)&amp;"flag"&amp;CHAR(34)&amp;": "&amp;SUBSTITUTE(TRIM(ROUND(IFERROR(CriteriTecnici!$M619*1,IFERROR(NUMBERVALUE(CriteriTecnici!$M619,".",","),IFERROR(NUMBERVALUE(CriteriTecnici!$M619,",","."),0))),4)&amp;""),",",".")&amp;", "&amp;CHAR(34)&amp;"rawScore"&amp;CHAR(34)&amp;": "&amp;SUBSTITUTE(TRIM(ROUND(IFERROR(CriteriTecnici!$O619*1,IFERROR(NUMBERVALUE(CriteriTecnici!$O619,".",","),IFERROR(NUMBERVALUE(CriteriTecnici!$O619,",","."),0))),4)&amp;""),",",".")&amp;CHAR(125)&amp;IF(TRUE,",",""))</f>
        <v/>
      </c>
    </row>
    <row r="721">
      <c r="A721" s="82">
        <f>IF(CriteriTecnici!$A620="","","    "&amp;CHAR(123)&amp;CHAR(34)&amp;"bidderId"&amp;CHAR(34)&amp;": "&amp;CHAR(34)&amp;SUBSTITUTE(CriteriTecnici!$A620,CHAR(34),"'")&amp;CHAR(34)&amp;", "&amp;CHAR(34)&amp;"lotId"&amp;CHAR(34)&amp;": "&amp;CHAR(34)&amp;SUBSTITUTE(CriteriTecnici!$C620,CHAR(34),"'")&amp;CHAR(34)&amp;", "&amp;CHAR(34)&amp;"criterionId"&amp;CHAR(34)&amp;": "&amp;CHAR(34)&amp;SUBSTITUTE(CriteriTecnici!$D620,CHAR(34),"'")&amp;CHAR(34)&amp;", "&amp;CHAR(34)&amp;"kind"&amp;CHAR(34)&amp;": "&amp;CHAR(34)&amp;SUBSTITUTE(CriteriTecnici!$F620,CHAR(34),"'")&amp;CHAR(34)&amp;", "&amp;CHAR(34)&amp;"value"&amp;CHAR(34)&amp;": "&amp;SUBSTITUTE(TRIM(ROUND(IFERROR(CriteriTecnici!$N620*1,IFERROR(NUMBERVALUE(CriteriTecnici!$N620,".",","),IFERROR(NUMBERVALUE(CriteriTecnici!$N620,",","."),0))),4)&amp;""),",",".")&amp;", "&amp;CHAR(34)&amp;"numerator"&amp;CHAR(34)&amp;": "&amp;SUBSTITUTE(TRIM(ROUND(IFERROR(CriteriTecnici!$K620*1,IFERROR(NUMBERVALUE(CriteriTecnici!$K620,".",","),IFERROR(NUMBERVALUE(CriteriTecnici!$K620,",","."),0))),4)&amp;""),",",".")&amp;", "&amp;CHAR(34)&amp;"denominator"&amp;CHAR(34)&amp;": "&amp;SUBSTITUTE(TRIM(ROUND(IFERROR(CriteriTecnici!$L620*1,IFERROR(NUMBERVALUE(CriteriTecnici!$L620,".",","),IFERROR(NUMBERVALUE(CriteriTecnici!$L620,",","."),0))),4)&amp;""),",",".")&amp;", "&amp;CHAR(34)&amp;"flag"&amp;CHAR(34)&amp;": "&amp;SUBSTITUTE(TRIM(ROUND(IFERROR(CriteriTecnici!$M620*1,IFERROR(NUMBERVALUE(CriteriTecnici!$M620,".",","),IFERROR(NUMBERVALUE(CriteriTecnici!$M620,",","."),0))),4)&amp;""),",",".")&amp;", "&amp;CHAR(34)&amp;"rawScore"&amp;CHAR(34)&amp;": "&amp;SUBSTITUTE(TRIM(ROUND(IFERROR(CriteriTecnici!$O620*1,IFERROR(NUMBERVALUE(CriteriTecnici!$O620,".",","),IFERROR(NUMBERVALUE(CriteriTecnici!$O620,",","."),0))),4)&amp;""),",",".")&amp;CHAR(125)&amp;IF(TRUE,",",""))</f>
        <v/>
      </c>
    </row>
    <row r="722">
      <c r="A722" s="82">
        <f>IF(CriteriTecnici!$A621="","","    "&amp;CHAR(123)&amp;CHAR(34)&amp;"bidderId"&amp;CHAR(34)&amp;": "&amp;CHAR(34)&amp;SUBSTITUTE(CriteriTecnici!$A621,CHAR(34),"'")&amp;CHAR(34)&amp;", "&amp;CHAR(34)&amp;"lotId"&amp;CHAR(34)&amp;": "&amp;CHAR(34)&amp;SUBSTITUTE(CriteriTecnici!$C621,CHAR(34),"'")&amp;CHAR(34)&amp;", "&amp;CHAR(34)&amp;"criterionId"&amp;CHAR(34)&amp;": "&amp;CHAR(34)&amp;SUBSTITUTE(CriteriTecnici!$D621,CHAR(34),"'")&amp;CHAR(34)&amp;", "&amp;CHAR(34)&amp;"kind"&amp;CHAR(34)&amp;": "&amp;CHAR(34)&amp;SUBSTITUTE(CriteriTecnici!$F621,CHAR(34),"'")&amp;CHAR(34)&amp;", "&amp;CHAR(34)&amp;"value"&amp;CHAR(34)&amp;": "&amp;SUBSTITUTE(TRIM(ROUND(IFERROR(CriteriTecnici!$N621*1,IFERROR(NUMBERVALUE(CriteriTecnici!$N621,".",","),IFERROR(NUMBERVALUE(CriteriTecnici!$N621,",","."),0))),4)&amp;""),",",".")&amp;", "&amp;CHAR(34)&amp;"numerator"&amp;CHAR(34)&amp;": "&amp;SUBSTITUTE(TRIM(ROUND(IFERROR(CriteriTecnici!$K621*1,IFERROR(NUMBERVALUE(CriteriTecnici!$K621,".",","),IFERROR(NUMBERVALUE(CriteriTecnici!$K621,",","."),0))),4)&amp;""),",",".")&amp;", "&amp;CHAR(34)&amp;"denominator"&amp;CHAR(34)&amp;": "&amp;SUBSTITUTE(TRIM(ROUND(IFERROR(CriteriTecnici!$L621*1,IFERROR(NUMBERVALUE(CriteriTecnici!$L621,".",","),IFERROR(NUMBERVALUE(CriteriTecnici!$L621,",","."),0))),4)&amp;""),",",".")&amp;", "&amp;CHAR(34)&amp;"flag"&amp;CHAR(34)&amp;": "&amp;SUBSTITUTE(TRIM(ROUND(IFERROR(CriteriTecnici!$M621*1,IFERROR(NUMBERVALUE(CriteriTecnici!$M621,".",","),IFERROR(NUMBERVALUE(CriteriTecnici!$M621,",","."),0))),4)&amp;""),",",".")&amp;", "&amp;CHAR(34)&amp;"rawScore"&amp;CHAR(34)&amp;": "&amp;SUBSTITUTE(TRIM(ROUND(IFERROR(CriteriTecnici!$O621*1,IFERROR(NUMBERVALUE(CriteriTecnici!$O621,".",","),IFERROR(NUMBERVALUE(CriteriTecnici!$O621,",","."),0))),4)&amp;""),",",".")&amp;CHAR(125)&amp;IF(TRUE,",",""))</f>
        <v/>
      </c>
    </row>
    <row r="723">
      <c r="A723" s="82">
        <f>IF(CriteriTecnici!$A622="","","    "&amp;CHAR(123)&amp;CHAR(34)&amp;"bidderId"&amp;CHAR(34)&amp;": "&amp;CHAR(34)&amp;SUBSTITUTE(CriteriTecnici!$A622,CHAR(34),"'")&amp;CHAR(34)&amp;", "&amp;CHAR(34)&amp;"lotId"&amp;CHAR(34)&amp;": "&amp;CHAR(34)&amp;SUBSTITUTE(CriteriTecnici!$C622,CHAR(34),"'")&amp;CHAR(34)&amp;", "&amp;CHAR(34)&amp;"criterionId"&amp;CHAR(34)&amp;": "&amp;CHAR(34)&amp;SUBSTITUTE(CriteriTecnici!$D622,CHAR(34),"'")&amp;CHAR(34)&amp;", "&amp;CHAR(34)&amp;"kind"&amp;CHAR(34)&amp;": "&amp;CHAR(34)&amp;SUBSTITUTE(CriteriTecnici!$F622,CHAR(34),"'")&amp;CHAR(34)&amp;", "&amp;CHAR(34)&amp;"value"&amp;CHAR(34)&amp;": "&amp;SUBSTITUTE(TRIM(ROUND(IFERROR(CriteriTecnici!$N622*1,IFERROR(NUMBERVALUE(CriteriTecnici!$N622,".",","),IFERROR(NUMBERVALUE(CriteriTecnici!$N622,",","."),0))),4)&amp;""),",",".")&amp;", "&amp;CHAR(34)&amp;"numerator"&amp;CHAR(34)&amp;": "&amp;SUBSTITUTE(TRIM(ROUND(IFERROR(CriteriTecnici!$K622*1,IFERROR(NUMBERVALUE(CriteriTecnici!$K622,".",","),IFERROR(NUMBERVALUE(CriteriTecnici!$K622,",","."),0))),4)&amp;""),",",".")&amp;", "&amp;CHAR(34)&amp;"denominator"&amp;CHAR(34)&amp;": "&amp;SUBSTITUTE(TRIM(ROUND(IFERROR(CriteriTecnici!$L622*1,IFERROR(NUMBERVALUE(CriteriTecnici!$L622,".",","),IFERROR(NUMBERVALUE(CriteriTecnici!$L622,",","."),0))),4)&amp;""),",",".")&amp;", "&amp;CHAR(34)&amp;"flag"&amp;CHAR(34)&amp;": "&amp;SUBSTITUTE(TRIM(ROUND(IFERROR(CriteriTecnici!$M622*1,IFERROR(NUMBERVALUE(CriteriTecnici!$M622,".",","),IFERROR(NUMBERVALUE(CriteriTecnici!$M622,",","."),0))),4)&amp;""),",",".")&amp;", "&amp;CHAR(34)&amp;"rawScore"&amp;CHAR(34)&amp;": "&amp;SUBSTITUTE(TRIM(ROUND(IFERROR(CriteriTecnici!$O622*1,IFERROR(NUMBERVALUE(CriteriTecnici!$O622,".",","),IFERROR(NUMBERVALUE(CriteriTecnici!$O622,",","."),0))),4)&amp;""),",",".")&amp;CHAR(125)&amp;IF(TRUE,",",""))</f>
        <v/>
      </c>
    </row>
    <row r="724">
      <c r="A724" s="82">
        <f>IF(CriteriTecnici!$A623="","","    "&amp;CHAR(123)&amp;CHAR(34)&amp;"bidderId"&amp;CHAR(34)&amp;": "&amp;CHAR(34)&amp;SUBSTITUTE(CriteriTecnici!$A623,CHAR(34),"'")&amp;CHAR(34)&amp;", "&amp;CHAR(34)&amp;"lotId"&amp;CHAR(34)&amp;": "&amp;CHAR(34)&amp;SUBSTITUTE(CriteriTecnici!$C623,CHAR(34),"'")&amp;CHAR(34)&amp;", "&amp;CHAR(34)&amp;"criterionId"&amp;CHAR(34)&amp;": "&amp;CHAR(34)&amp;SUBSTITUTE(CriteriTecnici!$D623,CHAR(34),"'")&amp;CHAR(34)&amp;", "&amp;CHAR(34)&amp;"kind"&amp;CHAR(34)&amp;": "&amp;CHAR(34)&amp;SUBSTITUTE(CriteriTecnici!$F623,CHAR(34),"'")&amp;CHAR(34)&amp;", "&amp;CHAR(34)&amp;"value"&amp;CHAR(34)&amp;": "&amp;SUBSTITUTE(TRIM(ROUND(IFERROR(CriteriTecnici!$N623*1,IFERROR(NUMBERVALUE(CriteriTecnici!$N623,".",","),IFERROR(NUMBERVALUE(CriteriTecnici!$N623,",","."),0))),4)&amp;""),",",".")&amp;", "&amp;CHAR(34)&amp;"numerator"&amp;CHAR(34)&amp;": "&amp;SUBSTITUTE(TRIM(ROUND(IFERROR(CriteriTecnici!$K623*1,IFERROR(NUMBERVALUE(CriteriTecnici!$K623,".",","),IFERROR(NUMBERVALUE(CriteriTecnici!$K623,",","."),0))),4)&amp;""),",",".")&amp;", "&amp;CHAR(34)&amp;"denominator"&amp;CHAR(34)&amp;": "&amp;SUBSTITUTE(TRIM(ROUND(IFERROR(CriteriTecnici!$L623*1,IFERROR(NUMBERVALUE(CriteriTecnici!$L623,".",","),IFERROR(NUMBERVALUE(CriteriTecnici!$L623,",","."),0))),4)&amp;""),",",".")&amp;", "&amp;CHAR(34)&amp;"flag"&amp;CHAR(34)&amp;": "&amp;SUBSTITUTE(TRIM(ROUND(IFERROR(CriteriTecnici!$M623*1,IFERROR(NUMBERVALUE(CriteriTecnici!$M623,".",","),IFERROR(NUMBERVALUE(CriteriTecnici!$M623,",","."),0))),4)&amp;""),",",".")&amp;", "&amp;CHAR(34)&amp;"rawScore"&amp;CHAR(34)&amp;": "&amp;SUBSTITUTE(TRIM(ROUND(IFERROR(CriteriTecnici!$O623*1,IFERROR(NUMBERVALUE(CriteriTecnici!$O623,".",","),IFERROR(NUMBERVALUE(CriteriTecnici!$O623,",","."),0))),4)&amp;""),",",".")&amp;CHAR(125)&amp;IF(TRUE,",",""))</f>
        <v/>
      </c>
    </row>
    <row r="725">
      <c r="A725" s="82">
        <f>IF(CriteriTecnici!$A624="","","    "&amp;CHAR(123)&amp;CHAR(34)&amp;"bidderId"&amp;CHAR(34)&amp;": "&amp;CHAR(34)&amp;SUBSTITUTE(CriteriTecnici!$A624,CHAR(34),"'")&amp;CHAR(34)&amp;", "&amp;CHAR(34)&amp;"lotId"&amp;CHAR(34)&amp;": "&amp;CHAR(34)&amp;SUBSTITUTE(CriteriTecnici!$C624,CHAR(34),"'")&amp;CHAR(34)&amp;", "&amp;CHAR(34)&amp;"criterionId"&amp;CHAR(34)&amp;": "&amp;CHAR(34)&amp;SUBSTITUTE(CriteriTecnici!$D624,CHAR(34),"'")&amp;CHAR(34)&amp;", "&amp;CHAR(34)&amp;"kind"&amp;CHAR(34)&amp;": "&amp;CHAR(34)&amp;SUBSTITUTE(CriteriTecnici!$F624,CHAR(34),"'")&amp;CHAR(34)&amp;", "&amp;CHAR(34)&amp;"value"&amp;CHAR(34)&amp;": "&amp;SUBSTITUTE(TRIM(ROUND(IFERROR(CriteriTecnici!$N624*1,IFERROR(NUMBERVALUE(CriteriTecnici!$N624,".",","),IFERROR(NUMBERVALUE(CriteriTecnici!$N624,",","."),0))),4)&amp;""),",",".")&amp;", "&amp;CHAR(34)&amp;"numerator"&amp;CHAR(34)&amp;": "&amp;SUBSTITUTE(TRIM(ROUND(IFERROR(CriteriTecnici!$K624*1,IFERROR(NUMBERVALUE(CriteriTecnici!$K624,".",","),IFERROR(NUMBERVALUE(CriteriTecnici!$K624,",","."),0))),4)&amp;""),",",".")&amp;", "&amp;CHAR(34)&amp;"denominator"&amp;CHAR(34)&amp;": "&amp;SUBSTITUTE(TRIM(ROUND(IFERROR(CriteriTecnici!$L624*1,IFERROR(NUMBERVALUE(CriteriTecnici!$L624,".",","),IFERROR(NUMBERVALUE(CriteriTecnici!$L624,",","."),0))),4)&amp;""),",",".")&amp;", "&amp;CHAR(34)&amp;"flag"&amp;CHAR(34)&amp;": "&amp;SUBSTITUTE(TRIM(ROUND(IFERROR(CriteriTecnici!$M624*1,IFERROR(NUMBERVALUE(CriteriTecnici!$M624,".",","),IFERROR(NUMBERVALUE(CriteriTecnici!$M624,",","."),0))),4)&amp;""),",",".")&amp;", "&amp;CHAR(34)&amp;"rawScore"&amp;CHAR(34)&amp;": "&amp;SUBSTITUTE(TRIM(ROUND(IFERROR(CriteriTecnici!$O624*1,IFERROR(NUMBERVALUE(CriteriTecnici!$O624,".",","),IFERROR(NUMBERVALUE(CriteriTecnici!$O624,",","."),0))),4)&amp;""),",",".")&amp;CHAR(125)&amp;IF(COUNTA(Offerte!$A22:$A$81)&gt;0,",",""))</f>
        <v/>
      </c>
    </row>
    <row r="726">
      <c r="A726" s="82">
        <f>IF(CriteriTecnici!$A625="","","    "&amp;CHAR(123)&amp;CHAR(34)&amp;"bidderId"&amp;CHAR(34)&amp;": "&amp;CHAR(34)&amp;SUBSTITUTE(CriteriTecnici!$A625,CHAR(34),"'")&amp;CHAR(34)&amp;", "&amp;CHAR(34)&amp;"lotId"&amp;CHAR(34)&amp;": "&amp;CHAR(34)&amp;SUBSTITUTE(CriteriTecnici!$C625,CHAR(34),"'")&amp;CHAR(34)&amp;", "&amp;CHAR(34)&amp;"criterionId"&amp;CHAR(34)&amp;": "&amp;CHAR(34)&amp;SUBSTITUTE(CriteriTecnici!$D625,CHAR(34),"'")&amp;CHAR(34)&amp;", "&amp;CHAR(34)&amp;"kind"&amp;CHAR(34)&amp;": "&amp;CHAR(34)&amp;SUBSTITUTE(CriteriTecnici!$F625,CHAR(34),"'")&amp;CHAR(34)&amp;", "&amp;CHAR(34)&amp;"value"&amp;CHAR(34)&amp;": "&amp;SUBSTITUTE(TRIM(ROUND(IFERROR(CriteriTecnici!$N625*1,IFERROR(NUMBERVALUE(CriteriTecnici!$N625,".",","),IFERROR(NUMBERVALUE(CriteriTecnici!$N625,",","."),0))),4)&amp;""),",",".")&amp;", "&amp;CHAR(34)&amp;"numerator"&amp;CHAR(34)&amp;": "&amp;SUBSTITUTE(TRIM(ROUND(IFERROR(CriteriTecnici!$K625*1,IFERROR(NUMBERVALUE(CriteriTecnici!$K625,".",","),IFERROR(NUMBERVALUE(CriteriTecnici!$K625,",","."),0))),4)&amp;""),",",".")&amp;", "&amp;CHAR(34)&amp;"denominator"&amp;CHAR(34)&amp;": "&amp;SUBSTITUTE(TRIM(ROUND(IFERROR(CriteriTecnici!$L625*1,IFERROR(NUMBERVALUE(CriteriTecnici!$L625,".",","),IFERROR(NUMBERVALUE(CriteriTecnici!$L625,",","."),0))),4)&amp;""),",",".")&amp;", "&amp;CHAR(34)&amp;"flag"&amp;CHAR(34)&amp;": "&amp;SUBSTITUTE(TRIM(ROUND(IFERROR(CriteriTecnici!$M625*1,IFERROR(NUMBERVALUE(CriteriTecnici!$M625,".",","),IFERROR(NUMBERVALUE(CriteriTecnici!$M625,",","."),0))),4)&amp;""),",",".")&amp;", "&amp;CHAR(34)&amp;"rawScore"&amp;CHAR(34)&amp;": "&amp;SUBSTITUTE(TRIM(ROUND(IFERROR(CriteriTecnici!$O625*1,IFERROR(NUMBERVALUE(CriteriTecnici!$O625,".",","),IFERROR(NUMBERVALUE(CriteriTecnici!$O625,",","."),0))),4)&amp;""),",",".")&amp;CHAR(125)&amp;IF(TRUE,",",""))</f>
        <v/>
      </c>
    </row>
    <row r="727">
      <c r="A727" s="82">
        <f>IF(CriteriTecnici!$A626="","","    "&amp;CHAR(123)&amp;CHAR(34)&amp;"bidderId"&amp;CHAR(34)&amp;": "&amp;CHAR(34)&amp;SUBSTITUTE(CriteriTecnici!$A626,CHAR(34),"'")&amp;CHAR(34)&amp;", "&amp;CHAR(34)&amp;"lotId"&amp;CHAR(34)&amp;": "&amp;CHAR(34)&amp;SUBSTITUTE(CriteriTecnici!$C626,CHAR(34),"'")&amp;CHAR(34)&amp;", "&amp;CHAR(34)&amp;"criterionId"&amp;CHAR(34)&amp;": "&amp;CHAR(34)&amp;SUBSTITUTE(CriteriTecnici!$D626,CHAR(34),"'")&amp;CHAR(34)&amp;", "&amp;CHAR(34)&amp;"kind"&amp;CHAR(34)&amp;": "&amp;CHAR(34)&amp;SUBSTITUTE(CriteriTecnici!$F626,CHAR(34),"'")&amp;CHAR(34)&amp;", "&amp;CHAR(34)&amp;"value"&amp;CHAR(34)&amp;": "&amp;SUBSTITUTE(TRIM(ROUND(IFERROR(CriteriTecnici!$N626*1,IFERROR(NUMBERVALUE(CriteriTecnici!$N626,".",","),IFERROR(NUMBERVALUE(CriteriTecnici!$N626,",","."),0))),4)&amp;""),",",".")&amp;", "&amp;CHAR(34)&amp;"numerator"&amp;CHAR(34)&amp;": "&amp;SUBSTITUTE(TRIM(ROUND(IFERROR(CriteriTecnici!$K626*1,IFERROR(NUMBERVALUE(CriteriTecnici!$K626,".",","),IFERROR(NUMBERVALUE(CriteriTecnici!$K626,",","."),0))),4)&amp;""),",",".")&amp;", "&amp;CHAR(34)&amp;"denominator"&amp;CHAR(34)&amp;": "&amp;SUBSTITUTE(TRIM(ROUND(IFERROR(CriteriTecnici!$L626*1,IFERROR(NUMBERVALUE(CriteriTecnici!$L626,".",","),IFERROR(NUMBERVALUE(CriteriTecnici!$L626,",","."),0))),4)&amp;""),",",".")&amp;", "&amp;CHAR(34)&amp;"flag"&amp;CHAR(34)&amp;": "&amp;SUBSTITUTE(TRIM(ROUND(IFERROR(CriteriTecnici!$M626*1,IFERROR(NUMBERVALUE(CriteriTecnici!$M626,".",","),IFERROR(NUMBERVALUE(CriteriTecnici!$M626,",","."),0))),4)&amp;""),",",".")&amp;", "&amp;CHAR(34)&amp;"rawScore"&amp;CHAR(34)&amp;": "&amp;SUBSTITUTE(TRIM(ROUND(IFERROR(CriteriTecnici!$O626*1,IFERROR(NUMBERVALUE(CriteriTecnici!$O626,".",","),IFERROR(NUMBERVALUE(CriteriTecnici!$O626,",","."),0))),4)&amp;""),",",".")&amp;CHAR(125)&amp;IF(TRUE,",",""))</f>
        <v/>
      </c>
    </row>
    <row r="728">
      <c r="A728" s="82">
        <f>IF(CriteriTecnici!$A627="","","    "&amp;CHAR(123)&amp;CHAR(34)&amp;"bidderId"&amp;CHAR(34)&amp;": "&amp;CHAR(34)&amp;SUBSTITUTE(CriteriTecnici!$A627,CHAR(34),"'")&amp;CHAR(34)&amp;", "&amp;CHAR(34)&amp;"lotId"&amp;CHAR(34)&amp;": "&amp;CHAR(34)&amp;SUBSTITUTE(CriteriTecnici!$C627,CHAR(34),"'")&amp;CHAR(34)&amp;", "&amp;CHAR(34)&amp;"criterionId"&amp;CHAR(34)&amp;": "&amp;CHAR(34)&amp;SUBSTITUTE(CriteriTecnici!$D627,CHAR(34),"'")&amp;CHAR(34)&amp;", "&amp;CHAR(34)&amp;"kind"&amp;CHAR(34)&amp;": "&amp;CHAR(34)&amp;SUBSTITUTE(CriteriTecnici!$F627,CHAR(34),"'")&amp;CHAR(34)&amp;", "&amp;CHAR(34)&amp;"value"&amp;CHAR(34)&amp;": "&amp;SUBSTITUTE(TRIM(ROUND(IFERROR(CriteriTecnici!$N627*1,IFERROR(NUMBERVALUE(CriteriTecnici!$N627,".",","),IFERROR(NUMBERVALUE(CriteriTecnici!$N627,",","."),0))),4)&amp;""),",",".")&amp;", "&amp;CHAR(34)&amp;"numerator"&amp;CHAR(34)&amp;": "&amp;SUBSTITUTE(TRIM(ROUND(IFERROR(CriteriTecnici!$K627*1,IFERROR(NUMBERVALUE(CriteriTecnici!$K627,".",","),IFERROR(NUMBERVALUE(CriteriTecnici!$K627,",","."),0))),4)&amp;""),",",".")&amp;", "&amp;CHAR(34)&amp;"denominator"&amp;CHAR(34)&amp;": "&amp;SUBSTITUTE(TRIM(ROUND(IFERROR(CriteriTecnici!$L627*1,IFERROR(NUMBERVALUE(CriteriTecnici!$L627,".",","),IFERROR(NUMBERVALUE(CriteriTecnici!$L627,",","."),0))),4)&amp;""),",",".")&amp;", "&amp;CHAR(34)&amp;"flag"&amp;CHAR(34)&amp;": "&amp;SUBSTITUTE(TRIM(ROUND(IFERROR(CriteriTecnici!$M627*1,IFERROR(NUMBERVALUE(CriteriTecnici!$M627,".",","),IFERROR(NUMBERVALUE(CriteriTecnici!$M627,",","."),0))),4)&amp;""),",",".")&amp;", "&amp;CHAR(34)&amp;"rawScore"&amp;CHAR(34)&amp;": "&amp;SUBSTITUTE(TRIM(ROUND(IFERROR(CriteriTecnici!$O627*1,IFERROR(NUMBERVALUE(CriteriTecnici!$O627,".",","),IFERROR(NUMBERVALUE(CriteriTecnici!$O627,",","."),0))),4)&amp;""),",",".")&amp;CHAR(125)&amp;IF(TRUE,",",""))</f>
        <v/>
      </c>
    </row>
    <row r="729">
      <c r="A729" s="82">
        <f>IF(CriteriTecnici!$A628="","","    "&amp;CHAR(123)&amp;CHAR(34)&amp;"bidderId"&amp;CHAR(34)&amp;": "&amp;CHAR(34)&amp;SUBSTITUTE(CriteriTecnici!$A628,CHAR(34),"'")&amp;CHAR(34)&amp;", "&amp;CHAR(34)&amp;"lotId"&amp;CHAR(34)&amp;": "&amp;CHAR(34)&amp;SUBSTITUTE(CriteriTecnici!$C628,CHAR(34),"'")&amp;CHAR(34)&amp;", "&amp;CHAR(34)&amp;"criterionId"&amp;CHAR(34)&amp;": "&amp;CHAR(34)&amp;SUBSTITUTE(CriteriTecnici!$D628,CHAR(34),"'")&amp;CHAR(34)&amp;", "&amp;CHAR(34)&amp;"kind"&amp;CHAR(34)&amp;": "&amp;CHAR(34)&amp;SUBSTITUTE(CriteriTecnici!$F628,CHAR(34),"'")&amp;CHAR(34)&amp;", "&amp;CHAR(34)&amp;"value"&amp;CHAR(34)&amp;": "&amp;SUBSTITUTE(TRIM(ROUND(IFERROR(CriteriTecnici!$N628*1,IFERROR(NUMBERVALUE(CriteriTecnici!$N628,".",","),IFERROR(NUMBERVALUE(CriteriTecnici!$N628,",","."),0))),4)&amp;""),",",".")&amp;", "&amp;CHAR(34)&amp;"numerator"&amp;CHAR(34)&amp;": "&amp;SUBSTITUTE(TRIM(ROUND(IFERROR(CriteriTecnici!$K628*1,IFERROR(NUMBERVALUE(CriteriTecnici!$K628,".",","),IFERROR(NUMBERVALUE(CriteriTecnici!$K628,",","."),0))),4)&amp;""),",",".")&amp;", "&amp;CHAR(34)&amp;"denominator"&amp;CHAR(34)&amp;": "&amp;SUBSTITUTE(TRIM(ROUND(IFERROR(CriteriTecnici!$L628*1,IFERROR(NUMBERVALUE(CriteriTecnici!$L628,".",","),IFERROR(NUMBERVALUE(CriteriTecnici!$L628,",","."),0))),4)&amp;""),",",".")&amp;", "&amp;CHAR(34)&amp;"flag"&amp;CHAR(34)&amp;": "&amp;SUBSTITUTE(TRIM(ROUND(IFERROR(CriteriTecnici!$M628*1,IFERROR(NUMBERVALUE(CriteriTecnici!$M628,".",","),IFERROR(NUMBERVALUE(CriteriTecnici!$M628,",","."),0))),4)&amp;""),",",".")&amp;", "&amp;CHAR(34)&amp;"rawScore"&amp;CHAR(34)&amp;": "&amp;SUBSTITUTE(TRIM(ROUND(IFERROR(CriteriTecnici!$O628*1,IFERROR(NUMBERVALUE(CriteriTecnici!$O628,".",","),IFERROR(NUMBERVALUE(CriteriTecnici!$O628,",","."),0))),4)&amp;""),",",".")&amp;CHAR(125)&amp;IF(TRUE,",",""))</f>
        <v/>
      </c>
    </row>
    <row r="730">
      <c r="A730" s="82">
        <f>IF(CriteriTecnici!$A629="","","    "&amp;CHAR(123)&amp;CHAR(34)&amp;"bidderId"&amp;CHAR(34)&amp;": "&amp;CHAR(34)&amp;SUBSTITUTE(CriteriTecnici!$A629,CHAR(34),"'")&amp;CHAR(34)&amp;", "&amp;CHAR(34)&amp;"lotId"&amp;CHAR(34)&amp;": "&amp;CHAR(34)&amp;SUBSTITUTE(CriteriTecnici!$C629,CHAR(34),"'")&amp;CHAR(34)&amp;", "&amp;CHAR(34)&amp;"criterionId"&amp;CHAR(34)&amp;": "&amp;CHAR(34)&amp;SUBSTITUTE(CriteriTecnici!$D629,CHAR(34),"'")&amp;CHAR(34)&amp;", "&amp;CHAR(34)&amp;"kind"&amp;CHAR(34)&amp;": "&amp;CHAR(34)&amp;SUBSTITUTE(CriteriTecnici!$F629,CHAR(34),"'")&amp;CHAR(34)&amp;", "&amp;CHAR(34)&amp;"value"&amp;CHAR(34)&amp;": "&amp;SUBSTITUTE(TRIM(ROUND(IFERROR(CriteriTecnici!$N629*1,IFERROR(NUMBERVALUE(CriteriTecnici!$N629,".",","),IFERROR(NUMBERVALUE(CriteriTecnici!$N629,",","."),0))),4)&amp;""),",",".")&amp;", "&amp;CHAR(34)&amp;"numerator"&amp;CHAR(34)&amp;": "&amp;SUBSTITUTE(TRIM(ROUND(IFERROR(CriteriTecnici!$K629*1,IFERROR(NUMBERVALUE(CriteriTecnici!$K629,".",","),IFERROR(NUMBERVALUE(CriteriTecnici!$K629,",","."),0))),4)&amp;""),",",".")&amp;", "&amp;CHAR(34)&amp;"denominator"&amp;CHAR(34)&amp;": "&amp;SUBSTITUTE(TRIM(ROUND(IFERROR(CriteriTecnici!$L629*1,IFERROR(NUMBERVALUE(CriteriTecnici!$L629,".",","),IFERROR(NUMBERVALUE(CriteriTecnici!$L629,",","."),0))),4)&amp;""),",",".")&amp;", "&amp;CHAR(34)&amp;"flag"&amp;CHAR(34)&amp;": "&amp;SUBSTITUTE(TRIM(ROUND(IFERROR(CriteriTecnici!$M629*1,IFERROR(NUMBERVALUE(CriteriTecnici!$M629,".",","),IFERROR(NUMBERVALUE(CriteriTecnici!$M629,",","."),0))),4)&amp;""),",",".")&amp;", "&amp;CHAR(34)&amp;"rawScore"&amp;CHAR(34)&amp;": "&amp;SUBSTITUTE(TRIM(ROUND(IFERROR(CriteriTecnici!$O629*1,IFERROR(NUMBERVALUE(CriteriTecnici!$O629,".",","),IFERROR(NUMBERVALUE(CriteriTecnici!$O629,",","."),0))),4)&amp;""),",",".")&amp;CHAR(125)&amp;IF(TRUE,",",""))</f>
        <v/>
      </c>
    </row>
    <row r="731">
      <c r="A731" s="82">
        <f>IF(CriteriTecnici!$A630="","","    "&amp;CHAR(123)&amp;CHAR(34)&amp;"bidderId"&amp;CHAR(34)&amp;": "&amp;CHAR(34)&amp;SUBSTITUTE(CriteriTecnici!$A630,CHAR(34),"'")&amp;CHAR(34)&amp;", "&amp;CHAR(34)&amp;"lotId"&amp;CHAR(34)&amp;": "&amp;CHAR(34)&amp;SUBSTITUTE(CriteriTecnici!$C630,CHAR(34),"'")&amp;CHAR(34)&amp;", "&amp;CHAR(34)&amp;"criterionId"&amp;CHAR(34)&amp;": "&amp;CHAR(34)&amp;SUBSTITUTE(CriteriTecnici!$D630,CHAR(34),"'")&amp;CHAR(34)&amp;", "&amp;CHAR(34)&amp;"kind"&amp;CHAR(34)&amp;": "&amp;CHAR(34)&amp;SUBSTITUTE(CriteriTecnici!$F630,CHAR(34),"'")&amp;CHAR(34)&amp;", "&amp;CHAR(34)&amp;"value"&amp;CHAR(34)&amp;": "&amp;SUBSTITUTE(TRIM(ROUND(IFERROR(CriteriTecnici!$N630*1,IFERROR(NUMBERVALUE(CriteriTecnici!$N630,".",","),IFERROR(NUMBERVALUE(CriteriTecnici!$N630,",","."),0))),4)&amp;""),",",".")&amp;", "&amp;CHAR(34)&amp;"numerator"&amp;CHAR(34)&amp;": "&amp;SUBSTITUTE(TRIM(ROUND(IFERROR(CriteriTecnici!$K630*1,IFERROR(NUMBERVALUE(CriteriTecnici!$K630,".",","),IFERROR(NUMBERVALUE(CriteriTecnici!$K630,",","."),0))),4)&amp;""),",",".")&amp;", "&amp;CHAR(34)&amp;"denominator"&amp;CHAR(34)&amp;": "&amp;SUBSTITUTE(TRIM(ROUND(IFERROR(CriteriTecnici!$L630*1,IFERROR(NUMBERVALUE(CriteriTecnici!$L630,".",","),IFERROR(NUMBERVALUE(CriteriTecnici!$L630,",","."),0))),4)&amp;""),",",".")&amp;", "&amp;CHAR(34)&amp;"flag"&amp;CHAR(34)&amp;": "&amp;SUBSTITUTE(TRIM(ROUND(IFERROR(CriteriTecnici!$M630*1,IFERROR(NUMBERVALUE(CriteriTecnici!$M630,".",","),IFERROR(NUMBERVALUE(CriteriTecnici!$M630,",","."),0))),4)&amp;""),",",".")&amp;", "&amp;CHAR(34)&amp;"rawScore"&amp;CHAR(34)&amp;": "&amp;SUBSTITUTE(TRIM(ROUND(IFERROR(CriteriTecnici!$O630*1,IFERROR(NUMBERVALUE(CriteriTecnici!$O630,".",","),IFERROR(NUMBERVALUE(CriteriTecnici!$O630,",","."),0))),4)&amp;""),",",".")&amp;CHAR(125)&amp;IF(TRUE,",",""))</f>
        <v/>
      </c>
    </row>
    <row r="732">
      <c r="A732" s="82">
        <f>IF(CriteriTecnici!$A631="","","    "&amp;CHAR(123)&amp;CHAR(34)&amp;"bidderId"&amp;CHAR(34)&amp;": "&amp;CHAR(34)&amp;SUBSTITUTE(CriteriTecnici!$A631,CHAR(34),"'")&amp;CHAR(34)&amp;", "&amp;CHAR(34)&amp;"lotId"&amp;CHAR(34)&amp;": "&amp;CHAR(34)&amp;SUBSTITUTE(CriteriTecnici!$C631,CHAR(34),"'")&amp;CHAR(34)&amp;", "&amp;CHAR(34)&amp;"criterionId"&amp;CHAR(34)&amp;": "&amp;CHAR(34)&amp;SUBSTITUTE(CriteriTecnici!$D631,CHAR(34),"'")&amp;CHAR(34)&amp;", "&amp;CHAR(34)&amp;"kind"&amp;CHAR(34)&amp;": "&amp;CHAR(34)&amp;SUBSTITUTE(CriteriTecnici!$F631,CHAR(34),"'")&amp;CHAR(34)&amp;", "&amp;CHAR(34)&amp;"value"&amp;CHAR(34)&amp;": "&amp;SUBSTITUTE(TRIM(ROUND(IFERROR(CriteriTecnici!$N631*1,IFERROR(NUMBERVALUE(CriteriTecnici!$N631,".",","),IFERROR(NUMBERVALUE(CriteriTecnici!$N631,",","."),0))),4)&amp;""),",",".")&amp;", "&amp;CHAR(34)&amp;"numerator"&amp;CHAR(34)&amp;": "&amp;SUBSTITUTE(TRIM(ROUND(IFERROR(CriteriTecnici!$K631*1,IFERROR(NUMBERVALUE(CriteriTecnici!$K631,".",","),IFERROR(NUMBERVALUE(CriteriTecnici!$K631,",","."),0))),4)&amp;""),",",".")&amp;", "&amp;CHAR(34)&amp;"denominator"&amp;CHAR(34)&amp;": "&amp;SUBSTITUTE(TRIM(ROUND(IFERROR(CriteriTecnici!$L631*1,IFERROR(NUMBERVALUE(CriteriTecnici!$L631,".",","),IFERROR(NUMBERVALUE(CriteriTecnici!$L631,",","."),0))),4)&amp;""),",",".")&amp;", "&amp;CHAR(34)&amp;"flag"&amp;CHAR(34)&amp;": "&amp;SUBSTITUTE(TRIM(ROUND(IFERROR(CriteriTecnici!$M631*1,IFERROR(NUMBERVALUE(CriteriTecnici!$M631,".",","),IFERROR(NUMBERVALUE(CriteriTecnici!$M631,",","."),0))),4)&amp;""),",",".")&amp;", "&amp;CHAR(34)&amp;"rawScore"&amp;CHAR(34)&amp;": "&amp;SUBSTITUTE(TRIM(ROUND(IFERROR(CriteriTecnici!$O631*1,IFERROR(NUMBERVALUE(CriteriTecnici!$O631,".",","),IFERROR(NUMBERVALUE(CriteriTecnici!$O631,",","."),0))),4)&amp;""),",",".")&amp;CHAR(125)&amp;IF(TRUE,",",""))</f>
        <v/>
      </c>
    </row>
    <row r="733">
      <c r="A733" s="82">
        <f>IF(CriteriTecnici!$A632="","","    "&amp;CHAR(123)&amp;CHAR(34)&amp;"bidderId"&amp;CHAR(34)&amp;": "&amp;CHAR(34)&amp;SUBSTITUTE(CriteriTecnici!$A632,CHAR(34),"'")&amp;CHAR(34)&amp;", "&amp;CHAR(34)&amp;"lotId"&amp;CHAR(34)&amp;": "&amp;CHAR(34)&amp;SUBSTITUTE(CriteriTecnici!$C632,CHAR(34),"'")&amp;CHAR(34)&amp;", "&amp;CHAR(34)&amp;"criterionId"&amp;CHAR(34)&amp;": "&amp;CHAR(34)&amp;SUBSTITUTE(CriteriTecnici!$D632,CHAR(34),"'")&amp;CHAR(34)&amp;", "&amp;CHAR(34)&amp;"kind"&amp;CHAR(34)&amp;": "&amp;CHAR(34)&amp;SUBSTITUTE(CriteriTecnici!$F632,CHAR(34),"'")&amp;CHAR(34)&amp;", "&amp;CHAR(34)&amp;"value"&amp;CHAR(34)&amp;": "&amp;SUBSTITUTE(TRIM(ROUND(IFERROR(CriteriTecnici!$N632*1,IFERROR(NUMBERVALUE(CriteriTecnici!$N632,".",","),IFERROR(NUMBERVALUE(CriteriTecnici!$N632,",","."),0))),4)&amp;""),",",".")&amp;", "&amp;CHAR(34)&amp;"numerator"&amp;CHAR(34)&amp;": "&amp;SUBSTITUTE(TRIM(ROUND(IFERROR(CriteriTecnici!$K632*1,IFERROR(NUMBERVALUE(CriteriTecnici!$K632,".",","),IFERROR(NUMBERVALUE(CriteriTecnici!$K632,",","."),0))),4)&amp;""),",",".")&amp;", "&amp;CHAR(34)&amp;"denominator"&amp;CHAR(34)&amp;": "&amp;SUBSTITUTE(TRIM(ROUND(IFERROR(CriteriTecnici!$L632*1,IFERROR(NUMBERVALUE(CriteriTecnici!$L632,".",","),IFERROR(NUMBERVALUE(CriteriTecnici!$L632,",","."),0))),4)&amp;""),",",".")&amp;", "&amp;CHAR(34)&amp;"flag"&amp;CHAR(34)&amp;": "&amp;SUBSTITUTE(TRIM(ROUND(IFERROR(CriteriTecnici!$M632*1,IFERROR(NUMBERVALUE(CriteriTecnici!$M632,".",","),IFERROR(NUMBERVALUE(CriteriTecnici!$M632,",","."),0))),4)&amp;""),",",".")&amp;", "&amp;CHAR(34)&amp;"rawScore"&amp;CHAR(34)&amp;": "&amp;SUBSTITUTE(TRIM(ROUND(IFERROR(CriteriTecnici!$O632*1,IFERROR(NUMBERVALUE(CriteriTecnici!$O632,".",","),IFERROR(NUMBERVALUE(CriteriTecnici!$O632,",","."),0))),4)&amp;""),",",".")&amp;CHAR(125)&amp;IF(TRUE,",",""))</f>
        <v/>
      </c>
    </row>
    <row r="734">
      <c r="A734" s="82">
        <f>IF(CriteriTecnici!$A633="","","    "&amp;CHAR(123)&amp;CHAR(34)&amp;"bidderId"&amp;CHAR(34)&amp;": "&amp;CHAR(34)&amp;SUBSTITUTE(CriteriTecnici!$A633,CHAR(34),"'")&amp;CHAR(34)&amp;", "&amp;CHAR(34)&amp;"lotId"&amp;CHAR(34)&amp;": "&amp;CHAR(34)&amp;SUBSTITUTE(CriteriTecnici!$C633,CHAR(34),"'")&amp;CHAR(34)&amp;", "&amp;CHAR(34)&amp;"criterionId"&amp;CHAR(34)&amp;": "&amp;CHAR(34)&amp;SUBSTITUTE(CriteriTecnici!$D633,CHAR(34),"'")&amp;CHAR(34)&amp;", "&amp;CHAR(34)&amp;"kind"&amp;CHAR(34)&amp;": "&amp;CHAR(34)&amp;SUBSTITUTE(CriteriTecnici!$F633,CHAR(34),"'")&amp;CHAR(34)&amp;", "&amp;CHAR(34)&amp;"value"&amp;CHAR(34)&amp;": "&amp;SUBSTITUTE(TRIM(ROUND(IFERROR(CriteriTecnici!$N633*1,IFERROR(NUMBERVALUE(CriteriTecnici!$N633,".",","),IFERROR(NUMBERVALUE(CriteriTecnici!$N633,",","."),0))),4)&amp;""),",",".")&amp;", "&amp;CHAR(34)&amp;"numerator"&amp;CHAR(34)&amp;": "&amp;SUBSTITUTE(TRIM(ROUND(IFERROR(CriteriTecnici!$K633*1,IFERROR(NUMBERVALUE(CriteriTecnici!$K633,".",","),IFERROR(NUMBERVALUE(CriteriTecnici!$K633,",","."),0))),4)&amp;""),",",".")&amp;", "&amp;CHAR(34)&amp;"denominator"&amp;CHAR(34)&amp;": "&amp;SUBSTITUTE(TRIM(ROUND(IFERROR(CriteriTecnici!$L633*1,IFERROR(NUMBERVALUE(CriteriTecnici!$L633,".",","),IFERROR(NUMBERVALUE(CriteriTecnici!$L633,",","."),0))),4)&amp;""),",",".")&amp;", "&amp;CHAR(34)&amp;"flag"&amp;CHAR(34)&amp;": "&amp;SUBSTITUTE(TRIM(ROUND(IFERROR(CriteriTecnici!$M633*1,IFERROR(NUMBERVALUE(CriteriTecnici!$M633,".",","),IFERROR(NUMBERVALUE(CriteriTecnici!$M633,",","."),0))),4)&amp;""),",",".")&amp;", "&amp;CHAR(34)&amp;"rawScore"&amp;CHAR(34)&amp;": "&amp;SUBSTITUTE(TRIM(ROUND(IFERROR(CriteriTecnici!$O633*1,IFERROR(NUMBERVALUE(CriteriTecnici!$O633,".",","),IFERROR(NUMBERVALUE(CriteriTecnici!$O633,",","."),0))),4)&amp;""),",",".")&amp;CHAR(125)&amp;IF(TRUE,",",""))</f>
        <v/>
      </c>
    </row>
    <row r="735">
      <c r="A735" s="82">
        <f>IF(CriteriTecnici!$A634="","","    "&amp;CHAR(123)&amp;CHAR(34)&amp;"bidderId"&amp;CHAR(34)&amp;": "&amp;CHAR(34)&amp;SUBSTITUTE(CriteriTecnici!$A634,CHAR(34),"'")&amp;CHAR(34)&amp;", "&amp;CHAR(34)&amp;"lotId"&amp;CHAR(34)&amp;": "&amp;CHAR(34)&amp;SUBSTITUTE(CriteriTecnici!$C634,CHAR(34),"'")&amp;CHAR(34)&amp;", "&amp;CHAR(34)&amp;"criterionId"&amp;CHAR(34)&amp;": "&amp;CHAR(34)&amp;SUBSTITUTE(CriteriTecnici!$D634,CHAR(34),"'")&amp;CHAR(34)&amp;", "&amp;CHAR(34)&amp;"kind"&amp;CHAR(34)&amp;": "&amp;CHAR(34)&amp;SUBSTITUTE(CriteriTecnici!$F634,CHAR(34),"'")&amp;CHAR(34)&amp;", "&amp;CHAR(34)&amp;"value"&amp;CHAR(34)&amp;": "&amp;SUBSTITUTE(TRIM(ROUND(IFERROR(CriteriTecnici!$N634*1,IFERROR(NUMBERVALUE(CriteriTecnici!$N634,".",","),IFERROR(NUMBERVALUE(CriteriTecnici!$N634,",","."),0))),4)&amp;""),",",".")&amp;", "&amp;CHAR(34)&amp;"numerator"&amp;CHAR(34)&amp;": "&amp;SUBSTITUTE(TRIM(ROUND(IFERROR(CriteriTecnici!$K634*1,IFERROR(NUMBERVALUE(CriteriTecnici!$K634,".",","),IFERROR(NUMBERVALUE(CriteriTecnici!$K634,",","."),0))),4)&amp;""),",",".")&amp;", "&amp;CHAR(34)&amp;"denominator"&amp;CHAR(34)&amp;": "&amp;SUBSTITUTE(TRIM(ROUND(IFERROR(CriteriTecnici!$L634*1,IFERROR(NUMBERVALUE(CriteriTecnici!$L634,".",","),IFERROR(NUMBERVALUE(CriteriTecnici!$L634,",","."),0))),4)&amp;""),",",".")&amp;", "&amp;CHAR(34)&amp;"flag"&amp;CHAR(34)&amp;": "&amp;SUBSTITUTE(TRIM(ROUND(IFERROR(CriteriTecnici!$M634*1,IFERROR(NUMBERVALUE(CriteriTecnici!$M634,".",","),IFERROR(NUMBERVALUE(CriteriTecnici!$M634,",","."),0))),4)&amp;""),",",".")&amp;", "&amp;CHAR(34)&amp;"rawScore"&amp;CHAR(34)&amp;": "&amp;SUBSTITUTE(TRIM(ROUND(IFERROR(CriteriTecnici!$O634*1,IFERROR(NUMBERVALUE(CriteriTecnici!$O634,".",","),IFERROR(NUMBERVALUE(CriteriTecnici!$O634,",","."),0))),4)&amp;""),",",".")&amp;CHAR(125)&amp;IF(TRUE,",",""))</f>
        <v/>
      </c>
    </row>
    <row r="736">
      <c r="A736" s="82">
        <f>IF(CriteriTecnici!$A635="","","    "&amp;CHAR(123)&amp;CHAR(34)&amp;"bidderId"&amp;CHAR(34)&amp;": "&amp;CHAR(34)&amp;SUBSTITUTE(CriteriTecnici!$A635,CHAR(34),"'")&amp;CHAR(34)&amp;", "&amp;CHAR(34)&amp;"lotId"&amp;CHAR(34)&amp;": "&amp;CHAR(34)&amp;SUBSTITUTE(CriteriTecnici!$C635,CHAR(34),"'")&amp;CHAR(34)&amp;", "&amp;CHAR(34)&amp;"criterionId"&amp;CHAR(34)&amp;": "&amp;CHAR(34)&amp;SUBSTITUTE(CriteriTecnici!$D635,CHAR(34),"'")&amp;CHAR(34)&amp;", "&amp;CHAR(34)&amp;"kind"&amp;CHAR(34)&amp;": "&amp;CHAR(34)&amp;SUBSTITUTE(CriteriTecnici!$F635,CHAR(34),"'")&amp;CHAR(34)&amp;", "&amp;CHAR(34)&amp;"value"&amp;CHAR(34)&amp;": "&amp;SUBSTITUTE(TRIM(ROUND(IFERROR(CriteriTecnici!$N635*1,IFERROR(NUMBERVALUE(CriteriTecnici!$N635,".",","),IFERROR(NUMBERVALUE(CriteriTecnici!$N635,",","."),0))),4)&amp;""),",",".")&amp;", "&amp;CHAR(34)&amp;"numerator"&amp;CHAR(34)&amp;": "&amp;SUBSTITUTE(TRIM(ROUND(IFERROR(CriteriTecnici!$K635*1,IFERROR(NUMBERVALUE(CriteriTecnici!$K635,".",","),IFERROR(NUMBERVALUE(CriteriTecnici!$K635,",","."),0))),4)&amp;""),",",".")&amp;", "&amp;CHAR(34)&amp;"denominator"&amp;CHAR(34)&amp;": "&amp;SUBSTITUTE(TRIM(ROUND(IFERROR(CriteriTecnici!$L635*1,IFERROR(NUMBERVALUE(CriteriTecnici!$L635,".",","),IFERROR(NUMBERVALUE(CriteriTecnici!$L635,",","."),0))),4)&amp;""),",",".")&amp;", "&amp;CHAR(34)&amp;"flag"&amp;CHAR(34)&amp;": "&amp;SUBSTITUTE(TRIM(ROUND(IFERROR(CriteriTecnici!$M635*1,IFERROR(NUMBERVALUE(CriteriTecnici!$M635,".",","),IFERROR(NUMBERVALUE(CriteriTecnici!$M635,",","."),0))),4)&amp;""),",",".")&amp;", "&amp;CHAR(34)&amp;"rawScore"&amp;CHAR(34)&amp;": "&amp;SUBSTITUTE(TRIM(ROUND(IFERROR(CriteriTecnici!$O635*1,IFERROR(NUMBERVALUE(CriteriTecnici!$O635,".",","),IFERROR(NUMBERVALUE(CriteriTecnici!$O635,",","."),0))),4)&amp;""),",",".")&amp;CHAR(125)&amp;IF(TRUE,",",""))</f>
        <v/>
      </c>
    </row>
    <row r="737">
      <c r="A737" s="82">
        <f>IF(CriteriTecnici!$A636="","","    "&amp;CHAR(123)&amp;CHAR(34)&amp;"bidderId"&amp;CHAR(34)&amp;": "&amp;CHAR(34)&amp;SUBSTITUTE(CriteriTecnici!$A636,CHAR(34),"'")&amp;CHAR(34)&amp;", "&amp;CHAR(34)&amp;"lotId"&amp;CHAR(34)&amp;": "&amp;CHAR(34)&amp;SUBSTITUTE(CriteriTecnici!$C636,CHAR(34),"'")&amp;CHAR(34)&amp;", "&amp;CHAR(34)&amp;"criterionId"&amp;CHAR(34)&amp;": "&amp;CHAR(34)&amp;SUBSTITUTE(CriteriTecnici!$D636,CHAR(34),"'")&amp;CHAR(34)&amp;", "&amp;CHAR(34)&amp;"kind"&amp;CHAR(34)&amp;": "&amp;CHAR(34)&amp;SUBSTITUTE(CriteriTecnici!$F636,CHAR(34),"'")&amp;CHAR(34)&amp;", "&amp;CHAR(34)&amp;"value"&amp;CHAR(34)&amp;": "&amp;SUBSTITUTE(TRIM(ROUND(IFERROR(CriteriTecnici!$N636*1,IFERROR(NUMBERVALUE(CriteriTecnici!$N636,".",","),IFERROR(NUMBERVALUE(CriteriTecnici!$N636,",","."),0))),4)&amp;""),",",".")&amp;", "&amp;CHAR(34)&amp;"numerator"&amp;CHAR(34)&amp;": "&amp;SUBSTITUTE(TRIM(ROUND(IFERROR(CriteriTecnici!$K636*1,IFERROR(NUMBERVALUE(CriteriTecnici!$K636,".",","),IFERROR(NUMBERVALUE(CriteriTecnici!$K636,",","."),0))),4)&amp;""),",",".")&amp;", "&amp;CHAR(34)&amp;"denominator"&amp;CHAR(34)&amp;": "&amp;SUBSTITUTE(TRIM(ROUND(IFERROR(CriteriTecnici!$L636*1,IFERROR(NUMBERVALUE(CriteriTecnici!$L636,".",","),IFERROR(NUMBERVALUE(CriteriTecnici!$L636,",","."),0))),4)&amp;""),",",".")&amp;", "&amp;CHAR(34)&amp;"flag"&amp;CHAR(34)&amp;": "&amp;SUBSTITUTE(TRIM(ROUND(IFERROR(CriteriTecnici!$M636*1,IFERROR(NUMBERVALUE(CriteriTecnici!$M636,".",","),IFERROR(NUMBERVALUE(CriteriTecnici!$M636,",","."),0))),4)&amp;""),",",".")&amp;", "&amp;CHAR(34)&amp;"rawScore"&amp;CHAR(34)&amp;": "&amp;SUBSTITUTE(TRIM(ROUND(IFERROR(CriteriTecnici!$O636*1,IFERROR(NUMBERVALUE(CriteriTecnici!$O636,".",","),IFERROR(NUMBERVALUE(CriteriTecnici!$O636,",","."),0))),4)&amp;""),",",".")&amp;CHAR(125)&amp;IF(TRUE,",",""))</f>
        <v/>
      </c>
    </row>
    <row r="738">
      <c r="A738" s="82">
        <f>IF(CriteriTecnici!$A637="","","    "&amp;CHAR(123)&amp;CHAR(34)&amp;"bidderId"&amp;CHAR(34)&amp;": "&amp;CHAR(34)&amp;SUBSTITUTE(CriteriTecnici!$A637,CHAR(34),"'")&amp;CHAR(34)&amp;", "&amp;CHAR(34)&amp;"lotId"&amp;CHAR(34)&amp;": "&amp;CHAR(34)&amp;SUBSTITUTE(CriteriTecnici!$C637,CHAR(34),"'")&amp;CHAR(34)&amp;", "&amp;CHAR(34)&amp;"criterionId"&amp;CHAR(34)&amp;": "&amp;CHAR(34)&amp;SUBSTITUTE(CriteriTecnici!$D637,CHAR(34),"'")&amp;CHAR(34)&amp;", "&amp;CHAR(34)&amp;"kind"&amp;CHAR(34)&amp;": "&amp;CHAR(34)&amp;SUBSTITUTE(CriteriTecnici!$F637,CHAR(34),"'")&amp;CHAR(34)&amp;", "&amp;CHAR(34)&amp;"value"&amp;CHAR(34)&amp;": "&amp;SUBSTITUTE(TRIM(ROUND(IFERROR(CriteriTecnici!$N637*1,IFERROR(NUMBERVALUE(CriteriTecnici!$N637,".",","),IFERROR(NUMBERVALUE(CriteriTecnici!$N637,",","."),0))),4)&amp;""),",",".")&amp;", "&amp;CHAR(34)&amp;"numerator"&amp;CHAR(34)&amp;": "&amp;SUBSTITUTE(TRIM(ROUND(IFERROR(CriteriTecnici!$K637*1,IFERROR(NUMBERVALUE(CriteriTecnici!$K637,".",","),IFERROR(NUMBERVALUE(CriteriTecnici!$K637,",","."),0))),4)&amp;""),",",".")&amp;", "&amp;CHAR(34)&amp;"denominator"&amp;CHAR(34)&amp;": "&amp;SUBSTITUTE(TRIM(ROUND(IFERROR(CriteriTecnici!$L637*1,IFERROR(NUMBERVALUE(CriteriTecnici!$L637,".",","),IFERROR(NUMBERVALUE(CriteriTecnici!$L637,",","."),0))),4)&amp;""),",",".")&amp;", "&amp;CHAR(34)&amp;"flag"&amp;CHAR(34)&amp;": "&amp;SUBSTITUTE(TRIM(ROUND(IFERROR(CriteriTecnici!$M637*1,IFERROR(NUMBERVALUE(CriteriTecnici!$M637,".",","),IFERROR(NUMBERVALUE(CriteriTecnici!$M637,",","."),0))),4)&amp;""),",",".")&amp;", "&amp;CHAR(34)&amp;"rawScore"&amp;CHAR(34)&amp;": "&amp;SUBSTITUTE(TRIM(ROUND(IFERROR(CriteriTecnici!$O637*1,IFERROR(NUMBERVALUE(CriteriTecnici!$O637,".",","),IFERROR(NUMBERVALUE(CriteriTecnici!$O637,",","."),0))),4)&amp;""),",",".")&amp;CHAR(125)&amp;IF(TRUE,",",""))</f>
        <v/>
      </c>
    </row>
    <row r="739">
      <c r="A739" s="82">
        <f>IF(CriteriTecnici!$A638="","","    "&amp;CHAR(123)&amp;CHAR(34)&amp;"bidderId"&amp;CHAR(34)&amp;": "&amp;CHAR(34)&amp;SUBSTITUTE(CriteriTecnici!$A638,CHAR(34),"'")&amp;CHAR(34)&amp;", "&amp;CHAR(34)&amp;"lotId"&amp;CHAR(34)&amp;": "&amp;CHAR(34)&amp;SUBSTITUTE(CriteriTecnici!$C638,CHAR(34),"'")&amp;CHAR(34)&amp;", "&amp;CHAR(34)&amp;"criterionId"&amp;CHAR(34)&amp;": "&amp;CHAR(34)&amp;SUBSTITUTE(CriteriTecnici!$D638,CHAR(34),"'")&amp;CHAR(34)&amp;", "&amp;CHAR(34)&amp;"kind"&amp;CHAR(34)&amp;": "&amp;CHAR(34)&amp;SUBSTITUTE(CriteriTecnici!$F638,CHAR(34),"'")&amp;CHAR(34)&amp;", "&amp;CHAR(34)&amp;"value"&amp;CHAR(34)&amp;": "&amp;SUBSTITUTE(TRIM(ROUND(IFERROR(CriteriTecnici!$N638*1,IFERROR(NUMBERVALUE(CriteriTecnici!$N638,".",","),IFERROR(NUMBERVALUE(CriteriTecnici!$N638,",","."),0))),4)&amp;""),",",".")&amp;", "&amp;CHAR(34)&amp;"numerator"&amp;CHAR(34)&amp;": "&amp;SUBSTITUTE(TRIM(ROUND(IFERROR(CriteriTecnici!$K638*1,IFERROR(NUMBERVALUE(CriteriTecnici!$K638,".",","),IFERROR(NUMBERVALUE(CriteriTecnici!$K638,",","."),0))),4)&amp;""),",",".")&amp;", "&amp;CHAR(34)&amp;"denominator"&amp;CHAR(34)&amp;": "&amp;SUBSTITUTE(TRIM(ROUND(IFERROR(CriteriTecnici!$L638*1,IFERROR(NUMBERVALUE(CriteriTecnici!$L638,".",","),IFERROR(NUMBERVALUE(CriteriTecnici!$L638,",","."),0))),4)&amp;""),",",".")&amp;", "&amp;CHAR(34)&amp;"flag"&amp;CHAR(34)&amp;": "&amp;SUBSTITUTE(TRIM(ROUND(IFERROR(CriteriTecnici!$M638*1,IFERROR(NUMBERVALUE(CriteriTecnici!$M638,".",","),IFERROR(NUMBERVALUE(CriteriTecnici!$M638,",","."),0))),4)&amp;""),",",".")&amp;", "&amp;CHAR(34)&amp;"rawScore"&amp;CHAR(34)&amp;": "&amp;SUBSTITUTE(TRIM(ROUND(IFERROR(CriteriTecnici!$O638*1,IFERROR(NUMBERVALUE(CriteriTecnici!$O638,".",","),IFERROR(NUMBERVALUE(CriteriTecnici!$O638,",","."),0))),4)&amp;""),",",".")&amp;CHAR(125)&amp;IF(TRUE,",",""))</f>
        <v/>
      </c>
    </row>
    <row r="740">
      <c r="A740" s="82">
        <f>IF(CriteriTecnici!$A639="","","    "&amp;CHAR(123)&amp;CHAR(34)&amp;"bidderId"&amp;CHAR(34)&amp;": "&amp;CHAR(34)&amp;SUBSTITUTE(CriteriTecnici!$A639,CHAR(34),"'")&amp;CHAR(34)&amp;", "&amp;CHAR(34)&amp;"lotId"&amp;CHAR(34)&amp;": "&amp;CHAR(34)&amp;SUBSTITUTE(CriteriTecnici!$C639,CHAR(34),"'")&amp;CHAR(34)&amp;", "&amp;CHAR(34)&amp;"criterionId"&amp;CHAR(34)&amp;": "&amp;CHAR(34)&amp;SUBSTITUTE(CriteriTecnici!$D639,CHAR(34),"'")&amp;CHAR(34)&amp;", "&amp;CHAR(34)&amp;"kind"&amp;CHAR(34)&amp;": "&amp;CHAR(34)&amp;SUBSTITUTE(CriteriTecnici!$F639,CHAR(34),"'")&amp;CHAR(34)&amp;", "&amp;CHAR(34)&amp;"value"&amp;CHAR(34)&amp;": "&amp;SUBSTITUTE(TRIM(ROUND(IFERROR(CriteriTecnici!$N639*1,IFERROR(NUMBERVALUE(CriteriTecnici!$N639,".",","),IFERROR(NUMBERVALUE(CriteriTecnici!$N639,",","."),0))),4)&amp;""),",",".")&amp;", "&amp;CHAR(34)&amp;"numerator"&amp;CHAR(34)&amp;": "&amp;SUBSTITUTE(TRIM(ROUND(IFERROR(CriteriTecnici!$K639*1,IFERROR(NUMBERVALUE(CriteriTecnici!$K639,".",","),IFERROR(NUMBERVALUE(CriteriTecnici!$K639,",","."),0))),4)&amp;""),",",".")&amp;", "&amp;CHAR(34)&amp;"denominator"&amp;CHAR(34)&amp;": "&amp;SUBSTITUTE(TRIM(ROUND(IFERROR(CriteriTecnici!$L639*1,IFERROR(NUMBERVALUE(CriteriTecnici!$L639,".",","),IFERROR(NUMBERVALUE(CriteriTecnici!$L639,",","."),0))),4)&amp;""),",",".")&amp;", "&amp;CHAR(34)&amp;"flag"&amp;CHAR(34)&amp;": "&amp;SUBSTITUTE(TRIM(ROUND(IFERROR(CriteriTecnici!$M639*1,IFERROR(NUMBERVALUE(CriteriTecnici!$M639,".",","),IFERROR(NUMBERVALUE(CriteriTecnici!$M639,",","."),0))),4)&amp;""),",",".")&amp;", "&amp;CHAR(34)&amp;"rawScore"&amp;CHAR(34)&amp;": "&amp;SUBSTITUTE(TRIM(ROUND(IFERROR(CriteriTecnici!$O639*1,IFERROR(NUMBERVALUE(CriteriTecnici!$O639,".",","),IFERROR(NUMBERVALUE(CriteriTecnici!$O639,",","."),0))),4)&amp;""),",",".")&amp;CHAR(125)&amp;IF(TRUE,",",""))</f>
        <v/>
      </c>
    </row>
    <row r="741">
      <c r="A741" s="82">
        <f>IF(CriteriTecnici!$A640="","","    "&amp;CHAR(123)&amp;CHAR(34)&amp;"bidderId"&amp;CHAR(34)&amp;": "&amp;CHAR(34)&amp;SUBSTITUTE(CriteriTecnici!$A640,CHAR(34),"'")&amp;CHAR(34)&amp;", "&amp;CHAR(34)&amp;"lotId"&amp;CHAR(34)&amp;": "&amp;CHAR(34)&amp;SUBSTITUTE(CriteriTecnici!$C640,CHAR(34),"'")&amp;CHAR(34)&amp;", "&amp;CHAR(34)&amp;"criterionId"&amp;CHAR(34)&amp;": "&amp;CHAR(34)&amp;SUBSTITUTE(CriteriTecnici!$D640,CHAR(34),"'")&amp;CHAR(34)&amp;", "&amp;CHAR(34)&amp;"kind"&amp;CHAR(34)&amp;": "&amp;CHAR(34)&amp;SUBSTITUTE(CriteriTecnici!$F640,CHAR(34),"'")&amp;CHAR(34)&amp;", "&amp;CHAR(34)&amp;"value"&amp;CHAR(34)&amp;": "&amp;SUBSTITUTE(TRIM(ROUND(IFERROR(CriteriTecnici!$N640*1,IFERROR(NUMBERVALUE(CriteriTecnici!$N640,".",","),IFERROR(NUMBERVALUE(CriteriTecnici!$N640,",","."),0))),4)&amp;""),",",".")&amp;", "&amp;CHAR(34)&amp;"numerator"&amp;CHAR(34)&amp;": "&amp;SUBSTITUTE(TRIM(ROUND(IFERROR(CriteriTecnici!$K640*1,IFERROR(NUMBERVALUE(CriteriTecnici!$K640,".",","),IFERROR(NUMBERVALUE(CriteriTecnici!$K640,",","."),0))),4)&amp;""),",",".")&amp;", "&amp;CHAR(34)&amp;"denominator"&amp;CHAR(34)&amp;": "&amp;SUBSTITUTE(TRIM(ROUND(IFERROR(CriteriTecnici!$L640*1,IFERROR(NUMBERVALUE(CriteriTecnici!$L640,".",","),IFERROR(NUMBERVALUE(CriteriTecnici!$L640,",","."),0))),4)&amp;""),",",".")&amp;", "&amp;CHAR(34)&amp;"flag"&amp;CHAR(34)&amp;": "&amp;SUBSTITUTE(TRIM(ROUND(IFERROR(CriteriTecnici!$M640*1,IFERROR(NUMBERVALUE(CriteriTecnici!$M640,".",","),IFERROR(NUMBERVALUE(CriteriTecnici!$M640,",","."),0))),4)&amp;""),",",".")&amp;", "&amp;CHAR(34)&amp;"rawScore"&amp;CHAR(34)&amp;": "&amp;SUBSTITUTE(TRIM(ROUND(IFERROR(CriteriTecnici!$O640*1,IFERROR(NUMBERVALUE(CriteriTecnici!$O640,".",","),IFERROR(NUMBERVALUE(CriteriTecnici!$O640,",","."),0))),4)&amp;""),",",".")&amp;CHAR(125)&amp;IF(TRUE,",",""))</f>
        <v/>
      </c>
    </row>
    <row r="742">
      <c r="A742" s="82">
        <f>IF(CriteriTecnici!$A641="","","    "&amp;CHAR(123)&amp;CHAR(34)&amp;"bidderId"&amp;CHAR(34)&amp;": "&amp;CHAR(34)&amp;SUBSTITUTE(CriteriTecnici!$A641,CHAR(34),"'")&amp;CHAR(34)&amp;", "&amp;CHAR(34)&amp;"lotId"&amp;CHAR(34)&amp;": "&amp;CHAR(34)&amp;SUBSTITUTE(CriteriTecnici!$C641,CHAR(34),"'")&amp;CHAR(34)&amp;", "&amp;CHAR(34)&amp;"criterionId"&amp;CHAR(34)&amp;": "&amp;CHAR(34)&amp;SUBSTITUTE(CriteriTecnici!$D641,CHAR(34),"'")&amp;CHAR(34)&amp;", "&amp;CHAR(34)&amp;"kind"&amp;CHAR(34)&amp;": "&amp;CHAR(34)&amp;SUBSTITUTE(CriteriTecnici!$F641,CHAR(34),"'")&amp;CHAR(34)&amp;", "&amp;CHAR(34)&amp;"value"&amp;CHAR(34)&amp;": "&amp;SUBSTITUTE(TRIM(ROUND(IFERROR(CriteriTecnici!$N641*1,IFERROR(NUMBERVALUE(CriteriTecnici!$N641,".",","),IFERROR(NUMBERVALUE(CriteriTecnici!$N641,",","."),0))),4)&amp;""),",",".")&amp;", "&amp;CHAR(34)&amp;"numerator"&amp;CHAR(34)&amp;": "&amp;SUBSTITUTE(TRIM(ROUND(IFERROR(CriteriTecnici!$K641*1,IFERROR(NUMBERVALUE(CriteriTecnici!$K641,".",","),IFERROR(NUMBERVALUE(CriteriTecnici!$K641,",","."),0))),4)&amp;""),",",".")&amp;", "&amp;CHAR(34)&amp;"denominator"&amp;CHAR(34)&amp;": "&amp;SUBSTITUTE(TRIM(ROUND(IFERROR(CriteriTecnici!$L641*1,IFERROR(NUMBERVALUE(CriteriTecnici!$L641,".",","),IFERROR(NUMBERVALUE(CriteriTecnici!$L641,",","."),0))),4)&amp;""),",",".")&amp;", "&amp;CHAR(34)&amp;"flag"&amp;CHAR(34)&amp;": "&amp;SUBSTITUTE(TRIM(ROUND(IFERROR(CriteriTecnici!$M641*1,IFERROR(NUMBERVALUE(CriteriTecnici!$M641,".",","),IFERROR(NUMBERVALUE(CriteriTecnici!$M641,",","."),0))),4)&amp;""),",",".")&amp;", "&amp;CHAR(34)&amp;"rawScore"&amp;CHAR(34)&amp;": "&amp;SUBSTITUTE(TRIM(ROUND(IFERROR(CriteriTecnici!$O641*1,IFERROR(NUMBERVALUE(CriteriTecnici!$O641,".",","),IFERROR(NUMBERVALUE(CriteriTecnici!$O641,",","."),0))),4)&amp;""),",",".")&amp;CHAR(125)&amp;IF(TRUE,",",""))</f>
        <v/>
      </c>
    </row>
    <row r="743">
      <c r="A743" s="82">
        <f>IF(CriteriTecnici!$A642="","","    "&amp;CHAR(123)&amp;CHAR(34)&amp;"bidderId"&amp;CHAR(34)&amp;": "&amp;CHAR(34)&amp;SUBSTITUTE(CriteriTecnici!$A642,CHAR(34),"'")&amp;CHAR(34)&amp;", "&amp;CHAR(34)&amp;"lotId"&amp;CHAR(34)&amp;": "&amp;CHAR(34)&amp;SUBSTITUTE(CriteriTecnici!$C642,CHAR(34),"'")&amp;CHAR(34)&amp;", "&amp;CHAR(34)&amp;"criterionId"&amp;CHAR(34)&amp;": "&amp;CHAR(34)&amp;SUBSTITUTE(CriteriTecnici!$D642,CHAR(34),"'")&amp;CHAR(34)&amp;", "&amp;CHAR(34)&amp;"kind"&amp;CHAR(34)&amp;": "&amp;CHAR(34)&amp;SUBSTITUTE(CriteriTecnici!$F642,CHAR(34),"'")&amp;CHAR(34)&amp;", "&amp;CHAR(34)&amp;"value"&amp;CHAR(34)&amp;": "&amp;SUBSTITUTE(TRIM(ROUND(IFERROR(CriteriTecnici!$N642*1,IFERROR(NUMBERVALUE(CriteriTecnici!$N642,".",","),IFERROR(NUMBERVALUE(CriteriTecnici!$N642,",","."),0))),4)&amp;""),",",".")&amp;", "&amp;CHAR(34)&amp;"numerator"&amp;CHAR(34)&amp;": "&amp;SUBSTITUTE(TRIM(ROUND(IFERROR(CriteriTecnici!$K642*1,IFERROR(NUMBERVALUE(CriteriTecnici!$K642,".",","),IFERROR(NUMBERVALUE(CriteriTecnici!$K642,",","."),0))),4)&amp;""),",",".")&amp;", "&amp;CHAR(34)&amp;"denominator"&amp;CHAR(34)&amp;": "&amp;SUBSTITUTE(TRIM(ROUND(IFERROR(CriteriTecnici!$L642*1,IFERROR(NUMBERVALUE(CriteriTecnici!$L642,".",","),IFERROR(NUMBERVALUE(CriteriTecnici!$L642,",","."),0))),4)&amp;""),",",".")&amp;", "&amp;CHAR(34)&amp;"flag"&amp;CHAR(34)&amp;": "&amp;SUBSTITUTE(TRIM(ROUND(IFERROR(CriteriTecnici!$M642*1,IFERROR(NUMBERVALUE(CriteriTecnici!$M642,".",","),IFERROR(NUMBERVALUE(CriteriTecnici!$M642,",","."),0))),4)&amp;""),",",".")&amp;", "&amp;CHAR(34)&amp;"rawScore"&amp;CHAR(34)&amp;": "&amp;SUBSTITUTE(TRIM(ROUND(IFERROR(CriteriTecnici!$O642*1,IFERROR(NUMBERVALUE(CriteriTecnici!$O642,".",","),IFERROR(NUMBERVALUE(CriteriTecnici!$O642,",","."),0))),4)&amp;""),",",".")&amp;CHAR(125)&amp;IF(TRUE,",",""))</f>
        <v/>
      </c>
    </row>
    <row r="744">
      <c r="A744" s="82">
        <f>IF(CriteriTecnici!$A643="","","    "&amp;CHAR(123)&amp;CHAR(34)&amp;"bidderId"&amp;CHAR(34)&amp;": "&amp;CHAR(34)&amp;SUBSTITUTE(CriteriTecnici!$A643,CHAR(34),"'")&amp;CHAR(34)&amp;", "&amp;CHAR(34)&amp;"lotId"&amp;CHAR(34)&amp;": "&amp;CHAR(34)&amp;SUBSTITUTE(CriteriTecnici!$C643,CHAR(34),"'")&amp;CHAR(34)&amp;", "&amp;CHAR(34)&amp;"criterionId"&amp;CHAR(34)&amp;": "&amp;CHAR(34)&amp;SUBSTITUTE(CriteriTecnici!$D643,CHAR(34),"'")&amp;CHAR(34)&amp;", "&amp;CHAR(34)&amp;"kind"&amp;CHAR(34)&amp;": "&amp;CHAR(34)&amp;SUBSTITUTE(CriteriTecnici!$F643,CHAR(34),"'")&amp;CHAR(34)&amp;", "&amp;CHAR(34)&amp;"value"&amp;CHAR(34)&amp;": "&amp;SUBSTITUTE(TRIM(ROUND(IFERROR(CriteriTecnici!$N643*1,IFERROR(NUMBERVALUE(CriteriTecnici!$N643,".",","),IFERROR(NUMBERVALUE(CriteriTecnici!$N643,",","."),0))),4)&amp;""),",",".")&amp;", "&amp;CHAR(34)&amp;"numerator"&amp;CHAR(34)&amp;": "&amp;SUBSTITUTE(TRIM(ROUND(IFERROR(CriteriTecnici!$K643*1,IFERROR(NUMBERVALUE(CriteriTecnici!$K643,".",","),IFERROR(NUMBERVALUE(CriteriTecnici!$K643,",","."),0))),4)&amp;""),",",".")&amp;", "&amp;CHAR(34)&amp;"denominator"&amp;CHAR(34)&amp;": "&amp;SUBSTITUTE(TRIM(ROUND(IFERROR(CriteriTecnici!$L643*1,IFERROR(NUMBERVALUE(CriteriTecnici!$L643,".",","),IFERROR(NUMBERVALUE(CriteriTecnici!$L643,",","."),0))),4)&amp;""),",",".")&amp;", "&amp;CHAR(34)&amp;"flag"&amp;CHAR(34)&amp;": "&amp;SUBSTITUTE(TRIM(ROUND(IFERROR(CriteriTecnici!$M643*1,IFERROR(NUMBERVALUE(CriteriTecnici!$M643,".",","),IFERROR(NUMBERVALUE(CriteriTecnici!$M643,",","."),0))),4)&amp;""),",",".")&amp;", "&amp;CHAR(34)&amp;"rawScore"&amp;CHAR(34)&amp;": "&amp;SUBSTITUTE(TRIM(ROUND(IFERROR(CriteriTecnici!$O643*1,IFERROR(NUMBERVALUE(CriteriTecnici!$O643,".",","),IFERROR(NUMBERVALUE(CriteriTecnici!$O643,",","."),0))),4)&amp;""),",",".")&amp;CHAR(125)&amp;IF(TRUE,",",""))</f>
        <v/>
      </c>
    </row>
    <row r="745">
      <c r="A745" s="82">
        <f>IF(CriteriTecnici!$A644="","","    "&amp;CHAR(123)&amp;CHAR(34)&amp;"bidderId"&amp;CHAR(34)&amp;": "&amp;CHAR(34)&amp;SUBSTITUTE(CriteriTecnici!$A644,CHAR(34),"'")&amp;CHAR(34)&amp;", "&amp;CHAR(34)&amp;"lotId"&amp;CHAR(34)&amp;": "&amp;CHAR(34)&amp;SUBSTITUTE(CriteriTecnici!$C644,CHAR(34),"'")&amp;CHAR(34)&amp;", "&amp;CHAR(34)&amp;"criterionId"&amp;CHAR(34)&amp;": "&amp;CHAR(34)&amp;SUBSTITUTE(CriteriTecnici!$D644,CHAR(34),"'")&amp;CHAR(34)&amp;", "&amp;CHAR(34)&amp;"kind"&amp;CHAR(34)&amp;": "&amp;CHAR(34)&amp;SUBSTITUTE(CriteriTecnici!$F644,CHAR(34),"'")&amp;CHAR(34)&amp;", "&amp;CHAR(34)&amp;"value"&amp;CHAR(34)&amp;": "&amp;SUBSTITUTE(TRIM(ROUND(IFERROR(CriteriTecnici!$N644*1,IFERROR(NUMBERVALUE(CriteriTecnici!$N644,".",","),IFERROR(NUMBERVALUE(CriteriTecnici!$N644,",","."),0))),4)&amp;""),",",".")&amp;", "&amp;CHAR(34)&amp;"numerator"&amp;CHAR(34)&amp;": "&amp;SUBSTITUTE(TRIM(ROUND(IFERROR(CriteriTecnici!$K644*1,IFERROR(NUMBERVALUE(CriteriTecnici!$K644,".",","),IFERROR(NUMBERVALUE(CriteriTecnici!$K644,",","."),0))),4)&amp;""),",",".")&amp;", "&amp;CHAR(34)&amp;"denominator"&amp;CHAR(34)&amp;": "&amp;SUBSTITUTE(TRIM(ROUND(IFERROR(CriteriTecnici!$L644*1,IFERROR(NUMBERVALUE(CriteriTecnici!$L644,".",","),IFERROR(NUMBERVALUE(CriteriTecnici!$L644,",","."),0))),4)&amp;""),",",".")&amp;", "&amp;CHAR(34)&amp;"flag"&amp;CHAR(34)&amp;": "&amp;SUBSTITUTE(TRIM(ROUND(IFERROR(CriteriTecnici!$M644*1,IFERROR(NUMBERVALUE(CriteriTecnici!$M644,".",","),IFERROR(NUMBERVALUE(CriteriTecnici!$M644,",","."),0))),4)&amp;""),",",".")&amp;", "&amp;CHAR(34)&amp;"rawScore"&amp;CHAR(34)&amp;": "&amp;SUBSTITUTE(TRIM(ROUND(IFERROR(CriteriTecnici!$O644*1,IFERROR(NUMBERVALUE(CriteriTecnici!$O644,".",","),IFERROR(NUMBERVALUE(CriteriTecnici!$O644,",","."),0))),4)&amp;""),",",".")&amp;CHAR(125)&amp;IF(TRUE,",",""))</f>
        <v/>
      </c>
    </row>
    <row r="746">
      <c r="A746" s="82">
        <f>IF(CriteriTecnici!$A645="","","    "&amp;CHAR(123)&amp;CHAR(34)&amp;"bidderId"&amp;CHAR(34)&amp;": "&amp;CHAR(34)&amp;SUBSTITUTE(CriteriTecnici!$A645,CHAR(34),"'")&amp;CHAR(34)&amp;", "&amp;CHAR(34)&amp;"lotId"&amp;CHAR(34)&amp;": "&amp;CHAR(34)&amp;SUBSTITUTE(CriteriTecnici!$C645,CHAR(34),"'")&amp;CHAR(34)&amp;", "&amp;CHAR(34)&amp;"criterionId"&amp;CHAR(34)&amp;": "&amp;CHAR(34)&amp;SUBSTITUTE(CriteriTecnici!$D645,CHAR(34),"'")&amp;CHAR(34)&amp;", "&amp;CHAR(34)&amp;"kind"&amp;CHAR(34)&amp;": "&amp;CHAR(34)&amp;SUBSTITUTE(CriteriTecnici!$F645,CHAR(34),"'")&amp;CHAR(34)&amp;", "&amp;CHAR(34)&amp;"value"&amp;CHAR(34)&amp;": "&amp;SUBSTITUTE(TRIM(ROUND(IFERROR(CriteriTecnici!$N645*1,IFERROR(NUMBERVALUE(CriteriTecnici!$N645,".",","),IFERROR(NUMBERVALUE(CriteriTecnici!$N645,",","."),0))),4)&amp;""),",",".")&amp;", "&amp;CHAR(34)&amp;"numerator"&amp;CHAR(34)&amp;": "&amp;SUBSTITUTE(TRIM(ROUND(IFERROR(CriteriTecnici!$K645*1,IFERROR(NUMBERVALUE(CriteriTecnici!$K645,".",","),IFERROR(NUMBERVALUE(CriteriTecnici!$K645,",","."),0))),4)&amp;""),",",".")&amp;", "&amp;CHAR(34)&amp;"denominator"&amp;CHAR(34)&amp;": "&amp;SUBSTITUTE(TRIM(ROUND(IFERROR(CriteriTecnici!$L645*1,IFERROR(NUMBERVALUE(CriteriTecnici!$L645,".",","),IFERROR(NUMBERVALUE(CriteriTecnici!$L645,",","."),0))),4)&amp;""),",",".")&amp;", "&amp;CHAR(34)&amp;"flag"&amp;CHAR(34)&amp;": "&amp;SUBSTITUTE(TRIM(ROUND(IFERROR(CriteriTecnici!$M645*1,IFERROR(NUMBERVALUE(CriteriTecnici!$M645,".",","),IFERROR(NUMBERVALUE(CriteriTecnici!$M645,",","."),0))),4)&amp;""),",",".")&amp;", "&amp;CHAR(34)&amp;"rawScore"&amp;CHAR(34)&amp;": "&amp;SUBSTITUTE(TRIM(ROUND(IFERROR(CriteriTecnici!$O645*1,IFERROR(NUMBERVALUE(CriteriTecnici!$O645,".",","),IFERROR(NUMBERVALUE(CriteriTecnici!$O645,",","."),0))),4)&amp;""),",",".")&amp;CHAR(125)&amp;IF(TRUE,",",""))</f>
        <v/>
      </c>
    </row>
    <row r="747">
      <c r="A747" s="82">
        <f>IF(CriteriTecnici!$A646="","","    "&amp;CHAR(123)&amp;CHAR(34)&amp;"bidderId"&amp;CHAR(34)&amp;": "&amp;CHAR(34)&amp;SUBSTITUTE(CriteriTecnici!$A646,CHAR(34),"'")&amp;CHAR(34)&amp;", "&amp;CHAR(34)&amp;"lotId"&amp;CHAR(34)&amp;": "&amp;CHAR(34)&amp;SUBSTITUTE(CriteriTecnici!$C646,CHAR(34),"'")&amp;CHAR(34)&amp;", "&amp;CHAR(34)&amp;"criterionId"&amp;CHAR(34)&amp;": "&amp;CHAR(34)&amp;SUBSTITUTE(CriteriTecnici!$D646,CHAR(34),"'")&amp;CHAR(34)&amp;", "&amp;CHAR(34)&amp;"kind"&amp;CHAR(34)&amp;": "&amp;CHAR(34)&amp;SUBSTITUTE(CriteriTecnici!$F646,CHAR(34),"'")&amp;CHAR(34)&amp;", "&amp;CHAR(34)&amp;"value"&amp;CHAR(34)&amp;": "&amp;SUBSTITUTE(TRIM(ROUND(IFERROR(CriteriTecnici!$N646*1,IFERROR(NUMBERVALUE(CriteriTecnici!$N646,".",","),IFERROR(NUMBERVALUE(CriteriTecnici!$N646,",","."),0))),4)&amp;""),",",".")&amp;", "&amp;CHAR(34)&amp;"numerator"&amp;CHAR(34)&amp;": "&amp;SUBSTITUTE(TRIM(ROUND(IFERROR(CriteriTecnici!$K646*1,IFERROR(NUMBERVALUE(CriteriTecnici!$K646,".",","),IFERROR(NUMBERVALUE(CriteriTecnici!$K646,",","."),0))),4)&amp;""),",",".")&amp;", "&amp;CHAR(34)&amp;"denominator"&amp;CHAR(34)&amp;": "&amp;SUBSTITUTE(TRIM(ROUND(IFERROR(CriteriTecnici!$L646*1,IFERROR(NUMBERVALUE(CriteriTecnici!$L646,".",","),IFERROR(NUMBERVALUE(CriteriTecnici!$L646,",","."),0))),4)&amp;""),",",".")&amp;", "&amp;CHAR(34)&amp;"flag"&amp;CHAR(34)&amp;": "&amp;SUBSTITUTE(TRIM(ROUND(IFERROR(CriteriTecnici!$M646*1,IFERROR(NUMBERVALUE(CriteriTecnici!$M646,".",","),IFERROR(NUMBERVALUE(CriteriTecnici!$M646,",","."),0))),4)&amp;""),",",".")&amp;", "&amp;CHAR(34)&amp;"rawScore"&amp;CHAR(34)&amp;": "&amp;SUBSTITUTE(TRIM(ROUND(IFERROR(CriteriTecnici!$O646*1,IFERROR(NUMBERVALUE(CriteriTecnici!$O646,".",","),IFERROR(NUMBERVALUE(CriteriTecnici!$O646,",","."),0))),4)&amp;""),",",".")&amp;CHAR(125)&amp;IF(TRUE,",",""))</f>
        <v/>
      </c>
    </row>
    <row r="748">
      <c r="A748" s="82">
        <f>IF(CriteriTecnici!$A647="","","    "&amp;CHAR(123)&amp;CHAR(34)&amp;"bidderId"&amp;CHAR(34)&amp;": "&amp;CHAR(34)&amp;SUBSTITUTE(CriteriTecnici!$A647,CHAR(34),"'")&amp;CHAR(34)&amp;", "&amp;CHAR(34)&amp;"lotId"&amp;CHAR(34)&amp;": "&amp;CHAR(34)&amp;SUBSTITUTE(CriteriTecnici!$C647,CHAR(34),"'")&amp;CHAR(34)&amp;", "&amp;CHAR(34)&amp;"criterionId"&amp;CHAR(34)&amp;": "&amp;CHAR(34)&amp;SUBSTITUTE(CriteriTecnici!$D647,CHAR(34),"'")&amp;CHAR(34)&amp;", "&amp;CHAR(34)&amp;"kind"&amp;CHAR(34)&amp;": "&amp;CHAR(34)&amp;SUBSTITUTE(CriteriTecnici!$F647,CHAR(34),"'")&amp;CHAR(34)&amp;", "&amp;CHAR(34)&amp;"value"&amp;CHAR(34)&amp;": "&amp;SUBSTITUTE(TRIM(ROUND(IFERROR(CriteriTecnici!$N647*1,IFERROR(NUMBERVALUE(CriteriTecnici!$N647,".",","),IFERROR(NUMBERVALUE(CriteriTecnici!$N647,",","."),0))),4)&amp;""),",",".")&amp;", "&amp;CHAR(34)&amp;"numerator"&amp;CHAR(34)&amp;": "&amp;SUBSTITUTE(TRIM(ROUND(IFERROR(CriteriTecnici!$K647*1,IFERROR(NUMBERVALUE(CriteriTecnici!$K647,".",","),IFERROR(NUMBERVALUE(CriteriTecnici!$K647,",","."),0))),4)&amp;""),",",".")&amp;", "&amp;CHAR(34)&amp;"denominator"&amp;CHAR(34)&amp;": "&amp;SUBSTITUTE(TRIM(ROUND(IFERROR(CriteriTecnici!$L647*1,IFERROR(NUMBERVALUE(CriteriTecnici!$L647,".",","),IFERROR(NUMBERVALUE(CriteriTecnici!$L647,",","."),0))),4)&amp;""),",",".")&amp;", "&amp;CHAR(34)&amp;"flag"&amp;CHAR(34)&amp;": "&amp;SUBSTITUTE(TRIM(ROUND(IFERROR(CriteriTecnici!$M647*1,IFERROR(NUMBERVALUE(CriteriTecnici!$M647,".",","),IFERROR(NUMBERVALUE(CriteriTecnici!$M647,",","."),0))),4)&amp;""),",",".")&amp;", "&amp;CHAR(34)&amp;"rawScore"&amp;CHAR(34)&amp;": "&amp;SUBSTITUTE(TRIM(ROUND(IFERROR(CriteriTecnici!$O647*1,IFERROR(NUMBERVALUE(CriteriTecnici!$O647,".",","),IFERROR(NUMBERVALUE(CriteriTecnici!$O647,",","."),0))),4)&amp;""),",",".")&amp;CHAR(125)&amp;IF(TRUE,",",""))</f>
        <v/>
      </c>
    </row>
    <row r="749">
      <c r="A749" s="82">
        <f>IF(CriteriTecnici!$A648="","","    "&amp;CHAR(123)&amp;CHAR(34)&amp;"bidderId"&amp;CHAR(34)&amp;": "&amp;CHAR(34)&amp;SUBSTITUTE(CriteriTecnici!$A648,CHAR(34),"'")&amp;CHAR(34)&amp;", "&amp;CHAR(34)&amp;"lotId"&amp;CHAR(34)&amp;": "&amp;CHAR(34)&amp;SUBSTITUTE(CriteriTecnici!$C648,CHAR(34),"'")&amp;CHAR(34)&amp;", "&amp;CHAR(34)&amp;"criterionId"&amp;CHAR(34)&amp;": "&amp;CHAR(34)&amp;SUBSTITUTE(CriteriTecnici!$D648,CHAR(34),"'")&amp;CHAR(34)&amp;", "&amp;CHAR(34)&amp;"kind"&amp;CHAR(34)&amp;": "&amp;CHAR(34)&amp;SUBSTITUTE(CriteriTecnici!$F648,CHAR(34),"'")&amp;CHAR(34)&amp;", "&amp;CHAR(34)&amp;"value"&amp;CHAR(34)&amp;": "&amp;SUBSTITUTE(TRIM(ROUND(IFERROR(CriteriTecnici!$N648*1,IFERROR(NUMBERVALUE(CriteriTecnici!$N648,".",","),IFERROR(NUMBERVALUE(CriteriTecnici!$N648,",","."),0))),4)&amp;""),",",".")&amp;", "&amp;CHAR(34)&amp;"numerator"&amp;CHAR(34)&amp;": "&amp;SUBSTITUTE(TRIM(ROUND(IFERROR(CriteriTecnici!$K648*1,IFERROR(NUMBERVALUE(CriteriTecnici!$K648,".",","),IFERROR(NUMBERVALUE(CriteriTecnici!$K648,",","."),0))),4)&amp;""),",",".")&amp;", "&amp;CHAR(34)&amp;"denominator"&amp;CHAR(34)&amp;": "&amp;SUBSTITUTE(TRIM(ROUND(IFERROR(CriteriTecnici!$L648*1,IFERROR(NUMBERVALUE(CriteriTecnici!$L648,".",","),IFERROR(NUMBERVALUE(CriteriTecnici!$L648,",","."),0))),4)&amp;""),",",".")&amp;", "&amp;CHAR(34)&amp;"flag"&amp;CHAR(34)&amp;": "&amp;SUBSTITUTE(TRIM(ROUND(IFERROR(CriteriTecnici!$M648*1,IFERROR(NUMBERVALUE(CriteriTecnici!$M648,".",","),IFERROR(NUMBERVALUE(CriteriTecnici!$M648,",","."),0))),4)&amp;""),",",".")&amp;", "&amp;CHAR(34)&amp;"rawScore"&amp;CHAR(34)&amp;": "&amp;SUBSTITUTE(TRIM(ROUND(IFERROR(CriteriTecnici!$O648*1,IFERROR(NUMBERVALUE(CriteriTecnici!$O648,".",","),IFERROR(NUMBERVALUE(CriteriTecnici!$O648,",","."),0))),4)&amp;""),",",".")&amp;CHAR(125)&amp;IF(TRUE,",",""))</f>
        <v/>
      </c>
    </row>
    <row r="750">
      <c r="A750" s="82">
        <f>IF(CriteriTecnici!$A649="","","    "&amp;CHAR(123)&amp;CHAR(34)&amp;"bidderId"&amp;CHAR(34)&amp;": "&amp;CHAR(34)&amp;SUBSTITUTE(CriteriTecnici!$A649,CHAR(34),"'")&amp;CHAR(34)&amp;", "&amp;CHAR(34)&amp;"lotId"&amp;CHAR(34)&amp;": "&amp;CHAR(34)&amp;SUBSTITUTE(CriteriTecnici!$C649,CHAR(34),"'")&amp;CHAR(34)&amp;", "&amp;CHAR(34)&amp;"criterionId"&amp;CHAR(34)&amp;": "&amp;CHAR(34)&amp;SUBSTITUTE(CriteriTecnici!$D649,CHAR(34),"'")&amp;CHAR(34)&amp;", "&amp;CHAR(34)&amp;"kind"&amp;CHAR(34)&amp;": "&amp;CHAR(34)&amp;SUBSTITUTE(CriteriTecnici!$F649,CHAR(34),"'")&amp;CHAR(34)&amp;", "&amp;CHAR(34)&amp;"value"&amp;CHAR(34)&amp;": "&amp;SUBSTITUTE(TRIM(ROUND(IFERROR(CriteriTecnici!$N649*1,IFERROR(NUMBERVALUE(CriteriTecnici!$N649,".",","),IFERROR(NUMBERVALUE(CriteriTecnici!$N649,",","."),0))),4)&amp;""),",",".")&amp;", "&amp;CHAR(34)&amp;"numerator"&amp;CHAR(34)&amp;": "&amp;SUBSTITUTE(TRIM(ROUND(IFERROR(CriteriTecnici!$K649*1,IFERROR(NUMBERVALUE(CriteriTecnici!$K649,".",","),IFERROR(NUMBERVALUE(CriteriTecnici!$K649,",","."),0))),4)&amp;""),",",".")&amp;", "&amp;CHAR(34)&amp;"denominator"&amp;CHAR(34)&amp;": "&amp;SUBSTITUTE(TRIM(ROUND(IFERROR(CriteriTecnici!$L649*1,IFERROR(NUMBERVALUE(CriteriTecnici!$L649,".",","),IFERROR(NUMBERVALUE(CriteriTecnici!$L649,",","."),0))),4)&amp;""),",",".")&amp;", "&amp;CHAR(34)&amp;"flag"&amp;CHAR(34)&amp;": "&amp;SUBSTITUTE(TRIM(ROUND(IFERROR(CriteriTecnici!$M649*1,IFERROR(NUMBERVALUE(CriteriTecnici!$M649,".",","),IFERROR(NUMBERVALUE(CriteriTecnici!$M649,",","."),0))),4)&amp;""),",",".")&amp;", "&amp;CHAR(34)&amp;"rawScore"&amp;CHAR(34)&amp;": "&amp;SUBSTITUTE(TRIM(ROUND(IFERROR(CriteriTecnici!$O649*1,IFERROR(NUMBERVALUE(CriteriTecnici!$O649,".",","),IFERROR(NUMBERVALUE(CriteriTecnici!$O649,",","."),0))),4)&amp;""),",",".")&amp;CHAR(125)&amp;IF(TRUE,",",""))</f>
        <v/>
      </c>
    </row>
    <row r="751">
      <c r="A751" s="82">
        <f>IF(CriteriTecnici!$A650="","","    "&amp;CHAR(123)&amp;CHAR(34)&amp;"bidderId"&amp;CHAR(34)&amp;": "&amp;CHAR(34)&amp;SUBSTITUTE(CriteriTecnici!$A650,CHAR(34),"'")&amp;CHAR(34)&amp;", "&amp;CHAR(34)&amp;"lotId"&amp;CHAR(34)&amp;": "&amp;CHAR(34)&amp;SUBSTITUTE(CriteriTecnici!$C650,CHAR(34),"'")&amp;CHAR(34)&amp;", "&amp;CHAR(34)&amp;"criterionId"&amp;CHAR(34)&amp;": "&amp;CHAR(34)&amp;SUBSTITUTE(CriteriTecnici!$D650,CHAR(34),"'")&amp;CHAR(34)&amp;", "&amp;CHAR(34)&amp;"kind"&amp;CHAR(34)&amp;": "&amp;CHAR(34)&amp;SUBSTITUTE(CriteriTecnici!$F650,CHAR(34),"'")&amp;CHAR(34)&amp;", "&amp;CHAR(34)&amp;"value"&amp;CHAR(34)&amp;": "&amp;SUBSTITUTE(TRIM(ROUND(IFERROR(CriteriTecnici!$N650*1,IFERROR(NUMBERVALUE(CriteriTecnici!$N650,".",","),IFERROR(NUMBERVALUE(CriteriTecnici!$N650,",","."),0))),4)&amp;""),",",".")&amp;", "&amp;CHAR(34)&amp;"numerator"&amp;CHAR(34)&amp;": "&amp;SUBSTITUTE(TRIM(ROUND(IFERROR(CriteriTecnici!$K650*1,IFERROR(NUMBERVALUE(CriteriTecnici!$K650,".",","),IFERROR(NUMBERVALUE(CriteriTecnici!$K650,",","."),0))),4)&amp;""),",",".")&amp;", "&amp;CHAR(34)&amp;"denominator"&amp;CHAR(34)&amp;": "&amp;SUBSTITUTE(TRIM(ROUND(IFERROR(CriteriTecnici!$L650*1,IFERROR(NUMBERVALUE(CriteriTecnici!$L650,".",","),IFERROR(NUMBERVALUE(CriteriTecnici!$L650,",","."),0))),4)&amp;""),",",".")&amp;", "&amp;CHAR(34)&amp;"flag"&amp;CHAR(34)&amp;": "&amp;SUBSTITUTE(TRIM(ROUND(IFERROR(CriteriTecnici!$M650*1,IFERROR(NUMBERVALUE(CriteriTecnici!$M650,".",","),IFERROR(NUMBERVALUE(CriteriTecnici!$M650,",","."),0))),4)&amp;""),",",".")&amp;", "&amp;CHAR(34)&amp;"rawScore"&amp;CHAR(34)&amp;": "&amp;SUBSTITUTE(TRIM(ROUND(IFERROR(CriteriTecnici!$O650*1,IFERROR(NUMBERVALUE(CriteriTecnici!$O650,".",","),IFERROR(NUMBERVALUE(CriteriTecnici!$O650,",","."),0))),4)&amp;""),",",".")&amp;CHAR(125)&amp;IF(TRUE,",",""))</f>
        <v/>
      </c>
    </row>
    <row r="752">
      <c r="A752" s="82">
        <f>IF(CriteriTecnici!$A651="","","    "&amp;CHAR(123)&amp;CHAR(34)&amp;"bidderId"&amp;CHAR(34)&amp;": "&amp;CHAR(34)&amp;SUBSTITUTE(CriteriTecnici!$A651,CHAR(34),"'")&amp;CHAR(34)&amp;", "&amp;CHAR(34)&amp;"lotId"&amp;CHAR(34)&amp;": "&amp;CHAR(34)&amp;SUBSTITUTE(CriteriTecnici!$C651,CHAR(34),"'")&amp;CHAR(34)&amp;", "&amp;CHAR(34)&amp;"criterionId"&amp;CHAR(34)&amp;": "&amp;CHAR(34)&amp;SUBSTITUTE(CriteriTecnici!$D651,CHAR(34),"'")&amp;CHAR(34)&amp;", "&amp;CHAR(34)&amp;"kind"&amp;CHAR(34)&amp;": "&amp;CHAR(34)&amp;SUBSTITUTE(CriteriTecnici!$F651,CHAR(34),"'")&amp;CHAR(34)&amp;", "&amp;CHAR(34)&amp;"value"&amp;CHAR(34)&amp;": "&amp;SUBSTITUTE(TRIM(ROUND(IFERROR(CriteriTecnici!$N651*1,IFERROR(NUMBERVALUE(CriteriTecnici!$N651,".",","),IFERROR(NUMBERVALUE(CriteriTecnici!$N651,",","."),0))),4)&amp;""),",",".")&amp;", "&amp;CHAR(34)&amp;"numerator"&amp;CHAR(34)&amp;": "&amp;SUBSTITUTE(TRIM(ROUND(IFERROR(CriteriTecnici!$K651*1,IFERROR(NUMBERVALUE(CriteriTecnici!$K651,".",","),IFERROR(NUMBERVALUE(CriteriTecnici!$K651,",","."),0))),4)&amp;""),",",".")&amp;", "&amp;CHAR(34)&amp;"denominator"&amp;CHAR(34)&amp;": "&amp;SUBSTITUTE(TRIM(ROUND(IFERROR(CriteriTecnici!$L651*1,IFERROR(NUMBERVALUE(CriteriTecnici!$L651,".",","),IFERROR(NUMBERVALUE(CriteriTecnici!$L651,",","."),0))),4)&amp;""),",",".")&amp;", "&amp;CHAR(34)&amp;"flag"&amp;CHAR(34)&amp;": "&amp;SUBSTITUTE(TRIM(ROUND(IFERROR(CriteriTecnici!$M651*1,IFERROR(NUMBERVALUE(CriteriTecnici!$M651,".",","),IFERROR(NUMBERVALUE(CriteriTecnici!$M651,",","."),0))),4)&amp;""),",",".")&amp;", "&amp;CHAR(34)&amp;"rawScore"&amp;CHAR(34)&amp;": "&amp;SUBSTITUTE(TRIM(ROUND(IFERROR(CriteriTecnici!$O651*1,IFERROR(NUMBERVALUE(CriteriTecnici!$O651,".",","),IFERROR(NUMBERVALUE(CriteriTecnici!$O651,",","."),0))),4)&amp;""),",",".")&amp;CHAR(125)&amp;IF(TRUE,",",""))</f>
        <v/>
      </c>
    </row>
    <row r="753">
      <c r="A753" s="82">
        <f>IF(CriteriTecnici!$A652="","","    "&amp;CHAR(123)&amp;CHAR(34)&amp;"bidderId"&amp;CHAR(34)&amp;": "&amp;CHAR(34)&amp;SUBSTITUTE(CriteriTecnici!$A652,CHAR(34),"'")&amp;CHAR(34)&amp;", "&amp;CHAR(34)&amp;"lotId"&amp;CHAR(34)&amp;": "&amp;CHAR(34)&amp;SUBSTITUTE(CriteriTecnici!$C652,CHAR(34),"'")&amp;CHAR(34)&amp;", "&amp;CHAR(34)&amp;"criterionId"&amp;CHAR(34)&amp;": "&amp;CHAR(34)&amp;SUBSTITUTE(CriteriTecnici!$D652,CHAR(34),"'")&amp;CHAR(34)&amp;", "&amp;CHAR(34)&amp;"kind"&amp;CHAR(34)&amp;": "&amp;CHAR(34)&amp;SUBSTITUTE(CriteriTecnici!$F652,CHAR(34),"'")&amp;CHAR(34)&amp;", "&amp;CHAR(34)&amp;"value"&amp;CHAR(34)&amp;": "&amp;SUBSTITUTE(TRIM(ROUND(IFERROR(CriteriTecnici!$N652*1,IFERROR(NUMBERVALUE(CriteriTecnici!$N652,".",","),IFERROR(NUMBERVALUE(CriteriTecnici!$N652,",","."),0))),4)&amp;""),",",".")&amp;", "&amp;CHAR(34)&amp;"numerator"&amp;CHAR(34)&amp;": "&amp;SUBSTITUTE(TRIM(ROUND(IFERROR(CriteriTecnici!$K652*1,IFERROR(NUMBERVALUE(CriteriTecnici!$K652,".",","),IFERROR(NUMBERVALUE(CriteriTecnici!$K652,",","."),0))),4)&amp;""),",",".")&amp;", "&amp;CHAR(34)&amp;"denominator"&amp;CHAR(34)&amp;": "&amp;SUBSTITUTE(TRIM(ROUND(IFERROR(CriteriTecnici!$L652*1,IFERROR(NUMBERVALUE(CriteriTecnici!$L652,".",","),IFERROR(NUMBERVALUE(CriteriTecnici!$L652,",","."),0))),4)&amp;""),",",".")&amp;", "&amp;CHAR(34)&amp;"flag"&amp;CHAR(34)&amp;": "&amp;SUBSTITUTE(TRIM(ROUND(IFERROR(CriteriTecnici!$M652*1,IFERROR(NUMBERVALUE(CriteriTecnici!$M652,".",","),IFERROR(NUMBERVALUE(CriteriTecnici!$M652,",","."),0))),4)&amp;""),",",".")&amp;", "&amp;CHAR(34)&amp;"rawScore"&amp;CHAR(34)&amp;": "&amp;SUBSTITUTE(TRIM(ROUND(IFERROR(CriteriTecnici!$O652*1,IFERROR(NUMBERVALUE(CriteriTecnici!$O652,".",","),IFERROR(NUMBERVALUE(CriteriTecnici!$O652,",","."),0))),4)&amp;""),",",".")&amp;CHAR(125)&amp;IF(TRUE,",",""))</f>
        <v/>
      </c>
    </row>
    <row r="754">
      <c r="A754" s="82">
        <f>IF(CriteriTecnici!$A653="","","    "&amp;CHAR(123)&amp;CHAR(34)&amp;"bidderId"&amp;CHAR(34)&amp;": "&amp;CHAR(34)&amp;SUBSTITUTE(CriteriTecnici!$A653,CHAR(34),"'")&amp;CHAR(34)&amp;", "&amp;CHAR(34)&amp;"lotId"&amp;CHAR(34)&amp;": "&amp;CHAR(34)&amp;SUBSTITUTE(CriteriTecnici!$C653,CHAR(34),"'")&amp;CHAR(34)&amp;", "&amp;CHAR(34)&amp;"criterionId"&amp;CHAR(34)&amp;": "&amp;CHAR(34)&amp;SUBSTITUTE(CriteriTecnici!$D653,CHAR(34),"'")&amp;CHAR(34)&amp;", "&amp;CHAR(34)&amp;"kind"&amp;CHAR(34)&amp;": "&amp;CHAR(34)&amp;SUBSTITUTE(CriteriTecnici!$F653,CHAR(34),"'")&amp;CHAR(34)&amp;", "&amp;CHAR(34)&amp;"value"&amp;CHAR(34)&amp;": "&amp;SUBSTITUTE(TRIM(ROUND(IFERROR(CriteriTecnici!$N653*1,IFERROR(NUMBERVALUE(CriteriTecnici!$N653,".",","),IFERROR(NUMBERVALUE(CriteriTecnici!$N653,",","."),0))),4)&amp;""),",",".")&amp;", "&amp;CHAR(34)&amp;"numerator"&amp;CHAR(34)&amp;": "&amp;SUBSTITUTE(TRIM(ROUND(IFERROR(CriteriTecnici!$K653*1,IFERROR(NUMBERVALUE(CriteriTecnici!$K653,".",","),IFERROR(NUMBERVALUE(CriteriTecnici!$K653,",","."),0))),4)&amp;""),",",".")&amp;", "&amp;CHAR(34)&amp;"denominator"&amp;CHAR(34)&amp;": "&amp;SUBSTITUTE(TRIM(ROUND(IFERROR(CriteriTecnici!$L653*1,IFERROR(NUMBERVALUE(CriteriTecnici!$L653,".",","),IFERROR(NUMBERVALUE(CriteriTecnici!$L653,",","."),0))),4)&amp;""),",",".")&amp;", "&amp;CHAR(34)&amp;"flag"&amp;CHAR(34)&amp;": "&amp;SUBSTITUTE(TRIM(ROUND(IFERROR(CriteriTecnici!$M653*1,IFERROR(NUMBERVALUE(CriteriTecnici!$M653,".",","),IFERROR(NUMBERVALUE(CriteriTecnici!$M653,",","."),0))),4)&amp;""),",",".")&amp;", "&amp;CHAR(34)&amp;"rawScore"&amp;CHAR(34)&amp;": "&amp;SUBSTITUTE(TRIM(ROUND(IFERROR(CriteriTecnici!$O653*1,IFERROR(NUMBERVALUE(CriteriTecnici!$O653,".",","),IFERROR(NUMBERVALUE(CriteriTecnici!$O653,",","."),0))),4)&amp;""),",",".")&amp;CHAR(125)&amp;IF(TRUE,",",""))</f>
        <v/>
      </c>
    </row>
    <row r="755">
      <c r="A755" s="82">
        <f>IF(CriteriTecnici!$A654="","","    "&amp;CHAR(123)&amp;CHAR(34)&amp;"bidderId"&amp;CHAR(34)&amp;": "&amp;CHAR(34)&amp;SUBSTITUTE(CriteriTecnici!$A654,CHAR(34),"'")&amp;CHAR(34)&amp;", "&amp;CHAR(34)&amp;"lotId"&amp;CHAR(34)&amp;": "&amp;CHAR(34)&amp;SUBSTITUTE(CriteriTecnici!$C654,CHAR(34),"'")&amp;CHAR(34)&amp;", "&amp;CHAR(34)&amp;"criterionId"&amp;CHAR(34)&amp;": "&amp;CHAR(34)&amp;SUBSTITUTE(CriteriTecnici!$D654,CHAR(34),"'")&amp;CHAR(34)&amp;", "&amp;CHAR(34)&amp;"kind"&amp;CHAR(34)&amp;": "&amp;CHAR(34)&amp;SUBSTITUTE(CriteriTecnici!$F654,CHAR(34),"'")&amp;CHAR(34)&amp;", "&amp;CHAR(34)&amp;"value"&amp;CHAR(34)&amp;": "&amp;SUBSTITUTE(TRIM(ROUND(IFERROR(CriteriTecnici!$N654*1,IFERROR(NUMBERVALUE(CriteriTecnici!$N654,".",","),IFERROR(NUMBERVALUE(CriteriTecnici!$N654,",","."),0))),4)&amp;""),",",".")&amp;", "&amp;CHAR(34)&amp;"numerator"&amp;CHAR(34)&amp;": "&amp;SUBSTITUTE(TRIM(ROUND(IFERROR(CriteriTecnici!$K654*1,IFERROR(NUMBERVALUE(CriteriTecnici!$K654,".",","),IFERROR(NUMBERVALUE(CriteriTecnici!$K654,",","."),0))),4)&amp;""),",",".")&amp;", "&amp;CHAR(34)&amp;"denominator"&amp;CHAR(34)&amp;": "&amp;SUBSTITUTE(TRIM(ROUND(IFERROR(CriteriTecnici!$L654*1,IFERROR(NUMBERVALUE(CriteriTecnici!$L654,".",","),IFERROR(NUMBERVALUE(CriteriTecnici!$L654,",","."),0))),4)&amp;""),",",".")&amp;", "&amp;CHAR(34)&amp;"flag"&amp;CHAR(34)&amp;": "&amp;SUBSTITUTE(TRIM(ROUND(IFERROR(CriteriTecnici!$M654*1,IFERROR(NUMBERVALUE(CriteriTecnici!$M654,".",","),IFERROR(NUMBERVALUE(CriteriTecnici!$M654,",","."),0))),4)&amp;""),",",".")&amp;", "&amp;CHAR(34)&amp;"rawScore"&amp;CHAR(34)&amp;": "&amp;SUBSTITUTE(TRIM(ROUND(IFERROR(CriteriTecnici!$O654*1,IFERROR(NUMBERVALUE(CriteriTecnici!$O654,".",","),IFERROR(NUMBERVALUE(CriteriTecnici!$O654,",","."),0))),4)&amp;""),",",".")&amp;CHAR(125)&amp;IF(TRUE,",",""))</f>
        <v/>
      </c>
    </row>
    <row r="756">
      <c r="A756" s="82">
        <f>IF(CriteriTecnici!$A655="","","    "&amp;CHAR(123)&amp;CHAR(34)&amp;"bidderId"&amp;CHAR(34)&amp;": "&amp;CHAR(34)&amp;SUBSTITUTE(CriteriTecnici!$A655,CHAR(34),"'")&amp;CHAR(34)&amp;", "&amp;CHAR(34)&amp;"lotId"&amp;CHAR(34)&amp;": "&amp;CHAR(34)&amp;SUBSTITUTE(CriteriTecnici!$C655,CHAR(34),"'")&amp;CHAR(34)&amp;", "&amp;CHAR(34)&amp;"criterionId"&amp;CHAR(34)&amp;": "&amp;CHAR(34)&amp;SUBSTITUTE(CriteriTecnici!$D655,CHAR(34),"'")&amp;CHAR(34)&amp;", "&amp;CHAR(34)&amp;"kind"&amp;CHAR(34)&amp;": "&amp;CHAR(34)&amp;SUBSTITUTE(CriteriTecnici!$F655,CHAR(34),"'")&amp;CHAR(34)&amp;", "&amp;CHAR(34)&amp;"value"&amp;CHAR(34)&amp;": "&amp;SUBSTITUTE(TRIM(ROUND(IFERROR(CriteriTecnici!$N655*1,IFERROR(NUMBERVALUE(CriteriTecnici!$N655,".",","),IFERROR(NUMBERVALUE(CriteriTecnici!$N655,",","."),0))),4)&amp;""),",",".")&amp;", "&amp;CHAR(34)&amp;"numerator"&amp;CHAR(34)&amp;": "&amp;SUBSTITUTE(TRIM(ROUND(IFERROR(CriteriTecnici!$K655*1,IFERROR(NUMBERVALUE(CriteriTecnici!$K655,".",","),IFERROR(NUMBERVALUE(CriteriTecnici!$K655,",","."),0))),4)&amp;""),",",".")&amp;", "&amp;CHAR(34)&amp;"denominator"&amp;CHAR(34)&amp;": "&amp;SUBSTITUTE(TRIM(ROUND(IFERROR(CriteriTecnici!$L655*1,IFERROR(NUMBERVALUE(CriteriTecnici!$L655,".",","),IFERROR(NUMBERVALUE(CriteriTecnici!$L655,",","."),0))),4)&amp;""),",",".")&amp;", "&amp;CHAR(34)&amp;"flag"&amp;CHAR(34)&amp;": "&amp;SUBSTITUTE(TRIM(ROUND(IFERROR(CriteriTecnici!$M655*1,IFERROR(NUMBERVALUE(CriteriTecnici!$M655,".",","),IFERROR(NUMBERVALUE(CriteriTecnici!$M655,",","."),0))),4)&amp;""),",",".")&amp;", "&amp;CHAR(34)&amp;"rawScore"&amp;CHAR(34)&amp;": "&amp;SUBSTITUTE(TRIM(ROUND(IFERROR(CriteriTecnici!$O655*1,IFERROR(NUMBERVALUE(CriteriTecnici!$O655,".",","),IFERROR(NUMBERVALUE(CriteriTecnici!$O655,",","."),0))),4)&amp;""),",",".")&amp;CHAR(125)&amp;IF(COUNTA(Offerte!$A23:$A$81)&gt;0,",",""))</f>
        <v/>
      </c>
    </row>
    <row r="757">
      <c r="A757" s="82">
        <f>IF(CriteriTecnici!$A656="","","    "&amp;CHAR(123)&amp;CHAR(34)&amp;"bidderId"&amp;CHAR(34)&amp;": "&amp;CHAR(34)&amp;SUBSTITUTE(CriteriTecnici!$A656,CHAR(34),"'")&amp;CHAR(34)&amp;", "&amp;CHAR(34)&amp;"lotId"&amp;CHAR(34)&amp;": "&amp;CHAR(34)&amp;SUBSTITUTE(CriteriTecnici!$C656,CHAR(34),"'")&amp;CHAR(34)&amp;", "&amp;CHAR(34)&amp;"criterionId"&amp;CHAR(34)&amp;": "&amp;CHAR(34)&amp;SUBSTITUTE(CriteriTecnici!$D656,CHAR(34),"'")&amp;CHAR(34)&amp;", "&amp;CHAR(34)&amp;"kind"&amp;CHAR(34)&amp;": "&amp;CHAR(34)&amp;SUBSTITUTE(CriteriTecnici!$F656,CHAR(34),"'")&amp;CHAR(34)&amp;", "&amp;CHAR(34)&amp;"value"&amp;CHAR(34)&amp;": "&amp;SUBSTITUTE(TRIM(ROUND(IFERROR(CriteriTecnici!$N656*1,IFERROR(NUMBERVALUE(CriteriTecnici!$N656,".",","),IFERROR(NUMBERVALUE(CriteriTecnici!$N656,",","."),0))),4)&amp;""),",",".")&amp;", "&amp;CHAR(34)&amp;"numerator"&amp;CHAR(34)&amp;": "&amp;SUBSTITUTE(TRIM(ROUND(IFERROR(CriteriTecnici!$K656*1,IFERROR(NUMBERVALUE(CriteriTecnici!$K656,".",","),IFERROR(NUMBERVALUE(CriteriTecnici!$K656,",","."),0))),4)&amp;""),",",".")&amp;", "&amp;CHAR(34)&amp;"denominator"&amp;CHAR(34)&amp;": "&amp;SUBSTITUTE(TRIM(ROUND(IFERROR(CriteriTecnici!$L656*1,IFERROR(NUMBERVALUE(CriteriTecnici!$L656,".",","),IFERROR(NUMBERVALUE(CriteriTecnici!$L656,",","."),0))),4)&amp;""),",",".")&amp;", "&amp;CHAR(34)&amp;"flag"&amp;CHAR(34)&amp;": "&amp;SUBSTITUTE(TRIM(ROUND(IFERROR(CriteriTecnici!$M656*1,IFERROR(NUMBERVALUE(CriteriTecnici!$M656,".",","),IFERROR(NUMBERVALUE(CriteriTecnici!$M656,",","."),0))),4)&amp;""),",",".")&amp;", "&amp;CHAR(34)&amp;"rawScore"&amp;CHAR(34)&amp;": "&amp;SUBSTITUTE(TRIM(ROUND(IFERROR(CriteriTecnici!$O656*1,IFERROR(NUMBERVALUE(CriteriTecnici!$O656,".",","),IFERROR(NUMBERVALUE(CriteriTecnici!$O656,",","."),0))),4)&amp;""),",",".")&amp;CHAR(125)&amp;IF(TRUE,",",""))</f>
        <v/>
      </c>
    </row>
    <row r="758">
      <c r="A758" s="82">
        <f>IF(CriteriTecnici!$A657="","","    "&amp;CHAR(123)&amp;CHAR(34)&amp;"bidderId"&amp;CHAR(34)&amp;": "&amp;CHAR(34)&amp;SUBSTITUTE(CriteriTecnici!$A657,CHAR(34),"'")&amp;CHAR(34)&amp;", "&amp;CHAR(34)&amp;"lotId"&amp;CHAR(34)&amp;": "&amp;CHAR(34)&amp;SUBSTITUTE(CriteriTecnici!$C657,CHAR(34),"'")&amp;CHAR(34)&amp;", "&amp;CHAR(34)&amp;"criterionId"&amp;CHAR(34)&amp;": "&amp;CHAR(34)&amp;SUBSTITUTE(CriteriTecnici!$D657,CHAR(34),"'")&amp;CHAR(34)&amp;", "&amp;CHAR(34)&amp;"kind"&amp;CHAR(34)&amp;": "&amp;CHAR(34)&amp;SUBSTITUTE(CriteriTecnici!$F657,CHAR(34),"'")&amp;CHAR(34)&amp;", "&amp;CHAR(34)&amp;"value"&amp;CHAR(34)&amp;": "&amp;SUBSTITUTE(TRIM(ROUND(IFERROR(CriteriTecnici!$N657*1,IFERROR(NUMBERVALUE(CriteriTecnici!$N657,".",","),IFERROR(NUMBERVALUE(CriteriTecnici!$N657,",","."),0))),4)&amp;""),",",".")&amp;", "&amp;CHAR(34)&amp;"numerator"&amp;CHAR(34)&amp;": "&amp;SUBSTITUTE(TRIM(ROUND(IFERROR(CriteriTecnici!$K657*1,IFERROR(NUMBERVALUE(CriteriTecnici!$K657,".",","),IFERROR(NUMBERVALUE(CriteriTecnici!$K657,",","."),0))),4)&amp;""),",",".")&amp;", "&amp;CHAR(34)&amp;"denominator"&amp;CHAR(34)&amp;": "&amp;SUBSTITUTE(TRIM(ROUND(IFERROR(CriteriTecnici!$L657*1,IFERROR(NUMBERVALUE(CriteriTecnici!$L657,".",","),IFERROR(NUMBERVALUE(CriteriTecnici!$L657,",","."),0))),4)&amp;""),",",".")&amp;", "&amp;CHAR(34)&amp;"flag"&amp;CHAR(34)&amp;": "&amp;SUBSTITUTE(TRIM(ROUND(IFERROR(CriteriTecnici!$M657*1,IFERROR(NUMBERVALUE(CriteriTecnici!$M657,".",","),IFERROR(NUMBERVALUE(CriteriTecnici!$M657,",","."),0))),4)&amp;""),",",".")&amp;", "&amp;CHAR(34)&amp;"rawScore"&amp;CHAR(34)&amp;": "&amp;SUBSTITUTE(TRIM(ROUND(IFERROR(CriteriTecnici!$O657*1,IFERROR(NUMBERVALUE(CriteriTecnici!$O657,".",","),IFERROR(NUMBERVALUE(CriteriTecnici!$O657,",","."),0))),4)&amp;""),",",".")&amp;CHAR(125)&amp;IF(TRUE,",",""))</f>
        <v/>
      </c>
    </row>
    <row r="759">
      <c r="A759" s="82">
        <f>IF(CriteriTecnici!$A658="","","    "&amp;CHAR(123)&amp;CHAR(34)&amp;"bidderId"&amp;CHAR(34)&amp;": "&amp;CHAR(34)&amp;SUBSTITUTE(CriteriTecnici!$A658,CHAR(34),"'")&amp;CHAR(34)&amp;", "&amp;CHAR(34)&amp;"lotId"&amp;CHAR(34)&amp;": "&amp;CHAR(34)&amp;SUBSTITUTE(CriteriTecnici!$C658,CHAR(34),"'")&amp;CHAR(34)&amp;", "&amp;CHAR(34)&amp;"criterionId"&amp;CHAR(34)&amp;": "&amp;CHAR(34)&amp;SUBSTITUTE(CriteriTecnici!$D658,CHAR(34),"'")&amp;CHAR(34)&amp;", "&amp;CHAR(34)&amp;"kind"&amp;CHAR(34)&amp;": "&amp;CHAR(34)&amp;SUBSTITUTE(CriteriTecnici!$F658,CHAR(34),"'")&amp;CHAR(34)&amp;", "&amp;CHAR(34)&amp;"value"&amp;CHAR(34)&amp;": "&amp;SUBSTITUTE(TRIM(ROUND(IFERROR(CriteriTecnici!$N658*1,IFERROR(NUMBERVALUE(CriteriTecnici!$N658,".",","),IFERROR(NUMBERVALUE(CriteriTecnici!$N658,",","."),0))),4)&amp;""),",",".")&amp;", "&amp;CHAR(34)&amp;"numerator"&amp;CHAR(34)&amp;": "&amp;SUBSTITUTE(TRIM(ROUND(IFERROR(CriteriTecnici!$K658*1,IFERROR(NUMBERVALUE(CriteriTecnici!$K658,".",","),IFERROR(NUMBERVALUE(CriteriTecnici!$K658,",","."),0))),4)&amp;""),",",".")&amp;", "&amp;CHAR(34)&amp;"denominator"&amp;CHAR(34)&amp;": "&amp;SUBSTITUTE(TRIM(ROUND(IFERROR(CriteriTecnici!$L658*1,IFERROR(NUMBERVALUE(CriteriTecnici!$L658,".",","),IFERROR(NUMBERVALUE(CriteriTecnici!$L658,",","."),0))),4)&amp;""),",",".")&amp;", "&amp;CHAR(34)&amp;"flag"&amp;CHAR(34)&amp;": "&amp;SUBSTITUTE(TRIM(ROUND(IFERROR(CriteriTecnici!$M658*1,IFERROR(NUMBERVALUE(CriteriTecnici!$M658,".",","),IFERROR(NUMBERVALUE(CriteriTecnici!$M658,",","."),0))),4)&amp;""),",",".")&amp;", "&amp;CHAR(34)&amp;"rawScore"&amp;CHAR(34)&amp;": "&amp;SUBSTITUTE(TRIM(ROUND(IFERROR(CriteriTecnici!$O658*1,IFERROR(NUMBERVALUE(CriteriTecnici!$O658,".",","),IFERROR(NUMBERVALUE(CriteriTecnici!$O658,",","."),0))),4)&amp;""),",",".")&amp;CHAR(125)&amp;IF(TRUE,",",""))</f>
        <v/>
      </c>
    </row>
    <row r="760">
      <c r="A760" s="82">
        <f>IF(CriteriTecnici!$A659="","","    "&amp;CHAR(123)&amp;CHAR(34)&amp;"bidderId"&amp;CHAR(34)&amp;": "&amp;CHAR(34)&amp;SUBSTITUTE(CriteriTecnici!$A659,CHAR(34),"'")&amp;CHAR(34)&amp;", "&amp;CHAR(34)&amp;"lotId"&amp;CHAR(34)&amp;": "&amp;CHAR(34)&amp;SUBSTITUTE(CriteriTecnici!$C659,CHAR(34),"'")&amp;CHAR(34)&amp;", "&amp;CHAR(34)&amp;"criterionId"&amp;CHAR(34)&amp;": "&amp;CHAR(34)&amp;SUBSTITUTE(CriteriTecnici!$D659,CHAR(34),"'")&amp;CHAR(34)&amp;", "&amp;CHAR(34)&amp;"kind"&amp;CHAR(34)&amp;": "&amp;CHAR(34)&amp;SUBSTITUTE(CriteriTecnici!$F659,CHAR(34),"'")&amp;CHAR(34)&amp;", "&amp;CHAR(34)&amp;"value"&amp;CHAR(34)&amp;": "&amp;SUBSTITUTE(TRIM(ROUND(IFERROR(CriteriTecnici!$N659*1,IFERROR(NUMBERVALUE(CriteriTecnici!$N659,".",","),IFERROR(NUMBERVALUE(CriteriTecnici!$N659,",","."),0))),4)&amp;""),",",".")&amp;", "&amp;CHAR(34)&amp;"numerator"&amp;CHAR(34)&amp;": "&amp;SUBSTITUTE(TRIM(ROUND(IFERROR(CriteriTecnici!$K659*1,IFERROR(NUMBERVALUE(CriteriTecnici!$K659,".",","),IFERROR(NUMBERVALUE(CriteriTecnici!$K659,",","."),0))),4)&amp;""),",",".")&amp;", "&amp;CHAR(34)&amp;"denominator"&amp;CHAR(34)&amp;": "&amp;SUBSTITUTE(TRIM(ROUND(IFERROR(CriteriTecnici!$L659*1,IFERROR(NUMBERVALUE(CriteriTecnici!$L659,".",","),IFERROR(NUMBERVALUE(CriteriTecnici!$L659,",","."),0))),4)&amp;""),",",".")&amp;", "&amp;CHAR(34)&amp;"flag"&amp;CHAR(34)&amp;": "&amp;SUBSTITUTE(TRIM(ROUND(IFERROR(CriteriTecnici!$M659*1,IFERROR(NUMBERVALUE(CriteriTecnici!$M659,".",","),IFERROR(NUMBERVALUE(CriteriTecnici!$M659,",","."),0))),4)&amp;""),",",".")&amp;", "&amp;CHAR(34)&amp;"rawScore"&amp;CHAR(34)&amp;": "&amp;SUBSTITUTE(TRIM(ROUND(IFERROR(CriteriTecnici!$O659*1,IFERROR(NUMBERVALUE(CriteriTecnici!$O659,".",","),IFERROR(NUMBERVALUE(CriteriTecnici!$O659,",","."),0))),4)&amp;""),",",".")&amp;CHAR(125)&amp;IF(TRUE,",",""))</f>
        <v/>
      </c>
    </row>
    <row r="761">
      <c r="A761" s="82">
        <f>IF(CriteriTecnici!$A660="","","    "&amp;CHAR(123)&amp;CHAR(34)&amp;"bidderId"&amp;CHAR(34)&amp;": "&amp;CHAR(34)&amp;SUBSTITUTE(CriteriTecnici!$A660,CHAR(34),"'")&amp;CHAR(34)&amp;", "&amp;CHAR(34)&amp;"lotId"&amp;CHAR(34)&amp;": "&amp;CHAR(34)&amp;SUBSTITUTE(CriteriTecnici!$C660,CHAR(34),"'")&amp;CHAR(34)&amp;", "&amp;CHAR(34)&amp;"criterionId"&amp;CHAR(34)&amp;": "&amp;CHAR(34)&amp;SUBSTITUTE(CriteriTecnici!$D660,CHAR(34),"'")&amp;CHAR(34)&amp;", "&amp;CHAR(34)&amp;"kind"&amp;CHAR(34)&amp;": "&amp;CHAR(34)&amp;SUBSTITUTE(CriteriTecnici!$F660,CHAR(34),"'")&amp;CHAR(34)&amp;", "&amp;CHAR(34)&amp;"value"&amp;CHAR(34)&amp;": "&amp;SUBSTITUTE(TRIM(ROUND(IFERROR(CriteriTecnici!$N660*1,IFERROR(NUMBERVALUE(CriteriTecnici!$N660,".",","),IFERROR(NUMBERVALUE(CriteriTecnici!$N660,",","."),0))),4)&amp;""),",",".")&amp;", "&amp;CHAR(34)&amp;"numerator"&amp;CHAR(34)&amp;": "&amp;SUBSTITUTE(TRIM(ROUND(IFERROR(CriteriTecnici!$K660*1,IFERROR(NUMBERVALUE(CriteriTecnici!$K660,".",","),IFERROR(NUMBERVALUE(CriteriTecnici!$K660,",","."),0))),4)&amp;""),",",".")&amp;", "&amp;CHAR(34)&amp;"denominator"&amp;CHAR(34)&amp;": "&amp;SUBSTITUTE(TRIM(ROUND(IFERROR(CriteriTecnici!$L660*1,IFERROR(NUMBERVALUE(CriteriTecnici!$L660,".",","),IFERROR(NUMBERVALUE(CriteriTecnici!$L660,",","."),0))),4)&amp;""),",",".")&amp;", "&amp;CHAR(34)&amp;"flag"&amp;CHAR(34)&amp;": "&amp;SUBSTITUTE(TRIM(ROUND(IFERROR(CriteriTecnici!$M660*1,IFERROR(NUMBERVALUE(CriteriTecnici!$M660,".",","),IFERROR(NUMBERVALUE(CriteriTecnici!$M660,",","."),0))),4)&amp;""),",",".")&amp;", "&amp;CHAR(34)&amp;"rawScore"&amp;CHAR(34)&amp;": "&amp;SUBSTITUTE(TRIM(ROUND(IFERROR(CriteriTecnici!$O660*1,IFERROR(NUMBERVALUE(CriteriTecnici!$O660,".",","),IFERROR(NUMBERVALUE(CriteriTecnici!$O660,",","."),0))),4)&amp;""),",",".")&amp;CHAR(125)&amp;IF(TRUE,",",""))</f>
        <v/>
      </c>
    </row>
    <row r="762">
      <c r="A762" s="82">
        <f>IF(CriteriTecnici!$A661="","","    "&amp;CHAR(123)&amp;CHAR(34)&amp;"bidderId"&amp;CHAR(34)&amp;": "&amp;CHAR(34)&amp;SUBSTITUTE(CriteriTecnici!$A661,CHAR(34),"'")&amp;CHAR(34)&amp;", "&amp;CHAR(34)&amp;"lotId"&amp;CHAR(34)&amp;": "&amp;CHAR(34)&amp;SUBSTITUTE(CriteriTecnici!$C661,CHAR(34),"'")&amp;CHAR(34)&amp;", "&amp;CHAR(34)&amp;"criterionId"&amp;CHAR(34)&amp;": "&amp;CHAR(34)&amp;SUBSTITUTE(CriteriTecnici!$D661,CHAR(34),"'")&amp;CHAR(34)&amp;", "&amp;CHAR(34)&amp;"kind"&amp;CHAR(34)&amp;": "&amp;CHAR(34)&amp;SUBSTITUTE(CriteriTecnici!$F661,CHAR(34),"'")&amp;CHAR(34)&amp;", "&amp;CHAR(34)&amp;"value"&amp;CHAR(34)&amp;": "&amp;SUBSTITUTE(TRIM(ROUND(IFERROR(CriteriTecnici!$N661*1,IFERROR(NUMBERVALUE(CriteriTecnici!$N661,".",","),IFERROR(NUMBERVALUE(CriteriTecnici!$N661,",","."),0))),4)&amp;""),",",".")&amp;", "&amp;CHAR(34)&amp;"numerator"&amp;CHAR(34)&amp;": "&amp;SUBSTITUTE(TRIM(ROUND(IFERROR(CriteriTecnici!$K661*1,IFERROR(NUMBERVALUE(CriteriTecnici!$K661,".",","),IFERROR(NUMBERVALUE(CriteriTecnici!$K661,",","."),0))),4)&amp;""),",",".")&amp;", "&amp;CHAR(34)&amp;"denominator"&amp;CHAR(34)&amp;": "&amp;SUBSTITUTE(TRIM(ROUND(IFERROR(CriteriTecnici!$L661*1,IFERROR(NUMBERVALUE(CriteriTecnici!$L661,".",","),IFERROR(NUMBERVALUE(CriteriTecnici!$L661,",","."),0))),4)&amp;""),",",".")&amp;", "&amp;CHAR(34)&amp;"flag"&amp;CHAR(34)&amp;": "&amp;SUBSTITUTE(TRIM(ROUND(IFERROR(CriteriTecnici!$M661*1,IFERROR(NUMBERVALUE(CriteriTecnici!$M661,".",","),IFERROR(NUMBERVALUE(CriteriTecnici!$M661,",","."),0))),4)&amp;""),",",".")&amp;", "&amp;CHAR(34)&amp;"rawScore"&amp;CHAR(34)&amp;": "&amp;SUBSTITUTE(TRIM(ROUND(IFERROR(CriteriTecnici!$O661*1,IFERROR(NUMBERVALUE(CriteriTecnici!$O661,".",","),IFERROR(NUMBERVALUE(CriteriTecnici!$O661,",","."),0))),4)&amp;""),",",".")&amp;CHAR(125)&amp;IF(TRUE,",",""))</f>
        <v/>
      </c>
    </row>
    <row r="763">
      <c r="A763" s="82">
        <f>IF(CriteriTecnici!$A662="","","    "&amp;CHAR(123)&amp;CHAR(34)&amp;"bidderId"&amp;CHAR(34)&amp;": "&amp;CHAR(34)&amp;SUBSTITUTE(CriteriTecnici!$A662,CHAR(34),"'")&amp;CHAR(34)&amp;", "&amp;CHAR(34)&amp;"lotId"&amp;CHAR(34)&amp;": "&amp;CHAR(34)&amp;SUBSTITUTE(CriteriTecnici!$C662,CHAR(34),"'")&amp;CHAR(34)&amp;", "&amp;CHAR(34)&amp;"criterionId"&amp;CHAR(34)&amp;": "&amp;CHAR(34)&amp;SUBSTITUTE(CriteriTecnici!$D662,CHAR(34),"'")&amp;CHAR(34)&amp;", "&amp;CHAR(34)&amp;"kind"&amp;CHAR(34)&amp;": "&amp;CHAR(34)&amp;SUBSTITUTE(CriteriTecnici!$F662,CHAR(34),"'")&amp;CHAR(34)&amp;", "&amp;CHAR(34)&amp;"value"&amp;CHAR(34)&amp;": "&amp;SUBSTITUTE(TRIM(ROUND(IFERROR(CriteriTecnici!$N662*1,IFERROR(NUMBERVALUE(CriteriTecnici!$N662,".",","),IFERROR(NUMBERVALUE(CriteriTecnici!$N662,",","."),0))),4)&amp;""),",",".")&amp;", "&amp;CHAR(34)&amp;"numerator"&amp;CHAR(34)&amp;": "&amp;SUBSTITUTE(TRIM(ROUND(IFERROR(CriteriTecnici!$K662*1,IFERROR(NUMBERVALUE(CriteriTecnici!$K662,".",","),IFERROR(NUMBERVALUE(CriteriTecnici!$K662,",","."),0))),4)&amp;""),",",".")&amp;", "&amp;CHAR(34)&amp;"denominator"&amp;CHAR(34)&amp;": "&amp;SUBSTITUTE(TRIM(ROUND(IFERROR(CriteriTecnici!$L662*1,IFERROR(NUMBERVALUE(CriteriTecnici!$L662,".",","),IFERROR(NUMBERVALUE(CriteriTecnici!$L662,",","."),0))),4)&amp;""),",",".")&amp;", "&amp;CHAR(34)&amp;"flag"&amp;CHAR(34)&amp;": "&amp;SUBSTITUTE(TRIM(ROUND(IFERROR(CriteriTecnici!$M662*1,IFERROR(NUMBERVALUE(CriteriTecnici!$M662,".",","),IFERROR(NUMBERVALUE(CriteriTecnici!$M662,",","."),0))),4)&amp;""),",",".")&amp;", "&amp;CHAR(34)&amp;"rawScore"&amp;CHAR(34)&amp;": "&amp;SUBSTITUTE(TRIM(ROUND(IFERROR(CriteriTecnici!$O662*1,IFERROR(NUMBERVALUE(CriteriTecnici!$O662,".",","),IFERROR(NUMBERVALUE(CriteriTecnici!$O662,",","."),0))),4)&amp;""),",",".")&amp;CHAR(125)&amp;IF(TRUE,",",""))</f>
        <v/>
      </c>
    </row>
    <row r="764">
      <c r="A764" s="82">
        <f>IF(CriteriTecnici!$A663="","","    "&amp;CHAR(123)&amp;CHAR(34)&amp;"bidderId"&amp;CHAR(34)&amp;": "&amp;CHAR(34)&amp;SUBSTITUTE(CriteriTecnici!$A663,CHAR(34),"'")&amp;CHAR(34)&amp;", "&amp;CHAR(34)&amp;"lotId"&amp;CHAR(34)&amp;": "&amp;CHAR(34)&amp;SUBSTITUTE(CriteriTecnici!$C663,CHAR(34),"'")&amp;CHAR(34)&amp;", "&amp;CHAR(34)&amp;"criterionId"&amp;CHAR(34)&amp;": "&amp;CHAR(34)&amp;SUBSTITUTE(CriteriTecnici!$D663,CHAR(34),"'")&amp;CHAR(34)&amp;", "&amp;CHAR(34)&amp;"kind"&amp;CHAR(34)&amp;": "&amp;CHAR(34)&amp;SUBSTITUTE(CriteriTecnici!$F663,CHAR(34),"'")&amp;CHAR(34)&amp;", "&amp;CHAR(34)&amp;"value"&amp;CHAR(34)&amp;": "&amp;SUBSTITUTE(TRIM(ROUND(IFERROR(CriteriTecnici!$N663*1,IFERROR(NUMBERVALUE(CriteriTecnici!$N663,".",","),IFERROR(NUMBERVALUE(CriteriTecnici!$N663,",","."),0))),4)&amp;""),",",".")&amp;", "&amp;CHAR(34)&amp;"numerator"&amp;CHAR(34)&amp;": "&amp;SUBSTITUTE(TRIM(ROUND(IFERROR(CriteriTecnici!$K663*1,IFERROR(NUMBERVALUE(CriteriTecnici!$K663,".",","),IFERROR(NUMBERVALUE(CriteriTecnici!$K663,",","."),0))),4)&amp;""),",",".")&amp;", "&amp;CHAR(34)&amp;"denominator"&amp;CHAR(34)&amp;": "&amp;SUBSTITUTE(TRIM(ROUND(IFERROR(CriteriTecnici!$L663*1,IFERROR(NUMBERVALUE(CriteriTecnici!$L663,".",","),IFERROR(NUMBERVALUE(CriteriTecnici!$L663,",","."),0))),4)&amp;""),",",".")&amp;", "&amp;CHAR(34)&amp;"flag"&amp;CHAR(34)&amp;": "&amp;SUBSTITUTE(TRIM(ROUND(IFERROR(CriteriTecnici!$M663*1,IFERROR(NUMBERVALUE(CriteriTecnici!$M663,".",","),IFERROR(NUMBERVALUE(CriteriTecnici!$M663,",","."),0))),4)&amp;""),",",".")&amp;", "&amp;CHAR(34)&amp;"rawScore"&amp;CHAR(34)&amp;": "&amp;SUBSTITUTE(TRIM(ROUND(IFERROR(CriteriTecnici!$O663*1,IFERROR(NUMBERVALUE(CriteriTecnici!$O663,".",","),IFERROR(NUMBERVALUE(CriteriTecnici!$O663,",","."),0))),4)&amp;""),",",".")&amp;CHAR(125)&amp;IF(TRUE,",",""))</f>
        <v/>
      </c>
    </row>
    <row r="765">
      <c r="A765" s="82">
        <f>IF(CriteriTecnici!$A664="","","    "&amp;CHAR(123)&amp;CHAR(34)&amp;"bidderId"&amp;CHAR(34)&amp;": "&amp;CHAR(34)&amp;SUBSTITUTE(CriteriTecnici!$A664,CHAR(34),"'")&amp;CHAR(34)&amp;", "&amp;CHAR(34)&amp;"lotId"&amp;CHAR(34)&amp;": "&amp;CHAR(34)&amp;SUBSTITUTE(CriteriTecnici!$C664,CHAR(34),"'")&amp;CHAR(34)&amp;", "&amp;CHAR(34)&amp;"criterionId"&amp;CHAR(34)&amp;": "&amp;CHAR(34)&amp;SUBSTITUTE(CriteriTecnici!$D664,CHAR(34),"'")&amp;CHAR(34)&amp;", "&amp;CHAR(34)&amp;"kind"&amp;CHAR(34)&amp;": "&amp;CHAR(34)&amp;SUBSTITUTE(CriteriTecnici!$F664,CHAR(34),"'")&amp;CHAR(34)&amp;", "&amp;CHAR(34)&amp;"value"&amp;CHAR(34)&amp;": "&amp;SUBSTITUTE(TRIM(ROUND(IFERROR(CriteriTecnici!$N664*1,IFERROR(NUMBERVALUE(CriteriTecnici!$N664,".",","),IFERROR(NUMBERVALUE(CriteriTecnici!$N664,",","."),0))),4)&amp;""),",",".")&amp;", "&amp;CHAR(34)&amp;"numerator"&amp;CHAR(34)&amp;": "&amp;SUBSTITUTE(TRIM(ROUND(IFERROR(CriteriTecnici!$K664*1,IFERROR(NUMBERVALUE(CriteriTecnici!$K664,".",","),IFERROR(NUMBERVALUE(CriteriTecnici!$K664,",","."),0))),4)&amp;""),",",".")&amp;", "&amp;CHAR(34)&amp;"denominator"&amp;CHAR(34)&amp;": "&amp;SUBSTITUTE(TRIM(ROUND(IFERROR(CriteriTecnici!$L664*1,IFERROR(NUMBERVALUE(CriteriTecnici!$L664,".",","),IFERROR(NUMBERVALUE(CriteriTecnici!$L664,",","."),0))),4)&amp;""),",",".")&amp;", "&amp;CHAR(34)&amp;"flag"&amp;CHAR(34)&amp;": "&amp;SUBSTITUTE(TRIM(ROUND(IFERROR(CriteriTecnici!$M664*1,IFERROR(NUMBERVALUE(CriteriTecnici!$M664,".",","),IFERROR(NUMBERVALUE(CriteriTecnici!$M664,",","."),0))),4)&amp;""),",",".")&amp;", "&amp;CHAR(34)&amp;"rawScore"&amp;CHAR(34)&amp;": "&amp;SUBSTITUTE(TRIM(ROUND(IFERROR(CriteriTecnici!$O664*1,IFERROR(NUMBERVALUE(CriteriTecnici!$O664,".",","),IFERROR(NUMBERVALUE(CriteriTecnici!$O664,",","."),0))),4)&amp;""),",",".")&amp;CHAR(125)&amp;IF(TRUE,",",""))</f>
        <v/>
      </c>
    </row>
    <row r="766">
      <c r="A766" s="82">
        <f>IF(CriteriTecnici!$A665="","","    "&amp;CHAR(123)&amp;CHAR(34)&amp;"bidderId"&amp;CHAR(34)&amp;": "&amp;CHAR(34)&amp;SUBSTITUTE(CriteriTecnici!$A665,CHAR(34),"'")&amp;CHAR(34)&amp;", "&amp;CHAR(34)&amp;"lotId"&amp;CHAR(34)&amp;": "&amp;CHAR(34)&amp;SUBSTITUTE(CriteriTecnici!$C665,CHAR(34),"'")&amp;CHAR(34)&amp;", "&amp;CHAR(34)&amp;"criterionId"&amp;CHAR(34)&amp;": "&amp;CHAR(34)&amp;SUBSTITUTE(CriteriTecnici!$D665,CHAR(34),"'")&amp;CHAR(34)&amp;", "&amp;CHAR(34)&amp;"kind"&amp;CHAR(34)&amp;": "&amp;CHAR(34)&amp;SUBSTITUTE(CriteriTecnici!$F665,CHAR(34),"'")&amp;CHAR(34)&amp;", "&amp;CHAR(34)&amp;"value"&amp;CHAR(34)&amp;": "&amp;SUBSTITUTE(TRIM(ROUND(IFERROR(CriteriTecnici!$N665*1,IFERROR(NUMBERVALUE(CriteriTecnici!$N665,".",","),IFERROR(NUMBERVALUE(CriteriTecnici!$N665,",","."),0))),4)&amp;""),",",".")&amp;", "&amp;CHAR(34)&amp;"numerator"&amp;CHAR(34)&amp;": "&amp;SUBSTITUTE(TRIM(ROUND(IFERROR(CriteriTecnici!$K665*1,IFERROR(NUMBERVALUE(CriteriTecnici!$K665,".",","),IFERROR(NUMBERVALUE(CriteriTecnici!$K665,",","."),0))),4)&amp;""),",",".")&amp;", "&amp;CHAR(34)&amp;"denominator"&amp;CHAR(34)&amp;": "&amp;SUBSTITUTE(TRIM(ROUND(IFERROR(CriteriTecnici!$L665*1,IFERROR(NUMBERVALUE(CriteriTecnici!$L665,".",","),IFERROR(NUMBERVALUE(CriteriTecnici!$L665,",","."),0))),4)&amp;""),",",".")&amp;", "&amp;CHAR(34)&amp;"flag"&amp;CHAR(34)&amp;": "&amp;SUBSTITUTE(TRIM(ROUND(IFERROR(CriteriTecnici!$M665*1,IFERROR(NUMBERVALUE(CriteriTecnici!$M665,".",","),IFERROR(NUMBERVALUE(CriteriTecnici!$M665,",","."),0))),4)&amp;""),",",".")&amp;", "&amp;CHAR(34)&amp;"rawScore"&amp;CHAR(34)&amp;": "&amp;SUBSTITUTE(TRIM(ROUND(IFERROR(CriteriTecnici!$O665*1,IFERROR(NUMBERVALUE(CriteriTecnici!$O665,".",","),IFERROR(NUMBERVALUE(CriteriTecnici!$O665,",","."),0))),4)&amp;""),",",".")&amp;CHAR(125)&amp;IF(TRUE,",",""))</f>
        <v/>
      </c>
    </row>
    <row r="767">
      <c r="A767" s="82">
        <f>IF(CriteriTecnici!$A666="","","    "&amp;CHAR(123)&amp;CHAR(34)&amp;"bidderId"&amp;CHAR(34)&amp;": "&amp;CHAR(34)&amp;SUBSTITUTE(CriteriTecnici!$A666,CHAR(34),"'")&amp;CHAR(34)&amp;", "&amp;CHAR(34)&amp;"lotId"&amp;CHAR(34)&amp;": "&amp;CHAR(34)&amp;SUBSTITUTE(CriteriTecnici!$C666,CHAR(34),"'")&amp;CHAR(34)&amp;", "&amp;CHAR(34)&amp;"criterionId"&amp;CHAR(34)&amp;": "&amp;CHAR(34)&amp;SUBSTITUTE(CriteriTecnici!$D666,CHAR(34),"'")&amp;CHAR(34)&amp;", "&amp;CHAR(34)&amp;"kind"&amp;CHAR(34)&amp;": "&amp;CHAR(34)&amp;SUBSTITUTE(CriteriTecnici!$F666,CHAR(34),"'")&amp;CHAR(34)&amp;", "&amp;CHAR(34)&amp;"value"&amp;CHAR(34)&amp;": "&amp;SUBSTITUTE(TRIM(ROUND(IFERROR(CriteriTecnici!$N666*1,IFERROR(NUMBERVALUE(CriteriTecnici!$N666,".",","),IFERROR(NUMBERVALUE(CriteriTecnici!$N666,",","."),0))),4)&amp;""),",",".")&amp;", "&amp;CHAR(34)&amp;"numerator"&amp;CHAR(34)&amp;": "&amp;SUBSTITUTE(TRIM(ROUND(IFERROR(CriteriTecnici!$K666*1,IFERROR(NUMBERVALUE(CriteriTecnici!$K666,".",","),IFERROR(NUMBERVALUE(CriteriTecnici!$K666,",","."),0))),4)&amp;""),",",".")&amp;", "&amp;CHAR(34)&amp;"denominator"&amp;CHAR(34)&amp;": "&amp;SUBSTITUTE(TRIM(ROUND(IFERROR(CriteriTecnici!$L666*1,IFERROR(NUMBERVALUE(CriteriTecnici!$L666,".",","),IFERROR(NUMBERVALUE(CriteriTecnici!$L666,",","."),0))),4)&amp;""),",",".")&amp;", "&amp;CHAR(34)&amp;"flag"&amp;CHAR(34)&amp;": "&amp;SUBSTITUTE(TRIM(ROUND(IFERROR(CriteriTecnici!$M666*1,IFERROR(NUMBERVALUE(CriteriTecnici!$M666,".",","),IFERROR(NUMBERVALUE(CriteriTecnici!$M666,",","."),0))),4)&amp;""),",",".")&amp;", "&amp;CHAR(34)&amp;"rawScore"&amp;CHAR(34)&amp;": "&amp;SUBSTITUTE(TRIM(ROUND(IFERROR(CriteriTecnici!$O666*1,IFERROR(NUMBERVALUE(CriteriTecnici!$O666,".",","),IFERROR(NUMBERVALUE(CriteriTecnici!$O666,",","."),0))),4)&amp;""),",",".")&amp;CHAR(125)&amp;IF(TRUE,",",""))</f>
        <v/>
      </c>
    </row>
    <row r="768">
      <c r="A768" s="82">
        <f>IF(CriteriTecnici!$A667="","","    "&amp;CHAR(123)&amp;CHAR(34)&amp;"bidderId"&amp;CHAR(34)&amp;": "&amp;CHAR(34)&amp;SUBSTITUTE(CriteriTecnici!$A667,CHAR(34),"'")&amp;CHAR(34)&amp;", "&amp;CHAR(34)&amp;"lotId"&amp;CHAR(34)&amp;": "&amp;CHAR(34)&amp;SUBSTITUTE(CriteriTecnici!$C667,CHAR(34),"'")&amp;CHAR(34)&amp;", "&amp;CHAR(34)&amp;"criterionId"&amp;CHAR(34)&amp;": "&amp;CHAR(34)&amp;SUBSTITUTE(CriteriTecnici!$D667,CHAR(34),"'")&amp;CHAR(34)&amp;", "&amp;CHAR(34)&amp;"kind"&amp;CHAR(34)&amp;": "&amp;CHAR(34)&amp;SUBSTITUTE(CriteriTecnici!$F667,CHAR(34),"'")&amp;CHAR(34)&amp;", "&amp;CHAR(34)&amp;"value"&amp;CHAR(34)&amp;": "&amp;SUBSTITUTE(TRIM(ROUND(IFERROR(CriteriTecnici!$N667*1,IFERROR(NUMBERVALUE(CriteriTecnici!$N667,".",","),IFERROR(NUMBERVALUE(CriteriTecnici!$N667,",","."),0))),4)&amp;""),",",".")&amp;", "&amp;CHAR(34)&amp;"numerator"&amp;CHAR(34)&amp;": "&amp;SUBSTITUTE(TRIM(ROUND(IFERROR(CriteriTecnici!$K667*1,IFERROR(NUMBERVALUE(CriteriTecnici!$K667,".",","),IFERROR(NUMBERVALUE(CriteriTecnici!$K667,",","."),0))),4)&amp;""),",",".")&amp;", "&amp;CHAR(34)&amp;"denominator"&amp;CHAR(34)&amp;": "&amp;SUBSTITUTE(TRIM(ROUND(IFERROR(CriteriTecnici!$L667*1,IFERROR(NUMBERVALUE(CriteriTecnici!$L667,".",","),IFERROR(NUMBERVALUE(CriteriTecnici!$L667,",","."),0))),4)&amp;""),",",".")&amp;", "&amp;CHAR(34)&amp;"flag"&amp;CHAR(34)&amp;": "&amp;SUBSTITUTE(TRIM(ROUND(IFERROR(CriteriTecnici!$M667*1,IFERROR(NUMBERVALUE(CriteriTecnici!$M667,".",","),IFERROR(NUMBERVALUE(CriteriTecnici!$M667,",","."),0))),4)&amp;""),",",".")&amp;", "&amp;CHAR(34)&amp;"rawScore"&amp;CHAR(34)&amp;": "&amp;SUBSTITUTE(TRIM(ROUND(IFERROR(CriteriTecnici!$O667*1,IFERROR(NUMBERVALUE(CriteriTecnici!$O667,".",","),IFERROR(NUMBERVALUE(CriteriTecnici!$O667,",","."),0))),4)&amp;""),",",".")&amp;CHAR(125)&amp;IF(TRUE,",",""))</f>
        <v/>
      </c>
    </row>
    <row r="769">
      <c r="A769" s="82">
        <f>IF(CriteriTecnici!$A668="","","    "&amp;CHAR(123)&amp;CHAR(34)&amp;"bidderId"&amp;CHAR(34)&amp;": "&amp;CHAR(34)&amp;SUBSTITUTE(CriteriTecnici!$A668,CHAR(34),"'")&amp;CHAR(34)&amp;", "&amp;CHAR(34)&amp;"lotId"&amp;CHAR(34)&amp;": "&amp;CHAR(34)&amp;SUBSTITUTE(CriteriTecnici!$C668,CHAR(34),"'")&amp;CHAR(34)&amp;", "&amp;CHAR(34)&amp;"criterionId"&amp;CHAR(34)&amp;": "&amp;CHAR(34)&amp;SUBSTITUTE(CriteriTecnici!$D668,CHAR(34),"'")&amp;CHAR(34)&amp;", "&amp;CHAR(34)&amp;"kind"&amp;CHAR(34)&amp;": "&amp;CHAR(34)&amp;SUBSTITUTE(CriteriTecnici!$F668,CHAR(34),"'")&amp;CHAR(34)&amp;", "&amp;CHAR(34)&amp;"value"&amp;CHAR(34)&amp;": "&amp;SUBSTITUTE(TRIM(ROUND(IFERROR(CriteriTecnici!$N668*1,IFERROR(NUMBERVALUE(CriteriTecnici!$N668,".",","),IFERROR(NUMBERVALUE(CriteriTecnici!$N668,",","."),0))),4)&amp;""),",",".")&amp;", "&amp;CHAR(34)&amp;"numerator"&amp;CHAR(34)&amp;": "&amp;SUBSTITUTE(TRIM(ROUND(IFERROR(CriteriTecnici!$K668*1,IFERROR(NUMBERVALUE(CriteriTecnici!$K668,".",","),IFERROR(NUMBERVALUE(CriteriTecnici!$K668,",","."),0))),4)&amp;""),",",".")&amp;", "&amp;CHAR(34)&amp;"denominator"&amp;CHAR(34)&amp;": "&amp;SUBSTITUTE(TRIM(ROUND(IFERROR(CriteriTecnici!$L668*1,IFERROR(NUMBERVALUE(CriteriTecnici!$L668,".",","),IFERROR(NUMBERVALUE(CriteriTecnici!$L668,",","."),0))),4)&amp;""),",",".")&amp;", "&amp;CHAR(34)&amp;"flag"&amp;CHAR(34)&amp;": "&amp;SUBSTITUTE(TRIM(ROUND(IFERROR(CriteriTecnici!$M668*1,IFERROR(NUMBERVALUE(CriteriTecnici!$M668,".",","),IFERROR(NUMBERVALUE(CriteriTecnici!$M668,",","."),0))),4)&amp;""),",",".")&amp;", "&amp;CHAR(34)&amp;"rawScore"&amp;CHAR(34)&amp;": "&amp;SUBSTITUTE(TRIM(ROUND(IFERROR(CriteriTecnici!$O668*1,IFERROR(NUMBERVALUE(CriteriTecnici!$O668,".",","),IFERROR(NUMBERVALUE(CriteriTecnici!$O668,",","."),0))),4)&amp;""),",",".")&amp;CHAR(125)&amp;IF(TRUE,",",""))</f>
        <v/>
      </c>
    </row>
    <row r="770">
      <c r="A770" s="82">
        <f>IF(CriteriTecnici!$A669="","","    "&amp;CHAR(123)&amp;CHAR(34)&amp;"bidderId"&amp;CHAR(34)&amp;": "&amp;CHAR(34)&amp;SUBSTITUTE(CriteriTecnici!$A669,CHAR(34),"'")&amp;CHAR(34)&amp;", "&amp;CHAR(34)&amp;"lotId"&amp;CHAR(34)&amp;": "&amp;CHAR(34)&amp;SUBSTITUTE(CriteriTecnici!$C669,CHAR(34),"'")&amp;CHAR(34)&amp;", "&amp;CHAR(34)&amp;"criterionId"&amp;CHAR(34)&amp;": "&amp;CHAR(34)&amp;SUBSTITUTE(CriteriTecnici!$D669,CHAR(34),"'")&amp;CHAR(34)&amp;", "&amp;CHAR(34)&amp;"kind"&amp;CHAR(34)&amp;": "&amp;CHAR(34)&amp;SUBSTITUTE(CriteriTecnici!$F669,CHAR(34),"'")&amp;CHAR(34)&amp;", "&amp;CHAR(34)&amp;"value"&amp;CHAR(34)&amp;": "&amp;SUBSTITUTE(TRIM(ROUND(IFERROR(CriteriTecnici!$N669*1,IFERROR(NUMBERVALUE(CriteriTecnici!$N669,".",","),IFERROR(NUMBERVALUE(CriteriTecnici!$N669,",","."),0))),4)&amp;""),",",".")&amp;", "&amp;CHAR(34)&amp;"numerator"&amp;CHAR(34)&amp;": "&amp;SUBSTITUTE(TRIM(ROUND(IFERROR(CriteriTecnici!$K669*1,IFERROR(NUMBERVALUE(CriteriTecnici!$K669,".",","),IFERROR(NUMBERVALUE(CriteriTecnici!$K669,",","."),0))),4)&amp;""),",",".")&amp;", "&amp;CHAR(34)&amp;"denominator"&amp;CHAR(34)&amp;": "&amp;SUBSTITUTE(TRIM(ROUND(IFERROR(CriteriTecnici!$L669*1,IFERROR(NUMBERVALUE(CriteriTecnici!$L669,".",","),IFERROR(NUMBERVALUE(CriteriTecnici!$L669,",","."),0))),4)&amp;""),",",".")&amp;", "&amp;CHAR(34)&amp;"flag"&amp;CHAR(34)&amp;": "&amp;SUBSTITUTE(TRIM(ROUND(IFERROR(CriteriTecnici!$M669*1,IFERROR(NUMBERVALUE(CriteriTecnici!$M669,".",","),IFERROR(NUMBERVALUE(CriteriTecnici!$M669,",","."),0))),4)&amp;""),",",".")&amp;", "&amp;CHAR(34)&amp;"rawScore"&amp;CHAR(34)&amp;": "&amp;SUBSTITUTE(TRIM(ROUND(IFERROR(CriteriTecnici!$O669*1,IFERROR(NUMBERVALUE(CriteriTecnici!$O669,".",","),IFERROR(NUMBERVALUE(CriteriTecnici!$O669,",","."),0))),4)&amp;""),",",".")&amp;CHAR(125)&amp;IF(TRUE,",",""))</f>
        <v/>
      </c>
    </row>
    <row r="771">
      <c r="A771" s="82">
        <f>IF(CriteriTecnici!$A670="","","    "&amp;CHAR(123)&amp;CHAR(34)&amp;"bidderId"&amp;CHAR(34)&amp;": "&amp;CHAR(34)&amp;SUBSTITUTE(CriteriTecnici!$A670,CHAR(34),"'")&amp;CHAR(34)&amp;", "&amp;CHAR(34)&amp;"lotId"&amp;CHAR(34)&amp;": "&amp;CHAR(34)&amp;SUBSTITUTE(CriteriTecnici!$C670,CHAR(34),"'")&amp;CHAR(34)&amp;", "&amp;CHAR(34)&amp;"criterionId"&amp;CHAR(34)&amp;": "&amp;CHAR(34)&amp;SUBSTITUTE(CriteriTecnici!$D670,CHAR(34),"'")&amp;CHAR(34)&amp;", "&amp;CHAR(34)&amp;"kind"&amp;CHAR(34)&amp;": "&amp;CHAR(34)&amp;SUBSTITUTE(CriteriTecnici!$F670,CHAR(34),"'")&amp;CHAR(34)&amp;", "&amp;CHAR(34)&amp;"value"&amp;CHAR(34)&amp;": "&amp;SUBSTITUTE(TRIM(ROUND(IFERROR(CriteriTecnici!$N670*1,IFERROR(NUMBERVALUE(CriteriTecnici!$N670,".",","),IFERROR(NUMBERVALUE(CriteriTecnici!$N670,",","."),0))),4)&amp;""),",",".")&amp;", "&amp;CHAR(34)&amp;"numerator"&amp;CHAR(34)&amp;": "&amp;SUBSTITUTE(TRIM(ROUND(IFERROR(CriteriTecnici!$K670*1,IFERROR(NUMBERVALUE(CriteriTecnici!$K670,".",","),IFERROR(NUMBERVALUE(CriteriTecnici!$K670,",","."),0))),4)&amp;""),",",".")&amp;", "&amp;CHAR(34)&amp;"denominator"&amp;CHAR(34)&amp;": "&amp;SUBSTITUTE(TRIM(ROUND(IFERROR(CriteriTecnici!$L670*1,IFERROR(NUMBERVALUE(CriteriTecnici!$L670,".",","),IFERROR(NUMBERVALUE(CriteriTecnici!$L670,",","."),0))),4)&amp;""),",",".")&amp;", "&amp;CHAR(34)&amp;"flag"&amp;CHAR(34)&amp;": "&amp;SUBSTITUTE(TRIM(ROUND(IFERROR(CriteriTecnici!$M670*1,IFERROR(NUMBERVALUE(CriteriTecnici!$M670,".",","),IFERROR(NUMBERVALUE(CriteriTecnici!$M670,",","."),0))),4)&amp;""),",",".")&amp;", "&amp;CHAR(34)&amp;"rawScore"&amp;CHAR(34)&amp;": "&amp;SUBSTITUTE(TRIM(ROUND(IFERROR(CriteriTecnici!$O670*1,IFERROR(NUMBERVALUE(CriteriTecnici!$O670,".",","),IFERROR(NUMBERVALUE(CriteriTecnici!$O670,",","."),0))),4)&amp;""),",",".")&amp;CHAR(125)&amp;IF(TRUE,",",""))</f>
        <v/>
      </c>
    </row>
    <row r="772">
      <c r="A772" s="82">
        <f>IF(CriteriTecnici!$A671="","","    "&amp;CHAR(123)&amp;CHAR(34)&amp;"bidderId"&amp;CHAR(34)&amp;": "&amp;CHAR(34)&amp;SUBSTITUTE(CriteriTecnici!$A671,CHAR(34),"'")&amp;CHAR(34)&amp;", "&amp;CHAR(34)&amp;"lotId"&amp;CHAR(34)&amp;": "&amp;CHAR(34)&amp;SUBSTITUTE(CriteriTecnici!$C671,CHAR(34),"'")&amp;CHAR(34)&amp;", "&amp;CHAR(34)&amp;"criterionId"&amp;CHAR(34)&amp;": "&amp;CHAR(34)&amp;SUBSTITUTE(CriteriTecnici!$D671,CHAR(34),"'")&amp;CHAR(34)&amp;", "&amp;CHAR(34)&amp;"kind"&amp;CHAR(34)&amp;": "&amp;CHAR(34)&amp;SUBSTITUTE(CriteriTecnici!$F671,CHAR(34),"'")&amp;CHAR(34)&amp;", "&amp;CHAR(34)&amp;"value"&amp;CHAR(34)&amp;": "&amp;SUBSTITUTE(TRIM(ROUND(IFERROR(CriteriTecnici!$N671*1,IFERROR(NUMBERVALUE(CriteriTecnici!$N671,".",","),IFERROR(NUMBERVALUE(CriteriTecnici!$N671,",","."),0))),4)&amp;""),",",".")&amp;", "&amp;CHAR(34)&amp;"numerator"&amp;CHAR(34)&amp;": "&amp;SUBSTITUTE(TRIM(ROUND(IFERROR(CriteriTecnici!$K671*1,IFERROR(NUMBERVALUE(CriteriTecnici!$K671,".",","),IFERROR(NUMBERVALUE(CriteriTecnici!$K671,",","."),0))),4)&amp;""),",",".")&amp;", "&amp;CHAR(34)&amp;"denominator"&amp;CHAR(34)&amp;": "&amp;SUBSTITUTE(TRIM(ROUND(IFERROR(CriteriTecnici!$L671*1,IFERROR(NUMBERVALUE(CriteriTecnici!$L671,".",","),IFERROR(NUMBERVALUE(CriteriTecnici!$L671,",","."),0))),4)&amp;""),",",".")&amp;", "&amp;CHAR(34)&amp;"flag"&amp;CHAR(34)&amp;": "&amp;SUBSTITUTE(TRIM(ROUND(IFERROR(CriteriTecnici!$M671*1,IFERROR(NUMBERVALUE(CriteriTecnici!$M671,".",","),IFERROR(NUMBERVALUE(CriteriTecnici!$M671,",","."),0))),4)&amp;""),",",".")&amp;", "&amp;CHAR(34)&amp;"rawScore"&amp;CHAR(34)&amp;": "&amp;SUBSTITUTE(TRIM(ROUND(IFERROR(CriteriTecnici!$O671*1,IFERROR(NUMBERVALUE(CriteriTecnici!$O671,".",","),IFERROR(NUMBERVALUE(CriteriTecnici!$O671,",","."),0))),4)&amp;""),",",".")&amp;CHAR(125)&amp;IF(TRUE,",",""))</f>
        <v/>
      </c>
    </row>
    <row r="773">
      <c r="A773" s="82">
        <f>IF(CriteriTecnici!$A672="","","    "&amp;CHAR(123)&amp;CHAR(34)&amp;"bidderId"&amp;CHAR(34)&amp;": "&amp;CHAR(34)&amp;SUBSTITUTE(CriteriTecnici!$A672,CHAR(34),"'")&amp;CHAR(34)&amp;", "&amp;CHAR(34)&amp;"lotId"&amp;CHAR(34)&amp;": "&amp;CHAR(34)&amp;SUBSTITUTE(CriteriTecnici!$C672,CHAR(34),"'")&amp;CHAR(34)&amp;", "&amp;CHAR(34)&amp;"criterionId"&amp;CHAR(34)&amp;": "&amp;CHAR(34)&amp;SUBSTITUTE(CriteriTecnici!$D672,CHAR(34),"'")&amp;CHAR(34)&amp;", "&amp;CHAR(34)&amp;"kind"&amp;CHAR(34)&amp;": "&amp;CHAR(34)&amp;SUBSTITUTE(CriteriTecnici!$F672,CHAR(34),"'")&amp;CHAR(34)&amp;", "&amp;CHAR(34)&amp;"value"&amp;CHAR(34)&amp;": "&amp;SUBSTITUTE(TRIM(ROUND(IFERROR(CriteriTecnici!$N672*1,IFERROR(NUMBERVALUE(CriteriTecnici!$N672,".",","),IFERROR(NUMBERVALUE(CriteriTecnici!$N672,",","."),0))),4)&amp;""),",",".")&amp;", "&amp;CHAR(34)&amp;"numerator"&amp;CHAR(34)&amp;": "&amp;SUBSTITUTE(TRIM(ROUND(IFERROR(CriteriTecnici!$K672*1,IFERROR(NUMBERVALUE(CriteriTecnici!$K672,".",","),IFERROR(NUMBERVALUE(CriteriTecnici!$K672,",","."),0))),4)&amp;""),",",".")&amp;", "&amp;CHAR(34)&amp;"denominator"&amp;CHAR(34)&amp;": "&amp;SUBSTITUTE(TRIM(ROUND(IFERROR(CriteriTecnici!$L672*1,IFERROR(NUMBERVALUE(CriteriTecnici!$L672,".",","),IFERROR(NUMBERVALUE(CriteriTecnici!$L672,",","."),0))),4)&amp;""),",",".")&amp;", "&amp;CHAR(34)&amp;"flag"&amp;CHAR(34)&amp;": "&amp;SUBSTITUTE(TRIM(ROUND(IFERROR(CriteriTecnici!$M672*1,IFERROR(NUMBERVALUE(CriteriTecnici!$M672,".",","),IFERROR(NUMBERVALUE(CriteriTecnici!$M672,",","."),0))),4)&amp;""),",",".")&amp;", "&amp;CHAR(34)&amp;"rawScore"&amp;CHAR(34)&amp;": "&amp;SUBSTITUTE(TRIM(ROUND(IFERROR(CriteriTecnici!$O672*1,IFERROR(NUMBERVALUE(CriteriTecnici!$O672,".",","),IFERROR(NUMBERVALUE(CriteriTecnici!$O672,",","."),0))),4)&amp;""),",",".")&amp;CHAR(125)&amp;IF(TRUE,",",""))</f>
        <v/>
      </c>
    </row>
    <row r="774">
      <c r="A774" s="82">
        <f>IF(CriteriTecnici!$A673="","","    "&amp;CHAR(123)&amp;CHAR(34)&amp;"bidderId"&amp;CHAR(34)&amp;": "&amp;CHAR(34)&amp;SUBSTITUTE(CriteriTecnici!$A673,CHAR(34),"'")&amp;CHAR(34)&amp;", "&amp;CHAR(34)&amp;"lotId"&amp;CHAR(34)&amp;": "&amp;CHAR(34)&amp;SUBSTITUTE(CriteriTecnici!$C673,CHAR(34),"'")&amp;CHAR(34)&amp;", "&amp;CHAR(34)&amp;"criterionId"&amp;CHAR(34)&amp;": "&amp;CHAR(34)&amp;SUBSTITUTE(CriteriTecnici!$D673,CHAR(34),"'")&amp;CHAR(34)&amp;", "&amp;CHAR(34)&amp;"kind"&amp;CHAR(34)&amp;": "&amp;CHAR(34)&amp;SUBSTITUTE(CriteriTecnici!$F673,CHAR(34),"'")&amp;CHAR(34)&amp;", "&amp;CHAR(34)&amp;"value"&amp;CHAR(34)&amp;": "&amp;SUBSTITUTE(TRIM(ROUND(IFERROR(CriteriTecnici!$N673*1,IFERROR(NUMBERVALUE(CriteriTecnici!$N673,".",","),IFERROR(NUMBERVALUE(CriteriTecnici!$N673,",","."),0))),4)&amp;""),",",".")&amp;", "&amp;CHAR(34)&amp;"numerator"&amp;CHAR(34)&amp;": "&amp;SUBSTITUTE(TRIM(ROUND(IFERROR(CriteriTecnici!$K673*1,IFERROR(NUMBERVALUE(CriteriTecnici!$K673,".",","),IFERROR(NUMBERVALUE(CriteriTecnici!$K673,",","."),0))),4)&amp;""),",",".")&amp;", "&amp;CHAR(34)&amp;"denominator"&amp;CHAR(34)&amp;": "&amp;SUBSTITUTE(TRIM(ROUND(IFERROR(CriteriTecnici!$L673*1,IFERROR(NUMBERVALUE(CriteriTecnici!$L673,".",","),IFERROR(NUMBERVALUE(CriteriTecnici!$L673,",","."),0))),4)&amp;""),",",".")&amp;", "&amp;CHAR(34)&amp;"flag"&amp;CHAR(34)&amp;": "&amp;SUBSTITUTE(TRIM(ROUND(IFERROR(CriteriTecnici!$M673*1,IFERROR(NUMBERVALUE(CriteriTecnici!$M673,".",","),IFERROR(NUMBERVALUE(CriteriTecnici!$M673,",","."),0))),4)&amp;""),",",".")&amp;", "&amp;CHAR(34)&amp;"rawScore"&amp;CHAR(34)&amp;": "&amp;SUBSTITUTE(TRIM(ROUND(IFERROR(CriteriTecnici!$O673*1,IFERROR(NUMBERVALUE(CriteriTecnici!$O673,".",","),IFERROR(NUMBERVALUE(CriteriTecnici!$O673,",","."),0))),4)&amp;""),",",".")&amp;CHAR(125)&amp;IF(TRUE,",",""))</f>
        <v/>
      </c>
    </row>
    <row r="775">
      <c r="A775" s="82">
        <f>IF(CriteriTecnici!$A674="","","    "&amp;CHAR(123)&amp;CHAR(34)&amp;"bidderId"&amp;CHAR(34)&amp;": "&amp;CHAR(34)&amp;SUBSTITUTE(CriteriTecnici!$A674,CHAR(34),"'")&amp;CHAR(34)&amp;", "&amp;CHAR(34)&amp;"lotId"&amp;CHAR(34)&amp;": "&amp;CHAR(34)&amp;SUBSTITUTE(CriteriTecnici!$C674,CHAR(34),"'")&amp;CHAR(34)&amp;", "&amp;CHAR(34)&amp;"criterionId"&amp;CHAR(34)&amp;": "&amp;CHAR(34)&amp;SUBSTITUTE(CriteriTecnici!$D674,CHAR(34),"'")&amp;CHAR(34)&amp;", "&amp;CHAR(34)&amp;"kind"&amp;CHAR(34)&amp;": "&amp;CHAR(34)&amp;SUBSTITUTE(CriteriTecnici!$F674,CHAR(34),"'")&amp;CHAR(34)&amp;", "&amp;CHAR(34)&amp;"value"&amp;CHAR(34)&amp;": "&amp;SUBSTITUTE(TRIM(ROUND(IFERROR(CriteriTecnici!$N674*1,IFERROR(NUMBERVALUE(CriteriTecnici!$N674,".",","),IFERROR(NUMBERVALUE(CriteriTecnici!$N674,",","."),0))),4)&amp;""),",",".")&amp;", "&amp;CHAR(34)&amp;"numerator"&amp;CHAR(34)&amp;": "&amp;SUBSTITUTE(TRIM(ROUND(IFERROR(CriteriTecnici!$K674*1,IFERROR(NUMBERVALUE(CriteriTecnici!$K674,".",","),IFERROR(NUMBERVALUE(CriteriTecnici!$K674,",","."),0))),4)&amp;""),",",".")&amp;", "&amp;CHAR(34)&amp;"denominator"&amp;CHAR(34)&amp;": "&amp;SUBSTITUTE(TRIM(ROUND(IFERROR(CriteriTecnici!$L674*1,IFERROR(NUMBERVALUE(CriteriTecnici!$L674,".",","),IFERROR(NUMBERVALUE(CriteriTecnici!$L674,",","."),0))),4)&amp;""),",",".")&amp;", "&amp;CHAR(34)&amp;"flag"&amp;CHAR(34)&amp;": "&amp;SUBSTITUTE(TRIM(ROUND(IFERROR(CriteriTecnici!$M674*1,IFERROR(NUMBERVALUE(CriteriTecnici!$M674,".",","),IFERROR(NUMBERVALUE(CriteriTecnici!$M674,",","."),0))),4)&amp;""),",",".")&amp;", "&amp;CHAR(34)&amp;"rawScore"&amp;CHAR(34)&amp;": "&amp;SUBSTITUTE(TRIM(ROUND(IFERROR(CriteriTecnici!$O674*1,IFERROR(NUMBERVALUE(CriteriTecnici!$O674,".",","),IFERROR(NUMBERVALUE(CriteriTecnici!$O674,",","."),0))),4)&amp;""),",",".")&amp;CHAR(125)&amp;IF(TRUE,",",""))</f>
        <v/>
      </c>
    </row>
    <row r="776">
      <c r="A776" s="82">
        <f>IF(CriteriTecnici!$A675="","","    "&amp;CHAR(123)&amp;CHAR(34)&amp;"bidderId"&amp;CHAR(34)&amp;": "&amp;CHAR(34)&amp;SUBSTITUTE(CriteriTecnici!$A675,CHAR(34),"'")&amp;CHAR(34)&amp;", "&amp;CHAR(34)&amp;"lotId"&amp;CHAR(34)&amp;": "&amp;CHAR(34)&amp;SUBSTITUTE(CriteriTecnici!$C675,CHAR(34),"'")&amp;CHAR(34)&amp;", "&amp;CHAR(34)&amp;"criterionId"&amp;CHAR(34)&amp;": "&amp;CHAR(34)&amp;SUBSTITUTE(CriteriTecnici!$D675,CHAR(34),"'")&amp;CHAR(34)&amp;", "&amp;CHAR(34)&amp;"kind"&amp;CHAR(34)&amp;": "&amp;CHAR(34)&amp;SUBSTITUTE(CriteriTecnici!$F675,CHAR(34),"'")&amp;CHAR(34)&amp;", "&amp;CHAR(34)&amp;"value"&amp;CHAR(34)&amp;": "&amp;SUBSTITUTE(TRIM(ROUND(IFERROR(CriteriTecnici!$N675*1,IFERROR(NUMBERVALUE(CriteriTecnici!$N675,".",","),IFERROR(NUMBERVALUE(CriteriTecnici!$N675,",","."),0))),4)&amp;""),",",".")&amp;", "&amp;CHAR(34)&amp;"numerator"&amp;CHAR(34)&amp;": "&amp;SUBSTITUTE(TRIM(ROUND(IFERROR(CriteriTecnici!$K675*1,IFERROR(NUMBERVALUE(CriteriTecnici!$K675,".",","),IFERROR(NUMBERVALUE(CriteriTecnici!$K675,",","."),0))),4)&amp;""),",",".")&amp;", "&amp;CHAR(34)&amp;"denominator"&amp;CHAR(34)&amp;": "&amp;SUBSTITUTE(TRIM(ROUND(IFERROR(CriteriTecnici!$L675*1,IFERROR(NUMBERVALUE(CriteriTecnici!$L675,".",","),IFERROR(NUMBERVALUE(CriteriTecnici!$L675,",","."),0))),4)&amp;""),",",".")&amp;", "&amp;CHAR(34)&amp;"flag"&amp;CHAR(34)&amp;": "&amp;SUBSTITUTE(TRIM(ROUND(IFERROR(CriteriTecnici!$M675*1,IFERROR(NUMBERVALUE(CriteriTecnici!$M675,".",","),IFERROR(NUMBERVALUE(CriteriTecnici!$M675,",","."),0))),4)&amp;""),",",".")&amp;", "&amp;CHAR(34)&amp;"rawScore"&amp;CHAR(34)&amp;": "&amp;SUBSTITUTE(TRIM(ROUND(IFERROR(CriteriTecnici!$O675*1,IFERROR(NUMBERVALUE(CriteriTecnici!$O675,".",","),IFERROR(NUMBERVALUE(CriteriTecnici!$O675,",","."),0))),4)&amp;""),",",".")&amp;CHAR(125)&amp;IF(TRUE,",",""))</f>
        <v/>
      </c>
    </row>
    <row r="777">
      <c r="A777" s="82">
        <f>IF(CriteriTecnici!$A676="","","    "&amp;CHAR(123)&amp;CHAR(34)&amp;"bidderId"&amp;CHAR(34)&amp;": "&amp;CHAR(34)&amp;SUBSTITUTE(CriteriTecnici!$A676,CHAR(34),"'")&amp;CHAR(34)&amp;", "&amp;CHAR(34)&amp;"lotId"&amp;CHAR(34)&amp;": "&amp;CHAR(34)&amp;SUBSTITUTE(CriteriTecnici!$C676,CHAR(34),"'")&amp;CHAR(34)&amp;", "&amp;CHAR(34)&amp;"criterionId"&amp;CHAR(34)&amp;": "&amp;CHAR(34)&amp;SUBSTITUTE(CriteriTecnici!$D676,CHAR(34),"'")&amp;CHAR(34)&amp;", "&amp;CHAR(34)&amp;"kind"&amp;CHAR(34)&amp;": "&amp;CHAR(34)&amp;SUBSTITUTE(CriteriTecnici!$F676,CHAR(34),"'")&amp;CHAR(34)&amp;", "&amp;CHAR(34)&amp;"value"&amp;CHAR(34)&amp;": "&amp;SUBSTITUTE(TRIM(ROUND(IFERROR(CriteriTecnici!$N676*1,IFERROR(NUMBERVALUE(CriteriTecnici!$N676,".",","),IFERROR(NUMBERVALUE(CriteriTecnici!$N676,",","."),0))),4)&amp;""),",",".")&amp;", "&amp;CHAR(34)&amp;"numerator"&amp;CHAR(34)&amp;": "&amp;SUBSTITUTE(TRIM(ROUND(IFERROR(CriteriTecnici!$K676*1,IFERROR(NUMBERVALUE(CriteriTecnici!$K676,".",","),IFERROR(NUMBERVALUE(CriteriTecnici!$K676,",","."),0))),4)&amp;""),",",".")&amp;", "&amp;CHAR(34)&amp;"denominator"&amp;CHAR(34)&amp;": "&amp;SUBSTITUTE(TRIM(ROUND(IFERROR(CriteriTecnici!$L676*1,IFERROR(NUMBERVALUE(CriteriTecnici!$L676,".",","),IFERROR(NUMBERVALUE(CriteriTecnici!$L676,",","."),0))),4)&amp;""),",",".")&amp;", "&amp;CHAR(34)&amp;"flag"&amp;CHAR(34)&amp;": "&amp;SUBSTITUTE(TRIM(ROUND(IFERROR(CriteriTecnici!$M676*1,IFERROR(NUMBERVALUE(CriteriTecnici!$M676,".",","),IFERROR(NUMBERVALUE(CriteriTecnici!$M676,",","."),0))),4)&amp;""),",",".")&amp;", "&amp;CHAR(34)&amp;"rawScore"&amp;CHAR(34)&amp;": "&amp;SUBSTITUTE(TRIM(ROUND(IFERROR(CriteriTecnici!$O676*1,IFERROR(NUMBERVALUE(CriteriTecnici!$O676,".",","),IFERROR(NUMBERVALUE(CriteriTecnici!$O676,",","."),0))),4)&amp;""),",",".")&amp;CHAR(125)&amp;IF(TRUE,",",""))</f>
        <v/>
      </c>
    </row>
    <row r="778">
      <c r="A778" s="82">
        <f>IF(CriteriTecnici!$A677="","","    "&amp;CHAR(123)&amp;CHAR(34)&amp;"bidderId"&amp;CHAR(34)&amp;": "&amp;CHAR(34)&amp;SUBSTITUTE(CriteriTecnici!$A677,CHAR(34),"'")&amp;CHAR(34)&amp;", "&amp;CHAR(34)&amp;"lotId"&amp;CHAR(34)&amp;": "&amp;CHAR(34)&amp;SUBSTITUTE(CriteriTecnici!$C677,CHAR(34),"'")&amp;CHAR(34)&amp;", "&amp;CHAR(34)&amp;"criterionId"&amp;CHAR(34)&amp;": "&amp;CHAR(34)&amp;SUBSTITUTE(CriteriTecnici!$D677,CHAR(34),"'")&amp;CHAR(34)&amp;", "&amp;CHAR(34)&amp;"kind"&amp;CHAR(34)&amp;": "&amp;CHAR(34)&amp;SUBSTITUTE(CriteriTecnici!$F677,CHAR(34),"'")&amp;CHAR(34)&amp;", "&amp;CHAR(34)&amp;"value"&amp;CHAR(34)&amp;": "&amp;SUBSTITUTE(TRIM(ROUND(IFERROR(CriteriTecnici!$N677*1,IFERROR(NUMBERVALUE(CriteriTecnici!$N677,".",","),IFERROR(NUMBERVALUE(CriteriTecnici!$N677,",","."),0))),4)&amp;""),",",".")&amp;", "&amp;CHAR(34)&amp;"numerator"&amp;CHAR(34)&amp;": "&amp;SUBSTITUTE(TRIM(ROUND(IFERROR(CriteriTecnici!$K677*1,IFERROR(NUMBERVALUE(CriteriTecnici!$K677,".",","),IFERROR(NUMBERVALUE(CriteriTecnici!$K677,",","."),0))),4)&amp;""),",",".")&amp;", "&amp;CHAR(34)&amp;"denominator"&amp;CHAR(34)&amp;": "&amp;SUBSTITUTE(TRIM(ROUND(IFERROR(CriteriTecnici!$L677*1,IFERROR(NUMBERVALUE(CriteriTecnici!$L677,".",","),IFERROR(NUMBERVALUE(CriteriTecnici!$L677,",","."),0))),4)&amp;""),",",".")&amp;", "&amp;CHAR(34)&amp;"flag"&amp;CHAR(34)&amp;": "&amp;SUBSTITUTE(TRIM(ROUND(IFERROR(CriteriTecnici!$M677*1,IFERROR(NUMBERVALUE(CriteriTecnici!$M677,".",","),IFERROR(NUMBERVALUE(CriteriTecnici!$M677,",","."),0))),4)&amp;""),",",".")&amp;", "&amp;CHAR(34)&amp;"rawScore"&amp;CHAR(34)&amp;": "&amp;SUBSTITUTE(TRIM(ROUND(IFERROR(CriteriTecnici!$O677*1,IFERROR(NUMBERVALUE(CriteriTecnici!$O677,".",","),IFERROR(NUMBERVALUE(CriteriTecnici!$O677,",","."),0))),4)&amp;""),",",".")&amp;CHAR(125)&amp;IF(TRUE,",",""))</f>
        <v/>
      </c>
    </row>
    <row r="779">
      <c r="A779" s="82">
        <f>IF(CriteriTecnici!$A678="","","    "&amp;CHAR(123)&amp;CHAR(34)&amp;"bidderId"&amp;CHAR(34)&amp;": "&amp;CHAR(34)&amp;SUBSTITUTE(CriteriTecnici!$A678,CHAR(34),"'")&amp;CHAR(34)&amp;", "&amp;CHAR(34)&amp;"lotId"&amp;CHAR(34)&amp;": "&amp;CHAR(34)&amp;SUBSTITUTE(CriteriTecnici!$C678,CHAR(34),"'")&amp;CHAR(34)&amp;", "&amp;CHAR(34)&amp;"criterionId"&amp;CHAR(34)&amp;": "&amp;CHAR(34)&amp;SUBSTITUTE(CriteriTecnici!$D678,CHAR(34),"'")&amp;CHAR(34)&amp;", "&amp;CHAR(34)&amp;"kind"&amp;CHAR(34)&amp;": "&amp;CHAR(34)&amp;SUBSTITUTE(CriteriTecnici!$F678,CHAR(34),"'")&amp;CHAR(34)&amp;", "&amp;CHAR(34)&amp;"value"&amp;CHAR(34)&amp;": "&amp;SUBSTITUTE(TRIM(ROUND(IFERROR(CriteriTecnici!$N678*1,IFERROR(NUMBERVALUE(CriteriTecnici!$N678,".",","),IFERROR(NUMBERVALUE(CriteriTecnici!$N678,",","."),0))),4)&amp;""),",",".")&amp;", "&amp;CHAR(34)&amp;"numerator"&amp;CHAR(34)&amp;": "&amp;SUBSTITUTE(TRIM(ROUND(IFERROR(CriteriTecnici!$K678*1,IFERROR(NUMBERVALUE(CriteriTecnici!$K678,".",","),IFERROR(NUMBERVALUE(CriteriTecnici!$K678,",","."),0))),4)&amp;""),",",".")&amp;", "&amp;CHAR(34)&amp;"denominator"&amp;CHAR(34)&amp;": "&amp;SUBSTITUTE(TRIM(ROUND(IFERROR(CriteriTecnici!$L678*1,IFERROR(NUMBERVALUE(CriteriTecnici!$L678,".",","),IFERROR(NUMBERVALUE(CriteriTecnici!$L678,",","."),0))),4)&amp;""),",",".")&amp;", "&amp;CHAR(34)&amp;"flag"&amp;CHAR(34)&amp;": "&amp;SUBSTITUTE(TRIM(ROUND(IFERROR(CriteriTecnici!$M678*1,IFERROR(NUMBERVALUE(CriteriTecnici!$M678,".",","),IFERROR(NUMBERVALUE(CriteriTecnici!$M678,",","."),0))),4)&amp;""),",",".")&amp;", "&amp;CHAR(34)&amp;"rawScore"&amp;CHAR(34)&amp;": "&amp;SUBSTITUTE(TRIM(ROUND(IFERROR(CriteriTecnici!$O678*1,IFERROR(NUMBERVALUE(CriteriTecnici!$O678,".",","),IFERROR(NUMBERVALUE(CriteriTecnici!$O678,",","."),0))),4)&amp;""),",",".")&amp;CHAR(125)&amp;IF(TRUE,",",""))</f>
        <v/>
      </c>
    </row>
    <row r="780">
      <c r="A780" s="82">
        <f>IF(CriteriTecnici!$A679="","","    "&amp;CHAR(123)&amp;CHAR(34)&amp;"bidderId"&amp;CHAR(34)&amp;": "&amp;CHAR(34)&amp;SUBSTITUTE(CriteriTecnici!$A679,CHAR(34),"'")&amp;CHAR(34)&amp;", "&amp;CHAR(34)&amp;"lotId"&amp;CHAR(34)&amp;": "&amp;CHAR(34)&amp;SUBSTITUTE(CriteriTecnici!$C679,CHAR(34),"'")&amp;CHAR(34)&amp;", "&amp;CHAR(34)&amp;"criterionId"&amp;CHAR(34)&amp;": "&amp;CHAR(34)&amp;SUBSTITUTE(CriteriTecnici!$D679,CHAR(34),"'")&amp;CHAR(34)&amp;", "&amp;CHAR(34)&amp;"kind"&amp;CHAR(34)&amp;": "&amp;CHAR(34)&amp;SUBSTITUTE(CriteriTecnici!$F679,CHAR(34),"'")&amp;CHAR(34)&amp;", "&amp;CHAR(34)&amp;"value"&amp;CHAR(34)&amp;": "&amp;SUBSTITUTE(TRIM(ROUND(IFERROR(CriteriTecnici!$N679*1,IFERROR(NUMBERVALUE(CriteriTecnici!$N679,".",","),IFERROR(NUMBERVALUE(CriteriTecnici!$N679,",","."),0))),4)&amp;""),",",".")&amp;", "&amp;CHAR(34)&amp;"numerator"&amp;CHAR(34)&amp;": "&amp;SUBSTITUTE(TRIM(ROUND(IFERROR(CriteriTecnici!$K679*1,IFERROR(NUMBERVALUE(CriteriTecnici!$K679,".",","),IFERROR(NUMBERVALUE(CriteriTecnici!$K679,",","."),0))),4)&amp;""),",",".")&amp;", "&amp;CHAR(34)&amp;"denominator"&amp;CHAR(34)&amp;": "&amp;SUBSTITUTE(TRIM(ROUND(IFERROR(CriteriTecnici!$L679*1,IFERROR(NUMBERVALUE(CriteriTecnici!$L679,".",","),IFERROR(NUMBERVALUE(CriteriTecnici!$L679,",","."),0))),4)&amp;""),",",".")&amp;", "&amp;CHAR(34)&amp;"flag"&amp;CHAR(34)&amp;": "&amp;SUBSTITUTE(TRIM(ROUND(IFERROR(CriteriTecnici!$M679*1,IFERROR(NUMBERVALUE(CriteriTecnici!$M679,".",","),IFERROR(NUMBERVALUE(CriteriTecnici!$M679,",","."),0))),4)&amp;""),",",".")&amp;", "&amp;CHAR(34)&amp;"rawScore"&amp;CHAR(34)&amp;": "&amp;SUBSTITUTE(TRIM(ROUND(IFERROR(CriteriTecnici!$O679*1,IFERROR(NUMBERVALUE(CriteriTecnici!$O679,".",","),IFERROR(NUMBERVALUE(CriteriTecnici!$O679,",","."),0))),4)&amp;""),",",".")&amp;CHAR(125)&amp;IF(TRUE,",",""))</f>
        <v/>
      </c>
    </row>
    <row r="781">
      <c r="A781" s="82">
        <f>IF(CriteriTecnici!$A680="","","    "&amp;CHAR(123)&amp;CHAR(34)&amp;"bidderId"&amp;CHAR(34)&amp;": "&amp;CHAR(34)&amp;SUBSTITUTE(CriteriTecnici!$A680,CHAR(34),"'")&amp;CHAR(34)&amp;", "&amp;CHAR(34)&amp;"lotId"&amp;CHAR(34)&amp;": "&amp;CHAR(34)&amp;SUBSTITUTE(CriteriTecnici!$C680,CHAR(34),"'")&amp;CHAR(34)&amp;", "&amp;CHAR(34)&amp;"criterionId"&amp;CHAR(34)&amp;": "&amp;CHAR(34)&amp;SUBSTITUTE(CriteriTecnici!$D680,CHAR(34),"'")&amp;CHAR(34)&amp;", "&amp;CHAR(34)&amp;"kind"&amp;CHAR(34)&amp;": "&amp;CHAR(34)&amp;SUBSTITUTE(CriteriTecnici!$F680,CHAR(34),"'")&amp;CHAR(34)&amp;", "&amp;CHAR(34)&amp;"value"&amp;CHAR(34)&amp;": "&amp;SUBSTITUTE(TRIM(ROUND(IFERROR(CriteriTecnici!$N680*1,IFERROR(NUMBERVALUE(CriteriTecnici!$N680,".",","),IFERROR(NUMBERVALUE(CriteriTecnici!$N680,",","."),0))),4)&amp;""),",",".")&amp;", "&amp;CHAR(34)&amp;"numerator"&amp;CHAR(34)&amp;": "&amp;SUBSTITUTE(TRIM(ROUND(IFERROR(CriteriTecnici!$K680*1,IFERROR(NUMBERVALUE(CriteriTecnici!$K680,".",","),IFERROR(NUMBERVALUE(CriteriTecnici!$K680,",","."),0))),4)&amp;""),",",".")&amp;", "&amp;CHAR(34)&amp;"denominator"&amp;CHAR(34)&amp;": "&amp;SUBSTITUTE(TRIM(ROUND(IFERROR(CriteriTecnici!$L680*1,IFERROR(NUMBERVALUE(CriteriTecnici!$L680,".",","),IFERROR(NUMBERVALUE(CriteriTecnici!$L680,",","."),0))),4)&amp;""),",",".")&amp;", "&amp;CHAR(34)&amp;"flag"&amp;CHAR(34)&amp;": "&amp;SUBSTITUTE(TRIM(ROUND(IFERROR(CriteriTecnici!$M680*1,IFERROR(NUMBERVALUE(CriteriTecnici!$M680,".",","),IFERROR(NUMBERVALUE(CriteriTecnici!$M680,",","."),0))),4)&amp;""),",",".")&amp;", "&amp;CHAR(34)&amp;"rawScore"&amp;CHAR(34)&amp;": "&amp;SUBSTITUTE(TRIM(ROUND(IFERROR(CriteriTecnici!$O680*1,IFERROR(NUMBERVALUE(CriteriTecnici!$O680,".",","),IFERROR(NUMBERVALUE(CriteriTecnici!$O680,",","."),0))),4)&amp;""),",",".")&amp;CHAR(125)&amp;IF(TRUE,",",""))</f>
        <v/>
      </c>
    </row>
    <row r="782">
      <c r="A782" s="82">
        <f>IF(CriteriTecnici!$A681="","","    "&amp;CHAR(123)&amp;CHAR(34)&amp;"bidderId"&amp;CHAR(34)&amp;": "&amp;CHAR(34)&amp;SUBSTITUTE(CriteriTecnici!$A681,CHAR(34),"'")&amp;CHAR(34)&amp;", "&amp;CHAR(34)&amp;"lotId"&amp;CHAR(34)&amp;": "&amp;CHAR(34)&amp;SUBSTITUTE(CriteriTecnici!$C681,CHAR(34),"'")&amp;CHAR(34)&amp;", "&amp;CHAR(34)&amp;"criterionId"&amp;CHAR(34)&amp;": "&amp;CHAR(34)&amp;SUBSTITUTE(CriteriTecnici!$D681,CHAR(34),"'")&amp;CHAR(34)&amp;", "&amp;CHAR(34)&amp;"kind"&amp;CHAR(34)&amp;": "&amp;CHAR(34)&amp;SUBSTITUTE(CriteriTecnici!$F681,CHAR(34),"'")&amp;CHAR(34)&amp;", "&amp;CHAR(34)&amp;"value"&amp;CHAR(34)&amp;": "&amp;SUBSTITUTE(TRIM(ROUND(IFERROR(CriteriTecnici!$N681*1,IFERROR(NUMBERVALUE(CriteriTecnici!$N681,".",","),IFERROR(NUMBERVALUE(CriteriTecnici!$N681,",","."),0))),4)&amp;""),",",".")&amp;", "&amp;CHAR(34)&amp;"numerator"&amp;CHAR(34)&amp;": "&amp;SUBSTITUTE(TRIM(ROUND(IFERROR(CriteriTecnici!$K681*1,IFERROR(NUMBERVALUE(CriteriTecnici!$K681,".",","),IFERROR(NUMBERVALUE(CriteriTecnici!$K681,",","."),0))),4)&amp;""),",",".")&amp;", "&amp;CHAR(34)&amp;"denominator"&amp;CHAR(34)&amp;": "&amp;SUBSTITUTE(TRIM(ROUND(IFERROR(CriteriTecnici!$L681*1,IFERROR(NUMBERVALUE(CriteriTecnici!$L681,".",","),IFERROR(NUMBERVALUE(CriteriTecnici!$L681,",","."),0))),4)&amp;""),",",".")&amp;", "&amp;CHAR(34)&amp;"flag"&amp;CHAR(34)&amp;": "&amp;SUBSTITUTE(TRIM(ROUND(IFERROR(CriteriTecnici!$M681*1,IFERROR(NUMBERVALUE(CriteriTecnici!$M681,".",","),IFERROR(NUMBERVALUE(CriteriTecnici!$M681,",","."),0))),4)&amp;""),",",".")&amp;", "&amp;CHAR(34)&amp;"rawScore"&amp;CHAR(34)&amp;": "&amp;SUBSTITUTE(TRIM(ROUND(IFERROR(CriteriTecnici!$O681*1,IFERROR(NUMBERVALUE(CriteriTecnici!$O681,".",","),IFERROR(NUMBERVALUE(CriteriTecnici!$O681,",","."),0))),4)&amp;""),",",".")&amp;CHAR(125)&amp;IF(TRUE,",",""))</f>
        <v/>
      </c>
    </row>
    <row r="783">
      <c r="A783" s="82">
        <f>IF(CriteriTecnici!$A682="","","    "&amp;CHAR(123)&amp;CHAR(34)&amp;"bidderId"&amp;CHAR(34)&amp;": "&amp;CHAR(34)&amp;SUBSTITUTE(CriteriTecnici!$A682,CHAR(34),"'")&amp;CHAR(34)&amp;", "&amp;CHAR(34)&amp;"lotId"&amp;CHAR(34)&amp;": "&amp;CHAR(34)&amp;SUBSTITUTE(CriteriTecnici!$C682,CHAR(34),"'")&amp;CHAR(34)&amp;", "&amp;CHAR(34)&amp;"criterionId"&amp;CHAR(34)&amp;": "&amp;CHAR(34)&amp;SUBSTITUTE(CriteriTecnici!$D682,CHAR(34),"'")&amp;CHAR(34)&amp;", "&amp;CHAR(34)&amp;"kind"&amp;CHAR(34)&amp;": "&amp;CHAR(34)&amp;SUBSTITUTE(CriteriTecnici!$F682,CHAR(34),"'")&amp;CHAR(34)&amp;", "&amp;CHAR(34)&amp;"value"&amp;CHAR(34)&amp;": "&amp;SUBSTITUTE(TRIM(ROUND(IFERROR(CriteriTecnici!$N682*1,IFERROR(NUMBERVALUE(CriteriTecnici!$N682,".",","),IFERROR(NUMBERVALUE(CriteriTecnici!$N682,",","."),0))),4)&amp;""),",",".")&amp;", "&amp;CHAR(34)&amp;"numerator"&amp;CHAR(34)&amp;": "&amp;SUBSTITUTE(TRIM(ROUND(IFERROR(CriteriTecnici!$K682*1,IFERROR(NUMBERVALUE(CriteriTecnici!$K682,".",","),IFERROR(NUMBERVALUE(CriteriTecnici!$K682,",","."),0))),4)&amp;""),",",".")&amp;", "&amp;CHAR(34)&amp;"denominator"&amp;CHAR(34)&amp;": "&amp;SUBSTITUTE(TRIM(ROUND(IFERROR(CriteriTecnici!$L682*1,IFERROR(NUMBERVALUE(CriteriTecnici!$L682,".",","),IFERROR(NUMBERVALUE(CriteriTecnici!$L682,",","."),0))),4)&amp;""),",",".")&amp;", "&amp;CHAR(34)&amp;"flag"&amp;CHAR(34)&amp;": "&amp;SUBSTITUTE(TRIM(ROUND(IFERROR(CriteriTecnici!$M682*1,IFERROR(NUMBERVALUE(CriteriTecnici!$M682,".",","),IFERROR(NUMBERVALUE(CriteriTecnici!$M682,",","."),0))),4)&amp;""),",",".")&amp;", "&amp;CHAR(34)&amp;"rawScore"&amp;CHAR(34)&amp;": "&amp;SUBSTITUTE(TRIM(ROUND(IFERROR(CriteriTecnici!$O682*1,IFERROR(NUMBERVALUE(CriteriTecnici!$O682,".",","),IFERROR(NUMBERVALUE(CriteriTecnici!$O682,",","."),0))),4)&amp;""),",",".")&amp;CHAR(125)&amp;IF(TRUE,",",""))</f>
        <v/>
      </c>
    </row>
    <row r="784">
      <c r="A784" s="82">
        <f>IF(CriteriTecnici!$A683="","","    "&amp;CHAR(123)&amp;CHAR(34)&amp;"bidderId"&amp;CHAR(34)&amp;": "&amp;CHAR(34)&amp;SUBSTITUTE(CriteriTecnici!$A683,CHAR(34),"'")&amp;CHAR(34)&amp;", "&amp;CHAR(34)&amp;"lotId"&amp;CHAR(34)&amp;": "&amp;CHAR(34)&amp;SUBSTITUTE(CriteriTecnici!$C683,CHAR(34),"'")&amp;CHAR(34)&amp;", "&amp;CHAR(34)&amp;"criterionId"&amp;CHAR(34)&amp;": "&amp;CHAR(34)&amp;SUBSTITUTE(CriteriTecnici!$D683,CHAR(34),"'")&amp;CHAR(34)&amp;", "&amp;CHAR(34)&amp;"kind"&amp;CHAR(34)&amp;": "&amp;CHAR(34)&amp;SUBSTITUTE(CriteriTecnici!$F683,CHAR(34),"'")&amp;CHAR(34)&amp;", "&amp;CHAR(34)&amp;"value"&amp;CHAR(34)&amp;": "&amp;SUBSTITUTE(TRIM(ROUND(IFERROR(CriteriTecnici!$N683*1,IFERROR(NUMBERVALUE(CriteriTecnici!$N683,".",","),IFERROR(NUMBERVALUE(CriteriTecnici!$N683,",","."),0))),4)&amp;""),",",".")&amp;", "&amp;CHAR(34)&amp;"numerator"&amp;CHAR(34)&amp;": "&amp;SUBSTITUTE(TRIM(ROUND(IFERROR(CriteriTecnici!$K683*1,IFERROR(NUMBERVALUE(CriteriTecnici!$K683,".",","),IFERROR(NUMBERVALUE(CriteriTecnici!$K683,",","."),0))),4)&amp;""),",",".")&amp;", "&amp;CHAR(34)&amp;"denominator"&amp;CHAR(34)&amp;": "&amp;SUBSTITUTE(TRIM(ROUND(IFERROR(CriteriTecnici!$L683*1,IFERROR(NUMBERVALUE(CriteriTecnici!$L683,".",","),IFERROR(NUMBERVALUE(CriteriTecnici!$L683,",","."),0))),4)&amp;""),",",".")&amp;", "&amp;CHAR(34)&amp;"flag"&amp;CHAR(34)&amp;": "&amp;SUBSTITUTE(TRIM(ROUND(IFERROR(CriteriTecnici!$M683*1,IFERROR(NUMBERVALUE(CriteriTecnici!$M683,".",","),IFERROR(NUMBERVALUE(CriteriTecnici!$M683,",","."),0))),4)&amp;""),",",".")&amp;", "&amp;CHAR(34)&amp;"rawScore"&amp;CHAR(34)&amp;": "&amp;SUBSTITUTE(TRIM(ROUND(IFERROR(CriteriTecnici!$O683*1,IFERROR(NUMBERVALUE(CriteriTecnici!$O683,".",","),IFERROR(NUMBERVALUE(CriteriTecnici!$O683,",","."),0))),4)&amp;""),",",".")&amp;CHAR(125)&amp;IF(TRUE,",",""))</f>
        <v/>
      </c>
    </row>
    <row r="785">
      <c r="A785" s="82">
        <f>IF(CriteriTecnici!$A684="","","    "&amp;CHAR(123)&amp;CHAR(34)&amp;"bidderId"&amp;CHAR(34)&amp;": "&amp;CHAR(34)&amp;SUBSTITUTE(CriteriTecnici!$A684,CHAR(34),"'")&amp;CHAR(34)&amp;", "&amp;CHAR(34)&amp;"lotId"&amp;CHAR(34)&amp;": "&amp;CHAR(34)&amp;SUBSTITUTE(CriteriTecnici!$C684,CHAR(34),"'")&amp;CHAR(34)&amp;", "&amp;CHAR(34)&amp;"criterionId"&amp;CHAR(34)&amp;": "&amp;CHAR(34)&amp;SUBSTITUTE(CriteriTecnici!$D684,CHAR(34),"'")&amp;CHAR(34)&amp;", "&amp;CHAR(34)&amp;"kind"&amp;CHAR(34)&amp;": "&amp;CHAR(34)&amp;SUBSTITUTE(CriteriTecnici!$F684,CHAR(34),"'")&amp;CHAR(34)&amp;", "&amp;CHAR(34)&amp;"value"&amp;CHAR(34)&amp;": "&amp;SUBSTITUTE(TRIM(ROUND(IFERROR(CriteriTecnici!$N684*1,IFERROR(NUMBERVALUE(CriteriTecnici!$N684,".",","),IFERROR(NUMBERVALUE(CriteriTecnici!$N684,",","."),0))),4)&amp;""),",",".")&amp;", "&amp;CHAR(34)&amp;"numerator"&amp;CHAR(34)&amp;": "&amp;SUBSTITUTE(TRIM(ROUND(IFERROR(CriteriTecnici!$K684*1,IFERROR(NUMBERVALUE(CriteriTecnici!$K684,".",","),IFERROR(NUMBERVALUE(CriteriTecnici!$K684,",","."),0))),4)&amp;""),",",".")&amp;", "&amp;CHAR(34)&amp;"denominator"&amp;CHAR(34)&amp;": "&amp;SUBSTITUTE(TRIM(ROUND(IFERROR(CriteriTecnici!$L684*1,IFERROR(NUMBERVALUE(CriteriTecnici!$L684,".",","),IFERROR(NUMBERVALUE(CriteriTecnici!$L684,",","."),0))),4)&amp;""),",",".")&amp;", "&amp;CHAR(34)&amp;"flag"&amp;CHAR(34)&amp;": "&amp;SUBSTITUTE(TRIM(ROUND(IFERROR(CriteriTecnici!$M684*1,IFERROR(NUMBERVALUE(CriteriTecnici!$M684,".",","),IFERROR(NUMBERVALUE(CriteriTecnici!$M684,",","."),0))),4)&amp;""),",",".")&amp;", "&amp;CHAR(34)&amp;"rawScore"&amp;CHAR(34)&amp;": "&amp;SUBSTITUTE(TRIM(ROUND(IFERROR(CriteriTecnici!$O684*1,IFERROR(NUMBERVALUE(CriteriTecnici!$O684,".",","),IFERROR(NUMBERVALUE(CriteriTecnici!$O684,",","."),0))),4)&amp;""),",",".")&amp;CHAR(125)&amp;IF(TRUE,",",""))</f>
        <v/>
      </c>
    </row>
    <row r="786">
      <c r="A786" s="82">
        <f>IF(CriteriTecnici!$A685="","","    "&amp;CHAR(123)&amp;CHAR(34)&amp;"bidderId"&amp;CHAR(34)&amp;": "&amp;CHAR(34)&amp;SUBSTITUTE(CriteriTecnici!$A685,CHAR(34),"'")&amp;CHAR(34)&amp;", "&amp;CHAR(34)&amp;"lotId"&amp;CHAR(34)&amp;": "&amp;CHAR(34)&amp;SUBSTITUTE(CriteriTecnici!$C685,CHAR(34),"'")&amp;CHAR(34)&amp;", "&amp;CHAR(34)&amp;"criterionId"&amp;CHAR(34)&amp;": "&amp;CHAR(34)&amp;SUBSTITUTE(CriteriTecnici!$D685,CHAR(34),"'")&amp;CHAR(34)&amp;", "&amp;CHAR(34)&amp;"kind"&amp;CHAR(34)&amp;": "&amp;CHAR(34)&amp;SUBSTITUTE(CriteriTecnici!$F685,CHAR(34),"'")&amp;CHAR(34)&amp;", "&amp;CHAR(34)&amp;"value"&amp;CHAR(34)&amp;": "&amp;SUBSTITUTE(TRIM(ROUND(IFERROR(CriteriTecnici!$N685*1,IFERROR(NUMBERVALUE(CriteriTecnici!$N685,".",","),IFERROR(NUMBERVALUE(CriteriTecnici!$N685,",","."),0))),4)&amp;""),",",".")&amp;", "&amp;CHAR(34)&amp;"numerator"&amp;CHAR(34)&amp;": "&amp;SUBSTITUTE(TRIM(ROUND(IFERROR(CriteriTecnici!$K685*1,IFERROR(NUMBERVALUE(CriteriTecnici!$K685,".",","),IFERROR(NUMBERVALUE(CriteriTecnici!$K685,",","."),0))),4)&amp;""),",",".")&amp;", "&amp;CHAR(34)&amp;"denominator"&amp;CHAR(34)&amp;": "&amp;SUBSTITUTE(TRIM(ROUND(IFERROR(CriteriTecnici!$L685*1,IFERROR(NUMBERVALUE(CriteriTecnici!$L685,".",","),IFERROR(NUMBERVALUE(CriteriTecnici!$L685,",","."),0))),4)&amp;""),",",".")&amp;", "&amp;CHAR(34)&amp;"flag"&amp;CHAR(34)&amp;": "&amp;SUBSTITUTE(TRIM(ROUND(IFERROR(CriteriTecnici!$M685*1,IFERROR(NUMBERVALUE(CriteriTecnici!$M685,".",","),IFERROR(NUMBERVALUE(CriteriTecnici!$M685,",","."),0))),4)&amp;""),",",".")&amp;", "&amp;CHAR(34)&amp;"rawScore"&amp;CHAR(34)&amp;": "&amp;SUBSTITUTE(TRIM(ROUND(IFERROR(CriteriTecnici!$O685*1,IFERROR(NUMBERVALUE(CriteriTecnici!$O685,".",","),IFERROR(NUMBERVALUE(CriteriTecnici!$O685,",","."),0))),4)&amp;""),",",".")&amp;CHAR(125)&amp;IF(TRUE,",",""))</f>
        <v/>
      </c>
    </row>
    <row r="787">
      <c r="A787" s="82">
        <f>IF(CriteriTecnici!$A686="","","    "&amp;CHAR(123)&amp;CHAR(34)&amp;"bidderId"&amp;CHAR(34)&amp;": "&amp;CHAR(34)&amp;SUBSTITUTE(CriteriTecnici!$A686,CHAR(34),"'")&amp;CHAR(34)&amp;", "&amp;CHAR(34)&amp;"lotId"&amp;CHAR(34)&amp;": "&amp;CHAR(34)&amp;SUBSTITUTE(CriteriTecnici!$C686,CHAR(34),"'")&amp;CHAR(34)&amp;", "&amp;CHAR(34)&amp;"criterionId"&amp;CHAR(34)&amp;": "&amp;CHAR(34)&amp;SUBSTITUTE(CriteriTecnici!$D686,CHAR(34),"'")&amp;CHAR(34)&amp;", "&amp;CHAR(34)&amp;"kind"&amp;CHAR(34)&amp;": "&amp;CHAR(34)&amp;SUBSTITUTE(CriteriTecnici!$F686,CHAR(34),"'")&amp;CHAR(34)&amp;", "&amp;CHAR(34)&amp;"value"&amp;CHAR(34)&amp;": "&amp;SUBSTITUTE(TRIM(ROUND(IFERROR(CriteriTecnici!$N686*1,IFERROR(NUMBERVALUE(CriteriTecnici!$N686,".",","),IFERROR(NUMBERVALUE(CriteriTecnici!$N686,",","."),0))),4)&amp;""),",",".")&amp;", "&amp;CHAR(34)&amp;"numerator"&amp;CHAR(34)&amp;": "&amp;SUBSTITUTE(TRIM(ROUND(IFERROR(CriteriTecnici!$K686*1,IFERROR(NUMBERVALUE(CriteriTecnici!$K686,".",","),IFERROR(NUMBERVALUE(CriteriTecnici!$K686,",","."),0))),4)&amp;""),",",".")&amp;", "&amp;CHAR(34)&amp;"denominator"&amp;CHAR(34)&amp;": "&amp;SUBSTITUTE(TRIM(ROUND(IFERROR(CriteriTecnici!$L686*1,IFERROR(NUMBERVALUE(CriteriTecnici!$L686,".",","),IFERROR(NUMBERVALUE(CriteriTecnici!$L686,",","."),0))),4)&amp;""),",",".")&amp;", "&amp;CHAR(34)&amp;"flag"&amp;CHAR(34)&amp;": "&amp;SUBSTITUTE(TRIM(ROUND(IFERROR(CriteriTecnici!$M686*1,IFERROR(NUMBERVALUE(CriteriTecnici!$M686,".",","),IFERROR(NUMBERVALUE(CriteriTecnici!$M686,",","."),0))),4)&amp;""),",",".")&amp;", "&amp;CHAR(34)&amp;"rawScore"&amp;CHAR(34)&amp;": "&amp;SUBSTITUTE(TRIM(ROUND(IFERROR(CriteriTecnici!$O686*1,IFERROR(NUMBERVALUE(CriteriTecnici!$O686,".",","),IFERROR(NUMBERVALUE(CriteriTecnici!$O686,",","."),0))),4)&amp;""),",",".")&amp;CHAR(125)&amp;IF(COUNTA(Offerte!$A24:$A$81)&gt;0,",",""))</f>
        <v/>
      </c>
    </row>
    <row r="788">
      <c r="A788" s="82">
        <f>IF(CriteriTecnici!$A687="","","    "&amp;CHAR(123)&amp;CHAR(34)&amp;"bidderId"&amp;CHAR(34)&amp;": "&amp;CHAR(34)&amp;SUBSTITUTE(CriteriTecnici!$A687,CHAR(34),"'")&amp;CHAR(34)&amp;", "&amp;CHAR(34)&amp;"lotId"&amp;CHAR(34)&amp;": "&amp;CHAR(34)&amp;SUBSTITUTE(CriteriTecnici!$C687,CHAR(34),"'")&amp;CHAR(34)&amp;", "&amp;CHAR(34)&amp;"criterionId"&amp;CHAR(34)&amp;": "&amp;CHAR(34)&amp;SUBSTITUTE(CriteriTecnici!$D687,CHAR(34),"'")&amp;CHAR(34)&amp;", "&amp;CHAR(34)&amp;"kind"&amp;CHAR(34)&amp;": "&amp;CHAR(34)&amp;SUBSTITUTE(CriteriTecnici!$F687,CHAR(34),"'")&amp;CHAR(34)&amp;", "&amp;CHAR(34)&amp;"value"&amp;CHAR(34)&amp;": "&amp;SUBSTITUTE(TRIM(ROUND(IFERROR(CriteriTecnici!$N687*1,IFERROR(NUMBERVALUE(CriteriTecnici!$N687,".",","),IFERROR(NUMBERVALUE(CriteriTecnici!$N687,",","."),0))),4)&amp;""),",",".")&amp;", "&amp;CHAR(34)&amp;"numerator"&amp;CHAR(34)&amp;": "&amp;SUBSTITUTE(TRIM(ROUND(IFERROR(CriteriTecnici!$K687*1,IFERROR(NUMBERVALUE(CriteriTecnici!$K687,".",","),IFERROR(NUMBERVALUE(CriteriTecnici!$K687,",","."),0))),4)&amp;""),",",".")&amp;", "&amp;CHAR(34)&amp;"denominator"&amp;CHAR(34)&amp;": "&amp;SUBSTITUTE(TRIM(ROUND(IFERROR(CriteriTecnici!$L687*1,IFERROR(NUMBERVALUE(CriteriTecnici!$L687,".",","),IFERROR(NUMBERVALUE(CriteriTecnici!$L687,",","."),0))),4)&amp;""),",",".")&amp;", "&amp;CHAR(34)&amp;"flag"&amp;CHAR(34)&amp;": "&amp;SUBSTITUTE(TRIM(ROUND(IFERROR(CriteriTecnici!$M687*1,IFERROR(NUMBERVALUE(CriteriTecnici!$M687,".",","),IFERROR(NUMBERVALUE(CriteriTecnici!$M687,",","."),0))),4)&amp;""),",",".")&amp;", "&amp;CHAR(34)&amp;"rawScore"&amp;CHAR(34)&amp;": "&amp;SUBSTITUTE(TRIM(ROUND(IFERROR(CriteriTecnici!$O687*1,IFERROR(NUMBERVALUE(CriteriTecnici!$O687,".",","),IFERROR(NUMBERVALUE(CriteriTecnici!$O687,",","."),0))),4)&amp;""),",",".")&amp;CHAR(125)&amp;IF(TRUE,",",""))</f>
        <v/>
      </c>
    </row>
    <row r="789">
      <c r="A789" s="82">
        <f>IF(CriteriTecnici!$A688="","","    "&amp;CHAR(123)&amp;CHAR(34)&amp;"bidderId"&amp;CHAR(34)&amp;": "&amp;CHAR(34)&amp;SUBSTITUTE(CriteriTecnici!$A688,CHAR(34),"'")&amp;CHAR(34)&amp;", "&amp;CHAR(34)&amp;"lotId"&amp;CHAR(34)&amp;": "&amp;CHAR(34)&amp;SUBSTITUTE(CriteriTecnici!$C688,CHAR(34),"'")&amp;CHAR(34)&amp;", "&amp;CHAR(34)&amp;"criterionId"&amp;CHAR(34)&amp;": "&amp;CHAR(34)&amp;SUBSTITUTE(CriteriTecnici!$D688,CHAR(34),"'")&amp;CHAR(34)&amp;", "&amp;CHAR(34)&amp;"kind"&amp;CHAR(34)&amp;": "&amp;CHAR(34)&amp;SUBSTITUTE(CriteriTecnici!$F688,CHAR(34),"'")&amp;CHAR(34)&amp;", "&amp;CHAR(34)&amp;"value"&amp;CHAR(34)&amp;": "&amp;SUBSTITUTE(TRIM(ROUND(IFERROR(CriteriTecnici!$N688*1,IFERROR(NUMBERVALUE(CriteriTecnici!$N688,".",","),IFERROR(NUMBERVALUE(CriteriTecnici!$N688,",","."),0))),4)&amp;""),",",".")&amp;", "&amp;CHAR(34)&amp;"numerator"&amp;CHAR(34)&amp;": "&amp;SUBSTITUTE(TRIM(ROUND(IFERROR(CriteriTecnici!$K688*1,IFERROR(NUMBERVALUE(CriteriTecnici!$K688,".",","),IFERROR(NUMBERVALUE(CriteriTecnici!$K688,",","."),0))),4)&amp;""),",",".")&amp;", "&amp;CHAR(34)&amp;"denominator"&amp;CHAR(34)&amp;": "&amp;SUBSTITUTE(TRIM(ROUND(IFERROR(CriteriTecnici!$L688*1,IFERROR(NUMBERVALUE(CriteriTecnici!$L688,".",","),IFERROR(NUMBERVALUE(CriteriTecnici!$L688,",","."),0))),4)&amp;""),",",".")&amp;", "&amp;CHAR(34)&amp;"flag"&amp;CHAR(34)&amp;": "&amp;SUBSTITUTE(TRIM(ROUND(IFERROR(CriteriTecnici!$M688*1,IFERROR(NUMBERVALUE(CriteriTecnici!$M688,".",","),IFERROR(NUMBERVALUE(CriteriTecnici!$M688,",","."),0))),4)&amp;""),",",".")&amp;", "&amp;CHAR(34)&amp;"rawScore"&amp;CHAR(34)&amp;": "&amp;SUBSTITUTE(TRIM(ROUND(IFERROR(CriteriTecnici!$O688*1,IFERROR(NUMBERVALUE(CriteriTecnici!$O688,".",","),IFERROR(NUMBERVALUE(CriteriTecnici!$O688,",","."),0))),4)&amp;""),",",".")&amp;CHAR(125)&amp;IF(TRUE,",",""))</f>
        <v/>
      </c>
    </row>
    <row r="790">
      <c r="A790" s="82">
        <f>IF(CriteriTecnici!$A689="","","    "&amp;CHAR(123)&amp;CHAR(34)&amp;"bidderId"&amp;CHAR(34)&amp;": "&amp;CHAR(34)&amp;SUBSTITUTE(CriteriTecnici!$A689,CHAR(34),"'")&amp;CHAR(34)&amp;", "&amp;CHAR(34)&amp;"lotId"&amp;CHAR(34)&amp;": "&amp;CHAR(34)&amp;SUBSTITUTE(CriteriTecnici!$C689,CHAR(34),"'")&amp;CHAR(34)&amp;", "&amp;CHAR(34)&amp;"criterionId"&amp;CHAR(34)&amp;": "&amp;CHAR(34)&amp;SUBSTITUTE(CriteriTecnici!$D689,CHAR(34),"'")&amp;CHAR(34)&amp;", "&amp;CHAR(34)&amp;"kind"&amp;CHAR(34)&amp;": "&amp;CHAR(34)&amp;SUBSTITUTE(CriteriTecnici!$F689,CHAR(34),"'")&amp;CHAR(34)&amp;", "&amp;CHAR(34)&amp;"value"&amp;CHAR(34)&amp;": "&amp;SUBSTITUTE(TRIM(ROUND(IFERROR(CriteriTecnici!$N689*1,IFERROR(NUMBERVALUE(CriteriTecnici!$N689,".",","),IFERROR(NUMBERVALUE(CriteriTecnici!$N689,",","."),0))),4)&amp;""),",",".")&amp;", "&amp;CHAR(34)&amp;"numerator"&amp;CHAR(34)&amp;": "&amp;SUBSTITUTE(TRIM(ROUND(IFERROR(CriteriTecnici!$K689*1,IFERROR(NUMBERVALUE(CriteriTecnici!$K689,".",","),IFERROR(NUMBERVALUE(CriteriTecnici!$K689,",","."),0))),4)&amp;""),",",".")&amp;", "&amp;CHAR(34)&amp;"denominator"&amp;CHAR(34)&amp;": "&amp;SUBSTITUTE(TRIM(ROUND(IFERROR(CriteriTecnici!$L689*1,IFERROR(NUMBERVALUE(CriteriTecnici!$L689,".",","),IFERROR(NUMBERVALUE(CriteriTecnici!$L689,",","."),0))),4)&amp;""),",",".")&amp;", "&amp;CHAR(34)&amp;"flag"&amp;CHAR(34)&amp;": "&amp;SUBSTITUTE(TRIM(ROUND(IFERROR(CriteriTecnici!$M689*1,IFERROR(NUMBERVALUE(CriteriTecnici!$M689,".",","),IFERROR(NUMBERVALUE(CriteriTecnici!$M689,",","."),0))),4)&amp;""),",",".")&amp;", "&amp;CHAR(34)&amp;"rawScore"&amp;CHAR(34)&amp;": "&amp;SUBSTITUTE(TRIM(ROUND(IFERROR(CriteriTecnici!$O689*1,IFERROR(NUMBERVALUE(CriteriTecnici!$O689,".",","),IFERROR(NUMBERVALUE(CriteriTecnici!$O689,",","."),0))),4)&amp;""),",",".")&amp;CHAR(125)&amp;IF(TRUE,",",""))</f>
        <v/>
      </c>
    </row>
    <row r="791">
      <c r="A791" s="82">
        <f>IF(CriteriTecnici!$A690="","","    "&amp;CHAR(123)&amp;CHAR(34)&amp;"bidderId"&amp;CHAR(34)&amp;": "&amp;CHAR(34)&amp;SUBSTITUTE(CriteriTecnici!$A690,CHAR(34),"'")&amp;CHAR(34)&amp;", "&amp;CHAR(34)&amp;"lotId"&amp;CHAR(34)&amp;": "&amp;CHAR(34)&amp;SUBSTITUTE(CriteriTecnici!$C690,CHAR(34),"'")&amp;CHAR(34)&amp;", "&amp;CHAR(34)&amp;"criterionId"&amp;CHAR(34)&amp;": "&amp;CHAR(34)&amp;SUBSTITUTE(CriteriTecnici!$D690,CHAR(34),"'")&amp;CHAR(34)&amp;", "&amp;CHAR(34)&amp;"kind"&amp;CHAR(34)&amp;": "&amp;CHAR(34)&amp;SUBSTITUTE(CriteriTecnici!$F690,CHAR(34),"'")&amp;CHAR(34)&amp;", "&amp;CHAR(34)&amp;"value"&amp;CHAR(34)&amp;": "&amp;SUBSTITUTE(TRIM(ROUND(IFERROR(CriteriTecnici!$N690*1,IFERROR(NUMBERVALUE(CriteriTecnici!$N690,".",","),IFERROR(NUMBERVALUE(CriteriTecnici!$N690,",","."),0))),4)&amp;""),",",".")&amp;", "&amp;CHAR(34)&amp;"numerator"&amp;CHAR(34)&amp;": "&amp;SUBSTITUTE(TRIM(ROUND(IFERROR(CriteriTecnici!$K690*1,IFERROR(NUMBERVALUE(CriteriTecnici!$K690,".",","),IFERROR(NUMBERVALUE(CriteriTecnici!$K690,",","."),0))),4)&amp;""),",",".")&amp;", "&amp;CHAR(34)&amp;"denominator"&amp;CHAR(34)&amp;": "&amp;SUBSTITUTE(TRIM(ROUND(IFERROR(CriteriTecnici!$L690*1,IFERROR(NUMBERVALUE(CriteriTecnici!$L690,".",","),IFERROR(NUMBERVALUE(CriteriTecnici!$L690,",","."),0))),4)&amp;""),",",".")&amp;", "&amp;CHAR(34)&amp;"flag"&amp;CHAR(34)&amp;": "&amp;SUBSTITUTE(TRIM(ROUND(IFERROR(CriteriTecnici!$M690*1,IFERROR(NUMBERVALUE(CriteriTecnici!$M690,".",","),IFERROR(NUMBERVALUE(CriteriTecnici!$M690,",","."),0))),4)&amp;""),",",".")&amp;", "&amp;CHAR(34)&amp;"rawScore"&amp;CHAR(34)&amp;": "&amp;SUBSTITUTE(TRIM(ROUND(IFERROR(CriteriTecnici!$O690*1,IFERROR(NUMBERVALUE(CriteriTecnici!$O690,".",","),IFERROR(NUMBERVALUE(CriteriTecnici!$O690,",","."),0))),4)&amp;""),",",".")&amp;CHAR(125)&amp;IF(TRUE,",",""))</f>
        <v/>
      </c>
    </row>
    <row r="792">
      <c r="A792" s="82">
        <f>IF(CriteriTecnici!$A691="","","    "&amp;CHAR(123)&amp;CHAR(34)&amp;"bidderId"&amp;CHAR(34)&amp;": "&amp;CHAR(34)&amp;SUBSTITUTE(CriteriTecnici!$A691,CHAR(34),"'")&amp;CHAR(34)&amp;", "&amp;CHAR(34)&amp;"lotId"&amp;CHAR(34)&amp;": "&amp;CHAR(34)&amp;SUBSTITUTE(CriteriTecnici!$C691,CHAR(34),"'")&amp;CHAR(34)&amp;", "&amp;CHAR(34)&amp;"criterionId"&amp;CHAR(34)&amp;": "&amp;CHAR(34)&amp;SUBSTITUTE(CriteriTecnici!$D691,CHAR(34),"'")&amp;CHAR(34)&amp;", "&amp;CHAR(34)&amp;"kind"&amp;CHAR(34)&amp;": "&amp;CHAR(34)&amp;SUBSTITUTE(CriteriTecnici!$F691,CHAR(34),"'")&amp;CHAR(34)&amp;", "&amp;CHAR(34)&amp;"value"&amp;CHAR(34)&amp;": "&amp;SUBSTITUTE(TRIM(ROUND(IFERROR(CriteriTecnici!$N691*1,IFERROR(NUMBERVALUE(CriteriTecnici!$N691,".",","),IFERROR(NUMBERVALUE(CriteriTecnici!$N691,",","."),0))),4)&amp;""),",",".")&amp;", "&amp;CHAR(34)&amp;"numerator"&amp;CHAR(34)&amp;": "&amp;SUBSTITUTE(TRIM(ROUND(IFERROR(CriteriTecnici!$K691*1,IFERROR(NUMBERVALUE(CriteriTecnici!$K691,".",","),IFERROR(NUMBERVALUE(CriteriTecnici!$K691,",","."),0))),4)&amp;""),",",".")&amp;", "&amp;CHAR(34)&amp;"denominator"&amp;CHAR(34)&amp;": "&amp;SUBSTITUTE(TRIM(ROUND(IFERROR(CriteriTecnici!$L691*1,IFERROR(NUMBERVALUE(CriteriTecnici!$L691,".",","),IFERROR(NUMBERVALUE(CriteriTecnici!$L691,",","."),0))),4)&amp;""),",",".")&amp;", "&amp;CHAR(34)&amp;"flag"&amp;CHAR(34)&amp;": "&amp;SUBSTITUTE(TRIM(ROUND(IFERROR(CriteriTecnici!$M691*1,IFERROR(NUMBERVALUE(CriteriTecnici!$M691,".",","),IFERROR(NUMBERVALUE(CriteriTecnici!$M691,",","."),0))),4)&amp;""),",",".")&amp;", "&amp;CHAR(34)&amp;"rawScore"&amp;CHAR(34)&amp;": "&amp;SUBSTITUTE(TRIM(ROUND(IFERROR(CriteriTecnici!$O691*1,IFERROR(NUMBERVALUE(CriteriTecnici!$O691,".",","),IFERROR(NUMBERVALUE(CriteriTecnici!$O691,",","."),0))),4)&amp;""),",",".")&amp;CHAR(125)&amp;IF(TRUE,",",""))</f>
        <v/>
      </c>
    </row>
    <row r="793">
      <c r="A793" s="82">
        <f>IF(CriteriTecnici!$A692="","","    "&amp;CHAR(123)&amp;CHAR(34)&amp;"bidderId"&amp;CHAR(34)&amp;": "&amp;CHAR(34)&amp;SUBSTITUTE(CriteriTecnici!$A692,CHAR(34),"'")&amp;CHAR(34)&amp;", "&amp;CHAR(34)&amp;"lotId"&amp;CHAR(34)&amp;": "&amp;CHAR(34)&amp;SUBSTITUTE(CriteriTecnici!$C692,CHAR(34),"'")&amp;CHAR(34)&amp;", "&amp;CHAR(34)&amp;"criterionId"&amp;CHAR(34)&amp;": "&amp;CHAR(34)&amp;SUBSTITUTE(CriteriTecnici!$D692,CHAR(34),"'")&amp;CHAR(34)&amp;", "&amp;CHAR(34)&amp;"kind"&amp;CHAR(34)&amp;": "&amp;CHAR(34)&amp;SUBSTITUTE(CriteriTecnici!$F692,CHAR(34),"'")&amp;CHAR(34)&amp;", "&amp;CHAR(34)&amp;"value"&amp;CHAR(34)&amp;": "&amp;SUBSTITUTE(TRIM(ROUND(IFERROR(CriteriTecnici!$N692*1,IFERROR(NUMBERVALUE(CriteriTecnici!$N692,".",","),IFERROR(NUMBERVALUE(CriteriTecnici!$N692,",","."),0))),4)&amp;""),",",".")&amp;", "&amp;CHAR(34)&amp;"numerator"&amp;CHAR(34)&amp;": "&amp;SUBSTITUTE(TRIM(ROUND(IFERROR(CriteriTecnici!$K692*1,IFERROR(NUMBERVALUE(CriteriTecnici!$K692,".",","),IFERROR(NUMBERVALUE(CriteriTecnici!$K692,",","."),0))),4)&amp;""),",",".")&amp;", "&amp;CHAR(34)&amp;"denominator"&amp;CHAR(34)&amp;": "&amp;SUBSTITUTE(TRIM(ROUND(IFERROR(CriteriTecnici!$L692*1,IFERROR(NUMBERVALUE(CriteriTecnici!$L692,".",","),IFERROR(NUMBERVALUE(CriteriTecnici!$L692,",","."),0))),4)&amp;""),",",".")&amp;", "&amp;CHAR(34)&amp;"flag"&amp;CHAR(34)&amp;": "&amp;SUBSTITUTE(TRIM(ROUND(IFERROR(CriteriTecnici!$M692*1,IFERROR(NUMBERVALUE(CriteriTecnici!$M692,".",","),IFERROR(NUMBERVALUE(CriteriTecnici!$M692,",","."),0))),4)&amp;""),",",".")&amp;", "&amp;CHAR(34)&amp;"rawScore"&amp;CHAR(34)&amp;": "&amp;SUBSTITUTE(TRIM(ROUND(IFERROR(CriteriTecnici!$O692*1,IFERROR(NUMBERVALUE(CriteriTecnici!$O692,".",","),IFERROR(NUMBERVALUE(CriteriTecnici!$O692,",","."),0))),4)&amp;""),",",".")&amp;CHAR(125)&amp;IF(TRUE,",",""))</f>
        <v/>
      </c>
    </row>
    <row r="794">
      <c r="A794" s="82">
        <f>IF(CriteriTecnici!$A693="","","    "&amp;CHAR(123)&amp;CHAR(34)&amp;"bidderId"&amp;CHAR(34)&amp;": "&amp;CHAR(34)&amp;SUBSTITUTE(CriteriTecnici!$A693,CHAR(34),"'")&amp;CHAR(34)&amp;", "&amp;CHAR(34)&amp;"lotId"&amp;CHAR(34)&amp;": "&amp;CHAR(34)&amp;SUBSTITUTE(CriteriTecnici!$C693,CHAR(34),"'")&amp;CHAR(34)&amp;", "&amp;CHAR(34)&amp;"criterionId"&amp;CHAR(34)&amp;": "&amp;CHAR(34)&amp;SUBSTITUTE(CriteriTecnici!$D693,CHAR(34),"'")&amp;CHAR(34)&amp;", "&amp;CHAR(34)&amp;"kind"&amp;CHAR(34)&amp;": "&amp;CHAR(34)&amp;SUBSTITUTE(CriteriTecnici!$F693,CHAR(34),"'")&amp;CHAR(34)&amp;", "&amp;CHAR(34)&amp;"value"&amp;CHAR(34)&amp;": "&amp;SUBSTITUTE(TRIM(ROUND(IFERROR(CriteriTecnici!$N693*1,IFERROR(NUMBERVALUE(CriteriTecnici!$N693,".",","),IFERROR(NUMBERVALUE(CriteriTecnici!$N693,",","."),0))),4)&amp;""),",",".")&amp;", "&amp;CHAR(34)&amp;"numerator"&amp;CHAR(34)&amp;": "&amp;SUBSTITUTE(TRIM(ROUND(IFERROR(CriteriTecnici!$K693*1,IFERROR(NUMBERVALUE(CriteriTecnici!$K693,".",","),IFERROR(NUMBERVALUE(CriteriTecnici!$K693,",","."),0))),4)&amp;""),",",".")&amp;", "&amp;CHAR(34)&amp;"denominator"&amp;CHAR(34)&amp;": "&amp;SUBSTITUTE(TRIM(ROUND(IFERROR(CriteriTecnici!$L693*1,IFERROR(NUMBERVALUE(CriteriTecnici!$L693,".",","),IFERROR(NUMBERVALUE(CriteriTecnici!$L693,",","."),0))),4)&amp;""),",",".")&amp;", "&amp;CHAR(34)&amp;"flag"&amp;CHAR(34)&amp;": "&amp;SUBSTITUTE(TRIM(ROUND(IFERROR(CriteriTecnici!$M693*1,IFERROR(NUMBERVALUE(CriteriTecnici!$M693,".",","),IFERROR(NUMBERVALUE(CriteriTecnici!$M693,",","."),0))),4)&amp;""),",",".")&amp;", "&amp;CHAR(34)&amp;"rawScore"&amp;CHAR(34)&amp;": "&amp;SUBSTITUTE(TRIM(ROUND(IFERROR(CriteriTecnici!$O693*1,IFERROR(NUMBERVALUE(CriteriTecnici!$O693,".",","),IFERROR(NUMBERVALUE(CriteriTecnici!$O693,",","."),0))),4)&amp;""),",",".")&amp;CHAR(125)&amp;IF(TRUE,",",""))</f>
        <v/>
      </c>
    </row>
    <row r="795">
      <c r="A795" s="82">
        <f>IF(CriteriTecnici!$A694="","","    "&amp;CHAR(123)&amp;CHAR(34)&amp;"bidderId"&amp;CHAR(34)&amp;": "&amp;CHAR(34)&amp;SUBSTITUTE(CriteriTecnici!$A694,CHAR(34),"'")&amp;CHAR(34)&amp;", "&amp;CHAR(34)&amp;"lotId"&amp;CHAR(34)&amp;": "&amp;CHAR(34)&amp;SUBSTITUTE(CriteriTecnici!$C694,CHAR(34),"'")&amp;CHAR(34)&amp;", "&amp;CHAR(34)&amp;"criterionId"&amp;CHAR(34)&amp;": "&amp;CHAR(34)&amp;SUBSTITUTE(CriteriTecnici!$D694,CHAR(34),"'")&amp;CHAR(34)&amp;", "&amp;CHAR(34)&amp;"kind"&amp;CHAR(34)&amp;": "&amp;CHAR(34)&amp;SUBSTITUTE(CriteriTecnici!$F694,CHAR(34),"'")&amp;CHAR(34)&amp;", "&amp;CHAR(34)&amp;"value"&amp;CHAR(34)&amp;": "&amp;SUBSTITUTE(TRIM(ROUND(IFERROR(CriteriTecnici!$N694*1,IFERROR(NUMBERVALUE(CriteriTecnici!$N694,".",","),IFERROR(NUMBERVALUE(CriteriTecnici!$N694,",","."),0))),4)&amp;""),",",".")&amp;", "&amp;CHAR(34)&amp;"numerator"&amp;CHAR(34)&amp;": "&amp;SUBSTITUTE(TRIM(ROUND(IFERROR(CriteriTecnici!$K694*1,IFERROR(NUMBERVALUE(CriteriTecnici!$K694,".",","),IFERROR(NUMBERVALUE(CriteriTecnici!$K694,",","."),0))),4)&amp;""),",",".")&amp;", "&amp;CHAR(34)&amp;"denominator"&amp;CHAR(34)&amp;": "&amp;SUBSTITUTE(TRIM(ROUND(IFERROR(CriteriTecnici!$L694*1,IFERROR(NUMBERVALUE(CriteriTecnici!$L694,".",","),IFERROR(NUMBERVALUE(CriteriTecnici!$L694,",","."),0))),4)&amp;""),",",".")&amp;", "&amp;CHAR(34)&amp;"flag"&amp;CHAR(34)&amp;": "&amp;SUBSTITUTE(TRIM(ROUND(IFERROR(CriteriTecnici!$M694*1,IFERROR(NUMBERVALUE(CriteriTecnici!$M694,".",","),IFERROR(NUMBERVALUE(CriteriTecnici!$M694,",","."),0))),4)&amp;""),",",".")&amp;", "&amp;CHAR(34)&amp;"rawScore"&amp;CHAR(34)&amp;": "&amp;SUBSTITUTE(TRIM(ROUND(IFERROR(CriteriTecnici!$O694*1,IFERROR(NUMBERVALUE(CriteriTecnici!$O694,".",","),IFERROR(NUMBERVALUE(CriteriTecnici!$O694,",","."),0))),4)&amp;""),",",".")&amp;CHAR(125)&amp;IF(TRUE,",",""))</f>
        <v/>
      </c>
    </row>
    <row r="796">
      <c r="A796" s="82">
        <f>IF(CriteriTecnici!$A695="","","    "&amp;CHAR(123)&amp;CHAR(34)&amp;"bidderId"&amp;CHAR(34)&amp;": "&amp;CHAR(34)&amp;SUBSTITUTE(CriteriTecnici!$A695,CHAR(34),"'")&amp;CHAR(34)&amp;", "&amp;CHAR(34)&amp;"lotId"&amp;CHAR(34)&amp;": "&amp;CHAR(34)&amp;SUBSTITUTE(CriteriTecnici!$C695,CHAR(34),"'")&amp;CHAR(34)&amp;", "&amp;CHAR(34)&amp;"criterionId"&amp;CHAR(34)&amp;": "&amp;CHAR(34)&amp;SUBSTITUTE(CriteriTecnici!$D695,CHAR(34),"'")&amp;CHAR(34)&amp;", "&amp;CHAR(34)&amp;"kind"&amp;CHAR(34)&amp;": "&amp;CHAR(34)&amp;SUBSTITUTE(CriteriTecnici!$F695,CHAR(34),"'")&amp;CHAR(34)&amp;", "&amp;CHAR(34)&amp;"value"&amp;CHAR(34)&amp;": "&amp;SUBSTITUTE(TRIM(ROUND(IFERROR(CriteriTecnici!$N695*1,IFERROR(NUMBERVALUE(CriteriTecnici!$N695,".",","),IFERROR(NUMBERVALUE(CriteriTecnici!$N695,",","."),0))),4)&amp;""),",",".")&amp;", "&amp;CHAR(34)&amp;"numerator"&amp;CHAR(34)&amp;": "&amp;SUBSTITUTE(TRIM(ROUND(IFERROR(CriteriTecnici!$K695*1,IFERROR(NUMBERVALUE(CriteriTecnici!$K695,".",","),IFERROR(NUMBERVALUE(CriteriTecnici!$K695,",","."),0))),4)&amp;""),",",".")&amp;", "&amp;CHAR(34)&amp;"denominator"&amp;CHAR(34)&amp;": "&amp;SUBSTITUTE(TRIM(ROUND(IFERROR(CriteriTecnici!$L695*1,IFERROR(NUMBERVALUE(CriteriTecnici!$L695,".",","),IFERROR(NUMBERVALUE(CriteriTecnici!$L695,",","."),0))),4)&amp;""),",",".")&amp;", "&amp;CHAR(34)&amp;"flag"&amp;CHAR(34)&amp;": "&amp;SUBSTITUTE(TRIM(ROUND(IFERROR(CriteriTecnici!$M695*1,IFERROR(NUMBERVALUE(CriteriTecnici!$M695,".",","),IFERROR(NUMBERVALUE(CriteriTecnici!$M695,",","."),0))),4)&amp;""),",",".")&amp;", "&amp;CHAR(34)&amp;"rawScore"&amp;CHAR(34)&amp;": "&amp;SUBSTITUTE(TRIM(ROUND(IFERROR(CriteriTecnici!$O695*1,IFERROR(NUMBERVALUE(CriteriTecnici!$O695,".",","),IFERROR(NUMBERVALUE(CriteriTecnici!$O695,",","."),0))),4)&amp;""),",",".")&amp;CHAR(125)&amp;IF(TRUE,",",""))</f>
        <v/>
      </c>
    </row>
    <row r="797">
      <c r="A797" s="82">
        <f>IF(CriteriTecnici!$A696="","","    "&amp;CHAR(123)&amp;CHAR(34)&amp;"bidderId"&amp;CHAR(34)&amp;": "&amp;CHAR(34)&amp;SUBSTITUTE(CriteriTecnici!$A696,CHAR(34),"'")&amp;CHAR(34)&amp;", "&amp;CHAR(34)&amp;"lotId"&amp;CHAR(34)&amp;": "&amp;CHAR(34)&amp;SUBSTITUTE(CriteriTecnici!$C696,CHAR(34),"'")&amp;CHAR(34)&amp;", "&amp;CHAR(34)&amp;"criterionId"&amp;CHAR(34)&amp;": "&amp;CHAR(34)&amp;SUBSTITUTE(CriteriTecnici!$D696,CHAR(34),"'")&amp;CHAR(34)&amp;", "&amp;CHAR(34)&amp;"kind"&amp;CHAR(34)&amp;": "&amp;CHAR(34)&amp;SUBSTITUTE(CriteriTecnici!$F696,CHAR(34),"'")&amp;CHAR(34)&amp;", "&amp;CHAR(34)&amp;"value"&amp;CHAR(34)&amp;": "&amp;SUBSTITUTE(TRIM(ROUND(IFERROR(CriteriTecnici!$N696*1,IFERROR(NUMBERVALUE(CriteriTecnici!$N696,".",","),IFERROR(NUMBERVALUE(CriteriTecnici!$N696,",","."),0))),4)&amp;""),",",".")&amp;", "&amp;CHAR(34)&amp;"numerator"&amp;CHAR(34)&amp;": "&amp;SUBSTITUTE(TRIM(ROUND(IFERROR(CriteriTecnici!$K696*1,IFERROR(NUMBERVALUE(CriteriTecnici!$K696,".",","),IFERROR(NUMBERVALUE(CriteriTecnici!$K696,",","."),0))),4)&amp;""),",",".")&amp;", "&amp;CHAR(34)&amp;"denominator"&amp;CHAR(34)&amp;": "&amp;SUBSTITUTE(TRIM(ROUND(IFERROR(CriteriTecnici!$L696*1,IFERROR(NUMBERVALUE(CriteriTecnici!$L696,".",","),IFERROR(NUMBERVALUE(CriteriTecnici!$L696,",","."),0))),4)&amp;""),",",".")&amp;", "&amp;CHAR(34)&amp;"flag"&amp;CHAR(34)&amp;": "&amp;SUBSTITUTE(TRIM(ROUND(IFERROR(CriteriTecnici!$M696*1,IFERROR(NUMBERVALUE(CriteriTecnici!$M696,".",","),IFERROR(NUMBERVALUE(CriteriTecnici!$M696,",","."),0))),4)&amp;""),",",".")&amp;", "&amp;CHAR(34)&amp;"rawScore"&amp;CHAR(34)&amp;": "&amp;SUBSTITUTE(TRIM(ROUND(IFERROR(CriteriTecnici!$O696*1,IFERROR(NUMBERVALUE(CriteriTecnici!$O696,".",","),IFERROR(NUMBERVALUE(CriteriTecnici!$O696,",","."),0))),4)&amp;""),",",".")&amp;CHAR(125)&amp;IF(TRUE,",",""))</f>
        <v/>
      </c>
    </row>
    <row r="798">
      <c r="A798" s="82">
        <f>IF(CriteriTecnici!$A697="","","    "&amp;CHAR(123)&amp;CHAR(34)&amp;"bidderId"&amp;CHAR(34)&amp;": "&amp;CHAR(34)&amp;SUBSTITUTE(CriteriTecnici!$A697,CHAR(34),"'")&amp;CHAR(34)&amp;", "&amp;CHAR(34)&amp;"lotId"&amp;CHAR(34)&amp;": "&amp;CHAR(34)&amp;SUBSTITUTE(CriteriTecnici!$C697,CHAR(34),"'")&amp;CHAR(34)&amp;", "&amp;CHAR(34)&amp;"criterionId"&amp;CHAR(34)&amp;": "&amp;CHAR(34)&amp;SUBSTITUTE(CriteriTecnici!$D697,CHAR(34),"'")&amp;CHAR(34)&amp;", "&amp;CHAR(34)&amp;"kind"&amp;CHAR(34)&amp;": "&amp;CHAR(34)&amp;SUBSTITUTE(CriteriTecnici!$F697,CHAR(34),"'")&amp;CHAR(34)&amp;", "&amp;CHAR(34)&amp;"value"&amp;CHAR(34)&amp;": "&amp;SUBSTITUTE(TRIM(ROUND(IFERROR(CriteriTecnici!$N697*1,IFERROR(NUMBERVALUE(CriteriTecnici!$N697,".",","),IFERROR(NUMBERVALUE(CriteriTecnici!$N697,",","."),0))),4)&amp;""),",",".")&amp;", "&amp;CHAR(34)&amp;"numerator"&amp;CHAR(34)&amp;": "&amp;SUBSTITUTE(TRIM(ROUND(IFERROR(CriteriTecnici!$K697*1,IFERROR(NUMBERVALUE(CriteriTecnici!$K697,".",","),IFERROR(NUMBERVALUE(CriteriTecnici!$K697,",","."),0))),4)&amp;""),",",".")&amp;", "&amp;CHAR(34)&amp;"denominator"&amp;CHAR(34)&amp;": "&amp;SUBSTITUTE(TRIM(ROUND(IFERROR(CriteriTecnici!$L697*1,IFERROR(NUMBERVALUE(CriteriTecnici!$L697,".",","),IFERROR(NUMBERVALUE(CriteriTecnici!$L697,",","."),0))),4)&amp;""),",",".")&amp;", "&amp;CHAR(34)&amp;"flag"&amp;CHAR(34)&amp;": "&amp;SUBSTITUTE(TRIM(ROUND(IFERROR(CriteriTecnici!$M697*1,IFERROR(NUMBERVALUE(CriteriTecnici!$M697,".",","),IFERROR(NUMBERVALUE(CriteriTecnici!$M697,",","."),0))),4)&amp;""),",",".")&amp;", "&amp;CHAR(34)&amp;"rawScore"&amp;CHAR(34)&amp;": "&amp;SUBSTITUTE(TRIM(ROUND(IFERROR(CriteriTecnici!$O697*1,IFERROR(NUMBERVALUE(CriteriTecnici!$O697,".",","),IFERROR(NUMBERVALUE(CriteriTecnici!$O697,",","."),0))),4)&amp;""),",",".")&amp;CHAR(125)&amp;IF(TRUE,",",""))</f>
        <v/>
      </c>
    </row>
    <row r="799">
      <c r="A799" s="82">
        <f>IF(CriteriTecnici!$A698="","","    "&amp;CHAR(123)&amp;CHAR(34)&amp;"bidderId"&amp;CHAR(34)&amp;": "&amp;CHAR(34)&amp;SUBSTITUTE(CriteriTecnici!$A698,CHAR(34),"'")&amp;CHAR(34)&amp;", "&amp;CHAR(34)&amp;"lotId"&amp;CHAR(34)&amp;": "&amp;CHAR(34)&amp;SUBSTITUTE(CriteriTecnici!$C698,CHAR(34),"'")&amp;CHAR(34)&amp;", "&amp;CHAR(34)&amp;"criterionId"&amp;CHAR(34)&amp;": "&amp;CHAR(34)&amp;SUBSTITUTE(CriteriTecnici!$D698,CHAR(34),"'")&amp;CHAR(34)&amp;", "&amp;CHAR(34)&amp;"kind"&amp;CHAR(34)&amp;": "&amp;CHAR(34)&amp;SUBSTITUTE(CriteriTecnici!$F698,CHAR(34),"'")&amp;CHAR(34)&amp;", "&amp;CHAR(34)&amp;"value"&amp;CHAR(34)&amp;": "&amp;SUBSTITUTE(TRIM(ROUND(IFERROR(CriteriTecnici!$N698*1,IFERROR(NUMBERVALUE(CriteriTecnici!$N698,".",","),IFERROR(NUMBERVALUE(CriteriTecnici!$N698,",","."),0))),4)&amp;""),",",".")&amp;", "&amp;CHAR(34)&amp;"numerator"&amp;CHAR(34)&amp;": "&amp;SUBSTITUTE(TRIM(ROUND(IFERROR(CriteriTecnici!$K698*1,IFERROR(NUMBERVALUE(CriteriTecnici!$K698,".",","),IFERROR(NUMBERVALUE(CriteriTecnici!$K698,",","."),0))),4)&amp;""),",",".")&amp;", "&amp;CHAR(34)&amp;"denominator"&amp;CHAR(34)&amp;": "&amp;SUBSTITUTE(TRIM(ROUND(IFERROR(CriteriTecnici!$L698*1,IFERROR(NUMBERVALUE(CriteriTecnici!$L698,".",","),IFERROR(NUMBERVALUE(CriteriTecnici!$L698,",","."),0))),4)&amp;""),",",".")&amp;", "&amp;CHAR(34)&amp;"flag"&amp;CHAR(34)&amp;": "&amp;SUBSTITUTE(TRIM(ROUND(IFERROR(CriteriTecnici!$M698*1,IFERROR(NUMBERVALUE(CriteriTecnici!$M698,".",","),IFERROR(NUMBERVALUE(CriteriTecnici!$M698,",","."),0))),4)&amp;""),",",".")&amp;", "&amp;CHAR(34)&amp;"rawScore"&amp;CHAR(34)&amp;": "&amp;SUBSTITUTE(TRIM(ROUND(IFERROR(CriteriTecnici!$O698*1,IFERROR(NUMBERVALUE(CriteriTecnici!$O698,".",","),IFERROR(NUMBERVALUE(CriteriTecnici!$O698,",","."),0))),4)&amp;""),",",".")&amp;CHAR(125)&amp;IF(TRUE,",",""))</f>
        <v/>
      </c>
    </row>
    <row r="800">
      <c r="A800" s="82">
        <f>IF(CriteriTecnici!$A699="","","    "&amp;CHAR(123)&amp;CHAR(34)&amp;"bidderId"&amp;CHAR(34)&amp;": "&amp;CHAR(34)&amp;SUBSTITUTE(CriteriTecnici!$A699,CHAR(34),"'")&amp;CHAR(34)&amp;", "&amp;CHAR(34)&amp;"lotId"&amp;CHAR(34)&amp;": "&amp;CHAR(34)&amp;SUBSTITUTE(CriteriTecnici!$C699,CHAR(34),"'")&amp;CHAR(34)&amp;", "&amp;CHAR(34)&amp;"criterionId"&amp;CHAR(34)&amp;": "&amp;CHAR(34)&amp;SUBSTITUTE(CriteriTecnici!$D699,CHAR(34),"'")&amp;CHAR(34)&amp;", "&amp;CHAR(34)&amp;"kind"&amp;CHAR(34)&amp;": "&amp;CHAR(34)&amp;SUBSTITUTE(CriteriTecnici!$F699,CHAR(34),"'")&amp;CHAR(34)&amp;", "&amp;CHAR(34)&amp;"value"&amp;CHAR(34)&amp;": "&amp;SUBSTITUTE(TRIM(ROUND(IFERROR(CriteriTecnici!$N699*1,IFERROR(NUMBERVALUE(CriteriTecnici!$N699,".",","),IFERROR(NUMBERVALUE(CriteriTecnici!$N699,",","."),0))),4)&amp;""),",",".")&amp;", "&amp;CHAR(34)&amp;"numerator"&amp;CHAR(34)&amp;": "&amp;SUBSTITUTE(TRIM(ROUND(IFERROR(CriteriTecnici!$K699*1,IFERROR(NUMBERVALUE(CriteriTecnici!$K699,".",","),IFERROR(NUMBERVALUE(CriteriTecnici!$K699,",","."),0))),4)&amp;""),",",".")&amp;", "&amp;CHAR(34)&amp;"denominator"&amp;CHAR(34)&amp;": "&amp;SUBSTITUTE(TRIM(ROUND(IFERROR(CriteriTecnici!$L699*1,IFERROR(NUMBERVALUE(CriteriTecnici!$L699,".",","),IFERROR(NUMBERVALUE(CriteriTecnici!$L699,",","."),0))),4)&amp;""),",",".")&amp;", "&amp;CHAR(34)&amp;"flag"&amp;CHAR(34)&amp;": "&amp;SUBSTITUTE(TRIM(ROUND(IFERROR(CriteriTecnici!$M699*1,IFERROR(NUMBERVALUE(CriteriTecnici!$M699,".",","),IFERROR(NUMBERVALUE(CriteriTecnici!$M699,",","."),0))),4)&amp;""),",",".")&amp;", "&amp;CHAR(34)&amp;"rawScore"&amp;CHAR(34)&amp;": "&amp;SUBSTITUTE(TRIM(ROUND(IFERROR(CriteriTecnici!$O699*1,IFERROR(NUMBERVALUE(CriteriTecnici!$O699,".",","),IFERROR(NUMBERVALUE(CriteriTecnici!$O699,",","."),0))),4)&amp;""),",",".")&amp;CHAR(125)&amp;IF(TRUE,",",""))</f>
        <v/>
      </c>
    </row>
    <row r="801">
      <c r="A801" s="82">
        <f>IF(CriteriTecnici!$A700="","","    "&amp;CHAR(123)&amp;CHAR(34)&amp;"bidderId"&amp;CHAR(34)&amp;": "&amp;CHAR(34)&amp;SUBSTITUTE(CriteriTecnici!$A700,CHAR(34),"'")&amp;CHAR(34)&amp;", "&amp;CHAR(34)&amp;"lotId"&amp;CHAR(34)&amp;": "&amp;CHAR(34)&amp;SUBSTITUTE(CriteriTecnici!$C700,CHAR(34),"'")&amp;CHAR(34)&amp;", "&amp;CHAR(34)&amp;"criterionId"&amp;CHAR(34)&amp;": "&amp;CHAR(34)&amp;SUBSTITUTE(CriteriTecnici!$D700,CHAR(34),"'")&amp;CHAR(34)&amp;", "&amp;CHAR(34)&amp;"kind"&amp;CHAR(34)&amp;": "&amp;CHAR(34)&amp;SUBSTITUTE(CriteriTecnici!$F700,CHAR(34),"'")&amp;CHAR(34)&amp;", "&amp;CHAR(34)&amp;"value"&amp;CHAR(34)&amp;": "&amp;SUBSTITUTE(TRIM(ROUND(IFERROR(CriteriTecnici!$N700*1,IFERROR(NUMBERVALUE(CriteriTecnici!$N700,".",","),IFERROR(NUMBERVALUE(CriteriTecnici!$N700,",","."),0))),4)&amp;""),",",".")&amp;", "&amp;CHAR(34)&amp;"numerator"&amp;CHAR(34)&amp;": "&amp;SUBSTITUTE(TRIM(ROUND(IFERROR(CriteriTecnici!$K700*1,IFERROR(NUMBERVALUE(CriteriTecnici!$K700,".",","),IFERROR(NUMBERVALUE(CriteriTecnici!$K700,",","."),0))),4)&amp;""),",",".")&amp;", "&amp;CHAR(34)&amp;"denominator"&amp;CHAR(34)&amp;": "&amp;SUBSTITUTE(TRIM(ROUND(IFERROR(CriteriTecnici!$L700*1,IFERROR(NUMBERVALUE(CriteriTecnici!$L700,".",","),IFERROR(NUMBERVALUE(CriteriTecnici!$L700,",","."),0))),4)&amp;""),",",".")&amp;", "&amp;CHAR(34)&amp;"flag"&amp;CHAR(34)&amp;": "&amp;SUBSTITUTE(TRIM(ROUND(IFERROR(CriteriTecnici!$M700*1,IFERROR(NUMBERVALUE(CriteriTecnici!$M700,".",","),IFERROR(NUMBERVALUE(CriteriTecnici!$M700,",","."),0))),4)&amp;""),",",".")&amp;", "&amp;CHAR(34)&amp;"rawScore"&amp;CHAR(34)&amp;": "&amp;SUBSTITUTE(TRIM(ROUND(IFERROR(CriteriTecnici!$O700*1,IFERROR(NUMBERVALUE(CriteriTecnici!$O700,".",","),IFERROR(NUMBERVALUE(CriteriTecnici!$O700,",","."),0))),4)&amp;""),",",".")&amp;CHAR(125)&amp;IF(TRUE,",",""))</f>
        <v/>
      </c>
    </row>
    <row r="802">
      <c r="A802" s="82">
        <f>IF(CriteriTecnici!$A701="","","    "&amp;CHAR(123)&amp;CHAR(34)&amp;"bidderId"&amp;CHAR(34)&amp;": "&amp;CHAR(34)&amp;SUBSTITUTE(CriteriTecnici!$A701,CHAR(34),"'")&amp;CHAR(34)&amp;", "&amp;CHAR(34)&amp;"lotId"&amp;CHAR(34)&amp;": "&amp;CHAR(34)&amp;SUBSTITUTE(CriteriTecnici!$C701,CHAR(34),"'")&amp;CHAR(34)&amp;", "&amp;CHAR(34)&amp;"criterionId"&amp;CHAR(34)&amp;": "&amp;CHAR(34)&amp;SUBSTITUTE(CriteriTecnici!$D701,CHAR(34),"'")&amp;CHAR(34)&amp;", "&amp;CHAR(34)&amp;"kind"&amp;CHAR(34)&amp;": "&amp;CHAR(34)&amp;SUBSTITUTE(CriteriTecnici!$F701,CHAR(34),"'")&amp;CHAR(34)&amp;", "&amp;CHAR(34)&amp;"value"&amp;CHAR(34)&amp;": "&amp;SUBSTITUTE(TRIM(ROUND(IFERROR(CriteriTecnici!$N701*1,IFERROR(NUMBERVALUE(CriteriTecnici!$N701,".",","),IFERROR(NUMBERVALUE(CriteriTecnici!$N701,",","."),0))),4)&amp;""),",",".")&amp;", "&amp;CHAR(34)&amp;"numerator"&amp;CHAR(34)&amp;": "&amp;SUBSTITUTE(TRIM(ROUND(IFERROR(CriteriTecnici!$K701*1,IFERROR(NUMBERVALUE(CriteriTecnici!$K701,".",","),IFERROR(NUMBERVALUE(CriteriTecnici!$K701,",","."),0))),4)&amp;""),",",".")&amp;", "&amp;CHAR(34)&amp;"denominator"&amp;CHAR(34)&amp;": "&amp;SUBSTITUTE(TRIM(ROUND(IFERROR(CriteriTecnici!$L701*1,IFERROR(NUMBERVALUE(CriteriTecnici!$L701,".",","),IFERROR(NUMBERVALUE(CriteriTecnici!$L701,",","."),0))),4)&amp;""),",",".")&amp;", "&amp;CHAR(34)&amp;"flag"&amp;CHAR(34)&amp;": "&amp;SUBSTITUTE(TRIM(ROUND(IFERROR(CriteriTecnici!$M701*1,IFERROR(NUMBERVALUE(CriteriTecnici!$M701,".",","),IFERROR(NUMBERVALUE(CriteriTecnici!$M701,",","."),0))),4)&amp;""),",",".")&amp;", "&amp;CHAR(34)&amp;"rawScore"&amp;CHAR(34)&amp;": "&amp;SUBSTITUTE(TRIM(ROUND(IFERROR(CriteriTecnici!$O701*1,IFERROR(NUMBERVALUE(CriteriTecnici!$O701,".",","),IFERROR(NUMBERVALUE(CriteriTecnici!$O701,",","."),0))),4)&amp;""),",",".")&amp;CHAR(125)&amp;IF(TRUE,",",""))</f>
        <v/>
      </c>
    </row>
    <row r="803">
      <c r="A803" s="82">
        <f>IF(CriteriTecnici!$A702="","","    "&amp;CHAR(123)&amp;CHAR(34)&amp;"bidderId"&amp;CHAR(34)&amp;": "&amp;CHAR(34)&amp;SUBSTITUTE(CriteriTecnici!$A702,CHAR(34),"'")&amp;CHAR(34)&amp;", "&amp;CHAR(34)&amp;"lotId"&amp;CHAR(34)&amp;": "&amp;CHAR(34)&amp;SUBSTITUTE(CriteriTecnici!$C702,CHAR(34),"'")&amp;CHAR(34)&amp;", "&amp;CHAR(34)&amp;"criterionId"&amp;CHAR(34)&amp;": "&amp;CHAR(34)&amp;SUBSTITUTE(CriteriTecnici!$D702,CHAR(34),"'")&amp;CHAR(34)&amp;", "&amp;CHAR(34)&amp;"kind"&amp;CHAR(34)&amp;": "&amp;CHAR(34)&amp;SUBSTITUTE(CriteriTecnici!$F702,CHAR(34),"'")&amp;CHAR(34)&amp;", "&amp;CHAR(34)&amp;"value"&amp;CHAR(34)&amp;": "&amp;SUBSTITUTE(TRIM(ROUND(IFERROR(CriteriTecnici!$N702*1,IFERROR(NUMBERVALUE(CriteriTecnici!$N702,".",","),IFERROR(NUMBERVALUE(CriteriTecnici!$N702,",","."),0))),4)&amp;""),",",".")&amp;", "&amp;CHAR(34)&amp;"numerator"&amp;CHAR(34)&amp;": "&amp;SUBSTITUTE(TRIM(ROUND(IFERROR(CriteriTecnici!$K702*1,IFERROR(NUMBERVALUE(CriteriTecnici!$K702,".",","),IFERROR(NUMBERVALUE(CriteriTecnici!$K702,",","."),0))),4)&amp;""),",",".")&amp;", "&amp;CHAR(34)&amp;"denominator"&amp;CHAR(34)&amp;": "&amp;SUBSTITUTE(TRIM(ROUND(IFERROR(CriteriTecnici!$L702*1,IFERROR(NUMBERVALUE(CriteriTecnici!$L702,".",","),IFERROR(NUMBERVALUE(CriteriTecnici!$L702,",","."),0))),4)&amp;""),",",".")&amp;", "&amp;CHAR(34)&amp;"flag"&amp;CHAR(34)&amp;": "&amp;SUBSTITUTE(TRIM(ROUND(IFERROR(CriteriTecnici!$M702*1,IFERROR(NUMBERVALUE(CriteriTecnici!$M702,".",","),IFERROR(NUMBERVALUE(CriteriTecnici!$M702,",","."),0))),4)&amp;""),",",".")&amp;", "&amp;CHAR(34)&amp;"rawScore"&amp;CHAR(34)&amp;": "&amp;SUBSTITUTE(TRIM(ROUND(IFERROR(CriteriTecnici!$O702*1,IFERROR(NUMBERVALUE(CriteriTecnici!$O702,".",","),IFERROR(NUMBERVALUE(CriteriTecnici!$O702,",","."),0))),4)&amp;""),",",".")&amp;CHAR(125)&amp;IF(TRUE,",",""))</f>
        <v/>
      </c>
    </row>
    <row r="804">
      <c r="A804" s="82">
        <f>IF(CriteriTecnici!$A703="","","    "&amp;CHAR(123)&amp;CHAR(34)&amp;"bidderId"&amp;CHAR(34)&amp;": "&amp;CHAR(34)&amp;SUBSTITUTE(CriteriTecnici!$A703,CHAR(34),"'")&amp;CHAR(34)&amp;", "&amp;CHAR(34)&amp;"lotId"&amp;CHAR(34)&amp;": "&amp;CHAR(34)&amp;SUBSTITUTE(CriteriTecnici!$C703,CHAR(34),"'")&amp;CHAR(34)&amp;", "&amp;CHAR(34)&amp;"criterionId"&amp;CHAR(34)&amp;": "&amp;CHAR(34)&amp;SUBSTITUTE(CriteriTecnici!$D703,CHAR(34),"'")&amp;CHAR(34)&amp;", "&amp;CHAR(34)&amp;"kind"&amp;CHAR(34)&amp;": "&amp;CHAR(34)&amp;SUBSTITUTE(CriteriTecnici!$F703,CHAR(34),"'")&amp;CHAR(34)&amp;", "&amp;CHAR(34)&amp;"value"&amp;CHAR(34)&amp;": "&amp;SUBSTITUTE(TRIM(ROUND(IFERROR(CriteriTecnici!$N703*1,IFERROR(NUMBERVALUE(CriteriTecnici!$N703,".",","),IFERROR(NUMBERVALUE(CriteriTecnici!$N703,",","."),0))),4)&amp;""),",",".")&amp;", "&amp;CHAR(34)&amp;"numerator"&amp;CHAR(34)&amp;": "&amp;SUBSTITUTE(TRIM(ROUND(IFERROR(CriteriTecnici!$K703*1,IFERROR(NUMBERVALUE(CriteriTecnici!$K703,".",","),IFERROR(NUMBERVALUE(CriteriTecnici!$K703,",","."),0))),4)&amp;""),",",".")&amp;", "&amp;CHAR(34)&amp;"denominator"&amp;CHAR(34)&amp;": "&amp;SUBSTITUTE(TRIM(ROUND(IFERROR(CriteriTecnici!$L703*1,IFERROR(NUMBERVALUE(CriteriTecnici!$L703,".",","),IFERROR(NUMBERVALUE(CriteriTecnici!$L703,",","."),0))),4)&amp;""),",",".")&amp;", "&amp;CHAR(34)&amp;"flag"&amp;CHAR(34)&amp;": "&amp;SUBSTITUTE(TRIM(ROUND(IFERROR(CriteriTecnici!$M703*1,IFERROR(NUMBERVALUE(CriteriTecnici!$M703,".",","),IFERROR(NUMBERVALUE(CriteriTecnici!$M703,",","."),0))),4)&amp;""),",",".")&amp;", "&amp;CHAR(34)&amp;"rawScore"&amp;CHAR(34)&amp;": "&amp;SUBSTITUTE(TRIM(ROUND(IFERROR(CriteriTecnici!$O703*1,IFERROR(NUMBERVALUE(CriteriTecnici!$O703,".",","),IFERROR(NUMBERVALUE(CriteriTecnici!$O703,",","."),0))),4)&amp;""),",",".")&amp;CHAR(125)&amp;IF(TRUE,",",""))</f>
        <v/>
      </c>
    </row>
    <row r="805">
      <c r="A805" s="82">
        <f>IF(CriteriTecnici!$A704="","","    "&amp;CHAR(123)&amp;CHAR(34)&amp;"bidderId"&amp;CHAR(34)&amp;": "&amp;CHAR(34)&amp;SUBSTITUTE(CriteriTecnici!$A704,CHAR(34),"'")&amp;CHAR(34)&amp;", "&amp;CHAR(34)&amp;"lotId"&amp;CHAR(34)&amp;": "&amp;CHAR(34)&amp;SUBSTITUTE(CriteriTecnici!$C704,CHAR(34),"'")&amp;CHAR(34)&amp;", "&amp;CHAR(34)&amp;"criterionId"&amp;CHAR(34)&amp;": "&amp;CHAR(34)&amp;SUBSTITUTE(CriteriTecnici!$D704,CHAR(34),"'")&amp;CHAR(34)&amp;", "&amp;CHAR(34)&amp;"kind"&amp;CHAR(34)&amp;": "&amp;CHAR(34)&amp;SUBSTITUTE(CriteriTecnici!$F704,CHAR(34),"'")&amp;CHAR(34)&amp;", "&amp;CHAR(34)&amp;"value"&amp;CHAR(34)&amp;": "&amp;SUBSTITUTE(TRIM(ROUND(IFERROR(CriteriTecnici!$N704*1,IFERROR(NUMBERVALUE(CriteriTecnici!$N704,".",","),IFERROR(NUMBERVALUE(CriteriTecnici!$N704,",","."),0))),4)&amp;""),",",".")&amp;", "&amp;CHAR(34)&amp;"numerator"&amp;CHAR(34)&amp;": "&amp;SUBSTITUTE(TRIM(ROUND(IFERROR(CriteriTecnici!$K704*1,IFERROR(NUMBERVALUE(CriteriTecnici!$K704,".",","),IFERROR(NUMBERVALUE(CriteriTecnici!$K704,",","."),0))),4)&amp;""),",",".")&amp;", "&amp;CHAR(34)&amp;"denominator"&amp;CHAR(34)&amp;": "&amp;SUBSTITUTE(TRIM(ROUND(IFERROR(CriteriTecnici!$L704*1,IFERROR(NUMBERVALUE(CriteriTecnici!$L704,".",","),IFERROR(NUMBERVALUE(CriteriTecnici!$L704,",","."),0))),4)&amp;""),",",".")&amp;", "&amp;CHAR(34)&amp;"flag"&amp;CHAR(34)&amp;": "&amp;SUBSTITUTE(TRIM(ROUND(IFERROR(CriteriTecnici!$M704*1,IFERROR(NUMBERVALUE(CriteriTecnici!$M704,".",","),IFERROR(NUMBERVALUE(CriteriTecnici!$M704,",","."),0))),4)&amp;""),",",".")&amp;", "&amp;CHAR(34)&amp;"rawScore"&amp;CHAR(34)&amp;": "&amp;SUBSTITUTE(TRIM(ROUND(IFERROR(CriteriTecnici!$O704*1,IFERROR(NUMBERVALUE(CriteriTecnici!$O704,".",","),IFERROR(NUMBERVALUE(CriteriTecnici!$O704,",","."),0))),4)&amp;""),",",".")&amp;CHAR(125)&amp;IF(TRUE,",",""))</f>
        <v/>
      </c>
    </row>
    <row r="806">
      <c r="A806" s="82">
        <f>IF(CriteriTecnici!$A705="","","    "&amp;CHAR(123)&amp;CHAR(34)&amp;"bidderId"&amp;CHAR(34)&amp;": "&amp;CHAR(34)&amp;SUBSTITUTE(CriteriTecnici!$A705,CHAR(34),"'")&amp;CHAR(34)&amp;", "&amp;CHAR(34)&amp;"lotId"&amp;CHAR(34)&amp;": "&amp;CHAR(34)&amp;SUBSTITUTE(CriteriTecnici!$C705,CHAR(34),"'")&amp;CHAR(34)&amp;", "&amp;CHAR(34)&amp;"criterionId"&amp;CHAR(34)&amp;": "&amp;CHAR(34)&amp;SUBSTITUTE(CriteriTecnici!$D705,CHAR(34),"'")&amp;CHAR(34)&amp;", "&amp;CHAR(34)&amp;"kind"&amp;CHAR(34)&amp;": "&amp;CHAR(34)&amp;SUBSTITUTE(CriteriTecnici!$F705,CHAR(34),"'")&amp;CHAR(34)&amp;", "&amp;CHAR(34)&amp;"value"&amp;CHAR(34)&amp;": "&amp;SUBSTITUTE(TRIM(ROUND(IFERROR(CriteriTecnici!$N705*1,IFERROR(NUMBERVALUE(CriteriTecnici!$N705,".",","),IFERROR(NUMBERVALUE(CriteriTecnici!$N705,",","."),0))),4)&amp;""),",",".")&amp;", "&amp;CHAR(34)&amp;"numerator"&amp;CHAR(34)&amp;": "&amp;SUBSTITUTE(TRIM(ROUND(IFERROR(CriteriTecnici!$K705*1,IFERROR(NUMBERVALUE(CriteriTecnici!$K705,".",","),IFERROR(NUMBERVALUE(CriteriTecnici!$K705,",","."),0))),4)&amp;""),",",".")&amp;", "&amp;CHAR(34)&amp;"denominator"&amp;CHAR(34)&amp;": "&amp;SUBSTITUTE(TRIM(ROUND(IFERROR(CriteriTecnici!$L705*1,IFERROR(NUMBERVALUE(CriteriTecnici!$L705,".",","),IFERROR(NUMBERVALUE(CriteriTecnici!$L705,",","."),0))),4)&amp;""),",",".")&amp;", "&amp;CHAR(34)&amp;"flag"&amp;CHAR(34)&amp;": "&amp;SUBSTITUTE(TRIM(ROUND(IFERROR(CriteriTecnici!$M705*1,IFERROR(NUMBERVALUE(CriteriTecnici!$M705,".",","),IFERROR(NUMBERVALUE(CriteriTecnici!$M705,",","."),0))),4)&amp;""),",",".")&amp;", "&amp;CHAR(34)&amp;"rawScore"&amp;CHAR(34)&amp;": "&amp;SUBSTITUTE(TRIM(ROUND(IFERROR(CriteriTecnici!$O705*1,IFERROR(NUMBERVALUE(CriteriTecnici!$O705,".",","),IFERROR(NUMBERVALUE(CriteriTecnici!$O705,",","."),0))),4)&amp;""),",",".")&amp;CHAR(125)&amp;IF(TRUE,",",""))</f>
        <v/>
      </c>
    </row>
    <row r="807">
      <c r="A807" s="82">
        <f>IF(CriteriTecnici!$A706="","","    "&amp;CHAR(123)&amp;CHAR(34)&amp;"bidderId"&amp;CHAR(34)&amp;": "&amp;CHAR(34)&amp;SUBSTITUTE(CriteriTecnici!$A706,CHAR(34),"'")&amp;CHAR(34)&amp;", "&amp;CHAR(34)&amp;"lotId"&amp;CHAR(34)&amp;": "&amp;CHAR(34)&amp;SUBSTITUTE(CriteriTecnici!$C706,CHAR(34),"'")&amp;CHAR(34)&amp;", "&amp;CHAR(34)&amp;"criterionId"&amp;CHAR(34)&amp;": "&amp;CHAR(34)&amp;SUBSTITUTE(CriteriTecnici!$D706,CHAR(34),"'")&amp;CHAR(34)&amp;", "&amp;CHAR(34)&amp;"kind"&amp;CHAR(34)&amp;": "&amp;CHAR(34)&amp;SUBSTITUTE(CriteriTecnici!$F706,CHAR(34),"'")&amp;CHAR(34)&amp;", "&amp;CHAR(34)&amp;"value"&amp;CHAR(34)&amp;": "&amp;SUBSTITUTE(TRIM(ROUND(IFERROR(CriteriTecnici!$N706*1,IFERROR(NUMBERVALUE(CriteriTecnici!$N706,".",","),IFERROR(NUMBERVALUE(CriteriTecnici!$N706,",","."),0))),4)&amp;""),",",".")&amp;", "&amp;CHAR(34)&amp;"numerator"&amp;CHAR(34)&amp;": "&amp;SUBSTITUTE(TRIM(ROUND(IFERROR(CriteriTecnici!$K706*1,IFERROR(NUMBERVALUE(CriteriTecnici!$K706,".",","),IFERROR(NUMBERVALUE(CriteriTecnici!$K706,",","."),0))),4)&amp;""),",",".")&amp;", "&amp;CHAR(34)&amp;"denominator"&amp;CHAR(34)&amp;": "&amp;SUBSTITUTE(TRIM(ROUND(IFERROR(CriteriTecnici!$L706*1,IFERROR(NUMBERVALUE(CriteriTecnici!$L706,".",","),IFERROR(NUMBERVALUE(CriteriTecnici!$L706,",","."),0))),4)&amp;""),",",".")&amp;", "&amp;CHAR(34)&amp;"flag"&amp;CHAR(34)&amp;": "&amp;SUBSTITUTE(TRIM(ROUND(IFERROR(CriteriTecnici!$M706*1,IFERROR(NUMBERVALUE(CriteriTecnici!$M706,".",","),IFERROR(NUMBERVALUE(CriteriTecnici!$M706,",","."),0))),4)&amp;""),",",".")&amp;", "&amp;CHAR(34)&amp;"rawScore"&amp;CHAR(34)&amp;": "&amp;SUBSTITUTE(TRIM(ROUND(IFERROR(CriteriTecnici!$O706*1,IFERROR(NUMBERVALUE(CriteriTecnici!$O706,".",","),IFERROR(NUMBERVALUE(CriteriTecnici!$O706,",","."),0))),4)&amp;""),",",".")&amp;CHAR(125)&amp;IF(TRUE,",",""))</f>
        <v/>
      </c>
    </row>
    <row r="808">
      <c r="A808" s="82">
        <f>IF(CriteriTecnici!$A707="","","    "&amp;CHAR(123)&amp;CHAR(34)&amp;"bidderId"&amp;CHAR(34)&amp;": "&amp;CHAR(34)&amp;SUBSTITUTE(CriteriTecnici!$A707,CHAR(34),"'")&amp;CHAR(34)&amp;", "&amp;CHAR(34)&amp;"lotId"&amp;CHAR(34)&amp;": "&amp;CHAR(34)&amp;SUBSTITUTE(CriteriTecnici!$C707,CHAR(34),"'")&amp;CHAR(34)&amp;", "&amp;CHAR(34)&amp;"criterionId"&amp;CHAR(34)&amp;": "&amp;CHAR(34)&amp;SUBSTITUTE(CriteriTecnici!$D707,CHAR(34),"'")&amp;CHAR(34)&amp;", "&amp;CHAR(34)&amp;"kind"&amp;CHAR(34)&amp;": "&amp;CHAR(34)&amp;SUBSTITUTE(CriteriTecnici!$F707,CHAR(34),"'")&amp;CHAR(34)&amp;", "&amp;CHAR(34)&amp;"value"&amp;CHAR(34)&amp;": "&amp;SUBSTITUTE(TRIM(ROUND(IFERROR(CriteriTecnici!$N707*1,IFERROR(NUMBERVALUE(CriteriTecnici!$N707,".",","),IFERROR(NUMBERVALUE(CriteriTecnici!$N707,",","."),0))),4)&amp;""),",",".")&amp;", "&amp;CHAR(34)&amp;"numerator"&amp;CHAR(34)&amp;": "&amp;SUBSTITUTE(TRIM(ROUND(IFERROR(CriteriTecnici!$K707*1,IFERROR(NUMBERVALUE(CriteriTecnici!$K707,".",","),IFERROR(NUMBERVALUE(CriteriTecnici!$K707,",","."),0))),4)&amp;""),",",".")&amp;", "&amp;CHAR(34)&amp;"denominator"&amp;CHAR(34)&amp;": "&amp;SUBSTITUTE(TRIM(ROUND(IFERROR(CriteriTecnici!$L707*1,IFERROR(NUMBERVALUE(CriteriTecnici!$L707,".",","),IFERROR(NUMBERVALUE(CriteriTecnici!$L707,",","."),0))),4)&amp;""),",",".")&amp;", "&amp;CHAR(34)&amp;"flag"&amp;CHAR(34)&amp;": "&amp;SUBSTITUTE(TRIM(ROUND(IFERROR(CriteriTecnici!$M707*1,IFERROR(NUMBERVALUE(CriteriTecnici!$M707,".",","),IFERROR(NUMBERVALUE(CriteriTecnici!$M707,",","."),0))),4)&amp;""),",",".")&amp;", "&amp;CHAR(34)&amp;"rawScore"&amp;CHAR(34)&amp;": "&amp;SUBSTITUTE(TRIM(ROUND(IFERROR(CriteriTecnici!$O707*1,IFERROR(NUMBERVALUE(CriteriTecnici!$O707,".",","),IFERROR(NUMBERVALUE(CriteriTecnici!$O707,",","."),0))),4)&amp;""),",",".")&amp;CHAR(125)&amp;IF(TRUE,",",""))</f>
        <v/>
      </c>
    </row>
    <row r="809">
      <c r="A809" s="82">
        <f>IF(CriteriTecnici!$A708="","","    "&amp;CHAR(123)&amp;CHAR(34)&amp;"bidderId"&amp;CHAR(34)&amp;": "&amp;CHAR(34)&amp;SUBSTITUTE(CriteriTecnici!$A708,CHAR(34),"'")&amp;CHAR(34)&amp;", "&amp;CHAR(34)&amp;"lotId"&amp;CHAR(34)&amp;": "&amp;CHAR(34)&amp;SUBSTITUTE(CriteriTecnici!$C708,CHAR(34),"'")&amp;CHAR(34)&amp;", "&amp;CHAR(34)&amp;"criterionId"&amp;CHAR(34)&amp;": "&amp;CHAR(34)&amp;SUBSTITUTE(CriteriTecnici!$D708,CHAR(34),"'")&amp;CHAR(34)&amp;", "&amp;CHAR(34)&amp;"kind"&amp;CHAR(34)&amp;": "&amp;CHAR(34)&amp;SUBSTITUTE(CriteriTecnici!$F708,CHAR(34),"'")&amp;CHAR(34)&amp;", "&amp;CHAR(34)&amp;"value"&amp;CHAR(34)&amp;": "&amp;SUBSTITUTE(TRIM(ROUND(IFERROR(CriteriTecnici!$N708*1,IFERROR(NUMBERVALUE(CriteriTecnici!$N708,".",","),IFERROR(NUMBERVALUE(CriteriTecnici!$N708,",","."),0))),4)&amp;""),",",".")&amp;", "&amp;CHAR(34)&amp;"numerator"&amp;CHAR(34)&amp;": "&amp;SUBSTITUTE(TRIM(ROUND(IFERROR(CriteriTecnici!$K708*1,IFERROR(NUMBERVALUE(CriteriTecnici!$K708,".",","),IFERROR(NUMBERVALUE(CriteriTecnici!$K708,",","."),0))),4)&amp;""),",",".")&amp;", "&amp;CHAR(34)&amp;"denominator"&amp;CHAR(34)&amp;": "&amp;SUBSTITUTE(TRIM(ROUND(IFERROR(CriteriTecnici!$L708*1,IFERROR(NUMBERVALUE(CriteriTecnici!$L708,".",","),IFERROR(NUMBERVALUE(CriteriTecnici!$L708,",","."),0))),4)&amp;""),",",".")&amp;", "&amp;CHAR(34)&amp;"flag"&amp;CHAR(34)&amp;": "&amp;SUBSTITUTE(TRIM(ROUND(IFERROR(CriteriTecnici!$M708*1,IFERROR(NUMBERVALUE(CriteriTecnici!$M708,".",","),IFERROR(NUMBERVALUE(CriteriTecnici!$M708,",","."),0))),4)&amp;""),",",".")&amp;", "&amp;CHAR(34)&amp;"rawScore"&amp;CHAR(34)&amp;": "&amp;SUBSTITUTE(TRIM(ROUND(IFERROR(CriteriTecnici!$O708*1,IFERROR(NUMBERVALUE(CriteriTecnici!$O708,".",","),IFERROR(NUMBERVALUE(CriteriTecnici!$O708,",","."),0))),4)&amp;""),",",".")&amp;CHAR(125)&amp;IF(TRUE,",",""))</f>
        <v/>
      </c>
    </row>
    <row r="810">
      <c r="A810" s="82">
        <f>IF(CriteriTecnici!$A709="","","    "&amp;CHAR(123)&amp;CHAR(34)&amp;"bidderId"&amp;CHAR(34)&amp;": "&amp;CHAR(34)&amp;SUBSTITUTE(CriteriTecnici!$A709,CHAR(34),"'")&amp;CHAR(34)&amp;", "&amp;CHAR(34)&amp;"lotId"&amp;CHAR(34)&amp;": "&amp;CHAR(34)&amp;SUBSTITUTE(CriteriTecnici!$C709,CHAR(34),"'")&amp;CHAR(34)&amp;", "&amp;CHAR(34)&amp;"criterionId"&amp;CHAR(34)&amp;": "&amp;CHAR(34)&amp;SUBSTITUTE(CriteriTecnici!$D709,CHAR(34),"'")&amp;CHAR(34)&amp;", "&amp;CHAR(34)&amp;"kind"&amp;CHAR(34)&amp;": "&amp;CHAR(34)&amp;SUBSTITUTE(CriteriTecnici!$F709,CHAR(34),"'")&amp;CHAR(34)&amp;", "&amp;CHAR(34)&amp;"value"&amp;CHAR(34)&amp;": "&amp;SUBSTITUTE(TRIM(ROUND(IFERROR(CriteriTecnici!$N709*1,IFERROR(NUMBERVALUE(CriteriTecnici!$N709,".",","),IFERROR(NUMBERVALUE(CriteriTecnici!$N709,",","."),0))),4)&amp;""),",",".")&amp;", "&amp;CHAR(34)&amp;"numerator"&amp;CHAR(34)&amp;": "&amp;SUBSTITUTE(TRIM(ROUND(IFERROR(CriteriTecnici!$K709*1,IFERROR(NUMBERVALUE(CriteriTecnici!$K709,".",","),IFERROR(NUMBERVALUE(CriteriTecnici!$K709,",","."),0))),4)&amp;""),",",".")&amp;", "&amp;CHAR(34)&amp;"denominator"&amp;CHAR(34)&amp;": "&amp;SUBSTITUTE(TRIM(ROUND(IFERROR(CriteriTecnici!$L709*1,IFERROR(NUMBERVALUE(CriteriTecnici!$L709,".",","),IFERROR(NUMBERVALUE(CriteriTecnici!$L709,",","."),0))),4)&amp;""),",",".")&amp;", "&amp;CHAR(34)&amp;"flag"&amp;CHAR(34)&amp;": "&amp;SUBSTITUTE(TRIM(ROUND(IFERROR(CriteriTecnici!$M709*1,IFERROR(NUMBERVALUE(CriteriTecnici!$M709,".",","),IFERROR(NUMBERVALUE(CriteriTecnici!$M709,",","."),0))),4)&amp;""),",",".")&amp;", "&amp;CHAR(34)&amp;"rawScore"&amp;CHAR(34)&amp;": "&amp;SUBSTITUTE(TRIM(ROUND(IFERROR(CriteriTecnici!$O709*1,IFERROR(NUMBERVALUE(CriteriTecnici!$O709,".",","),IFERROR(NUMBERVALUE(CriteriTecnici!$O709,",","."),0))),4)&amp;""),",",".")&amp;CHAR(125)&amp;IF(TRUE,",",""))</f>
        <v/>
      </c>
    </row>
    <row r="811">
      <c r="A811" s="82">
        <f>IF(CriteriTecnici!$A710="","","    "&amp;CHAR(123)&amp;CHAR(34)&amp;"bidderId"&amp;CHAR(34)&amp;": "&amp;CHAR(34)&amp;SUBSTITUTE(CriteriTecnici!$A710,CHAR(34),"'")&amp;CHAR(34)&amp;", "&amp;CHAR(34)&amp;"lotId"&amp;CHAR(34)&amp;": "&amp;CHAR(34)&amp;SUBSTITUTE(CriteriTecnici!$C710,CHAR(34),"'")&amp;CHAR(34)&amp;", "&amp;CHAR(34)&amp;"criterionId"&amp;CHAR(34)&amp;": "&amp;CHAR(34)&amp;SUBSTITUTE(CriteriTecnici!$D710,CHAR(34),"'")&amp;CHAR(34)&amp;", "&amp;CHAR(34)&amp;"kind"&amp;CHAR(34)&amp;": "&amp;CHAR(34)&amp;SUBSTITUTE(CriteriTecnici!$F710,CHAR(34),"'")&amp;CHAR(34)&amp;", "&amp;CHAR(34)&amp;"value"&amp;CHAR(34)&amp;": "&amp;SUBSTITUTE(TRIM(ROUND(IFERROR(CriteriTecnici!$N710*1,IFERROR(NUMBERVALUE(CriteriTecnici!$N710,".",","),IFERROR(NUMBERVALUE(CriteriTecnici!$N710,",","."),0))),4)&amp;""),",",".")&amp;", "&amp;CHAR(34)&amp;"numerator"&amp;CHAR(34)&amp;": "&amp;SUBSTITUTE(TRIM(ROUND(IFERROR(CriteriTecnici!$K710*1,IFERROR(NUMBERVALUE(CriteriTecnici!$K710,".",","),IFERROR(NUMBERVALUE(CriteriTecnici!$K710,",","."),0))),4)&amp;""),",",".")&amp;", "&amp;CHAR(34)&amp;"denominator"&amp;CHAR(34)&amp;": "&amp;SUBSTITUTE(TRIM(ROUND(IFERROR(CriteriTecnici!$L710*1,IFERROR(NUMBERVALUE(CriteriTecnici!$L710,".",","),IFERROR(NUMBERVALUE(CriteriTecnici!$L710,",","."),0))),4)&amp;""),",",".")&amp;", "&amp;CHAR(34)&amp;"flag"&amp;CHAR(34)&amp;": "&amp;SUBSTITUTE(TRIM(ROUND(IFERROR(CriteriTecnici!$M710*1,IFERROR(NUMBERVALUE(CriteriTecnici!$M710,".",","),IFERROR(NUMBERVALUE(CriteriTecnici!$M710,",","."),0))),4)&amp;""),",",".")&amp;", "&amp;CHAR(34)&amp;"rawScore"&amp;CHAR(34)&amp;": "&amp;SUBSTITUTE(TRIM(ROUND(IFERROR(CriteriTecnici!$O710*1,IFERROR(NUMBERVALUE(CriteriTecnici!$O710,".",","),IFERROR(NUMBERVALUE(CriteriTecnici!$O710,",","."),0))),4)&amp;""),",",".")&amp;CHAR(125)&amp;IF(TRUE,",",""))</f>
        <v/>
      </c>
    </row>
    <row r="812">
      <c r="A812" s="82">
        <f>IF(CriteriTecnici!$A711="","","    "&amp;CHAR(123)&amp;CHAR(34)&amp;"bidderId"&amp;CHAR(34)&amp;": "&amp;CHAR(34)&amp;SUBSTITUTE(CriteriTecnici!$A711,CHAR(34),"'")&amp;CHAR(34)&amp;", "&amp;CHAR(34)&amp;"lotId"&amp;CHAR(34)&amp;": "&amp;CHAR(34)&amp;SUBSTITUTE(CriteriTecnici!$C711,CHAR(34),"'")&amp;CHAR(34)&amp;", "&amp;CHAR(34)&amp;"criterionId"&amp;CHAR(34)&amp;": "&amp;CHAR(34)&amp;SUBSTITUTE(CriteriTecnici!$D711,CHAR(34),"'")&amp;CHAR(34)&amp;", "&amp;CHAR(34)&amp;"kind"&amp;CHAR(34)&amp;": "&amp;CHAR(34)&amp;SUBSTITUTE(CriteriTecnici!$F711,CHAR(34),"'")&amp;CHAR(34)&amp;", "&amp;CHAR(34)&amp;"value"&amp;CHAR(34)&amp;": "&amp;SUBSTITUTE(TRIM(ROUND(IFERROR(CriteriTecnici!$N711*1,IFERROR(NUMBERVALUE(CriteriTecnici!$N711,".",","),IFERROR(NUMBERVALUE(CriteriTecnici!$N711,",","."),0))),4)&amp;""),",",".")&amp;", "&amp;CHAR(34)&amp;"numerator"&amp;CHAR(34)&amp;": "&amp;SUBSTITUTE(TRIM(ROUND(IFERROR(CriteriTecnici!$K711*1,IFERROR(NUMBERVALUE(CriteriTecnici!$K711,".",","),IFERROR(NUMBERVALUE(CriteriTecnici!$K711,",","."),0))),4)&amp;""),",",".")&amp;", "&amp;CHAR(34)&amp;"denominator"&amp;CHAR(34)&amp;": "&amp;SUBSTITUTE(TRIM(ROUND(IFERROR(CriteriTecnici!$L711*1,IFERROR(NUMBERVALUE(CriteriTecnici!$L711,".",","),IFERROR(NUMBERVALUE(CriteriTecnici!$L711,",","."),0))),4)&amp;""),",",".")&amp;", "&amp;CHAR(34)&amp;"flag"&amp;CHAR(34)&amp;": "&amp;SUBSTITUTE(TRIM(ROUND(IFERROR(CriteriTecnici!$M711*1,IFERROR(NUMBERVALUE(CriteriTecnici!$M711,".",","),IFERROR(NUMBERVALUE(CriteriTecnici!$M711,",","."),0))),4)&amp;""),",",".")&amp;", "&amp;CHAR(34)&amp;"rawScore"&amp;CHAR(34)&amp;": "&amp;SUBSTITUTE(TRIM(ROUND(IFERROR(CriteriTecnici!$O711*1,IFERROR(NUMBERVALUE(CriteriTecnici!$O711,".",","),IFERROR(NUMBERVALUE(CriteriTecnici!$O711,",","."),0))),4)&amp;""),",",".")&amp;CHAR(125)&amp;IF(TRUE,",",""))</f>
        <v/>
      </c>
    </row>
    <row r="813">
      <c r="A813" s="82">
        <f>IF(CriteriTecnici!$A712="","","    "&amp;CHAR(123)&amp;CHAR(34)&amp;"bidderId"&amp;CHAR(34)&amp;": "&amp;CHAR(34)&amp;SUBSTITUTE(CriteriTecnici!$A712,CHAR(34),"'")&amp;CHAR(34)&amp;", "&amp;CHAR(34)&amp;"lotId"&amp;CHAR(34)&amp;": "&amp;CHAR(34)&amp;SUBSTITUTE(CriteriTecnici!$C712,CHAR(34),"'")&amp;CHAR(34)&amp;", "&amp;CHAR(34)&amp;"criterionId"&amp;CHAR(34)&amp;": "&amp;CHAR(34)&amp;SUBSTITUTE(CriteriTecnici!$D712,CHAR(34),"'")&amp;CHAR(34)&amp;", "&amp;CHAR(34)&amp;"kind"&amp;CHAR(34)&amp;": "&amp;CHAR(34)&amp;SUBSTITUTE(CriteriTecnici!$F712,CHAR(34),"'")&amp;CHAR(34)&amp;", "&amp;CHAR(34)&amp;"value"&amp;CHAR(34)&amp;": "&amp;SUBSTITUTE(TRIM(ROUND(IFERROR(CriteriTecnici!$N712*1,IFERROR(NUMBERVALUE(CriteriTecnici!$N712,".",","),IFERROR(NUMBERVALUE(CriteriTecnici!$N712,",","."),0))),4)&amp;""),",",".")&amp;", "&amp;CHAR(34)&amp;"numerator"&amp;CHAR(34)&amp;": "&amp;SUBSTITUTE(TRIM(ROUND(IFERROR(CriteriTecnici!$K712*1,IFERROR(NUMBERVALUE(CriteriTecnici!$K712,".",","),IFERROR(NUMBERVALUE(CriteriTecnici!$K712,",","."),0))),4)&amp;""),",",".")&amp;", "&amp;CHAR(34)&amp;"denominator"&amp;CHAR(34)&amp;": "&amp;SUBSTITUTE(TRIM(ROUND(IFERROR(CriteriTecnici!$L712*1,IFERROR(NUMBERVALUE(CriteriTecnici!$L712,".",","),IFERROR(NUMBERVALUE(CriteriTecnici!$L712,",","."),0))),4)&amp;""),",",".")&amp;", "&amp;CHAR(34)&amp;"flag"&amp;CHAR(34)&amp;": "&amp;SUBSTITUTE(TRIM(ROUND(IFERROR(CriteriTecnici!$M712*1,IFERROR(NUMBERVALUE(CriteriTecnici!$M712,".",","),IFERROR(NUMBERVALUE(CriteriTecnici!$M712,",","."),0))),4)&amp;""),",",".")&amp;", "&amp;CHAR(34)&amp;"rawScore"&amp;CHAR(34)&amp;": "&amp;SUBSTITUTE(TRIM(ROUND(IFERROR(CriteriTecnici!$O712*1,IFERROR(NUMBERVALUE(CriteriTecnici!$O712,".",","),IFERROR(NUMBERVALUE(CriteriTecnici!$O712,",","."),0))),4)&amp;""),",",".")&amp;CHAR(125)&amp;IF(TRUE,",",""))</f>
        <v/>
      </c>
    </row>
    <row r="814">
      <c r="A814" s="82">
        <f>IF(CriteriTecnici!$A713="","","    "&amp;CHAR(123)&amp;CHAR(34)&amp;"bidderId"&amp;CHAR(34)&amp;": "&amp;CHAR(34)&amp;SUBSTITUTE(CriteriTecnici!$A713,CHAR(34),"'")&amp;CHAR(34)&amp;", "&amp;CHAR(34)&amp;"lotId"&amp;CHAR(34)&amp;": "&amp;CHAR(34)&amp;SUBSTITUTE(CriteriTecnici!$C713,CHAR(34),"'")&amp;CHAR(34)&amp;", "&amp;CHAR(34)&amp;"criterionId"&amp;CHAR(34)&amp;": "&amp;CHAR(34)&amp;SUBSTITUTE(CriteriTecnici!$D713,CHAR(34),"'")&amp;CHAR(34)&amp;", "&amp;CHAR(34)&amp;"kind"&amp;CHAR(34)&amp;": "&amp;CHAR(34)&amp;SUBSTITUTE(CriteriTecnici!$F713,CHAR(34),"'")&amp;CHAR(34)&amp;", "&amp;CHAR(34)&amp;"value"&amp;CHAR(34)&amp;": "&amp;SUBSTITUTE(TRIM(ROUND(IFERROR(CriteriTecnici!$N713*1,IFERROR(NUMBERVALUE(CriteriTecnici!$N713,".",","),IFERROR(NUMBERVALUE(CriteriTecnici!$N713,",","."),0))),4)&amp;""),",",".")&amp;", "&amp;CHAR(34)&amp;"numerator"&amp;CHAR(34)&amp;": "&amp;SUBSTITUTE(TRIM(ROUND(IFERROR(CriteriTecnici!$K713*1,IFERROR(NUMBERVALUE(CriteriTecnici!$K713,".",","),IFERROR(NUMBERVALUE(CriteriTecnici!$K713,",","."),0))),4)&amp;""),",",".")&amp;", "&amp;CHAR(34)&amp;"denominator"&amp;CHAR(34)&amp;": "&amp;SUBSTITUTE(TRIM(ROUND(IFERROR(CriteriTecnici!$L713*1,IFERROR(NUMBERVALUE(CriteriTecnici!$L713,".",","),IFERROR(NUMBERVALUE(CriteriTecnici!$L713,",","."),0))),4)&amp;""),",",".")&amp;", "&amp;CHAR(34)&amp;"flag"&amp;CHAR(34)&amp;": "&amp;SUBSTITUTE(TRIM(ROUND(IFERROR(CriteriTecnici!$M713*1,IFERROR(NUMBERVALUE(CriteriTecnici!$M713,".",","),IFERROR(NUMBERVALUE(CriteriTecnici!$M713,",","."),0))),4)&amp;""),",",".")&amp;", "&amp;CHAR(34)&amp;"rawScore"&amp;CHAR(34)&amp;": "&amp;SUBSTITUTE(TRIM(ROUND(IFERROR(CriteriTecnici!$O713*1,IFERROR(NUMBERVALUE(CriteriTecnici!$O713,".",","),IFERROR(NUMBERVALUE(CriteriTecnici!$O713,",","."),0))),4)&amp;""),",",".")&amp;CHAR(125)&amp;IF(TRUE,",",""))</f>
        <v/>
      </c>
    </row>
    <row r="815">
      <c r="A815" s="82">
        <f>IF(CriteriTecnici!$A714="","","    "&amp;CHAR(123)&amp;CHAR(34)&amp;"bidderId"&amp;CHAR(34)&amp;": "&amp;CHAR(34)&amp;SUBSTITUTE(CriteriTecnici!$A714,CHAR(34),"'")&amp;CHAR(34)&amp;", "&amp;CHAR(34)&amp;"lotId"&amp;CHAR(34)&amp;": "&amp;CHAR(34)&amp;SUBSTITUTE(CriteriTecnici!$C714,CHAR(34),"'")&amp;CHAR(34)&amp;", "&amp;CHAR(34)&amp;"criterionId"&amp;CHAR(34)&amp;": "&amp;CHAR(34)&amp;SUBSTITUTE(CriteriTecnici!$D714,CHAR(34),"'")&amp;CHAR(34)&amp;", "&amp;CHAR(34)&amp;"kind"&amp;CHAR(34)&amp;": "&amp;CHAR(34)&amp;SUBSTITUTE(CriteriTecnici!$F714,CHAR(34),"'")&amp;CHAR(34)&amp;", "&amp;CHAR(34)&amp;"value"&amp;CHAR(34)&amp;": "&amp;SUBSTITUTE(TRIM(ROUND(IFERROR(CriteriTecnici!$N714*1,IFERROR(NUMBERVALUE(CriteriTecnici!$N714,".",","),IFERROR(NUMBERVALUE(CriteriTecnici!$N714,",","."),0))),4)&amp;""),",",".")&amp;", "&amp;CHAR(34)&amp;"numerator"&amp;CHAR(34)&amp;": "&amp;SUBSTITUTE(TRIM(ROUND(IFERROR(CriteriTecnici!$K714*1,IFERROR(NUMBERVALUE(CriteriTecnici!$K714,".",","),IFERROR(NUMBERVALUE(CriteriTecnici!$K714,",","."),0))),4)&amp;""),",",".")&amp;", "&amp;CHAR(34)&amp;"denominator"&amp;CHAR(34)&amp;": "&amp;SUBSTITUTE(TRIM(ROUND(IFERROR(CriteriTecnici!$L714*1,IFERROR(NUMBERVALUE(CriteriTecnici!$L714,".",","),IFERROR(NUMBERVALUE(CriteriTecnici!$L714,",","."),0))),4)&amp;""),",",".")&amp;", "&amp;CHAR(34)&amp;"flag"&amp;CHAR(34)&amp;": "&amp;SUBSTITUTE(TRIM(ROUND(IFERROR(CriteriTecnici!$M714*1,IFERROR(NUMBERVALUE(CriteriTecnici!$M714,".",","),IFERROR(NUMBERVALUE(CriteriTecnici!$M714,",","."),0))),4)&amp;""),",",".")&amp;", "&amp;CHAR(34)&amp;"rawScore"&amp;CHAR(34)&amp;": "&amp;SUBSTITUTE(TRIM(ROUND(IFERROR(CriteriTecnici!$O714*1,IFERROR(NUMBERVALUE(CriteriTecnici!$O714,".",","),IFERROR(NUMBERVALUE(CriteriTecnici!$O714,",","."),0))),4)&amp;""),",",".")&amp;CHAR(125)&amp;IF(TRUE,",",""))</f>
        <v/>
      </c>
    </row>
    <row r="816">
      <c r="A816" s="82">
        <f>IF(CriteriTecnici!$A715="","","    "&amp;CHAR(123)&amp;CHAR(34)&amp;"bidderId"&amp;CHAR(34)&amp;": "&amp;CHAR(34)&amp;SUBSTITUTE(CriteriTecnici!$A715,CHAR(34),"'")&amp;CHAR(34)&amp;", "&amp;CHAR(34)&amp;"lotId"&amp;CHAR(34)&amp;": "&amp;CHAR(34)&amp;SUBSTITUTE(CriteriTecnici!$C715,CHAR(34),"'")&amp;CHAR(34)&amp;", "&amp;CHAR(34)&amp;"criterionId"&amp;CHAR(34)&amp;": "&amp;CHAR(34)&amp;SUBSTITUTE(CriteriTecnici!$D715,CHAR(34),"'")&amp;CHAR(34)&amp;", "&amp;CHAR(34)&amp;"kind"&amp;CHAR(34)&amp;": "&amp;CHAR(34)&amp;SUBSTITUTE(CriteriTecnici!$F715,CHAR(34),"'")&amp;CHAR(34)&amp;", "&amp;CHAR(34)&amp;"value"&amp;CHAR(34)&amp;": "&amp;SUBSTITUTE(TRIM(ROUND(IFERROR(CriteriTecnici!$N715*1,IFERROR(NUMBERVALUE(CriteriTecnici!$N715,".",","),IFERROR(NUMBERVALUE(CriteriTecnici!$N715,",","."),0))),4)&amp;""),",",".")&amp;", "&amp;CHAR(34)&amp;"numerator"&amp;CHAR(34)&amp;": "&amp;SUBSTITUTE(TRIM(ROUND(IFERROR(CriteriTecnici!$K715*1,IFERROR(NUMBERVALUE(CriteriTecnici!$K715,".",","),IFERROR(NUMBERVALUE(CriteriTecnici!$K715,",","."),0))),4)&amp;""),",",".")&amp;", "&amp;CHAR(34)&amp;"denominator"&amp;CHAR(34)&amp;": "&amp;SUBSTITUTE(TRIM(ROUND(IFERROR(CriteriTecnici!$L715*1,IFERROR(NUMBERVALUE(CriteriTecnici!$L715,".",","),IFERROR(NUMBERVALUE(CriteriTecnici!$L715,",","."),0))),4)&amp;""),",",".")&amp;", "&amp;CHAR(34)&amp;"flag"&amp;CHAR(34)&amp;": "&amp;SUBSTITUTE(TRIM(ROUND(IFERROR(CriteriTecnici!$M715*1,IFERROR(NUMBERVALUE(CriteriTecnici!$M715,".",","),IFERROR(NUMBERVALUE(CriteriTecnici!$M715,",","."),0))),4)&amp;""),",",".")&amp;", "&amp;CHAR(34)&amp;"rawScore"&amp;CHAR(34)&amp;": "&amp;SUBSTITUTE(TRIM(ROUND(IFERROR(CriteriTecnici!$O715*1,IFERROR(NUMBERVALUE(CriteriTecnici!$O715,".",","),IFERROR(NUMBERVALUE(CriteriTecnici!$O715,",","."),0))),4)&amp;""),",",".")&amp;CHAR(125)&amp;IF(TRUE,",",""))</f>
        <v/>
      </c>
    </row>
    <row r="817">
      <c r="A817" s="82">
        <f>IF(CriteriTecnici!$A716="","","    "&amp;CHAR(123)&amp;CHAR(34)&amp;"bidderId"&amp;CHAR(34)&amp;": "&amp;CHAR(34)&amp;SUBSTITUTE(CriteriTecnici!$A716,CHAR(34),"'")&amp;CHAR(34)&amp;", "&amp;CHAR(34)&amp;"lotId"&amp;CHAR(34)&amp;": "&amp;CHAR(34)&amp;SUBSTITUTE(CriteriTecnici!$C716,CHAR(34),"'")&amp;CHAR(34)&amp;", "&amp;CHAR(34)&amp;"criterionId"&amp;CHAR(34)&amp;": "&amp;CHAR(34)&amp;SUBSTITUTE(CriteriTecnici!$D716,CHAR(34),"'")&amp;CHAR(34)&amp;", "&amp;CHAR(34)&amp;"kind"&amp;CHAR(34)&amp;": "&amp;CHAR(34)&amp;SUBSTITUTE(CriteriTecnici!$F716,CHAR(34),"'")&amp;CHAR(34)&amp;", "&amp;CHAR(34)&amp;"value"&amp;CHAR(34)&amp;": "&amp;SUBSTITUTE(TRIM(ROUND(IFERROR(CriteriTecnici!$N716*1,IFERROR(NUMBERVALUE(CriteriTecnici!$N716,".",","),IFERROR(NUMBERVALUE(CriteriTecnici!$N716,",","."),0))),4)&amp;""),",",".")&amp;", "&amp;CHAR(34)&amp;"numerator"&amp;CHAR(34)&amp;": "&amp;SUBSTITUTE(TRIM(ROUND(IFERROR(CriteriTecnici!$K716*1,IFERROR(NUMBERVALUE(CriteriTecnici!$K716,".",","),IFERROR(NUMBERVALUE(CriteriTecnici!$K716,",","."),0))),4)&amp;""),",",".")&amp;", "&amp;CHAR(34)&amp;"denominator"&amp;CHAR(34)&amp;": "&amp;SUBSTITUTE(TRIM(ROUND(IFERROR(CriteriTecnici!$L716*1,IFERROR(NUMBERVALUE(CriteriTecnici!$L716,".",","),IFERROR(NUMBERVALUE(CriteriTecnici!$L716,",","."),0))),4)&amp;""),",",".")&amp;", "&amp;CHAR(34)&amp;"flag"&amp;CHAR(34)&amp;": "&amp;SUBSTITUTE(TRIM(ROUND(IFERROR(CriteriTecnici!$M716*1,IFERROR(NUMBERVALUE(CriteriTecnici!$M716,".",","),IFERROR(NUMBERVALUE(CriteriTecnici!$M716,",","."),0))),4)&amp;""),",",".")&amp;", "&amp;CHAR(34)&amp;"rawScore"&amp;CHAR(34)&amp;": "&amp;SUBSTITUTE(TRIM(ROUND(IFERROR(CriteriTecnici!$O716*1,IFERROR(NUMBERVALUE(CriteriTecnici!$O716,".",","),IFERROR(NUMBERVALUE(CriteriTecnici!$O716,",","."),0))),4)&amp;""),",",".")&amp;CHAR(125)&amp;IF(TRUE,",",""))</f>
        <v/>
      </c>
    </row>
    <row r="818">
      <c r="A818" s="82">
        <f>IF(CriteriTecnici!$A717="","","    "&amp;CHAR(123)&amp;CHAR(34)&amp;"bidderId"&amp;CHAR(34)&amp;": "&amp;CHAR(34)&amp;SUBSTITUTE(CriteriTecnici!$A717,CHAR(34),"'")&amp;CHAR(34)&amp;", "&amp;CHAR(34)&amp;"lotId"&amp;CHAR(34)&amp;": "&amp;CHAR(34)&amp;SUBSTITUTE(CriteriTecnici!$C717,CHAR(34),"'")&amp;CHAR(34)&amp;", "&amp;CHAR(34)&amp;"criterionId"&amp;CHAR(34)&amp;": "&amp;CHAR(34)&amp;SUBSTITUTE(CriteriTecnici!$D717,CHAR(34),"'")&amp;CHAR(34)&amp;", "&amp;CHAR(34)&amp;"kind"&amp;CHAR(34)&amp;": "&amp;CHAR(34)&amp;SUBSTITUTE(CriteriTecnici!$F717,CHAR(34),"'")&amp;CHAR(34)&amp;", "&amp;CHAR(34)&amp;"value"&amp;CHAR(34)&amp;": "&amp;SUBSTITUTE(TRIM(ROUND(IFERROR(CriteriTecnici!$N717*1,IFERROR(NUMBERVALUE(CriteriTecnici!$N717,".",","),IFERROR(NUMBERVALUE(CriteriTecnici!$N717,",","."),0))),4)&amp;""),",",".")&amp;", "&amp;CHAR(34)&amp;"numerator"&amp;CHAR(34)&amp;": "&amp;SUBSTITUTE(TRIM(ROUND(IFERROR(CriteriTecnici!$K717*1,IFERROR(NUMBERVALUE(CriteriTecnici!$K717,".",","),IFERROR(NUMBERVALUE(CriteriTecnici!$K717,",","."),0))),4)&amp;""),",",".")&amp;", "&amp;CHAR(34)&amp;"denominator"&amp;CHAR(34)&amp;": "&amp;SUBSTITUTE(TRIM(ROUND(IFERROR(CriteriTecnici!$L717*1,IFERROR(NUMBERVALUE(CriteriTecnici!$L717,".",","),IFERROR(NUMBERVALUE(CriteriTecnici!$L717,",","."),0))),4)&amp;""),",",".")&amp;", "&amp;CHAR(34)&amp;"flag"&amp;CHAR(34)&amp;": "&amp;SUBSTITUTE(TRIM(ROUND(IFERROR(CriteriTecnici!$M717*1,IFERROR(NUMBERVALUE(CriteriTecnici!$M717,".",","),IFERROR(NUMBERVALUE(CriteriTecnici!$M717,",","."),0))),4)&amp;""),",",".")&amp;", "&amp;CHAR(34)&amp;"rawScore"&amp;CHAR(34)&amp;": "&amp;SUBSTITUTE(TRIM(ROUND(IFERROR(CriteriTecnici!$O717*1,IFERROR(NUMBERVALUE(CriteriTecnici!$O717,".",","),IFERROR(NUMBERVALUE(CriteriTecnici!$O717,",","."),0))),4)&amp;""),",",".")&amp;CHAR(125)&amp;IF(COUNTA(Offerte!$A25:$A$81)&gt;0,",",""))</f>
        <v/>
      </c>
    </row>
    <row r="819">
      <c r="A819" s="82">
        <f>IF(CriteriTecnici!$A718="","","    "&amp;CHAR(123)&amp;CHAR(34)&amp;"bidderId"&amp;CHAR(34)&amp;": "&amp;CHAR(34)&amp;SUBSTITUTE(CriteriTecnici!$A718,CHAR(34),"'")&amp;CHAR(34)&amp;", "&amp;CHAR(34)&amp;"lotId"&amp;CHAR(34)&amp;": "&amp;CHAR(34)&amp;SUBSTITUTE(CriteriTecnici!$C718,CHAR(34),"'")&amp;CHAR(34)&amp;", "&amp;CHAR(34)&amp;"criterionId"&amp;CHAR(34)&amp;": "&amp;CHAR(34)&amp;SUBSTITUTE(CriteriTecnici!$D718,CHAR(34),"'")&amp;CHAR(34)&amp;", "&amp;CHAR(34)&amp;"kind"&amp;CHAR(34)&amp;": "&amp;CHAR(34)&amp;SUBSTITUTE(CriteriTecnici!$F718,CHAR(34),"'")&amp;CHAR(34)&amp;", "&amp;CHAR(34)&amp;"value"&amp;CHAR(34)&amp;": "&amp;SUBSTITUTE(TRIM(ROUND(IFERROR(CriteriTecnici!$N718*1,IFERROR(NUMBERVALUE(CriteriTecnici!$N718,".",","),IFERROR(NUMBERVALUE(CriteriTecnici!$N718,",","."),0))),4)&amp;""),",",".")&amp;", "&amp;CHAR(34)&amp;"numerator"&amp;CHAR(34)&amp;": "&amp;SUBSTITUTE(TRIM(ROUND(IFERROR(CriteriTecnici!$K718*1,IFERROR(NUMBERVALUE(CriteriTecnici!$K718,".",","),IFERROR(NUMBERVALUE(CriteriTecnici!$K718,",","."),0))),4)&amp;""),",",".")&amp;", "&amp;CHAR(34)&amp;"denominator"&amp;CHAR(34)&amp;": "&amp;SUBSTITUTE(TRIM(ROUND(IFERROR(CriteriTecnici!$L718*1,IFERROR(NUMBERVALUE(CriteriTecnici!$L718,".",","),IFERROR(NUMBERVALUE(CriteriTecnici!$L718,",","."),0))),4)&amp;""),",",".")&amp;", "&amp;CHAR(34)&amp;"flag"&amp;CHAR(34)&amp;": "&amp;SUBSTITUTE(TRIM(ROUND(IFERROR(CriteriTecnici!$M718*1,IFERROR(NUMBERVALUE(CriteriTecnici!$M718,".",","),IFERROR(NUMBERVALUE(CriteriTecnici!$M718,",","."),0))),4)&amp;""),",",".")&amp;", "&amp;CHAR(34)&amp;"rawScore"&amp;CHAR(34)&amp;": "&amp;SUBSTITUTE(TRIM(ROUND(IFERROR(CriteriTecnici!$O718*1,IFERROR(NUMBERVALUE(CriteriTecnici!$O718,".",","),IFERROR(NUMBERVALUE(CriteriTecnici!$O718,",","."),0))),4)&amp;""),",",".")&amp;CHAR(125)&amp;IF(TRUE,",",""))</f>
        <v/>
      </c>
    </row>
    <row r="820">
      <c r="A820" s="82">
        <f>IF(CriteriTecnici!$A719="","","    "&amp;CHAR(123)&amp;CHAR(34)&amp;"bidderId"&amp;CHAR(34)&amp;": "&amp;CHAR(34)&amp;SUBSTITUTE(CriteriTecnici!$A719,CHAR(34),"'")&amp;CHAR(34)&amp;", "&amp;CHAR(34)&amp;"lotId"&amp;CHAR(34)&amp;": "&amp;CHAR(34)&amp;SUBSTITUTE(CriteriTecnici!$C719,CHAR(34),"'")&amp;CHAR(34)&amp;", "&amp;CHAR(34)&amp;"criterionId"&amp;CHAR(34)&amp;": "&amp;CHAR(34)&amp;SUBSTITUTE(CriteriTecnici!$D719,CHAR(34),"'")&amp;CHAR(34)&amp;", "&amp;CHAR(34)&amp;"kind"&amp;CHAR(34)&amp;": "&amp;CHAR(34)&amp;SUBSTITUTE(CriteriTecnici!$F719,CHAR(34),"'")&amp;CHAR(34)&amp;", "&amp;CHAR(34)&amp;"value"&amp;CHAR(34)&amp;": "&amp;SUBSTITUTE(TRIM(ROUND(IFERROR(CriteriTecnici!$N719*1,IFERROR(NUMBERVALUE(CriteriTecnici!$N719,".",","),IFERROR(NUMBERVALUE(CriteriTecnici!$N719,",","."),0))),4)&amp;""),",",".")&amp;", "&amp;CHAR(34)&amp;"numerator"&amp;CHAR(34)&amp;": "&amp;SUBSTITUTE(TRIM(ROUND(IFERROR(CriteriTecnici!$K719*1,IFERROR(NUMBERVALUE(CriteriTecnici!$K719,".",","),IFERROR(NUMBERVALUE(CriteriTecnici!$K719,",","."),0))),4)&amp;""),",",".")&amp;", "&amp;CHAR(34)&amp;"denominator"&amp;CHAR(34)&amp;": "&amp;SUBSTITUTE(TRIM(ROUND(IFERROR(CriteriTecnici!$L719*1,IFERROR(NUMBERVALUE(CriteriTecnici!$L719,".",","),IFERROR(NUMBERVALUE(CriteriTecnici!$L719,",","."),0))),4)&amp;""),",",".")&amp;", "&amp;CHAR(34)&amp;"flag"&amp;CHAR(34)&amp;": "&amp;SUBSTITUTE(TRIM(ROUND(IFERROR(CriteriTecnici!$M719*1,IFERROR(NUMBERVALUE(CriteriTecnici!$M719,".",","),IFERROR(NUMBERVALUE(CriteriTecnici!$M719,",","."),0))),4)&amp;""),",",".")&amp;", "&amp;CHAR(34)&amp;"rawScore"&amp;CHAR(34)&amp;": "&amp;SUBSTITUTE(TRIM(ROUND(IFERROR(CriteriTecnici!$O719*1,IFERROR(NUMBERVALUE(CriteriTecnici!$O719,".",","),IFERROR(NUMBERVALUE(CriteriTecnici!$O719,",","."),0))),4)&amp;""),",",".")&amp;CHAR(125)&amp;IF(TRUE,",",""))</f>
        <v/>
      </c>
    </row>
    <row r="821">
      <c r="A821" s="82">
        <f>IF(CriteriTecnici!$A720="","","    "&amp;CHAR(123)&amp;CHAR(34)&amp;"bidderId"&amp;CHAR(34)&amp;": "&amp;CHAR(34)&amp;SUBSTITUTE(CriteriTecnici!$A720,CHAR(34),"'")&amp;CHAR(34)&amp;", "&amp;CHAR(34)&amp;"lotId"&amp;CHAR(34)&amp;": "&amp;CHAR(34)&amp;SUBSTITUTE(CriteriTecnici!$C720,CHAR(34),"'")&amp;CHAR(34)&amp;", "&amp;CHAR(34)&amp;"criterionId"&amp;CHAR(34)&amp;": "&amp;CHAR(34)&amp;SUBSTITUTE(CriteriTecnici!$D720,CHAR(34),"'")&amp;CHAR(34)&amp;", "&amp;CHAR(34)&amp;"kind"&amp;CHAR(34)&amp;": "&amp;CHAR(34)&amp;SUBSTITUTE(CriteriTecnici!$F720,CHAR(34),"'")&amp;CHAR(34)&amp;", "&amp;CHAR(34)&amp;"value"&amp;CHAR(34)&amp;": "&amp;SUBSTITUTE(TRIM(ROUND(IFERROR(CriteriTecnici!$N720*1,IFERROR(NUMBERVALUE(CriteriTecnici!$N720,".",","),IFERROR(NUMBERVALUE(CriteriTecnici!$N720,",","."),0))),4)&amp;""),",",".")&amp;", "&amp;CHAR(34)&amp;"numerator"&amp;CHAR(34)&amp;": "&amp;SUBSTITUTE(TRIM(ROUND(IFERROR(CriteriTecnici!$K720*1,IFERROR(NUMBERVALUE(CriteriTecnici!$K720,".",","),IFERROR(NUMBERVALUE(CriteriTecnici!$K720,",","."),0))),4)&amp;""),",",".")&amp;", "&amp;CHAR(34)&amp;"denominator"&amp;CHAR(34)&amp;": "&amp;SUBSTITUTE(TRIM(ROUND(IFERROR(CriteriTecnici!$L720*1,IFERROR(NUMBERVALUE(CriteriTecnici!$L720,".",","),IFERROR(NUMBERVALUE(CriteriTecnici!$L720,",","."),0))),4)&amp;""),",",".")&amp;", "&amp;CHAR(34)&amp;"flag"&amp;CHAR(34)&amp;": "&amp;SUBSTITUTE(TRIM(ROUND(IFERROR(CriteriTecnici!$M720*1,IFERROR(NUMBERVALUE(CriteriTecnici!$M720,".",","),IFERROR(NUMBERVALUE(CriteriTecnici!$M720,",","."),0))),4)&amp;""),",",".")&amp;", "&amp;CHAR(34)&amp;"rawScore"&amp;CHAR(34)&amp;": "&amp;SUBSTITUTE(TRIM(ROUND(IFERROR(CriteriTecnici!$O720*1,IFERROR(NUMBERVALUE(CriteriTecnici!$O720,".",","),IFERROR(NUMBERVALUE(CriteriTecnici!$O720,",","."),0))),4)&amp;""),",",".")&amp;CHAR(125)&amp;IF(TRUE,",",""))</f>
        <v/>
      </c>
    </row>
    <row r="822">
      <c r="A822" s="82">
        <f>IF(CriteriTecnici!$A721="","","    "&amp;CHAR(123)&amp;CHAR(34)&amp;"bidderId"&amp;CHAR(34)&amp;": "&amp;CHAR(34)&amp;SUBSTITUTE(CriteriTecnici!$A721,CHAR(34),"'")&amp;CHAR(34)&amp;", "&amp;CHAR(34)&amp;"lotId"&amp;CHAR(34)&amp;": "&amp;CHAR(34)&amp;SUBSTITUTE(CriteriTecnici!$C721,CHAR(34),"'")&amp;CHAR(34)&amp;", "&amp;CHAR(34)&amp;"criterionId"&amp;CHAR(34)&amp;": "&amp;CHAR(34)&amp;SUBSTITUTE(CriteriTecnici!$D721,CHAR(34),"'")&amp;CHAR(34)&amp;", "&amp;CHAR(34)&amp;"kind"&amp;CHAR(34)&amp;": "&amp;CHAR(34)&amp;SUBSTITUTE(CriteriTecnici!$F721,CHAR(34),"'")&amp;CHAR(34)&amp;", "&amp;CHAR(34)&amp;"value"&amp;CHAR(34)&amp;": "&amp;SUBSTITUTE(TRIM(ROUND(IFERROR(CriteriTecnici!$N721*1,IFERROR(NUMBERVALUE(CriteriTecnici!$N721,".",","),IFERROR(NUMBERVALUE(CriteriTecnici!$N721,",","."),0))),4)&amp;""),",",".")&amp;", "&amp;CHAR(34)&amp;"numerator"&amp;CHAR(34)&amp;": "&amp;SUBSTITUTE(TRIM(ROUND(IFERROR(CriteriTecnici!$K721*1,IFERROR(NUMBERVALUE(CriteriTecnici!$K721,".",","),IFERROR(NUMBERVALUE(CriteriTecnici!$K721,",","."),0))),4)&amp;""),",",".")&amp;", "&amp;CHAR(34)&amp;"denominator"&amp;CHAR(34)&amp;": "&amp;SUBSTITUTE(TRIM(ROUND(IFERROR(CriteriTecnici!$L721*1,IFERROR(NUMBERVALUE(CriteriTecnici!$L721,".",","),IFERROR(NUMBERVALUE(CriteriTecnici!$L721,",","."),0))),4)&amp;""),",",".")&amp;", "&amp;CHAR(34)&amp;"flag"&amp;CHAR(34)&amp;": "&amp;SUBSTITUTE(TRIM(ROUND(IFERROR(CriteriTecnici!$M721*1,IFERROR(NUMBERVALUE(CriteriTecnici!$M721,".",","),IFERROR(NUMBERVALUE(CriteriTecnici!$M721,",","."),0))),4)&amp;""),",",".")&amp;", "&amp;CHAR(34)&amp;"rawScore"&amp;CHAR(34)&amp;": "&amp;SUBSTITUTE(TRIM(ROUND(IFERROR(CriteriTecnici!$O721*1,IFERROR(NUMBERVALUE(CriteriTecnici!$O721,".",","),IFERROR(NUMBERVALUE(CriteriTecnici!$O721,",","."),0))),4)&amp;""),",",".")&amp;CHAR(125)&amp;IF(TRUE,",",""))</f>
        <v/>
      </c>
    </row>
    <row r="823">
      <c r="A823" s="82">
        <f>IF(CriteriTecnici!$A722="","","    "&amp;CHAR(123)&amp;CHAR(34)&amp;"bidderId"&amp;CHAR(34)&amp;": "&amp;CHAR(34)&amp;SUBSTITUTE(CriteriTecnici!$A722,CHAR(34),"'")&amp;CHAR(34)&amp;", "&amp;CHAR(34)&amp;"lotId"&amp;CHAR(34)&amp;": "&amp;CHAR(34)&amp;SUBSTITUTE(CriteriTecnici!$C722,CHAR(34),"'")&amp;CHAR(34)&amp;", "&amp;CHAR(34)&amp;"criterionId"&amp;CHAR(34)&amp;": "&amp;CHAR(34)&amp;SUBSTITUTE(CriteriTecnici!$D722,CHAR(34),"'")&amp;CHAR(34)&amp;", "&amp;CHAR(34)&amp;"kind"&amp;CHAR(34)&amp;": "&amp;CHAR(34)&amp;SUBSTITUTE(CriteriTecnici!$F722,CHAR(34),"'")&amp;CHAR(34)&amp;", "&amp;CHAR(34)&amp;"value"&amp;CHAR(34)&amp;": "&amp;SUBSTITUTE(TRIM(ROUND(IFERROR(CriteriTecnici!$N722*1,IFERROR(NUMBERVALUE(CriteriTecnici!$N722,".",","),IFERROR(NUMBERVALUE(CriteriTecnici!$N722,",","."),0))),4)&amp;""),",",".")&amp;", "&amp;CHAR(34)&amp;"numerator"&amp;CHAR(34)&amp;": "&amp;SUBSTITUTE(TRIM(ROUND(IFERROR(CriteriTecnici!$K722*1,IFERROR(NUMBERVALUE(CriteriTecnici!$K722,".",","),IFERROR(NUMBERVALUE(CriteriTecnici!$K722,",","."),0))),4)&amp;""),",",".")&amp;", "&amp;CHAR(34)&amp;"denominator"&amp;CHAR(34)&amp;": "&amp;SUBSTITUTE(TRIM(ROUND(IFERROR(CriteriTecnici!$L722*1,IFERROR(NUMBERVALUE(CriteriTecnici!$L722,".",","),IFERROR(NUMBERVALUE(CriteriTecnici!$L722,",","."),0))),4)&amp;""),",",".")&amp;", "&amp;CHAR(34)&amp;"flag"&amp;CHAR(34)&amp;": "&amp;SUBSTITUTE(TRIM(ROUND(IFERROR(CriteriTecnici!$M722*1,IFERROR(NUMBERVALUE(CriteriTecnici!$M722,".",","),IFERROR(NUMBERVALUE(CriteriTecnici!$M722,",","."),0))),4)&amp;""),",",".")&amp;", "&amp;CHAR(34)&amp;"rawScore"&amp;CHAR(34)&amp;": "&amp;SUBSTITUTE(TRIM(ROUND(IFERROR(CriteriTecnici!$O722*1,IFERROR(NUMBERVALUE(CriteriTecnici!$O722,".",","),IFERROR(NUMBERVALUE(CriteriTecnici!$O722,",","."),0))),4)&amp;""),",",".")&amp;CHAR(125)&amp;IF(TRUE,",",""))</f>
        <v/>
      </c>
    </row>
    <row r="824">
      <c r="A824" s="82">
        <f>IF(CriteriTecnici!$A723="","","    "&amp;CHAR(123)&amp;CHAR(34)&amp;"bidderId"&amp;CHAR(34)&amp;": "&amp;CHAR(34)&amp;SUBSTITUTE(CriteriTecnici!$A723,CHAR(34),"'")&amp;CHAR(34)&amp;", "&amp;CHAR(34)&amp;"lotId"&amp;CHAR(34)&amp;": "&amp;CHAR(34)&amp;SUBSTITUTE(CriteriTecnici!$C723,CHAR(34),"'")&amp;CHAR(34)&amp;", "&amp;CHAR(34)&amp;"criterionId"&amp;CHAR(34)&amp;": "&amp;CHAR(34)&amp;SUBSTITUTE(CriteriTecnici!$D723,CHAR(34),"'")&amp;CHAR(34)&amp;", "&amp;CHAR(34)&amp;"kind"&amp;CHAR(34)&amp;": "&amp;CHAR(34)&amp;SUBSTITUTE(CriteriTecnici!$F723,CHAR(34),"'")&amp;CHAR(34)&amp;", "&amp;CHAR(34)&amp;"value"&amp;CHAR(34)&amp;": "&amp;SUBSTITUTE(TRIM(ROUND(IFERROR(CriteriTecnici!$N723*1,IFERROR(NUMBERVALUE(CriteriTecnici!$N723,".",","),IFERROR(NUMBERVALUE(CriteriTecnici!$N723,",","."),0))),4)&amp;""),",",".")&amp;", "&amp;CHAR(34)&amp;"numerator"&amp;CHAR(34)&amp;": "&amp;SUBSTITUTE(TRIM(ROUND(IFERROR(CriteriTecnici!$K723*1,IFERROR(NUMBERVALUE(CriteriTecnici!$K723,".",","),IFERROR(NUMBERVALUE(CriteriTecnici!$K723,",","."),0))),4)&amp;""),",",".")&amp;", "&amp;CHAR(34)&amp;"denominator"&amp;CHAR(34)&amp;": "&amp;SUBSTITUTE(TRIM(ROUND(IFERROR(CriteriTecnici!$L723*1,IFERROR(NUMBERVALUE(CriteriTecnici!$L723,".",","),IFERROR(NUMBERVALUE(CriteriTecnici!$L723,",","."),0))),4)&amp;""),",",".")&amp;", "&amp;CHAR(34)&amp;"flag"&amp;CHAR(34)&amp;": "&amp;SUBSTITUTE(TRIM(ROUND(IFERROR(CriteriTecnici!$M723*1,IFERROR(NUMBERVALUE(CriteriTecnici!$M723,".",","),IFERROR(NUMBERVALUE(CriteriTecnici!$M723,",","."),0))),4)&amp;""),",",".")&amp;", "&amp;CHAR(34)&amp;"rawScore"&amp;CHAR(34)&amp;": "&amp;SUBSTITUTE(TRIM(ROUND(IFERROR(CriteriTecnici!$O723*1,IFERROR(NUMBERVALUE(CriteriTecnici!$O723,".",","),IFERROR(NUMBERVALUE(CriteriTecnici!$O723,",","."),0))),4)&amp;""),",",".")&amp;CHAR(125)&amp;IF(TRUE,",",""))</f>
        <v/>
      </c>
    </row>
    <row r="825">
      <c r="A825" s="82">
        <f>IF(CriteriTecnici!$A724="","","    "&amp;CHAR(123)&amp;CHAR(34)&amp;"bidderId"&amp;CHAR(34)&amp;": "&amp;CHAR(34)&amp;SUBSTITUTE(CriteriTecnici!$A724,CHAR(34),"'")&amp;CHAR(34)&amp;", "&amp;CHAR(34)&amp;"lotId"&amp;CHAR(34)&amp;": "&amp;CHAR(34)&amp;SUBSTITUTE(CriteriTecnici!$C724,CHAR(34),"'")&amp;CHAR(34)&amp;", "&amp;CHAR(34)&amp;"criterionId"&amp;CHAR(34)&amp;": "&amp;CHAR(34)&amp;SUBSTITUTE(CriteriTecnici!$D724,CHAR(34),"'")&amp;CHAR(34)&amp;", "&amp;CHAR(34)&amp;"kind"&amp;CHAR(34)&amp;": "&amp;CHAR(34)&amp;SUBSTITUTE(CriteriTecnici!$F724,CHAR(34),"'")&amp;CHAR(34)&amp;", "&amp;CHAR(34)&amp;"value"&amp;CHAR(34)&amp;": "&amp;SUBSTITUTE(TRIM(ROUND(IFERROR(CriteriTecnici!$N724*1,IFERROR(NUMBERVALUE(CriteriTecnici!$N724,".",","),IFERROR(NUMBERVALUE(CriteriTecnici!$N724,",","."),0))),4)&amp;""),",",".")&amp;", "&amp;CHAR(34)&amp;"numerator"&amp;CHAR(34)&amp;": "&amp;SUBSTITUTE(TRIM(ROUND(IFERROR(CriteriTecnici!$K724*1,IFERROR(NUMBERVALUE(CriteriTecnici!$K724,".",","),IFERROR(NUMBERVALUE(CriteriTecnici!$K724,",","."),0))),4)&amp;""),",",".")&amp;", "&amp;CHAR(34)&amp;"denominator"&amp;CHAR(34)&amp;": "&amp;SUBSTITUTE(TRIM(ROUND(IFERROR(CriteriTecnici!$L724*1,IFERROR(NUMBERVALUE(CriteriTecnici!$L724,".",","),IFERROR(NUMBERVALUE(CriteriTecnici!$L724,",","."),0))),4)&amp;""),",",".")&amp;", "&amp;CHAR(34)&amp;"flag"&amp;CHAR(34)&amp;": "&amp;SUBSTITUTE(TRIM(ROUND(IFERROR(CriteriTecnici!$M724*1,IFERROR(NUMBERVALUE(CriteriTecnici!$M724,".",","),IFERROR(NUMBERVALUE(CriteriTecnici!$M724,",","."),0))),4)&amp;""),",",".")&amp;", "&amp;CHAR(34)&amp;"rawScore"&amp;CHAR(34)&amp;": "&amp;SUBSTITUTE(TRIM(ROUND(IFERROR(CriteriTecnici!$O724*1,IFERROR(NUMBERVALUE(CriteriTecnici!$O724,".",","),IFERROR(NUMBERVALUE(CriteriTecnici!$O724,",","."),0))),4)&amp;""),",",".")&amp;CHAR(125)&amp;IF(TRUE,",",""))</f>
        <v/>
      </c>
    </row>
    <row r="826">
      <c r="A826" s="82">
        <f>IF(CriteriTecnici!$A725="","","    "&amp;CHAR(123)&amp;CHAR(34)&amp;"bidderId"&amp;CHAR(34)&amp;": "&amp;CHAR(34)&amp;SUBSTITUTE(CriteriTecnici!$A725,CHAR(34),"'")&amp;CHAR(34)&amp;", "&amp;CHAR(34)&amp;"lotId"&amp;CHAR(34)&amp;": "&amp;CHAR(34)&amp;SUBSTITUTE(CriteriTecnici!$C725,CHAR(34),"'")&amp;CHAR(34)&amp;", "&amp;CHAR(34)&amp;"criterionId"&amp;CHAR(34)&amp;": "&amp;CHAR(34)&amp;SUBSTITUTE(CriteriTecnici!$D725,CHAR(34),"'")&amp;CHAR(34)&amp;", "&amp;CHAR(34)&amp;"kind"&amp;CHAR(34)&amp;": "&amp;CHAR(34)&amp;SUBSTITUTE(CriteriTecnici!$F725,CHAR(34),"'")&amp;CHAR(34)&amp;", "&amp;CHAR(34)&amp;"value"&amp;CHAR(34)&amp;": "&amp;SUBSTITUTE(TRIM(ROUND(IFERROR(CriteriTecnici!$N725*1,IFERROR(NUMBERVALUE(CriteriTecnici!$N725,".",","),IFERROR(NUMBERVALUE(CriteriTecnici!$N725,",","."),0))),4)&amp;""),",",".")&amp;", "&amp;CHAR(34)&amp;"numerator"&amp;CHAR(34)&amp;": "&amp;SUBSTITUTE(TRIM(ROUND(IFERROR(CriteriTecnici!$K725*1,IFERROR(NUMBERVALUE(CriteriTecnici!$K725,".",","),IFERROR(NUMBERVALUE(CriteriTecnici!$K725,",","."),0))),4)&amp;""),",",".")&amp;", "&amp;CHAR(34)&amp;"denominator"&amp;CHAR(34)&amp;": "&amp;SUBSTITUTE(TRIM(ROUND(IFERROR(CriteriTecnici!$L725*1,IFERROR(NUMBERVALUE(CriteriTecnici!$L725,".",","),IFERROR(NUMBERVALUE(CriteriTecnici!$L725,",","."),0))),4)&amp;""),",",".")&amp;", "&amp;CHAR(34)&amp;"flag"&amp;CHAR(34)&amp;": "&amp;SUBSTITUTE(TRIM(ROUND(IFERROR(CriteriTecnici!$M725*1,IFERROR(NUMBERVALUE(CriteriTecnici!$M725,".",","),IFERROR(NUMBERVALUE(CriteriTecnici!$M725,",","."),0))),4)&amp;""),",",".")&amp;", "&amp;CHAR(34)&amp;"rawScore"&amp;CHAR(34)&amp;": "&amp;SUBSTITUTE(TRIM(ROUND(IFERROR(CriteriTecnici!$O725*1,IFERROR(NUMBERVALUE(CriteriTecnici!$O725,".",","),IFERROR(NUMBERVALUE(CriteriTecnici!$O725,",","."),0))),4)&amp;""),",",".")&amp;CHAR(125)&amp;IF(TRUE,",",""))</f>
        <v/>
      </c>
    </row>
    <row r="827">
      <c r="A827" s="82">
        <f>IF(CriteriTecnici!$A726="","","    "&amp;CHAR(123)&amp;CHAR(34)&amp;"bidderId"&amp;CHAR(34)&amp;": "&amp;CHAR(34)&amp;SUBSTITUTE(CriteriTecnici!$A726,CHAR(34),"'")&amp;CHAR(34)&amp;", "&amp;CHAR(34)&amp;"lotId"&amp;CHAR(34)&amp;": "&amp;CHAR(34)&amp;SUBSTITUTE(CriteriTecnici!$C726,CHAR(34),"'")&amp;CHAR(34)&amp;", "&amp;CHAR(34)&amp;"criterionId"&amp;CHAR(34)&amp;": "&amp;CHAR(34)&amp;SUBSTITUTE(CriteriTecnici!$D726,CHAR(34),"'")&amp;CHAR(34)&amp;", "&amp;CHAR(34)&amp;"kind"&amp;CHAR(34)&amp;": "&amp;CHAR(34)&amp;SUBSTITUTE(CriteriTecnici!$F726,CHAR(34),"'")&amp;CHAR(34)&amp;", "&amp;CHAR(34)&amp;"value"&amp;CHAR(34)&amp;": "&amp;SUBSTITUTE(TRIM(ROUND(IFERROR(CriteriTecnici!$N726*1,IFERROR(NUMBERVALUE(CriteriTecnici!$N726,".",","),IFERROR(NUMBERVALUE(CriteriTecnici!$N726,",","."),0))),4)&amp;""),",",".")&amp;", "&amp;CHAR(34)&amp;"numerator"&amp;CHAR(34)&amp;": "&amp;SUBSTITUTE(TRIM(ROUND(IFERROR(CriteriTecnici!$K726*1,IFERROR(NUMBERVALUE(CriteriTecnici!$K726,".",","),IFERROR(NUMBERVALUE(CriteriTecnici!$K726,",","."),0))),4)&amp;""),",",".")&amp;", "&amp;CHAR(34)&amp;"denominator"&amp;CHAR(34)&amp;": "&amp;SUBSTITUTE(TRIM(ROUND(IFERROR(CriteriTecnici!$L726*1,IFERROR(NUMBERVALUE(CriteriTecnici!$L726,".",","),IFERROR(NUMBERVALUE(CriteriTecnici!$L726,",","."),0))),4)&amp;""),",",".")&amp;", "&amp;CHAR(34)&amp;"flag"&amp;CHAR(34)&amp;": "&amp;SUBSTITUTE(TRIM(ROUND(IFERROR(CriteriTecnici!$M726*1,IFERROR(NUMBERVALUE(CriteriTecnici!$M726,".",","),IFERROR(NUMBERVALUE(CriteriTecnici!$M726,",","."),0))),4)&amp;""),",",".")&amp;", "&amp;CHAR(34)&amp;"rawScore"&amp;CHAR(34)&amp;": "&amp;SUBSTITUTE(TRIM(ROUND(IFERROR(CriteriTecnici!$O726*1,IFERROR(NUMBERVALUE(CriteriTecnici!$O726,".",","),IFERROR(NUMBERVALUE(CriteriTecnici!$O726,",","."),0))),4)&amp;""),",",".")&amp;CHAR(125)&amp;IF(TRUE,",",""))</f>
        <v/>
      </c>
    </row>
    <row r="828">
      <c r="A828" s="82">
        <f>IF(CriteriTecnici!$A727="","","    "&amp;CHAR(123)&amp;CHAR(34)&amp;"bidderId"&amp;CHAR(34)&amp;": "&amp;CHAR(34)&amp;SUBSTITUTE(CriteriTecnici!$A727,CHAR(34),"'")&amp;CHAR(34)&amp;", "&amp;CHAR(34)&amp;"lotId"&amp;CHAR(34)&amp;": "&amp;CHAR(34)&amp;SUBSTITUTE(CriteriTecnici!$C727,CHAR(34),"'")&amp;CHAR(34)&amp;", "&amp;CHAR(34)&amp;"criterionId"&amp;CHAR(34)&amp;": "&amp;CHAR(34)&amp;SUBSTITUTE(CriteriTecnici!$D727,CHAR(34),"'")&amp;CHAR(34)&amp;", "&amp;CHAR(34)&amp;"kind"&amp;CHAR(34)&amp;": "&amp;CHAR(34)&amp;SUBSTITUTE(CriteriTecnici!$F727,CHAR(34),"'")&amp;CHAR(34)&amp;", "&amp;CHAR(34)&amp;"value"&amp;CHAR(34)&amp;": "&amp;SUBSTITUTE(TRIM(ROUND(IFERROR(CriteriTecnici!$N727*1,IFERROR(NUMBERVALUE(CriteriTecnici!$N727,".",","),IFERROR(NUMBERVALUE(CriteriTecnici!$N727,",","."),0))),4)&amp;""),",",".")&amp;", "&amp;CHAR(34)&amp;"numerator"&amp;CHAR(34)&amp;": "&amp;SUBSTITUTE(TRIM(ROUND(IFERROR(CriteriTecnici!$K727*1,IFERROR(NUMBERVALUE(CriteriTecnici!$K727,".",","),IFERROR(NUMBERVALUE(CriteriTecnici!$K727,",","."),0))),4)&amp;""),",",".")&amp;", "&amp;CHAR(34)&amp;"denominator"&amp;CHAR(34)&amp;": "&amp;SUBSTITUTE(TRIM(ROUND(IFERROR(CriteriTecnici!$L727*1,IFERROR(NUMBERVALUE(CriteriTecnici!$L727,".",","),IFERROR(NUMBERVALUE(CriteriTecnici!$L727,",","."),0))),4)&amp;""),",",".")&amp;", "&amp;CHAR(34)&amp;"flag"&amp;CHAR(34)&amp;": "&amp;SUBSTITUTE(TRIM(ROUND(IFERROR(CriteriTecnici!$M727*1,IFERROR(NUMBERVALUE(CriteriTecnici!$M727,".",","),IFERROR(NUMBERVALUE(CriteriTecnici!$M727,",","."),0))),4)&amp;""),",",".")&amp;", "&amp;CHAR(34)&amp;"rawScore"&amp;CHAR(34)&amp;": "&amp;SUBSTITUTE(TRIM(ROUND(IFERROR(CriteriTecnici!$O727*1,IFERROR(NUMBERVALUE(CriteriTecnici!$O727,".",","),IFERROR(NUMBERVALUE(CriteriTecnici!$O727,",","."),0))),4)&amp;""),",",".")&amp;CHAR(125)&amp;IF(TRUE,",",""))</f>
        <v/>
      </c>
    </row>
    <row r="829">
      <c r="A829" s="82">
        <f>IF(CriteriTecnici!$A728="","","    "&amp;CHAR(123)&amp;CHAR(34)&amp;"bidderId"&amp;CHAR(34)&amp;": "&amp;CHAR(34)&amp;SUBSTITUTE(CriteriTecnici!$A728,CHAR(34),"'")&amp;CHAR(34)&amp;", "&amp;CHAR(34)&amp;"lotId"&amp;CHAR(34)&amp;": "&amp;CHAR(34)&amp;SUBSTITUTE(CriteriTecnici!$C728,CHAR(34),"'")&amp;CHAR(34)&amp;", "&amp;CHAR(34)&amp;"criterionId"&amp;CHAR(34)&amp;": "&amp;CHAR(34)&amp;SUBSTITUTE(CriteriTecnici!$D728,CHAR(34),"'")&amp;CHAR(34)&amp;", "&amp;CHAR(34)&amp;"kind"&amp;CHAR(34)&amp;": "&amp;CHAR(34)&amp;SUBSTITUTE(CriteriTecnici!$F728,CHAR(34),"'")&amp;CHAR(34)&amp;", "&amp;CHAR(34)&amp;"value"&amp;CHAR(34)&amp;": "&amp;SUBSTITUTE(TRIM(ROUND(IFERROR(CriteriTecnici!$N728*1,IFERROR(NUMBERVALUE(CriteriTecnici!$N728,".",","),IFERROR(NUMBERVALUE(CriteriTecnici!$N728,",","."),0))),4)&amp;""),",",".")&amp;", "&amp;CHAR(34)&amp;"numerator"&amp;CHAR(34)&amp;": "&amp;SUBSTITUTE(TRIM(ROUND(IFERROR(CriteriTecnici!$K728*1,IFERROR(NUMBERVALUE(CriteriTecnici!$K728,".",","),IFERROR(NUMBERVALUE(CriteriTecnici!$K728,",","."),0))),4)&amp;""),",",".")&amp;", "&amp;CHAR(34)&amp;"denominator"&amp;CHAR(34)&amp;": "&amp;SUBSTITUTE(TRIM(ROUND(IFERROR(CriteriTecnici!$L728*1,IFERROR(NUMBERVALUE(CriteriTecnici!$L728,".",","),IFERROR(NUMBERVALUE(CriteriTecnici!$L728,",","."),0))),4)&amp;""),",",".")&amp;", "&amp;CHAR(34)&amp;"flag"&amp;CHAR(34)&amp;": "&amp;SUBSTITUTE(TRIM(ROUND(IFERROR(CriteriTecnici!$M728*1,IFERROR(NUMBERVALUE(CriteriTecnici!$M728,".",","),IFERROR(NUMBERVALUE(CriteriTecnici!$M728,",","."),0))),4)&amp;""),",",".")&amp;", "&amp;CHAR(34)&amp;"rawScore"&amp;CHAR(34)&amp;": "&amp;SUBSTITUTE(TRIM(ROUND(IFERROR(CriteriTecnici!$O728*1,IFERROR(NUMBERVALUE(CriteriTecnici!$O728,".",","),IFERROR(NUMBERVALUE(CriteriTecnici!$O728,",","."),0))),4)&amp;""),",",".")&amp;CHAR(125)&amp;IF(TRUE,",",""))</f>
        <v/>
      </c>
    </row>
    <row r="830">
      <c r="A830" s="82">
        <f>IF(CriteriTecnici!$A729="","","    "&amp;CHAR(123)&amp;CHAR(34)&amp;"bidderId"&amp;CHAR(34)&amp;": "&amp;CHAR(34)&amp;SUBSTITUTE(CriteriTecnici!$A729,CHAR(34),"'")&amp;CHAR(34)&amp;", "&amp;CHAR(34)&amp;"lotId"&amp;CHAR(34)&amp;": "&amp;CHAR(34)&amp;SUBSTITUTE(CriteriTecnici!$C729,CHAR(34),"'")&amp;CHAR(34)&amp;", "&amp;CHAR(34)&amp;"criterionId"&amp;CHAR(34)&amp;": "&amp;CHAR(34)&amp;SUBSTITUTE(CriteriTecnici!$D729,CHAR(34),"'")&amp;CHAR(34)&amp;", "&amp;CHAR(34)&amp;"kind"&amp;CHAR(34)&amp;": "&amp;CHAR(34)&amp;SUBSTITUTE(CriteriTecnici!$F729,CHAR(34),"'")&amp;CHAR(34)&amp;", "&amp;CHAR(34)&amp;"value"&amp;CHAR(34)&amp;": "&amp;SUBSTITUTE(TRIM(ROUND(IFERROR(CriteriTecnici!$N729*1,IFERROR(NUMBERVALUE(CriteriTecnici!$N729,".",","),IFERROR(NUMBERVALUE(CriteriTecnici!$N729,",","."),0))),4)&amp;""),",",".")&amp;", "&amp;CHAR(34)&amp;"numerator"&amp;CHAR(34)&amp;": "&amp;SUBSTITUTE(TRIM(ROUND(IFERROR(CriteriTecnici!$K729*1,IFERROR(NUMBERVALUE(CriteriTecnici!$K729,".",","),IFERROR(NUMBERVALUE(CriteriTecnici!$K729,",","."),0))),4)&amp;""),",",".")&amp;", "&amp;CHAR(34)&amp;"denominator"&amp;CHAR(34)&amp;": "&amp;SUBSTITUTE(TRIM(ROUND(IFERROR(CriteriTecnici!$L729*1,IFERROR(NUMBERVALUE(CriteriTecnici!$L729,".",","),IFERROR(NUMBERVALUE(CriteriTecnici!$L729,",","."),0))),4)&amp;""),",",".")&amp;", "&amp;CHAR(34)&amp;"flag"&amp;CHAR(34)&amp;": "&amp;SUBSTITUTE(TRIM(ROUND(IFERROR(CriteriTecnici!$M729*1,IFERROR(NUMBERVALUE(CriteriTecnici!$M729,".",","),IFERROR(NUMBERVALUE(CriteriTecnici!$M729,",","."),0))),4)&amp;""),",",".")&amp;", "&amp;CHAR(34)&amp;"rawScore"&amp;CHAR(34)&amp;": "&amp;SUBSTITUTE(TRIM(ROUND(IFERROR(CriteriTecnici!$O729*1,IFERROR(NUMBERVALUE(CriteriTecnici!$O729,".",","),IFERROR(NUMBERVALUE(CriteriTecnici!$O729,",","."),0))),4)&amp;""),",",".")&amp;CHAR(125)&amp;IF(TRUE,",",""))</f>
        <v/>
      </c>
    </row>
    <row r="831">
      <c r="A831" s="82">
        <f>IF(CriteriTecnici!$A730="","","    "&amp;CHAR(123)&amp;CHAR(34)&amp;"bidderId"&amp;CHAR(34)&amp;": "&amp;CHAR(34)&amp;SUBSTITUTE(CriteriTecnici!$A730,CHAR(34),"'")&amp;CHAR(34)&amp;", "&amp;CHAR(34)&amp;"lotId"&amp;CHAR(34)&amp;": "&amp;CHAR(34)&amp;SUBSTITUTE(CriteriTecnici!$C730,CHAR(34),"'")&amp;CHAR(34)&amp;", "&amp;CHAR(34)&amp;"criterionId"&amp;CHAR(34)&amp;": "&amp;CHAR(34)&amp;SUBSTITUTE(CriteriTecnici!$D730,CHAR(34),"'")&amp;CHAR(34)&amp;", "&amp;CHAR(34)&amp;"kind"&amp;CHAR(34)&amp;": "&amp;CHAR(34)&amp;SUBSTITUTE(CriteriTecnici!$F730,CHAR(34),"'")&amp;CHAR(34)&amp;", "&amp;CHAR(34)&amp;"value"&amp;CHAR(34)&amp;": "&amp;SUBSTITUTE(TRIM(ROUND(IFERROR(CriteriTecnici!$N730*1,IFERROR(NUMBERVALUE(CriteriTecnici!$N730,".",","),IFERROR(NUMBERVALUE(CriteriTecnici!$N730,",","."),0))),4)&amp;""),",",".")&amp;", "&amp;CHAR(34)&amp;"numerator"&amp;CHAR(34)&amp;": "&amp;SUBSTITUTE(TRIM(ROUND(IFERROR(CriteriTecnici!$K730*1,IFERROR(NUMBERVALUE(CriteriTecnici!$K730,".",","),IFERROR(NUMBERVALUE(CriteriTecnici!$K730,",","."),0))),4)&amp;""),",",".")&amp;", "&amp;CHAR(34)&amp;"denominator"&amp;CHAR(34)&amp;": "&amp;SUBSTITUTE(TRIM(ROUND(IFERROR(CriteriTecnici!$L730*1,IFERROR(NUMBERVALUE(CriteriTecnici!$L730,".",","),IFERROR(NUMBERVALUE(CriteriTecnici!$L730,",","."),0))),4)&amp;""),",",".")&amp;", "&amp;CHAR(34)&amp;"flag"&amp;CHAR(34)&amp;": "&amp;SUBSTITUTE(TRIM(ROUND(IFERROR(CriteriTecnici!$M730*1,IFERROR(NUMBERVALUE(CriteriTecnici!$M730,".",","),IFERROR(NUMBERVALUE(CriteriTecnici!$M730,",","."),0))),4)&amp;""),",",".")&amp;", "&amp;CHAR(34)&amp;"rawScore"&amp;CHAR(34)&amp;": "&amp;SUBSTITUTE(TRIM(ROUND(IFERROR(CriteriTecnici!$O730*1,IFERROR(NUMBERVALUE(CriteriTecnici!$O730,".",","),IFERROR(NUMBERVALUE(CriteriTecnici!$O730,",","."),0))),4)&amp;""),",",".")&amp;CHAR(125)&amp;IF(TRUE,",",""))</f>
        <v/>
      </c>
    </row>
    <row r="832">
      <c r="A832" s="82">
        <f>IF(CriteriTecnici!$A731="","","    "&amp;CHAR(123)&amp;CHAR(34)&amp;"bidderId"&amp;CHAR(34)&amp;": "&amp;CHAR(34)&amp;SUBSTITUTE(CriteriTecnici!$A731,CHAR(34),"'")&amp;CHAR(34)&amp;", "&amp;CHAR(34)&amp;"lotId"&amp;CHAR(34)&amp;": "&amp;CHAR(34)&amp;SUBSTITUTE(CriteriTecnici!$C731,CHAR(34),"'")&amp;CHAR(34)&amp;", "&amp;CHAR(34)&amp;"criterionId"&amp;CHAR(34)&amp;": "&amp;CHAR(34)&amp;SUBSTITUTE(CriteriTecnici!$D731,CHAR(34),"'")&amp;CHAR(34)&amp;", "&amp;CHAR(34)&amp;"kind"&amp;CHAR(34)&amp;": "&amp;CHAR(34)&amp;SUBSTITUTE(CriteriTecnici!$F731,CHAR(34),"'")&amp;CHAR(34)&amp;", "&amp;CHAR(34)&amp;"value"&amp;CHAR(34)&amp;": "&amp;SUBSTITUTE(TRIM(ROUND(IFERROR(CriteriTecnici!$N731*1,IFERROR(NUMBERVALUE(CriteriTecnici!$N731,".",","),IFERROR(NUMBERVALUE(CriteriTecnici!$N731,",","."),0))),4)&amp;""),",",".")&amp;", "&amp;CHAR(34)&amp;"numerator"&amp;CHAR(34)&amp;": "&amp;SUBSTITUTE(TRIM(ROUND(IFERROR(CriteriTecnici!$K731*1,IFERROR(NUMBERVALUE(CriteriTecnici!$K731,".",","),IFERROR(NUMBERVALUE(CriteriTecnici!$K731,",","."),0))),4)&amp;""),",",".")&amp;", "&amp;CHAR(34)&amp;"denominator"&amp;CHAR(34)&amp;": "&amp;SUBSTITUTE(TRIM(ROUND(IFERROR(CriteriTecnici!$L731*1,IFERROR(NUMBERVALUE(CriteriTecnici!$L731,".",","),IFERROR(NUMBERVALUE(CriteriTecnici!$L731,",","."),0))),4)&amp;""),",",".")&amp;", "&amp;CHAR(34)&amp;"flag"&amp;CHAR(34)&amp;": "&amp;SUBSTITUTE(TRIM(ROUND(IFERROR(CriteriTecnici!$M731*1,IFERROR(NUMBERVALUE(CriteriTecnici!$M731,".",","),IFERROR(NUMBERVALUE(CriteriTecnici!$M731,",","."),0))),4)&amp;""),",",".")&amp;", "&amp;CHAR(34)&amp;"rawScore"&amp;CHAR(34)&amp;": "&amp;SUBSTITUTE(TRIM(ROUND(IFERROR(CriteriTecnici!$O731*1,IFERROR(NUMBERVALUE(CriteriTecnici!$O731,".",","),IFERROR(NUMBERVALUE(CriteriTecnici!$O731,",","."),0))),4)&amp;""),",",".")&amp;CHAR(125)&amp;IF(TRUE,",",""))</f>
        <v/>
      </c>
    </row>
    <row r="833">
      <c r="A833" s="82">
        <f>IF(CriteriTecnici!$A732="","","    "&amp;CHAR(123)&amp;CHAR(34)&amp;"bidderId"&amp;CHAR(34)&amp;": "&amp;CHAR(34)&amp;SUBSTITUTE(CriteriTecnici!$A732,CHAR(34),"'")&amp;CHAR(34)&amp;", "&amp;CHAR(34)&amp;"lotId"&amp;CHAR(34)&amp;": "&amp;CHAR(34)&amp;SUBSTITUTE(CriteriTecnici!$C732,CHAR(34),"'")&amp;CHAR(34)&amp;", "&amp;CHAR(34)&amp;"criterionId"&amp;CHAR(34)&amp;": "&amp;CHAR(34)&amp;SUBSTITUTE(CriteriTecnici!$D732,CHAR(34),"'")&amp;CHAR(34)&amp;", "&amp;CHAR(34)&amp;"kind"&amp;CHAR(34)&amp;": "&amp;CHAR(34)&amp;SUBSTITUTE(CriteriTecnici!$F732,CHAR(34),"'")&amp;CHAR(34)&amp;", "&amp;CHAR(34)&amp;"value"&amp;CHAR(34)&amp;": "&amp;SUBSTITUTE(TRIM(ROUND(IFERROR(CriteriTecnici!$N732*1,IFERROR(NUMBERVALUE(CriteriTecnici!$N732,".",","),IFERROR(NUMBERVALUE(CriteriTecnici!$N732,",","."),0))),4)&amp;""),",",".")&amp;", "&amp;CHAR(34)&amp;"numerator"&amp;CHAR(34)&amp;": "&amp;SUBSTITUTE(TRIM(ROUND(IFERROR(CriteriTecnici!$K732*1,IFERROR(NUMBERVALUE(CriteriTecnici!$K732,".",","),IFERROR(NUMBERVALUE(CriteriTecnici!$K732,",","."),0))),4)&amp;""),",",".")&amp;", "&amp;CHAR(34)&amp;"denominator"&amp;CHAR(34)&amp;": "&amp;SUBSTITUTE(TRIM(ROUND(IFERROR(CriteriTecnici!$L732*1,IFERROR(NUMBERVALUE(CriteriTecnici!$L732,".",","),IFERROR(NUMBERVALUE(CriteriTecnici!$L732,",","."),0))),4)&amp;""),",",".")&amp;", "&amp;CHAR(34)&amp;"flag"&amp;CHAR(34)&amp;": "&amp;SUBSTITUTE(TRIM(ROUND(IFERROR(CriteriTecnici!$M732*1,IFERROR(NUMBERVALUE(CriteriTecnici!$M732,".",","),IFERROR(NUMBERVALUE(CriteriTecnici!$M732,",","."),0))),4)&amp;""),",",".")&amp;", "&amp;CHAR(34)&amp;"rawScore"&amp;CHAR(34)&amp;": "&amp;SUBSTITUTE(TRIM(ROUND(IFERROR(CriteriTecnici!$O732*1,IFERROR(NUMBERVALUE(CriteriTecnici!$O732,".",","),IFERROR(NUMBERVALUE(CriteriTecnici!$O732,",","."),0))),4)&amp;""),",",".")&amp;CHAR(125)&amp;IF(TRUE,",",""))</f>
        <v/>
      </c>
    </row>
    <row r="834">
      <c r="A834" s="82">
        <f>IF(CriteriTecnici!$A733="","","    "&amp;CHAR(123)&amp;CHAR(34)&amp;"bidderId"&amp;CHAR(34)&amp;": "&amp;CHAR(34)&amp;SUBSTITUTE(CriteriTecnici!$A733,CHAR(34),"'")&amp;CHAR(34)&amp;", "&amp;CHAR(34)&amp;"lotId"&amp;CHAR(34)&amp;": "&amp;CHAR(34)&amp;SUBSTITUTE(CriteriTecnici!$C733,CHAR(34),"'")&amp;CHAR(34)&amp;", "&amp;CHAR(34)&amp;"criterionId"&amp;CHAR(34)&amp;": "&amp;CHAR(34)&amp;SUBSTITUTE(CriteriTecnici!$D733,CHAR(34),"'")&amp;CHAR(34)&amp;", "&amp;CHAR(34)&amp;"kind"&amp;CHAR(34)&amp;": "&amp;CHAR(34)&amp;SUBSTITUTE(CriteriTecnici!$F733,CHAR(34),"'")&amp;CHAR(34)&amp;", "&amp;CHAR(34)&amp;"value"&amp;CHAR(34)&amp;": "&amp;SUBSTITUTE(TRIM(ROUND(IFERROR(CriteriTecnici!$N733*1,IFERROR(NUMBERVALUE(CriteriTecnici!$N733,".",","),IFERROR(NUMBERVALUE(CriteriTecnici!$N733,",","."),0))),4)&amp;""),",",".")&amp;", "&amp;CHAR(34)&amp;"numerator"&amp;CHAR(34)&amp;": "&amp;SUBSTITUTE(TRIM(ROUND(IFERROR(CriteriTecnici!$K733*1,IFERROR(NUMBERVALUE(CriteriTecnici!$K733,".",","),IFERROR(NUMBERVALUE(CriteriTecnici!$K733,",","."),0))),4)&amp;""),",",".")&amp;", "&amp;CHAR(34)&amp;"denominator"&amp;CHAR(34)&amp;": "&amp;SUBSTITUTE(TRIM(ROUND(IFERROR(CriteriTecnici!$L733*1,IFERROR(NUMBERVALUE(CriteriTecnici!$L733,".",","),IFERROR(NUMBERVALUE(CriteriTecnici!$L733,",","."),0))),4)&amp;""),",",".")&amp;", "&amp;CHAR(34)&amp;"flag"&amp;CHAR(34)&amp;": "&amp;SUBSTITUTE(TRIM(ROUND(IFERROR(CriteriTecnici!$M733*1,IFERROR(NUMBERVALUE(CriteriTecnici!$M733,".",","),IFERROR(NUMBERVALUE(CriteriTecnici!$M733,",","."),0))),4)&amp;""),",",".")&amp;", "&amp;CHAR(34)&amp;"rawScore"&amp;CHAR(34)&amp;": "&amp;SUBSTITUTE(TRIM(ROUND(IFERROR(CriteriTecnici!$O733*1,IFERROR(NUMBERVALUE(CriteriTecnici!$O733,".",","),IFERROR(NUMBERVALUE(CriteriTecnici!$O733,",","."),0))),4)&amp;""),",",".")&amp;CHAR(125)&amp;IF(TRUE,",",""))</f>
        <v/>
      </c>
    </row>
    <row r="835">
      <c r="A835" s="82">
        <f>IF(CriteriTecnici!$A734="","","    "&amp;CHAR(123)&amp;CHAR(34)&amp;"bidderId"&amp;CHAR(34)&amp;": "&amp;CHAR(34)&amp;SUBSTITUTE(CriteriTecnici!$A734,CHAR(34),"'")&amp;CHAR(34)&amp;", "&amp;CHAR(34)&amp;"lotId"&amp;CHAR(34)&amp;": "&amp;CHAR(34)&amp;SUBSTITUTE(CriteriTecnici!$C734,CHAR(34),"'")&amp;CHAR(34)&amp;", "&amp;CHAR(34)&amp;"criterionId"&amp;CHAR(34)&amp;": "&amp;CHAR(34)&amp;SUBSTITUTE(CriteriTecnici!$D734,CHAR(34),"'")&amp;CHAR(34)&amp;", "&amp;CHAR(34)&amp;"kind"&amp;CHAR(34)&amp;": "&amp;CHAR(34)&amp;SUBSTITUTE(CriteriTecnici!$F734,CHAR(34),"'")&amp;CHAR(34)&amp;", "&amp;CHAR(34)&amp;"value"&amp;CHAR(34)&amp;": "&amp;SUBSTITUTE(TRIM(ROUND(IFERROR(CriteriTecnici!$N734*1,IFERROR(NUMBERVALUE(CriteriTecnici!$N734,".",","),IFERROR(NUMBERVALUE(CriteriTecnici!$N734,",","."),0))),4)&amp;""),",",".")&amp;", "&amp;CHAR(34)&amp;"numerator"&amp;CHAR(34)&amp;": "&amp;SUBSTITUTE(TRIM(ROUND(IFERROR(CriteriTecnici!$K734*1,IFERROR(NUMBERVALUE(CriteriTecnici!$K734,".",","),IFERROR(NUMBERVALUE(CriteriTecnici!$K734,",","."),0))),4)&amp;""),",",".")&amp;", "&amp;CHAR(34)&amp;"denominator"&amp;CHAR(34)&amp;": "&amp;SUBSTITUTE(TRIM(ROUND(IFERROR(CriteriTecnici!$L734*1,IFERROR(NUMBERVALUE(CriteriTecnici!$L734,".",","),IFERROR(NUMBERVALUE(CriteriTecnici!$L734,",","."),0))),4)&amp;""),",",".")&amp;", "&amp;CHAR(34)&amp;"flag"&amp;CHAR(34)&amp;": "&amp;SUBSTITUTE(TRIM(ROUND(IFERROR(CriteriTecnici!$M734*1,IFERROR(NUMBERVALUE(CriteriTecnici!$M734,".",","),IFERROR(NUMBERVALUE(CriteriTecnici!$M734,",","."),0))),4)&amp;""),",",".")&amp;", "&amp;CHAR(34)&amp;"rawScore"&amp;CHAR(34)&amp;": "&amp;SUBSTITUTE(TRIM(ROUND(IFERROR(CriteriTecnici!$O734*1,IFERROR(NUMBERVALUE(CriteriTecnici!$O734,".",","),IFERROR(NUMBERVALUE(CriteriTecnici!$O734,",","."),0))),4)&amp;""),",",".")&amp;CHAR(125)&amp;IF(TRUE,",",""))</f>
        <v/>
      </c>
    </row>
    <row r="836">
      <c r="A836" s="82">
        <f>IF(CriteriTecnici!$A735="","","    "&amp;CHAR(123)&amp;CHAR(34)&amp;"bidderId"&amp;CHAR(34)&amp;": "&amp;CHAR(34)&amp;SUBSTITUTE(CriteriTecnici!$A735,CHAR(34),"'")&amp;CHAR(34)&amp;", "&amp;CHAR(34)&amp;"lotId"&amp;CHAR(34)&amp;": "&amp;CHAR(34)&amp;SUBSTITUTE(CriteriTecnici!$C735,CHAR(34),"'")&amp;CHAR(34)&amp;", "&amp;CHAR(34)&amp;"criterionId"&amp;CHAR(34)&amp;": "&amp;CHAR(34)&amp;SUBSTITUTE(CriteriTecnici!$D735,CHAR(34),"'")&amp;CHAR(34)&amp;", "&amp;CHAR(34)&amp;"kind"&amp;CHAR(34)&amp;": "&amp;CHAR(34)&amp;SUBSTITUTE(CriteriTecnici!$F735,CHAR(34),"'")&amp;CHAR(34)&amp;", "&amp;CHAR(34)&amp;"value"&amp;CHAR(34)&amp;": "&amp;SUBSTITUTE(TRIM(ROUND(IFERROR(CriteriTecnici!$N735*1,IFERROR(NUMBERVALUE(CriteriTecnici!$N735,".",","),IFERROR(NUMBERVALUE(CriteriTecnici!$N735,",","."),0))),4)&amp;""),",",".")&amp;", "&amp;CHAR(34)&amp;"numerator"&amp;CHAR(34)&amp;": "&amp;SUBSTITUTE(TRIM(ROUND(IFERROR(CriteriTecnici!$K735*1,IFERROR(NUMBERVALUE(CriteriTecnici!$K735,".",","),IFERROR(NUMBERVALUE(CriteriTecnici!$K735,",","."),0))),4)&amp;""),",",".")&amp;", "&amp;CHAR(34)&amp;"denominator"&amp;CHAR(34)&amp;": "&amp;SUBSTITUTE(TRIM(ROUND(IFERROR(CriteriTecnici!$L735*1,IFERROR(NUMBERVALUE(CriteriTecnici!$L735,".",","),IFERROR(NUMBERVALUE(CriteriTecnici!$L735,",","."),0))),4)&amp;""),",",".")&amp;", "&amp;CHAR(34)&amp;"flag"&amp;CHAR(34)&amp;": "&amp;SUBSTITUTE(TRIM(ROUND(IFERROR(CriteriTecnici!$M735*1,IFERROR(NUMBERVALUE(CriteriTecnici!$M735,".",","),IFERROR(NUMBERVALUE(CriteriTecnici!$M735,",","."),0))),4)&amp;""),",",".")&amp;", "&amp;CHAR(34)&amp;"rawScore"&amp;CHAR(34)&amp;": "&amp;SUBSTITUTE(TRIM(ROUND(IFERROR(CriteriTecnici!$O735*1,IFERROR(NUMBERVALUE(CriteriTecnici!$O735,".",","),IFERROR(NUMBERVALUE(CriteriTecnici!$O735,",","."),0))),4)&amp;""),",",".")&amp;CHAR(125)&amp;IF(TRUE,",",""))</f>
        <v/>
      </c>
    </row>
    <row r="837">
      <c r="A837" s="82">
        <f>IF(CriteriTecnici!$A736="","","    "&amp;CHAR(123)&amp;CHAR(34)&amp;"bidderId"&amp;CHAR(34)&amp;": "&amp;CHAR(34)&amp;SUBSTITUTE(CriteriTecnici!$A736,CHAR(34),"'")&amp;CHAR(34)&amp;", "&amp;CHAR(34)&amp;"lotId"&amp;CHAR(34)&amp;": "&amp;CHAR(34)&amp;SUBSTITUTE(CriteriTecnici!$C736,CHAR(34),"'")&amp;CHAR(34)&amp;", "&amp;CHAR(34)&amp;"criterionId"&amp;CHAR(34)&amp;": "&amp;CHAR(34)&amp;SUBSTITUTE(CriteriTecnici!$D736,CHAR(34),"'")&amp;CHAR(34)&amp;", "&amp;CHAR(34)&amp;"kind"&amp;CHAR(34)&amp;": "&amp;CHAR(34)&amp;SUBSTITUTE(CriteriTecnici!$F736,CHAR(34),"'")&amp;CHAR(34)&amp;", "&amp;CHAR(34)&amp;"value"&amp;CHAR(34)&amp;": "&amp;SUBSTITUTE(TRIM(ROUND(IFERROR(CriteriTecnici!$N736*1,IFERROR(NUMBERVALUE(CriteriTecnici!$N736,".",","),IFERROR(NUMBERVALUE(CriteriTecnici!$N736,",","."),0))),4)&amp;""),",",".")&amp;", "&amp;CHAR(34)&amp;"numerator"&amp;CHAR(34)&amp;": "&amp;SUBSTITUTE(TRIM(ROUND(IFERROR(CriteriTecnici!$K736*1,IFERROR(NUMBERVALUE(CriteriTecnici!$K736,".",","),IFERROR(NUMBERVALUE(CriteriTecnici!$K736,",","."),0))),4)&amp;""),",",".")&amp;", "&amp;CHAR(34)&amp;"denominator"&amp;CHAR(34)&amp;": "&amp;SUBSTITUTE(TRIM(ROUND(IFERROR(CriteriTecnici!$L736*1,IFERROR(NUMBERVALUE(CriteriTecnici!$L736,".",","),IFERROR(NUMBERVALUE(CriteriTecnici!$L736,",","."),0))),4)&amp;""),",",".")&amp;", "&amp;CHAR(34)&amp;"flag"&amp;CHAR(34)&amp;": "&amp;SUBSTITUTE(TRIM(ROUND(IFERROR(CriteriTecnici!$M736*1,IFERROR(NUMBERVALUE(CriteriTecnici!$M736,".",","),IFERROR(NUMBERVALUE(CriteriTecnici!$M736,",","."),0))),4)&amp;""),",",".")&amp;", "&amp;CHAR(34)&amp;"rawScore"&amp;CHAR(34)&amp;": "&amp;SUBSTITUTE(TRIM(ROUND(IFERROR(CriteriTecnici!$O736*1,IFERROR(NUMBERVALUE(CriteriTecnici!$O736,".",","),IFERROR(NUMBERVALUE(CriteriTecnici!$O736,",","."),0))),4)&amp;""),",",".")&amp;CHAR(125)&amp;IF(TRUE,",",""))</f>
        <v/>
      </c>
    </row>
    <row r="838">
      <c r="A838" s="82">
        <f>IF(CriteriTecnici!$A737="","","    "&amp;CHAR(123)&amp;CHAR(34)&amp;"bidderId"&amp;CHAR(34)&amp;": "&amp;CHAR(34)&amp;SUBSTITUTE(CriteriTecnici!$A737,CHAR(34),"'")&amp;CHAR(34)&amp;", "&amp;CHAR(34)&amp;"lotId"&amp;CHAR(34)&amp;": "&amp;CHAR(34)&amp;SUBSTITUTE(CriteriTecnici!$C737,CHAR(34),"'")&amp;CHAR(34)&amp;", "&amp;CHAR(34)&amp;"criterionId"&amp;CHAR(34)&amp;": "&amp;CHAR(34)&amp;SUBSTITUTE(CriteriTecnici!$D737,CHAR(34),"'")&amp;CHAR(34)&amp;", "&amp;CHAR(34)&amp;"kind"&amp;CHAR(34)&amp;": "&amp;CHAR(34)&amp;SUBSTITUTE(CriteriTecnici!$F737,CHAR(34),"'")&amp;CHAR(34)&amp;", "&amp;CHAR(34)&amp;"value"&amp;CHAR(34)&amp;": "&amp;SUBSTITUTE(TRIM(ROUND(IFERROR(CriteriTecnici!$N737*1,IFERROR(NUMBERVALUE(CriteriTecnici!$N737,".",","),IFERROR(NUMBERVALUE(CriteriTecnici!$N737,",","."),0))),4)&amp;""),",",".")&amp;", "&amp;CHAR(34)&amp;"numerator"&amp;CHAR(34)&amp;": "&amp;SUBSTITUTE(TRIM(ROUND(IFERROR(CriteriTecnici!$K737*1,IFERROR(NUMBERVALUE(CriteriTecnici!$K737,".",","),IFERROR(NUMBERVALUE(CriteriTecnici!$K737,",","."),0))),4)&amp;""),",",".")&amp;", "&amp;CHAR(34)&amp;"denominator"&amp;CHAR(34)&amp;": "&amp;SUBSTITUTE(TRIM(ROUND(IFERROR(CriteriTecnici!$L737*1,IFERROR(NUMBERVALUE(CriteriTecnici!$L737,".",","),IFERROR(NUMBERVALUE(CriteriTecnici!$L737,",","."),0))),4)&amp;""),",",".")&amp;", "&amp;CHAR(34)&amp;"flag"&amp;CHAR(34)&amp;": "&amp;SUBSTITUTE(TRIM(ROUND(IFERROR(CriteriTecnici!$M737*1,IFERROR(NUMBERVALUE(CriteriTecnici!$M737,".",","),IFERROR(NUMBERVALUE(CriteriTecnici!$M737,",","."),0))),4)&amp;""),",",".")&amp;", "&amp;CHAR(34)&amp;"rawScore"&amp;CHAR(34)&amp;": "&amp;SUBSTITUTE(TRIM(ROUND(IFERROR(CriteriTecnici!$O737*1,IFERROR(NUMBERVALUE(CriteriTecnici!$O737,".",","),IFERROR(NUMBERVALUE(CriteriTecnici!$O737,",","."),0))),4)&amp;""),",",".")&amp;CHAR(125)&amp;IF(TRUE,",",""))</f>
        <v/>
      </c>
    </row>
    <row r="839">
      <c r="A839" s="82">
        <f>IF(CriteriTecnici!$A738="","","    "&amp;CHAR(123)&amp;CHAR(34)&amp;"bidderId"&amp;CHAR(34)&amp;": "&amp;CHAR(34)&amp;SUBSTITUTE(CriteriTecnici!$A738,CHAR(34),"'")&amp;CHAR(34)&amp;", "&amp;CHAR(34)&amp;"lotId"&amp;CHAR(34)&amp;": "&amp;CHAR(34)&amp;SUBSTITUTE(CriteriTecnici!$C738,CHAR(34),"'")&amp;CHAR(34)&amp;", "&amp;CHAR(34)&amp;"criterionId"&amp;CHAR(34)&amp;": "&amp;CHAR(34)&amp;SUBSTITUTE(CriteriTecnici!$D738,CHAR(34),"'")&amp;CHAR(34)&amp;", "&amp;CHAR(34)&amp;"kind"&amp;CHAR(34)&amp;": "&amp;CHAR(34)&amp;SUBSTITUTE(CriteriTecnici!$F738,CHAR(34),"'")&amp;CHAR(34)&amp;", "&amp;CHAR(34)&amp;"value"&amp;CHAR(34)&amp;": "&amp;SUBSTITUTE(TRIM(ROUND(IFERROR(CriteriTecnici!$N738*1,IFERROR(NUMBERVALUE(CriteriTecnici!$N738,".",","),IFERROR(NUMBERVALUE(CriteriTecnici!$N738,",","."),0))),4)&amp;""),",",".")&amp;", "&amp;CHAR(34)&amp;"numerator"&amp;CHAR(34)&amp;": "&amp;SUBSTITUTE(TRIM(ROUND(IFERROR(CriteriTecnici!$K738*1,IFERROR(NUMBERVALUE(CriteriTecnici!$K738,".",","),IFERROR(NUMBERVALUE(CriteriTecnici!$K738,",","."),0))),4)&amp;""),",",".")&amp;", "&amp;CHAR(34)&amp;"denominator"&amp;CHAR(34)&amp;": "&amp;SUBSTITUTE(TRIM(ROUND(IFERROR(CriteriTecnici!$L738*1,IFERROR(NUMBERVALUE(CriteriTecnici!$L738,".",","),IFERROR(NUMBERVALUE(CriteriTecnici!$L738,",","."),0))),4)&amp;""),",",".")&amp;", "&amp;CHAR(34)&amp;"flag"&amp;CHAR(34)&amp;": "&amp;SUBSTITUTE(TRIM(ROUND(IFERROR(CriteriTecnici!$M738*1,IFERROR(NUMBERVALUE(CriteriTecnici!$M738,".",","),IFERROR(NUMBERVALUE(CriteriTecnici!$M738,",","."),0))),4)&amp;""),",",".")&amp;", "&amp;CHAR(34)&amp;"rawScore"&amp;CHAR(34)&amp;": "&amp;SUBSTITUTE(TRIM(ROUND(IFERROR(CriteriTecnici!$O738*1,IFERROR(NUMBERVALUE(CriteriTecnici!$O738,".",","),IFERROR(NUMBERVALUE(CriteriTecnici!$O738,",","."),0))),4)&amp;""),",",".")&amp;CHAR(125)&amp;IF(TRUE,",",""))</f>
        <v/>
      </c>
    </row>
    <row r="840">
      <c r="A840" s="82">
        <f>IF(CriteriTecnici!$A739="","","    "&amp;CHAR(123)&amp;CHAR(34)&amp;"bidderId"&amp;CHAR(34)&amp;": "&amp;CHAR(34)&amp;SUBSTITUTE(CriteriTecnici!$A739,CHAR(34),"'")&amp;CHAR(34)&amp;", "&amp;CHAR(34)&amp;"lotId"&amp;CHAR(34)&amp;": "&amp;CHAR(34)&amp;SUBSTITUTE(CriteriTecnici!$C739,CHAR(34),"'")&amp;CHAR(34)&amp;", "&amp;CHAR(34)&amp;"criterionId"&amp;CHAR(34)&amp;": "&amp;CHAR(34)&amp;SUBSTITUTE(CriteriTecnici!$D739,CHAR(34),"'")&amp;CHAR(34)&amp;", "&amp;CHAR(34)&amp;"kind"&amp;CHAR(34)&amp;": "&amp;CHAR(34)&amp;SUBSTITUTE(CriteriTecnici!$F739,CHAR(34),"'")&amp;CHAR(34)&amp;", "&amp;CHAR(34)&amp;"value"&amp;CHAR(34)&amp;": "&amp;SUBSTITUTE(TRIM(ROUND(IFERROR(CriteriTecnici!$N739*1,IFERROR(NUMBERVALUE(CriteriTecnici!$N739,".",","),IFERROR(NUMBERVALUE(CriteriTecnici!$N739,",","."),0))),4)&amp;""),",",".")&amp;", "&amp;CHAR(34)&amp;"numerator"&amp;CHAR(34)&amp;": "&amp;SUBSTITUTE(TRIM(ROUND(IFERROR(CriteriTecnici!$K739*1,IFERROR(NUMBERVALUE(CriteriTecnici!$K739,".",","),IFERROR(NUMBERVALUE(CriteriTecnici!$K739,",","."),0))),4)&amp;""),",",".")&amp;", "&amp;CHAR(34)&amp;"denominator"&amp;CHAR(34)&amp;": "&amp;SUBSTITUTE(TRIM(ROUND(IFERROR(CriteriTecnici!$L739*1,IFERROR(NUMBERVALUE(CriteriTecnici!$L739,".",","),IFERROR(NUMBERVALUE(CriteriTecnici!$L739,",","."),0))),4)&amp;""),",",".")&amp;", "&amp;CHAR(34)&amp;"flag"&amp;CHAR(34)&amp;": "&amp;SUBSTITUTE(TRIM(ROUND(IFERROR(CriteriTecnici!$M739*1,IFERROR(NUMBERVALUE(CriteriTecnici!$M739,".",","),IFERROR(NUMBERVALUE(CriteriTecnici!$M739,",","."),0))),4)&amp;""),",",".")&amp;", "&amp;CHAR(34)&amp;"rawScore"&amp;CHAR(34)&amp;": "&amp;SUBSTITUTE(TRIM(ROUND(IFERROR(CriteriTecnici!$O739*1,IFERROR(NUMBERVALUE(CriteriTecnici!$O739,".",","),IFERROR(NUMBERVALUE(CriteriTecnici!$O739,",","."),0))),4)&amp;""),",",".")&amp;CHAR(125)&amp;IF(TRUE,",",""))</f>
        <v/>
      </c>
    </row>
    <row r="841">
      <c r="A841" s="82">
        <f>IF(CriteriTecnici!$A740="","","    "&amp;CHAR(123)&amp;CHAR(34)&amp;"bidderId"&amp;CHAR(34)&amp;": "&amp;CHAR(34)&amp;SUBSTITUTE(CriteriTecnici!$A740,CHAR(34),"'")&amp;CHAR(34)&amp;", "&amp;CHAR(34)&amp;"lotId"&amp;CHAR(34)&amp;": "&amp;CHAR(34)&amp;SUBSTITUTE(CriteriTecnici!$C740,CHAR(34),"'")&amp;CHAR(34)&amp;", "&amp;CHAR(34)&amp;"criterionId"&amp;CHAR(34)&amp;": "&amp;CHAR(34)&amp;SUBSTITUTE(CriteriTecnici!$D740,CHAR(34),"'")&amp;CHAR(34)&amp;", "&amp;CHAR(34)&amp;"kind"&amp;CHAR(34)&amp;": "&amp;CHAR(34)&amp;SUBSTITUTE(CriteriTecnici!$F740,CHAR(34),"'")&amp;CHAR(34)&amp;", "&amp;CHAR(34)&amp;"value"&amp;CHAR(34)&amp;": "&amp;SUBSTITUTE(TRIM(ROUND(IFERROR(CriteriTecnici!$N740*1,IFERROR(NUMBERVALUE(CriteriTecnici!$N740,".",","),IFERROR(NUMBERVALUE(CriteriTecnici!$N740,",","."),0))),4)&amp;""),",",".")&amp;", "&amp;CHAR(34)&amp;"numerator"&amp;CHAR(34)&amp;": "&amp;SUBSTITUTE(TRIM(ROUND(IFERROR(CriteriTecnici!$K740*1,IFERROR(NUMBERVALUE(CriteriTecnici!$K740,".",","),IFERROR(NUMBERVALUE(CriteriTecnici!$K740,",","."),0))),4)&amp;""),",",".")&amp;", "&amp;CHAR(34)&amp;"denominator"&amp;CHAR(34)&amp;": "&amp;SUBSTITUTE(TRIM(ROUND(IFERROR(CriteriTecnici!$L740*1,IFERROR(NUMBERVALUE(CriteriTecnici!$L740,".",","),IFERROR(NUMBERVALUE(CriteriTecnici!$L740,",","."),0))),4)&amp;""),",",".")&amp;", "&amp;CHAR(34)&amp;"flag"&amp;CHAR(34)&amp;": "&amp;SUBSTITUTE(TRIM(ROUND(IFERROR(CriteriTecnici!$M740*1,IFERROR(NUMBERVALUE(CriteriTecnici!$M740,".",","),IFERROR(NUMBERVALUE(CriteriTecnici!$M740,",","."),0))),4)&amp;""),",",".")&amp;", "&amp;CHAR(34)&amp;"rawScore"&amp;CHAR(34)&amp;": "&amp;SUBSTITUTE(TRIM(ROUND(IFERROR(CriteriTecnici!$O740*1,IFERROR(NUMBERVALUE(CriteriTecnici!$O740,".",","),IFERROR(NUMBERVALUE(CriteriTecnici!$O740,",","."),0))),4)&amp;""),",",".")&amp;CHAR(125)&amp;IF(TRUE,",",""))</f>
        <v/>
      </c>
    </row>
    <row r="842">
      <c r="A842" s="82">
        <f>IF(CriteriTecnici!$A741="","","    "&amp;CHAR(123)&amp;CHAR(34)&amp;"bidderId"&amp;CHAR(34)&amp;": "&amp;CHAR(34)&amp;SUBSTITUTE(CriteriTecnici!$A741,CHAR(34),"'")&amp;CHAR(34)&amp;", "&amp;CHAR(34)&amp;"lotId"&amp;CHAR(34)&amp;": "&amp;CHAR(34)&amp;SUBSTITUTE(CriteriTecnici!$C741,CHAR(34),"'")&amp;CHAR(34)&amp;", "&amp;CHAR(34)&amp;"criterionId"&amp;CHAR(34)&amp;": "&amp;CHAR(34)&amp;SUBSTITUTE(CriteriTecnici!$D741,CHAR(34),"'")&amp;CHAR(34)&amp;", "&amp;CHAR(34)&amp;"kind"&amp;CHAR(34)&amp;": "&amp;CHAR(34)&amp;SUBSTITUTE(CriteriTecnici!$F741,CHAR(34),"'")&amp;CHAR(34)&amp;", "&amp;CHAR(34)&amp;"value"&amp;CHAR(34)&amp;": "&amp;SUBSTITUTE(TRIM(ROUND(IFERROR(CriteriTecnici!$N741*1,IFERROR(NUMBERVALUE(CriteriTecnici!$N741,".",","),IFERROR(NUMBERVALUE(CriteriTecnici!$N741,",","."),0))),4)&amp;""),",",".")&amp;", "&amp;CHAR(34)&amp;"numerator"&amp;CHAR(34)&amp;": "&amp;SUBSTITUTE(TRIM(ROUND(IFERROR(CriteriTecnici!$K741*1,IFERROR(NUMBERVALUE(CriteriTecnici!$K741,".",","),IFERROR(NUMBERVALUE(CriteriTecnici!$K741,",","."),0))),4)&amp;""),",",".")&amp;", "&amp;CHAR(34)&amp;"denominator"&amp;CHAR(34)&amp;": "&amp;SUBSTITUTE(TRIM(ROUND(IFERROR(CriteriTecnici!$L741*1,IFERROR(NUMBERVALUE(CriteriTecnici!$L741,".",","),IFERROR(NUMBERVALUE(CriteriTecnici!$L741,",","."),0))),4)&amp;""),",",".")&amp;", "&amp;CHAR(34)&amp;"flag"&amp;CHAR(34)&amp;": "&amp;SUBSTITUTE(TRIM(ROUND(IFERROR(CriteriTecnici!$M741*1,IFERROR(NUMBERVALUE(CriteriTecnici!$M741,".",","),IFERROR(NUMBERVALUE(CriteriTecnici!$M741,",","."),0))),4)&amp;""),",",".")&amp;", "&amp;CHAR(34)&amp;"rawScore"&amp;CHAR(34)&amp;": "&amp;SUBSTITUTE(TRIM(ROUND(IFERROR(CriteriTecnici!$O741*1,IFERROR(NUMBERVALUE(CriteriTecnici!$O741,".",","),IFERROR(NUMBERVALUE(CriteriTecnici!$O741,",","."),0))),4)&amp;""),",",".")&amp;CHAR(125)&amp;IF(TRUE,",",""))</f>
        <v/>
      </c>
    </row>
    <row r="843">
      <c r="A843" s="82">
        <f>IF(CriteriTecnici!$A742="","","    "&amp;CHAR(123)&amp;CHAR(34)&amp;"bidderId"&amp;CHAR(34)&amp;": "&amp;CHAR(34)&amp;SUBSTITUTE(CriteriTecnici!$A742,CHAR(34),"'")&amp;CHAR(34)&amp;", "&amp;CHAR(34)&amp;"lotId"&amp;CHAR(34)&amp;": "&amp;CHAR(34)&amp;SUBSTITUTE(CriteriTecnici!$C742,CHAR(34),"'")&amp;CHAR(34)&amp;", "&amp;CHAR(34)&amp;"criterionId"&amp;CHAR(34)&amp;": "&amp;CHAR(34)&amp;SUBSTITUTE(CriteriTecnici!$D742,CHAR(34),"'")&amp;CHAR(34)&amp;", "&amp;CHAR(34)&amp;"kind"&amp;CHAR(34)&amp;": "&amp;CHAR(34)&amp;SUBSTITUTE(CriteriTecnici!$F742,CHAR(34),"'")&amp;CHAR(34)&amp;", "&amp;CHAR(34)&amp;"value"&amp;CHAR(34)&amp;": "&amp;SUBSTITUTE(TRIM(ROUND(IFERROR(CriteriTecnici!$N742*1,IFERROR(NUMBERVALUE(CriteriTecnici!$N742,".",","),IFERROR(NUMBERVALUE(CriteriTecnici!$N742,",","."),0))),4)&amp;""),",",".")&amp;", "&amp;CHAR(34)&amp;"numerator"&amp;CHAR(34)&amp;": "&amp;SUBSTITUTE(TRIM(ROUND(IFERROR(CriteriTecnici!$K742*1,IFERROR(NUMBERVALUE(CriteriTecnici!$K742,".",","),IFERROR(NUMBERVALUE(CriteriTecnici!$K742,",","."),0))),4)&amp;""),",",".")&amp;", "&amp;CHAR(34)&amp;"denominator"&amp;CHAR(34)&amp;": "&amp;SUBSTITUTE(TRIM(ROUND(IFERROR(CriteriTecnici!$L742*1,IFERROR(NUMBERVALUE(CriteriTecnici!$L742,".",","),IFERROR(NUMBERVALUE(CriteriTecnici!$L742,",","."),0))),4)&amp;""),",",".")&amp;", "&amp;CHAR(34)&amp;"flag"&amp;CHAR(34)&amp;": "&amp;SUBSTITUTE(TRIM(ROUND(IFERROR(CriteriTecnici!$M742*1,IFERROR(NUMBERVALUE(CriteriTecnici!$M742,".",","),IFERROR(NUMBERVALUE(CriteriTecnici!$M742,",","."),0))),4)&amp;""),",",".")&amp;", "&amp;CHAR(34)&amp;"rawScore"&amp;CHAR(34)&amp;": "&amp;SUBSTITUTE(TRIM(ROUND(IFERROR(CriteriTecnici!$O742*1,IFERROR(NUMBERVALUE(CriteriTecnici!$O742,".",","),IFERROR(NUMBERVALUE(CriteriTecnici!$O742,",","."),0))),4)&amp;""),",",".")&amp;CHAR(125)&amp;IF(TRUE,",",""))</f>
        <v/>
      </c>
    </row>
    <row r="844">
      <c r="A844" s="82">
        <f>IF(CriteriTecnici!$A743="","","    "&amp;CHAR(123)&amp;CHAR(34)&amp;"bidderId"&amp;CHAR(34)&amp;": "&amp;CHAR(34)&amp;SUBSTITUTE(CriteriTecnici!$A743,CHAR(34),"'")&amp;CHAR(34)&amp;", "&amp;CHAR(34)&amp;"lotId"&amp;CHAR(34)&amp;": "&amp;CHAR(34)&amp;SUBSTITUTE(CriteriTecnici!$C743,CHAR(34),"'")&amp;CHAR(34)&amp;", "&amp;CHAR(34)&amp;"criterionId"&amp;CHAR(34)&amp;": "&amp;CHAR(34)&amp;SUBSTITUTE(CriteriTecnici!$D743,CHAR(34),"'")&amp;CHAR(34)&amp;", "&amp;CHAR(34)&amp;"kind"&amp;CHAR(34)&amp;": "&amp;CHAR(34)&amp;SUBSTITUTE(CriteriTecnici!$F743,CHAR(34),"'")&amp;CHAR(34)&amp;", "&amp;CHAR(34)&amp;"value"&amp;CHAR(34)&amp;": "&amp;SUBSTITUTE(TRIM(ROUND(IFERROR(CriteriTecnici!$N743*1,IFERROR(NUMBERVALUE(CriteriTecnici!$N743,".",","),IFERROR(NUMBERVALUE(CriteriTecnici!$N743,",","."),0))),4)&amp;""),",",".")&amp;", "&amp;CHAR(34)&amp;"numerator"&amp;CHAR(34)&amp;": "&amp;SUBSTITUTE(TRIM(ROUND(IFERROR(CriteriTecnici!$K743*1,IFERROR(NUMBERVALUE(CriteriTecnici!$K743,".",","),IFERROR(NUMBERVALUE(CriteriTecnici!$K743,",","."),0))),4)&amp;""),",",".")&amp;", "&amp;CHAR(34)&amp;"denominator"&amp;CHAR(34)&amp;": "&amp;SUBSTITUTE(TRIM(ROUND(IFERROR(CriteriTecnici!$L743*1,IFERROR(NUMBERVALUE(CriteriTecnici!$L743,".",","),IFERROR(NUMBERVALUE(CriteriTecnici!$L743,",","."),0))),4)&amp;""),",",".")&amp;", "&amp;CHAR(34)&amp;"flag"&amp;CHAR(34)&amp;": "&amp;SUBSTITUTE(TRIM(ROUND(IFERROR(CriteriTecnici!$M743*1,IFERROR(NUMBERVALUE(CriteriTecnici!$M743,".",","),IFERROR(NUMBERVALUE(CriteriTecnici!$M743,",","."),0))),4)&amp;""),",",".")&amp;", "&amp;CHAR(34)&amp;"rawScore"&amp;CHAR(34)&amp;": "&amp;SUBSTITUTE(TRIM(ROUND(IFERROR(CriteriTecnici!$O743*1,IFERROR(NUMBERVALUE(CriteriTecnici!$O743,".",","),IFERROR(NUMBERVALUE(CriteriTecnici!$O743,",","."),0))),4)&amp;""),",",".")&amp;CHAR(125)&amp;IF(TRUE,",",""))</f>
        <v/>
      </c>
    </row>
    <row r="845">
      <c r="A845" s="82">
        <f>IF(CriteriTecnici!$A744="","","    "&amp;CHAR(123)&amp;CHAR(34)&amp;"bidderId"&amp;CHAR(34)&amp;": "&amp;CHAR(34)&amp;SUBSTITUTE(CriteriTecnici!$A744,CHAR(34),"'")&amp;CHAR(34)&amp;", "&amp;CHAR(34)&amp;"lotId"&amp;CHAR(34)&amp;": "&amp;CHAR(34)&amp;SUBSTITUTE(CriteriTecnici!$C744,CHAR(34),"'")&amp;CHAR(34)&amp;", "&amp;CHAR(34)&amp;"criterionId"&amp;CHAR(34)&amp;": "&amp;CHAR(34)&amp;SUBSTITUTE(CriteriTecnici!$D744,CHAR(34),"'")&amp;CHAR(34)&amp;", "&amp;CHAR(34)&amp;"kind"&amp;CHAR(34)&amp;": "&amp;CHAR(34)&amp;SUBSTITUTE(CriteriTecnici!$F744,CHAR(34),"'")&amp;CHAR(34)&amp;", "&amp;CHAR(34)&amp;"value"&amp;CHAR(34)&amp;": "&amp;SUBSTITUTE(TRIM(ROUND(IFERROR(CriteriTecnici!$N744*1,IFERROR(NUMBERVALUE(CriteriTecnici!$N744,".",","),IFERROR(NUMBERVALUE(CriteriTecnici!$N744,",","."),0))),4)&amp;""),",",".")&amp;", "&amp;CHAR(34)&amp;"numerator"&amp;CHAR(34)&amp;": "&amp;SUBSTITUTE(TRIM(ROUND(IFERROR(CriteriTecnici!$K744*1,IFERROR(NUMBERVALUE(CriteriTecnici!$K744,".",","),IFERROR(NUMBERVALUE(CriteriTecnici!$K744,",","."),0))),4)&amp;""),",",".")&amp;", "&amp;CHAR(34)&amp;"denominator"&amp;CHAR(34)&amp;": "&amp;SUBSTITUTE(TRIM(ROUND(IFERROR(CriteriTecnici!$L744*1,IFERROR(NUMBERVALUE(CriteriTecnici!$L744,".",","),IFERROR(NUMBERVALUE(CriteriTecnici!$L744,",","."),0))),4)&amp;""),",",".")&amp;", "&amp;CHAR(34)&amp;"flag"&amp;CHAR(34)&amp;": "&amp;SUBSTITUTE(TRIM(ROUND(IFERROR(CriteriTecnici!$M744*1,IFERROR(NUMBERVALUE(CriteriTecnici!$M744,".",","),IFERROR(NUMBERVALUE(CriteriTecnici!$M744,",","."),0))),4)&amp;""),",",".")&amp;", "&amp;CHAR(34)&amp;"rawScore"&amp;CHAR(34)&amp;": "&amp;SUBSTITUTE(TRIM(ROUND(IFERROR(CriteriTecnici!$O744*1,IFERROR(NUMBERVALUE(CriteriTecnici!$O744,".",","),IFERROR(NUMBERVALUE(CriteriTecnici!$O744,",","."),0))),4)&amp;""),",",".")&amp;CHAR(125)&amp;IF(TRUE,",",""))</f>
        <v/>
      </c>
    </row>
    <row r="846">
      <c r="A846" s="82">
        <f>IF(CriteriTecnici!$A745="","","    "&amp;CHAR(123)&amp;CHAR(34)&amp;"bidderId"&amp;CHAR(34)&amp;": "&amp;CHAR(34)&amp;SUBSTITUTE(CriteriTecnici!$A745,CHAR(34),"'")&amp;CHAR(34)&amp;", "&amp;CHAR(34)&amp;"lotId"&amp;CHAR(34)&amp;": "&amp;CHAR(34)&amp;SUBSTITUTE(CriteriTecnici!$C745,CHAR(34),"'")&amp;CHAR(34)&amp;", "&amp;CHAR(34)&amp;"criterionId"&amp;CHAR(34)&amp;": "&amp;CHAR(34)&amp;SUBSTITUTE(CriteriTecnici!$D745,CHAR(34),"'")&amp;CHAR(34)&amp;", "&amp;CHAR(34)&amp;"kind"&amp;CHAR(34)&amp;": "&amp;CHAR(34)&amp;SUBSTITUTE(CriteriTecnici!$F745,CHAR(34),"'")&amp;CHAR(34)&amp;", "&amp;CHAR(34)&amp;"value"&amp;CHAR(34)&amp;": "&amp;SUBSTITUTE(TRIM(ROUND(IFERROR(CriteriTecnici!$N745*1,IFERROR(NUMBERVALUE(CriteriTecnici!$N745,".",","),IFERROR(NUMBERVALUE(CriteriTecnici!$N745,",","."),0))),4)&amp;""),",",".")&amp;", "&amp;CHAR(34)&amp;"numerator"&amp;CHAR(34)&amp;": "&amp;SUBSTITUTE(TRIM(ROUND(IFERROR(CriteriTecnici!$K745*1,IFERROR(NUMBERVALUE(CriteriTecnici!$K745,".",","),IFERROR(NUMBERVALUE(CriteriTecnici!$K745,",","."),0))),4)&amp;""),",",".")&amp;", "&amp;CHAR(34)&amp;"denominator"&amp;CHAR(34)&amp;": "&amp;SUBSTITUTE(TRIM(ROUND(IFERROR(CriteriTecnici!$L745*1,IFERROR(NUMBERVALUE(CriteriTecnici!$L745,".",","),IFERROR(NUMBERVALUE(CriteriTecnici!$L745,",","."),0))),4)&amp;""),",",".")&amp;", "&amp;CHAR(34)&amp;"flag"&amp;CHAR(34)&amp;": "&amp;SUBSTITUTE(TRIM(ROUND(IFERROR(CriteriTecnici!$M745*1,IFERROR(NUMBERVALUE(CriteriTecnici!$M745,".",","),IFERROR(NUMBERVALUE(CriteriTecnici!$M745,",","."),0))),4)&amp;""),",",".")&amp;", "&amp;CHAR(34)&amp;"rawScore"&amp;CHAR(34)&amp;": "&amp;SUBSTITUTE(TRIM(ROUND(IFERROR(CriteriTecnici!$O745*1,IFERROR(NUMBERVALUE(CriteriTecnici!$O745,".",","),IFERROR(NUMBERVALUE(CriteriTecnici!$O745,",","."),0))),4)&amp;""),",",".")&amp;CHAR(125)&amp;IF(TRUE,",",""))</f>
        <v/>
      </c>
    </row>
    <row r="847">
      <c r="A847" s="82">
        <f>IF(CriteriTecnici!$A746="","","    "&amp;CHAR(123)&amp;CHAR(34)&amp;"bidderId"&amp;CHAR(34)&amp;": "&amp;CHAR(34)&amp;SUBSTITUTE(CriteriTecnici!$A746,CHAR(34),"'")&amp;CHAR(34)&amp;", "&amp;CHAR(34)&amp;"lotId"&amp;CHAR(34)&amp;": "&amp;CHAR(34)&amp;SUBSTITUTE(CriteriTecnici!$C746,CHAR(34),"'")&amp;CHAR(34)&amp;", "&amp;CHAR(34)&amp;"criterionId"&amp;CHAR(34)&amp;": "&amp;CHAR(34)&amp;SUBSTITUTE(CriteriTecnici!$D746,CHAR(34),"'")&amp;CHAR(34)&amp;", "&amp;CHAR(34)&amp;"kind"&amp;CHAR(34)&amp;": "&amp;CHAR(34)&amp;SUBSTITUTE(CriteriTecnici!$F746,CHAR(34),"'")&amp;CHAR(34)&amp;", "&amp;CHAR(34)&amp;"value"&amp;CHAR(34)&amp;": "&amp;SUBSTITUTE(TRIM(ROUND(IFERROR(CriteriTecnici!$N746*1,IFERROR(NUMBERVALUE(CriteriTecnici!$N746,".",","),IFERROR(NUMBERVALUE(CriteriTecnici!$N746,",","."),0))),4)&amp;""),",",".")&amp;", "&amp;CHAR(34)&amp;"numerator"&amp;CHAR(34)&amp;": "&amp;SUBSTITUTE(TRIM(ROUND(IFERROR(CriteriTecnici!$K746*1,IFERROR(NUMBERVALUE(CriteriTecnici!$K746,".",","),IFERROR(NUMBERVALUE(CriteriTecnici!$K746,",","."),0))),4)&amp;""),",",".")&amp;", "&amp;CHAR(34)&amp;"denominator"&amp;CHAR(34)&amp;": "&amp;SUBSTITUTE(TRIM(ROUND(IFERROR(CriteriTecnici!$L746*1,IFERROR(NUMBERVALUE(CriteriTecnici!$L746,".",","),IFERROR(NUMBERVALUE(CriteriTecnici!$L746,",","."),0))),4)&amp;""),",",".")&amp;", "&amp;CHAR(34)&amp;"flag"&amp;CHAR(34)&amp;": "&amp;SUBSTITUTE(TRIM(ROUND(IFERROR(CriteriTecnici!$M746*1,IFERROR(NUMBERVALUE(CriteriTecnici!$M746,".",","),IFERROR(NUMBERVALUE(CriteriTecnici!$M746,",","."),0))),4)&amp;""),",",".")&amp;", "&amp;CHAR(34)&amp;"rawScore"&amp;CHAR(34)&amp;": "&amp;SUBSTITUTE(TRIM(ROUND(IFERROR(CriteriTecnici!$O746*1,IFERROR(NUMBERVALUE(CriteriTecnici!$O746,".",","),IFERROR(NUMBERVALUE(CriteriTecnici!$O746,",","."),0))),4)&amp;""),",",".")&amp;CHAR(125)&amp;IF(TRUE,",",""))</f>
        <v/>
      </c>
    </row>
    <row r="848">
      <c r="A848" s="82">
        <f>IF(CriteriTecnici!$A747="","","    "&amp;CHAR(123)&amp;CHAR(34)&amp;"bidderId"&amp;CHAR(34)&amp;": "&amp;CHAR(34)&amp;SUBSTITUTE(CriteriTecnici!$A747,CHAR(34),"'")&amp;CHAR(34)&amp;", "&amp;CHAR(34)&amp;"lotId"&amp;CHAR(34)&amp;": "&amp;CHAR(34)&amp;SUBSTITUTE(CriteriTecnici!$C747,CHAR(34),"'")&amp;CHAR(34)&amp;", "&amp;CHAR(34)&amp;"criterionId"&amp;CHAR(34)&amp;": "&amp;CHAR(34)&amp;SUBSTITUTE(CriteriTecnici!$D747,CHAR(34),"'")&amp;CHAR(34)&amp;", "&amp;CHAR(34)&amp;"kind"&amp;CHAR(34)&amp;": "&amp;CHAR(34)&amp;SUBSTITUTE(CriteriTecnici!$F747,CHAR(34),"'")&amp;CHAR(34)&amp;", "&amp;CHAR(34)&amp;"value"&amp;CHAR(34)&amp;": "&amp;SUBSTITUTE(TRIM(ROUND(IFERROR(CriteriTecnici!$N747*1,IFERROR(NUMBERVALUE(CriteriTecnici!$N747,".",","),IFERROR(NUMBERVALUE(CriteriTecnici!$N747,",","."),0))),4)&amp;""),",",".")&amp;", "&amp;CHAR(34)&amp;"numerator"&amp;CHAR(34)&amp;": "&amp;SUBSTITUTE(TRIM(ROUND(IFERROR(CriteriTecnici!$K747*1,IFERROR(NUMBERVALUE(CriteriTecnici!$K747,".",","),IFERROR(NUMBERVALUE(CriteriTecnici!$K747,",","."),0))),4)&amp;""),",",".")&amp;", "&amp;CHAR(34)&amp;"denominator"&amp;CHAR(34)&amp;": "&amp;SUBSTITUTE(TRIM(ROUND(IFERROR(CriteriTecnici!$L747*1,IFERROR(NUMBERVALUE(CriteriTecnici!$L747,".",","),IFERROR(NUMBERVALUE(CriteriTecnici!$L747,",","."),0))),4)&amp;""),",",".")&amp;", "&amp;CHAR(34)&amp;"flag"&amp;CHAR(34)&amp;": "&amp;SUBSTITUTE(TRIM(ROUND(IFERROR(CriteriTecnici!$M747*1,IFERROR(NUMBERVALUE(CriteriTecnici!$M747,".",","),IFERROR(NUMBERVALUE(CriteriTecnici!$M747,",","."),0))),4)&amp;""),",",".")&amp;", "&amp;CHAR(34)&amp;"rawScore"&amp;CHAR(34)&amp;": "&amp;SUBSTITUTE(TRIM(ROUND(IFERROR(CriteriTecnici!$O747*1,IFERROR(NUMBERVALUE(CriteriTecnici!$O747,".",","),IFERROR(NUMBERVALUE(CriteriTecnici!$O747,",","."),0))),4)&amp;""),",",".")&amp;CHAR(125)&amp;IF(TRUE,",",""))</f>
        <v/>
      </c>
    </row>
    <row r="849">
      <c r="A849" s="82">
        <f>IF(CriteriTecnici!$A748="","","    "&amp;CHAR(123)&amp;CHAR(34)&amp;"bidderId"&amp;CHAR(34)&amp;": "&amp;CHAR(34)&amp;SUBSTITUTE(CriteriTecnici!$A748,CHAR(34),"'")&amp;CHAR(34)&amp;", "&amp;CHAR(34)&amp;"lotId"&amp;CHAR(34)&amp;": "&amp;CHAR(34)&amp;SUBSTITUTE(CriteriTecnici!$C748,CHAR(34),"'")&amp;CHAR(34)&amp;", "&amp;CHAR(34)&amp;"criterionId"&amp;CHAR(34)&amp;": "&amp;CHAR(34)&amp;SUBSTITUTE(CriteriTecnici!$D748,CHAR(34),"'")&amp;CHAR(34)&amp;", "&amp;CHAR(34)&amp;"kind"&amp;CHAR(34)&amp;": "&amp;CHAR(34)&amp;SUBSTITUTE(CriteriTecnici!$F748,CHAR(34),"'")&amp;CHAR(34)&amp;", "&amp;CHAR(34)&amp;"value"&amp;CHAR(34)&amp;": "&amp;SUBSTITUTE(TRIM(ROUND(IFERROR(CriteriTecnici!$N748*1,IFERROR(NUMBERVALUE(CriteriTecnici!$N748,".",","),IFERROR(NUMBERVALUE(CriteriTecnici!$N748,",","."),0))),4)&amp;""),",",".")&amp;", "&amp;CHAR(34)&amp;"numerator"&amp;CHAR(34)&amp;": "&amp;SUBSTITUTE(TRIM(ROUND(IFERROR(CriteriTecnici!$K748*1,IFERROR(NUMBERVALUE(CriteriTecnici!$K748,".",","),IFERROR(NUMBERVALUE(CriteriTecnici!$K748,",","."),0))),4)&amp;""),",",".")&amp;", "&amp;CHAR(34)&amp;"denominator"&amp;CHAR(34)&amp;": "&amp;SUBSTITUTE(TRIM(ROUND(IFERROR(CriteriTecnici!$L748*1,IFERROR(NUMBERVALUE(CriteriTecnici!$L748,".",","),IFERROR(NUMBERVALUE(CriteriTecnici!$L748,",","."),0))),4)&amp;""),",",".")&amp;", "&amp;CHAR(34)&amp;"flag"&amp;CHAR(34)&amp;": "&amp;SUBSTITUTE(TRIM(ROUND(IFERROR(CriteriTecnici!$M748*1,IFERROR(NUMBERVALUE(CriteriTecnici!$M748,".",","),IFERROR(NUMBERVALUE(CriteriTecnici!$M748,",","."),0))),4)&amp;""),",",".")&amp;", "&amp;CHAR(34)&amp;"rawScore"&amp;CHAR(34)&amp;": "&amp;SUBSTITUTE(TRIM(ROUND(IFERROR(CriteriTecnici!$O748*1,IFERROR(NUMBERVALUE(CriteriTecnici!$O748,".",","),IFERROR(NUMBERVALUE(CriteriTecnici!$O748,",","."),0))),4)&amp;""),",",".")&amp;CHAR(125)&amp;IF(COUNTA(Offerte!$A26:$A$81)&gt;0,",",""))</f>
        <v/>
      </c>
    </row>
    <row r="850">
      <c r="A850" s="82">
        <f>IF(CriteriTecnici!$A749="","","    "&amp;CHAR(123)&amp;CHAR(34)&amp;"bidderId"&amp;CHAR(34)&amp;": "&amp;CHAR(34)&amp;SUBSTITUTE(CriteriTecnici!$A749,CHAR(34),"'")&amp;CHAR(34)&amp;", "&amp;CHAR(34)&amp;"lotId"&amp;CHAR(34)&amp;": "&amp;CHAR(34)&amp;SUBSTITUTE(CriteriTecnici!$C749,CHAR(34),"'")&amp;CHAR(34)&amp;", "&amp;CHAR(34)&amp;"criterionId"&amp;CHAR(34)&amp;": "&amp;CHAR(34)&amp;SUBSTITUTE(CriteriTecnici!$D749,CHAR(34),"'")&amp;CHAR(34)&amp;", "&amp;CHAR(34)&amp;"kind"&amp;CHAR(34)&amp;": "&amp;CHAR(34)&amp;SUBSTITUTE(CriteriTecnici!$F749,CHAR(34),"'")&amp;CHAR(34)&amp;", "&amp;CHAR(34)&amp;"value"&amp;CHAR(34)&amp;": "&amp;SUBSTITUTE(TRIM(ROUND(IFERROR(CriteriTecnici!$N749*1,IFERROR(NUMBERVALUE(CriteriTecnici!$N749,".",","),IFERROR(NUMBERVALUE(CriteriTecnici!$N749,",","."),0))),4)&amp;""),",",".")&amp;", "&amp;CHAR(34)&amp;"numerator"&amp;CHAR(34)&amp;": "&amp;SUBSTITUTE(TRIM(ROUND(IFERROR(CriteriTecnici!$K749*1,IFERROR(NUMBERVALUE(CriteriTecnici!$K749,".",","),IFERROR(NUMBERVALUE(CriteriTecnici!$K749,",","."),0))),4)&amp;""),",",".")&amp;", "&amp;CHAR(34)&amp;"denominator"&amp;CHAR(34)&amp;": "&amp;SUBSTITUTE(TRIM(ROUND(IFERROR(CriteriTecnici!$L749*1,IFERROR(NUMBERVALUE(CriteriTecnici!$L749,".",","),IFERROR(NUMBERVALUE(CriteriTecnici!$L749,",","."),0))),4)&amp;""),",",".")&amp;", "&amp;CHAR(34)&amp;"flag"&amp;CHAR(34)&amp;": "&amp;SUBSTITUTE(TRIM(ROUND(IFERROR(CriteriTecnici!$M749*1,IFERROR(NUMBERVALUE(CriteriTecnici!$M749,".",","),IFERROR(NUMBERVALUE(CriteriTecnici!$M749,",","."),0))),4)&amp;""),",",".")&amp;", "&amp;CHAR(34)&amp;"rawScore"&amp;CHAR(34)&amp;": "&amp;SUBSTITUTE(TRIM(ROUND(IFERROR(CriteriTecnici!$O749*1,IFERROR(NUMBERVALUE(CriteriTecnici!$O749,".",","),IFERROR(NUMBERVALUE(CriteriTecnici!$O749,",","."),0))),4)&amp;""),",",".")&amp;CHAR(125)&amp;IF(TRUE,",",""))</f>
        <v/>
      </c>
    </row>
    <row r="851">
      <c r="A851" s="82">
        <f>IF(CriteriTecnici!$A750="","","    "&amp;CHAR(123)&amp;CHAR(34)&amp;"bidderId"&amp;CHAR(34)&amp;": "&amp;CHAR(34)&amp;SUBSTITUTE(CriteriTecnici!$A750,CHAR(34),"'")&amp;CHAR(34)&amp;", "&amp;CHAR(34)&amp;"lotId"&amp;CHAR(34)&amp;": "&amp;CHAR(34)&amp;SUBSTITUTE(CriteriTecnici!$C750,CHAR(34),"'")&amp;CHAR(34)&amp;", "&amp;CHAR(34)&amp;"criterionId"&amp;CHAR(34)&amp;": "&amp;CHAR(34)&amp;SUBSTITUTE(CriteriTecnici!$D750,CHAR(34),"'")&amp;CHAR(34)&amp;", "&amp;CHAR(34)&amp;"kind"&amp;CHAR(34)&amp;": "&amp;CHAR(34)&amp;SUBSTITUTE(CriteriTecnici!$F750,CHAR(34),"'")&amp;CHAR(34)&amp;", "&amp;CHAR(34)&amp;"value"&amp;CHAR(34)&amp;": "&amp;SUBSTITUTE(TRIM(ROUND(IFERROR(CriteriTecnici!$N750*1,IFERROR(NUMBERVALUE(CriteriTecnici!$N750,".",","),IFERROR(NUMBERVALUE(CriteriTecnici!$N750,",","."),0))),4)&amp;""),",",".")&amp;", "&amp;CHAR(34)&amp;"numerator"&amp;CHAR(34)&amp;": "&amp;SUBSTITUTE(TRIM(ROUND(IFERROR(CriteriTecnici!$K750*1,IFERROR(NUMBERVALUE(CriteriTecnici!$K750,".",","),IFERROR(NUMBERVALUE(CriteriTecnici!$K750,",","."),0))),4)&amp;""),",",".")&amp;", "&amp;CHAR(34)&amp;"denominator"&amp;CHAR(34)&amp;": "&amp;SUBSTITUTE(TRIM(ROUND(IFERROR(CriteriTecnici!$L750*1,IFERROR(NUMBERVALUE(CriteriTecnici!$L750,".",","),IFERROR(NUMBERVALUE(CriteriTecnici!$L750,",","."),0))),4)&amp;""),",",".")&amp;", "&amp;CHAR(34)&amp;"flag"&amp;CHAR(34)&amp;": "&amp;SUBSTITUTE(TRIM(ROUND(IFERROR(CriteriTecnici!$M750*1,IFERROR(NUMBERVALUE(CriteriTecnici!$M750,".",","),IFERROR(NUMBERVALUE(CriteriTecnici!$M750,",","."),0))),4)&amp;""),",",".")&amp;", "&amp;CHAR(34)&amp;"rawScore"&amp;CHAR(34)&amp;": "&amp;SUBSTITUTE(TRIM(ROUND(IFERROR(CriteriTecnici!$O750*1,IFERROR(NUMBERVALUE(CriteriTecnici!$O750,".",","),IFERROR(NUMBERVALUE(CriteriTecnici!$O750,",","."),0))),4)&amp;""),",",".")&amp;CHAR(125)&amp;IF(TRUE,",",""))</f>
        <v/>
      </c>
    </row>
    <row r="852">
      <c r="A852" s="82">
        <f>IF(CriteriTecnici!$A751="","","    "&amp;CHAR(123)&amp;CHAR(34)&amp;"bidderId"&amp;CHAR(34)&amp;": "&amp;CHAR(34)&amp;SUBSTITUTE(CriteriTecnici!$A751,CHAR(34),"'")&amp;CHAR(34)&amp;", "&amp;CHAR(34)&amp;"lotId"&amp;CHAR(34)&amp;": "&amp;CHAR(34)&amp;SUBSTITUTE(CriteriTecnici!$C751,CHAR(34),"'")&amp;CHAR(34)&amp;", "&amp;CHAR(34)&amp;"criterionId"&amp;CHAR(34)&amp;": "&amp;CHAR(34)&amp;SUBSTITUTE(CriteriTecnici!$D751,CHAR(34),"'")&amp;CHAR(34)&amp;", "&amp;CHAR(34)&amp;"kind"&amp;CHAR(34)&amp;": "&amp;CHAR(34)&amp;SUBSTITUTE(CriteriTecnici!$F751,CHAR(34),"'")&amp;CHAR(34)&amp;", "&amp;CHAR(34)&amp;"value"&amp;CHAR(34)&amp;": "&amp;SUBSTITUTE(TRIM(ROUND(IFERROR(CriteriTecnici!$N751*1,IFERROR(NUMBERVALUE(CriteriTecnici!$N751,".",","),IFERROR(NUMBERVALUE(CriteriTecnici!$N751,",","."),0))),4)&amp;""),",",".")&amp;", "&amp;CHAR(34)&amp;"numerator"&amp;CHAR(34)&amp;": "&amp;SUBSTITUTE(TRIM(ROUND(IFERROR(CriteriTecnici!$K751*1,IFERROR(NUMBERVALUE(CriteriTecnici!$K751,".",","),IFERROR(NUMBERVALUE(CriteriTecnici!$K751,",","."),0))),4)&amp;""),",",".")&amp;", "&amp;CHAR(34)&amp;"denominator"&amp;CHAR(34)&amp;": "&amp;SUBSTITUTE(TRIM(ROUND(IFERROR(CriteriTecnici!$L751*1,IFERROR(NUMBERVALUE(CriteriTecnici!$L751,".",","),IFERROR(NUMBERVALUE(CriteriTecnici!$L751,",","."),0))),4)&amp;""),",",".")&amp;", "&amp;CHAR(34)&amp;"flag"&amp;CHAR(34)&amp;": "&amp;SUBSTITUTE(TRIM(ROUND(IFERROR(CriteriTecnici!$M751*1,IFERROR(NUMBERVALUE(CriteriTecnici!$M751,".",","),IFERROR(NUMBERVALUE(CriteriTecnici!$M751,",","."),0))),4)&amp;""),",",".")&amp;", "&amp;CHAR(34)&amp;"rawScore"&amp;CHAR(34)&amp;": "&amp;SUBSTITUTE(TRIM(ROUND(IFERROR(CriteriTecnici!$O751*1,IFERROR(NUMBERVALUE(CriteriTecnici!$O751,".",","),IFERROR(NUMBERVALUE(CriteriTecnici!$O751,",","."),0))),4)&amp;""),",",".")&amp;CHAR(125)&amp;IF(TRUE,",",""))</f>
        <v/>
      </c>
    </row>
    <row r="853">
      <c r="A853" s="82">
        <f>IF(CriteriTecnici!$A752="","","    "&amp;CHAR(123)&amp;CHAR(34)&amp;"bidderId"&amp;CHAR(34)&amp;": "&amp;CHAR(34)&amp;SUBSTITUTE(CriteriTecnici!$A752,CHAR(34),"'")&amp;CHAR(34)&amp;", "&amp;CHAR(34)&amp;"lotId"&amp;CHAR(34)&amp;": "&amp;CHAR(34)&amp;SUBSTITUTE(CriteriTecnici!$C752,CHAR(34),"'")&amp;CHAR(34)&amp;", "&amp;CHAR(34)&amp;"criterionId"&amp;CHAR(34)&amp;": "&amp;CHAR(34)&amp;SUBSTITUTE(CriteriTecnici!$D752,CHAR(34),"'")&amp;CHAR(34)&amp;", "&amp;CHAR(34)&amp;"kind"&amp;CHAR(34)&amp;": "&amp;CHAR(34)&amp;SUBSTITUTE(CriteriTecnici!$F752,CHAR(34),"'")&amp;CHAR(34)&amp;", "&amp;CHAR(34)&amp;"value"&amp;CHAR(34)&amp;": "&amp;SUBSTITUTE(TRIM(ROUND(IFERROR(CriteriTecnici!$N752*1,IFERROR(NUMBERVALUE(CriteriTecnici!$N752,".",","),IFERROR(NUMBERVALUE(CriteriTecnici!$N752,",","."),0))),4)&amp;""),",",".")&amp;", "&amp;CHAR(34)&amp;"numerator"&amp;CHAR(34)&amp;": "&amp;SUBSTITUTE(TRIM(ROUND(IFERROR(CriteriTecnici!$K752*1,IFERROR(NUMBERVALUE(CriteriTecnici!$K752,".",","),IFERROR(NUMBERVALUE(CriteriTecnici!$K752,",","."),0))),4)&amp;""),",",".")&amp;", "&amp;CHAR(34)&amp;"denominator"&amp;CHAR(34)&amp;": "&amp;SUBSTITUTE(TRIM(ROUND(IFERROR(CriteriTecnici!$L752*1,IFERROR(NUMBERVALUE(CriteriTecnici!$L752,".",","),IFERROR(NUMBERVALUE(CriteriTecnici!$L752,",","."),0))),4)&amp;""),",",".")&amp;", "&amp;CHAR(34)&amp;"flag"&amp;CHAR(34)&amp;": "&amp;SUBSTITUTE(TRIM(ROUND(IFERROR(CriteriTecnici!$M752*1,IFERROR(NUMBERVALUE(CriteriTecnici!$M752,".",","),IFERROR(NUMBERVALUE(CriteriTecnici!$M752,",","."),0))),4)&amp;""),",",".")&amp;", "&amp;CHAR(34)&amp;"rawScore"&amp;CHAR(34)&amp;": "&amp;SUBSTITUTE(TRIM(ROUND(IFERROR(CriteriTecnici!$O752*1,IFERROR(NUMBERVALUE(CriteriTecnici!$O752,".",","),IFERROR(NUMBERVALUE(CriteriTecnici!$O752,",","."),0))),4)&amp;""),",",".")&amp;CHAR(125)&amp;IF(TRUE,",",""))</f>
        <v/>
      </c>
    </row>
    <row r="854">
      <c r="A854" s="82">
        <f>IF(CriteriTecnici!$A753="","","    "&amp;CHAR(123)&amp;CHAR(34)&amp;"bidderId"&amp;CHAR(34)&amp;": "&amp;CHAR(34)&amp;SUBSTITUTE(CriteriTecnici!$A753,CHAR(34),"'")&amp;CHAR(34)&amp;", "&amp;CHAR(34)&amp;"lotId"&amp;CHAR(34)&amp;": "&amp;CHAR(34)&amp;SUBSTITUTE(CriteriTecnici!$C753,CHAR(34),"'")&amp;CHAR(34)&amp;", "&amp;CHAR(34)&amp;"criterionId"&amp;CHAR(34)&amp;": "&amp;CHAR(34)&amp;SUBSTITUTE(CriteriTecnici!$D753,CHAR(34),"'")&amp;CHAR(34)&amp;", "&amp;CHAR(34)&amp;"kind"&amp;CHAR(34)&amp;": "&amp;CHAR(34)&amp;SUBSTITUTE(CriteriTecnici!$F753,CHAR(34),"'")&amp;CHAR(34)&amp;", "&amp;CHAR(34)&amp;"value"&amp;CHAR(34)&amp;": "&amp;SUBSTITUTE(TRIM(ROUND(IFERROR(CriteriTecnici!$N753*1,IFERROR(NUMBERVALUE(CriteriTecnici!$N753,".",","),IFERROR(NUMBERVALUE(CriteriTecnici!$N753,",","."),0))),4)&amp;""),",",".")&amp;", "&amp;CHAR(34)&amp;"numerator"&amp;CHAR(34)&amp;": "&amp;SUBSTITUTE(TRIM(ROUND(IFERROR(CriteriTecnici!$K753*1,IFERROR(NUMBERVALUE(CriteriTecnici!$K753,".",","),IFERROR(NUMBERVALUE(CriteriTecnici!$K753,",","."),0))),4)&amp;""),",",".")&amp;", "&amp;CHAR(34)&amp;"denominator"&amp;CHAR(34)&amp;": "&amp;SUBSTITUTE(TRIM(ROUND(IFERROR(CriteriTecnici!$L753*1,IFERROR(NUMBERVALUE(CriteriTecnici!$L753,".",","),IFERROR(NUMBERVALUE(CriteriTecnici!$L753,",","."),0))),4)&amp;""),",",".")&amp;", "&amp;CHAR(34)&amp;"flag"&amp;CHAR(34)&amp;": "&amp;SUBSTITUTE(TRIM(ROUND(IFERROR(CriteriTecnici!$M753*1,IFERROR(NUMBERVALUE(CriteriTecnici!$M753,".",","),IFERROR(NUMBERVALUE(CriteriTecnici!$M753,",","."),0))),4)&amp;""),",",".")&amp;", "&amp;CHAR(34)&amp;"rawScore"&amp;CHAR(34)&amp;": "&amp;SUBSTITUTE(TRIM(ROUND(IFERROR(CriteriTecnici!$O753*1,IFERROR(NUMBERVALUE(CriteriTecnici!$O753,".",","),IFERROR(NUMBERVALUE(CriteriTecnici!$O753,",","."),0))),4)&amp;""),",",".")&amp;CHAR(125)&amp;IF(TRUE,",",""))</f>
        <v/>
      </c>
    </row>
    <row r="855">
      <c r="A855" s="82">
        <f>IF(CriteriTecnici!$A754="","","    "&amp;CHAR(123)&amp;CHAR(34)&amp;"bidderId"&amp;CHAR(34)&amp;": "&amp;CHAR(34)&amp;SUBSTITUTE(CriteriTecnici!$A754,CHAR(34),"'")&amp;CHAR(34)&amp;", "&amp;CHAR(34)&amp;"lotId"&amp;CHAR(34)&amp;": "&amp;CHAR(34)&amp;SUBSTITUTE(CriteriTecnici!$C754,CHAR(34),"'")&amp;CHAR(34)&amp;", "&amp;CHAR(34)&amp;"criterionId"&amp;CHAR(34)&amp;": "&amp;CHAR(34)&amp;SUBSTITUTE(CriteriTecnici!$D754,CHAR(34),"'")&amp;CHAR(34)&amp;", "&amp;CHAR(34)&amp;"kind"&amp;CHAR(34)&amp;": "&amp;CHAR(34)&amp;SUBSTITUTE(CriteriTecnici!$F754,CHAR(34),"'")&amp;CHAR(34)&amp;", "&amp;CHAR(34)&amp;"value"&amp;CHAR(34)&amp;": "&amp;SUBSTITUTE(TRIM(ROUND(IFERROR(CriteriTecnici!$N754*1,IFERROR(NUMBERVALUE(CriteriTecnici!$N754,".",","),IFERROR(NUMBERVALUE(CriteriTecnici!$N754,",","."),0))),4)&amp;""),",",".")&amp;", "&amp;CHAR(34)&amp;"numerator"&amp;CHAR(34)&amp;": "&amp;SUBSTITUTE(TRIM(ROUND(IFERROR(CriteriTecnici!$K754*1,IFERROR(NUMBERVALUE(CriteriTecnici!$K754,".",","),IFERROR(NUMBERVALUE(CriteriTecnici!$K754,",","."),0))),4)&amp;""),",",".")&amp;", "&amp;CHAR(34)&amp;"denominator"&amp;CHAR(34)&amp;": "&amp;SUBSTITUTE(TRIM(ROUND(IFERROR(CriteriTecnici!$L754*1,IFERROR(NUMBERVALUE(CriteriTecnici!$L754,".",","),IFERROR(NUMBERVALUE(CriteriTecnici!$L754,",","."),0))),4)&amp;""),",",".")&amp;", "&amp;CHAR(34)&amp;"flag"&amp;CHAR(34)&amp;": "&amp;SUBSTITUTE(TRIM(ROUND(IFERROR(CriteriTecnici!$M754*1,IFERROR(NUMBERVALUE(CriteriTecnici!$M754,".",","),IFERROR(NUMBERVALUE(CriteriTecnici!$M754,",","."),0))),4)&amp;""),",",".")&amp;", "&amp;CHAR(34)&amp;"rawScore"&amp;CHAR(34)&amp;": "&amp;SUBSTITUTE(TRIM(ROUND(IFERROR(CriteriTecnici!$O754*1,IFERROR(NUMBERVALUE(CriteriTecnici!$O754,".",","),IFERROR(NUMBERVALUE(CriteriTecnici!$O754,",","."),0))),4)&amp;""),",",".")&amp;CHAR(125)&amp;IF(TRUE,",",""))</f>
        <v/>
      </c>
    </row>
    <row r="856">
      <c r="A856" s="82">
        <f>IF(CriteriTecnici!$A755="","","    "&amp;CHAR(123)&amp;CHAR(34)&amp;"bidderId"&amp;CHAR(34)&amp;": "&amp;CHAR(34)&amp;SUBSTITUTE(CriteriTecnici!$A755,CHAR(34),"'")&amp;CHAR(34)&amp;", "&amp;CHAR(34)&amp;"lotId"&amp;CHAR(34)&amp;": "&amp;CHAR(34)&amp;SUBSTITUTE(CriteriTecnici!$C755,CHAR(34),"'")&amp;CHAR(34)&amp;", "&amp;CHAR(34)&amp;"criterionId"&amp;CHAR(34)&amp;": "&amp;CHAR(34)&amp;SUBSTITUTE(CriteriTecnici!$D755,CHAR(34),"'")&amp;CHAR(34)&amp;", "&amp;CHAR(34)&amp;"kind"&amp;CHAR(34)&amp;": "&amp;CHAR(34)&amp;SUBSTITUTE(CriteriTecnici!$F755,CHAR(34),"'")&amp;CHAR(34)&amp;", "&amp;CHAR(34)&amp;"value"&amp;CHAR(34)&amp;": "&amp;SUBSTITUTE(TRIM(ROUND(IFERROR(CriteriTecnici!$N755*1,IFERROR(NUMBERVALUE(CriteriTecnici!$N755,".",","),IFERROR(NUMBERVALUE(CriteriTecnici!$N755,",","."),0))),4)&amp;""),",",".")&amp;", "&amp;CHAR(34)&amp;"numerator"&amp;CHAR(34)&amp;": "&amp;SUBSTITUTE(TRIM(ROUND(IFERROR(CriteriTecnici!$K755*1,IFERROR(NUMBERVALUE(CriteriTecnici!$K755,".",","),IFERROR(NUMBERVALUE(CriteriTecnici!$K755,",","."),0))),4)&amp;""),",",".")&amp;", "&amp;CHAR(34)&amp;"denominator"&amp;CHAR(34)&amp;": "&amp;SUBSTITUTE(TRIM(ROUND(IFERROR(CriteriTecnici!$L755*1,IFERROR(NUMBERVALUE(CriteriTecnici!$L755,".",","),IFERROR(NUMBERVALUE(CriteriTecnici!$L755,",","."),0))),4)&amp;""),",",".")&amp;", "&amp;CHAR(34)&amp;"flag"&amp;CHAR(34)&amp;": "&amp;SUBSTITUTE(TRIM(ROUND(IFERROR(CriteriTecnici!$M755*1,IFERROR(NUMBERVALUE(CriteriTecnici!$M755,".",","),IFERROR(NUMBERVALUE(CriteriTecnici!$M755,",","."),0))),4)&amp;""),",",".")&amp;", "&amp;CHAR(34)&amp;"rawScore"&amp;CHAR(34)&amp;": "&amp;SUBSTITUTE(TRIM(ROUND(IFERROR(CriteriTecnici!$O755*1,IFERROR(NUMBERVALUE(CriteriTecnici!$O755,".",","),IFERROR(NUMBERVALUE(CriteriTecnici!$O755,",","."),0))),4)&amp;""),",",".")&amp;CHAR(125)&amp;IF(TRUE,",",""))</f>
        <v/>
      </c>
    </row>
    <row r="857">
      <c r="A857" s="82">
        <f>IF(CriteriTecnici!$A756="","","    "&amp;CHAR(123)&amp;CHAR(34)&amp;"bidderId"&amp;CHAR(34)&amp;": "&amp;CHAR(34)&amp;SUBSTITUTE(CriteriTecnici!$A756,CHAR(34),"'")&amp;CHAR(34)&amp;", "&amp;CHAR(34)&amp;"lotId"&amp;CHAR(34)&amp;": "&amp;CHAR(34)&amp;SUBSTITUTE(CriteriTecnici!$C756,CHAR(34),"'")&amp;CHAR(34)&amp;", "&amp;CHAR(34)&amp;"criterionId"&amp;CHAR(34)&amp;": "&amp;CHAR(34)&amp;SUBSTITUTE(CriteriTecnici!$D756,CHAR(34),"'")&amp;CHAR(34)&amp;", "&amp;CHAR(34)&amp;"kind"&amp;CHAR(34)&amp;": "&amp;CHAR(34)&amp;SUBSTITUTE(CriteriTecnici!$F756,CHAR(34),"'")&amp;CHAR(34)&amp;", "&amp;CHAR(34)&amp;"value"&amp;CHAR(34)&amp;": "&amp;SUBSTITUTE(TRIM(ROUND(IFERROR(CriteriTecnici!$N756*1,IFERROR(NUMBERVALUE(CriteriTecnici!$N756,".",","),IFERROR(NUMBERVALUE(CriteriTecnici!$N756,",","."),0))),4)&amp;""),",",".")&amp;", "&amp;CHAR(34)&amp;"numerator"&amp;CHAR(34)&amp;": "&amp;SUBSTITUTE(TRIM(ROUND(IFERROR(CriteriTecnici!$K756*1,IFERROR(NUMBERVALUE(CriteriTecnici!$K756,".",","),IFERROR(NUMBERVALUE(CriteriTecnici!$K756,",","."),0))),4)&amp;""),",",".")&amp;", "&amp;CHAR(34)&amp;"denominator"&amp;CHAR(34)&amp;": "&amp;SUBSTITUTE(TRIM(ROUND(IFERROR(CriteriTecnici!$L756*1,IFERROR(NUMBERVALUE(CriteriTecnici!$L756,".",","),IFERROR(NUMBERVALUE(CriteriTecnici!$L756,",","."),0))),4)&amp;""),",",".")&amp;", "&amp;CHAR(34)&amp;"flag"&amp;CHAR(34)&amp;": "&amp;SUBSTITUTE(TRIM(ROUND(IFERROR(CriteriTecnici!$M756*1,IFERROR(NUMBERVALUE(CriteriTecnici!$M756,".",","),IFERROR(NUMBERVALUE(CriteriTecnici!$M756,",","."),0))),4)&amp;""),",",".")&amp;", "&amp;CHAR(34)&amp;"rawScore"&amp;CHAR(34)&amp;": "&amp;SUBSTITUTE(TRIM(ROUND(IFERROR(CriteriTecnici!$O756*1,IFERROR(NUMBERVALUE(CriteriTecnici!$O756,".",","),IFERROR(NUMBERVALUE(CriteriTecnici!$O756,",","."),0))),4)&amp;""),",",".")&amp;CHAR(125)&amp;IF(TRUE,",",""))</f>
        <v/>
      </c>
    </row>
    <row r="858">
      <c r="A858" s="82">
        <f>IF(CriteriTecnici!$A757="","","    "&amp;CHAR(123)&amp;CHAR(34)&amp;"bidderId"&amp;CHAR(34)&amp;": "&amp;CHAR(34)&amp;SUBSTITUTE(CriteriTecnici!$A757,CHAR(34),"'")&amp;CHAR(34)&amp;", "&amp;CHAR(34)&amp;"lotId"&amp;CHAR(34)&amp;": "&amp;CHAR(34)&amp;SUBSTITUTE(CriteriTecnici!$C757,CHAR(34),"'")&amp;CHAR(34)&amp;", "&amp;CHAR(34)&amp;"criterionId"&amp;CHAR(34)&amp;": "&amp;CHAR(34)&amp;SUBSTITUTE(CriteriTecnici!$D757,CHAR(34),"'")&amp;CHAR(34)&amp;", "&amp;CHAR(34)&amp;"kind"&amp;CHAR(34)&amp;": "&amp;CHAR(34)&amp;SUBSTITUTE(CriteriTecnici!$F757,CHAR(34),"'")&amp;CHAR(34)&amp;", "&amp;CHAR(34)&amp;"value"&amp;CHAR(34)&amp;": "&amp;SUBSTITUTE(TRIM(ROUND(IFERROR(CriteriTecnici!$N757*1,IFERROR(NUMBERVALUE(CriteriTecnici!$N757,".",","),IFERROR(NUMBERVALUE(CriteriTecnici!$N757,",","."),0))),4)&amp;""),",",".")&amp;", "&amp;CHAR(34)&amp;"numerator"&amp;CHAR(34)&amp;": "&amp;SUBSTITUTE(TRIM(ROUND(IFERROR(CriteriTecnici!$K757*1,IFERROR(NUMBERVALUE(CriteriTecnici!$K757,".",","),IFERROR(NUMBERVALUE(CriteriTecnici!$K757,",","."),0))),4)&amp;""),",",".")&amp;", "&amp;CHAR(34)&amp;"denominator"&amp;CHAR(34)&amp;": "&amp;SUBSTITUTE(TRIM(ROUND(IFERROR(CriteriTecnici!$L757*1,IFERROR(NUMBERVALUE(CriteriTecnici!$L757,".",","),IFERROR(NUMBERVALUE(CriteriTecnici!$L757,",","."),0))),4)&amp;""),",",".")&amp;", "&amp;CHAR(34)&amp;"flag"&amp;CHAR(34)&amp;": "&amp;SUBSTITUTE(TRIM(ROUND(IFERROR(CriteriTecnici!$M757*1,IFERROR(NUMBERVALUE(CriteriTecnici!$M757,".",","),IFERROR(NUMBERVALUE(CriteriTecnici!$M757,",","."),0))),4)&amp;""),",",".")&amp;", "&amp;CHAR(34)&amp;"rawScore"&amp;CHAR(34)&amp;": "&amp;SUBSTITUTE(TRIM(ROUND(IFERROR(CriteriTecnici!$O757*1,IFERROR(NUMBERVALUE(CriteriTecnici!$O757,".",","),IFERROR(NUMBERVALUE(CriteriTecnici!$O757,",","."),0))),4)&amp;""),",",".")&amp;CHAR(125)&amp;IF(TRUE,",",""))</f>
        <v/>
      </c>
    </row>
    <row r="859">
      <c r="A859" s="82">
        <f>IF(CriteriTecnici!$A758="","","    "&amp;CHAR(123)&amp;CHAR(34)&amp;"bidderId"&amp;CHAR(34)&amp;": "&amp;CHAR(34)&amp;SUBSTITUTE(CriteriTecnici!$A758,CHAR(34),"'")&amp;CHAR(34)&amp;", "&amp;CHAR(34)&amp;"lotId"&amp;CHAR(34)&amp;": "&amp;CHAR(34)&amp;SUBSTITUTE(CriteriTecnici!$C758,CHAR(34),"'")&amp;CHAR(34)&amp;", "&amp;CHAR(34)&amp;"criterionId"&amp;CHAR(34)&amp;": "&amp;CHAR(34)&amp;SUBSTITUTE(CriteriTecnici!$D758,CHAR(34),"'")&amp;CHAR(34)&amp;", "&amp;CHAR(34)&amp;"kind"&amp;CHAR(34)&amp;": "&amp;CHAR(34)&amp;SUBSTITUTE(CriteriTecnici!$F758,CHAR(34),"'")&amp;CHAR(34)&amp;", "&amp;CHAR(34)&amp;"value"&amp;CHAR(34)&amp;": "&amp;SUBSTITUTE(TRIM(ROUND(IFERROR(CriteriTecnici!$N758*1,IFERROR(NUMBERVALUE(CriteriTecnici!$N758,".",","),IFERROR(NUMBERVALUE(CriteriTecnici!$N758,",","."),0))),4)&amp;""),",",".")&amp;", "&amp;CHAR(34)&amp;"numerator"&amp;CHAR(34)&amp;": "&amp;SUBSTITUTE(TRIM(ROUND(IFERROR(CriteriTecnici!$K758*1,IFERROR(NUMBERVALUE(CriteriTecnici!$K758,".",","),IFERROR(NUMBERVALUE(CriteriTecnici!$K758,",","."),0))),4)&amp;""),",",".")&amp;", "&amp;CHAR(34)&amp;"denominator"&amp;CHAR(34)&amp;": "&amp;SUBSTITUTE(TRIM(ROUND(IFERROR(CriteriTecnici!$L758*1,IFERROR(NUMBERVALUE(CriteriTecnici!$L758,".",","),IFERROR(NUMBERVALUE(CriteriTecnici!$L758,",","."),0))),4)&amp;""),",",".")&amp;", "&amp;CHAR(34)&amp;"flag"&amp;CHAR(34)&amp;": "&amp;SUBSTITUTE(TRIM(ROUND(IFERROR(CriteriTecnici!$M758*1,IFERROR(NUMBERVALUE(CriteriTecnici!$M758,".",","),IFERROR(NUMBERVALUE(CriteriTecnici!$M758,",","."),0))),4)&amp;""),",",".")&amp;", "&amp;CHAR(34)&amp;"rawScore"&amp;CHAR(34)&amp;": "&amp;SUBSTITUTE(TRIM(ROUND(IFERROR(CriteriTecnici!$O758*1,IFERROR(NUMBERVALUE(CriteriTecnici!$O758,".",","),IFERROR(NUMBERVALUE(CriteriTecnici!$O758,",","."),0))),4)&amp;""),",",".")&amp;CHAR(125)&amp;IF(TRUE,",",""))</f>
        <v/>
      </c>
    </row>
    <row r="860">
      <c r="A860" s="82">
        <f>IF(CriteriTecnici!$A759="","","    "&amp;CHAR(123)&amp;CHAR(34)&amp;"bidderId"&amp;CHAR(34)&amp;": "&amp;CHAR(34)&amp;SUBSTITUTE(CriteriTecnici!$A759,CHAR(34),"'")&amp;CHAR(34)&amp;", "&amp;CHAR(34)&amp;"lotId"&amp;CHAR(34)&amp;": "&amp;CHAR(34)&amp;SUBSTITUTE(CriteriTecnici!$C759,CHAR(34),"'")&amp;CHAR(34)&amp;", "&amp;CHAR(34)&amp;"criterionId"&amp;CHAR(34)&amp;": "&amp;CHAR(34)&amp;SUBSTITUTE(CriteriTecnici!$D759,CHAR(34),"'")&amp;CHAR(34)&amp;", "&amp;CHAR(34)&amp;"kind"&amp;CHAR(34)&amp;": "&amp;CHAR(34)&amp;SUBSTITUTE(CriteriTecnici!$F759,CHAR(34),"'")&amp;CHAR(34)&amp;", "&amp;CHAR(34)&amp;"value"&amp;CHAR(34)&amp;": "&amp;SUBSTITUTE(TRIM(ROUND(IFERROR(CriteriTecnici!$N759*1,IFERROR(NUMBERVALUE(CriteriTecnici!$N759,".",","),IFERROR(NUMBERVALUE(CriteriTecnici!$N759,",","."),0))),4)&amp;""),",",".")&amp;", "&amp;CHAR(34)&amp;"numerator"&amp;CHAR(34)&amp;": "&amp;SUBSTITUTE(TRIM(ROUND(IFERROR(CriteriTecnici!$K759*1,IFERROR(NUMBERVALUE(CriteriTecnici!$K759,".",","),IFERROR(NUMBERVALUE(CriteriTecnici!$K759,",","."),0))),4)&amp;""),",",".")&amp;", "&amp;CHAR(34)&amp;"denominator"&amp;CHAR(34)&amp;": "&amp;SUBSTITUTE(TRIM(ROUND(IFERROR(CriteriTecnici!$L759*1,IFERROR(NUMBERVALUE(CriteriTecnici!$L759,".",","),IFERROR(NUMBERVALUE(CriteriTecnici!$L759,",","."),0))),4)&amp;""),",",".")&amp;", "&amp;CHAR(34)&amp;"flag"&amp;CHAR(34)&amp;": "&amp;SUBSTITUTE(TRIM(ROUND(IFERROR(CriteriTecnici!$M759*1,IFERROR(NUMBERVALUE(CriteriTecnici!$M759,".",","),IFERROR(NUMBERVALUE(CriteriTecnici!$M759,",","."),0))),4)&amp;""),",",".")&amp;", "&amp;CHAR(34)&amp;"rawScore"&amp;CHAR(34)&amp;": "&amp;SUBSTITUTE(TRIM(ROUND(IFERROR(CriteriTecnici!$O759*1,IFERROR(NUMBERVALUE(CriteriTecnici!$O759,".",","),IFERROR(NUMBERVALUE(CriteriTecnici!$O759,",","."),0))),4)&amp;""),",",".")&amp;CHAR(125)&amp;IF(TRUE,",",""))</f>
        <v/>
      </c>
    </row>
    <row r="861">
      <c r="A861" s="82">
        <f>IF(CriteriTecnici!$A760="","","    "&amp;CHAR(123)&amp;CHAR(34)&amp;"bidderId"&amp;CHAR(34)&amp;": "&amp;CHAR(34)&amp;SUBSTITUTE(CriteriTecnici!$A760,CHAR(34),"'")&amp;CHAR(34)&amp;", "&amp;CHAR(34)&amp;"lotId"&amp;CHAR(34)&amp;": "&amp;CHAR(34)&amp;SUBSTITUTE(CriteriTecnici!$C760,CHAR(34),"'")&amp;CHAR(34)&amp;", "&amp;CHAR(34)&amp;"criterionId"&amp;CHAR(34)&amp;": "&amp;CHAR(34)&amp;SUBSTITUTE(CriteriTecnici!$D760,CHAR(34),"'")&amp;CHAR(34)&amp;", "&amp;CHAR(34)&amp;"kind"&amp;CHAR(34)&amp;": "&amp;CHAR(34)&amp;SUBSTITUTE(CriteriTecnici!$F760,CHAR(34),"'")&amp;CHAR(34)&amp;", "&amp;CHAR(34)&amp;"value"&amp;CHAR(34)&amp;": "&amp;SUBSTITUTE(TRIM(ROUND(IFERROR(CriteriTecnici!$N760*1,IFERROR(NUMBERVALUE(CriteriTecnici!$N760,".",","),IFERROR(NUMBERVALUE(CriteriTecnici!$N760,",","."),0))),4)&amp;""),",",".")&amp;", "&amp;CHAR(34)&amp;"numerator"&amp;CHAR(34)&amp;": "&amp;SUBSTITUTE(TRIM(ROUND(IFERROR(CriteriTecnici!$K760*1,IFERROR(NUMBERVALUE(CriteriTecnici!$K760,".",","),IFERROR(NUMBERVALUE(CriteriTecnici!$K760,",","."),0))),4)&amp;""),",",".")&amp;", "&amp;CHAR(34)&amp;"denominator"&amp;CHAR(34)&amp;": "&amp;SUBSTITUTE(TRIM(ROUND(IFERROR(CriteriTecnici!$L760*1,IFERROR(NUMBERVALUE(CriteriTecnici!$L760,".",","),IFERROR(NUMBERVALUE(CriteriTecnici!$L760,",","."),0))),4)&amp;""),",",".")&amp;", "&amp;CHAR(34)&amp;"flag"&amp;CHAR(34)&amp;": "&amp;SUBSTITUTE(TRIM(ROUND(IFERROR(CriteriTecnici!$M760*1,IFERROR(NUMBERVALUE(CriteriTecnici!$M760,".",","),IFERROR(NUMBERVALUE(CriteriTecnici!$M760,",","."),0))),4)&amp;""),",",".")&amp;", "&amp;CHAR(34)&amp;"rawScore"&amp;CHAR(34)&amp;": "&amp;SUBSTITUTE(TRIM(ROUND(IFERROR(CriteriTecnici!$O760*1,IFERROR(NUMBERVALUE(CriteriTecnici!$O760,".",","),IFERROR(NUMBERVALUE(CriteriTecnici!$O760,",","."),0))),4)&amp;""),",",".")&amp;CHAR(125)&amp;IF(TRUE,",",""))</f>
        <v/>
      </c>
    </row>
    <row r="862">
      <c r="A862" s="82">
        <f>IF(CriteriTecnici!$A761="","","    "&amp;CHAR(123)&amp;CHAR(34)&amp;"bidderId"&amp;CHAR(34)&amp;": "&amp;CHAR(34)&amp;SUBSTITUTE(CriteriTecnici!$A761,CHAR(34),"'")&amp;CHAR(34)&amp;", "&amp;CHAR(34)&amp;"lotId"&amp;CHAR(34)&amp;": "&amp;CHAR(34)&amp;SUBSTITUTE(CriteriTecnici!$C761,CHAR(34),"'")&amp;CHAR(34)&amp;", "&amp;CHAR(34)&amp;"criterionId"&amp;CHAR(34)&amp;": "&amp;CHAR(34)&amp;SUBSTITUTE(CriteriTecnici!$D761,CHAR(34),"'")&amp;CHAR(34)&amp;", "&amp;CHAR(34)&amp;"kind"&amp;CHAR(34)&amp;": "&amp;CHAR(34)&amp;SUBSTITUTE(CriteriTecnici!$F761,CHAR(34),"'")&amp;CHAR(34)&amp;", "&amp;CHAR(34)&amp;"value"&amp;CHAR(34)&amp;": "&amp;SUBSTITUTE(TRIM(ROUND(IFERROR(CriteriTecnici!$N761*1,IFERROR(NUMBERVALUE(CriteriTecnici!$N761,".",","),IFERROR(NUMBERVALUE(CriteriTecnici!$N761,",","."),0))),4)&amp;""),",",".")&amp;", "&amp;CHAR(34)&amp;"numerator"&amp;CHAR(34)&amp;": "&amp;SUBSTITUTE(TRIM(ROUND(IFERROR(CriteriTecnici!$K761*1,IFERROR(NUMBERVALUE(CriteriTecnici!$K761,".",","),IFERROR(NUMBERVALUE(CriteriTecnici!$K761,",","."),0))),4)&amp;""),",",".")&amp;", "&amp;CHAR(34)&amp;"denominator"&amp;CHAR(34)&amp;": "&amp;SUBSTITUTE(TRIM(ROUND(IFERROR(CriteriTecnici!$L761*1,IFERROR(NUMBERVALUE(CriteriTecnici!$L761,".",","),IFERROR(NUMBERVALUE(CriteriTecnici!$L761,",","."),0))),4)&amp;""),",",".")&amp;", "&amp;CHAR(34)&amp;"flag"&amp;CHAR(34)&amp;": "&amp;SUBSTITUTE(TRIM(ROUND(IFERROR(CriteriTecnici!$M761*1,IFERROR(NUMBERVALUE(CriteriTecnici!$M761,".",","),IFERROR(NUMBERVALUE(CriteriTecnici!$M761,",","."),0))),4)&amp;""),",",".")&amp;", "&amp;CHAR(34)&amp;"rawScore"&amp;CHAR(34)&amp;": "&amp;SUBSTITUTE(TRIM(ROUND(IFERROR(CriteriTecnici!$O761*1,IFERROR(NUMBERVALUE(CriteriTecnici!$O761,".",","),IFERROR(NUMBERVALUE(CriteriTecnici!$O761,",","."),0))),4)&amp;""),",",".")&amp;CHAR(125)&amp;IF(TRUE,",",""))</f>
        <v/>
      </c>
    </row>
    <row r="863">
      <c r="A863" s="82">
        <f>IF(CriteriTecnici!$A762="","","    "&amp;CHAR(123)&amp;CHAR(34)&amp;"bidderId"&amp;CHAR(34)&amp;": "&amp;CHAR(34)&amp;SUBSTITUTE(CriteriTecnici!$A762,CHAR(34),"'")&amp;CHAR(34)&amp;", "&amp;CHAR(34)&amp;"lotId"&amp;CHAR(34)&amp;": "&amp;CHAR(34)&amp;SUBSTITUTE(CriteriTecnici!$C762,CHAR(34),"'")&amp;CHAR(34)&amp;", "&amp;CHAR(34)&amp;"criterionId"&amp;CHAR(34)&amp;": "&amp;CHAR(34)&amp;SUBSTITUTE(CriteriTecnici!$D762,CHAR(34),"'")&amp;CHAR(34)&amp;", "&amp;CHAR(34)&amp;"kind"&amp;CHAR(34)&amp;": "&amp;CHAR(34)&amp;SUBSTITUTE(CriteriTecnici!$F762,CHAR(34),"'")&amp;CHAR(34)&amp;", "&amp;CHAR(34)&amp;"value"&amp;CHAR(34)&amp;": "&amp;SUBSTITUTE(TRIM(ROUND(IFERROR(CriteriTecnici!$N762*1,IFERROR(NUMBERVALUE(CriteriTecnici!$N762,".",","),IFERROR(NUMBERVALUE(CriteriTecnici!$N762,",","."),0))),4)&amp;""),",",".")&amp;", "&amp;CHAR(34)&amp;"numerator"&amp;CHAR(34)&amp;": "&amp;SUBSTITUTE(TRIM(ROUND(IFERROR(CriteriTecnici!$K762*1,IFERROR(NUMBERVALUE(CriteriTecnici!$K762,".",","),IFERROR(NUMBERVALUE(CriteriTecnici!$K762,",","."),0))),4)&amp;""),",",".")&amp;", "&amp;CHAR(34)&amp;"denominator"&amp;CHAR(34)&amp;": "&amp;SUBSTITUTE(TRIM(ROUND(IFERROR(CriteriTecnici!$L762*1,IFERROR(NUMBERVALUE(CriteriTecnici!$L762,".",","),IFERROR(NUMBERVALUE(CriteriTecnici!$L762,",","."),0))),4)&amp;""),",",".")&amp;", "&amp;CHAR(34)&amp;"flag"&amp;CHAR(34)&amp;": "&amp;SUBSTITUTE(TRIM(ROUND(IFERROR(CriteriTecnici!$M762*1,IFERROR(NUMBERVALUE(CriteriTecnici!$M762,".",","),IFERROR(NUMBERVALUE(CriteriTecnici!$M762,",","."),0))),4)&amp;""),",",".")&amp;", "&amp;CHAR(34)&amp;"rawScore"&amp;CHAR(34)&amp;": "&amp;SUBSTITUTE(TRIM(ROUND(IFERROR(CriteriTecnici!$O762*1,IFERROR(NUMBERVALUE(CriteriTecnici!$O762,".",","),IFERROR(NUMBERVALUE(CriteriTecnici!$O762,",","."),0))),4)&amp;""),",",".")&amp;CHAR(125)&amp;IF(TRUE,",",""))</f>
        <v/>
      </c>
    </row>
    <row r="864">
      <c r="A864" s="82">
        <f>IF(CriteriTecnici!$A763="","","    "&amp;CHAR(123)&amp;CHAR(34)&amp;"bidderId"&amp;CHAR(34)&amp;": "&amp;CHAR(34)&amp;SUBSTITUTE(CriteriTecnici!$A763,CHAR(34),"'")&amp;CHAR(34)&amp;", "&amp;CHAR(34)&amp;"lotId"&amp;CHAR(34)&amp;": "&amp;CHAR(34)&amp;SUBSTITUTE(CriteriTecnici!$C763,CHAR(34),"'")&amp;CHAR(34)&amp;", "&amp;CHAR(34)&amp;"criterionId"&amp;CHAR(34)&amp;": "&amp;CHAR(34)&amp;SUBSTITUTE(CriteriTecnici!$D763,CHAR(34),"'")&amp;CHAR(34)&amp;", "&amp;CHAR(34)&amp;"kind"&amp;CHAR(34)&amp;": "&amp;CHAR(34)&amp;SUBSTITUTE(CriteriTecnici!$F763,CHAR(34),"'")&amp;CHAR(34)&amp;", "&amp;CHAR(34)&amp;"value"&amp;CHAR(34)&amp;": "&amp;SUBSTITUTE(TRIM(ROUND(IFERROR(CriteriTecnici!$N763*1,IFERROR(NUMBERVALUE(CriteriTecnici!$N763,".",","),IFERROR(NUMBERVALUE(CriteriTecnici!$N763,",","."),0))),4)&amp;""),",",".")&amp;", "&amp;CHAR(34)&amp;"numerator"&amp;CHAR(34)&amp;": "&amp;SUBSTITUTE(TRIM(ROUND(IFERROR(CriteriTecnici!$K763*1,IFERROR(NUMBERVALUE(CriteriTecnici!$K763,".",","),IFERROR(NUMBERVALUE(CriteriTecnici!$K763,",","."),0))),4)&amp;""),",",".")&amp;", "&amp;CHAR(34)&amp;"denominator"&amp;CHAR(34)&amp;": "&amp;SUBSTITUTE(TRIM(ROUND(IFERROR(CriteriTecnici!$L763*1,IFERROR(NUMBERVALUE(CriteriTecnici!$L763,".",","),IFERROR(NUMBERVALUE(CriteriTecnici!$L763,",","."),0))),4)&amp;""),",",".")&amp;", "&amp;CHAR(34)&amp;"flag"&amp;CHAR(34)&amp;": "&amp;SUBSTITUTE(TRIM(ROUND(IFERROR(CriteriTecnici!$M763*1,IFERROR(NUMBERVALUE(CriteriTecnici!$M763,".",","),IFERROR(NUMBERVALUE(CriteriTecnici!$M763,",","."),0))),4)&amp;""),",",".")&amp;", "&amp;CHAR(34)&amp;"rawScore"&amp;CHAR(34)&amp;": "&amp;SUBSTITUTE(TRIM(ROUND(IFERROR(CriteriTecnici!$O763*1,IFERROR(NUMBERVALUE(CriteriTecnici!$O763,".",","),IFERROR(NUMBERVALUE(CriteriTecnici!$O763,",","."),0))),4)&amp;""),",",".")&amp;CHAR(125)&amp;IF(TRUE,",",""))</f>
        <v/>
      </c>
    </row>
    <row r="865">
      <c r="A865" s="82">
        <f>IF(CriteriTecnici!$A764="","","    "&amp;CHAR(123)&amp;CHAR(34)&amp;"bidderId"&amp;CHAR(34)&amp;": "&amp;CHAR(34)&amp;SUBSTITUTE(CriteriTecnici!$A764,CHAR(34),"'")&amp;CHAR(34)&amp;", "&amp;CHAR(34)&amp;"lotId"&amp;CHAR(34)&amp;": "&amp;CHAR(34)&amp;SUBSTITUTE(CriteriTecnici!$C764,CHAR(34),"'")&amp;CHAR(34)&amp;", "&amp;CHAR(34)&amp;"criterionId"&amp;CHAR(34)&amp;": "&amp;CHAR(34)&amp;SUBSTITUTE(CriteriTecnici!$D764,CHAR(34),"'")&amp;CHAR(34)&amp;", "&amp;CHAR(34)&amp;"kind"&amp;CHAR(34)&amp;": "&amp;CHAR(34)&amp;SUBSTITUTE(CriteriTecnici!$F764,CHAR(34),"'")&amp;CHAR(34)&amp;", "&amp;CHAR(34)&amp;"value"&amp;CHAR(34)&amp;": "&amp;SUBSTITUTE(TRIM(ROUND(IFERROR(CriteriTecnici!$N764*1,IFERROR(NUMBERVALUE(CriteriTecnici!$N764,".",","),IFERROR(NUMBERVALUE(CriteriTecnici!$N764,",","."),0))),4)&amp;""),",",".")&amp;", "&amp;CHAR(34)&amp;"numerator"&amp;CHAR(34)&amp;": "&amp;SUBSTITUTE(TRIM(ROUND(IFERROR(CriteriTecnici!$K764*1,IFERROR(NUMBERVALUE(CriteriTecnici!$K764,".",","),IFERROR(NUMBERVALUE(CriteriTecnici!$K764,",","."),0))),4)&amp;""),",",".")&amp;", "&amp;CHAR(34)&amp;"denominator"&amp;CHAR(34)&amp;": "&amp;SUBSTITUTE(TRIM(ROUND(IFERROR(CriteriTecnici!$L764*1,IFERROR(NUMBERVALUE(CriteriTecnici!$L764,".",","),IFERROR(NUMBERVALUE(CriteriTecnici!$L764,",","."),0))),4)&amp;""),",",".")&amp;", "&amp;CHAR(34)&amp;"flag"&amp;CHAR(34)&amp;": "&amp;SUBSTITUTE(TRIM(ROUND(IFERROR(CriteriTecnici!$M764*1,IFERROR(NUMBERVALUE(CriteriTecnici!$M764,".",","),IFERROR(NUMBERVALUE(CriteriTecnici!$M764,",","."),0))),4)&amp;""),",",".")&amp;", "&amp;CHAR(34)&amp;"rawScore"&amp;CHAR(34)&amp;": "&amp;SUBSTITUTE(TRIM(ROUND(IFERROR(CriteriTecnici!$O764*1,IFERROR(NUMBERVALUE(CriteriTecnici!$O764,".",","),IFERROR(NUMBERVALUE(CriteriTecnici!$O764,",","."),0))),4)&amp;""),",",".")&amp;CHAR(125)&amp;IF(TRUE,",",""))</f>
        <v/>
      </c>
    </row>
    <row r="866">
      <c r="A866" s="82">
        <f>IF(CriteriTecnici!$A765="","","    "&amp;CHAR(123)&amp;CHAR(34)&amp;"bidderId"&amp;CHAR(34)&amp;": "&amp;CHAR(34)&amp;SUBSTITUTE(CriteriTecnici!$A765,CHAR(34),"'")&amp;CHAR(34)&amp;", "&amp;CHAR(34)&amp;"lotId"&amp;CHAR(34)&amp;": "&amp;CHAR(34)&amp;SUBSTITUTE(CriteriTecnici!$C765,CHAR(34),"'")&amp;CHAR(34)&amp;", "&amp;CHAR(34)&amp;"criterionId"&amp;CHAR(34)&amp;": "&amp;CHAR(34)&amp;SUBSTITUTE(CriteriTecnici!$D765,CHAR(34),"'")&amp;CHAR(34)&amp;", "&amp;CHAR(34)&amp;"kind"&amp;CHAR(34)&amp;": "&amp;CHAR(34)&amp;SUBSTITUTE(CriteriTecnici!$F765,CHAR(34),"'")&amp;CHAR(34)&amp;", "&amp;CHAR(34)&amp;"value"&amp;CHAR(34)&amp;": "&amp;SUBSTITUTE(TRIM(ROUND(IFERROR(CriteriTecnici!$N765*1,IFERROR(NUMBERVALUE(CriteriTecnici!$N765,".",","),IFERROR(NUMBERVALUE(CriteriTecnici!$N765,",","."),0))),4)&amp;""),",",".")&amp;", "&amp;CHAR(34)&amp;"numerator"&amp;CHAR(34)&amp;": "&amp;SUBSTITUTE(TRIM(ROUND(IFERROR(CriteriTecnici!$K765*1,IFERROR(NUMBERVALUE(CriteriTecnici!$K765,".",","),IFERROR(NUMBERVALUE(CriteriTecnici!$K765,",","."),0))),4)&amp;""),",",".")&amp;", "&amp;CHAR(34)&amp;"denominator"&amp;CHAR(34)&amp;": "&amp;SUBSTITUTE(TRIM(ROUND(IFERROR(CriteriTecnici!$L765*1,IFERROR(NUMBERVALUE(CriteriTecnici!$L765,".",","),IFERROR(NUMBERVALUE(CriteriTecnici!$L765,",","."),0))),4)&amp;""),",",".")&amp;", "&amp;CHAR(34)&amp;"flag"&amp;CHAR(34)&amp;": "&amp;SUBSTITUTE(TRIM(ROUND(IFERROR(CriteriTecnici!$M765*1,IFERROR(NUMBERVALUE(CriteriTecnici!$M765,".",","),IFERROR(NUMBERVALUE(CriteriTecnici!$M765,",","."),0))),4)&amp;""),",",".")&amp;", "&amp;CHAR(34)&amp;"rawScore"&amp;CHAR(34)&amp;": "&amp;SUBSTITUTE(TRIM(ROUND(IFERROR(CriteriTecnici!$O765*1,IFERROR(NUMBERVALUE(CriteriTecnici!$O765,".",","),IFERROR(NUMBERVALUE(CriteriTecnici!$O765,",","."),0))),4)&amp;""),",",".")&amp;CHAR(125)&amp;IF(TRUE,",",""))</f>
        <v/>
      </c>
    </row>
    <row r="867">
      <c r="A867" s="82">
        <f>IF(CriteriTecnici!$A766="","","    "&amp;CHAR(123)&amp;CHAR(34)&amp;"bidderId"&amp;CHAR(34)&amp;": "&amp;CHAR(34)&amp;SUBSTITUTE(CriteriTecnici!$A766,CHAR(34),"'")&amp;CHAR(34)&amp;", "&amp;CHAR(34)&amp;"lotId"&amp;CHAR(34)&amp;": "&amp;CHAR(34)&amp;SUBSTITUTE(CriteriTecnici!$C766,CHAR(34),"'")&amp;CHAR(34)&amp;", "&amp;CHAR(34)&amp;"criterionId"&amp;CHAR(34)&amp;": "&amp;CHAR(34)&amp;SUBSTITUTE(CriteriTecnici!$D766,CHAR(34),"'")&amp;CHAR(34)&amp;", "&amp;CHAR(34)&amp;"kind"&amp;CHAR(34)&amp;": "&amp;CHAR(34)&amp;SUBSTITUTE(CriteriTecnici!$F766,CHAR(34),"'")&amp;CHAR(34)&amp;", "&amp;CHAR(34)&amp;"value"&amp;CHAR(34)&amp;": "&amp;SUBSTITUTE(TRIM(ROUND(IFERROR(CriteriTecnici!$N766*1,IFERROR(NUMBERVALUE(CriteriTecnici!$N766,".",","),IFERROR(NUMBERVALUE(CriteriTecnici!$N766,",","."),0))),4)&amp;""),",",".")&amp;", "&amp;CHAR(34)&amp;"numerator"&amp;CHAR(34)&amp;": "&amp;SUBSTITUTE(TRIM(ROUND(IFERROR(CriteriTecnici!$K766*1,IFERROR(NUMBERVALUE(CriteriTecnici!$K766,".",","),IFERROR(NUMBERVALUE(CriteriTecnici!$K766,",","."),0))),4)&amp;""),",",".")&amp;", "&amp;CHAR(34)&amp;"denominator"&amp;CHAR(34)&amp;": "&amp;SUBSTITUTE(TRIM(ROUND(IFERROR(CriteriTecnici!$L766*1,IFERROR(NUMBERVALUE(CriteriTecnici!$L766,".",","),IFERROR(NUMBERVALUE(CriteriTecnici!$L766,",","."),0))),4)&amp;""),",",".")&amp;", "&amp;CHAR(34)&amp;"flag"&amp;CHAR(34)&amp;": "&amp;SUBSTITUTE(TRIM(ROUND(IFERROR(CriteriTecnici!$M766*1,IFERROR(NUMBERVALUE(CriteriTecnici!$M766,".",","),IFERROR(NUMBERVALUE(CriteriTecnici!$M766,",","."),0))),4)&amp;""),",",".")&amp;", "&amp;CHAR(34)&amp;"rawScore"&amp;CHAR(34)&amp;": "&amp;SUBSTITUTE(TRIM(ROUND(IFERROR(CriteriTecnici!$O766*1,IFERROR(NUMBERVALUE(CriteriTecnici!$O766,".",","),IFERROR(NUMBERVALUE(CriteriTecnici!$O766,",","."),0))),4)&amp;""),",",".")&amp;CHAR(125)&amp;IF(TRUE,",",""))</f>
        <v/>
      </c>
    </row>
    <row r="868">
      <c r="A868" s="82">
        <f>IF(CriteriTecnici!$A767="","","    "&amp;CHAR(123)&amp;CHAR(34)&amp;"bidderId"&amp;CHAR(34)&amp;": "&amp;CHAR(34)&amp;SUBSTITUTE(CriteriTecnici!$A767,CHAR(34),"'")&amp;CHAR(34)&amp;", "&amp;CHAR(34)&amp;"lotId"&amp;CHAR(34)&amp;": "&amp;CHAR(34)&amp;SUBSTITUTE(CriteriTecnici!$C767,CHAR(34),"'")&amp;CHAR(34)&amp;", "&amp;CHAR(34)&amp;"criterionId"&amp;CHAR(34)&amp;": "&amp;CHAR(34)&amp;SUBSTITUTE(CriteriTecnici!$D767,CHAR(34),"'")&amp;CHAR(34)&amp;", "&amp;CHAR(34)&amp;"kind"&amp;CHAR(34)&amp;": "&amp;CHAR(34)&amp;SUBSTITUTE(CriteriTecnici!$F767,CHAR(34),"'")&amp;CHAR(34)&amp;", "&amp;CHAR(34)&amp;"value"&amp;CHAR(34)&amp;": "&amp;SUBSTITUTE(TRIM(ROUND(IFERROR(CriteriTecnici!$N767*1,IFERROR(NUMBERVALUE(CriteriTecnici!$N767,".",","),IFERROR(NUMBERVALUE(CriteriTecnici!$N767,",","."),0))),4)&amp;""),",",".")&amp;", "&amp;CHAR(34)&amp;"numerator"&amp;CHAR(34)&amp;": "&amp;SUBSTITUTE(TRIM(ROUND(IFERROR(CriteriTecnici!$K767*1,IFERROR(NUMBERVALUE(CriteriTecnici!$K767,".",","),IFERROR(NUMBERVALUE(CriteriTecnici!$K767,",","."),0))),4)&amp;""),",",".")&amp;", "&amp;CHAR(34)&amp;"denominator"&amp;CHAR(34)&amp;": "&amp;SUBSTITUTE(TRIM(ROUND(IFERROR(CriteriTecnici!$L767*1,IFERROR(NUMBERVALUE(CriteriTecnici!$L767,".",","),IFERROR(NUMBERVALUE(CriteriTecnici!$L767,",","."),0))),4)&amp;""),",",".")&amp;", "&amp;CHAR(34)&amp;"flag"&amp;CHAR(34)&amp;": "&amp;SUBSTITUTE(TRIM(ROUND(IFERROR(CriteriTecnici!$M767*1,IFERROR(NUMBERVALUE(CriteriTecnici!$M767,".",","),IFERROR(NUMBERVALUE(CriteriTecnici!$M767,",","."),0))),4)&amp;""),",",".")&amp;", "&amp;CHAR(34)&amp;"rawScore"&amp;CHAR(34)&amp;": "&amp;SUBSTITUTE(TRIM(ROUND(IFERROR(CriteriTecnici!$O767*1,IFERROR(NUMBERVALUE(CriteriTecnici!$O767,".",","),IFERROR(NUMBERVALUE(CriteriTecnici!$O767,",","."),0))),4)&amp;""),",",".")&amp;CHAR(125)&amp;IF(TRUE,",",""))</f>
        <v/>
      </c>
    </row>
    <row r="869">
      <c r="A869" s="82">
        <f>IF(CriteriTecnici!$A768="","","    "&amp;CHAR(123)&amp;CHAR(34)&amp;"bidderId"&amp;CHAR(34)&amp;": "&amp;CHAR(34)&amp;SUBSTITUTE(CriteriTecnici!$A768,CHAR(34),"'")&amp;CHAR(34)&amp;", "&amp;CHAR(34)&amp;"lotId"&amp;CHAR(34)&amp;": "&amp;CHAR(34)&amp;SUBSTITUTE(CriteriTecnici!$C768,CHAR(34),"'")&amp;CHAR(34)&amp;", "&amp;CHAR(34)&amp;"criterionId"&amp;CHAR(34)&amp;": "&amp;CHAR(34)&amp;SUBSTITUTE(CriteriTecnici!$D768,CHAR(34),"'")&amp;CHAR(34)&amp;", "&amp;CHAR(34)&amp;"kind"&amp;CHAR(34)&amp;": "&amp;CHAR(34)&amp;SUBSTITUTE(CriteriTecnici!$F768,CHAR(34),"'")&amp;CHAR(34)&amp;", "&amp;CHAR(34)&amp;"value"&amp;CHAR(34)&amp;": "&amp;SUBSTITUTE(TRIM(ROUND(IFERROR(CriteriTecnici!$N768*1,IFERROR(NUMBERVALUE(CriteriTecnici!$N768,".",","),IFERROR(NUMBERVALUE(CriteriTecnici!$N768,",","."),0))),4)&amp;""),",",".")&amp;", "&amp;CHAR(34)&amp;"numerator"&amp;CHAR(34)&amp;": "&amp;SUBSTITUTE(TRIM(ROUND(IFERROR(CriteriTecnici!$K768*1,IFERROR(NUMBERVALUE(CriteriTecnici!$K768,".",","),IFERROR(NUMBERVALUE(CriteriTecnici!$K768,",","."),0))),4)&amp;""),",",".")&amp;", "&amp;CHAR(34)&amp;"denominator"&amp;CHAR(34)&amp;": "&amp;SUBSTITUTE(TRIM(ROUND(IFERROR(CriteriTecnici!$L768*1,IFERROR(NUMBERVALUE(CriteriTecnici!$L768,".",","),IFERROR(NUMBERVALUE(CriteriTecnici!$L768,",","."),0))),4)&amp;""),",",".")&amp;", "&amp;CHAR(34)&amp;"flag"&amp;CHAR(34)&amp;": "&amp;SUBSTITUTE(TRIM(ROUND(IFERROR(CriteriTecnici!$M768*1,IFERROR(NUMBERVALUE(CriteriTecnici!$M768,".",","),IFERROR(NUMBERVALUE(CriteriTecnici!$M768,",","."),0))),4)&amp;""),",",".")&amp;", "&amp;CHAR(34)&amp;"rawScore"&amp;CHAR(34)&amp;": "&amp;SUBSTITUTE(TRIM(ROUND(IFERROR(CriteriTecnici!$O768*1,IFERROR(NUMBERVALUE(CriteriTecnici!$O768,".",","),IFERROR(NUMBERVALUE(CriteriTecnici!$O768,",","."),0))),4)&amp;""),",",".")&amp;CHAR(125)&amp;IF(TRUE,",",""))</f>
        <v/>
      </c>
    </row>
    <row r="870">
      <c r="A870" s="82">
        <f>IF(CriteriTecnici!$A769="","","    "&amp;CHAR(123)&amp;CHAR(34)&amp;"bidderId"&amp;CHAR(34)&amp;": "&amp;CHAR(34)&amp;SUBSTITUTE(CriteriTecnici!$A769,CHAR(34),"'")&amp;CHAR(34)&amp;", "&amp;CHAR(34)&amp;"lotId"&amp;CHAR(34)&amp;": "&amp;CHAR(34)&amp;SUBSTITUTE(CriteriTecnici!$C769,CHAR(34),"'")&amp;CHAR(34)&amp;", "&amp;CHAR(34)&amp;"criterionId"&amp;CHAR(34)&amp;": "&amp;CHAR(34)&amp;SUBSTITUTE(CriteriTecnici!$D769,CHAR(34),"'")&amp;CHAR(34)&amp;", "&amp;CHAR(34)&amp;"kind"&amp;CHAR(34)&amp;": "&amp;CHAR(34)&amp;SUBSTITUTE(CriteriTecnici!$F769,CHAR(34),"'")&amp;CHAR(34)&amp;", "&amp;CHAR(34)&amp;"value"&amp;CHAR(34)&amp;": "&amp;SUBSTITUTE(TRIM(ROUND(IFERROR(CriteriTecnici!$N769*1,IFERROR(NUMBERVALUE(CriteriTecnici!$N769,".",","),IFERROR(NUMBERVALUE(CriteriTecnici!$N769,",","."),0))),4)&amp;""),",",".")&amp;", "&amp;CHAR(34)&amp;"numerator"&amp;CHAR(34)&amp;": "&amp;SUBSTITUTE(TRIM(ROUND(IFERROR(CriteriTecnici!$K769*1,IFERROR(NUMBERVALUE(CriteriTecnici!$K769,".",","),IFERROR(NUMBERVALUE(CriteriTecnici!$K769,",","."),0))),4)&amp;""),",",".")&amp;", "&amp;CHAR(34)&amp;"denominator"&amp;CHAR(34)&amp;": "&amp;SUBSTITUTE(TRIM(ROUND(IFERROR(CriteriTecnici!$L769*1,IFERROR(NUMBERVALUE(CriteriTecnici!$L769,".",","),IFERROR(NUMBERVALUE(CriteriTecnici!$L769,",","."),0))),4)&amp;""),",",".")&amp;", "&amp;CHAR(34)&amp;"flag"&amp;CHAR(34)&amp;": "&amp;SUBSTITUTE(TRIM(ROUND(IFERROR(CriteriTecnici!$M769*1,IFERROR(NUMBERVALUE(CriteriTecnici!$M769,".",","),IFERROR(NUMBERVALUE(CriteriTecnici!$M769,",","."),0))),4)&amp;""),",",".")&amp;", "&amp;CHAR(34)&amp;"rawScore"&amp;CHAR(34)&amp;": "&amp;SUBSTITUTE(TRIM(ROUND(IFERROR(CriteriTecnici!$O769*1,IFERROR(NUMBERVALUE(CriteriTecnici!$O769,".",","),IFERROR(NUMBERVALUE(CriteriTecnici!$O769,",","."),0))),4)&amp;""),",",".")&amp;CHAR(125)&amp;IF(TRUE,",",""))</f>
        <v/>
      </c>
    </row>
    <row r="871">
      <c r="A871" s="82">
        <f>IF(CriteriTecnici!$A770="","","    "&amp;CHAR(123)&amp;CHAR(34)&amp;"bidderId"&amp;CHAR(34)&amp;": "&amp;CHAR(34)&amp;SUBSTITUTE(CriteriTecnici!$A770,CHAR(34),"'")&amp;CHAR(34)&amp;", "&amp;CHAR(34)&amp;"lotId"&amp;CHAR(34)&amp;": "&amp;CHAR(34)&amp;SUBSTITUTE(CriteriTecnici!$C770,CHAR(34),"'")&amp;CHAR(34)&amp;", "&amp;CHAR(34)&amp;"criterionId"&amp;CHAR(34)&amp;": "&amp;CHAR(34)&amp;SUBSTITUTE(CriteriTecnici!$D770,CHAR(34),"'")&amp;CHAR(34)&amp;", "&amp;CHAR(34)&amp;"kind"&amp;CHAR(34)&amp;": "&amp;CHAR(34)&amp;SUBSTITUTE(CriteriTecnici!$F770,CHAR(34),"'")&amp;CHAR(34)&amp;", "&amp;CHAR(34)&amp;"value"&amp;CHAR(34)&amp;": "&amp;SUBSTITUTE(TRIM(ROUND(IFERROR(CriteriTecnici!$N770*1,IFERROR(NUMBERVALUE(CriteriTecnici!$N770,".",","),IFERROR(NUMBERVALUE(CriteriTecnici!$N770,",","."),0))),4)&amp;""),",",".")&amp;", "&amp;CHAR(34)&amp;"numerator"&amp;CHAR(34)&amp;": "&amp;SUBSTITUTE(TRIM(ROUND(IFERROR(CriteriTecnici!$K770*1,IFERROR(NUMBERVALUE(CriteriTecnici!$K770,".",","),IFERROR(NUMBERVALUE(CriteriTecnici!$K770,",","."),0))),4)&amp;""),",",".")&amp;", "&amp;CHAR(34)&amp;"denominator"&amp;CHAR(34)&amp;": "&amp;SUBSTITUTE(TRIM(ROUND(IFERROR(CriteriTecnici!$L770*1,IFERROR(NUMBERVALUE(CriteriTecnici!$L770,".",","),IFERROR(NUMBERVALUE(CriteriTecnici!$L770,",","."),0))),4)&amp;""),",",".")&amp;", "&amp;CHAR(34)&amp;"flag"&amp;CHAR(34)&amp;": "&amp;SUBSTITUTE(TRIM(ROUND(IFERROR(CriteriTecnici!$M770*1,IFERROR(NUMBERVALUE(CriteriTecnici!$M770,".",","),IFERROR(NUMBERVALUE(CriteriTecnici!$M770,",","."),0))),4)&amp;""),",",".")&amp;", "&amp;CHAR(34)&amp;"rawScore"&amp;CHAR(34)&amp;": "&amp;SUBSTITUTE(TRIM(ROUND(IFERROR(CriteriTecnici!$O770*1,IFERROR(NUMBERVALUE(CriteriTecnici!$O770,".",","),IFERROR(NUMBERVALUE(CriteriTecnici!$O770,",","."),0))),4)&amp;""),",",".")&amp;CHAR(125)&amp;IF(TRUE,",",""))</f>
        <v/>
      </c>
    </row>
    <row r="872">
      <c r="A872" s="82">
        <f>IF(CriteriTecnici!$A771="","","    "&amp;CHAR(123)&amp;CHAR(34)&amp;"bidderId"&amp;CHAR(34)&amp;": "&amp;CHAR(34)&amp;SUBSTITUTE(CriteriTecnici!$A771,CHAR(34),"'")&amp;CHAR(34)&amp;", "&amp;CHAR(34)&amp;"lotId"&amp;CHAR(34)&amp;": "&amp;CHAR(34)&amp;SUBSTITUTE(CriteriTecnici!$C771,CHAR(34),"'")&amp;CHAR(34)&amp;", "&amp;CHAR(34)&amp;"criterionId"&amp;CHAR(34)&amp;": "&amp;CHAR(34)&amp;SUBSTITUTE(CriteriTecnici!$D771,CHAR(34),"'")&amp;CHAR(34)&amp;", "&amp;CHAR(34)&amp;"kind"&amp;CHAR(34)&amp;": "&amp;CHAR(34)&amp;SUBSTITUTE(CriteriTecnici!$F771,CHAR(34),"'")&amp;CHAR(34)&amp;", "&amp;CHAR(34)&amp;"value"&amp;CHAR(34)&amp;": "&amp;SUBSTITUTE(TRIM(ROUND(IFERROR(CriteriTecnici!$N771*1,IFERROR(NUMBERVALUE(CriteriTecnici!$N771,".",","),IFERROR(NUMBERVALUE(CriteriTecnici!$N771,",","."),0))),4)&amp;""),",",".")&amp;", "&amp;CHAR(34)&amp;"numerator"&amp;CHAR(34)&amp;": "&amp;SUBSTITUTE(TRIM(ROUND(IFERROR(CriteriTecnici!$K771*1,IFERROR(NUMBERVALUE(CriteriTecnici!$K771,".",","),IFERROR(NUMBERVALUE(CriteriTecnici!$K771,",","."),0))),4)&amp;""),",",".")&amp;", "&amp;CHAR(34)&amp;"denominator"&amp;CHAR(34)&amp;": "&amp;SUBSTITUTE(TRIM(ROUND(IFERROR(CriteriTecnici!$L771*1,IFERROR(NUMBERVALUE(CriteriTecnici!$L771,".",","),IFERROR(NUMBERVALUE(CriteriTecnici!$L771,",","."),0))),4)&amp;""),",",".")&amp;", "&amp;CHAR(34)&amp;"flag"&amp;CHAR(34)&amp;": "&amp;SUBSTITUTE(TRIM(ROUND(IFERROR(CriteriTecnici!$M771*1,IFERROR(NUMBERVALUE(CriteriTecnici!$M771,".",","),IFERROR(NUMBERVALUE(CriteriTecnici!$M771,",","."),0))),4)&amp;""),",",".")&amp;", "&amp;CHAR(34)&amp;"rawScore"&amp;CHAR(34)&amp;": "&amp;SUBSTITUTE(TRIM(ROUND(IFERROR(CriteriTecnici!$O771*1,IFERROR(NUMBERVALUE(CriteriTecnici!$O771,".",","),IFERROR(NUMBERVALUE(CriteriTecnici!$O771,",","."),0))),4)&amp;""),",",".")&amp;CHAR(125)&amp;IF(TRUE,",",""))</f>
        <v/>
      </c>
    </row>
    <row r="873">
      <c r="A873" s="82">
        <f>IF(CriteriTecnici!$A772="","","    "&amp;CHAR(123)&amp;CHAR(34)&amp;"bidderId"&amp;CHAR(34)&amp;": "&amp;CHAR(34)&amp;SUBSTITUTE(CriteriTecnici!$A772,CHAR(34),"'")&amp;CHAR(34)&amp;", "&amp;CHAR(34)&amp;"lotId"&amp;CHAR(34)&amp;": "&amp;CHAR(34)&amp;SUBSTITUTE(CriteriTecnici!$C772,CHAR(34),"'")&amp;CHAR(34)&amp;", "&amp;CHAR(34)&amp;"criterionId"&amp;CHAR(34)&amp;": "&amp;CHAR(34)&amp;SUBSTITUTE(CriteriTecnici!$D772,CHAR(34),"'")&amp;CHAR(34)&amp;", "&amp;CHAR(34)&amp;"kind"&amp;CHAR(34)&amp;": "&amp;CHAR(34)&amp;SUBSTITUTE(CriteriTecnici!$F772,CHAR(34),"'")&amp;CHAR(34)&amp;", "&amp;CHAR(34)&amp;"value"&amp;CHAR(34)&amp;": "&amp;SUBSTITUTE(TRIM(ROUND(IFERROR(CriteriTecnici!$N772*1,IFERROR(NUMBERVALUE(CriteriTecnici!$N772,".",","),IFERROR(NUMBERVALUE(CriteriTecnici!$N772,",","."),0))),4)&amp;""),",",".")&amp;", "&amp;CHAR(34)&amp;"numerator"&amp;CHAR(34)&amp;": "&amp;SUBSTITUTE(TRIM(ROUND(IFERROR(CriteriTecnici!$K772*1,IFERROR(NUMBERVALUE(CriteriTecnici!$K772,".",","),IFERROR(NUMBERVALUE(CriteriTecnici!$K772,",","."),0))),4)&amp;""),",",".")&amp;", "&amp;CHAR(34)&amp;"denominator"&amp;CHAR(34)&amp;": "&amp;SUBSTITUTE(TRIM(ROUND(IFERROR(CriteriTecnici!$L772*1,IFERROR(NUMBERVALUE(CriteriTecnici!$L772,".",","),IFERROR(NUMBERVALUE(CriteriTecnici!$L772,",","."),0))),4)&amp;""),",",".")&amp;", "&amp;CHAR(34)&amp;"flag"&amp;CHAR(34)&amp;": "&amp;SUBSTITUTE(TRIM(ROUND(IFERROR(CriteriTecnici!$M772*1,IFERROR(NUMBERVALUE(CriteriTecnici!$M772,".",","),IFERROR(NUMBERVALUE(CriteriTecnici!$M772,",","."),0))),4)&amp;""),",",".")&amp;", "&amp;CHAR(34)&amp;"rawScore"&amp;CHAR(34)&amp;": "&amp;SUBSTITUTE(TRIM(ROUND(IFERROR(CriteriTecnici!$O772*1,IFERROR(NUMBERVALUE(CriteriTecnici!$O772,".",","),IFERROR(NUMBERVALUE(CriteriTecnici!$O772,",","."),0))),4)&amp;""),",",".")&amp;CHAR(125)&amp;IF(TRUE,",",""))</f>
        <v/>
      </c>
    </row>
    <row r="874">
      <c r="A874" s="82">
        <f>IF(CriteriTecnici!$A773="","","    "&amp;CHAR(123)&amp;CHAR(34)&amp;"bidderId"&amp;CHAR(34)&amp;": "&amp;CHAR(34)&amp;SUBSTITUTE(CriteriTecnici!$A773,CHAR(34),"'")&amp;CHAR(34)&amp;", "&amp;CHAR(34)&amp;"lotId"&amp;CHAR(34)&amp;": "&amp;CHAR(34)&amp;SUBSTITUTE(CriteriTecnici!$C773,CHAR(34),"'")&amp;CHAR(34)&amp;", "&amp;CHAR(34)&amp;"criterionId"&amp;CHAR(34)&amp;": "&amp;CHAR(34)&amp;SUBSTITUTE(CriteriTecnici!$D773,CHAR(34),"'")&amp;CHAR(34)&amp;", "&amp;CHAR(34)&amp;"kind"&amp;CHAR(34)&amp;": "&amp;CHAR(34)&amp;SUBSTITUTE(CriteriTecnici!$F773,CHAR(34),"'")&amp;CHAR(34)&amp;", "&amp;CHAR(34)&amp;"value"&amp;CHAR(34)&amp;": "&amp;SUBSTITUTE(TRIM(ROUND(IFERROR(CriteriTecnici!$N773*1,IFERROR(NUMBERVALUE(CriteriTecnici!$N773,".",","),IFERROR(NUMBERVALUE(CriteriTecnici!$N773,",","."),0))),4)&amp;""),",",".")&amp;", "&amp;CHAR(34)&amp;"numerator"&amp;CHAR(34)&amp;": "&amp;SUBSTITUTE(TRIM(ROUND(IFERROR(CriteriTecnici!$K773*1,IFERROR(NUMBERVALUE(CriteriTecnici!$K773,".",","),IFERROR(NUMBERVALUE(CriteriTecnici!$K773,",","."),0))),4)&amp;""),",",".")&amp;", "&amp;CHAR(34)&amp;"denominator"&amp;CHAR(34)&amp;": "&amp;SUBSTITUTE(TRIM(ROUND(IFERROR(CriteriTecnici!$L773*1,IFERROR(NUMBERVALUE(CriteriTecnici!$L773,".",","),IFERROR(NUMBERVALUE(CriteriTecnici!$L773,",","."),0))),4)&amp;""),",",".")&amp;", "&amp;CHAR(34)&amp;"flag"&amp;CHAR(34)&amp;": "&amp;SUBSTITUTE(TRIM(ROUND(IFERROR(CriteriTecnici!$M773*1,IFERROR(NUMBERVALUE(CriteriTecnici!$M773,".",","),IFERROR(NUMBERVALUE(CriteriTecnici!$M773,",","."),0))),4)&amp;""),",",".")&amp;", "&amp;CHAR(34)&amp;"rawScore"&amp;CHAR(34)&amp;": "&amp;SUBSTITUTE(TRIM(ROUND(IFERROR(CriteriTecnici!$O773*1,IFERROR(NUMBERVALUE(CriteriTecnici!$O773,".",","),IFERROR(NUMBERVALUE(CriteriTecnici!$O773,",","."),0))),4)&amp;""),",",".")&amp;CHAR(125)&amp;IF(TRUE,",",""))</f>
        <v/>
      </c>
    </row>
    <row r="875">
      <c r="A875" s="82">
        <f>IF(CriteriTecnici!$A774="","","    "&amp;CHAR(123)&amp;CHAR(34)&amp;"bidderId"&amp;CHAR(34)&amp;": "&amp;CHAR(34)&amp;SUBSTITUTE(CriteriTecnici!$A774,CHAR(34),"'")&amp;CHAR(34)&amp;", "&amp;CHAR(34)&amp;"lotId"&amp;CHAR(34)&amp;": "&amp;CHAR(34)&amp;SUBSTITUTE(CriteriTecnici!$C774,CHAR(34),"'")&amp;CHAR(34)&amp;", "&amp;CHAR(34)&amp;"criterionId"&amp;CHAR(34)&amp;": "&amp;CHAR(34)&amp;SUBSTITUTE(CriteriTecnici!$D774,CHAR(34),"'")&amp;CHAR(34)&amp;", "&amp;CHAR(34)&amp;"kind"&amp;CHAR(34)&amp;": "&amp;CHAR(34)&amp;SUBSTITUTE(CriteriTecnici!$F774,CHAR(34),"'")&amp;CHAR(34)&amp;", "&amp;CHAR(34)&amp;"value"&amp;CHAR(34)&amp;": "&amp;SUBSTITUTE(TRIM(ROUND(IFERROR(CriteriTecnici!$N774*1,IFERROR(NUMBERVALUE(CriteriTecnici!$N774,".",","),IFERROR(NUMBERVALUE(CriteriTecnici!$N774,",","."),0))),4)&amp;""),",",".")&amp;", "&amp;CHAR(34)&amp;"numerator"&amp;CHAR(34)&amp;": "&amp;SUBSTITUTE(TRIM(ROUND(IFERROR(CriteriTecnici!$K774*1,IFERROR(NUMBERVALUE(CriteriTecnici!$K774,".",","),IFERROR(NUMBERVALUE(CriteriTecnici!$K774,",","."),0))),4)&amp;""),",",".")&amp;", "&amp;CHAR(34)&amp;"denominator"&amp;CHAR(34)&amp;": "&amp;SUBSTITUTE(TRIM(ROUND(IFERROR(CriteriTecnici!$L774*1,IFERROR(NUMBERVALUE(CriteriTecnici!$L774,".",","),IFERROR(NUMBERVALUE(CriteriTecnici!$L774,",","."),0))),4)&amp;""),",",".")&amp;", "&amp;CHAR(34)&amp;"flag"&amp;CHAR(34)&amp;": "&amp;SUBSTITUTE(TRIM(ROUND(IFERROR(CriteriTecnici!$M774*1,IFERROR(NUMBERVALUE(CriteriTecnici!$M774,".",","),IFERROR(NUMBERVALUE(CriteriTecnici!$M774,",","."),0))),4)&amp;""),",",".")&amp;", "&amp;CHAR(34)&amp;"rawScore"&amp;CHAR(34)&amp;": "&amp;SUBSTITUTE(TRIM(ROUND(IFERROR(CriteriTecnici!$O774*1,IFERROR(NUMBERVALUE(CriteriTecnici!$O774,".",","),IFERROR(NUMBERVALUE(CriteriTecnici!$O774,",","."),0))),4)&amp;""),",",".")&amp;CHAR(125)&amp;IF(TRUE,",",""))</f>
        <v/>
      </c>
    </row>
    <row r="876">
      <c r="A876" s="82">
        <f>IF(CriteriTecnici!$A775="","","    "&amp;CHAR(123)&amp;CHAR(34)&amp;"bidderId"&amp;CHAR(34)&amp;": "&amp;CHAR(34)&amp;SUBSTITUTE(CriteriTecnici!$A775,CHAR(34),"'")&amp;CHAR(34)&amp;", "&amp;CHAR(34)&amp;"lotId"&amp;CHAR(34)&amp;": "&amp;CHAR(34)&amp;SUBSTITUTE(CriteriTecnici!$C775,CHAR(34),"'")&amp;CHAR(34)&amp;", "&amp;CHAR(34)&amp;"criterionId"&amp;CHAR(34)&amp;": "&amp;CHAR(34)&amp;SUBSTITUTE(CriteriTecnici!$D775,CHAR(34),"'")&amp;CHAR(34)&amp;", "&amp;CHAR(34)&amp;"kind"&amp;CHAR(34)&amp;": "&amp;CHAR(34)&amp;SUBSTITUTE(CriteriTecnici!$F775,CHAR(34),"'")&amp;CHAR(34)&amp;", "&amp;CHAR(34)&amp;"value"&amp;CHAR(34)&amp;": "&amp;SUBSTITUTE(TRIM(ROUND(IFERROR(CriteriTecnici!$N775*1,IFERROR(NUMBERVALUE(CriteriTecnici!$N775,".",","),IFERROR(NUMBERVALUE(CriteriTecnici!$N775,",","."),0))),4)&amp;""),",",".")&amp;", "&amp;CHAR(34)&amp;"numerator"&amp;CHAR(34)&amp;": "&amp;SUBSTITUTE(TRIM(ROUND(IFERROR(CriteriTecnici!$K775*1,IFERROR(NUMBERVALUE(CriteriTecnici!$K775,".",","),IFERROR(NUMBERVALUE(CriteriTecnici!$K775,",","."),0))),4)&amp;""),",",".")&amp;", "&amp;CHAR(34)&amp;"denominator"&amp;CHAR(34)&amp;": "&amp;SUBSTITUTE(TRIM(ROUND(IFERROR(CriteriTecnici!$L775*1,IFERROR(NUMBERVALUE(CriteriTecnici!$L775,".",","),IFERROR(NUMBERVALUE(CriteriTecnici!$L775,",","."),0))),4)&amp;""),",",".")&amp;", "&amp;CHAR(34)&amp;"flag"&amp;CHAR(34)&amp;": "&amp;SUBSTITUTE(TRIM(ROUND(IFERROR(CriteriTecnici!$M775*1,IFERROR(NUMBERVALUE(CriteriTecnici!$M775,".",","),IFERROR(NUMBERVALUE(CriteriTecnici!$M775,",","."),0))),4)&amp;""),",",".")&amp;", "&amp;CHAR(34)&amp;"rawScore"&amp;CHAR(34)&amp;": "&amp;SUBSTITUTE(TRIM(ROUND(IFERROR(CriteriTecnici!$O775*1,IFERROR(NUMBERVALUE(CriteriTecnici!$O775,".",","),IFERROR(NUMBERVALUE(CriteriTecnici!$O775,",","."),0))),4)&amp;""),",",".")&amp;CHAR(125)&amp;IF(TRUE,",",""))</f>
        <v/>
      </c>
    </row>
    <row r="877">
      <c r="A877" s="82">
        <f>IF(CriteriTecnici!$A776="","","    "&amp;CHAR(123)&amp;CHAR(34)&amp;"bidderId"&amp;CHAR(34)&amp;": "&amp;CHAR(34)&amp;SUBSTITUTE(CriteriTecnici!$A776,CHAR(34),"'")&amp;CHAR(34)&amp;", "&amp;CHAR(34)&amp;"lotId"&amp;CHAR(34)&amp;": "&amp;CHAR(34)&amp;SUBSTITUTE(CriteriTecnici!$C776,CHAR(34),"'")&amp;CHAR(34)&amp;", "&amp;CHAR(34)&amp;"criterionId"&amp;CHAR(34)&amp;": "&amp;CHAR(34)&amp;SUBSTITUTE(CriteriTecnici!$D776,CHAR(34),"'")&amp;CHAR(34)&amp;", "&amp;CHAR(34)&amp;"kind"&amp;CHAR(34)&amp;": "&amp;CHAR(34)&amp;SUBSTITUTE(CriteriTecnici!$F776,CHAR(34),"'")&amp;CHAR(34)&amp;", "&amp;CHAR(34)&amp;"value"&amp;CHAR(34)&amp;": "&amp;SUBSTITUTE(TRIM(ROUND(IFERROR(CriteriTecnici!$N776*1,IFERROR(NUMBERVALUE(CriteriTecnici!$N776,".",","),IFERROR(NUMBERVALUE(CriteriTecnici!$N776,",","."),0))),4)&amp;""),",",".")&amp;", "&amp;CHAR(34)&amp;"numerator"&amp;CHAR(34)&amp;": "&amp;SUBSTITUTE(TRIM(ROUND(IFERROR(CriteriTecnici!$K776*1,IFERROR(NUMBERVALUE(CriteriTecnici!$K776,".",","),IFERROR(NUMBERVALUE(CriteriTecnici!$K776,",","."),0))),4)&amp;""),",",".")&amp;", "&amp;CHAR(34)&amp;"denominator"&amp;CHAR(34)&amp;": "&amp;SUBSTITUTE(TRIM(ROUND(IFERROR(CriteriTecnici!$L776*1,IFERROR(NUMBERVALUE(CriteriTecnici!$L776,".",","),IFERROR(NUMBERVALUE(CriteriTecnici!$L776,",","."),0))),4)&amp;""),",",".")&amp;", "&amp;CHAR(34)&amp;"flag"&amp;CHAR(34)&amp;": "&amp;SUBSTITUTE(TRIM(ROUND(IFERROR(CriteriTecnici!$M776*1,IFERROR(NUMBERVALUE(CriteriTecnici!$M776,".",","),IFERROR(NUMBERVALUE(CriteriTecnici!$M776,",","."),0))),4)&amp;""),",",".")&amp;", "&amp;CHAR(34)&amp;"rawScore"&amp;CHAR(34)&amp;": "&amp;SUBSTITUTE(TRIM(ROUND(IFERROR(CriteriTecnici!$O776*1,IFERROR(NUMBERVALUE(CriteriTecnici!$O776,".",","),IFERROR(NUMBERVALUE(CriteriTecnici!$O776,",","."),0))),4)&amp;""),",",".")&amp;CHAR(125)&amp;IF(TRUE,",",""))</f>
        <v/>
      </c>
    </row>
    <row r="878">
      <c r="A878" s="82">
        <f>IF(CriteriTecnici!$A777="","","    "&amp;CHAR(123)&amp;CHAR(34)&amp;"bidderId"&amp;CHAR(34)&amp;": "&amp;CHAR(34)&amp;SUBSTITUTE(CriteriTecnici!$A777,CHAR(34),"'")&amp;CHAR(34)&amp;", "&amp;CHAR(34)&amp;"lotId"&amp;CHAR(34)&amp;": "&amp;CHAR(34)&amp;SUBSTITUTE(CriteriTecnici!$C777,CHAR(34),"'")&amp;CHAR(34)&amp;", "&amp;CHAR(34)&amp;"criterionId"&amp;CHAR(34)&amp;": "&amp;CHAR(34)&amp;SUBSTITUTE(CriteriTecnici!$D777,CHAR(34),"'")&amp;CHAR(34)&amp;", "&amp;CHAR(34)&amp;"kind"&amp;CHAR(34)&amp;": "&amp;CHAR(34)&amp;SUBSTITUTE(CriteriTecnici!$F777,CHAR(34),"'")&amp;CHAR(34)&amp;", "&amp;CHAR(34)&amp;"value"&amp;CHAR(34)&amp;": "&amp;SUBSTITUTE(TRIM(ROUND(IFERROR(CriteriTecnici!$N777*1,IFERROR(NUMBERVALUE(CriteriTecnici!$N777,".",","),IFERROR(NUMBERVALUE(CriteriTecnici!$N777,",","."),0))),4)&amp;""),",",".")&amp;", "&amp;CHAR(34)&amp;"numerator"&amp;CHAR(34)&amp;": "&amp;SUBSTITUTE(TRIM(ROUND(IFERROR(CriteriTecnici!$K777*1,IFERROR(NUMBERVALUE(CriteriTecnici!$K777,".",","),IFERROR(NUMBERVALUE(CriteriTecnici!$K777,",","."),0))),4)&amp;""),",",".")&amp;", "&amp;CHAR(34)&amp;"denominator"&amp;CHAR(34)&amp;": "&amp;SUBSTITUTE(TRIM(ROUND(IFERROR(CriteriTecnici!$L777*1,IFERROR(NUMBERVALUE(CriteriTecnici!$L777,".",","),IFERROR(NUMBERVALUE(CriteriTecnici!$L777,",","."),0))),4)&amp;""),",",".")&amp;", "&amp;CHAR(34)&amp;"flag"&amp;CHAR(34)&amp;": "&amp;SUBSTITUTE(TRIM(ROUND(IFERROR(CriteriTecnici!$M777*1,IFERROR(NUMBERVALUE(CriteriTecnici!$M777,".",","),IFERROR(NUMBERVALUE(CriteriTecnici!$M777,",","."),0))),4)&amp;""),",",".")&amp;", "&amp;CHAR(34)&amp;"rawScore"&amp;CHAR(34)&amp;": "&amp;SUBSTITUTE(TRIM(ROUND(IFERROR(CriteriTecnici!$O777*1,IFERROR(NUMBERVALUE(CriteriTecnici!$O777,".",","),IFERROR(NUMBERVALUE(CriteriTecnici!$O777,",","."),0))),4)&amp;""),",",".")&amp;CHAR(125)&amp;IF(TRUE,",",""))</f>
        <v/>
      </c>
    </row>
    <row r="879">
      <c r="A879" s="82">
        <f>IF(CriteriTecnici!$A778="","","    "&amp;CHAR(123)&amp;CHAR(34)&amp;"bidderId"&amp;CHAR(34)&amp;": "&amp;CHAR(34)&amp;SUBSTITUTE(CriteriTecnici!$A778,CHAR(34),"'")&amp;CHAR(34)&amp;", "&amp;CHAR(34)&amp;"lotId"&amp;CHAR(34)&amp;": "&amp;CHAR(34)&amp;SUBSTITUTE(CriteriTecnici!$C778,CHAR(34),"'")&amp;CHAR(34)&amp;", "&amp;CHAR(34)&amp;"criterionId"&amp;CHAR(34)&amp;": "&amp;CHAR(34)&amp;SUBSTITUTE(CriteriTecnici!$D778,CHAR(34),"'")&amp;CHAR(34)&amp;", "&amp;CHAR(34)&amp;"kind"&amp;CHAR(34)&amp;": "&amp;CHAR(34)&amp;SUBSTITUTE(CriteriTecnici!$F778,CHAR(34),"'")&amp;CHAR(34)&amp;", "&amp;CHAR(34)&amp;"value"&amp;CHAR(34)&amp;": "&amp;SUBSTITUTE(TRIM(ROUND(IFERROR(CriteriTecnici!$N778*1,IFERROR(NUMBERVALUE(CriteriTecnici!$N778,".",","),IFERROR(NUMBERVALUE(CriteriTecnici!$N778,",","."),0))),4)&amp;""),",",".")&amp;", "&amp;CHAR(34)&amp;"numerator"&amp;CHAR(34)&amp;": "&amp;SUBSTITUTE(TRIM(ROUND(IFERROR(CriteriTecnici!$K778*1,IFERROR(NUMBERVALUE(CriteriTecnici!$K778,".",","),IFERROR(NUMBERVALUE(CriteriTecnici!$K778,",","."),0))),4)&amp;""),",",".")&amp;", "&amp;CHAR(34)&amp;"denominator"&amp;CHAR(34)&amp;": "&amp;SUBSTITUTE(TRIM(ROUND(IFERROR(CriteriTecnici!$L778*1,IFERROR(NUMBERVALUE(CriteriTecnici!$L778,".",","),IFERROR(NUMBERVALUE(CriteriTecnici!$L778,",","."),0))),4)&amp;""),",",".")&amp;", "&amp;CHAR(34)&amp;"flag"&amp;CHAR(34)&amp;": "&amp;SUBSTITUTE(TRIM(ROUND(IFERROR(CriteriTecnici!$M778*1,IFERROR(NUMBERVALUE(CriteriTecnici!$M778,".",","),IFERROR(NUMBERVALUE(CriteriTecnici!$M778,",","."),0))),4)&amp;""),",",".")&amp;", "&amp;CHAR(34)&amp;"rawScore"&amp;CHAR(34)&amp;": "&amp;SUBSTITUTE(TRIM(ROUND(IFERROR(CriteriTecnici!$O778*1,IFERROR(NUMBERVALUE(CriteriTecnici!$O778,".",","),IFERROR(NUMBERVALUE(CriteriTecnici!$O778,",","."),0))),4)&amp;""),",",".")&amp;CHAR(125)&amp;IF(TRUE,",",""))</f>
        <v/>
      </c>
    </row>
    <row r="880">
      <c r="A880" s="82">
        <f>IF(CriteriTecnici!$A779="","","    "&amp;CHAR(123)&amp;CHAR(34)&amp;"bidderId"&amp;CHAR(34)&amp;": "&amp;CHAR(34)&amp;SUBSTITUTE(CriteriTecnici!$A779,CHAR(34),"'")&amp;CHAR(34)&amp;", "&amp;CHAR(34)&amp;"lotId"&amp;CHAR(34)&amp;": "&amp;CHAR(34)&amp;SUBSTITUTE(CriteriTecnici!$C779,CHAR(34),"'")&amp;CHAR(34)&amp;", "&amp;CHAR(34)&amp;"criterionId"&amp;CHAR(34)&amp;": "&amp;CHAR(34)&amp;SUBSTITUTE(CriteriTecnici!$D779,CHAR(34),"'")&amp;CHAR(34)&amp;", "&amp;CHAR(34)&amp;"kind"&amp;CHAR(34)&amp;": "&amp;CHAR(34)&amp;SUBSTITUTE(CriteriTecnici!$F779,CHAR(34),"'")&amp;CHAR(34)&amp;", "&amp;CHAR(34)&amp;"value"&amp;CHAR(34)&amp;": "&amp;SUBSTITUTE(TRIM(ROUND(IFERROR(CriteriTecnici!$N779*1,IFERROR(NUMBERVALUE(CriteriTecnici!$N779,".",","),IFERROR(NUMBERVALUE(CriteriTecnici!$N779,",","."),0))),4)&amp;""),",",".")&amp;", "&amp;CHAR(34)&amp;"numerator"&amp;CHAR(34)&amp;": "&amp;SUBSTITUTE(TRIM(ROUND(IFERROR(CriteriTecnici!$K779*1,IFERROR(NUMBERVALUE(CriteriTecnici!$K779,".",","),IFERROR(NUMBERVALUE(CriteriTecnici!$K779,",","."),0))),4)&amp;""),",",".")&amp;", "&amp;CHAR(34)&amp;"denominator"&amp;CHAR(34)&amp;": "&amp;SUBSTITUTE(TRIM(ROUND(IFERROR(CriteriTecnici!$L779*1,IFERROR(NUMBERVALUE(CriteriTecnici!$L779,".",","),IFERROR(NUMBERVALUE(CriteriTecnici!$L779,",","."),0))),4)&amp;""),",",".")&amp;", "&amp;CHAR(34)&amp;"flag"&amp;CHAR(34)&amp;": "&amp;SUBSTITUTE(TRIM(ROUND(IFERROR(CriteriTecnici!$M779*1,IFERROR(NUMBERVALUE(CriteriTecnici!$M779,".",","),IFERROR(NUMBERVALUE(CriteriTecnici!$M779,",","."),0))),4)&amp;""),",",".")&amp;", "&amp;CHAR(34)&amp;"rawScore"&amp;CHAR(34)&amp;": "&amp;SUBSTITUTE(TRIM(ROUND(IFERROR(CriteriTecnici!$O779*1,IFERROR(NUMBERVALUE(CriteriTecnici!$O779,".",","),IFERROR(NUMBERVALUE(CriteriTecnici!$O779,",","."),0))),4)&amp;""),",",".")&amp;CHAR(125)&amp;IF(COUNTA(Offerte!$A27:$A$81)&gt;0,",",""))</f>
        <v/>
      </c>
    </row>
    <row r="881">
      <c r="A881" s="82">
        <f>IF(CriteriTecnici!$A780="","","    "&amp;CHAR(123)&amp;CHAR(34)&amp;"bidderId"&amp;CHAR(34)&amp;": "&amp;CHAR(34)&amp;SUBSTITUTE(CriteriTecnici!$A780,CHAR(34),"'")&amp;CHAR(34)&amp;", "&amp;CHAR(34)&amp;"lotId"&amp;CHAR(34)&amp;": "&amp;CHAR(34)&amp;SUBSTITUTE(CriteriTecnici!$C780,CHAR(34),"'")&amp;CHAR(34)&amp;", "&amp;CHAR(34)&amp;"criterionId"&amp;CHAR(34)&amp;": "&amp;CHAR(34)&amp;SUBSTITUTE(CriteriTecnici!$D780,CHAR(34),"'")&amp;CHAR(34)&amp;", "&amp;CHAR(34)&amp;"kind"&amp;CHAR(34)&amp;": "&amp;CHAR(34)&amp;SUBSTITUTE(CriteriTecnici!$F780,CHAR(34),"'")&amp;CHAR(34)&amp;", "&amp;CHAR(34)&amp;"value"&amp;CHAR(34)&amp;": "&amp;SUBSTITUTE(TRIM(ROUND(IFERROR(CriteriTecnici!$N780*1,IFERROR(NUMBERVALUE(CriteriTecnici!$N780,".",","),IFERROR(NUMBERVALUE(CriteriTecnici!$N780,",","."),0))),4)&amp;""),",",".")&amp;", "&amp;CHAR(34)&amp;"numerator"&amp;CHAR(34)&amp;": "&amp;SUBSTITUTE(TRIM(ROUND(IFERROR(CriteriTecnici!$K780*1,IFERROR(NUMBERVALUE(CriteriTecnici!$K780,".",","),IFERROR(NUMBERVALUE(CriteriTecnici!$K780,",","."),0))),4)&amp;""),",",".")&amp;", "&amp;CHAR(34)&amp;"denominator"&amp;CHAR(34)&amp;": "&amp;SUBSTITUTE(TRIM(ROUND(IFERROR(CriteriTecnici!$L780*1,IFERROR(NUMBERVALUE(CriteriTecnici!$L780,".",","),IFERROR(NUMBERVALUE(CriteriTecnici!$L780,",","."),0))),4)&amp;""),",",".")&amp;", "&amp;CHAR(34)&amp;"flag"&amp;CHAR(34)&amp;": "&amp;SUBSTITUTE(TRIM(ROUND(IFERROR(CriteriTecnici!$M780*1,IFERROR(NUMBERVALUE(CriteriTecnici!$M780,".",","),IFERROR(NUMBERVALUE(CriteriTecnici!$M780,",","."),0))),4)&amp;""),",",".")&amp;", "&amp;CHAR(34)&amp;"rawScore"&amp;CHAR(34)&amp;": "&amp;SUBSTITUTE(TRIM(ROUND(IFERROR(CriteriTecnici!$O780*1,IFERROR(NUMBERVALUE(CriteriTecnici!$O780,".",","),IFERROR(NUMBERVALUE(CriteriTecnici!$O780,",","."),0))),4)&amp;""),",",".")&amp;CHAR(125)&amp;IF(TRUE,",",""))</f>
        <v/>
      </c>
    </row>
    <row r="882">
      <c r="A882" s="82">
        <f>IF(CriteriTecnici!$A781="","","    "&amp;CHAR(123)&amp;CHAR(34)&amp;"bidderId"&amp;CHAR(34)&amp;": "&amp;CHAR(34)&amp;SUBSTITUTE(CriteriTecnici!$A781,CHAR(34),"'")&amp;CHAR(34)&amp;", "&amp;CHAR(34)&amp;"lotId"&amp;CHAR(34)&amp;": "&amp;CHAR(34)&amp;SUBSTITUTE(CriteriTecnici!$C781,CHAR(34),"'")&amp;CHAR(34)&amp;", "&amp;CHAR(34)&amp;"criterionId"&amp;CHAR(34)&amp;": "&amp;CHAR(34)&amp;SUBSTITUTE(CriteriTecnici!$D781,CHAR(34),"'")&amp;CHAR(34)&amp;", "&amp;CHAR(34)&amp;"kind"&amp;CHAR(34)&amp;": "&amp;CHAR(34)&amp;SUBSTITUTE(CriteriTecnici!$F781,CHAR(34),"'")&amp;CHAR(34)&amp;", "&amp;CHAR(34)&amp;"value"&amp;CHAR(34)&amp;": "&amp;SUBSTITUTE(TRIM(ROUND(IFERROR(CriteriTecnici!$N781*1,IFERROR(NUMBERVALUE(CriteriTecnici!$N781,".",","),IFERROR(NUMBERVALUE(CriteriTecnici!$N781,",","."),0))),4)&amp;""),",",".")&amp;", "&amp;CHAR(34)&amp;"numerator"&amp;CHAR(34)&amp;": "&amp;SUBSTITUTE(TRIM(ROUND(IFERROR(CriteriTecnici!$K781*1,IFERROR(NUMBERVALUE(CriteriTecnici!$K781,".",","),IFERROR(NUMBERVALUE(CriteriTecnici!$K781,",","."),0))),4)&amp;""),",",".")&amp;", "&amp;CHAR(34)&amp;"denominator"&amp;CHAR(34)&amp;": "&amp;SUBSTITUTE(TRIM(ROUND(IFERROR(CriteriTecnici!$L781*1,IFERROR(NUMBERVALUE(CriteriTecnici!$L781,".",","),IFERROR(NUMBERVALUE(CriteriTecnici!$L781,",","."),0))),4)&amp;""),",",".")&amp;", "&amp;CHAR(34)&amp;"flag"&amp;CHAR(34)&amp;": "&amp;SUBSTITUTE(TRIM(ROUND(IFERROR(CriteriTecnici!$M781*1,IFERROR(NUMBERVALUE(CriteriTecnici!$M781,".",","),IFERROR(NUMBERVALUE(CriteriTecnici!$M781,",","."),0))),4)&amp;""),",",".")&amp;", "&amp;CHAR(34)&amp;"rawScore"&amp;CHAR(34)&amp;": "&amp;SUBSTITUTE(TRIM(ROUND(IFERROR(CriteriTecnici!$O781*1,IFERROR(NUMBERVALUE(CriteriTecnici!$O781,".",","),IFERROR(NUMBERVALUE(CriteriTecnici!$O781,",","."),0))),4)&amp;""),",",".")&amp;CHAR(125)&amp;IF(TRUE,",",""))</f>
        <v/>
      </c>
    </row>
    <row r="883">
      <c r="A883" s="82">
        <f>IF(CriteriTecnici!$A782="","","    "&amp;CHAR(123)&amp;CHAR(34)&amp;"bidderId"&amp;CHAR(34)&amp;": "&amp;CHAR(34)&amp;SUBSTITUTE(CriteriTecnici!$A782,CHAR(34),"'")&amp;CHAR(34)&amp;", "&amp;CHAR(34)&amp;"lotId"&amp;CHAR(34)&amp;": "&amp;CHAR(34)&amp;SUBSTITUTE(CriteriTecnici!$C782,CHAR(34),"'")&amp;CHAR(34)&amp;", "&amp;CHAR(34)&amp;"criterionId"&amp;CHAR(34)&amp;": "&amp;CHAR(34)&amp;SUBSTITUTE(CriteriTecnici!$D782,CHAR(34),"'")&amp;CHAR(34)&amp;", "&amp;CHAR(34)&amp;"kind"&amp;CHAR(34)&amp;": "&amp;CHAR(34)&amp;SUBSTITUTE(CriteriTecnici!$F782,CHAR(34),"'")&amp;CHAR(34)&amp;", "&amp;CHAR(34)&amp;"value"&amp;CHAR(34)&amp;": "&amp;SUBSTITUTE(TRIM(ROUND(IFERROR(CriteriTecnici!$N782*1,IFERROR(NUMBERVALUE(CriteriTecnici!$N782,".",","),IFERROR(NUMBERVALUE(CriteriTecnici!$N782,",","."),0))),4)&amp;""),",",".")&amp;", "&amp;CHAR(34)&amp;"numerator"&amp;CHAR(34)&amp;": "&amp;SUBSTITUTE(TRIM(ROUND(IFERROR(CriteriTecnici!$K782*1,IFERROR(NUMBERVALUE(CriteriTecnici!$K782,".",","),IFERROR(NUMBERVALUE(CriteriTecnici!$K782,",","."),0))),4)&amp;""),",",".")&amp;", "&amp;CHAR(34)&amp;"denominator"&amp;CHAR(34)&amp;": "&amp;SUBSTITUTE(TRIM(ROUND(IFERROR(CriteriTecnici!$L782*1,IFERROR(NUMBERVALUE(CriteriTecnici!$L782,".",","),IFERROR(NUMBERVALUE(CriteriTecnici!$L782,",","."),0))),4)&amp;""),",",".")&amp;", "&amp;CHAR(34)&amp;"flag"&amp;CHAR(34)&amp;": "&amp;SUBSTITUTE(TRIM(ROUND(IFERROR(CriteriTecnici!$M782*1,IFERROR(NUMBERVALUE(CriteriTecnici!$M782,".",","),IFERROR(NUMBERVALUE(CriteriTecnici!$M782,",","."),0))),4)&amp;""),",",".")&amp;", "&amp;CHAR(34)&amp;"rawScore"&amp;CHAR(34)&amp;": "&amp;SUBSTITUTE(TRIM(ROUND(IFERROR(CriteriTecnici!$O782*1,IFERROR(NUMBERVALUE(CriteriTecnici!$O782,".",","),IFERROR(NUMBERVALUE(CriteriTecnici!$O782,",","."),0))),4)&amp;""),",",".")&amp;CHAR(125)&amp;IF(TRUE,",",""))</f>
        <v/>
      </c>
    </row>
    <row r="884">
      <c r="A884" s="82">
        <f>IF(CriteriTecnici!$A783="","","    "&amp;CHAR(123)&amp;CHAR(34)&amp;"bidderId"&amp;CHAR(34)&amp;": "&amp;CHAR(34)&amp;SUBSTITUTE(CriteriTecnici!$A783,CHAR(34),"'")&amp;CHAR(34)&amp;", "&amp;CHAR(34)&amp;"lotId"&amp;CHAR(34)&amp;": "&amp;CHAR(34)&amp;SUBSTITUTE(CriteriTecnici!$C783,CHAR(34),"'")&amp;CHAR(34)&amp;", "&amp;CHAR(34)&amp;"criterionId"&amp;CHAR(34)&amp;": "&amp;CHAR(34)&amp;SUBSTITUTE(CriteriTecnici!$D783,CHAR(34),"'")&amp;CHAR(34)&amp;", "&amp;CHAR(34)&amp;"kind"&amp;CHAR(34)&amp;": "&amp;CHAR(34)&amp;SUBSTITUTE(CriteriTecnici!$F783,CHAR(34),"'")&amp;CHAR(34)&amp;", "&amp;CHAR(34)&amp;"value"&amp;CHAR(34)&amp;": "&amp;SUBSTITUTE(TRIM(ROUND(IFERROR(CriteriTecnici!$N783*1,IFERROR(NUMBERVALUE(CriteriTecnici!$N783,".",","),IFERROR(NUMBERVALUE(CriteriTecnici!$N783,",","."),0))),4)&amp;""),",",".")&amp;", "&amp;CHAR(34)&amp;"numerator"&amp;CHAR(34)&amp;": "&amp;SUBSTITUTE(TRIM(ROUND(IFERROR(CriteriTecnici!$K783*1,IFERROR(NUMBERVALUE(CriteriTecnici!$K783,".",","),IFERROR(NUMBERVALUE(CriteriTecnici!$K783,",","."),0))),4)&amp;""),",",".")&amp;", "&amp;CHAR(34)&amp;"denominator"&amp;CHAR(34)&amp;": "&amp;SUBSTITUTE(TRIM(ROUND(IFERROR(CriteriTecnici!$L783*1,IFERROR(NUMBERVALUE(CriteriTecnici!$L783,".",","),IFERROR(NUMBERVALUE(CriteriTecnici!$L783,",","."),0))),4)&amp;""),",",".")&amp;", "&amp;CHAR(34)&amp;"flag"&amp;CHAR(34)&amp;": "&amp;SUBSTITUTE(TRIM(ROUND(IFERROR(CriteriTecnici!$M783*1,IFERROR(NUMBERVALUE(CriteriTecnici!$M783,".",","),IFERROR(NUMBERVALUE(CriteriTecnici!$M783,",","."),0))),4)&amp;""),",",".")&amp;", "&amp;CHAR(34)&amp;"rawScore"&amp;CHAR(34)&amp;": "&amp;SUBSTITUTE(TRIM(ROUND(IFERROR(CriteriTecnici!$O783*1,IFERROR(NUMBERVALUE(CriteriTecnici!$O783,".",","),IFERROR(NUMBERVALUE(CriteriTecnici!$O783,",","."),0))),4)&amp;""),",",".")&amp;CHAR(125)&amp;IF(TRUE,",",""))</f>
        <v/>
      </c>
    </row>
    <row r="885">
      <c r="A885" s="82">
        <f>IF(CriteriTecnici!$A784="","","    "&amp;CHAR(123)&amp;CHAR(34)&amp;"bidderId"&amp;CHAR(34)&amp;": "&amp;CHAR(34)&amp;SUBSTITUTE(CriteriTecnici!$A784,CHAR(34),"'")&amp;CHAR(34)&amp;", "&amp;CHAR(34)&amp;"lotId"&amp;CHAR(34)&amp;": "&amp;CHAR(34)&amp;SUBSTITUTE(CriteriTecnici!$C784,CHAR(34),"'")&amp;CHAR(34)&amp;", "&amp;CHAR(34)&amp;"criterionId"&amp;CHAR(34)&amp;": "&amp;CHAR(34)&amp;SUBSTITUTE(CriteriTecnici!$D784,CHAR(34),"'")&amp;CHAR(34)&amp;", "&amp;CHAR(34)&amp;"kind"&amp;CHAR(34)&amp;": "&amp;CHAR(34)&amp;SUBSTITUTE(CriteriTecnici!$F784,CHAR(34),"'")&amp;CHAR(34)&amp;", "&amp;CHAR(34)&amp;"value"&amp;CHAR(34)&amp;": "&amp;SUBSTITUTE(TRIM(ROUND(IFERROR(CriteriTecnici!$N784*1,IFERROR(NUMBERVALUE(CriteriTecnici!$N784,".",","),IFERROR(NUMBERVALUE(CriteriTecnici!$N784,",","."),0))),4)&amp;""),",",".")&amp;", "&amp;CHAR(34)&amp;"numerator"&amp;CHAR(34)&amp;": "&amp;SUBSTITUTE(TRIM(ROUND(IFERROR(CriteriTecnici!$K784*1,IFERROR(NUMBERVALUE(CriteriTecnici!$K784,".",","),IFERROR(NUMBERVALUE(CriteriTecnici!$K784,",","."),0))),4)&amp;""),",",".")&amp;", "&amp;CHAR(34)&amp;"denominator"&amp;CHAR(34)&amp;": "&amp;SUBSTITUTE(TRIM(ROUND(IFERROR(CriteriTecnici!$L784*1,IFERROR(NUMBERVALUE(CriteriTecnici!$L784,".",","),IFERROR(NUMBERVALUE(CriteriTecnici!$L784,",","."),0))),4)&amp;""),",",".")&amp;", "&amp;CHAR(34)&amp;"flag"&amp;CHAR(34)&amp;": "&amp;SUBSTITUTE(TRIM(ROUND(IFERROR(CriteriTecnici!$M784*1,IFERROR(NUMBERVALUE(CriteriTecnici!$M784,".",","),IFERROR(NUMBERVALUE(CriteriTecnici!$M784,",","."),0))),4)&amp;""),",",".")&amp;", "&amp;CHAR(34)&amp;"rawScore"&amp;CHAR(34)&amp;": "&amp;SUBSTITUTE(TRIM(ROUND(IFERROR(CriteriTecnici!$O784*1,IFERROR(NUMBERVALUE(CriteriTecnici!$O784,".",","),IFERROR(NUMBERVALUE(CriteriTecnici!$O784,",","."),0))),4)&amp;""),",",".")&amp;CHAR(125)&amp;IF(TRUE,",",""))</f>
        <v/>
      </c>
    </row>
    <row r="886">
      <c r="A886" s="82">
        <f>IF(CriteriTecnici!$A785="","","    "&amp;CHAR(123)&amp;CHAR(34)&amp;"bidderId"&amp;CHAR(34)&amp;": "&amp;CHAR(34)&amp;SUBSTITUTE(CriteriTecnici!$A785,CHAR(34),"'")&amp;CHAR(34)&amp;", "&amp;CHAR(34)&amp;"lotId"&amp;CHAR(34)&amp;": "&amp;CHAR(34)&amp;SUBSTITUTE(CriteriTecnici!$C785,CHAR(34),"'")&amp;CHAR(34)&amp;", "&amp;CHAR(34)&amp;"criterionId"&amp;CHAR(34)&amp;": "&amp;CHAR(34)&amp;SUBSTITUTE(CriteriTecnici!$D785,CHAR(34),"'")&amp;CHAR(34)&amp;", "&amp;CHAR(34)&amp;"kind"&amp;CHAR(34)&amp;": "&amp;CHAR(34)&amp;SUBSTITUTE(CriteriTecnici!$F785,CHAR(34),"'")&amp;CHAR(34)&amp;", "&amp;CHAR(34)&amp;"value"&amp;CHAR(34)&amp;": "&amp;SUBSTITUTE(TRIM(ROUND(IFERROR(CriteriTecnici!$N785*1,IFERROR(NUMBERVALUE(CriteriTecnici!$N785,".",","),IFERROR(NUMBERVALUE(CriteriTecnici!$N785,",","."),0))),4)&amp;""),",",".")&amp;", "&amp;CHAR(34)&amp;"numerator"&amp;CHAR(34)&amp;": "&amp;SUBSTITUTE(TRIM(ROUND(IFERROR(CriteriTecnici!$K785*1,IFERROR(NUMBERVALUE(CriteriTecnici!$K785,".",","),IFERROR(NUMBERVALUE(CriteriTecnici!$K785,",","."),0))),4)&amp;""),",",".")&amp;", "&amp;CHAR(34)&amp;"denominator"&amp;CHAR(34)&amp;": "&amp;SUBSTITUTE(TRIM(ROUND(IFERROR(CriteriTecnici!$L785*1,IFERROR(NUMBERVALUE(CriteriTecnici!$L785,".",","),IFERROR(NUMBERVALUE(CriteriTecnici!$L785,",","."),0))),4)&amp;""),",",".")&amp;", "&amp;CHAR(34)&amp;"flag"&amp;CHAR(34)&amp;": "&amp;SUBSTITUTE(TRIM(ROUND(IFERROR(CriteriTecnici!$M785*1,IFERROR(NUMBERVALUE(CriteriTecnici!$M785,".",","),IFERROR(NUMBERVALUE(CriteriTecnici!$M785,",","."),0))),4)&amp;""),",",".")&amp;", "&amp;CHAR(34)&amp;"rawScore"&amp;CHAR(34)&amp;": "&amp;SUBSTITUTE(TRIM(ROUND(IFERROR(CriteriTecnici!$O785*1,IFERROR(NUMBERVALUE(CriteriTecnici!$O785,".",","),IFERROR(NUMBERVALUE(CriteriTecnici!$O785,",","."),0))),4)&amp;""),",",".")&amp;CHAR(125)&amp;IF(TRUE,",",""))</f>
        <v/>
      </c>
    </row>
    <row r="887">
      <c r="A887" s="82">
        <f>IF(CriteriTecnici!$A786="","","    "&amp;CHAR(123)&amp;CHAR(34)&amp;"bidderId"&amp;CHAR(34)&amp;": "&amp;CHAR(34)&amp;SUBSTITUTE(CriteriTecnici!$A786,CHAR(34),"'")&amp;CHAR(34)&amp;", "&amp;CHAR(34)&amp;"lotId"&amp;CHAR(34)&amp;": "&amp;CHAR(34)&amp;SUBSTITUTE(CriteriTecnici!$C786,CHAR(34),"'")&amp;CHAR(34)&amp;", "&amp;CHAR(34)&amp;"criterionId"&amp;CHAR(34)&amp;": "&amp;CHAR(34)&amp;SUBSTITUTE(CriteriTecnici!$D786,CHAR(34),"'")&amp;CHAR(34)&amp;", "&amp;CHAR(34)&amp;"kind"&amp;CHAR(34)&amp;": "&amp;CHAR(34)&amp;SUBSTITUTE(CriteriTecnici!$F786,CHAR(34),"'")&amp;CHAR(34)&amp;", "&amp;CHAR(34)&amp;"value"&amp;CHAR(34)&amp;": "&amp;SUBSTITUTE(TRIM(ROUND(IFERROR(CriteriTecnici!$N786*1,IFERROR(NUMBERVALUE(CriteriTecnici!$N786,".",","),IFERROR(NUMBERVALUE(CriteriTecnici!$N786,",","."),0))),4)&amp;""),",",".")&amp;", "&amp;CHAR(34)&amp;"numerator"&amp;CHAR(34)&amp;": "&amp;SUBSTITUTE(TRIM(ROUND(IFERROR(CriteriTecnici!$K786*1,IFERROR(NUMBERVALUE(CriteriTecnici!$K786,".",","),IFERROR(NUMBERVALUE(CriteriTecnici!$K786,",","."),0))),4)&amp;""),",",".")&amp;", "&amp;CHAR(34)&amp;"denominator"&amp;CHAR(34)&amp;": "&amp;SUBSTITUTE(TRIM(ROUND(IFERROR(CriteriTecnici!$L786*1,IFERROR(NUMBERVALUE(CriteriTecnici!$L786,".",","),IFERROR(NUMBERVALUE(CriteriTecnici!$L786,",","."),0))),4)&amp;""),",",".")&amp;", "&amp;CHAR(34)&amp;"flag"&amp;CHAR(34)&amp;": "&amp;SUBSTITUTE(TRIM(ROUND(IFERROR(CriteriTecnici!$M786*1,IFERROR(NUMBERVALUE(CriteriTecnici!$M786,".",","),IFERROR(NUMBERVALUE(CriteriTecnici!$M786,",","."),0))),4)&amp;""),",",".")&amp;", "&amp;CHAR(34)&amp;"rawScore"&amp;CHAR(34)&amp;": "&amp;SUBSTITUTE(TRIM(ROUND(IFERROR(CriteriTecnici!$O786*1,IFERROR(NUMBERVALUE(CriteriTecnici!$O786,".",","),IFERROR(NUMBERVALUE(CriteriTecnici!$O786,",","."),0))),4)&amp;""),",",".")&amp;CHAR(125)&amp;IF(TRUE,",",""))</f>
        <v/>
      </c>
    </row>
    <row r="888">
      <c r="A888" s="82">
        <f>IF(CriteriTecnici!$A787="","","    "&amp;CHAR(123)&amp;CHAR(34)&amp;"bidderId"&amp;CHAR(34)&amp;": "&amp;CHAR(34)&amp;SUBSTITUTE(CriteriTecnici!$A787,CHAR(34),"'")&amp;CHAR(34)&amp;", "&amp;CHAR(34)&amp;"lotId"&amp;CHAR(34)&amp;": "&amp;CHAR(34)&amp;SUBSTITUTE(CriteriTecnici!$C787,CHAR(34),"'")&amp;CHAR(34)&amp;", "&amp;CHAR(34)&amp;"criterionId"&amp;CHAR(34)&amp;": "&amp;CHAR(34)&amp;SUBSTITUTE(CriteriTecnici!$D787,CHAR(34),"'")&amp;CHAR(34)&amp;", "&amp;CHAR(34)&amp;"kind"&amp;CHAR(34)&amp;": "&amp;CHAR(34)&amp;SUBSTITUTE(CriteriTecnici!$F787,CHAR(34),"'")&amp;CHAR(34)&amp;", "&amp;CHAR(34)&amp;"value"&amp;CHAR(34)&amp;": "&amp;SUBSTITUTE(TRIM(ROUND(IFERROR(CriteriTecnici!$N787*1,IFERROR(NUMBERVALUE(CriteriTecnici!$N787,".",","),IFERROR(NUMBERVALUE(CriteriTecnici!$N787,",","."),0))),4)&amp;""),",",".")&amp;", "&amp;CHAR(34)&amp;"numerator"&amp;CHAR(34)&amp;": "&amp;SUBSTITUTE(TRIM(ROUND(IFERROR(CriteriTecnici!$K787*1,IFERROR(NUMBERVALUE(CriteriTecnici!$K787,".",","),IFERROR(NUMBERVALUE(CriteriTecnici!$K787,",","."),0))),4)&amp;""),",",".")&amp;", "&amp;CHAR(34)&amp;"denominator"&amp;CHAR(34)&amp;": "&amp;SUBSTITUTE(TRIM(ROUND(IFERROR(CriteriTecnici!$L787*1,IFERROR(NUMBERVALUE(CriteriTecnici!$L787,".",","),IFERROR(NUMBERVALUE(CriteriTecnici!$L787,",","."),0))),4)&amp;""),",",".")&amp;", "&amp;CHAR(34)&amp;"flag"&amp;CHAR(34)&amp;": "&amp;SUBSTITUTE(TRIM(ROUND(IFERROR(CriteriTecnici!$M787*1,IFERROR(NUMBERVALUE(CriteriTecnici!$M787,".",","),IFERROR(NUMBERVALUE(CriteriTecnici!$M787,",","."),0))),4)&amp;""),",",".")&amp;", "&amp;CHAR(34)&amp;"rawScore"&amp;CHAR(34)&amp;": "&amp;SUBSTITUTE(TRIM(ROUND(IFERROR(CriteriTecnici!$O787*1,IFERROR(NUMBERVALUE(CriteriTecnici!$O787,".",","),IFERROR(NUMBERVALUE(CriteriTecnici!$O787,",","."),0))),4)&amp;""),",",".")&amp;CHAR(125)&amp;IF(TRUE,",",""))</f>
        <v/>
      </c>
    </row>
    <row r="889">
      <c r="A889" s="82">
        <f>IF(CriteriTecnici!$A788="","","    "&amp;CHAR(123)&amp;CHAR(34)&amp;"bidderId"&amp;CHAR(34)&amp;": "&amp;CHAR(34)&amp;SUBSTITUTE(CriteriTecnici!$A788,CHAR(34),"'")&amp;CHAR(34)&amp;", "&amp;CHAR(34)&amp;"lotId"&amp;CHAR(34)&amp;": "&amp;CHAR(34)&amp;SUBSTITUTE(CriteriTecnici!$C788,CHAR(34),"'")&amp;CHAR(34)&amp;", "&amp;CHAR(34)&amp;"criterionId"&amp;CHAR(34)&amp;": "&amp;CHAR(34)&amp;SUBSTITUTE(CriteriTecnici!$D788,CHAR(34),"'")&amp;CHAR(34)&amp;", "&amp;CHAR(34)&amp;"kind"&amp;CHAR(34)&amp;": "&amp;CHAR(34)&amp;SUBSTITUTE(CriteriTecnici!$F788,CHAR(34),"'")&amp;CHAR(34)&amp;", "&amp;CHAR(34)&amp;"value"&amp;CHAR(34)&amp;": "&amp;SUBSTITUTE(TRIM(ROUND(IFERROR(CriteriTecnici!$N788*1,IFERROR(NUMBERVALUE(CriteriTecnici!$N788,".",","),IFERROR(NUMBERVALUE(CriteriTecnici!$N788,",","."),0))),4)&amp;""),",",".")&amp;", "&amp;CHAR(34)&amp;"numerator"&amp;CHAR(34)&amp;": "&amp;SUBSTITUTE(TRIM(ROUND(IFERROR(CriteriTecnici!$K788*1,IFERROR(NUMBERVALUE(CriteriTecnici!$K788,".",","),IFERROR(NUMBERVALUE(CriteriTecnici!$K788,",","."),0))),4)&amp;""),",",".")&amp;", "&amp;CHAR(34)&amp;"denominator"&amp;CHAR(34)&amp;": "&amp;SUBSTITUTE(TRIM(ROUND(IFERROR(CriteriTecnici!$L788*1,IFERROR(NUMBERVALUE(CriteriTecnici!$L788,".",","),IFERROR(NUMBERVALUE(CriteriTecnici!$L788,",","."),0))),4)&amp;""),",",".")&amp;", "&amp;CHAR(34)&amp;"flag"&amp;CHAR(34)&amp;": "&amp;SUBSTITUTE(TRIM(ROUND(IFERROR(CriteriTecnici!$M788*1,IFERROR(NUMBERVALUE(CriteriTecnici!$M788,".",","),IFERROR(NUMBERVALUE(CriteriTecnici!$M788,",","."),0))),4)&amp;""),",",".")&amp;", "&amp;CHAR(34)&amp;"rawScore"&amp;CHAR(34)&amp;": "&amp;SUBSTITUTE(TRIM(ROUND(IFERROR(CriteriTecnici!$O788*1,IFERROR(NUMBERVALUE(CriteriTecnici!$O788,".",","),IFERROR(NUMBERVALUE(CriteriTecnici!$O788,",","."),0))),4)&amp;""),",",".")&amp;CHAR(125)&amp;IF(TRUE,",",""))</f>
        <v/>
      </c>
    </row>
    <row r="890">
      <c r="A890" s="82">
        <f>IF(CriteriTecnici!$A789="","","    "&amp;CHAR(123)&amp;CHAR(34)&amp;"bidderId"&amp;CHAR(34)&amp;": "&amp;CHAR(34)&amp;SUBSTITUTE(CriteriTecnici!$A789,CHAR(34),"'")&amp;CHAR(34)&amp;", "&amp;CHAR(34)&amp;"lotId"&amp;CHAR(34)&amp;": "&amp;CHAR(34)&amp;SUBSTITUTE(CriteriTecnici!$C789,CHAR(34),"'")&amp;CHAR(34)&amp;", "&amp;CHAR(34)&amp;"criterionId"&amp;CHAR(34)&amp;": "&amp;CHAR(34)&amp;SUBSTITUTE(CriteriTecnici!$D789,CHAR(34),"'")&amp;CHAR(34)&amp;", "&amp;CHAR(34)&amp;"kind"&amp;CHAR(34)&amp;": "&amp;CHAR(34)&amp;SUBSTITUTE(CriteriTecnici!$F789,CHAR(34),"'")&amp;CHAR(34)&amp;", "&amp;CHAR(34)&amp;"value"&amp;CHAR(34)&amp;": "&amp;SUBSTITUTE(TRIM(ROUND(IFERROR(CriteriTecnici!$N789*1,IFERROR(NUMBERVALUE(CriteriTecnici!$N789,".",","),IFERROR(NUMBERVALUE(CriteriTecnici!$N789,",","."),0))),4)&amp;""),",",".")&amp;", "&amp;CHAR(34)&amp;"numerator"&amp;CHAR(34)&amp;": "&amp;SUBSTITUTE(TRIM(ROUND(IFERROR(CriteriTecnici!$K789*1,IFERROR(NUMBERVALUE(CriteriTecnici!$K789,".",","),IFERROR(NUMBERVALUE(CriteriTecnici!$K789,",","."),0))),4)&amp;""),",",".")&amp;", "&amp;CHAR(34)&amp;"denominator"&amp;CHAR(34)&amp;": "&amp;SUBSTITUTE(TRIM(ROUND(IFERROR(CriteriTecnici!$L789*1,IFERROR(NUMBERVALUE(CriteriTecnici!$L789,".",","),IFERROR(NUMBERVALUE(CriteriTecnici!$L789,",","."),0))),4)&amp;""),",",".")&amp;", "&amp;CHAR(34)&amp;"flag"&amp;CHAR(34)&amp;": "&amp;SUBSTITUTE(TRIM(ROUND(IFERROR(CriteriTecnici!$M789*1,IFERROR(NUMBERVALUE(CriteriTecnici!$M789,".",","),IFERROR(NUMBERVALUE(CriteriTecnici!$M789,",","."),0))),4)&amp;""),",",".")&amp;", "&amp;CHAR(34)&amp;"rawScore"&amp;CHAR(34)&amp;": "&amp;SUBSTITUTE(TRIM(ROUND(IFERROR(CriteriTecnici!$O789*1,IFERROR(NUMBERVALUE(CriteriTecnici!$O789,".",","),IFERROR(NUMBERVALUE(CriteriTecnici!$O789,",","."),0))),4)&amp;""),",",".")&amp;CHAR(125)&amp;IF(TRUE,",",""))</f>
        <v/>
      </c>
    </row>
    <row r="891">
      <c r="A891" s="82">
        <f>IF(CriteriTecnici!$A790="","","    "&amp;CHAR(123)&amp;CHAR(34)&amp;"bidderId"&amp;CHAR(34)&amp;": "&amp;CHAR(34)&amp;SUBSTITUTE(CriteriTecnici!$A790,CHAR(34),"'")&amp;CHAR(34)&amp;", "&amp;CHAR(34)&amp;"lotId"&amp;CHAR(34)&amp;": "&amp;CHAR(34)&amp;SUBSTITUTE(CriteriTecnici!$C790,CHAR(34),"'")&amp;CHAR(34)&amp;", "&amp;CHAR(34)&amp;"criterionId"&amp;CHAR(34)&amp;": "&amp;CHAR(34)&amp;SUBSTITUTE(CriteriTecnici!$D790,CHAR(34),"'")&amp;CHAR(34)&amp;", "&amp;CHAR(34)&amp;"kind"&amp;CHAR(34)&amp;": "&amp;CHAR(34)&amp;SUBSTITUTE(CriteriTecnici!$F790,CHAR(34),"'")&amp;CHAR(34)&amp;", "&amp;CHAR(34)&amp;"value"&amp;CHAR(34)&amp;": "&amp;SUBSTITUTE(TRIM(ROUND(IFERROR(CriteriTecnici!$N790*1,IFERROR(NUMBERVALUE(CriteriTecnici!$N790,".",","),IFERROR(NUMBERVALUE(CriteriTecnici!$N790,",","."),0))),4)&amp;""),",",".")&amp;", "&amp;CHAR(34)&amp;"numerator"&amp;CHAR(34)&amp;": "&amp;SUBSTITUTE(TRIM(ROUND(IFERROR(CriteriTecnici!$K790*1,IFERROR(NUMBERVALUE(CriteriTecnici!$K790,".",","),IFERROR(NUMBERVALUE(CriteriTecnici!$K790,",","."),0))),4)&amp;""),",",".")&amp;", "&amp;CHAR(34)&amp;"denominator"&amp;CHAR(34)&amp;": "&amp;SUBSTITUTE(TRIM(ROUND(IFERROR(CriteriTecnici!$L790*1,IFERROR(NUMBERVALUE(CriteriTecnici!$L790,".",","),IFERROR(NUMBERVALUE(CriteriTecnici!$L790,",","."),0))),4)&amp;""),",",".")&amp;", "&amp;CHAR(34)&amp;"flag"&amp;CHAR(34)&amp;": "&amp;SUBSTITUTE(TRIM(ROUND(IFERROR(CriteriTecnici!$M790*1,IFERROR(NUMBERVALUE(CriteriTecnici!$M790,".",","),IFERROR(NUMBERVALUE(CriteriTecnici!$M790,",","."),0))),4)&amp;""),",",".")&amp;", "&amp;CHAR(34)&amp;"rawScore"&amp;CHAR(34)&amp;": "&amp;SUBSTITUTE(TRIM(ROUND(IFERROR(CriteriTecnici!$O790*1,IFERROR(NUMBERVALUE(CriteriTecnici!$O790,".",","),IFERROR(NUMBERVALUE(CriteriTecnici!$O790,",","."),0))),4)&amp;""),",",".")&amp;CHAR(125)&amp;IF(TRUE,",",""))</f>
        <v/>
      </c>
    </row>
    <row r="892">
      <c r="A892" s="82">
        <f>IF(CriteriTecnici!$A791="","","    "&amp;CHAR(123)&amp;CHAR(34)&amp;"bidderId"&amp;CHAR(34)&amp;": "&amp;CHAR(34)&amp;SUBSTITUTE(CriteriTecnici!$A791,CHAR(34),"'")&amp;CHAR(34)&amp;", "&amp;CHAR(34)&amp;"lotId"&amp;CHAR(34)&amp;": "&amp;CHAR(34)&amp;SUBSTITUTE(CriteriTecnici!$C791,CHAR(34),"'")&amp;CHAR(34)&amp;", "&amp;CHAR(34)&amp;"criterionId"&amp;CHAR(34)&amp;": "&amp;CHAR(34)&amp;SUBSTITUTE(CriteriTecnici!$D791,CHAR(34),"'")&amp;CHAR(34)&amp;", "&amp;CHAR(34)&amp;"kind"&amp;CHAR(34)&amp;": "&amp;CHAR(34)&amp;SUBSTITUTE(CriteriTecnici!$F791,CHAR(34),"'")&amp;CHAR(34)&amp;", "&amp;CHAR(34)&amp;"value"&amp;CHAR(34)&amp;": "&amp;SUBSTITUTE(TRIM(ROUND(IFERROR(CriteriTecnici!$N791*1,IFERROR(NUMBERVALUE(CriteriTecnici!$N791,".",","),IFERROR(NUMBERVALUE(CriteriTecnici!$N791,",","."),0))),4)&amp;""),",",".")&amp;", "&amp;CHAR(34)&amp;"numerator"&amp;CHAR(34)&amp;": "&amp;SUBSTITUTE(TRIM(ROUND(IFERROR(CriteriTecnici!$K791*1,IFERROR(NUMBERVALUE(CriteriTecnici!$K791,".",","),IFERROR(NUMBERVALUE(CriteriTecnici!$K791,",","."),0))),4)&amp;""),",",".")&amp;", "&amp;CHAR(34)&amp;"denominator"&amp;CHAR(34)&amp;": "&amp;SUBSTITUTE(TRIM(ROUND(IFERROR(CriteriTecnici!$L791*1,IFERROR(NUMBERVALUE(CriteriTecnici!$L791,".",","),IFERROR(NUMBERVALUE(CriteriTecnici!$L791,",","."),0))),4)&amp;""),",",".")&amp;", "&amp;CHAR(34)&amp;"flag"&amp;CHAR(34)&amp;": "&amp;SUBSTITUTE(TRIM(ROUND(IFERROR(CriteriTecnici!$M791*1,IFERROR(NUMBERVALUE(CriteriTecnici!$M791,".",","),IFERROR(NUMBERVALUE(CriteriTecnici!$M791,",","."),0))),4)&amp;""),",",".")&amp;", "&amp;CHAR(34)&amp;"rawScore"&amp;CHAR(34)&amp;": "&amp;SUBSTITUTE(TRIM(ROUND(IFERROR(CriteriTecnici!$O791*1,IFERROR(NUMBERVALUE(CriteriTecnici!$O791,".",","),IFERROR(NUMBERVALUE(CriteriTecnici!$O791,",","."),0))),4)&amp;""),",",".")&amp;CHAR(125)&amp;IF(TRUE,",",""))</f>
        <v/>
      </c>
    </row>
    <row r="893">
      <c r="A893" s="82">
        <f>IF(CriteriTecnici!$A792="","","    "&amp;CHAR(123)&amp;CHAR(34)&amp;"bidderId"&amp;CHAR(34)&amp;": "&amp;CHAR(34)&amp;SUBSTITUTE(CriteriTecnici!$A792,CHAR(34),"'")&amp;CHAR(34)&amp;", "&amp;CHAR(34)&amp;"lotId"&amp;CHAR(34)&amp;": "&amp;CHAR(34)&amp;SUBSTITUTE(CriteriTecnici!$C792,CHAR(34),"'")&amp;CHAR(34)&amp;", "&amp;CHAR(34)&amp;"criterionId"&amp;CHAR(34)&amp;": "&amp;CHAR(34)&amp;SUBSTITUTE(CriteriTecnici!$D792,CHAR(34),"'")&amp;CHAR(34)&amp;", "&amp;CHAR(34)&amp;"kind"&amp;CHAR(34)&amp;": "&amp;CHAR(34)&amp;SUBSTITUTE(CriteriTecnici!$F792,CHAR(34),"'")&amp;CHAR(34)&amp;", "&amp;CHAR(34)&amp;"value"&amp;CHAR(34)&amp;": "&amp;SUBSTITUTE(TRIM(ROUND(IFERROR(CriteriTecnici!$N792*1,IFERROR(NUMBERVALUE(CriteriTecnici!$N792,".",","),IFERROR(NUMBERVALUE(CriteriTecnici!$N792,",","."),0))),4)&amp;""),",",".")&amp;", "&amp;CHAR(34)&amp;"numerator"&amp;CHAR(34)&amp;": "&amp;SUBSTITUTE(TRIM(ROUND(IFERROR(CriteriTecnici!$K792*1,IFERROR(NUMBERVALUE(CriteriTecnici!$K792,".",","),IFERROR(NUMBERVALUE(CriteriTecnici!$K792,",","."),0))),4)&amp;""),",",".")&amp;", "&amp;CHAR(34)&amp;"denominator"&amp;CHAR(34)&amp;": "&amp;SUBSTITUTE(TRIM(ROUND(IFERROR(CriteriTecnici!$L792*1,IFERROR(NUMBERVALUE(CriteriTecnici!$L792,".",","),IFERROR(NUMBERVALUE(CriteriTecnici!$L792,",","."),0))),4)&amp;""),",",".")&amp;", "&amp;CHAR(34)&amp;"flag"&amp;CHAR(34)&amp;": "&amp;SUBSTITUTE(TRIM(ROUND(IFERROR(CriteriTecnici!$M792*1,IFERROR(NUMBERVALUE(CriteriTecnici!$M792,".",","),IFERROR(NUMBERVALUE(CriteriTecnici!$M792,",","."),0))),4)&amp;""),",",".")&amp;", "&amp;CHAR(34)&amp;"rawScore"&amp;CHAR(34)&amp;": "&amp;SUBSTITUTE(TRIM(ROUND(IFERROR(CriteriTecnici!$O792*1,IFERROR(NUMBERVALUE(CriteriTecnici!$O792,".",","),IFERROR(NUMBERVALUE(CriteriTecnici!$O792,",","."),0))),4)&amp;""),",",".")&amp;CHAR(125)&amp;IF(TRUE,",",""))</f>
        <v/>
      </c>
    </row>
    <row r="894">
      <c r="A894" s="82">
        <f>IF(CriteriTecnici!$A793="","","    "&amp;CHAR(123)&amp;CHAR(34)&amp;"bidderId"&amp;CHAR(34)&amp;": "&amp;CHAR(34)&amp;SUBSTITUTE(CriteriTecnici!$A793,CHAR(34),"'")&amp;CHAR(34)&amp;", "&amp;CHAR(34)&amp;"lotId"&amp;CHAR(34)&amp;": "&amp;CHAR(34)&amp;SUBSTITUTE(CriteriTecnici!$C793,CHAR(34),"'")&amp;CHAR(34)&amp;", "&amp;CHAR(34)&amp;"criterionId"&amp;CHAR(34)&amp;": "&amp;CHAR(34)&amp;SUBSTITUTE(CriteriTecnici!$D793,CHAR(34),"'")&amp;CHAR(34)&amp;", "&amp;CHAR(34)&amp;"kind"&amp;CHAR(34)&amp;": "&amp;CHAR(34)&amp;SUBSTITUTE(CriteriTecnici!$F793,CHAR(34),"'")&amp;CHAR(34)&amp;", "&amp;CHAR(34)&amp;"value"&amp;CHAR(34)&amp;": "&amp;SUBSTITUTE(TRIM(ROUND(IFERROR(CriteriTecnici!$N793*1,IFERROR(NUMBERVALUE(CriteriTecnici!$N793,".",","),IFERROR(NUMBERVALUE(CriteriTecnici!$N793,",","."),0))),4)&amp;""),",",".")&amp;", "&amp;CHAR(34)&amp;"numerator"&amp;CHAR(34)&amp;": "&amp;SUBSTITUTE(TRIM(ROUND(IFERROR(CriteriTecnici!$K793*1,IFERROR(NUMBERVALUE(CriteriTecnici!$K793,".",","),IFERROR(NUMBERVALUE(CriteriTecnici!$K793,",","."),0))),4)&amp;""),",",".")&amp;", "&amp;CHAR(34)&amp;"denominator"&amp;CHAR(34)&amp;": "&amp;SUBSTITUTE(TRIM(ROUND(IFERROR(CriteriTecnici!$L793*1,IFERROR(NUMBERVALUE(CriteriTecnici!$L793,".",","),IFERROR(NUMBERVALUE(CriteriTecnici!$L793,",","."),0))),4)&amp;""),",",".")&amp;", "&amp;CHAR(34)&amp;"flag"&amp;CHAR(34)&amp;": "&amp;SUBSTITUTE(TRIM(ROUND(IFERROR(CriteriTecnici!$M793*1,IFERROR(NUMBERVALUE(CriteriTecnici!$M793,".",","),IFERROR(NUMBERVALUE(CriteriTecnici!$M793,",","."),0))),4)&amp;""),",",".")&amp;", "&amp;CHAR(34)&amp;"rawScore"&amp;CHAR(34)&amp;": "&amp;SUBSTITUTE(TRIM(ROUND(IFERROR(CriteriTecnici!$O793*1,IFERROR(NUMBERVALUE(CriteriTecnici!$O793,".",","),IFERROR(NUMBERVALUE(CriteriTecnici!$O793,",","."),0))),4)&amp;""),",",".")&amp;CHAR(125)&amp;IF(TRUE,",",""))</f>
        <v/>
      </c>
    </row>
    <row r="895">
      <c r="A895" s="82">
        <f>IF(CriteriTecnici!$A794="","","    "&amp;CHAR(123)&amp;CHAR(34)&amp;"bidderId"&amp;CHAR(34)&amp;": "&amp;CHAR(34)&amp;SUBSTITUTE(CriteriTecnici!$A794,CHAR(34),"'")&amp;CHAR(34)&amp;", "&amp;CHAR(34)&amp;"lotId"&amp;CHAR(34)&amp;": "&amp;CHAR(34)&amp;SUBSTITUTE(CriteriTecnici!$C794,CHAR(34),"'")&amp;CHAR(34)&amp;", "&amp;CHAR(34)&amp;"criterionId"&amp;CHAR(34)&amp;": "&amp;CHAR(34)&amp;SUBSTITUTE(CriteriTecnici!$D794,CHAR(34),"'")&amp;CHAR(34)&amp;", "&amp;CHAR(34)&amp;"kind"&amp;CHAR(34)&amp;": "&amp;CHAR(34)&amp;SUBSTITUTE(CriteriTecnici!$F794,CHAR(34),"'")&amp;CHAR(34)&amp;", "&amp;CHAR(34)&amp;"value"&amp;CHAR(34)&amp;": "&amp;SUBSTITUTE(TRIM(ROUND(IFERROR(CriteriTecnici!$N794*1,IFERROR(NUMBERVALUE(CriteriTecnici!$N794,".",","),IFERROR(NUMBERVALUE(CriteriTecnici!$N794,",","."),0))),4)&amp;""),",",".")&amp;", "&amp;CHAR(34)&amp;"numerator"&amp;CHAR(34)&amp;": "&amp;SUBSTITUTE(TRIM(ROUND(IFERROR(CriteriTecnici!$K794*1,IFERROR(NUMBERVALUE(CriteriTecnici!$K794,".",","),IFERROR(NUMBERVALUE(CriteriTecnici!$K794,",","."),0))),4)&amp;""),",",".")&amp;", "&amp;CHAR(34)&amp;"denominator"&amp;CHAR(34)&amp;": "&amp;SUBSTITUTE(TRIM(ROUND(IFERROR(CriteriTecnici!$L794*1,IFERROR(NUMBERVALUE(CriteriTecnici!$L794,".",","),IFERROR(NUMBERVALUE(CriteriTecnici!$L794,",","."),0))),4)&amp;""),",",".")&amp;", "&amp;CHAR(34)&amp;"flag"&amp;CHAR(34)&amp;": "&amp;SUBSTITUTE(TRIM(ROUND(IFERROR(CriteriTecnici!$M794*1,IFERROR(NUMBERVALUE(CriteriTecnici!$M794,".",","),IFERROR(NUMBERVALUE(CriteriTecnici!$M794,",","."),0))),4)&amp;""),",",".")&amp;", "&amp;CHAR(34)&amp;"rawScore"&amp;CHAR(34)&amp;": "&amp;SUBSTITUTE(TRIM(ROUND(IFERROR(CriteriTecnici!$O794*1,IFERROR(NUMBERVALUE(CriteriTecnici!$O794,".",","),IFERROR(NUMBERVALUE(CriteriTecnici!$O794,",","."),0))),4)&amp;""),",",".")&amp;CHAR(125)&amp;IF(TRUE,",",""))</f>
        <v/>
      </c>
    </row>
    <row r="896">
      <c r="A896" s="82">
        <f>IF(CriteriTecnici!$A795="","","    "&amp;CHAR(123)&amp;CHAR(34)&amp;"bidderId"&amp;CHAR(34)&amp;": "&amp;CHAR(34)&amp;SUBSTITUTE(CriteriTecnici!$A795,CHAR(34),"'")&amp;CHAR(34)&amp;", "&amp;CHAR(34)&amp;"lotId"&amp;CHAR(34)&amp;": "&amp;CHAR(34)&amp;SUBSTITUTE(CriteriTecnici!$C795,CHAR(34),"'")&amp;CHAR(34)&amp;", "&amp;CHAR(34)&amp;"criterionId"&amp;CHAR(34)&amp;": "&amp;CHAR(34)&amp;SUBSTITUTE(CriteriTecnici!$D795,CHAR(34),"'")&amp;CHAR(34)&amp;", "&amp;CHAR(34)&amp;"kind"&amp;CHAR(34)&amp;": "&amp;CHAR(34)&amp;SUBSTITUTE(CriteriTecnici!$F795,CHAR(34),"'")&amp;CHAR(34)&amp;", "&amp;CHAR(34)&amp;"value"&amp;CHAR(34)&amp;": "&amp;SUBSTITUTE(TRIM(ROUND(IFERROR(CriteriTecnici!$N795*1,IFERROR(NUMBERVALUE(CriteriTecnici!$N795,".",","),IFERROR(NUMBERVALUE(CriteriTecnici!$N795,",","."),0))),4)&amp;""),",",".")&amp;", "&amp;CHAR(34)&amp;"numerator"&amp;CHAR(34)&amp;": "&amp;SUBSTITUTE(TRIM(ROUND(IFERROR(CriteriTecnici!$K795*1,IFERROR(NUMBERVALUE(CriteriTecnici!$K795,".",","),IFERROR(NUMBERVALUE(CriteriTecnici!$K795,",","."),0))),4)&amp;""),",",".")&amp;", "&amp;CHAR(34)&amp;"denominator"&amp;CHAR(34)&amp;": "&amp;SUBSTITUTE(TRIM(ROUND(IFERROR(CriteriTecnici!$L795*1,IFERROR(NUMBERVALUE(CriteriTecnici!$L795,".",","),IFERROR(NUMBERVALUE(CriteriTecnici!$L795,",","."),0))),4)&amp;""),",",".")&amp;", "&amp;CHAR(34)&amp;"flag"&amp;CHAR(34)&amp;": "&amp;SUBSTITUTE(TRIM(ROUND(IFERROR(CriteriTecnici!$M795*1,IFERROR(NUMBERVALUE(CriteriTecnici!$M795,".",","),IFERROR(NUMBERVALUE(CriteriTecnici!$M795,",","."),0))),4)&amp;""),",",".")&amp;", "&amp;CHAR(34)&amp;"rawScore"&amp;CHAR(34)&amp;": "&amp;SUBSTITUTE(TRIM(ROUND(IFERROR(CriteriTecnici!$O795*1,IFERROR(NUMBERVALUE(CriteriTecnici!$O795,".",","),IFERROR(NUMBERVALUE(CriteriTecnici!$O795,",","."),0))),4)&amp;""),",",".")&amp;CHAR(125)&amp;IF(TRUE,",",""))</f>
        <v/>
      </c>
    </row>
    <row r="897">
      <c r="A897" s="82">
        <f>IF(CriteriTecnici!$A796="","","    "&amp;CHAR(123)&amp;CHAR(34)&amp;"bidderId"&amp;CHAR(34)&amp;": "&amp;CHAR(34)&amp;SUBSTITUTE(CriteriTecnici!$A796,CHAR(34),"'")&amp;CHAR(34)&amp;", "&amp;CHAR(34)&amp;"lotId"&amp;CHAR(34)&amp;": "&amp;CHAR(34)&amp;SUBSTITUTE(CriteriTecnici!$C796,CHAR(34),"'")&amp;CHAR(34)&amp;", "&amp;CHAR(34)&amp;"criterionId"&amp;CHAR(34)&amp;": "&amp;CHAR(34)&amp;SUBSTITUTE(CriteriTecnici!$D796,CHAR(34),"'")&amp;CHAR(34)&amp;", "&amp;CHAR(34)&amp;"kind"&amp;CHAR(34)&amp;": "&amp;CHAR(34)&amp;SUBSTITUTE(CriteriTecnici!$F796,CHAR(34),"'")&amp;CHAR(34)&amp;", "&amp;CHAR(34)&amp;"value"&amp;CHAR(34)&amp;": "&amp;SUBSTITUTE(TRIM(ROUND(IFERROR(CriteriTecnici!$N796*1,IFERROR(NUMBERVALUE(CriteriTecnici!$N796,".",","),IFERROR(NUMBERVALUE(CriteriTecnici!$N796,",","."),0))),4)&amp;""),",",".")&amp;", "&amp;CHAR(34)&amp;"numerator"&amp;CHAR(34)&amp;": "&amp;SUBSTITUTE(TRIM(ROUND(IFERROR(CriteriTecnici!$K796*1,IFERROR(NUMBERVALUE(CriteriTecnici!$K796,".",","),IFERROR(NUMBERVALUE(CriteriTecnici!$K796,",","."),0))),4)&amp;""),",",".")&amp;", "&amp;CHAR(34)&amp;"denominator"&amp;CHAR(34)&amp;": "&amp;SUBSTITUTE(TRIM(ROUND(IFERROR(CriteriTecnici!$L796*1,IFERROR(NUMBERVALUE(CriteriTecnici!$L796,".",","),IFERROR(NUMBERVALUE(CriteriTecnici!$L796,",","."),0))),4)&amp;""),",",".")&amp;", "&amp;CHAR(34)&amp;"flag"&amp;CHAR(34)&amp;": "&amp;SUBSTITUTE(TRIM(ROUND(IFERROR(CriteriTecnici!$M796*1,IFERROR(NUMBERVALUE(CriteriTecnici!$M796,".",","),IFERROR(NUMBERVALUE(CriteriTecnici!$M796,",","."),0))),4)&amp;""),",",".")&amp;", "&amp;CHAR(34)&amp;"rawScore"&amp;CHAR(34)&amp;": "&amp;SUBSTITUTE(TRIM(ROUND(IFERROR(CriteriTecnici!$O796*1,IFERROR(NUMBERVALUE(CriteriTecnici!$O796,".",","),IFERROR(NUMBERVALUE(CriteriTecnici!$O796,",","."),0))),4)&amp;""),",",".")&amp;CHAR(125)&amp;IF(TRUE,",",""))</f>
        <v/>
      </c>
    </row>
    <row r="898">
      <c r="A898" s="82">
        <f>IF(CriteriTecnici!$A797="","","    "&amp;CHAR(123)&amp;CHAR(34)&amp;"bidderId"&amp;CHAR(34)&amp;": "&amp;CHAR(34)&amp;SUBSTITUTE(CriteriTecnici!$A797,CHAR(34),"'")&amp;CHAR(34)&amp;", "&amp;CHAR(34)&amp;"lotId"&amp;CHAR(34)&amp;": "&amp;CHAR(34)&amp;SUBSTITUTE(CriteriTecnici!$C797,CHAR(34),"'")&amp;CHAR(34)&amp;", "&amp;CHAR(34)&amp;"criterionId"&amp;CHAR(34)&amp;": "&amp;CHAR(34)&amp;SUBSTITUTE(CriteriTecnici!$D797,CHAR(34),"'")&amp;CHAR(34)&amp;", "&amp;CHAR(34)&amp;"kind"&amp;CHAR(34)&amp;": "&amp;CHAR(34)&amp;SUBSTITUTE(CriteriTecnici!$F797,CHAR(34),"'")&amp;CHAR(34)&amp;", "&amp;CHAR(34)&amp;"value"&amp;CHAR(34)&amp;": "&amp;SUBSTITUTE(TRIM(ROUND(IFERROR(CriteriTecnici!$N797*1,IFERROR(NUMBERVALUE(CriteriTecnici!$N797,".",","),IFERROR(NUMBERVALUE(CriteriTecnici!$N797,",","."),0))),4)&amp;""),",",".")&amp;", "&amp;CHAR(34)&amp;"numerator"&amp;CHAR(34)&amp;": "&amp;SUBSTITUTE(TRIM(ROUND(IFERROR(CriteriTecnici!$K797*1,IFERROR(NUMBERVALUE(CriteriTecnici!$K797,".",","),IFERROR(NUMBERVALUE(CriteriTecnici!$K797,",","."),0))),4)&amp;""),",",".")&amp;", "&amp;CHAR(34)&amp;"denominator"&amp;CHAR(34)&amp;": "&amp;SUBSTITUTE(TRIM(ROUND(IFERROR(CriteriTecnici!$L797*1,IFERROR(NUMBERVALUE(CriteriTecnici!$L797,".",","),IFERROR(NUMBERVALUE(CriteriTecnici!$L797,",","."),0))),4)&amp;""),",",".")&amp;", "&amp;CHAR(34)&amp;"flag"&amp;CHAR(34)&amp;": "&amp;SUBSTITUTE(TRIM(ROUND(IFERROR(CriteriTecnici!$M797*1,IFERROR(NUMBERVALUE(CriteriTecnici!$M797,".",","),IFERROR(NUMBERVALUE(CriteriTecnici!$M797,",","."),0))),4)&amp;""),",",".")&amp;", "&amp;CHAR(34)&amp;"rawScore"&amp;CHAR(34)&amp;": "&amp;SUBSTITUTE(TRIM(ROUND(IFERROR(CriteriTecnici!$O797*1,IFERROR(NUMBERVALUE(CriteriTecnici!$O797,".",","),IFERROR(NUMBERVALUE(CriteriTecnici!$O797,",","."),0))),4)&amp;""),",",".")&amp;CHAR(125)&amp;IF(TRUE,",",""))</f>
        <v/>
      </c>
    </row>
    <row r="899">
      <c r="A899" s="82">
        <f>IF(CriteriTecnici!$A798="","","    "&amp;CHAR(123)&amp;CHAR(34)&amp;"bidderId"&amp;CHAR(34)&amp;": "&amp;CHAR(34)&amp;SUBSTITUTE(CriteriTecnici!$A798,CHAR(34),"'")&amp;CHAR(34)&amp;", "&amp;CHAR(34)&amp;"lotId"&amp;CHAR(34)&amp;": "&amp;CHAR(34)&amp;SUBSTITUTE(CriteriTecnici!$C798,CHAR(34),"'")&amp;CHAR(34)&amp;", "&amp;CHAR(34)&amp;"criterionId"&amp;CHAR(34)&amp;": "&amp;CHAR(34)&amp;SUBSTITUTE(CriteriTecnici!$D798,CHAR(34),"'")&amp;CHAR(34)&amp;", "&amp;CHAR(34)&amp;"kind"&amp;CHAR(34)&amp;": "&amp;CHAR(34)&amp;SUBSTITUTE(CriteriTecnici!$F798,CHAR(34),"'")&amp;CHAR(34)&amp;", "&amp;CHAR(34)&amp;"value"&amp;CHAR(34)&amp;": "&amp;SUBSTITUTE(TRIM(ROUND(IFERROR(CriteriTecnici!$N798*1,IFERROR(NUMBERVALUE(CriteriTecnici!$N798,".",","),IFERROR(NUMBERVALUE(CriteriTecnici!$N798,",","."),0))),4)&amp;""),",",".")&amp;", "&amp;CHAR(34)&amp;"numerator"&amp;CHAR(34)&amp;": "&amp;SUBSTITUTE(TRIM(ROUND(IFERROR(CriteriTecnici!$K798*1,IFERROR(NUMBERVALUE(CriteriTecnici!$K798,".",","),IFERROR(NUMBERVALUE(CriteriTecnici!$K798,",","."),0))),4)&amp;""),",",".")&amp;", "&amp;CHAR(34)&amp;"denominator"&amp;CHAR(34)&amp;": "&amp;SUBSTITUTE(TRIM(ROUND(IFERROR(CriteriTecnici!$L798*1,IFERROR(NUMBERVALUE(CriteriTecnici!$L798,".",","),IFERROR(NUMBERVALUE(CriteriTecnici!$L798,",","."),0))),4)&amp;""),",",".")&amp;", "&amp;CHAR(34)&amp;"flag"&amp;CHAR(34)&amp;": "&amp;SUBSTITUTE(TRIM(ROUND(IFERROR(CriteriTecnici!$M798*1,IFERROR(NUMBERVALUE(CriteriTecnici!$M798,".",","),IFERROR(NUMBERVALUE(CriteriTecnici!$M798,",","."),0))),4)&amp;""),",",".")&amp;", "&amp;CHAR(34)&amp;"rawScore"&amp;CHAR(34)&amp;": "&amp;SUBSTITUTE(TRIM(ROUND(IFERROR(CriteriTecnici!$O798*1,IFERROR(NUMBERVALUE(CriteriTecnici!$O798,".",","),IFERROR(NUMBERVALUE(CriteriTecnici!$O798,",","."),0))),4)&amp;""),",",".")&amp;CHAR(125)&amp;IF(TRUE,",",""))</f>
        <v/>
      </c>
    </row>
    <row r="900">
      <c r="A900" s="82">
        <f>IF(CriteriTecnici!$A799="","","    "&amp;CHAR(123)&amp;CHAR(34)&amp;"bidderId"&amp;CHAR(34)&amp;": "&amp;CHAR(34)&amp;SUBSTITUTE(CriteriTecnici!$A799,CHAR(34),"'")&amp;CHAR(34)&amp;", "&amp;CHAR(34)&amp;"lotId"&amp;CHAR(34)&amp;": "&amp;CHAR(34)&amp;SUBSTITUTE(CriteriTecnici!$C799,CHAR(34),"'")&amp;CHAR(34)&amp;", "&amp;CHAR(34)&amp;"criterionId"&amp;CHAR(34)&amp;": "&amp;CHAR(34)&amp;SUBSTITUTE(CriteriTecnici!$D799,CHAR(34),"'")&amp;CHAR(34)&amp;", "&amp;CHAR(34)&amp;"kind"&amp;CHAR(34)&amp;": "&amp;CHAR(34)&amp;SUBSTITUTE(CriteriTecnici!$F799,CHAR(34),"'")&amp;CHAR(34)&amp;", "&amp;CHAR(34)&amp;"value"&amp;CHAR(34)&amp;": "&amp;SUBSTITUTE(TRIM(ROUND(IFERROR(CriteriTecnici!$N799*1,IFERROR(NUMBERVALUE(CriteriTecnici!$N799,".",","),IFERROR(NUMBERVALUE(CriteriTecnici!$N799,",","."),0))),4)&amp;""),",",".")&amp;", "&amp;CHAR(34)&amp;"numerator"&amp;CHAR(34)&amp;": "&amp;SUBSTITUTE(TRIM(ROUND(IFERROR(CriteriTecnici!$K799*1,IFERROR(NUMBERVALUE(CriteriTecnici!$K799,".",","),IFERROR(NUMBERVALUE(CriteriTecnici!$K799,",","."),0))),4)&amp;""),",",".")&amp;", "&amp;CHAR(34)&amp;"denominator"&amp;CHAR(34)&amp;": "&amp;SUBSTITUTE(TRIM(ROUND(IFERROR(CriteriTecnici!$L799*1,IFERROR(NUMBERVALUE(CriteriTecnici!$L799,".",","),IFERROR(NUMBERVALUE(CriteriTecnici!$L799,",","."),0))),4)&amp;""),",",".")&amp;", "&amp;CHAR(34)&amp;"flag"&amp;CHAR(34)&amp;": "&amp;SUBSTITUTE(TRIM(ROUND(IFERROR(CriteriTecnici!$M799*1,IFERROR(NUMBERVALUE(CriteriTecnici!$M799,".",","),IFERROR(NUMBERVALUE(CriteriTecnici!$M799,",","."),0))),4)&amp;""),",",".")&amp;", "&amp;CHAR(34)&amp;"rawScore"&amp;CHAR(34)&amp;": "&amp;SUBSTITUTE(TRIM(ROUND(IFERROR(CriteriTecnici!$O799*1,IFERROR(NUMBERVALUE(CriteriTecnici!$O799,".",","),IFERROR(NUMBERVALUE(CriteriTecnici!$O799,",","."),0))),4)&amp;""),",",".")&amp;CHAR(125)&amp;IF(TRUE,",",""))</f>
        <v/>
      </c>
    </row>
    <row r="901">
      <c r="A901" s="82">
        <f>IF(CriteriTecnici!$A800="","","    "&amp;CHAR(123)&amp;CHAR(34)&amp;"bidderId"&amp;CHAR(34)&amp;": "&amp;CHAR(34)&amp;SUBSTITUTE(CriteriTecnici!$A800,CHAR(34),"'")&amp;CHAR(34)&amp;", "&amp;CHAR(34)&amp;"lotId"&amp;CHAR(34)&amp;": "&amp;CHAR(34)&amp;SUBSTITUTE(CriteriTecnici!$C800,CHAR(34),"'")&amp;CHAR(34)&amp;", "&amp;CHAR(34)&amp;"criterionId"&amp;CHAR(34)&amp;": "&amp;CHAR(34)&amp;SUBSTITUTE(CriteriTecnici!$D800,CHAR(34),"'")&amp;CHAR(34)&amp;", "&amp;CHAR(34)&amp;"kind"&amp;CHAR(34)&amp;": "&amp;CHAR(34)&amp;SUBSTITUTE(CriteriTecnici!$F800,CHAR(34),"'")&amp;CHAR(34)&amp;", "&amp;CHAR(34)&amp;"value"&amp;CHAR(34)&amp;": "&amp;SUBSTITUTE(TRIM(ROUND(IFERROR(CriteriTecnici!$N800*1,IFERROR(NUMBERVALUE(CriteriTecnici!$N800,".",","),IFERROR(NUMBERVALUE(CriteriTecnici!$N800,",","."),0))),4)&amp;""),",",".")&amp;", "&amp;CHAR(34)&amp;"numerator"&amp;CHAR(34)&amp;": "&amp;SUBSTITUTE(TRIM(ROUND(IFERROR(CriteriTecnici!$K800*1,IFERROR(NUMBERVALUE(CriteriTecnici!$K800,".",","),IFERROR(NUMBERVALUE(CriteriTecnici!$K800,",","."),0))),4)&amp;""),",",".")&amp;", "&amp;CHAR(34)&amp;"denominator"&amp;CHAR(34)&amp;": "&amp;SUBSTITUTE(TRIM(ROUND(IFERROR(CriteriTecnici!$L800*1,IFERROR(NUMBERVALUE(CriteriTecnici!$L800,".",","),IFERROR(NUMBERVALUE(CriteriTecnici!$L800,",","."),0))),4)&amp;""),",",".")&amp;", "&amp;CHAR(34)&amp;"flag"&amp;CHAR(34)&amp;": "&amp;SUBSTITUTE(TRIM(ROUND(IFERROR(CriteriTecnici!$M800*1,IFERROR(NUMBERVALUE(CriteriTecnici!$M800,".",","),IFERROR(NUMBERVALUE(CriteriTecnici!$M800,",","."),0))),4)&amp;""),",",".")&amp;", "&amp;CHAR(34)&amp;"rawScore"&amp;CHAR(34)&amp;": "&amp;SUBSTITUTE(TRIM(ROUND(IFERROR(CriteriTecnici!$O800*1,IFERROR(NUMBERVALUE(CriteriTecnici!$O800,".",","),IFERROR(NUMBERVALUE(CriteriTecnici!$O800,",","."),0))),4)&amp;""),",",".")&amp;CHAR(125)&amp;IF(TRUE,",",""))</f>
        <v/>
      </c>
    </row>
    <row r="902">
      <c r="A902" s="82">
        <f>IF(CriteriTecnici!$A801="","","    "&amp;CHAR(123)&amp;CHAR(34)&amp;"bidderId"&amp;CHAR(34)&amp;": "&amp;CHAR(34)&amp;SUBSTITUTE(CriteriTecnici!$A801,CHAR(34),"'")&amp;CHAR(34)&amp;", "&amp;CHAR(34)&amp;"lotId"&amp;CHAR(34)&amp;": "&amp;CHAR(34)&amp;SUBSTITUTE(CriteriTecnici!$C801,CHAR(34),"'")&amp;CHAR(34)&amp;", "&amp;CHAR(34)&amp;"criterionId"&amp;CHAR(34)&amp;": "&amp;CHAR(34)&amp;SUBSTITUTE(CriteriTecnici!$D801,CHAR(34),"'")&amp;CHAR(34)&amp;", "&amp;CHAR(34)&amp;"kind"&amp;CHAR(34)&amp;": "&amp;CHAR(34)&amp;SUBSTITUTE(CriteriTecnici!$F801,CHAR(34),"'")&amp;CHAR(34)&amp;", "&amp;CHAR(34)&amp;"value"&amp;CHAR(34)&amp;": "&amp;SUBSTITUTE(TRIM(ROUND(IFERROR(CriteriTecnici!$N801*1,IFERROR(NUMBERVALUE(CriteriTecnici!$N801,".",","),IFERROR(NUMBERVALUE(CriteriTecnici!$N801,",","."),0))),4)&amp;""),",",".")&amp;", "&amp;CHAR(34)&amp;"numerator"&amp;CHAR(34)&amp;": "&amp;SUBSTITUTE(TRIM(ROUND(IFERROR(CriteriTecnici!$K801*1,IFERROR(NUMBERVALUE(CriteriTecnici!$K801,".",","),IFERROR(NUMBERVALUE(CriteriTecnici!$K801,",","."),0))),4)&amp;""),",",".")&amp;", "&amp;CHAR(34)&amp;"denominator"&amp;CHAR(34)&amp;": "&amp;SUBSTITUTE(TRIM(ROUND(IFERROR(CriteriTecnici!$L801*1,IFERROR(NUMBERVALUE(CriteriTecnici!$L801,".",","),IFERROR(NUMBERVALUE(CriteriTecnici!$L801,",","."),0))),4)&amp;""),",",".")&amp;", "&amp;CHAR(34)&amp;"flag"&amp;CHAR(34)&amp;": "&amp;SUBSTITUTE(TRIM(ROUND(IFERROR(CriteriTecnici!$M801*1,IFERROR(NUMBERVALUE(CriteriTecnici!$M801,".",","),IFERROR(NUMBERVALUE(CriteriTecnici!$M801,",","."),0))),4)&amp;""),",",".")&amp;", "&amp;CHAR(34)&amp;"rawScore"&amp;CHAR(34)&amp;": "&amp;SUBSTITUTE(TRIM(ROUND(IFERROR(CriteriTecnici!$O801*1,IFERROR(NUMBERVALUE(CriteriTecnici!$O801,".",","),IFERROR(NUMBERVALUE(CriteriTecnici!$O801,",","."),0))),4)&amp;""),",",".")&amp;CHAR(125)&amp;IF(TRUE,",",""))</f>
        <v/>
      </c>
    </row>
    <row r="903">
      <c r="A903" s="82">
        <f>IF(CriteriTecnici!$A802="","","    "&amp;CHAR(123)&amp;CHAR(34)&amp;"bidderId"&amp;CHAR(34)&amp;": "&amp;CHAR(34)&amp;SUBSTITUTE(CriteriTecnici!$A802,CHAR(34),"'")&amp;CHAR(34)&amp;", "&amp;CHAR(34)&amp;"lotId"&amp;CHAR(34)&amp;": "&amp;CHAR(34)&amp;SUBSTITUTE(CriteriTecnici!$C802,CHAR(34),"'")&amp;CHAR(34)&amp;", "&amp;CHAR(34)&amp;"criterionId"&amp;CHAR(34)&amp;": "&amp;CHAR(34)&amp;SUBSTITUTE(CriteriTecnici!$D802,CHAR(34),"'")&amp;CHAR(34)&amp;", "&amp;CHAR(34)&amp;"kind"&amp;CHAR(34)&amp;": "&amp;CHAR(34)&amp;SUBSTITUTE(CriteriTecnici!$F802,CHAR(34),"'")&amp;CHAR(34)&amp;", "&amp;CHAR(34)&amp;"value"&amp;CHAR(34)&amp;": "&amp;SUBSTITUTE(TRIM(ROUND(IFERROR(CriteriTecnici!$N802*1,IFERROR(NUMBERVALUE(CriteriTecnici!$N802,".",","),IFERROR(NUMBERVALUE(CriteriTecnici!$N802,",","."),0))),4)&amp;""),",",".")&amp;", "&amp;CHAR(34)&amp;"numerator"&amp;CHAR(34)&amp;": "&amp;SUBSTITUTE(TRIM(ROUND(IFERROR(CriteriTecnici!$K802*1,IFERROR(NUMBERVALUE(CriteriTecnici!$K802,".",","),IFERROR(NUMBERVALUE(CriteriTecnici!$K802,",","."),0))),4)&amp;""),",",".")&amp;", "&amp;CHAR(34)&amp;"denominator"&amp;CHAR(34)&amp;": "&amp;SUBSTITUTE(TRIM(ROUND(IFERROR(CriteriTecnici!$L802*1,IFERROR(NUMBERVALUE(CriteriTecnici!$L802,".",","),IFERROR(NUMBERVALUE(CriteriTecnici!$L802,",","."),0))),4)&amp;""),",",".")&amp;", "&amp;CHAR(34)&amp;"flag"&amp;CHAR(34)&amp;": "&amp;SUBSTITUTE(TRIM(ROUND(IFERROR(CriteriTecnici!$M802*1,IFERROR(NUMBERVALUE(CriteriTecnici!$M802,".",","),IFERROR(NUMBERVALUE(CriteriTecnici!$M802,",","."),0))),4)&amp;""),",",".")&amp;", "&amp;CHAR(34)&amp;"rawScore"&amp;CHAR(34)&amp;": "&amp;SUBSTITUTE(TRIM(ROUND(IFERROR(CriteriTecnici!$O802*1,IFERROR(NUMBERVALUE(CriteriTecnici!$O802,".",","),IFERROR(NUMBERVALUE(CriteriTecnici!$O802,",","."),0))),4)&amp;""),",",".")&amp;CHAR(125)&amp;IF(TRUE,",",""))</f>
        <v/>
      </c>
    </row>
    <row r="904">
      <c r="A904" s="82">
        <f>IF(CriteriTecnici!$A803="","","    "&amp;CHAR(123)&amp;CHAR(34)&amp;"bidderId"&amp;CHAR(34)&amp;": "&amp;CHAR(34)&amp;SUBSTITUTE(CriteriTecnici!$A803,CHAR(34),"'")&amp;CHAR(34)&amp;", "&amp;CHAR(34)&amp;"lotId"&amp;CHAR(34)&amp;": "&amp;CHAR(34)&amp;SUBSTITUTE(CriteriTecnici!$C803,CHAR(34),"'")&amp;CHAR(34)&amp;", "&amp;CHAR(34)&amp;"criterionId"&amp;CHAR(34)&amp;": "&amp;CHAR(34)&amp;SUBSTITUTE(CriteriTecnici!$D803,CHAR(34),"'")&amp;CHAR(34)&amp;", "&amp;CHAR(34)&amp;"kind"&amp;CHAR(34)&amp;": "&amp;CHAR(34)&amp;SUBSTITUTE(CriteriTecnici!$F803,CHAR(34),"'")&amp;CHAR(34)&amp;", "&amp;CHAR(34)&amp;"value"&amp;CHAR(34)&amp;": "&amp;SUBSTITUTE(TRIM(ROUND(IFERROR(CriteriTecnici!$N803*1,IFERROR(NUMBERVALUE(CriteriTecnici!$N803,".",","),IFERROR(NUMBERVALUE(CriteriTecnici!$N803,",","."),0))),4)&amp;""),",",".")&amp;", "&amp;CHAR(34)&amp;"numerator"&amp;CHAR(34)&amp;": "&amp;SUBSTITUTE(TRIM(ROUND(IFERROR(CriteriTecnici!$K803*1,IFERROR(NUMBERVALUE(CriteriTecnici!$K803,".",","),IFERROR(NUMBERVALUE(CriteriTecnici!$K803,",","."),0))),4)&amp;""),",",".")&amp;", "&amp;CHAR(34)&amp;"denominator"&amp;CHAR(34)&amp;": "&amp;SUBSTITUTE(TRIM(ROUND(IFERROR(CriteriTecnici!$L803*1,IFERROR(NUMBERVALUE(CriteriTecnici!$L803,".",","),IFERROR(NUMBERVALUE(CriteriTecnici!$L803,",","."),0))),4)&amp;""),",",".")&amp;", "&amp;CHAR(34)&amp;"flag"&amp;CHAR(34)&amp;": "&amp;SUBSTITUTE(TRIM(ROUND(IFERROR(CriteriTecnici!$M803*1,IFERROR(NUMBERVALUE(CriteriTecnici!$M803,".",","),IFERROR(NUMBERVALUE(CriteriTecnici!$M803,",","."),0))),4)&amp;""),",",".")&amp;", "&amp;CHAR(34)&amp;"rawScore"&amp;CHAR(34)&amp;": "&amp;SUBSTITUTE(TRIM(ROUND(IFERROR(CriteriTecnici!$O803*1,IFERROR(NUMBERVALUE(CriteriTecnici!$O803,".",","),IFERROR(NUMBERVALUE(CriteriTecnici!$O803,",","."),0))),4)&amp;""),",",".")&amp;CHAR(125)&amp;IF(TRUE,",",""))</f>
        <v/>
      </c>
    </row>
    <row r="905">
      <c r="A905" s="82">
        <f>IF(CriteriTecnici!$A804="","","    "&amp;CHAR(123)&amp;CHAR(34)&amp;"bidderId"&amp;CHAR(34)&amp;": "&amp;CHAR(34)&amp;SUBSTITUTE(CriteriTecnici!$A804,CHAR(34),"'")&amp;CHAR(34)&amp;", "&amp;CHAR(34)&amp;"lotId"&amp;CHAR(34)&amp;": "&amp;CHAR(34)&amp;SUBSTITUTE(CriteriTecnici!$C804,CHAR(34),"'")&amp;CHAR(34)&amp;", "&amp;CHAR(34)&amp;"criterionId"&amp;CHAR(34)&amp;": "&amp;CHAR(34)&amp;SUBSTITUTE(CriteriTecnici!$D804,CHAR(34),"'")&amp;CHAR(34)&amp;", "&amp;CHAR(34)&amp;"kind"&amp;CHAR(34)&amp;": "&amp;CHAR(34)&amp;SUBSTITUTE(CriteriTecnici!$F804,CHAR(34),"'")&amp;CHAR(34)&amp;", "&amp;CHAR(34)&amp;"value"&amp;CHAR(34)&amp;": "&amp;SUBSTITUTE(TRIM(ROUND(IFERROR(CriteriTecnici!$N804*1,IFERROR(NUMBERVALUE(CriteriTecnici!$N804,".",","),IFERROR(NUMBERVALUE(CriteriTecnici!$N804,",","."),0))),4)&amp;""),",",".")&amp;", "&amp;CHAR(34)&amp;"numerator"&amp;CHAR(34)&amp;": "&amp;SUBSTITUTE(TRIM(ROUND(IFERROR(CriteriTecnici!$K804*1,IFERROR(NUMBERVALUE(CriteriTecnici!$K804,".",","),IFERROR(NUMBERVALUE(CriteriTecnici!$K804,",","."),0))),4)&amp;""),",",".")&amp;", "&amp;CHAR(34)&amp;"denominator"&amp;CHAR(34)&amp;": "&amp;SUBSTITUTE(TRIM(ROUND(IFERROR(CriteriTecnici!$L804*1,IFERROR(NUMBERVALUE(CriteriTecnici!$L804,".",","),IFERROR(NUMBERVALUE(CriteriTecnici!$L804,",","."),0))),4)&amp;""),",",".")&amp;", "&amp;CHAR(34)&amp;"flag"&amp;CHAR(34)&amp;": "&amp;SUBSTITUTE(TRIM(ROUND(IFERROR(CriteriTecnici!$M804*1,IFERROR(NUMBERVALUE(CriteriTecnici!$M804,".",","),IFERROR(NUMBERVALUE(CriteriTecnici!$M804,",","."),0))),4)&amp;""),",",".")&amp;", "&amp;CHAR(34)&amp;"rawScore"&amp;CHAR(34)&amp;": "&amp;SUBSTITUTE(TRIM(ROUND(IFERROR(CriteriTecnici!$O804*1,IFERROR(NUMBERVALUE(CriteriTecnici!$O804,".",","),IFERROR(NUMBERVALUE(CriteriTecnici!$O804,",","."),0))),4)&amp;""),",",".")&amp;CHAR(125)&amp;IF(TRUE,",",""))</f>
        <v/>
      </c>
    </row>
    <row r="906">
      <c r="A906" s="82">
        <f>IF(CriteriTecnici!$A805="","","    "&amp;CHAR(123)&amp;CHAR(34)&amp;"bidderId"&amp;CHAR(34)&amp;": "&amp;CHAR(34)&amp;SUBSTITUTE(CriteriTecnici!$A805,CHAR(34),"'")&amp;CHAR(34)&amp;", "&amp;CHAR(34)&amp;"lotId"&amp;CHAR(34)&amp;": "&amp;CHAR(34)&amp;SUBSTITUTE(CriteriTecnici!$C805,CHAR(34),"'")&amp;CHAR(34)&amp;", "&amp;CHAR(34)&amp;"criterionId"&amp;CHAR(34)&amp;": "&amp;CHAR(34)&amp;SUBSTITUTE(CriteriTecnici!$D805,CHAR(34),"'")&amp;CHAR(34)&amp;", "&amp;CHAR(34)&amp;"kind"&amp;CHAR(34)&amp;": "&amp;CHAR(34)&amp;SUBSTITUTE(CriteriTecnici!$F805,CHAR(34),"'")&amp;CHAR(34)&amp;", "&amp;CHAR(34)&amp;"value"&amp;CHAR(34)&amp;": "&amp;SUBSTITUTE(TRIM(ROUND(IFERROR(CriteriTecnici!$N805*1,IFERROR(NUMBERVALUE(CriteriTecnici!$N805,".",","),IFERROR(NUMBERVALUE(CriteriTecnici!$N805,",","."),0))),4)&amp;""),",",".")&amp;", "&amp;CHAR(34)&amp;"numerator"&amp;CHAR(34)&amp;": "&amp;SUBSTITUTE(TRIM(ROUND(IFERROR(CriteriTecnici!$K805*1,IFERROR(NUMBERVALUE(CriteriTecnici!$K805,".",","),IFERROR(NUMBERVALUE(CriteriTecnici!$K805,",","."),0))),4)&amp;""),",",".")&amp;", "&amp;CHAR(34)&amp;"denominator"&amp;CHAR(34)&amp;": "&amp;SUBSTITUTE(TRIM(ROUND(IFERROR(CriteriTecnici!$L805*1,IFERROR(NUMBERVALUE(CriteriTecnici!$L805,".",","),IFERROR(NUMBERVALUE(CriteriTecnici!$L805,",","."),0))),4)&amp;""),",",".")&amp;", "&amp;CHAR(34)&amp;"flag"&amp;CHAR(34)&amp;": "&amp;SUBSTITUTE(TRIM(ROUND(IFERROR(CriteriTecnici!$M805*1,IFERROR(NUMBERVALUE(CriteriTecnici!$M805,".",","),IFERROR(NUMBERVALUE(CriteriTecnici!$M805,",","."),0))),4)&amp;""),",",".")&amp;", "&amp;CHAR(34)&amp;"rawScore"&amp;CHAR(34)&amp;": "&amp;SUBSTITUTE(TRIM(ROUND(IFERROR(CriteriTecnici!$O805*1,IFERROR(NUMBERVALUE(CriteriTecnici!$O805,".",","),IFERROR(NUMBERVALUE(CriteriTecnici!$O805,",","."),0))),4)&amp;""),",",".")&amp;CHAR(125)&amp;IF(TRUE,",",""))</f>
        <v/>
      </c>
    </row>
    <row r="907">
      <c r="A907" s="82">
        <f>IF(CriteriTecnici!$A806="","","    "&amp;CHAR(123)&amp;CHAR(34)&amp;"bidderId"&amp;CHAR(34)&amp;": "&amp;CHAR(34)&amp;SUBSTITUTE(CriteriTecnici!$A806,CHAR(34),"'")&amp;CHAR(34)&amp;", "&amp;CHAR(34)&amp;"lotId"&amp;CHAR(34)&amp;": "&amp;CHAR(34)&amp;SUBSTITUTE(CriteriTecnici!$C806,CHAR(34),"'")&amp;CHAR(34)&amp;", "&amp;CHAR(34)&amp;"criterionId"&amp;CHAR(34)&amp;": "&amp;CHAR(34)&amp;SUBSTITUTE(CriteriTecnici!$D806,CHAR(34),"'")&amp;CHAR(34)&amp;", "&amp;CHAR(34)&amp;"kind"&amp;CHAR(34)&amp;": "&amp;CHAR(34)&amp;SUBSTITUTE(CriteriTecnici!$F806,CHAR(34),"'")&amp;CHAR(34)&amp;", "&amp;CHAR(34)&amp;"value"&amp;CHAR(34)&amp;": "&amp;SUBSTITUTE(TRIM(ROUND(IFERROR(CriteriTecnici!$N806*1,IFERROR(NUMBERVALUE(CriteriTecnici!$N806,".",","),IFERROR(NUMBERVALUE(CriteriTecnici!$N806,",","."),0))),4)&amp;""),",",".")&amp;", "&amp;CHAR(34)&amp;"numerator"&amp;CHAR(34)&amp;": "&amp;SUBSTITUTE(TRIM(ROUND(IFERROR(CriteriTecnici!$K806*1,IFERROR(NUMBERVALUE(CriteriTecnici!$K806,".",","),IFERROR(NUMBERVALUE(CriteriTecnici!$K806,",","."),0))),4)&amp;""),",",".")&amp;", "&amp;CHAR(34)&amp;"denominator"&amp;CHAR(34)&amp;": "&amp;SUBSTITUTE(TRIM(ROUND(IFERROR(CriteriTecnici!$L806*1,IFERROR(NUMBERVALUE(CriteriTecnici!$L806,".",","),IFERROR(NUMBERVALUE(CriteriTecnici!$L806,",","."),0))),4)&amp;""),",",".")&amp;", "&amp;CHAR(34)&amp;"flag"&amp;CHAR(34)&amp;": "&amp;SUBSTITUTE(TRIM(ROUND(IFERROR(CriteriTecnici!$M806*1,IFERROR(NUMBERVALUE(CriteriTecnici!$M806,".",","),IFERROR(NUMBERVALUE(CriteriTecnici!$M806,",","."),0))),4)&amp;""),",",".")&amp;", "&amp;CHAR(34)&amp;"rawScore"&amp;CHAR(34)&amp;": "&amp;SUBSTITUTE(TRIM(ROUND(IFERROR(CriteriTecnici!$O806*1,IFERROR(NUMBERVALUE(CriteriTecnici!$O806,".",","),IFERROR(NUMBERVALUE(CriteriTecnici!$O806,",","."),0))),4)&amp;""),",",".")&amp;CHAR(125)&amp;IF(TRUE,",",""))</f>
        <v/>
      </c>
    </row>
    <row r="908">
      <c r="A908" s="82">
        <f>IF(CriteriTecnici!$A807="","","    "&amp;CHAR(123)&amp;CHAR(34)&amp;"bidderId"&amp;CHAR(34)&amp;": "&amp;CHAR(34)&amp;SUBSTITUTE(CriteriTecnici!$A807,CHAR(34),"'")&amp;CHAR(34)&amp;", "&amp;CHAR(34)&amp;"lotId"&amp;CHAR(34)&amp;": "&amp;CHAR(34)&amp;SUBSTITUTE(CriteriTecnici!$C807,CHAR(34),"'")&amp;CHAR(34)&amp;", "&amp;CHAR(34)&amp;"criterionId"&amp;CHAR(34)&amp;": "&amp;CHAR(34)&amp;SUBSTITUTE(CriteriTecnici!$D807,CHAR(34),"'")&amp;CHAR(34)&amp;", "&amp;CHAR(34)&amp;"kind"&amp;CHAR(34)&amp;": "&amp;CHAR(34)&amp;SUBSTITUTE(CriteriTecnici!$F807,CHAR(34),"'")&amp;CHAR(34)&amp;", "&amp;CHAR(34)&amp;"value"&amp;CHAR(34)&amp;": "&amp;SUBSTITUTE(TRIM(ROUND(IFERROR(CriteriTecnici!$N807*1,IFERROR(NUMBERVALUE(CriteriTecnici!$N807,".",","),IFERROR(NUMBERVALUE(CriteriTecnici!$N807,",","."),0))),4)&amp;""),",",".")&amp;", "&amp;CHAR(34)&amp;"numerator"&amp;CHAR(34)&amp;": "&amp;SUBSTITUTE(TRIM(ROUND(IFERROR(CriteriTecnici!$K807*1,IFERROR(NUMBERVALUE(CriteriTecnici!$K807,".",","),IFERROR(NUMBERVALUE(CriteriTecnici!$K807,",","."),0))),4)&amp;""),",",".")&amp;", "&amp;CHAR(34)&amp;"denominator"&amp;CHAR(34)&amp;": "&amp;SUBSTITUTE(TRIM(ROUND(IFERROR(CriteriTecnici!$L807*1,IFERROR(NUMBERVALUE(CriteriTecnici!$L807,".",","),IFERROR(NUMBERVALUE(CriteriTecnici!$L807,",","."),0))),4)&amp;""),",",".")&amp;", "&amp;CHAR(34)&amp;"flag"&amp;CHAR(34)&amp;": "&amp;SUBSTITUTE(TRIM(ROUND(IFERROR(CriteriTecnici!$M807*1,IFERROR(NUMBERVALUE(CriteriTecnici!$M807,".",","),IFERROR(NUMBERVALUE(CriteriTecnici!$M807,",","."),0))),4)&amp;""),",",".")&amp;", "&amp;CHAR(34)&amp;"rawScore"&amp;CHAR(34)&amp;": "&amp;SUBSTITUTE(TRIM(ROUND(IFERROR(CriteriTecnici!$O807*1,IFERROR(NUMBERVALUE(CriteriTecnici!$O807,".",","),IFERROR(NUMBERVALUE(CriteriTecnici!$O807,",","."),0))),4)&amp;""),",",".")&amp;CHAR(125)&amp;IF(TRUE,",",""))</f>
        <v/>
      </c>
    </row>
    <row r="909">
      <c r="A909" s="82">
        <f>IF(CriteriTecnici!$A808="","","    "&amp;CHAR(123)&amp;CHAR(34)&amp;"bidderId"&amp;CHAR(34)&amp;": "&amp;CHAR(34)&amp;SUBSTITUTE(CriteriTecnici!$A808,CHAR(34),"'")&amp;CHAR(34)&amp;", "&amp;CHAR(34)&amp;"lotId"&amp;CHAR(34)&amp;": "&amp;CHAR(34)&amp;SUBSTITUTE(CriteriTecnici!$C808,CHAR(34),"'")&amp;CHAR(34)&amp;", "&amp;CHAR(34)&amp;"criterionId"&amp;CHAR(34)&amp;": "&amp;CHAR(34)&amp;SUBSTITUTE(CriteriTecnici!$D808,CHAR(34),"'")&amp;CHAR(34)&amp;", "&amp;CHAR(34)&amp;"kind"&amp;CHAR(34)&amp;": "&amp;CHAR(34)&amp;SUBSTITUTE(CriteriTecnici!$F808,CHAR(34),"'")&amp;CHAR(34)&amp;", "&amp;CHAR(34)&amp;"value"&amp;CHAR(34)&amp;": "&amp;SUBSTITUTE(TRIM(ROUND(IFERROR(CriteriTecnici!$N808*1,IFERROR(NUMBERVALUE(CriteriTecnici!$N808,".",","),IFERROR(NUMBERVALUE(CriteriTecnici!$N808,",","."),0))),4)&amp;""),",",".")&amp;", "&amp;CHAR(34)&amp;"numerator"&amp;CHAR(34)&amp;": "&amp;SUBSTITUTE(TRIM(ROUND(IFERROR(CriteriTecnici!$K808*1,IFERROR(NUMBERVALUE(CriteriTecnici!$K808,".",","),IFERROR(NUMBERVALUE(CriteriTecnici!$K808,",","."),0))),4)&amp;""),",",".")&amp;", "&amp;CHAR(34)&amp;"denominator"&amp;CHAR(34)&amp;": "&amp;SUBSTITUTE(TRIM(ROUND(IFERROR(CriteriTecnici!$L808*1,IFERROR(NUMBERVALUE(CriteriTecnici!$L808,".",","),IFERROR(NUMBERVALUE(CriteriTecnici!$L808,",","."),0))),4)&amp;""),",",".")&amp;", "&amp;CHAR(34)&amp;"flag"&amp;CHAR(34)&amp;": "&amp;SUBSTITUTE(TRIM(ROUND(IFERROR(CriteriTecnici!$M808*1,IFERROR(NUMBERVALUE(CriteriTecnici!$M808,".",","),IFERROR(NUMBERVALUE(CriteriTecnici!$M808,",","."),0))),4)&amp;""),",",".")&amp;", "&amp;CHAR(34)&amp;"rawScore"&amp;CHAR(34)&amp;": "&amp;SUBSTITUTE(TRIM(ROUND(IFERROR(CriteriTecnici!$O808*1,IFERROR(NUMBERVALUE(CriteriTecnici!$O808,".",","),IFERROR(NUMBERVALUE(CriteriTecnici!$O808,",","."),0))),4)&amp;""),",",".")&amp;CHAR(125)&amp;IF(TRUE,",",""))</f>
        <v/>
      </c>
    </row>
    <row r="910">
      <c r="A910" s="82">
        <f>IF(CriteriTecnici!$A809="","","    "&amp;CHAR(123)&amp;CHAR(34)&amp;"bidderId"&amp;CHAR(34)&amp;": "&amp;CHAR(34)&amp;SUBSTITUTE(CriteriTecnici!$A809,CHAR(34),"'")&amp;CHAR(34)&amp;", "&amp;CHAR(34)&amp;"lotId"&amp;CHAR(34)&amp;": "&amp;CHAR(34)&amp;SUBSTITUTE(CriteriTecnici!$C809,CHAR(34),"'")&amp;CHAR(34)&amp;", "&amp;CHAR(34)&amp;"criterionId"&amp;CHAR(34)&amp;": "&amp;CHAR(34)&amp;SUBSTITUTE(CriteriTecnici!$D809,CHAR(34),"'")&amp;CHAR(34)&amp;", "&amp;CHAR(34)&amp;"kind"&amp;CHAR(34)&amp;": "&amp;CHAR(34)&amp;SUBSTITUTE(CriteriTecnici!$F809,CHAR(34),"'")&amp;CHAR(34)&amp;", "&amp;CHAR(34)&amp;"value"&amp;CHAR(34)&amp;": "&amp;SUBSTITUTE(TRIM(ROUND(IFERROR(CriteriTecnici!$N809*1,IFERROR(NUMBERVALUE(CriteriTecnici!$N809,".",","),IFERROR(NUMBERVALUE(CriteriTecnici!$N809,",","."),0))),4)&amp;""),",",".")&amp;", "&amp;CHAR(34)&amp;"numerator"&amp;CHAR(34)&amp;": "&amp;SUBSTITUTE(TRIM(ROUND(IFERROR(CriteriTecnici!$K809*1,IFERROR(NUMBERVALUE(CriteriTecnici!$K809,".",","),IFERROR(NUMBERVALUE(CriteriTecnici!$K809,",","."),0))),4)&amp;""),",",".")&amp;", "&amp;CHAR(34)&amp;"denominator"&amp;CHAR(34)&amp;": "&amp;SUBSTITUTE(TRIM(ROUND(IFERROR(CriteriTecnici!$L809*1,IFERROR(NUMBERVALUE(CriteriTecnici!$L809,".",","),IFERROR(NUMBERVALUE(CriteriTecnici!$L809,",","."),0))),4)&amp;""),",",".")&amp;", "&amp;CHAR(34)&amp;"flag"&amp;CHAR(34)&amp;": "&amp;SUBSTITUTE(TRIM(ROUND(IFERROR(CriteriTecnici!$M809*1,IFERROR(NUMBERVALUE(CriteriTecnici!$M809,".",","),IFERROR(NUMBERVALUE(CriteriTecnici!$M809,",","."),0))),4)&amp;""),",",".")&amp;", "&amp;CHAR(34)&amp;"rawScore"&amp;CHAR(34)&amp;": "&amp;SUBSTITUTE(TRIM(ROUND(IFERROR(CriteriTecnici!$O809*1,IFERROR(NUMBERVALUE(CriteriTecnici!$O809,".",","),IFERROR(NUMBERVALUE(CriteriTecnici!$O809,",","."),0))),4)&amp;""),",",".")&amp;CHAR(125)&amp;IF(TRUE,",",""))</f>
        <v/>
      </c>
    </row>
    <row r="911">
      <c r="A911" s="82">
        <f>IF(CriteriTecnici!$A810="","","    "&amp;CHAR(123)&amp;CHAR(34)&amp;"bidderId"&amp;CHAR(34)&amp;": "&amp;CHAR(34)&amp;SUBSTITUTE(CriteriTecnici!$A810,CHAR(34),"'")&amp;CHAR(34)&amp;", "&amp;CHAR(34)&amp;"lotId"&amp;CHAR(34)&amp;": "&amp;CHAR(34)&amp;SUBSTITUTE(CriteriTecnici!$C810,CHAR(34),"'")&amp;CHAR(34)&amp;", "&amp;CHAR(34)&amp;"criterionId"&amp;CHAR(34)&amp;": "&amp;CHAR(34)&amp;SUBSTITUTE(CriteriTecnici!$D810,CHAR(34),"'")&amp;CHAR(34)&amp;", "&amp;CHAR(34)&amp;"kind"&amp;CHAR(34)&amp;": "&amp;CHAR(34)&amp;SUBSTITUTE(CriteriTecnici!$F810,CHAR(34),"'")&amp;CHAR(34)&amp;", "&amp;CHAR(34)&amp;"value"&amp;CHAR(34)&amp;": "&amp;SUBSTITUTE(TRIM(ROUND(IFERROR(CriteriTecnici!$N810*1,IFERROR(NUMBERVALUE(CriteriTecnici!$N810,".",","),IFERROR(NUMBERVALUE(CriteriTecnici!$N810,",","."),0))),4)&amp;""),",",".")&amp;", "&amp;CHAR(34)&amp;"numerator"&amp;CHAR(34)&amp;": "&amp;SUBSTITUTE(TRIM(ROUND(IFERROR(CriteriTecnici!$K810*1,IFERROR(NUMBERVALUE(CriteriTecnici!$K810,".",","),IFERROR(NUMBERVALUE(CriteriTecnici!$K810,",","."),0))),4)&amp;""),",",".")&amp;", "&amp;CHAR(34)&amp;"denominator"&amp;CHAR(34)&amp;": "&amp;SUBSTITUTE(TRIM(ROUND(IFERROR(CriteriTecnici!$L810*1,IFERROR(NUMBERVALUE(CriteriTecnici!$L810,".",","),IFERROR(NUMBERVALUE(CriteriTecnici!$L810,",","."),0))),4)&amp;""),",",".")&amp;", "&amp;CHAR(34)&amp;"flag"&amp;CHAR(34)&amp;": "&amp;SUBSTITUTE(TRIM(ROUND(IFERROR(CriteriTecnici!$M810*1,IFERROR(NUMBERVALUE(CriteriTecnici!$M810,".",","),IFERROR(NUMBERVALUE(CriteriTecnici!$M810,",","."),0))),4)&amp;""),",",".")&amp;", "&amp;CHAR(34)&amp;"rawScore"&amp;CHAR(34)&amp;": "&amp;SUBSTITUTE(TRIM(ROUND(IFERROR(CriteriTecnici!$O810*1,IFERROR(NUMBERVALUE(CriteriTecnici!$O810,".",","),IFERROR(NUMBERVALUE(CriteriTecnici!$O810,",","."),0))),4)&amp;""),",",".")&amp;CHAR(125)&amp;IF(COUNTA(Offerte!$A28:$A$81)&gt;0,",",""))</f>
        <v/>
      </c>
    </row>
    <row r="912">
      <c r="A912" s="82">
        <f>IF(CriteriTecnici!$A811="","","    "&amp;CHAR(123)&amp;CHAR(34)&amp;"bidderId"&amp;CHAR(34)&amp;": "&amp;CHAR(34)&amp;SUBSTITUTE(CriteriTecnici!$A811,CHAR(34),"'")&amp;CHAR(34)&amp;", "&amp;CHAR(34)&amp;"lotId"&amp;CHAR(34)&amp;": "&amp;CHAR(34)&amp;SUBSTITUTE(CriteriTecnici!$C811,CHAR(34),"'")&amp;CHAR(34)&amp;", "&amp;CHAR(34)&amp;"criterionId"&amp;CHAR(34)&amp;": "&amp;CHAR(34)&amp;SUBSTITUTE(CriteriTecnici!$D811,CHAR(34),"'")&amp;CHAR(34)&amp;", "&amp;CHAR(34)&amp;"kind"&amp;CHAR(34)&amp;": "&amp;CHAR(34)&amp;SUBSTITUTE(CriteriTecnici!$F811,CHAR(34),"'")&amp;CHAR(34)&amp;", "&amp;CHAR(34)&amp;"value"&amp;CHAR(34)&amp;": "&amp;SUBSTITUTE(TRIM(ROUND(IFERROR(CriteriTecnici!$N811*1,IFERROR(NUMBERVALUE(CriteriTecnici!$N811,".",","),IFERROR(NUMBERVALUE(CriteriTecnici!$N811,",","."),0))),4)&amp;""),",",".")&amp;", "&amp;CHAR(34)&amp;"numerator"&amp;CHAR(34)&amp;": "&amp;SUBSTITUTE(TRIM(ROUND(IFERROR(CriteriTecnici!$K811*1,IFERROR(NUMBERVALUE(CriteriTecnici!$K811,".",","),IFERROR(NUMBERVALUE(CriteriTecnici!$K811,",","."),0))),4)&amp;""),",",".")&amp;", "&amp;CHAR(34)&amp;"denominator"&amp;CHAR(34)&amp;": "&amp;SUBSTITUTE(TRIM(ROUND(IFERROR(CriteriTecnici!$L811*1,IFERROR(NUMBERVALUE(CriteriTecnici!$L811,".",","),IFERROR(NUMBERVALUE(CriteriTecnici!$L811,",","."),0))),4)&amp;""),",",".")&amp;", "&amp;CHAR(34)&amp;"flag"&amp;CHAR(34)&amp;": "&amp;SUBSTITUTE(TRIM(ROUND(IFERROR(CriteriTecnici!$M811*1,IFERROR(NUMBERVALUE(CriteriTecnici!$M811,".",","),IFERROR(NUMBERVALUE(CriteriTecnici!$M811,",","."),0))),4)&amp;""),",",".")&amp;", "&amp;CHAR(34)&amp;"rawScore"&amp;CHAR(34)&amp;": "&amp;SUBSTITUTE(TRIM(ROUND(IFERROR(CriteriTecnici!$O811*1,IFERROR(NUMBERVALUE(CriteriTecnici!$O811,".",","),IFERROR(NUMBERVALUE(CriteriTecnici!$O811,",","."),0))),4)&amp;""),",",".")&amp;CHAR(125)&amp;IF(TRUE,",",""))</f>
        <v/>
      </c>
    </row>
    <row r="913">
      <c r="A913" s="82">
        <f>IF(CriteriTecnici!$A812="","","    "&amp;CHAR(123)&amp;CHAR(34)&amp;"bidderId"&amp;CHAR(34)&amp;": "&amp;CHAR(34)&amp;SUBSTITUTE(CriteriTecnici!$A812,CHAR(34),"'")&amp;CHAR(34)&amp;", "&amp;CHAR(34)&amp;"lotId"&amp;CHAR(34)&amp;": "&amp;CHAR(34)&amp;SUBSTITUTE(CriteriTecnici!$C812,CHAR(34),"'")&amp;CHAR(34)&amp;", "&amp;CHAR(34)&amp;"criterionId"&amp;CHAR(34)&amp;": "&amp;CHAR(34)&amp;SUBSTITUTE(CriteriTecnici!$D812,CHAR(34),"'")&amp;CHAR(34)&amp;", "&amp;CHAR(34)&amp;"kind"&amp;CHAR(34)&amp;": "&amp;CHAR(34)&amp;SUBSTITUTE(CriteriTecnici!$F812,CHAR(34),"'")&amp;CHAR(34)&amp;", "&amp;CHAR(34)&amp;"value"&amp;CHAR(34)&amp;": "&amp;SUBSTITUTE(TRIM(ROUND(IFERROR(CriteriTecnici!$N812*1,IFERROR(NUMBERVALUE(CriteriTecnici!$N812,".",","),IFERROR(NUMBERVALUE(CriteriTecnici!$N812,",","."),0))),4)&amp;""),",",".")&amp;", "&amp;CHAR(34)&amp;"numerator"&amp;CHAR(34)&amp;": "&amp;SUBSTITUTE(TRIM(ROUND(IFERROR(CriteriTecnici!$K812*1,IFERROR(NUMBERVALUE(CriteriTecnici!$K812,".",","),IFERROR(NUMBERVALUE(CriteriTecnici!$K812,",","."),0))),4)&amp;""),",",".")&amp;", "&amp;CHAR(34)&amp;"denominator"&amp;CHAR(34)&amp;": "&amp;SUBSTITUTE(TRIM(ROUND(IFERROR(CriteriTecnici!$L812*1,IFERROR(NUMBERVALUE(CriteriTecnici!$L812,".",","),IFERROR(NUMBERVALUE(CriteriTecnici!$L812,",","."),0))),4)&amp;""),",",".")&amp;", "&amp;CHAR(34)&amp;"flag"&amp;CHAR(34)&amp;": "&amp;SUBSTITUTE(TRIM(ROUND(IFERROR(CriteriTecnici!$M812*1,IFERROR(NUMBERVALUE(CriteriTecnici!$M812,".",","),IFERROR(NUMBERVALUE(CriteriTecnici!$M812,",","."),0))),4)&amp;""),",",".")&amp;", "&amp;CHAR(34)&amp;"rawScore"&amp;CHAR(34)&amp;": "&amp;SUBSTITUTE(TRIM(ROUND(IFERROR(CriteriTecnici!$O812*1,IFERROR(NUMBERVALUE(CriteriTecnici!$O812,".",","),IFERROR(NUMBERVALUE(CriteriTecnici!$O812,",","."),0))),4)&amp;""),",",".")&amp;CHAR(125)&amp;IF(TRUE,",",""))</f>
        <v/>
      </c>
    </row>
    <row r="914">
      <c r="A914" s="82">
        <f>IF(CriteriTecnici!$A813="","","    "&amp;CHAR(123)&amp;CHAR(34)&amp;"bidderId"&amp;CHAR(34)&amp;": "&amp;CHAR(34)&amp;SUBSTITUTE(CriteriTecnici!$A813,CHAR(34),"'")&amp;CHAR(34)&amp;", "&amp;CHAR(34)&amp;"lotId"&amp;CHAR(34)&amp;": "&amp;CHAR(34)&amp;SUBSTITUTE(CriteriTecnici!$C813,CHAR(34),"'")&amp;CHAR(34)&amp;", "&amp;CHAR(34)&amp;"criterionId"&amp;CHAR(34)&amp;": "&amp;CHAR(34)&amp;SUBSTITUTE(CriteriTecnici!$D813,CHAR(34),"'")&amp;CHAR(34)&amp;", "&amp;CHAR(34)&amp;"kind"&amp;CHAR(34)&amp;": "&amp;CHAR(34)&amp;SUBSTITUTE(CriteriTecnici!$F813,CHAR(34),"'")&amp;CHAR(34)&amp;", "&amp;CHAR(34)&amp;"value"&amp;CHAR(34)&amp;": "&amp;SUBSTITUTE(TRIM(ROUND(IFERROR(CriteriTecnici!$N813*1,IFERROR(NUMBERVALUE(CriteriTecnici!$N813,".",","),IFERROR(NUMBERVALUE(CriteriTecnici!$N813,",","."),0))),4)&amp;""),",",".")&amp;", "&amp;CHAR(34)&amp;"numerator"&amp;CHAR(34)&amp;": "&amp;SUBSTITUTE(TRIM(ROUND(IFERROR(CriteriTecnici!$K813*1,IFERROR(NUMBERVALUE(CriteriTecnici!$K813,".",","),IFERROR(NUMBERVALUE(CriteriTecnici!$K813,",","."),0))),4)&amp;""),",",".")&amp;", "&amp;CHAR(34)&amp;"denominator"&amp;CHAR(34)&amp;": "&amp;SUBSTITUTE(TRIM(ROUND(IFERROR(CriteriTecnici!$L813*1,IFERROR(NUMBERVALUE(CriteriTecnici!$L813,".",","),IFERROR(NUMBERVALUE(CriteriTecnici!$L813,",","."),0))),4)&amp;""),",",".")&amp;", "&amp;CHAR(34)&amp;"flag"&amp;CHAR(34)&amp;": "&amp;SUBSTITUTE(TRIM(ROUND(IFERROR(CriteriTecnici!$M813*1,IFERROR(NUMBERVALUE(CriteriTecnici!$M813,".",","),IFERROR(NUMBERVALUE(CriteriTecnici!$M813,",","."),0))),4)&amp;""),",",".")&amp;", "&amp;CHAR(34)&amp;"rawScore"&amp;CHAR(34)&amp;": "&amp;SUBSTITUTE(TRIM(ROUND(IFERROR(CriteriTecnici!$O813*1,IFERROR(NUMBERVALUE(CriteriTecnici!$O813,".",","),IFERROR(NUMBERVALUE(CriteriTecnici!$O813,",","."),0))),4)&amp;""),",",".")&amp;CHAR(125)&amp;IF(TRUE,",",""))</f>
        <v/>
      </c>
    </row>
    <row r="915">
      <c r="A915" s="82">
        <f>IF(CriteriTecnici!$A814="","","    "&amp;CHAR(123)&amp;CHAR(34)&amp;"bidderId"&amp;CHAR(34)&amp;": "&amp;CHAR(34)&amp;SUBSTITUTE(CriteriTecnici!$A814,CHAR(34),"'")&amp;CHAR(34)&amp;", "&amp;CHAR(34)&amp;"lotId"&amp;CHAR(34)&amp;": "&amp;CHAR(34)&amp;SUBSTITUTE(CriteriTecnici!$C814,CHAR(34),"'")&amp;CHAR(34)&amp;", "&amp;CHAR(34)&amp;"criterionId"&amp;CHAR(34)&amp;": "&amp;CHAR(34)&amp;SUBSTITUTE(CriteriTecnici!$D814,CHAR(34),"'")&amp;CHAR(34)&amp;", "&amp;CHAR(34)&amp;"kind"&amp;CHAR(34)&amp;": "&amp;CHAR(34)&amp;SUBSTITUTE(CriteriTecnici!$F814,CHAR(34),"'")&amp;CHAR(34)&amp;", "&amp;CHAR(34)&amp;"value"&amp;CHAR(34)&amp;": "&amp;SUBSTITUTE(TRIM(ROUND(IFERROR(CriteriTecnici!$N814*1,IFERROR(NUMBERVALUE(CriteriTecnici!$N814,".",","),IFERROR(NUMBERVALUE(CriteriTecnici!$N814,",","."),0))),4)&amp;""),",",".")&amp;", "&amp;CHAR(34)&amp;"numerator"&amp;CHAR(34)&amp;": "&amp;SUBSTITUTE(TRIM(ROUND(IFERROR(CriteriTecnici!$K814*1,IFERROR(NUMBERVALUE(CriteriTecnici!$K814,".",","),IFERROR(NUMBERVALUE(CriteriTecnici!$K814,",","."),0))),4)&amp;""),",",".")&amp;", "&amp;CHAR(34)&amp;"denominator"&amp;CHAR(34)&amp;": "&amp;SUBSTITUTE(TRIM(ROUND(IFERROR(CriteriTecnici!$L814*1,IFERROR(NUMBERVALUE(CriteriTecnici!$L814,".",","),IFERROR(NUMBERVALUE(CriteriTecnici!$L814,",","."),0))),4)&amp;""),",",".")&amp;", "&amp;CHAR(34)&amp;"flag"&amp;CHAR(34)&amp;": "&amp;SUBSTITUTE(TRIM(ROUND(IFERROR(CriteriTecnici!$M814*1,IFERROR(NUMBERVALUE(CriteriTecnici!$M814,".",","),IFERROR(NUMBERVALUE(CriteriTecnici!$M814,",","."),0))),4)&amp;""),",",".")&amp;", "&amp;CHAR(34)&amp;"rawScore"&amp;CHAR(34)&amp;": "&amp;SUBSTITUTE(TRIM(ROUND(IFERROR(CriteriTecnici!$O814*1,IFERROR(NUMBERVALUE(CriteriTecnici!$O814,".",","),IFERROR(NUMBERVALUE(CriteriTecnici!$O814,",","."),0))),4)&amp;""),",",".")&amp;CHAR(125)&amp;IF(TRUE,",",""))</f>
        <v/>
      </c>
    </row>
    <row r="916">
      <c r="A916" s="82">
        <f>IF(CriteriTecnici!$A815="","","    "&amp;CHAR(123)&amp;CHAR(34)&amp;"bidderId"&amp;CHAR(34)&amp;": "&amp;CHAR(34)&amp;SUBSTITUTE(CriteriTecnici!$A815,CHAR(34),"'")&amp;CHAR(34)&amp;", "&amp;CHAR(34)&amp;"lotId"&amp;CHAR(34)&amp;": "&amp;CHAR(34)&amp;SUBSTITUTE(CriteriTecnici!$C815,CHAR(34),"'")&amp;CHAR(34)&amp;", "&amp;CHAR(34)&amp;"criterionId"&amp;CHAR(34)&amp;": "&amp;CHAR(34)&amp;SUBSTITUTE(CriteriTecnici!$D815,CHAR(34),"'")&amp;CHAR(34)&amp;", "&amp;CHAR(34)&amp;"kind"&amp;CHAR(34)&amp;": "&amp;CHAR(34)&amp;SUBSTITUTE(CriteriTecnici!$F815,CHAR(34),"'")&amp;CHAR(34)&amp;", "&amp;CHAR(34)&amp;"value"&amp;CHAR(34)&amp;": "&amp;SUBSTITUTE(TRIM(ROUND(IFERROR(CriteriTecnici!$N815*1,IFERROR(NUMBERVALUE(CriteriTecnici!$N815,".",","),IFERROR(NUMBERVALUE(CriteriTecnici!$N815,",","."),0))),4)&amp;""),",",".")&amp;", "&amp;CHAR(34)&amp;"numerator"&amp;CHAR(34)&amp;": "&amp;SUBSTITUTE(TRIM(ROUND(IFERROR(CriteriTecnici!$K815*1,IFERROR(NUMBERVALUE(CriteriTecnici!$K815,".",","),IFERROR(NUMBERVALUE(CriteriTecnici!$K815,",","."),0))),4)&amp;""),",",".")&amp;", "&amp;CHAR(34)&amp;"denominator"&amp;CHAR(34)&amp;": "&amp;SUBSTITUTE(TRIM(ROUND(IFERROR(CriteriTecnici!$L815*1,IFERROR(NUMBERVALUE(CriteriTecnici!$L815,".",","),IFERROR(NUMBERVALUE(CriteriTecnici!$L815,",","."),0))),4)&amp;""),",",".")&amp;", "&amp;CHAR(34)&amp;"flag"&amp;CHAR(34)&amp;": "&amp;SUBSTITUTE(TRIM(ROUND(IFERROR(CriteriTecnici!$M815*1,IFERROR(NUMBERVALUE(CriteriTecnici!$M815,".",","),IFERROR(NUMBERVALUE(CriteriTecnici!$M815,",","."),0))),4)&amp;""),",",".")&amp;", "&amp;CHAR(34)&amp;"rawScore"&amp;CHAR(34)&amp;": "&amp;SUBSTITUTE(TRIM(ROUND(IFERROR(CriteriTecnici!$O815*1,IFERROR(NUMBERVALUE(CriteriTecnici!$O815,".",","),IFERROR(NUMBERVALUE(CriteriTecnici!$O815,",","."),0))),4)&amp;""),",",".")&amp;CHAR(125)&amp;IF(TRUE,",",""))</f>
        <v/>
      </c>
    </row>
    <row r="917">
      <c r="A917" s="82">
        <f>IF(CriteriTecnici!$A816="","","    "&amp;CHAR(123)&amp;CHAR(34)&amp;"bidderId"&amp;CHAR(34)&amp;": "&amp;CHAR(34)&amp;SUBSTITUTE(CriteriTecnici!$A816,CHAR(34),"'")&amp;CHAR(34)&amp;", "&amp;CHAR(34)&amp;"lotId"&amp;CHAR(34)&amp;": "&amp;CHAR(34)&amp;SUBSTITUTE(CriteriTecnici!$C816,CHAR(34),"'")&amp;CHAR(34)&amp;", "&amp;CHAR(34)&amp;"criterionId"&amp;CHAR(34)&amp;": "&amp;CHAR(34)&amp;SUBSTITUTE(CriteriTecnici!$D816,CHAR(34),"'")&amp;CHAR(34)&amp;", "&amp;CHAR(34)&amp;"kind"&amp;CHAR(34)&amp;": "&amp;CHAR(34)&amp;SUBSTITUTE(CriteriTecnici!$F816,CHAR(34),"'")&amp;CHAR(34)&amp;", "&amp;CHAR(34)&amp;"value"&amp;CHAR(34)&amp;": "&amp;SUBSTITUTE(TRIM(ROUND(IFERROR(CriteriTecnici!$N816*1,IFERROR(NUMBERVALUE(CriteriTecnici!$N816,".",","),IFERROR(NUMBERVALUE(CriteriTecnici!$N816,",","."),0))),4)&amp;""),",",".")&amp;", "&amp;CHAR(34)&amp;"numerator"&amp;CHAR(34)&amp;": "&amp;SUBSTITUTE(TRIM(ROUND(IFERROR(CriteriTecnici!$K816*1,IFERROR(NUMBERVALUE(CriteriTecnici!$K816,".",","),IFERROR(NUMBERVALUE(CriteriTecnici!$K816,",","."),0))),4)&amp;""),",",".")&amp;", "&amp;CHAR(34)&amp;"denominator"&amp;CHAR(34)&amp;": "&amp;SUBSTITUTE(TRIM(ROUND(IFERROR(CriteriTecnici!$L816*1,IFERROR(NUMBERVALUE(CriteriTecnici!$L816,".",","),IFERROR(NUMBERVALUE(CriteriTecnici!$L816,",","."),0))),4)&amp;""),",",".")&amp;", "&amp;CHAR(34)&amp;"flag"&amp;CHAR(34)&amp;": "&amp;SUBSTITUTE(TRIM(ROUND(IFERROR(CriteriTecnici!$M816*1,IFERROR(NUMBERVALUE(CriteriTecnici!$M816,".",","),IFERROR(NUMBERVALUE(CriteriTecnici!$M816,",","."),0))),4)&amp;""),",",".")&amp;", "&amp;CHAR(34)&amp;"rawScore"&amp;CHAR(34)&amp;": "&amp;SUBSTITUTE(TRIM(ROUND(IFERROR(CriteriTecnici!$O816*1,IFERROR(NUMBERVALUE(CriteriTecnici!$O816,".",","),IFERROR(NUMBERVALUE(CriteriTecnici!$O816,",","."),0))),4)&amp;""),",",".")&amp;CHAR(125)&amp;IF(TRUE,",",""))</f>
        <v/>
      </c>
    </row>
    <row r="918">
      <c r="A918" s="82">
        <f>IF(CriteriTecnici!$A817="","","    "&amp;CHAR(123)&amp;CHAR(34)&amp;"bidderId"&amp;CHAR(34)&amp;": "&amp;CHAR(34)&amp;SUBSTITUTE(CriteriTecnici!$A817,CHAR(34),"'")&amp;CHAR(34)&amp;", "&amp;CHAR(34)&amp;"lotId"&amp;CHAR(34)&amp;": "&amp;CHAR(34)&amp;SUBSTITUTE(CriteriTecnici!$C817,CHAR(34),"'")&amp;CHAR(34)&amp;", "&amp;CHAR(34)&amp;"criterionId"&amp;CHAR(34)&amp;": "&amp;CHAR(34)&amp;SUBSTITUTE(CriteriTecnici!$D817,CHAR(34),"'")&amp;CHAR(34)&amp;", "&amp;CHAR(34)&amp;"kind"&amp;CHAR(34)&amp;": "&amp;CHAR(34)&amp;SUBSTITUTE(CriteriTecnici!$F817,CHAR(34),"'")&amp;CHAR(34)&amp;", "&amp;CHAR(34)&amp;"value"&amp;CHAR(34)&amp;": "&amp;SUBSTITUTE(TRIM(ROUND(IFERROR(CriteriTecnici!$N817*1,IFERROR(NUMBERVALUE(CriteriTecnici!$N817,".",","),IFERROR(NUMBERVALUE(CriteriTecnici!$N817,",","."),0))),4)&amp;""),",",".")&amp;", "&amp;CHAR(34)&amp;"numerator"&amp;CHAR(34)&amp;": "&amp;SUBSTITUTE(TRIM(ROUND(IFERROR(CriteriTecnici!$K817*1,IFERROR(NUMBERVALUE(CriteriTecnici!$K817,".",","),IFERROR(NUMBERVALUE(CriteriTecnici!$K817,",","."),0))),4)&amp;""),",",".")&amp;", "&amp;CHAR(34)&amp;"denominator"&amp;CHAR(34)&amp;": "&amp;SUBSTITUTE(TRIM(ROUND(IFERROR(CriteriTecnici!$L817*1,IFERROR(NUMBERVALUE(CriteriTecnici!$L817,".",","),IFERROR(NUMBERVALUE(CriteriTecnici!$L817,",","."),0))),4)&amp;""),",",".")&amp;", "&amp;CHAR(34)&amp;"flag"&amp;CHAR(34)&amp;": "&amp;SUBSTITUTE(TRIM(ROUND(IFERROR(CriteriTecnici!$M817*1,IFERROR(NUMBERVALUE(CriteriTecnici!$M817,".",","),IFERROR(NUMBERVALUE(CriteriTecnici!$M817,",","."),0))),4)&amp;""),",",".")&amp;", "&amp;CHAR(34)&amp;"rawScore"&amp;CHAR(34)&amp;": "&amp;SUBSTITUTE(TRIM(ROUND(IFERROR(CriteriTecnici!$O817*1,IFERROR(NUMBERVALUE(CriteriTecnici!$O817,".",","),IFERROR(NUMBERVALUE(CriteriTecnici!$O817,",","."),0))),4)&amp;""),",",".")&amp;CHAR(125)&amp;IF(TRUE,",",""))</f>
        <v/>
      </c>
    </row>
    <row r="919">
      <c r="A919" s="82">
        <f>IF(CriteriTecnici!$A818="","","    "&amp;CHAR(123)&amp;CHAR(34)&amp;"bidderId"&amp;CHAR(34)&amp;": "&amp;CHAR(34)&amp;SUBSTITUTE(CriteriTecnici!$A818,CHAR(34),"'")&amp;CHAR(34)&amp;", "&amp;CHAR(34)&amp;"lotId"&amp;CHAR(34)&amp;": "&amp;CHAR(34)&amp;SUBSTITUTE(CriteriTecnici!$C818,CHAR(34),"'")&amp;CHAR(34)&amp;", "&amp;CHAR(34)&amp;"criterionId"&amp;CHAR(34)&amp;": "&amp;CHAR(34)&amp;SUBSTITUTE(CriteriTecnici!$D818,CHAR(34),"'")&amp;CHAR(34)&amp;", "&amp;CHAR(34)&amp;"kind"&amp;CHAR(34)&amp;": "&amp;CHAR(34)&amp;SUBSTITUTE(CriteriTecnici!$F818,CHAR(34),"'")&amp;CHAR(34)&amp;", "&amp;CHAR(34)&amp;"value"&amp;CHAR(34)&amp;": "&amp;SUBSTITUTE(TRIM(ROUND(IFERROR(CriteriTecnici!$N818*1,IFERROR(NUMBERVALUE(CriteriTecnici!$N818,".",","),IFERROR(NUMBERVALUE(CriteriTecnici!$N818,",","."),0))),4)&amp;""),",",".")&amp;", "&amp;CHAR(34)&amp;"numerator"&amp;CHAR(34)&amp;": "&amp;SUBSTITUTE(TRIM(ROUND(IFERROR(CriteriTecnici!$K818*1,IFERROR(NUMBERVALUE(CriteriTecnici!$K818,".",","),IFERROR(NUMBERVALUE(CriteriTecnici!$K818,",","."),0))),4)&amp;""),",",".")&amp;", "&amp;CHAR(34)&amp;"denominator"&amp;CHAR(34)&amp;": "&amp;SUBSTITUTE(TRIM(ROUND(IFERROR(CriteriTecnici!$L818*1,IFERROR(NUMBERVALUE(CriteriTecnici!$L818,".",","),IFERROR(NUMBERVALUE(CriteriTecnici!$L818,",","."),0))),4)&amp;""),",",".")&amp;", "&amp;CHAR(34)&amp;"flag"&amp;CHAR(34)&amp;": "&amp;SUBSTITUTE(TRIM(ROUND(IFERROR(CriteriTecnici!$M818*1,IFERROR(NUMBERVALUE(CriteriTecnici!$M818,".",","),IFERROR(NUMBERVALUE(CriteriTecnici!$M818,",","."),0))),4)&amp;""),",",".")&amp;", "&amp;CHAR(34)&amp;"rawScore"&amp;CHAR(34)&amp;": "&amp;SUBSTITUTE(TRIM(ROUND(IFERROR(CriteriTecnici!$O818*1,IFERROR(NUMBERVALUE(CriteriTecnici!$O818,".",","),IFERROR(NUMBERVALUE(CriteriTecnici!$O818,",","."),0))),4)&amp;""),",",".")&amp;CHAR(125)&amp;IF(TRUE,",",""))</f>
        <v/>
      </c>
    </row>
    <row r="920">
      <c r="A920" s="82">
        <f>IF(CriteriTecnici!$A819="","","    "&amp;CHAR(123)&amp;CHAR(34)&amp;"bidderId"&amp;CHAR(34)&amp;": "&amp;CHAR(34)&amp;SUBSTITUTE(CriteriTecnici!$A819,CHAR(34),"'")&amp;CHAR(34)&amp;", "&amp;CHAR(34)&amp;"lotId"&amp;CHAR(34)&amp;": "&amp;CHAR(34)&amp;SUBSTITUTE(CriteriTecnici!$C819,CHAR(34),"'")&amp;CHAR(34)&amp;", "&amp;CHAR(34)&amp;"criterionId"&amp;CHAR(34)&amp;": "&amp;CHAR(34)&amp;SUBSTITUTE(CriteriTecnici!$D819,CHAR(34),"'")&amp;CHAR(34)&amp;", "&amp;CHAR(34)&amp;"kind"&amp;CHAR(34)&amp;": "&amp;CHAR(34)&amp;SUBSTITUTE(CriteriTecnici!$F819,CHAR(34),"'")&amp;CHAR(34)&amp;", "&amp;CHAR(34)&amp;"value"&amp;CHAR(34)&amp;": "&amp;SUBSTITUTE(TRIM(ROUND(IFERROR(CriteriTecnici!$N819*1,IFERROR(NUMBERVALUE(CriteriTecnici!$N819,".",","),IFERROR(NUMBERVALUE(CriteriTecnici!$N819,",","."),0))),4)&amp;""),",",".")&amp;", "&amp;CHAR(34)&amp;"numerator"&amp;CHAR(34)&amp;": "&amp;SUBSTITUTE(TRIM(ROUND(IFERROR(CriteriTecnici!$K819*1,IFERROR(NUMBERVALUE(CriteriTecnici!$K819,".",","),IFERROR(NUMBERVALUE(CriteriTecnici!$K819,",","."),0))),4)&amp;""),",",".")&amp;", "&amp;CHAR(34)&amp;"denominator"&amp;CHAR(34)&amp;": "&amp;SUBSTITUTE(TRIM(ROUND(IFERROR(CriteriTecnici!$L819*1,IFERROR(NUMBERVALUE(CriteriTecnici!$L819,".",","),IFERROR(NUMBERVALUE(CriteriTecnici!$L819,",","."),0))),4)&amp;""),",",".")&amp;", "&amp;CHAR(34)&amp;"flag"&amp;CHAR(34)&amp;": "&amp;SUBSTITUTE(TRIM(ROUND(IFERROR(CriteriTecnici!$M819*1,IFERROR(NUMBERVALUE(CriteriTecnici!$M819,".",","),IFERROR(NUMBERVALUE(CriteriTecnici!$M819,",","."),0))),4)&amp;""),",",".")&amp;", "&amp;CHAR(34)&amp;"rawScore"&amp;CHAR(34)&amp;": "&amp;SUBSTITUTE(TRIM(ROUND(IFERROR(CriteriTecnici!$O819*1,IFERROR(NUMBERVALUE(CriteriTecnici!$O819,".",","),IFERROR(NUMBERVALUE(CriteriTecnici!$O819,",","."),0))),4)&amp;""),",",".")&amp;CHAR(125)&amp;IF(TRUE,",",""))</f>
        <v/>
      </c>
    </row>
    <row r="921">
      <c r="A921" s="82">
        <f>IF(CriteriTecnici!$A820="","","    "&amp;CHAR(123)&amp;CHAR(34)&amp;"bidderId"&amp;CHAR(34)&amp;": "&amp;CHAR(34)&amp;SUBSTITUTE(CriteriTecnici!$A820,CHAR(34),"'")&amp;CHAR(34)&amp;", "&amp;CHAR(34)&amp;"lotId"&amp;CHAR(34)&amp;": "&amp;CHAR(34)&amp;SUBSTITUTE(CriteriTecnici!$C820,CHAR(34),"'")&amp;CHAR(34)&amp;", "&amp;CHAR(34)&amp;"criterionId"&amp;CHAR(34)&amp;": "&amp;CHAR(34)&amp;SUBSTITUTE(CriteriTecnici!$D820,CHAR(34),"'")&amp;CHAR(34)&amp;", "&amp;CHAR(34)&amp;"kind"&amp;CHAR(34)&amp;": "&amp;CHAR(34)&amp;SUBSTITUTE(CriteriTecnici!$F820,CHAR(34),"'")&amp;CHAR(34)&amp;", "&amp;CHAR(34)&amp;"value"&amp;CHAR(34)&amp;": "&amp;SUBSTITUTE(TRIM(ROUND(IFERROR(CriteriTecnici!$N820*1,IFERROR(NUMBERVALUE(CriteriTecnici!$N820,".",","),IFERROR(NUMBERVALUE(CriteriTecnici!$N820,",","."),0))),4)&amp;""),",",".")&amp;", "&amp;CHAR(34)&amp;"numerator"&amp;CHAR(34)&amp;": "&amp;SUBSTITUTE(TRIM(ROUND(IFERROR(CriteriTecnici!$K820*1,IFERROR(NUMBERVALUE(CriteriTecnici!$K820,".",","),IFERROR(NUMBERVALUE(CriteriTecnici!$K820,",","."),0))),4)&amp;""),",",".")&amp;", "&amp;CHAR(34)&amp;"denominator"&amp;CHAR(34)&amp;": "&amp;SUBSTITUTE(TRIM(ROUND(IFERROR(CriteriTecnici!$L820*1,IFERROR(NUMBERVALUE(CriteriTecnici!$L820,".",","),IFERROR(NUMBERVALUE(CriteriTecnici!$L820,",","."),0))),4)&amp;""),",",".")&amp;", "&amp;CHAR(34)&amp;"flag"&amp;CHAR(34)&amp;": "&amp;SUBSTITUTE(TRIM(ROUND(IFERROR(CriteriTecnici!$M820*1,IFERROR(NUMBERVALUE(CriteriTecnici!$M820,".",","),IFERROR(NUMBERVALUE(CriteriTecnici!$M820,",","."),0))),4)&amp;""),",",".")&amp;", "&amp;CHAR(34)&amp;"rawScore"&amp;CHAR(34)&amp;": "&amp;SUBSTITUTE(TRIM(ROUND(IFERROR(CriteriTecnici!$O820*1,IFERROR(NUMBERVALUE(CriteriTecnici!$O820,".",","),IFERROR(NUMBERVALUE(CriteriTecnici!$O820,",","."),0))),4)&amp;""),",",".")&amp;CHAR(125)&amp;IF(TRUE,",",""))</f>
        <v/>
      </c>
    </row>
    <row r="922">
      <c r="A922" s="82">
        <f>IF(CriteriTecnici!$A821="","","    "&amp;CHAR(123)&amp;CHAR(34)&amp;"bidderId"&amp;CHAR(34)&amp;": "&amp;CHAR(34)&amp;SUBSTITUTE(CriteriTecnici!$A821,CHAR(34),"'")&amp;CHAR(34)&amp;", "&amp;CHAR(34)&amp;"lotId"&amp;CHAR(34)&amp;": "&amp;CHAR(34)&amp;SUBSTITUTE(CriteriTecnici!$C821,CHAR(34),"'")&amp;CHAR(34)&amp;", "&amp;CHAR(34)&amp;"criterionId"&amp;CHAR(34)&amp;": "&amp;CHAR(34)&amp;SUBSTITUTE(CriteriTecnici!$D821,CHAR(34),"'")&amp;CHAR(34)&amp;", "&amp;CHAR(34)&amp;"kind"&amp;CHAR(34)&amp;": "&amp;CHAR(34)&amp;SUBSTITUTE(CriteriTecnici!$F821,CHAR(34),"'")&amp;CHAR(34)&amp;", "&amp;CHAR(34)&amp;"value"&amp;CHAR(34)&amp;": "&amp;SUBSTITUTE(TRIM(ROUND(IFERROR(CriteriTecnici!$N821*1,IFERROR(NUMBERVALUE(CriteriTecnici!$N821,".",","),IFERROR(NUMBERVALUE(CriteriTecnici!$N821,",","."),0))),4)&amp;""),",",".")&amp;", "&amp;CHAR(34)&amp;"numerator"&amp;CHAR(34)&amp;": "&amp;SUBSTITUTE(TRIM(ROUND(IFERROR(CriteriTecnici!$K821*1,IFERROR(NUMBERVALUE(CriteriTecnici!$K821,".",","),IFERROR(NUMBERVALUE(CriteriTecnici!$K821,",","."),0))),4)&amp;""),",",".")&amp;", "&amp;CHAR(34)&amp;"denominator"&amp;CHAR(34)&amp;": "&amp;SUBSTITUTE(TRIM(ROUND(IFERROR(CriteriTecnici!$L821*1,IFERROR(NUMBERVALUE(CriteriTecnici!$L821,".",","),IFERROR(NUMBERVALUE(CriteriTecnici!$L821,",","."),0))),4)&amp;""),",",".")&amp;", "&amp;CHAR(34)&amp;"flag"&amp;CHAR(34)&amp;": "&amp;SUBSTITUTE(TRIM(ROUND(IFERROR(CriteriTecnici!$M821*1,IFERROR(NUMBERVALUE(CriteriTecnici!$M821,".",","),IFERROR(NUMBERVALUE(CriteriTecnici!$M821,",","."),0))),4)&amp;""),",",".")&amp;", "&amp;CHAR(34)&amp;"rawScore"&amp;CHAR(34)&amp;": "&amp;SUBSTITUTE(TRIM(ROUND(IFERROR(CriteriTecnici!$O821*1,IFERROR(NUMBERVALUE(CriteriTecnici!$O821,".",","),IFERROR(NUMBERVALUE(CriteriTecnici!$O821,",","."),0))),4)&amp;""),",",".")&amp;CHAR(125)&amp;IF(TRUE,",",""))</f>
        <v/>
      </c>
    </row>
    <row r="923">
      <c r="A923" s="82">
        <f>IF(CriteriTecnici!$A822="","","    "&amp;CHAR(123)&amp;CHAR(34)&amp;"bidderId"&amp;CHAR(34)&amp;": "&amp;CHAR(34)&amp;SUBSTITUTE(CriteriTecnici!$A822,CHAR(34),"'")&amp;CHAR(34)&amp;", "&amp;CHAR(34)&amp;"lotId"&amp;CHAR(34)&amp;": "&amp;CHAR(34)&amp;SUBSTITUTE(CriteriTecnici!$C822,CHAR(34),"'")&amp;CHAR(34)&amp;", "&amp;CHAR(34)&amp;"criterionId"&amp;CHAR(34)&amp;": "&amp;CHAR(34)&amp;SUBSTITUTE(CriteriTecnici!$D822,CHAR(34),"'")&amp;CHAR(34)&amp;", "&amp;CHAR(34)&amp;"kind"&amp;CHAR(34)&amp;": "&amp;CHAR(34)&amp;SUBSTITUTE(CriteriTecnici!$F822,CHAR(34),"'")&amp;CHAR(34)&amp;", "&amp;CHAR(34)&amp;"value"&amp;CHAR(34)&amp;": "&amp;SUBSTITUTE(TRIM(ROUND(IFERROR(CriteriTecnici!$N822*1,IFERROR(NUMBERVALUE(CriteriTecnici!$N822,".",","),IFERROR(NUMBERVALUE(CriteriTecnici!$N822,",","."),0))),4)&amp;""),",",".")&amp;", "&amp;CHAR(34)&amp;"numerator"&amp;CHAR(34)&amp;": "&amp;SUBSTITUTE(TRIM(ROUND(IFERROR(CriteriTecnici!$K822*1,IFERROR(NUMBERVALUE(CriteriTecnici!$K822,".",","),IFERROR(NUMBERVALUE(CriteriTecnici!$K822,",","."),0))),4)&amp;""),",",".")&amp;", "&amp;CHAR(34)&amp;"denominator"&amp;CHAR(34)&amp;": "&amp;SUBSTITUTE(TRIM(ROUND(IFERROR(CriteriTecnici!$L822*1,IFERROR(NUMBERVALUE(CriteriTecnici!$L822,".",","),IFERROR(NUMBERVALUE(CriteriTecnici!$L822,",","."),0))),4)&amp;""),",",".")&amp;", "&amp;CHAR(34)&amp;"flag"&amp;CHAR(34)&amp;": "&amp;SUBSTITUTE(TRIM(ROUND(IFERROR(CriteriTecnici!$M822*1,IFERROR(NUMBERVALUE(CriteriTecnici!$M822,".",","),IFERROR(NUMBERVALUE(CriteriTecnici!$M822,",","."),0))),4)&amp;""),",",".")&amp;", "&amp;CHAR(34)&amp;"rawScore"&amp;CHAR(34)&amp;": "&amp;SUBSTITUTE(TRIM(ROUND(IFERROR(CriteriTecnici!$O822*1,IFERROR(NUMBERVALUE(CriteriTecnici!$O822,".",","),IFERROR(NUMBERVALUE(CriteriTecnici!$O822,",","."),0))),4)&amp;""),",",".")&amp;CHAR(125)&amp;IF(TRUE,",",""))</f>
        <v/>
      </c>
    </row>
    <row r="924">
      <c r="A924" s="82">
        <f>IF(CriteriTecnici!$A823="","","    "&amp;CHAR(123)&amp;CHAR(34)&amp;"bidderId"&amp;CHAR(34)&amp;": "&amp;CHAR(34)&amp;SUBSTITUTE(CriteriTecnici!$A823,CHAR(34),"'")&amp;CHAR(34)&amp;", "&amp;CHAR(34)&amp;"lotId"&amp;CHAR(34)&amp;": "&amp;CHAR(34)&amp;SUBSTITUTE(CriteriTecnici!$C823,CHAR(34),"'")&amp;CHAR(34)&amp;", "&amp;CHAR(34)&amp;"criterionId"&amp;CHAR(34)&amp;": "&amp;CHAR(34)&amp;SUBSTITUTE(CriteriTecnici!$D823,CHAR(34),"'")&amp;CHAR(34)&amp;", "&amp;CHAR(34)&amp;"kind"&amp;CHAR(34)&amp;": "&amp;CHAR(34)&amp;SUBSTITUTE(CriteriTecnici!$F823,CHAR(34),"'")&amp;CHAR(34)&amp;", "&amp;CHAR(34)&amp;"value"&amp;CHAR(34)&amp;": "&amp;SUBSTITUTE(TRIM(ROUND(IFERROR(CriteriTecnici!$N823*1,IFERROR(NUMBERVALUE(CriteriTecnici!$N823,".",","),IFERROR(NUMBERVALUE(CriteriTecnici!$N823,",","."),0))),4)&amp;""),",",".")&amp;", "&amp;CHAR(34)&amp;"numerator"&amp;CHAR(34)&amp;": "&amp;SUBSTITUTE(TRIM(ROUND(IFERROR(CriteriTecnici!$K823*1,IFERROR(NUMBERVALUE(CriteriTecnici!$K823,".",","),IFERROR(NUMBERVALUE(CriteriTecnici!$K823,",","."),0))),4)&amp;""),",",".")&amp;", "&amp;CHAR(34)&amp;"denominator"&amp;CHAR(34)&amp;": "&amp;SUBSTITUTE(TRIM(ROUND(IFERROR(CriteriTecnici!$L823*1,IFERROR(NUMBERVALUE(CriteriTecnici!$L823,".",","),IFERROR(NUMBERVALUE(CriteriTecnici!$L823,",","."),0))),4)&amp;""),",",".")&amp;", "&amp;CHAR(34)&amp;"flag"&amp;CHAR(34)&amp;": "&amp;SUBSTITUTE(TRIM(ROUND(IFERROR(CriteriTecnici!$M823*1,IFERROR(NUMBERVALUE(CriteriTecnici!$M823,".",","),IFERROR(NUMBERVALUE(CriteriTecnici!$M823,",","."),0))),4)&amp;""),",",".")&amp;", "&amp;CHAR(34)&amp;"rawScore"&amp;CHAR(34)&amp;": "&amp;SUBSTITUTE(TRIM(ROUND(IFERROR(CriteriTecnici!$O823*1,IFERROR(NUMBERVALUE(CriteriTecnici!$O823,".",","),IFERROR(NUMBERVALUE(CriteriTecnici!$O823,",","."),0))),4)&amp;""),",",".")&amp;CHAR(125)&amp;IF(TRUE,",",""))</f>
        <v/>
      </c>
    </row>
    <row r="925">
      <c r="A925" s="82">
        <f>IF(CriteriTecnici!$A824="","","    "&amp;CHAR(123)&amp;CHAR(34)&amp;"bidderId"&amp;CHAR(34)&amp;": "&amp;CHAR(34)&amp;SUBSTITUTE(CriteriTecnici!$A824,CHAR(34),"'")&amp;CHAR(34)&amp;", "&amp;CHAR(34)&amp;"lotId"&amp;CHAR(34)&amp;": "&amp;CHAR(34)&amp;SUBSTITUTE(CriteriTecnici!$C824,CHAR(34),"'")&amp;CHAR(34)&amp;", "&amp;CHAR(34)&amp;"criterionId"&amp;CHAR(34)&amp;": "&amp;CHAR(34)&amp;SUBSTITUTE(CriteriTecnici!$D824,CHAR(34),"'")&amp;CHAR(34)&amp;", "&amp;CHAR(34)&amp;"kind"&amp;CHAR(34)&amp;": "&amp;CHAR(34)&amp;SUBSTITUTE(CriteriTecnici!$F824,CHAR(34),"'")&amp;CHAR(34)&amp;", "&amp;CHAR(34)&amp;"value"&amp;CHAR(34)&amp;": "&amp;SUBSTITUTE(TRIM(ROUND(IFERROR(CriteriTecnici!$N824*1,IFERROR(NUMBERVALUE(CriteriTecnici!$N824,".",","),IFERROR(NUMBERVALUE(CriteriTecnici!$N824,",","."),0))),4)&amp;""),",",".")&amp;", "&amp;CHAR(34)&amp;"numerator"&amp;CHAR(34)&amp;": "&amp;SUBSTITUTE(TRIM(ROUND(IFERROR(CriteriTecnici!$K824*1,IFERROR(NUMBERVALUE(CriteriTecnici!$K824,".",","),IFERROR(NUMBERVALUE(CriteriTecnici!$K824,",","."),0))),4)&amp;""),",",".")&amp;", "&amp;CHAR(34)&amp;"denominator"&amp;CHAR(34)&amp;": "&amp;SUBSTITUTE(TRIM(ROUND(IFERROR(CriteriTecnici!$L824*1,IFERROR(NUMBERVALUE(CriteriTecnici!$L824,".",","),IFERROR(NUMBERVALUE(CriteriTecnici!$L824,",","."),0))),4)&amp;""),",",".")&amp;", "&amp;CHAR(34)&amp;"flag"&amp;CHAR(34)&amp;": "&amp;SUBSTITUTE(TRIM(ROUND(IFERROR(CriteriTecnici!$M824*1,IFERROR(NUMBERVALUE(CriteriTecnici!$M824,".",","),IFERROR(NUMBERVALUE(CriteriTecnici!$M824,",","."),0))),4)&amp;""),",",".")&amp;", "&amp;CHAR(34)&amp;"rawScore"&amp;CHAR(34)&amp;": "&amp;SUBSTITUTE(TRIM(ROUND(IFERROR(CriteriTecnici!$O824*1,IFERROR(NUMBERVALUE(CriteriTecnici!$O824,".",","),IFERROR(NUMBERVALUE(CriteriTecnici!$O824,",","."),0))),4)&amp;""),",",".")&amp;CHAR(125)&amp;IF(TRUE,",",""))</f>
        <v/>
      </c>
    </row>
    <row r="926">
      <c r="A926" s="82">
        <f>IF(CriteriTecnici!$A825="","","    "&amp;CHAR(123)&amp;CHAR(34)&amp;"bidderId"&amp;CHAR(34)&amp;": "&amp;CHAR(34)&amp;SUBSTITUTE(CriteriTecnici!$A825,CHAR(34),"'")&amp;CHAR(34)&amp;", "&amp;CHAR(34)&amp;"lotId"&amp;CHAR(34)&amp;": "&amp;CHAR(34)&amp;SUBSTITUTE(CriteriTecnici!$C825,CHAR(34),"'")&amp;CHAR(34)&amp;", "&amp;CHAR(34)&amp;"criterionId"&amp;CHAR(34)&amp;": "&amp;CHAR(34)&amp;SUBSTITUTE(CriteriTecnici!$D825,CHAR(34),"'")&amp;CHAR(34)&amp;", "&amp;CHAR(34)&amp;"kind"&amp;CHAR(34)&amp;": "&amp;CHAR(34)&amp;SUBSTITUTE(CriteriTecnici!$F825,CHAR(34),"'")&amp;CHAR(34)&amp;", "&amp;CHAR(34)&amp;"value"&amp;CHAR(34)&amp;": "&amp;SUBSTITUTE(TRIM(ROUND(IFERROR(CriteriTecnici!$N825*1,IFERROR(NUMBERVALUE(CriteriTecnici!$N825,".",","),IFERROR(NUMBERVALUE(CriteriTecnici!$N825,",","."),0))),4)&amp;""),",",".")&amp;", "&amp;CHAR(34)&amp;"numerator"&amp;CHAR(34)&amp;": "&amp;SUBSTITUTE(TRIM(ROUND(IFERROR(CriteriTecnici!$K825*1,IFERROR(NUMBERVALUE(CriteriTecnici!$K825,".",","),IFERROR(NUMBERVALUE(CriteriTecnici!$K825,",","."),0))),4)&amp;""),",",".")&amp;", "&amp;CHAR(34)&amp;"denominator"&amp;CHAR(34)&amp;": "&amp;SUBSTITUTE(TRIM(ROUND(IFERROR(CriteriTecnici!$L825*1,IFERROR(NUMBERVALUE(CriteriTecnici!$L825,".",","),IFERROR(NUMBERVALUE(CriteriTecnici!$L825,",","."),0))),4)&amp;""),",",".")&amp;", "&amp;CHAR(34)&amp;"flag"&amp;CHAR(34)&amp;": "&amp;SUBSTITUTE(TRIM(ROUND(IFERROR(CriteriTecnici!$M825*1,IFERROR(NUMBERVALUE(CriteriTecnici!$M825,".",","),IFERROR(NUMBERVALUE(CriteriTecnici!$M825,",","."),0))),4)&amp;""),",",".")&amp;", "&amp;CHAR(34)&amp;"rawScore"&amp;CHAR(34)&amp;": "&amp;SUBSTITUTE(TRIM(ROUND(IFERROR(CriteriTecnici!$O825*1,IFERROR(NUMBERVALUE(CriteriTecnici!$O825,".",","),IFERROR(NUMBERVALUE(CriteriTecnici!$O825,",","."),0))),4)&amp;""),",",".")&amp;CHAR(125)&amp;IF(TRUE,",",""))</f>
        <v/>
      </c>
    </row>
    <row r="927">
      <c r="A927" s="82">
        <f>IF(CriteriTecnici!$A826="","","    "&amp;CHAR(123)&amp;CHAR(34)&amp;"bidderId"&amp;CHAR(34)&amp;": "&amp;CHAR(34)&amp;SUBSTITUTE(CriteriTecnici!$A826,CHAR(34),"'")&amp;CHAR(34)&amp;", "&amp;CHAR(34)&amp;"lotId"&amp;CHAR(34)&amp;": "&amp;CHAR(34)&amp;SUBSTITUTE(CriteriTecnici!$C826,CHAR(34),"'")&amp;CHAR(34)&amp;", "&amp;CHAR(34)&amp;"criterionId"&amp;CHAR(34)&amp;": "&amp;CHAR(34)&amp;SUBSTITUTE(CriteriTecnici!$D826,CHAR(34),"'")&amp;CHAR(34)&amp;", "&amp;CHAR(34)&amp;"kind"&amp;CHAR(34)&amp;": "&amp;CHAR(34)&amp;SUBSTITUTE(CriteriTecnici!$F826,CHAR(34),"'")&amp;CHAR(34)&amp;", "&amp;CHAR(34)&amp;"value"&amp;CHAR(34)&amp;": "&amp;SUBSTITUTE(TRIM(ROUND(IFERROR(CriteriTecnici!$N826*1,IFERROR(NUMBERVALUE(CriteriTecnici!$N826,".",","),IFERROR(NUMBERVALUE(CriteriTecnici!$N826,",","."),0))),4)&amp;""),",",".")&amp;", "&amp;CHAR(34)&amp;"numerator"&amp;CHAR(34)&amp;": "&amp;SUBSTITUTE(TRIM(ROUND(IFERROR(CriteriTecnici!$K826*1,IFERROR(NUMBERVALUE(CriteriTecnici!$K826,".",","),IFERROR(NUMBERVALUE(CriteriTecnici!$K826,",","."),0))),4)&amp;""),",",".")&amp;", "&amp;CHAR(34)&amp;"denominator"&amp;CHAR(34)&amp;": "&amp;SUBSTITUTE(TRIM(ROUND(IFERROR(CriteriTecnici!$L826*1,IFERROR(NUMBERVALUE(CriteriTecnici!$L826,".",","),IFERROR(NUMBERVALUE(CriteriTecnici!$L826,",","."),0))),4)&amp;""),",",".")&amp;", "&amp;CHAR(34)&amp;"flag"&amp;CHAR(34)&amp;": "&amp;SUBSTITUTE(TRIM(ROUND(IFERROR(CriteriTecnici!$M826*1,IFERROR(NUMBERVALUE(CriteriTecnici!$M826,".",","),IFERROR(NUMBERVALUE(CriteriTecnici!$M826,",","."),0))),4)&amp;""),",",".")&amp;", "&amp;CHAR(34)&amp;"rawScore"&amp;CHAR(34)&amp;": "&amp;SUBSTITUTE(TRIM(ROUND(IFERROR(CriteriTecnici!$O826*1,IFERROR(NUMBERVALUE(CriteriTecnici!$O826,".",","),IFERROR(NUMBERVALUE(CriteriTecnici!$O826,",","."),0))),4)&amp;""),",",".")&amp;CHAR(125)&amp;IF(TRUE,",",""))</f>
        <v/>
      </c>
    </row>
    <row r="928">
      <c r="A928" s="82">
        <f>IF(CriteriTecnici!$A827="","","    "&amp;CHAR(123)&amp;CHAR(34)&amp;"bidderId"&amp;CHAR(34)&amp;": "&amp;CHAR(34)&amp;SUBSTITUTE(CriteriTecnici!$A827,CHAR(34),"'")&amp;CHAR(34)&amp;", "&amp;CHAR(34)&amp;"lotId"&amp;CHAR(34)&amp;": "&amp;CHAR(34)&amp;SUBSTITUTE(CriteriTecnici!$C827,CHAR(34),"'")&amp;CHAR(34)&amp;", "&amp;CHAR(34)&amp;"criterionId"&amp;CHAR(34)&amp;": "&amp;CHAR(34)&amp;SUBSTITUTE(CriteriTecnici!$D827,CHAR(34),"'")&amp;CHAR(34)&amp;", "&amp;CHAR(34)&amp;"kind"&amp;CHAR(34)&amp;": "&amp;CHAR(34)&amp;SUBSTITUTE(CriteriTecnici!$F827,CHAR(34),"'")&amp;CHAR(34)&amp;", "&amp;CHAR(34)&amp;"value"&amp;CHAR(34)&amp;": "&amp;SUBSTITUTE(TRIM(ROUND(IFERROR(CriteriTecnici!$N827*1,IFERROR(NUMBERVALUE(CriteriTecnici!$N827,".",","),IFERROR(NUMBERVALUE(CriteriTecnici!$N827,",","."),0))),4)&amp;""),",",".")&amp;", "&amp;CHAR(34)&amp;"numerator"&amp;CHAR(34)&amp;": "&amp;SUBSTITUTE(TRIM(ROUND(IFERROR(CriteriTecnici!$K827*1,IFERROR(NUMBERVALUE(CriteriTecnici!$K827,".",","),IFERROR(NUMBERVALUE(CriteriTecnici!$K827,",","."),0))),4)&amp;""),",",".")&amp;", "&amp;CHAR(34)&amp;"denominator"&amp;CHAR(34)&amp;": "&amp;SUBSTITUTE(TRIM(ROUND(IFERROR(CriteriTecnici!$L827*1,IFERROR(NUMBERVALUE(CriteriTecnici!$L827,".",","),IFERROR(NUMBERVALUE(CriteriTecnici!$L827,",","."),0))),4)&amp;""),",",".")&amp;", "&amp;CHAR(34)&amp;"flag"&amp;CHAR(34)&amp;": "&amp;SUBSTITUTE(TRIM(ROUND(IFERROR(CriteriTecnici!$M827*1,IFERROR(NUMBERVALUE(CriteriTecnici!$M827,".",","),IFERROR(NUMBERVALUE(CriteriTecnici!$M827,",","."),0))),4)&amp;""),",",".")&amp;", "&amp;CHAR(34)&amp;"rawScore"&amp;CHAR(34)&amp;": "&amp;SUBSTITUTE(TRIM(ROUND(IFERROR(CriteriTecnici!$O827*1,IFERROR(NUMBERVALUE(CriteriTecnici!$O827,".",","),IFERROR(NUMBERVALUE(CriteriTecnici!$O827,",","."),0))),4)&amp;""),",",".")&amp;CHAR(125)&amp;IF(TRUE,",",""))</f>
        <v/>
      </c>
    </row>
    <row r="929">
      <c r="A929" s="82">
        <f>IF(CriteriTecnici!$A828="","","    "&amp;CHAR(123)&amp;CHAR(34)&amp;"bidderId"&amp;CHAR(34)&amp;": "&amp;CHAR(34)&amp;SUBSTITUTE(CriteriTecnici!$A828,CHAR(34),"'")&amp;CHAR(34)&amp;", "&amp;CHAR(34)&amp;"lotId"&amp;CHAR(34)&amp;": "&amp;CHAR(34)&amp;SUBSTITUTE(CriteriTecnici!$C828,CHAR(34),"'")&amp;CHAR(34)&amp;", "&amp;CHAR(34)&amp;"criterionId"&amp;CHAR(34)&amp;": "&amp;CHAR(34)&amp;SUBSTITUTE(CriteriTecnici!$D828,CHAR(34),"'")&amp;CHAR(34)&amp;", "&amp;CHAR(34)&amp;"kind"&amp;CHAR(34)&amp;": "&amp;CHAR(34)&amp;SUBSTITUTE(CriteriTecnici!$F828,CHAR(34),"'")&amp;CHAR(34)&amp;", "&amp;CHAR(34)&amp;"value"&amp;CHAR(34)&amp;": "&amp;SUBSTITUTE(TRIM(ROUND(IFERROR(CriteriTecnici!$N828*1,IFERROR(NUMBERVALUE(CriteriTecnici!$N828,".",","),IFERROR(NUMBERVALUE(CriteriTecnici!$N828,",","."),0))),4)&amp;""),",",".")&amp;", "&amp;CHAR(34)&amp;"numerator"&amp;CHAR(34)&amp;": "&amp;SUBSTITUTE(TRIM(ROUND(IFERROR(CriteriTecnici!$K828*1,IFERROR(NUMBERVALUE(CriteriTecnici!$K828,".",","),IFERROR(NUMBERVALUE(CriteriTecnici!$K828,",","."),0))),4)&amp;""),",",".")&amp;", "&amp;CHAR(34)&amp;"denominator"&amp;CHAR(34)&amp;": "&amp;SUBSTITUTE(TRIM(ROUND(IFERROR(CriteriTecnici!$L828*1,IFERROR(NUMBERVALUE(CriteriTecnici!$L828,".",","),IFERROR(NUMBERVALUE(CriteriTecnici!$L828,",","."),0))),4)&amp;""),",",".")&amp;", "&amp;CHAR(34)&amp;"flag"&amp;CHAR(34)&amp;": "&amp;SUBSTITUTE(TRIM(ROUND(IFERROR(CriteriTecnici!$M828*1,IFERROR(NUMBERVALUE(CriteriTecnici!$M828,".",","),IFERROR(NUMBERVALUE(CriteriTecnici!$M828,",","."),0))),4)&amp;""),",",".")&amp;", "&amp;CHAR(34)&amp;"rawScore"&amp;CHAR(34)&amp;": "&amp;SUBSTITUTE(TRIM(ROUND(IFERROR(CriteriTecnici!$O828*1,IFERROR(NUMBERVALUE(CriteriTecnici!$O828,".",","),IFERROR(NUMBERVALUE(CriteriTecnici!$O828,",","."),0))),4)&amp;""),",",".")&amp;CHAR(125)&amp;IF(TRUE,",",""))</f>
        <v/>
      </c>
    </row>
    <row r="930">
      <c r="A930" s="82">
        <f>IF(CriteriTecnici!$A829="","","    "&amp;CHAR(123)&amp;CHAR(34)&amp;"bidderId"&amp;CHAR(34)&amp;": "&amp;CHAR(34)&amp;SUBSTITUTE(CriteriTecnici!$A829,CHAR(34),"'")&amp;CHAR(34)&amp;", "&amp;CHAR(34)&amp;"lotId"&amp;CHAR(34)&amp;": "&amp;CHAR(34)&amp;SUBSTITUTE(CriteriTecnici!$C829,CHAR(34),"'")&amp;CHAR(34)&amp;", "&amp;CHAR(34)&amp;"criterionId"&amp;CHAR(34)&amp;": "&amp;CHAR(34)&amp;SUBSTITUTE(CriteriTecnici!$D829,CHAR(34),"'")&amp;CHAR(34)&amp;", "&amp;CHAR(34)&amp;"kind"&amp;CHAR(34)&amp;": "&amp;CHAR(34)&amp;SUBSTITUTE(CriteriTecnici!$F829,CHAR(34),"'")&amp;CHAR(34)&amp;", "&amp;CHAR(34)&amp;"value"&amp;CHAR(34)&amp;": "&amp;SUBSTITUTE(TRIM(ROUND(IFERROR(CriteriTecnici!$N829*1,IFERROR(NUMBERVALUE(CriteriTecnici!$N829,".",","),IFERROR(NUMBERVALUE(CriteriTecnici!$N829,",","."),0))),4)&amp;""),",",".")&amp;", "&amp;CHAR(34)&amp;"numerator"&amp;CHAR(34)&amp;": "&amp;SUBSTITUTE(TRIM(ROUND(IFERROR(CriteriTecnici!$K829*1,IFERROR(NUMBERVALUE(CriteriTecnici!$K829,".",","),IFERROR(NUMBERVALUE(CriteriTecnici!$K829,",","."),0))),4)&amp;""),",",".")&amp;", "&amp;CHAR(34)&amp;"denominator"&amp;CHAR(34)&amp;": "&amp;SUBSTITUTE(TRIM(ROUND(IFERROR(CriteriTecnici!$L829*1,IFERROR(NUMBERVALUE(CriteriTecnici!$L829,".",","),IFERROR(NUMBERVALUE(CriteriTecnici!$L829,",","."),0))),4)&amp;""),",",".")&amp;", "&amp;CHAR(34)&amp;"flag"&amp;CHAR(34)&amp;": "&amp;SUBSTITUTE(TRIM(ROUND(IFERROR(CriteriTecnici!$M829*1,IFERROR(NUMBERVALUE(CriteriTecnici!$M829,".",","),IFERROR(NUMBERVALUE(CriteriTecnici!$M829,",","."),0))),4)&amp;""),",",".")&amp;", "&amp;CHAR(34)&amp;"rawScore"&amp;CHAR(34)&amp;": "&amp;SUBSTITUTE(TRIM(ROUND(IFERROR(CriteriTecnici!$O829*1,IFERROR(NUMBERVALUE(CriteriTecnici!$O829,".",","),IFERROR(NUMBERVALUE(CriteriTecnici!$O829,",","."),0))),4)&amp;""),",",".")&amp;CHAR(125)&amp;IF(TRUE,",",""))</f>
        <v/>
      </c>
    </row>
    <row r="931">
      <c r="A931" s="82">
        <f>IF(CriteriTecnici!$A830="","","    "&amp;CHAR(123)&amp;CHAR(34)&amp;"bidderId"&amp;CHAR(34)&amp;": "&amp;CHAR(34)&amp;SUBSTITUTE(CriteriTecnici!$A830,CHAR(34),"'")&amp;CHAR(34)&amp;", "&amp;CHAR(34)&amp;"lotId"&amp;CHAR(34)&amp;": "&amp;CHAR(34)&amp;SUBSTITUTE(CriteriTecnici!$C830,CHAR(34),"'")&amp;CHAR(34)&amp;", "&amp;CHAR(34)&amp;"criterionId"&amp;CHAR(34)&amp;": "&amp;CHAR(34)&amp;SUBSTITUTE(CriteriTecnici!$D830,CHAR(34),"'")&amp;CHAR(34)&amp;", "&amp;CHAR(34)&amp;"kind"&amp;CHAR(34)&amp;": "&amp;CHAR(34)&amp;SUBSTITUTE(CriteriTecnici!$F830,CHAR(34),"'")&amp;CHAR(34)&amp;", "&amp;CHAR(34)&amp;"value"&amp;CHAR(34)&amp;": "&amp;SUBSTITUTE(TRIM(ROUND(IFERROR(CriteriTecnici!$N830*1,IFERROR(NUMBERVALUE(CriteriTecnici!$N830,".",","),IFERROR(NUMBERVALUE(CriteriTecnici!$N830,",","."),0))),4)&amp;""),",",".")&amp;", "&amp;CHAR(34)&amp;"numerator"&amp;CHAR(34)&amp;": "&amp;SUBSTITUTE(TRIM(ROUND(IFERROR(CriteriTecnici!$K830*1,IFERROR(NUMBERVALUE(CriteriTecnici!$K830,".",","),IFERROR(NUMBERVALUE(CriteriTecnici!$K830,",","."),0))),4)&amp;""),",",".")&amp;", "&amp;CHAR(34)&amp;"denominator"&amp;CHAR(34)&amp;": "&amp;SUBSTITUTE(TRIM(ROUND(IFERROR(CriteriTecnici!$L830*1,IFERROR(NUMBERVALUE(CriteriTecnici!$L830,".",","),IFERROR(NUMBERVALUE(CriteriTecnici!$L830,",","."),0))),4)&amp;""),",",".")&amp;", "&amp;CHAR(34)&amp;"flag"&amp;CHAR(34)&amp;": "&amp;SUBSTITUTE(TRIM(ROUND(IFERROR(CriteriTecnici!$M830*1,IFERROR(NUMBERVALUE(CriteriTecnici!$M830,".",","),IFERROR(NUMBERVALUE(CriteriTecnici!$M830,",","."),0))),4)&amp;""),",",".")&amp;", "&amp;CHAR(34)&amp;"rawScore"&amp;CHAR(34)&amp;": "&amp;SUBSTITUTE(TRIM(ROUND(IFERROR(CriteriTecnici!$O830*1,IFERROR(NUMBERVALUE(CriteriTecnici!$O830,".",","),IFERROR(NUMBERVALUE(CriteriTecnici!$O830,",","."),0))),4)&amp;""),",",".")&amp;CHAR(125)&amp;IF(TRUE,",",""))</f>
        <v/>
      </c>
    </row>
    <row r="932">
      <c r="A932" s="82">
        <f>IF(CriteriTecnici!$A831="","","    "&amp;CHAR(123)&amp;CHAR(34)&amp;"bidderId"&amp;CHAR(34)&amp;": "&amp;CHAR(34)&amp;SUBSTITUTE(CriteriTecnici!$A831,CHAR(34),"'")&amp;CHAR(34)&amp;", "&amp;CHAR(34)&amp;"lotId"&amp;CHAR(34)&amp;": "&amp;CHAR(34)&amp;SUBSTITUTE(CriteriTecnici!$C831,CHAR(34),"'")&amp;CHAR(34)&amp;", "&amp;CHAR(34)&amp;"criterionId"&amp;CHAR(34)&amp;": "&amp;CHAR(34)&amp;SUBSTITUTE(CriteriTecnici!$D831,CHAR(34),"'")&amp;CHAR(34)&amp;", "&amp;CHAR(34)&amp;"kind"&amp;CHAR(34)&amp;": "&amp;CHAR(34)&amp;SUBSTITUTE(CriteriTecnici!$F831,CHAR(34),"'")&amp;CHAR(34)&amp;", "&amp;CHAR(34)&amp;"value"&amp;CHAR(34)&amp;": "&amp;SUBSTITUTE(TRIM(ROUND(IFERROR(CriteriTecnici!$N831*1,IFERROR(NUMBERVALUE(CriteriTecnici!$N831,".",","),IFERROR(NUMBERVALUE(CriteriTecnici!$N831,",","."),0))),4)&amp;""),",",".")&amp;", "&amp;CHAR(34)&amp;"numerator"&amp;CHAR(34)&amp;": "&amp;SUBSTITUTE(TRIM(ROUND(IFERROR(CriteriTecnici!$K831*1,IFERROR(NUMBERVALUE(CriteriTecnici!$K831,".",","),IFERROR(NUMBERVALUE(CriteriTecnici!$K831,",","."),0))),4)&amp;""),",",".")&amp;", "&amp;CHAR(34)&amp;"denominator"&amp;CHAR(34)&amp;": "&amp;SUBSTITUTE(TRIM(ROUND(IFERROR(CriteriTecnici!$L831*1,IFERROR(NUMBERVALUE(CriteriTecnici!$L831,".",","),IFERROR(NUMBERVALUE(CriteriTecnici!$L831,",","."),0))),4)&amp;""),",",".")&amp;", "&amp;CHAR(34)&amp;"flag"&amp;CHAR(34)&amp;": "&amp;SUBSTITUTE(TRIM(ROUND(IFERROR(CriteriTecnici!$M831*1,IFERROR(NUMBERVALUE(CriteriTecnici!$M831,".",","),IFERROR(NUMBERVALUE(CriteriTecnici!$M831,",","."),0))),4)&amp;""),",",".")&amp;", "&amp;CHAR(34)&amp;"rawScore"&amp;CHAR(34)&amp;": "&amp;SUBSTITUTE(TRIM(ROUND(IFERROR(CriteriTecnici!$O831*1,IFERROR(NUMBERVALUE(CriteriTecnici!$O831,".",","),IFERROR(NUMBERVALUE(CriteriTecnici!$O831,",","."),0))),4)&amp;""),",",".")&amp;CHAR(125)&amp;IF(TRUE,",",""))</f>
        <v/>
      </c>
    </row>
    <row r="933">
      <c r="A933" s="82">
        <f>IF(CriteriTecnici!$A832="","","    "&amp;CHAR(123)&amp;CHAR(34)&amp;"bidderId"&amp;CHAR(34)&amp;": "&amp;CHAR(34)&amp;SUBSTITUTE(CriteriTecnici!$A832,CHAR(34),"'")&amp;CHAR(34)&amp;", "&amp;CHAR(34)&amp;"lotId"&amp;CHAR(34)&amp;": "&amp;CHAR(34)&amp;SUBSTITUTE(CriteriTecnici!$C832,CHAR(34),"'")&amp;CHAR(34)&amp;", "&amp;CHAR(34)&amp;"criterionId"&amp;CHAR(34)&amp;": "&amp;CHAR(34)&amp;SUBSTITUTE(CriteriTecnici!$D832,CHAR(34),"'")&amp;CHAR(34)&amp;", "&amp;CHAR(34)&amp;"kind"&amp;CHAR(34)&amp;": "&amp;CHAR(34)&amp;SUBSTITUTE(CriteriTecnici!$F832,CHAR(34),"'")&amp;CHAR(34)&amp;", "&amp;CHAR(34)&amp;"value"&amp;CHAR(34)&amp;": "&amp;SUBSTITUTE(TRIM(ROUND(IFERROR(CriteriTecnici!$N832*1,IFERROR(NUMBERVALUE(CriteriTecnici!$N832,".",","),IFERROR(NUMBERVALUE(CriteriTecnici!$N832,",","."),0))),4)&amp;""),",",".")&amp;", "&amp;CHAR(34)&amp;"numerator"&amp;CHAR(34)&amp;": "&amp;SUBSTITUTE(TRIM(ROUND(IFERROR(CriteriTecnici!$K832*1,IFERROR(NUMBERVALUE(CriteriTecnici!$K832,".",","),IFERROR(NUMBERVALUE(CriteriTecnici!$K832,",","."),0))),4)&amp;""),",",".")&amp;", "&amp;CHAR(34)&amp;"denominator"&amp;CHAR(34)&amp;": "&amp;SUBSTITUTE(TRIM(ROUND(IFERROR(CriteriTecnici!$L832*1,IFERROR(NUMBERVALUE(CriteriTecnici!$L832,".",","),IFERROR(NUMBERVALUE(CriteriTecnici!$L832,",","."),0))),4)&amp;""),",",".")&amp;", "&amp;CHAR(34)&amp;"flag"&amp;CHAR(34)&amp;": "&amp;SUBSTITUTE(TRIM(ROUND(IFERROR(CriteriTecnici!$M832*1,IFERROR(NUMBERVALUE(CriteriTecnici!$M832,".",","),IFERROR(NUMBERVALUE(CriteriTecnici!$M832,",","."),0))),4)&amp;""),",",".")&amp;", "&amp;CHAR(34)&amp;"rawScore"&amp;CHAR(34)&amp;": "&amp;SUBSTITUTE(TRIM(ROUND(IFERROR(CriteriTecnici!$O832*1,IFERROR(NUMBERVALUE(CriteriTecnici!$O832,".",","),IFERROR(NUMBERVALUE(CriteriTecnici!$O832,",","."),0))),4)&amp;""),",",".")&amp;CHAR(125)&amp;IF(TRUE,",",""))</f>
        <v/>
      </c>
    </row>
    <row r="934">
      <c r="A934" s="82">
        <f>IF(CriteriTecnici!$A833="","","    "&amp;CHAR(123)&amp;CHAR(34)&amp;"bidderId"&amp;CHAR(34)&amp;": "&amp;CHAR(34)&amp;SUBSTITUTE(CriteriTecnici!$A833,CHAR(34),"'")&amp;CHAR(34)&amp;", "&amp;CHAR(34)&amp;"lotId"&amp;CHAR(34)&amp;": "&amp;CHAR(34)&amp;SUBSTITUTE(CriteriTecnici!$C833,CHAR(34),"'")&amp;CHAR(34)&amp;", "&amp;CHAR(34)&amp;"criterionId"&amp;CHAR(34)&amp;": "&amp;CHAR(34)&amp;SUBSTITUTE(CriteriTecnici!$D833,CHAR(34),"'")&amp;CHAR(34)&amp;", "&amp;CHAR(34)&amp;"kind"&amp;CHAR(34)&amp;": "&amp;CHAR(34)&amp;SUBSTITUTE(CriteriTecnici!$F833,CHAR(34),"'")&amp;CHAR(34)&amp;", "&amp;CHAR(34)&amp;"value"&amp;CHAR(34)&amp;": "&amp;SUBSTITUTE(TRIM(ROUND(IFERROR(CriteriTecnici!$N833*1,IFERROR(NUMBERVALUE(CriteriTecnici!$N833,".",","),IFERROR(NUMBERVALUE(CriteriTecnici!$N833,",","."),0))),4)&amp;""),",",".")&amp;", "&amp;CHAR(34)&amp;"numerator"&amp;CHAR(34)&amp;": "&amp;SUBSTITUTE(TRIM(ROUND(IFERROR(CriteriTecnici!$K833*1,IFERROR(NUMBERVALUE(CriteriTecnici!$K833,".",","),IFERROR(NUMBERVALUE(CriteriTecnici!$K833,",","."),0))),4)&amp;""),",",".")&amp;", "&amp;CHAR(34)&amp;"denominator"&amp;CHAR(34)&amp;": "&amp;SUBSTITUTE(TRIM(ROUND(IFERROR(CriteriTecnici!$L833*1,IFERROR(NUMBERVALUE(CriteriTecnici!$L833,".",","),IFERROR(NUMBERVALUE(CriteriTecnici!$L833,",","."),0))),4)&amp;""),",",".")&amp;", "&amp;CHAR(34)&amp;"flag"&amp;CHAR(34)&amp;": "&amp;SUBSTITUTE(TRIM(ROUND(IFERROR(CriteriTecnici!$M833*1,IFERROR(NUMBERVALUE(CriteriTecnici!$M833,".",","),IFERROR(NUMBERVALUE(CriteriTecnici!$M833,",","."),0))),4)&amp;""),",",".")&amp;", "&amp;CHAR(34)&amp;"rawScore"&amp;CHAR(34)&amp;": "&amp;SUBSTITUTE(TRIM(ROUND(IFERROR(CriteriTecnici!$O833*1,IFERROR(NUMBERVALUE(CriteriTecnici!$O833,".",","),IFERROR(NUMBERVALUE(CriteriTecnici!$O833,",","."),0))),4)&amp;""),",",".")&amp;CHAR(125)&amp;IF(TRUE,",",""))</f>
        <v/>
      </c>
    </row>
    <row r="935">
      <c r="A935" s="82">
        <f>IF(CriteriTecnici!$A834="","","    "&amp;CHAR(123)&amp;CHAR(34)&amp;"bidderId"&amp;CHAR(34)&amp;": "&amp;CHAR(34)&amp;SUBSTITUTE(CriteriTecnici!$A834,CHAR(34),"'")&amp;CHAR(34)&amp;", "&amp;CHAR(34)&amp;"lotId"&amp;CHAR(34)&amp;": "&amp;CHAR(34)&amp;SUBSTITUTE(CriteriTecnici!$C834,CHAR(34),"'")&amp;CHAR(34)&amp;", "&amp;CHAR(34)&amp;"criterionId"&amp;CHAR(34)&amp;": "&amp;CHAR(34)&amp;SUBSTITUTE(CriteriTecnici!$D834,CHAR(34),"'")&amp;CHAR(34)&amp;", "&amp;CHAR(34)&amp;"kind"&amp;CHAR(34)&amp;": "&amp;CHAR(34)&amp;SUBSTITUTE(CriteriTecnici!$F834,CHAR(34),"'")&amp;CHAR(34)&amp;", "&amp;CHAR(34)&amp;"value"&amp;CHAR(34)&amp;": "&amp;SUBSTITUTE(TRIM(ROUND(IFERROR(CriteriTecnici!$N834*1,IFERROR(NUMBERVALUE(CriteriTecnici!$N834,".",","),IFERROR(NUMBERVALUE(CriteriTecnici!$N834,",","."),0))),4)&amp;""),",",".")&amp;", "&amp;CHAR(34)&amp;"numerator"&amp;CHAR(34)&amp;": "&amp;SUBSTITUTE(TRIM(ROUND(IFERROR(CriteriTecnici!$K834*1,IFERROR(NUMBERVALUE(CriteriTecnici!$K834,".",","),IFERROR(NUMBERVALUE(CriteriTecnici!$K834,",","."),0))),4)&amp;""),",",".")&amp;", "&amp;CHAR(34)&amp;"denominator"&amp;CHAR(34)&amp;": "&amp;SUBSTITUTE(TRIM(ROUND(IFERROR(CriteriTecnici!$L834*1,IFERROR(NUMBERVALUE(CriteriTecnici!$L834,".",","),IFERROR(NUMBERVALUE(CriteriTecnici!$L834,",","."),0))),4)&amp;""),",",".")&amp;", "&amp;CHAR(34)&amp;"flag"&amp;CHAR(34)&amp;": "&amp;SUBSTITUTE(TRIM(ROUND(IFERROR(CriteriTecnici!$M834*1,IFERROR(NUMBERVALUE(CriteriTecnici!$M834,".",","),IFERROR(NUMBERVALUE(CriteriTecnici!$M834,",","."),0))),4)&amp;""),",",".")&amp;", "&amp;CHAR(34)&amp;"rawScore"&amp;CHAR(34)&amp;": "&amp;SUBSTITUTE(TRIM(ROUND(IFERROR(CriteriTecnici!$O834*1,IFERROR(NUMBERVALUE(CriteriTecnici!$O834,".",","),IFERROR(NUMBERVALUE(CriteriTecnici!$O834,",","."),0))),4)&amp;""),",",".")&amp;CHAR(125)&amp;IF(TRUE,",",""))</f>
        <v/>
      </c>
    </row>
    <row r="936">
      <c r="A936" s="82">
        <f>IF(CriteriTecnici!$A835="","","    "&amp;CHAR(123)&amp;CHAR(34)&amp;"bidderId"&amp;CHAR(34)&amp;": "&amp;CHAR(34)&amp;SUBSTITUTE(CriteriTecnici!$A835,CHAR(34),"'")&amp;CHAR(34)&amp;", "&amp;CHAR(34)&amp;"lotId"&amp;CHAR(34)&amp;": "&amp;CHAR(34)&amp;SUBSTITUTE(CriteriTecnici!$C835,CHAR(34),"'")&amp;CHAR(34)&amp;", "&amp;CHAR(34)&amp;"criterionId"&amp;CHAR(34)&amp;": "&amp;CHAR(34)&amp;SUBSTITUTE(CriteriTecnici!$D835,CHAR(34),"'")&amp;CHAR(34)&amp;", "&amp;CHAR(34)&amp;"kind"&amp;CHAR(34)&amp;": "&amp;CHAR(34)&amp;SUBSTITUTE(CriteriTecnici!$F835,CHAR(34),"'")&amp;CHAR(34)&amp;", "&amp;CHAR(34)&amp;"value"&amp;CHAR(34)&amp;": "&amp;SUBSTITUTE(TRIM(ROUND(IFERROR(CriteriTecnici!$N835*1,IFERROR(NUMBERVALUE(CriteriTecnici!$N835,".",","),IFERROR(NUMBERVALUE(CriteriTecnici!$N835,",","."),0))),4)&amp;""),",",".")&amp;", "&amp;CHAR(34)&amp;"numerator"&amp;CHAR(34)&amp;": "&amp;SUBSTITUTE(TRIM(ROUND(IFERROR(CriteriTecnici!$K835*1,IFERROR(NUMBERVALUE(CriteriTecnici!$K835,".",","),IFERROR(NUMBERVALUE(CriteriTecnici!$K835,",","."),0))),4)&amp;""),",",".")&amp;", "&amp;CHAR(34)&amp;"denominator"&amp;CHAR(34)&amp;": "&amp;SUBSTITUTE(TRIM(ROUND(IFERROR(CriteriTecnici!$L835*1,IFERROR(NUMBERVALUE(CriteriTecnici!$L835,".",","),IFERROR(NUMBERVALUE(CriteriTecnici!$L835,",","."),0))),4)&amp;""),",",".")&amp;", "&amp;CHAR(34)&amp;"flag"&amp;CHAR(34)&amp;": "&amp;SUBSTITUTE(TRIM(ROUND(IFERROR(CriteriTecnici!$M835*1,IFERROR(NUMBERVALUE(CriteriTecnici!$M835,".",","),IFERROR(NUMBERVALUE(CriteriTecnici!$M835,",","."),0))),4)&amp;""),",",".")&amp;", "&amp;CHAR(34)&amp;"rawScore"&amp;CHAR(34)&amp;": "&amp;SUBSTITUTE(TRIM(ROUND(IFERROR(CriteriTecnici!$O835*1,IFERROR(NUMBERVALUE(CriteriTecnici!$O835,".",","),IFERROR(NUMBERVALUE(CriteriTecnici!$O835,",","."),0))),4)&amp;""),",",".")&amp;CHAR(125)&amp;IF(TRUE,",",""))</f>
        <v/>
      </c>
    </row>
    <row r="937">
      <c r="A937" s="82">
        <f>IF(CriteriTecnici!$A836="","","    "&amp;CHAR(123)&amp;CHAR(34)&amp;"bidderId"&amp;CHAR(34)&amp;": "&amp;CHAR(34)&amp;SUBSTITUTE(CriteriTecnici!$A836,CHAR(34),"'")&amp;CHAR(34)&amp;", "&amp;CHAR(34)&amp;"lotId"&amp;CHAR(34)&amp;": "&amp;CHAR(34)&amp;SUBSTITUTE(CriteriTecnici!$C836,CHAR(34),"'")&amp;CHAR(34)&amp;", "&amp;CHAR(34)&amp;"criterionId"&amp;CHAR(34)&amp;": "&amp;CHAR(34)&amp;SUBSTITUTE(CriteriTecnici!$D836,CHAR(34),"'")&amp;CHAR(34)&amp;", "&amp;CHAR(34)&amp;"kind"&amp;CHAR(34)&amp;": "&amp;CHAR(34)&amp;SUBSTITUTE(CriteriTecnici!$F836,CHAR(34),"'")&amp;CHAR(34)&amp;", "&amp;CHAR(34)&amp;"value"&amp;CHAR(34)&amp;": "&amp;SUBSTITUTE(TRIM(ROUND(IFERROR(CriteriTecnici!$N836*1,IFERROR(NUMBERVALUE(CriteriTecnici!$N836,".",","),IFERROR(NUMBERVALUE(CriteriTecnici!$N836,",","."),0))),4)&amp;""),",",".")&amp;", "&amp;CHAR(34)&amp;"numerator"&amp;CHAR(34)&amp;": "&amp;SUBSTITUTE(TRIM(ROUND(IFERROR(CriteriTecnici!$K836*1,IFERROR(NUMBERVALUE(CriteriTecnici!$K836,".",","),IFERROR(NUMBERVALUE(CriteriTecnici!$K836,",","."),0))),4)&amp;""),",",".")&amp;", "&amp;CHAR(34)&amp;"denominator"&amp;CHAR(34)&amp;": "&amp;SUBSTITUTE(TRIM(ROUND(IFERROR(CriteriTecnici!$L836*1,IFERROR(NUMBERVALUE(CriteriTecnici!$L836,".",","),IFERROR(NUMBERVALUE(CriteriTecnici!$L836,",","."),0))),4)&amp;""),",",".")&amp;", "&amp;CHAR(34)&amp;"flag"&amp;CHAR(34)&amp;": "&amp;SUBSTITUTE(TRIM(ROUND(IFERROR(CriteriTecnici!$M836*1,IFERROR(NUMBERVALUE(CriteriTecnici!$M836,".",","),IFERROR(NUMBERVALUE(CriteriTecnici!$M836,",","."),0))),4)&amp;""),",",".")&amp;", "&amp;CHAR(34)&amp;"rawScore"&amp;CHAR(34)&amp;": "&amp;SUBSTITUTE(TRIM(ROUND(IFERROR(CriteriTecnici!$O836*1,IFERROR(NUMBERVALUE(CriteriTecnici!$O836,".",","),IFERROR(NUMBERVALUE(CriteriTecnici!$O836,",","."),0))),4)&amp;""),",",".")&amp;CHAR(125)&amp;IF(TRUE,",",""))</f>
        <v/>
      </c>
    </row>
    <row r="938">
      <c r="A938" s="82">
        <f>IF(CriteriTecnici!$A837="","","    "&amp;CHAR(123)&amp;CHAR(34)&amp;"bidderId"&amp;CHAR(34)&amp;": "&amp;CHAR(34)&amp;SUBSTITUTE(CriteriTecnici!$A837,CHAR(34),"'")&amp;CHAR(34)&amp;", "&amp;CHAR(34)&amp;"lotId"&amp;CHAR(34)&amp;": "&amp;CHAR(34)&amp;SUBSTITUTE(CriteriTecnici!$C837,CHAR(34),"'")&amp;CHAR(34)&amp;", "&amp;CHAR(34)&amp;"criterionId"&amp;CHAR(34)&amp;": "&amp;CHAR(34)&amp;SUBSTITUTE(CriteriTecnici!$D837,CHAR(34),"'")&amp;CHAR(34)&amp;", "&amp;CHAR(34)&amp;"kind"&amp;CHAR(34)&amp;": "&amp;CHAR(34)&amp;SUBSTITUTE(CriteriTecnici!$F837,CHAR(34),"'")&amp;CHAR(34)&amp;", "&amp;CHAR(34)&amp;"value"&amp;CHAR(34)&amp;": "&amp;SUBSTITUTE(TRIM(ROUND(IFERROR(CriteriTecnici!$N837*1,IFERROR(NUMBERVALUE(CriteriTecnici!$N837,".",","),IFERROR(NUMBERVALUE(CriteriTecnici!$N837,",","."),0))),4)&amp;""),",",".")&amp;", "&amp;CHAR(34)&amp;"numerator"&amp;CHAR(34)&amp;": "&amp;SUBSTITUTE(TRIM(ROUND(IFERROR(CriteriTecnici!$K837*1,IFERROR(NUMBERVALUE(CriteriTecnici!$K837,".",","),IFERROR(NUMBERVALUE(CriteriTecnici!$K837,",","."),0))),4)&amp;""),",",".")&amp;", "&amp;CHAR(34)&amp;"denominator"&amp;CHAR(34)&amp;": "&amp;SUBSTITUTE(TRIM(ROUND(IFERROR(CriteriTecnici!$L837*1,IFERROR(NUMBERVALUE(CriteriTecnici!$L837,".",","),IFERROR(NUMBERVALUE(CriteriTecnici!$L837,",","."),0))),4)&amp;""),",",".")&amp;", "&amp;CHAR(34)&amp;"flag"&amp;CHAR(34)&amp;": "&amp;SUBSTITUTE(TRIM(ROUND(IFERROR(CriteriTecnici!$M837*1,IFERROR(NUMBERVALUE(CriteriTecnici!$M837,".",","),IFERROR(NUMBERVALUE(CriteriTecnici!$M837,",","."),0))),4)&amp;""),",",".")&amp;", "&amp;CHAR(34)&amp;"rawScore"&amp;CHAR(34)&amp;": "&amp;SUBSTITUTE(TRIM(ROUND(IFERROR(CriteriTecnici!$O837*1,IFERROR(NUMBERVALUE(CriteriTecnici!$O837,".",","),IFERROR(NUMBERVALUE(CriteriTecnici!$O837,",","."),0))),4)&amp;""),",",".")&amp;CHAR(125)&amp;IF(TRUE,",",""))</f>
        <v/>
      </c>
    </row>
    <row r="939">
      <c r="A939" s="82">
        <f>IF(CriteriTecnici!$A838="","","    "&amp;CHAR(123)&amp;CHAR(34)&amp;"bidderId"&amp;CHAR(34)&amp;": "&amp;CHAR(34)&amp;SUBSTITUTE(CriteriTecnici!$A838,CHAR(34),"'")&amp;CHAR(34)&amp;", "&amp;CHAR(34)&amp;"lotId"&amp;CHAR(34)&amp;": "&amp;CHAR(34)&amp;SUBSTITUTE(CriteriTecnici!$C838,CHAR(34),"'")&amp;CHAR(34)&amp;", "&amp;CHAR(34)&amp;"criterionId"&amp;CHAR(34)&amp;": "&amp;CHAR(34)&amp;SUBSTITUTE(CriteriTecnici!$D838,CHAR(34),"'")&amp;CHAR(34)&amp;", "&amp;CHAR(34)&amp;"kind"&amp;CHAR(34)&amp;": "&amp;CHAR(34)&amp;SUBSTITUTE(CriteriTecnici!$F838,CHAR(34),"'")&amp;CHAR(34)&amp;", "&amp;CHAR(34)&amp;"value"&amp;CHAR(34)&amp;": "&amp;SUBSTITUTE(TRIM(ROUND(IFERROR(CriteriTecnici!$N838*1,IFERROR(NUMBERVALUE(CriteriTecnici!$N838,".",","),IFERROR(NUMBERVALUE(CriteriTecnici!$N838,",","."),0))),4)&amp;""),",",".")&amp;", "&amp;CHAR(34)&amp;"numerator"&amp;CHAR(34)&amp;": "&amp;SUBSTITUTE(TRIM(ROUND(IFERROR(CriteriTecnici!$K838*1,IFERROR(NUMBERVALUE(CriteriTecnici!$K838,".",","),IFERROR(NUMBERVALUE(CriteriTecnici!$K838,",","."),0))),4)&amp;""),",",".")&amp;", "&amp;CHAR(34)&amp;"denominator"&amp;CHAR(34)&amp;": "&amp;SUBSTITUTE(TRIM(ROUND(IFERROR(CriteriTecnici!$L838*1,IFERROR(NUMBERVALUE(CriteriTecnici!$L838,".",","),IFERROR(NUMBERVALUE(CriteriTecnici!$L838,",","."),0))),4)&amp;""),",",".")&amp;", "&amp;CHAR(34)&amp;"flag"&amp;CHAR(34)&amp;": "&amp;SUBSTITUTE(TRIM(ROUND(IFERROR(CriteriTecnici!$M838*1,IFERROR(NUMBERVALUE(CriteriTecnici!$M838,".",","),IFERROR(NUMBERVALUE(CriteriTecnici!$M838,",","."),0))),4)&amp;""),",",".")&amp;", "&amp;CHAR(34)&amp;"rawScore"&amp;CHAR(34)&amp;": "&amp;SUBSTITUTE(TRIM(ROUND(IFERROR(CriteriTecnici!$O838*1,IFERROR(NUMBERVALUE(CriteriTecnici!$O838,".",","),IFERROR(NUMBERVALUE(CriteriTecnici!$O838,",","."),0))),4)&amp;""),",",".")&amp;CHAR(125)&amp;IF(TRUE,",",""))</f>
        <v/>
      </c>
    </row>
    <row r="940">
      <c r="A940" s="82">
        <f>IF(CriteriTecnici!$A839="","","    "&amp;CHAR(123)&amp;CHAR(34)&amp;"bidderId"&amp;CHAR(34)&amp;": "&amp;CHAR(34)&amp;SUBSTITUTE(CriteriTecnici!$A839,CHAR(34),"'")&amp;CHAR(34)&amp;", "&amp;CHAR(34)&amp;"lotId"&amp;CHAR(34)&amp;": "&amp;CHAR(34)&amp;SUBSTITUTE(CriteriTecnici!$C839,CHAR(34),"'")&amp;CHAR(34)&amp;", "&amp;CHAR(34)&amp;"criterionId"&amp;CHAR(34)&amp;": "&amp;CHAR(34)&amp;SUBSTITUTE(CriteriTecnici!$D839,CHAR(34),"'")&amp;CHAR(34)&amp;", "&amp;CHAR(34)&amp;"kind"&amp;CHAR(34)&amp;": "&amp;CHAR(34)&amp;SUBSTITUTE(CriteriTecnici!$F839,CHAR(34),"'")&amp;CHAR(34)&amp;", "&amp;CHAR(34)&amp;"value"&amp;CHAR(34)&amp;": "&amp;SUBSTITUTE(TRIM(ROUND(IFERROR(CriteriTecnici!$N839*1,IFERROR(NUMBERVALUE(CriteriTecnici!$N839,".",","),IFERROR(NUMBERVALUE(CriteriTecnici!$N839,",","."),0))),4)&amp;""),",",".")&amp;", "&amp;CHAR(34)&amp;"numerator"&amp;CHAR(34)&amp;": "&amp;SUBSTITUTE(TRIM(ROUND(IFERROR(CriteriTecnici!$K839*1,IFERROR(NUMBERVALUE(CriteriTecnici!$K839,".",","),IFERROR(NUMBERVALUE(CriteriTecnici!$K839,",","."),0))),4)&amp;""),",",".")&amp;", "&amp;CHAR(34)&amp;"denominator"&amp;CHAR(34)&amp;": "&amp;SUBSTITUTE(TRIM(ROUND(IFERROR(CriteriTecnici!$L839*1,IFERROR(NUMBERVALUE(CriteriTecnici!$L839,".",","),IFERROR(NUMBERVALUE(CriteriTecnici!$L839,",","."),0))),4)&amp;""),",",".")&amp;", "&amp;CHAR(34)&amp;"flag"&amp;CHAR(34)&amp;": "&amp;SUBSTITUTE(TRIM(ROUND(IFERROR(CriteriTecnici!$M839*1,IFERROR(NUMBERVALUE(CriteriTecnici!$M839,".",","),IFERROR(NUMBERVALUE(CriteriTecnici!$M839,",","."),0))),4)&amp;""),",",".")&amp;", "&amp;CHAR(34)&amp;"rawScore"&amp;CHAR(34)&amp;": "&amp;SUBSTITUTE(TRIM(ROUND(IFERROR(CriteriTecnici!$O839*1,IFERROR(NUMBERVALUE(CriteriTecnici!$O839,".",","),IFERROR(NUMBERVALUE(CriteriTecnici!$O839,",","."),0))),4)&amp;""),",",".")&amp;CHAR(125)&amp;IF(TRUE,",",""))</f>
        <v/>
      </c>
    </row>
    <row r="941">
      <c r="A941" s="82">
        <f>IF(CriteriTecnici!$A840="","","    "&amp;CHAR(123)&amp;CHAR(34)&amp;"bidderId"&amp;CHAR(34)&amp;": "&amp;CHAR(34)&amp;SUBSTITUTE(CriteriTecnici!$A840,CHAR(34),"'")&amp;CHAR(34)&amp;", "&amp;CHAR(34)&amp;"lotId"&amp;CHAR(34)&amp;": "&amp;CHAR(34)&amp;SUBSTITUTE(CriteriTecnici!$C840,CHAR(34),"'")&amp;CHAR(34)&amp;", "&amp;CHAR(34)&amp;"criterionId"&amp;CHAR(34)&amp;": "&amp;CHAR(34)&amp;SUBSTITUTE(CriteriTecnici!$D840,CHAR(34),"'")&amp;CHAR(34)&amp;", "&amp;CHAR(34)&amp;"kind"&amp;CHAR(34)&amp;": "&amp;CHAR(34)&amp;SUBSTITUTE(CriteriTecnici!$F840,CHAR(34),"'")&amp;CHAR(34)&amp;", "&amp;CHAR(34)&amp;"value"&amp;CHAR(34)&amp;": "&amp;SUBSTITUTE(TRIM(ROUND(IFERROR(CriteriTecnici!$N840*1,IFERROR(NUMBERVALUE(CriteriTecnici!$N840,".",","),IFERROR(NUMBERVALUE(CriteriTecnici!$N840,",","."),0))),4)&amp;""),",",".")&amp;", "&amp;CHAR(34)&amp;"numerator"&amp;CHAR(34)&amp;": "&amp;SUBSTITUTE(TRIM(ROUND(IFERROR(CriteriTecnici!$K840*1,IFERROR(NUMBERVALUE(CriteriTecnici!$K840,".",","),IFERROR(NUMBERVALUE(CriteriTecnici!$K840,",","."),0))),4)&amp;""),",",".")&amp;", "&amp;CHAR(34)&amp;"denominator"&amp;CHAR(34)&amp;": "&amp;SUBSTITUTE(TRIM(ROUND(IFERROR(CriteriTecnici!$L840*1,IFERROR(NUMBERVALUE(CriteriTecnici!$L840,".",","),IFERROR(NUMBERVALUE(CriteriTecnici!$L840,",","."),0))),4)&amp;""),",",".")&amp;", "&amp;CHAR(34)&amp;"flag"&amp;CHAR(34)&amp;": "&amp;SUBSTITUTE(TRIM(ROUND(IFERROR(CriteriTecnici!$M840*1,IFERROR(NUMBERVALUE(CriteriTecnici!$M840,".",","),IFERROR(NUMBERVALUE(CriteriTecnici!$M840,",","."),0))),4)&amp;""),",",".")&amp;", "&amp;CHAR(34)&amp;"rawScore"&amp;CHAR(34)&amp;": "&amp;SUBSTITUTE(TRIM(ROUND(IFERROR(CriteriTecnici!$O840*1,IFERROR(NUMBERVALUE(CriteriTecnici!$O840,".",","),IFERROR(NUMBERVALUE(CriteriTecnici!$O840,",","."),0))),4)&amp;""),",",".")&amp;CHAR(125)&amp;IF(TRUE,",",""))</f>
        <v/>
      </c>
    </row>
    <row r="942">
      <c r="A942" s="82">
        <f>IF(CriteriTecnici!$A841="","","    "&amp;CHAR(123)&amp;CHAR(34)&amp;"bidderId"&amp;CHAR(34)&amp;": "&amp;CHAR(34)&amp;SUBSTITUTE(CriteriTecnici!$A841,CHAR(34),"'")&amp;CHAR(34)&amp;", "&amp;CHAR(34)&amp;"lotId"&amp;CHAR(34)&amp;": "&amp;CHAR(34)&amp;SUBSTITUTE(CriteriTecnici!$C841,CHAR(34),"'")&amp;CHAR(34)&amp;", "&amp;CHAR(34)&amp;"criterionId"&amp;CHAR(34)&amp;": "&amp;CHAR(34)&amp;SUBSTITUTE(CriteriTecnici!$D841,CHAR(34),"'")&amp;CHAR(34)&amp;", "&amp;CHAR(34)&amp;"kind"&amp;CHAR(34)&amp;": "&amp;CHAR(34)&amp;SUBSTITUTE(CriteriTecnici!$F841,CHAR(34),"'")&amp;CHAR(34)&amp;", "&amp;CHAR(34)&amp;"value"&amp;CHAR(34)&amp;": "&amp;SUBSTITUTE(TRIM(ROUND(IFERROR(CriteriTecnici!$N841*1,IFERROR(NUMBERVALUE(CriteriTecnici!$N841,".",","),IFERROR(NUMBERVALUE(CriteriTecnici!$N841,",","."),0))),4)&amp;""),",",".")&amp;", "&amp;CHAR(34)&amp;"numerator"&amp;CHAR(34)&amp;": "&amp;SUBSTITUTE(TRIM(ROUND(IFERROR(CriteriTecnici!$K841*1,IFERROR(NUMBERVALUE(CriteriTecnici!$K841,".",","),IFERROR(NUMBERVALUE(CriteriTecnici!$K841,",","."),0))),4)&amp;""),",",".")&amp;", "&amp;CHAR(34)&amp;"denominator"&amp;CHAR(34)&amp;": "&amp;SUBSTITUTE(TRIM(ROUND(IFERROR(CriteriTecnici!$L841*1,IFERROR(NUMBERVALUE(CriteriTecnici!$L841,".",","),IFERROR(NUMBERVALUE(CriteriTecnici!$L841,",","."),0))),4)&amp;""),",",".")&amp;", "&amp;CHAR(34)&amp;"flag"&amp;CHAR(34)&amp;": "&amp;SUBSTITUTE(TRIM(ROUND(IFERROR(CriteriTecnici!$M841*1,IFERROR(NUMBERVALUE(CriteriTecnici!$M841,".",","),IFERROR(NUMBERVALUE(CriteriTecnici!$M841,",","."),0))),4)&amp;""),",",".")&amp;", "&amp;CHAR(34)&amp;"rawScore"&amp;CHAR(34)&amp;": "&amp;SUBSTITUTE(TRIM(ROUND(IFERROR(CriteriTecnici!$O841*1,IFERROR(NUMBERVALUE(CriteriTecnici!$O841,".",","),IFERROR(NUMBERVALUE(CriteriTecnici!$O841,",","."),0))),4)&amp;""),",",".")&amp;CHAR(125)&amp;IF(COUNTA(Offerte!$A29:$A$81)&gt;0,",",""))</f>
        <v/>
      </c>
    </row>
    <row r="943">
      <c r="A943" s="82">
        <f>IF(CriteriTecnici!$A842="","","    "&amp;CHAR(123)&amp;CHAR(34)&amp;"bidderId"&amp;CHAR(34)&amp;": "&amp;CHAR(34)&amp;SUBSTITUTE(CriteriTecnici!$A842,CHAR(34),"'")&amp;CHAR(34)&amp;", "&amp;CHAR(34)&amp;"lotId"&amp;CHAR(34)&amp;": "&amp;CHAR(34)&amp;SUBSTITUTE(CriteriTecnici!$C842,CHAR(34),"'")&amp;CHAR(34)&amp;", "&amp;CHAR(34)&amp;"criterionId"&amp;CHAR(34)&amp;": "&amp;CHAR(34)&amp;SUBSTITUTE(CriteriTecnici!$D842,CHAR(34),"'")&amp;CHAR(34)&amp;", "&amp;CHAR(34)&amp;"kind"&amp;CHAR(34)&amp;": "&amp;CHAR(34)&amp;SUBSTITUTE(CriteriTecnici!$F842,CHAR(34),"'")&amp;CHAR(34)&amp;", "&amp;CHAR(34)&amp;"value"&amp;CHAR(34)&amp;": "&amp;SUBSTITUTE(TRIM(ROUND(IFERROR(CriteriTecnici!$N842*1,IFERROR(NUMBERVALUE(CriteriTecnici!$N842,".",","),IFERROR(NUMBERVALUE(CriteriTecnici!$N842,",","."),0))),4)&amp;""),",",".")&amp;", "&amp;CHAR(34)&amp;"numerator"&amp;CHAR(34)&amp;": "&amp;SUBSTITUTE(TRIM(ROUND(IFERROR(CriteriTecnici!$K842*1,IFERROR(NUMBERVALUE(CriteriTecnici!$K842,".",","),IFERROR(NUMBERVALUE(CriteriTecnici!$K842,",","."),0))),4)&amp;""),",",".")&amp;", "&amp;CHAR(34)&amp;"denominator"&amp;CHAR(34)&amp;": "&amp;SUBSTITUTE(TRIM(ROUND(IFERROR(CriteriTecnici!$L842*1,IFERROR(NUMBERVALUE(CriteriTecnici!$L842,".",","),IFERROR(NUMBERVALUE(CriteriTecnici!$L842,",","."),0))),4)&amp;""),",",".")&amp;", "&amp;CHAR(34)&amp;"flag"&amp;CHAR(34)&amp;": "&amp;SUBSTITUTE(TRIM(ROUND(IFERROR(CriteriTecnici!$M842*1,IFERROR(NUMBERVALUE(CriteriTecnici!$M842,".",","),IFERROR(NUMBERVALUE(CriteriTecnici!$M842,",","."),0))),4)&amp;""),",",".")&amp;", "&amp;CHAR(34)&amp;"rawScore"&amp;CHAR(34)&amp;": "&amp;SUBSTITUTE(TRIM(ROUND(IFERROR(CriteriTecnici!$O842*1,IFERROR(NUMBERVALUE(CriteriTecnici!$O842,".",","),IFERROR(NUMBERVALUE(CriteriTecnici!$O842,",","."),0))),4)&amp;""),",",".")&amp;CHAR(125)&amp;IF(TRUE,",",""))</f>
        <v/>
      </c>
    </row>
    <row r="944">
      <c r="A944" s="82">
        <f>IF(CriteriTecnici!$A843="","","    "&amp;CHAR(123)&amp;CHAR(34)&amp;"bidderId"&amp;CHAR(34)&amp;": "&amp;CHAR(34)&amp;SUBSTITUTE(CriteriTecnici!$A843,CHAR(34),"'")&amp;CHAR(34)&amp;", "&amp;CHAR(34)&amp;"lotId"&amp;CHAR(34)&amp;": "&amp;CHAR(34)&amp;SUBSTITUTE(CriteriTecnici!$C843,CHAR(34),"'")&amp;CHAR(34)&amp;", "&amp;CHAR(34)&amp;"criterionId"&amp;CHAR(34)&amp;": "&amp;CHAR(34)&amp;SUBSTITUTE(CriteriTecnici!$D843,CHAR(34),"'")&amp;CHAR(34)&amp;", "&amp;CHAR(34)&amp;"kind"&amp;CHAR(34)&amp;": "&amp;CHAR(34)&amp;SUBSTITUTE(CriteriTecnici!$F843,CHAR(34),"'")&amp;CHAR(34)&amp;", "&amp;CHAR(34)&amp;"value"&amp;CHAR(34)&amp;": "&amp;SUBSTITUTE(TRIM(ROUND(IFERROR(CriteriTecnici!$N843*1,IFERROR(NUMBERVALUE(CriteriTecnici!$N843,".",","),IFERROR(NUMBERVALUE(CriteriTecnici!$N843,",","."),0))),4)&amp;""),",",".")&amp;", "&amp;CHAR(34)&amp;"numerator"&amp;CHAR(34)&amp;": "&amp;SUBSTITUTE(TRIM(ROUND(IFERROR(CriteriTecnici!$K843*1,IFERROR(NUMBERVALUE(CriteriTecnici!$K843,".",","),IFERROR(NUMBERVALUE(CriteriTecnici!$K843,",","."),0))),4)&amp;""),",",".")&amp;", "&amp;CHAR(34)&amp;"denominator"&amp;CHAR(34)&amp;": "&amp;SUBSTITUTE(TRIM(ROUND(IFERROR(CriteriTecnici!$L843*1,IFERROR(NUMBERVALUE(CriteriTecnici!$L843,".",","),IFERROR(NUMBERVALUE(CriteriTecnici!$L843,",","."),0))),4)&amp;""),",",".")&amp;", "&amp;CHAR(34)&amp;"flag"&amp;CHAR(34)&amp;": "&amp;SUBSTITUTE(TRIM(ROUND(IFERROR(CriteriTecnici!$M843*1,IFERROR(NUMBERVALUE(CriteriTecnici!$M843,".",","),IFERROR(NUMBERVALUE(CriteriTecnici!$M843,",","."),0))),4)&amp;""),",",".")&amp;", "&amp;CHAR(34)&amp;"rawScore"&amp;CHAR(34)&amp;": "&amp;SUBSTITUTE(TRIM(ROUND(IFERROR(CriteriTecnici!$O843*1,IFERROR(NUMBERVALUE(CriteriTecnici!$O843,".",","),IFERROR(NUMBERVALUE(CriteriTecnici!$O843,",","."),0))),4)&amp;""),",",".")&amp;CHAR(125)&amp;IF(TRUE,",",""))</f>
        <v/>
      </c>
    </row>
    <row r="945">
      <c r="A945" s="82">
        <f>IF(CriteriTecnici!$A844="","","    "&amp;CHAR(123)&amp;CHAR(34)&amp;"bidderId"&amp;CHAR(34)&amp;": "&amp;CHAR(34)&amp;SUBSTITUTE(CriteriTecnici!$A844,CHAR(34),"'")&amp;CHAR(34)&amp;", "&amp;CHAR(34)&amp;"lotId"&amp;CHAR(34)&amp;": "&amp;CHAR(34)&amp;SUBSTITUTE(CriteriTecnici!$C844,CHAR(34),"'")&amp;CHAR(34)&amp;", "&amp;CHAR(34)&amp;"criterionId"&amp;CHAR(34)&amp;": "&amp;CHAR(34)&amp;SUBSTITUTE(CriteriTecnici!$D844,CHAR(34),"'")&amp;CHAR(34)&amp;", "&amp;CHAR(34)&amp;"kind"&amp;CHAR(34)&amp;": "&amp;CHAR(34)&amp;SUBSTITUTE(CriteriTecnici!$F844,CHAR(34),"'")&amp;CHAR(34)&amp;", "&amp;CHAR(34)&amp;"value"&amp;CHAR(34)&amp;": "&amp;SUBSTITUTE(TRIM(ROUND(IFERROR(CriteriTecnici!$N844*1,IFERROR(NUMBERVALUE(CriteriTecnici!$N844,".",","),IFERROR(NUMBERVALUE(CriteriTecnici!$N844,",","."),0))),4)&amp;""),",",".")&amp;", "&amp;CHAR(34)&amp;"numerator"&amp;CHAR(34)&amp;": "&amp;SUBSTITUTE(TRIM(ROUND(IFERROR(CriteriTecnici!$K844*1,IFERROR(NUMBERVALUE(CriteriTecnici!$K844,".",","),IFERROR(NUMBERVALUE(CriteriTecnici!$K844,",","."),0))),4)&amp;""),",",".")&amp;", "&amp;CHAR(34)&amp;"denominator"&amp;CHAR(34)&amp;": "&amp;SUBSTITUTE(TRIM(ROUND(IFERROR(CriteriTecnici!$L844*1,IFERROR(NUMBERVALUE(CriteriTecnici!$L844,".",","),IFERROR(NUMBERVALUE(CriteriTecnici!$L844,",","."),0))),4)&amp;""),",",".")&amp;", "&amp;CHAR(34)&amp;"flag"&amp;CHAR(34)&amp;": "&amp;SUBSTITUTE(TRIM(ROUND(IFERROR(CriteriTecnici!$M844*1,IFERROR(NUMBERVALUE(CriteriTecnici!$M844,".",","),IFERROR(NUMBERVALUE(CriteriTecnici!$M844,",","."),0))),4)&amp;""),",",".")&amp;", "&amp;CHAR(34)&amp;"rawScore"&amp;CHAR(34)&amp;": "&amp;SUBSTITUTE(TRIM(ROUND(IFERROR(CriteriTecnici!$O844*1,IFERROR(NUMBERVALUE(CriteriTecnici!$O844,".",","),IFERROR(NUMBERVALUE(CriteriTecnici!$O844,",","."),0))),4)&amp;""),",",".")&amp;CHAR(125)&amp;IF(TRUE,",",""))</f>
        <v/>
      </c>
    </row>
    <row r="946">
      <c r="A946" s="82">
        <f>IF(CriteriTecnici!$A845="","","    "&amp;CHAR(123)&amp;CHAR(34)&amp;"bidderId"&amp;CHAR(34)&amp;": "&amp;CHAR(34)&amp;SUBSTITUTE(CriteriTecnici!$A845,CHAR(34),"'")&amp;CHAR(34)&amp;", "&amp;CHAR(34)&amp;"lotId"&amp;CHAR(34)&amp;": "&amp;CHAR(34)&amp;SUBSTITUTE(CriteriTecnici!$C845,CHAR(34),"'")&amp;CHAR(34)&amp;", "&amp;CHAR(34)&amp;"criterionId"&amp;CHAR(34)&amp;": "&amp;CHAR(34)&amp;SUBSTITUTE(CriteriTecnici!$D845,CHAR(34),"'")&amp;CHAR(34)&amp;", "&amp;CHAR(34)&amp;"kind"&amp;CHAR(34)&amp;": "&amp;CHAR(34)&amp;SUBSTITUTE(CriteriTecnici!$F845,CHAR(34),"'")&amp;CHAR(34)&amp;", "&amp;CHAR(34)&amp;"value"&amp;CHAR(34)&amp;": "&amp;SUBSTITUTE(TRIM(ROUND(IFERROR(CriteriTecnici!$N845*1,IFERROR(NUMBERVALUE(CriteriTecnici!$N845,".",","),IFERROR(NUMBERVALUE(CriteriTecnici!$N845,",","."),0))),4)&amp;""),",",".")&amp;", "&amp;CHAR(34)&amp;"numerator"&amp;CHAR(34)&amp;": "&amp;SUBSTITUTE(TRIM(ROUND(IFERROR(CriteriTecnici!$K845*1,IFERROR(NUMBERVALUE(CriteriTecnici!$K845,".",","),IFERROR(NUMBERVALUE(CriteriTecnici!$K845,",","."),0))),4)&amp;""),",",".")&amp;", "&amp;CHAR(34)&amp;"denominator"&amp;CHAR(34)&amp;": "&amp;SUBSTITUTE(TRIM(ROUND(IFERROR(CriteriTecnici!$L845*1,IFERROR(NUMBERVALUE(CriteriTecnici!$L845,".",","),IFERROR(NUMBERVALUE(CriteriTecnici!$L845,",","."),0))),4)&amp;""),",",".")&amp;", "&amp;CHAR(34)&amp;"flag"&amp;CHAR(34)&amp;": "&amp;SUBSTITUTE(TRIM(ROUND(IFERROR(CriteriTecnici!$M845*1,IFERROR(NUMBERVALUE(CriteriTecnici!$M845,".",","),IFERROR(NUMBERVALUE(CriteriTecnici!$M845,",","."),0))),4)&amp;""),",",".")&amp;", "&amp;CHAR(34)&amp;"rawScore"&amp;CHAR(34)&amp;": "&amp;SUBSTITUTE(TRIM(ROUND(IFERROR(CriteriTecnici!$O845*1,IFERROR(NUMBERVALUE(CriteriTecnici!$O845,".",","),IFERROR(NUMBERVALUE(CriteriTecnici!$O845,",","."),0))),4)&amp;""),",",".")&amp;CHAR(125)&amp;IF(TRUE,",",""))</f>
        <v/>
      </c>
    </row>
    <row r="947">
      <c r="A947" s="82">
        <f>IF(CriteriTecnici!$A846="","","    "&amp;CHAR(123)&amp;CHAR(34)&amp;"bidderId"&amp;CHAR(34)&amp;": "&amp;CHAR(34)&amp;SUBSTITUTE(CriteriTecnici!$A846,CHAR(34),"'")&amp;CHAR(34)&amp;", "&amp;CHAR(34)&amp;"lotId"&amp;CHAR(34)&amp;": "&amp;CHAR(34)&amp;SUBSTITUTE(CriteriTecnici!$C846,CHAR(34),"'")&amp;CHAR(34)&amp;", "&amp;CHAR(34)&amp;"criterionId"&amp;CHAR(34)&amp;": "&amp;CHAR(34)&amp;SUBSTITUTE(CriteriTecnici!$D846,CHAR(34),"'")&amp;CHAR(34)&amp;", "&amp;CHAR(34)&amp;"kind"&amp;CHAR(34)&amp;": "&amp;CHAR(34)&amp;SUBSTITUTE(CriteriTecnici!$F846,CHAR(34),"'")&amp;CHAR(34)&amp;", "&amp;CHAR(34)&amp;"value"&amp;CHAR(34)&amp;": "&amp;SUBSTITUTE(TRIM(ROUND(IFERROR(CriteriTecnici!$N846*1,IFERROR(NUMBERVALUE(CriteriTecnici!$N846,".",","),IFERROR(NUMBERVALUE(CriteriTecnici!$N846,",","."),0))),4)&amp;""),",",".")&amp;", "&amp;CHAR(34)&amp;"numerator"&amp;CHAR(34)&amp;": "&amp;SUBSTITUTE(TRIM(ROUND(IFERROR(CriteriTecnici!$K846*1,IFERROR(NUMBERVALUE(CriteriTecnici!$K846,".",","),IFERROR(NUMBERVALUE(CriteriTecnici!$K846,",","."),0))),4)&amp;""),",",".")&amp;", "&amp;CHAR(34)&amp;"denominator"&amp;CHAR(34)&amp;": "&amp;SUBSTITUTE(TRIM(ROUND(IFERROR(CriteriTecnici!$L846*1,IFERROR(NUMBERVALUE(CriteriTecnici!$L846,".",","),IFERROR(NUMBERVALUE(CriteriTecnici!$L846,",","."),0))),4)&amp;""),",",".")&amp;", "&amp;CHAR(34)&amp;"flag"&amp;CHAR(34)&amp;": "&amp;SUBSTITUTE(TRIM(ROUND(IFERROR(CriteriTecnici!$M846*1,IFERROR(NUMBERVALUE(CriteriTecnici!$M846,".",","),IFERROR(NUMBERVALUE(CriteriTecnici!$M846,",","."),0))),4)&amp;""),",",".")&amp;", "&amp;CHAR(34)&amp;"rawScore"&amp;CHAR(34)&amp;": "&amp;SUBSTITUTE(TRIM(ROUND(IFERROR(CriteriTecnici!$O846*1,IFERROR(NUMBERVALUE(CriteriTecnici!$O846,".",","),IFERROR(NUMBERVALUE(CriteriTecnici!$O846,",","."),0))),4)&amp;""),",",".")&amp;CHAR(125)&amp;IF(TRUE,",",""))</f>
        <v/>
      </c>
    </row>
    <row r="948">
      <c r="A948" s="82">
        <f>IF(CriteriTecnici!$A847="","","    "&amp;CHAR(123)&amp;CHAR(34)&amp;"bidderId"&amp;CHAR(34)&amp;": "&amp;CHAR(34)&amp;SUBSTITUTE(CriteriTecnici!$A847,CHAR(34),"'")&amp;CHAR(34)&amp;", "&amp;CHAR(34)&amp;"lotId"&amp;CHAR(34)&amp;": "&amp;CHAR(34)&amp;SUBSTITUTE(CriteriTecnici!$C847,CHAR(34),"'")&amp;CHAR(34)&amp;", "&amp;CHAR(34)&amp;"criterionId"&amp;CHAR(34)&amp;": "&amp;CHAR(34)&amp;SUBSTITUTE(CriteriTecnici!$D847,CHAR(34),"'")&amp;CHAR(34)&amp;", "&amp;CHAR(34)&amp;"kind"&amp;CHAR(34)&amp;": "&amp;CHAR(34)&amp;SUBSTITUTE(CriteriTecnici!$F847,CHAR(34),"'")&amp;CHAR(34)&amp;", "&amp;CHAR(34)&amp;"value"&amp;CHAR(34)&amp;": "&amp;SUBSTITUTE(TRIM(ROUND(IFERROR(CriteriTecnici!$N847*1,IFERROR(NUMBERVALUE(CriteriTecnici!$N847,".",","),IFERROR(NUMBERVALUE(CriteriTecnici!$N847,",","."),0))),4)&amp;""),",",".")&amp;", "&amp;CHAR(34)&amp;"numerator"&amp;CHAR(34)&amp;": "&amp;SUBSTITUTE(TRIM(ROUND(IFERROR(CriteriTecnici!$K847*1,IFERROR(NUMBERVALUE(CriteriTecnici!$K847,".",","),IFERROR(NUMBERVALUE(CriteriTecnici!$K847,",","."),0))),4)&amp;""),",",".")&amp;", "&amp;CHAR(34)&amp;"denominator"&amp;CHAR(34)&amp;": "&amp;SUBSTITUTE(TRIM(ROUND(IFERROR(CriteriTecnici!$L847*1,IFERROR(NUMBERVALUE(CriteriTecnici!$L847,".",","),IFERROR(NUMBERVALUE(CriteriTecnici!$L847,",","."),0))),4)&amp;""),",",".")&amp;", "&amp;CHAR(34)&amp;"flag"&amp;CHAR(34)&amp;": "&amp;SUBSTITUTE(TRIM(ROUND(IFERROR(CriteriTecnici!$M847*1,IFERROR(NUMBERVALUE(CriteriTecnici!$M847,".",","),IFERROR(NUMBERVALUE(CriteriTecnici!$M847,",","."),0))),4)&amp;""),",",".")&amp;", "&amp;CHAR(34)&amp;"rawScore"&amp;CHAR(34)&amp;": "&amp;SUBSTITUTE(TRIM(ROUND(IFERROR(CriteriTecnici!$O847*1,IFERROR(NUMBERVALUE(CriteriTecnici!$O847,".",","),IFERROR(NUMBERVALUE(CriteriTecnici!$O847,",","."),0))),4)&amp;""),",",".")&amp;CHAR(125)&amp;IF(TRUE,",",""))</f>
        <v/>
      </c>
    </row>
    <row r="949">
      <c r="A949" s="82">
        <f>IF(CriteriTecnici!$A848="","","    "&amp;CHAR(123)&amp;CHAR(34)&amp;"bidderId"&amp;CHAR(34)&amp;": "&amp;CHAR(34)&amp;SUBSTITUTE(CriteriTecnici!$A848,CHAR(34),"'")&amp;CHAR(34)&amp;", "&amp;CHAR(34)&amp;"lotId"&amp;CHAR(34)&amp;": "&amp;CHAR(34)&amp;SUBSTITUTE(CriteriTecnici!$C848,CHAR(34),"'")&amp;CHAR(34)&amp;", "&amp;CHAR(34)&amp;"criterionId"&amp;CHAR(34)&amp;": "&amp;CHAR(34)&amp;SUBSTITUTE(CriteriTecnici!$D848,CHAR(34),"'")&amp;CHAR(34)&amp;", "&amp;CHAR(34)&amp;"kind"&amp;CHAR(34)&amp;": "&amp;CHAR(34)&amp;SUBSTITUTE(CriteriTecnici!$F848,CHAR(34),"'")&amp;CHAR(34)&amp;", "&amp;CHAR(34)&amp;"value"&amp;CHAR(34)&amp;": "&amp;SUBSTITUTE(TRIM(ROUND(IFERROR(CriteriTecnici!$N848*1,IFERROR(NUMBERVALUE(CriteriTecnici!$N848,".",","),IFERROR(NUMBERVALUE(CriteriTecnici!$N848,",","."),0))),4)&amp;""),",",".")&amp;", "&amp;CHAR(34)&amp;"numerator"&amp;CHAR(34)&amp;": "&amp;SUBSTITUTE(TRIM(ROUND(IFERROR(CriteriTecnici!$K848*1,IFERROR(NUMBERVALUE(CriteriTecnici!$K848,".",","),IFERROR(NUMBERVALUE(CriteriTecnici!$K848,",","."),0))),4)&amp;""),",",".")&amp;", "&amp;CHAR(34)&amp;"denominator"&amp;CHAR(34)&amp;": "&amp;SUBSTITUTE(TRIM(ROUND(IFERROR(CriteriTecnici!$L848*1,IFERROR(NUMBERVALUE(CriteriTecnici!$L848,".",","),IFERROR(NUMBERVALUE(CriteriTecnici!$L848,",","."),0))),4)&amp;""),",",".")&amp;", "&amp;CHAR(34)&amp;"flag"&amp;CHAR(34)&amp;": "&amp;SUBSTITUTE(TRIM(ROUND(IFERROR(CriteriTecnici!$M848*1,IFERROR(NUMBERVALUE(CriteriTecnici!$M848,".",","),IFERROR(NUMBERVALUE(CriteriTecnici!$M848,",","."),0))),4)&amp;""),",",".")&amp;", "&amp;CHAR(34)&amp;"rawScore"&amp;CHAR(34)&amp;": "&amp;SUBSTITUTE(TRIM(ROUND(IFERROR(CriteriTecnici!$O848*1,IFERROR(NUMBERVALUE(CriteriTecnici!$O848,".",","),IFERROR(NUMBERVALUE(CriteriTecnici!$O848,",","."),0))),4)&amp;""),",",".")&amp;CHAR(125)&amp;IF(TRUE,",",""))</f>
        <v/>
      </c>
    </row>
    <row r="950">
      <c r="A950" s="82">
        <f>IF(CriteriTecnici!$A849="","","    "&amp;CHAR(123)&amp;CHAR(34)&amp;"bidderId"&amp;CHAR(34)&amp;": "&amp;CHAR(34)&amp;SUBSTITUTE(CriteriTecnici!$A849,CHAR(34),"'")&amp;CHAR(34)&amp;", "&amp;CHAR(34)&amp;"lotId"&amp;CHAR(34)&amp;": "&amp;CHAR(34)&amp;SUBSTITUTE(CriteriTecnici!$C849,CHAR(34),"'")&amp;CHAR(34)&amp;", "&amp;CHAR(34)&amp;"criterionId"&amp;CHAR(34)&amp;": "&amp;CHAR(34)&amp;SUBSTITUTE(CriteriTecnici!$D849,CHAR(34),"'")&amp;CHAR(34)&amp;", "&amp;CHAR(34)&amp;"kind"&amp;CHAR(34)&amp;": "&amp;CHAR(34)&amp;SUBSTITUTE(CriteriTecnici!$F849,CHAR(34),"'")&amp;CHAR(34)&amp;", "&amp;CHAR(34)&amp;"value"&amp;CHAR(34)&amp;": "&amp;SUBSTITUTE(TRIM(ROUND(IFERROR(CriteriTecnici!$N849*1,IFERROR(NUMBERVALUE(CriteriTecnici!$N849,".",","),IFERROR(NUMBERVALUE(CriteriTecnici!$N849,",","."),0))),4)&amp;""),",",".")&amp;", "&amp;CHAR(34)&amp;"numerator"&amp;CHAR(34)&amp;": "&amp;SUBSTITUTE(TRIM(ROUND(IFERROR(CriteriTecnici!$K849*1,IFERROR(NUMBERVALUE(CriteriTecnici!$K849,".",","),IFERROR(NUMBERVALUE(CriteriTecnici!$K849,",","."),0))),4)&amp;""),",",".")&amp;", "&amp;CHAR(34)&amp;"denominator"&amp;CHAR(34)&amp;": "&amp;SUBSTITUTE(TRIM(ROUND(IFERROR(CriteriTecnici!$L849*1,IFERROR(NUMBERVALUE(CriteriTecnici!$L849,".",","),IFERROR(NUMBERVALUE(CriteriTecnici!$L849,",","."),0))),4)&amp;""),",",".")&amp;", "&amp;CHAR(34)&amp;"flag"&amp;CHAR(34)&amp;": "&amp;SUBSTITUTE(TRIM(ROUND(IFERROR(CriteriTecnici!$M849*1,IFERROR(NUMBERVALUE(CriteriTecnici!$M849,".",","),IFERROR(NUMBERVALUE(CriteriTecnici!$M849,",","."),0))),4)&amp;""),",",".")&amp;", "&amp;CHAR(34)&amp;"rawScore"&amp;CHAR(34)&amp;": "&amp;SUBSTITUTE(TRIM(ROUND(IFERROR(CriteriTecnici!$O849*1,IFERROR(NUMBERVALUE(CriteriTecnici!$O849,".",","),IFERROR(NUMBERVALUE(CriteriTecnici!$O849,",","."),0))),4)&amp;""),",",".")&amp;CHAR(125)&amp;IF(TRUE,",",""))</f>
        <v/>
      </c>
    </row>
    <row r="951">
      <c r="A951" s="82">
        <f>IF(CriteriTecnici!$A850="","","    "&amp;CHAR(123)&amp;CHAR(34)&amp;"bidderId"&amp;CHAR(34)&amp;": "&amp;CHAR(34)&amp;SUBSTITUTE(CriteriTecnici!$A850,CHAR(34),"'")&amp;CHAR(34)&amp;", "&amp;CHAR(34)&amp;"lotId"&amp;CHAR(34)&amp;": "&amp;CHAR(34)&amp;SUBSTITUTE(CriteriTecnici!$C850,CHAR(34),"'")&amp;CHAR(34)&amp;", "&amp;CHAR(34)&amp;"criterionId"&amp;CHAR(34)&amp;": "&amp;CHAR(34)&amp;SUBSTITUTE(CriteriTecnici!$D850,CHAR(34),"'")&amp;CHAR(34)&amp;", "&amp;CHAR(34)&amp;"kind"&amp;CHAR(34)&amp;": "&amp;CHAR(34)&amp;SUBSTITUTE(CriteriTecnici!$F850,CHAR(34),"'")&amp;CHAR(34)&amp;", "&amp;CHAR(34)&amp;"value"&amp;CHAR(34)&amp;": "&amp;SUBSTITUTE(TRIM(ROUND(IFERROR(CriteriTecnici!$N850*1,IFERROR(NUMBERVALUE(CriteriTecnici!$N850,".",","),IFERROR(NUMBERVALUE(CriteriTecnici!$N850,",","."),0))),4)&amp;""),",",".")&amp;", "&amp;CHAR(34)&amp;"numerator"&amp;CHAR(34)&amp;": "&amp;SUBSTITUTE(TRIM(ROUND(IFERROR(CriteriTecnici!$K850*1,IFERROR(NUMBERVALUE(CriteriTecnici!$K850,".",","),IFERROR(NUMBERVALUE(CriteriTecnici!$K850,",","."),0))),4)&amp;""),",",".")&amp;", "&amp;CHAR(34)&amp;"denominator"&amp;CHAR(34)&amp;": "&amp;SUBSTITUTE(TRIM(ROUND(IFERROR(CriteriTecnici!$L850*1,IFERROR(NUMBERVALUE(CriteriTecnici!$L850,".",","),IFERROR(NUMBERVALUE(CriteriTecnici!$L850,",","."),0))),4)&amp;""),",",".")&amp;", "&amp;CHAR(34)&amp;"flag"&amp;CHAR(34)&amp;": "&amp;SUBSTITUTE(TRIM(ROUND(IFERROR(CriteriTecnici!$M850*1,IFERROR(NUMBERVALUE(CriteriTecnici!$M850,".",","),IFERROR(NUMBERVALUE(CriteriTecnici!$M850,",","."),0))),4)&amp;""),",",".")&amp;", "&amp;CHAR(34)&amp;"rawScore"&amp;CHAR(34)&amp;": "&amp;SUBSTITUTE(TRIM(ROUND(IFERROR(CriteriTecnici!$O850*1,IFERROR(NUMBERVALUE(CriteriTecnici!$O850,".",","),IFERROR(NUMBERVALUE(CriteriTecnici!$O850,",","."),0))),4)&amp;""),",",".")&amp;CHAR(125)&amp;IF(TRUE,",",""))</f>
        <v/>
      </c>
    </row>
    <row r="952">
      <c r="A952" s="82">
        <f>IF(CriteriTecnici!$A851="","","    "&amp;CHAR(123)&amp;CHAR(34)&amp;"bidderId"&amp;CHAR(34)&amp;": "&amp;CHAR(34)&amp;SUBSTITUTE(CriteriTecnici!$A851,CHAR(34),"'")&amp;CHAR(34)&amp;", "&amp;CHAR(34)&amp;"lotId"&amp;CHAR(34)&amp;": "&amp;CHAR(34)&amp;SUBSTITUTE(CriteriTecnici!$C851,CHAR(34),"'")&amp;CHAR(34)&amp;", "&amp;CHAR(34)&amp;"criterionId"&amp;CHAR(34)&amp;": "&amp;CHAR(34)&amp;SUBSTITUTE(CriteriTecnici!$D851,CHAR(34),"'")&amp;CHAR(34)&amp;", "&amp;CHAR(34)&amp;"kind"&amp;CHAR(34)&amp;": "&amp;CHAR(34)&amp;SUBSTITUTE(CriteriTecnici!$F851,CHAR(34),"'")&amp;CHAR(34)&amp;", "&amp;CHAR(34)&amp;"value"&amp;CHAR(34)&amp;": "&amp;SUBSTITUTE(TRIM(ROUND(IFERROR(CriteriTecnici!$N851*1,IFERROR(NUMBERVALUE(CriteriTecnici!$N851,".",","),IFERROR(NUMBERVALUE(CriteriTecnici!$N851,",","."),0))),4)&amp;""),",",".")&amp;", "&amp;CHAR(34)&amp;"numerator"&amp;CHAR(34)&amp;": "&amp;SUBSTITUTE(TRIM(ROUND(IFERROR(CriteriTecnici!$K851*1,IFERROR(NUMBERVALUE(CriteriTecnici!$K851,".",","),IFERROR(NUMBERVALUE(CriteriTecnici!$K851,",","."),0))),4)&amp;""),",",".")&amp;", "&amp;CHAR(34)&amp;"denominator"&amp;CHAR(34)&amp;": "&amp;SUBSTITUTE(TRIM(ROUND(IFERROR(CriteriTecnici!$L851*1,IFERROR(NUMBERVALUE(CriteriTecnici!$L851,".",","),IFERROR(NUMBERVALUE(CriteriTecnici!$L851,",","."),0))),4)&amp;""),",",".")&amp;", "&amp;CHAR(34)&amp;"flag"&amp;CHAR(34)&amp;": "&amp;SUBSTITUTE(TRIM(ROUND(IFERROR(CriteriTecnici!$M851*1,IFERROR(NUMBERVALUE(CriteriTecnici!$M851,".",","),IFERROR(NUMBERVALUE(CriteriTecnici!$M851,",","."),0))),4)&amp;""),",",".")&amp;", "&amp;CHAR(34)&amp;"rawScore"&amp;CHAR(34)&amp;": "&amp;SUBSTITUTE(TRIM(ROUND(IFERROR(CriteriTecnici!$O851*1,IFERROR(NUMBERVALUE(CriteriTecnici!$O851,".",","),IFERROR(NUMBERVALUE(CriteriTecnici!$O851,",","."),0))),4)&amp;""),",",".")&amp;CHAR(125)&amp;IF(TRUE,",",""))</f>
        <v/>
      </c>
    </row>
    <row r="953">
      <c r="A953" s="82">
        <f>IF(CriteriTecnici!$A852="","","    "&amp;CHAR(123)&amp;CHAR(34)&amp;"bidderId"&amp;CHAR(34)&amp;": "&amp;CHAR(34)&amp;SUBSTITUTE(CriteriTecnici!$A852,CHAR(34),"'")&amp;CHAR(34)&amp;", "&amp;CHAR(34)&amp;"lotId"&amp;CHAR(34)&amp;": "&amp;CHAR(34)&amp;SUBSTITUTE(CriteriTecnici!$C852,CHAR(34),"'")&amp;CHAR(34)&amp;", "&amp;CHAR(34)&amp;"criterionId"&amp;CHAR(34)&amp;": "&amp;CHAR(34)&amp;SUBSTITUTE(CriteriTecnici!$D852,CHAR(34),"'")&amp;CHAR(34)&amp;", "&amp;CHAR(34)&amp;"kind"&amp;CHAR(34)&amp;": "&amp;CHAR(34)&amp;SUBSTITUTE(CriteriTecnici!$F852,CHAR(34),"'")&amp;CHAR(34)&amp;", "&amp;CHAR(34)&amp;"value"&amp;CHAR(34)&amp;": "&amp;SUBSTITUTE(TRIM(ROUND(IFERROR(CriteriTecnici!$N852*1,IFERROR(NUMBERVALUE(CriteriTecnici!$N852,".",","),IFERROR(NUMBERVALUE(CriteriTecnici!$N852,",","."),0))),4)&amp;""),",",".")&amp;", "&amp;CHAR(34)&amp;"numerator"&amp;CHAR(34)&amp;": "&amp;SUBSTITUTE(TRIM(ROUND(IFERROR(CriteriTecnici!$K852*1,IFERROR(NUMBERVALUE(CriteriTecnici!$K852,".",","),IFERROR(NUMBERVALUE(CriteriTecnici!$K852,",","."),0))),4)&amp;""),",",".")&amp;", "&amp;CHAR(34)&amp;"denominator"&amp;CHAR(34)&amp;": "&amp;SUBSTITUTE(TRIM(ROUND(IFERROR(CriteriTecnici!$L852*1,IFERROR(NUMBERVALUE(CriteriTecnici!$L852,".",","),IFERROR(NUMBERVALUE(CriteriTecnici!$L852,",","."),0))),4)&amp;""),",",".")&amp;", "&amp;CHAR(34)&amp;"flag"&amp;CHAR(34)&amp;": "&amp;SUBSTITUTE(TRIM(ROUND(IFERROR(CriteriTecnici!$M852*1,IFERROR(NUMBERVALUE(CriteriTecnici!$M852,".",","),IFERROR(NUMBERVALUE(CriteriTecnici!$M852,",","."),0))),4)&amp;""),",",".")&amp;", "&amp;CHAR(34)&amp;"rawScore"&amp;CHAR(34)&amp;": "&amp;SUBSTITUTE(TRIM(ROUND(IFERROR(CriteriTecnici!$O852*1,IFERROR(NUMBERVALUE(CriteriTecnici!$O852,".",","),IFERROR(NUMBERVALUE(CriteriTecnici!$O852,",","."),0))),4)&amp;""),",",".")&amp;CHAR(125)&amp;IF(TRUE,",",""))</f>
        <v/>
      </c>
    </row>
    <row r="954">
      <c r="A954" s="82">
        <f>IF(CriteriTecnici!$A853="","","    "&amp;CHAR(123)&amp;CHAR(34)&amp;"bidderId"&amp;CHAR(34)&amp;": "&amp;CHAR(34)&amp;SUBSTITUTE(CriteriTecnici!$A853,CHAR(34),"'")&amp;CHAR(34)&amp;", "&amp;CHAR(34)&amp;"lotId"&amp;CHAR(34)&amp;": "&amp;CHAR(34)&amp;SUBSTITUTE(CriteriTecnici!$C853,CHAR(34),"'")&amp;CHAR(34)&amp;", "&amp;CHAR(34)&amp;"criterionId"&amp;CHAR(34)&amp;": "&amp;CHAR(34)&amp;SUBSTITUTE(CriteriTecnici!$D853,CHAR(34),"'")&amp;CHAR(34)&amp;", "&amp;CHAR(34)&amp;"kind"&amp;CHAR(34)&amp;": "&amp;CHAR(34)&amp;SUBSTITUTE(CriteriTecnici!$F853,CHAR(34),"'")&amp;CHAR(34)&amp;", "&amp;CHAR(34)&amp;"value"&amp;CHAR(34)&amp;": "&amp;SUBSTITUTE(TRIM(ROUND(IFERROR(CriteriTecnici!$N853*1,IFERROR(NUMBERVALUE(CriteriTecnici!$N853,".",","),IFERROR(NUMBERVALUE(CriteriTecnici!$N853,",","."),0))),4)&amp;""),",",".")&amp;", "&amp;CHAR(34)&amp;"numerator"&amp;CHAR(34)&amp;": "&amp;SUBSTITUTE(TRIM(ROUND(IFERROR(CriteriTecnici!$K853*1,IFERROR(NUMBERVALUE(CriteriTecnici!$K853,".",","),IFERROR(NUMBERVALUE(CriteriTecnici!$K853,",","."),0))),4)&amp;""),",",".")&amp;", "&amp;CHAR(34)&amp;"denominator"&amp;CHAR(34)&amp;": "&amp;SUBSTITUTE(TRIM(ROUND(IFERROR(CriteriTecnici!$L853*1,IFERROR(NUMBERVALUE(CriteriTecnici!$L853,".",","),IFERROR(NUMBERVALUE(CriteriTecnici!$L853,",","."),0))),4)&amp;""),",",".")&amp;", "&amp;CHAR(34)&amp;"flag"&amp;CHAR(34)&amp;": "&amp;SUBSTITUTE(TRIM(ROUND(IFERROR(CriteriTecnici!$M853*1,IFERROR(NUMBERVALUE(CriteriTecnici!$M853,".",","),IFERROR(NUMBERVALUE(CriteriTecnici!$M853,",","."),0))),4)&amp;""),",",".")&amp;", "&amp;CHAR(34)&amp;"rawScore"&amp;CHAR(34)&amp;": "&amp;SUBSTITUTE(TRIM(ROUND(IFERROR(CriteriTecnici!$O853*1,IFERROR(NUMBERVALUE(CriteriTecnici!$O853,".",","),IFERROR(NUMBERVALUE(CriteriTecnici!$O853,",","."),0))),4)&amp;""),",",".")&amp;CHAR(125)&amp;IF(TRUE,",",""))</f>
        <v/>
      </c>
    </row>
    <row r="955">
      <c r="A955" s="82">
        <f>IF(CriteriTecnici!$A854="","","    "&amp;CHAR(123)&amp;CHAR(34)&amp;"bidderId"&amp;CHAR(34)&amp;": "&amp;CHAR(34)&amp;SUBSTITUTE(CriteriTecnici!$A854,CHAR(34),"'")&amp;CHAR(34)&amp;", "&amp;CHAR(34)&amp;"lotId"&amp;CHAR(34)&amp;": "&amp;CHAR(34)&amp;SUBSTITUTE(CriteriTecnici!$C854,CHAR(34),"'")&amp;CHAR(34)&amp;", "&amp;CHAR(34)&amp;"criterionId"&amp;CHAR(34)&amp;": "&amp;CHAR(34)&amp;SUBSTITUTE(CriteriTecnici!$D854,CHAR(34),"'")&amp;CHAR(34)&amp;", "&amp;CHAR(34)&amp;"kind"&amp;CHAR(34)&amp;": "&amp;CHAR(34)&amp;SUBSTITUTE(CriteriTecnici!$F854,CHAR(34),"'")&amp;CHAR(34)&amp;", "&amp;CHAR(34)&amp;"value"&amp;CHAR(34)&amp;": "&amp;SUBSTITUTE(TRIM(ROUND(IFERROR(CriteriTecnici!$N854*1,IFERROR(NUMBERVALUE(CriteriTecnici!$N854,".",","),IFERROR(NUMBERVALUE(CriteriTecnici!$N854,",","."),0))),4)&amp;""),",",".")&amp;", "&amp;CHAR(34)&amp;"numerator"&amp;CHAR(34)&amp;": "&amp;SUBSTITUTE(TRIM(ROUND(IFERROR(CriteriTecnici!$K854*1,IFERROR(NUMBERVALUE(CriteriTecnici!$K854,".",","),IFERROR(NUMBERVALUE(CriteriTecnici!$K854,",","."),0))),4)&amp;""),",",".")&amp;", "&amp;CHAR(34)&amp;"denominator"&amp;CHAR(34)&amp;": "&amp;SUBSTITUTE(TRIM(ROUND(IFERROR(CriteriTecnici!$L854*1,IFERROR(NUMBERVALUE(CriteriTecnici!$L854,".",","),IFERROR(NUMBERVALUE(CriteriTecnici!$L854,",","."),0))),4)&amp;""),",",".")&amp;", "&amp;CHAR(34)&amp;"flag"&amp;CHAR(34)&amp;": "&amp;SUBSTITUTE(TRIM(ROUND(IFERROR(CriteriTecnici!$M854*1,IFERROR(NUMBERVALUE(CriteriTecnici!$M854,".",","),IFERROR(NUMBERVALUE(CriteriTecnici!$M854,",","."),0))),4)&amp;""),",",".")&amp;", "&amp;CHAR(34)&amp;"rawScore"&amp;CHAR(34)&amp;": "&amp;SUBSTITUTE(TRIM(ROUND(IFERROR(CriteriTecnici!$O854*1,IFERROR(NUMBERVALUE(CriteriTecnici!$O854,".",","),IFERROR(NUMBERVALUE(CriteriTecnici!$O854,",","."),0))),4)&amp;""),",",".")&amp;CHAR(125)&amp;IF(TRUE,",",""))</f>
        <v/>
      </c>
    </row>
    <row r="956">
      <c r="A956" s="82">
        <f>IF(CriteriTecnici!$A855="","","    "&amp;CHAR(123)&amp;CHAR(34)&amp;"bidderId"&amp;CHAR(34)&amp;": "&amp;CHAR(34)&amp;SUBSTITUTE(CriteriTecnici!$A855,CHAR(34),"'")&amp;CHAR(34)&amp;", "&amp;CHAR(34)&amp;"lotId"&amp;CHAR(34)&amp;": "&amp;CHAR(34)&amp;SUBSTITUTE(CriteriTecnici!$C855,CHAR(34),"'")&amp;CHAR(34)&amp;", "&amp;CHAR(34)&amp;"criterionId"&amp;CHAR(34)&amp;": "&amp;CHAR(34)&amp;SUBSTITUTE(CriteriTecnici!$D855,CHAR(34),"'")&amp;CHAR(34)&amp;", "&amp;CHAR(34)&amp;"kind"&amp;CHAR(34)&amp;": "&amp;CHAR(34)&amp;SUBSTITUTE(CriteriTecnici!$F855,CHAR(34),"'")&amp;CHAR(34)&amp;", "&amp;CHAR(34)&amp;"value"&amp;CHAR(34)&amp;": "&amp;SUBSTITUTE(TRIM(ROUND(IFERROR(CriteriTecnici!$N855*1,IFERROR(NUMBERVALUE(CriteriTecnici!$N855,".",","),IFERROR(NUMBERVALUE(CriteriTecnici!$N855,",","."),0))),4)&amp;""),",",".")&amp;", "&amp;CHAR(34)&amp;"numerator"&amp;CHAR(34)&amp;": "&amp;SUBSTITUTE(TRIM(ROUND(IFERROR(CriteriTecnici!$K855*1,IFERROR(NUMBERVALUE(CriteriTecnici!$K855,".",","),IFERROR(NUMBERVALUE(CriteriTecnici!$K855,",","."),0))),4)&amp;""),",",".")&amp;", "&amp;CHAR(34)&amp;"denominator"&amp;CHAR(34)&amp;": "&amp;SUBSTITUTE(TRIM(ROUND(IFERROR(CriteriTecnici!$L855*1,IFERROR(NUMBERVALUE(CriteriTecnici!$L855,".",","),IFERROR(NUMBERVALUE(CriteriTecnici!$L855,",","."),0))),4)&amp;""),",",".")&amp;", "&amp;CHAR(34)&amp;"flag"&amp;CHAR(34)&amp;": "&amp;SUBSTITUTE(TRIM(ROUND(IFERROR(CriteriTecnici!$M855*1,IFERROR(NUMBERVALUE(CriteriTecnici!$M855,".",","),IFERROR(NUMBERVALUE(CriteriTecnici!$M855,",","."),0))),4)&amp;""),",",".")&amp;", "&amp;CHAR(34)&amp;"rawScore"&amp;CHAR(34)&amp;": "&amp;SUBSTITUTE(TRIM(ROUND(IFERROR(CriteriTecnici!$O855*1,IFERROR(NUMBERVALUE(CriteriTecnici!$O855,".",","),IFERROR(NUMBERVALUE(CriteriTecnici!$O855,",","."),0))),4)&amp;""),",",".")&amp;CHAR(125)&amp;IF(TRUE,",",""))</f>
        <v/>
      </c>
    </row>
    <row r="957">
      <c r="A957" s="82">
        <f>IF(CriteriTecnici!$A856="","","    "&amp;CHAR(123)&amp;CHAR(34)&amp;"bidderId"&amp;CHAR(34)&amp;": "&amp;CHAR(34)&amp;SUBSTITUTE(CriteriTecnici!$A856,CHAR(34),"'")&amp;CHAR(34)&amp;", "&amp;CHAR(34)&amp;"lotId"&amp;CHAR(34)&amp;": "&amp;CHAR(34)&amp;SUBSTITUTE(CriteriTecnici!$C856,CHAR(34),"'")&amp;CHAR(34)&amp;", "&amp;CHAR(34)&amp;"criterionId"&amp;CHAR(34)&amp;": "&amp;CHAR(34)&amp;SUBSTITUTE(CriteriTecnici!$D856,CHAR(34),"'")&amp;CHAR(34)&amp;", "&amp;CHAR(34)&amp;"kind"&amp;CHAR(34)&amp;": "&amp;CHAR(34)&amp;SUBSTITUTE(CriteriTecnici!$F856,CHAR(34),"'")&amp;CHAR(34)&amp;", "&amp;CHAR(34)&amp;"value"&amp;CHAR(34)&amp;": "&amp;SUBSTITUTE(TRIM(ROUND(IFERROR(CriteriTecnici!$N856*1,IFERROR(NUMBERVALUE(CriteriTecnici!$N856,".",","),IFERROR(NUMBERVALUE(CriteriTecnici!$N856,",","."),0))),4)&amp;""),",",".")&amp;", "&amp;CHAR(34)&amp;"numerator"&amp;CHAR(34)&amp;": "&amp;SUBSTITUTE(TRIM(ROUND(IFERROR(CriteriTecnici!$K856*1,IFERROR(NUMBERVALUE(CriteriTecnici!$K856,".",","),IFERROR(NUMBERVALUE(CriteriTecnici!$K856,",","."),0))),4)&amp;""),",",".")&amp;", "&amp;CHAR(34)&amp;"denominator"&amp;CHAR(34)&amp;": "&amp;SUBSTITUTE(TRIM(ROUND(IFERROR(CriteriTecnici!$L856*1,IFERROR(NUMBERVALUE(CriteriTecnici!$L856,".",","),IFERROR(NUMBERVALUE(CriteriTecnici!$L856,",","."),0))),4)&amp;""),",",".")&amp;", "&amp;CHAR(34)&amp;"flag"&amp;CHAR(34)&amp;": "&amp;SUBSTITUTE(TRIM(ROUND(IFERROR(CriteriTecnici!$M856*1,IFERROR(NUMBERVALUE(CriteriTecnici!$M856,".",","),IFERROR(NUMBERVALUE(CriteriTecnici!$M856,",","."),0))),4)&amp;""),",",".")&amp;", "&amp;CHAR(34)&amp;"rawScore"&amp;CHAR(34)&amp;": "&amp;SUBSTITUTE(TRIM(ROUND(IFERROR(CriteriTecnici!$O856*1,IFERROR(NUMBERVALUE(CriteriTecnici!$O856,".",","),IFERROR(NUMBERVALUE(CriteriTecnici!$O856,",","."),0))),4)&amp;""),",",".")&amp;CHAR(125)&amp;IF(TRUE,",",""))</f>
        <v/>
      </c>
    </row>
    <row r="958">
      <c r="A958" s="82">
        <f>IF(CriteriTecnici!$A857="","","    "&amp;CHAR(123)&amp;CHAR(34)&amp;"bidderId"&amp;CHAR(34)&amp;": "&amp;CHAR(34)&amp;SUBSTITUTE(CriteriTecnici!$A857,CHAR(34),"'")&amp;CHAR(34)&amp;", "&amp;CHAR(34)&amp;"lotId"&amp;CHAR(34)&amp;": "&amp;CHAR(34)&amp;SUBSTITUTE(CriteriTecnici!$C857,CHAR(34),"'")&amp;CHAR(34)&amp;", "&amp;CHAR(34)&amp;"criterionId"&amp;CHAR(34)&amp;": "&amp;CHAR(34)&amp;SUBSTITUTE(CriteriTecnici!$D857,CHAR(34),"'")&amp;CHAR(34)&amp;", "&amp;CHAR(34)&amp;"kind"&amp;CHAR(34)&amp;": "&amp;CHAR(34)&amp;SUBSTITUTE(CriteriTecnici!$F857,CHAR(34),"'")&amp;CHAR(34)&amp;", "&amp;CHAR(34)&amp;"value"&amp;CHAR(34)&amp;": "&amp;SUBSTITUTE(TRIM(ROUND(IFERROR(CriteriTecnici!$N857*1,IFERROR(NUMBERVALUE(CriteriTecnici!$N857,".",","),IFERROR(NUMBERVALUE(CriteriTecnici!$N857,",","."),0))),4)&amp;""),",",".")&amp;", "&amp;CHAR(34)&amp;"numerator"&amp;CHAR(34)&amp;": "&amp;SUBSTITUTE(TRIM(ROUND(IFERROR(CriteriTecnici!$K857*1,IFERROR(NUMBERVALUE(CriteriTecnici!$K857,".",","),IFERROR(NUMBERVALUE(CriteriTecnici!$K857,",","."),0))),4)&amp;""),",",".")&amp;", "&amp;CHAR(34)&amp;"denominator"&amp;CHAR(34)&amp;": "&amp;SUBSTITUTE(TRIM(ROUND(IFERROR(CriteriTecnici!$L857*1,IFERROR(NUMBERVALUE(CriteriTecnici!$L857,".",","),IFERROR(NUMBERVALUE(CriteriTecnici!$L857,",","."),0))),4)&amp;""),",",".")&amp;", "&amp;CHAR(34)&amp;"flag"&amp;CHAR(34)&amp;": "&amp;SUBSTITUTE(TRIM(ROUND(IFERROR(CriteriTecnici!$M857*1,IFERROR(NUMBERVALUE(CriteriTecnici!$M857,".",","),IFERROR(NUMBERVALUE(CriteriTecnici!$M857,",","."),0))),4)&amp;""),",",".")&amp;", "&amp;CHAR(34)&amp;"rawScore"&amp;CHAR(34)&amp;": "&amp;SUBSTITUTE(TRIM(ROUND(IFERROR(CriteriTecnici!$O857*1,IFERROR(NUMBERVALUE(CriteriTecnici!$O857,".",","),IFERROR(NUMBERVALUE(CriteriTecnici!$O857,",","."),0))),4)&amp;""),",",".")&amp;CHAR(125)&amp;IF(TRUE,",",""))</f>
        <v/>
      </c>
    </row>
    <row r="959">
      <c r="A959" s="82">
        <f>IF(CriteriTecnici!$A858="","","    "&amp;CHAR(123)&amp;CHAR(34)&amp;"bidderId"&amp;CHAR(34)&amp;": "&amp;CHAR(34)&amp;SUBSTITUTE(CriteriTecnici!$A858,CHAR(34),"'")&amp;CHAR(34)&amp;", "&amp;CHAR(34)&amp;"lotId"&amp;CHAR(34)&amp;": "&amp;CHAR(34)&amp;SUBSTITUTE(CriteriTecnici!$C858,CHAR(34),"'")&amp;CHAR(34)&amp;", "&amp;CHAR(34)&amp;"criterionId"&amp;CHAR(34)&amp;": "&amp;CHAR(34)&amp;SUBSTITUTE(CriteriTecnici!$D858,CHAR(34),"'")&amp;CHAR(34)&amp;", "&amp;CHAR(34)&amp;"kind"&amp;CHAR(34)&amp;": "&amp;CHAR(34)&amp;SUBSTITUTE(CriteriTecnici!$F858,CHAR(34),"'")&amp;CHAR(34)&amp;", "&amp;CHAR(34)&amp;"value"&amp;CHAR(34)&amp;": "&amp;SUBSTITUTE(TRIM(ROUND(IFERROR(CriteriTecnici!$N858*1,IFERROR(NUMBERVALUE(CriteriTecnici!$N858,".",","),IFERROR(NUMBERVALUE(CriteriTecnici!$N858,",","."),0))),4)&amp;""),",",".")&amp;", "&amp;CHAR(34)&amp;"numerator"&amp;CHAR(34)&amp;": "&amp;SUBSTITUTE(TRIM(ROUND(IFERROR(CriteriTecnici!$K858*1,IFERROR(NUMBERVALUE(CriteriTecnici!$K858,".",","),IFERROR(NUMBERVALUE(CriteriTecnici!$K858,",","."),0))),4)&amp;""),",",".")&amp;", "&amp;CHAR(34)&amp;"denominator"&amp;CHAR(34)&amp;": "&amp;SUBSTITUTE(TRIM(ROUND(IFERROR(CriteriTecnici!$L858*1,IFERROR(NUMBERVALUE(CriteriTecnici!$L858,".",","),IFERROR(NUMBERVALUE(CriteriTecnici!$L858,",","."),0))),4)&amp;""),",",".")&amp;", "&amp;CHAR(34)&amp;"flag"&amp;CHAR(34)&amp;": "&amp;SUBSTITUTE(TRIM(ROUND(IFERROR(CriteriTecnici!$M858*1,IFERROR(NUMBERVALUE(CriteriTecnici!$M858,".",","),IFERROR(NUMBERVALUE(CriteriTecnici!$M858,",","."),0))),4)&amp;""),",",".")&amp;", "&amp;CHAR(34)&amp;"rawScore"&amp;CHAR(34)&amp;": "&amp;SUBSTITUTE(TRIM(ROUND(IFERROR(CriteriTecnici!$O858*1,IFERROR(NUMBERVALUE(CriteriTecnici!$O858,".",","),IFERROR(NUMBERVALUE(CriteriTecnici!$O858,",","."),0))),4)&amp;""),",",".")&amp;CHAR(125)&amp;IF(TRUE,",",""))</f>
        <v/>
      </c>
    </row>
    <row r="960">
      <c r="A960" s="82">
        <f>IF(CriteriTecnici!$A859="","","    "&amp;CHAR(123)&amp;CHAR(34)&amp;"bidderId"&amp;CHAR(34)&amp;": "&amp;CHAR(34)&amp;SUBSTITUTE(CriteriTecnici!$A859,CHAR(34),"'")&amp;CHAR(34)&amp;", "&amp;CHAR(34)&amp;"lotId"&amp;CHAR(34)&amp;": "&amp;CHAR(34)&amp;SUBSTITUTE(CriteriTecnici!$C859,CHAR(34),"'")&amp;CHAR(34)&amp;", "&amp;CHAR(34)&amp;"criterionId"&amp;CHAR(34)&amp;": "&amp;CHAR(34)&amp;SUBSTITUTE(CriteriTecnici!$D859,CHAR(34),"'")&amp;CHAR(34)&amp;", "&amp;CHAR(34)&amp;"kind"&amp;CHAR(34)&amp;": "&amp;CHAR(34)&amp;SUBSTITUTE(CriteriTecnici!$F859,CHAR(34),"'")&amp;CHAR(34)&amp;", "&amp;CHAR(34)&amp;"value"&amp;CHAR(34)&amp;": "&amp;SUBSTITUTE(TRIM(ROUND(IFERROR(CriteriTecnici!$N859*1,IFERROR(NUMBERVALUE(CriteriTecnici!$N859,".",","),IFERROR(NUMBERVALUE(CriteriTecnici!$N859,",","."),0))),4)&amp;""),",",".")&amp;", "&amp;CHAR(34)&amp;"numerator"&amp;CHAR(34)&amp;": "&amp;SUBSTITUTE(TRIM(ROUND(IFERROR(CriteriTecnici!$K859*1,IFERROR(NUMBERVALUE(CriteriTecnici!$K859,".",","),IFERROR(NUMBERVALUE(CriteriTecnici!$K859,",","."),0))),4)&amp;""),",",".")&amp;", "&amp;CHAR(34)&amp;"denominator"&amp;CHAR(34)&amp;": "&amp;SUBSTITUTE(TRIM(ROUND(IFERROR(CriteriTecnici!$L859*1,IFERROR(NUMBERVALUE(CriteriTecnici!$L859,".",","),IFERROR(NUMBERVALUE(CriteriTecnici!$L859,",","."),0))),4)&amp;""),",",".")&amp;", "&amp;CHAR(34)&amp;"flag"&amp;CHAR(34)&amp;": "&amp;SUBSTITUTE(TRIM(ROUND(IFERROR(CriteriTecnici!$M859*1,IFERROR(NUMBERVALUE(CriteriTecnici!$M859,".",","),IFERROR(NUMBERVALUE(CriteriTecnici!$M859,",","."),0))),4)&amp;""),",",".")&amp;", "&amp;CHAR(34)&amp;"rawScore"&amp;CHAR(34)&amp;": "&amp;SUBSTITUTE(TRIM(ROUND(IFERROR(CriteriTecnici!$O859*1,IFERROR(NUMBERVALUE(CriteriTecnici!$O859,".",","),IFERROR(NUMBERVALUE(CriteriTecnici!$O859,",","."),0))),4)&amp;""),",",".")&amp;CHAR(125)&amp;IF(TRUE,",",""))</f>
        <v/>
      </c>
    </row>
    <row r="961">
      <c r="A961" s="82">
        <f>IF(CriteriTecnici!$A860="","","    "&amp;CHAR(123)&amp;CHAR(34)&amp;"bidderId"&amp;CHAR(34)&amp;": "&amp;CHAR(34)&amp;SUBSTITUTE(CriteriTecnici!$A860,CHAR(34),"'")&amp;CHAR(34)&amp;", "&amp;CHAR(34)&amp;"lotId"&amp;CHAR(34)&amp;": "&amp;CHAR(34)&amp;SUBSTITUTE(CriteriTecnici!$C860,CHAR(34),"'")&amp;CHAR(34)&amp;", "&amp;CHAR(34)&amp;"criterionId"&amp;CHAR(34)&amp;": "&amp;CHAR(34)&amp;SUBSTITUTE(CriteriTecnici!$D860,CHAR(34),"'")&amp;CHAR(34)&amp;", "&amp;CHAR(34)&amp;"kind"&amp;CHAR(34)&amp;": "&amp;CHAR(34)&amp;SUBSTITUTE(CriteriTecnici!$F860,CHAR(34),"'")&amp;CHAR(34)&amp;", "&amp;CHAR(34)&amp;"value"&amp;CHAR(34)&amp;": "&amp;SUBSTITUTE(TRIM(ROUND(IFERROR(CriteriTecnici!$N860*1,IFERROR(NUMBERVALUE(CriteriTecnici!$N860,".",","),IFERROR(NUMBERVALUE(CriteriTecnici!$N860,",","."),0))),4)&amp;""),",",".")&amp;", "&amp;CHAR(34)&amp;"numerator"&amp;CHAR(34)&amp;": "&amp;SUBSTITUTE(TRIM(ROUND(IFERROR(CriteriTecnici!$K860*1,IFERROR(NUMBERVALUE(CriteriTecnici!$K860,".",","),IFERROR(NUMBERVALUE(CriteriTecnici!$K860,",","."),0))),4)&amp;""),",",".")&amp;", "&amp;CHAR(34)&amp;"denominator"&amp;CHAR(34)&amp;": "&amp;SUBSTITUTE(TRIM(ROUND(IFERROR(CriteriTecnici!$L860*1,IFERROR(NUMBERVALUE(CriteriTecnici!$L860,".",","),IFERROR(NUMBERVALUE(CriteriTecnici!$L860,",","."),0))),4)&amp;""),",",".")&amp;", "&amp;CHAR(34)&amp;"flag"&amp;CHAR(34)&amp;": "&amp;SUBSTITUTE(TRIM(ROUND(IFERROR(CriteriTecnici!$M860*1,IFERROR(NUMBERVALUE(CriteriTecnici!$M860,".",","),IFERROR(NUMBERVALUE(CriteriTecnici!$M860,",","."),0))),4)&amp;""),",",".")&amp;", "&amp;CHAR(34)&amp;"rawScore"&amp;CHAR(34)&amp;": "&amp;SUBSTITUTE(TRIM(ROUND(IFERROR(CriteriTecnici!$O860*1,IFERROR(NUMBERVALUE(CriteriTecnici!$O860,".",","),IFERROR(NUMBERVALUE(CriteriTecnici!$O860,",","."),0))),4)&amp;""),",",".")&amp;CHAR(125)&amp;IF(TRUE,",",""))</f>
        <v/>
      </c>
    </row>
    <row r="962">
      <c r="A962" s="82">
        <f>IF(CriteriTecnici!$A861="","","    "&amp;CHAR(123)&amp;CHAR(34)&amp;"bidderId"&amp;CHAR(34)&amp;": "&amp;CHAR(34)&amp;SUBSTITUTE(CriteriTecnici!$A861,CHAR(34),"'")&amp;CHAR(34)&amp;", "&amp;CHAR(34)&amp;"lotId"&amp;CHAR(34)&amp;": "&amp;CHAR(34)&amp;SUBSTITUTE(CriteriTecnici!$C861,CHAR(34),"'")&amp;CHAR(34)&amp;", "&amp;CHAR(34)&amp;"criterionId"&amp;CHAR(34)&amp;": "&amp;CHAR(34)&amp;SUBSTITUTE(CriteriTecnici!$D861,CHAR(34),"'")&amp;CHAR(34)&amp;", "&amp;CHAR(34)&amp;"kind"&amp;CHAR(34)&amp;": "&amp;CHAR(34)&amp;SUBSTITUTE(CriteriTecnici!$F861,CHAR(34),"'")&amp;CHAR(34)&amp;", "&amp;CHAR(34)&amp;"value"&amp;CHAR(34)&amp;": "&amp;SUBSTITUTE(TRIM(ROUND(IFERROR(CriteriTecnici!$N861*1,IFERROR(NUMBERVALUE(CriteriTecnici!$N861,".",","),IFERROR(NUMBERVALUE(CriteriTecnici!$N861,",","."),0))),4)&amp;""),",",".")&amp;", "&amp;CHAR(34)&amp;"numerator"&amp;CHAR(34)&amp;": "&amp;SUBSTITUTE(TRIM(ROUND(IFERROR(CriteriTecnici!$K861*1,IFERROR(NUMBERVALUE(CriteriTecnici!$K861,".",","),IFERROR(NUMBERVALUE(CriteriTecnici!$K861,",","."),0))),4)&amp;""),",",".")&amp;", "&amp;CHAR(34)&amp;"denominator"&amp;CHAR(34)&amp;": "&amp;SUBSTITUTE(TRIM(ROUND(IFERROR(CriteriTecnici!$L861*1,IFERROR(NUMBERVALUE(CriteriTecnici!$L861,".",","),IFERROR(NUMBERVALUE(CriteriTecnici!$L861,",","."),0))),4)&amp;""),",",".")&amp;", "&amp;CHAR(34)&amp;"flag"&amp;CHAR(34)&amp;": "&amp;SUBSTITUTE(TRIM(ROUND(IFERROR(CriteriTecnici!$M861*1,IFERROR(NUMBERVALUE(CriteriTecnici!$M861,".",","),IFERROR(NUMBERVALUE(CriteriTecnici!$M861,",","."),0))),4)&amp;""),",",".")&amp;", "&amp;CHAR(34)&amp;"rawScore"&amp;CHAR(34)&amp;": "&amp;SUBSTITUTE(TRIM(ROUND(IFERROR(CriteriTecnici!$O861*1,IFERROR(NUMBERVALUE(CriteriTecnici!$O861,".",","),IFERROR(NUMBERVALUE(CriteriTecnici!$O861,",","."),0))),4)&amp;""),",",".")&amp;CHAR(125)&amp;IF(TRUE,",",""))</f>
        <v/>
      </c>
    </row>
    <row r="963">
      <c r="A963" s="82">
        <f>IF(CriteriTecnici!$A862="","","    "&amp;CHAR(123)&amp;CHAR(34)&amp;"bidderId"&amp;CHAR(34)&amp;": "&amp;CHAR(34)&amp;SUBSTITUTE(CriteriTecnici!$A862,CHAR(34),"'")&amp;CHAR(34)&amp;", "&amp;CHAR(34)&amp;"lotId"&amp;CHAR(34)&amp;": "&amp;CHAR(34)&amp;SUBSTITUTE(CriteriTecnici!$C862,CHAR(34),"'")&amp;CHAR(34)&amp;", "&amp;CHAR(34)&amp;"criterionId"&amp;CHAR(34)&amp;": "&amp;CHAR(34)&amp;SUBSTITUTE(CriteriTecnici!$D862,CHAR(34),"'")&amp;CHAR(34)&amp;", "&amp;CHAR(34)&amp;"kind"&amp;CHAR(34)&amp;": "&amp;CHAR(34)&amp;SUBSTITUTE(CriteriTecnici!$F862,CHAR(34),"'")&amp;CHAR(34)&amp;", "&amp;CHAR(34)&amp;"value"&amp;CHAR(34)&amp;": "&amp;SUBSTITUTE(TRIM(ROUND(IFERROR(CriteriTecnici!$N862*1,IFERROR(NUMBERVALUE(CriteriTecnici!$N862,".",","),IFERROR(NUMBERVALUE(CriteriTecnici!$N862,",","."),0))),4)&amp;""),",",".")&amp;", "&amp;CHAR(34)&amp;"numerator"&amp;CHAR(34)&amp;": "&amp;SUBSTITUTE(TRIM(ROUND(IFERROR(CriteriTecnici!$K862*1,IFERROR(NUMBERVALUE(CriteriTecnici!$K862,".",","),IFERROR(NUMBERVALUE(CriteriTecnici!$K862,",","."),0))),4)&amp;""),",",".")&amp;", "&amp;CHAR(34)&amp;"denominator"&amp;CHAR(34)&amp;": "&amp;SUBSTITUTE(TRIM(ROUND(IFERROR(CriteriTecnici!$L862*1,IFERROR(NUMBERVALUE(CriteriTecnici!$L862,".",","),IFERROR(NUMBERVALUE(CriteriTecnici!$L862,",","."),0))),4)&amp;""),",",".")&amp;", "&amp;CHAR(34)&amp;"flag"&amp;CHAR(34)&amp;": "&amp;SUBSTITUTE(TRIM(ROUND(IFERROR(CriteriTecnici!$M862*1,IFERROR(NUMBERVALUE(CriteriTecnici!$M862,".",","),IFERROR(NUMBERVALUE(CriteriTecnici!$M862,",","."),0))),4)&amp;""),",",".")&amp;", "&amp;CHAR(34)&amp;"rawScore"&amp;CHAR(34)&amp;": "&amp;SUBSTITUTE(TRIM(ROUND(IFERROR(CriteriTecnici!$O862*1,IFERROR(NUMBERVALUE(CriteriTecnici!$O862,".",","),IFERROR(NUMBERVALUE(CriteriTecnici!$O862,",","."),0))),4)&amp;""),",",".")&amp;CHAR(125)&amp;IF(TRUE,",",""))</f>
        <v/>
      </c>
    </row>
    <row r="964">
      <c r="A964" s="82">
        <f>IF(CriteriTecnici!$A863="","","    "&amp;CHAR(123)&amp;CHAR(34)&amp;"bidderId"&amp;CHAR(34)&amp;": "&amp;CHAR(34)&amp;SUBSTITUTE(CriteriTecnici!$A863,CHAR(34),"'")&amp;CHAR(34)&amp;", "&amp;CHAR(34)&amp;"lotId"&amp;CHAR(34)&amp;": "&amp;CHAR(34)&amp;SUBSTITUTE(CriteriTecnici!$C863,CHAR(34),"'")&amp;CHAR(34)&amp;", "&amp;CHAR(34)&amp;"criterionId"&amp;CHAR(34)&amp;": "&amp;CHAR(34)&amp;SUBSTITUTE(CriteriTecnici!$D863,CHAR(34),"'")&amp;CHAR(34)&amp;", "&amp;CHAR(34)&amp;"kind"&amp;CHAR(34)&amp;": "&amp;CHAR(34)&amp;SUBSTITUTE(CriteriTecnici!$F863,CHAR(34),"'")&amp;CHAR(34)&amp;", "&amp;CHAR(34)&amp;"value"&amp;CHAR(34)&amp;": "&amp;SUBSTITUTE(TRIM(ROUND(IFERROR(CriteriTecnici!$N863*1,IFERROR(NUMBERVALUE(CriteriTecnici!$N863,".",","),IFERROR(NUMBERVALUE(CriteriTecnici!$N863,",","."),0))),4)&amp;""),",",".")&amp;", "&amp;CHAR(34)&amp;"numerator"&amp;CHAR(34)&amp;": "&amp;SUBSTITUTE(TRIM(ROUND(IFERROR(CriteriTecnici!$K863*1,IFERROR(NUMBERVALUE(CriteriTecnici!$K863,".",","),IFERROR(NUMBERVALUE(CriteriTecnici!$K863,",","."),0))),4)&amp;""),",",".")&amp;", "&amp;CHAR(34)&amp;"denominator"&amp;CHAR(34)&amp;": "&amp;SUBSTITUTE(TRIM(ROUND(IFERROR(CriteriTecnici!$L863*1,IFERROR(NUMBERVALUE(CriteriTecnici!$L863,".",","),IFERROR(NUMBERVALUE(CriteriTecnici!$L863,",","."),0))),4)&amp;""),",",".")&amp;", "&amp;CHAR(34)&amp;"flag"&amp;CHAR(34)&amp;": "&amp;SUBSTITUTE(TRIM(ROUND(IFERROR(CriteriTecnici!$M863*1,IFERROR(NUMBERVALUE(CriteriTecnici!$M863,".",","),IFERROR(NUMBERVALUE(CriteriTecnici!$M863,",","."),0))),4)&amp;""),",",".")&amp;", "&amp;CHAR(34)&amp;"rawScore"&amp;CHAR(34)&amp;": "&amp;SUBSTITUTE(TRIM(ROUND(IFERROR(CriteriTecnici!$O863*1,IFERROR(NUMBERVALUE(CriteriTecnici!$O863,".",","),IFERROR(NUMBERVALUE(CriteriTecnici!$O863,",","."),0))),4)&amp;""),",",".")&amp;CHAR(125)&amp;IF(TRUE,",",""))</f>
        <v/>
      </c>
    </row>
    <row r="965">
      <c r="A965" s="82">
        <f>IF(CriteriTecnici!$A864="","","    "&amp;CHAR(123)&amp;CHAR(34)&amp;"bidderId"&amp;CHAR(34)&amp;": "&amp;CHAR(34)&amp;SUBSTITUTE(CriteriTecnici!$A864,CHAR(34),"'")&amp;CHAR(34)&amp;", "&amp;CHAR(34)&amp;"lotId"&amp;CHAR(34)&amp;": "&amp;CHAR(34)&amp;SUBSTITUTE(CriteriTecnici!$C864,CHAR(34),"'")&amp;CHAR(34)&amp;", "&amp;CHAR(34)&amp;"criterionId"&amp;CHAR(34)&amp;": "&amp;CHAR(34)&amp;SUBSTITUTE(CriteriTecnici!$D864,CHAR(34),"'")&amp;CHAR(34)&amp;", "&amp;CHAR(34)&amp;"kind"&amp;CHAR(34)&amp;": "&amp;CHAR(34)&amp;SUBSTITUTE(CriteriTecnici!$F864,CHAR(34),"'")&amp;CHAR(34)&amp;", "&amp;CHAR(34)&amp;"value"&amp;CHAR(34)&amp;": "&amp;SUBSTITUTE(TRIM(ROUND(IFERROR(CriteriTecnici!$N864*1,IFERROR(NUMBERVALUE(CriteriTecnici!$N864,".",","),IFERROR(NUMBERVALUE(CriteriTecnici!$N864,",","."),0))),4)&amp;""),",",".")&amp;", "&amp;CHAR(34)&amp;"numerator"&amp;CHAR(34)&amp;": "&amp;SUBSTITUTE(TRIM(ROUND(IFERROR(CriteriTecnici!$K864*1,IFERROR(NUMBERVALUE(CriteriTecnici!$K864,".",","),IFERROR(NUMBERVALUE(CriteriTecnici!$K864,",","."),0))),4)&amp;""),",",".")&amp;", "&amp;CHAR(34)&amp;"denominator"&amp;CHAR(34)&amp;": "&amp;SUBSTITUTE(TRIM(ROUND(IFERROR(CriteriTecnici!$L864*1,IFERROR(NUMBERVALUE(CriteriTecnici!$L864,".",","),IFERROR(NUMBERVALUE(CriteriTecnici!$L864,",","."),0))),4)&amp;""),",",".")&amp;", "&amp;CHAR(34)&amp;"flag"&amp;CHAR(34)&amp;": "&amp;SUBSTITUTE(TRIM(ROUND(IFERROR(CriteriTecnici!$M864*1,IFERROR(NUMBERVALUE(CriteriTecnici!$M864,".",","),IFERROR(NUMBERVALUE(CriteriTecnici!$M864,",","."),0))),4)&amp;""),",",".")&amp;", "&amp;CHAR(34)&amp;"rawScore"&amp;CHAR(34)&amp;": "&amp;SUBSTITUTE(TRIM(ROUND(IFERROR(CriteriTecnici!$O864*1,IFERROR(NUMBERVALUE(CriteriTecnici!$O864,".",","),IFERROR(NUMBERVALUE(CriteriTecnici!$O864,",","."),0))),4)&amp;""),",",".")&amp;CHAR(125)&amp;IF(TRUE,",",""))</f>
        <v/>
      </c>
    </row>
    <row r="966">
      <c r="A966" s="82">
        <f>IF(CriteriTecnici!$A865="","","    "&amp;CHAR(123)&amp;CHAR(34)&amp;"bidderId"&amp;CHAR(34)&amp;": "&amp;CHAR(34)&amp;SUBSTITUTE(CriteriTecnici!$A865,CHAR(34),"'")&amp;CHAR(34)&amp;", "&amp;CHAR(34)&amp;"lotId"&amp;CHAR(34)&amp;": "&amp;CHAR(34)&amp;SUBSTITUTE(CriteriTecnici!$C865,CHAR(34),"'")&amp;CHAR(34)&amp;", "&amp;CHAR(34)&amp;"criterionId"&amp;CHAR(34)&amp;": "&amp;CHAR(34)&amp;SUBSTITUTE(CriteriTecnici!$D865,CHAR(34),"'")&amp;CHAR(34)&amp;", "&amp;CHAR(34)&amp;"kind"&amp;CHAR(34)&amp;": "&amp;CHAR(34)&amp;SUBSTITUTE(CriteriTecnici!$F865,CHAR(34),"'")&amp;CHAR(34)&amp;", "&amp;CHAR(34)&amp;"value"&amp;CHAR(34)&amp;": "&amp;SUBSTITUTE(TRIM(ROUND(IFERROR(CriteriTecnici!$N865*1,IFERROR(NUMBERVALUE(CriteriTecnici!$N865,".",","),IFERROR(NUMBERVALUE(CriteriTecnici!$N865,",","."),0))),4)&amp;""),",",".")&amp;", "&amp;CHAR(34)&amp;"numerator"&amp;CHAR(34)&amp;": "&amp;SUBSTITUTE(TRIM(ROUND(IFERROR(CriteriTecnici!$K865*1,IFERROR(NUMBERVALUE(CriteriTecnici!$K865,".",","),IFERROR(NUMBERVALUE(CriteriTecnici!$K865,",","."),0))),4)&amp;""),",",".")&amp;", "&amp;CHAR(34)&amp;"denominator"&amp;CHAR(34)&amp;": "&amp;SUBSTITUTE(TRIM(ROUND(IFERROR(CriteriTecnici!$L865*1,IFERROR(NUMBERVALUE(CriteriTecnici!$L865,".",","),IFERROR(NUMBERVALUE(CriteriTecnici!$L865,",","."),0))),4)&amp;""),",",".")&amp;", "&amp;CHAR(34)&amp;"flag"&amp;CHAR(34)&amp;": "&amp;SUBSTITUTE(TRIM(ROUND(IFERROR(CriteriTecnici!$M865*1,IFERROR(NUMBERVALUE(CriteriTecnici!$M865,".",","),IFERROR(NUMBERVALUE(CriteriTecnici!$M865,",","."),0))),4)&amp;""),",",".")&amp;", "&amp;CHAR(34)&amp;"rawScore"&amp;CHAR(34)&amp;": "&amp;SUBSTITUTE(TRIM(ROUND(IFERROR(CriteriTecnici!$O865*1,IFERROR(NUMBERVALUE(CriteriTecnici!$O865,".",","),IFERROR(NUMBERVALUE(CriteriTecnici!$O865,",","."),0))),4)&amp;""),",",".")&amp;CHAR(125)&amp;IF(TRUE,",",""))</f>
        <v/>
      </c>
    </row>
    <row r="967">
      <c r="A967" s="82">
        <f>IF(CriteriTecnici!$A866="","","    "&amp;CHAR(123)&amp;CHAR(34)&amp;"bidderId"&amp;CHAR(34)&amp;": "&amp;CHAR(34)&amp;SUBSTITUTE(CriteriTecnici!$A866,CHAR(34),"'")&amp;CHAR(34)&amp;", "&amp;CHAR(34)&amp;"lotId"&amp;CHAR(34)&amp;": "&amp;CHAR(34)&amp;SUBSTITUTE(CriteriTecnici!$C866,CHAR(34),"'")&amp;CHAR(34)&amp;", "&amp;CHAR(34)&amp;"criterionId"&amp;CHAR(34)&amp;": "&amp;CHAR(34)&amp;SUBSTITUTE(CriteriTecnici!$D866,CHAR(34),"'")&amp;CHAR(34)&amp;", "&amp;CHAR(34)&amp;"kind"&amp;CHAR(34)&amp;": "&amp;CHAR(34)&amp;SUBSTITUTE(CriteriTecnici!$F866,CHAR(34),"'")&amp;CHAR(34)&amp;", "&amp;CHAR(34)&amp;"value"&amp;CHAR(34)&amp;": "&amp;SUBSTITUTE(TRIM(ROUND(IFERROR(CriteriTecnici!$N866*1,IFERROR(NUMBERVALUE(CriteriTecnici!$N866,".",","),IFERROR(NUMBERVALUE(CriteriTecnici!$N866,",","."),0))),4)&amp;""),",",".")&amp;", "&amp;CHAR(34)&amp;"numerator"&amp;CHAR(34)&amp;": "&amp;SUBSTITUTE(TRIM(ROUND(IFERROR(CriteriTecnici!$K866*1,IFERROR(NUMBERVALUE(CriteriTecnici!$K866,".",","),IFERROR(NUMBERVALUE(CriteriTecnici!$K866,",","."),0))),4)&amp;""),",",".")&amp;", "&amp;CHAR(34)&amp;"denominator"&amp;CHAR(34)&amp;": "&amp;SUBSTITUTE(TRIM(ROUND(IFERROR(CriteriTecnici!$L866*1,IFERROR(NUMBERVALUE(CriteriTecnici!$L866,".",","),IFERROR(NUMBERVALUE(CriteriTecnici!$L866,",","."),0))),4)&amp;""),",",".")&amp;", "&amp;CHAR(34)&amp;"flag"&amp;CHAR(34)&amp;": "&amp;SUBSTITUTE(TRIM(ROUND(IFERROR(CriteriTecnici!$M866*1,IFERROR(NUMBERVALUE(CriteriTecnici!$M866,".",","),IFERROR(NUMBERVALUE(CriteriTecnici!$M866,",","."),0))),4)&amp;""),",",".")&amp;", "&amp;CHAR(34)&amp;"rawScore"&amp;CHAR(34)&amp;": "&amp;SUBSTITUTE(TRIM(ROUND(IFERROR(CriteriTecnici!$O866*1,IFERROR(NUMBERVALUE(CriteriTecnici!$O866,".",","),IFERROR(NUMBERVALUE(CriteriTecnici!$O866,",","."),0))),4)&amp;""),",",".")&amp;CHAR(125)&amp;IF(TRUE,",",""))</f>
        <v/>
      </c>
    </row>
    <row r="968">
      <c r="A968" s="82">
        <f>IF(CriteriTecnici!$A867="","","    "&amp;CHAR(123)&amp;CHAR(34)&amp;"bidderId"&amp;CHAR(34)&amp;": "&amp;CHAR(34)&amp;SUBSTITUTE(CriteriTecnici!$A867,CHAR(34),"'")&amp;CHAR(34)&amp;", "&amp;CHAR(34)&amp;"lotId"&amp;CHAR(34)&amp;": "&amp;CHAR(34)&amp;SUBSTITUTE(CriteriTecnici!$C867,CHAR(34),"'")&amp;CHAR(34)&amp;", "&amp;CHAR(34)&amp;"criterionId"&amp;CHAR(34)&amp;": "&amp;CHAR(34)&amp;SUBSTITUTE(CriteriTecnici!$D867,CHAR(34),"'")&amp;CHAR(34)&amp;", "&amp;CHAR(34)&amp;"kind"&amp;CHAR(34)&amp;": "&amp;CHAR(34)&amp;SUBSTITUTE(CriteriTecnici!$F867,CHAR(34),"'")&amp;CHAR(34)&amp;", "&amp;CHAR(34)&amp;"value"&amp;CHAR(34)&amp;": "&amp;SUBSTITUTE(TRIM(ROUND(IFERROR(CriteriTecnici!$N867*1,IFERROR(NUMBERVALUE(CriteriTecnici!$N867,".",","),IFERROR(NUMBERVALUE(CriteriTecnici!$N867,",","."),0))),4)&amp;""),",",".")&amp;", "&amp;CHAR(34)&amp;"numerator"&amp;CHAR(34)&amp;": "&amp;SUBSTITUTE(TRIM(ROUND(IFERROR(CriteriTecnici!$K867*1,IFERROR(NUMBERVALUE(CriteriTecnici!$K867,".",","),IFERROR(NUMBERVALUE(CriteriTecnici!$K867,",","."),0))),4)&amp;""),",",".")&amp;", "&amp;CHAR(34)&amp;"denominator"&amp;CHAR(34)&amp;": "&amp;SUBSTITUTE(TRIM(ROUND(IFERROR(CriteriTecnici!$L867*1,IFERROR(NUMBERVALUE(CriteriTecnici!$L867,".",","),IFERROR(NUMBERVALUE(CriteriTecnici!$L867,",","."),0))),4)&amp;""),",",".")&amp;", "&amp;CHAR(34)&amp;"flag"&amp;CHAR(34)&amp;": "&amp;SUBSTITUTE(TRIM(ROUND(IFERROR(CriteriTecnici!$M867*1,IFERROR(NUMBERVALUE(CriteriTecnici!$M867,".",","),IFERROR(NUMBERVALUE(CriteriTecnici!$M867,",","."),0))),4)&amp;""),",",".")&amp;", "&amp;CHAR(34)&amp;"rawScore"&amp;CHAR(34)&amp;": "&amp;SUBSTITUTE(TRIM(ROUND(IFERROR(CriteriTecnici!$O867*1,IFERROR(NUMBERVALUE(CriteriTecnici!$O867,".",","),IFERROR(NUMBERVALUE(CriteriTecnici!$O867,",","."),0))),4)&amp;""),",",".")&amp;CHAR(125)&amp;IF(TRUE,",",""))</f>
        <v/>
      </c>
    </row>
    <row r="969">
      <c r="A969" s="82">
        <f>IF(CriteriTecnici!$A868="","","    "&amp;CHAR(123)&amp;CHAR(34)&amp;"bidderId"&amp;CHAR(34)&amp;": "&amp;CHAR(34)&amp;SUBSTITUTE(CriteriTecnici!$A868,CHAR(34),"'")&amp;CHAR(34)&amp;", "&amp;CHAR(34)&amp;"lotId"&amp;CHAR(34)&amp;": "&amp;CHAR(34)&amp;SUBSTITUTE(CriteriTecnici!$C868,CHAR(34),"'")&amp;CHAR(34)&amp;", "&amp;CHAR(34)&amp;"criterionId"&amp;CHAR(34)&amp;": "&amp;CHAR(34)&amp;SUBSTITUTE(CriteriTecnici!$D868,CHAR(34),"'")&amp;CHAR(34)&amp;", "&amp;CHAR(34)&amp;"kind"&amp;CHAR(34)&amp;": "&amp;CHAR(34)&amp;SUBSTITUTE(CriteriTecnici!$F868,CHAR(34),"'")&amp;CHAR(34)&amp;", "&amp;CHAR(34)&amp;"value"&amp;CHAR(34)&amp;": "&amp;SUBSTITUTE(TRIM(ROUND(IFERROR(CriteriTecnici!$N868*1,IFERROR(NUMBERVALUE(CriteriTecnici!$N868,".",","),IFERROR(NUMBERVALUE(CriteriTecnici!$N868,",","."),0))),4)&amp;""),",",".")&amp;", "&amp;CHAR(34)&amp;"numerator"&amp;CHAR(34)&amp;": "&amp;SUBSTITUTE(TRIM(ROUND(IFERROR(CriteriTecnici!$K868*1,IFERROR(NUMBERVALUE(CriteriTecnici!$K868,".",","),IFERROR(NUMBERVALUE(CriteriTecnici!$K868,",","."),0))),4)&amp;""),",",".")&amp;", "&amp;CHAR(34)&amp;"denominator"&amp;CHAR(34)&amp;": "&amp;SUBSTITUTE(TRIM(ROUND(IFERROR(CriteriTecnici!$L868*1,IFERROR(NUMBERVALUE(CriteriTecnici!$L868,".",","),IFERROR(NUMBERVALUE(CriteriTecnici!$L868,",","."),0))),4)&amp;""),",",".")&amp;", "&amp;CHAR(34)&amp;"flag"&amp;CHAR(34)&amp;": "&amp;SUBSTITUTE(TRIM(ROUND(IFERROR(CriteriTecnici!$M868*1,IFERROR(NUMBERVALUE(CriteriTecnici!$M868,".",","),IFERROR(NUMBERVALUE(CriteriTecnici!$M868,",","."),0))),4)&amp;""),",",".")&amp;", "&amp;CHAR(34)&amp;"rawScore"&amp;CHAR(34)&amp;": "&amp;SUBSTITUTE(TRIM(ROUND(IFERROR(CriteriTecnici!$O868*1,IFERROR(NUMBERVALUE(CriteriTecnici!$O868,".",","),IFERROR(NUMBERVALUE(CriteriTecnici!$O868,",","."),0))),4)&amp;""),",",".")&amp;CHAR(125)&amp;IF(TRUE,",",""))</f>
        <v/>
      </c>
    </row>
    <row r="970">
      <c r="A970" s="82">
        <f>IF(CriteriTecnici!$A869="","","    "&amp;CHAR(123)&amp;CHAR(34)&amp;"bidderId"&amp;CHAR(34)&amp;": "&amp;CHAR(34)&amp;SUBSTITUTE(CriteriTecnici!$A869,CHAR(34),"'")&amp;CHAR(34)&amp;", "&amp;CHAR(34)&amp;"lotId"&amp;CHAR(34)&amp;": "&amp;CHAR(34)&amp;SUBSTITUTE(CriteriTecnici!$C869,CHAR(34),"'")&amp;CHAR(34)&amp;", "&amp;CHAR(34)&amp;"criterionId"&amp;CHAR(34)&amp;": "&amp;CHAR(34)&amp;SUBSTITUTE(CriteriTecnici!$D869,CHAR(34),"'")&amp;CHAR(34)&amp;", "&amp;CHAR(34)&amp;"kind"&amp;CHAR(34)&amp;": "&amp;CHAR(34)&amp;SUBSTITUTE(CriteriTecnici!$F869,CHAR(34),"'")&amp;CHAR(34)&amp;", "&amp;CHAR(34)&amp;"value"&amp;CHAR(34)&amp;": "&amp;SUBSTITUTE(TRIM(ROUND(IFERROR(CriteriTecnici!$N869*1,IFERROR(NUMBERVALUE(CriteriTecnici!$N869,".",","),IFERROR(NUMBERVALUE(CriteriTecnici!$N869,",","."),0))),4)&amp;""),",",".")&amp;", "&amp;CHAR(34)&amp;"numerator"&amp;CHAR(34)&amp;": "&amp;SUBSTITUTE(TRIM(ROUND(IFERROR(CriteriTecnici!$K869*1,IFERROR(NUMBERVALUE(CriteriTecnici!$K869,".",","),IFERROR(NUMBERVALUE(CriteriTecnici!$K869,",","."),0))),4)&amp;""),",",".")&amp;", "&amp;CHAR(34)&amp;"denominator"&amp;CHAR(34)&amp;": "&amp;SUBSTITUTE(TRIM(ROUND(IFERROR(CriteriTecnici!$L869*1,IFERROR(NUMBERVALUE(CriteriTecnici!$L869,".",","),IFERROR(NUMBERVALUE(CriteriTecnici!$L869,",","."),0))),4)&amp;""),",",".")&amp;", "&amp;CHAR(34)&amp;"flag"&amp;CHAR(34)&amp;": "&amp;SUBSTITUTE(TRIM(ROUND(IFERROR(CriteriTecnici!$M869*1,IFERROR(NUMBERVALUE(CriteriTecnici!$M869,".",","),IFERROR(NUMBERVALUE(CriteriTecnici!$M869,",","."),0))),4)&amp;""),",",".")&amp;", "&amp;CHAR(34)&amp;"rawScore"&amp;CHAR(34)&amp;": "&amp;SUBSTITUTE(TRIM(ROUND(IFERROR(CriteriTecnici!$O869*1,IFERROR(NUMBERVALUE(CriteriTecnici!$O869,".",","),IFERROR(NUMBERVALUE(CriteriTecnici!$O869,",","."),0))),4)&amp;""),",",".")&amp;CHAR(125)&amp;IF(TRUE,",",""))</f>
        <v/>
      </c>
    </row>
    <row r="971">
      <c r="A971" s="82">
        <f>IF(CriteriTecnici!$A870="","","    "&amp;CHAR(123)&amp;CHAR(34)&amp;"bidderId"&amp;CHAR(34)&amp;": "&amp;CHAR(34)&amp;SUBSTITUTE(CriteriTecnici!$A870,CHAR(34),"'")&amp;CHAR(34)&amp;", "&amp;CHAR(34)&amp;"lotId"&amp;CHAR(34)&amp;": "&amp;CHAR(34)&amp;SUBSTITUTE(CriteriTecnici!$C870,CHAR(34),"'")&amp;CHAR(34)&amp;", "&amp;CHAR(34)&amp;"criterionId"&amp;CHAR(34)&amp;": "&amp;CHAR(34)&amp;SUBSTITUTE(CriteriTecnici!$D870,CHAR(34),"'")&amp;CHAR(34)&amp;", "&amp;CHAR(34)&amp;"kind"&amp;CHAR(34)&amp;": "&amp;CHAR(34)&amp;SUBSTITUTE(CriteriTecnici!$F870,CHAR(34),"'")&amp;CHAR(34)&amp;", "&amp;CHAR(34)&amp;"value"&amp;CHAR(34)&amp;": "&amp;SUBSTITUTE(TRIM(ROUND(IFERROR(CriteriTecnici!$N870*1,IFERROR(NUMBERVALUE(CriteriTecnici!$N870,".",","),IFERROR(NUMBERVALUE(CriteriTecnici!$N870,",","."),0))),4)&amp;""),",",".")&amp;", "&amp;CHAR(34)&amp;"numerator"&amp;CHAR(34)&amp;": "&amp;SUBSTITUTE(TRIM(ROUND(IFERROR(CriteriTecnici!$K870*1,IFERROR(NUMBERVALUE(CriteriTecnici!$K870,".",","),IFERROR(NUMBERVALUE(CriteriTecnici!$K870,",","."),0))),4)&amp;""),",",".")&amp;", "&amp;CHAR(34)&amp;"denominator"&amp;CHAR(34)&amp;": "&amp;SUBSTITUTE(TRIM(ROUND(IFERROR(CriteriTecnici!$L870*1,IFERROR(NUMBERVALUE(CriteriTecnici!$L870,".",","),IFERROR(NUMBERVALUE(CriteriTecnici!$L870,",","."),0))),4)&amp;""),",",".")&amp;", "&amp;CHAR(34)&amp;"flag"&amp;CHAR(34)&amp;": "&amp;SUBSTITUTE(TRIM(ROUND(IFERROR(CriteriTecnici!$M870*1,IFERROR(NUMBERVALUE(CriteriTecnici!$M870,".",","),IFERROR(NUMBERVALUE(CriteriTecnici!$M870,",","."),0))),4)&amp;""),",",".")&amp;", "&amp;CHAR(34)&amp;"rawScore"&amp;CHAR(34)&amp;": "&amp;SUBSTITUTE(TRIM(ROUND(IFERROR(CriteriTecnici!$O870*1,IFERROR(NUMBERVALUE(CriteriTecnici!$O870,".",","),IFERROR(NUMBERVALUE(CriteriTecnici!$O870,",","."),0))),4)&amp;""),",",".")&amp;CHAR(125)&amp;IF(TRUE,",",""))</f>
        <v/>
      </c>
    </row>
    <row r="972">
      <c r="A972" s="82">
        <f>IF(CriteriTecnici!$A871="","","    "&amp;CHAR(123)&amp;CHAR(34)&amp;"bidderId"&amp;CHAR(34)&amp;": "&amp;CHAR(34)&amp;SUBSTITUTE(CriteriTecnici!$A871,CHAR(34),"'")&amp;CHAR(34)&amp;", "&amp;CHAR(34)&amp;"lotId"&amp;CHAR(34)&amp;": "&amp;CHAR(34)&amp;SUBSTITUTE(CriteriTecnici!$C871,CHAR(34),"'")&amp;CHAR(34)&amp;", "&amp;CHAR(34)&amp;"criterionId"&amp;CHAR(34)&amp;": "&amp;CHAR(34)&amp;SUBSTITUTE(CriteriTecnici!$D871,CHAR(34),"'")&amp;CHAR(34)&amp;", "&amp;CHAR(34)&amp;"kind"&amp;CHAR(34)&amp;": "&amp;CHAR(34)&amp;SUBSTITUTE(CriteriTecnici!$F871,CHAR(34),"'")&amp;CHAR(34)&amp;", "&amp;CHAR(34)&amp;"value"&amp;CHAR(34)&amp;": "&amp;SUBSTITUTE(TRIM(ROUND(IFERROR(CriteriTecnici!$N871*1,IFERROR(NUMBERVALUE(CriteriTecnici!$N871,".",","),IFERROR(NUMBERVALUE(CriteriTecnici!$N871,",","."),0))),4)&amp;""),",",".")&amp;", "&amp;CHAR(34)&amp;"numerator"&amp;CHAR(34)&amp;": "&amp;SUBSTITUTE(TRIM(ROUND(IFERROR(CriteriTecnici!$K871*1,IFERROR(NUMBERVALUE(CriteriTecnici!$K871,".",","),IFERROR(NUMBERVALUE(CriteriTecnici!$K871,",","."),0))),4)&amp;""),",",".")&amp;", "&amp;CHAR(34)&amp;"denominator"&amp;CHAR(34)&amp;": "&amp;SUBSTITUTE(TRIM(ROUND(IFERROR(CriteriTecnici!$L871*1,IFERROR(NUMBERVALUE(CriteriTecnici!$L871,".",","),IFERROR(NUMBERVALUE(CriteriTecnici!$L871,",","."),0))),4)&amp;""),",",".")&amp;", "&amp;CHAR(34)&amp;"flag"&amp;CHAR(34)&amp;": "&amp;SUBSTITUTE(TRIM(ROUND(IFERROR(CriteriTecnici!$M871*1,IFERROR(NUMBERVALUE(CriteriTecnici!$M871,".",","),IFERROR(NUMBERVALUE(CriteriTecnici!$M871,",","."),0))),4)&amp;""),",",".")&amp;", "&amp;CHAR(34)&amp;"rawScore"&amp;CHAR(34)&amp;": "&amp;SUBSTITUTE(TRIM(ROUND(IFERROR(CriteriTecnici!$O871*1,IFERROR(NUMBERVALUE(CriteriTecnici!$O871,".",","),IFERROR(NUMBERVALUE(CriteriTecnici!$O871,",","."),0))),4)&amp;""),",",".")&amp;CHAR(125)&amp;IF(TRUE,",",""))</f>
        <v/>
      </c>
    </row>
    <row r="973">
      <c r="A973" s="82">
        <f>IF(CriteriTecnici!$A872="","","    "&amp;CHAR(123)&amp;CHAR(34)&amp;"bidderId"&amp;CHAR(34)&amp;": "&amp;CHAR(34)&amp;SUBSTITUTE(CriteriTecnici!$A872,CHAR(34),"'")&amp;CHAR(34)&amp;", "&amp;CHAR(34)&amp;"lotId"&amp;CHAR(34)&amp;": "&amp;CHAR(34)&amp;SUBSTITUTE(CriteriTecnici!$C872,CHAR(34),"'")&amp;CHAR(34)&amp;", "&amp;CHAR(34)&amp;"criterionId"&amp;CHAR(34)&amp;": "&amp;CHAR(34)&amp;SUBSTITUTE(CriteriTecnici!$D872,CHAR(34),"'")&amp;CHAR(34)&amp;", "&amp;CHAR(34)&amp;"kind"&amp;CHAR(34)&amp;": "&amp;CHAR(34)&amp;SUBSTITUTE(CriteriTecnici!$F872,CHAR(34),"'")&amp;CHAR(34)&amp;", "&amp;CHAR(34)&amp;"value"&amp;CHAR(34)&amp;": "&amp;SUBSTITUTE(TRIM(ROUND(IFERROR(CriteriTecnici!$N872*1,IFERROR(NUMBERVALUE(CriteriTecnici!$N872,".",","),IFERROR(NUMBERVALUE(CriteriTecnici!$N872,",","."),0))),4)&amp;""),",",".")&amp;", "&amp;CHAR(34)&amp;"numerator"&amp;CHAR(34)&amp;": "&amp;SUBSTITUTE(TRIM(ROUND(IFERROR(CriteriTecnici!$K872*1,IFERROR(NUMBERVALUE(CriteriTecnici!$K872,".",","),IFERROR(NUMBERVALUE(CriteriTecnici!$K872,",","."),0))),4)&amp;""),",",".")&amp;", "&amp;CHAR(34)&amp;"denominator"&amp;CHAR(34)&amp;": "&amp;SUBSTITUTE(TRIM(ROUND(IFERROR(CriteriTecnici!$L872*1,IFERROR(NUMBERVALUE(CriteriTecnici!$L872,".",","),IFERROR(NUMBERVALUE(CriteriTecnici!$L872,",","."),0))),4)&amp;""),",",".")&amp;", "&amp;CHAR(34)&amp;"flag"&amp;CHAR(34)&amp;": "&amp;SUBSTITUTE(TRIM(ROUND(IFERROR(CriteriTecnici!$M872*1,IFERROR(NUMBERVALUE(CriteriTecnici!$M872,".",","),IFERROR(NUMBERVALUE(CriteriTecnici!$M872,",","."),0))),4)&amp;""),",",".")&amp;", "&amp;CHAR(34)&amp;"rawScore"&amp;CHAR(34)&amp;": "&amp;SUBSTITUTE(TRIM(ROUND(IFERROR(CriteriTecnici!$O872*1,IFERROR(NUMBERVALUE(CriteriTecnici!$O872,".",","),IFERROR(NUMBERVALUE(CriteriTecnici!$O872,",","."),0))),4)&amp;""),",",".")&amp;CHAR(125)&amp;IF(COUNTA(Offerte!$A30:$A$81)&gt;0,",",""))</f>
        <v/>
      </c>
    </row>
    <row r="974">
      <c r="A974" s="82">
        <f>IF(CriteriTecnici!$A873="","","    "&amp;CHAR(123)&amp;CHAR(34)&amp;"bidderId"&amp;CHAR(34)&amp;": "&amp;CHAR(34)&amp;SUBSTITUTE(CriteriTecnici!$A873,CHAR(34),"'")&amp;CHAR(34)&amp;", "&amp;CHAR(34)&amp;"lotId"&amp;CHAR(34)&amp;": "&amp;CHAR(34)&amp;SUBSTITUTE(CriteriTecnici!$C873,CHAR(34),"'")&amp;CHAR(34)&amp;", "&amp;CHAR(34)&amp;"criterionId"&amp;CHAR(34)&amp;": "&amp;CHAR(34)&amp;SUBSTITUTE(CriteriTecnici!$D873,CHAR(34),"'")&amp;CHAR(34)&amp;", "&amp;CHAR(34)&amp;"kind"&amp;CHAR(34)&amp;": "&amp;CHAR(34)&amp;SUBSTITUTE(CriteriTecnici!$F873,CHAR(34),"'")&amp;CHAR(34)&amp;", "&amp;CHAR(34)&amp;"value"&amp;CHAR(34)&amp;": "&amp;SUBSTITUTE(TRIM(ROUND(IFERROR(CriteriTecnici!$N873*1,IFERROR(NUMBERVALUE(CriteriTecnici!$N873,".",","),IFERROR(NUMBERVALUE(CriteriTecnici!$N873,",","."),0))),4)&amp;""),",",".")&amp;", "&amp;CHAR(34)&amp;"numerator"&amp;CHAR(34)&amp;": "&amp;SUBSTITUTE(TRIM(ROUND(IFERROR(CriteriTecnici!$K873*1,IFERROR(NUMBERVALUE(CriteriTecnici!$K873,".",","),IFERROR(NUMBERVALUE(CriteriTecnici!$K873,",","."),0))),4)&amp;""),",",".")&amp;", "&amp;CHAR(34)&amp;"denominator"&amp;CHAR(34)&amp;": "&amp;SUBSTITUTE(TRIM(ROUND(IFERROR(CriteriTecnici!$L873*1,IFERROR(NUMBERVALUE(CriteriTecnici!$L873,".",","),IFERROR(NUMBERVALUE(CriteriTecnici!$L873,",","."),0))),4)&amp;""),",",".")&amp;", "&amp;CHAR(34)&amp;"flag"&amp;CHAR(34)&amp;": "&amp;SUBSTITUTE(TRIM(ROUND(IFERROR(CriteriTecnici!$M873*1,IFERROR(NUMBERVALUE(CriteriTecnici!$M873,".",","),IFERROR(NUMBERVALUE(CriteriTecnici!$M873,",","."),0))),4)&amp;""),",",".")&amp;", "&amp;CHAR(34)&amp;"rawScore"&amp;CHAR(34)&amp;": "&amp;SUBSTITUTE(TRIM(ROUND(IFERROR(CriteriTecnici!$O873*1,IFERROR(NUMBERVALUE(CriteriTecnici!$O873,".",","),IFERROR(NUMBERVALUE(CriteriTecnici!$O873,",","."),0))),4)&amp;""),",",".")&amp;CHAR(125)&amp;IF(TRUE,",",""))</f>
        <v/>
      </c>
    </row>
    <row r="975">
      <c r="A975" s="82">
        <f>IF(CriteriTecnici!$A874="","","    "&amp;CHAR(123)&amp;CHAR(34)&amp;"bidderId"&amp;CHAR(34)&amp;": "&amp;CHAR(34)&amp;SUBSTITUTE(CriteriTecnici!$A874,CHAR(34),"'")&amp;CHAR(34)&amp;", "&amp;CHAR(34)&amp;"lotId"&amp;CHAR(34)&amp;": "&amp;CHAR(34)&amp;SUBSTITUTE(CriteriTecnici!$C874,CHAR(34),"'")&amp;CHAR(34)&amp;", "&amp;CHAR(34)&amp;"criterionId"&amp;CHAR(34)&amp;": "&amp;CHAR(34)&amp;SUBSTITUTE(CriteriTecnici!$D874,CHAR(34),"'")&amp;CHAR(34)&amp;", "&amp;CHAR(34)&amp;"kind"&amp;CHAR(34)&amp;": "&amp;CHAR(34)&amp;SUBSTITUTE(CriteriTecnici!$F874,CHAR(34),"'")&amp;CHAR(34)&amp;", "&amp;CHAR(34)&amp;"value"&amp;CHAR(34)&amp;": "&amp;SUBSTITUTE(TRIM(ROUND(IFERROR(CriteriTecnici!$N874*1,IFERROR(NUMBERVALUE(CriteriTecnici!$N874,".",","),IFERROR(NUMBERVALUE(CriteriTecnici!$N874,",","."),0))),4)&amp;""),",",".")&amp;", "&amp;CHAR(34)&amp;"numerator"&amp;CHAR(34)&amp;": "&amp;SUBSTITUTE(TRIM(ROUND(IFERROR(CriteriTecnici!$K874*1,IFERROR(NUMBERVALUE(CriteriTecnici!$K874,".",","),IFERROR(NUMBERVALUE(CriteriTecnici!$K874,",","."),0))),4)&amp;""),",",".")&amp;", "&amp;CHAR(34)&amp;"denominator"&amp;CHAR(34)&amp;": "&amp;SUBSTITUTE(TRIM(ROUND(IFERROR(CriteriTecnici!$L874*1,IFERROR(NUMBERVALUE(CriteriTecnici!$L874,".",","),IFERROR(NUMBERVALUE(CriteriTecnici!$L874,",","."),0))),4)&amp;""),",",".")&amp;", "&amp;CHAR(34)&amp;"flag"&amp;CHAR(34)&amp;": "&amp;SUBSTITUTE(TRIM(ROUND(IFERROR(CriteriTecnici!$M874*1,IFERROR(NUMBERVALUE(CriteriTecnici!$M874,".",","),IFERROR(NUMBERVALUE(CriteriTecnici!$M874,",","."),0))),4)&amp;""),",",".")&amp;", "&amp;CHAR(34)&amp;"rawScore"&amp;CHAR(34)&amp;": "&amp;SUBSTITUTE(TRIM(ROUND(IFERROR(CriteriTecnici!$O874*1,IFERROR(NUMBERVALUE(CriteriTecnici!$O874,".",","),IFERROR(NUMBERVALUE(CriteriTecnici!$O874,",","."),0))),4)&amp;""),",",".")&amp;CHAR(125)&amp;IF(TRUE,",",""))</f>
        <v/>
      </c>
    </row>
    <row r="976">
      <c r="A976" s="82">
        <f>IF(CriteriTecnici!$A875="","","    "&amp;CHAR(123)&amp;CHAR(34)&amp;"bidderId"&amp;CHAR(34)&amp;": "&amp;CHAR(34)&amp;SUBSTITUTE(CriteriTecnici!$A875,CHAR(34),"'")&amp;CHAR(34)&amp;", "&amp;CHAR(34)&amp;"lotId"&amp;CHAR(34)&amp;": "&amp;CHAR(34)&amp;SUBSTITUTE(CriteriTecnici!$C875,CHAR(34),"'")&amp;CHAR(34)&amp;", "&amp;CHAR(34)&amp;"criterionId"&amp;CHAR(34)&amp;": "&amp;CHAR(34)&amp;SUBSTITUTE(CriteriTecnici!$D875,CHAR(34),"'")&amp;CHAR(34)&amp;", "&amp;CHAR(34)&amp;"kind"&amp;CHAR(34)&amp;": "&amp;CHAR(34)&amp;SUBSTITUTE(CriteriTecnici!$F875,CHAR(34),"'")&amp;CHAR(34)&amp;", "&amp;CHAR(34)&amp;"value"&amp;CHAR(34)&amp;": "&amp;SUBSTITUTE(TRIM(ROUND(IFERROR(CriteriTecnici!$N875*1,IFERROR(NUMBERVALUE(CriteriTecnici!$N875,".",","),IFERROR(NUMBERVALUE(CriteriTecnici!$N875,",","."),0))),4)&amp;""),",",".")&amp;", "&amp;CHAR(34)&amp;"numerator"&amp;CHAR(34)&amp;": "&amp;SUBSTITUTE(TRIM(ROUND(IFERROR(CriteriTecnici!$K875*1,IFERROR(NUMBERVALUE(CriteriTecnici!$K875,".",","),IFERROR(NUMBERVALUE(CriteriTecnici!$K875,",","."),0))),4)&amp;""),",",".")&amp;", "&amp;CHAR(34)&amp;"denominator"&amp;CHAR(34)&amp;": "&amp;SUBSTITUTE(TRIM(ROUND(IFERROR(CriteriTecnici!$L875*1,IFERROR(NUMBERVALUE(CriteriTecnici!$L875,".",","),IFERROR(NUMBERVALUE(CriteriTecnici!$L875,",","."),0))),4)&amp;""),",",".")&amp;", "&amp;CHAR(34)&amp;"flag"&amp;CHAR(34)&amp;": "&amp;SUBSTITUTE(TRIM(ROUND(IFERROR(CriteriTecnici!$M875*1,IFERROR(NUMBERVALUE(CriteriTecnici!$M875,".",","),IFERROR(NUMBERVALUE(CriteriTecnici!$M875,",","."),0))),4)&amp;""),",",".")&amp;", "&amp;CHAR(34)&amp;"rawScore"&amp;CHAR(34)&amp;": "&amp;SUBSTITUTE(TRIM(ROUND(IFERROR(CriteriTecnici!$O875*1,IFERROR(NUMBERVALUE(CriteriTecnici!$O875,".",","),IFERROR(NUMBERVALUE(CriteriTecnici!$O875,",","."),0))),4)&amp;""),",",".")&amp;CHAR(125)&amp;IF(TRUE,",",""))</f>
        <v/>
      </c>
    </row>
    <row r="977">
      <c r="A977" s="82">
        <f>IF(CriteriTecnici!$A876="","","    "&amp;CHAR(123)&amp;CHAR(34)&amp;"bidderId"&amp;CHAR(34)&amp;": "&amp;CHAR(34)&amp;SUBSTITUTE(CriteriTecnici!$A876,CHAR(34),"'")&amp;CHAR(34)&amp;", "&amp;CHAR(34)&amp;"lotId"&amp;CHAR(34)&amp;": "&amp;CHAR(34)&amp;SUBSTITUTE(CriteriTecnici!$C876,CHAR(34),"'")&amp;CHAR(34)&amp;", "&amp;CHAR(34)&amp;"criterionId"&amp;CHAR(34)&amp;": "&amp;CHAR(34)&amp;SUBSTITUTE(CriteriTecnici!$D876,CHAR(34),"'")&amp;CHAR(34)&amp;", "&amp;CHAR(34)&amp;"kind"&amp;CHAR(34)&amp;": "&amp;CHAR(34)&amp;SUBSTITUTE(CriteriTecnici!$F876,CHAR(34),"'")&amp;CHAR(34)&amp;", "&amp;CHAR(34)&amp;"value"&amp;CHAR(34)&amp;": "&amp;SUBSTITUTE(TRIM(ROUND(IFERROR(CriteriTecnici!$N876*1,IFERROR(NUMBERVALUE(CriteriTecnici!$N876,".",","),IFERROR(NUMBERVALUE(CriteriTecnici!$N876,",","."),0))),4)&amp;""),",",".")&amp;", "&amp;CHAR(34)&amp;"numerator"&amp;CHAR(34)&amp;": "&amp;SUBSTITUTE(TRIM(ROUND(IFERROR(CriteriTecnici!$K876*1,IFERROR(NUMBERVALUE(CriteriTecnici!$K876,".",","),IFERROR(NUMBERVALUE(CriteriTecnici!$K876,",","."),0))),4)&amp;""),",",".")&amp;", "&amp;CHAR(34)&amp;"denominator"&amp;CHAR(34)&amp;": "&amp;SUBSTITUTE(TRIM(ROUND(IFERROR(CriteriTecnici!$L876*1,IFERROR(NUMBERVALUE(CriteriTecnici!$L876,".",","),IFERROR(NUMBERVALUE(CriteriTecnici!$L876,",","."),0))),4)&amp;""),",",".")&amp;", "&amp;CHAR(34)&amp;"flag"&amp;CHAR(34)&amp;": "&amp;SUBSTITUTE(TRIM(ROUND(IFERROR(CriteriTecnici!$M876*1,IFERROR(NUMBERVALUE(CriteriTecnici!$M876,".",","),IFERROR(NUMBERVALUE(CriteriTecnici!$M876,",","."),0))),4)&amp;""),",",".")&amp;", "&amp;CHAR(34)&amp;"rawScore"&amp;CHAR(34)&amp;": "&amp;SUBSTITUTE(TRIM(ROUND(IFERROR(CriteriTecnici!$O876*1,IFERROR(NUMBERVALUE(CriteriTecnici!$O876,".",","),IFERROR(NUMBERVALUE(CriteriTecnici!$O876,",","."),0))),4)&amp;""),",",".")&amp;CHAR(125)&amp;IF(TRUE,",",""))</f>
        <v/>
      </c>
    </row>
    <row r="978">
      <c r="A978" s="82">
        <f>IF(CriteriTecnici!$A877="","","    "&amp;CHAR(123)&amp;CHAR(34)&amp;"bidderId"&amp;CHAR(34)&amp;": "&amp;CHAR(34)&amp;SUBSTITUTE(CriteriTecnici!$A877,CHAR(34),"'")&amp;CHAR(34)&amp;", "&amp;CHAR(34)&amp;"lotId"&amp;CHAR(34)&amp;": "&amp;CHAR(34)&amp;SUBSTITUTE(CriteriTecnici!$C877,CHAR(34),"'")&amp;CHAR(34)&amp;", "&amp;CHAR(34)&amp;"criterionId"&amp;CHAR(34)&amp;": "&amp;CHAR(34)&amp;SUBSTITUTE(CriteriTecnici!$D877,CHAR(34),"'")&amp;CHAR(34)&amp;", "&amp;CHAR(34)&amp;"kind"&amp;CHAR(34)&amp;": "&amp;CHAR(34)&amp;SUBSTITUTE(CriteriTecnici!$F877,CHAR(34),"'")&amp;CHAR(34)&amp;", "&amp;CHAR(34)&amp;"value"&amp;CHAR(34)&amp;": "&amp;SUBSTITUTE(TRIM(ROUND(IFERROR(CriteriTecnici!$N877*1,IFERROR(NUMBERVALUE(CriteriTecnici!$N877,".",","),IFERROR(NUMBERVALUE(CriteriTecnici!$N877,",","."),0))),4)&amp;""),",",".")&amp;", "&amp;CHAR(34)&amp;"numerator"&amp;CHAR(34)&amp;": "&amp;SUBSTITUTE(TRIM(ROUND(IFERROR(CriteriTecnici!$K877*1,IFERROR(NUMBERVALUE(CriteriTecnici!$K877,".",","),IFERROR(NUMBERVALUE(CriteriTecnici!$K877,",","."),0))),4)&amp;""),",",".")&amp;", "&amp;CHAR(34)&amp;"denominator"&amp;CHAR(34)&amp;": "&amp;SUBSTITUTE(TRIM(ROUND(IFERROR(CriteriTecnici!$L877*1,IFERROR(NUMBERVALUE(CriteriTecnici!$L877,".",","),IFERROR(NUMBERVALUE(CriteriTecnici!$L877,",","."),0))),4)&amp;""),",",".")&amp;", "&amp;CHAR(34)&amp;"flag"&amp;CHAR(34)&amp;": "&amp;SUBSTITUTE(TRIM(ROUND(IFERROR(CriteriTecnici!$M877*1,IFERROR(NUMBERVALUE(CriteriTecnici!$M877,".",","),IFERROR(NUMBERVALUE(CriteriTecnici!$M877,",","."),0))),4)&amp;""),",",".")&amp;", "&amp;CHAR(34)&amp;"rawScore"&amp;CHAR(34)&amp;": "&amp;SUBSTITUTE(TRIM(ROUND(IFERROR(CriteriTecnici!$O877*1,IFERROR(NUMBERVALUE(CriteriTecnici!$O877,".",","),IFERROR(NUMBERVALUE(CriteriTecnici!$O877,",","."),0))),4)&amp;""),",",".")&amp;CHAR(125)&amp;IF(TRUE,",",""))</f>
        <v/>
      </c>
    </row>
    <row r="979">
      <c r="A979" s="82">
        <f>IF(CriteriTecnici!$A878="","","    "&amp;CHAR(123)&amp;CHAR(34)&amp;"bidderId"&amp;CHAR(34)&amp;": "&amp;CHAR(34)&amp;SUBSTITUTE(CriteriTecnici!$A878,CHAR(34),"'")&amp;CHAR(34)&amp;", "&amp;CHAR(34)&amp;"lotId"&amp;CHAR(34)&amp;": "&amp;CHAR(34)&amp;SUBSTITUTE(CriteriTecnici!$C878,CHAR(34),"'")&amp;CHAR(34)&amp;", "&amp;CHAR(34)&amp;"criterionId"&amp;CHAR(34)&amp;": "&amp;CHAR(34)&amp;SUBSTITUTE(CriteriTecnici!$D878,CHAR(34),"'")&amp;CHAR(34)&amp;", "&amp;CHAR(34)&amp;"kind"&amp;CHAR(34)&amp;": "&amp;CHAR(34)&amp;SUBSTITUTE(CriteriTecnici!$F878,CHAR(34),"'")&amp;CHAR(34)&amp;", "&amp;CHAR(34)&amp;"value"&amp;CHAR(34)&amp;": "&amp;SUBSTITUTE(TRIM(ROUND(IFERROR(CriteriTecnici!$N878*1,IFERROR(NUMBERVALUE(CriteriTecnici!$N878,".",","),IFERROR(NUMBERVALUE(CriteriTecnici!$N878,",","."),0))),4)&amp;""),",",".")&amp;", "&amp;CHAR(34)&amp;"numerator"&amp;CHAR(34)&amp;": "&amp;SUBSTITUTE(TRIM(ROUND(IFERROR(CriteriTecnici!$K878*1,IFERROR(NUMBERVALUE(CriteriTecnici!$K878,".",","),IFERROR(NUMBERVALUE(CriteriTecnici!$K878,",","."),0))),4)&amp;""),",",".")&amp;", "&amp;CHAR(34)&amp;"denominator"&amp;CHAR(34)&amp;": "&amp;SUBSTITUTE(TRIM(ROUND(IFERROR(CriteriTecnici!$L878*1,IFERROR(NUMBERVALUE(CriteriTecnici!$L878,".",","),IFERROR(NUMBERVALUE(CriteriTecnici!$L878,",","."),0))),4)&amp;""),",",".")&amp;", "&amp;CHAR(34)&amp;"flag"&amp;CHAR(34)&amp;": "&amp;SUBSTITUTE(TRIM(ROUND(IFERROR(CriteriTecnici!$M878*1,IFERROR(NUMBERVALUE(CriteriTecnici!$M878,".",","),IFERROR(NUMBERVALUE(CriteriTecnici!$M878,",","."),0))),4)&amp;""),",",".")&amp;", "&amp;CHAR(34)&amp;"rawScore"&amp;CHAR(34)&amp;": "&amp;SUBSTITUTE(TRIM(ROUND(IFERROR(CriteriTecnici!$O878*1,IFERROR(NUMBERVALUE(CriteriTecnici!$O878,".",","),IFERROR(NUMBERVALUE(CriteriTecnici!$O878,",","."),0))),4)&amp;""),",",".")&amp;CHAR(125)&amp;IF(TRUE,",",""))</f>
        <v/>
      </c>
    </row>
    <row r="980">
      <c r="A980" s="82">
        <f>IF(CriteriTecnici!$A879="","","    "&amp;CHAR(123)&amp;CHAR(34)&amp;"bidderId"&amp;CHAR(34)&amp;": "&amp;CHAR(34)&amp;SUBSTITUTE(CriteriTecnici!$A879,CHAR(34),"'")&amp;CHAR(34)&amp;", "&amp;CHAR(34)&amp;"lotId"&amp;CHAR(34)&amp;": "&amp;CHAR(34)&amp;SUBSTITUTE(CriteriTecnici!$C879,CHAR(34),"'")&amp;CHAR(34)&amp;", "&amp;CHAR(34)&amp;"criterionId"&amp;CHAR(34)&amp;": "&amp;CHAR(34)&amp;SUBSTITUTE(CriteriTecnici!$D879,CHAR(34),"'")&amp;CHAR(34)&amp;", "&amp;CHAR(34)&amp;"kind"&amp;CHAR(34)&amp;": "&amp;CHAR(34)&amp;SUBSTITUTE(CriteriTecnici!$F879,CHAR(34),"'")&amp;CHAR(34)&amp;", "&amp;CHAR(34)&amp;"value"&amp;CHAR(34)&amp;": "&amp;SUBSTITUTE(TRIM(ROUND(IFERROR(CriteriTecnici!$N879*1,IFERROR(NUMBERVALUE(CriteriTecnici!$N879,".",","),IFERROR(NUMBERVALUE(CriteriTecnici!$N879,",","."),0))),4)&amp;""),",",".")&amp;", "&amp;CHAR(34)&amp;"numerator"&amp;CHAR(34)&amp;": "&amp;SUBSTITUTE(TRIM(ROUND(IFERROR(CriteriTecnici!$K879*1,IFERROR(NUMBERVALUE(CriteriTecnici!$K879,".",","),IFERROR(NUMBERVALUE(CriteriTecnici!$K879,",","."),0))),4)&amp;""),",",".")&amp;", "&amp;CHAR(34)&amp;"denominator"&amp;CHAR(34)&amp;": "&amp;SUBSTITUTE(TRIM(ROUND(IFERROR(CriteriTecnici!$L879*1,IFERROR(NUMBERVALUE(CriteriTecnici!$L879,".",","),IFERROR(NUMBERVALUE(CriteriTecnici!$L879,",","."),0))),4)&amp;""),",",".")&amp;", "&amp;CHAR(34)&amp;"flag"&amp;CHAR(34)&amp;": "&amp;SUBSTITUTE(TRIM(ROUND(IFERROR(CriteriTecnici!$M879*1,IFERROR(NUMBERVALUE(CriteriTecnici!$M879,".",","),IFERROR(NUMBERVALUE(CriteriTecnici!$M879,",","."),0))),4)&amp;""),",",".")&amp;", "&amp;CHAR(34)&amp;"rawScore"&amp;CHAR(34)&amp;": "&amp;SUBSTITUTE(TRIM(ROUND(IFERROR(CriteriTecnici!$O879*1,IFERROR(NUMBERVALUE(CriteriTecnici!$O879,".",","),IFERROR(NUMBERVALUE(CriteriTecnici!$O879,",","."),0))),4)&amp;""),",",".")&amp;CHAR(125)&amp;IF(TRUE,",",""))</f>
        <v/>
      </c>
    </row>
    <row r="981">
      <c r="A981" s="82">
        <f>IF(CriteriTecnici!$A880="","","    "&amp;CHAR(123)&amp;CHAR(34)&amp;"bidderId"&amp;CHAR(34)&amp;": "&amp;CHAR(34)&amp;SUBSTITUTE(CriteriTecnici!$A880,CHAR(34),"'")&amp;CHAR(34)&amp;", "&amp;CHAR(34)&amp;"lotId"&amp;CHAR(34)&amp;": "&amp;CHAR(34)&amp;SUBSTITUTE(CriteriTecnici!$C880,CHAR(34),"'")&amp;CHAR(34)&amp;", "&amp;CHAR(34)&amp;"criterionId"&amp;CHAR(34)&amp;": "&amp;CHAR(34)&amp;SUBSTITUTE(CriteriTecnici!$D880,CHAR(34),"'")&amp;CHAR(34)&amp;", "&amp;CHAR(34)&amp;"kind"&amp;CHAR(34)&amp;": "&amp;CHAR(34)&amp;SUBSTITUTE(CriteriTecnici!$F880,CHAR(34),"'")&amp;CHAR(34)&amp;", "&amp;CHAR(34)&amp;"value"&amp;CHAR(34)&amp;": "&amp;SUBSTITUTE(TRIM(ROUND(IFERROR(CriteriTecnici!$N880*1,IFERROR(NUMBERVALUE(CriteriTecnici!$N880,".",","),IFERROR(NUMBERVALUE(CriteriTecnici!$N880,",","."),0))),4)&amp;""),",",".")&amp;", "&amp;CHAR(34)&amp;"numerator"&amp;CHAR(34)&amp;": "&amp;SUBSTITUTE(TRIM(ROUND(IFERROR(CriteriTecnici!$K880*1,IFERROR(NUMBERVALUE(CriteriTecnici!$K880,".",","),IFERROR(NUMBERVALUE(CriteriTecnici!$K880,",","."),0))),4)&amp;""),",",".")&amp;", "&amp;CHAR(34)&amp;"denominator"&amp;CHAR(34)&amp;": "&amp;SUBSTITUTE(TRIM(ROUND(IFERROR(CriteriTecnici!$L880*1,IFERROR(NUMBERVALUE(CriteriTecnici!$L880,".",","),IFERROR(NUMBERVALUE(CriteriTecnici!$L880,",","."),0))),4)&amp;""),",",".")&amp;", "&amp;CHAR(34)&amp;"flag"&amp;CHAR(34)&amp;": "&amp;SUBSTITUTE(TRIM(ROUND(IFERROR(CriteriTecnici!$M880*1,IFERROR(NUMBERVALUE(CriteriTecnici!$M880,".",","),IFERROR(NUMBERVALUE(CriteriTecnici!$M880,",","."),0))),4)&amp;""),",",".")&amp;", "&amp;CHAR(34)&amp;"rawScore"&amp;CHAR(34)&amp;": "&amp;SUBSTITUTE(TRIM(ROUND(IFERROR(CriteriTecnici!$O880*1,IFERROR(NUMBERVALUE(CriteriTecnici!$O880,".",","),IFERROR(NUMBERVALUE(CriteriTecnici!$O880,",","."),0))),4)&amp;""),",",".")&amp;CHAR(125)&amp;IF(TRUE,",",""))</f>
        <v/>
      </c>
    </row>
    <row r="982">
      <c r="A982" s="82">
        <f>IF(CriteriTecnici!$A881="","","    "&amp;CHAR(123)&amp;CHAR(34)&amp;"bidderId"&amp;CHAR(34)&amp;": "&amp;CHAR(34)&amp;SUBSTITUTE(CriteriTecnici!$A881,CHAR(34),"'")&amp;CHAR(34)&amp;", "&amp;CHAR(34)&amp;"lotId"&amp;CHAR(34)&amp;": "&amp;CHAR(34)&amp;SUBSTITUTE(CriteriTecnici!$C881,CHAR(34),"'")&amp;CHAR(34)&amp;", "&amp;CHAR(34)&amp;"criterionId"&amp;CHAR(34)&amp;": "&amp;CHAR(34)&amp;SUBSTITUTE(CriteriTecnici!$D881,CHAR(34),"'")&amp;CHAR(34)&amp;", "&amp;CHAR(34)&amp;"kind"&amp;CHAR(34)&amp;": "&amp;CHAR(34)&amp;SUBSTITUTE(CriteriTecnici!$F881,CHAR(34),"'")&amp;CHAR(34)&amp;", "&amp;CHAR(34)&amp;"value"&amp;CHAR(34)&amp;": "&amp;SUBSTITUTE(TRIM(ROUND(IFERROR(CriteriTecnici!$N881*1,IFERROR(NUMBERVALUE(CriteriTecnici!$N881,".",","),IFERROR(NUMBERVALUE(CriteriTecnici!$N881,",","."),0))),4)&amp;""),",",".")&amp;", "&amp;CHAR(34)&amp;"numerator"&amp;CHAR(34)&amp;": "&amp;SUBSTITUTE(TRIM(ROUND(IFERROR(CriteriTecnici!$K881*1,IFERROR(NUMBERVALUE(CriteriTecnici!$K881,".",","),IFERROR(NUMBERVALUE(CriteriTecnici!$K881,",","."),0))),4)&amp;""),",",".")&amp;", "&amp;CHAR(34)&amp;"denominator"&amp;CHAR(34)&amp;": "&amp;SUBSTITUTE(TRIM(ROUND(IFERROR(CriteriTecnici!$L881*1,IFERROR(NUMBERVALUE(CriteriTecnici!$L881,".",","),IFERROR(NUMBERVALUE(CriteriTecnici!$L881,",","."),0))),4)&amp;""),",",".")&amp;", "&amp;CHAR(34)&amp;"flag"&amp;CHAR(34)&amp;": "&amp;SUBSTITUTE(TRIM(ROUND(IFERROR(CriteriTecnici!$M881*1,IFERROR(NUMBERVALUE(CriteriTecnici!$M881,".",","),IFERROR(NUMBERVALUE(CriteriTecnici!$M881,",","."),0))),4)&amp;""),",",".")&amp;", "&amp;CHAR(34)&amp;"rawScore"&amp;CHAR(34)&amp;": "&amp;SUBSTITUTE(TRIM(ROUND(IFERROR(CriteriTecnici!$O881*1,IFERROR(NUMBERVALUE(CriteriTecnici!$O881,".",","),IFERROR(NUMBERVALUE(CriteriTecnici!$O881,",","."),0))),4)&amp;""),",",".")&amp;CHAR(125)&amp;IF(TRUE,",",""))</f>
        <v/>
      </c>
    </row>
    <row r="983">
      <c r="A983" s="82">
        <f>IF(CriteriTecnici!$A882="","","    "&amp;CHAR(123)&amp;CHAR(34)&amp;"bidderId"&amp;CHAR(34)&amp;": "&amp;CHAR(34)&amp;SUBSTITUTE(CriteriTecnici!$A882,CHAR(34),"'")&amp;CHAR(34)&amp;", "&amp;CHAR(34)&amp;"lotId"&amp;CHAR(34)&amp;": "&amp;CHAR(34)&amp;SUBSTITUTE(CriteriTecnici!$C882,CHAR(34),"'")&amp;CHAR(34)&amp;", "&amp;CHAR(34)&amp;"criterionId"&amp;CHAR(34)&amp;": "&amp;CHAR(34)&amp;SUBSTITUTE(CriteriTecnici!$D882,CHAR(34),"'")&amp;CHAR(34)&amp;", "&amp;CHAR(34)&amp;"kind"&amp;CHAR(34)&amp;": "&amp;CHAR(34)&amp;SUBSTITUTE(CriteriTecnici!$F882,CHAR(34),"'")&amp;CHAR(34)&amp;", "&amp;CHAR(34)&amp;"value"&amp;CHAR(34)&amp;": "&amp;SUBSTITUTE(TRIM(ROUND(IFERROR(CriteriTecnici!$N882*1,IFERROR(NUMBERVALUE(CriteriTecnici!$N882,".",","),IFERROR(NUMBERVALUE(CriteriTecnici!$N882,",","."),0))),4)&amp;""),",",".")&amp;", "&amp;CHAR(34)&amp;"numerator"&amp;CHAR(34)&amp;": "&amp;SUBSTITUTE(TRIM(ROUND(IFERROR(CriteriTecnici!$K882*1,IFERROR(NUMBERVALUE(CriteriTecnici!$K882,".",","),IFERROR(NUMBERVALUE(CriteriTecnici!$K882,",","."),0))),4)&amp;""),",",".")&amp;", "&amp;CHAR(34)&amp;"denominator"&amp;CHAR(34)&amp;": "&amp;SUBSTITUTE(TRIM(ROUND(IFERROR(CriteriTecnici!$L882*1,IFERROR(NUMBERVALUE(CriteriTecnici!$L882,".",","),IFERROR(NUMBERVALUE(CriteriTecnici!$L882,",","."),0))),4)&amp;""),",",".")&amp;", "&amp;CHAR(34)&amp;"flag"&amp;CHAR(34)&amp;": "&amp;SUBSTITUTE(TRIM(ROUND(IFERROR(CriteriTecnici!$M882*1,IFERROR(NUMBERVALUE(CriteriTecnici!$M882,".",","),IFERROR(NUMBERVALUE(CriteriTecnici!$M882,",","."),0))),4)&amp;""),",",".")&amp;", "&amp;CHAR(34)&amp;"rawScore"&amp;CHAR(34)&amp;": "&amp;SUBSTITUTE(TRIM(ROUND(IFERROR(CriteriTecnici!$O882*1,IFERROR(NUMBERVALUE(CriteriTecnici!$O882,".",","),IFERROR(NUMBERVALUE(CriteriTecnici!$O882,",","."),0))),4)&amp;""),",",".")&amp;CHAR(125)&amp;IF(TRUE,",",""))</f>
        <v/>
      </c>
    </row>
    <row r="984">
      <c r="A984" s="82">
        <f>IF(CriteriTecnici!$A883="","","    "&amp;CHAR(123)&amp;CHAR(34)&amp;"bidderId"&amp;CHAR(34)&amp;": "&amp;CHAR(34)&amp;SUBSTITUTE(CriteriTecnici!$A883,CHAR(34),"'")&amp;CHAR(34)&amp;", "&amp;CHAR(34)&amp;"lotId"&amp;CHAR(34)&amp;": "&amp;CHAR(34)&amp;SUBSTITUTE(CriteriTecnici!$C883,CHAR(34),"'")&amp;CHAR(34)&amp;", "&amp;CHAR(34)&amp;"criterionId"&amp;CHAR(34)&amp;": "&amp;CHAR(34)&amp;SUBSTITUTE(CriteriTecnici!$D883,CHAR(34),"'")&amp;CHAR(34)&amp;", "&amp;CHAR(34)&amp;"kind"&amp;CHAR(34)&amp;": "&amp;CHAR(34)&amp;SUBSTITUTE(CriteriTecnici!$F883,CHAR(34),"'")&amp;CHAR(34)&amp;", "&amp;CHAR(34)&amp;"value"&amp;CHAR(34)&amp;": "&amp;SUBSTITUTE(TRIM(ROUND(IFERROR(CriteriTecnici!$N883*1,IFERROR(NUMBERVALUE(CriteriTecnici!$N883,".",","),IFERROR(NUMBERVALUE(CriteriTecnici!$N883,",","."),0))),4)&amp;""),",",".")&amp;", "&amp;CHAR(34)&amp;"numerator"&amp;CHAR(34)&amp;": "&amp;SUBSTITUTE(TRIM(ROUND(IFERROR(CriteriTecnici!$K883*1,IFERROR(NUMBERVALUE(CriteriTecnici!$K883,".",","),IFERROR(NUMBERVALUE(CriteriTecnici!$K883,",","."),0))),4)&amp;""),",",".")&amp;", "&amp;CHAR(34)&amp;"denominator"&amp;CHAR(34)&amp;": "&amp;SUBSTITUTE(TRIM(ROUND(IFERROR(CriteriTecnici!$L883*1,IFERROR(NUMBERVALUE(CriteriTecnici!$L883,".",","),IFERROR(NUMBERVALUE(CriteriTecnici!$L883,",","."),0))),4)&amp;""),",",".")&amp;", "&amp;CHAR(34)&amp;"flag"&amp;CHAR(34)&amp;": "&amp;SUBSTITUTE(TRIM(ROUND(IFERROR(CriteriTecnici!$M883*1,IFERROR(NUMBERVALUE(CriteriTecnici!$M883,".",","),IFERROR(NUMBERVALUE(CriteriTecnici!$M883,",","."),0))),4)&amp;""),",",".")&amp;", "&amp;CHAR(34)&amp;"rawScore"&amp;CHAR(34)&amp;": "&amp;SUBSTITUTE(TRIM(ROUND(IFERROR(CriteriTecnici!$O883*1,IFERROR(NUMBERVALUE(CriteriTecnici!$O883,".",","),IFERROR(NUMBERVALUE(CriteriTecnici!$O883,",","."),0))),4)&amp;""),",",".")&amp;CHAR(125)&amp;IF(TRUE,",",""))</f>
        <v/>
      </c>
    </row>
    <row r="985">
      <c r="A985" s="82">
        <f>IF(CriteriTecnici!$A884="","","    "&amp;CHAR(123)&amp;CHAR(34)&amp;"bidderId"&amp;CHAR(34)&amp;": "&amp;CHAR(34)&amp;SUBSTITUTE(CriteriTecnici!$A884,CHAR(34),"'")&amp;CHAR(34)&amp;", "&amp;CHAR(34)&amp;"lotId"&amp;CHAR(34)&amp;": "&amp;CHAR(34)&amp;SUBSTITUTE(CriteriTecnici!$C884,CHAR(34),"'")&amp;CHAR(34)&amp;", "&amp;CHAR(34)&amp;"criterionId"&amp;CHAR(34)&amp;": "&amp;CHAR(34)&amp;SUBSTITUTE(CriteriTecnici!$D884,CHAR(34),"'")&amp;CHAR(34)&amp;", "&amp;CHAR(34)&amp;"kind"&amp;CHAR(34)&amp;": "&amp;CHAR(34)&amp;SUBSTITUTE(CriteriTecnici!$F884,CHAR(34),"'")&amp;CHAR(34)&amp;", "&amp;CHAR(34)&amp;"value"&amp;CHAR(34)&amp;": "&amp;SUBSTITUTE(TRIM(ROUND(IFERROR(CriteriTecnici!$N884*1,IFERROR(NUMBERVALUE(CriteriTecnici!$N884,".",","),IFERROR(NUMBERVALUE(CriteriTecnici!$N884,",","."),0))),4)&amp;""),",",".")&amp;", "&amp;CHAR(34)&amp;"numerator"&amp;CHAR(34)&amp;": "&amp;SUBSTITUTE(TRIM(ROUND(IFERROR(CriteriTecnici!$K884*1,IFERROR(NUMBERVALUE(CriteriTecnici!$K884,".",","),IFERROR(NUMBERVALUE(CriteriTecnici!$K884,",","."),0))),4)&amp;""),",",".")&amp;", "&amp;CHAR(34)&amp;"denominator"&amp;CHAR(34)&amp;": "&amp;SUBSTITUTE(TRIM(ROUND(IFERROR(CriteriTecnici!$L884*1,IFERROR(NUMBERVALUE(CriteriTecnici!$L884,".",","),IFERROR(NUMBERVALUE(CriteriTecnici!$L884,",","."),0))),4)&amp;""),",",".")&amp;", "&amp;CHAR(34)&amp;"flag"&amp;CHAR(34)&amp;": "&amp;SUBSTITUTE(TRIM(ROUND(IFERROR(CriteriTecnici!$M884*1,IFERROR(NUMBERVALUE(CriteriTecnici!$M884,".",","),IFERROR(NUMBERVALUE(CriteriTecnici!$M884,",","."),0))),4)&amp;""),",",".")&amp;", "&amp;CHAR(34)&amp;"rawScore"&amp;CHAR(34)&amp;": "&amp;SUBSTITUTE(TRIM(ROUND(IFERROR(CriteriTecnici!$O884*1,IFERROR(NUMBERVALUE(CriteriTecnici!$O884,".",","),IFERROR(NUMBERVALUE(CriteriTecnici!$O884,",","."),0))),4)&amp;""),",",".")&amp;CHAR(125)&amp;IF(TRUE,",",""))</f>
        <v/>
      </c>
    </row>
    <row r="986">
      <c r="A986" s="82">
        <f>IF(CriteriTecnici!$A885="","","    "&amp;CHAR(123)&amp;CHAR(34)&amp;"bidderId"&amp;CHAR(34)&amp;": "&amp;CHAR(34)&amp;SUBSTITUTE(CriteriTecnici!$A885,CHAR(34),"'")&amp;CHAR(34)&amp;", "&amp;CHAR(34)&amp;"lotId"&amp;CHAR(34)&amp;": "&amp;CHAR(34)&amp;SUBSTITUTE(CriteriTecnici!$C885,CHAR(34),"'")&amp;CHAR(34)&amp;", "&amp;CHAR(34)&amp;"criterionId"&amp;CHAR(34)&amp;": "&amp;CHAR(34)&amp;SUBSTITUTE(CriteriTecnici!$D885,CHAR(34),"'")&amp;CHAR(34)&amp;", "&amp;CHAR(34)&amp;"kind"&amp;CHAR(34)&amp;": "&amp;CHAR(34)&amp;SUBSTITUTE(CriteriTecnici!$F885,CHAR(34),"'")&amp;CHAR(34)&amp;", "&amp;CHAR(34)&amp;"value"&amp;CHAR(34)&amp;": "&amp;SUBSTITUTE(TRIM(ROUND(IFERROR(CriteriTecnici!$N885*1,IFERROR(NUMBERVALUE(CriteriTecnici!$N885,".",","),IFERROR(NUMBERVALUE(CriteriTecnici!$N885,",","."),0))),4)&amp;""),",",".")&amp;", "&amp;CHAR(34)&amp;"numerator"&amp;CHAR(34)&amp;": "&amp;SUBSTITUTE(TRIM(ROUND(IFERROR(CriteriTecnici!$K885*1,IFERROR(NUMBERVALUE(CriteriTecnici!$K885,".",","),IFERROR(NUMBERVALUE(CriteriTecnici!$K885,",","."),0))),4)&amp;""),",",".")&amp;", "&amp;CHAR(34)&amp;"denominator"&amp;CHAR(34)&amp;": "&amp;SUBSTITUTE(TRIM(ROUND(IFERROR(CriteriTecnici!$L885*1,IFERROR(NUMBERVALUE(CriteriTecnici!$L885,".",","),IFERROR(NUMBERVALUE(CriteriTecnici!$L885,",","."),0))),4)&amp;""),",",".")&amp;", "&amp;CHAR(34)&amp;"flag"&amp;CHAR(34)&amp;": "&amp;SUBSTITUTE(TRIM(ROUND(IFERROR(CriteriTecnici!$M885*1,IFERROR(NUMBERVALUE(CriteriTecnici!$M885,".",","),IFERROR(NUMBERVALUE(CriteriTecnici!$M885,",","."),0))),4)&amp;""),",",".")&amp;", "&amp;CHAR(34)&amp;"rawScore"&amp;CHAR(34)&amp;": "&amp;SUBSTITUTE(TRIM(ROUND(IFERROR(CriteriTecnici!$O885*1,IFERROR(NUMBERVALUE(CriteriTecnici!$O885,".",","),IFERROR(NUMBERVALUE(CriteriTecnici!$O885,",","."),0))),4)&amp;""),",",".")&amp;CHAR(125)&amp;IF(TRUE,",",""))</f>
        <v/>
      </c>
    </row>
    <row r="987">
      <c r="A987" s="82">
        <f>IF(CriteriTecnici!$A886="","","    "&amp;CHAR(123)&amp;CHAR(34)&amp;"bidderId"&amp;CHAR(34)&amp;": "&amp;CHAR(34)&amp;SUBSTITUTE(CriteriTecnici!$A886,CHAR(34),"'")&amp;CHAR(34)&amp;", "&amp;CHAR(34)&amp;"lotId"&amp;CHAR(34)&amp;": "&amp;CHAR(34)&amp;SUBSTITUTE(CriteriTecnici!$C886,CHAR(34),"'")&amp;CHAR(34)&amp;", "&amp;CHAR(34)&amp;"criterionId"&amp;CHAR(34)&amp;": "&amp;CHAR(34)&amp;SUBSTITUTE(CriteriTecnici!$D886,CHAR(34),"'")&amp;CHAR(34)&amp;", "&amp;CHAR(34)&amp;"kind"&amp;CHAR(34)&amp;": "&amp;CHAR(34)&amp;SUBSTITUTE(CriteriTecnici!$F886,CHAR(34),"'")&amp;CHAR(34)&amp;", "&amp;CHAR(34)&amp;"value"&amp;CHAR(34)&amp;": "&amp;SUBSTITUTE(TRIM(ROUND(IFERROR(CriteriTecnici!$N886*1,IFERROR(NUMBERVALUE(CriteriTecnici!$N886,".",","),IFERROR(NUMBERVALUE(CriteriTecnici!$N886,",","."),0))),4)&amp;""),",",".")&amp;", "&amp;CHAR(34)&amp;"numerator"&amp;CHAR(34)&amp;": "&amp;SUBSTITUTE(TRIM(ROUND(IFERROR(CriteriTecnici!$K886*1,IFERROR(NUMBERVALUE(CriteriTecnici!$K886,".",","),IFERROR(NUMBERVALUE(CriteriTecnici!$K886,",","."),0))),4)&amp;""),",",".")&amp;", "&amp;CHAR(34)&amp;"denominator"&amp;CHAR(34)&amp;": "&amp;SUBSTITUTE(TRIM(ROUND(IFERROR(CriteriTecnici!$L886*1,IFERROR(NUMBERVALUE(CriteriTecnici!$L886,".",","),IFERROR(NUMBERVALUE(CriteriTecnici!$L886,",","."),0))),4)&amp;""),",",".")&amp;", "&amp;CHAR(34)&amp;"flag"&amp;CHAR(34)&amp;": "&amp;SUBSTITUTE(TRIM(ROUND(IFERROR(CriteriTecnici!$M886*1,IFERROR(NUMBERVALUE(CriteriTecnici!$M886,".",","),IFERROR(NUMBERVALUE(CriteriTecnici!$M886,",","."),0))),4)&amp;""),",",".")&amp;", "&amp;CHAR(34)&amp;"rawScore"&amp;CHAR(34)&amp;": "&amp;SUBSTITUTE(TRIM(ROUND(IFERROR(CriteriTecnici!$O886*1,IFERROR(NUMBERVALUE(CriteriTecnici!$O886,".",","),IFERROR(NUMBERVALUE(CriteriTecnici!$O886,",","."),0))),4)&amp;""),",",".")&amp;CHAR(125)&amp;IF(TRUE,",",""))</f>
        <v/>
      </c>
    </row>
    <row r="988">
      <c r="A988" s="82">
        <f>IF(CriteriTecnici!$A887="","","    "&amp;CHAR(123)&amp;CHAR(34)&amp;"bidderId"&amp;CHAR(34)&amp;": "&amp;CHAR(34)&amp;SUBSTITUTE(CriteriTecnici!$A887,CHAR(34),"'")&amp;CHAR(34)&amp;", "&amp;CHAR(34)&amp;"lotId"&amp;CHAR(34)&amp;": "&amp;CHAR(34)&amp;SUBSTITUTE(CriteriTecnici!$C887,CHAR(34),"'")&amp;CHAR(34)&amp;", "&amp;CHAR(34)&amp;"criterionId"&amp;CHAR(34)&amp;": "&amp;CHAR(34)&amp;SUBSTITUTE(CriteriTecnici!$D887,CHAR(34),"'")&amp;CHAR(34)&amp;", "&amp;CHAR(34)&amp;"kind"&amp;CHAR(34)&amp;": "&amp;CHAR(34)&amp;SUBSTITUTE(CriteriTecnici!$F887,CHAR(34),"'")&amp;CHAR(34)&amp;", "&amp;CHAR(34)&amp;"value"&amp;CHAR(34)&amp;": "&amp;SUBSTITUTE(TRIM(ROUND(IFERROR(CriteriTecnici!$N887*1,IFERROR(NUMBERVALUE(CriteriTecnici!$N887,".",","),IFERROR(NUMBERVALUE(CriteriTecnici!$N887,",","."),0))),4)&amp;""),",",".")&amp;", "&amp;CHAR(34)&amp;"numerator"&amp;CHAR(34)&amp;": "&amp;SUBSTITUTE(TRIM(ROUND(IFERROR(CriteriTecnici!$K887*1,IFERROR(NUMBERVALUE(CriteriTecnici!$K887,".",","),IFERROR(NUMBERVALUE(CriteriTecnici!$K887,",","."),0))),4)&amp;""),",",".")&amp;", "&amp;CHAR(34)&amp;"denominator"&amp;CHAR(34)&amp;": "&amp;SUBSTITUTE(TRIM(ROUND(IFERROR(CriteriTecnici!$L887*1,IFERROR(NUMBERVALUE(CriteriTecnici!$L887,".",","),IFERROR(NUMBERVALUE(CriteriTecnici!$L887,",","."),0))),4)&amp;""),",",".")&amp;", "&amp;CHAR(34)&amp;"flag"&amp;CHAR(34)&amp;": "&amp;SUBSTITUTE(TRIM(ROUND(IFERROR(CriteriTecnici!$M887*1,IFERROR(NUMBERVALUE(CriteriTecnici!$M887,".",","),IFERROR(NUMBERVALUE(CriteriTecnici!$M887,",","."),0))),4)&amp;""),",",".")&amp;", "&amp;CHAR(34)&amp;"rawScore"&amp;CHAR(34)&amp;": "&amp;SUBSTITUTE(TRIM(ROUND(IFERROR(CriteriTecnici!$O887*1,IFERROR(NUMBERVALUE(CriteriTecnici!$O887,".",","),IFERROR(NUMBERVALUE(CriteriTecnici!$O887,",","."),0))),4)&amp;""),",",".")&amp;CHAR(125)&amp;IF(TRUE,",",""))</f>
        <v/>
      </c>
    </row>
    <row r="989">
      <c r="A989" s="82">
        <f>IF(CriteriTecnici!$A888="","","    "&amp;CHAR(123)&amp;CHAR(34)&amp;"bidderId"&amp;CHAR(34)&amp;": "&amp;CHAR(34)&amp;SUBSTITUTE(CriteriTecnici!$A888,CHAR(34),"'")&amp;CHAR(34)&amp;", "&amp;CHAR(34)&amp;"lotId"&amp;CHAR(34)&amp;": "&amp;CHAR(34)&amp;SUBSTITUTE(CriteriTecnici!$C888,CHAR(34),"'")&amp;CHAR(34)&amp;", "&amp;CHAR(34)&amp;"criterionId"&amp;CHAR(34)&amp;": "&amp;CHAR(34)&amp;SUBSTITUTE(CriteriTecnici!$D888,CHAR(34),"'")&amp;CHAR(34)&amp;", "&amp;CHAR(34)&amp;"kind"&amp;CHAR(34)&amp;": "&amp;CHAR(34)&amp;SUBSTITUTE(CriteriTecnici!$F888,CHAR(34),"'")&amp;CHAR(34)&amp;", "&amp;CHAR(34)&amp;"value"&amp;CHAR(34)&amp;": "&amp;SUBSTITUTE(TRIM(ROUND(IFERROR(CriteriTecnici!$N888*1,IFERROR(NUMBERVALUE(CriteriTecnici!$N888,".",","),IFERROR(NUMBERVALUE(CriteriTecnici!$N888,",","."),0))),4)&amp;""),",",".")&amp;", "&amp;CHAR(34)&amp;"numerator"&amp;CHAR(34)&amp;": "&amp;SUBSTITUTE(TRIM(ROUND(IFERROR(CriteriTecnici!$K888*1,IFERROR(NUMBERVALUE(CriteriTecnici!$K888,".",","),IFERROR(NUMBERVALUE(CriteriTecnici!$K888,",","."),0))),4)&amp;""),",",".")&amp;", "&amp;CHAR(34)&amp;"denominator"&amp;CHAR(34)&amp;": "&amp;SUBSTITUTE(TRIM(ROUND(IFERROR(CriteriTecnici!$L888*1,IFERROR(NUMBERVALUE(CriteriTecnici!$L888,".",","),IFERROR(NUMBERVALUE(CriteriTecnici!$L888,",","."),0))),4)&amp;""),",",".")&amp;", "&amp;CHAR(34)&amp;"flag"&amp;CHAR(34)&amp;": "&amp;SUBSTITUTE(TRIM(ROUND(IFERROR(CriteriTecnici!$M888*1,IFERROR(NUMBERVALUE(CriteriTecnici!$M888,".",","),IFERROR(NUMBERVALUE(CriteriTecnici!$M888,",","."),0))),4)&amp;""),",",".")&amp;", "&amp;CHAR(34)&amp;"rawScore"&amp;CHAR(34)&amp;": "&amp;SUBSTITUTE(TRIM(ROUND(IFERROR(CriteriTecnici!$O888*1,IFERROR(NUMBERVALUE(CriteriTecnici!$O888,".",","),IFERROR(NUMBERVALUE(CriteriTecnici!$O888,",","."),0))),4)&amp;""),",",".")&amp;CHAR(125)&amp;IF(TRUE,",",""))</f>
        <v/>
      </c>
    </row>
    <row r="990">
      <c r="A990" s="82">
        <f>IF(CriteriTecnici!$A889="","","    "&amp;CHAR(123)&amp;CHAR(34)&amp;"bidderId"&amp;CHAR(34)&amp;": "&amp;CHAR(34)&amp;SUBSTITUTE(CriteriTecnici!$A889,CHAR(34),"'")&amp;CHAR(34)&amp;", "&amp;CHAR(34)&amp;"lotId"&amp;CHAR(34)&amp;": "&amp;CHAR(34)&amp;SUBSTITUTE(CriteriTecnici!$C889,CHAR(34),"'")&amp;CHAR(34)&amp;", "&amp;CHAR(34)&amp;"criterionId"&amp;CHAR(34)&amp;": "&amp;CHAR(34)&amp;SUBSTITUTE(CriteriTecnici!$D889,CHAR(34),"'")&amp;CHAR(34)&amp;", "&amp;CHAR(34)&amp;"kind"&amp;CHAR(34)&amp;": "&amp;CHAR(34)&amp;SUBSTITUTE(CriteriTecnici!$F889,CHAR(34),"'")&amp;CHAR(34)&amp;", "&amp;CHAR(34)&amp;"value"&amp;CHAR(34)&amp;": "&amp;SUBSTITUTE(TRIM(ROUND(IFERROR(CriteriTecnici!$N889*1,IFERROR(NUMBERVALUE(CriteriTecnici!$N889,".",","),IFERROR(NUMBERVALUE(CriteriTecnici!$N889,",","."),0))),4)&amp;""),",",".")&amp;", "&amp;CHAR(34)&amp;"numerator"&amp;CHAR(34)&amp;": "&amp;SUBSTITUTE(TRIM(ROUND(IFERROR(CriteriTecnici!$K889*1,IFERROR(NUMBERVALUE(CriteriTecnici!$K889,".",","),IFERROR(NUMBERVALUE(CriteriTecnici!$K889,",","."),0))),4)&amp;""),",",".")&amp;", "&amp;CHAR(34)&amp;"denominator"&amp;CHAR(34)&amp;": "&amp;SUBSTITUTE(TRIM(ROUND(IFERROR(CriteriTecnici!$L889*1,IFERROR(NUMBERVALUE(CriteriTecnici!$L889,".",","),IFERROR(NUMBERVALUE(CriteriTecnici!$L889,",","."),0))),4)&amp;""),",",".")&amp;", "&amp;CHAR(34)&amp;"flag"&amp;CHAR(34)&amp;": "&amp;SUBSTITUTE(TRIM(ROUND(IFERROR(CriteriTecnici!$M889*1,IFERROR(NUMBERVALUE(CriteriTecnici!$M889,".",","),IFERROR(NUMBERVALUE(CriteriTecnici!$M889,",","."),0))),4)&amp;""),",",".")&amp;", "&amp;CHAR(34)&amp;"rawScore"&amp;CHAR(34)&amp;": "&amp;SUBSTITUTE(TRIM(ROUND(IFERROR(CriteriTecnici!$O889*1,IFERROR(NUMBERVALUE(CriteriTecnici!$O889,".",","),IFERROR(NUMBERVALUE(CriteriTecnici!$O889,",","."),0))),4)&amp;""),",",".")&amp;CHAR(125)&amp;IF(TRUE,",",""))</f>
        <v/>
      </c>
    </row>
    <row r="991">
      <c r="A991" s="82">
        <f>IF(CriteriTecnici!$A890="","","    "&amp;CHAR(123)&amp;CHAR(34)&amp;"bidderId"&amp;CHAR(34)&amp;": "&amp;CHAR(34)&amp;SUBSTITUTE(CriteriTecnici!$A890,CHAR(34),"'")&amp;CHAR(34)&amp;", "&amp;CHAR(34)&amp;"lotId"&amp;CHAR(34)&amp;": "&amp;CHAR(34)&amp;SUBSTITUTE(CriteriTecnici!$C890,CHAR(34),"'")&amp;CHAR(34)&amp;", "&amp;CHAR(34)&amp;"criterionId"&amp;CHAR(34)&amp;": "&amp;CHAR(34)&amp;SUBSTITUTE(CriteriTecnici!$D890,CHAR(34),"'")&amp;CHAR(34)&amp;", "&amp;CHAR(34)&amp;"kind"&amp;CHAR(34)&amp;": "&amp;CHAR(34)&amp;SUBSTITUTE(CriteriTecnici!$F890,CHAR(34),"'")&amp;CHAR(34)&amp;", "&amp;CHAR(34)&amp;"value"&amp;CHAR(34)&amp;": "&amp;SUBSTITUTE(TRIM(ROUND(IFERROR(CriteriTecnici!$N890*1,IFERROR(NUMBERVALUE(CriteriTecnici!$N890,".",","),IFERROR(NUMBERVALUE(CriteriTecnici!$N890,",","."),0))),4)&amp;""),",",".")&amp;", "&amp;CHAR(34)&amp;"numerator"&amp;CHAR(34)&amp;": "&amp;SUBSTITUTE(TRIM(ROUND(IFERROR(CriteriTecnici!$K890*1,IFERROR(NUMBERVALUE(CriteriTecnici!$K890,".",","),IFERROR(NUMBERVALUE(CriteriTecnici!$K890,",","."),0))),4)&amp;""),",",".")&amp;", "&amp;CHAR(34)&amp;"denominator"&amp;CHAR(34)&amp;": "&amp;SUBSTITUTE(TRIM(ROUND(IFERROR(CriteriTecnici!$L890*1,IFERROR(NUMBERVALUE(CriteriTecnici!$L890,".",","),IFERROR(NUMBERVALUE(CriteriTecnici!$L890,",","."),0))),4)&amp;""),",",".")&amp;", "&amp;CHAR(34)&amp;"flag"&amp;CHAR(34)&amp;": "&amp;SUBSTITUTE(TRIM(ROUND(IFERROR(CriteriTecnici!$M890*1,IFERROR(NUMBERVALUE(CriteriTecnici!$M890,".",","),IFERROR(NUMBERVALUE(CriteriTecnici!$M890,",","."),0))),4)&amp;""),",",".")&amp;", "&amp;CHAR(34)&amp;"rawScore"&amp;CHAR(34)&amp;": "&amp;SUBSTITUTE(TRIM(ROUND(IFERROR(CriteriTecnici!$O890*1,IFERROR(NUMBERVALUE(CriteriTecnici!$O890,".",","),IFERROR(NUMBERVALUE(CriteriTecnici!$O890,",","."),0))),4)&amp;""),",",".")&amp;CHAR(125)&amp;IF(TRUE,",",""))</f>
        <v/>
      </c>
    </row>
    <row r="992">
      <c r="A992" s="82">
        <f>IF(CriteriTecnici!$A891="","","    "&amp;CHAR(123)&amp;CHAR(34)&amp;"bidderId"&amp;CHAR(34)&amp;": "&amp;CHAR(34)&amp;SUBSTITUTE(CriteriTecnici!$A891,CHAR(34),"'")&amp;CHAR(34)&amp;", "&amp;CHAR(34)&amp;"lotId"&amp;CHAR(34)&amp;": "&amp;CHAR(34)&amp;SUBSTITUTE(CriteriTecnici!$C891,CHAR(34),"'")&amp;CHAR(34)&amp;", "&amp;CHAR(34)&amp;"criterionId"&amp;CHAR(34)&amp;": "&amp;CHAR(34)&amp;SUBSTITUTE(CriteriTecnici!$D891,CHAR(34),"'")&amp;CHAR(34)&amp;", "&amp;CHAR(34)&amp;"kind"&amp;CHAR(34)&amp;": "&amp;CHAR(34)&amp;SUBSTITUTE(CriteriTecnici!$F891,CHAR(34),"'")&amp;CHAR(34)&amp;", "&amp;CHAR(34)&amp;"value"&amp;CHAR(34)&amp;": "&amp;SUBSTITUTE(TRIM(ROUND(IFERROR(CriteriTecnici!$N891*1,IFERROR(NUMBERVALUE(CriteriTecnici!$N891,".",","),IFERROR(NUMBERVALUE(CriteriTecnici!$N891,",","."),0))),4)&amp;""),",",".")&amp;", "&amp;CHAR(34)&amp;"numerator"&amp;CHAR(34)&amp;": "&amp;SUBSTITUTE(TRIM(ROUND(IFERROR(CriteriTecnici!$K891*1,IFERROR(NUMBERVALUE(CriteriTecnici!$K891,".",","),IFERROR(NUMBERVALUE(CriteriTecnici!$K891,",","."),0))),4)&amp;""),",",".")&amp;", "&amp;CHAR(34)&amp;"denominator"&amp;CHAR(34)&amp;": "&amp;SUBSTITUTE(TRIM(ROUND(IFERROR(CriteriTecnici!$L891*1,IFERROR(NUMBERVALUE(CriteriTecnici!$L891,".",","),IFERROR(NUMBERVALUE(CriteriTecnici!$L891,",","."),0))),4)&amp;""),",",".")&amp;", "&amp;CHAR(34)&amp;"flag"&amp;CHAR(34)&amp;": "&amp;SUBSTITUTE(TRIM(ROUND(IFERROR(CriteriTecnici!$M891*1,IFERROR(NUMBERVALUE(CriteriTecnici!$M891,".",","),IFERROR(NUMBERVALUE(CriteriTecnici!$M891,",","."),0))),4)&amp;""),",",".")&amp;", "&amp;CHAR(34)&amp;"rawScore"&amp;CHAR(34)&amp;": "&amp;SUBSTITUTE(TRIM(ROUND(IFERROR(CriteriTecnici!$O891*1,IFERROR(NUMBERVALUE(CriteriTecnici!$O891,".",","),IFERROR(NUMBERVALUE(CriteriTecnici!$O891,",","."),0))),4)&amp;""),",",".")&amp;CHAR(125)&amp;IF(TRUE,",",""))</f>
        <v/>
      </c>
    </row>
    <row r="993">
      <c r="A993" s="82">
        <f>IF(CriteriTecnici!$A892="","","    "&amp;CHAR(123)&amp;CHAR(34)&amp;"bidderId"&amp;CHAR(34)&amp;": "&amp;CHAR(34)&amp;SUBSTITUTE(CriteriTecnici!$A892,CHAR(34),"'")&amp;CHAR(34)&amp;", "&amp;CHAR(34)&amp;"lotId"&amp;CHAR(34)&amp;": "&amp;CHAR(34)&amp;SUBSTITUTE(CriteriTecnici!$C892,CHAR(34),"'")&amp;CHAR(34)&amp;", "&amp;CHAR(34)&amp;"criterionId"&amp;CHAR(34)&amp;": "&amp;CHAR(34)&amp;SUBSTITUTE(CriteriTecnici!$D892,CHAR(34),"'")&amp;CHAR(34)&amp;", "&amp;CHAR(34)&amp;"kind"&amp;CHAR(34)&amp;": "&amp;CHAR(34)&amp;SUBSTITUTE(CriteriTecnici!$F892,CHAR(34),"'")&amp;CHAR(34)&amp;", "&amp;CHAR(34)&amp;"value"&amp;CHAR(34)&amp;": "&amp;SUBSTITUTE(TRIM(ROUND(IFERROR(CriteriTecnici!$N892*1,IFERROR(NUMBERVALUE(CriteriTecnici!$N892,".",","),IFERROR(NUMBERVALUE(CriteriTecnici!$N892,",","."),0))),4)&amp;""),",",".")&amp;", "&amp;CHAR(34)&amp;"numerator"&amp;CHAR(34)&amp;": "&amp;SUBSTITUTE(TRIM(ROUND(IFERROR(CriteriTecnici!$K892*1,IFERROR(NUMBERVALUE(CriteriTecnici!$K892,".",","),IFERROR(NUMBERVALUE(CriteriTecnici!$K892,",","."),0))),4)&amp;""),",",".")&amp;", "&amp;CHAR(34)&amp;"denominator"&amp;CHAR(34)&amp;": "&amp;SUBSTITUTE(TRIM(ROUND(IFERROR(CriteriTecnici!$L892*1,IFERROR(NUMBERVALUE(CriteriTecnici!$L892,".",","),IFERROR(NUMBERVALUE(CriteriTecnici!$L892,",","."),0))),4)&amp;""),",",".")&amp;", "&amp;CHAR(34)&amp;"flag"&amp;CHAR(34)&amp;": "&amp;SUBSTITUTE(TRIM(ROUND(IFERROR(CriteriTecnici!$M892*1,IFERROR(NUMBERVALUE(CriteriTecnici!$M892,".",","),IFERROR(NUMBERVALUE(CriteriTecnici!$M892,",","."),0))),4)&amp;""),",",".")&amp;", "&amp;CHAR(34)&amp;"rawScore"&amp;CHAR(34)&amp;": "&amp;SUBSTITUTE(TRIM(ROUND(IFERROR(CriteriTecnici!$O892*1,IFERROR(NUMBERVALUE(CriteriTecnici!$O892,".",","),IFERROR(NUMBERVALUE(CriteriTecnici!$O892,",","."),0))),4)&amp;""),",",".")&amp;CHAR(125)&amp;IF(TRUE,",",""))</f>
        <v/>
      </c>
    </row>
    <row r="994">
      <c r="A994" s="82">
        <f>IF(CriteriTecnici!$A893="","","    "&amp;CHAR(123)&amp;CHAR(34)&amp;"bidderId"&amp;CHAR(34)&amp;": "&amp;CHAR(34)&amp;SUBSTITUTE(CriteriTecnici!$A893,CHAR(34),"'")&amp;CHAR(34)&amp;", "&amp;CHAR(34)&amp;"lotId"&amp;CHAR(34)&amp;": "&amp;CHAR(34)&amp;SUBSTITUTE(CriteriTecnici!$C893,CHAR(34),"'")&amp;CHAR(34)&amp;", "&amp;CHAR(34)&amp;"criterionId"&amp;CHAR(34)&amp;": "&amp;CHAR(34)&amp;SUBSTITUTE(CriteriTecnici!$D893,CHAR(34),"'")&amp;CHAR(34)&amp;", "&amp;CHAR(34)&amp;"kind"&amp;CHAR(34)&amp;": "&amp;CHAR(34)&amp;SUBSTITUTE(CriteriTecnici!$F893,CHAR(34),"'")&amp;CHAR(34)&amp;", "&amp;CHAR(34)&amp;"value"&amp;CHAR(34)&amp;": "&amp;SUBSTITUTE(TRIM(ROUND(IFERROR(CriteriTecnici!$N893*1,IFERROR(NUMBERVALUE(CriteriTecnici!$N893,".",","),IFERROR(NUMBERVALUE(CriteriTecnici!$N893,",","."),0))),4)&amp;""),",",".")&amp;", "&amp;CHAR(34)&amp;"numerator"&amp;CHAR(34)&amp;": "&amp;SUBSTITUTE(TRIM(ROUND(IFERROR(CriteriTecnici!$K893*1,IFERROR(NUMBERVALUE(CriteriTecnici!$K893,".",","),IFERROR(NUMBERVALUE(CriteriTecnici!$K893,",","."),0))),4)&amp;""),",",".")&amp;", "&amp;CHAR(34)&amp;"denominator"&amp;CHAR(34)&amp;": "&amp;SUBSTITUTE(TRIM(ROUND(IFERROR(CriteriTecnici!$L893*1,IFERROR(NUMBERVALUE(CriteriTecnici!$L893,".",","),IFERROR(NUMBERVALUE(CriteriTecnici!$L893,",","."),0))),4)&amp;""),",",".")&amp;", "&amp;CHAR(34)&amp;"flag"&amp;CHAR(34)&amp;": "&amp;SUBSTITUTE(TRIM(ROUND(IFERROR(CriteriTecnici!$M893*1,IFERROR(NUMBERVALUE(CriteriTecnici!$M893,".",","),IFERROR(NUMBERVALUE(CriteriTecnici!$M893,",","."),0))),4)&amp;""),",",".")&amp;", "&amp;CHAR(34)&amp;"rawScore"&amp;CHAR(34)&amp;": "&amp;SUBSTITUTE(TRIM(ROUND(IFERROR(CriteriTecnici!$O893*1,IFERROR(NUMBERVALUE(CriteriTecnici!$O893,".",","),IFERROR(NUMBERVALUE(CriteriTecnici!$O893,",","."),0))),4)&amp;""),",",".")&amp;CHAR(125)&amp;IF(TRUE,",",""))</f>
        <v/>
      </c>
    </row>
    <row r="995">
      <c r="A995" s="82">
        <f>IF(CriteriTecnici!$A894="","","    "&amp;CHAR(123)&amp;CHAR(34)&amp;"bidderId"&amp;CHAR(34)&amp;": "&amp;CHAR(34)&amp;SUBSTITUTE(CriteriTecnici!$A894,CHAR(34),"'")&amp;CHAR(34)&amp;", "&amp;CHAR(34)&amp;"lotId"&amp;CHAR(34)&amp;": "&amp;CHAR(34)&amp;SUBSTITUTE(CriteriTecnici!$C894,CHAR(34),"'")&amp;CHAR(34)&amp;", "&amp;CHAR(34)&amp;"criterionId"&amp;CHAR(34)&amp;": "&amp;CHAR(34)&amp;SUBSTITUTE(CriteriTecnici!$D894,CHAR(34),"'")&amp;CHAR(34)&amp;", "&amp;CHAR(34)&amp;"kind"&amp;CHAR(34)&amp;": "&amp;CHAR(34)&amp;SUBSTITUTE(CriteriTecnici!$F894,CHAR(34),"'")&amp;CHAR(34)&amp;", "&amp;CHAR(34)&amp;"value"&amp;CHAR(34)&amp;": "&amp;SUBSTITUTE(TRIM(ROUND(IFERROR(CriteriTecnici!$N894*1,IFERROR(NUMBERVALUE(CriteriTecnici!$N894,".",","),IFERROR(NUMBERVALUE(CriteriTecnici!$N894,",","."),0))),4)&amp;""),",",".")&amp;", "&amp;CHAR(34)&amp;"numerator"&amp;CHAR(34)&amp;": "&amp;SUBSTITUTE(TRIM(ROUND(IFERROR(CriteriTecnici!$K894*1,IFERROR(NUMBERVALUE(CriteriTecnici!$K894,".",","),IFERROR(NUMBERVALUE(CriteriTecnici!$K894,",","."),0))),4)&amp;""),",",".")&amp;", "&amp;CHAR(34)&amp;"denominator"&amp;CHAR(34)&amp;": "&amp;SUBSTITUTE(TRIM(ROUND(IFERROR(CriteriTecnici!$L894*1,IFERROR(NUMBERVALUE(CriteriTecnici!$L894,".",","),IFERROR(NUMBERVALUE(CriteriTecnici!$L894,",","."),0))),4)&amp;""),",",".")&amp;", "&amp;CHAR(34)&amp;"flag"&amp;CHAR(34)&amp;": "&amp;SUBSTITUTE(TRIM(ROUND(IFERROR(CriteriTecnici!$M894*1,IFERROR(NUMBERVALUE(CriteriTecnici!$M894,".",","),IFERROR(NUMBERVALUE(CriteriTecnici!$M894,",","."),0))),4)&amp;""),",",".")&amp;", "&amp;CHAR(34)&amp;"rawScore"&amp;CHAR(34)&amp;": "&amp;SUBSTITUTE(TRIM(ROUND(IFERROR(CriteriTecnici!$O894*1,IFERROR(NUMBERVALUE(CriteriTecnici!$O894,".",","),IFERROR(NUMBERVALUE(CriteriTecnici!$O894,",","."),0))),4)&amp;""),",",".")&amp;CHAR(125)&amp;IF(TRUE,",",""))</f>
        <v/>
      </c>
    </row>
    <row r="996">
      <c r="A996" s="82">
        <f>IF(CriteriTecnici!$A895="","","    "&amp;CHAR(123)&amp;CHAR(34)&amp;"bidderId"&amp;CHAR(34)&amp;": "&amp;CHAR(34)&amp;SUBSTITUTE(CriteriTecnici!$A895,CHAR(34),"'")&amp;CHAR(34)&amp;", "&amp;CHAR(34)&amp;"lotId"&amp;CHAR(34)&amp;": "&amp;CHAR(34)&amp;SUBSTITUTE(CriteriTecnici!$C895,CHAR(34),"'")&amp;CHAR(34)&amp;", "&amp;CHAR(34)&amp;"criterionId"&amp;CHAR(34)&amp;": "&amp;CHAR(34)&amp;SUBSTITUTE(CriteriTecnici!$D895,CHAR(34),"'")&amp;CHAR(34)&amp;", "&amp;CHAR(34)&amp;"kind"&amp;CHAR(34)&amp;": "&amp;CHAR(34)&amp;SUBSTITUTE(CriteriTecnici!$F895,CHAR(34),"'")&amp;CHAR(34)&amp;", "&amp;CHAR(34)&amp;"value"&amp;CHAR(34)&amp;": "&amp;SUBSTITUTE(TRIM(ROUND(IFERROR(CriteriTecnici!$N895*1,IFERROR(NUMBERVALUE(CriteriTecnici!$N895,".",","),IFERROR(NUMBERVALUE(CriteriTecnici!$N895,",","."),0))),4)&amp;""),",",".")&amp;", "&amp;CHAR(34)&amp;"numerator"&amp;CHAR(34)&amp;": "&amp;SUBSTITUTE(TRIM(ROUND(IFERROR(CriteriTecnici!$K895*1,IFERROR(NUMBERVALUE(CriteriTecnici!$K895,".",","),IFERROR(NUMBERVALUE(CriteriTecnici!$K895,",","."),0))),4)&amp;""),",",".")&amp;", "&amp;CHAR(34)&amp;"denominator"&amp;CHAR(34)&amp;": "&amp;SUBSTITUTE(TRIM(ROUND(IFERROR(CriteriTecnici!$L895*1,IFERROR(NUMBERVALUE(CriteriTecnici!$L895,".",","),IFERROR(NUMBERVALUE(CriteriTecnici!$L895,",","."),0))),4)&amp;""),",",".")&amp;", "&amp;CHAR(34)&amp;"flag"&amp;CHAR(34)&amp;": "&amp;SUBSTITUTE(TRIM(ROUND(IFERROR(CriteriTecnici!$M895*1,IFERROR(NUMBERVALUE(CriteriTecnici!$M895,".",","),IFERROR(NUMBERVALUE(CriteriTecnici!$M895,",","."),0))),4)&amp;""),",",".")&amp;", "&amp;CHAR(34)&amp;"rawScore"&amp;CHAR(34)&amp;": "&amp;SUBSTITUTE(TRIM(ROUND(IFERROR(CriteriTecnici!$O895*1,IFERROR(NUMBERVALUE(CriteriTecnici!$O895,".",","),IFERROR(NUMBERVALUE(CriteriTecnici!$O895,",","."),0))),4)&amp;""),",",".")&amp;CHAR(125)&amp;IF(TRUE,",",""))</f>
        <v/>
      </c>
    </row>
    <row r="997">
      <c r="A997" s="82">
        <f>IF(CriteriTecnici!$A896="","","    "&amp;CHAR(123)&amp;CHAR(34)&amp;"bidderId"&amp;CHAR(34)&amp;": "&amp;CHAR(34)&amp;SUBSTITUTE(CriteriTecnici!$A896,CHAR(34),"'")&amp;CHAR(34)&amp;", "&amp;CHAR(34)&amp;"lotId"&amp;CHAR(34)&amp;": "&amp;CHAR(34)&amp;SUBSTITUTE(CriteriTecnici!$C896,CHAR(34),"'")&amp;CHAR(34)&amp;", "&amp;CHAR(34)&amp;"criterionId"&amp;CHAR(34)&amp;": "&amp;CHAR(34)&amp;SUBSTITUTE(CriteriTecnici!$D896,CHAR(34),"'")&amp;CHAR(34)&amp;", "&amp;CHAR(34)&amp;"kind"&amp;CHAR(34)&amp;": "&amp;CHAR(34)&amp;SUBSTITUTE(CriteriTecnici!$F896,CHAR(34),"'")&amp;CHAR(34)&amp;", "&amp;CHAR(34)&amp;"value"&amp;CHAR(34)&amp;": "&amp;SUBSTITUTE(TRIM(ROUND(IFERROR(CriteriTecnici!$N896*1,IFERROR(NUMBERVALUE(CriteriTecnici!$N896,".",","),IFERROR(NUMBERVALUE(CriteriTecnici!$N896,",","."),0))),4)&amp;""),",",".")&amp;", "&amp;CHAR(34)&amp;"numerator"&amp;CHAR(34)&amp;": "&amp;SUBSTITUTE(TRIM(ROUND(IFERROR(CriteriTecnici!$K896*1,IFERROR(NUMBERVALUE(CriteriTecnici!$K896,".",","),IFERROR(NUMBERVALUE(CriteriTecnici!$K896,",","."),0))),4)&amp;""),",",".")&amp;", "&amp;CHAR(34)&amp;"denominator"&amp;CHAR(34)&amp;": "&amp;SUBSTITUTE(TRIM(ROUND(IFERROR(CriteriTecnici!$L896*1,IFERROR(NUMBERVALUE(CriteriTecnici!$L896,".",","),IFERROR(NUMBERVALUE(CriteriTecnici!$L896,",","."),0))),4)&amp;""),",",".")&amp;", "&amp;CHAR(34)&amp;"flag"&amp;CHAR(34)&amp;": "&amp;SUBSTITUTE(TRIM(ROUND(IFERROR(CriteriTecnici!$M896*1,IFERROR(NUMBERVALUE(CriteriTecnici!$M896,".",","),IFERROR(NUMBERVALUE(CriteriTecnici!$M896,",","."),0))),4)&amp;""),",",".")&amp;", "&amp;CHAR(34)&amp;"rawScore"&amp;CHAR(34)&amp;": "&amp;SUBSTITUTE(TRIM(ROUND(IFERROR(CriteriTecnici!$O896*1,IFERROR(NUMBERVALUE(CriteriTecnici!$O896,".",","),IFERROR(NUMBERVALUE(CriteriTecnici!$O896,",","."),0))),4)&amp;""),",",".")&amp;CHAR(125)&amp;IF(TRUE,",",""))</f>
        <v/>
      </c>
    </row>
    <row r="998">
      <c r="A998" s="82">
        <f>IF(CriteriTecnici!$A897="","","    "&amp;CHAR(123)&amp;CHAR(34)&amp;"bidderId"&amp;CHAR(34)&amp;": "&amp;CHAR(34)&amp;SUBSTITUTE(CriteriTecnici!$A897,CHAR(34),"'")&amp;CHAR(34)&amp;", "&amp;CHAR(34)&amp;"lotId"&amp;CHAR(34)&amp;": "&amp;CHAR(34)&amp;SUBSTITUTE(CriteriTecnici!$C897,CHAR(34),"'")&amp;CHAR(34)&amp;", "&amp;CHAR(34)&amp;"criterionId"&amp;CHAR(34)&amp;": "&amp;CHAR(34)&amp;SUBSTITUTE(CriteriTecnici!$D897,CHAR(34),"'")&amp;CHAR(34)&amp;", "&amp;CHAR(34)&amp;"kind"&amp;CHAR(34)&amp;": "&amp;CHAR(34)&amp;SUBSTITUTE(CriteriTecnici!$F897,CHAR(34),"'")&amp;CHAR(34)&amp;", "&amp;CHAR(34)&amp;"value"&amp;CHAR(34)&amp;": "&amp;SUBSTITUTE(TRIM(ROUND(IFERROR(CriteriTecnici!$N897*1,IFERROR(NUMBERVALUE(CriteriTecnici!$N897,".",","),IFERROR(NUMBERVALUE(CriteriTecnici!$N897,",","."),0))),4)&amp;""),",",".")&amp;", "&amp;CHAR(34)&amp;"numerator"&amp;CHAR(34)&amp;": "&amp;SUBSTITUTE(TRIM(ROUND(IFERROR(CriteriTecnici!$K897*1,IFERROR(NUMBERVALUE(CriteriTecnici!$K897,".",","),IFERROR(NUMBERVALUE(CriteriTecnici!$K897,",","."),0))),4)&amp;""),",",".")&amp;", "&amp;CHAR(34)&amp;"denominator"&amp;CHAR(34)&amp;": "&amp;SUBSTITUTE(TRIM(ROUND(IFERROR(CriteriTecnici!$L897*1,IFERROR(NUMBERVALUE(CriteriTecnici!$L897,".",","),IFERROR(NUMBERVALUE(CriteriTecnici!$L897,",","."),0))),4)&amp;""),",",".")&amp;", "&amp;CHAR(34)&amp;"flag"&amp;CHAR(34)&amp;": "&amp;SUBSTITUTE(TRIM(ROUND(IFERROR(CriteriTecnici!$M897*1,IFERROR(NUMBERVALUE(CriteriTecnici!$M897,".",","),IFERROR(NUMBERVALUE(CriteriTecnici!$M897,",","."),0))),4)&amp;""),",",".")&amp;", "&amp;CHAR(34)&amp;"rawScore"&amp;CHAR(34)&amp;": "&amp;SUBSTITUTE(TRIM(ROUND(IFERROR(CriteriTecnici!$O897*1,IFERROR(NUMBERVALUE(CriteriTecnici!$O897,".",","),IFERROR(NUMBERVALUE(CriteriTecnici!$O897,",","."),0))),4)&amp;""),",",".")&amp;CHAR(125)&amp;IF(TRUE,",",""))</f>
        <v/>
      </c>
    </row>
    <row r="999">
      <c r="A999" s="82">
        <f>IF(CriteriTecnici!$A898="","","    "&amp;CHAR(123)&amp;CHAR(34)&amp;"bidderId"&amp;CHAR(34)&amp;": "&amp;CHAR(34)&amp;SUBSTITUTE(CriteriTecnici!$A898,CHAR(34),"'")&amp;CHAR(34)&amp;", "&amp;CHAR(34)&amp;"lotId"&amp;CHAR(34)&amp;": "&amp;CHAR(34)&amp;SUBSTITUTE(CriteriTecnici!$C898,CHAR(34),"'")&amp;CHAR(34)&amp;", "&amp;CHAR(34)&amp;"criterionId"&amp;CHAR(34)&amp;": "&amp;CHAR(34)&amp;SUBSTITUTE(CriteriTecnici!$D898,CHAR(34),"'")&amp;CHAR(34)&amp;", "&amp;CHAR(34)&amp;"kind"&amp;CHAR(34)&amp;": "&amp;CHAR(34)&amp;SUBSTITUTE(CriteriTecnici!$F898,CHAR(34),"'")&amp;CHAR(34)&amp;", "&amp;CHAR(34)&amp;"value"&amp;CHAR(34)&amp;": "&amp;SUBSTITUTE(TRIM(ROUND(IFERROR(CriteriTecnici!$N898*1,IFERROR(NUMBERVALUE(CriteriTecnici!$N898,".",","),IFERROR(NUMBERVALUE(CriteriTecnici!$N898,",","."),0))),4)&amp;""),",",".")&amp;", "&amp;CHAR(34)&amp;"numerator"&amp;CHAR(34)&amp;": "&amp;SUBSTITUTE(TRIM(ROUND(IFERROR(CriteriTecnici!$K898*1,IFERROR(NUMBERVALUE(CriteriTecnici!$K898,".",","),IFERROR(NUMBERVALUE(CriteriTecnici!$K898,",","."),0))),4)&amp;""),",",".")&amp;", "&amp;CHAR(34)&amp;"denominator"&amp;CHAR(34)&amp;": "&amp;SUBSTITUTE(TRIM(ROUND(IFERROR(CriteriTecnici!$L898*1,IFERROR(NUMBERVALUE(CriteriTecnici!$L898,".",","),IFERROR(NUMBERVALUE(CriteriTecnici!$L898,",","."),0))),4)&amp;""),",",".")&amp;", "&amp;CHAR(34)&amp;"flag"&amp;CHAR(34)&amp;": "&amp;SUBSTITUTE(TRIM(ROUND(IFERROR(CriteriTecnici!$M898*1,IFERROR(NUMBERVALUE(CriteriTecnici!$M898,".",","),IFERROR(NUMBERVALUE(CriteriTecnici!$M898,",","."),0))),4)&amp;""),",",".")&amp;", "&amp;CHAR(34)&amp;"rawScore"&amp;CHAR(34)&amp;": "&amp;SUBSTITUTE(TRIM(ROUND(IFERROR(CriteriTecnici!$O898*1,IFERROR(NUMBERVALUE(CriteriTecnici!$O898,".",","),IFERROR(NUMBERVALUE(CriteriTecnici!$O898,",","."),0))),4)&amp;""),",",".")&amp;CHAR(125)&amp;IF(TRUE,",",""))</f>
        <v/>
      </c>
    </row>
    <row r="1000">
      <c r="A1000" s="82">
        <f>IF(CriteriTecnici!$A899="","","    "&amp;CHAR(123)&amp;CHAR(34)&amp;"bidderId"&amp;CHAR(34)&amp;": "&amp;CHAR(34)&amp;SUBSTITUTE(CriteriTecnici!$A899,CHAR(34),"'")&amp;CHAR(34)&amp;", "&amp;CHAR(34)&amp;"lotId"&amp;CHAR(34)&amp;": "&amp;CHAR(34)&amp;SUBSTITUTE(CriteriTecnici!$C899,CHAR(34),"'")&amp;CHAR(34)&amp;", "&amp;CHAR(34)&amp;"criterionId"&amp;CHAR(34)&amp;": "&amp;CHAR(34)&amp;SUBSTITUTE(CriteriTecnici!$D899,CHAR(34),"'")&amp;CHAR(34)&amp;", "&amp;CHAR(34)&amp;"kind"&amp;CHAR(34)&amp;": "&amp;CHAR(34)&amp;SUBSTITUTE(CriteriTecnici!$F899,CHAR(34),"'")&amp;CHAR(34)&amp;", "&amp;CHAR(34)&amp;"value"&amp;CHAR(34)&amp;": "&amp;SUBSTITUTE(TRIM(ROUND(IFERROR(CriteriTecnici!$N899*1,IFERROR(NUMBERVALUE(CriteriTecnici!$N899,".",","),IFERROR(NUMBERVALUE(CriteriTecnici!$N899,",","."),0))),4)&amp;""),",",".")&amp;", "&amp;CHAR(34)&amp;"numerator"&amp;CHAR(34)&amp;": "&amp;SUBSTITUTE(TRIM(ROUND(IFERROR(CriteriTecnici!$K899*1,IFERROR(NUMBERVALUE(CriteriTecnici!$K899,".",","),IFERROR(NUMBERVALUE(CriteriTecnici!$K899,",","."),0))),4)&amp;""),",",".")&amp;", "&amp;CHAR(34)&amp;"denominator"&amp;CHAR(34)&amp;": "&amp;SUBSTITUTE(TRIM(ROUND(IFERROR(CriteriTecnici!$L899*1,IFERROR(NUMBERVALUE(CriteriTecnici!$L899,".",","),IFERROR(NUMBERVALUE(CriteriTecnici!$L899,",","."),0))),4)&amp;""),",",".")&amp;", "&amp;CHAR(34)&amp;"flag"&amp;CHAR(34)&amp;": "&amp;SUBSTITUTE(TRIM(ROUND(IFERROR(CriteriTecnici!$M899*1,IFERROR(NUMBERVALUE(CriteriTecnici!$M899,".",","),IFERROR(NUMBERVALUE(CriteriTecnici!$M899,",","."),0))),4)&amp;""),",",".")&amp;", "&amp;CHAR(34)&amp;"rawScore"&amp;CHAR(34)&amp;": "&amp;SUBSTITUTE(TRIM(ROUND(IFERROR(CriteriTecnici!$O899*1,IFERROR(NUMBERVALUE(CriteriTecnici!$O899,".",","),IFERROR(NUMBERVALUE(CriteriTecnici!$O899,",","."),0))),4)&amp;""),",",".")&amp;CHAR(125)&amp;IF(TRUE,",",""))</f>
        <v/>
      </c>
    </row>
    <row r="1001">
      <c r="A1001" s="82">
        <f>IF(CriteriTecnici!$A900="","","    "&amp;CHAR(123)&amp;CHAR(34)&amp;"bidderId"&amp;CHAR(34)&amp;": "&amp;CHAR(34)&amp;SUBSTITUTE(CriteriTecnici!$A900,CHAR(34),"'")&amp;CHAR(34)&amp;", "&amp;CHAR(34)&amp;"lotId"&amp;CHAR(34)&amp;": "&amp;CHAR(34)&amp;SUBSTITUTE(CriteriTecnici!$C900,CHAR(34),"'")&amp;CHAR(34)&amp;", "&amp;CHAR(34)&amp;"criterionId"&amp;CHAR(34)&amp;": "&amp;CHAR(34)&amp;SUBSTITUTE(CriteriTecnici!$D900,CHAR(34),"'")&amp;CHAR(34)&amp;", "&amp;CHAR(34)&amp;"kind"&amp;CHAR(34)&amp;": "&amp;CHAR(34)&amp;SUBSTITUTE(CriteriTecnici!$F900,CHAR(34),"'")&amp;CHAR(34)&amp;", "&amp;CHAR(34)&amp;"value"&amp;CHAR(34)&amp;": "&amp;SUBSTITUTE(TRIM(ROUND(IFERROR(CriteriTecnici!$N900*1,IFERROR(NUMBERVALUE(CriteriTecnici!$N900,".",","),IFERROR(NUMBERVALUE(CriteriTecnici!$N900,",","."),0))),4)&amp;""),",",".")&amp;", "&amp;CHAR(34)&amp;"numerator"&amp;CHAR(34)&amp;": "&amp;SUBSTITUTE(TRIM(ROUND(IFERROR(CriteriTecnici!$K900*1,IFERROR(NUMBERVALUE(CriteriTecnici!$K900,".",","),IFERROR(NUMBERVALUE(CriteriTecnici!$K900,",","."),0))),4)&amp;""),",",".")&amp;", "&amp;CHAR(34)&amp;"denominator"&amp;CHAR(34)&amp;": "&amp;SUBSTITUTE(TRIM(ROUND(IFERROR(CriteriTecnici!$L900*1,IFERROR(NUMBERVALUE(CriteriTecnici!$L900,".",","),IFERROR(NUMBERVALUE(CriteriTecnici!$L900,",","."),0))),4)&amp;""),",",".")&amp;", "&amp;CHAR(34)&amp;"flag"&amp;CHAR(34)&amp;": "&amp;SUBSTITUTE(TRIM(ROUND(IFERROR(CriteriTecnici!$M900*1,IFERROR(NUMBERVALUE(CriteriTecnici!$M900,".",","),IFERROR(NUMBERVALUE(CriteriTecnici!$M900,",","."),0))),4)&amp;""),",",".")&amp;", "&amp;CHAR(34)&amp;"rawScore"&amp;CHAR(34)&amp;": "&amp;SUBSTITUTE(TRIM(ROUND(IFERROR(CriteriTecnici!$O900*1,IFERROR(NUMBERVALUE(CriteriTecnici!$O900,".",","),IFERROR(NUMBERVALUE(CriteriTecnici!$O900,",","."),0))),4)&amp;""),",",".")&amp;CHAR(125)&amp;IF(TRUE,",",""))</f>
        <v/>
      </c>
    </row>
    <row r="1002">
      <c r="A1002" s="82">
        <f>IF(CriteriTecnici!$A901="","","    "&amp;CHAR(123)&amp;CHAR(34)&amp;"bidderId"&amp;CHAR(34)&amp;": "&amp;CHAR(34)&amp;SUBSTITUTE(CriteriTecnici!$A901,CHAR(34),"'")&amp;CHAR(34)&amp;", "&amp;CHAR(34)&amp;"lotId"&amp;CHAR(34)&amp;": "&amp;CHAR(34)&amp;SUBSTITUTE(CriteriTecnici!$C901,CHAR(34),"'")&amp;CHAR(34)&amp;", "&amp;CHAR(34)&amp;"criterionId"&amp;CHAR(34)&amp;": "&amp;CHAR(34)&amp;SUBSTITUTE(CriteriTecnici!$D901,CHAR(34),"'")&amp;CHAR(34)&amp;", "&amp;CHAR(34)&amp;"kind"&amp;CHAR(34)&amp;": "&amp;CHAR(34)&amp;SUBSTITUTE(CriteriTecnici!$F901,CHAR(34),"'")&amp;CHAR(34)&amp;", "&amp;CHAR(34)&amp;"value"&amp;CHAR(34)&amp;": "&amp;SUBSTITUTE(TRIM(ROUND(IFERROR(CriteriTecnici!$N901*1,IFERROR(NUMBERVALUE(CriteriTecnici!$N901,".",","),IFERROR(NUMBERVALUE(CriteriTecnici!$N901,",","."),0))),4)&amp;""),",",".")&amp;", "&amp;CHAR(34)&amp;"numerator"&amp;CHAR(34)&amp;": "&amp;SUBSTITUTE(TRIM(ROUND(IFERROR(CriteriTecnici!$K901*1,IFERROR(NUMBERVALUE(CriteriTecnici!$K901,".",","),IFERROR(NUMBERVALUE(CriteriTecnici!$K901,",","."),0))),4)&amp;""),",",".")&amp;", "&amp;CHAR(34)&amp;"denominator"&amp;CHAR(34)&amp;": "&amp;SUBSTITUTE(TRIM(ROUND(IFERROR(CriteriTecnici!$L901*1,IFERROR(NUMBERVALUE(CriteriTecnici!$L901,".",","),IFERROR(NUMBERVALUE(CriteriTecnici!$L901,",","."),0))),4)&amp;""),",",".")&amp;", "&amp;CHAR(34)&amp;"flag"&amp;CHAR(34)&amp;": "&amp;SUBSTITUTE(TRIM(ROUND(IFERROR(CriteriTecnici!$M901*1,IFERROR(NUMBERVALUE(CriteriTecnici!$M901,".",","),IFERROR(NUMBERVALUE(CriteriTecnici!$M901,",","."),0))),4)&amp;""),",",".")&amp;", "&amp;CHAR(34)&amp;"rawScore"&amp;CHAR(34)&amp;": "&amp;SUBSTITUTE(TRIM(ROUND(IFERROR(CriteriTecnici!$O901*1,IFERROR(NUMBERVALUE(CriteriTecnici!$O901,".",","),IFERROR(NUMBERVALUE(CriteriTecnici!$O901,",","."),0))),4)&amp;""),",",".")&amp;CHAR(125)&amp;IF(TRUE,",",""))</f>
        <v/>
      </c>
    </row>
    <row r="1003">
      <c r="A1003" s="82">
        <f>IF(CriteriTecnici!$A902="","","    "&amp;CHAR(123)&amp;CHAR(34)&amp;"bidderId"&amp;CHAR(34)&amp;": "&amp;CHAR(34)&amp;SUBSTITUTE(CriteriTecnici!$A902,CHAR(34),"'")&amp;CHAR(34)&amp;", "&amp;CHAR(34)&amp;"lotId"&amp;CHAR(34)&amp;": "&amp;CHAR(34)&amp;SUBSTITUTE(CriteriTecnici!$C902,CHAR(34),"'")&amp;CHAR(34)&amp;", "&amp;CHAR(34)&amp;"criterionId"&amp;CHAR(34)&amp;": "&amp;CHAR(34)&amp;SUBSTITUTE(CriteriTecnici!$D902,CHAR(34),"'")&amp;CHAR(34)&amp;", "&amp;CHAR(34)&amp;"kind"&amp;CHAR(34)&amp;": "&amp;CHAR(34)&amp;SUBSTITUTE(CriteriTecnici!$F902,CHAR(34),"'")&amp;CHAR(34)&amp;", "&amp;CHAR(34)&amp;"value"&amp;CHAR(34)&amp;": "&amp;SUBSTITUTE(TRIM(ROUND(IFERROR(CriteriTecnici!$N902*1,IFERROR(NUMBERVALUE(CriteriTecnici!$N902,".",","),IFERROR(NUMBERVALUE(CriteriTecnici!$N902,",","."),0))),4)&amp;""),",",".")&amp;", "&amp;CHAR(34)&amp;"numerator"&amp;CHAR(34)&amp;": "&amp;SUBSTITUTE(TRIM(ROUND(IFERROR(CriteriTecnici!$K902*1,IFERROR(NUMBERVALUE(CriteriTecnici!$K902,".",","),IFERROR(NUMBERVALUE(CriteriTecnici!$K902,",","."),0))),4)&amp;""),",",".")&amp;", "&amp;CHAR(34)&amp;"denominator"&amp;CHAR(34)&amp;": "&amp;SUBSTITUTE(TRIM(ROUND(IFERROR(CriteriTecnici!$L902*1,IFERROR(NUMBERVALUE(CriteriTecnici!$L902,".",","),IFERROR(NUMBERVALUE(CriteriTecnici!$L902,",","."),0))),4)&amp;""),",",".")&amp;", "&amp;CHAR(34)&amp;"flag"&amp;CHAR(34)&amp;": "&amp;SUBSTITUTE(TRIM(ROUND(IFERROR(CriteriTecnici!$M902*1,IFERROR(NUMBERVALUE(CriteriTecnici!$M902,".",","),IFERROR(NUMBERVALUE(CriteriTecnici!$M902,",","."),0))),4)&amp;""),",",".")&amp;", "&amp;CHAR(34)&amp;"rawScore"&amp;CHAR(34)&amp;": "&amp;SUBSTITUTE(TRIM(ROUND(IFERROR(CriteriTecnici!$O902*1,IFERROR(NUMBERVALUE(CriteriTecnici!$O902,".",","),IFERROR(NUMBERVALUE(CriteriTecnici!$O902,",","."),0))),4)&amp;""),",",".")&amp;CHAR(125)&amp;IF(TRUE,",",""))</f>
        <v/>
      </c>
    </row>
    <row r="1004">
      <c r="A1004" s="82">
        <f>IF(CriteriTecnici!$A903="","","    "&amp;CHAR(123)&amp;CHAR(34)&amp;"bidderId"&amp;CHAR(34)&amp;": "&amp;CHAR(34)&amp;SUBSTITUTE(CriteriTecnici!$A903,CHAR(34),"'")&amp;CHAR(34)&amp;", "&amp;CHAR(34)&amp;"lotId"&amp;CHAR(34)&amp;": "&amp;CHAR(34)&amp;SUBSTITUTE(CriteriTecnici!$C903,CHAR(34),"'")&amp;CHAR(34)&amp;", "&amp;CHAR(34)&amp;"criterionId"&amp;CHAR(34)&amp;": "&amp;CHAR(34)&amp;SUBSTITUTE(CriteriTecnici!$D903,CHAR(34),"'")&amp;CHAR(34)&amp;", "&amp;CHAR(34)&amp;"kind"&amp;CHAR(34)&amp;": "&amp;CHAR(34)&amp;SUBSTITUTE(CriteriTecnici!$F903,CHAR(34),"'")&amp;CHAR(34)&amp;", "&amp;CHAR(34)&amp;"value"&amp;CHAR(34)&amp;": "&amp;SUBSTITUTE(TRIM(ROUND(IFERROR(CriteriTecnici!$N903*1,IFERROR(NUMBERVALUE(CriteriTecnici!$N903,".",","),IFERROR(NUMBERVALUE(CriteriTecnici!$N903,",","."),0))),4)&amp;""),",",".")&amp;", "&amp;CHAR(34)&amp;"numerator"&amp;CHAR(34)&amp;": "&amp;SUBSTITUTE(TRIM(ROUND(IFERROR(CriteriTecnici!$K903*1,IFERROR(NUMBERVALUE(CriteriTecnici!$K903,".",","),IFERROR(NUMBERVALUE(CriteriTecnici!$K903,",","."),0))),4)&amp;""),",",".")&amp;", "&amp;CHAR(34)&amp;"denominator"&amp;CHAR(34)&amp;": "&amp;SUBSTITUTE(TRIM(ROUND(IFERROR(CriteriTecnici!$L903*1,IFERROR(NUMBERVALUE(CriteriTecnici!$L903,".",","),IFERROR(NUMBERVALUE(CriteriTecnici!$L903,",","."),0))),4)&amp;""),",",".")&amp;", "&amp;CHAR(34)&amp;"flag"&amp;CHAR(34)&amp;": "&amp;SUBSTITUTE(TRIM(ROUND(IFERROR(CriteriTecnici!$M903*1,IFERROR(NUMBERVALUE(CriteriTecnici!$M903,".",","),IFERROR(NUMBERVALUE(CriteriTecnici!$M903,",","."),0))),4)&amp;""),",",".")&amp;", "&amp;CHAR(34)&amp;"rawScore"&amp;CHAR(34)&amp;": "&amp;SUBSTITUTE(TRIM(ROUND(IFERROR(CriteriTecnici!$O903*1,IFERROR(NUMBERVALUE(CriteriTecnici!$O903,".",","),IFERROR(NUMBERVALUE(CriteriTecnici!$O903,",","."),0))),4)&amp;""),",",".")&amp;CHAR(125)&amp;IF(COUNTA(Offerte!$A31:$A$81)&gt;0,",",""))</f>
        <v/>
      </c>
    </row>
    <row r="1005">
      <c r="A1005" s="82">
        <f>IF(CriteriTecnici!$A904="","","    "&amp;CHAR(123)&amp;CHAR(34)&amp;"bidderId"&amp;CHAR(34)&amp;": "&amp;CHAR(34)&amp;SUBSTITUTE(CriteriTecnici!$A904,CHAR(34),"'")&amp;CHAR(34)&amp;", "&amp;CHAR(34)&amp;"lotId"&amp;CHAR(34)&amp;": "&amp;CHAR(34)&amp;SUBSTITUTE(CriteriTecnici!$C904,CHAR(34),"'")&amp;CHAR(34)&amp;", "&amp;CHAR(34)&amp;"criterionId"&amp;CHAR(34)&amp;": "&amp;CHAR(34)&amp;SUBSTITUTE(CriteriTecnici!$D904,CHAR(34),"'")&amp;CHAR(34)&amp;", "&amp;CHAR(34)&amp;"kind"&amp;CHAR(34)&amp;": "&amp;CHAR(34)&amp;SUBSTITUTE(CriteriTecnici!$F904,CHAR(34),"'")&amp;CHAR(34)&amp;", "&amp;CHAR(34)&amp;"value"&amp;CHAR(34)&amp;": "&amp;SUBSTITUTE(TRIM(ROUND(IFERROR(CriteriTecnici!$N904*1,IFERROR(NUMBERVALUE(CriteriTecnici!$N904,".",","),IFERROR(NUMBERVALUE(CriteriTecnici!$N904,",","."),0))),4)&amp;""),",",".")&amp;", "&amp;CHAR(34)&amp;"numerator"&amp;CHAR(34)&amp;": "&amp;SUBSTITUTE(TRIM(ROUND(IFERROR(CriteriTecnici!$K904*1,IFERROR(NUMBERVALUE(CriteriTecnici!$K904,".",","),IFERROR(NUMBERVALUE(CriteriTecnici!$K904,",","."),0))),4)&amp;""),",",".")&amp;", "&amp;CHAR(34)&amp;"denominator"&amp;CHAR(34)&amp;": "&amp;SUBSTITUTE(TRIM(ROUND(IFERROR(CriteriTecnici!$L904*1,IFERROR(NUMBERVALUE(CriteriTecnici!$L904,".",","),IFERROR(NUMBERVALUE(CriteriTecnici!$L904,",","."),0))),4)&amp;""),",",".")&amp;", "&amp;CHAR(34)&amp;"flag"&amp;CHAR(34)&amp;": "&amp;SUBSTITUTE(TRIM(ROUND(IFERROR(CriteriTecnici!$M904*1,IFERROR(NUMBERVALUE(CriteriTecnici!$M904,".",","),IFERROR(NUMBERVALUE(CriteriTecnici!$M904,",","."),0))),4)&amp;""),",",".")&amp;", "&amp;CHAR(34)&amp;"rawScore"&amp;CHAR(34)&amp;": "&amp;SUBSTITUTE(TRIM(ROUND(IFERROR(CriteriTecnici!$O904*1,IFERROR(NUMBERVALUE(CriteriTecnici!$O904,".",","),IFERROR(NUMBERVALUE(CriteriTecnici!$O904,",","."),0))),4)&amp;""),",",".")&amp;CHAR(125)&amp;IF(TRUE,",",""))</f>
        <v/>
      </c>
    </row>
    <row r="1006">
      <c r="A1006" s="82">
        <f>IF(CriteriTecnici!$A905="","","    "&amp;CHAR(123)&amp;CHAR(34)&amp;"bidderId"&amp;CHAR(34)&amp;": "&amp;CHAR(34)&amp;SUBSTITUTE(CriteriTecnici!$A905,CHAR(34),"'")&amp;CHAR(34)&amp;", "&amp;CHAR(34)&amp;"lotId"&amp;CHAR(34)&amp;": "&amp;CHAR(34)&amp;SUBSTITUTE(CriteriTecnici!$C905,CHAR(34),"'")&amp;CHAR(34)&amp;", "&amp;CHAR(34)&amp;"criterionId"&amp;CHAR(34)&amp;": "&amp;CHAR(34)&amp;SUBSTITUTE(CriteriTecnici!$D905,CHAR(34),"'")&amp;CHAR(34)&amp;", "&amp;CHAR(34)&amp;"kind"&amp;CHAR(34)&amp;": "&amp;CHAR(34)&amp;SUBSTITUTE(CriteriTecnici!$F905,CHAR(34),"'")&amp;CHAR(34)&amp;", "&amp;CHAR(34)&amp;"value"&amp;CHAR(34)&amp;": "&amp;SUBSTITUTE(TRIM(ROUND(IFERROR(CriteriTecnici!$N905*1,IFERROR(NUMBERVALUE(CriteriTecnici!$N905,".",","),IFERROR(NUMBERVALUE(CriteriTecnici!$N905,",","."),0))),4)&amp;""),",",".")&amp;", "&amp;CHAR(34)&amp;"numerator"&amp;CHAR(34)&amp;": "&amp;SUBSTITUTE(TRIM(ROUND(IFERROR(CriteriTecnici!$K905*1,IFERROR(NUMBERVALUE(CriteriTecnici!$K905,".",","),IFERROR(NUMBERVALUE(CriteriTecnici!$K905,",","."),0))),4)&amp;""),",",".")&amp;", "&amp;CHAR(34)&amp;"denominator"&amp;CHAR(34)&amp;": "&amp;SUBSTITUTE(TRIM(ROUND(IFERROR(CriteriTecnici!$L905*1,IFERROR(NUMBERVALUE(CriteriTecnici!$L905,".",","),IFERROR(NUMBERVALUE(CriteriTecnici!$L905,",","."),0))),4)&amp;""),",",".")&amp;", "&amp;CHAR(34)&amp;"flag"&amp;CHAR(34)&amp;": "&amp;SUBSTITUTE(TRIM(ROUND(IFERROR(CriteriTecnici!$M905*1,IFERROR(NUMBERVALUE(CriteriTecnici!$M905,".",","),IFERROR(NUMBERVALUE(CriteriTecnici!$M905,",","."),0))),4)&amp;""),",",".")&amp;", "&amp;CHAR(34)&amp;"rawScore"&amp;CHAR(34)&amp;": "&amp;SUBSTITUTE(TRIM(ROUND(IFERROR(CriteriTecnici!$O905*1,IFERROR(NUMBERVALUE(CriteriTecnici!$O905,".",","),IFERROR(NUMBERVALUE(CriteriTecnici!$O905,",","."),0))),4)&amp;""),",",".")&amp;CHAR(125)&amp;IF(TRUE,",",""))</f>
        <v/>
      </c>
    </row>
    <row r="1007">
      <c r="A1007" s="82">
        <f>IF(CriteriTecnici!$A906="","","    "&amp;CHAR(123)&amp;CHAR(34)&amp;"bidderId"&amp;CHAR(34)&amp;": "&amp;CHAR(34)&amp;SUBSTITUTE(CriteriTecnici!$A906,CHAR(34),"'")&amp;CHAR(34)&amp;", "&amp;CHAR(34)&amp;"lotId"&amp;CHAR(34)&amp;": "&amp;CHAR(34)&amp;SUBSTITUTE(CriteriTecnici!$C906,CHAR(34),"'")&amp;CHAR(34)&amp;", "&amp;CHAR(34)&amp;"criterionId"&amp;CHAR(34)&amp;": "&amp;CHAR(34)&amp;SUBSTITUTE(CriteriTecnici!$D906,CHAR(34),"'")&amp;CHAR(34)&amp;", "&amp;CHAR(34)&amp;"kind"&amp;CHAR(34)&amp;": "&amp;CHAR(34)&amp;SUBSTITUTE(CriteriTecnici!$F906,CHAR(34),"'")&amp;CHAR(34)&amp;", "&amp;CHAR(34)&amp;"value"&amp;CHAR(34)&amp;": "&amp;SUBSTITUTE(TRIM(ROUND(IFERROR(CriteriTecnici!$N906*1,IFERROR(NUMBERVALUE(CriteriTecnici!$N906,".",","),IFERROR(NUMBERVALUE(CriteriTecnici!$N906,",","."),0))),4)&amp;""),",",".")&amp;", "&amp;CHAR(34)&amp;"numerator"&amp;CHAR(34)&amp;": "&amp;SUBSTITUTE(TRIM(ROUND(IFERROR(CriteriTecnici!$K906*1,IFERROR(NUMBERVALUE(CriteriTecnici!$K906,".",","),IFERROR(NUMBERVALUE(CriteriTecnici!$K906,",","."),0))),4)&amp;""),",",".")&amp;", "&amp;CHAR(34)&amp;"denominator"&amp;CHAR(34)&amp;": "&amp;SUBSTITUTE(TRIM(ROUND(IFERROR(CriteriTecnici!$L906*1,IFERROR(NUMBERVALUE(CriteriTecnici!$L906,".",","),IFERROR(NUMBERVALUE(CriteriTecnici!$L906,",","."),0))),4)&amp;""),",",".")&amp;", "&amp;CHAR(34)&amp;"flag"&amp;CHAR(34)&amp;": "&amp;SUBSTITUTE(TRIM(ROUND(IFERROR(CriteriTecnici!$M906*1,IFERROR(NUMBERVALUE(CriteriTecnici!$M906,".",","),IFERROR(NUMBERVALUE(CriteriTecnici!$M906,",","."),0))),4)&amp;""),",",".")&amp;", "&amp;CHAR(34)&amp;"rawScore"&amp;CHAR(34)&amp;": "&amp;SUBSTITUTE(TRIM(ROUND(IFERROR(CriteriTecnici!$O906*1,IFERROR(NUMBERVALUE(CriteriTecnici!$O906,".",","),IFERROR(NUMBERVALUE(CriteriTecnici!$O906,",","."),0))),4)&amp;""),",",".")&amp;CHAR(125)&amp;IF(TRUE,",",""))</f>
        <v/>
      </c>
    </row>
    <row r="1008">
      <c r="A1008" s="82">
        <f>IF(CriteriTecnici!$A907="","","    "&amp;CHAR(123)&amp;CHAR(34)&amp;"bidderId"&amp;CHAR(34)&amp;": "&amp;CHAR(34)&amp;SUBSTITUTE(CriteriTecnici!$A907,CHAR(34),"'")&amp;CHAR(34)&amp;", "&amp;CHAR(34)&amp;"lotId"&amp;CHAR(34)&amp;": "&amp;CHAR(34)&amp;SUBSTITUTE(CriteriTecnici!$C907,CHAR(34),"'")&amp;CHAR(34)&amp;", "&amp;CHAR(34)&amp;"criterionId"&amp;CHAR(34)&amp;": "&amp;CHAR(34)&amp;SUBSTITUTE(CriteriTecnici!$D907,CHAR(34),"'")&amp;CHAR(34)&amp;", "&amp;CHAR(34)&amp;"kind"&amp;CHAR(34)&amp;": "&amp;CHAR(34)&amp;SUBSTITUTE(CriteriTecnici!$F907,CHAR(34),"'")&amp;CHAR(34)&amp;", "&amp;CHAR(34)&amp;"value"&amp;CHAR(34)&amp;": "&amp;SUBSTITUTE(TRIM(ROUND(IFERROR(CriteriTecnici!$N907*1,IFERROR(NUMBERVALUE(CriteriTecnici!$N907,".",","),IFERROR(NUMBERVALUE(CriteriTecnici!$N907,",","."),0))),4)&amp;""),",",".")&amp;", "&amp;CHAR(34)&amp;"numerator"&amp;CHAR(34)&amp;": "&amp;SUBSTITUTE(TRIM(ROUND(IFERROR(CriteriTecnici!$K907*1,IFERROR(NUMBERVALUE(CriteriTecnici!$K907,".",","),IFERROR(NUMBERVALUE(CriteriTecnici!$K907,",","."),0))),4)&amp;""),",",".")&amp;", "&amp;CHAR(34)&amp;"denominator"&amp;CHAR(34)&amp;": "&amp;SUBSTITUTE(TRIM(ROUND(IFERROR(CriteriTecnici!$L907*1,IFERROR(NUMBERVALUE(CriteriTecnici!$L907,".",","),IFERROR(NUMBERVALUE(CriteriTecnici!$L907,",","."),0))),4)&amp;""),",",".")&amp;", "&amp;CHAR(34)&amp;"flag"&amp;CHAR(34)&amp;": "&amp;SUBSTITUTE(TRIM(ROUND(IFERROR(CriteriTecnici!$M907*1,IFERROR(NUMBERVALUE(CriteriTecnici!$M907,".",","),IFERROR(NUMBERVALUE(CriteriTecnici!$M907,",","."),0))),4)&amp;""),",",".")&amp;", "&amp;CHAR(34)&amp;"rawScore"&amp;CHAR(34)&amp;": "&amp;SUBSTITUTE(TRIM(ROUND(IFERROR(CriteriTecnici!$O907*1,IFERROR(NUMBERVALUE(CriteriTecnici!$O907,".",","),IFERROR(NUMBERVALUE(CriteriTecnici!$O907,",","."),0))),4)&amp;""),",",".")&amp;CHAR(125)&amp;IF(TRUE,",",""))</f>
        <v/>
      </c>
    </row>
    <row r="1009">
      <c r="A1009" s="82">
        <f>IF(CriteriTecnici!$A908="","","    "&amp;CHAR(123)&amp;CHAR(34)&amp;"bidderId"&amp;CHAR(34)&amp;": "&amp;CHAR(34)&amp;SUBSTITUTE(CriteriTecnici!$A908,CHAR(34),"'")&amp;CHAR(34)&amp;", "&amp;CHAR(34)&amp;"lotId"&amp;CHAR(34)&amp;": "&amp;CHAR(34)&amp;SUBSTITUTE(CriteriTecnici!$C908,CHAR(34),"'")&amp;CHAR(34)&amp;", "&amp;CHAR(34)&amp;"criterionId"&amp;CHAR(34)&amp;": "&amp;CHAR(34)&amp;SUBSTITUTE(CriteriTecnici!$D908,CHAR(34),"'")&amp;CHAR(34)&amp;", "&amp;CHAR(34)&amp;"kind"&amp;CHAR(34)&amp;": "&amp;CHAR(34)&amp;SUBSTITUTE(CriteriTecnici!$F908,CHAR(34),"'")&amp;CHAR(34)&amp;", "&amp;CHAR(34)&amp;"value"&amp;CHAR(34)&amp;": "&amp;SUBSTITUTE(TRIM(ROUND(IFERROR(CriteriTecnici!$N908*1,IFERROR(NUMBERVALUE(CriteriTecnici!$N908,".",","),IFERROR(NUMBERVALUE(CriteriTecnici!$N908,",","."),0))),4)&amp;""),",",".")&amp;", "&amp;CHAR(34)&amp;"numerator"&amp;CHAR(34)&amp;": "&amp;SUBSTITUTE(TRIM(ROUND(IFERROR(CriteriTecnici!$K908*1,IFERROR(NUMBERVALUE(CriteriTecnici!$K908,".",","),IFERROR(NUMBERVALUE(CriteriTecnici!$K908,",","."),0))),4)&amp;""),",",".")&amp;", "&amp;CHAR(34)&amp;"denominator"&amp;CHAR(34)&amp;": "&amp;SUBSTITUTE(TRIM(ROUND(IFERROR(CriteriTecnici!$L908*1,IFERROR(NUMBERVALUE(CriteriTecnici!$L908,".",","),IFERROR(NUMBERVALUE(CriteriTecnici!$L908,",","."),0))),4)&amp;""),",",".")&amp;", "&amp;CHAR(34)&amp;"flag"&amp;CHAR(34)&amp;": "&amp;SUBSTITUTE(TRIM(ROUND(IFERROR(CriteriTecnici!$M908*1,IFERROR(NUMBERVALUE(CriteriTecnici!$M908,".",","),IFERROR(NUMBERVALUE(CriteriTecnici!$M908,",","."),0))),4)&amp;""),",",".")&amp;", "&amp;CHAR(34)&amp;"rawScore"&amp;CHAR(34)&amp;": "&amp;SUBSTITUTE(TRIM(ROUND(IFERROR(CriteriTecnici!$O908*1,IFERROR(NUMBERVALUE(CriteriTecnici!$O908,".",","),IFERROR(NUMBERVALUE(CriteriTecnici!$O908,",","."),0))),4)&amp;""),",",".")&amp;CHAR(125)&amp;IF(TRUE,",",""))</f>
        <v/>
      </c>
    </row>
    <row r="1010">
      <c r="A1010" s="82">
        <f>IF(CriteriTecnici!$A909="","","    "&amp;CHAR(123)&amp;CHAR(34)&amp;"bidderId"&amp;CHAR(34)&amp;": "&amp;CHAR(34)&amp;SUBSTITUTE(CriteriTecnici!$A909,CHAR(34),"'")&amp;CHAR(34)&amp;", "&amp;CHAR(34)&amp;"lotId"&amp;CHAR(34)&amp;": "&amp;CHAR(34)&amp;SUBSTITUTE(CriteriTecnici!$C909,CHAR(34),"'")&amp;CHAR(34)&amp;", "&amp;CHAR(34)&amp;"criterionId"&amp;CHAR(34)&amp;": "&amp;CHAR(34)&amp;SUBSTITUTE(CriteriTecnici!$D909,CHAR(34),"'")&amp;CHAR(34)&amp;", "&amp;CHAR(34)&amp;"kind"&amp;CHAR(34)&amp;": "&amp;CHAR(34)&amp;SUBSTITUTE(CriteriTecnici!$F909,CHAR(34),"'")&amp;CHAR(34)&amp;", "&amp;CHAR(34)&amp;"value"&amp;CHAR(34)&amp;": "&amp;SUBSTITUTE(TRIM(ROUND(IFERROR(CriteriTecnici!$N909*1,IFERROR(NUMBERVALUE(CriteriTecnici!$N909,".",","),IFERROR(NUMBERVALUE(CriteriTecnici!$N909,",","."),0))),4)&amp;""),",",".")&amp;", "&amp;CHAR(34)&amp;"numerator"&amp;CHAR(34)&amp;": "&amp;SUBSTITUTE(TRIM(ROUND(IFERROR(CriteriTecnici!$K909*1,IFERROR(NUMBERVALUE(CriteriTecnici!$K909,".",","),IFERROR(NUMBERVALUE(CriteriTecnici!$K909,",","."),0))),4)&amp;""),",",".")&amp;", "&amp;CHAR(34)&amp;"denominator"&amp;CHAR(34)&amp;": "&amp;SUBSTITUTE(TRIM(ROUND(IFERROR(CriteriTecnici!$L909*1,IFERROR(NUMBERVALUE(CriteriTecnici!$L909,".",","),IFERROR(NUMBERVALUE(CriteriTecnici!$L909,",","."),0))),4)&amp;""),",",".")&amp;", "&amp;CHAR(34)&amp;"flag"&amp;CHAR(34)&amp;": "&amp;SUBSTITUTE(TRIM(ROUND(IFERROR(CriteriTecnici!$M909*1,IFERROR(NUMBERVALUE(CriteriTecnici!$M909,".",","),IFERROR(NUMBERVALUE(CriteriTecnici!$M909,",","."),0))),4)&amp;""),",",".")&amp;", "&amp;CHAR(34)&amp;"rawScore"&amp;CHAR(34)&amp;": "&amp;SUBSTITUTE(TRIM(ROUND(IFERROR(CriteriTecnici!$O909*1,IFERROR(NUMBERVALUE(CriteriTecnici!$O909,".",","),IFERROR(NUMBERVALUE(CriteriTecnici!$O909,",","."),0))),4)&amp;""),",",".")&amp;CHAR(125)&amp;IF(TRUE,",",""))</f>
        <v/>
      </c>
    </row>
    <row r="1011">
      <c r="A1011" s="82">
        <f>IF(CriteriTecnici!$A910="","","    "&amp;CHAR(123)&amp;CHAR(34)&amp;"bidderId"&amp;CHAR(34)&amp;": "&amp;CHAR(34)&amp;SUBSTITUTE(CriteriTecnici!$A910,CHAR(34),"'")&amp;CHAR(34)&amp;", "&amp;CHAR(34)&amp;"lotId"&amp;CHAR(34)&amp;": "&amp;CHAR(34)&amp;SUBSTITUTE(CriteriTecnici!$C910,CHAR(34),"'")&amp;CHAR(34)&amp;", "&amp;CHAR(34)&amp;"criterionId"&amp;CHAR(34)&amp;": "&amp;CHAR(34)&amp;SUBSTITUTE(CriteriTecnici!$D910,CHAR(34),"'")&amp;CHAR(34)&amp;", "&amp;CHAR(34)&amp;"kind"&amp;CHAR(34)&amp;": "&amp;CHAR(34)&amp;SUBSTITUTE(CriteriTecnici!$F910,CHAR(34),"'")&amp;CHAR(34)&amp;", "&amp;CHAR(34)&amp;"value"&amp;CHAR(34)&amp;": "&amp;SUBSTITUTE(TRIM(ROUND(IFERROR(CriteriTecnici!$N910*1,IFERROR(NUMBERVALUE(CriteriTecnici!$N910,".",","),IFERROR(NUMBERVALUE(CriteriTecnici!$N910,",","."),0))),4)&amp;""),",",".")&amp;", "&amp;CHAR(34)&amp;"numerator"&amp;CHAR(34)&amp;": "&amp;SUBSTITUTE(TRIM(ROUND(IFERROR(CriteriTecnici!$K910*1,IFERROR(NUMBERVALUE(CriteriTecnici!$K910,".",","),IFERROR(NUMBERVALUE(CriteriTecnici!$K910,",","."),0))),4)&amp;""),",",".")&amp;", "&amp;CHAR(34)&amp;"denominator"&amp;CHAR(34)&amp;": "&amp;SUBSTITUTE(TRIM(ROUND(IFERROR(CriteriTecnici!$L910*1,IFERROR(NUMBERVALUE(CriteriTecnici!$L910,".",","),IFERROR(NUMBERVALUE(CriteriTecnici!$L910,",","."),0))),4)&amp;""),",",".")&amp;", "&amp;CHAR(34)&amp;"flag"&amp;CHAR(34)&amp;": "&amp;SUBSTITUTE(TRIM(ROUND(IFERROR(CriteriTecnici!$M910*1,IFERROR(NUMBERVALUE(CriteriTecnici!$M910,".",","),IFERROR(NUMBERVALUE(CriteriTecnici!$M910,",","."),0))),4)&amp;""),",",".")&amp;", "&amp;CHAR(34)&amp;"rawScore"&amp;CHAR(34)&amp;": "&amp;SUBSTITUTE(TRIM(ROUND(IFERROR(CriteriTecnici!$O910*1,IFERROR(NUMBERVALUE(CriteriTecnici!$O910,".",","),IFERROR(NUMBERVALUE(CriteriTecnici!$O910,",","."),0))),4)&amp;""),",",".")&amp;CHAR(125)&amp;IF(TRUE,",",""))</f>
        <v/>
      </c>
    </row>
    <row r="1012">
      <c r="A1012" s="82">
        <f>IF(CriteriTecnici!$A911="","","    "&amp;CHAR(123)&amp;CHAR(34)&amp;"bidderId"&amp;CHAR(34)&amp;": "&amp;CHAR(34)&amp;SUBSTITUTE(CriteriTecnici!$A911,CHAR(34),"'")&amp;CHAR(34)&amp;", "&amp;CHAR(34)&amp;"lotId"&amp;CHAR(34)&amp;": "&amp;CHAR(34)&amp;SUBSTITUTE(CriteriTecnici!$C911,CHAR(34),"'")&amp;CHAR(34)&amp;", "&amp;CHAR(34)&amp;"criterionId"&amp;CHAR(34)&amp;": "&amp;CHAR(34)&amp;SUBSTITUTE(CriteriTecnici!$D911,CHAR(34),"'")&amp;CHAR(34)&amp;", "&amp;CHAR(34)&amp;"kind"&amp;CHAR(34)&amp;": "&amp;CHAR(34)&amp;SUBSTITUTE(CriteriTecnici!$F911,CHAR(34),"'")&amp;CHAR(34)&amp;", "&amp;CHAR(34)&amp;"value"&amp;CHAR(34)&amp;": "&amp;SUBSTITUTE(TRIM(ROUND(IFERROR(CriteriTecnici!$N911*1,IFERROR(NUMBERVALUE(CriteriTecnici!$N911,".",","),IFERROR(NUMBERVALUE(CriteriTecnici!$N911,",","."),0))),4)&amp;""),",",".")&amp;", "&amp;CHAR(34)&amp;"numerator"&amp;CHAR(34)&amp;": "&amp;SUBSTITUTE(TRIM(ROUND(IFERROR(CriteriTecnici!$K911*1,IFERROR(NUMBERVALUE(CriteriTecnici!$K911,".",","),IFERROR(NUMBERVALUE(CriteriTecnici!$K911,",","."),0))),4)&amp;""),",",".")&amp;", "&amp;CHAR(34)&amp;"denominator"&amp;CHAR(34)&amp;": "&amp;SUBSTITUTE(TRIM(ROUND(IFERROR(CriteriTecnici!$L911*1,IFERROR(NUMBERVALUE(CriteriTecnici!$L911,".",","),IFERROR(NUMBERVALUE(CriteriTecnici!$L911,",","."),0))),4)&amp;""),",",".")&amp;", "&amp;CHAR(34)&amp;"flag"&amp;CHAR(34)&amp;": "&amp;SUBSTITUTE(TRIM(ROUND(IFERROR(CriteriTecnici!$M911*1,IFERROR(NUMBERVALUE(CriteriTecnici!$M911,".",","),IFERROR(NUMBERVALUE(CriteriTecnici!$M911,",","."),0))),4)&amp;""),",",".")&amp;", "&amp;CHAR(34)&amp;"rawScore"&amp;CHAR(34)&amp;": "&amp;SUBSTITUTE(TRIM(ROUND(IFERROR(CriteriTecnici!$O911*1,IFERROR(NUMBERVALUE(CriteriTecnici!$O911,".",","),IFERROR(NUMBERVALUE(CriteriTecnici!$O911,",","."),0))),4)&amp;""),",",".")&amp;CHAR(125)&amp;IF(TRUE,",",""))</f>
        <v/>
      </c>
    </row>
    <row r="1013">
      <c r="A1013" s="82">
        <f>IF(CriteriTecnici!$A912="","","    "&amp;CHAR(123)&amp;CHAR(34)&amp;"bidderId"&amp;CHAR(34)&amp;": "&amp;CHAR(34)&amp;SUBSTITUTE(CriteriTecnici!$A912,CHAR(34),"'")&amp;CHAR(34)&amp;", "&amp;CHAR(34)&amp;"lotId"&amp;CHAR(34)&amp;": "&amp;CHAR(34)&amp;SUBSTITUTE(CriteriTecnici!$C912,CHAR(34),"'")&amp;CHAR(34)&amp;", "&amp;CHAR(34)&amp;"criterionId"&amp;CHAR(34)&amp;": "&amp;CHAR(34)&amp;SUBSTITUTE(CriteriTecnici!$D912,CHAR(34),"'")&amp;CHAR(34)&amp;", "&amp;CHAR(34)&amp;"kind"&amp;CHAR(34)&amp;": "&amp;CHAR(34)&amp;SUBSTITUTE(CriteriTecnici!$F912,CHAR(34),"'")&amp;CHAR(34)&amp;", "&amp;CHAR(34)&amp;"value"&amp;CHAR(34)&amp;": "&amp;SUBSTITUTE(TRIM(ROUND(IFERROR(CriteriTecnici!$N912*1,IFERROR(NUMBERVALUE(CriteriTecnici!$N912,".",","),IFERROR(NUMBERVALUE(CriteriTecnici!$N912,",","."),0))),4)&amp;""),",",".")&amp;", "&amp;CHAR(34)&amp;"numerator"&amp;CHAR(34)&amp;": "&amp;SUBSTITUTE(TRIM(ROUND(IFERROR(CriteriTecnici!$K912*1,IFERROR(NUMBERVALUE(CriteriTecnici!$K912,".",","),IFERROR(NUMBERVALUE(CriteriTecnici!$K912,",","."),0))),4)&amp;""),",",".")&amp;", "&amp;CHAR(34)&amp;"denominator"&amp;CHAR(34)&amp;": "&amp;SUBSTITUTE(TRIM(ROUND(IFERROR(CriteriTecnici!$L912*1,IFERROR(NUMBERVALUE(CriteriTecnici!$L912,".",","),IFERROR(NUMBERVALUE(CriteriTecnici!$L912,",","."),0))),4)&amp;""),",",".")&amp;", "&amp;CHAR(34)&amp;"flag"&amp;CHAR(34)&amp;": "&amp;SUBSTITUTE(TRIM(ROUND(IFERROR(CriteriTecnici!$M912*1,IFERROR(NUMBERVALUE(CriteriTecnici!$M912,".",","),IFERROR(NUMBERVALUE(CriteriTecnici!$M912,",","."),0))),4)&amp;""),",",".")&amp;", "&amp;CHAR(34)&amp;"rawScore"&amp;CHAR(34)&amp;": "&amp;SUBSTITUTE(TRIM(ROUND(IFERROR(CriteriTecnici!$O912*1,IFERROR(NUMBERVALUE(CriteriTecnici!$O912,".",","),IFERROR(NUMBERVALUE(CriteriTecnici!$O912,",","."),0))),4)&amp;""),",",".")&amp;CHAR(125)&amp;IF(TRUE,",",""))</f>
        <v/>
      </c>
    </row>
    <row r="1014">
      <c r="A1014" s="82">
        <f>IF(CriteriTecnici!$A913="","","    "&amp;CHAR(123)&amp;CHAR(34)&amp;"bidderId"&amp;CHAR(34)&amp;": "&amp;CHAR(34)&amp;SUBSTITUTE(CriteriTecnici!$A913,CHAR(34),"'")&amp;CHAR(34)&amp;", "&amp;CHAR(34)&amp;"lotId"&amp;CHAR(34)&amp;": "&amp;CHAR(34)&amp;SUBSTITUTE(CriteriTecnici!$C913,CHAR(34),"'")&amp;CHAR(34)&amp;", "&amp;CHAR(34)&amp;"criterionId"&amp;CHAR(34)&amp;": "&amp;CHAR(34)&amp;SUBSTITUTE(CriteriTecnici!$D913,CHAR(34),"'")&amp;CHAR(34)&amp;", "&amp;CHAR(34)&amp;"kind"&amp;CHAR(34)&amp;": "&amp;CHAR(34)&amp;SUBSTITUTE(CriteriTecnici!$F913,CHAR(34),"'")&amp;CHAR(34)&amp;", "&amp;CHAR(34)&amp;"value"&amp;CHAR(34)&amp;": "&amp;SUBSTITUTE(TRIM(ROUND(IFERROR(CriteriTecnici!$N913*1,IFERROR(NUMBERVALUE(CriteriTecnici!$N913,".",","),IFERROR(NUMBERVALUE(CriteriTecnici!$N913,",","."),0))),4)&amp;""),",",".")&amp;", "&amp;CHAR(34)&amp;"numerator"&amp;CHAR(34)&amp;": "&amp;SUBSTITUTE(TRIM(ROUND(IFERROR(CriteriTecnici!$K913*1,IFERROR(NUMBERVALUE(CriteriTecnici!$K913,".",","),IFERROR(NUMBERVALUE(CriteriTecnici!$K913,",","."),0))),4)&amp;""),",",".")&amp;", "&amp;CHAR(34)&amp;"denominator"&amp;CHAR(34)&amp;": "&amp;SUBSTITUTE(TRIM(ROUND(IFERROR(CriteriTecnici!$L913*1,IFERROR(NUMBERVALUE(CriteriTecnici!$L913,".",","),IFERROR(NUMBERVALUE(CriteriTecnici!$L913,",","."),0))),4)&amp;""),",",".")&amp;", "&amp;CHAR(34)&amp;"flag"&amp;CHAR(34)&amp;": "&amp;SUBSTITUTE(TRIM(ROUND(IFERROR(CriteriTecnici!$M913*1,IFERROR(NUMBERVALUE(CriteriTecnici!$M913,".",","),IFERROR(NUMBERVALUE(CriteriTecnici!$M913,",","."),0))),4)&amp;""),",",".")&amp;", "&amp;CHAR(34)&amp;"rawScore"&amp;CHAR(34)&amp;": "&amp;SUBSTITUTE(TRIM(ROUND(IFERROR(CriteriTecnici!$O913*1,IFERROR(NUMBERVALUE(CriteriTecnici!$O913,".",","),IFERROR(NUMBERVALUE(CriteriTecnici!$O913,",","."),0))),4)&amp;""),",",".")&amp;CHAR(125)&amp;IF(TRUE,",",""))</f>
        <v/>
      </c>
    </row>
    <row r="1015">
      <c r="A1015" s="82">
        <f>IF(CriteriTecnici!$A914="","","    "&amp;CHAR(123)&amp;CHAR(34)&amp;"bidderId"&amp;CHAR(34)&amp;": "&amp;CHAR(34)&amp;SUBSTITUTE(CriteriTecnici!$A914,CHAR(34),"'")&amp;CHAR(34)&amp;", "&amp;CHAR(34)&amp;"lotId"&amp;CHAR(34)&amp;": "&amp;CHAR(34)&amp;SUBSTITUTE(CriteriTecnici!$C914,CHAR(34),"'")&amp;CHAR(34)&amp;", "&amp;CHAR(34)&amp;"criterionId"&amp;CHAR(34)&amp;": "&amp;CHAR(34)&amp;SUBSTITUTE(CriteriTecnici!$D914,CHAR(34),"'")&amp;CHAR(34)&amp;", "&amp;CHAR(34)&amp;"kind"&amp;CHAR(34)&amp;": "&amp;CHAR(34)&amp;SUBSTITUTE(CriteriTecnici!$F914,CHAR(34),"'")&amp;CHAR(34)&amp;", "&amp;CHAR(34)&amp;"value"&amp;CHAR(34)&amp;": "&amp;SUBSTITUTE(TRIM(ROUND(IFERROR(CriteriTecnici!$N914*1,IFERROR(NUMBERVALUE(CriteriTecnici!$N914,".",","),IFERROR(NUMBERVALUE(CriteriTecnici!$N914,",","."),0))),4)&amp;""),",",".")&amp;", "&amp;CHAR(34)&amp;"numerator"&amp;CHAR(34)&amp;": "&amp;SUBSTITUTE(TRIM(ROUND(IFERROR(CriteriTecnici!$K914*1,IFERROR(NUMBERVALUE(CriteriTecnici!$K914,".",","),IFERROR(NUMBERVALUE(CriteriTecnici!$K914,",","."),0))),4)&amp;""),",",".")&amp;", "&amp;CHAR(34)&amp;"denominator"&amp;CHAR(34)&amp;": "&amp;SUBSTITUTE(TRIM(ROUND(IFERROR(CriteriTecnici!$L914*1,IFERROR(NUMBERVALUE(CriteriTecnici!$L914,".",","),IFERROR(NUMBERVALUE(CriteriTecnici!$L914,",","."),0))),4)&amp;""),",",".")&amp;", "&amp;CHAR(34)&amp;"flag"&amp;CHAR(34)&amp;": "&amp;SUBSTITUTE(TRIM(ROUND(IFERROR(CriteriTecnici!$M914*1,IFERROR(NUMBERVALUE(CriteriTecnici!$M914,".",","),IFERROR(NUMBERVALUE(CriteriTecnici!$M914,",","."),0))),4)&amp;""),",",".")&amp;", "&amp;CHAR(34)&amp;"rawScore"&amp;CHAR(34)&amp;": "&amp;SUBSTITUTE(TRIM(ROUND(IFERROR(CriteriTecnici!$O914*1,IFERROR(NUMBERVALUE(CriteriTecnici!$O914,".",","),IFERROR(NUMBERVALUE(CriteriTecnici!$O914,",","."),0))),4)&amp;""),",",".")&amp;CHAR(125)&amp;IF(TRUE,",",""))</f>
        <v/>
      </c>
    </row>
    <row r="1016">
      <c r="A1016" s="82">
        <f>IF(CriteriTecnici!$A915="","","    "&amp;CHAR(123)&amp;CHAR(34)&amp;"bidderId"&amp;CHAR(34)&amp;": "&amp;CHAR(34)&amp;SUBSTITUTE(CriteriTecnici!$A915,CHAR(34),"'")&amp;CHAR(34)&amp;", "&amp;CHAR(34)&amp;"lotId"&amp;CHAR(34)&amp;": "&amp;CHAR(34)&amp;SUBSTITUTE(CriteriTecnici!$C915,CHAR(34),"'")&amp;CHAR(34)&amp;", "&amp;CHAR(34)&amp;"criterionId"&amp;CHAR(34)&amp;": "&amp;CHAR(34)&amp;SUBSTITUTE(CriteriTecnici!$D915,CHAR(34),"'")&amp;CHAR(34)&amp;", "&amp;CHAR(34)&amp;"kind"&amp;CHAR(34)&amp;": "&amp;CHAR(34)&amp;SUBSTITUTE(CriteriTecnici!$F915,CHAR(34),"'")&amp;CHAR(34)&amp;", "&amp;CHAR(34)&amp;"value"&amp;CHAR(34)&amp;": "&amp;SUBSTITUTE(TRIM(ROUND(IFERROR(CriteriTecnici!$N915*1,IFERROR(NUMBERVALUE(CriteriTecnici!$N915,".",","),IFERROR(NUMBERVALUE(CriteriTecnici!$N915,",","."),0))),4)&amp;""),",",".")&amp;", "&amp;CHAR(34)&amp;"numerator"&amp;CHAR(34)&amp;": "&amp;SUBSTITUTE(TRIM(ROUND(IFERROR(CriteriTecnici!$K915*1,IFERROR(NUMBERVALUE(CriteriTecnici!$K915,".",","),IFERROR(NUMBERVALUE(CriteriTecnici!$K915,",","."),0))),4)&amp;""),",",".")&amp;", "&amp;CHAR(34)&amp;"denominator"&amp;CHAR(34)&amp;": "&amp;SUBSTITUTE(TRIM(ROUND(IFERROR(CriteriTecnici!$L915*1,IFERROR(NUMBERVALUE(CriteriTecnici!$L915,".",","),IFERROR(NUMBERVALUE(CriteriTecnici!$L915,",","."),0))),4)&amp;""),",",".")&amp;", "&amp;CHAR(34)&amp;"flag"&amp;CHAR(34)&amp;": "&amp;SUBSTITUTE(TRIM(ROUND(IFERROR(CriteriTecnici!$M915*1,IFERROR(NUMBERVALUE(CriteriTecnici!$M915,".",","),IFERROR(NUMBERVALUE(CriteriTecnici!$M915,",","."),0))),4)&amp;""),",",".")&amp;", "&amp;CHAR(34)&amp;"rawScore"&amp;CHAR(34)&amp;": "&amp;SUBSTITUTE(TRIM(ROUND(IFERROR(CriteriTecnici!$O915*1,IFERROR(NUMBERVALUE(CriteriTecnici!$O915,".",","),IFERROR(NUMBERVALUE(CriteriTecnici!$O915,",","."),0))),4)&amp;""),",",".")&amp;CHAR(125)&amp;IF(TRUE,",",""))</f>
        <v/>
      </c>
    </row>
    <row r="1017">
      <c r="A1017" s="82">
        <f>IF(CriteriTecnici!$A916="","","    "&amp;CHAR(123)&amp;CHAR(34)&amp;"bidderId"&amp;CHAR(34)&amp;": "&amp;CHAR(34)&amp;SUBSTITUTE(CriteriTecnici!$A916,CHAR(34),"'")&amp;CHAR(34)&amp;", "&amp;CHAR(34)&amp;"lotId"&amp;CHAR(34)&amp;": "&amp;CHAR(34)&amp;SUBSTITUTE(CriteriTecnici!$C916,CHAR(34),"'")&amp;CHAR(34)&amp;", "&amp;CHAR(34)&amp;"criterionId"&amp;CHAR(34)&amp;": "&amp;CHAR(34)&amp;SUBSTITUTE(CriteriTecnici!$D916,CHAR(34),"'")&amp;CHAR(34)&amp;", "&amp;CHAR(34)&amp;"kind"&amp;CHAR(34)&amp;": "&amp;CHAR(34)&amp;SUBSTITUTE(CriteriTecnici!$F916,CHAR(34),"'")&amp;CHAR(34)&amp;", "&amp;CHAR(34)&amp;"value"&amp;CHAR(34)&amp;": "&amp;SUBSTITUTE(TRIM(ROUND(IFERROR(CriteriTecnici!$N916*1,IFERROR(NUMBERVALUE(CriteriTecnici!$N916,".",","),IFERROR(NUMBERVALUE(CriteriTecnici!$N916,",","."),0))),4)&amp;""),",",".")&amp;", "&amp;CHAR(34)&amp;"numerator"&amp;CHAR(34)&amp;": "&amp;SUBSTITUTE(TRIM(ROUND(IFERROR(CriteriTecnici!$K916*1,IFERROR(NUMBERVALUE(CriteriTecnici!$K916,".",","),IFERROR(NUMBERVALUE(CriteriTecnici!$K916,",","."),0))),4)&amp;""),",",".")&amp;", "&amp;CHAR(34)&amp;"denominator"&amp;CHAR(34)&amp;": "&amp;SUBSTITUTE(TRIM(ROUND(IFERROR(CriteriTecnici!$L916*1,IFERROR(NUMBERVALUE(CriteriTecnici!$L916,".",","),IFERROR(NUMBERVALUE(CriteriTecnici!$L916,",","."),0))),4)&amp;""),",",".")&amp;", "&amp;CHAR(34)&amp;"flag"&amp;CHAR(34)&amp;": "&amp;SUBSTITUTE(TRIM(ROUND(IFERROR(CriteriTecnici!$M916*1,IFERROR(NUMBERVALUE(CriteriTecnici!$M916,".",","),IFERROR(NUMBERVALUE(CriteriTecnici!$M916,",","."),0))),4)&amp;""),",",".")&amp;", "&amp;CHAR(34)&amp;"rawScore"&amp;CHAR(34)&amp;": "&amp;SUBSTITUTE(TRIM(ROUND(IFERROR(CriteriTecnici!$O916*1,IFERROR(NUMBERVALUE(CriteriTecnici!$O916,".",","),IFERROR(NUMBERVALUE(CriteriTecnici!$O916,",","."),0))),4)&amp;""),",",".")&amp;CHAR(125)&amp;IF(TRUE,",",""))</f>
        <v/>
      </c>
    </row>
    <row r="1018">
      <c r="A1018" s="82">
        <f>IF(CriteriTecnici!$A917="","","    "&amp;CHAR(123)&amp;CHAR(34)&amp;"bidderId"&amp;CHAR(34)&amp;": "&amp;CHAR(34)&amp;SUBSTITUTE(CriteriTecnici!$A917,CHAR(34),"'")&amp;CHAR(34)&amp;", "&amp;CHAR(34)&amp;"lotId"&amp;CHAR(34)&amp;": "&amp;CHAR(34)&amp;SUBSTITUTE(CriteriTecnici!$C917,CHAR(34),"'")&amp;CHAR(34)&amp;", "&amp;CHAR(34)&amp;"criterionId"&amp;CHAR(34)&amp;": "&amp;CHAR(34)&amp;SUBSTITUTE(CriteriTecnici!$D917,CHAR(34),"'")&amp;CHAR(34)&amp;", "&amp;CHAR(34)&amp;"kind"&amp;CHAR(34)&amp;": "&amp;CHAR(34)&amp;SUBSTITUTE(CriteriTecnici!$F917,CHAR(34),"'")&amp;CHAR(34)&amp;", "&amp;CHAR(34)&amp;"value"&amp;CHAR(34)&amp;": "&amp;SUBSTITUTE(TRIM(ROUND(IFERROR(CriteriTecnici!$N917*1,IFERROR(NUMBERVALUE(CriteriTecnici!$N917,".",","),IFERROR(NUMBERVALUE(CriteriTecnici!$N917,",","."),0))),4)&amp;""),",",".")&amp;", "&amp;CHAR(34)&amp;"numerator"&amp;CHAR(34)&amp;": "&amp;SUBSTITUTE(TRIM(ROUND(IFERROR(CriteriTecnici!$K917*1,IFERROR(NUMBERVALUE(CriteriTecnici!$K917,".",","),IFERROR(NUMBERVALUE(CriteriTecnici!$K917,",","."),0))),4)&amp;""),",",".")&amp;", "&amp;CHAR(34)&amp;"denominator"&amp;CHAR(34)&amp;": "&amp;SUBSTITUTE(TRIM(ROUND(IFERROR(CriteriTecnici!$L917*1,IFERROR(NUMBERVALUE(CriteriTecnici!$L917,".",","),IFERROR(NUMBERVALUE(CriteriTecnici!$L917,",","."),0))),4)&amp;""),",",".")&amp;", "&amp;CHAR(34)&amp;"flag"&amp;CHAR(34)&amp;": "&amp;SUBSTITUTE(TRIM(ROUND(IFERROR(CriteriTecnici!$M917*1,IFERROR(NUMBERVALUE(CriteriTecnici!$M917,".",","),IFERROR(NUMBERVALUE(CriteriTecnici!$M917,",","."),0))),4)&amp;""),",",".")&amp;", "&amp;CHAR(34)&amp;"rawScore"&amp;CHAR(34)&amp;": "&amp;SUBSTITUTE(TRIM(ROUND(IFERROR(CriteriTecnici!$O917*1,IFERROR(NUMBERVALUE(CriteriTecnici!$O917,".",","),IFERROR(NUMBERVALUE(CriteriTecnici!$O917,",","."),0))),4)&amp;""),",",".")&amp;CHAR(125)&amp;IF(TRUE,",",""))</f>
        <v/>
      </c>
    </row>
    <row r="1019">
      <c r="A1019" s="82">
        <f>IF(CriteriTecnici!$A918="","","    "&amp;CHAR(123)&amp;CHAR(34)&amp;"bidderId"&amp;CHAR(34)&amp;": "&amp;CHAR(34)&amp;SUBSTITUTE(CriteriTecnici!$A918,CHAR(34),"'")&amp;CHAR(34)&amp;", "&amp;CHAR(34)&amp;"lotId"&amp;CHAR(34)&amp;": "&amp;CHAR(34)&amp;SUBSTITUTE(CriteriTecnici!$C918,CHAR(34),"'")&amp;CHAR(34)&amp;", "&amp;CHAR(34)&amp;"criterionId"&amp;CHAR(34)&amp;": "&amp;CHAR(34)&amp;SUBSTITUTE(CriteriTecnici!$D918,CHAR(34),"'")&amp;CHAR(34)&amp;", "&amp;CHAR(34)&amp;"kind"&amp;CHAR(34)&amp;": "&amp;CHAR(34)&amp;SUBSTITUTE(CriteriTecnici!$F918,CHAR(34),"'")&amp;CHAR(34)&amp;", "&amp;CHAR(34)&amp;"value"&amp;CHAR(34)&amp;": "&amp;SUBSTITUTE(TRIM(ROUND(IFERROR(CriteriTecnici!$N918*1,IFERROR(NUMBERVALUE(CriteriTecnici!$N918,".",","),IFERROR(NUMBERVALUE(CriteriTecnici!$N918,",","."),0))),4)&amp;""),",",".")&amp;", "&amp;CHAR(34)&amp;"numerator"&amp;CHAR(34)&amp;": "&amp;SUBSTITUTE(TRIM(ROUND(IFERROR(CriteriTecnici!$K918*1,IFERROR(NUMBERVALUE(CriteriTecnici!$K918,".",","),IFERROR(NUMBERVALUE(CriteriTecnici!$K918,",","."),0))),4)&amp;""),",",".")&amp;", "&amp;CHAR(34)&amp;"denominator"&amp;CHAR(34)&amp;": "&amp;SUBSTITUTE(TRIM(ROUND(IFERROR(CriteriTecnici!$L918*1,IFERROR(NUMBERVALUE(CriteriTecnici!$L918,".",","),IFERROR(NUMBERVALUE(CriteriTecnici!$L918,",","."),0))),4)&amp;""),",",".")&amp;", "&amp;CHAR(34)&amp;"flag"&amp;CHAR(34)&amp;": "&amp;SUBSTITUTE(TRIM(ROUND(IFERROR(CriteriTecnici!$M918*1,IFERROR(NUMBERVALUE(CriteriTecnici!$M918,".",","),IFERROR(NUMBERVALUE(CriteriTecnici!$M918,",","."),0))),4)&amp;""),",",".")&amp;", "&amp;CHAR(34)&amp;"rawScore"&amp;CHAR(34)&amp;": "&amp;SUBSTITUTE(TRIM(ROUND(IFERROR(CriteriTecnici!$O918*1,IFERROR(NUMBERVALUE(CriteriTecnici!$O918,".",","),IFERROR(NUMBERVALUE(CriteriTecnici!$O918,",","."),0))),4)&amp;""),",",".")&amp;CHAR(125)&amp;IF(TRUE,",",""))</f>
        <v/>
      </c>
    </row>
    <row r="1020">
      <c r="A1020" s="82">
        <f>IF(CriteriTecnici!$A919="","","    "&amp;CHAR(123)&amp;CHAR(34)&amp;"bidderId"&amp;CHAR(34)&amp;": "&amp;CHAR(34)&amp;SUBSTITUTE(CriteriTecnici!$A919,CHAR(34),"'")&amp;CHAR(34)&amp;", "&amp;CHAR(34)&amp;"lotId"&amp;CHAR(34)&amp;": "&amp;CHAR(34)&amp;SUBSTITUTE(CriteriTecnici!$C919,CHAR(34),"'")&amp;CHAR(34)&amp;", "&amp;CHAR(34)&amp;"criterionId"&amp;CHAR(34)&amp;": "&amp;CHAR(34)&amp;SUBSTITUTE(CriteriTecnici!$D919,CHAR(34),"'")&amp;CHAR(34)&amp;", "&amp;CHAR(34)&amp;"kind"&amp;CHAR(34)&amp;": "&amp;CHAR(34)&amp;SUBSTITUTE(CriteriTecnici!$F919,CHAR(34),"'")&amp;CHAR(34)&amp;", "&amp;CHAR(34)&amp;"value"&amp;CHAR(34)&amp;": "&amp;SUBSTITUTE(TRIM(ROUND(IFERROR(CriteriTecnici!$N919*1,IFERROR(NUMBERVALUE(CriteriTecnici!$N919,".",","),IFERROR(NUMBERVALUE(CriteriTecnici!$N919,",","."),0))),4)&amp;""),",",".")&amp;", "&amp;CHAR(34)&amp;"numerator"&amp;CHAR(34)&amp;": "&amp;SUBSTITUTE(TRIM(ROUND(IFERROR(CriteriTecnici!$K919*1,IFERROR(NUMBERVALUE(CriteriTecnici!$K919,".",","),IFERROR(NUMBERVALUE(CriteriTecnici!$K919,",","."),0))),4)&amp;""),",",".")&amp;", "&amp;CHAR(34)&amp;"denominator"&amp;CHAR(34)&amp;": "&amp;SUBSTITUTE(TRIM(ROUND(IFERROR(CriteriTecnici!$L919*1,IFERROR(NUMBERVALUE(CriteriTecnici!$L919,".",","),IFERROR(NUMBERVALUE(CriteriTecnici!$L919,",","."),0))),4)&amp;""),",",".")&amp;", "&amp;CHAR(34)&amp;"flag"&amp;CHAR(34)&amp;": "&amp;SUBSTITUTE(TRIM(ROUND(IFERROR(CriteriTecnici!$M919*1,IFERROR(NUMBERVALUE(CriteriTecnici!$M919,".",","),IFERROR(NUMBERVALUE(CriteriTecnici!$M919,",","."),0))),4)&amp;""),",",".")&amp;", "&amp;CHAR(34)&amp;"rawScore"&amp;CHAR(34)&amp;": "&amp;SUBSTITUTE(TRIM(ROUND(IFERROR(CriteriTecnici!$O919*1,IFERROR(NUMBERVALUE(CriteriTecnici!$O919,".",","),IFERROR(NUMBERVALUE(CriteriTecnici!$O919,",","."),0))),4)&amp;""),",",".")&amp;CHAR(125)&amp;IF(TRUE,",",""))</f>
        <v/>
      </c>
    </row>
    <row r="1021">
      <c r="A1021" s="82">
        <f>IF(CriteriTecnici!$A920="","","    "&amp;CHAR(123)&amp;CHAR(34)&amp;"bidderId"&amp;CHAR(34)&amp;": "&amp;CHAR(34)&amp;SUBSTITUTE(CriteriTecnici!$A920,CHAR(34),"'")&amp;CHAR(34)&amp;", "&amp;CHAR(34)&amp;"lotId"&amp;CHAR(34)&amp;": "&amp;CHAR(34)&amp;SUBSTITUTE(CriteriTecnici!$C920,CHAR(34),"'")&amp;CHAR(34)&amp;", "&amp;CHAR(34)&amp;"criterionId"&amp;CHAR(34)&amp;": "&amp;CHAR(34)&amp;SUBSTITUTE(CriteriTecnici!$D920,CHAR(34),"'")&amp;CHAR(34)&amp;", "&amp;CHAR(34)&amp;"kind"&amp;CHAR(34)&amp;": "&amp;CHAR(34)&amp;SUBSTITUTE(CriteriTecnici!$F920,CHAR(34),"'")&amp;CHAR(34)&amp;", "&amp;CHAR(34)&amp;"value"&amp;CHAR(34)&amp;": "&amp;SUBSTITUTE(TRIM(ROUND(IFERROR(CriteriTecnici!$N920*1,IFERROR(NUMBERVALUE(CriteriTecnici!$N920,".",","),IFERROR(NUMBERVALUE(CriteriTecnici!$N920,",","."),0))),4)&amp;""),",",".")&amp;", "&amp;CHAR(34)&amp;"numerator"&amp;CHAR(34)&amp;": "&amp;SUBSTITUTE(TRIM(ROUND(IFERROR(CriteriTecnici!$K920*1,IFERROR(NUMBERVALUE(CriteriTecnici!$K920,".",","),IFERROR(NUMBERVALUE(CriteriTecnici!$K920,",","."),0))),4)&amp;""),",",".")&amp;", "&amp;CHAR(34)&amp;"denominator"&amp;CHAR(34)&amp;": "&amp;SUBSTITUTE(TRIM(ROUND(IFERROR(CriteriTecnici!$L920*1,IFERROR(NUMBERVALUE(CriteriTecnici!$L920,".",","),IFERROR(NUMBERVALUE(CriteriTecnici!$L920,",","."),0))),4)&amp;""),",",".")&amp;", "&amp;CHAR(34)&amp;"flag"&amp;CHAR(34)&amp;": "&amp;SUBSTITUTE(TRIM(ROUND(IFERROR(CriteriTecnici!$M920*1,IFERROR(NUMBERVALUE(CriteriTecnici!$M920,".",","),IFERROR(NUMBERVALUE(CriteriTecnici!$M920,",","."),0))),4)&amp;""),",",".")&amp;", "&amp;CHAR(34)&amp;"rawScore"&amp;CHAR(34)&amp;": "&amp;SUBSTITUTE(TRIM(ROUND(IFERROR(CriteriTecnici!$O920*1,IFERROR(NUMBERVALUE(CriteriTecnici!$O920,".",","),IFERROR(NUMBERVALUE(CriteriTecnici!$O920,",","."),0))),4)&amp;""),",",".")&amp;CHAR(125)&amp;IF(TRUE,",",""))</f>
        <v/>
      </c>
    </row>
    <row r="1022">
      <c r="A1022" s="82">
        <f>IF(CriteriTecnici!$A921="","","    "&amp;CHAR(123)&amp;CHAR(34)&amp;"bidderId"&amp;CHAR(34)&amp;": "&amp;CHAR(34)&amp;SUBSTITUTE(CriteriTecnici!$A921,CHAR(34),"'")&amp;CHAR(34)&amp;", "&amp;CHAR(34)&amp;"lotId"&amp;CHAR(34)&amp;": "&amp;CHAR(34)&amp;SUBSTITUTE(CriteriTecnici!$C921,CHAR(34),"'")&amp;CHAR(34)&amp;", "&amp;CHAR(34)&amp;"criterionId"&amp;CHAR(34)&amp;": "&amp;CHAR(34)&amp;SUBSTITUTE(CriteriTecnici!$D921,CHAR(34),"'")&amp;CHAR(34)&amp;", "&amp;CHAR(34)&amp;"kind"&amp;CHAR(34)&amp;": "&amp;CHAR(34)&amp;SUBSTITUTE(CriteriTecnici!$F921,CHAR(34),"'")&amp;CHAR(34)&amp;", "&amp;CHAR(34)&amp;"value"&amp;CHAR(34)&amp;": "&amp;SUBSTITUTE(TRIM(ROUND(IFERROR(CriteriTecnici!$N921*1,IFERROR(NUMBERVALUE(CriteriTecnici!$N921,".",","),IFERROR(NUMBERVALUE(CriteriTecnici!$N921,",","."),0))),4)&amp;""),",",".")&amp;", "&amp;CHAR(34)&amp;"numerator"&amp;CHAR(34)&amp;": "&amp;SUBSTITUTE(TRIM(ROUND(IFERROR(CriteriTecnici!$K921*1,IFERROR(NUMBERVALUE(CriteriTecnici!$K921,".",","),IFERROR(NUMBERVALUE(CriteriTecnici!$K921,",","."),0))),4)&amp;""),",",".")&amp;", "&amp;CHAR(34)&amp;"denominator"&amp;CHAR(34)&amp;": "&amp;SUBSTITUTE(TRIM(ROUND(IFERROR(CriteriTecnici!$L921*1,IFERROR(NUMBERVALUE(CriteriTecnici!$L921,".",","),IFERROR(NUMBERVALUE(CriteriTecnici!$L921,",","."),0))),4)&amp;""),",",".")&amp;", "&amp;CHAR(34)&amp;"flag"&amp;CHAR(34)&amp;": "&amp;SUBSTITUTE(TRIM(ROUND(IFERROR(CriteriTecnici!$M921*1,IFERROR(NUMBERVALUE(CriteriTecnici!$M921,".",","),IFERROR(NUMBERVALUE(CriteriTecnici!$M921,",","."),0))),4)&amp;""),",",".")&amp;", "&amp;CHAR(34)&amp;"rawScore"&amp;CHAR(34)&amp;": "&amp;SUBSTITUTE(TRIM(ROUND(IFERROR(CriteriTecnici!$O921*1,IFERROR(NUMBERVALUE(CriteriTecnici!$O921,".",","),IFERROR(NUMBERVALUE(CriteriTecnici!$O921,",","."),0))),4)&amp;""),",",".")&amp;CHAR(125)&amp;IF(TRUE,",",""))</f>
        <v/>
      </c>
    </row>
    <row r="1023">
      <c r="A1023" s="82">
        <f>IF(CriteriTecnici!$A922="","","    "&amp;CHAR(123)&amp;CHAR(34)&amp;"bidderId"&amp;CHAR(34)&amp;": "&amp;CHAR(34)&amp;SUBSTITUTE(CriteriTecnici!$A922,CHAR(34),"'")&amp;CHAR(34)&amp;", "&amp;CHAR(34)&amp;"lotId"&amp;CHAR(34)&amp;": "&amp;CHAR(34)&amp;SUBSTITUTE(CriteriTecnici!$C922,CHAR(34),"'")&amp;CHAR(34)&amp;", "&amp;CHAR(34)&amp;"criterionId"&amp;CHAR(34)&amp;": "&amp;CHAR(34)&amp;SUBSTITUTE(CriteriTecnici!$D922,CHAR(34),"'")&amp;CHAR(34)&amp;", "&amp;CHAR(34)&amp;"kind"&amp;CHAR(34)&amp;": "&amp;CHAR(34)&amp;SUBSTITUTE(CriteriTecnici!$F922,CHAR(34),"'")&amp;CHAR(34)&amp;", "&amp;CHAR(34)&amp;"value"&amp;CHAR(34)&amp;": "&amp;SUBSTITUTE(TRIM(ROUND(IFERROR(CriteriTecnici!$N922*1,IFERROR(NUMBERVALUE(CriteriTecnici!$N922,".",","),IFERROR(NUMBERVALUE(CriteriTecnici!$N922,",","."),0))),4)&amp;""),",",".")&amp;", "&amp;CHAR(34)&amp;"numerator"&amp;CHAR(34)&amp;": "&amp;SUBSTITUTE(TRIM(ROUND(IFERROR(CriteriTecnici!$K922*1,IFERROR(NUMBERVALUE(CriteriTecnici!$K922,".",","),IFERROR(NUMBERVALUE(CriteriTecnici!$K922,",","."),0))),4)&amp;""),",",".")&amp;", "&amp;CHAR(34)&amp;"denominator"&amp;CHAR(34)&amp;": "&amp;SUBSTITUTE(TRIM(ROUND(IFERROR(CriteriTecnici!$L922*1,IFERROR(NUMBERVALUE(CriteriTecnici!$L922,".",","),IFERROR(NUMBERVALUE(CriteriTecnici!$L922,",","."),0))),4)&amp;""),",",".")&amp;", "&amp;CHAR(34)&amp;"flag"&amp;CHAR(34)&amp;": "&amp;SUBSTITUTE(TRIM(ROUND(IFERROR(CriteriTecnici!$M922*1,IFERROR(NUMBERVALUE(CriteriTecnici!$M922,".",","),IFERROR(NUMBERVALUE(CriteriTecnici!$M922,",","."),0))),4)&amp;""),",",".")&amp;", "&amp;CHAR(34)&amp;"rawScore"&amp;CHAR(34)&amp;": "&amp;SUBSTITUTE(TRIM(ROUND(IFERROR(CriteriTecnici!$O922*1,IFERROR(NUMBERVALUE(CriteriTecnici!$O922,".",","),IFERROR(NUMBERVALUE(CriteriTecnici!$O922,",","."),0))),4)&amp;""),",",".")&amp;CHAR(125)&amp;IF(TRUE,",",""))</f>
        <v/>
      </c>
    </row>
    <row r="1024">
      <c r="A1024" s="82">
        <f>IF(CriteriTecnici!$A923="","","    "&amp;CHAR(123)&amp;CHAR(34)&amp;"bidderId"&amp;CHAR(34)&amp;": "&amp;CHAR(34)&amp;SUBSTITUTE(CriteriTecnici!$A923,CHAR(34),"'")&amp;CHAR(34)&amp;", "&amp;CHAR(34)&amp;"lotId"&amp;CHAR(34)&amp;": "&amp;CHAR(34)&amp;SUBSTITUTE(CriteriTecnici!$C923,CHAR(34),"'")&amp;CHAR(34)&amp;", "&amp;CHAR(34)&amp;"criterionId"&amp;CHAR(34)&amp;": "&amp;CHAR(34)&amp;SUBSTITUTE(CriteriTecnici!$D923,CHAR(34),"'")&amp;CHAR(34)&amp;", "&amp;CHAR(34)&amp;"kind"&amp;CHAR(34)&amp;": "&amp;CHAR(34)&amp;SUBSTITUTE(CriteriTecnici!$F923,CHAR(34),"'")&amp;CHAR(34)&amp;", "&amp;CHAR(34)&amp;"value"&amp;CHAR(34)&amp;": "&amp;SUBSTITUTE(TRIM(ROUND(IFERROR(CriteriTecnici!$N923*1,IFERROR(NUMBERVALUE(CriteriTecnici!$N923,".",","),IFERROR(NUMBERVALUE(CriteriTecnici!$N923,",","."),0))),4)&amp;""),",",".")&amp;", "&amp;CHAR(34)&amp;"numerator"&amp;CHAR(34)&amp;": "&amp;SUBSTITUTE(TRIM(ROUND(IFERROR(CriteriTecnici!$K923*1,IFERROR(NUMBERVALUE(CriteriTecnici!$K923,".",","),IFERROR(NUMBERVALUE(CriteriTecnici!$K923,",","."),0))),4)&amp;""),",",".")&amp;", "&amp;CHAR(34)&amp;"denominator"&amp;CHAR(34)&amp;": "&amp;SUBSTITUTE(TRIM(ROUND(IFERROR(CriteriTecnici!$L923*1,IFERROR(NUMBERVALUE(CriteriTecnici!$L923,".",","),IFERROR(NUMBERVALUE(CriteriTecnici!$L923,",","."),0))),4)&amp;""),",",".")&amp;", "&amp;CHAR(34)&amp;"flag"&amp;CHAR(34)&amp;": "&amp;SUBSTITUTE(TRIM(ROUND(IFERROR(CriteriTecnici!$M923*1,IFERROR(NUMBERVALUE(CriteriTecnici!$M923,".",","),IFERROR(NUMBERVALUE(CriteriTecnici!$M923,",","."),0))),4)&amp;""),",",".")&amp;", "&amp;CHAR(34)&amp;"rawScore"&amp;CHAR(34)&amp;": "&amp;SUBSTITUTE(TRIM(ROUND(IFERROR(CriteriTecnici!$O923*1,IFERROR(NUMBERVALUE(CriteriTecnici!$O923,".",","),IFERROR(NUMBERVALUE(CriteriTecnici!$O923,",","."),0))),4)&amp;""),",",".")&amp;CHAR(125)&amp;IF(TRUE,",",""))</f>
        <v/>
      </c>
    </row>
    <row r="1025">
      <c r="A1025" s="82">
        <f>IF(CriteriTecnici!$A924="","","    "&amp;CHAR(123)&amp;CHAR(34)&amp;"bidderId"&amp;CHAR(34)&amp;": "&amp;CHAR(34)&amp;SUBSTITUTE(CriteriTecnici!$A924,CHAR(34),"'")&amp;CHAR(34)&amp;", "&amp;CHAR(34)&amp;"lotId"&amp;CHAR(34)&amp;": "&amp;CHAR(34)&amp;SUBSTITUTE(CriteriTecnici!$C924,CHAR(34),"'")&amp;CHAR(34)&amp;", "&amp;CHAR(34)&amp;"criterionId"&amp;CHAR(34)&amp;": "&amp;CHAR(34)&amp;SUBSTITUTE(CriteriTecnici!$D924,CHAR(34),"'")&amp;CHAR(34)&amp;", "&amp;CHAR(34)&amp;"kind"&amp;CHAR(34)&amp;": "&amp;CHAR(34)&amp;SUBSTITUTE(CriteriTecnici!$F924,CHAR(34),"'")&amp;CHAR(34)&amp;", "&amp;CHAR(34)&amp;"value"&amp;CHAR(34)&amp;": "&amp;SUBSTITUTE(TRIM(ROUND(IFERROR(CriteriTecnici!$N924*1,IFERROR(NUMBERVALUE(CriteriTecnici!$N924,".",","),IFERROR(NUMBERVALUE(CriteriTecnici!$N924,",","."),0))),4)&amp;""),",",".")&amp;", "&amp;CHAR(34)&amp;"numerator"&amp;CHAR(34)&amp;": "&amp;SUBSTITUTE(TRIM(ROUND(IFERROR(CriteriTecnici!$K924*1,IFERROR(NUMBERVALUE(CriteriTecnici!$K924,".",","),IFERROR(NUMBERVALUE(CriteriTecnici!$K924,",","."),0))),4)&amp;""),",",".")&amp;", "&amp;CHAR(34)&amp;"denominator"&amp;CHAR(34)&amp;": "&amp;SUBSTITUTE(TRIM(ROUND(IFERROR(CriteriTecnici!$L924*1,IFERROR(NUMBERVALUE(CriteriTecnici!$L924,".",","),IFERROR(NUMBERVALUE(CriteriTecnici!$L924,",","."),0))),4)&amp;""),",",".")&amp;", "&amp;CHAR(34)&amp;"flag"&amp;CHAR(34)&amp;": "&amp;SUBSTITUTE(TRIM(ROUND(IFERROR(CriteriTecnici!$M924*1,IFERROR(NUMBERVALUE(CriteriTecnici!$M924,".",","),IFERROR(NUMBERVALUE(CriteriTecnici!$M924,",","."),0))),4)&amp;""),",",".")&amp;", "&amp;CHAR(34)&amp;"rawScore"&amp;CHAR(34)&amp;": "&amp;SUBSTITUTE(TRIM(ROUND(IFERROR(CriteriTecnici!$O924*1,IFERROR(NUMBERVALUE(CriteriTecnici!$O924,".",","),IFERROR(NUMBERVALUE(CriteriTecnici!$O924,",","."),0))),4)&amp;""),",",".")&amp;CHAR(125)&amp;IF(TRUE,",",""))</f>
        <v/>
      </c>
    </row>
    <row r="1026">
      <c r="A1026" s="82">
        <f>IF(CriteriTecnici!$A925="","","    "&amp;CHAR(123)&amp;CHAR(34)&amp;"bidderId"&amp;CHAR(34)&amp;": "&amp;CHAR(34)&amp;SUBSTITUTE(CriteriTecnici!$A925,CHAR(34),"'")&amp;CHAR(34)&amp;", "&amp;CHAR(34)&amp;"lotId"&amp;CHAR(34)&amp;": "&amp;CHAR(34)&amp;SUBSTITUTE(CriteriTecnici!$C925,CHAR(34),"'")&amp;CHAR(34)&amp;", "&amp;CHAR(34)&amp;"criterionId"&amp;CHAR(34)&amp;": "&amp;CHAR(34)&amp;SUBSTITUTE(CriteriTecnici!$D925,CHAR(34),"'")&amp;CHAR(34)&amp;", "&amp;CHAR(34)&amp;"kind"&amp;CHAR(34)&amp;": "&amp;CHAR(34)&amp;SUBSTITUTE(CriteriTecnici!$F925,CHAR(34),"'")&amp;CHAR(34)&amp;", "&amp;CHAR(34)&amp;"value"&amp;CHAR(34)&amp;": "&amp;SUBSTITUTE(TRIM(ROUND(IFERROR(CriteriTecnici!$N925*1,IFERROR(NUMBERVALUE(CriteriTecnici!$N925,".",","),IFERROR(NUMBERVALUE(CriteriTecnici!$N925,",","."),0))),4)&amp;""),",",".")&amp;", "&amp;CHAR(34)&amp;"numerator"&amp;CHAR(34)&amp;": "&amp;SUBSTITUTE(TRIM(ROUND(IFERROR(CriteriTecnici!$K925*1,IFERROR(NUMBERVALUE(CriteriTecnici!$K925,".",","),IFERROR(NUMBERVALUE(CriteriTecnici!$K925,",","."),0))),4)&amp;""),",",".")&amp;", "&amp;CHAR(34)&amp;"denominator"&amp;CHAR(34)&amp;": "&amp;SUBSTITUTE(TRIM(ROUND(IFERROR(CriteriTecnici!$L925*1,IFERROR(NUMBERVALUE(CriteriTecnici!$L925,".",","),IFERROR(NUMBERVALUE(CriteriTecnici!$L925,",","."),0))),4)&amp;""),",",".")&amp;", "&amp;CHAR(34)&amp;"flag"&amp;CHAR(34)&amp;": "&amp;SUBSTITUTE(TRIM(ROUND(IFERROR(CriteriTecnici!$M925*1,IFERROR(NUMBERVALUE(CriteriTecnici!$M925,".",","),IFERROR(NUMBERVALUE(CriteriTecnici!$M925,",","."),0))),4)&amp;""),",",".")&amp;", "&amp;CHAR(34)&amp;"rawScore"&amp;CHAR(34)&amp;": "&amp;SUBSTITUTE(TRIM(ROUND(IFERROR(CriteriTecnici!$O925*1,IFERROR(NUMBERVALUE(CriteriTecnici!$O925,".",","),IFERROR(NUMBERVALUE(CriteriTecnici!$O925,",","."),0))),4)&amp;""),",",".")&amp;CHAR(125)&amp;IF(TRUE,",",""))</f>
        <v/>
      </c>
    </row>
    <row r="1027">
      <c r="A1027" s="82">
        <f>IF(CriteriTecnici!$A926="","","    "&amp;CHAR(123)&amp;CHAR(34)&amp;"bidderId"&amp;CHAR(34)&amp;": "&amp;CHAR(34)&amp;SUBSTITUTE(CriteriTecnici!$A926,CHAR(34),"'")&amp;CHAR(34)&amp;", "&amp;CHAR(34)&amp;"lotId"&amp;CHAR(34)&amp;": "&amp;CHAR(34)&amp;SUBSTITUTE(CriteriTecnici!$C926,CHAR(34),"'")&amp;CHAR(34)&amp;", "&amp;CHAR(34)&amp;"criterionId"&amp;CHAR(34)&amp;": "&amp;CHAR(34)&amp;SUBSTITUTE(CriteriTecnici!$D926,CHAR(34),"'")&amp;CHAR(34)&amp;", "&amp;CHAR(34)&amp;"kind"&amp;CHAR(34)&amp;": "&amp;CHAR(34)&amp;SUBSTITUTE(CriteriTecnici!$F926,CHAR(34),"'")&amp;CHAR(34)&amp;", "&amp;CHAR(34)&amp;"value"&amp;CHAR(34)&amp;": "&amp;SUBSTITUTE(TRIM(ROUND(IFERROR(CriteriTecnici!$N926*1,IFERROR(NUMBERVALUE(CriteriTecnici!$N926,".",","),IFERROR(NUMBERVALUE(CriteriTecnici!$N926,",","."),0))),4)&amp;""),",",".")&amp;", "&amp;CHAR(34)&amp;"numerator"&amp;CHAR(34)&amp;": "&amp;SUBSTITUTE(TRIM(ROUND(IFERROR(CriteriTecnici!$K926*1,IFERROR(NUMBERVALUE(CriteriTecnici!$K926,".",","),IFERROR(NUMBERVALUE(CriteriTecnici!$K926,",","."),0))),4)&amp;""),",",".")&amp;", "&amp;CHAR(34)&amp;"denominator"&amp;CHAR(34)&amp;": "&amp;SUBSTITUTE(TRIM(ROUND(IFERROR(CriteriTecnici!$L926*1,IFERROR(NUMBERVALUE(CriteriTecnici!$L926,".",","),IFERROR(NUMBERVALUE(CriteriTecnici!$L926,",","."),0))),4)&amp;""),",",".")&amp;", "&amp;CHAR(34)&amp;"flag"&amp;CHAR(34)&amp;": "&amp;SUBSTITUTE(TRIM(ROUND(IFERROR(CriteriTecnici!$M926*1,IFERROR(NUMBERVALUE(CriteriTecnici!$M926,".",","),IFERROR(NUMBERVALUE(CriteriTecnici!$M926,",","."),0))),4)&amp;""),",",".")&amp;", "&amp;CHAR(34)&amp;"rawScore"&amp;CHAR(34)&amp;": "&amp;SUBSTITUTE(TRIM(ROUND(IFERROR(CriteriTecnici!$O926*1,IFERROR(NUMBERVALUE(CriteriTecnici!$O926,".",","),IFERROR(NUMBERVALUE(CriteriTecnici!$O926,",","."),0))),4)&amp;""),",",".")&amp;CHAR(125)&amp;IF(TRUE,",",""))</f>
        <v/>
      </c>
    </row>
    <row r="1028">
      <c r="A1028" s="82">
        <f>IF(CriteriTecnici!$A927="","","    "&amp;CHAR(123)&amp;CHAR(34)&amp;"bidderId"&amp;CHAR(34)&amp;": "&amp;CHAR(34)&amp;SUBSTITUTE(CriteriTecnici!$A927,CHAR(34),"'")&amp;CHAR(34)&amp;", "&amp;CHAR(34)&amp;"lotId"&amp;CHAR(34)&amp;": "&amp;CHAR(34)&amp;SUBSTITUTE(CriteriTecnici!$C927,CHAR(34),"'")&amp;CHAR(34)&amp;", "&amp;CHAR(34)&amp;"criterionId"&amp;CHAR(34)&amp;": "&amp;CHAR(34)&amp;SUBSTITUTE(CriteriTecnici!$D927,CHAR(34),"'")&amp;CHAR(34)&amp;", "&amp;CHAR(34)&amp;"kind"&amp;CHAR(34)&amp;": "&amp;CHAR(34)&amp;SUBSTITUTE(CriteriTecnici!$F927,CHAR(34),"'")&amp;CHAR(34)&amp;", "&amp;CHAR(34)&amp;"value"&amp;CHAR(34)&amp;": "&amp;SUBSTITUTE(TRIM(ROUND(IFERROR(CriteriTecnici!$N927*1,IFERROR(NUMBERVALUE(CriteriTecnici!$N927,".",","),IFERROR(NUMBERVALUE(CriteriTecnici!$N927,",","."),0))),4)&amp;""),",",".")&amp;", "&amp;CHAR(34)&amp;"numerator"&amp;CHAR(34)&amp;": "&amp;SUBSTITUTE(TRIM(ROUND(IFERROR(CriteriTecnici!$K927*1,IFERROR(NUMBERVALUE(CriteriTecnici!$K927,".",","),IFERROR(NUMBERVALUE(CriteriTecnici!$K927,",","."),0))),4)&amp;""),",",".")&amp;", "&amp;CHAR(34)&amp;"denominator"&amp;CHAR(34)&amp;": "&amp;SUBSTITUTE(TRIM(ROUND(IFERROR(CriteriTecnici!$L927*1,IFERROR(NUMBERVALUE(CriteriTecnici!$L927,".",","),IFERROR(NUMBERVALUE(CriteriTecnici!$L927,",","."),0))),4)&amp;""),",",".")&amp;", "&amp;CHAR(34)&amp;"flag"&amp;CHAR(34)&amp;": "&amp;SUBSTITUTE(TRIM(ROUND(IFERROR(CriteriTecnici!$M927*1,IFERROR(NUMBERVALUE(CriteriTecnici!$M927,".",","),IFERROR(NUMBERVALUE(CriteriTecnici!$M927,",","."),0))),4)&amp;""),",",".")&amp;", "&amp;CHAR(34)&amp;"rawScore"&amp;CHAR(34)&amp;": "&amp;SUBSTITUTE(TRIM(ROUND(IFERROR(CriteriTecnici!$O927*1,IFERROR(NUMBERVALUE(CriteriTecnici!$O927,".",","),IFERROR(NUMBERVALUE(CriteriTecnici!$O927,",","."),0))),4)&amp;""),",",".")&amp;CHAR(125)&amp;IF(TRUE,",",""))</f>
        <v/>
      </c>
    </row>
    <row r="1029">
      <c r="A1029" s="82">
        <f>IF(CriteriTecnici!$A928="","","    "&amp;CHAR(123)&amp;CHAR(34)&amp;"bidderId"&amp;CHAR(34)&amp;": "&amp;CHAR(34)&amp;SUBSTITUTE(CriteriTecnici!$A928,CHAR(34),"'")&amp;CHAR(34)&amp;", "&amp;CHAR(34)&amp;"lotId"&amp;CHAR(34)&amp;": "&amp;CHAR(34)&amp;SUBSTITUTE(CriteriTecnici!$C928,CHAR(34),"'")&amp;CHAR(34)&amp;", "&amp;CHAR(34)&amp;"criterionId"&amp;CHAR(34)&amp;": "&amp;CHAR(34)&amp;SUBSTITUTE(CriteriTecnici!$D928,CHAR(34),"'")&amp;CHAR(34)&amp;", "&amp;CHAR(34)&amp;"kind"&amp;CHAR(34)&amp;": "&amp;CHAR(34)&amp;SUBSTITUTE(CriteriTecnici!$F928,CHAR(34),"'")&amp;CHAR(34)&amp;", "&amp;CHAR(34)&amp;"value"&amp;CHAR(34)&amp;": "&amp;SUBSTITUTE(TRIM(ROUND(IFERROR(CriteriTecnici!$N928*1,IFERROR(NUMBERVALUE(CriteriTecnici!$N928,".",","),IFERROR(NUMBERVALUE(CriteriTecnici!$N928,",","."),0))),4)&amp;""),",",".")&amp;", "&amp;CHAR(34)&amp;"numerator"&amp;CHAR(34)&amp;": "&amp;SUBSTITUTE(TRIM(ROUND(IFERROR(CriteriTecnici!$K928*1,IFERROR(NUMBERVALUE(CriteriTecnici!$K928,".",","),IFERROR(NUMBERVALUE(CriteriTecnici!$K928,",","."),0))),4)&amp;""),",",".")&amp;", "&amp;CHAR(34)&amp;"denominator"&amp;CHAR(34)&amp;": "&amp;SUBSTITUTE(TRIM(ROUND(IFERROR(CriteriTecnici!$L928*1,IFERROR(NUMBERVALUE(CriteriTecnici!$L928,".",","),IFERROR(NUMBERVALUE(CriteriTecnici!$L928,",","."),0))),4)&amp;""),",",".")&amp;", "&amp;CHAR(34)&amp;"flag"&amp;CHAR(34)&amp;": "&amp;SUBSTITUTE(TRIM(ROUND(IFERROR(CriteriTecnici!$M928*1,IFERROR(NUMBERVALUE(CriteriTecnici!$M928,".",","),IFERROR(NUMBERVALUE(CriteriTecnici!$M928,",","."),0))),4)&amp;""),",",".")&amp;", "&amp;CHAR(34)&amp;"rawScore"&amp;CHAR(34)&amp;": "&amp;SUBSTITUTE(TRIM(ROUND(IFERROR(CriteriTecnici!$O928*1,IFERROR(NUMBERVALUE(CriteriTecnici!$O928,".",","),IFERROR(NUMBERVALUE(CriteriTecnici!$O928,",","."),0))),4)&amp;""),",",".")&amp;CHAR(125)&amp;IF(TRUE,",",""))</f>
        <v/>
      </c>
    </row>
    <row r="1030">
      <c r="A1030" s="82">
        <f>IF(CriteriTecnici!$A929="","","    "&amp;CHAR(123)&amp;CHAR(34)&amp;"bidderId"&amp;CHAR(34)&amp;": "&amp;CHAR(34)&amp;SUBSTITUTE(CriteriTecnici!$A929,CHAR(34),"'")&amp;CHAR(34)&amp;", "&amp;CHAR(34)&amp;"lotId"&amp;CHAR(34)&amp;": "&amp;CHAR(34)&amp;SUBSTITUTE(CriteriTecnici!$C929,CHAR(34),"'")&amp;CHAR(34)&amp;", "&amp;CHAR(34)&amp;"criterionId"&amp;CHAR(34)&amp;": "&amp;CHAR(34)&amp;SUBSTITUTE(CriteriTecnici!$D929,CHAR(34),"'")&amp;CHAR(34)&amp;", "&amp;CHAR(34)&amp;"kind"&amp;CHAR(34)&amp;": "&amp;CHAR(34)&amp;SUBSTITUTE(CriteriTecnici!$F929,CHAR(34),"'")&amp;CHAR(34)&amp;", "&amp;CHAR(34)&amp;"value"&amp;CHAR(34)&amp;": "&amp;SUBSTITUTE(TRIM(ROUND(IFERROR(CriteriTecnici!$N929*1,IFERROR(NUMBERVALUE(CriteriTecnici!$N929,".",","),IFERROR(NUMBERVALUE(CriteriTecnici!$N929,",","."),0))),4)&amp;""),",",".")&amp;", "&amp;CHAR(34)&amp;"numerator"&amp;CHAR(34)&amp;": "&amp;SUBSTITUTE(TRIM(ROUND(IFERROR(CriteriTecnici!$K929*1,IFERROR(NUMBERVALUE(CriteriTecnici!$K929,".",","),IFERROR(NUMBERVALUE(CriteriTecnici!$K929,",","."),0))),4)&amp;""),",",".")&amp;", "&amp;CHAR(34)&amp;"denominator"&amp;CHAR(34)&amp;": "&amp;SUBSTITUTE(TRIM(ROUND(IFERROR(CriteriTecnici!$L929*1,IFERROR(NUMBERVALUE(CriteriTecnici!$L929,".",","),IFERROR(NUMBERVALUE(CriteriTecnici!$L929,",","."),0))),4)&amp;""),",",".")&amp;", "&amp;CHAR(34)&amp;"flag"&amp;CHAR(34)&amp;": "&amp;SUBSTITUTE(TRIM(ROUND(IFERROR(CriteriTecnici!$M929*1,IFERROR(NUMBERVALUE(CriteriTecnici!$M929,".",","),IFERROR(NUMBERVALUE(CriteriTecnici!$M929,",","."),0))),4)&amp;""),",",".")&amp;", "&amp;CHAR(34)&amp;"rawScore"&amp;CHAR(34)&amp;": "&amp;SUBSTITUTE(TRIM(ROUND(IFERROR(CriteriTecnici!$O929*1,IFERROR(NUMBERVALUE(CriteriTecnici!$O929,".",","),IFERROR(NUMBERVALUE(CriteriTecnici!$O929,",","."),0))),4)&amp;""),",",".")&amp;CHAR(125)&amp;IF(TRUE,",",""))</f>
        <v/>
      </c>
    </row>
    <row r="1031">
      <c r="A1031" s="82">
        <f>IF(CriteriTecnici!$A930="","","    "&amp;CHAR(123)&amp;CHAR(34)&amp;"bidderId"&amp;CHAR(34)&amp;": "&amp;CHAR(34)&amp;SUBSTITUTE(CriteriTecnici!$A930,CHAR(34),"'")&amp;CHAR(34)&amp;", "&amp;CHAR(34)&amp;"lotId"&amp;CHAR(34)&amp;": "&amp;CHAR(34)&amp;SUBSTITUTE(CriteriTecnici!$C930,CHAR(34),"'")&amp;CHAR(34)&amp;", "&amp;CHAR(34)&amp;"criterionId"&amp;CHAR(34)&amp;": "&amp;CHAR(34)&amp;SUBSTITUTE(CriteriTecnici!$D930,CHAR(34),"'")&amp;CHAR(34)&amp;", "&amp;CHAR(34)&amp;"kind"&amp;CHAR(34)&amp;": "&amp;CHAR(34)&amp;SUBSTITUTE(CriteriTecnici!$F930,CHAR(34),"'")&amp;CHAR(34)&amp;", "&amp;CHAR(34)&amp;"value"&amp;CHAR(34)&amp;": "&amp;SUBSTITUTE(TRIM(ROUND(IFERROR(CriteriTecnici!$N930*1,IFERROR(NUMBERVALUE(CriteriTecnici!$N930,".",","),IFERROR(NUMBERVALUE(CriteriTecnici!$N930,",","."),0))),4)&amp;""),",",".")&amp;", "&amp;CHAR(34)&amp;"numerator"&amp;CHAR(34)&amp;": "&amp;SUBSTITUTE(TRIM(ROUND(IFERROR(CriteriTecnici!$K930*1,IFERROR(NUMBERVALUE(CriteriTecnici!$K930,".",","),IFERROR(NUMBERVALUE(CriteriTecnici!$K930,",","."),0))),4)&amp;""),",",".")&amp;", "&amp;CHAR(34)&amp;"denominator"&amp;CHAR(34)&amp;": "&amp;SUBSTITUTE(TRIM(ROUND(IFERROR(CriteriTecnici!$L930*1,IFERROR(NUMBERVALUE(CriteriTecnici!$L930,".",","),IFERROR(NUMBERVALUE(CriteriTecnici!$L930,",","."),0))),4)&amp;""),",",".")&amp;", "&amp;CHAR(34)&amp;"flag"&amp;CHAR(34)&amp;": "&amp;SUBSTITUTE(TRIM(ROUND(IFERROR(CriteriTecnici!$M930*1,IFERROR(NUMBERVALUE(CriteriTecnici!$M930,".",","),IFERROR(NUMBERVALUE(CriteriTecnici!$M930,",","."),0))),4)&amp;""),",",".")&amp;", "&amp;CHAR(34)&amp;"rawScore"&amp;CHAR(34)&amp;": "&amp;SUBSTITUTE(TRIM(ROUND(IFERROR(CriteriTecnici!$O930*1,IFERROR(NUMBERVALUE(CriteriTecnici!$O930,".",","),IFERROR(NUMBERVALUE(CriteriTecnici!$O930,",","."),0))),4)&amp;""),",",".")&amp;CHAR(125)&amp;IF(TRUE,",",""))</f>
        <v/>
      </c>
    </row>
    <row r="1032">
      <c r="A1032" s="82">
        <f>IF(CriteriTecnici!$A931="","","    "&amp;CHAR(123)&amp;CHAR(34)&amp;"bidderId"&amp;CHAR(34)&amp;": "&amp;CHAR(34)&amp;SUBSTITUTE(CriteriTecnici!$A931,CHAR(34),"'")&amp;CHAR(34)&amp;", "&amp;CHAR(34)&amp;"lotId"&amp;CHAR(34)&amp;": "&amp;CHAR(34)&amp;SUBSTITUTE(CriteriTecnici!$C931,CHAR(34),"'")&amp;CHAR(34)&amp;", "&amp;CHAR(34)&amp;"criterionId"&amp;CHAR(34)&amp;": "&amp;CHAR(34)&amp;SUBSTITUTE(CriteriTecnici!$D931,CHAR(34),"'")&amp;CHAR(34)&amp;", "&amp;CHAR(34)&amp;"kind"&amp;CHAR(34)&amp;": "&amp;CHAR(34)&amp;SUBSTITUTE(CriteriTecnici!$F931,CHAR(34),"'")&amp;CHAR(34)&amp;", "&amp;CHAR(34)&amp;"value"&amp;CHAR(34)&amp;": "&amp;SUBSTITUTE(TRIM(ROUND(IFERROR(CriteriTecnici!$N931*1,IFERROR(NUMBERVALUE(CriteriTecnici!$N931,".",","),IFERROR(NUMBERVALUE(CriteriTecnici!$N931,",","."),0))),4)&amp;""),",",".")&amp;", "&amp;CHAR(34)&amp;"numerator"&amp;CHAR(34)&amp;": "&amp;SUBSTITUTE(TRIM(ROUND(IFERROR(CriteriTecnici!$K931*1,IFERROR(NUMBERVALUE(CriteriTecnici!$K931,".",","),IFERROR(NUMBERVALUE(CriteriTecnici!$K931,",","."),0))),4)&amp;""),",",".")&amp;", "&amp;CHAR(34)&amp;"denominator"&amp;CHAR(34)&amp;": "&amp;SUBSTITUTE(TRIM(ROUND(IFERROR(CriteriTecnici!$L931*1,IFERROR(NUMBERVALUE(CriteriTecnici!$L931,".",","),IFERROR(NUMBERVALUE(CriteriTecnici!$L931,",","."),0))),4)&amp;""),",",".")&amp;", "&amp;CHAR(34)&amp;"flag"&amp;CHAR(34)&amp;": "&amp;SUBSTITUTE(TRIM(ROUND(IFERROR(CriteriTecnici!$M931*1,IFERROR(NUMBERVALUE(CriteriTecnici!$M931,".",","),IFERROR(NUMBERVALUE(CriteriTecnici!$M931,",","."),0))),4)&amp;""),",",".")&amp;", "&amp;CHAR(34)&amp;"rawScore"&amp;CHAR(34)&amp;": "&amp;SUBSTITUTE(TRIM(ROUND(IFERROR(CriteriTecnici!$O931*1,IFERROR(NUMBERVALUE(CriteriTecnici!$O931,".",","),IFERROR(NUMBERVALUE(CriteriTecnici!$O931,",","."),0))),4)&amp;""),",",".")&amp;CHAR(125)&amp;IF(TRUE,",",""))</f>
        <v/>
      </c>
    </row>
    <row r="1033">
      <c r="A1033" s="82">
        <f>IF(CriteriTecnici!$A932="","","    "&amp;CHAR(123)&amp;CHAR(34)&amp;"bidderId"&amp;CHAR(34)&amp;": "&amp;CHAR(34)&amp;SUBSTITUTE(CriteriTecnici!$A932,CHAR(34),"'")&amp;CHAR(34)&amp;", "&amp;CHAR(34)&amp;"lotId"&amp;CHAR(34)&amp;": "&amp;CHAR(34)&amp;SUBSTITUTE(CriteriTecnici!$C932,CHAR(34),"'")&amp;CHAR(34)&amp;", "&amp;CHAR(34)&amp;"criterionId"&amp;CHAR(34)&amp;": "&amp;CHAR(34)&amp;SUBSTITUTE(CriteriTecnici!$D932,CHAR(34),"'")&amp;CHAR(34)&amp;", "&amp;CHAR(34)&amp;"kind"&amp;CHAR(34)&amp;": "&amp;CHAR(34)&amp;SUBSTITUTE(CriteriTecnici!$F932,CHAR(34),"'")&amp;CHAR(34)&amp;", "&amp;CHAR(34)&amp;"value"&amp;CHAR(34)&amp;": "&amp;SUBSTITUTE(TRIM(ROUND(IFERROR(CriteriTecnici!$N932*1,IFERROR(NUMBERVALUE(CriteriTecnici!$N932,".",","),IFERROR(NUMBERVALUE(CriteriTecnici!$N932,",","."),0))),4)&amp;""),",",".")&amp;", "&amp;CHAR(34)&amp;"numerator"&amp;CHAR(34)&amp;": "&amp;SUBSTITUTE(TRIM(ROUND(IFERROR(CriteriTecnici!$K932*1,IFERROR(NUMBERVALUE(CriteriTecnici!$K932,".",","),IFERROR(NUMBERVALUE(CriteriTecnici!$K932,",","."),0))),4)&amp;""),",",".")&amp;", "&amp;CHAR(34)&amp;"denominator"&amp;CHAR(34)&amp;": "&amp;SUBSTITUTE(TRIM(ROUND(IFERROR(CriteriTecnici!$L932*1,IFERROR(NUMBERVALUE(CriteriTecnici!$L932,".",","),IFERROR(NUMBERVALUE(CriteriTecnici!$L932,",","."),0))),4)&amp;""),",",".")&amp;", "&amp;CHAR(34)&amp;"flag"&amp;CHAR(34)&amp;": "&amp;SUBSTITUTE(TRIM(ROUND(IFERROR(CriteriTecnici!$M932*1,IFERROR(NUMBERVALUE(CriteriTecnici!$M932,".",","),IFERROR(NUMBERVALUE(CriteriTecnici!$M932,",","."),0))),4)&amp;""),",",".")&amp;", "&amp;CHAR(34)&amp;"rawScore"&amp;CHAR(34)&amp;": "&amp;SUBSTITUTE(TRIM(ROUND(IFERROR(CriteriTecnici!$O932*1,IFERROR(NUMBERVALUE(CriteriTecnici!$O932,".",","),IFERROR(NUMBERVALUE(CriteriTecnici!$O932,",","."),0))),4)&amp;""),",",".")&amp;CHAR(125)&amp;IF(TRUE,",",""))</f>
        <v/>
      </c>
    </row>
    <row r="1034">
      <c r="A1034" s="82">
        <f>IF(CriteriTecnici!$A933="","","    "&amp;CHAR(123)&amp;CHAR(34)&amp;"bidderId"&amp;CHAR(34)&amp;": "&amp;CHAR(34)&amp;SUBSTITUTE(CriteriTecnici!$A933,CHAR(34),"'")&amp;CHAR(34)&amp;", "&amp;CHAR(34)&amp;"lotId"&amp;CHAR(34)&amp;": "&amp;CHAR(34)&amp;SUBSTITUTE(CriteriTecnici!$C933,CHAR(34),"'")&amp;CHAR(34)&amp;", "&amp;CHAR(34)&amp;"criterionId"&amp;CHAR(34)&amp;": "&amp;CHAR(34)&amp;SUBSTITUTE(CriteriTecnici!$D933,CHAR(34),"'")&amp;CHAR(34)&amp;", "&amp;CHAR(34)&amp;"kind"&amp;CHAR(34)&amp;": "&amp;CHAR(34)&amp;SUBSTITUTE(CriteriTecnici!$F933,CHAR(34),"'")&amp;CHAR(34)&amp;", "&amp;CHAR(34)&amp;"value"&amp;CHAR(34)&amp;": "&amp;SUBSTITUTE(TRIM(ROUND(IFERROR(CriteriTecnici!$N933*1,IFERROR(NUMBERVALUE(CriteriTecnici!$N933,".",","),IFERROR(NUMBERVALUE(CriteriTecnici!$N933,",","."),0))),4)&amp;""),",",".")&amp;", "&amp;CHAR(34)&amp;"numerator"&amp;CHAR(34)&amp;": "&amp;SUBSTITUTE(TRIM(ROUND(IFERROR(CriteriTecnici!$K933*1,IFERROR(NUMBERVALUE(CriteriTecnici!$K933,".",","),IFERROR(NUMBERVALUE(CriteriTecnici!$K933,",","."),0))),4)&amp;""),",",".")&amp;", "&amp;CHAR(34)&amp;"denominator"&amp;CHAR(34)&amp;": "&amp;SUBSTITUTE(TRIM(ROUND(IFERROR(CriteriTecnici!$L933*1,IFERROR(NUMBERVALUE(CriteriTecnici!$L933,".",","),IFERROR(NUMBERVALUE(CriteriTecnici!$L933,",","."),0))),4)&amp;""),",",".")&amp;", "&amp;CHAR(34)&amp;"flag"&amp;CHAR(34)&amp;": "&amp;SUBSTITUTE(TRIM(ROUND(IFERROR(CriteriTecnici!$M933*1,IFERROR(NUMBERVALUE(CriteriTecnici!$M933,".",","),IFERROR(NUMBERVALUE(CriteriTecnici!$M933,",","."),0))),4)&amp;""),",",".")&amp;", "&amp;CHAR(34)&amp;"rawScore"&amp;CHAR(34)&amp;": "&amp;SUBSTITUTE(TRIM(ROUND(IFERROR(CriteriTecnici!$O933*1,IFERROR(NUMBERVALUE(CriteriTecnici!$O933,".",","),IFERROR(NUMBERVALUE(CriteriTecnici!$O933,",","."),0))),4)&amp;""),",",".")&amp;CHAR(125)&amp;IF(TRUE,",",""))</f>
        <v/>
      </c>
    </row>
    <row r="1035">
      <c r="A1035" s="82">
        <f>IF(CriteriTecnici!$A934="","","    "&amp;CHAR(123)&amp;CHAR(34)&amp;"bidderId"&amp;CHAR(34)&amp;": "&amp;CHAR(34)&amp;SUBSTITUTE(CriteriTecnici!$A934,CHAR(34),"'")&amp;CHAR(34)&amp;", "&amp;CHAR(34)&amp;"lotId"&amp;CHAR(34)&amp;": "&amp;CHAR(34)&amp;SUBSTITUTE(CriteriTecnici!$C934,CHAR(34),"'")&amp;CHAR(34)&amp;", "&amp;CHAR(34)&amp;"criterionId"&amp;CHAR(34)&amp;": "&amp;CHAR(34)&amp;SUBSTITUTE(CriteriTecnici!$D934,CHAR(34),"'")&amp;CHAR(34)&amp;", "&amp;CHAR(34)&amp;"kind"&amp;CHAR(34)&amp;": "&amp;CHAR(34)&amp;SUBSTITUTE(CriteriTecnici!$F934,CHAR(34),"'")&amp;CHAR(34)&amp;", "&amp;CHAR(34)&amp;"value"&amp;CHAR(34)&amp;": "&amp;SUBSTITUTE(TRIM(ROUND(IFERROR(CriteriTecnici!$N934*1,IFERROR(NUMBERVALUE(CriteriTecnici!$N934,".",","),IFERROR(NUMBERVALUE(CriteriTecnici!$N934,",","."),0))),4)&amp;""),",",".")&amp;", "&amp;CHAR(34)&amp;"numerator"&amp;CHAR(34)&amp;": "&amp;SUBSTITUTE(TRIM(ROUND(IFERROR(CriteriTecnici!$K934*1,IFERROR(NUMBERVALUE(CriteriTecnici!$K934,".",","),IFERROR(NUMBERVALUE(CriteriTecnici!$K934,",","."),0))),4)&amp;""),",",".")&amp;", "&amp;CHAR(34)&amp;"denominator"&amp;CHAR(34)&amp;": "&amp;SUBSTITUTE(TRIM(ROUND(IFERROR(CriteriTecnici!$L934*1,IFERROR(NUMBERVALUE(CriteriTecnici!$L934,".",","),IFERROR(NUMBERVALUE(CriteriTecnici!$L934,",","."),0))),4)&amp;""),",",".")&amp;", "&amp;CHAR(34)&amp;"flag"&amp;CHAR(34)&amp;": "&amp;SUBSTITUTE(TRIM(ROUND(IFERROR(CriteriTecnici!$M934*1,IFERROR(NUMBERVALUE(CriteriTecnici!$M934,".",","),IFERROR(NUMBERVALUE(CriteriTecnici!$M934,",","."),0))),4)&amp;""),",",".")&amp;", "&amp;CHAR(34)&amp;"rawScore"&amp;CHAR(34)&amp;": "&amp;SUBSTITUTE(TRIM(ROUND(IFERROR(CriteriTecnici!$O934*1,IFERROR(NUMBERVALUE(CriteriTecnici!$O934,".",","),IFERROR(NUMBERVALUE(CriteriTecnici!$O934,",","."),0))),4)&amp;""),",",".")&amp;CHAR(125)&amp;IF(COUNTA(Offerte!$A32:$A$81)&gt;0,",",""))</f>
        <v/>
      </c>
    </row>
    <row r="1036">
      <c r="A1036" s="82">
        <f>IF(CriteriTecnici!$A935="","","    "&amp;CHAR(123)&amp;CHAR(34)&amp;"bidderId"&amp;CHAR(34)&amp;": "&amp;CHAR(34)&amp;SUBSTITUTE(CriteriTecnici!$A935,CHAR(34),"'")&amp;CHAR(34)&amp;", "&amp;CHAR(34)&amp;"lotId"&amp;CHAR(34)&amp;": "&amp;CHAR(34)&amp;SUBSTITUTE(CriteriTecnici!$C935,CHAR(34),"'")&amp;CHAR(34)&amp;", "&amp;CHAR(34)&amp;"criterionId"&amp;CHAR(34)&amp;": "&amp;CHAR(34)&amp;SUBSTITUTE(CriteriTecnici!$D935,CHAR(34),"'")&amp;CHAR(34)&amp;", "&amp;CHAR(34)&amp;"kind"&amp;CHAR(34)&amp;": "&amp;CHAR(34)&amp;SUBSTITUTE(CriteriTecnici!$F935,CHAR(34),"'")&amp;CHAR(34)&amp;", "&amp;CHAR(34)&amp;"value"&amp;CHAR(34)&amp;": "&amp;SUBSTITUTE(TRIM(ROUND(IFERROR(CriteriTecnici!$N935*1,IFERROR(NUMBERVALUE(CriteriTecnici!$N935,".",","),IFERROR(NUMBERVALUE(CriteriTecnici!$N935,",","."),0))),4)&amp;""),",",".")&amp;", "&amp;CHAR(34)&amp;"numerator"&amp;CHAR(34)&amp;": "&amp;SUBSTITUTE(TRIM(ROUND(IFERROR(CriteriTecnici!$K935*1,IFERROR(NUMBERVALUE(CriteriTecnici!$K935,".",","),IFERROR(NUMBERVALUE(CriteriTecnici!$K935,",","."),0))),4)&amp;""),",",".")&amp;", "&amp;CHAR(34)&amp;"denominator"&amp;CHAR(34)&amp;": "&amp;SUBSTITUTE(TRIM(ROUND(IFERROR(CriteriTecnici!$L935*1,IFERROR(NUMBERVALUE(CriteriTecnici!$L935,".",","),IFERROR(NUMBERVALUE(CriteriTecnici!$L935,",","."),0))),4)&amp;""),",",".")&amp;", "&amp;CHAR(34)&amp;"flag"&amp;CHAR(34)&amp;": "&amp;SUBSTITUTE(TRIM(ROUND(IFERROR(CriteriTecnici!$M935*1,IFERROR(NUMBERVALUE(CriteriTecnici!$M935,".",","),IFERROR(NUMBERVALUE(CriteriTecnici!$M935,",","."),0))),4)&amp;""),",",".")&amp;", "&amp;CHAR(34)&amp;"rawScore"&amp;CHAR(34)&amp;": "&amp;SUBSTITUTE(TRIM(ROUND(IFERROR(CriteriTecnici!$O935*1,IFERROR(NUMBERVALUE(CriteriTecnici!$O935,".",","),IFERROR(NUMBERVALUE(CriteriTecnici!$O935,",","."),0))),4)&amp;""),",",".")&amp;CHAR(125)&amp;IF(TRUE,",",""))</f>
        <v/>
      </c>
    </row>
    <row r="1037">
      <c r="A1037" s="82">
        <f>IF(CriteriTecnici!$A936="","","    "&amp;CHAR(123)&amp;CHAR(34)&amp;"bidderId"&amp;CHAR(34)&amp;": "&amp;CHAR(34)&amp;SUBSTITUTE(CriteriTecnici!$A936,CHAR(34),"'")&amp;CHAR(34)&amp;", "&amp;CHAR(34)&amp;"lotId"&amp;CHAR(34)&amp;": "&amp;CHAR(34)&amp;SUBSTITUTE(CriteriTecnici!$C936,CHAR(34),"'")&amp;CHAR(34)&amp;", "&amp;CHAR(34)&amp;"criterionId"&amp;CHAR(34)&amp;": "&amp;CHAR(34)&amp;SUBSTITUTE(CriteriTecnici!$D936,CHAR(34),"'")&amp;CHAR(34)&amp;", "&amp;CHAR(34)&amp;"kind"&amp;CHAR(34)&amp;": "&amp;CHAR(34)&amp;SUBSTITUTE(CriteriTecnici!$F936,CHAR(34),"'")&amp;CHAR(34)&amp;", "&amp;CHAR(34)&amp;"value"&amp;CHAR(34)&amp;": "&amp;SUBSTITUTE(TRIM(ROUND(IFERROR(CriteriTecnici!$N936*1,IFERROR(NUMBERVALUE(CriteriTecnici!$N936,".",","),IFERROR(NUMBERVALUE(CriteriTecnici!$N936,",","."),0))),4)&amp;""),",",".")&amp;", "&amp;CHAR(34)&amp;"numerator"&amp;CHAR(34)&amp;": "&amp;SUBSTITUTE(TRIM(ROUND(IFERROR(CriteriTecnici!$K936*1,IFERROR(NUMBERVALUE(CriteriTecnici!$K936,".",","),IFERROR(NUMBERVALUE(CriteriTecnici!$K936,",","."),0))),4)&amp;""),",",".")&amp;", "&amp;CHAR(34)&amp;"denominator"&amp;CHAR(34)&amp;": "&amp;SUBSTITUTE(TRIM(ROUND(IFERROR(CriteriTecnici!$L936*1,IFERROR(NUMBERVALUE(CriteriTecnici!$L936,".",","),IFERROR(NUMBERVALUE(CriteriTecnici!$L936,",","."),0))),4)&amp;""),",",".")&amp;", "&amp;CHAR(34)&amp;"flag"&amp;CHAR(34)&amp;": "&amp;SUBSTITUTE(TRIM(ROUND(IFERROR(CriteriTecnici!$M936*1,IFERROR(NUMBERVALUE(CriteriTecnici!$M936,".",","),IFERROR(NUMBERVALUE(CriteriTecnici!$M936,",","."),0))),4)&amp;""),",",".")&amp;", "&amp;CHAR(34)&amp;"rawScore"&amp;CHAR(34)&amp;": "&amp;SUBSTITUTE(TRIM(ROUND(IFERROR(CriteriTecnici!$O936*1,IFERROR(NUMBERVALUE(CriteriTecnici!$O936,".",","),IFERROR(NUMBERVALUE(CriteriTecnici!$O936,",","."),0))),4)&amp;""),",",".")&amp;CHAR(125)&amp;IF(TRUE,",",""))</f>
        <v/>
      </c>
    </row>
    <row r="1038">
      <c r="A1038" s="82">
        <f>IF(CriteriTecnici!$A937="","","    "&amp;CHAR(123)&amp;CHAR(34)&amp;"bidderId"&amp;CHAR(34)&amp;": "&amp;CHAR(34)&amp;SUBSTITUTE(CriteriTecnici!$A937,CHAR(34),"'")&amp;CHAR(34)&amp;", "&amp;CHAR(34)&amp;"lotId"&amp;CHAR(34)&amp;": "&amp;CHAR(34)&amp;SUBSTITUTE(CriteriTecnici!$C937,CHAR(34),"'")&amp;CHAR(34)&amp;", "&amp;CHAR(34)&amp;"criterionId"&amp;CHAR(34)&amp;": "&amp;CHAR(34)&amp;SUBSTITUTE(CriteriTecnici!$D937,CHAR(34),"'")&amp;CHAR(34)&amp;", "&amp;CHAR(34)&amp;"kind"&amp;CHAR(34)&amp;": "&amp;CHAR(34)&amp;SUBSTITUTE(CriteriTecnici!$F937,CHAR(34),"'")&amp;CHAR(34)&amp;", "&amp;CHAR(34)&amp;"value"&amp;CHAR(34)&amp;": "&amp;SUBSTITUTE(TRIM(ROUND(IFERROR(CriteriTecnici!$N937*1,IFERROR(NUMBERVALUE(CriteriTecnici!$N937,".",","),IFERROR(NUMBERVALUE(CriteriTecnici!$N937,",","."),0))),4)&amp;""),",",".")&amp;", "&amp;CHAR(34)&amp;"numerator"&amp;CHAR(34)&amp;": "&amp;SUBSTITUTE(TRIM(ROUND(IFERROR(CriteriTecnici!$K937*1,IFERROR(NUMBERVALUE(CriteriTecnici!$K937,".",","),IFERROR(NUMBERVALUE(CriteriTecnici!$K937,",","."),0))),4)&amp;""),",",".")&amp;", "&amp;CHAR(34)&amp;"denominator"&amp;CHAR(34)&amp;": "&amp;SUBSTITUTE(TRIM(ROUND(IFERROR(CriteriTecnici!$L937*1,IFERROR(NUMBERVALUE(CriteriTecnici!$L937,".",","),IFERROR(NUMBERVALUE(CriteriTecnici!$L937,",","."),0))),4)&amp;""),",",".")&amp;", "&amp;CHAR(34)&amp;"flag"&amp;CHAR(34)&amp;": "&amp;SUBSTITUTE(TRIM(ROUND(IFERROR(CriteriTecnici!$M937*1,IFERROR(NUMBERVALUE(CriteriTecnici!$M937,".",","),IFERROR(NUMBERVALUE(CriteriTecnici!$M937,",","."),0))),4)&amp;""),",",".")&amp;", "&amp;CHAR(34)&amp;"rawScore"&amp;CHAR(34)&amp;": "&amp;SUBSTITUTE(TRIM(ROUND(IFERROR(CriteriTecnici!$O937*1,IFERROR(NUMBERVALUE(CriteriTecnici!$O937,".",","),IFERROR(NUMBERVALUE(CriteriTecnici!$O937,",","."),0))),4)&amp;""),",",".")&amp;CHAR(125)&amp;IF(TRUE,",",""))</f>
        <v/>
      </c>
    </row>
    <row r="1039">
      <c r="A1039" s="82">
        <f>IF(CriteriTecnici!$A938="","","    "&amp;CHAR(123)&amp;CHAR(34)&amp;"bidderId"&amp;CHAR(34)&amp;": "&amp;CHAR(34)&amp;SUBSTITUTE(CriteriTecnici!$A938,CHAR(34),"'")&amp;CHAR(34)&amp;", "&amp;CHAR(34)&amp;"lotId"&amp;CHAR(34)&amp;": "&amp;CHAR(34)&amp;SUBSTITUTE(CriteriTecnici!$C938,CHAR(34),"'")&amp;CHAR(34)&amp;", "&amp;CHAR(34)&amp;"criterionId"&amp;CHAR(34)&amp;": "&amp;CHAR(34)&amp;SUBSTITUTE(CriteriTecnici!$D938,CHAR(34),"'")&amp;CHAR(34)&amp;", "&amp;CHAR(34)&amp;"kind"&amp;CHAR(34)&amp;": "&amp;CHAR(34)&amp;SUBSTITUTE(CriteriTecnici!$F938,CHAR(34),"'")&amp;CHAR(34)&amp;", "&amp;CHAR(34)&amp;"value"&amp;CHAR(34)&amp;": "&amp;SUBSTITUTE(TRIM(ROUND(IFERROR(CriteriTecnici!$N938*1,IFERROR(NUMBERVALUE(CriteriTecnici!$N938,".",","),IFERROR(NUMBERVALUE(CriteriTecnici!$N938,",","."),0))),4)&amp;""),",",".")&amp;", "&amp;CHAR(34)&amp;"numerator"&amp;CHAR(34)&amp;": "&amp;SUBSTITUTE(TRIM(ROUND(IFERROR(CriteriTecnici!$K938*1,IFERROR(NUMBERVALUE(CriteriTecnici!$K938,".",","),IFERROR(NUMBERVALUE(CriteriTecnici!$K938,",","."),0))),4)&amp;""),",",".")&amp;", "&amp;CHAR(34)&amp;"denominator"&amp;CHAR(34)&amp;": "&amp;SUBSTITUTE(TRIM(ROUND(IFERROR(CriteriTecnici!$L938*1,IFERROR(NUMBERVALUE(CriteriTecnici!$L938,".",","),IFERROR(NUMBERVALUE(CriteriTecnici!$L938,",","."),0))),4)&amp;""),",",".")&amp;", "&amp;CHAR(34)&amp;"flag"&amp;CHAR(34)&amp;": "&amp;SUBSTITUTE(TRIM(ROUND(IFERROR(CriteriTecnici!$M938*1,IFERROR(NUMBERVALUE(CriteriTecnici!$M938,".",","),IFERROR(NUMBERVALUE(CriteriTecnici!$M938,",","."),0))),4)&amp;""),",",".")&amp;", "&amp;CHAR(34)&amp;"rawScore"&amp;CHAR(34)&amp;": "&amp;SUBSTITUTE(TRIM(ROUND(IFERROR(CriteriTecnici!$O938*1,IFERROR(NUMBERVALUE(CriteriTecnici!$O938,".",","),IFERROR(NUMBERVALUE(CriteriTecnici!$O938,",","."),0))),4)&amp;""),",",".")&amp;CHAR(125)&amp;IF(TRUE,",",""))</f>
        <v/>
      </c>
    </row>
    <row r="1040">
      <c r="A1040" s="82">
        <f>IF(CriteriTecnici!$A939="","","    "&amp;CHAR(123)&amp;CHAR(34)&amp;"bidderId"&amp;CHAR(34)&amp;": "&amp;CHAR(34)&amp;SUBSTITUTE(CriteriTecnici!$A939,CHAR(34),"'")&amp;CHAR(34)&amp;", "&amp;CHAR(34)&amp;"lotId"&amp;CHAR(34)&amp;": "&amp;CHAR(34)&amp;SUBSTITUTE(CriteriTecnici!$C939,CHAR(34),"'")&amp;CHAR(34)&amp;", "&amp;CHAR(34)&amp;"criterionId"&amp;CHAR(34)&amp;": "&amp;CHAR(34)&amp;SUBSTITUTE(CriteriTecnici!$D939,CHAR(34),"'")&amp;CHAR(34)&amp;", "&amp;CHAR(34)&amp;"kind"&amp;CHAR(34)&amp;": "&amp;CHAR(34)&amp;SUBSTITUTE(CriteriTecnici!$F939,CHAR(34),"'")&amp;CHAR(34)&amp;", "&amp;CHAR(34)&amp;"value"&amp;CHAR(34)&amp;": "&amp;SUBSTITUTE(TRIM(ROUND(IFERROR(CriteriTecnici!$N939*1,IFERROR(NUMBERVALUE(CriteriTecnici!$N939,".",","),IFERROR(NUMBERVALUE(CriteriTecnici!$N939,",","."),0))),4)&amp;""),",",".")&amp;", "&amp;CHAR(34)&amp;"numerator"&amp;CHAR(34)&amp;": "&amp;SUBSTITUTE(TRIM(ROUND(IFERROR(CriteriTecnici!$K939*1,IFERROR(NUMBERVALUE(CriteriTecnici!$K939,".",","),IFERROR(NUMBERVALUE(CriteriTecnici!$K939,",","."),0))),4)&amp;""),",",".")&amp;", "&amp;CHAR(34)&amp;"denominator"&amp;CHAR(34)&amp;": "&amp;SUBSTITUTE(TRIM(ROUND(IFERROR(CriteriTecnici!$L939*1,IFERROR(NUMBERVALUE(CriteriTecnici!$L939,".",","),IFERROR(NUMBERVALUE(CriteriTecnici!$L939,",","."),0))),4)&amp;""),",",".")&amp;", "&amp;CHAR(34)&amp;"flag"&amp;CHAR(34)&amp;": "&amp;SUBSTITUTE(TRIM(ROUND(IFERROR(CriteriTecnici!$M939*1,IFERROR(NUMBERVALUE(CriteriTecnici!$M939,".",","),IFERROR(NUMBERVALUE(CriteriTecnici!$M939,",","."),0))),4)&amp;""),",",".")&amp;", "&amp;CHAR(34)&amp;"rawScore"&amp;CHAR(34)&amp;": "&amp;SUBSTITUTE(TRIM(ROUND(IFERROR(CriteriTecnici!$O939*1,IFERROR(NUMBERVALUE(CriteriTecnici!$O939,".",","),IFERROR(NUMBERVALUE(CriteriTecnici!$O939,",","."),0))),4)&amp;""),",",".")&amp;CHAR(125)&amp;IF(TRUE,",",""))</f>
        <v/>
      </c>
    </row>
    <row r="1041">
      <c r="A1041" s="82">
        <f>IF(CriteriTecnici!$A940="","","    "&amp;CHAR(123)&amp;CHAR(34)&amp;"bidderId"&amp;CHAR(34)&amp;": "&amp;CHAR(34)&amp;SUBSTITUTE(CriteriTecnici!$A940,CHAR(34),"'")&amp;CHAR(34)&amp;", "&amp;CHAR(34)&amp;"lotId"&amp;CHAR(34)&amp;": "&amp;CHAR(34)&amp;SUBSTITUTE(CriteriTecnici!$C940,CHAR(34),"'")&amp;CHAR(34)&amp;", "&amp;CHAR(34)&amp;"criterionId"&amp;CHAR(34)&amp;": "&amp;CHAR(34)&amp;SUBSTITUTE(CriteriTecnici!$D940,CHAR(34),"'")&amp;CHAR(34)&amp;", "&amp;CHAR(34)&amp;"kind"&amp;CHAR(34)&amp;": "&amp;CHAR(34)&amp;SUBSTITUTE(CriteriTecnici!$F940,CHAR(34),"'")&amp;CHAR(34)&amp;", "&amp;CHAR(34)&amp;"value"&amp;CHAR(34)&amp;": "&amp;SUBSTITUTE(TRIM(ROUND(IFERROR(CriteriTecnici!$N940*1,IFERROR(NUMBERVALUE(CriteriTecnici!$N940,".",","),IFERROR(NUMBERVALUE(CriteriTecnici!$N940,",","."),0))),4)&amp;""),",",".")&amp;", "&amp;CHAR(34)&amp;"numerator"&amp;CHAR(34)&amp;": "&amp;SUBSTITUTE(TRIM(ROUND(IFERROR(CriteriTecnici!$K940*1,IFERROR(NUMBERVALUE(CriteriTecnici!$K940,".",","),IFERROR(NUMBERVALUE(CriteriTecnici!$K940,",","."),0))),4)&amp;""),",",".")&amp;", "&amp;CHAR(34)&amp;"denominator"&amp;CHAR(34)&amp;": "&amp;SUBSTITUTE(TRIM(ROUND(IFERROR(CriteriTecnici!$L940*1,IFERROR(NUMBERVALUE(CriteriTecnici!$L940,".",","),IFERROR(NUMBERVALUE(CriteriTecnici!$L940,",","."),0))),4)&amp;""),",",".")&amp;", "&amp;CHAR(34)&amp;"flag"&amp;CHAR(34)&amp;": "&amp;SUBSTITUTE(TRIM(ROUND(IFERROR(CriteriTecnici!$M940*1,IFERROR(NUMBERVALUE(CriteriTecnici!$M940,".",","),IFERROR(NUMBERVALUE(CriteriTecnici!$M940,",","."),0))),4)&amp;""),",",".")&amp;", "&amp;CHAR(34)&amp;"rawScore"&amp;CHAR(34)&amp;": "&amp;SUBSTITUTE(TRIM(ROUND(IFERROR(CriteriTecnici!$O940*1,IFERROR(NUMBERVALUE(CriteriTecnici!$O940,".",","),IFERROR(NUMBERVALUE(CriteriTecnici!$O940,",","."),0))),4)&amp;""),",",".")&amp;CHAR(125)&amp;IF(TRUE,",",""))</f>
        <v/>
      </c>
    </row>
    <row r="1042">
      <c r="A1042" s="82">
        <f>IF(CriteriTecnici!$A941="","","    "&amp;CHAR(123)&amp;CHAR(34)&amp;"bidderId"&amp;CHAR(34)&amp;": "&amp;CHAR(34)&amp;SUBSTITUTE(CriteriTecnici!$A941,CHAR(34),"'")&amp;CHAR(34)&amp;", "&amp;CHAR(34)&amp;"lotId"&amp;CHAR(34)&amp;": "&amp;CHAR(34)&amp;SUBSTITUTE(CriteriTecnici!$C941,CHAR(34),"'")&amp;CHAR(34)&amp;", "&amp;CHAR(34)&amp;"criterionId"&amp;CHAR(34)&amp;": "&amp;CHAR(34)&amp;SUBSTITUTE(CriteriTecnici!$D941,CHAR(34),"'")&amp;CHAR(34)&amp;", "&amp;CHAR(34)&amp;"kind"&amp;CHAR(34)&amp;": "&amp;CHAR(34)&amp;SUBSTITUTE(CriteriTecnici!$F941,CHAR(34),"'")&amp;CHAR(34)&amp;", "&amp;CHAR(34)&amp;"value"&amp;CHAR(34)&amp;": "&amp;SUBSTITUTE(TRIM(ROUND(IFERROR(CriteriTecnici!$N941*1,IFERROR(NUMBERVALUE(CriteriTecnici!$N941,".",","),IFERROR(NUMBERVALUE(CriteriTecnici!$N941,",","."),0))),4)&amp;""),",",".")&amp;", "&amp;CHAR(34)&amp;"numerator"&amp;CHAR(34)&amp;": "&amp;SUBSTITUTE(TRIM(ROUND(IFERROR(CriteriTecnici!$K941*1,IFERROR(NUMBERVALUE(CriteriTecnici!$K941,".",","),IFERROR(NUMBERVALUE(CriteriTecnici!$K941,",","."),0))),4)&amp;""),",",".")&amp;", "&amp;CHAR(34)&amp;"denominator"&amp;CHAR(34)&amp;": "&amp;SUBSTITUTE(TRIM(ROUND(IFERROR(CriteriTecnici!$L941*1,IFERROR(NUMBERVALUE(CriteriTecnici!$L941,".",","),IFERROR(NUMBERVALUE(CriteriTecnici!$L941,",","."),0))),4)&amp;""),",",".")&amp;", "&amp;CHAR(34)&amp;"flag"&amp;CHAR(34)&amp;": "&amp;SUBSTITUTE(TRIM(ROUND(IFERROR(CriteriTecnici!$M941*1,IFERROR(NUMBERVALUE(CriteriTecnici!$M941,".",","),IFERROR(NUMBERVALUE(CriteriTecnici!$M941,",","."),0))),4)&amp;""),",",".")&amp;", "&amp;CHAR(34)&amp;"rawScore"&amp;CHAR(34)&amp;": "&amp;SUBSTITUTE(TRIM(ROUND(IFERROR(CriteriTecnici!$O941*1,IFERROR(NUMBERVALUE(CriteriTecnici!$O941,".",","),IFERROR(NUMBERVALUE(CriteriTecnici!$O941,",","."),0))),4)&amp;""),",",".")&amp;CHAR(125)&amp;IF(TRUE,",",""))</f>
        <v/>
      </c>
    </row>
    <row r="1043">
      <c r="A1043" s="82">
        <f>IF(CriteriTecnici!$A942="","","    "&amp;CHAR(123)&amp;CHAR(34)&amp;"bidderId"&amp;CHAR(34)&amp;": "&amp;CHAR(34)&amp;SUBSTITUTE(CriteriTecnici!$A942,CHAR(34),"'")&amp;CHAR(34)&amp;", "&amp;CHAR(34)&amp;"lotId"&amp;CHAR(34)&amp;": "&amp;CHAR(34)&amp;SUBSTITUTE(CriteriTecnici!$C942,CHAR(34),"'")&amp;CHAR(34)&amp;", "&amp;CHAR(34)&amp;"criterionId"&amp;CHAR(34)&amp;": "&amp;CHAR(34)&amp;SUBSTITUTE(CriteriTecnici!$D942,CHAR(34),"'")&amp;CHAR(34)&amp;", "&amp;CHAR(34)&amp;"kind"&amp;CHAR(34)&amp;": "&amp;CHAR(34)&amp;SUBSTITUTE(CriteriTecnici!$F942,CHAR(34),"'")&amp;CHAR(34)&amp;", "&amp;CHAR(34)&amp;"value"&amp;CHAR(34)&amp;": "&amp;SUBSTITUTE(TRIM(ROUND(IFERROR(CriteriTecnici!$N942*1,IFERROR(NUMBERVALUE(CriteriTecnici!$N942,".",","),IFERROR(NUMBERVALUE(CriteriTecnici!$N942,",","."),0))),4)&amp;""),",",".")&amp;", "&amp;CHAR(34)&amp;"numerator"&amp;CHAR(34)&amp;": "&amp;SUBSTITUTE(TRIM(ROUND(IFERROR(CriteriTecnici!$K942*1,IFERROR(NUMBERVALUE(CriteriTecnici!$K942,".",","),IFERROR(NUMBERVALUE(CriteriTecnici!$K942,",","."),0))),4)&amp;""),",",".")&amp;", "&amp;CHAR(34)&amp;"denominator"&amp;CHAR(34)&amp;": "&amp;SUBSTITUTE(TRIM(ROUND(IFERROR(CriteriTecnici!$L942*1,IFERROR(NUMBERVALUE(CriteriTecnici!$L942,".",","),IFERROR(NUMBERVALUE(CriteriTecnici!$L942,",","."),0))),4)&amp;""),",",".")&amp;", "&amp;CHAR(34)&amp;"flag"&amp;CHAR(34)&amp;": "&amp;SUBSTITUTE(TRIM(ROUND(IFERROR(CriteriTecnici!$M942*1,IFERROR(NUMBERVALUE(CriteriTecnici!$M942,".",","),IFERROR(NUMBERVALUE(CriteriTecnici!$M942,",","."),0))),4)&amp;""),",",".")&amp;", "&amp;CHAR(34)&amp;"rawScore"&amp;CHAR(34)&amp;": "&amp;SUBSTITUTE(TRIM(ROUND(IFERROR(CriteriTecnici!$O942*1,IFERROR(NUMBERVALUE(CriteriTecnici!$O942,".",","),IFERROR(NUMBERVALUE(CriteriTecnici!$O942,",","."),0))),4)&amp;""),",",".")&amp;CHAR(125)&amp;IF(TRUE,",",""))</f>
        <v/>
      </c>
    </row>
    <row r="1044">
      <c r="A1044" s="82">
        <f>IF(CriteriTecnici!$A943="","","    "&amp;CHAR(123)&amp;CHAR(34)&amp;"bidderId"&amp;CHAR(34)&amp;": "&amp;CHAR(34)&amp;SUBSTITUTE(CriteriTecnici!$A943,CHAR(34),"'")&amp;CHAR(34)&amp;", "&amp;CHAR(34)&amp;"lotId"&amp;CHAR(34)&amp;": "&amp;CHAR(34)&amp;SUBSTITUTE(CriteriTecnici!$C943,CHAR(34),"'")&amp;CHAR(34)&amp;", "&amp;CHAR(34)&amp;"criterionId"&amp;CHAR(34)&amp;": "&amp;CHAR(34)&amp;SUBSTITUTE(CriteriTecnici!$D943,CHAR(34),"'")&amp;CHAR(34)&amp;", "&amp;CHAR(34)&amp;"kind"&amp;CHAR(34)&amp;": "&amp;CHAR(34)&amp;SUBSTITUTE(CriteriTecnici!$F943,CHAR(34),"'")&amp;CHAR(34)&amp;", "&amp;CHAR(34)&amp;"value"&amp;CHAR(34)&amp;": "&amp;SUBSTITUTE(TRIM(ROUND(IFERROR(CriteriTecnici!$N943*1,IFERROR(NUMBERVALUE(CriteriTecnici!$N943,".",","),IFERROR(NUMBERVALUE(CriteriTecnici!$N943,",","."),0))),4)&amp;""),",",".")&amp;", "&amp;CHAR(34)&amp;"numerator"&amp;CHAR(34)&amp;": "&amp;SUBSTITUTE(TRIM(ROUND(IFERROR(CriteriTecnici!$K943*1,IFERROR(NUMBERVALUE(CriteriTecnici!$K943,".",","),IFERROR(NUMBERVALUE(CriteriTecnici!$K943,",","."),0))),4)&amp;""),",",".")&amp;", "&amp;CHAR(34)&amp;"denominator"&amp;CHAR(34)&amp;": "&amp;SUBSTITUTE(TRIM(ROUND(IFERROR(CriteriTecnici!$L943*1,IFERROR(NUMBERVALUE(CriteriTecnici!$L943,".",","),IFERROR(NUMBERVALUE(CriteriTecnici!$L943,",","."),0))),4)&amp;""),",",".")&amp;", "&amp;CHAR(34)&amp;"flag"&amp;CHAR(34)&amp;": "&amp;SUBSTITUTE(TRIM(ROUND(IFERROR(CriteriTecnici!$M943*1,IFERROR(NUMBERVALUE(CriteriTecnici!$M943,".",","),IFERROR(NUMBERVALUE(CriteriTecnici!$M943,",","."),0))),4)&amp;""),",",".")&amp;", "&amp;CHAR(34)&amp;"rawScore"&amp;CHAR(34)&amp;": "&amp;SUBSTITUTE(TRIM(ROUND(IFERROR(CriteriTecnici!$O943*1,IFERROR(NUMBERVALUE(CriteriTecnici!$O943,".",","),IFERROR(NUMBERVALUE(CriteriTecnici!$O943,",","."),0))),4)&amp;""),",",".")&amp;CHAR(125)&amp;IF(TRUE,",",""))</f>
        <v/>
      </c>
    </row>
    <row r="1045">
      <c r="A1045" s="82">
        <f>IF(CriteriTecnici!$A944="","","    "&amp;CHAR(123)&amp;CHAR(34)&amp;"bidderId"&amp;CHAR(34)&amp;": "&amp;CHAR(34)&amp;SUBSTITUTE(CriteriTecnici!$A944,CHAR(34),"'")&amp;CHAR(34)&amp;", "&amp;CHAR(34)&amp;"lotId"&amp;CHAR(34)&amp;": "&amp;CHAR(34)&amp;SUBSTITUTE(CriteriTecnici!$C944,CHAR(34),"'")&amp;CHAR(34)&amp;", "&amp;CHAR(34)&amp;"criterionId"&amp;CHAR(34)&amp;": "&amp;CHAR(34)&amp;SUBSTITUTE(CriteriTecnici!$D944,CHAR(34),"'")&amp;CHAR(34)&amp;", "&amp;CHAR(34)&amp;"kind"&amp;CHAR(34)&amp;": "&amp;CHAR(34)&amp;SUBSTITUTE(CriteriTecnici!$F944,CHAR(34),"'")&amp;CHAR(34)&amp;", "&amp;CHAR(34)&amp;"value"&amp;CHAR(34)&amp;": "&amp;SUBSTITUTE(TRIM(ROUND(IFERROR(CriteriTecnici!$N944*1,IFERROR(NUMBERVALUE(CriteriTecnici!$N944,".",","),IFERROR(NUMBERVALUE(CriteriTecnici!$N944,",","."),0))),4)&amp;""),",",".")&amp;", "&amp;CHAR(34)&amp;"numerator"&amp;CHAR(34)&amp;": "&amp;SUBSTITUTE(TRIM(ROUND(IFERROR(CriteriTecnici!$K944*1,IFERROR(NUMBERVALUE(CriteriTecnici!$K944,".",","),IFERROR(NUMBERVALUE(CriteriTecnici!$K944,",","."),0))),4)&amp;""),",",".")&amp;", "&amp;CHAR(34)&amp;"denominator"&amp;CHAR(34)&amp;": "&amp;SUBSTITUTE(TRIM(ROUND(IFERROR(CriteriTecnici!$L944*1,IFERROR(NUMBERVALUE(CriteriTecnici!$L944,".",","),IFERROR(NUMBERVALUE(CriteriTecnici!$L944,",","."),0))),4)&amp;""),",",".")&amp;", "&amp;CHAR(34)&amp;"flag"&amp;CHAR(34)&amp;": "&amp;SUBSTITUTE(TRIM(ROUND(IFERROR(CriteriTecnici!$M944*1,IFERROR(NUMBERVALUE(CriteriTecnici!$M944,".",","),IFERROR(NUMBERVALUE(CriteriTecnici!$M944,",","."),0))),4)&amp;""),",",".")&amp;", "&amp;CHAR(34)&amp;"rawScore"&amp;CHAR(34)&amp;": "&amp;SUBSTITUTE(TRIM(ROUND(IFERROR(CriteriTecnici!$O944*1,IFERROR(NUMBERVALUE(CriteriTecnici!$O944,".",","),IFERROR(NUMBERVALUE(CriteriTecnici!$O944,",","."),0))),4)&amp;""),",",".")&amp;CHAR(125)&amp;IF(TRUE,",",""))</f>
        <v/>
      </c>
    </row>
    <row r="1046">
      <c r="A1046" s="82">
        <f>IF(CriteriTecnici!$A945="","","    "&amp;CHAR(123)&amp;CHAR(34)&amp;"bidderId"&amp;CHAR(34)&amp;": "&amp;CHAR(34)&amp;SUBSTITUTE(CriteriTecnici!$A945,CHAR(34),"'")&amp;CHAR(34)&amp;", "&amp;CHAR(34)&amp;"lotId"&amp;CHAR(34)&amp;": "&amp;CHAR(34)&amp;SUBSTITUTE(CriteriTecnici!$C945,CHAR(34),"'")&amp;CHAR(34)&amp;", "&amp;CHAR(34)&amp;"criterionId"&amp;CHAR(34)&amp;": "&amp;CHAR(34)&amp;SUBSTITUTE(CriteriTecnici!$D945,CHAR(34),"'")&amp;CHAR(34)&amp;", "&amp;CHAR(34)&amp;"kind"&amp;CHAR(34)&amp;": "&amp;CHAR(34)&amp;SUBSTITUTE(CriteriTecnici!$F945,CHAR(34),"'")&amp;CHAR(34)&amp;", "&amp;CHAR(34)&amp;"value"&amp;CHAR(34)&amp;": "&amp;SUBSTITUTE(TRIM(ROUND(IFERROR(CriteriTecnici!$N945*1,IFERROR(NUMBERVALUE(CriteriTecnici!$N945,".",","),IFERROR(NUMBERVALUE(CriteriTecnici!$N945,",","."),0))),4)&amp;""),",",".")&amp;", "&amp;CHAR(34)&amp;"numerator"&amp;CHAR(34)&amp;": "&amp;SUBSTITUTE(TRIM(ROUND(IFERROR(CriteriTecnici!$K945*1,IFERROR(NUMBERVALUE(CriteriTecnici!$K945,".",","),IFERROR(NUMBERVALUE(CriteriTecnici!$K945,",","."),0))),4)&amp;""),",",".")&amp;", "&amp;CHAR(34)&amp;"denominator"&amp;CHAR(34)&amp;": "&amp;SUBSTITUTE(TRIM(ROUND(IFERROR(CriteriTecnici!$L945*1,IFERROR(NUMBERVALUE(CriteriTecnici!$L945,".",","),IFERROR(NUMBERVALUE(CriteriTecnici!$L945,",","."),0))),4)&amp;""),",",".")&amp;", "&amp;CHAR(34)&amp;"flag"&amp;CHAR(34)&amp;": "&amp;SUBSTITUTE(TRIM(ROUND(IFERROR(CriteriTecnici!$M945*1,IFERROR(NUMBERVALUE(CriteriTecnici!$M945,".",","),IFERROR(NUMBERVALUE(CriteriTecnici!$M945,",","."),0))),4)&amp;""),",",".")&amp;", "&amp;CHAR(34)&amp;"rawScore"&amp;CHAR(34)&amp;": "&amp;SUBSTITUTE(TRIM(ROUND(IFERROR(CriteriTecnici!$O945*1,IFERROR(NUMBERVALUE(CriteriTecnici!$O945,".",","),IFERROR(NUMBERVALUE(CriteriTecnici!$O945,",","."),0))),4)&amp;""),",",".")&amp;CHAR(125)&amp;IF(TRUE,",",""))</f>
        <v/>
      </c>
    </row>
    <row r="1047">
      <c r="A1047" s="82">
        <f>IF(CriteriTecnici!$A946="","","    "&amp;CHAR(123)&amp;CHAR(34)&amp;"bidderId"&amp;CHAR(34)&amp;": "&amp;CHAR(34)&amp;SUBSTITUTE(CriteriTecnici!$A946,CHAR(34),"'")&amp;CHAR(34)&amp;", "&amp;CHAR(34)&amp;"lotId"&amp;CHAR(34)&amp;": "&amp;CHAR(34)&amp;SUBSTITUTE(CriteriTecnici!$C946,CHAR(34),"'")&amp;CHAR(34)&amp;", "&amp;CHAR(34)&amp;"criterionId"&amp;CHAR(34)&amp;": "&amp;CHAR(34)&amp;SUBSTITUTE(CriteriTecnici!$D946,CHAR(34),"'")&amp;CHAR(34)&amp;", "&amp;CHAR(34)&amp;"kind"&amp;CHAR(34)&amp;": "&amp;CHAR(34)&amp;SUBSTITUTE(CriteriTecnici!$F946,CHAR(34),"'")&amp;CHAR(34)&amp;", "&amp;CHAR(34)&amp;"value"&amp;CHAR(34)&amp;": "&amp;SUBSTITUTE(TRIM(ROUND(IFERROR(CriteriTecnici!$N946*1,IFERROR(NUMBERVALUE(CriteriTecnici!$N946,".",","),IFERROR(NUMBERVALUE(CriteriTecnici!$N946,",","."),0))),4)&amp;""),",",".")&amp;", "&amp;CHAR(34)&amp;"numerator"&amp;CHAR(34)&amp;": "&amp;SUBSTITUTE(TRIM(ROUND(IFERROR(CriteriTecnici!$K946*1,IFERROR(NUMBERVALUE(CriteriTecnici!$K946,".",","),IFERROR(NUMBERVALUE(CriteriTecnici!$K946,",","."),0))),4)&amp;""),",",".")&amp;", "&amp;CHAR(34)&amp;"denominator"&amp;CHAR(34)&amp;": "&amp;SUBSTITUTE(TRIM(ROUND(IFERROR(CriteriTecnici!$L946*1,IFERROR(NUMBERVALUE(CriteriTecnici!$L946,".",","),IFERROR(NUMBERVALUE(CriteriTecnici!$L946,",","."),0))),4)&amp;""),",",".")&amp;", "&amp;CHAR(34)&amp;"flag"&amp;CHAR(34)&amp;": "&amp;SUBSTITUTE(TRIM(ROUND(IFERROR(CriteriTecnici!$M946*1,IFERROR(NUMBERVALUE(CriteriTecnici!$M946,".",","),IFERROR(NUMBERVALUE(CriteriTecnici!$M946,",","."),0))),4)&amp;""),",",".")&amp;", "&amp;CHAR(34)&amp;"rawScore"&amp;CHAR(34)&amp;": "&amp;SUBSTITUTE(TRIM(ROUND(IFERROR(CriteriTecnici!$O946*1,IFERROR(NUMBERVALUE(CriteriTecnici!$O946,".",","),IFERROR(NUMBERVALUE(CriteriTecnici!$O946,",","."),0))),4)&amp;""),",",".")&amp;CHAR(125)&amp;IF(TRUE,",",""))</f>
        <v/>
      </c>
    </row>
    <row r="1048">
      <c r="A1048" s="82">
        <f>IF(CriteriTecnici!$A947="","","    "&amp;CHAR(123)&amp;CHAR(34)&amp;"bidderId"&amp;CHAR(34)&amp;": "&amp;CHAR(34)&amp;SUBSTITUTE(CriteriTecnici!$A947,CHAR(34),"'")&amp;CHAR(34)&amp;", "&amp;CHAR(34)&amp;"lotId"&amp;CHAR(34)&amp;": "&amp;CHAR(34)&amp;SUBSTITUTE(CriteriTecnici!$C947,CHAR(34),"'")&amp;CHAR(34)&amp;", "&amp;CHAR(34)&amp;"criterionId"&amp;CHAR(34)&amp;": "&amp;CHAR(34)&amp;SUBSTITUTE(CriteriTecnici!$D947,CHAR(34),"'")&amp;CHAR(34)&amp;", "&amp;CHAR(34)&amp;"kind"&amp;CHAR(34)&amp;": "&amp;CHAR(34)&amp;SUBSTITUTE(CriteriTecnici!$F947,CHAR(34),"'")&amp;CHAR(34)&amp;", "&amp;CHAR(34)&amp;"value"&amp;CHAR(34)&amp;": "&amp;SUBSTITUTE(TRIM(ROUND(IFERROR(CriteriTecnici!$N947*1,IFERROR(NUMBERVALUE(CriteriTecnici!$N947,".",","),IFERROR(NUMBERVALUE(CriteriTecnici!$N947,",","."),0))),4)&amp;""),",",".")&amp;", "&amp;CHAR(34)&amp;"numerator"&amp;CHAR(34)&amp;": "&amp;SUBSTITUTE(TRIM(ROUND(IFERROR(CriteriTecnici!$K947*1,IFERROR(NUMBERVALUE(CriteriTecnici!$K947,".",","),IFERROR(NUMBERVALUE(CriteriTecnici!$K947,",","."),0))),4)&amp;""),",",".")&amp;", "&amp;CHAR(34)&amp;"denominator"&amp;CHAR(34)&amp;": "&amp;SUBSTITUTE(TRIM(ROUND(IFERROR(CriteriTecnici!$L947*1,IFERROR(NUMBERVALUE(CriteriTecnici!$L947,".",","),IFERROR(NUMBERVALUE(CriteriTecnici!$L947,",","."),0))),4)&amp;""),",",".")&amp;", "&amp;CHAR(34)&amp;"flag"&amp;CHAR(34)&amp;": "&amp;SUBSTITUTE(TRIM(ROUND(IFERROR(CriteriTecnici!$M947*1,IFERROR(NUMBERVALUE(CriteriTecnici!$M947,".",","),IFERROR(NUMBERVALUE(CriteriTecnici!$M947,",","."),0))),4)&amp;""),",",".")&amp;", "&amp;CHAR(34)&amp;"rawScore"&amp;CHAR(34)&amp;": "&amp;SUBSTITUTE(TRIM(ROUND(IFERROR(CriteriTecnici!$O947*1,IFERROR(NUMBERVALUE(CriteriTecnici!$O947,".",","),IFERROR(NUMBERVALUE(CriteriTecnici!$O947,",","."),0))),4)&amp;""),",",".")&amp;CHAR(125)&amp;IF(TRUE,",",""))</f>
        <v/>
      </c>
    </row>
    <row r="1049">
      <c r="A1049" s="82">
        <f>IF(CriteriTecnici!$A948="","","    "&amp;CHAR(123)&amp;CHAR(34)&amp;"bidderId"&amp;CHAR(34)&amp;": "&amp;CHAR(34)&amp;SUBSTITUTE(CriteriTecnici!$A948,CHAR(34),"'")&amp;CHAR(34)&amp;", "&amp;CHAR(34)&amp;"lotId"&amp;CHAR(34)&amp;": "&amp;CHAR(34)&amp;SUBSTITUTE(CriteriTecnici!$C948,CHAR(34),"'")&amp;CHAR(34)&amp;", "&amp;CHAR(34)&amp;"criterionId"&amp;CHAR(34)&amp;": "&amp;CHAR(34)&amp;SUBSTITUTE(CriteriTecnici!$D948,CHAR(34),"'")&amp;CHAR(34)&amp;", "&amp;CHAR(34)&amp;"kind"&amp;CHAR(34)&amp;": "&amp;CHAR(34)&amp;SUBSTITUTE(CriteriTecnici!$F948,CHAR(34),"'")&amp;CHAR(34)&amp;", "&amp;CHAR(34)&amp;"value"&amp;CHAR(34)&amp;": "&amp;SUBSTITUTE(TRIM(ROUND(IFERROR(CriteriTecnici!$N948*1,IFERROR(NUMBERVALUE(CriteriTecnici!$N948,".",","),IFERROR(NUMBERVALUE(CriteriTecnici!$N948,",","."),0))),4)&amp;""),",",".")&amp;", "&amp;CHAR(34)&amp;"numerator"&amp;CHAR(34)&amp;": "&amp;SUBSTITUTE(TRIM(ROUND(IFERROR(CriteriTecnici!$K948*1,IFERROR(NUMBERVALUE(CriteriTecnici!$K948,".",","),IFERROR(NUMBERVALUE(CriteriTecnici!$K948,",","."),0))),4)&amp;""),",",".")&amp;", "&amp;CHAR(34)&amp;"denominator"&amp;CHAR(34)&amp;": "&amp;SUBSTITUTE(TRIM(ROUND(IFERROR(CriteriTecnici!$L948*1,IFERROR(NUMBERVALUE(CriteriTecnici!$L948,".",","),IFERROR(NUMBERVALUE(CriteriTecnici!$L948,",","."),0))),4)&amp;""),",",".")&amp;", "&amp;CHAR(34)&amp;"flag"&amp;CHAR(34)&amp;": "&amp;SUBSTITUTE(TRIM(ROUND(IFERROR(CriteriTecnici!$M948*1,IFERROR(NUMBERVALUE(CriteriTecnici!$M948,".",","),IFERROR(NUMBERVALUE(CriteriTecnici!$M948,",","."),0))),4)&amp;""),",",".")&amp;", "&amp;CHAR(34)&amp;"rawScore"&amp;CHAR(34)&amp;": "&amp;SUBSTITUTE(TRIM(ROUND(IFERROR(CriteriTecnici!$O948*1,IFERROR(NUMBERVALUE(CriteriTecnici!$O948,".",","),IFERROR(NUMBERVALUE(CriteriTecnici!$O948,",","."),0))),4)&amp;""),",",".")&amp;CHAR(125)&amp;IF(TRUE,",",""))</f>
        <v/>
      </c>
    </row>
    <row r="1050">
      <c r="A1050" s="82">
        <f>IF(CriteriTecnici!$A949="","","    "&amp;CHAR(123)&amp;CHAR(34)&amp;"bidderId"&amp;CHAR(34)&amp;": "&amp;CHAR(34)&amp;SUBSTITUTE(CriteriTecnici!$A949,CHAR(34),"'")&amp;CHAR(34)&amp;", "&amp;CHAR(34)&amp;"lotId"&amp;CHAR(34)&amp;": "&amp;CHAR(34)&amp;SUBSTITUTE(CriteriTecnici!$C949,CHAR(34),"'")&amp;CHAR(34)&amp;", "&amp;CHAR(34)&amp;"criterionId"&amp;CHAR(34)&amp;": "&amp;CHAR(34)&amp;SUBSTITUTE(CriteriTecnici!$D949,CHAR(34),"'")&amp;CHAR(34)&amp;", "&amp;CHAR(34)&amp;"kind"&amp;CHAR(34)&amp;": "&amp;CHAR(34)&amp;SUBSTITUTE(CriteriTecnici!$F949,CHAR(34),"'")&amp;CHAR(34)&amp;", "&amp;CHAR(34)&amp;"value"&amp;CHAR(34)&amp;": "&amp;SUBSTITUTE(TRIM(ROUND(IFERROR(CriteriTecnici!$N949*1,IFERROR(NUMBERVALUE(CriteriTecnici!$N949,".",","),IFERROR(NUMBERVALUE(CriteriTecnici!$N949,",","."),0))),4)&amp;""),",",".")&amp;", "&amp;CHAR(34)&amp;"numerator"&amp;CHAR(34)&amp;": "&amp;SUBSTITUTE(TRIM(ROUND(IFERROR(CriteriTecnici!$K949*1,IFERROR(NUMBERVALUE(CriteriTecnici!$K949,".",","),IFERROR(NUMBERVALUE(CriteriTecnici!$K949,",","."),0))),4)&amp;""),",",".")&amp;", "&amp;CHAR(34)&amp;"denominator"&amp;CHAR(34)&amp;": "&amp;SUBSTITUTE(TRIM(ROUND(IFERROR(CriteriTecnici!$L949*1,IFERROR(NUMBERVALUE(CriteriTecnici!$L949,".",","),IFERROR(NUMBERVALUE(CriteriTecnici!$L949,",","."),0))),4)&amp;""),",",".")&amp;", "&amp;CHAR(34)&amp;"flag"&amp;CHAR(34)&amp;": "&amp;SUBSTITUTE(TRIM(ROUND(IFERROR(CriteriTecnici!$M949*1,IFERROR(NUMBERVALUE(CriteriTecnici!$M949,".",","),IFERROR(NUMBERVALUE(CriteriTecnici!$M949,",","."),0))),4)&amp;""),",",".")&amp;", "&amp;CHAR(34)&amp;"rawScore"&amp;CHAR(34)&amp;": "&amp;SUBSTITUTE(TRIM(ROUND(IFERROR(CriteriTecnici!$O949*1,IFERROR(NUMBERVALUE(CriteriTecnici!$O949,".",","),IFERROR(NUMBERVALUE(CriteriTecnici!$O949,",","."),0))),4)&amp;""),",",".")&amp;CHAR(125)&amp;IF(TRUE,",",""))</f>
        <v/>
      </c>
    </row>
    <row r="1051">
      <c r="A1051" s="82">
        <f>IF(CriteriTecnici!$A950="","","    "&amp;CHAR(123)&amp;CHAR(34)&amp;"bidderId"&amp;CHAR(34)&amp;": "&amp;CHAR(34)&amp;SUBSTITUTE(CriteriTecnici!$A950,CHAR(34),"'")&amp;CHAR(34)&amp;", "&amp;CHAR(34)&amp;"lotId"&amp;CHAR(34)&amp;": "&amp;CHAR(34)&amp;SUBSTITUTE(CriteriTecnici!$C950,CHAR(34),"'")&amp;CHAR(34)&amp;", "&amp;CHAR(34)&amp;"criterionId"&amp;CHAR(34)&amp;": "&amp;CHAR(34)&amp;SUBSTITUTE(CriteriTecnici!$D950,CHAR(34),"'")&amp;CHAR(34)&amp;", "&amp;CHAR(34)&amp;"kind"&amp;CHAR(34)&amp;": "&amp;CHAR(34)&amp;SUBSTITUTE(CriteriTecnici!$F950,CHAR(34),"'")&amp;CHAR(34)&amp;", "&amp;CHAR(34)&amp;"value"&amp;CHAR(34)&amp;": "&amp;SUBSTITUTE(TRIM(ROUND(IFERROR(CriteriTecnici!$N950*1,IFERROR(NUMBERVALUE(CriteriTecnici!$N950,".",","),IFERROR(NUMBERVALUE(CriteriTecnici!$N950,",","."),0))),4)&amp;""),",",".")&amp;", "&amp;CHAR(34)&amp;"numerator"&amp;CHAR(34)&amp;": "&amp;SUBSTITUTE(TRIM(ROUND(IFERROR(CriteriTecnici!$K950*1,IFERROR(NUMBERVALUE(CriteriTecnici!$K950,".",","),IFERROR(NUMBERVALUE(CriteriTecnici!$K950,",","."),0))),4)&amp;""),",",".")&amp;", "&amp;CHAR(34)&amp;"denominator"&amp;CHAR(34)&amp;": "&amp;SUBSTITUTE(TRIM(ROUND(IFERROR(CriteriTecnici!$L950*1,IFERROR(NUMBERVALUE(CriteriTecnici!$L950,".",","),IFERROR(NUMBERVALUE(CriteriTecnici!$L950,",","."),0))),4)&amp;""),",",".")&amp;", "&amp;CHAR(34)&amp;"flag"&amp;CHAR(34)&amp;": "&amp;SUBSTITUTE(TRIM(ROUND(IFERROR(CriteriTecnici!$M950*1,IFERROR(NUMBERVALUE(CriteriTecnici!$M950,".",","),IFERROR(NUMBERVALUE(CriteriTecnici!$M950,",","."),0))),4)&amp;""),",",".")&amp;", "&amp;CHAR(34)&amp;"rawScore"&amp;CHAR(34)&amp;": "&amp;SUBSTITUTE(TRIM(ROUND(IFERROR(CriteriTecnici!$O950*1,IFERROR(NUMBERVALUE(CriteriTecnici!$O950,".",","),IFERROR(NUMBERVALUE(CriteriTecnici!$O950,",","."),0))),4)&amp;""),",",".")&amp;CHAR(125)&amp;IF(TRUE,",",""))</f>
        <v/>
      </c>
    </row>
    <row r="1052">
      <c r="A1052" s="82">
        <f>IF(CriteriTecnici!$A951="","","    "&amp;CHAR(123)&amp;CHAR(34)&amp;"bidderId"&amp;CHAR(34)&amp;": "&amp;CHAR(34)&amp;SUBSTITUTE(CriteriTecnici!$A951,CHAR(34),"'")&amp;CHAR(34)&amp;", "&amp;CHAR(34)&amp;"lotId"&amp;CHAR(34)&amp;": "&amp;CHAR(34)&amp;SUBSTITUTE(CriteriTecnici!$C951,CHAR(34),"'")&amp;CHAR(34)&amp;", "&amp;CHAR(34)&amp;"criterionId"&amp;CHAR(34)&amp;": "&amp;CHAR(34)&amp;SUBSTITUTE(CriteriTecnici!$D951,CHAR(34),"'")&amp;CHAR(34)&amp;", "&amp;CHAR(34)&amp;"kind"&amp;CHAR(34)&amp;": "&amp;CHAR(34)&amp;SUBSTITUTE(CriteriTecnici!$F951,CHAR(34),"'")&amp;CHAR(34)&amp;", "&amp;CHAR(34)&amp;"value"&amp;CHAR(34)&amp;": "&amp;SUBSTITUTE(TRIM(ROUND(IFERROR(CriteriTecnici!$N951*1,IFERROR(NUMBERVALUE(CriteriTecnici!$N951,".",","),IFERROR(NUMBERVALUE(CriteriTecnici!$N951,",","."),0))),4)&amp;""),",",".")&amp;", "&amp;CHAR(34)&amp;"numerator"&amp;CHAR(34)&amp;": "&amp;SUBSTITUTE(TRIM(ROUND(IFERROR(CriteriTecnici!$K951*1,IFERROR(NUMBERVALUE(CriteriTecnici!$K951,".",","),IFERROR(NUMBERVALUE(CriteriTecnici!$K951,",","."),0))),4)&amp;""),",",".")&amp;", "&amp;CHAR(34)&amp;"denominator"&amp;CHAR(34)&amp;": "&amp;SUBSTITUTE(TRIM(ROUND(IFERROR(CriteriTecnici!$L951*1,IFERROR(NUMBERVALUE(CriteriTecnici!$L951,".",","),IFERROR(NUMBERVALUE(CriteriTecnici!$L951,",","."),0))),4)&amp;""),",",".")&amp;", "&amp;CHAR(34)&amp;"flag"&amp;CHAR(34)&amp;": "&amp;SUBSTITUTE(TRIM(ROUND(IFERROR(CriteriTecnici!$M951*1,IFERROR(NUMBERVALUE(CriteriTecnici!$M951,".",","),IFERROR(NUMBERVALUE(CriteriTecnici!$M951,",","."),0))),4)&amp;""),",",".")&amp;", "&amp;CHAR(34)&amp;"rawScore"&amp;CHAR(34)&amp;": "&amp;SUBSTITUTE(TRIM(ROUND(IFERROR(CriteriTecnici!$O951*1,IFERROR(NUMBERVALUE(CriteriTecnici!$O951,".",","),IFERROR(NUMBERVALUE(CriteriTecnici!$O951,",","."),0))),4)&amp;""),",",".")&amp;CHAR(125)&amp;IF(TRUE,",",""))</f>
        <v/>
      </c>
    </row>
    <row r="1053">
      <c r="A1053" s="82">
        <f>IF(CriteriTecnici!$A952="","","    "&amp;CHAR(123)&amp;CHAR(34)&amp;"bidderId"&amp;CHAR(34)&amp;": "&amp;CHAR(34)&amp;SUBSTITUTE(CriteriTecnici!$A952,CHAR(34),"'")&amp;CHAR(34)&amp;", "&amp;CHAR(34)&amp;"lotId"&amp;CHAR(34)&amp;": "&amp;CHAR(34)&amp;SUBSTITUTE(CriteriTecnici!$C952,CHAR(34),"'")&amp;CHAR(34)&amp;", "&amp;CHAR(34)&amp;"criterionId"&amp;CHAR(34)&amp;": "&amp;CHAR(34)&amp;SUBSTITUTE(CriteriTecnici!$D952,CHAR(34),"'")&amp;CHAR(34)&amp;", "&amp;CHAR(34)&amp;"kind"&amp;CHAR(34)&amp;": "&amp;CHAR(34)&amp;SUBSTITUTE(CriteriTecnici!$F952,CHAR(34),"'")&amp;CHAR(34)&amp;", "&amp;CHAR(34)&amp;"value"&amp;CHAR(34)&amp;": "&amp;SUBSTITUTE(TRIM(ROUND(IFERROR(CriteriTecnici!$N952*1,IFERROR(NUMBERVALUE(CriteriTecnici!$N952,".",","),IFERROR(NUMBERVALUE(CriteriTecnici!$N952,",","."),0))),4)&amp;""),",",".")&amp;", "&amp;CHAR(34)&amp;"numerator"&amp;CHAR(34)&amp;": "&amp;SUBSTITUTE(TRIM(ROUND(IFERROR(CriteriTecnici!$K952*1,IFERROR(NUMBERVALUE(CriteriTecnici!$K952,".",","),IFERROR(NUMBERVALUE(CriteriTecnici!$K952,",","."),0))),4)&amp;""),",",".")&amp;", "&amp;CHAR(34)&amp;"denominator"&amp;CHAR(34)&amp;": "&amp;SUBSTITUTE(TRIM(ROUND(IFERROR(CriteriTecnici!$L952*1,IFERROR(NUMBERVALUE(CriteriTecnici!$L952,".",","),IFERROR(NUMBERVALUE(CriteriTecnici!$L952,",","."),0))),4)&amp;""),",",".")&amp;", "&amp;CHAR(34)&amp;"flag"&amp;CHAR(34)&amp;": "&amp;SUBSTITUTE(TRIM(ROUND(IFERROR(CriteriTecnici!$M952*1,IFERROR(NUMBERVALUE(CriteriTecnici!$M952,".",","),IFERROR(NUMBERVALUE(CriteriTecnici!$M952,",","."),0))),4)&amp;""),",",".")&amp;", "&amp;CHAR(34)&amp;"rawScore"&amp;CHAR(34)&amp;": "&amp;SUBSTITUTE(TRIM(ROUND(IFERROR(CriteriTecnici!$O952*1,IFERROR(NUMBERVALUE(CriteriTecnici!$O952,".",","),IFERROR(NUMBERVALUE(CriteriTecnici!$O952,",","."),0))),4)&amp;""),",",".")&amp;CHAR(125)&amp;IF(TRUE,",",""))</f>
        <v/>
      </c>
    </row>
    <row r="1054">
      <c r="A1054" s="82">
        <f>IF(CriteriTecnici!$A953="","","    "&amp;CHAR(123)&amp;CHAR(34)&amp;"bidderId"&amp;CHAR(34)&amp;": "&amp;CHAR(34)&amp;SUBSTITUTE(CriteriTecnici!$A953,CHAR(34),"'")&amp;CHAR(34)&amp;", "&amp;CHAR(34)&amp;"lotId"&amp;CHAR(34)&amp;": "&amp;CHAR(34)&amp;SUBSTITUTE(CriteriTecnici!$C953,CHAR(34),"'")&amp;CHAR(34)&amp;", "&amp;CHAR(34)&amp;"criterionId"&amp;CHAR(34)&amp;": "&amp;CHAR(34)&amp;SUBSTITUTE(CriteriTecnici!$D953,CHAR(34),"'")&amp;CHAR(34)&amp;", "&amp;CHAR(34)&amp;"kind"&amp;CHAR(34)&amp;": "&amp;CHAR(34)&amp;SUBSTITUTE(CriteriTecnici!$F953,CHAR(34),"'")&amp;CHAR(34)&amp;", "&amp;CHAR(34)&amp;"value"&amp;CHAR(34)&amp;": "&amp;SUBSTITUTE(TRIM(ROUND(IFERROR(CriteriTecnici!$N953*1,IFERROR(NUMBERVALUE(CriteriTecnici!$N953,".",","),IFERROR(NUMBERVALUE(CriteriTecnici!$N953,",","."),0))),4)&amp;""),",",".")&amp;", "&amp;CHAR(34)&amp;"numerator"&amp;CHAR(34)&amp;": "&amp;SUBSTITUTE(TRIM(ROUND(IFERROR(CriteriTecnici!$K953*1,IFERROR(NUMBERVALUE(CriteriTecnici!$K953,".",","),IFERROR(NUMBERVALUE(CriteriTecnici!$K953,",","."),0))),4)&amp;""),",",".")&amp;", "&amp;CHAR(34)&amp;"denominator"&amp;CHAR(34)&amp;": "&amp;SUBSTITUTE(TRIM(ROUND(IFERROR(CriteriTecnici!$L953*1,IFERROR(NUMBERVALUE(CriteriTecnici!$L953,".",","),IFERROR(NUMBERVALUE(CriteriTecnici!$L953,",","."),0))),4)&amp;""),",",".")&amp;", "&amp;CHAR(34)&amp;"flag"&amp;CHAR(34)&amp;": "&amp;SUBSTITUTE(TRIM(ROUND(IFERROR(CriteriTecnici!$M953*1,IFERROR(NUMBERVALUE(CriteriTecnici!$M953,".",","),IFERROR(NUMBERVALUE(CriteriTecnici!$M953,",","."),0))),4)&amp;""),",",".")&amp;", "&amp;CHAR(34)&amp;"rawScore"&amp;CHAR(34)&amp;": "&amp;SUBSTITUTE(TRIM(ROUND(IFERROR(CriteriTecnici!$O953*1,IFERROR(NUMBERVALUE(CriteriTecnici!$O953,".",","),IFERROR(NUMBERVALUE(CriteriTecnici!$O953,",","."),0))),4)&amp;""),",",".")&amp;CHAR(125)&amp;IF(TRUE,",",""))</f>
        <v/>
      </c>
    </row>
    <row r="1055">
      <c r="A1055" s="82">
        <f>IF(CriteriTecnici!$A954="","","    "&amp;CHAR(123)&amp;CHAR(34)&amp;"bidderId"&amp;CHAR(34)&amp;": "&amp;CHAR(34)&amp;SUBSTITUTE(CriteriTecnici!$A954,CHAR(34),"'")&amp;CHAR(34)&amp;", "&amp;CHAR(34)&amp;"lotId"&amp;CHAR(34)&amp;": "&amp;CHAR(34)&amp;SUBSTITUTE(CriteriTecnici!$C954,CHAR(34),"'")&amp;CHAR(34)&amp;", "&amp;CHAR(34)&amp;"criterionId"&amp;CHAR(34)&amp;": "&amp;CHAR(34)&amp;SUBSTITUTE(CriteriTecnici!$D954,CHAR(34),"'")&amp;CHAR(34)&amp;", "&amp;CHAR(34)&amp;"kind"&amp;CHAR(34)&amp;": "&amp;CHAR(34)&amp;SUBSTITUTE(CriteriTecnici!$F954,CHAR(34),"'")&amp;CHAR(34)&amp;", "&amp;CHAR(34)&amp;"value"&amp;CHAR(34)&amp;": "&amp;SUBSTITUTE(TRIM(ROUND(IFERROR(CriteriTecnici!$N954*1,IFERROR(NUMBERVALUE(CriteriTecnici!$N954,".",","),IFERROR(NUMBERVALUE(CriteriTecnici!$N954,",","."),0))),4)&amp;""),",",".")&amp;", "&amp;CHAR(34)&amp;"numerator"&amp;CHAR(34)&amp;": "&amp;SUBSTITUTE(TRIM(ROUND(IFERROR(CriteriTecnici!$K954*1,IFERROR(NUMBERVALUE(CriteriTecnici!$K954,".",","),IFERROR(NUMBERVALUE(CriteriTecnici!$K954,",","."),0))),4)&amp;""),",",".")&amp;", "&amp;CHAR(34)&amp;"denominator"&amp;CHAR(34)&amp;": "&amp;SUBSTITUTE(TRIM(ROUND(IFERROR(CriteriTecnici!$L954*1,IFERROR(NUMBERVALUE(CriteriTecnici!$L954,".",","),IFERROR(NUMBERVALUE(CriteriTecnici!$L954,",","."),0))),4)&amp;""),",",".")&amp;", "&amp;CHAR(34)&amp;"flag"&amp;CHAR(34)&amp;": "&amp;SUBSTITUTE(TRIM(ROUND(IFERROR(CriteriTecnici!$M954*1,IFERROR(NUMBERVALUE(CriteriTecnici!$M954,".",","),IFERROR(NUMBERVALUE(CriteriTecnici!$M954,",","."),0))),4)&amp;""),",",".")&amp;", "&amp;CHAR(34)&amp;"rawScore"&amp;CHAR(34)&amp;": "&amp;SUBSTITUTE(TRIM(ROUND(IFERROR(CriteriTecnici!$O954*1,IFERROR(NUMBERVALUE(CriteriTecnici!$O954,".",","),IFERROR(NUMBERVALUE(CriteriTecnici!$O954,",","."),0))),4)&amp;""),",",".")&amp;CHAR(125)&amp;IF(TRUE,",",""))</f>
        <v/>
      </c>
    </row>
    <row r="1056">
      <c r="A1056" s="82">
        <f>IF(CriteriTecnici!$A955="","","    "&amp;CHAR(123)&amp;CHAR(34)&amp;"bidderId"&amp;CHAR(34)&amp;": "&amp;CHAR(34)&amp;SUBSTITUTE(CriteriTecnici!$A955,CHAR(34),"'")&amp;CHAR(34)&amp;", "&amp;CHAR(34)&amp;"lotId"&amp;CHAR(34)&amp;": "&amp;CHAR(34)&amp;SUBSTITUTE(CriteriTecnici!$C955,CHAR(34),"'")&amp;CHAR(34)&amp;", "&amp;CHAR(34)&amp;"criterionId"&amp;CHAR(34)&amp;": "&amp;CHAR(34)&amp;SUBSTITUTE(CriteriTecnici!$D955,CHAR(34),"'")&amp;CHAR(34)&amp;", "&amp;CHAR(34)&amp;"kind"&amp;CHAR(34)&amp;": "&amp;CHAR(34)&amp;SUBSTITUTE(CriteriTecnici!$F955,CHAR(34),"'")&amp;CHAR(34)&amp;", "&amp;CHAR(34)&amp;"value"&amp;CHAR(34)&amp;": "&amp;SUBSTITUTE(TRIM(ROUND(IFERROR(CriteriTecnici!$N955*1,IFERROR(NUMBERVALUE(CriteriTecnici!$N955,".",","),IFERROR(NUMBERVALUE(CriteriTecnici!$N955,",","."),0))),4)&amp;""),",",".")&amp;", "&amp;CHAR(34)&amp;"numerator"&amp;CHAR(34)&amp;": "&amp;SUBSTITUTE(TRIM(ROUND(IFERROR(CriteriTecnici!$K955*1,IFERROR(NUMBERVALUE(CriteriTecnici!$K955,".",","),IFERROR(NUMBERVALUE(CriteriTecnici!$K955,",","."),0))),4)&amp;""),",",".")&amp;", "&amp;CHAR(34)&amp;"denominator"&amp;CHAR(34)&amp;": "&amp;SUBSTITUTE(TRIM(ROUND(IFERROR(CriteriTecnici!$L955*1,IFERROR(NUMBERVALUE(CriteriTecnici!$L955,".",","),IFERROR(NUMBERVALUE(CriteriTecnici!$L955,",","."),0))),4)&amp;""),",",".")&amp;", "&amp;CHAR(34)&amp;"flag"&amp;CHAR(34)&amp;": "&amp;SUBSTITUTE(TRIM(ROUND(IFERROR(CriteriTecnici!$M955*1,IFERROR(NUMBERVALUE(CriteriTecnici!$M955,".",","),IFERROR(NUMBERVALUE(CriteriTecnici!$M955,",","."),0))),4)&amp;""),",",".")&amp;", "&amp;CHAR(34)&amp;"rawScore"&amp;CHAR(34)&amp;": "&amp;SUBSTITUTE(TRIM(ROUND(IFERROR(CriteriTecnici!$O955*1,IFERROR(NUMBERVALUE(CriteriTecnici!$O955,".",","),IFERROR(NUMBERVALUE(CriteriTecnici!$O955,",","."),0))),4)&amp;""),",",".")&amp;CHAR(125)&amp;IF(TRUE,",",""))</f>
        <v/>
      </c>
    </row>
    <row r="1057">
      <c r="A1057" s="82">
        <f>IF(CriteriTecnici!$A956="","","    "&amp;CHAR(123)&amp;CHAR(34)&amp;"bidderId"&amp;CHAR(34)&amp;": "&amp;CHAR(34)&amp;SUBSTITUTE(CriteriTecnici!$A956,CHAR(34),"'")&amp;CHAR(34)&amp;", "&amp;CHAR(34)&amp;"lotId"&amp;CHAR(34)&amp;": "&amp;CHAR(34)&amp;SUBSTITUTE(CriteriTecnici!$C956,CHAR(34),"'")&amp;CHAR(34)&amp;", "&amp;CHAR(34)&amp;"criterionId"&amp;CHAR(34)&amp;": "&amp;CHAR(34)&amp;SUBSTITUTE(CriteriTecnici!$D956,CHAR(34),"'")&amp;CHAR(34)&amp;", "&amp;CHAR(34)&amp;"kind"&amp;CHAR(34)&amp;": "&amp;CHAR(34)&amp;SUBSTITUTE(CriteriTecnici!$F956,CHAR(34),"'")&amp;CHAR(34)&amp;", "&amp;CHAR(34)&amp;"value"&amp;CHAR(34)&amp;": "&amp;SUBSTITUTE(TRIM(ROUND(IFERROR(CriteriTecnici!$N956*1,IFERROR(NUMBERVALUE(CriteriTecnici!$N956,".",","),IFERROR(NUMBERVALUE(CriteriTecnici!$N956,",","."),0))),4)&amp;""),",",".")&amp;", "&amp;CHAR(34)&amp;"numerator"&amp;CHAR(34)&amp;": "&amp;SUBSTITUTE(TRIM(ROUND(IFERROR(CriteriTecnici!$K956*1,IFERROR(NUMBERVALUE(CriteriTecnici!$K956,".",","),IFERROR(NUMBERVALUE(CriteriTecnici!$K956,",","."),0))),4)&amp;""),",",".")&amp;", "&amp;CHAR(34)&amp;"denominator"&amp;CHAR(34)&amp;": "&amp;SUBSTITUTE(TRIM(ROUND(IFERROR(CriteriTecnici!$L956*1,IFERROR(NUMBERVALUE(CriteriTecnici!$L956,".",","),IFERROR(NUMBERVALUE(CriteriTecnici!$L956,",","."),0))),4)&amp;""),",",".")&amp;", "&amp;CHAR(34)&amp;"flag"&amp;CHAR(34)&amp;": "&amp;SUBSTITUTE(TRIM(ROUND(IFERROR(CriteriTecnici!$M956*1,IFERROR(NUMBERVALUE(CriteriTecnici!$M956,".",","),IFERROR(NUMBERVALUE(CriteriTecnici!$M956,",","."),0))),4)&amp;""),",",".")&amp;", "&amp;CHAR(34)&amp;"rawScore"&amp;CHAR(34)&amp;": "&amp;SUBSTITUTE(TRIM(ROUND(IFERROR(CriteriTecnici!$O956*1,IFERROR(NUMBERVALUE(CriteriTecnici!$O956,".",","),IFERROR(NUMBERVALUE(CriteriTecnici!$O956,",","."),0))),4)&amp;""),",",".")&amp;CHAR(125)&amp;IF(TRUE,",",""))</f>
        <v/>
      </c>
    </row>
    <row r="1058">
      <c r="A1058" s="82">
        <f>IF(CriteriTecnici!$A957="","","    "&amp;CHAR(123)&amp;CHAR(34)&amp;"bidderId"&amp;CHAR(34)&amp;": "&amp;CHAR(34)&amp;SUBSTITUTE(CriteriTecnici!$A957,CHAR(34),"'")&amp;CHAR(34)&amp;", "&amp;CHAR(34)&amp;"lotId"&amp;CHAR(34)&amp;": "&amp;CHAR(34)&amp;SUBSTITUTE(CriteriTecnici!$C957,CHAR(34),"'")&amp;CHAR(34)&amp;", "&amp;CHAR(34)&amp;"criterionId"&amp;CHAR(34)&amp;": "&amp;CHAR(34)&amp;SUBSTITUTE(CriteriTecnici!$D957,CHAR(34),"'")&amp;CHAR(34)&amp;", "&amp;CHAR(34)&amp;"kind"&amp;CHAR(34)&amp;": "&amp;CHAR(34)&amp;SUBSTITUTE(CriteriTecnici!$F957,CHAR(34),"'")&amp;CHAR(34)&amp;", "&amp;CHAR(34)&amp;"value"&amp;CHAR(34)&amp;": "&amp;SUBSTITUTE(TRIM(ROUND(IFERROR(CriteriTecnici!$N957*1,IFERROR(NUMBERVALUE(CriteriTecnici!$N957,".",","),IFERROR(NUMBERVALUE(CriteriTecnici!$N957,",","."),0))),4)&amp;""),",",".")&amp;", "&amp;CHAR(34)&amp;"numerator"&amp;CHAR(34)&amp;": "&amp;SUBSTITUTE(TRIM(ROUND(IFERROR(CriteriTecnici!$K957*1,IFERROR(NUMBERVALUE(CriteriTecnici!$K957,".",","),IFERROR(NUMBERVALUE(CriteriTecnici!$K957,",","."),0))),4)&amp;""),",",".")&amp;", "&amp;CHAR(34)&amp;"denominator"&amp;CHAR(34)&amp;": "&amp;SUBSTITUTE(TRIM(ROUND(IFERROR(CriteriTecnici!$L957*1,IFERROR(NUMBERVALUE(CriteriTecnici!$L957,".",","),IFERROR(NUMBERVALUE(CriteriTecnici!$L957,",","."),0))),4)&amp;""),",",".")&amp;", "&amp;CHAR(34)&amp;"flag"&amp;CHAR(34)&amp;": "&amp;SUBSTITUTE(TRIM(ROUND(IFERROR(CriteriTecnici!$M957*1,IFERROR(NUMBERVALUE(CriteriTecnici!$M957,".",","),IFERROR(NUMBERVALUE(CriteriTecnici!$M957,",","."),0))),4)&amp;""),",",".")&amp;", "&amp;CHAR(34)&amp;"rawScore"&amp;CHAR(34)&amp;": "&amp;SUBSTITUTE(TRIM(ROUND(IFERROR(CriteriTecnici!$O957*1,IFERROR(NUMBERVALUE(CriteriTecnici!$O957,".",","),IFERROR(NUMBERVALUE(CriteriTecnici!$O957,",","."),0))),4)&amp;""),",",".")&amp;CHAR(125)&amp;IF(TRUE,",",""))</f>
        <v/>
      </c>
    </row>
    <row r="1059">
      <c r="A1059" s="82">
        <f>IF(CriteriTecnici!$A958="","","    "&amp;CHAR(123)&amp;CHAR(34)&amp;"bidderId"&amp;CHAR(34)&amp;": "&amp;CHAR(34)&amp;SUBSTITUTE(CriteriTecnici!$A958,CHAR(34),"'")&amp;CHAR(34)&amp;", "&amp;CHAR(34)&amp;"lotId"&amp;CHAR(34)&amp;": "&amp;CHAR(34)&amp;SUBSTITUTE(CriteriTecnici!$C958,CHAR(34),"'")&amp;CHAR(34)&amp;", "&amp;CHAR(34)&amp;"criterionId"&amp;CHAR(34)&amp;": "&amp;CHAR(34)&amp;SUBSTITUTE(CriteriTecnici!$D958,CHAR(34),"'")&amp;CHAR(34)&amp;", "&amp;CHAR(34)&amp;"kind"&amp;CHAR(34)&amp;": "&amp;CHAR(34)&amp;SUBSTITUTE(CriteriTecnici!$F958,CHAR(34),"'")&amp;CHAR(34)&amp;", "&amp;CHAR(34)&amp;"value"&amp;CHAR(34)&amp;": "&amp;SUBSTITUTE(TRIM(ROUND(IFERROR(CriteriTecnici!$N958*1,IFERROR(NUMBERVALUE(CriteriTecnici!$N958,".",","),IFERROR(NUMBERVALUE(CriteriTecnici!$N958,",","."),0))),4)&amp;""),",",".")&amp;", "&amp;CHAR(34)&amp;"numerator"&amp;CHAR(34)&amp;": "&amp;SUBSTITUTE(TRIM(ROUND(IFERROR(CriteriTecnici!$K958*1,IFERROR(NUMBERVALUE(CriteriTecnici!$K958,".",","),IFERROR(NUMBERVALUE(CriteriTecnici!$K958,",","."),0))),4)&amp;""),",",".")&amp;", "&amp;CHAR(34)&amp;"denominator"&amp;CHAR(34)&amp;": "&amp;SUBSTITUTE(TRIM(ROUND(IFERROR(CriteriTecnici!$L958*1,IFERROR(NUMBERVALUE(CriteriTecnici!$L958,".",","),IFERROR(NUMBERVALUE(CriteriTecnici!$L958,",","."),0))),4)&amp;""),",",".")&amp;", "&amp;CHAR(34)&amp;"flag"&amp;CHAR(34)&amp;": "&amp;SUBSTITUTE(TRIM(ROUND(IFERROR(CriteriTecnici!$M958*1,IFERROR(NUMBERVALUE(CriteriTecnici!$M958,".",","),IFERROR(NUMBERVALUE(CriteriTecnici!$M958,",","."),0))),4)&amp;""),",",".")&amp;", "&amp;CHAR(34)&amp;"rawScore"&amp;CHAR(34)&amp;": "&amp;SUBSTITUTE(TRIM(ROUND(IFERROR(CriteriTecnici!$O958*1,IFERROR(NUMBERVALUE(CriteriTecnici!$O958,".",","),IFERROR(NUMBERVALUE(CriteriTecnici!$O958,",","."),0))),4)&amp;""),",",".")&amp;CHAR(125)&amp;IF(TRUE,",",""))</f>
        <v/>
      </c>
    </row>
    <row r="1060">
      <c r="A1060" s="82">
        <f>IF(CriteriTecnici!$A959="","","    "&amp;CHAR(123)&amp;CHAR(34)&amp;"bidderId"&amp;CHAR(34)&amp;": "&amp;CHAR(34)&amp;SUBSTITUTE(CriteriTecnici!$A959,CHAR(34),"'")&amp;CHAR(34)&amp;", "&amp;CHAR(34)&amp;"lotId"&amp;CHAR(34)&amp;": "&amp;CHAR(34)&amp;SUBSTITUTE(CriteriTecnici!$C959,CHAR(34),"'")&amp;CHAR(34)&amp;", "&amp;CHAR(34)&amp;"criterionId"&amp;CHAR(34)&amp;": "&amp;CHAR(34)&amp;SUBSTITUTE(CriteriTecnici!$D959,CHAR(34),"'")&amp;CHAR(34)&amp;", "&amp;CHAR(34)&amp;"kind"&amp;CHAR(34)&amp;": "&amp;CHAR(34)&amp;SUBSTITUTE(CriteriTecnici!$F959,CHAR(34),"'")&amp;CHAR(34)&amp;", "&amp;CHAR(34)&amp;"value"&amp;CHAR(34)&amp;": "&amp;SUBSTITUTE(TRIM(ROUND(IFERROR(CriteriTecnici!$N959*1,IFERROR(NUMBERVALUE(CriteriTecnici!$N959,".",","),IFERROR(NUMBERVALUE(CriteriTecnici!$N959,",","."),0))),4)&amp;""),",",".")&amp;", "&amp;CHAR(34)&amp;"numerator"&amp;CHAR(34)&amp;": "&amp;SUBSTITUTE(TRIM(ROUND(IFERROR(CriteriTecnici!$K959*1,IFERROR(NUMBERVALUE(CriteriTecnici!$K959,".",","),IFERROR(NUMBERVALUE(CriteriTecnici!$K959,",","."),0))),4)&amp;""),",",".")&amp;", "&amp;CHAR(34)&amp;"denominator"&amp;CHAR(34)&amp;": "&amp;SUBSTITUTE(TRIM(ROUND(IFERROR(CriteriTecnici!$L959*1,IFERROR(NUMBERVALUE(CriteriTecnici!$L959,".",","),IFERROR(NUMBERVALUE(CriteriTecnici!$L959,",","."),0))),4)&amp;""),",",".")&amp;", "&amp;CHAR(34)&amp;"flag"&amp;CHAR(34)&amp;": "&amp;SUBSTITUTE(TRIM(ROUND(IFERROR(CriteriTecnici!$M959*1,IFERROR(NUMBERVALUE(CriteriTecnici!$M959,".",","),IFERROR(NUMBERVALUE(CriteriTecnici!$M959,",","."),0))),4)&amp;""),",",".")&amp;", "&amp;CHAR(34)&amp;"rawScore"&amp;CHAR(34)&amp;": "&amp;SUBSTITUTE(TRIM(ROUND(IFERROR(CriteriTecnici!$O959*1,IFERROR(NUMBERVALUE(CriteriTecnici!$O959,".",","),IFERROR(NUMBERVALUE(CriteriTecnici!$O959,",","."),0))),4)&amp;""),",",".")&amp;CHAR(125)&amp;IF(TRUE,",",""))</f>
        <v/>
      </c>
    </row>
    <row r="1061">
      <c r="A1061" s="82">
        <f>IF(CriteriTecnici!$A960="","","    "&amp;CHAR(123)&amp;CHAR(34)&amp;"bidderId"&amp;CHAR(34)&amp;": "&amp;CHAR(34)&amp;SUBSTITUTE(CriteriTecnici!$A960,CHAR(34),"'")&amp;CHAR(34)&amp;", "&amp;CHAR(34)&amp;"lotId"&amp;CHAR(34)&amp;": "&amp;CHAR(34)&amp;SUBSTITUTE(CriteriTecnici!$C960,CHAR(34),"'")&amp;CHAR(34)&amp;", "&amp;CHAR(34)&amp;"criterionId"&amp;CHAR(34)&amp;": "&amp;CHAR(34)&amp;SUBSTITUTE(CriteriTecnici!$D960,CHAR(34),"'")&amp;CHAR(34)&amp;", "&amp;CHAR(34)&amp;"kind"&amp;CHAR(34)&amp;": "&amp;CHAR(34)&amp;SUBSTITUTE(CriteriTecnici!$F960,CHAR(34),"'")&amp;CHAR(34)&amp;", "&amp;CHAR(34)&amp;"value"&amp;CHAR(34)&amp;": "&amp;SUBSTITUTE(TRIM(ROUND(IFERROR(CriteriTecnici!$N960*1,IFERROR(NUMBERVALUE(CriteriTecnici!$N960,".",","),IFERROR(NUMBERVALUE(CriteriTecnici!$N960,",","."),0))),4)&amp;""),",",".")&amp;", "&amp;CHAR(34)&amp;"numerator"&amp;CHAR(34)&amp;": "&amp;SUBSTITUTE(TRIM(ROUND(IFERROR(CriteriTecnici!$K960*1,IFERROR(NUMBERVALUE(CriteriTecnici!$K960,".",","),IFERROR(NUMBERVALUE(CriteriTecnici!$K960,",","."),0))),4)&amp;""),",",".")&amp;", "&amp;CHAR(34)&amp;"denominator"&amp;CHAR(34)&amp;": "&amp;SUBSTITUTE(TRIM(ROUND(IFERROR(CriteriTecnici!$L960*1,IFERROR(NUMBERVALUE(CriteriTecnici!$L960,".",","),IFERROR(NUMBERVALUE(CriteriTecnici!$L960,",","."),0))),4)&amp;""),",",".")&amp;", "&amp;CHAR(34)&amp;"flag"&amp;CHAR(34)&amp;": "&amp;SUBSTITUTE(TRIM(ROUND(IFERROR(CriteriTecnici!$M960*1,IFERROR(NUMBERVALUE(CriteriTecnici!$M960,".",","),IFERROR(NUMBERVALUE(CriteriTecnici!$M960,",","."),0))),4)&amp;""),",",".")&amp;", "&amp;CHAR(34)&amp;"rawScore"&amp;CHAR(34)&amp;": "&amp;SUBSTITUTE(TRIM(ROUND(IFERROR(CriteriTecnici!$O960*1,IFERROR(NUMBERVALUE(CriteriTecnici!$O960,".",","),IFERROR(NUMBERVALUE(CriteriTecnici!$O960,",","."),0))),4)&amp;""),",",".")&amp;CHAR(125)&amp;IF(TRUE,",",""))</f>
        <v/>
      </c>
    </row>
    <row r="1062">
      <c r="A1062" s="82">
        <f>IF(CriteriTecnici!$A961="","","    "&amp;CHAR(123)&amp;CHAR(34)&amp;"bidderId"&amp;CHAR(34)&amp;": "&amp;CHAR(34)&amp;SUBSTITUTE(CriteriTecnici!$A961,CHAR(34),"'")&amp;CHAR(34)&amp;", "&amp;CHAR(34)&amp;"lotId"&amp;CHAR(34)&amp;": "&amp;CHAR(34)&amp;SUBSTITUTE(CriteriTecnici!$C961,CHAR(34),"'")&amp;CHAR(34)&amp;", "&amp;CHAR(34)&amp;"criterionId"&amp;CHAR(34)&amp;": "&amp;CHAR(34)&amp;SUBSTITUTE(CriteriTecnici!$D961,CHAR(34),"'")&amp;CHAR(34)&amp;", "&amp;CHAR(34)&amp;"kind"&amp;CHAR(34)&amp;": "&amp;CHAR(34)&amp;SUBSTITUTE(CriteriTecnici!$F961,CHAR(34),"'")&amp;CHAR(34)&amp;", "&amp;CHAR(34)&amp;"value"&amp;CHAR(34)&amp;": "&amp;SUBSTITUTE(TRIM(ROUND(IFERROR(CriteriTecnici!$N961*1,IFERROR(NUMBERVALUE(CriteriTecnici!$N961,".",","),IFERROR(NUMBERVALUE(CriteriTecnici!$N961,",","."),0))),4)&amp;""),",",".")&amp;", "&amp;CHAR(34)&amp;"numerator"&amp;CHAR(34)&amp;": "&amp;SUBSTITUTE(TRIM(ROUND(IFERROR(CriteriTecnici!$K961*1,IFERROR(NUMBERVALUE(CriteriTecnici!$K961,".",","),IFERROR(NUMBERVALUE(CriteriTecnici!$K961,",","."),0))),4)&amp;""),",",".")&amp;", "&amp;CHAR(34)&amp;"denominator"&amp;CHAR(34)&amp;": "&amp;SUBSTITUTE(TRIM(ROUND(IFERROR(CriteriTecnici!$L961*1,IFERROR(NUMBERVALUE(CriteriTecnici!$L961,".",","),IFERROR(NUMBERVALUE(CriteriTecnici!$L961,",","."),0))),4)&amp;""),",",".")&amp;", "&amp;CHAR(34)&amp;"flag"&amp;CHAR(34)&amp;": "&amp;SUBSTITUTE(TRIM(ROUND(IFERROR(CriteriTecnici!$M961*1,IFERROR(NUMBERVALUE(CriteriTecnici!$M961,".",","),IFERROR(NUMBERVALUE(CriteriTecnici!$M961,",","."),0))),4)&amp;""),",",".")&amp;", "&amp;CHAR(34)&amp;"rawScore"&amp;CHAR(34)&amp;": "&amp;SUBSTITUTE(TRIM(ROUND(IFERROR(CriteriTecnici!$O961*1,IFERROR(NUMBERVALUE(CriteriTecnici!$O961,".",","),IFERROR(NUMBERVALUE(CriteriTecnici!$O961,",","."),0))),4)&amp;""),",",".")&amp;CHAR(125)&amp;IF(TRUE,",",""))</f>
        <v/>
      </c>
    </row>
    <row r="1063">
      <c r="A1063" s="82">
        <f>IF(CriteriTecnici!$A962="","","    "&amp;CHAR(123)&amp;CHAR(34)&amp;"bidderId"&amp;CHAR(34)&amp;": "&amp;CHAR(34)&amp;SUBSTITUTE(CriteriTecnici!$A962,CHAR(34),"'")&amp;CHAR(34)&amp;", "&amp;CHAR(34)&amp;"lotId"&amp;CHAR(34)&amp;": "&amp;CHAR(34)&amp;SUBSTITUTE(CriteriTecnici!$C962,CHAR(34),"'")&amp;CHAR(34)&amp;", "&amp;CHAR(34)&amp;"criterionId"&amp;CHAR(34)&amp;": "&amp;CHAR(34)&amp;SUBSTITUTE(CriteriTecnici!$D962,CHAR(34),"'")&amp;CHAR(34)&amp;", "&amp;CHAR(34)&amp;"kind"&amp;CHAR(34)&amp;": "&amp;CHAR(34)&amp;SUBSTITUTE(CriteriTecnici!$F962,CHAR(34),"'")&amp;CHAR(34)&amp;", "&amp;CHAR(34)&amp;"value"&amp;CHAR(34)&amp;": "&amp;SUBSTITUTE(TRIM(ROUND(IFERROR(CriteriTecnici!$N962*1,IFERROR(NUMBERVALUE(CriteriTecnici!$N962,".",","),IFERROR(NUMBERVALUE(CriteriTecnici!$N962,",","."),0))),4)&amp;""),",",".")&amp;", "&amp;CHAR(34)&amp;"numerator"&amp;CHAR(34)&amp;": "&amp;SUBSTITUTE(TRIM(ROUND(IFERROR(CriteriTecnici!$K962*1,IFERROR(NUMBERVALUE(CriteriTecnici!$K962,".",","),IFERROR(NUMBERVALUE(CriteriTecnici!$K962,",","."),0))),4)&amp;""),",",".")&amp;", "&amp;CHAR(34)&amp;"denominator"&amp;CHAR(34)&amp;": "&amp;SUBSTITUTE(TRIM(ROUND(IFERROR(CriteriTecnici!$L962*1,IFERROR(NUMBERVALUE(CriteriTecnici!$L962,".",","),IFERROR(NUMBERVALUE(CriteriTecnici!$L962,",","."),0))),4)&amp;""),",",".")&amp;", "&amp;CHAR(34)&amp;"flag"&amp;CHAR(34)&amp;": "&amp;SUBSTITUTE(TRIM(ROUND(IFERROR(CriteriTecnici!$M962*1,IFERROR(NUMBERVALUE(CriteriTecnici!$M962,".",","),IFERROR(NUMBERVALUE(CriteriTecnici!$M962,",","."),0))),4)&amp;""),",",".")&amp;", "&amp;CHAR(34)&amp;"rawScore"&amp;CHAR(34)&amp;": "&amp;SUBSTITUTE(TRIM(ROUND(IFERROR(CriteriTecnici!$O962*1,IFERROR(NUMBERVALUE(CriteriTecnici!$O962,".",","),IFERROR(NUMBERVALUE(CriteriTecnici!$O962,",","."),0))),4)&amp;""),",",".")&amp;CHAR(125)&amp;IF(TRUE,",",""))</f>
        <v/>
      </c>
    </row>
    <row r="1064">
      <c r="A1064" s="82">
        <f>IF(CriteriTecnici!$A963="","","    "&amp;CHAR(123)&amp;CHAR(34)&amp;"bidderId"&amp;CHAR(34)&amp;": "&amp;CHAR(34)&amp;SUBSTITUTE(CriteriTecnici!$A963,CHAR(34),"'")&amp;CHAR(34)&amp;", "&amp;CHAR(34)&amp;"lotId"&amp;CHAR(34)&amp;": "&amp;CHAR(34)&amp;SUBSTITUTE(CriteriTecnici!$C963,CHAR(34),"'")&amp;CHAR(34)&amp;", "&amp;CHAR(34)&amp;"criterionId"&amp;CHAR(34)&amp;": "&amp;CHAR(34)&amp;SUBSTITUTE(CriteriTecnici!$D963,CHAR(34),"'")&amp;CHAR(34)&amp;", "&amp;CHAR(34)&amp;"kind"&amp;CHAR(34)&amp;": "&amp;CHAR(34)&amp;SUBSTITUTE(CriteriTecnici!$F963,CHAR(34),"'")&amp;CHAR(34)&amp;", "&amp;CHAR(34)&amp;"value"&amp;CHAR(34)&amp;": "&amp;SUBSTITUTE(TRIM(ROUND(IFERROR(CriteriTecnici!$N963*1,IFERROR(NUMBERVALUE(CriteriTecnici!$N963,".",","),IFERROR(NUMBERVALUE(CriteriTecnici!$N963,",","."),0))),4)&amp;""),",",".")&amp;", "&amp;CHAR(34)&amp;"numerator"&amp;CHAR(34)&amp;": "&amp;SUBSTITUTE(TRIM(ROUND(IFERROR(CriteriTecnici!$K963*1,IFERROR(NUMBERVALUE(CriteriTecnici!$K963,".",","),IFERROR(NUMBERVALUE(CriteriTecnici!$K963,",","."),0))),4)&amp;""),",",".")&amp;", "&amp;CHAR(34)&amp;"denominator"&amp;CHAR(34)&amp;": "&amp;SUBSTITUTE(TRIM(ROUND(IFERROR(CriteriTecnici!$L963*1,IFERROR(NUMBERVALUE(CriteriTecnici!$L963,".",","),IFERROR(NUMBERVALUE(CriteriTecnici!$L963,",","."),0))),4)&amp;""),",",".")&amp;", "&amp;CHAR(34)&amp;"flag"&amp;CHAR(34)&amp;": "&amp;SUBSTITUTE(TRIM(ROUND(IFERROR(CriteriTecnici!$M963*1,IFERROR(NUMBERVALUE(CriteriTecnici!$M963,".",","),IFERROR(NUMBERVALUE(CriteriTecnici!$M963,",","."),0))),4)&amp;""),",",".")&amp;", "&amp;CHAR(34)&amp;"rawScore"&amp;CHAR(34)&amp;": "&amp;SUBSTITUTE(TRIM(ROUND(IFERROR(CriteriTecnici!$O963*1,IFERROR(NUMBERVALUE(CriteriTecnici!$O963,".",","),IFERROR(NUMBERVALUE(CriteriTecnici!$O963,",","."),0))),4)&amp;""),",",".")&amp;CHAR(125)&amp;IF(TRUE,",",""))</f>
        <v/>
      </c>
    </row>
    <row r="1065">
      <c r="A1065" s="82">
        <f>IF(CriteriTecnici!$A964="","","    "&amp;CHAR(123)&amp;CHAR(34)&amp;"bidderId"&amp;CHAR(34)&amp;": "&amp;CHAR(34)&amp;SUBSTITUTE(CriteriTecnici!$A964,CHAR(34),"'")&amp;CHAR(34)&amp;", "&amp;CHAR(34)&amp;"lotId"&amp;CHAR(34)&amp;": "&amp;CHAR(34)&amp;SUBSTITUTE(CriteriTecnici!$C964,CHAR(34),"'")&amp;CHAR(34)&amp;", "&amp;CHAR(34)&amp;"criterionId"&amp;CHAR(34)&amp;": "&amp;CHAR(34)&amp;SUBSTITUTE(CriteriTecnici!$D964,CHAR(34),"'")&amp;CHAR(34)&amp;", "&amp;CHAR(34)&amp;"kind"&amp;CHAR(34)&amp;": "&amp;CHAR(34)&amp;SUBSTITUTE(CriteriTecnici!$F964,CHAR(34),"'")&amp;CHAR(34)&amp;", "&amp;CHAR(34)&amp;"value"&amp;CHAR(34)&amp;": "&amp;SUBSTITUTE(TRIM(ROUND(IFERROR(CriteriTecnici!$N964*1,IFERROR(NUMBERVALUE(CriteriTecnici!$N964,".",","),IFERROR(NUMBERVALUE(CriteriTecnici!$N964,",","."),0))),4)&amp;""),",",".")&amp;", "&amp;CHAR(34)&amp;"numerator"&amp;CHAR(34)&amp;": "&amp;SUBSTITUTE(TRIM(ROUND(IFERROR(CriteriTecnici!$K964*1,IFERROR(NUMBERVALUE(CriteriTecnici!$K964,".",","),IFERROR(NUMBERVALUE(CriteriTecnici!$K964,",","."),0))),4)&amp;""),",",".")&amp;", "&amp;CHAR(34)&amp;"denominator"&amp;CHAR(34)&amp;": "&amp;SUBSTITUTE(TRIM(ROUND(IFERROR(CriteriTecnici!$L964*1,IFERROR(NUMBERVALUE(CriteriTecnici!$L964,".",","),IFERROR(NUMBERVALUE(CriteriTecnici!$L964,",","."),0))),4)&amp;""),",",".")&amp;", "&amp;CHAR(34)&amp;"flag"&amp;CHAR(34)&amp;": "&amp;SUBSTITUTE(TRIM(ROUND(IFERROR(CriteriTecnici!$M964*1,IFERROR(NUMBERVALUE(CriteriTecnici!$M964,".",","),IFERROR(NUMBERVALUE(CriteriTecnici!$M964,",","."),0))),4)&amp;""),",",".")&amp;", "&amp;CHAR(34)&amp;"rawScore"&amp;CHAR(34)&amp;": "&amp;SUBSTITUTE(TRIM(ROUND(IFERROR(CriteriTecnici!$O964*1,IFERROR(NUMBERVALUE(CriteriTecnici!$O964,".",","),IFERROR(NUMBERVALUE(CriteriTecnici!$O964,",","."),0))),4)&amp;""),",",".")&amp;CHAR(125)&amp;IF(TRUE,",",""))</f>
        <v/>
      </c>
    </row>
    <row r="1066">
      <c r="A1066" s="82">
        <f>IF(CriteriTecnici!$A965="","","    "&amp;CHAR(123)&amp;CHAR(34)&amp;"bidderId"&amp;CHAR(34)&amp;": "&amp;CHAR(34)&amp;SUBSTITUTE(CriteriTecnici!$A965,CHAR(34),"'")&amp;CHAR(34)&amp;", "&amp;CHAR(34)&amp;"lotId"&amp;CHAR(34)&amp;": "&amp;CHAR(34)&amp;SUBSTITUTE(CriteriTecnici!$C965,CHAR(34),"'")&amp;CHAR(34)&amp;", "&amp;CHAR(34)&amp;"criterionId"&amp;CHAR(34)&amp;": "&amp;CHAR(34)&amp;SUBSTITUTE(CriteriTecnici!$D965,CHAR(34),"'")&amp;CHAR(34)&amp;", "&amp;CHAR(34)&amp;"kind"&amp;CHAR(34)&amp;": "&amp;CHAR(34)&amp;SUBSTITUTE(CriteriTecnici!$F965,CHAR(34),"'")&amp;CHAR(34)&amp;", "&amp;CHAR(34)&amp;"value"&amp;CHAR(34)&amp;": "&amp;SUBSTITUTE(TRIM(ROUND(IFERROR(CriteriTecnici!$N965*1,IFERROR(NUMBERVALUE(CriteriTecnici!$N965,".",","),IFERROR(NUMBERVALUE(CriteriTecnici!$N965,",","."),0))),4)&amp;""),",",".")&amp;", "&amp;CHAR(34)&amp;"numerator"&amp;CHAR(34)&amp;": "&amp;SUBSTITUTE(TRIM(ROUND(IFERROR(CriteriTecnici!$K965*1,IFERROR(NUMBERVALUE(CriteriTecnici!$K965,".",","),IFERROR(NUMBERVALUE(CriteriTecnici!$K965,",","."),0))),4)&amp;""),",",".")&amp;", "&amp;CHAR(34)&amp;"denominator"&amp;CHAR(34)&amp;": "&amp;SUBSTITUTE(TRIM(ROUND(IFERROR(CriteriTecnici!$L965*1,IFERROR(NUMBERVALUE(CriteriTecnici!$L965,".",","),IFERROR(NUMBERVALUE(CriteriTecnici!$L965,",","."),0))),4)&amp;""),",",".")&amp;", "&amp;CHAR(34)&amp;"flag"&amp;CHAR(34)&amp;": "&amp;SUBSTITUTE(TRIM(ROUND(IFERROR(CriteriTecnici!$M965*1,IFERROR(NUMBERVALUE(CriteriTecnici!$M965,".",","),IFERROR(NUMBERVALUE(CriteriTecnici!$M965,",","."),0))),4)&amp;""),",",".")&amp;", "&amp;CHAR(34)&amp;"rawScore"&amp;CHAR(34)&amp;": "&amp;SUBSTITUTE(TRIM(ROUND(IFERROR(CriteriTecnici!$O965*1,IFERROR(NUMBERVALUE(CriteriTecnici!$O965,".",","),IFERROR(NUMBERVALUE(CriteriTecnici!$O965,",","."),0))),4)&amp;""),",",".")&amp;CHAR(125)&amp;IF(COUNTA(Offerte!$A33:$A$81)&gt;0,",",""))</f>
        <v/>
      </c>
    </row>
    <row r="1067">
      <c r="A1067" s="82">
        <f>IF(CriteriTecnici!$A966="","","    "&amp;CHAR(123)&amp;CHAR(34)&amp;"bidderId"&amp;CHAR(34)&amp;": "&amp;CHAR(34)&amp;SUBSTITUTE(CriteriTecnici!$A966,CHAR(34),"'")&amp;CHAR(34)&amp;", "&amp;CHAR(34)&amp;"lotId"&amp;CHAR(34)&amp;": "&amp;CHAR(34)&amp;SUBSTITUTE(CriteriTecnici!$C966,CHAR(34),"'")&amp;CHAR(34)&amp;", "&amp;CHAR(34)&amp;"criterionId"&amp;CHAR(34)&amp;": "&amp;CHAR(34)&amp;SUBSTITUTE(CriteriTecnici!$D966,CHAR(34),"'")&amp;CHAR(34)&amp;", "&amp;CHAR(34)&amp;"kind"&amp;CHAR(34)&amp;": "&amp;CHAR(34)&amp;SUBSTITUTE(CriteriTecnici!$F966,CHAR(34),"'")&amp;CHAR(34)&amp;", "&amp;CHAR(34)&amp;"value"&amp;CHAR(34)&amp;": "&amp;SUBSTITUTE(TRIM(ROUND(IFERROR(CriteriTecnici!$N966*1,IFERROR(NUMBERVALUE(CriteriTecnici!$N966,".",","),IFERROR(NUMBERVALUE(CriteriTecnici!$N966,",","."),0))),4)&amp;""),",",".")&amp;", "&amp;CHAR(34)&amp;"numerator"&amp;CHAR(34)&amp;": "&amp;SUBSTITUTE(TRIM(ROUND(IFERROR(CriteriTecnici!$K966*1,IFERROR(NUMBERVALUE(CriteriTecnici!$K966,".",","),IFERROR(NUMBERVALUE(CriteriTecnici!$K966,",","."),0))),4)&amp;""),",",".")&amp;", "&amp;CHAR(34)&amp;"denominator"&amp;CHAR(34)&amp;": "&amp;SUBSTITUTE(TRIM(ROUND(IFERROR(CriteriTecnici!$L966*1,IFERROR(NUMBERVALUE(CriteriTecnici!$L966,".",","),IFERROR(NUMBERVALUE(CriteriTecnici!$L966,",","."),0))),4)&amp;""),",",".")&amp;", "&amp;CHAR(34)&amp;"flag"&amp;CHAR(34)&amp;": "&amp;SUBSTITUTE(TRIM(ROUND(IFERROR(CriteriTecnici!$M966*1,IFERROR(NUMBERVALUE(CriteriTecnici!$M966,".",","),IFERROR(NUMBERVALUE(CriteriTecnici!$M966,",","."),0))),4)&amp;""),",",".")&amp;", "&amp;CHAR(34)&amp;"rawScore"&amp;CHAR(34)&amp;": "&amp;SUBSTITUTE(TRIM(ROUND(IFERROR(CriteriTecnici!$O966*1,IFERROR(NUMBERVALUE(CriteriTecnici!$O966,".",","),IFERROR(NUMBERVALUE(CriteriTecnici!$O966,",","."),0))),4)&amp;""),",",".")&amp;CHAR(125)&amp;IF(TRUE,",",""))</f>
        <v/>
      </c>
    </row>
    <row r="1068">
      <c r="A1068" s="82">
        <f>IF(CriteriTecnici!$A967="","","    "&amp;CHAR(123)&amp;CHAR(34)&amp;"bidderId"&amp;CHAR(34)&amp;": "&amp;CHAR(34)&amp;SUBSTITUTE(CriteriTecnici!$A967,CHAR(34),"'")&amp;CHAR(34)&amp;", "&amp;CHAR(34)&amp;"lotId"&amp;CHAR(34)&amp;": "&amp;CHAR(34)&amp;SUBSTITUTE(CriteriTecnici!$C967,CHAR(34),"'")&amp;CHAR(34)&amp;", "&amp;CHAR(34)&amp;"criterionId"&amp;CHAR(34)&amp;": "&amp;CHAR(34)&amp;SUBSTITUTE(CriteriTecnici!$D967,CHAR(34),"'")&amp;CHAR(34)&amp;", "&amp;CHAR(34)&amp;"kind"&amp;CHAR(34)&amp;": "&amp;CHAR(34)&amp;SUBSTITUTE(CriteriTecnici!$F967,CHAR(34),"'")&amp;CHAR(34)&amp;", "&amp;CHAR(34)&amp;"value"&amp;CHAR(34)&amp;": "&amp;SUBSTITUTE(TRIM(ROUND(IFERROR(CriteriTecnici!$N967*1,IFERROR(NUMBERVALUE(CriteriTecnici!$N967,".",","),IFERROR(NUMBERVALUE(CriteriTecnici!$N967,",","."),0))),4)&amp;""),",",".")&amp;", "&amp;CHAR(34)&amp;"numerator"&amp;CHAR(34)&amp;": "&amp;SUBSTITUTE(TRIM(ROUND(IFERROR(CriteriTecnici!$K967*1,IFERROR(NUMBERVALUE(CriteriTecnici!$K967,".",","),IFERROR(NUMBERVALUE(CriteriTecnici!$K967,",","."),0))),4)&amp;""),",",".")&amp;", "&amp;CHAR(34)&amp;"denominator"&amp;CHAR(34)&amp;": "&amp;SUBSTITUTE(TRIM(ROUND(IFERROR(CriteriTecnici!$L967*1,IFERROR(NUMBERVALUE(CriteriTecnici!$L967,".",","),IFERROR(NUMBERVALUE(CriteriTecnici!$L967,",","."),0))),4)&amp;""),",",".")&amp;", "&amp;CHAR(34)&amp;"flag"&amp;CHAR(34)&amp;": "&amp;SUBSTITUTE(TRIM(ROUND(IFERROR(CriteriTecnici!$M967*1,IFERROR(NUMBERVALUE(CriteriTecnici!$M967,".",","),IFERROR(NUMBERVALUE(CriteriTecnici!$M967,",","."),0))),4)&amp;""),",",".")&amp;", "&amp;CHAR(34)&amp;"rawScore"&amp;CHAR(34)&amp;": "&amp;SUBSTITUTE(TRIM(ROUND(IFERROR(CriteriTecnici!$O967*1,IFERROR(NUMBERVALUE(CriteriTecnici!$O967,".",","),IFERROR(NUMBERVALUE(CriteriTecnici!$O967,",","."),0))),4)&amp;""),",",".")&amp;CHAR(125)&amp;IF(TRUE,",",""))</f>
        <v/>
      </c>
    </row>
    <row r="1069">
      <c r="A1069" s="82">
        <f>IF(CriteriTecnici!$A968="","","    "&amp;CHAR(123)&amp;CHAR(34)&amp;"bidderId"&amp;CHAR(34)&amp;": "&amp;CHAR(34)&amp;SUBSTITUTE(CriteriTecnici!$A968,CHAR(34),"'")&amp;CHAR(34)&amp;", "&amp;CHAR(34)&amp;"lotId"&amp;CHAR(34)&amp;": "&amp;CHAR(34)&amp;SUBSTITUTE(CriteriTecnici!$C968,CHAR(34),"'")&amp;CHAR(34)&amp;", "&amp;CHAR(34)&amp;"criterionId"&amp;CHAR(34)&amp;": "&amp;CHAR(34)&amp;SUBSTITUTE(CriteriTecnici!$D968,CHAR(34),"'")&amp;CHAR(34)&amp;", "&amp;CHAR(34)&amp;"kind"&amp;CHAR(34)&amp;": "&amp;CHAR(34)&amp;SUBSTITUTE(CriteriTecnici!$F968,CHAR(34),"'")&amp;CHAR(34)&amp;", "&amp;CHAR(34)&amp;"value"&amp;CHAR(34)&amp;": "&amp;SUBSTITUTE(TRIM(ROUND(IFERROR(CriteriTecnici!$N968*1,IFERROR(NUMBERVALUE(CriteriTecnici!$N968,".",","),IFERROR(NUMBERVALUE(CriteriTecnici!$N968,",","."),0))),4)&amp;""),",",".")&amp;", "&amp;CHAR(34)&amp;"numerator"&amp;CHAR(34)&amp;": "&amp;SUBSTITUTE(TRIM(ROUND(IFERROR(CriteriTecnici!$K968*1,IFERROR(NUMBERVALUE(CriteriTecnici!$K968,".",","),IFERROR(NUMBERVALUE(CriteriTecnici!$K968,",","."),0))),4)&amp;""),",",".")&amp;", "&amp;CHAR(34)&amp;"denominator"&amp;CHAR(34)&amp;": "&amp;SUBSTITUTE(TRIM(ROUND(IFERROR(CriteriTecnici!$L968*1,IFERROR(NUMBERVALUE(CriteriTecnici!$L968,".",","),IFERROR(NUMBERVALUE(CriteriTecnici!$L968,",","."),0))),4)&amp;""),",",".")&amp;", "&amp;CHAR(34)&amp;"flag"&amp;CHAR(34)&amp;": "&amp;SUBSTITUTE(TRIM(ROUND(IFERROR(CriteriTecnici!$M968*1,IFERROR(NUMBERVALUE(CriteriTecnici!$M968,".",","),IFERROR(NUMBERVALUE(CriteriTecnici!$M968,",","."),0))),4)&amp;""),",",".")&amp;", "&amp;CHAR(34)&amp;"rawScore"&amp;CHAR(34)&amp;": "&amp;SUBSTITUTE(TRIM(ROUND(IFERROR(CriteriTecnici!$O968*1,IFERROR(NUMBERVALUE(CriteriTecnici!$O968,".",","),IFERROR(NUMBERVALUE(CriteriTecnici!$O968,",","."),0))),4)&amp;""),",",".")&amp;CHAR(125)&amp;IF(TRUE,",",""))</f>
        <v/>
      </c>
    </row>
    <row r="1070">
      <c r="A1070" s="82">
        <f>IF(CriteriTecnici!$A969="","","    "&amp;CHAR(123)&amp;CHAR(34)&amp;"bidderId"&amp;CHAR(34)&amp;": "&amp;CHAR(34)&amp;SUBSTITUTE(CriteriTecnici!$A969,CHAR(34),"'")&amp;CHAR(34)&amp;", "&amp;CHAR(34)&amp;"lotId"&amp;CHAR(34)&amp;": "&amp;CHAR(34)&amp;SUBSTITUTE(CriteriTecnici!$C969,CHAR(34),"'")&amp;CHAR(34)&amp;", "&amp;CHAR(34)&amp;"criterionId"&amp;CHAR(34)&amp;": "&amp;CHAR(34)&amp;SUBSTITUTE(CriteriTecnici!$D969,CHAR(34),"'")&amp;CHAR(34)&amp;", "&amp;CHAR(34)&amp;"kind"&amp;CHAR(34)&amp;": "&amp;CHAR(34)&amp;SUBSTITUTE(CriteriTecnici!$F969,CHAR(34),"'")&amp;CHAR(34)&amp;", "&amp;CHAR(34)&amp;"value"&amp;CHAR(34)&amp;": "&amp;SUBSTITUTE(TRIM(ROUND(IFERROR(CriteriTecnici!$N969*1,IFERROR(NUMBERVALUE(CriteriTecnici!$N969,".",","),IFERROR(NUMBERVALUE(CriteriTecnici!$N969,",","."),0))),4)&amp;""),",",".")&amp;", "&amp;CHAR(34)&amp;"numerator"&amp;CHAR(34)&amp;": "&amp;SUBSTITUTE(TRIM(ROUND(IFERROR(CriteriTecnici!$K969*1,IFERROR(NUMBERVALUE(CriteriTecnici!$K969,".",","),IFERROR(NUMBERVALUE(CriteriTecnici!$K969,",","."),0))),4)&amp;""),",",".")&amp;", "&amp;CHAR(34)&amp;"denominator"&amp;CHAR(34)&amp;": "&amp;SUBSTITUTE(TRIM(ROUND(IFERROR(CriteriTecnici!$L969*1,IFERROR(NUMBERVALUE(CriteriTecnici!$L969,".",","),IFERROR(NUMBERVALUE(CriteriTecnici!$L969,",","."),0))),4)&amp;""),",",".")&amp;", "&amp;CHAR(34)&amp;"flag"&amp;CHAR(34)&amp;": "&amp;SUBSTITUTE(TRIM(ROUND(IFERROR(CriteriTecnici!$M969*1,IFERROR(NUMBERVALUE(CriteriTecnici!$M969,".",","),IFERROR(NUMBERVALUE(CriteriTecnici!$M969,",","."),0))),4)&amp;""),",",".")&amp;", "&amp;CHAR(34)&amp;"rawScore"&amp;CHAR(34)&amp;": "&amp;SUBSTITUTE(TRIM(ROUND(IFERROR(CriteriTecnici!$O969*1,IFERROR(NUMBERVALUE(CriteriTecnici!$O969,".",","),IFERROR(NUMBERVALUE(CriteriTecnici!$O969,",","."),0))),4)&amp;""),",",".")&amp;CHAR(125)&amp;IF(TRUE,",",""))</f>
        <v/>
      </c>
    </row>
    <row r="1071">
      <c r="A1071" s="82">
        <f>IF(CriteriTecnici!$A970="","","    "&amp;CHAR(123)&amp;CHAR(34)&amp;"bidderId"&amp;CHAR(34)&amp;": "&amp;CHAR(34)&amp;SUBSTITUTE(CriteriTecnici!$A970,CHAR(34),"'")&amp;CHAR(34)&amp;", "&amp;CHAR(34)&amp;"lotId"&amp;CHAR(34)&amp;": "&amp;CHAR(34)&amp;SUBSTITUTE(CriteriTecnici!$C970,CHAR(34),"'")&amp;CHAR(34)&amp;", "&amp;CHAR(34)&amp;"criterionId"&amp;CHAR(34)&amp;": "&amp;CHAR(34)&amp;SUBSTITUTE(CriteriTecnici!$D970,CHAR(34),"'")&amp;CHAR(34)&amp;", "&amp;CHAR(34)&amp;"kind"&amp;CHAR(34)&amp;": "&amp;CHAR(34)&amp;SUBSTITUTE(CriteriTecnici!$F970,CHAR(34),"'")&amp;CHAR(34)&amp;", "&amp;CHAR(34)&amp;"value"&amp;CHAR(34)&amp;": "&amp;SUBSTITUTE(TRIM(ROUND(IFERROR(CriteriTecnici!$N970*1,IFERROR(NUMBERVALUE(CriteriTecnici!$N970,".",","),IFERROR(NUMBERVALUE(CriteriTecnici!$N970,",","."),0))),4)&amp;""),",",".")&amp;", "&amp;CHAR(34)&amp;"numerator"&amp;CHAR(34)&amp;": "&amp;SUBSTITUTE(TRIM(ROUND(IFERROR(CriteriTecnici!$K970*1,IFERROR(NUMBERVALUE(CriteriTecnici!$K970,".",","),IFERROR(NUMBERVALUE(CriteriTecnici!$K970,",","."),0))),4)&amp;""),",",".")&amp;", "&amp;CHAR(34)&amp;"denominator"&amp;CHAR(34)&amp;": "&amp;SUBSTITUTE(TRIM(ROUND(IFERROR(CriteriTecnici!$L970*1,IFERROR(NUMBERVALUE(CriteriTecnici!$L970,".",","),IFERROR(NUMBERVALUE(CriteriTecnici!$L970,",","."),0))),4)&amp;""),",",".")&amp;", "&amp;CHAR(34)&amp;"flag"&amp;CHAR(34)&amp;": "&amp;SUBSTITUTE(TRIM(ROUND(IFERROR(CriteriTecnici!$M970*1,IFERROR(NUMBERVALUE(CriteriTecnici!$M970,".",","),IFERROR(NUMBERVALUE(CriteriTecnici!$M970,",","."),0))),4)&amp;""),",",".")&amp;", "&amp;CHAR(34)&amp;"rawScore"&amp;CHAR(34)&amp;": "&amp;SUBSTITUTE(TRIM(ROUND(IFERROR(CriteriTecnici!$O970*1,IFERROR(NUMBERVALUE(CriteriTecnici!$O970,".",","),IFERROR(NUMBERVALUE(CriteriTecnici!$O970,",","."),0))),4)&amp;""),",",".")&amp;CHAR(125)&amp;IF(TRUE,",",""))</f>
        <v/>
      </c>
    </row>
    <row r="1072">
      <c r="A1072" s="82">
        <f>IF(CriteriTecnici!$A971="","","    "&amp;CHAR(123)&amp;CHAR(34)&amp;"bidderId"&amp;CHAR(34)&amp;": "&amp;CHAR(34)&amp;SUBSTITUTE(CriteriTecnici!$A971,CHAR(34),"'")&amp;CHAR(34)&amp;", "&amp;CHAR(34)&amp;"lotId"&amp;CHAR(34)&amp;": "&amp;CHAR(34)&amp;SUBSTITUTE(CriteriTecnici!$C971,CHAR(34),"'")&amp;CHAR(34)&amp;", "&amp;CHAR(34)&amp;"criterionId"&amp;CHAR(34)&amp;": "&amp;CHAR(34)&amp;SUBSTITUTE(CriteriTecnici!$D971,CHAR(34),"'")&amp;CHAR(34)&amp;", "&amp;CHAR(34)&amp;"kind"&amp;CHAR(34)&amp;": "&amp;CHAR(34)&amp;SUBSTITUTE(CriteriTecnici!$F971,CHAR(34),"'")&amp;CHAR(34)&amp;", "&amp;CHAR(34)&amp;"value"&amp;CHAR(34)&amp;": "&amp;SUBSTITUTE(TRIM(ROUND(IFERROR(CriteriTecnici!$N971*1,IFERROR(NUMBERVALUE(CriteriTecnici!$N971,".",","),IFERROR(NUMBERVALUE(CriteriTecnici!$N971,",","."),0))),4)&amp;""),",",".")&amp;", "&amp;CHAR(34)&amp;"numerator"&amp;CHAR(34)&amp;": "&amp;SUBSTITUTE(TRIM(ROUND(IFERROR(CriteriTecnici!$K971*1,IFERROR(NUMBERVALUE(CriteriTecnici!$K971,".",","),IFERROR(NUMBERVALUE(CriteriTecnici!$K971,",","."),0))),4)&amp;""),",",".")&amp;", "&amp;CHAR(34)&amp;"denominator"&amp;CHAR(34)&amp;": "&amp;SUBSTITUTE(TRIM(ROUND(IFERROR(CriteriTecnici!$L971*1,IFERROR(NUMBERVALUE(CriteriTecnici!$L971,".",","),IFERROR(NUMBERVALUE(CriteriTecnici!$L971,",","."),0))),4)&amp;""),",",".")&amp;", "&amp;CHAR(34)&amp;"flag"&amp;CHAR(34)&amp;": "&amp;SUBSTITUTE(TRIM(ROUND(IFERROR(CriteriTecnici!$M971*1,IFERROR(NUMBERVALUE(CriteriTecnici!$M971,".",","),IFERROR(NUMBERVALUE(CriteriTecnici!$M971,",","."),0))),4)&amp;""),",",".")&amp;", "&amp;CHAR(34)&amp;"rawScore"&amp;CHAR(34)&amp;": "&amp;SUBSTITUTE(TRIM(ROUND(IFERROR(CriteriTecnici!$O971*1,IFERROR(NUMBERVALUE(CriteriTecnici!$O971,".",","),IFERROR(NUMBERVALUE(CriteriTecnici!$O971,",","."),0))),4)&amp;""),",",".")&amp;CHAR(125)&amp;IF(TRUE,",",""))</f>
        <v/>
      </c>
    </row>
    <row r="1073">
      <c r="A1073" s="82">
        <f>IF(CriteriTecnici!$A972="","","    "&amp;CHAR(123)&amp;CHAR(34)&amp;"bidderId"&amp;CHAR(34)&amp;": "&amp;CHAR(34)&amp;SUBSTITUTE(CriteriTecnici!$A972,CHAR(34),"'")&amp;CHAR(34)&amp;", "&amp;CHAR(34)&amp;"lotId"&amp;CHAR(34)&amp;": "&amp;CHAR(34)&amp;SUBSTITUTE(CriteriTecnici!$C972,CHAR(34),"'")&amp;CHAR(34)&amp;", "&amp;CHAR(34)&amp;"criterionId"&amp;CHAR(34)&amp;": "&amp;CHAR(34)&amp;SUBSTITUTE(CriteriTecnici!$D972,CHAR(34),"'")&amp;CHAR(34)&amp;", "&amp;CHAR(34)&amp;"kind"&amp;CHAR(34)&amp;": "&amp;CHAR(34)&amp;SUBSTITUTE(CriteriTecnici!$F972,CHAR(34),"'")&amp;CHAR(34)&amp;", "&amp;CHAR(34)&amp;"value"&amp;CHAR(34)&amp;": "&amp;SUBSTITUTE(TRIM(ROUND(IFERROR(CriteriTecnici!$N972*1,IFERROR(NUMBERVALUE(CriteriTecnici!$N972,".",","),IFERROR(NUMBERVALUE(CriteriTecnici!$N972,",","."),0))),4)&amp;""),",",".")&amp;", "&amp;CHAR(34)&amp;"numerator"&amp;CHAR(34)&amp;": "&amp;SUBSTITUTE(TRIM(ROUND(IFERROR(CriteriTecnici!$K972*1,IFERROR(NUMBERVALUE(CriteriTecnici!$K972,".",","),IFERROR(NUMBERVALUE(CriteriTecnici!$K972,",","."),0))),4)&amp;""),",",".")&amp;", "&amp;CHAR(34)&amp;"denominator"&amp;CHAR(34)&amp;": "&amp;SUBSTITUTE(TRIM(ROUND(IFERROR(CriteriTecnici!$L972*1,IFERROR(NUMBERVALUE(CriteriTecnici!$L972,".",","),IFERROR(NUMBERVALUE(CriteriTecnici!$L972,",","."),0))),4)&amp;""),",",".")&amp;", "&amp;CHAR(34)&amp;"flag"&amp;CHAR(34)&amp;": "&amp;SUBSTITUTE(TRIM(ROUND(IFERROR(CriteriTecnici!$M972*1,IFERROR(NUMBERVALUE(CriteriTecnici!$M972,".",","),IFERROR(NUMBERVALUE(CriteriTecnici!$M972,",","."),0))),4)&amp;""),",",".")&amp;", "&amp;CHAR(34)&amp;"rawScore"&amp;CHAR(34)&amp;": "&amp;SUBSTITUTE(TRIM(ROUND(IFERROR(CriteriTecnici!$O972*1,IFERROR(NUMBERVALUE(CriteriTecnici!$O972,".",","),IFERROR(NUMBERVALUE(CriteriTecnici!$O972,",","."),0))),4)&amp;""),",",".")&amp;CHAR(125)&amp;IF(TRUE,",",""))</f>
        <v/>
      </c>
    </row>
    <row r="1074">
      <c r="A1074" s="82">
        <f>IF(CriteriTecnici!$A973="","","    "&amp;CHAR(123)&amp;CHAR(34)&amp;"bidderId"&amp;CHAR(34)&amp;": "&amp;CHAR(34)&amp;SUBSTITUTE(CriteriTecnici!$A973,CHAR(34),"'")&amp;CHAR(34)&amp;", "&amp;CHAR(34)&amp;"lotId"&amp;CHAR(34)&amp;": "&amp;CHAR(34)&amp;SUBSTITUTE(CriteriTecnici!$C973,CHAR(34),"'")&amp;CHAR(34)&amp;", "&amp;CHAR(34)&amp;"criterionId"&amp;CHAR(34)&amp;": "&amp;CHAR(34)&amp;SUBSTITUTE(CriteriTecnici!$D973,CHAR(34),"'")&amp;CHAR(34)&amp;", "&amp;CHAR(34)&amp;"kind"&amp;CHAR(34)&amp;": "&amp;CHAR(34)&amp;SUBSTITUTE(CriteriTecnici!$F973,CHAR(34),"'")&amp;CHAR(34)&amp;", "&amp;CHAR(34)&amp;"value"&amp;CHAR(34)&amp;": "&amp;SUBSTITUTE(TRIM(ROUND(IFERROR(CriteriTecnici!$N973*1,IFERROR(NUMBERVALUE(CriteriTecnici!$N973,".",","),IFERROR(NUMBERVALUE(CriteriTecnici!$N973,",","."),0))),4)&amp;""),",",".")&amp;", "&amp;CHAR(34)&amp;"numerator"&amp;CHAR(34)&amp;": "&amp;SUBSTITUTE(TRIM(ROUND(IFERROR(CriteriTecnici!$K973*1,IFERROR(NUMBERVALUE(CriteriTecnici!$K973,".",","),IFERROR(NUMBERVALUE(CriteriTecnici!$K973,",","."),0))),4)&amp;""),",",".")&amp;", "&amp;CHAR(34)&amp;"denominator"&amp;CHAR(34)&amp;": "&amp;SUBSTITUTE(TRIM(ROUND(IFERROR(CriteriTecnici!$L973*1,IFERROR(NUMBERVALUE(CriteriTecnici!$L973,".",","),IFERROR(NUMBERVALUE(CriteriTecnici!$L973,",","."),0))),4)&amp;""),",",".")&amp;", "&amp;CHAR(34)&amp;"flag"&amp;CHAR(34)&amp;": "&amp;SUBSTITUTE(TRIM(ROUND(IFERROR(CriteriTecnici!$M973*1,IFERROR(NUMBERVALUE(CriteriTecnici!$M973,".",","),IFERROR(NUMBERVALUE(CriteriTecnici!$M973,",","."),0))),4)&amp;""),",",".")&amp;", "&amp;CHAR(34)&amp;"rawScore"&amp;CHAR(34)&amp;": "&amp;SUBSTITUTE(TRIM(ROUND(IFERROR(CriteriTecnici!$O973*1,IFERROR(NUMBERVALUE(CriteriTecnici!$O973,".",","),IFERROR(NUMBERVALUE(CriteriTecnici!$O973,",","."),0))),4)&amp;""),",",".")&amp;CHAR(125)&amp;IF(TRUE,",",""))</f>
        <v/>
      </c>
    </row>
    <row r="1075">
      <c r="A1075" s="82">
        <f>IF(CriteriTecnici!$A974="","","    "&amp;CHAR(123)&amp;CHAR(34)&amp;"bidderId"&amp;CHAR(34)&amp;": "&amp;CHAR(34)&amp;SUBSTITUTE(CriteriTecnici!$A974,CHAR(34),"'")&amp;CHAR(34)&amp;", "&amp;CHAR(34)&amp;"lotId"&amp;CHAR(34)&amp;": "&amp;CHAR(34)&amp;SUBSTITUTE(CriteriTecnici!$C974,CHAR(34),"'")&amp;CHAR(34)&amp;", "&amp;CHAR(34)&amp;"criterionId"&amp;CHAR(34)&amp;": "&amp;CHAR(34)&amp;SUBSTITUTE(CriteriTecnici!$D974,CHAR(34),"'")&amp;CHAR(34)&amp;", "&amp;CHAR(34)&amp;"kind"&amp;CHAR(34)&amp;": "&amp;CHAR(34)&amp;SUBSTITUTE(CriteriTecnici!$F974,CHAR(34),"'")&amp;CHAR(34)&amp;", "&amp;CHAR(34)&amp;"value"&amp;CHAR(34)&amp;": "&amp;SUBSTITUTE(TRIM(ROUND(IFERROR(CriteriTecnici!$N974*1,IFERROR(NUMBERVALUE(CriteriTecnici!$N974,".",","),IFERROR(NUMBERVALUE(CriteriTecnici!$N974,",","."),0))),4)&amp;""),",",".")&amp;", "&amp;CHAR(34)&amp;"numerator"&amp;CHAR(34)&amp;": "&amp;SUBSTITUTE(TRIM(ROUND(IFERROR(CriteriTecnici!$K974*1,IFERROR(NUMBERVALUE(CriteriTecnici!$K974,".",","),IFERROR(NUMBERVALUE(CriteriTecnici!$K974,",","."),0))),4)&amp;""),",",".")&amp;", "&amp;CHAR(34)&amp;"denominator"&amp;CHAR(34)&amp;": "&amp;SUBSTITUTE(TRIM(ROUND(IFERROR(CriteriTecnici!$L974*1,IFERROR(NUMBERVALUE(CriteriTecnici!$L974,".",","),IFERROR(NUMBERVALUE(CriteriTecnici!$L974,",","."),0))),4)&amp;""),",",".")&amp;", "&amp;CHAR(34)&amp;"flag"&amp;CHAR(34)&amp;": "&amp;SUBSTITUTE(TRIM(ROUND(IFERROR(CriteriTecnici!$M974*1,IFERROR(NUMBERVALUE(CriteriTecnici!$M974,".",","),IFERROR(NUMBERVALUE(CriteriTecnici!$M974,",","."),0))),4)&amp;""),",",".")&amp;", "&amp;CHAR(34)&amp;"rawScore"&amp;CHAR(34)&amp;": "&amp;SUBSTITUTE(TRIM(ROUND(IFERROR(CriteriTecnici!$O974*1,IFERROR(NUMBERVALUE(CriteriTecnici!$O974,".",","),IFERROR(NUMBERVALUE(CriteriTecnici!$O974,",","."),0))),4)&amp;""),",",".")&amp;CHAR(125)&amp;IF(TRUE,",",""))</f>
        <v/>
      </c>
    </row>
    <row r="1076">
      <c r="A1076" s="82">
        <f>IF(CriteriTecnici!$A975="","","    "&amp;CHAR(123)&amp;CHAR(34)&amp;"bidderId"&amp;CHAR(34)&amp;": "&amp;CHAR(34)&amp;SUBSTITUTE(CriteriTecnici!$A975,CHAR(34),"'")&amp;CHAR(34)&amp;", "&amp;CHAR(34)&amp;"lotId"&amp;CHAR(34)&amp;": "&amp;CHAR(34)&amp;SUBSTITUTE(CriteriTecnici!$C975,CHAR(34),"'")&amp;CHAR(34)&amp;", "&amp;CHAR(34)&amp;"criterionId"&amp;CHAR(34)&amp;": "&amp;CHAR(34)&amp;SUBSTITUTE(CriteriTecnici!$D975,CHAR(34),"'")&amp;CHAR(34)&amp;", "&amp;CHAR(34)&amp;"kind"&amp;CHAR(34)&amp;": "&amp;CHAR(34)&amp;SUBSTITUTE(CriteriTecnici!$F975,CHAR(34),"'")&amp;CHAR(34)&amp;", "&amp;CHAR(34)&amp;"value"&amp;CHAR(34)&amp;": "&amp;SUBSTITUTE(TRIM(ROUND(IFERROR(CriteriTecnici!$N975*1,IFERROR(NUMBERVALUE(CriteriTecnici!$N975,".",","),IFERROR(NUMBERVALUE(CriteriTecnici!$N975,",","."),0))),4)&amp;""),",",".")&amp;", "&amp;CHAR(34)&amp;"numerator"&amp;CHAR(34)&amp;": "&amp;SUBSTITUTE(TRIM(ROUND(IFERROR(CriteriTecnici!$K975*1,IFERROR(NUMBERVALUE(CriteriTecnici!$K975,".",","),IFERROR(NUMBERVALUE(CriteriTecnici!$K975,",","."),0))),4)&amp;""),",",".")&amp;", "&amp;CHAR(34)&amp;"denominator"&amp;CHAR(34)&amp;": "&amp;SUBSTITUTE(TRIM(ROUND(IFERROR(CriteriTecnici!$L975*1,IFERROR(NUMBERVALUE(CriteriTecnici!$L975,".",","),IFERROR(NUMBERVALUE(CriteriTecnici!$L975,",","."),0))),4)&amp;""),",",".")&amp;", "&amp;CHAR(34)&amp;"flag"&amp;CHAR(34)&amp;": "&amp;SUBSTITUTE(TRIM(ROUND(IFERROR(CriteriTecnici!$M975*1,IFERROR(NUMBERVALUE(CriteriTecnici!$M975,".",","),IFERROR(NUMBERVALUE(CriteriTecnici!$M975,",","."),0))),4)&amp;""),",",".")&amp;", "&amp;CHAR(34)&amp;"rawScore"&amp;CHAR(34)&amp;": "&amp;SUBSTITUTE(TRIM(ROUND(IFERROR(CriteriTecnici!$O975*1,IFERROR(NUMBERVALUE(CriteriTecnici!$O975,".",","),IFERROR(NUMBERVALUE(CriteriTecnici!$O975,",","."),0))),4)&amp;""),",",".")&amp;CHAR(125)&amp;IF(TRUE,",",""))</f>
        <v/>
      </c>
    </row>
    <row r="1077">
      <c r="A1077" s="82">
        <f>IF(CriteriTecnici!$A976="","","    "&amp;CHAR(123)&amp;CHAR(34)&amp;"bidderId"&amp;CHAR(34)&amp;": "&amp;CHAR(34)&amp;SUBSTITUTE(CriteriTecnici!$A976,CHAR(34),"'")&amp;CHAR(34)&amp;", "&amp;CHAR(34)&amp;"lotId"&amp;CHAR(34)&amp;": "&amp;CHAR(34)&amp;SUBSTITUTE(CriteriTecnici!$C976,CHAR(34),"'")&amp;CHAR(34)&amp;", "&amp;CHAR(34)&amp;"criterionId"&amp;CHAR(34)&amp;": "&amp;CHAR(34)&amp;SUBSTITUTE(CriteriTecnici!$D976,CHAR(34),"'")&amp;CHAR(34)&amp;", "&amp;CHAR(34)&amp;"kind"&amp;CHAR(34)&amp;": "&amp;CHAR(34)&amp;SUBSTITUTE(CriteriTecnici!$F976,CHAR(34),"'")&amp;CHAR(34)&amp;", "&amp;CHAR(34)&amp;"value"&amp;CHAR(34)&amp;": "&amp;SUBSTITUTE(TRIM(ROUND(IFERROR(CriteriTecnici!$N976*1,IFERROR(NUMBERVALUE(CriteriTecnici!$N976,".",","),IFERROR(NUMBERVALUE(CriteriTecnici!$N976,",","."),0))),4)&amp;""),",",".")&amp;", "&amp;CHAR(34)&amp;"numerator"&amp;CHAR(34)&amp;": "&amp;SUBSTITUTE(TRIM(ROUND(IFERROR(CriteriTecnici!$K976*1,IFERROR(NUMBERVALUE(CriteriTecnici!$K976,".",","),IFERROR(NUMBERVALUE(CriteriTecnici!$K976,",","."),0))),4)&amp;""),",",".")&amp;", "&amp;CHAR(34)&amp;"denominator"&amp;CHAR(34)&amp;": "&amp;SUBSTITUTE(TRIM(ROUND(IFERROR(CriteriTecnici!$L976*1,IFERROR(NUMBERVALUE(CriteriTecnici!$L976,".",","),IFERROR(NUMBERVALUE(CriteriTecnici!$L976,",","."),0))),4)&amp;""),",",".")&amp;", "&amp;CHAR(34)&amp;"flag"&amp;CHAR(34)&amp;": "&amp;SUBSTITUTE(TRIM(ROUND(IFERROR(CriteriTecnici!$M976*1,IFERROR(NUMBERVALUE(CriteriTecnici!$M976,".",","),IFERROR(NUMBERVALUE(CriteriTecnici!$M976,",","."),0))),4)&amp;""),",",".")&amp;", "&amp;CHAR(34)&amp;"rawScore"&amp;CHAR(34)&amp;": "&amp;SUBSTITUTE(TRIM(ROUND(IFERROR(CriteriTecnici!$O976*1,IFERROR(NUMBERVALUE(CriteriTecnici!$O976,".",","),IFERROR(NUMBERVALUE(CriteriTecnici!$O976,",","."),0))),4)&amp;""),",",".")&amp;CHAR(125)&amp;IF(TRUE,",",""))</f>
        <v/>
      </c>
    </row>
    <row r="1078">
      <c r="A1078" s="82">
        <f>IF(CriteriTecnici!$A977="","","    "&amp;CHAR(123)&amp;CHAR(34)&amp;"bidderId"&amp;CHAR(34)&amp;": "&amp;CHAR(34)&amp;SUBSTITUTE(CriteriTecnici!$A977,CHAR(34),"'")&amp;CHAR(34)&amp;", "&amp;CHAR(34)&amp;"lotId"&amp;CHAR(34)&amp;": "&amp;CHAR(34)&amp;SUBSTITUTE(CriteriTecnici!$C977,CHAR(34),"'")&amp;CHAR(34)&amp;", "&amp;CHAR(34)&amp;"criterionId"&amp;CHAR(34)&amp;": "&amp;CHAR(34)&amp;SUBSTITUTE(CriteriTecnici!$D977,CHAR(34),"'")&amp;CHAR(34)&amp;", "&amp;CHAR(34)&amp;"kind"&amp;CHAR(34)&amp;": "&amp;CHAR(34)&amp;SUBSTITUTE(CriteriTecnici!$F977,CHAR(34),"'")&amp;CHAR(34)&amp;", "&amp;CHAR(34)&amp;"value"&amp;CHAR(34)&amp;": "&amp;SUBSTITUTE(TRIM(ROUND(IFERROR(CriteriTecnici!$N977*1,IFERROR(NUMBERVALUE(CriteriTecnici!$N977,".",","),IFERROR(NUMBERVALUE(CriteriTecnici!$N977,",","."),0))),4)&amp;""),",",".")&amp;", "&amp;CHAR(34)&amp;"numerator"&amp;CHAR(34)&amp;": "&amp;SUBSTITUTE(TRIM(ROUND(IFERROR(CriteriTecnici!$K977*1,IFERROR(NUMBERVALUE(CriteriTecnici!$K977,".",","),IFERROR(NUMBERVALUE(CriteriTecnici!$K977,",","."),0))),4)&amp;""),",",".")&amp;", "&amp;CHAR(34)&amp;"denominator"&amp;CHAR(34)&amp;": "&amp;SUBSTITUTE(TRIM(ROUND(IFERROR(CriteriTecnici!$L977*1,IFERROR(NUMBERVALUE(CriteriTecnici!$L977,".",","),IFERROR(NUMBERVALUE(CriteriTecnici!$L977,",","."),0))),4)&amp;""),",",".")&amp;", "&amp;CHAR(34)&amp;"flag"&amp;CHAR(34)&amp;": "&amp;SUBSTITUTE(TRIM(ROUND(IFERROR(CriteriTecnici!$M977*1,IFERROR(NUMBERVALUE(CriteriTecnici!$M977,".",","),IFERROR(NUMBERVALUE(CriteriTecnici!$M977,",","."),0))),4)&amp;""),",",".")&amp;", "&amp;CHAR(34)&amp;"rawScore"&amp;CHAR(34)&amp;": "&amp;SUBSTITUTE(TRIM(ROUND(IFERROR(CriteriTecnici!$O977*1,IFERROR(NUMBERVALUE(CriteriTecnici!$O977,".",","),IFERROR(NUMBERVALUE(CriteriTecnici!$O977,",","."),0))),4)&amp;""),",",".")&amp;CHAR(125)&amp;IF(TRUE,",",""))</f>
        <v/>
      </c>
    </row>
    <row r="1079">
      <c r="A1079" s="82">
        <f>IF(CriteriTecnici!$A978="","","    "&amp;CHAR(123)&amp;CHAR(34)&amp;"bidderId"&amp;CHAR(34)&amp;": "&amp;CHAR(34)&amp;SUBSTITUTE(CriteriTecnici!$A978,CHAR(34),"'")&amp;CHAR(34)&amp;", "&amp;CHAR(34)&amp;"lotId"&amp;CHAR(34)&amp;": "&amp;CHAR(34)&amp;SUBSTITUTE(CriteriTecnici!$C978,CHAR(34),"'")&amp;CHAR(34)&amp;", "&amp;CHAR(34)&amp;"criterionId"&amp;CHAR(34)&amp;": "&amp;CHAR(34)&amp;SUBSTITUTE(CriteriTecnici!$D978,CHAR(34),"'")&amp;CHAR(34)&amp;", "&amp;CHAR(34)&amp;"kind"&amp;CHAR(34)&amp;": "&amp;CHAR(34)&amp;SUBSTITUTE(CriteriTecnici!$F978,CHAR(34),"'")&amp;CHAR(34)&amp;", "&amp;CHAR(34)&amp;"value"&amp;CHAR(34)&amp;": "&amp;SUBSTITUTE(TRIM(ROUND(IFERROR(CriteriTecnici!$N978*1,IFERROR(NUMBERVALUE(CriteriTecnici!$N978,".",","),IFERROR(NUMBERVALUE(CriteriTecnici!$N978,",","."),0))),4)&amp;""),",",".")&amp;", "&amp;CHAR(34)&amp;"numerator"&amp;CHAR(34)&amp;": "&amp;SUBSTITUTE(TRIM(ROUND(IFERROR(CriteriTecnici!$K978*1,IFERROR(NUMBERVALUE(CriteriTecnici!$K978,".",","),IFERROR(NUMBERVALUE(CriteriTecnici!$K978,",","."),0))),4)&amp;""),",",".")&amp;", "&amp;CHAR(34)&amp;"denominator"&amp;CHAR(34)&amp;": "&amp;SUBSTITUTE(TRIM(ROUND(IFERROR(CriteriTecnici!$L978*1,IFERROR(NUMBERVALUE(CriteriTecnici!$L978,".",","),IFERROR(NUMBERVALUE(CriteriTecnici!$L978,",","."),0))),4)&amp;""),",",".")&amp;", "&amp;CHAR(34)&amp;"flag"&amp;CHAR(34)&amp;": "&amp;SUBSTITUTE(TRIM(ROUND(IFERROR(CriteriTecnici!$M978*1,IFERROR(NUMBERVALUE(CriteriTecnici!$M978,".",","),IFERROR(NUMBERVALUE(CriteriTecnici!$M978,",","."),0))),4)&amp;""),",",".")&amp;", "&amp;CHAR(34)&amp;"rawScore"&amp;CHAR(34)&amp;": "&amp;SUBSTITUTE(TRIM(ROUND(IFERROR(CriteriTecnici!$O978*1,IFERROR(NUMBERVALUE(CriteriTecnici!$O978,".",","),IFERROR(NUMBERVALUE(CriteriTecnici!$O978,",","."),0))),4)&amp;""),",",".")&amp;CHAR(125)&amp;IF(TRUE,",",""))</f>
        <v/>
      </c>
    </row>
    <row r="1080">
      <c r="A1080" s="82">
        <f>IF(CriteriTecnici!$A979="","","    "&amp;CHAR(123)&amp;CHAR(34)&amp;"bidderId"&amp;CHAR(34)&amp;": "&amp;CHAR(34)&amp;SUBSTITUTE(CriteriTecnici!$A979,CHAR(34),"'")&amp;CHAR(34)&amp;", "&amp;CHAR(34)&amp;"lotId"&amp;CHAR(34)&amp;": "&amp;CHAR(34)&amp;SUBSTITUTE(CriteriTecnici!$C979,CHAR(34),"'")&amp;CHAR(34)&amp;", "&amp;CHAR(34)&amp;"criterionId"&amp;CHAR(34)&amp;": "&amp;CHAR(34)&amp;SUBSTITUTE(CriteriTecnici!$D979,CHAR(34),"'")&amp;CHAR(34)&amp;", "&amp;CHAR(34)&amp;"kind"&amp;CHAR(34)&amp;": "&amp;CHAR(34)&amp;SUBSTITUTE(CriteriTecnici!$F979,CHAR(34),"'")&amp;CHAR(34)&amp;", "&amp;CHAR(34)&amp;"value"&amp;CHAR(34)&amp;": "&amp;SUBSTITUTE(TRIM(ROUND(IFERROR(CriteriTecnici!$N979*1,IFERROR(NUMBERVALUE(CriteriTecnici!$N979,".",","),IFERROR(NUMBERVALUE(CriteriTecnici!$N979,",","."),0))),4)&amp;""),",",".")&amp;", "&amp;CHAR(34)&amp;"numerator"&amp;CHAR(34)&amp;": "&amp;SUBSTITUTE(TRIM(ROUND(IFERROR(CriteriTecnici!$K979*1,IFERROR(NUMBERVALUE(CriteriTecnici!$K979,".",","),IFERROR(NUMBERVALUE(CriteriTecnici!$K979,",","."),0))),4)&amp;""),",",".")&amp;", "&amp;CHAR(34)&amp;"denominator"&amp;CHAR(34)&amp;": "&amp;SUBSTITUTE(TRIM(ROUND(IFERROR(CriteriTecnici!$L979*1,IFERROR(NUMBERVALUE(CriteriTecnici!$L979,".",","),IFERROR(NUMBERVALUE(CriteriTecnici!$L979,",","."),0))),4)&amp;""),",",".")&amp;", "&amp;CHAR(34)&amp;"flag"&amp;CHAR(34)&amp;": "&amp;SUBSTITUTE(TRIM(ROUND(IFERROR(CriteriTecnici!$M979*1,IFERROR(NUMBERVALUE(CriteriTecnici!$M979,".",","),IFERROR(NUMBERVALUE(CriteriTecnici!$M979,",","."),0))),4)&amp;""),",",".")&amp;", "&amp;CHAR(34)&amp;"rawScore"&amp;CHAR(34)&amp;": "&amp;SUBSTITUTE(TRIM(ROUND(IFERROR(CriteriTecnici!$O979*1,IFERROR(NUMBERVALUE(CriteriTecnici!$O979,".",","),IFERROR(NUMBERVALUE(CriteriTecnici!$O979,",","."),0))),4)&amp;""),",",".")&amp;CHAR(125)&amp;IF(TRUE,",",""))</f>
        <v/>
      </c>
    </row>
    <row r="1081">
      <c r="A1081" s="82">
        <f>IF(CriteriTecnici!$A980="","","    "&amp;CHAR(123)&amp;CHAR(34)&amp;"bidderId"&amp;CHAR(34)&amp;": "&amp;CHAR(34)&amp;SUBSTITUTE(CriteriTecnici!$A980,CHAR(34),"'")&amp;CHAR(34)&amp;", "&amp;CHAR(34)&amp;"lotId"&amp;CHAR(34)&amp;": "&amp;CHAR(34)&amp;SUBSTITUTE(CriteriTecnici!$C980,CHAR(34),"'")&amp;CHAR(34)&amp;", "&amp;CHAR(34)&amp;"criterionId"&amp;CHAR(34)&amp;": "&amp;CHAR(34)&amp;SUBSTITUTE(CriteriTecnici!$D980,CHAR(34),"'")&amp;CHAR(34)&amp;", "&amp;CHAR(34)&amp;"kind"&amp;CHAR(34)&amp;": "&amp;CHAR(34)&amp;SUBSTITUTE(CriteriTecnici!$F980,CHAR(34),"'")&amp;CHAR(34)&amp;", "&amp;CHAR(34)&amp;"value"&amp;CHAR(34)&amp;": "&amp;SUBSTITUTE(TRIM(ROUND(IFERROR(CriteriTecnici!$N980*1,IFERROR(NUMBERVALUE(CriteriTecnici!$N980,".",","),IFERROR(NUMBERVALUE(CriteriTecnici!$N980,",","."),0))),4)&amp;""),",",".")&amp;", "&amp;CHAR(34)&amp;"numerator"&amp;CHAR(34)&amp;": "&amp;SUBSTITUTE(TRIM(ROUND(IFERROR(CriteriTecnici!$K980*1,IFERROR(NUMBERVALUE(CriteriTecnici!$K980,".",","),IFERROR(NUMBERVALUE(CriteriTecnici!$K980,",","."),0))),4)&amp;""),",",".")&amp;", "&amp;CHAR(34)&amp;"denominator"&amp;CHAR(34)&amp;": "&amp;SUBSTITUTE(TRIM(ROUND(IFERROR(CriteriTecnici!$L980*1,IFERROR(NUMBERVALUE(CriteriTecnici!$L980,".",","),IFERROR(NUMBERVALUE(CriteriTecnici!$L980,",","."),0))),4)&amp;""),",",".")&amp;", "&amp;CHAR(34)&amp;"flag"&amp;CHAR(34)&amp;": "&amp;SUBSTITUTE(TRIM(ROUND(IFERROR(CriteriTecnici!$M980*1,IFERROR(NUMBERVALUE(CriteriTecnici!$M980,".",","),IFERROR(NUMBERVALUE(CriteriTecnici!$M980,",","."),0))),4)&amp;""),",",".")&amp;", "&amp;CHAR(34)&amp;"rawScore"&amp;CHAR(34)&amp;": "&amp;SUBSTITUTE(TRIM(ROUND(IFERROR(CriteriTecnici!$O980*1,IFERROR(NUMBERVALUE(CriteriTecnici!$O980,".",","),IFERROR(NUMBERVALUE(CriteriTecnici!$O980,",","."),0))),4)&amp;""),",",".")&amp;CHAR(125)&amp;IF(TRUE,",",""))</f>
        <v/>
      </c>
    </row>
    <row r="1082">
      <c r="A1082" s="82">
        <f>IF(CriteriTecnici!$A981="","","    "&amp;CHAR(123)&amp;CHAR(34)&amp;"bidderId"&amp;CHAR(34)&amp;": "&amp;CHAR(34)&amp;SUBSTITUTE(CriteriTecnici!$A981,CHAR(34),"'")&amp;CHAR(34)&amp;", "&amp;CHAR(34)&amp;"lotId"&amp;CHAR(34)&amp;": "&amp;CHAR(34)&amp;SUBSTITUTE(CriteriTecnici!$C981,CHAR(34),"'")&amp;CHAR(34)&amp;", "&amp;CHAR(34)&amp;"criterionId"&amp;CHAR(34)&amp;": "&amp;CHAR(34)&amp;SUBSTITUTE(CriteriTecnici!$D981,CHAR(34),"'")&amp;CHAR(34)&amp;", "&amp;CHAR(34)&amp;"kind"&amp;CHAR(34)&amp;": "&amp;CHAR(34)&amp;SUBSTITUTE(CriteriTecnici!$F981,CHAR(34),"'")&amp;CHAR(34)&amp;", "&amp;CHAR(34)&amp;"value"&amp;CHAR(34)&amp;": "&amp;SUBSTITUTE(TRIM(ROUND(IFERROR(CriteriTecnici!$N981*1,IFERROR(NUMBERVALUE(CriteriTecnici!$N981,".",","),IFERROR(NUMBERVALUE(CriteriTecnici!$N981,",","."),0))),4)&amp;""),",",".")&amp;", "&amp;CHAR(34)&amp;"numerator"&amp;CHAR(34)&amp;": "&amp;SUBSTITUTE(TRIM(ROUND(IFERROR(CriteriTecnici!$K981*1,IFERROR(NUMBERVALUE(CriteriTecnici!$K981,".",","),IFERROR(NUMBERVALUE(CriteriTecnici!$K981,",","."),0))),4)&amp;""),",",".")&amp;", "&amp;CHAR(34)&amp;"denominator"&amp;CHAR(34)&amp;": "&amp;SUBSTITUTE(TRIM(ROUND(IFERROR(CriteriTecnici!$L981*1,IFERROR(NUMBERVALUE(CriteriTecnici!$L981,".",","),IFERROR(NUMBERVALUE(CriteriTecnici!$L981,",","."),0))),4)&amp;""),",",".")&amp;", "&amp;CHAR(34)&amp;"flag"&amp;CHAR(34)&amp;": "&amp;SUBSTITUTE(TRIM(ROUND(IFERROR(CriteriTecnici!$M981*1,IFERROR(NUMBERVALUE(CriteriTecnici!$M981,".",","),IFERROR(NUMBERVALUE(CriteriTecnici!$M981,",","."),0))),4)&amp;""),",",".")&amp;", "&amp;CHAR(34)&amp;"rawScore"&amp;CHAR(34)&amp;": "&amp;SUBSTITUTE(TRIM(ROUND(IFERROR(CriteriTecnici!$O981*1,IFERROR(NUMBERVALUE(CriteriTecnici!$O981,".",","),IFERROR(NUMBERVALUE(CriteriTecnici!$O981,",","."),0))),4)&amp;""),",",".")&amp;CHAR(125)&amp;IF(TRUE,",",""))</f>
        <v/>
      </c>
    </row>
    <row r="1083">
      <c r="A1083" s="82">
        <f>IF(CriteriTecnici!$A982="","","    "&amp;CHAR(123)&amp;CHAR(34)&amp;"bidderId"&amp;CHAR(34)&amp;": "&amp;CHAR(34)&amp;SUBSTITUTE(CriteriTecnici!$A982,CHAR(34),"'")&amp;CHAR(34)&amp;", "&amp;CHAR(34)&amp;"lotId"&amp;CHAR(34)&amp;": "&amp;CHAR(34)&amp;SUBSTITUTE(CriteriTecnici!$C982,CHAR(34),"'")&amp;CHAR(34)&amp;", "&amp;CHAR(34)&amp;"criterionId"&amp;CHAR(34)&amp;": "&amp;CHAR(34)&amp;SUBSTITUTE(CriteriTecnici!$D982,CHAR(34),"'")&amp;CHAR(34)&amp;", "&amp;CHAR(34)&amp;"kind"&amp;CHAR(34)&amp;": "&amp;CHAR(34)&amp;SUBSTITUTE(CriteriTecnici!$F982,CHAR(34),"'")&amp;CHAR(34)&amp;", "&amp;CHAR(34)&amp;"value"&amp;CHAR(34)&amp;": "&amp;SUBSTITUTE(TRIM(ROUND(IFERROR(CriteriTecnici!$N982*1,IFERROR(NUMBERVALUE(CriteriTecnici!$N982,".",","),IFERROR(NUMBERVALUE(CriteriTecnici!$N982,",","."),0))),4)&amp;""),",",".")&amp;", "&amp;CHAR(34)&amp;"numerator"&amp;CHAR(34)&amp;": "&amp;SUBSTITUTE(TRIM(ROUND(IFERROR(CriteriTecnici!$K982*1,IFERROR(NUMBERVALUE(CriteriTecnici!$K982,".",","),IFERROR(NUMBERVALUE(CriteriTecnici!$K982,",","."),0))),4)&amp;""),",",".")&amp;", "&amp;CHAR(34)&amp;"denominator"&amp;CHAR(34)&amp;": "&amp;SUBSTITUTE(TRIM(ROUND(IFERROR(CriteriTecnici!$L982*1,IFERROR(NUMBERVALUE(CriteriTecnici!$L982,".",","),IFERROR(NUMBERVALUE(CriteriTecnici!$L982,",","."),0))),4)&amp;""),",",".")&amp;", "&amp;CHAR(34)&amp;"flag"&amp;CHAR(34)&amp;": "&amp;SUBSTITUTE(TRIM(ROUND(IFERROR(CriteriTecnici!$M982*1,IFERROR(NUMBERVALUE(CriteriTecnici!$M982,".",","),IFERROR(NUMBERVALUE(CriteriTecnici!$M982,",","."),0))),4)&amp;""),",",".")&amp;", "&amp;CHAR(34)&amp;"rawScore"&amp;CHAR(34)&amp;": "&amp;SUBSTITUTE(TRIM(ROUND(IFERROR(CriteriTecnici!$O982*1,IFERROR(NUMBERVALUE(CriteriTecnici!$O982,".",","),IFERROR(NUMBERVALUE(CriteriTecnici!$O982,",","."),0))),4)&amp;""),",",".")&amp;CHAR(125)&amp;IF(TRUE,",",""))</f>
        <v/>
      </c>
    </row>
    <row r="1084">
      <c r="A1084" s="82">
        <f>IF(CriteriTecnici!$A983="","","    "&amp;CHAR(123)&amp;CHAR(34)&amp;"bidderId"&amp;CHAR(34)&amp;": "&amp;CHAR(34)&amp;SUBSTITUTE(CriteriTecnici!$A983,CHAR(34),"'")&amp;CHAR(34)&amp;", "&amp;CHAR(34)&amp;"lotId"&amp;CHAR(34)&amp;": "&amp;CHAR(34)&amp;SUBSTITUTE(CriteriTecnici!$C983,CHAR(34),"'")&amp;CHAR(34)&amp;", "&amp;CHAR(34)&amp;"criterionId"&amp;CHAR(34)&amp;": "&amp;CHAR(34)&amp;SUBSTITUTE(CriteriTecnici!$D983,CHAR(34),"'")&amp;CHAR(34)&amp;", "&amp;CHAR(34)&amp;"kind"&amp;CHAR(34)&amp;": "&amp;CHAR(34)&amp;SUBSTITUTE(CriteriTecnici!$F983,CHAR(34),"'")&amp;CHAR(34)&amp;", "&amp;CHAR(34)&amp;"value"&amp;CHAR(34)&amp;": "&amp;SUBSTITUTE(TRIM(ROUND(IFERROR(CriteriTecnici!$N983*1,IFERROR(NUMBERVALUE(CriteriTecnici!$N983,".",","),IFERROR(NUMBERVALUE(CriteriTecnici!$N983,",","."),0))),4)&amp;""),",",".")&amp;", "&amp;CHAR(34)&amp;"numerator"&amp;CHAR(34)&amp;": "&amp;SUBSTITUTE(TRIM(ROUND(IFERROR(CriteriTecnici!$K983*1,IFERROR(NUMBERVALUE(CriteriTecnici!$K983,".",","),IFERROR(NUMBERVALUE(CriteriTecnici!$K983,",","."),0))),4)&amp;""),",",".")&amp;", "&amp;CHAR(34)&amp;"denominator"&amp;CHAR(34)&amp;": "&amp;SUBSTITUTE(TRIM(ROUND(IFERROR(CriteriTecnici!$L983*1,IFERROR(NUMBERVALUE(CriteriTecnici!$L983,".",","),IFERROR(NUMBERVALUE(CriteriTecnici!$L983,",","."),0))),4)&amp;""),",",".")&amp;", "&amp;CHAR(34)&amp;"flag"&amp;CHAR(34)&amp;": "&amp;SUBSTITUTE(TRIM(ROUND(IFERROR(CriteriTecnici!$M983*1,IFERROR(NUMBERVALUE(CriteriTecnici!$M983,".",","),IFERROR(NUMBERVALUE(CriteriTecnici!$M983,",","."),0))),4)&amp;""),",",".")&amp;", "&amp;CHAR(34)&amp;"rawScore"&amp;CHAR(34)&amp;": "&amp;SUBSTITUTE(TRIM(ROUND(IFERROR(CriteriTecnici!$O983*1,IFERROR(NUMBERVALUE(CriteriTecnici!$O983,".",","),IFERROR(NUMBERVALUE(CriteriTecnici!$O983,",","."),0))),4)&amp;""),",",".")&amp;CHAR(125)&amp;IF(TRUE,",",""))</f>
        <v/>
      </c>
    </row>
    <row r="1085">
      <c r="A1085" s="82">
        <f>IF(CriteriTecnici!$A984="","","    "&amp;CHAR(123)&amp;CHAR(34)&amp;"bidderId"&amp;CHAR(34)&amp;": "&amp;CHAR(34)&amp;SUBSTITUTE(CriteriTecnici!$A984,CHAR(34),"'")&amp;CHAR(34)&amp;", "&amp;CHAR(34)&amp;"lotId"&amp;CHAR(34)&amp;": "&amp;CHAR(34)&amp;SUBSTITUTE(CriteriTecnici!$C984,CHAR(34),"'")&amp;CHAR(34)&amp;", "&amp;CHAR(34)&amp;"criterionId"&amp;CHAR(34)&amp;": "&amp;CHAR(34)&amp;SUBSTITUTE(CriteriTecnici!$D984,CHAR(34),"'")&amp;CHAR(34)&amp;", "&amp;CHAR(34)&amp;"kind"&amp;CHAR(34)&amp;": "&amp;CHAR(34)&amp;SUBSTITUTE(CriteriTecnici!$F984,CHAR(34),"'")&amp;CHAR(34)&amp;", "&amp;CHAR(34)&amp;"value"&amp;CHAR(34)&amp;": "&amp;SUBSTITUTE(TRIM(ROUND(IFERROR(CriteriTecnici!$N984*1,IFERROR(NUMBERVALUE(CriteriTecnici!$N984,".",","),IFERROR(NUMBERVALUE(CriteriTecnici!$N984,",","."),0))),4)&amp;""),",",".")&amp;", "&amp;CHAR(34)&amp;"numerator"&amp;CHAR(34)&amp;": "&amp;SUBSTITUTE(TRIM(ROUND(IFERROR(CriteriTecnici!$K984*1,IFERROR(NUMBERVALUE(CriteriTecnici!$K984,".",","),IFERROR(NUMBERVALUE(CriteriTecnici!$K984,",","."),0))),4)&amp;""),",",".")&amp;", "&amp;CHAR(34)&amp;"denominator"&amp;CHAR(34)&amp;": "&amp;SUBSTITUTE(TRIM(ROUND(IFERROR(CriteriTecnici!$L984*1,IFERROR(NUMBERVALUE(CriteriTecnici!$L984,".",","),IFERROR(NUMBERVALUE(CriteriTecnici!$L984,",","."),0))),4)&amp;""),",",".")&amp;", "&amp;CHAR(34)&amp;"flag"&amp;CHAR(34)&amp;": "&amp;SUBSTITUTE(TRIM(ROUND(IFERROR(CriteriTecnici!$M984*1,IFERROR(NUMBERVALUE(CriteriTecnici!$M984,".",","),IFERROR(NUMBERVALUE(CriteriTecnici!$M984,",","."),0))),4)&amp;""),",",".")&amp;", "&amp;CHAR(34)&amp;"rawScore"&amp;CHAR(34)&amp;": "&amp;SUBSTITUTE(TRIM(ROUND(IFERROR(CriteriTecnici!$O984*1,IFERROR(NUMBERVALUE(CriteriTecnici!$O984,".",","),IFERROR(NUMBERVALUE(CriteriTecnici!$O984,",","."),0))),4)&amp;""),",",".")&amp;CHAR(125)&amp;IF(TRUE,",",""))</f>
        <v/>
      </c>
    </row>
    <row r="1086">
      <c r="A1086" s="82">
        <f>IF(CriteriTecnici!$A985="","","    "&amp;CHAR(123)&amp;CHAR(34)&amp;"bidderId"&amp;CHAR(34)&amp;": "&amp;CHAR(34)&amp;SUBSTITUTE(CriteriTecnici!$A985,CHAR(34),"'")&amp;CHAR(34)&amp;", "&amp;CHAR(34)&amp;"lotId"&amp;CHAR(34)&amp;": "&amp;CHAR(34)&amp;SUBSTITUTE(CriteriTecnici!$C985,CHAR(34),"'")&amp;CHAR(34)&amp;", "&amp;CHAR(34)&amp;"criterionId"&amp;CHAR(34)&amp;": "&amp;CHAR(34)&amp;SUBSTITUTE(CriteriTecnici!$D985,CHAR(34),"'")&amp;CHAR(34)&amp;", "&amp;CHAR(34)&amp;"kind"&amp;CHAR(34)&amp;": "&amp;CHAR(34)&amp;SUBSTITUTE(CriteriTecnici!$F985,CHAR(34),"'")&amp;CHAR(34)&amp;", "&amp;CHAR(34)&amp;"value"&amp;CHAR(34)&amp;": "&amp;SUBSTITUTE(TRIM(ROUND(IFERROR(CriteriTecnici!$N985*1,IFERROR(NUMBERVALUE(CriteriTecnici!$N985,".",","),IFERROR(NUMBERVALUE(CriteriTecnici!$N985,",","."),0))),4)&amp;""),",",".")&amp;", "&amp;CHAR(34)&amp;"numerator"&amp;CHAR(34)&amp;": "&amp;SUBSTITUTE(TRIM(ROUND(IFERROR(CriteriTecnici!$K985*1,IFERROR(NUMBERVALUE(CriteriTecnici!$K985,".",","),IFERROR(NUMBERVALUE(CriteriTecnici!$K985,",","."),0))),4)&amp;""),",",".")&amp;", "&amp;CHAR(34)&amp;"denominator"&amp;CHAR(34)&amp;": "&amp;SUBSTITUTE(TRIM(ROUND(IFERROR(CriteriTecnici!$L985*1,IFERROR(NUMBERVALUE(CriteriTecnici!$L985,".",","),IFERROR(NUMBERVALUE(CriteriTecnici!$L985,",","."),0))),4)&amp;""),",",".")&amp;", "&amp;CHAR(34)&amp;"flag"&amp;CHAR(34)&amp;": "&amp;SUBSTITUTE(TRIM(ROUND(IFERROR(CriteriTecnici!$M985*1,IFERROR(NUMBERVALUE(CriteriTecnici!$M985,".",","),IFERROR(NUMBERVALUE(CriteriTecnici!$M985,",","."),0))),4)&amp;""),",",".")&amp;", "&amp;CHAR(34)&amp;"rawScore"&amp;CHAR(34)&amp;": "&amp;SUBSTITUTE(TRIM(ROUND(IFERROR(CriteriTecnici!$O985*1,IFERROR(NUMBERVALUE(CriteriTecnici!$O985,".",","),IFERROR(NUMBERVALUE(CriteriTecnici!$O985,",","."),0))),4)&amp;""),",",".")&amp;CHAR(125)&amp;IF(TRUE,",",""))</f>
        <v/>
      </c>
    </row>
    <row r="1087">
      <c r="A1087" s="82">
        <f>IF(CriteriTecnici!$A986="","","    "&amp;CHAR(123)&amp;CHAR(34)&amp;"bidderId"&amp;CHAR(34)&amp;": "&amp;CHAR(34)&amp;SUBSTITUTE(CriteriTecnici!$A986,CHAR(34),"'")&amp;CHAR(34)&amp;", "&amp;CHAR(34)&amp;"lotId"&amp;CHAR(34)&amp;": "&amp;CHAR(34)&amp;SUBSTITUTE(CriteriTecnici!$C986,CHAR(34),"'")&amp;CHAR(34)&amp;", "&amp;CHAR(34)&amp;"criterionId"&amp;CHAR(34)&amp;": "&amp;CHAR(34)&amp;SUBSTITUTE(CriteriTecnici!$D986,CHAR(34),"'")&amp;CHAR(34)&amp;", "&amp;CHAR(34)&amp;"kind"&amp;CHAR(34)&amp;": "&amp;CHAR(34)&amp;SUBSTITUTE(CriteriTecnici!$F986,CHAR(34),"'")&amp;CHAR(34)&amp;", "&amp;CHAR(34)&amp;"value"&amp;CHAR(34)&amp;": "&amp;SUBSTITUTE(TRIM(ROUND(IFERROR(CriteriTecnici!$N986*1,IFERROR(NUMBERVALUE(CriteriTecnici!$N986,".",","),IFERROR(NUMBERVALUE(CriteriTecnici!$N986,",","."),0))),4)&amp;""),",",".")&amp;", "&amp;CHAR(34)&amp;"numerator"&amp;CHAR(34)&amp;": "&amp;SUBSTITUTE(TRIM(ROUND(IFERROR(CriteriTecnici!$K986*1,IFERROR(NUMBERVALUE(CriteriTecnici!$K986,".",","),IFERROR(NUMBERVALUE(CriteriTecnici!$K986,",","."),0))),4)&amp;""),",",".")&amp;", "&amp;CHAR(34)&amp;"denominator"&amp;CHAR(34)&amp;": "&amp;SUBSTITUTE(TRIM(ROUND(IFERROR(CriteriTecnici!$L986*1,IFERROR(NUMBERVALUE(CriteriTecnici!$L986,".",","),IFERROR(NUMBERVALUE(CriteriTecnici!$L986,",","."),0))),4)&amp;""),",",".")&amp;", "&amp;CHAR(34)&amp;"flag"&amp;CHAR(34)&amp;": "&amp;SUBSTITUTE(TRIM(ROUND(IFERROR(CriteriTecnici!$M986*1,IFERROR(NUMBERVALUE(CriteriTecnici!$M986,".",","),IFERROR(NUMBERVALUE(CriteriTecnici!$M986,",","."),0))),4)&amp;""),",",".")&amp;", "&amp;CHAR(34)&amp;"rawScore"&amp;CHAR(34)&amp;": "&amp;SUBSTITUTE(TRIM(ROUND(IFERROR(CriteriTecnici!$O986*1,IFERROR(NUMBERVALUE(CriteriTecnici!$O986,".",","),IFERROR(NUMBERVALUE(CriteriTecnici!$O986,",","."),0))),4)&amp;""),",",".")&amp;CHAR(125)&amp;IF(TRUE,",",""))</f>
        <v/>
      </c>
    </row>
    <row r="1088">
      <c r="A1088" s="82">
        <f>IF(CriteriTecnici!$A987="","","    "&amp;CHAR(123)&amp;CHAR(34)&amp;"bidderId"&amp;CHAR(34)&amp;": "&amp;CHAR(34)&amp;SUBSTITUTE(CriteriTecnici!$A987,CHAR(34),"'")&amp;CHAR(34)&amp;", "&amp;CHAR(34)&amp;"lotId"&amp;CHAR(34)&amp;": "&amp;CHAR(34)&amp;SUBSTITUTE(CriteriTecnici!$C987,CHAR(34),"'")&amp;CHAR(34)&amp;", "&amp;CHAR(34)&amp;"criterionId"&amp;CHAR(34)&amp;": "&amp;CHAR(34)&amp;SUBSTITUTE(CriteriTecnici!$D987,CHAR(34),"'")&amp;CHAR(34)&amp;", "&amp;CHAR(34)&amp;"kind"&amp;CHAR(34)&amp;": "&amp;CHAR(34)&amp;SUBSTITUTE(CriteriTecnici!$F987,CHAR(34),"'")&amp;CHAR(34)&amp;", "&amp;CHAR(34)&amp;"value"&amp;CHAR(34)&amp;": "&amp;SUBSTITUTE(TRIM(ROUND(IFERROR(CriteriTecnici!$N987*1,IFERROR(NUMBERVALUE(CriteriTecnici!$N987,".",","),IFERROR(NUMBERVALUE(CriteriTecnici!$N987,",","."),0))),4)&amp;""),",",".")&amp;", "&amp;CHAR(34)&amp;"numerator"&amp;CHAR(34)&amp;": "&amp;SUBSTITUTE(TRIM(ROUND(IFERROR(CriteriTecnici!$K987*1,IFERROR(NUMBERVALUE(CriteriTecnici!$K987,".",","),IFERROR(NUMBERVALUE(CriteriTecnici!$K987,",","."),0))),4)&amp;""),",",".")&amp;", "&amp;CHAR(34)&amp;"denominator"&amp;CHAR(34)&amp;": "&amp;SUBSTITUTE(TRIM(ROUND(IFERROR(CriteriTecnici!$L987*1,IFERROR(NUMBERVALUE(CriteriTecnici!$L987,".",","),IFERROR(NUMBERVALUE(CriteriTecnici!$L987,",","."),0))),4)&amp;""),",",".")&amp;", "&amp;CHAR(34)&amp;"flag"&amp;CHAR(34)&amp;": "&amp;SUBSTITUTE(TRIM(ROUND(IFERROR(CriteriTecnici!$M987*1,IFERROR(NUMBERVALUE(CriteriTecnici!$M987,".",","),IFERROR(NUMBERVALUE(CriteriTecnici!$M987,",","."),0))),4)&amp;""),",",".")&amp;", "&amp;CHAR(34)&amp;"rawScore"&amp;CHAR(34)&amp;": "&amp;SUBSTITUTE(TRIM(ROUND(IFERROR(CriteriTecnici!$O987*1,IFERROR(NUMBERVALUE(CriteriTecnici!$O987,".",","),IFERROR(NUMBERVALUE(CriteriTecnici!$O987,",","."),0))),4)&amp;""),",",".")&amp;CHAR(125)&amp;IF(TRUE,",",""))</f>
        <v/>
      </c>
    </row>
    <row r="1089">
      <c r="A1089" s="82">
        <f>IF(CriteriTecnici!$A988="","","    "&amp;CHAR(123)&amp;CHAR(34)&amp;"bidderId"&amp;CHAR(34)&amp;": "&amp;CHAR(34)&amp;SUBSTITUTE(CriteriTecnici!$A988,CHAR(34),"'")&amp;CHAR(34)&amp;", "&amp;CHAR(34)&amp;"lotId"&amp;CHAR(34)&amp;": "&amp;CHAR(34)&amp;SUBSTITUTE(CriteriTecnici!$C988,CHAR(34),"'")&amp;CHAR(34)&amp;", "&amp;CHAR(34)&amp;"criterionId"&amp;CHAR(34)&amp;": "&amp;CHAR(34)&amp;SUBSTITUTE(CriteriTecnici!$D988,CHAR(34),"'")&amp;CHAR(34)&amp;", "&amp;CHAR(34)&amp;"kind"&amp;CHAR(34)&amp;": "&amp;CHAR(34)&amp;SUBSTITUTE(CriteriTecnici!$F988,CHAR(34),"'")&amp;CHAR(34)&amp;", "&amp;CHAR(34)&amp;"value"&amp;CHAR(34)&amp;": "&amp;SUBSTITUTE(TRIM(ROUND(IFERROR(CriteriTecnici!$N988*1,IFERROR(NUMBERVALUE(CriteriTecnici!$N988,".",","),IFERROR(NUMBERVALUE(CriteriTecnici!$N988,",","."),0))),4)&amp;""),",",".")&amp;", "&amp;CHAR(34)&amp;"numerator"&amp;CHAR(34)&amp;": "&amp;SUBSTITUTE(TRIM(ROUND(IFERROR(CriteriTecnici!$K988*1,IFERROR(NUMBERVALUE(CriteriTecnici!$K988,".",","),IFERROR(NUMBERVALUE(CriteriTecnici!$K988,",","."),0))),4)&amp;""),",",".")&amp;", "&amp;CHAR(34)&amp;"denominator"&amp;CHAR(34)&amp;": "&amp;SUBSTITUTE(TRIM(ROUND(IFERROR(CriteriTecnici!$L988*1,IFERROR(NUMBERVALUE(CriteriTecnici!$L988,".",","),IFERROR(NUMBERVALUE(CriteriTecnici!$L988,",","."),0))),4)&amp;""),",",".")&amp;", "&amp;CHAR(34)&amp;"flag"&amp;CHAR(34)&amp;": "&amp;SUBSTITUTE(TRIM(ROUND(IFERROR(CriteriTecnici!$M988*1,IFERROR(NUMBERVALUE(CriteriTecnici!$M988,".",","),IFERROR(NUMBERVALUE(CriteriTecnici!$M988,",","."),0))),4)&amp;""),",",".")&amp;", "&amp;CHAR(34)&amp;"rawScore"&amp;CHAR(34)&amp;": "&amp;SUBSTITUTE(TRIM(ROUND(IFERROR(CriteriTecnici!$O988*1,IFERROR(NUMBERVALUE(CriteriTecnici!$O988,".",","),IFERROR(NUMBERVALUE(CriteriTecnici!$O988,",","."),0))),4)&amp;""),",",".")&amp;CHAR(125)&amp;IF(TRUE,",",""))</f>
        <v/>
      </c>
    </row>
    <row r="1090">
      <c r="A1090" s="82">
        <f>IF(CriteriTecnici!$A989="","","    "&amp;CHAR(123)&amp;CHAR(34)&amp;"bidderId"&amp;CHAR(34)&amp;": "&amp;CHAR(34)&amp;SUBSTITUTE(CriteriTecnici!$A989,CHAR(34),"'")&amp;CHAR(34)&amp;", "&amp;CHAR(34)&amp;"lotId"&amp;CHAR(34)&amp;": "&amp;CHAR(34)&amp;SUBSTITUTE(CriteriTecnici!$C989,CHAR(34),"'")&amp;CHAR(34)&amp;", "&amp;CHAR(34)&amp;"criterionId"&amp;CHAR(34)&amp;": "&amp;CHAR(34)&amp;SUBSTITUTE(CriteriTecnici!$D989,CHAR(34),"'")&amp;CHAR(34)&amp;", "&amp;CHAR(34)&amp;"kind"&amp;CHAR(34)&amp;": "&amp;CHAR(34)&amp;SUBSTITUTE(CriteriTecnici!$F989,CHAR(34),"'")&amp;CHAR(34)&amp;", "&amp;CHAR(34)&amp;"value"&amp;CHAR(34)&amp;": "&amp;SUBSTITUTE(TRIM(ROUND(IFERROR(CriteriTecnici!$N989*1,IFERROR(NUMBERVALUE(CriteriTecnici!$N989,".",","),IFERROR(NUMBERVALUE(CriteriTecnici!$N989,",","."),0))),4)&amp;""),",",".")&amp;", "&amp;CHAR(34)&amp;"numerator"&amp;CHAR(34)&amp;": "&amp;SUBSTITUTE(TRIM(ROUND(IFERROR(CriteriTecnici!$K989*1,IFERROR(NUMBERVALUE(CriteriTecnici!$K989,".",","),IFERROR(NUMBERVALUE(CriteriTecnici!$K989,",","."),0))),4)&amp;""),",",".")&amp;", "&amp;CHAR(34)&amp;"denominator"&amp;CHAR(34)&amp;": "&amp;SUBSTITUTE(TRIM(ROUND(IFERROR(CriteriTecnici!$L989*1,IFERROR(NUMBERVALUE(CriteriTecnici!$L989,".",","),IFERROR(NUMBERVALUE(CriteriTecnici!$L989,",","."),0))),4)&amp;""),",",".")&amp;", "&amp;CHAR(34)&amp;"flag"&amp;CHAR(34)&amp;": "&amp;SUBSTITUTE(TRIM(ROUND(IFERROR(CriteriTecnici!$M989*1,IFERROR(NUMBERVALUE(CriteriTecnici!$M989,".",","),IFERROR(NUMBERVALUE(CriteriTecnici!$M989,",","."),0))),4)&amp;""),",",".")&amp;", "&amp;CHAR(34)&amp;"rawScore"&amp;CHAR(34)&amp;": "&amp;SUBSTITUTE(TRIM(ROUND(IFERROR(CriteriTecnici!$O989*1,IFERROR(NUMBERVALUE(CriteriTecnici!$O989,".",","),IFERROR(NUMBERVALUE(CriteriTecnici!$O989,",","."),0))),4)&amp;""),",",".")&amp;CHAR(125)&amp;IF(TRUE,",",""))</f>
        <v/>
      </c>
    </row>
    <row r="1091">
      <c r="A1091" s="82">
        <f>IF(CriteriTecnici!$A990="","","    "&amp;CHAR(123)&amp;CHAR(34)&amp;"bidderId"&amp;CHAR(34)&amp;": "&amp;CHAR(34)&amp;SUBSTITUTE(CriteriTecnici!$A990,CHAR(34),"'")&amp;CHAR(34)&amp;", "&amp;CHAR(34)&amp;"lotId"&amp;CHAR(34)&amp;": "&amp;CHAR(34)&amp;SUBSTITUTE(CriteriTecnici!$C990,CHAR(34),"'")&amp;CHAR(34)&amp;", "&amp;CHAR(34)&amp;"criterionId"&amp;CHAR(34)&amp;": "&amp;CHAR(34)&amp;SUBSTITUTE(CriteriTecnici!$D990,CHAR(34),"'")&amp;CHAR(34)&amp;", "&amp;CHAR(34)&amp;"kind"&amp;CHAR(34)&amp;": "&amp;CHAR(34)&amp;SUBSTITUTE(CriteriTecnici!$F990,CHAR(34),"'")&amp;CHAR(34)&amp;", "&amp;CHAR(34)&amp;"value"&amp;CHAR(34)&amp;": "&amp;SUBSTITUTE(TRIM(ROUND(IFERROR(CriteriTecnici!$N990*1,IFERROR(NUMBERVALUE(CriteriTecnici!$N990,".",","),IFERROR(NUMBERVALUE(CriteriTecnici!$N990,",","."),0))),4)&amp;""),",",".")&amp;", "&amp;CHAR(34)&amp;"numerator"&amp;CHAR(34)&amp;": "&amp;SUBSTITUTE(TRIM(ROUND(IFERROR(CriteriTecnici!$K990*1,IFERROR(NUMBERVALUE(CriteriTecnici!$K990,".",","),IFERROR(NUMBERVALUE(CriteriTecnici!$K990,",","."),0))),4)&amp;""),",",".")&amp;", "&amp;CHAR(34)&amp;"denominator"&amp;CHAR(34)&amp;": "&amp;SUBSTITUTE(TRIM(ROUND(IFERROR(CriteriTecnici!$L990*1,IFERROR(NUMBERVALUE(CriteriTecnici!$L990,".",","),IFERROR(NUMBERVALUE(CriteriTecnici!$L990,",","."),0))),4)&amp;""),",",".")&amp;", "&amp;CHAR(34)&amp;"flag"&amp;CHAR(34)&amp;": "&amp;SUBSTITUTE(TRIM(ROUND(IFERROR(CriteriTecnici!$M990*1,IFERROR(NUMBERVALUE(CriteriTecnici!$M990,".",","),IFERROR(NUMBERVALUE(CriteriTecnici!$M990,",","."),0))),4)&amp;""),",",".")&amp;", "&amp;CHAR(34)&amp;"rawScore"&amp;CHAR(34)&amp;": "&amp;SUBSTITUTE(TRIM(ROUND(IFERROR(CriteriTecnici!$O990*1,IFERROR(NUMBERVALUE(CriteriTecnici!$O990,".",","),IFERROR(NUMBERVALUE(CriteriTecnici!$O990,",","."),0))),4)&amp;""),",",".")&amp;CHAR(125)&amp;IF(TRUE,",",""))</f>
        <v/>
      </c>
    </row>
    <row r="1092">
      <c r="A1092" s="82">
        <f>IF(CriteriTecnici!$A991="","","    "&amp;CHAR(123)&amp;CHAR(34)&amp;"bidderId"&amp;CHAR(34)&amp;": "&amp;CHAR(34)&amp;SUBSTITUTE(CriteriTecnici!$A991,CHAR(34),"'")&amp;CHAR(34)&amp;", "&amp;CHAR(34)&amp;"lotId"&amp;CHAR(34)&amp;": "&amp;CHAR(34)&amp;SUBSTITUTE(CriteriTecnici!$C991,CHAR(34),"'")&amp;CHAR(34)&amp;", "&amp;CHAR(34)&amp;"criterionId"&amp;CHAR(34)&amp;": "&amp;CHAR(34)&amp;SUBSTITUTE(CriteriTecnici!$D991,CHAR(34),"'")&amp;CHAR(34)&amp;", "&amp;CHAR(34)&amp;"kind"&amp;CHAR(34)&amp;": "&amp;CHAR(34)&amp;SUBSTITUTE(CriteriTecnici!$F991,CHAR(34),"'")&amp;CHAR(34)&amp;", "&amp;CHAR(34)&amp;"value"&amp;CHAR(34)&amp;": "&amp;SUBSTITUTE(TRIM(ROUND(IFERROR(CriteriTecnici!$N991*1,IFERROR(NUMBERVALUE(CriteriTecnici!$N991,".",","),IFERROR(NUMBERVALUE(CriteriTecnici!$N991,",","."),0))),4)&amp;""),",",".")&amp;", "&amp;CHAR(34)&amp;"numerator"&amp;CHAR(34)&amp;": "&amp;SUBSTITUTE(TRIM(ROUND(IFERROR(CriteriTecnici!$K991*1,IFERROR(NUMBERVALUE(CriteriTecnici!$K991,".",","),IFERROR(NUMBERVALUE(CriteriTecnici!$K991,",","."),0))),4)&amp;""),",",".")&amp;", "&amp;CHAR(34)&amp;"denominator"&amp;CHAR(34)&amp;": "&amp;SUBSTITUTE(TRIM(ROUND(IFERROR(CriteriTecnici!$L991*1,IFERROR(NUMBERVALUE(CriteriTecnici!$L991,".",","),IFERROR(NUMBERVALUE(CriteriTecnici!$L991,",","."),0))),4)&amp;""),",",".")&amp;", "&amp;CHAR(34)&amp;"flag"&amp;CHAR(34)&amp;": "&amp;SUBSTITUTE(TRIM(ROUND(IFERROR(CriteriTecnici!$M991*1,IFERROR(NUMBERVALUE(CriteriTecnici!$M991,".",","),IFERROR(NUMBERVALUE(CriteriTecnici!$M991,",","."),0))),4)&amp;""),",",".")&amp;", "&amp;CHAR(34)&amp;"rawScore"&amp;CHAR(34)&amp;": "&amp;SUBSTITUTE(TRIM(ROUND(IFERROR(CriteriTecnici!$O991*1,IFERROR(NUMBERVALUE(CriteriTecnici!$O991,".",","),IFERROR(NUMBERVALUE(CriteriTecnici!$O991,",","."),0))),4)&amp;""),",",".")&amp;CHAR(125)&amp;IF(TRUE,",",""))</f>
        <v/>
      </c>
    </row>
    <row r="1093">
      <c r="A1093" s="82">
        <f>IF(CriteriTecnici!$A992="","","    "&amp;CHAR(123)&amp;CHAR(34)&amp;"bidderId"&amp;CHAR(34)&amp;": "&amp;CHAR(34)&amp;SUBSTITUTE(CriteriTecnici!$A992,CHAR(34),"'")&amp;CHAR(34)&amp;", "&amp;CHAR(34)&amp;"lotId"&amp;CHAR(34)&amp;": "&amp;CHAR(34)&amp;SUBSTITUTE(CriteriTecnici!$C992,CHAR(34),"'")&amp;CHAR(34)&amp;", "&amp;CHAR(34)&amp;"criterionId"&amp;CHAR(34)&amp;": "&amp;CHAR(34)&amp;SUBSTITUTE(CriteriTecnici!$D992,CHAR(34),"'")&amp;CHAR(34)&amp;", "&amp;CHAR(34)&amp;"kind"&amp;CHAR(34)&amp;": "&amp;CHAR(34)&amp;SUBSTITUTE(CriteriTecnici!$F992,CHAR(34),"'")&amp;CHAR(34)&amp;", "&amp;CHAR(34)&amp;"value"&amp;CHAR(34)&amp;": "&amp;SUBSTITUTE(TRIM(ROUND(IFERROR(CriteriTecnici!$N992*1,IFERROR(NUMBERVALUE(CriteriTecnici!$N992,".",","),IFERROR(NUMBERVALUE(CriteriTecnici!$N992,",","."),0))),4)&amp;""),",",".")&amp;", "&amp;CHAR(34)&amp;"numerator"&amp;CHAR(34)&amp;": "&amp;SUBSTITUTE(TRIM(ROUND(IFERROR(CriteriTecnici!$K992*1,IFERROR(NUMBERVALUE(CriteriTecnici!$K992,".",","),IFERROR(NUMBERVALUE(CriteriTecnici!$K992,",","."),0))),4)&amp;""),",",".")&amp;", "&amp;CHAR(34)&amp;"denominator"&amp;CHAR(34)&amp;": "&amp;SUBSTITUTE(TRIM(ROUND(IFERROR(CriteriTecnici!$L992*1,IFERROR(NUMBERVALUE(CriteriTecnici!$L992,".",","),IFERROR(NUMBERVALUE(CriteriTecnici!$L992,",","."),0))),4)&amp;""),",",".")&amp;", "&amp;CHAR(34)&amp;"flag"&amp;CHAR(34)&amp;": "&amp;SUBSTITUTE(TRIM(ROUND(IFERROR(CriteriTecnici!$M992*1,IFERROR(NUMBERVALUE(CriteriTecnici!$M992,".",","),IFERROR(NUMBERVALUE(CriteriTecnici!$M992,",","."),0))),4)&amp;""),",",".")&amp;", "&amp;CHAR(34)&amp;"rawScore"&amp;CHAR(34)&amp;": "&amp;SUBSTITUTE(TRIM(ROUND(IFERROR(CriteriTecnici!$O992*1,IFERROR(NUMBERVALUE(CriteriTecnici!$O992,".",","),IFERROR(NUMBERVALUE(CriteriTecnici!$O992,",","."),0))),4)&amp;""),",",".")&amp;CHAR(125)&amp;IF(TRUE,",",""))</f>
        <v/>
      </c>
    </row>
    <row r="1094">
      <c r="A1094" s="82">
        <f>IF(CriteriTecnici!$A993="","","    "&amp;CHAR(123)&amp;CHAR(34)&amp;"bidderId"&amp;CHAR(34)&amp;": "&amp;CHAR(34)&amp;SUBSTITUTE(CriteriTecnici!$A993,CHAR(34),"'")&amp;CHAR(34)&amp;", "&amp;CHAR(34)&amp;"lotId"&amp;CHAR(34)&amp;": "&amp;CHAR(34)&amp;SUBSTITUTE(CriteriTecnici!$C993,CHAR(34),"'")&amp;CHAR(34)&amp;", "&amp;CHAR(34)&amp;"criterionId"&amp;CHAR(34)&amp;": "&amp;CHAR(34)&amp;SUBSTITUTE(CriteriTecnici!$D993,CHAR(34),"'")&amp;CHAR(34)&amp;", "&amp;CHAR(34)&amp;"kind"&amp;CHAR(34)&amp;": "&amp;CHAR(34)&amp;SUBSTITUTE(CriteriTecnici!$F993,CHAR(34),"'")&amp;CHAR(34)&amp;", "&amp;CHAR(34)&amp;"value"&amp;CHAR(34)&amp;": "&amp;SUBSTITUTE(TRIM(ROUND(IFERROR(CriteriTecnici!$N993*1,IFERROR(NUMBERVALUE(CriteriTecnici!$N993,".",","),IFERROR(NUMBERVALUE(CriteriTecnici!$N993,",","."),0))),4)&amp;""),",",".")&amp;", "&amp;CHAR(34)&amp;"numerator"&amp;CHAR(34)&amp;": "&amp;SUBSTITUTE(TRIM(ROUND(IFERROR(CriteriTecnici!$K993*1,IFERROR(NUMBERVALUE(CriteriTecnici!$K993,".",","),IFERROR(NUMBERVALUE(CriteriTecnici!$K993,",","."),0))),4)&amp;""),",",".")&amp;", "&amp;CHAR(34)&amp;"denominator"&amp;CHAR(34)&amp;": "&amp;SUBSTITUTE(TRIM(ROUND(IFERROR(CriteriTecnici!$L993*1,IFERROR(NUMBERVALUE(CriteriTecnici!$L993,".",","),IFERROR(NUMBERVALUE(CriteriTecnici!$L993,",","."),0))),4)&amp;""),",",".")&amp;", "&amp;CHAR(34)&amp;"flag"&amp;CHAR(34)&amp;": "&amp;SUBSTITUTE(TRIM(ROUND(IFERROR(CriteriTecnici!$M993*1,IFERROR(NUMBERVALUE(CriteriTecnici!$M993,".",","),IFERROR(NUMBERVALUE(CriteriTecnici!$M993,",","."),0))),4)&amp;""),",",".")&amp;", "&amp;CHAR(34)&amp;"rawScore"&amp;CHAR(34)&amp;": "&amp;SUBSTITUTE(TRIM(ROUND(IFERROR(CriteriTecnici!$O993*1,IFERROR(NUMBERVALUE(CriteriTecnici!$O993,".",","),IFERROR(NUMBERVALUE(CriteriTecnici!$O993,",","."),0))),4)&amp;""),",",".")&amp;CHAR(125)&amp;IF(TRUE,",",""))</f>
        <v/>
      </c>
    </row>
    <row r="1095">
      <c r="A1095" s="82">
        <f>IF(CriteriTecnici!$A994="","","    "&amp;CHAR(123)&amp;CHAR(34)&amp;"bidderId"&amp;CHAR(34)&amp;": "&amp;CHAR(34)&amp;SUBSTITUTE(CriteriTecnici!$A994,CHAR(34),"'")&amp;CHAR(34)&amp;", "&amp;CHAR(34)&amp;"lotId"&amp;CHAR(34)&amp;": "&amp;CHAR(34)&amp;SUBSTITUTE(CriteriTecnici!$C994,CHAR(34),"'")&amp;CHAR(34)&amp;", "&amp;CHAR(34)&amp;"criterionId"&amp;CHAR(34)&amp;": "&amp;CHAR(34)&amp;SUBSTITUTE(CriteriTecnici!$D994,CHAR(34),"'")&amp;CHAR(34)&amp;", "&amp;CHAR(34)&amp;"kind"&amp;CHAR(34)&amp;": "&amp;CHAR(34)&amp;SUBSTITUTE(CriteriTecnici!$F994,CHAR(34),"'")&amp;CHAR(34)&amp;", "&amp;CHAR(34)&amp;"value"&amp;CHAR(34)&amp;": "&amp;SUBSTITUTE(TRIM(ROUND(IFERROR(CriteriTecnici!$N994*1,IFERROR(NUMBERVALUE(CriteriTecnici!$N994,".",","),IFERROR(NUMBERVALUE(CriteriTecnici!$N994,",","."),0))),4)&amp;""),",",".")&amp;", "&amp;CHAR(34)&amp;"numerator"&amp;CHAR(34)&amp;": "&amp;SUBSTITUTE(TRIM(ROUND(IFERROR(CriteriTecnici!$K994*1,IFERROR(NUMBERVALUE(CriteriTecnici!$K994,".",","),IFERROR(NUMBERVALUE(CriteriTecnici!$K994,",","."),0))),4)&amp;""),",",".")&amp;", "&amp;CHAR(34)&amp;"denominator"&amp;CHAR(34)&amp;": "&amp;SUBSTITUTE(TRIM(ROUND(IFERROR(CriteriTecnici!$L994*1,IFERROR(NUMBERVALUE(CriteriTecnici!$L994,".",","),IFERROR(NUMBERVALUE(CriteriTecnici!$L994,",","."),0))),4)&amp;""),",",".")&amp;", "&amp;CHAR(34)&amp;"flag"&amp;CHAR(34)&amp;": "&amp;SUBSTITUTE(TRIM(ROUND(IFERROR(CriteriTecnici!$M994*1,IFERROR(NUMBERVALUE(CriteriTecnici!$M994,".",","),IFERROR(NUMBERVALUE(CriteriTecnici!$M994,",","."),0))),4)&amp;""),",",".")&amp;", "&amp;CHAR(34)&amp;"rawScore"&amp;CHAR(34)&amp;": "&amp;SUBSTITUTE(TRIM(ROUND(IFERROR(CriteriTecnici!$O994*1,IFERROR(NUMBERVALUE(CriteriTecnici!$O994,".",","),IFERROR(NUMBERVALUE(CriteriTecnici!$O994,",","."),0))),4)&amp;""),",",".")&amp;CHAR(125)&amp;IF(TRUE,",",""))</f>
        <v/>
      </c>
    </row>
    <row r="1096">
      <c r="A1096" s="82">
        <f>IF(CriteriTecnici!$A995="","","    "&amp;CHAR(123)&amp;CHAR(34)&amp;"bidderId"&amp;CHAR(34)&amp;": "&amp;CHAR(34)&amp;SUBSTITUTE(CriteriTecnici!$A995,CHAR(34),"'")&amp;CHAR(34)&amp;", "&amp;CHAR(34)&amp;"lotId"&amp;CHAR(34)&amp;": "&amp;CHAR(34)&amp;SUBSTITUTE(CriteriTecnici!$C995,CHAR(34),"'")&amp;CHAR(34)&amp;", "&amp;CHAR(34)&amp;"criterionId"&amp;CHAR(34)&amp;": "&amp;CHAR(34)&amp;SUBSTITUTE(CriteriTecnici!$D995,CHAR(34),"'")&amp;CHAR(34)&amp;", "&amp;CHAR(34)&amp;"kind"&amp;CHAR(34)&amp;": "&amp;CHAR(34)&amp;SUBSTITUTE(CriteriTecnici!$F995,CHAR(34),"'")&amp;CHAR(34)&amp;", "&amp;CHAR(34)&amp;"value"&amp;CHAR(34)&amp;": "&amp;SUBSTITUTE(TRIM(ROUND(IFERROR(CriteriTecnici!$N995*1,IFERROR(NUMBERVALUE(CriteriTecnici!$N995,".",","),IFERROR(NUMBERVALUE(CriteriTecnici!$N995,",","."),0))),4)&amp;""),",",".")&amp;", "&amp;CHAR(34)&amp;"numerator"&amp;CHAR(34)&amp;": "&amp;SUBSTITUTE(TRIM(ROUND(IFERROR(CriteriTecnici!$K995*1,IFERROR(NUMBERVALUE(CriteriTecnici!$K995,".",","),IFERROR(NUMBERVALUE(CriteriTecnici!$K995,",","."),0))),4)&amp;""),",",".")&amp;", "&amp;CHAR(34)&amp;"denominator"&amp;CHAR(34)&amp;": "&amp;SUBSTITUTE(TRIM(ROUND(IFERROR(CriteriTecnici!$L995*1,IFERROR(NUMBERVALUE(CriteriTecnici!$L995,".",","),IFERROR(NUMBERVALUE(CriteriTecnici!$L995,",","."),0))),4)&amp;""),",",".")&amp;", "&amp;CHAR(34)&amp;"flag"&amp;CHAR(34)&amp;": "&amp;SUBSTITUTE(TRIM(ROUND(IFERROR(CriteriTecnici!$M995*1,IFERROR(NUMBERVALUE(CriteriTecnici!$M995,".",","),IFERROR(NUMBERVALUE(CriteriTecnici!$M995,",","."),0))),4)&amp;""),",",".")&amp;", "&amp;CHAR(34)&amp;"rawScore"&amp;CHAR(34)&amp;": "&amp;SUBSTITUTE(TRIM(ROUND(IFERROR(CriteriTecnici!$O995*1,IFERROR(NUMBERVALUE(CriteriTecnici!$O995,".",","),IFERROR(NUMBERVALUE(CriteriTecnici!$O995,",","."),0))),4)&amp;""),",",".")&amp;CHAR(125)&amp;IF(TRUE,",",""))</f>
        <v/>
      </c>
    </row>
    <row r="1097">
      <c r="A1097" s="82">
        <f>IF(CriteriTecnici!$A996="","","    "&amp;CHAR(123)&amp;CHAR(34)&amp;"bidderId"&amp;CHAR(34)&amp;": "&amp;CHAR(34)&amp;SUBSTITUTE(CriteriTecnici!$A996,CHAR(34),"'")&amp;CHAR(34)&amp;", "&amp;CHAR(34)&amp;"lotId"&amp;CHAR(34)&amp;": "&amp;CHAR(34)&amp;SUBSTITUTE(CriteriTecnici!$C996,CHAR(34),"'")&amp;CHAR(34)&amp;", "&amp;CHAR(34)&amp;"criterionId"&amp;CHAR(34)&amp;": "&amp;CHAR(34)&amp;SUBSTITUTE(CriteriTecnici!$D996,CHAR(34),"'")&amp;CHAR(34)&amp;", "&amp;CHAR(34)&amp;"kind"&amp;CHAR(34)&amp;": "&amp;CHAR(34)&amp;SUBSTITUTE(CriteriTecnici!$F996,CHAR(34),"'")&amp;CHAR(34)&amp;", "&amp;CHAR(34)&amp;"value"&amp;CHAR(34)&amp;": "&amp;SUBSTITUTE(TRIM(ROUND(IFERROR(CriteriTecnici!$N996*1,IFERROR(NUMBERVALUE(CriteriTecnici!$N996,".",","),IFERROR(NUMBERVALUE(CriteriTecnici!$N996,",","."),0))),4)&amp;""),",",".")&amp;", "&amp;CHAR(34)&amp;"numerator"&amp;CHAR(34)&amp;": "&amp;SUBSTITUTE(TRIM(ROUND(IFERROR(CriteriTecnici!$K996*1,IFERROR(NUMBERVALUE(CriteriTecnici!$K996,".",","),IFERROR(NUMBERVALUE(CriteriTecnici!$K996,",","."),0))),4)&amp;""),",",".")&amp;", "&amp;CHAR(34)&amp;"denominator"&amp;CHAR(34)&amp;": "&amp;SUBSTITUTE(TRIM(ROUND(IFERROR(CriteriTecnici!$L996*1,IFERROR(NUMBERVALUE(CriteriTecnici!$L996,".",","),IFERROR(NUMBERVALUE(CriteriTecnici!$L996,",","."),0))),4)&amp;""),",",".")&amp;", "&amp;CHAR(34)&amp;"flag"&amp;CHAR(34)&amp;": "&amp;SUBSTITUTE(TRIM(ROUND(IFERROR(CriteriTecnici!$M996*1,IFERROR(NUMBERVALUE(CriteriTecnici!$M996,".",","),IFERROR(NUMBERVALUE(CriteriTecnici!$M996,",","."),0))),4)&amp;""),",",".")&amp;", "&amp;CHAR(34)&amp;"rawScore"&amp;CHAR(34)&amp;": "&amp;SUBSTITUTE(TRIM(ROUND(IFERROR(CriteriTecnici!$O996*1,IFERROR(NUMBERVALUE(CriteriTecnici!$O996,".",","),IFERROR(NUMBERVALUE(CriteriTecnici!$O996,",","."),0))),4)&amp;""),",",".")&amp;CHAR(125)&amp;IF(COUNTA(Offerte!$A34:$A$81)&gt;0,",",""))</f>
        <v/>
      </c>
    </row>
    <row r="1098">
      <c r="A1098" s="82">
        <f>IF(CriteriTecnici!$A997="","","    "&amp;CHAR(123)&amp;CHAR(34)&amp;"bidderId"&amp;CHAR(34)&amp;": "&amp;CHAR(34)&amp;SUBSTITUTE(CriteriTecnici!$A997,CHAR(34),"'")&amp;CHAR(34)&amp;", "&amp;CHAR(34)&amp;"lotId"&amp;CHAR(34)&amp;": "&amp;CHAR(34)&amp;SUBSTITUTE(CriteriTecnici!$C997,CHAR(34),"'")&amp;CHAR(34)&amp;", "&amp;CHAR(34)&amp;"criterionId"&amp;CHAR(34)&amp;": "&amp;CHAR(34)&amp;SUBSTITUTE(CriteriTecnici!$D997,CHAR(34),"'")&amp;CHAR(34)&amp;", "&amp;CHAR(34)&amp;"kind"&amp;CHAR(34)&amp;": "&amp;CHAR(34)&amp;SUBSTITUTE(CriteriTecnici!$F997,CHAR(34),"'")&amp;CHAR(34)&amp;", "&amp;CHAR(34)&amp;"value"&amp;CHAR(34)&amp;": "&amp;SUBSTITUTE(TRIM(ROUND(IFERROR(CriteriTecnici!$N997*1,IFERROR(NUMBERVALUE(CriteriTecnici!$N997,".",","),IFERROR(NUMBERVALUE(CriteriTecnici!$N997,",","."),0))),4)&amp;""),",",".")&amp;", "&amp;CHAR(34)&amp;"numerator"&amp;CHAR(34)&amp;": "&amp;SUBSTITUTE(TRIM(ROUND(IFERROR(CriteriTecnici!$K997*1,IFERROR(NUMBERVALUE(CriteriTecnici!$K997,".",","),IFERROR(NUMBERVALUE(CriteriTecnici!$K997,",","."),0))),4)&amp;""),",",".")&amp;", "&amp;CHAR(34)&amp;"denominator"&amp;CHAR(34)&amp;": "&amp;SUBSTITUTE(TRIM(ROUND(IFERROR(CriteriTecnici!$L997*1,IFERROR(NUMBERVALUE(CriteriTecnici!$L997,".",","),IFERROR(NUMBERVALUE(CriteriTecnici!$L997,",","."),0))),4)&amp;""),",",".")&amp;", "&amp;CHAR(34)&amp;"flag"&amp;CHAR(34)&amp;": "&amp;SUBSTITUTE(TRIM(ROUND(IFERROR(CriteriTecnici!$M997*1,IFERROR(NUMBERVALUE(CriteriTecnici!$M997,".",","),IFERROR(NUMBERVALUE(CriteriTecnici!$M997,",","."),0))),4)&amp;""),",",".")&amp;", "&amp;CHAR(34)&amp;"rawScore"&amp;CHAR(34)&amp;": "&amp;SUBSTITUTE(TRIM(ROUND(IFERROR(CriteriTecnici!$O997*1,IFERROR(NUMBERVALUE(CriteriTecnici!$O997,".",","),IFERROR(NUMBERVALUE(CriteriTecnici!$O997,",","."),0))),4)&amp;""),",",".")&amp;CHAR(125)&amp;IF(TRUE,",",""))</f>
        <v/>
      </c>
    </row>
    <row r="1099">
      <c r="A1099" s="82">
        <f>IF(CriteriTecnici!$A998="","","    "&amp;CHAR(123)&amp;CHAR(34)&amp;"bidderId"&amp;CHAR(34)&amp;": "&amp;CHAR(34)&amp;SUBSTITUTE(CriteriTecnici!$A998,CHAR(34),"'")&amp;CHAR(34)&amp;", "&amp;CHAR(34)&amp;"lotId"&amp;CHAR(34)&amp;": "&amp;CHAR(34)&amp;SUBSTITUTE(CriteriTecnici!$C998,CHAR(34),"'")&amp;CHAR(34)&amp;", "&amp;CHAR(34)&amp;"criterionId"&amp;CHAR(34)&amp;": "&amp;CHAR(34)&amp;SUBSTITUTE(CriteriTecnici!$D998,CHAR(34),"'")&amp;CHAR(34)&amp;", "&amp;CHAR(34)&amp;"kind"&amp;CHAR(34)&amp;": "&amp;CHAR(34)&amp;SUBSTITUTE(CriteriTecnici!$F998,CHAR(34),"'")&amp;CHAR(34)&amp;", "&amp;CHAR(34)&amp;"value"&amp;CHAR(34)&amp;": "&amp;SUBSTITUTE(TRIM(ROUND(IFERROR(CriteriTecnici!$N998*1,IFERROR(NUMBERVALUE(CriteriTecnici!$N998,".",","),IFERROR(NUMBERVALUE(CriteriTecnici!$N998,",","."),0))),4)&amp;""),",",".")&amp;", "&amp;CHAR(34)&amp;"numerator"&amp;CHAR(34)&amp;": "&amp;SUBSTITUTE(TRIM(ROUND(IFERROR(CriteriTecnici!$K998*1,IFERROR(NUMBERVALUE(CriteriTecnici!$K998,".",","),IFERROR(NUMBERVALUE(CriteriTecnici!$K998,",","."),0))),4)&amp;""),",",".")&amp;", "&amp;CHAR(34)&amp;"denominator"&amp;CHAR(34)&amp;": "&amp;SUBSTITUTE(TRIM(ROUND(IFERROR(CriteriTecnici!$L998*1,IFERROR(NUMBERVALUE(CriteriTecnici!$L998,".",","),IFERROR(NUMBERVALUE(CriteriTecnici!$L998,",","."),0))),4)&amp;""),",",".")&amp;", "&amp;CHAR(34)&amp;"flag"&amp;CHAR(34)&amp;": "&amp;SUBSTITUTE(TRIM(ROUND(IFERROR(CriteriTecnici!$M998*1,IFERROR(NUMBERVALUE(CriteriTecnici!$M998,".",","),IFERROR(NUMBERVALUE(CriteriTecnici!$M998,",","."),0))),4)&amp;""),",",".")&amp;", "&amp;CHAR(34)&amp;"rawScore"&amp;CHAR(34)&amp;": "&amp;SUBSTITUTE(TRIM(ROUND(IFERROR(CriteriTecnici!$O998*1,IFERROR(NUMBERVALUE(CriteriTecnici!$O998,".",","),IFERROR(NUMBERVALUE(CriteriTecnici!$O998,",","."),0))),4)&amp;""),",",".")&amp;CHAR(125)&amp;IF(TRUE,",",""))</f>
        <v/>
      </c>
    </row>
    <row r="1100">
      <c r="A1100" s="82">
        <f>IF(CriteriTecnici!$A999="","","    "&amp;CHAR(123)&amp;CHAR(34)&amp;"bidderId"&amp;CHAR(34)&amp;": "&amp;CHAR(34)&amp;SUBSTITUTE(CriteriTecnici!$A999,CHAR(34),"'")&amp;CHAR(34)&amp;", "&amp;CHAR(34)&amp;"lotId"&amp;CHAR(34)&amp;": "&amp;CHAR(34)&amp;SUBSTITUTE(CriteriTecnici!$C999,CHAR(34),"'")&amp;CHAR(34)&amp;", "&amp;CHAR(34)&amp;"criterionId"&amp;CHAR(34)&amp;": "&amp;CHAR(34)&amp;SUBSTITUTE(CriteriTecnici!$D999,CHAR(34),"'")&amp;CHAR(34)&amp;", "&amp;CHAR(34)&amp;"kind"&amp;CHAR(34)&amp;": "&amp;CHAR(34)&amp;SUBSTITUTE(CriteriTecnici!$F999,CHAR(34),"'")&amp;CHAR(34)&amp;", "&amp;CHAR(34)&amp;"value"&amp;CHAR(34)&amp;": "&amp;SUBSTITUTE(TRIM(ROUND(IFERROR(CriteriTecnici!$N999*1,IFERROR(NUMBERVALUE(CriteriTecnici!$N999,".",","),IFERROR(NUMBERVALUE(CriteriTecnici!$N999,",","."),0))),4)&amp;""),",",".")&amp;", "&amp;CHAR(34)&amp;"numerator"&amp;CHAR(34)&amp;": "&amp;SUBSTITUTE(TRIM(ROUND(IFERROR(CriteriTecnici!$K999*1,IFERROR(NUMBERVALUE(CriteriTecnici!$K999,".",","),IFERROR(NUMBERVALUE(CriteriTecnici!$K999,",","."),0))),4)&amp;""),",",".")&amp;", "&amp;CHAR(34)&amp;"denominator"&amp;CHAR(34)&amp;": "&amp;SUBSTITUTE(TRIM(ROUND(IFERROR(CriteriTecnici!$L999*1,IFERROR(NUMBERVALUE(CriteriTecnici!$L999,".",","),IFERROR(NUMBERVALUE(CriteriTecnici!$L999,",","."),0))),4)&amp;""),",",".")&amp;", "&amp;CHAR(34)&amp;"flag"&amp;CHAR(34)&amp;": "&amp;SUBSTITUTE(TRIM(ROUND(IFERROR(CriteriTecnici!$M999*1,IFERROR(NUMBERVALUE(CriteriTecnici!$M999,".",","),IFERROR(NUMBERVALUE(CriteriTecnici!$M999,",","."),0))),4)&amp;""),",",".")&amp;", "&amp;CHAR(34)&amp;"rawScore"&amp;CHAR(34)&amp;": "&amp;SUBSTITUTE(TRIM(ROUND(IFERROR(CriteriTecnici!$O999*1,IFERROR(NUMBERVALUE(CriteriTecnici!$O999,".",","),IFERROR(NUMBERVALUE(CriteriTecnici!$O999,",","."),0))),4)&amp;""),",",".")&amp;CHAR(125)&amp;IF(TRUE,",",""))</f>
        <v/>
      </c>
    </row>
    <row r="1101">
      <c r="A1101" s="82">
        <f>IF(CriteriTecnici!$A1000="","","    "&amp;CHAR(123)&amp;CHAR(34)&amp;"bidderId"&amp;CHAR(34)&amp;": "&amp;CHAR(34)&amp;SUBSTITUTE(CriteriTecnici!$A1000,CHAR(34),"'")&amp;CHAR(34)&amp;", "&amp;CHAR(34)&amp;"lotId"&amp;CHAR(34)&amp;": "&amp;CHAR(34)&amp;SUBSTITUTE(CriteriTecnici!$C1000,CHAR(34),"'")&amp;CHAR(34)&amp;", "&amp;CHAR(34)&amp;"criterionId"&amp;CHAR(34)&amp;": "&amp;CHAR(34)&amp;SUBSTITUTE(CriteriTecnici!$D1000,CHAR(34),"'")&amp;CHAR(34)&amp;", "&amp;CHAR(34)&amp;"kind"&amp;CHAR(34)&amp;": "&amp;CHAR(34)&amp;SUBSTITUTE(CriteriTecnici!$F1000,CHAR(34),"'")&amp;CHAR(34)&amp;", "&amp;CHAR(34)&amp;"value"&amp;CHAR(34)&amp;": "&amp;SUBSTITUTE(TRIM(ROUND(IFERROR(CriteriTecnici!$N1000*1,IFERROR(NUMBERVALUE(CriteriTecnici!$N1000,".",","),IFERROR(NUMBERVALUE(CriteriTecnici!$N1000,",","."),0))),4)&amp;""),",",".")&amp;", "&amp;CHAR(34)&amp;"numerator"&amp;CHAR(34)&amp;": "&amp;SUBSTITUTE(TRIM(ROUND(IFERROR(CriteriTecnici!$K1000*1,IFERROR(NUMBERVALUE(CriteriTecnici!$K1000,".",","),IFERROR(NUMBERVALUE(CriteriTecnici!$K1000,",","."),0))),4)&amp;""),",",".")&amp;", "&amp;CHAR(34)&amp;"denominator"&amp;CHAR(34)&amp;": "&amp;SUBSTITUTE(TRIM(ROUND(IFERROR(CriteriTecnici!$L1000*1,IFERROR(NUMBERVALUE(CriteriTecnici!$L1000,".",","),IFERROR(NUMBERVALUE(CriteriTecnici!$L1000,",","."),0))),4)&amp;""),",",".")&amp;", "&amp;CHAR(34)&amp;"flag"&amp;CHAR(34)&amp;": "&amp;SUBSTITUTE(TRIM(ROUND(IFERROR(CriteriTecnici!$M1000*1,IFERROR(NUMBERVALUE(CriteriTecnici!$M1000,".",","),IFERROR(NUMBERVALUE(CriteriTecnici!$M1000,",","."),0))),4)&amp;""),",",".")&amp;", "&amp;CHAR(34)&amp;"rawScore"&amp;CHAR(34)&amp;": "&amp;SUBSTITUTE(TRIM(ROUND(IFERROR(CriteriTecnici!$O1000*1,IFERROR(NUMBERVALUE(CriteriTecnici!$O1000,".",","),IFERROR(NUMBERVALUE(CriteriTecnici!$O1000,",","."),0))),4)&amp;""),",",".")&amp;CHAR(125)&amp;IF(TRUE,",",""))</f>
        <v/>
      </c>
    </row>
    <row r="1102">
      <c r="A1102" s="82">
        <f>IF(CriteriTecnici!$A1001="","","    "&amp;CHAR(123)&amp;CHAR(34)&amp;"bidderId"&amp;CHAR(34)&amp;": "&amp;CHAR(34)&amp;SUBSTITUTE(CriteriTecnici!$A1001,CHAR(34),"'")&amp;CHAR(34)&amp;", "&amp;CHAR(34)&amp;"lotId"&amp;CHAR(34)&amp;": "&amp;CHAR(34)&amp;SUBSTITUTE(CriteriTecnici!$C1001,CHAR(34),"'")&amp;CHAR(34)&amp;", "&amp;CHAR(34)&amp;"criterionId"&amp;CHAR(34)&amp;": "&amp;CHAR(34)&amp;SUBSTITUTE(CriteriTecnici!$D1001,CHAR(34),"'")&amp;CHAR(34)&amp;", "&amp;CHAR(34)&amp;"kind"&amp;CHAR(34)&amp;": "&amp;CHAR(34)&amp;SUBSTITUTE(CriteriTecnici!$F1001,CHAR(34),"'")&amp;CHAR(34)&amp;", "&amp;CHAR(34)&amp;"value"&amp;CHAR(34)&amp;": "&amp;SUBSTITUTE(TRIM(ROUND(IFERROR(CriteriTecnici!$N1001*1,IFERROR(NUMBERVALUE(CriteriTecnici!$N1001,".",","),IFERROR(NUMBERVALUE(CriteriTecnici!$N1001,",","."),0))),4)&amp;""),",",".")&amp;", "&amp;CHAR(34)&amp;"numerator"&amp;CHAR(34)&amp;": "&amp;SUBSTITUTE(TRIM(ROUND(IFERROR(CriteriTecnici!$K1001*1,IFERROR(NUMBERVALUE(CriteriTecnici!$K1001,".",","),IFERROR(NUMBERVALUE(CriteriTecnici!$K1001,",","."),0))),4)&amp;""),",",".")&amp;", "&amp;CHAR(34)&amp;"denominator"&amp;CHAR(34)&amp;": "&amp;SUBSTITUTE(TRIM(ROUND(IFERROR(CriteriTecnici!$L1001*1,IFERROR(NUMBERVALUE(CriteriTecnici!$L1001,".",","),IFERROR(NUMBERVALUE(CriteriTecnici!$L1001,",","."),0))),4)&amp;""),",",".")&amp;", "&amp;CHAR(34)&amp;"flag"&amp;CHAR(34)&amp;": "&amp;SUBSTITUTE(TRIM(ROUND(IFERROR(CriteriTecnici!$M1001*1,IFERROR(NUMBERVALUE(CriteriTecnici!$M1001,".",","),IFERROR(NUMBERVALUE(CriteriTecnici!$M1001,",","."),0))),4)&amp;""),",",".")&amp;", "&amp;CHAR(34)&amp;"rawScore"&amp;CHAR(34)&amp;": "&amp;SUBSTITUTE(TRIM(ROUND(IFERROR(CriteriTecnici!$O1001*1,IFERROR(NUMBERVALUE(CriteriTecnici!$O1001,".",","),IFERROR(NUMBERVALUE(CriteriTecnici!$O1001,",","."),0))),4)&amp;""),",",".")&amp;CHAR(125)&amp;IF(TRUE,",",""))</f>
        <v/>
      </c>
    </row>
    <row r="1103">
      <c r="A1103" s="82">
        <f>IF(CriteriTecnici!$A1002="","","    "&amp;CHAR(123)&amp;CHAR(34)&amp;"bidderId"&amp;CHAR(34)&amp;": "&amp;CHAR(34)&amp;SUBSTITUTE(CriteriTecnici!$A1002,CHAR(34),"'")&amp;CHAR(34)&amp;", "&amp;CHAR(34)&amp;"lotId"&amp;CHAR(34)&amp;": "&amp;CHAR(34)&amp;SUBSTITUTE(CriteriTecnici!$C1002,CHAR(34),"'")&amp;CHAR(34)&amp;", "&amp;CHAR(34)&amp;"criterionId"&amp;CHAR(34)&amp;": "&amp;CHAR(34)&amp;SUBSTITUTE(CriteriTecnici!$D1002,CHAR(34),"'")&amp;CHAR(34)&amp;", "&amp;CHAR(34)&amp;"kind"&amp;CHAR(34)&amp;": "&amp;CHAR(34)&amp;SUBSTITUTE(CriteriTecnici!$F1002,CHAR(34),"'")&amp;CHAR(34)&amp;", "&amp;CHAR(34)&amp;"value"&amp;CHAR(34)&amp;": "&amp;SUBSTITUTE(TRIM(ROUND(IFERROR(CriteriTecnici!$N1002*1,IFERROR(NUMBERVALUE(CriteriTecnici!$N1002,".",","),IFERROR(NUMBERVALUE(CriteriTecnici!$N1002,",","."),0))),4)&amp;""),",",".")&amp;", "&amp;CHAR(34)&amp;"numerator"&amp;CHAR(34)&amp;": "&amp;SUBSTITUTE(TRIM(ROUND(IFERROR(CriteriTecnici!$K1002*1,IFERROR(NUMBERVALUE(CriteriTecnici!$K1002,".",","),IFERROR(NUMBERVALUE(CriteriTecnici!$K1002,",","."),0))),4)&amp;""),",",".")&amp;", "&amp;CHAR(34)&amp;"denominator"&amp;CHAR(34)&amp;": "&amp;SUBSTITUTE(TRIM(ROUND(IFERROR(CriteriTecnici!$L1002*1,IFERROR(NUMBERVALUE(CriteriTecnici!$L1002,".",","),IFERROR(NUMBERVALUE(CriteriTecnici!$L1002,",","."),0))),4)&amp;""),",",".")&amp;", "&amp;CHAR(34)&amp;"flag"&amp;CHAR(34)&amp;": "&amp;SUBSTITUTE(TRIM(ROUND(IFERROR(CriteriTecnici!$M1002*1,IFERROR(NUMBERVALUE(CriteriTecnici!$M1002,".",","),IFERROR(NUMBERVALUE(CriteriTecnici!$M1002,",","."),0))),4)&amp;""),",",".")&amp;", "&amp;CHAR(34)&amp;"rawScore"&amp;CHAR(34)&amp;": "&amp;SUBSTITUTE(TRIM(ROUND(IFERROR(CriteriTecnici!$O1002*1,IFERROR(NUMBERVALUE(CriteriTecnici!$O1002,".",","),IFERROR(NUMBERVALUE(CriteriTecnici!$O1002,",","."),0))),4)&amp;""),",",".")&amp;CHAR(125)&amp;IF(TRUE,",",""))</f>
        <v/>
      </c>
    </row>
    <row r="1104">
      <c r="A1104" s="82">
        <f>IF(CriteriTecnici!$A1003="","","    "&amp;CHAR(123)&amp;CHAR(34)&amp;"bidderId"&amp;CHAR(34)&amp;": "&amp;CHAR(34)&amp;SUBSTITUTE(CriteriTecnici!$A1003,CHAR(34),"'")&amp;CHAR(34)&amp;", "&amp;CHAR(34)&amp;"lotId"&amp;CHAR(34)&amp;": "&amp;CHAR(34)&amp;SUBSTITUTE(CriteriTecnici!$C1003,CHAR(34),"'")&amp;CHAR(34)&amp;", "&amp;CHAR(34)&amp;"criterionId"&amp;CHAR(34)&amp;": "&amp;CHAR(34)&amp;SUBSTITUTE(CriteriTecnici!$D1003,CHAR(34),"'")&amp;CHAR(34)&amp;", "&amp;CHAR(34)&amp;"kind"&amp;CHAR(34)&amp;": "&amp;CHAR(34)&amp;SUBSTITUTE(CriteriTecnici!$F1003,CHAR(34),"'")&amp;CHAR(34)&amp;", "&amp;CHAR(34)&amp;"value"&amp;CHAR(34)&amp;": "&amp;SUBSTITUTE(TRIM(ROUND(IFERROR(CriteriTecnici!$N1003*1,IFERROR(NUMBERVALUE(CriteriTecnici!$N1003,".",","),IFERROR(NUMBERVALUE(CriteriTecnici!$N1003,",","."),0))),4)&amp;""),",",".")&amp;", "&amp;CHAR(34)&amp;"numerator"&amp;CHAR(34)&amp;": "&amp;SUBSTITUTE(TRIM(ROUND(IFERROR(CriteriTecnici!$K1003*1,IFERROR(NUMBERVALUE(CriteriTecnici!$K1003,".",","),IFERROR(NUMBERVALUE(CriteriTecnici!$K1003,",","."),0))),4)&amp;""),",",".")&amp;", "&amp;CHAR(34)&amp;"denominator"&amp;CHAR(34)&amp;": "&amp;SUBSTITUTE(TRIM(ROUND(IFERROR(CriteriTecnici!$L1003*1,IFERROR(NUMBERVALUE(CriteriTecnici!$L1003,".",","),IFERROR(NUMBERVALUE(CriteriTecnici!$L1003,",","."),0))),4)&amp;""),",",".")&amp;", "&amp;CHAR(34)&amp;"flag"&amp;CHAR(34)&amp;": "&amp;SUBSTITUTE(TRIM(ROUND(IFERROR(CriteriTecnici!$M1003*1,IFERROR(NUMBERVALUE(CriteriTecnici!$M1003,".",","),IFERROR(NUMBERVALUE(CriteriTecnici!$M1003,",","."),0))),4)&amp;""),",",".")&amp;", "&amp;CHAR(34)&amp;"rawScore"&amp;CHAR(34)&amp;": "&amp;SUBSTITUTE(TRIM(ROUND(IFERROR(CriteriTecnici!$O1003*1,IFERROR(NUMBERVALUE(CriteriTecnici!$O1003,".",","),IFERROR(NUMBERVALUE(CriteriTecnici!$O1003,",","."),0))),4)&amp;""),",",".")&amp;CHAR(125)&amp;IF(TRUE,",",""))</f>
        <v/>
      </c>
    </row>
    <row r="1105">
      <c r="A1105" s="82">
        <f>IF(CriteriTecnici!$A1004="","","    "&amp;CHAR(123)&amp;CHAR(34)&amp;"bidderId"&amp;CHAR(34)&amp;": "&amp;CHAR(34)&amp;SUBSTITUTE(CriteriTecnici!$A1004,CHAR(34),"'")&amp;CHAR(34)&amp;", "&amp;CHAR(34)&amp;"lotId"&amp;CHAR(34)&amp;": "&amp;CHAR(34)&amp;SUBSTITUTE(CriteriTecnici!$C1004,CHAR(34),"'")&amp;CHAR(34)&amp;", "&amp;CHAR(34)&amp;"criterionId"&amp;CHAR(34)&amp;": "&amp;CHAR(34)&amp;SUBSTITUTE(CriteriTecnici!$D1004,CHAR(34),"'")&amp;CHAR(34)&amp;", "&amp;CHAR(34)&amp;"kind"&amp;CHAR(34)&amp;": "&amp;CHAR(34)&amp;SUBSTITUTE(CriteriTecnici!$F1004,CHAR(34),"'")&amp;CHAR(34)&amp;", "&amp;CHAR(34)&amp;"value"&amp;CHAR(34)&amp;": "&amp;SUBSTITUTE(TRIM(ROUND(IFERROR(CriteriTecnici!$N1004*1,IFERROR(NUMBERVALUE(CriteriTecnici!$N1004,".",","),IFERROR(NUMBERVALUE(CriteriTecnici!$N1004,",","."),0))),4)&amp;""),",",".")&amp;", "&amp;CHAR(34)&amp;"numerator"&amp;CHAR(34)&amp;": "&amp;SUBSTITUTE(TRIM(ROUND(IFERROR(CriteriTecnici!$K1004*1,IFERROR(NUMBERVALUE(CriteriTecnici!$K1004,".",","),IFERROR(NUMBERVALUE(CriteriTecnici!$K1004,",","."),0))),4)&amp;""),",",".")&amp;", "&amp;CHAR(34)&amp;"denominator"&amp;CHAR(34)&amp;": "&amp;SUBSTITUTE(TRIM(ROUND(IFERROR(CriteriTecnici!$L1004*1,IFERROR(NUMBERVALUE(CriteriTecnici!$L1004,".",","),IFERROR(NUMBERVALUE(CriteriTecnici!$L1004,",","."),0))),4)&amp;""),",",".")&amp;", "&amp;CHAR(34)&amp;"flag"&amp;CHAR(34)&amp;": "&amp;SUBSTITUTE(TRIM(ROUND(IFERROR(CriteriTecnici!$M1004*1,IFERROR(NUMBERVALUE(CriteriTecnici!$M1004,".",","),IFERROR(NUMBERVALUE(CriteriTecnici!$M1004,",","."),0))),4)&amp;""),",",".")&amp;", "&amp;CHAR(34)&amp;"rawScore"&amp;CHAR(34)&amp;": "&amp;SUBSTITUTE(TRIM(ROUND(IFERROR(CriteriTecnici!$O1004*1,IFERROR(NUMBERVALUE(CriteriTecnici!$O1004,".",","),IFERROR(NUMBERVALUE(CriteriTecnici!$O1004,",","."),0))),4)&amp;""),",",".")&amp;CHAR(125)&amp;IF(TRUE,",",""))</f>
        <v/>
      </c>
    </row>
    <row r="1106">
      <c r="A1106" s="82">
        <f>IF(CriteriTecnici!$A1005="","","    "&amp;CHAR(123)&amp;CHAR(34)&amp;"bidderId"&amp;CHAR(34)&amp;": "&amp;CHAR(34)&amp;SUBSTITUTE(CriteriTecnici!$A1005,CHAR(34),"'")&amp;CHAR(34)&amp;", "&amp;CHAR(34)&amp;"lotId"&amp;CHAR(34)&amp;": "&amp;CHAR(34)&amp;SUBSTITUTE(CriteriTecnici!$C1005,CHAR(34),"'")&amp;CHAR(34)&amp;", "&amp;CHAR(34)&amp;"criterionId"&amp;CHAR(34)&amp;": "&amp;CHAR(34)&amp;SUBSTITUTE(CriteriTecnici!$D1005,CHAR(34),"'")&amp;CHAR(34)&amp;", "&amp;CHAR(34)&amp;"kind"&amp;CHAR(34)&amp;": "&amp;CHAR(34)&amp;SUBSTITUTE(CriteriTecnici!$F1005,CHAR(34),"'")&amp;CHAR(34)&amp;", "&amp;CHAR(34)&amp;"value"&amp;CHAR(34)&amp;": "&amp;SUBSTITUTE(TRIM(ROUND(IFERROR(CriteriTecnici!$N1005*1,IFERROR(NUMBERVALUE(CriteriTecnici!$N1005,".",","),IFERROR(NUMBERVALUE(CriteriTecnici!$N1005,",","."),0))),4)&amp;""),",",".")&amp;", "&amp;CHAR(34)&amp;"numerator"&amp;CHAR(34)&amp;": "&amp;SUBSTITUTE(TRIM(ROUND(IFERROR(CriteriTecnici!$K1005*1,IFERROR(NUMBERVALUE(CriteriTecnici!$K1005,".",","),IFERROR(NUMBERVALUE(CriteriTecnici!$K1005,",","."),0))),4)&amp;""),",",".")&amp;", "&amp;CHAR(34)&amp;"denominator"&amp;CHAR(34)&amp;": "&amp;SUBSTITUTE(TRIM(ROUND(IFERROR(CriteriTecnici!$L1005*1,IFERROR(NUMBERVALUE(CriteriTecnici!$L1005,".",","),IFERROR(NUMBERVALUE(CriteriTecnici!$L1005,",","."),0))),4)&amp;""),",",".")&amp;", "&amp;CHAR(34)&amp;"flag"&amp;CHAR(34)&amp;": "&amp;SUBSTITUTE(TRIM(ROUND(IFERROR(CriteriTecnici!$M1005*1,IFERROR(NUMBERVALUE(CriteriTecnici!$M1005,".",","),IFERROR(NUMBERVALUE(CriteriTecnici!$M1005,",","."),0))),4)&amp;""),",",".")&amp;", "&amp;CHAR(34)&amp;"rawScore"&amp;CHAR(34)&amp;": "&amp;SUBSTITUTE(TRIM(ROUND(IFERROR(CriteriTecnici!$O1005*1,IFERROR(NUMBERVALUE(CriteriTecnici!$O1005,".",","),IFERROR(NUMBERVALUE(CriteriTecnici!$O1005,",","."),0))),4)&amp;""),",",".")&amp;CHAR(125)&amp;IF(TRUE,",",""))</f>
        <v/>
      </c>
    </row>
    <row r="1107">
      <c r="A1107" s="82">
        <f>IF(CriteriTecnici!$A1006="","","    "&amp;CHAR(123)&amp;CHAR(34)&amp;"bidderId"&amp;CHAR(34)&amp;": "&amp;CHAR(34)&amp;SUBSTITUTE(CriteriTecnici!$A1006,CHAR(34),"'")&amp;CHAR(34)&amp;", "&amp;CHAR(34)&amp;"lotId"&amp;CHAR(34)&amp;": "&amp;CHAR(34)&amp;SUBSTITUTE(CriteriTecnici!$C1006,CHAR(34),"'")&amp;CHAR(34)&amp;", "&amp;CHAR(34)&amp;"criterionId"&amp;CHAR(34)&amp;": "&amp;CHAR(34)&amp;SUBSTITUTE(CriteriTecnici!$D1006,CHAR(34),"'")&amp;CHAR(34)&amp;", "&amp;CHAR(34)&amp;"kind"&amp;CHAR(34)&amp;": "&amp;CHAR(34)&amp;SUBSTITUTE(CriteriTecnici!$F1006,CHAR(34),"'")&amp;CHAR(34)&amp;", "&amp;CHAR(34)&amp;"value"&amp;CHAR(34)&amp;": "&amp;SUBSTITUTE(TRIM(ROUND(IFERROR(CriteriTecnici!$N1006*1,IFERROR(NUMBERVALUE(CriteriTecnici!$N1006,".",","),IFERROR(NUMBERVALUE(CriteriTecnici!$N1006,",","."),0))),4)&amp;""),",",".")&amp;", "&amp;CHAR(34)&amp;"numerator"&amp;CHAR(34)&amp;": "&amp;SUBSTITUTE(TRIM(ROUND(IFERROR(CriteriTecnici!$K1006*1,IFERROR(NUMBERVALUE(CriteriTecnici!$K1006,".",","),IFERROR(NUMBERVALUE(CriteriTecnici!$K1006,",","."),0))),4)&amp;""),",",".")&amp;", "&amp;CHAR(34)&amp;"denominator"&amp;CHAR(34)&amp;": "&amp;SUBSTITUTE(TRIM(ROUND(IFERROR(CriteriTecnici!$L1006*1,IFERROR(NUMBERVALUE(CriteriTecnici!$L1006,".",","),IFERROR(NUMBERVALUE(CriteriTecnici!$L1006,",","."),0))),4)&amp;""),",",".")&amp;", "&amp;CHAR(34)&amp;"flag"&amp;CHAR(34)&amp;": "&amp;SUBSTITUTE(TRIM(ROUND(IFERROR(CriteriTecnici!$M1006*1,IFERROR(NUMBERVALUE(CriteriTecnici!$M1006,".",","),IFERROR(NUMBERVALUE(CriteriTecnici!$M1006,",","."),0))),4)&amp;""),",",".")&amp;", "&amp;CHAR(34)&amp;"rawScore"&amp;CHAR(34)&amp;": "&amp;SUBSTITUTE(TRIM(ROUND(IFERROR(CriteriTecnici!$O1006*1,IFERROR(NUMBERVALUE(CriteriTecnici!$O1006,".",","),IFERROR(NUMBERVALUE(CriteriTecnici!$O1006,",","."),0))),4)&amp;""),",",".")&amp;CHAR(125)&amp;IF(TRUE,",",""))</f>
        <v/>
      </c>
    </row>
    <row r="1108">
      <c r="A1108" s="82">
        <f>IF(CriteriTecnici!$A1007="","","    "&amp;CHAR(123)&amp;CHAR(34)&amp;"bidderId"&amp;CHAR(34)&amp;": "&amp;CHAR(34)&amp;SUBSTITUTE(CriteriTecnici!$A1007,CHAR(34),"'")&amp;CHAR(34)&amp;", "&amp;CHAR(34)&amp;"lotId"&amp;CHAR(34)&amp;": "&amp;CHAR(34)&amp;SUBSTITUTE(CriteriTecnici!$C1007,CHAR(34),"'")&amp;CHAR(34)&amp;", "&amp;CHAR(34)&amp;"criterionId"&amp;CHAR(34)&amp;": "&amp;CHAR(34)&amp;SUBSTITUTE(CriteriTecnici!$D1007,CHAR(34),"'")&amp;CHAR(34)&amp;", "&amp;CHAR(34)&amp;"kind"&amp;CHAR(34)&amp;": "&amp;CHAR(34)&amp;SUBSTITUTE(CriteriTecnici!$F1007,CHAR(34),"'")&amp;CHAR(34)&amp;", "&amp;CHAR(34)&amp;"value"&amp;CHAR(34)&amp;": "&amp;SUBSTITUTE(TRIM(ROUND(IFERROR(CriteriTecnici!$N1007*1,IFERROR(NUMBERVALUE(CriteriTecnici!$N1007,".",","),IFERROR(NUMBERVALUE(CriteriTecnici!$N1007,",","."),0))),4)&amp;""),",",".")&amp;", "&amp;CHAR(34)&amp;"numerator"&amp;CHAR(34)&amp;": "&amp;SUBSTITUTE(TRIM(ROUND(IFERROR(CriteriTecnici!$K1007*1,IFERROR(NUMBERVALUE(CriteriTecnici!$K1007,".",","),IFERROR(NUMBERVALUE(CriteriTecnici!$K1007,",","."),0))),4)&amp;""),",",".")&amp;", "&amp;CHAR(34)&amp;"denominator"&amp;CHAR(34)&amp;": "&amp;SUBSTITUTE(TRIM(ROUND(IFERROR(CriteriTecnici!$L1007*1,IFERROR(NUMBERVALUE(CriteriTecnici!$L1007,".",","),IFERROR(NUMBERVALUE(CriteriTecnici!$L1007,",","."),0))),4)&amp;""),",",".")&amp;", "&amp;CHAR(34)&amp;"flag"&amp;CHAR(34)&amp;": "&amp;SUBSTITUTE(TRIM(ROUND(IFERROR(CriteriTecnici!$M1007*1,IFERROR(NUMBERVALUE(CriteriTecnici!$M1007,".",","),IFERROR(NUMBERVALUE(CriteriTecnici!$M1007,",","."),0))),4)&amp;""),",",".")&amp;", "&amp;CHAR(34)&amp;"rawScore"&amp;CHAR(34)&amp;": "&amp;SUBSTITUTE(TRIM(ROUND(IFERROR(CriteriTecnici!$O1007*1,IFERROR(NUMBERVALUE(CriteriTecnici!$O1007,".",","),IFERROR(NUMBERVALUE(CriteriTecnici!$O1007,",","."),0))),4)&amp;""),",",".")&amp;CHAR(125)&amp;IF(TRUE,",",""))</f>
        <v/>
      </c>
    </row>
    <row r="1109">
      <c r="A1109" s="82">
        <f>IF(CriteriTecnici!$A1008="","","    "&amp;CHAR(123)&amp;CHAR(34)&amp;"bidderId"&amp;CHAR(34)&amp;": "&amp;CHAR(34)&amp;SUBSTITUTE(CriteriTecnici!$A1008,CHAR(34),"'")&amp;CHAR(34)&amp;", "&amp;CHAR(34)&amp;"lotId"&amp;CHAR(34)&amp;": "&amp;CHAR(34)&amp;SUBSTITUTE(CriteriTecnici!$C1008,CHAR(34),"'")&amp;CHAR(34)&amp;", "&amp;CHAR(34)&amp;"criterionId"&amp;CHAR(34)&amp;": "&amp;CHAR(34)&amp;SUBSTITUTE(CriteriTecnici!$D1008,CHAR(34),"'")&amp;CHAR(34)&amp;", "&amp;CHAR(34)&amp;"kind"&amp;CHAR(34)&amp;": "&amp;CHAR(34)&amp;SUBSTITUTE(CriteriTecnici!$F1008,CHAR(34),"'")&amp;CHAR(34)&amp;", "&amp;CHAR(34)&amp;"value"&amp;CHAR(34)&amp;": "&amp;SUBSTITUTE(TRIM(ROUND(IFERROR(CriteriTecnici!$N1008*1,IFERROR(NUMBERVALUE(CriteriTecnici!$N1008,".",","),IFERROR(NUMBERVALUE(CriteriTecnici!$N1008,",","."),0))),4)&amp;""),",",".")&amp;", "&amp;CHAR(34)&amp;"numerator"&amp;CHAR(34)&amp;": "&amp;SUBSTITUTE(TRIM(ROUND(IFERROR(CriteriTecnici!$K1008*1,IFERROR(NUMBERVALUE(CriteriTecnici!$K1008,".",","),IFERROR(NUMBERVALUE(CriteriTecnici!$K1008,",","."),0))),4)&amp;""),",",".")&amp;", "&amp;CHAR(34)&amp;"denominator"&amp;CHAR(34)&amp;": "&amp;SUBSTITUTE(TRIM(ROUND(IFERROR(CriteriTecnici!$L1008*1,IFERROR(NUMBERVALUE(CriteriTecnici!$L1008,".",","),IFERROR(NUMBERVALUE(CriteriTecnici!$L1008,",","."),0))),4)&amp;""),",",".")&amp;", "&amp;CHAR(34)&amp;"flag"&amp;CHAR(34)&amp;": "&amp;SUBSTITUTE(TRIM(ROUND(IFERROR(CriteriTecnici!$M1008*1,IFERROR(NUMBERVALUE(CriteriTecnici!$M1008,".",","),IFERROR(NUMBERVALUE(CriteriTecnici!$M1008,",","."),0))),4)&amp;""),",",".")&amp;", "&amp;CHAR(34)&amp;"rawScore"&amp;CHAR(34)&amp;": "&amp;SUBSTITUTE(TRIM(ROUND(IFERROR(CriteriTecnici!$O1008*1,IFERROR(NUMBERVALUE(CriteriTecnici!$O1008,".",","),IFERROR(NUMBERVALUE(CriteriTecnici!$O1008,",","."),0))),4)&amp;""),",",".")&amp;CHAR(125)&amp;IF(TRUE,",",""))</f>
        <v/>
      </c>
    </row>
    <row r="1110">
      <c r="A1110" s="82">
        <f>IF(CriteriTecnici!$A1009="","","    "&amp;CHAR(123)&amp;CHAR(34)&amp;"bidderId"&amp;CHAR(34)&amp;": "&amp;CHAR(34)&amp;SUBSTITUTE(CriteriTecnici!$A1009,CHAR(34),"'")&amp;CHAR(34)&amp;", "&amp;CHAR(34)&amp;"lotId"&amp;CHAR(34)&amp;": "&amp;CHAR(34)&amp;SUBSTITUTE(CriteriTecnici!$C1009,CHAR(34),"'")&amp;CHAR(34)&amp;", "&amp;CHAR(34)&amp;"criterionId"&amp;CHAR(34)&amp;": "&amp;CHAR(34)&amp;SUBSTITUTE(CriteriTecnici!$D1009,CHAR(34),"'")&amp;CHAR(34)&amp;", "&amp;CHAR(34)&amp;"kind"&amp;CHAR(34)&amp;": "&amp;CHAR(34)&amp;SUBSTITUTE(CriteriTecnici!$F1009,CHAR(34),"'")&amp;CHAR(34)&amp;", "&amp;CHAR(34)&amp;"value"&amp;CHAR(34)&amp;": "&amp;SUBSTITUTE(TRIM(ROUND(IFERROR(CriteriTecnici!$N1009*1,IFERROR(NUMBERVALUE(CriteriTecnici!$N1009,".",","),IFERROR(NUMBERVALUE(CriteriTecnici!$N1009,",","."),0))),4)&amp;""),",",".")&amp;", "&amp;CHAR(34)&amp;"numerator"&amp;CHAR(34)&amp;": "&amp;SUBSTITUTE(TRIM(ROUND(IFERROR(CriteriTecnici!$K1009*1,IFERROR(NUMBERVALUE(CriteriTecnici!$K1009,".",","),IFERROR(NUMBERVALUE(CriteriTecnici!$K1009,",","."),0))),4)&amp;""),",",".")&amp;", "&amp;CHAR(34)&amp;"denominator"&amp;CHAR(34)&amp;": "&amp;SUBSTITUTE(TRIM(ROUND(IFERROR(CriteriTecnici!$L1009*1,IFERROR(NUMBERVALUE(CriteriTecnici!$L1009,".",","),IFERROR(NUMBERVALUE(CriteriTecnici!$L1009,",","."),0))),4)&amp;""),",",".")&amp;", "&amp;CHAR(34)&amp;"flag"&amp;CHAR(34)&amp;": "&amp;SUBSTITUTE(TRIM(ROUND(IFERROR(CriteriTecnici!$M1009*1,IFERROR(NUMBERVALUE(CriteriTecnici!$M1009,".",","),IFERROR(NUMBERVALUE(CriteriTecnici!$M1009,",","."),0))),4)&amp;""),",",".")&amp;", "&amp;CHAR(34)&amp;"rawScore"&amp;CHAR(34)&amp;": "&amp;SUBSTITUTE(TRIM(ROUND(IFERROR(CriteriTecnici!$O1009*1,IFERROR(NUMBERVALUE(CriteriTecnici!$O1009,".",","),IFERROR(NUMBERVALUE(CriteriTecnici!$O1009,",","."),0))),4)&amp;""),",",".")&amp;CHAR(125)&amp;IF(TRUE,",",""))</f>
        <v/>
      </c>
    </row>
    <row r="1111">
      <c r="A1111" s="82">
        <f>IF(CriteriTecnici!$A1010="","","    "&amp;CHAR(123)&amp;CHAR(34)&amp;"bidderId"&amp;CHAR(34)&amp;": "&amp;CHAR(34)&amp;SUBSTITUTE(CriteriTecnici!$A1010,CHAR(34),"'")&amp;CHAR(34)&amp;", "&amp;CHAR(34)&amp;"lotId"&amp;CHAR(34)&amp;": "&amp;CHAR(34)&amp;SUBSTITUTE(CriteriTecnici!$C1010,CHAR(34),"'")&amp;CHAR(34)&amp;", "&amp;CHAR(34)&amp;"criterionId"&amp;CHAR(34)&amp;": "&amp;CHAR(34)&amp;SUBSTITUTE(CriteriTecnici!$D1010,CHAR(34),"'")&amp;CHAR(34)&amp;", "&amp;CHAR(34)&amp;"kind"&amp;CHAR(34)&amp;": "&amp;CHAR(34)&amp;SUBSTITUTE(CriteriTecnici!$F1010,CHAR(34),"'")&amp;CHAR(34)&amp;", "&amp;CHAR(34)&amp;"value"&amp;CHAR(34)&amp;": "&amp;SUBSTITUTE(TRIM(ROUND(IFERROR(CriteriTecnici!$N1010*1,IFERROR(NUMBERVALUE(CriteriTecnici!$N1010,".",","),IFERROR(NUMBERVALUE(CriteriTecnici!$N1010,",","."),0))),4)&amp;""),",",".")&amp;", "&amp;CHAR(34)&amp;"numerator"&amp;CHAR(34)&amp;": "&amp;SUBSTITUTE(TRIM(ROUND(IFERROR(CriteriTecnici!$K1010*1,IFERROR(NUMBERVALUE(CriteriTecnici!$K1010,".",","),IFERROR(NUMBERVALUE(CriteriTecnici!$K1010,",","."),0))),4)&amp;""),",",".")&amp;", "&amp;CHAR(34)&amp;"denominator"&amp;CHAR(34)&amp;": "&amp;SUBSTITUTE(TRIM(ROUND(IFERROR(CriteriTecnici!$L1010*1,IFERROR(NUMBERVALUE(CriteriTecnici!$L1010,".",","),IFERROR(NUMBERVALUE(CriteriTecnici!$L1010,",","."),0))),4)&amp;""),",",".")&amp;", "&amp;CHAR(34)&amp;"flag"&amp;CHAR(34)&amp;": "&amp;SUBSTITUTE(TRIM(ROUND(IFERROR(CriteriTecnici!$M1010*1,IFERROR(NUMBERVALUE(CriteriTecnici!$M1010,".",","),IFERROR(NUMBERVALUE(CriteriTecnici!$M1010,",","."),0))),4)&amp;""),",",".")&amp;", "&amp;CHAR(34)&amp;"rawScore"&amp;CHAR(34)&amp;": "&amp;SUBSTITUTE(TRIM(ROUND(IFERROR(CriteriTecnici!$O1010*1,IFERROR(NUMBERVALUE(CriteriTecnici!$O1010,".",","),IFERROR(NUMBERVALUE(CriteriTecnici!$O1010,",","."),0))),4)&amp;""),",",".")&amp;CHAR(125)&amp;IF(TRUE,",",""))</f>
        <v/>
      </c>
    </row>
    <row r="1112">
      <c r="A1112" s="82">
        <f>IF(CriteriTecnici!$A1011="","","    "&amp;CHAR(123)&amp;CHAR(34)&amp;"bidderId"&amp;CHAR(34)&amp;": "&amp;CHAR(34)&amp;SUBSTITUTE(CriteriTecnici!$A1011,CHAR(34),"'")&amp;CHAR(34)&amp;", "&amp;CHAR(34)&amp;"lotId"&amp;CHAR(34)&amp;": "&amp;CHAR(34)&amp;SUBSTITUTE(CriteriTecnici!$C1011,CHAR(34),"'")&amp;CHAR(34)&amp;", "&amp;CHAR(34)&amp;"criterionId"&amp;CHAR(34)&amp;": "&amp;CHAR(34)&amp;SUBSTITUTE(CriteriTecnici!$D1011,CHAR(34),"'")&amp;CHAR(34)&amp;", "&amp;CHAR(34)&amp;"kind"&amp;CHAR(34)&amp;": "&amp;CHAR(34)&amp;SUBSTITUTE(CriteriTecnici!$F1011,CHAR(34),"'")&amp;CHAR(34)&amp;", "&amp;CHAR(34)&amp;"value"&amp;CHAR(34)&amp;": "&amp;SUBSTITUTE(TRIM(ROUND(IFERROR(CriteriTecnici!$N1011*1,IFERROR(NUMBERVALUE(CriteriTecnici!$N1011,".",","),IFERROR(NUMBERVALUE(CriteriTecnici!$N1011,",","."),0))),4)&amp;""),",",".")&amp;", "&amp;CHAR(34)&amp;"numerator"&amp;CHAR(34)&amp;": "&amp;SUBSTITUTE(TRIM(ROUND(IFERROR(CriteriTecnici!$K1011*1,IFERROR(NUMBERVALUE(CriteriTecnici!$K1011,".",","),IFERROR(NUMBERVALUE(CriteriTecnici!$K1011,",","."),0))),4)&amp;""),",",".")&amp;", "&amp;CHAR(34)&amp;"denominator"&amp;CHAR(34)&amp;": "&amp;SUBSTITUTE(TRIM(ROUND(IFERROR(CriteriTecnici!$L1011*1,IFERROR(NUMBERVALUE(CriteriTecnici!$L1011,".",","),IFERROR(NUMBERVALUE(CriteriTecnici!$L1011,",","."),0))),4)&amp;""),",",".")&amp;", "&amp;CHAR(34)&amp;"flag"&amp;CHAR(34)&amp;": "&amp;SUBSTITUTE(TRIM(ROUND(IFERROR(CriteriTecnici!$M1011*1,IFERROR(NUMBERVALUE(CriteriTecnici!$M1011,".",","),IFERROR(NUMBERVALUE(CriteriTecnici!$M1011,",","."),0))),4)&amp;""),",",".")&amp;", "&amp;CHAR(34)&amp;"rawScore"&amp;CHAR(34)&amp;": "&amp;SUBSTITUTE(TRIM(ROUND(IFERROR(CriteriTecnici!$O1011*1,IFERROR(NUMBERVALUE(CriteriTecnici!$O1011,".",","),IFERROR(NUMBERVALUE(CriteriTecnici!$O1011,",","."),0))),4)&amp;""),",",".")&amp;CHAR(125)&amp;IF(TRUE,",",""))</f>
        <v/>
      </c>
    </row>
    <row r="1113">
      <c r="A1113" s="82">
        <f>IF(CriteriTecnici!$A1012="","","    "&amp;CHAR(123)&amp;CHAR(34)&amp;"bidderId"&amp;CHAR(34)&amp;": "&amp;CHAR(34)&amp;SUBSTITUTE(CriteriTecnici!$A1012,CHAR(34),"'")&amp;CHAR(34)&amp;", "&amp;CHAR(34)&amp;"lotId"&amp;CHAR(34)&amp;": "&amp;CHAR(34)&amp;SUBSTITUTE(CriteriTecnici!$C1012,CHAR(34),"'")&amp;CHAR(34)&amp;", "&amp;CHAR(34)&amp;"criterionId"&amp;CHAR(34)&amp;": "&amp;CHAR(34)&amp;SUBSTITUTE(CriteriTecnici!$D1012,CHAR(34),"'")&amp;CHAR(34)&amp;", "&amp;CHAR(34)&amp;"kind"&amp;CHAR(34)&amp;": "&amp;CHAR(34)&amp;SUBSTITUTE(CriteriTecnici!$F1012,CHAR(34),"'")&amp;CHAR(34)&amp;", "&amp;CHAR(34)&amp;"value"&amp;CHAR(34)&amp;": "&amp;SUBSTITUTE(TRIM(ROUND(IFERROR(CriteriTecnici!$N1012*1,IFERROR(NUMBERVALUE(CriteriTecnici!$N1012,".",","),IFERROR(NUMBERVALUE(CriteriTecnici!$N1012,",","."),0))),4)&amp;""),",",".")&amp;", "&amp;CHAR(34)&amp;"numerator"&amp;CHAR(34)&amp;": "&amp;SUBSTITUTE(TRIM(ROUND(IFERROR(CriteriTecnici!$K1012*1,IFERROR(NUMBERVALUE(CriteriTecnici!$K1012,".",","),IFERROR(NUMBERVALUE(CriteriTecnici!$K1012,",","."),0))),4)&amp;""),",",".")&amp;", "&amp;CHAR(34)&amp;"denominator"&amp;CHAR(34)&amp;": "&amp;SUBSTITUTE(TRIM(ROUND(IFERROR(CriteriTecnici!$L1012*1,IFERROR(NUMBERVALUE(CriteriTecnici!$L1012,".",","),IFERROR(NUMBERVALUE(CriteriTecnici!$L1012,",","."),0))),4)&amp;""),",",".")&amp;", "&amp;CHAR(34)&amp;"flag"&amp;CHAR(34)&amp;": "&amp;SUBSTITUTE(TRIM(ROUND(IFERROR(CriteriTecnici!$M1012*1,IFERROR(NUMBERVALUE(CriteriTecnici!$M1012,".",","),IFERROR(NUMBERVALUE(CriteriTecnici!$M1012,",","."),0))),4)&amp;""),",",".")&amp;", "&amp;CHAR(34)&amp;"rawScore"&amp;CHAR(34)&amp;": "&amp;SUBSTITUTE(TRIM(ROUND(IFERROR(CriteriTecnici!$O1012*1,IFERROR(NUMBERVALUE(CriteriTecnici!$O1012,".",","),IFERROR(NUMBERVALUE(CriteriTecnici!$O1012,",","."),0))),4)&amp;""),",",".")&amp;CHAR(125)&amp;IF(TRUE,",",""))</f>
        <v/>
      </c>
    </row>
    <row r="1114">
      <c r="A1114" s="82">
        <f>IF(CriteriTecnici!$A1013="","","    "&amp;CHAR(123)&amp;CHAR(34)&amp;"bidderId"&amp;CHAR(34)&amp;": "&amp;CHAR(34)&amp;SUBSTITUTE(CriteriTecnici!$A1013,CHAR(34),"'")&amp;CHAR(34)&amp;", "&amp;CHAR(34)&amp;"lotId"&amp;CHAR(34)&amp;": "&amp;CHAR(34)&amp;SUBSTITUTE(CriteriTecnici!$C1013,CHAR(34),"'")&amp;CHAR(34)&amp;", "&amp;CHAR(34)&amp;"criterionId"&amp;CHAR(34)&amp;": "&amp;CHAR(34)&amp;SUBSTITUTE(CriteriTecnici!$D1013,CHAR(34),"'")&amp;CHAR(34)&amp;", "&amp;CHAR(34)&amp;"kind"&amp;CHAR(34)&amp;": "&amp;CHAR(34)&amp;SUBSTITUTE(CriteriTecnici!$F1013,CHAR(34),"'")&amp;CHAR(34)&amp;", "&amp;CHAR(34)&amp;"value"&amp;CHAR(34)&amp;": "&amp;SUBSTITUTE(TRIM(ROUND(IFERROR(CriteriTecnici!$N1013*1,IFERROR(NUMBERVALUE(CriteriTecnici!$N1013,".",","),IFERROR(NUMBERVALUE(CriteriTecnici!$N1013,",","."),0))),4)&amp;""),",",".")&amp;", "&amp;CHAR(34)&amp;"numerator"&amp;CHAR(34)&amp;": "&amp;SUBSTITUTE(TRIM(ROUND(IFERROR(CriteriTecnici!$K1013*1,IFERROR(NUMBERVALUE(CriteriTecnici!$K1013,".",","),IFERROR(NUMBERVALUE(CriteriTecnici!$K1013,",","."),0))),4)&amp;""),",",".")&amp;", "&amp;CHAR(34)&amp;"denominator"&amp;CHAR(34)&amp;": "&amp;SUBSTITUTE(TRIM(ROUND(IFERROR(CriteriTecnici!$L1013*1,IFERROR(NUMBERVALUE(CriteriTecnici!$L1013,".",","),IFERROR(NUMBERVALUE(CriteriTecnici!$L1013,",","."),0))),4)&amp;""),",",".")&amp;", "&amp;CHAR(34)&amp;"flag"&amp;CHAR(34)&amp;": "&amp;SUBSTITUTE(TRIM(ROUND(IFERROR(CriteriTecnici!$M1013*1,IFERROR(NUMBERVALUE(CriteriTecnici!$M1013,".",","),IFERROR(NUMBERVALUE(CriteriTecnici!$M1013,",","."),0))),4)&amp;""),",",".")&amp;", "&amp;CHAR(34)&amp;"rawScore"&amp;CHAR(34)&amp;": "&amp;SUBSTITUTE(TRIM(ROUND(IFERROR(CriteriTecnici!$O1013*1,IFERROR(NUMBERVALUE(CriteriTecnici!$O1013,".",","),IFERROR(NUMBERVALUE(CriteriTecnici!$O1013,",","."),0))),4)&amp;""),",",".")&amp;CHAR(125)&amp;IF(TRUE,",",""))</f>
        <v/>
      </c>
    </row>
    <row r="1115">
      <c r="A1115" s="82">
        <f>IF(CriteriTecnici!$A1014="","","    "&amp;CHAR(123)&amp;CHAR(34)&amp;"bidderId"&amp;CHAR(34)&amp;": "&amp;CHAR(34)&amp;SUBSTITUTE(CriteriTecnici!$A1014,CHAR(34),"'")&amp;CHAR(34)&amp;", "&amp;CHAR(34)&amp;"lotId"&amp;CHAR(34)&amp;": "&amp;CHAR(34)&amp;SUBSTITUTE(CriteriTecnici!$C1014,CHAR(34),"'")&amp;CHAR(34)&amp;", "&amp;CHAR(34)&amp;"criterionId"&amp;CHAR(34)&amp;": "&amp;CHAR(34)&amp;SUBSTITUTE(CriteriTecnici!$D1014,CHAR(34),"'")&amp;CHAR(34)&amp;", "&amp;CHAR(34)&amp;"kind"&amp;CHAR(34)&amp;": "&amp;CHAR(34)&amp;SUBSTITUTE(CriteriTecnici!$F1014,CHAR(34),"'")&amp;CHAR(34)&amp;", "&amp;CHAR(34)&amp;"value"&amp;CHAR(34)&amp;": "&amp;SUBSTITUTE(TRIM(ROUND(IFERROR(CriteriTecnici!$N1014*1,IFERROR(NUMBERVALUE(CriteriTecnici!$N1014,".",","),IFERROR(NUMBERVALUE(CriteriTecnici!$N1014,",","."),0))),4)&amp;""),",",".")&amp;", "&amp;CHAR(34)&amp;"numerator"&amp;CHAR(34)&amp;": "&amp;SUBSTITUTE(TRIM(ROUND(IFERROR(CriteriTecnici!$K1014*1,IFERROR(NUMBERVALUE(CriteriTecnici!$K1014,".",","),IFERROR(NUMBERVALUE(CriteriTecnici!$K1014,",","."),0))),4)&amp;""),",",".")&amp;", "&amp;CHAR(34)&amp;"denominator"&amp;CHAR(34)&amp;": "&amp;SUBSTITUTE(TRIM(ROUND(IFERROR(CriteriTecnici!$L1014*1,IFERROR(NUMBERVALUE(CriteriTecnici!$L1014,".",","),IFERROR(NUMBERVALUE(CriteriTecnici!$L1014,",","."),0))),4)&amp;""),",",".")&amp;", "&amp;CHAR(34)&amp;"flag"&amp;CHAR(34)&amp;": "&amp;SUBSTITUTE(TRIM(ROUND(IFERROR(CriteriTecnici!$M1014*1,IFERROR(NUMBERVALUE(CriteriTecnici!$M1014,".",","),IFERROR(NUMBERVALUE(CriteriTecnici!$M1014,",","."),0))),4)&amp;""),",",".")&amp;", "&amp;CHAR(34)&amp;"rawScore"&amp;CHAR(34)&amp;": "&amp;SUBSTITUTE(TRIM(ROUND(IFERROR(CriteriTecnici!$O1014*1,IFERROR(NUMBERVALUE(CriteriTecnici!$O1014,".",","),IFERROR(NUMBERVALUE(CriteriTecnici!$O1014,",","."),0))),4)&amp;""),",",".")&amp;CHAR(125)&amp;IF(TRUE,",",""))</f>
        <v/>
      </c>
    </row>
    <row r="1116">
      <c r="A1116" s="82">
        <f>IF(CriteriTecnici!$A1015="","","    "&amp;CHAR(123)&amp;CHAR(34)&amp;"bidderId"&amp;CHAR(34)&amp;": "&amp;CHAR(34)&amp;SUBSTITUTE(CriteriTecnici!$A1015,CHAR(34),"'")&amp;CHAR(34)&amp;", "&amp;CHAR(34)&amp;"lotId"&amp;CHAR(34)&amp;": "&amp;CHAR(34)&amp;SUBSTITUTE(CriteriTecnici!$C1015,CHAR(34),"'")&amp;CHAR(34)&amp;", "&amp;CHAR(34)&amp;"criterionId"&amp;CHAR(34)&amp;": "&amp;CHAR(34)&amp;SUBSTITUTE(CriteriTecnici!$D1015,CHAR(34),"'")&amp;CHAR(34)&amp;", "&amp;CHAR(34)&amp;"kind"&amp;CHAR(34)&amp;": "&amp;CHAR(34)&amp;SUBSTITUTE(CriteriTecnici!$F1015,CHAR(34),"'")&amp;CHAR(34)&amp;", "&amp;CHAR(34)&amp;"value"&amp;CHAR(34)&amp;": "&amp;SUBSTITUTE(TRIM(ROUND(IFERROR(CriteriTecnici!$N1015*1,IFERROR(NUMBERVALUE(CriteriTecnici!$N1015,".",","),IFERROR(NUMBERVALUE(CriteriTecnici!$N1015,",","."),0))),4)&amp;""),",",".")&amp;", "&amp;CHAR(34)&amp;"numerator"&amp;CHAR(34)&amp;": "&amp;SUBSTITUTE(TRIM(ROUND(IFERROR(CriteriTecnici!$K1015*1,IFERROR(NUMBERVALUE(CriteriTecnici!$K1015,".",","),IFERROR(NUMBERVALUE(CriteriTecnici!$K1015,",","."),0))),4)&amp;""),",",".")&amp;", "&amp;CHAR(34)&amp;"denominator"&amp;CHAR(34)&amp;": "&amp;SUBSTITUTE(TRIM(ROUND(IFERROR(CriteriTecnici!$L1015*1,IFERROR(NUMBERVALUE(CriteriTecnici!$L1015,".",","),IFERROR(NUMBERVALUE(CriteriTecnici!$L1015,",","."),0))),4)&amp;""),",",".")&amp;", "&amp;CHAR(34)&amp;"flag"&amp;CHAR(34)&amp;": "&amp;SUBSTITUTE(TRIM(ROUND(IFERROR(CriteriTecnici!$M1015*1,IFERROR(NUMBERVALUE(CriteriTecnici!$M1015,".",","),IFERROR(NUMBERVALUE(CriteriTecnici!$M1015,",","."),0))),4)&amp;""),",",".")&amp;", "&amp;CHAR(34)&amp;"rawScore"&amp;CHAR(34)&amp;": "&amp;SUBSTITUTE(TRIM(ROUND(IFERROR(CriteriTecnici!$O1015*1,IFERROR(NUMBERVALUE(CriteriTecnici!$O1015,".",","),IFERROR(NUMBERVALUE(CriteriTecnici!$O1015,",","."),0))),4)&amp;""),",",".")&amp;CHAR(125)&amp;IF(TRUE,",",""))</f>
        <v/>
      </c>
    </row>
    <row r="1117">
      <c r="A1117" s="82">
        <f>IF(CriteriTecnici!$A1016="","","    "&amp;CHAR(123)&amp;CHAR(34)&amp;"bidderId"&amp;CHAR(34)&amp;": "&amp;CHAR(34)&amp;SUBSTITUTE(CriteriTecnici!$A1016,CHAR(34),"'")&amp;CHAR(34)&amp;", "&amp;CHAR(34)&amp;"lotId"&amp;CHAR(34)&amp;": "&amp;CHAR(34)&amp;SUBSTITUTE(CriteriTecnici!$C1016,CHAR(34),"'")&amp;CHAR(34)&amp;", "&amp;CHAR(34)&amp;"criterionId"&amp;CHAR(34)&amp;": "&amp;CHAR(34)&amp;SUBSTITUTE(CriteriTecnici!$D1016,CHAR(34),"'")&amp;CHAR(34)&amp;", "&amp;CHAR(34)&amp;"kind"&amp;CHAR(34)&amp;": "&amp;CHAR(34)&amp;SUBSTITUTE(CriteriTecnici!$F1016,CHAR(34),"'")&amp;CHAR(34)&amp;", "&amp;CHAR(34)&amp;"value"&amp;CHAR(34)&amp;": "&amp;SUBSTITUTE(TRIM(ROUND(IFERROR(CriteriTecnici!$N1016*1,IFERROR(NUMBERVALUE(CriteriTecnici!$N1016,".",","),IFERROR(NUMBERVALUE(CriteriTecnici!$N1016,",","."),0))),4)&amp;""),",",".")&amp;", "&amp;CHAR(34)&amp;"numerator"&amp;CHAR(34)&amp;": "&amp;SUBSTITUTE(TRIM(ROUND(IFERROR(CriteriTecnici!$K1016*1,IFERROR(NUMBERVALUE(CriteriTecnici!$K1016,".",","),IFERROR(NUMBERVALUE(CriteriTecnici!$K1016,",","."),0))),4)&amp;""),",",".")&amp;", "&amp;CHAR(34)&amp;"denominator"&amp;CHAR(34)&amp;": "&amp;SUBSTITUTE(TRIM(ROUND(IFERROR(CriteriTecnici!$L1016*1,IFERROR(NUMBERVALUE(CriteriTecnici!$L1016,".",","),IFERROR(NUMBERVALUE(CriteriTecnici!$L1016,",","."),0))),4)&amp;""),",",".")&amp;", "&amp;CHAR(34)&amp;"flag"&amp;CHAR(34)&amp;": "&amp;SUBSTITUTE(TRIM(ROUND(IFERROR(CriteriTecnici!$M1016*1,IFERROR(NUMBERVALUE(CriteriTecnici!$M1016,".",","),IFERROR(NUMBERVALUE(CriteriTecnici!$M1016,",","."),0))),4)&amp;""),",",".")&amp;", "&amp;CHAR(34)&amp;"rawScore"&amp;CHAR(34)&amp;": "&amp;SUBSTITUTE(TRIM(ROUND(IFERROR(CriteriTecnici!$O1016*1,IFERROR(NUMBERVALUE(CriteriTecnici!$O1016,".",","),IFERROR(NUMBERVALUE(CriteriTecnici!$O1016,",","."),0))),4)&amp;""),",",".")&amp;CHAR(125)&amp;IF(TRUE,",",""))</f>
        <v/>
      </c>
    </row>
    <row r="1118">
      <c r="A1118" s="82">
        <f>IF(CriteriTecnici!$A1017="","","    "&amp;CHAR(123)&amp;CHAR(34)&amp;"bidderId"&amp;CHAR(34)&amp;": "&amp;CHAR(34)&amp;SUBSTITUTE(CriteriTecnici!$A1017,CHAR(34),"'")&amp;CHAR(34)&amp;", "&amp;CHAR(34)&amp;"lotId"&amp;CHAR(34)&amp;": "&amp;CHAR(34)&amp;SUBSTITUTE(CriteriTecnici!$C1017,CHAR(34),"'")&amp;CHAR(34)&amp;", "&amp;CHAR(34)&amp;"criterionId"&amp;CHAR(34)&amp;": "&amp;CHAR(34)&amp;SUBSTITUTE(CriteriTecnici!$D1017,CHAR(34),"'")&amp;CHAR(34)&amp;", "&amp;CHAR(34)&amp;"kind"&amp;CHAR(34)&amp;": "&amp;CHAR(34)&amp;SUBSTITUTE(CriteriTecnici!$F1017,CHAR(34),"'")&amp;CHAR(34)&amp;", "&amp;CHAR(34)&amp;"value"&amp;CHAR(34)&amp;": "&amp;SUBSTITUTE(TRIM(ROUND(IFERROR(CriteriTecnici!$N1017*1,IFERROR(NUMBERVALUE(CriteriTecnici!$N1017,".",","),IFERROR(NUMBERVALUE(CriteriTecnici!$N1017,",","."),0))),4)&amp;""),",",".")&amp;", "&amp;CHAR(34)&amp;"numerator"&amp;CHAR(34)&amp;": "&amp;SUBSTITUTE(TRIM(ROUND(IFERROR(CriteriTecnici!$K1017*1,IFERROR(NUMBERVALUE(CriteriTecnici!$K1017,".",","),IFERROR(NUMBERVALUE(CriteriTecnici!$K1017,",","."),0))),4)&amp;""),",",".")&amp;", "&amp;CHAR(34)&amp;"denominator"&amp;CHAR(34)&amp;": "&amp;SUBSTITUTE(TRIM(ROUND(IFERROR(CriteriTecnici!$L1017*1,IFERROR(NUMBERVALUE(CriteriTecnici!$L1017,".",","),IFERROR(NUMBERVALUE(CriteriTecnici!$L1017,",","."),0))),4)&amp;""),",",".")&amp;", "&amp;CHAR(34)&amp;"flag"&amp;CHAR(34)&amp;": "&amp;SUBSTITUTE(TRIM(ROUND(IFERROR(CriteriTecnici!$M1017*1,IFERROR(NUMBERVALUE(CriteriTecnici!$M1017,".",","),IFERROR(NUMBERVALUE(CriteriTecnici!$M1017,",","."),0))),4)&amp;""),",",".")&amp;", "&amp;CHAR(34)&amp;"rawScore"&amp;CHAR(34)&amp;": "&amp;SUBSTITUTE(TRIM(ROUND(IFERROR(CriteriTecnici!$O1017*1,IFERROR(NUMBERVALUE(CriteriTecnici!$O1017,".",","),IFERROR(NUMBERVALUE(CriteriTecnici!$O1017,",","."),0))),4)&amp;""),",",".")&amp;CHAR(125)&amp;IF(TRUE,",",""))</f>
        <v/>
      </c>
    </row>
    <row r="1119">
      <c r="A1119" s="82">
        <f>IF(CriteriTecnici!$A1018="","","    "&amp;CHAR(123)&amp;CHAR(34)&amp;"bidderId"&amp;CHAR(34)&amp;": "&amp;CHAR(34)&amp;SUBSTITUTE(CriteriTecnici!$A1018,CHAR(34),"'")&amp;CHAR(34)&amp;", "&amp;CHAR(34)&amp;"lotId"&amp;CHAR(34)&amp;": "&amp;CHAR(34)&amp;SUBSTITUTE(CriteriTecnici!$C1018,CHAR(34),"'")&amp;CHAR(34)&amp;", "&amp;CHAR(34)&amp;"criterionId"&amp;CHAR(34)&amp;": "&amp;CHAR(34)&amp;SUBSTITUTE(CriteriTecnici!$D1018,CHAR(34),"'")&amp;CHAR(34)&amp;", "&amp;CHAR(34)&amp;"kind"&amp;CHAR(34)&amp;": "&amp;CHAR(34)&amp;SUBSTITUTE(CriteriTecnici!$F1018,CHAR(34),"'")&amp;CHAR(34)&amp;", "&amp;CHAR(34)&amp;"value"&amp;CHAR(34)&amp;": "&amp;SUBSTITUTE(TRIM(ROUND(IFERROR(CriteriTecnici!$N1018*1,IFERROR(NUMBERVALUE(CriteriTecnici!$N1018,".",","),IFERROR(NUMBERVALUE(CriteriTecnici!$N1018,",","."),0))),4)&amp;""),",",".")&amp;", "&amp;CHAR(34)&amp;"numerator"&amp;CHAR(34)&amp;": "&amp;SUBSTITUTE(TRIM(ROUND(IFERROR(CriteriTecnici!$K1018*1,IFERROR(NUMBERVALUE(CriteriTecnici!$K1018,".",","),IFERROR(NUMBERVALUE(CriteriTecnici!$K1018,",","."),0))),4)&amp;""),",",".")&amp;", "&amp;CHAR(34)&amp;"denominator"&amp;CHAR(34)&amp;": "&amp;SUBSTITUTE(TRIM(ROUND(IFERROR(CriteriTecnici!$L1018*1,IFERROR(NUMBERVALUE(CriteriTecnici!$L1018,".",","),IFERROR(NUMBERVALUE(CriteriTecnici!$L1018,",","."),0))),4)&amp;""),",",".")&amp;", "&amp;CHAR(34)&amp;"flag"&amp;CHAR(34)&amp;": "&amp;SUBSTITUTE(TRIM(ROUND(IFERROR(CriteriTecnici!$M1018*1,IFERROR(NUMBERVALUE(CriteriTecnici!$M1018,".",","),IFERROR(NUMBERVALUE(CriteriTecnici!$M1018,",","."),0))),4)&amp;""),",",".")&amp;", "&amp;CHAR(34)&amp;"rawScore"&amp;CHAR(34)&amp;": "&amp;SUBSTITUTE(TRIM(ROUND(IFERROR(CriteriTecnici!$O1018*1,IFERROR(NUMBERVALUE(CriteriTecnici!$O1018,".",","),IFERROR(NUMBERVALUE(CriteriTecnici!$O1018,",","."),0))),4)&amp;""),",",".")&amp;CHAR(125)&amp;IF(TRUE,",",""))</f>
        <v/>
      </c>
    </row>
    <row r="1120">
      <c r="A1120" s="82">
        <f>IF(CriteriTecnici!$A1019="","","    "&amp;CHAR(123)&amp;CHAR(34)&amp;"bidderId"&amp;CHAR(34)&amp;": "&amp;CHAR(34)&amp;SUBSTITUTE(CriteriTecnici!$A1019,CHAR(34),"'")&amp;CHAR(34)&amp;", "&amp;CHAR(34)&amp;"lotId"&amp;CHAR(34)&amp;": "&amp;CHAR(34)&amp;SUBSTITUTE(CriteriTecnici!$C1019,CHAR(34),"'")&amp;CHAR(34)&amp;", "&amp;CHAR(34)&amp;"criterionId"&amp;CHAR(34)&amp;": "&amp;CHAR(34)&amp;SUBSTITUTE(CriteriTecnici!$D1019,CHAR(34),"'")&amp;CHAR(34)&amp;", "&amp;CHAR(34)&amp;"kind"&amp;CHAR(34)&amp;": "&amp;CHAR(34)&amp;SUBSTITUTE(CriteriTecnici!$F1019,CHAR(34),"'")&amp;CHAR(34)&amp;", "&amp;CHAR(34)&amp;"value"&amp;CHAR(34)&amp;": "&amp;SUBSTITUTE(TRIM(ROUND(IFERROR(CriteriTecnici!$N1019*1,IFERROR(NUMBERVALUE(CriteriTecnici!$N1019,".",","),IFERROR(NUMBERVALUE(CriteriTecnici!$N1019,",","."),0))),4)&amp;""),",",".")&amp;", "&amp;CHAR(34)&amp;"numerator"&amp;CHAR(34)&amp;": "&amp;SUBSTITUTE(TRIM(ROUND(IFERROR(CriteriTecnici!$K1019*1,IFERROR(NUMBERVALUE(CriteriTecnici!$K1019,".",","),IFERROR(NUMBERVALUE(CriteriTecnici!$K1019,",","."),0))),4)&amp;""),",",".")&amp;", "&amp;CHAR(34)&amp;"denominator"&amp;CHAR(34)&amp;": "&amp;SUBSTITUTE(TRIM(ROUND(IFERROR(CriteriTecnici!$L1019*1,IFERROR(NUMBERVALUE(CriteriTecnici!$L1019,".",","),IFERROR(NUMBERVALUE(CriteriTecnici!$L1019,",","."),0))),4)&amp;""),",",".")&amp;", "&amp;CHAR(34)&amp;"flag"&amp;CHAR(34)&amp;": "&amp;SUBSTITUTE(TRIM(ROUND(IFERROR(CriteriTecnici!$M1019*1,IFERROR(NUMBERVALUE(CriteriTecnici!$M1019,".",","),IFERROR(NUMBERVALUE(CriteriTecnici!$M1019,",","."),0))),4)&amp;""),",",".")&amp;", "&amp;CHAR(34)&amp;"rawScore"&amp;CHAR(34)&amp;": "&amp;SUBSTITUTE(TRIM(ROUND(IFERROR(CriteriTecnici!$O1019*1,IFERROR(NUMBERVALUE(CriteriTecnici!$O1019,".",","),IFERROR(NUMBERVALUE(CriteriTecnici!$O1019,",","."),0))),4)&amp;""),",",".")&amp;CHAR(125)&amp;IF(TRUE,",",""))</f>
        <v/>
      </c>
    </row>
    <row r="1121">
      <c r="A1121" s="82">
        <f>IF(CriteriTecnici!$A1020="","","    "&amp;CHAR(123)&amp;CHAR(34)&amp;"bidderId"&amp;CHAR(34)&amp;": "&amp;CHAR(34)&amp;SUBSTITUTE(CriteriTecnici!$A1020,CHAR(34),"'")&amp;CHAR(34)&amp;", "&amp;CHAR(34)&amp;"lotId"&amp;CHAR(34)&amp;": "&amp;CHAR(34)&amp;SUBSTITUTE(CriteriTecnici!$C1020,CHAR(34),"'")&amp;CHAR(34)&amp;", "&amp;CHAR(34)&amp;"criterionId"&amp;CHAR(34)&amp;": "&amp;CHAR(34)&amp;SUBSTITUTE(CriteriTecnici!$D1020,CHAR(34),"'")&amp;CHAR(34)&amp;", "&amp;CHAR(34)&amp;"kind"&amp;CHAR(34)&amp;": "&amp;CHAR(34)&amp;SUBSTITUTE(CriteriTecnici!$F1020,CHAR(34),"'")&amp;CHAR(34)&amp;", "&amp;CHAR(34)&amp;"value"&amp;CHAR(34)&amp;": "&amp;SUBSTITUTE(TRIM(ROUND(IFERROR(CriteriTecnici!$N1020*1,IFERROR(NUMBERVALUE(CriteriTecnici!$N1020,".",","),IFERROR(NUMBERVALUE(CriteriTecnici!$N1020,",","."),0))),4)&amp;""),",",".")&amp;", "&amp;CHAR(34)&amp;"numerator"&amp;CHAR(34)&amp;": "&amp;SUBSTITUTE(TRIM(ROUND(IFERROR(CriteriTecnici!$K1020*1,IFERROR(NUMBERVALUE(CriteriTecnici!$K1020,".",","),IFERROR(NUMBERVALUE(CriteriTecnici!$K1020,",","."),0))),4)&amp;""),",",".")&amp;", "&amp;CHAR(34)&amp;"denominator"&amp;CHAR(34)&amp;": "&amp;SUBSTITUTE(TRIM(ROUND(IFERROR(CriteriTecnici!$L1020*1,IFERROR(NUMBERVALUE(CriteriTecnici!$L1020,".",","),IFERROR(NUMBERVALUE(CriteriTecnici!$L1020,",","."),0))),4)&amp;""),",",".")&amp;", "&amp;CHAR(34)&amp;"flag"&amp;CHAR(34)&amp;": "&amp;SUBSTITUTE(TRIM(ROUND(IFERROR(CriteriTecnici!$M1020*1,IFERROR(NUMBERVALUE(CriteriTecnici!$M1020,".",","),IFERROR(NUMBERVALUE(CriteriTecnici!$M1020,",","."),0))),4)&amp;""),",",".")&amp;", "&amp;CHAR(34)&amp;"rawScore"&amp;CHAR(34)&amp;": "&amp;SUBSTITUTE(TRIM(ROUND(IFERROR(CriteriTecnici!$O1020*1,IFERROR(NUMBERVALUE(CriteriTecnici!$O1020,".",","),IFERROR(NUMBERVALUE(CriteriTecnici!$O1020,",","."),0))),4)&amp;""),",",".")&amp;CHAR(125)&amp;IF(TRUE,",",""))</f>
        <v/>
      </c>
    </row>
    <row r="1122">
      <c r="A1122" s="82">
        <f>IF(CriteriTecnici!$A1021="","","    "&amp;CHAR(123)&amp;CHAR(34)&amp;"bidderId"&amp;CHAR(34)&amp;": "&amp;CHAR(34)&amp;SUBSTITUTE(CriteriTecnici!$A1021,CHAR(34),"'")&amp;CHAR(34)&amp;", "&amp;CHAR(34)&amp;"lotId"&amp;CHAR(34)&amp;": "&amp;CHAR(34)&amp;SUBSTITUTE(CriteriTecnici!$C1021,CHAR(34),"'")&amp;CHAR(34)&amp;", "&amp;CHAR(34)&amp;"criterionId"&amp;CHAR(34)&amp;": "&amp;CHAR(34)&amp;SUBSTITUTE(CriteriTecnici!$D1021,CHAR(34),"'")&amp;CHAR(34)&amp;", "&amp;CHAR(34)&amp;"kind"&amp;CHAR(34)&amp;": "&amp;CHAR(34)&amp;SUBSTITUTE(CriteriTecnici!$F1021,CHAR(34),"'")&amp;CHAR(34)&amp;", "&amp;CHAR(34)&amp;"value"&amp;CHAR(34)&amp;": "&amp;SUBSTITUTE(TRIM(ROUND(IFERROR(CriteriTecnici!$N1021*1,IFERROR(NUMBERVALUE(CriteriTecnici!$N1021,".",","),IFERROR(NUMBERVALUE(CriteriTecnici!$N1021,",","."),0))),4)&amp;""),",",".")&amp;", "&amp;CHAR(34)&amp;"numerator"&amp;CHAR(34)&amp;": "&amp;SUBSTITUTE(TRIM(ROUND(IFERROR(CriteriTecnici!$K1021*1,IFERROR(NUMBERVALUE(CriteriTecnici!$K1021,".",","),IFERROR(NUMBERVALUE(CriteriTecnici!$K1021,",","."),0))),4)&amp;""),",",".")&amp;", "&amp;CHAR(34)&amp;"denominator"&amp;CHAR(34)&amp;": "&amp;SUBSTITUTE(TRIM(ROUND(IFERROR(CriteriTecnici!$L1021*1,IFERROR(NUMBERVALUE(CriteriTecnici!$L1021,".",","),IFERROR(NUMBERVALUE(CriteriTecnici!$L1021,",","."),0))),4)&amp;""),",",".")&amp;", "&amp;CHAR(34)&amp;"flag"&amp;CHAR(34)&amp;": "&amp;SUBSTITUTE(TRIM(ROUND(IFERROR(CriteriTecnici!$M1021*1,IFERROR(NUMBERVALUE(CriteriTecnici!$M1021,".",","),IFERROR(NUMBERVALUE(CriteriTecnici!$M1021,",","."),0))),4)&amp;""),",",".")&amp;", "&amp;CHAR(34)&amp;"rawScore"&amp;CHAR(34)&amp;": "&amp;SUBSTITUTE(TRIM(ROUND(IFERROR(CriteriTecnici!$O1021*1,IFERROR(NUMBERVALUE(CriteriTecnici!$O1021,".",","),IFERROR(NUMBERVALUE(CriteriTecnici!$O1021,",","."),0))),4)&amp;""),",",".")&amp;CHAR(125)&amp;IF(TRUE,",",""))</f>
        <v/>
      </c>
    </row>
    <row r="1123">
      <c r="A1123" s="82">
        <f>IF(CriteriTecnici!$A1022="","","    "&amp;CHAR(123)&amp;CHAR(34)&amp;"bidderId"&amp;CHAR(34)&amp;": "&amp;CHAR(34)&amp;SUBSTITUTE(CriteriTecnici!$A1022,CHAR(34),"'")&amp;CHAR(34)&amp;", "&amp;CHAR(34)&amp;"lotId"&amp;CHAR(34)&amp;": "&amp;CHAR(34)&amp;SUBSTITUTE(CriteriTecnici!$C1022,CHAR(34),"'")&amp;CHAR(34)&amp;", "&amp;CHAR(34)&amp;"criterionId"&amp;CHAR(34)&amp;": "&amp;CHAR(34)&amp;SUBSTITUTE(CriteriTecnici!$D1022,CHAR(34),"'")&amp;CHAR(34)&amp;", "&amp;CHAR(34)&amp;"kind"&amp;CHAR(34)&amp;": "&amp;CHAR(34)&amp;SUBSTITUTE(CriteriTecnici!$F1022,CHAR(34),"'")&amp;CHAR(34)&amp;", "&amp;CHAR(34)&amp;"value"&amp;CHAR(34)&amp;": "&amp;SUBSTITUTE(TRIM(ROUND(IFERROR(CriteriTecnici!$N1022*1,IFERROR(NUMBERVALUE(CriteriTecnici!$N1022,".",","),IFERROR(NUMBERVALUE(CriteriTecnici!$N1022,",","."),0))),4)&amp;""),",",".")&amp;", "&amp;CHAR(34)&amp;"numerator"&amp;CHAR(34)&amp;": "&amp;SUBSTITUTE(TRIM(ROUND(IFERROR(CriteriTecnici!$K1022*1,IFERROR(NUMBERVALUE(CriteriTecnici!$K1022,".",","),IFERROR(NUMBERVALUE(CriteriTecnici!$K1022,",","."),0))),4)&amp;""),",",".")&amp;", "&amp;CHAR(34)&amp;"denominator"&amp;CHAR(34)&amp;": "&amp;SUBSTITUTE(TRIM(ROUND(IFERROR(CriteriTecnici!$L1022*1,IFERROR(NUMBERVALUE(CriteriTecnici!$L1022,".",","),IFERROR(NUMBERVALUE(CriteriTecnici!$L1022,",","."),0))),4)&amp;""),",",".")&amp;", "&amp;CHAR(34)&amp;"flag"&amp;CHAR(34)&amp;": "&amp;SUBSTITUTE(TRIM(ROUND(IFERROR(CriteriTecnici!$M1022*1,IFERROR(NUMBERVALUE(CriteriTecnici!$M1022,".",","),IFERROR(NUMBERVALUE(CriteriTecnici!$M1022,",","."),0))),4)&amp;""),",",".")&amp;", "&amp;CHAR(34)&amp;"rawScore"&amp;CHAR(34)&amp;": "&amp;SUBSTITUTE(TRIM(ROUND(IFERROR(CriteriTecnici!$O1022*1,IFERROR(NUMBERVALUE(CriteriTecnici!$O1022,".",","),IFERROR(NUMBERVALUE(CriteriTecnici!$O1022,",","."),0))),4)&amp;""),",",".")&amp;CHAR(125)&amp;IF(TRUE,",",""))</f>
        <v/>
      </c>
    </row>
    <row r="1124">
      <c r="A1124" s="82">
        <f>IF(CriteriTecnici!$A1023="","","    "&amp;CHAR(123)&amp;CHAR(34)&amp;"bidderId"&amp;CHAR(34)&amp;": "&amp;CHAR(34)&amp;SUBSTITUTE(CriteriTecnici!$A1023,CHAR(34),"'")&amp;CHAR(34)&amp;", "&amp;CHAR(34)&amp;"lotId"&amp;CHAR(34)&amp;": "&amp;CHAR(34)&amp;SUBSTITUTE(CriteriTecnici!$C1023,CHAR(34),"'")&amp;CHAR(34)&amp;", "&amp;CHAR(34)&amp;"criterionId"&amp;CHAR(34)&amp;": "&amp;CHAR(34)&amp;SUBSTITUTE(CriteriTecnici!$D1023,CHAR(34),"'")&amp;CHAR(34)&amp;", "&amp;CHAR(34)&amp;"kind"&amp;CHAR(34)&amp;": "&amp;CHAR(34)&amp;SUBSTITUTE(CriteriTecnici!$F1023,CHAR(34),"'")&amp;CHAR(34)&amp;", "&amp;CHAR(34)&amp;"value"&amp;CHAR(34)&amp;": "&amp;SUBSTITUTE(TRIM(ROUND(IFERROR(CriteriTecnici!$N1023*1,IFERROR(NUMBERVALUE(CriteriTecnici!$N1023,".",","),IFERROR(NUMBERVALUE(CriteriTecnici!$N1023,",","."),0))),4)&amp;""),",",".")&amp;", "&amp;CHAR(34)&amp;"numerator"&amp;CHAR(34)&amp;": "&amp;SUBSTITUTE(TRIM(ROUND(IFERROR(CriteriTecnici!$K1023*1,IFERROR(NUMBERVALUE(CriteriTecnici!$K1023,".",","),IFERROR(NUMBERVALUE(CriteriTecnici!$K1023,",","."),0))),4)&amp;""),",",".")&amp;", "&amp;CHAR(34)&amp;"denominator"&amp;CHAR(34)&amp;": "&amp;SUBSTITUTE(TRIM(ROUND(IFERROR(CriteriTecnici!$L1023*1,IFERROR(NUMBERVALUE(CriteriTecnici!$L1023,".",","),IFERROR(NUMBERVALUE(CriteriTecnici!$L1023,",","."),0))),4)&amp;""),",",".")&amp;", "&amp;CHAR(34)&amp;"flag"&amp;CHAR(34)&amp;": "&amp;SUBSTITUTE(TRIM(ROUND(IFERROR(CriteriTecnici!$M1023*1,IFERROR(NUMBERVALUE(CriteriTecnici!$M1023,".",","),IFERROR(NUMBERVALUE(CriteriTecnici!$M1023,",","."),0))),4)&amp;""),",",".")&amp;", "&amp;CHAR(34)&amp;"rawScore"&amp;CHAR(34)&amp;": "&amp;SUBSTITUTE(TRIM(ROUND(IFERROR(CriteriTecnici!$O1023*1,IFERROR(NUMBERVALUE(CriteriTecnici!$O1023,".",","),IFERROR(NUMBERVALUE(CriteriTecnici!$O1023,",","."),0))),4)&amp;""),",",".")&amp;CHAR(125)&amp;IF(TRUE,",",""))</f>
        <v/>
      </c>
    </row>
    <row r="1125">
      <c r="A1125" s="82">
        <f>IF(CriteriTecnici!$A1024="","","    "&amp;CHAR(123)&amp;CHAR(34)&amp;"bidderId"&amp;CHAR(34)&amp;": "&amp;CHAR(34)&amp;SUBSTITUTE(CriteriTecnici!$A1024,CHAR(34),"'")&amp;CHAR(34)&amp;", "&amp;CHAR(34)&amp;"lotId"&amp;CHAR(34)&amp;": "&amp;CHAR(34)&amp;SUBSTITUTE(CriteriTecnici!$C1024,CHAR(34),"'")&amp;CHAR(34)&amp;", "&amp;CHAR(34)&amp;"criterionId"&amp;CHAR(34)&amp;": "&amp;CHAR(34)&amp;SUBSTITUTE(CriteriTecnici!$D1024,CHAR(34),"'")&amp;CHAR(34)&amp;", "&amp;CHAR(34)&amp;"kind"&amp;CHAR(34)&amp;": "&amp;CHAR(34)&amp;SUBSTITUTE(CriteriTecnici!$F1024,CHAR(34),"'")&amp;CHAR(34)&amp;", "&amp;CHAR(34)&amp;"value"&amp;CHAR(34)&amp;": "&amp;SUBSTITUTE(TRIM(ROUND(IFERROR(CriteriTecnici!$N1024*1,IFERROR(NUMBERVALUE(CriteriTecnici!$N1024,".",","),IFERROR(NUMBERVALUE(CriteriTecnici!$N1024,",","."),0))),4)&amp;""),",",".")&amp;", "&amp;CHAR(34)&amp;"numerator"&amp;CHAR(34)&amp;": "&amp;SUBSTITUTE(TRIM(ROUND(IFERROR(CriteriTecnici!$K1024*1,IFERROR(NUMBERVALUE(CriteriTecnici!$K1024,".",","),IFERROR(NUMBERVALUE(CriteriTecnici!$K1024,",","."),0))),4)&amp;""),",",".")&amp;", "&amp;CHAR(34)&amp;"denominator"&amp;CHAR(34)&amp;": "&amp;SUBSTITUTE(TRIM(ROUND(IFERROR(CriteriTecnici!$L1024*1,IFERROR(NUMBERVALUE(CriteriTecnici!$L1024,".",","),IFERROR(NUMBERVALUE(CriteriTecnici!$L1024,",","."),0))),4)&amp;""),",",".")&amp;", "&amp;CHAR(34)&amp;"flag"&amp;CHAR(34)&amp;": "&amp;SUBSTITUTE(TRIM(ROUND(IFERROR(CriteriTecnici!$M1024*1,IFERROR(NUMBERVALUE(CriteriTecnici!$M1024,".",","),IFERROR(NUMBERVALUE(CriteriTecnici!$M1024,",","."),0))),4)&amp;""),",",".")&amp;", "&amp;CHAR(34)&amp;"rawScore"&amp;CHAR(34)&amp;": "&amp;SUBSTITUTE(TRIM(ROUND(IFERROR(CriteriTecnici!$O1024*1,IFERROR(NUMBERVALUE(CriteriTecnici!$O1024,".",","),IFERROR(NUMBERVALUE(CriteriTecnici!$O1024,",","."),0))),4)&amp;""),",",".")&amp;CHAR(125)&amp;IF(TRUE,",",""))</f>
        <v/>
      </c>
    </row>
    <row r="1126">
      <c r="A1126" s="82">
        <f>IF(CriteriTecnici!$A1025="","","    "&amp;CHAR(123)&amp;CHAR(34)&amp;"bidderId"&amp;CHAR(34)&amp;": "&amp;CHAR(34)&amp;SUBSTITUTE(CriteriTecnici!$A1025,CHAR(34),"'")&amp;CHAR(34)&amp;", "&amp;CHAR(34)&amp;"lotId"&amp;CHAR(34)&amp;": "&amp;CHAR(34)&amp;SUBSTITUTE(CriteriTecnici!$C1025,CHAR(34),"'")&amp;CHAR(34)&amp;", "&amp;CHAR(34)&amp;"criterionId"&amp;CHAR(34)&amp;": "&amp;CHAR(34)&amp;SUBSTITUTE(CriteriTecnici!$D1025,CHAR(34),"'")&amp;CHAR(34)&amp;", "&amp;CHAR(34)&amp;"kind"&amp;CHAR(34)&amp;": "&amp;CHAR(34)&amp;SUBSTITUTE(CriteriTecnici!$F1025,CHAR(34),"'")&amp;CHAR(34)&amp;", "&amp;CHAR(34)&amp;"value"&amp;CHAR(34)&amp;": "&amp;SUBSTITUTE(TRIM(ROUND(IFERROR(CriteriTecnici!$N1025*1,IFERROR(NUMBERVALUE(CriteriTecnici!$N1025,".",","),IFERROR(NUMBERVALUE(CriteriTecnici!$N1025,",","."),0))),4)&amp;""),",",".")&amp;", "&amp;CHAR(34)&amp;"numerator"&amp;CHAR(34)&amp;": "&amp;SUBSTITUTE(TRIM(ROUND(IFERROR(CriteriTecnici!$K1025*1,IFERROR(NUMBERVALUE(CriteriTecnici!$K1025,".",","),IFERROR(NUMBERVALUE(CriteriTecnici!$K1025,",","."),0))),4)&amp;""),",",".")&amp;", "&amp;CHAR(34)&amp;"denominator"&amp;CHAR(34)&amp;": "&amp;SUBSTITUTE(TRIM(ROUND(IFERROR(CriteriTecnici!$L1025*1,IFERROR(NUMBERVALUE(CriteriTecnici!$L1025,".",","),IFERROR(NUMBERVALUE(CriteriTecnici!$L1025,",","."),0))),4)&amp;""),",",".")&amp;", "&amp;CHAR(34)&amp;"flag"&amp;CHAR(34)&amp;": "&amp;SUBSTITUTE(TRIM(ROUND(IFERROR(CriteriTecnici!$M1025*1,IFERROR(NUMBERVALUE(CriteriTecnici!$M1025,".",","),IFERROR(NUMBERVALUE(CriteriTecnici!$M1025,",","."),0))),4)&amp;""),",",".")&amp;", "&amp;CHAR(34)&amp;"rawScore"&amp;CHAR(34)&amp;": "&amp;SUBSTITUTE(TRIM(ROUND(IFERROR(CriteriTecnici!$O1025*1,IFERROR(NUMBERVALUE(CriteriTecnici!$O1025,".",","),IFERROR(NUMBERVALUE(CriteriTecnici!$O1025,",","."),0))),4)&amp;""),",",".")&amp;CHAR(125)&amp;IF(TRUE,",",""))</f>
        <v/>
      </c>
    </row>
    <row r="1127">
      <c r="A1127" s="82">
        <f>IF(CriteriTecnici!$A1026="","","    "&amp;CHAR(123)&amp;CHAR(34)&amp;"bidderId"&amp;CHAR(34)&amp;": "&amp;CHAR(34)&amp;SUBSTITUTE(CriteriTecnici!$A1026,CHAR(34),"'")&amp;CHAR(34)&amp;", "&amp;CHAR(34)&amp;"lotId"&amp;CHAR(34)&amp;": "&amp;CHAR(34)&amp;SUBSTITUTE(CriteriTecnici!$C1026,CHAR(34),"'")&amp;CHAR(34)&amp;", "&amp;CHAR(34)&amp;"criterionId"&amp;CHAR(34)&amp;": "&amp;CHAR(34)&amp;SUBSTITUTE(CriteriTecnici!$D1026,CHAR(34),"'")&amp;CHAR(34)&amp;", "&amp;CHAR(34)&amp;"kind"&amp;CHAR(34)&amp;": "&amp;CHAR(34)&amp;SUBSTITUTE(CriteriTecnici!$F1026,CHAR(34),"'")&amp;CHAR(34)&amp;", "&amp;CHAR(34)&amp;"value"&amp;CHAR(34)&amp;": "&amp;SUBSTITUTE(TRIM(ROUND(IFERROR(CriteriTecnici!$N1026*1,IFERROR(NUMBERVALUE(CriteriTecnici!$N1026,".",","),IFERROR(NUMBERVALUE(CriteriTecnici!$N1026,",","."),0))),4)&amp;""),",",".")&amp;", "&amp;CHAR(34)&amp;"numerator"&amp;CHAR(34)&amp;": "&amp;SUBSTITUTE(TRIM(ROUND(IFERROR(CriteriTecnici!$K1026*1,IFERROR(NUMBERVALUE(CriteriTecnici!$K1026,".",","),IFERROR(NUMBERVALUE(CriteriTecnici!$K1026,",","."),0))),4)&amp;""),",",".")&amp;", "&amp;CHAR(34)&amp;"denominator"&amp;CHAR(34)&amp;": "&amp;SUBSTITUTE(TRIM(ROUND(IFERROR(CriteriTecnici!$L1026*1,IFERROR(NUMBERVALUE(CriteriTecnici!$L1026,".",","),IFERROR(NUMBERVALUE(CriteriTecnici!$L1026,",","."),0))),4)&amp;""),",",".")&amp;", "&amp;CHAR(34)&amp;"flag"&amp;CHAR(34)&amp;": "&amp;SUBSTITUTE(TRIM(ROUND(IFERROR(CriteriTecnici!$M1026*1,IFERROR(NUMBERVALUE(CriteriTecnici!$M1026,".",","),IFERROR(NUMBERVALUE(CriteriTecnici!$M1026,",","."),0))),4)&amp;""),",",".")&amp;", "&amp;CHAR(34)&amp;"rawScore"&amp;CHAR(34)&amp;": "&amp;SUBSTITUTE(TRIM(ROUND(IFERROR(CriteriTecnici!$O1026*1,IFERROR(NUMBERVALUE(CriteriTecnici!$O1026,".",","),IFERROR(NUMBERVALUE(CriteriTecnici!$O1026,",","."),0))),4)&amp;""),",",".")&amp;CHAR(125)&amp;IF(TRUE,",",""))</f>
        <v/>
      </c>
    </row>
    <row r="1128">
      <c r="A1128" s="82">
        <f>IF(CriteriTecnici!$A1027="","","    "&amp;CHAR(123)&amp;CHAR(34)&amp;"bidderId"&amp;CHAR(34)&amp;": "&amp;CHAR(34)&amp;SUBSTITUTE(CriteriTecnici!$A1027,CHAR(34),"'")&amp;CHAR(34)&amp;", "&amp;CHAR(34)&amp;"lotId"&amp;CHAR(34)&amp;": "&amp;CHAR(34)&amp;SUBSTITUTE(CriteriTecnici!$C1027,CHAR(34),"'")&amp;CHAR(34)&amp;", "&amp;CHAR(34)&amp;"criterionId"&amp;CHAR(34)&amp;": "&amp;CHAR(34)&amp;SUBSTITUTE(CriteriTecnici!$D1027,CHAR(34),"'")&amp;CHAR(34)&amp;", "&amp;CHAR(34)&amp;"kind"&amp;CHAR(34)&amp;": "&amp;CHAR(34)&amp;SUBSTITUTE(CriteriTecnici!$F1027,CHAR(34),"'")&amp;CHAR(34)&amp;", "&amp;CHAR(34)&amp;"value"&amp;CHAR(34)&amp;": "&amp;SUBSTITUTE(TRIM(ROUND(IFERROR(CriteriTecnici!$N1027*1,IFERROR(NUMBERVALUE(CriteriTecnici!$N1027,".",","),IFERROR(NUMBERVALUE(CriteriTecnici!$N1027,",","."),0))),4)&amp;""),",",".")&amp;", "&amp;CHAR(34)&amp;"numerator"&amp;CHAR(34)&amp;": "&amp;SUBSTITUTE(TRIM(ROUND(IFERROR(CriteriTecnici!$K1027*1,IFERROR(NUMBERVALUE(CriteriTecnici!$K1027,".",","),IFERROR(NUMBERVALUE(CriteriTecnici!$K1027,",","."),0))),4)&amp;""),",",".")&amp;", "&amp;CHAR(34)&amp;"denominator"&amp;CHAR(34)&amp;": "&amp;SUBSTITUTE(TRIM(ROUND(IFERROR(CriteriTecnici!$L1027*1,IFERROR(NUMBERVALUE(CriteriTecnici!$L1027,".",","),IFERROR(NUMBERVALUE(CriteriTecnici!$L1027,",","."),0))),4)&amp;""),",",".")&amp;", "&amp;CHAR(34)&amp;"flag"&amp;CHAR(34)&amp;": "&amp;SUBSTITUTE(TRIM(ROUND(IFERROR(CriteriTecnici!$M1027*1,IFERROR(NUMBERVALUE(CriteriTecnici!$M1027,".",","),IFERROR(NUMBERVALUE(CriteriTecnici!$M1027,",","."),0))),4)&amp;""),",",".")&amp;", "&amp;CHAR(34)&amp;"rawScore"&amp;CHAR(34)&amp;": "&amp;SUBSTITUTE(TRIM(ROUND(IFERROR(CriteriTecnici!$O1027*1,IFERROR(NUMBERVALUE(CriteriTecnici!$O1027,".",","),IFERROR(NUMBERVALUE(CriteriTecnici!$O1027,",","."),0))),4)&amp;""),",",".")&amp;CHAR(125)&amp;IF(COUNTA(Offerte!$A35:$A$81)&gt;0,",",""))</f>
        <v/>
      </c>
    </row>
    <row r="1129">
      <c r="A1129" s="82">
        <f>IF(CriteriTecnici!$A1028="","","    "&amp;CHAR(123)&amp;CHAR(34)&amp;"bidderId"&amp;CHAR(34)&amp;": "&amp;CHAR(34)&amp;SUBSTITUTE(CriteriTecnici!$A1028,CHAR(34),"'")&amp;CHAR(34)&amp;", "&amp;CHAR(34)&amp;"lotId"&amp;CHAR(34)&amp;": "&amp;CHAR(34)&amp;SUBSTITUTE(CriteriTecnici!$C1028,CHAR(34),"'")&amp;CHAR(34)&amp;", "&amp;CHAR(34)&amp;"criterionId"&amp;CHAR(34)&amp;": "&amp;CHAR(34)&amp;SUBSTITUTE(CriteriTecnici!$D1028,CHAR(34),"'")&amp;CHAR(34)&amp;", "&amp;CHAR(34)&amp;"kind"&amp;CHAR(34)&amp;": "&amp;CHAR(34)&amp;SUBSTITUTE(CriteriTecnici!$F1028,CHAR(34),"'")&amp;CHAR(34)&amp;", "&amp;CHAR(34)&amp;"value"&amp;CHAR(34)&amp;": "&amp;SUBSTITUTE(TRIM(ROUND(IFERROR(CriteriTecnici!$N1028*1,IFERROR(NUMBERVALUE(CriteriTecnici!$N1028,".",","),IFERROR(NUMBERVALUE(CriteriTecnici!$N1028,",","."),0))),4)&amp;""),",",".")&amp;", "&amp;CHAR(34)&amp;"numerator"&amp;CHAR(34)&amp;": "&amp;SUBSTITUTE(TRIM(ROUND(IFERROR(CriteriTecnici!$K1028*1,IFERROR(NUMBERVALUE(CriteriTecnici!$K1028,".",","),IFERROR(NUMBERVALUE(CriteriTecnici!$K1028,",","."),0))),4)&amp;""),",",".")&amp;", "&amp;CHAR(34)&amp;"denominator"&amp;CHAR(34)&amp;": "&amp;SUBSTITUTE(TRIM(ROUND(IFERROR(CriteriTecnici!$L1028*1,IFERROR(NUMBERVALUE(CriteriTecnici!$L1028,".",","),IFERROR(NUMBERVALUE(CriteriTecnici!$L1028,",","."),0))),4)&amp;""),",",".")&amp;", "&amp;CHAR(34)&amp;"flag"&amp;CHAR(34)&amp;": "&amp;SUBSTITUTE(TRIM(ROUND(IFERROR(CriteriTecnici!$M1028*1,IFERROR(NUMBERVALUE(CriteriTecnici!$M1028,".",","),IFERROR(NUMBERVALUE(CriteriTecnici!$M1028,",","."),0))),4)&amp;""),",",".")&amp;", "&amp;CHAR(34)&amp;"rawScore"&amp;CHAR(34)&amp;": "&amp;SUBSTITUTE(TRIM(ROUND(IFERROR(CriteriTecnici!$O1028*1,IFERROR(NUMBERVALUE(CriteriTecnici!$O1028,".",","),IFERROR(NUMBERVALUE(CriteriTecnici!$O1028,",","."),0))),4)&amp;""),",",".")&amp;CHAR(125)&amp;IF(TRUE,",",""))</f>
        <v/>
      </c>
    </row>
    <row r="1130">
      <c r="A1130" s="82">
        <f>IF(CriteriTecnici!$A1029="","","    "&amp;CHAR(123)&amp;CHAR(34)&amp;"bidderId"&amp;CHAR(34)&amp;": "&amp;CHAR(34)&amp;SUBSTITUTE(CriteriTecnici!$A1029,CHAR(34),"'")&amp;CHAR(34)&amp;", "&amp;CHAR(34)&amp;"lotId"&amp;CHAR(34)&amp;": "&amp;CHAR(34)&amp;SUBSTITUTE(CriteriTecnici!$C1029,CHAR(34),"'")&amp;CHAR(34)&amp;", "&amp;CHAR(34)&amp;"criterionId"&amp;CHAR(34)&amp;": "&amp;CHAR(34)&amp;SUBSTITUTE(CriteriTecnici!$D1029,CHAR(34),"'")&amp;CHAR(34)&amp;", "&amp;CHAR(34)&amp;"kind"&amp;CHAR(34)&amp;": "&amp;CHAR(34)&amp;SUBSTITUTE(CriteriTecnici!$F1029,CHAR(34),"'")&amp;CHAR(34)&amp;", "&amp;CHAR(34)&amp;"value"&amp;CHAR(34)&amp;": "&amp;SUBSTITUTE(TRIM(ROUND(IFERROR(CriteriTecnici!$N1029*1,IFERROR(NUMBERVALUE(CriteriTecnici!$N1029,".",","),IFERROR(NUMBERVALUE(CriteriTecnici!$N1029,",","."),0))),4)&amp;""),",",".")&amp;", "&amp;CHAR(34)&amp;"numerator"&amp;CHAR(34)&amp;": "&amp;SUBSTITUTE(TRIM(ROUND(IFERROR(CriteriTecnici!$K1029*1,IFERROR(NUMBERVALUE(CriteriTecnici!$K1029,".",","),IFERROR(NUMBERVALUE(CriteriTecnici!$K1029,",","."),0))),4)&amp;""),",",".")&amp;", "&amp;CHAR(34)&amp;"denominator"&amp;CHAR(34)&amp;": "&amp;SUBSTITUTE(TRIM(ROUND(IFERROR(CriteriTecnici!$L1029*1,IFERROR(NUMBERVALUE(CriteriTecnici!$L1029,".",","),IFERROR(NUMBERVALUE(CriteriTecnici!$L1029,",","."),0))),4)&amp;""),",",".")&amp;", "&amp;CHAR(34)&amp;"flag"&amp;CHAR(34)&amp;": "&amp;SUBSTITUTE(TRIM(ROUND(IFERROR(CriteriTecnici!$M1029*1,IFERROR(NUMBERVALUE(CriteriTecnici!$M1029,".",","),IFERROR(NUMBERVALUE(CriteriTecnici!$M1029,",","."),0))),4)&amp;""),",",".")&amp;", "&amp;CHAR(34)&amp;"rawScore"&amp;CHAR(34)&amp;": "&amp;SUBSTITUTE(TRIM(ROUND(IFERROR(CriteriTecnici!$O1029*1,IFERROR(NUMBERVALUE(CriteriTecnici!$O1029,".",","),IFERROR(NUMBERVALUE(CriteriTecnici!$O1029,",","."),0))),4)&amp;""),",",".")&amp;CHAR(125)&amp;IF(TRUE,",",""))</f>
        <v/>
      </c>
    </row>
    <row r="1131">
      <c r="A1131" s="82">
        <f>IF(CriteriTecnici!$A1030="","","    "&amp;CHAR(123)&amp;CHAR(34)&amp;"bidderId"&amp;CHAR(34)&amp;": "&amp;CHAR(34)&amp;SUBSTITUTE(CriteriTecnici!$A1030,CHAR(34),"'")&amp;CHAR(34)&amp;", "&amp;CHAR(34)&amp;"lotId"&amp;CHAR(34)&amp;": "&amp;CHAR(34)&amp;SUBSTITUTE(CriteriTecnici!$C1030,CHAR(34),"'")&amp;CHAR(34)&amp;", "&amp;CHAR(34)&amp;"criterionId"&amp;CHAR(34)&amp;": "&amp;CHAR(34)&amp;SUBSTITUTE(CriteriTecnici!$D1030,CHAR(34),"'")&amp;CHAR(34)&amp;", "&amp;CHAR(34)&amp;"kind"&amp;CHAR(34)&amp;": "&amp;CHAR(34)&amp;SUBSTITUTE(CriteriTecnici!$F1030,CHAR(34),"'")&amp;CHAR(34)&amp;", "&amp;CHAR(34)&amp;"value"&amp;CHAR(34)&amp;": "&amp;SUBSTITUTE(TRIM(ROUND(IFERROR(CriteriTecnici!$N1030*1,IFERROR(NUMBERVALUE(CriteriTecnici!$N1030,".",","),IFERROR(NUMBERVALUE(CriteriTecnici!$N1030,",","."),0))),4)&amp;""),",",".")&amp;", "&amp;CHAR(34)&amp;"numerator"&amp;CHAR(34)&amp;": "&amp;SUBSTITUTE(TRIM(ROUND(IFERROR(CriteriTecnici!$K1030*1,IFERROR(NUMBERVALUE(CriteriTecnici!$K1030,".",","),IFERROR(NUMBERVALUE(CriteriTecnici!$K1030,",","."),0))),4)&amp;""),",",".")&amp;", "&amp;CHAR(34)&amp;"denominator"&amp;CHAR(34)&amp;": "&amp;SUBSTITUTE(TRIM(ROUND(IFERROR(CriteriTecnici!$L1030*1,IFERROR(NUMBERVALUE(CriteriTecnici!$L1030,".",","),IFERROR(NUMBERVALUE(CriteriTecnici!$L1030,",","."),0))),4)&amp;""),",",".")&amp;", "&amp;CHAR(34)&amp;"flag"&amp;CHAR(34)&amp;": "&amp;SUBSTITUTE(TRIM(ROUND(IFERROR(CriteriTecnici!$M1030*1,IFERROR(NUMBERVALUE(CriteriTecnici!$M1030,".",","),IFERROR(NUMBERVALUE(CriteriTecnici!$M1030,",","."),0))),4)&amp;""),",",".")&amp;", "&amp;CHAR(34)&amp;"rawScore"&amp;CHAR(34)&amp;": "&amp;SUBSTITUTE(TRIM(ROUND(IFERROR(CriteriTecnici!$O1030*1,IFERROR(NUMBERVALUE(CriteriTecnici!$O1030,".",","),IFERROR(NUMBERVALUE(CriteriTecnici!$O1030,",","."),0))),4)&amp;""),",",".")&amp;CHAR(125)&amp;IF(TRUE,",",""))</f>
        <v/>
      </c>
    </row>
    <row r="1132">
      <c r="A1132" s="82">
        <f>IF(CriteriTecnici!$A1031="","","    "&amp;CHAR(123)&amp;CHAR(34)&amp;"bidderId"&amp;CHAR(34)&amp;": "&amp;CHAR(34)&amp;SUBSTITUTE(CriteriTecnici!$A1031,CHAR(34),"'")&amp;CHAR(34)&amp;", "&amp;CHAR(34)&amp;"lotId"&amp;CHAR(34)&amp;": "&amp;CHAR(34)&amp;SUBSTITUTE(CriteriTecnici!$C1031,CHAR(34),"'")&amp;CHAR(34)&amp;", "&amp;CHAR(34)&amp;"criterionId"&amp;CHAR(34)&amp;": "&amp;CHAR(34)&amp;SUBSTITUTE(CriteriTecnici!$D1031,CHAR(34),"'")&amp;CHAR(34)&amp;", "&amp;CHAR(34)&amp;"kind"&amp;CHAR(34)&amp;": "&amp;CHAR(34)&amp;SUBSTITUTE(CriteriTecnici!$F1031,CHAR(34),"'")&amp;CHAR(34)&amp;", "&amp;CHAR(34)&amp;"value"&amp;CHAR(34)&amp;": "&amp;SUBSTITUTE(TRIM(ROUND(IFERROR(CriteriTecnici!$N1031*1,IFERROR(NUMBERVALUE(CriteriTecnici!$N1031,".",","),IFERROR(NUMBERVALUE(CriteriTecnici!$N1031,",","."),0))),4)&amp;""),",",".")&amp;", "&amp;CHAR(34)&amp;"numerator"&amp;CHAR(34)&amp;": "&amp;SUBSTITUTE(TRIM(ROUND(IFERROR(CriteriTecnici!$K1031*1,IFERROR(NUMBERVALUE(CriteriTecnici!$K1031,".",","),IFERROR(NUMBERVALUE(CriteriTecnici!$K1031,",","."),0))),4)&amp;""),",",".")&amp;", "&amp;CHAR(34)&amp;"denominator"&amp;CHAR(34)&amp;": "&amp;SUBSTITUTE(TRIM(ROUND(IFERROR(CriteriTecnici!$L1031*1,IFERROR(NUMBERVALUE(CriteriTecnici!$L1031,".",","),IFERROR(NUMBERVALUE(CriteriTecnici!$L1031,",","."),0))),4)&amp;""),",",".")&amp;", "&amp;CHAR(34)&amp;"flag"&amp;CHAR(34)&amp;": "&amp;SUBSTITUTE(TRIM(ROUND(IFERROR(CriteriTecnici!$M1031*1,IFERROR(NUMBERVALUE(CriteriTecnici!$M1031,".",","),IFERROR(NUMBERVALUE(CriteriTecnici!$M1031,",","."),0))),4)&amp;""),",",".")&amp;", "&amp;CHAR(34)&amp;"rawScore"&amp;CHAR(34)&amp;": "&amp;SUBSTITUTE(TRIM(ROUND(IFERROR(CriteriTecnici!$O1031*1,IFERROR(NUMBERVALUE(CriteriTecnici!$O1031,".",","),IFERROR(NUMBERVALUE(CriteriTecnici!$O1031,",","."),0))),4)&amp;""),",",".")&amp;CHAR(125)&amp;IF(TRUE,",",""))</f>
        <v/>
      </c>
    </row>
    <row r="1133">
      <c r="A1133" s="82">
        <f>IF(CriteriTecnici!$A1032="","","    "&amp;CHAR(123)&amp;CHAR(34)&amp;"bidderId"&amp;CHAR(34)&amp;": "&amp;CHAR(34)&amp;SUBSTITUTE(CriteriTecnici!$A1032,CHAR(34),"'")&amp;CHAR(34)&amp;", "&amp;CHAR(34)&amp;"lotId"&amp;CHAR(34)&amp;": "&amp;CHAR(34)&amp;SUBSTITUTE(CriteriTecnici!$C1032,CHAR(34),"'")&amp;CHAR(34)&amp;", "&amp;CHAR(34)&amp;"criterionId"&amp;CHAR(34)&amp;": "&amp;CHAR(34)&amp;SUBSTITUTE(CriteriTecnici!$D1032,CHAR(34),"'")&amp;CHAR(34)&amp;", "&amp;CHAR(34)&amp;"kind"&amp;CHAR(34)&amp;": "&amp;CHAR(34)&amp;SUBSTITUTE(CriteriTecnici!$F1032,CHAR(34),"'")&amp;CHAR(34)&amp;", "&amp;CHAR(34)&amp;"value"&amp;CHAR(34)&amp;": "&amp;SUBSTITUTE(TRIM(ROUND(IFERROR(CriteriTecnici!$N1032*1,IFERROR(NUMBERVALUE(CriteriTecnici!$N1032,".",","),IFERROR(NUMBERVALUE(CriteriTecnici!$N1032,",","."),0))),4)&amp;""),",",".")&amp;", "&amp;CHAR(34)&amp;"numerator"&amp;CHAR(34)&amp;": "&amp;SUBSTITUTE(TRIM(ROUND(IFERROR(CriteriTecnici!$K1032*1,IFERROR(NUMBERVALUE(CriteriTecnici!$K1032,".",","),IFERROR(NUMBERVALUE(CriteriTecnici!$K1032,",","."),0))),4)&amp;""),",",".")&amp;", "&amp;CHAR(34)&amp;"denominator"&amp;CHAR(34)&amp;": "&amp;SUBSTITUTE(TRIM(ROUND(IFERROR(CriteriTecnici!$L1032*1,IFERROR(NUMBERVALUE(CriteriTecnici!$L1032,".",","),IFERROR(NUMBERVALUE(CriteriTecnici!$L1032,",","."),0))),4)&amp;""),",",".")&amp;", "&amp;CHAR(34)&amp;"flag"&amp;CHAR(34)&amp;": "&amp;SUBSTITUTE(TRIM(ROUND(IFERROR(CriteriTecnici!$M1032*1,IFERROR(NUMBERVALUE(CriteriTecnici!$M1032,".",","),IFERROR(NUMBERVALUE(CriteriTecnici!$M1032,",","."),0))),4)&amp;""),",",".")&amp;", "&amp;CHAR(34)&amp;"rawScore"&amp;CHAR(34)&amp;": "&amp;SUBSTITUTE(TRIM(ROUND(IFERROR(CriteriTecnici!$O1032*1,IFERROR(NUMBERVALUE(CriteriTecnici!$O1032,".",","),IFERROR(NUMBERVALUE(CriteriTecnici!$O1032,",","."),0))),4)&amp;""),",",".")&amp;CHAR(125)&amp;IF(TRUE,",",""))</f>
        <v/>
      </c>
    </row>
    <row r="1134">
      <c r="A1134" s="82">
        <f>IF(CriteriTecnici!$A1033="","","    "&amp;CHAR(123)&amp;CHAR(34)&amp;"bidderId"&amp;CHAR(34)&amp;": "&amp;CHAR(34)&amp;SUBSTITUTE(CriteriTecnici!$A1033,CHAR(34),"'")&amp;CHAR(34)&amp;", "&amp;CHAR(34)&amp;"lotId"&amp;CHAR(34)&amp;": "&amp;CHAR(34)&amp;SUBSTITUTE(CriteriTecnici!$C1033,CHAR(34),"'")&amp;CHAR(34)&amp;", "&amp;CHAR(34)&amp;"criterionId"&amp;CHAR(34)&amp;": "&amp;CHAR(34)&amp;SUBSTITUTE(CriteriTecnici!$D1033,CHAR(34),"'")&amp;CHAR(34)&amp;", "&amp;CHAR(34)&amp;"kind"&amp;CHAR(34)&amp;": "&amp;CHAR(34)&amp;SUBSTITUTE(CriteriTecnici!$F1033,CHAR(34),"'")&amp;CHAR(34)&amp;", "&amp;CHAR(34)&amp;"value"&amp;CHAR(34)&amp;": "&amp;SUBSTITUTE(TRIM(ROUND(IFERROR(CriteriTecnici!$N1033*1,IFERROR(NUMBERVALUE(CriteriTecnici!$N1033,".",","),IFERROR(NUMBERVALUE(CriteriTecnici!$N1033,",","."),0))),4)&amp;""),",",".")&amp;", "&amp;CHAR(34)&amp;"numerator"&amp;CHAR(34)&amp;": "&amp;SUBSTITUTE(TRIM(ROUND(IFERROR(CriteriTecnici!$K1033*1,IFERROR(NUMBERVALUE(CriteriTecnici!$K1033,".",","),IFERROR(NUMBERVALUE(CriteriTecnici!$K1033,",","."),0))),4)&amp;""),",",".")&amp;", "&amp;CHAR(34)&amp;"denominator"&amp;CHAR(34)&amp;": "&amp;SUBSTITUTE(TRIM(ROUND(IFERROR(CriteriTecnici!$L1033*1,IFERROR(NUMBERVALUE(CriteriTecnici!$L1033,".",","),IFERROR(NUMBERVALUE(CriteriTecnici!$L1033,",","."),0))),4)&amp;""),",",".")&amp;", "&amp;CHAR(34)&amp;"flag"&amp;CHAR(34)&amp;": "&amp;SUBSTITUTE(TRIM(ROUND(IFERROR(CriteriTecnici!$M1033*1,IFERROR(NUMBERVALUE(CriteriTecnici!$M1033,".",","),IFERROR(NUMBERVALUE(CriteriTecnici!$M1033,",","."),0))),4)&amp;""),",",".")&amp;", "&amp;CHAR(34)&amp;"rawScore"&amp;CHAR(34)&amp;": "&amp;SUBSTITUTE(TRIM(ROUND(IFERROR(CriteriTecnici!$O1033*1,IFERROR(NUMBERVALUE(CriteriTecnici!$O1033,".",","),IFERROR(NUMBERVALUE(CriteriTecnici!$O1033,",","."),0))),4)&amp;""),",",".")&amp;CHAR(125)&amp;IF(TRUE,",",""))</f>
        <v/>
      </c>
    </row>
    <row r="1135">
      <c r="A1135" s="82">
        <f>IF(CriteriTecnici!$A1034="","","    "&amp;CHAR(123)&amp;CHAR(34)&amp;"bidderId"&amp;CHAR(34)&amp;": "&amp;CHAR(34)&amp;SUBSTITUTE(CriteriTecnici!$A1034,CHAR(34),"'")&amp;CHAR(34)&amp;", "&amp;CHAR(34)&amp;"lotId"&amp;CHAR(34)&amp;": "&amp;CHAR(34)&amp;SUBSTITUTE(CriteriTecnici!$C1034,CHAR(34),"'")&amp;CHAR(34)&amp;", "&amp;CHAR(34)&amp;"criterionId"&amp;CHAR(34)&amp;": "&amp;CHAR(34)&amp;SUBSTITUTE(CriteriTecnici!$D1034,CHAR(34),"'")&amp;CHAR(34)&amp;", "&amp;CHAR(34)&amp;"kind"&amp;CHAR(34)&amp;": "&amp;CHAR(34)&amp;SUBSTITUTE(CriteriTecnici!$F1034,CHAR(34),"'")&amp;CHAR(34)&amp;", "&amp;CHAR(34)&amp;"value"&amp;CHAR(34)&amp;": "&amp;SUBSTITUTE(TRIM(ROUND(IFERROR(CriteriTecnici!$N1034*1,IFERROR(NUMBERVALUE(CriteriTecnici!$N1034,".",","),IFERROR(NUMBERVALUE(CriteriTecnici!$N1034,",","."),0))),4)&amp;""),",",".")&amp;", "&amp;CHAR(34)&amp;"numerator"&amp;CHAR(34)&amp;": "&amp;SUBSTITUTE(TRIM(ROUND(IFERROR(CriteriTecnici!$K1034*1,IFERROR(NUMBERVALUE(CriteriTecnici!$K1034,".",","),IFERROR(NUMBERVALUE(CriteriTecnici!$K1034,",","."),0))),4)&amp;""),",",".")&amp;", "&amp;CHAR(34)&amp;"denominator"&amp;CHAR(34)&amp;": "&amp;SUBSTITUTE(TRIM(ROUND(IFERROR(CriteriTecnici!$L1034*1,IFERROR(NUMBERVALUE(CriteriTecnici!$L1034,".",","),IFERROR(NUMBERVALUE(CriteriTecnici!$L1034,",","."),0))),4)&amp;""),",",".")&amp;", "&amp;CHAR(34)&amp;"flag"&amp;CHAR(34)&amp;": "&amp;SUBSTITUTE(TRIM(ROUND(IFERROR(CriteriTecnici!$M1034*1,IFERROR(NUMBERVALUE(CriteriTecnici!$M1034,".",","),IFERROR(NUMBERVALUE(CriteriTecnici!$M1034,",","."),0))),4)&amp;""),",",".")&amp;", "&amp;CHAR(34)&amp;"rawScore"&amp;CHAR(34)&amp;": "&amp;SUBSTITUTE(TRIM(ROUND(IFERROR(CriteriTecnici!$O1034*1,IFERROR(NUMBERVALUE(CriteriTecnici!$O1034,".",","),IFERROR(NUMBERVALUE(CriteriTecnici!$O1034,",","."),0))),4)&amp;""),",",".")&amp;CHAR(125)&amp;IF(TRUE,",",""))</f>
        <v/>
      </c>
    </row>
    <row r="1136">
      <c r="A1136" s="82">
        <f>IF(CriteriTecnici!$A1035="","","    "&amp;CHAR(123)&amp;CHAR(34)&amp;"bidderId"&amp;CHAR(34)&amp;": "&amp;CHAR(34)&amp;SUBSTITUTE(CriteriTecnici!$A1035,CHAR(34),"'")&amp;CHAR(34)&amp;", "&amp;CHAR(34)&amp;"lotId"&amp;CHAR(34)&amp;": "&amp;CHAR(34)&amp;SUBSTITUTE(CriteriTecnici!$C1035,CHAR(34),"'")&amp;CHAR(34)&amp;", "&amp;CHAR(34)&amp;"criterionId"&amp;CHAR(34)&amp;": "&amp;CHAR(34)&amp;SUBSTITUTE(CriteriTecnici!$D1035,CHAR(34),"'")&amp;CHAR(34)&amp;", "&amp;CHAR(34)&amp;"kind"&amp;CHAR(34)&amp;": "&amp;CHAR(34)&amp;SUBSTITUTE(CriteriTecnici!$F1035,CHAR(34),"'")&amp;CHAR(34)&amp;", "&amp;CHAR(34)&amp;"value"&amp;CHAR(34)&amp;": "&amp;SUBSTITUTE(TRIM(ROUND(IFERROR(CriteriTecnici!$N1035*1,IFERROR(NUMBERVALUE(CriteriTecnici!$N1035,".",","),IFERROR(NUMBERVALUE(CriteriTecnici!$N1035,",","."),0))),4)&amp;""),",",".")&amp;", "&amp;CHAR(34)&amp;"numerator"&amp;CHAR(34)&amp;": "&amp;SUBSTITUTE(TRIM(ROUND(IFERROR(CriteriTecnici!$K1035*1,IFERROR(NUMBERVALUE(CriteriTecnici!$K1035,".",","),IFERROR(NUMBERVALUE(CriteriTecnici!$K1035,",","."),0))),4)&amp;""),",",".")&amp;", "&amp;CHAR(34)&amp;"denominator"&amp;CHAR(34)&amp;": "&amp;SUBSTITUTE(TRIM(ROUND(IFERROR(CriteriTecnici!$L1035*1,IFERROR(NUMBERVALUE(CriteriTecnici!$L1035,".",","),IFERROR(NUMBERVALUE(CriteriTecnici!$L1035,",","."),0))),4)&amp;""),",",".")&amp;", "&amp;CHAR(34)&amp;"flag"&amp;CHAR(34)&amp;": "&amp;SUBSTITUTE(TRIM(ROUND(IFERROR(CriteriTecnici!$M1035*1,IFERROR(NUMBERVALUE(CriteriTecnici!$M1035,".",","),IFERROR(NUMBERVALUE(CriteriTecnici!$M1035,",","."),0))),4)&amp;""),",",".")&amp;", "&amp;CHAR(34)&amp;"rawScore"&amp;CHAR(34)&amp;": "&amp;SUBSTITUTE(TRIM(ROUND(IFERROR(CriteriTecnici!$O1035*1,IFERROR(NUMBERVALUE(CriteriTecnici!$O1035,".",","),IFERROR(NUMBERVALUE(CriteriTecnici!$O1035,",","."),0))),4)&amp;""),",",".")&amp;CHAR(125)&amp;IF(TRUE,",",""))</f>
        <v/>
      </c>
    </row>
    <row r="1137">
      <c r="A1137" s="82">
        <f>IF(CriteriTecnici!$A1036="","","    "&amp;CHAR(123)&amp;CHAR(34)&amp;"bidderId"&amp;CHAR(34)&amp;": "&amp;CHAR(34)&amp;SUBSTITUTE(CriteriTecnici!$A1036,CHAR(34),"'")&amp;CHAR(34)&amp;", "&amp;CHAR(34)&amp;"lotId"&amp;CHAR(34)&amp;": "&amp;CHAR(34)&amp;SUBSTITUTE(CriteriTecnici!$C1036,CHAR(34),"'")&amp;CHAR(34)&amp;", "&amp;CHAR(34)&amp;"criterionId"&amp;CHAR(34)&amp;": "&amp;CHAR(34)&amp;SUBSTITUTE(CriteriTecnici!$D1036,CHAR(34),"'")&amp;CHAR(34)&amp;", "&amp;CHAR(34)&amp;"kind"&amp;CHAR(34)&amp;": "&amp;CHAR(34)&amp;SUBSTITUTE(CriteriTecnici!$F1036,CHAR(34),"'")&amp;CHAR(34)&amp;", "&amp;CHAR(34)&amp;"value"&amp;CHAR(34)&amp;": "&amp;SUBSTITUTE(TRIM(ROUND(IFERROR(CriteriTecnici!$N1036*1,IFERROR(NUMBERVALUE(CriteriTecnici!$N1036,".",","),IFERROR(NUMBERVALUE(CriteriTecnici!$N1036,",","."),0))),4)&amp;""),",",".")&amp;", "&amp;CHAR(34)&amp;"numerator"&amp;CHAR(34)&amp;": "&amp;SUBSTITUTE(TRIM(ROUND(IFERROR(CriteriTecnici!$K1036*1,IFERROR(NUMBERVALUE(CriteriTecnici!$K1036,".",","),IFERROR(NUMBERVALUE(CriteriTecnici!$K1036,",","."),0))),4)&amp;""),",",".")&amp;", "&amp;CHAR(34)&amp;"denominator"&amp;CHAR(34)&amp;": "&amp;SUBSTITUTE(TRIM(ROUND(IFERROR(CriteriTecnici!$L1036*1,IFERROR(NUMBERVALUE(CriteriTecnici!$L1036,".",","),IFERROR(NUMBERVALUE(CriteriTecnici!$L1036,",","."),0))),4)&amp;""),",",".")&amp;", "&amp;CHAR(34)&amp;"flag"&amp;CHAR(34)&amp;": "&amp;SUBSTITUTE(TRIM(ROUND(IFERROR(CriteriTecnici!$M1036*1,IFERROR(NUMBERVALUE(CriteriTecnici!$M1036,".",","),IFERROR(NUMBERVALUE(CriteriTecnici!$M1036,",","."),0))),4)&amp;""),",",".")&amp;", "&amp;CHAR(34)&amp;"rawScore"&amp;CHAR(34)&amp;": "&amp;SUBSTITUTE(TRIM(ROUND(IFERROR(CriteriTecnici!$O1036*1,IFERROR(NUMBERVALUE(CriteriTecnici!$O1036,".",","),IFERROR(NUMBERVALUE(CriteriTecnici!$O1036,",","."),0))),4)&amp;""),",",".")&amp;CHAR(125)&amp;IF(TRUE,",",""))</f>
        <v/>
      </c>
    </row>
    <row r="1138">
      <c r="A1138" s="82">
        <f>IF(CriteriTecnici!$A1037="","","    "&amp;CHAR(123)&amp;CHAR(34)&amp;"bidderId"&amp;CHAR(34)&amp;": "&amp;CHAR(34)&amp;SUBSTITUTE(CriteriTecnici!$A1037,CHAR(34),"'")&amp;CHAR(34)&amp;", "&amp;CHAR(34)&amp;"lotId"&amp;CHAR(34)&amp;": "&amp;CHAR(34)&amp;SUBSTITUTE(CriteriTecnici!$C1037,CHAR(34),"'")&amp;CHAR(34)&amp;", "&amp;CHAR(34)&amp;"criterionId"&amp;CHAR(34)&amp;": "&amp;CHAR(34)&amp;SUBSTITUTE(CriteriTecnici!$D1037,CHAR(34),"'")&amp;CHAR(34)&amp;", "&amp;CHAR(34)&amp;"kind"&amp;CHAR(34)&amp;": "&amp;CHAR(34)&amp;SUBSTITUTE(CriteriTecnici!$F1037,CHAR(34),"'")&amp;CHAR(34)&amp;", "&amp;CHAR(34)&amp;"value"&amp;CHAR(34)&amp;": "&amp;SUBSTITUTE(TRIM(ROUND(IFERROR(CriteriTecnici!$N1037*1,IFERROR(NUMBERVALUE(CriteriTecnici!$N1037,".",","),IFERROR(NUMBERVALUE(CriteriTecnici!$N1037,",","."),0))),4)&amp;""),",",".")&amp;", "&amp;CHAR(34)&amp;"numerator"&amp;CHAR(34)&amp;": "&amp;SUBSTITUTE(TRIM(ROUND(IFERROR(CriteriTecnici!$K1037*1,IFERROR(NUMBERVALUE(CriteriTecnici!$K1037,".",","),IFERROR(NUMBERVALUE(CriteriTecnici!$K1037,",","."),0))),4)&amp;""),",",".")&amp;", "&amp;CHAR(34)&amp;"denominator"&amp;CHAR(34)&amp;": "&amp;SUBSTITUTE(TRIM(ROUND(IFERROR(CriteriTecnici!$L1037*1,IFERROR(NUMBERVALUE(CriteriTecnici!$L1037,".",","),IFERROR(NUMBERVALUE(CriteriTecnici!$L1037,",","."),0))),4)&amp;""),",",".")&amp;", "&amp;CHAR(34)&amp;"flag"&amp;CHAR(34)&amp;": "&amp;SUBSTITUTE(TRIM(ROUND(IFERROR(CriteriTecnici!$M1037*1,IFERROR(NUMBERVALUE(CriteriTecnici!$M1037,".",","),IFERROR(NUMBERVALUE(CriteriTecnici!$M1037,",","."),0))),4)&amp;""),",",".")&amp;", "&amp;CHAR(34)&amp;"rawScore"&amp;CHAR(34)&amp;": "&amp;SUBSTITUTE(TRIM(ROUND(IFERROR(CriteriTecnici!$O1037*1,IFERROR(NUMBERVALUE(CriteriTecnici!$O1037,".",","),IFERROR(NUMBERVALUE(CriteriTecnici!$O1037,",","."),0))),4)&amp;""),",",".")&amp;CHAR(125)&amp;IF(TRUE,",",""))</f>
        <v/>
      </c>
    </row>
    <row r="1139">
      <c r="A1139" s="82">
        <f>IF(CriteriTecnici!$A1038="","","    "&amp;CHAR(123)&amp;CHAR(34)&amp;"bidderId"&amp;CHAR(34)&amp;": "&amp;CHAR(34)&amp;SUBSTITUTE(CriteriTecnici!$A1038,CHAR(34),"'")&amp;CHAR(34)&amp;", "&amp;CHAR(34)&amp;"lotId"&amp;CHAR(34)&amp;": "&amp;CHAR(34)&amp;SUBSTITUTE(CriteriTecnici!$C1038,CHAR(34),"'")&amp;CHAR(34)&amp;", "&amp;CHAR(34)&amp;"criterionId"&amp;CHAR(34)&amp;": "&amp;CHAR(34)&amp;SUBSTITUTE(CriteriTecnici!$D1038,CHAR(34),"'")&amp;CHAR(34)&amp;", "&amp;CHAR(34)&amp;"kind"&amp;CHAR(34)&amp;": "&amp;CHAR(34)&amp;SUBSTITUTE(CriteriTecnici!$F1038,CHAR(34),"'")&amp;CHAR(34)&amp;", "&amp;CHAR(34)&amp;"value"&amp;CHAR(34)&amp;": "&amp;SUBSTITUTE(TRIM(ROUND(IFERROR(CriteriTecnici!$N1038*1,IFERROR(NUMBERVALUE(CriteriTecnici!$N1038,".",","),IFERROR(NUMBERVALUE(CriteriTecnici!$N1038,",","."),0))),4)&amp;""),",",".")&amp;", "&amp;CHAR(34)&amp;"numerator"&amp;CHAR(34)&amp;": "&amp;SUBSTITUTE(TRIM(ROUND(IFERROR(CriteriTecnici!$K1038*1,IFERROR(NUMBERVALUE(CriteriTecnici!$K1038,".",","),IFERROR(NUMBERVALUE(CriteriTecnici!$K1038,",","."),0))),4)&amp;""),",",".")&amp;", "&amp;CHAR(34)&amp;"denominator"&amp;CHAR(34)&amp;": "&amp;SUBSTITUTE(TRIM(ROUND(IFERROR(CriteriTecnici!$L1038*1,IFERROR(NUMBERVALUE(CriteriTecnici!$L1038,".",","),IFERROR(NUMBERVALUE(CriteriTecnici!$L1038,",","."),0))),4)&amp;""),",",".")&amp;", "&amp;CHAR(34)&amp;"flag"&amp;CHAR(34)&amp;": "&amp;SUBSTITUTE(TRIM(ROUND(IFERROR(CriteriTecnici!$M1038*1,IFERROR(NUMBERVALUE(CriteriTecnici!$M1038,".",","),IFERROR(NUMBERVALUE(CriteriTecnici!$M1038,",","."),0))),4)&amp;""),",",".")&amp;", "&amp;CHAR(34)&amp;"rawScore"&amp;CHAR(34)&amp;": "&amp;SUBSTITUTE(TRIM(ROUND(IFERROR(CriteriTecnici!$O1038*1,IFERROR(NUMBERVALUE(CriteriTecnici!$O1038,".",","),IFERROR(NUMBERVALUE(CriteriTecnici!$O1038,",","."),0))),4)&amp;""),",",".")&amp;CHAR(125)&amp;IF(TRUE,",",""))</f>
        <v/>
      </c>
    </row>
    <row r="1140">
      <c r="A1140" s="82">
        <f>IF(CriteriTecnici!$A1039="","","    "&amp;CHAR(123)&amp;CHAR(34)&amp;"bidderId"&amp;CHAR(34)&amp;": "&amp;CHAR(34)&amp;SUBSTITUTE(CriteriTecnici!$A1039,CHAR(34),"'")&amp;CHAR(34)&amp;", "&amp;CHAR(34)&amp;"lotId"&amp;CHAR(34)&amp;": "&amp;CHAR(34)&amp;SUBSTITUTE(CriteriTecnici!$C1039,CHAR(34),"'")&amp;CHAR(34)&amp;", "&amp;CHAR(34)&amp;"criterionId"&amp;CHAR(34)&amp;": "&amp;CHAR(34)&amp;SUBSTITUTE(CriteriTecnici!$D1039,CHAR(34),"'")&amp;CHAR(34)&amp;", "&amp;CHAR(34)&amp;"kind"&amp;CHAR(34)&amp;": "&amp;CHAR(34)&amp;SUBSTITUTE(CriteriTecnici!$F1039,CHAR(34),"'")&amp;CHAR(34)&amp;", "&amp;CHAR(34)&amp;"value"&amp;CHAR(34)&amp;": "&amp;SUBSTITUTE(TRIM(ROUND(IFERROR(CriteriTecnici!$N1039*1,IFERROR(NUMBERVALUE(CriteriTecnici!$N1039,".",","),IFERROR(NUMBERVALUE(CriteriTecnici!$N1039,",","."),0))),4)&amp;""),",",".")&amp;", "&amp;CHAR(34)&amp;"numerator"&amp;CHAR(34)&amp;": "&amp;SUBSTITUTE(TRIM(ROUND(IFERROR(CriteriTecnici!$K1039*1,IFERROR(NUMBERVALUE(CriteriTecnici!$K1039,".",","),IFERROR(NUMBERVALUE(CriteriTecnici!$K1039,",","."),0))),4)&amp;""),",",".")&amp;", "&amp;CHAR(34)&amp;"denominator"&amp;CHAR(34)&amp;": "&amp;SUBSTITUTE(TRIM(ROUND(IFERROR(CriteriTecnici!$L1039*1,IFERROR(NUMBERVALUE(CriteriTecnici!$L1039,".",","),IFERROR(NUMBERVALUE(CriteriTecnici!$L1039,",","."),0))),4)&amp;""),",",".")&amp;", "&amp;CHAR(34)&amp;"flag"&amp;CHAR(34)&amp;": "&amp;SUBSTITUTE(TRIM(ROUND(IFERROR(CriteriTecnici!$M1039*1,IFERROR(NUMBERVALUE(CriteriTecnici!$M1039,".",","),IFERROR(NUMBERVALUE(CriteriTecnici!$M1039,",","."),0))),4)&amp;""),",",".")&amp;", "&amp;CHAR(34)&amp;"rawScore"&amp;CHAR(34)&amp;": "&amp;SUBSTITUTE(TRIM(ROUND(IFERROR(CriteriTecnici!$O1039*1,IFERROR(NUMBERVALUE(CriteriTecnici!$O1039,".",","),IFERROR(NUMBERVALUE(CriteriTecnici!$O1039,",","."),0))),4)&amp;""),",",".")&amp;CHAR(125)&amp;IF(TRUE,",",""))</f>
        <v/>
      </c>
    </row>
    <row r="1141">
      <c r="A1141" s="82">
        <f>IF(CriteriTecnici!$A1040="","","    "&amp;CHAR(123)&amp;CHAR(34)&amp;"bidderId"&amp;CHAR(34)&amp;": "&amp;CHAR(34)&amp;SUBSTITUTE(CriteriTecnici!$A1040,CHAR(34),"'")&amp;CHAR(34)&amp;", "&amp;CHAR(34)&amp;"lotId"&amp;CHAR(34)&amp;": "&amp;CHAR(34)&amp;SUBSTITUTE(CriteriTecnici!$C1040,CHAR(34),"'")&amp;CHAR(34)&amp;", "&amp;CHAR(34)&amp;"criterionId"&amp;CHAR(34)&amp;": "&amp;CHAR(34)&amp;SUBSTITUTE(CriteriTecnici!$D1040,CHAR(34),"'")&amp;CHAR(34)&amp;", "&amp;CHAR(34)&amp;"kind"&amp;CHAR(34)&amp;": "&amp;CHAR(34)&amp;SUBSTITUTE(CriteriTecnici!$F1040,CHAR(34),"'")&amp;CHAR(34)&amp;", "&amp;CHAR(34)&amp;"value"&amp;CHAR(34)&amp;": "&amp;SUBSTITUTE(TRIM(ROUND(IFERROR(CriteriTecnici!$N1040*1,IFERROR(NUMBERVALUE(CriteriTecnici!$N1040,".",","),IFERROR(NUMBERVALUE(CriteriTecnici!$N1040,",","."),0))),4)&amp;""),",",".")&amp;", "&amp;CHAR(34)&amp;"numerator"&amp;CHAR(34)&amp;": "&amp;SUBSTITUTE(TRIM(ROUND(IFERROR(CriteriTecnici!$K1040*1,IFERROR(NUMBERVALUE(CriteriTecnici!$K1040,".",","),IFERROR(NUMBERVALUE(CriteriTecnici!$K1040,",","."),0))),4)&amp;""),",",".")&amp;", "&amp;CHAR(34)&amp;"denominator"&amp;CHAR(34)&amp;": "&amp;SUBSTITUTE(TRIM(ROUND(IFERROR(CriteriTecnici!$L1040*1,IFERROR(NUMBERVALUE(CriteriTecnici!$L1040,".",","),IFERROR(NUMBERVALUE(CriteriTecnici!$L1040,",","."),0))),4)&amp;""),",",".")&amp;", "&amp;CHAR(34)&amp;"flag"&amp;CHAR(34)&amp;": "&amp;SUBSTITUTE(TRIM(ROUND(IFERROR(CriteriTecnici!$M1040*1,IFERROR(NUMBERVALUE(CriteriTecnici!$M1040,".",","),IFERROR(NUMBERVALUE(CriteriTecnici!$M1040,",","."),0))),4)&amp;""),",",".")&amp;", "&amp;CHAR(34)&amp;"rawScore"&amp;CHAR(34)&amp;": "&amp;SUBSTITUTE(TRIM(ROUND(IFERROR(CriteriTecnici!$O1040*1,IFERROR(NUMBERVALUE(CriteriTecnici!$O1040,".",","),IFERROR(NUMBERVALUE(CriteriTecnici!$O1040,",","."),0))),4)&amp;""),",",".")&amp;CHAR(125)&amp;IF(TRUE,",",""))</f>
        <v/>
      </c>
    </row>
    <row r="1142">
      <c r="A1142" s="82">
        <f>IF(CriteriTecnici!$A1041="","","    "&amp;CHAR(123)&amp;CHAR(34)&amp;"bidderId"&amp;CHAR(34)&amp;": "&amp;CHAR(34)&amp;SUBSTITUTE(CriteriTecnici!$A1041,CHAR(34),"'")&amp;CHAR(34)&amp;", "&amp;CHAR(34)&amp;"lotId"&amp;CHAR(34)&amp;": "&amp;CHAR(34)&amp;SUBSTITUTE(CriteriTecnici!$C1041,CHAR(34),"'")&amp;CHAR(34)&amp;", "&amp;CHAR(34)&amp;"criterionId"&amp;CHAR(34)&amp;": "&amp;CHAR(34)&amp;SUBSTITUTE(CriteriTecnici!$D1041,CHAR(34),"'")&amp;CHAR(34)&amp;", "&amp;CHAR(34)&amp;"kind"&amp;CHAR(34)&amp;": "&amp;CHAR(34)&amp;SUBSTITUTE(CriteriTecnici!$F1041,CHAR(34),"'")&amp;CHAR(34)&amp;", "&amp;CHAR(34)&amp;"value"&amp;CHAR(34)&amp;": "&amp;SUBSTITUTE(TRIM(ROUND(IFERROR(CriteriTecnici!$N1041*1,IFERROR(NUMBERVALUE(CriteriTecnici!$N1041,".",","),IFERROR(NUMBERVALUE(CriteriTecnici!$N1041,",","."),0))),4)&amp;""),",",".")&amp;", "&amp;CHAR(34)&amp;"numerator"&amp;CHAR(34)&amp;": "&amp;SUBSTITUTE(TRIM(ROUND(IFERROR(CriteriTecnici!$K1041*1,IFERROR(NUMBERVALUE(CriteriTecnici!$K1041,".",","),IFERROR(NUMBERVALUE(CriteriTecnici!$K1041,",","."),0))),4)&amp;""),",",".")&amp;", "&amp;CHAR(34)&amp;"denominator"&amp;CHAR(34)&amp;": "&amp;SUBSTITUTE(TRIM(ROUND(IFERROR(CriteriTecnici!$L1041*1,IFERROR(NUMBERVALUE(CriteriTecnici!$L1041,".",","),IFERROR(NUMBERVALUE(CriteriTecnici!$L1041,",","."),0))),4)&amp;""),",",".")&amp;", "&amp;CHAR(34)&amp;"flag"&amp;CHAR(34)&amp;": "&amp;SUBSTITUTE(TRIM(ROUND(IFERROR(CriteriTecnici!$M1041*1,IFERROR(NUMBERVALUE(CriteriTecnici!$M1041,".",","),IFERROR(NUMBERVALUE(CriteriTecnici!$M1041,",","."),0))),4)&amp;""),",",".")&amp;", "&amp;CHAR(34)&amp;"rawScore"&amp;CHAR(34)&amp;": "&amp;SUBSTITUTE(TRIM(ROUND(IFERROR(CriteriTecnici!$O1041*1,IFERROR(NUMBERVALUE(CriteriTecnici!$O1041,".",","),IFERROR(NUMBERVALUE(CriteriTecnici!$O1041,",","."),0))),4)&amp;""),",",".")&amp;CHAR(125)&amp;IF(TRUE,",",""))</f>
        <v/>
      </c>
    </row>
    <row r="1143">
      <c r="A1143" s="82">
        <f>IF(CriteriTecnici!$A1042="","","    "&amp;CHAR(123)&amp;CHAR(34)&amp;"bidderId"&amp;CHAR(34)&amp;": "&amp;CHAR(34)&amp;SUBSTITUTE(CriteriTecnici!$A1042,CHAR(34),"'")&amp;CHAR(34)&amp;", "&amp;CHAR(34)&amp;"lotId"&amp;CHAR(34)&amp;": "&amp;CHAR(34)&amp;SUBSTITUTE(CriteriTecnici!$C1042,CHAR(34),"'")&amp;CHAR(34)&amp;", "&amp;CHAR(34)&amp;"criterionId"&amp;CHAR(34)&amp;": "&amp;CHAR(34)&amp;SUBSTITUTE(CriteriTecnici!$D1042,CHAR(34),"'")&amp;CHAR(34)&amp;", "&amp;CHAR(34)&amp;"kind"&amp;CHAR(34)&amp;": "&amp;CHAR(34)&amp;SUBSTITUTE(CriteriTecnici!$F1042,CHAR(34),"'")&amp;CHAR(34)&amp;", "&amp;CHAR(34)&amp;"value"&amp;CHAR(34)&amp;": "&amp;SUBSTITUTE(TRIM(ROUND(IFERROR(CriteriTecnici!$N1042*1,IFERROR(NUMBERVALUE(CriteriTecnici!$N1042,".",","),IFERROR(NUMBERVALUE(CriteriTecnici!$N1042,",","."),0))),4)&amp;""),",",".")&amp;", "&amp;CHAR(34)&amp;"numerator"&amp;CHAR(34)&amp;": "&amp;SUBSTITUTE(TRIM(ROUND(IFERROR(CriteriTecnici!$K1042*1,IFERROR(NUMBERVALUE(CriteriTecnici!$K1042,".",","),IFERROR(NUMBERVALUE(CriteriTecnici!$K1042,",","."),0))),4)&amp;""),",",".")&amp;", "&amp;CHAR(34)&amp;"denominator"&amp;CHAR(34)&amp;": "&amp;SUBSTITUTE(TRIM(ROUND(IFERROR(CriteriTecnici!$L1042*1,IFERROR(NUMBERVALUE(CriteriTecnici!$L1042,".",","),IFERROR(NUMBERVALUE(CriteriTecnici!$L1042,",","."),0))),4)&amp;""),",",".")&amp;", "&amp;CHAR(34)&amp;"flag"&amp;CHAR(34)&amp;": "&amp;SUBSTITUTE(TRIM(ROUND(IFERROR(CriteriTecnici!$M1042*1,IFERROR(NUMBERVALUE(CriteriTecnici!$M1042,".",","),IFERROR(NUMBERVALUE(CriteriTecnici!$M1042,",","."),0))),4)&amp;""),",",".")&amp;", "&amp;CHAR(34)&amp;"rawScore"&amp;CHAR(34)&amp;": "&amp;SUBSTITUTE(TRIM(ROUND(IFERROR(CriteriTecnici!$O1042*1,IFERROR(NUMBERVALUE(CriteriTecnici!$O1042,".",","),IFERROR(NUMBERVALUE(CriteriTecnici!$O1042,",","."),0))),4)&amp;""),",",".")&amp;CHAR(125)&amp;IF(TRUE,",",""))</f>
        <v/>
      </c>
    </row>
    <row r="1144">
      <c r="A1144" s="82">
        <f>IF(CriteriTecnici!$A1043="","","    "&amp;CHAR(123)&amp;CHAR(34)&amp;"bidderId"&amp;CHAR(34)&amp;": "&amp;CHAR(34)&amp;SUBSTITUTE(CriteriTecnici!$A1043,CHAR(34),"'")&amp;CHAR(34)&amp;", "&amp;CHAR(34)&amp;"lotId"&amp;CHAR(34)&amp;": "&amp;CHAR(34)&amp;SUBSTITUTE(CriteriTecnici!$C1043,CHAR(34),"'")&amp;CHAR(34)&amp;", "&amp;CHAR(34)&amp;"criterionId"&amp;CHAR(34)&amp;": "&amp;CHAR(34)&amp;SUBSTITUTE(CriteriTecnici!$D1043,CHAR(34),"'")&amp;CHAR(34)&amp;", "&amp;CHAR(34)&amp;"kind"&amp;CHAR(34)&amp;": "&amp;CHAR(34)&amp;SUBSTITUTE(CriteriTecnici!$F1043,CHAR(34),"'")&amp;CHAR(34)&amp;", "&amp;CHAR(34)&amp;"value"&amp;CHAR(34)&amp;": "&amp;SUBSTITUTE(TRIM(ROUND(IFERROR(CriteriTecnici!$N1043*1,IFERROR(NUMBERVALUE(CriteriTecnici!$N1043,".",","),IFERROR(NUMBERVALUE(CriteriTecnici!$N1043,",","."),0))),4)&amp;""),",",".")&amp;", "&amp;CHAR(34)&amp;"numerator"&amp;CHAR(34)&amp;": "&amp;SUBSTITUTE(TRIM(ROUND(IFERROR(CriteriTecnici!$K1043*1,IFERROR(NUMBERVALUE(CriteriTecnici!$K1043,".",","),IFERROR(NUMBERVALUE(CriteriTecnici!$K1043,",","."),0))),4)&amp;""),",",".")&amp;", "&amp;CHAR(34)&amp;"denominator"&amp;CHAR(34)&amp;": "&amp;SUBSTITUTE(TRIM(ROUND(IFERROR(CriteriTecnici!$L1043*1,IFERROR(NUMBERVALUE(CriteriTecnici!$L1043,".",","),IFERROR(NUMBERVALUE(CriteriTecnici!$L1043,",","."),0))),4)&amp;""),",",".")&amp;", "&amp;CHAR(34)&amp;"flag"&amp;CHAR(34)&amp;": "&amp;SUBSTITUTE(TRIM(ROUND(IFERROR(CriteriTecnici!$M1043*1,IFERROR(NUMBERVALUE(CriteriTecnici!$M1043,".",","),IFERROR(NUMBERVALUE(CriteriTecnici!$M1043,",","."),0))),4)&amp;""),",",".")&amp;", "&amp;CHAR(34)&amp;"rawScore"&amp;CHAR(34)&amp;": "&amp;SUBSTITUTE(TRIM(ROUND(IFERROR(CriteriTecnici!$O1043*1,IFERROR(NUMBERVALUE(CriteriTecnici!$O1043,".",","),IFERROR(NUMBERVALUE(CriteriTecnici!$O1043,",","."),0))),4)&amp;""),",",".")&amp;CHAR(125)&amp;IF(TRUE,",",""))</f>
        <v/>
      </c>
    </row>
    <row r="1145">
      <c r="A1145" s="82">
        <f>IF(CriteriTecnici!$A1044="","","    "&amp;CHAR(123)&amp;CHAR(34)&amp;"bidderId"&amp;CHAR(34)&amp;": "&amp;CHAR(34)&amp;SUBSTITUTE(CriteriTecnici!$A1044,CHAR(34),"'")&amp;CHAR(34)&amp;", "&amp;CHAR(34)&amp;"lotId"&amp;CHAR(34)&amp;": "&amp;CHAR(34)&amp;SUBSTITUTE(CriteriTecnici!$C1044,CHAR(34),"'")&amp;CHAR(34)&amp;", "&amp;CHAR(34)&amp;"criterionId"&amp;CHAR(34)&amp;": "&amp;CHAR(34)&amp;SUBSTITUTE(CriteriTecnici!$D1044,CHAR(34),"'")&amp;CHAR(34)&amp;", "&amp;CHAR(34)&amp;"kind"&amp;CHAR(34)&amp;": "&amp;CHAR(34)&amp;SUBSTITUTE(CriteriTecnici!$F1044,CHAR(34),"'")&amp;CHAR(34)&amp;", "&amp;CHAR(34)&amp;"value"&amp;CHAR(34)&amp;": "&amp;SUBSTITUTE(TRIM(ROUND(IFERROR(CriteriTecnici!$N1044*1,IFERROR(NUMBERVALUE(CriteriTecnici!$N1044,".",","),IFERROR(NUMBERVALUE(CriteriTecnici!$N1044,",","."),0))),4)&amp;""),",",".")&amp;", "&amp;CHAR(34)&amp;"numerator"&amp;CHAR(34)&amp;": "&amp;SUBSTITUTE(TRIM(ROUND(IFERROR(CriteriTecnici!$K1044*1,IFERROR(NUMBERVALUE(CriteriTecnici!$K1044,".",","),IFERROR(NUMBERVALUE(CriteriTecnici!$K1044,",","."),0))),4)&amp;""),",",".")&amp;", "&amp;CHAR(34)&amp;"denominator"&amp;CHAR(34)&amp;": "&amp;SUBSTITUTE(TRIM(ROUND(IFERROR(CriteriTecnici!$L1044*1,IFERROR(NUMBERVALUE(CriteriTecnici!$L1044,".",","),IFERROR(NUMBERVALUE(CriteriTecnici!$L1044,",","."),0))),4)&amp;""),",",".")&amp;", "&amp;CHAR(34)&amp;"flag"&amp;CHAR(34)&amp;": "&amp;SUBSTITUTE(TRIM(ROUND(IFERROR(CriteriTecnici!$M1044*1,IFERROR(NUMBERVALUE(CriteriTecnici!$M1044,".",","),IFERROR(NUMBERVALUE(CriteriTecnici!$M1044,",","."),0))),4)&amp;""),",",".")&amp;", "&amp;CHAR(34)&amp;"rawScore"&amp;CHAR(34)&amp;": "&amp;SUBSTITUTE(TRIM(ROUND(IFERROR(CriteriTecnici!$O1044*1,IFERROR(NUMBERVALUE(CriteriTecnici!$O1044,".",","),IFERROR(NUMBERVALUE(CriteriTecnici!$O1044,",","."),0))),4)&amp;""),",",".")&amp;CHAR(125)&amp;IF(TRUE,",",""))</f>
        <v/>
      </c>
    </row>
    <row r="1146">
      <c r="A1146" s="82">
        <f>IF(CriteriTecnici!$A1045="","","    "&amp;CHAR(123)&amp;CHAR(34)&amp;"bidderId"&amp;CHAR(34)&amp;": "&amp;CHAR(34)&amp;SUBSTITUTE(CriteriTecnici!$A1045,CHAR(34),"'")&amp;CHAR(34)&amp;", "&amp;CHAR(34)&amp;"lotId"&amp;CHAR(34)&amp;": "&amp;CHAR(34)&amp;SUBSTITUTE(CriteriTecnici!$C1045,CHAR(34),"'")&amp;CHAR(34)&amp;", "&amp;CHAR(34)&amp;"criterionId"&amp;CHAR(34)&amp;": "&amp;CHAR(34)&amp;SUBSTITUTE(CriteriTecnici!$D1045,CHAR(34),"'")&amp;CHAR(34)&amp;", "&amp;CHAR(34)&amp;"kind"&amp;CHAR(34)&amp;": "&amp;CHAR(34)&amp;SUBSTITUTE(CriteriTecnici!$F1045,CHAR(34),"'")&amp;CHAR(34)&amp;", "&amp;CHAR(34)&amp;"value"&amp;CHAR(34)&amp;": "&amp;SUBSTITUTE(TRIM(ROUND(IFERROR(CriteriTecnici!$N1045*1,IFERROR(NUMBERVALUE(CriteriTecnici!$N1045,".",","),IFERROR(NUMBERVALUE(CriteriTecnici!$N1045,",","."),0))),4)&amp;""),",",".")&amp;", "&amp;CHAR(34)&amp;"numerator"&amp;CHAR(34)&amp;": "&amp;SUBSTITUTE(TRIM(ROUND(IFERROR(CriteriTecnici!$K1045*1,IFERROR(NUMBERVALUE(CriteriTecnici!$K1045,".",","),IFERROR(NUMBERVALUE(CriteriTecnici!$K1045,",","."),0))),4)&amp;""),",",".")&amp;", "&amp;CHAR(34)&amp;"denominator"&amp;CHAR(34)&amp;": "&amp;SUBSTITUTE(TRIM(ROUND(IFERROR(CriteriTecnici!$L1045*1,IFERROR(NUMBERVALUE(CriteriTecnici!$L1045,".",","),IFERROR(NUMBERVALUE(CriteriTecnici!$L1045,",","."),0))),4)&amp;""),",",".")&amp;", "&amp;CHAR(34)&amp;"flag"&amp;CHAR(34)&amp;": "&amp;SUBSTITUTE(TRIM(ROUND(IFERROR(CriteriTecnici!$M1045*1,IFERROR(NUMBERVALUE(CriteriTecnici!$M1045,".",","),IFERROR(NUMBERVALUE(CriteriTecnici!$M1045,",","."),0))),4)&amp;""),",",".")&amp;", "&amp;CHAR(34)&amp;"rawScore"&amp;CHAR(34)&amp;": "&amp;SUBSTITUTE(TRIM(ROUND(IFERROR(CriteriTecnici!$O1045*1,IFERROR(NUMBERVALUE(CriteriTecnici!$O1045,".",","),IFERROR(NUMBERVALUE(CriteriTecnici!$O1045,",","."),0))),4)&amp;""),",",".")&amp;CHAR(125)&amp;IF(TRUE,",",""))</f>
        <v/>
      </c>
    </row>
    <row r="1147">
      <c r="A1147" s="82">
        <f>IF(CriteriTecnici!$A1046="","","    "&amp;CHAR(123)&amp;CHAR(34)&amp;"bidderId"&amp;CHAR(34)&amp;": "&amp;CHAR(34)&amp;SUBSTITUTE(CriteriTecnici!$A1046,CHAR(34),"'")&amp;CHAR(34)&amp;", "&amp;CHAR(34)&amp;"lotId"&amp;CHAR(34)&amp;": "&amp;CHAR(34)&amp;SUBSTITUTE(CriteriTecnici!$C1046,CHAR(34),"'")&amp;CHAR(34)&amp;", "&amp;CHAR(34)&amp;"criterionId"&amp;CHAR(34)&amp;": "&amp;CHAR(34)&amp;SUBSTITUTE(CriteriTecnici!$D1046,CHAR(34),"'")&amp;CHAR(34)&amp;", "&amp;CHAR(34)&amp;"kind"&amp;CHAR(34)&amp;": "&amp;CHAR(34)&amp;SUBSTITUTE(CriteriTecnici!$F1046,CHAR(34),"'")&amp;CHAR(34)&amp;", "&amp;CHAR(34)&amp;"value"&amp;CHAR(34)&amp;": "&amp;SUBSTITUTE(TRIM(ROUND(IFERROR(CriteriTecnici!$N1046*1,IFERROR(NUMBERVALUE(CriteriTecnici!$N1046,".",","),IFERROR(NUMBERVALUE(CriteriTecnici!$N1046,",","."),0))),4)&amp;""),",",".")&amp;", "&amp;CHAR(34)&amp;"numerator"&amp;CHAR(34)&amp;": "&amp;SUBSTITUTE(TRIM(ROUND(IFERROR(CriteriTecnici!$K1046*1,IFERROR(NUMBERVALUE(CriteriTecnici!$K1046,".",","),IFERROR(NUMBERVALUE(CriteriTecnici!$K1046,",","."),0))),4)&amp;""),",",".")&amp;", "&amp;CHAR(34)&amp;"denominator"&amp;CHAR(34)&amp;": "&amp;SUBSTITUTE(TRIM(ROUND(IFERROR(CriteriTecnici!$L1046*1,IFERROR(NUMBERVALUE(CriteriTecnici!$L1046,".",","),IFERROR(NUMBERVALUE(CriteriTecnici!$L1046,",","."),0))),4)&amp;""),",",".")&amp;", "&amp;CHAR(34)&amp;"flag"&amp;CHAR(34)&amp;": "&amp;SUBSTITUTE(TRIM(ROUND(IFERROR(CriteriTecnici!$M1046*1,IFERROR(NUMBERVALUE(CriteriTecnici!$M1046,".",","),IFERROR(NUMBERVALUE(CriteriTecnici!$M1046,",","."),0))),4)&amp;""),",",".")&amp;", "&amp;CHAR(34)&amp;"rawScore"&amp;CHAR(34)&amp;": "&amp;SUBSTITUTE(TRIM(ROUND(IFERROR(CriteriTecnici!$O1046*1,IFERROR(NUMBERVALUE(CriteriTecnici!$O1046,".",","),IFERROR(NUMBERVALUE(CriteriTecnici!$O1046,",","."),0))),4)&amp;""),",",".")&amp;CHAR(125)&amp;IF(TRUE,",",""))</f>
        <v/>
      </c>
    </row>
    <row r="1148">
      <c r="A1148" s="82">
        <f>IF(CriteriTecnici!$A1047="","","    "&amp;CHAR(123)&amp;CHAR(34)&amp;"bidderId"&amp;CHAR(34)&amp;": "&amp;CHAR(34)&amp;SUBSTITUTE(CriteriTecnici!$A1047,CHAR(34),"'")&amp;CHAR(34)&amp;", "&amp;CHAR(34)&amp;"lotId"&amp;CHAR(34)&amp;": "&amp;CHAR(34)&amp;SUBSTITUTE(CriteriTecnici!$C1047,CHAR(34),"'")&amp;CHAR(34)&amp;", "&amp;CHAR(34)&amp;"criterionId"&amp;CHAR(34)&amp;": "&amp;CHAR(34)&amp;SUBSTITUTE(CriteriTecnici!$D1047,CHAR(34),"'")&amp;CHAR(34)&amp;", "&amp;CHAR(34)&amp;"kind"&amp;CHAR(34)&amp;": "&amp;CHAR(34)&amp;SUBSTITUTE(CriteriTecnici!$F1047,CHAR(34),"'")&amp;CHAR(34)&amp;", "&amp;CHAR(34)&amp;"value"&amp;CHAR(34)&amp;": "&amp;SUBSTITUTE(TRIM(ROUND(IFERROR(CriteriTecnici!$N1047*1,IFERROR(NUMBERVALUE(CriteriTecnici!$N1047,".",","),IFERROR(NUMBERVALUE(CriteriTecnici!$N1047,",","."),0))),4)&amp;""),",",".")&amp;", "&amp;CHAR(34)&amp;"numerator"&amp;CHAR(34)&amp;": "&amp;SUBSTITUTE(TRIM(ROUND(IFERROR(CriteriTecnici!$K1047*1,IFERROR(NUMBERVALUE(CriteriTecnici!$K1047,".",","),IFERROR(NUMBERVALUE(CriteriTecnici!$K1047,",","."),0))),4)&amp;""),",",".")&amp;", "&amp;CHAR(34)&amp;"denominator"&amp;CHAR(34)&amp;": "&amp;SUBSTITUTE(TRIM(ROUND(IFERROR(CriteriTecnici!$L1047*1,IFERROR(NUMBERVALUE(CriteriTecnici!$L1047,".",","),IFERROR(NUMBERVALUE(CriteriTecnici!$L1047,",","."),0))),4)&amp;""),",",".")&amp;", "&amp;CHAR(34)&amp;"flag"&amp;CHAR(34)&amp;": "&amp;SUBSTITUTE(TRIM(ROUND(IFERROR(CriteriTecnici!$M1047*1,IFERROR(NUMBERVALUE(CriteriTecnici!$M1047,".",","),IFERROR(NUMBERVALUE(CriteriTecnici!$M1047,",","."),0))),4)&amp;""),",",".")&amp;", "&amp;CHAR(34)&amp;"rawScore"&amp;CHAR(34)&amp;": "&amp;SUBSTITUTE(TRIM(ROUND(IFERROR(CriteriTecnici!$O1047*1,IFERROR(NUMBERVALUE(CriteriTecnici!$O1047,".",","),IFERROR(NUMBERVALUE(CriteriTecnici!$O1047,",","."),0))),4)&amp;""),",",".")&amp;CHAR(125)&amp;IF(TRUE,",",""))</f>
        <v/>
      </c>
    </row>
    <row r="1149">
      <c r="A1149" s="82">
        <f>IF(CriteriTecnici!$A1048="","","    "&amp;CHAR(123)&amp;CHAR(34)&amp;"bidderId"&amp;CHAR(34)&amp;": "&amp;CHAR(34)&amp;SUBSTITUTE(CriteriTecnici!$A1048,CHAR(34),"'")&amp;CHAR(34)&amp;", "&amp;CHAR(34)&amp;"lotId"&amp;CHAR(34)&amp;": "&amp;CHAR(34)&amp;SUBSTITUTE(CriteriTecnici!$C1048,CHAR(34),"'")&amp;CHAR(34)&amp;", "&amp;CHAR(34)&amp;"criterionId"&amp;CHAR(34)&amp;": "&amp;CHAR(34)&amp;SUBSTITUTE(CriteriTecnici!$D1048,CHAR(34),"'")&amp;CHAR(34)&amp;", "&amp;CHAR(34)&amp;"kind"&amp;CHAR(34)&amp;": "&amp;CHAR(34)&amp;SUBSTITUTE(CriteriTecnici!$F1048,CHAR(34),"'")&amp;CHAR(34)&amp;", "&amp;CHAR(34)&amp;"value"&amp;CHAR(34)&amp;": "&amp;SUBSTITUTE(TRIM(ROUND(IFERROR(CriteriTecnici!$N1048*1,IFERROR(NUMBERVALUE(CriteriTecnici!$N1048,".",","),IFERROR(NUMBERVALUE(CriteriTecnici!$N1048,",","."),0))),4)&amp;""),",",".")&amp;", "&amp;CHAR(34)&amp;"numerator"&amp;CHAR(34)&amp;": "&amp;SUBSTITUTE(TRIM(ROUND(IFERROR(CriteriTecnici!$K1048*1,IFERROR(NUMBERVALUE(CriteriTecnici!$K1048,".",","),IFERROR(NUMBERVALUE(CriteriTecnici!$K1048,",","."),0))),4)&amp;""),",",".")&amp;", "&amp;CHAR(34)&amp;"denominator"&amp;CHAR(34)&amp;": "&amp;SUBSTITUTE(TRIM(ROUND(IFERROR(CriteriTecnici!$L1048*1,IFERROR(NUMBERVALUE(CriteriTecnici!$L1048,".",","),IFERROR(NUMBERVALUE(CriteriTecnici!$L1048,",","."),0))),4)&amp;""),",",".")&amp;", "&amp;CHAR(34)&amp;"flag"&amp;CHAR(34)&amp;": "&amp;SUBSTITUTE(TRIM(ROUND(IFERROR(CriteriTecnici!$M1048*1,IFERROR(NUMBERVALUE(CriteriTecnici!$M1048,".",","),IFERROR(NUMBERVALUE(CriteriTecnici!$M1048,",","."),0))),4)&amp;""),",",".")&amp;", "&amp;CHAR(34)&amp;"rawScore"&amp;CHAR(34)&amp;": "&amp;SUBSTITUTE(TRIM(ROUND(IFERROR(CriteriTecnici!$O1048*1,IFERROR(NUMBERVALUE(CriteriTecnici!$O1048,".",","),IFERROR(NUMBERVALUE(CriteriTecnici!$O1048,",","."),0))),4)&amp;""),",",".")&amp;CHAR(125)&amp;IF(TRUE,",",""))</f>
        <v/>
      </c>
    </row>
    <row r="1150">
      <c r="A1150" s="82">
        <f>IF(CriteriTecnici!$A1049="","","    "&amp;CHAR(123)&amp;CHAR(34)&amp;"bidderId"&amp;CHAR(34)&amp;": "&amp;CHAR(34)&amp;SUBSTITUTE(CriteriTecnici!$A1049,CHAR(34),"'")&amp;CHAR(34)&amp;", "&amp;CHAR(34)&amp;"lotId"&amp;CHAR(34)&amp;": "&amp;CHAR(34)&amp;SUBSTITUTE(CriteriTecnici!$C1049,CHAR(34),"'")&amp;CHAR(34)&amp;", "&amp;CHAR(34)&amp;"criterionId"&amp;CHAR(34)&amp;": "&amp;CHAR(34)&amp;SUBSTITUTE(CriteriTecnici!$D1049,CHAR(34),"'")&amp;CHAR(34)&amp;", "&amp;CHAR(34)&amp;"kind"&amp;CHAR(34)&amp;": "&amp;CHAR(34)&amp;SUBSTITUTE(CriteriTecnici!$F1049,CHAR(34),"'")&amp;CHAR(34)&amp;", "&amp;CHAR(34)&amp;"value"&amp;CHAR(34)&amp;": "&amp;SUBSTITUTE(TRIM(ROUND(IFERROR(CriteriTecnici!$N1049*1,IFERROR(NUMBERVALUE(CriteriTecnici!$N1049,".",","),IFERROR(NUMBERVALUE(CriteriTecnici!$N1049,",","."),0))),4)&amp;""),",",".")&amp;", "&amp;CHAR(34)&amp;"numerator"&amp;CHAR(34)&amp;": "&amp;SUBSTITUTE(TRIM(ROUND(IFERROR(CriteriTecnici!$K1049*1,IFERROR(NUMBERVALUE(CriteriTecnici!$K1049,".",","),IFERROR(NUMBERVALUE(CriteriTecnici!$K1049,",","."),0))),4)&amp;""),",",".")&amp;", "&amp;CHAR(34)&amp;"denominator"&amp;CHAR(34)&amp;": "&amp;SUBSTITUTE(TRIM(ROUND(IFERROR(CriteriTecnici!$L1049*1,IFERROR(NUMBERVALUE(CriteriTecnici!$L1049,".",","),IFERROR(NUMBERVALUE(CriteriTecnici!$L1049,",","."),0))),4)&amp;""),",",".")&amp;", "&amp;CHAR(34)&amp;"flag"&amp;CHAR(34)&amp;": "&amp;SUBSTITUTE(TRIM(ROUND(IFERROR(CriteriTecnici!$M1049*1,IFERROR(NUMBERVALUE(CriteriTecnici!$M1049,".",","),IFERROR(NUMBERVALUE(CriteriTecnici!$M1049,",","."),0))),4)&amp;""),",",".")&amp;", "&amp;CHAR(34)&amp;"rawScore"&amp;CHAR(34)&amp;": "&amp;SUBSTITUTE(TRIM(ROUND(IFERROR(CriteriTecnici!$O1049*1,IFERROR(NUMBERVALUE(CriteriTecnici!$O1049,".",","),IFERROR(NUMBERVALUE(CriteriTecnici!$O1049,",","."),0))),4)&amp;""),",",".")&amp;CHAR(125)&amp;IF(TRUE,",",""))</f>
        <v/>
      </c>
    </row>
    <row r="1151">
      <c r="A1151" s="82">
        <f>IF(CriteriTecnici!$A1050="","","    "&amp;CHAR(123)&amp;CHAR(34)&amp;"bidderId"&amp;CHAR(34)&amp;": "&amp;CHAR(34)&amp;SUBSTITUTE(CriteriTecnici!$A1050,CHAR(34),"'")&amp;CHAR(34)&amp;", "&amp;CHAR(34)&amp;"lotId"&amp;CHAR(34)&amp;": "&amp;CHAR(34)&amp;SUBSTITUTE(CriteriTecnici!$C1050,CHAR(34),"'")&amp;CHAR(34)&amp;", "&amp;CHAR(34)&amp;"criterionId"&amp;CHAR(34)&amp;": "&amp;CHAR(34)&amp;SUBSTITUTE(CriteriTecnici!$D1050,CHAR(34),"'")&amp;CHAR(34)&amp;", "&amp;CHAR(34)&amp;"kind"&amp;CHAR(34)&amp;": "&amp;CHAR(34)&amp;SUBSTITUTE(CriteriTecnici!$F1050,CHAR(34),"'")&amp;CHAR(34)&amp;", "&amp;CHAR(34)&amp;"value"&amp;CHAR(34)&amp;": "&amp;SUBSTITUTE(TRIM(ROUND(IFERROR(CriteriTecnici!$N1050*1,IFERROR(NUMBERVALUE(CriteriTecnici!$N1050,".",","),IFERROR(NUMBERVALUE(CriteriTecnici!$N1050,",","."),0))),4)&amp;""),",",".")&amp;", "&amp;CHAR(34)&amp;"numerator"&amp;CHAR(34)&amp;": "&amp;SUBSTITUTE(TRIM(ROUND(IFERROR(CriteriTecnici!$K1050*1,IFERROR(NUMBERVALUE(CriteriTecnici!$K1050,".",","),IFERROR(NUMBERVALUE(CriteriTecnici!$K1050,",","."),0))),4)&amp;""),",",".")&amp;", "&amp;CHAR(34)&amp;"denominator"&amp;CHAR(34)&amp;": "&amp;SUBSTITUTE(TRIM(ROUND(IFERROR(CriteriTecnici!$L1050*1,IFERROR(NUMBERVALUE(CriteriTecnici!$L1050,".",","),IFERROR(NUMBERVALUE(CriteriTecnici!$L1050,",","."),0))),4)&amp;""),",",".")&amp;", "&amp;CHAR(34)&amp;"flag"&amp;CHAR(34)&amp;": "&amp;SUBSTITUTE(TRIM(ROUND(IFERROR(CriteriTecnici!$M1050*1,IFERROR(NUMBERVALUE(CriteriTecnici!$M1050,".",","),IFERROR(NUMBERVALUE(CriteriTecnici!$M1050,",","."),0))),4)&amp;""),",",".")&amp;", "&amp;CHAR(34)&amp;"rawScore"&amp;CHAR(34)&amp;": "&amp;SUBSTITUTE(TRIM(ROUND(IFERROR(CriteriTecnici!$O1050*1,IFERROR(NUMBERVALUE(CriteriTecnici!$O1050,".",","),IFERROR(NUMBERVALUE(CriteriTecnici!$O1050,",","."),0))),4)&amp;""),",",".")&amp;CHAR(125)&amp;IF(TRUE,",",""))</f>
        <v/>
      </c>
    </row>
    <row r="1152">
      <c r="A1152" s="82">
        <f>IF(CriteriTecnici!$A1051="","","    "&amp;CHAR(123)&amp;CHAR(34)&amp;"bidderId"&amp;CHAR(34)&amp;": "&amp;CHAR(34)&amp;SUBSTITUTE(CriteriTecnici!$A1051,CHAR(34),"'")&amp;CHAR(34)&amp;", "&amp;CHAR(34)&amp;"lotId"&amp;CHAR(34)&amp;": "&amp;CHAR(34)&amp;SUBSTITUTE(CriteriTecnici!$C1051,CHAR(34),"'")&amp;CHAR(34)&amp;", "&amp;CHAR(34)&amp;"criterionId"&amp;CHAR(34)&amp;": "&amp;CHAR(34)&amp;SUBSTITUTE(CriteriTecnici!$D1051,CHAR(34),"'")&amp;CHAR(34)&amp;", "&amp;CHAR(34)&amp;"kind"&amp;CHAR(34)&amp;": "&amp;CHAR(34)&amp;SUBSTITUTE(CriteriTecnici!$F1051,CHAR(34),"'")&amp;CHAR(34)&amp;", "&amp;CHAR(34)&amp;"value"&amp;CHAR(34)&amp;": "&amp;SUBSTITUTE(TRIM(ROUND(IFERROR(CriteriTecnici!$N1051*1,IFERROR(NUMBERVALUE(CriteriTecnici!$N1051,".",","),IFERROR(NUMBERVALUE(CriteriTecnici!$N1051,",","."),0))),4)&amp;""),",",".")&amp;", "&amp;CHAR(34)&amp;"numerator"&amp;CHAR(34)&amp;": "&amp;SUBSTITUTE(TRIM(ROUND(IFERROR(CriteriTecnici!$K1051*1,IFERROR(NUMBERVALUE(CriteriTecnici!$K1051,".",","),IFERROR(NUMBERVALUE(CriteriTecnici!$K1051,",","."),0))),4)&amp;""),",",".")&amp;", "&amp;CHAR(34)&amp;"denominator"&amp;CHAR(34)&amp;": "&amp;SUBSTITUTE(TRIM(ROUND(IFERROR(CriteriTecnici!$L1051*1,IFERROR(NUMBERVALUE(CriteriTecnici!$L1051,".",","),IFERROR(NUMBERVALUE(CriteriTecnici!$L1051,",","."),0))),4)&amp;""),",",".")&amp;", "&amp;CHAR(34)&amp;"flag"&amp;CHAR(34)&amp;": "&amp;SUBSTITUTE(TRIM(ROUND(IFERROR(CriteriTecnici!$M1051*1,IFERROR(NUMBERVALUE(CriteriTecnici!$M1051,".",","),IFERROR(NUMBERVALUE(CriteriTecnici!$M1051,",","."),0))),4)&amp;""),",",".")&amp;", "&amp;CHAR(34)&amp;"rawScore"&amp;CHAR(34)&amp;": "&amp;SUBSTITUTE(TRIM(ROUND(IFERROR(CriteriTecnici!$O1051*1,IFERROR(NUMBERVALUE(CriteriTecnici!$O1051,".",","),IFERROR(NUMBERVALUE(CriteriTecnici!$O1051,",","."),0))),4)&amp;""),",",".")&amp;CHAR(125)&amp;IF(TRUE,",",""))</f>
        <v/>
      </c>
    </row>
    <row r="1153">
      <c r="A1153" s="82">
        <f>IF(CriteriTecnici!$A1052="","","    "&amp;CHAR(123)&amp;CHAR(34)&amp;"bidderId"&amp;CHAR(34)&amp;": "&amp;CHAR(34)&amp;SUBSTITUTE(CriteriTecnici!$A1052,CHAR(34),"'")&amp;CHAR(34)&amp;", "&amp;CHAR(34)&amp;"lotId"&amp;CHAR(34)&amp;": "&amp;CHAR(34)&amp;SUBSTITUTE(CriteriTecnici!$C1052,CHAR(34),"'")&amp;CHAR(34)&amp;", "&amp;CHAR(34)&amp;"criterionId"&amp;CHAR(34)&amp;": "&amp;CHAR(34)&amp;SUBSTITUTE(CriteriTecnici!$D1052,CHAR(34),"'")&amp;CHAR(34)&amp;", "&amp;CHAR(34)&amp;"kind"&amp;CHAR(34)&amp;": "&amp;CHAR(34)&amp;SUBSTITUTE(CriteriTecnici!$F1052,CHAR(34),"'")&amp;CHAR(34)&amp;", "&amp;CHAR(34)&amp;"value"&amp;CHAR(34)&amp;": "&amp;SUBSTITUTE(TRIM(ROUND(IFERROR(CriteriTecnici!$N1052*1,IFERROR(NUMBERVALUE(CriteriTecnici!$N1052,".",","),IFERROR(NUMBERVALUE(CriteriTecnici!$N1052,",","."),0))),4)&amp;""),",",".")&amp;", "&amp;CHAR(34)&amp;"numerator"&amp;CHAR(34)&amp;": "&amp;SUBSTITUTE(TRIM(ROUND(IFERROR(CriteriTecnici!$K1052*1,IFERROR(NUMBERVALUE(CriteriTecnici!$K1052,".",","),IFERROR(NUMBERVALUE(CriteriTecnici!$K1052,",","."),0))),4)&amp;""),",",".")&amp;", "&amp;CHAR(34)&amp;"denominator"&amp;CHAR(34)&amp;": "&amp;SUBSTITUTE(TRIM(ROUND(IFERROR(CriteriTecnici!$L1052*1,IFERROR(NUMBERVALUE(CriteriTecnici!$L1052,".",","),IFERROR(NUMBERVALUE(CriteriTecnici!$L1052,",","."),0))),4)&amp;""),",",".")&amp;", "&amp;CHAR(34)&amp;"flag"&amp;CHAR(34)&amp;": "&amp;SUBSTITUTE(TRIM(ROUND(IFERROR(CriteriTecnici!$M1052*1,IFERROR(NUMBERVALUE(CriteriTecnici!$M1052,".",","),IFERROR(NUMBERVALUE(CriteriTecnici!$M1052,",","."),0))),4)&amp;""),",",".")&amp;", "&amp;CHAR(34)&amp;"rawScore"&amp;CHAR(34)&amp;": "&amp;SUBSTITUTE(TRIM(ROUND(IFERROR(CriteriTecnici!$O1052*1,IFERROR(NUMBERVALUE(CriteriTecnici!$O1052,".",","),IFERROR(NUMBERVALUE(CriteriTecnici!$O1052,",","."),0))),4)&amp;""),",",".")&amp;CHAR(125)&amp;IF(TRUE,",",""))</f>
        <v/>
      </c>
    </row>
    <row r="1154">
      <c r="A1154" s="82">
        <f>IF(CriteriTecnici!$A1053="","","    "&amp;CHAR(123)&amp;CHAR(34)&amp;"bidderId"&amp;CHAR(34)&amp;": "&amp;CHAR(34)&amp;SUBSTITUTE(CriteriTecnici!$A1053,CHAR(34),"'")&amp;CHAR(34)&amp;", "&amp;CHAR(34)&amp;"lotId"&amp;CHAR(34)&amp;": "&amp;CHAR(34)&amp;SUBSTITUTE(CriteriTecnici!$C1053,CHAR(34),"'")&amp;CHAR(34)&amp;", "&amp;CHAR(34)&amp;"criterionId"&amp;CHAR(34)&amp;": "&amp;CHAR(34)&amp;SUBSTITUTE(CriteriTecnici!$D1053,CHAR(34),"'")&amp;CHAR(34)&amp;", "&amp;CHAR(34)&amp;"kind"&amp;CHAR(34)&amp;": "&amp;CHAR(34)&amp;SUBSTITUTE(CriteriTecnici!$F1053,CHAR(34),"'")&amp;CHAR(34)&amp;", "&amp;CHAR(34)&amp;"value"&amp;CHAR(34)&amp;": "&amp;SUBSTITUTE(TRIM(ROUND(IFERROR(CriteriTecnici!$N1053*1,IFERROR(NUMBERVALUE(CriteriTecnici!$N1053,".",","),IFERROR(NUMBERVALUE(CriteriTecnici!$N1053,",","."),0))),4)&amp;""),",",".")&amp;", "&amp;CHAR(34)&amp;"numerator"&amp;CHAR(34)&amp;": "&amp;SUBSTITUTE(TRIM(ROUND(IFERROR(CriteriTecnici!$K1053*1,IFERROR(NUMBERVALUE(CriteriTecnici!$K1053,".",","),IFERROR(NUMBERVALUE(CriteriTecnici!$K1053,",","."),0))),4)&amp;""),",",".")&amp;", "&amp;CHAR(34)&amp;"denominator"&amp;CHAR(34)&amp;": "&amp;SUBSTITUTE(TRIM(ROUND(IFERROR(CriteriTecnici!$L1053*1,IFERROR(NUMBERVALUE(CriteriTecnici!$L1053,".",","),IFERROR(NUMBERVALUE(CriteriTecnici!$L1053,",","."),0))),4)&amp;""),",",".")&amp;", "&amp;CHAR(34)&amp;"flag"&amp;CHAR(34)&amp;": "&amp;SUBSTITUTE(TRIM(ROUND(IFERROR(CriteriTecnici!$M1053*1,IFERROR(NUMBERVALUE(CriteriTecnici!$M1053,".",","),IFERROR(NUMBERVALUE(CriteriTecnici!$M1053,",","."),0))),4)&amp;""),",",".")&amp;", "&amp;CHAR(34)&amp;"rawScore"&amp;CHAR(34)&amp;": "&amp;SUBSTITUTE(TRIM(ROUND(IFERROR(CriteriTecnici!$O1053*1,IFERROR(NUMBERVALUE(CriteriTecnici!$O1053,".",","),IFERROR(NUMBERVALUE(CriteriTecnici!$O1053,",","."),0))),4)&amp;""),",",".")&amp;CHAR(125)&amp;IF(TRUE,",",""))</f>
        <v/>
      </c>
    </row>
    <row r="1155">
      <c r="A1155" s="82">
        <f>IF(CriteriTecnici!$A1054="","","    "&amp;CHAR(123)&amp;CHAR(34)&amp;"bidderId"&amp;CHAR(34)&amp;": "&amp;CHAR(34)&amp;SUBSTITUTE(CriteriTecnici!$A1054,CHAR(34),"'")&amp;CHAR(34)&amp;", "&amp;CHAR(34)&amp;"lotId"&amp;CHAR(34)&amp;": "&amp;CHAR(34)&amp;SUBSTITUTE(CriteriTecnici!$C1054,CHAR(34),"'")&amp;CHAR(34)&amp;", "&amp;CHAR(34)&amp;"criterionId"&amp;CHAR(34)&amp;": "&amp;CHAR(34)&amp;SUBSTITUTE(CriteriTecnici!$D1054,CHAR(34),"'")&amp;CHAR(34)&amp;", "&amp;CHAR(34)&amp;"kind"&amp;CHAR(34)&amp;": "&amp;CHAR(34)&amp;SUBSTITUTE(CriteriTecnici!$F1054,CHAR(34),"'")&amp;CHAR(34)&amp;", "&amp;CHAR(34)&amp;"value"&amp;CHAR(34)&amp;": "&amp;SUBSTITUTE(TRIM(ROUND(IFERROR(CriteriTecnici!$N1054*1,IFERROR(NUMBERVALUE(CriteriTecnici!$N1054,".",","),IFERROR(NUMBERVALUE(CriteriTecnici!$N1054,",","."),0))),4)&amp;""),",",".")&amp;", "&amp;CHAR(34)&amp;"numerator"&amp;CHAR(34)&amp;": "&amp;SUBSTITUTE(TRIM(ROUND(IFERROR(CriteriTecnici!$K1054*1,IFERROR(NUMBERVALUE(CriteriTecnici!$K1054,".",","),IFERROR(NUMBERVALUE(CriteriTecnici!$K1054,",","."),0))),4)&amp;""),",",".")&amp;", "&amp;CHAR(34)&amp;"denominator"&amp;CHAR(34)&amp;": "&amp;SUBSTITUTE(TRIM(ROUND(IFERROR(CriteriTecnici!$L1054*1,IFERROR(NUMBERVALUE(CriteriTecnici!$L1054,".",","),IFERROR(NUMBERVALUE(CriteriTecnici!$L1054,",","."),0))),4)&amp;""),",",".")&amp;", "&amp;CHAR(34)&amp;"flag"&amp;CHAR(34)&amp;": "&amp;SUBSTITUTE(TRIM(ROUND(IFERROR(CriteriTecnici!$M1054*1,IFERROR(NUMBERVALUE(CriteriTecnici!$M1054,".",","),IFERROR(NUMBERVALUE(CriteriTecnici!$M1054,",","."),0))),4)&amp;""),",",".")&amp;", "&amp;CHAR(34)&amp;"rawScore"&amp;CHAR(34)&amp;": "&amp;SUBSTITUTE(TRIM(ROUND(IFERROR(CriteriTecnici!$O1054*1,IFERROR(NUMBERVALUE(CriteriTecnici!$O1054,".",","),IFERROR(NUMBERVALUE(CriteriTecnici!$O1054,",","."),0))),4)&amp;""),",",".")&amp;CHAR(125)&amp;IF(TRUE,",",""))</f>
        <v/>
      </c>
    </row>
    <row r="1156">
      <c r="A1156" s="82">
        <f>IF(CriteriTecnici!$A1055="","","    "&amp;CHAR(123)&amp;CHAR(34)&amp;"bidderId"&amp;CHAR(34)&amp;": "&amp;CHAR(34)&amp;SUBSTITUTE(CriteriTecnici!$A1055,CHAR(34),"'")&amp;CHAR(34)&amp;", "&amp;CHAR(34)&amp;"lotId"&amp;CHAR(34)&amp;": "&amp;CHAR(34)&amp;SUBSTITUTE(CriteriTecnici!$C1055,CHAR(34),"'")&amp;CHAR(34)&amp;", "&amp;CHAR(34)&amp;"criterionId"&amp;CHAR(34)&amp;": "&amp;CHAR(34)&amp;SUBSTITUTE(CriteriTecnici!$D1055,CHAR(34),"'")&amp;CHAR(34)&amp;", "&amp;CHAR(34)&amp;"kind"&amp;CHAR(34)&amp;": "&amp;CHAR(34)&amp;SUBSTITUTE(CriteriTecnici!$F1055,CHAR(34),"'")&amp;CHAR(34)&amp;", "&amp;CHAR(34)&amp;"value"&amp;CHAR(34)&amp;": "&amp;SUBSTITUTE(TRIM(ROUND(IFERROR(CriteriTecnici!$N1055*1,IFERROR(NUMBERVALUE(CriteriTecnici!$N1055,".",","),IFERROR(NUMBERVALUE(CriteriTecnici!$N1055,",","."),0))),4)&amp;""),",",".")&amp;", "&amp;CHAR(34)&amp;"numerator"&amp;CHAR(34)&amp;": "&amp;SUBSTITUTE(TRIM(ROUND(IFERROR(CriteriTecnici!$K1055*1,IFERROR(NUMBERVALUE(CriteriTecnici!$K1055,".",","),IFERROR(NUMBERVALUE(CriteriTecnici!$K1055,",","."),0))),4)&amp;""),",",".")&amp;", "&amp;CHAR(34)&amp;"denominator"&amp;CHAR(34)&amp;": "&amp;SUBSTITUTE(TRIM(ROUND(IFERROR(CriteriTecnici!$L1055*1,IFERROR(NUMBERVALUE(CriteriTecnici!$L1055,".",","),IFERROR(NUMBERVALUE(CriteriTecnici!$L1055,",","."),0))),4)&amp;""),",",".")&amp;", "&amp;CHAR(34)&amp;"flag"&amp;CHAR(34)&amp;": "&amp;SUBSTITUTE(TRIM(ROUND(IFERROR(CriteriTecnici!$M1055*1,IFERROR(NUMBERVALUE(CriteriTecnici!$M1055,".",","),IFERROR(NUMBERVALUE(CriteriTecnici!$M1055,",","."),0))),4)&amp;""),",",".")&amp;", "&amp;CHAR(34)&amp;"rawScore"&amp;CHAR(34)&amp;": "&amp;SUBSTITUTE(TRIM(ROUND(IFERROR(CriteriTecnici!$O1055*1,IFERROR(NUMBERVALUE(CriteriTecnici!$O1055,".",","),IFERROR(NUMBERVALUE(CriteriTecnici!$O1055,",","."),0))),4)&amp;""),",",".")&amp;CHAR(125)&amp;IF(TRUE,",",""))</f>
        <v/>
      </c>
    </row>
    <row r="1157">
      <c r="A1157" s="82">
        <f>IF(CriteriTecnici!$A1056="","","    "&amp;CHAR(123)&amp;CHAR(34)&amp;"bidderId"&amp;CHAR(34)&amp;": "&amp;CHAR(34)&amp;SUBSTITUTE(CriteriTecnici!$A1056,CHAR(34),"'")&amp;CHAR(34)&amp;", "&amp;CHAR(34)&amp;"lotId"&amp;CHAR(34)&amp;": "&amp;CHAR(34)&amp;SUBSTITUTE(CriteriTecnici!$C1056,CHAR(34),"'")&amp;CHAR(34)&amp;", "&amp;CHAR(34)&amp;"criterionId"&amp;CHAR(34)&amp;": "&amp;CHAR(34)&amp;SUBSTITUTE(CriteriTecnici!$D1056,CHAR(34),"'")&amp;CHAR(34)&amp;", "&amp;CHAR(34)&amp;"kind"&amp;CHAR(34)&amp;": "&amp;CHAR(34)&amp;SUBSTITUTE(CriteriTecnici!$F1056,CHAR(34),"'")&amp;CHAR(34)&amp;", "&amp;CHAR(34)&amp;"value"&amp;CHAR(34)&amp;": "&amp;SUBSTITUTE(TRIM(ROUND(IFERROR(CriteriTecnici!$N1056*1,IFERROR(NUMBERVALUE(CriteriTecnici!$N1056,".",","),IFERROR(NUMBERVALUE(CriteriTecnici!$N1056,",","."),0))),4)&amp;""),",",".")&amp;", "&amp;CHAR(34)&amp;"numerator"&amp;CHAR(34)&amp;": "&amp;SUBSTITUTE(TRIM(ROUND(IFERROR(CriteriTecnici!$K1056*1,IFERROR(NUMBERVALUE(CriteriTecnici!$K1056,".",","),IFERROR(NUMBERVALUE(CriteriTecnici!$K1056,",","."),0))),4)&amp;""),",",".")&amp;", "&amp;CHAR(34)&amp;"denominator"&amp;CHAR(34)&amp;": "&amp;SUBSTITUTE(TRIM(ROUND(IFERROR(CriteriTecnici!$L1056*1,IFERROR(NUMBERVALUE(CriteriTecnici!$L1056,".",","),IFERROR(NUMBERVALUE(CriteriTecnici!$L1056,",","."),0))),4)&amp;""),",",".")&amp;", "&amp;CHAR(34)&amp;"flag"&amp;CHAR(34)&amp;": "&amp;SUBSTITUTE(TRIM(ROUND(IFERROR(CriteriTecnici!$M1056*1,IFERROR(NUMBERVALUE(CriteriTecnici!$M1056,".",","),IFERROR(NUMBERVALUE(CriteriTecnici!$M1056,",","."),0))),4)&amp;""),",",".")&amp;", "&amp;CHAR(34)&amp;"rawScore"&amp;CHAR(34)&amp;": "&amp;SUBSTITUTE(TRIM(ROUND(IFERROR(CriteriTecnici!$O1056*1,IFERROR(NUMBERVALUE(CriteriTecnici!$O1056,".",","),IFERROR(NUMBERVALUE(CriteriTecnici!$O1056,",","."),0))),4)&amp;""),",",".")&amp;CHAR(125)&amp;IF(TRUE,",",""))</f>
        <v/>
      </c>
    </row>
    <row r="1158">
      <c r="A1158" s="82">
        <f>IF(CriteriTecnici!$A1057="","","    "&amp;CHAR(123)&amp;CHAR(34)&amp;"bidderId"&amp;CHAR(34)&amp;": "&amp;CHAR(34)&amp;SUBSTITUTE(CriteriTecnici!$A1057,CHAR(34),"'")&amp;CHAR(34)&amp;", "&amp;CHAR(34)&amp;"lotId"&amp;CHAR(34)&amp;": "&amp;CHAR(34)&amp;SUBSTITUTE(CriteriTecnici!$C1057,CHAR(34),"'")&amp;CHAR(34)&amp;", "&amp;CHAR(34)&amp;"criterionId"&amp;CHAR(34)&amp;": "&amp;CHAR(34)&amp;SUBSTITUTE(CriteriTecnici!$D1057,CHAR(34),"'")&amp;CHAR(34)&amp;", "&amp;CHAR(34)&amp;"kind"&amp;CHAR(34)&amp;": "&amp;CHAR(34)&amp;SUBSTITUTE(CriteriTecnici!$F1057,CHAR(34),"'")&amp;CHAR(34)&amp;", "&amp;CHAR(34)&amp;"value"&amp;CHAR(34)&amp;": "&amp;SUBSTITUTE(TRIM(ROUND(IFERROR(CriteriTecnici!$N1057*1,IFERROR(NUMBERVALUE(CriteriTecnici!$N1057,".",","),IFERROR(NUMBERVALUE(CriteriTecnici!$N1057,",","."),0))),4)&amp;""),",",".")&amp;", "&amp;CHAR(34)&amp;"numerator"&amp;CHAR(34)&amp;": "&amp;SUBSTITUTE(TRIM(ROUND(IFERROR(CriteriTecnici!$K1057*1,IFERROR(NUMBERVALUE(CriteriTecnici!$K1057,".",","),IFERROR(NUMBERVALUE(CriteriTecnici!$K1057,",","."),0))),4)&amp;""),",",".")&amp;", "&amp;CHAR(34)&amp;"denominator"&amp;CHAR(34)&amp;": "&amp;SUBSTITUTE(TRIM(ROUND(IFERROR(CriteriTecnici!$L1057*1,IFERROR(NUMBERVALUE(CriteriTecnici!$L1057,".",","),IFERROR(NUMBERVALUE(CriteriTecnici!$L1057,",","."),0))),4)&amp;""),",",".")&amp;", "&amp;CHAR(34)&amp;"flag"&amp;CHAR(34)&amp;": "&amp;SUBSTITUTE(TRIM(ROUND(IFERROR(CriteriTecnici!$M1057*1,IFERROR(NUMBERVALUE(CriteriTecnici!$M1057,".",","),IFERROR(NUMBERVALUE(CriteriTecnici!$M1057,",","."),0))),4)&amp;""),",",".")&amp;", "&amp;CHAR(34)&amp;"rawScore"&amp;CHAR(34)&amp;": "&amp;SUBSTITUTE(TRIM(ROUND(IFERROR(CriteriTecnici!$O1057*1,IFERROR(NUMBERVALUE(CriteriTecnici!$O1057,".",","),IFERROR(NUMBERVALUE(CriteriTecnici!$O1057,",","."),0))),4)&amp;""),",",".")&amp;CHAR(125)&amp;IF(TRUE,",",""))</f>
        <v/>
      </c>
    </row>
    <row r="1159">
      <c r="A1159" s="82">
        <f>IF(CriteriTecnici!$A1058="","","    "&amp;CHAR(123)&amp;CHAR(34)&amp;"bidderId"&amp;CHAR(34)&amp;": "&amp;CHAR(34)&amp;SUBSTITUTE(CriteriTecnici!$A1058,CHAR(34),"'")&amp;CHAR(34)&amp;", "&amp;CHAR(34)&amp;"lotId"&amp;CHAR(34)&amp;": "&amp;CHAR(34)&amp;SUBSTITUTE(CriteriTecnici!$C1058,CHAR(34),"'")&amp;CHAR(34)&amp;", "&amp;CHAR(34)&amp;"criterionId"&amp;CHAR(34)&amp;": "&amp;CHAR(34)&amp;SUBSTITUTE(CriteriTecnici!$D1058,CHAR(34),"'")&amp;CHAR(34)&amp;", "&amp;CHAR(34)&amp;"kind"&amp;CHAR(34)&amp;": "&amp;CHAR(34)&amp;SUBSTITUTE(CriteriTecnici!$F1058,CHAR(34),"'")&amp;CHAR(34)&amp;", "&amp;CHAR(34)&amp;"value"&amp;CHAR(34)&amp;": "&amp;SUBSTITUTE(TRIM(ROUND(IFERROR(CriteriTecnici!$N1058*1,IFERROR(NUMBERVALUE(CriteriTecnici!$N1058,".",","),IFERROR(NUMBERVALUE(CriteriTecnici!$N1058,",","."),0))),4)&amp;""),",",".")&amp;", "&amp;CHAR(34)&amp;"numerator"&amp;CHAR(34)&amp;": "&amp;SUBSTITUTE(TRIM(ROUND(IFERROR(CriteriTecnici!$K1058*1,IFERROR(NUMBERVALUE(CriteriTecnici!$K1058,".",","),IFERROR(NUMBERVALUE(CriteriTecnici!$K1058,",","."),0))),4)&amp;""),",",".")&amp;", "&amp;CHAR(34)&amp;"denominator"&amp;CHAR(34)&amp;": "&amp;SUBSTITUTE(TRIM(ROUND(IFERROR(CriteriTecnici!$L1058*1,IFERROR(NUMBERVALUE(CriteriTecnici!$L1058,".",","),IFERROR(NUMBERVALUE(CriteriTecnici!$L1058,",","."),0))),4)&amp;""),",",".")&amp;", "&amp;CHAR(34)&amp;"flag"&amp;CHAR(34)&amp;": "&amp;SUBSTITUTE(TRIM(ROUND(IFERROR(CriteriTecnici!$M1058*1,IFERROR(NUMBERVALUE(CriteriTecnici!$M1058,".",","),IFERROR(NUMBERVALUE(CriteriTecnici!$M1058,",","."),0))),4)&amp;""),",",".")&amp;", "&amp;CHAR(34)&amp;"rawScore"&amp;CHAR(34)&amp;": "&amp;SUBSTITUTE(TRIM(ROUND(IFERROR(CriteriTecnici!$O1058*1,IFERROR(NUMBERVALUE(CriteriTecnici!$O1058,".",","),IFERROR(NUMBERVALUE(CriteriTecnici!$O1058,",","."),0))),4)&amp;""),",",".")&amp;CHAR(125)&amp;IF(COUNTA(Offerte!$A36:$A$81)&gt;0,",",""))</f>
        <v/>
      </c>
    </row>
    <row r="1160">
      <c r="A1160" s="82">
        <f>IF(CriteriTecnici!$A1059="","","    "&amp;CHAR(123)&amp;CHAR(34)&amp;"bidderId"&amp;CHAR(34)&amp;": "&amp;CHAR(34)&amp;SUBSTITUTE(CriteriTecnici!$A1059,CHAR(34),"'")&amp;CHAR(34)&amp;", "&amp;CHAR(34)&amp;"lotId"&amp;CHAR(34)&amp;": "&amp;CHAR(34)&amp;SUBSTITUTE(CriteriTecnici!$C1059,CHAR(34),"'")&amp;CHAR(34)&amp;", "&amp;CHAR(34)&amp;"criterionId"&amp;CHAR(34)&amp;": "&amp;CHAR(34)&amp;SUBSTITUTE(CriteriTecnici!$D1059,CHAR(34),"'")&amp;CHAR(34)&amp;", "&amp;CHAR(34)&amp;"kind"&amp;CHAR(34)&amp;": "&amp;CHAR(34)&amp;SUBSTITUTE(CriteriTecnici!$F1059,CHAR(34),"'")&amp;CHAR(34)&amp;", "&amp;CHAR(34)&amp;"value"&amp;CHAR(34)&amp;": "&amp;SUBSTITUTE(TRIM(ROUND(IFERROR(CriteriTecnici!$N1059*1,IFERROR(NUMBERVALUE(CriteriTecnici!$N1059,".",","),IFERROR(NUMBERVALUE(CriteriTecnici!$N1059,",","."),0))),4)&amp;""),",",".")&amp;", "&amp;CHAR(34)&amp;"numerator"&amp;CHAR(34)&amp;": "&amp;SUBSTITUTE(TRIM(ROUND(IFERROR(CriteriTecnici!$K1059*1,IFERROR(NUMBERVALUE(CriteriTecnici!$K1059,".",","),IFERROR(NUMBERVALUE(CriteriTecnici!$K1059,",","."),0))),4)&amp;""),",",".")&amp;", "&amp;CHAR(34)&amp;"denominator"&amp;CHAR(34)&amp;": "&amp;SUBSTITUTE(TRIM(ROUND(IFERROR(CriteriTecnici!$L1059*1,IFERROR(NUMBERVALUE(CriteriTecnici!$L1059,".",","),IFERROR(NUMBERVALUE(CriteriTecnici!$L1059,",","."),0))),4)&amp;""),",",".")&amp;", "&amp;CHAR(34)&amp;"flag"&amp;CHAR(34)&amp;": "&amp;SUBSTITUTE(TRIM(ROUND(IFERROR(CriteriTecnici!$M1059*1,IFERROR(NUMBERVALUE(CriteriTecnici!$M1059,".",","),IFERROR(NUMBERVALUE(CriteriTecnici!$M1059,",","."),0))),4)&amp;""),",",".")&amp;", "&amp;CHAR(34)&amp;"rawScore"&amp;CHAR(34)&amp;": "&amp;SUBSTITUTE(TRIM(ROUND(IFERROR(CriteriTecnici!$O1059*1,IFERROR(NUMBERVALUE(CriteriTecnici!$O1059,".",","),IFERROR(NUMBERVALUE(CriteriTecnici!$O1059,",","."),0))),4)&amp;""),",",".")&amp;CHAR(125)&amp;IF(TRUE,",",""))</f>
        <v/>
      </c>
    </row>
    <row r="1161">
      <c r="A1161" s="82">
        <f>IF(CriteriTecnici!$A1060="","","    "&amp;CHAR(123)&amp;CHAR(34)&amp;"bidderId"&amp;CHAR(34)&amp;": "&amp;CHAR(34)&amp;SUBSTITUTE(CriteriTecnici!$A1060,CHAR(34),"'")&amp;CHAR(34)&amp;", "&amp;CHAR(34)&amp;"lotId"&amp;CHAR(34)&amp;": "&amp;CHAR(34)&amp;SUBSTITUTE(CriteriTecnici!$C1060,CHAR(34),"'")&amp;CHAR(34)&amp;", "&amp;CHAR(34)&amp;"criterionId"&amp;CHAR(34)&amp;": "&amp;CHAR(34)&amp;SUBSTITUTE(CriteriTecnici!$D1060,CHAR(34),"'")&amp;CHAR(34)&amp;", "&amp;CHAR(34)&amp;"kind"&amp;CHAR(34)&amp;": "&amp;CHAR(34)&amp;SUBSTITUTE(CriteriTecnici!$F1060,CHAR(34),"'")&amp;CHAR(34)&amp;", "&amp;CHAR(34)&amp;"value"&amp;CHAR(34)&amp;": "&amp;SUBSTITUTE(TRIM(ROUND(IFERROR(CriteriTecnici!$N1060*1,IFERROR(NUMBERVALUE(CriteriTecnici!$N1060,".",","),IFERROR(NUMBERVALUE(CriteriTecnici!$N1060,",","."),0))),4)&amp;""),",",".")&amp;", "&amp;CHAR(34)&amp;"numerator"&amp;CHAR(34)&amp;": "&amp;SUBSTITUTE(TRIM(ROUND(IFERROR(CriteriTecnici!$K1060*1,IFERROR(NUMBERVALUE(CriteriTecnici!$K1060,".",","),IFERROR(NUMBERVALUE(CriteriTecnici!$K1060,",","."),0))),4)&amp;""),",",".")&amp;", "&amp;CHAR(34)&amp;"denominator"&amp;CHAR(34)&amp;": "&amp;SUBSTITUTE(TRIM(ROUND(IFERROR(CriteriTecnici!$L1060*1,IFERROR(NUMBERVALUE(CriteriTecnici!$L1060,".",","),IFERROR(NUMBERVALUE(CriteriTecnici!$L1060,",","."),0))),4)&amp;""),",",".")&amp;", "&amp;CHAR(34)&amp;"flag"&amp;CHAR(34)&amp;": "&amp;SUBSTITUTE(TRIM(ROUND(IFERROR(CriteriTecnici!$M1060*1,IFERROR(NUMBERVALUE(CriteriTecnici!$M1060,".",","),IFERROR(NUMBERVALUE(CriteriTecnici!$M1060,",","."),0))),4)&amp;""),",",".")&amp;", "&amp;CHAR(34)&amp;"rawScore"&amp;CHAR(34)&amp;": "&amp;SUBSTITUTE(TRIM(ROUND(IFERROR(CriteriTecnici!$O1060*1,IFERROR(NUMBERVALUE(CriteriTecnici!$O1060,".",","),IFERROR(NUMBERVALUE(CriteriTecnici!$O1060,",","."),0))),4)&amp;""),",",".")&amp;CHAR(125)&amp;IF(TRUE,",",""))</f>
        <v/>
      </c>
    </row>
    <row r="1162">
      <c r="A1162" s="82">
        <f>IF(CriteriTecnici!$A1061="","","    "&amp;CHAR(123)&amp;CHAR(34)&amp;"bidderId"&amp;CHAR(34)&amp;": "&amp;CHAR(34)&amp;SUBSTITUTE(CriteriTecnici!$A1061,CHAR(34),"'")&amp;CHAR(34)&amp;", "&amp;CHAR(34)&amp;"lotId"&amp;CHAR(34)&amp;": "&amp;CHAR(34)&amp;SUBSTITUTE(CriteriTecnici!$C1061,CHAR(34),"'")&amp;CHAR(34)&amp;", "&amp;CHAR(34)&amp;"criterionId"&amp;CHAR(34)&amp;": "&amp;CHAR(34)&amp;SUBSTITUTE(CriteriTecnici!$D1061,CHAR(34),"'")&amp;CHAR(34)&amp;", "&amp;CHAR(34)&amp;"kind"&amp;CHAR(34)&amp;": "&amp;CHAR(34)&amp;SUBSTITUTE(CriteriTecnici!$F1061,CHAR(34),"'")&amp;CHAR(34)&amp;", "&amp;CHAR(34)&amp;"value"&amp;CHAR(34)&amp;": "&amp;SUBSTITUTE(TRIM(ROUND(IFERROR(CriteriTecnici!$N1061*1,IFERROR(NUMBERVALUE(CriteriTecnici!$N1061,".",","),IFERROR(NUMBERVALUE(CriteriTecnici!$N1061,",","."),0))),4)&amp;""),",",".")&amp;", "&amp;CHAR(34)&amp;"numerator"&amp;CHAR(34)&amp;": "&amp;SUBSTITUTE(TRIM(ROUND(IFERROR(CriteriTecnici!$K1061*1,IFERROR(NUMBERVALUE(CriteriTecnici!$K1061,".",","),IFERROR(NUMBERVALUE(CriteriTecnici!$K1061,",","."),0))),4)&amp;""),",",".")&amp;", "&amp;CHAR(34)&amp;"denominator"&amp;CHAR(34)&amp;": "&amp;SUBSTITUTE(TRIM(ROUND(IFERROR(CriteriTecnici!$L1061*1,IFERROR(NUMBERVALUE(CriteriTecnici!$L1061,".",","),IFERROR(NUMBERVALUE(CriteriTecnici!$L1061,",","."),0))),4)&amp;""),",",".")&amp;", "&amp;CHAR(34)&amp;"flag"&amp;CHAR(34)&amp;": "&amp;SUBSTITUTE(TRIM(ROUND(IFERROR(CriteriTecnici!$M1061*1,IFERROR(NUMBERVALUE(CriteriTecnici!$M1061,".",","),IFERROR(NUMBERVALUE(CriteriTecnici!$M1061,",","."),0))),4)&amp;""),",",".")&amp;", "&amp;CHAR(34)&amp;"rawScore"&amp;CHAR(34)&amp;": "&amp;SUBSTITUTE(TRIM(ROUND(IFERROR(CriteriTecnici!$O1061*1,IFERROR(NUMBERVALUE(CriteriTecnici!$O1061,".",","),IFERROR(NUMBERVALUE(CriteriTecnici!$O1061,",","."),0))),4)&amp;""),",",".")&amp;CHAR(125)&amp;IF(TRUE,",",""))</f>
        <v/>
      </c>
    </row>
    <row r="1163">
      <c r="A1163" s="82">
        <f>IF(CriteriTecnici!$A1062="","","    "&amp;CHAR(123)&amp;CHAR(34)&amp;"bidderId"&amp;CHAR(34)&amp;": "&amp;CHAR(34)&amp;SUBSTITUTE(CriteriTecnici!$A1062,CHAR(34),"'")&amp;CHAR(34)&amp;", "&amp;CHAR(34)&amp;"lotId"&amp;CHAR(34)&amp;": "&amp;CHAR(34)&amp;SUBSTITUTE(CriteriTecnici!$C1062,CHAR(34),"'")&amp;CHAR(34)&amp;", "&amp;CHAR(34)&amp;"criterionId"&amp;CHAR(34)&amp;": "&amp;CHAR(34)&amp;SUBSTITUTE(CriteriTecnici!$D1062,CHAR(34),"'")&amp;CHAR(34)&amp;", "&amp;CHAR(34)&amp;"kind"&amp;CHAR(34)&amp;": "&amp;CHAR(34)&amp;SUBSTITUTE(CriteriTecnici!$F1062,CHAR(34),"'")&amp;CHAR(34)&amp;", "&amp;CHAR(34)&amp;"value"&amp;CHAR(34)&amp;": "&amp;SUBSTITUTE(TRIM(ROUND(IFERROR(CriteriTecnici!$N1062*1,IFERROR(NUMBERVALUE(CriteriTecnici!$N1062,".",","),IFERROR(NUMBERVALUE(CriteriTecnici!$N1062,",","."),0))),4)&amp;""),",",".")&amp;", "&amp;CHAR(34)&amp;"numerator"&amp;CHAR(34)&amp;": "&amp;SUBSTITUTE(TRIM(ROUND(IFERROR(CriteriTecnici!$K1062*1,IFERROR(NUMBERVALUE(CriteriTecnici!$K1062,".",","),IFERROR(NUMBERVALUE(CriteriTecnici!$K1062,",","."),0))),4)&amp;""),",",".")&amp;", "&amp;CHAR(34)&amp;"denominator"&amp;CHAR(34)&amp;": "&amp;SUBSTITUTE(TRIM(ROUND(IFERROR(CriteriTecnici!$L1062*1,IFERROR(NUMBERVALUE(CriteriTecnici!$L1062,".",","),IFERROR(NUMBERVALUE(CriteriTecnici!$L1062,",","."),0))),4)&amp;""),",",".")&amp;", "&amp;CHAR(34)&amp;"flag"&amp;CHAR(34)&amp;": "&amp;SUBSTITUTE(TRIM(ROUND(IFERROR(CriteriTecnici!$M1062*1,IFERROR(NUMBERVALUE(CriteriTecnici!$M1062,".",","),IFERROR(NUMBERVALUE(CriteriTecnici!$M1062,",","."),0))),4)&amp;""),",",".")&amp;", "&amp;CHAR(34)&amp;"rawScore"&amp;CHAR(34)&amp;": "&amp;SUBSTITUTE(TRIM(ROUND(IFERROR(CriteriTecnici!$O1062*1,IFERROR(NUMBERVALUE(CriteriTecnici!$O1062,".",","),IFERROR(NUMBERVALUE(CriteriTecnici!$O1062,",","."),0))),4)&amp;""),",",".")&amp;CHAR(125)&amp;IF(TRUE,",",""))</f>
        <v/>
      </c>
    </row>
    <row r="1164">
      <c r="A1164" s="82">
        <f>IF(CriteriTecnici!$A1063="","","    "&amp;CHAR(123)&amp;CHAR(34)&amp;"bidderId"&amp;CHAR(34)&amp;": "&amp;CHAR(34)&amp;SUBSTITUTE(CriteriTecnici!$A1063,CHAR(34),"'")&amp;CHAR(34)&amp;", "&amp;CHAR(34)&amp;"lotId"&amp;CHAR(34)&amp;": "&amp;CHAR(34)&amp;SUBSTITUTE(CriteriTecnici!$C1063,CHAR(34),"'")&amp;CHAR(34)&amp;", "&amp;CHAR(34)&amp;"criterionId"&amp;CHAR(34)&amp;": "&amp;CHAR(34)&amp;SUBSTITUTE(CriteriTecnici!$D1063,CHAR(34),"'")&amp;CHAR(34)&amp;", "&amp;CHAR(34)&amp;"kind"&amp;CHAR(34)&amp;": "&amp;CHAR(34)&amp;SUBSTITUTE(CriteriTecnici!$F1063,CHAR(34),"'")&amp;CHAR(34)&amp;", "&amp;CHAR(34)&amp;"value"&amp;CHAR(34)&amp;": "&amp;SUBSTITUTE(TRIM(ROUND(IFERROR(CriteriTecnici!$N1063*1,IFERROR(NUMBERVALUE(CriteriTecnici!$N1063,".",","),IFERROR(NUMBERVALUE(CriteriTecnici!$N1063,",","."),0))),4)&amp;""),",",".")&amp;", "&amp;CHAR(34)&amp;"numerator"&amp;CHAR(34)&amp;": "&amp;SUBSTITUTE(TRIM(ROUND(IFERROR(CriteriTecnici!$K1063*1,IFERROR(NUMBERVALUE(CriteriTecnici!$K1063,".",","),IFERROR(NUMBERVALUE(CriteriTecnici!$K1063,",","."),0))),4)&amp;""),",",".")&amp;", "&amp;CHAR(34)&amp;"denominator"&amp;CHAR(34)&amp;": "&amp;SUBSTITUTE(TRIM(ROUND(IFERROR(CriteriTecnici!$L1063*1,IFERROR(NUMBERVALUE(CriteriTecnici!$L1063,".",","),IFERROR(NUMBERVALUE(CriteriTecnici!$L1063,",","."),0))),4)&amp;""),",",".")&amp;", "&amp;CHAR(34)&amp;"flag"&amp;CHAR(34)&amp;": "&amp;SUBSTITUTE(TRIM(ROUND(IFERROR(CriteriTecnici!$M1063*1,IFERROR(NUMBERVALUE(CriteriTecnici!$M1063,".",","),IFERROR(NUMBERVALUE(CriteriTecnici!$M1063,",","."),0))),4)&amp;""),",",".")&amp;", "&amp;CHAR(34)&amp;"rawScore"&amp;CHAR(34)&amp;": "&amp;SUBSTITUTE(TRIM(ROUND(IFERROR(CriteriTecnici!$O1063*1,IFERROR(NUMBERVALUE(CriteriTecnici!$O1063,".",","),IFERROR(NUMBERVALUE(CriteriTecnici!$O1063,",","."),0))),4)&amp;""),",",".")&amp;CHAR(125)&amp;IF(TRUE,",",""))</f>
        <v/>
      </c>
    </row>
    <row r="1165">
      <c r="A1165" s="82">
        <f>IF(CriteriTecnici!$A1064="","","    "&amp;CHAR(123)&amp;CHAR(34)&amp;"bidderId"&amp;CHAR(34)&amp;": "&amp;CHAR(34)&amp;SUBSTITUTE(CriteriTecnici!$A1064,CHAR(34),"'")&amp;CHAR(34)&amp;", "&amp;CHAR(34)&amp;"lotId"&amp;CHAR(34)&amp;": "&amp;CHAR(34)&amp;SUBSTITUTE(CriteriTecnici!$C1064,CHAR(34),"'")&amp;CHAR(34)&amp;", "&amp;CHAR(34)&amp;"criterionId"&amp;CHAR(34)&amp;": "&amp;CHAR(34)&amp;SUBSTITUTE(CriteriTecnici!$D1064,CHAR(34),"'")&amp;CHAR(34)&amp;", "&amp;CHAR(34)&amp;"kind"&amp;CHAR(34)&amp;": "&amp;CHAR(34)&amp;SUBSTITUTE(CriteriTecnici!$F1064,CHAR(34),"'")&amp;CHAR(34)&amp;", "&amp;CHAR(34)&amp;"value"&amp;CHAR(34)&amp;": "&amp;SUBSTITUTE(TRIM(ROUND(IFERROR(CriteriTecnici!$N1064*1,IFERROR(NUMBERVALUE(CriteriTecnici!$N1064,".",","),IFERROR(NUMBERVALUE(CriteriTecnici!$N1064,",","."),0))),4)&amp;""),",",".")&amp;", "&amp;CHAR(34)&amp;"numerator"&amp;CHAR(34)&amp;": "&amp;SUBSTITUTE(TRIM(ROUND(IFERROR(CriteriTecnici!$K1064*1,IFERROR(NUMBERVALUE(CriteriTecnici!$K1064,".",","),IFERROR(NUMBERVALUE(CriteriTecnici!$K1064,",","."),0))),4)&amp;""),",",".")&amp;", "&amp;CHAR(34)&amp;"denominator"&amp;CHAR(34)&amp;": "&amp;SUBSTITUTE(TRIM(ROUND(IFERROR(CriteriTecnici!$L1064*1,IFERROR(NUMBERVALUE(CriteriTecnici!$L1064,".",","),IFERROR(NUMBERVALUE(CriteriTecnici!$L1064,",","."),0))),4)&amp;""),",",".")&amp;", "&amp;CHAR(34)&amp;"flag"&amp;CHAR(34)&amp;": "&amp;SUBSTITUTE(TRIM(ROUND(IFERROR(CriteriTecnici!$M1064*1,IFERROR(NUMBERVALUE(CriteriTecnici!$M1064,".",","),IFERROR(NUMBERVALUE(CriteriTecnici!$M1064,",","."),0))),4)&amp;""),",",".")&amp;", "&amp;CHAR(34)&amp;"rawScore"&amp;CHAR(34)&amp;": "&amp;SUBSTITUTE(TRIM(ROUND(IFERROR(CriteriTecnici!$O1064*1,IFERROR(NUMBERVALUE(CriteriTecnici!$O1064,".",","),IFERROR(NUMBERVALUE(CriteriTecnici!$O1064,",","."),0))),4)&amp;""),",",".")&amp;CHAR(125)&amp;IF(TRUE,",",""))</f>
        <v/>
      </c>
    </row>
    <row r="1166">
      <c r="A1166" s="82">
        <f>IF(CriteriTecnici!$A1065="","","    "&amp;CHAR(123)&amp;CHAR(34)&amp;"bidderId"&amp;CHAR(34)&amp;": "&amp;CHAR(34)&amp;SUBSTITUTE(CriteriTecnici!$A1065,CHAR(34),"'")&amp;CHAR(34)&amp;", "&amp;CHAR(34)&amp;"lotId"&amp;CHAR(34)&amp;": "&amp;CHAR(34)&amp;SUBSTITUTE(CriteriTecnici!$C1065,CHAR(34),"'")&amp;CHAR(34)&amp;", "&amp;CHAR(34)&amp;"criterionId"&amp;CHAR(34)&amp;": "&amp;CHAR(34)&amp;SUBSTITUTE(CriteriTecnici!$D1065,CHAR(34),"'")&amp;CHAR(34)&amp;", "&amp;CHAR(34)&amp;"kind"&amp;CHAR(34)&amp;": "&amp;CHAR(34)&amp;SUBSTITUTE(CriteriTecnici!$F1065,CHAR(34),"'")&amp;CHAR(34)&amp;", "&amp;CHAR(34)&amp;"value"&amp;CHAR(34)&amp;": "&amp;SUBSTITUTE(TRIM(ROUND(IFERROR(CriteriTecnici!$N1065*1,IFERROR(NUMBERVALUE(CriteriTecnici!$N1065,".",","),IFERROR(NUMBERVALUE(CriteriTecnici!$N1065,",","."),0))),4)&amp;""),",",".")&amp;", "&amp;CHAR(34)&amp;"numerator"&amp;CHAR(34)&amp;": "&amp;SUBSTITUTE(TRIM(ROUND(IFERROR(CriteriTecnici!$K1065*1,IFERROR(NUMBERVALUE(CriteriTecnici!$K1065,".",","),IFERROR(NUMBERVALUE(CriteriTecnici!$K1065,",","."),0))),4)&amp;""),",",".")&amp;", "&amp;CHAR(34)&amp;"denominator"&amp;CHAR(34)&amp;": "&amp;SUBSTITUTE(TRIM(ROUND(IFERROR(CriteriTecnici!$L1065*1,IFERROR(NUMBERVALUE(CriteriTecnici!$L1065,".",","),IFERROR(NUMBERVALUE(CriteriTecnici!$L1065,",","."),0))),4)&amp;""),",",".")&amp;", "&amp;CHAR(34)&amp;"flag"&amp;CHAR(34)&amp;": "&amp;SUBSTITUTE(TRIM(ROUND(IFERROR(CriteriTecnici!$M1065*1,IFERROR(NUMBERVALUE(CriteriTecnici!$M1065,".",","),IFERROR(NUMBERVALUE(CriteriTecnici!$M1065,",","."),0))),4)&amp;""),",",".")&amp;", "&amp;CHAR(34)&amp;"rawScore"&amp;CHAR(34)&amp;": "&amp;SUBSTITUTE(TRIM(ROUND(IFERROR(CriteriTecnici!$O1065*1,IFERROR(NUMBERVALUE(CriteriTecnici!$O1065,".",","),IFERROR(NUMBERVALUE(CriteriTecnici!$O1065,",","."),0))),4)&amp;""),",",".")&amp;CHAR(125)&amp;IF(TRUE,",",""))</f>
        <v/>
      </c>
    </row>
    <row r="1167">
      <c r="A1167" s="82">
        <f>IF(CriteriTecnici!$A1066="","","    "&amp;CHAR(123)&amp;CHAR(34)&amp;"bidderId"&amp;CHAR(34)&amp;": "&amp;CHAR(34)&amp;SUBSTITUTE(CriteriTecnici!$A1066,CHAR(34),"'")&amp;CHAR(34)&amp;", "&amp;CHAR(34)&amp;"lotId"&amp;CHAR(34)&amp;": "&amp;CHAR(34)&amp;SUBSTITUTE(CriteriTecnici!$C1066,CHAR(34),"'")&amp;CHAR(34)&amp;", "&amp;CHAR(34)&amp;"criterionId"&amp;CHAR(34)&amp;": "&amp;CHAR(34)&amp;SUBSTITUTE(CriteriTecnici!$D1066,CHAR(34),"'")&amp;CHAR(34)&amp;", "&amp;CHAR(34)&amp;"kind"&amp;CHAR(34)&amp;": "&amp;CHAR(34)&amp;SUBSTITUTE(CriteriTecnici!$F1066,CHAR(34),"'")&amp;CHAR(34)&amp;", "&amp;CHAR(34)&amp;"value"&amp;CHAR(34)&amp;": "&amp;SUBSTITUTE(TRIM(ROUND(IFERROR(CriteriTecnici!$N1066*1,IFERROR(NUMBERVALUE(CriteriTecnici!$N1066,".",","),IFERROR(NUMBERVALUE(CriteriTecnici!$N1066,",","."),0))),4)&amp;""),",",".")&amp;", "&amp;CHAR(34)&amp;"numerator"&amp;CHAR(34)&amp;": "&amp;SUBSTITUTE(TRIM(ROUND(IFERROR(CriteriTecnici!$K1066*1,IFERROR(NUMBERVALUE(CriteriTecnici!$K1066,".",","),IFERROR(NUMBERVALUE(CriteriTecnici!$K1066,",","."),0))),4)&amp;""),",",".")&amp;", "&amp;CHAR(34)&amp;"denominator"&amp;CHAR(34)&amp;": "&amp;SUBSTITUTE(TRIM(ROUND(IFERROR(CriteriTecnici!$L1066*1,IFERROR(NUMBERVALUE(CriteriTecnici!$L1066,".",","),IFERROR(NUMBERVALUE(CriteriTecnici!$L1066,",","."),0))),4)&amp;""),",",".")&amp;", "&amp;CHAR(34)&amp;"flag"&amp;CHAR(34)&amp;": "&amp;SUBSTITUTE(TRIM(ROUND(IFERROR(CriteriTecnici!$M1066*1,IFERROR(NUMBERVALUE(CriteriTecnici!$M1066,".",","),IFERROR(NUMBERVALUE(CriteriTecnici!$M1066,",","."),0))),4)&amp;""),",",".")&amp;", "&amp;CHAR(34)&amp;"rawScore"&amp;CHAR(34)&amp;": "&amp;SUBSTITUTE(TRIM(ROUND(IFERROR(CriteriTecnici!$O1066*1,IFERROR(NUMBERVALUE(CriteriTecnici!$O1066,".",","),IFERROR(NUMBERVALUE(CriteriTecnici!$O1066,",","."),0))),4)&amp;""),",",".")&amp;CHAR(125)&amp;IF(TRUE,",",""))</f>
        <v/>
      </c>
    </row>
    <row r="1168">
      <c r="A1168" s="82">
        <f>IF(CriteriTecnici!$A1067="","","    "&amp;CHAR(123)&amp;CHAR(34)&amp;"bidderId"&amp;CHAR(34)&amp;": "&amp;CHAR(34)&amp;SUBSTITUTE(CriteriTecnici!$A1067,CHAR(34),"'")&amp;CHAR(34)&amp;", "&amp;CHAR(34)&amp;"lotId"&amp;CHAR(34)&amp;": "&amp;CHAR(34)&amp;SUBSTITUTE(CriteriTecnici!$C1067,CHAR(34),"'")&amp;CHAR(34)&amp;", "&amp;CHAR(34)&amp;"criterionId"&amp;CHAR(34)&amp;": "&amp;CHAR(34)&amp;SUBSTITUTE(CriteriTecnici!$D1067,CHAR(34),"'")&amp;CHAR(34)&amp;", "&amp;CHAR(34)&amp;"kind"&amp;CHAR(34)&amp;": "&amp;CHAR(34)&amp;SUBSTITUTE(CriteriTecnici!$F1067,CHAR(34),"'")&amp;CHAR(34)&amp;", "&amp;CHAR(34)&amp;"value"&amp;CHAR(34)&amp;": "&amp;SUBSTITUTE(TRIM(ROUND(IFERROR(CriteriTecnici!$N1067*1,IFERROR(NUMBERVALUE(CriteriTecnici!$N1067,".",","),IFERROR(NUMBERVALUE(CriteriTecnici!$N1067,",","."),0))),4)&amp;""),",",".")&amp;", "&amp;CHAR(34)&amp;"numerator"&amp;CHAR(34)&amp;": "&amp;SUBSTITUTE(TRIM(ROUND(IFERROR(CriteriTecnici!$K1067*1,IFERROR(NUMBERVALUE(CriteriTecnici!$K1067,".",","),IFERROR(NUMBERVALUE(CriteriTecnici!$K1067,",","."),0))),4)&amp;""),",",".")&amp;", "&amp;CHAR(34)&amp;"denominator"&amp;CHAR(34)&amp;": "&amp;SUBSTITUTE(TRIM(ROUND(IFERROR(CriteriTecnici!$L1067*1,IFERROR(NUMBERVALUE(CriteriTecnici!$L1067,".",","),IFERROR(NUMBERVALUE(CriteriTecnici!$L1067,",","."),0))),4)&amp;""),",",".")&amp;", "&amp;CHAR(34)&amp;"flag"&amp;CHAR(34)&amp;": "&amp;SUBSTITUTE(TRIM(ROUND(IFERROR(CriteriTecnici!$M1067*1,IFERROR(NUMBERVALUE(CriteriTecnici!$M1067,".",","),IFERROR(NUMBERVALUE(CriteriTecnici!$M1067,",","."),0))),4)&amp;""),",",".")&amp;", "&amp;CHAR(34)&amp;"rawScore"&amp;CHAR(34)&amp;": "&amp;SUBSTITUTE(TRIM(ROUND(IFERROR(CriteriTecnici!$O1067*1,IFERROR(NUMBERVALUE(CriteriTecnici!$O1067,".",","),IFERROR(NUMBERVALUE(CriteriTecnici!$O1067,",","."),0))),4)&amp;""),",",".")&amp;CHAR(125)&amp;IF(TRUE,",",""))</f>
        <v/>
      </c>
    </row>
    <row r="1169">
      <c r="A1169" s="82">
        <f>IF(CriteriTecnici!$A1068="","","    "&amp;CHAR(123)&amp;CHAR(34)&amp;"bidderId"&amp;CHAR(34)&amp;": "&amp;CHAR(34)&amp;SUBSTITUTE(CriteriTecnici!$A1068,CHAR(34),"'")&amp;CHAR(34)&amp;", "&amp;CHAR(34)&amp;"lotId"&amp;CHAR(34)&amp;": "&amp;CHAR(34)&amp;SUBSTITUTE(CriteriTecnici!$C1068,CHAR(34),"'")&amp;CHAR(34)&amp;", "&amp;CHAR(34)&amp;"criterionId"&amp;CHAR(34)&amp;": "&amp;CHAR(34)&amp;SUBSTITUTE(CriteriTecnici!$D1068,CHAR(34),"'")&amp;CHAR(34)&amp;", "&amp;CHAR(34)&amp;"kind"&amp;CHAR(34)&amp;": "&amp;CHAR(34)&amp;SUBSTITUTE(CriteriTecnici!$F1068,CHAR(34),"'")&amp;CHAR(34)&amp;", "&amp;CHAR(34)&amp;"value"&amp;CHAR(34)&amp;": "&amp;SUBSTITUTE(TRIM(ROUND(IFERROR(CriteriTecnici!$N1068*1,IFERROR(NUMBERVALUE(CriteriTecnici!$N1068,".",","),IFERROR(NUMBERVALUE(CriteriTecnici!$N1068,",","."),0))),4)&amp;""),",",".")&amp;", "&amp;CHAR(34)&amp;"numerator"&amp;CHAR(34)&amp;": "&amp;SUBSTITUTE(TRIM(ROUND(IFERROR(CriteriTecnici!$K1068*1,IFERROR(NUMBERVALUE(CriteriTecnici!$K1068,".",","),IFERROR(NUMBERVALUE(CriteriTecnici!$K1068,",","."),0))),4)&amp;""),",",".")&amp;", "&amp;CHAR(34)&amp;"denominator"&amp;CHAR(34)&amp;": "&amp;SUBSTITUTE(TRIM(ROUND(IFERROR(CriteriTecnici!$L1068*1,IFERROR(NUMBERVALUE(CriteriTecnici!$L1068,".",","),IFERROR(NUMBERVALUE(CriteriTecnici!$L1068,",","."),0))),4)&amp;""),",",".")&amp;", "&amp;CHAR(34)&amp;"flag"&amp;CHAR(34)&amp;": "&amp;SUBSTITUTE(TRIM(ROUND(IFERROR(CriteriTecnici!$M1068*1,IFERROR(NUMBERVALUE(CriteriTecnici!$M1068,".",","),IFERROR(NUMBERVALUE(CriteriTecnici!$M1068,",","."),0))),4)&amp;""),",",".")&amp;", "&amp;CHAR(34)&amp;"rawScore"&amp;CHAR(34)&amp;": "&amp;SUBSTITUTE(TRIM(ROUND(IFERROR(CriteriTecnici!$O1068*1,IFERROR(NUMBERVALUE(CriteriTecnici!$O1068,".",","),IFERROR(NUMBERVALUE(CriteriTecnici!$O1068,",","."),0))),4)&amp;""),",",".")&amp;CHAR(125)&amp;IF(TRUE,",",""))</f>
        <v/>
      </c>
    </row>
    <row r="1170">
      <c r="A1170" s="82">
        <f>IF(CriteriTecnici!$A1069="","","    "&amp;CHAR(123)&amp;CHAR(34)&amp;"bidderId"&amp;CHAR(34)&amp;": "&amp;CHAR(34)&amp;SUBSTITUTE(CriteriTecnici!$A1069,CHAR(34),"'")&amp;CHAR(34)&amp;", "&amp;CHAR(34)&amp;"lotId"&amp;CHAR(34)&amp;": "&amp;CHAR(34)&amp;SUBSTITUTE(CriteriTecnici!$C1069,CHAR(34),"'")&amp;CHAR(34)&amp;", "&amp;CHAR(34)&amp;"criterionId"&amp;CHAR(34)&amp;": "&amp;CHAR(34)&amp;SUBSTITUTE(CriteriTecnici!$D1069,CHAR(34),"'")&amp;CHAR(34)&amp;", "&amp;CHAR(34)&amp;"kind"&amp;CHAR(34)&amp;": "&amp;CHAR(34)&amp;SUBSTITUTE(CriteriTecnici!$F1069,CHAR(34),"'")&amp;CHAR(34)&amp;", "&amp;CHAR(34)&amp;"value"&amp;CHAR(34)&amp;": "&amp;SUBSTITUTE(TRIM(ROUND(IFERROR(CriteriTecnici!$N1069*1,IFERROR(NUMBERVALUE(CriteriTecnici!$N1069,".",","),IFERROR(NUMBERVALUE(CriteriTecnici!$N1069,",","."),0))),4)&amp;""),",",".")&amp;", "&amp;CHAR(34)&amp;"numerator"&amp;CHAR(34)&amp;": "&amp;SUBSTITUTE(TRIM(ROUND(IFERROR(CriteriTecnici!$K1069*1,IFERROR(NUMBERVALUE(CriteriTecnici!$K1069,".",","),IFERROR(NUMBERVALUE(CriteriTecnici!$K1069,",","."),0))),4)&amp;""),",",".")&amp;", "&amp;CHAR(34)&amp;"denominator"&amp;CHAR(34)&amp;": "&amp;SUBSTITUTE(TRIM(ROUND(IFERROR(CriteriTecnici!$L1069*1,IFERROR(NUMBERVALUE(CriteriTecnici!$L1069,".",","),IFERROR(NUMBERVALUE(CriteriTecnici!$L1069,",","."),0))),4)&amp;""),",",".")&amp;", "&amp;CHAR(34)&amp;"flag"&amp;CHAR(34)&amp;": "&amp;SUBSTITUTE(TRIM(ROUND(IFERROR(CriteriTecnici!$M1069*1,IFERROR(NUMBERVALUE(CriteriTecnici!$M1069,".",","),IFERROR(NUMBERVALUE(CriteriTecnici!$M1069,",","."),0))),4)&amp;""),",",".")&amp;", "&amp;CHAR(34)&amp;"rawScore"&amp;CHAR(34)&amp;": "&amp;SUBSTITUTE(TRIM(ROUND(IFERROR(CriteriTecnici!$O1069*1,IFERROR(NUMBERVALUE(CriteriTecnici!$O1069,".",","),IFERROR(NUMBERVALUE(CriteriTecnici!$O1069,",","."),0))),4)&amp;""),",",".")&amp;CHAR(125)&amp;IF(TRUE,",",""))</f>
        <v/>
      </c>
    </row>
    <row r="1171">
      <c r="A1171" s="82">
        <f>IF(CriteriTecnici!$A1070="","","    "&amp;CHAR(123)&amp;CHAR(34)&amp;"bidderId"&amp;CHAR(34)&amp;": "&amp;CHAR(34)&amp;SUBSTITUTE(CriteriTecnici!$A1070,CHAR(34),"'")&amp;CHAR(34)&amp;", "&amp;CHAR(34)&amp;"lotId"&amp;CHAR(34)&amp;": "&amp;CHAR(34)&amp;SUBSTITUTE(CriteriTecnici!$C1070,CHAR(34),"'")&amp;CHAR(34)&amp;", "&amp;CHAR(34)&amp;"criterionId"&amp;CHAR(34)&amp;": "&amp;CHAR(34)&amp;SUBSTITUTE(CriteriTecnici!$D1070,CHAR(34),"'")&amp;CHAR(34)&amp;", "&amp;CHAR(34)&amp;"kind"&amp;CHAR(34)&amp;": "&amp;CHAR(34)&amp;SUBSTITUTE(CriteriTecnici!$F1070,CHAR(34),"'")&amp;CHAR(34)&amp;", "&amp;CHAR(34)&amp;"value"&amp;CHAR(34)&amp;": "&amp;SUBSTITUTE(TRIM(ROUND(IFERROR(CriteriTecnici!$N1070*1,IFERROR(NUMBERVALUE(CriteriTecnici!$N1070,".",","),IFERROR(NUMBERVALUE(CriteriTecnici!$N1070,",","."),0))),4)&amp;""),",",".")&amp;", "&amp;CHAR(34)&amp;"numerator"&amp;CHAR(34)&amp;": "&amp;SUBSTITUTE(TRIM(ROUND(IFERROR(CriteriTecnici!$K1070*1,IFERROR(NUMBERVALUE(CriteriTecnici!$K1070,".",","),IFERROR(NUMBERVALUE(CriteriTecnici!$K1070,",","."),0))),4)&amp;""),",",".")&amp;", "&amp;CHAR(34)&amp;"denominator"&amp;CHAR(34)&amp;": "&amp;SUBSTITUTE(TRIM(ROUND(IFERROR(CriteriTecnici!$L1070*1,IFERROR(NUMBERVALUE(CriteriTecnici!$L1070,".",","),IFERROR(NUMBERVALUE(CriteriTecnici!$L1070,",","."),0))),4)&amp;""),",",".")&amp;", "&amp;CHAR(34)&amp;"flag"&amp;CHAR(34)&amp;": "&amp;SUBSTITUTE(TRIM(ROUND(IFERROR(CriteriTecnici!$M1070*1,IFERROR(NUMBERVALUE(CriteriTecnici!$M1070,".",","),IFERROR(NUMBERVALUE(CriteriTecnici!$M1070,",","."),0))),4)&amp;""),",",".")&amp;", "&amp;CHAR(34)&amp;"rawScore"&amp;CHAR(34)&amp;": "&amp;SUBSTITUTE(TRIM(ROUND(IFERROR(CriteriTecnici!$O1070*1,IFERROR(NUMBERVALUE(CriteriTecnici!$O1070,".",","),IFERROR(NUMBERVALUE(CriteriTecnici!$O1070,",","."),0))),4)&amp;""),",",".")&amp;CHAR(125)&amp;IF(TRUE,",",""))</f>
        <v/>
      </c>
    </row>
    <row r="1172">
      <c r="A1172" s="82">
        <f>IF(CriteriTecnici!$A1071="","","    "&amp;CHAR(123)&amp;CHAR(34)&amp;"bidderId"&amp;CHAR(34)&amp;": "&amp;CHAR(34)&amp;SUBSTITUTE(CriteriTecnici!$A1071,CHAR(34),"'")&amp;CHAR(34)&amp;", "&amp;CHAR(34)&amp;"lotId"&amp;CHAR(34)&amp;": "&amp;CHAR(34)&amp;SUBSTITUTE(CriteriTecnici!$C1071,CHAR(34),"'")&amp;CHAR(34)&amp;", "&amp;CHAR(34)&amp;"criterionId"&amp;CHAR(34)&amp;": "&amp;CHAR(34)&amp;SUBSTITUTE(CriteriTecnici!$D1071,CHAR(34),"'")&amp;CHAR(34)&amp;", "&amp;CHAR(34)&amp;"kind"&amp;CHAR(34)&amp;": "&amp;CHAR(34)&amp;SUBSTITUTE(CriteriTecnici!$F1071,CHAR(34),"'")&amp;CHAR(34)&amp;", "&amp;CHAR(34)&amp;"value"&amp;CHAR(34)&amp;": "&amp;SUBSTITUTE(TRIM(ROUND(IFERROR(CriteriTecnici!$N1071*1,IFERROR(NUMBERVALUE(CriteriTecnici!$N1071,".",","),IFERROR(NUMBERVALUE(CriteriTecnici!$N1071,",","."),0))),4)&amp;""),",",".")&amp;", "&amp;CHAR(34)&amp;"numerator"&amp;CHAR(34)&amp;": "&amp;SUBSTITUTE(TRIM(ROUND(IFERROR(CriteriTecnici!$K1071*1,IFERROR(NUMBERVALUE(CriteriTecnici!$K1071,".",","),IFERROR(NUMBERVALUE(CriteriTecnici!$K1071,",","."),0))),4)&amp;""),",",".")&amp;", "&amp;CHAR(34)&amp;"denominator"&amp;CHAR(34)&amp;": "&amp;SUBSTITUTE(TRIM(ROUND(IFERROR(CriteriTecnici!$L1071*1,IFERROR(NUMBERVALUE(CriteriTecnici!$L1071,".",","),IFERROR(NUMBERVALUE(CriteriTecnici!$L1071,",","."),0))),4)&amp;""),",",".")&amp;", "&amp;CHAR(34)&amp;"flag"&amp;CHAR(34)&amp;": "&amp;SUBSTITUTE(TRIM(ROUND(IFERROR(CriteriTecnici!$M1071*1,IFERROR(NUMBERVALUE(CriteriTecnici!$M1071,".",","),IFERROR(NUMBERVALUE(CriteriTecnici!$M1071,",","."),0))),4)&amp;""),",",".")&amp;", "&amp;CHAR(34)&amp;"rawScore"&amp;CHAR(34)&amp;": "&amp;SUBSTITUTE(TRIM(ROUND(IFERROR(CriteriTecnici!$O1071*1,IFERROR(NUMBERVALUE(CriteriTecnici!$O1071,".",","),IFERROR(NUMBERVALUE(CriteriTecnici!$O1071,",","."),0))),4)&amp;""),",",".")&amp;CHAR(125)&amp;IF(TRUE,",",""))</f>
        <v/>
      </c>
    </row>
    <row r="1173">
      <c r="A1173" s="82">
        <f>IF(CriteriTecnici!$A1072="","","    "&amp;CHAR(123)&amp;CHAR(34)&amp;"bidderId"&amp;CHAR(34)&amp;": "&amp;CHAR(34)&amp;SUBSTITUTE(CriteriTecnici!$A1072,CHAR(34),"'")&amp;CHAR(34)&amp;", "&amp;CHAR(34)&amp;"lotId"&amp;CHAR(34)&amp;": "&amp;CHAR(34)&amp;SUBSTITUTE(CriteriTecnici!$C1072,CHAR(34),"'")&amp;CHAR(34)&amp;", "&amp;CHAR(34)&amp;"criterionId"&amp;CHAR(34)&amp;": "&amp;CHAR(34)&amp;SUBSTITUTE(CriteriTecnici!$D1072,CHAR(34),"'")&amp;CHAR(34)&amp;", "&amp;CHAR(34)&amp;"kind"&amp;CHAR(34)&amp;": "&amp;CHAR(34)&amp;SUBSTITUTE(CriteriTecnici!$F1072,CHAR(34),"'")&amp;CHAR(34)&amp;", "&amp;CHAR(34)&amp;"value"&amp;CHAR(34)&amp;": "&amp;SUBSTITUTE(TRIM(ROUND(IFERROR(CriteriTecnici!$N1072*1,IFERROR(NUMBERVALUE(CriteriTecnici!$N1072,".",","),IFERROR(NUMBERVALUE(CriteriTecnici!$N1072,",","."),0))),4)&amp;""),",",".")&amp;", "&amp;CHAR(34)&amp;"numerator"&amp;CHAR(34)&amp;": "&amp;SUBSTITUTE(TRIM(ROUND(IFERROR(CriteriTecnici!$K1072*1,IFERROR(NUMBERVALUE(CriteriTecnici!$K1072,".",","),IFERROR(NUMBERVALUE(CriteriTecnici!$K1072,",","."),0))),4)&amp;""),",",".")&amp;", "&amp;CHAR(34)&amp;"denominator"&amp;CHAR(34)&amp;": "&amp;SUBSTITUTE(TRIM(ROUND(IFERROR(CriteriTecnici!$L1072*1,IFERROR(NUMBERVALUE(CriteriTecnici!$L1072,".",","),IFERROR(NUMBERVALUE(CriteriTecnici!$L1072,",","."),0))),4)&amp;""),",",".")&amp;", "&amp;CHAR(34)&amp;"flag"&amp;CHAR(34)&amp;": "&amp;SUBSTITUTE(TRIM(ROUND(IFERROR(CriteriTecnici!$M1072*1,IFERROR(NUMBERVALUE(CriteriTecnici!$M1072,".",","),IFERROR(NUMBERVALUE(CriteriTecnici!$M1072,",","."),0))),4)&amp;""),",",".")&amp;", "&amp;CHAR(34)&amp;"rawScore"&amp;CHAR(34)&amp;": "&amp;SUBSTITUTE(TRIM(ROUND(IFERROR(CriteriTecnici!$O1072*1,IFERROR(NUMBERVALUE(CriteriTecnici!$O1072,".",","),IFERROR(NUMBERVALUE(CriteriTecnici!$O1072,",","."),0))),4)&amp;""),",",".")&amp;CHAR(125)&amp;IF(TRUE,",",""))</f>
        <v/>
      </c>
    </row>
    <row r="1174">
      <c r="A1174" s="82">
        <f>IF(CriteriTecnici!$A1073="","","    "&amp;CHAR(123)&amp;CHAR(34)&amp;"bidderId"&amp;CHAR(34)&amp;": "&amp;CHAR(34)&amp;SUBSTITUTE(CriteriTecnici!$A1073,CHAR(34),"'")&amp;CHAR(34)&amp;", "&amp;CHAR(34)&amp;"lotId"&amp;CHAR(34)&amp;": "&amp;CHAR(34)&amp;SUBSTITUTE(CriteriTecnici!$C1073,CHAR(34),"'")&amp;CHAR(34)&amp;", "&amp;CHAR(34)&amp;"criterionId"&amp;CHAR(34)&amp;": "&amp;CHAR(34)&amp;SUBSTITUTE(CriteriTecnici!$D1073,CHAR(34),"'")&amp;CHAR(34)&amp;", "&amp;CHAR(34)&amp;"kind"&amp;CHAR(34)&amp;": "&amp;CHAR(34)&amp;SUBSTITUTE(CriteriTecnici!$F1073,CHAR(34),"'")&amp;CHAR(34)&amp;", "&amp;CHAR(34)&amp;"value"&amp;CHAR(34)&amp;": "&amp;SUBSTITUTE(TRIM(ROUND(IFERROR(CriteriTecnici!$N1073*1,IFERROR(NUMBERVALUE(CriteriTecnici!$N1073,".",","),IFERROR(NUMBERVALUE(CriteriTecnici!$N1073,",","."),0))),4)&amp;""),",",".")&amp;", "&amp;CHAR(34)&amp;"numerator"&amp;CHAR(34)&amp;": "&amp;SUBSTITUTE(TRIM(ROUND(IFERROR(CriteriTecnici!$K1073*1,IFERROR(NUMBERVALUE(CriteriTecnici!$K1073,".",","),IFERROR(NUMBERVALUE(CriteriTecnici!$K1073,",","."),0))),4)&amp;""),",",".")&amp;", "&amp;CHAR(34)&amp;"denominator"&amp;CHAR(34)&amp;": "&amp;SUBSTITUTE(TRIM(ROUND(IFERROR(CriteriTecnici!$L1073*1,IFERROR(NUMBERVALUE(CriteriTecnici!$L1073,".",","),IFERROR(NUMBERVALUE(CriteriTecnici!$L1073,",","."),0))),4)&amp;""),",",".")&amp;", "&amp;CHAR(34)&amp;"flag"&amp;CHAR(34)&amp;": "&amp;SUBSTITUTE(TRIM(ROUND(IFERROR(CriteriTecnici!$M1073*1,IFERROR(NUMBERVALUE(CriteriTecnici!$M1073,".",","),IFERROR(NUMBERVALUE(CriteriTecnici!$M1073,",","."),0))),4)&amp;""),",",".")&amp;", "&amp;CHAR(34)&amp;"rawScore"&amp;CHAR(34)&amp;": "&amp;SUBSTITUTE(TRIM(ROUND(IFERROR(CriteriTecnici!$O1073*1,IFERROR(NUMBERVALUE(CriteriTecnici!$O1073,".",","),IFERROR(NUMBERVALUE(CriteriTecnici!$O1073,",","."),0))),4)&amp;""),",",".")&amp;CHAR(125)&amp;IF(TRUE,",",""))</f>
        <v/>
      </c>
    </row>
    <row r="1175">
      <c r="A1175" s="82">
        <f>IF(CriteriTecnici!$A1074="","","    "&amp;CHAR(123)&amp;CHAR(34)&amp;"bidderId"&amp;CHAR(34)&amp;": "&amp;CHAR(34)&amp;SUBSTITUTE(CriteriTecnici!$A1074,CHAR(34),"'")&amp;CHAR(34)&amp;", "&amp;CHAR(34)&amp;"lotId"&amp;CHAR(34)&amp;": "&amp;CHAR(34)&amp;SUBSTITUTE(CriteriTecnici!$C1074,CHAR(34),"'")&amp;CHAR(34)&amp;", "&amp;CHAR(34)&amp;"criterionId"&amp;CHAR(34)&amp;": "&amp;CHAR(34)&amp;SUBSTITUTE(CriteriTecnici!$D1074,CHAR(34),"'")&amp;CHAR(34)&amp;", "&amp;CHAR(34)&amp;"kind"&amp;CHAR(34)&amp;": "&amp;CHAR(34)&amp;SUBSTITUTE(CriteriTecnici!$F1074,CHAR(34),"'")&amp;CHAR(34)&amp;", "&amp;CHAR(34)&amp;"value"&amp;CHAR(34)&amp;": "&amp;SUBSTITUTE(TRIM(ROUND(IFERROR(CriteriTecnici!$N1074*1,IFERROR(NUMBERVALUE(CriteriTecnici!$N1074,".",","),IFERROR(NUMBERVALUE(CriteriTecnici!$N1074,",","."),0))),4)&amp;""),",",".")&amp;", "&amp;CHAR(34)&amp;"numerator"&amp;CHAR(34)&amp;": "&amp;SUBSTITUTE(TRIM(ROUND(IFERROR(CriteriTecnici!$K1074*1,IFERROR(NUMBERVALUE(CriteriTecnici!$K1074,".",","),IFERROR(NUMBERVALUE(CriteriTecnici!$K1074,",","."),0))),4)&amp;""),",",".")&amp;", "&amp;CHAR(34)&amp;"denominator"&amp;CHAR(34)&amp;": "&amp;SUBSTITUTE(TRIM(ROUND(IFERROR(CriteriTecnici!$L1074*1,IFERROR(NUMBERVALUE(CriteriTecnici!$L1074,".",","),IFERROR(NUMBERVALUE(CriteriTecnici!$L1074,",","."),0))),4)&amp;""),",",".")&amp;", "&amp;CHAR(34)&amp;"flag"&amp;CHAR(34)&amp;": "&amp;SUBSTITUTE(TRIM(ROUND(IFERROR(CriteriTecnici!$M1074*1,IFERROR(NUMBERVALUE(CriteriTecnici!$M1074,".",","),IFERROR(NUMBERVALUE(CriteriTecnici!$M1074,",","."),0))),4)&amp;""),",",".")&amp;", "&amp;CHAR(34)&amp;"rawScore"&amp;CHAR(34)&amp;": "&amp;SUBSTITUTE(TRIM(ROUND(IFERROR(CriteriTecnici!$O1074*1,IFERROR(NUMBERVALUE(CriteriTecnici!$O1074,".",","),IFERROR(NUMBERVALUE(CriteriTecnici!$O1074,",","."),0))),4)&amp;""),",",".")&amp;CHAR(125)&amp;IF(TRUE,",",""))</f>
        <v/>
      </c>
    </row>
    <row r="1176">
      <c r="A1176" s="82">
        <f>IF(CriteriTecnici!$A1075="","","    "&amp;CHAR(123)&amp;CHAR(34)&amp;"bidderId"&amp;CHAR(34)&amp;": "&amp;CHAR(34)&amp;SUBSTITUTE(CriteriTecnici!$A1075,CHAR(34),"'")&amp;CHAR(34)&amp;", "&amp;CHAR(34)&amp;"lotId"&amp;CHAR(34)&amp;": "&amp;CHAR(34)&amp;SUBSTITUTE(CriteriTecnici!$C1075,CHAR(34),"'")&amp;CHAR(34)&amp;", "&amp;CHAR(34)&amp;"criterionId"&amp;CHAR(34)&amp;": "&amp;CHAR(34)&amp;SUBSTITUTE(CriteriTecnici!$D1075,CHAR(34),"'")&amp;CHAR(34)&amp;", "&amp;CHAR(34)&amp;"kind"&amp;CHAR(34)&amp;": "&amp;CHAR(34)&amp;SUBSTITUTE(CriteriTecnici!$F1075,CHAR(34),"'")&amp;CHAR(34)&amp;", "&amp;CHAR(34)&amp;"value"&amp;CHAR(34)&amp;": "&amp;SUBSTITUTE(TRIM(ROUND(IFERROR(CriteriTecnici!$N1075*1,IFERROR(NUMBERVALUE(CriteriTecnici!$N1075,".",","),IFERROR(NUMBERVALUE(CriteriTecnici!$N1075,",","."),0))),4)&amp;""),",",".")&amp;", "&amp;CHAR(34)&amp;"numerator"&amp;CHAR(34)&amp;": "&amp;SUBSTITUTE(TRIM(ROUND(IFERROR(CriteriTecnici!$K1075*1,IFERROR(NUMBERVALUE(CriteriTecnici!$K1075,".",","),IFERROR(NUMBERVALUE(CriteriTecnici!$K1075,",","."),0))),4)&amp;""),",",".")&amp;", "&amp;CHAR(34)&amp;"denominator"&amp;CHAR(34)&amp;": "&amp;SUBSTITUTE(TRIM(ROUND(IFERROR(CriteriTecnici!$L1075*1,IFERROR(NUMBERVALUE(CriteriTecnici!$L1075,".",","),IFERROR(NUMBERVALUE(CriteriTecnici!$L1075,",","."),0))),4)&amp;""),",",".")&amp;", "&amp;CHAR(34)&amp;"flag"&amp;CHAR(34)&amp;": "&amp;SUBSTITUTE(TRIM(ROUND(IFERROR(CriteriTecnici!$M1075*1,IFERROR(NUMBERVALUE(CriteriTecnici!$M1075,".",","),IFERROR(NUMBERVALUE(CriteriTecnici!$M1075,",","."),0))),4)&amp;""),",",".")&amp;", "&amp;CHAR(34)&amp;"rawScore"&amp;CHAR(34)&amp;": "&amp;SUBSTITUTE(TRIM(ROUND(IFERROR(CriteriTecnici!$O1075*1,IFERROR(NUMBERVALUE(CriteriTecnici!$O1075,".",","),IFERROR(NUMBERVALUE(CriteriTecnici!$O1075,",","."),0))),4)&amp;""),",",".")&amp;CHAR(125)&amp;IF(TRUE,",",""))</f>
        <v/>
      </c>
    </row>
    <row r="1177">
      <c r="A1177" s="82">
        <f>IF(CriteriTecnici!$A1076="","","    "&amp;CHAR(123)&amp;CHAR(34)&amp;"bidderId"&amp;CHAR(34)&amp;": "&amp;CHAR(34)&amp;SUBSTITUTE(CriteriTecnici!$A1076,CHAR(34),"'")&amp;CHAR(34)&amp;", "&amp;CHAR(34)&amp;"lotId"&amp;CHAR(34)&amp;": "&amp;CHAR(34)&amp;SUBSTITUTE(CriteriTecnici!$C1076,CHAR(34),"'")&amp;CHAR(34)&amp;", "&amp;CHAR(34)&amp;"criterionId"&amp;CHAR(34)&amp;": "&amp;CHAR(34)&amp;SUBSTITUTE(CriteriTecnici!$D1076,CHAR(34),"'")&amp;CHAR(34)&amp;", "&amp;CHAR(34)&amp;"kind"&amp;CHAR(34)&amp;": "&amp;CHAR(34)&amp;SUBSTITUTE(CriteriTecnici!$F1076,CHAR(34),"'")&amp;CHAR(34)&amp;", "&amp;CHAR(34)&amp;"value"&amp;CHAR(34)&amp;": "&amp;SUBSTITUTE(TRIM(ROUND(IFERROR(CriteriTecnici!$N1076*1,IFERROR(NUMBERVALUE(CriteriTecnici!$N1076,".",","),IFERROR(NUMBERVALUE(CriteriTecnici!$N1076,",","."),0))),4)&amp;""),",",".")&amp;", "&amp;CHAR(34)&amp;"numerator"&amp;CHAR(34)&amp;": "&amp;SUBSTITUTE(TRIM(ROUND(IFERROR(CriteriTecnici!$K1076*1,IFERROR(NUMBERVALUE(CriteriTecnici!$K1076,".",","),IFERROR(NUMBERVALUE(CriteriTecnici!$K1076,",","."),0))),4)&amp;""),",",".")&amp;", "&amp;CHAR(34)&amp;"denominator"&amp;CHAR(34)&amp;": "&amp;SUBSTITUTE(TRIM(ROUND(IFERROR(CriteriTecnici!$L1076*1,IFERROR(NUMBERVALUE(CriteriTecnici!$L1076,".",","),IFERROR(NUMBERVALUE(CriteriTecnici!$L1076,",","."),0))),4)&amp;""),",",".")&amp;", "&amp;CHAR(34)&amp;"flag"&amp;CHAR(34)&amp;": "&amp;SUBSTITUTE(TRIM(ROUND(IFERROR(CriteriTecnici!$M1076*1,IFERROR(NUMBERVALUE(CriteriTecnici!$M1076,".",","),IFERROR(NUMBERVALUE(CriteriTecnici!$M1076,",","."),0))),4)&amp;""),",",".")&amp;", "&amp;CHAR(34)&amp;"rawScore"&amp;CHAR(34)&amp;": "&amp;SUBSTITUTE(TRIM(ROUND(IFERROR(CriteriTecnici!$O1076*1,IFERROR(NUMBERVALUE(CriteriTecnici!$O1076,".",","),IFERROR(NUMBERVALUE(CriteriTecnici!$O1076,",","."),0))),4)&amp;""),",",".")&amp;CHAR(125)&amp;IF(TRUE,",",""))</f>
        <v/>
      </c>
    </row>
    <row r="1178">
      <c r="A1178" s="82">
        <f>IF(CriteriTecnici!$A1077="","","    "&amp;CHAR(123)&amp;CHAR(34)&amp;"bidderId"&amp;CHAR(34)&amp;": "&amp;CHAR(34)&amp;SUBSTITUTE(CriteriTecnici!$A1077,CHAR(34),"'")&amp;CHAR(34)&amp;", "&amp;CHAR(34)&amp;"lotId"&amp;CHAR(34)&amp;": "&amp;CHAR(34)&amp;SUBSTITUTE(CriteriTecnici!$C1077,CHAR(34),"'")&amp;CHAR(34)&amp;", "&amp;CHAR(34)&amp;"criterionId"&amp;CHAR(34)&amp;": "&amp;CHAR(34)&amp;SUBSTITUTE(CriteriTecnici!$D1077,CHAR(34),"'")&amp;CHAR(34)&amp;", "&amp;CHAR(34)&amp;"kind"&amp;CHAR(34)&amp;": "&amp;CHAR(34)&amp;SUBSTITUTE(CriteriTecnici!$F1077,CHAR(34),"'")&amp;CHAR(34)&amp;", "&amp;CHAR(34)&amp;"value"&amp;CHAR(34)&amp;": "&amp;SUBSTITUTE(TRIM(ROUND(IFERROR(CriteriTecnici!$N1077*1,IFERROR(NUMBERVALUE(CriteriTecnici!$N1077,".",","),IFERROR(NUMBERVALUE(CriteriTecnici!$N1077,",","."),0))),4)&amp;""),",",".")&amp;", "&amp;CHAR(34)&amp;"numerator"&amp;CHAR(34)&amp;": "&amp;SUBSTITUTE(TRIM(ROUND(IFERROR(CriteriTecnici!$K1077*1,IFERROR(NUMBERVALUE(CriteriTecnici!$K1077,".",","),IFERROR(NUMBERVALUE(CriteriTecnici!$K1077,",","."),0))),4)&amp;""),",",".")&amp;", "&amp;CHAR(34)&amp;"denominator"&amp;CHAR(34)&amp;": "&amp;SUBSTITUTE(TRIM(ROUND(IFERROR(CriteriTecnici!$L1077*1,IFERROR(NUMBERVALUE(CriteriTecnici!$L1077,".",","),IFERROR(NUMBERVALUE(CriteriTecnici!$L1077,",","."),0))),4)&amp;""),",",".")&amp;", "&amp;CHAR(34)&amp;"flag"&amp;CHAR(34)&amp;": "&amp;SUBSTITUTE(TRIM(ROUND(IFERROR(CriteriTecnici!$M1077*1,IFERROR(NUMBERVALUE(CriteriTecnici!$M1077,".",","),IFERROR(NUMBERVALUE(CriteriTecnici!$M1077,",","."),0))),4)&amp;""),",",".")&amp;", "&amp;CHAR(34)&amp;"rawScore"&amp;CHAR(34)&amp;": "&amp;SUBSTITUTE(TRIM(ROUND(IFERROR(CriteriTecnici!$O1077*1,IFERROR(NUMBERVALUE(CriteriTecnici!$O1077,".",","),IFERROR(NUMBERVALUE(CriteriTecnici!$O1077,",","."),0))),4)&amp;""),",",".")&amp;CHAR(125)&amp;IF(TRUE,",",""))</f>
        <v/>
      </c>
    </row>
    <row r="1179">
      <c r="A1179" s="82">
        <f>IF(CriteriTecnici!$A1078="","","    "&amp;CHAR(123)&amp;CHAR(34)&amp;"bidderId"&amp;CHAR(34)&amp;": "&amp;CHAR(34)&amp;SUBSTITUTE(CriteriTecnici!$A1078,CHAR(34),"'")&amp;CHAR(34)&amp;", "&amp;CHAR(34)&amp;"lotId"&amp;CHAR(34)&amp;": "&amp;CHAR(34)&amp;SUBSTITUTE(CriteriTecnici!$C1078,CHAR(34),"'")&amp;CHAR(34)&amp;", "&amp;CHAR(34)&amp;"criterionId"&amp;CHAR(34)&amp;": "&amp;CHAR(34)&amp;SUBSTITUTE(CriteriTecnici!$D1078,CHAR(34),"'")&amp;CHAR(34)&amp;", "&amp;CHAR(34)&amp;"kind"&amp;CHAR(34)&amp;": "&amp;CHAR(34)&amp;SUBSTITUTE(CriteriTecnici!$F1078,CHAR(34),"'")&amp;CHAR(34)&amp;", "&amp;CHAR(34)&amp;"value"&amp;CHAR(34)&amp;": "&amp;SUBSTITUTE(TRIM(ROUND(IFERROR(CriteriTecnici!$N1078*1,IFERROR(NUMBERVALUE(CriteriTecnici!$N1078,".",","),IFERROR(NUMBERVALUE(CriteriTecnici!$N1078,",","."),0))),4)&amp;""),",",".")&amp;", "&amp;CHAR(34)&amp;"numerator"&amp;CHAR(34)&amp;": "&amp;SUBSTITUTE(TRIM(ROUND(IFERROR(CriteriTecnici!$K1078*1,IFERROR(NUMBERVALUE(CriteriTecnici!$K1078,".",","),IFERROR(NUMBERVALUE(CriteriTecnici!$K1078,",","."),0))),4)&amp;""),",",".")&amp;", "&amp;CHAR(34)&amp;"denominator"&amp;CHAR(34)&amp;": "&amp;SUBSTITUTE(TRIM(ROUND(IFERROR(CriteriTecnici!$L1078*1,IFERROR(NUMBERVALUE(CriteriTecnici!$L1078,".",","),IFERROR(NUMBERVALUE(CriteriTecnici!$L1078,",","."),0))),4)&amp;""),",",".")&amp;", "&amp;CHAR(34)&amp;"flag"&amp;CHAR(34)&amp;": "&amp;SUBSTITUTE(TRIM(ROUND(IFERROR(CriteriTecnici!$M1078*1,IFERROR(NUMBERVALUE(CriteriTecnici!$M1078,".",","),IFERROR(NUMBERVALUE(CriteriTecnici!$M1078,",","."),0))),4)&amp;""),",",".")&amp;", "&amp;CHAR(34)&amp;"rawScore"&amp;CHAR(34)&amp;": "&amp;SUBSTITUTE(TRIM(ROUND(IFERROR(CriteriTecnici!$O1078*1,IFERROR(NUMBERVALUE(CriteriTecnici!$O1078,".",","),IFERROR(NUMBERVALUE(CriteriTecnici!$O1078,",","."),0))),4)&amp;""),",",".")&amp;CHAR(125)&amp;IF(TRUE,",",""))</f>
        <v/>
      </c>
    </row>
    <row r="1180">
      <c r="A1180" s="82">
        <f>IF(CriteriTecnici!$A1079="","","    "&amp;CHAR(123)&amp;CHAR(34)&amp;"bidderId"&amp;CHAR(34)&amp;": "&amp;CHAR(34)&amp;SUBSTITUTE(CriteriTecnici!$A1079,CHAR(34),"'")&amp;CHAR(34)&amp;", "&amp;CHAR(34)&amp;"lotId"&amp;CHAR(34)&amp;": "&amp;CHAR(34)&amp;SUBSTITUTE(CriteriTecnici!$C1079,CHAR(34),"'")&amp;CHAR(34)&amp;", "&amp;CHAR(34)&amp;"criterionId"&amp;CHAR(34)&amp;": "&amp;CHAR(34)&amp;SUBSTITUTE(CriteriTecnici!$D1079,CHAR(34),"'")&amp;CHAR(34)&amp;", "&amp;CHAR(34)&amp;"kind"&amp;CHAR(34)&amp;": "&amp;CHAR(34)&amp;SUBSTITUTE(CriteriTecnici!$F1079,CHAR(34),"'")&amp;CHAR(34)&amp;", "&amp;CHAR(34)&amp;"value"&amp;CHAR(34)&amp;": "&amp;SUBSTITUTE(TRIM(ROUND(IFERROR(CriteriTecnici!$N1079*1,IFERROR(NUMBERVALUE(CriteriTecnici!$N1079,".",","),IFERROR(NUMBERVALUE(CriteriTecnici!$N1079,",","."),0))),4)&amp;""),",",".")&amp;", "&amp;CHAR(34)&amp;"numerator"&amp;CHAR(34)&amp;": "&amp;SUBSTITUTE(TRIM(ROUND(IFERROR(CriteriTecnici!$K1079*1,IFERROR(NUMBERVALUE(CriteriTecnici!$K1079,".",","),IFERROR(NUMBERVALUE(CriteriTecnici!$K1079,",","."),0))),4)&amp;""),",",".")&amp;", "&amp;CHAR(34)&amp;"denominator"&amp;CHAR(34)&amp;": "&amp;SUBSTITUTE(TRIM(ROUND(IFERROR(CriteriTecnici!$L1079*1,IFERROR(NUMBERVALUE(CriteriTecnici!$L1079,".",","),IFERROR(NUMBERVALUE(CriteriTecnici!$L1079,",","."),0))),4)&amp;""),",",".")&amp;", "&amp;CHAR(34)&amp;"flag"&amp;CHAR(34)&amp;": "&amp;SUBSTITUTE(TRIM(ROUND(IFERROR(CriteriTecnici!$M1079*1,IFERROR(NUMBERVALUE(CriteriTecnici!$M1079,".",","),IFERROR(NUMBERVALUE(CriteriTecnici!$M1079,",","."),0))),4)&amp;""),",",".")&amp;", "&amp;CHAR(34)&amp;"rawScore"&amp;CHAR(34)&amp;": "&amp;SUBSTITUTE(TRIM(ROUND(IFERROR(CriteriTecnici!$O1079*1,IFERROR(NUMBERVALUE(CriteriTecnici!$O1079,".",","),IFERROR(NUMBERVALUE(CriteriTecnici!$O1079,",","."),0))),4)&amp;""),",",".")&amp;CHAR(125)&amp;IF(TRUE,",",""))</f>
        <v/>
      </c>
    </row>
    <row r="1181">
      <c r="A1181" s="82">
        <f>IF(CriteriTecnici!$A1080="","","    "&amp;CHAR(123)&amp;CHAR(34)&amp;"bidderId"&amp;CHAR(34)&amp;": "&amp;CHAR(34)&amp;SUBSTITUTE(CriteriTecnici!$A1080,CHAR(34),"'")&amp;CHAR(34)&amp;", "&amp;CHAR(34)&amp;"lotId"&amp;CHAR(34)&amp;": "&amp;CHAR(34)&amp;SUBSTITUTE(CriteriTecnici!$C1080,CHAR(34),"'")&amp;CHAR(34)&amp;", "&amp;CHAR(34)&amp;"criterionId"&amp;CHAR(34)&amp;": "&amp;CHAR(34)&amp;SUBSTITUTE(CriteriTecnici!$D1080,CHAR(34),"'")&amp;CHAR(34)&amp;", "&amp;CHAR(34)&amp;"kind"&amp;CHAR(34)&amp;": "&amp;CHAR(34)&amp;SUBSTITUTE(CriteriTecnici!$F1080,CHAR(34),"'")&amp;CHAR(34)&amp;", "&amp;CHAR(34)&amp;"value"&amp;CHAR(34)&amp;": "&amp;SUBSTITUTE(TRIM(ROUND(IFERROR(CriteriTecnici!$N1080*1,IFERROR(NUMBERVALUE(CriteriTecnici!$N1080,".",","),IFERROR(NUMBERVALUE(CriteriTecnici!$N1080,",","."),0))),4)&amp;""),",",".")&amp;", "&amp;CHAR(34)&amp;"numerator"&amp;CHAR(34)&amp;": "&amp;SUBSTITUTE(TRIM(ROUND(IFERROR(CriteriTecnici!$K1080*1,IFERROR(NUMBERVALUE(CriteriTecnici!$K1080,".",","),IFERROR(NUMBERVALUE(CriteriTecnici!$K1080,",","."),0))),4)&amp;""),",",".")&amp;", "&amp;CHAR(34)&amp;"denominator"&amp;CHAR(34)&amp;": "&amp;SUBSTITUTE(TRIM(ROUND(IFERROR(CriteriTecnici!$L1080*1,IFERROR(NUMBERVALUE(CriteriTecnici!$L1080,".",","),IFERROR(NUMBERVALUE(CriteriTecnici!$L1080,",","."),0))),4)&amp;""),",",".")&amp;", "&amp;CHAR(34)&amp;"flag"&amp;CHAR(34)&amp;": "&amp;SUBSTITUTE(TRIM(ROUND(IFERROR(CriteriTecnici!$M1080*1,IFERROR(NUMBERVALUE(CriteriTecnici!$M1080,".",","),IFERROR(NUMBERVALUE(CriteriTecnici!$M1080,",","."),0))),4)&amp;""),",",".")&amp;", "&amp;CHAR(34)&amp;"rawScore"&amp;CHAR(34)&amp;": "&amp;SUBSTITUTE(TRIM(ROUND(IFERROR(CriteriTecnici!$O1080*1,IFERROR(NUMBERVALUE(CriteriTecnici!$O1080,".",","),IFERROR(NUMBERVALUE(CriteriTecnici!$O1080,",","."),0))),4)&amp;""),",",".")&amp;CHAR(125)&amp;IF(TRUE,",",""))</f>
        <v/>
      </c>
    </row>
    <row r="1182">
      <c r="A1182" s="82">
        <f>IF(CriteriTecnici!$A1081="","","    "&amp;CHAR(123)&amp;CHAR(34)&amp;"bidderId"&amp;CHAR(34)&amp;": "&amp;CHAR(34)&amp;SUBSTITUTE(CriteriTecnici!$A1081,CHAR(34),"'")&amp;CHAR(34)&amp;", "&amp;CHAR(34)&amp;"lotId"&amp;CHAR(34)&amp;": "&amp;CHAR(34)&amp;SUBSTITUTE(CriteriTecnici!$C1081,CHAR(34),"'")&amp;CHAR(34)&amp;", "&amp;CHAR(34)&amp;"criterionId"&amp;CHAR(34)&amp;": "&amp;CHAR(34)&amp;SUBSTITUTE(CriteriTecnici!$D1081,CHAR(34),"'")&amp;CHAR(34)&amp;", "&amp;CHAR(34)&amp;"kind"&amp;CHAR(34)&amp;": "&amp;CHAR(34)&amp;SUBSTITUTE(CriteriTecnici!$F1081,CHAR(34),"'")&amp;CHAR(34)&amp;", "&amp;CHAR(34)&amp;"value"&amp;CHAR(34)&amp;": "&amp;SUBSTITUTE(TRIM(ROUND(IFERROR(CriteriTecnici!$N1081*1,IFERROR(NUMBERVALUE(CriteriTecnici!$N1081,".",","),IFERROR(NUMBERVALUE(CriteriTecnici!$N1081,",","."),0))),4)&amp;""),",",".")&amp;", "&amp;CHAR(34)&amp;"numerator"&amp;CHAR(34)&amp;": "&amp;SUBSTITUTE(TRIM(ROUND(IFERROR(CriteriTecnici!$K1081*1,IFERROR(NUMBERVALUE(CriteriTecnici!$K1081,".",","),IFERROR(NUMBERVALUE(CriteriTecnici!$K1081,",","."),0))),4)&amp;""),",",".")&amp;", "&amp;CHAR(34)&amp;"denominator"&amp;CHAR(34)&amp;": "&amp;SUBSTITUTE(TRIM(ROUND(IFERROR(CriteriTecnici!$L1081*1,IFERROR(NUMBERVALUE(CriteriTecnici!$L1081,".",","),IFERROR(NUMBERVALUE(CriteriTecnici!$L1081,",","."),0))),4)&amp;""),",",".")&amp;", "&amp;CHAR(34)&amp;"flag"&amp;CHAR(34)&amp;": "&amp;SUBSTITUTE(TRIM(ROUND(IFERROR(CriteriTecnici!$M1081*1,IFERROR(NUMBERVALUE(CriteriTecnici!$M1081,".",","),IFERROR(NUMBERVALUE(CriteriTecnici!$M1081,",","."),0))),4)&amp;""),",",".")&amp;", "&amp;CHAR(34)&amp;"rawScore"&amp;CHAR(34)&amp;": "&amp;SUBSTITUTE(TRIM(ROUND(IFERROR(CriteriTecnici!$O1081*1,IFERROR(NUMBERVALUE(CriteriTecnici!$O1081,".",","),IFERROR(NUMBERVALUE(CriteriTecnici!$O1081,",","."),0))),4)&amp;""),",",".")&amp;CHAR(125)&amp;IF(TRUE,",",""))</f>
        <v/>
      </c>
    </row>
    <row r="1183">
      <c r="A1183" s="82">
        <f>IF(CriteriTecnici!$A1082="","","    "&amp;CHAR(123)&amp;CHAR(34)&amp;"bidderId"&amp;CHAR(34)&amp;": "&amp;CHAR(34)&amp;SUBSTITUTE(CriteriTecnici!$A1082,CHAR(34),"'")&amp;CHAR(34)&amp;", "&amp;CHAR(34)&amp;"lotId"&amp;CHAR(34)&amp;": "&amp;CHAR(34)&amp;SUBSTITUTE(CriteriTecnici!$C1082,CHAR(34),"'")&amp;CHAR(34)&amp;", "&amp;CHAR(34)&amp;"criterionId"&amp;CHAR(34)&amp;": "&amp;CHAR(34)&amp;SUBSTITUTE(CriteriTecnici!$D1082,CHAR(34),"'")&amp;CHAR(34)&amp;", "&amp;CHAR(34)&amp;"kind"&amp;CHAR(34)&amp;": "&amp;CHAR(34)&amp;SUBSTITUTE(CriteriTecnici!$F1082,CHAR(34),"'")&amp;CHAR(34)&amp;", "&amp;CHAR(34)&amp;"value"&amp;CHAR(34)&amp;": "&amp;SUBSTITUTE(TRIM(ROUND(IFERROR(CriteriTecnici!$N1082*1,IFERROR(NUMBERVALUE(CriteriTecnici!$N1082,".",","),IFERROR(NUMBERVALUE(CriteriTecnici!$N1082,",","."),0))),4)&amp;""),",",".")&amp;", "&amp;CHAR(34)&amp;"numerator"&amp;CHAR(34)&amp;": "&amp;SUBSTITUTE(TRIM(ROUND(IFERROR(CriteriTecnici!$K1082*1,IFERROR(NUMBERVALUE(CriteriTecnici!$K1082,".",","),IFERROR(NUMBERVALUE(CriteriTecnici!$K1082,",","."),0))),4)&amp;""),",",".")&amp;", "&amp;CHAR(34)&amp;"denominator"&amp;CHAR(34)&amp;": "&amp;SUBSTITUTE(TRIM(ROUND(IFERROR(CriteriTecnici!$L1082*1,IFERROR(NUMBERVALUE(CriteriTecnici!$L1082,".",","),IFERROR(NUMBERVALUE(CriteriTecnici!$L1082,",","."),0))),4)&amp;""),",",".")&amp;", "&amp;CHAR(34)&amp;"flag"&amp;CHAR(34)&amp;": "&amp;SUBSTITUTE(TRIM(ROUND(IFERROR(CriteriTecnici!$M1082*1,IFERROR(NUMBERVALUE(CriteriTecnici!$M1082,".",","),IFERROR(NUMBERVALUE(CriteriTecnici!$M1082,",","."),0))),4)&amp;""),",",".")&amp;", "&amp;CHAR(34)&amp;"rawScore"&amp;CHAR(34)&amp;": "&amp;SUBSTITUTE(TRIM(ROUND(IFERROR(CriteriTecnici!$O1082*1,IFERROR(NUMBERVALUE(CriteriTecnici!$O1082,".",","),IFERROR(NUMBERVALUE(CriteriTecnici!$O1082,",","."),0))),4)&amp;""),",",".")&amp;CHAR(125)&amp;IF(TRUE,",",""))</f>
        <v/>
      </c>
    </row>
    <row r="1184">
      <c r="A1184" s="82">
        <f>IF(CriteriTecnici!$A1083="","","    "&amp;CHAR(123)&amp;CHAR(34)&amp;"bidderId"&amp;CHAR(34)&amp;": "&amp;CHAR(34)&amp;SUBSTITUTE(CriteriTecnici!$A1083,CHAR(34),"'")&amp;CHAR(34)&amp;", "&amp;CHAR(34)&amp;"lotId"&amp;CHAR(34)&amp;": "&amp;CHAR(34)&amp;SUBSTITUTE(CriteriTecnici!$C1083,CHAR(34),"'")&amp;CHAR(34)&amp;", "&amp;CHAR(34)&amp;"criterionId"&amp;CHAR(34)&amp;": "&amp;CHAR(34)&amp;SUBSTITUTE(CriteriTecnici!$D1083,CHAR(34),"'")&amp;CHAR(34)&amp;", "&amp;CHAR(34)&amp;"kind"&amp;CHAR(34)&amp;": "&amp;CHAR(34)&amp;SUBSTITUTE(CriteriTecnici!$F1083,CHAR(34),"'")&amp;CHAR(34)&amp;", "&amp;CHAR(34)&amp;"value"&amp;CHAR(34)&amp;": "&amp;SUBSTITUTE(TRIM(ROUND(IFERROR(CriteriTecnici!$N1083*1,IFERROR(NUMBERVALUE(CriteriTecnici!$N1083,".",","),IFERROR(NUMBERVALUE(CriteriTecnici!$N1083,",","."),0))),4)&amp;""),",",".")&amp;", "&amp;CHAR(34)&amp;"numerator"&amp;CHAR(34)&amp;": "&amp;SUBSTITUTE(TRIM(ROUND(IFERROR(CriteriTecnici!$K1083*1,IFERROR(NUMBERVALUE(CriteriTecnici!$K1083,".",","),IFERROR(NUMBERVALUE(CriteriTecnici!$K1083,",","."),0))),4)&amp;""),",",".")&amp;", "&amp;CHAR(34)&amp;"denominator"&amp;CHAR(34)&amp;": "&amp;SUBSTITUTE(TRIM(ROUND(IFERROR(CriteriTecnici!$L1083*1,IFERROR(NUMBERVALUE(CriteriTecnici!$L1083,".",","),IFERROR(NUMBERVALUE(CriteriTecnici!$L1083,",","."),0))),4)&amp;""),",",".")&amp;", "&amp;CHAR(34)&amp;"flag"&amp;CHAR(34)&amp;": "&amp;SUBSTITUTE(TRIM(ROUND(IFERROR(CriteriTecnici!$M1083*1,IFERROR(NUMBERVALUE(CriteriTecnici!$M1083,".",","),IFERROR(NUMBERVALUE(CriteriTecnici!$M1083,",","."),0))),4)&amp;""),",",".")&amp;", "&amp;CHAR(34)&amp;"rawScore"&amp;CHAR(34)&amp;": "&amp;SUBSTITUTE(TRIM(ROUND(IFERROR(CriteriTecnici!$O1083*1,IFERROR(NUMBERVALUE(CriteriTecnici!$O1083,".",","),IFERROR(NUMBERVALUE(CriteriTecnici!$O1083,",","."),0))),4)&amp;""),",",".")&amp;CHAR(125)&amp;IF(TRUE,",",""))</f>
        <v/>
      </c>
    </row>
    <row r="1185">
      <c r="A1185" s="82">
        <f>IF(CriteriTecnici!$A1084="","","    "&amp;CHAR(123)&amp;CHAR(34)&amp;"bidderId"&amp;CHAR(34)&amp;": "&amp;CHAR(34)&amp;SUBSTITUTE(CriteriTecnici!$A1084,CHAR(34),"'")&amp;CHAR(34)&amp;", "&amp;CHAR(34)&amp;"lotId"&amp;CHAR(34)&amp;": "&amp;CHAR(34)&amp;SUBSTITUTE(CriteriTecnici!$C1084,CHAR(34),"'")&amp;CHAR(34)&amp;", "&amp;CHAR(34)&amp;"criterionId"&amp;CHAR(34)&amp;": "&amp;CHAR(34)&amp;SUBSTITUTE(CriteriTecnici!$D1084,CHAR(34),"'")&amp;CHAR(34)&amp;", "&amp;CHAR(34)&amp;"kind"&amp;CHAR(34)&amp;": "&amp;CHAR(34)&amp;SUBSTITUTE(CriteriTecnici!$F1084,CHAR(34),"'")&amp;CHAR(34)&amp;", "&amp;CHAR(34)&amp;"value"&amp;CHAR(34)&amp;": "&amp;SUBSTITUTE(TRIM(ROUND(IFERROR(CriteriTecnici!$N1084*1,IFERROR(NUMBERVALUE(CriteriTecnici!$N1084,".",","),IFERROR(NUMBERVALUE(CriteriTecnici!$N1084,",","."),0))),4)&amp;""),",",".")&amp;", "&amp;CHAR(34)&amp;"numerator"&amp;CHAR(34)&amp;": "&amp;SUBSTITUTE(TRIM(ROUND(IFERROR(CriteriTecnici!$K1084*1,IFERROR(NUMBERVALUE(CriteriTecnici!$K1084,".",","),IFERROR(NUMBERVALUE(CriteriTecnici!$K1084,",","."),0))),4)&amp;""),",",".")&amp;", "&amp;CHAR(34)&amp;"denominator"&amp;CHAR(34)&amp;": "&amp;SUBSTITUTE(TRIM(ROUND(IFERROR(CriteriTecnici!$L1084*1,IFERROR(NUMBERVALUE(CriteriTecnici!$L1084,".",","),IFERROR(NUMBERVALUE(CriteriTecnici!$L1084,",","."),0))),4)&amp;""),",",".")&amp;", "&amp;CHAR(34)&amp;"flag"&amp;CHAR(34)&amp;": "&amp;SUBSTITUTE(TRIM(ROUND(IFERROR(CriteriTecnici!$M1084*1,IFERROR(NUMBERVALUE(CriteriTecnici!$M1084,".",","),IFERROR(NUMBERVALUE(CriteriTecnici!$M1084,",","."),0))),4)&amp;""),",",".")&amp;", "&amp;CHAR(34)&amp;"rawScore"&amp;CHAR(34)&amp;": "&amp;SUBSTITUTE(TRIM(ROUND(IFERROR(CriteriTecnici!$O1084*1,IFERROR(NUMBERVALUE(CriteriTecnici!$O1084,".",","),IFERROR(NUMBERVALUE(CriteriTecnici!$O1084,",","."),0))),4)&amp;""),",",".")&amp;CHAR(125)&amp;IF(TRUE,",",""))</f>
        <v/>
      </c>
    </row>
    <row r="1186">
      <c r="A1186" s="82">
        <f>IF(CriteriTecnici!$A1085="","","    "&amp;CHAR(123)&amp;CHAR(34)&amp;"bidderId"&amp;CHAR(34)&amp;": "&amp;CHAR(34)&amp;SUBSTITUTE(CriteriTecnici!$A1085,CHAR(34),"'")&amp;CHAR(34)&amp;", "&amp;CHAR(34)&amp;"lotId"&amp;CHAR(34)&amp;": "&amp;CHAR(34)&amp;SUBSTITUTE(CriteriTecnici!$C1085,CHAR(34),"'")&amp;CHAR(34)&amp;", "&amp;CHAR(34)&amp;"criterionId"&amp;CHAR(34)&amp;": "&amp;CHAR(34)&amp;SUBSTITUTE(CriteriTecnici!$D1085,CHAR(34),"'")&amp;CHAR(34)&amp;", "&amp;CHAR(34)&amp;"kind"&amp;CHAR(34)&amp;": "&amp;CHAR(34)&amp;SUBSTITUTE(CriteriTecnici!$F1085,CHAR(34),"'")&amp;CHAR(34)&amp;", "&amp;CHAR(34)&amp;"value"&amp;CHAR(34)&amp;": "&amp;SUBSTITUTE(TRIM(ROUND(IFERROR(CriteriTecnici!$N1085*1,IFERROR(NUMBERVALUE(CriteriTecnici!$N1085,".",","),IFERROR(NUMBERVALUE(CriteriTecnici!$N1085,",","."),0))),4)&amp;""),",",".")&amp;", "&amp;CHAR(34)&amp;"numerator"&amp;CHAR(34)&amp;": "&amp;SUBSTITUTE(TRIM(ROUND(IFERROR(CriteriTecnici!$K1085*1,IFERROR(NUMBERVALUE(CriteriTecnici!$K1085,".",","),IFERROR(NUMBERVALUE(CriteriTecnici!$K1085,",","."),0))),4)&amp;""),",",".")&amp;", "&amp;CHAR(34)&amp;"denominator"&amp;CHAR(34)&amp;": "&amp;SUBSTITUTE(TRIM(ROUND(IFERROR(CriteriTecnici!$L1085*1,IFERROR(NUMBERVALUE(CriteriTecnici!$L1085,".",","),IFERROR(NUMBERVALUE(CriteriTecnici!$L1085,",","."),0))),4)&amp;""),",",".")&amp;", "&amp;CHAR(34)&amp;"flag"&amp;CHAR(34)&amp;": "&amp;SUBSTITUTE(TRIM(ROUND(IFERROR(CriteriTecnici!$M1085*1,IFERROR(NUMBERVALUE(CriteriTecnici!$M1085,".",","),IFERROR(NUMBERVALUE(CriteriTecnici!$M1085,",","."),0))),4)&amp;""),",",".")&amp;", "&amp;CHAR(34)&amp;"rawScore"&amp;CHAR(34)&amp;": "&amp;SUBSTITUTE(TRIM(ROUND(IFERROR(CriteriTecnici!$O1085*1,IFERROR(NUMBERVALUE(CriteriTecnici!$O1085,".",","),IFERROR(NUMBERVALUE(CriteriTecnici!$O1085,",","."),0))),4)&amp;""),",",".")&amp;CHAR(125)&amp;IF(TRUE,",",""))</f>
        <v/>
      </c>
    </row>
    <row r="1187">
      <c r="A1187" s="82">
        <f>IF(CriteriTecnici!$A1086="","","    "&amp;CHAR(123)&amp;CHAR(34)&amp;"bidderId"&amp;CHAR(34)&amp;": "&amp;CHAR(34)&amp;SUBSTITUTE(CriteriTecnici!$A1086,CHAR(34),"'")&amp;CHAR(34)&amp;", "&amp;CHAR(34)&amp;"lotId"&amp;CHAR(34)&amp;": "&amp;CHAR(34)&amp;SUBSTITUTE(CriteriTecnici!$C1086,CHAR(34),"'")&amp;CHAR(34)&amp;", "&amp;CHAR(34)&amp;"criterionId"&amp;CHAR(34)&amp;": "&amp;CHAR(34)&amp;SUBSTITUTE(CriteriTecnici!$D1086,CHAR(34),"'")&amp;CHAR(34)&amp;", "&amp;CHAR(34)&amp;"kind"&amp;CHAR(34)&amp;": "&amp;CHAR(34)&amp;SUBSTITUTE(CriteriTecnici!$F1086,CHAR(34),"'")&amp;CHAR(34)&amp;", "&amp;CHAR(34)&amp;"value"&amp;CHAR(34)&amp;": "&amp;SUBSTITUTE(TRIM(ROUND(IFERROR(CriteriTecnici!$N1086*1,IFERROR(NUMBERVALUE(CriteriTecnici!$N1086,".",","),IFERROR(NUMBERVALUE(CriteriTecnici!$N1086,",","."),0))),4)&amp;""),",",".")&amp;", "&amp;CHAR(34)&amp;"numerator"&amp;CHAR(34)&amp;": "&amp;SUBSTITUTE(TRIM(ROUND(IFERROR(CriteriTecnici!$K1086*1,IFERROR(NUMBERVALUE(CriteriTecnici!$K1086,".",","),IFERROR(NUMBERVALUE(CriteriTecnici!$K1086,",","."),0))),4)&amp;""),",",".")&amp;", "&amp;CHAR(34)&amp;"denominator"&amp;CHAR(34)&amp;": "&amp;SUBSTITUTE(TRIM(ROUND(IFERROR(CriteriTecnici!$L1086*1,IFERROR(NUMBERVALUE(CriteriTecnici!$L1086,".",","),IFERROR(NUMBERVALUE(CriteriTecnici!$L1086,",","."),0))),4)&amp;""),",",".")&amp;", "&amp;CHAR(34)&amp;"flag"&amp;CHAR(34)&amp;": "&amp;SUBSTITUTE(TRIM(ROUND(IFERROR(CriteriTecnici!$M1086*1,IFERROR(NUMBERVALUE(CriteriTecnici!$M1086,".",","),IFERROR(NUMBERVALUE(CriteriTecnici!$M1086,",","."),0))),4)&amp;""),",",".")&amp;", "&amp;CHAR(34)&amp;"rawScore"&amp;CHAR(34)&amp;": "&amp;SUBSTITUTE(TRIM(ROUND(IFERROR(CriteriTecnici!$O1086*1,IFERROR(NUMBERVALUE(CriteriTecnici!$O1086,".",","),IFERROR(NUMBERVALUE(CriteriTecnici!$O1086,",","."),0))),4)&amp;""),",",".")&amp;CHAR(125)&amp;IF(TRUE,",",""))</f>
        <v/>
      </c>
    </row>
    <row r="1188">
      <c r="A1188" s="82">
        <f>IF(CriteriTecnici!$A1087="","","    "&amp;CHAR(123)&amp;CHAR(34)&amp;"bidderId"&amp;CHAR(34)&amp;": "&amp;CHAR(34)&amp;SUBSTITUTE(CriteriTecnici!$A1087,CHAR(34),"'")&amp;CHAR(34)&amp;", "&amp;CHAR(34)&amp;"lotId"&amp;CHAR(34)&amp;": "&amp;CHAR(34)&amp;SUBSTITUTE(CriteriTecnici!$C1087,CHAR(34),"'")&amp;CHAR(34)&amp;", "&amp;CHAR(34)&amp;"criterionId"&amp;CHAR(34)&amp;": "&amp;CHAR(34)&amp;SUBSTITUTE(CriteriTecnici!$D1087,CHAR(34),"'")&amp;CHAR(34)&amp;", "&amp;CHAR(34)&amp;"kind"&amp;CHAR(34)&amp;": "&amp;CHAR(34)&amp;SUBSTITUTE(CriteriTecnici!$F1087,CHAR(34),"'")&amp;CHAR(34)&amp;", "&amp;CHAR(34)&amp;"value"&amp;CHAR(34)&amp;": "&amp;SUBSTITUTE(TRIM(ROUND(IFERROR(CriteriTecnici!$N1087*1,IFERROR(NUMBERVALUE(CriteriTecnici!$N1087,".",","),IFERROR(NUMBERVALUE(CriteriTecnici!$N1087,",","."),0))),4)&amp;""),",",".")&amp;", "&amp;CHAR(34)&amp;"numerator"&amp;CHAR(34)&amp;": "&amp;SUBSTITUTE(TRIM(ROUND(IFERROR(CriteriTecnici!$K1087*1,IFERROR(NUMBERVALUE(CriteriTecnici!$K1087,".",","),IFERROR(NUMBERVALUE(CriteriTecnici!$K1087,",","."),0))),4)&amp;""),",",".")&amp;", "&amp;CHAR(34)&amp;"denominator"&amp;CHAR(34)&amp;": "&amp;SUBSTITUTE(TRIM(ROUND(IFERROR(CriteriTecnici!$L1087*1,IFERROR(NUMBERVALUE(CriteriTecnici!$L1087,".",","),IFERROR(NUMBERVALUE(CriteriTecnici!$L1087,",","."),0))),4)&amp;""),",",".")&amp;", "&amp;CHAR(34)&amp;"flag"&amp;CHAR(34)&amp;": "&amp;SUBSTITUTE(TRIM(ROUND(IFERROR(CriteriTecnici!$M1087*1,IFERROR(NUMBERVALUE(CriteriTecnici!$M1087,".",","),IFERROR(NUMBERVALUE(CriteriTecnici!$M1087,",","."),0))),4)&amp;""),",",".")&amp;", "&amp;CHAR(34)&amp;"rawScore"&amp;CHAR(34)&amp;": "&amp;SUBSTITUTE(TRIM(ROUND(IFERROR(CriteriTecnici!$O1087*1,IFERROR(NUMBERVALUE(CriteriTecnici!$O1087,".",","),IFERROR(NUMBERVALUE(CriteriTecnici!$O1087,",","."),0))),4)&amp;""),",",".")&amp;CHAR(125)&amp;IF(TRUE,",",""))</f>
        <v/>
      </c>
    </row>
    <row r="1189">
      <c r="A1189" s="82">
        <f>IF(CriteriTecnici!$A1088="","","    "&amp;CHAR(123)&amp;CHAR(34)&amp;"bidderId"&amp;CHAR(34)&amp;": "&amp;CHAR(34)&amp;SUBSTITUTE(CriteriTecnici!$A1088,CHAR(34),"'")&amp;CHAR(34)&amp;", "&amp;CHAR(34)&amp;"lotId"&amp;CHAR(34)&amp;": "&amp;CHAR(34)&amp;SUBSTITUTE(CriteriTecnici!$C1088,CHAR(34),"'")&amp;CHAR(34)&amp;", "&amp;CHAR(34)&amp;"criterionId"&amp;CHAR(34)&amp;": "&amp;CHAR(34)&amp;SUBSTITUTE(CriteriTecnici!$D1088,CHAR(34),"'")&amp;CHAR(34)&amp;", "&amp;CHAR(34)&amp;"kind"&amp;CHAR(34)&amp;": "&amp;CHAR(34)&amp;SUBSTITUTE(CriteriTecnici!$F1088,CHAR(34),"'")&amp;CHAR(34)&amp;", "&amp;CHAR(34)&amp;"value"&amp;CHAR(34)&amp;": "&amp;SUBSTITUTE(TRIM(ROUND(IFERROR(CriteriTecnici!$N1088*1,IFERROR(NUMBERVALUE(CriteriTecnici!$N1088,".",","),IFERROR(NUMBERVALUE(CriteriTecnici!$N1088,",","."),0))),4)&amp;""),",",".")&amp;", "&amp;CHAR(34)&amp;"numerator"&amp;CHAR(34)&amp;": "&amp;SUBSTITUTE(TRIM(ROUND(IFERROR(CriteriTecnici!$K1088*1,IFERROR(NUMBERVALUE(CriteriTecnici!$K1088,".",","),IFERROR(NUMBERVALUE(CriteriTecnici!$K1088,",","."),0))),4)&amp;""),",",".")&amp;", "&amp;CHAR(34)&amp;"denominator"&amp;CHAR(34)&amp;": "&amp;SUBSTITUTE(TRIM(ROUND(IFERROR(CriteriTecnici!$L1088*1,IFERROR(NUMBERVALUE(CriteriTecnici!$L1088,".",","),IFERROR(NUMBERVALUE(CriteriTecnici!$L1088,",","."),0))),4)&amp;""),",",".")&amp;", "&amp;CHAR(34)&amp;"flag"&amp;CHAR(34)&amp;": "&amp;SUBSTITUTE(TRIM(ROUND(IFERROR(CriteriTecnici!$M1088*1,IFERROR(NUMBERVALUE(CriteriTecnici!$M1088,".",","),IFERROR(NUMBERVALUE(CriteriTecnici!$M1088,",","."),0))),4)&amp;""),",",".")&amp;", "&amp;CHAR(34)&amp;"rawScore"&amp;CHAR(34)&amp;": "&amp;SUBSTITUTE(TRIM(ROUND(IFERROR(CriteriTecnici!$O1088*1,IFERROR(NUMBERVALUE(CriteriTecnici!$O1088,".",","),IFERROR(NUMBERVALUE(CriteriTecnici!$O1088,",","."),0))),4)&amp;""),",",".")&amp;CHAR(125)&amp;IF(TRUE,",",""))</f>
        <v/>
      </c>
    </row>
    <row r="1190">
      <c r="A1190" s="82">
        <f>IF(CriteriTecnici!$A1089="","","    "&amp;CHAR(123)&amp;CHAR(34)&amp;"bidderId"&amp;CHAR(34)&amp;": "&amp;CHAR(34)&amp;SUBSTITUTE(CriteriTecnici!$A1089,CHAR(34),"'")&amp;CHAR(34)&amp;", "&amp;CHAR(34)&amp;"lotId"&amp;CHAR(34)&amp;": "&amp;CHAR(34)&amp;SUBSTITUTE(CriteriTecnici!$C1089,CHAR(34),"'")&amp;CHAR(34)&amp;", "&amp;CHAR(34)&amp;"criterionId"&amp;CHAR(34)&amp;": "&amp;CHAR(34)&amp;SUBSTITUTE(CriteriTecnici!$D1089,CHAR(34),"'")&amp;CHAR(34)&amp;", "&amp;CHAR(34)&amp;"kind"&amp;CHAR(34)&amp;": "&amp;CHAR(34)&amp;SUBSTITUTE(CriteriTecnici!$F1089,CHAR(34),"'")&amp;CHAR(34)&amp;", "&amp;CHAR(34)&amp;"value"&amp;CHAR(34)&amp;": "&amp;SUBSTITUTE(TRIM(ROUND(IFERROR(CriteriTecnici!$N1089*1,IFERROR(NUMBERVALUE(CriteriTecnici!$N1089,".",","),IFERROR(NUMBERVALUE(CriteriTecnici!$N1089,",","."),0))),4)&amp;""),",",".")&amp;", "&amp;CHAR(34)&amp;"numerator"&amp;CHAR(34)&amp;": "&amp;SUBSTITUTE(TRIM(ROUND(IFERROR(CriteriTecnici!$K1089*1,IFERROR(NUMBERVALUE(CriteriTecnici!$K1089,".",","),IFERROR(NUMBERVALUE(CriteriTecnici!$K1089,",","."),0))),4)&amp;""),",",".")&amp;", "&amp;CHAR(34)&amp;"denominator"&amp;CHAR(34)&amp;": "&amp;SUBSTITUTE(TRIM(ROUND(IFERROR(CriteriTecnici!$L1089*1,IFERROR(NUMBERVALUE(CriteriTecnici!$L1089,".",","),IFERROR(NUMBERVALUE(CriteriTecnici!$L1089,",","."),0))),4)&amp;""),",",".")&amp;", "&amp;CHAR(34)&amp;"flag"&amp;CHAR(34)&amp;": "&amp;SUBSTITUTE(TRIM(ROUND(IFERROR(CriteriTecnici!$M1089*1,IFERROR(NUMBERVALUE(CriteriTecnici!$M1089,".",","),IFERROR(NUMBERVALUE(CriteriTecnici!$M1089,",","."),0))),4)&amp;""),",",".")&amp;", "&amp;CHAR(34)&amp;"rawScore"&amp;CHAR(34)&amp;": "&amp;SUBSTITUTE(TRIM(ROUND(IFERROR(CriteriTecnici!$O1089*1,IFERROR(NUMBERVALUE(CriteriTecnici!$O1089,".",","),IFERROR(NUMBERVALUE(CriteriTecnici!$O1089,",","."),0))),4)&amp;""),",",".")&amp;CHAR(125)&amp;IF(COUNTA(Offerte!$A37:$A$81)&gt;0,",",""))</f>
        <v/>
      </c>
    </row>
    <row r="1191">
      <c r="A1191" s="82">
        <f>IF(CriteriTecnici!$A1090="","","    "&amp;CHAR(123)&amp;CHAR(34)&amp;"bidderId"&amp;CHAR(34)&amp;": "&amp;CHAR(34)&amp;SUBSTITUTE(CriteriTecnici!$A1090,CHAR(34),"'")&amp;CHAR(34)&amp;", "&amp;CHAR(34)&amp;"lotId"&amp;CHAR(34)&amp;": "&amp;CHAR(34)&amp;SUBSTITUTE(CriteriTecnici!$C1090,CHAR(34),"'")&amp;CHAR(34)&amp;", "&amp;CHAR(34)&amp;"criterionId"&amp;CHAR(34)&amp;": "&amp;CHAR(34)&amp;SUBSTITUTE(CriteriTecnici!$D1090,CHAR(34),"'")&amp;CHAR(34)&amp;", "&amp;CHAR(34)&amp;"kind"&amp;CHAR(34)&amp;": "&amp;CHAR(34)&amp;SUBSTITUTE(CriteriTecnici!$F1090,CHAR(34),"'")&amp;CHAR(34)&amp;", "&amp;CHAR(34)&amp;"value"&amp;CHAR(34)&amp;": "&amp;SUBSTITUTE(TRIM(ROUND(IFERROR(CriteriTecnici!$N1090*1,IFERROR(NUMBERVALUE(CriteriTecnici!$N1090,".",","),IFERROR(NUMBERVALUE(CriteriTecnici!$N1090,",","."),0))),4)&amp;""),",",".")&amp;", "&amp;CHAR(34)&amp;"numerator"&amp;CHAR(34)&amp;": "&amp;SUBSTITUTE(TRIM(ROUND(IFERROR(CriteriTecnici!$K1090*1,IFERROR(NUMBERVALUE(CriteriTecnici!$K1090,".",","),IFERROR(NUMBERVALUE(CriteriTecnici!$K1090,",","."),0))),4)&amp;""),",",".")&amp;", "&amp;CHAR(34)&amp;"denominator"&amp;CHAR(34)&amp;": "&amp;SUBSTITUTE(TRIM(ROUND(IFERROR(CriteriTecnici!$L1090*1,IFERROR(NUMBERVALUE(CriteriTecnici!$L1090,".",","),IFERROR(NUMBERVALUE(CriteriTecnici!$L1090,",","."),0))),4)&amp;""),",",".")&amp;", "&amp;CHAR(34)&amp;"flag"&amp;CHAR(34)&amp;": "&amp;SUBSTITUTE(TRIM(ROUND(IFERROR(CriteriTecnici!$M1090*1,IFERROR(NUMBERVALUE(CriteriTecnici!$M1090,".",","),IFERROR(NUMBERVALUE(CriteriTecnici!$M1090,",","."),0))),4)&amp;""),",",".")&amp;", "&amp;CHAR(34)&amp;"rawScore"&amp;CHAR(34)&amp;": "&amp;SUBSTITUTE(TRIM(ROUND(IFERROR(CriteriTecnici!$O1090*1,IFERROR(NUMBERVALUE(CriteriTecnici!$O1090,".",","),IFERROR(NUMBERVALUE(CriteriTecnici!$O1090,",","."),0))),4)&amp;""),",",".")&amp;CHAR(125)&amp;IF(TRUE,",",""))</f>
        <v/>
      </c>
    </row>
    <row r="1192">
      <c r="A1192" s="82">
        <f>IF(CriteriTecnici!$A1091="","","    "&amp;CHAR(123)&amp;CHAR(34)&amp;"bidderId"&amp;CHAR(34)&amp;": "&amp;CHAR(34)&amp;SUBSTITUTE(CriteriTecnici!$A1091,CHAR(34),"'")&amp;CHAR(34)&amp;", "&amp;CHAR(34)&amp;"lotId"&amp;CHAR(34)&amp;": "&amp;CHAR(34)&amp;SUBSTITUTE(CriteriTecnici!$C1091,CHAR(34),"'")&amp;CHAR(34)&amp;", "&amp;CHAR(34)&amp;"criterionId"&amp;CHAR(34)&amp;": "&amp;CHAR(34)&amp;SUBSTITUTE(CriteriTecnici!$D1091,CHAR(34),"'")&amp;CHAR(34)&amp;", "&amp;CHAR(34)&amp;"kind"&amp;CHAR(34)&amp;": "&amp;CHAR(34)&amp;SUBSTITUTE(CriteriTecnici!$F1091,CHAR(34),"'")&amp;CHAR(34)&amp;", "&amp;CHAR(34)&amp;"value"&amp;CHAR(34)&amp;": "&amp;SUBSTITUTE(TRIM(ROUND(IFERROR(CriteriTecnici!$N1091*1,IFERROR(NUMBERVALUE(CriteriTecnici!$N1091,".",","),IFERROR(NUMBERVALUE(CriteriTecnici!$N1091,",","."),0))),4)&amp;""),",",".")&amp;", "&amp;CHAR(34)&amp;"numerator"&amp;CHAR(34)&amp;": "&amp;SUBSTITUTE(TRIM(ROUND(IFERROR(CriteriTecnici!$K1091*1,IFERROR(NUMBERVALUE(CriteriTecnici!$K1091,".",","),IFERROR(NUMBERVALUE(CriteriTecnici!$K1091,",","."),0))),4)&amp;""),",",".")&amp;", "&amp;CHAR(34)&amp;"denominator"&amp;CHAR(34)&amp;": "&amp;SUBSTITUTE(TRIM(ROUND(IFERROR(CriteriTecnici!$L1091*1,IFERROR(NUMBERVALUE(CriteriTecnici!$L1091,".",","),IFERROR(NUMBERVALUE(CriteriTecnici!$L1091,",","."),0))),4)&amp;""),",",".")&amp;", "&amp;CHAR(34)&amp;"flag"&amp;CHAR(34)&amp;": "&amp;SUBSTITUTE(TRIM(ROUND(IFERROR(CriteriTecnici!$M1091*1,IFERROR(NUMBERVALUE(CriteriTecnici!$M1091,".",","),IFERROR(NUMBERVALUE(CriteriTecnici!$M1091,",","."),0))),4)&amp;""),",",".")&amp;", "&amp;CHAR(34)&amp;"rawScore"&amp;CHAR(34)&amp;": "&amp;SUBSTITUTE(TRIM(ROUND(IFERROR(CriteriTecnici!$O1091*1,IFERROR(NUMBERVALUE(CriteriTecnici!$O1091,".",","),IFERROR(NUMBERVALUE(CriteriTecnici!$O1091,",","."),0))),4)&amp;""),",",".")&amp;CHAR(125)&amp;IF(TRUE,",",""))</f>
        <v/>
      </c>
    </row>
    <row r="1193">
      <c r="A1193" s="82">
        <f>IF(CriteriTecnici!$A1092="","","    "&amp;CHAR(123)&amp;CHAR(34)&amp;"bidderId"&amp;CHAR(34)&amp;": "&amp;CHAR(34)&amp;SUBSTITUTE(CriteriTecnici!$A1092,CHAR(34),"'")&amp;CHAR(34)&amp;", "&amp;CHAR(34)&amp;"lotId"&amp;CHAR(34)&amp;": "&amp;CHAR(34)&amp;SUBSTITUTE(CriteriTecnici!$C1092,CHAR(34),"'")&amp;CHAR(34)&amp;", "&amp;CHAR(34)&amp;"criterionId"&amp;CHAR(34)&amp;": "&amp;CHAR(34)&amp;SUBSTITUTE(CriteriTecnici!$D1092,CHAR(34),"'")&amp;CHAR(34)&amp;", "&amp;CHAR(34)&amp;"kind"&amp;CHAR(34)&amp;": "&amp;CHAR(34)&amp;SUBSTITUTE(CriteriTecnici!$F1092,CHAR(34),"'")&amp;CHAR(34)&amp;", "&amp;CHAR(34)&amp;"value"&amp;CHAR(34)&amp;": "&amp;SUBSTITUTE(TRIM(ROUND(IFERROR(CriteriTecnici!$N1092*1,IFERROR(NUMBERVALUE(CriteriTecnici!$N1092,".",","),IFERROR(NUMBERVALUE(CriteriTecnici!$N1092,",","."),0))),4)&amp;""),",",".")&amp;", "&amp;CHAR(34)&amp;"numerator"&amp;CHAR(34)&amp;": "&amp;SUBSTITUTE(TRIM(ROUND(IFERROR(CriteriTecnici!$K1092*1,IFERROR(NUMBERVALUE(CriteriTecnici!$K1092,".",","),IFERROR(NUMBERVALUE(CriteriTecnici!$K1092,",","."),0))),4)&amp;""),",",".")&amp;", "&amp;CHAR(34)&amp;"denominator"&amp;CHAR(34)&amp;": "&amp;SUBSTITUTE(TRIM(ROUND(IFERROR(CriteriTecnici!$L1092*1,IFERROR(NUMBERVALUE(CriteriTecnici!$L1092,".",","),IFERROR(NUMBERVALUE(CriteriTecnici!$L1092,",","."),0))),4)&amp;""),",",".")&amp;", "&amp;CHAR(34)&amp;"flag"&amp;CHAR(34)&amp;": "&amp;SUBSTITUTE(TRIM(ROUND(IFERROR(CriteriTecnici!$M1092*1,IFERROR(NUMBERVALUE(CriteriTecnici!$M1092,".",","),IFERROR(NUMBERVALUE(CriteriTecnici!$M1092,",","."),0))),4)&amp;""),",",".")&amp;", "&amp;CHAR(34)&amp;"rawScore"&amp;CHAR(34)&amp;": "&amp;SUBSTITUTE(TRIM(ROUND(IFERROR(CriteriTecnici!$O1092*1,IFERROR(NUMBERVALUE(CriteriTecnici!$O1092,".",","),IFERROR(NUMBERVALUE(CriteriTecnici!$O1092,",","."),0))),4)&amp;""),",",".")&amp;CHAR(125)&amp;IF(TRUE,",",""))</f>
        <v/>
      </c>
    </row>
    <row r="1194">
      <c r="A1194" s="82">
        <f>IF(CriteriTecnici!$A1093="","","    "&amp;CHAR(123)&amp;CHAR(34)&amp;"bidderId"&amp;CHAR(34)&amp;": "&amp;CHAR(34)&amp;SUBSTITUTE(CriteriTecnici!$A1093,CHAR(34),"'")&amp;CHAR(34)&amp;", "&amp;CHAR(34)&amp;"lotId"&amp;CHAR(34)&amp;": "&amp;CHAR(34)&amp;SUBSTITUTE(CriteriTecnici!$C1093,CHAR(34),"'")&amp;CHAR(34)&amp;", "&amp;CHAR(34)&amp;"criterionId"&amp;CHAR(34)&amp;": "&amp;CHAR(34)&amp;SUBSTITUTE(CriteriTecnici!$D1093,CHAR(34),"'")&amp;CHAR(34)&amp;", "&amp;CHAR(34)&amp;"kind"&amp;CHAR(34)&amp;": "&amp;CHAR(34)&amp;SUBSTITUTE(CriteriTecnici!$F1093,CHAR(34),"'")&amp;CHAR(34)&amp;", "&amp;CHAR(34)&amp;"value"&amp;CHAR(34)&amp;": "&amp;SUBSTITUTE(TRIM(ROUND(IFERROR(CriteriTecnici!$N1093*1,IFERROR(NUMBERVALUE(CriteriTecnici!$N1093,".",","),IFERROR(NUMBERVALUE(CriteriTecnici!$N1093,",","."),0))),4)&amp;""),",",".")&amp;", "&amp;CHAR(34)&amp;"numerator"&amp;CHAR(34)&amp;": "&amp;SUBSTITUTE(TRIM(ROUND(IFERROR(CriteriTecnici!$K1093*1,IFERROR(NUMBERVALUE(CriteriTecnici!$K1093,".",","),IFERROR(NUMBERVALUE(CriteriTecnici!$K1093,",","."),0))),4)&amp;""),",",".")&amp;", "&amp;CHAR(34)&amp;"denominator"&amp;CHAR(34)&amp;": "&amp;SUBSTITUTE(TRIM(ROUND(IFERROR(CriteriTecnici!$L1093*1,IFERROR(NUMBERVALUE(CriteriTecnici!$L1093,".",","),IFERROR(NUMBERVALUE(CriteriTecnici!$L1093,",","."),0))),4)&amp;""),",",".")&amp;", "&amp;CHAR(34)&amp;"flag"&amp;CHAR(34)&amp;": "&amp;SUBSTITUTE(TRIM(ROUND(IFERROR(CriteriTecnici!$M1093*1,IFERROR(NUMBERVALUE(CriteriTecnici!$M1093,".",","),IFERROR(NUMBERVALUE(CriteriTecnici!$M1093,",","."),0))),4)&amp;""),",",".")&amp;", "&amp;CHAR(34)&amp;"rawScore"&amp;CHAR(34)&amp;": "&amp;SUBSTITUTE(TRIM(ROUND(IFERROR(CriteriTecnici!$O1093*1,IFERROR(NUMBERVALUE(CriteriTecnici!$O1093,".",","),IFERROR(NUMBERVALUE(CriteriTecnici!$O1093,",","."),0))),4)&amp;""),",",".")&amp;CHAR(125)&amp;IF(TRUE,",",""))</f>
        <v/>
      </c>
    </row>
    <row r="1195">
      <c r="A1195" s="82">
        <f>IF(CriteriTecnici!$A1094="","","    "&amp;CHAR(123)&amp;CHAR(34)&amp;"bidderId"&amp;CHAR(34)&amp;": "&amp;CHAR(34)&amp;SUBSTITUTE(CriteriTecnici!$A1094,CHAR(34),"'")&amp;CHAR(34)&amp;", "&amp;CHAR(34)&amp;"lotId"&amp;CHAR(34)&amp;": "&amp;CHAR(34)&amp;SUBSTITUTE(CriteriTecnici!$C1094,CHAR(34),"'")&amp;CHAR(34)&amp;", "&amp;CHAR(34)&amp;"criterionId"&amp;CHAR(34)&amp;": "&amp;CHAR(34)&amp;SUBSTITUTE(CriteriTecnici!$D1094,CHAR(34),"'")&amp;CHAR(34)&amp;", "&amp;CHAR(34)&amp;"kind"&amp;CHAR(34)&amp;": "&amp;CHAR(34)&amp;SUBSTITUTE(CriteriTecnici!$F1094,CHAR(34),"'")&amp;CHAR(34)&amp;", "&amp;CHAR(34)&amp;"value"&amp;CHAR(34)&amp;": "&amp;SUBSTITUTE(TRIM(ROUND(IFERROR(CriteriTecnici!$N1094*1,IFERROR(NUMBERVALUE(CriteriTecnici!$N1094,".",","),IFERROR(NUMBERVALUE(CriteriTecnici!$N1094,",","."),0))),4)&amp;""),",",".")&amp;", "&amp;CHAR(34)&amp;"numerator"&amp;CHAR(34)&amp;": "&amp;SUBSTITUTE(TRIM(ROUND(IFERROR(CriteriTecnici!$K1094*1,IFERROR(NUMBERVALUE(CriteriTecnici!$K1094,".",","),IFERROR(NUMBERVALUE(CriteriTecnici!$K1094,",","."),0))),4)&amp;""),",",".")&amp;", "&amp;CHAR(34)&amp;"denominator"&amp;CHAR(34)&amp;": "&amp;SUBSTITUTE(TRIM(ROUND(IFERROR(CriteriTecnici!$L1094*1,IFERROR(NUMBERVALUE(CriteriTecnici!$L1094,".",","),IFERROR(NUMBERVALUE(CriteriTecnici!$L1094,",","."),0))),4)&amp;""),",",".")&amp;", "&amp;CHAR(34)&amp;"flag"&amp;CHAR(34)&amp;": "&amp;SUBSTITUTE(TRIM(ROUND(IFERROR(CriteriTecnici!$M1094*1,IFERROR(NUMBERVALUE(CriteriTecnici!$M1094,".",","),IFERROR(NUMBERVALUE(CriteriTecnici!$M1094,",","."),0))),4)&amp;""),",",".")&amp;", "&amp;CHAR(34)&amp;"rawScore"&amp;CHAR(34)&amp;": "&amp;SUBSTITUTE(TRIM(ROUND(IFERROR(CriteriTecnici!$O1094*1,IFERROR(NUMBERVALUE(CriteriTecnici!$O1094,".",","),IFERROR(NUMBERVALUE(CriteriTecnici!$O1094,",","."),0))),4)&amp;""),",",".")&amp;CHAR(125)&amp;IF(TRUE,",",""))</f>
        <v/>
      </c>
    </row>
    <row r="1196">
      <c r="A1196" s="82">
        <f>IF(CriteriTecnici!$A1095="","","    "&amp;CHAR(123)&amp;CHAR(34)&amp;"bidderId"&amp;CHAR(34)&amp;": "&amp;CHAR(34)&amp;SUBSTITUTE(CriteriTecnici!$A1095,CHAR(34),"'")&amp;CHAR(34)&amp;", "&amp;CHAR(34)&amp;"lotId"&amp;CHAR(34)&amp;": "&amp;CHAR(34)&amp;SUBSTITUTE(CriteriTecnici!$C1095,CHAR(34),"'")&amp;CHAR(34)&amp;", "&amp;CHAR(34)&amp;"criterionId"&amp;CHAR(34)&amp;": "&amp;CHAR(34)&amp;SUBSTITUTE(CriteriTecnici!$D1095,CHAR(34),"'")&amp;CHAR(34)&amp;", "&amp;CHAR(34)&amp;"kind"&amp;CHAR(34)&amp;": "&amp;CHAR(34)&amp;SUBSTITUTE(CriteriTecnici!$F1095,CHAR(34),"'")&amp;CHAR(34)&amp;", "&amp;CHAR(34)&amp;"value"&amp;CHAR(34)&amp;": "&amp;SUBSTITUTE(TRIM(ROUND(IFERROR(CriteriTecnici!$N1095*1,IFERROR(NUMBERVALUE(CriteriTecnici!$N1095,".",","),IFERROR(NUMBERVALUE(CriteriTecnici!$N1095,",","."),0))),4)&amp;""),",",".")&amp;", "&amp;CHAR(34)&amp;"numerator"&amp;CHAR(34)&amp;": "&amp;SUBSTITUTE(TRIM(ROUND(IFERROR(CriteriTecnici!$K1095*1,IFERROR(NUMBERVALUE(CriteriTecnici!$K1095,".",","),IFERROR(NUMBERVALUE(CriteriTecnici!$K1095,",","."),0))),4)&amp;""),",",".")&amp;", "&amp;CHAR(34)&amp;"denominator"&amp;CHAR(34)&amp;": "&amp;SUBSTITUTE(TRIM(ROUND(IFERROR(CriteriTecnici!$L1095*1,IFERROR(NUMBERVALUE(CriteriTecnici!$L1095,".",","),IFERROR(NUMBERVALUE(CriteriTecnici!$L1095,",","."),0))),4)&amp;""),",",".")&amp;", "&amp;CHAR(34)&amp;"flag"&amp;CHAR(34)&amp;": "&amp;SUBSTITUTE(TRIM(ROUND(IFERROR(CriteriTecnici!$M1095*1,IFERROR(NUMBERVALUE(CriteriTecnici!$M1095,".",","),IFERROR(NUMBERVALUE(CriteriTecnici!$M1095,",","."),0))),4)&amp;""),",",".")&amp;", "&amp;CHAR(34)&amp;"rawScore"&amp;CHAR(34)&amp;": "&amp;SUBSTITUTE(TRIM(ROUND(IFERROR(CriteriTecnici!$O1095*1,IFERROR(NUMBERVALUE(CriteriTecnici!$O1095,".",","),IFERROR(NUMBERVALUE(CriteriTecnici!$O1095,",","."),0))),4)&amp;""),",",".")&amp;CHAR(125)&amp;IF(TRUE,",",""))</f>
        <v/>
      </c>
    </row>
    <row r="1197">
      <c r="A1197" s="82">
        <f>IF(CriteriTecnici!$A1096="","","    "&amp;CHAR(123)&amp;CHAR(34)&amp;"bidderId"&amp;CHAR(34)&amp;": "&amp;CHAR(34)&amp;SUBSTITUTE(CriteriTecnici!$A1096,CHAR(34),"'")&amp;CHAR(34)&amp;", "&amp;CHAR(34)&amp;"lotId"&amp;CHAR(34)&amp;": "&amp;CHAR(34)&amp;SUBSTITUTE(CriteriTecnici!$C1096,CHAR(34),"'")&amp;CHAR(34)&amp;", "&amp;CHAR(34)&amp;"criterionId"&amp;CHAR(34)&amp;": "&amp;CHAR(34)&amp;SUBSTITUTE(CriteriTecnici!$D1096,CHAR(34),"'")&amp;CHAR(34)&amp;", "&amp;CHAR(34)&amp;"kind"&amp;CHAR(34)&amp;": "&amp;CHAR(34)&amp;SUBSTITUTE(CriteriTecnici!$F1096,CHAR(34),"'")&amp;CHAR(34)&amp;", "&amp;CHAR(34)&amp;"value"&amp;CHAR(34)&amp;": "&amp;SUBSTITUTE(TRIM(ROUND(IFERROR(CriteriTecnici!$N1096*1,IFERROR(NUMBERVALUE(CriteriTecnici!$N1096,".",","),IFERROR(NUMBERVALUE(CriteriTecnici!$N1096,",","."),0))),4)&amp;""),",",".")&amp;", "&amp;CHAR(34)&amp;"numerator"&amp;CHAR(34)&amp;": "&amp;SUBSTITUTE(TRIM(ROUND(IFERROR(CriteriTecnici!$K1096*1,IFERROR(NUMBERVALUE(CriteriTecnici!$K1096,".",","),IFERROR(NUMBERVALUE(CriteriTecnici!$K1096,",","."),0))),4)&amp;""),",",".")&amp;", "&amp;CHAR(34)&amp;"denominator"&amp;CHAR(34)&amp;": "&amp;SUBSTITUTE(TRIM(ROUND(IFERROR(CriteriTecnici!$L1096*1,IFERROR(NUMBERVALUE(CriteriTecnici!$L1096,".",","),IFERROR(NUMBERVALUE(CriteriTecnici!$L1096,",","."),0))),4)&amp;""),",",".")&amp;", "&amp;CHAR(34)&amp;"flag"&amp;CHAR(34)&amp;": "&amp;SUBSTITUTE(TRIM(ROUND(IFERROR(CriteriTecnici!$M1096*1,IFERROR(NUMBERVALUE(CriteriTecnici!$M1096,".",","),IFERROR(NUMBERVALUE(CriteriTecnici!$M1096,",","."),0))),4)&amp;""),",",".")&amp;", "&amp;CHAR(34)&amp;"rawScore"&amp;CHAR(34)&amp;": "&amp;SUBSTITUTE(TRIM(ROUND(IFERROR(CriteriTecnici!$O1096*1,IFERROR(NUMBERVALUE(CriteriTecnici!$O1096,".",","),IFERROR(NUMBERVALUE(CriteriTecnici!$O1096,",","."),0))),4)&amp;""),",",".")&amp;CHAR(125)&amp;IF(TRUE,",",""))</f>
        <v/>
      </c>
    </row>
    <row r="1198">
      <c r="A1198" s="82">
        <f>IF(CriteriTecnici!$A1097="","","    "&amp;CHAR(123)&amp;CHAR(34)&amp;"bidderId"&amp;CHAR(34)&amp;": "&amp;CHAR(34)&amp;SUBSTITUTE(CriteriTecnici!$A1097,CHAR(34),"'")&amp;CHAR(34)&amp;", "&amp;CHAR(34)&amp;"lotId"&amp;CHAR(34)&amp;": "&amp;CHAR(34)&amp;SUBSTITUTE(CriteriTecnici!$C1097,CHAR(34),"'")&amp;CHAR(34)&amp;", "&amp;CHAR(34)&amp;"criterionId"&amp;CHAR(34)&amp;": "&amp;CHAR(34)&amp;SUBSTITUTE(CriteriTecnici!$D1097,CHAR(34),"'")&amp;CHAR(34)&amp;", "&amp;CHAR(34)&amp;"kind"&amp;CHAR(34)&amp;": "&amp;CHAR(34)&amp;SUBSTITUTE(CriteriTecnici!$F1097,CHAR(34),"'")&amp;CHAR(34)&amp;", "&amp;CHAR(34)&amp;"value"&amp;CHAR(34)&amp;": "&amp;SUBSTITUTE(TRIM(ROUND(IFERROR(CriteriTecnici!$N1097*1,IFERROR(NUMBERVALUE(CriteriTecnici!$N1097,".",","),IFERROR(NUMBERVALUE(CriteriTecnici!$N1097,",","."),0))),4)&amp;""),",",".")&amp;", "&amp;CHAR(34)&amp;"numerator"&amp;CHAR(34)&amp;": "&amp;SUBSTITUTE(TRIM(ROUND(IFERROR(CriteriTecnici!$K1097*1,IFERROR(NUMBERVALUE(CriteriTecnici!$K1097,".",","),IFERROR(NUMBERVALUE(CriteriTecnici!$K1097,",","."),0))),4)&amp;""),",",".")&amp;", "&amp;CHAR(34)&amp;"denominator"&amp;CHAR(34)&amp;": "&amp;SUBSTITUTE(TRIM(ROUND(IFERROR(CriteriTecnici!$L1097*1,IFERROR(NUMBERVALUE(CriteriTecnici!$L1097,".",","),IFERROR(NUMBERVALUE(CriteriTecnici!$L1097,",","."),0))),4)&amp;""),",",".")&amp;", "&amp;CHAR(34)&amp;"flag"&amp;CHAR(34)&amp;": "&amp;SUBSTITUTE(TRIM(ROUND(IFERROR(CriteriTecnici!$M1097*1,IFERROR(NUMBERVALUE(CriteriTecnici!$M1097,".",","),IFERROR(NUMBERVALUE(CriteriTecnici!$M1097,",","."),0))),4)&amp;""),",",".")&amp;", "&amp;CHAR(34)&amp;"rawScore"&amp;CHAR(34)&amp;": "&amp;SUBSTITUTE(TRIM(ROUND(IFERROR(CriteriTecnici!$O1097*1,IFERROR(NUMBERVALUE(CriteriTecnici!$O1097,".",","),IFERROR(NUMBERVALUE(CriteriTecnici!$O1097,",","."),0))),4)&amp;""),",",".")&amp;CHAR(125)&amp;IF(TRUE,",",""))</f>
        <v/>
      </c>
    </row>
    <row r="1199">
      <c r="A1199" s="82">
        <f>IF(CriteriTecnici!$A1098="","","    "&amp;CHAR(123)&amp;CHAR(34)&amp;"bidderId"&amp;CHAR(34)&amp;": "&amp;CHAR(34)&amp;SUBSTITUTE(CriteriTecnici!$A1098,CHAR(34),"'")&amp;CHAR(34)&amp;", "&amp;CHAR(34)&amp;"lotId"&amp;CHAR(34)&amp;": "&amp;CHAR(34)&amp;SUBSTITUTE(CriteriTecnici!$C1098,CHAR(34),"'")&amp;CHAR(34)&amp;", "&amp;CHAR(34)&amp;"criterionId"&amp;CHAR(34)&amp;": "&amp;CHAR(34)&amp;SUBSTITUTE(CriteriTecnici!$D1098,CHAR(34),"'")&amp;CHAR(34)&amp;", "&amp;CHAR(34)&amp;"kind"&amp;CHAR(34)&amp;": "&amp;CHAR(34)&amp;SUBSTITUTE(CriteriTecnici!$F1098,CHAR(34),"'")&amp;CHAR(34)&amp;", "&amp;CHAR(34)&amp;"value"&amp;CHAR(34)&amp;": "&amp;SUBSTITUTE(TRIM(ROUND(IFERROR(CriteriTecnici!$N1098*1,IFERROR(NUMBERVALUE(CriteriTecnici!$N1098,".",","),IFERROR(NUMBERVALUE(CriteriTecnici!$N1098,",","."),0))),4)&amp;""),",",".")&amp;", "&amp;CHAR(34)&amp;"numerator"&amp;CHAR(34)&amp;": "&amp;SUBSTITUTE(TRIM(ROUND(IFERROR(CriteriTecnici!$K1098*1,IFERROR(NUMBERVALUE(CriteriTecnici!$K1098,".",","),IFERROR(NUMBERVALUE(CriteriTecnici!$K1098,",","."),0))),4)&amp;""),",",".")&amp;", "&amp;CHAR(34)&amp;"denominator"&amp;CHAR(34)&amp;": "&amp;SUBSTITUTE(TRIM(ROUND(IFERROR(CriteriTecnici!$L1098*1,IFERROR(NUMBERVALUE(CriteriTecnici!$L1098,".",","),IFERROR(NUMBERVALUE(CriteriTecnici!$L1098,",","."),0))),4)&amp;""),",",".")&amp;", "&amp;CHAR(34)&amp;"flag"&amp;CHAR(34)&amp;": "&amp;SUBSTITUTE(TRIM(ROUND(IFERROR(CriteriTecnici!$M1098*1,IFERROR(NUMBERVALUE(CriteriTecnici!$M1098,".",","),IFERROR(NUMBERVALUE(CriteriTecnici!$M1098,",","."),0))),4)&amp;""),",",".")&amp;", "&amp;CHAR(34)&amp;"rawScore"&amp;CHAR(34)&amp;": "&amp;SUBSTITUTE(TRIM(ROUND(IFERROR(CriteriTecnici!$O1098*1,IFERROR(NUMBERVALUE(CriteriTecnici!$O1098,".",","),IFERROR(NUMBERVALUE(CriteriTecnici!$O1098,",","."),0))),4)&amp;""),",",".")&amp;CHAR(125)&amp;IF(TRUE,",",""))</f>
        <v/>
      </c>
    </row>
    <row r="1200">
      <c r="A1200" s="82">
        <f>IF(CriteriTecnici!$A1099="","","    "&amp;CHAR(123)&amp;CHAR(34)&amp;"bidderId"&amp;CHAR(34)&amp;": "&amp;CHAR(34)&amp;SUBSTITUTE(CriteriTecnici!$A1099,CHAR(34),"'")&amp;CHAR(34)&amp;", "&amp;CHAR(34)&amp;"lotId"&amp;CHAR(34)&amp;": "&amp;CHAR(34)&amp;SUBSTITUTE(CriteriTecnici!$C1099,CHAR(34),"'")&amp;CHAR(34)&amp;", "&amp;CHAR(34)&amp;"criterionId"&amp;CHAR(34)&amp;": "&amp;CHAR(34)&amp;SUBSTITUTE(CriteriTecnici!$D1099,CHAR(34),"'")&amp;CHAR(34)&amp;", "&amp;CHAR(34)&amp;"kind"&amp;CHAR(34)&amp;": "&amp;CHAR(34)&amp;SUBSTITUTE(CriteriTecnici!$F1099,CHAR(34),"'")&amp;CHAR(34)&amp;", "&amp;CHAR(34)&amp;"value"&amp;CHAR(34)&amp;": "&amp;SUBSTITUTE(TRIM(ROUND(IFERROR(CriteriTecnici!$N1099*1,IFERROR(NUMBERVALUE(CriteriTecnici!$N1099,".",","),IFERROR(NUMBERVALUE(CriteriTecnici!$N1099,",","."),0))),4)&amp;""),",",".")&amp;", "&amp;CHAR(34)&amp;"numerator"&amp;CHAR(34)&amp;": "&amp;SUBSTITUTE(TRIM(ROUND(IFERROR(CriteriTecnici!$K1099*1,IFERROR(NUMBERVALUE(CriteriTecnici!$K1099,".",","),IFERROR(NUMBERVALUE(CriteriTecnici!$K1099,",","."),0))),4)&amp;""),",",".")&amp;", "&amp;CHAR(34)&amp;"denominator"&amp;CHAR(34)&amp;": "&amp;SUBSTITUTE(TRIM(ROUND(IFERROR(CriteriTecnici!$L1099*1,IFERROR(NUMBERVALUE(CriteriTecnici!$L1099,".",","),IFERROR(NUMBERVALUE(CriteriTecnici!$L1099,",","."),0))),4)&amp;""),",",".")&amp;", "&amp;CHAR(34)&amp;"flag"&amp;CHAR(34)&amp;": "&amp;SUBSTITUTE(TRIM(ROUND(IFERROR(CriteriTecnici!$M1099*1,IFERROR(NUMBERVALUE(CriteriTecnici!$M1099,".",","),IFERROR(NUMBERVALUE(CriteriTecnici!$M1099,",","."),0))),4)&amp;""),",",".")&amp;", "&amp;CHAR(34)&amp;"rawScore"&amp;CHAR(34)&amp;": "&amp;SUBSTITUTE(TRIM(ROUND(IFERROR(CriteriTecnici!$O1099*1,IFERROR(NUMBERVALUE(CriteriTecnici!$O1099,".",","),IFERROR(NUMBERVALUE(CriteriTecnici!$O1099,",","."),0))),4)&amp;""),",",".")&amp;CHAR(125)&amp;IF(TRUE,",",""))</f>
        <v/>
      </c>
    </row>
    <row r="1201">
      <c r="A1201" s="82">
        <f>IF(CriteriTecnici!$A1100="","","    "&amp;CHAR(123)&amp;CHAR(34)&amp;"bidderId"&amp;CHAR(34)&amp;": "&amp;CHAR(34)&amp;SUBSTITUTE(CriteriTecnici!$A1100,CHAR(34),"'")&amp;CHAR(34)&amp;", "&amp;CHAR(34)&amp;"lotId"&amp;CHAR(34)&amp;": "&amp;CHAR(34)&amp;SUBSTITUTE(CriteriTecnici!$C1100,CHAR(34),"'")&amp;CHAR(34)&amp;", "&amp;CHAR(34)&amp;"criterionId"&amp;CHAR(34)&amp;": "&amp;CHAR(34)&amp;SUBSTITUTE(CriteriTecnici!$D1100,CHAR(34),"'")&amp;CHAR(34)&amp;", "&amp;CHAR(34)&amp;"kind"&amp;CHAR(34)&amp;": "&amp;CHAR(34)&amp;SUBSTITUTE(CriteriTecnici!$F1100,CHAR(34),"'")&amp;CHAR(34)&amp;", "&amp;CHAR(34)&amp;"value"&amp;CHAR(34)&amp;": "&amp;SUBSTITUTE(TRIM(ROUND(IFERROR(CriteriTecnici!$N1100*1,IFERROR(NUMBERVALUE(CriteriTecnici!$N1100,".",","),IFERROR(NUMBERVALUE(CriteriTecnici!$N1100,",","."),0))),4)&amp;""),",",".")&amp;", "&amp;CHAR(34)&amp;"numerator"&amp;CHAR(34)&amp;": "&amp;SUBSTITUTE(TRIM(ROUND(IFERROR(CriteriTecnici!$K1100*1,IFERROR(NUMBERVALUE(CriteriTecnici!$K1100,".",","),IFERROR(NUMBERVALUE(CriteriTecnici!$K1100,",","."),0))),4)&amp;""),",",".")&amp;", "&amp;CHAR(34)&amp;"denominator"&amp;CHAR(34)&amp;": "&amp;SUBSTITUTE(TRIM(ROUND(IFERROR(CriteriTecnici!$L1100*1,IFERROR(NUMBERVALUE(CriteriTecnici!$L1100,".",","),IFERROR(NUMBERVALUE(CriteriTecnici!$L1100,",","."),0))),4)&amp;""),",",".")&amp;", "&amp;CHAR(34)&amp;"flag"&amp;CHAR(34)&amp;": "&amp;SUBSTITUTE(TRIM(ROUND(IFERROR(CriteriTecnici!$M1100*1,IFERROR(NUMBERVALUE(CriteriTecnici!$M1100,".",","),IFERROR(NUMBERVALUE(CriteriTecnici!$M1100,",","."),0))),4)&amp;""),",",".")&amp;", "&amp;CHAR(34)&amp;"rawScore"&amp;CHAR(34)&amp;": "&amp;SUBSTITUTE(TRIM(ROUND(IFERROR(CriteriTecnici!$O1100*1,IFERROR(NUMBERVALUE(CriteriTecnici!$O1100,".",","),IFERROR(NUMBERVALUE(CriteriTecnici!$O1100,",","."),0))),4)&amp;""),",",".")&amp;CHAR(125)&amp;IF(TRUE,",",""))</f>
        <v/>
      </c>
    </row>
    <row r="1202">
      <c r="A1202" s="82">
        <f>IF(CriteriTecnici!$A1101="","","    "&amp;CHAR(123)&amp;CHAR(34)&amp;"bidderId"&amp;CHAR(34)&amp;": "&amp;CHAR(34)&amp;SUBSTITUTE(CriteriTecnici!$A1101,CHAR(34),"'")&amp;CHAR(34)&amp;", "&amp;CHAR(34)&amp;"lotId"&amp;CHAR(34)&amp;": "&amp;CHAR(34)&amp;SUBSTITUTE(CriteriTecnici!$C1101,CHAR(34),"'")&amp;CHAR(34)&amp;", "&amp;CHAR(34)&amp;"criterionId"&amp;CHAR(34)&amp;": "&amp;CHAR(34)&amp;SUBSTITUTE(CriteriTecnici!$D1101,CHAR(34),"'")&amp;CHAR(34)&amp;", "&amp;CHAR(34)&amp;"kind"&amp;CHAR(34)&amp;": "&amp;CHAR(34)&amp;SUBSTITUTE(CriteriTecnici!$F1101,CHAR(34),"'")&amp;CHAR(34)&amp;", "&amp;CHAR(34)&amp;"value"&amp;CHAR(34)&amp;": "&amp;SUBSTITUTE(TRIM(ROUND(IFERROR(CriteriTecnici!$N1101*1,IFERROR(NUMBERVALUE(CriteriTecnici!$N1101,".",","),IFERROR(NUMBERVALUE(CriteriTecnici!$N1101,",","."),0))),4)&amp;""),",",".")&amp;", "&amp;CHAR(34)&amp;"numerator"&amp;CHAR(34)&amp;": "&amp;SUBSTITUTE(TRIM(ROUND(IFERROR(CriteriTecnici!$K1101*1,IFERROR(NUMBERVALUE(CriteriTecnici!$K1101,".",","),IFERROR(NUMBERVALUE(CriteriTecnici!$K1101,",","."),0))),4)&amp;""),",",".")&amp;", "&amp;CHAR(34)&amp;"denominator"&amp;CHAR(34)&amp;": "&amp;SUBSTITUTE(TRIM(ROUND(IFERROR(CriteriTecnici!$L1101*1,IFERROR(NUMBERVALUE(CriteriTecnici!$L1101,".",","),IFERROR(NUMBERVALUE(CriteriTecnici!$L1101,",","."),0))),4)&amp;""),",",".")&amp;", "&amp;CHAR(34)&amp;"flag"&amp;CHAR(34)&amp;": "&amp;SUBSTITUTE(TRIM(ROUND(IFERROR(CriteriTecnici!$M1101*1,IFERROR(NUMBERVALUE(CriteriTecnici!$M1101,".",","),IFERROR(NUMBERVALUE(CriteriTecnici!$M1101,",","."),0))),4)&amp;""),",",".")&amp;", "&amp;CHAR(34)&amp;"rawScore"&amp;CHAR(34)&amp;": "&amp;SUBSTITUTE(TRIM(ROUND(IFERROR(CriteriTecnici!$O1101*1,IFERROR(NUMBERVALUE(CriteriTecnici!$O1101,".",","),IFERROR(NUMBERVALUE(CriteriTecnici!$O1101,",","."),0))),4)&amp;""),",",".")&amp;CHAR(125)&amp;IF(TRUE,",",""))</f>
        <v/>
      </c>
    </row>
    <row r="1203">
      <c r="A1203" s="82">
        <f>IF(CriteriTecnici!$A1102="","","    "&amp;CHAR(123)&amp;CHAR(34)&amp;"bidderId"&amp;CHAR(34)&amp;": "&amp;CHAR(34)&amp;SUBSTITUTE(CriteriTecnici!$A1102,CHAR(34),"'")&amp;CHAR(34)&amp;", "&amp;CHAR(34)&amp;"lotId"&amp;CHAR(34)&amp;": "&amp;CHAR(34)&amp;SUBSTITUTE(CriteriTecnici!$C1102,CHAR(34),"'")&amp;CHAR(34)&amp;", "&amp;CHAR(34)&amp;"criterionId"&amp;CHAR(34)&amp;": "&amp;CHAR(34)&amp;SUBSTITUTE(CriteriTecnici!$D1102,CHAR(34),"'")&amp;CHAR(34)&amp;", "&amp;CHAR(34)&amp;"kind"&amp;CHAR(34)&amp;": "&amp;CHAR(34)&amp;SUBSTITUTE(CriteriTecnici!$F1102,CHAR(34),"'")&amp;CHAR(34)&amp;", "&amp;CHAR(34)&amp;"value"&amp;CHAR(34)&amp;": "&amp;SUBSTITUTE(TRIM(ROUND(IFERROR(CriteriTecnici!$N1102*1,IFERROR(NUMBERVALUE(CriteriTecnici!$N1102,".",","),IFERROR(NUMBERVALUE(CriteriTecnici!$N1102,",","."),0))),4)&amp;""),",",".")&amp;", "&amp;CHAR(34)&amp;"numerator"&amp;CHAR(34)&amp;": "&amp;SUBSTITUTE(TRIM(ROUND(IFERROR(CriteriTecnici!$K1102*1,IFERROR(NUMBERVALUE(CriteriTecnici!$K1102,".",","),IFERROR(NUMBERVALUE(CriteriTecnici!$K1102,",","."),0))),4)&amp;""),",",".")&amp;", "&amp;CHAR(34)&amp;"denominator"&amp;CHAR(34)&amp;": "&amp;SUBSTITUTE(TRIM(ROUND(IFERROR(CriteriTecnici!$L1102*1,IFERROR(NUMBERVALUE(CriteriTecnici!$L1102,".",","),IFERROR(NUMBERVALUE(CriteriTecnici!$L1102,",","."),0))),4)&amp;""),",",".")&amp;", "&amp;CHAR(34)&amp;"flag"&amp;CHAR(34)&amp;": "&amp;SUBSTITUTE(TRIM(ROUND(IFERROR(CriteriTecnici!$M1102*1,IFERROR(NUMBERVALUE(CriteriTecnici!$M1102,".",","),IFERROR(NUMBERVALUE(CriteriTecnici!$M1102,",","."),0))),4)&amp;""),",",".")&amp;", "&amp;CHAR(34)&amp;"rawScore"&amp;CHAR(34)&amp;": "&amp;SUBSTITUTE(TRIM(ROUND(IFERROR(CriteriTecnici!$O1102*1,IFERROR(NUMBERVALUE(CriteriTecnici!$O1102,".",","),IFERROR(NUMBERVALUE(CriteriTecnici!$O1102,",","."),0))),4)&amp;""),",",".")&amp;CHAR(125)&amp;IF(TRUE,",",""))</f>
        <v/>
      </c>
    </row>
    <row r="1204">
      <c r="A1204" s="82">
        <f>IF(CriteriTecnici!$A1103="","","    "&amp;CHAR(123)&amp;CHAR(34)&amp;"bidderId"&amp;CHAR(34)&amp;": "&amp;CHAR(34)&amp;SUBSTITUTE(CriteriTecnici!$A1103,CHAR(34),"'")&amp;CHAR(34)&amp;", "&amp;CHAR(34)&amp;"lotId"&amp;CHAR(34)&amp;": "&amp;CHAR(34)&amp;SUBSTITUTE(CriteriTecnici!$C1103,CHAR(34),"'")&amp;CHAR(34)&amp;", "&amp;CHAR(34)&amp;"criterionId"&amp;CHAR(34)&amp;": "&amp;CHAR(34)&amp;SUBSTITUTE(CriteriTecnici!$D1103,CHAR(34),"'")&amp;CHAR(34)&amp;", "&amp;CHAR(34)&amp;"kind"&amp;CHAR(34)&amp;": "&amp;CHAR(34)&amp;SUBSTITUTE(CriteriTecnici!$F1103,CHAR(34),"'")&amp;CHAR(34)&amp;", "&amp;CHAR(34)&amp;"value"&amp;CHAR(34)&amp;": "&amp;SUBSTITUTE(TRIM(ROUND(IFERROR(CriteriTecnici!$N1103*1,IFERROR(NUMBERVALUE(CriteriTecnici!$N1103,".",","),IFERROR(NUMBERVALUE(CriteriTecnici!$N1103,",","."),0))),4)&amp;""),",",".")&amp;", "&amp;CHAR(34)&amp;"numerator"&amp;CHAR(34)&amp;": "&amp;SUBSTITUTE(TRIM(ROUND(IFERROR(CriteriTecnici!$K1103*1,IFERROR(NUMBERVALUE(CriteriTecnici!$K1103,".",","),IFERROR(NUMBERVALUE(CriteriTecnici!$K1103,",","."),0))),4)&amp;""),",",".")&amp;", "&amp;CHAR(34)&amp;"denominator"&amp;CHAR(34)&amp;": "&amp;SUBSTITUTE(TRIM(ROUND(IFERROR(CriteriTecnici!$L1103*1,IFERROR(NUMBERVALUE(CriteriTecnici!$L1103,".",","),IFERROR(NUMBERVALUE(CriteriTecnici!$L1103,",","."),0))),4)&amp;""),",",".")&amp;", "&amp;CHAR(34)&amp;"flag"&amp;CHAR(34)&amp;": "&amp;SUBSTITUTE(TRIM(ROUND(IFERROR(CriteriTecnici!$M1103*1,IFERROR(NUMBERVALUE(CriteriTecnici!$M1103,".",","),IFERROR(NUMBERVALUE(CriteriTecnici!$M1103,",","."),0))),4)&amp;""),",",".")&amp;", "&amp;CHAR(34)&amp;"rawScore"&amp;CHAR(34)&amp;": "&amp;SUBSTITUTE(TRIM(ROUND(IFERROR(CriteriTecnici!$O1103*1,IFERROR(NUMBERVALUE(CriteriTecnici!$O1103,".",","),IFERROR(NUMBERVALUE(CriteriTecnici!$O1103,",","."),0))),4)&amp;""),",",".")&amp;CHAR(125)&amp;IF(TRUE,",",""))</f>
        <v/>
      </c>
    </row>
    <row r="1205">
      <c r="A1205" s="82">
        <f>IF(CriteriTecnici!$A1104="","","    "&amp;CHAR(123)&amp;CHAR(34)&amp;"bidderId"&amp;CHAR(34)&amp;": "&amp;CHAR(34)&amp;SUBSTITUTE(CriteriTecnici!$A1104,CHAR(34),"'")&amp;CHAR(34)&amp;", "&amp;CHAR(34)&amp;"lotId"&amp;CHAR(34)&amp;": "&amp;CHAR(34)&amp;SUBSTITUTE(CriteriTecnici!$C1104,CHAR(34),"'")&amp;CHAR(34)&amp;", "&amp;CHAR(34)&amp;"criterionId"&amp;CHAR(34)&amp;": "&amp;CHAR(34)&amp;SUBSTITUTE(CriteriTecnici!$D1104,CHAR(34),"'")&amp;CHAR(34)&amp;", "&amp;CHAR(34)&amp;"kind"&amp;CHAR(34)&amp;": "&amp;CHAR(34)&amp;SUBSTITUTE(CriteriTecnici!$F1104,CHAR(34),"'")&amp;CHAR(34)&amp;", "&amp;CHAR(34)&amp;"value"&amp;CHAR(34)&amp;": "&amp;SUBSTITUTE(TRIM(ROUND(IFERROR(CriteriTecnici!$N1104*1,IFERROR(NUMBERVALUE(CriteriTecnici!$N1104,".",","),IFERROR(NUMBERVALUE(CriteriTecnici!$N1104,",","."),0))),4)&amp;""),",",".")&amp;", "&amp;CHAR(34)&amp;"numerator"&amp;CHAR(34)&amp;": "&amp;SUBSTITUTE(TRIM(ROUND(IFERROR(CriteriTecnici!$K1104*1,IFERROR(NUMBERVALUE(CriteriTecnici!$K1104,".",","),IFERROR(NUMBERVALUE(CriteriTecnici!$K1104,",","."),0))),4)&amp;""),",",".")&amp;", "&amp;CHAR(34)&amp;"denominator"&amp;CHAR(34)&amp;": "&amp;SUBSTITUTE(TRIM(ROUND(IFERROR(CriteriTecnici!$L1104*1,IFERROR(NUMBERVALUE(CriteriTecnici!$L1104,".",","),IFERROR(NUMBERVALUE(CriteriTecnici!$L1104,",","."),0))),4)&amp;""),",",".")&amp;", "&amp;CHAR(34)&amp;"flag"&amp;CHAR(34)&amp;": "&amp;SUBSTITUTE(TRIM(ROUND(IFERROR(CriteriTecnici!$M1104*1,IFERROR(NUMBERVALUE(CriteriTecnici!$M1104,".",","),IFERROR(NUMBERVALUE(CriteriTecnici!$M1104,",","."),0))),4)&amp;""),",",".")&amp;", "&amp;CHAR(34)&amp;"rawScore"&amp;CHAR(34)&amp;": "&amp;SUBSTITUTE(TRIM(ROUND(IFERROR(CriteriTecnici!$O1104*1,IFERROR(NUMBERVALUE(CriteriTecnici!$O1104,".",","),IFERROR(NUMBERVALUE(CriteriTecnici!$O1104,",","."),0))),4)&amp;""),",",".")&amp;CHAR(125)&amp;IF(TRUE,",",""))</f>
        <v/>
      </c>
    </row>
    <row r="1206">
      <c r="A1206" s="82">
        <f>IF(CriteriTecnici!$A1105="","","    "&amp;CHAR(123)&amp;CHAR(34)&amp;"bidderId"&amp;CHAR(34)&amp;": "&amp;CHAR(34)&amp;SUBSTITUTE(CriteriTecnici!$A1105,CHAR(34),"'")&amp;CHAR(34)&amp;", "&amp;CHAR(34)&amp;"lotId"&amp;CHAR(34)&amp;": "&amp;CHAR(34)&amp;SUBSTITUTE(CriteriTecnici!$C1105,CHAR(34),"'")&amp;CHAR(34)&amp;", "&amp;CHAR(34)&amp;"criterionId"&amp;CHAR(34)&amp;": "&amp;CHAR(34)&amp;SUBSTITUTE(CriteriTecnici!$D1105,CHAR(34),"'")&amp;CHAR(34)&amp;", "&amp;CHAR(34)&amp;"kind"&amp;CHAR(34)&amp;": "&amp;CHAR(34)&amp;SUBSTITUTE(CriteriTecnici!$F1105,CHAR(34),"'")&amp;CHAR(34)&amp;", "&amp;CHAR(34)&amp;"value"&amp;CHAR(34)&amp;": "&amp;SUBSTITUTE(TRIM(ROUND(IFERROR(CriteriTecnici!$N1105*1,IFERROR(NUMBERVALUE(CriteriTecnici!$N1105,".",","),IFERROR(NUMBERVALUE(CriteriTecnici!$N1105,",","."),0))),4)&amp;""),",",".")&amp;", "&amp;CHAR(34)&amp;"numerator"&amp;CHAR(34)&amp;": "&amp;SUBSTITUTE(TRIM(ROUND(IFERROR(CriteriTecnici!$K1105*1,IFERROR(NUMBERVALUE(CriteriTecnici!$K1105,".",","),IFERROR(NUMBERVALUE(CriteriTecnici!$K1105,",","."),0))),4)&amp;""),",",".")&amp;", "&amp;CHAR(34)&amp;"denominator"&amp;CHAR(34)&amp;": "&amp;SUBSTITUTE(TRIM(ROUND(IFERROR(CriteriTecnici!$L1105*1,IFERROR(NUMBERVALUE(CriteriTecnici!$L1105,".",","),IFERROR(NUMBERVALUE(CriteriTecnici!$L1105,",","."),0))),4)&amp;""),",",".")&amp;", "&amp;CHAR(34)&amp;"flag"&amp;CHAR(34)&amp;": "&amp;SUBSTITUTE(TRIM(ROUND(IFERROR(CriteriTecnici!$M1105*1,IFERROR(NUMBERVALUE(CriteriTecnici!$M1105,".",","),IFERROR(NUMBERVALUE(CriteriTecnici!$M1105,",","."),0))),4)&amp;""),",",".")&amp;", "&amp;CHAR(34)&amp;"rawScore"&amp;CHAR(34)&amp;": "&amp;SUBSTITUTE(TRIM(ROUND(IFERROR(CriteriTecnici!$O1105*1,IFERROR(NUMBERVALUE(CriteriTecnici!$O1105,".",","),IFERROR(NUMBERVALUE(CriteriTecnici!$O1105,",","."),0))),4)&amp;""),",",".")&amp;CHAR(125)&amp;IF(TRUE,",",""))</f>
        <v/>
      </c>
    </row>
    <row r="1207">
      <c r="A1207" s="82">
        <f>IF(CriteriTecnici!$A1106="","","    "&amp;CHAR(123)&amp;CHAR(34)&amp;"bidderId"&amp;CHAR(34)&amp;": "&amp;CHAR(34)&amp;SUBSTITUTE(CriteriTecnici!$A1106,CHAR(34),"'")&amp;CHAR(34)&amp;", "&amp;CHAR(34)&amp;"lotId"&amp;CHAR(34)&amp;": "&amp;CHAR(34)&amp;SUBSTITUTE(CriteriTecnici!$C1106,CHAR(34),"'")&amp;CHAR(34)&amp;", "&amp;CHAR(34)&amp;"criterionId"&amp;CHAR(34)&amp;": "&amp;CHAR(34)&amp;SUBSTITUTE(CriteriTecnici!$D1106,CHAR(34),"'")&amp;CHAR(34)&amp;", "&amp;CHAR(34)&amp;"kind"&amp;CHAR(34)&amp;": "&amp;CHAR(34)&amp;SUBSTITUTE(CriteriTecnici!$F1106,CHAR(34),"'")&amp;CHAR(34)&amp;", "&amp;CHAR(34)&amp;"value"&amp;CHAR(34)&amp;": "&amp;SUBSTITUTE(TRIM(ROUND(IFERROR(CriteriTecnici!$N1106*1,IFERROR(NUMBERVALUE(CriteriTecnici!$N1106,".",","),IFERROR(NUMBERVALUE(CriteriTecnici!$N1106,",","."),0))),4)&amp;""),",",".")&amp;", "&amp;CHAR(34)&amp;"numerator"&amp;CHAR(34)&amp;": "&amp;SUBSTITUTE(TRIM(ROUND(IFERROR(CriteriTecnici!$K1106*1,IFERROR(NUMBERVALUE(CriteriTecnici!$K1106,".",","),IFERROR(NUMBERVALUE(CriteriTecnici!$K1106,",","."),0))),4)&amp;""),",",".")&amp;", "&amp;CHAR(34)&amp;"denominator"&amp;CHAR(34)&amp;": "&amp;SUBSTITUTE(TRIM(ROUND(IFERROR(CriteriTecnici!$L1106*1,IFERROR(NUMBERVALUE(CriteriTecnici!$L1106,".",","),IFERROR(NUMBERVALUE(CriteriTecnici!$L1106,",","."),0))),4)&amp;""),",",".")&amp;", "&amp;CHAR(34)&amp;"flag"&amp;CHAR(34)&amp;": "&amp;SUBSTITUTE(TRIM(ROUND(IFERROR(CriteriTecnici!$M1106*1,IFERROR(NUMBERVALUE(CriteriTecnici!$M1106,".",","),IFERROR(NUMBERVALUE(CriteriTecnici!$M1106,",","."),0))),4)&amp;""),",",".")&amp;", "&amp;CHAR(34)&amp;"rawScore"&amp;CHAR(34)&amp;": "&amp;SUBSTITUTE(TRIM(ROUND(IFERROR(CriteriTecnici!$O1106*1,IFERROR(NUMBERVALUE(CriteriTecnici!$O1106,".",","),IFERROR(NUMBERVALUE(CriteriTecnici!$O1106,",","."),0))),4)&amp;""),",",".")&amp;CHAR(125)&amp;IF(TRUE,",",""))</f>
        <v/>
      </c>
    </row>
    <row r="1208">
      <c r="A1208" s="82">
        <f>IF(CriteriTecnici!$A1107="","","    "&amp;CHAR(123)&amp;CHAR(34)&amp;"bidderId"&amp;CHAR(34)&amp;": "&amp;CHAR(34)&amp;SUBSTITUTE(CriteriTecnici!$A1107,CHAR(34),"'")&amp;CHAR(34)&amp;", "&amp;CHAR(34)&amp;"lotId"&amp;CHAR(34)&amp;": "&amp;CHAR(34)&amp;SUBSTITUTE(CriteriTecnici!$C1107,CHAR(34),"'")&amp;CHAR(34)&amp;", "&amp;CHAR(34)&amp;"criterionId"&amp;CHAR(34)&amp;": "&amp;CHAR(34)&amp;SUBSTITUTE(CriteriTecnici!$D1107,CHAR(34),"'")&amp;CHAR(34)&amp;", "&amp;CHAR(34)&amp;"kind"&amp;CHAR(34)&amp;": "&amp;CHAR(34)&amp;SUBSTITUTE(CriteriTecnici!$F1107,CHAR(34),"'")&amp;CHAR(34)&amp;", "&amp;CHAR(34)&amp;"value"&amp;CHAR(34)&amp;": "&amp;SUBSTITUTE(TRIM(ROUND(IFERROR(CriteriTecnici!$N1107*1,IFERROR(NUMBERVALUE(CriteriTecnici!$N1107,".",","),IFERROR(NUMBERVALUE(CriteriTecnici!$N1107,",","."),0))),4)&amp;""),",",".")&amp;", "&amp;CHAR(34)&amp;"numerator"&amp;CHAR(34)&amp;": "&amp;SUBSTITUTE(TRIM(ROUND(IFERROR(CriteriTecnici!$K1107*1,IFERROR(NUMBERVALUE(CriteriTecnici!$K1107,".",","),IFERROR(NUMBERVALUE(CriteriTecnici!$K1107,",","."),0))),4)&amp;""),",",".")&amp;", "&amp;CHAR(34)&amp;"denominator"&amp;CHAR(34)&amp;": "&amp;SUBSTITUTE(TRIM(ROUND(IFERROR(CriteriTecnici!$L1107*1,IFERROR(NUMBERVALUE(CriteriTecnici!$L1107,".",","),IFERROR(NUMBERVALUE(CriteriTecnici!$L1107,",","."),0))),4)&amp;""),",",".")&amp;", "&amp;CHAR(34)&amp;"flag"&amp;CHAR(34)&amp;": "&amp;SUBSTITUTE(TRIM(ROUND(IFERROR(CriteriTecnici!$M1107*1,IFERROR(NUMBERVALUE(CriteriTecnici!$M1107,".",","),IFERROR(NUMBERVALUE(CriteriTecnici!$M1107,",","."),0))),4)&amp;""),",",".")&amp;", "&amp;CHAR(34)&amp;"rawScore"&amp;CHAR(34)&amp;": "&amp;SUBSTITUTE(TRIM(ROUND(IFERROR(CriteriTecnici!$O1107*1,IFERROR(NUMBERVALUE(CriteriTecnici!$O1107,".",","),IFERROR(NUMBERVALUE(CriteriTecnici!$O1107,",","."),0))),4)&amp;""),",",".")&amp;CHAR(125)&amp;IF(TRUE,",",""))</f>
        <v/>
      </c>
    </row>
    <row r="1209">
      <c r="A1209" s="82">
        <f>IF(CriteriTecnici!$A1108="","","    "&amp;CHAR(123)&amp;CHAR(34)&amp;"bidderId"&amp;CHAR(34)&amp;": "&amp;CHAR(34)&amp;SUBSTITUTE(CriteriTecnici!$A1108,CHAR(34),"'")&amp;CHAR(34)&amp;", "&amp;CHAR(34)&amp;"lotId"&amp;CHAR(34)&amp;": "&amp;CHAR(34)&amp;SUBSTITUTE(CriteriTecnici!$C1108,CHAR(34),"'")&amp;CHAR(34)&amp;", "&amp;CHAR(34)&amp;"criterionId"&amp;CHAR(34)&amp;": "&amp;CHAR(34)&amp;SUBSTITUTE(CriteriTecnici!$D1108,CHAR(34),"'")&amp;CHAR(34)&amp;", "&amp;CHAR(34)&amp;"kind"&amp;CHAR(34)&amp;": "&amp;CHAR(34)&amp;SUBSTITUTE(CriteriTecnici!$F1108,CHAR(34),"'")&amp;CHAR(34)&amp;", "&amp;CHAR(34)&amp;"value"&amp;CHAR(34)&amp;": "&amp;SUBSTITUTE(TRIM(ROUND(IFERROR(CriteriTecnici!$N1108*1,IFERROR(NUMBERVALUE(CriteriTecnici!$N1108,".",","),IFERROR(NUMBERVALUE(CriteriTecnici!$N1108,",","."),0))),4)&amp;""),",",".")&amp;", "&amp;CHAR(34)&amp;"numerator"&amp;CHAR(34)&amp;": "&amp;SUBSTITUTE(TRIM(ROUND(IFERROR(CriteriTecnici!$K1108*1,IFERROR(NUMBERVALUE(CriteriTecnici!$K1108,".",","),IFERROR(NUMBERVALUE(CriteriTecnici!$K1108,",","."),0))),4)&amp;""),",",".")&amp;", "&amp;CHAR(34)&amp;"denominator"&amp;CHAR(34)&amp;": "&amp;SUBSTITUTE(TRIM(ROUND(IFERROR(CriteriTecnici!$L1108*1,IFERROR(NUMBERVALUE(CriteriTecnici!$L1108,".",","),IFERROR(NUMBERVALUE(CriteriTecnici!$L1108,",","."),0))),4)&amp;""),",",".")&amp;", "&amp;CHAR(34)&amp;"flag"&amp;CHAR(34)&amp;": "&amp;SUBSTITUTE(TRIM(ROUND(IFERROR(CriteriTecnici!$M1108*1,IFERROR(NUMBERVALUE(CriteriTecnici!$M1108,".",","),IFERROR(NUMBERVALUE(CriteriTecnici!$M1108,",","."),0))),4)&amp;""),",",".")&amp;", "&amp;CHAR(34)&amp;"rawScore"&amp;CHAR(34)&amp;": "&amp;SUBSTITUTE(TRIM(ROUND(IFERROR(CriteriTecnici!$O1108*1,IFERROR(NUMBERVALUE(CriteriTecnici!$O1108,".",","),IFERROR(NUMBERVALUE(CriteriTecnici!$O1108,",","."),0))),4)&amp;""),",",".")&amp;CHAR(125)&amp;IF(TRUE,",",""))</f>
        <v/>
      </c>
    </row>
    <row r="1210">
      <c r="A1210" s="82">
        <f>IF(CriteriTecnici!$A1109="","","    "&amp;CHAR(123)&amp;CHAR(34)&amp;"bidderId"&amp;CHAR(34)&amp;": "&amp;CHAR(34)&amp;SUBSTITUTE(CriteriTecnici!$A1109,CHAR(34),"'")&amp;CHAR(34)&amp;", "&amp;CHAR(34)&amp;"lotId"&amp;CHAR(34)&amp;": "&amp;CHAR(34)&amp;SUBSTITUTE(CriteriTecnici!$C1109,CHAR(34),"'")&amp;CHAR(34)&amp;", "&amp;CHAR(34)&amp;"criterionId"&amp;CHAR(34)&amp;": "&amp;CHAR(34)&amp;SUBSTITUTE(CriteriTecnici!$D1109,CHAR(34),"'")&amp;CHAR(34)&amp;", "&amp;CHAR(34)&amp;"kind"&amp;CHAR(34)&amp;": "&amp;CHAR(34)&amp;SUBSTITUTE(CriteriTecnici!$F1109,CHAR(34),"'")&amp;CHAR(34)&amp;", "&amp;CHAR(34)&amp;"value"&amp;CHAR(34)&amp;": "&amp;SUBSTITUTE(TRIM(ROUND(IFERROR(CriteriTecnici!$N1109*1,IFERROR(NUMBERVALUE(CriteriTecnici!$N1109,".",","),IFERROR(NUMBERVALUE(CriteriTecnici!$N1109,",","."),0))),4)&amp;""),",",".")&amp;", "&amp;CHAR(34)&amp;"numerator"&amp;CHAR(34)&amp;": "&amp;SUBSTITUTE(TRIM(ROUND(IFERROR(CriteriTecnici!$K1109*1,IFERROR(NUMBERVALUE(CriteriTecnici!$K1109,".",","),IFERROR(NUMBERVALUE(CriteriTecnici!$K1109,",","."),0))),4)&amp;""),",",".")&amp;", "&amp;CHAR(34)&amp;"denominator"&amp;CHAR(34)&amp;": "&amp;SUBSTITUTE(TRIM(ROUND(IFERROR(CriteriTecnici!$L1109*1,IFERROR(NUMBERVALUE(CriteriTecnici!$L1109,".",","),IFERROR(NUMBERVALUE(CriteriTecnici!$L1109,",","."),0))),4)&amp;""),",",".")&amp;", "&amp;CHAR(34)&amp;"flag"&amp;CHAR(34)&amp;": "&amp;SUBSTITUTE(TRIM(ROUND(IFERROR(CriteriTecnici!$M1109*1,IFERROR(NUMBERVALUE(CriteriTecnici!$M1109,".",","),IFERROR(NUMBERVALUE(CriteriTecnici!$M1109,",","."),0))),4)&amp;""),",",".")&amp;", "&amp;CHAR(34)&amp;"rawScore"&amp;CHAR(34)&amp;": "&amp;SUBSTITUTE(TRIM(ROUND(IFERROR(CriteriTecnici!$O1109*1,IFERROR(NUMBERVALUE(CriteriTecnici!$O1109,".",","),IFERROR(NUMBERVALUE(CriteriTecnici!$O1109,",","."),0))),4)&amp;""),",",".")&amp;CHAR(125)&amp;IF(TRUE,",",""))</f>
        <v/>
      </c>
    </row>
    <row r="1211">
      <c r="A1211" s="82">
        <f>IF(CriteriTecnici!$A1110="","","    "&amp;CHAR(123)&amp;CHAR(34)&amp;"bidderId"&amp;CHAR(34)&amp;": "&amp;CHAR(34)&amp;SUBSTITUTE(CriteriTecnici!$A1110,CHAR(34),"'")&amp;CHAR(34)&amp;", "&amp;CHAR(34)&amp;"lotId"&amp;CHAR(34)&amp;": "&amp;CHAR(34)&amp;SUBSTITUTE(CriteriTecnici!$C1110,CHAR(34),"'")&amp;CHAR(34)&amp;", "&amp;CHAR(34)&amp;"criterionId"&amp;CHAR(34)&amp;": "&amp;CHAR(34)&amp;SUBSTITUTE(CriteriTecnici!$D1110,CHAR(34),"'")&amp;CHAR(34)&amp;", "&amp;CHAR(34)&amp;"kind"&amp;CHAR(34)&amp;": "&amp;CHAR(34)&amp;SUBSTITUTE(CriteriTecnici!$F1110,CHAR(34),"'")&amp;CHAR(34)&amp;", "&amp;CHAR(34)&amp;"value"&amp;CHAR(34)&amp;": "&amp;SUBSTITUTE(TRIM(ROUND(IFERROR(CriteriTecnici!$N1110*1,IFERROR(NUMBERVALUE(CriteriTecnici!$N1110,".",","),IFERROR(NUMBERVALUE(CriteriTecnici!$N1110,",","."),0))),4)&amp;""),",",".")&amp;", "&amp;CHAR(34)&amp;"numerator"&amp;CHAR(34)&amp;": "&amp;SUBSTITUTE(TRIM(ROUND(IFERROR(CriteriTecnici!$K1110*1,IFERROR(NUMBERVALUE(CriteriTecnici!$K1110,".",","),IFERROR(NUMBERVALUE(CriteriTecnici!$K1110,",","."),0))),4)&amp;""),",",".")&amp;", "&amp;CHAR(34)&amp;"denominator"&amp;CHAR(34)&amp;": "&amp;SUBSTITUTE(TRIM(ROUND(IFERROR(CriteriTecnici!$L1110*1,IFERROR(NUMBERVALUE(CriteriTecnici!$L1110,".",","),IFERROR(NUMBERVALUE(CriteriTecnici!$L1110,",","."),0))),4)&amp;""),",",".")&amp;", "&amp;CHAR(34)&amp;"flag"&amp;CHAR(34)&amp;": "&amp;SUBSTITUTE(TRIM(ROUND(IFERROR(CriteriTecnici!$M1110*1,IFERROR(NUMBERVALUE(CriteriTecnici!$M1110,".",","),IFERROR(NUMBERVALUE(CriteriTecnici!$M1110,",","."),0))),4)&amp;""),",",".")&amp;", "&amp;CHAR(34)&amp;"rawScore"&amp;CHAR(34)&amp;": "&amp;SUBSTITUTE(TRIM(ROUND(IFERROR(CriteriTecnici!$O1110*1,IFERROR(NUMBERVALUE(CriteriTecnici!$O1110,".",","),IFERROR(NUMBERVALUE(CriteriTecnici!$O1110,",","."),0))),4)&amp;""),",",".")&amp;CHAR(125)&amp;IF(TRUE,",",""))</f>
        <v/>
      </c>
    </row>
    <row r="1212">
      <c r="A1212" s="82">
        <f>IF(CriteriTecnici!$A1111="","","    "&amp;CHAR(123)&amp;CHAR(34)&amp;"bidderId"&amp;CHAR(34)&amp;": "&amp;CHAR(34)&amp;SUBSTITUTE(CriteriTecnici!$A1111,CHAR(34),"'")&amp;CHAR(34)&amp;", "&amp;CHAR(34)&amp;"lotId"&amp;CHAR(34)&amp;": "&amp;CHAR(34)&amp;SUBSTITUTE(CriteriTecnici!$C1111,CHAR(34),"'")&amp;CHAR(34)&amp;", "&amp;CHAR(34)&amp;"criterionId"&amp;CHAR(34)&amp;": "&amp;CHAR(34)&amp;SUBSTITUTE(CriteriTecnici!$D1111,CHAR(34),"'")&amp;CHAR(34)&amp;", "&amp;CHAR(34)&amp;"kind"&amp;CHAR(34)&amp;": "&amp;CHAR(34)&amp;SUBSTITUTE(CriteriTecnici!$F1111,CHAR(34),"'")&amp;CHAR(34)&amp;", "&amp;CHAR(34)&amp;"value"&amp;CHAR(34)&amp;": "&amp;SUBSTITUTE(TRIM(ROUND(IFERROR(CriteriTecnici!$N1111*1,IFERROR(NUMBERVALUE(CriteriTecnici!$N1111,".",","),IFERROR(NUMBERVALUE(CriteriTecnici!$N1111,",","."),0))),4)&amp;""),",",".")&amp;", "&amp;CHAR(34)&amp;"numerator"&amp;CHAR(34)&amp;": "&amp;SUBSTITUTE(TRIM(ROUND(IFERROR(CriteriTecnici!$K1111*1,IFERROR(NUMBERVALUE(CriteriTecnici!$K1111,".",","),IFERROR(NUMBERVALUE(CriteriTecnici!$K1111,",","."),0))),4)&amp;""),",",".")&amp;", "&amp;CHAR(34)&amp;"denominator"&amp;CHAR(34)&amp;": "&amp;SUBSTITUTE(TRIM(ROUND(IFERROR(CriteriTecnici!$L1111*1,IFERROR(NUMBERVALUE(CriteriTecnici!$L1111,".",","),IFERROR(NUMBERVALUE(CriteriTecnici!$L1111,",","."),0))),4)&amp;""),",",".")&amp;", "&amp;CHAR(34)&amp;"flag"&amp;CHAR(34)&amp;": "&amp;SUBSTITUTE(TRIM(ROUND(IFERROR(CriteriTecnici!$M1111*1,IFERROR(NUMBERVALUE(CriteriTecnici!$M1111,".",","),IFERROR(NUMBERVALUE(CriteriTecnici!$M1111,",","."),0))),4)&amp;""),",",".")&amp;", "&amp;CHAR(34)&amp;"rawScore"&amp;CHAR(34)&amp;": "&amp;SUBSTITUTE(TRIM(ROUND(IFERROR(CriteriTecnici!$O1111*1,IFERROR(NUMBERVALUE(CriteriTecnici!$O1111,".",","),IFERROR(NUMBERVALUE(CriteriTecnici!$O1111,",","."),0))),4)&amp;""),",",".")&amp;CHAR(125)&amp;IF(TRUE,",",""))</f>
        <v/>
      </c>
    </row>
    <row r="1213">
      <c r="A1213" s="82">
        <f>IF(CriteriTecnici!$A1112="","","    "&amp;CHAR(123)&amp;CHAR(34)&amp;"bidderId"&amp;CHAR(34)&amp;": "&amp;CHAR(34)&amp;SUBSTITUTE(CriteriTecnici!$A1112,CHAR(34),"'")&amp;CHAR(34)&amp;", "&amp;CHAR(34)&amp;"lotId"&amp;CHAR(34)&amp;": "&amp;CHAR(34)&amp;SUBSTITUTE(CriteriTecnici!$C1112,CHAR(34),"'")&amp;CHAR(34)&amp;", "&amp;CHAR(34)&amp;"criterionId"&amp;CHAR(34)&amp;": "&amp;CHAR(34)&amp;SUBSTITUTE(CriteriTecnici!$D1112,CHAR(34),"'")&amp;CHAR(34)&amp;", "&amp;CHAR(34)&amp;"kind"&amp;CHAR(34)&amp;": "&amp;CHAR(34)&amp;SUBSTITUTE(CriteriTecnici!$F1112,CHAR(34),"'")&amp;CHAR(34)&amp;", "&amp;CHAR(34)&amp;"value"&amp;CHAR(34)&amp;": "&amp;SUBSTITUTE(TRIM(ROUND(IFERROR(CriteriTecnici!$N1112*1,IFERROR(NUMBERVALUE(CriteriTecnici!$N1112,".",","),IFERROR(NUMBERVALUE(CriteriTecnici!$N1112,",","."),0))),4)&amp;""),",",".")&amp;", "&amp;CHAR(34)&amp;"numerator"&amp;CHAR(34)&amp;": "&amp;SUBSTITUTE(TRIM(ROUND(IFERROR(CriteriTecnici!$K1112*1,IFERROR(NUMBERVALUE(CriteriTecnici!$K1112,".",","),IFERROR(NUMBERVALUE(CriteriTecnici!$K1112,",","."),0))),4)&amp;""),",",".")&amp;", "&amp;CHAR(34)&amp;"denominator"&amp;CHAR(34)&amp;": "&amp;SUBSTITUTE(TRIM(ROUND(IFERROR(CriteriTecnici!$L1112*1,IFERROR(NUMBERVALUE(CriteriTecnici!$L1112,".",","),IFERROR(NUMBERVALUE(CriteriTecnici!$L1112,",","."),0))),4)&amp;""),",",".")&amp;", "&amp;CHAR(34)&amp;"flag"&amp;CHAR(34)&amp;": "&amp;SUBSTITUTE(TRIM(ROUND(IFERROR(CriteriTecnici!$M1112*1,IFERROR(NUMBERVALUE(CriteriTecnici!$M1112,".",","),IFERROR(NUMBERVALUE(CriteriTecnici!$M1112,",","."),0))),4)&amp;""),",",".")&amp;", "&amp;CHAR(34)&amp;"rawScore"&amp;CHAR(34)&amp;": "&amp;SUBSTITUTE(TRIM(ROUND(IFERROR(CriteriTecnici!$O1112*1,IFERROR(NUMBERVALUE(CriteriTecnici!$O1112,".",","),IFERROR(NUMBERVALUE(CriteriTecnici!$O1112,",","."),0))),4)&amp;""),",",".")&amp;CHAR(125)&amp;IF(TRUE,",",""))</f>
        <v/>
      </c>
    </row>
    <row r="1214">
      <c r="A1214" s="82">
        <f>IF(CriteriTecnici!$A1113="","","    "&amp;CHAR(123)&amp;CHAR(34)&amp;"bidderId"&amp;CHAR(34)&amp;": "&amp;CHAR(34)&amp;SUBSTITUTE(CriteriTecnici!$A1113,CHAR(34),"'")&amp;CHAR(34)&amp;", "&amp;CHAR(34)&amp;"lotId"&amp;CHAR(34)&amp;": "&amp;CHAR(34)&amp;SUBSTITUTE(CriteriTecnici!$C1113,CHAR(34),"'")&amp;CHAR(34)&amp;", "&amp;CHAR(34)&amp;"criterionId"&amp;CHAR(34)&amp;": "&amp;CHAR(34)&amp;SUBSTITUTE(CriteriTecnici!$D1113,CHAR(34),"'")&amp;CHAR(34)&amp;", "&amp;CHAR(34)&amp;"kind"&amp;CHAR(34)&amp;": "&amp;CHAR(34)&amp;SUBSTITUTE(CriteriTecnici!$F1113,CHAR(34),"'")&amp;CHAR(34)&amp;", "&amp;CHAR(34)&amp;"value"&amp;CHAR(34)&amp;": "&amp;SUBSTITUTE(TRIM(ROUND(IFERROR(CriteriTecnici!$N1113*1,IFERROR(NUMBERVALUE(CriteriTecnici!$N1113,".",","),IFERROR(NUMBERVALUE(CriteriTecnici!$N1113,",","."),0))),4)&amp;""),",",".")&amp;", "&amp;CHAR(34)&amp;"numerator"&amp;CHAR(34)&amp;": "&amp;SUBSTITUTE(TRIM(ROUND(IFERROR(CriteriTecnici!$K1113*1,IFERROR(NUMBERVALUE(CriteriTecnici!$K1113,".",","),IFERROR(NUMBERVALUE(CriteriTecnici!$K1113,",","."),0))),4)&amp;""),",",".")&amp;", "&amp;CHAR(34)&amp;"denominator"&amp;CHAR(34)&amp;": "&amp;SUBSTITUTE(TRIM(ROUND(IFERROR(CriteriTecnici!$L1113*1,IFERROR(NUMBERVALUE(CriteriTecnici!$L1113,".",","),IFERROR(NUMBERVALUE(CriteriTecnici!$L1113,",","."),0))),4)&amp;""),",",".")&amp;", "&amp;CHAR(34)&amp;"flag"&amp;CHAR(34)&amp;": "&amp;SUBSTITUTE(TRIM(ROUND(IFERROR(CriteriTecnici!$M1113*1,IFERROR(NUMBERVALUE(CriteriTecnici!$M1113,".",","),IFERROR(NUMBERVALUE(CriteriTecnici!$M1113,",","."),0))),4)&amp;""),",",".")&amp;", "&amp;CHAR(34)&amp;"rawScore"&amp;CHAR(34)&amp;": "&amp;SUBSTITUTE(TRIM(ROUND(IFERROR(CriteriTecnici!$O1113*1,IFERROR(NUMBERVALUE(CriteriTecnici!$O1113,".",","),IFERROR(NUMBERVALUE(CriteriTecnici!$O1113,",","."),0))),4)&amp;""),",",".")&amp;CHAR(125)&amp;IF(TRUE,",",""))</f>
        <v/>
      </c>
    </row>
    <row r="1215">
      <c r="A1215" s="82">
        <f>IF(CriteriTecnici!$A1114="","","    "&amp;CHAR(123)&amp;CHAR(34)&amp;"bidderId"&amp;CHAR(34)&amp;": "&amp;CHAR(34)&amp;SUBSTITUTE(CriteriTecnici!$A1114,CHAR(34),"'")&amp;CHAR(34)&amp;", "&amp;CHAR(34)&amp;"lotId"&amp;CHAR(34)&amp;": "&amp;CHAR(34)&amp;SUBSTITUTE(CriteriTecnici!$C1114,CHAR(34),"'")&amp;CHAR(34)&amp;", "&amp;CHAR(34)&amp;"criterionId"&amp;CHAR(34)&amp;": "&amp;CHAR(34)&amp;SUBSTITUTE(CriteriTecnici!$D1114,CHAR(34),"'")&amp;CHAR(34)&amp;", "&amp;CHAR(34)&amp;"kind"&amp;CHAR(34)&amp;": "&amp;CHAR(34)&amp;SUBSTITUTE(CriteriTecnici!$F1114,CHAR(34),"'")&amp;CHAR(34)&amp;", "&amp;CHAR(34)&amp;"value"&amp;CHAR(34)&amp;": "&amp;SUBSTITUTE(TRIM(ROUND(IFERROR(CriteriTecnici!$N1114*1,IFERROR(NUMBERVALUE(CriteriTecnici!$N1114,".",","),IFERROR(NUMBERVALUE(CriteriTecnici!$N1114,",","."),0))),4)&amp;""),",",".")&amp;", "&amp;CHAR(34)&amp;"numerator"&amp;CHAR(34)&amp;": "&amp;SUBSTITUTE(TRIM(ROUND(IFERROR(CriteriTecnici!$K1114*1,IFERROR(NUMBERVALUE(CriteriTecnici!$K1114,".",","),IFERROR(NUMBERVALUE(CriteriTecnici!$K1114,",","."),0))),4)&amp;""),",",".")&amp;", "&amp;CHAR(34)&amp;"denominator"&amp;CHAR(34)&amp;": "&amp;SUBSTITUTE(TRIM(ROUND(IFERROR(CriteriTecnici!$L1114*1,IFERROR(NUMBERVALUE(CriteriTecnici!$L1114,".",","),IFERROR(NUMBERVALUE(CriteriTecnici!$L1114,",","."),0))),4)&amp;""),",",".")&amp;", "&amp;CHAR(34)&amp;"flag"&amp;CHAR(34)&amp;": "&amp;SUBSTITUTE(TRIM(ROUND(IFERROR(CriteriTecnici!$M1114*1,IFERROR(NUMBERVALUE(CriteriTecnici!$M1114,".",","),IFERROR(NUMBERVALUE(CriteriTecnici!$M1114,",","."),0))),4)&amp;""),",",".")&amp;", "&amp;CHAR(34)&amp;"rawScore"&amp;CHAR(34)&amp;": "&amp;SUBSTITUTE(TRIM(ROUND(IFERROR(CriteriTecnici!$O1114*1,IFERROR(NUMBERVALUE(CriteriTecnici!$O1114,".",","),IFERROR(NUMBERVALUE(CriteriTecnici!$O1114,",","."),0))),4)&amp;""),",",".")&amp;CHAR(125)&amp;IF(TRUE,",",""))</f>
        <v/>
      </c>
    </row>
    <row r="1216">
      <c r="A1216" s="82">
        <f>IF(CriteriTecnici!$A1115="","","    "&amp;CHAR(123)&amp;CHAR(34)&amp;"bidderId"&amp;CHAR(34)&amp;": "&amp;CHAR(34)&amp;SUBSTITUTE(CriteriTecnici!$A1115,CHAR(34),"'")&amp;CHAR(34)&amp;", "&amp;CHAR(34)&amp;"lotId"&amp;CHAR(34)&amp;": "&amp;CHAR(34)&amp;SUBSTITUTE(CriteriTecnici!$C1115,CHAR(34),"'")&amp;CHAR(34)&amp;", "&amp;CHAR(34)&amp;"criterionId"&amp;CHAR(34)&amp;": "&amp;CHAR(34)&amp;SUBSTITUTE(CriteriTecnici!$D1115,CHAR(34),"'")&amp;CHAR(34)&amp;", "&amp;CHAR(34)&amp;"kind"&amp;CHAR(34)&amp;": "&amp;CHAR(34)&amp;SUBSTITUTE(CriteriTecnici!$F1115,CHAR(34),"'")&amp;CHAR(34)&amp;", "&amp;CHAR(34)&amp;"value"&amp;CHAR(34)&amp;": "&amp;SUBSTITUTE(TRIM(ROUND(IFERROR(CriteriTecnici!$N1115*1,IFERROR(NUMBERVALUE(CriteriTecnici!$N1115,".",","),IFERROR(NUMBERVALUE(CriteriTecnici!$N1115,",","."),0))),4)&amp;""),",",".")&amp;", "&amp;CHAR(34)&amp;"numerator"&amp;CHAR(34)&amp;": "&amp;SUBSTITUTE(TRIM(ROUND(IFERROR(CriteriTecnici!$K1115*1,IFERROR(NUMBERVALUE(CriteriTecnici!$K1115,".",","),IFERROR(NUMBERVALUE(CriteriTecnici!$K1115,",","."),0))),4)&amp;""),",",".")&amp;", "&amp;CHAR(34)&amp;"denominator"&amp;CHAR(34)&amp;": "&amp;SUBSTITUTE(TRIM(ROUND(IFERROR(CriteriTecnici!$L1115*1,IFERROR(NUMBERVALUE(CriteriTecnici!$L1115,".",","),IFERROR(NUMBERVALUE(CriteriTecnici!$L1115,",","."),0))),4)&amp;""),",",".")&amp;", "&amp;CHAR(34)&amp;"flag"&amp;CHAR(34)&amp;": "&amp;SUBSTITUTE(TRIM(ROUND(IFERROR(CriteriTecnici!$M1115*1,IFERROR(NUMBERVALUE(CriteriTecnici!$M1115,".",","),IFERROR(NUMBERVALUE(CriteriTecnici!$M1115,",","."),0))),4)&amp;""),",",".")&amp;", "&amp;CHAR(34)&amp;"rawScore"&amp;CHAR(34)&amp;": "&amp;SUBSTITUTE(TRIM(ROUND(IFERROR(CriteriTecnici!$O1115*1,IFERROR(NUMBERVALUE(CriteriTecnici!$O1115,".",","),IFERROR(NUMBERVALUE(CriteriTecnici!$O1115,",","."),0))),4)&amp;""),",",".")&amp;CHAR(125)&amp;IF(TRUE,",",""))</f>
        <v/>
      </c>
    </row>
    <row r="1217">
      <c r="A1217" s="82">
        <f>IF(CriteriTecnici!$A1116="","","    "&amp;CHAR(123)&amp;CHAR(34)&amp;"bidderId"&amp;CHAR(34)&amp;": "&amp;CHAR(34)&amp;SUBSTITUTE(CriteriTecnici!$A1116,CHAR(34),"'")&amp;CHAR(34)&amp;", "&amp;CHAR(34)&amp;"lotId"&amp;CHAR(34)&amp;": "&amp;CHAR(34)&amp;SUBSTITUTE(CriteriTecnici!$C1116,CHAR(34),"'")&amp;CHAR(34)&amp;", "&amp;CHAR(34)&amp;"criterionId"&amp;CHAR(34)&amp;": "&amp;CHAR(34)&amp;SUBSTITUTE(CriteriTecnici!$D1116,CHAR(34),"'")&amp;CHAR(34)&amp;", "&amp;CHAR(34)&amp;"kind"&amp;CHAR(34)&amp;": "&amp;CHAR(34)&amp;SUBSTITUTE(CriteriTecnici!$F1116,CHAR(34),"'")&amp;CHAR(34)&amp;", "&amp;CHAR(34)&amp;"value"&amp;CHAR(34)&amp;": "&amp;SUBSTITUTE(TRIM(ROUND(IFERROR(CriteriTecnici!$N1116*1,IFERROR(NUMBERVALUE(CriteriTecnici!$N1116,".",","),IFERROR(NUMBERVALUE(CriteriTecnici!$N1116,",","."),0))),4)&amp;""),",",".")&amp;", "&amp;CHAR(34)&amp;"numerator"&amp;CHAR(34)&amp;": "&amp;SUBSTITUTE(TRIM(ROUND(IFERROR(CriteriTecnici!$K1116*1,IFERROR(NUMBERVALUE(CriteriTecnici!$K1116,".",","),IFERROR(NUMBERVALUE(CriteriTecnici!$K1116,",","."),0))),4)&amp;""),",",".")&amp;", "&amp;CHAR(34)&amp;"denominator"&amp;CHAR(34)&amp;": "&amp;SUBSTITUTE(TRIM(ROUND(IFERROR(CriteriTecnici!$L1116*1,IFERROR(NUMBERVALUE(CriteriTecnici!$L1116,".",","),IFERROR(NUMBERVALUE(CriteriTecnici!$L1116,",","."),0))),4)&amp;""),",",".")&amp;", "&amp;CHAR(34)&amp;"flag"&amp;CHAR(34)&amp;": "&amp;SUBSTITUTE(TRIM(ROUND(IFERROR(CriteriTecnici!$M1116*1,IFERROR(NUMBERVALUE(CriteriTecnici!$M1116,".",","),IFERROR(NUMBERVALUE(CriteriTecnici!$M1116,",","."),0))),4)&amp;""),",",".")&amp;", "&amp;CHAR(34)&amp;"rawScore"&amp;CHAR(34)&amp;": "&amp;SUBSTITUTE(TRIM(ROUND(IFERROR(CriteriTecnici!$O1116*1,IFERROR(NUMBERVALUE(CriteriTecnici!$O1116,".",","),IFERROR(NUMBERVALUE(CriteriTecnici!$O1116,",","."),0))),4)&amp;""),",",".")&amp;CHAR(125)&amp;IF(TRUE,",",""))</f>
        <v/>
      </c>
    </row>
    <row r="1218">
      <c r="A1218" s="82">
        <f>IF(CriteriTecnici!$A1117="","","    "&amp;CHAR(123)&amp;CHAR(34)&amp;"bidderId"&amp;CHAR(34)&amp;": "&amp;CHAR(34)&amp;SUBSTITUTE(CriteriTecnici!$A1117,CHAR(34),"'")&amp;CHAR(34)&amp;", "&amp;CHAR(34)&amp;"lotId"&amp;CHAR(34)&amp;": "&amp;CHAR(34)&amp;SUBSTITUTE(CriteriTecnici!$C1117,CHAR(34),"'")&amp;CHAR(34)&amp;", "&amp;CHAR(34)&amp;"criterionId"&amp;CHAR(34)&amp;": "&amp;CHAR(34)&amp;SUBSTITUTE(CriteriTecnici!$D1117,CHAR(34),"'")&amp;CHAR(34)&amp;", "&amp;CHAR(34)&amp;"kind"&amp;CHAR(34)&amp;": "&amp;CHAR(34)&amp;SUBSTITUTE(CriteriTecnici!$F1117,CHAR(34),"'")&amp;CHAR(34)&amp;", "&amp;CHAR(34)&amp;"value"&amp;CHAR(34)&amp;": "&amp;SUBSTITUTE(TRIM(ROUND(IFERROR(CriteriTecnici!$N1117*1,IFERROR(NUMBERVALUE(CriteriTecnici!$N1117,".",","),IFERROR(NUMBERVALUE(CriteriTecnici!$N1117,",","."),0))),4)&amp;""),",",".")&amp;", "&amp;CHAR(34)&amp;"numerator"&amp;CHAR(34)&amp;": "&amp;SUBSTITUTE(TRIM(ROUND(IFERROR(CriteriTecnici!$K1117*1,IFERROR(NUMBERVALUE(CriteriTecnici!$K1117,".",","),IFERROR(NUMBERVALUE(CriteriTecnici!$K1117,",","."),0))),4)&amp;""),",",".")&amp;", "&amp;CHAR(34)&amp;"denominator"&amp;CHAR(34)&amp;": "&amp;SUBSTITUTE(TRIM(ROUND(IFERROR(CriteriTecnici!$L1117*1,IFERROR(NUMBERVALUE(CriteriTecnici!$L1117,".",","),IFERROR(NUMBERVALUE(CriteriTecnici!$L1117,",","."),0))),4)&amp;""),",",".")&amp;", "&amp;CHAR(34)&amp;"flag"&amp;CHAR(34)&amp;": "&amp;SUBSTITUTE(TRIM(ROUND(IFERROR(CriteriTecnici!$M1117*1,IFERROR(NUMBERVALUE(CriteriTecnici!$M1117,".",","),IFERROR(NUMBERVALUE(CriteriTecnici!$M1117,",","."),0))),4)&amp;""),",",".")&amp;", "&amp;CHAR(34)&amp;"rawScore"&amp;CHAR(34)&amp;": "&amp;SUBSTITUTE(TRIM(ROUND(IFERROR(CriteriTecnici!$O1117*1,IFERROR(NUMBERVALUE(CriteriTecnici!$O1117,".",","),IFERROR(NUMBERVALUE(CriteriTecnici!$O1117,",","."),0))),4)&amp;""),",",".")&amp;CHAR(125)&amp;IF(TRUE,",",""))</f>
        <v/>
      </c>
    </row>
    <row r="1219">
      <c r="A1219" s="82">
        <f>IF(CriteriTecnici!$A1118="","","    "&amp;CHAR(123)&amp;CHAR(34)&amp;"bidderId"&amp;CHAR(34)&amp;": "&amp;CHAR(34)&amp;SUBSTITUTE(CriteriTecnici!$A1118,CHAR(34),"'")&amp;CHAR(34)&amp;", "&amp;CHAR(34)&amp;"lotId"&amp;CHAR(34)&amp;": "&amp;CHAR(34)&amp;SUBSTITUTE(CriteriTecnici!$C1118,CHAR(34),"'")&amp;CHAR(34)&amp;", "&amp;CHAR(34)&amp;"criterionId"&amp;CHAR(34)&amp;": "&amp;CHAR(34)&amp;SUBSTITUTE(CriteriTecnici!$D1118,CHAR(34),"'")&amp;CHAR(34)&amp;", "&amp;CHAR(34)&amp;"kind"&amp;CHAR(34)&amp;": "&amp;CHAR(34)&amp;SUBSTITUTE(CriteriTecnici!$F1118,CHAR(34),"'")&amp;CHAR(34)&amp;", "&amp;CHAR(34)&amp;"value"&amp;CHAR(34)&amp;": "&amp;SUBSTITUTE(TRIM(ROUND(IFERROR(CriteriTecnici!$N1118*1,IFERROR(NUMBERVALUE(CriteriTecnici!$N1118,".",","),IFERROR(NUMBERVALUE(CriteriTecnici!$N1118,",","."),0))),4)&amp;""),",",".")&amp;", "&amp;CHAR(34)&amp;"numerator"&amp;CHAR(34)&amp;": "&amp;SUBSTITUTE(TRIM(ROUND(IFERROR(CriteriTecnici!$K1118*1,IFERROR(NUMBERVALUE(CriteriTecnici!$K1118,".",","),IFERROR(NUMBERVALUE(CriteriTecnici!$K1118,",","."),0))),4)&amp;""),",",".")&amp;", "&amp;CHAR(34)&amp;"denominator"&amp;CHAR(34)&amp;": "&amp;SUBSTITUTE(TRIM(ROUND(IFERROR(CriteriTecnici!$L1118*1,IFERROR(NUMBERVALUE(CriteriTecnici!$L1118,".",","),IFERROR(NUMBERVALUE(CriteriTecnici!$L1118,",","."),0))),4)&amp;""),",",".")&amp;", "&amp;CHAR(34)&amp;"flag"&amp;CHAR(34)&amp;": "&amp;SUBSTITUTE(TRIM(ROUND(IFERROR(CriteriTecnici!$M1118*1,IFERROR(NUMBERVALUE(CriteriTecnici!$M1118,".",","),IFERROR(NUMBERVALUE(CriteriTecnici!$M1118,",","."),0))),4)&amp;""),",",".")&amp;", "&amp;CHAR(34)&amp;"rawScore"&amp;CHAR(34)&amp;": "&amp;SUBSTITUTE(TRIM(ROUND(IFERROR(CriteriTecnici!$O1118*1,IFERROR(NUMBERVALUE(CriteriTecnici!$O1118,".",","),IFERROR(NUMBERVALUE(CriteriTecnici!$O1118,",","."),0))),4)&amp;""),",",".")&amp;CHAR(125)&amp;IF(TRUE,",",""))</f>
        <v/>
      </c>
    </row>
    <row r="1220">
      <c r="A1220" s="82">
        <f>IF(CriteriTecnici!$A1119="","","    "&amp;CHAR(123)&amp;CHAR(34)&amp;"bidderId"&amp;CHAR(34)&amp;": "&amp;CHAR(34)&amp;SUBSTITUTE(CriteriTecnici!$A1119,CHAR(34),"'")&amp;CHAR(34)&amp;", "&amp;CHAR(34)&amp;"lotId"&amp;CHAR(34)&amp;": "&amp;CHAR(34)&amp;SUBSTITUTE(CriteriTecnici!$C1119,CHAR(34),"'")&amp;CHAR(34)&amp;", "&amp;CHAR(34)&amp;"criterionId"&amp;CHAR(34)&amp;": "&amp;CHAR(34)&amp;SUBSTITUTE(CriteriTecnici!$D1119,CHAR(34),"'")&amp;CHAR(34)&amp;", "&amp;CHAR(34)&amp;"kind"&amp;CHAR(34)&amp;": "&amp;CHAR(34)&amp;SUBSTITUTE(CriteriTecnici!$F1119,CHAR(34),"'")&amp;CHAR(34)&amp;", "&amp;CHAR(34)&amp;"value"&amp;CHAR(34)&amp;": "&amp;SUBSTITUTE(TRIM(ROUND(IFERROR(CriteriTecnici!$N1119*1,IFERROR(NUMBERVALUE(CriteriTecnici!$N1119,".",","),IFERROR(NUMBERVALUE(CriteriTecnici!$N1119,",","."),0))),4)&amp;""),",",".")&amp;", "&amp;CHAR(34)&amp;"numerator"&amp;CHAR(34)&amp;": "&amp;SUBSTITUTE(TRIM(ROUND(IFERROR(CriteriTecnici!$K1119*1,IFERROR(NUMBERVALUE(CriteriTecnici!$K1119,".",","),IFERROR(NUMBERVALUE(CriteriTecnici!$K1119,",","."),0))),4)&amp;""),",",".")&amp;", "&amp;CHAR(34)&amp;"denominator"&amp;CHAR(34)&amp;": "&amp;SUBSTITUTE(TRIM(ROUND(IFERROR(CriteriTecnici!$L1119*1,IFERROR(NUMBERVALUE(CriteriTecnici!$L1119,".",","),IFERROR(NUMBERVALUE(CriteriTecnici!$L1119,",","."),0))),4)&amp;""),",",".")&amp;", "&amp;CHAR(34)&amp;"flag"&amp;CHAR(34)&amp;": "&amp;SUBSTITUTE(TRIM(ROUND(IFERROR(CriteriTecnici!$M1119*1,IFERROR(NUMBERVALUE(CriteriTecnici!$M1119,".",","),IFERROR(NUMBERVALUE(CriteriTecnici!$M1119,",","."),0))),4)&amp;""),",",".")&amp;", "&amp;CHAR(34)&amp;"rawScore"&amp;CHAR(34)&amp;": "&amp;SUBSTITUTE(TRIM(ROUND(IFERROR(CriteriTecnici!$O1119*1,IFERROR(NUMBERVALUE(CriteriTecnici!$O1119,".",","),IFERROR(NUMBERVALUE(CriteriTecnici!$O1119,",","."),0))),4)&amp;""),",",".")&amp;CHAR(125)&amp;IF(TRUE,",",""))</f>
        <v/>
      </c>
    </row>
    <row r="1221">
      <c r="A1221" s="82">
        <f>IF(CriteriTecnici!$A1120="","","    "&amp;CHAR(123)&amp;CHAR(34)&amp;"bidderId"&amp;CHAR(34)&amp;": "&amp;CHAR(34)&amp;SUBSTITUTE(CriteriTecnici!$A1120,CHAR(34),"'")&amp;CHAR(34)&amp;", "&amp;CHAR(34)&amp;"lotId"&amp;CHAR(34)&amp;": "&amp;CHAR(34)&amp;SUBSTITUTE(CriteriTecnici!$C1120,CHAR(34),"'")&amp;CHAR(34)&amp;", "&amp;CHAR(34)&amp;"criterionId"&amp;CHAR(34)&amp;": "&amp;CHAR(34)&amp;SUBSTITUTE(CriteriTecnici!$D1120,CHAR(34),"'")&amp;CHAR(34)&amp;", "&amp;CHAR(34)&amp;"kind"&amp;CHAR(34)&amp;": "&amp;CHAR(34)&amp;SUBSTITUTE(CriteriTecnici!$F1120,CHAR(34),"'")&amp;CHAR(34)&amp;", "&amp;CHAR(34)&amp;"value"&amp;CHAR(34)&amp;": "&amp;SUBSTITUTE(TRIM(ROUND(IFERROR(CriteriTecnici!$N1120*1,IFERROR(NUMBERVALUE(CriteriTecnici!$N1120,".",","),IFERROR(NUMBERVALUE(CriteriTecnici!$N1120,",","."),0))),4)&amp;""),",",".")&amp;", "&amp;CHAR(34)&amp;"numerator"&amp;CHAR(34)&amp;": "&amp;SUBSTITUTE(TRIM(ROUND(IFERROR(CriteriTecnici!$K1120*1,IFERROR(NUMBERVALUE(CriteriTecnici!$K1120,".",","),IFERROR(NUMBERVALUE(CriteriTecnici!$K1120,",","."),0))),4)&amp;""),",",".")&amp;", "&amp;CHAR(34)&amp;"denominator"&amp;CHAR(34)&amp;": "&amp;SUBSTITUTE(TRIM(ROUND(IFERROR(CriteriTecnici!$L1120*1,IFERROR(NUMBERVALUE(CriteriTecnici!$L1120,".",","),IFERROR(NUMBERVALUE(CriteriTecnici!$L1120,",","."),0))),4)&amp;""),",",".")&amp;", "&amp;CHAR(34)&amp;"flag"&amp;CHAR(34)&amp;": "&amp;SUBSTITUTE(TRIM(ROUND(IFERROR(CriteriTecnici!$M1120*1,IFERROR(NUMBERVALUE(CriteriTecnici!$M1120,".",","),IFERROR(NUMBERVALUE(CriteriTecnici!$M1120,",","."),0))),4)&amp;""),",",".")&amp;", "&amp;CHAR(34)&amp;"rawScore"&amp;CHAR(34)&amp;": "&amp;SUBSTITUTE(TRIM(ROUND(IFERROR(CriteriTecnici!$O1120*1,IFERROR(NUMBERVALUE(CriteriTecnici!$O1120,".",","),IFERROR(NUMBERVALUE(CriteriTecnici!$O1120,",","."),0))),4)&amp;""),",",".")&amp;CHAR(125)&amp;IF(COUNTA(Offerte!$A38:$A$81)&gt;0,",",""))</f>
        <v/>
      </c>
    </row>
    <row r="1222">
      <c r="A1222" s="82">
        <f>IF(CriteriTecnici!$A1121="","","    "&amp;CHAR(123)&amp;CHAR(34)&amp;"bidderId"&amp;CHAR(34)&amp;": "&amp;CHAR(34)&amp;SUBSTITUTE(CriteriTecnici!$A1121,CHAR(34),"'")&amp;CHAR(34)&amp;", "&amp;CHAR(34)&amp;"lotId"&amp;CHAR(34)&amp;": "&amp;CHAR(34)&amp;SUBSTITUTE(CriteriTecnici!$C1121,CHAR(34),"'")&amp;CHAR(34)&amp;", "&amp;CHAR(34)&amp;"criterionId"&amp;CHAR(34)&amp;": "&amp;CHAR(34)&amp;SUBSTITUTE(CriteriTecnici!$D1121,CHAR(34),"'")&amp;CHAR(34)&amp;", "&amp;CHAR(34)&amp;"kind"&amp;CHAR(34)&amp;": "&amp;CHAR(34)&amp;SUBSTITUTE(CriteriTecnici!$F1121,CHAR(34),"'")&amp;CHAR(34)&amp;", "&amp;CHAR(34)&amp;"value"&amp;CHAR(34)&amp;": "&amp;SUBSTITUTE(TRIM(ROUND(IFERROR(CriteriTecnici!$N1121*1,IFERROR(NUMBERVALUE(CriteriTecnici!$N1121,".",","),IFERROR(NUMBERVALUE(CriteriTecnici!$N1121,",","."),0))),4)&amp;""),",",".")&amp;", "&amp;CHAR(34)&amp;"numerator"&amp;CHAR(34)&amp;": "&amp;SUBSTITUTE(TRIM(ROUND(IFERROR(CriteriTecnici!$K1121*1,IFERROR(NUMBERVALUE(CriteriTecnici!$K1121,".",","),IFERROR(NUMBERVALUE(CriteriTecnici!$K1121,",","."),0))),4)&amp;""),",",".")&amp;", "&amp;CHAR(34)&amp;"denominator"&amp;CHAR(34)&amp;": "&amp;SUBSTITUTE(TRIM(ROUND(IFERROR(CriteriTecnici!$L1121*1,IFERROR(NUMBERVALUE(CriteriTecnici!$L1121,".",","),IFERROR(NUMBERVALUE(CriteriTecnici!$L1121,",","."),0))),4)&amp;""),",",".")&amp;", "&amp;CHAR(34)&amp;"flag"&amp;CHAR(34)&amp;": "&amp;SUBSTITUTE(TRIM(ROUND(IFERROR(CriteriTecnici!$M1121*1,IFERROR(NUMBERVALUE(CriteriTecnici!$M1121,".",","),IFERROR(NUMBERVALUE(CriteriTecnici!$M1121,",","."),0))),4)&amp;""),",",".")&amp;", "&amp;CHAR(34)&amp;"rawScore"&amp;CHAR(34)&amp;": "&amp;SUBSTITUTE(TRIM(ROUND(IFERROR(CriteriTecnici!$O1121*1,IFERROR(NUMBERVALUE(CriteriTecnici!$O1121,".",","),IFERROR(NUMBERVALUE(CriteriTecnici!$O1121,",","."),0))),4)&amp;""),",",".")&amp;CHAR(125)&amp;IF(TRUE,",",""))</f>
        <v/>
      </c>
    </row>
    <row r="1223">
      <c r="A1223" s="82">
        <f>IF(CriteriTecnici!$A1122="","","    "&amp;CHAR(123)&amp;CHAR(34)&amp;"bidderId"&amp;CHAR(34)&amp;": "&amp;CHAR(34)&amp;SUBSTITUTE(CriteriTecnici!$A1122,CHAR(34),"'")&amp;CHAR(34)&amp;", "&amp;CHAR(34)&amp;"lotId"&amp;CHAR(34)&amp;": "&amp;CHAR(34)&amp;SUBSTITUTE(CriteriTecnici!$C1122,CHAR(34),"'")&amp;CHAR(34)&amp;", "&amp;CHAR(34)&amp;"criterionId"&amp;CHAR(34)&amp;": "&amp;CHAR(34)&amp;SUBSTITUTE(CriteriTecnici!$D1122,CHAR(34),"'")&amp;CHAR(34)&amp;", "&amp;CHAR(34)&amp;"kind"&amp;CHAR(34)&amp;": "&amp;CHAR(34)&amp;SUBSTITUTE(CriteriTecnici!$F1122,CHAR(34),"'")&amp;CHAR(34)&amp;", "&amp;CHAR(34)&amp;"value"&amp;CHAR(34)&amp;": "&amp;SUBSTITUTE(TRIM(ROUND(IFERROR(CriteriTecnici!$N1122*1,IFERROR(NUMBERVALUE(CriteriTecnici!$N1122,".",","),IFERROR(NUMBERVALUE(CriteriTecnici!$N1122,",","."),0))),4)&amp;""),",",".")&amp;", "&amp;CHAR(34)&amp;"numerator"&amp;CHAR(34)&amp;": "&amp;SUBSTITUTE(TRIM(ROUND(IFERROR(CriteriTecnici!$K1122*1,IFERROR(NUMBERVALUE(CriteriTecnici!$K1122,".",","),IFERROR(NUMBERVALUE(CriteriTecnici!$K1122,",","."),0))),4)&amp;""),",",".")&amp;", "&amp;CHAR(34)&amp;"denominator"&amp;CHAR(34)&amp;": "&amp;SUBSTITUTE(TRIM(ROUND(IFERROR(CriteriTecnici!$L1122*1,IFERROR(NUMBERVALUE(CriteriTecnici!$L1122,".",","),IFERROR(NUMBERVALUE(CriteriTecnici!$L1122,",","."),0))),4)&amp;""),",",".")&amp;", "&amp;CHAR(34)&amp;"flag"&amp;CHAR(34)&amp;": "&amp;SUBSTITUTE(TRIM(ROUND(IFERROR(CriteriTecnici!$M1122*1,IFERROR(NUMBERVALUE(CriteriTecnici!$M1122,".",","),IFERROR(NUMBERVALUE(CriteriTecnici!$M1122,",","."),0))),4)&amp;""),",",".")&amp;", "&amp;CHAR(34)&amp;"rawScore"&amp;CHAR(34)&amp;": "&amp;SUBSTITUTE(TRIM(ROUND(IFERROR(CriteriTecnici!$O1122*1,IFERROR(NUMBERVALUE(CriteriTecnici!$O1122,".",","),IFERROR(NUMBERVALUE(CriteriTecnici!$O1122,",","."),0))),4)&amp;""),",",".")&amp;CHAR(125)&amp;IF(TRUE,",",""))</f>
        <v/>
      </c>
    </row>
    <row r="1224">
      <c r="A1224" s="82">
        <f>IF(CriteriTecnici!$A1123="","","    "&amp;CHAR(123)&amp;CHAR(34)&amp;"bidderId"&amp;CHAR(34)&amp;": "&amp;CHAR(34)&amp;SUBSTITUTE(CriteriTecnici!$A1123,CHAR(34),"'")&amp;CHAR(34)&amp;", "&amp;CHAR(34)&amp;"lotId"&amp;CHAR(34)&amp;": "&amp;CHAR(34)&amp;SUBSTITUTE(CriteriTecnici!$C1123,CHAR(34),"'")&amp;CHAR(34)&amp;", "&amp;CHAR(34)&amp;"criterionId"&amp;CHAR(34)&amp;": "&amp;CHAR(34)&amp;SUBSTITUTE(CriteriTecnici!$D1123,CHAR(34),"'")&amp;CHAR(34)&amp;", "&amp;CHAR(34)&amp;"kind"&amp;CHAR(34)&amp;": "&amp;CHAR(34)&amp;SUBSTITUTE(CriteriTecnici!$F1123,CHAR(34),"'")&amp;CHAR(34)&amp;", "&amp;CHAR(34)&amp;"value"&amp;CHAR(34)&amp;": "&amp;SUBSTITUTE(TRIM(ROUND(IFERROR(CriteriTecnici!$N1123*1,IFERROR(NUMBERVALUE(CriteriTecnici!$N1123,".",","),IFERROR(NUMBERVALUE(CriteriTecnici!$N1123,",","."),0))),4)&amp;""),",",".")&amp;", "&amp;CHAR(34)&amp;"numerator"&amp;CHAR(34)&amp;": "&amp;SUBSTITUTE(TRIM(ROUND(IFERROR(CriteriTecnici!$K1123*1,IFERROR(NUMBERVALUE(CriteriTecnici!$K1123,".",","),IFERROR(NUMBERVALUE(CriteriTecnici!$K1123,",","."),0))),4)&amp;""),",",".")&amp;", "&amp;CHAR(34)&amp;"denominator"&amp;CHAR(34)&amp;": "&amp;SUBSTITUTE(TRIM(ROUND(IFERROR(CriteriTecnici!$L1123*1,IFERROR(NUMBERVALUE(CriteriTecnici!$L1123,".",","),IFERROR(NUMBERVALUE(CriteriTecnici!$L1123,",","."),0))),4)&amp;""),",",".")&amp;", "&amp;CHAR(34)&amp;"flag"&amp;CHAR(34)&amp;": "&amp;SUBSTITUTE(TRIM(ROUND(IFERROR(CriteriTecnici!$M1123*1,IFERROR(NUMBERVALUE(CriteriTecnici!$M1123,".",","),IFERROR(NUMBERVALUE(CriteriTecnici!$M1123,",","."),0))),4)&amp;""),",",".")&amp;", "&amp;CHAR(34)&amp;"rawScore"&amp;CHAR(34)&amp;": "&amp;SUBSTITUTE(TRIM(ROUND(IFERROR(CriteriTecnici!$O1123*1,IFERROR(NUMBERVALUE(CriteriTecnici!$O1123,".",","),IFERROR(NUMBERVALUE(CriteriTecnici!$O1123,",","."),0))),4)&amp;""),",",".")&amp;CHAR(125)&amp;IF(TRUE,",",""))</f>
        <v/>
      </c>
    </row>
    <row r="1225">
      <c r="A1225" s="82">
        <f>IF(CriteriTecnici!$A1124="","","    "&amp;CHAR(123)&amp;CHAR(34)&amp;"bidderId"&amp;CHAR(34)&amp;": "&amp;CHAR(34)&amp;SUBSTITUTE(CriteriTecnici!$A1124,CHAR(34),"'")&amp;CHAR(34)&amp;", "&amp;CHAR(34)&amp;"lotId"&amp;CHAR(34)&amp;": "&amp;CHAR(34)&amp;SUBSTITUTE(CriteriTecnici!$C1124,CHAR(34),"'")&amp;CHAR(34)&amp;", "&amp;CHAR(34)&amp;"criterionId"&amp;CHAR(34)&amp;": "&amp;CHAR(34)&amp;SUBSTITUTE(CriteriTecnici!$D1124,CHAR(34),"'")&amp;CHAR(34)&amp;", "&amp;CHAR(34)&amp;"kind"&amp;CHAR(34)&amp;": "&amp;CHAR(34)&amp;SUBSTITUTE(CriteriTecnici!$F1124,CHAR(34),"'")&amp;CHAR(34)&amp;", "&amp;CHAR(34)&amp;"value"&amp;CHAR(34)&amp;": "&amp;SUBSTITUTE(TRIM(ROUND(IFERROR(CriteriTecnici!$N1124*1,IFERROR(NUMBERVALUE(CriteriTecnici!$N1124,".",","),IFERROR(NUMBERVALUE(CriteriTecnici!$N1124,",","."),0))),4)&amp;""),",",".")&amp;", "&amp;CHAR(34)&amp;"numerator"&amp;CHAR(34)&amp;": "&amp;SUBSTITUTE(TRIM(ROUND(IFERROR(CriteriTecnici!$K1124*1,IFERROR(NUMBERVALUE(CriteriTecnici!$K1124,".",","),IFERROR(NUMBERVALUE(CriteriTecnici!$K1124,",","."),0))),4)&amp;""),",",".")&amp;", "&amp;CHAR(34)&amp;"denominator"&amp;CHAR(34)&amp;": "&amp;SUBSTITUTE(TRIM(ROUND(IFERROR(CriteriTecnici!$L1124*1,IFERROR(NUMBERVALUE(CriteriTecnici!$L1124,".",","),IFERROR(NUMBERVALUE(CriteriTecnici!$L1124,",","."),0))),4)&amp;""),",",".")&amp;", "&amp;CHAR(34)&amp;"flag"&amp;CHAR(34)&amp;": "&amp;SUBSTITUTE(TRIM(ROUND(IFERROR(CriteriTecnici!$M1124*1,IFERROR(NUMBERVALUE(CriteriTecnici!$M1124,".",","),IFERROR(NUMBERVALUE(CriteriTecnici!$M1124,",","."),0))),4)&amp;""),",",".")&amp;", "&amp;CHAR(34)&amp;"rawScore"&amp;CHAR(34)&amp;": "&amp;SUBSTITUTE(TRIM(ROUND(IFERROR(CriteriTecnici!$O1124*1,IFERROR(NUMBERVALUE(CriteriTecnici!$O1124,".",","),IFERROR(NUMBERVALUE(CriteriTecnici!$O1124,",","."),0))),4)&amp;""),",",".")&amp;CHAR(125)&amp;IF(TRUE,",",""))</f>
        <v/>
      </c>
    </row>
    <row r="1226">
      <c r="A1226" s="82">
        <f>IF(CriteriTecnici!$A1125="","","    "&amp;CHAR(123)&amp;CHAR(34)&amp;"bidderId"&amp;CHAR(34)&amp;": "&amp;CHAR(34)&amp;SUBSTITUTE(CriteriTecnici!$A1125,CHAR(34),"'")&amp;CHAR(34)&amp;", "&amp;CHAR(34)&amp;"lotId"&amp;CHAR(34)&amp;": "&amp;CHAR(34)&amp;SUBSTITUTE(CriteriTecnici!$C1125,CHAR(34),"'")&amp;CHAR(34)&amp;", "&amp;CHAR(34)&amp;"criterionId"&amp;CHAR(34)&amp;": "&amp;CHAR(34)&amp;SUBSTITUTE(CriteriTecnici!$D1125,CHAR(34),"'")&amp;CHAR(34)&amp;", "&amp;CHAR(34)&amp;"kind"&amp;CHAR(34)&amp;": "&amp;CHAR(34)&amp;SUBSTITUTE(CriteriTecnici!$F1125,CHAR(34),"'")&amp;CHAR(34)&amp;", "&amp;CHAR(34)&amp;"value"&amp;CHAR(34)&amp;": "&amp;SUBSTITUTE(TRIM(ROUND(IFERROR(CriteriTecnici!$N1125*1,IFERROR(NUMBERVALUE(CriteriTecnici!$N1125,".",","),IFERROR(NUMBERVALUE(CriteriTecnici!$N1125,",","."),0))),4)&amp;""),",",".")&amp;", "&amp;CHAR(34)&amp;"numerator"&amp;CHAR(34)&amp;": "&amp;SUBSTITUTE(TRIM(ROUND(IFERROR(CriteriTecnici!$K1125*1,IFERROR(NUMBERVALUE(CriteriTecnici!$K1125,".",","),IFERROR(NUMBERVALUE(CriteriTecnici!$K1125,",","."),0))),4)&amp;""),",",".")&amp;", "&amp;CHAR(34)&amp;"denominator"&amp;CHAR(34)&amp;": "&amp;SUBSTITUTE(TRIM(ROUND(IFERROR(CriteriTecnici!$L1125*1,IFERROR(NUMBERVALUE(CriteriTecnici!$L1125,".",","),IFERROR(NUMBERVALUE(CriteriTecnici!$L1125,",","."),0))),4)&amp;""),",",".")&amp;", "&amp;CHAR(34)&amp;"flag"&amp;CHAR(34)&amp;": "&amp;SUBSTITUTE(TRIM(ROUND(IFERROR(CriteriTecnici!$M1125*1,IFERROR(NUMBERVALUE(CriteriTecnici!$M1125,".",","),IFERROR(NUMBERVALUE(CriteriTecnici!$M1125,",","."),0))),4)&amp;""),",",".")&amp;", "&amp;CHAR(34)&amp;"rawScore"&amp;CHAR(34)&amp;": "&amp;SUBSTITUTE(TRIM(ROUND(IFERROR(CriteriTecnici!$O1125*1,IFERROR(NUMBERVALUE(CriteriTecnici!$O1125,".",","),IFERROR(NUMBERVALUE(CriteriTecnici!$O1125,",","."),0))),4)&amp;""),",",".")&amp;CHAR(125)&amp;IF(TRUE,",",""))</f>
        <v/>
      </c>
    </row>
    <row r="1227">
      <c r="A1227" s="82">
        <f>IF(CriteriTecnici!$A1126="","","    "&amp;CHAR(123)&amp;CHAR(34)&amp;"bidderId"&amp;CHAR(34)&amp;": "&amp;CHAR(34)&amp;SUBSTITUTE(CriteriTecnici!$A1126,CHAR(34),"'")&amp;CHAR(34)&amp;", "&amp;CHAR(34)&amp;"lotId"&amp;CHAR(34)&amp;": "&amp;CHAR(34)&amp;SUBSTITUTE(CriteriTecnici!$C1126,CHAR(34),"'")&amp;CHAR(34)&amp;", "&amp;CHAR(34)&amp;"criterionId"&amp;CHAR(34)&amp;": "&amp;CHAR(34)&amp;SUBSTITUTE(CriteriTecnici!$D1126,CHAR(34),"'")&amp;CHAR(34)&amp;", "&amp;CHAR(34)&amp;"kind"&amp;CHAR(34)&amp;": "&amp;CHAR(34)&amp;SUBSTITUTE(CriteriTecnici!$F1126,CHAR(34),"'")&amp;CHAR(34)&amp;", "&amp;CHAR(34)&amp;"value"&amp;CHAR(34)&amp;": "&amp;SUBSTITUTE(TRIM(ROUND(IFERROR(CriteriTecnici!$N1126*1,IFERROR(NUMBERVALUE(CriteriTecnici!$N1126,".",","),IFERROR(NUMBERVALUE(CriteriTecnici!$N1126,",","."),0))),4)&amp;""),",",".")&amp;", "&amp;CHAR(34)&amp;"numerator"&amp;CHAR(34)&amp;": "&amp;SUBSTITUTE(TRIM(ROUND(IFERROR(CriteriTecnici!$K1126*1,IFERROR(NUMBERVALUE(CriteriTecnici!$K1126,".",","),IFERROR(NUMBERVALUE(CriteriTecnici!$K1126,",","."),0))),4)&amp;""),",",".")&amp;", "&amp;CHAR(34)&amp;"denominator"&amp;CHAR(34)&amp;": "&amp;SUBSTITUTE(TRIM(ROUND(IFERROR(CriteriTecnici!$L1126*1,IFERROR(NUMBERVALUE(CriteriTecnici!$L1126,".",","),IFERROR(NUMBERVALUE(CriteriTecnici!$L1126,",","."),0))),4)&amp;""),",",".")&amp;", "&amp;CHAR(34)&amp;"flag"&amp;CHAR(34)&amp;": "&amp;SUBSTITUTE(TRIM(ROUND(IFERROR(CriteriTecnici!$M1126*1,IFERROR(NUMBERVALUE(CriteriTecnici!$M1126,".",","),IFERROR(NUMBERVALUE(CriteriTecnici!$M1126,",","."),0))),4)&amp;""),",",".")&amp;", "&amp;CHAR(34)&amp;"rawScore"&amp;CHAR(34)&amp;": "&amp;SUBSTITUTE(TRIM(ROUND(IFERROR(CriteriTecnici!$O1126*1,IFERROR(NUMBERVALUE(CriteriTecnici!$O1126,".",","),IFERROR(NUMBERVALUE(CriteriTecnici!$O1126,",","."),0))),4)&amp;""),",",".")&amp;CHAR(125)&amp;IF(TRUE,",",""))</f>
        <v/>
      </c>
    </row>
    <row r="1228">
      <c r="A1228" s="82">
        <f>IF(CriteriTecnici!$A1127="","","    "&amp;CHAR(123)&amp;CHAR(34)&amp;"bidderId"&amp;CHAR(34)&amp;": "&amp;CHAR(34)&amp;SUBSTITUTE(CriteriTecnici!$A1127,CHAR(34),"'")&amp;CHAR(34)&amp;", "&amp;CHAR(34)&amp;"lotId"&amp;CHAR(34)&amp;": "&amp;CHAR(34)&amp;SUBSTITUTE(CriteriTecnici!$C1127,CHAR(34),"'")&amp;CHAR(34)&amp;", "&amp;CHAR(34)&amp;"criterionId"&amp;CHAR(34)&amp;": "&amp;CHAR(34)&amp;SUBSTITUTE(CriteriTecnici!$D1127,CHAR(34),"'")&amp;CHAR(34)&amp;", "&amp;CHAR(34)&amp;"kind"&amp;CHAR(34)&amp;": "&amp;CHAR(34)&amp;SUBSTITUTE(CriteriTecnici!$F1127,CHAR(34),"'")&amp;CHAR(34)&amp;", "&amp;CHAR(34)&amp;"value"&amp;CHAR(34)&amp;": "&amp;SUBSTITUTE(TRIM(ROUND(IFERROR(CriteriTecnici!$N1127*1,IFERROR(NUMBERVALUE(CriteriTecnici!$N1127,".",","),IFERROR(NUMBERVALUE(CriteriTecnici!$N1127,",","."),0))),4)&amp;""),",",".")&amp;", "&amp;CHAR(34)&amp;"numerator"&amp;CHAR(34)&amp;": "&amp;SUBSTITUTE(TRIM(ROUND(IFERROR(CriteriTecnici!$K1127*1,IFERROR(NUMBERVALUE(CriteriTecnici!$K1127,".",","),IFERROR(NUMBERVALUE(CriteriTecnici!$K1127,",","."),0))),4)&amp;""),",",".")&amp;", "&amp;CHAR(34)&amp;"denominator"&amp;CHAR(34)&amp;": "&amp;SUBSTITUTE(TRIM(ROUND(IFERROR(CriteriTecnici!$L1127*1,IFERROR(NUMBERVALUE(CriteriTecnici!$L1127,".",","),IFERROR(NUMBERVALUE(CriteriTecnici!$L1127,",","."),0))),4)&amp;""),",",".")&amp;", "&amp;CHAR(34)&amp;"flag"&amp;CHAR(34)&amp;": "&amp;SUBSTITUTE(TRIM(ROUND(IFERROR(CriteriTecnici!$M1127*1,IFERROR(NUMBERVALUE(CriteriTecnici!$M1127,".",","),IFERROR(NUMBERVALUE(CriteriTecnici!$M1127,",","."),0))),4)&amp;""),",",".")&amp;", "&amp;CHAR(34)&amp;"rawScore"&amp;CHAR(34)&amp;": "&amp;SUBSTITUTE(TRIM(ROUND(IFERROR(CriteriTecnici!$O1127*1,IFERROR(NUMBERVALUE(CriteriTecnici!$O1127,".",","),IFERROR(NUMBERVALUE(CriteriTecnici!$O1127,",","."),0))),4)&amp;""),",",".")&amp;CHAR(125)&amp;IF(TRUE,",",""))</f>
        <v/>
      </c>
    </row>
    <row r="1229">
      <c r="A1229" s="82">
        <f>IF(CriteriTecnici!$A1128="","","    "&amp;CHAR(123)&amp;CHAR(34)&amp;"bidderId"&amp;CHAR(34)&amp;": "&amp;CHAR(34)&amp;SUBSTITUTE(CriteriTecnici!$A1128,CHAR(34),"'")&amp;CHAR(34)&amp;", "&amp;CHAR(34)&amp;"lotId"&amp;CHAR(34)&amp;": "&amp;CHAR(34)&amp;SUBSTITUTE(CriteriTecnici!$C1128,CHAR(34),"'")&amp;CHAR(34)&amp;", "&amp;CHAR(34)&amp;"criterionId"&amp;CHAR(34)&amp;": "&amp;CHAR(34)&amp;SUBSTITUTE(CriteriTecnici!$D1128,CHAR(34),"'")&amp;CHAR(34)&amp;", "&amp;CHAR(34)&amp;"kind"&amp;CHAR(34)&amp;": "&amp;CHAR(34)&amp;SUBSTITUTE(CriteriTecnici!$F1128,CHAR(34),"'")&amp;CHAR(34)&amp;", "&amp;CHAR(34)&amp;"value"&amp;CHAR(34)&amp;": "&amp;SUBSTITUTE(TRIM(ROUND(IFERROR(CriteriTecnici!$N1128*1,IFERROR(NUMBERVALUE(CriteriTecnici!$N1128,".",","),IFERROR(NUMBERVALUE(CriteriTecnici!$N1128,",","."),0))),4)&amp;""),",",".")&amp;", "&amp;CHAR(34)&amp;"numerator"&amp;CHAR(34)&amp;": "&amp;SUBSTITUTE(TRIM(ROUND(IFERROR(CriteriTecnici!$K1128*1,IFERROR(NUMBERVALUE(CriteriTecnici!$K1128,".",","),IFERROR(NUMBERVALUE(CriteriTecnici!$K1128,",","."),0))),4)&amp;""),",",".")&amp;", "&amp;CHAR(34)&amp;"denominator"&amp;CHAR(34)&amp;": "&amp;SUBSTITUTE(TRIM(ROUND(IFERROR(CriteriTecnici!$L1128*1,IFERROR(NUMBERVALUE(CriteriTecnici!$L1128,".",","),IFERROR(NUMBERVALUE(CriteriTecnici!$L1128,",","."),0))),4)&amp;""),",",".")&amp;", "&amp;CHAR(34)&amp;"flag"&amp;CHAR(34)&amp;": "&amp;SUBSTITUTE(TRIM(ROUND(IFERROR(CriteriTecnici!$M1128*1,IFERROR(NUMBERVALUE(CriteriTecnici!$M1128,".",","),IFERROR(NUMBERVALUE(CriteriTecnici!$M1128,",","."),0))),4)&amp;""),",",".")&amp;", "&amp;CHAR(34)&amp;"rawScore"&amp;CHAR(34)&amp;": "&amp;SUBSTITUTE(TRIM(ROUND(IFERROR(CriteriTecnici!$O1128*1,IFERROR(NUMBERVALUE(CriteriTecnici!$O1128,".",","),IFERROR(NUMBERVALUE(CriteriTecnici!$O1128,",","."),0))),4)&amp;""),",",".")&amp;CHAR(125)&amp;IF(TRUE,",",""))</f>
        <v/>
      </c>
    </row>
    <row r="1230">
      <c r="A1230" s="82">
        <f>IF(CriteriTecnici!$A1129="","","    "&amp;CHAR(123)&amp;CHAR(34)&amp;"bidderId"&amp;CHAR(34)&amp;": "&amp;CHAR(34)&amp;SUBSTITUTE(CriteriTecnici!$A1129,CHAR(34),"'")&amp;CHAR(34)&amp;", "&amp;CHAR(34)&amp;"lotId"&amp;CHAR(34)&amp;": "&amp;CHAR(34)&amp;SUBSTITUTE(CriteriTecnici!$C1129,CHAR(34),"'")&amp;CHAR(34)&amp;", "&amp;CHAR(34)&amp;"criterionId"&amp;CHAR(34)&amp;": "&amp;CHAR(34)&amp;SUBSTITUTE(CriteriTecnici!$D1129,CHAR(34),"'")&amp;CHAR(34)&amp;", "&amp;CHAR(34)&amp;"kind"&amp;CHAR(34)&amp;": "&amp;CHAR(34)&amp;SUBSTITUTE(CriteriTecnici!$F1129,CHAR(34),"'")&amp;CHAR(34)&amp;", "&amp;CHAR(34)&amp;"value"&amp;CHAR(34)&amp;": "&amp;SUBSTITUTE(TRIM(ROUND(IFERROR(CriteriTecnici!$N1129*1,IFERROR(NUMBERVALUE(CriteriTecnici!$N1129,".",","),IFERROR(NUMBERVALUE(CriteriTecnici!$N1129,",","."),0))),4)&amp;""),",",".")&amp;", "&amp;CHAR(34)&amp;"numerator"&amp;CHAR(34)&amp;": "&amp;SUBSTITUTE(TRIM(ROUND(IFERROR(CriteriTecnici!$K1129*1,IFERROR(NUMBERVALUE(CriteriTecnici!$K1129,".",","),IFERROR(NUMBERVALUE(CriteriTecnici!$K1129,",","."),0))),4)&amp;""),",",".")&amp;", "&amp;CHAR(34)&amp;"denominator"&amp;CHAR(34)&amp;": "&amp;SUBSTITUTE(TRIM(ROUND(IFERROR(CriteriTecnici!$L1129*1,IFERROR(NUMBERVALUE(CriteriTecnici!$L1129,".",","),IFERROR(NUMBERVALUE(CriteriTecnici!$L1129,",","."),0))),4)&amp;""),",",".")&amp;", "&amp;CHAR(34)&amp;"flag"&amp;CHAR(34)&amp;": "&amp;SUBSTITUTE(TRIM(ROUND(IFERROR(CriteriTecnici!$M1129*1,IFERROR(NUMBERVALUE(CriteriTecnici!$M1129,".",","),IFERROR(NUMBERVALUE(CriteriTecnici!$M1129,",","."),0))),4)&amp;""),",",".")&amp;", "&amp;CHAR(34)&amp;"rawScore"&amp;CHAR(34)&amp;": "&amp;SUBSTITUTE(TRIM(ROUND(IFERROR(CriteriTecnici!$O1129*1,IFERROR(NUMBERVALUE(CriteriTecnici!$O1129,".",","),IFERROR(NUMBERVALUE(CriteriTecnici!$O1129,",","."),0))),4)&amp;""),",",".")&amp;CHAR(125)&amp;IF(TRUE,",",""))</f>
        <v/>
      </c>
    </row>
    <row r="1231">
      <c r="A1231" s="82">
        <f>IF(CriteriTecnici!$A1130="","","    "&amp;CHAR(123)&amp;CHAR(34)&amp;"bidderId"&amp;CHAR(34)&amp;": "&amp;CHAR(34)&amp;SUBSTITUTE(CriteriTecnici!$A1130,CHAR(34),"'")&amp;CHAR(34)&amp;", "&amp;CHAR(34)&amp;"lotId"&amp;CHAR(34)&amp;": "&amp;CHAR(34)&amp;SUBSTITUTE(CriteriTecnici!$C1130,CHAR(34),"'")&amp;CHAR(34)&amp;", "&amp;CHAR(34)&amp;"criterionId"&amp;CHAR(34)&amp;": "&amp;CHAR(34)&amp;SUBSTITUTE(CriteriTecnici!$D1130,CHAR(34),"'")&amp;CHAR(34)&amp;", "&amp;CHAR(34)&amp;"kind"&amp;CHAR(34)&amp;": "&amp;CHAR(34)&amp;SUBSTITUTE(CriteriTecnici!$F1130,CHAR(34),"'")&amp;CHAR(34)&amp;", "&amp;CHAR(34)&amp;"value"&amp;CHAR(34)&amp;": "&amp;SUBSTITUTE(TRIM(ROUND(IFERROR(CriteriTecnici!$N1130*1,IFERROR(NUMBERVALUE(CriteriTecnici!$N1130,".",","),IFERROR(NUMBERVALUE(CriteriTecnici!$N1130,",","."),0))),4)&amp;""),",",".")&amp;", "&amp;CHAR(34)&amp;"numerator"&amp;CHAR(34)&amp;": "&amp;SUBSTITUTE(TRIM(ROUND(IFERROR(CriteriTecnici!$K1130*1,IFERROR(NUMBERVALUE(CriteriTecnici!$K1130,".",","),IFERROR(NUMBERVALUE(CriteriTecnici!$K1130,",","."),0))),4)&amp;""),",",".")&amp;", "&amp;CHAR(34)&amp;"denominator"&amp;CHAR(34)&amp;": "&amp;SUBSTITUTE(TRIM(ROUND(IFERROR(CriteriTecnici!$L1130*1,IFERROR(NUMBERVALUE(CriteriTecnici!$L1130,".",","),IFERROR(NUMBERVALUE(CriteriTecnici!$L1130,",","."),0))),4)&amp;""),",",".")&amp;", "&amp;CHAR(34)&amp;"flag"&amp;CHAR(34)&amp;": "&amp;SUBSTITUTE(TRIM(ROUND(IFERROR(CriteriTecnici!$M1130*1,IFERROR(NUMBERVALUE(CriteriTecnici!$M1130,".",","),IFERROR(NUMBERVALUE(CriteriTecnici!$M1130,",","."),0))),4)&amp;""),",",".")&amp;", "&amp;CHAR(34)&amp;"rawScore"&amp;CHAR(34)&amp;": "&amp;SUBSTITUTE(TRIM(ROUND(IFERROR(CriteriTecnici!$O1130*1,IFERROR(NUMBERVALUE(CriteriTecnici!$O1130,".",","),IFERROR(NUMBERVALUE(CriteriTecnici!$O1130,",","."),0))),4)&amp;""),",",".")&amp;CHAR(125)&amp;IF(TRUE,",",""))</f>
        <v/>
      </c>
    </row>
    <row r="1232">
      <c r="A1232" s="82">
        <f>IF(CriteriTecnici!$A1131="","","    "&amp;CHAR(123)&amp;CHAR(34)&amp;"bidderId"&amp;CHAR(34)&amp;": "&amp;CHAR(34)&amp;SUBSTITUTE(CriteriTecnici!$A1131,CHAR(34),"'")&amp;CHAR(34)&amp;", "&amp;CHAR(34)&amp;"lotId"&amp;CHAR(34)&amp;": "&amp;CHAR(34)&amp;SUBSTITUTE(CriteriTecnici!$C1131,CHAR(34),"'")&amp;CHAR(34)&amp;", "&amp;CHAR(34)&amp;"criterionId"&amp;CHAR(34)&amp;": "&amp;CHAR(34)&amp;SUBSTITUTE(CriteriTecnici!$D1131,CHAR(34),"'")&amp;CHAR(34)&amp;", "&amp;CHAR(34)&amp;"kind"&amp;CHAR(34)&amp;": "&amp;CHAR(34)&amp;SUBSTITUTE(CriteriTecnici!$F1131,CHAR(34),"'")&amp;CHAR(34)&amp;", "&amp;CHAR(34)&amp;"value"&amp;CHAR(34)&amp;": "&amp;SUBSTITUTE(TRIM(ROUND(IFERROR(CriteriTecnici!$N1131*1,IFERROR(NUMBERVALUE(CriteriTecnici!$N1131,".",","),IFERROR(NUMBERVALUE(CriteriTecnici!$N1131,",","."),0))),4)&amp;""),",",".")&amp;", "&amp;CHAR(34)&amp;"numerator"&amp;CHAR(34)&amp;": "&amp;SUBSTITUTE(TRIM(ROUND(IFERROR(CriteriTecnici!$K1131*1,IFERROR(NUMBERVALUE(CriteriTecnici!$K1131,".",","),IFERROR(NUMBERVALUE(CriteriTecnici!$K1131,",","."),0))),4)&amp;""),",",".")&amp;", "&amp;CHAR(34)&amp;"denominator"&amp;CHAR(34)&amp;": "&amp;SUBSTITUTE(TRIM(ROUND(IFERROR(CriteriTecnici!$L1131*1,IFERROR(NUMBERVALUE(CriteriTecnici!$L1131,".",","),IFERROR(NUMBERVALUE(CriteriTecnici!$L1131,",","."),0))),4)&amp;""),",",".")&amp;", "&amp;CHAR(34)&amp;"flag"&amp;CHAR(34)&amp;": "&amp;SUBSTITUTE(TRIM(ROUND(IFERROR(CriteriTecnici!$M1131*1,IFERROR(NUMBERVALUE(CriteriTecnici!$M1131,".",","),IFERROR(NUMBERVALUE(CriteriTecnici!$M1131,",","."),0))),4)&amp;""),",",".")&amp;", "&amp;CHAR(34)&amp;"rawScore"&amp;CHAR(34)&amp;": "&amp;SUBSTITUTE(TRIM(ROUND(IFERROR(CriteriTecnici!$O1131*1,IFERROR(NUMBERVALUE(CriteriTecnici!$O1131,".",","),IFERROR(NUMBERVALUE(CriteriTecnici!$O1131,",","."),0))),4)&amp;""),",",".")&amp;CHAR(125)&amp;IF(TRUE,",",""))</f>
        <v/>
      </c>
    </row>
    <row r="1233">
      <c r="A1233" s="82">
        <f>IF(CriteriTecnici!$A1132="","","    "&amp;CHAR(123)&amp;CHAR(34)&amp;"bidderId"&amp;CHAR(34)&amp;": "&amp;CHAR(34)&amp;SUBSTITUTE(CriteriTecnici!$A1132,CHAR(34),"'")&amp;CHAR(34)&amp;", "&amp;CHAR(34)&amp;"lotId"&amp;CHAR(34)&amp;": "&amp;CHAR(34)&amp;SUBSTITUTE(CriteriTecnici!$C1132,CHAR(34),"'")&amp;CHAR(34)&amp;", "&amp;CHAR(34)&amp;"criterionId"&amp;CHAR(34)&amp;": "&amp;CHAR(34)&amp;SUBSTITUTE(CriteriTecnici!$D1132,CHAR(34),"'")&amp;CHAR(34)&amp;", "&amp;CHAR(34)&amp;"kind"&amp;CHAR(34)&amp;": "&amp;CHAR(34)&amp;SUBSTITUTE(CriteriTecnici!$F1132,CHAR(34),"'")&amp;CHAR(34)&amp;", "&amp;CHAR(34)&amp;"value"&amp;CHAR(34)&amp;": "&amp;SUBSTITUTE(TRIM(ROUND(IFERROR(CriteriTecnici!$N1132*1,IFERROR(NUMBERVALUE(CriteriTecnici!$N1132,".",","),IFERROR(NUMBERVALUE(CriteriTecnici!$N1132,",","."),0))),4)&amp;""),",",".")&amp;", "&amp;CHAR(34)&amp;"numerator"&amp;CHAR(34)&amp;": "&amp;SUBSTITUTE(TRIM(ROUND(IFERROR(CriteriTecnici!$K1132*1,IFERROR(NUMBERVALUE(CriteriTecnici!$K1132,".",","),IFERROR(NUMBERVALUE(CriteriTecnici!$K1132,",","."),0))),4)&amp;""),",",".")&amp;", "&amp;CHAR(34)&amp;"denominator"&amp;CHAR(34)&amp;": "&amp;SUBSTITUTE(TRIM(ROUND(IFERROR(CriteriTecnici!$L1132*1,IFERROR(NUMBERVALUE(CriteriTecnici!$L1132,".",","),IFERROR(NUMBERVALUE(CriteriTecnici!$L1132,",","."),0))),4)&amp;""),",",".")&amp;", "&amp;CHAR(34)&amp;"flag"&amp;CHAR(34)&amp;": "&amp;SUBSTITUTE(TRIM(ROUND(IFERROR(CriteriTecnici!$M1132*1,IFERROR(NUMBERVALUE(CriteriTecnici!$M1132,".",","),IFERROR(NUMBERVALUE(CriteriTecnici!$M1132,",","."),0))),4)&amp;""),",",".")&amp;", "&amp;CHAR(34)&amp;"rawScore"&amp;CHAR(34)&amp;": "&amp;SUBSTITUTE(TRIM(ROUND(IFERROR(CriteriTecnici!$O1132*1,IFERROR(NUMBERVALUE(CriteriTecnici!$O1132,".",","),IFERROR(NUMBERVALUE(CriteriTecnici!$O1132,",","."),0))),4)&amp;""),",",".")&amp;CHAR(125)&amp;IF(TRUE,",",""))</f>
        <v/>
      </c>
    </row>
    <row r="1234">
      <c r="A1234" s="82">
        <f>IF(CriteriTecnici!$A1133="","","    "&amp;CHAR(123)&amp;CHAR(34)&amp;"bidderId"&amp;CHAR(34)&amp;": "&amp;CHAR(34)&amp;SUBSTITUTE(CriteriTecnici!$A1133,CHAR(34),"'")&amp;CHAR(34)&amp;", "&amp;CHAR(34)&amp;"lotId"&amp;CHAR(34)&amp;": "&amp;CHAR(34)&amp;SUBSTITUTE(CriteriTecnici!$C1133,CHAR(34),"'")&amp;CHAR(34)&amp;", "&amp;CHAR(34)&amp;"criterionId"&amp;CHAR(34)&amp;": "&amp;CHAR(34)&amp;SUBSTITUTE(CriteriTecnici!$D1133,CHAR(34),"'")&amp;CHAR(34)&amp;", "&amp;CHAR(34)&amp;"kind"&amp;CHAR(34)&amp;": "&amp;CHAR(34)&amp;SUBSTITUTE(CriteriTecnici!$F1133,CHAR(34),"'")&amp;CHAR(34)&amp;", "&amp;CHAR(34)&amp;"value"&amp;CHAR(34)&amp;": "&amp;SUBSTITUTE(TRIM(ROUND(IFERROR(CriteriTecnici!$N1133*1,IFERROR(NUMBERVALUE(CriteriTecnici!$N1133,".",","),IFERROR(NUMBERVALUE(CriteriTecnici!$N1133,",","."),0))),4)&amp;""),",",".")&amp;", "&amp;CHAR(34)&amp;"numerator"&amp;CHAR(34)&amp;": "&amp;SUBSTITUTE(TRIM(ROUND(IFERROR(CriteriTecnici!$K1133*1,IFERROR(NUMBERVALUE(CriteriTecnici!$K1133,".",","),IFERROR(NUMBERVALUE(CriteriTecnici!$K1133,",","."),0))),4)&amp;""),",",".")&amp;", "&amp;CHAR(34)&amp;"denominator"&amp;CHAR(34)&amp;": "&amp;SUBSTITUTE(TRIM(ROUND(IFERROR(CriteriTecnici!$L1133*1,IFERROR(NUMBERVALUE(CriteriTecnici!$L1133,".",","),IFERROR(NUMBERVALUE(CriteriTecnici!$L1133,",","."),0))),4)&amp;""),",",".")&amp;", "&amp;CHAR(34)&amp;"flag"&amp;CHAR(34)&amp;": "&amp;SUBSTITUTE(TRIM(ROUND(IFERROR(CriteriTecnici!$M1133*1,IFERROR(NUMBERVALUE(CriteriTecnici!$M1133,".",","),IFERROR(NUMBERVALUE(CriteriTecnici!$M1133,",","."),0))),4)&amp;""),",",".")&amp;", "&amp;CHAR(34)&amp;"rawScore"&amp;CHAR(34)&amp;": "&amp;SUBSTITUTE(TRIM(ROUND(IFERROR(CriteriTecnici!$O1133*1,IFERROR(NUMBERVALUE(CriteriTecnici!$O1133,".",","),IFERROR(NUMBERVALUE(CriteriTecnici!$O1133,",","."),0))),4)&amp;""),",",".")&amp;CHAR(125)&amp;IF(TRUE,",",""))</f>
        <v/>
      </c>
    </row>
    <row r="1235">
      <c r="A1235" s="82">
        <f>IF(CriteriTecnici!$A1134="","","    "&amp;CHAR(123)&amp;CHAR(34)&amp;"bidderId"&amp;CHAR(34)&amp;": "&amp;CHAR(34)&amp;SUBSTITUTE(CriteriTecnici!$A1134,CHAR(34),"'")&amp;CHAR(34)&amp;", "&amp;CHAR(34)&amp;"lotId"&amp;CHAR(34)&amp;": "&amp;CHAR(34)&amp;SUBSTITUTE(CriteriTecnici!$C1134,CHAR(34),"'")&amp;CHAR(34)&amp;", "&amp;CHAR(34)&amp;"criterionId"&amp;CHAR(34)&amp;": "&amp;CHAR(34)&amp;SUBSTITUTE(CriteriTecnici!$D1134,CHAR(34),"'")&amp;CHAR(34)&amp;", "&amp;CHAR(34)&amp;"kind"&amp;CHAR(34)&amp;": "&amp;CHAR(34)&amp;SUBSTITUTE(CriteriTecnici!$F1134,CHAR(34),"'")&amp;CHAR(34)&amp;", "&amp;CHAR(34)&amp;"value"&amp;CHAR(34)&amp;": "&amp;SUBSTITUTE(TRIM(ROUND(IFERROR(CriteriTecnici!$N1134*1,IFERROR(NUMBERVALUE(CriteriTecnici!$N1134,".",","),IFERROR(NUMBERVALUE(CriteriTecnici!$N1134,",","."),0))),4)&amp;""),",",".")&amp;", "&amp;CHAR(34)&amp;"numerator"&amp;CHAR(34)&amp;": "&amp;SUBSTITUTE(TRIM(ROUND(IFERROR(CriteriTecnici!$K1134*1,IFERROR(NUMBERVALUE(CriteriTecnici!$K1134,".",","),IFERROR(NUMBERVALUE(CriteriTecnici!$K1134,",","."),0))),4)&amp;""),",",".")&amp;", "&amp;CHAR(34)&amp;"denominator"&amp;CHAR(34)&amp;": "&amp;SUBSTITUTE(TRIM(ROUND(IFERROR(CriteriTecnici!$L1134*1,IFERROR(NUMBERVALUE(CriteriTecnici!$L1134,".",","),IFERROR(NUMBERVALUE(CriteriTecnici!$L1134,",","."),0))),4)&amp;""),",",".")&amp;", "&amp;CHAR(34)&amp;"flag"&amp;CHAR(34)&amp;": "&amp;SUBSTITUTE(TRIM(ROUND(IFERROR(CriteriTecnici!$M1134*1,IFERROR(NUMBERVALUE(CriteriTecnici!$M1134,".",","),IFERROR(NUMBERVALUE(CriteriTecnici!$M1134,",","."),0))),4)&amp;""),",",".")&amp;", "&amp;CHAR(34)&amp;"rawScore"&amp;CHAR(34)&amp;": "&amp;SUBSTITUTE(TRIM(ROUND(IFERROR(CriteriTecnici!$O1134*1,IFERROR(NUMBERVALUE(CriteriTecnici!$O1134,".",","),IFERROR(NUMBERVALUE(CriteriTecnici!$O1134,",","."),0))),4)&amp;""),",",".")&amp;CHAR(125)&amp;IF(TRUE,",",""))</f>
        <v/>
      </c>
    </row>
    <row r="1236">
      <c r="A1236" s="82">
        <f>IF(CriteriTecnici!$A1135="","","    "&amp;CHAR(123)&amp;CHAR(34)&amp;"bidderId"&amp;CHAR(34)&amp;": "&amp;CHAR(34)&amp;SUBSTITUTE(CriteriTecnici!$A1135,CHAR(34),"'")&amp;CHAR(34)&amp;", "&amp;CHAR(34)&amp;"lotId"&amp;CHAR(34)&amp;": "&amp;CHAR(34)&amp;SUBSTITUTE(CriteriTecnici!$C1135,CHAR(34),"'")&amp;CHAR(34)&amp;", "&amp;CHAR(34)&amp;"criterionId"&amp;CHAR(34)&amp;": "&amp;CHAR(34)&amp;SUBSTITUTE(CriteriTecnici!$D1135,CHAR(34),"'")&amp;CHAR(34)&amp;", "&amp;CHAR(34)&amp;"kind"&amp;CHAR(34)&amp;": "&amp;CHAR(34)&amp;SUBSTITUTE(CriteriTecnici!$F1135,CHAR(34),"'")&amp;CHAR(34)&amp;", "&amp;CHAR(34)&amp;"value"&amp;CHAR(34)&amp;": "&amp;SUBSTITUTE(TRIM(ROUND(IFERROR(CriteriTecnici!$N1135*1,IFERROR(NUMBERVALUE(CriteriTecnici!$N1135,".",","),IFERROR(NUMBERVALUE(CriteriTecnici!$N1135,",","."),0))),4)&amp;""),",",".")&amp;", "&amp;CHAR(34)&amp;"numerator"&amp;CHAR(34)&amp;": "&amp;SUBSTITUTE(TRIM(ROUND(IFERROR(CriteriTecnici!$K1135*1,IFERROR(NUMBERVALUE(CriteriTecnici!$K1135,".",","),IFERROR(NUMBERVALUE(CriteriTecnici!$K1135,",","."),0))),4)&amp;""),",",".")&amp;", "&amp;CHAR(34)&amp;"denominator"&amp;CHAR(34)&amp;": "&amp;SUBSTITUTE(TRIM(ROUND(IFERROR(CriteriTecnici!$L1135*1,IFERROR(NUMBERVALUE(CriteriTecnici!$L1135,".",","),IFERROR(NUMBERVALUE(CriteriTecnici!$L1135,",","."),0))),4)&amp;""),",",".")&amp;", "&amp;CHAR(34)&amp;"flag"&amp;CHAR(34)&amp;": "&amp;SUBSTITUTE(TRIM(ROUND(IFERROR(CriteriTecnici!$M1135*1,IFERROR(NUMBERVALUE(CriteriTecnici!$M1135,".",","),IFERROR(NUMBERVALUE(CriteriTecnici!$M1135,",","."),0))),4)&amp;""),",",".")&amp;", "&amp;CHAR(34)&amp;"rawScore"&amp;CHAR(34)&amp;": "&amp;SUBSTITUTE(TRIM(ROUND(IFERROR(CriteriTecnici!$O1135*1,IFERROR(NUMBERVALUE(CriteriTecnici!$O1135,".",","),IFERROR(NUMBERVALUE(CriteriTecnici!$O1135,",","."),0))),4)&amp;""),",",".")&amp;CHAR(125)&amp;IF(TRUE,",",""))</f>
        <v/>
      </c>
    </row>
    <row r="1237">
      <c r="A1237" s="82">
        <f>IF(CriteriTecnici!$A1136="","","    "&amp;CHAR(123)&amp;CHAR(34)&amp;"bidderId"&amp;CHAR(34)&amp;": "&amp;CHAR(34)&amp;SUBSTITUTE(CriteriTecnici!$A1136,CHAR(34),"'")&amp;CHAR(34)&amp;", "&amp;CHAR(34)&amp;"lotId"&amp;CHAR(34)&amp;": "&amp;CHAR(34)&amp;SUBSTITUTE(CriteriTecnici!$C1136,CHAR(34),"'")&amp;CHAR(34)&amp;", "&amp;CHAR(34)&amp;"criterionId"&amp;CHAR(34)&amp;": "&amp;CHAR(34)&amp;SUBSTITUTE(CriteriTecnici!$D1136,CHAR(34),"'")&amp;CHAR(34)&amp;", "&amp;CHAR(34)&amp;"kind"&amp;CHAR(34)&amp;": "&amp;CHAR(34)&amp;SUBSTITUTE(CriteriTecnici!$F1136,CHAR(34),"'")&amp;CHAR(34)&amp;", "&amp;CHAR(34)&amp;"value"&amp;CHAR(34)&amp;": "&amp;SUBSTITUTE(TRIM(ROUND(IFERROR(CriteriTecnici!$N1136*1,IFERROR(NUMBERVALUE(CriteriTecnici!$N1136,".",","),IFERROR(NUMBERVALUE(CriteriTecnici!$N1136,",","."),0))),4)&amp;""),",",".")&amp;", "&amp;CHAR(34)&amp;"numerator"&amp;CHAR(34)&amp;": "&amp;SUBSTITUTE(TRIM(ROUND(IFERROR(CriteriTecnici!$K1136*1,IFERROR(NUMBERVALUE(CriteriTecnici!$K1136,".",","),IFERROR(NUMBERVALUE(CriteriTecnici!$K1136,",","."),0))),4)&amp;""),",",".")&amp;", "&amp;CHAR(34)&amp;"denominator"&amp;CHAR(34)&amp;": "&amp;SUBSTITUTE(TRIM(ROUND(IFERROR(CriteriTecnici!$L1136*1,IFERROR(NUMBERVALUE(CriteriTecnici!$L1136,".",","),IFERROR(NUMBERVALUE(CriteriTecnici!$L1136,",","."),0))),4)&amp;""),",",".")&amp;", "&amp;CHAR(34)&amp;"flag"&amp;CHAR(34)&amp;": "&amp;SUBSTITUTE(TRIM(ROUND(IFERROR(CriteriTecnici!$M1136*1,IFERROR(NUMBERVALUE(CriteriTecnici!$M1136,".",","),IFERROR(NUMBERVALUE(CriteriTecnici!$M1136,",","."),0))),4)&amp;""),",",".")&amp;", "&amp;CHAR(34)&amp;"rawScore"&amp;CHAR(34)&amp;": "&amp;SUBSTITUTE(TRIM(ROUND(IFERROR(CriteriTecnici!$O1136*1,IFERROR(NUMBERVALUE(CriteriTecnici!$O1136,".",","),IFERROR(NUMBERVALUE(CriteriTecnici!$O1136,",","."),0))),4)&amp;""),",",".")&amp;CHAR(125)&amp;IF(TRUE,",",""))</f>
        <v/>
      </c>
    </row>
    <row r="1238">
      <c r="A1238" s="82">
        <f>IF(CriteriTecnici!$A1137="","","    "&amp;CHAR(123)&amp;CHAR(34)&amp;"bidderId"&amp;CHAR(34)&amp;": "&amp;CHAR(34)&amp;SUBSTITUTE(CriteriTecnici!$A1137,CHAR(34),"'")&amp;CHAR(34)&amp;", "&amp;CHAR(34)&amp;"lotId"&amp;CHAR(34)&amp;": "&amp;CHAR(34)&amp;SUBSTITUTE(CriteriTecnici!$C1137,CHAR(34),"'")&amp;CHAR(34)&amp;", "&amp;CHAR(34)&amp;"criterionId"&amp;CHAR(34)&amp;": "&amp;CHAR(34)&amp;SUBSTITUTE(CriteriTecnici!$D1137,CHAR(34),"'")&amp;CHAR(34)&amp;", "&amp;CHAR(34)&amp;"kind"&amp;CHAR(34)&amp;": "&amp;CHAR(34)&amp;SUBSTITUTE(CriteriTecnici!$F1137,CHAR(34),"'")&amp;CHAR(34)&amp;", "&amp;CHAR(34)&amp;"value"&amp;CHAR(34)&amp;": "&amp;SUBSTITUTE(TRIM(ROUND(IFERROR(CriteriTecnici!$N1137*1,IFERROR(NUMBERVALUE(CriteriTecnici!$N1137,".",","),IFERROR(NUMBERVALUE(CriteriTecnici!$N1137,",","."),0))),4)&amp;""),",",".")&amp;", "&amp;CHAR(34)&amp;"numerator"&amp;CHAR(34)&amp;": "&amp;SUBSTITUTE(TRIM(ROUND(IFERROR(CriteriTecnici!$K1137*1,IFERROR(NUMBERVALUE(CriteriTecnici!$K1137,".",","),IFERROR(NUMBERVALUE(CriteriTecnici!$K1137,",","."),0))),4)&amp;""),",",".")&amp;", "&amp;CHAR(34)&amp;"denominator"&amp;CHAR(34)&amp;": "&amp;SUBSTITUTE(TRIM(ROUND(IFERROR(CriteriTecnici!$L1137*1,IFERROR(NUMBERVALUE(CriteriTecnici!$L1137,".",","),IFERROR(NUMBERVALUE(CriteriTecnici!$L1137,",","."),0))),4)&amp;""),",",".")&amp;", "&amp;CHAR(34)&amp;"flag"&amp;CHAR(34)&amp;": "&amp;SUBSTITUTE(TRIM(ROUND(IFERROR(CriteriTecnici!$M1137*1,IFERROR(NUMBERVALUE(CriteriTecnici!$M1137,".",","),IFERROR(NUMBERVALUE(CriteriTecnici!$M1137,",","."),0))),4)&amp;""),",",".")&amp;", "&amp;CHAR(34)&amp;"rawScore"&amp;CHAR(34)&amp;": "&amp;SUBSTITUTE(TRIM(ROUND(IFERROR(CriteriTecnici!$O1137*1,IFERROR(NUMBERVALUE(CriteriTecnici!$O1137,".",","),IFERROR(NUMBERVALUE(CriteriTecnici!$O1137,",","."),0))),4)&amp;""),",",".")&amp;CHAR(125)&amp;IF(TRUE,",",""))</f>
        <v/>
      </c>
    </row>
    <row r="1239">
      <c r="A1239" s="82">
        <f>IF(CriteriTecnici!$A1138="","","    "&amp;CHAR(123)&amp;CHAR(34)&amp;"bidderId"&amp;CHAR(34)&amp;": "&amp;CHAR(34)&amp;SUBSTITUTE(CriteriTecnici!$A1138,CHAR(34),"'")&amp;CHAR(34)&amp;", "&amp;CHAR(34)&amp;"lotId"&amp;CHAR(34)&amp;": "&amp;CHAR(34)&amp;SUBSTITUTE(CriteriTecnici!$C1138,CHAR(34),"'")&amp;CHAR(34)&amp;", "&amp;CHAR(34)&amp;"criterionId"&amp;CHAR(34)&amp;": "&amp;CHAR(34)&amp;SUBSTITUTE(CriteriTecnici!$D1138,CHAR(34),"'")&amp;CHAR(34)&amp;", "&amp;CHAR(34)&amp;"kind"&amp;CHAR(34)&amp;": "&amp;CHAR(34)&amp;SUBSTITUTE(CriteriTecnici!$F1138,CHAR(34),"'")&amp;CHAR(34)&amp;", "&amp;CHAR(34)&amp;"value"&amp;CHAR(34)&amp;": "&amp;SUBSTITUTE(TRIM(ROUND(IFERROR(CriteriTecnici!$N1138*1,IFERROR(NUMBERVALUE(CriteriTecnici!$N1138,".",","),IFERROR(NUMBERVALUE(CriteriTecnici!$N1138,",","."),0))),4)&amp;""),",",".")&amp;", "&amp;CHAR(34)&amp;"numerator"&amp;CHAR(34)&amp;": "&amp;SUBSTITUTE(TRIM(ROUND(IFERROR(CriteriTecnici!$K1138*1,IFERROR(NUMBERVALUE(CriteriTecnici!$K1138,".",","),IFERROR(NUMBERVALUE(CriteriTecnici!$K1138,",","."),0))),4)&amp;""),",",".")&amp;", "&amp;CHAR(34)&amp;"denominator"&amp;CHAR(34)&amp;": "&amp;SUBSTITUTE(TRIM(ROUND(IFERROR(CriteriTecnici!$L1138*1,IFERROR(NUMBERVALUE(CriteriTecnici!$L1138,".",","),IFERROR(NUMBERVALUE(CriteriTecnici!$L1138,",","."),0))),4)&amp;""),",",".")&amp;", "&amp;CHAR(34)&amp;"flag"&amp;CHAR(34)&amp;": "&amp;SUBSTITUTE(TRIM(ROUND(IFERROR(CriteriTecnici!$M1138*1,IFERROR(NUMBERVALUE(CriteriTecnici!$M1138,".",","),IFERROR(NUMBERVALUE(CriteriTecnici!$M1138,",","."),0))),4)&amp;""),",",".")&amp;", "&amp;CHAR(34)&amp;"rawScore"&amp;CHAR(34)&amp;": "&amp;SUBSTITUTE(TRIM(ROUND(IFERROR(CriteriTecnici!$O1138*1,IFERROR(NUMBERVALUE(CriteriTecnici!$O1138,".",","),IFERROR(NUMBERVALUE(CriteriTecnici!$O1138,",","."),0))),4)&amp;""),",",".")&amp;CHAR(125)&amp;IF(TRUE,",",""))</f>
        <v/>
      </c>
    </row>
    <row r="1240">
      <c r="A1240" s="82">
        <f>IF(CriteriTecnici!$A1139="","","    "&amp;CHAR(123)&amp;CHAR(34)&amp;"bidderId"&amp;CHAR(34)&amp;": "&amp;CHAR(34)&amp;SUBSTITUTE(CriteriTecnici!$A1139,CHAR(34),"'")&amp;CHAR(34)&amp;", "&amp;CHAR(34)&amp;"lotId"&amp;CHAR(34)&amp;": "&amp;CHAR(34)&amp;SUBSTITUTE(CriteriTecnici!$C1139,CHAR(34),"'")&amp;CHAR(34)&amp;", "&amp;CHAR(34)&amp;"criterionId"&amp;CHAR(34)&amp;": "&amp;CHAR(34)&amp;SUBSTITUTE(CriteriTecnici!$D1139,CHAR(34),"'")&amp;CHAR(34)&amp;", "&amp;CHAR(34)&amp;"kind"&amp;CHAR(34)&amp;": "&amp;CHAR(34)&amp;SUBSTITUTE(CriteriTecnici!$F1139,CHAR(34),"'")&amp;CHAR(34)&amp;", "&amp;CHAR(34)&amp;"value"&amp;CHAR(34)&amp;": "&amp;SUBSTITUTE(TRIM(ROUND(IFERROR(CriteriTecnici!$N1139*1,IFERROR(NUMBERVALUE(CriteriTecnici!$N1139,".",","),IFERROR(NUMBERVALUE(CriteriTecnici!$N1139,",","."),0))),4)&amp;""),",",".")&amp;", "&amp;CHAR(34)&amp;"numerator"&amp;CHAR(34)&amp;": "&amp;SUBSTITUTE(TRIM(ROUND(IFERROR(CriteriTecnici!$K1139*1,IFERROR(NUMBERVALUE(CriteriTecnici!$K1139,".",","),IFERROR(NUMBERVALUE(CriteriTecnici!$K1139,",","."),0))),4)&amp;""),",",".")&amp;", "&amp;CHAR(34)&amp;"denominator"&amp;CHAR(34)&amp;": "&amp;SUBSTITUTE(TRIM(ROUND(IFERROR(CriteriTecnici!$L1139*1,IFERROR(NUMBERVALUE(CriteriTecnici!$L1139,".",","),IFERROR(NUMBERVALUE(CriteriTecnici!$L1139,",","."),0))),4)&amp;""),",",".")&amp;", "&amp;CHAR(34)&amp;"flag"&amp;CHAR(34)&amp;": "&amp;SUBSTITUTE(TRIM(ROUND(IFERROR(CriteriTecnici!$M1139*1,IFERROR(NUMBERVALUE(CriteriTecnici!$M1139,".",","),IFERROR(NUMBERVALUE(CriteriTecnici!$M1139,",","."),0))),4)&amp;""),",",".")&amp;", "&amp;CHAR(34)&amp;"rawScore"&amp;CHAR(34)&amp;": "&amp;SUBSTITUTE(TRIM(ROUND(IFERROR(CriteriTecnici!$O1139*1,IFERROR(NUMBERVALUE(CriteriTecnici!$O1139,".",","),IFERROR(NUMBERVALUE(CriteriTecnici!$O1139,",","."),0))),4)&amp;""),",",".")&amp;CHAR(125)&amp;IF(TRUE,",",""))</f>
        <v/>
      </c>
    </row>
    <row r="1241">
      <c r="A1241" s="82">
        <f>IF(CriteriTecnici!$A1140="","","    "&amp;CHAR(123)&amp;CHAR(34)&amp;"bidderId"&amp;CHAR(34)&amp;": "&amp;CHAR(34)&amp;SUBSTITUTE(CriteriTecnici!$A1140,CHAR(34),"'")&amp;CHAR(34)&amp;", "&amp;CHAR(34)&amp;"lotId"&amp;CHAR(34)&amp;": "&amp;CHAR(34)&amp;SUBSTITUTE(CriteriTecnici!$C1140,CHAR(34),"'")&amp;CHAR(34)&amp;", "&amp;CHAR(34)&amp;"criterionId"&amp;CHAR(34)&amp;": "&amp;CHAR(34)&amp;SUBSTITUTE(CriteriTecnici!$D1140,CHAR(34),"'")&amp;CHAR(34)&amp;", "&amp;CHAR(34)&amp;"kind"&amp;CHAR(34)&amp;": "&amp;CHAR(34)&amp;SUBSTITUTE(CriteriTecnici!$F1140,CHAR(34),"'")&amp;CHAR(34)&amp;", "&amp;CHAR(34)&amp;"value"&amp;CHAR(34)&amp;": "&amp;SUBSTITUTE(TRIM(ROUND(IFERROR(CriteriTecnici!$N1140*1,IFERROR(NUMBERVALUE(CriteriTecnici!$N1140,".",","),IFERROR(NUMBERVALUE(CriteriTecnici!$N1140,",","."),0))),4)&amp;""),",",".")&amp;", "&amp;CHAR(34)&amp;"numerator"&amp;CHAR(34)&amp;": "&amp;SUBSTITUTE(TRIM(ROUND(IFERROR(CriteriTecnici!$K1140*1,IFERROR(NUMBERVALUE(CriteriTecnici!$K1140,".",","),IFERROR(NUMBERVALUE(CriteriTecnici!$K1140,",","."),0))),4)&amp;""),",",".")&amp;", "&amp;CHAR(34)&amp;"denominator"&amp;CHAR(34)&amp;": "&amp;SUBSTITUTE(TRIM(ROUND(IFERROR(CriteriTecnici!$L1140*1,IFERROR(NUMBERVALUE(CriteriTecnici!$L1140,".",","),IFERROR(NUMBERVALUE(CriteriTecnici!$L1140,",","."),0))),4)&amp;""),",",".")&amp;", "&amp;CHAR(34)&amp;"flag"&amp;CHAR(34)&amp;": "&amp;SUBSTITUTE(TRIM(ROUND(IFERROR(CriteriTecnici!$M1140*1,IFERROR(NUMBERVALUE(CriteriTecnici!$M1140,".",","),IFERROR(NUMBERVALUE(CriteriTecnici!$M1140,",","."),0))),4)&amp;""),",",".")&amp;", "&amp;CHAR(34)&amp;"rawScore"&amp;CHAR(34)&amp;": "&amp;SUBSTITUTE(TRIM(ROUND(IFERROR(CriteriTecnici!$O1140*1,IFERROR(NUMBERVALUE(CriteriTecnici!$O1140,".",","),IFERROR(NUMBERVALUE(CriteriTecnici!$O1140,",","."),0))),4)&amp;""),",",".")&amp;CHAR(125)&amp;IF(TRUE,",",""))</f>
        <v/>
      </c>
    </row>
    <row r="1242">
      <c r="A1242" s="82">
        <f>IF(CriteriTecnici!$A1141="","","    "&amp;CHAR(123)&amp;CHAR(34)&amp;"bidderId"&amp;CHAR(34)&amp;": "&amp;CHAR(34)&amp;SUBSTITUTE(CriteriTecnici!$A1141,CHAR(34),"'")&amp;CHAR(34)&amp;", "&amp;CHAR(34)&amp;"lotId"&amp;CHAR(34)&amp;": "&amp;CHAR(34)&amp;SUBSTITUTE(CriteriTecnici!$C1141,CHAR(34),"'")&amp;CHAR(34)&amp;", "&amp;CHAR(34)&amp;"criterionId"&amp;CHAR(34)&amp;": "&amp;CHAR(34)&amp;SUBSTITUTE(CriteriTecnici!$D1141,CHAR(34),"'")&amp;CHAR(34)&amp;", "&amp;CHAR(34)&amp;"kind"&amp;CHAR(34)&amp;": "&amp;CHAR(34)&amp;SUBSTITUTE(CriteriTecnici!$F1141,CHAR(34),"'")&amp;CHAR(34)&amp;", "&amp;CHAR(34)&amp;"value"&amp;CHAR(34)&amp;": "&amp;SUBSTITUTE(TRIM(ROUND(IFERROR(CriteriTecnici!$N1141*1,IFERROR(NUMBERVALUE(CriteriTecnici!$N1141,".",","),IFERROR(NUMBERVALUE(CriteriTecnici!$N1141,",","."),0))),4)&amp;""),",",".")&amp;", "&amp;CHAR(34)&amp;"numerator"&amp;CHAR(34)&amp;": "&amp;SUBSTITUTE(TRIM(ROUND(IFERROR(CriteriTecnici!$K1141*1,IFERROR(NUMBERVALUE(CriteriTecnici!$K1141,".",","),IFERROR(NUMBERVALUE(CriteriTecnici!$K1141,",","."),0))),4)&amp;""),",",".")&amp;", "&amp;CHAR(34)&amp;"denominator"&amp;CHAR(34)&amp;": "&amp;SUBSTITUTE(TRIM(ROUND(IFERROR(CriteriTecnici!$L1141*1,IFERROR(NUMBERVALUE(CriteriTecnici!$L1141,".",","),IFERROR(NUMBERVALUE(CriteriTecnici!$L1141,",","."),0))),4)&amp;""),",",".")&amp;", "&amp;CHAR(34)&amp;"flag"&amp;CHAR(34)&amp;": "&amp;SUBSTITUTE(TRIM(ROUND(IFERROR(CriteriTecnici!$M1141*1,IFERROR(NUMBERVALUE(CriteriTecnici!$M1141,".",","),IFERROR(NUMBERVALUE(CriteriTecnici!$M1141,",","."),0))),4)&amp;""),",",".")&amp;", "&amp;CHAR(34)&amp;"rawScore"&amp;CHAR(34)&amp;": "&amp;SUBSTITUTE(TRIM(ROUND(IFERROR(CriteriTecnici!$O1141*1,IFERROR(NUMBERVALUE(CriteriTecnici!$O1141,".",","),IFERROR(NUMBERVALUE(CriteriTecnici!$O1141,",","."),0))),4)&amp;""),",",".")&amp;CHAR(125)&amp;IF(TRUE,",",""))</f>
        <v/>
      </c>
    </row>
    <row r="1243">
      <c r="A1243" s="82">
        <f>IF(CriteriTecnici!$A1142="","","    "&amp;CHAR(123)&amp;CHAR(34)&amp;"bidderId"&amp;CHAR(34)&amp;": "&amp;CHAR(34)&amp;SUBSTITUTE(CriteriTecnici!$A1142,CHAR(34),"'")&amp;CHAR(34)&amp;", "&amp;CHAR(34)&amp;"lotId"&amp;CHAR(34)&amp;": "&amp;CHAR(34)&amp;SUBSTITUTE(CriteriTecnici!$C1142,CHAR(34),"'")&amp;CHAR(34)&amp;", "&amp;CHAR(34)&amp;"criterionId"&amp;CHAR(34)&amp;": "&amp;CHAR(34)&amp;SUBSTITUTE(CriteriTecnici!$D1142,CHAR(34),"'")&amp;CHAR(34)&amp;", "&amp;CHAR(34)&amp;"kind"&amp;CHAR(34)&amp;": "&amp;CHAR(34)&amp;SUBSTITUTE(CriteriTecnici!$F1142,CHAR(34),"'")&amp;CHAR(34)&amp;", "&amp;CHAR(34)&amp;"value"&amp;CHAR(34)&amp;": "&amp;SUBSTITUTE(TRIM(ROUND(IFERROR(CriteriTecnici!$N1142*1,IFERROR(NUMBERVALUE(CriteriTecnici!$N1142,".",","),IFERROR(NUMBERVALUE(CriteriTecnici!$N1142,",","."),0))),4)&amp;""),",",".")&amp;", "&amp;CHAR(34)&amp;"numerator"&amp;CHAR(34)&amp;": "&amp;SUBSTITUTE(TRIM(ROUND(IFERROR(CriteriTecnici!$K1142*1,IFERROR(NUMBERVALUE(CriteriTecnici!$K1142,".",","),IFERROR(NUMBERVALUE(CriteriTecnici!$K1142,",","."),0))),4)&amp;""),",",".")&amp;", "&amp;CHAR(34)&amp;"denominator"&amp;CHAR(34)&amp;": "&amp;SUBSTITUTE(TRIM(ROUND(IFERROR(CriteriTecnici!$L1142*1,IFERROR(NUMBERVALUE(CriteriTecnici!$L1142,".",","),IFERROR(NUMBERVALUE(CriteriTecnici!$L1142,",","."),0))),4)&amp;""),",",".")&amp;", "&amp;CHAR(34)&amp;"flag"&amp;CHAR(34)&amp;": "&amp;SUBSTITUTE(TRIM(ROUND(IFERROR(CriteriTecnici!$M1142*1,IFERROR(NUMBERVALUE(CriteriTecnici!$M1142,".",","),IFERROR(NUMBERVALUE(CriteriTecnici!$M1142,",","."),0))),4)&amp;""),",",".")&amp;", "&amp;CHAR(34)&amp;"rawScore"&amp;CHAR(34)&amp;": "&amp;SUBSTITUTE(TRIM(ROUND(IFERROR(CriteriTecnici!$O1142*1,IFERROR(NUMBERVALUE(CriteriTecnici!$O1142,".",","),IFERROR(NUMBERVALUE(CriteriTecnici!$O1142,",","."),0))),4)&amp;""),",",".")&amp;CHAR(125)&amp;IF(TRUE,",",""))</f>
        <v/>
      </c>
    </row>
    <row r="1244">
      <c r="A1244" s="82">
        <f>IF(CriteriTecnici!$A1143="","","    "&amp;CHAR(123)&amp;CHAR(34)&amp;"bidderId"&amp;CHAR(34)&amp;": "&amp;CHAR(34)&amp;SUBSTITUTE(CriteriTecnici!$A1143,CHAR(34),"'")&amp;CHAR(34)&amp;", "&amp;CHAR(34)&amp;"lotId"&amp;CHAR(34)&amp;": "&amp;CHAR(34)&amp;SUBSTITUTE(CriteriTecnici!$C1143,CHAR(34),"'")&amp;CHAR(34)&amp;", "&amp;CHAR(34)&amp;"criterionId"&amp;CHAR(34)&amp;": "&amp;CHAR(34)&amp;SUBSTITUTE(CriteriTecnici!$D1143,CHAR(34),"'")&amp;CHAR(34)&amp;", "&amp;CHAR(34)&amp;"kind"&amp;CHAR(34)&amp;": "&amp;CHAR(34)&amp;SUBSTITUTE(CriteriTecnici!$F1143,CHAR(34),"'")&amp;CHAR(34)&amp;", "&amp;CHAR(34)&amp;"value"&amp;CHAR(34)&amp;": "&amp;SUBSTITUTE(TRIM(ROUND(IFERROR(CriteriTecnici!$N1143*1,IFERROR(NUMBERVALUE(CriteriTecnici!$N1143,".",","),IFERROR(NUMBERVALUE(CriteriTecnici!$N1143,",","."),0))),4)&amp;""),",",".")&amp;", "&amp;CHAR(34)&amp;"numerator"&amp;CHAR(34)&amp;": "&amp;SUBSTITUTE(TRIM(ROUND(IFERROR(CriteriTecnici!$K1143*1,IFERROR(NUMBERVALUE(CriteriTecnici!$K1143,".",","),IFERROR(NUMBERVALUE(CriteriTecnici!$K1143,",","."),0))),4)&amp;""),",",".")&amp;", "&amp;CHAR(34)&amp;"denominator"&amp;CHAR(34)&amp;": "&amp;SUBSTITUTE(TRIM(ROUND(IFERROR(CriteriTecnici!$L1143*1,IFERROR(NUMBERVALUE(CriteriTecnici!$L1143,".",","),IFERROR(NUMBERVALUE(CriteriTecnici!$L1143,",","."),0))),4)&amp;""),",",".")&amp;", "&amp;CHAR(34)&amp;"flag"&amp;CHAR(34)&amp;": "&amp;SUBSTITUTE(TRIM(ROUND(IFERROR(CriteriTecnici!$M1143*1,IFERROR(NUMBERVALUE(CriteriTecnici!$M1143,".",","),IFERROR(NUMBERVALUE(CriteriTecnici!$M1143,",","."),0))),4)&amp;""),",",".")&amp;", "&amp;CHAR(34)&amp;"rawScore"&amp;CHAR(34)&amp;": "&amp;SUBSTITUTE(TRIM(ROUND(IFERROR(CriteriTecnici!$O1143*1,IFERROR(NUMBERVALUE(CriteriTecnici!$O1143,".",","),IFERROR(NUMBERVALUE(CriteriTecnici!$O1143,",","."),0))),4)&amp;""),",",".")&amp;CHAR(125)&amp;IF(TRUE,",",""))</f>
        <v/>
      </c>
    </row>
    <row r="1245">
      <c r="A1245" s="82">
        <f>IF(CriteriTecnici!$A1144="","","    "&amp;CHAR(123)&amp;CHAR(34)&amp;"bidderId"&amp;CHAR(34)&amp;": "&amp;CHAR(34)&amp;SUBSTITUTE(CriteriTecnici!$A1144,CHAR(34),"'")&amp;CHAR(34)&amp;", "&amp;CHAR(34)&amp;"lotId"&amp;CHAR(34)&amp;": "&amp;CHAR(34)&amp;SUBSTITUTE(CriteriTecnici!$C1144,CHAR(34),"'")&amp;CHAR(34)&amp;", "&amp;CHAR(34)&amp;"criterionId"&amp;CHAR(34)&amp;": "&amp;CHAR(34)&amp;SUBSTITUTE(CriteriTecnici!$D1144,CHAR(34),"'")&amp;CHAR(34)&amp;", "&amp;CHAR(34)&amp;"kind"&amp;CHAR(34)&amp;": "&amp;CHAR(34)&amp;SUBSTITUTE(CriteriTecnici!$F1144,CHAR(34),"'")&amp;CHAR(34)&amp;", "&amp;CHAR(34)&amp;"value"&amp;CHAR(34)&amp;": "&amp;SUBSTITUTE(TRIM(ROUND(IFERROR(CriteriTecnici!$N1144*1,IFERROR(NUMBERVALUE(CriteriTecnici!$N1144,".",","),IFERROR(NUMBERVALUE(CriteriTecnici!$N1144,",","."),0))),4)&amp;""),",",".")&amp;", "&amp;CHAR(34)&amp;"numerator"&amp;CHAR(34)&amp;": "&amp;SUBSTITUTE(TRIM(ROUND(IFERROR(CriteriTecnici!$K1144*1,IFERROR(NUMBERVALUE(CriteriTecnici!$K1144,".",","),IFERROR(NUMBERVALUE(CriteriTecnici!$K1144,",","."),0))),4)&amp;""),",",".")&amp;", "&amp;CHAR(34)&amp;"denominator"&amp;CHAR(34)&amp;": "&amp;SUBSTITUTE(TRIM(ROUND(IFERROR(CriteriTecnici!$L1144*1,IFERROR(NUMBERVALUE(CriteriTecnici!$L1144,".",","),IFERROR(NUMBERVALUE(CriteriTecnici!$L1144,",","."),0))),4)&amp;""),",",".")&amp;", "&amp;CHAR(34)&amp;"flag"&amp;CHAR(34)&amp;": "&amp;SUBSTITUTE(TRIM(ROUND(IFERROR(CriteriTecnici!$M1144*1,IFERROR(NUMBERVALUE(CriteriTecnici!$M1144,".",","),IFERROR(NUMBERVALUE(CriteriTecnici!$M1144,",","."),0))),4)&amp;""),",",".")&amp;", "&amp;CHAR(34)&amp;"rawScore"&amp;CHAR(34)&amp;": "&amp;SUBSTITUTE(TRIM(ROUND(IFERROR(CriteriTecnici!$O1144*1,IFERROR(NUMBERVALUE(CriteriTecnici!$O1144,".",","),IFERROR(NUMBERVALUE(CriteriTecnici!$O1144,",","."),0))),4)&amp;""),",",".")&amp;CHAR(125)&amp;IF(TRUE,",",""))</f>
        <v/>
      </c>
    </row>
    <row r="1246">
      <c r="A1246" s="82">
        <f>IF(CriteriTecnici!$A1145="","","    "&amp;CHAR(123)&amp;CHAR(34)&amp;"bidderId"&amp;CHAR(34)&amp;": "&amp;CHAR(34)&amp;SUBSTITUTE(CriteriTecnici!$A1145,CHAR(34),"'")&amp;CHAR(34)&amp;", "&amp;CHAR(34)&amp;"lotId"&amp;CHAR(34)&amp;": "&amp;CHAR(34)&amp;SUBSTITUTE(CriteriTecnici!$C1145,CHAR(34),"'")&amp;CHAR(34)&amp;", "&amp;CHAR(34)&amp;"criterionId"&amp;CHAR(34)&amp;": "&amp;CHAR(34)&amp;SUBSTITUTE(CriteriTecnici!$D1145,CHAR(34),"'")&amp;CHAR(34)&amp;", "&amp;CHAR(34)&amp;"kind"&amp;CHAR(34)&amp;": "&amp;CHAR(34)&amp;SUBSTITUTE(CriteriTecnici!$F1145,CHAR(34),"'")&amp;CHAR(34)&amp;", "&amp;CHAR(34)&amp;"value"&amp;CHAR(34)&amp;": "&amp;SUBSTITUTE(TRIM(ROUND(IFERROR(CriteriTecnici!$N1145*1,IFERROR(NUMBERVALUE(CriteriTecnici!$N1145,".",","),IFERROR(NUMBERVALUE(CriteriTecnici!$N1145,",","."),0))),4)&amp;""),",",".")&amp;", "&amp;CHAR(34)&amp;"numerator"&amp;CHAR(34)&amp;": "&amp;SUBSTITUTE(TRIM(ROUND(IFERROR(CriteriTecnici!$K1145*1,IFERROR(NUMBERVALUE(CriteriTecnici!$K1145,".",","),IFERROR(NUMBERVALUE(CriteriTecnici!$K1145,",","."),0))),4)&amp;""),",",".")&amp;", "&amp;CHAR(34)&amp;"denominator"&amp;CHAR(34)&amp;": "&amp;SUBSTITUTE(TRIM(ROUND(IFERROR(CriteriTecnici!$L1145*1,IFERROR(NUMBERVALUE(CriteriTecnici!$L1145,".",","),IFERROR(NUMBERVALUE(CriteriTecnici!$L1145,",","."),0))),4)&amp;""),",",".")&amp;", "&amp;CHAR(34)&amp;"flag"&amp;CHAR(34)&amp;": "&amp;SUBSTITUTE(TRIM(ROUND(IFERROR(CriteriTecnici!$M1145*1,IFERROR(NUMBERVALUE(CriteriTecnici!$M1145,".",","),IFERROR(NUMBERVALUE(CriteriTecnici!$M1145,",","."),0))),4)&amp;""),",",".")&amp;", "&amp;CHAR(34)&amp;"rawScore"&amp;CHAR(34)&amp;": "&amp;SUBSTITUTE(TRIM(ROUND(IFERROR(CriteriTecnici!$O1145*1,IFERROR(NUMBERVALUE(CriteriTecnici!$O1145,".",","),IFERROR(NUMBERVALUE(CriteriTecnici!$O1145,",","."),0))),4)&amp;""),",",".")&amp;CHAR(125)&amp;IF(TRUE,",",""))</f>
        <v/>
      </c>
    </row>
    <row r="1247">
      <c r="A1247" s="82">
        <f>IF(CriteriTecnici!$A1146="","","    "&amp;CHAR(123)&amp;CHAR(34)&amp;"bidderId"&amp;CHAR(34)&amp;": "&amp;CHAR(34)&amp;SUBSTITUTE(CriteriTecnici!$A1146,CHAR(34),"'")&amp;CHAR(34)&amp;", "&amp;CHAR(34)&amp;"lotId"&amp;CHAR(34)&amp;": "&amp;CHAR(34)&amp;SUBSTITUTE(CriteriTecnici!$C1146,CHAR(34),"'")&amp;CHAR(34)&amp;", "&amp;CHAR(34)&amp;"criterionId"&amp;CHAR(34)&amp;": "&amp;CHAR(34)&amp;SUBSTITUTE(CriteriTecnici!$D1146,CHAR(34),"'")&amp;CHAR(34)&amp;", "&amp;CHAR(34)&amp;"kind"&amp;CHAR(34)&amp;": "&amp;CHAR(34)&amp;SUBSTITUTE(CriteriTecnici!$F1146,CHAR(34),"'")&amp;CHAR(34)&amp;", "&amp;CHAR(34)&amp;"value"&amp;CHAR(34)&amp;": "&amp;SUBSTITUTE(TRIM(ROUND(IFERROR(CriteriTecnici!$N1146*1,IFERROR(NUMBERVALUE(CriteriTecnici!$N1146,".",","),IFERROR(NUMBERVALUE(CriteriTecnici!$N1146,",","."),0))),4)&amp;""),",",".")&amp;", "&amp;CHAR(34)&amp;"numerator"&amp;CHAR(34)&amp;": "&amp;SUBSTITUTE(TRIM(ROUND(IFERROR(CriteriTecnici!$K1146*1,IFERROR(NUMBERVALUE(CriteriTecnici!$K1146,".",","),IFERROR(NUMBERVALUE(CriteriTecnici!$K1146,",","."),0))),4)&amp;""),",",".")&amp;", "&amp;CHAR(34)&amp;"denominator"&amp;CHAR(34)&amp;": "&amp;SUBSTITUTE(TRIM(ROUND(IFERROR(CriteriTecnici!$L1146*1,IFERROR(NUMBERVALUE(CriteriTecnici!$L1146,".",","),IFERROR(NUMBERVALUE(CriteriTecnici!$L1146,",","."),0))),4)&amp;""),",",".")&amp;", "&amp;CHAR(34)&amp;"flag"&amp;CHAR(34)&amp;": "&amp;SUBSTITUTE(TRIM(ROUND(IFERROR(CriteriTecnici!$M1146*1,IFERROR(NUMBERVALUE(CriteriTecnici!$M1146,".",","),IFERROR(NUMBERVALUE(CriteriTecnici!$M1146,",","."),0))),4)&amp;""),",",".")&amp;", "&amp;CHAR(34)&amp;"rawScore"&amp;CHAR(34)&amp;": "&amp;SUBSTITUTE(TRIM(ROUND(IFERROR(CriteriTecnici!$O1146*1,IFERROR(NUMBERVALUE(CriteriTecnici!$O1146,".",","),IFERROR(NUMBERVALUE(CriteriTecnici!$O1146,",","."),0))),4)&amp;""),",",".")&amp;CHAR(125)&amp;IF(TRUE,",",""))</f>
        <v/>
      </c>
    </row>
    <row r="1248">
      <c r="A1248" s="82">
        <f>IF(CriteriTecnici!$A1147="","","    "&amp;CHAR(123)&amp;CHAR(34)&amp;"bidderId"&amp;CHAR(34)&amp;": "&amp;CHAR(34)&amp;SUBSTITUTE(CriteriTecnici!$A1147,CHAR(34),"'")&amp;CHAR(34)&amp;", "&amp;CHAR(34)&amp;"lotId"&amp;CHAR(34)&amp;": "&amp;CHAR(34)&amp;SUBSTITUTE(CriteriTecnici!$C1147,CHAR(34),"'")&amp;CHAR(34)&amp;", "&amp;CHAR(34)&amp;"criterionId"&amp;CHAR(34)&amp;": "&amp;CHAR(34)&amp;SUBSTITUTE(CriteriTecnici!$D1147,CHAR(34),"'")&amp;CHAR(34)&amp;", "&amp;CHAR(34)&amp;"kind"&amp;CHAR(34)&amp;": "&amp;CHAR(34)&amp;SUBSTITUTE(CriteriTecnici!$F1147,CHAR(34),"'")&amp;CHAR(34)&amp;", "&amp;CHAR(34)&amp;"value"&amp;CHAR(34)&amp;": "&amp;SUBSTITUTE(TRIM(ROUND(IFERROR(CriteriTecnici!$N1147*1,IFERROR(NUMBERVALUE(CriteriTecnici!$N1147,".",","),IFERROR(NUMBERVALUE(CriteriTecnici!$N1147,",","."),0))),4)&amp;""),",",".")&amp;", "&amp;CHAR(34)&amp;"numerator"&amp;CHAR(34)&amp;": "&amp;SUBSTITUTE(TRIM(ROUND(IFERROR(CriteriTecnici!$K1147*1,IFERROR(NUMBERVALUE(CriteriTecnici!$K1147,".",","),IFERROR(NUMBERVALUE(CriteriTecnici!$K1147,",","."),0))),4)&amp;""),",",".")&amp;", "&amp;CHAR(34)&amp;"denominator"&amp;CHAR(34)&amp;": "&amp;SUBSTITUTE(TRIM(ROUND(IFERROR(CriteriTecnici!$L1147*1,IFERROR(NUMBERVALUE(CriteriTecnici!$L1147,".",","),IFERROR(NUMBERVALUE(CriteriTecnici!$L1147,",","."),0))),4)&amp;""),",",".")&amp;", "&amp;CHAR(34)&amp;"flag"&amp;CHAR(34)&amp;": "&amp;SUBSTITUTE(TRIM(ROUND(IFERROR(CriteriTecnici!$M1147*1,IFERROR(NUMBERVALUE(CriteriTecnici!$M1147,".",","),IFERROR(NUMBERVALUE(CriteriTecnici!$M1147,",","."),0))),4)&amp;""),",",".")&amp;", "&amp;CHAR(34)&amp;"rawScore"&amp;CHAR(34)&amp;": "&amp;SUBSTITUTE(TRIM(ROUND(IFERROR(CriteriTecnici!$O1147*1,IFERROR(NUMBERVALUE(CriteriTecnici!$O1147,".",","),IFERROR(NUMBERVALUE(CriteriTecnici!$O1147,",","."),0))),4)&amp;""),",",".")&amp;CHAR(125)&amp;IF(TRUE,",",""))</f>
        <v/>
      </c>
    </row>
    <row r="1249">
      <c r="A1249" s="82">
        <f>IF(CriteriTecnici!$A1148="","","    "&amp;CHAR(123)&amp;CHAR(34)&amp;"bidderId"&amp;CHAR(34)&amp;": "&amp;CHAR(34)&amp;SUBSTITUTE(CriteriTecnici!$A1148,CHAR(34),"'")&amp;CHAR(34)&amp;", "&amp;CHAR(34)&amp;"lotId"&amp;CHAR(34)&amp;": "&amp;CHAR(34)&amp;SUBSTITUTE(CriteriTecnici!$C1148,CHAR(34),"'")&amp;CHAR(34)&amp;", "&amp;CHAR(34)&amp;"criterionId"&amp;CHAR(34)&amp;": "&amp;CHAR(34)&amp;SUBSTITUTE(CriteriTecnici!$D1148,CHAR(34),"'")&amp;CHAR(34)&amp;", "&amp;CHAR(34)&amp;"kind"&amp;CHAR(34)&amp;": "&amp;CHAR(34)&amp;SUBSTITUTE(CriteriTecnici!$F1148,CHAR(34),"'")&amp;CHAR(34)&amp;", "&amp;CHAR(34)&amp;"value"&amp;CHAR(34)&amp;": "&amp;SUBSTITUTE(TRIM(ROUND(IFERROR(CriteriTecnici!$N1148*1,IFERROR(NUMBERVALUE(CriteriTecnici!$N1148,".",","),IFERROR(NUMBERVALUE(CriteriTecnici!$N1148,",","."),0))),4)&amp;""),",",".")&amp;", "&amp;CHAR(34)&amp;"numerator"&amp;CHAR(34)&amp;": "&amp;SUBSTITUTE(TRIM(ROUND(IFERROR(CriteriTecnici!$K1148*1,IFERROR(NUMBERVALUE(CriteriTecnici!$K1148,".",","),IFERROR(NUMBERVALUE(CriteriTecnici!$K1148,",","."),0))),4)&amp;""),",",".")&amp;", "&amp;CHAR(34)&amp;"denominator"&amp;CHAR(34)&amp;": "&amp;SUBSTITUTE(TRIM(ROUND(IFERROR(CriteriTecnici!$L1148*1,IFERROR(NUMBERVALUE(CriteriTecnici!$L1148,".",","),IFERROR(NUMBERVALUE(CriteriTecnici!$L1148,",","."),0))),4)&amp;""),",",".")&amp;", "&amp;CHAR(34)&amp;"flag"&amp;CHAR(34)&amp;": "&amp;SUBSTITUTE(TRIM(ROUND(IFERROR(CriteriTecnici!$M1148*1,IFERROR(NUMBERVALUE(CriteriTecnici!$M1148,".",","),IFERROR(NUMBERVALUE(CriteriTecnici!$M1148,",","."),0))),4)&amp;""),",",".")&amp;", "&amp;CHAR(34)&amp;"rawScore"&amp;CHAR(34)&amp;": "&amp;SUBSTITUTE(TRIM(ROUND(IFERROR(CriteriTecnici!$O1148*1,IFERROR(NUMBERVALUE(CriteriTecnici!$O1148,".",","),IFERROR(NUMBERVALUE(CriteriTecnici!$O1148,",","."),0))),4)&amp;""),",",".")&amp;CHAR(125)&amp;IF(TRUE,",",""))</f>
        <v/>
      </c>
    </row>
    <row r="1250">
      <c r="A1250" s="82">
        <f>IF(CriteriTecnici!$A1149="","","    "&amp;CHAR(123)&amp;CHAR(34)&amp;"bidderId"&amp;CHAR(34)&amp;": "&amp;CHAR(34)&amp;SUBSTITUTE(CriteriTecnici!$A1149,CHAR(34),"'")&amp;CHAR(34)&amp;", "&amp;CHAR(34)&amp;"lotId"&amp;CHAR(34)&amp;": "&amp;CHAR(34)&amp;SUBSTITUTE(CriteriTecnici!$C1149,CHAR(34),"'")&amp;CHAR(34)&amp;", "&amp;CHAR(34)&amp;"criterionId"&amp;CHAR(34)&amp;": "&amp;CHAR(34)&amp;SUBSTITUTE(CriteriTecnici!$D1149,CHAR(34),"'")&amp;CHAR(34)&amp;", "&amp;CHAR(34)&amp;"kind"&amp;CHAR(34)&amp;": "&amp;CHAR(34)&amp;SUBSTITUTE(CriteriTecnici!$F1149,CHAR(34),"'")&amp;CHAR(34)&amp;", "&amp;CHAR(34)&amp;"value"&amp;CHAR(34)&amp;": "&amp;SUBSTITUTE(TRIM(ROUND(IFERROR(CriteriTecnici!$N1149*1,IFERROR(NUMBERVALUE(CriteriTecnici!$N1149,".",","),IFERROR(NUMBERVALUE(CriteriTecnici!$N1149,",","."),0))),4)&amp;""),",",".")&amp;", "&amp;CHAR(34)&amp;"numerator"&amp;CHAR(34)&amp;": "&amp;SUBSTITUTE(TRIM(ROUND(IFERROR(CriteriTecnici!$K1149*1,IFERROR(NUMBERVALUE(CriteriTecnici!$K1149,".",","),IFERROR(NUMBERVALUE(CriteriTecnici!$K1149,",","."),0))),4)&amp;""),",",".")&amp;", "&amp;CHAR(34)&amp;"denominator"&amp;CHAR(34)&amp;": "&amp;SUBSTITUTE(TRIM(ROUND(IFERROR(CriteriTecnici!$L1149*1,IFERROR(NUMBERVALUE(CriteriTecnici!$L1149,".",","),IFERROR(NUMBERVALUE(CriteriTecnici!$L1149,",","."),0))),4)&amp;""),",",".")&amp;", "&amp;CHAR(34)&amp;"flag"&amp;CHAR(34)&amp;": "&amp;SUBSTITUTE(TRIM(ROUND(IFERROR(CriteriTecnici!$M1149*1,IFERROR(NUMBERVALUE(CriteriTecnici!$M1149,".",","),IFERROR(NUMBERVALUE(CriteriTecnici!$M1149,",","."),0))),4)&amp;""),",",".")&amp;", "&amp;CHAR(34)&amp;"rawScore"&amp;CHAR(34)&amp;": "&amp;SUBSTITUTE(TRIM(ROUND(IFERROR(CriteriTecnici!$O1149*1,IFERROR(NUMBERVALUE(CriteriTecnici!$O1149,".",","),IFERROR(NUMBERVALUE(CriteriTecnici!$O1149,",","."),0))),4)&amp;""),",",".")&amp;CHAR(125)&amp;IF(TRUE,",",""))</f>
        <v/>
      </c>
    </row>
    <row r="1251">
      <c r="A1251" s="82">
        <f>IF(CriteriTecnici!$A1150="","","    "&amp;CHAR(123)&amp;CHAR(34)&amp;"bidderId"&amp;CHAR(34)&amp;": "&amp;CHAR(34)&amp;SUBSTITUTE(CriteriTecnici!$A1150,CHAR(34),"'")&amp;CHAR(34)&amp;", "&amp;CHAR(34)&amp;"lotId"&amp;CHAR(34)&amp;": "&amp;CHAR(34)&amp;SUBSTITUTE(CriteriTecnici!$C1150,CHAR(34),"'")&amp;CHAR(34)&amp;", "&amp;CHAR(34)&amp;"criterionId"&amp;CHAR(34)&amp;": "&amp;CHAR(34)&amp;SUBSTITUTE(CriteriTecnici!$D1150,CHAR(34),"'")&amp;CHAR(34)&amp;", "&amp;CHAR(34)&amp;"kind"&amp;CHAR(34)&amp;": "&amp;CHAR(34)&amp;SUBSTITUTE(CriteriTecnici!$F1150,CHAR(34),"'")&amp;CHAR(34)&amp;", "&amp;CHAR(34)&amp;"value"&amp;CHAR(34)&amp;": "&amp;SUBSTITUTE(TRIM(ROUND(IFERROR(CriteriTecnici!$N1150*1,IFERROR(NUMBERVALUE(CriteriTecnici!$N1150,".",","),IFERROR(NUMBERVALUE(CriteriTecnici!$N1150,",","."),0))),4)&amp;""),",",".")&amp;", "&amp;CHAR(34)&amp;"numerator"&amp;CHAR(34)&amp;": "&amp;SUBSTITUTE(TRIM(ROUND(IFERROR(CriteriTecnici!$K1150*1,IFERROR(NUMBERVALUE(CriteriTecnici!$K1150,".",","),IFERROR(NUMBERVALUE(CriteriTecnici!$K1150,",","."),0))),4)&amp;""),",",".")&amp;", "&amp;CHAR(34)&amp;"denominator"&amp;CHAR(34)&amp;": "&amp;SUBSTITUTE(TRIM(ROUND(IFERROR(CriteriTecnici!$L1150*1,IFERROR(NUMBERVALUE(CriteriTecnici!$L1150,".",","),IFERROR(NUMBERVALUE(CriteriTecnici!$L1150,",","."),0))),4)&amp;""),",",".")&amp;", "&amp;CHAR(34)&amp;"flag"&amp;CHAR(34)&amp;": "&amp;SUBSTITUTE(TRIM(ROUND(IFERROR(CriteriTecnici!$M1150*1,IFERROR(NUMBERVALUE(CriteriTecnici!$M1150,".",","),IFERROR(NUMBERVALUE(CriteriTecnici!$M1150,",","."),0))),4)&amp;""),",",".")&amp;", "&amp;CHAR(34)&amp;"rawScore"&amp;CHAR(34)&amp;": "&amp;SUBSTITUTE(TRIM(ROUND(IFERROR(CriteriTecnici!$O1150*1,IFERROR(NUMBERVALUE(CriteriTecnici!$O1150,".",","),IFERROR(NUMBERVALUE(CriteriTecnici!$O1150,",","."),0))),4)&amp;""),",",".")&amp;CHAR(125)&amp;IF(TRUE,",",""))</f>
        <v/>
      </c>
    </row>
    <row r="1252">
      <c r="A1252" s="82">
        <f>IF(CriteriTecnici!$A1151="","","    "&amp;CHAR(123)&amp;CHAR(34)&amp;"bidderId"&amp;CHAR(34)&amp;": "&amp;CHAR(34)&amp;SUBSTITUTE(CriteriTecnici!$A1151,CHAR(34),"'")&amp;CHAR(34)&amp;", "&amp;CHAR(34)&amp;"lotId"&amp;CHAR(34)&amp;": "&amp;CHAR(34)&amp;SUBSTITUTE(CriteriTecnici!$C1151,CHAR(34),"'")&amp;CHAR(34)&amp;", "&amp;CHAR(34)&amp;"criterionId"&amp;CHAR(34)&amp;": "&amp;CHAR(34)&amp;SUBSTITUTE(CriteriTecnici!$D1151,CHAR(34),"'")&amp;CHAR(34)&amp;", "&amp;CHAR(34)&amp;"kind"&amp;CHAR(34)&amp;": "&amp;CHAR(34)&amp;SUBSTITUTE(CriteriTecnici!$F1151,CHAR(34),"'")&amp;CHAR(34)&amp;", "&amp;CHAR(34)&amp;"value"&amp;CHAR(34)&amp;": "&amp;SUBSTITUTE(TRIM(ROUND(IFERROR(CriteriTecnici!$N1151*1,IFERROR(NUMBERVALUE(CriteriTecnici!$N1151,".",","),IFERROR(NUMBERVALUE(CriteriTecnici!$N1151,",","."),0))),4)&amp;""),",",".")&amp;", "&amp;CHAR(34)&amp;"numerator"&amp;CHAR(34)&amp;": "&amp;SUBSTITUTE(TRIM(ROUND(IFERROR(CriteriTecnici!$K1151*1,IFERROR(NUMBERVALUE(CriteriTecnici!$K1151,".",","),IFERROR(NUMBERVALUE(CriteriTecnici!$K1151,",","."),0))),4)&amp;""),",",".")&amp;", "&amp;CHAR(34)&amp;"denominator"&amp;CHAR(34)&amp;": "&amp;SUBSTITUTE(TRIM(ROUND(IFERROR(CriteriTecnici!$L1151*1,IFERROR(NUMBERVALUE(CriteriTecnici!$L1151,".",","),IFERROR(NUMBERVALUE(CriteriTecnici!$L1151,",","."),0))),4)&amp;""),",",".")&amp;", "&amp;CHAR(34)&amp;"flag"&amp;CHAR(34)&amp;": "&amp;SUBSTITUTE(TRIM(ROUND(IFERROR(CriteriTecnici!$M1151*1,IFERROR(NUMBERVALUE(CriteriTecnici!$M1151,".",","),IFERROR(NUMBERVALUE(CriteriTecnici!$M1151,",","."),0))),4)&amp;""),",",".")&amp;", "&amp;CHAR(34)&amp;"rawScore"&amp;CHAR(34)&amp;": "&amp;SUBSTITUTE(TRIM(ROUND(IFERROR(CriteriTecnici!$O1151*1,IFERROR(NUMBERVALUE(CriteriTecnici!$O1151,".",","),IFERROR(NUMBERVALUE(CriteriTecnici!$O1151,",","."),0))),4)&amp;""),",",".")&amp;CHAR(125)&amp;IF(COUNTA(Offerte!$A39:$A$81)&gt;0,",",""))</f>
        <v/>
      </c>
    </row>
    <row r="1253">
      <c r="A1253" s="82">
        <f>IF(CriteriTecnici!$A1152="","","    "&amp;CHAR(123)&amp;CHAR(34)&amp;"bidderId"&amp;CHAR(34)&amp;": "&amp;CHAR(34)&amp;SUBSTITUTE(CriteriTecnici!$A1152,CHAR(34),"'")&amp;CHAR(34)&amp;", "&amp;CHAR(34)&amp;"lotId"&amp;CHAR(34)&amp;": "&amp;CHAR(34)&amp;SUBSTITUTE(CriteriTecnici!$C1152,CHAR(34),"'")&amp;CHAR(34)&amp;", "&amp;CHAR(34)&amp;"criterionId"&amp;CHAR(34)&amp;": "&amp;CHAR(34)&amp;SUBSTITUTE(CriteriTecnici!$D1152,CHAR(34),"'")&amp;CHAR(34)&amp;", "&amp;CHAR(34)&amp;"kind"&amp;CHAR(34)&amp;": "&amp;CHAR(34)&amp;SUBSTITUTE(CriteriTecnici!$F1152,CHAR(34),"'")&amp;CHAR(34)&amp;", "&amp;CHAR(34)&amp;"value"&amp;CHAR(34)&amp;": "&amp;SUBSTITUTE(TRIM(ROUND(IFERROR(CriteriTecnici!$N1152*1,IFERROR(NUMBERVALUE(CriteriTecnici!$N1152,".",","),IFERROR(NUMBERVALUE(CriteriTecnici!$N1152,",","."),0))),4)&amp;""),",",".")&amp;", "&amp;CHAR(34)&amp;"numerator"&amp;CHAR(34)&amp;": "&amp;SUBSTITUTE(TRIM(ROUND(IFERROR(CriteriTecnici!$K1152*1,IFERROR(NUMBERVALUE(CriteriTecnici!$K1152,".",","),IFERROR(NUMBERVALUE(CriteriTecnici!$K1152,",","."),0))),4)&amp;""),",",".")&amp;", "&amp;CHAR(34)&amp;"denominator"&amp;CHAR(34)&amp;": "&amp;SUBSTITUTE(TRIM(ROUND(IFERROR(CriteriTecnici!$L1152*1,IFERROR(NUMBERVALUE(CriteriTecnici!$L1152,".",","),IFERROR(NUMBERVALUE(CriteriTecnici!$L1152,",","."),0))),4)&amp;""),",",".")&amp;", "&amp;CHAR(34)&amp;"flag"&amp;CHAR(34)&amp;": "&amp;SUBSTITUTE(TRIM(ROUND(IFERROR(CriteriTecnici!$M1152*1,IFERROR(NUMBERVALUE(CriteriTecnici!$M1152,".",","),IFERROR(NUMBERVALUE(CriteriTecnici!$M1152,",","."),0))),4)&amp;""),",",".")&amp;", "&amp;CHAR(34)&amp;"rawScore"&amp;CHAR(34)&amp;": "&amp;SUBSTITUTE(TRIM(ROUND(IFERROR(CriteriTecnici!$O1152*1,IFERROR(NUMBERVALUE(CriteriTecnici!$O1152,".",","),IFERROR(NUMBERVALUE(CriteriTecnici!$O1152,",","."),0))),4)&amp;""),",",".")&amp;CHAR(125)&amp;IF(TRUE,",",""))</f>
        <v/>
      </c>
    </row>
    <row r="1254">
      <c r="A1254" s="82">
        <f>IF(CriteriTecnici!$A1153="","","    "&amp;CHAR(123)&amp;CHAR(34)&amp;"bidderId"&amp;CHAR(34)&amp;": "&amp;CHAR(34)&amp;SUBSTITUTE(CriteriTecnici!$A1153,CHAR(34),"'")&amp;CHAR(34)&amp;", "&amp;CHAR(34)&amp;"lotId"&amp;CHAR(34)&amp;": "&amp;CHAR(34)&amp;SUBSTITUTE(CriteriTecnici!$C1153,CHAR(34),"'")&amp;CHAR(34)&amp;", "&amp;CHAR(34)&amp;"criterionId"&amp;CHAR(34)&amp;": "&amp;CHAR(34)&amp;SUBSTITUTE(CriteriTecnici!$D1153,CHAR(34),"'")&amp;CHAR(34)&amp;", "&amp;CHAR(34)&amp;"kind"&amp;CHAR(34)&amp;": "&amp;CHAR(34)&amp;SUBSTITUTE(CriteriTecnici!$F1153,CHAR(34),"'")&amp;CHAR(34)&amp;", "&amp;CHAR(34)&amp;"value"&amp;CHAR(34)&amp;": "&amp;SUBSTITUTE(TRIM(ROUND(IFERROR(CriteriTecnici!$N1153*1,IFERROR(NUMBERVALUE(CriteriTecnici!$N1153,".",","),IFERROR(NUMBERVALUE(CriteriTecnici!$N1153,",","."),0))),4)&amp;""),",",".")&amp;", "&amp;CHAR(34)&amp;"numerator"&amp;CHAR(34)&amp;": "&amp;SUBSTITUTE(TRIM(ROUND(IFERROR(CriteriTecnici!$K1153*1,IFERROR(NUMBERVALUE(CriteriTecnici!$K1153,".",","),IFERROR(NUMBERVALUE(CriteriTecnici!$K1153,",","."),0))),4)&amp;""),",",".")&amp;", "&amp;CHAR(34)&amp;"denominator"&amp;CHAR(34)&amp;": "&amp;SUBSTITUTE(TRIM(ROUND(IFERROR(CriteriTecnici!$L1153*1,IFERROR(NUMBERVALUE(CriteriTecnici!$L1153,".",","),IFERROR(NUMBERVALUE(CriteriTecnici!$L1153,",","."),0))),4)&amp;""),",",".")&amp;", "&amp;CHAR(34)&amp;"flag"&amp;CHAR(34)&amp;": "&amp;SUBSTITUTE(TRIM(ROUND(IFERROR(CriteriTecnici!$M1153*1,IFERROR(NUMBERVALUE(CriteriTecnici!$M1153,".",","),IFERROR(NUMBERVALUE(CriteriTecnici!$M1153,",","."),0))),4)&amp;""),",",".")&amp;", "&amp;CHAR(34)&amp;"rawScore"&amp;CHAR(34)&amp;": "&amp;SUBSTITUTE(TRIM(ROUND(IFERROR(CriteriTecnici!$O1153*1,IFERROR(NUMBERVALUE(CriteriTecnici!$O1153,".",","),IFERROR(NUMBERVALUE(CriteriTecnici!$O1153,",","."),0))),4)&amp;""),",",".")&amp;CHAR(125)&amp;IF(TRUE,",",""))</f>
        <v/>
      </c>
    </row>
    <row r="1255">
      <c r="A1255" s="82">
        <f>IF(CriteriTecnici!$A1154="","","    "&amp;CHAR(123)&amp;CHAR(34)&amp;"bidderId"&amp;CHAR(34)&amp;": "&amp;CHAR(34)&amp;SUBSTITUTE(CriteriTecnici!$A1154,CHAR(34),"'")&amp;CHAR(34)&amp;", "&amp;CHAR(34)&amp;"lotId"&amp;CHAR(34)&amp;": "&amp;CHAR(34)&amp;SUBSTITUTE(CriteriTecnici!$C1154,CHAR(34),"'")&amp;CHAR(34)&amp;", "&amp;CHAR(34)&amp;"criterionId"&amp;CHAR(34)&amp;": "&amp;CHAR(34)&amp;SUBSTITUTE(CriteriTecnici!$D1154,CHAR(34),"'")&amp;CHAR(34)&amp;", "&amp;CHAR(34)&amp;"kind"&amp;CHAR(34)&amp;": "&amp;CHAR(34)&amp;SUBSTITUTE(CriteriTecnici!$F1154,CHAR(34),"'")&amp;CHAR(34)&amp;", "&amp;CHAR(34)&amp;"value"&amp;CHAR(34)&amp;": "&amp;SUBSTITUTE(TRIM(ROUND(IFERROR(CriteriTecnici!$N1154*1,IFERROR(NUMBERVALUE(CriteriTecnici!$N1154,".",","),IFERROR(NUMBERVALUE(CriteriTecnici!$N1154,",","."),0))),4)&amp;""),",",".")&amp;", "&amp;CHAR(34)&amp;"numerator"&amp;CHAR(34)&amp;": "&amp;SUBSTITUTE(TRIM(ROUND(IFERROR(CriteriTecnici!$K1154*1,IFERROR(NUMBERVALUE(CriteriTecnici!$K1154,".",","),IFERROR(NUMBERVALUE(CriteriTecnici!$K1154,",","."),0))),4)&amp;""),",",".")&amp;", "&amp;CHAR(34)&amp;"denominator"&amp;CHAR(34)&amp;": "&amp;SUBSTITUTE(TRIM(ROUND(IFERROR(CriteriTecnici!$L1154*1,IFERROR(NUMBERVALUE(CriteriTecnici!$L1154,".",","),IFERROR(NUMBERVALUE(CriteriTecnici!$L1154,",","."),0))),4)&amp;""),",",".")&amp;", "&amp;CHAR(34)&amp;"flag"&amp;CHAR(34)&amp;": "&amp;SUBSTITUTE(TRIM(ROUND(IFERROR(CriteriTecnici!$M1154*1,IFERROR(NUMBERVALUE(CriteriTecnici!$M1154,".",","),IFERROR(NUMBERVALUE(CriteriTecnici!$M1154,",","."),0))),4)&amp;""),",",".")&amp;", "&amp;CHAR(34)&amp;"rawScore"&amp;CHAR(34)&amp;": "&amp;SUBSTITUTE(TRIM(ROUND(IFERROR(CriteriTecnici!$O1154*1,IFERROR(NUMBERVALUE(CriteriTecnici!$O1154,".",","),IFERROR(NUMBERVALUE(CriteriTecnici!$O1154,",","."),0))),4)&amp;""),",",".")&amp;CHAR(125)&amp;IF(TRUE,",",""))</f>
        <v/>
      </c>
    </row>
    <row r="1256">
      <c r="A1256" s="82">
        <f>IF(CriteriTecnici!$A1155="","","    "&amp;CHAR(123)&amp;CHAR(34)&amp;"bidderId"&amp;CHAR(34)&amp;": "&amp;CHAR(34)&amp;SUBSTITUTE(CriteriTecnici!$A1155,CHAR(34),"'")&amp;CHAR(34)&amp;", "&amp;CHAR(34)&amp;"lotId"&amp;CHAR(34)&amp;": "&amp;CHAR(34)&amp;SUBSTITUTE(CriteriTecnici!$C1155,CHAR(34),"'")&amp;CHAR(34)&amp;", "&amp;CHAR(34)&amp;"criterionId"&amp;CHAR(34)&amp;": "&amp;CHAR(34)&amp;SUBSTITUTE(CriteriTecnici!$D1155,CHAR(34),"'")&amp;CHAR(34)&amp;", "&amp;CHAR(34)&amp;"kind"&amp;CHAR(34)&amp;": "&amp;CHAR(34)&amp;SUBSTITUTE(CriteriTecnici!$F1155,CHAR(34),"'")&amp;CHAR(34)&amp;", "&amp;CHAR(34)&amp;"value"&amp;CHAR(34)&amp;": "&amp;SUBSTITUTE(TRIM(ROUND(IFERROR(CriteriTecnici!$N1155*1,IFERROR(NUMBERVALUE(CriteriTecnici!$N1155,".",","),IFERROR(NUMBERVALUE(CriteriTecnici!$N1155,",","."),0))),4)&amp;""),",",".")&amp;", "&amp;CHAR(34)&amp;"numerator"&amp;CHAR(34)&amp;": "&amp;SUBSTITUTE(TRIM(ROUND(IFERROR(CriteriTecnici!$K1155*1,IFERROR(NUMBERVALUE(CriteriTecnici!$K1155,".",","),IFERROR(NUMBERVALUE(CriteriTecnici!$K1155,",","."),0))),4)&amp;""),",",".")&amp;", "&amp;CHAR(34)&amp;"denominator"&amp;CHAR(34)&amp;": "&amp;SUBSTITUTE(TRIM(ROUND(IFERROR(CriteriTecnici!$L1155*1,IFERROR(NUMBERVALUE(CriteriTecnici!$L1155,".",","),IFERROR(NUMBERVALUE(CriteriTecnici!$L1155,",","."),0))),4)&amp;""),",",".")&amp;", "&amp;CHAR(34)&amp;"flag"&amp;CHAR(34)&amp;": "&amp;SUBSTITUTE(TRIM(ROUND(IFERROR(CriteriTecnici!$M1155*1,IFERROR(NUMBERVALUE(CriteriTecnici!$M1155,".",","),IFERROR(NUMBERVALUE(CriteriTecnici!$M1155,",","."),0))),4)&amp;""),",",".")&amp;", "&amp;CHAR(34)&amp;"rawScore"&amp;CHAR(34)&amp;": "&amp;SUBSTITUTE(TRIM(ROUND(IFERROR(CriteriTecnici!$O1155*1,IFERROR(NUMBERVALUE(CriteriTecnici!$O1155,".",","),IFERROR(NUMBERVALUE(CriteriTecnici!$O1155,",","."),0))),4)&amp;""),",",".")&amp;CHAR(125)&amp;IF(TRUE,",",""))</f>
        <v/>
      </c>
    </row>
    <row r="1257">
      <c r="A1257" s="82">
        <f>IF(CriteriTecnici!$A1156="","","    "&amp;CHAR(123)&amp;CHAR(34)&amp;"bidderId"&amp;CHAR(34)&amp;": "&amp;CHAR(34)&amp;SUBSTITUTE(CriteriTecnici!$A1156,CHAR(34),"'")&amp;CHAR(34)&amp;", "&amp;CHAR(34)&amp;"lotId"&amp;CHAR(34)&amp;": "&amp;CHAR(34)&amp;SUBSTITUTE(CriteriTecnici!$C1156,CHAR(34),"'")&amp;CHAR(34)&amp;", "&amp;CHAR(34)&amp;"criterionId"&amp;CHAR(34)&amp;": "&amp;CHAR(34)&amp;SUBSTITUTE(CriteriTecnici!$D1156,CHAR(34),"'")&amp;CHAR(34)&amp;", "&amp;CHAR(34)&amp;"kind"&amp;CHAR(34)&amp;": "&amp;CHAR(34)&amp;SUBSTITUTE(CriteriTecnici!$F1156,CHAR(34),"'")&amp;CHAR(34)&amp;", "&amp;CHAR(34)&amp;"value"&amp;CHAR(34)&amp;": "&amp;SUBSTITUTE(TRIM(ROUND(IFERROR(CriteriTecnici!$N1156*1,IFERROR(NUMBERVALUE(CriteriTecnici!$N1156,".",","),IFERROR(NUMBERVALUE(CriteriTecnici!$N1156,",","."),0))),4)&amp;""),",",".")&amp;", "&amp;CHAR(34)&amp;"numerator"&amp;CHAR(34)&amp;": "&amp;SUBSTITUTE(TRIM(ROUND(IFERROR(CriteriTecnici!$K1156*1,IFERROR(NUMBERVALUE(CriteriTecnici!$K1156,".",","),IFERROR(NUMBERVALUE(CriteriTecnici!$K1156,",","."),0))),4)&amp;""),",",".")&amp;", "&amp;CHAR(34)&amp;"denominator"&amp;CHAR(34)&amp;": "&amp;SUBSTITUTE(TRIM(ROUND(IFERROR(CriteriTecnici!$L1156*1,IFERROR(NUMBERVALUE(CriteriTecnici!$L1156,".",","),IFERROR(NUMBERVALUE(CriteriTecnici!$L1156,",","."),0))),4)&amp;""),",",".")&amp;", "&amp;CHAR(34)&amp;"flag"&amp;CHAR(34)&amp;": "&amp;SUBSTITUTE(TRIM(ROUND(IFERROR(CriteriTecnici!$M1156*1,IFERROR(NUMBERVALUE(CriteriTecnici!$M1156,".",","),IFERROR(NUMBERVALUE(CriteriTecnici!$M1156,",","."),0))),4)&amp;""),",",".")&amp;", "&amp;CHAR(34)&amp;"rawScore"&amp;CHAR(34)&amp;": "&amp;SUBSTITUTE(TRIM(ROUND(IFERROR(CriteriTecnici!$O1156*1,IFERROR(NUMBERVALUE(CriteriTecnici!$O1156,".",","),IFERROR(NUMBERVALUE(CriteriTecnici!$O1156,",","."),0))),4)&amp;""),",",".")&amp;CHAR(125)&amp;IF(TRUE,",",""))</f>
        <v/>
      </c>
    </row>
    <row r="1258">
      <c r="A1258" s="82">
        <f>IF(CriteriTecnici!$A1157="","","    "&amp;CHAR(123)&amp;CHAR(34)&amp;"bidderId"&amp;CHAR(34)&amp;": "&amp;CHAR(34)&amp;SUBSTITUTE(CriteriTecnici!$A1157,CHAR(34),"'")&amp;CHAR(34)&amp;", "&amp;CHAR(34)&amp;"lotId"&amp;CHAR(34)&amp;": "&amp;CHAR(34)&amp;SUBSTITUTE(CriteriTecnici!$C1157,CHAR(34),"'")&amp;CHAR(34)&amp;", "&amp;CHAR(34)&amp;"criterionId"&amp;CHAR(34)&amp;": "&amp;CHAR(34)&amp;SUBSTITUTE(CriteriTecnici!$D1157,CHAR(34),"'")&amp;CHAR(34)&amp;", "&amp;CHAR(34)&amp;"kind"&amp;CHAR(34)&amp;": "&amp;CHAR(34)&amp;SUBSTITUTE(CriteriTecnici!$F1157,CHAR(34),"'")&amp;CHAR(34)&amp;", "&amp;CHAR(34)&amp;"value"&amp;CHAR(34)&amp;": "&amp;SUBSTITUTE(TRIM(ROUND(IFERROR(CriteriTecnici!$N1157*1,IFERROR(NUMBERVALUE(CriteriTecnici!$N1157,".",","),IFERROR(NUMBERVALUE(CriteriTecnici!$N1157,",","."),0))),4)&amp;""),",",".")&amp;", "&amp;CHAR(34)&amp;"numerator"&amp;CHAR(34)&amp;": "&amp;SUBSTITUTE(TRIM(ROUND(IFERROR(CriteriTecnici!$K1157*1,IFERROR(NUMBERVALUE(CriteriTecnici!$K1157,".",","),IFERROR(NUMBERVALUE(CriteriTecnici!$K1157,",","."),0))),4)&amp;""),",",".")&amp;", "&amp;CHAR(34)&amp;"denominator"&amp;CHAR(34)&amp;": "&amp;SUBSTITUTE(TRIM(ROUND(IFERROR(CriteriTecnici!$L1157*1,IFERROR(NUMBERVALUE(CriteriTecnici!$L1157,".",","),IFERROR(NUMBERVALUE(CriteriTecnici!$L1157,",","."),0))),4)&amp;""),",",".")&amp;", "&amp;CHAR(34)&amp;"flag"&amp;CHAR(34)&amp;": "&amp;SUBSTITUTE(TRIM(ROUND(IFERROR(CriteriTecnici!$M1157*1,IFERROR(NUMBERVALUE(CriteriTecnici!$M1157,".",","),IFERROR(NUMBERVALUE(CriteriTecnici!$M1157,",","."),0))),4)&amp;""),",",".")&amp;", "&amp;CHAR(34)&amp;"rawScore"&amp;CHAR(34)&amp;": "&amp;SUBSTITUTE(TRIM(ROUND(IFERROR(CriteriTecnici!$O1157*1,IFERROR(NUMBERVALUE(CriteriTecnici!$O1157,".",","),IFERROR(NUMBERVALUE(CriteriTecnici!$O1157,",","."),0))),4)&amp;""),",",".")&amp;CHAR(125)&amp;IF(TRUE,",",""))</f>
        <v/>
      </c>
    </row>
    <row r="1259">
      <c r="A1259" s="82">
        <f>IF(CriteriTecnici!$A1158="","","    "&amp;CHAR(123)&amp;CHAR(34)&amp;"bidderId"&amp;CHAR(34)&amp;": "&amp;CHAR(34)&amp;SUBSTITUTE(CriteriTecnici!$A1158,CHAR(34),"'")&amp;CHAR(34)&amp;", "&amp;CHAR(34)&amp;"lotId"&amp;CHAR(34)&amp;": "&amp;CHAR(34)&amp;SUBSTITUTE(CriteriTecnici!$C1158,CHAR(34),"'")&amp;CHAR(34)&amp;", "&amp;CHAR(34)&amp;"criterionId"&amp;CHAR(34)&amp;": "&amp;CHAR(34)&amp;SUBSTITUTE(CriteriTecnici!$D1158,CHAR(34),"'")&amp;CHAR(34)&amp;", "&amp;CHAR(34)&amp;"kind"&amp;CHAR(34)&amp;": "&amp;CHAR(34)&amp;SUBSTITUTE(CriteriTecnici!$F1158,CHAR(34),"'")&amp;CHAR(34)&amp;", "&amp;CHAR(34)&amp;"value"&amp;CHAR(34)&amp;": "&amp;SUBSTITUTE(TRIM(ROUND(IFERROR(CriteriTecnici!$N1158*1,IFERROR(NUMBERVALUE(CriteriTecnici!$N1158,".",","),IFERROR(NUMBERVALUE(CriteriTecnici!$N1158,",","."),0))),4)&amp;""),",",".")&amp;", "&amp;CHAR(34)&amp;"numerator"&amp;CHAR(34)&amp;": "&amp;SUBSTITUTE(TRIM(ROUND(IFERROR(CriteriTecnici!$K1158*1,IFERROR(NUMBERVALUE(CriteriTecnici!$K1158,".",","),IFERROR(NUMBERVALUE(CriteriTecnici!$K1158,",","."),0))),4)&amp;""),",",".")&amp;", "&amp;CHAR(34)&amp;"denominator"&amp;CHAR(34)&amp;": "&amp;SUBSTITUTE(TRIM(ROUND(IFERROR(CriteriTecnici!$L1158*1,IFERROR(NUMBERVALUE(CriteriTecnici!$L1158,".",","),IFERROR(NUMBERVALUE(CriteriTecnici!$L1158,",","."),0))),4)&amp;""),",",".")&amp;", "&amp;CHAR(34)&amp;"flag"&amp;CHAR(34)&amp;": "&amp;SUBSTITUTE(TRIM(ROUND(IFERROR(CriteriTecnici!$M1158*1,IFERROR(NUMBERVALUE(CriteriTecnici!$M1158,".",","),IFERROR(NUMBERVALUE(CriteriTecnici!$M1158,",","."),0))),4)&amp;""),",",".")&amp;", "&amp;CHAR(34)&amp;"rawScore"&amp;CHAR(34)&amp;": "&amp;SUBSTITUTE(TRIM(ROUND(IFERROR(CriteriTecnici!$O1158*1,IFERROR(NUMBERVALUE(CriteriTecnici!$O1158,".",","),IFERROR(NUMBERVALUE(CriteriTecnici!$O1158,",","."),0))),4)&amp;""),",",".")&amp;CHAR(125)&amp;IF(TRUE,",",""))</f>
        <v/>
      </c>
    </row>
    <row r="1260">
      <c r="A1260" s="82">
        <f>IF(CriteriTecnici!$A1159="","","    "&amp;CHAR(123)&amp;CHAR(34)&amp;"bidderId"&amp;CHAR(34)&amp;": "&amp;CHAR(34)&amp;SUBSTITUTE(CriteriTecnici!$A1159,CHAR(34),"'")&amp;CHAR(34)&amp;", "&amp;CHAR(34)&amp;"lotId"&amp;CHAR(34)&amp;": "&amp;CHAR(34)&amp;SUBSTITUTE(CriteriTecnici!$C1159,CHAR(34),"'")&amp;CHAR(34)&amp;", "&amp;CHAR(34)&amp;"criterionId"&amp;CHAR(34)&amp;": "&amp;CHAR(34)&amp;SUBSTITUTE(CriteriTecnici!$D1159,CHAR(34),"'")&amp;CHAR(34)&amp;", "&amp;CHAR(34)&amp;"kind"&amp;CHAR(34)&amp;": "&amp;CHAR(34)&amp;SUBSTITUTE(CriteriTecnici!$F1159,CHAR(34),"'")&amp;CHAR(34)&amp;", "&amp;CHAR(34)&amp;"value"&amp;CHAR(34)&amp;": "&amp;SUBSTITUTE(TRIM(ROUND(IFERROR(CriteriTecnici!$N1159*1,IFERROR(NUMBERVALUE(CriteriTecnici!$N1159,".",","),IFERROR(NUMBERVALUE(CriteriTecnici!$N1159,",","."),0))),4)&amp;""),",",".")&amp;", "&amp;CHAR(34)&amp;"numerator"&amp;CHAR(34)&amp;": "&amp;SUBSTITUTE(TRIM(ROUND(IFERROR(CriteriTecnici!$K1159*1,IFERROR(NUMBERVALUE(CriteriTecnici!$K1159,".",","),IFERROR(NUMBERVALUE(CriteriTecnici!$K1159,",","."),0))),4)&amp;""),",",".")&amp;", "&amp;CHAR(34)&amp;"denominator"&amp;CHAR(34)&amp;": "&amp;SUBSTITUTE(TRIM(ROUND(IFERROR(CriteriTecnici!$L1159*1,IFERROR(NUMBERVALUE(CriteriTecnici!$L1159,".",","),IFERROR(NUMBERVALUE(CriteriTecnici!$L1159,",","."),0))),4)&amp;""),",",".")&amp;", "&amp;CHAR(34)&amp;"flag"&amp;CHAR(34)&amp;": "&amp;SUBSTITUTE(TRIM(ROUND(IFERROR(CriteriTecnici!$M1159*1,IFERROR(NUMBERVALUE(CriteriTecnici!$M1159,".",","),IFERROR(NUMBERVALUE(CriteriTecnici!$M1159,",","."),0))),4)&amp;""),",",".")&amp;", "&amp;CHAR(34)&amp;"rawScore"&amp;CHAR(34)&amp;": "&amp;SUBSTITUTE(TRIM(ROUND(IFERROR(CriteriTecnici!$O1159*1,IFERROR(NUMBERVALUE(CriteriTecnici!$O1159,".",","),IFERROR(NUMBERVALUE(CriteriTecnici!$O1159,",","."),0))),4)&amp;""),",",".")&amp;CHAR(125)&amp;IF(TRUE,",",""))</f>
        <v/>
      </c>
    </row>
    <row r="1261">
      <c r="A1261" s="82">
        <f>IF(CriteriTecnici!$A1160="","","    "&amp;CHAR(123)&amp;CHAR(34)&amp;"bidderId"&amp;CHAR(34)&amp;": "&amp;CHAR(34)&amp;SUBSTITUTE(CriteriTecnici!$A1160,CHAR(34),"'")&amp;CHAR(34)&amp;", "&amp;CHAR(34)&amp;"lotId"&amp;CHAR(34)&amp;": "&amp;CHAR(34)&amp;SUBSTITUTE(CriteriTecnici!$C1160,CHAR(34),"'")&amp;CHAR(34)&amp;", "&amp;CHAR(34)&amp;"criterionId"&amp;CHAR(34)&amp;": "&amp;CHAR(34)&amp;SUBSTITUTE(CriteriTecnici!$D1160,CHAR(34),"'")&amp;CHAR(34)&amp;", "&amp;CHAR(34)&amp;"kind"&amp;CHAR(34)&amp;": "&amp;CHAR(34)&amp;SUBSTITUTE(CriteriTecnici!$F1160,CHAR(34),"'")&amp;CHAR(34)&amp;", "&amp;CHAR(34)&amp;"value"&amp;CHAR(34)&amp;": "&amp;SUBSTITUTE(TRIM(ROUND(IFERROR(CriteriTecnici!$N1160*1,IFERROR(NUMBERVALUE(CriteriTecnici!$N1160,".",","),IFERROR(NUMBERVALUE(CriteriTecnici!$N1160,",","."),0))),4)&amp;""),",",".")&amp;", "&amp;CHAR(34)&amp;"numerator"&amp;CHAR(34)&amp;": "&amp;SUBSTITUTE(TRIM(ROUND(IFERROR(CriteriTecnici!$K1160*1,IFERROR(NUMBERVALUE(CriteriTecnici!$K1160,".",","),IFERROR(NUMBERVALUE(CriteriTecnici!$K1160,",","."),0))),4)&amp;""),",",".")&amp;", "&amp;CHAR(34)&amp;"denominator"&amp;CHAR(34)&amp;": "&amp;SUBSTITUTE(TRIM(ROUND(IFERROR(CriteriTecnici!$L1160*1,IFERROR(NUMBERVALUE(CriteriTecnici!$L1160,".",","),IFERROR(NUMBERVALUE(CriteriTecnici!$L1160,",","."),0))),4)&amp;""),",",".")&amp;", "&amp;CHAR(34)&amp;"flag"&amp;CHAR(34)&amp;": "&amp;SUBSTITUTE(TRIM(ROUND(IFERROR(CriteriTecnici!$M1160*1,IFERROR(NUMBERVALUE(CriteriTecnici!$M1160,".",","),IFERROR(NUMBERVALUE(CriteriTecnici!$M1160,",","."),0))),4)&amp;""),",",".")&amp;", "&amp;CHAR(34)&amp;"rawScore"&amp;CHAR(34)&amp;": "&amp;SUBSTITUTE(TRIM(ROUND(IFERROR(CriteriTecnici!$O1160*1,IFERROR(NUMBERVALUE(CriteriTecnici!$O1160,".",","),IFERROR(NUMBERVALUE(CriteriTecnici!$O1160,",","."),0))),4)&amp;""),",",".")&amp;CHAR(125)&amp;IF(TRUE,",",""))</f>
        <v/>
      </c>
    </row>
    <row r="1262">
      <c r="A1262" s="82">
        <f>IF(CriteriTecnici!$A1161="","","    "&amp;CHAR(123)&amp;CHAR(34)&amp;"bidderId"&amp;CHAR(34)&amp;": "&amp;CHAR(34)&amp;SUBSTITUTE(CriteriTecnici!$A1161,CHAR(34),"'")&amp;CHAR(34)&amp;", "&amp;CHAR(34)&amp;"lotId"&amp;CHAR(34)&amp;": "&amp;CHAR(34)&amp;SUBSTITUTE(CriteriTecnici!$C1161,CHAR(34),"'")&amp;CHAR(34)&amp;", "&amp;CHAR(34)&amp;"criterionId"&amp;CHAR(34)&amp;": "&amp;CHAR(34)&amp;SUBSTITUTE(CriteriTecnici!$D1161,CHAR(34),"'")&amp;CHAR(34)&amp;", "&amp;CHAR(34)&amp;"kind"&amp;CHAR(34)&amp;": "&amp;CHAR(34)&amp;SUBSTITUTE(CriteriTecnici!$F1161,CHAR(34),"'")&amp;CHAR(34)&amp;", "&amp;CHAR(34)&amp;"value"&amp;CHAR(34)&amp;": "&amp;SUBSTITUTE(TRIM(ROUND(IFERROR(CriteriTecnici!$N1161*1,IFERROR(NUMBERVALUE(CriteriTecnici!$N1161,".",","),IFERROR(NUMBERVALUE(CriteriTecnici!$N1161,",","."),0))),4)&amp;""),",",".")&amp;", "&amp;CHAR(34)&amp;"numerator"&amp;CHAR(34)&amp;": "&amp;SUBSTITUTE(TRIM(ROUND(IFERROR(CriteriTecnici!$K1161*1,IFERROR(NUMBERVALUE(CriteriTecnici!$K1161,".",","),IFERROR(NUMBERVALUE(CriteriTecnici!$K1161,",","."),0))),4)&amp;""),",",".")&amp;", "&amp;CHAR(34)&amp;"denominator"&amp;CHAR(34)&amp;": "&amp;SUBSTITUTE(TRIM(ROUND(IFERROR(CriteriTecnici!$L1161*1,IFERROR(NUMBERVALUE(CriteriTecnici!$L1161,".",","),IFERROR(NUMBERVALUE(CriteriTecnici!$L1161,",","."),0))),4)&amp;""),",",".")&amp;", "&amp;CHAR(34)&amp;"flag"&amp;CHAR(34)&amp;": "&amp;SUBSTITUTE(TRIM(ROUND(IFERROR(CriteriTecnici!$M1161*1,IFERROR(NUMBERVALUE(CriteriTecnici!$M1161,".",","),IFERROR(NUMBERVALUE(CriteriTecnici!$M1161,",","."),0))),4)&amp;""),",",".")&amp;", "&amp;CHAR(34)&amp;"rawScore"&amp;CHAR(34)&amp;": "&amp;SUBSTITUTE(TRIM(ROUND(IFERROR(CriteriTecnici!$O1161*1,IFERROR(NUMBERVALUE(CriteriTecnici!$O1161,".",","),IFERROR(NUMBERVALUE(CriteriTecnici!$O1161,",","."),0))),4)&amp;""),",",".")&amp;CHAR(125)&amp;IF(TRUE,",",""))</f>
        <v/>
      </c>
    </row>
    <row r="1263">
      <c r="A1263" s="82">
        <f>IF(CriteriTecnici!$A1162="","","    "&amp;CHAR(123)&amp;CHAR(34)&amp;"bidderId"&amp;CHAR(34)&amp;": "&amp;CHAR(34)&amp;SUBSTITUTE(CriteriTecnici!$A1162,CHAR(34),"'")&amp;CHAR(34)&amp;", "&amp;CHAR(34)&amp;"lotId"&amp;CHAR(34)&amp;": "&amp;CHAR(34)&amp;SUBSTITUTE(CriteriTecnici!$C1162,CHAR(34),"'")&amp;CHAR(34)&amp;", "&amp;CHAR(34)&amp;"criterionId"&amp;CHAR(34)&amp;": "&amp;CHAR(34)&amp;SUBSTITUTE(CriteriTecnici!$D1162,CHAR(34),"'")&amp;CHAR(34)&amp;", "&amp;CHAR(34)&amp;"kind"&amp;CHAR(34)&amp;": "&amp;CHAR(34)&amp;SUBSTITUTE(CriteriTecnici!$F1162,CHAR(34),"'")&amp;CHAR(34)&amp;", "&amp;CHAR(34)&amp;"value"&amp;CHAR(34)&amp;": "&amp;SUBSTITUTE(TRIM(ROUND(IFERROR(CriteriTecnici!$N1162*1,IFERROR(NUMBERVALUE(CriteriTecnici!$N1162,".",","),IFERROR(NUMBERVALUE(CriteriTecnici!$N1162,",","."),0))),4)&amp;""),",",".")&amp;", "&amp;CHAR(34)&amp;"numerator"&amp;CHAR(34)&amp;": "&amp;SUBSTITUTE(TRIM(ROUND(IFERROR(CriteriTecnici!$K1162*1,IFERROR(NUMBERVALUE(CriteriTecnici!$K1162,".",","),IFERROR(NUMBERVALUE(CriteriTecnici!$K1162,",","."),0))),4)&amp;""),",",".")&amp;", "&amp;CHAR(34)&amp;"denominator"&amp;CHAR(34)&amp;": "&amp;SUBSTITUTE(TRIM(ROUND(IFERROR(CriteriTecnici!$L1162*1,IFERROR(NUMBERVALUE(CriteriTecnici!$L1162,".",","),IFERROR(NUMBERVALUE(CriteriTecnici!$L1162,",","."),0))),4)&amp;""),",",".")&amp;", "&amp;CHAR(34)&amp;"flag"&amp;CHAR(34)&amp;": "&amp;SUBSTITUTE(TRIM(ROUND(IFERROR(CriteriTecnici!$M1162*1,IFERROR(NUMBERVALUE(CriteriTecnici!$M1162,".",","),IFERROR(NUMBERVALUE(CriteriTecnici!$M1162,",","."),0))),4)&amp;""),",",".")&amp;", "&amp;CHAR(34)&amp;"rawScore"&amp;CHAR(34)&amp;": "&amp;SUBSTITUTE(TRIM(ROUND(IFERROR(CriteriTecnici!$O1162*1,IFERROR(NUMBERVALUE(CriteriTecnici!$O1162,".",","),IFERROR(NUMBERVALUE(CriteriTecnici!$O1162,",","."),0))),4)&amp;""),",",".")&amp;CHAR(125)&amp;IF(TRUE,",",""))</f>
        <v/>
      </c>
    </row>
    <row r="1264">
      <c r="A1264" s="82">
        <f>IF(CriteriTecnici!$A1163="","","    "&amp;CHAR(123)&amp;CHAR(34)&amp;"bidderId"&amp;CHAR(34)&amp;": "&amp;CHAR(34)&amp;SUBSTITUTE(CriteriTecnici!$A1163,CHAR(34),"'")&amp;CHAR(34)&amp;", "&amp;CHAR(34)&amp;"lotId"&amp;CHAR(34)&amp;": "&amp;CHAR(34)&amp;SUBSTITUTE(CriteriTecnici!$C1163,CHAR(34),"'")&amp;CHAR(34)&amp;", "&amp;CHAR(34)&amp;"criterionId"&amp;CHAR(34)&amp;": "&amp;CHAR(34)&amp;SUBSTITUTE(CriteriTecnici!$D1163,CHAR(34),"'")&amp;CHAR(34)&amp;", "&amp;CHAR(34)&amp;"kind"&amp;CHAR(34)&amp;": "&amp;CHAR(34)&amp;SUBSTITUTE(CriteriTecnici!$F1163,CHAR(34),"'")&amp;CHAR(34)&amp;", "&amp;CHAR(34)&amp;"value"&amp;CHAR(34)&amp;": "&amp;SUBSTITUTE(TRIM(ROUND(IFERROR(CriteriTecnici!$N1163*1,IFERROR(NUMBERVALUE(CriteriTecnici!$N1163,".",","),IFERROR(NUMBERVALUE(CriteriTecnici!$N1163,",","."),0))),4)&amp;""),",",".")&amp;", "&amp;CHAR(34)&amp;"numerator"&amp;CHAR(34)&amp;": "&amp;SUBSTITUTE(TRIM(ROUND(IFERROR(CriteriTecnici!$K1163*1,IFERROR(NUMBERVALUE(CriteriTecnici!$K1163,".",","),IFERROR(NUMBERVALUE(CriteriTecnici!$K1163,",","."),0))),4)&amp;""),",",".")&amp;", "&amp;CHAR(34)&amp;"denominator"&amp;CHAR(34)&amp;": "&amp;SUBSTITUTE(TRIM(ROUND(IFERROR(CriteriTecnici!$L1163*1,IFERROR(NUMBERVALUE(CriteriTecnici!$L1163,".",","),IFERROR(NUMBERVALUE(CriteriTecnici!$L1163,",","."),0))),4)&amp;""),",",".")&amp;", "&amp;CHAR(34)&amp;"flag"&amp;CHAR(34)&amp;": "&amp;SUBSTITUTE(TRIM(ROUND(IFERROR(CriteriTecnici!$M1163*1,IFERROR(NUMBERVALUE(CriteriTecnici!$M1163,".",","),IFERROR(NUMBERVALUE(CriteriTecnici!$M1163,",","."),0))),4)&amp;""),",",".")&amp;", "&amp;CHAR(34)&amp;"rawScore"&amp;CHAR(34)&amp;": "&amp;SUBSTITUTE(TRIM(ROUND(IFERROR(CriteriTecnici!$O1163*1,IFERROR(NUMBERVALUE(CriteriTecnici!$O1163,".",","),IFERROR(NUMBERVALUE(CriteriTecnici!$O1163,",","."),0))),4)&amp;""),",",".")&amp;CHAR(125)&amp;IF(TRUE,",",""))</f>
        <v/>
      </c>
    </row>
    <row r="1265">
      <c r="A1265" s="82">
        <f>IF(CriteriTecnici!$A1164="","","    "&amp;CHAR(123)&amp;CHAR(34)&amp;"bidderId"&amp;CHAR(34)&amp;": "&amp;CHAR(34)&amp;SUBSTITUTE(CriteriTecnici!$A1164,CHAR(34),"'")&amp;CHAR(34)&amp;", "&amp;CHAR(34)&amp;"lotId"&amp;CHAR(34)&amp;": "&amp;CHAR(34)&amp;SUBSTITUTE(CriteriTecnici!$C1164,CHAR(34),"'")&amp;CHAR(34)&amp;", "&amp;CHAR(34)&amp;"criterionId"&amp;CHAR(34)&amp;": "&amp;CHAR(34)&amp;SUBSTITUTE(CriteriTecnici!$D1164,CHAR(34),"'")&amp;CHAR(34)&amp;", "&amp;CHAR(34)&amp;"kind"&amp;CHAR(34)&amp;": "&amp;CHAR(34)&amp;SUBSTITUTE(CriteriTecnici!$F1164,CHAR(34),"'")&amp;CHAR(34)&amp;", "&amp;CHAR(34)&amp;"value"&amp;CHAR(34)&amp;": "&amp;SUBSTITUTE(TRIM(ROUND(IFERROR(CriteriTecnici!$N1164*1,IFERROR(NUMBERVALUE(CriteriTecnici!$N1164,".",","),IFERROR(NUMBERVALUE(CriteriTecnici!$N1164,",","."),0))),4)&amp;""),",",".")&amp;", "&amp;CHAR(34)&amp;"numerator"&amp;CHAR(34)&amp;": "&amp;SUBSTITUTE(TRIM(ROUND(IFERROR(CriteriTecnici!$K1164*1,IFERROR(NUMBERVALUE(CriteriTecnici!$K1164,".",","),IFERROR(NUMBERVALUE(CriteriTecnici!$K1164,",","."),0))),4)&amp;""),",",".")&amp;", "&amp;CHAR(34)&amp;"denominator"&amp;CHAR(34)&amp;": "&amp;SUBSTITUTE(TRIM(ROUND(IFERROR(CriteriTecnici!$L1164*1,IFERROR(NUMBERVALUE(CriteriTecnici!$L1164,".",","),IFERROR(NUMBERVALUE(CriteriTecnici!$L1164,",","."),0))),4)&amp;""),",",".")&amp;", "&amp;CHAR(34)&amp;"flag"&amp;CHAR(34)&amp;": "&amp;SUBSTITUTE(TRIM(ROUND(IFERROR(CriteriTecnici!$M1164*1,IFERROR(NUMBERVALUE(CriteriTecnici!$M1164,".",","),IFERROR(NUMBERVALUE(CriteriTecnici!$M1164,",","."),0))),4)&amp;""),",",".")&amp;", "&amp;CHAR(34)&amp;"rawScore"&amp;CHAR(34)&amp;": "&amp;SUBSTITUTE(TRIM(ROUND(IFERROR(CriteriTecnici!$O1164*1,IFERROR(NUMBERVALUE(CriteriTecnici!$O1164,".",","),IFERROR(NUMBERVALUE(CriteriTecnici!$O1164,",","."),0))),4)&amp;""),",",".")&amp;CHAR(125)&amp;IF(TRUE,",",""))</f>
        <v/>
      </c>
    </row>
    <row r="1266">
      <c r="A1266" s="82">
        <f>IF(CriteriTecnici!$A1165="","","    "&amp;CHAR(123)&amp;CHAR(34)&amp;"bidderId"&amp;CHAR(34)&amp;": "&amp;CHAR(34)&amp;SUBSTITUTE(CriteriTecnici!$A1165,CHAR(34),"'")&amp;CHAR(34)&amp;", "&amp;CHAR(34)&amp;"lotId"&amp;CHAR(34)&amp;": "&amp;CHAR(34)&amp;SUBSTITUTE(CriteriTecnici!$C1165,CHAR(34),"'")&amp;CHAR(34)&amp;", "&amp;CHAR(34)&amp;"criterionId"&amp;CHAR(34)&amp;": "&amp;CHAR(34)&amp;SUBSTITUTE(CriteriTecnici!$D1165,CHAR(34),"'")&amp;CHAR(34)&amp;", "&amp;CHAR(34)&amp;"kind"&amp;CHAR(34)&amp;": "&amp;CHAR(34)&amp;SUBSTITUTE(CriteriTecnici!$F1165,CHAR(34),"'")&amp;CHAR(34)&amp;", "&amp;CHAR(34)&amp;"value"&amp;CHAR(34)&amp;": "&amp;SUBSTITUTE(TRIM(ROUND(IFERROR(CriteriTecnici!$N1165*1,IFERROR(NUMBERVALUE(CriteriTecnici!$N1165,".",","),IFERROR(NUMBERVALUE(CriteriTecnici!$N1165,",","."),0))),4)&amp;""),",",".")&amp;", "&amp;CHAR(34)&amp;"numerator"&amp;CHAR(34)&amp;": "&amp;SUBSTITUTE(TRIM(ROUND(IFERROR(CriteriTecnici!$K1165*1,IFERROR(NUMBERVALUE(CriteriTecnici!$K1165,".",","),IFERROR(NUMBERVALUE(CriteriTecnici!$K1165,",","."),0))),4)&amp;""),",",".")&amp;", "&amp;CHAR(34)&amp;"denominator"&amp;CHAR(34)&amp;": "&amp;SUBSTITUTE(TRIM(ROUND(IFERROR(CriteriTecnici!$L1165*1,IFERROR(NUMBERVALUE(CriteriTecnici!$L1165,".",","),IFERROR(NUMBERVALUE(CriteriTecnici!$L1165,",","."),0))),4)&amp;""),",",".")&amp;", "&amp;CHAR(34)&amp;"flag"&amp;CHAR(34)&amp;": "&amp;SUBSTITUTE(TRIM(ROUND(IFERROR(CriteriTecnici!$M1165*1,IFERROR(NUMBERVALUE(CriteriTecnici!$M1165,".",","),IFERROR(NUMBERVALUE(CriteriTecnici!$M1165,",","."),0))),4)&amp;""),",",".")&amp;", "&amp;CHAR(34)&amp;"rawScore"&amp;CHAR(34)&amp;": "&amp;SUBSTITUTE(TRIM(ROUND(IFERROR(CriteriTecnici!$O1165*1,IFERROR(NUMBERVALUE(CriteriTecnici!$O1165,".",","),IFERROR(NUMBERVALUE(CriteriTecnici!$O1165,",","."),0))),4)&amp;""),",",".")&amp;CHAR(125)&amp;IF(TRUE,",",""))</f>
        <v/>
      </c>
    </row>
    <row r="1267">
      <c r="A1267" s="82">
        <f>IF(CriteriTecnici!$A1166="","","    "&amp;CHAR(123)&amp;CHAR(34)&amp;"bidderId"&amp;CHAR(34)&amp;": "&amp;CHAR(34)&amp;SUBSTITUTE(CriteriTecnici!$A1166,CHAR(34),"'")&amp;CHAR(34)&amp;", "&amp;CHAR(34)&amp;"lotId"&amp;CHAR(34)&amp;": "&amp;CHAR(34)&amp;SUBSTITUTE(CriteriTecnici!$C1166,CHAR(34),"'")&amp;CHAR(34)&amp;", "&amp;CHAR(34)&amp;"criterionId"&amp;CHAR(34)&amp;": "&amp;CHAR(34)&amp;SUBSTITUTE(CriteriTecnici!$D1166,CHAR(34),"'")&amp;CHAR(34)&amp;", "&amp;CHAR(34)&amp;"kind"&amp;CHAR(34)&amp;": "&amp;CHAR(34)&amp;SUBSTITUTE(CriteriTecnici!$F1166,CHAR(34),"'")&amp;CHAR(34)&amp;", "&amp;CHAR(34)&amp;"value"&amp;CHAR(34)&amp;": "&amp;SUBSTITUTE(TRIM(ROUND(IFERROR(CriteriTecnici!$N1166*1,IFERROR(NUMBERVALUE(CriteriTecnici!$N1166,".",","),IFERROR(NUMBERVALUE(CriteriTecnici!$N1166,",","."),0))),4)&amp;""),",",".")&amp;", "&amp;CHAR(34)&amp;"numerator"&amp;CHAR(34)&amp;": "&amp;SUBSTITUTE(TRIM(ROUND(IFERROR(CriteriTecnici!$K1166*1,IFERROR(NUMBERVALUE(CriteriTecnici!$K1166,".",","),IFERROR(NUMBERVALUE(CriteriTecnici!$K1166,",","."),0))),4)&amp;""),",",".")&amp;", "&amp;CHAR(34)&amp;"denominator"&amp;CHAR(34)&amp;": "&amp;SUBSTITUTE(TRIM(ROUND(IFERROR(CriteriTecnici!$L1166*1,IFERROR(NUMBERVALUE(CriteriTecnici!$L1166,".",","),IFERROR(NUMBERVALUE(CriteriTecnici!$L1166,",","."),0))),4)&amp;""),",",".")&amp;", "&amp;CHAR(34)&amp;"flag"&amp;CHAR(34)&amp;": "&amp;SUBSTITUTE(TRIM(ROUND(IFERROR(CriteriTecnici!$M1166*1,IFERROR(NUMBERVALUE(CriteriTecnici!$M1166,".",","),IFERROR(NUMBERVALUE(CriteriTecnici!$M1166,",","."),0))),4)&amp;""),",",".")&amp;", "&amp;CHAR(34)&amp;"rawScore"&amp;CHAR(34)&amp;": "&amp;SUBSTITUTE(TRIM(ROUND(IFERROR(CriteriTecnici!$O1166*1,IFERROR(NUMBERVALUE(CriteriTecnici!$O1166,".",","),IFERROR(NUMBERVALUE(CriteriTecnici!$O1166,",","."),0))),4)&amp;""),",",".")&amp;CHAR(125)&amp;IF(TRUE,",",""))</f>
        <v/>
      </c>
    </row>
    <row r="1268">
      <c r="A1268" s="82">
        <f>IF(CriteriTecnici!$A1167="","","    "&amp;CHAR(123)&amp;CHAR(34)&amp;"bidderId"&amp;CHAR(34)&amp;": "&amp;CHAR(34)&amp;SUBSTITUTE(CriteriTecnici!$A1167,CHAR(34),"'")&amp;CHAR(34)&amp;", "&amp;CHAR(34)&amp;"lotId"&amp;CHAR(34)&amp;": "&amp;CHAR(34)&amp;SUBSTITUTE(CriteriTecnici!$C1167,CHAR(34),"'")&amp;CHAR(34)&amp;", "&amp;CHAR(34)&amp;"criterionId"&amp;CHAR(34)&amp;": "&amp;CHAR(34)&amp;SUBSTITUTE(CriteriTecnici!$D1167,CHAR(34),"'")&amp;CHAR(34)&amp;", "&amp;CHAR(34)&amp;"kind"&amp;CHAR(34)&amp;": "&amp;CHAR(34)&amp;SUBSTITUTE(CriteriTecnici!$F1167,CHAR(34),"'")&amp;CHAR(34)&amp;", "&amp;CHAR(34)&amp;"value"&amp;CHAR(34)&amp;": "&amp;SUBSTITUTE(TRIM(ROUND(IFERROR(CriteriTecnici!$N1167*1,IFERROR(NUMBERVALUE(CriteriTecnici!$N1167,".",","),IFERROR(NUMBERVALUE(CriteriTecnici!$N1167,",","."),0))),4)&amp;""),",",".")&amp;", "&amp;CHAR(34)&amp;"numerator"&amp;CHAR(34)&amp;": "&amp;SUBSTITUTE(TRIM(ROUND(IFERROR(CriteriTecnici!$K1167*1,IFERROR(NUMBERVALUE(CriteriTecnici!$K1167,".",","),IFERROR(NUMBERVALUE(CriteriTecnici!$K1167,",","."),0))),4)&amp;""),",",".")&amp;", "&amp;CHAR(34)&amp;"denominator"&amp;CHAR(34)&amp;": "&amp;SUBSTITUTE(TRIM(ROUND(IFERROR(CriteriTecnici!$L1167*1,IFERROR(NUMBERVALUE(CriteriTecnici!$L1167,".",","),IFERROR(NUMBERVALUE(CriteriTecnici!$L1167,",","."),0))),4)&amp;""),",",".")&amp;", "&amp;CHAR(34)&amp;"flag"&amp;CHAR(34)&amp;": "&amp;SUBSTITUTE(TRIM(ROUND(IFERROR(CriteriTecnici!$M1167*1,IFERROR(NUMBERVALUE(CriteriTecnici!$M1167,".",","),IFERROR(NUMBERVALUE(CriteriTecnici!$M1167,",","."),0))),4)&amp;""),",",".")&amp;", "&amp;CHAR(34)&amp;"rawScore"&amp;CHAR(34)&amp;": "&amp;SUBSTITUTE(TRIM(ROUND(IFERROR(CriteriTecnici!$O1167*1,IFERROR(NUMBERVALUE(CriteriTecnici!$O1167,".",","),IFERROR(NUMBERVALUE(CriteriTecnici!$O1167,",","."),0))),4)&amp;""),",",".")&amp;CHAR(125)&amp;IF(TRUE,",",""))</f>
        <v/>
      </c>
    </row>
    <row r="1269">
      <c r="A1269" s="82">
        <f>IF(CriteriTecnici!$A1168="","","    "&amp;CHAR(123)&amp;CHAR(34)&amp;"bidderId"&amp;CHAR(34)&amp;": "&amp;CHAR(34)&amp;SUBSTITUTE(CriteriTecnici!$A1168,CHAR(34),"'")&amp;CHAR(34)&amp;", "&amp;CHAR(34)&amp;"lotId"&amp;CHAR(34)&amp;": "&amp;CHAR(34)&amp;SUBSTITUTE(CriteriTecnici!$C1168,CHAR(34),"'")&amp;CHAR(34)&amp;", "&amp;CHAR(34)&amp;"criterionId"&amp;CHAR(34)&amp;": "&amp;CHAR(34)&amp;SUBSTITUTE(CriteriTecnici!$D1168,CHAR(34),"'")&amp;CHAR(34)&amp;", "&amp;CHAR(34)&amp;"kind"&amp;CHAR(34)&amp;": "&amp;CHAR(34)&amp;SUBSTITUTE(CriteriTecnici!$F1168,CHAR(34),"'")&amp;CHAR(34)&amp;", "&amp;CHAR(34)&amp;"value"&amp;CHAR(34)&amp;": "&amp;SUBSTITUTE(TRIM(ROUND(IFERROR(CriteriTecnici!$N1168*1,IFERROR(NUMBERVALUE(CriteriTecnici!$N1168,".",","),IFERROR(NUMBERVALUE(CriteriTecnici!$N1168,",","."),0))),4)&amp;""),",",".")&amp;", "&amp;CHAR(34)&amp;"numerator"&amp;CHAR(34)&amp;": "&amp;SUBSTITUTE(TRIM(ROUND(IFERROR(CriteriTecnici!$K1168*1,IFERROR(NUMBERVALUE(CriteriTecnici!$K1168,".",","),IFERROR(NUMBERVALUE(CriteriTecnici!$K1168,",","."),0))),4)&amp;""),",",".")&amp;", "&amp;CHAR(34)&amp;"denominator"&amp;CHAR(34)&amp;": "&amp;SUBSTITUTE(TRIM(ROUND(IFERROR(CriteriTecnici!$L1168*1,IFERROR(NUMBERVALUE(CriteriTecnici!$L1168,".",","),IFERROR(NUMBERVALUE(CriteriTecnici!$L1168,",","."),0))),4)&amp;""),",",".")&amp;", "&amp;CHAR(34)&amp;"flag"&amp;CHAR(34)&amp;": "&amp;SUBSTITUTE(TRIM(ROUND(IFERROR(CriteriTecnici!$M1168*1,IFERROR(NUMBERVALUE(CriteriTecnici!$M1168,".",","),IFERROR(NUMBERVALUE(CriteriTecnici!$M1168,",","."),0))),4)&amp;""),",",".")&amp;", "&amp;CHAR(34)&amp;"rawScore"&amp;CHAR(34)&amp;": "&amp;SUBSTITUTE(TRIM(ROUND(IFERROR(CriteriTecnici!$O1168*1,IFERROR(NUMBERVALUE(CriteriTecnici!$O1168,".",","),IFERROR(NUMBERVALUE(CriteriTecnici!$O1168,",","."),0))),4)&amp;""),",",".")&amp;CHAR(125)&amp;IF(TRUE,",",""))</f>
        <v/>
      </c>
    </row>
    <row r="1270">
      <c r="A1270" s="82">
        <f>IF(CriteriTecnici!$A1169="","","    "&amp;CHAR(123)&amp;CHAR(34)&amp;"bidderId"&amp;CHAR(34)&amp;": "&amp;CHAR(34)&amp;SUBSTITUTE(CriteriTecnici!$A1169,CHAR(34),"'")&amp;CHAR(34)&amp;", "&amp;CHAR(34)&amp;"lotId"&amp;CHAR(34)&amp;": "&amp;CHAR(34)&amp;SUBSTITUTE(CriteriTecnici!$C1169,CHAR(34),"'")&amp;CHAR(34)&amp;", "&amp;CHAR(34)&amp;"criterionId"&amp;CHAR(34)&amp;": "&amp;CHAR(34)&amp;SUBSTITUTE(CriteriTecnici!$D1169,CHAR(34),"'")&amp;CHAR(34)&amp;", "&amp;CHAR(34)&amp;"kind"&amp;CHAR(34)&amp;": "&amp;CHAR(34)&amp;SUBSTITUTE(CriteriTecnici!$F1169,CHAR(34),"'")&amp;CHAR(34)&amp;", "&amp;CHAR(34)&amp;"value"&amp;CHAR(34)&amp;": "&amp;SUBSTITUTE(TRIM(ROUND(IFERROR(CriteriTecnici!$N1169*1,IFERROR(NUMBERVALUE(CriteriTecnici!$N1169,".",","),IFERROR(NUMBERVALUE(CriteriTecnici!$N1169,",","."),0))),4)&amp;""),",",".")&amp;", "&amp;CHAR(34)&amp;"numerator"&amp;CHAR(34)&amp;": "&amp;SUBSTITUTE(TRIM(ROUND(IFERROR(CriteriTecnici!$K1169*1,IFERROR(NUMBERVALUE(CriteriTecnici!$K1169,".",","),IFERROR(NUMBERVALUE(CriteriTecnici!$K1169,",","."),0))),4)&amp;""),",",".")&amp;", "&amp;CHAR(34)&amp;"denominator"&amp;CHAR(34)&amp;": "&amp;SUBSTITUTE(TRIM(ROUND(IFERROR(CriteriTecnici!$L1169*1,IFERROR(NUMBERVALUE(CriteriTecnici!$L1169,".",","),IFERROR(NUMBERVALUE(CriteriTecnici!$L1169,",","."),0))),4)&amp;""),",",".")&amp;", "&amp;CHAR(34)&amp;"flag"&amp;CHAR(34)&amp;": "&amp;SUBSTITUTE(TRIM(ROUND(IFERROR(CriteriTecnici!$M1169*1,IFERROR(NUMBERVALUE(CriteriTecnici!$M1169,".",","),IFERROR(NUMBERVALUE(CriteriTecnici!$M1169,",","."),0))),4)&amp;""),",",".")&amp;", "&amp;CHAR(34)&amp;"rawScore"&amp;CHAR(34)&amp;": "&amp;SUBSTITUTE(TRIM(ROUND(IFERROR(CriteriTecnici!$O1169*1,IFERROR(NUMBERVALUE(CriteriTecnici!$O1169,".",","),IFERROR(NUMBERVALUE(CriteriTecnici!$O1169,",","."),0))),4)&amp;""),",",".")&amp;CHAR(125)&amp;IF(TRUE,",",""))</f>
        <v/>
      </c>
    </row>
    <row r="1271">
      <c r="A1271" s="82">
        <f>IF(CriteriTecnici!$A1170="","","    "&amp;CHAR(123)&amp;CHAR(34)&amp;"bidderId"&amp;CHAR(34)&amp;": "&amp;CHAR(34)&amp;SUBSTITUTE(CriteriTecnici!$A1170,CHAR(34),"'")&amp;CHAR(34)&amp;", "&amp;CHAR(34)&amp;"lotId"&amp;CHAR(34)&amp;": "&amp;CHAR(34)&amp;SUBSTITUTE(CriteriTecnici!$C1170,CHAR(34),"'")&amp;CHAR(34)&amp;", "&amp;CHAR(34)&amp;"criterionId"&amp;CHAR(34)&amp;": "&amp;CHAR(34)&amp;SUBSTITUTE(CriteriTecnici!$D1170,CHAR(34),"'")&amp;CHAR(34)&amp;", "&amp;CHAR(34)&amp;"kind"&amp;CHAR(34)&amp;": "&amp;CHAR(34)&amp;SUBSTITUTE(CriteriTecnici!$F1170,CHAR(34),"'")&amp;CHAR(34)&amp;", "&amp;CHAR(34)&amp;"value"&amp;CHAR(34)&amp;": "&amp;SUBSTITUTE(TRIM(ROUND(IFERROR(CriteriTecnici!$N1170*1,IFERROR(NUMBERVALUE(CriteriTecnici!$N1170,".",","),IFERROR(NUMBERVALUE(CriteriTecnici!$N1170,",","."),0))),4)&amp;""),",",".")&amp;", "&amp;CHAR(34)&amp;"numerator"&amp;CHAR(34)&amp;": "&amp;SUBSTITUTE(TRIM(ROUND(IFERROR(CriteriTecnici!$K1170*1,IFERROR(NUMBERVALUE(CriteriTecnici!$K1170,".",","),IFERROR(NUMBERVALUE(CriteriTecnici!$K1170,",","."),0))),4)&amp;""),",",".")&amp;", "&amp;CHAR(34)&amp;"denominator"&amp;CHAR(34)&amp;": "&amp;SUBSTITUTE(TRIM(ROUND(IFERROR(CriteriTecnici!$L1170*1,IFERROR(NUMBERVALUE(CriteriTecnici!$L1170,".",","),IFERROR(NUMBERVALUE(CriteriTecnici!$L1170,",","."),0))),4)&amp;""),",",".")&amp;", "&amp;CHAR(34)&amp;"flag"&amp;CHAR(34)&amp;": "&amp;SUBSTITUTE(TRIM(ROUND(IFERROR(CriteriTecnici!$M1170*1,IFERROR(NUMBERVALUE(CriteriTecnici!$M1170,".",","),IFERROR(NUMBERVALUE(CriteriTecnici!$M1170,",","."),0))),4)&amp;""),",",".")&amp;", "&amp;CHAR(34)&amp;"rawScore"&amp;CHAR(34)&amp;": "&amp;SUBSTITUTE(TRIM(ROUND(IFERROR(CriteriTecnici!$O1170*1,IFERROR(NUMBERVALUE(CriteriTecnici!$O1170,".",","),IFERROR(NUMBERVALUE(CriteriTecnici!$O1170,",","."),0))),4)&amp;""),",",".")&amp;CHAR(125)&amp;IF(TRUE,",",""))</f>
        <v/>
      </c>
    </row>
    <row r="1272">
      <c r="A1272" s="82">
        <f>IF(CriteriTecnici!$A1171="","","    "&amp;CHAR(123)&amp;CHAR(34)&amp;"bidderId"&amp;CHAR(34)&amp;": "&amp;CHAR(34)&amp;SUBSTITUTE(CriteriTecnici!$A1171,CHAR(34),"'")&amp;CHAR(34)&amp;", "&amp;CHAR(34)&amp;"lotId"&amp;CHAR(34)&amp;": "&amp;CHAR(34)&amp;SUBSTITUTE(CriteriTecnici!$C1171,CHAR(34),"'")&amp;CHAR(34)&amp;", "&amp;CHAR(34)&amp;"criterionId"&amp;CHAR(34)&amp;": "&amp;CHAR(34)&amp;SUBSTITUTE(CriteriTecnici!$D1171,CHAR(34),"'")&amp;CHAR(34)&amp;", "&amp;CHAR(34)&amp;"kind"&amp;CHAR(34)&amp;": "&amp;CHAR(34)&amp;SUBSTITUTE(CriteriTecnici!$F1171,CHAR(34),"'")&amp;CHAR(34)&amp;", "&amp;CHAR(34)&amp;"value"&amp;CHAR(34)&amp;": "&amp;SUBSTITUTE(TRIM(ROUND(IFERROR(CriteriTecnici!$N1171*1,IFERROR(NUMBERVALUE(CriteriTecnici!$N1171,".",","),IFERROR(NUMBERVALUE(CriteriTecnici!$N1171,",","."),0))),4)&amp;""),",",".")&amp;", "&amp;CHAR(34)&amp;"numerator"&amp;CHAR(34)&amp;": "&amp;SUBSTITUTE(TRIM(ROUND(IFERROR(CriteriTecnici!$K1171*1,IFERROR(NUMBERVALUE(CriteriTecnici!$K1171,".",","),IFERROR(NUMBERVALUE(CriteriTecnici!$K1171,",","."),0))),4)&amp;""),",",".")&amp;", "&amp;CHAR(34)&amp;"denominator"&amp;CHAR(34)&amp;": "&amp;SUBSTITUTE(TRIM(ROUND(IFERROR(CriteriTecnici!$L1171*1,IFERROR(NUMBERVALUE(CriteriTecnici!$L1171,".",","),IFERROR(NUMBERVALUE(CriteriTecnici!$L1171,",","."),0))),4)&amp;""),",",".")&amp;", "&amp;CHAR(34)&amp;"flag"&amp;CHAR(34)&amp;": "&amp;SUBSTITUTE(TRIM(ROUND(IFERROR(CriteriTecnici!$M1171*1,IFERROR(NUMBERVALUE(CriteriTecnici!$M1171,".",","),IFERROR(NUMBERVALUE(CriteriTecnici!$M1171,",","."),0))),4)&amp;""),",",".")&amp;", "&amp;CHAR(34)&amp;"rawScore"&amp;CHAR(34)&amp;": "&amp;SUBSTITUTE(TRIM(ROUND(IFERROR(CriteriTecnici!$O1171*1,IFERROR(NUMBERVALUE(CriteriTecnici!$O1171,".",","),IFERROR(NUMBERVALUE(CriteriTecnici!$O1171,",","."),0))),4)&amp;""),",",".")&amp;CHAR(125)&amp;IF(TRUE,",",""))</f>
        <v/>
      </c>
    </row>
    <row r="1273">
      <c r="A1273" s="82">
        <f>IF(CriteriTecnici!$A1172="","","    "&amp;CHAR(123)&amp;CHAR(34)&amp;"bidderId"&amp;CHAR(34)&amp;": "&amp;CHAR(34)&amp;SUBSTITUTE(CriteriTecnici!$A1172,CHAR(34),"'")&amp;CHAR(34)&amp;", "&amp;CHAR(34)&amp;"lotId"&amp;CHAR(34)&amp;": "&amp;CHAR(34)&amp;SUBSTITUTE(CriteriTecnici!$C1172,CHAR(34),"'")&amp;CHAR(34)&amp;", "&amp;CHAR(34)&amp;"criterionId"&amp;CHAR(34)&amp;": "&amp;CHAR(34)&amp;SUBSTITUTE(CriteriTecnici!$D1172,CHAR(34),"'")&amp;CHAR(34)&amp;", "&amp;CHAR(34)&amp;"kind"&amp;CHAR(34)&amp;": "&amp;CHAR(34)&amp;SUBSTITUTE(CriteriTecnici!$F1172,CHAR(34),"'")&amp;CHAR(34)&amp;", "&amp;CHAR(34)&amp;"value"&amp;CHAR(34)&amp;": "&amp;SUBSTITUTE(TRIM(ROUND(IFERROR(CriteriTecnici!$N1172*1,IFERROR(NUMBERVALUE(CriteriTecnici!$N1172,".",","),IFERROR(NUMBERVALUE(CriteriTecnici!$N1172,",","."),0))),4)&amp;""),",",".")&amp;", "&amp;CHAR(34)&amp;"numerator"&amp;CHAR(34)&amp;": "&amp;SUBSTITUTE(TRIM(ROUND(IFERROR(CriteriTecnici!$K1172*1,IFERROR(NUMBERVALUE(CriteriTecnici!$K1172,".",","),IFERROR(NUMBERVALUE(CriteriTecnici!$K1172,",","."),0))),4)&amp;""),",",".")&amp;", "&amp;CHAR(34)&amp;"denominator"&amp;CHAR(34)&amp;": "&amp;SUBSTITUTE(TRIM(ROUND(IFERROR(CriteriTecnici!$L1172*1,IFERROR(NUMBERVALUE(CriteriTecnici!$L1172,".",","),IFERROR(NUMBERVALUE(CriteriTecnici!$L1172,",","."),0))),4)&amp;""),",",".")&amp;", "&amp;CHAR(34)&amp;"flag"&amp;CHAR(34)&amp;": "&amp;SUBSTITUTE(TRIM(ROUND(IFERROR(CriteriTecnici!$M1172*1,IFERROR(NUMBERVALUE(CriteriTecnici!$M1172,".",","),IFERROR(NUMBERVALUE(CriteriTecnici!$M1172,",","."),0))),4)&amp;""),",",".")&amp;", "&amp;CHAR(34)&amp;"rawScore"&amp;CHAR(34)&amp;": "&amp;SUBSTITUTE(TRIM(ROUND(IFERROR(CriteriTecnici!$O1172*1,IFERROR(NUMBERVALUE(CriteriTecnici!$O1172,".",","),IFERROR(NUMBERVALUE(CriteriTecnici!$O1172,",","."),0))),4)&amp;""),",",".")&amp;CHAR(125)&amp;IF(TRUE,",",""))</f>
        <v/>
      </c>
    </row>
    <row r="1274">
      <c r="A1274" s="82">
        <f>IF(CriteriTecnici!$A1173="","","    "&amp;CHAR(123)&amp;CHAR(34)&amp;"bidderId"&amp;CHAR(34)&amp;": "&amp;CHAR(34)&amp;SUBSTITUTE(CriteriTecnici!$A1173,CHAR(34),"'")&amp;CHAR(34)&amp;", "&amp;CHAR(34)&amp;"lotId"&amp;CHAR(34)&amp;": "&amp;CHAR(34)&amp;SUBSTITUTE(CriteriTecnici!$C1173,CHAR(34),"'")&amp;CHAR(34)&amp;", "&amp;CHAR(34)&amp;"criterionId"&amp;CHAR(34)&amp;": "&amp;CHAR(34)&amp;SUBSTITUTE(CriteriTecnici!$D1173,CHAR(34),"'")&amp;CHAR(34)&amp;", "&amp;CHAR(34)&amp;"kind"&amp;CHAR(34)&amp;": "&amp;CHAR(34)&amp;SUBSTITUTE(CriteriTecnici!$F1173,CHAR(34),"'")&amp;CHAR(34)&amp;", "&amp;CHAR(34)&amp;"value"&amp;CHAR(34)&amp;": "&amp;SUBSTITUTE(TRIM(ROUND(IFERROR(CriteriTecnici!$N1173*1,IFERROR(NUMBERVALUE(CriteriTecnici!$N1173,".",","),IFERROR(NUMBERVALUE(CriteriTecnici!$N1173,",","."),0))),4)&amp;""),",",".")&amp;", "&amp;CHAR(34)&amp;"numerator"&amp;CHAR(34)&amp;": "&amp;SUBSTITUTE(TRIM(ROUND(IFERROR(CriteriTecnici!$K1173*1,IFERROR(NUMBERVALUE(CriteriTecnici!$K1173,".",","),IFERROR(NUMBERVALUE(CriteriTecnici!$K1173,",","."),0))),4)&amp;""),",",".")&amp;", "&amp;CHAR(34)&amp;"denominator"&amp;CHAR(34)&amp;": "&amp;SUBSTITUTE(TRIM(ROUND(IFERROR(CriteriTecnici!$L1173*1,IFERROR(NUMBERVALUE(CriteriTecnici!$L1173,".",","),IFERROR(NUMBERVALUE(CriteriTecnici!$L1173,",","."),0))),4)&amp;""),",",".")&amp;", "&amp;CHAR(34)&amp;"flag"&amp;CHAR(34)&amp;": "&amp;SUBSTITUTE(TRIM(ROUND(IFERROR(CriteriTecnici!$M1173*1,IFERROR(NUMBERVALUE(CriteriTecnici!$M1173,".",","),IFERROR(NUMBERVALUE(CriteriTecnici!$M1173,",","."),0))),4)&amp;""),",",".")&amp;", "&amp;CHAR(34)&amp;"rawScore"&amp;CHAR(34)&amp;": "&amp;SUBSTITUTE(TRIM(ROUND(IFERROR(CriteriTecnici!$O1173*1,IFERROR(NUMBERVALUE(CriteriTecnici!$O1173,".",","),IFERROR(NUMBERVALUE(CriteriTecnici!$O1173,",","."),0))),4)&amp;""),",",".")&amp;CHAR(125)&amp;IF(TRUE,",",""))</f>
        <v/>
      </c>
    </row>
    <row r="1275">
      <c r="A1275" s="82">
        <f>IF(CriteriTecnici!$A1174="","","    "&amp;CHAR(123)&amp;CHAR(34)&amp;"bidderId"&amp;CHAR(34)&amp;": "&amp;CHAR(34)&amp;SUBSTITUTE(CriteriTecnici!$A1174,CHAR(34),"'")&amp;CHAR(34)&amp;", "&amp;CHAR(34)&amp;"lotId"&amp;CHAR(34)&amp;": "&amp;CHAR(34)&amp;SUBSTITUTE(CriteriTecnici!$C1174,CHAR(34),"'")&amp;CHAR(34)&amp;", "&amp;CHAR(34)&amp;"criterionId"&amp;CHAR(34)&amp;": "&amp;CHAR(34)&amp;SUBSTITUTE(CriteriTecnici!$D1174,CHAR(34),"'")&amp;CHAR(34)&amp;", "&amp;CHAR(34)&amp;"kind"&amp;CHAR(34)&amp;": "&amp;CHAR(34)&amp;SUBSTITUTE(CriteriTecnici!$F1174,CHAR(34),"'")&amp;CHAR(34)&amp;", "&amp;CHAR(34)&amp;"value"&amp;CHAR(34)&amp;": "&amp;SUBSTITUTE(TRIM(ROUND(IFERROR(CriteriTecnici!$N1174*1,IFERROR(NUMBERVALUE(CriteriTecnici!$N1174,".",","),IFERROR(NUMBERVALUE(CriteriTecnici!$N1174,",","."),0))),4)&amp;""),",",".")&amp;", "&amp;CHAR(34)&amp;"numerator"&amp;CHAR(34)&amp;": "&amp;SUBSTITUTE(TRIM(ROUND(IFERROR(CriteriTecnici!$K1174*1,IFERROR(NUMBERVALUE(CriteriTecnici!$K1174,".",","),IFERROR(NUMBERVALUE(CriteriTecnici!$K1174,",","."),0))),4)&amp;""),",",".")&amp;", "&amp;CHAR(34)&amp;"denominator"&amp;CHAR(34)&amp;": "&amp;SUBSTITUTE(TRIM(ROUND(IFERROR(CriteriTecnici!$L1174*1,IFERROR(NUMBERVALUE(CriteriTecnici!$L1174,".",","),IFERROR(NUMBERVALUE(CriteriTecnici!$L1174,",","."),0))),4)&amp;""),",",".")&amp;", "&amp;CHAR(34)&amp;"flag"&amp;CHAR(34)&amp;": "&amp;SUBSTITUTE(TRIM(ROUND(IFERROR(CriteriTecnici!$M1174*1,IFERROR(NUMBERVALUE(CriteriTecnici!$M1174,".",","),IFERROR(NUMBERVALUE(CriteriTecnici!$M1174,",","."),0))),4)&amp;""),",",".")&amp;", "&amp;CHAR(34)&amp;"rawScore"&amp;CHAR(34)&amp;": "&amp;SUBSTITUTE(TRIM(ROUND(IFERROR(CriteriTecnici!$O1174*1,IFERROR(NUMBERVALUE(CriteriTecnici!$O1174,".",","),IFERROR(NUMBERVALUE(CriteriTecnici!$O1174,",","."),0))),4)&amp;""),",",".")&amp;CHAR(125)&amp;IF(TRUE,",",""))</f>
        <v/>
      </c>
    </row>
    <row r="1276">
      <c r="A1276" s="82">
        <f>IF(CriteriTecnici!$A1175="","","    "&amp;CHAR(123)&amp;CHAR(34)&amp;"bidderId"&amp;CHAR(34)&amp;": "&amp;CHAR(34)&amp;SUBSTITUTE(CriteriTecnici!$A1175,CHAR(34),"'")&amp;CHAR(34)&amp;", "&amp;CHAR(34)&amp;"lotId"&amp;CHAR(34)&amp;": "&amp;CHAR(34)&amp;SUBSTITUTE(CriteriTecnici!$C1175,CHAR(34),"'")&amp;CHAR(34)&amp;", "&amp;CHAR(34)&amp;"criterionId"&amp;CHAR(34)&amp;": "&amp;CHAR(34)&amp;SUBSTITUTE(CriteriTecnici!$D1175,CHAR(34),"'")&amp;CHAR(34)&amp;", "&amp;CHAR(34)&amp;"kind"&amp;CHAR(34)&amp;": "&amp;CHAR(34)&amp;SUBSTITUTE(CriteriTecnici!$F1175,CHAR(34),"'")&amp;CHAR(34)&amp;", "&amp;CHAR(34)&amp;"value"&amp;CHAR(34)&amp;": "&amp;SUBSTITUTE(TRIM(ROUND(IFERROR(CriteriTecnici!$N1175*1,IFERROR(NUMBERVALUE(CriteriTecnici!$N1175,".",","),IFERROR(NUMBERVALUE(CriteriTecnici!$N1175,",","."),0))),4)&amp;""),",",".")&amp;", "&amp;CHAR(34)&amp;"numerator"&amp;CHAR(34)&amp;": "&amp;SUBSTITUTE(TRIM(ROUND(IFERROR(CriteriTecnici!$K1175*1,IFERROR(NUMBERVALUE(CriteriTecnici!$K1175,".",","),IFERROR(NUMBERVALUE(CriteriTecnici!$K1175,",","."),0))),4)&amp;""),",",".")&amp;", "&amp;CHAR(34)&amp;"denominator"&amp;CHAR(34)&amp;": "&amp;SUBSTITUTE(TRIM(ROUND(IFERROR(CriteriTecnici!$L1175*1,IFERROR(NUMBERVALUE(CriteriTecnici!$L1175,".",","),IFERROR(NUMBERVALUE(CriteriTecnici!$L1175,",","."),0))),4)&amp;""),",",".")&amp;", "&amp;CHAR(34)&amp;"flag"&amp;CHAR(34)&amp;": "&amp;SUBSTITUTE(TRIM(ROUND(IFERROR(CriteriTecnici!$M1175*1,IFERROR(NUMBERVALUE(CriteriTecnici!$M1175,".",","),IFERROR(NUMBERVALUE(CriteriTecnici!$M1175,",","."),0))),4)&amp;""),",",".")&amp;", "&amp;CHAR(34)&amp;"rawScore"&amp;CHAR(34)&amp;": "&amp;SUBSTITUTE(TRIM(ROUND(IFERROR(CriteriTecnici!$O1175*1,IFERROR(NUMBERVALUE(CriteriTecnici!$O1175,".",","),IFERROR(NUMBERVALUE(CriteriTecnici!$O1175,",","."),0))),4)&amp;""),",",".")&amp;CHAR(125)&amp;IF(TRUE,",",""))</f>
        <v/>
      </c>
    </row>
    <row r="1277">
      <c r="A1277" s="82">
        <f>IF(CriteriTecnici!$A1176="","","    "&amp;CHAR(123)&amp;CHAR(34)&amp;"bidderId"&amp;CHAR(34)&amp;": "&amp;CHAR(34)&amp;SUBSTITUTE(CriteriTecnici!$A1176,CHAR(34),"'")&amp;CHAR(34)&amp;", "&amp;CHAR(34)&amp;"lotId"&amp;CHAR(34)&amp;": "&amp;CHAR(34)&amp;SUBSTITUTE(CriteriTecnici!$C1176,CHAR(34),"'")&amp;CHAR(34)&amp;", "&amp;CHAR(34)&amp;"criterionId"&amp;CHAR(34)&amp;": "&amp;CHAR(34)&amp;SUBSTITUTE(CriteriTecnici!$D1176,CHAR(34),"'")&amp;CHAR(34)&amp;", "&amp;CHAR(34)&amp;"kind"&amp;CHAR(34)&amp;": "&amp;CHAR(34)&amp;SUBSTITUTE(CriteriTecnici!$F1176,CHAR(34),"'")&amp;CHAR(34)&amp;", "&amp;CHAR(34)&amp;"value"&amp;CHAR(34)&amp;": "&amp;SUBSTITUTE(TRIM(ROUND(IFERROR(CriteriTecnici!$N1176*1,IFERROR(NUMBERVALUE(CriteriTecnici!$N1176,".",","),IFERROR(NUMBERVALUE(CriteriTecnici!$N1176,",","."),0))),4)&amp;""),",",".")&amp;", "&amp;CHAR(34)&amp;"numerator"&amp;CHAR(34)&amp;": "&amp;SUBSTITUTE(TRIM(ROUND(IFERROR(CriteriTecnici!$K1176*1,IFERROR(NUMBERVALUE(CriteriTecnici!$K1176,".",","),IFERROR(NUMBERVALUE(CriteriTecnici!$K1176,",","."),0))),4)&amp;""),",",".")&amp;", "&amp;CHAR(34)&amp;"denominator"&amp;CHAR(34)&amp;": "&amp;SUBSTITUTE(TRIM(ROUND(IFERROR(CriteriTecnici!$L1176*1,IFERROR(NUMBERVALUE(CriteriTecnici!$L1176,".",","),IFERROR(NUMBERVALUE(CriteriTecnici!$L1176,",","."),0))),4)&amp;""),",",".")&amp;", "&amp;CHAR(34)&amp;"flag"&amp;CHAR(34)&amp;": "&amp;SUBSTITUTE(TRIM(ROUND(IFERROR(CriteriTecnici!$M1176*1,IFERROR(NUMBERVALUE(CriteriTecnici!$M1176,".",","),IFERROR(NUMBERVALUE(CriteriTecnici!$M1176,",","."),0))),4)&amp;""),",",".")&amp;", "&amp;CHAR(34)&amp;"rawScore"&amp;CHAR(34)&amp;": "&amp;SUBSTITUTE(TRIM(ROUND(IFERROR(CriteriTecnici!$O1176*1,IFERROR(NUMBERVALUE(CriteriTecnici!$O1176,".",","),IFERROR(NUMBERVALUE(CriteriTecnici!$O1176,",","."),0))),4)&amp;""),",",".")&amp;CHAR(125)&amp;IF(TRUE,",",""))</f>
        <v/>
      </c>
    </row>
    <row r="1278">
      <c r="A1278" s="82">
        <f>IF(CriteriTecnici!$A1177="","","    "&amp;CHAR(123)&amp;CHAR(34)&amp;"bidderId"&amp;CHAR(34)&amp;": "&amp;CHAR(34)&amp;SUBSTITUTE(CriteriTecnici!$A1177,CHAR(34),"'")&amp;CHAR(34)&amp;", "&amp;CHAR(34)&amp;"lotId"&amp;CHAR(34)&amp;": "&amp;CHAR(34)&amp;SUBSTITUTE(CriteriTecnici!$C1177,CHAR(34),"'")&amp;CHAR(34)&amp;", "&amp;CHAR(34)&amp;"criterionId"&amp;CHAR(34)&amp;": "&amp;CHAR(34)&amp;SUBSTITUTE(CriteriTecnici!$D1177,CHAR(34),"'")&amp;CHAR(34)&amp;", "&amp;CHAR(34)&amp;"kind"&amp;CHAR(34)&amp;": "&amp;CHAR(34)&amp;SUBSTITUTE(CriteriTecnici!$F1177,CHAR(34),"'")&amp;CHAR(34)&amp;", "&amp;CHAR(34)&amp;"value"&amp;CHAR(34)&amp;": "&amp;SUBSTITUTE(TRIM(ROUND(IFERROR(CriteriTecnici!$N1177*1,IFERROR(NUMBERVALUE(CriteriTecnici!$N1177,".",","),IFERROR(NUMBERVALUE(CriteriTecnici!$N1177,",","."),0))),4)&amp;""),",",".")&amp;", "&amp;CHAR(34)&amp;"numerator"&amp;CHAR(34)&amp;": "&amp;SUBSTITUTE(TRIM(ROUND(IFERROR(CriteriTecnici!$K1177*1,IFERROR(NUMBERVALUE(CriteriTecnici!$K1177,".",","),IFERROR(NUMBERVALUE(CriteriTecnici!$K1177,",","."),0))),4)&amp;""),",",".")&amp;", "&amp;CHAR(34)&amp;"denominator"&amp;CHAR(34)&amp;": "&amp;SUBSTITUTE(TRIM(ROUND(IFERROR(CriteriTecnici!$L1177*1,IFERROR(NUMBERVALUE(CriteriTecnici!$L1177,".",","),IFERROR(NUMBERVALUE(CriteriTecnici!$L1177,",","."),0))),4)&amp;""),",",".")&amp;", "&amp;CHAR(34)&amp;"flag"&amp;CHAR(34)&amp;": "&amp;SUBSTITUTE(TRIM(ROUND(IFERROR(CriteriTecnici!$M1177*1,IFERROR(NUMBERVALUE(CriteriTecnici!$M1177,".",","),IFERROR(NUMBERVALUE(CriteriTecnici!$M1177,",","."),0))),4)&amp;""),",",".")&amp;", "&amp;CHAR(34)&amp;"rawScore"&amp;CHAR(34)&amp;": "&amp;SUBSTITUTE(TRIM(ROUND(IFERROR(CriteriTecnici!$O1177*1,IFERROR(NUMBERVALUE(CriteriTecnici!$O1177,".",","),IFERROR(NUMBERVALUE(CriteriTecnici!$O1177,",","."),0))),4)&amp;""),",",".")&amp;CHAR(125)&amp;IF(TRUE,",",""))</f>
        <v/>
      </c>
    </row>
    <row r="1279">
      <c r="A1279" s="82">
        <f>IF(CriteriTecnici!$A1178="","","    "&amp;CHAR(123)&amp;CHAR(34)&amp;"bidderId"&amp;CHAR(34)&amp;": "&amp;CHAR(34)&amp;SUBSTITUTE(CriteriTecnici!$A1178,CHAR(34),"'")&amp;CHAR(34)&amp;", "&amp;CHAR(34)&amp;"lotId"&amp;CHAR(34)&amp;": "&amp;CHAR(34)&amp;SUBSTITUTE(CriteriTecnici!$C1178,CHAR(34),"'")&amp;CHAR(34)&amp;", "&amp;CHAR(34)&amp;"criterionId"&amp;CHAR(34)&amp;": "&amp;CHAR(34)&amp;SUBSTITUTE(CriteriTecnici!$D1178,CHAR(34),"'")&amp;CHAR(34)&amp;", "&amp;CHAR(34)&amp;"kind"&amp;CHAR(34)&amp;": "&amp;CHAR(34)&amp;SUBSTITUTE(CriteriTecnici!$F1178,CHAR(34),"'")&amp;CHAR(34)&amp;", "&amp;CHAR(34)&amp;"value"&amp;CHAR(34)&amp;": "&amp;SUBSTITUTE(TRIM(ROUND(IFERROR(CriteriTecnici!$N1178*1,IFERROR(NUMBERVALUE(CriteriTecnici!$N1178,".",","),IFERROR(NUMBERVALUE(CriteriTecnici!$N1178,",","."),0))),4)&amp;""),",",".")&amp;", "&amp;CHAR(34)&amp;"numerator"&amp;CHAR(34)&amp;": "&amp;SUBSTITUTE(TRIM(ROUND(IFERROR(CriteriTecnici!$K1178*1,IFERROR(NUMBERVALUE(CriteriTecnici!$K1178,".",","),IFERROR(NUMBERVALUE(CriteriTecnici!$K1178,",","."),0))),4)&amp;""),",",".")&amp;", "&amp;CHAR(34)&amp;"denominator"&amp;CHAR(34)&amp;": "&amp;SUBSTITUTE(TRIM(ROUND(IFERROR(CriteriTecnici!$L1178*1,IFERROR(NUMBERVALUE(CriteriTecnici!$L1178,".",","),IFERROR(NUMBERVALUE(CriteriTecnici!$L1178,",","."),0))),4)&amp;""),",",".")&amp;", "&amp;CHAR(34)&amp;"flag"&amp;CHAR(34)&amp;": "&amp;SUBSTITUTE(TRIM(ROUND(IFERROR(CriteriTecnici!$M1178*1,IFERROR(NUMBERVALUE(CriteriTecnici!$M1178,".",","),IFERROR(NUMBERVALUE(CriteriTecnici!$M1178,",","."),0))),4)&amp;""),",",".")&amp;", "&amp;CHAR(34)&amp;"rawScore"&amp;CHAR(34)&amp;": "&amp;SUBSTITUTE(TRIM(ROUND(IFERROR(CriteriTecnici!$O1178*1,IFERROR(NUMBERVALUE(CriteriTecnici!$O1178,".",","),IFERROR(NUMBERVALUE(CriteriTecnici!$O1178,",","."),0))),4)&amp;""),",",".")&amp;CHAR(125)&amp;IF(TRUE,",",""))</f>
        <v/>
      </c>
    </row>
    <row r="1280">
      <c r="A1280" s="82">
        <f>IF(CriteriTecnici!$A1179="","","    "&amp;CHAR(123)&amp;CHAR(34)&amp;"bidderId"&amp;CHAR(34)&amp;": "&amp;CHAR(34)&amp;SUBSTITUTE(CriteriTecnici!$A1179,CHAR(34),"'")&amp;CHAR(34)&amp;", "&amp;CHAR(34)&amp;"lotId"&amp;CHAR(34)&amp;": "&amp;CHAR(34)&amp;SUBSTITUTE(CriteriTecnici!$C1179,CHAR(34),"'")&amp;CHAR(34)&amp;", "&amp;CHAR(34)&amp;"criterionId"&amp;CHAR(34)&amp;": "&amp;CHAR(34)&amp;SUBSTITUTE(CriteriTecnici!$D1179,CHAR(34),"'")&amp;CHAR(34)&amp;", "&amp;CHAR(34)&amp;"kind"&amp;CHAR(34)&amp;": "&amp;CHAR(34)&amp;SUBSTITUTE(CriteriTecnici!$F1179,CHAR(34),"'")&amp;CHAR(34)&amp;", "&amp;CHAR(34)&amp;"value"&amp;CHAR(34)&amp;": "&amp;SUBSTITUTE(TRIM(ROUND(IFERROR(CriteriTecnici!$N1179*1,IFERROR(NUMBERVALUE(CriteriTecnici!$N1179,".",","),IFERROR(NUMBERVALUE(CriteriTecnici!$N1179,",","."),0))),4)&amp;""),",",".")&amp;", "&amp;CHAR(34)&amp;"numerator"&amp;CHAR(34)&amp;": "&amp;SUBSTITUTE(TRIM(ROUND(IFERROR(CriteriTecnici!$K1179*1,IFERROR(NUMBERVALUE(CriteriTecnici!$K1179,".",","),IFERROR(NUMBERVALUE(CriteriTecnici!$K1179,",","."),0))),4)&amp;""),",",".")&amp;", "&amp;CHAR(34)&amp;"denominator"&amp;CHAR(34)&amp;": "&amp;SUBSTITUTE(TRIM(ROUND(IFERROR(CriteriTecnici!$L1179*1,IFERROR(NUMBERVALUE(CriteriTecnici!$L1179,".",","),IFERROR(NUMBERVALUE(CriteriTecnici!$L1179,",","."),0))),4)&amp;""),",",".")&amp;", "&amp;CHAR(34)&amp;"flag"&amp;CHAR(34)&amp;": "&amp;SUBSTITUTE(TRIM(ROUND(IFERROR(CriteriTecnici!$M1179*1,IFERROR(NUMBERVALUE(CriteriTecnici!$M1179,".",","),IFERROR(NUMBERVALUE(CriteriTecnici!$M1179,",","."),0))),4)&amp;""),",",".")&amp;", "&amp;CHAR(34)&amp;"rawScore"&amp;CHAR(34)&amp;": "&amp;SUBSTITUTE(TRIM(ROUND(IFERROR(CriteriTecnici!$O1179*1,IFERROR(NUMBERVALUE(CriteriTecnici!$O1179,".",","),IFERROR(NUMBERVALUE(CriteriTecnici!$O1179,",","."),0))),4)&amp;""),",",".")&amp;CHAR(125)&amp;IF(TRUE,",",""))</f>
        <v/>
      </c>
    </row>
    <row r="1281">
      <c r="A1281" s="82">
        <f>IF(CriteriTecnici!$A1180="","","    "&amp;CHAR(123)&amp;CHAR(34)&amp;"bidderId"&amp;CHAR(34)&amp;": "&amp;CHAR(34)&amp;SUBSTITUTE(CriteriTecnici!$A1180,CHAR(34),"'")&amp;CHAR(34)&amp;", "&amp;CHAR(34)&amp;"lotId"&amp;CHAR(34)&amp;": "&amp;CHAR(34)&amp;SUBSTITUTE(CriteriTecnici!$C1180,CHAR(34),"'")&amp;CHAR(34)&amp;", "&amp;CHAR(34)&amp;"criterionId"&amp;CHAR(34)&amp;": "&amp;CHAR(34)&amp;SUBSTITUTE(CriteriTecnici!$D1180,CHAR(34),"'")&amp;CHAR(34)&amp;", "&amp;CHAR(34)&amp;"kind"&amp;CHAR(34)&amp;": "&amp;CHAR(34)&amp;SUBSTITUTE(CriteriTecnici!$F1180,CHAR(34),"'")&amp;CHAR(34)&amp;", "&amp;CHAR(34)&amp;"value"&amp;CHAR(34)&amp;": "&amp;SUBSTITUTE(TRIM(ROUND(IFERROR(CriteriTecnici!$N1180*1,IFERROR(NUMBERVALUE(CriteriTecnici!$N1180,".",","),IFERROR(NUMBERVALUE(CriteriTecnici!$N1180,",","."),0))),4)&amp;""),",",".")&amp;", "&amp;CHAR(34)&amp;"numerator"&amp;CHAR(34)&amp;": "&amp;SUBSTITUTE(TRIM(ROUND(IFERROR(CriteriTecnici!$K1180*1,IFERROR(NUMBERVALUE(CriteriTecnici!$K1180,".",","),IFERROR(NUMBERVALUE(CriteriTecnici!$K1180,",","."),0))),4)&amp;""),",",".")&amp;", "&amp;CHAR(34)&amp;"denominator"&amp;CHAR(34)&amp;": "&amp;SUBSTITUTE(TRIM(ROUND(IFERROR(CriteriTecnici!$L1180*1,IFERROR(NUMBERVALUE(CriteriTecnici!$L1180,".",","),IFERROR(NUMBERVALUE(CriteriTecnici!$L1180,",","."),0))),4)&amp;""),",",".")&amp;", "&amp;CHAR(34)&amp;"flag"&amp;CHAR(34)&amp;": "&amp;SUBSTITUTE(TRIM(ROUND(IFERROR(CriteriTecnici!$M1180*1,IFERROR(NUMBERVALUE(CriteriTecnici!$M1180,".",","),IFERROR(NUMBERVALUE(CriteriTecnici!$M1180,",","."),0))),4)&amp;""),",",".")&amp;", "&amp;CHAR(34)&amp;"rawScore"&amp;CHAR(34)&amp;": "&amp;SUBSTITUTE(TRIM(ROUND(IFERROR(CriteriTecnici!$O1180*1,IFERROR(NUMBERVALUE(CriteriTecnici!$O1180,".",","),IFERROR(NUMBERVALUE(CriteriTecnici!$O1180,",","."),0))),4)&amp;""),",",".")&amp;CHAR(125)&amp;IF(TRUE,",",""))</f>
        <v/>
      </c>
    </row>
    <row r="1282">
      <c r="A1282" s="82">
        <f>IF(CriteriTecnici!$A1181="","","    "&amp;CHAR(123)&amp;CHAR(34)&amp;"bidderId"&amp;CHAR(34)&amp;": "&amp;CHAR(34)&amp;SUBSTITUTE(CriteriTecnici!$A1181,CHAR(34),"'")&amp;CHAR(34)&amp;", "&amp;CHAR(34)&amp;"lotId"&amp;CHAR(34)&amp;": "&amp;CHAR(34)&amp;SUBSTITUTE(CriteriTecnici!$C1181,CHAR(34),"'")&amp;CHAR(34)&amp;", "&amp;CHAR(34)&amp;"criterionId"&amp;CHAR(34)&amp;": "&amp;CHAR(34)&amp;SUBSTITUTE(CriteriTecnici!$D1181,CHAR(34),"'")&amp;CHAR(34)&amp;", "&amp;CHAR(34)&amp;"kind"&amp;CHAR(34)&amp;": "&amp;CHAR(34)&amp;SUBSTITUTE(CriteriTecnici!$F1181,CHAR(34),"'")&amp;CHAR(34)&amp;", "&amp;CHAR(34)&amp;"value"&amp;CHAR(34)&amp;": "&amp;SUBSTITUTE(TRIM(ROUND(IFERROR(CriteriTecnici!$N1181*1,IFERROR(NUMBERVALUE(CriteriTecnici!$N1181,".",","),IFERROR(NUMBERVALUE(CriteriTecnici!$N1181,",","."),0))),4)&amp;""),",",".")&amp;", "&amp;CHAR(34)&amp;"numerator"&amp;CHAR(34)&amp;": "&amp;SUBSTITUTE(TRIM(ROUND(IFERROR(CriteriTecnici!$K1181*1,IFERROR(NUMBERVALUE(CriteriTecnici!$K1181,".",","),IFERROR(NUMBERVALUE(CriteriTecnici!$K1181,",","."),0))),4)&amp;""),",",".")&amp;", "&amp;CHAR(34)&amp;"denominator"&amp;CHAR(34)&amp;": "&amp;SUBSTITUTE(TRIM(ROUND(IFERROR(CriteriTecnici!$L1181*1,IFERROR(NUMBERVALUE(CriteriTecnici!$L1181,".",","),IFERROR(NUMBERVALUE(CriteriTecnici!$L1181,",","."),0))),4)&amp;""),",",".")&amp;", "&amp;CHAR(34)&amp;"flag"&amp;CHAR(34)&amp;": "&amp;SUBSTITUTE(TRIM(ROUND(IFERROR(CriteriTecnici!$M1181*1,IFERROR(NUMBERVALUE(CriteriTecnici!$M1181,".",","),IFERROR(NUMBERVALUE(CriteriTecnici!$M1181,",","."),0))),4)&amp;""),",",".")&amp;", "&amp;CHAR(34)&amp;"rawScore"&amp;CHAR(34)&amp;": "&amp;SUBSTITUTE(TRIM(ROUND(IFERROR(CriteriTecnici!$O1181*1,IFERROR(NUMBERVALUE(CriteriTecnici!$O1181,".",","),IFERROR(NUMBERVALUE(CriteriTecnici!$O1181,",","."),0))),4)&amp;""),",",".")&amp;CHAR(125)&amp;IF(TRUE,",",""))</f>
        <v/>
      </c>
    </row>
    <row r="1283">
      <c r="A1283" s="82">
        <f>IF(CriteriTecnici!$A1182="","","    "&amp;CHAR(123)&amp;CHAR(34)&amp;"bidderId"&amp;CHAR(34)&amp;": "&amp;CHAR(34)&amp;SUBSTITUTE(CriteriTecnici!$A1182,CHAR(34),"'")&amp;CHAR(34)&amp;", "&amp;CHAR(34)&amp;"lotId"&amp;CHAR(34)&amp;": "&amp;CHAR(34)&amp;SUBSTITUTE(CriteriTecnici!$C1182,CHAR(34),"'")&amp;CHAR(34)&amp;", "&amp;CHAR(34)&amp;"criterionId"&amp;CHAR(34)&amp;": "&amp;CHAR(34)&amp;SUBSTITUTE(CriteriTecnici!$D1182,CHAR(34),"'")&amp;CHAR(34)&amp;", "&amp;CHAR(34)&amp;"kind"&amp;CHAR(34)&amp;": "&amp;CHAR(34)&amp;SUBSTITUTE(CriteriTecnici!$F1182,CHAR(34),"'")&amp;CHAR(34)&amp;", "&amp;CHAR(34)&amp;"value"&amp;CHAR(34)&amp;": "&amp;SUBSTITUTE(TRIM(ROUND(IFERROR(CriteriTecnici!$N1182*1,IFERROR(NUMBERVALUE(CriteriTecnici!$N1182,".",","),IFERROR(NUMBERVALUE(CriteriTecnici!$N1182,",","."),0))),4)&amp;""),",",".")&amp;", "&amp;CHAR(34)&amp;"numerator"&amp;CHAR(34)&amp;": "&amp;SUBSTITUTE(TRIM(ROUND(IFERROR(CriteriTecnici!$K1182*1,IFERROR(NUMBERVALUE(CriteriTecnici!$K1182,".",","),IFERROR(NUMBERVALUE(CriteriTecnici!$K1182,",","."),0))),4)&amp;""),",",".")&amp;", "&amp;CHAR(34)&amp;"denominator"&amp;CHAR(34)&amp;": "&amp;SUBSTITUTE(TRIM(ROUND(IFERROR(CriteriTecnici!$L1182*1,IFERROR(NUMBERVALUE(CriteriTecnici!$L1182,".",","),IFERROR(NUMBERVALUE(CriteriTecnici!$L1182,",","."),0))),4)&amp;""),",",".")&amp;", "&amp;CHAR(34)&amp;"flag"&amp;CHAR(34)&amp;": "&amp;SUBSTITUTE(TRIM(ROUND(IFERROR(CriteriTecnici!$M1182*1,IFERROR(NUMBERVALUE(CriteriTecnici!$M1182,".",","),IFERROR(NUMBERVALUE(CriteriTecnici!$M1182,",","."),0))),4)&amp;""),",",".")&amp;", "&amp;CHAR(34)&amp;"rawScore"&amp;CHAR(34)&amp;": "&amp;SUBSTITUTE(TRIM(ROUND(IFERROR(CriteriTecnici!$O1182*1,IFERROR(NUMBERVALUE(CriteriTecnici!$O1182,".",","),IFERROR(NUMBERVALUE(CriteriTecnici!$O1182,",","."),0))),4)&amp;""),",",".")&amp;CHAR(125)&amp;IF(COUNTA(Offerte!$A40:$A$81)&gt;0,",",""))</f>
        <v/>
      </c>
    </row>
    <row r="1284">
      <c r="A1284" s="82">
        <f>IF(CriteriTecnici!$A1183="","","    "&amp;CHAR(123)&amp;CHAR(34)&amp;"bidderId"&amp;CHAR(34)&amp;": "&amp;CHAR(34)&amp;SUBSTITUTE(CriteriTecnici!$A1183,CHAR(34),"'")&amp;CHAR(34)&amp;", "&amp;CHAR(34)&amp;"lotId"&amp;CHAR(34)&amp;": "&amp;CHAR(34)&amp;SUBSTITUTE(CriteriTecnici!$C1183,CHAR(34),"'")&amp;CHAR(34)&amp;", "&amp;CHAR(34)&amp;"criterionId"&amp;CHAR(34)&amp;": "&amp;CHAR(34)&amp;SUBSTITUTE(CriteriTecnici!$D1183,CHAR(34),"'")&amp;CHAR(34)&amp;", "&amp;CHAR(34)&amp;"kind"&amp;CHAR(34)&amp;": "&amp;CHAR(34)&amp;SUBSTITUTE(CriteriTecnici!$F1183,CHAR(34),"'")&amp;CHAR(34)&amp;", "&amp;CHAR(34)&amp;"value"&amp;CHAR(34)&amp;": "&amp;SUBSTITUTE(TRIM(ROUND(IFERROR(CriteriTecnici!$N1183*1,IFERROR(NUMBERVALUE(CriteriTecnici!$N1183,".",","),IFERROR(NUMBERVALUE(CriteriTecnici!$N1183,",","."),0))),4)&amp;""),",",".")&amp;", "&amp;CHAR(34)&amp;"numerator"&amp;CHAR(34)&amp;": "&amp;SUBSTITUTE(TRIM(ROUND(IFERROR(CriteriTecnici!$K1183*1,IFERROR(NUMBERVALUE(CriteriTecnici!$K1183,".",","),IFERROR(NUMBERVALUE(CriteriTecnici!$K1183,",","."),0))),4)&amp;""),",",".")&amp;", "&amp;CHAR(34)&amp;"denominator"&amp;CHAR(34)&amp;": "&amp;SUBSTITUTE(TRIM(ROUND(IFERROR(CriteriTecnici!$L1183*1,IFERROR(NUMBERVALUE(CriteriTecnici!$L1183,".",","),IFERROR(NUMBERVALUE(CriteriTecnici!$L1183,",","."),0))),4)&amp;""),",",".")&amp;", "&amp;CHAR(34)&amp;"flag"&amp;CHAR(34)&amp;": "&amp;SUBSTITUTE(TRIM(ROUND(IFERROR(CriteriTecnici!$M1183*1,IFERROR(NUMBERVALUE(CriteriTecnici!$M1183,".",","),IFERROR(NUMBERVALUE(CriteriTecnici!$M1183,",","."),0))),4)&amp;""),",",".")&amp;", "&amp;CHAR(34)&amp;"rawScore"&amp;CHAR(34)&amp;": "&amp;SUBSTITUTE(TRIM(ROUND(IFERROR(CriteriTecnici!$O1183*1,IFERROR(NUMBERVALUE(CriteriTecnici!$O1183,".",","),IFERROR(NUMBERVALUE(CriteriTecnici!$O1183,",","."),0))),4)&amp;""),",",".")&amp;CHAR(125)&amp;IF(TRUE,",",""))</f>
        <v/>
      </c>
    </row>
    <row r="1285">
      <c r="A1285" s="82">
        <f>IF(CriteriTecnici!$A1184="","","    "&amp;CHAR(123)&amp;CHAR(34)&amp;"bidderId"&amp;CHAR(34)&amp;": "&amp;CHAR(34)&amp;SUBSTITUTE(CriteriTecnici!$A1184,CHAR(34),"'")&amp;CHAR(34)&amp;", "&amp;CHAR(34)&amp;"lotId"&amp;CHAR(34)&amp;": "&amp;CHAR(34)&amp;SUBSTITUTE(CriteriTecnici!$C1184,CHAR(34),"'")&amp;CHAR(34)&amp;", "&amp;CHAR(34)&amp;"criterionId"&amp;CHAR(34)&amp;": "&amp;CHAR(34)&amp;SUBSTITUTE(CriteriTecnici!$D1184,CHAR(34),"'")&amp;CHAR(34)&amp;", "&amp;CHAR(34)&amp;"kind"&amp;CHAR(34)&amp;": "&amp;CHAR(34)&amp;SUBSTITUTE(CriteriTecnici!$F1184,CHAR(34),"'")&amp;CHAR(34)&amp;", "&amp;CHAR(34)&amp;"value"&amp;CHAR(34)&amp;": "&amp;SUBSTITUTE(TRIM(ROUND(IFERROR(CriteriTecnici!$N1184*1,IFERROR(NUMBERVALUE(CriteriTecnici!$N1184,".",","),IFERROR(NUMBERVALUE(CriteriTecnici!$N1184,",","."),0))),4)&amp;""),",",".")&amp;", "&amp;CHAR(34)&amp;"numerator"&amp;CHAR(34)&amp;": "&amp;SUBSTITUTE(TRIM(ROUND(IFERROR(CriteriTecnici!$K1184*1,IFERROR(NUMBERVALUE(CriteriTecnici!$K1184,".",","),IFERROR(NUMBERVALUE(CriteriTecnici!$K1184,",","."),0))),4)&amp;""),",",".")&amp;", "&amp;CHAR(34)&amp;"denominator"&amp;CHAR(34)&amp;": "&amp;SUBSTITUTE(TRIM(ROUND(IFERROR(CriteriTecnici!$L1184*1,IFERROR(NUMBERVALUE(CriteriTecnici!$L1184,".",","),IFERROR(NUMBERVALUE(CriteriTecnici!$L1184,",","."),0))),4)&amp;""),",",".")&amp;", "&amp;CHAR(34)&amp;"flag"&amp;CHAR(34)&amp;": "&amp;SUBSTITUTE(TRIM(ROUND(IFERROR(CriteriTecnici!$M1184*1,IFERROR(NUMBERVALUE(CriteriTecnici!$M1184,".",","),IFERROR(NUMBERVALUE(CriteriTecnici!$M1184,",","."),0))),4)&amp;""),",",".")&amp;", "&amp;CHAR(34)&amp;"rawScore"&amp;CHAR(34)&amp;": "&amp;SUBSTITUTE(TRIM(ROUND(IFERROR(CriteriTecnici!$O1184*1,IFERROR(NUMBERVALUE(CriteriTecnici!$O1184,".",","),IFERROR(NUMBERVALUE(CriteriTecnici!$O1184,",","."),0))),4)&amp;""),",",".")&amp;CHAR(125)&amp;IF(TRUE,",",""))</f>
        <v/>
      </c>
    </row>
    <row r="1286">
      <c r="A1286" s="82">
        <f>IF(CriteriTecnici!$A1185="","","    "&amp;CHAR(123)&amp;CHAR(34)&amp;"bidderId"&amp;CHAR(34)&amp;": "&amp;CHAR(34)&amp;SUBSTITUTE(CriteriTecnici!$A1185,CHAR(34),"'")&amp;CHAR(34)&amp;", "&amp;CHAR(34)&amp;"lotId"&amp;CHAR(34)&amp;": "&amp;CHAR(34)&amp;SUBSTITUTE(CriteriTecnici!$C1185,CHAR(34),"'")&amp;CHAR(34)&amp;", "&amp;CHAR(34)&amp;"criterionId"&amp;CHAR(34)&amp;": "&amp;CHAR(34)&amp;SUBSTITUTE(CriteriTecnici!$D1185,CHAR(34),"'")&amp;CHAR(34)&amp;", "&amp;CHAR(34)&amp;"kind"&amp;CHAR(34)&amp;": "&amp;CHAR(34)&amp;SUBSTITUTE(CriteriTecnici!$F1185,CHAR(34),"'")&amp;CHAR(34)&amp;", "&amp;CHAR(34)&amp;"value"&amp;CHAR(34)&amp;": "&amp;SUBSTITUTE(TRIM(ROUND(IFERROR(CriteriTecnici!$N1185*1,IFERROR(NUMBERVALUE(CriteriTecnici!$N1185,".",","),IFERROR(NUMBERVALUE(CriteriTecnici!$N1185,",","."),0))),4)&amp;""),",",".")&amp;", "&amp;CHAR(34)&amp;"numerator"&amp;CHAR(34)&amp;": "&amp;SUBSTITUTE(TRIM(ROUND(IFERROR(CriteriTecnici!$K1185*1,IFERROR(NUMBERVALUE(CriteriTecnici!$K1185,".",","),IFERROR(NUMBERVALUE(CriteriTecnici!$K1185,",","."),0))),4)&amp;""),",",".")&amp;", "&amp;CHAR(34)&amp;"denominator"&amp;CHAR(34)&amp;": "&amp;SUBSTITUTE(TRIM(ROUND(IFERROR(CriteriTecnici!$L1185*1,IFERROR(NUMBERVALUE(CriteriTecnici!$L1185,".",","),IFERROR(NUMBERVALUE(CriteriTecnici!$L1185,",","."),0))),4)&amp;""),",",".")&amp;", "&amp;CHAR(34)&amp;"flag"&amp;CHAR(34)&amp;": "&amp;SUBSTITUTE(TRIM(ROUND(IFERROR(CriteriTecnici!$M1185*1,IFERROR(NUMBERVALUE(CriteriTecnici!$M1185,".",","),IFERROR(NUMBERVALUE(CriteriTecnici!$M1185,",","."),0))),4)&amp;""),",",".")&amp;", "&amp;CHAR(34)&amp;"rawScore"&amp;CHAR(34)&amp;": "&amp;SUBSTITUTE(TRIM(ROUND(IFERROR(CriteriTecnici!$O1185*1,IFERROR(NUMBERVALUE(CriteriTecnici!$O1185,".",","),IFERROR(NUMBERVALUE(CriteriTecnici!$O1185,",","."),0))),4)&amp;""),",",".")&amp;CHAR(125)&amp;IF(TRUE,",",""))</f>
        <v/>
      </c>
    </row>
    <row r="1287">
      <c r="A1287" s="82">
        <f>IF(CriteriTecnici!$A1186="","","    "&amp;CHAR(123)&amp;CHAR(34)&amp;"bidderId"&amp;CHAR(34)&amp;": "&amp;CHAR(34)&amp;SUBSTITUTE(CriteriTecnici!$A1186,CHAR(34),"'")&amp;CHAR(34)&amp;", "&amp;CHAR(34)&amp;"lotId"&amp;CHAR(34)&amp;": "&amp;CHAR(34)&amp;SUBSTITUTE(CriteriTecnici!$C1186,CHAR(34),"'")&amp;CHAR(34)&amp;", "&amp;CHAR(34)&amp;"criterionId"&amp;CHAR(34)&amp;": "&amp;CHAR(34)&amp;SUBSTITUTE(CriteriTecnici!$D1186,CHAR(34),"'")&amp;CHAR(34)&amp;", "&amp;CHAR(34)&amp;"kind"&amp;CHAR(34)&amp;": "&amp;CHAR(34)&amp;SUBSTITUTE(CriteriTecnici!$F1186,CHAR(34),"'")&amp;CHAR(34)&amp;", "&amp;CHAR(34)&amp;"value"&amp;CHAR(34)&amp;": "&amp;SUBSTITUTE(TRIM(ROUND(IFERROR(CriteriTecnici!$N1186*1,IFERROR(NUMBERVALUE(CriteriTecnici!$N1186,".",","),IFERROR(NUMBERVALUE(CriteriTecnici!$N1186,",","."),0))),4)&amp;""),",",".")&amp;", "&amp;CHAR(34)&amp;"numerator"&amp;CHAR(34)&amp;": "&amp;SUBSTITUTE(TRIM(ROUND(IFERROR(CriteriTecnici!$K1186*1,IFERROR(NUMBERVALUE(CriteriTecnici!$K1186,".",","),IFERROR(NUMBERVALUE(CriteriTecnici!$K1186,",","."),0))),4)&amp;""),",",".")&amp;", "&amp;CHAR(34)&amp;"denominator"&amp;CHAR(34)&amp;": "&amp;SUBSTITUTE(TRIM(ROUND(IFERROR(CriteriTecnici!$L1186*1,IFERROR(NUMBERVALUE(CriteriTecnici!$L1186,".",","),IFERROR(NUMBERVALUE(CriteriTecnici!$L1186,",","."),0))),4)&amp;""),",",".")&amp;", "&amp;CHAR(34)&amp;"flag"&amp;CHAR(34)&amp;": "&amp;SUBSTITUTE(TRIM(ROUND(IFERROR(CriteriTecnici!$M1186*1,IFERROR(NUMBERVALUE(CriteriTecnici!$M1186,".",","),IFERROR(NUMBERVALUE(CriteriTecnici!$M1186,",","."),0))),4)&amp;""),",",".")&amp;", "&amp;CHAR(34)&amp;"rawScore"&amp;CHAR(34)&amp;": "&amp;SUBSTITUTE(TRIM(ROUND(IFERROR(CriteriTecnici!$O1186*1,IFERROR(NUMBERVALUE(CriteriTecnici!$O1186,".",","),IFERROR(NUMBERVALUE(CriteriTecnici!$O1186,",","."),0))),4)&amp;""),",",".")&amp;CHAR(125)&amp;IF(TRUE,",",""))</f>
        <v/>
      </c>
    </row>
    <row r="1288">
      <c r="A1288" s="82">
        <f>IF(CriteriTecnici!$A1187="","","    "&amp;CHAR(123)&amp;CHAR(34)&amp;"bidderId"&amp;CHAR(34)&amp;": "&amp;CHAR(34)&amp;SUBSTITUTE(CriteriTecnici!$A1187,CHAR(34),"'")&amp;CHAR(34)&amp;", "&amp;CHAR(34)&amp;"lotId"&amp;CHAR(34)&amp;": "&amp;CHAR(34)&amp;SUBSTITUTE(CriteriTecnici!$C1187,CHAR(34),"'")&amp;CHAR(34)&amp;", "&amp;CHAR(34)&amp;"criterionId"&amp;CHAR(34)&amp;": "&amp;CHAR(34)&amp;SUBSTITUTE(CriteriTecnici!$D1187,CHAR(34),"'")&amp;CHAR(34)&amp;", "&amp;CHAR(34)&amp;"kind"&amp;CHAR(34)&amp;": "&amp;CHAR(34)&amp;SUBSTITUTE(CriteriTecnici!$F1187,CHAR(34),"'")&amp;CHAR(34)&amp;", "&amp;CHAR(34)&amp;"value"&amp;CHAR(34)&amp;": "&amp;SUBSTITUTE(TRIM(ROUND(IFERROR(CriteriTecnici!$N1187*1,IFERROR(NUMBERVALUE(CriteriTecnici!$N1187,".",","),IFERROR(NUMBERVALUE(CriteriTecnici!$N1187,",","."),0))),4)&amp;""),",",".")&amp;", "&amp;CHAR(34)&amp;"numerator"&amp;CHAR(34)&amp;": "&amp;SUBSTITUTE(TRIM(ROUND(IFERROR(CriteriTecnici!$K1187*1,IFERROR(NUMBERVALUE(CriteriTecnici!$K1187,".",","),IFERROR(NUMBERVALUE(CriteriTecnici!$K1187,",","."),0))),4)&amp;""),",",".")&amp;", "&amp;CHAR(34)&amp;"denominator"&amp;CHAR(34)&amp;": "&amp;SUBSTITUTE(TRIM(ROUND(IFERROR(CriteriTecnici!$L1187*1,IFERROR(NUMBERVALUE(CriteriTecnici!$L1187,".",","),IFERROR(NUMBERVALUE(CriteriTecnici!$L1187,",","."),0))),4)&amp;""),",",".")&amp;", "&amp;CHAR(34)&amp;"flag"&amp;CHAR(34)&amp;": "&amp;SUBSTITUTE(TRIM(ROUND(IFERROR(CriteriTecnici!$M1187*1,IFERROR(NUMBERVALUE(CriteriTecnici!$M1187,".",","),IFERROR(NUMBERVALUE(CriteriTecnici!$M1187,",","."),0))),4)&amp;""),",",".")&amp;", "&amp;CHAR(34)&amp;"rawScore"&amp;CHAR(34)&amp;": "&amp;SUBSTITUTE(TRIM(ROUND(IFERROR(CriteriTecnici!$O1187*1,IFERROR(NUMBERVALUE(CriteriTecnici!$O1187,".",","),IFERROR(NUMBERVALUE(CriteriTecnici!$O1187,",","."),0))),4)&amp;""),",",".")&amp;CHAR(125)&amp;IF(TRUE,",",""))</f>
        <v/>
      </c>
    </row>
    <row r="1289">
      <c r="A1289" s="82">
        <f>IF(CriteriTecnici!$A1188="","","    "&amp;CHAR(123)&amp;CHAR(34)&amp;"bidderId"&amp;CHAR(34)&amp;": "&amp;CHAR(34)&amp;SUBSTITUTE(CriteriTecnici!$A1188,CHAR(34),"'")&amp;CHAR(34)&amp;", "&amp;CHAR(34)&amp;"lotId"&amp;CHAR(34)&amp;": "&amp;CHAR(34)&amp;SUBSTITUTE(CriteriTecnici!$C1188,CHAR(34),"'")&amp;CHAR(34)&amp;", "&amp;CHAR(34)&amp;"criterionId"&amp;CHAR(34)&amp;": "&amp;CHAR(34)&amp;SUBSTITUTE(CriteriTecnici!$D1188,CHAR(34),"'")&amp;CHAR(34)&amp;", "&amp;CHAR(34)&amp;"kind"&amp;CHAR(34)&amp;": "&amp;CHAR(34)&amp;SUBSTITUTE(CriteriTecnici!$F1188,CHAR(34),"'")&amp;CHAR(34)&amp;", "&amp;CHAR(34)&amp;"value"&amp;CHAR(34)&amp;": "&amp;SUBSTITUTE(TRIM(ROUND(IFERROR(CriteriTecnici!$N1188*1,IFERROR(NUMBERVALUE(CriteriTecnici!$N1188,".",","),IFERROR(NUMBERVALUE(CriteriTecnici!$N1188,",","."),0))),4)&amp;""),",",".")&amp;", "&amp;CHAR(34)&amp;"numerator"&amp;CHAR(34)&amp;": "&amp;SUBSTITUTE(TRIM(ROUND(IFERROR(CriteriTecnici!$K1188*1,IFERROR(NUMBERVALUE(CriteriTecnici!$K1188,".",","),IFERROR(NUMBERVALUE(CriteriTecnici!$K1188,",","."),0))),4)&amp;""),",",".")&amp;", "&amp;CHAR(34)&amp;"denominator"&amp;CHAR(34)&amp;": "&amp;SUBSTITUTE(TRIM(ROUND(IFERROR(CriteriTecnici!$L1188*1,IFERROR(NUMBERVALUE(CriteriTecnici!$L1188,".",","),IFERROR(NUMBERVALUE(CriteriTecnici!$L1188,",","."),0))),4)&amp;""),",",".")&amp;", "&amp;CHAR(34)&amp;"flag"&amp;CHAR(34)&amp;": "&amp;SUBSTITUTE(TRIM(ROUND(IFERROR(CriteriTecnici!$M1188*1,IFERROR(NUMBERVALUE(CriteriTecnici!$M1188,".",","),IFERROR(NUMBERVALUE(CriteriTecnici!$M1188,",","."),0))),4)&amp;""),",",".")&amp;", "&amp;CHAR(34)&amp;"rawScore"&amp;CHAR(34)&amp;": "&amp;SUBSTITUTE(TRIM(ROUND(IFERROR(CriteriTecnici!$O1188*1,IFERROR(NUMBERVALUE(CriteriTecnici!$O1188,".",","),IFERROR(NUMBERVALUE(CriteriTecnici!$O1188,",","."),0))),4)&amp;""),",",".")&amp;CHAR(125)&amp;IF(TRUE,",",""))</f>
        <v/>
      </c>
    </row>
    <row r="1290">
      <c r="A1290" s="82">
        <f>IF(CriteriTecnici!$A1189="","","    "&amp;CHAR(123)&amp;CHAR(34)&amp;"bidderId"&amp;CHAR(34)&amp;": "&amp;CHAR(34)&amp;SUBSTITUTE(CriteriTecnici!$A1189,CHAR(34),"'")&amp;CHAR(34)&amp;", "&amp;CHAR(34)&amp;"lotId"&amp;CHAR(34)&amp;": "&amp;CHAR(34)&amp;SUBSTITUTE(CriteriTecnici!$C1189,CHAR(34),"'")&amp;CHAR(34)&amp;", "&amp;CHAR(34)&amp;"criterionId"&amp;CHAR(34)&amp;": "&amp;CHAR(34)&amp;SUBSTITUTE(CriteriTecnici!$D1189,CHAR(34),"'")&amp;CHAR(34)&amp;", "&amp;CHAR(34)&amp;"kind"&amp;CHAR(34)&amp;": "&amp;CHAR(34)&amp;SUBSTITUTE(CriteriTecnici!$F1189,CHAR(34),"'")&amp;CHAR(34)&amp;", "&amp;CHAR(34)&amp;"value"&amp;CHAR(34)&amp;": "&amp;SUBSTITUTE(TRIM(ROUND(IFERROR(CriteriTecnici!$N1189*1,IFERROR(NUMBERVALUE(CriteriTecnici!$N1189,".",","),IFERROR(NUMBERVALUE(CriteriTecnici!$N1189,",","."),0))),4)&amp;""),",",".")&amp;", "&amp;CHAR(34)&amp;"numerator"&amp;CHAR(34)&amp;": "&amp;SUBSTITUTE(TRIM(ROUND(IFERROR(CriteriTecnici!$K1189*1,IFERROR(NUMBERVALUE(CriteriTecnici!$K1189,".",","),IFERROR(NUMBERVALUE(CriteriTecnici!$K1189,",","."),0))),4)&amp;""),",",".")&amp;", "&amp;CHAR(34)&amp;"denominator"&amp;CHAR(34)&amp;": "&amp;SUBSTITUTE(TRIM(ROUND(IFERROR(CriteriTecnici!$L1189*1,IFERROR(NUMBERVALUE(CriteriTecnici!$L1189,".",","),IFERROR(NUMBERVALUE(CriteriTecnici!$L1189,",","."),0))),4)&amp;""),",",".")&amp;", "&amp;CHAR(34)&amp;"flag"&amp;CHAR(34)&amp;": "&amp;SUBSTITUTE(TRIM(ROUND(IFERROR(CriteriTecnici!$M1189*1,IFERROR(NUMBERVALUE(CriteriTecnici!$M1189,".",","),IFERROR(NUMBERVALUE(CriteriTecnici!$M1189,",","."),0))),4)&amp;""),",",".")&amp;", "&amp;CHAR(34)&amp;"rawScore"&amp;CHAR(34)&amp;": "&amp;SUBSTITUTE(TRIM(ROUND(IFERROR(CriteriTecnici!$O1189*1,IFERROR(NUMBERVALUE(CriteriTecnici!$O1189,".",","),IFERROR(NUMBERVALUE(CriteriTecnici!$O1189,",","."),0))),4)&amp;""),",",".")&amp;CHAR(125)&amp;IF(TRUE,",",""))</f>
        <v/>
      </c>
    </row>
    <row r="1291">
      <c r="A1291" s="82">
        <f>IF(CriteriTecnici!$A1190="","","    "&amp;CHAR(123)&amp;CHAR(34)&amp;"bidderId"&amp;CHAR(34)&amp;": "&amp;CHAR(34)&amp;SUBSTITUTE(CriteriTecnici!$A1190,CHAR(34),"'")&amp;CHAR(34)&amp;", "&amp;CHAR(34)&amp;"lotId"&amp;CHAR(34)&amp;": "&amp;CHAR(34)&amp;SUBSTITUTE(CriteriTecnici!$C1190,CHAR(34),"'")&amp;CHAR(34)&amp;", "&amp;CHAR(34)&amp;"criterionId"&amp;CHAR(34)&amp;": "&amp;CHAR(34)&amp;SUBSTITUTE(CriteriTecnici!$D1190,CHAR(34),"'")&amp;CHAR(34)&amp;", "&amp;CHAR(34)&amp;"kind"&amp;CHAR(34)&amp;": "&amp;CHAR(34)&amp;SUBSTITUTE(CriteriTecnici!$F1190,CHAR(34),"'")&amp;CHAR(34)&amp;", "&amp;CHAR(34)&amp;"value"&amp;CHAR(34)&amp;": "&amp;SUBSTITUTE(TRIM(ROUND(IFERROR(CriteriTecnici!$N1190*1,IFERROR(NUMBERVALUE(CriteriTecnici!$N1190,".",","),IFERROR(NUMBERVALUE(CriteriTecnici!$N1190,",","."),0))),4)&amp;""),",",".")&amp;", "&amp;CHAR(34)&amp;"numerator"&amp;CHAR(34)&amp;": "&amp;SUBSTITUTE(TRIM(ROUND(IFERROR(CriteriTecnici!$K1190*1,IFERROR(NUMBERVALUE(CriteriTecnici!$K1190,".",","),IFERROR(NUMBERVALUE(CriteriTecnici!$K1190,",","."),0))),4)&amp;""),",",".")&amp;", "&amp;CHAR(34)&amp;"denominator"&amp;CHAR(34)&amp;": "&amp;SUBSTITUTE(TRIM(ROUND(IFERROR(CriteriTecnici!$L1190*1,IFERROR(NUMBERVALUE(CriteriTecnici!$L1190,".",","),IFERROR(NUMBERVALUE(CriteriTecnici!$L1190,",","."),0))),4)&amp;""),",",".")&amp;", "&amp;CHAR(34)&amp;"flag"&amp;CHAR(34)&amp;": "&amp;SUBSTITUTE(TRIM(ROUND(IFERROR(CriteriTecnici!$M1190*1,IFERROR(NUMBERVALUE(CriteriTecnici!$M1190,".",","),IFERROR(NUMBERVALUE(CriteriTecnici!$M1190,",","."),0))),4)&amp;""),",",".")&amp;", "&amp;CHAR(34)&amp;"rawScore"&amp;CHAR(34)&amp;": "&amp;SUBSTITUTE(TRIM(ROUND(IFERROR(CriteriTecnici!$O1190*1,IFERROR(NUMBERVALUE(CriteriTecnici!$O1190,".",","),IFERROR(NUMBERVALUE(CriteriTecnici!$O1190,",","."),0))),4)&amp;""),",",".")&amp;CHAR(125)&amp;IF(TRUE,",",""))</f>
        <v/>
      </c>
    </row>
    <row r="1292">
      <c r="A1292" s="82">
        <f>IF(CriteriTecnici!$A1191="","","    "&amp;CHAR(123)&amp;CHAR(34)&amp;"bidderId"&amp;CHAR(34)&amp;": "&amp;CHAR(34)&amp;SUBSTITUTE(CriteriTecnici!$A1191,CHAR(34),"'")&amp;CHAR(34)&amp;", "&amp;CHAR(34)&amp;"lotId"&amp;CHAR(34)&amp;": "&amp;CHAR(34)&amp;SUBSTITUTE(CriteriTecnici!$C1191,CHAR(34),"'")&amp;CHAR(34)&amp;", "&amp;CHAR(34)&amp;"criterionId"&amp;CHAR(34)&amp;": "&amp;CHAR(34)&amp;SUBSTITUTE(CriteriTecnici!$D1191,CHAR(34),"'")&amp;CHAR(34)&amp;", "&amp;CHAR(34)&amp;"kind"&amp;CHAR(34)&amp;": "&amp;CHAR(34)&amp;SUBSTITUTE(CriteriTecnici!$F1191,CHAR(34),"'")&amp;CHAR(34)&amp;", "&amp;CHAR(34)&amp;"value"&amp;CHAR(34)&amp;": "&amp;SUBSTITUTE(TRIM(ROUND(IFERROR(CriteriTecnici!$N1191*1,IFERROR(NUMBERVALUE(CriteriTecnici!$N1191,".",","),IFERROR(NUMBERVALUE(CriteriTecnici!$N1191,",","."),0))),4)&amp;""),",",".")&amp;", "&amp;CHAR(34)&amp;"numerator"&amp;CHAR(34)&amp;": "&amp;SUBSTITUTE(TRIM(ROUND(IFERROR(CriteriTecnici!$K1191*1,IFERROR(NUMBERVALUE(CriteriTecnici!$K1191,".",","),IFERROR(NUMBERVALUE(CriteriTecnici!$K1191,",","."),0))),4)&amp;""),",",".")&amp;", "&amp;CHAR(34)&amp;"denominator"&amp;CHAR(34)&amp;": "&amp;SUBSTITUTE(TRIM(ROUND(IFERROR(CriteriTecnici!$L1191*1,IFERROR(NUMBERVALUE(CriteriTecnici!$L1191,".",","),IFERROR(NUMBERVALUE(CriteriTecnici!$L1191,",","."),0))),4)&amp;""),",",".")&amp;", "&amp;CHAR(34)&amp;"flag"&amp;CHAR(34)&amp;": "&amp;SUBSTITUTE(TRIM(ROUND(IFERROR(CriteriTecnici!$M1191*1,IFERROR(NUMBERVALUE(CriteriTecnici!$M1191,".",","),IFERROR(NUMBERVALUE(CriteriTecnici!$M1191,",","."),0))),4)&amp;""),",",".")&amp;", "&amp;CHAR(34)&amp;"rawScore"&amp;CHAR(34)&amp;": "&amp;SUBSTITUTE(TRIM(ROUND(IFERROR(CriteriTecnici!$O1191*1,IFERROR(NUMBERVALUE(CriteriTecnici!$O1191,".",","),IFERROR(NUMBERVALUE(CriteriTecnici!$O1191,",","."),0))),4)&amp;""),",",".")&amp;CHAR(125)&amp;IF(TRUE,",",""))</f>
        <v/>
      </c>
    </row>
    <row r="1293">
      <c r="A1293" s="82">
        <f>IF(CriteriTecnici!$A1192="","","    "&amp;CHAR(123)&amp;CHAR(34)&amp;"bidderId"&amp;CHAR(34)&amp;": "&amp;CHAR(34)&amp;SUBSTITUTE(CriteriTecnici!$A1192,CHAR(34),"'")&amp;CHAR(34)&amp;", "&amp;CHAR(34)&amp;"lotId"&amp;CHAR(34)&amp;": "&amp;CHAR(34)&amp;SUBSTITUTE(CriteriTecnici!$C1192,CHAR(34),"'")&amp;CHAR(34)&amp;", "&amp;CHAR(34)&amp;"criterionId"&amp;CHAR(34)&amp;": "&amp;CHAR(34)&amp;SUBSTITUTE(CriteriTecnici!$D1192,CHAR(34),"'")&amp;CHAR(34)&amp;", "&amp;CHAR(34)&amp;"kind"&amp;CHAR(34)&amp;": "&amp;CHAR(34)&amp;SUBSTITUTE(CriteriTecnici!$F1192,CHAR(34),"'")&amp;CHAR(34)&amp;", "&amp;CHAR(34)&amp;"value"&amp;CHAR(34)&amp;": "&amp;SUBSTITUTE(TRIM(ROUND(IFERROR(CriteriTecnici!$N1192*1,IFERROR(NUMBERVALUE(CriteriTecnici!$N1192,".",","),IFERROR(NUMBERVALUE(CriteriTecnici!$N1192,",","."),0))),4)&amp;""),",",".")&amp;", "&amp;CHAR(34)&amp;"numerator"&amp;CHAR(34)&amp;": "&amp;SUBSTITUTE(TRIM(ROUND(IFERROR(CriteriTecnici!$K1192*1,IFERROR(NUMBERVALUE(CriteriTecnici!$K1192,".",","),IFERROR(NUMBERVALUE(CriteriTecnici!$K1192,",","."),0))),4)&amp;""),",",".")&amp;", "&amp;CHAR(34)&amp;"denominator"&amp;CHAR(34)&amp;": "&amp;SUBSTITUTE(TRIM(ROUND(IFERROR(CriteriTecnici!$L1192*1,IFERROR(NUMBERVALUE(CriteriTecnici!$L1192,".",","),IFERROR(NUMBERVALUE(CriteriTecnici!$L1192,",","."),0))),4)&amp;""),",",".")&amp;", "&amp;CHAR(34)&amp;"flag"&amp;CHAR(34)&amp;": "&amp;SUBSTITUTE(TRIM(ROUND(IFERROR(CriteriTecnici!$M1192*1,IFERROR(NUMBERVALUE(CriteriTecnici!$M1192,".",","),IFERROR(NUMBERVALUE(CriteriTecnici!$M1192,",","."),0))),4)&amp;""),",",".")&amp;", "&amp;CHAR(34)&amp;"rawScore"&amp;CHAR(34)&amp;": "&amp;SUBSTITUTE(TRIM(ROUND(IFERROR(CriteriTecnici!$O1192*1,IFERROR(NUMBERVALUE(CriteriTecnici!$O1192,".",","),IFERROR(NUMBERVALUE(CriteriTecnici!$O1192,",","."),0))),4)&amp;""),",",".")&amp;CHAR(125)&amp;IF(TRUE,",",""))</f>
        <v/>
      </c>
    </row>
    <row r="1294">
      <c r="A1294" s="82">
        <f>IF(CriteriTecnici!$A1193="","","    "&amp;CHAR(123)&amp;CHAR(34)&amp;"bidderId"&amp;CHAR(34)&amp;": "&amp;CHAR(34)&amp;SUBSTITUTE(CriteriTecnici!$A1193,CHAR(34),"'")&amp;CHAR(34)&amp;", "&amp;CHAR(34)&amp;"lotId"&amp;CHAR(34)&amp;": "&amp;CHAR(34)&amp;SUBSTITUTE(CriteriTecnici!$C1193,CHAR(34),"'")&amp;CHAR(34)&amp;", "&amp;CHAR(34)&amp;"criterionId"&amp;CHAR(34)&amp;": "&amp;CHAR(34)&amp;SUBSTITUTE(CriteriTecnici!$D1193,CHAR(34),"'")&amp;CHAR(34)&amp;", "&amp;CHAR(34)&amp;"kind"&amp;CHAR(34)&amp;": "&amp;CHAR(34)&amp;SUBSTITUTE(CriteriTecnici!$F1193,CHAR(34),"'")&amp;CHAR(34)&amp;", "&amp;CHAR(34)&amp;"value"&amp;CHAR(34)&amp;": "&amp;SUBSTITUTE(TRIM(ROUND(IFERROR(CriteriTecnici!$N1193*1,IFERROR(NUMBERVALUE(CriteriTecnici!$N1193,".",","),IFERROR(NUMBERVALUE(CriteriTecnici!$N1193,",","."),0))),4)&amp;""),",",".")&amp;", "&amp;CHAR(34)&amp;"numerator"&amp;CHAR(34)&amp;": "&amp;SUBSTITUTE(TRIM(ROUND(IFERROR(CriteriTecnici!$K1193*1,IFERROR(NUMBERVALUE(CriteriTecnici!$K1193,".",","),IFERROR(NUMBERVALUE(CriteriTecnici!$K1193,",","."),0))),4)&amp;""),",",".")&amp;", "&amp;CHAR(34)&amp;"denominator"&amp;CHAR(34)&amp;": "&amp;SUBSTITUTE(TRIM(ROUND(IFERROR(CriteriTecnici!$L1193*1,IFERROR(NUMBERVALUE(CriteriTecnici!$L1193,".",","),IFERROR(NUMBERVALUE(CriteriTecnici!$L1193,",","."),0))),4)&amp;""),",",".")&amp;", "&amp;CHAR(34)&amp;"flag"&amp;CHAR(34)&amp;": "&amp;SUBSTITUTE(TRIM(ROUND(IFERROR(CriteriTecnici!$M1193*1,IFERROR(NUMBERVALUE(CriteriTecnici!$M1193,".",","),IFERROR(NUMBERVALUE(CriteriTecnici!$M1193,",","."),0))),4)&amp;""),",",".")&amp;", "&amp;CHAR(34)&amp;"rawScore"&amp;CHAR(34)&amp;": "&amp;SUBSTITUTE(TRIM(ROUND(IFERROR(CriteriTecnici!$O1193*1,IFERROR(NUMBERVALUE(CriteriTecnici!$O1193,".",","),IFERROR(NUMBERVALUE(CriteriTecnici!$O1193,",","."),0))),4)&amp;""),",",".")&amp;CHAR(125)&amp;IF(TRUE,",",""))</f>
        <v/>
      </c>
    </row>
    <row r="1295">
      <c r="A1295" s="82">
        <f>IF(CriteriTecnici!$A1194="","","    "&amp;CHAR(123)&amp;CHAR(34)&amp;"bidderId"&amp;CHAR(34)&amp;": "&amp;CHAR(34)&amp;SUBSTITUTE(CriteriTecnici!$A1194,CHAR(34),"'")&amp;CHAR(34)&amp;", "&amp;CHAR(34)&amp;"lotId"&amp;CHAR(34)&amp;": "&amp;CHAR(34)&amp;SUBSTITUTE(CriteriTecnici!$C1194,CHAR(34),"'")&amp;CHAR(34)&amp;", "&amp;CHAR(34)&amp;"criterionId"&amp;CHAR(34)&amp;": "&amp;CHAR(34)&amp;SUBSTITUTE(CriteriTecnici!$D1194,CHAR(34),"'")&amp;CHAR(34)&amp;", "&amp;CHAR(34)&amp;"kind"&amp;CHAR(34)&amp;": "&amp;CHAR(34)&amp;SUBSTITUTE(CriteriTecnici!$F1194,CHAR(34),"'")&amp;CHAR(34)&amp;", "&amp;CHAR(34)&amp;"value"&amp;CHAR(34)&amp;": "&amp;SUBSTITUTE(TRIM(ROUND(IFERROR(CriteriTecnici!$N1194*1,IFERROR(NUMBERVALUE(CriteriTecnici!$N1194,".",","),IFERROR(NUMBERVALUE(CriteriTecnici!$N1194,",","."),0))),4)&amp;""),",",".")&amp;", "&amp;CHAR(34)&amp;"numerator"&amp;CHAR(34)&amp;": "&amp;SUBSTITUTE(TRIM(ROUND(IFERROR(CriteriTecnici!$K1194*1,IFERROR(NUMBERVALUE(CriteriTecnici!$K1194,".",","),IFERROR(NUMBERVALUE(CriteriTecnici!$K1194,",","."),0))),4)&amp;""),",",".")&amp;", "&amp;CHAR(34)&amp;"denominator"&amp;CHAR(34)&amp;": "&amp;SUBSTITUTE(TRIM(ROUND(IFERROR(CriteriTecnici!$L1194*1,IFERROR(NUMBERVALUE(CriteriTecnici!$L1194,".",","),IFERROR(NUMBERVALUE(CriteriTecnici!$L1194,",","."),0))),4)&amp;""),",",".")&amp;", "&amp;CHAR(34)&amp;"flag"&amp;CHAR(34)&amp;": "&amp;SUBSTITUTE(TRIM(ROUND(IFERROR(CriteriTecnici!$M1194*1,IFERROR(NUMBERVALUE(CriteriTecnici!$M1194,".",","),IFERROR(NUMBERVALUE(CriteriTecnici!$M1194,",","."),0))),4)&amp;""),",",".")&amp;", "&amp;CHAR(34)&amp;"rawScore"&amp;CHAR(34)&amp;": "&amp;SUBSTITUTE(TRIM(ROUND(IFERROR(CriteriTecnici!$O1194*1,IFERROR(NUMBERVALUE(CriteriTecnici!$O1194,".",","),IFERROR(NUMBERVALUE(CriteriTecnici!$O1194,",","."),0))),4)&amp;""),",",".")&amp;CHAR(125)&amp;IF(TRUE,",",""))</f>
        <v/>
      </c>
    </row>
    <row r="1296">
      <c r="A1296" s="82">
        <f>IF(CriteriTecnici!$A1195="","","    "&amp;CHAR(123)&amp;CHAR(34)&amp;"bidderId"&amp;CHAR(34)&amp;": "&amp;CHAR(34)&amp;SUBSTITUTE(CriteriTecnici!$A1195,CHAR(34),"'")&amp;CHAR(34)&amp;", "&amp;CHAR(34)&amp;"lotId"&amp;CHAR(34)&amp;": "&amp;CHAR(34)&amp;SUBSTITUTE(CriteriTecnici!$C1195,CHAR(34),"'")&amp;CHAR(34)&amp;", "&amp;CHAR(34)&amp;"criterionId"&amp;CHAR(34)&amp;": "&amp;CHAR(34)&amp;SUBSTITUTE(CriteriTecnici!$D1195,CHAR(34),"'")&amp;CHAR(34)&amp;", "&amp;CHAR(34)&amp;"kind"&amp;CHAR(34)&amp;": "&amp;CHAR(34)&amp;SUBSTITUTE(CriteriTecnici!$F1195,CHAR(34),"'")&amp;CHAR(34)&amp;", "&amp;CHAR(34)&amp;"value"&amp;CHAR(34)&amp;": "&amp;SUBSTITUTE(TRIM(ROUND(IFERROR(CriteriTecnici!$N1195*1,IFERROR(NUMBERVALUE(CriteriTecnici!$N1195,".",","),IFERROR(NUMBERVALUE(CriteriTecnici!$N1195,",","."),0))),4)&amp;""),",",".")&amp;", "&amp;CHAR(34)&amp;"numerator"&amp;CHAR(34)&amp;": "&amp;SUBSTITUTE(TRIM(ROUND(IFERROR(CriteriTecnici!$K1195*1,IFERROR(NUMBERVALUE(CriteriTecnici!$K1195,".",","),IFERROR(NUMBERVALUE(CriteriTecnici!$K1195,",","."),0))),4)&amp;""),",",".")&amp;", "&amp;CHAR(34)&amp;"denominator"&amp;CHAR(34)&amp;": "&amp;SUBSTITUTE(TRIM(ROUND(IFERROR(CriteriTecnici!$L1195*1,IFERROR(NUMBERVALUE(CriteriTecnici!$L1195,".",","),IFERROR(NUMBERVALUE(CriteriTecnici!$L1195,",","."),0))),4)&amp;""),",",".")&amp;", "&amp;CHAR(34)&amp;"flag"&amp;CHAR(34)&amp;": "&amp;SUBSTITUTE(TRIM(ROUND(IFERROR(CriteriTecnici!$M1195*1,IFERROR(NUMBERVALUE(CriteriTecnici!$M1195,".",","),IFERROR(NUMBERVALUE(CriteriTecnici!$M1195,",","."),0))),4)&amp;""),",",".")&amp;", "&amp;CHAR(34)&amp;"rawScore"&amp;CHAR(34)&amp;": "&amp;SUBSTITUTE(TRIM(ROUND(IFERROR(CriteriTecnici!$O1195*1,IFERROR(NUMBERVALUE(CriteriTecnici!$O1195,".",","),IFERROR(NUMBERVALUE(CriteriTecnici!$O1195,",","."),0))),4)&amp;""),",",".")&amp;CHAR(125)&amp;IF(TRUE,",",""))</f>
        <v/>
      </c>
    </row>
    <row r="1297">
      <c r="A1297" s="82">
        <f>IF(CriteriTecnici!$A1196="","","    "&amp;CHAR(123)&amp;CHAR(34)&amp;"bidderId"&amp;CHAR(34)&amp;": "&amp;CHAR(34)&amp;SUBSTITUTE(CriteriTecnici!$A1196,CHAR(34),"'")&amp;CHAR(34)&amp;", "&amp;CHAR(34)&amp;"lotId"&amp;CHAR(34)&amp;": "&amp;CHAR(34)&amp;SUBSTITUTE(CriteriTecnici!$C1196,CHAR(34),"'")&amp;CHAR(34)&amp;", "&amp;CHAR(34)&amp;"criterionId"&amp;CHAR(34)&amp;": "&amp;CHAR(34)&amp;SUBSTITUTE(CriteriTecnici!$D1196,CHAR(34),"'")&amp;CHAR(34)&amp;", "&amp;CHAR(34)&amp;"kind"&amp;CHAR(34)&amp;": "&amp;CHAR(34)&amp;SUBSTITUTE(CriteriTecnici!$F1196,CHAR(34),"'")&amp;CHAR(34)&amp;", "&amp;CHAR(34)&amp;"value"&amp;CHAR(34)&amp;": "&amp;SUBSTITUTE(TRIM(ROUND(IFERROR(CriteriTecnici!$N1196*1,IFERROR(NUMBERVALUE(CriteriTecnici!$N1196,".",","),IFERROR(NUMBERVALUE(CriteriTecnici!$N1196,",","."),0))),4)&amp;""),",",".")&amp;", "&amp;CHAR(34)&amp;"numerator"&amp;CHAR(34)&amp;": "&amp;SUBSTITUTE(TRIM(ROUND(IFERROR(CriteriTecnici!$K1196*1,IFERROR(NUMBERVALUE(CriteriTecnici!$K1196,".",","),IFERROR(NUMBERVALUE(CriteriTecnici!$K1196,",","."),0))),4)&amp;""),",",".")&amp;", "&amp;CHAR(34)&amp;"denominator"&amp;CHAR(34)&amp;": "&amp;SUBSTITUTE(TRIM(ROUND(IFERROR(CriteriTecnici!$L1196*1,IFERROR(NUMBERVALUE(CriteriTecnici!$L1196,".",","),IFERROR(NUMBERVALUE(CriteriTecnici!$L1196,",","."),0))),4)&amp;""),",",".")&amp;", "&amp;CHAR(34)&amp;"flag"&amp;CHAR(34)&amp;": "&amp;SUBSTITUTE(TRIM(ROUND(IFERROR(CriteriTecnici!$M1196*1,IFERROR(NUMBERVALUE(CriteriTecnici!$M1196,".",","),IFERROR(NUMBERVALUE(CriteriTecnici!$M1196,",","."),0))),4)&amp;""),",",".")&amp;", "&amp;CHAR(34)&amp;"rawScore"&amp;CHAR(34)&amp;": "&amp;SUBSTITUTE(TRIM(ROUND(IFERROR(CriteriTecnici!$O1196*1,IFERROR(NUMBERVALUE(CriteriTecnici!$O1196,".",","),IFERROR(NUMBERVALUE(CriteriTecnici!$O1196,",","."),0))),4)&amp;""),",",".")&amp;CHAR(125)&amp;IF(TRUE,",",""))</f>
        <v/>
      </c>
    </row>
    <row r="1298">
      <c r="A1298" s="82">
        <f>IF(CriteriTecnici!$A1197="","","    "&amp;CHAR(123)&amp;CHAR(34)&amp;"bidderId"&amp;CHAR(34)&amp;": "&amp;CHAR(34)&amp;SUBSTITUTE(CriteriTecnici!$A1197,CHAR(34),"'")&amp;CHAR(34)&amp;", "&amp;CHAR(34)&amp;"lotId"&amp;CHAR(34)&amp;": "&amp;CHAR(34)&amp;SUBSTITUTE(CriteriTecnici!$C1197,CHAR(34),"'")&amp;CHAR(34)&amp;", "&amp;CHAR(34)&amp;"criterionId"&amp;CHAR(34)&amp;": "&amp;CHAR(34)&amp;SUBSTITUTE(CriteriTecnici!$D1197,CHAR(34),"'")&amp;CHAR(34)&amp;", "&amp;CHAR(34)&amp;"kind"&amp;CHAR(34)&amp;": "&amp;CHAR(34)&amp;SUBSTITUTE(CriteriTecnici!$F1197,CHAR(34),"'")&amp;CHAR(34)&amp;", "&amp;CHAR(34)&amp;"value"&amp;CHAR(34)&amp;": "&amp;SUBSTITUTE(TRIM(ROUND(IFERROR(CriteriTecnici!$N1197*1,IFERROR(NUMBERVALUE(CriteriTecnici!$N1197,".",","),IFERROR(NUMBERVALUE(CriteriTecnici!$N1197,",","."),0))),4)&amp;""),",",".")&amp;", "&amp;CHAR(34)&amp;"numerator"&amp;CHAR(34)&amp;": "&amp;SUBSTITUTE(TRIM(ROUND(IFERROR(CriteriTecnici!$K1197*1,IFERROR(NUMBERVALUE(CriteriTecnici!$K1197,".",","),IFERROR(NUMBERVALUE(CriteriTecnici!$K1197,",","."),0))),4)&amp;""),",",".")&amp;", "&amp;CHAR(34)&amp;"denominator"&amp;CHAR(34)&amp;": "&amp;SUBSTITUTE(TRIM(ROUND(IFERROR(CriteriTecnici!$L1197*1,IFERROR(NUMBERVALUE(CriteriTecnici!$L1197,".",","),IFERROR(NUMBERVALUE(CriteriTecnici!$L1197,",","."),0))),4)&amp;""),",",".")&amp;", "&amp;CHAR(34)&amp;"flag"&amp;CHAR(34)&amp;": "&amp;SUBSTITUTE(TRIM(ROUND(IFERROR(CriteriTecnici!$M1197*1,IFERROR(NUMBERVALUE(CriteriTecnici!$M1197,".",","),IFERROR(NUMBERVALUE(CriteriTecnici!$M1197,",","."),0))),4)&amp;""),",",".")&amp;", "&amp;CHAR(34)&amp;"rawScore"&amp;CHAR(34)&amp;": "&amp;SUBSTITUTE(TRIM(ROUND(IFERROR(CriteriTecnici!$O1197*1,IFERROR(NUMBERVALUE(CriteriTecnici!$O1197,".",","),IFERROR(NUMBERVALUE(CriteriTecnici!$O1197,",","."),0))),4)&amp;""),",",".")&amp;CHAR(125)&amp;IF(TRUE,",",""))</f>
        <v/>
      </c>
    </row>
    <row r="1299">
      <c r="A1299" s="82">
        <f>IF(CriteriTecnici!$A1198="","","    "&amp;CHAR(123)&amp;CHAR(34)&amp;"bidderId"&amp;CHAR(34)&amp;": "&amp;CHAR(34)&amp;SUBSTITUTE(CriteriTecnici!$A1198,CHAR(34),"'")&amp;CHAR(34)&amp;", "&amp;CHAR(34)&amp;"lotId"&amp;CHAR(34)&amp;": "&amp;CHAR(34)&amp;SUBSTITUTE(CriteriTecnici!$C1198,CHAR(34),"'")&amp;CHAR(34)&amp;", "&amp;CHAR(34)&amp;"criterionId"&amp;CHAR(34)&amp;": "&amp;CHAR(34)&amp;SUBSTITUTE(CriteriTecnici!$D1198,CHAR(34),"'")&amp;CHAR(34)&amp;", "&amp;CHAR(34)&amp;"kind"&amp;CHAR(34)&amp;": "&amp;CHAR(34)&amp;SUBSTITUTE(CriteriTecnici!$F1198,CHAR(34),"'")&amp;CHAR(34)&amp;", "&amp;CHAR(34)&amp;"value"&amp;CHAR(34)&amp;": "&amp;SUBSTITUTE(TRIM(ROUND(IFERROR(CriteriTecnici!$N1198*1,IFERROR(NUMBERVALUE(CriteriTecnici!$N1198,".",","),IFERROR(NUMBERVALUE(CriteriTecnici!$N1198,",","."),0))),4)&amp;""),",",".")&amp;", "&amp;CHAR(34)&amp;"numerator"&amp;CHAR(34)&amp;": "&amp;SUBSTITUTE(TRIM(ROUND(IFERROR(CriteriTecnici!$K1198*1,IFERROR(NUMBERVALUE(CriteriTecnici!$K1198,".",","),IFERROR(NUMBERVALUE(CriteriTecnici!$K1198,",","."),0))),4)&amp;""),",",".")&amp;", "&amp;CHAR(34)&amp;"denominator"&amp;CHAR(34)&amp;": "&amp;SUBSTITUTE(TRIM(ROUND(IFERROR(CriteriTecnici!$L1198*1,IFERROR(NUMBERVALUE(CriteriTecnici!$L1198,".",","),IFERROR(NUMBERVALUE(CriteriTecnici!$L1198,",","."),0))),4)&amp;""),",",".")&amp;", "&amp;CHAR(34)&amp;"flag"&amp;CHAR(34)&amp;": "&amp;SUBSTITUTE(TRIM(ROUND(IFERROR(CriteriTecnici!$M1198*1,IFERROR(NUMBERVALUE(CriteriTecnici!$M1198,".",","),IFERROR(NUMBERVALUE(CriteriTecnici!$M1198,",","."),0))),4)&amp;""),",",".")&amp;", "&amp;CHAR(34)&amp;"rawScore"&amp;CHAR(34)&amp;": "&amp;SUBSTITUTE(TRIM(ROUND(IFERROR(CriteriTecnici!$O1198*1,IFERROR(NUMBERVALUE(CriteriTecnici!$O1198,".",","),IFERROR(NUMBERVALUE(CriteriTecnici!$O1198,",","."),0))),4)&amp;""),",",".")&amp;CHAR(125)&amp;IF(TRUE,",",""))</f>
        <v/>
      </c>
    </row>
    <row r="1300">
      <c r="A1300" s="82">
        <f>IF(CriteriTecnici!$A1199="","","    "&amp;CHAR(123)&amp;CHAR(34)&amp;"bidderId"&amp;CHAR(34)&amp;": "&amp;CHAR(34)&amp;SUBSTITUTE(CriteriTecnici!$A1199,CHAR(34),"'")&amp;CHAR(34)&amp;", "&amp;CHAR(34)&amp;"lotId"&amp;CHAR(34)&amp;": "&amp;CHAR(34)&amp;SUBSTITUTE(CriteriTecnici!$C1199,CHAR(34),"'")&amp;CHAR(34)&amp;", "&amp;CHAR(34)&amp;"criterionId"&amp;CHAR(34)&amp;": "&amp;CHAR(34)&amp;SUBSTITUTE(CriteriTecnici!$D1199,CHAR(34),"'")&amp;CHAR(34)&amp;", "&amp;CHAR(34)&amp;"kind"&amp;CHAR(34)&amp;": "&amp;CHAR(34)&amp;SUBSTITUTE(CriteriTecnici!$F1199,CHAR(34),"'")&amp;CHAR(34)&amp;", "&amp;CHAR(34)&amp;"value"&amp;CHAR(34)&amp;": "&amp;SUBSTITUTE(TRIM(ROUND(IFERROR(CriteriTecnici!$N1199*1,IFERROR(NUMBERVALUE(CriteriTecnici!$N1199,".",","),IFERROR(NUMBERVALUE(CriteriTecnici!$N1199,",","."),0))),4)&amp;""),",",".")&amp;", "&amp;CHAR(34)&amp;"numerator"&amp;CHAR(34)&amp;": "&amp;SUBSTITUTE(TRIM(ROUND(IFERROR(CriteriTecnici!$K1199*1,IFERROR(NUMBERVALUE(CriteriTecnici!$K1199,".",","),IFERROR(NUMBERVALUE(CriteriTecnici!$K1199,",","."),0))),4)&amp;""),",",".")&amp;", "&amp;CHAR(34)&amp;"denominator"&amp;CHAR(34)&amp;": "&amp;SUBSTITUTE(TRIM(ROUND(IFERROR(CriteriTecnici!$L1199*1,IFERROR(NUMBERVALUE(CriteriTecnici!$L1199,".",","),IFERROR(NUMBERVALUE(CriteriTecnici!$L1199,",","."),0))),4)&amp;""),",",".")&amp;", "&amp;CHAR(34)&amp;"flag"&amp;CHAR(34)&amp;": "&amp;SUBSTITUTE(TRIM(ROUND(IFERROR(CriteriTecnici!$M1199*1,IFERROR(NUMBERVALUE(CriteriTecnici!$M1199,".",","),IFERROR(NUMBERVALUE(CriteriTecnici!$M1199,",","."),0))),4)&amp;""),",",".")&amp;", "&amp;CHAR(34)&amp;"rawScore"&amp;CHAR(34)&amp;": "&amp;SUBSTITUTE(TRIM(ROUND(IFERROR(CriteriTecnici!$O1199*1,IFERROR(NUMBERVALUE(CriteriTecnici!$O1199,".",","),IFERROR(NUMBERVALUE(CriteriTecnici!$O1199,",","."),0))),4)&amp;""),",",".")&amp;CHAR(125)&amp;IF(TRUE,",",""))</f>
        <v/>
      </c>
    </row>
    <row r="1301">
      <c r="A1301" s="82">
        <f>IF(CriteriTecnici!$A1200="","","    "&amp;CHAR(123)&amp;CHAR(34)&amp;"bidderId"&amp;CHAR(34)&amp;": "&amp;CHAR(34)&amp;SUBSTITUTE(CriteriTecnici!$A1200,CHAR(34),"'")&amp;CHAR(34)&amp;", "&amp;CHAR(34)&amp;"lotId"&amp;CHAR(34)&amp;": "&amp;CHAR(34)&amp;SUBSTITUTE(CriteriTecnici!$C1200,CHAR(34),"'")&amp;CHAR(34)&amp;", "&amp;CHAR(34)&amp;"criterionId"&amp;CHAR(34)&amp;": "&amp;CHAR(34)&amp;SUBSTITUTE(CriteriTecnici!$D1200,CHAR(34),"'")&amp;CHAR(34)&amp;", "&amp;CHAR(34)&amp;"kind"&amp;CHAR(34)&amp;": "&amp;CHAR(34)&amp;SUBSTITUTE(CriteriTecnici!$F1200,CHAR(34),"'")&amp;CHAR(34)&amp;", "&amp;CHAR(34)&amp;"value"&amp;CHAR(34)&amp;": "&amp;SUBSTITUTE(TRIM(ROUND(IFERROR(CriteriTecnici!$N1200*1,IFERROR(NUMBERVALUE(CriteriTecnici!$N1200,".",","),IFERROR(NUMBERVALUE(CriteriTecnici!$N1200,",","."),0))),4)&amp;""),",",".")&amp;", "&amp;CHAR(34)&amp;"numerator"&amp;CHAR(34)&amp;": "&amp;SUBSTITUTE(TRIM(ROUND(IFERROR(CriteriTecnici!$K1200*1,IFERROR(NUMBERVALUE(CriteriTecnici!$K1200,".",","),IFERROR(NUMBERVALUE(CriteriTecnici!$K1200,",","."),0))),4)&amp;""),",",".")&amp;", "&amp;CHAR(34)&amp;"denominator"&amp;CHAR(34)&amp;": "&amp;SUBSTITUTE(TRIM(ROUND(IFERROR(CriteriTecnici!$L1200*1,IFERROR(NUMBERVALUE(CriteriTecnici!$L1200,".",","),IFERROR(NUMBERVALUE(CriteriTecnici!$L1200,",","."),0))),4)&amp;""),",",".")&amp;", "&amp;CHAR(34)&amp;"flag"&amp;CHAR(34)&amp;": "&amp;SUBSTITUTE(TRIM(ROUND(IFERROR(CriteriTecnici!$M1200*1,IFERROR(NUMBERVALUE(CriteriTecnici!$M1200,".",","),IFERROR(NUMBERVALUE(CriteriTecnici!$M1200,",","."),0))),4)&amp;""),",",".")&amp;", "&amp;CHAR(34)&amp;"rawScore"&amp;CHAR(34)&amp;": "&amp;SUBSTITUTE(TRIM(ROUND(IFERROR(CriteriTecnici!$O1200*1,IFERROR(NUMBERVALUE(CriteriTecnici!$O1200,".",","),IFERROR(NUMBERVALUE(CriteriTecnici!$O1200,",","."),0))),4)&amp;""),",",".")&amp;CHAR(125)&amp;IF(TRUE,",",""))</f>
        <v/>
      </c>
    </row>
    <row r="1302">
      <c r="A1302" s="82">
        <f>IF(CriteriTecnici!$A1201="","","    "&amp;CHAR(123)&amp;CHAR(34)&amp;"bidderId"&amp;CHAR(34)&amp;": "&amp;CHAR(34)&amp;SUBSTITUTE(CriteriTecnici!$A1201,CHAR(34),"'")&amp;CHAR(34)&amp;", "&amp;CHAR(34)&amp;"lotId"&amp;CHAR(34)&amp;": "&amp;CHAR(34)&amp;SUBSTITUTE(CriteriTecnici!$C1201,CHAR(34),"'")&amp;CHAR(34)&amp;", "&amp;CHAR(34)&amp;"criterionId"&amp;CHAR(34)&amp;": "&amp;CHAR(34)&amp;SUBSTITUTE(CriteriTecnici!$D1201,CHAR(34),"'")&amp;CHAR(34)&amp;", "&amp;CHAR(34)&amp;"kind"&amp;CHAR(34)&amp;": "&amp;CHAR(34)&amp;SUBSTITUTE(CriteriTecnici!$F1201,CHAR(34),"'")&amp;CHAR(34)&amp;", "&amp;CHAR(34)&amp;"value"&amp;CHAR(34)&amp;": "&amp;SUBSTITUTE(TRIM(ROUND(IFERROR(CriteriTecnici!$N1201*1,IFERROR(NUMBERVALUE(CriteriTecnici!$N1201,".",","),IFERROR(NUMBERVALUE(CriteriTecnici!$N1201,",","."),0))),4)&amp;""),",",".")&amp;", "&amp;CHAR(34)&amp;"numerator"&amp;CHAR(34)&amp;": "&amp;SUBSTITUTE(TRIM(ROUND(IFERROR(CriteriTecnici!$K1201*1,IFERROR(NUMBERVALUE(CriteriTecnici!$K1201,".",","),IFERROR(NUMBERVALUE(CriteriTecnici!$K1201,",","."),0))),4)&amp;""),",",".")&amp;", "&amp;CHAR(34)&amp;"denominator"&amp;CHAR(34)&amp;": "&amp;SUBSTITUTE(TRIM(ROUND(IFERROR(CriteriTecnici!$L1201*1,IFERROR(NUMBERVALUE(CriteriTecnici!$L1201,".",","),IFERROR(NUMBERVALUE(CriteriTecnici!$L1201,",","."),0))),4)&amp;""),",",".")&amp;", "&amp;CHAR(34)&amp;"flag"&amp;CHAR(34)&amp;": "&amp;SUBSTITUTE(TRIM(ROUND(IFERROR(CriteriTecnici!$M1201*1,IFERROR(NUMBERVALUE(CriteriTecnici!$M1201,".",","),IFERROR(NUMBERVALUE(CriteriTecnici!$M1201,",","."),0))),4)&amp;""),",",".")&amp;", "&amp;CHAR(34)&amp;"rawScore"&amp;CHAR(34)&amp;": "&amp;SUBSTITUTE(TRIM(ROUND(IFERROR(CriteriTecnici!$O1201*1,IFERROR(NUMBERVALUE(CriteriTecnici!$O1201,".",","),IFERROR(NUMBERVALUE(CriteriTecnici!$O1201,",","."),0))),4)&amp;""),",",".")&amp;CHAR(125)&amp;IF(TRUE,",",""))</f>
        <v/>
      </c>
    </row>
    <row r="1303">
      <c r="A1303" s="82">
        <f>IF(CriteriTecnici!$A1202="","","    "&amp;CHAR(123)&amp;CHAR(34)&amp;"bidderId"&amp;CHAR(34)&amp;": "&amp;CHAR(34)&amp;SUBSTITUTE(CriteriTecnici!$A1202,CHAR(34),"'")&amp;CHAR(34)&amp;", "&amp;CHAR(34)&amp;"lotId"&amp;CHAR(34)&amp;": "&amp;CHAR(34)&amp;SUBSTITUTE(CriteriTecnici!$C1202,CHAR(34),"'")&amp;CHAR(34)&amp;", "&amp;CHAR(34)&amp;"criterionId"&amp;CHAR(34)&amp;": "&amp;CHAR(34)&amp;SUBSTITUTE(CriteriTecnici!$D1202,CHAR(34),"'")&amp;CHAR(34)&amp;", "&amp;CHAR(34)&amp;"kind"&amp;CHAR(34)&amp;": "&amp;CHAR(34)&amp;SUBSTITUTE(CriteriTecnici!$F1202,CHAR(34),"'")&amp;CHAR(34)&amp;", "&amp;CHAR(34)&amp;"value"&amp;CHAR(34)&amp;": "&amp;SUBSTITUTE(TRIM(ROUND(IFERROR(CriteriTecnici!$N1202*1,IFERROR(NUMBERVALUE(CriteriTecnici!$N1202,".",","),IFERROR(NUMBERVALUE(CriteriTecnici!$N1202,",","."),0))),4)&amp;""),",",".")&amp;", "&amp;CHAR(34)&amp;"numerator"&amp;CHAR(34)&amp;": "&amp;SUBSTITUTE(TRIM(ROUND(IFERROR(CriteriTecnici!$K1202*1,IFERROR(NUMBERVALUE(CriteriTecnici!$K1202,".",","),IFERROR(NUMBERVALUE(CriteriTecnici!$K1202,",","."),0))),4)&amp;""),",",".")&amp;", "&amp;CHAR(34)&amp;"denominator"&amp;CHAR(34)&amp;": "&amp;SUBSTITUTE(TRIM(ROUND(IFERROR(CriteriTecnici!$L1202*1,IFERROR(NUMBERVALUE(CriteriTecnici!$L1202,".",","),IFERROR(NUMBERVALUE(CriteriTecnici!$L1202,",","."),0))),4)&amp;""),",",".")&amp;", "&amp;CHAR(34)&amp;"flag"&amp;CHAR(34)&amp;": "&amp;SUBSTITUTE(TRIM(ROUND(IFERROR(CriteriTecnici!$M1202*1,IFERROR(NUMBERVALUE(CriteriTecnici!$M1202,".",","),IFERROR(NUMBERVALUE(CriteriTecnici!$M1202,",","."),0))),4)&amp;""),",",".")&amp;", "&amp;CHAR(34)&amp;"rawScore"&amp;CHAR(34)&amp;": "&amp;SUBSTITUTE(TRIM(ROUND(IFERROR(CriteriTecnici!$O1202*1,IFERROR(NUMBERVALUE(CriteriTecnici!$O1202,".",","),IFERROR(NUMBERVALUE(CriteriTecnici!$O1202,",","."),0))),4)&amp;""),",",".")&amp;CHAR(125)&amp;IF(TRUE,",",""))</f>
        <v/>
      </c>
    </row>
    <row r="1304">
      <c r="A1304" s="82">
        <f>IF(CriteriTecnici!$A1203="","","    "&amp;CHAR(123)&amp;CHAR(34)&amp;"bidderId"&amp;CHAR(34)&amp;": "&amp;CHAR(34)&amp;SUBSTITUTE(CriteriTecnici!$A1203,CHAR(34),"'")&amp;CHAR(34)&amp;", "&amp;CHAR(34)&amp;"lotId"&amp;CHAR(34)&amp;": "&amp;CHAR(34)&amp;SUBSTITUTE(CriteriTecnici!$C1203,CHAR(34),"'")&amp;CHAR(34)&amp;", "&amp;CHAR(34)&amp;"criterionId"&amp;CHAR(34)&amp;": "&amp;CHAR(34)&amp;SUBSTITUTE(CriteriTecnici!$D1203,CHAR(34),"'")&amp;CHAR(34)&amp;", "&amp;CHAR(34)&amp;"kind"&amp;CHAR(34)&amp;": "&amp;CHAR(34)&amp;SUBSTITUTE(CriteriTecnici!$F1203,CHAR(34),"'")&amp;CHAR(34)&amp;", "&amp;CHAR(34)&amp;"value"&amp;CHAR(34)&amp;": "&amp;SUBSTITUTE(TRIM(ROUND(IFERROR(CriteriTecnici!$N1203*1,IFERROR(NUMBERVALUE(CriteriTecnici!$N1203,".",","),IFERROR(NUMBERVALUE(CriteriTecnici!$N1203,",","."),0))),4)&amp;""),",",".")&amp;", "&amp;CHAR(34)&amp;"numerator"&amp;CHAR(34)&amp;": "&amp;SUBSTITUTE(TRIM(ROUND(IFERROR(CriteriTecnici!$K1203*1,IFERROR(NUMBERVALUE(CriteriTecnici!$K1203,".",","),IFERROR(NUMBERVALUE(CriteriTecnici!$K1203,",","."),0))),4)&amp;""),",",".")&amp;", "&amp;CHAR(34)&amp;"denominator"&amp;CHAR(34)&amp;": "&amp;SUBSTITUTE(TRIM(ROUND(IFERROR(CriteriTecnici!$L1203*1,IFERROR(NUMBERVALUE(CriteriTecnici!$L1203,".",","),IFERROR(NUMBERVALUE(CriteriTecnici!$L1203,",","."),0))),4)&amp;""),",",".")&amp;", "&amp;CHAR(34)&amp;"flag"&amp;CHAR(34)&amp;": "&amp;SUBSTITUTE(TRIM(ROUND(IFERROR(CriteriTecnici!$M1203*1,IFERROR(NUMBERVALUE(CriteriTecnici!$M1203,".",","),IFERROR(NUMBERVALUE(CriteriTecnici!$M1203,",","."),0))),4)&amp;""),",",".")&amp;", "&amp;CHAR(34)&amp;"rawScore"&amp;CHAR(34)&amp;": "&amp;SUBSTITUTE(TRIM(ROUND(IFERROR(CriteriTecnici!$O1203*1,IFERROR(NUMBERVALUE(CriteriTecnici!$O1203,".",","),IFERROR(NUMBERVALUE(CriteriTecnici!$O1203,",","."),0))),4)&amp;""),",",".")&amp;CHAR(125)&amp;IF(TRUE,",",""))</f>
        <v/>
      </c>
    </row>
    <row r="1305">
      <c r="A1305" s="82">
        <f>IF(CriteriTecnici!$A1204="","","    "&amp;CHAR(123)&amp;CHAR(34)&amp;"bidderId"&amp;CHAR(34)&amp;": "&amp;CHAR(34)&amp;SUBSTITUTE(CriteriTecnici!$A1204,CHAR(34),"'")&amp;CHAR(34)&amp;", "&amp;CHAR(34)&amp;"lotId"&amp;CHAR(34)&amp;": "&amp;CHAR(34)&amp;SUBSTITUTE(CriteriTecnici!$C1204,CHAR(34),"'")&amp;CHAR(34)&amp;", "&amp;CHAR(34)&amp;"criterionId"&amp;CHAR(34)&amp;": "&amp;CHAR(34)&amp;SUBSTITUTE(CriteriTecnici!$D1204,CHAR(34),"'")&amp;CHAR(34)&amp;", "&amp;CHAR(34)&amp;"kind"&amp;CHAR(34)&amp;": "&amp;CHAR(34)&amp;SUBSTITUTE(CriteriTecnici!$F1204,CHAR(34),"'")&amp;CHAR(34)&amp;", "&amp;CHAR(34)&amp;"value"&amp;CHAR(34)&amp;": "&amp;SUBSTITUTE(TRIM(ROUND(IFERROR(CriteriTecnici!$N1204*1,IFERROR(NUMBERVALUE(CriteriTecnici!$N1204,".",","),IFERROR(NUMBERVALUE(CriteriTecnici!$N1204,",","."),0))),4)&amp;""),",",".")&amp;", "&amp;CHAR(34)&amp;"numerator"&amp;CHAR(34)&amp;": "&amp;SUBSTITUTE(TRIM(ROUND(IFERROR(CriteriTecnici!$K1204*1,IFERROR(NUMBERVALUE(CriteriTecnici!$K1204,".",","),IFERROR(NUMBERVALUE(CriteriTecnici!$K1204,",","."),0))),4)&amp;""),",",".")&amp;", "&amp;CHAR(34)&amp;"denominator"&amp;CHAR(34)&amp;": "&amp;SUBSTITUTE(TRIM(ROUND(IFERROR(CriteriTecnici!$L1204*1,IFERROR(NUMBERVALUE(CriteriTecnici!$L1204,".",","),IFERROR(NUMBERVALUE(CriteriTecnici!$L1204,",","."),0))),4)&amp;""),",",".")&amp;", "&amp;CHAR(34)&amp;"flag"&amp;CHAR(34)&amp;": "&amp;SUBSTITUTE(TRIM(ROUND(IFERROR(CriteriTecnici!$M1204*1,IFERROR(NUMBERVALUE(CriteriTecnici!$M1204,".",","),IFERROR(NUMBERVALUE(CriteriTecnici!$M1204,",","."),0))),4)&amp;""),",",".")&amp;", "&amp;CHAR(34)&amp;"rawScore"&amp;CHAR(34)&amp;": "&amp;SUBSTITUTE(TRIM(ROUND(IFERROR(CriteriTecnici!$O1204*1,IFERROR(NUMBERVALUE(CriteriTecnici!$O1204,".",","),IFERROR(NUMBERVALUE(CriteriTecnici!$O1204,",","."),0))),4)&amp;""),",",".")&amp;CHAR(125)&amp;IF(TRUE,",",""))</f>
        <v/>
      </c>
    </row>
    <row r="1306">
      <c r="A1306" s="82">
        <f>IF(CriteriTecnici!$A1205="","","    "&amp;CHAR(123)&amp;CHAR(34)&amp;"bidderId"&amp;CHAR(34)&amp;": "&amp;CHAR(34)&amp;SUBSTITUTE(CriteriTecnici!$A1205,CHAR(34),"'")&amp;CHAR(34)&amp;", "&amp;CHAR(34)&amp;"lotId"&amp;CHAR(34)&amp;": "&amp;CHAR(34)&amp;SUBSTITUTE(CriteriTecnici!$C1205,CHAR(34),"'")&amp;CHAR(34)&amp;", "&amp;CHAR(34)&amp;"criterionId"&amp;CHAR(34)&amp;": "&amp;CHAR(34)&amp;SUBSTITUTE(CriteriTecnici!$D1205,CHAR(34),"'")&amp;CHAR(34)&amp;", "&amp;CHAR(34)&amp;"kind"&amp;CHAR(34)&amp;": "&amp;CHAR(34)&amp;SUBSTITUTE(CriteriTecnici!$F1205,CHAR(34),"'")&amp;CHAR(34)&amp;", "&amp;CHAR(34)&amp;"value"&amp;CHAR(34)&amp;": "&amp;SUBSTITUTE(TRIM(ROUND(IFERROR(CriteriTecnici!$N1205*1,IFERROR(NUMBERVALUE(CriteriTecnici!$N1205,".",","),IFERROR(NUMBERVALUE(CriteriTecnici!$N1205,",","."),0))),4)&amp;""),",",".")&amp;", "&amp;CHAR(34)&amp;"numerator"&amp;CHAR(34)&amp;": "&amp;SUBSTITUTE(TRIM(ROUND(IFERROR(CriteriTecnici!$K1205*1,IFERROR(NUMBERVALUE(CriteriTecnici!$K1205,".",","),IFERROR(NUMBERVALUE(CriteriTecnici!$K1205,",","."),0))),4)&amp;""),",",".")&amp;", "&amp;CHAR(34)&amp;"denominator"&amp;CHAR(34)&amp;": "&amp;SUBSTITUTE(TRIM(ROUND(IFERROR(CriteriTecnici!$L1205*1,IFERROR(NUMBERVALUE(CriteriTecnici!$L1205,".",","),IFERROR(NUMBERVALUE(CriteriTecnici!$L1205,",","."),0))),4)&amp;""),",",".")&amp;", "&amp;CHAR(34)&amp;"flag"&amp;CHAR(34)&amp;": "&amp;SUBSTITUTE(TRIM(ROUND(IFERROR(CriteriTecnici!$M1205*1,IFERROR(NUMBERVALUE(CriteriTecnici!$M1205,".",","),IFERROR(NUMBERVALUE(CriteriTecnici!$M1205,",","."),0))),4)&amp;""),",",".")&amp;", "&amp;CHAR(34)&amp;"rawScore"&amp;CHAR(34)&amp;": "&amp;SUBSTITUTE(TRIM(ROUND(IFERROR(CriteriTecnici!$O1205*1,IFERROR(NUMBERVALUE(CriteriTecnici!$O1205,".",","),IFERROR(NUMBERVALUE(CriteriTecnici!$O1205,",","."),0))),4)&amp;""),",",".")&amp;CHAR(125)&amp;IF(TRUE,",",""))</f>
        <v/>
      </c>
    </row>
    <row r="1307">
      <c r="A1307" s="82">
        <f>IF(CriteriTecnici!$A1206="","","    "&amp;CHAR(123)&amp;CHAR(34)&amp;"bidderId"&amp;CHAR(34)&amp;": "&amp;CHAR(34)&amp;SUBSTITUTE(CriteriTecnici!$A1206,CHAR(34),"'")&amp;CHAR(34)&amp;", "&amp;CHAR(34)&amp;"lotId"&amp;CHAR(34)&amp;": "&amp;CHAR(34)&amp;SUBSTITUTE(CriteriTecnici!$C1206,CHAR(34),"'")&amp;CHAR(34)&amp;", "&amp;CHAR(34)&amp;"criterionId"&amp;CHAR(34)&amp;": "&amp;CHAR(34)&amp;SUBSTITUTE(CriteriTecnici!$D1206,CHAR(34),"'")&amp;CHAR(34)&amp;", "&amp;CHAR(34)&amp;"kind"&amp;CHAR(34)&amp;": "&amp;CHAR(34)&amp;SUBSTITUTE(CriteriTecnici!$F1206,CHAR(34),"'")&amp;CHAR(34)&amp;", "&amp;CHAR(34)&amp;"value"&amp;CHAR(34)&amp;": "&amp;SUBSTITUTE(TRIM(ROUND(IFERROR(CriteriTecnici!$N1206*1,IFERROR(NUMBERVALUE(CriteriTecnici!$N1206,".",","),IFERROR(NUMBERVALUE(CriteriTecnici!$N1206,",","."),0))),4)&amp;""),",",".")&amp;", "&amp;CHAR(34)&amp;"numerator"&amp;CHAR(34)&amp;": "&amp;SUBSTITUTE(TRIM(ROUND(IFERROR(CriteriTecnici!$K1206*1,IFERROR(NUMBERVALUE(CriteriTecnici!$K1206,".",","),IFERROR(NUMBERVALUE(CriteriTecnici!$K1206,",","."),0))),4)&amp;""),",",".")&amp;", "&amp;CHAR(34)&amp;"denominator"&amp;CHAR(34)&amp;": "&amp;SUBSTITUTE(TRIM(ROUND(IFERROR(CriteriTecnici!$L1206*1,IFERROR(NUMBERVALUE(CriteriTecnici!$L1206,".",","),IFERROR(NUMBERVALUE(CriteriTecnici!$L1206,",","."),0))),4)&amp;""),",",".")&amp;", "&amp;CHAR(34)&amp;"flag"&amp;CHAR(34)&amp;": "&amp;SUBSTITUTE(TRIM(ROUND(IFERROR(CriteriTecnici!$M1206*1,IFERROR(NUMBERVALUE(CriteriTecnici!$M1206,".",","),IFERROR(NUMBERVALUE(CriteriTecnici!$M1206,",","."),0))),4)&amp;""),",",".")&amp;", "&amp;CHAR(34)&amp;"rawScore"&amp;CHAR(34)&amp;": "&amp;SUBSTITUTE(TRIM(ROUND(IFERROR(CriteriTecnici!$O1206*1,IFERROR(NUMBERVALUE(CriteriTecnici!$O1206,".",","),IFERROR(NUMBERVALUE(CriteriTecnici!$O1206,",","."),0))),4)&amp;""),",",".")&amp;CHAR(125)&amp;IF(TRUE,",",""))</f>
        <v/>
      </c>
    </row>
    <row r="1308">
      <c r="A1308" s="82">
        <f>IF(CriteriTecnici!$A1207="","","    "&amp;CHAR(123)&amp;CHAR(34)&amp;"bidderId"&amp;CHAR(34)&amp;": "&amp;CHAR(34)&amp;SUBSTITUTE(CriteriTecnici!$A1207,CHAR(34),"'")&amp;CHAR(34)&amp;", "&amp;CHAR(34)&amp;"lotId"&amp;CHAR(34)&amp;": "&amp;CHAR(34)&amp;SUBSTITUTE(CriteriTecnici!$C1207,CHAR(34),"'")&amp;CHAR(34)&amp;", "&amp;CHAR(34)&amp;"criterionId"&amp;CHAR(34)&amp;": "&amp;CHAR(34)&amp;SUBSTITUTE(CriteriTecnici!$D1207,CHAR(34),"'")&amp;CHAR(34)&amp;", "&amp;CHAR(34)&amp;"kind"&amp;CHAR(34)&amp;": "&amp;CHAR(34)&amp;SUBSTITUTE(CriteriTecnici!$F1207,CHAR(34),"'")&amp;CHAR(34)&amp;", "&amp;CHAR(34)&amp;"value"&amp;CHAR(34)&amp;": "&amp;SUBSTITUTE(TRIM(ROUND(IFERROR(CriteriTecnici!$N1207*1,IFERROR(NUMBERVALUE(CriteriTecnici!$N1207,".",","),IFERROR(NUMBERVALUE(CriteriTecnici!$N1207,",","."),0))),4)&amp;""),",",".")&amp;", "&amp;CHAR(34)&amp;"numerator"&amp;CHAR(34)&amp;": "&amp;SUBSTITUTE(TRIM(ROUND(IFERROR(CriteriTecnici!$K1207*1,IFERROR(NUMBERVALUE(CriteriTecnici!$K1207,".",","),IFERROR(NUMBERVALUE(CriteriTecnici!$K1207,",","."),0))),4)&amp;""),",",".")&amp;", "&amp;CHAR(34)&amp;"denominator"&amp;CHAR(34)&amp;": "&amp;SUBSTITUTE(TRIM(ROUND(IFERROR(CriteriTecnici!$L1207*1,IFERROR(NUMBERVALUE(CriteriTecnici!$L1207,".",","),IFERROR(NUMBERVALUE(CriteriTecnici!$L1207,",","."),0))),4)&amp;""),",",".")&amp;", "&amp;CHAR(34)&amp;"flag"&amp;CHAR(34)&amp;": "&amp;SUBSTITUTE(TRIM(ROUND(IFERROR(CriteriTecnici!$M1207*1,IFERROR(NUMBERVALUE(CriteriTecnici!$M1207,".",","),IFERROR(NUMBERVALUE(CriteriTecnici!$M1207,",","."),0))),4)&amp;""),",",".")&amp;", "&amp;CHAR(34)&amp;"rawScore"&amp;CHAR(34)&amp;": "&amp;SUBSTITUTE(TRIM(ROUND(IFERROR(CriteriTecnici!$O1207*1,IFERROR(NUMBERVALUE(CriteriTecnici!$O1207,".",","),IFERROR(NUMBERVALUE(CriteriTecnici!$O1207,",","."),0))),4)&amp;""),",",".")&amp;CHAR(125)&amp;IF(TRUE,",",""))</f>
        <v/>
      </c>
    </row>
    <row r="1309">
      <c r="A1309" s="82">
        <f>IF(CriteriTecnici!$A1208="","","    "&amp;CHAR(123)&amp;CHAR(34)&amp;"bidderId"&amp;CHAR(34)&amp;": "&amp;CHAR(34)&amp;SUBSTITUTE(CriteriTecnici!$A1208,CHAR(34),"'")&amp;CHAR(34)&amp;", "&amp;CHAR(34)&amp;"lotId"&amp;CHAR(34)&amp;": "&amp;CHAR(34)&amp;SUBSTITUTE(CriteriTecnici!$C1208,CHAR(34),"'")&amp;CHAR(34)&amp;", "&amp;CHAR(34)&amp;"criterionId"&amp;CHAR(34)&amp;": "&amp;CHAR(34)&amp;SUBSTITUTE(CriteriTecnici!$D1208,CHAR(34),"'")&amp;CHAR(34)&amp;", "&amp;CHAR(34)&amp;"kind"&amp;CHAR(34)&amp;": "&amp;CHAR(34)&amp;SUBSTITUTE(CriteriTecnici!$F1208,CHAR(34),"'")&amp;CHAR(34)&amp;", "&amp;CHAR(34)&amp;"value"&amp;CHAR(34)&amp;": "&amp;SUBSTITUTE(TRIM(ROUND(IFERROR(CriteriTecnici!$N1208*1,IFERROR(NUMBERVALUE(CriteriTecnici!$N1208,".",","),IFERROR(NUMBERVALUE(CriteriTecnici!$N1208,",","."),0))),4)&amp;""),",",".")&amp;", "&amp;CHAR(34)&amp;"numerator"&amp;CHAR(34)&amp;": "&amp;SUBSTITUTE(TRIM(ROUND(IFERROR(CriteriTecnici!$K1208*1,IFERROR(NUMBERVALUE(CriteriTecnici!$K1208,".",","),IFERROR(NUMBERVALUE(CriteriTecnici!$K1208,",","."),0))),4)&amp;""),",",".")&amp;", "&amp;CHAR(34)&amp;"denominator"&amp;CHAR(34)&amp;": "&amp;SUBSTITUTE(TRIM(ROUND(IFERROR(CriteriTecnici!$L1208*1,IFERROR(NUMBERVALUE(CriteriTecnici!$L1208,".",","),IFERROR(NUMBERVALUE(CriteriTecnici!$L1208,",","."),0))),4)&amp;""),",",".")&amp;", "&amp;CHAR(34)&amp;"flag"&amp;CHAR(34)&amp;": "&amp;SUBSTITUTE(TRIM(ROUND(IFERROR(CriteriTecnici!$M1208*1,IFERROR(NUMBERVALUE(CriteriTecnici!$M1208,".",","),IFERROR(NUMBERVALUE(CriteriTecnici!$M1208,",","."),0))),4)&amp;""),",",".")&amp;", "&amp;CHAR(34)&amp;"rawScore"&amp;CHAR(34)&amp;": "&amp;SUBSTITUTE(TRIM(ROUND(IFERROR(CriteriTecnici!$O1208*1,IFERROR(NUMBERVALUE(CriteriTecnici!$O1208,".",","),IFERROR(NUMBERVALUE(CriteriTecnici!$O1208,",","."),0))),4)&amp;""),",",".")&amp;CHAR(125)&amp;IF(TRUE,",",""))</f>
        <v/>
      </c>
    </row>
    <row r="1310">
      <c r="A1310" s="82">
        <f>IF(CriteriTecnici!$A1209="","","    "&amp;CHAR(123)&amp;CHAR(34)&amp;"bidderId"&amp;CHAR(34)&amp;": "&amp;CHAR(34)&amp;SUBSTITUTE(CriteriTecnici!$A1209,CHAR(34),"'")&amp;CHAR(34)&amp;", "&amp;CHAR(34)&amp;"lotId"&amp;CHAR(34)&amp;": "&amp;CHAR(34)&amp;SUBSTITUTE(CriteriTecnici!$C1209,CHAR(34),"'")&amp;CHAR(34)&amp;", "&amp;CHAR(34)&amp;"criterionId"&amp;CHAR(34)&amp;": "&amp;CHAR(34)&amp;SUBSTITUTE(CriteriTecnici!$D1209,CHAR(34),"'")&amp;CHAR(34)&amp;", "&amp;CHAR(34)&amp;"kind"&amp;CHAR(34)&amp;": "&amp;CHAR(34)&amp;SUBSTITUTE(CriteriTecnici!$F1209,CHAR(34),"'")&amp;CHAR(34)&amp;", "&amp;CHAR(34)&amp;"value"&amp;CHAR(34)&amp;": "&amp;SUBSTITUTE(TRIM(ROUND(IFERROR(CriteriTecnici!$N1209*1,IFERROR(NUMBERVALUE(CriteriTecnici!$N1209,".",","),IFERROR(NUMBERVALUE(CriteriTecnici!$N1209,",","."),0))),4)&amp;""),",",".")&amp;", "&amp;CHAR(34)&amp;"numerator"&amp;CHAR(34)&amp;": "&amp;SUBSTITUTE(TRIM(ROUND(IFERROR(CriteriTecnici!$K1209*1,IFERROR(NUMBERVALUE(CriteriTecnici!$K1209,".",","),IFERROR(NUMBERVALUE(CriteriTecnici!$K1209,",","."),0))),4)&amp;""),",",".")&amp;", "&amp;CHAR(34)&amp;"denominator"&amp;CHAR(34)&amp;": "&amp;SUBSTITUTE(TRIM(ROUND(IFERROR(CriteriTecnici!$L1209*1,IFERROR(NUMBERVALUE(CriteriTecnici!$L1209,".",","),IFERROR(NUMBERVALUE(CriteriTecnici!$L1209,",","."),0))),4)&amp;""),",",".")&amp;", "&amp;CHAR(34)&amp;"flag"&amp;CHAR(34)&amp;": "&amp;SUBSTITUTE(TRIM(ROUND(IFERROR(CriteriTecnici!$M1209*1,IFERROR(NUMBERVALUE(CriteriTecnici!$M1209,".",","),IFERROR(NUMBERVALUE(CriteriTecnici!$M1209,",","."),0))),4)&amp;""),",",".")&amp;", "&amp;CHAR(34)&amp;"rawScore"&amp;CHAR(34)&amp;": "&amp;SUBSTITUTE(TRIM(ROUND(IFERROR(CriteriTecnici!$O1209*1,IFERROR(NUMBERVALUE(CriteriTecnici!$O1209,".",","),IFERROR(NUMBERVALUE(CriteriTecnici!$O1209,",","."),0))),4)&amp;""),",",".")&amp;CHAR(125)&amp;IF(TRUE,",",""))</f>
        <v/>
      </c>
    </row>
    <row r="1311">
      <c r="A1311" s="82">
        <f>IF(CriteriTecnici!$A1210="","","    "&amp;CHAR(123)&amp;CHAR(34)&amp;"bidderId"&amp;CHAR(34)&amp;": "&amp;CHAR(34)&amp;SUBSTITUTE(CriteriTecnici!$A1210,CHAR(34),"'")&amp;CHAR(34)&amp;", "&amp;CHAR(34)&amp;"lotId"&amp;CHAR(34)&amp;": "&amp;CHAR(34)&amp;SUBSTITUTE(CriteriTecnici!$C1210,CHAR(34),"'")&amp;CHAR(34)&amp;", "&amp;CHAR(34)&amp;"criterionId"&amp;CHAR(34)&amp;": "&amp;CHAR(34)&amp;SUBSTITUTE(CriteriTecnici!$D1210,CHAR(34),"'")&amp;CHAR(34)&amp;", "&amp;CHAR(34)&amp;"kind"&amp;CHAR(34)&amp;": "&amp;CHAR(34)&amp;SUBSTITUTE(CriteriTecnici!$F1210,CHAR(34),"'")&amp;CHAR(34)&amp;", "&amp;CHAR(34)&amp;"value"&amp;CHAR(34)&amp;": "&amp;SUBSTITUTE(TRIM(ROUND(IFERROR(CriteriTecnici!$N1210*1,IFERROR(NUMBERVALUE(CriteriTecnici!$N1210,".",","),IFERROR(NUMBERVALUE(CriteriTecnici!$N1210,",","."),0))),4)&amp;""),",",".")&amp;", "&amp;CHAR(34)&amp;"numerator"&amp;CHAR(34)&amp;": "&amp;SUBSTITUTE(TRIM(ROUND(IFERROR(CriteriTecnici!$K1210*1,IFERROR(NUMBERVALUE(CriteriTecnici!$K1210,".",","),IFERROR(NUMBERVALUE(CriteriTecnici!$K1210,",","."),0))),4)&amp;""),",",".")&amp;", "&amp;CHAR(34)&amp;"denominator"&amp;CHAR(34)&amp;": "&amp;SUBSTITUTE(TRIM(ROUND(IFERROR(CriteriTecnici!$L1210*1,IFERROR(NUMBERVALUE(CriteriTecnici!$L1210,".",","),IFERROR(NUMBERVALUE(CriteriTecnici!$L1210,",","."),0))),4)&amp;""),",",".")&amp;", "&amp;CHAR(34)&amp;"flag"&amp;CHAR(34)&amp;": "&amp;SUBSTITUTE(TRIM(ROUND(IFERROR(CriteriTecnici!$M1210*1,IFERROR(NUMBERVALUE(CriteriTecnici!$M1210,".",","),IFERROR(NUMBERVALUE(CriteriTecnici!$M1210,",","."),0))),4)&amp;""),",",".")&amp;", "&amp;CHAR(34)&amp;"rawScore"&amp;CHAR(34)&amp;": "&amp;SUBSTITUTE(TRIM(ROUND(IFERROR(CriteriTecnici!$O1210*1,IFERROR(NUMBERVALUE(CriteriTecnici!$O1210,".",","),IFERROR(NUMBERVALUE(CriteriTecnici!$O1210,",","."),0))),4)&amp;""),",",".")&amp;CHAR(125)&amp;IF(TRUE,",",""))</f>
        <v/>
      </c>
    </row>
    <row r="1312">
      <c r="A1312" s="82">
        <f>IF(CriteriTecnici!$A1211="","","    "&amp;CHAR(123)&amp;CHAR(34)&amp;"bidderId"&amp;CHAR(34)&amp;": "&amp;CHAR(34)&amp;SUBSTITUTE(CriteriTecnici!$A1211,CHAR(34),"'")&amp;CHAR(34)&amp;", "&amp;CHAR(34)&amp;"lotId"&amp;CHAR(34)&amp;": "&amp;CHAR(34)&amp;SUBSTITUTE(CriteriTecnici!$C1211,CHAR(34),"'")&amp;CHAR(34)&amp;", "&amp;CHAR(34)&amp;"criterionId"&amp;CHAR(34)&amp;": "&amp;CHAR(34)&amp;SUBSTITUTE(CriteriTecnici!$D1211,CHAR(34),"'")&amp;CHAR(34)&amp;", "&amp;CHAR(34)&amp;"kind"&amp;CHAR(34)&amp;": "&amp;CHAR(34)&amp;SUBSTITUTE(CriteriTecnici!$F1211,CHAR(34),"'")&amp;CHAR(34)&amp;", "&amp;CHAR(34)&amp;"value"&amp;CHAR(34)&amp;": "&amp;SUBSTITUTE(TRIM(ROUND(IFERROR(CriteriTecnici!$N1211*1,IFERROR(NUMBERVALUE(CriteriTecnici!$N1211,".",","),IFERROR(NUMBERVALUE(CriteriTecnici!$N1211,",","."),0))),4)&amp;""),",",".")&amp;", "&amp;CHAR(34)&amp;"numerator"&amp;CHAR(34)&amp;": "&amp;SUBSTITUTE(TRIM(ROUND(IFERROR(CriteriTecnici!$K1211*1,IFERROR(NUMBERVALUE(CriteriTecnici!$K1211,".",","),IFERROR(NUMBERVALUE(CriteriTecnici!$K1211,",","."),0))),4)&amp;""),",",".")&amp;", "&amp;CHAR(34)&amp;"denominator"&amp;CHAR(34)&amp;": "&amp;SUBSTITUTE(TRIM(ROUND(IFERROR(CriteriTecnici!$L1211*1,IFERROR(NUMBERVALUE(CriteriTecnici!$L1211,".",","),IFERROR(NUMBERVALUE(CriteriTecnici!$L1211,",","."),0))),4)&amp;""),",",".")&amp;", "&amp;CHAR(34)&amp;"flag"&amp;CHAR(34)&amp;": "&amp;SUBSTITUTE(TRIM(ROUND(IFERROR(CriteriTecnici!$M1211*1,IFERROR(NUMBERVALUE(CriteriTecnici!$M1211,".",","),IFERROR(NUMBERVALUE(CriteriTecnici!$M1211,",","."),0))),4)&amp;""),",",".")&amp;", "&amp;CHAR(34)&amp;"rawScore"&amp;CHAR(34)&amp;": "&amp;SUBSTITUTE(TRIM(ROUND(IFERROR(CriteriTecnici!$O1211*1,IFERROR(NUMBERVALUE(CriteriTecnici!$O1211,".",","),IFERROR(NUMBERVALUE(CriteriTecnici!$O1211,",","."),0))),4)&amp;""),",",".")&amp;CHAR(125)&amp;IF(TRUE,",",""))</f>
        <v/>
      </c>
    </row>
    <row r="1313">
      <c r="A1313" s="82">
        <f>IF(CriteriTecnici!$A1212="","","    "&amp;CHAR(123)&amp;CHAR(34)&amp;"bidderId"&amp;CHAR(34)&amp;": "&amp;CHAR(34)&amp;SUBSTITUTE(CriteriTecnici!$A1212,CHAR(34),"'")&amp;CHAR(34)&amp;", "&amp;CHAR(34)&amp;"lotId"&amp;CHAR(34)&amp;": "&amp;CHAR(34)&amp;SUBSTITUTE(CriteriTecnici!$C1212,CHAR(34),"'")&amp;CHAR(34)&amp;", "&amp;CHAR(34)&amp;"criterionId"&amp;CHAR(34)&amp;": "&amp;CHAR(34)&amp;SUBSTITUTE(CriteriTecnici!$D1212,CHAR(34),"'")&amp;CHAR(34)&amp;", "&amp;CHAR(34)&amp;"kind"&amp;CHAR(34)&amp;": "&amp;CHAR(34)&amp;SUBSTITUTE(CriteriTecnici!$F1212,CHAR(34),"'")&amp;CHAR(34)&amp;", "&amp;CHAR(34)&amp;"value"&amp;CHAR(34)&amp;": "&amp;SUBSTITUTE(TRIM(ROUND(IFERROR(CriteriTecnici!$N1212*1,IFERROR(NUMBERVALUE(CriteriTecnici!$N1212,".",","),IFERROR(NUMBERVALUE(CriteriTecnici!$N1212,",","."),0))),4)&amp;""),",",".")&amp;", "&amp;CHAR(34)&amp;"numerator"&amp;CHAR(34)&amp;": "&amp;SUBSTITUTE(TRIM(ROUND(IFERROR(CriteriTecnici!$K1212*1,IFERROR(NUMBERVALUE(CriteriTecnici!$K1212,".",","),IFERROR(NUMBERVALUE(CriteriTecnici!$K1212,",","."),0))),4)&amp;""),",",".")&amp;", "&amp;CHAR(34)&amp;"denominator"&amp;CHAR(34)&amp;": "&amp;SUBSTITUTE(TRIM(ROUND(IFERROR(CriteriTecnici!$L1212*1,IFERROR(NUMBERVALUE(CriteriTecnici!$L1212,".",","),IFERROR(NUMBERVALUE(CriteriTecnici!$L1212,",","."),0))),4)&amp;""),",",".")&amp;", "&amp;CHAR(34)&amp;"flag"&amp;CHAR(34)&amp;": "&amp;SUBSTITUTE(TRIM(ROUND(IFERROR(CriteriTecnici!$M1212*1,IFERROR(NUMBERVALUE(CriteriTecnici!$M1212,".",","),IFERROR(NUMBERVALUE(CriteriTecnici!$M1212,",","."),0))),4)&amp;""),",",".")&amp;", "&amp;CHAR(34)&amp;"rawScore"&amp;CHAR(34)&amp;": "&amp;SUBSTITUTE(TRIM(ROUND(IFERROR(CriteriTecnici!$O1212*1,IFERROR(NUMBERVALUE(CriteriTecnici!$O1212,".",","),IFERROR(NUMBERVALUE(CriteriTecnici!$O1212,",","."),0))),4)&amp;""),",",".")&amp;CHAR(125)&amp;IF(TRUE,",",""))</f>
        <v/>
      </c>
    </row>
    <row r="1314">
      <c r="A1314" s="82">
        <f>IF(CriteriTecnici!$A1213="","","    "&amp;CHAR(123)&amp;CHAR(34)&amp;"bidderId"&amp;CHAR(34)&amp;": "&amp;CHAR(34)&amp;SUBSTITUTE(CriteriTecnici!$A1213,CHAR(34),"'")&amp;CHAR(34)&amp;", "&amp;CHAR(34)&amp;"lotId"&amp;CHAR(34)&amp;": "&amp;CHAR(34)&amp;SUBSTITUTE(CriteriTecnici!$C1213,CHAR(34),"'")&amp;CHAR(34)&amp;", "&amp;CHAR(34)&amp;"criterionId"&amp;CHAR(34)&amp;": "&amp;CHAR(34)&amp;SUBSTITUTE(CriteriTecnici!$D1213,CHAR(34),"'")&amp;CHAR(34)&amp;", "&amp;CHAR(34)&amp;"kind"&amp;CHAR(34)&amp;": "&amp;CHAR(34)&amp;SUBSTITUTE(CriteriTecnici!$F1213,CHAR(34),"'")&amp;CHAR(34)&amp;", "&amp;CHAR(34)&amp;"value"&amp;CHAR(34)&amp;": "&amp;SUBSTITUTE(TRIM(ROUND(IFERROR(CriteriTecnici!$N1213*1,IFERROR(NUMBERVALUE(CriteriTecnici!$N1213,".",","),IFERROR(NUMBERVALUE(CriteriTecnici!$N1213,",","."),0))),4)&amp;""),",",".")&amp;", "&amp;CHAR(34)&amp;"numerator"&amp;CHAR(34)&amp;": "&amp;SUBSTITUTE(TRIM(ROUND(IFERROR(CriteriTecnici!$K1213*1,IFERROR(NUMBERVALUE(CriteriTecnici!$K1213,".",","),IFERROR(NUMBERVALUE(CriteriTecnici!$K1213,",","."),0))),4)&amp;""),",",".")&amp;", "&amp;CHAR(34)&amp;"denominator"&amp;CHAR(34)&amp;": "&amp;SUBSTITUTE(TRIM(ROUND(IFERROR(CriteriTecnici!$L1213*1,IFERROR(NUMBERVALUE(CriteriTecnici!$L1213,".",","),IFERROR(NUMBERVALUE(CriteriTecnici!$L1213,",","."),0))),4)&amp;""),",",".")&amp;", "&amp;CHAR(34)&amp;"flag"&amp;CHAR(34)&amp;": "&amp;SUBSTITUTE(TRIM(ROUND(IFERROR(CriteriTecnici!$M1213*1,IFERROR(NUMBERVALUE(CriteriTecnici!$M1213,".",","),IFERROR(NUMBERVALUE(CriteriTecnici!$M1213,",","."),0))),4)&amp;""),",",".")&amp;", "&amp;CHAR(34)&amp;"rawScore"&amp;CHAR(34)&amp;": "&amp;SUBSTITUTE(TRIM(ROUND(IFERROR(CriteriTecnici!$O1213*1,IFERROR(NUMBERVALUE(CriteriTecnici!$O1213,".",","),IFERROR(NUMBERVALUE(CriteriTecnici!$O1213,",","."),0))),4)&amp;""),",",".")&amp;CHAR(125)&amp;IF(COUNTA(Offerte!$A41:$A$81)&gt;0,",",""))</f>
        <v/>
      </c>
    </row>
    <row r="1315">
      <c r="A1315" s="82">
        <f>IF(CriteriTecnici!$A1214="","","    "&amp;CHAR(123)&amp;CHAR(34)&amp;"bidderId"&amp;CHAR(34)&amp;": "&amp;CHAR(34)&amp;SUBSTITUTE(CriteriTecnici!$A1214,CHAR(34),"'")&amp;CHAR(34)&amp;", "&amp;CHAR(34)&amp;"lotId"&amp;CHAR(34)&amp;": "&amp;CHAR(34)&amp;SUBSTITUTE(CriteriTecnici!$C1214,CHAR(34),"'")&amp;CHAR(34)&amp;", "&amp;CHAR(34)&amp;"criterionId"&amp;CHAR(34)&amp;": "&amp;CHAR(34)&amp;SUBSTITUTE(CriteriTecnici!$D1214,CHAR(34),"'")&amp;CHAR(34)&amp;", "&amp;CHAR(34)&amp;"kind"&amp;CHAR(34)&amp;": "&amp;CHAR(34)&amp;SUBSTITUTE(CriteriTecnici!$F1214,CHAR(34),"'")&amp;CHAR(34)&amp;", "&amp;CHAR(34)&amp;"value"&amp;CHAR(34)&amp;": "&amp;SUBSTITUTE(TRIM(ROUND(IFERROR(CriteriTecnici!$N1214*1,IFERROR(NUMBERVALUE(CriteriTecnici!$N1214,".",","),IFERROR(NUMBERVALUE(CriteriTecnici!$N1214,",","."),0))),4)&amp;""),",",".")&amp;", "&amp;CHAR(34)&amp;"numerator"&amp;CHAR(34)&amp;": "&amp;SUBSTITUTE(TRIM(ROUND(IFERROR(CriteriTecnici!$K1214*1,IFERROR(NUMBERVALUE(CriteriTecnici!$K1214,".",","),IFERROR(NUMBERVALUE(CriteriTecnici!$K1214,",","."),0))),4)&amp;""),",",".")&amp;", "&amp;CHAR(34)&amp;"denominator"&amp;CHAR(34)&amp;": "&amp;SUBSTITUTE(TRIM(ROUND(IFERROR(CriteriTecnici!$L1214*1,IFERROR(NUMBERVALUE(CriteriTecnici!$L1214,".",","),IFERROR(NUMBERVALUE(CriteriTecnici!$L1214,",","."),0))),4)&amp;""),",",".")&amp;", "&amp;CHAR(34)&amp;"flag"&amp;CHAR(34)&amp;": "&amp;SUBSTITUTE(TRIM(ROUND(IFERROR(CriteriTecnici!$M1214*1,IFERROR(NUMBERVALUE(CriteriTecnici!$M1214,".",","),IFERROR(NUMBERVALUE(CriteriTecnici!$M1214,",","."),0))),4)&amp;""),",",".")&amp;", "&amp;CHAR(34)&amp;"rawScore"&amp;CHAR(34)&amp;": "&amp;SUBSTITUTE(TRIM(ROUND(IFERROR(CriteriTecnici!$O1214*1,IFERROR(NUMBERVALUE(CriteriTecnici!$O1214,".",","),IFERROR(NUMBERVALUE(CriteriTecnici!$O1214,",","."),0))),4)&amp;""),",",".")&amp;CHAR(125)&amp;IF(TRUE,",",""))</f>
        <v/>
      </c>
    </row>
    <row r="1316">
      <c r="A1316" s="82">
        <f>IF(CriteriTecnici!$A1215="","","    "&amp;CHAR(123)&amp;CHAR(34)&amp;"bidderId"&amp;CHAR(34)&amp;": "&amp;CHAR(34)&amp;SUBSTITUTE(CriteriTecnici!$A1215,CHAR(34),"'")&amp;CHAR(34)&amp;", "&amp;CHAR(34)&amp;"lotId"&amp;CHAR(34)&amp;": "&amp;CHAR(34)&amp;SUBSTITUTE(CriteriTecnici!$C1215,CHAR(34),"'")&amp;CHAR(34)&amp;", "&amp;CHAR(34)&amp;"criterionId"&amp;CHAR(34)&amp;": "&amp;CHAR(34)&amp;SUBSTITUTE(CriteriTecnici!$D1215,CHAR(34),"'")&amp;CHAR(34)&amp;", "&amp;CHAR(34)&amp;"kind"&amp;CHAR(34)&amp;": "&amp;CHAR(34)&amp;SUBSTITUTE(CriteriTecnici!$F1215,CHAR(34),"'")&amp;CHAR(34)&amp;", "&amp;CHAR(34)&amp;"value"&amp;CHAR(34)&amp;": "&amp;SUBSTITUTE(TRIM(ROUND(IFERROR(CriteriTecnici!$N1215*1,IFERROR(NUMBERVALUE(CriteriTecnici!$N1215,".",","),IFERROR(NUMBERVALUE(CriteriTecnici!$N1215,",","."),0))),4)&amp;""),",",".")&amp;", "&amp;CHAR(34)&amp;"numerator"&amp;CHAR(34)&amp;": "&amp;SUBSTITUTE(TRIM(ROUND(IFERROR(CriteriTecnici!$K1215*1,IFERROR(NUMBERVALUE(CriteriTecnici!$K1215,".",","),IFERROR(NUMBERVALUE(CriteriTecnici!$K1215,",","."),0))),4)&amp;""),",",".")&amp;", "&amp;CHAR(34)&amp;"denominator"&amp;CHAR(34)&amp;": "&amp;SUBSTITUTE(TRIM(ROUND(IFERROR(CriteriTecnici!$L1215*1,IFERROR(NUMBERVALUE(CriteriTecnici!$L1215,".",","),IFERROR(NUMBERVALUE(CriteriTecnici!$L1215,",","."),0))),4)&amp;""),",",".")&amp;", "&amp;CHAR(34)&amp;"flag"&amp;CHAR(34)&amp;": "&amp;SUBSTITUTE(TRIM(ROUND(IFERROR(CriteriTecnici!$M1215*1,IFERROR(NUMBERVALUE(CriteriTecnici!$M1215,".",","),IFERROR(NUMBERVALUE(CriteriTecnici!$M1215,",","."),0))),4)&amp;""),",",".")&amp;", "&amp;CHAR(34)&amp;"rawScore"&amp;CHAR(34)&amp;": "&amp;SUBSTITUTE(TRIM(ROUND(IFERROR(CriteriTecnici!$O1215*1,IFERROR(NUMBERVALUE(CriteriTecnici!$O1215,".",","),IFERROR(NUMBERVALUE(CriteriTecnici!$O1215,",","."),0))),4)&amp;""),",",".")&amp;CHAR(125)&amp;IF(TRUE,",",""))</f>
        <v/>
      </c>
    </row>
    <row r="1317">
      <c r="A1317" s="82">
        <f>IF(CriteriTecnici!$A1216="","","    "&amp;CHAR(123)&amp;CHAR(34)&amp;"bidderId"&amp;CHAR(34)&amp;": "&amp;CHAR(34)&amp;SUBSTITUTE(CriteriTecnici!$A1216,CHAR(34),"'")&amp;CHAR(34)&amp;", "&amp;CHAR(34)&amp;"lotId"&amp;CHAR(34)&amp;": "&amp;CHAR(34)&amp;SUBSTITUTE(CriteriTecnici!$C1216,CHAR(34),"'")&amp;CHAR(34)&amp;", "&amp;CHAR(34)&amp;"criterionId"&amp;CHAR(34)&amp;": "&amp;CHAR(34)&amp;SUBSTITUTE(CriteriTecnici!$D1216,CHAR(34),"'")&amp;CHAR(34)&amp;", "&amp;CHAR(34)&amp;"kind"&amp;CHAR(34)&amp;": "&amp;CHAR(34)&amp;SUBSTITUTE(CriteriTecnici!$F1216,CHAR(34),"'")&amp;CHAR(34)&amp;", "&amp;CHAR(34)&amp;"value"&amp;CHAR(34)&amp;": "&amp;SUBSTITUTE(TRIM(ROUND(IFERROR(CriteriTecnici!$N1216*1,IFERROR(NUMBERVALUE(CriteriTecnici!$N1216,".",","),IFERROR(NUMBERVALUE(CriteriTecnici!$N1216,",","."),0))),4)&amp;""),",",".")&amp;", "&amp;CHAR(34)&amp;"numerator"&amp;CHAR(34)&amp;": "&amp;SUBSTITUTE(TRIM(ROUND(IFERROR(CriteriTecnici!$K1216*1,IFERROR(NUMBERVALUE(CriteriTecnici!$K1216,".",","),IFERROR(NUMBERVALUE(CriteriTecnici!$K1216,",","."),0))),4)&amp;""),",",".")&amp;", "&amp;CHAR(34)&amp;"denominator"&amp;CHAR(34)&amp;": "&amp;SUBSTITUTE(TRIM(ROUND(IFERROR(CriteriTecnici!$L1216*1,IFERROR(NUMBERVALUE(CriteriTecnici!$L1216,".",","),IFERROR(NUMBERVALUE(CriteriTecnici!$L1216,",","."),0))),4)&amp;""),",",".")&amp;", "&amp;CHAR(34)&amp;"flag"&amp;CHAR(34)&amp;": "&amp;SUBSTITUTE(TRIM(ROUND(IFERROR(CriteriTecnici!$M1216*1,IFERROR(NUMBERVALUE(CriteriTecnici!$M1216,".",","),IFERROR(NUMBERVALUE(CriteriTecnici!$M1216,",","."),0))),4)&amp;""),",",".")&amp;", "&amp;CHAR(34)&amp;"rawScore"&amp;CHAR(34)&amp;": "&amp;SUBSTITUTE(TRIM(ROUND(IFERROR(CriteriTecnici!$O1216*1,IFERROR(NUMBERVALUE(CriteriTecnici!$O1216,".",","),IFERROR(NUMBERVALUE(CriteriTecnici!$O1216,",","."),0))),4)&amp;""),",",".")&amp;CHAR(125)&amp;IF(TRUE,",",""))</f>
        <v/>
      </c>
    </row>
    <row r="1318">
      <c r="A1318" s="82">
        <f>IF(CriteriTecnici!$A1217="","","    "&amp;CHAR(123)&amp;CHAR(34)&amp;"bidderId"&amp;CHAR(34)&amp;": "&amp;CHAR(34)&amp;SUBSTITUTE(CriteriTecnici!$A1217,CHAR(34),"'")&amp;CHAR(34)&amp;", "&amp;CHAR(34)&amp;"lotId"&amp;CHAR(34)&amp;": "&amp;CHAR(34)&amp;SUBSTITUTE(CriteriTecnici!$C1217,CHAR(34),"'")&amp;CHAR(34)&amp;", "&amp;CHAR(34)&amp;"criterionId"&amp;CHAR(34)&amp;": "&amp;CHAR(34)&amp;SUBSTITUTE(CriteriTecnici!$D1217,CHAR(34),"'")&amp;CHAR(34)&amp;", "&amp;CHAR(34)&amp;"kind"&amp;CHAR(34)&amp;": "&amp;CHAR(34)&amp;SUBSTITUTE(CriteriTecnici!$F1217,CHAR(34),"'")&amp;CHAR(34)&amp;", "&amp;CHAR(34)&amp;"value"&amp;CHAR(34)&amp;": "&amp;SUBSTITUTE(TRIM(ROUND(IFERROR(CriteriTecnici!$N1217*1,IFERROR(NUMBERVALUE(CriteriTecnici!$N1217,".",","),IFERROR(NUMBERVALUE(CriteriTecnici!$N1217,",","."),0))),4)&amp;""),",",".")&amp;", "&amp;CHAR(34)&amp;"numerator"&amp;CHAR(34)&amp;": "&amp;SUBSTITUTE(TRIM(ROUND(IFERROR(CriteriTecnici!$K1217*1,IFERROR(NUMBERVALUE(CriteriTecnici!$K1217,".",","),IFERROR(NUMBERVALUE(CriteriTecnici!$K1217,",","."),0))),4)&amp;""),",",".")&amp;", "&amp;CHAR(34)&amp;"denominator"&amp;CHAR(34)&amp;": "&amp;SUBSTITUTE(TRIM(ROUND(IFERROR(CriteriTecnici!$L1217*1,IFERROR(NUMBERVALUE(CriteriTecnici!$L1217,".",","),IFERROR(NUMBERVALUE(CriteriTecnici!$L1217,",","."),0))),4)&amp;""),",",".")&amp;", "&amp;CHAR(34)&amp;"flag"&amp;CHAR(34)&amp;": "&amp;SUBSTITUTE(TRIM(ROUND(IFERROR(CriteriTecnici!$M1217*1,IFERROR(NUMBERVALUE(CriteriTecnici!$M1217,".",","),IFERROR(NUMBERVALUE(CriteriTecnici!$M1217,",","."),0))),4)&amp;""),",",".")&amp;", "&amp;CHAR(34)&amp;"rawScore"&amp;CHAR(34)&amp;": "&amp;SUBSTITUTE(TRIM(ROUND(IFERROR(CriteriTecnici!$O1217*1,IFERROR(NUMBERVALUE(CriteriTecnici!$O1217,".",","),IFERROR(NUMBERVALUE(CriteriTecnici!$O1217,",","."),0))),4)&amp;""),",",".")&amp;CHAR(125)&amp;IF(TRUE,",",""))</f>
        <v/>
      </c>
    </row>
    <row r="1319">
      <c r="A1319" s="82">
        <f>IF(CriteriTecnici!$A1218="","","    "&amp;CHAR(123)&amp;CHAR(34)&amp;"bidderId"&amp;CHAR(34)&amp;": "&amp;CHAR(34)&amp;SUBSTITUTE(CriteriTecnici!$A1218,CHAR(34),"'")&amp;CHAR(34)&amp;", "&amp;CHAR(34)&amp;"lotId"&amp;CHAR(34)&amp;": "&amp;CHAR(34)&amp;SUBSTITUTE(CriteriTecnici!$C1218,CHAR(34),"'")&amp;CHAR(34)&amp;", "&amp;CHAR(34)&amp;"criterionId"&amp;CHAR(34)&amp;": "&amp;CHAR(34)&amp;SUBSTITUTE(CriteriTecnici!$D1218,CHAR(34),"'")&amp;CHAR(34)&amp;", "&amp;CHAR(34)&amp;"kind"&amp;CHAR(34)&amp;": "&amp;CHAR(34)&amp;SUBSTITUTE(CriteriTecnici!$F1218,CHAR(34),"'")&amp;CHAR(34)&amp;", "&amp;CHAR(34)&amp;"value"&amp;CHAR(34)&amp;": "&amp;SUBSTITUTE(TRIM(ROUND(IFERROR(CriteriTecnici!$N1218*1,IFERROR(NUMBERVALUE(CriteriTecnici!$N1218,".",","),IFERROR(NUMBERVALUE(CriteriTecnici!$N1218,",","."),0))),4)&amp;""),",",".")&amp;", "&amp;CHAR(34)&amp;"numerator"&amp;CHAR(34)&amp;": "&amp;SUBSTITUTE(TRIM(ROUND(IFERROR(CriteriTecnici!$K1218*1,IFERROR(NUMBERVALUE(CriteriTecnici!$K1218,".",","),IFERROR(NUMBERVALUE(CriteriTecnici!$K1218,",","."),0))),4)&amp;""),",",".")&amp;", "&amp;CHAR(34)&amp;"denominator"&amp;CHAR(34)&amp;": "&amp;SUBSTITUTE(TRIM(ROUND(IFERROR(CriteriTecnici!$L1218*1,IFERROR(NUMBERVALUE(CriteriTecnici!$L1218,".",","),IFERROR(NUMBERVALUE(CriteriTecnici!$L1218,",","."),0))),4)&amp;""),",",".")&amp;", "&amp;CHAR(34)&amp;"flag"&amp;CHAR(34)&amp;": "&amp;SUBSTITUTE(TRIM(ROUND(IFERROR(CriteriTecnici!$M1218*1,IFERROR(NUMBERVALUE(CriteriTecnici!$M1218,".",","),IFERROR(NUMBERVALUE(CriteriTecnici!$M1218,",","."),0))),4)&amp;""),",",".")&amp;", "&amp;CHAR(34)&amp;"rawScore"&amp;CHAR(34)&amp;": "&amp;SUBSTITUTE(TRIM(ROUND(IFERROR(CriteriTecnici!$O1218*1,IFERROR(NUMBERVALUE(CriteriTecnici!$O1218,".",","),IFERROR(NUMBERVALUE(CriteriTecnici!$O1218,",","."),0))),4)&amp;""),",",".")&amp;CHAR(125)&amp;IF(TRUE,",",""))</f>
        <v/>
      </c>
    </row>
    <row r="1320">
      <c r="A1320" s="82">
        <f>IF(CriteriTecnici!$A1219="","","    "&amp;CHAR(123)&amp;CHAR(34)&amp;"bidderId"&amp;CHAR(34)&amp;": "&amp;CHAR(34)&amp;SUBSTITUTE(CriteriTecnici!$A1219,CHAR(34),"'")&amp;CHAR(34)&amp;", "&amp;CHAR(34)&amp;"lotId"&amp;CHAR(34)&amp;": "&amp;CHAR(34)&amp;SUBSTITUTE(CriteriTecnici!$C1219,CHAR(34),"'")&amp;CHAR(34)&amp;", "&amp;CHAR(34)&amp;"criterionId"&amp;CHAR(34)&amp;": "&amp;CHAR(34)&amp;SUBSTITUTE(CriteriTecnici!$D1219,CHAR(34),"'")&amp;CHAR(34)&amp;", "&amp;CHAR(34)&amp;"kind"&amp;CHAR(34)&amp;": "&amp;CHAR(34)&amp;SUBSTITUTE(CriteriTecnici!$F1219,CHAR(34),"'")&amp;CHAR(34)&amp;", "&amp;CHAR(34)&amp;"value"&amp;CHAR(34)&amp;": "&amp;SUBSTITUTE(TRIM(ROUND(IFERROR(CriteriTecnici!$N1219*1,IFERROR(NUMBERVALUE(CriteriTecnici!$N1219,".",","),IFERROR(NUMBERVALUE(CriteriTecnici!$N1219,",","."),0))),4)&amp;""),",",".")&amp;", "&amp;CHAR(34)&amp;"numerator"&amp;CHAR(34)&amp;": "&amp;SUBSTITUTE(TRIM(ROUND(IFERROR(CriteriTecnici!$K1219*1,IFERROR(NUMBERVALUE(CriteriTecnici!$K1219,".",","),IFERROR(NUMBERVALUE(CriteriTecnici!$K1219,",","."),0))),4)&amp;""),",",".")&amp;", "&amp;CHAR(34)&amp;"denominator"&amp;CHAR(34)&amp;": "&amp;SUBSTITUTE(TRIM(ROUND(IFERROR(CriteriTecnici!$L1219*1,IFERROR(NUMBERVALUE(CriteriTecnici!$L1219,".",","),IFERROR(NUMBERVALUE(CriteriTecnici!$L1219,",","."),0))),4)&amp;""),",",".")&amp;", "&amp;CHAR(34)&amp;"flag"&amp;CHAR(34)&amp;": "&amp;SUBSTITUTE(TRIM(ROUND(IFERROR(CriteriTecnici!$M1219*1,IFERROR(NUMBERVALUE(CriteriTecnici!$M1219,".",","),IFERROR(NUMBERVALUE(CriteriTecnici!$M1219,",","."),0))),4)&amp;""),",",".")&amp;", "&amp;CHAR(34)&amp;"rawScore"&amp;CHAR(34)&amp;": "&amp;SUBSTITUTE(TRIM(ROUND(IFERROR(CriteriTecnici!$O1219*1,IFERROR(NUMBERVALUE(CriteriTecnici!$O1219,".",","),IFERROR(NUMBERVALUE(CriteriTecnici!$O1219,",","."),0))),4)&amp;""),",",".")&amp;CHAR(125)&amp;IF(TRUE,",",""))</f>
        <v/>
      </c>
    </row>
    <row r="1321">
      <c r="A1321" s="82">
        <f>IF(CriteriTecnici!$A1220="","","    "&amp;CHAR(123)&amp;CHAR(34)&amp;"bidderId"&amp;CHAR(34)&amp;": "&amp;CHAR(34)&amp;SUBSTITUTE(CriteriTecnici!$A1220,CHAR(34),"'")&amp;CHAR(34)&amp;", "&amp;CHAR(34)&amp;"lotId"&amp;CHAR(34)&amp;": "&amp;CHAR(34)&amp;SUBSTITUTE(CriteriTecnici!$C1220,CHAR(34),"'")&amp;CHAR(34)&amp;", "&amp;CHAR(34)&amp;"criterionId"&amp;CHAR(34)&amp;": "&amp;CHAR(34)&amp;SUBSTITUTE(CriteriTecnici!$D1220,CHAR(34),"'")&amp;CHAR(34)&amp;", "&amp;CHAR(34)&amp;"kind"&amp;CHAR(34)&amp;": "&amp;CHAR(34)&amp;SUBSTITUTE(CriteriTecnici!$F1220,CHAR(34),"'")&amp;CHAR(34)&amp;", "&amp;CHAR(34)&amp;"value"&amp;CHAR(34)&amp;": "&amp;SUBSTITUTE(TRIM(ROUND(IFERROR(CriteriTecnici!$N1220*1,IFERROR(NUMBERVALUE(CriteriTecnici!$N1220,".",","),IFERROR(NUMBERVALUE(CriteriTecnici!$N1220,",","."),0))),4)&amp;""),",",".")&amp;", "&amp;CHAR(34)&amp;"numerator"&amp;CHAR(34)&amp;": "&amp;SUBSTITUTE(TRIM(ROUND(IFERROR(CriteriTecnici!$K1220*1,IFERROR(NUMBERVALUE(CriteriTecnici!$K1220,".",","),IFERROR(NUMBERVALUE(CriteriTecnici!$K1220,",","."),0))),4)&amp;""),",",".")&amp;", "&amp;CHAR(34)&amp;"denominator"&amp;CHAR(34)&amp;": "&amp;SUBSTITUTE(TRIM(ROUND(IFERROR(CriteriTecnici!$L1220*1,IFERROR(NUMBERVALUE(CriteriTecnici!$L1220,".",","),IFERROR(NUMBERVALUE(CriteriTecnici!$L1220,",","."),0))),4)&amp;""),",",".")&amp;", "&amp;CHAR(34)&amp;"flag"&amp;CHAR(34)&amp;": "&amp;SUBSTITUTE(TRIM(ROUND(IFERROR(CriteriTecnici!$M1220*1,IFERROR(NUMBERVALUE(CriteriTecnici!$M1220,".",","),IFERROR(NUMBERVALUE(CriteriTecnici!$M1220,",","."),0))),4)&amp;""),",",".")&amp;", "&amp;CHAR(34)&amp;"rawScore"&amp;CHAR(34)&amp;": "&amp;SUBSTITUTE(TRIM(ROUND(IFERROR(CriteriTecnici!$O1220*1,IFERROR(NUMBERVALUE(CriteriTecnici!$O1220,".",","),IFERROR(NUMBERVALUE(CriteriTecnici!$O1220,",","."),0))),4)&amp;""),",",".")&amp;CHAR(125)&amp;IF(TRUE,",",""))</f>
        <v/>
      </c>
    </row>
    <row r="1322">
      <c r="A1322" s="82">
        <f>IF(CriteriTecnici!$A1221="","","    "&amp;CHAR(123)&amp;CHAR(34)&amp;"bidderId"&amp;CHAR(34)&amp;": "&amp;CHAR(34)&amp;SUBSTITUTE(CriteriTecnici!$A1221,CHAR(34),"'")&amp;CHAR(34)&amp;", "&amp;CHAR(34)&amp;"lotId"&amp;CHAR(34)&amp;": "&amp;CHAR(34)&amp;SUBSTITUTE(CriteriTecnici!$C1221,CHAR(34),"'")&amp;CHAR(34)&amp;", "&amp;CHAR(34)&amp;"criterionId"&amp;CHAR(34)&amp;": "&amp;CHAR(34)&amp;SUBSTITUTE(CriteriTecnici!$D1221,CHAR(34),"'")&amp;CHAR(34)&amp;", "&amp;CHAR(34)&amp;"kind"&amp;CHAR(34)&amp;": "&amp;CHAR(34)&amp;SUBSTITUTE(CriteriTecnici!$F1221,CHAR(34),"'")&amp;CHAR(34)&amp;", "&amp;CHAR(34)&amp;"value"&amp;CHAR(34)&amp;": "&amp;SUBSTITUTE(TRIM(ROUND(IFERROR(CriteriTecnici!$N1221*1,IFERROR(NUMBERVALUE(CriteriTecnici!$N1221,".",","),IFERROR(NUMBERVALUE(CriteriTecnici!$N1221,",","."),0))),4)&amp;""),",",".")&amp;", "&amp;CHAR(34)&amp;"numerator"&amp;CHAR(34)&amp;": "&amp;SUBSTITUTE(TRIM(ROUND(IFERROR(CriteriTecnici!$K1221*1,IFERROR(NUMBERVALUE(CriteriTecnici!$K1221,".",","),IFERROR(NUMBERVALUE(CriteriTecnici!$K1221,",","."),0))),4)&amp;""),",",".")&amp;", "&amp;CHAR(34)&amp;"denominator"&amp;CHAR(34)&amp;": "&amp;SUBSTITUTE(TRIM(ROUND(IFERROR(CriteriTecnici!$L1221*1,IFERROR(NUMBERVALUE(CriteriTecnici!$L1221,".",","),IFERROR(NUMBERVALUE(CriteriTecnici!$L1221,",","."),0))),4)&amp;""),",",".")&amp;", "&amp;CHAR(34)&amp;"flag"&amp;CHAR(34)&amp;": "&amp;SUBSTITUTE(TRIM(ROUND(IFERROR(CriteriTecnici!$M1221*1,IFERROR(NUMBERVALUE(CriteriTecnici!$M1221,".",","),IFERROR(NUMBERVALUE(CriteriTecnici!$M1221,",","."),0))),4)&amp;""),",",".")&amp;", "&amp;CHAR(34)&amp;"rawScore"&amp;CHAR(34)&amp;": "&amp;SUBSTITUTE(TRIM(ROUND(IFERROR(CriteriTecnici!$O1221*1,IFERROR(NUMBERVALUE(CriteriTecnici!$O1221,".",","),IFERROR(NUMBERVALUE(CriteriTecnici!$O1221,",","."),0))),4)&amp;""),",",".")&amp;CHAR(125)&amp;IF(TRUE,",",""))</f>
        <v/>
      </c>
    </row>
    <row r="1323">
      <c r="A1323" s="82">
        <f>IF(CriteriTecnici!$A1222="","","    "&amp;CHAR(123)&amp;CHAR(34)&amp;"bidderId"&amp;CHAR(34)&amp;": "&amp;CHAR(34)&amp;SUBSTITUTE(CriteriTecnici!$A1222,CHAR(34),"'")&amp;CHAR(34)&amp;", "&amp;CHAR(34)&amp;"lotId"&amp;CHAR(34)&amp;": "&amp;CHAR(34)&amp;SUBSTITUTE(CriteriTecnici!$C1222,CHAR(34),"'")&amp;CHAR(34)&amp;", "&amp;CHAR(34)&amp;"criterionId"&amp;CHAR(34)&amp;": "&amp;CHAR(34)&amp;SUBSTITUTE(CriteriTecnici!$D1222,CHAR(34),"'")&amp;CHAR(34)&amp;", "&amp;CHAR(34)&amp;"kind"&amp;CHAR(34)&amp;": "&amp;CHAR(34)&amp;SUBSTITUTE(CriteriTecnici!$F1222,CHAR(34),"'")&amp;CHAR(34)&amp;", "&amp;CHAR(34)&amp;"value"&amp;CHAR(34)&amp;": "&amp;SUBSTITUTE(TRIM(ROUND(IFERROR(CriteriTecnici!$N1222*1,IFERROR(NUMBERVALUE(CriteriTecnici!$N1222,".",","),IFERROR(NUMBERVALUE(CriteriTecnici!$N1222,",","."),0))),4)&amp;""),",",".")&amp;", "&amp;CHAR(34)&amp;"numerator"&amp;CHAR(34)&amp;": "&amp;SUBSTITUTE(TRIM(ROUND(IFERROR(CriteriTecnici!$K1222*1,IFERROR(NUMBERVALUE(CriteriTecnici!$K1222,".",","),IFERROR(NUMBERVALUE(CriteriTecnici!$K1222,",","."),0))),4)&amp;""),",",".")&amp;", "&amp;CHAR(34)&amp;"denominator"&amp;CHAR(34)&amp;": "&amp;SUBSTITUTE(TRIM(ROUND(IFERROR(CriteriTecnici!$L1222*1,IFERROR(NUMBERVALUE(CriteriTecnici!$L1222,".",","),IFERROR(NUMBERVALUE(CriteriTecnici!$L1222,",","."),0))),4)&amp;""),",",".")&amp;", "&amp;CHAR(34)&amp;"flag"&amp;CHAR(34)&amp;": "&amp;SUBSTITUTE(TRIM(ROUND(IFERROR(CriteriTecnici!$M1222*1,IFERROR(NUMBERVALUE(CriteriTecnici!$M1222,".",","),IFERROR(NUMBERVALUE(CriteriTecnici!$M1222,",","."),0))),4)&amp;""),",",".")&amp;", "&amp;CHAR(34)&amp;"rawScore"&amp;CHAR(34)&amp;": "&amp;SUBSTITUTE(TRIM(ROUND(IFERROR(CriteriTecnici!$O1222*1,IFERROR(NUMBERVALUE(CriteriTecnici!$O1222,".",","),IFERROR(NUMBERVALUE(CriteriTecnici!$O1222,",","."),0))),4)&amp;""),",",".")&amp;CHAR(125)&amp;IF(TRUE,",",""))</f>
        <v/>
      </c>
    </row>
    <row r="1324">
      <c r="A1324" s="82">
        <f>IF(CriteriTecnici!$A1223="","","    "&amp;CHAR(123)&amp;CHAR(34)&amp;"bidderId"&amp;CHAR(34)&amp;": "&amp;CHAR(34)&amp;SUBSTITUTE(CriteriTecnici!$A1223,CHAR(34),"'")&amp;CHAR(34)&amp;", "&amp;CHAR(34)&amp;"lotId"&amp;CHAR(34)&amp;": "&amp;CHAR(34)&amp;SUBSTITUTE(CriteriTecnici!$C1223,CHAR(34),"'")&amp;CHAR(34)&amp;", "&amp;CHAR(34)&amp;"criterionId"&amp;CHAR(34)&amp;": "&amp;CHAR(34)&amp;SUBSTITUTE(CriteriTecnici!$D1223,CHAR(34),"'")&amp;CHAR(34)&amp;", "&amp;CHAR(34)&amp;"kind"&amp;CHAR(34)&amp;": "&amp;CHAR(34)&amp;SUBSTITUTE(CriteriTecnici!$F1223,CHAR(34),"'")&amp;CHAR(34)&amp;", "&amp;CHAR(34)&amp;"value"&amp;CHAR(34)&amp;": "&amp;SUBSTITUTE(TRIM(ROUND(IFERROR(CriteriTecnici!$N1223*1,IFERROR(NUMBERVALUE(CriteriTecnici!$N1223,".",","),IFERROR(NUMBERVALUE(CriteriTecnici!$N1223,",","."),0))),4)&amp;""),",",".")&amp;", "&amp;CHAR(34)&amp;"numerator"&amp;CHAR(34)&amp;": "&amp;SUBSTITUTE(TRIM(ROUND(IFERROR(CriteriTecnici!$K1223*1,IFERROR(NUMBERVALUE(CriteriTecnici!$K1223,".",","),IFERROR(NUMBERVALUE(CriteriTecnici!$K1223,",","."),0))),4)&amp;""),",",".")&amp;", "&amp;CHAR(34)&amp;"denominator"&amp;CHAR(34)&amp;": "&amp;SUBSTITUTE(TRIM(ROUND(IFERROR(CriteriTecnici!$L1223*1,IFERROR(NUMBERVALUE(CriteriTecnici!$L1223,".",","),IFERROR(NUMBERVALUE(CriteriTecnici!$L1223,",","."),0))),4)&amp;""),",",".")&amp;", "&amp;CHAR(34)&amp;"flag"&amp;CHAR(34)&amp;": "&amp;SUBSTITUTE(TRIM(ROUND(IFERROR(CriteriTecnici!$M1223*1,IFERROR(NUMBERVALUE(CriteriTecnici!$M1223,".",","),IFERROR(NUMBERVALUE(CriteriTecnici!$M1223,",","."),0))),4)&amp;""),",",".")&amp;", "&amp;CHAR(34)&amp;"rawScore"&amp;CHAR(34)&amp;": "&amp;SUBSTITUTE(TRIM(ROUND(IFERROR(CriteriTecnici!$O1223*1,IFERROR(NUMBERVALUE(CriteriTecnici!$O1223,".",","),IFERROR(NUMBERVALUE(CriteriTecnici!$O1223,",","."),0))),4)&amp;""),",",".")&amp;CHAR(125)&amp;IF(TRUE,",",""))</f>
        <v/>
      </c>
    </row>
    <row r="1325">
      <c r="A1325" s="82">
        <f>IF(CriteriTecnici!$A1224="","","    "&amp;CHAR(123)&amp;CHAR(34)&amp;"bidderId"&amp;CHAR(34)&amp;": "&amp;CHAR(34)&amp;SUBSTITUTE(CriteriTecnici!$A1224,CHAR(34),"'")&amp;CHAR(34)&amp;", "&amp;CHAR(34)&amp;"lotId"&amp;CHAR(34)&amp;": "&amp;CHAR(34)&amp;SUBSTITUTE(CriteriTecnici!$C1224,CHAR(34),"'")&amp;CHAR(34)&amp;", "&amp;CHAR(34)&amp;"criterionId"&amp;CHAR(34)&amp;": "&amp;CHAR(34)&amp;SUBSTITUTE(CriteriTecnici!$D1224,CHAR(34),"'")&amp;CHAR(34)&amp;", "&amp;CHAR(34)&amp;"kind"&amp;CHAR(34)&amp;": "&amp;CHAR(34)&amp;SUBSTITUTE(CriteriTecnici!$F1224,CHAR(34),"'")&amp;CHAR(34)&amp;", "&amp;CHAR(34)&amp;"value"&amp;CHAR(34)&amp;": "&amp;SUBSTITUTE(TRIM(ROUND(IFERROR(CriteriTecnici!$N1224*1,IFERROR(NUMBERVALUE(CriteriTecnici!$N1224,".",","),IFERROR(NUMBERVALUE(CriteriTecnici!$N1224,",","."),0))),4)&amp;""),",",".")&amp;", "&amp;CHAR(34)&amp;"numerator"&amp;CHAR(34)&amp;": "&amp;SUBSTITUTE(TRIM(ROUND(IFERROR(CriteriTecnici!$K1224*1,IFERROR(NUMBERVALUE(CriteriTecnici!$K1224,".",","),IFERROR(NUMBERVALUE(CriteriTecnici!$K1224,",","."),0))),4)&amp;""),",",".")&amp;", "&amp;CHAR(34)&amp;"denominator"&amp;CHAR(34)&amp;": "&amp;SUBSTITUTE(TRIM(ROUND(IFERROR(CriteriTecnici!$L1224*1,IFERROR(NUMBERVALUE(CriteriTecnici!$L1224,".",","),IFERROR(NUMBERVALUE(CriteriTecnici!$L1224,",","."),0))),4)&amp;""),",",".")&amp;", "&amp;CHAR(34)&amp;"flag"&amp;CHAR(34)&amp;": "&amp;SUBSTITUTE(TRIM(ROUND(IFERROR(CriteriTecnici!$M1224*1,IFERROR(NUMBERVALUE(CriteriTecnici!$M1224,".",","),IFERROR(NUMBERVALUE(CriteriTecnici!$M1224,",","."),0))),4)&amp;""),",",".")&amp;", "&amp;CHAR(34)&amp;"rawScore"&amp;CHAR(34)&amp;": "&amp;SUBSTITUTE(TRIM(ROUND(IFERROR(CriteriTecnici!$O1224*1,IFERROR(NUMBERVALUE(CriteriTecnici!$O1224,".",","),IFERROR(NUMBERVALUE(CriteriTecnici!$O1224,",","."),0))),4)&amp;""),",",".")&amp;CHAR(125)&amp;IF(TRUE,",",""))</f>
        <v/>
      </c>
    </row>
    <row r="1326">
      <c r="A1326" s="82">
        <f>IF(CriteriTecnici!$A1225="","","    "&amp;CHAR(123)&amp;CHAR(34)&amp;"bidderId"&amp;CHAR(34)&amp;": "&amp;CHAR(34)&amp;SUBSTITUTE(CriteriTecnici!$A1225,CHAR(34),"'")&amp;CHAR(34)&amp;", "&amp;CHAR(34)&amp;"lotId"&amp;CHAR(34)&amp;": "&amp;CHAR(34)&amp;SUBSTITUTE(CriteriTecnici!$C1225,CHAR(34),"'")&amp;CHAR(34)&amp;", "&amp;CHAR(34)&amp;"criterionId"&amp;CHAR(34)&amp;": "&amp;CHAR(34)&amp;SUBSTITUTE(CriteriTecnici!$D1225,CHAR(34),"'")&amp;CHAR(34)&amp;", "&amp;CHAR(34)&amp;"kind"&amp;CHAR(34)&amp;": "&amp;CHAR(34)&amp;SUBSTITUTE(CriteriTecnici!$F1225,CHAR(34),"'")&amp;CHAR(34)&amp;", "&amp;CHAR(34)&amp;"value"&amp;CHAR(34)&amp;": "&amp;SUBSTITUTE(TRIM(ROUND(IFERROR(CriteriTecnici!$N1225*1,IFERROR(NUMBERVALUE(CriteriTecnici!$N1225,".",","),IFERROR(NUMBERVALUE(CriteriTecnici!$N1225,",","."),0))),4)&amp;""),",",".")&amp;", "&amp;CHAR(34)&amp;"numerator"&amp;CHAR(34)&amp;": "&amp;SUBSTITUTE(TRIM(ROUND(IFERROR(CriteriTecnici!$K1225*1,IFERROR(NUMBERVALUE(CriteriTecnici!$K1225,".",","),IFERROR(NUMBERVALUE(CriteriTecnici!$K1225,",","."),0))),4)&amp;""),",",".")&amp;", "&amp;CHAR(34)&amp;"denominator"&amp;CHAR(34)&amp;": "&amp;SUBSTITUTE(TRIM(ROUND(IFERROR(CriteriTecnici!$L1225*1,IFERROR(NUMBERVALUE(CriteriTecnici!$L1225,".",","),IFERROR(NUMBERVALUE(CriteriTecnici!$L1225,",","."),0))),4)&amp;""),",",".")&amp;", "&amp;CHAR(34)&amp;"flag"&amp;CHAR(34)&amp;": "&amp;SUBSTITUTE(TRIM(ROUND(IFERROR(CriteriTecnici!$M1225*1,IFERROR(NUMBERVALUE(CriteriTecnici!$M1225,".",","),IFERROR(NUMBERVALUE(CriteriTecnici!$M1225,",","."),0))),4)&amp;""),",",".")&amp;", "&amp;CHAR(34)&amp;"rawScore"&amp;CHAR(34)&amp;": "&amp;SUBSTITUTE(TRIM(ROUND(IFERROR(CriteriTecnici!$O1225*1,IFERROR(NUMBERVALUE(CriteriTecnici!$O1225,".",","),IFERROR(NUMBERVALUE(CriteriTecnici!$O1225,",","."),0))),4)&amp;""),",",".")&amp;CHAR(125)&amp;IF(TRUE,",",""))</f>
        <v/>
      </c>
    </row>
    <row r="1327">
      <c r="A1327" s="82">
        <f>IF(CriteriTecnici!$A1226="","","    "&amp;CHAR(123)&amp;CHAR(34)&amp;"bidderId"&amp;CHAR(34)&amp;": "&amp;CHAR(34)&amp;SUBSTITUTE(CriteriTecnici!$A1226,CHAR(34),"'")&amp;CHAR(34)&amp;", "&amp;CHAR(34)&amp;"lotId"&amp;CHAR(34)&amp;": "&amp;CHAR(34)&amp;SUBSTITUTE(CriteriTecnici!$C1226,CHAR(34),"'")&amp;CHAR(34)&amp;", "&amp;CHAR(34)&amp;"criterionId"&amp;CHAR(34)&amp;": "&amp;CHAR(34)&amp;SUBSTITUTE(CriteriTecnici!$D1226,CHAR(34),"'")&amp;CHAR(34)&amp;", "&amp;CHAR(34)&amp;"kind"&amp;CHAR(34)&amp;": "&amp;CHAR(34)&amp;SUBSTITUTE(CriteriTecnici!$F1226,CHAR(34),"'")&amp;CHAR(34)&amp;", "&amp;CHAR(34)&amp;"value"&amp;CHAR(34)&amp;": "&amp;SUBSTITUTE(TRIM(ROUND(IFERROR(CriteriTecnici!$N1226*1,IFERROR(NUMBERVALUE(CriteriTecnici!$N1226,".",","),IFERROR(NUMBERVALUE(CriteriTecnici!$N1226,",","."),0))),4)&amp;""),",",".")&amp;", "&amp;CHAR(34)&amp;"numerator"&amp;CHAR(34)&amp;": "&amp;SUBSTITUTE(TRIM(ROUND(IFERROR(CriteriTecnici!$K1226*1,IFERROR(NUMBERVALUE(CriteriTecnici!$K1226,".",","),IFERROR(NUMBERVALUE(CriteriTecnici!$K1226,",","."),0))),4)&amp;""),",",".")&amp;", "&amp;CHAR(34)&amp;"denominator"&amp;CHAR(34)&amp;": "&amp;SUBSTITUTE(TRIM(ROUND(IFERROR(CriteriTecnici!$L1226*1,IFERROR(NUMBERVALUE(CriteriTecnici!$L1226,".",","),IFERROR(NUMBERVALUE(CriteriTecnici!$L1226,",","."),0))),4)&amp;""),",",".")&amp;", "&amp;CHAR(34)&amp;"flag"&amp;CHAR(34)&amp;": "&amp;SUBSTITUTE(TRIM(ROUND(IFERROR(CriteriTecnici!$M1226*1,IFERROR(NUMBERVALUE(CriteriTecnici!$M1226,".",","),IFERROR(NUMBERVALUE(CriteriTecnici!$M1226,",","."),0))),4)&amp;""),",",".")&amp;", "&amp;CHAR(34)&amp;"rawScore"&amp;CHAR(34)&amp;": "&amp;SUBSTITUTE(TRIM(ROUND(IFERROR(CriteriTecnici!$O1226*1,IFERROR(NUMBERVALUE(CriteriTecnici!$O1226,".",","),IFERROR(NUMBERVALUE(CriteriTecnici!$O1226,",","."),0))),4)&amp;""),",",".")&amp;CHAR(125)&amp;IF(TRUE,",",""))</f>
        <v/>
      </c>
    </row>
    <row r="1328">
      <c r="A1328" s="82">
        <f>IF(CriteriTecnici!$A1227="","","    "&amp;CHAR(123)&amp;CHAR(34)&amp;"bidderId"&amp;CHAR(34)&amp;": "&amp;CHAR(34)&amp;SUBSTITUTE(CriteriTecnici!$A1227,CHAR(34),"'")&amp;CHAR(34)&amp;", "&amp;CHAR(34)&amp;"lotId"&amp;CHAR(34)&amp;": "&amp;CHAR(34)&amp;SUBSTITUTE(CriteriTecnici!$C1227,CHAR(34),"'")&amp;CHAR(34)&amp;", "&amp;CHAR(34)&amp;"criterionId"&amp;CHAR(34)&amp;": "&amp;CHAR(34)&amp;SUBSTITUTE(CriteriTecnici!$D1227,CHAR(34),"'")&amp;CHAR(34)&amp;", "&amp;CHAR(34)&amp;"kind"&amp;CHAR(34)&amp;": "&amp;CHAR(34)&amp;SUBSTITUTE(CriteriTecnici!$F1227,CHAR(34),"'")&amp;CHAR(34)&amp;", "&amp;CHAR(34)&amp;"value"&amp;CHAR(34)&amp;": "&amp;SUBSTITUTE(TRIM(ROUND(IFERROR(CriteriTecnici!$N1227*1,IFERROR(NUMBERVALUE(CriteriTecnici!$N1227,".",","),IFERROR(NUMBERVALUE(CriteriTecnici!$N1227,",","."),0))),4)&amp;""),",",".")&amp;", "&amp;CHAR(34)&amp;"numerator"&amp;CHAR(34)&amp;": "&amp;SUBSTITUTE(TRIM(ROUND(IFERROR(CriteriTecnici!$K1227*1,IFERROR(NUMBERVALUE(CriteriTecnici!$K1227,".",","),IFERROR(NUMBERVALUE(CriteriTecnici!$K1227,",","."),0))),4)&amp;""),",",".")&amp;", "&amp;CHAR(34)&amp;"denominator"&amp;CHAR(34)&amp;": "&amp;SUBSTITUTE(TRIM(ROUND(IFERROR(CriteriTecnici!$L1227*1,IFERROR(NUMBERVALUE(CriteriTecnici!$L1227,".",","),IFERROR(NUMBERVALUE(CriteriTecnici!$L1227,",","."),0))),4)&amp;""),",",".")&amp;", "&amp;CHAR(34)&amp;"flag"&amp;CHAR(34)&amp;": "&amp;SUBSTITUTE(TRIM(ROUND(IFERROR(CriteriTecnici!$M1227*1,IFERROR(NUMBERVALUE(CriteriTecnici!$M1227,".",","),IFERROR(NUMBERVALUE(CriteriTecnici!$M1227,",","."),0))),4)&amp;""),",",".")&amp;", "&amp;CHAR(34)&amp;"rawScore"&amp;CHAR(34)&amp;": "&amp;SUBSTITUTE(TRIM(ROUND(IFERROR(CriteriTecnici!$O1227*1,IFERROR(NUMBERVALUE(CriteriTecnici!$O1227,".",","),IFERROR(NUMBERVALUE(CriteriTecnici!$O1227,",","."),0))),4)&amp;""),",",".")&amp;CHAR(125)&amp;IF(TRUE,",",""))</f>
        <v/>
      </c>
    </row>
    <row r="1329">
      <c r="A1329" s="82">
        <f>IF(CriteriTecnici!$A1228="","","    "&amp;CHAR(123)&amp;CHAR(34)&amp;"bidderId"&amp;CHAR(34)&amp;": "&amp;CHAR(34)&amp;SUBSTITUTE(CriteriTecnici!$A1228,CHAR(34),"'")&amp;CHAR(34)&amp;", "&amp;CHAR(34)&amp;"lotId"&amp;CHAR(34)&amp;": "&amp;CHAR(34)&amp;SUBSTITUTE(CriteriTecnici!$C1228,CHAR(34),"'")&amp;CHAR(34)&amp;", "&amp;CHAR(34)&amp;"criterionId"&amp;CHAR(34)&amp;": "&amp;CHAR(34)&amp;SUBSTITUTE(CriteriTecnici!$D1228,CHAR(34),"'")&amp;CHAR(34)&amp;", "&amp;CHAR(34)&amp;"kind"&amp;CHAR(34)&amp;": "&amp;CHAR(34)&amp;SUBSTITUTE(CriteriTecnici!$F1228,CHAR(34),"'")&amp;CHAR(34)&amp;", "&amp;CHAR(34)&amp;"value"&amp;CHAR(34)&amp;": "&amp;SUBSTITUTE(TRIM(ROUND(IFERROR(CriteriTecnici!$N1228*1,IFERROR(NUMBERVALUE(CriteriTecnici!$N1228,".",","),IFERROR(NUMBERVALUE(CriteriTecnici!$N1228,",","."),0))),4)&amp;""),",",".")&amp;", "&amp;CHAR(34)&amp;"numerator"&amp;CHAR(34)&amp;": "&amp;SUBSTITUTE(TRIM(ROUND(IFERROR(CriteriTecnici!$K1228*1,IFERROR(NUMBERVALUE(CriteriTecnici!$K1228,".",","),IFERROR(NUMBERVALUE(CriteriTecnici!$K1228,",","."),0))),4)&amp;""),",",".")&amp;", "&amp;CHAR(34)&amp;"denominator"&amp;CHAR(34)&amp;": "&amp;SUBSTITUTE(TRIM(ROUND(IFERROR(CriteriTecnici!$L1228*1,IFERROR(NUMBERVALUE(CriteriTecnici!$L1228,".",","),IFERROR(NUMBERVALUE(CriteriTecnici!$L1228,",","."),0))),4)&amp;""),",",".")&amp;", "&amp;CHAR(34)&amp;"flag"&amp;CHAR(34)&amp;": "&amp;SUBSTITUTE(TRIM(ROUND(IFERROR(CriteriTecnici!$M1228*1,IFERROR(NUMBERVALUE(CriteriTecnici!$M1228,".",","),IFERROR(NUMBERVALUE(CriteriTecnici!$M1228,",","."),0))),4)&amp;""),",",".")&amp;", "&amp;CHAR(34)&amp;"rawScore"&amp;CHAR(34)&amp;": "&amp;SUBSTITUTE(TRIM(ROUND(IFERROR(CriteriTecnici!$O1228*1,IFERROR(NUMBERVALUE(CriteriTecnici!$O1228,".",","),IFERROR(NUMBERVALUE(CriteriTecnici!$O1228,",","."),0))),4)&amp;""),",",".")&amp;CHAR(125)&amp;IF(TRUE,",",""))</f>
        <v/>
      </c>
    </row>
    <row r="1330">
      <c r="A1330" s="82">
        <f>IF(CriteriTecnici!$A1229="","","    "&amp;CHAR(123)&amp;CHAR(34)&amp;"bidderId"&amp;CHAR(34)&amp;": "&amp;CHAR(34)&amp;SUBSTITUTE(CriteriTecnici!$A1229,CHAR(34),"'")&amp;CHAR(34)&amp;", "&amp;CHAR(34)&amp;"lotId"&amp;CHAR(34)&amp;": "&amp;CHAR(34)&amp;SUBSTITUTE(CriteriTecnici!$C1229,CHAR(34),"'")&amp;CHAR(34)&amp;", "&amp;CHAR(34)&amp;"criterionId"&amp;CHAR(34)&amp;": "&amp;CHAR(34)&amp;SUBSTITUTE(CriteriTecnici!$D1229,CHAR(34),"'")&amp;CHAR(34)&amp;", "&amp;CHAR(34)&amp;"kind"&amp;CHAR(34)&amp;": "&amp;CHAR(34)&amp;SUBSTITUTE(CriteriTecnici!$F1229,CHAR(34),"'")&amp;CHAR(34)&amp;", "&amp;CHAR(34)&amp;"value"&amp;CHAR(34)&amp;": "&amp;SUBSTITUTE(TRIM(ROUND(IFERROR(CriteriTecnici!$N1229*1,IFERROR(NUMBERVALUE(CriteriTecnici!$N1229,".",","),IFERROR(NUMBERVALUE(CriteriTecnici!$N1229,",","."),0))),4)&amp;""),",",".")&amp;", "&amp;CHAR(34)&amp;"numerator"&amp;CHAR(34)&amp;": "&amp;SUBSTITUTE(TRIM(ROUND(IFERROR(CriteriTecnici!$K1229*1,IFERROR(NUMBERVALUE(CriteriTecnici!$K1229,".",","),IFERROR(NUMBERVALUE(CriteriTecnici!$K1229,",","."),0))),4)&amp;""),",",".")&amp;", "&amp;CHAR(34)&amp;"denominator"&amp;CHAR(34)&amp;": "&amp;SUBSTITUTE(TRIM(ROUND(IFERROR(CriteriTecnici!$L1229*1,IFERROR(NUMBERVALUE(CriteriTecnici!$L1229,".",","),IFERROR(NUMBERVALUE(CriteriTecnici!$L1229,",","."),0))),4)&amp;""),",",".")&amp;", "&amp;CHAR(34)&amp;"flag"&amp;CHAR(34)&amp;": "&amp;SUBSTITUTE(TRIM(ROUND(IFERROR(CriteriTecnici!$M1229*1,IFERROR(NUMBERVALUE(CriteriTecnici!$M1229,".",","),IFERROR(NUMBERVALUE(CriteriTecnici!$M1229,",","."),0))),4)&amp;""),",",".")&amp;", "&amp;CHAR(34)&amp;"rawScore"&amp;CHAR(34)&amp;": "&amp;SUBSTITUTE(TRIM(ROUND(IFERROR(CriteriTecnici!$O1229*1,IFERROR(NUMBERVALUE(CriteriTecnici!$O1229,".",","),IFERROR(NUMBERVALUE(CriteriTecnici!$O1229,",","."),0))),4)&amp;""),",",".")&amp;CHAR(125)&amp;IF(TRUE,",",""))</f>
        <v/>
      </c>
    </row>
    <row r="1331">
      <c r="A1331" s="82">
        <f>IF(CriteriTecnici!$A1230="","","    "&amp;CHAR(123)&amp;CHAR(34)&amp;"bidderId"&amp;CHAR(34)&amp;": "&amp;CHAR(34)&amp;SUBSTITUTE(CriteriTecnici!$A1230,CHAR(34),"'")&amp;CHAR(34)&amp;", "&amp;CHAR(34)&amp;"lotId"&amp;CHAR(34)&amp;": "&amp;CHAR(34)&amp;SUBSTITUTE(CriteriTecnici!$C1230,CHAR(34),"'")&amp;CHAR(34)&amp;", "&amp;CHAR(34)&amp;"criterionId"&amp;CHAR(34)&amp;": "&amp;CHAR(34)&amp;SUBSTITUTE(CriteriTecnici!$D1230,CHAR(34),"'")&amp;CHAR(34)&amp;", "&amp;CHAR(34)&amp;"kind"&amp;CHAR(34)&amp;": "&amp;CHAR(34)&amp;SUBSTITUTE(CriteriTecnici!$F1230,CHAR(34),"'")&amp;CHAR(34)&amp;", "&amp;CHAR(34)&amp;"value"&amp;CHAR(34)&amp;": "&amp;SUBSTITUTE(TRIM(ROUND(IFERROR(CriteriTecnici!$N1230*1,IFERROR(NUMBERVALUE(CriteriTecnici!$N1230,".",","),IFERROR(NUMBERVALUE(CriteriTecnici!$N1230,",","."),0))),4)&amp;""),",",".")&amp;", "&amp;CHAR(34)&amp;"numerator"&amp;CHAR(34)&amp;": "&amp;SUBSTITUTE(TRIM(ROUND(IFERROR(CriteriTecnici!$K1230*1,IFERROR(NUMBERVALUE(CriteriTecnici!$K1230,".",","),IFERROR(NUMBERVALUE(CriteriTecnici!$K1230,",","."),0))),4)&amp;""),",",".")&amp;", "&amp;CHAR(34)&amp;"denominator"&amp;CHAR(34)&amp;": "&amp;SUBSTITUTE(TRIM(ROUND(IFERROR(CriteriTecnici!$L1230*1,IFERROR(NUMBERVALUE(CriteriTecnici!$L1230,".",","),IFERROR(NUMBERVALUE(CriteriTecnici!$L1230,",","."),0))),4)&amp;""),",",".")&amp;", "&amp;CHAR(34)&amp;"flag"&amp;CHAR(34)&amp;": "&amp;SUBSTITUTE(TRIM(ROUND(IFERROR(CriteriTecnici!$M1230*1,IFERROR(NUMBERVALUE(CriteriTecnici!$M1230,".",","),IFERROR(NUMBERVALUE(CriteriTecnici!$M1230,",","."),0))),4)&amp;""),",",".")&amp;", "&amp;CHAR(34)&amp;"rawScore"&amp;CHAR(34)&amp;": "&amp;SUBSTITUTE(TRIM(ROUND(IFERROR(CriteriTecnici!$O1230*1,IFERROR(NUMBERVALUE(CriteriTecnici!$O1230,".",","),IFERROR(NUMBERVALUE(CriteriTecnici!$O1230,",","."),0))),4)&amp;""),",",".")&amp;CHAR(125)&amp;IF(TRUE,",",""))</f>
        <v/>
      </c>
    </row>
    <row r="1332">
      <c r="A1332" s="82">
        <f>IF(CriteriTecnici!$A1231="","","    "&amp;CHAR(123)&amp;CHAR(34)&amp;"bidderId"&amp;CHAR(34)&amp;": "&amp;CHAR(34)&amp;SUBSTITUTE(CriteriTecnici!$A1231,CHAR(34),"'")&amp;CHAR(34)&amp;", "&amp;CHAR(34)&amp;"lotId"&amp;CHAR(34)&amp;": "&amp;CHAR(34)&amp;SUBSTITUTE(CriteriTecnici!$C1231,CHAR(34),"'")&amp;CHAR(34)&amp;", "&amp;CHAR(34)&amp;"criterionId"&amp;CHAR(34)&amp;": "&amp;CHAR(34)&amp;SUBSTITUTE(CriteriTecnici!$D1231,CHAR(34),"'")&amp;CHAR(34)&amp;", "&amp;CHAR(34)&amp;"kind"&amp;CHAR(34)&amp;": "&amp;CHAR(34)&amp;SUBSTITUTE(CriteriTecnici!$F1231,CHAR(34),"'")&amp;CHAR(34)&amp;", "&amp;CHAR(34)&amp;"value"&amp;CHAR(34)&amp;": "&amp;SUBSTITUTE(TRIM(ROUND(IFERROR(CriteriTecnici!$N1231*1,IFERROR(NUMBERVALUE(CriteriTecnici!$N1231,".",","),IFERROR(NUMBERVALUE(CriteriTecnici!$N1231,",","."),0))),4)&amp;""),",",".")&amp;", "&amp;CHAR(34)&amp;"numerator"&amp;CHAR(34)&amp;": "&amp;SUBSTITUTE(TRIM(ROUND(IFERROR(CriteriTecnici!$K1231*1,IFERROR(NUMBERVALUE(CriteriTecnici!$K1231,".",","),IFERROR(NUMBERVALUE(CriteriTecnici!$K1231,",","."),0))),4)&amp;""),",",".")&amp;", "&amp;CHAR(34)&amp;"denominator"&amp;CHAR(34)&amp;": "&amp;SUBSTITUTE(TRIM(ROUND(IFERROR(CriteriTecnici!$L1231*1,IFERROR(NUMBERVALUE(CriteriTecnici!$L1231,".",","),IFERROR(NUMBERVALUE(CriteriTecnici!$L1231,",","."),0))),4)&amp;""),",",".")&amp;", "&amp;CHAR(34)&amp;"flag"&amp;CHAR(34)&amp;": "&amp;SUBSTITUTE(TRIM(ROUND(IFERROR(CriteriTecnici!$M1231*1,IFERROR(NUMBERVALUE(CriteriTecnici!$M1231,".",","),IFERROR(NUMBERVALUE(CriteriTecnici!$M1231,",","."),0))),4)&amp;""),",",".")&amp;", "&amp;CHAR(34)&amp;"rawScore"&amp;CHAR(34)&amp;": "&amp;SUBSTITUTE(TRIM(ROUND(IFERROR(CriteriTecnici!$O1231*1,IFERROR(NUMBERVALUE(CriteriTecnici!$O1231,".",","),IFERROR(NUMBERVALUE(CriteriTecnici!$O1231,",","."),0))),4)&amp;""),",",".")&amp;CHAR(125)&amp;IF(TRUE,",",""))</f>
        <v/>
      </c>
    </row>
    <row r="1333">
      <c r="A1333" s="82">
        <f>IF(CriteriTecnici!$A1232="","","    "&amp;CHAR(123)&amp;CHAR(34)&amp;"bidderId"&amp;CHAR(34)&amp;": "&amp;CHAR(34)&amp;SUBSTITUTE(CriteriTecnici!$A1232,CHAR(34),"'")&amp;CHAR(34)&amp;", "&amp;CHAR(34)&amp;"lotId"&amp;CHAR(34)&amp;": "&amp;CHAR(34)&amp;SUBSTITUTE(CriteriTecnici!$C1232,CHAR(34),"'")&amp;CHAR(34)&amp;", "&amp;CHAR(34)&amp;"criterionId"&amp;CHAR(34)&amp;": "&amp;CHAR(34)&amp;SUBSTITUTE(CriteriTecnici!$D1232,CHAR(34),"'")&amp;CHAR(34)&amp;", "&amp;CHAR(34)&amp;"kind"&amp;CHAR(34)&amp;": "&amp;CHAR(34)&amp;SUBSTITUTE(CriteriTecnici!$F1232,CHAR(34),"'")&amp;CHAR(34)&amp;", "&amp;CHAR(34)&amp;"value"&amp;CHAR(34)&amp;": "&amp;SUBSTITUTE(TRIM(ROUND(IFERROR(CriteriTecnici!$N1232*1,IFERROR(NUMBERVALUE(CriteriTecnici!$N1232,".",","),IFERROR(NUMBERVALUE(CriteriTecnici!$N1232,",","."),0))),4)&amp;""),",",".")&amp;", "&amp;CHAR(34)&amp;"numerator"&amp;CHAR(34)&amp;": "&amp;SUBSTITUTE(TRIM(ROUND(IFERROR(CriteriTecnici!$K1232*1,IFERROR(NUMBERVALUE(CriteriTecnici!$K1232,".",","),IFERROR(NUMBERVALUE(CriteriTecnici!$K1232,",","."),0))),4)&amp;""),",",".")&amp;", "&amp;CHAR(34)&amp;"denominator"&amp;CHAR(34)&amp;": "&amp;SUBSTITUTE(TRIM(ROUND(IFERROR(CriteriTecnici!$L1232*1,IFERROR(NUMBERVALUE(CriteriTecnici!$L1232,".",","),IFERROR(NUMBERVALUE(CriteriTecnici!$L1232,",","."),0))),4)&amp;""),",",".")&amp;", "&amp;CHAR(34)&amp;"flag"&amp;CHAR(34)&amp;": "&amp;SUBSTITUTE(TRIM(ROUND(IFERROR(CriteriTecnici!$M1232*1,IFERROR(NUMBERVALUE(CriteriTecnici!$M1232,".",","),IFERROR(NUMBERVALUE(CriteriTecnici!$M1232,",","."),0))),4)&amp;""),",",".")&amp;", "&amp;CHAR(34)&amp;"rawScore"&amp;CHAR(34)&amp;": "&amp;SUBSTITUTE(TRIM(ROUND(IFERROR(CriteriTecnici!$O1232*1,IFERROR(NUMBERVALUE(CriteriTecnici!$O1232,".",","),IFERROR(NUMBERVALUE(CriteriTecnici!$O1232,",","."),0))),4)&amp;""),",",".")&amp;CHAR(125)&amp;IF(TRUE,",",""))</f>
        <v/>
      </c>
    </row>
    <row r="1334">
      <c r="A1334" s="82">
        <f>IF(CriteriTecnici!$A1233="","","    "&amp;CHAR(123)&amp;CHAR(34)&amp;"bidderId"&amp;CHAR(34)&amp;": "&amp;CHAR(34)&amp;SUBSTITUTE(CriteriTecnici!$A1233,CHAR(34),"'")&amp;CHAR(34)&amp;", "&amp;CHAR(34)&amp;"lotId"&amp;CHAR(34)&amp;": "&amp;CHAR(34)&amp;SUBSTITUTE(CriteriTecnici!$C1233,CHAR(34),"'")&amp;CHAR(34)&amp;", "&amp;CHAR(34)&amp;"criterionId"&amp;CHAR(34)&amp;": "&amp;CHAR(34)&amp;SUBSTITUTE(CriteriTecnici!$D1233,CHAR(34),"'")&amp;CHAR(34)&amp;", "&amp;CHAR(34)&amp;"kind"&amp;CHAR(34)&amp;": "&amp;CHAR(34)&amp;SUBSTITUTE(CriteriTecnici!$F1233,CHAR(34),"'")&amp;CHAR(34)&amp;", "&amp;CHAR(34)&amp;"value"&amp;CHAR(34)&amp;": "&amp;SUBSTITUTE(TRIM(ROUND(IFERROR(CriteriTecnici!$N1233*1,IFERROR(NUMBERVALUE(CriteriTecnici!$N1233,".",","),IFERROR(NUMBERVALUE(CriteriTecnici!$N1233,",","."),0))),4)&amp;""),",",".")&amp;", "&amp;CHAR(34)&amp;"numerator"&amp;CHAR(34)&amp;": "&amp;SUBSTITUTE(TRIM(ROUND(IFERROR(CriteriTecnici!$K1233*1,IFERROR(NUMBERVALUE(CriteriTecnici!$K1233,".",","),IFERROR(NUMBERVALUE(CriteriTecnici!$K1233,",","."),0))),4)&amp;""),",",".")&amp;", "&amp;CHAR(34)&amp;"denominator"&amp;CHAR(34)&amp;": "&amp;SUBSTITUTE(TRIM(ROUND(IFERROR(CriteriTecnici!$L1233*1,IFERROR(NUMBERVALUE(CriteriTecnici!$L1233,".",","),IFERROR(NUMBERVALUE(CriteriTecnici!$L1233,",","."),0))),4)&amp;""),",",".")&amp;", "&amp;CHAR(34)&amp;"flag"&amp;CHAR(34)&amp;": "&amp;SUBSTITUTE(TRIM(ROUND(IFERROR(CriteriTecnici!$M1233*1,IFERROR(NUMBERVALUE(CriteriTecnici!$M1233,".",","),IFERROR(NUMBERVALUE(CriteriTecnici!$M1233,",","."),0))),4)&amp;""),",",".")&amp;", "&amp;CHAR(34)&amp;"rawScore"&amp;CHAR(34)&amp;": "&amp;SUBSTITUTE(TRIM(ROUND(IFERROR(CriteriTecnici!$O1233*1,IFERROR(NUMBERVALUE(CriteriTecnici!$O1233,".",","),IFERROR(NUMBERVALUE(CriteriTecnici!$O1233,",","."),0))),4)&amp;""),",",".")&amp;CHAR(125)&amp;IF(TRUE,",",""))</f>
        <v/>
      </c>
    </row>
    <row r="1335">
      <c r="A1335" s="82">
        <f>IF(CriteriTecnici!$A1234="","","    "&amp;CHAR(123)&amp;CHAR(34)&amp;"bidderId"&amp;CHAR(34)&amp;": "&amp;CHAR(34)&amp;SUBSTITUTE(CriteriTecnici!$A1234,CHAR(34),"'")&amp;CHAR(34)&amp;", "&amp;CHAR(34)&amp;"lotId"&amp;CHAR(34)&amp;": "&amp;CHAR(34)&amp;SUBSTITUTE(CriteriTecnici!$C1234,CHAR(34),"'")&amp;CHAR(34)&amp;", "&amp;CHAR(34)&amp;"criterionId"&amp;CHAR(34)&amp;": "&amp;CHAR(34)&amp;SUBSTITUTE(CriteriTecnici!$D1234,CHAR(34),"'")&amp;CHAR(34)&amp;", "&amp;CHAR(34)&amp;"kind"&amp;CHAR(34)&amp;": "&amp;CHAR(34)&amp;SUBSTITUTE(CriteriTecnici!$F1234,CHAR(34),"'")&amp;CHAR(34)&amp;", "&amp;CHAR(34)&amp;"value"&amp;CHAR(34)&amp;": "&amp;SUBSTITUTE(TRIM(ROUND(IFERROR(CriteriTecnici!$N1234*1,IFERROR(NUMBERVALUE(CriteriTecnici!$N1234,".",","),IFERROR(NUMBERVALUE(CriteriTecnici!$N1234,",","."),0))),4)&amp;""),",",".")&amp;", "&amp;CHAR(34)&amp;"numerator"&amp;CHAR(34)&amp;": "&amp;SUBSTITUTE(TRIM(ROUND(IFERROR(CriteriTecnici!$K1234*1,IFERROR(NUMBERVALUE(CriteriTecnici!$K1234,".",","),IFERROR(NUMBERVALUE(CriteriTecnici!$K1234,",","."),0))),4)&amp;""),",",".")&amp;", "&amp;CHAR(34)&amp;"denominator"&amp;CHAR(34)&amp;": "&amp;SUBSTITUTE(TRIM(ROUND(IFERROR(CriteriTecnici!$L1234*1,IFERROR(NUMBERVALUE(CriteriTecnici!$L1234,".",","),IFERROR(NUMBERVALUE(CriteriTecnici!$L1234,",","."),0))),4)&amp;""),",",".")&amp;", "&amp;CHAR(34)&amp;"flag"&amp;CHAR(34)&amp;": "&amp;SUBSTITUTE(TRIM(ROUND(IFERROR(CriteriTecnici!$M1234*1,IFERROR(NUMBERVALUE(CriteriTecnici!$M1234,".",","),IFERROR(NUMBERVALUE(CriteriTecnici!$M1234,",","."),0))),4)&amp;""),",",".")&amp;", "&amp;CHAR(34)&amp;"rawScore"&amp;CHAR(34)&amp;": "&amp;SUBSTITUTE(TRIM(ROUND(IFERROR(CriteriTecnici!$O1234*1,IFERROR(NUMBERVALUE(CriteriTecnici!$O1234,".",","),IFERROR(NUMBERVALUE(CriteriTecnici!$O1234,",","."),0))),4)&amp;""),",",".")&amp;CHAR(125)&amp;IF(TRUE,",",""))</f>
        <v/>
      </c>
    </row>
    <row r="1336">
      <c r="A1336" s="82">
        <f>IF(CriteriTecnici!$A1235="","","    "&amp;CHAR(123)&amp;CHAR(34)&amp;"bidderId"&amp;CHAR(34)&amp;": "&amp;CHAR(34)&amp;SUBSTITUTE(CriteriTecnici!$A1235,CHAR(34),"'")&amp;CHAR(34)&amp;", "&amp;CHAR(34)&amp;"lotId"&amp;CHAR(34)&amp;": "&amp;CHAR(34)&amp;SUBSTITUTE(CriteriTecnici!$C1235,CHAR(34),"'")&amp;CHAR(34)&amp;", "&amp;CHAR(34)&amp;"criterionId"&amp;CHAR(34)&amp;": "&amp;CHAR(34)&amp;SUBSTITUTE(CriteriTecnici!$D1235,CHAR(34),"'")&amp;CHAR(34)&amp;", "&amp;CHAR(34)&amp;"kind"&amp;CHAR(34)&amp;": "&amp;CHAR(34)&amp;SUBSTITUTE(CriteriTecnici!$F1235,CHAR(34),"'")&amp;CHAR(34)&amp;", "&amp;CHAR(34)&amp;"value"&amp;CHAR(34)&amp;": "&amp;SUBSTITUTE(TRIM(ROUND(IFERROR(CriteriTecnici!$N1235*1,IFERROR(NUMBERVALUE(CriteriTecnici!$N1235,".",","),IFERROR(NUMBERVALUE(CriteriTecnici!$N1235,",","."),0))),4)&amp;""),",",".")&amp;", "&amp;CHAR(34)&amp;"numerator"&amp;CHAR(34)&amp;": "&amp;SUBSTITUTE(TRIM(ROUND(IFERROR(CriteriTecnici!$K1235*1,IFERROR(NUMBERVALUE(CriteriTecnici!$K1235,".",","),IFERROR(NUMBERVALUE(CriteriTecnici!$K1235,",","."),0))),4)&amp;""),",",".")&amp;", "&amp;CHAR(34)&amp;"denominator"&amp;CHAR(34)&amp;": "&amp;SUBSTITUTE(TRIM(ROUND(IFERROR(CriteriTecnici!$L1235*1,IFERROR(NUMBERVALUE(CriteriTecnici!$L1235,".",","),IFERROR(NUMBERVALUE(CriteriTecnici!$L1235,",","."),0))),4)&amp;""),",",".")&amp;", "&amp;CHAR(34)&amp;"flag"&amp;CHAR(34)&amp;": "&amp;SUBSTITUTE(TRIM(ROUND(IFERROR(CriteriTecnici!$M1235*1,IFERROR(NUMBERVALUE(CriteriTecnici!$M1235,".",","),IFERROR(NUMBERVALUE(CriteriTecnici!$M1235,",","."),0))),4)&amp;""),",",".")&amp;", "&amp;CHAR(34)&amp;"rawScore"&amp;CHAR(34)&amp;": "&amp;SUBSTITUTE(TRIM(ROUND(IFERROR(CriteriTecnici!$O1235*1,IFERROR(NUMBERVALUE(CriteriTecnici!$O1235,".",","),IFERROR(NUMBERVALUE(CriteriTecnici!$O1235,",","."),0))),4)&amp;""),",",".")&amp;CHAR(125)&amp;IF(TRUE,",",""))</f>
        <v/>
      </c>
    </row>
    <row r="1337">
      <c r="A1337" s="82">
        <f>IF(CriteriTecnici!$A1236="","","    "&amp;CHAR(123)&amp;CHAR(34)&amp;"bidderId"&amp;CHAR(34)&amp;": "&amp;CHAR(34)&amp;SUBSTITUTE(CriteriTecnici!$A1236,CHAR(34),"'")&amp;CHAR(34)&amp;", "&amp;CHAR(34)&amp;"lotId"&amp;CHAR(34)&amp;": "&amp;CHAR(34)&amp;SUBSTITUTE(CriteriTecnici!$C1236,CHAR(34),"'")&amp;CHAR(34)&amp;", "&amp;CHAR(34)&amp;"criterionId"&amp;CHAR(34)&amp;": "&amp;CHAR(34)&amp;SUBSTITUTE(CriteriTecnici!$D1236,CHAR(34),"'")&amp;CHAR(34)&amp;", "&amp;CHAR(34)&amp;"kind"&amp;CHAR(34)&amp;": "&amp;CHAR(34)&amp;SUBSTITUTE(CriteriTecnici!$F1236,CHAR(34),"'")&amp;CHAR(34)&amp;", "&amp;CHAR(34)&amp;"value"&amp;CHAR(34)&amp;": "&amp;SUBSTITUTE(TRIM(ROUND(IFERROR(CriteriTecnici!$N1236*1,IFERROR(NUMBERVALUE(CriteriTecnici!$N1236,".",","),IFERROR(NUMBERVALUE(CriteriTecnici!$N1236,",","."),0))),4)&amp;""),",",".")&amp;", "&amp;CHAR(34)&amp;"numerator"&amp;CHAR(34)&amp;": "&amp;SUBSTITUTE(TRIM(ROUND(IFERROR(CriteriTecnici!$K1236*1,IFERROR(NUMBERVALUE(CriteriTecnici!$K1236,".",","),IFERROR(NUMBERVALUE(CriteriTecnici!$K1236,",","."),0))),4)&amp;""),",",".")&amp;", "&amp;CHAR(34)&amp;"denominator"&amp;CHAR(34)&amp;": "&amp;SUBSTITUTE(TRIM(ROUND(IFERROR(CriteriTecnici!$L1236*1,IFERROR(NUMBERVALUE(CriteriTecnici!$L1236,".",","),IFERROR(NUMBERVALUE(CriteriTecnici!$L1236,",","."),0))),4)&amp;""),",",".")&amp;", "&amp;CHAR(34)&amp;"flag"&amp;CHAR(34)&amp;": "&amp;SUBSTITUTE(TRIM(ROUND(IFERROR(CriteriTecnici!$M1236*1,IFERROR(NUMBERVALUE(CriteriTecnici!$M1236,".",","),IFERROR(NUMBERVALUE(CriteriTecnici!$M1236,",","."),0))),4)&amp;""),",",".")&amp;", "&amp;CHAR(34)&amp;"rawScore"&amp;CHAR(34)&amp;": "&amp;SUBSTITUTE(TRIM(ROUND(IFERROR(CriteriTecnici!$O1236*1,IFERROR(NUMBERVALUE(CriteriTecnici!$O1236,".",","),IFERROR(NUMBERVALUE(CriteriTecnici!$O1236,",","."),0))),4)&amp;""),",",".")&amp;CHAR(125)&amp;IF(TRUE,",",""))</f>
        <v/>
      </c>
    </row>
    <row r="1338">
      <c r="A1338" s="82">
        <f>IF(CriteriTecnici!$A1237="","","    "&amp;CHAR(123)&amp;CHAR(34)&amp;"bidderId"&amp;CHAR(34)&amp;": "&amp;CHAR(34)&amp;SUBSTITUTE(CriteriTecnici!$A1237,CHAR(34),"'")&amp;CHAR(34)&amp;", "&amp;CHAR(34)&amp;"lotId"&amp;CHAR(34)&amp;": "&amp;CHAR(34)&amp;SUBSTITUTE(CriteriTecnici!$C1237,CHAR(34),"'")&amp;CHAR(34)&amp;", "&amp;CHAR(34)&amp;"criterionId"&amp;CHAR(34)&amp;": "&amp;CHAR(34)&amp;SUBSTITUTE(CriteriTecnici!$D1237,CHAR(34),"'")&amp;CHAR(34)&amp;", "&amp;CHAR(34)&amp;"kind"&amp;CHAR(34)&amp;": "&amp;CHAR(34)&amp;SUBSTITUTE(CriteriTecnici!$F1237,CHAR(34),"'")&amp;CHAR(34)&amp;", "&amp;CHAR(34)&amp;"value"&amp;CHAR(34)&amp;": "&amp;SUBSTITUTE(TRIM(ROUND(IFERROR(CriteriTecnici!$N1237*1,IFERROR(NUMBERVALUE(CriteriTecnici!$N1237,".",","),IFERROR(NUMBERVALUE(CriteriTecnici!$N1237,",","."),0))),4)&amp;""),",",".")&amp;", "&amp;CHAR(34)&amp;"numerator"&amp;CHAR(34)&amp;": "&amp;SUBSTITUTE(TRIM(ROUND(IFERROR(CriteriTecnici!$K1237*1,IFERROR(NUMBERVALUE(CriteriTecnici!$K1237,".",","),IFERROR(NUMBERVALUE(CriteriTecnici!$K1237,",","."),0))),4)&amp;""),",",".")&amp;", "&amp;CHAR(34)&amp;"denominator"&amp;CHAR(34)&amp;": "&amp;SUBSTITUTE(TRIM(ROUND(IFERROR(CriteriTecnici!$L1237*1,IFERROR(NUMBERVALUE(CriteriTecnici!$L1237,".",","),IFERROR(NUMBERVALUE(CriteriTecnici!$L1237,",","."),0))),4)&amp;""),",",".")&amp;", "&amp;CHAR(34)&amp;"flag"&amp;CHAR(34)&amp;": "&amp;SUBSTITUTE(TRIM(ROUND(IFERROR(CriteriTecnici!$M1237*1,IFERROR(NUMBERVALUE(CriteriTecnici!$M1237,".",","),IFERROR(NUMBERVALUE(CriteriTecnici!$M1237,",","."),0))),4)&amp;""),",",".")&amp;", "&amp;CHAR(34)&amp;"rawScore"&amp;CHAR(34)&amp;": "&amp;SUBSTITUTE(TRIM(ROUND(IFERROR(CriteriTecnici!$O1237*1,IFERROR(NUMBERVALUE(CriteriTecnici!$O1237,".",","),IFERROR(NUMBERVALUE(CriteriTecnici!$O1237,",","."),0))),4)&amp;""),",",".")&amp;CHAR(125)&amp;IF(TRUE,",",""))</f>
        <v/>
      </c>
    </row>
    <row r="1339">
      <c r="A1339" s="82">
        <f>IF(CriteriTecnici!$A1238="","","    "&amp;CHAR(123)&amp;CHAR(34)&amp;"bidderId"&amp;CHAR(34)&amp;": "&amp;CHAR(34)&amp;SUBSTITUTE(CriteriTecnici!$A1238,CHAR(34),"'")&amp;CHAR(34)&amp;", "&amp;CHAR(34)&amp;"lotId"&amp;CHAR(34)&amp;": "&amp;CHAR(34)&amp;SUBSTITUTE(CriteriTecnici!$C1238,CHAR(34),"'")&amp;CHAR(34)&amp;", "&amp;CHAR(34)&amp;"criterionId"&amp;CHAR(34)&amp;": "&amp;CHAR(34)&amp;SUBSTITUTE(CriteriTecnici!$D1238,CHAR(34),"'")&amp;CHAR(34)&amp;", "&amp;CHAR(34)&amp;"kind"&amp;CHAR(34)&amp;": "&amp;CHAR(34)&amp;SUBSTITUTE(CriteriTecnici!$F1238,CHAR(34),"'")&amp;CHAR(34)&amp;", "&amp;CHAR(34)&amp;"value"&amp;CHAR(34)&amp;": "&amp;SUBSTITUTE(TRIM(ROUND(IFERROR(CriteriTecnici!$N1238*1,IFERROR(NUMBERVALUE(CriteriTecnici!$N1238,".",","),IFERROR(NUMBERVALUE(CriteriTecnici!$N1238,",","."),0))),4)&amp;""),",",".")&amp;", "&amp;CHAR(34)&amp;"numerator"&amp;CHAR(34)&amp;": "&amp;SUBSTITUTE(TRIM(ROUND(IFERROR(CriteriTecnici!$K1238*1,IFERROR(NUMBERVALUE(CriteriTecnici!$K1238,".",","),IFERROR(NUMBERVALUE(CriteriTecnici!$K1238,",","."),0))),4)&amp;""),",",".")&amp;", "&amp;CHAR(34)&amp;"denominator"&amp;CHAR(34)&amp;": "&amp;SUBSTITUTE(TRIM(ROUND(IFERROR(CriteriTecnici!$L1238*1,IFERROR(NUMBERVALUE(CriteriTecnici!$L1238,".",","),IFERROR(NUMBERVALUE(CriteriTecnici!$L1238,",","."),0))),4)&amp;""),",",".")&amp;", "&amp;CHAR(34)&amp;"flag"&amp;CHAR(34)&amp;": "&amp;SUBSTITUTE(TRIM(ROUND(IFERROR(CriteriTecnici!$M1238*1,IFERROR(NUMBERVALUE(CriteriTecnici!$M1238,".",","),IFERROR(NUMBERVALUE(CriteriTecnici!$M1238,",","."),0))),4)&amp;""),",",".")&amp;", "&amp;CHAR(34)&amp;"rawScore"&amp;CHAR(34)&amp;": "&amp;SUBSTITUTE(TRIM(ROUND(IFERROR(CriteriTecnici!$O1238*1,IFERROR(NUMBERVALUE(CriteriTecnici!$O1238,".",","),IFERROR(NUMBERVALUE(CriteriTecnici!$O1238,",","."),0))),4)&amp;""),",",".")&amp;CHAR(125)&amp;IF(TRUE,",",""))</f>
        <v/>
      </c>
    </row>
    <row r="1340">
      <c r="A1340" s="82">
        <f>IF(CriteriTecnici!$A1239="","","    "&amp;CHAR(123)&amp;CHAR(34)&amp;"bidderId"&amp;CHAR(34)&amp;": "&amp;CHAR(34)&amp;SUBSTITUTE(CriteriTecnici!$A1239,CHAR(34),"'")&amp;CHAR(34)&amp;", "&amp;CHAR(34)&amp;"lotId"&amp;CHAR(34)&amp;": "&amp;CHAR(34)&amp;SUBSTITUTE(CriteriTecnici!$C1239,CHAR(34),"'")&amp;CHAR(34)&amp;", "&amp;CHAR(34)&amp;"criterionId"&amp;CHAR(34)&amp;": "&amp;CHAR(34)&amp;SUBSTITUTE(CriteriTecnici!$D1239,CHAR(34),"'")&amp;CHAR(34)&amp;", "&amp;CHAR(34)&amp;"kind"&amp;CHAR(34)&amp;": "&amp;CHAR(34)&amp;SUBSTITUTE(CriteriTecnici!$F1239,CHAR(34),"'")&amp;CHAR(34)&amp;", "&amp;CHAR(34)&amp;"value"&amp;CHAR(34)&amp;": "&amp;SUBSTITUTE(TRIM(ROUND(IFERROR(CriteriTecnici!$N1239*1,IFERROR(NUMBERVALUE(CriteriTecnici!$N1239,".",","),IFERROR(NUMBERVALUE(CriteriTecnici!$N1239,",","."),0))),4)&amp;""),",",".")&amp;", "&amp;CHAR(34)&amp;"numerator"&amp;CHAR(34)&amp;": "&amp;SUBSTITUTE(TRIM(ROUND(IFERROR(CriteriTecnici!$K1239*1,IFERROR(NUMBERVALUE(CriteriTecnici!$K1239,".",","),IFERROR(NUMBERVALUE(CriteriTecnici!$K1239,",","."),0))),4)&amp;""),",",".")&amp;", "&amp;CHAR(34)&amp;"denominator"&amp;CHAR(34)&amp;": "&amp;SUBSTITUTE(TRIM(ROUND(IFERROR(CriteriTecnici!$L1239*1,IFERROR(NUMBERVALUE(CriteriTecnici!$L1239,".",","),IFERROR(NUMBERVALUE(CriteriTecnici!$L1239,",","."),0))),4)&amp;""),",",".")&amp;", "&amp;CHAR(34)&amp;"flag"&amp;CHAR(34)&amp;": "&amp;SUBSTITUTE(TRIM(ROUND(IFERROR(CriteriTecnici!$M1239*1,IFERROR(NUMBERVALUE(CriteriTecnici!$M1239,".",","),IFERROR(NUMBERVALUE(CriteriTecnici!$M1239,",","."),0))),4)&amp;""),",",".")&amp;", "&amp;CHAR(34)&amp;"rawScore"&amp;CHAR(34)&amp;": "&amp;SUBSTITUTE(TRIM(ROUND(IFERROR(CriteriTecnici!$O1239*1,IFERROR(NUMBERVALUE(CriteriTecnici!$O1239,".",","),IFERROR(NUMBERVALUE(CriteriTecnici!$O1239,",","."),0))),4)&amp;""),",",".")&amp;CHAR(125)&amp;IF(TRUE,",",""))</f>
        <v/>
      </c>
    </row>
    <row r="1341">
      <c r="A1341" s="82">
        <f>IF(CriteriTecnici!$A1240="","","    "&amp;CHAR(123)&amp;CHAR(34)&amp;"bidderId"&amp;CHAR(34)&amp;": "&amp;CHAR(34)&amp;SUBSTITUTE(CriteriTecnici!$A1240,CHAR(34),"'")&amp;CHAR(34)&amp;", "&amp;CHAR(34)&amp;"lotId"&amp;CHAR(34)&amp;": "&amp;CHAR(34)&amp;SUBSTITUTE(CriteriTecnici!$C1240,CHAR(34),"'")&amp;CHAR(34)&amp;", "&amp;CHAR(34)&amp;"criterionId"&amp;CHAR(34)&amp;": "&amp;CHAR(34)&amp;SUBSTITUTE(CriteriTecnici!$D1240,CHAR(34),"'")&amp;CHAR(34)&amp;", "&amp;CHAR(34)&amp;"kind"&amp;CHAR(34)&amp;": "&amp;CHAR(34)&amp;SUBSTITUTE(CriteriTecnici!$F1240,CHAR(34),"'")&amp;CHAR(34)&amp;", "&amp;CHAR(34)&amp;"value"&amp;CHAR(34)&amp;": "&amp;SUBSTITUTE(TRIM(ROUND(IFERROR(CriteriTecnici!$N1240*1,IFERROR(NUMBERVALUE(CriteriTecnici!$N1240,".",","),IFERROR(NUMBERVALUE(CriteriTecnici!$N1240,",","."),0))),4)&amp;""),",",".")&amp;", "&amp;CHAR(34)&amp;"numerator"&amp;CHAR(34)&amp;": "&amp;SUBSTITUTE(TRIM(ROUND(IFERROR(CriteriTecnici!$K1240*1,IFERROR(NUMBERVALUE(CriteriTecnici!$K1240,".",","),IFERROR(NUMBERVALUE(CriteriTecnici!$K1240,",","."),0))),4)&amp;""),",",".")&amp;", "&amp;CHAR(34)&amp;"denominator"&amp;CHAR(34)&amp;": "&amp;SUBSTITUTE(TRIM(ROUND(IFERROR(CriteriTecnici!$L1240*1,IFERROR(NUMBERVALUE(CriteriTecnici!$L1240,".",","),IFERROR(NUMBERVALUE(CriteriTecnici!$L1240,",","."),0))),4)&amp;""),",",".")&amp;", "&amp;CHAR(34)&amp;"flag"&amp;CHAR(34)&amp;": "&amp;SUBSTITUTE(TRIM(ROUND(IFERROR(CriteriTecnici!$M1240*1,IFERROR(NUMBERVALUE(CriteriTecnici!$M1240,".",","),IFERROR(NUMBERVALUE(CriteriTecnici!$M1240,",","."),0))),4)&amp;""),",",".")&amp;", "&amp;CHAR(34)&amp;"rawScore"&amp;CHAR(34)&amp;": "&amp;SUBSTITUTE(TRIM(ROUND(IFERROR(CriteriTecnici!$O1240*1,IFERROR(NUMBERVALUE(CriteriTecnici!$O1240,".",","),IFERROR(NUMBERVALUE(CriteriTecnici!$O1240,",","."),0))),4)&amp;""),",",".")&amp;CHAR(125)&amp;IF(TRUE,",",""))</f>
        <v/>
      </c>
    </row>
    <row r="1342">
      <c r="A1342" s="82">
        <f>IF(CriteriTecnici!$A1241="","","    "&amp;CHAR(123)&amp;CHAR(34)&amp;"bidderId"&amp;CHAR(34)&amp;": "&amp;CHAR(34)&amp;SUBSTITUTE(CriteriTecnici!$A1241,CHAR(34),"'")&amp;CHAR(34)&amp;", "&amp;CHAR(34)&amp;"lotId"&amp;CHAR(34)&amp;": "&amp;CHAR(34)&amp;SUBSTITUTE(CriteriTecnici!$C1241,CHAR(34),"'")&amp;CHAR(34)&amp;", "&amp;CHAR(34)&amp;"criterionId"&amp;CHAR(34)&amp;": "&amp;CHAR(34)&amp;SUBSTITUTE(CriteriTecnici!$D1241,CHAR(34),"'")&amp;CHAR(34)&amp;", "&amp;CHAR(34)&amp;"kind"&amp;CHAR(34)&amp;": "&amp;CHAR(34)&amp;SUBSTITUTE(CriteriTecnici!$F1241,CHAR(34),"'")&amp;CHAR(34)&amp;", "&amp;CHAR(34)&amp;"value"&amp;CHAR(34)&amp;": "&amp;SUBSTITUTE(TRIM(ROUND(IFERROR(CriteriTecnici!$N1241*1,IFERROR(NUMBERVALUE(CriteriTecnici!$N1241,".",","),IFERROR(NUMBERVALUE(CriteriTecnici!$N1241,",","."),0))),4)&amp;""),",",".")&amp;", "&amp;CHAR(34)&amp;"numerator"&amp;CHAR(34)&amp;": "&amp;SUBSTITUTE(TRIM(ROUND(IFERROR(CriteriTecnici!$K1241*1,IFERROR(NUMBERVALUE(CriteriTecnici!$K1241,".",","),IFERROR(NUMBERVALUE(CriteriTecnici!$K1241,",","."),0))),4)&amp;""),",",".")&amp;", "&amp;CHAR(34)&amp;"denominator"&amp;CHAR(34)&amp;": "&amp;SUBSTITUTE(TRIM(ROUND(IFERROR(CriteriTecnici!$L1241*1,IFERROR(NUMBERVALUE(CriteriTecnici!$L1241,".",","),IFERROR(NUMBERVALUE(CriteriTecnici!$L1241,",","."),0))),4)&amp;""),",",".")&amp;", "&amp;CHAR(34)&amp;"flag"&amp;CHAR(34)&amp;": "&amp;SUBSTITUTE(TRIM(ROUND(IFERROR(CriteriTecnici!$M1241*1,IFERROR(NUMBERVALUE(CriteriTecnici!$M1241,".",","),IFERROR(NUMBERVALUE(CriteriTecnici!$M1241,",","."),0))),4)&amp;""),",",".")&amp;", "&amp;CHAR(34)&amp;"rawScore"&amp;CHAR(34)&amp;": "&amp;SUBSTITUTE(TRIM(ROUND(IFERROR(CriteriTecnici!$O1241*1,IFERROR(NUMBERVALUE(CriteriTecnici!$O1241,".",","),IFERROR(NUMBERVALUE(CriteriTecnici!$O1241,",","."),0))),4)&amp;""),",",".")&amp;CHAR(125)&amp;IF(TRUE,",",""))</f>
        <v/>
      </c>
    </row>
    <row r="1343">
      <c r="A1343" s="82">
        <f>IF(CriteriTecnici!$A1242="","","    "&amp;CHAR(123)&amp;CHAR(34)&amp;"bidderId"&amp;CHAR(34)&amp;": "&amp;CHAR(34)&amp;SUBSTITUTE(CriteriTecnici!$A1242,CHAR(34),"'")&amp;CHAR(34)&amp;", "&amp;CHAR(34)&amp;"lotId"&amp;CHAR(34)&amp;": "&amp;CHAR(34)&amp;SUBSTITUTE(CriteriTecnici!$C1242,CHAR(34),"'")&amp;CHAR(34)&amp;", "&amp;CHAR(34)&amp;"criterionId"&amp;CHAR(34)&amp;": "&amp;CHAR(34)&amp;SUBSTITUTE(CriteriTecnici!$D1242,CHAR(34),"'")&amp;CHAR(34)&amp;", "&amp;CHAR(34)&amp;"kind"&amp;CHAR(34)&amp;": "&amp;CHAR(34)&amp;SUBSTITUTE(CriteriTecnici!$F1242,CHAR(34),"'")&amp;CHAR(34)&amp;", "&amp;CHAR(34)&amp;"value"&amp;CHAR(34)&amp;": "&amp;SUBSTITUTE(TRIM(ROUND(IFERROR(CriteriTecnici!$N1242*1,IFERROR(NUMBERVALUE(CriteriTecnici!$N1242,".",","),IFERROR(NUMBERVALUE(CriteriTecnici!$N1242,",","."),0))),4)&amp;""),",",".")&amp;", "&amp;CHAR(34)&amp;"numerator"&amp;CHAR(34)&amp;": "&amp;SUBSTITUTE(TRIM(ROUND(IFERROR(CriteriTecnici!$K1242*1,IFERROR(NUMBERVALUE(CriteriTecnici!$K1242,".",","),IFERROR(NUMBERVALUE(CriteriTecnici!$K1242,",","."),0))),4)&amp;""),",",".")&amp;", "&amp;CHAR(34)&amp;"denominator"&amp;CHAR(34)&amp;": "&amp;SUBSTITUTE(TRIM(ROUND(IFERROR(CriteriTecnici!$L1242*1,IFERROR(NUMBERVALUE(CriteriTecnici!$L1242,".",","),IFERROR(NUMBERVALUE(CriteriTecnici!$L1242,",","."),0))),4)&amp;""),",",".")&amp;", "&amp;CHAR(34)&amp;"flag"&amp;CHAR(34)&amp;": "&amp;SUBSTITUTE(TRIM(ROUND(IFERROR(CriteriTecnici!$M1242*1,IFERROR(NUMBERVALUE(CriteriTecnici!$M1242,".",","),IFERROR(NUMBERVALUE(CriteriTecnici!$M1242,",","."),0))),4)&amp;""),",",".")&amp;", "&amp;CHAR(34)&amp;"rawScore"&amp;CHAR(34)&amp;": "&amp;SUBSTITUTE(TRIM(ROUND(IFERROR(CriteriTecnici!$O1242*1,IFERROR(NUMBERVALUE(CriteriTecnici!$O1242,".",","),IFERROR(NUMBERVALUE(CriteriTecnici!$O1242,",","."),0))),4)&amp;""),",",".")&amp;CHAR(125)&amp;IF(TRUE,",",""))</f>
        <v/>
      </c>
    </row>
    <row r="1344">
      <c r="A1344" s="82">
        <f>IF(CriteriTecnici!$A1243="","","    "&amp;CHAR(123)&amp;CHAR(34)&amp;"bidderId"&amp;CHAR(34)&amp;": "&amp;CHAR(34)&amp;SUBSTITUTE(CriteriTecnici!$A1243,CHAR(34),"'")&amp;CHAR(34)&amp;", "&amp;CHAR(34)&amp;"lotId"&amp;CHAR(34)&amp;": "&amp;CHAR(34)&amp;SUBSTITUTE(CriteriTecnici!$C1243,CHAR(34),"'")&amp;CHAR(34)&amp;", "&amp;CHAR(34)&amp;"criterionId"&amp;CHAR(34)&amp;": "&amp;CHAR(34)&amp;SUBSTITUTE(CriteriTecnici!$D1243,CHAR(34),"'")&amp;CHAR(34)&amp;", "&amp;CHAR(34)&amp;"kind"&amp;CHAR(34)&amp;": "&amp;CHAR(34)&amp;SUBSTITUTE(CriteriTecnici!$F1243,CHAR(34),"'")&amp;CHAR(34)&amp;", "&amp;CHAR(34)&amp;"value"&amp;CHAR(34)&amp;": "&amp;SUBSTITUTE(TRIM(ROUND(IFERROR(CriteriTecnici!$N1243*1,IFERROR(NUMBERVALUE(CriteriTecnici!$N1243,".",","),IFERROR(NUMBERVALUE(CriteriTecnici!$N1243,",","."),0))),4)&amp;""),",",".")&amp;", "&amp;CHAR(34)&amp;"numerator"&amp;CHAR(34)&amp;": "&amp;SUBSTITUTE(TRIM(ROUND(IFERROR(CriteriTecnici!$K1243*1,IFERROR(NUMBERVALUE(CriteriTecnici!$K1243,".",","),IFERROR(NUMBERVALUE(CriteriTecnici!$K1243,",","."),0))),4)&amp;""),",",".")&amp;", "&amp;CHAR(34)&amp;"denominator"&amp;CHAR(34)&amp;": "&amp;SUBSTITUTE(TRIM(ROUND(IFERROR(CriteriTecnici!$L1243*1,IFERROR(NUMBERVALUE(CriteriTecnici!$L1243,".",","),IFERROR(NUMBERVALUE(CriteriTecnici!$L1243,",","."),0))),4)&amp;""),",",".")&amp;", "&amp;CHAR(34)&amp;"flag"&amp;CHAR(34)&amp;": "&amp;SUBSTITUTE(TRIM(ROUND(IFERROR(CriteriTecnici!$M1243*1,IFERROR(NUMBERVALUE(CriteriTecnici!$M1243,".",","),IFERROR(NUMBERVALUE(CriteriTecnici!$M1243,",","."),0))),4)&amp;""),",",".")&amp;", "&amp;CHAR(34)&amp;"rawScore"&amp;CHAR(34)&amp;": "&amp;SUBSTITUTE(TRIM(ROUND(IFERROR(CriteriTecnici!$O1243*1,IFERROR(NUMBERVALUE(CriteriTecnici!$O1243,".",","),IFERROR(NUMBERVALUE(CriteriTecnici!$O1243,",","."),0))),4)&amp;""),",",".")&amp;CHAR(125)&amp;IF(TRUE,",",""))</f>
        <v/>
      </c>
    </row>
    <row r="1345">
      <c r="A1345" s="82">
        <f>IF(CriteriTecnici!$A1244="","","    "&amp;CHAR(123)&amp;CHAR(34)&amp;"bidderId"&amp;CHAR(34)&amp;": "&amp;CHAR(34)&amp;SUBSTITUTE(CriteriTecnici!$A1244,CHAR(34),"'")&amp;CHAR(34)&amp;", "&amp;CHAR(34)&amp;"lotId"&amp;CHAR(34)&amp;": "&amp;CHAR(34)&amp;SUBSTITUTE(CriteriTecnici!$C1244,CHAR(34),"'")&amp;CHAR(34)&amp;", "&amp;CHAR(34)&amp;"criterionId"&amp;CHAR(34)&amp;": "&amp;CHAR(34)&amp;SUBSTITUTE(CriteriTecnici!$D1244,CHAR(34),"'")&amp;CHAR(34)&amp;", "&amp;CHAR(34)&amp;"kind"&amp;CHAR(34)&amp;": "&amp;CHAR(34)&amp;SUBSTITUTE(CriteriTecnici!$F1244,CHAR(34),"'")&amp;CHAR(34)&amp;", "&amp;CHAR(34)&amp;"value"&amp;CHAR(34)&amp;": "&amp;SUBSTITUTE(TRIM(ROUND(IFERROR(CriteriTecnici!$N1244*1,IFERROR(NUMBERVALUE(CriteriTecnici!$N1244,".",","),IFERROR(NUMBERVALUE(CriteriTecnici!$N1244,",","."),0))),4)&amp;""),",",".")&amp;", "&amp;CHAR(34)&amp;"numerator"&amp;CHAR(34)&amp;": "&amp;SUBSTITUTE(TRIM(ROUND(IFERROR(CriteriTecnici!$K1244*1,IFERROR(NUMBERVALUE(CriteriTecnici!$K1244,".",","),IFERROR(NUMBERVALUE(CriteriTecnici!$K1244,",","."),0))),4)&amp;""),",",".")&amp;", "&amp;CHAR(34)&amp;"denominator"&amp;CHAR(34)&amp;": "&amp;SUBSTITUTE(TRIM(ROUND(IFERROR(CriteriTecnici!$L1244*1,IFERROR(NUMBERVALUE(CriteriTecnici!$L1244,".",","),IFERROR(NUMBERVALUE(CriteriTecnici!$L1244,",","."),0))),4)&amp;""),",",".")&amp;", "&amp;CHAR(34)&amp;"flag"&amp;CHAR(34)&amp;": "&amp;SUBSTITUTE(TRIM(ROUND(IFERROR(CriteriTecnici!$M1244*1,IFERROR(NUMBERVALUE(CriteriTecnici!$M1244,".",","),IFERROR(NUMBERVALUE(CriteriTecnici!$M1244,",","."),0))),4)&amp;""),",",".")&amp;", "&amp;CHAR(34)&amp;"rawScore"&amp;CHAR(34)&amp;": "&amp;SUBSTITUTE(TRIM(ROUND(IFERROR(CriteriTecnici!$O1244*1,IFERROR(NUMBERVALUE(CriteriTecnici!$O1244,".",","),IFERROR(NUMBERVALUE(CriteriTecnici!$O1244,",","."),0))),4)&amp;""),",",".")&amp;CHAR(125)&amp;IF(COUNTA(Offerte!$A42:$A$81)&gt;0,",",""))</f>
        <v/>
      </c>
    </row>
    <row r="1346">
      <c r="A1346" s="82">
        <f>IF(CriteriTecnici!$A1245="","","    "&amp;CHAR(123)&amp;CHAR(34)&amp;"bidderId"&amp;CHAR(34)&amp;": "&amp;CHAR(34)&amp;SUBSTITUTE(CriteriTecnici!$A1245,CHAR(34),"'")&amp;CHAR(34)&amp;", "&amp;CHAR(34)&amp;"lotId"&amp;CHAR(34)&amp;": "&amp;CHAR(34)&amp;SUBSTITUTE(CriteriTecnici!$C1245,CHAR(34),"'")&amp;CHAR(34)&amp;", "&amp;CHAR(34)&amp;"criterionId"&amp;CHAR(34)&amp;": "&amp;CHAR(34)&amp;SUBSTITUTE(CriteriTecnici!$D1245,CHAR(34),"'")&amp;CHAR(34)&amp;", "&amp;CHAR(34)&amp;"kind"&amp;CHAR(34)&amp;": "&amp;CHAR(34)&amp;SUBSTITUTE(CriteriTecnici!$F1245,CHAR(34),"'")&amp;CHAR(34)&amp;", "&amp;CHAR(34)&amp;"value"&amp;CHAR(34)&amp;": "&amp;SUBSTITUTE(TRIM(ROUND(IFERROR(CriteriTecnici!$N1245*1,IFERROR(NUMBERVALUE(CriteriTecnici!$N1245,".",","),IFERROR(NUMBERVALUE(CriteriTecnici!$N1245,",","."),0))),4)&amp;""),",",".")&amp;", "&amp;CHAR(34)&amp;"numerator"&amp;CHAR(34)&amp;": "&amp;SUBSTITUTE(TRIM(ROUND(IFERROR(CriteriTecnici!$K1245*1,IFERROR(NUMBERVALUE(CriteriTecnici!$K1245,".",","),IFERROR(NUMBERVALUE(CriteriTecnici!$K1245,",","."),0))),4)&amp;""),",",".")&amp;", "&amp;CHAR(34)&amp;"denominator"&amp;CHAR(34)&amp;": "&amp;SUBSTITUTE(TRIM(ROUND(IFERROR(CriteriTecnici!$L1245*1,IFERROR(NUMBERVALUE(CriteriTecnici!$L1245,".",","),IFERROR(NUMBERVALUE(CriteriTecnici!$L1245,",","."),0))),4)&amp;""),",",".")&amp;", "&amp;CHAR(34)&amp;"flag"&amp;CHAR(34)&amp;": "&amp;SUBSTITUTE(TRIM(ROUND(IFERROR(CriteriTecnici!$M1245*1,IFERROR(NUMBERVALUE(CriteriTecnici!$M1245,".",","),IFERROR(NUMBERVALUE(CriteriTecnici!$M1245,",","."),0))),4)&amp;""),",",".")&amp;", "&amp;CHAR(34)&amp;"rawScore"&amp;CHAR(34)&amp;": "&amp;SUBSTITUTE(TRIM(ROUND(IFERROR(CriteriTecnici!$O1245*1,IFERROR(NUMBERVALUE(CriteriTecnici!$O1245,".",","),IFERROR(NUMBERVALUE(CriteriTecnici!$O1245,",","."),0))),4)&amp;""),",",".")&amp;CHAR(125)&amp;IF(TRUE,",",""))</f>
        <v/>
      </c>
    </row>
    <row r="1347">
      <c r="A1347" s="82">
        <f>IF(CriteriTecnici!$A1246="","","    "&amp;CHAR(123)&amp;CHAR(34)&amp;"bidderId"&amp;CHAR(34)&amp;": "&amp;CHAR(34)&amp;SUBSTITUTE(CriteriTecnici!$A1246,CHAR(34),"'")&amp;CHAR(34)&amp;", "&amp;CHAR(34)&amp;"lotId"&amp;CHAR(34)&amp;": "&amp;CHAR(34)&amp;SUBSTITUTE(CriteriTecnici!$C1246,CHAR(34),"'")&amp;CHAR(34)&amp;", "&amp;CHAR(34)&amp;"criterionId"&amp;CHAR(34)&amp;": "&amp;CHAR(34)&amp;SUBSTITUTE(CriteriTecnici!$D1246,CHAR(34),"'")&amp;CHAR(34)&amp;", "&amp;CHAR(34)&amp;"kind"&amp;CHAR(34)&amp;": "&amp;CHAR(34)&amp;SUBSTITUTE(CriteriTecnici!$F1246,CHAR(34),"'")&amp;CHAR(34)&amp;", "&amp;CHAR(34)&amp;"value"&amp;CHAR(34)&amp;": "&amp;SUBSTITUTE(TRIM(ROUND(IFERROR(CriteriTecnici!$N1246*1,IFERROR(NUMBERVALUE(CriteriTecnici!$N1246,".",","),IFERROR(NUMBERVALUE(CriteriTecnici!$N1246,",","."),0))),4)&amp;""),",",".")&amp;", "&amp;CHAR(34)&amp;"numerator"&amp;CHAR(34)&amp;": "&amp;SUBSTITUTE(TRIM(ROUND(IFERROR(CriteriTecnici!$K1246*1,IFERROR(NUMBERVALUE(CriteriTecnici!$K1246,".",","),IFERROR(NUMBERVALUE(CriteriTecnici!$K1246,",","."),0))),4)&amp;""),",",".")&amp;", "&amp;CHAR(34)&amp;"denominator"&amp;CHAR(34)&amp;": "&amp;SUBSTITUTE(TRIM(ROUND(IFERROR(CriteriTecnici!$L1246*1,IFERROR(NUMBERVALUE(CriteriTecnici!$L1246,".",","),IFERROR(NUMBERVALUE(CriteriTecnici!$L1246,",","."),0))),4)&amp;""),",",".")&amp;", "&amp;CHAR(34)&amp;"flag"&amp;CHAR(34)&amp;": "&amp;SUBSTITUTE(TRIM(ROUND(IFERROR(CriteriTecnici!$M1246*1,IFERROR(NUMBERVALUE(CriteriTecnici!$M1246,".",","),IFERROR(NUMBERVALUE(CriteriTecnici!$M1246,",","."),0))),4)&amp;""),",",".")&amp;", "&amp;CHAR(34)&amp;"rawScore"&amp;CHAR(34)&amp;": "&amp;SUBSTITUTE(TRIM(ROUND(IFERROR(CriteriTecnici!$O1246*1,IFERROR(NUMBERVALUE(CriteriTecnici!$O1246,".",","),IFERROR(NUMBERVALUE(CriteriTecnici!$O1246,",","."),0))),4)&amp;""),",",".")&amp;CHAR(125)&amp;IF(TRUE,",",""))</f>
        <v/>
      </c>
    </row>
    <row r="1348">
      <c r="A1348" s="82">
        <f>IF(CriteriTecnici!$A1247="","","    "&amp;CHAR(123)&amp;CHAR(34)&amp;"bidderId"&amp;CHAR(34)&amp;": "&amp;CHAR(34)&amp;SUBSTITUTE(CriteriTecnici!$A1247,CHAR(34),"'")&amp;CHAR(34)&amp;", "&amp;CHAR(34)&amp;"lotId"&amp;CHAR(34)&amp;": "&amp;CHAR(34)&amp;SUBSTITUTE(CriteriTecnici!$C1247,CHAR(34),"'")&amp;CHAR(34)&amp;", "&amp;CHAR(34)&amp;"criterionId"&amp;CHAR(34)&amp;": "&amp;CHAR(34)&amp;SUBSTITUTE(CriteriTecnici!$D1247,CHAR(34),"'")&amp;CHAR(34)&amp;", "&amp;CHAR(34)&amp;"kind"&amp;CHAR(34)&amp;": "&amp;CHAR(34)&amp;SUBSTITUTE(CriteriTecnici!$F1247,CHAR(34),"'")&amp;CHAR(34)&amp;", "&amp;CHAR(34)&amp;"value"&amp;CHAR(34)&amp;": "&amp;SUBSTITUTE(TRIM(ROUND(IFERROR(CriteriTecnici!$N1247*1,IFERROR(NUMBERVALUE(CriteriTecnici!$N1247,".",","),IFERROR(NUMBERVALUE(CriteriTecnici!$N1247,",","."),0))),4)&amp;""),",",".")&amp;", "&amp;CHAR(34)&amp;"numerator"&amp;CHAR(34)&amp;": "&amp;SUBSTITUTE(TRIM(ROUND(IFERROR(CriteriTecnici!$K1247*1,IFERROR(NUMBERVALUE(CriteriTecnici!$K1247,".",","),IFERROR(NUMBERVALUE(CriteriTecnici!$K1247,",","."),0))),4)&amp;""),",",".")&amp;", "&amp;CHAR(34)&amp;"denominator"&amp;CHAR(34)&amp;": "&amp;SUBSTITUTE(TRIM(ROUND(IFERROR(CriteriTecnici!$L1247*1,IFERROR(NUMBERVALUE(CriteriTecnici!$L1247,".",","),IFERROR(NUMBERVALUE(CriteriTecnici!$L1247,",","."),0))),4)&amp;""),",",".")&amp;", "&amp;CHAR(34)&amp;"flag"&amp;CHAR(34)&amp;": "&amp;SUBSTITUTE(TRIM(ROUND(IFERROR(CriteriTecnici!$M1247*1,IFERROR(NUMBERVALUE(CriteriTecnici!$M1247,".",","),IFERROR(NUMBERVALUE(CriteriTecnici!$M1247,",","."),0))),4)&amp;""),",",".")&amp;", "&amp;CHAR(34)&amp;"rawScore"&amp;CHAR(34)&amp;": "&amp;SUBSTITUTE(TRIM(ROUND(IFERROR(CriteriTecnici!$O1247*1,IFERROR(NUMBERVALUE(CriteriTecnici!$O1247,".",","),IFERROR(NUMBERVALUE(CriteriTecnici!$O1247,",","."),0))),4)&amp;""),",",".")&amp;CHAR(125)&amp;IF(TRUE,",",""))</f>
        <v/>
      </c>
    </row>
    <row r="1349">
      <c r="A1349" s="82">
        <f>IF(CriteriTecnici!$A1248="","","    "&amp;CHAR(123)&amp;CHAR(34)&amp;"bidderId"&amp;CHAR(34)&amp;": "&amp;CHAR(34)&amp;SUBSTITUTE(CriteriTecnici!$A1248,CHAR(34),"'")&amp;CHAR(34)&amp;", "&amp;CHAR(34)&amp;"lotId"&amp;CHAR(34)&amp;": "&amp;CHAR(34)&amp;SUBSTITUTE(CriteriTecnici!$C1248,CHAR(34),"'")&amp;CHAR(34)&amp;", "&amp;CHAR(34)&amp;"criterionId"&amp;CHAR(34)&amp;": "&amp;CHAR(34)&amp;SUBSTITUTE(CriteriTecnici!$D1248,CHAR(34),"'")&amp;CHAR(34)&amp;", "&amp;CHAR(34)&amp;"kind"&amp;CHAR(34)&amp;": "&amp;CHAR(34)&amp;SUBSTITUTE(CriteriTecnici!$F1248,CHAR(34),"'")&amp;CHAR(34)&amp;", "&amp;CHAR(34)&amp;"value"&amp;CHAR(34)&amp;": "&amp;SUBSTITUTE(TRIM(ROUND(IFERROR(CriteriTecnici!$N1248*1,IFERROR(NUMBERVALUE(CriteriTecnici!$N1248,".",","),IFERROR(NUMBERVALUE(CriteriTecnici!$N1248,",","."),0))),4)&amp;""),",",".")&amp;", "&amp;CHAR(34)&amp;"numerator"&amp;CHAR(34)&amp;": "&amp;SUBSTITUTE(TRIM(ROUND(IFERROR(CriteriTecnici!$K1248*1,IFERROR(NUMBERVALUE(CriteriTecnici!$K1248,".",","),IFERROR(NUMBERVALUE(CriteriTecnici!$K1248,",","."),0))),4)&amp;""),",",".")&amp;", "&amp;CHAR(34)&amp;"denominator"&amp;CHAR(34)&amp;": "&amp;SUBSTITUTE(TRIM(ROUND(IFERROR(CriteriTecnici!$L1248*1,IFERROR(NUMBERVALUE(CriteriTecnici!$L1248,".",","),IFERROR(NUMBERVALUE(CriteriTecnici!$L1248,",","."),0))),4)&amp;""),",",".")&amp;", "&amp;CHAR(34)&amp;"flag"&amp;CHAR(34)&amp;": "&amp;SUBSTITUTE(TRIM(ROUND(IFERROR(CriteriTecnici!$M1248*1,IFERROR(NUMBERVALUE(CriteriTecnici!$M1248,".",","),IFERROR(NUMBERVALUE(CriteriTecnici!$M1248,",","."),0))),4)&amp;""),",",".")&amp;", "&amp;CHAR(34)&amp;"rawScore"&amp;CHAR(34)&amp;": "&amp;SUBSTITUTE(TRIM(ROUND(IFERROR(CriteriTecnici!$O1248*1,IFERROR(NUMBERVALUE(CriteriTecnici!$O1248,".",","),IFERROR(NUMBERVALUE(CriteriTecnici!$O1248,",","."),0))),4)&amp;""),",",".")&amp;CHAR(125)&amp;IF(TRUE,",",""))</f>
        <v/>
      </c>
    </row>
    <row r="1350">
      <c r="A1350" s="82">
        <f>IF(CriteriTecnici!$A1249="","","    "&amp;CHAR(123)&amp;CHAR(34)&amp;"bidderId"&amp;CHAR(34)&amp;": "&amp;CHAR(34)&amp;SUBSTITUTE(CriteriTecnici!$A1249,CHAR(34),"'")&amp;CHAR(34)&amp;", "&amp;CHAR(34)&amp;"lotId"&amp;CHAR(34)&amp;": "&amp;CHAR(34)&amp;SUBSTITUTE(CriteriTecnici!$C1249,CHAR(34),"'")&amp;CHAR(34)&amp;", "&amp;CHAR(34)&amp;"criterionId"&amp;CHAR(34)&amp;": "&amp;CHAR(34)&amp;SUBSTITUTE(CriteriTecnici!$D1249,CHAR(34),"'")&amp;CHAR(34)&amp;", "&amp;CHAR(34)&amp;"kind"&amp;CHAR(34)&amp;": "&amp;CHAR(34)&amp;SUBSTITUTE(CriteriTecnici!$F1249,CHAR(34),"'")&amp;CHAR(34)&amp;", "&amp;CHAR(34)&amp;"value"&amp;CHAR(34)&amp;": "&amp;SUBSTITUTE(TRIM(ROUND(IFERROR(CriteriTecnici!$N1249*1,IFERROR(NUMBERVALUE(CriteriTecnici!$N1249,".",","),IFERROR(NUMBERVALUE(CriteriTecnici!$N1249,",","."),0))),4)&amp;""),",",".")&amp;", "&amp;CHAR(34)&amp;"numerator"&amp;CHAR(34)&amp;": "&amp;SUBSTITUTE(TRIM(ROUND(IFERROR(CriteriTecnici!$K1249*1,IFERROR(NUMBERVALUE(CriteriTecnici!$K1249,".",","),IFERROR(NUMBERVALUE(CriteriTecnici!$K1249,",","."),0))),4)&amp;""),",",".")&amp;", "&amp;CHAR(34)&amp;"denominator"&amp;CHAR(34)&amp;": "&amp;SUBSTITUTE(TRIM(ROUND(IFERROR(CriteriTecnici!$L1249*1,IFERROR(NUMBERVALUE(CriteriTecnici!$L1249,".",","),IFERROR(NUMBERVALUE(CriteriTecnici!$L1249,",","."),0))),4)&amp;""),",",".")&amp;", "&amp;CHAR(34)&amp;"flag"&amp;CHAR(34)&amp;": "&amp;SUBSTITUTE(TRIM(ROUND(IFERROR(CriteriTecnici!$M1249*1,IFERROR(NUMBERVALUE(CriteriTecnici!$M1249,".",","),IFERROR(NUMBERVALUE(CriteriTecnici!$M1249,",","."),0))),4)&amp;""),",",".")&amp;", "&amp;CHAR(34)&amp;"rawScore"&amp;CHAR(34)&amp;": "&amp;SUBSTITUTE(TRIM(ROUND(IFERROR(CriteriTecnici!$O1249*1,IFERROR(NUMBERVALUE(CriteriTecnici!$O1249,".",","),IFERROR(NUMBERVALUE(CriteriTecnici!$O1249,",","."),0))),4)&amp;""),",",".")&amp;CHAR(125)&amp;IF(TRUE,",",""))</f>
        <v/>
      </c>
    </row>
    <row r="1351">
      <c r="A1351" s="82">
        <f>IF(CriteriTecnici!$A1250="","","    "&amp;CHAR(123)&amp;CHAR(34)&amp;"bidderId"&amp;CHAR(34)&amp;": "&amp;CHAR(34)&amp;SUBSTITUTE(CriteriTecnici!$A1250,CHAR(34),"'")&amp;CHAR(34)&amp;", "&amp;CHAR(34)&amp;"lotId"&amp;CHAR(34)&amp;": "&amp;CHAR(34)&amp;SUBSTITUTE(CriteriTecnici!$C1250,CHAR(34),"'")&amp;CHAR(34)&amp;", "&amp;CHAR(34)&amp;"criterionId"&amp;CHAR(34)&amp;": "&amp;CHAR(34)&amp;SUBSTITUTE(CriteriTecnici!$D1250,CHAR(34),"'")&amp;CHAR(34)&amp;", "&amp;CHAR(34)&amp;"kind"&amp;CHAR(34)&amp;": "&amp;CHAR(34)&amp;SUBSTITUTE(CriteriTecnici!$F1250,CHAR(34),"'")&amp;CHAR(34)&amp;", "&amp;CHAR(34)&amp;"value"&amp;CHAR(34)&amp;": "&amp;SUBSTITUTE(TRIM(ROUND(IFERROR(CriteriTecnici!$N1250*1,IFERROR(NUMBERVALUE(CriteriTecnici!$N1250,".",","),IFERROR(NUMBERVALUE(CriteriTecnici!$N1250,",","."),0))),4)&amp;""),",",".")&amp;", "&amp;CHAR(34)&amp;"numerator"&amp;CHAR(34)&amp;": "&amp;SUBSTITUTE(TRIM(ROUND(IFERROR(CriteriTecnici!$K1250*1,IFERROR(NUMBERVALUE(CriteriTecnici!$K1250,".",","),IFERROR(NUMBERVALUE(CriteriTecnici!$K1250,",","."),0))),4)&amp;""),",",".")&amp;", "&amp;CHAR(34)&amp;"denominator"&amp;CHAR(34)&amp;": "&amp;SUBSTITUTE(TRIM(ROUND(IFERROR(CriteriTecnici!$L1250*1,IFERROR(NUMBERVALUE(CriteriTecnici!$L1250,".",","),IFERROR(NUMBERVALUE(CriteriTecnici!$L1250,",","."),0))),4)&amp;""),",",".")&amp;", "&amp;CHAR(34)&amp;"flag"&amp;CHAR(34)&amp;": "&amp;SUBSTITUTE(TRIM(ROUND(IFERROR(CriteriTecnici!$M1250*1,IFERROR(NUMBERVALUE(CriteriTecnici!$M1250,".",","),IFERROR(NUMBERVALUE(CriteriTecnici!$M1250,",","."),0))),4)&amp;""),",",".")&amp;", "&amp;CHAR(34)&amp;"rawScore"&amp;CHAR(34)&amp;": "&amp;SUBSTITUTE(TRIM(ROUND(IFERROR(CriteriTecnici!$O1250*1,IFERROR(NUMBERVALUE(CriteriTecnici!$O1250,".",","),IFERROR(NUMBERVALUE(CriteriTecnici!$O1250,",","."),0))),4)&amp;""),",",".")&amp;CHAR(125)&amp;IF(TRUE,",",""))</f>
        <v/>
      </c>
    </row>
    <row r="1352">
      <c r="A1352" s="82">
        <f>IF(CriteriTecnici!$A1251="","","    "&amp;CHAR(123)&amp;CHAR(34)&amp;"bidderId"&amp;CHAR(34)&amp;": "&amp;CHAR(34)&amp;SUBSTITUTE(CriteriTecnici!$A1251,CHAR(34),"'")&amp;CHAR(34)&amp;", "&amp;CHAR(34)&amp;"lotId"&amp;CHAR(34)&amp;": "&amp;CHAR(34)&amp;SUBSTITUTE(CriteriTecnici!$C1251,CHAR(34),"'")&amp;CHAR(34)&amp;", "&amp;CHAR(34)&amp;"criterionId"&amp;CHAR(34)&amp;": "&amp;CHAR(34)&amp;SUBSTITUTE(CriteriTecnici!$D1251,CHAR(34),"'")&amp;CHAR(34)&amp;", "&amp;CHAR(34)&amp;"kind"&amp;CHAR(34)&amp;": "&amp;CHAR(34)&amp;SUBSTITUTE(CriteriTecnici!$F1251,CHAR(34),"'")&amp;CHAR(34)&amp;", "&amp;CHAR(34)&amp;"value"&amp;CHAR(34)&amp;": "&amp;SUBSTITUTE(TRIM(ROUND(IFERROR(CriteriTecnici!$N1251*1,IFERROR(NUMBERVALUE(CriteriTecnici!$N1251,".",","),IFERROR(NUMBERVALUE(CriteriTecnici!$N1251,",","."),0))),4)&amp;""),",",".")&amp;", "&amp;CHAR(34)&amp;"numerator"&amp;CHAR(34)&amp;": "&amp;SUBSTITUTE(TRIM(ROUND(IFERROR(CriteriTecnici!$K1251*1,IFERROR(NUMBERVALUE(CriteriTecnici!$K1251,".",","),IFERROR(NUMBERVALUE(CriteriTecnici!$K1251,",","."),0))),4)&amp;""),",",".")&amp;", "&amp;CHAR(34)&amp;"denominator"&amp;CHAR(34)&amp;": "&amp;SUBSTITUTE(TRIM(ROUND(IFERROR(CriteriTecnici!$L1251*1,IFERROR(NUMBERVALUE(CriteriTecnici!$L1251,".",","),IFERROR(NUMBERVALUE(CriteriTecnici!$L1251,",","."),0))),4)&amp;""),",",".")&amp;", "&amp;CHAR(34)&amp;"flag"&amp;CHAR(34)&amp;": "&amp;SUBSTITUTE(TRIM(ROUND(IFERROR(CriteriTecnici!$M1251*1,IFERROR(NUMBERVALUE(CriteriTecnici!$M1251,".",","),IFERROR(NUMBERVALUE(CriteriTecnici!$M1251,",","."),0))),4)&amp;""),",",".")&amp;", "&amp;CHAR(34)&amp;"rawScore"&amp;CHAR(34)&amp;": "&amp;SUBSTITUTE(TRIM(ROUND(IFERROR(CriteriTecnici!$O1251*1,IFERROR(NUMBERVALUE(CriteriTecnici!$O1251,".",","),IFERROR(NUMBERVALUE(CriteriTecnici!$O1251,",","."),0))),4)&amp;""),",",".")&amp;CHAR(125)&amp;IF(TRUE,",",""))</f>
        <v/>
      </c>
    </row>
    <row r="1353">
      <c r="A1353" s="82">
        <f>IF(CriteriTecnici!$A1252="","","    "&amp;CHAR(123)&amp;CHAR(34)&amp;"bidderId"&amp;CHAR(34)&amp;": "&amp;CHAR(34)&amp;SUBSTITUTE(CriteriTecnici!$A1252,CHAR(34),"'")&amp;CHAR(34)&amp;", "&amp;CHAR(34)&amp;"lotId"&amp;CHAR(34)&amp;": "&amp;CHAR(34)&amp;SUBSTITUTE(CriteriTecnici!$C1252,CHAR(34),"'")&amp;CHAR(34)&amp;", "&amp;CHAR(34)&amp;"criterionId"&amp;CHAR(34)&amp;": "&amp;CHAR(34)&amp;SUBSTITUTE(CriteriTecnici!$D1252,CHAR(34),"'")&amp;CHAR(34)&amp;", "&amp;CHAR(34)&amp;"kind"&amp;CHAR(34)&amp;": "&amp;CHAR(34)&amp;SUBSTITUTE(CriteriTecnici!$F1252,CHAR(34),"'")&amp;CHAR(34)&amp;", "&amp;CHAR(34)&amp;"value"&amp;CHAR(34)&amp;": "&amp;SUBSTITUTE(TRIM(ROUND(IFERROR(CriteriTecnici!$N1252*1,IFERROR(NUMBERVALUE(CriteriTecnici!$N1252,".",","),IFERROR(NUMBERVALUE(CriteriTecnici!$N1252,",","."),0))),4)&amp;""),",",".")&amp;", "&amp;CHAR(34)&amp;"numerator"&amp;CHAR(34)&amp;": "&amp;SUBSTITUTE(TRIM(ROUND(IFERROR(CriteriTecnici!$K1252*1,IFERROR(NUMBERVALUE(CriteriTecnici!$K1252,".",","),IFERROR(NUMBERVALUE(CriteriTecnici!$K1252,",","."),0))),4)&amp;""),",",".")&amp;", "&amp;CHAR(34)&amp;"denominator"&amp;CHAR(34)&amp;": "&amp;SUBSTITUTE(TRIM(ROUND(IFERROR(CriteriTecnici!$L1252*1,IFERROR(NUMBERVALUE(CriteriTecnici!$L1252,".",","),IFERROR(NUMBERVALUE(CriteriTecnici!$L1252,",","."),0))),4)&amp;""),",",".")&amp;", "&amp;CHAR(34)&amp;"flag"&amp;CHAR(34)&amp;": "&amp;SUBSTITUTE(TRIM(ROUND(IFERROR(CriteriTecnici!$M1252*1,IFERROR(NUMBERVALUE(CriteriTecnici!$M1252,".",","),IFERROR(NUMBERVALUE(CriteriTecnici!$M1252,",","."),0))),4)&amp;""),",",".")&amp;", "&amp;CHAR(34)&amp;"rawScore"&amp;CHAR(34)&amp;": "&amp;SUBSTITUTE(TRIM(ROUND(IFERROR(CriteriTecnici!$O1252*1,IFERROR(NUMBERVALUE(CriteriTecnici!$O1252,".",","),IFERROR(NUMBERVALUE(CriteriTecnici!$O1252,",","."),0))),4)&amp;""),",",".")&amp;CHAR(125)&amp;IF(TRUE,",",""))</f>
        <v/>
      </c>
    </row>
    <row r="1354">
      <c r="A1354" s="82">
        <f>IF(CriteriTecnici!$A1253="","","    "&amp;CHAR(123)&amp;CHAR(34)&amp;"bidderId"&amp;CHAR(34)&amp;": "&amp;CHAR(34)&amp;SUBSTITUTE(CriteriTecnici!$A1253,CHAR(34),"'")&amp;CHAR(34)&amp;", "&amp;CHAR(34)&amp;"lotId"&amp;CHAR(34)&amp;": "&amp;CHAR(34)&amp;SUBSTITUTE(CriteriTecnici!$C1253,CHAR(34),"'")&amp;CHAR(34)&amp;", "&amp;CHAR(34)&amp;"criterionId"&amp;CHAR(34)&amp;": "&amp;CHAR(34)&amp;SUBSTITUTE(CriteriTecnici!$D1253,CHAR(34),"'")&amp;CHAR(34)&amp;", "&amp;CHAR(34)&amp;"kind"&amp;CHAR(34)&amp;": "&amp;CHAR(34)&amp;SUBSTITUTE(CriteriTecnici!$F1253,CHAR(34),"'")&amp;CHAR(34)&amp;", "&amp;CHAR(34)&amp;"value"&amp;CHAR(34)&amp;": "&amp;SUBSTITUTE(TRIM(ROUND(IFERROR(CriteriTecnici!$N1253*1,IFERROR(NUMBERVALUE(CriteriTecnici!$N1253,".",","),IFERROR(NUMBERVALUE(CriteriTecnici!$N1253,",","."),0))),4)&amp;""),",",".")&amp;", "&amp;CHAR(34)&amp;"numerator"&amp;CHAR(34)&amp;": "&amp;SUBSTITUTE(TRIM(ROUND(IFERROR(CriteriTecnici!$K1253*1,IFERROR(NUMBERVALUE(CriteriTecnici!$K1253,".",","),IFERROR(NUMBERVALUE(CriteriTecnici!$K1253,",","."),0))),4)&amp;""),",",".")&amp;", "&amp;CHAR(34)&amp;"denominator"&amp;CHAR(34)&amp;": "&amp;SUBSTITUTE(TRIM(ROUND(IFERROR(CriteriTecnici!$L1253*1,IFERROR(NUMBERVALUE(CriteriTecnici!$L1253,".",","),IFERROR(NUMBERVALUE(CriteriTecnici!$L1253,",","."),0))),4)&amp;""),",",".")&amp;", "&amp;CHAR(34)&amp;"flag"&amp;CHAR(34)&amp;": "&amp;SUBSTITUTE(TRIM(ROUND(IFERROR(CriteriTecnici!$M1253*1,IFERROR(NUMBERVALUE(CriteriTecnici!$M1253,".",","),IFERROR(NUMBERVALUE(CriteriTecnici!$M1253,",","."),0))),4)&amp;""),",",".")&amp;", "&amp;CHAR(34)&amp;"rawScore"&amp;CHAR(34)&amp;": "&amp;SUBSTITUTE(TRIM(ROUND(IFERROR(CriteriTecnici!$O1253*1,IFERROR(NUMBERVALUE(CriteriTecnici!$O1253,".",","),IFERROR(NUMBERVALUE(CriteriTecnici!$O1253,",","."),0))),4)&amp;""),",",".")&amp;CHAR(125)&amp;IF(TRUE,",",""))</f>
        <v/>
      </c>
    </row>
    <row r="1355">
      <c r="A1355" s="82">
        <f>IF(CriteriTecnici!$A1254="","","    "&amp;CHAR(123)&amp;CHAR(34)&amp;"bidderId"&amp;CHAR(34)&amp;": "&amp;CHAR(34)&amp;SUBSTITUTE(CriteriTecnici!$A1254,CHAR(34),"'")&amp;CHAR(34)&amp;", "&amp;CHAR(34)&amp;"lotId"&amp;CHAR(34)&amp;": "&amp;CHAR(34)&amp;SUBSTITUTE(CriteriTecnici!$C1254,CHAR(34),"'")&amp;CHAR(34)&amp;", "&amp;CHAR(34)&amp;"criterionId"&amp;CHAR(34)&amp;": "&amp;CHAR(34)&amp;SUBSTITUTE(CriteriTecnici!$D1254,CHAR(34),"'")&amp;CHAR(34)&amp;", "&amp;CHAR(34)&amp;"kind"&amp;CHAR(34)&amp;": "&amp;CHAR(34)&amp;SUBSTITUTE(CriteriTecnici!$F1254,CHAR(34),"'")&amp;CHAR(34)&amp;", "&amp;CHAR(34)&amp;"value"&amp;CHAR(34)&amp;": "&amp;SUBSTITUTE(TRIM(ROUND(IFERROR(CriteriTecnici!$N1254*1,IFERROR(NUMBERVALUE(CriteriTecnici!$N1254,".",","),IFERROR(NUMBERVALUE(CriteriTecnici!$N1254,",","."),0))),4)&amp;""),",",".")&amp;", "&amp;CHAR(34)&amp;"numerator"&amp;CHAR(34)&amp;": "&amp;SUBSTITUTE(TRIM(ROUND(IFERROR(CriteriTecnici!$K1254*1,IFERROR(NUMBERVALUE(CriteriTecnici!$K1254,".",","),IFERROR(NUMBERVALUE(CriteriTecnici!$K1254,",","."),0))),4)&amp;""),",",".")&amp;", "&amp;CHAR(34)&amp;"denominator"&amp;CHAR(34)&amp;": "&amp;SUBSTITUTE(TRIM(ROUND(IFERROR(CriteriTecnici!$L1254*1,IFERROR(NUMBERVALUE(CriteriTecnici!$L1254,".",","),IFERROR(NUMBERVALUE(CriteriTecnici!$L1254,",","."),0))),4)&amp;""),",",".")&amp;", "&amp;CHAR(34)&amp;"flag"&amp;CHAR(34)&amp;": "&amp;SUBSTITUTE(TRIM(ROUND(IFERROR(CriteriTecnici!$M1254*1,IFERROR(NUMBERVALUE(CriteriTecnici!$M1254,".",","),IFERROR(NUMBERVALUE(CriteriTecnici!$M1254,",","."),0))),4)&amp;""),",",".")&amp;", "&amp;CHAR(34)&amp;"rawScore"&amp;CHAR(34)&amp;": "&amp;SUBSTITUTE(TRIM(ROUND(IFERROR(CriteriTecnici!$O1254*1,IFERROR(NUMBERVALUE(CriteriTecnici!$O1254,".",","),IFERROR(NUMBERVALUE(CriteriTecnici!$O1254,",","."),0))),4)&amp;""),",",".")&amp;CHAR(125)&amp;IF(TRUE,",",""))</f>
        <v/>
      </c>
    </row>
    <row r="1356">
      <c r="A1356" s="82">
        <f>IF(CriteriTecnici!$A1255="","","    "&amp;CHAR(123)&amp;CHAR(34)&amp;"bidderId"&amp;CHAR(34)&amp;": "&amp;CHAR(34)&amp;SUBSTITUTE(CriteriTecnici!$A1255,CHAR(34),"'")&amp;CHAR(34)&amp;", "&amp;CHAR(34)&amp;"lotId"&amp;CHAR(34)&amp;": "&amp;CHAR(34)&amp;SUBSTITUTE(CriteriTecnici!$C1255,CHAR(34),"'")&amp;CHAR(34)&amp;", "&amp;CHAR(34)&amp;"criterionId"&amp;CHAR(34)&amp;": "&amp;CHAR(34)&amp;SUBSTITUTE(CriteriTecnici!$D1255,CHAR(34),"'")&amp;CHAR(34)&amp;", "&amp;CHAR(34)&amp;"kind"&amp;CHAR(34)&amp;": "&amp;CHAR(34)&amp;SUBSTITUTE(CriteriTecnici!$F1255,CHAR(34),"'")&amp;CHAR(34)&amp;", "&amp;CHAR(34)&amp;"value"&amp;CHAR(34)&amp;": "&amp;SUBSTITUTE(TRIM(ROUND(IFERROR(CriteriTecnici!$N1255*1,IFERROR(NUMBERVALUE(CriteriTecnici!$N1255,".",","),IFERROR(NUMBERVALUE(CriteriTecnici!$N1255,",","."),0))),4)&amp;""),",",".")&amp;", "&amp;CHAR(34)&amp;"numerator"&amp;CHAR(34)&amp;": "&amp;SUBSTITUTE(TRIM(ROUND(IFERROR(CriteriTecnici!$K1255*1,IFERROR(NUMBERVALUE(CriteriTecnici!$K1255,".",","),IFERROR(NUMBERVALUE(CriteriTecnici!$K1255,",","."),0))),4)&amp;""),",",".")&amp;", "&amp;CHAR(34)&amp;"denominator"&amp;CHAR(34)&amp;": "&amp;SUBSTITUTE(TRIM(ROUND(IFERROR(CriteriTecnici!$L1255*1,IFERROR(NUMBERVALUE(CriteriTecnici!$L1255,".",","),IFERROR(NUMBERVALUE(CriteriTecnici!$L1255,",","."),0))),4)&amp;""),",",".")&amp;", "&amp;CHAR(34)&amp;"flag"&amp;CHAR(34)&amp;": "&amp;SUBSTITUTE(TRIM(ROUND(IFERROR(CriteriTecnici!$M1255*1,IFERROR(NUMBERVALUE(CriteriTecnici!$M1255,".",","),IFERROR(NUMBERVALUE(CriteriTecnici!$M1255,",","."),0))),4)&amp;""),",",".")&amp;", "&amp;CHAR(34)&amp;"rawScore"&amp;CHAR(34)&amp;": "&amp;SUBSTITUTE(TRIM(ROUND(IFERROR(CriteriTecnici!$O1255*1,IFERROR(NUMBERVALUE(CriteriTecnici!$O1255,".",","),IFERROR(NUMBERVALUE(CriteriTecnici!$O1255,",","."),0))),4)&amp;""),",",".")&amp;CHAR(125)&amp;IF(TRUE,",",""))</f>
        <v/>
      </c>
    </row>
    <row r="1357">
      <c r="A1357" s="82">
        <f>IF(CriteriTecnici!$A1256="","","    "&amp;CHAR(123)&amp;CHAR(34)&amp;"bidderId"&amp;CHAR(34)&amp;": "&amp;CHAR(34)&amp;SUBSTITUTE(CriteriTecnici!$A1256,CHAR(34),"'")&amp;CHAR(34)&amp;", "&amp;CHAR(34)&amp;"lotId"&amp;CHAR(34)&amp;": "&amp;CHAR(34)&amp;SUBSTITUTE(CriteriTecnici!$C1256,CHAR(34),"'")&amp;CHAR(34)&amp;", "&amp;CHAR(34)&amp;"criterionId"&amp;CHAR(34)&amp;": "&amp;CHAR(34)&amp;SUBSTITUTE(CriteriTecnici!$D1256,CHAR(34),"'")&amp;CHAR(34)&amp;", "&amp;CHAR(34)&amp;"kind"&amp;CHAR(34)&amp;": "&amp;CHAR(34)&amp;SUBSTITUTE(CriteriTecnici!$F1256,CHAR(34),"'")&amp;CHAR(34)&amp;", "&amp;CHAR(34)&amp;"value"&amp;CHAR(34)&amp;": "&amp;SUBSTITUTE(TRIM(ROUND(IFERROR(CriteriTecnici!$N1256*1,IFERROR(NUMBERVALUE(CriteriTecnici!$N1256,".",","),IFERROR(NUMBERVALUE(CriteriTecnici!$N1256,",","."),0))),4)&amp;""),",",".")&amp;", "&amp;CHAR(34)&amp;"numerator"&amp;CHAR(34)&amp;": "&amp;SUBSTITUTE(TRIM(ROUND(IFERROR(CriteriTecnici!$K1256*1,IFERROR(NUMBERVALUE(CriteriTecnici!$K1256,".",","),IFERROR(NUMBERVALUE(CriteriTecnici!$K1256,",","."),0))),4)&amp;""),",",".")&amp;", "&amp;CHAR(34)&amp;"denominator"&amp;CHAR(34)&amp;": "&amp;SUBSTITUTE(TRIM(ROUND(IFERROR(CriteriTecnici!$L1256*1,IFERROR(NUMBERVALUE(CriteriTecnici!$L1256,".",","),IFERROR(NUMBERVALUE(CriteriTecnici!$L1256,",","."),0))),4)&amp;""),",",".")&amp;", "&amp;CHAR(34)&amp;"flag"&amp;CHAR(34)&amp;": "&amp;SUBSTITUTE(TRIM(ROUND(IFERROR(CriteriTecnici!$M1256*1,IFERROR(NUMBERVALUE(CriteriTecnici!$M1256,".",","),IFERROR(NUMBERVALUE(CriteriTecnici!$M1256,",","."),0))),4)&amp;""),",",".")&amp;", "&amp;CHAR(34)&amp;"rawScore"&amp;CHAR(34)&amp;": "&amp;SUBSTITUTE(TRIM(ROUND(IFERROR(CriteriTecnici!$O1256*1,IFERROR(NUMBERVALUE(CriteriTecnici!$O1256,".",","),IFERROR(NUMBERVALUE(CriteriTecnici!$O1256,",","."),0))),4)&amp;""),",",".")&amp;CHAR(125)&amp;IF(TRUE,",",""))</f>
        <v/>
      </c>
    </row>
    <row r="1358">
      <c r="A1358" s="82">
        <f>IF(CriteriTecnici!$A1257="","","    "&amp;CHAR(123)&amp;CHAR(34)&amp;"bidderId"&amp;CHAR(34)&amp;": "&amp;CHAR(34)&amp;SUBSTITUTE(CriteriTecnici!$A1257,CHAR(34),"'")&amp;CHAR(34)&amp;", "&amp;CHAR(34)&amp;"lotId"&amp;CHAR(34)&amp;": "&amp;CHAR(34)&amp;SUBSTITUTE(CriteriTecnici!$C1257,CHAR(34),"'")&amp;CHAR(34)&amp;", "&amp;CHAR(34)&amp;"criterionId"&amp;CHAR(34)&amp;": "&amp;CHAR(34)&amp;SUBSTITUTE(CriteriTecnici!$D1257,CHAR(34),"'")&amp;CHAR(34)&amp;", "&amp;CHAR(34)&amp;"kind"&amp;CHAR(34)&amp;": "&amp;CHAR(34)&amp;SUBSTITUTE(CriteriTecnici!$F1257,CHAR(34),"'")&amp;CHAR(34)&amp;", "&amp;CHAR(34)&amp;"value"&amp;CHAR(34)&amp;": "&amp;SUBSTITUTE(TRIM(ROUND(IFERROR(CriteriTecnici!$N1257*1,IFERROR(NUMBERVALUE(CriteriTecnici!$N1257,".",","),IFERROR(NUMBERVALUE(CriteriTecnici!$N1257,",","."),0))),4)&amp;""),",",".")&amp;", "&amp;CHAR(34)&amp;"numerator"&amp;CHAR(34)&amp;": "&amp;SUBSTITUTE(TRIM(ROUND(IFERROR(CriteriTecnici!$K1257*1,IFERROR(NUMBERVALUE(CriteriTecnici!$K1257,".",","),IFERROR(NUMBERVALUE(CriteriTecnici!$K1257,",","."),0))),4)&amp;""),",",".")&amp;", "&amp;CHAR(34)&amp;"denominator"&amp;CHAR(34)&amp;": "&amp;SUBSTITUTE(TRIM(ROUND(IFERROR(CriteriTecnici!$L1257*1,IFERROR(NUMBERVALUE(CriteriTecnici!$L1257,".",","),IFERROR(NUMBERVALUE(CriteriTecnici!$L1257,",","."),0))),4)&amp;""),",",".")&amp;", "&amp;CHAR(34)&amp;"flag"&amp;CHAR(34)&amp;": "&amp;SUBSTITUTE(TRIM(ROUND(IFERROR(CriteriTecnici!$M1257*1,IFERROR(NUMBERVALUE(CriteriTecnici!$M1257,".",","),IFERROR(NUMBERVALUE(CriteriTecnici!$M1257,",","."),0))),4)&amp;""),",",".")&amp;", "&amp;CHAR(34)&amp;"rawScore"&amp;CHAR(34)&amp;": "&amp;SUBSTITUTE(TRIM(ROUND(IFERROR(CriteriTecnici!$O1257*1,IFERROR(NUMBERVALUE(CriteriTecnici!$O1257,".",","),IFERROR(NUMBERVALUE(CriteriTecnici!$O1257,",","."),0))),4)&amp;""),",",".")&amp;CHAR(125)&amp;IF(TRUE,",",""))</f>
        <v/>
      </c>
    </row>
    <row r="1359">
      <c r="A1359" s="82">
        <f>IF(CriteriTecnici!$A1258="","","    "&amp;CHAR(123)&amp;CHAR(34)&amp;"bidderId"&amp;CHAR(34)&amp;": "&amp;CHAR(34)&amp;SUBSTITUTE(CriteriTecnici!$A1258,CHAR(34),"'")&amp;CHAR(34)&amp;", "&amp;CHAR(34)&amp;"lotId"&amp;CHAR(34)&amp;": "&amp;CHAR(34)&amp;SUBSTITUTE(CriteriTecnici!$C1258,CHAR(34),"'")&amp;CHAR(34)&amp;", "&amp;CHAR(34)&amp;"criterionId"&amp;CHAR(34)&amp;": "&amp;CHAR(34)&amp;SUBSTITUTE(CriteriTecnici!$D1258,CHAR(34),"'")&amp;CHAR(34)&amp;", "&amp;CHAR(34)&amp;"kind"&amp;CHAR(34)&amp;": "&amp;CHAR(34)&amp;SUBSTITUTE(CriteriTecnici!$F1258,CHAR(34),"'")&amp;CHAR(34)&amp;", "&amp;CHAR(34)&amp;"value"&amp;CHAR(34)&amp;": "&amp;SUBSTITUTE(TRIM(ROUND(IFERROR(CriteriTecnici!$N1258*1,IFERROR(NUMBERVALUE(CriteriTecnici!$N1258,".",","),IFERROR(NUMBERVALUE(CriteriTecnici!$N1258,",","."),0))),4)&amp;""),",",".")&amp;", "&amp;CHAR(34)&amp;"numerator"&amp;CHAR(34)&amp;": "&amp;SUBSTITUTE(TRIM(ROUND(IFERROR(CriteriTecnici!$K1258*1,IFERROR(NUMBERVALUE(CriteriTecnici!$K1258,".",","),IFERROR(NUMBERVALUE(CriteriTecnici!$K1258,",","."),0))),4)&amp;""),",",".")&amp;", "&amp;CHAR(34)&amp;"denominator"&amp;CHAR(34)&amp;": "&amp;SUBSTITUTE(TRIM(ROUND(IFERROR(CriteriTecnici!$L1258*1,IFERROR(NUMBERVALUE(CriteriTecnici!$L1258,".",","),IFERROR(NUMBERVALUE(CriteriTecnici!$L1258,",","."),0))),4)&amp;""),",",".")&amp;", "&amp;CHAR(34)&amp;"flag"&amp;CHAR(34)&amp;": "&amp;SUBSTITUTE(TRIM(ROUND(IFERROR(CriteriTecnici!$M1258*1,IFERROR(NUMBERVALUE(CriteriTecnici!$M1258,".",","),IFERROR(NUMBERVALUE(CriteriTecnici!$M1258,",","."),0))),4)&amp;""),",",".")&amp;", "&amp;CHAR(34)&amp;"rawScore"&amp;CHAR(34)&amp;": "&amp;SUBSTITUTE(TRIM(ROUND(IFERROR(CriteriTecnici!$O1258*1,IFERROR(NUMBERVALUE(CriteriTecnici!$O1258,".",","),IFERROR(NUMBERVALUE(CriteriTecnici!$O1258,",","."),0))),4)&amp;""),",",".")&amp;CHAR(125)&amp;IF(TRUE,",",""))</f>
        <v/>
      </c>
    </row>
    <row r="1360">
      <c r="A1360" s="82">
        <f>IF(CriteriTecnici!$A1259="","","    "&amp;CHAR(123)&amp;CHAR(34)&amp;"bidderId"&amp;CHAR(34)&amp;": "&amp;CHAR(34)&amp;SUBSTITUTE(CriteriTecnici!$A1259,CHAR(34),"'")&amp;CHAR(34)&amp;", "&amp;CHAR(34)&amp;"lotId"&amp;CHAR(34)&amp;": "&amp;CHAR(34)&amp;SUBSTITUTE(CriteriTecnici!$C1259,CHAR(34),"'")&amp;CHAR(34)&amp;", "&amp;CHAR(34)&amp;"criterionId"&amp;CHAR(34)&amp;": "&amp;CHAR(34)&amp;SUBSTITUTE(CriteriTecnici!$D1259,CHAR(34),"'")&amp;CHAR(34)&amp;", "&amp;CHAR(34)&amp;"kind"&amp;CHAR(34)&amp;": "&amp;CHAR(34)&amp;SUBSTITUTE(CriteriTecnici!$F1259,CHAR(34),"'")&amp;CHAR(34)&amp;", "&amp;CHAR(34)&amp;"value"&amp;CHAR(34)&amp;": "&amp;SUBSTITUTE(TRIM(ROUND(IFERROR(CriteriTecnici!$N1259*1,IFERROR(NUMBERVALUE(CriteriTecnici!$N1259,".",","),IFERROR(NUMBERVALUE(CriteriTecnici!$N1259,",","."),0))),4)&amp;""),",",".")&amp;", "&amp;CHAR(34)&amp;"numerator"&amp;CHAR(34)&amp;": "&amp;SUBSTITUTE(TRIM(ROUND(IFERROR(CriteriTecnici!$K1259*1,IFERROR(NUMBERVALUE(CriteriTecnici!$K1259,".",","),IFERROR(NUMBERVALUE(CriteriTecnici!$K1259,",","."),0))),4)&amp;""),",",".")&amp;", "&amp;CHAR(34)&amp;"denominator"&amp;CHAR(34)&amp;": "&amp;SUBSTITUTE(TRIM(ROUND(IFERROR(CriteriTecnici!$L1259*1,IFERROR(NUMBERVALUE(CriteriTecnici!$L1259,".",","),IFERROR(NUMBERVALUE(CriteriTecnici!$L1259,",","."),0))),4)&amp;""),",",".")&amp;", "&amp;CHAR(34)&amp;"flag"&amp;CHAR(34)&amp;": "&amp;SUBSTITUTE(TRIM(ROUND(IFERROR(CriteriTecnici!$M1259*1,IFERROR(NUMBERVALUE(CriteriTecnici!$M1259,".",","),IFERROR(NUMBERVALUE(CriteriTecnici!$M1259,",","."),0))),4)&amp;""),",",".")&amp;", "&amp;CHAR(34)&amp;"rawScore"&amp;CHAR(34)&amp;": "&amp;SUBSTITUTE(TRIM(ROUND(IFERROR(CriteriTecnici!$O1259*1,IFERROR(NUMBERVALUE(CriteriTecnici!$O1259,".",","),IFERROR(NUMBERVALUE(CriteriTecnici!$O1259,",","."),0))),4)&amp;""),",",".")&amp;CHAR(125)&amp;IF(TRUE,",",""))</f>
        <v/>
      </c>
    </row>
    <row r="1361">
      <c r="A1361" s="82">
        <f>IF(CriteriTecnici!$A1260="","","    "&amp;CHAR(123)&amp;CHAR(34)&amp;"bidderId"&amp;CHAR(34)&amp;": "&amp;CHAR(34)&amp;SUBSTITUTE(CriteriTecnici!$A1260,CHAR(34),"'")&amp;CHAR(34)&amp;", "&amp;CHAR(34)&amp;"lotId"&amp;CHAR(34)&amp;": "&amp;CHAR(34)&amp;SUBSTITUTE(CriteriTecnici!$C1260,CHAR(34),"'")&amp;CHAR(34)&amp;", "&amp;CHAR(34)&amp;"criterionId"&amp;CHAR(34)&amp;": "&amp;CHAR(34)&amp;SUBSTITUTE(CriteriTecnici!$D1260,CHAR(34),"'")&amp;CHAR(34)&amp;", "&amp;CHAR(34)&amp;"kind"&amp;CHAR(34)&amp;": "&amp;CHAR(34)&amp;SUBSTITUTE(CriteriTecnici!$F1260,CHAR(34),"'")&amp;CHAR(34)&amp;", "&amp;CHAR(34)&amp;"value"&amp;CHAR(34)&amp;": "&amp;SUBSTITUTE(TRIM(ROUND(IFERROR(CriteriTecnici!$N1260*1,IFERROR(NUMBERVALUE(CriteriTecnici!$N1260,".",","),IFERROR(NUMBERVALUE(CriteriTecnici!$N1260,",","."),0))),4)&amp;""),",",".")&amp;", "&amp;CHAR(34)&amp;"numerator"&amp;CHAR(34)&amp;": "&amp;SUBSTITUTE(TRIM(ROUND(IFERROR(CriteriTecnici!$K1260*1,IFERROR(NUMBERVALUE(CriteriTecnici!$K1260,".",","),IFERROR(NUMBERVALUE(CriteriTecnici!$K1260,",","."),0))),4)&amp;""),",",".")&amp;", "&amp;CHAR(34)&amp;"denominator"&amp;CHAR(34)&amp;": "&amp;SUBSTITUTE(TRIM(ROUND(IFERROR(CriteriTecnici!$L1260*1,IFERROR(NUMBERVALUE(CriteriTecnici!$L1260,".",","),IFERROR(NUMBERVALUE(CriteriTecnici!$L1260,",","."),0))),4)&amp;""),",",".")&amp;", "&amp;CHAR(34)&amp;"flag"&amp;CHAR(34)&amp;": "&amp;SUBSTITUTE(TRIM(ROUND(IFERROR(CriteriTecnici!$M1260*1,IFERROR(NUMBERVALUE(CriteriTecnici!$M1260,".",","),IFERROR(NUMBERVALUE(CriteriTecnici!$M1260,",","."),0))),4)&amp;""),",",".")&amp;", "&amp;CHAR(34)&amp;"rawScore"&amp;CHAR(34)&amp;": "&amp;SUBSTITUTE(TRIM(ROUND(IFERROR(CriteriTecnici!$O1260*1,IFERROR(NUMBERVALUE(CriteriTecnici!$O1260,".",","),IFERROR(NUMBERVALUE(CriteriTecnici!$O1260,",","."),0))),4)&amp;""),",",".")&amp;CHAR(125)&amp;IF(TRUE,",",""))</f>
        <v/>
      </c>
    </row>
    <row r="1362">
      <c r="A1362" s="82">
        <f>IF(CriteriTecnici!$A1261="","","    "&amp;CHAR(123)&amp;CHAR(34)&amp;"bidderId"&amp;CHAR(34)&amp;": "&amp;CHAR(34)&amp;SUBSTITUTE(CriteriTecnici!$A1261,CHAR(34),"'")&amp;CHAR(34)&amp;", "&amp;CHAR(34)&amp;"lotId"&amp;CHAR(34)&amp;": "&amp;CHAR(34)&amp;SUBSTITUTE(CriteriTecnici!$C1261,CHAR(34),"'")&amp;CHAR(34)&amp;", "&amp;CHAR(34)&amp;"criterionId"&amp;CHAR(34)&amp;": "&amp;CHAR(34)&amp;SUBSTITUTE(CriteriTecnici!$D1261,CHAR(34),"'")&amp;CHAR(34)&amp;", "&amp;CHAR(34)&amp;"kind"&amp;CHAR(34)&amp;": "&amp;CHAR(34)&amp;SUBSTITUTE(CriteriTecnici!$F1261,CHAR(34),"'")&amp;CHAR(34)&amp;", "&amp;CHAR(34)&amp;"value"&amp;CHAR(34)&amp;": "&amp;SUBSTITUTE(TRIM(ROUND(IFERROR(CriteriTecnici!$N1261*1,IFERROR(NUMBERVALUE(CriteriTecnici!$N1261,".",","),IFERROR(NUMBERVALUE(CriteriTecnici!$N1261,",","."),0))),4)&amp;""),",",".")&amp;", "&amp;CHAR(34)&amp;"numerator"&amp;CHAR(34)&amp;": "&amp;SUBSTITUTE(TRIM(ROUND(IFERROR(CriteriTecnici!$K1261*1,IFERROR(NUMBERVALUE(CriteriTecnici!$K1261,".",","),IFERROR(NUMBERVALUE(CriteriTecnici!$K1261,",","."),0))),4)&amp;""),",",".")&amp;", "&amp;CHAR(34)&amp;"denominator"&amp;CHAR(34)&amp;": "&amp;SUBSTITUTE(TRIM(ROUND(IFERROR(CriteriTecnici!$L1261*1,IFERROR(NUMBERVALUE(CriteriTecnici!$L1261,".",","),IFERROR(NUMBERVALUE(CriteriTecnici!$L1261,",","."),0))),4)&amp;""),",",".")&amp;", "&amp;CHAR(34)&amp;"flag"&amp;CHAR(34)&amp;": "&amp;SUBSTITUTE(TRIM(ROUND(IFERROR(CriteriTecnici!$M1261*1,IFERROR(NUMBERVALUE(CriteriTecnici!$M1261,".",","),IFERROR(NUMBERVALUE(CriteriTecnici!$M1261,",","."),0))),4)&amp;""),",",".")&amp;", "&amp;CHAR(34)&amp;"rawScore"&amp;CHAR(34)&amp;": "&amp;SUBSTITUTE(TRIM(ROUND(IFERROR(CriteriTecnici!$O1261*1,IFERROR(NUMBERVALUE(CriteriTecnici!$O1261,".",","),IFERROR(NUMBERVALUE(CriteriTecnici!$O1261,",","."),0))),4)&amp;""),",",".")&amp;CHAR(125)&amp;IF(TRUE,",",""))</f>
        <v/>
      </c>
    </row>
    <row r="1363">
      <c r="A1363" s="82">
        <f>IF(CriteriTecnici!$A1262="","","    "&amp;CHAR(123)&amp;CHAR(34)&amp;"bidderId"&amp;CHAR(34)&amp;": "&amp;CHAR(34)&amp;SUBSTITUTE(CriteriTecnici!$A1262,CHAR(34),"'")&amp;CHAR(34)&amp;", "&amp;CHAR(34)&amp;"lotId"&amp;CHAR(34)&amp;": "&amp;CHAR(34)&amp;SUBSTITUTE(CriteriTecnici!$C1262,CHAR(34),"'")&amp;CHAR(34)&amp;", "&amp;CHAR(34)&amp;"criterionId"&amp;CHAR(34)&amp;": "&amp;CHAR(34)&amp;SUBSTITUTE(CriteriTecnici!$D1262,CHAR(34),"'")&amp;CHAR(34)&amp;", "&amp;CHAR(34)&amp;"kind"&amp;CHAR(34)&amp;": "&amp;CHAR(34)&amp;SUBSTITUTE(CriteriTecnici!$F1262,CHAR(34),"'")&amp;CHAR(34)&amp;", "&amp;CHAR(34)&amp;"value"&amp;CHAR(34)&amp;": "&amp;SUBSTITUTE(TRIM(ROUND(IFERROR(CriteriTecnici!$N1262*1,IFERROR(NUMBERVALUE(CriteriTecnici!$N1262,".",","),IFERROR(NUMBERVALUE(CriteriTecnici!$N1262,",","."),0))),4)&amp;""),",",".")&amp;", "&amp;CHAR(34)&amp;"numerator"&amp;CHAR(34)&amp;": "&amp;SUBSTITUTE(TRIM(ROUND(IFERROR(CriteriTecnici!$K1262*1,IFERROR(NUMBERVALUE(CriteriTecnici!$K1262,".",","),IFERROR(NUMBERVALUE(CriteriTecnici!$K1262,",","."),0))),4)&amp;""),",",".")&amp;", "&amp;CHAR(34)&amp;"denominator"&amp;CHAR(34)&amp;": "&amp;SUBSTITUTE(TRIM(ROUND(IFERROR(CriteriTecnici!$L1262*1,IFERROR(NUMBERVALUE(CriteriTecnici!$L1262,".",","),IFERROR(NUMBERVALUE(CriteriTecnici!$L1262,",","."),0))),4)&amp;""),",",".")&amp;", "&amp;CHAR(34)&amp;"flag"&amp;CHAR(34)&amp;": "&amp;SUBSTITUTE(TRIM(ROUND(IFERROR(CriteriTecnici!$M1262*1,IFERROR(NUMBERVALUE(CriteriTecnici!$M1262,".",","),IFERROR(NUMBERVALUE(CriteriTecnici!$M1262,",","."),0))),4)&amp;""),",",".")&amp;", "&amp;CHAR(34)&amp;"rawScore"&amp;CHAR(34)&amp;": "&amp;SUBSTITUTE(TRIM(ROUND(IFERROR(CriteriTecnici!$O1262*1,IFERROR(NUMBERVALUE(CriteriTecnici!$O1262,".",","),IFERROR(NUMBERVALUE(CriteriTecnici!$O1262,",","."),0))),4)&amp;""),",",".")&amp;CHAR(125)&amp;IF(TRUE,",",""))</f>
        <v/>
      </c>
    </row>
    <row r="1364">
      <c r="A1364" s="82">
        <f>IF(CriteriTecnici!$A1263="","","    "&amp;CHAR(123)&amp;CHAR(34)&amp;"bidderId"&amp;CHAR(34)&amp;": "&amp;CHAR(34)&amp;SUBSTITUTE(CriteriTecnici!$A1263,CHAR(34),"'")&amp;CHAR(34)&amp;", "&amp;CHAR(34)&amp;"lotId"&amp;CHAR(34)&amp;": "&amp;CHAR(34)&amp;SUBSTITUTE(CriteriTecnici!$C1263,CHAR(34),"'")&amp;CHAR(34)&amp;", "&amp;CHAR(34)&amp;"criterionId"&amp;CHAR(34)&amp;": "&amp;CHAR(34)&amp;SUBSTITUTE(CriteriTecnici!$D1263,CHAR(34),"'")&amp;CHAR(34)&amp;", "&amp;CHAR(34)&amp;"kind"&amp;CHAR(34)&amp;": "&amp;CHAR(34)&amp;SUBSTITUTE(CriteriTecnici!$F1263,CHAR(34),"'")&amp;CHAR(34)&amp;", "&amp;CHAR(34)&amp;"value"&amp;CHAR(34)&amp;": "&amp;SUBSTITUTE(TRIM(ROUND(IFERROR(CriteriTecnici!$N1263*1,IFERROR(NUMBERVALUE(CriteriTecnici!$N1263,".",","),IFERROR(NUMBERVALUE(CriteriTecnici!$N1263,",","."),0))),4)&amp;""),",",".")&amp;", "&amp;CHAR(34)&amp;"numerator"&amp;CHAR(34)&amp;": "&amp;SUBSTITUTE(TRIM(ROUND(IFERROR(CriteriTecnici!$K1263*1,IFERROR(NUMBERVALUE(CriteriTecnici!$K1263,".",","),IFERROR(NUMBERVALUE(CriteriTecnici!$K1263,",","."),0))),4)&amp;""),",",".")&amp;", "&amp;CHAR(34)&amp;"denominator"&amp;CHAR(34)&amp;": "&amp;SUBSTITUTE(TRIM(ROUND(IFERROR(CriteriTecnici!$L1263*1,IFERROR(NUMBERVALUE(CriteriTecnici!$L1263,".",","),IFERROR(NUMBERVALUE(CriteriTecnici!$L1263,",","."),0))),4)&amp;""),",",".")&amp;", "&amp;CHAR(34)&amp;"flag"&amp;CHAR(34)&amp;": "&amp;SUBSTITUTE(TRIM(ROUND(IFERROR(CriteriTecnici!$M1263*1,IFERROR(NUMBERVALUE(CriteriTecnici!$M1263,".",","),IFERROR(NUMBERVALUE(CriteriTecnici!$M1263,",","."),0))),4)&amp;""),",",".")&amp;", "&amp;CHAR(34)&amp;"rawScore"&amp;CHAR(34)&amp;": "&amp;SUBSTITUTE(TRIM(ROUND(IFERROR(CriteriTecnici!$O1263*1,IFERROR(NUMBERVALUE(CriteriTecnici!$O1263,".",","),IFERROR(NUMBERVALUE(CriteriTecnici!$O1263,",","."),0))),4)&amp;""),",",".")&amp;CHAR(125)&amp;IF(TRUE,",",""))</f>
        <v/>
      </c>
    </row>
    <row r="1365">
      <c r="A1365" s="82">
        <f>IF(CriteriTecnici!$A1264="","","    "&amp;CHAR(123)&amp;CHAR(34)&amp;"bidderId"&amp;CHAR(34)&amp;": "&amp;CHAR(34)&amp;SUBSTITUTE(CriteriTecnici!$A1264,CHAR(34),"'")&amp;CHAR(34)&amp;", "&amp;CHAR(34)&amp;"lotId"&amp;CHAR(34)&amp;": "&amp;CHAR(34)&amp;SUBSTITUTE(CriteriTecnici!$C1264,CHAR(34),"'")&amp;CHAR(34)&amp;", "&amp;CHAR(34)&amp;"criterionId"&amp;CHAR(34)&amp;": "&amp;CHAR(34)&amp;SUBSTITUTE(CriteriTecnici!$D1264,CHAR(34),"'")&amp;CHAR(34)&amp;", "&amp;CHAR(34)&amp;"kind"&amp;CHAR(34)&amp;": "&amp;CHAR(34)&amp;SUBSTITUTE(CriteriTecnici!$F1264,CHAR(34),"'")&amp;CHAR(34)&amp;", "&amp;CHAR(34)&amp;"value"&amp;CHAR(34)&amp;": "&amp;SUBSTITUTE(TRIM(ROUND(IFERROR(CriteriTecnici!$N1264*1,IFERROR(NUMBERVALUE(CriteriTecnici!$N1264,".",","),IFERROR(NUMBERVALUE(CriteriTecnici!$N1264,",","."),0))),4)&amp;""),",",".")&amp;", "&amp;CHAR(34)&amp;"numerator"&amp;CHAR(34)&amp;": "&amp;SUBSTITUTE(TRIM(ROUND(IFERROR(CriteriTecnici!$K1264*1,IFERROR(NUMBERVALUE(CriteriTecnici!$K1264,".",","),IFERROR(NUMBERVALUE(CriteriTecnici!$K1264,",","."),0))),4)&amp;""),",",".")&amp;", "&amp;CHAR(34)&amp;"denominator"&amp;CHAR(34)&amp;": "&amp;SUBSTITUTE(TRIM(ROUND(IFERROR(CriteriTecnici!$L1264*1,IFERROR(NUMBERVALUE(CriteriTecnici!$L1264,".",","),IFERROR(NUMBERVALUE(CriteriTecnici!$L1264,",","."),0))),4)&amp;""),",",".")&amp;", "&amp;CHAR(34)&amp;"flag"&amp;CHAR(34)&amp;": "&amp;SUBSTITUTE(TRIM(ROUND(IFERROR(CriteriTecnici!$M1264*1,IFERROR(NUMBERVALUE(CriteriTecnici!$M1264,".",","),IFERROR(NUMBERVALUE(CriteriTecnici!$M1264,",","."),0))),4)&amp;""),",",".")&amp;", "&amp;CHAR(34)&amp;"rawScore"&amp;CHAR(34)&amp;": "&amp;SUBSTITUTE(TRIM(ROUND(IFERROR(CriteriTecnici!$O1264*1,IFERROR(NUMBERVALUE(CriteriTecnici!$O1264,".",","),IFERROR(NUMBERVALUE(CriteriTecnici!$O1264,",","."),0))),4)&amp;""),",",".")&amp;CHAR(125)&amp;IF(TRUE,",",""))</f>
        <v/>
      </c>
    </row>
    <row r="1366">
      <c r="A1366" s="82">
        <f>IF(CriteriTecnici!$A1265="","","    "&amp;CHAR(123)&amp;CHAR(34)&amp;"bidderId"&amp;CHAR(34)&amp;": "&amp;CHAR(34)&amp;SUBSTITUTE(CriteriTecnici!$A1265,CHAR(34),"'")&amp;CHAR(34)&amp;", "&amp;CHAR(34)&amp;"lotId"&amp;CHAR(34)&amp;": "&amp;CHAR(34)&amp;SUBSTITUTE(CriteriTecnici!$C1265,CHAR(34),"'")&amp;CHAR(34)&amp;", "&amp;CHAR(34)&amp;"criterionId"&amp;CHAR(34)&amp;": "&amp;CHAR(34)&amp;SUBSTITUTE(CriteriTecnici!$D1265,CHAR(34),"'")&amp;CHAR(34)&amp;", "&amp;CHAR(34)&amp;"kind"&amp;CHAR(34)&amp;": "&amp;CHAR(34)&amp;SUBSTITUTE(CriteriTecnici!$F1265,CHAR(34),"'")&amp;CHAR(34)&amp;", "&amp;CHAR(34)&amp;"value"&amp;CHAR(34)&amp;": "&amp;SUBSTITUTE(TRIM(ROUND(IFERROR(CriteriTecnici!$N1265*1,IFERROR(NUMBERVALUE(CriteriTecnici!$N1265,".",","),IFERROR(NUMBERVALUE(CriteriTecnici!$N1265,",","."),0))),4)&amp;""),",",".")&amp;", "&amp;CHAR(34)&amp;"numerator"&amp;CHAR(34)&amp;": "&amp;SUBSTITUTE(TRIM(ROUND(IFERROR(CriteriTecnici!$K1265*1,IFERROR(NUMBERVALUE(CriteriTecnici!$K1265,".",","),IFERROR(NUMBERVALUE(CriteriTecnici!$K1265,",","."),0))),4)&amp;""),",",".")&amp;", "&amp;CHAR(34)&amp;"denominator"&amp;CHAR(34)&amp;": "&amp;SUBSTITUTE(TRIM(ROUND(IFERROR(CriteriTecnici!$L1265*1,IFERROR(NUMBERVALUE(CriteriTecnici!$L1265,".",","),IFERROR(NUMBERVALUE(CriteriTecnici!$L1265,",","."),0))),4)&amp;""),",",".")&amp;", "&amp;CHAR(34)&amp;"flag"&amp;CHAR(34)&amp;": "&amp;SUBSTITUTE(TRIM(ROUND(IFERROR(CriteriTecnici!$M1265*1,IFERROR(NUMBERVALUE(CriteriTecnici!$M1265,".",","),IFERROR(NUMBERVALUE(CriteriTecnici!$M1265,",","."),0))),4)&amp;""),",",".")&amp;", "&amp;CHAR(34)&amp;"rawScore"&amp;CHAR(34)&amp;": "&amp;SUBSTITUTE(TRIM(ROUND(IFERROR(CriteriTecnici!$O1265*1,IFERROR(NUMBERVALUE(CriteriTecnici!$O1265,".",","),IFERROR(NUMBERVALUE(CriteriTecnici!$O1265,",","."),0))),4)&amp;""),",",".")&amp;CHAR(125)&amp;IF(TRUE,",",""))</f>
        <v/>
      </c>
    </row>
    <row r="1367">
      <c r="A1367" s="82">
        <f>IF(CriteriTecnici!$A1266="","","    "&amp;CHAR(123)&amp;CHAR(34)&amp;"bidderId"&amp;CHAR(34)&amp;": "&amp;CHAR(34)&amp;SUBSTITUTE(CriteriTecnici!$A1266,CHAR(34),"'")&amp;CHAR(34)&amp;", "&amp;CHAR(34)&amp;"lotId"&amp;CHAR(34)&amp;": "&amp;CHAR(34)&amp;SUBSTITUTE(CriteriTecnici!$C1266,CHAR(34),"'")&amp;CHAR(34)&amp;", "&amp;CHAR(34)&amp;"criterionId"&amp;CHAR(34)&amp;": "&amp;CHAR(34)&amp;SUBSTITUTE(CriteriTecnici!$D1266,CHAR(34),"'")&amp;CHAR(34)&amp;", "&amp;CHAR(34)&amp;"kind"&amp;CHAR(34)&amp;": "&amp;CHAR(34)&amp;SUBSTITUTE(CriteriTecnici!$F1266,CHAR(34),"'")&amp;CHAR(34)&amp;", "&amp;CHAR(34)&amp;"value"&amp;CHAR(34)&amp;": "&amp;SUBSTITUTE(TRIM(ROUND(IFERROR(CriteriTecnici!$N1266*1,IFERROR(NUMBERVALUE(CriteriTecnici!$N1266,".",","),IFERROR(NUMBERVALUE(CriteriTecnici!$N1266,",","."),0))),4)&amp;""),",",".")&amp;", "&amp;CHAR(34)&amp;"numerator"&amp;CHAR(34)&amp;": "&amp;SUBSTITUTE(TRIM(ROUND(IFERROR(CriteriTecnici!$K1266*1,IFERROR(NUMBERVALUE(CriteriTecnici!$K1266,".",","),IFERROR(NUMBERVALUE(CriteriTecnici!$K1266,",","."),0))),4)&amp;""),",",".")&amp;", "&amp;CHAR(34)&amp;"denominator"&amp;CHAR(34)&amp;": "&amp;SUBSTITUTE(TRIM(ROUND(IFERROR(CriteriTecnici!$L1266*1,IFERROR(NUMBERVALUE(CriteriTecnici!$L1266,".",","),IFERROR(NUMBERVALUE(CriteriTecnici!$L1266,",","."),0))),4)&amp;""),",",".")&amp;", "&amp;CHAR(34)&amp;"flag"&amp;CHAR(34)&amp;": "&amp;SUBSTITUTE(TRIM(ROUND(IFERROR(CriteriTecnici!$M1266*1,IFERROR(NUMBERVALUE(CriteriTecnici!$M1266,".",","),IFERROR(NUMBERVALUE(CriteriTecnici!$M1266,",","."),0))),4)&amp;""),",",".")&amp;", "&amp;CHAR(34)&amp;"rawScore"&amp;CHAR(34)&amp;": "&amp;SUBSTITUTE(TRIM(ROUND(IFERROR(CriteriTecnici!$O1266*1,IFERROR(NUMBERVALUE(CriteriTecnici!$O1266,".",","),IFERROR(NUMBERVALUE(CriteriTecnici!$O1266,",","."),0))),4)&amp;""),",",".")&amp;CHAR(125)&amp;IF(TRUE,",",""))</f>
        <v/>
      </c>
    </row>
    <row r="1368">
      <c r="A1368" s="82">
        <f>IF(CriteriTecnici!$A1267="","","    "&amp;CHAR(123)&amp;CHAR(34)&amp;"bidderId"&amp;CHAR(34)&amp;": "&amp;CHAR(34)&amp;SUBSTITUTE(CriteriTecnici!$A1267,CHAR(34),"'")&amp;CHAR(34)&amp;", "&amp;CHAR(34)&amp;"lotId"&amp;CHAR(34)&amp;": "&amp;CHAR(34)&amp;SUBSTITUTE(CriteriTecnici!$C1267,CHAR(34),"'")&amp;CHAR(34)&amp;", "&amp;CHAR(34)&amp;"criterionId"&amp;CHAR(34)&amp;": "&amp;CHAR(34)&amp;SUBSTITUTE(CriteriTecnici!$D1267,CHAR(34),"'")&amp;CHAR(34)&amp;", "&amp;CHAR(34)&amp;"kind"&amp;CHAR(34)&amp;": "&amp;CHAR(34)&amp;SUBSTITUTE(CriteriTecnici!$F1267,CHAR(34),"'")&amp;CHAR(34)&amp;", "&amp;CHAR(34)&amp;"value"&amp;CHAR(34)&amp;": "&amp;SUBSTITUTE(TRIM(ROUND(IFERROR(CriteriTecnici!$N1267*1,IFERROR(NUMBERVALUE(CriteriTecnici!$N1267,".",","),IFERROR(NUMBERVALUE(CriteriTecnici!$N1267,",","."),0))),4)&amp;""),",",".")&amp;", "&amp;CHAR(34)&amp;"numerator"&amp;CHAR(34)&amp;": "&amp;SUBSTITUTE(TRIM(ROUND(IFERROR(CriteriTecnici!$K1267*1,IFERROR(NUMBERVALUE(CriteriTecnici!$K1267,".",","),IFERROR(NUMBERVALUE(CriteriTecnici!$K1267,",","."),0))),4)&amp;""),",",".")&amp;", "&amp;CHAR(34)&amp;"denominator"&amp;CHAR(34)&amp;": "&amp;SUBSTITUTE(TRIM(ROUND(IFERROR(CriteriTecnici!$L1267*1,IFERROR(NUMBERVALUE(CriteriTecnici!$L1267,".",","),IFERROR(NUMBERVALUE(CriteriTecnici!$L1267,",","."),0))),4)&amp;""),",",".")&amp;", "&amp;CHAR(34)&amp;"flag"&amp;CHAR(34)&amp;": "&amp;SUBSTITUTE(TRIM(ROUND(IFERROR(CriteriTecnici!$M1267*1,IFERROR(NUMBERVALUE(CriteriTecnici!$M1267,".",","),IFERROR(NUMBERVALUE(CriteriTecnici!$M1267,",","."),0))),4)&amp;""),",",".")&amp;", "&amp;CHAR(34)&amp;"rawScore"&amp;CHAR(34)&amp;": "&amp;SUBSTITUTE(TRIM(ROUND(IFERROR(CriteriTecnici!$O1267*1,IFERROR(NUMBERVALUE(CriteriTecnici!$O1267,".",","),IFERROR(NUMBERVALUE(CriteriTecnici!$O1267,",","."),0))),4)&amp;""),",",".")&amp;CHAR(125)&amp;IF(TRUE,",",""))</f>
        <v/>
      </c>
    </row>
    <row r="1369">
      <c r="A1369" s="82">
        <f>IF(CriteriTecnici!$A1268="","","    "&amp;CHAR(123)&amp;CHAR(34)&amp;"bidderId"&amp;CHAR(34)&amp;": "&amp;CHAR(34)&amp;SUBSTITUTE(CriteriTecnici!$A1268,CHAR(34),"'")&amp;CHAR(34)&amp;", "&amp;CHAR(34)&amp;"lotId"&amp;CHAR(34)&amp;": "&amp;CHAR(34)&amp;SUBSTITUTE(CriteriTecnici!$C1268,CHAR(34),"'")&amp;CHAR(34)&amp;", "&amp;CHAR(34)&amp;"criterionId"&amp;CHAR(34)&amp;": "&amp;CHAR(34)&amp;SUBSTITUTE(CriteriTecnici!$D1268,CHAR(34),"'")&amp;CHAR(34)&amp;", "&amp;CHAR(34)&amp;"kind"&amp;CHAR(34)&amp;": "&amp;CHAR(34)&amp;SUBSTITUTE(CriteriTecnici!$F1268,CHAR(34),"'")&amp;CHAR(34)&amp;", "&amp;CHAR(34)&amp;"value"&amp;CHAR(34)&amp;": "&amp;SUBSTITUTE(TRIM(ROUND(IFERROR(CriteriTecnici!$N1268*1,IFERROR(NUMBERVALUE(CriteriTecnici!$N1268,".",","),IFERROR(NUMBERVALUE(CriteriTecnici!$N1268,",","."),0))),4)&amp;""),",",".")&amp;", "&amp;CHAR(34)&amp;"numerator"&amp;CHAR(34)&amp;": "&amp;SUBSTITUTE(TRIM(ROUND(IFERROR(CriteriTecnici!$K1268*1,IFERROR(NUMBERVALUE(CriteriTecnici!$K1268,".",","),IFERROR(NUMBERVALUE(CriteriTecnici!$K1268,",","."),0))),4)&amp;""),",",".")&amp;", "&amp;CHAR(34)&amp;"denominator"&amp;CHAR(34)&amp;": "&amp;SUBSTITUTE(TRIM(ROUND(IFERROR(CriteriTecnici!$L1268*1,IFERROR(NUMBERVALUE(CriteriTecnici!$L1268,".",","),IFERROR(NUMBERVALUE(CriteriTecnici!$L1268,",","."),0))),4)&amp;""),",",".")&amp;", "&amp;CHAR(34)&amp;"flag"&amp;CHAR(34)&amp;": "&amp;SUBSTITUTE(TRIM(ROUND(IFERROR(CriteriTecnici!$M1268*1,IFERROR(NUMBERVALUE(CriteriTecnici!$M1268,".",","),IFERROR(NUMBERVALUE(CriteriTecnici!$M1268,",","."),0))),4)&amp;""),",",".")&amp;", "&amp;CHAR(34)&amp;"rawScore"&amp;CHAR(34)&amp;": "&amp;SUBSTITUTE(TRIM(ROUND(IFERROR(CriteriTecnici!$O1268*1,IFERROR(NUMBERVALUE(CriteriTecnici!$O1268,".",","),IFERROR(NUMBERVALUE(CriteriTecnici!$O1268,",","."),0))),4)&amp;""),",",".")&amp;CHAR(125)&amp;IF(TRUE,",",""))</f>
        <v/>
      </c>
    </row>
    <row r="1370">
      <c r="A1370" s="82">
        <f>IF(CriteriTecnici!$A1269="","","    "&amp;CHAR(123)&amp;CHAR(34)&amp;"bidderId"&amp;CHAR(34)&amp;": "&amp;CHAR(34)&amp;SUBSTITUTE(CriteriTecnici!$A1269,CHAR(34),"'")&amp;CHAR(34)&amp;", "&amp;CHAR(34)&amp;"lotId"&amp;CHAR(34)&amp;": "&amp;CHAR(34)&amp;SUBSTITUTE(CriteriTecnici!$C1269,CHAR(34),"'")&amp;CHAR(34)&amp;", "&amp;CHAR(34)&amp;"criterionId"&amp;CHAR(34)&amp;": "&amp;CHAR(34)&amp;SUBSTITUTE(CriteriTecnici!$D1269,CHAR(34),"'")&amp;CHAR(34)&amp;", "&amp;CHAR(34)&amp;"kind"&amp;CHAR(34)&amp;": "&amp;CHAR(34)&amp;SUBSTITUTE(CriteriTecnici!$F1269,CHAR(34),"'")&amp;CHAR(34)&amp;", "&amp;CHAR(34)&amp;"value"&amp;CHAR(34)&amp;": "&amp;SUBSTITUTE(TRIM(ROUND(IFERROR(CriteriTecnici!$N1269*1,IFERROR(NUMBERVALUE(CriteriTecnici!$N1269,".",","),IFERROR(NUMBERVALUE(CriteriTecnici!$N1269,",","."),0))),4)&amp;""),",",".")&amp;", "&amp;CHAR(34)&amp;"numerator"&amp;CHAR(34)&amp;": "&amp;SUBSTITUTE(TRIM(ROUND(IFERROR(CriteriTecnici!$K1269*1,IFERROR(NUMBERVALUE(CriteriTecnici!$K1269,".",","),IFERROR(NUMBERVALUE(CriteriTecnici!$K1269,",","."),0))),4)&amp;""),",",".")&amp;", "&amp;CHAR(34)&amp;"denominator"&amp;CHAR(34)&amp;": "&amp;SUBSTITUTE(TRIM(ROUND(IFERROR(CriteriTecnici!$L1269*1,IFERROR(NUMBERVALUE(CriteriTecnici!$L1269,".",","),IFERROR(NUMBERVALUE(CriteriTecnici!$L1269,",","."),0))),4)&amp;""),",",".")&amp;", "&amp;CHAR(34)&amp;"flag"&amp;CHAR(34)&amp;": "&amp;SUBSTITUTE(TRIM(ROUND(IFERROR(CriteriTecnici!$M1269*1,IFERROR(NUMBERVALUE(CriteriTecnici!$M1269,".",","),IFERROR(NUMBERVALUE(CriteriTecnici!$M1269,",","."),0))),4)&amp;""),",",".")&amp;", "&amp;CHAR(34)&amp;"rawScore"&amp;CHAR(34)&amp;": "&amp;SUBSTITUTE(TRIM(ROUND(IFERROR(CriteriTecnici!$O1269*1,IFERROR(NUMBERVALUE(CriteriTecnici!$O1269,".",","),IFERROR(NUMBERVALUE(CriteriTecnici!$O1269,",","."),0))),4)&amp;""),",",".")&amp;CHAR(125)&amp;IF(TRUE,",",""))</f>
        <v/>
      </c>
    </row>
    <row r="1371">
      <c r="A1371" s="82">
        <f>IF(CriteriTecnici!$A1270="","","    "&amp;CHAR(123)&amp;CHAR(34)&amp;"bidderId"&amp;CHAR(34)&amp;": "&amp;CHAR(34)&amp;SUBSTITUTE(CriteriTecnici!$A1270,CHAR(34),"'")&amp;CHAR(34)&amp;", "&amp;CHAR(34)&amp;"lotId"&amp;CHAR(34)&amp;": "&amp;CHAR(34)&amp;SUBSTITUTE(CriteriTecnici!$C1270,CHAR(34),"'")&amp;CHAR(34)&amp;", "&amp;CHAR(34)&amp;"criterionId"&amp;CHAR(34)&amp;": "&amp;CHAR(34)&amp;SUBSTITUTE(CriteriTecnici!$D1270,CHAR(34),"'")&amp;CHAR(34)&amp;", "&amp;CHAR(34)&amp;"kind"&amp;CHAR(34)&amp;": "&amp;CHAR(34)&amp;SUBSTITUTE(CriteriTecnici!$F1270,CHAR(34),"'")&amp;CHAR(34)&amp;", "&amp;CHAR(34)&amp;"value"&amp;CHAR(34)&amp;": "&amp;SUBSTITUTE(TRIM(ROUND(IFERROR(CriteriTecnici!$N1270*1,IFERROR(NUMBERVALUE(CriteriTecnici!$N1270,".",","),IFERROR(NUMBERVALUE(CriteriTecnici!$N1270,",","."),0))),4)&amp;""),",",".")&amp;", "&amp;CHAR(34)&amp;"numerator"&amp;CHAR(34)&amp;": "&amp;SUBSTITUTE(TRIM(ROUND(IFERROR(CriteriTecnici!$K1270*1,IFERROR(NUMBERVALUE(CriteriTecnici!$K1270,".",","),IFERROR(NUMBERVALUE(CriteriTecnici!$K1270,",","."),0))),4)&amp;""),",",".")&amp;", "&amp;CHAR(34)&amp;"denominator"&amp;CHAR(34)&amp;": "&amp;SUBSTITUTE(TRIM(ROUND(IFERROR(CriteriTecnici!$L1270*1,IFERROR(NUMBERVALUE(CriteriTecnici!$L1270,".",","),IFERROR(NUMBERVALUE(CriteriTecnici!$L1270,",","."),0))),4)&amp;""),",",".")&amp;", "&amp;CHAR(34)&amp;"flag"&amp;CHAR(34)&amp;": "&amp;SUBSTITUTE(TRIM(ROUND(IFERROR(CriteriTecnici!$M1270*1,IFERROR(NUMBERVALUE(CriteriTecnici!$M1270,".",","),IFERROR(NUMBERVALUE(CriteriTecnici!$M1270,",","."),0))),4)&amp;""),",",".")&amp;", "&amp;CHAR(34)&amp;"rawScore"&amp;CHAR(34)&amp;": "&amp;SUBSTITUTE(TRIM(ROUND(IFERROR(CriteriTecnici!$O1270*1,IFERROR(NUMBERVALUE(CriteriTecnici!$O1270,".",","),IFERROR(NUMBERVALUE(CriteriTecnici!$O1270,",","."),0))),4)&amp;""),",",".")&amp;CHAR(125)&amp;IF(TRUE,",",""))</f>
        <v/>
      </c>
    </row>
    <row r="1372">
      <c r="A1372" s="82">
        <f>IF(CriteriTecnici!$A1271="","","    "&amp;CHAR(123)&amp;CHAR(34)&amp;"bidderId"&amp;CHAR(34)&amp;": "&amp;CHAR(34)&amp;SUBSTITUTE(CriteriTecnici!$A1271,CHAR(34),"'")&amp;CHAR(34)&amp;", "&amp;CHAR(34)&amp;"lotId"&amp;CHAR(34)&amp;": "&amp;CHAR(34)&amp;SUBSTITUTE(CriteriTecnici!$C1271,CHAR(34),"'")&amp;CHAR(34)&amp;", "&amp;CHAR(34)&amp;"criterionId"&amp;CHAR(34)&amp;": "&amp;CHAR(34)&amp;SUBSTITUTE(CriteriTecnici!$D1271,CHAR(34),"'")&amp;CHAR(34)&amp;", "&amp;CHAR(34)&amp;"kind"&amp;CHAR(34)&amp;": "&amp;CHAR(34)&amp;SUBSTITUTE(CriteriTecnici!$F1271,CHAR(34),"'")&amp;CHAR(34)&amp;", "&amp;CHAR(34)&amp;"value"&amp;CHAR(34)&amp;": "&amp;SUBSTITUTE(TRIM(ROUND(IFERROR(CriteriTecnici!$N1271*1,IFERROR(NUMBERVALUE(CriteriTecnici!$N1271,".",","),IFERROR(NUMBERVALUE(CriteriTecnici!$N1271,",","."),0))),4)&amp;""),",",".")&amp;", "&amp;CHAR(34)&amp;"numerator"&amp;CHAR(34)&amp;": "&amp;SUBSTITUTE(TRIM(ROUND(IFERROR(CriteriTecnici!$K1271*1,IFERROR(NUMBERVALUE(CriteriTecnici!$K1271,".",","),IFERROR(NUMBERVALUE(CriteriTecnici!$K1271,",","."),0))),4)&amp;""),",",".")&amp;", "&amp;CHAR(34)&amp;"denominator"&amp;CHAR(34)&amp;": "&amp;SUBSTITUTE(TRIM(ROUND(IFERROR(CriteriTecnici!$L1271*1,IFERROR(NUMBERVALUE(CriteriTecnici!$L1271,".",","),IFERROR(NUMBERVALUE(CriteriTecnici!$L1271,",","."),0))),4)&amp;""),",",".")&amp;", "&amp;CHAR(34)&amp;"flag"&amp;CHAR(34)&amp;": "&amp;SUBSTITUTE(TRIM(ROUND(IFERROR(CriteriTecnici!$M1271*1,IFERROR(NUMBERVALUE(CriteriTecnici!$M1271,".",","),IFERROR(NUMBERVALUE(CriteriTecnici!$M1271,",","."),0))),4)&amp;""),",",".")&amp;", "&amp;CHAR(34)&amp;"rawScore"&amp;CHAR(34)&amp;": "&amp;SUBSTITUTE(TRIM(ROUND(IFERROR(CriteriTecnici!$O1271*1,IFERROR(NUMBERVALUE(CriteriTecnici!$O1271,".",","),IFERROR(NUMBERVALUE(CriteriTecnici!$O1271,",","."),0))),4)&amp;""),",",".")&amp;CHAR(125)&amp;IF(TRUE,",",""))</f>
        <v/>
      </c>
    </row>
    <row r="1373">
      <c r="A1373" s="82">
        <f>IF(CriteriTecnici!$A1272="","","    "&amp;CHAR(123)&amp;CHAR(34)&amp;"bidderId"&amp;CHAR(34)&amp;": "&amp;CHAR(34)&amp;SUBSTITUTE(CriteriTecnici!$A1272,CHAR(34),"'")&amp;CHAR(34)&amp;", "&amp;CHAR(34)&amp;"lotId"&amp;CHAR(34)&amp;": "&amp;CHAR(34)&amp;SUBSTITUTE(CriteriTecnici!$C1272,CHAR(34),"'")&amp;CHAR(34)&amp;", "&amp;CHAR(34)&amp;"criterionId"&amp;CHAR(34)&amp;": "&amp;CHAR(34)&amp;SUBSTITUTE(CriteriTecnici!$D1272,CHAR(34),"'")&amp;CHAR(34)&amp;", "&amp;CHAR(34)&amp;"kind"&amp;CHAR(34)&amp;": "&amp;CHAR(34)&amp;SUBSTITUTE(CriteriTecnici!$F1272,CHAR(34),"'")&amp;CHAR(34)&amp;", "&amp;CHAR(34)&amp;"value"&amp;CHAR(34)&amp;": "&amp;SUBSTITUTE(TRIM(ROUND(IFERROR(CriteriTecnici!$N1272*1,IFERROR(NUMBERVALUE(CriteriTecnici!$N1272,".",","),IFERROR(NUMBERVALUE(CriteriTecnici!$N1272,",","."),0))),4)&amp;""),",",".")&amp;", "&amp;CHAR(34)&amp;"numerator"&amp;CHAR(34)&amp;": "&amp;SUBSTITUTE(TRIM(ROUND(IFERROR(CriteriTecnici!$K1272*1,IFERROR(NUMBERVALUE(CriteriTecnici!$K1272,".",","),IFERROR(NUMBERVALUE(CriteriTecnici!$K1272,",","."),0))),4)&amp;""),",",".")&amp;", "&amp;CHAR(34)&amp;"denominator"&amp;CHAR(34)&amp;": "&amp;SUBSTITUTE(TRIM(ROUND(IFERROR(CriteriTecnici!$L1272*1,IFERROR(NUMBERVALUE(CriteriTecnici!$L1272,".",","),IFERROR(NUMBERVALUE(CriteriTecnici!$L1272,",","."),0))),4)&amp;""),",",".")&amp;", "&amp;CHAR(34)&amp;"flag"&amp;CHAR(34)&amp;": "&amp;SUBSTITUTE(TRIM(ROUND(IFERROR(CriteriTecnici!$M1272*1,IFERROR(NUMBERVALUE(CriteriTecnici!$M1272,".",","),IFERROR(NUMBERVALUE(CriteriTecnici!$M1272,",","."),0))),4)&amp;""),",",".")&amp;", "&amp;CHAR(34)&amp;"rawScore"&amp;CHAR(34)&amp;": "&amp;SUBSTITUTE(TRIM(ROUND(IFERROR(CriteriTecnici!$O1272*1,IFERROR(NUMBERVALUE(CriteriTecnici!$O1272,".",","),IFERROR(NUMBERVALUE(CriteriTecnici!$O1272,",","."),0))),4)&amp;""),",",".")&amp;CHAR(125)&amp;IF(TRUE,",",""))</f>
        <v/>
      </c>
    </row>
    <row r="1374">
      <c r="A1374" s="82">
        <f>IF(CriteriTecnici!$A1273="","","    "&amp;CHAR(123)&amp;CHAR(34)&amp;"bidderId"&amp;CHAR(34)&amp;": "&amp;CHAR(34)&amp;SUBSTITUTE(CriteriTecnici!$A1273,CHAR(34),"'")&amp;CHAR(34)&amp;", "&amp;CHAR(34)&amp;"lotId"&amp;CHAR(34)&amp;": "&amp;CHAR(34)&amp;SUBSTITUTE(CriteriTecnici!$C1273,CHAR(34),"'")&amp;CHAR(34)&amp;", "&amp;CHAR(34)&amp;"criterionId"&amp;CHAR(34)&amp;": "&amp;CHAR(34)&amp;SUBSTITUTE(CriteriTecnici!$D1273,CHAR(34),"'")&amp;CHAR(34)&amp;", "&amp;CHAR(34)&amp;"kind"&amp;CHAR(34)&amp;": "&amp;CHAR(34)&amp;SUBSTITUTE(CriteriTecnici!$F1273,CHAR(34),"'")&amp;CHAR(34)&amp;", "&amp;CHAR(34)&amp;"value"&amp;CHAR(34)&amp;": "&amp;SUBSTITUTE(TRIM(ROUND(IFERROR(CriteriTecnici!$N1273*1,IFERROR(NUMBERVALUE(CriteriTecnici!$N1273,".",","),IFERROR(NUMBERVALUE(CriteriTecnici!$N1273,",","."),0))),4)&amp;""),",",".")&amp;", "&amp;CHAR(34)&amp;"numerator"&amp;CHAR(34)&amp;": "&amp;SUBSTITUTE(TRIM(ROUND(IFERROR(CriteriTecnici!$K1273*1,IFERROR(NUMBERVALUE(CriteriTecnici!$K1273,".",","),IFERROR(NUMBERVALUE(CriteriTecnici!$K1273,",","."),0))),4)&amp;""),",",".")&amp;", "&amp;CHAR(34)&amp;"denominator"&amp;CHAR(34)&amp;": "&amp;SUBSTITUTE(TRIM(ROUND(IFERROR(CriteriTecnici!$L1273*1,IFERROR(NUMBERVALUE(CriteriTecnici!$L1273,".",","),IFERROR(NUMBERVALUE(CriteriTecnici!$L1273,",","."),0))),4)&amp;""),",",".")&amp;", "&amp;CHAR(34)&amp;"flag"&amp;CHAR(34)&amp;": "&amp;SUBSTITUTE(TRIM(ROUND(IFERROR(CriteriTecnici!$M1273*1,IFERROR(NUMBERVALUE(CriteriTecnici!$M1273,".",","),IFERROR(NUMBERVALUE(CriteriTecnici!$M1273,",","."),0))),4)&amp;""),",",".")&amp;", "&amp;CHAR(34)&amp;"rawScore"&amp;CHAR(34)&amp;": "&amp;SUBSTITUTE(TRIM(ROUND(IFERROR(CriteriTecnici!$O1273*1,IFERROR(NUMBERVALUE(CriteriTecnici!$O1273,".",","),IFERROR(NUMBERVALUE(CriteriTecnici!$O1273,",","."),0))),4)&amp;""),",",".")&amp;CHAR(125)&amp;IF(TRUE,",",""))</f>
        <v/>
      </c>
    </row>
    <row r="1375">
      <c r="A1375" s="82">
        <f>IF(CriteriTecnici!$A1274="","","    "&amp;CHAR(123)&amp;CHAR(34)&amp;"bidderId"&amp;CHAR(34)&amp;": "&amp;CHAR(34)&amp;SUBSTITUTE(CriteriTecnici!$A1274,CHAR(34),"'")&amp;CHAR(34)&amp;", "&amp;CHAR(34)&amp;"lotId"&amp;CHAR(34)&amp;": "&amp;CHAR(34)&amp;SUBSTITUTE(CriteriTecnici!$C1274,CHAR(34),"'")&amp;CHAR(34)&amp;", "&amp;CHAR(34)&amp;"criterionId"&amp;CHAR(34)&amp;": "&amp;CHAR(34)&amp;SUBSTITUTE(CriteriTecnici!$D1274,CHAR(34),"'")&amp;CHAR(34)&amp;", "&amp;CHAR(34)&amp;"kind"&amp;CHAR(34)&amp;": "&amp;CHAR(34)&amp;SUBSTITUTE(CriteriTecnici!$F1274,CHAR(34),"'")&amp;CHAR(34)&amp;", "&amp;CHAR(34)&amp;"value"&amp;CHAR(34)&amp;": "&amp;SUBSTITUTE(TRIM(ROUND(IFERROR(CriteriTecnici!$N1274*1,IFERROR(NUMBERVALUE(CriteriTecnici!$N1274,".",","),IFERROR(NUMBERVALUE(CriteriTecnici!$N1274,",","."),0))),4)&amp;""),",",".")&amp;", "&amp;CHAR(34)&amp;"numerator"&amp;CHAR(34)&amp;": "&amp;SUBSTITUTE(TRIM(ROUND(IFERROR(CriteriTecnici!$K1274*1,IFERROR(NUMBERVALUE(CriteriTecnici!$K1274,".",","),IFERROR(NUMBERVALUE(CriteriTecnici!$K1274,",","."),0))),4)&amp;""),",",".")&amp;", "&amp;CHAR(34)&amp;"denominator"&amp;CHAR(34)&amp;": "&amp;SUBSTITUTE(TRIM(ROUND(IFERROR(CriteriTecnici!$L1274*1,IFERROR(NUMBERVALUE(CriteriTecnici!$L1274,".",","),IFERROR(NUMBERVALUE(CriteriTecnici!$L1274,",","."),0))),4)&amp;""),",",".")&amp;", "&amp;CHAR(34)&amp;"flag"&amp;CHAR(34)&amp;": "&amp;SUBSTITUTE(TRIM(ROUND(IFERROR(CriteriTecnici!$M1274*1,IFERROR(NUMBERVALUE(CriteriTecnici!$M1274,".",","),IFERROR(NUMBERVALUE(CriteriTecnici!$M1274,",","."),0))),4)&amp;""),",",".")&amp;", "&amp;CHAR(34)&amp;"rawScore"&amp;CHAR(34)&amp;": "&amp;SUBSTITUTE(TRIM(ROUND(IFERROR(CriteriTecnici!$O1274*1,IFERROR(NUMBERVALUE(CriteriTecnici!$O1274,".",","),IFERROR(NUMBERVALUE(CriteriTecnici!$O1274,",","."),0))),4)&amp;""),",",".")&amp;CHAR(125)&amp;IF(TRUE,",",""))</f>
        <v/>
      </c>
    </row>
    <row r="1376">
      <c r="A1376" s="82">
        <f>IF(CriteriTecnici!$A1275="","","    "&amp;CHAR(123)&amp;CHAR(34)&amp;"bidderId"&amp;CHAR(34)&amp;": "&amp;CHAR(34)&amp;SUBSTITUTE(CriteriTecnici!$A1275,CHAR(34),"'")&amp;CHAR(34)&amp;", "&amp;CHAR(34)&amp;"lotId"&amp;CHAR(34)&amp;": "&amp;CHAR(34)&amp;SUBSTITUTE(CriteriTecnici!$C1275,CHAR(34),"'")&amp;CHAR(34)&amp;", "&amp;CHAR(34)&amp;"criterionId"&amp;CHAR(34)&amp;": "&amp;CHAR(34)&amp;SUBSTITUTE(CriteriTecnici!$D1275,CHAR(34),"'")&amp;CHAR(34)&amp;", "&amp;CHAR(34)&amp;"kind"&amp;CHAR(34)&amp;": "&amp;CHAR(34)&amp;SUBSTITUTE(CriteriTecnici!$F1275,CHAR(34),"'")&amp;CHAR(34)&amp;", "&amp;CHAR(34)&amp;"value"&amp;CHAR(34)&amp;": "&amp;SUBSTITUTE(TRIM(ROUND(IFERROR(CriteriTecnici!$N1275*1,IFERROR(NUMBERVALUE(CriteriTecnici!$N1275,".",","),IFERROR(NUMBERVALUE(CriteriTecnici!$N1275,",","."),0))),4)&amp;""),",",".")&amp;", "&amp;CHAR(34)&amp;"numerator"&amp;CHAR(34)&amp;": "&amp;SUBSTITUTE(TRIM(ROUND(IFERROR(CriteriTecnici!$K1275*1,IFERROR(NUMBERVALUE(CriteriTecnici!$K1275,".",","),IFERROR(NUMBERVALUE(CriteriTecnici!$K1275,",","."),0))),4)&amp;""),",",".")&amp;", "&amp;CHAR(34)&amp;"denominator"&amp;CHAR(34)&amp;": "&amp;SUBSTITUTE(TRIM(ROUND(IFERROR(CriteriTecnici!$L1275*1,IFERROR(NUMBERVALUE(CriteriTecnici!$L1275,".",","),IFERROR(NUMBERVALUE(CriteriTecnici!$L1275,",","."),0))),4)&amp;""),",",".")&amp;", "&amp;CHAR(34)&amp;"flag"&amp;CHAR(34)&amp;": "&amp;SUBSTITUTE(TRIM(ROUND(IFERROR(CriteriTecnici!$M1275*1,IFERROR(NUMBERVALUE(CriteriTecnici!$M1275,".",","),IFERROR(NUMBERVALUE(CriteriTecnici!$M1275,",","."),0))),4)&amp;""),",",".")&amp;", "&amp;CHAR(34)&amp;"rawScore"&amp;CHAR(34)&amp;": "&amp;SUBSTITUTE(TRIM(ROUND(IFERROR(CriteriTecnici!$O1275*1,IFERROR(NUMBERVALUE(CriteriTecnici!$O1275,".",","),IFERROR(NUMBERVALUE(CriteriTecnici!$O1275,",","."),0))),4)&amp;""),",",".")&amp;CHAR(125)&amp;IF(COUNTA(Offerte!$A43:$A$81)&gt;0,",",""))</f>
        <v/>
      </c>
    </row>
    <row r="1377">
      <c r="A1377" s="82">
        <f>IF(CriteriTecnici!$A1276="","","    "&amp;CHAR(123)&amp;CHAR(34)&amp;"bidderId"&amp;CHAR(34)&amp;": "&amp;CHAR(34)&amp;SUBSTITUTE(CriteriTecnici!$A1276,CHAR(34),"'")&amp;CHAR(34)&amp;", "&amp;CHAR(34)&amp;"lotId"&amp;CHAR(34)&amp;": "&amp;CHAR(34)&amp;SUBSTITUTE(CriteriTecnici!$C1276,CHAR(34),"'")&amp;CHAR(34)&amp;", "&amp;CHAR(34)&amp;"criterionId"&amp;CHAR(34)&amp;": "&amp;CHAR(34)&amp;SUBSTITUTE(CriteriTecnici!$D1276,CHAR(34),"'")&amp;CHAR(34)&amp;", "&amp;CHAR(34)&amp;"kind"&amp;CHAR(34)&amp;": "&amp;CHAR(34)&amp;SUBSTITUTE(CriteriTecnici!$F1276,CHAR(34),"'")&amp;CHAR(34)&amp;", "&amp;CHAR(34)&amp;"value"&amp;CHAR(34)&amp;": "&amp;SUBSTITUTE(TRIM(ROUND(IFERROR(CriteriTecnici!$N1276*1,IFERROR(NUMBERVALUE(CriteriTecnici!$N1276,".",","),IFERROR(NUMBERVALUE(CriteriTecnici!$N1276,",","."),0))),4)&amp;""),",",".")&amp;", "&amp;CHAR(34)&amp;"numerator"&amp;CHAR(34)&amp;": "&amp;SUBSTITUTE(TRIM(ROUND(IFERROR(CriteriTecnici!$K1276*1,IFERROR(NUMBERVALUE(CriteriTecnici!$K1276,".",","),IFERROR(NUMBERVALUE(CriteriTecnici!$K1276,",","."),0))),4)&amp;""),",",".")&amp;", "&amp;CHAR(34)&amp;"denominator"&amp;CHAR(34)&amp;": "&amp;SUBSTITUTE(TRIM(ROUND(IFERROR(CriteriTecnici!$L1276*1,IFERROR(NUMBERVALUE(CriteriTecnici!$L1276,".",","),IFERROR(NUMBERVALUE(CriteriTecnici!$L1276,",","."),0))),4)&amp;""),",",".")&amp;", "&amp;CHAR(34)&amp;"flag"&amp;CHAR(34)&amp;": "&amp;SUBSTITUTE(TRIM(ROUND(IFERROR(CriteriTecnici!$M1276*1,IFERROR(NUMBERVALUE(CriteriTecnici!$M1276,".",","),IFERROR(NUMBERVALUE(CriteriTecnici!$M1276,",","."),0))),4)&amp;""),",",".")&amp;", "&amp;CHAR(34)&amp;"rawScore"&amp;CHAR(34)&amp;": "&amp;SUBSTITUTE(TRIM(ROUND(IFERROR(CriteriTecnici!$O1276*1,IFERROR(NUMBERVALUE(CriteriTecnici!$O1276,".",","),IFERROR(NUMBERVALUE(CriteriTecnici!$O1276,",","."),0))),4)&amp;""),",",".")&amp;CHAR(125)&amp;IF(TRUE,",",""))</f>
        <v/>
      </c>
    </row>
    <row r="1378">
      <c r="A1378" s="82">
        <f>IF(CriteriTecnici!$A1277="","","    "&amp;CHAR(123)&amp;CHAR(34)&amp;"bidderId"&amp;CHAR(34)&amp;": "&amp;CHAR(34)&amp;SUBSTITUTE(CriteriTecnici!$A1277,CHAR(34),"'")&amp;CHAR(34)&amp;", "&amp;CHAR(34)&amp;"lotId"&amp;CHAR(34)&amp;": "&amp;CHAR(34)&amp;SUBSTITUTE(CriteriTecnici!$C1277,CHAR(34),"'")&amp;CHAR(34)&amp;", "&amp;CHAR(34)&amp;"criterionId"&amp;CHAR(34)&amp;": "&amp;CHAR(34)&amp;SUBSTITUTE(CriteriTecnici!$D1277,CHAR(34),"'")&amp;CHAR(34)&amp;", "&amp;CHAR(34)&amp;"kind"&amp;CHAR(34)&amp;": "&amp;CHAR(34)&amp;SUBSTITUTE(CriteriTecnici!$F1277,CHAR(34),"'")&amp;CHAR(34)&amp;", "&amp;CHAR(34)&amp;"value"&amp;CHAR(34)&amp;": "&amp;SUBSTITUTE(TRIM(ROUND(IFERROR(CriteriTecnici!$N1277*1,IFERROR(NUMBERVALUE(CriteriTecnici!$N1277,".",","),IFERROR(NUMBERVALUE(CriteriTecnici!$N1277,",","."),0))),4)&amp;""),",",".")&amp;", "&amp;CHAR(34)&amp;"numerator"&amp;CHAR(34)&amp;": "&amp;SUBSTITUTE(TRIM(ROUND(IFERROR(CriteriTecnici!$K1277*1,IFERROR(NUMBERVALUE(CriteriTecnici!$K1277,".",","),IFERROR(NUMBERVALUE(CriteriTecnici!$K1277,",","."),0))),4)&amp;""),",",".")&amp;", "&amp;CHAR(34)&amp;"denominator"&amp;CHAR(34)&amp;": "&amp;SUBSTITUTE(TRIM(ROUND(IFERROR(CriteriTecnici!$L1277*1,IFERROR(NUMBERVALUE(CriteriTecnici!$L1277,".",","),IFERROR(NUMBERVALUE(CriteriTecnici!$L1277,",","."),0))),4)&amp;""),",",".")&amp;", "&amp;CHAR(34)&amp;"flag"&amp;CHAR(34)&amp;": "&amp;SUBSTITUTE(TRIM(ROUND(IFERROR(CriteriTecnici!$M1277*1,IFERROR(NUMBERVALUE(CriteriTecnici!$M1277,".",","),IFERROR(NUMBERVALUE(CriteriTecnici!$M1277,",","."),0))),4)&amp;""),",",".")&amp;", "&amp;CHAR(34)&amp;"rawScore"&amp;CHAR(34)&amp;": "&amp;SUBSTITUTE(TRIM(ROUND(IFERROR(CriteriTecnici!$O1277*1,IFERROR(NUMBERVALUE(CriteriTecnici!$O1277,".",","),IFERROR(NUMBERVALUE(CriteriTecnici!$O1277,",","."),0))),4)&amp;""),",",".")&amp;CHAR(125)&amp;IF(TRUE,",",""))</f>
        <v/>
      </c>
    </row>
    <row r="1379">
      <c r="A1379" s="82">
        <f>IF(CriteriTecnici!$A1278="","","    "&amp;CHAR(123)&amp;CHAR(34)&amp;"bidderId"&amp;CHAR(34)&amp;": "&amp;CHAR(34)&amp;SUBSTITUTE(CriteriTecnici!$A1278,CHAR(34),"'")&amp;CHAR(34)&amp;", "&amp;CHAR(34)&amp;"lotId"&amp;CHAR(34)&amp;": "&amp;CHAR(34)&amp;SUBSTITUTE(CriteriTecnici!$C1278,CHAR(34),"'")&amp;CHAR(34)&amp;", "&amp;CHAR(34)&amp;"criterionId"&amp;CHAR(34)&amp;": "&amp;CHAR(34)&amp;SUBSTITUTE(CriteriTecnici!$D1278,CHAR(34),"'")&amp;CHAR(34)&amp;", "&amp;CHAR(34)&amp;"kind"&amp;CHAR(34)&amp;": "&amp;CHAR(34)&amp;SUBSTITUTE(CriteriTecnici!$F1278,CHAR(34),"'")&amp;CHAR(34)&amp;", "&amp;CHAR(34)&amp;"value"&amp;CHAR(34)&amp;": "&amp;SUBSTITUTE(TRIM(ROUND(IFERROR(CriteriTecnici!$N1278*1,IFERROR(NUMBERVALUE(CriteriTecnici!$N1278,".",","),IFERROR(NUMBERVALUE(CriteriTecnici!$N1278,",","."),0))),4)&amp;""),",",".")&amp;", "&amp;CHAR(34)&amp;"numerator"&amp;CHAR(34)&amp;": "&amp;SUBSTITUTE(TRIM(ROUND(IFERROR(CriteriTecnici!$K1278*1,IFERROR(NUMBERVALUE(CriteriTecnici!$K1278,".",","),IFERROR(NUMBERVALUE(CriteriTecnici!$K1278,",","."),0))),4)&amp;""),",",".")&amp;", "&amp;CHAR(34)&amp;"denominator"&amp;CHAR(34)&amp;": "&amp;SUBSTITUTE(TRIM(ROUND(IFERROR(CriteriTecnici!$L1278*1,IFERROR(NUMBERVALUE(CriteriTecnici!$L1278,".",","),IFERROR(NUMBERVALUE(CriteriTecnici!$L1278,",","."),0))),4)&amp;""),",",".")&amp;", "&amp;CHAR(34)&amp;"flag"&amp;CHAR(34)&amp;": "&amp;SUBSTITUTE(TRIM(ROUND(IFERROR(CriteriTecnici!$M1278*1,IFERROR(NUMBERVALUE(CriteriTecnici!$M1278,".",","),IFERROR(NUMBERVALUE(CriteriTecnici!$M1278,",","."),0))),4)&amp;""),",",".")&amp;", "&amp;CHAR(34)&amp;"rawScore"&amp;CHAR(34)&amp;": "&amp;SUBSTITUTE(TRIM(ROUND(IFERROR(CriteriTecnici!$O1278*1,IFERROR(NUMBERVALUE(CriteriTecnici!$O1278,".",","),IFERROR(NUMBERVALUE(CriteriTecnici!$O1278,",","."),0))),4)&amp;""),",",".")&amp;CHAR(125)&amp;IF(TRUE,",",""))</f>
        <v/>
      </c>
    </row>
    <row r="1380">
      <c r="A1380" s="82">
        <f>IF(CriteriTecnici!$A1279="","","    "&amp;CHAR(123)&amp;CHAR(34)&amp;"bidderId"&amp;CHAR(34)&amp;": "&amp;CHAR(34)&amp;SUBSTITUTE(CriteriTecnici!$A1279,CHAR(34),"'")&amp;CHAR(34)&amp;", "&amp;CHAR(34)&amp;"lotId"&amp;CHAR(34)&amp;": "&amp;CHAR(34)&amp;SUBSTITUTE(CriteriTecnici!$C1279,CHAR(34),"'")&amp;CHAR(34)&amp;", "&amp;CHAR(34)&amp;"criterionId"&amp;CHAR(34)&amp;": "&amp;CHAR(34)&amp;SUBSTITUTE(CriteriTecnici!$D1279,CHAR(34),"'")&amp;CHAR(34)&amp;", "&amp;CHAR(34)&amp;"kind"&amp;CHAR(34)&amp;": "&amp;CHAR(34)&amp;SUBSTITUTE(CriteriTecnici!$F1279,CHAR(34),"'")&amp;CHAR(34)&amp;", "&amp;CHAR(34)&amp;"value"&amp;CHAR(34)&amp;": "&amp;SUBSTITUTE(TRIM(ROUND(IFERROR(CriteriTecnici!$N1279*1,IFERROR(NUMBERVALUE(CriteriTecnici!$N1279,".",","),IFERROR(NUMBERVALUE(CriteriTecnici!$N1279,",","."),0))),4)&amp;""),",",".")&amp;", "&amp;CHAR(34)&amp;"numerator"&amp;CHAR(34)&amp;": "&amp;SUBSTITUTE(TRIM(ROUND(IFERROR(CriteriTecnici!$K1279*1,IFERROR(NUMBERVALUE(CriteriTecnici!$K1279,".",","),IFERROR(NUMBERVALUE(CriteriTecnici!$K1279,",","."),0))),4)&amp;""),",",".")&amp;", "&amp;CHAR(34)&amp;"denominator"&amp;CHAR(34)&amp;": "&amp;SUBSTITUTE(TRIM(ROUND(IFERROR(CriteriTecnici!$L1279*1,IFERROR(NUMBERVALUE(CriteriTecnici!$L1279,".",","),IFERROR(NUMBERVALUE(CriteriTecnici!$L1279,",","."),0))),4)&amp;""),",",".")&amp;", "&amp;CHAR(34)&amp;"flag"&amp;CHAR(34)&amp;": "&amp;SUBSTITUTE(TRIM(ROUND(IFERROR(CriteriTecnici!$M1279*1,IFERROR(NUMBERVALUE(CriteriTecnici!$M1279,".",","),IFERROR(NUMBERVALUE(CriteriTecnici!$M1279,",","."),0))),4)&amp;""),",",".")&amp;", "&amp;CHAR(34)&amp;"rawScore"&amp;CHAR(34)&amp;": "&amp;SUBSTITUTE(TRIM(ROUND(IFERROR(CriteriTecnici!$O1279*1,IFERROR(NUMBERVALUE(CriteriTecnici!$O1279,".",","),IFERROR(NUMBERVALUE(CriteriTecnici!$O1279,",","."),0))),4)&amp;""),",",".")&amp;CHAR(125)&amp;IF(TRUE,",",""))</f>
        <v/>
      </c>
    </row>
    <row r="1381">
      <c r="A1381" s="82">
        <f>IF(CriteriTecnici!$A1280="","","    "&amp;CHAR(123)&amp;CHAR(34)&amp;"bidderId"&amp;CHAR(34)&amp;": "&amp;CHAR(34)&amp;SUBSTITUTE(CriteriTecnici!$A1280,CHAR(34),"'")&amp;CHAR(34)&amp;", "&amp;CHAR(34)&amp;"lotId"&amp;CHAR(34)&amp;": "&amp;CHAR(34)&amp;SUBSTITUTE(CriteriTecnici!$C1280,CHAR(34),"'")&amp;CHAR(34)&amp;", "&amp;CHAR(34)&amp;"criterionId"&amp;CHAR(34)&amp;": "&amp;CHAR(34)&amp;SUBSTITUTE(CriteriTecnici!$D1280,CHAR(34),"'")&amp;CHAR(34)&amp;", "&amp;CHAR(34)&amp;"kind"&amp;CHAR(34)&amp;": "&amp;CHAR(34)&amp;SUBSTITUTE(CriteriTecnici!$F1280,CHAR(34),"'")&amp;CHAR(34)&amp;", "&amp;CHAR(34)&amp;"value"&amp;CHAR(34)&amp;": "&amp;SUBSTITUTE(TRIM(ROUND(IFERROR(CriteriTecnici!$N1280*1,IFERROR(NUMBERVALUE(CriteriTecnici!$N1280,".",","),IFERROR(NUMBERVALUE(CriteriTecnici!$N1280,",","."),0))),4)&amp;""),",",".")&amp;", "&amp;CHAR(34)&amp;"numerator"&amp;CHAR(34)&amp;": "&amp;SUBSTITUTE(TRIM(ROUND(IFERROR(CriteriTecnici!$K1280*1,IFERROR(NUMBERVALUE(CriteriTecnici!$K1280,".",","),IFERROR(NUMBERVALUE(CriteriTecnici!$K1280,",","."),0))),4)&amp;""),",",".")&amp;", "&amp;CHAR(34)&amp;"denominator"&amp;CHAR(34)&amp;": "&amp;SUBSTITUTE(TRIM(ROUND(IFERROR(CriteriTecnici!$L1280*1,IFERROR(NUMBERVALUE(CriteriTecnici!$L1280,".",","),IFERROR(NUMBERVALUE(CriteriTecnici!$L1280,",","."),0))),4)&amp;""),",",".")&amp;", "&amp;CHAR(34)&amp;"flag"&amp;CHAR(34)&amp;": "&amp;SUBSTITUTE(TRIM(ROUND(IFERROR(CriteriTecnici!$M1280*1,IFERROR(NUMBERVALUE(CriteriTecnici!$M1280,".",","),IFERROR(NUMBERVALUE(CriteriTecnici!$M1280,",","."),0))),4)&amp;""),",",".")&amp;", "&amp;CHAR(34)&amp;"rawScore"&amp;CHAR(34)&amp;": "&amp;SUBSTITUTE(TRIM(ROUND(IFERROR(CriteriTecnici!$O1280*1,IFERROR(NUMBERVALUE(CriteriTecnici!$O1280,".",","),IFERROR(NUMBERVALUE(CriteriTecnici!$O1280,",","."),0))),4)&amp;""),",",".")&amp;CHAR(125)&amp;IF(TRUE,",",""))</f>
        <v/>
      </c>
    </row>
    <row r="1382">
      <c r="A1382" s="82">
        <f>IF(CriteriTecnici!$A1281="","","    "&amp;CHAR(123)&amp;CHAR(34)&amp;"bidderId"&amp;CHAR(34)&amp;": "&amp;CHAR(34)&amp;SUBSTITUTE(CriteriTecnici!$A1281,CHAR(34),"'")&amp;CHAR(34)&amp;", "&amp;CHAR(34)&amp;"lotId"&amp;CHAR(34)&amp;": "&amp;CHAR(34)&amp;SUBSTITUTE(CriteriTecnici!$C1281,CHAR(34),"'")&amp;CHAR(34)&amp;", "&amp;CHAR(34)&amp;"criterionId"&amp;CHAR(34)&amp;": "&amp;CHAR(34)&amp;SUBSTITUTE(CriteriTecnici!$D1281,CHAR(34),"'")&amp;CHAR(34)&amp;", "&amp;CHAR(34)&amp;"kind"&amp;CHAR(34)&amp;": "&amp;CHAR(34)&amp;SUBSTITUTE(CriteriTecnici!$F1281,CHAR(34),"'")&amp;CHAR(34)&amp;", "&amp;CHAR(34)&amp;"value"&amp;CHAR(34)&amp;": "&amp;SUBSTITUTE(TRIM(ROUND(IFERROR(CriteriTecnici!$N1281*1,IFERROR(NUMBERVALUE(CriteriTecnici!$N1281,".",","),IFERROR(NUMBERVALUE(CriteriTecnici!$N1281,",","."),0))),4)&amp;""),",",".")&amp;", "&amp;CHAR(34)&amp;"numerator"&amp;CHAR(34)&amp;": "&amp;SUBSTITUTE(TRIM(ROUND(IFERROR(CriteriTecnici!$K1281*1,IFERROR(NUMBERVALUE(CriteriTecnici!$K1281,".",","),IFERROR(NUMBERVALUE(CriteriTecnici!$K1281,",","."),0))),4)&amp;""),",",".")&amp;", "&amp;CHAR(34)&amp;"denominator"&amp;CHAR(34)&amp;": "&amp;SUBSTITUTE(TRIM(ROUND(IFERROR(CriteriTecnici!$L1281*1,IFERROR(NUMBERVALUE(CriteriTecnici!$L1281,".",","),IFERROR(NUMBERVALUE(CriteriTecnici!$L1281,",","."),0))),4)&amp;""),",",".")&amp;", "&amp;CHAR(34)&amp;"flag"&amp;CHAR(34)&amp;": "&amp;SUBSTITUTE(TRIM(ROUND(IFERROR(CriteriTecnici!$M1281*1,IFERROR(NUMBERVALUE(CriteriTecnici!$M1281,".",","),IFERROR(NUMBERVALUE(CriteriTecnici!$M1281,",","."),0))),4)&amp;""),",",".")&amp;", "&amp;CHAR(34)&amp;"rawScore"&amp;CHAR(34)&amp;": "&amp;SUBSTITUTE(TRIM(ROUND(IFERROR(CriteriTecnici!$O1281*1,IFERROR(NUMBERVALUE(CriteriTecnici!$O1281,".",","),IFERROR(NUMBERVALUE(CriteriTecnici!$O1281,",","."),0))),4)&amp;""),",",".")&amp;CHAR(125)&amp;IF(TRUE,",",""))</f>
        <v/>
      </c>
    </row>
    <row r="1383">
      <c r="A1383" s="82">
        <f>IF(CriteriTecnici!$A1282="","","    "&amp;CHAR(123)&amp;CHAR(34)&amp;"bidderId"&amp;CHAR(34)&amp;": "&amp;CHAR(34)&amp;SUBSTITUTE(CriteriTecnici!$A1282,CHAR(34),"'")&amp;CHAR(34)&amp;", "&amp;CHAR(34)&amp;"lotId"&amp;CHAR(34)&amp;": "&amp;CHAR(34)&amp;SUBSTITUTE(CriteriTecnici!$C1282,CHAR(34),"'")&amp;CHAR(34)&amp;", "&amp;CHAR(34)&amp;"criterionId"&amp;CHAR(34)&amp;": "&amp;CHAR(34)&amp;SUBSTITUTE(CriteriTecnici!$D1282,CHAR(34),"'")&amp;CHAR(34)&amp;", "&amp;CHAR(34)&amp;"kind"&amp;CHAR(34)&amp;": "&amp;CHAR(34)&amp;SUBSTITUTE(CriteriTecnici!$F1282,CHAR(34),"'")&amp;CHAR(34)&amp;", "&amp;CHAR(34)&amp;"value"&amp;CHAR(34)&amp;": "&amp;SUBSTITUTE(TRIM(ROUND(IFERROR(CriteriTecnici!$N1282*1,IFERROR(NUMBERVALUE(CriteriTecnici!$N1282,".",","),IFERROR(NUMBERVALUE(CriteriTecnici!$N1282,",","."),0))),4)&amp;""),",",".")&amp;", "&amp;CHAR(34)&amp;"numerator"&amp;CHAR(34)&amp;": "&amp;SUBSTITUTE(TRIM(ROUND(IFERROR(CriteriTecnici!$K1282*1,IFERROR(NUMBERVALUE(CriteriTecnici!$K1282,".",","),IFERROR(NUMBERVALUE(CriteriTecnici!$K1282,",","."),0))),4)&amp;""),",",".")&amp;", "&amp;CHAR(34)&amp;"denominator"&amp;CHAR(34)&amp;": "&amp;SUBSTITUTE(TRIM(ROUND(IFERROR(CriteriTecnici!$L1282*1,IFERROR(NUMBERVALUE(CriteriTecnici!$L1282,".",","),IFERROR(NUMBERVALUE(CriteriTecnici!$L1282,",","."),0))),4)&amp;""),",",".")&amp;", "&amp;CHAR(34)&amp;"flag"&amp;CHAR(34)&amp;": "&amp;SUBSTITUTE(TRIM(ROUND(IFERROR(CriteriTecnici!$M1282*1,IFERROR(NUMBERVALUE(CriteriTecnici!$M1282,".",","),IFERROR(NUMBERVALUE(CriteriTecnici!$M1282,",","."),0))),4)&amp;""),",",".")&amp;", "&amp;CHAR(34)&amp;"rawScore"&amp;CHAR(34)&amp;": "&amp;SUBSTITUTE(TRIM(ROUND(IFERROR(CriteriTecnici!$O1282*1,IFERROR(NUMBERVALUE(CriteriTecnici!$O1282,".",","),IFERROR(NUMBERVALUE(CriteriTecnici!$O1282,",","."),0))),4)&amp;""),",",".")&amp;CHAR(125)&amp;IF(TRUE,",",""))</f>
        <v/>
      </c>
    </row>
    <row r="1384">
      <c r="A1384" s="82">
        <f>IF(CriteriTecnici!$A1283="","","    "&amp;CHAR(123)&amp;CHAR(34)&amp;"bidderId"&amp;CHAR(34)&amp;": "&amp;CHAR(34)&amp;SUBSTITUTE(CriteriTecnici!$A1283,CHAR(34),"'")&amp;CHAR(34)&amp;", "&amp;CHAR(34)&amp;"lotId"&amp;CHAR(34)&amp;": "&amp;CHAR(34)&amp;SUBSTITUTE(CriteriTecnici!$C1283,CHAR(34),"'")&amp;CHAR(34)&amp;", "&amp;CHAR(34)&amp;"criterionId"&amp;CHAR(34)&amp;": "&amp;CHAR(34)&amp;SUBSTITUTE(CriteriTecnici!$D1283,CHAR(34),"'")&amp;CHAR(34)&amp;", "&amp;CHAR(34)&amp;"kind"&amp;CHAR(34)&amp;": "&amp;CHAR(34)&amp;SUBSTITUTE(CriteriTecnici!$F1283,CHAR(34),"'")&amp;CHAR(34)&amp;", "&amp;CHAR(34)&amp;"value"&amp;CHAR(34)&amp;": "&amp;SUBSTITUTE(TRIM(ROUND(IFERROR(CriteriTecnici!$N1283*1,IFERROR(NUMBERVALUE(CriteriTecnici!$N1283,".",","),IFERROR(NUMBERVALUE(CriteriTecnici!$N1283,",","."),0))),4)&amp;""),",",".")&amp;", "&amp;CHAR(34)&amp;"numerator"&amp;CHAR(34)&amp;": "&amp;SUBSTITUTE(TRIM(ROUND(IFERROR(CriteriTecnici!$K1283*1,IFERROR(NUMBERVALUE(CriteriTecnici!$K1283,".",","),IFERROR(NUMBERVALUE(CriteriTecnici!$K1283,",","."),0))),4)&amp;""),",",".")&amp;", "&amp;CHAR(34)&amp;"denominator"&amp;CHAR(34)&amp;": "&amp;SUBSTITUTE(TRIM(ROUND(IFERROR(CriteriTecnici!$L1283*1,IFERROR(NUMBERVALUE(CriteriTecnici!$L1283,".",","),IFERROR(NUMBERVALUE(CriteriTecnici!$L1283,",","."),0))),4)&amp;""),",",".")&amp;", "&amp;CHAR(34)&amp;"flag"&amp;CHAR(34)&amp;": "&amp;SUBSTITUTE(TRIM(ROUND(IFERROR(CriteriTecnici!$M1283*1,IFERROR(NUMBERVALUE(CriteriTecnici!$M1283,".",","),IFERROR(NUMBERVALUE(CriteriTecnici!$M1283,",","."),0))),4)&amp;""),",",".")&amp;", "&amp;CHAR(34)&amp;"rawScore"&amp;CHAR(34)&amp;": "&amp;SUBSTITUTE(TRIM(ROUND(IFERROR(CriteriTecnici!$O1283*1,IFERROR(NUMBERVALUE(CriteriTecnici!$O1283,".",","),IFERROR(NUMBERVALUE(CriteriTecnici!$O1283,",","."),0))),4)&amp;""),",",".")&amp;CHAR(125)&amp;IF(TRUE,",",""))</f>
        <v/>
      </c>
    </row>
    <row r="1385">
      <c r="A1385" s="82">
        <f>IF(CriteriTecnici!$A1284="","","    "&amp;CHAR(123)&amp;CHAR(34)&amp;"bidderId"&amp;CHAR(34)&amp;": "&amp;CHAR(34)&amp;SUBSTITUTE(CriteriTecnici!$A1284,CHAR(34),"'")&amp;CHAR(34)&amp;", "&amp;CHAR(34)&amp;"lotId"&amp;CHAR(34)&amp;": "&amp;CHAR(34)&amp;SUBSTITUTE(CriteriTecnici!$C1284,CHAR(34),"'")&amp;CHAR(34)&amp;", "&amp;CHAR(34)&amp;"criterionId"&amp;CHAR(34)&amp;": "&amp;CHAR(34)&amp;SUBSTITUTE(CriteriTecnici!$D1284,CHAR(34),"'")&amp;CHAR(34)&amp;", "&amp;CHAR(34)&amp;"kind"&amp;CHAR(34)&amp;": "&amp;CHAR(34)&amp;SUBSTITUTE(CriteriTecnici!$F1284,CHAR(34),"'")&amp;CHAR(34)&amp;", "&amp;CHAR(34)&amp;"value"&amp;CHAR(34)&amp;": "&amp;SUBSTITUTE(TRIM(ROUND(IFERROR(CriteriTecnici!$N1284*1,IFERROR(NUMBERVALUE(CriteriTecnici!$N1284,".",","),IFERROR(NUMBERVALUE(CriteriTecnici!$N1284,",","."),0))),4)&amp;""),",",".")&amp;", "&amp;CHAR(34)&amp;"numerator"&amp;CHAR(34)&amp;": "&amp;SUBSTITUTE(TRIM(ROUND(IFERROR(CriteriTecnici!$K1284*1,IFERROR(NUMBERVALUE(CriteriTecnici!$K1284,".",","),IFERROR(NUMBERVALUE(CriteriTecnici!$K1284,",","."),0))),4)&amp;""),",",".")&amp;", "&amp;CHAR(34)&amp;"denominator"&amp;CHAR(34)&amp;": "&amp;SUBSTITUTE(TRIM(ROUND(IFERROR(CriteriTecnici!$L1284*1,IFERROR(NUMBERVALUE(CriteriTecnici!$L1284,".",","),IFERROR(NUMBERVALUE(CriteriTecnici!$L1284,",","."),0))),4)&amp;""),",",".")&amp;", "&amp;CHAR(34)&amp;"flag"&amp;CHAR(34)&amp;": "&amp;SUBSTITUTE(TRIM(ROUND(IFERROR(CriteriTecnici!$M1284*1,IFERROR(NUMBERVALUE(CriteriTecnici!$M1284,".",","),IFERROR(NUMBERVALUE(CriteriTecnici!$M1284,",","."),0))),4)&amp;""),",",".")&amp;", "&amp;CHAR(34)&amp;"rawScore"&amp;CHAR(34)&amp;": "&amp;SUBSTITUTE(TRIM(ROUND(IFERROR(CriteriTecnici!$O1284*1,IFERROR(NUMBERVALUE(CriteriTecnici!$O1284,".",","),IFERROR(NUMBERVALUE(CriteriTecnici!$O1284,",","."),0))),4)&amp;""),",",".")&amp;CHAR(125)&amp;IF(TRUE,",",""))</f>
        <v/>
      </c>
    </row>
    <row r="1386">
      <c r="A1386" s="82">
        <f>IF(CriteriTecnici!$A1285="","","    "&amp;CHAR(123)&amp;CHAR(34)&amp;"bidderId"&amp;CHAR(34)&amp;": "&amp;CHAR(34)&amp;SUBSTITUTE(CriteriTecnici!$A1285,CHAR(34),"'")&amp;CHAR(34)&amp;", "&amp;CHAR(34)&amp;"lotId"&amp;CHAR(34)&amp;": "&amp;CHAR(34)&amp;SUBSTITUTE(CriteriTecnici!$C1285,CHAR(34),"'")&amp;CHAR(34)&amp;", "&amp;CHAR(34)&amp;"criterionId"&amp;CHAR(34)&amp;": "&amp;CHAR(34)&amp;SUBSTITUTE(CriteriTecnici!$D1285,CHAR(34),"'")&amp;CHAR(34)&amp;", "&amp;CHAR(34)&amp;"kind"&amp;CHAR(34)&amp;": "&amp;CHAR(34)&amp;SUBSTITUTE(CriteriTecnici!$F1285,CHAR(34),"'")&amp;CHAR(34)&amp;", "&amp;CHAR(34)&amp;"value"&amp;CHAR(34)&amp;": "&amp;SUBSTITUTE(TRIM(ROUND(IFERROR(CriteriTecnici!$N1285*1,IFERROR(NUMBERVALUE(CriteriTecnici!$N1285,".",","),IFERROR(NUMBERVALUE(CriteriTecnici!$N1285,",","."),0))),4)&amp;""),",",".")&amp;", "&amp;CHAR(34)&amp;"numerator"&amp;CHAR(34)&amp;": "&amp;SUBSTITUTE(TRIM(ROUND(IFERROR(CriteriTecnici!$K1285*1,IFERROR(NUMBERVALUE(CriteriTecnici!$K1285,".",","),IFERROR(NUMBERVALUE(CriteriTecnici!$K1285,",","."),0))),4)&amp;""),",",".")&amp;", "&amp;CHAR(34)&amp;"denominator"&amp;CHAR(34)&amp;": "&amp;SUBSTITUTE(TRIM(ROUND(IFERROR(CriteriTecnici!$L1285*1,IFERROR(NUMBERVALUE(CriteriTecnici!$L1285,".",","),IFERROR(NUMBERVALUE(CriteriTecnici!$L1285,",","."),0))),4)&amp;""),",",".")&amp;", "&amp;CHAR(34)&amp;"flag"&amp;CHAR(34)&amp;": "&amp;SUBSTITUTE(TRIM(ROUND(IFERROR(CriteriTecnici!$M1285*1,IFERROR(NUMBERVALUE(CriteriTecnici!$M1285,".",","),IFERROR(NUMBERVALUE(CriteriTecnici!$M1285,",","."),0))),4)&amp;""),",",".")&amp;", "&amp;CHAR(34)&amp;"rawScore"&amp;CHAR(34)&amp;": "&amp;SUBSTITUTE(TRIM(ROUND(IFERROR(CriteriTecnici!$O1285*1,IFERROR(NUMBERVALUE(CriteriTecnici!$O1285,".",","),IFERROR(NUMBERVALUE(CriteriTecnici!$O1285,",","."),0))),4)&amp;""),",",".")&amp;CHAR(125)&amp;IF(TRUE,",",""))</f>
        <v/>
      </c>
    </row>
    <row r="1387">
      <c r="A1387" s="82">
        <f>IF(CriteriTecnici!$A1286="","","    "&amp;CHAR(123)&amp;CHAR(34)&amp;"bidderId"&amp;CHAR(34)&amp;": "&amp;CHAR(34)&amp;SUBSTITUTE(CriteriTecnici!$A1286,CHAR(34),"'")&amp;CHAR(34)&amp;", "&amp;CHAR(34)&amp;"lotId"&amp;CHAR(34)&amp;": "&amp;CHAR(34)&amp;SUBSTITUTE(CriteriTecnici!$C1286,CHAR(34),"'")&amp;CHAR(34)&amp;", "&amp;CHAR(34)&amp;"criterionId"&amp;CHAR(34)&amp;": "&amp;CHAR(34)&amp;SUBSTITUTE(CriteriTecnici!$D1286,CHAR(34),"'")&amp;CHAR(34)&amp;", "&amp;CHAR(34)&amp;"kind"&amp;CHAR(34)&amp;": "&amp;CHAR(34)&amp;SUBSTITUTE(CriteriTecnici!$F1286,CHAR(34),"'")&amp;CHAR(34)&amp;", "&amp;CHAR(34)&amp;"value"&amp;CHAR(34)&amp;": "&amp;SUBSTITUTE(TRIM(ROUND(IFERROR(CriteriTecnici!$N1286*1,IFERROR(NUMBERVALUE(CriteriTecnici!$N1286,".",","),IFERROR(NUMBERVALUE(CriteriTecnici!$N1286,",","."),0))),4)&amp;""),",",".")&amp;", "&amp;CHAR(34)&amp;"numerator"&amp;CHAR(34)&amp;": "&amp;SUBSTITUTE(TRIM(ROUND(IFERROR(CriteriTecnici!$K1286*1,IFERROR(NUMBERVALUE(CriteriTecnici!$K1286,".",","),IFERROR(NUMBERVALUE(CriteriTecnici!$K1286,",","."),0))),4)&amp;""),",",".")&amp;", "&amp;CHAR(34)&amp;"denominator"&amp;CHAR(34)&amp;": "&amp;SUBSTITUTE(TRIM(ROUND(IFERROR(CriteriTecnici!$L1286*1,IFERROR(NUMBERVALUE(CriteriTecnici!$L1286,".",","),IFERROR(NUMBERVALUE(CriteriTecnici!$L1286,",","."),0))),4)&amp;""),",",".")&amp;", "&amp;CHAR(34)&amp;"flag"&amp;CHAR(34)&amp;": "&amp;SUBSTITUTE(TRIM(ROUND(IFERROR(CriteriTecnici!$M1286*1,IFERROR(NUMBERVALUE(CriteriTecnici!$M1286,".",","),IFERROR(NUMBERVALUE(CriteriTecnici!$M1286,",","."),0))),4)&amp;""),",",".")&amp;", "&amp;CHAR(34)&amp;"rawScore"&amp;CHAR(34)&amp;": "&amp;SUBSTITUTE(TRIM(ROUND(IFERROR(CriteriTecnici!$O1286*1,IFERROR(NUMBERVALUE(CriteriTecnici!$O1286,".",","),IFERROR(NUMBERVALUE(CriteriTecnici!$O1286,",","."),0))),4)&amp;""),",",".")&amp;CHAR(125)&amp;IF(TRUE,",",""))</f>
        <v/>
      </c>
    </row>
    <row r="1388">
      <c r="A1388" s="82">
        <f>IF(CriteriTecnici!$A1287="","","    "&amp;CHAR(123)&amp;CHAR(34)&amp;"bidderId"&amp;CHAR(34)&amp;": "&amp;CHAR(34)&amp;SUBSTITUTE(CriteriTecnici!$A1287,CHAR(34),"'")&amp;CHAR(34)&amp;", "&amp;CHAR(34)&amp;"lotId"&amp;CHAR(34)&amp;": "&amp;CHAR(34)&amp;SUBSTITUTE(CriteriTecnici!$C1287,CHAR(34),"'")&amp;CHAR(34)&amp;", "&amp;CHAR(34)&amp;"criterionId"&amp;CHAR(34)&amp;": "&amp;CHAR(34)&amp;SUBSTITUTE(CriteriTecnici!$D1287,CHAR(34),"'")&amp;CHAR(34)&amp;", "&amp;CHAR(34)&amp;"kind"&amp;CHAR(34)&amp;": "&amp;CHAR(34)&amp;SUBSTITUTE(CriteriTecnici!$F1287,CHAR(34),"'")&amp;CHAR(34)&amp;", "&amp;CHAR(34)&amp;"value"&amp;CHAR(34)&amp;": "&amp;SUBSTITUTE(TRIM(ROUND(IFERROR(CriteriTecnici!$N1287*1,IFERROR(NUMBERVALUE(CriteriTecnici!$N1287,".",","),IFERROR(NUMBERVALUE(CriteriTecnici!$N1287,",","."),0))),4)&amp;""),",",".")&amp;", "&amp;CHAR(34)&amp;"numerator"&amp;CHAR(34)&amp;": "&amp;SUBSTITUTE(TRIM(ROUND(IFERROR(CriteriTecnici!$K1287*1,IFERROR(NUMBERVALUE(CriteriTecnici!$K1287,".",","),IFERROR(NUMBERVALUE(CriteriTecnici!$K1287,",","."),0))),4)&amp;""),",",".")&amp;", "&amp;CHAR(34)&amp;"denominator"&amp;CHAR(34)&amp;": "&amp;SUBSTITUTE(TRIM(ROUND(IFERROR(CriteriTecnici!$L1287*1,IFERROR(NUMBERVALUE(CriteriTecnici!$L1287,".",","),IFERROR(NUMBERVALUE(CriteriTecnici!$L1287,",","."),0))),4)&amp;""),",",".")&amp;", "&amp;CHAR(34)&amp;"flag"&amp;CHAR(34)&amp;": "&amp;SUBSTITUTE(TRIM(ROUND(IFERROR(CriteriTecnici!$M1287*1,IFERROR(NUMBERVALUE(CriteriTecnici!$M1287,".",","),IFERROR(NUMBERVALUE(CriteriTecnici!$M1287,",","."),0))),4)&amp;""),",",".")&amp;", "&amp;CHAR(34)&amp;"rawScore"&amp;CHAR(34)&amp;": "&amp;SUBSTITUTE(TRIM(ROUND(IFERROR(CriteriTecnici!$O1287*1,IFERROR(NUMBERVALUE(CriteriTecnici!$O1287,".",","),IFERROR(NUMBERVALUE(CriteriTecnici!$O1287,",","."),0))),4)&amp;""),",",".")&amp;CHAR(125)&amp;IF(TRUE,",",""))</f>
        <v/>
      </c>
    </row>
    <row r="1389">
      <c r="A1389" s="82">
        <f>IF(CriteriTecnici!$A1288="","","    "&amp;CHAR(123)&amp;CHAR(34)&amp;"bidderId"&amp;CHAR(34)&amp;": "&amp;CHAR(34)&amp;SUBSTITUTE(CriteriTecnici!$A1288,CHAR(34),"'")&amp;CHAR(34)&amp;", "&amp;CHAR(34)&amp;"lotId"&amp;CHAR(34)&amp;": "&amp;CHAR(34)&amp;SUBSTITUTE(CriteriTecnici!$C1288,CHAR(34),"'")&amp;CHAR(34)&amp;", "&amp;CHAR(34)&amp;"criterionId"&amp;CHAR(34)&amp;": "&amp;CHAR(34)&amp;SUBSTITUTE(CriteriTecnici!$D1288,CHAR(34),"'")&amp;CHAR(34)&amp;", "&amp;CHAR(34)&amp;"kind"&amp;CHAR(34)&amp;": "&amp;CHAR(34)&amp;SUBSTITUTE(CriteriTecnici!$F1288,CHAR(34),"'")&amp;CHAR(34)&amp;", "&amp;CHAR(34)&amp;"value"&amp;CHAR(34)&amp;": "&amp;SUBSTITUTE(TRIM(ROUND(IFERROR(CriteriTecnici!$N1288*1,IFERROR(NUMBERVALUE(CriteriTecnici!$N1288,".",","),IFERROR(NUMBERVALUE(CriteriTecnici!$N1288,",","."),0))),4)&amp;""),",",".")&amp;", "&amp;CHAR(34)&amp;"numerator"&amp;CHAR(34)&amp;": "&amp;SUBSTITUTE(TRIM(ROUND(IFERROR(CriteriTecnici!$K1288*1,IFERROR(NUMBERVALUE(CriteriTecnici!$K1288,".",","),IFERROR(NUMBERVALUE(CriteriTecnici!$K1288,",","."),0))),4)&amp;""),",",".")&amp;", "&amp;CHAR(34)&amp;"denominator"&amp;CHAR(34)&amp;": "&amp;SUBSTITUTE(TRIM(ROUND(IFERROR(CriteriTecnici!$L1288*1,IFERROR(NUMBERVALUE(CriteriTecnici!$L1288,".",","),IFERROR(NUMBERVALUE(CriteriTecnici!$L1288,",","."),0))),4)&amp;""),",",".")&amp;", "&amp;CHAR(34)&amp;"flag"&amp;CHAR(34)&amp;": "&amp;SUBSTITUTE(TRIM(ROUND(IFERROR(CriteriTecnici!$M1288*1,IFERROR(NUMBERVALUE(CriteriTecnici!$M1288,".",","),IFERROR(NUMBERVALUE(CriteriTecnici!$M1288,",","."),0))),4)&amp;""),",",".")&amp;", "&amp;CHAR(34)&amp;"rawScore"&amp;CHAR(34)&amp;": "&amp;SUBSTITUTE(TRIM(ROUND(IFERROR(CriteriTecnici!$O1288*1,IFERROR(NUMBERVALUE(CriteriTecnici!$O1288,".",","),IFERROR(NUMBERVALUE(CriteriTecnici!$O1288,",","."),0))),4)&amp;""),",",".")&amp;CHAR(125)&amp;IF(TRUE,",",""))</f>
        <v/>
      </c>
    </row>
    <row r="1390">
      <c r="A1390" s="82">
        <f>IF(CriteriTecnici!$A1289="","","    "&amp;CHAR(123)&amp;CHAR(34)&amp;"bidderId"&amp;CHAR(34)&amp;": "&amp;CHAR(34)&amp;SUBSTITUTE(CriteriTecnici!$A1289,CHAR(34),"'")&amp;CHAR(34)&amp;", "&amp;CHAR(34)&amp;"lotId"&amp;CHAR(34)&amp;": "&amp;CHAR(34)&amp;SUBSTITUTE(CriteriTecnici!$C1289,CHAR(34),"'")&amp;CHAR(34)&amp;", "&amp;CHAR(34)&amp;"criterionId"&amp;CHAR(34)&amp;": "&amp;CHAR(34)&amp;SUBSTITUTE(CriteriTecnici!$D1289,CHAR(34),"'")&amp;CHAR(34)&amp;", "&amp;CHAR(34)&amp;"kind"&amp;CHAR(34)&amp;": "&amp;CHAR(34)&amp;SUBSTITUTE(CriteriTecnici!$F1289,CHAR(34),"'")&amp;CHAR(34)&amp;", "&amp;CHAR(34)&amp;"value"&amp;CHAR(34)&amp;": "&amp;SUBSTITUTE(TRIM(ROUND(IFERROR(CriteriTecnici!$N1289*1,IFERROR(NUMBERVALUE(CriteriTecnici!$N1289,".",","),IFERROR(NUMBERVALUE(CriteriTecnici!$N1289,",","."),0))),4)&amp;""),",",".")&amp;", "&amp;CHAR(34)&amp;"numerator"&amp;CHAR(34)&amp;": "&amp;SUBSTITUTE(TRIM(ROUND(IFERROR(CriteriTecnici!$K1289*1,IFERROR(NUMBERVALUE(CriteriTecnici!$K1289,".",","),IFERROR(NUMBERVALUE(CriteriTecnici!$K1289,",","."),0))),4)&amp;""),",",".")&amp;", "&amp;CHAR(34)&amp;"denominator"&amp;CHAR(34)&amp;": "&amp;SUBSTITUTE(TRIM(ROUND(IFERROR(CriteriTecnici!$L1289*1,IFERROR(NUMBERVALUE(CriteriTecnici!$L1289,".",","),IFERROR(NUMBERVALUE(CriteriTecnici!$L1289,",","."),0))),4)&amp;""),",",".")&amp;", "&amp;CHAR(34)&amp;"flag"&amp;CHAR(34)&amp;": "&amp;SUBSTITUTE(TRIM(ROUND(IFERROR(CriteriTecnici!$M1289*1,IFERROR(NUMBERVALUE(CriteriTecnici!$M1289,".",","),IFERROR(NUMBERVALUE(CriteriTecnici!$M1289,",","."),0))),4)&amp;""),",",".")&amp;", "&amp;CHAR(34)&amp;"rawScore"&amp;CHAR(34)&amp;": "&amp;SUBSTITUTE(TRIM(ROUND(IFERROR(CriteriTecnici!$O1289*1,IFERROR(NUMBERVALUE(CriteriTecnici!$O1289,".",","),IFERROR(NUMBERVALUE(CriteriTecnici!$O1289,",","."),0))),4)&amp;""),",",".")&amp;CHAR(125)&amp;IF(TRUE,",",""))</f>
        <v/>
      </c>
    </row>
    <row r="1391">
      <c r="A1391" s="82">
        <f>IF(CriteriTecnici!$A1290="","","    "&amp;CHAR(123)&amp;CHAR(34)&amp;"bidderId"&amp;CHAR(34)&amp;": "&amp;CHAR(34)&amp;SUBSTITUTE(CriteriTecnici!$A1290,CHAR(34),"'")&amp;CHAR(34)&amp;", "&amp;CHAR(34)&amp;"lotId"&amp;CHAR(34)&amp;": "&amp;CHAR(34)&amp;SUBSTITUTE(CriteriTecnici!$C1290,CHAR(34),"'")&amp;CHAR(34)&amp;", "&amp;CHAR(34)&amp;"criterionId"&amp;CHAR(34)&amp;": "&amp;CHAR(34)&amp;SUBSTITUTE(CriteriTecnici!$D1290,CHAR(34),"'")&amp;CHAR(34)&amp;", "&amp;CHAR(34)&amp;"kind"&amp;CHAR(34)&amp;": "&amp;CHAR(34)&amp;SUBSTITUTE(CriteriTecnici!$F1290,CHAR(34),"'")&amp;CHAR(34)&amp;", "&amp;CHAR(34)&amp;"value"&amp;CHAR(34)&amp;": "&amp;SUBSTITUTE(TRIM(ROUND(IFERROR(CriteriTecnici!$N1290*1,IFERROR(NUMBERVALUE(CriteriTecnici!$N1290,".",","),IFERROR(NUMBERVALUE(CriteriTecnici!$N1290,",","."),0))),4)&amp;""),",",".")&amp;", "&amp;CHAR(34)&amp;"numerator"&amp;CHAR(34)&amp;": "&amp;SUBSTITUTE(TRIM(ROUND(IFERROR(CriteriTecnici!$K1290*1,IFERROR(NUMBERVALUE(CriteriTecnici!$K1290,".",","),IFERROR(NUMBERVALUE(CriteriTecnici!$K1290,",","."),0))),4)&amp;""),",",".")&amp;", "&amp;CHAR(34)&amp;"denominator"&amp;CHAR(34)&amp;": "&amp;SUBSTITUTE(TRIM(ROUND(IFERROR(CriteriTecnici!$L1290*1,IFERROR(NUMBERVALUE(CriteriTecnici!$L1290,".",","),IFERROR(NUMBERVALUE(CriteriTecnici!$L1290,",","."),0))),4)&amp;""),",",".")&amp;", "&amp;CHAR(34)&amp;"flag"&amp;CHAR(34)&amp;": "&amp;SUBSTITUTE(TRIM(ROUND(IFERROR(CriteriTecnici!$M1290*1,IFERROR(NUMBERVALUE(CriteriTecnici!$M1290,".",","),IFERROR(NUMBERVALUE(CriteriTecnici!$M1290,",","."),0))),4)&amp;""),",",".")&amp;", "&amp;CHAR(34)&amp;"rawScore"&amp;CHAR(34)&amp;": "&amp;SUBSTITUTE(TRIM(ROUND(IFERROR(CriteriTecnici!$O1290*1,IFERROR(NUMBERVALUE(CriteriTecnici!$O1290,".",","),IFERROR(NUMBERVALUE(CriteriTecnici!$O1290,",","."),0))),4)&amp;""),",",".")&amp;CHAR(125)&amp;IF(TRUE,",",""))</f>
        <v/>
      </c>
    </row>
    <row r="1392">
      <c r="A1392" s="82">
        <f>IF(CriteriTecnici!$A1291="","","    "&amp;CHAR(123)&amp;CHAR(34)&amp;"bidderId"&amp;CHAR(34)&amp;": "&amp;CHAR(34)&amp;SUBSTITUTE(CriteriTecnici!$A1291,CHAR(34),"'")&amp;CHAR(34)&amp;", "&amp;CHAR(34)&amp;"lotId"&amp;CHAR(34)&amp;": "&amp;CHAR(34)&amp;SUBSTITUTE(CriteriTecnici!$C1291,CHAR(34),"'")&amp;CHAR(34)&amp;", "&amp;CHAR(34)&amp;"criterionId"&amp;CHAR(34)&amp;": "&amp;CHAR(34)&amp;SUBSTITUTE(CriteriTecnici!$D1291,CHAR(34),"'")&amp;CHAR(34)&amp;", "&amp;CHAR(34)&amp;"kind"&amp;CHAR(34)&amp;": "&amp;CHAR(34)&amp;SUBSTITUTE(CriteriTecnici!$F1291,CHAR(34),"'")&amp;CHAR(34)&amp;", "&amp;CHAR(34)&amp;"value"&amp;CHAR(34)&amp;": "&amp;SUBSTITUTE(TRIM(ROUND(IFERROR(CriteriTecnici!$N1291*1,IFERROR(NUMBERVALUE(CriteriTecnici!$N1291,".",","),IFERROR(NUMBERVALUE(CriteriTecnici!$N1291,",","."),0))),4)&amp;""),",",".")&amp;", "&amp;CHAR(34)&amp;"numerator"&amp;CHAR(34)&amp;": "&amp;SUBSTITUTE(TRIM(ROUND(IFERROR(CriteriTecnici!$K1291*1,IFERROR(NUMBERVALUE(CriteriTecnici!$K1291,".",","),IFERROR(NUMBERVALUE(CriteriTecnici!$K1291,",","."),0))),4)&amp;""),",",".")&amp;", "&amp;CHAR(34)&amp;"denominator"&amp;CHAR(34)&amp;": "&amp;SUBSTITUTE(TRIM(ROUND(IFERROR(CriteriTecnici!$L1291*1,IFERROR(NUMBERVALUE(CriteriTecnici!$L1291,".",","),IFERROR(NUMBERVALUE(CriteriTecnici!$L1291,",","."),0))),4)&amp;""),",",".")&amp;", "&amp;CHAR(34)&amp;"flag"&amp;CHAR(34)&amp;": "&amp;SUBSTITUTE(TRIM(ROUND(IFERROR(CriteriTecnici!$M1291*1,IFERROR(NUMBERVALUE(CriteriTecnici!$M1291,".",","),IFERROR(NUMBERVALUE(CriteriTecnici!$M1291,",","."),0))),4)&amp;""),",",".")&amp;", "&amp;CHAR(34)&amp;"rawScore"&amp;CHAR(34)&amp;": "&amp;SUBSTITUTE(TRIM(ROUND(IFERROR(CriteriTecnici!$O1291*1,IFERROR(NUMBERVALUE(CriteriTecnici!$O1291,".",","),IFERROR(NUMBERVALUE(CriteriTecnici!$O1291,",","."),0))),4)&amp;""),",",".")&amp;CHAR(125)&amp;IF(TRUE,",",""))</f>
        <v/>
      </c>
    </row>
    <row r="1393">
      <c r="A1393" s="82">
        <f>IF(CriteriTecnici!$A1292="","","    "&amp;CHAR(123)&amp;CHAR(34)&amp;"bidderId"&amp;CHAR(34)&amp;": "&amp;CHAR(34)&amp;SUBSTITUTE(CriteriTecnici!$A1292,CHAR(34),"'")&amp;CHAR(34)&amp;", "&amp;CHAR(34)&amp;"lotId"&amp;CHAR(34)&amp;": "&amp;CHAR(34)&amp;SUBSTITUTE(CriteriTecnici!$C1292,CHAR(34),"'")&amp;CHAR(34)&amp;", "&amp;CHAR(34)&amp;"criterionId"&amp;CHAR(34)&amp;": "&amp;CHAR(34)&amp;SUBSTITUTE(CriteriTecnici!$D1292,CHAR(34),"'")&amp;CHAR(34)&amp;", "&amp;CHAR(34)&amp;"kind"&amp;CHAR(34)&amp;": "&amp;CHAR(34)&amp;SUBSTITUTE(CriteriTecnici!$F1292,CHAR(34),"'")&amp;CHAR(34)&amp;", "&amp;CHAR(34)&amp;"value"&amp;CHAR(34)&amp;": "&amp;SUBSTITUTE(TRIM(ROUND(IFERROR(CriteriTecnici!$N1292*1,IFERROR(NUMBERVALUE(CriteriTecnici!$N1292,".",","),IFERROR(NUMBERVALUE(CriteriTecnici!$N1292,",","."),0))),4)&amp;""),",",".")&amp;", "&amp;CHAR(34)&amp;"numerator"&amp;CHAR(34)&amp;": "&amp;SUBSTITUTE(TRIM(ROUND(IFERROR(CriteriTecnici!$K1292*1,IFERROR(NUMBERVALUE(CriteriTecnici!$K1292,".",","),IFERROR(NUMBERVALUE(CriteriTecnici!$K1292,",","."),0))),4)&amp;""),",",".")&amp;", "&amp;CHAR(34)&amp;"denominator"&amp;CHAR(34)&amp;": "&amp;SUBSTITUTE(TRIM(ROUND(IFERROR(CriteriTecnici!$L1292*1,IFERROR(NUMBERVALUE(CriteriTecnici!$L1292,".",","),IFERROR(NUMBERVALUE(CriteriTecnici!$L1292,",","."),0))),4)&amp;""),",",".")&amp;", "&amp;CHAR(34)&amp;"flag"&amp;CHAR(34)&amp;": "&amp;SUBSTITUTE(TRIM(ROUND(IFERROR(CriteriTecnici!$M1292*1,IFERROR(NUMBERVALUE(CriteriTecnici!$M1292,".",","),IFERROR(NUMBERVALUE(CriteriTecnici!$M1292,",","."),0))),4)&amp;""),",",".")&amp;", "&amp;CHAR(34)&amp;"rawScore"&amp;CHAR(34)&amp;": "&amp;SUBSTITUTE(TRIM(ROUND(IFERROR(CriteriTecnici!$O1292*1,IFERROR(NUMBERVALUE(CriteriTecnici!$O1292,".",","),IFERROR(NUMBERVALUE(CriteriTecnici!$O1292,",","."),0))),4)&amp;""),",",".")&amp;CHAR(125)&amp;IF(TRUE,",",""))</f>
        <v/>
      </c>
    </row>
    <row r="1394">
      <c r="A1394" s="82">
        <f>IF(CriteriTecnici!$A1293="","","    "&amp;CHAR(123)&amp;CHAR(34)&amp;"bidderId"&amp;CHAR(34)&amp;": "&amp;CHAR(34)&amp;SUBSTITUTE(CriteriTecnici!$A1293,CHAR(34),"'")&amp;CHAR(34)&amp;", "&amp;CHAR(34)&amp;"lotId"&amp;CHAR(34)&amp;": "&amp;CHAR(34)&amp;SUBSTITUTE(CriteriTecnici!$C1293,CHAR(34),"'")&amp;CHAR(34)&amp;", "&amp;CHAR(34)&amp;"criterionId"&amp;CHAR(34)&amp;": "&amp;CHAR(34)&amp;SUBSTITUTE(CriteriTecnici!$D1293,CHAR(34),"'")&amp;CHAR(34)&amp;", "&amp;CHAR(34)&amp;"kind"&amp;CHAR(34)&amp;": "&amp;CHAR(34)&amp;SUBSTITUTE(CriteriTecnici!$F1293,CHAR(34),"'")&amp;CHAR(34)&amp;", "&amp;CHAR(34)&amp;"value"&amp;CHAR(34)&amp;": "&amp;SUBSTITUTE(TRIM(ROUND(IFERROR(CriteriTecnici!$N1293*1,IFERROR(NUMBERVALUE(CriteriTecnici!$N1293,".",","),IFERROR(NUMBERVALUE(CriteriTecnici!$N1293,",","."),0))),4)&amp;""),",",".")&amp;", "&amp;CHAR(34)&amp;"numerator"&amp;CHAR(34)&amp;": "&amp;SUBSTITUTE(TRIM(ROUND(IFERROR(CriteriTecnici!$K1293*1,IFERROR(NUMBERVALUE(CriteriTecnici!$K1293,".",","),IFERROR(NUMBERVALUE(CriteriTecnici!$K1293,",","."),0))),4)&amp;""),",",".")&amp;", "&amp;CHAR(34)&amp;"denominator"&amp;CHAR(34)&amp;": "&amp;SUBSTITUTE(TRIM(ROUND(IFERROR(CriteriTecnici!$L1293*1,IFERROR(NUMBERVALUE(CriteriTecnici!$L1293,".",","),IFERROR(NUMBERVALUE(CriteriTecnici!$L1293,",","."),0))),4)&amp;""),",",".")&amp;", "&amp;CHAR(34)&amp;"flag"&amp;CHAR(34)&amp;": "&amp;SUBSTITUTE(TRIM(ROUND(IFERROR(CriteriTecnici!$M1293*1,IFERROR(NUMBERVALUE(CriteriTecnici!$M1293,".",","),IFERROR(NUMBERVALUE(CriteriTecnici!$M1293,",","."),0))),4)&amp;""),",",".")&amp;", "&amp;CHAR(34)&amp;"rawScore"&amp;CHAR(34)&amp;": "&amp;SUBSTITUTE(TRIM(ROUND(IFERROR(CriteriTecnici!$O1293*1,IFERROR(NUMBERVALUE(CriteriTecnici!$O1293,".",","),IFERROR(NUMBERVALUE(CriteriTecnici!$O1293,",","."),0))),4)&amp;""),",",".")&amp;CHAR(125)&amp;IF(TRUE,",",""))</f>
        <v/>
      </c>
    </row>
    <row r="1395">
      <c r="A1395" s="82">
        <f>IF(CriteriTecnici!$A1294="","","    "&amp;CHAR(123)&amp;CHAR(34)&amp;"bidderId"&amp;CHAR(34)&amp;": "&amp;CHAR(34)&amp;SUBSTITUTE(CriteriTecnici!$A1294,CHAR(34),"'")&amp;CHAR(34)&amp;", "&amp;CHAR(34)&amp;"lotId"&amp;CHAR(34)&amp;": "&amp;CHAR(34)&amp;SUBSTITUTE(CriteriTecnici!$C1294,CHAR(34),"'")&amp;CHAR(34)&amp;", "&amp;CHAR(34)&amp;"criterionId"&amp;CHAR(34)&amp;": "&amp;CHAR(34)&amp;SUBSTITUTE(CriteriTecnici!$D1294,CHAR(34),"'")&amp;CHAR(34)&amp;", "&amp;CHAR(34)&amp;"kind"&amp;CHAR(34)&amp;": "&amp;CHAR(34)&amp;SUBSTITUTE(CriteriTecnici!$F1294,CHAR(34),"'")&amp;CHAR(34)&amp;", "&amp;CHAR(34)&amp;"value"&amp;CHAR(34)&amp;": "&amp;SUBSTITUTE(TRIM(ROUND(IFERROR(CriteriTecnici!$N1294*1,IFERROR(NUMBERVALUE(CriteriTecnici!$N1294,".",","),IFERROR(NUMBERVALUE(CriteriTecnici!$N1294,",","."),0))),4)&amp;""),",",".")&amp;", "&amp;CHAR(34)&amp;"numerator"&amp;CHAR(34)&amp;": "&amp;SUBSTITUTE(TRIM(ROUND(IFERROR(CriteriTecnici!$K1294*1,IFERROR(NUMBERVALUE(CriteriTecnici!$K1294,".",","),IFERROR(NUMBERVALUE(CriteriTecnici!$K1294,",","."),0))),4)&amp;""),",",".")&amp;", "&amp;CHAR(34)&amp;"denominator"&amp;CHAR(34)&amp;": "&amp;SUBSTITUTE(TRIM(ROUND(IFERROR(CriteriTecnici!$L1294*1,IFERROR(NUMBERVALUE(CriteriTecnici!$L1294,".",","),IFERROR(NUMBERVALUE(CriteriTecnici!$L1294,",","."),0))),4)&amp;""),",",".")&amp;", "&amp;CHAR(34)&amp;"flag"&amp;CHAR(34)&amp;": "&amp;SUBSTITUTE(TRIM(ROUND(IFERROR(CriteriTecnici!$M1294*1,IFERROR(NUMBERVALUE(CriteriTecnici!$M1294,".",","),IFERROR(NUMBERVALUE(CriteriTecnici!$M1294,",","."),0))),4)&amp;""),",",".")&amp;", "&amp;CHAR(34)&amp;"rawScore"&amp;CHAR(34)&amp;": "&amp;SUBSTITUTE(TRIM(ROUND(IFERROR(CriteriTecnici!$O1294*1,IFERROR(NUMBERVALUE(CriteriTecnici!$O1294,".",","),IFERROR(NUMBERVALUE(CriteriTecnici!$O1294,",","."),0))),4)&amp;""),",",".")&amp;CHAR(125)&amp;IF(TRUE,",",""))</f>
        <v/>
      </c>
    </row>
    <row r="1396">
      <c r="A1396" s="82">
        <f>IF(CriteriTecnici!$A1295="","","    "&amp;CHAR(123)&amp;CHAR(34)&amp;"bidderId"&amp;CHAR(34)&amp;": "&amp;CHAR(34)&amp;SUBSTITUTE(CriteriTecnici!$A1295,CHAR(34),"'")&amp;CHAR(34)&amp;", "&amp;CHAR(34)&amp;"lotId"&amp;CHAR(34)&amp;": "&amp;CHAR(34)&amp;SUBSTITUTE(CriteriTecnici!$C1295,CHAR(34),"'")&amp;CHAR(34)&amp;", "&amp;CHAR(34)&amp;"criterionId"&amp;CHAR(34)&amp;": "&amp;CHAR(34)&amp;SUBSTITUTE(CriteriTecnici!$D1295,CHAR(34),"'")&amp;CHAR(34)&amp;", "&amp;CHAR(34)&amp;"kind"&amp;CHAR(34)&amp;": "&amp;CHAR(34)&amp;SUBSTITUTE(CriteriTecnici!$F1295,CHAR(34),"'")&amp;CHAR(34)&amp;", "&amp;CHAR(34)&amp;"value"&amp;CHAR(34)&amp;": "&amp;SUBSTITUTE(TRIM(ROUND(IFERROR(CriteriTecnici!$N1295*1,IFERROR(NUMBERVALUE(CriteriTecnici!$N1295,".",","),IFERROR(NUMBERVALUE(CriteriTecnici!$N1295,",","."),0))),4)&amp;""),",",".")&amp;", "&amp;CHAR(34)&amp;"numerator"&amp;CHAR(34)&amp;": "&amp;SUBSTITUTE(TRIM(ROUND(IFERROR(CriteriTecnici!$K1295*1,IFERROR(NUMBERVALUE(CriteriTecnici!$K1295,".",","),IFERROR(NUMBERVALUE(CriteriTecnici!$K1295,",","."),0))),4)&amp;""),",",".")&amp;", "&amp;CHAR(34)&amp;"denominator"&amp;CHAR(34)&amp;": "&amp;SUBSTITUTE(TRIM(ROUND(IFERROR(CriteriTecnici!$L1295*1,IFERROR(NUMBERVALUE(CriteriTecnici!$L1295,".",","),IFERROR(NUMBERVALUE(CriteriTecnici!$L1295,",","."),0))),4)&amp;""),",",".")&amp;", "&amp;CHAR(34)&amp;"flag"&amp;CHAR(34)&amp;": "&amp;SUBSTITUTE(TRIM(ROUND(IFERROR(CriteriTecnici!$M1295*1,IFERROR(NUMBERVALUE(CriteriTecnici!$M1295,".",","),IFERROR(NUMBERVALUE(CriteriTecnici!$M1295,",","."),0))),4)&amp;""),",",".")&amp;", "&amp;CHAR(34)&amp;"rawScore"&amp;CHAR(34)&amp;": "&amp;SUBSTITUTE(TRIM(ROUND(IFERROR(CriteriTecnici!$O1295*1,IFERROR(NUMBERVALUE(CriteriTecnici!$O1295,".",","),IFERROR(NUMBERVALUE(CriteriTecnici!$O1295,",","."),0))),4)&amp;""),",",".")&amp;CHAR(125)&amp;IF(TRUE,",",""))</f>
        <v/>
      </c>
    </row>
    <row r="1397">
      <c r="A1397" s="82">
        <f>IF(CriteriTecnici!$A1296="","","    "&amp;CHAR(123)&amp;CHAR(34)&amp;"bidderId"&amp;CHAR(34)&amp;": "&amp;CHAR(34)&amp;SUBSTITUTE(CriteriTecnici!$A1296,CHAR(34),"'")&amp;CHAR(34)&amp;", "&amp;CHAR(34)&amp;"lotId"&amp;CHAR(34)&amp;": "&amp;CHAR(34)&amp;SUBSTITUTE(CriteriTecnici!$C1296,CHAR(34),"'")&amp;CHAR(34)&amp;", "&amp;CHAR(34)&amp;"criterionId"&amp;CHAR(34)&amp;": "&amp;CHAR(34)&amp;SUBSTITUTE(CriteriTecnici!$D1296,CHAR(34),"'")&amp;CHAR(34)&amp;", "&amp;CHAR(34)&amp;"kind"&amp;CHAR(34)&amp;": "&amp;CHAR(34)&amp;SUBSTITUTE(CriteriTecnici!$F1296,CHAR(34),"'")&amp;CHAR(34)&amp;", "&amp;CHAR(34)&amp;"value"&amp;CHAR(34)&amp;": "&amp;SUBSTITUTE(TRIM(ROUND(IFERROR(CriteriTecnici!$N1296*1,IFERROR(NUMBERVALUE(CriteriTecnici!$N1296,".",","),IFERROR(NUMBERVALUE(CriteriTecnici!$N1296,",","."),0))),4)&amp;""),",",".")&amp;", "&amp;CHAR(34)&amp;"numerator"&amp;CHAR(34)&amp;": "&amp;SUBSTITUTE(TRIM(ROUND(IFERROR(CriteriTecnici!$K1296*1,IFERROR(NUMBERVALUE(CriteriTecnici!$K1296,".",","),IFERROR(NUMBERVALUE(CriteriTecnici!$K1296,",","."),0))),4)&amp;""),",",".")&amp;", "&amp;CHAR(34)&amp;"denominator"&amp;CHAR(34)&amp;": "&amp;SUBSTITUTE(TRIM(ROUND(IFERROR(CriteriTecnici!$L1296*1,IFERROR(NUMBERVALUE(CriteriTecnici!$L1296,".",","),IFERROR(NUMBERVALUE(CriteriTecnici!$L1296,",","."),0))),4)&amp;""),",",".")&amp;", "&amp;CHAR(34)&amp;"flag"&amp;CHAR(34)&amp;": "&amp;SUBSTITUTE(TRIM(ROUND(IFERROR(CriteriTecnici!$M1296*1,IFERROR(NUMBERVALUE(CriteriTecnici!$M1296,".",","),IFERROR(NUMBERVALUE(CriteriTecnici!$M1296,",","."),0))),4)&amp;""),",",".")&amp;", "&amp;CHAR(34)&amp;"rawScore"&amp;CHAR(34)&amp;": "&amp;SUBSTITUTE(TRIM(ROUND(IFERROR(CriteriTecnici!$O1296*1,IFERROR(NUMBERVALUE(CriteriTecnici!$O1296,".",","),IFERROR(NUMBERVALUE(CriteriTecnici!$O1296,",","."),0))),4)&amp;""),",",".")&amp;CHAR(125)&amp;IF(TRUE,",",""))</f>
        <v/>
      </c>
    </row>
    <row r="1398">
      <c r="A1398" s="82">
        <f>IF(CriteriTecnici!$A1297="","","    "&amp;CHAR(123)&amp;CHAR(34)&amp;"bidderId"&amp;CHAR(34)&amp;": "&amp;CHAR(34)&amp;SUBSTITUTE(CriteriTecnici!$A1297,CHAR(34),"'")&amp;CHAR(34)&amp;", "&amp;CHAR(34)&amp;"lotId"&amp;CHAR(34)&amp;": "&amp;CHAR(34)&amp;SUBSTITUTE(CriteriTecnici!$C1297,CHAR(34),"'")&amp;CHAR(34)&amp;", "&amp;CHAR(34)&amp;"criterionId"&amp;CHAR(34)&amp;": "&amp;CHAR(34)&amp;SUBSTITUTE(CriteriTecnici!$D1297,CHAR(34),"'")&amp;CHAR(34)&amp;", "&amp;CHAR(34)&amp;"kind"&amp;CHAR(34)&amp;": "&amp;CHAR(34)&amp;SUBSTITUTE(CriteriTecnici!$F1297,CHAR(34),"'")&amp;CHAR(34)&amp;", "&amp;CHAR(34)&amp;"value"&amp;CHAR(34)&amp;": "&amp;SUBSTITUTE(TRIM(ROUND(IFERROR(CriteriTecnici!$N1297*1,IFERROR(NUMBERVALUE(CriteriTecnici!$N1297,".",","),IFERROR(NUMBERVALUE(CriteriTecnici!$N1297,",","."),0))),4)&amp;""),",",".")&amp;", "&amp;CHAR(34)&amp;"numerator"&amp;CHAR(34)&amp;": "&amp;SUBSTITUTE(TRIM(ROUND(IFERROR(CriteriTecnici!$K1297*1,IFERROR(NUMBERVALUE(CriteriTecnici!$K1297,".",","),IFERROR(NUMBERVALUE(CriteriTecnici!$K1297,",","."),0))),4)&amp;""),",",".")&amp;", "&amp;CHAR(34)&amp;"denominator"&amp;CHAR(34)&amp;": "&amp;SUBSTITUTE(TRIM(ROUND(IFERROR(CriteriTecnici!$L1297*1,IFERROR(NUMBERVALUE(CriteriTecnici!$L1297,".",","),IFERROR(NUMBERVALUE(CriteriTecnici!$L1297,",","."),0))),4)&amp;""),",",".")&amp;", "&amp;CHAR(34)&amp;"flag"&amp;CHAR(34)&amp;": "&amp;SUBSTITUTE(TRIM(ROUND(IFERROR(CriteriTecnici!$M1297*1,IFERROR(NUMBERVALUE(CriteriTecnici!$M1297,".",","),IFERROR(NUMBERVALUE(CriteriTecnici!$M1297,",","."),0))),4)&amp;""),",",".")&amp;", "&amp;CHAR(34)&amp;"rawScore"&amp;CHAR(34)&amp;": "&amp;SUBSTITUTE(TRIM(ROUND(IFERROR(CriteriTecnici!$O1297*1,IFERROR(NUMBERVALUE(CriteriTecnici!$O1297,".",","),IFERROR(NUMBERVALUE(CriteriTecnici!$O1297,",","."),0))),4)&amp;""),",",".")&amp;CHAR(125)&amp;IF(TRUE,",",""))</f>
        <v/>
      </c>
    </row>
    <row r="1399">
      <c r="A1399" s="82">
        <f>IF(CriteriTecnici!$A1298="","","    "&amp;CHAR(123)&amp;CHAR(34)&amp;"bidderId"&amp;CHAR(34)&amp;": "&amp;CHAR(34)&amp;SUBSTITUTE(CriteriTecnici!$A1298,CHAR(34),"'")&amp;CHAR(34)&amp;", "&amp;CHAR(34)&amp;"lotId"&amp;CHAR(34)&amp;": "&amp;CHAR(34)&amp;SUBSTITUTE(CriteriTecnici!$C1298,CHAR(34),"'")&amp;CHAR(34)&amp;", "&amp;CHAR(34)&amp;"criterionId"&amp;CHAR(34)&amp;": "&amp;CHAR(34)&amp;SUBSTITUTE(CriteriTecnici!$D1298,CHAR(34),"'")&amp;CHAR(34)&amp;", "&amp;CHAR(34)&amp;"kind"&amp;CHAR(34)&amp;": "&amp;CHAR(34)&amp;SUBSTITUTE(CriteriTecnici!$F1298,CHAR(34),"'")&amp;CHAR(34)&amp;", "&amp;CHAR(34)&amp;"value"&amp;CHAR(34)&amp;": "&amp;SUBSTITUTE(TRIM(ROUND(IFERROR(CriteriTecnici!$N1298*1,IFERROR(NUMBERVALUE(CriteriTecnici!$N1298,".",","),IFERROR(NUMBERVALUE(CriteriTecnici!$N1298,",","."),0))),4)&amp;""),",",".")&amp;", "&amp;CHAR(34)&amp;"numerator"&amp;CHAR(34)&amp;": "&amp;SUBSTITUTE(TRIM(ROUND(IFERROR(CriteriTecnici!$K1298*1,IFERROR(NUMBERVALUE(CriteriTecnici!$K1298,".",","),IFERROR(NUMBERVALUE(CriteriTecnici!$K1298,",","."),0))),4)&amp;""),",",".")&amp;", "&amp;CHAR(34)&amp;"denominator"&amp;CHAR(34)&amp;": "&amp;SUBSTITUTE(TRIM(ROUND(IFERROR(CriteriTecnici!$L1298*1,IFERROR(NUMBERVALUE(CriteriTecnici!$L1298,".",","),IFERROR(NUMBERVALUE(CriteriTecnici!$L1298,",","."),0))),4)&amp;""),",",".")&amp;", "&amp;CHAR(34)&amp;"flag"&amp;CHAR(34)&amp;": "&amp;SUBSTITUTE(TRIM(ROUND(IFERROR(CriteriTecnici!$M1298*1,IFERROR(NUMBERVALUE(CriteriTecnici!$M1298,".",","),IFERROR(NUMBERVALUE(CriteriTecnici!$M1298,",","."),0))),4)&amp;""),",",".")&amp;", "&amp;CHAR(34)&amp;"rawScore"&amp;CHAR(34)&amp;": "&amp;SUBSTITUTE(TRIM(ROUND(IFERROR(CriteriTecnici!$O1298*1,IFERROR(NUMBERVALUE(CriteriTecnici!$O1298,".",","),IFERROR(NUMBERVALUE(CriteriTecnici!$O1298,",","."),0))),4)&amp;""),",",".")&amp;CHAR(125)&amp;IF(TRUE,",",""))</f>
        <v/>
      </c>
    </row>
    <row r="1400">
      <c r="A1400" s="82">
        <f>IF(CriteriTecnici!$A1299="","","    "&amp;CHAR(123)&amp;CHAR(34)&amp;"bidderId"&amp;CHAR(34)&amp;": "&amp;CHAR(34)&amp;SUBSTITUTE(CriteriTecnici!$A1299,CHAR(34),"'")&amp;CHAR(34)&amp;", "&amp;CHAR(34)&amp;"lotId"&amp;CHAR(34)&amp;": "&amp;CHAR(34)&amp;SUBSTITUTE(CriteriTecnici!$C1299,CHAR(34),"'")&amp;CHAR(34)&amp;", "&amp;CHAR(34)&amp;"criterionId"&amp;CHAR(34)&amp;": "&amp;CHAR(34)&amp;SUBSTITUTE(CriteriTecnici!$D1299,CHAR(34),"'")&amp;CHAR(34)&amp;", "&amp;CHAR(34)&amp;"kind"&amp;CHAR(34)&amp;": "&amp;CHAR(34)&amp;SUBSTITUTE(CriteriTecnici!$F1299,CHAR(34),"'")&amp;CHAR(34)&amp;", "&amp;CHAR(34)&amp;"value"&amp;CHAR(34)&amp;": "&amp;SUBSTITUTE(TRIM(ROUND(IFERROR(CriteriTecnici!$N1299*1,IFERROR(NUMBERVALUE(CriteriTecnici!$N1299,".",","),IFERROR(NUMBERVALUE(CriteriTecnici!$N1299,",","."),0))),4)&amp;""),",",".")&amp;", "&amp;CHAR(34)&amp;"numerator"&amp;CHAR(34)&amp;": "&amp;SUBSTITUTE(TRIM(ROUND(IFERROR(CriteriTecnici!$K1299*1,IFERROR(NUMBERVALUE(CriteriTecnici!$K1299,".",","),IFERROR(NUMBERVALUE(CriteriTecnici!$K1299,",","."),0))),4)&amp;""),",",".")&amp;", "&amp;CHAR(34)&amp;"denominator"&amp;CHAR(34)&amp;": "&amp;SUBSTITUTE(TRIM(ROUND(IFERROR(CriteriTecnici!$L1299*1,IFERROR(NUMBERVALUE(CriteriTecnici!$L1299,".",","),IFERROR(NUMBERVALUE(CriteriTecnici!$L1299,",","."),0))),4)&amp;""),",",".")&amp;", "&amp;CHAR(34)&amp;"flag"&amp;CHAR(34)&amp;": "&amp;SUBSTITUTE(TRIM(ROUND(IFERROR(CriteriTecnici!$M1299*1,IFERROR(NUMBERVALUE(CriteriTecnici!$M1299,".",","),IFERROR(NUMBERVALUE(CriteriTecnici!$M1299,",","."),0))),4)&amp;""),",",".")&amp;", "&amp;CHAR(34)&amp;"rawScore"&amp;CHAR(34)&amp;": "&amp;SUBSTITUTE(TRIM(ROUND(IFERROR(CriteriTecnici!$O1299*1,IFERROR(NUMBERVALUE(CriteriTecnici!$O1299,".",","),IFERROR(NUMBERVALUE(CriteriTecnici!$O1299,",","."),0))),4)&amp;""),",",".")&amp;CHAR(125)&amp;IF(TRUE,",",""))</f>
        <v/>
      </c>
    </row>
    <row r="1401">
      <c r="A1401" s="82">
        <f>IF(CriteriTecnici!$A1300="","","    "&amp;CHAR(123)&amp;CHAR(34)&amp;"bidderId"&amp;CHAR(34)&amp;": "&amp;CHAR(34)&amp;SUBSTITUTE(CriteriTecnici!$A1300,CHAR(34),"'")&amp;CHAR(34)&amp;", "&amp;CHAR(34)&amp;"lotId"&amp;CHAR(34)&amp;": "&amp;CHAR(34)&amp;SUBSTITUTE(CriteriTecnici!$C1300,CHAR(34),"'")&amp;CHAR(34)&amp;", "&amp;CHAR(34)&amp;"criterionId"&amp;CHAR(34)&amp;": "&amp;CHAR(34)&amp;SUBSTITUTE(CriteriTecnici!$D1300,CHAR(34),"'")&amp;CHAR(34)&amp;", "&amp;CHAR(34)&amp;"kind"&amp;CHAR(34)&amp;": "&amp;CHAR(34)&amp;SUBSTITUTE(CriteriTecnici!$F1300,CHAR(34),"'")&amp;CHAR(34)&amp;", "&amp;CHAR(34)&amp;"value"&amp;CHAR(34)&amp;": "&amp;SUBSTITUTE(TRIM(ROUND(IFERROR(CriteriTecnici!$N1300*1,IFERROR(NUMBERVALUE(CriteriTecnici!$N1300,".",","),IFERROR(NUMBERVALUE(CriteriTecnici!$N1300,",","."),0))),4)&amp;""),",",".")&amp;", "&amp;CHAR(34)&amp;"numerator"&amp;CHAR(34)&amp;": "&amp;SUBSTITUTE(TRIM(ROUND(IFERROR(CriteriTecnici!$K1300*1,IFERROR(NUMBERVALUE(CriteriTecnici!$K1300,".",","),IFERROR(NUMBERVALUE(CriteriTecnici!$K1300,",","."),0))),4)&amp;""),",",".")&amp;", "&amp;CHAR(34)&amp;"denominator"&amp;CHAR(34)&amp;": "&amp;SUBSTITUTE(TRIM(ROUND(IFERROR(CriteriTecnici!$L1300*1,IFERROR(NUMBERVALUE(CriteriTecnici!$L1300,".",","),IFERROR(NUMBERVALUE(CriteriTecnici!$L1300,",","."),0))),4)&amp;""),",",".")&amp;", "&amp;CHAR(34)&amp;"flag"&amp;CHAR(34)&amp;": "&amp;SUBSTITUTE(TRIM(ROUND(IFERROR(CriteriTecnici!$M1300*1,IFERROR(NUMBERVALUE(CriteriTecnici!$M1300,".",","),IFERROR(NUMBERVALUE(CriteriTecnici!$M1300,",","."),0))),4)&amp;""),",",".")&amp;", "&amp;CHAR(34)&amp;"rawScore"&amp;CHAR(34)&amp;": "&amp;SUBSTITUTE(TRIM(ROUND(IFERROR(CriteriTecnici!$O1300*1,IFERROR(NUMBERVALUE(CriteriTecnici!$O1300,".",","),IFERROR(NUMBERVALUE(CriteriTecnici!$O1300,",","."),0))),4)&amp;""),",",".")&amp;CHAR(125)&amp;IF(TRUE,",",""))</f>
        <v/>
      </c>
    </row>
    <row r="1402">
      <c r="A1402" s="82">
        <f>IF(CriteriTecnici!$A1301="","","    "&amp;CHAR(123)&amp;CHAR(34)&amp;"bidderId"&amp;CHAR(34)&amp;": "&amp;CHAR(34)&amp;SUBSTITUTE(CriteriTecnici!$A1301,CHAR(34),"'")&amp;CHAR(34)&amp;", "&amp;CHAR(34)&amp;"lotId"&amp;CHAR(34)&amp;": "&amp;CHAR(34)&amp;SUBSTITUTE(CriteriTecnici!$C1301,CHAR(34),"'")&amp;CHAR(34)&amp;", "&amp;CHAR(34)&amp;"criterionId"&amp;CHAR(34)&amp;": "&amp;CHAR(34)&amp;SUBSTITUTE(CriteriTecnici!$D1301,CHAR(34),"'")&amp;CHAR(34)&amp;", "&amp;CHAR(34)&amp;"kind"&amp;CHAR(34)&amp;": "&amp;CHAR(34)&amp;SUBSTITUTE(CriteriTecnici!$F1301,CHAR(34),"'")&amp;CHAR(34)&amp;", "&amp;CHAR(34)&amp;"value"&amp;CHAR(34)&amp;": "&amp;SUBSTITUTE(TRIM(ROUND(IFERROR(CriteriTecnici!$N1301*1,IFERROR(NUMBERVALUE(CriteriTecnici!$N1301,".",","),IFERROR(NUMBERVALUE(CriteriTecnici!$N1301,",","."),0))),4)&amp;""),",",".")&amp;", "&amp;CHAR(34)&amp;"numerator"&amp;CHAR(34)&amp;": "&amp;SUBSTITUTE(TRIM(ROUND(IFERROR(CriteriTecnici!$K1301*1,IFERROR(NUMBERVALUE(CriteriTecnici!$K1301,".",","),IFERROR(NUMBERVALUE(CriteriTecnici!$K1301,",","."),0))),4)&amp;""),",",".")&amp;", "&amp;CHAR(34)&amp;"denominator"&amp;CHAR(34)&amp;": "&amp;SUBSTITUTE(TRIM(ROUND(IFERROR(CriteriTecnici!$L1301*1,IFERROR(NUMBERVALUE(CriteriTecnici!$L1301,".",","),IFERROR(NUMBERVALUE(CriteriTecnici!$L1301,",","."),0))),4)&amp;""),",",".")&amp;", "&amp;CHAR(34)&amp;"flag"&amp;CHAR(34)&amp;": "&amp;SUBSTITUTE(TRIM(ROUND(IFERROR(CriteriTecnici!$M1301*1,IFERROR(NUMBERVALUE(CriteriTecnici!$M1301,".",","),IFERROR(NUMBERVALUE(CriteriTecnici!$M1301,",","."),0))),4)&amp;""),",",".")&amp;", "&amp;CHAR(34)&amp;"rawScore"&amp;CHAR(34)&amp;": "&amp;SUBSTITUTE(TRIM(ROUND(IFERROR(CriteriTecnici!$O1301*1,IFERROR(NUMBERVALUE(CriteriTecnici!$O1301,".",","),IFERROR(NUMBERVALUE(CriteriTecnici!$O1301,",","."),0))),4)&amp;""),",",".")&amp;CHAR(125)&amp;IF(TRUE,",",""))</f>
        <v/>
      </c>
    </row>
    <row r="1403">
      <c r="A1403" s="82">
        <f>IF(CriteriTecnici!$A1302="","","    "&amp;CHAR(123)&amp;CHAR(34)&amp;"bidderId"&amp;CHAR(34)&amp;": "&amp;CHAR(34)&amp;SUBSTITUTE(CriteriTecnici!$A1302,CHAR(34),"'")&amp;CHAR(34)&amp;", "&amp;CHAR(34)&amp;"lotId"&amp;CHAR(34)&amp;": "&amp;CHAR(34)&amp;SUBSTITUTE(CriteriTecnici!$C1302,CHAR(34),"'")&amp;CHAR(34)&amp;", "&amp;CHAR(34)&amp;"criterionId"&amp;CHAR(34)&amp;": "&amp;CHAR(34)&amp;SUBSTITUTE(CriteriTecnici!$D1302,CHAR(34),"'")&amp;CHAR(34)&amp;", "&amp;CHAR(34)&amp;"kind"&amp;CHAR(34)&amp;": "&amp;CHAR(34)&amp;SUBSTITUTE(CriteriTecnici!$F1302,CHAR(34),"'")&amp;CHAR(34)&amp;", "&amp;CHAR(34)&amp;"value"&amp;CHAR(34)&amp;": "&amp;SUBSTITUTE(TRIM(ROUND(IFERROR(CriteriTecnici!$N1302*1,IFERROR(NUMBERVALUE(CriteriTecnici!$N1302,".",","),IFERROR(NUMBERVALUE(CriteriTecnici!$N1302,",","."),0))),4)&amp;""),",",".")&amp;", "&amp;CHAR(34)&amp;"numerator"&amp;CHAR(34)&amp;": "&amp;SUBSTITUTE(TRIM(ROUND(IFERROR(CriteriTecnici!$K1302*1,IFERROR(NUMBERVALUE(CriteriTecnici!$K1302,".",","),IFERROR(NUMBERVALUE(CriteriTecnici!$K1302,",","."),0))),4)&amp;""),",",".")&amp;", "&amp;CHAR(34)&amp;"denominator"&amp;CHAR(34)&amp;": "&amp;SUBSTITUTE(TRIM(ROUND(IFERROR(CriteriTecnici!$L1302*1,IFERROR(NUMBERVALUE(CriteriTecnici!$L1302,".",","),IFERROR(NUMBERVALUE(CriteriTecnici!$L1302,",","."),0))),4)&amp;""),",",".")&amp;", "&amp;CHAR(34)&amp;"flag"&amp;CHAR(34)&amp;": "&amp;SUBSTITUTE(TRIM(ROUND(IFERROR(CriteriTecnici!$M1302*1,IFERROR(NUMBERVALUE(CriteriTecnici!$M1302,".",","),IFERROR(NUMBERVALUE(CriteriTecnici!$M1302,",","."),0))),4)&amp;""),",",".")&amp;", "&amp;CHAR(34)&amp;"rawScore"&amp;CHAR(34)&amp;": "&amp;SUBSTITUTE(TRIM(ROUND(IFERROR(CriteriTecnici!$O1302*1,IFERROR(NUMBERVALUE(CriteriTecnici!$O1302,".",","),IFERROR(NUMBERVALUE(CriteriTecnici!$O1302,",","."),0))),4)&amp;""),",",".")&amp;CHAR(125)&amp;IF(TRUE,",",""))</f>
        <v/>
      </c>
    </row>
    <row r="1404">
      <c r="A1404" s="82">
        <f>IF(CriteriTecnici!$A1303="","","    "&amp;CHAR(123)&amp;CHAR(34)&amp;"bidderId"&amp;CHAR(34)&amp;": "&amp;CHAR(34)&amp;SUBSTITUTE(CriteriTecnici!$A1303,CHAR(34),"'")&amp;CHAR(34)&amp;", "&amp;CHAR(34)&amp;"lotId"&amp;CHAR(34)&amp;": "&amp;CHAR(34)&amp;SUBSTITUTE(CriteriTecnici!$C1303,CHAR(34),"'")&amp;CHAR(34)&amp;", "&amp;CHAR(34)&amp;"criterionId"&amp;CHAR(34)&amp;": "&amp;CHAR(34)&amp;SUBSTITUTE(CriteriTecnici!$D1303,CHAR(34),"'")&amp;CHAR(34)&amp;", "&amp;CHAR(34)&amp;"kind"&amp;CHAR(34)&amp;": "&amp;CHAR(34)&amp;SUBSTITUTE(CriteriTecnici!$F1303,CHAR(34),"'")&amp;CHAR(34)&amp;", "&amp;CHAR(34)&amp;"value"&amp;CHAR(34)&amp;": "&amp;SUBSTITUTE(TRIM(ROUND(IFERROR(CriteriTecnici!$N1303*1,IFERROR(NUMBERVALUE(CriteriTecnici!$N1303,".",","),IFERROR(NUMBERVALUE(CriteriTecnici!$N1303,",","."),0))),4)&amp;""),",",".")&amp;", "&amp;CHAR(34)&amp;"numerator"&amp;CHAR(34)&amp;": "&amp;SUBSTITUTE(TRIM(ROUND(IFERROR(CriteriTecnici!$K1303*1,IFERROR(NUMBERVALUE(CriteriTecnici!$K1303,".",","),IFERROR(NUMBERVALUE(CriteriTecnici!$K1303,",","."),0))),4)&amp;""),",",".")&amp;", "&amp;CHAR(34)&amp;"denominator"&amp;CHAR(34)&amp;": "&amp;SUBSTITUTE(TRIM(ROUND(IFERROR(CriteriTecnici!$L1303*1,IFERROR(NUMBERVALUE(CriteriTecnici!$L1303,".",","),IFERROR(NUMBERVALUE(CriteriTecnici!$L1303,",","."),0))),4)&amp;""),",",".")&amp;", "&amp;CHAR(34)&amp;"flag"&amp;CHAR(34)&amp;": "&amp;SUBSTITUTE(TRIM(ROUND(IFERROR(CriteriTecnici!$M1303*1,IFERROR(NUMBERVALUE(CriteriTecnici!$M1303,".",","),IFERROR(NUMBERVALUE(CriteriTecnici!$M1303,",","."),0))),4)&amp;""),",",".")&amp;", "&amp;CHAR(34)&amp;"rawScore"&amp;CHAR(34)&amp;": "&amp;SUBSTITUTE(TRIM(ROUND(IFERROR(CriteriTecnici!$O1303*1,IFERROR(NUMBERVALUE(CriteriTecnici!$O1303,".",","),IFERROR(NUMBERVALUE(CriteriTecnici!$O1303,",","."),0))),4)&amp;""),",",".")&amp;CHAR(125)&amp;IF(TRUE,",",""))</f>
        <v/>
      </c>
    </row>
    <row r="1405">
      <c r="A1405" s="82">
        <f>IF(CriteriTecnici!$A1304="","","    "&amp;CHAR(123)&amp;CHAR(34)&amp;"bidderId"&amp;CHAR(34)&amp;": "&amp;CHAR(34)&amp;SUBSTITUTE(CriteriTecnici!$A1304,CHAR(34),"'")&amp;CHAR(34)&amp;", "&amp;CHAR(34)&amp;"lotId"&amp;CHAR(34)&amp;": "&amp;CHAR(34)&amp;SUBSTITUTE(CriteriTecnici!$C1304,CHAR(34),"'")&amp;CHAR(34)&amp;", "&amp;CHAR(34)&amp;"criterionId"&amp;CHAR(34)&amp;": "&amp;CHAR(34)&amp;SUBSTITUTE(CriteriTecnici!$D1304,CHAR(34),"'")&amp;CHAR(34)&amp;", "&amp;CHAR(34)&amp;"kind"&amp;CHAR(34)&amp;": "&amp;CHAR(34)&amp;SUBSTITUTE(CriteriTecnici!$F1304,CHAR(34),"'")&amp;CHAR(34)&amp;", "&amp;CHAR(34)&amp;"value"&amp;CHAR(34)&amp;": "&amp;SUBSTITUTE(TRIM(ROUND(IFERROR(CriteriTecnici!$N1304*1,IFERROR(NUMBERVALUE(CriteriTecnici!$N1304,".",","),IFERROR(NUMBERVALUE(CriteriTecnici!$N1304,",","."),0))),4)&amp;""),",",".")&amp;", "&amp;CHAR(34)&amp;"numerator"&amp;CHAR(34)&amp;": "&amp;SUBSTITUTE(TRIM(ROUND(IFERROR(CriteriTecnici!$K1304*1,IFERROR(NUMBERVALUE(CriteriTecnici!$K1304,".",","),IFERROR(NUMBERVALUE(CriteriTecnici!$K1304,",","."),0))),4)&amp;""),",",".")&amp;", "&amp;CHAR(34)&amp;"denominator"&amp;CHAR(34)&amp;": "&amp;SUBSTITUTE(TRIM(ROUND(IFERROR(CriteriTecnici!$L1304*1,IFERROR(NUMBERVALUE(CriteriTecnici!$L1304,".",","),IFERROR(NUMBERVALUE(CriteriTecnici!$L1304,",","."),0))),4)&amp;""),",",".")&amp;", "&amp;CHAR(34)&amp;"flag"&amp;CHAR(34)&amp;": "&amp;SUBSTITUTE(TRIM(ROUND(IFERROR(CriteriTecnici!$M1304*1,IFERROR(NUMBERVALUE(CriteriTecnici!$M1304,".",","),IFERROR(NUMBERVALUE(CriteriTecnici!$M1304,",","."),0))),4)&amp;""),",",".")&amp;", "&amp;CHAR(34)&amp;"rawScore"&amp;CHAR(34)&amp;": "&amp;SUBSTITUTE(TRIM(ROUND(IFERROR(CriteriTecnici!$O1304*1,IFERROR(NUMBERVALUE(CriteriTecnici!$O1304,".",","),IFERROR(NUMBERVALUE(CriteriTecnici!$O1304,",","."),0))),4)&amp;""),",",".")&amp;CHAR(125)&amp;IF(TRUE,",",""))</f>
        <v/>
      </c>
    </row>
    <row r="1406">
      <c r="A1406" s="82">
        <f>IF(CriteriTecnici!$A1305="","","    "&amp;CHAR(123)&amp;CHAR(34)&amp;"bidderId"&amp;CHAR(34)&amp;": "&amp;CHAR(34)&amp;SUBSTITUTE(CriteriTecnici!$A1305,CHAR(34),"'")&amp;CHAR(34)&amp;", "&amp;CHAR(34)&amp;"lotId"&amp;CHAR(34)&amp;": "&amp;CHAR(34)&amp;SUBSTITUTE(CriteriTecnici!$C1305,CHAR(34),"'")&amp;CHAR(34)&amp;", "&amp;CHAR(34)&amp;"criterionId"&amp;CHAR(34)&amp;": "&amp;CHAR(34)&amp;SUBSTITUTE(CriteriTecnici!$D1305,CHAR(34),"'")&amp;CHAR(34)&amp;", "&amp;CHAR(34)&amp;"kind"&amp;CHAR(34)&amp;": "&amp;CHAR(34)&amp;SUBSTITUTE(CriteriTecnici!$F1305,CHAR(34),"'")&amp;CHAR(34)&amp;", "&amp;CHAR(34)&amp;"value"&amp;CHAR(34)&amp;": "&amp;SUBSTITUTE(TRIM(ROUND(IFERROR(CriteriTecnici!$N1305*1,IFERROR(NUMBERVALUE(CriteriTecnici!$N1305,".",","),IFERROR(NUMBERVALUE(CriteriTecnici!$N1305,",","."),0))),4)&amp;""),",",".")&amp;", "&amp;CHAR(34)&amp;"numerator"&amp;CHAR(34)&amp;": "&amp;SUBSTITUTE(TRIM(ROUND(IFERROR(CriteriTecnici!$K1305*1,IFERROR(NUMBERVALUE(CriteriTecnici!$K1305,".",","),IFERROR(NUMBERVALUE(CriteriTecnici!$K1305,",","."),0))),4)&amp;""),",",".")&amp;", "&amp;CHAR(34)&amp;"denominator"&amp;CHAR(34)&amp;": "&amp;SUBSTITUTE(TRIM(ROUND(IFERROR(CriteriTecnici!$L1305*1,IFERROR(NUMBERVALUE(CriteriTecnici!$L1305,".",","),IFERROR(NUMBERVALUE(CriteriTecnici!$L1305,",","."),0))),4)&amp;""),",",".")&amp;", "&amp;CHAR(34)&amp;"flag"&amp;CHAR(34)&amp;": "&amp;SUBSTITUTE(TRIM(ROUND(IFERROR(CriteriTecnici!$M1305*1,IFERROR(NUMBERVALUE(CriteriTecnici!$M1305,".",","),IFERROR(NUMBERVALUE(CriteriTecnici!$M1305,",","."),0))),4)&amp;""),",",".")&amp;", "&amp;CHAR(34)&amp;"rawScore"&amp;CHAR(34)&amp;": "&amp;SUBSTITUTE(TRIM(ROUND(IFERROR(CriteriTecnici!$O1305*1,IFERROR(NUMBERVALUE(CriteriTecnici!$O1305,".",","),IFERROR(NUMBERVALUE(CriteriTecnici!$O1305,",","."),0))),4)&amp;""),",",".")&amp;CHAR(125)&amp;IF(TRUE,",",""))</f>
        <v/>
      </c>
    </row>
    <row r="1407">
      <c r="A1407" s="82">
        <f>IF(CriteriTecnici!$A1306="","","    "&amp;CHAR(123)&amp;CHAR(34)&amp;"bidderId"&amp;CHAR(34)&amp;": "&amp;CHAR(34)&amp;SUBSTITUTE(CriteriTecnici!$A1306,CHAR(34),"'")&amp;CHAR(34)&amp;", "&amp;CHAR(34)&amp;"lotId"&amp;CHAR(34)&amp;": "&amp;CHAR(34)&amp;SUBSTITUTE(CriteriTecnici!$C1306,CHAR(34),"'")&amp;CHAR(34)&amp;", "&amp;CHAR(34)&amp;"criterionId"&amp;CHAR(34)&amp;": "&amp;CHAR(34)&amp;SUBSTITUTE(CriteriTecnici!$D1306,CHAR(34),"'")&amp;CHAR(34)&amp;", "&amp;CHAR(34)&amp;"kind"&amp;CHAR(34)&amp;": "&amp;CHAR(34)&amp;SUBSTITUTE(CriteriTecnici!$F1306,CHAR(34),"'")&amp;CHAR(34)&amp;", "&amp;CHAR(34)&amp;"value"&amp;CHAR(34)&amp;": "&amp;SUBSTITUTE(TRIM(ROUND(IFERROR(CriteriTecnici!$N1306*1,IFERROR(NUMBERVALUE(CriteriTecnici!$N1306,".",","),IFERROR(NUMBERVALUE(CriteriTecnici!$N1306,",","."),0))),4)&amp;""),",",".")&amp;", "&amp;CHAR(34)&amp;"numerator"&amp;CHAR(34)&amp;": "&amp;SUBSTITUTE(TRIM(ROUND(IFERROR(CriteriTecnici!$K1306*1,IFERROR(NUMBERVALUE(CriteriTecnici!$K1306,".",","),IFERROR(NUMBERVALUE(CriteriTecnici!$K1306,",","."),0))),4)&amp;""),",",".")&amp;", "&amp;CHAR(34)&amp;"denominator"&amp;CHAR(34)&amp;": "&amp;SUBSTITUTE(TRIM(ROUND(IFERROR(CriteriTecnici!$L1306*1,IFERROR(NUMBERVALUE(CriteriTecnici!$L1306,".",","),IFERROR(NUMBERVALUE(CriteriTecnici!$L1306,",","."),0))),4)&amp;""),",",".")&amp;", "&amp;CHAR(34)&amp;"flag"&amp;CHAR(34)&amp;": "&amp;SUBSTITUTE(TRIM(ROUND(IFERROR(CriteriTecnici!$M1306*1,IFERROR(NUMBERVALUE(CriteriTecnici!$M1306,".",","),IFERROR(NUMBERVALUE(CriteriTecnici!$M1306,",","."),0))),4)&amp;""),",",".")&amp;", "&amp;CHAR(34)&amp;"rawScore"&amp;CHAR(34)&amp;": "&amp;SUBSTITUTE(TRIM(ROUND(IFERROR(CriteriTecnici!$O1306*1,IFERROR(NUMBERVALUE(CriteriTecnici!$O1306,".",","),IFERROR(NUMBERVALUE(CriteriTecnici!$O1306,",","."),0))),4)&amp;""),",",".")&amp;CHAR(125)&amp;IF(COUNTA(Offerte!$A44:$A$81)&gt;0,",",""))</f>
        <v/>
      </c>
    </row>
    <row r="1408">
      <c r="A1408" s="82">
        <f>IF(CriteriTecnici!$A1307="","","    "&amp;CHAR(123)&amp;CHAR(34)&amp;"bidderId"&amp;CHAR(34)&amp;": "&amp;CHAR(34)&amp;SUBSTITUTE(CriteriTecnici!$A1307,CHAR(34),"'")&amp;CHAR(34)&amp;", "&amp;CHAR(34)&amp;"lotId"&amp;CHAR(34)&amp;": "&amp;CHAR(34)&amp;SUBSTITUTE(CriteriTecnici!$C1307,CHAR(34),"'")&amp;CHAR(34)&amp;", "&amp;CHAR(34)&amp;"criterionId"&amp;CHAR(34)&amp;": "&amp;CHAR(34)&amp;SUBSTITUTE(CriteriTecnici!$D1307,CHAR(34),"'")&amp;CHAR(34)&amp;", "&amp;CHAR(34)&amp;"kind"&amp;CHAR(34)&amp;": "&amp;CHAR(34)&amp;SUBSTITUTE(CriteriTecnici!$F1307,CHAR(34),"'")&amp;CHAR(34)&amp;", "&amp;CHAR(34)&amp;"value"&amp;CHAR(34)&amp;": "&amp;SUBSTITUTE(TRIM(ROUND(IFERROR(CriteriTecnici!$N1307*1,IFERROR(NUMBERVALUE(CriteriTecnici!$N1307,".",","),IFERROR(NUMBERVALUE(CriteriTecnici!$N1307,",","."),0))),4)&amp;""),",",".")&amp;", "&amp;CHAR(34)&amp;"numerator"&amp;CHAR(34)&amp;": "&amp;SUBSTITUTE(TRIM(ROUND(IFERROR(CriteriTecnici!$K1307*1,IFERROR(NUMBERVALUE(CriteriTecnici!$K1307,".",","),IFERROR(NUMBERVALUE(CriteriTecnici!$K1307,",","."),0))),4)&amp;""),",",".")&amp;", "&amp;CHAR(34)&amp;"denominator"&amp;CHAR(34)&amp;": "&amp;SUBSTITUTE(TRIM(ROUND(IFERROR(CriteriTecnici!$L1307*1,IFERROR(NUMBERVALUE(CriteriTecnici!$L1307,".",","),IFERROR(NUMBERVALUE(CriteriTecnici!$L1307,",","."),0))),4)&amp;""),",",".")&amp;", "&amp;CHAR(34)&amp;"flag"&amp;CHAR(34)&amp;": "&amp;SUBSTITUTE(TRIM(ROUND(IFERROR(CriteriTecnici!$M1307*1,IFERROR(NUMBERVALUE(CriteriTecnici!$M1307,".",","),IFERROR(NUMBERVALUE(CriteriTecnici!$M1307,",","."),0))),4)&amp;""),",",".")&amp;", "&amp;CHAR(34)&amp;"rawScore"&amp;CHAR(34)&amp;": "&amp;SUBSTITUTE(TRIM(ROUND(IFERROR(CriteriTecnici!$O1307*1,IFERROR(NUMBERVALUE(CriteriTecnici!$O1307,".",","),IFERROR(NUMBERVALUE(CriteriTecnici!$O1307,",","."),0))),4)&amp;""),",",".")&amp;CHAR(125)&amp;IF(TRUE,",",""))</f>
        <v/>
      </c>
    </row>
    <row r="1409">
      <c r="A1409" s="82">
        <f>IF(CriteriTecnici!$A1308="","","    "&amp;CHAR(123)&amp;CHAR(34)&amp;"bidderId"&amp;CHAR(34)&amp;": "&amp;CHAR(34)&amp;SUBSTITUTE(CriteriTecnici!$A1308,CHAR(34),"'")&amp;CHAR(34)&amp;", "&amp;CHAR(34)&amp;"lotId"&amp;CHAR(34)&amp;": "&amp;CHAR(34)&amp;SUBSTITUTE(CriteriTecnici!$C1308,CHAR(34),"'")&amp;CHAR(34)&amp;", "&amp;CHAR(34)&amp;"criterionId"&amp;CHAR(34)&amp;": "&amp;CHAR(34)&amp;SUBSTITUTE(CriteriTecnici!$D1308,CHAR(34),"'")&amp;CHAR(34)&amp;", "&amp;CHAR(34)&amp;"kind"&amp;CHAR(34)&amp;": "&amp;CHAR(34)&amp;SUBSTITUTE(CriteriTecnici!$F1308,CHAR(34),"'")&amp;CHAR(34)&amp;", "&amp;CHAR(34)&amp;"value"&amp;CHAR(34)&amp;": "&amp;SUBSTITUTE(TRIM(ROUND(IFERROR(CriteriTecnici!$N1308*1,IFERROR(NUMBERVALUE(CriteriTecnici!$N1308,".",","),IFERROR(NUMBERVALUE(CriteriTecnici!$N1308,",","."),0))),4)&amp;""),",",".")&amp;", "&amp;CHAR(34)&amp;"numerator"&amp;CHAR(34)&amp;": "&amp;SUBSTITUTE(TRIM(ROUND(IFERROR(CriteriTecnici!$K1308*1,IFERROR(NUMBERVALUE(CriteriTecnici!$K1308,".",","),IFERROR(NUMBERVALUE(CriteriTecnici!$K1308,",","."),0))),4)&amp;""),",",".")&amp;", "&amp;CHAR(34)&amp;"denominator"&amp;CHAR(34)&amp;": "&amp;SUBSTITUTE(TRIM(ROUND(IFERROR(CriteriTecnici!$L1308*1,IFERROR(NUMBERVALUE(CriteriTecnici!$L1308,".",","),IFERROR(NUMBERVALUE(CriteriTecnici!$L1308,",","."),0))),4)&amp;""),",",".")&amp;", "&amp;CHAR(34)&amp;"flag"&amp;CHAR(34)&amp;": "&amp;SUBSTITUTE(TRIM(ROUND(IFERROR(CriteriTecnici!$M1308*1,IFERROR(NUMBERVALUE(CriteriTecnici!$M1308,".",","),IFERROR(NUMBERVALUE(CriteriTecnici!$M1308,",","."),0))),4)&amp;""),",",".")&amp;", "&amp;CHAR(34)&amp;"rawScore"&amp;CHAR(34)&amp;": "&amp;SUBSTITUTE(TRIM(ROUND(IFERROR(CriteriTecnici!$O1308*1,IFERROR(NUMBERVALUE(CriteriTecnici!$O1308,".",","),IFERROR(NUMBERVALUE(CriteriTecnici!$O1308,",","."),0))),4)&amp;""),",",".")&amp;CHAR(125)&amp;IF(TRUE,",",""))</f>
        <v/>
      </c>
    </row>
    <row r="1410">
      <c r="A1410" s="82">
        <f>IF(CriteriTecnici!$A1309="","","    "&amp;CHAR(123)&amp;CHAR(34)&amp;"bidderId"&amp;CHAR(34)&amp;": "&amp;CHAR(34)&amp;SUBSTITUTE(CriteriTecnici!$A1309,CHAR(34),"'")&amp;CHAR(34)&amp;", "&amp;CHAR(34)&amp;"lotId"&amp;CHAR(34)&amp;": "&amp;CHAR(34)&amp;SUBSTITUTE(CriteriTecnici!$C1309,CHAR(34),"'")&amp;CHAR(34)&amp;", "&amp;CHAR(34)&amp;"criterionId"&amp;CHAR(34)&amp;": "&amp;CHAR(34)&amp;SUBSTITUTE(CriteriTecnici!$D1309,CHAR(34),"'")&amp;CHAR(34)&amp;", "&amp;CHAR(34)&amp;"kind"&amp;CHAR(34)&amp;": "&amp;CHAR(34)&amp;SUBSTITUTE(CriteriTecnici!$F1309,CHAR(34),"'")&amp;CHAR(34)&amp;", "&amp;CHAR(34)&amp;"value"&amp;CHAR(34)&amp;": "&amp;SUBSTITUTE(TRIM(ROUND(IFERROR(CriteriTecnici!$N1309*1,IFERROR(NUMBERVALUE(CriteriTecnici!$N1309,".",","),IFERROR(NUMBERVALUE(CriteriTecnici!$N1309,",","."),0))),4)&amp;""),",",".")&amp;", "&amp;CHAR(34)&amp;"numerator"&amp;CHAR(34)&amp;": "&amp;SUBSTITUTE(TRIM(ROUND(IFERROR(CriteriTecnici!$K1309*1,IFERROR(NUMBERVALUE(CriteriTecnici!$K1309,".",","),IFERROR(NUMBERVALUE(CriteriTecnici!$K1309,",","."),0))),4)&amp;""),",",".")&amp;", "&amp;CHAR(34)&amp;"denominator"&amp;CHAR(34)&amp;": "&amp;SUBSTITUTE(TRIM(ROUND(IFERROR(CriteriTecnici!$L1309*1,IFERROR(NUMBERVALUE(CriteriTecnici!$L1309,".",","),IFERROR(NUMBERVALUE(CriteriTecnici!$L1309,",","."),0))),4)&amp;""),",",".")&amp;", "&amp;CHAR(34)&amp;"flag"&amp;CHAR(34)&amp;": "&amp;SUBSTITUTE(TRIM(ROUND(IFERROR(CriteriTecnici!$M1309*1,IFERROR(NUMBERVALUE(CriteriTecnici!$M1309,".",","),IFERROR(NUMBERVALUE(CriteriTecnici!$M1309,",","."),0))),4)&amp;""),",",".")&amp;", "&amp;CHAR(34)&amp;"rawScore"&amp;CHAR(34)&amp;": "&amp;SUBSTITUTE(TRIM(ROUND(IFERROR(CriteriTecnici!$O1309*1,IFERROR(NUMBERVALUE(CriteriTecnici!$O1309,".",","),IFERROR(NUMBERVALUE(CriteriTecnici!$O1309,",","."),0))),4)&amp;""),",",".")&amp;CHAR(125)&amp;IF(TRUE,",",""))</f>
        <v/>
      </c>
    </row>
    <row r="1411">
      <c r="A1411" s="82">
        <f>IF(CriteriTecnici!$A1310="","","    "&amp;CHAR(123)&amp;CHAR(34)&amp;"bidderId"&amp;CHAR(34)&amp;": "&amp;CHAR(34)&amp;SUBSTITUTE(CriteriTecnici!$A1310,CHAR(34),"'")&amp;CHAR(34)&amp;", "&amp;CHAR(34)&amp;"lotId"&amp;CHAR(34)&amp;": "&amp;CHAR(34)&amp;SUBSTITUTE(CriteriTecnici!$C1310,CHAR(34),"'")&amp;CHAR(34)&amp;", "&amp;CHAR(34)&amp;"criterionId"&amp;CHAR(34)&amp;": "&amp;CHAR(34)&amp;SUBSTITUTE(CriteriTecnici!$D1310,CHAR(34),"'")&amp;CHAR(34)&amp;", "&amp;CHAR(34)&amp;"kind"&amp;CHAR(34)&amp;": "&amp;CHAR(34)&amp;SUBSTITUTE(CriteriTecnici!$F1310,CHAR(34),"'")&amp;CHAR(34)&amp;", "&amp;CHAR(34)&amp;"value"&amp;CHAR(34)&amp;": "&amp;SUBSTITUTE(TRIM(ROUND(IFERROR(CriteriTecnici!$N1310*1,IFERROR(NUMBERVALUE(CriteriTecnici!$N1310,".",","),IFERROR(NUMBERVALUE(CriteriTecnici!$N1310,",","."),0))),4)&amp;""),",",".")&amp;", "&amp;CHAR(34)&amp;"numerator"&amp;CHAR(34)&amp;": "&amp;SUBSTITUTE(TRIM(ROUND(IFERROR(CriteriTecnici!$K1310*1,IFERROR(NUMBERVALUE(CriteriTecnici!$K1310,".",","),IFERROR(NUMBERVALUE(CriteriTecnici!$K1310,",","."),0))),4)&amp;""),",",".")&amp;", "&amp;CHAR(34)&amp;"denominator"&amp;CHAR(34)&amp;": "&amp;SUBSTITUTE(TRIM(ROUND(IFERROR(CriteriTecnici!$L1310*1,IFERROR(NUMBERVALUE(CriteriTecnici!$L1310,".",","),IFERROR(NUMBERVALUE(CriteriTecnici!$L1310,",","."),0))),4)&amp;""),",",".")&amp;", "&amp;CHAR(34)&amp;"flag"&amp;CHAR(34)&amp;": "&amp;SUBSTITUTE(TRIM(ROUND(IFERROR(CriteriTecnici!$M1310*1,IFERROR(NUMBERVALUE(CriteriTecnici!$M1310,".",","),IFERROR(NUMBERVALUE(CriteriTecnici!$M1310,",","."),0))),4)&amp;""),",",".")&amp;", "&amp;CHAR(34)&amp;"rawScore"&amp;CHAR(34)&amp;": "&amp;SUBSTITUTE(TRIM(ROUND(IFERROR(CriteriTecnici!$O1310*1,IFERROR(NUMBERVALUE(CriteriTecnici!$O1310,".",","),IFERROR(NUMBERVALUE(CriteriTecnici!$O1310,",","."),0))),4)&amp;""),",",".")&amp;CHAR(125)&amp;IF(TRUE,",",""))</f>
        <v/>
      </c>
    </row>
    <row r="1412">
      <c r="A1412" s="82">
        <f>IF(CriteriTecnici!$A1311="","","    "&amp;CHAR(123)&amp;CHAR(34)&amp;"bidderId"&amp;CHAR(34)&amp;": "&amp;CHAR(34)&amp;SUBSTITUTE(CriteriTecnici!$A1311,CHAR(34),"'")&amp;CHAR(34)&amp;", "&amp;CHAR(34)&amp;"lotId"&amp;CHAR(34)&amp;": "&amp;CHAR(34)&amp;SUBSTITUTE(CriteriTecnici!$C1311,CHAR(34),"'")&amp;CHAR(34)&amp;", "&amp;CHAR(34)&amp;"criterionId"&amp;CHAR(34)&amp;": "&amp;CHAR(34)&amp;SUBSTITUTE(CriteriTecnici!$D1311,CHAR(34),"'")&amp;CHAR(34)&amp;", "&amp;CHAR(34)&amp;"kind"&amp;CHAR(34)&amp;": "&amp;CHAR(34)&amp;SUBSTITUTE(CriteriTecnici!$F1311,CHAR(34),"'")&amp;CHAR(34)&amp;", "&amp;CHAR(34)&amp;"value"&amp;CHAR(34)&amp;": "&amp;SUBSTITUTE(TRIM(ROUND(IFERROR(CriteriTecnici!$N1311*1,IFERROR(NUMBERVALUE(CriteriTecnici!$N1311,".",","),IFERROR(NUMBERVALUE(CriteriTecnici!$N1311,",","."),0))),4)&amp;""),",",".")&amp;", "&amp;CHAR(34)&amp;"numerator"&amp;CHAR(34)&amp;": "&amp;SUBSTITUTE(TRIM(ROUND(IFERROR(CriteriTecnici!$K1311*1,IFERROR(NUMBERVALUE(CriteriTecnici!$K1311,".",","),IFERROR(NUMBERVALUE(CriteriTecnici!$K1311,",","."),0))),4)&amp;""),",",".")&amp;", "&amp;CHAR(34)&amp;"denominator"&amp;CHAR(34)&amp;": "&amp;SUBSTITUTE(TRIM(ROUND(IFERROR(CriteriTecnici!$L1311*1,IFERROR(NUMBERVALUE(CriteriTecnici!$L1311,".",","),IFERROR(NUMBERVALUE(CriteriTecnici!$L1311,",","."),0))),4)&amp;""),",",".")&amp;", "&amp;CHAR(34)&amp;"flag"&amp;CHAR(34)&amp;": "&amp;SUBSTITUTE(TRIM(ROUND(IFERROR(CriteriTecnici!$M1311*1,IFERROR(NUMBERVALUE(CriteriTecnici!$M1311,".",","),IFERROR(NUMBERVALUE(CriteriTecnici!$M1311,",","."),0))),4)&amp;""),",",".")&amp;", "&amp;CHAR(34)&amp;"rawScore"&amp;CHAR(34)&amp;": "&amp;SUBSTITUTE(TRIM(ROUND(IFERROR(CriteriTecnici!$O1311*1,IFERROR(NUMBERVALUE(CriteriTecnici!$O1311,".",","),IFERROR(NUMBERVALUE(CriteriTecnici!$O1311,",","."),0))),4)&amp;""),",",".")&amp;CHAR(125)&amp;IF(TRUE,",",""))</f>
        <v/>
      </c>
    </row>
    <row r="1413">
      <c r="A1413" s="82">
        <f>IF(CriteriTecnici!$A1312="","","    "&amp;CHAR(123)&amp;CHAR(34)&amp;"bidderId"&amp;CHAR(34)&amp;": "&amp;CHAR(34)&amp;SUBSTITUTE(CriteriTecnici!$A1312,CHAR(34),"'")&amp;CHAR(34)&amp;", "&amp;CHAR(34)&amp;"lotId"&amp;CHAR(34)&amp;": "&amp;CHAR(34)&amp;SUBSTITUTE(CriteriTecnici!$C1312,CHAR(34),"'")&amp;CHAR(34)&amp;", "&amp;CHAR(34)&amp;"criterionId"&amp;CHAR(34)&amp;": "&amp;CHAR(34)&amp;SUBSTITUTE(CriteriTecnici!$D1312,CHAR(34),"'")&amp;CHAR(34)&amp;", "&amp;CHAR(34)&amp;"kind"&amp;CHAR(34)&amp;": "&amp;CHAR(34)&amp;SUBSTITUTE(CriteriTecnici!$F1312,CHAR(34),"'")&amp;CHAR(34)&amp;", "&amp;CHAR(34)&amp;"value"&amp;CHAR(34)&amp;": "&amp;SUBSTITUTE(TRIM(ROUND(IFERROR(CriteriTecnici!$N1312*1,IFERROR(NUMBERVALUE(CriteriTecnici!$N1312,".",","),IFERROR(NUMBERVALUE(CriteriTecnici!$N1312,",","."),0))),4)&amp;""),",",".")&amp;", "&amp;CHAR(34)&amp;"numerator"&amp;CHAR(34)&amp;": "&amp;SUBSTITUTE(TRIM(ROUND(IFERROR(CriteriTecnici!$K1312*1,IFERROR(NUMBERVALUE(CriteriTecnici!$K1312,".",","),IFERROR(NUMBERVALUE(CriteriTecnici!$K1312,",","."),0))),4)&amp;""),",",".")&amp;", "&amp;CHAR(34)&amp;"denominator"&amp;CHAR(34)&amp;": "&amp;SUBSTITUTE(TRIM(ROUND(IFERROR(CriteriTecnici!$L1312*1,IFERROR(NUMBERVALUE(CriteriTecnici!$L1312,".",","),IFERROR(NUMBERVALUE(CriteriTecnici!$L1312,",","."),0))),4)&amp;""),",",".")&amp;", "&amp;CHAR(34)&amp;"flag"&amp;CHAR(34)&amp;": "&amp;SUBSTITUTE(TRIM(ROUND(IFERROR(CriteriTecnici!$M1312*1,IFERROR(NUMBERVALUE(CriteriTecnici!$M1312,".",","),IFERROR(NUMBERVALUE(CriteriTecnici!$M1312,",","."),0))),4)&amp;""),",",".")&amp;", "&amp;CHAR(34)&amp;"rawScore"&amp;CHAR(34)&amp;": "&amp;SUBSTITUTE(TRIM(ROUND(IFERROR(CriteriTecnici!$O1312*1,IFERROR(NUMBERVALUE(CriteriTecnici!$O1312,".",","),IFERROR(NUMBERVALUE(CriteriTecnici!$O1312,",","."),0))),4)&amp;""),",",".")&amp;CHAR(125)&amp;IF(TRUE,",",""))</f>
        <v/>
      </c>
    </row>
    <row r="1414">
      <c r="A1414" s="82">
        <f>IF(CriteriTecnici!$A1313="","","    "&amp;CHAR(123)&amp;CHAR(34)&amp;"bidderId"&amp;CHAR(34)&amp;": "&amp;CHAR(34)&amp;SUBSTITUTE(CriteriTecnici!$A1313,CHAR(34),"'")&amp;CHAR(34)&amp;", "&amp;CHAR(34)&amp;"lotId"&amp;CHAR(34)&amp;": "&amp;CHAR(34)&amp;SUBSTITUTE(CriteriTecnici!$C1313,CHAR(34),"'")&amp;CHAR(34)&amp;", "&amp;CHAR(34)&amp;"criterionId"&amp;CHAR(34)&amp;": "&amp;CHAR(34)&amp;SUBSTITUTE(CriteriTecnici!$D1313,CHAR(34),"'")&amp;CHAR(34)&amp;", "&amp;CHAR(34)&amp;"kind"&amp;CHAR(34)&amp;": "&amp;CHAR(34)&amp;SUBSTITUTE(CriteriTecnici!$F1313,CHAR(34),"'")&amp;CHAR(34)&amp;", "&amp;CHAR(34)&amp;"value"&amp;CHAR(34)&amp;": "&amp;SUBSTITUTE(TRIM(ROUND(IFERROR(CriteriTecnici!$N1313*1,IFERROR(NUMBERVALUE(CriteriTecnici!$N1313,".",","),IFERROR(NUMBERVALUE(CriteriTecnici!$N1313,",","."),0))),4)&amp;""),",",".")&amp;", "&amp;CHAR(34)&amp;"numerator"&amp;CHAR(34)&amp;": "&amp;SUBSTITUTE(TRIM(ROUND(IFERROR(CriteriTecnici!$K1313*1,IFERROR(NUMBERVALUE(CriteriTecnici!$K1313,".",","),IFERROR(NUMBERVALUE(CriteriTecnici!$K1313,",","."),0))),4)&amp;""),",",".")&amp;", "&amp;CHAR(34)&amp;"denominator"&amp;CHAR(34)&amp;": "&amp;SUBSTITUTE(TRIM(ROUND(IFERROR(CriteriTecnici!$L1313*1,IFERROR(NUMBERVALUE(CriteriTecnici!$L1313,".",","),IFERROR(NUMBERVALUE(CriteriTecnici!$L1313,",","."),0))),4)&amp;""),",",".")&amp;", "&amp;CHAR(34)&amp;"flag"&amp;CHAR(34)&amp;": "&amp;SUBSTITUTE(TRIM(ROUND(IFERROR(CriteriTecnici!$M1313*1,IFERROR(NUMBERVALUE(CriteriTecnici!$M1313,".",","),IFERROR(NUMBERVALUE(CriteriTecnici!$M1313,",","."),0))),4)&amp;""),",",".")&amp;", "&amp;CHAR(34)&amp;"rawScore"&amp;CHAR(34)&amp;": "&amp;SUBSTITUTE(TRIM(ROUND(IFERROR(CriteriTecnici!$O1313*1,IFERROR(NUMBERVALUE(CriteriTecnici!$O1313,".",","),IFERROR(NUMBERVALUE(CriteriTecnici!$O1313,",","."),0))),4)&amp;""),",",".")&amp;CHAR(125)&amp;IF(TRUE,",",""))</f>
        <v/>
      </c>
    </row>
    <row r="1415">
      <c r="A1415" s="82">
        <f>IF(CriteriTecnici!$A1314="","","    "&amp;CHAR(123)&amp;CHAR(34)&amp;"bidderId"&amp;CHAR(34)&amp;": "&amp;CHAR(34)&amp;SUBSTITUTE(CriteriTecnici!$A1314,CHAR(34),"'")&amp;CHAR(34)&amp;", "&amp;CHAR(34)&amp;"lotId"&amp;CHAR(34)&amp;": "&amp;CHAR(34)&amp;SUBSTITUTE(CriteriTecnici!$C1314,CHAR(34),"'")&amp;CHAR(34)&amp;", "&amp;CHAR(34)&amp;"criterionId"&amp;CHAR(34)&amp;": "&amp;CHAR(34)&amp;SUBSTITUTE(CriteriTecnici!$D1314,CHAR(34),"'")&amp;CHAR(34)&amp;", "&amp;CHAR(34)&amp;"kind"&amp;CHAR(34)&amp;": "&amp;CHAR(34)&amp;SUBSTITUTE(CriteriTecnici!$F1314,CHAR(34),"'")&amp;CHAR(34)&amp;", "&amp;CHAR(34)&amp;"value"&amp;CHAR(34)&amp;": "&amp;SUBSTITUTE(TRIM(ROUND(IFERROR(CriteriTecnici!$N1314*1,IFERROR(NUMBERVALUE(CriteriTecnici!$N1314,".",","),IFERROR(NUMBERVALUE(CriteriTecnici!$N1314,",","."),0))),4)&amp;""),",",".")&amp;", "&amp;CHAR(34)&amp;"numerator"&amp;CHAR(34)&amp;": "&amp;SUBSTITUTE(TRIM(ROUND(IFERROR(CriteriTecnici!$K1314*1,IFERROR(NUMBERVALUE(CriteriTecnici!$K1314,".",","),IFERROR(NUMBERVALUE(CriteriTecnici!$K1314,",","."),0))),4)&amp;""),",",".")&amp;", "&amp;CHAR(34)&amp;"denominator"&amp;CHAR(34)&amp;": "&amp;SUBSTITUTE(TRIM(ROUND(IFERROR(CriteriTecnici!$L1314*1,IFERROR(NUMBERVALUE(CriteriTecnici!$L1314,".",","),IFERROR(NUMBERVALUE(CriteriTecnici!$L1314,",","."),0))),4)&amp;""),",",".")&amp;", "&amp;CHAR(34)&amp;"flag"&amp;CHAR(34)&amp;": "&amp;SUBSTITUTE(TRIM(ROUND(IFERROR(CriteriTecnici!$M1314*1,IFERROR(NUMBERVALUE(CriteriTecnici!$M1314,".",","),IFERROR(NUMBERVALUE(CriteriTecnici!$M1314,",","."),0))),4)&amp;""),",",".")&amp;", "&amp;CHAR(34)&amp;"rawScore"&amp;CHAR(34)&amp;": "&amp;SUBSTITUTE(TRIM(ROUND(IFERROR(CriteriTecnici!$O1314*1,IFERROR(NUMBERVALUE(CriteriTecnici!$O1314,".",","),IFERROR(NUMBERVALUE(CriteriTecnici!$O1314,",","."),0))),4)&amp;""),",",".")&amp;CHAR(125)&amp;IF(TRUE,",",""))</f>
        <v/>
      </c>
    </row>
    <row r="1416">
      <c r="A1416" s="82">
        <f>IF(CriteriTecnici!$A1315="","","    "&amp;CHAR(123)&amp;CHAR(34)&amp;"bidderId"&amp;CHAR(34)&amp;": "&amp;CHAR(34)&amp;SUBSTITUTE(CriteriTecnici!$A1315,CHAR(34),"'")&amp;CHAR(34)&amp;", "&amp;CHAR(34)&amp;"lotId"&amp;CHAR(34)&amp;": "&amp;CHAR(34)&amp;SUBSTITUTE(CriteriTecnici!$C1315,CHAR(34),"'")&amp;CHAR(34)&amp;", "&amp;CHAR(34)&amp;"criterionId"&amp;CHAR(34)&amp;": "&amp;CHAR(34)&amp;SUBSTITUTE(CriteriTecnici!$D1315,CHAR(34),"'")&amp;CHAR(34)&amp;", "&amp;CHAR(34)&amp;"kind"&amp;CHAR(34)&amp;": "&amp;CHAR(34)&amp;SUBSTITUTE(CriteriTecnici!$F1315,CHAR(34),"'")&amp;CHAR(34)&amp;", "&amp;CHAR(34)&amp;"value"&amp;CHAR(34)&amp;": "&amp;SUBSTITUTE(TRIM(ROUND(IFERROR(CriteriTecnici!$N1315*1,IFERROR(NUMBERVALUE(CriteriTecnici!$N1315,".",","),IFERROR(NUMBERVALUE(CriteriTecnici!$N1315,",","."),0))),4)&amp;""),",",".")&amp;", "&amp;CHAR(34)&amp;"numerator"&amp;CHAR(34)&amp;": "&amp;SUBSTITUTE(TRIM(ROUND(IFERROR(CriteriTecnici!$K1315*1,IFERROR(NUMBERVALUE(CriteriTecnici!$K1315,".",","),IFERROR(NUMBERVALUE(CriteriTecnici!$K1315,",","."),0))),4)&amp;""),",",".")&amp;", "&amp;CHAR(34)&amp;"denominator"&amp;CHAR(34)&amp;": "&amp;SUBSTITUTE(TRIM(ROUND(IFERROR(CriteriTecnici!$L1315*1,IFERROR(NUMBERVALUE(CriteriTecnici!$L1315,".",","),IFERROR(NUMBERVALUE(CriteriTecnici!$L1315,",","."),0))),4)&amp;""),",",".")&amp;", "&amp;CHAR(34)&amp;"flag"&amp;CHAR(34)&amp;": "&amp;SUBSTITUTE(TRIM(ROUND(IFERROR(CriteriTecnici!$M1315*1,IFERROR(NUMBERVALUE(CriteriTecnici!$M1315,".",","),IFERROR(NUMBERVALUE(CriteriTecnici!$M1315,",","."),0))),4)&amp;""),",",".")&amp;", "&amp;CHAR(34)&amp;"rawScore"&amp;CHAR(34)&amp;": "&amp;SUBSTITUTE(TRIM(ROUND(IFERROR(CriteriTecnici!$O1315*1,IFERROR(NUMBERVALUE(CriteriTecnici!$O1315,".",","),IFERROR(NUMBERVALUE(CriteriTecnici!$O1315,",","."),0))),4)&amp;""),",",".")&amp;CHAR(125)&amp;IF(TRUE,",",""))</f>
        <v/>
      </c>
    </row>
    <row r="1417">
      <c r="A1417" s="82">
        <f>IF(CriteriTecnici!$A1316="","","    "&amp;CHAR(123)&amp;CHAR(34)&amp;"bidderId"&amp;CHAR(34)&amp;": "&amp;CHAR(34)&amp;SUBSTITUTE(CriteriTecnici!$A1316,CHAR(34),"'")&amp;CHAR(34)&amp;", "&amp;CHAR(34)&amp;"lotId"&amp;CHAR(34)&amp;": "&amp;CHAR(34)&amp;SUBSTITUTE(CriteriTecnici!$C1316,CHAR(34),"'")&amp;CHAR(34)&amp;", "&amp;CHAR(34)&amp;"criterionId"&amp;CHAR(34)&amp;": "&amp;CHAR(34)&amp;SUBSTITUTE(CriteriTecnici!$D1316,CHAR(34),"'")&amp;CHAR(34)&amp;", "&amp;CHAR(34)&amp;"kind"&amp;CHAR(34)&amp;": "&amp;CHAR(34)&amp;SUBSTITUTE(CriteriTecnici!$F1316,CHAR(34),"'")&amp;CHAR(34)&amp;", "&amp;CHAR(34)&amp;"value"&amp;CHAR(34)&amp;": "&amp;SUBSTITUTE(TRIM(ROUND(IFERROR(CriteriTecnici!$N1316*1,IFERROR(NUMBERVALUE(CriteriTecnici!$N1316,".",","),IFERROR(NUMBERVALUE(CriteriTecnici!$N1316,",","."),0))),4)&amp;""),",",".")&amp;", "&amp;CHAR(34)&amp;"numerator"&amp;CHAR(34)&amp;": "&amp;SUBSTITUTE(TRIM(ROUND(IFERROR(CriteriTecnici!$K1316*1,IFERROR(NUMBERVALUE(CriteriTecnici!$K1316,".",","),IFERROR(NUMBERVALUE(CriteriTecnici!$K1316,",","."),0))),4)&amp;""),",",".")&amp;", "&amp;CHAR(34)&amp;"denominator"&amp;CHAR(34)&amp;": "&amp;SUBSTITUTE(TRIM(ROUND(IFERROR(CriteriTecnici!$L1316*1,IFERROR(NUMBERVALUE(CriteriTecnici!$L1316,".",","),IFERROR(NUMBERVALUE(CriteriTecnici!$L1316,",","."),0))),4)&amp;""),",",".")&amp;", "&amp;CHAR(34)&amp;"flag"&amp;CHAR(34)&amp;": "&amp;SUBSTITUTE(TRIM(ROUND(IFERROR(CriteriTecnici!$M1316*1,IFERROR(NUMBERVALUE(CriteriTecnici!$M1316,".",","),IFERROR(NUMBERVALUE(CriteriTecnici!$M1316,",","."),0))),4)&amp;""),",",".")&amp;", "&amp;CHAR(34)&amp;"rawScore"&amp;CHAR(34)&amp;": "&amp;SUBSTITUTE(TRIM(ROUND(IFERROR(CriteriTecnici!$O1316*1,IFERROR(NUMBERVALUE(CriteriTecnici!$O1316,".",","),IFERROR(NUMBERVALUE(CriteriTecnici!$O1316,",","."),0))),4)&amp;""),",",".")&amp;CHAR(125)&amp;IF(TRUE,",",""))</f>
        <v/>
      </c>
    </row>
    <row r="1418">
      <c r="A1418" s="82">
        <f>IF(CriteriTecnici!$A1317="","","    "&amp;CHAR(123)&amp;CHAR(34)&amp;"bidderId"&amp;CHAR(34)&amp;": "&amp;CHAR(34)&amp;SUBSTITUTE(CriteriTecnici!$A1317,CHAR(34),"'")&amp;CHAR(34)&amp;", "&amp;CHAR(34)&amp;"lotId"&amp;CHAR(34)&amp;": "&amp;CHAR(34)&amp;SUBSTITUTE(CriteriTecnici!$C1317,CHAR(34),"'")&amp;CHAR(34)&amp;", "&amp;CHAR(34)&amp;"criterionId"&amp;CHAR(34)&amp;": "&amp;CHAR(34)&amp;SUBSTITUTE(CriteriTecnici!$D1317,CHAR(34),"'")&amp;CHAR(34)&amp;", "&amp;CHAR(34)&amp;"kind"&amp;CHAR(34)&amp;": "&amp;CHAR(34)&amp;SUBSTITUTE(CriteriTecnici!$F1317,CHAR(34),"'")&amp;CHAR(34)&amp;", "&amp;CHAR(34)&amp;"value"&amp;CHAR(34)&amp;": "&amp;SUBSTITUTE(TRIM(ROUND(IFERROR(CriteriTecnici!$N1317*1,IFERROR(NUMBERVALUE(CriteriTecnici!$N1317,".",","),IFERROR(NUMBERVALUE(CriteriTecnici!$N1317,",","."),0))),4)&amp;""),",",".")&amp;", "&amp;CHAR(34)&amp;"numerator"&amp;CHAR(34)&amp;": "&amp;SUBSTITUTE(TRIM(ROUND(IFERROR(CriteriTecnici!$K1317*1,IFERROR(NUMBERVALUE(CriteriTecnici!$K1317,".",","),IFERROR(NUMBERVALUE(CriteriTecnici!$K1317,",","."),0))),4)&amp;""),",",".")&amp;", "&amp;CHAR(34)&amp;"denominator"&amp;CHAR(34)&amp;": "&amp;SUBSTITUTE(TRIM(ROUND(IFERROR(CriteriTecnici!$L1317*1,IFERROR(NUMBERVALUE(CriteriTecnici!$L1317,".",","),IFERROR(NUMBERVALUE(CriteriTecnici!$L1317,",","."),0))),4)&amp;""),",",".")&amp;", "&amp;CHAR(34)&amp;"flag"&amp;CHAR(34)&amp;": "&amp;SUBSTITUTE(TRIM(ROUND(IFERROR(CriteriTecnici!$M1317*1,IFERROR(NUMBERVALUE(CriteriTecnici!$M1317,".",","),IFERROR(NUMBERVALUE(CriteriTecnici!$M1317,",","."),0))),4)&amp;""),",",".")&amp;", "&amp;CHAR(34)&amp;"rawScore"&amp;CHAR(34)&amp;": "&amp;SUBSTITUTE(TRIM(ROUND(IFERROR(CriteriTecnici!$O1317*1,IFERROR(NUMBERVALUE(CriteriTecnici!$O1317,".",","),IFERROR(NUMBERVALUE(CriteriTecnici!$O1317,",","."),0))),4)&amp;""),",",".")&amp;CHAR(125)&amp;IF(TRUE,",",""))</f>
        <v/>
      </c>
    </row>
    <row r="1419">
      <c r="A1419" s="82">
        <f>IF(CriteriTecnici!$A1318="","","    "&amp;CHAR(123)&amp;CHAR(34)&amp;"bidderId"&amp;CHAR(34)&amp;": "&amp;CHAR(34)&amp;SUBSTITUTE(CriteriTecnici!$A1318,CHAR(34),"'")&amp;CHAR(34)&amp;", "&amp;CHAR(34)&amp;"lotId"&amp;CHAR(34)&amp;": "&amp;CHAR(34)&amp;SUBSTITUTE(CriteriTecnici!$C1318,CHAR(34),"'")&amp;CHAR(34)&amp;", "&amp;CHAR(34)&amp;"criterionId"&amp;CHAR(34)&amp;": "&amp;CHAR(34)&amp;SUBSTITUTE(CriteriTecnici!$D1318,CHAR(34),"'")&amp;CHAR(34)&amp;", "&amp;CHAR(34)&amp;"kind"&amp;CHAR(34)&amp;": "&amp;CHAR(34)&amp;SUBSTITUTE(CriteriTecnici!$F1318,CHAR(34),"'")&amp;CHAR(34)&amp;", "&amp;CHAR(34)&amp;"value"&amp;CHAR(34)&amp;": "&amp;SUBSTITUTE(TRIM(ROUND(IFERROR(CriteriTecnici!$N1318*1,IFERROR(NUMBERVALUE(CriteriTecnici!$N1318,".",","),IFERROR(NUMBERVALUE(CriteriTecnici!$N1318,",","."),0))),4)&amp;""),",",".")&amp;", "&amp;CHAR(34)&amp;"numerator"&amp;CHAR(34)&amp;": "&amp;SUBSTITUTE(TRIM(ROUND(IFERROR(CriteriTecnici!$K1318*1,IFERROR(NUMBERVALUE(CriteriTecnici!$K1318,".",","),IFERROR(NUMBERVALUE(CriteriTecnici!$K1318,",","."),0))),4)&amp;""),",",".")&amp;", "&amp;CHAR(34)&amp;"denominator"&amp;CHAR(34)&amp;": "&amp;SUBSTITUTE(TRIM(ROUND(IFERROR(CriteriTecnici!$L1318*1,IFERROR(NUMBERVALUE(CriteriTecnici!$L1318,".",","),IFERROR(NUMBERVALUE(CriteriTecnici!$L1318,",","."),0))),4)&amp;""),",",".")&amp;", "&amp;CHAR(34)&amp;"flag"&amp;CHAR(34)&amp;": "&amp;SUBSTITUTE(TRIM(ROUND(IFERROR(CriteriTecnici!$M1318*1,IFERROR(NUMBERVALUE(CriteriTecnici!$M1318,".",","),IFERROR(NUMBERVALUE(CriteriTecnici!$M1318,",","."),0))),4)&amp;""),",",".")&amp;", "&amp;CHAR(34)&amp;"rawScore"&amp;CHAR(34)&amp;": "&amp;SUBSTITUTE(TRIM(ROUND(IFERROR(CriteriTecnici!$O1318*1,IFERROR(NUMBERVALUE(CriteriTecnici!$O1318,".",","),IFERROR(NUMBERVALUE(CriteriTecnici!$O1318,",","."),0))),4)&amp;""),",",".")&amp;CHAR(125)&amp;IF(TRUE,",",""))</f>
        <v/>
      </c>
    </row>
    <row r="1420">
      <c r="A1420" s="82">
        <f>IF(CriteriTecnici!$A1319="","","    "&amp;CHAR(123)&amp;CHAR(34)&amp;"bidderId"&amp;CHAR(34)&amp;": "&amp;CHAR(34)&amp;SUBSTITUTE(CriteriTecnici!$A1319,CHAR(34),"'")&amp;CHAR(34)&amp;", "&amp;CHAR(34)&amp;"lotId"&amp;CHAR(34)&amp;": "&amp;CHAR(34)&amp;SUBSTITUTE(CriteriTecnici!$C1319,CHAR(34),"'")&amp;CHAR(34)&amp;", "&amp;CHAR(34)&amp;"criterionId"&amp;CHAR(34)&amp;": "&amp;CHAR(34)&amp;SUBSTITUTE(CriteriTecnici!$D1319,CHAR(34),"'")&amp;CHAR(34)&amp;", "&amp;CHAR(34)&amp;"kind"&amp;CHAR(34)&amp;": "&amp;CHAR(34)&amp;SUBSTITUTE(CriteriTecnici!$F1319,CHAR(34),"'")&amp;CHAR(34)&amp;", "&amp;CHAR(34)&amp;"value"&amp;CHAR(34)&amp;": "&amp;SUBSTITUTE(TRIM(ROUND(IFERROR(CriteriTecnici!$N1319*1,IFERROR(NUMBERVALUE(CriteriTecnici!$N1319,".",","),IFERROR(NUMBERVALUE(CriteriTecnici!$N1319,",","."),0))),4)&amp;""),",",".")&amp;", "&amp;CHAR(34)&amp;"numerator"&amp;CHAR(34)&amp;": "&amp;SUBSTITUTE(TRIM(ROUND(IFERROR(CriteriTecnici!$K1319*1,IFERROR(NUMBERVALUE(CriteriTecnici!$K1319,".",","),IFERROR(NUMBERVALUE(CriteriTecnici!$K1319,",","."),0))),4)&amp;""),",",".")&amp;", "&amp;CHAR(34)&amp;"denominator"&amp;CHAR(34)&amp;": "&amp;SUBSTITUTE(TRIM(ROUND(IFERROR(CriteriTecnici!$L1319*1,IFERROR(NUMBERVALUE(CriteriTecnici!$L1319,".",","),IFERROR(NUMBERVALUE(CriteriTecnici!$L1319,",","."),0))),4)&amp;""),",",".")&amp;", "&amp;CHAR(34)&amp;"flag"&amp;CHAR(34)&amp;": "&amp;SUBSTITUTE(TRIM(ROUND(IFERROR(CriteriTecnici!$M1319*1,IFERROR(NUMBERVALUE(CriteriTecnici!$M1319,".",","),IFERROR(NUMBERVALUE(CriteriTecnici!$M1319,",","."),0))),4)&amp;""),",",".")&amp;", "&amp;CHAR(34)&amp;"rawScore"&amp;CHAR(34)&amp;": "&amp;SUBSTITUTE(TRIM(ROUND(IFERROR(CriteriTecnici!$O1319*1,IFERROR(NUMBERVALUE(CriteriTecnici!$O1319,".",","),IFERROR(NUMBERVALUE(CriteriTecnici!$O1319,",","."),0))),4)&amp;""),",",".")&amp;CHAR(125)&amp;IF(TRUE,",",""))</f>
        <v/>
      </c>
    </row>
    <row r="1421">
      <c r="A1421" s="82">
        <f>IF(CriteriTecnici!$A1320="","","    "&amp;CHAR(123)&amp;CHAR(34)&amp;"bidderId"&amp;CHAR(34)&amp;": "&amp;CHAR(34)&amp;SUBSTITUTE(CriteriTecnici!$A1320,CHAR(34),"'")&amp;CHAR(34)&amp;", "&amp;CHAR(34)&amp;"lotId"&amp;CHAR(34)&amp;": "&amp;CHAR(34)&amp;SUBSTITUTE(CriteriTecnici!$C1320,CHAR(34),"'")&amp;CHAR(34)&amp;", "&amp;CHAR(34)&amp;"criterionId"&amp;CHAR(34)&amp;": "&amp;CHAR(34)&amp;SUBSTITUTE(CriteriTecnici!$D1320,CHAR(34),"'")&amp;CHAR(34)&amp;", "&amp;CHAR(34)&amp;"kind"&amp;CHAR(34)&amp;": "&amp;CHAR(34)&amp;SUBSTITUTE(CriteriTecnici!$F1320,CHAR(34),"'")&amp;CHAR(34)&amp;", "&amp;CHAR(34)&amp;"value"&amp;CHAR(34)&amp;": "&amp;SUBSTITUTE(TRIM(ROUND(IFERROR(CriteriTecnici!$N1320*1,IFERROR(NUMBERVALUE(CriteriTecnici!$N1320,".",","),IFERROR(NUMBERVALUE(CriteriTecnici!$N1320,",","."),0))),4)&amp;""),",",".")&amp;", "&amp;CHAR(34)&amp;"numerator"&amp;CHAR(34)&amp;": "&amp;SUBSTITUTE(TRIM(ROUND(IFERROR(CriteriTecnici!$K1320*1,IFERROR(NUMBERVALUE(CriteriTecnici!$K1320,".",","),IFERROR(NUMBERVALUE(CriteriTecnici!$K1320,",","."),0))),4)&amp;""),",",".")&amp;", "&amp;CHAR(34)&amp;"denominator"&amp;CHAR(34)&amp;": "&amp;SUBSTITUTE(TRIM(ROUND(IFERROR(CriteriTecnici!$L1320*1,IFERROR(NUMBERVALUE(CriteriTecnici!$L1320,".",","),IFERROR(NUMBERVALUE(CriteriTecnici!$L1320,",","."),0))),4)&amp;""),",",".")&amp;", "&amp;CHAR(34)&amp;"flag"&amp;CHAR(34)&amp;": "&amp;SUBSTITUTE(TRIM(ROUND(IFERROR(CriteriTecnici!$M1320*1,IFERROR(NUMBERVALUE(CriteriTecnici!$M1320,".",","),IFERROR(NUMBERVALUE(CriteriTecnici!$M1320,",","."),0))),4)&amp;""),",",".")&amp;", "&amp;CHAR(34)&amp;"rawScore"&amp;CHAR(34)&amp;": "&amp;SUBSTITUTE(TRIM(ROUND(IFERROR(CriteriTecnici!$O1320*1,IFERROR(NUMBERVALUE(CriteriTecnici!$O1320,".",","),IFERROR(NUMBERVALUE(CriteriTecnici!$O1320,",","."),0))),4)&amp;""),",",".")&amp;CHAR(125)&amp;IF(TRUE,",",""))</f>
        <v/>
      </c>
    </row>
    <row r="1422">
      <c r="A1422" s="82">
        <f>IF(CriteriTecnici!$A1321="","","    "&amp;CHAR(123)&amp;CHAR(34)&amp;"bidderId"&amp;CHAR(34)&amp;": "&amp;CHAR(34)&amp;SUBSTITUTE(CriteriTecnici!$A1321,CHAR(34),"'")&amp;CHAR(34)&amp;", "&amp;CHAR(34)&amp;"lotId"&amp;CHAR(34)&amp;": "&amp;CHAR(34)&amp;SUBSTITUTE(CriteriTecnici!$C1321,CHAR(34),"'")&amp;CHAR(34)&amp;", "&amp;CHAR(34)&amp;"criterionId"&amp;CHAR(34)&amp;": "&amp;CHAR(34)&amp;SUBSTITUTE(CriteriTecnici!$D1321,CHAR(34),"'")&amp;CHAR(34)&amp;", "&amp;CHAR(34)&amp;"kind"&amp;CHAR(34)&amp;": "&amp;CHAR(34)&amp;SUBSTITUTE(CriteriTecnici!$F1321,CHAR(34),"'")&amp;CHAR(34)&amp;", "&amp;CHAR(34)&amp;"value"&amp;CHAR(34)&amp;": "&amp;SUBSTITUTE(TRIM(ROUND(IFERROR(CriteriTecnici!$N1321*1,IFERROR(NUMBERVALUE(CriteriTecnici!$N1321,".",","),IFERROR(NUMBERVALUE(CriteriTecnici!$N1321,",","."),0))),4)&amp;""),",",".")&amp;", "&amp;CHAR(34)&amp;"numerator"&amp;CHAR(34)&amp;": "&amp;SUBSTITUTE(TRIM(ROUND(IFERROR(CriteriTecnici!$K1321*1,IFERROR(NUMBERVALUE(CriteriTecnici!$K1321,".",","),IFERROR(NUMBERVALUE(CriteriTecnici!$K1321,",","."),0))),4)&amp;""),",",".")&amp;", "&amp;CHAR(34)&amp;"denominator"&amp;CHAR(34)&amp;": "&amp;SUBSTITUTE(TRIM(ROUND(IFERROR(CriteriTecnici!$L1321*1,IFERROR(NUMBERVALUE(CriteriTecnici!$L1321,".",","),IFERROR(NUMBERVALUE(CriteriTecnici!$L1321,",","."),0))),4)&amp;""),",",".")&amp;", "&amp;CHAR(34)&amp;"flag"&amp;CHAR(34)&amp;": "&amp;SUBSTITUTE(TRIM(ROUND(IFERROR(CriteriTecnici!$M1321*1,IFERROR(NUMBERVALUE(CriteriTecnici!$M1321,".",","),IFERROR(NUMBERVALUE(CriteriTecnici!$M1321,",","."),0))),4)&amp;""),",",".")&amp;", "&amp;CHAR(34)&amp;"rawScore"&amp;CHAR(34)&amp;": "&amp;SUBSTITUTE(TRIM(ROUND(IFERROR(CriteriTecnici!$O1321*1,IFERROR(NUMBERVALUE(CriteriTecnici!$O1321,".",","),IFERROR(NUMBERVALUE(CriteriTecnici!$O1321,",","."),0))),4)&amp;""),",",".")&amp;CHAR(125)&amp;IF(TRUE,",",""))</f>
        <v/>
      </c>
    </row>
    <row r="1423">
      <c r="A1423" s="82">
        <f>IF(CriteriTecnici!$A1322="","","    "&amp;CHAR(123)&amp;CHAR(34)&amp;"bidderId"&amp;CHAR(34)&amp;": "&amp;CHAR(34)&amp;SUBSTITUTE(CriteriTecnici!$A1322,CHAR(34),"'")&amp;CHAR(34)&amp;", "&amp;CHAR(34)&amp;"lotId"&amp;CHAR(34)&amp;": "&amp;CHAR(34)&amp;SUBSTITUTE(CriteriTecnici!$C1322,CHAR(34),"'")&amp;CHAR(34)&amp;", "&amp;CHAR(34)&amp;"criterionId"&amp;CHAR(34)&amp;": "&amp;CHAR(34)&amp;SUBSTITUTE(CriteriTecnici!$D1322,CHAR(34),"'")&amp;CHAR(34)&amp;", "&amp;CHAR(34)&amp;"kind"&amp;CHAR(34)&amp;": "&amp;CHAR(34)&amp;SUBSTITUTE(CriteriTecnici!$F1322,CHAR(34),"'")&amp;CHAR(34)&amp;", "&amp;CHAR(34)&amp;"value"&amp;CHAR(34)&amp;": "&amp;SUBSTITUTE(TRIM(ROUND(IFERROR(CriteriTecnici!$N1322*1,IFERROR(NUMBERVALUE(CriteriTecnici!$N1322,".",","),IFERROR(NUMBERVALUE(CriteriTecnici!$N1322,",","."),0))),4)&amp;""),",",".")&amp;", "&amp;CHAR(34)&amp;"numerator"&amp;CHAR(34)&amp;": "&amp;SUBSTITUTE(TRIM(ROUND(IFERROR(CriteriTecnici!$K1322*1,IFERROR(NUMBERVALUE(CriteriTecnici!$K1322,".",","),IFERROR(NUMBERVALUE(CriteriTecnici!$K1322,",","."),0))),4)&amp;""),",",".")&amp;", "&amp;CHAR(34)&amp;"denominator"&amp;CHAR(34)&amp;": "&amp;SUBSTITUTE(TRIM(ROUND(IFERROR(CriteriTecnici!$L1322*1,IFERROR(NUMBERVALUE(CriteriTecnici!$L1322,".",","),IFERROR(NUMBERVALUE(CriteriTecnici!$L1322,",","."),0))),4)&amp;""),",",".")&amp;", "&amp;CHAR(34)&amp;"flag"&amp;CHAR(34)&amp;": "&amp;SUBSTITUTE(TRIM(ROUND(IFERROR(CriteriTecnici!$M1322*1,IFERROR(NUMBERVALUE(CriteriTecnici!$M1322,".",","),IFERROR(NUMBERVALUE(CriteriTecnici!$M1322,",","."),0))),4)&amp;""),",",".")&amp;", "&amp;CHAR(34)&amp;"rawScore"&amp;CHAR(34)&amp;": "&amp;SUBSTITUTE(TRIM(ROUND(IFERROR(CriteriTecnici!$O1322*1,IFERROR(NUMBERVALUE(CriteriTecnici!$O1322,".",","),IFERROR(NUMBERVALUE(CriteriTecnici!$O1322,",","."),0))),4)&amp;""),",",".")&amp;CHAR(125)&amp;IF(TRUE,",",""))</f>
        <v/>
      </c>
    </row>
    <row r="1424">
      <c r="A1424" s="82">
        <f>IF(CriteriTecnici!$A1323="","","    "&amp;CHAR(123)&amp;CHAR(34)&amp;"bidderId"&amp;CHAR(34)&amp;": "&amp;CHAR(34)&amp;SUBSTITUTE(CriteriTecnici!$A1323,CHAR(34),"'")&amp;CHAR(34)&amp;", "&amp;CHAR(34)&amp;"lotId"&amp;CHAR(34)&amp;": "&amp;CHAR(34)&amp;SUBSTITUTE(CriteriTecnici!$C1323,CHAR(34),"'")&amp;CHAR(34)&amp;", "&amp;CHAR(34)&amp;"criterionId"&amp;CHAR(34)&amp;": "&amp;CHAR(34)&amp;SUBSTITUTE(CriteriTecnici!$D1323,CHAR(34),"'")&amp;CHAR(34)&amp;", "&amp;CHAR(34)&amp;"kind"&amp;CHAR(34)&amp;": "&amp;CHAR(34)&amp;SUBSTITUTE(CriteriTecnici!$F1323,CHAR(34),"'")&amp;CHAR(34)&amp;", "&amp;CHAR(34)&amp;"value"&amp;CHAR(34)&amp;": "&amp;SUBSTITUTE(TRIM(ROUND(IFERROR(CriteriTecnici!$N1323*1,IFERROR(NUMBERVALUE(CriteriTecnici!$N1323,".",","),IFERROR(NUMBERVALUE(CriteriTecnici!$N1323,",","."),0))),4)&amp;""),",",".")&amp;", "&amp;CHAR(34)&amp;"numerator"&amp;CHAR(34)&amp;": "&amp;SUBSTITUTE(TRIM(ROUND(IFERROR(CriteriTecnici!$K1323*1,IFERROR(NUMBERVALUE(CriteriTecnici!$K1323,".",","),IFERROR(NUMBERVALUE(CriteriTecnici!$K1323,",","."),0))),4)&amp;""),",",".")&amp;", "&amp;CHAR(34)&amp;"denominator"&amp;CHAR(34)&amp;": "&amp;SUBSTITUTE(TRIM(ROUND(IFERROR(CriteriTecnici!$L1323*1,IFERROR(NUMBERVALUE(CriteriTecnici!$L1323,".",","),IFERROR(NUMBERVALUE(CriteriTecnici!$L1323,",","."),0))),4)&amp;""),",",".")&amp;", "&amp;CHAR(34)&amp;"flag"&amp;CHAR(34)&amp;": "&amp;SUBSTITUTE(TRIM(ROUND(IFERROR(CriteriTecnici!$M1323*1,IFERROR(NUMBERVALUE(CriteriTecnici!$M1323,".",","),IFERROR(NUMBERVALUE(CriteriTecnici!$M1323,",","."),0))),4)&amp;""),",",".")&amp;", "&amp;CHAR(34)&amp;"rawScore"&amp;CHAR(34)&amp;": "&amp;SUBSTITUTE(TRIM(ROUND(IFERROR(CriteriTecnici!$O1323*1,IFERROR(NUMBERVALUE(CriteriTecnici!$O1323,".",","),IFERROR(NUMBERVALUE(CriteriTecnici!$O1323,",","."),0))),4)&amp;""),",",".")&amp;CHAR(125)&amp;IF(TRUE,",",""))</f>
        <v/>
      </c>
    </row>
    <row r="1425">
      <c r="A1425" s="82">
        <f>IF(CriteriTecnici!$A1324="","","    "&amp;CHAR(123)&amp;CHAR(34)&amp;"bidderId"&amp;CHAR(34)&amp;": "&amp;CHAR(34)&amp;SUBSTITUTE(CriteriTecnici!$A1324,CHAR(34),"'")&amp;CHAR(34)&amp;", "&amp;CHAR(34)&amp;"lotId"&amp;CHAR(34)&amp;": "&amp;CHAR(34)&amp;SUBSTITUTE(CriteriTecnici!$C1324,CHAR(34),"'")&amp;CHAR(34)&amp;", "&amp;CHAR(34)&amp;"criterionId"&amp;CHAR(34)&amp;": "&amp;CHAR(34)&amp;SUBSTITUTE(CriteriTecnici!$D1324,CHAR(34),"'")&amp;CHAR(34)&amp;", "&amp;CHAR(34)&amp;"kind"&amp;CHAR(34)&amp;": "&amp;CHAR(34)&amp;SUBSTITUTE(CriteriTecnici!$F1324,CHAR(34),"'")&amp;CHAR(34)&amp;", "&amp;CHAR(34)&amp;"value"&amp;CHAR(34)&amp;": "&amp;SUBSTITUTE(TRIM(ROUND(IFERROR(CriteriTecnici!$N1324*1,IFERROR(NUMBERVALUE(CriteriTecnici!$N1324,".",","),IFERROR(NUMBERVALUE(CriteriTecnici!$N1324,",","."),0))),4)&amp;""),",",".")&amp;", "&amp;CHAR(34)&amp;"numerator"&amp;CHAR(34)&amp;": "&amp;SUBSTITUTE(TRIM(ROUND(IFERROR(CriteriTecnici!$K1324*1,IFERROR(NUMBERVALUE(CriteriTecnici!$K1324,".",","),IFERROR(NUMBERVALUE(CriteriTecnici!$K1324,",","."),0))),4)&amp;""),",",".")&amp;", "&amp;CHAR(34)&amp;"denominator"&amp;CHAR(34)&amp;": "&amp;SUBSTITUTE(TRIM(ROUND(IFERROR(CriteriTecnici!$L1324*1,IFERROR(NUMBERVALUE(CriteriTecnici!$L1324,".",","),IFERROR(NUMBERVALUE(CriteriTecnici!$L1324,",","."),0))),4)&amp;""),",",".")&amp;", "&amp;CHAR(34)&amp;"flag"&amp;CHAR(34)&amp;": "&amp;SUBSTITUTE(TRIM(ROUND(IFERROR(CriteriTecnici!$M1324*1,IFERROR(NUMBERVALUE(CriteriTecnici!$M1324,".",","),IFERROR(NUMBERVALUE(CriteriTecnici!$M1324,",","."),0))),4)&amp;""),",",".")&amp;", "&amp;CHAR(34)&amp;"rawScore"&amp;CHAR(34)&amp;": "&amp;SUBSTITUTE(TRIM(ROUND(IFERROR(CriteriTecnici!$O1324*1,IFERROR(NUMBERVALUE(CriteriTecnici!$O1324,".",","),IFERROR(NUMBERVALUE(CriteriTecnici!$O1324,",","."),0))),4)&amp;""),",",".")&amp;CHAR(125)&amp;IF(TRUE,",",""))</f>
        <v/>
      </c>
    </row>
    <row r="1426">
      <c r="A1426" s="82">
        <f>IF(CriteriTecnici!$A1325="","","    "&amp;CHAR(123)&amp;CHAR(34)&amp;"bidderId"&amp;CHAR(34)&amp;": "&amp;CHAR(34)&amp;SUBSTITUTE(CriteriTecnici!$A1325,CHAR(34),"'")&amp;CHAR(34)&amp;", "&amp;CHAR(34)&amp;"lotId"&amp;CHAR(34)&amp;": "&amp;CHAR(34)&amp;SUBSTITUTE(CriteriTecnici!$C1325,CHAR(34),"'")&amp;CHAR(34)&amp;", "&amp;CHAR(34)&amp;"criterionId"&amp;CHAR(34)&amp;": "&amp;CHAR(34)&amp;SUBSTITUTE(CriteriTecnici!$D1325,CHAR(34),"'")&amp;CHAR(34)&amp;", "&amp;CHAR(34)&amp;"kind"&amp;CHAR(34)&amp;": "&amp;CHAR(34)&amp;SUBSTITUTE(CriteriTecnici!$F1325,CHAR(34),"'")&amp;CHAR(34)&amp;", "&amp;CHAR(34)&amp;"value"&amp;CHAR(34)&amp;": "&amp;SUBSTITUTE(TRIM(ROUND(IFERROR(CriteriTecnici!$N1325*1,IFERROR(NUMBERVALUE(CriteriTecnici!$N1325,".",","),IFERROR(NUMBERVALUE(CriteriTecnici!$N1325,",","."),0))),4)&amp;""),",",".")&amp;", "&amp;CHAR(34)&amp;"numerator"&amp;CHAR(34)&amp;": "&amp;SUBSTITUTE(TRIM(ROUND(IFERROR(CriteriTecnici!$K1325*1,IFERROR(NUMBERVALUE(CriteriTecnici!$K1325,".",","),IFERROR(NUMBERVALUE(CriteriTecnici!$K1325,",","."),0))),4)&amp;""),",",".")&amp;", "&amp;CHAR(34)&amp;"denominator"&amp;CHAR(34)&amp;": "&amp;SUBSTITUTE(TRIM(ROUND(IFERROR(CriteriTecnici!$L1325*1,IFERROR(NUMBERVALUE(CriteriTecnici!$L1325,".",","),IFERROR(NUMBERVALUE(CriteriTecnici!$L1325,",","."),0))),4)&amp;""),",",".")&amp;", "&amp;CHAR(34)&amp;"flag"&amp;CHAR(34)&amp;": "&amp;SUBSTITUTE(TRIM(ROUND(IFERROR(CriteriTecnici!$M1325*1,IFERROR(NUMBERVALUE(CriteriTecnici!$M1325,".",","),IFERROR(NUMBERVALUE(CriteriTecnici!$M1325,",","."),0))),4)&amp;""),",",".")&amp;", "&amp;CHAR(34)&amp;"rawScore"&amp;CHAR(34)&amp;": "&amp;SUBSTITUTE(TRIM(ROUND(IFERROR(CriteriTecnici!$O1325*1,IFERROR(NUMBERVALUE(CriteriTecnici!$O1325,".",","),IFERROR(NUMBERVALUE(CriteriTecnici!$O1325,",","."),0))),4)&amp;""),",",".")&amp;CHAR(125)&amp;IF(TRUE,",",""))</f>
        <v/>
      </c>
    </row>
    <row r="1427">
      <c r="A1427" s="82">
        <f>IF(CriteriTecnici!$A1326="","","    "&amp;CHAR(123)&amp;CHAR(34)&amp;"bidderId"&amp;CHAR(34)&amp;": "&amp;CHAR(34)&amp;SUBSTITUTE(CriteriTecnici!$A1326,CHAR(34),"'")&amp;CHAR(34)&amp;", "&amp;CHAR(34)&amp;"lotId"&amp;CHAR(34)&amp;": "&amp;CHAR(34)&amp;SUBSTITUTE(CriteriTecnici!$C1326,CHAR(34),"'")&amp;CHAR(34)&amp;", "&amp;CHAR(34)&amp;"criterionId"&amp;CHAR(34)&amp;": "&amp;CHAR(34)&amp;SUBSTITUTE(CriteriTecnici!$D1326,CHAR(34),"'")&amp;CHAR(34)&amp;", "&amp;CHAR(34)&amp;"kind"&amp;CHAR(34)&amp;": "&amp;CHAR(34)&amp;SUBSTITUTE(CriteriTecnici!$F1326,CHAR(34),"'")&amp;CHAR(34)&amp;", "&amp;CHAR(34)&amp;"value"&amp;CHAR(34)&amp;": "&amp;SUBSTITUTE(TRIM(ROUND(IFERROR(CriteriTecnici!$N1326*1,IFERROR(NUMBERVALUE(CriteriTecnici!$N1326,".",","),IFERROR(NUMBERVALUE(CriteriTecnici!$N1326,",","."),0))),4)&amp;""),",",".")&amp;", "&amp;CHAR(34)&amp;"numerator"&amp;CHAR(34)&amp;": "&amp;SUBSTITUTE(TRIM(ROUND(IFERROR(CriteriTecnici!$K1326*1,IFERROR(NUMBERVALUE(CriteriTecnici!$K1326,".",","),IFERROR(NUMBERVALUE(CriteriTecnici!$K1326,",","."),0))),4)&amp;""),",",".")&amp;", "&amp;CHAR(34)&amp;"denominator"&amp;CHAR(34)&amp;": "&amp;SUBSTITUTE(TRIM(ROUND(IFERROR(CriteriTecnici!$L1326*1,IFERROR(NUMBERVALUE(CriteriTecnici!$L1326,".",","),IFERROR(NUMBERVALUE(CriteriTecnici!$L1326,",","."),0))),4)&amp;""),",",".")&amp;", "&amp;CHAR(34)&amp;"flag"&amp;CHAR(34)&amp;": "&amp;SUBSTITUTE(TRIM(ROUND(IFERROR(CriteriTecnici!$M1326*1,IFERROR(NUMBERVALUE(CriteriTecnici!$M1326,".",","),IFERROR(NUMBERVALUE(CriteriTecnici!$M1326,",","."),0))),4)&amp;""),",",".")&amp;", "&amp;CHAR(34)&amp;"rawScore"&amp;CHAR(34)&amp;": "&amp;SUBSTITUTE(TRIM(ROUND(IFERROR(CriteriTecnici!$O1326*1,IFERROR(NUMBERVALUE(CriteriTecnici!$O1326,".",","),IFERROR(NUMBERVALUE(CriteriTecnici!$O1326,",","."),0))),4)&amp;""),",",".")&amp;CHAR(125)&amp;IF(TRUE,",",""))</f>
        <v/>
      </c>
    </row>
    <row r="1428">
      <c r="A1428" s="82">
        <f>IF(CriteriTecnici!$A1327="","","    "&amp;CHAR(123)&amp;CHAR(34)&amp;"bidderId"&amp;CHAR(34)&amp;": "&amp;CHAR(34)&amp;SUBSTITUTE(CriteriTecnici!$A1327,CHAR(34),"'")&amp;CHAR(34)&amp;", "&amp;CHAR(34)&amp;"lotId"&amp;CHAR(34)&amp;": "&amp;CHAR(34)&amp;SUBSTITUTE(CriteriTecnici!$C1327,CHAR(34),"'")&amp;CHAR(34)&amp;", "&amp;CHAR(34)&amp;"criterionId"&amp;CHAR(34)&amp;": "&amp;CHAR(34)&amp;SUBSTITUTE(CriteriTecnici!$D1327,CHAR(34),"'")&amp;CHAR(34)&amp;", "&amp;CHAR(34)&amp;"kind"&amp;CHAR(34)&amp;": "&amp;CHAR(34)&amp;SUBSTITUTE(CriteriTecnici!$F1327,CHAR(34),"'")&amp;CHAR(34)&amp;", "&amp;CHAR(34)&amp;"value"&amp;CHAR(34)&amp;": "&amp;SUBSTITUTE(TRIM(ROUND(IFERROR(CriteriTecnici!$N1327*1,IFERROR(NUMBERVALUE(CriteriTecnici!$N1327,".",","),IFERROR(NUMBERVALUE(CriteriTecnici!$N1327,",","."),0))),4)&amp;""),",",".")&amp;", "&amp;CHAR(34)&amp;"numerator"&amp;CHAR(34)&amp;": "&amp;SUBSTITUTE(TRIM(ROUND(IFERROR(CriteriTecnici!$K1327*1,IFERROR(NUMBERVALUE(CriteriTecnici!$K1327,".",","),IFERROR(NUMBERVALUE(CriteriTecnici!$K1327,",","."),0))),4)&amp;""),",",".")&amp;", "&amp;CHAR(34)&amp;"denominator"&amp;CHAR(34)&amp;": "&amp;SUBSTITUTE(TRIM(ROUND(IFERROR(CriteriTecnici!$L1327*1,IFERROR(NUMBERVALUE(CriteriTecnici!$L1327,".",","),IFERROR(NUMBERVALUE(CriteriTecnici!$L1327,",","."),0))),4)&amp;""),",",".")&amp;", "&amp;CHAR(34)&amp;"flag"&amp;CHAR(34)&amp;": "&amp;SUBSTITUTE(TRIM(ROUND(IFERROR(CriteriTecnici!$M1327*1,IFERROR(NUMBERVALUE(CriteriTecnici!$M1327,".",","),IFERROR(NUMBERVALUE(CriteriTecnici!$M1327,",","."),0))),4)&amp;""),",",".")&amp;", "&amp;CHAR(34)&amp;"rawScore"&amp;CHAR(34)&amp;": "&amp;SUBSTITUTE(TRIM(ROUND(IFERROR(CriteriTecnici!$O1327*1,IFERROR(NUMBERVALUE(CriteriTecnici!$O1327,".",","),IFERROR(NUMBERVALUE(CriteriTecnici!$O1327,",","."),0))),4)&amp;""),",",".")&amp;CHAR(125)&amp;IF(TRUE,",",""))</f>
        <v/>
      </c>
    </row>
    <row r="1429">
      <c r="A1429" s="82">
        <f>IF(CriteriTecnici!$A1328="","","    "&amp;CHAR(123)&amp;CHAR(34)&amp;"bidderId"&amp;CHAR(34)&amp;": "&amp;CHAR(34)&amp;SUBSTITUTE(CriteriTecnici!$A1328,CHAR(34),"'")&amp;CHAR(34)&amp;", "&amp;CHAR(34)&amp;"lotId"&amp;CHAR(34)&amp;": "&amp;CHAR(34)&amp;SUBSTITUTE(CriteriTecnici!$C1328,CHAR(34),"'")&amp;CHAR(34)&amp;", "&amp;CHAR(34)&amp;"criterionId"&amp;CHAR(34)&amp;": "&amp;CHAR(34)&amp;SUBSTITUTE(CriteriTecnici!$D1328,CHAR(34),"'")&amp;CHAR(34)&amp;", "&amp;CHAR(34)&amp;"kind"&amp;CHAR(34)&amp;": "&amp;CHAR(34)&amp;SUBSTITUTE(CriteriTecnici!$F1328,CHAR(34),"'")&amp;CHAR(34)&amp;", "&amp;CHAR(34)&amp;"value"&amp;CHAR(34)&amp;": "&amp;SUBSTITUTE(TRIM(ROUND(IFERROR(CriteriTecnici!$N1328*1,IFERROR(NUMBERVALUE(CriteriTecnici!$N1328,".",","),IFERROR(NUMBERVALUE(CriteriTecnici!$N1328,",","."),0))),4)&amp;""),",",".")&amp;", "&amp;CHAR(34)&amp;"numerator"&amp;CHAR(34)&amp;": "&amp;SUBSTITUTE(TRIM(ROUND(IFERROR(CriteriTecnici!$K1328*1,IFERROR(NUMBERVALUE(CriteriTecnici!$K1328,".",","),IFERROR(NUMBERVALUE(CriteriTecnici!$K1328,",","."),0))),4)&amp;""),",",".")&amp;", "&amp;CHAR(34)&amp;"denominator"&amp;CHAR(34)&amp;": "&amp;SUBSTITUTE(TRIM(ROUND(IFERROR(CriteriTecnici!$L1328*1,IFERROR(NUMBERVALUE(CriteriTecnici!$L1328,".",","),IFERROR(NUMBERVALUE(CriteriTecnici!$L1328,",","."),0))),4)&amp;""),",",".")&amp;", "&amp;CHAR(34)&amp;"flag"&amp;CHAR(34)&amp;": "&amp;SUBSTITUTE(TRIM(ROUND(IFERROR(CriteriTecnici!$M1328*1,IFERROR(NUMBERVALUE(CriteriTecnici!$M1328,".",","),IFERROR(NUMBERVALUE(CriteriTecnici!$M1328,",","."),0))),4)&amp;""),",",".")&amp;", "&amp;CHAR(34)&amp;"rawScore"&amp;CHAR(34)&amp;": "&amp;SUBSTITUTE(TRIM(ROUND(IFERROR(CriteriTecnici!$O1328*1,IFERROR(NUMBERVALUE(CriteriTecnici!$O1328,".",","),IFERROR(NUMBERVALUE(CriteriTecnici!$O1328,",","."),0))),4)&amp;""),",",".")&amp;CHAR(125)&amp;IF(TRUE,",",""))</f>
        <v/>
      </c>
    </row>
    <row r="1430">
      <c r="A1430" s="82">
        <f>IF(CriteriTecnici!$A1329="","","    "&amp;CHAR(123)&amp;CHAR(34)&amp;"bidderId"&amp;CHAR(34)&amp;": "&amp;CHAR(34)&amp;SUBSTITUTE(CriteriTecnici!$A1329,CHAR(34),"'")&amp;CHAR(34)&amp;", "&amp;CHAR(34)&amp;"lotId"&amp;CHAR(34)&amp;": "&amp;CHAR(34)&amp;SUBSTITUTE(CriteriTecnici!$C1329,CHAR(34),"'")&amp;CHAR(34)&amp;", "&amp;CHAR(34)&amp;"criterionId"&amp;CHAR(34)&amp;": "&amp;CHAR(34)&amp;SUBSTITUTE(CriteriTecnici!$D1329,CHAR(34),"'")&amp;CHAR(34)&amp;", "&amp;CHAR(34)&amp;"kind"&amp;CHAR(34)&amp;": "&amp;CHAR(34)&amp;SUBSTITUTE(CriteriTecnici!$F1329,CHAR(34),"'")&amp;CHAR(34)&amp;", "&amp;CHAR(34)&amp;"value"&amp;CHAR(34)&amp;": "&amp;SUBSTITUTE(TRIM(ROUND(IFERROR(CriteriTecnici!$N1329*1,IFERROR(NUMBERVALUE(CriteriTecnici!$N1329,".",","),IFERROR(NUMBERVALUE(CriteriTecnici!$N1329,",","."),0))),4)&amp;""),",",".")&amp;", "&amp;CHAR(34)&amp;"numerator"&amp;CHAR(34)&amp;": "&amp;SUBSTITUTE(TRIM(ROUND(IFERROR(CriteriTecnici!$K1329*1,IFERROR(NUMBERVALUE(CriteriTecnici!$K1329,".",","),IFERROR(NUMBERVALUE(CriteriTecnici!$K1329,",","."),0))),4)&amp;""),",",".")&amp;", "&amp;CHAR(34)&amp;"denominator"&amp;CHAR(34)&amp;": "&amp;SUBSTITUTE(TRIM(ROUND(IFERROR(CriteriTecnici!$L1329*1,IFERROR(NUMBERVALUE(CriteriTecnici!$L1329,".",","),IFERROR(NUMBERVALUE(CriteriTecnici!$L1329,",","."),0))),4)&amp;""),",",".")&amp;", "&amp;CHAR(34)&amp;"flag"&amp;CHAR(34)&amp;": "&amp;SUBSTITUTE(TRIM(ROUND(IFERROR(CriteriTecnici!$M1329*1,IFERROR(NUMBERVALUE(CriteriTecnici!$M1329,".",","),IFERROR(NUMBERVALUE(CriteriTecnici!$M1329,",","."),0))),4)&amp;""),",",".")&amp;", "&amp;CHAR(34)&amp;"rawScore"&amp;CHAR(34)&amp;": "&amp;SUBSTITUTE(TRIM(ROUND(IFERROR(CriteriTecnici!$O1329*1,IFERROR(NUMBERVALUE(CriteriTecnici!$O1329,".",","),IFERROR(NUMBERVALUE(CriteriTecnici!$O1329,",","."),0))),4)&amp;""),",",".")&amp;CHAR(125)&amp;IF(TRUE,",",""))</f>
        <v/>
      </c>
    </row>
    <row r="1431">
      <c r="A1431" s="82">
        <f>IF(CriteriTecnici!$A1330="","","    "&amp;CHAR(123)&amp;CHAR(34)&amp;"bidderId"&amp;CHAR(34)&amp;": "&amp;CHAR(34)&amp;SUBSTITUTE(CriteriTecnici!$A1330,CHAR(34),"'")&amp;CHAR(34)&amp;", "&amp;CHAR(34)&amp;"lotId"&amp;CHAR(34)&amp;": "&amp;CHAR(34)&amp;SUBSTITUTE(CriteriTecnici!$C1330,CHAR(34),"'")&amp;CHAR(34)&amp;", "&amp;CHAR(34)&amp;"criterionId"&amp;CHAR(34)&amp;": "&amp;CHAR(34)&amp;SUBSTITUTE(CriteriTecnici!$D1330,CHAR(34),"'")&amp;CHAR(34)&amp;", "&amp;CHAR(34)&amp;"kind"&amp;CHAR(34)&amp;": "&amp;CHAR(34)&amp;SUBSTITUTE(CriteriTecnici!$F1330,CHAR(34),"'")&amp;CHAR(34)&amp;", "&amp;CHAR(34)&amp;"value"&amp;CHAR(34)&amp;": "&amp;SUBSTITUTE(TRIM(ROUND(IFERROR(CriteriTecnici!$N1330*1,IFERROR(NUMBERVALUE(CriteriTecnici!$N1330,".",","),IFERROR(NUMBERVALUE(CriteriTecnici!$N1330,",","."),0))),4)&amp;""),",",".")&amp;", "&amp;CHAR(34)&amp;"numerator"&amp;CHAR(34)&amp;": "&amp;SUBSTITUTE(TRIM(ROUND(IFERROR(CriteriTecnici!$K1330*1,IFERROR(NUMBERVALUE(CriteriTecnici!$K1330,".",","),IFERROR(NUMBERVALUE(CriteriTecnici!$K1330,",","."),0))),4)&amp;""),",",".")&amp;", "&amp;CHAR(34)&amp;"denominator"&amp;CHAR(34)&amp;": "&amp;SUBSTITUTE(TRIM(ROUND(IFERROR(CriteriTecnici!$L1330*1,IFERROR(NUMBERVALUE(CriteriTecnici!$L1330,".",","),IFERROR(NUMBERVALUE(CriteriTecnici!$L1330,",","."),0))),4)&amp;""),",",".")&amp;", "&amp;CHAR(34)&amp;"flag"&amp;CHAR(34)&amp;": "&amp;SUBSTITUTE(TRIM(ROUND(IFERROR(CriteriTecnici!$M1330*1,IFERROR(NUMBERVALUE(CriteriTecnici!$M1330,".",","),IFERROR(NUMBERVALUE(CriteriTecnici!$M1330,",","."),0))),4)&amp;""),",",".")&amp;", "&amp;CHAR(34)&amp;"rawScore"&amp;CHAR(34)&amp;": "&amp;SUBSTITUTE(TRIM(ROUND(IFERROR(CriteriTecnici!$O1330*1,IFERROR(NUMBERVALUE(CriteriTecnici!$O1330,".",","),IFERROR(NUMBERVALUE(CriteriTecnici!$O1330,",","."),0))),4)&amp;""),",",".")&amp;CHAR(125)&amp;IF(TRUE,",",""))</f>
        <v/>
      </c>
    </row>
    <row r="1432">
      <c r="A1432" s="82">
        <f>IF(CriteriTecnici!$A1331="","","    "&amp;CHAR(123)&amp;CHAR(34)&amp;"bidderId"&amp;CHAR(34)&amp;": "&amp;CHAR(34)&amp;SUBSTITUTE(CriteriTecnici!$A1331,CHAR(34),"'")&amp;CHAR(34)&amp;", "&amp;CHAR(34)&amp;"lotId"&amp;CHAR(34)&amp;": "&amp;CHAR(34)&amp;SUBSTITUTE(CriteriTecnici!$C1331,CHAR(34),"'")&amp;CHAR(34)&amp;", "&amp;CHAR(34)&amp;"criterionId"&amp;CHAR(34)&amp;": "&amp;CHAR(34)&amp;SUBSTITUTE(CriteriTecnici!$D1331,CHAR(34),"'")&amp;CHAR(34)&amp;", "&amp;CHAR(34)&amp;"kind"&amp;CHAR(34)&amp;": "&amp;CHAR(34)&amp;SUBSTITUTE(CriteriTecnici!$F1331,CHAR(34),"'")&amp;CHAR(34)&amp;", "&amp;CHAR(34)&amp;"value"&amp;CHAR(34)&amp;": "&amp;SUBSTITUTE(TRIM(ROUND(IFERROR(CriteriTecnici!$N1331*1,IFERROR(NUMBERVALUE(CriteriTecnici!$N1331,".",","),IFERROR(NUMBERVALUE(CriteriTecnici!$N1331,",","."),0))),4)&amp;""),",",".")&amp;", "&amp;CHAR(34)&amp;"numerator"&amp;CHAR(34)&amp;": "&amp;SUBSTITUTE(TRIM(ROUND(IFERROR(CriteriTecnici!$K1331*1,IFERROR(NUMBERVALUE(CriteriTecnici!$K1331,".",","),IFERROR(NUMBERVALUE(CriteriTecnici!$K1331,",","."),0))),4)&amp;""),",",".")&amp;", "&amp;CHAR(34)&amp;"denominator"&amp;CHAR(34)&amp;": "&amp;SUBSTITUTE(TRIM(ROUND(IFERROR(CriteriTecnici!$L1331*1,IFERROR(NUMBERVALUE(CriteriTecnici!$L1331,".",","),IFERROR(NUMBERVALUE(CriteriTecnici!$L1331,",","."),0))),4)&amp;""),",",".")&amp;", "&amp;CHAR(34)&amp;"flag"&amp;CHAR(34)&amp;": "&amp;SUBSTITUTE(TRIM(ROUND(IFERROR(CriteriTecnici!$M1331*1,IFERROR(NUMBERVALUE(CriteriTecnici!$M1331,".",","),IFERROR(NUMBERVALUE(CriteriTecnici!$M1331,",","."),0))),4)&amp;""),",",".")&amp;", "&amp;CHAR(34)&amp;"rawScore"&amp;CHAR(34)&amp;": "&amp;SUBSTITUTE(TRIM(ROUND(IFERROR(CriteriTecnici!$O1331*1,IFERROR(NUMBERVALUE(CriteriTecnici!$O1331,".",","),IFERROR(NUMBERVALUE(CriteriTecnici!$O1331,",","."),0))),4)&amp;""),",",".")&amp;CHAR(125)&amp;IF(TRUE,",",""))</f>
        <v/>
      </c>
    </row>
    <row r="1433">
      <c r="A1433" s="82">
        <f>IF(CriteriTecnici!$A1332="","","    "&amp;CHAR(123)&amp;CHAR(34)&amp;"bidderId"&amp;CHAR(34)&amp;": "&amp;CHAR(34)&amp;SUBSTITUTE(CriteriTecnici!$A1332,CHAR(34),"'")&amp;CHAR(34)&amp;", "&amp;CHAR(34)&amp;"lotId"&amp;CHAR(34)&amp;": "&amp;CHAR(34)&amp;SUBSTITUTE(CriteriTecnici!$C1332,CHAR(34),"'")&amp;CHAR(34)&amp;", "&amp;CHAR(34)&amp;"criterionId"&amp;CHAR(34)&amp;": "&amp;CHAR(34)&amp;SUBSTITUTE(CriteriTecnici!$D1332,CHAR(34),"'")&amp;CHAR(34)&amp;", "&amp;CHAR(34)&amp;"kind"&amp;CHAR(34)&amp;": "&amp;CHAR(34)&amp;SUBSTITUTE(CriteriTecnici!$F1332,CHAR(34),"'")&amp;CHAR(34)&amp;", "&amp;CHAR(34)&amp;"value"&amp;CHAR(34)&amp;": "&amp;SUBSTITUTE(TRIM(ROUND(IFERROR(CriteriTecnici!$N1332*1,IFERROR(NUMBERVALUE(CriteriTecnici!$N1332,".",","),IFERROR(NUMBERVALUE(CriteriTecnici!$N1332,",","."),0))),4)&amp;""),",",".")&amp;", "&amp;CHAR(34)&amp;"numerator"&amp;CHAR(34)&amp;": "&amp;SUBSTITUTE(TRIM(ROUND(IFERROR(CriteriTecnici!$K1332*1,IFERROR(NUMBERVALUE(CriteriTecnici!$K1332,".",","),IFERROR(NUMBERVALUE(CriteriTecnici!$K1332,",","."),0))),4)&amp;""),",",".")&amp;", "&amp;CHAR(34)&amp;"denominator"&amp;CHAR(34)&amp;": "&amp;SUBSTITUTE(TRIM(ROUND(IFERROR(CriteriTecnici!$L1332*1,IFERROR(NUMBERVALUE(CriteriTecnici!$L1332,".",","),IFERROR(NUMBERVALUE(CriteriTecnici!$L1332,",","."),0))),4)&amp;""),",",".")&amp;", "&amp;CHAR(34)&amp;"flag"&amp;CHAR(34)&amp;": "&amp;SUBSTITUTE(TRIM(ROUND(IFERROR(CriteriTecnici!$M1332*1,IFERROR(NUMBERVALUE(CriteriTecnici!$M1332,".",","),IFERROR(NUMBERVALUE(CriteriTecnici!$M1332,",","."),0))),4)&amp;""),",",".")&amp;", "&amp;CHAR(34)&amp;"rawScore"&amp;CHAR(34)&amp;": "&amp;SUBSTITUTE(TRIM(ROUND(IFERROR(CriteriTecnici!$O1332*1,IFERROR(NUMBERVALUE(CriteriTecnici!$O1332,".",","),IFERROR(NUMBERVALUE(CriteriTecnici!$O1332,",","."),0))),4)&amp;""),",",".")&amp;CHAR(125)&amp;IF(TRUE,",",""))</f>
        <v/>
      </c>
    </row>
    <row r="1434">
      <c r="A1434" s="82">
        <f>IF(CriteriTecnici!$A1333="","","    "&amp;CHAR(123)&amp;CHAR(34)&amp;"bidderId"&amp;CHAR(34)&amp;": "&amp;CHAR(34)&amp;SUBSTITUTE(CriteriTecnici!$A1333,CHAR(34),"'")&amp;CHAR(34)&amp;", "&amp;CHAR(34)&amp;"lotId"&amp;CHAR(34)&amp;": "&amp;CHAR(34)&amp;SUBSTITUTE(CriteriTecnici!$C1333,CHAR(34),"'")&amp;CHAR(34)&amp;", "&amp;CHAR(34)&amp;"criterionId"&amp;CHAR(34)&amp;": "&amp;CHAR(34)&amp;SUBSTITUTE(CriteriTecnici!$D1333,CHAR(34),"'")&amp;CHAR(34)&amp;", "&amp;CHAR(34)&amp;"kind"&amp;CHAR(34)&amp;": "&amp;CHAR(34)&amp;SUBSTITUTE(CriteriTecnici!$F1333,CHAR(34),"'")&amp;CHAR(34)&amp;", "&amp;CHAR(34)&amp;"value"&amp;CHAR(34)&amp;": "&amp;SUBSTITUTE(TRIM(ROUND(IFERROR(CriteriTecnici!$N1333*1,IFERROR(NUMBERVALUE(CriteriTecnici!$N1333,".",","),IFERROR(NUMBERVALUE(CriteriTecnici!$N1333,",","."),0))),4)&amp;""),",",".")&amp;", "&amp;CHAR(34)&amp;"numerator"&amp;CHAR(34)&amp;": "&amp;SUBSTITUTE(TRIM(ROUND(IFERROR(CriteriTecnici!$K1333*1,IFERROR(NUMBERVALUE(CriteriTecnici!$K1333,".",","),IFERROR(NUMBERVALUE(CriteriTecnici!$K1333,",","."),0))),4)&amp;""),",",".")&amp;", "&amp;CHAR(34)&amp;"denominator"&amp;CHAR(34)&amp;": "&amp;SUBSTITUTE(TRIM(ROUND(IFERROR(CriteriTecnici!$L1333*1,IFERROR(NUMBERVALUE(CriteriTecnici!$L1333,".",","),IFERROR(NUMBERVALUE(CriteriTecnici!$L1333,",","."),0))),4)&amp;""),",",".")&amp;", "&amp;CHAR(34)&amp;"flag"&amp;CHAR(34)&amp;": "&amp;SUBSTITUTE(TRIM(ROUND(IFERROR(CriteriTecnici!$M1333*1,IFERROR(NUMBERVALUE(CriteriTecnici!$M1333,".",","),IFERROR(NUMBERVALUE(CriteriTecnici!$M1333,",","."),0))),4)&amp;""),",",".")&amp;", "&amp;CHAR(34)&amp;"rawScore"&amp;CHAR(34)&amp;": "&amp;SUBSTITUTE(TRIM(ROUND(IFERROR(CriteriTecnici!$O1333*1,IFERROR(NUMBERVALUE(CriteriTecnici!$O1333,".",","),IFERROR(NUMBERVALUE(CriteriTecnici!$O1333,",","."),0))),4)&amp;""),",",".")&amp;CHAR(125)&amp;IF(TRUE,",",""))</f>
        <v/>
      </c>
    </row>
    <row r="1435">
      <c r="A1435" s="82">
        <f>IF(CriteriTecnici!$A1334="","","    "&amp;CHAR(123)&amp;CHAR(34)&amp;"bidderId"&amp;CHAR(34)&amp;": "&amp;CHAR(34)&amp;SUBSTITUTE(CriteriTecnici!$A1334,CHAR(34),"'")&amp;CHAR(34)&amp;", "&amp;CHAR(34)&amp;"lotId"&amp;CHAR(34)&amp;": "&amp;CHAR(34)&amp;SUBSTITUTE(CriteriTecnici!$C1334,CHAR(34),"'")&amp;CHAR(34)&amp;", "&amp;CHAR(34)&amp;"criterionId"&amp;CHAR(34)&amp;": "&amp;CHAR(34)&amp;SUBSTITUTE(CriteriTecnici!$D1334,CHAR(34),"'")&amp;CHAR(34)&amp;", "&amp;CHAR(34)&amp;"kind"&amp;CHAR(34)&amp;": "&amp;CHAR(34)&amp;SUBSTITUTE(CriteriTecnici!$F1334,CHAR(34),"'")&amp;CHAR(34)&amp;", "&amp;CHAR(34)&amp;"value"&amp;CHAR(34)&amp;": "&amp;SUBSTITUTE(TRIM(ROUND(IFERROR(CriteriTecnici!$N1334*1,IFERROR(NUMBERVALUE(CriteriTecnici!$N1334,".",","),IFERROR(NUMBERVALUE(CriteriTecnici!$N1334,",","."),0))),4)&amp;""),",",".")&amp;", "&amp;CHAR(34)&amp;"numerator"&amp;CHAR(34)&amp;": "&amp;SUBSTITUTE(TRIM(ROUND(IFERROR(CriteriTecnici!$K1334*1,IFERROR(NUMBERVALUE(CriteriTecnici!$K1334,".",","),IFERROR(NUMBERVALUE(CriteriTecnici!$K1334,",","."),0))),4)&amp;""),",",".")&amp;", "&amp;CHAR(34)&amp;"denominator"&amp;CHAR(34)&amp;": "&amp;SUBSTITUTE(TRIM(ROUND(IFERROR(CriteriTecnici!$L1334*1,IFERROR(NUMBERVALUE(CriteriTecnici!$L1334,".",","),IFERROR(NUMBERVALUE(CriteriTecnici!$L1334,",","."),0))),4)&amp;""),",",".")&amp;", "&amp;CHAR(34)&amp;"flag"&amp;CHAR(34)&amp;": "&amp;SUBSTITUTE(TRIM(ROUND(IFERROR(CriteriTecnici!$M1334*1,IFERROR(NUMBERVALUE(CriteriTecnici!$M1334,".",","),IFERROR(NUMBERVALUE(CriteriTecnici!$M1334,",","."),0))),4)&amp;""),",",".")&amp;", "&amp;CHAR(34)&amp;"rawScore"&amp;CHAR(34)&amp;": "&amp;SUBSTITUTE(TRIM(ROUND(IFERROR(CriteriTecnici!$O1334*1,IFERROR(NUMBERVALUE(CriteriTecnici!$O1334,".",","),IFERROR(NUMBERVALUE(CriteriTecnici!$O1334,",","."),0))),4)&amp;""),",",".")&amp;CHAR(125)&amp;IF(TRUE,",",""))</f>
        <v/>
      </c>
    </row>
    <row r="1436">
      <c r="A1436" s="82">
        <f>IF(CriteriTecnici!$A1335="","","    "&amp;CHAR(123)&amp;CHAR(34)&amp;"bidderId"&amp;CHAR(34)&amp;": "&amp;CHAR(34)&amp;SUBSTITUTE(CriteriTecnici!$A1335,CHAR(34),"'")&amp;CHAR(34)&amp;", "&amp;CHAR(34)&amp;"lotId"&amp;CHAR(34)&amp;": "&amp;CHAR(34)&amp;SUBSTITUTE(CriteriTecnici!$C1335,CHAR(34),"'")&amp;CHAR(34)&amp;", "&amp;CHAR(34)&amp;"criterionId"&amp;CHAR(34)&amp;": "&amp;CHAR(34)&amp;SUBSTITUTE(CriteriTecnici!$D1335,CHAR(34),"'")&amp;CHAR(34)&amp;", "&amp;CHAR(34)&amp;"kind"&amp;CHAR(34)&amp;": "&amp;CHAR(34)&amp;SUBSTITUTE(CriteriTecnici!$F1335,CHAR(34),"'")&amp;CHAR(34)&amp;", "&amp;CHAR(34)&amp;"value"&amp;CHAR(34)&amp;": "&amp;SUBSTITUTE(TRIM(ROUND(IFERROR(CriteriTecnici!$N1335*1,IFERROR(NUMBERVALUE(CriteriTecnici!$N1335,".",","),IFERROR(NUMBERVALUE(CriteriTecnici!$N1335,",","."),0))),4)&amp;""),",",".")&amp;", "&amp;CHAR(34)&amp;"numerator"&amp;CHAR(34)&amp;": "&amp;SUBSTITUTE(TRIM(ROUND(IFERROR(CriteriTecnici!$K1335*1,IFERROR(NUMBERVALUE(CriteriTecnici!$K1335,".",","),IFERROR(NUMBERVALUE(CriteriTecnici!$K1335,",","."),0))),4)&amp;""),",",".")&amp;", "&amp;CHAR(34)&amp;"denominator"&amp;CHAR(34)&amp;": "&amp;SUBSTITUTE(TRIM(ROUND(IFERROR(CriteriTecnici!$L1335*1,IFERROR(NUMBERVALUE(CriteriTecnici!$L1335,".",","),IFERROR(NUMBERVALUE(CriteriTecnici!$L1335,",","."),0))),4)&amp;""),",",".")&amp;", "&amp;CHAR(34)&amp;"flag"&amp;CHAR(34)&amp;": "&amp;SUBSTITUTE(TRIM(ROUND(IFERROR(CriteriTecnici!$M1335*1,IFERROR(NUMBERVALUE(CriteriTecnici!$M1335,".",","),IFERROR(NUMBERVALUE(CriteriTecnici!$M1335,",","."),0))),4)&amp;""),",",".")&amp;", "&amp;CHAR(34)&amp;"rawScore"&amp;CHAR(34)&amp;": "&amp;SUBSTITUTE(TRIM(ROUND(IFERROR(CriteriTecnici!$O1335*1,IFERROR(NUMBERVALUE(CriteriTecnici!$O1335,".",","),IFERROR(NUMBERVALUE(CriteriTecnici!$O1335,",","."),0))),4)&amp;""),",",".")&amp;CHAR(125)&amp;IF(TRUE,",",""))</f>
        <v/>
      </c>
    </row>
    <row r="1437">
      <c r="A1437" s="82">
        <f>IF(CriteriTecnici!$A1336="","","    "&amp;CHAR(123)&amp;CHAR(34)&amp;"bidderId"&amp;CHAR(34)&amp;": "&amp;CHAR(34)&amp;SUBSTITUTE(CriteriTecnici!$A1336,CHAR(34),"'")&amp;CHAR(34)&amp;", "&amp;CHAR(34)&amp;"lotId"&amp;CHAR(34)&amp;": "&amp;CHAR(34)&amp;SUBSTITUTE(CriteriTecnici!$C1336,CHAR(34),"'")&amp;CHAR(34)&amp;", "&amp;CHAR(34)&amp;"criterionId"&amp;CHAR(34)&amp;": "&amp;CHAR(34)&amp;SUBSTITUTE(CriteriTecnici!$D1336,CHAR(34),"'")&amp;CHAR(34)&amp;", "&amp;CHAR(34)&amp;"kind"&amp;CHAR(34)&amp;": "&amp;CHAR(34)&amp;SUBSTITUTE(CriteriTecnici!$F1336,CHAR(34),"'")&amp;CHAR(34)&amp;", "&amp;CHAR(34)&amp;"value"&amp;CHAR(34)&amp;": "&amp;SUBSTITUTE(TRIM(ROUND(IFERROR(CriteriTecnici!$N1336*1,IFERROR(NUMBERVALUE(CriteriTecnici!$N1336,".",","),IFERROR(NUMBERVALUE(CriteriTecnici!$N1336,",","."),0))),4)&amp;""),",",".")&amp;", "&amp;CHAR(34)&amp;"numerator"&amp;CHAR(34)&amp;": "&amp;SUBSTITUTE(TRIM(ROUND(IFERROR(CriteriTecnici!$K1336*1,IFERROR(NUMBERVALUE(CriteriTecnici!$K1336,".",","),IFERROR(NUMBERVALUE(CriteriTecnici!$K1336,",","."),0))),4)&amp;""),",",".")&amp;", "&amp;CHAR(34)&amp;"denominator"&amp;CHAR(34)&amp;": "&amp;SUBSTITUTE(TRIM(ROUND(IFERROR(CriteriTecnici!$L1336*1,IFERROR(NUMBERVALUE(CriteriTecnici!$L1336,".",","),IFERROR(NUMBERVALUE(CriteriTecnici!$L1336,",","."),0))),4)&amp;""),",",".")&amp;", "&amp;CHAR(34)&amp;"flag"&amp;CHAR(34)&amp;": "&amp;SUBSTITUTE(TRIM(ROUND(IFERROR(CriteriTecnici!$M1336*1,IFERROR(NUMBERVALUE(CriteriTecnici!$M1336,".",","),IFERROR(NUMBERVALUE(CriteriTecnici!$M1336,",","."),0))),4)&amp;""),",",".")&amp;", "&amp;CHAR(34)&amp;"rawScore"&amp;CHAR(34)&amp;": "&amp;SUBSTITUTE(TRIM(ROUND(IFERROR(CriteriTecnici!$O1336*1,IFERROR(NUMBERVALUE(CriteriTecnici!$O1336,".",","),IFERROR(NUMBERVALUE(CriteriTecnici!$O1336,",","."),0))),4)&amp;""),",",".")&amp;CHAR(125)&amp;IF(TRUE,",",""))</f>
        <v/>
      </c>
    </row>
    <row r="1438">
      <c r="A1438" s="82">
        <f>IF(CriteriTecnici!$A1337="","","    "&amp;CHAR(123)&amp;CHAR(34)&amp;"bidderId"&amp;CHAR(34)&amp;": "&amp;CHAR(34)&amp;SUBSTITUTE(CriteriTecnici!$A1337,CHAR(34),"'")&amp;CHAR(34)&amp;", "&amp;CHAR(34)&amp;"lotId"&amp;CHAR(34)&amp;": "&amp;CHAR(34)&amp;SUBSTITUTE(CriteriTecnici!$C1337,CHAR(34),"'")&amp;CHAR(34)&amp;", "&amp;CHAR(34)&amp;"criterionId"&amp;CHAR(34)&amp;": "&amp;CHAR(34)&amp;SUBSTITUTE(CriteriTecnici!$D1337,CHAR(34),"'")&amp;CHAR(34)&amp;", "&amp;CHAR(34)&amp;"kind"&amp;CHAR(34)&amp;": "&amp;CHAR(34)&amp;SUBSTITUTE(CriteriTecnici!$F1337,CHAR(34),"'")&amp;CHAR(34)&amp;", "&amp;CHAR(34)&amp;"value"&amp;CHAR(34)&amp;": "&amp;SUBSTITUTE(TRIM(ROUND(IFERROR(CriteriTecnici!$N1337*1,IFERROR(NUMBERVALUE(CriteriTecnici!$N1337,".",","),IFERROR(NUMBERVALUE(CriteriTecnici!$N1337,",","."),0))),4)&amp;""),",",".")&amp;", "&amp;CHAR(34)&amp;"numerator"&amp;CHAR(34)&amp;": "&amp;SUBSTITUTE(TRIM(ROUND(IFERROR(CriteriTecnici!$K1337*1,IFERROR(NUMBERVALUE(CriteriTecnici!$K1337,".",","),IFERROR(NUMBERVALUE(CriteriTecnici!$K1337,",","."),0))),4)&amp;""),",",".")&amp;", "&amp;CHAR(34)&amp;"denominator"&amp;CHAR(34)&amp;": "&amp;SUBSTITUTE(TRIM(ROUND(IFERROR(CriteriTecnici!$L1337*1,IFERROR(NUMBERVALUE(CriteriTecnici!$L1337,".",","),IFERROR(NUMBERVALUE(CriteriTecnici!$L1337,",","."),0))),4)&amp;""),",",".")&amp;", "&amp;CHAR(34)&amp;"flag"&amp;CHAR(34)&amp;": "&amp;SUBSTITUTE(TRIM(ROUND(IFERROR(CriteriTecnici!$M1337*1,IFERROR(NUMBERVALUE(CriteriTecnici!$M1337,".",","),IFERROR(NUMBERVALUE(CriteriTecnici!$M1337,",","."),0))),4)&amp;""),",",".")&amp;", "&amp;CHAR(34)&amp;"rawScore"&amp;CHAR(34)&amp;": "&amp;SUBSTITUTE(TRIM(ROUND(IFERROR(CriteriTecnici!$O1337*1,IFERROR(NUMBERVALUE(CriteriTecnici!$O1337,".",","),IFERROR(NUMBERVALUE(CriteriTecnici!$O1337,",","."),0))),4)&amp;""),",",".")&amp;CHAR(125)&amp;IF(COUNTA(Offerte!$A45:$A$81)&gt;0,",",""))</f>
        <v/>
      </c>
    </row>
    <row r="1439">
      <c r="A1439" s="82">
        <f>IF(CriteriTecnici!$A1338="","","    "&amp;CHAR(123)&amp;CHAR(34)&amp;"bidderId"&amp;CHAR(34)&amp;": "&amp;CHAR(34)&amp;SUBSTITUTE(CriteriTecnici!$A1338,CHAR(34),"'")&amp;CHAR(34)&amp;", "&amp;CHAR(34)&amp;"lotId"&amp;CHAR(34)&amp;": "&amp;CHAR(34)&amp;SUBSTITUTE(CriteriTecnici!$C1338,CHAR(34),"'")&amp;CHAR(34)&amp;", "&amp;CHAR(34)&amp;"criterionId"&amp;CHAR(34)&amp;": "&amp;CHAR(34)&amp;SUBSTITUTE(CriteriTecnici!$D1338,CHAR(34),"'")&amp;CHAR(34)&amp;", "&amp;CHAR(34)&amp;"kind"&amp;CHAR(34)&amp;": "&amp;CHAR(34)&amp;SUBSTITUTE(CriteriTecnici!$F1338,CHAR(34),"'")&amp;CHAR(34)&amp;", "&amp;CHAR(34)&amp;"value"&amp;CHAR(34)&amp;": "&amp;SUBSTITUTE(TRIM(ROUND(IFERROR(CriteriTecnici!$N1338*1,IFERROR(NUMBERVALUE(CriteriTecnici!$N1338,".",","),IFERROR(NUMBERVALUE(CriteriTecnici!$N1338,",","."),0))),4)&amp;""),",",".")&amp;", "&amp;CHAR(34)&amp;"numerator"&amp;CHAR(34)&amp;": "&amp;SUBSTITUTE(TRIM(ROUND(IFERROR(CriteriTecnici!$K1338*1,IFERROR(NUMBERVALUE(CriteriTecnici!$K1338,".",","),IFERROR(NUMBERVALUE(CriteriTecnici!$K1338,",","."),0))),4)&amp;""),",",".")&amp;", "&amp;CHAR(34)&amp;"denominator"&amp;CHAR(34)&amp;": "&amp;SUBSTITUTE(TRIM(ROUND(IFERROR(CriteriTecnici!$L1338*1,IFERROR(NUMBERVALUE(CriteriTecnici!$L1338,".",","),IFERROR(NUMBERVALUE(CriteriTecnici!$L1338,",","."),0))),4)&amp;""),",",".")&amp;", "&amp;CHAR(34)&amp;"flag"&amp;CHAR(34)&amp;": "&amp;SUBSTITUTE(TRIM(ROUND(IFERROR(CriteriTecnici!$M1338*1,IFERROR(NUMBERVALUE(CriteriTecnici!$M1338,".",","),IFERROR(NUMBERVALUE(CriteriTecnici!$M1338,",","."),0))),4)&amp;""),",",".")&amp;", "&amp;CHAR(34)&amp;"rawScore"&amp;CHAR(34)&amp;": "&amp;SUBSTITUTE(TRIM(ROUND(IFERROR(CriteriTecnici!$O1338*1,IFERROR(NUMBERVALUE(CriteriTecnici!$O1338,".",","),IFERROR(NUMBERVALUE(CriteriTecnici!$O1338,",","."),0))),4)&amp;""),",",".")&amp;CHAR(125)&amp;IF(TRUE,",",""))</f>
        <v/>
      </c>
    </row>
    <row r="1440">
      <c r="A1440" s="82">
        <f>IF(CriteriTecnici!$A1339="","","    "&amp;CHAR(123)&amp;CHAR(34)&amp;"bidderId"&amp;CHAR(34)&amp;": "&amp;CHAR(34)&amp;SUBSTITUTE(CriteriTecnici!$A1339,CHAR(34),"'")&amp;CHAR(34)&amp;", "&amp;CHAR(34)&amp;"lotId"&amp;CHAR(34)&amp;": "&amp;CHAR(34)&amp;SUBSTITUTE(CriteriTecnici!$C1339,CHAR(34),"'")&amp;CHAR(34)&amp;", "&amp;CHAR(34)&amp;"criterionId"&amp;CHAR(34)&amp;": "&amp;CHAR(34)&amp;SUBSTITUTE(CriteriTecnici!$D1339,CHAR(34),"'")&amp;CHAR(34)&amp;", "&amp;CHAR(34)&amp;"kind"&amp;CHAR(34)&amp;": "&amp;CHAR(34)&amp;SUBSTITUTE(CriteriTecnici!$F1339,CHAR(34),"'")&amp;CHAR(34)&amp;", "&amp;CHAR(34)&amp;"value"&amp;CHAR(34)&amp;": "&amp;SUBSTITUTE(TRIM(ROUND(IFERROR(CriteriTecnici!$N1339*1,IFERROR(NUMBERVALUE(CriteriTecnici!$N1339,".",","),IFERROR(NUMBERVALUE(CriteriTecnici!$N1339,",","."),0))),4)&amp;""),",",".")&amp;", "&amp;CHAR(34)&amp;"numerator"&amp;CHAR(34)&amp;": "&amp;SUBSTITUTE(TRIM(ROUND(IFERROR(CriteriTecnici!$K1339*1,IFERROR(NUMBERVALUE(CriteriTecnici!$K1339,".",","),IFERROR(NUMBERVALUE(CriteriTecnici!$K1339,",","."),0))),4)&amp;""),",",".")&amp;", "&amp;CHAR(34)&amp;"denominator"&amp;CHAR(34)&amp;": "&amp;SUBSTITUTE(TRIM(ROUND(IFERROR(CriteriTecnici!$L1339*1,IFERROR(NUMBERVALUE(CriteriTecnici!$L1339,".",","),IFERROR(NUMBERVALUE(CriteriTecnici!$L1339,",","."),0))),4)&amp;""),",",".")&amp;", "&amp;CHAR(34)&amp;"flag"&amp;CHAR(34)&amp;": "&amp;SUBSTITUTE(TRIM(ROUND(IFERROR(CriteriTecnici!$M1339*1,IFERROR(NUMBERVALUE(CriteriTecnici!$M1339,".",","),IFERROR(NUMBERVALUE(CriteriTecnici!$M1339,",","."),0))),4)&amp;""),",",".")&amp;", "&amp;CHAR(34)&amp;"rawScore"&amp;CHAR(34)&amp;": "&amp;SUBSTITUTE(TRIM(ROUND(IFERROR(CriteriTecnici!$O1339*1,IFERROR(NUMBERVALUE(CriteriTecnici!$O1339,".",","),IFERROR(NUMBERVALUE(CriteriTecnici!$O1339,",","."),0))),4)&amp;""),",",".")&amp;CHAR(125)&amp;IF(TRUE,",",""))</f>
        <v/>
      </c>
    </row>
    <row r="1441">
      <c r="A1441" s="82">
        <f>IF(CriteriTecnici!$A1340="","","    "&amp;CHAR(123)&amp;CHAR(34)&amp;"bidderId"&amp;CHAR(34)&amp;": "&amp;CHAR(34)&amp;SUBSTITUTE(CriteriTecnici!$A1340,CHAR(34),"'")&amp;CHAR(34)&amp;", "&amp;CHAR(34)&amp;"lotId"&amp;CHAR(34)&amp;": "&amp;CHAR(34)&amp;SUBSTITUTE(CriteriTecnici!$C1340,CHAR(34),"'")&amp;CHAR(34)&amp;", "&amp;CHAR(34)&amp;"criterionId"&amp;CHAR(34)&amp;": "&amp;CHAR(34)&amp;SUBSTITUTE(CriteriTecnici!$D1340,CHAR(34),"'")&amp;CHAR(34)&amp;", "&amp;CHAR(34)&amp;"kind"&amp;CHAR(34)&amp;": "&amp;CHAR(34)&amp;SUBSTITUTE(CriteriTecnici!$F1340,CHAR(34),"'")&amp;CHAR(34)&amp;", "&amp;CHAR(34)&amp;"value"&amp;CHAR(34)&amp;": "&amp;SUBSTITUTE(TRIM(ROUND(IFERROR(CriteriTecnici!$N1340*1,IFERROR(NUMBERVALUE(CriteriTecnici!$N1340,".",","),IFERROR(NUMBERVALUE(CriteriTecnici!$N1340,",","."),0))),4)&amp;""),",",".")&amp;", "&amp;CHAR(34)&amp;"numerator"&amp;CHAR(34)&amp;": "&amp;SUBSTITUTE(TRIM(ROUND(IFERROR(CriteriTecnici!$K1340*1,IFERROR(NUMBERVALUE(CriteriTecnici!$K1340,".",","),IFERROR(NUMBERVALUE(CriteriTecnici!$K1340,",","."),0))),4)&amp;""),",",".")&amp;", "&amp;CHAR(34)&amp;"denominator"&amp;CHAR(34)&amp;": "&amp;SUBSTITUTE(TRIM(ROUND(IFERROR(CriteriTecnici!$L1340*1,IFERROR(NUMBERVALUE(CriteriTecnici!$L1340,".",","),IFERROR(NUMBERVALUE(CriteriTecnici!$L1340,",","."),0))),4)&amp;""),",",".")&amp;", "&amp;CHAR(34)&amp;"flag"&amp;CHAR(34)&amp;": "&amp;SUBSTITUTE(TRIM(ROUND(IFERROR(CriteriTecnici!$M1340*1,IFERROR(NUMBERVALUE(CriteriTecnici!$M1340,".",","),IFERROR(NUMBERVALUE(CriteriTecnici!$M1340,",","."),0))),4)&amp;""),",",".")&amp;", "&amp;CHAR(34)&amp;"rawScore"&amp;CHAR(34)&amp;": "&amp;SUBSTITUTE(TRIM(ROUND(IFERROR(CriteriTecnici!$O1340*1,IFERROR(NUMBERVALUE(CriteriTecnici!$O1340,".",","),IFERROR(NUMBERVALUE(CriteriTecnici!$O1340,",","."),0))),4)&amp;""),",",".")&amp;CHAR(125)&amp;IF(TRUE,",",""))</f>
        <v/>
      </c>
    </row>
    <row r="1442">
      <c r="A1442" s="82">
        <f>IF(CriteriTecnici!$A1341="","","    "&amp;CHAR(123)&amp;CHAR(34)&amp;"bidderId"&amp;CHAR(34)&amp;": "&amp;CHAR(34)&amp;SUBSTITUTE(CriteriTecnici!$A1341,CHAR(34),"'")&amp;CHAR(34)&amp;", "&amp;CHAR(34)&amp;"lotId"&amp;CHAR(34)&amp;": "&amp;CHAR(34)&amp;SUBSTITUTE(CriteriTecnici!$C1341,CHAR(34),"'")&amp;CHAR(34)&amp;", "&amp;CHAR(34)&amp;"criterionId"&amp;CHAR(34)&amp;": "&amp;CHAR(34)&amp;SUBSTITUTE(CriteriTecnici!$D1341,CHAR(34),"'")&amp;CHAR(34)&amp;", "&amp;CHAR(34)&amp;"kind"&amp;CHAR(34)&amp;": "&amp;CHAR(34)&amp;SUBSTITUTE(CriteriTecnici!$F1341,CHAR(34),"'")&amp;CHAR(34)&amp;", "&amp;CHAR(34)&amp;"value"&amp;CHAR(34)&amp;": "&amp;SUBSTITUTE(TRIM(ROUND(IFERROR(CriteriTecnici!$N1341*1,IFERROR(NUMBERVALUE(CriteriTecnici!$N1341,".",","),IFERROR(NUMBERVALUE(CriteriTecnici!$N1341,",","."),0))),4)&amp;""),",",".")&amp;", "&amp;CHAR(34)&amp;"numerator"&amp;CHAR(34)&amp;": "&amp;SUBSTITUTE(TRIM(ROUND(IFERROR(CriteriTecnici!$K1341*1,IFERROR(NUMBERVALUE(CriteriTecnici!$K1341,".",","),IFERROR(NUMBERVALUE(CriteriTecnici!$K1341,",","."),0))),4)&amp;""),",",".")&amp;", "&amp;CHAR(34)&amp;"denominator"&amp;CHAR(34)&amp;": "&amp;SUBSTITUTE(TRIM(ROUND(IFERROR(CriteriTecnici!$L1341*1,IFERROR(NUMBERVALUE(CriteriTecnici!$L1341,".",","),IFERROR(NUMBERVALUE(CriteriTecnici!$L1341,",","."),0))),4)&amp;""),",",".")&amp;", "&amp;CHAR(34)&amp;"flag"&amp;CHAR(34)&amp;": "&amp;SUBSTITUTE(TRIM(ROUND(IFERROR(CriteriTecnici!$M1341*1,IFERROR(NUMBERVALUE(CriteriTecnici!$M1341,".",","),IFERROR(NUMBERVALUE(CriteriTecnici!$M1341,",","."),0))),4)&amp;""),",",".")&amp;", "&amp;CHAR(34)&amp;"rawScore"&amp;CHAR(34)&amp;": "&amp;SUBSTITUTE(TRIM(ROUND(IFERROR(CriteriTecnici!$O1341*1,IFERROR(NUMBERVALUE(CriteriTecnici!$O1341,".",","),IFERROR(NUMBERVALUE(CriteriTecnici!$O1341,",","."),0))),4)&amp;""),",",".")&amp;CHAR(125)&amp;IF(TRUE,",",""))</f>
        <v/>
      </c>
    </row>
    <row r="1443">
      <c r="A1443" s="82">
        <f>IF(CriteriTecnici!$A1342="","","    "&amp;CHAR(123)&amp;CHAR(34)&amp;"bidderId"&amp;CHAR(34)&amp;": "&amp;CHAR(34)&amp;SUBSTITUTE(CriteriTecnici!$A1342,CHAR(34),"'")&amp;CHAR(34)&amp;", "&amp;CHAR(34)&amp;"lotId"&amp;CHAR(34)&amp;": "&amp;CHAR(34)&amp;SUBSTITUTE(CriteriTecnici!$C1342,CHAR(34),"'")&amp;CHAR(34)&amp;", "&amp;CHAR(34)&amp;"criterionId"&amp;CHAR(34)&amp;": "&amp;CHAR(34)&amp;SUBSTITUTE(CriteriTecnici!$D1342,CHAR(34),"'")&amp;CHAR(34)&amp;", "&amp;CHAR(34)&amp;"kind"&amp;CHAR(34)&amp;": "&amp;CHAR(34)&amp;SUBSTITUTE(CriteriTecnici!$F1342,CHAR(34),"'")&amp;CHAR(34)&amp;", "&amp;CHAR(34)&amp;"value"&amp;CHAR(34)&amp;": "&amp;SUBSTITUTE(TRIM(ROUND(IFERROR(CriteriTecnici!$N1342*1,IFERROR(NUMBERVALUE(CriteriTecnici!$N1342,".",","),IFERROR(NUMBERVALUE(CriteriTecnici!$N1342,",","."),0))),4)&amp;""),",",".")&amp;", "&amp;CHAR(34)&amp;"numerator"&amp;CHAR(34)&amp;": "&amp;SUBSTITUTE(TRIM(ROUND(IFERROR(CriteriTecnici!$K1342*1,IFERROR(NUMBERVALUE(CriteriTecnici!$K1342,".",","),IFERROR(NUMBERVALUE(CriteriTecnici!$K1342,",","."),0))),4)&amp;""),",",".")&amp;", "&amp;CHAR(34)&amp;"denominator"&amp;CHAR(34)&amp;": "&amp;SUBSTITUTE(TRIM(ROUND(IFERROR(CriteriTecnici!$L1342*1,IFERROR(NUMBERVALUE(CriteriTecnici!$L1342,".",","),IFERROR(NUMBERVALUE(CriteriTecnici!$L1342,",","."),0))),4)&amp;""),",",".")&amp;", "&amp;CHAR(34)&amp;"flag"&amp;CHAR(34)&amp;": "&amp;SUBSTITUTE(TRIM(ROUND(IFERROR(CriteriTecnici!$M1342*1,IFERROR(NUMBERVALUE(CriteriTecnici!$M1342,".",","),IFERROR(NUMBERVALUE(CriteriTecnici!$M1342,",","."),0))),4)&amp;""),",",".")&amp;", "&amp;CHAR(34)&amp;"rawScore"&amp;CHAR(34)&amp;": "&amp;SUBSTITUTE(TRIM(ROUND(IFERROR(CriteriTecnici!$O1342*1,IFERROR(NUMBERVALUE(CriteriTecnici!$O1342,".",","),IFERROR(NUMBERVALUE(CriteriTecnici!$O1342,",","."),0))),4)&amp;""),",",".")&amp;CHAR(125)&amp;IF(TRUE,",",""))</f>
        <v/>
      </c>
    </row>
    <row r="1444">
      <c r="A1444" s="82">
        <f>IF(CriteriTecnici!$A1343="","","    "&amp;CHAR(123)&amp;CHAR(34)&amp;"bidderId"&amp;CHAR(34)&amp;": "&amp;CHAR(34)&amp;SUBSTITUTE(CriteriTecnici!$A1343,CHAR(34),"'")&amp;CHAR(34)&amp;", "&amp;CHAR(34)&amp;"lotId"&amp;CHAR(34)&amp;": "&amp;CHAR(34)&amp;SUBSTITUTE(CriteriTecnici!$C1343,CHAR(34),"'")&amp;CHAR(34)&amp;", "&amp;CHAR(34)&amp;"criterionId"&amp;CHAR(34)&amp;": "&amp;CHAR(34)&amp;SUBSTITUTE(CriteriTecnici!$D1343,CHAR(34),"'")&amp;CHAR(34)&amp;", "&amp;CHAR(34)&amp;"kind"&amp;CHAR(34)&amp;": "&amp;CHAR(34)&amp;SUBSTITUTE(CriteriTecnici!$F1343,CHAR(34),"'")&amp;CHAR(34)&amp;", "&amp;CHAR(34)&amp;"value"&amp;CHAR(34)&amp;": "&amp;SUBSTITUTE(TRIM(ROUND(IFERROR(CriteriTecnici!$N1343*1,IFERROR(NUMBERVALUE(CriteriTecnici!$N1343,".",","),IFERROR(NUMBERVALUE(CriteriTecnici!$N1343,",","."),0))),4)&amp;""),",",".")&amp;", "&amp;CHAR(34)&amp;"numerator"&amp;CHAR(34)&amp;": "&amp;SUBSTITUTE(TRIM(ROUND(IFERROR(CriteriTecnici!$K1343*1,IFERROR(NUMBERVALUE(CriteriTecnici!$K1343,".",","),IFERROR(NUMBERVALUE(CriteriTecnici!$K1343,",","."),0))),4)&amp;""),",",".")&amp;", "&amp;CHAR(34)&amp;"denominator"&amp;CHAR(34)&amp;": "&amp;SUBSTITUTE(TRIM(ROUND(IFERROR(CriteriTecnici!$L1343*1,IFERROR(NUMBERVALUE(CriteriTecnici!$L1343,".",","),IFERROR(NUMBERVALUE(CriteriTecnici!$L1343,",","."),0))),4)&amp;""),",",".")&amp;", "&amp;CHAR(34)&amp;"flag"&amp;CHAR(34)&amp;": "&amp;SUBSTITUTE(TRIM(ROUND(IFERROR(CriteriTecnici!$M1343*1,IFERROR(NUMBERVALUE(CriteriTecnici!$M1343,".",","),IFERROR(NUMBERVALUE(CriteriTecnici!$M1343,",","."),0))),4)&amp;""),",",".")&amp;", "&amp;CHAR(34)&amp;"rawScore"&amp;CHAR(34)&amp;": "&amp;SUBSTITUTE(TRIM(ROUND(IFERROR(CriteriTecnici!$O1343*1,IFERROR(NUMBERVALUE(CriteriTecnici!$O1343,".",","),IFERROR(NUMBERVALUE(CriteriTecnici!$O1343,",","."),0))),4)&amp;""),",",".")&amp;CHAR(125)&amp;IF(TRUE,",",""))</f>
        <v/>
      </c>
    </row>
    <row r="1445">
      <c r="A1445" s="82">
        <f>IF(CriteriTecnici!$A1344="","","    "&amp;CHAR(123)&amp;CHAR(34)&amp;"bidderId"&amp;CHAR(34)&amp;": "&amp;CHAR(34)&amp;SUBSTITUTE(CriteriTecnici!$A1344,CHAR(34),"'")&amp;CHAR(34)&amp;", "&amp;CHAR(34)&amp;"lotId"&amp;CHAR(34)&amp;": "&amp;CHAR(34)&amp;SUBSTITUTE(CriteriTecnici!$C1344,CHAR(34),"'")&amp;CHAR(34)&amp;", "&amp;CHAR(34)&amp;"criterionId"&amp;CHAR(34)&amp;": "&amp;CHAR(34)&amp;SUBSTITUTE(CriteriTecnici!$D1344,CHAR(34),"'")&amp;CHAR(34)&amp;", "&amp;CHAR(34)&amp;"kind"&amp;CHAR(34)&amp;": "&amp;CHAR(34)&amp;SUBSTITUTE(CriteriTecnici!$F1344,CHAR(34),"'")&amp;CHAR(34)&amp;", "&amp;CHAR(34)&amp;"value"&amp;CHAR(34)&amp;": "&amp;SUBSTITUTE(TRIM(ROUND(IFERROR(CriteriTecnici!$N1344*1,IFERROR(NUMBERVALUE(CriteriTecnici!$N1344,".",","),IFERROR(NUMBERVALUE(CriteriTecnici!$N1344,",","."),0))),4)&amp;""),",",".")&amp;", "&amp;CHAR(34)&amp;"numerator"&amp;CHAR(34)&amp;": "&amp;SUBSTITUTE(TRIM(ROUND(IFERROR(CriteriTecnici!$K1344*1,IFERROR(NUMBERVALUE(CriteriTecnici!$K1344,".",","),IFERROR(NUMBERVALUE(CriteriTecnici!$K1344,",","."),0))),4)&amp;""),",",".")&amp;", "&amp;CHAR(34)&amp;"denominator"&amp;CHAR(34)&amp;": "&amp;SUBSTITUTE(TRIM(ROUND(IFERROR(CriteriTecnici!$L1344*1,IFERROR(NUMBERVALUE(CriteriTecnici!$L1344,".",","),IFERROR(NUMBERVALUE(CriteriTecnici!$L1344,",","."),0))),4)&amp;""),",",".")&amp;", "&amp;CHAR(34)&amp;"flag"&amp;CHAR(34)&amp;": "&amp;SUBSTITUTE(TRIM(ROUND(IFERROR(CriteriTecnici!$M1344*1,IFERROR(NUMBERVALUE(CriteriTecnici!$M1344,".",","),IFERROR(NUMBERVALUE(CriteriTecnici!$M1344,",","."),0))),4)&amp;""),",",".")&amp;", "&amp;CHAR(34)&amp;"rawScore"&amp;CHAR(34)&amp;": "&amp;SUBSTITUTE(TRIM(ROUND(IFERROR(CriteriTecnici!$O1344*1,IFERROR(NUMBERVALUE(CriteriTecnici!$O1344,".",","),IFERROR(NUMBERVALUE(CriteriTecnici!$O1344,",","."),0))),4)&amp;""),",",".")&amp;CHAR(125)&amp;IF(TRUE,",",""))</f>
        <v/>
      </c>
    </row>
    <row r="1446">
      <c r="A1446" s="82">
        <f>IF(CriteriTecnici!$A1345="","","    "&amp;CHAR(123)&amp;CHAR(34)&amp;"bidderId"&amp;CHAR(34)&amp;": "&amp;CHAR(34)&amp;SUBSTITUTE(CriteriTecnici!$A1345,CHAR(34),"'")&amp;CHAR(34)&amp;", "&amp;CHAR(34)&amp;"lotId"&amp;CHAR(34)&amp;": "&amp;CHAR(34)&amp;SUBSTITUTE(CriteriTecnici!$C1345,CHAR(34),"'")&amp;CHAR(34)&amp;", "&amp;CHAR(34)&amp;"criterionId"&amp;CHAR(34)&amp;": "&amp;CHAR(34)&amp;SUBSTITUTE(CriteriTecnici!$D1345,CHAR(34),"'")&amp;CHAR(34)&amp;", "&amp;CHAR(34)&amp;"kind"&amp;CHAR(34)&amp;": "&amp;CHAR(34)&amp;SUBSTITUTE(CriteriTecnici!$F1345,CHAR(34),"'")&amp;CHAR(34)&amp;", "&amp;CHAR(34)&amp;"value"&amp;CHAR(34)&amp;": "&amp;SUBSTITUTE(TRIM(ROUND(IFERROR(CriteriTecnici!$N1345*1,IFERROR(NUMBERVALUE(CriteriTecnici!$N1345,".",","),IFERROR(NUMBERVALUE(CriteriTecnici!$N1345,",","."),0))),4)&amp;""),",",".")&amp;", "&amp;CHAR(34)&amp;"numerator"&amp;CHAR(34)&amp;": "&amp;SUBSTITUTE(TRIM(ROUND(IFERROR(CriteriTecnici!$K1345*1,IFERROR(NUMBERVALUE(CriteriTecnici!$K1345,".",","),IFERROR(NUMBERVALUE(CriteriTecnici!$K1345,",","."),0))),4)&amp;""),",",".")&amp;", "&amp;CHAR(34)&amp;"denominator"&amp;CHAR(34)&amp;": "&amp;SUBSTITUTE(TRIM(ROUND(IFERROR(CriteriTecnici!$L1345*1,IFERROR(NUMBERVALUE(CriteriTecnici!$L1345,".",","),IFERROR(NUMBERVALUE(CriteriTecnici!$L1345,",","."),0))),4)&amp;""),",",".")&amp;", "&amp;CHAR(34)&amp;"flag"&amp;CHAR(34)&amp;": "&amp;SUBSTITUTE(TRIM(ROUND(IFERROR(CriteriTecnici!$M1345*1,IFERROR(NUMBERVALUE(CriteriTecnici!$M1345,".",","),IFERROR(NUMBERVALUE(CriteriTecnici!$M1345,",","."),0))),4)&amp;""),",",".")&amp;", "&amp;CHAR(34)&amp;"rawScore"&amp;CHAR(34)&amp;": "&amp;SUBSTITUTE(TRIM(ROUND(IFERROR(CriteriTecnici!$O1345*1,IFERROR(NUMBERVALUE(CriteriTecnici!$O1345,".",","),IFERROR(NUMBERVALUE(CriteriTecnici!$O1345,",","."),0))),4)&amp;""),",",".")&amp;CHAR(125)&amp;IF(TRUE,",",""))</f>
        <v/>
      </c>
    </row>
    <row r="1447">
      <c r="A1447" s="82">
        <f>IF(CriteriTecnici!$A1346="","","    "&amp;CHAR(123)&amp;CHAR(34)&amp;"bidderId"&amp;CHAR(34)&amp;": "&amp;CHAR(34)&amp;SUBSTITUTE(CriteriTecnici!$A1346,CHAR(34),"'")&amp;CHAR(34)&amp;", "&amp;CHAR(34)&amp;"lotId"&amp;CHAR(34)&amp;": "&amp;CHAR(34)&amp;SUBSTITUTE(CriteriTecnici!$C1346,CHAR(34),"'")&amp;CHAR(34)&amp;", "&amp;CHAR(34)&amp;"criterionId"&amp;CHAR(34)&amp;": "&amp;CHAR(34)&amp;SUBSTITUTE(CriteriTecnici!$D1346,CHAR(34),"'")&amp;CHAR(34)&amp;", "&amp;CHAR(34)&amp;"kind"&amp;CHAR(34)&amp;": "&amp;CHAR(34)&amp;SUBSTITUTE(CriteriTecnici!$F1346,CHAR(34),"'")&amp;CHAR(34)&amp;", "&amp;CHAR(34)&amp;"value"&amp;CHAR(34)&amp;": "&amp;SUBSTITUTE(TRIM(ROUND(IFERROR(CriteriTecnici!$N1346*1,IFERROR(NUMBERVALUE(CriteriTecnici!$N1346,".",","),IFERROR(NUMBERVALUE(CriteriTecnici!$N1346,",","."),0))),4)&amp;""),",",".")&amp;", "&amp;CHAR(34)&amp;"numerator"&amp;CHAR(34)&amp;": "&amp;SUBSTITUTE(TRIM(ROUND(IFERROR(CriteriTecnici!$K1346*1,IFERROR(NUMBERVALUE(CriteriTecnici!$K1346,".",","),IFERROR(NUMBERVALUE(CriteriTecnici!$K1346,",","."),0))),4)&amp;""),",",".")&amp;", "&amp;CHAR(34)&amp;"denominator"&amp;CHAR(34)&amp;": "&amp;SUBSTITUTE(TRIM(ROUND(IFERROR(CriteriTecnici!$L1346*1,IFERROR(NUMBERVALUE(CriteriTecnici!$L1346,".",","),IFERROR(NUMBERVALUE(CriteriTecnici!$L1346,",","."),0))),4)&amp;""),",",".")&amp;", "&amp;CHAR(34)&amp;"flag"&amp;CHAR(34)&amp;": "&amp;SUBSTITUTE(TRIM(ROUND(IFERROR(CriteriTecnici!$M1346*1,IFERROR(NUMBERVALUE(CriteriTecnici!$M1346,".",","),IFERROR(NUMBERVALUE(CriteriTecnici!$M1346,",","."),0))),4)&amp;""),",",".")&amp;", "&amp;CHAR(34)&amp;"rawScore"&amp;CHAR(34)&amp;": "&amp;SUBSTITUTE(TRIM(ROUND(IFERROR(CriteriTecnici!$O1346*1,IFERROR(NUMBERVALUE(CriteriTecnici!$O1346,".",","),IFERROR(NUMBERVALUE(CriteriTecnici!$O1346,",","."),0))),4)&amp;""),",",".")&amp;CHAR(125)&amp;IF(TRUE,",",""))</f>
        <v/>
      </c>
    </row>
    <row r="1448">
      <c r="A1448" s="82">
        <f>IF(CriteriTecnici!$A1347="","","    "&amp;CHAR(123)&amp;CHAR(34)&amp;"bidderId"&amp;CHAR(34)&amp;": "&amp;CHAR(34)&amp;SUBSTITUTE(CriteriTecnici!$A1347,CHAR(34),"'")&amp;CHAR(34)&amp;", "&amp;CHAR(34)&amp;"lotId"&amp;CHAR(34)&amp;": "&amp;CHAR(34)&amp;SUBSTITUTE(CriteriTecnici!$C1347,CHAR(34),"'")&amp;CHAR(34)&amp;", "&amp;CHAR(34)&amp;"criterionId"&amp;CHAR(34)&amp;": "&amp;CHAR(34)&amp;SUBSTITUTE(CriteriTecnici!$D1347,CHAR(34),"'")&amp;CHAR(34)&amp;", "&amp;CHAR(34)&amp;"kind"&amp;CHAR(34)&amp;": "&amp;CHAR(34)&amp;SUBSTITUTE(CriteriTecnici!$F1347,CHAR(34),"'")&amp;CHAR(34)&amp;", "&amp;CHAR(34)&amp;"value"&amp;CHAR(34)&amp;": "&amp;SUBSTITUTE(TRIM(ROUND(IFERROR(CriteriTecnici!$N1347*1,IFERROR(NUMBERVALUE(CriteriTecnici!$N1347,".",","),IFERROR(NUMBERVALUE(CriteriTecnici!$N1347,",","."),0))),4)&amp;""),",",".")&amp;", "&amp;CHAR(34)&amp;"numerator"&amp;CHAR(34)&amp;": "&amp;SUBSTITUTE(TRIM(ROUND(IFERROR(CriteriTecnici!$K1347*1,IFERROR(NUMBERVALUE(CriteriTecnici!$K1347,".",","),IFERROR(NUMBERVALUE(CriteriTecnici!$K1347,",","."),0))),4)&amp;""),",",".")&amp;", "&amp;CHAR(34)&amp;"denominator"&amp;CHAR(34)&amp;": "&amp;SUBSTITUTE(TRIM(ROUND(IFERROR(CriteriTecnici!$L1347*1,IFERROR(NUMBERVALUE(CriteriTecnici!$L1347,".",","),IFERROR(NUMBERVALUE(CriteriTecnici!$L1347,",","."),0))),4)&amp;""),",",".")&amp;", "&amp;CHAR(34)&amp;"flag"&amp;CHAR(34)&amp;": "&amp;SUBSTITUTE(TRIM(ROUND(IFERROR(CriteriTecnici!$M1347*1,IFERROR(NUMBERVALUE(CriteriTecnici!$M1347,".",","),IFERROR(NUMBERVALUE(CriteriTecnici!$M1347,",","."),0))),4)&amp;""),",",".")&amp;", "&amp;CHAR(34)&amp;"rawScore"&amp;CHAR(34)&amp;": "&amp;SUBSTITUTE(TRIM(ROUND(IFERROR(CriteriTecnici!$O1347*1,IFERROR(NUMBERVALUE(CriteriTecnici!$O1347,".",","),IFERROR(NUMBERVALUE(CriteriTecnici!$O1347,",","."),0))),4)&amp;""),",",".")&amp;CHAR(125)&amp;IF(TRUE,",",""))</f>
        <v/>
      </c>
    </row>
    <row r="1449">
      <c r="A1449" s="82">
        <f>IF(CriteriTecnici!$A1348="","","    "&amp;CHAR(123)&amp;CHAR(34)&amp;"bidderId"&amp;CHAR(34)&amp;": "&amp;CHAR(34)&amp;SUBSTITUTE(CriteriTecnici!$A1348,CHAR(34),"'")&amp;CHAR(34)&amp;", "&amp;CHAR(34)&amp;"lotId"&amp;CHAR(34)&amp;": "&amp;CHAR(34)&amp;SUBSTITUTE(CriteriTecnici!$C1348,CHAR(34),"'")&amp;CHAR(34)&amp;", "&amp;CHAR(34)&amp;"criterionId"&amp;CHAR(34)&amp;": "&amp;CHAR(34)&amp;SUBSTITUTE(CriteriTecnici!$D1348,CHAR(34),"'")&amp;CHAR(34)&amp;", "&amp;CHAR(34)&amp;"kind"&amp;CHAR(34)&amp;": "&amp;CHAR(34)&amp;SUBSTITUTE(CriteriTecnici!$F1348,CHAR(34),"'")&amp;CHAR(34)&amp;", "&amp;CHAR(34)&amp;"value"&amp;CHAR(34)&amp;": "&amp;SUBSTITUTE(TRIM(ROUND(IFERROR(CriteriTecnici!$N1348*1,IFERROR(NUMBERVALUE(CriteriTecnici!$N1348,".",","),IFERROR(NUMBERVALUE(CriteriTecnici!$N1348,",","."),0))),4)&amp;""),",",".")&amp;", "&amp;CHAR(34)&amp;"numerator"&amp;CHAR(34)&amp;": "&amp;SUBSTITUTE(TRIM(ROUND(IFERROR(CriteriTecnici!$K1348*1,IFERROR(NUMBERVALUE(CriteriTecnici!$K1348,".",","),IFERROR(NUMBERVALUE(CriteriTecnici!$K1348,",","."),0))),4)&amp;""),",",".")&amp;", "&amp;CHAR(34)&amp;"denominator"&amp;CHAR(34)&amp;": "&amp;SUBSTITUTE(TRIM(ROUND(IFERROR(CriteriTecnici!$L1348*1,IFERROR(NUMBERVALUE(CriteriTecnici!$L1348,".",","),IFERROR(NUMBERVALUE(CriteriTecnici!$L1348,",","."),0))),4)&amp;""),",",".")&amp;", "&amp;CHAR(34)&amp;"flag"&amp;CHAR(34)&amp;": "&amp;SUBSTITUTE(TRIM(ROUND(IFERROR(CriteriTecnici!$M1348*1,IFERROR(NUMBERVALUE(CriteriTecnici!$M1348,".",","),IFERROR(NUMBERVALUE(CriteriTecnici!$M1348,",","."),0))),4)&amp;""),",",".")&amp;", "&amp;CHAR(34)&amp;"rawScore"&amp;CHAR(34)&amp;": "&amp;SUBSTITUTE(TRIM(ROUND(IFERROR(CriteriTecnici!$O1348*1,IFERROR(NUMBERVALUE(CriteriTecnici!$O1348,".",","),IFERROR(NUMBERVALUE(CriteriTecnici!$O1348,",","."),0))),4)&amp;""),",",".")&amp;CHAR(125)&amp;IF(TRUE,",",""))</f>
        <v/>
      </c>
    </row>
    <row r="1450">
      <c r="A1450" s="82">
        <f>IF(CriteriTecnici!$A1349="","","    "&amp;CHAR(123)&amp;CHAR(34)&amp;"bidderId"&amp;CHAR(34)&amp;": "&amp;CHAR(34)&amp;SUBSTITUTE(CriteriTecnici!$A1349,CHAR(34),"'")&amp;CHAR(34)&amp;", "&amp;CHAR(34)&amp;"lotId"&amp;CHAR(34)&amp;": "&amp;CHAR(34)&amp;SUBSTITUTE(CriteriTecnici!$C1349,CHAR(34),"'")&amp;CHAR(34)&amp;", "&amp;CHAR(34)&amp;"criterionId"&amp;CHAR(34)&amp;": "&amp;CHAR(34)&amp;SUBSTITUTE(CriteriTecnici!$D1349,CHAR(34),"'")&amp;CHAR(34)&amp;", "&amp;CHAR(34)&amp;"kind"&amp;CHAR(34)&amp;": "&amp;CHAR(34)&amp;SUBSTITUTE(CriteriTecnici!$F1349,CHAR(34),"'")&amp;CHAR(34)&amp;", "&amp;CHAR(34)&amp;"value"&amp;CHAR(34)&amp;": "&amp;SUBSTITUTE(TRIM(ROUND(IFERROR(CriteriTecnici!$N1349*1,IFERROR(NUMBERVALUE(CriteriTecnici!$N1349,".",","),IFERROR(NUMBERVALUE(CriteriTecnici!$N1349,",","."),0))),4)&amp;""),",",".")&amp;", "&amp;CHAR(34)&amp;"numerator"&amp;CHAR(34)&amp;": "&amp;SUBSTITUTE(TRIM(ROUND(IFERROR(CriteriTecnici!$K1349*1,IFERROR(NUMBERVALUE(CriteriTecnici!$K1349,".",","),IFERROR(NUMBERVALUE(CriteriTecnici!$K1349,",","."),0))),4)&amp;""),",",".")&amp;", "&amp;CHAR(34)&amp;"denominator"&amp;CHAR(34)&amp;": "&amp;SUBSTITUTE(TRIM(ROUND(IFERROR(CriteriTecnici!$L1349*1,IFERROR(NUMBERVALUE(CriteriTecnici!$L1349,".",","),IFERROR(NUMBERVALUE(CriteriTecnici!$L1349,",","."),0))),4)&amp;""),",",".")&amp;", "&amp;CHAR(34)&amp;"flag"&amp;CHAR(34)&amp;": "&amp;SUBSTITUTE(TRIM(ROUND(IFERROR(CriteriTecnici!$M1349*1,IFERROR(NUMBERVALUE(CriteriTecnici!$M1349,".",","),IFERROR(NUMBERVALUE(CriteriTecnici!$M1349,",","."),0))),4)&amp;""),",",".")&amp;", "&amp;CHAR(34)&amp;"rawScore"&amp;CHAR(34)&amp;": "&amp;SUBSTITUTE(TRIM(ROUND(IFERROR(CriteriTecnici!$O1349*1,IFERROR(NUMBERVALUE(CriteriTecnici!$O1349,".",","),IFERROR(NUMBERVALUE(CriteriTecnici!$O1349,",","."),0))),4)&amp;""),",",".")&amp;CHAR(125)&amp;IF(TRUE,",",""))</f>
        <v/>
      </c>
    </row>
    <row r="1451">
      <c r="A1451" s="82">
        <f>IF(CriteriTecnici!$A1350="","","    "&amp;CHAR(123)&amp;CHAR(34)&amp;"bidderId"&amp;CHAR(34)&amp;": "&amp;CHAR(34)&amp;SUBSTITUTE(CriteriTecnici!$A1350,CHAR(34),"'")&amp;CHAR(34)&amp;", "&amp;CHAR(34)&amp;"lotId"&amp;CHAR(34)&amp;": "&amp;CHAR(34)&amp;SUBSTITUTE(CriteriTecnici!$C1350,CHAR(34),"'")&amp;CHAR(34)&amp;", "&amp;CHAR(34)&amp;"criterionId"&amp;CHAR(34)&amp;": "&amp;CHAR(34)&amp;SUBSTITUTE(CriteriTecnici!$D1350,CHAR(34),"'")&amp;CHAR(34)&amp;", "&amp;CHAR(34)&amp;"kind"&amp;CHAR(34)&amp;": "&amp;CHAR(34)&amp;SUBSTITUTE(CriteriTecnici!$F1350,CHAR(34),"'")&amp;CHAR(34)&amp;", "&amp;CHAR(34)&amp;"value"&amp;CHAR(34)&amp;": "&amp;SUBSTITUTE(TRIM(ROUND(IFERROR(CriteriTecnici!$N1350*1,IFERROR(NUMBERVALUE(CriteriTecnici!$N1350,".",","),IFERROR(NUMBERVALUE(CriteriTecnici!$N1350,",","."),0))),4)&amp;""),",",".")&amp;", "&amp;CHAR(34)&amp;"numerator"&amp;CHAR(34)&amp;": "&amp;SUBSTITUTE(TRIM(ROUND(IFERROR(CriteriTecnici!$K1350*1,IFERROR(NUMBERVALUE(CriteriTecnici!$K1350,".",","),IFERROR(NUMBERVALUE(CriteriTecnici!$K1350,",","."),0))),4)&amp;""),",",".")&amp;", "&amp;CHAR(34)&amp;"denominator"&amp;CHAR(34)&amp;": "&amp;SUBSTITUTE(TRIM(ROUND(IFERROR(CriteriTecnici!$L1350*1,IFERROR(NUMBERVALUE(CriteriTecnici!$L1350,".",","),IFERROR(NUMBERVALUE(CriteriTecnici!$L1350,",","."),0))),4)&amp;""),",",".")&amp;", "&amp;CHAR(34)&amp;"flag"&amp;CHAR(34)&amp;": "&amp;SUBSTITUTE(TRIM(ROUND(IFERROR(CriteriTecnici!$M1350*1,IFERROR(NUMBERVALUE(CriteriTecnici!$M1350,".",","),IFERROR(NUMBERVALUE(CriteriTecnici!$M1350,",","."),0))),4)&amp;""),",",".")&amp;", "&amp;CHAR(34)&amp;"rawScore"&amp;CHAR(34)&amp;": "&amp;SUBSTITUTE(TRIM(ROUND(IFERROR(CriteriTecnici!$O1350*1,IFERROR(NUMBERVALUE(CriteriTecnici!$O1350,".",","),IFERROR(NUMBERVALUE(CriteriTecnici!$O1350,",","."),0))),4)&amp;""),",",".")&amp;CHAR(125)&amp;IF(TRUE,",",""))</f>
        <v/>
      </c>
    </row>
    <row r="1452">
      <c r="A1452" s="82">
        <f>IF(CriteriTecnici!$A1351="","","    "&amp;CHAR(123)&amp;CHAR(34)&amp;"bidderId"&amp;CHAR(34)&amp;": "&amp;CHAR(34)&amp;SUBSTITUTE(CriteriTecnici!$A1351,CHAR(34),"'")&amp;CHAR(34)&amp;", "&amp;CHAR(34)&amp;"lotId"&amp;CHAR(34)&amp;": "&amp;CHAR(34)&amp;SUBSTITUTE(CriteriTecnici!$C1351,CHAR(34),"'")&amp;CHAR(34)&amp;", "&amp;CHAR(34)&amp;"criterionId"&amp;CHAR(34)&amp;": "&amp;CHAR(34)&amp;SUBSTITUTE(CriteriTecnici!$D1351,CHAR(34),"'")&amp;CHAR(34)&amp;", "&amp;CHAR(34)&amp;"kind"&amp;CHAR(34)&amp;": "&amp;CHAR(34)&amp;SUBSTITUTE(CriteriTecnici!$F1351,CHAR(34),"'")&amp;CHAR(34)&amp;", "&amp;CHAR(34)&amp;"value"&amp;CHAR(34)&amp;": "&amp;SUBSTITUTE(TRIM(ROUND(IFERROR(CriteriTecnici!$N1351*1,IFERROR(NUMBERVALUE(CriteriTecnici!$N1351,".",","),IFERROR(NUMBERVALUE(CriteriTecnici!$N1351,",","."),0))),4)&amp;""),",",".")&amp;", "&amp;CHAR(34)&amp;"numerator"&amp;CHAR(34)&amp;": "&amp;SUBSTITUTE(TRIM(ROUND(IFERROR(CriteriTecnici!$K1351*1,IFERROR(NUMBERVALUE(CriteriTecnici!$K1351,".",","),IFERROR(NUMBERVALUE(CriteriTecnici!$K1351,",","."),0))),4)&amp;""),",",".")&amp;", "&amp;CHAR(34)&amp;"denominator"&amp;CHAR(34)&amp;": "&amp;SUBSTITUTE(TRIM(ROUND(IFERROR(CriteriTecnici!$L1351*1,IFERROR(NUMBERVALUE(CriteriTecnici!$L1351,".",","),IFERROR(NUMBERVALUE(CriteriTecnici!$L1351,",","."),0))),4)&amp;""),",",".")&amp;", "&amp;CHAR(34)&amp;"flag"&amp;CHAR(34)&amp;": "&amp;SUBSTITUTE(TRIM(ROUND(IFERROR(CriteriTecnici!$M1351*1,IFERROR(NUMBERVALUE(CriteriTecnici!$M1351,".",","),IFERROR(NUMBERVALUE(CriteriTecnici!$M1351,",","."),0))),4)&amp;""),",",".")&amp;", "&amp;CHAR(34)&amp;"rawScore"&amp;CHAR(34)&amp;": "&amp;SUBSTITUTE(TRIM(ROUND(IFERROR(CriteriTecnici!$O1351*1,IFERROR(NUMBERVALUE(CriteriTecnici!$O1351,".",","),IFERROR(NUMBERVALUE(CriteriTecnici!$O1351,",","."),0))),4)&amp;""),",",".")&amp;CHAR(125)&amp;IF(TRUE,",",""))</f>
        <v/>
      </c>
    </row>
    <row r="1453">
      <c r="A1453" s="82">
        <f>IF(CriteriTecnici!$A1352="","","    "&amp;CHAR(123)&amp;CHAR(34)&amp;"bidderId"&amp;CHAR(34)&amp;": "&amp;CHAR(34)&amp;SUBSTITUTE(CriteriTecnici!$A1352,CHAR(34),"'")&amp;CHAR(34)&amp;", "&amp;CHAR(34)&amp;"lotId"&amp;CHAR(34)&amp;": "&amp;CHAR(34)&amp;SUBSTITUTE(CriteriTecnici!$C1352,CHAR(34),"'")&amp;CHAR(34)&amp;", "&amp;CHAR(34)&amp;"criterionId"&amp;CHAR(34)&amp;": "&amp;CHAR(34)&amp;SUBSTITUTE(CriteriTecnici!$D1352,CHAR(34),"'")&amp;CHAR(34)&amp;", "&amp;CHAR(34)&amp;"kind"&amp;CHAR(34)&amp;": "&amp;CHAR(34)&amp;SUBSTITUTE(CriteriTecnici!$F1352,CHAR(34),"'")&amp;CHAR(34)&amp;", "&amp;CHAR(34)&amp;"value"&amp;CHAR(34)&amp;": "&amp;SUBSTITUTE(TRIM(ROUND(IFERROR(CriteriTecnici!$N1352*1,IFERROR(NUMBERVALUE(CriteriTecnici!$N1352,".",","),IFERROR(NUMBERVALUE(CriteriTecnici!$N1352,",","."),0))),4)&amp;""),",",".")&amp;", "&amp;CHAR(34)&amp;"numerator"&amp;CHAR(34)&amp;": "&amp;SUBSTITUTE(TRIM(ROUND(IFERROR(CriteriTecnici!$K1352*1,IFERROR(NUMBERVALUE(CriteriTecnici!$K1352,".",","),IFERROR(NUMBERVALUE(CriteriTecnici!$K1352,",","."),0))),4)&amp;""),",",".")&amp;", "&amp;CHAR(34)&amp;"denominator"&amp;CHAR(34)&amp;": "&amp;SUBSTITUTE(TRIM(ROUND(IFERROR(CriteriTecnici!$L1352*1,IFERROR(NUMBERVALUE(CriteriTecnici!$L1352,".",","),IFERROR(NUMBERVALUE(CriteriTecnici!$L1352,",","."),0))),4)&amp;""),",",".")&amp;", "&amp;CHAR(34)&amp;"flag"&amp;CHAR(34)&amp;": "&amp;SUBSTITUTE(TRIM(ROUND(IFERROR(CriteriTecnici!$M1352*1,IFERROR(NUMBERVALUE(CriteriTecnici!$M1352,".",","),IFERROR(NUMBERVALUE(CriteriTecnici!$M1352,",","."),0))),4)&amp;""),",",".")&amp;", "&amp;CHAR(34)&amp;"rawScore"&amp;CHAR(34)&amp;": "&amp;SUBSTITUTE(TRIM(ROUND(IFERROR(CriteriTecnici!$O1352*1,IFERROR(NUMBERVALUE(CriteriTecnici!$O1352,".",","),IFERROR(NUMBERVALUE(CriteriTecnici!$O1352,",","."),0))),4)&amp;""),",",".")&amp;CHAR(125)&amp;IF(TRUE,",",""))</f>
        <v/>
      </c>
    </row>
    <row r="1454">
      <c r="A1454" s="82">
        <f>IF(CriteriTecnici!$A1353="","","    "&amp;CHAR(123)&amp;CHAR(34)&amp;"bidderId"&amp;CHAR(34)&amp;": "&amp;CHAR(34)&amp;SUBSTITUTE(CriteriTecnici!$A1353,CHAR(34),"'")&amp;CHAR(34)&amp;", "&amp;CHAR(34)&amp;"lotId"&amp;CHAR(34)&amp;": "&amp;CHAR(34)&amp;SUBSTITUTE(CriteriTecnici!$C1353,CHAR(34),"'")&amp;CHAR(34)&amp;", "&amp;CHAR(34)&amp;"criterionId"&amp;CHAR(34)&amp;": "&amp;CHAR(34)&amp;SUBSTITUTE(CriteriTecnici!$D1353,CHAR(34),"'")&amp;CHAR(34)&amp;", "&amp;CHAR(34)&amp;"kind"&amp;CHAR(34)&amp;": "&amp;CHAR(34)&amp;SUBSTITUTE(CriteriTecnici!$F1353,CHAR(34),"'")&amp;CHAR(34)&amp;", "&amp;CHAR(34)&amp;"value"&amp;CHAR(34)&amp;": "&amp;SUBSTITUTE(TRIM(ROUND(IFERROR(CriteriTecnici!$N1353*1,IFERROR(NUMBERVALUE(CriteriTecnici!$N1353,".",","),IFERROR(NUMBERVALUE(CriteriTecnici!$N1353,",","."),0))),4)&amp;""),",",".")&amp;", "&amp;CHAR(34)&amp;"numerator"&amp;CHAR(34)&amp;": "&amp;SUBSTITUTE(TRIM(ROUND(IFERROR(CriteriTecnici!$K1353*1,IFERROR(NUMBERVALUE(CriteriTecnici!$K1353,".",","),IFERROR(NUMBERVALUE(CriteriTecnici!$K1353,",","."),0))),4)&amp;""),",",".")&amp;", "&amp;CHAR(34)&amp;"denominator"&amp;CHAR(34)&amp;": "&amp;SUBSTITUTE(TRIM(ROUND(IFERROR(CriteriTecnici!$L1353*1,IFERROR(NUMBERVALUE(CriteriTecnici!$L1353,".",","),IFERROR(NUMBERVALUE(CriteriTecnici!$L1353,",","."),0))),4)&amp;""),",",".")&amp;", "&amp;CHAR(34)&amp;"flag"&amp;CHAR(34)&amp;": "&amp;SUBSTITUTE(TRIM(ROUND(IFERROR(CriteriTecnici!$M1353*1,IFERROR(NUMBERVALUE(CriteriTecnici!$M1353,".",","),IFERROR(NUMBERVALUE(CriteriTecnici!$M1353,",","."),0))),4)&amp;""),",",".")&amp;", "&amp;CHAR(34)&amp;"rawScore"&amp;CHAR(34)&amp;": "&amp;SUBSTITUTE(TRIM(ROUND(IFERROR(CriteriTecnici!$O1353*1,IFERROR(NUMBERVALUE(CriteriTecnici!$O1353,".",","),IFERROR(NUMBERVALUE(CriteriTecnici!$O1353,",","."),0))),4)&amp;""),",",".")&amp;CHAR(125)&amp;IF(TRUE,",",""))</f>
        <v/>
      </c>
    </row>
    <row r="1455">
      <c r="A1455" s="82">
        <f>IF(CriteriTecnici!$A1354="","","    "&amp;CHAR(123)&amp;CHAR(34)&amp;"bidderId"&amp;CHAR(34)&amp;": "&amp;CHAR(34)&amp;SUBSTITUTE(CriteriTecnici!$A1354,CHAR(34),"'")&amp;CHAR(34)&amp;", "&amp;CHAR(34)&amp;"lotId"&amp;CHAR(34)&amp;": "&amp;CHAR(34)&amp;SUBSTITUTE(CriteriTecnici!$C1354,CHAR(34),"'")&amp;CHAR(34)&amp;", "&amp;CHAR(34)&amp;"criterionId"&amp;CHAR(34)&amp;": "&amp;CHAR(34)&amp;SUBSTITUTE(CriteriTecnici!$D1354,CHAR(34),"'")&amp;CHAR(34)&amp;", "&amp;CHAR(34)&amp;"kind"&amp;CHAR(34)&amp;": "&amp;CHAR(34)&amp;SUBSTITUTE(CriteriTecnici!$F1354,CHAR(34),"'")&amp;CHAR(34)&amp;", "&amp;CHAR(34)&amp;"value"&amp;CHAR(34)&amp;": "&amp;SUBSTITUTE(TRIM(ROUND(IFERROR(CriteriTecnici!$N1354*1,IFERROR(NUMBERVALUE(CriteriTecnici!$N1354,".",","),IFERROR(NUMBERVALUE(CriteriTecnici!$N1354,",","."),0))),4)&amp;""),",",".")&amp;", "&amp;CHAR(34)&amp;"numerator"&amp;CHAR(34)&amp;": "&amp;SUBSTITUTE(TRIM(ROUND(IFERROR(CriteriTecnici!$K1354*1,IFERROR(NUMBERVALUE(CriteriTecnici!$K1354,".",","),IFERROR(NUMBERVALUE(CriteriTecnici!$K1354,",","."),0))),4)&amp;""),",",".")&amp;", "&amp;CHAR(34)&amp;"denominator"&amp;CHAR(34)&amp;": "&amp;SUBSTITUTE(TRIM(ROUND(IFERROR(CriteriTecnici!$L1354*1,IFERROR(NUMBERVALUE(CriteriTecnici!$L1354,".",","),IFERROR(NUMBERVALUE(CriteriTecnici!$L1354,",","."),0))),4)&amp;""),",",".")&amp;", "&amp;CHAR(34)&amp;"flag"&amp;CHAR(34)&amp;": "&amp;SUBSTITUTE(TRIM(ROUND(IFERROR(CriteriTecnici!$M1354*1,IFERROR(NUMBERVALUE(CriteriTecnici!$M1354,".",","),IFERROR(NUMBERVALUE(CriteriTecnici!$M1354,",","."),0))),4)&amp;""),",",".")&amp;", "&amp;CHAR(34)&amp;"rawScore"&amp;CHAR(34)&amp;": "&amp;SUBSTITUTE(TRIM(ROUND(IFERROR(CriteriTecnici!$O1354*1,IFERROR(NUMBERVALUE(CriteriTecnici!$O1354,".",","),IFERROR(NUMBERVALUE(CriteriTecnici!$O1354,",","."),0))),4)&amp;""),",",".")&amp;CHAR(125)&amp;IF(TRUE,",",""))</f>
        <v/>
      </c>
    </row>
    <row r="1456">
      <c r="A1456" s="82">
        <f>IF(CriteriTecnici!$A1355="","","    "&amp;CHAR(123)&amp;CHAR(34)&amp;"bidderId"&amp;CHAR(34)&amp;": "&amp;CHAR(34)&amp;SUBSTITUTE(CriteriTecnici!$A1355,CHAR(34),"'")&amp;CHAR(34)&amp;", "&amp;CHAR(34)&amp;"lotId"&amp;CHAR(34)&amp;": "&amp;CHAR(34)&amp;SUBSTITUTE(CriteriTecnici!$C1355,CHAR(34),"'")&amp;CHAR(34)&amp;", "&amp;CHAR(34)&amp;"criterionId"&amp;CHAR(34)&amp;": "&amp;CHAR(34)&amp;SUBSTITUTE(CriteriTecnici!$D1355,CHAR(34),"'")&amp;CHAR(34)&amp;", "&amp;CHAR(34)&amp;"kind"&amp;CHAR(34)&amp;": "&amp;CHAR(34)&amp;SUBSTITUTE(CriteriTecnici!$F1355,CHAR(34),"'")&amp;CHAR(34)&amp;", "&amp;CHAR(34)&amp;"value"&amp;CHAR(34)&amp;": "&amp;SUBSTITUTE(TRIM(ROUND(IFERROR(CriteriTecnici!$N1355*1,IFERROR(NUMBERVALUE(CriteriTecnici!$N1355,".",","),IFERROR(NUMBERVALUE(CriteriTecnici!$N1355,",","."),0))),4)&amp;""),",",".")&amp;", "&amp;CHAR(34)&amp;"numerator"&amp;CHAR(34)&amp;": "&amp;SUBSTITUTE(TRIM(ROUND(IFERROR(CriteriTecnici!$K1355*1,IFERROR(NUMBERVALUE(CriteriTecnici!$K1355,".",","),IFERROR(NUMBERVALUE(CriteriTecnici!$K1355,",","."),0))),4)&amp;""),",",".")&amp;", "&amp;CHAR(34)&amp;"denominator"&amp;CHAR(34)&amp;": "&amp;SUBSTITUTE(TRIM(ROUND(IFERROR(CriteriTecnici!$L1355*1,IFERROR(NUMBERVALUE(CriteriTecnici!$L1355,".",","),IFERROR(NUMBERVALUE(CriteriTecnici!$L1355,",","."),0))),4)&amp;""),",",".")&amp;", "&amp;CHAR(34)&amp;"flag"&amp;CHAR(34)&amp;": "&amp;SUBSTITUTE(TRIM(ROUND(IFERROR(CriteriTecnici!$M1355*1,IFERROR(NUMBERVALUE(CriteriTecnici!$M1355,".",","),IFERROR(NUMBERVALUE(CriteriTecnici!$M1355,",","."),0))),4)&amp;""),",",".")&amp;", "&amp;CHAR(34)&amp;"rawScore"&amp;CHAR(34)&amp;": "&amp;SUBSTITUTE(TRIM(ROUND(IFERROR(CriteriTecnici!$O1355*1,IFERROR(NUMBERVALUE(CriteriTecnici!$O1355,".",","),IFERROR(NUMBERVALUE(CriteriTecnici!$O1355,",","."),0))),4)&amp;""),",",".")&amp;CHAR(125)&amp;IF(TRUE,",",""))</f>
        <v/>
      </c>
    </row>
    <row r="1457">
      <c r="A1457" s="82">
        <f>IF(CriteriTecnici!$A1356="","","    "&amp;CHAR(123)&amp;CHAR(34)&amp;"bidderId"&amp;CHAR(34)&amp;": "&amp;CHAR(34)&amp;SUBSTITUTE(CriteriTecnici!$A1356,CHAR(34),"'")&amp;CHAR(34)&amp;", "&amp;CHAR(34)&amp;"lotId"&amp;CHAR(34)&amp;": "&amp;CHAR(34)&amp;SUBSTITUTE(CriteriTecnici!$C1356,CHAR(34),"'")&amp;CHAR(34)&amp;", "&amp;CHAR(34)&amp;"criterionId"&amp;CHAR(34)&amp;": "&amp;CHAR(34)&amp;SUBSTITUTE(CriteriTecnici!$D1356,CHAR(34),"'")&amp;CHAR(34)&amp;", "&amp;CHAR(34)&amp;"kind"&amp;CHAR(34)&amp;": "&amp;CHAR(34)&amp;SUBSTITUTE(CriteriTecnici!$F1356,CHAR(34),"'")&amp;CHAR(34)&amp;", "&amp;CHAR(34)&amp;"value"&amp;CHAR(34)&amp;": "&amp;SUBSTITUTE(TRIM(ROUND(IFERROR(CriteriTecnici!$N1356*1,IFERROR(NUMBERVALUE(CriteriTecnici!$N1356,".",","),IFERROR(NUMBERVALUE(CriteriTecnici!$N1356,",","."),0))),4)&amp;""),",",".")&amp;", "&amp;CHAR(34)&amp;"numerator"&amp;CHAR(34)&amp;": "&amp;SUBSTITUTE(TRIM(ROUND(IFERROR(CriteriTecnici!$K1356*1,IFERROR(NUMBERVALUE(CriteriTecnici!$K1356,".",","),IFERROR(NUMBERVALUE(CriteriTecnici!$K1356,",","."),0))),4)&amp;""),",",".")&amp;", "&amp;CHAR(34)&amp;"denominator"&amp;CHAR(34)&amp;": "&amp;SUBSTITUTE(TRIM(ROUND(IFERROR(CriteriTecnici!$L1356*1,IFERROR(NUMBERVALUE(CriteriTecnici!$L1356,".",","),IFERROR(NUMBERVALUE(CriteriTecnici!$L1356,",","."),0))),4)&amp;""),",",".")&amp;", "&amp;CHAR(34)&amp;"flag"&amp;CHAR(34)&amp;": "&amp;SUBSTITUTE(TRIM(ROUND(IFERROR(CriteriTecnici!$M1356*1,IFERROR(NUMBERVALUE(CriteriTecnici!$M1356,".",","),IFERROR(NUMBERVALUE(CriteriTecnici!$M1356,",","."),0))),4)&amp;""),",",".")&amp;", "&amp;CHAR(34)&amp;"rawScore"&amp;CHAR(34)&amp;": "&amp;SUBSTITUTE(TRIM(ROUND(IFERROR(CriteriTecnici!$O1356*1,IFERROR(NUMBERVALUE(CriteriTecnici!$O1356,".",","),IFERROR(NUMBERVALUE(CriteriTecnici!$O1356,",","."),0))),4)&amp;""),",",".")&amp;CHAR(125)&amp;IF(TRUE,",",""))</f>
        <v/>
      </c>
    </row>
    <row r="1458">
      <c r="A1458" s="82">
        <f>IF(CriteriTecnici!$A1357="","","    "&amp;CHAR(123)&amp;CHAR(34)&amp;"bidderId"&amp;CHAR(34)&amp;": "&amp;CHAR(34)&amp;SUBSTITUTE(CriteriTecnici!$A1357,CHAR(34),"'")&amp;CHAR(34)&amp;", "&amp;CHAR(34)&amp;"lotId"&amp;CHAR(34)&amp;": "&amp;CHAR(34)&amp;SUBSTITUTE(CriteriTecnici!$C1357,CHAR(34),"'")&amp;CHAR(34)&amp;", "&amp;CHAR(34)&amp;"criterionId"&amp;CHAR(34)&amp;": "&amp;CHAR(34)&amp;SUBSTITUTE(CriteriTecnici!$D1357,CHAR(34),"'")&amp;CHAR(34)&amp;", "&amp;CHAR(34)&amp;"kind"&amp;CHAR(34)&amp;": "&amp;CHAR(34)&amp;SUBSTITUTE(CriteriTecnici!$F1357,CHAR(34),"'")&amp;CHAR(34)&amp;", "&amp;CHAR(34)&amp;"value"&amp;CHAR(34)&amp;": "&amp;SUBSTITUTE(TRIM(ROUND(IFERROR(CriteriTecnici!$N1357*1,IFERROR(NUMBERVALUE(CriteriTecnici!$N1357,".",","),IFERROR(NUMBERVALUE(CriteriTecnici!$N1357,",","."),0))),4)&amp;""),",",".")&amp;", "&amp;CHAR(34)&amp;"numerator"&amp;CHAR(34)&amp;": "&amp;SUBSTITUTE(TRIM(ROUND(IFERROR(CriteriTecnici!$K1357*1,IFERROR(NUMBERVALUE(CriteriTecnici!$K1357,".",","),IFERROR(NUMBERVALUE(CriteriTecnici!$K1357,",","."),0))),4)&amp;""),",",".")&amp;", "&amp;CHAR(34)&amp;"denominator"&amp;CHAR(34)&amp;": "&amp;SUBSTITUTE(TRIM(ROUND(IFERROR(CriteriTecnici!$L1357*1,IFERROR(NUMBERVALUE(CriteriTecnici!$L1357,".",","),IFERROR(NUMBERVALUE(CriteriTecnici!$L1357,",","."),0))),4)&amp;""),",",".")&amp;", "&amp;CHAR(34)&amp;"flag"&amp;CHAR(34)&amp;": "&amp;SUBSTITUTE(TRIM(ROUND(IFERROR(CriteriTecnici!$M1357*1,IFERROR(NUMBERVALUE(CriteriTecnici!$M1357,".",","),IFERROR(NUMBERVALUE(CriteriTecnici!$M1357,",","."),0))),4)&amp;""),",",".")&amp;", "&amp;CHAR(34)&amp;"rawScore"&amp;CHAR(34)&amp;": "&amp;SUBSTITUTE(TRIM(ROUND(IFERROR(CriteriTecnici!$O1357*1,IFERROR(NUMBERVALUE(CriteriTecnici!$O1357,".",","),IFERROR(NUMBERVALUE(CriteriTecnici!$O1357,",","."),0))),4)&amp;""),",",".")&amp;CHAR(125)&amp;IF(TRUE,",",""))</f>
        <v/>
      </c>
    </row>
    <row r="1459">
      <c r="A1459" s="82">
        <f>IF(CriteriTecnici!$A1358="","","    "&amp;CHAR(123)&amp;CHAR(34)&amp;"bidderId"&amp;CHAR(34)&amp;": "&amp;CHAR(34)&amp;SUBSTITUTE(CriteriTecnici!$A1358,CHAR(34),"'")&amp;CHAR(34)&amp;", "&amp;CHAR(34)&amp;"lotId"&amp;CHAR(34)&amp;": "&amp;CHAR(34)&amp;SUBSTITUTE(CriteriTecnici!$C1358,CHAR(34),"'")&amp;CHAR(34)&amp;", "&amp;CHAR(34)&amp;"criterionId"&amp;CHAR(34)&amp;": "&amp;CHAR(34)&amp;SUBSTITUTE(CriteriTecnici!$D1358,CHAR(34),"'")&amp;CHAR(34)&amp;", "&amp;CHAR(34)&amp;"kind"&amp;CHAR(34)&amp;": "&amp;CHAR(34)&amp;SUBSTITUTE(CriteriTecnici!$F1358,CHAR(34),"'")&amp;CHAR(34)&amp;", "&amp;CHAR(34)&amp;"value"&amp;CHAR(34)&amp;": "&amp;SUBSTITUTE(TRIM(ROUND(IFERROR(CriteriTecnici!$N1358*1,IFERROR(NUMBERVALUE(CriteriTecnici!$N1358,".",","),IFERROR(NUMBERVALUE(CriteriTecnici!$N1358,",","."),0))),4)&amp;""),",",".")&amp;", "&amp;CHAR(34)&amp;"numerator"&amp;CHAR(34)&amp;": "&amp;SUBSTITUTE(TRIM(ROUND(IFERROR(CriteriTecnici!$K1358*1,IFERROR(NUMBERVALUE(CriteriTecnici!$K1358,".",","),IFERROR(NUMBERVALUE(CriteriTecnici!$K1358,",","."),0))),4)&amp;""),",",".")&amp;", "&amp;CHAR(34)&amp;"denominator"&amp;CHAR(34)&amp;": "&amp;SUBSTITUTE(TRIM(ROUND(IFERROR(CriteriTecnici!$L1358*1,IFERROR(NUMBERVALUE(CriteriTecnici!$L1358,".",","),IFERROR(NUMBERVALUE(CriteriTecnici!$L1358,",","."),0))),4)&amp;""),",",".")&amp;", "&amp;CHAR(34)&amp;"flag"&amp;CHAR(34)&amp;": "&amp;SUBSTITUTE(TRIM(ROUND(IFERROR(CriteriTecnici!$M1358*1,IFERROR(NUMBERVALUE(CriteriTecnici!$M1358,".",","),IFERROR(NUMBERVALUE(CriteriTecnici!$M1358,",","."),0))),4)&amp;""),",",".")&amp;", "&amp;CHAR(34)&amp;"rawScore"&amp;CHAR(34)&amp;": "&amp;SUBSTITUTE(TRIM(ROUND(IFERROR(CriteriTecnici!$O1358*1,IFERROR(NUMBERVALUE(CriteriTecnici!$O1358,".",","),IFERROR(NUMBERVALUE(CriteriTecnici!$O1358,",","."),0))),4)&amp;""),",",".")&amp;CHAR(125)&amp;IF(TRUE,",",""))</f>
        <v/>
      </c>
    </row>
    <row r="1460">
      <c r="A1460" s="82">
        <f>IF(CriteriTecnici!$A1359="","","    "&amp;CHAR(123)&amp;CHAR(34)&amp;"bidderId"&amp;CHAR(34)&amp;": "&amp;CHAR(34)&amp;SUBSTITUTE(CriteriTecnici!$A1359,CHAR(34),"'")&amp;CHAR(34)&amp;", "&amp;CHAR(34)&amp;"lotId"&amp;CHAR(34)&amp;": "&amp;CHAR(34)&amp;SUBSTITUTE(CriteriTecnici!$C1359,CHAR(34),"'")&amp;CHAR(34)&amp;", "&amp;CHAR(34)&amp;"criterionId"&amp;CHAR(34)&amp;": "&amp;CHAR(34)&amp;SUBSTITUTE(CriteriTecnici!$D1359,CHAR(34),"'")&amp;CHAR(34)&amp;", "&amp;CHAR(34)&amp;"kind"&amp;CHAR(34)&amp;": "&amp;CHAR(34)&amp;SUBSTITUTE(CriteriTecnici!$F1359,CHAR(34),"'")&amp;CHAR(34)&amp;", "&amp;CHAR(34)&amp;"value"&amp;CHAR(34)&amp;": "&amp;SUBSTITUTE(TRIM(ROUND(IFERROR(CriteriTecnici!$N1359*1,IFERROR(NUMBERVALUE(CriteriTecnici!$N1359,".",","),IFERROR(NUMBERVALUE(CriteriTecnici!$N1359,",","."),0))),4)&amp;""),",",".")&amp;", "&amp;CHAR(34)&amp;"numerator"&amp;CHAR(34)&amp;": "&amp;SUBSTITUTE(TRIM(ROUND(IFERROR(CriteriTecnici!$K1359*1,IFERROR(NUMBERVALUE(CriteriTecnici!$K1359,".",","),IFERROR(NUMBERVALUE(CriteriTecnici!$K1359,",","."),0))),4)&amp;""),",",".")&amp;", "&amp;CHAR(34)&amp;"denominator"&amp;CHAR(34)&amp;": "&amp;SUBSTITUTE(TRIM(ROUND(IFERROR(CriteriTecnici!$L1359*1,IFERROR(NUMBERVALUE(CriteriTecnici!$L1359,".",","),IFERROR(NUMBERVALUE(CriteriTecnici!$L1359,",","."),0))),4)&amp;""),",",".")&amp;", "&amp;CHAR(34)&amp;"flag"&amp;CHAR(34)&amp;": "&amp;SUBSTITUTE(TRIM(ROUND(IFERROR(CriteriTecnici!$M1359*1,IFERROR(NUMBERVALUE(CriteriTecnici!$M1359,".",","),IFERROR(NUMBERVALUE(CriteriTecnici!$M1359,",","."),0))),4)&amp;""),",",".")&amp;", "&amp;CHAR(34)&amp;"rawScore"&amp;CHAR(34)&amp;": "&amp;SUBSTITUTE(TRIM(ROUND(IFERROR(CriteriTecnici!$O1359*1,IFERROR(NUMBERVALUE(CriteriTecnici!$O1359,".",","),IFERROR(NUMBERVALUE(CriteriTecnici!$O1359,",","."),0))),4)&amp;""),",",".")&amp;CHAR(125)&amp;IF(TRUE,",",""))</f>
        <v/>
      </c>
    </row>
    <row r="1461">
      <c r="A1461" s="82">
        <f>IF(CriteriTecnici!$A1360="","","    "&amp;CHAR(123)&amp;CHAR(34)&amp;"bidderId"&amp;CHAR(34)&amp;": "&amp;CHAR(34)&amp;SUBSTITUTE(CriteriTecnici!$A1360,CHAR(34),"'")&amp;CHAR(34)&amp;", "&amp;CHAR(34)&amp;"lotId"&amp;CHAR(34)&amp;": "&amp;CHAR(34)&amp;SUBSTITUTE(CriteriTecnici!$C1360,CHAR(34),"'")&amp;CHAR(34)&amp;", "&amp;CHAR(34)&amp;"criterionId"&amp;CHAR(34)&amp;": "&amp;CHAR(34)&amp;SUBSTITUTE(CriteriTecnici!$D1360,CHAR(34),"'")&amp;CHAR(34)&amp;", "&amp;CHAR(34)&amp;"kind"&amp;CHAR(34)&amp;": "&amp;CHAR(34)&amp;SUBSTITUTE(CriteriTecnici!$F1360,CHAR(34),"'")&amp;CHAR(34)&amp;", "&amp;CHAR(34)&amp;"value"&amp;CHAR(34)&amp;": "&amp;SUBSTITUTE(TRIM(ROUND(IFERROR(CriteriTecnici!$N1360*1,IFERROR(NUMBERVALUE(CriteriTecnici!$N1360,".",","),IFERROR(NUMBERVALUE(CriteriTecnici!$N1360,",","."),0))),4)&amp;""),",",".")&amp;", "&amp;CHAR(34)&amp;"numerator"&amp;CHAR(34)&amp;": "&amp;SUBSTITUTE(TRIM(ROUND(IFERROR(CriteriTecnici!$K1360*1,IFERROR(NUMBERVALUE(CriteriTecnici!$K1360,".",","),IFERROR(NUMBERVALUE(CriteriTecnici!$K1360,",","."),0))),4)&amp;""),",",".")&amp;", "&amp;CHAR(34)&amp;"denominator"&amp;CHAR(34)&amp;": "&amp;SUBSTITUTE(TRIM(ROUND(IFERROR(CriteriTecnici!$L1360*1,IFERROR(NUMBERVALUE(CriteriTecnici!$L1360,".",","),IFERROR(NUMBERVALUE(CriteriTecnici!$L1360,",","."),0))),4)&amp;""),",",".")&amp;", "&amp;CHAR(34)&amp;"flag"&amp;CHAR(34)&amp;": "&amp;SUBSTITUTE(TRIM(ROUND(IFERROR(CriteriTecnici!$M1360*1,IFERROR(NUMBERVALUE(CriteriTecnici!$M1360,".",","),IFERROR(NUMBERVALUE(CriteriTecnici!$M1360,",","."),0))),4)&amp;""),",",".")&amp;", "&amp;CHAR(34)&amp;"rawScore"&amp;CHAR(34)&amp;": "&amp;SUBSTITUTE(TRIM(ROUND(IFERROR(CriteriTecnici!$O1360*1,IFERROR(NUMBERVALUE(CriteriTecnici!$O1360,".",","),IFERROR(NUMBERVALUE(CriteriTecnici!$O1360,",","."),0))),4)&amp;""),",",".")&amp;CHAR(125)&amp;IF(TRUE,",",""))</f>
        <v/>
      </c>
    </row>
    <row r="1462">
      <c r="A1462" s="82">
        <f>IF(CriteriTecnici!$A1361="","","    "&amp;CHAR(123)&amp;CHAR(34)&amp;"bidderId"&amp;CHAR(34)&amp;": "&amp;CHAR(34)&amp;SUBSTITUTE(CriteriTecnici!$A1361,CHAR(34),"'")&amp;CHAR(34)&amp;", "&amp;CHAR(34)&amp;"lotId"&amp;CHAR(34)&amp;": "&amp;CHAR(34)&amp;SUBSTITUTE(CriteriTecnici!$C1361,CHAR(34),"'")&amp;CHAR(34)&amp;", "&amp;CHAR(34)&amp;"criterionId"&amp;CHAR(34)&amp;": "&amp;CHAR(34)&amp;SUBSTITUTE(CriteriTecnici!$D1361,CHAR(34),"'")&amp;CHAR(34)&amp;", "&amp;CHAR(34)&amp;"kind"&amp;CHAR(34)&amp;": "&amp;CHAR(34)&amp;SUBSTITUTE(CriteriTecnici!$F1361,CHAR(34),"'")&amp;CHAR(34)&amp;", "&amp;CHAR(34)&amp;"value"&amp;CHAR(34)&amp;": "&amp;SUBSTITUTE(TRIM(ROUND(IFERROR(CriteriTecnici!$N1361*1,IFERROR(NUMBERVALUE(CriteriTecnici!$N1361,".",","),IFERROR(NUMBERVALUE(CriteriTecnici!$N1361,",","."),0))),4)&amp;""),",",".")&amp;", "&amp;CHAR(34)&amp;"numerator"&amp;CHAR(34)&amp;": "&amp;SUBSTITUTE(TRIM(ROUND(IFERROR(CriteriTecnici!$K1361*1,IFERROR(NUMBERVALUE(CriteriTecnici!$K1361,".",","),IFERROR(NUMBERVALUE(CriteriTecnici!$K1361,",","."),0))),4)&amp;""),",",".")&amp;", "&amp;CHAR(34)&amp;"denominator"&amp;CHAR(34)&amp;": "&amp;SUBSTITUTE(TRIM(ROUND(IFERROR(CriteriTecnici!$L1361*1,IFERROR(NUMBERVALUE(CriteriTecnici!$L1361,".",","),IFERROR(NUMBERVALUE(CriteriTecnici!$L1361,",","."),0))),4)&amp;""),",",".")&amp;", "&amp;CHAR(34)&amp;"flag"&amp;CHAR(34)&amp;": "&amp;SUBSTITUTE(TRIM(ROUND(IFERROR(CriteriTecnici!$M1361*1,IFERROR(NUMBERVALUE(CriteriTecnici!$M1361,".",","),IFERROR(NUMBERVALUE(CriteriTecnici!$M1361,",","."),0))),4)&amp;""),",",".")&amp;", "&amp;CHAR(34)&amp;"rawScore"&amp;CHAR(34)&amp;": "&amp;SUBSTITUTE(TRIM(ROUND(IFERROR(CriteriTecnici!$O1361*1,IFERROR(NUMBERVALUE(CriteriTecnici!$O1361,".",","),IFERROR(NUMBERVALUE(CriteriTecnici!$O1361,",","."),0))),4)&amp;""),",",".")&amp;CHAR(125)&amp;IF(TRUE,",",""))</f>
        <v/>
      </c>
    </row>
    <row r="1463">
      <c r="A1463" s="82">
        <f>IF(CriteriTecnici!$A1362="","","    "&amp;CHAR(123)&amp;CHAR(34)&amp;"bidderId"&amp;CHAR(34)&amp;": "&amp;CHAR(34)&amp;SUBSTITUTE(CriteriTecnici!$A1362,CHAR(34),"'")&amp;CHAR(34)&amp;", "&amp;CHAR(34)&amp;"lotId"&amp;CHAR(34)&amp;": "&amp;CHAR(34)&amp;SUBSTITUTE(CriteriTecnici!$C1362,CHAR(34),"'")&amp;CHAR(34)&amp;", "&amp;CHAR(34)&amp;"criterionId"&amp;CHAR(34)&amp;": "&amp;CHAR(34)&amp;SUBSTITUTE(CriteriTecnici!$D1362,CHAR(34),"'")&amp;CHAR(34)&amp;", "&amp;CHAR(34)&amp;"kind"&amp;CHAR(34)&amp;": "&amp;CHAR(34)&amp;SUBSTITUTE(CriteriTecnici!$F1362,CHAR(34),"'")&amp;CHAR(34)&amp;", "&amp;CHAR(34)&amp;"value"&amp;CHAR(34)&amp;": "&amp;SUBSTITUTE(TRIM(ROUND(IFERROR(CriteriTecnici!$N1362*1,IFERROR(NUMBERVALUE(CriteriTecnici!$N1362,".",","),IFERROR(NUMBERVALUE(CriteriTecnici!$N1362,",","."),0))),4)&amp;""),",",".")&amp;", "&amp;CHAR(34)&amp;"numerator"&amp;CHAR(34)&amp;": "&amp;SUBSTITUTE(TRIM(ROUND(IFERROR(CriteriTecnici!$K1362*1,IFERROR(NUMBERVALUE(CriteriTecnici!$K1362,".",","),IFERROR(NUMBERVALUE(CriteriTecnici!$K1362,",","."),0))),4)&amp;""),",",".")&amp;", "&amp;CHAR(34)&amp;"denominator"&amp;CHAR(34)&amp;": "&amp;SUBSTITUTE(TRIM(ROUND(IFERROR(CriteriTecnici!$L1362*1,IFERROR(NUMBERVALUE(CriteriTecnici!$L1362,".",","),IFERROR(NUMBERVALUE(CriteriTecnici!$L1362,",","."),0))),4)&amp;""),",",".")&amp;", "&amp;CHAR(34)&amp;"flag"&amp;CHAR(34)&amp;": "&amp;SUBSTITUTE(TRIM(ROUND(IFERROR(CriteriTecnici!$M1362*1,IFERROR(NUMBERVALUE(CriteriTecnici!$M1362,".",","),IFERROR(NUMBERVALUE(CriteriTecnici!$M1362,",","."),0))),4)&amp;""),",",".")&amp;", "&amp;CHAR(34)&amp;"rawScore"&amp;CHAR(34)&amp;": "&amp;SUBSTITUTE(TRIM(ROUND(IFERROR(CriteriTecnici!$O1362*1,IFERROR(NUMBERVALUE(CriteriTecnici!$O1362,".",","),IFERROR(NUMBERVALUE(CriteriTecnici!$O1362,",","."),0))),4)&amp;""),",",".")&amp;CHAR(125)&amp;IF(TRUE,",",""))</f>
        <v/>
      </c>
    </row>
    <row r="1464">
      <c r="A1464" s="82">
        <f>IF(CriteriTecnici!$A1363="","","    "&amp;CHAR(123)&amp;CHAR(34)&amp;"bidderId"&amp;CHAR(34)&amp;": "&amp;CHAR(34)&amp;SUBSTITUTE(CriteriTecnici!$A1363,CHAR(34),"'")&amp;CHAR(34)&amp;", "&amp;CHAR(34)&amp;"lotId"&amp;CHAR(34)&amp;": "&amp;CHAR(34)&amp;SUBSTITUTE(CriteriTecnici!$C1363,CHAR(34),"'")&amp;CHAR(34)&amp;", "&amp;CHAR(34)&amp;"criterionId"&amp;CHAR(34)&amp;": "&amp;CHAR(34)&amp;SUBSTITUTE(CriteriTecnici!$D1363,CHAR(34),"'")&amp;CHAR(34)&amp;", "&amp;CHAR(34)&amp;"kind"&amp;CHAR(34)&amp;": "&amp;CHAR(34)&amp;SUBSTITUTE(CriteriTecnici!$F1363,CHAR(34),"'")&amp;CHAR(34)&amp;", "&amp;CHAR(34)&amp;"value"&amp;CHAR(34)&amp;": "&amp;SUBSTITUTE(TRIM(ROUND(IFERROR(CriteriTecnici!$N1363*1,IFERROR(NUMBERVALUE(CriteriTecnici!$N1363,".",","),IFERROR(NUMBERVALUE(CriteriTecnici!$N1363,",","."),0))),4)&amp;""),",",".")&amp;", "&amp;CHAR(34)&amp;"numerator"&amp;CHAR(34)&amp;": "&amp;SUBSTITUTE(TRIM(ROUND(IFERROR(CriteriTecnici!$K1363*1,IFERROR(NUMBERVALUE(CriteriTecnici!$K1363,".",","),IFERROR(NUMBERVALUE(CriteriTecnici!$K1363,",","."),0))),4)&amp;""),",",".")&amp;", "&amp;CHAR(34)&amp;"denominator"&amp;CHAR(34)&amp;": "&amp;SUBSTITUTE(TRIM(ROUND(IFERROR(CriteriTecnici!$L1363*1,IFERROR(NUMBERVALUE(CriteriTecnici!$L1363,".",","),IFERROR(NUMBERVALUE(CriteriTecnici!$L1363,",","."),0))),4)&amp;""),",",".")&amp;", "&amp;CHAR(34)&amp;"flag"&amp;CHAR(34)&amp;": "&amp;SUBSTITUTE(TRIM(ROUND(IFERROR(CriteriTecnici!$M1363*1,IFERROR(NUMBERVALUE(CriteriTecnici!$M1363,".",","),IFERROR(NUMBERVALUE(CriteriTecnici!$M1363,",","."),0))),4)&amp;""),",",".")&amp;", "&amp;CHAR(34)&amp;"rawScore"&amp;CHAR(34)&amp;": "&amp;SUBSTITUTE(TRIM(ROUND(IFERROR(CriteriTecnici!$O1363*1,IFERROR(NUMBERVALUE(CriteriTecnici!$O1363,".",","),IFERROR(NUMBERVALUE(CriteriTecnici!$O1363,",","."),0))),4)&amp;""),",",".")&amp;CHAR(125)&amp;IF(TRUE,",",""))</f>
        <v/>
      </c>
    </row>
    <row r="1465">
      <c r="A1465" s="82">
        <f>IF(CriteriTecnici!$A1364="","","    "&amp;CHAR(123)&amp;CHAR(34)&amp;"bidderId"&amp;CHAR(34)&amp;": "&amp;CHAR(34)&amp;SUBSTITUTE(CriteriTecnici!$A1364,CHAR(34),"'")&amp;CHAR(34)&amp;", "&amp;CHAR(34)&amp;"lotId"&amp;CHAR(34)&amp;": "&amp;CHAR(34)&amp;SUBSTITUTE(CriteriTecnici!$C1364,CHAR(34),"'")&amp;CHAR(34)&amp;", "&amp;CHAR(34)&amp;"criterionId"&amp;CHAR(34)&amp;": "&amp;CHAR(34)&amp;SUBSTITUTE(CriteriTecnici!$D1364,CHAR(34),"'")&amp;CHAR(34)&amp;", "&amp;CHAR(34)&amp;"kind"&amp;CHAR(34)&amp;": "&amp;CHAR(34)&amp;SUBSTITUTE(CriteriTecnici!$F1364,CHAR(34),"'")&amp;CHAR(34)&amp;", "&amp;CHAR(34)&amp;"value"&amp;CHAR(34)&amp;": "&amp;SUBSTITUTE(TRIM(ROUND(IFERROR(CriteriTecnici!$N1364*1,IFERROR(NUMBERVALUE(CriteriTecnici!$N1364,".",","),IFERROR(NUMBERVALUE(CriteriTecnici!$N1364,",","."),0))),4)&amp;""),",",".")&amp;", "&amp;CHAR(34)&amp;"numerator"&amp;CHAR(34)&amp;": "&amp;SUBSTITUTE(TRIM(ROUND(IFERROR(CriteriTecnici!$K1364*1,IFERROR(NUMBERVALUE(CriteriTecnici!$K1364,".",","),IFERROR(NUMBERVALUE(CriteriTecnici!$K1364,",","."),0))),4)&amp;""),",",".")&amp;", "&amp;CHAR(34)&amp;"denominator"&amp;CHAR(34)&amp;": "&amp;SUBSTITUTE(TRIM(ROUND(IFERROR(CriteriTecnici!$L1364*1,IFERROR(NUMBERVALUE(CriteriTecnici!$L1364,".",","),IFERROR(NUMBERVALUE(CriteriTecnici!$L1364,",","."),0))),4)&amp;""),",",".")&amp;", "&amp;CHAR(34)&amp;"flag"&amp;CHAR(34)&amp;": "&amp;SUBSTITUTE(TRIM(ROUND(IFERROR(CriteriTecnici!$M1364*1,IFERROR(NUMBERVALUE(CriteriTecnici!$M1364,".",","),IFERROR(NUMBERVALUE(CriteriTecnici!$M1364,",","."),0))),4)&amp;""),",",".")&amp;", "&amp;CHAR(34)&amp;"rawScore"&amp;CHAR(34)&amp;": "&amp;SUBSTITUTE(TRIM(ROUND(IFERROR(CriteriTecnici!$O1364*1,IFERROR(NUMBERVALUE(CriteriTecnici!$O1364,".",","),IFERROR(NUMBERVALUE(CriteriTecnici!$O1364,",","."),0))),4)&amp;""),",",".")&amp;CHAR(125)&amp;IF(TRUE,",",""))</f>
        <v/>
      </c>
    </row>
    <row r="1466">
      <c r="A1466" s="82">
        <f>IF(CriteriTecnici!$A1365="","","    "&amp;CHAR(123)&amp;CHAR(34)&amp;"bidderId"&amp;CHAR(34)&amp;": "&amp;CHAR(34)&amp;SUBSTITUTE(CriteriTecnici!$A1365,CHAR(34),"'")&amp;CHAR(34)&amp;", "&amp;CHAR(34)&amp;"lotId"&amp;CHAR(34)&amp;": "&amp;CHAR(34)&amp;SUBSTITUTE(CriteriTecnici!$C1365,CHAR(34),"'")&amp;CHAR(34)&amp;", "&amp;CHAR(34)&amp;"criterionId"&amp;CHAR(34)&amp;": "&amp;CHAR(34)&amp;SUBSTITUTE(CriteriTecnici!$D1365,CHAR(34),"'")&amp;CHAR(34)&amp;", "&amp;CHAR(34)&amp;"kind"&amp;CHAR(34)&amp;": "&amp;CHAR(34)&amp;SUBSTITUTE(CriteriTecnici!$F1365,CHAR(34),"'")&amp;CHAR(34)&amp;", "&amp;CHAR(34)&amp;"value"&amp;CHAR(34)&amp;": "&amp;SUBSTITUTE(TRIM(ROUND(IFERROR(CriteriTecnici!$N1365*1,IFERROR(NUMBERVALUE(CriteriTecnici!$N1365,".",","),IFERROR(NUMBERVALUE(CriteriTecnici!$N1365,",","."),0))),4)&amp;""),",",".")&amp;", "&amp;CHAR(34)&amp;"numerator"&amp;CHAR(34)&amp;": "&amp;SUBSTITUTE(TRIM(ROUND(IFERROR(CriteriTecnici!$K1365*1,IFERROR(NUMBERVALUE(CriteriTecnici!$K1365,".",","),IFERROR(NUMBERVALUE(CriteriTecnici!$K1365,",","."),0))),4)&amp;""),",",".")&amp;", "&amp;CHAR(34)&amp;"denominator"&amp;CHAR(34)&amp;": "&amp;SUBSTITUTE(TRIM(ROUND(IFERROR(CriteriTecnici!$L1365*1,IFERROR(NUMBERVALUE(CriteriTecnici!$L1365,".",","),IFERROR(NUMBERVALUE(CriteriTecnici!$L1365,",","."),0))),4)&amp;""),",",".")&amp;", "&amp;CHAR(34)&amp;"flag"&amp;CHAR(34)&amp;": "&amp;SUBSTITUTE(TRIM(ROUND(IFERROR(CriteriTecnici!$M1365*1,IFERROR(NUMBERVALUE(CriteriTecnici!$M1365,".",","),IFERROR(NUMBERVALUE(CriteriTecnici!$M1365,",","."),0))),4)&amp;""),",",".")&amp;", "&amp;CHAR(34)&amp;"rawScore"&amp;CHAR(34)&amp;": "&amp;SUBSTITUTE(TRIM(ROUND(IFERROR(CriteriTecnici!$O1365*1,IFERROR(NUMBERVALUE(CriteriTecnici!$O1365,".",","),IFERROR(NUMBERVALUE(CriteriTecnici!$O1365,",","."),0))),4)&amp;""),",",".")&amp;CHAR(125)&amp;IF(TRUE,",",""))</f>
        <v/>
      </c>
    </row>
    <row r="1467">
      <c r="A1467" s="82">
        <f>IF(CriteriTecnici!$A1366="","","    "&amp;CHAR(123)&amp;CHAR(34)&amp;"bidderId"&amp;CHAR(34)&amp;": "&amp;CHAR(34)&amp;SUBSTITUTE(CriteriTecnici!$A1366,CHAR(34),"'")&amp;CHAR(34)&amp;", "&amp;CHAR(34)&amp;"lotId"&amp;CHAR(34)&amp;": "&amp;CHAR(34)&amp;SUBSTITUTE(CriteriTecnici!$C1366,CHAR(34),"'")&amp;CHAR(34)&amp;", "&amp;CHAR(34)&amp;"criterionId"&amp;CHAR(34)&amp;": "&amp;CHAR(34)&amp;SUBSTITUTE(CriteriTecnici!$D1366,CHAR(34),"'")&amp;CHAR(34)&amp;", "&amp;CHAR(34)&amp;"kind"&amp;CHAR(34)&amp;": "&amp;CHAR(34)&amp;SUBSTITUTE(CriteriTecnici!$F1366,CHAR(34),"'")&amp;CHAR(34)&amp;", "&amp;CHAR(34)&amp;"value"&amp;CHAR(34)&amp;": "&amp;SUBSTITUTE(TRIM(ROUND(IFERROR(CriteriTecnici!$N1366*1,IFERROR(NUMBERVALUE(CriteriTecnici!$N1366,".",","),IFERROR(NUMBERVALUE(CriteriTecnici!$N1366,",","."),0))),4)&amp;""),",",".")&amp;", "&amp;CHAR(34)&amp;"numerator"&amp;CHAR(34)&amp;": "&amp;SUBSTITUTE(TRIM(ROUND(IFERROR(CriteriTecnici!$K1366*1,IFERROR(NUMBERVALUE(CriteriTecnici!$K1366,".",","),IFERROR(NUMBERVALUE(CriteriTecnici!$K1366,",","."),0))),4)&amp;""),",",".")&amp;", "&amp;CHAR(34)&amp;"denominator"&amp;CHAR(34)&amp;": "&amp;SUBSTITUTE(TRIM(ROUND(IFERROR(CriteriTecnici!$L1366*1,IFERROR(NUMBERVALUE(CriteriTecnici!$L1366,".",","),IFERROR(NUMBERVALUE(CriteriTecnici!$L1366,",","."),0))),4)&amp;""),",",".")&amp;", "&amp;CHAR(34)&amp;"flag"&amp;CHAR(34)&amp;": "&amp;SUBSTITUTE(TRIM(ROUND(IFERROR(CriteriTecnici!$M1366*1,IFERROR(NUMBERVALUE(CriteriTecnici!$M1366,".",","),IFERROR(NUMBERVALUE(CriteriTecnici!$M1366,",","."),0))),4)&amp;""),",",".")&amp;", "&amp;CHAR(34)&amp;"rawScore"&amp;CHAR(34)&amp;": "&amp;SUBSTITUTE(TRIM(ROUND(IFERROR(CriteriTecnici!$O1366*1,IFERROR(NUMBERVALUE(CriteriTecnici!$O1366,".",","),IFERROR(NUMBERVALUE(CriteriTecnici!$O1366,",","."),0))),4)&amp;""),",",".")&amp;CHAR(125)&amp;IF(TRUE,",",""))</f>
        <v/>
      </c>
    </row>
    <row r="1468">
      <c r="A1468" s="82">
        <f>IF(CriteriTecnici!$A1367="","","    "&amp;CHAR(123)&amp;CHAR(34)&amp;"bidderId"&amp;CHAR(34)&amp;": "&amp;CHAR(34)&amp;SUBSTITUTE(CriteriTecnici!$A1367,CHAR(34),"'")&amp;CHAR(34)&amp;", "&amp;CHAR(34)&amp;"lotId"&amp;CHAR(34)&amp;": "&amp;CHAR(34)&amp;SUBSTITUTE(CriteriTecnici!$C1367,CHAR(34),"'")&amp;CHAR(34)&amp;", "&amp;CHAR(34)&amp;"criterionId"&amp;CHAR(34)&amp;": "&amp;CHAR(34)&amp;SUBSTITUTE(CriteriTecnici!$D1367,CHAR(34),"'")&amp;CHAR(34)&amp;", "&amp;CHAR(34)&amp;"kind"&amp;CHAR(34)&amp;": "&amp;CHAR(34)&amp;SUBSTITUTE(CriteriTecnici!$F1367,CHAR(34),"'")&amp;CHAR(34)&amp;", "&amp;CHAR(34)&amp;"value"&amp;CHAR(34)&amp;": "&amp;SUBSTITUTE(TRIM(ROUND(IFERROR(CriteriTecnici!$N1367*1,IFERROR(NUMBERVALUE(CriteriTecnici!$N1367,".",","),IFERROR(NUMBERVALUE(CriteriTecnici!$N1367,",","."),0))),4)&amp;""),",",".")&amp;", "&amp;CHAR(34)&amp;"numerator"&amp;CHAR(34)&amp;": "&amp;SUBSTITUTE(TRIM(ROUND(IFERROR(CriteriTecnici!$K1367*1,IFERROR(NUMBERVALUE(CriteriTecnici!$K1367,".",","),IFERROR(NUMBERVALUE(CriteriTecnici!$K1367,",","."),0))),4)&amp;""),",",".")&amp;", "&amp;CHAR(34)&amp;"denominator"&amp;CHAR(34)&amp;": "&amp;SUBSTITUTE(TRIM(ROUND(IFERROR(CriteriTecnici!$L1367*1,IFERROR(NUMBERVALUE(CriteriTecnici!$L1367,".",","),IFERROR(NUMBERVALUE(CriteriTecnici!$L1367,",","."),0))),4)&amp;""),",",".")&amp;", "&amp;CHAR(34)&amp;"flag"&amp;CHAR(34)&amp;": "&amp;SUBSTITUTE(TRIM(ROUND(IFERROR(CriteriTecnici!$M1367*1,IFERROR(NUMBERVALUE(CriteriTecnici!$M1367,".",","),IFERROR(NUMBERVALUE(CriteriTecnici!$M1367,",","."),0))),4)&amp;""),",",".")&amp;", "&amp;CHAR(34)&amp;"rawScore"&amp;CHAR(34)&amp;": "&amp;SUBSTITUTE(TRIM(ROUND(IFERROR(CriteriTecnici!$O1367*1,IFERROR(NUMBERVALUE(CriteriTecnici!$O1367,".",","),IFERROR(NUMBERVALUE(CriteriTecnici!$O1367,",","."),0))),4)&amp;""),",",".")&amp;CHAR(125)&amp;IF(TRUE,",",""))</f>
        <v/>
      </c>
    </row>
    <row r="1469">
      <c r="A1469" s="82">
        <f>IF(CriteriTecnici!$A1368="","","    "&amp;CHAR(123)&amp;CHAR(34)&amp;"bidderId"&amp;CHAR(34)&amp;": "&amp;CHAR(34)&amp;SUBSTITUTE(CriteriTecnici!$A1368,CHAR(34),"'")&amp;CHAR(34)&amp;", "&amp;CHAR(34)&amp;"lotId"&amp;CHAR(34)&amp;": "&amp;CHAR(34)&amp;SUBSTITUTE(CriteriTecnici!$C1368,CHAR(34),"'")&amp;CHAR(34)&amp;", "&amp;CHAR(34)&amp;"criterionId"&amp;CHAR(34)&amp;": "&amp;CHAR(34)&amp;SUBSTITUTE(CriteriTecnici!$D1368,CHAR(34),"'")&amp;CHAR(34)&amp;", "&amp;CHAR(34)&amp;"kind"&amp;CHAR(34)&amp;": "&amp;CHAR(34)&amp;SUBSTITUTE(CriteriTecnici!$F1368,CHAR(34),"'")&amp;CHAR(34)&amp;", "&amp;CHAR(34)&amp;"value"&amp;CHAR(34)&amp;": "&amp;SUBSTITUTE(TRIM(ROUND(IFERROR(CriteriTecnici!$N1368*1,IFERROR(NUMBERVALUE(CriteriTecnici!$N1368,".",","),IFERROR(NUMBERVALUE(CriteriTecnici!$N1368,",","."),0))),4)&amp;""),",",".")&amp;", "&amp;CHAR(34)&amp;"numerator"&amp;CHAR(34)&amp;": "&amp;SUBSTITUTE(TRIM(ROUND(IFERROR(CriteriTecnici!$K1368*1,IFERROR(NUMBERVALUE(CriteriTecnici!$K1368,".",","),IFERROR(NUMBERVALUE(CriteriTecnici!$K1368,",","."),0))),4)&amp;""),",",".")&amp;", "&amp;CHAR(34)&amp;"denominator"&amp;CHAR(34)&amp;": "&amp;SUBSTITUTE(TRIM(ROUND(IFERROR(CriteriTecnici!$L1368*1,IFERROR(NUMBERVALUE(CriteriTecnici!$L1368,".",","),IFERROR(NUMBERVALUE(CriteriTecnici!$L1368,",","."),0))),4)&amp;""),",",".")&amp;", "&amp;CHAR(34)&amp;"flag"&amp;CHAR(34)&amp;": "&amp;SUBSTITUTE(TRIM(ROUND(IFERROR(CriteriTecnici!$M1368*1,IFERROR(NUMBERVALUE(CriteriTecnici!$M1368,".",","),IFERROR(NUMBERVALUE(CriteriTecnici!$M1368,",","."),0))),4)&amp;""),",",".")&amp;", "&amp;CHAR(34)&amp;"rawScore"&amp;CHAR(34)&amp;": "&amp;SUBSTITUTE(TRIM(ROUND(IFERROR(CriteriTecnici!$O1368*1,IFERROR(NUMBERVALUE(CriteriTecnici!$O1368,".",","),IFERROR(NUMBERVALUE(CriteriTecnici!$O1368,",","."),0))),4)&amp;""),",",".")&amp;CHAR(125)&amp;IF(COUNTA(Offerte!$A46:$A$81)&gt;0,",",""))</f>
        <v/>
      </c>
    </row>
    <row r="1470">
      <c r="A1470" s="82">
        <f>IF(CriteriTecnici!$A1369="","","    "&amp;CHAR(123)&amp;CHAR(34)&amp;"bidderId"&amp;CHAR(34)&amp;": "&amp;CHAR(34)&amp;SUBSTITUTE(CriteriTecnici!$A1369,CHAR(34),"'")&amp;CHAR(34)&amp;", "&amp;CHAR(34)&amp;"lotId"&amp;CHAR(34)&amp;": "&amp;CHAR(34)&amp;SUBSTITUTE(CriteriTecnici!$C1369,CHAR(34),"'")&amp;CHAR(34)&amp;", "&amp;CHAR(34)&amp;"criterionId"&amp;CHAR(34)&amp;": "&amp;CHAR(34)&amp;SUBSTITUTE(CriteriTecnici!$D1369,CHAR(34),"'")&amp;CHAR(34)&amp;", "&amp;CHAR(34)&amp;"kind"&amp;CHAR(34)&amp;": "&amp;CHAR(34)&amp;SUBSTITUTE(CriteriTecnici!$F1369,CHAR(34),"'")&amp;CHAR(34)&amp;", "&amp;CHAR(34)&amp;"value"&amp;CHAR(34)&amp;": "&amp;SUBSTITUTE(TRIM(ROUND(IFERROR(CriteriTecnici!$N1369*1,IFERROR(NUMBERVALUE(CriteriTecnici!$N1369,".",","),IFERROR(NUMBERVALUE(CriteriTecnici!$N1369,",","."),0))),4)&amp;""),",",".")&amp;", "&amp;CHAR(34)&amp;"numerator"&amp;CHAR(34)&amp;": "&amp;SUBSTITUTE(TRIM(ROUND(IFERROR(CriteriTecnici!$K1369*1,IFERROR(NUMBERVALUE(CriteriTecnici!$K1369,".",","),IFERROR(NUMBERVALUE(CriteriTecnici!$K1369,",","."),0))),4)&amp;""),",",".")&amp;", "&amp;CHAR(34)&amp;"denominator"&amp;CHAR(34)&amp;": "&amp;SUBSTITUTE(TRIM(ROUND(IFERROR(CriteriTecnici!$L1369*1,IFERROR(NUMBERVALUE(CriteriTecnici!$L1369,".",","),IFERROR(NUMBERVALUE(CriteriTecnici!$L1369,",","."),0))),4)&amp;""),",",".")&amp;", "&amp;CHAR(34)&amp;"flag"&amp;CHAR(34)&amp;": "&amp;SUBSTITUTE(TRIM(ROUND(IFERROR(CriteriTecnici!$M1369*1,IFERROR(NUMBERVALUE(CriteriTecnici!$M1369,".",","),IFERROR(NUMBERVALUE(CriteriTecnici!$M1369,",","."),0))),4)&amp;""),",",".")&amp;", "&amp;CHAR(34)&amp;"rawScore"&amp;CHAR(34)&amp;": "&amp;SUBSTITUTE(TRIM(ROUND(IFERROR(CriteriTecnici!$O1369*1,IFERROR(NUMBERVALUE(CriteriTecnici!$O1369,".",","),IFERROR(NUMBERVALUE(CriteriTecnici!$O1369,",","."),0))),4)&amp;""),",",".")&amp;CHAR(125)&amp;IF(TRUE,",",""))</f>
        <v/>
      </c>
    </row>
    <row r="1471">
      <c r="A1471" s="82">
        <f>IF(CriteriTecnici!$A1370="","","    "&amp;CHAR(123)&amp;CHAR(34)&amp;"bidderId"&amp;CHAR(34)&amp;": "&amp;CHAR(34)&amp;SUBSTITUTE(CriteriTecnici!$A1370,CHAR(34),"'")&amp;CHAR(34)&amp;", "&amp;CHAR(34)&amp;"lotId"&amp;CHAR(34)&amp;": "&amp;CHAR(34)&amp;SUBSTITUTE(CriteriTecnici!$C1370,CHAR(34),"'")&amp;CHAR(34)&amp;", "&amp;CHAR(34)&amp;"criterionId"&amp;CHAR(34)&amp;": "&amp;CHAR(34)&amp;SUBSTITUTE(CriteriTecnici!$D1370,CHAR(34),"'")&amp;CHAR(34)&amp;", "&amp;CHAR(34)&amp;"kind"&amp;CHAR(34)&amp;": "&amp;CHAR(34)&amp;SUBSTITUTE(CriteriTecnici!$F1370,CHAR(34),"'")&amp;CHAR(34)&amp;", "&amp;CHAR(34)&amp;"value"&amp;CHAR(34)&amp;": "&amp;SUBSTITUTE(TRIM(ROUND(IFERROR(CriteriTecnici!$N1370*1,IFERROR(NUMBERVALUE(CriteriTecnici!$N1370,".",","),IFERROR(NUMBERVALUE(CriteriTecnici!$N1370,",","."),0))),4)&amp;""),",",".")&amp;", "&amp;CHAR(34)&amp;"numerator"&amp;CHAR(34)&amp;": "&amp;SUBSTITUTE(TRIM(ROUND(IFERROR(CriteriTecnici!$K1370*1,IFERROR(NUMBERVALUE(CriteriTecnici!$K1370,".",","),IFERROR(NUMBERVALUE(CriteriTecnici!$K1370,",","."),0))),4)&amp;""),",",".")&amp;", "&amp;CHAR(34)&amp;"denominator"&amp;CHAR(34)&amp;": "&amp;SUBSTITUTE(TRIM(ROUND(IFERROR(CriteriTecnici!$L1370*1,IFERROR(NUMBERVALUE(CriteriTecnici!$L1370,".",","),IFERROR(NUMBERVALUE(CriteriTecnici!$L1370,",","."),0))),4)&amp;""),",",".")&amp;", "&amp;CHAR(34)&amp;"flag"&amp;CHAR(34)&amp;": "&amp;SUBSTITUTE(TRIM(ROUND(IFERROR(CriteriTecnici!$M1370*1,IFERROR(NUMBERVALUE(CriteriTecnici!$M1370,".",","),IFERROR(NUMBERVALUE(CriteriTecnici!$M1370,",","."),0))),4)&amp;""),",",".")&amp;", "&amp;CHAR(34)&amp;"rawScore"&amp;CHAR(34)&amp;": "&amp;SUBSTITUTE(TRIM(ROUND(IFERROR(CriteriTecnici!$O1370*1,IFERROR(NUMBERVALUE(CriteriTecnici!$O1370,".",","),IFERROR(NUMBERVALUE(CriteriTecnici!$O1370,",","."),0))),4)&amp;""),",",".")&amp;CHAR(125)&amp;IF(TRUE,",",""))</f>
        <v/>
      </c>
    </row>
    <row r="1472">
      <c r="A1472" s="82">
        <f>IF(CriteriTecnici!$A1371="","","    "&amp;CHAR(123)&amp;CHAR(34)&amp;"bidderId"&amp;CHAR(34)&amp;": "&amp;CHAR(34)&amp;SUBSTITUTE(CriteriTecnici!$A1371,CHAR(34),"'")&amp;CHAR(34)&amp;", "&amp;CHAR(34)&amp;"lotId"&amp;CHAR(34)&amp;": "&amp;CHAR(34)&amp;SUBSTITUTE(CriteriTecnici!$C1371,CHAR(34),"'")&amp;CHAR(34)&amp;", "&amp;CHAR(34)&amp;"criterionId"&amp;CHAR(34)&amp;": "&amp;CHAR(34)&amp;SUBSTITUTE(CriteriTecnici!$D1371,CHAR(34),"'")&amp;CHAR(34)&amp;", "&amp;CHAR(34)&amp;"kind"&amp;CHAR(34)&amp;": "&amp;CHAR(34)&amp;SUBSTITUTE(CriteriTecnici!$F1371,CHAR(34),"'")&amp;CHAR(34)&amp;", "&amp;CHAR(34)&amp;"value"&amp;CHAR(34)&amp;": "&amp;SUBSTITUTE(TRIM(ROUND(IFERROR(CriteriTecnici!$N1371*1,IFERROR(NUMBERVALUE(CriteriTecnici!$N1371,".",","),IFERROR(NUMBERVALUE(CriteriTecnici!$N1371,",","."),0))),4)&amp;""),",",".")&amp;", "&amp;CHAR(34)&amp;"numerator"&amp;CHAR(34)&amp;": "&amp;SUBSTITUTE(TRIM(ROUND(IFERROR(CriteriTecnici!$K1371*1,IFERROR(NUMBERVALUE(CriteriTecnici!$K1371,".",","),IFERROR(NUMBERVALUE(CriteriTecnici!$K1371,",","."),0))),4)&amp;""),",",".")&amp;", "&amp;CHAR(34)&amp;"denominator"&amp;CHAR(34)&amp;": "&amp;SUBSTITUTE(TRIM(ROUND(IFERROR(CriteriTecnici!$L1371*1,IFERROR(NUMBERVALUE(CriteriTecnici!$L1371,".",","),IFERROR(NUMBERVALUE(CriteriTecnici!$L1371,",","."),0))),4)&amp;""),",",".")&amp;", "&amp;CHAR(34)&amp;"flag"&amp;CHAR(34)&amp;": "&amp;SUBSTITUTE(TRIM(ROUND(IFERROR(CriteriTecnici!$M1371*1,IFERROR(NUMBERVALUE(CriteriTecnici!$M1371,".",","),IFERROR(NUMBERVALUE(CriteriTecnici!$M1371,",","."),0))),4)&amp;""),",",".")&amp;", "&amp;CHAR(34)&amp;"rawScore"&amp;CHAR(34)&amp;": "&amp;SUBSTITUTE(TRIM(ROUND(IFERROR(CriteriTecnici!$O1371*1,IFERROR(NUMBERVALUE(CriteriTecnici!$O1371,".",","),IFERROR(NUMBERVALUE(CriteriTecnici!$O1371,",","."),0))),4)&amp;""),",",".")&amp;CHAR(125)&amp;IF(TRUE,",",""))</f>
        <v/>
      </c>
    </row>
    <row r="1473">
      <c r="A1473" s="82">
        <f>IF(CriteriTecnici!$A1372="","","    "&amp;CHAR(123)&amp;CHAR(34)&amp;"bidderId"&amp;CHAR(34)&amp;": "&amp;CHAR(34)&amp;SUBSTITUTE(CriteriTecnici!$A1372,CHAR(34),"'")&amp;CHAR(34)&amp;", "&amp;CHAR(34)&amp;"lotId"&amp;CHAR(34)&amp;": "&amp;CHAR(34)&amp;SUBSTITUTE(CriteriTecnici!$C1372,CHAR(34),"'")&amp;CHAR(34)&amp;", "&amp;CHAR(34)&amp;"criterionId"&amp;CHAR(34)&amp;": "&amp;CHAR(34)&amp;SUBSTITUTE(CriteriTecnici!$D1372,CHAR(34),"'")&amp;CHAR(34)&amp;", "&amp;CHAR(34)&amp;"kind"&amp;CHAR(34)&amp;": "&amp;CHAR(34)&amp;SUBSTITUTE(CriteriTecnici!$F1372,CHAR(34),"'")&amp;CHAR(34)&amp;", "&amp;CHAR(34)&amp;"value"&amp;CHAR(34)&amp;": "&amp;SUBSTITUTE(TRIM(ROUND(IFERROR(CriteriTecnici!$N1372*1,IFERROR(NUMBERVALUE(CriteriTecnici!$N1372,".",","),IFERROR(NUMBERVALUE(CriteriTecnici!$N1372,",","."),0))),4)&amp;""),",",".")&amp;", "&amp;CHAR(34)&amp;"numerator"&amp;CHAR(34)&amp;": "&amp;SUBSTITUTE(TRIM(ROUND(IFERROR(CriteriTecnici!$K1372*1,IFERROR(NUMBERVALUE(CriteriTecnici!$K1372,".",","),IFERROR(NUMBERVALUE(CriteriTecnici!$K1372,",","."),0))),4)&amp;""),",",".")&amp;", "&amp;CHAR(34)&amp;"denominator"&amp;CHAR(34)&amp;": "&amp;SUBSTITUTE(TRIM(ROUND(IFERROR(CriteriTecnici!$L1372*1,IFERROR(NUMBERVALUE(CriteriTecnici!$L1372,".",","),IFERROR(NUMBERVALUE(CriteriTecnici!$L1372,",","."),0))),4)&amp;""),",",".")&amp;", "&amp;CHAR(34)&amp;"flag"&amp;CHAR(34)&amp;": "&amp;SUBSTITUTE(TRIM(ROUND(IFERROR(CriteriTecnici!$M1372*1,IFERROR(NUMBERVALUE(CriteriTecnici!$M1372,".",","),IFERROR(NUMBERVALUE(CriteriTecnici!$M1372,",","."),0))),4)&amp;""),",",".")&amp;", "&amp;CHAR(34)&amp;"rawScore"&amp;CHAR(34)&amp;": "&amp;SUBSTITUTE(TRIM(ROUND(IFERROR(CriteriTecnici!$O1372*1,IFERROR(NUMBERVALUE(CriteriTecnici!$O1372,".",","),IFERROR(NUMBERVALUE(CriteriTecnici!$O1372,",","."),0))),4)&amp;""),",",".")&amp;CHAR(125)&amp;IF(TRUE,",",""))</f>
        <v/>
      </c>
    </row>
    <row r="1474">
      <c r="A1474" s="82">
        <f>IF(CriteriTecnici!$A1373="","","    "&amp;CHAR(123)&amp;CHAR(34)&amp;"bidderId"&amp;CHAR(34)&amp;": "&amp;CHAR(34)&amp;SUBSTITUTE(CriteriTecnici!$A1373,CHAR(34),"'")&amp;CHAR(34)&amp;", "&amp;CHAR(34)&amp;"lotId"&amp;CHAR(34)&amp;": "&amp;CHAR(34)&amp;SUBSTITUTE(CriteriTecnici!$C1373,CHAR(34),"'")&amp;CHAR(34)&amp;", "&amp;CHAR(34)&amp;"criterionId"&amp;CHAR(34)&amp;": "&amp;CHAR(34)&amp;SUBSTITUTE(CriteriTecnici!$D1373,CHAR(34),"'")&amp;CHAR(34)&amp;", "&amp;CHAR(34)&amp;"kind"&amp;CHAR(34)&amp;": "&amp;CHAR(34)&amp;SUBSTITUTE(CriteriTecnici!$F1373,CHAR(34),"'")&amp;CHAR(34)&amp;", "&amp;CHAR(34)&amp;"value"&amp;CHAR(34)&amp;": "&amp;SUBSTITUTE(TRIM(ROUND(IFERROR(CriteriTecnici!$N1373*1,IFERROR(NUMBERVALUE(CriteriTecnici!$N1373,".",","),IFERROR(NUMBERVALUE(CriteriTecnici!$N1373,",","."),0))),4)&amp;""),",",".")&amp;", "&amp;CHAR(34)&amp;"numerator"&amp;CHAR(34)&amp;": "&amp;SUBSTITUTE(TRIM(ROUND(IFERROR(CriteriTecnici!$K1373*1,IFERROR(NUMBERVALUE(CriteriTecnici!$K1373,".",","),IFERROR(NUMBERVALUE(CriteriTecnici!$K1373,",","."),0))),4)&amp;""),",",".")&amp;", "&amp;CHAR(34)&amp;"denominator"&amp;CHAR(34)&amp;": "&amp;SUBSTITUTE(TRIM(ROUND(IFERROR(CriteriTecnici!$L1373*1,IFERROR(NUMBERVALUE(CriteriTecnici!$L1373,".",","),IFERROR(NUMBERVALUE(CriteriTecnici!$L1373,",","."),0))),4)&amp;""),",",".")&amp;", "&amp;CHAR(34)&amp;"flag"&amp;CHAR(34)&amp;": "&amp;SUBSTITUTE(TRIM(ROUND(IFERROR(CriteriTecnici!$M1373*1,IFERROR(NUMBERVALUE(CriteriTecnici!$M1373,".",","),IFERROR(NUMBERVALUE(CriteriTecnici!$M1373,",","."),0))),4)&amp;""),",",".")&amp;", "&amp;CHAR(34)&amp;"rawScore"&amp;CHAR(34)&amp;": "&amp;SUBSTITUTE(TRIM(ROUND(IFERROR(CriteriTecnici!$O1373*1,IFERROR(NUMBERVALUE(CriteriTecnici!$O1373,".",","),IFERROR(NUMBERVALUE(CriteriTecnici!$O1373,",","."),0))),4)&amp;""),",",".")&amp;CHAR(125)&amp;IF(TRUE,",",""))</f>
        <v/>
      </c>
    </row>
    <row r="1475">
      <c r="A1475" s="82">
        <f>IF(CriteriTecnici!$A1374="","","    "&amp;CHAR(123)&amp;CHAR(34)&amp;"bidderId"&amp;CHAR(34)&amp;": "&amp;CHAR(34)&amp;SUBSTITUTE(CriteriTecnici!$A1374,CHAR(34),"'")&amp;CHAR(34)&amp;", "&amp;CHAR(34)&amp;"lotId"&amp;CHAR(34)&amp;": "&amp;CHAR(34)&amp;SUBSTITUTE(CriteriTecnici!$C1374,CHAR(34),"'")&amp;CHAR(34)&amp;", "&amp;CHAR(34)&amp;"criterionId"&amp;CHAR(34)&amp;": "&amp;CHAR(34)&amp;SUBSTITUTE(CriteriTecnici!$D1374,CHAR(34),"'")&amp;CHAR(34)&amp;", "&amp;CHAR(34)&amp;"kind"&amp;CHAR(34)&amp;": "&amp;CHAR(34)&amp;SUBSTITUTE(CriteriTecnici!$F1374,CHAR(34),"'")&amp;CHAR(34)&amp;", "&amp;CHAR(34)&amp;"value"&amp;CHAR(34)&amp;": "&amp;SUBSTITUTE(TRIM(ROUND(IFERROR(CriteriTecnici!$N1374*1,IFERROR(NUMBERVALUE(CriteriTecnici!$N1374,".",","),IFERROR(NUMBERVALUE(CriteriTecnici!$N1374,",","."),0))),4)&amp;""),",",".")&amp;", "&amp;CHAR(34)&amp;"numerator"&amp;CHAR(34)&amp;": "&amp;SUBSTITUTE(TRIM(ROUND(IFERROR(CriteriTecnici!$K1374*1,IFERROR(NUMBERVALUE(CriteriTecnici!$K1374,".",","),IFERROR(NUMBERVALUE(CriteriTecnici!$K1374,",","."),0))),4)&amp;""),",",".")&amp;", "&amp;CHAR(34)&amp;"denominator"&amp;CHAR(34)&amp;": "&amp;SUBSTITUTE(TRIM(ROUND(IFERROR(CriteriTecnici!$L1374*1,IFERROR(NUMBERVALUE(CriteriTecnici!$L1374,".",","),IFERROR(NUMBERVALUE(CriteriTecnici!$L1374,",","."),0))),4)&amp;""),",",".")&amp;", "&amp;CHAR(34)&amp;"flag"&amp;CHAR(34)&amp;": "&amp;SUBSTITUTE(TRIM(ROUND(IFERROR(CriteriTecnici!$M1374*1,IFERROR(NUMBERVALUE(CriteriTecnici!$M1374,".",","),IFERROR(NUMBERVALUE(CriteriTecnici!$M1374,",","."),0))),4)&amp;""),",",".")&amp;", "&amp;CHAR(34)&amp;"rawScore"&amp;CHAR(34)&amp;": "&amp;SUBSTITUTE(TRIM(ROUND(IFERROR(CriteriTecnici!$O1374*1,IFERROR(NUMBERVALUE(CriteriTecnici!$O1374,".",","),IFERROR(NUMBERVALUE(CriteriTecnici!$O1374,",","."),0))),4)&amp;""),",",".")&amp;CHAR(125)&amp;IF(TRUE,",",""))</f>
        <v/>
      </c>
    </row>
    <row r="1476">
      <c r="A1476" s="82">
        <f>IF(CriteriTecnici!$A1375="","","    "&amp;CHAR(123)&amp;CHAR(34)&amp;"bidderId"&amp;CHAR(34)&amp;": "&amp;CHAR(34)&amp;SUBSTITUTE(CriteriTecnici!$A1375,CHAR(34),"'")&amp;CHAR(34)&amp;", "&amp;CHAR(34)&amp;"lotId"&amp;CHAR(34)&amp;": "&amp;CHAR(34)&amp;SUBSTITUTE(CriteriTecnici!$C1375,CHAR(34),"'")&amp;CHAR(34)&amp;", "&amp;CHAR(34)&amp;"criterionId"&amp;CHAR(34)&amp;": "&amp;CHAR(34)&amp;SUBSTITUTE(CriteriTecnici!$D1375,CHAR(34),"'")&amp;CHAR(34)&amp;", "&amp;CHAR(34)&amp;"kind"&amp;CHAR(34)&amp;": "&amp;CHAR(34)&amp;SUBSTITUTE(CriteriTecnici!$F1375,CHAR(34),"'")&amp;CHAR(34)&amp;", "&amp;CHAR(34)&amp;"value"&amp;CHAR(34)&amp;": "&amp;SUBSTITUTE(TRIM(ROUND(IFERROR(CriteriTecnici!$N1375*1,IFERROR(NUMBERVALUE(CriteriTecnici!$N1375,".",","),IFERROR(NUMBERVALUE(CriteriTecnici!$N1375,",","."),0))),4)&amp;""),",",".")&amp;", "&amp;CHAR(34)&amp;"numerator"&amp;CHAR(34)&amp;": "&amp;SUBSTITUTE(TRIM(ROUND(IFERROR(CriteriTecnici!$K1375*1,IFERROR(NUMBERVALUE(CriteriTecnici!$K1375,".",","),IFERROR(NUMBERVALUE(CriteriTecnici!$K1375,",","."),0))),4)&amp;""),",",".")&amp;", "&amp;CHAR(34)&amp;"denominator"&amp;CHAR(34)&amp;": "&amp;SUBSTITUTE(TRIM(ROUND(IFERROR(CriteriTecnici!$L1375*1,IFERROR(NUMBERVALUE(CriteriTecnici!$L1375,".",","),IFERROR(NUMBERVALUE(CriteriTecnici!$L1375,",","."),0))),4)&amp;""),",",".")&amp;", "&amp;CHAR(34)&amp;"flag"&amp;CHAR(34)&amp;": "&amp;SUBSTITUTE(TRIM(ROUND(IFERROR(CriteriTecnici!$M1375*1,IFERROR(NUMBERVALUE(CriteriTecnici!$M1375,".",","),IFERROR(NUMBERVALUE(CriteriTecnici!$M1375,",","."),0))),4)&amp;""),",",".")&amp;", "&amp;CHAR(34)&amp;"rawScore"&amp;CHAR(34)&amp;": "&amp;SUBSTITUTE(TRIM(ROUND(IFERROR(CriteriTecnici!$O1375*1,IFERROR(NUMBERVALUE(CriteriTecnici!$O1375,".",","),IFERROR(NUMBERVALUE(CriteriTecnici!$O1375,",","."),0))),4)&amp;""),",",".")&amp;CHAR(125)&amp;IF(TRUE,",",""))</f>
        <v/>
      </c>
    </row>
    <row r="1477">
      <c r="A1477" s="82">
        <f>IF(CriteriTecnici!$A1376="","","    "&amp;CHAR(123)&amp;CHAR(34)&amp;"bidderId"&amp;CHAR(34)&amp;": "&amp;CHAR(34)&amp;SUBSTITUTE(CriteriTecnici!$A1376,CHAR(34),"'")&amp;CHAR(34)&amp;", "&amp;CHAR(34)&amp;"lotId"&amp;CHAR(34)&amp;": "&amp;CHAR(34)&amp;SUBSTITUTE(CriteriTecnici!$C1376,CHAR(34),"'")&amp;CHAR(34)&amp;", "&amp;CHAR(34)&amp;"criterionId"&amp;CHAR(34)&amp;": "&amp;CHAR(34)&amp;SUBSTITUTE(CriteriTecnici!$D1376,CHAR(34),"'")&amp;CHAR(34)&amp;", "&amp;CHAR(34)&amp;"kind"&amp;CHAR(34)&amp;": "&amp;CHAR(34)&amp;SUBSTITUTE(CriteriTecnici!$F1376,CHAR(34),"'")&amp;CHAR(34)&amp;", "&amp;CHAR(34)&amp;"value"&amp;CHAR(34)&amp;": "&amp;SUBSTITUTE(TRIM(ROUND(IFERROR(CriteriTecnici!$N1376*1,IFERROR(NUMBERVALUE(CriteriTecnici!$N1376,".",","),IFERROR(NUMBERVALUE(CriteriTecnici!$N1376,",","."),0))),4)&amp;""),",",".")&amp;", "&amp;CHAR(34)&amp;"numerator"&amp;CHAR(34)&amp;": "&amp;SUBSTITUTE(TRIM(ROUND(IFERROR(CriteriTecnici!$K1376*1,IFERROR(NUMBERVALUE(CriteriTecnici!$K1376,".",","),IFERROR(NUMBERVALUE(CriteriTecnici!$K1376,",","."),0))),4)&amp;""),",",".")&amp;", "&amp;CHAR(34)&amp;"denominator"&amp;CHAR(34)&amp;": "&amp;SUBSTITUTE(TRIM(ROUND(IFERROR(CriteriTecnici!$L1376*1,IFERROR(NUMBERVALUE(CriteriTecnici!$L1376,".",","),IFERROR(NUMBERVALUE(CriteriTecnici!$L1376,",","."),0))),4)&amp;""),",",".")&amp;", "&amp;CHAR(34)&amp;"flag"&amp;CHAR(34)&amp;": "&amp;SUBSTITUTE(TRIM(ROUND(IFERROR(CriteriTecnici!$M1376*1,IFERROR(NUMBERVALUE(CriteriTecnici!$M1376,".",","),IFERROR(NUMBERVALUE(CriteriTecnici!$M1376,",","."),0))),4)&amp;""),",",".")&amp;", "&amp;CHAR(34)&amp;"rawScore"&amp;CHAR(34)&amp;": "&amp;SUBSTITUTE(TRIM(ROUND(IFERROR(CriteriTecnici!$O1376*1,IFERROR(NUMBERVALUE(CriteriTecnici!$O1376,".",","),IFERROR(NUMBERVALUE(CriteriTecnici!$O1376,",","."),0))),4)&amp;""),",",".")&amp;CHAR(125)&amp;IF(TRUE,",",""))</f>
        <v/>
      </c>
    </row>
    <row r="1478">
      <c r="A1478" s="82">
        <f>IF(CriteriTecnici!$A1377="","","    "&amp;CHAR(123)&amp;CHAR(34)&amp;"bidderId"&amp;CHAR(34)&amp;": "&amp;CHAR(34)&amp;SUBSTITUTE(CriteriTecnici!$A1377,CHAR(34),"'")&amp;CHAR(34)&amp;", "&amp;CHAR(34)&amp;"lotId"&amp;CHAR(34)&amp;": "&amp;CHAR(34)&amp;SUBSTITUTE(CriteriTecnici!$C1377,CHAR(34),"'")&amp;CHAR(34)&amp;", "&amp;CHAR(34)&amp;"criterionId"&amp;CHAR(34)&amp;": "&amp;CHAR(34)&amp;SUBSTITUTE(CriteriTecnici!$D1377,CHAR(34),"'")&amp;CHAR(34)&amp;", "&amp;CHAR(34)&amp;"kind"&amp;CHAR(34)&amp;": "&amp;CHAR(34)&amp;SUBSTITUTE(CriteriTecnici!$F1377,CHAR(34),"'")&amp;CHAR(34)&amp;", "&amp;CHAR(34)&amp;"value"&amp;CHAR(34)&amp;": "&amp;SUBSTITUTE(TRIM(ROUND(IFERROR(CriteriTecnici!$N1377*1,IFERROR(NUMBERVALUE(CriteriTecnici!$N1377,".",","),IFERROR(NUMBERVALUE(CriteriTecnici!$N1377,",","."),0))),4)&amp;""),",",".")&amp;", "&amp;CHAR(34)&amp;"numerator"&amp;CHAR(34)&amp;": "&amp;SUBSTITUTE(TRIM(ROUND(IFERROR(CriteriTecnici!$K1377*1,IFERROR(NUMBERVALUE(CriteriTecnici!$K1377,".",","),IFERROR(NUMBERVALUE(CriteriTecnici!$K1377,",","."),0))),4)&amp;""),",",".")&amp;", "&amp;CHAR(34)&amp;"denominator"&amp;CHAR(34)&amp;": "&amp;SUBSTITUTE(TRIM(ROUND(IFERROR(CriteriTecnici!$L1377*1,IFERROR(NUMBERVALUE(CriteriTecnici!$L1377,".",","),IFERROR(NUMBERVALUE(CriteriTecnici!$L1377,",","."),0))),4)&amp;""),",",".")&amp;", "&amp;CHAR(34)&amp;"flag"&amp;CHAR(34)&amp;": "&amp;SUBSTITUTE(TRIM(ROUND(IFERROR(CriteriTecnici!$M1377*1,IFERROR(NUMBERVALUE(CriteriTecnici!$M1377,".",","),IFERROR(NUMBERVALUE(CriteriTecnici!$M1377,",","."),0))),4)&amp;""),",",".")&amp;", "&amp;CHAR(34)&amp;"rawScore"&amp;CHAR(34)&amp;": "&amp;SUBSTITUTE(TRIM(ROUND(IFERROR(CriteriTecnici!$O1377*1,IFERROR(NUMBERVALUE(CriteriTecnici!$O1377,".",","),IFERROR(NUMBERVALUE(CriteriTecnici!$O1377,",","."),0))),4)&amp;""),",",".")&amp;CHAR(125)&amp;IF(TRUE,",",""))</f>
        <v/>
      </c>
    </row>
    <row r="1479">
      <c r="A1479" s="82">
        <f>IF(CriteriTecnici!$A1378="","","    "&amp;CHAR(123)&amp;CHAR(34)&amp;"bidderId"&amp;CHAR(34)&amp;": "&amp;CHAR(34)&amp;SUBSTITUTE(CriteriTecnici!$A1378,CHAR(34),"'")&amp;CHAR(34)&amp;", "&amp;CHAR(34)&amp;"lotId"&amp;CHAR(34)&amp;": "&amp;CHAR(34)&amp;SUBSTITUTE(CriteriTecnici!$C1378,CHAR(34),"'")&amp;CHAR(34)&amp;", "&amp;CHAR(34)&amp;"criterionId"&amp;CHAR(34)&amp;": "&amp;CHAR(34)&amp;SUBSTITUTE(CriteriTecnici!$D1378,CHAR(34),"'")&amp;CHAR(34)&amp;", "&amp;CHAR(34)&amp;"kind"&amp;CHAR(34)&amp;": "&amp;CHAR(34)&amp;SUBSTITUTE(CriteriTecnici!$F1378,CHAR(34),"'")&amp;CHAR(34)&amp;", "&amp;CHAR(34)&amp;"value"&amp;CHAR(34)&amp;": "&amp;SUBSTITUTE(TRIM(ROUND(IFERROR(CriteriTecnici!$N1378*1,IFERROR(NUMBERVALUE(CriteriTecnici!$N1378,".",","),IFERROR(NUMBERVALUE(CriteriTecnici!$N1378,",","."),0))),4)&amp;""),",",".")&amp;", "&amp;CHAR(34)&amp;"numerator"&amp;CHAR(34)&amp;": "&amp;SUBSTITUTE(TRIM(ROUND(IFERROR(CriteriTecnici!$K1378*1,IFERROR(NUMBERVALUE(CriteriTecnici!$K1378,".",","),IFERROR(NUMBERVALUE(CriteriTecnici!$K1378,",","."),0))),4)&amp;""),",",".")&amp;", "&amp;CHAR(34)&amp;"denominator"&amp;CHAR(34)&amp;": "&amp;SUBSTITUTE(TRIM(ROUND(IFERROR(CriteriTecnici!$L1378*1,IFERROR(NUMBERVALUE(CriteriTecnici!$L1378,".",","),IFERROR(NUMBERVALUE(CriteriTecnici!$L1378,",","."),0))),4)&amp;""),",",".")&amp;", "&amp;CHAR(34)&amp;"flag"&amp;CHAR(34)&amp;": "&amp;SUBSTITUTE(TRIM(ROUND(IFERROR(CriteriTecnici!$M1378*1,IFERROR(NUMBERVALUE(CriteriTecnici!$M1378,".",","),IFERROR(NUMBERVALUE(CriteriTecnici!$M1378,",","."),0))),4)&amp;""),",",".")&amp;", "&amp;CHAR(34)&amp;"rawScore"&amp;CHAR(34)&amp;": "&amp;SUBSTITUTE(TRIM(ROUND(IFERROR(CriteriTecnici!$O1378*1,IFERROR(NUMBERVALUE(CriteriTecnici!$O1378,".",","),IFERROR(NUMBERVALUE(CriteriTecnici!$O1378,",","."),0))),4)&amp;""),",",".")&amp;CHAR(125)&amp;IF(TRUE,",",""))</f>
        <v/>
      </c>
    </row>
    <row r="1480">
      <c r="A1480" s="82">
        <f>IF(CriteriTecnici!$A1379="","","    "&amp;CHAR(123)&amp;CHAR(34)&amp;"bidderId"&amp;CHAR(34)&amp;": "&amp;CHAR(34)&amp;SUBSTITUTE(CriteriTecnici!$A1379,CHAR(34),"'")&amp;CHAR(34)&amp;", "&amp;CHAR(34)&amp;"lotId"&amp;CHAR(34)&amp;": "&amp;CHAR(34)&amp;SUBSTITUTE(CriteriTecnici!$C1379,CHAR(34),"'")&amp;CHAR(34)&amp;", "&amp;CHAR(34)&amp;"criterionId"&amp;CHAR(34)&amp;": "&amp;CHAR(34)&amp;SUBSTITUTE(CriteriTecnici!$D1379,CHAR(34),"'")&amp;CHAR(34)&amp;", "&amp;CHAR(34)&amp;"kind"&amp;CHAR(34)&amp;": "&amp;CHAR(34)&amp;SUBSTITUTE(CriteriTecnici!$F1379,CHAR(34),"'")&amp;CHAR(34)&amp;", "&amp;CHAR(34)&amp;"value"&amp;CHAR(34)&amp;": "&amp;SUBSTITUTE(TRIM(ROUND(IFERROR(CriteriTecnici!$N1379*1,IFERROR(NUMBERVALUE(CriteriTecnici!$N1379,".",","),IFERROR(NUMBERVALUE(CriteriTecnici!$N1379,",","."),0))),4)&amp;""),",",".")&amp;", "&amp;CHAR(34)&amp;"numerator"&amp;CHAR(34)&amp;": "&amp;SUBSTITUTE(TRIM(ROUND(IFERROR(CriteriTecnici!$K1379*1,IFERROR(NUMBERVALUE(CriteriTecnici!$K1379,".",","),IFERROR(NUMBERVALUE(CriteriTecnici!$K1379,",","."),0))),4)&amp;""),",",".")&amp;", "&amp;CHAR(34)&amp;"denominator"&amp;CHAR(34)&amp;": "&amp;SUBSTITUTE(TRIM(ROUND(IFERROR(CriteriTecnici!$L1379*1,IFERROR(NUMBERVALUE(CriteriTecnici!$L1379,".",","),IFERROR(NUMBERVALUE(CriteriTecnici!$L1379,",","."),0))),4)&amp;""),",",".")&amp;", "&amp;CHAR(34)&amp;"flag"&amp;CHAR(34)&amp;": "&amp;SUBSTITUTE(TRIM(ROUND(IFERROR(CriteriTecnici!$M1379*1,IFERROR(NUMBERVALUE(CriteriTecnici!$M1379,".",","),IFERROR(NUMBERVALUE(CriteriTecnici!$M1379,",","."),0))),4)&amp;""),",",".")&amp;", "&amp;CHAR(34)&amp;"rawScore"&amp;CHAR(34)&amp;": "&amp;SUBSTITUTE(TRIM(ROUND(IFERROR(CriteriTecnici!$O1379*1,IFERROR(NUMBERVALUE(CriteriTecnici!$O1379,".",","),IFERROR(NUMBERVALUE(CriteriTecnici!$O1379,",","."),0))),4)&amp;""),",",".")&amp;CHAR(125)&amp;IF(TRUE,",",""))</f>
        <v/>
      </c>
    </row>
    <row r="1481">
      <c r="A1481" s="82">
        <f>IF(CriteriTecnici!$A1380="","","    "&amp;CHAR(123)&amp;CHAR(34)&amp;"bidderId"&amp;CHAR(34)&amp;": "&amp;CHAR(34)&amp;SUBSTITUTE(CriteriTecnici!$A1380,CHAR(34),"'")&amp;CHAR(34)&amp;", "&amp;CHAR(34)&amp;"lotId"&amp;CHAR(34)&amp;": "&amp;CHAR(34)&amp;SUBSTITUTE(CriteriTecnici!$C1380,CHAR(34),"'")&amp;CHAR(34)&amp;", "&amp;CHAR(34)&amp;"criterionId"&amp;CHAR(34)&amp;": "&amp;CHAR(34)&amp;SUBSTITUTE(CriteriTecnici!$D1380,CHAR(34),"'")&amp;CHAR(34)&amp;", "&amp;CHAR(34)&amp;"kind"&amp;CHAR(34)&amp;": "&amp;CHAR(34)&amp;SUBSTITUTE(CriteriTecnici!$F1380,CHAR(34),"'")&amp;CHAR(34)&amp;", "&amp;CHAR(34)&amp;"value"&amp;CHAR(34)&amp;": "&amp;SUBSTITUTE(TRIM(ROUND(IFERROR(CriteriTecnici!$N1380*1,IFERROR(NUMBERVALUE(CriteriTecnici!$N1380,".",","),IFERROR(NUMBERVALUE(CriteriTecnici!$N1380,",","."),0))),4)&amp;""),",",".")&amp;", "&amp;CHAR(34)&amp;"numerator"&amp;CHAR(34)&amp;": "&amp;SUBSTITUTE(TRIM(ROUND(IFERROR(CriteriTecnici!$K1380*1,IFERROR(NUMBERVALUE(CriteriTecnici!$K1380,".",","),IFERROR(NUMBERVALUE(CriteriTecnici!$K1380,",","."),0))),4)&amp;""),",",".")&amp;", "&amp;CHAR(34)&amp;"denominator"&amp;CHAR(34)&amp;": "&amp;SUBSTITUTE(TRIM(ROUND(IFERROR(CriteriTecnici!$L1380*1,IFERROR(NUMBERVALUE(CriteriTecnici!$L1380,".",","),IFERROR(NUMBERVALUE(CriteriTecnici!$L1380,",","."),0))),4)&amp;""),",",".")&amp;", "&amp;CHAR(34)&amp;"flag"&amp;CHAR(34)&amp;": "&amp;SUBSTITUTE(TRIM(ROUND(IFERROR(CriteriTecnici!$M1380*1,IFERROR(NUMBERVALUE(CriteriTecnici!$M1380,".",","),IFERROR(NUMBERVALUE(CriteriTecnici!$M1380,",","."),0))),4)&amp;""),",",".")&amp;", "&amp;CHAR(34)&amp;"rawScore"&amp;CHAR(34)&amp;": "&amp;SUBSTITUTE(TRIM(ROUND(IFERROR(CriteriTecnici!$O1380*1,IFERROR(NUMBERVALUE(CriteriTecnici!$O1380,".",","),IFERROR(NUMBERVALUE(CriteriTecnici!$O1380,",","."),0))),4)&amp;""),",",".")&amp;CHAR(125)&amp;IF(TRUE,",",""))</f>
        <v/>
      </c>
    </row>
    <row r="1482">
      <c r="A1482" s="82">
        <f>IF(CriteriTecnici!$A1381="","","    "&amp;CHAR(123)&amp;CHAR(34)&amp;"bidderId"&amp;CHAR(34)&amp;": "&amp;CHAR(34)&amp;SUBSTITUTE(CriteriTecnici!$A1381,CHAR(34),"'")&amp;CHAR(34)&amp;", "&amp;CHAR(34)&amp;"lotId"&amp;CHAR(34)&amp;": "&amp;CHAR(34)&amp;SUBSTITUTE(CriteriTecnici!$C1381,CHAR(34),"'")&amp;CHAR(34)&amp;", "&amp;CHAR(34)&amp;"criterionId"&amp;CHAR(34)&amp;": "&amp;CHAR(34)&amp;SUBSTITUTE(CriteriTecnici!$D1381,CHAR(34),"'")&amp;CHAR(34)&amp;", "&amp;CHAR(34)&amp;"kind"&amp;CHAR(34)&amp;": "&amp;CHAR(34)&amp;SUBSTITUTE(CriteriTecnici!$F1381,CHAR(34),"'")&amp;CHAR(34)&amp;", "&amp;CHAR(34)&amp;"value"&amp;CHAR(34)&amp;": "&amp;SUBSTITUTE(TRIM(ROUND(IFERROR(CriteriTecnici!$N1381*1,IFERROR(NUMBERVALUE(CriteriTecnici!$N1381,".",","),IFERROR(NUMBERVALUE(CriteriTecnici!$N1381,",","."),0))),4)&amp;""),",",".")&amp;", "&amp;CHAR(34)&amp;"numerator"&amp;CHAR(34)&amp;": "&amp;SUBSTITUTE(TRIM(ROUND(IFERROR(CriteriTecnici!$K1381*1,IFERROR(NUMBERVALUE(CriteriTecnici!$K1381,".",","),IFERROR(NUMBERVALUE(CriteriTecnici!$K1381,",","."),0))),4)&amp;""),",",".")&amp;", "&amp;CHAR(34)&amp;"denominator"&amp;CHAR(34)&amp;": "&amp;SUBSTITUTE(TRIM(ROUND(IFERROR(CriteriTecnici!$L1381*1,IFERROR(NUMBERVALUE(CriteriTecnici!$L1381,".",","),IFERROR(NUMBERVALUE(CriteriTecnici!$L1381,",","."),0))),4)&amp;""),",",".")&amp;", "&amp;CHAR(34)&amp;"flag"&amp;CHAR(34)&amp;": "&amp;SUBSTITUTE(TRIM(ROUND(IFERROR(CriteriTecnici!$M1381*1,IFERROR(NUMBERVALUE(CriteriTecnici!$M1381,".",","),IFERROR(NUMBERVALUE(CriteriTecnici!$M1381,",","."),0))),4)&amp;""),",",".")&amp;", "&amp;CHAR(34)&amp;"rawScore"&amp;CHAR(34)&amp;": "&amp;SUBSTITUTE(TRIM(ROUND(IFERROR(CriteriTecnici!$O1381*1,IFERROR(NUMBERVALUE(CriteriTecnici!$O1381,".",","),IFERROR(NUMBERVALUE(CriteriTecnici!$O1381,",","."),0))),4)&amp;""),",",".")&amp;CHAR(125)&amp;IF(TRUE,",",""))</f>
        <v/>
      </c>
    </row>
    <row r="1483">
      <c r="A1483" s="82">
        <f>IF(CriteriTecnici!$A1382="","","    "&amp;CHAR(123)&amp;CHAR(34)&amp;"bidderId"&amp;CHAR(34)&amp;": "&amp;CHAR(34)&amp;SUBSTITUTE(CriteriTecnici!$A1382,CHAR(34),"'")&amp;CHAR(34)&amp;", "&amp;CHAR(34)&amp;"lotId"&amp;CHAR(34)&amp;": "&amp;CHAR(34)&amp;SUBSTITUTE(CriteriTecnici!$C1382,CHAR(34),"'")&amp;CHAR(34)&amp;", "&amp;CHAR(34)&amp;"criterionId"&amp;CHAR(34)&amp;": "&amp;CHAR(34)&amp;SUBSTITUTE(CriteriTecnici!$D1382,CHAR(34),"'")&amp;CHAR(34)&amp;", "&amp;CHAR(34)&amp;"kind"&amp;CHAR(34)&amp;": "&amp;CHAR(34)&amp;SUBSTITUTE(CriteriTecnici!$F1382,CHAR(34),"'")&amp;CHAR(34)&amp;", "&amp;CHAR(34)&amp;"value"&amp;CHAR(34)&amp;": "&amp;SUBSTITUTE(TRIM(ROUND(IFERROR(CriteriTecnici!$N1382*1,IFERROR(NUMBERVALUE(CriteriTecnici!$N1382,".",","),IFERROR(NUMBERVALUE(CriteriTecnici!$N1382,",","."),0))),4)&amp;""),",",".")&amp;", "&amp;CHAR(34)&amp;"numerator"&amp;CHAR(34)&amp;": "&amp;SUBSTITUTE(TRIM(ROUND(IFERROR(CriteriTecnici!$K1382*1,IFERROR(NUMBERVALUE(CriteriTecnici!$K1382,".",","),IFERROR(NUMBERVALUE(CriteriTecnici!$K1382,",","."),0))),4)&amp;""),",",".")&amp;", "&amp;CHAR(34)&amp;"denominator"&amp;CHAR(34)&amp;": "&amp;SUBSTITUTE(TRIM(ROUND(IFERROR(CriteriTecnici!$L1382*1,IFERROR(NUMBERVALUE(CriteriTecnici!$L1382,".",","),IFERROR(NUMBERVALUE(CriteriTecnici!$L1382,",","."),0))),4)&amp;""),",",".")&amp;", "&amp;CHAR(34)&amp;"flag"&amp;CHAR(34)&amp;": "&amp;SUBSTITUTE(TRIM(ROUND(IFERROR(CriteriTecnici!$M1382*1,IFERROR(NUMBERVALUE(CriteriTecnici!$M1382,".",","),IFERROR(NUMBERVALUE(CriteriTecnici!$M1382,",","."),0))),4)&amp;""),",",".")&amp;", "&amp;CHAR(34)&amp;"rawScore"&amp;CHAR(34)&amp;": "&amp;SUBSTITUTE(TRIM(ROUND(IFERROR(CriteriTecnici!$O1382*1,IFERROR(NUMBERVALUE(CriteriTecnici!$O1382,".",","),IFERROR(NUMBERVALUE(CriteriTecnici!$O1382,",","."),0))),4)&amp;""),",",".")&amp;CHAR(125)&amp;IF(TRUE,",",""))</f>
        <v/>
      </c>
    </row>
    <row r="1484">
      <c r="A1484" s="82">
        <f>IF(CriteriTecnici!$A1383="","","    "&amp;CHAR(123)&amp;CHAR(34)&amp;"bidderId"&amp;CHAR(34)&amp;": "&amp;CHAR(34)&amp;SUBSTITUTE(CriteriTecnici!$A1383,CHAR(34),"'")&amp;CHAR(34)&amp;", "&amp;CHAR(34)&amp;"lotId"&amp;CHAR(34)&amp;": "&amp;CHAR(34)&amp;SUBSTITUTE(CriteriTecnici!$C1383,CHAR(34),"'")&amp;CHAR(34)&amp;", "&amp;CHAR(34)&amp;"criterionId"&amp;CHAR(34)&amp;": "&amp;CHAR(34)&amp;SUBSTITUTE(CriteriTecnici!$D1383,CHAR(34),"'")&amp;CHAR(34)&amp;", "&amp;CHAR(34)&amp;"kind"&amp;CHAR(34)&amp;": "&amp;CHAR(34)&amp;SUBSTITUTE(CriteriTecnici!$F1383,CHAR(34),"'")&amp;CHAR(34)&amp;", "&amp;CHAR(34)&amp;"value"&amp;CHAR(34)&amp;": "&amp;SUBSTITUTE(TRIM(ROUND(IFERROR(CriteriTecnici!$N1383*1,IFERROR(NUMBERVALUE(CriteriTecnici!$N1383,".",","),IFERROR(NUMBERVALUE(CriteriTecnici!$N1383,",","."),0))),4)&amp;""),",",".")&amp;", "&amp;CHAR(34)&amp;"numerator"&amp;CHAR(34)&amp;": "&amp;SUBSTITUTE(TRIM(ROUND(IFERROR(CriteriTecnici!$K1383*1,IFERROR(NUMBERVALUE(CriteriTecnici!$K1383,".",","),IFERROR(NUMBERVALUE(CriteriTecnici!$K1383,",","."),0))),4)&amp;""),",",".")&amp;", "&amp;CHAR(34)&amp;"denominator"&amp;CHAR(34)&amp;": "&amp;SUBSTITUTE(TRIM(ROUND(IFERROR(CriteriTecnici!$L1383*1,IFERROR(NUMBERVALUE(CriteriTecnici!$L1383,".",","),IFERROR(NUMBERVALUE(CriteriTecnici!$L1383,",","."),0))),4)&amp;""),",",".")&amp;", "&amp;CHAR(34)&amp;"flag"&amp;CHAR(34)&amp;": "&amp;SUBSTITUTE(TRIM(ROUND(IFERROR(CriteriTecnici!$M1383*1,IFERROR(NUMBERVALUE(CriteriTecnici!$M1383,".",","),IFERROR(NUMBERVALUE(CriteriTecnici!$M1383,",","."),0))),4)&amp;""),",",".")&amp;", "&amp;CHAR(34)&amp;"rawScore"&amp;CHAR(34)&amp;": "&amp;SUBSTITUTE(TRIM(ROUND(IFERROR(CriteriTecnici!$O1383*1,IFERROR(NUMBERVALUE(CriteriTecnici!$O1383,".",","),IFERROR(NUMBERVALUE(CriteriTecnici!$O1383,",","."),0))),4)&amp;""),",",".")&amp;CHAR(125)&amp;IF(TRUE,",",""))</f>
        <v/>
      </c>
    </row>
    <row r="1485">
      <c r="A1485" s="82">
        <f>IF(CriteriTecnici!$A1384="","","    "&amp;CHAR(123)&amp;CHAR(34)&amp;"bidderId"&amp;CHAR(34)&amp;": "&amp;CHAR(34)&amp;SUBSTITUTE(CriteriTecnici!$A1384,CHAR(34),"'")&amp;CHAR(34)&amp;", "&amp;CHAR(34)&amp;"lotId"&amp;CHAR(34)&amp;": "&amp;CHAR(34)&amp;SUBSTITUTE(CriteriTecnici!$C1384,CHAR(34),"'")&amp;CHAR(34)&amp;", "&amp;CHAR(34)&amp;"criterionId"&amp;CHAR(34)&amp;": "&amp;CHAR(34)&amp;SUBSTITUTE(CriteriTecnici!$D1384,CHAR(34),"'")&amp;CHAR(34)&amp;", "&amp;CHAR(34)&amp;"kind"&amp;CHAR(34)&amp;": "&amp;CHAR(34)&amp;SUBSTITUTE(CriteriTecnici!$F1384,CHAR(34),"'")&amp;CHAR(34)&amp;", "&amp;CHAR(34)&amp;"value"&amp;CHAR(34)&amp;": "&amp;SUBSTITUTE(TRIM(ROUND(IFERROR(CriteriTecnici!$N1384*1,IFERROR(NUMBERVALUE(CriteriTecnici!$N1384,".",","),IFERROR(NUMBERVALUE(CriteriTecnici!$N1384,",","."),0))),4)&amp;""),",",".")&amp;", "&amp;CHAR(34)&amp;"numerator"&amp;CHAR(34)&amp;": "&amp;SUBSTITUTE(TRIM(ROUND(IFERROR(CriteriTecnici!$K1384*1,IFERROR(NUMBERVALUE(CriteriTecnici!$K1384,".",","),IFERROR(NUMBERVALUE(CriteriTecnici!$K1384,",","."),0))),4)&amp;""),",",".")&amp;", "&amp;CHAR(34)&amp;"denominator"&amp;CHAR(34)&amp;": "&amp;SUBSTITUTE(TRIM(ROUND(IFERROR(CriteriTecnici!$L1384*1,IFERROR(NUMBERVALUE(CriteriTecnici!$L1384,".",","),IFERROR(NUMBERVALUE(CriteriTecnici!$L1384,",","."),0))),4)&amp;""),",",".")&amp;", "&amp;CHAR(34)&amp;"flag"&amp;CHAR(34)&amp;": "&amp;SUBSTITUTE(TRIM(ROUND(IFERROR(CriteriTecnici!$M1384*1,IFERROR(NUMBERVALUE(CriteriTecnici!$M1384,".",","),IFERROR(NUMBERVALUE(CriteriTecnici!$M1384,",","."),0))),4)&amp;""),",",".")&amp;", "&amp;CHAR(34)&amp;"rawScore"&amp;CHAR(34)&amp;": "&amp;SUBSTITUTE(TRIM(ROUND(IFERROR(CriteriTecnici!$O1384*1,IFERROR(NUMBERVALUE(CriteriTecnici!$O1384,".",","),IFERROR(NUMBERVALUE(CriteriTecnici!$O1384,",","."),0))),4)&amp;""),",",".")&amp;CHAR(125)&amp;IF(TRUE,",",""))</f>
        <v/>
      </c>
    </row>
    <row r="1486">
      <c r="A1486" s="82">
        <f>IF(CriteriTecnici!$A1385="","","    "&amp;CHAR(123)&amp;CHAR(34)&amp;"bidderId"&amp;CHAR(34)&amp;": "&amp;CHAR(34)&amp;SUBSTITUTE(CriteriTecnici!$A1385,CHAR(34),"'")&amp;CHAR(34)&amp;", "&amp;CHAR(34)&amp;"lotId"&amp;CHAR(34)&amp;": "&amp;CHAR(34)&amp;SUBSTITUTE(CriteriTecnici!$C1385,CHAR(34),"'")&amp;CHAR(34)&amp;", "&amp;CHAR(34)&amp;"criterionId"&amp;CHAR(34)&amp;": "&amp;CHAR(34)&amp;SUBSTITUTE(CriteriTecnici!$D1385,CHAR(34),"'")&amp;CHAR(34)&amp;", "&amp;CHAR(34)&amp;"kind"&amp;CHAR(34)&amp;": "&amp;CHAR(34)&amp;SUBSTITUTE(CriteriTecnici!$F1385,CHAR(34),"'")&amp;CHAR(34)&amp;", "&amp;CHAR(34)&amp;"value"&amp;CHAR(34)&amp;": "&amp;SUBSTITUTE(TRIM(ROUND(IFERROR(CriteriTecnici!$N1385*1,IFERROR(NUMBERVALUE(CriteriTecnici!$N1385,".",","),IFERROR(NUMBERVALUE(CriteriTecnici!$N1385,",","."),0))),4)&amp;""),",",".")&amp;", "&amp;CHAR(34)&amp;"numerator"&amp;CHAR(34)&amp;": "&amp;SUBSTITUTE(TRIM(ROUND(IFERROR(CriteriTecnici!$K1385*1,IFERROR(NUMBERVALUE(CriteriTecnici!$K1385,".",","),IFERROR(NUMBERVALUE(CriteriTecnici!$K1385,",","."),0))),4)&amp;""),",",".")&amp;", "&amp;CHAR(34)&amp;"denominator"&amp;CHAR(34)&amp;": "&amp;SUBSTITUTE(TRIM(ROUND(IFERROR(CriteriTecnici!$L1385*1,IFERROR(NUMBERVALUE(CriteriTecnici!$L1385,".",","),IFERROR(NUMBERVALUE(CriteriTecnici!$L1385,",","."),0))),4)&amp;""),",",".")&amp;", "&amp;CHAR(34)&amp;"flag"&amp;CHAR(34)&amp;": "&amp;SUBSTITUTE(TRIM(ROUND(IFERROR(CriteriTecnici!$M1385*1,IFERROR(NUMBERVALUE(CriteriTecnici!$M1385,".",","),IFERROR(NUMBERVALUE(CriteriTecnici!$M1385,",","."),0))),4)&amp;""),",",".")&amp;", "&amp;CHAR(34)&amp;"rawScore"&amp;CHAR(34)&amp;": "&amp;SUBSTITUTE(TRIM(ROUND(IFERROR(CriteriTecnici!$O1385*1,IFERROR(NUMBERVALUE(CriteriTecnici!$O1385,".",","),IFERROR(NUMBERVALUE(CriteriTecnici!$O1385,",","."),0))),4)&amp;""),",",".")&amp;CHAR(125)&amp;IF(TRUE,",",""))</f>
        <v/>
      </c>
    </row>
    <row r="1487">
      <c r="A1487" s="82">
        <f>IF(CriteriTecnici!$A1386="","","    "&amp;CHAR(123)&amp;CHAR(34)&amp;"bidderId"&amp;CHAR(34)&amp;": "&amp;CHAR(34)&amp;SUBSTITUTE(CriteriTecnici!$A1386,CHAR(34),"'")&amp;CHAR(34)&amp;", "&amp;CHAR(34)&amp;"lotId"&amp;CHAR(34)&amp;": "&amp;CHAR(34)&amp;SUBSTITUTE(CriteriTecnici!$C1386,CHAR(34),"'")&amp;CHAR(34)&amp;", "&amp;CHAR(34)&amp;"criterionId"&amp;CHAR(34)&amp;": "&amp;CHAR(34)&amp;SUBSTITUTE(CriteriTecnici!$D1386,CHAR(34),"'")&amp;CHAR(34)&amp;", "&amp;CHAR(34)&amp;"kind"&amp;CHAR(34)&amp;": "&amp;CHAR(34)&amp;SUBSTITUTE(CriteriTecnici!$F1386,CHAR(34),"'")&amp;CHAR(34)&amp;", "&amp;CHAR(34)&amp;"value"&amp;CHAR(34)&amp;": "&amp;SUBSTITUTE(TRIM(ROUND(IFERROR(CriteriTecnici!$N1386*1,IFERROR(NUMBERVALUE(CriteriTecnici!$N1386,".",","),IFERROR(NUMBERVALUE(CriteriTecnici!$N1386,",","."),0))),4)&amp;""),",",".")&amp;", "&amp;CHAR(34)&amp;"numerator"&amp;CHAR(34)&amp;": "&amp;SUBSTITUTE(TRIM(ROUND(IFERROR(CriteriTecnici!$K1386*1,IFERROR(NUMBERVALUE(CriteriTecnici!$K1386,".",","),IFERROR(NUMBERVALUE(CriteriTecnici!$K1386,",","."),0))),4)&amp;""),",",".")&amp;", "&amp;CHAR(34)&amp;"denominator"&amp;CHAR(34)&amp;": "&amp;SUBSTITUTE(TRIM(ROUND(IFERROR(CriteriTecnici!$L1386*1,IFERROR(NUMBERVALUE(CriteriTecnici!$L1386,".",","),IFERROR(NUMBERVALUE(CriteriTecnici!$L1386,",","."),0))),4)&amp;""),",",".")&amp;", "&amp;CHAR(34)&amp;"flag"&amp;CHAR(34)&amp;": "&amp;SUBSTITUTE(TRIM(ROUND(IFERROR(CriteriTecnici!$M1386*1,IFERROR(NUMBERVALUE(CriteriTecnici!$M1386,".",","),IFERROR(NUMBERVALUE(CriteriTecnici!$M1386,",","."),0))),4)&amp;""),",",".")&amp;", "&amp;CHAR(34)&amp;"rawScore"&amp;CHAR(34)&amp;": "&amp;SUBSTITUTE(TRIM(ROUND(IFERROR(CriteriTecnici!$O1386*1,IFERROR(NUMBERVALUE(CriteriTecnici!$O1386,".",","),IFERROR(NUMBERVALUE(CriteriTecnici!$O1386,",","."),0))),4)&amp;""),",",".")&amp;CHAR(125)&amp;IF(TRUE,",",""))</f>
        <v/>
      </c>
    </row>
    <row r="1488">
      <c r="A1488" s="82">
        <f>IF(CriteriTecnici!$A1387="","","    "&amp;CHAR(123)&amp;CHAR(34)&amp;"bidderId"&amp;CHAR(34)&amp;": "&amp;CHAR(34)&amp;SUBSTITUTE(CriteriTecnici!$A1387,CHAR(34),"'")&amp;CHAR(34)&amp;", "&amp;CHAR(34)&amp;"lotId"&amp;CHAR(34)&amp;": "&amp;CHAR(34)&amp;SUBSTITUTE(CriteriTecnici!$C1387,CHAR(34),"'")&amp;CHAR(34)&amp;", "&amp;CHAR(34)&amp;"criterionId"&amp;CHAR(34)&amp;": "&amp;CHAR(34)&amp;SUBSTITUTE(CriteriTecnici!$D1387,CHAR(34),"'")&amp;CHAR(34)&amp;", "&amp;CHAR(34)&amp;"kind"&amp;CHAR(34)&amp;": "&amp;CHAR(34)&amp;SUBSTITUTE(CriteriTecnici!$F1387,CHAR(34),"'")&amp;CHAR(34)&amp;", "&amp;CHAR(34)&amp;"value"&amp;CHAR(34)&amp;": "&amp;SUBSTITUTE(TRIM(ROUND(IFERROR(CriteriTecnici!$N1387*1,IFERROR(NUMBERVALUE(CriteriTecnici!$N1387,".",","),IFERROR(NUMBERVALUE(CriteriTecnici!$N1387,",","."),0))),4)&amp;""),",",".")&amp;", "&amp;CHAR(34)&amp;"numerator"&amp;CHAR(34)&amp;": "&amp;SUBSTITUTE(TRIM(ROUND(IFERROR(CriteriTecnici!$K1387*1,IFERROR(NUMBERVALUE(CriteriTecnici!$K1387,".",","),IFERROR(NUMBERVALUE(CriteriTecnici!$K1387,",","."),0))),4)&amp;""),",",".")&amp;", "&amp;CHAR(34)&amp;"denominator"&amp;CHAR(34)&amp;": "&amp;SUBSTITUTE(TRIM(ROUND(IFERROR(CriteriTecnici!$L1387*1,IFERROR(NUMBERVALUE(CriteriTecnici!$L1387,".",","),IFERROR(NUMBERVALUE(CriteriTecnici!$L1387,",","."),0))),4)&amp;""),",",".")&amp;", "&amp;CHAR(34)&amp;"flag"&amp;CHAR(34)&amp;": "&amp;SUBSTITUTE(TRIM(ROUND(IFERROR(CriteriTecnici!$M1387*1,IFERROR(NUMBERVALUE(CriteriTecnici!$M1387,".",","),IFERROR(NUMBERVALUE(CriteriTecnici!$M1387,",","."),0))),4)&amp;""),",",".")&amp;", "&amp;CHAR(34)&amp;"rawScore"&amp;CHAR(34)&amp;": "&amp;SUBSTITUTE(TRIM(ROUND(IFERROR(CriteriTecnici!$O1387*1,IFERROR(NUMBERVALUE(CriteriTecnici!$O1387,".",","),IFERROR(NUMBERVALUE(CriteriTecnici!$O1387,",","."),0))),4)&amp;""),",",".")&amp;CHAR(125)&amp;IF(TRUE,",",""))</f>
        <v/>
      </c>
    </row>
    <row r="1489">
      <c r="A1489" s="82">
        <f>IF(CriteriTecnici!$A1388="","","    "&amp;CHAR(123)&amp;CHAR(34)&amp;"bidderId"&amp;CHAR(34)&amp;": "&amp;CHAR(34)&amp;SUBSTITUTE(CriteriTecnici!$A1388,CHAR(34),"'")&amp;CHAR(34)&amp;", "&amp;CHAR(34)&amp;"lotId"&amp;CHAR(34)&amp;": "&amp;CHAR(34)&amp;SUBSTITUTE(CriteriTecnici!$C1388,CHAR(34),"'")&amp;CHAR(34)&amp;", "&amp;CHAR(34)&amp;"criterionId"&amp;CHAR(34)&amp;": "&amp;CHAR(34)&amp;SUBSTITUTE(CriteriTecnici!$D1388,CHAR(34),"'")&amp;CHAR(34)&amp;", "&amp;CHAR(34)&amp;"kind"&amp;CHAR(34)&amp;": "&amp;CHAR(34)&amp;SUBSTITUTE(CriteriTecnici!$F1388,CHAR(34),"'")&amp;CHAR(34)&amp;", "&amp;CHAR(34)&amp;"value"&amp;CHAR(34)&amp;": "&amp;SUBSTITUTE(TRIM(ROUND(IFERROR(CriteriTecnici!$N1388*1,IFERROR(NUMBERVALUE(CriteriTecnici!$N1388,".",","),IFERROR(NUMBERVALUE(CriteriTecnici!$N1388,",","."),0))),4)&amp;""),",",".")&amp;", "&amp;CHAR(34)&amp;"numerator"&amp;CHAR(34)&amp;": "&amp;SUBSTITUTE(TRIM(ROUND(IFERROR(CriteriTecnici!$K1388*1,IFERROR(NUMBERVALUE(CriteriTecnici!$K1388,".",","),IFERROR(NUMBERVALUE(CriteriTecnici!$K1388,",","."),0))),4)&amp;""),",",".")&amp;", "&amp;CHAR(34)&amp;"denominator"&amp;CHAR(34)&amp;": "&amp;SUBSTITUTE(TRIM(ROUND(IFERROR(CriteriTecnici!$L1388*1,IFERROR(NUMBERVALUE(CriteriTecnici!$L1388,".",","),IFERROR(NUMBERVALUE(CriteriTecnici!$L1388,",","."),0))),4)&amp;""),",",".")&amp;", "&amp;CHAR(34)&amp;"flag"&amp;CHAR(34)&amp;": "&amp;SUBSTITUTE(TRIM(ROUND(IFERROR(CriteriTecnici!$M1388*1,IFERROR(NUMBERVALUE(CriteriTecnici!$M1388,".",","),IFERROR(NUMBERVALUE(CriteriTecnici!$M1388,",","."),0))),4)&amp;""),",",".")&amp;", "&amp;CHAR(34)&amp;"rawScore"&amp;CHAR(34)&amp;": "&amp;SUBSTITUTE(TRIM(ROUND(IFERROR(CriteriTecnici!$O1388*1,IFERROR(NUMBERVALUE(CriteriTecnici!$O1388,".",","),IFERROR(NUMBERVALUE(CriteriTecnici!$O1388,",","."),0))),4)&amp;""),",",".")&amp;CHAR(125)&amp;IF(TRUE,",",""))</f>
        <v/>
      </c>
    </row>
    <row r="1490">
      <c r="A1490" s="82">
        <f>IF(CriteriTecnici!$A1389="","","    "&amp;CHAR(123)&amp;CHAR(34)&amp;"bidderId"&amp;CHAR(34)&amp;": "&amp;CHAR(34)&amp;SUBSTITUTE(CriteriTecnici!$A1389,CHAR(34),"'")&amp;CHAR(34)&amp;", "&amp;CHAR(34)&amp;"lotId"&amp;CHAR(34)&amp;": "&amp;CHAR(34)&amp;SUBSTITUTE(CriteriTecnici!$C1389,CHAR(34),"'")&amp;CHAR(34)&amp;", "&amp;CHAR(34)&amp;"criterionId"&amp;CHAR(34)&amp;": "&amp;CHAR(34)&amp;SUBSTITUTE(CriteriTecnici!$D1389,CHAR(34),"'")&amp;CHAR(34)&amp;", "&amp;CHAR(34)&amp;"kind"&amp;CHAR(34)&amp;": "&amp;CHAR(34)&amp;SUBSTITUTE(CriteriTecnici!$F1389,CHAR(34),"'")&amp;CHAR(34)&amp;", "&amp;CHAR(34)&amp;"value"&amp;CHAR(34)&amp;": "&amp;SUBSTITUTE(TRIM(ROUND(IFERROR(CriteriTecnici!$N1389*1,IFERROR(NUMBERVALUE(CriteriTecnici!$N1389,".",","),IFERROR(NUMBERVALUE(CriteriTecnici!$N1389,",","."),0))),4)&amp;""),",",".")&amp;", "&amp;CHAR(34)&amp;"numerator"&amp;CHAR(34)&amp;": "&amp;SUBSTITUTE(TRIM(ROUND(IFERROR(CriteriTecnici!$K1389*1,IFERROR(NUMBERVALUE(CriteriTecnici!$K1389,".",","),IFERROR(NUMBERVALUE(CriteriTecnici!$K1389,",","."),0))),4)&amp;""),",",".")&amp;", "&amp;CHAR(34)&amp;"denominator"&amp;CHAR(34)&amp;": "&amp;SUBSTITUTE(TRIM(ROUND(IFERROR(CriteriTecnici!$L1389*1,IFERROR(NUMBERVALUE(CriteriTecnici!$L1389,".",","),IFERROR(NUMBERVALUE(CriteriTecnici!$L1389,",","."),0))),4)&amp;""),",",".")&amp;", "&amp;CHAR(34)&amp;"flag"&amp;CHAR(34)&amp;": "&amp;SUBSTITUTE(TRIM(ROUND(IFERROR(CriteriTecnici!$M1389*1,IFERROR(NUMBERVALUE(CriteriTecnici!$M1389,".",","),IFERROR(NUMBERVALUE(CriteriTecnici!$M1389,",","."),0))),4)&amp;""),",",".")&amp;", "&amp;CHAR(34)&amp;"rawScore"&amp;CHAR(34)&amp;": "&amp;SUBSTITUTE(TRIM(ROUND(IFERROR(CriteriTecnici!$O1389*1,IFERROR(NUMBERVALUE(CriteriTecnici!$O1389,".",","),IFERROR(NUMBERVALUE(CriteriTecnici!$O1389,",","."),0))),4)&amp;""),",",".")&amp;CHAR(125)&amp;IF(TRUE,",",""))</f>
        <v/>
      </c>
    </row>
    <row r="1491">
      <c r="A1491" s="82">
        <f>IF(CriteriTecnici!$A1390="","","    "&amp;CHAR(123)&amp;CHAR(34)&amp;"bidderId"&amp;CHAR(34)&amp;": "&amp;CHAR(34)&amp;SUBSTITUTE(CriteriTecnici!$A1390,CHAR(34),"'")&amp;CHAR(34)&amp;", "&amp;CHAR(34)&amp;"lotId"&amp;CHAR(34)&amp;": "&amp;CHAR(34)&amp;SUBSTITUTE(CriteriTecnici!$C1390,CHAR(34),"'")&amp;CHAR(34)&amp;", "&amp;CHAR(34)&amp;"criterionId"&amp;CHAR(34)&amp;": "&amp;CHAR(34)&amp;SUBSTITUTE(CriteriTecnici!$D1390,CHAR(34),"'")&amp;CHAR(34)&amp;", "&amp;CHAR(34)&amp;"kind"&amp;CHAR(34)&amp;": "&amp;CHAR(34)&amp;SUBSTITUTE(CriteriTecnici!$F1390,CHAR(34),"'")&amp;CHAR(34)&amp;", "&amp;CHAR(34)&amp;"value"&amp;CHAR(34)&amp;": "&amp;SUBSTITUTE(TRIM(ROUND(IFERROR(CriteriTecnici!$N1390*1,IFERROR(NUMBERVALUE(CriteriTecnici!$N1390,".",","),IFERROR(NUMBERVALUE(CriteriTecnici!$N1390,",","."),0))),4)&amp;""),",",".")&amp;", "&amp;CHAR(34)&amp;"numerator"&amp;CHAR(34)&amp;": "&amp;SUBSTITUTE(TRIM(ROUND(IFERROR(CriteriTecnici!$K1390*1,IFERROR(NUMBERVALUE(CriteriTecnici!$K1390,".",","),IFERROR(NUMBERVALUE(CriteriTecnici!$K1390,",","."),0))),4)&amp;""),",",".")&amp;", "&amp;CHAR(34)&amp;"denominator"&amp;CHAR(34)&amp;": "&amp;SUBSTITUTE(TRIM(ROUND(IFERROR(CriteriTecnici!$L1390*1,IFERROR(NUMBERVALUE(CriteriTecnici!$L1390,".",","),IFERROR(NUMBERVALUE(CriteriTecnici!$L1390,",","."),0))),4)&amp;""),",",".")&amp;", "&amp;CHAR(34)&amp;"flag"&amp;CHAR(34)&amp;": "&amp;SUBSTITUTE(TRIM(ROUND(IFERROR(CriteriTecnici!$M1390*1,IFERROR(NUMBERVALUE(CriteriTecnici!$M1390,".",","),IFERROR(NUMBERVALUE(CriteriTecnici!$M1390,",","."),0))),4)&amp;""),",",".")&amp;", "&amp;CHAR(34)&amp;"rawScore"&amp;CHAR(34)&amp;": "&amp;SUBSTITUTE(TRIM(ROUND(IFERROR(CriteriTecnici!$O1390*1,IFERROR(NUMBERVALUE(CriteriTecnici!$O1390,".",","),IFERROR(NUMBERVALUE(CriteriTecnici!$O1390,",","."),0))),4)&amp;""),",",".")&amp;CHAR(125)&amp;IF(TRUE,",",""))</f>
        <v/>
      </c>
    </row>
    <row r="1492">
      <c r="A1492" s="82">
        <f>IF(CriteriTecnici!$A1391="","","    "&amp;CHAR(123)&amp;CHAR(34)&amp;"bidderId"&amp;CHAR(34)&amp;": "&amp;CHAR(34)&amp;SUBSTITUTE(CriteriTecnici!$A1391,CHAR(34),"'")&amp;CHAR(34)&amp;", "&amp;CHAR(34)&amp;"lotId"&amp;CHAR(34)&amp;": "&amp;CHAR(34)&amp;SUBSTITUTE(CriteriTecnici!$C1391,CHAR(34),"'")&amp;CHAR(34)&amp;", "&amp;CHAR(34)&amp;"criterionId"&amp;CHAR(34)&amp;": "&amp;CHAR(34)&amp;SUBSTITUTE(CriteriTecnici!$D1391,CHAR(34),"'")&amp;CHAR(34)&amp;", "&amp;CHAR(34)&amp;"kind"&amp;CHAR(34)&amp;": "&amp;CHAR(34)&amp;SUBSTITUTE(CriteriTecnici!$F1391,CHAR(34),"'")&amp;CHAR(34)&amp;", "&amp;CHAR(34)&amp;"value"&amp;CHAR(34)&amp;": "&amp;SUBSTITUTE(TRIM(ROUND(IFERROR(CriteriTecnici!$N1391*1,IFERROR(NUMBERVALUE(CriteriTecnici!$N1391,".",","),IFERROR(NUMBERVALUE(CriteriTecnici!$N1391,",","."),0))),4)&amp;""),",",".")&amp;", "&amp;CHAR(34)&amp;"numerator"&amp;CHAR(34)&amp;": "&amp;SUBSTITUTE(TRIM(ROUND(IFERROR(CriteriTecnici!$K1391*1,IFERROR(NUMBERVALUE(CriteriTecnici!$K1391,".",","),IFERROR(NUMBERVALUE(CriteriTecnici!$K1391,",","."),0))),4)&amp;""),",",".")&amp;", "&amp;CHAR(34)&amp;"denominator"&amp;CHAR(34)&amp;": "&amp;SUBSTITUTE(TRIM(ROUND(IFERROR(CriteriTecnici!$L1391*1,IFERROR(NUMBERVALUE(CriteriTecnici!$L1391,".",","),IFERROR(NUMBERVALUE(CriteriTecnici!$L1391,",","."),0))),4)&amp;""),",",".")&amp;", "&amp;CHAR(34)&amp;"flag"&amp;CHAR(34)&amp;": "&amp;SUBSTITUTE(TRIM(ROUND(IFERROR(CriteriTecnici!$M1391*1,IFERROR(NUMBERVALUE(CriteriTecnici!$M1391,".",","),IFERROR(NUMBERVALUE(CriteriTecnici!$M1391,",","."),0))),4)&amp;""),",",".")&amp;", "&amp;CHAR(34)&amp;"rawScore"&amp;CHAR(34)&amp;": "&amp;SUBSTITUTE(TRIM(ROUND(IFERROR(CriteriTecnici!$O1391*1,IFERROR(NUMBERVALUE(CriteriTecnici!$O1391,".",","),IFERROR(NUMBERVALUE(CriteriTecnici!$O1391,",","."),0))),4)&amp;""),",",".")&amp;CHAR(125)&amp;IF(TRUE,",",""))</f>
        <v/>
      </c>
    </row>
    <row r="1493">
      <c r="A1493" s="82">
        <f>IF(CriteriTecnici!$A1392="","","    "&amp;CHAR(123)&amp;CHAR(34)&amp;"bidderId"&amp;CHAR(34)&amp;": "&amp;CHAR(34)&amp;SUBSTITUTE(CriteriTecnici!$A1392,CHAR(34),"'")&amp;CHAR(34)&amp;", "&amp;CHAR(34)&amp;"lotId"&amp;CHAR(34)&amp;": "&amp;CHAR(34)&amp;SUBSTITUTE(CriteriTecnici!$C1392,CHAR(34),"'")&amp;CHAR(34)&amp;", "&amp;CHAR(34)&amp;"criterionId"&amp;CHAR(34)&amp;": "&amp;CHAR(34)&amp;SUBSTITUTE(CriteriTecnici!$D1392,CHAR(34),"'")&amp;CHAR(34)&amp;", "&amp;CHAR(34)&amp;"kind"&amp;CHAR(34)&amp;": "&amp;CHAR(34)&amp;SUBSTITUTE(CriteriTecnici!$F1392,CHAR(34),"'")&amp;CHAR(34)&amp;", "&amp;CHAR(34)&amp;"value"&amp;CHAR(34)&amp;": "&amp;SUBSTITUTE(TRIM(ROUND(IFERROR(CriteriTecnici!$N1392*1,IFERROR(NUMBERVALUE(CriteriTecnici!$N1392,".",","),IFERROR(NUMBERVALUE(CriteriTecnici!$N1392,",","."),0))),4)&amp;""),",",".")&amp;", "&amp;CHAR(34)&amp;"numerator"&amp;CHAR(34)&amp;": "&amp;SUBSTITUTE(TRIM(ROUND(IFERROR(CriteriTecnici!$K1392*1,IFERROR(NUMBERVALUE(CriteriTecnici!$K1392,".",","),IFERROR(NUMBERVALUE(CriteriTecnici!$K1392,",","."),0))),4)&amp;""),",",".")&amp;", "&amp;CHAR(34)&amp;"denominator"&amp;CHAR(34)&amp;": "&amp;SUBSTITUTE(TRIM(ROUND(IFERROR(CriteriTecnici!$L1392*1,IFERROR(NUMBERVALUE(CriteriTecnici!$L1392,".",","),IFERROR(NUMBERVALUE(CriteriTecnici!$L1392,",","."),0))),4)&amp;""),",",".")&amp;", "&amp;CHAR(34)&amp;"flag"&amp;CHAR(34)&amp;": "&amp;SUBSTITUTE(TRIM(ROUND(IFERROR(CriteriTecnici!$M1392*1,IFERROR(NUMBERVALUE(CriteriTecnici!$M1392,".",","),IFERROR(NUMBERVALUE(CriteriTecnici!$M1392,",","."),0))),4)&amp;""),",",".")&amp;", "&amp;CHAR(34)&amp;"rawScore"&amp;CHAR(34)&amp;": "&amp;SUBSTITUTE(TRIM(ROUND(IFERROR(CriteriTecnici!$O1392*1,IFERROR(NUMBERVALUE(CriteriTecnici!$O1392,".",","),IFERROR(NUMBERVALUE(CriteriTecnici!$O1392,",","."),0))),4)&amp;""),",",".")&amp;CHAR(125)&amp;IF(TRUE,",",""))</f>
        <v/>
      </c>
    </row>
    <row r="1494">
      <c r="A1494" s="82">
        <f>IF(CriteriTecnici!$A1393="","","    "&amp;CHAR(123)&amp;CHAR(34)&amp;"bidderId"&amp;CHAR(34)&amp;": "&amp;CHAR(34)&amp;SUBSTITUTE(CriteriTecnici!$A1393,CHAR(34),"'")&amp;CHAR(34)&amp;", "&amp;CHAR(34)&amp;"lotId"&amp;CHAR(34)&amp;": "&amp;CHAR(34)&amp;SUBSTITUTE(CriteriTecnici!$C1393,CHAR(34),"'")&amp;CHAR(34)&amp;", "&amp;CHAR(34)&amp;"criterionId"&amp;CHAR(34)&amp;": "&amp;CHAR(34)&amp;SUBSTITUTE(CriteriTecnici!$D1393,CHAR(34),"'")&amp;CHAR(34)&amp;", "&amp;CHAR(34)&amp;"kind"&amp;CHAR(34)&amp;": "&amp;CHAR(34)&amp;SUBSTITUTE(CriteriTecnici!$F1393,CHAR(34),"'")&amp;CHAR(34)&amp;", "&amp;CHAR(34)&amp;"value"&amp;CHAR(34)&amp;": "&amp;SUBSTITUTE(TRIM(ROUND(IFERROR(CriteriTecnici!$N1393*1,IFERROR(NUMBERVALUE(CriteriTecnici!$N1393,".",","),IFERROR(NUMBERVALUE(CriteriTecnici!$N1393,",","."),0))),4)&amp;""),",",".")&amp;", "&amp;CHAR(34)&amp;"numerator"&amp;CHAR(34)&amp;": "&amp;SUBSTITUTE(TRIM(ROUND(IFERROR(CriteriTecnici!$K1393*1,IFERROR(NUMBERVALUE(CriteriTecnici!$K1393,".",","),IFERROR(NUMBERVALUE(CriteriTecnici!$K1393,",","."),0))),4)&amp;""),",",".")&amp;", "&amp;CHAR(34)&amp;"denominator"&amp;CHAR(34)&amp;": "&amp;SUBSTITUTE(TRIM(ROUND(IFERROR(CriteriTecnici!$L1393*1,IFERROR(NUMBERVALUE(CriteriTecnici!$L1393,".",","),IFERROR(NUMBERVALUE(CriteriTecnici!$L1393,",","."),0))),4)&amp;""),",",".")&amp;", "&amp;CHAR(34)&amp;"flag"&amp;CHAR(34)&amp;": "&amp;SUBSTITUTE(TRIM(ROUND(IFERROR(CriteriTecnici!$M1393*1,IFERROR(NUMBERVALUE(CriteriTecnici!$M1393,".",","),IFERROR(NUMBERVALUE(CriteriTecnici!$M1393,",","."),0))),4)&amp;""),",",".")&amp;", "&amp;CHAR(34)&amp;"rawScore"&amp;CHAR(34)&amp;": "&amp;SUBSTITUTE(TRIM(ROUND(IFERROR(CriteriTecnici!$O1393*1,IFERROR(NUMBERVALUE(CriteriTecnici!$O1393,".",","),IFERROR(NUMBERVALUE(CriteriTecnici!$O1393,",","."),0))),4)&amp;""),",",".")&amp;CHAR(125)&amp;IF(TRUE,",",""))</f>
        <v/>
      </c>
    </row>
    <row r="1495">
      <c r="A1495" s="82">
        <f>IF(CriteriTecnici!$A1394="","","    "&amp;CHAR(123)&amp;CHAR(34)&amp;"bidderId"&amp;CHAR(34)&amp;": "&amp;CHAR(34)&amp;SUBSTITUTE(CriteriTecnici!$A1394,CHAR(34),"'")&amp;CHAR(34)&amp;", "&amp;CHAR(34)&amp;"lotId"&amp;CHAR(34)&amp;": "&amp;CHAR(34)&amp;SUBSTITUTE(CriteriTecnici!$C1394,CHAR(34),"'")&amp;CHAR(34)&amp;", "&amp;CHAR(34)&amp;"criterionId"&amp;CHAR(34)&amp;": "&amp;CHAR(34)&amp;SUBSTITUTE(CriteriTecnici!$D1394,CHAR(34),"'")&amp;CHAR(34)&amp;", "&amp;CHAR(34)&amp;"kind"&amp;CHAR(34)&amp;": "&amp;CHAR(34)&amp;SUBSTITUTE(CriteriTecnici!$F1394,CHAR(34),"'")&amp;CHAR(34)&amp;", "&amp;CHAR(34)&amp;"value"&amp;CHAR(34)&amp;": "&amp;SUBSTITUTE(TRIM(ROUND(IFERROR(CriteriTecnici!$N1394*1,IFERROR(NUMBERVALUE(CriteriTecnici!$N1394,".",","),IFERROR(NUMBERVALUE(CriteriTecnici!$N1394,",","."),0))),4)&amp;""),",",".")&amp;", "&amp;CHAR(34)&amp;"numerator"&amp;CHAR(34)&amp;": "&amp;SUBSTITUTE(TRIM(ROUND(IFERROR(CriteriTecnici!$K1394*1,IFERROR(NUMBERVALUE(CriteriTecnici!$K1394,".",","),IFERROR(NUMBERVALUE(CriteriTecnici!$K1394,",","."),0))),4)&amp;""),",",".")&amp;", "&amp;CHAR(34)&amp;"denominator"&amp;CHAR(34)&amp;": "&amp;SUBSTITUTE(TRIM(ROUND(IFERROR(CriteriTecnici!$L1394*1,IFERROR(NUMBERVALUE(CriteriTecnici!$L1394,".",","),IFERROR(NUMBERVALUE(CriteriTecnici!$L1394,",","."),0))),4)&amp;""),",",".")&amp;", "&amp;CHAR(34)&amp;"flag"&amp;CHAR(34)&amp;": "&amp;SUBSTITUTE(TRIM(ROUND(IFERROR(CriteriTecnici!$M1394*1,IFERROR(NUMBERVALUE(CriteriTecnici!$M1394,".",","),IFERROR(NUMBERVALUE(CriteriTecnici!$M1394,",","."),0))),4)&amp;""),",",".")&amp;", "&amp;CHAR(34)&amp;"rawScore"&amp;CHAR(34)&amp;": "&amp;SUBSTITUTE(TRIM(ROUND(IFERROR(CriteriTecnici!$O1394*1,IFERROR(NUMBERVALUE(CriteriTecnici!$O1394,".",","),IFERROR(NUMBERVALUE(CriteriTecnici!$O1394,",","."),0))),4)&amp;""),",",".")&amp;CHAR(125)&amp;IF(TRUE,",",""))</f>
        <v/>
      </c>
    </row>
    <row r="1496">
      <c r="A1496" s="82">
        <f>IF(CriteriTecnici!$A1395="","","    "&amp;CHAR(123)&amp;CHAR(34)&amp;"bidderId"&amp;CHAR(34)&amp;": "&amp;CHAR(34)&amp;SUBSTITUTE(CriteriTecnici!$A1395,CHAR(34),"'")&amp;CHAR(34)&amp;", "&amp;CHAR(34)&amp;"lotId"&amp;CHAR(34)&amp;": "&amp;CHAR(34)&amp;SUBSTITUTE(CriteriTecnici!$C1395,CHAR(34),"'")&amp;CHAR(34)&amp;", "&amp;CHAR(34)&amp;"criterionId"&amp;CHAR(34)&amp;": "&amp;CHAR(34)&amp;SUBSTITUTE(CriteriTecnici!$D1395,CHAR(34),"'")&amp;CHAR(34)&amp;", "&amp;CHAR(34)&amp;"kind"&amp;CHAR(34)&amp;": "&amp;CHAR(34)&amp;SUBSTITUTE(CriteriTecnici!$F1395,CHAR(34),"'")&amp;CHAR(34)&amp;", "&amp;CHAR(34)&amp;"value"&amp;CHAR(34)&amp;": "&amp;SUBSTITUTE(TRIM(ROUND(IFERROR(CriteriTecnici!$N1395*1,IFERROR(NUMBERVALUE(CriteriTecnici!$N1395,".",","),IFERROR(NUMBERVALUE(CriteriTecnici!$N1395,",","."),0))),4)&amp;""),",",".")&amp;", "&amp;CHAR(34)&amp;"numerator"&amp;CHAR(34)&amp;": "&amp;SUBSTITUTE(TRIM(ROUND(IFERROR(CriteriTecnici!$K1395*1,IFERROR(NUMBERVALUE(CriteriTecnici!$K1395,".",","),IFERROR(NUMBERVALUE(CriteriTecnici!$K1395,",","."),0))),4)&amp;""),",",".")&amp;", "&amp;CHAR(34)&amp;"denominator"&amp;CHAR(34)&amp;": "&amp;SUBSTITUTE(TRIM(ROUND(IFERROR(CriteriTecnici!$L1395*1,IFERROR(NUMBERVALUE(CriteriTecnici!$L1395,".",","),IFERROR(NUMBERVALUE(CriteriTecnici!$L1395,",","."),0))),4)&amp;""),",",".")&amp;", "&amp;CHAR(34)&amp;"flag"&amp;CHAR(34)&amp;": "&amp;SUBSTITUTE(TRIM(ROUND(IFERROR(CriteriTecnici!$M1395*1,IFERROR(NUMBERVALUE(CriteriTecnici!$M1395,".",","),IFERROR(NUMBERVALUE(CriteriTecnici!$M1395,",","."),0))),4)&amp;""),",",".")&amp;", "&amp;CHAR(34)&amp;"rawScore"&amp;CHAR(34)&amp;": "&amp;SUBSTITUTE(TRIM(ROUND(IFERROR(CriteriTecnici!$O1395*1,IFERROR(NUMBERVALUE(CriteriTecnici!$O1395,".",","),IFERROR(NUMBERVALUE(CriteriTecnici!$O1395,",","."),0))),4)&amp;""),",",".")&amp;CHAR(125)&amp;IF(TRUE,",",""))</f>
        <v/>
      </c>
    </row>
    <row r="1497">
      <c r="A1497" s="82">
        <f>IF(CriteriTecnici!$A1396="","","    "&amp;CHAR(123)&amp;CHAR(34)&amp;"bidderId"&amp;CHAR(34)&amp;": "&amp;CHAR(34)&amp;SUBSTITUTE(CriteriTecnici!$A1396,CHAR(34),"'")&amp;CHAR(34)&amp;", "&amp;CHAR(34)&amp;"lotId"&amp;CHAR(34)&amp;": "&amp;CHAR(34)&amp;SUBSTITUTE(CriteriTecnici!$C1396,CHAR(34),"'")&amp;CHAR(34)&amp;", "&amp;CHAR(34)&amp;"criterionId"&amp;CHAR(34)&amp;": "&amp;CHAR(34)&amp;SUBSTITUTE(CriteriTecnici!$D1396,CHAR(34),"'")&amp;CHAR(34)&amp;", "&amp;CHAR(34)&amp;"kind"&amp;CHAR(34)&amp;": "&amp;CHAR(34)&amp;SUBSTITUTE(CriteriTecnici!$F1396,CHAR(34),"'")&amp;CHAR(34)&amp;", "&amp;CHAR(34)&amp;"value"&amp;CHAR(34)&amp;": "&amp;SUBSTITUTE(TRIM(ROUND(IFERROR(CriteriTecnici!$N1396*1,IFERROR(NUMBERVALUE(CriteriTecnici!$N1396,".",","),IFERROR(NUMBERVALUE(CriteriTecnici!$N1396,",","."),0))),4)&amp;""),",",".")&amp;", "&amp;CHAR(34)&amp;"numerator"&amp;CHAR(34)&amp;": "&amp;SUBSTITUTE(TRIM(ROUND(IFERROR(CriteriTecnici!$K1396*1,IFERROR(NUMBERVALUE(CriteriTecnici!$K1396,".",","),IFERROR(NUMBERVALUE(CriteriTecnici!$K1396,",","."),0))),4)&amp;""),",",".")&amp;", "&amp;CHAR(34)&amp;"denominator"&amp;CHAR(34)&amp;": "&amp;SUBSTITUTE(TRIM(ROUND(IFERROR(CriteriTecnici!$L1396*1,IFERROR(NUMBERVALUE(CriteriTecnici!$L1396,".",","),IFERROR(NUMBERVALUE(CriteriTecnici!$L1396,",","."),0))),4)&amp;""),",",".")&amp;", "&amp;CHAR(34)&amp;"flag"&amp;CHAR(34)&amp;": "&amp;SUBSTITUTE(TRIM(ROUND(IFERROR(CriteriTecnici!$M1396*1,IFERROR(NUMBERVALUE(CriteriTecnici!$M1396,".",","),IFERROR(NUMBERVALUE(CriteriTecnici!$M1396,",","."),0))),4)&amp;""),",",".")&amp;", "&amp;CHAR(34)&amp;"rawScore"&amp;CHAR(34)&amp;": "&amp;SUBSTITUTE(TRIM(ROUND(IFERROR(CriteriTecnici!$O1396*1,IFERROR(NUMBERVALUE(CriteriTecnici!$O1396,".",","),IFERROR(NUMBERVALUE(CriteriTecnici!$O1396,",","."),0))),4)&amp;""),",",".")&amp;CHAR(125)&amp;IF(TRUE,",",""))</f>
        <v/>
      </c>
    </row>
    <row r="1498">
      <c r="A1498" s="82">
        <f>IF(CriteriTecnici!$A1397="","","    "&amp;CHAR(123)&amp;CHAR(34)&amp;"bidderId"&amp;CHAR(34)&amp;": "&amp;CHAR(34)&amp;SUBSTITUTE(CriteriTecnici!$A1397,CHAR(34),"'")&amp;CHAR(34)&amp;", "&amp;CHAR(34)&amp;"lotId"&amp;CHAR(34)&amp;": "&amp;CHAR(34)&amp;SUBSTITUTE(CriteriTecnici!$C1397,CHAR(34),"'")&amp;CHAR(34)&amp;", "&amp;CHAR(34)&amp;"criterionId"&amp;CHAR(34)&amp;": "&amp;CHAR(34)&amp;SUBSTITUTE(CriteriTecnici!$D1397,CHAR(34),"'")&amp;CHAR(34)&amp;", "&amp;CHAR(34)&amp;"kind"&amp;CHAR(34)&amp;": "&amp;CHAR(34)&amp;SUBSTITUTE(CriteriTecnici!$F1397,CHAR(34),"'")&amp;CHAR(34)&amp;", "&amp;CHAR(34)&amp;"value"&amp;CHAR(34)&amp;": "&amp;SUBSTITUTE(TRIM(ROUND(IFERROR(CriteriTecnici!$N1397*1,IFERROR(NUMBERVALUE(CriteriTecnici!$N1397,".",","),IFERROR(NUMBERVALUE(CriteriTecnici!$N1397,",","."),0))),4)&amp;""),",",".")&amp;", "&amp;CHAR(34)&amp;"numerator"&amp;CHAR(34)&amp;": "&amp;SUBSTITUTE(TRIM(ROUND(IFERROR(CriteriTecnici!$K1397*1,IFERROR(NUMBERVALUE(CriteriTecnici!$K1397,".",","),IFERROR(NUMBERVALUE(CriteriTecnici!$K1397,",","."),0))),4)&amp;""),",",".")&amp;", "&amp;CHAR(34)&amp;"denominator"&amp;CHAR(34)&amp;": "&amp;SUBSTITUTE(TRIM(ROUND(IFERROR(CriteriTecnici!$L1397*1,IFERROR(NUMBERVALUE(CriteriTecnici!$L1397,".",","),IFERROR(NUMBERVALUE(CriteriTecnici!$L1397,",","."),0))),4)&amp;""),",",".")&amp;", "&amp;CHAR(34)&amp;"flag"&amp;CHAR(34)&amp;": "&amp;SUBSTITUTE(TRIM(ROUND(IFERROR(CriteriTecnici!$M1397*1,IFERROR(NUMBERVALUE(CriteriTecnici!$M1397,".",","),IFERROR(NUMBERVALUE(CriteriTecnici!$M1397,",","."),0))),4)&amp;""),",",".")&amp;", "&amp;CHAR(34)&amp;"rawScore"&amp;CHAR(34)&amp;": "&amp;SUBSTITUTE(TRIM(ROUND(IFERROR(CriteriTecnici!$O1397*1,IFERROR(NUMBERVALUE(CriteriTecnici!$O1397,".",","),IFERROR(NUMBERVALUE(CriteriTecnici!$O1397,",","."),0))),4)&amp;""),",",".")&amp;CHAR(125)&amp;IF(TRUE,",",""))</f>
        <v/>
      </c>
    </row>
    <row r="1499">
      <c r="A1499" s="82">
        <f>IF(CriteriTecnici!$A1398="","","    "&amp;CHAR(123)&amp;CHAR(34)&amp;"bidderId"&amp;CHAR(34)&amp;": "&amp;CHAR(34)&amp;SUBSTITUTE(CriteriTecnici!$A1398,CHAR(34),"'")&amp;CHAR(34)&amp;", "&amp;CHAR(34)&amp;"lotId"&amp;CHAR(34)&amp;": "&amp;CHAR(34)&amp;SUBSTITUTE(CriteriTecnici!$C1398,CHAR(34),"'")&amp;CHAR(34)&amp;", "&amp;CHAR(34)&amp;"criterionId"&amp;CHAR(34)&amp;": "&amp;CHAR(34)&amp;SUBSTITUTE(CriteriTecnici!$D1398,CHAR(34),"'")&amp;CHAR(34)&amp;", "&amp;CHAR(34)&amp;"kind"&amp;CHAR(34)&amp;": "&amp;CHAR(34)&amp;SUBSTITUTE(CriteriTecnici!$F1398,CHAR(34),"'")&amp;CHAR(34)&amp;", "&amp;CHAR(34)&amp;"value"&amp;CHAR(34)&amp;": "&amp;SUBSTITUTE(TRIM(ROUND(IFERROR(CriteriTecnici!$N1398*1,IFERROR(NUMBERVALUE(CriteriTecnici!$N1398,".",","),IFERROR(NUMBERVALUE(CriteriTecnici!$N1398,",","."),0))),4)&amp;""),",",".")&amp;", "&amp;CHAR(34)&amp;"numerator"&amp;CHAR(34)&amp;": "&amp;SUBSTITUTE(TRIM(ROUND(IFERROR(CriteriTecnici!$K1398*1,IFERROR(NUMBERVALUE(CriteriTecnici!$K1398,".",","),IFERROR(NUMBERVALUE(CriteriTecnici!$K1398,",","."),0))),4)&amp;""),",",".")&amp;", "&amp;CHAR(34)&amp;"denominator"&amp;CHAR(34)&amp;": "&amp;SUBSTITUTE(TRIM(ROUND(IFERROR(CriteriTecnici!$L1398*1,IFERROR(NUMBERVALUE(CriteriTecnici!$L1398,".",","),IFERROR(NUMBERVALUE(CriteriTecnici!$L1398,",","."),0))),4)&amp;""),",",".")&amp;", "&amp;CHAR(34)&amp;"flag"&amp;CHAR(34)&amp;": "&amp;SUBSTITUTE(TRIM(ROUND(IFERROR(CriteriTecnici!$M1398*1,IFERROR(NUMBERVALUE(CriteriTecnici!$M1398,".",","),IFERROR(NUMBERVALUE(CriteriTecnici!$M1398,",","."),0))),4)&amp;""),",",".")&amp;", "&amp;CHAR(34)&amp;"rawScore"&amp;CHAR(34)&amp;": "&amp;SUBSTITUTE(TRIM(ROUND(IFERROR(CriteriTecnici!$O1398*1,IFERROR(NUMBERVALUE(CriteriTecnici!$O1398,".",","),IFERROR(NUMBERVALUE(CriteriTecnici!$O1398,",","."),0))),4)&amp;""),",",".")&amp;CHAR(125)&amp;IF(TRUE,",",""))</f>
        <v/>
      </c>
    </row>
    <row r="1500">
      <c r="A1500" s="82">
        <f>IF(CriteriTecnici!$A1399="","","    "&amp;CHAR(123)&amp;CHAR(34)&amp;"bidderId"&amp;CHAR(34)&amp;": "&amp;CHAR(34)&amp;SUBSTITUTE(CriteriTecnici!$A1399,CHAR(34),"'")&amp;CHAR(34)&amp;", "&amp;CHAR(34)&amp;"lotId"&amp;CHAR(34)&amp;": "&amp;CHAR(34)&amp;SUBSTITUTE(CriteriTecnici!$C1399,CHAR(34),"'")&amp;CHAR(34)&amp;", "&amp;CHAR(34)&amp;"criterionId"&amp;CHAR(34)&amp;": "&amp;CHAR(34)&amp;SUBSTITUTE(CriteriTecnici!$D1399,CHAR(34),"'")&amp;CHAR(34)&amp;", "&amp;CHAR(34)&amp;"kind"&amp;CHAR(34)&amp;": "&amp;CHAR(34)&amp;SUBSTITUTE(CriteriTecnici!$F1399,CHAR(34),"'")&amp;CHAR(34)&amp;", "&amp;CHAR(34)&amp;"value"&amp;CHAR(34)&amp;": "&amp;SUBSTITUTE(TRIM(ROUND(IFERROR(CriteriTecnici!$N1399*1,IFERROR(NUMBERVALUE(CriteriTecnici!$N1399,".",","),IFERROR(NUMBERVALUE(CriteriTecnici!$N1399,",","."),0))),4)&amp;""),",",".")&amp;", "&amp;CHAR(34)&amp;"numerator"&amp;CHAR(34)&amp;": "&amp;SUBSTITUTE(TRIM(ROUND(IFERROR(CriteriTecnici!$K1399*1,IFERROR(NUMBERVALUE(CriteriTecnici!$K1399,".",","),IFERROR(NUMBERVALUE(CriteriTecnici!$K1399,",","."),0))),4)&amp;""),",",".")&amp;", "&amp;CHAR(34)&amp;"denominator"&amp;CHAR(34)&amp;": "&amp;SUBSTITUTE(TRIM(ROUND(IFERROR(CriteriTecnici!$L1399*1,IFERROR(NUMBERVALUE(CriteriTecnici!$L1399,".",","),IFERROR(NUMBERVALUE(CriteriTecnici!$L1399,",","."),0))),4)&amp;""),",",".")&amp;", "&amp;CHAR(34)&amp;"flag"&amp;CHAR(34)&amp;": "&amp;SUBSTITUTE(TRIM(ROUND(IFERROR(CriteriTecnici!$M1399*1,IFERROR(NUMBERVALUE(CriteriTecnici!$M1399,".",","),IFERROR(NUMBERVALUE(CriteriTecnici!$M1399,",","."),0))),4)&amp;""),",",".")&amp;", "&amp;CHAR(34)&amp;"rawScore"&amp;CHAR(34)&amp;": "&amp;SUBSTITUTE(TRIM(ROUND(IFERROR(CriteriTecnici!$O1399*1,IFERROR(NUMBERVALUE(CriteriTecnici!$O1399,".",","),IFERROR(NUMBERVALUE(CriteriTecnici!$O1399,",","."),0))),4)&amp;""),",",".")&amp;CHAR(125)&amp;IF(COUNTA(Offerte!$A47:$A$81)&gt;0,",",""))</f>
        <v/>
      </c>
    </row>
    <row r="1501">
      <c r="A1501" s="82">
        <f>IF(CriteriTecnici!$A1400="","","    "&amp;CHAR(123)&amp;CHAR(34)&amp;"bidderId"&amp;CHAR(34)&amp;": "&amp;CHAR(34)&amp;SUBSTITUTE(CriteriTecnici!$A1400,CHAR(34),"'")&amp;CHAR(34)&amp;", "&amp;CHAR(34)&amp;"lotId"&amp;CHAR(34)&amp;": "&amp;CHAR(34)&amp;SUBSTITUTE(CriteriTecnici!$C1400,CHAR(34),"'")&amp;CHAR(34)&amp;", "&amp;CHAR(34)&amp;"criterionId"&amp;CHAR(34)&amp;": "&amp;CHAR(34)&amp;SUBSTITUTE(CriteriTecnici!$D1400,CHAR(34),"'")&amp;CHAR(34)&amp;", "&amp;CHAR(34)&amp;"kind"&amp;CHAR(34)&amp;": "&amp;CHAR(34)&amp;SUBSTITUTE(CriteriTecnici!$F1400,CHAR(34),"'")&amp;CHAR(34)&amp;", "&amp;CHAR(34)&amp;"value"&amp;CHAR(34)&amp;": "&amp;SUBSTITUTE(TRIM(ROUND(IFERROR(CriteriTecnici!$N1400*1,IFERROR(NUMBERVALUE(CriteriTecnici!$N1400,".",","),IFERROR(NUMBERVALUE(CriteriTecnici!$N1400,",","."),0))),4)&amp;""),",",".")&amp;", "&amp;CHAR(34)&amp;"numerator"&amp;CHAR(34)&amp;": "&amp;SUBSTITUTE(TRIM(ROUND(IFERROR(CriteriTecnici!$K1400*1,IFERROR(NUMBERVALUE(CriteriTecnici!$K1400,".",","),IFERROR(NUMBERVALUE(CriteriTecnici!$K1400,",","."),0))),4)&amp;""),",",".")&amp;", "&amp;CHAR(34)&amp;"denominator"&amp;CHAR(34)&amp;": "&amp;SUBSTITUTE(TRIM(ROUND(IFERROR(CriteriTecnici!$L1400*1,IFERROR(NUMBERVALUE(CriteriTecnici!$L1400,".",","),IFERROR(NUMBERVALUE(CriteriTecnici!$L1400,",","."),0))),4)&amp;""),",",".")&amp;", "&amp;CHAR(34)&amp;"flag"&amp;CHAR(34)&amp;": "&amp;SUBSTITUTE(TRIM(ROUND(IFERROR(CriteriTecnici!$M1400*1,IFERROR(NUMBERVALUE(CriteriTecnici!$M1400,".",","),IFERROR(NUMBERVALUE(CriteriTecnici!$M1400,",","."),0))),4)&amp;""),",",".")&amp;", "&amp;CHAR(34)&amp;"rawScore"&amp;CHAR(34)&amp;": "&amp;SUBSTITUTE(TRIM(ROUND(IFERROR(CriteriTecnici!$O1400*1,IFERROR(NUMBERVALUE(CriteriTecnici!$O1400,".",","),IFERROR(NUMBERVALUE(CriteriTecnici!$O1400,",","."),0))),4)&amp;""),",",".")&amp;CHAR(125)&amp;IF(TRUE,",",""))</f>
        <v/>
      </c>
    </row>
    <row r="1502">
      <c r="A1502" s="82">
        <f>IF(CriteriTecnici!$A1401="","","    "&amp;CHAR(123)&amp;CHAR(34)&amp;"bidderId"&amp;CHAR(34)&amp;": "&amp;CHAR(34)&amp;SUBSTITUTE(CriteriTecnici!$A1401,CHAR(34),"'")&amp;CHAR(34)&amp;", "&amp;CHAR(34)&amp;"lotId"&amp;CHAR(34)&amp;": "&amp;CHAR(34)&amp;SUBSTITUTE(CriteriTecnici!$C1401,CHAR(34),"'")&amp;CHAR(34)&amp;", "&amp;CHAR(34)&amp;"criterionId"&amp;CHAR(34)&amp;": "&amp;CHAR(34)&amp;SUBSTITUTE(CriteriTecnici!$D1401,CHAR(34),"'")&amp;CHAR(34)&amp;", "&amp;CHAR(34)&amp;"kind"&amp;CHAR(34)&amp;": "&amp;CHAR(34)&amp;SUBSTITUTE(CriteriTecnici!$F1401,CHAR(34),"'")&amp;CHAR(34)&amp;", "&amp;CHAR(34)&amp;"value"&amp;CHAR(34)&amp;": "&amp;SUBSTITUTE(TRIM(ROUND(IFERROR(CriteriTecnici!$N1401*1,IFERROR(NUMBERVALUE(CriteriTecnici!$N1401,".",","),IFERROR(NUMBERVALUE(CriteriTecnici!$N1401,",","."),0))),4)&amp;""),",",".")&amp;", "&amp;CHAR(34)&amp;"numerator"&amp;CHAR(34)&amp;": "&amp;SUBSTITUTE(TRIM(ROUND(IFERROR(CriteriTecnici!$K1401*1,IFERROR(NUMBERVALUE(CriteriTecnici!$K1401,".",","),IFERROR(NUMBERVALUE(CriteriTecnici!$K1401,",","."),0))),4)&amp;""),",",".")&amp;", "&amp;CHAR(34)&amp;"denominator"&amp;CHAR(34)&amp;": "&amp;SUBSTITUTE(TRIM(ROUND(IFERROR(CriteriTecnici!$L1401*1,IFERROR(NUMBERVALUE(CriteriTecnici!$L1401,".",","),IFERROR(NUMBERVALUE(CriteriTecnici!$L1401,",","."),0))),4)&amp;""),",",".")&amp;", "&amp;CHAR(34)&amp;"flag"&amp;CHAR(34)&amp;": "&amp;SUBSTITUTE(TRIM(ROUND(IFERROR(CriteriTecnici!$M1401*1,IFERROR(NUMBERVALUE(CriteriTecnici!$M1401,".",","),IFERROR(NUMBERVALUE(CriteriTecnici!$M1401,",","."),0))),4)&amp;""),",",".")&amp;", "&amp;CHAR(34)&amp;"rawScore"&amp;CHAR(34)&amp;": "&amp;SUBSTITUTE(TRIM(ROUND(IFERROR(CriteriTecnici!$O1401*1,IFERROR(NUMBERVALUE(CriteriTecnici!$O1401,".",","),IFERROR(NUMBERVALUE(CriteriTecnici!$O1401,",","."),0))),4)&amp;""),",",".")&amp;CHAR(125)&amp;IF(TRUE,",",""))</f>
        <v/>
      </c>
    </row>
    <row r="1503">
      <c r="A1503" s="82">
        <f>IF(CriteriTecnici!$A1402="","","    "&amp;CHAR(123)&amp;CHAR(34)&amp;"bidderId"&amp;CHAR(34)&amp;": "&amp;CHAR(34)&amp;SUBSTITUTE(CriteriTecnici!$A1402,CHAR(34),"'")&amp;CHAR(34)&amp;", "&amp;CHAR(34)&amp;"lotId"&amp;CHAR(34)&amp;": "&amp;CHAR(34)&amp;SUBSTITUTE(CriteriTecnici!$C1402,CHAR(34),"'")&amp;CHAR(34)&amp;", "&amp;CHAR(34)&amp;"criterionId"&amp;CHAR(34)&amp;": "&amp;CHAR(34)&amp;SUBSTITUTE(CriteriTecnici!$D1402,CHAR(34),"'")&amp;CHAR(34)&amp;", "&amp;CHAR(34)&amp;"kind"&amp;CHAR(34)&amp;": "&amp;CHAR(34)&amp;SUBSTITUTE(CriteriTecnici!$F1402,CHAR(34),"'")&amp;CHAR(34)&amp;", "&amp;CHAR(34)&amp;"value"&amp;CHAR(34)&amp;": "&amp;SUBSTITUTE(TRIM(ROUND(IFERROR(CriteriTecnici!$N1402*1,IFERROR(NUMBERVALUE(CriteriTecnici!$N1402,".",","),IFERROR(NUMBERVALUE(CriteriTecnici!$N1402,",","."),0))),4)&amp;""),",",".")&amp;", "&amp;CHAR(34)&amp;"numerator"&amp;CHAR(34)&amp;": "&amp;SUBSTITUTE(TRIM(ROUND(IFERROR(CriteriTecnici!$K1402*1,IFERROR(NUMBERVALUE(CriteriTecnici!$K1402,".",","),IFERROR(NUMBERVALUE(CriteriTecnici!$K1402,",","."),0))),4)&amp;""),",",".")&amp;", "&amp;CHAR(34)&amp;"denominator"&amp;CHAR(34)&amp;": "&amp;SUBSTITUTE(TRIM(ROUND(IFERROR(CriteriTecnici!$L1402*1,IFERROR(NUMBERVALUE(CriteriTecnici!$L1402,".",","),IFERROR(NUMBERVALUE(CriteriTecnici!$L1402,",","."),0))),4)&amp;""),",",".")&amp;", "&amp;CHAR(34)&amp;"flag"&amp;CHAR(34)&amp;": "&amp;SUBSTITUTE(TRIM(ROUND(IFERROR(CriteriTecnici!$M1402*1,IFERROR(NUMBERVALUE(CriteriTecnici!$M1402,".",","),IFERROR(NUMBERVALUE(CriteriTecnici!$M1402,",","."),0))),4)&amp;""),",",".")&amp;", "&amp;CHAR(34)&amp;"rawScore"&amp;CHAR(34)&amp;": "&amp;SUBSTITUTE(TRIM(ROUND(IFERROR(CriteriTecnici!$O1402*1,IFERROR(NUMBERVALUE(CriteriTecnici!$O1402,".",","),IFERROR(NUMBERVALUE(CriteriTecnici!$O1402,",","."),0))),4)&amp;""),",",".")&amp;CHAR(125)&amp;IF(TRUE,",",""))</f>
        <v/>
      </c>
    </row>
    <row r="1504">
      <c r="A1504" s="82">
        <f>IF(CriteriTecnici!$A1403="","","    "&amp;CHAR(123)&amp;CHAR(34)&amp;"bidderId"&amp;CHAR(34)&amp;": "&amp;CHAR(34)&amp;SUBSTITUTE(CriteriTecnici!$A1403,CHAR(34),"'")&amp;CHAR(34)&amp;", "&amp;CHAR(34)&amp;"lotId"&amp;CHAR(34)&amp;": "&amp;CHAR(34)&amp;SUBSTITUTE(CriteriTecnici!$C1403,CHAR(34),"'")&amp;CHAR(34)&amp;", "&amp;CHAR(34)&amp;"criterionId"&amp;CHAR(34)&amp;": "&amp;CHAR(34)&amp;SUBSTITUTE(CriteriTecnici!$D1403,CHAR(34),"'")&amp;CHAR(34)&amp;", "&amp;CHAR(34)&amp;"kind"&amp;CHAR(34)&amp;": "&amp;CHAR(34)&amp;SUBSTITUTE(CriteriTecnici!$F1403,CHAR(34),"'")&amp;CHAR(34)&amp;", "&amp;CHAR(34)&amp;"value"&amp;CHAR(34)&amp;": "&amp;SUBSTITUTE(TRIM(ROUND(IFERROR(CriteriTecnici!$N1403*1,IFERROR(NUMBERVALUE(CriteriTecnici!$N1403,".",","),IFERROR(NUMBERVALUE(CriteriTecnici!$N1403,",","."),0))),4)&amp;""),",",".")&amp;", "&amp;CHAR(34)&amp;"numerator"&amp;CHAR(34)&amp;": "&amp;SUBSTITUTE(TRIM(ROUND(IFERROR(CriteriTecnici!$K1403*1,IFERROR(NUMBERVALUE(CriteriTecnici!$K1403,".",","),IFERROR(NUMBERVALUE(CriteriTecnici!$K1403,",","."),0))),4)&amp;""),",",".")&amp;", "&amp;CHAR(34)&amp;"denominator"&amp;CHAR(34)&amp;": "&amp;SUBSTITUTE(TRIM(ROUND(IFERROR(CriteriTecnici!$L1403*1,IFERROR(NUMBERVALUE(CriteriTecnici!$L1403,".",","),IFERROR(NUMBERVALUE(CriteriTecnici!$L1403,",","."),0))),4)&amp;""),",",".")&amp;", "&amp;CHAR(34)&amp;"flag"&amp;CHAR(34)&amp;": "&amp;SUBSTITUTE(TRIM(ROUND(IFERROR(CriteriTecnici!$M1403*1,IFERROR(NUMBERVALUE(CriteriTecnici!$M1403,".",","),IFERROR(NUMBERVALUE(CriteriTecnici!$M1403,",","."),0))),4)&amp;""),",",".")&amp;", "&amp;CHAR(34)&amp;"rawScore"&amp;CHAR(34)&amp;": "&amp;SUBSTITUTE(TRIM(ROUND(IFERROR(CriteriTecnici!$O1403*1,IFERROR(NUMBERVALUE(CriteriTecnici!$O1403,".",","),IFERROR(NUMBERVALUE(CriteriTecnici!$O1403,",","."),0))),4)&amp;""),",",".")&amp;CHAR(125)&amp;IF(TRUE,",",""))</f>
        <v/>
      </c>
    </row>
    <row r="1505">
      <c r="A1505" s="82">
        <f>IF(CriteriTecnici!$A1404="","","    "&amp;CHAR(123)&amp;CHAR(34)&amp;"bidderId"&amp;CHAR(34)&amp;": "&amp;CHAR(34)&amp;SUBSTITUTE(CriteriTecnici!$A1404,CHAR(34),"'")&amp;CHAR(34)&amp;", "&amp;CHAR(34)&amp;"lotId"&amp;CHAR(34)&amp;": "&amp;CHAR(34)&amp;SUBSTITUTE(CriteriTecnici!$C1404,CHAR(34),"'")&amp;CHAR(34)&amp;", "&amp;CHAR(34)&amp;"criterionId"&amp;CHAR(34)&amp;": "&amp;CHAR(34)&amp;SUBSTITUTE(CriteriTecnici!$D1404,CHAR(34),"'")&amp;CHAR(34)&amp;", "&amp;CHAR(34)&amp;"kind"&amp;CHAR(34)&amp;": "&amp;CHAR(34)&amp;SUBSTITUTE(CriteriTecnici!$F1404,CHAR(34),"'")&amp;CHAR(34)&amp;", "&amp;CHAR(34)&amp;"value"&amp;CHAR(34)&amp;": "&amp;SUBSTITUTE(TRIM(ROUND(IFERROR(CriteriTecnici!$N1404*1,IFERROR(NUMBERVALUE(CriteriTecnici!$N1404,".",","),IFERROR(NUMBERVALUE(CriteriTecnici!$N1404,",","."),0))),4)&amp;""),",",".")&amp;", "&amp;CHAR(34)&amp;"numerator"&amp;CHAR(34)&amp;": "&amp;SUBSTITUTE(TRIM(ROUND(IFERROR(CriteriTecnici!$K1404*1,IFERROR(NUMBERVALUE(CriteriTecnici!$K1404,".",","),IFERROR(NUMBERVALUE(CriteriTecnici!$K1404,",","."),0))),4)&amp;""),",",".")&amp;", "&amp;CHAR(34)&amp;"denominator"&amp;CHAR(34)&amp;": "&amp;SUBSTITUTE(TRIM(ROUND(IFERROR(CriteriTecnici!$L1404*1,IFERROR(NUMBERVALUE(CriteriTecnici!$L1404,".",","),IFERROR(NUMBERVALUE(CriteriTecnici!$L1404,",","."),0))),4)&amp;""),",",".")&amp;", "&amp;CHAR(34)&amp;"flag"&amp;CHAR(34)&amp;": "&amp;SUBSTITUTE(TRIM(ROUND(IFERROR(CriteriTecnici!$M1404*1,IFERROR(NUMBERVALUE(CriteriTecnici!$M1404,".",","),IFERROR(NUMBERVALUE(CriteriTecnici!$M1404,",","."),0))),4)&amp;""),",",".")&amp;", "&amp;CHAR(34)&amp;"rawScore"&amp;CHAR(34)&amp;": "&amp;SUBSTITUTE(TRIM(ROUND(IFERROR(CriteriTecnici!$O1404*1,IFERROR(NUMBERVALUE(CriteriTecnici!$O1404,".",","),IFERROR(NUMBERVALUE(CriteriTecnici!$O1404,",","."),0))),4)&amp;""),",",".")&amp;CHAR(125)&amp;IF(TRUE,",",""))</f>
        <v/>
      </c>
    </row>
    <row r="1506">
      <c r="A1506" s="82">
        <f>IF(CriteriTecnici!$A1405="","","    "&amp;CHAR(123)&amp;CHAR(34)&amp;"bidderId"&amp;CHAR(34)&amp;": "&amp;CHAR(34)&amp;SUBSTITUTE(CriteriTecnici!$A1405,CHAR(34),"'")&amp;CHAR(34)&amp;", "&amp;CHAR(34)&amp;"lotId"&amp;CHAR(34)&amp;": "&amp;CHAR(34)&amp;SUBSTITUTE(CriteriTecnici!$C1405,CHAR(34),"'")&amp;CHAR(34)&amp;", "&amp;CHAR(34)&amp;"criterionId"&amp;CHAR(34)&amp;": "&amp;CHAR(34)&amp;SUBSTITUTE(CriteriTecnici!$D1405,CHAR(34),"'")&amp;CHAR(34)&amp;", "&amp;CHAR(34)&amp;"kind"&amp;CHAR(34)&amp;": "&amp;CHAR(34)&amp;SUBSTITUTE(CriteriTecnici!$F1405,CHAR(34),"'")&amp;CHAR(34)&amp;", "&amp;CHAR(34)&amp;"value"&amp;CHAR(34)&amp;": "&amp;SUBSTITUTE(TRIM(ROUND(IFERROR(CriteriTecnici!$N1405*1,IFERROR(NUMBERVALUE(CriteriTecnici!$N1405,".",","),IFERROR(NUMBERVALUE(CriteriTecnici!$N1405,",","."),0))),4)&amp;""),",",".")&amp;", "&amp;CHAR(34)&amp;"numerator"&amp;CHAR(34)&amp;": "&amp;SUBSTITUTE(TRIM(ROUND(IFERROR(CriteriTecnici!$K1405*1,IFERROR(NUMBERVALUE(CriteriTecnici!$K1405,".",","),IFERROR(NUMBERVALUE(CriteriTecnici!$K1405,",","."),0))),4)&amp;""),",",".")&amp;", "&amp;CHAR(34)&amp;"denominator"&amp;CHAR(34)&amp;": "&amp;SUBSTITUTE(TRIM(ROUND(IFERROR(CriteriTecnici!$L1405*1,IFERROR(NUMBERVALUE(CriteriTecnici!$L1405,".",","),IFERROR(NUMBERVALUE(CriteriTecnici!$L1405,",","."),0))),4)&amp;""),",",".")&amp;", "&amp;CHAR(34)&amp;"flag"&amp;CHAR(34)&amp;": "&amp;SUBSTITUTE(TRIM(ROUND(IFERROR(CriteriTecnici!$M1405*1,IFERROR(NUMBERVALUE(CriteriTecnici!$M1405,".",","),IFERROR(NUMBERVALUE(CriteriTecnici!$M1405,",","."),0))),4)&amp;""),",",".")&amp;", "&amp;CHAR(34)&amp;"rawScore"&amp;CHAR(34)&amp;": "&amp;SUBSTITUTE(TRIM(ROUND(IFERROR(CriteriTecnici!$O1405*1,IFERROR(NUMBERVALUE(CriteriTecnici!$O1405,".",","),IFERROR(NUMBERVALUE(CriteriTecnici!$O1405,",","."),0))),4)&amp;""),",",".")&amp;CHAR(125)&amp;IF(TRUE,",",""))</f>
        <v/>
      </c>
    </row>
    <row r="1507">
      <c r="A1507" s="82">
        <f>IF(CriteriTecnici!$A1406="","","    "&amp;CHAR(123)&amp;CHAR(34)&amp;"bidderId"&amp;CHAR(34)&amp;": "&amp;CHAR(34)&amp;SUBSTITUTE(CriteriTecnici!$A1406,CHAR(34),"'")&amp;CHAR(34)&amp;", "&amp;CHAR(34)&amp;"lotId"&amp;CHAR(34)&amp;": "&amp;CHAR(34)&amp;SUBSTITUTE(CriteriTecnici!$C1406,CHAR(34),"'")&amp;CHAR(34)&amp;", "&amp;CHAR(34)&amp;"criterionId"&amp;CHAR(34)&amp;": "&amp;CHAR(34)&amp;SUBSTITUTE(CriteriTecnici!$D1406,CHAR(34),"'")&amp;CHAR(34)&amp;", "&amp;CHAR(34)&amp;"kind"&amp;CHAR(34)&amp;": "&amp;CHAR(34)&amp;SUBSTITUTE(CriteriTecnici!$F1406,CHAR(34),"'")&amp;CHAR(34)&amp;", "&amp;CHAR(34)&amp;"value"&amp;CHAR(34)&amp;": "&amp;SUBSTITUTE(TRIM(ROUND(IFERROR(CriteriTecnici!$N1406*1,IFERROR(NUMBERVALUE(CriteriTecnici!$N1406,".",","),IFERROR(NUMBERVALUE(CriteriTecnici!$N1406,",","."),0))),4)&amp;""),",",".")&amp;", "&amp;CHAR(34)&amp;"numerator"&amp;CHAR(34)&amp;": "&amp;SUBSTITUTE(TRIM(ROUND(IFERROR(CriteriTecnici!$K1406*1,IFERROR(NUMBERVALUE(CriteriTecnici!$K1406,".",","),IFERROR(NUMBERVALUE(CriteriTecnici!$K1406,",","."),0))),4)&amp;""),",",".")&amp;", "&amp;CHAR(34)&amp;"denominator"&amp;CHAR(34)&amp;": "&amp;SUBSTITUTE(TRIM(ROUND(IFERROR(CriteriTecnici!$L1406*1,IFERROR(NUMBERVALUE(CriteriTecnici!$L1406,".",","),IFERROR(NUMBERVALUE(CriteriTecnici!$L1406,",","."),0))),4)&amp;""),",",".")&amp;", "&amp;CHAR(34)&amp;"flag"&amp;CHAR(34)&amp;": "&amp;SUBSTITUTE(TRIM(ROUND(IFERROR(CriteriTecnici!$M1406*1,IFERROR(NUMBERVALUE(CriteriTecnici!$M1406,".",","),IFERROR(NUMBERVALUE(CriteriTecnici!$M1406,",","."),0))),4)&amp;""),",",".")&amp;", "&amp;CHAR(34)&amp;"rawScore"&amp;CHAR(34)&amp;": "&amp;SUBSTITUTE(TRIM(ROUND(IFERROR(CriteriTecnici!$O1406*1,IFERROR(NUMBERVALUE(CriteriTecnici!$O1406,".",","),IFERROR(NUMBERVALUE(CriteriTecnici!$O1406,",","."),0))),4)&amp;""),",",".")&amp;CHAR(125)&amp;IF(TRUE,",",""))</f>
        <v/>
      </c>
    </row>
    <row r="1508">
      <c r="A1508" s="82">
        <f>IF(CriteriTecnici!$A1407="","","    "&amp;CHAR(123)&amp;CHAR(34)&amp;"bidderId"&amp;CHAR(34)&amp;": "&amp;CHAR(34)&amp;SUBSTITUTE(CriteriTecnici!$A1407,CHAR(34),"'")&amp;CHAR(34)&amp;", "&amp;CHAR(34)&amp;"lotId"&amp;CHAR(34)&amp;": "&amp;CHAR(34)&amp;SUBSTITUTE(CriteriTecnici!$C1407,CHAR(34),"'")&amp;CHAR(34)&amp;", "&amp;CHAR(34)&amp;"criterionId"&amp;CHAR(34)&amp;": "&amp;CHAR(34)&amp;SUBSTITUTE(CriteriTecnici!$D1407,CHAR(34),"'")&amp;CHAR(34)&amp;", "&amp;CHAR(34)&amp;"kind"&amp;CHAR(34)&amp;": "&amp;CHAR(34)&amp;SUBSTITUTE(CriteriTecnici!$F1407,CHAR(34),"'")&amp;CHAR(34)&amp;", "&amp;CHAR(34)&amp;"value"&amp;CHAR(34)&amp;": "&amp;SUBSTITUTE(TRIM(ROUND(IFERROR(CriteriTecnici!$N1407*1,IFERROR(NUMBERVALUE(CriteriTecnici!$N1407,".",","),IFERROR(NUMBERVALUE(CriteriTecnici!$N1407,",","."),0))),4)&amp;""),",",".")&amp;", "&amp;CHAR(34)&amp;"numerator"&amp;CHAR(34)&amp;": "&amp;SUBSTITUTE(TRIM(ROUND(IFERROR(CriteriTecnici!$K1407*1,IFERROR(NUMBERVALUE(CriteriTecnici!$K1407,".",","),IFERROR(NUMBERVALUE(CriteriTecnici!$K1407,",","."),0))),4)&amp;""),",",".")&amp;", "&amp;CHAR(34)&amp;"denominator"&amp;CHAR(34)&amp;": "&amp;SUBSTITUTE(TRIM(ROUND(IFERROR(CriteriTecnici!$L1407*1,IFERROR(NUMBERVALUE(CriteriTecnici!$L1407,".",","),IFERROR(NUMBERVALUE(CriteriTecnici!$L1407,",","."),0))),4)&amp;""),",",".")&amp;", "&amp;CHAR(34)&amp;"flag"&amp;CHAR(34)&amp;": "&amp;SUBSTITUTE(TRIM(ROUND(IFERROR(CriteriTecnici!$M1407*1,IFERROR(NUMBERVALUE(CriteriTecnici!$M1407,".",","),IFERROR(NUMBERVALUE(CriteriTecnici!$M1407,",","."),0))),4)&amp;""),",",".")&amp;", "&amp;CHAR(34)&amp;"rawScore"&amp;CHAR(34)&amp;": "&amp;SUBSTITUTE(TRIM(ROUND(IFERROR(CriteriTecnici!$O1407*1,IFERROR(NUMBERVALUE(CriteriTecnici!$O1407,".",","),IFERROR(NUMBERVALUE(CriteriTecnici!$O1407,",","."),0))),4)&amp;""),",",".")&amp;CHAR(125)&amp;IF(TRUE,",",""))</f>
        <v/>
      </c>
    </row>
    <row r="1509">
      <c r="A1509" s="82">
        <f>IF(CriteriTecnici!$A1408="","","    "&amp;CHAR(123)&amp;CHAR(34)&amp;"bidderId"&amp;CHAR(34)&amp;": "&amp;CHAR(34)&amp;SUBSTITUTE(CriteriTecnici!$A1408,CHAR(34),"'")&amp;CHAR(34)&amp;", "&amp;CHAR(34)&amp;"lotId"&amp;CHAR(34)&amp;": "&amp;CHAR(34)&amp;SUBSTITUTE(CriteriTecnici!$C1408,CHAR(34),"'")&amp;CHAR(34)&amp;", "&amp;CHAR(34)&amp;"criterionId"&amp;CHAR(34)&amp;": "&amp;CHAR(34)&amp;SUBSTITUTE(CriteriTecnici!$D1408,CHAR(34),"'")&amp;CHAR(34)&amp;", "&amp;CHAR(34)&amp;"kind"&amp;CHAR(34)&amp;": "&amp;CHAR(34)&amp;SUBSTITUTE(CriteriTecnici!$F1408,CHAR(34),"'")&amp;CHAR(34)&amp;", "&amp;CHAR(34)&amp;"value"&amp;CHAR(34)&amp;": "&amp;SUBSTITUTE(TRIM(ROUND(IFERROR(CriteriTecnici!$N1408*1,IFERROR(NUMBERVALUE(CriteriTecnici!$N1408,".",","),IFERROR(NUMBERVALUE(CriteriTecnici!$N1408,",","."),0))),4)&amp;""),",",".")&amp;", "&amp;CHAR(34)&amp;"numerator"&amp;CHAR(34)&amp;": "&amp;SUBSTITUTE(TRIM(ROUND(IFERROR(CriteriTecnici!$K1408*1,IFERROR(NUMBERVALUE(CriteriTecnici!$K1408,".",","),IFERROR(NUMBERVALUE(CriteriTecnici!$K1408,",","."),0))),4)&amp;""),",",".")&amp;", "&amp;CHAR(34)&amp;"denominator"&amp;CHAR(34)&amp;": "&amp;SUBSTITUTE(TRIM(ROUND(IFERROR(CriteriTecnici!$L1408*1,IFERROR(NUMBERVALUE(CriteriTecnici!$L1408,".",","),IFERROR(NUMBERVALUE(CriteriTecnici!$L1408,",","."),0))),4)&amp;""),",",".")&amp;", "&amp;CHAR(34)&amp;"flag"&amp;CHAR(34)&amp;": "&amp;SUBSTITUTE(TRIM(ROUND(IFERROR(CriteriTecnici!$M1408*1,IFERROR(NUMBERVALUE(CriteriTecnici!$M1408,".",","),IFERROR(NUMBERVALUE(CriteriTecnici!$M1408,",","."),0))),4)&amp;""),",",".")&amp;", "&amp;CHAR(34)&amp;"rawScore"&amp;CHAR(34)&amp;": "&amp;SUBSTITUTE(TRIM(ROUND(IFERROR(CriteriTecnici!$O1408*1,IFERROR(NUMBERVALUE(CriteriTecnici!$O1408,".",","),IFERROR(NUMBERVALUE(CriteriTecnici!$O1408,",","."),0))),4)&amp;""),",",".")&amp;CHAR(125)&amp;IF(TRUE,",",""))</f>
        <v/>
      </c>
    </row>
    <row r="1510">
      <c r="A1510" s="82">
        <f>IF(CriteriTecnici!$A1409="","","    "&amp;CHAR(123)&amp;CHAR(34)&amp;"bidderId"&amp;CHAR(34)&amp;": "&amp;CHAR(34)&amp;SUBSTITUTE(CriteriTecnici!$A1409,CHAR(34),"'")&amp;CHAR(34)&amp;", "&amp;CHAR(34)&amp;"lotId"&amp;CHAR(34)&amp;": "&amp;CHAR(34)&amp;SUBSTITUTE(CriteriTecnici!$C1409,CHAR(34),"'")&amp;CHAR(34)&amp;", "&amp;CHAR(34)&amp;"criterionId"&amp;CHAR(34)&amp;": "&amp;CHAR(34)&amp;SUBSTITUTE(CriteriTecnici!$D1409,CHAR(34),"'")&amp;CHAR(34)&amp;", "&amp;CHAR(34)&amp;"kind"&amp;CHAR(34)&amp;": "&amp;CHAR(34)&amp;SUBSTITUTE(CriteriTecnici!$F1409,CHAR(34),"'")&amp;CHAR(34)&amp;", "&amp;CHAR(34)&amp;"value"&amp;CHAR(34)&amp;": "&amp;SUBSTITUTE(TRIM(ROUND(IFERROR(CriteriTecnici!$N1409*1,IFERROR(NUMBERVALUE(CriteriTecnici!$N1409,".",","),IFERROR(NUMBERVALUE(CriteriTecnici!$N1409,",","."),0))),4)&amp;""),",",".")&amp;", "&amp;CHAR(34)&amp;"numerator"&amp;CHAR(34)&amp;": "&amp;SUBSTITUTE(TRIM(ROUND(IFERROR(CriteriTecnici!$K1409*1,IFERROR(NUMBERVALUE(CriteriTecnici!$K1409,".",","),IFERROR(NUMBERVALUE(CriteriTecnici!$K1409,",","."),0))),4)&amp;""),",",".")&amp;", "&amp;CHAR(34)&amp;"denominator"&amp;CHAR(34)&amp;": "&amp;SUBSTITUTE(TRIM(ROUND(IFERROR(CriteriTecnici!$L1409*1,IFERROR(NUMBERVALUE(CriteriTecnici!$L1409,".",","),IFERROR(NUMBERVALUE(CriteriTecnici!$L1409,",","."),0))),4)&amp;""),",",".")&amp;", "&amp;CHAR(34)&amp;"flag"&amp;CHAR(34)&amp;": "&amp;SUBSTITUTE(TRIM(ROUND(IFERROR(CriteriTecnici!$M1409*1,IFERROR(NUMBERVALUE(CriteriTecnici!$M1409,".",","),IFERROR(NUMBERVALUE(CriteriTecnici!$M1409,",","."),0))),4)&amp;""),",",".")&amp;", "&amp;CHAR(34)&amp;"rawScore"&amp;CHAR(34)&amp;": "&amp;SUBSTITUTE(TRIM(ROUND(IFERROR(CriteriTecnici!$O1409*1,IFERROR(NUMBERVALUE(CriteriTecnici!$O1409,".",","),IFERROR(NUMBERVALUE(CriteriTecnici!$O1409,",","."),0))),4)&amp;""),",",".")&amp;CHAR(125)&amp;IF(TRUE,",",""))</f>
        <v/>
      </c>
    </row>
    <row r="1511">
      <c r="A1511" s="82">
        <f>IF(CriteriTecnici!$A1410="","","    "&amp;CHAR(123)&amp;CHAR(34)&amp;"bidderId"&amp;CHAR(34)&amp;": "&amp;CHAR(34)&amp;SUBSTITUTE(CriteriTecnici!$A1410,CHAR(34),"'")&amp;CHAR(34)&amp;", "&amp;CHAR(34)&amp;"lotId"&amp;CHAR(34)&amp;": "&amp;CHAR(34)&amp;SUBSTITUTE(CriteriTecnici!$C1410,CHAR(34),"'")&amp;CHAR(34)&amp;", "&amp;CHAR(34)&amp;"criterionId"&amp;CHAR(34)&amp;": "&amp;CHAR(34)&amp;SUBSTITUTE(CriteriTecnici!$D1410,CHAR(34),"'")&amp;CHAR(34)&amp;", "&amp;CHAR(34)&amp;"kind"&amp;CHAR(34)&amp;": "&amp;CHAR(34)&amp;SUBSTITUTE(CriteriTecnici!$F1410,CHAR(34),"'")&amp;CHAR(34)&amp;", "&amp;CHAR(34)&amp;"value"&amp;CHAR(34)&amp;": "&amp;SUBSTITUTE(TRIM(ROUND(IFERROR(CriteriTecnici!$N1410*1,IFERROR(NUMBERVALUE(CriteriTecnici!$N1410,".",","),IFERROR(NUMBERVALUE(CriteriTecnici!$N1410,",","."),0))),4)&amp;""),",",".")&amp;", "&amp;CHAR(34)&amp;"numerator"&amp;CHAR(34)&amp;": "&amp;SUBSTITUTE(TRIM(ROUND(IFERROR(CriteriTecnici!$K1410*1,IFERROR(NUMBERVALUE(CriteriTecnici!$K1410,".",","),IFERROR(NUMBERVALUE(CriteriTecnici!$K1410,",","."),0))),4)&amp;""),",",".")&amp;", "&amp;CHAR(34)&amp;"denominator"&amp;CHAR(34)&amp;": "&amp;SUBSTITUTE(TRIM(ROUND(IFERROR(CriteriTecnici!$L1410*1,IFERROR(NUMBERVALUE(CriteriTecnici!$L1410,".",","),IFERROR(NUMBERVALUE(CriteriTecnici!$L1410,",","."),0))),4)&amp;""),",",".")&amp;", "&amp;CHAR(34)&amp;"flag"&amp;CHAR(34)&amp;": "&amp;SUBSTITUTE(TRIM(ROUND(IFERROR(CriteriTecnici!$M1410*1,IFERROR(NUMBERVALUE(CriteriTecnici!$M1410,".",","),IFERROR(NUMBERVALUE(CriteriTecnici!$M1410,",","."),0))),4)&amp;""),",",".")&amp;", "&amp;CHAR(34)&amp;"rawScore"&amp;CHAR(34)&amp;": "&amp;SUBSTITUTE(TRIM(ROUND(IFERROR(CriteriTecnici!$O1410*1,IFERROR(NUMBERVALUE(CriteriTecnici!$O1410,".",","),IFERROR(NUMBERVALUE(CriteriTecnici!$O1410,",","."),0))),4)&amp;""),",",".")&amp;CHAR(125)&amp;IF(TRUE,",",""))</f>
        <v/>
      </c>
    </row>
    <row r="1512">
      <c r="A1512" s="82">
        <f>IF(CriteriTecnici!$A1411="","","    "&amp;CHAR(123)&amp;CHAR(34)&amp;"bidderId"&amp;CHAR(34)&amp;": "&amp;CHAR(34)&amp;SUBSTITUTE(CriteriTecnici!$A1411,CHAR(34),"'")&amp;CHAR(34)&amp;", "&amp;CHAR(34)&amp;"lotId"&amp;CHAR(34)&amp;": "&amp;CHAR(34)&amp;SUBSTITUTE(CriteriTecnici!$C1411,CHAR(34),"'")&amp;CHAR(34)&amp;", "&amp;CHAR(34)&amp;"criterionId"&amp;CHAR(34)&amp;": "&amp;CHAR(34)&amp;SUBSTITUTE(CriteriTecnici!$D1411,CHAR(34),"'")&amp;CHAR(34)&amp;", "&amp;CHAR(34)&amp;"kind"&amp;CHAR(34)&amp;": "&amp;CHAR(34)&amp;SUBSTITUTE(CriteriTecnici!$F1411,CHAR(34),"'")&amp;CHAR(34)&amp;", "&amp;CHAR(34)&amp;"value"&amp;CHAR(34)&amp;": "&amp;SUBSTITUTE(TRIM(ROUND(IFERROR(CriteriTecnici!$N1411*1,IFERROR(NUMBERVALUE(CriteriTecnici!$N1411,".",","),IFERROR(NUMBERVALUE(CriteriTecnici!$N1411,",","."),0))),4)&amp;""),",",".")&amp;", "&amp;CHAR(34)&amp;"numerator"&amp;CHAR(34)&amp;": "&amp;SUBSTITUTE(TRIM(ROUND(IFERROR(CriteriTecnici!$K1411*1,IFERROR(NUMBERVALUE(CriteriTecnici!$K1411,".",","),IFERROR(NUMBERVALUE(CriteriTecnici!$K1411,",","."),0))),4)&amp;""),",",".")&amp;", "&amp;CHAR(34)&amp;"denominator"&amp;CHAR(34)&amp;": "&amp;SUBSTITUTE(TRIM(ROUND(IFERROR(CriteriTecnici!$L1411*1,IFERROR(NUMBERVALUE(CriteriTecnici!$L1411,".",","),IFERROR(NUMBERVALUE(CriteriTecnici!$L1411,",","."),0))),4)&amp;""),",",".")&amp;", "&amp;CHAR(34)&amp;"flag"&amp;CHAR(34)&amp;": "&amp;SUBSTITUTE(TRIM(ROUND(IFERROR(CriteriTecnici!$M1411*1,IFERROR(NUMBERVALUE(CriteriTecnici!$M1411,".",","),IFERROR(NUMBERVALUE(CriteriTecnici!$M1411,",","."),0))),4)&amp;""),",",".")&amp;", "&amp;CHAR(34)&amp;"rawScore"&amp;CHAR(34)&amp;": "&amp;SUBSTITUTE(TRIM(ROUND(IFERROR(CriteriTecnici!$O1411*1,IFERROR(NUMBERVALUE(CriteriTecnici!$O1411,".",","),IFERROR(NUMBERVALUE(CriteriTecnici!$O1411,",","."),0))),4)&amp;""),",",".")&amp;CHAR(125)&amp;IF(TRUE,",",""))</f>
        <v/>
      </c>
    </row>
    <row r="1513">
      <c r="A1513" s="82">
        <f>IF(CriteriTecnici!$A1412="","","    "&amp;CHAR(123)&amp;CHAR(34)&amp;"bidderId"&amp;CHAR(34)&amp;": "&amp;CHAR(34)&amp;SUBSTITUTE(CriteriTecnici!$A1412,CHAR(34),"'")&amp;CHAR(34)&amp;", "&amp;CHAR(34)&amp;"lotId"&amp;CHAR(34)&amp;": "&amp;CHAR(34)&amp;SUBSTITUTE(CriteriTecnici!$C1412,CHAR(34),"'")&amp;CHAR(34)&amp;", "&amp;CHAR(34)&amp;"criterionId"&amp;CHAR(34)&amp;": "&amp;CHAR(34)&amp;SUBSTITUTE(CriteriTecnici!$D1412,CHAR(34),"'")&amp;CHAR(34)&amp;", "&amp;CHAR(34)&amp;"kind"&amp;CHAR(34)&amp;": "&amp;CHAR(34)&amp;SUBSTITUTE(CriteriTecnici!$F1412,CHAR(34),"'")&amp;CHAR(34)&amp;", "&amp;CHAR(34)&amp;"value"&amp;CHAR(34)&amp;": "&amp;SUBSTITUTE(TRIM(ROUND(IFERROR(CriteriTecnici!$N1412*1,IFERROR(NUMBERVALUE(CriteriTecnici!$N1412,".",","),IFERROR(NUMBERVALUE(CriteriTecnici!$N1412,",","."),0))),4)&amp;""),",",".")&amp;", "&amp;CHAR(34)&amp;"numerator"&amp;CHAR(34)&amp;": "&amp;SUBSTITUTE(TRIM(ROUND(IFERROR(CriteriTecnici!$K1412*1,IFERROR(NUMBERVALUE(CriteriTecnici!$K1412,".",","),IFERROR(NUMBERVALUE(CriteriTecnici!$K1412,",","."),0))),4)&amp;""),",",".")&amp;", "&amp;CHAR(34)&amp;"denominator"&amp;CHAR(34)&amp;": "&amp;SUBSTITUTE(TRIM(ROUND(IFERROR(CriteriTecnici!$L1412*1,IFERROR(NUMBERVALUE(CriteriTecnici!$L1412,".",","),IFERROR(NUMBERVALUE(CriteriTecnici!$L1412,",","."),0))),4)&amp;""),",",".")&amp;", "&amp;CHAR(34)&amp;"flag"&amp;CHAR(34)&amp;": "&amp;SUBSTITUTE(TRIM(ROUND(IFERROR(CriteriTecnici!$M1412*1,IFERROR(NUMBERVALUE(CriteriTecnici!$M1412,".",","),IFERROR(NUMBERVALUE(CriteriTecnici!$M1412,",","."),0))),4)&amp;""),",",".")&amp;", "&amp;CHAR(34)&amp;"rawScore"&amp;CHAR(34)&amp;": "&amp;SUBSTITUTE(TRIM(ROUND(IFERROR(CriteriTecnici!$O1412*1,IFERROR(NUMBERVALUE(CriteriTecnici!$O1412,".",","),IFERROR(NUMBERVALUE(CriteriTecnici!$O1412,",","."),0))),4)&amp;""),",",".")&amp;CHAR(125)&amp;IF(TRUE,",",""))</f>
        <v/>
      </c>
    </row>
    <row r="1514">
      <c r="A1514" s="82">
        <f>IF(CriteriTecnici!$A1413="","","    "&amp;CHAR(123)&amp;CHAR(34)&amp;"bidderId"&amp;CHAR(34)&amp;": "&amp;CHAR(34)&amp;SUBSTITUTE(CriteriTecnici!$A1413,CHAR(34),"'")&amp;CHAR(34)&amp;", "&amp;CHAR(34)&amp;"lotId"&amp;CHAR(34)&amp;": "&amp;CHAR(34)&amp;SUBSTITUTE(CriteriTecnici!$C1413,CHAR(34),"'")&amp;CHAR(34)&amp;", "&amp;CHAR(34)&amp;"criterionId"&amp;CHAR(34)&amp;": "&amp;CHAR(34)&amp;SUBSTITUTE(CriteriTecnici!$D1413,CHAR(34),"'")&amp;CHAR(34)&amp;", "&amp;CHAR(34)&amp;"kind"&amp;CHAR(34)&amp;": "&amp;CHAR(34)&amp;SUBSTITUTE(CriteriTecnici!$F1413,CHAR(34),"'")&amp;CHAR(34)&amp;", "&amp;CHAR(34)&amp;"value"&amp;CHAR(34)&amp;": "&amp;SUBSTITUTE(TRIM(ROUND(IFERROR(CriteriTecnici!$N1413*1,IFERROR(NUMBERVALUE(CriteriTecnici!$N1413,".",","),IFERROR(NUMBERVALUE(CriteriTecnici!$N1413,",","."),0))),4)&amp;""),",",".")&amp;", "&amp;CHAR(34)&amp;"numerator"&amp;CHAR(34)&amp;": "&amp;SUBSTITUTE(TRIM(ROUND(IFERROR(CriteriTecnici!$K1413*1,IFERROR(NUMBERVALUE(CriteriTecnici!$K1413,".",","),IFERROR(NUMBERVALUE(CriteriTecnici!$K1413,",","."),0))),4)&amp;""),",",".")&amp;", "&amp;CHAR(34)&amp;"denominator"&amp;CHAR(34)&amp;": "&amp;SUBSTITUTE(TRIM(ROUND(IFERROR(CriteriTecnici!$L1413*1,IFERROR(NUMBERVALUE(CriteriTecnici!$L1413,".",","),IFERROR(NUMBERVALUE(CriteriTecnici!$L1413,",","."),0))),4)&amp;""),",",".")&amp;", "&amp;CHAR(34)&amp;"flag"&amp;CHAR(34)&amp;": "&amp;SUBSTITUTE(TRIM(ROUND(IFERROR(CriteriTecnici!$M1413*1,IFERROR(NUMBERVALUE(CriteriTecnici!$M1413,".",","),IFERROR(NUMBERVALUE(CriteriTecnici!$M1413,",","."),0))),4)&amp;""),",",".")&amp;", "&amp;CHAR(34)&amp;"rawScore"&amp;CHAR(34)&amp;": "&amp;SUBSTITUTE(TRIM(ROUND(IFERROR(CriteriTecnici!$O1413*1,IFERROR(NUMBERVALUE(CriteriTecnici!$O1413,".",","),IFERROR(NUMBERVALUE(CriteriTecnici!$O1413,",","."),0))),4)&amp;""),",",".")&amp;CHAR(125)&amp;IF(TRUE,",",""))</f>
        <v/>
      </c>
    </row>
    <row r="1515">
      <c r="A1515" s="82">
        <f>IF(CriteriTecnici!$A1414="","","    "&amp;CHAR(123)&amp;CHAR(34)&amp;"bidderId"&amp;CHAR(34)&amp;": "&amp;CHAR(34)&amp;SUBSTITUTE(CriteriTecnici!$A1414,CHAR(34),"'")&amp;CHAR(34)&amp;", "&amp;CHAR(34)&amp;"lotId"&amp;CHAR(34)&amp;": "&amp;CHAR(34)&amp;SUBSTITUTE(CriteriTecnici!$C1414,CHAR(34),"'")&amp;CHAR(34)&amp;", "&amp;CHAR(34)&amp;"criterionId"&amp;CHAR(34)&amp;": "&amp;CHAR(34)&amp;SUBSTITUTE(CriteriTecnici!$D1414,CHAR(34),"'")&amp;CHAR(34)&amp;", "&amp;CHAR(34)&amp;"kind"&amp;CHAR(34)&amp;": "&amp;CHAR(34)&amp;SUBSTITUTE(CriteriTecnici!$F1414,CHAR(34),"'")&amp;CHAR(34)&amp;", "&amp;CHAR(34)&amp;"value"&amp;CHAR(34)&amp;": "&amp;SUBSTITUTE(TRIM(ROUND(IFERROR(CriteriTecnici!$N1414*1,IFERROR(NUMBERVALUE(CriteriTecnici!$N1414,".",","),IFERROR(NUMBERVALUE(CriteriTecnici!$N1414,",","."),0))),4)&amp;""),",",".")&amp;", "&amp;CHAR(34)&amp;"numerator"&amp;CHAR(34)&amp;": "&amp;SUBSTITUTE(TRIM(ROUND(IFERROR(CriteriTecnici!$K1414*1,IFERROR(NUMBERVALUE(CriteriTecnici!$K1414,".",","),IFERROR(NUMBERVALUE(CriteriTecnici!$K1414,",","."),0))),4)&amp;""),",",".")&amp;", "&amp;CHAR(34)&amp;"denominator"&amp;CHAR(34)&amp;": "&amp;SUBSTITUTE(TRIM(ROUND(IFERROR(CriteriTecnici!$L1414*1,IFERROR(NUMBERVALUE(CriteriTecnici!$L1414,".",","),IFERROR(NUMBERVALUE(CriteriTecnici!$L1414,",","."),0))),4)&amp;""),",",".")&amp;", "&amp;CHAR(34)&amp;"flag"&amp;CHAR(34)&amp;": "&amp;SUBSTITUTE(TRIM(ROUND(IFERROR(CriteriTecnici!$M1414*1,IFERROR(NUMBERVALUE(CriteriTecnici!$M1414,".",","),IFERROR(NUMBERVALUE(CriteriTecnici!$M1414,",","."),0))),4)&amp;""),",",".")&amp;", "&amp;CHAR(34)&amp;"rawScore"&amp;CHAR(34)&amp;": "&amp;SUBSTITUTE(TRIM(ROUND(IFERROR(CriteriTecnici!$O1414*1,IFERROR(NUMBERVALUE(CriteriTecnici!$O1414,".",","),IFERROR(NUMBERVALUE(CriteriTecnici!$O1414,",","."),0))),4)&amp;""),",",".")&amp;CHAR(125)&amp;IF(TRUE,",",""))</f>
        <v/>
      </c>
    </row>
    <row r="1516">
      <c r="A1516" s="82">
        <f>IF(CriteriTecnici!$A1415="","","    "&amp;CHAR(123)&amp;CHAR(34)&amp;"bidderId"&amp;CHAR(34)&amp;": "&amp;CHAR(34)&amp;SUBSTITUTE(CriteriTecnici!$A1415,CHAR(34),"'")&amp;CHAR(34)&amp;", "&amp;CHAR(34)&amp;"lotId"&amp;CHAR(34)&amp;": "&amp;CHAR(34)&amp;SUBSTITUTE(CriteriTecnici!$C1415,CHAR(34),"'")&amp;CHAR(34)&amp;", "&amp;CHAR(34)&amp;"criterionId"&amp;CHAR(34)&amp;": "&amp;CHAR(34)&amp;SUBSTITUTE(CriteriTecnici!$D1415,CHAR(34),"'")&amp;CHAR(34)&amp;", "&amp;CHAR(34)&amp;"kind"&amp;CHAR(34)&amp;": "&amp;CHAR(34)&amp;SUBSTITUTE(CriteriTecnici!$F1415,CHAR(34),"'")&amp;CHAR(34)&amp;", "&amp;CHAR(34)&amp;"value"&amp;CHAR(34)&amp;": "&amp;SUBSTITUTE(TRIM(ROUND(IFERROR(CriteriTecnici!$N1415*1,IFERROR(NUMBERVALUE(CriteriTecnici!$N1415,".",","),IFERROR(NUMBERVALUE(CriteriTecnici!$N1415,",","."),0))),4)&amp;""),",",".")&amp;", "&amp;CHAR(34)&amp;"numerator"&amp;CHAR(34)&amp;": "&amp;SUBSTITUTE(TRIM(ROUND(IFERROR(CriteriTecnici!$K1415*1,IFERROR(NUMBERVALUE(CriteriTecnici!$K1415,".",","),IFERROR(NUMBERVALUE(CriteriTecnici!$K1415,",","."),0))),4)&amp;""),",",".")&amp;", "&amp;CHAR(34)&amp;"denominator"&amp;CHAR(34)&amp;": "&amp;SUBSTITUTE(TRIM(ROUND(IFERROR(CriteriTecnici!$L1415*1,IFERROR(NUMBERVALUE(CriteriTecnici!$L1415,".",","),IFERROR(NUMBERVALUE(CriteriTecnici!$L1415,",","."),0))),4)&amp;""),",",".")&amp;", "&amp;CHAR(34)&amp;"flag"&amp;CHAR(34)&amp;": "&amp;SUBSTITUTE(TRIM(ROUND(IFERROR(CriteriTecnici!$M1415*1,IFERROR(NUMBERVALUE(CriteriTecnici!$M1415,".",","),IFERROR(NUMBERVALUE(CriteriTecnici!$M1415,",","."),0))),4)&amp;""),",",".")&amp;", "&amp;CHAR(34)&amp;"rawScore"&amp;CHAR(34)&amp;": "&amp;SUBSTITUTE(TRIM(ROUND(IFERROR(CriteriTecnici!$O1415*1,IFERROR(NUMBERVALUE(CriteriTecnici!$O1415,".",","),IFERROR(NUMBERVALUE(CriteriTecnici!$O1415,",","."),0))),4)&amp;""),",",".")&amp;CHAR(125)&amp;IF(TRUE,",",""))</f>
        <v/>
      </c>
    </row>
    <row r="1517">
      <c r="A1517" s="82">
        <f>IF(CriteriTecnici!$A1416="","","    "&amp;CHAR(123)&amp;CHAR(34)&amp;"bidderId"&amp;CHAR(34)&amp;": "&amp;CHAR(34)&amp;SUBSTITUTE(CriteriTecnici!$A1416,CHAR(34),"'")&amp;CHAR(34)&amp;", "&amp;CHAR(34)&amp;"lotId"&amp;CHAR(34)&amp;": "&amp;CHAR(34)&amp;SUBSTITUTE(CriteriTecnici!$C1416,CHAR(34),"'")&amp;CHAR(34)&amp;", "&amp;CHAR(34)&amp;"criterionId"&amp;CHAR(34)&amp;": "&amp;CHAR(34)&amp;SUBSTITUTE(CriteriTecnici!$D1416,CHAR(34),"'")&amp;CHAR(34)&amp;", "&amp;CHAR(34)&amp;"kind"&amp;CHAR(34)&amp;": "&amp;CHAR(34)&amp;SUBSTITUTE(CriteriTecnici!$F1416,CHAR(34),"'")&amp;CHAR(34)&amp;", "&amp;CHAR(34)&amp;"value"&amp;CHAR(34)&amp;": "&amp;SUBSTITUTE(TRIM(ROUND(IFERROR(CriteriTecnici!$N1416*1,IFERROR(NUMBERVALUE(CriteriTecnici!$N1416,".",","),IFERROR(NUMBERVALUE(CriteriTecnici!$N1416,",","."),0))),4)&amp;""),",",".")&amp;", "&amp;CHAR(34)&amp;"numerator"&amp;CHAR(34)&amp;": "&amp;SUBSTITUTE(TRIM(ROUND(IFERROR(CriteriTecnici!$K1416*1,IFERROR(NUMBERVALUE(CriteriTecnici!$K1416,".",","),IFERROR(NUMBERVALUE(CriteriTecnici!$K1416,",","."),0))),4)&amp;""),",",".")&amp;", "&amp;CHAR(34)&amp;"denominator"&amp;CHAR(34)&amp;": "&amp;SUBSTITUTE(TRIM(ROUND(IFERROR(CriteriTecnici!$L1416*1,IFERROR(NUMBERVALUE(CriteriTecnici!$L1416,".",","),IFERROR(NUMBERVALUE(CriteriTecnici!$L1416,",","."),0))),4)&amp;""),",",".")&amp;", "&amp;CHAR(34)&amp;"flag"&amp;CHAR(34)&amp;": "&amp;SUBSTITUTE(TRIM(ROUND(IFERROR(CriteriTecnici!$M1416*1,IFERROR(NUMBERVALUE(CriteriTecnici!$M1416,".",","),IFERROR(NUMBERVALUE(CriteriTecnici!$M1416,",","."),0))),4)&amp;""),",",".")&amp;", "&amp;CHAR(34)&amp;"rawScore"&amp;CHAR(34)&amp;": "&amp;SUBSTITUTE(TRIM(ROUND(IFERROR(CriteriTecnici!$O1416*1,IFERROR(NUMBERVALUE(CriteriTecnici!$O1416,".",","),IFERROR(NUMBERVALUE(CriteriTecnici!$O1416,",","."),0))),4)&amp;""),",",".")&amp;CHAR(125)&amp;IF(TRUE,",",""))</f>
        <v/>
      </c>
    </row>
    <row r="1518">
      <c r="A1518" s="82">
        <f>IF(CriteriTecnici!$A1417="","","    "&amp;CHAR(123)&amp;CHAR(34)&amp;"bidderId"&amp;CHAR(34)&amp;": "&amp;CHAR(34)&amp;SUBSTITUTE(CriteriTecnici!$A1417,CHAR(34),"'")&amp;CHAR(34)&amp;", "&amp;CHAR(34)&amp;"lotId"&amp;CHAR(34)&amp;": "&amp;CHAR(34)&amp;SUBSTITUTE(CriteriTecnici!$C1417,CHAR(34),"'")&amp;CHAR(34)&amp;", "&amp;CHAR(34)&amp;"criterionId"&amp;CHAR(34)&amp;": "&amp;CHAR(34)&amp;SUBSTITUTE(CriteriTecnici!$D1417,CHAR(34),"'")&amp;CHAR(34)&amp;", "&amp;CHAR(34)&amp;"kind"&amp;CHAR(34)&amp;": "&amp;CHAR(34)&amp;SUBSTITUTE(CriteriTecnici!$F1417,CHAR(34),"'")&amp;CHAR(34)&amp;", "&amp;CHAR(34)&amp;"value"&amp;CHAR(34)&amp;": "&amp;SUBSTITUTE(TRIM(ROUND(IFERROR(CriteriTecnici!$N1417*1,IFERROR(NUMBERVALUE(CriteriTecnici!$N1417,".",","),IFERROR(NUMBERVALUE(CriteriTecnici!$N1417,",","."),0))),4)&amp;""),",",".")&amp;", "&amp;CHAR(34)&amp;"numerator"&amp;CHAR(34)&amp;": "&amp;SUBSTITUTE(TRIM(ROUND(IFERROR(CriteriTecnici!$K1417*1,IFERROR(NUMBERVALUE(CriteriTecnici!$K1417,".",","),IFERROR(NUMBERVALUE(CriteriTecnici!$K1417,",","."),0))),4)&amp;""),",",".")&amp;", "&amp;CHAR(34)&amp;"denominator"&amp;CHAR(34)&amp;": "&amp;SUBSTITUTE(TRIM(ROUND(IFERROR(CriteriTecnici!$L1417*1,IFERROR(NUMBERVALUE(CriteriTecnici!$L1417,".",","),IFERROR(NUMBERVALUE(CriteriTecnici!$L1417,",","."),0))),4)&amp;""),",",".")&amp;", "&amp;CHAR(34)&amp;"flag"&amp;CHAR(34)&amp;": "&amp;SUBSTITUTE(TRIM(ROUND(IFERROR(CriteriTecnici!$M1417*1,IFERROR(NUMBERVALUE(CriteriTecnici!$M1417,".",","),IFERROR(NUMBERVALUE(CriteriTecnici!$M1417,",","."),0))),4)&amp;""),",",".")&amp;", "&amp;CHAR(34)&amp;"rawScore"&amp;CHAR(34)&amp;": "&amp;SUBSTITUTE(TRIM(ROUND(IFERROR(CriteriTecnici!$O1417*1,IFERROR(NUMBERVALUE(CriteriTecnici!$O1417,".",","),IFERROR(NUMBERVALUE(CriteriTecnici!$O1417,",","."),0))),4)&amp;""),",",".")&amp;CHAR(125)&amp;IF(TRUE,",",""))</f>
        <v/>
      </c>
    </row>
    <row r="1519">
      <c r="A1519" s="82">
        <f>IF(CriteriTecnici!$A1418="","","    "&amp;CHAR(123)&amp;CHAR(34)&amp;"bidderId"&amp;CHAR(34)&amp;": "&amp;CHAR(34)&amp;SUBSTITUTE(CriteriTecnici!$A1418,CHAR(34),"'")&amp;CHAR(34)&amp;", "&amp;CHAR(34)&amp;"lotId"&amp;CHAR(34)&amp;": "&amp;CHAR(34)&amp;SUBSTITUTE(CriteriTecnici!$C1418,CHAR(34),"'")&amp;CHAR(34)&amp;", "&amp;CHAR(34)&amp;"criterionId"&amp;CHAR(34)&amp;": "&amp;CHAR(34)&amp;SUBSTITUTE(CriteriTecnici!$D1418,CHAR(34),"'")&amp;CHAR(34)&amp;", "&amp;CHAR(34)&amp;"kind"&amp;CHAR(34)&amp;": "&amp;CHAR(34)&amp;SUBSTITUTE(CriteriTecnici!$F1418,CHAR(34),"'")&amp;CHAR(34)&amp;", "&amp;CHAR(34)&amp;"value"&amp;CHAR(34)&amp;": "&amp;SUBSTITUTE(TRIM(ROUND(IFERROR(CriteriTecnici!$N1418*1,IFERROR(NUMBERVALUE(CriteriTecnici!$N1418,".",","),IFERROR(NUMBERVALUE(CriteriTecnici!$N1418,",","."),0))),4)&amp;""),",",".")&amp;", "&amp;CHAR(34)&amp;"numerator"&amp;CHAR(34)&amp;": "&amp;SUBSTITUTE(TRIM(ROUND(IFERROR(CriteriTecnici!$K1418*1,IFERROR(NUMBERVALUE(CriteriTecnici!$K1418,".",","),IFERROR(NUMBERVALUE(CriteriTecnici!$K1418,",","."),0))),4)&amp;""),",",".")&amp;", "&amp;CHAR(34)&amp;"denominator"&amp;CHAR(34)&amp;": "&amp;SUBSTITUTE(TRIM(ROUND(IFERROR(CriteriTecnici!$L1418*1,IFERROR(NUMBERVALUE(CriteriTecnici!$L1418,".",","),IFERROR(NUMBERVALUE(CriteriTecnici!$L1418,",","."),0))),4)&amp;""),",",".")&amp;", "&amp;CHAR(34)&amp;"flag"&amp;CHAR(34)&amp;": "&amp;SUBSTITUTE(TRIM(ROUND(IFERROR(CriteriTecnici!$M1418*1,IFERROR(NUMBERVALUE(CriteriTecnici!$M1418,".",","),IFERROR(NUMBERVALUE(CriteriTecnici!$M1418,",","."),0))),4)&amp;""),",",".")&amp;", "&amp;CHAR(34)&amp;"rawScore"&amp;CHAR(34)&amp;": "&amp;SUBSTITUTE(TRIM(ROUND(IFERROR(CriteriTecnici!$O1418*1,IFERROR(NUMBERVALUE(CriteriTecnici!$O1418,".",","),IFERROR(NUMBERVALUE(CriteriTecnici!$O1418,",","."),0))),4)&amp;""),",",".")&amp;CHAR(125)&amp;IF(TRUE,",",""))</f>
        <v/>
      </c>
    </row>
    <row r="1520">
      <c r="A1520" s="82">
        <f>IF(CriteriTecnici!$A1419="","","    "&amp;CHAR(123)&amp;CHAR(34)&amp;"bidderId"&amp;CHAR(34)&amp;": "&amp;CHAR(34)&amp;SUBSTITUTE(CriteriTecnici!$A1419,CHAR(34),"'")&amp;CHAR(34)&amp;", "&amp;CHAR(34)&amp;"lotId"&amp;CHAR(34)&amp;": "&amp;CHAR(34)&amp;SUBSTITUTE(CriteriTecnici!$C1419,CHAR(34),"'")&amp;CHAR(34)&amp;", "&amp;CHAR(34)&amp;"criterionId"&amp;CHAR(34)&amp;": "&amp;CHAR(34)&amp;SUBSTITUTE(CriteriTecnici!$D1419,CHAR(34),"'")&amp;CHAR(34)&amp;", "&amp;CHAR(34)&amp;"kind"&amp;CHAR(34)&amp;": "&amp;CHAR(34)&amp;SUBSTITUTE(CriteriTecnici!$F1419,CHAR(34),"'")&amp;CHAR(34)&amp;", "&amp;CHAR(34)&amp;"value"&amp;CHAR(34)&amp;": "&amp;SUBSTITUTE(TRIM(ROUND(IFERROR(CriteriTecnici!$N1419*1,IFERROR(NUMBERVALUE(CriteriTecnici!$N1419,".",","),IFERROR(NUMBERVALUE(CriteriTecnici!$N1419,",","."),0))),4)&amp;""),",",".")&amp;", "&amp;CHAR(34)&amp;"numerator"&amp;CHAR(34)&amp;": "&amp;SUBSTITUTE(TRIM(ROUND(IFERROR(CriteriTecnici!$K1419*1,IFERROR(NUMBERVALUE(CriteriTecnici!$K1419,".",","),IFERROR(NUMBERVALUE(CriteriTecnici!$K1419,",","."),0))),4)&amp;""),",",".")&amp;", "&amp;CHAR(34)&amp;"denominator"&amp;CHAR(34)&amp;": "&amp;SUBSTITUTE(TRIM(ROUND(IFERROR(CriteriTecnici!$L1419*1,IFERROR(NUMBERVALUE(CriteriTecnici!$L1419,".",","),IFERROR(NUMBERVALUE(CriteriTecnici!$L1419,",","."),0))),4)&amp;""),",",".")&amp;", "&amp;CHAR(34)&amp;"flag"&amp;CHAR(34)&amp;": "&amp;SUBSTITUTE(TRIM(ROUND(IFERROR(CriteriTecnici!$M1419*1,IFERROR(NUMBERVALUE(CriteriTecnici!$M1419,".",","),IFERROR(NUMBERVALUE(CriteriTecnici!$M1419,",","."),0))),4)&amp;""),",",".")&amp;", "&amp;CHAR(34)&amp;"rawScore"&amp;CHAR(34)&amp;": "&amp;SUBSTITUTE(TRIM(ROUND(IFERROR(CriteriTecnici!$O1419*1,IFERROR(NUMBERVALUE(CriteriTecnici!$O1419,".",","),IFERROR(NUMBERVALUE(CriteriTecnici!$O1419,",","."),0))),4)&amp;""),",",".")&amp;CHAR(125)&amp;IF(TRUE,",",""))</f>
        <v/>
      </c>
    </row>
    <row r="1521">
      <c r="A1521" s="82">
        <f>IF(CriteriTecnici!$A1420="","","    "&amp;CHAR(123)&amp;CHAR(34)&amp;"bidderId"&amp;CHAR(34)&amp;": "&amp;CHAR(34)&amp;SUBSTITUTE(CriteriTecnici!$A1420,CHAR(34),"'")&amp;CHAR(34)&amp;", "&amp;CHAR(34)&amp;"lotId"&amp;CHAR(34)&amp;": "&amp;CHAR(34)&amp;SUBSTITUTE(CriteriTecnici!$C1420,CHAR(34),"'")&amp;CHAR(34)&amp;", "&amp;CHAR(34)&amp;"criterionId"&amp;CHAR(34)&amp;": "&amp;CHAR(34)&amp;SUBSTITUTE(CriteriTecnici!$D1420,CHAR(34),"'")&amp;CHAR(34)&amp;", "&amp;CHAR(34)&amp;"kind"&amp;CHAR(34)&amp;": "&amp;CHAR(34)&amp;SUBSTITUTE(CriteriTecnici!$F1420,CHAR(34),"'")&amp;CHAR(34)&amp;", "&amp;CHAR(34)&amp;"value"&amp;CHAR(34)&amp;": "&amp;SUBSTITUTE(TRIM(ROUND(IFERROR(CriteriTecnici!$N1420*1,IFERROR(NUMBERVALUE(CriteriTecnici!$N1420,".",","),IFERROR(NUMBERVALUE(CriteriTecnici!$N1420,",","."),0))),4)&amp;""),",",".")&amp;", "&amp;CHAR(34)&amp;"numerator"&amp;CHAR(34)&amp;": "&amp;SUBSTITUTE(TRIM(ROUND(IFERROR(CriteriTecnici!$K1420*1,IFERROR(NUMBERVALUE(CriteriTecnici!$K1420,".",","),IFERROR(NUMBERVALUE(CriteriTecnici!$K1420,",","."),0))),4)&amp;""),",",".")&amp;", "&amp;CHAR(34)&amp;"denominator"&amp;CHAR(34)&amp;": "&amp;SUBSTITUTE(TRIM(ROUND(IFERROR(CriteriTecnici!$L1420*1,IFERROR(NUMBERVALUE(CriteriTecnici!$L1420,".",","),IFERROR(NUMBERVALUE(CriteriTecnici!$L1420,",","."),0))),4)&amp;""),",",".")&amp;", "&amp;CHAR(34)&amp;"flag"&amp;CHAR(34)&amp;": "&amp;SUBSTITUTE(TRIM(ROUND(IFERROR(CriteriTecnici!$M1420*1,IFERROR(NUMBERVALUE(CriteriTecnici!$M1420,".",","),IFERROR(NUMBERVALUE(CriteriTecnici!$M1420,",","."),0))),4)&amp;""),",",".")&amp;", "&amp;CHAR(34)&amp;"rawScore"&amp;CHAR(34)&amp;": "&amp;SUBSTITUTE(TRIM(ROUND(IFERROR(CriteriTecnici!$O1420*1,IFERROR(NUMBERVALUE(CriteriTecnici!$O1420,".",","),IFERROR(NUMBERVALUE(CriteriTecnici!$O1420,",","."),0))),4)&amp;""),",",".")&amp;CHAR(125)&amp;IF(TRUE,",",""))</f>
        <v/>
      </c>
    </row>
    <row r="1522">
      <c r="A1522" s="82">
        <f>IF(CriteriTecnici!$A1421="","","    "&amp;CHAR(123)&amp;CHAR(34)&amp;"bidderId"&amp;CHAR(34)&amp;": "&amp;CHAR(34)&amp;SUBSTITUTE(CriteriTecnici!$A1421,CHAR(34),"'")&amp;CHAR(34)&amp;", "&amp;CHAR(34)&amp;"lotId"&amp;CHAR(34)&amp;": "&amp;CHAR(34)&amp;SUBSTITUTE(CriteriTecnici!$C1421,CHAR(34),"'")&amp;CHAR(34)&amp;", "&amp;CHAR(34)&amp;"criterionId"&amp;CHAR(34)&amp;": "&amp;CHAR(34)&amp;SUBSTITUTE(CriteriTecnici!$D1421,CHAR(34),"'")&amp;CHAR(34)&amp;", "&amp;CHAR(34)&amp;"kind"&amp;CHAR(34)&amp;": "&amp;CHAR(34)&amp;SUBSTITUTE(CriteriTecnici!$F1421,CHAR(34),"'")&amp;CHAR(34)&amp;", "&amp;CHAR(34)&amp;"value"&amp;CHAR(34)&amp;": "&amp;SUBSTITUTE(TRIM(ROUND(IFERROR(CriteriTecnici!$N1421*1,IFERROR(NUMBERVALUE(CriteriTecnici!$N1421,".",","),IFERROR(NUMBERVALUE(CriteriTecnici!$N1421,",","."),0))),4)&amp;""),",",".")&amp;", "&amp;CHAR(34)&amp;"numerator"&amp;CHAR(34)&amp;": "&amp;SUBSTITUTE(TRIM(ROUND(IFERROR(CriteriTecnici!$K1421*1,IFERROR(NUMBERVALUE(CriteriTecnici!$K1421,".",","),IFERROR(NUMBERVALUE(CriteriTecnici!$K1421,",","."),0))),4)&amp;""),",",".")&amp;", "&amp;CHAR(34)&amp;"denominator"&amp;CHAR(34)&amp;": "&amp;SUBSTITUTE(TRIM(ROUND(IFERROR(CriteriTecnici!$L1421*1,IFERROR(NUMBERVALUE(CriteriTecnici!$L1421,".",","),IFERROR(NUMBERVALUE(CriteriTecnici!$L1421,",","."),0))),4)&amp;""),",",".")&amp;", "&amp;CHAR(34)&amp;"flag"&amp;CHAR(34)&amp;": "&amp;SUBSTITUTE(TRIM(ROUND(IFERROR(CriteriTecnici!$M1421*1,IFERROR(NUMBERVALUE(CriteriTecnici!$M1421,".",","),IFERROR(NUMBERVALUE(CriteriTecnici!$M1421,",","."),0))),4)&amp;""),",",".")&amp;", "&amp;CHAR(34)&amp;"rawScore"&amp;CHAR(34)&amp;": "&amp;SUBSTITUTE(TRIM(ROUND(IFERROR(CriteriTecnici!$O1421*1,IFERROR(NUMBERVALUE(CriteriTecnici!$O1421,".",","),IFERROR(NUMBERVALUE(CriteriTecnici!$O1421,",","."),0))),4)&amp;""),",",".")&amp;CHAR(125)&amp;IF(TRUE,",",""))</f>
        <v/>
      </c>
    </row>
    <row r="1523">
      <c r="A1523" s="82">
        <f>IF(CriteriTecnici!$A1422="","","    "&amp;CHAR(123)&amp;CHAR(34)&amp;"bidderId"&amp;CHAR(34)&amp;": "&amp;CHAR(34)&amp;SUBSTITUTE(CriteriTecnici!$A1422,CHAR(34),"'")&amp;CHAR(34)&amp;", "&amp;CHAR(34)&amp;"lotId"&amp;CHAR(34)&amp;": "&amp;CHAR(34)&amp;SUBSTITUTE(CriteriTecnici!$C1422,CHAR(34),"'")&amp;CHAR(34)&amp;", "&amp;CHAR(34)&amp;"criterionId"&amp;CHAR(34)&amp;": "&amp;CHAR(34)&amp;SUBSTITUTE(CriteriTecnici!$D1422,CHAR(34),"'")&amp;CHAR(34)&amp;", "&amp;CHAR(34)&amp;"kind"&amp;CHAR(34)&amp;": "&amp;CHAR(34)&amp;SUBSTITUTE(CriteriTecnici!$F1422,CHAR(34),"'")&amp;CHAR(34)&amp;", "&amp;CHAR(34)&amp;"value"&amp;CHAR(34)&amp;": "&amp;SUBSTITUTE(TRIM(ROUND(IFERROR(CriteriTecnici!$N1422*1,IFERROR(NUMBERVALUE(CriteriTecnici!$N1422,".",","),IFERROR(NUMBERVALUE(CriteriTecnici!$N1422,",","."),0))),4)&amp;""),",",".")&amp;", "&amp;CHAR(34)&amp;"numerator"&amp;CHAR(34)&amp;": "&amp;SUBSTITUTE(TRIM(ROUND(IFERROR(CriteriTecnici!$K1422*1,IFERROR(NUMBERVALUE(CriteriTecnici!$K1422,".",","),IFERROR(NUMBERVALUE(CriteriTecnici!$K1422,",","."),0))),4)&amp;""),",",".")&amp;", "&amp;CHAR(34)&amp;"denominator"&amp;CHAR(34)&amp;": "&amp;SUBSTITUTE(TRIM(ROUND(IFERROR(CriteriTecnici!$L1422*1,IFERROR(NUMBERVALUE(CriteriTecnici!$L1422,".",","),IFERROR(NUMBERVALUE(CriteriTecnici!$L1422,",","."),0))),4)&amp;""),",",".")&amp;", "&amp;CHAR(34)&amp;"flag"&amp;CHAR(34)&amp;": "&amp;SUBSTITUTE(TRIM(ROUND(IFERROR(CriteriTecnici!$M1422*1,IFERROR(NUMBERVALUE(CriteriTecnici!$M1422,".",","),IFERROR(NUMBERVALUE(CriteriTecnici!$M1422,",","."),0))),4)&amp;""),",",".")&amp;", "&amp;CHAR(34)&amp;"rawScore"&amp;CHAR(34)&amp;": "&amp;SUBSTITUTE(TRIM(ROUND(IFERROR(CriteriTecnici!$O1422*1,IFERROR(NUMBERVALUE(CriteriTecnici!$O1422,".",","),IFERROR(NUMBERVALUE(CriteriTecnici!$O1422,",","."),0))),4)&amp;""),",",".")&amp;CHAR(125)&amp;IF(TRUE,",",""))</f>
        <v/>
      </c>
    </row>
    <row r="1524">
      <c r="A1524" s="82">
        <f>IF(CriteriTecnici!$A1423="","","    "&amp;CHAR(123)&amp;CHAR(34)&amp;"bidderId"&amp;CHAR(34)&amp;": "&amp;CHAR(34)&amp;SUBSTITUTE(CriteriTecnici!$A1423,CHAR(34),"'")&amp;CHAR(34)&amp;", "&amp;CHAR(34)&amp;"lotId"&amp;CHAR(34)&amp;": "&amp;CHAR(34)&amp;SUBSTITUTE(CriteriTecnici!$C1423,CHAR(34),"'")&amp;CHAR(34)&amp;", "&amp;CHAR(34)&amp;"criterionId"&amp;CHAR(34)&amp;": "&amp;CHAR(34)&amp;SUBSTITUTE(CriteriTecnici!$D1423,CHAR(34),"'")&amp;CHAR(34)&amp;", "&amp;CHAR(34)&amp;"kind"&amp;CHAR(34)&amp;": "&amp;CHAR(34)&amp;SUBSTITUTE(CriteriTecnici!$F1423,CHAR(34),"'")&amp;CHAR(34)&amp;", "&amp;CHAR(34)&amp;"value"&amp;CHAR(34)&amp;": "&amp;SUBSTITUTE(TRIM(ROUND(IFERROR(CriteriTecnici!$N1423*1,IFERROR(NUMBERVALUE(CriteriTecnici!$N1423,".",","),IFERROR(NUMBERVALUE(CriteriTecnici!$N1423,",","."),0))),4)&amp;""),",",".")&amp;", "&amp;CHAR(34)&amp;"numerator"&amp;CHAR(34)&amp;": "&amp;SUBSTITUTE(TRIM(ROUND(IFERROR(CriteriTecnici!$K1423*1,IFERROR(NUMBERVALUE(CriteriTecnici!$K1423,".",","),IFERROR(NUMBERVALUE(CriteriTecnici!$K1423,",","."),0))),4)&amp;""),",",".")&amp;", "&amp;CHAR(34)&amp;"denominator"&amp;CHAR(34)&amp;": "&amp;SUBSTITUTE(TRIM(ROUND(IFERROR(CriteriTecnici!$L1423*1,IFERROR(NUMBERVALUE(CriteriTecnici!$L1423,".",","),IFERROR(NUMBERVALUE(CriteriTecnici!$L1423,",","."),0))),4)&amp;""),",",".")&amp;", "&amp;CHAR(34)&amp;"flag"&amp;CHAR(34)&amp;": "&amp;SUBSTITUTE(TRIM(ROUND(IFERROR(CriteriTecnici!$M1423*1,IFERROR(NUMBERVALUE(CriteriTecnici!$M1423,".",","),IFERROR(NUMBERVALUE(CriteriTecnici!$M1423,",","."),0))),4)&amp;""),",",".")&amp;", "&amp;CHAR(34)&amp;"rawScore"&amp;CHAR(34)&amp;": "&amp;SUBSTITUTE(TRIM(ROUND(IFERROR(CriteriTecnici!$O1423*1,IFERROR(NUMBERVALUE(CriteriTecnici!$O1423,".",","),IFERROR(NUMBERVALUE(CriteriTecnici!$O1423,",","."),0))),4)&amp;""),",",".")&amp;CHAR(125)&amp;IF(TRUE,",",""))</f>
        <v/>
      </c>
    </row>
    <row r="1525">
      <c r="A1525" s="82">
        <f>IF(CriteriTecnici!$A1424="","","    "&amp;CHAR(123)&amp;CHAR(34)&amp;"bidderId"&amp;CHAR(34)&amp;": "&amp;CHAR(34)&amp;SUBSTITUTE(CriteriTecnici!$A1424,CHAR(34),"'")&amp;CHAR(34)&amp;", "&amp;CHAR(34)&amp;"lotId"&amp;CHAR(34)&amp;": "&amp;CHAR(34)&amp;SUBSTITUTE(CriteriTecnici!$C1424,CHAR(34),"'")&amp;CHAR(34)&amp;", "&amp;CHAR(34)&amp;"criterionId"&amp;CHAR(34)&amp;": "&amp;CHAR(34)&amp;SUBSTITUTE(CriteriTecnici!$D1424,CHAR(34),"'")&amp;CHAR(34)&amp;", "&amp;CHAR(34)&amp;"kind"&amp;CHAR(34)&amp;": "&amp;CHAR(34)&amp;SUBSTITUTE(CriteriTecnici!$F1424,CHAR(34),"'")&amp;CHAR(34)&amp;", "&amp;CHAR(34)&amp;"value"&amp;CHAR(34)&amp;": "&amp;SUBSTITUTE(TRIM(ROUND(IFERROR(CriteriTecnici!$N1424*1,IFERROR(NUMBERVALUE(CriteriTecnici!$N1424,".",","),IFERROR(NUMBERVALUE(CriteriTecnici!$N1424,",","."),0))),4)&amp;""),",",".")&amp;", "&amp;CHAR(34)&amp;"numerator"&amp;CHAR(34)&amp;": "&amp;SUBSTITUTE(TRIM(ROUND(IFERROR(CriteriTecnici!$K1424*1,IFERROR(NUMBERVALUE(CriteriTecnici!$K1424,".",","),IFERROR(NUMBERVALUE(CriteriTecnici!$K1424,",","."),0))),4)&amp;""),",",".")&amp;", "&amp;CHAR(34)&amp;"denominator"&amp;CHAR(34)&amp;": "&amp;SUBSTITUTE(TRIM(ROUND(IFERROR(CriteriTecnici!$L1424*1,IFERROR(NUMBERVALUE(CriteriTecnici!$L1424,".",","),IFERROR(NUMBERVALUE(CriteriTecnici!$L1424,",","."),0))),4)&amp;""),",",".")&amp;", "&amp;CHAR(34)&amp;"flag"&amp;CHAR(34)&amp;": "&amp;SUBSTITUTE(TRIM(ROUND(IFERROR(CriteriTecnici!$M1424*1,IFERROR(NUMBERVALUE(CriteriTecnici!$M1424,".",","),IFERROR(NUMBERVALUE(CriteriTecnici!$M1424,",","."),0))),4)&amp;""),",",".")&amp;", "&amp;CHAR(34)&amp;"rawScore"&amp;CHAR(34)&amp;": "&amp;SUBSTITUTE(TRIM(ROUND(IFERROR(CriteriTecnici!$O1424*1,IFERROR(NUMBERVALUE(CriteriTecnici!$O1424,".",","),IFERROR(NUMBERVALUE(CriteriTecnici!$O1424,",","."),0))),4)&amp;""),",",".")&amp;CHAR(125)&amp;IF(TRUE,",",""))</f>
        <v/>
      </c>
    </row>
    <row r="1526">
      <c r="A1526" s="82">
        <f>IF(CriteriTecnici!$A1425="","","    "&amp;CHAR(123)&amp;CHAR(34)&amp;"bidderId"&amp;CHAR(34)&amp;": "&amp;CHAR(34)&amp;SUBSTITUTE(CriteriTecnici!$A1425,CHAR(34),"'")&amp;CHAR(34)&amp;", "&amp;CHAR(34)&amp;"lotId"&amp;CHAR(34)&amp;": "&amp;CHAR(34)&amp;SUBSTITUTE(CriteriTecnici!$C1425,CHAR(34),"'")&amp;CHAR(34)&amp;", "&amp;CHAR(34)&amp;"criterionId"&amp;CHAR(34)&amp;": "&amp;CHAR(34)&amp;SUBSTITUTE(CriteriTecnici!$D1425,CHAR(34),"'")&amp;CHAR(34)&amp;", "&amp;CHAR(34)&amp;"kind"&amp;CHAR(34)&amp;": "&amp;CHAR(34)&amp;SUBSTITUTE(CriteriTecnici!$F1425,CHAR(34),"'")&amp;CHAR(34)&amp;", "&amp;CHAR(34)&amp;"value"&amp;CHAR(34)&amp;": "&amp;SUBSTITUTE(TRIM(ROUND(IFERROR(CriteriTecnici!$N1425*1,IFERROR(NUMBERVALUE(CriteriTecnici!$N1425,".",","),IFERROR(NUMBERVALUE(CriteriTecnici!$N1425,",","."),0))),4)&amp;""),",",".")&amp;", "&amp;CHAR(34)&amp;"numerator"&amp;CHAR(34)&amp;": "&amp;SUBSTITUTE(TRIM(ROUND(IFERROR(CriteriTecnici!$K1425*1,IFERROR(NUMBERVALUE(CriteriTecnici!$K1425,".",","),IFERROR(NUMBERVALUE(CriteriTecnici!$K1425,",","."),0))),4)&amp;""),",",".")&amp;", "&amp;CHAR(34)&amp;"denominator"&amp;CHAR(34)&amp;": "&amp;SUBSTITUTE(TRIM(ROUND(IFERROR(CriteriTecnici!$L1425*1,IFERROR(NUMBERVALUE(CriteriTecnici!$L1425,".",","),IFERROR(NUMBERVALUE(CriteriTecnici!$L1425,",","."),0))),4)&amp;""),",",".")&amp;", "&amp;CHAR(34)&amp;"flag"&amp;CHAR(34)&amp;": "&amp;SUBSTITUTE(TRIM(ROUND(IFERROR(CriteriTecnici!$M1425*1,IFERROR(NUMBERVALUE(CriteriTecnici!$M1425,".",","),IFERROR(NUMBERVALUE(CriteriTecnici!$M1425,",","."),0))),4)&amp;""),",",".")&amp;", "&amp;CHAR(34)&amp;"rawScore"&amp;CHAR(34)&amp;": "&amp;SUBSTITUTE(TRIM(ROUND(IFERROR(CriteriTecnici!$O1425*1,IFERROR(NUMBERVALUE(CriteriTecnici!$O1425,".",","),IFERROR(NUMBERVALUE(CriteriTecnici!$O1425,",","."),0))),4)&amp;""),",",".")&amp;CHAR(125)&amp;IF(TRUE,",",""))</f>
        <v/>
      </c>
    </row>
    <row r="1527">
      <c r="A1527" s="82">
        <f>IF(CriteriTecnici!$A1426="","","    "&amp;CHAR(123)&amp;CHAR(34)&amp;"bidderId"&amp;CHAR(34)&amp;": "&amp;CHAR(34)&amp;SUBSTITUTE(CriteriTecnici!$A1426,CHAR(34),"'")&amp;CHAR(34)&amp;", "&amp;CHAR(34)&amp;"lotId"&amp;CHAR(34)&amp;": "&amp;CHAR(34)&amp;SUBSTITUTE(CriteriTecnici!$C1426,CHAR(34),"'")&amp;CHAR(34)&amp;", "&amp;CHAR(34)&amp;"criterionId"&amp;CHAR(34)&amp;": "&amp;CHAR(34)&amp;SUBSTITUTE(CriteriTecnici!$D1426,CHAR(34),"'")&amp;CHAR(34)&amp;", "&amp;CHAR(34)&amp;"kind"&amp;CHAR(34)&amp;": "&amp;CHAR(34)&amp;SUBSTITUTE(CriteriTecnici!$F1426,CHAR(34),"'")&amp;CHAR(34)&amp;", "&amp;CHAR(34)&amp;"value"&amp;CHAR(34)&amp;": "&amp;SUBSTITUTE(TRIM(ROUND(IFERROR(CriteriTecnici!$N1426*1,IFERROR(NUMBERVALUE(CriteriTecnici!$N1426,".",","),IFERROR(NUMBERVALUE(CriteriTecnici!$N1426,",","."),0))),4)&amp;""),",",".")&amp;", "&amp;CHAR(34)&amp;"numerator"&amp;CHAR(34)&amp;": "&amp;SUBSTITUTE(TRIM(ROUND(IFERROR(CriteriTecnici!$K1426*1,IFERROR(NUMBERVALUE(CriteriTecnici!$K1426,".",","),IFERROR(NUMBERVALUE(CriteriTecnici!$K1426,",","."),0))),4)&amp;""),",",".")&amp;", "&amp;CHAR(34)&amp;"denominator"&amp;CHAR(34)&amp;": "&amp;SUBSTITUTE(TRIM(ROUND(IFERROR(CriteriTecnici!$L1426*1,IFERROR(NUMBERVALUE(CriteriTecnici!$L1426,".",","),IFERROR(NUMBERVALUE(CriteriTecnici!$L1426,",","."),0))),4)&amp;""),",",".")&amp;", "&amp;CHAR(34)&amp;"flag"&amp;CHAR(34)&amp;": "&amp;SUBSTITUTE(TRIM(ROUND(IFERROR(CriteriTecnici!$M1426*1,IFERROR(NUMBERVALUE(CriteriTecnici!$M1426,".",","),IFERROR(NUMBERVALUE(CriteriTecnici!$M1426,",","."),0))),4)&amp;""),",",".")&amp;", "&amp;CHAR(34)&amp;"rawScore"&amp;CHAR(34)&amp;": "&amp;SUBSTITUTE(TRIM(ROUND(IFERROR(CriteriTecnici!$O1426*1,IFERROR(NUMBERVALUE(CriteriTecnici!$O1426,".",","),IFERROR(NUMBERVALUE(CriteriTecnici!$O1426,",","."),0))),4)&amp;""),",",".")&amp;CHAR(125)&amp;IF(TRUE,",",""))</f>
        <v/>
      </c>
    </row>
    <row r="1528">
      <c r="A1528" s="82">
        <f>IF(CriteriTecnici!$A1427="","","    "&amp;CHAR(123)&amp;CHAR(34)&amp;"bidderId"&amp;CHAR(34)&amp;": "&amp;CHAR(34)&amp;SUBSTITUTE(CriteriTecnici!$A1427,CHAR(34),"'")&amp;CHAR(34)&amp;", "&amp;CHAR(34)&amp;"lotId"&amp;CHAR(34)&amp;": "&amp;CHAR(34)&amp;SUBSTITUTE(CriteriTecnici!$C1427,CHAR(34),"'")&amp;CHAR(34)&amp;", "&amp;CHAR(34)&amp;"criterionId"&amp;CHAR(34)&amp;": "&amp;CHAR(34)&amp;SUBSTITUTE(CriteriTecnici!$D1427,CHAR(34),"'")&amp;CHAR(34)&amp;", "&amp;CHAR(34)&amp;"kind"&amp;CHAR(34)&amp;": "&amp;CHAR(34)&amp;SUBSTITUTE(CriteriTecnici!$F1427,CHAR(34),"'")&amp;CHAR(34)&amp;", "&amp;CHAR(34)&amp;"value"&amp;CHAR(34)&amp;": "&amp;SUBSTITUTE(TRIM(ROUND(IFERROR(CriteriTecnici!$N1427*1,IFERROR(NUMBERVALUE(CriteriTecnici!$N1427,".",","),IFERROR(NUMBERVALUE(CriteriTecnici!$N1427,",","."),0))),4)&amp;""),",",".")&amp;", "&amp;CHAR(34)&amp;"numerator"&amp;CHAR(34)&amp;": "&amp;SUBSTITUTE(TRIM(ROUND(IFERROR(CriteriTecnici!$K1427*1,IFERROR(NUMBERVALUE(CriteriTecnici!$K1427,".",","),IFERROR(NUMBERVALUE(CriteriTecnici!$K1427,",","."),0))),4)&amp;""),",",".")&amp;", "&amp;CHAR(34)&amp;"denominator"&amp;CHAR(34)&amp;": "&amp;SUBSTITUTE(TRIM(ROUND(IFERROR(CriteriTecnici!$L1427*1,IFERROR(NUMBERVALUE(CriteriTecnici!$L1427,".",","),IFERROR(NUMBERVALUE(CriteriTecnici!$L1427,",","."),0))),4)&amp;""),",",".")&amp;", "&amp;CHAR(34)&amp;"flag"&amp;CHAR(34)&amp;": "&amp;SUBSTITUTE(TRIM(ROUND(IFERROR(CriteriTecnici!$M1427*1,IFERROR(NUMBERVALUE(CriteriTecnici!$M1427,".",","),IFERROR(NUMBERVALUE(CriteriTecnici!$M1427,",","."),0))),4)&amp;""),",",".")&amp;", "&amp;CHAR(34)&amp;"rawScore"&amp;CHAR(34)&amp;": "&amp;SUBSTITUTE(TRIM(ROUND(IFERROR(CriteriTecnici!$O1427*1,IFERROR(NUMBERVALUE(CriteriTecnici!$O1427,".",","),IFERROR(NUMBERVALUE(CriteriTecnici!$O1427,",","."),0))),4)&amp;""),",",".")&amp;CHAR(125)&amp;IF(TRUE,",",""))</f>
        <v/>
      </c>
    </row>
    <row r="1529">
      <c r="A1529" s="82">
        <f>IF(CriteriTecnici!$A1428="","","    "&amp;CHAR(123)&amp;CHAR(34)&amp;"bidderId"&amp;CHAR(34)&amp;": "&amp;CHAR(34)&amp;SUBSTITUTE(CriteriTecnici!$A1428,CHAR(34),"'")&amp;CHAR(34)&amp;", "&amp;CHAR(34)&amp;"lotId"&amp;CHAR(34)&amp;": "&amp;CHAR(34)&amp;SUBSTITUTE(CriteriTecnici!$C1428,CHAR(34),"'")&amp;CHAR(34)&amp;", "&amp;CHAR(34)&amp;"criterionId"&amp;CHAR(34)&amp;": "&amp;CHAR(34)&amp;SUBSTITUTE(CriteriTecnici!$D1428,CHAR(34),"'")&amp;CHAR(34)&amp;", "&amp;CHAR(34)&amp;"kind"&amp;CHAR(34)&amp;": "&amp;CHAR(34)&amp;SUBSTITUTE(CriteriTecnici!$F1428,CHAR(34),"'")&amp;CHAR(34)&amp;", "&amp;CHAR(34)&amp;"value"&amp;CHAR(34)&amp;": "&amp;SUBSTITUTE(TRIM(ROUND(IFERROR(CriteriTecnici!$N1428*1,IFERROR(NUMBERVALUE(CriteriTecnici!$N1428,".",","),IFERROR(NUMBERVALUE(CriteriTecnici!$N1428,",","."),0))),4)&amp;""),",",".")&amp;", "&amp;CHAR(34)&amp;"numerator"&amp;CHAR(34)&amp;": "&amp;SUBSTITUTE(TRIM(ROUND(IFERROR(CriteriTecnici!$K1428*1,IFERROR(NUMBERVALUE(CriteriTecnici!$K1428,".",","),IFERROR(NUMBERVALUE(CriteriTecnici!$K1428,",","."),0))),4)&amp;""),",",".")&amp;", "&amp;CHAR(34)&amp;"denominator"&amp;CHAR(34)&amp;": "&amp;SUBSTITUTE(TRIM(ROUND(IFERROR(CriteriTecnici!$L1428*1,IFERROR(NUMBERVALUE(CriteriTecnici!$L1428,".",","),IFERROR(NUMBERVALUE(CriteriTecnici!$L1428,",","."),0))),4)&amp;""),",",".")&amp;", "&amp;CHAR(34)&amp;"flag"&amp;CHAR(34)&amp;": "&amp;SUBSTITUTE(TRIM(ROUND(IFERROR(CriteriTecnici!$M1428*1,IFERROR(NUMBERVALUE(CriteriTecnici!$M1428,".",","),IFERROR(NUMBERVALUE(CriteriTecnici!$M1428,",","."),0))),4)&amp;""),",",".")&amp;", "&amp;CHAR(34)&amp;"rawScore"&amp;CHAR(34)&amp;": "&amp;SUBSTITUTE(TRIM(ROUND(IFERROR(CriteriTecnici!$O1428*1,IFERROR(NUMBERVALUE(CriteriTecnici!$O1428,".",","),IFERROR(NUMBERVALUE(CriteriTecnici!$O1428,",","."),0))),4)&amp;""),",",".")&amp;CHAR(125)&amp;IF(TRUE,",",""))</f>
        <v/>
      </c>
    </row>
    <row r="1530">
      <c r="A1530" s="82">
        <f>IF(CriteriTecnici!$A1429="","","    "&amp;CHAR(123)&amp;CHAR(34)&amp;"bidderId"&amp;CHAR(34)&amp;": "&amp;CHAR(34)&amp;SUBSTITUTE(CriteriTecnici!$A1429,CHAR(34),"'")&amp;CHAR(34)&amp;", "&amp;CHAR(34)&amp;"lotId"&amp;CHAR(34)&amp;": "&amp;CHAR(34)&amp;SUBSTITUTE(CriteriTecnici!$C1429,CHAR(34),"'")&amp;CHAR(34)&amp;", "&amp;CHAR(34)&amp;"criterionId"&amp;CHAR(34)&amp;": "&amp;CHAR(34)&amp;SUBSTITUTE(CriteriTecnici!$D1429,CHAR(34),"'")&amp;CHAR(34)&amp;", "&amp;CHAR(34)&amp;"kind"&amp;CHAR(34)&amp;": "&amp;CHAR(34)&amp;SUBSTITUTE(CriteriTecnici!$F1429,CHAR(34),"'")&amp;CHAR(34)&amp;", "&amp;CHAR(34)&amp;"value"&amp;CHAR(34)&amp;": "&amp;SUBSTITUTE(TRIM(ROUND(IFERROR(CriteriTecnici!$N1429*1,IFERROR(NUMBERVALUE(CriteriTecnici!$N1429,".",","),IFERROR(NUMBERVALUE(CriteriTecnici!$N1429,",","."),0))),4)&amp;""),",",".")&amp;", "&amp;CHAR(34)&amp;"numerator"&amp;CHAR(34)&amp;": "&amp;SUBSTITUTE(TRIM(ROUND(IFERROR(CriteriTecnici!$K1429*1,IFERROR(NUMBERVALUE(CriteriTecnici!$K1429,".",","),IFERROR(NUMBERVALUE(CriteriTecnici!$K1429,",","."),0))),4)&amp;""),",",".")&amp;", "&amp;CHAR(34)&amp;"denominator"&amp;CHAR(34)&amp;": "&amp;SUBSTITUTE(TRIM(ROUND(IFERROR(CriteriTecnici!$L1429*1,IFERROR(NUMBERVALUE(CriteriTecnici!$L1429,".",","),IFERROR(NUMBERVALUE(CriteriTecnici!$L1429,",","."),0))),4)&amp;""),",",".")&amp;", "&amp;CHAR(34)&amp;"flag"&amp;CHAR(34)&amp;": "&amp;SUBSTITUTE(TRIM(ROUND(IFERROR(CriteriTecnici!$M1429*1,IFERROR(NUMBERVALUE(CriteriTecnici!$M1429,".",","),IFERROR(NUMBERVALUE(CriteriTecnici!$M1429,",","."),0))),4)&amp;""),",",".")&amp;", "&amp;CHAR(34)&amp;"rawScore"&amp;CHAR(34)&amp;": "&amp;SUBSTITUTE(TRIM(ROUND(IFERROR(CriteriTecnici!$O1429*1,IFERROR(NUMBERVALUE(CriteriTecnici!$O1429,".",","),IFERROR(NUMBERVALUE(CriteriTecnici!$O1429,",","."),0))),4)&amp;""),",",".")&amp;CHAR(125)&amp;IF(TRUE,",",""))</f>
        <v/>
      </c>
    </row>
    <row r="1531">
      <c r="A1531" s="82">
        <f>IF(CriteriTecnici!$A1430="","","    "&amp;CHAR(123)&amp;CHAR(34)&amp;"bidderId"&amp;CHAR(34)&amp;": "&amp;CHAR(34)&amp;SUBSTITUTE(CriteriTecnici!$A1430,CHAR(34),"'")&amp;CHAR(34)&amp;", "&amp;CHAR(34)&amp;"lotId"&amp;CHAR(34)&amp;": "&amp;CHAR(34)&amp;SUBSTITUTE(CriteriTecnici!$C1430,CHAR(34),"'")&amp;CHAR(34)&amp;", "&amp;CHAR(34)&amp;"criterionId"&amp;CHAR(34)&amp;": "&amp;CHAR(34)&amp;SUBSTITUTE(CriteriTecnici!$D1430,CHAR(34),"'")&amp;CHAR(34)&amp;", "&amp;CHAR(34)&amp;"kind"&amp;CHAR(34)&amp;": "&amp;CHAR(34)&amp;SUBSTITUTE(CriteriTecnici!$F1430,CHAR(34),"'")&amp;CHAR(34)&amp;", "&amp;CHAR(34)&amp;"value"&amp;CHAR(34)&amp;": "&amp;SUBSTITUTE(TRIM(ROUND(IFERROR(CriteriTecnici!$N1430*1,IFERROR(NUMBERVALUE(CriteriTecnici!$N1430,".",","),IFERROR(NUMBERVALUE(CriteriTecnici!$N1430,",","."),0))),4)&amp;""),",",".")&amp;", "&amp;CHAR(34)&amp;"numerator"&amp;CHAR(34)&amp;": "&amp;SUBSTITUTE(TRIM(ROUND(IFERROR(CriteriTecnici!$K1430*1,IFERROR(NUMBERVALUE(CriteriTecnici!$K1430,".",","),IFERROR(NUMBERVALUE(CriteriTecnici!$K1430,",","."),0))),4)&amp;""),",",".")&amp;", "&amp;CHAR(34)&amp;"denominator"&amp;CHAR(34)&amp;": "&amp;SUBSTITUTE(TRIM(ROUND(IFERROR(CriteriTecnici!$L1430*1,IFERROR(NUMBERVALUE(CriteriTecnici!$L1430,".",","),IFERROR(NUMBERVALUE(CriteriTecnici!$L1430,",","."),0))),4)&amp;""),",",".")&amp;", "&amp;CHAR(34)&amp;"flag"&amp;CHAR(34)&amp;": "&amp;SUBSTITUTE(TRIM(ROUND(IFERROR(CriteriTecnici!$M1430*1,IFERROR(NUMBERVALUE(CriteriTecnici!$M1430,".",","),IFERROR(NUMBERVALUE(CriteriTecnici!$M1430,",","."),0))),4)&amp;""),",",".")&amp;", "&amp;CHAR(34)&amp;"rawScore"&amp;CHAR(34)&amp;": "&amp;SUBSTITUTE(TRIM(ROUND(IFERROR(CriteriTecnici!$O1430*1,IFERROR(NUMBERVALUE(CriteriTecnici!$O1430,".",","),IFERROR(NUMBERVALUE(CriteriTecnici!$O1430,",","."),0))),4)&amp;""),",",".")&amp;CHAR(125)&amp;IF(COUNTA(Offerte!$A48:$A$81)&gt;0,",",""))</f>
        <v/>
      </c>
    </row>
    <row r="1532">
      <c r="A1532" s="82">
        <f>IF(CriteriTecnici!$A1431="","","    "&amp;CHAR(123)&amp;CHAR(34)&amp;"bidderId"&amp;CHAR(34)&amp;": "&amp;CHAR(34)&amp;SUBSTITUTE(CriteriTecnici!$A1431,CHAR(34),"'")&amp;CHAR(34)&amp;", "&amp;CHAR(34)&amp;"lotId"&amp;CHAR(34)&amp;": "&amp;CHAR(34)&amp;SUBSTITUTE(CriteriTecnici!$C1431,CHAR(34),"'")&amp;CHAR(34)&amp;", "&amp;CHAR(34)&amp;"criterionId"&amp;CHAR(34)&amp;": "&amp;CHAR(34)&amp;SUBSTITUTE(CriteriTecnici!$D1431,CHAR(34),"'")&amp;CHAR(34)&amp;", "&amp;CHAR(34)&amp;"kind"&amp;CHAR(34)&amp;": "&amp;CHAR(34)&amp;SUBSTITUTE(CriteriTecnici!$F1431,CHAR(34),"'")&amp;CHAR(34)&amp;", "&amp;CHAR(34)&amp;"value"&amp;CHAR(34)&amp;": "&amp;SUBSTITUTE(TRIM(ROUND(IFERROR(CriteriTecnici!$N1431*1,IFERROR(NUMBERVALUE(CriteriTecnici!$N1431,".",","),IFERROR(NUMBERVALUE(CriteriTecnici!$N1431,",","."),0))),4)&amp;""),",",".")&amp;", "&amp;CHAR(34)&amp;"numerator"&amp;CHAR(34)&amp;": "&amp;SUBSTITUTE(TRIM(ROUND(IFERROR(CriteriTecnici!$K1431*1,IFERROR(NUMBERVALUE(CriteriTecnici!$K1431,".",","),IFERROR(NUMBERVALUE(CriteriTecnici!$K1431,",","."),0))),4)&amp;""),",",".")&amp;", "&amp;CHAR(34)&amp;"denominator"&amp;CHAR(34)&amp;": "&amp;SUBSTITUTE(TRIM(ROUND(IFERROR(CriteriTecnici!$L1431*1,IFERROR(NUMBERVALUE(CriteriTecnici!$L1431,".",","),IFERROR(NUMBERVALUE(CriteriTecnici!$L1431,",","."),0))),4)&amp;""),",",".")&amp;", "&amp;CHAR(34)&amp;"flag"&amp;CHAR(34)&amp;": "&amp;SUBSTITUTE(TRIM(ROUND(IFERROR(CriteriTecnici!$M1431*1,IFERROR(NUMBERVALUE(CriteriTecnici!$M1431,".",","),IFERROR(NUMBERVALUE(CriteriTecnici!$M1431,",","."),0))),4)&amp;""),",",".")&amp;", "&amp;CHAR(34)&amp;"rawScore"&amp;CHAR(34)&amp;": "&amp;SUBSTITUTE(TRIM(ROUND(IFERROR(CriteriTecnici!$O1431*1,IFERROR(NUMBERVALUE(CriteriTecnici!$O1431,".",","),IFERROR(NUMBERVALUE(CriteriTecnici!$O1431,",","."),0))),4)&amp;""),",",".")&amp;CHAR(125)&amp;IF(TRUE,",",""))</f>
        <v/>
      </c>
    </row>
    <row r="1533">
      <c r="A1533" s="82">
        <f>IF(CriteriTecnici!$A1432="","","    "&amp;CHAR(123)&amp;CHAR(34)&amp;"bidderId"&amp;CHAR(34)&amp;": "&amp;CHAR(34)&amp;SUBSTITUTE(CriteriTecnici!$A1432,CHAR(34),"'")&amp;CHAR(34)&amp;", "&amp;CHAR(34)&amp;"lotId"&amp;CHAR(34)&amp;": "&amp;CHAR(34)&amp;SUBSTITUTE(CriteriTecnici!$C1432,CHAR(34),"'")&amp;CHAR(34)&amp;", "&amp;CHAR(34)&amp;"criterionId"&amp;CHAR(34)&amp;": "&amp;CHAR(34)&amp;SUBSTITUTE(CriteriTecnici!$D1432,CHAR(34),"'")&amp;CHAR(34)&amp;", "&amp;CHAR(34)&amp;"kind"&amp;CHAR(34)&amp;": "&amp;CHAR(34)&amp;SUBSTITUTE(CriteriTecnici!$F1432,CHAR(34),"'")&amp;CHAR(34)&amp;", "&amp;CHAR(34)&amp;"value"&amp;CHAR(34)&amp;": "&amp;SUBSTITUTE(TRIM(ROUND(IFERROR(CriteriTecnici!$N1432*1,IFERROR(NUMBERVALUE(CriteriTecnici!$N1432,".",","),IFERROR(NUMBERVALUE(CriteriTecnici!$N1432,",","."),0))),4)&amp;""),",",".")&amp;", "&amp;CHAR(34)&amp;"numerator"&amp;CHAR(34)&amp;": "&amp;SUBSTITUTE(TRIM(ROUND(IFERROR(CriteriTecnici!$K1432*1,IFERROR(NUMBERVALUE(CriteriTecnici!$K1432,".",","),IFERROR(NUMBERVALUE(CriteriTecnici!$K1432,",","."),0))),4)&amp;""),",",".")&amp;", "&amp;CHAR(34)&amp;"denominator"&amp;CHAR(34)&amp;": "&amp;SUBSTITUTE(TRIM(ROUND(IFERROR(CriteriTecnici!$L1432*1,IFERROR(NUMBERVALUE(CriteriTecnici!$L1432,".",","),IFERROR(NUMBERVALUE(CriteriTecnici!$L1432,",","."),0))),4)&amp;""),",",".")&amp;", "&amp;CHAR(34)&amp;"flag"&amp;CHAR(34)&amp;": "&amp;SUBSTITUTE(TRIM(ROUND(IFERROR(CriteriTecnici!$M1432*1,IFERROR(NUMBERVALUE(CriteriTecnici!$M1432,".",","),IFERROR(NUMBERVALUE(CriteriTecnici!$M1432,",","."),0))),4)&amp;""),",",".")&amp;", "&amp;CHAR(34)&amp;"rawScore"&amp;CHAR(34)&amp;": "&amp;SUBSTITUTE(TRIM(ROUND(IFERROR(CriteriTecnici!$O1432*1,IFERROR(NUMBERVALUE(CriteriTecnici!$O1432,".",","),IFERROR(NUMBERVALUE(CriteriTecnici!$O1432,",","."),0))),4)&amp;""),",",".")&amp;CHAR(125)&amp;IF(TRUE,",",""))</f>
        <v/>
      </c>
    </row>
    <row r="1534">
      <c r="A1534" s="82">
        <f>IF(CriteriTecnici!$A1433="","","    "&amp;CHAR(123)&amp;CHAR(34)&amp;"bidderId"&amp;CHAR(34)&amp;": "&amp;CHAR(34)&amp;SUBSTITUTE(CriteriTecnici!$A1433,CHAR(34),"'")&amp;CHAR(34)&amp;", "&amp;CHAR(34)&amp;"lotId"&amp;CHAR(34)&amp;": "&amp;CHAR(34)&amp;SUBSTITUTE(CriteriTecnici!$C1433,CHAR(34),"'")&amp;CHAR(34)&amp;", "&amp;CHAR(34)&amp;"criterionId"&amp;CHAR(34)&amp;": "&amp;CHAR(34)&amp;SUBSTITUTE(CriteriTecnici!$D1433,CHAR(34),"'")&amp;CHAR(34)&amp;", "&amp;CHAR(34)&amp;"kind"&amp;CHAR(34)&amp;": "&amp;CHAR(34)&amp;SUBSTITUTE(CriteriTecnici!$F1433,CHAR(34),"'")&amp;CHAR(34)&amp;", "&amp;CHAR(34)&amp;"value"&amp;CHAR(34)&amp;": "&amp;SUBSTITUTE(TRIM(ROUND(IFERROR(CriteriTecnici!$N1433*1,IFERROR(NUMBERVALUE(CriteriTecnici!$N1433,".",","),IFERROR(NUMBERVALUE(CriteriTecnici!$N1433,",","."),0))),4)&amp;""),",",".")&amp;", "&amp;CHAR(34)&amp;"numerator"&amp;CHAR(34)&amp;": "&amp;SUBSTITUTE(TRIM(ROUND(IFERROR(CriteriTecnici!$K1433*1,IFERROR(NUMBERVALUE(CriteriTecnici!$K1433,".",","),IFERROR(NUMBERVALUE(CriteriTecnici!$K1433,",","."),0))),4)&amp;""),",",".")&amp;", "&amp;CHAR(34)&amp;"denominator"&amp;CHAR(34)&amp;": "&amp;SUBSTITUTE(TRIM(ROUND(IFERROR(CriteriTecnici!$L1433*1,IFERROR(NUMBERVALUE(CriteriTecnici!$L1433,".",","),IFERROR(NUMBERVALUE(CriteriTecnici!$L1433,",","."),0))),4)&amp;""),",",".")&amp;", "&amp;CHAR(34)&amp;"flag"&amp;CHAR(34)&amp;": "&amp;SUBSTITUTE(TRIM(ROUND(IFERROR(CriteriTecnici!$M1433*1,IFERROR(NUMBERVALUE(CriteriTecnici!$M1433,".",","),IFERROR(NUMBERVALUE(CriteriTecnici!$M1433,",","."),0))),4)&amp;""),",",".")&amp;", "&amp;CHAR(34)&amp;"rawScore"&amp;CHAR(34)&amp;": "&amp;SUBSTITUTE(TRIM(ROUND(IFERROR(CriteriTecnici!$O1433*1,IFERROR(NUMBERVALUE(CriteriTecnici!$O1433,".",","),IFERROR(NUMBERVALUE(CriteriTecnici!$O1433,",","."),0))),4)&amp;""),",",".")&amp;CHAR(125)&amp;IF(TRUE,",",""))</f>
        <v/>
      </c>
    </row>
    <row r="1535">
      <c r="A1535" s="82">
        <f>IF(CriteriTecnici!$A1434="","","    "&amp;CHAR(123)&amp;CHAR(34)&amp;"bidderId"&amp;CHAR(34)&amp;": "&amp;CHAR(34)&amp;SUBSTITUTE(CriteriTecnici!$A1434,CHAR(34),"'")&amp;CHAR(34)&amp;", "&amp;CHAR(34)&amp;"lotId"&amp;CHAR(34)&amp;": "&amp;CHAR(34)&amp;SUBSTITUTE(CriteriTecnici!$C1434,CHAR(34),"'")&amp;CHAR(34)&amp;", "&amp;CHAR(34)&amp;"criterionId"&amp;CHAR(34)&amp;": "&amp;CHAR(34)&amp;SUBSTITUTE(CriteriTecnici!$D1434,CHAR(34),"'")&amp;CHAR(34)&amp;", "&amp;CHAR(34)&amp;"kind"&amp;CHAR(34)&amp;": "&amp;CHAR(34)&amp;SUBSTITUTE(CriteriTecnici!$F1434,CHAR(34),"'")&amp;CHAR(34)&amp;", "&amp;CHAR(34)&amp;"value"&amp;CHAR(34)&amp;": "&amp;SUBSTITUTE(TRIM(ROUND(IFERROR(CriteriTecnici!$N1434*1,IFERROR(NUMBERVALUE(CriteriTecnici!$N1434,".",","),IFERROR(NUMBERVALUE(CriteriTecnici!$N1434,",","."),0))),4)&amp;""),",",".")&amp;", "&amp;CHAR(34)&amp;"numerator"&amp;CHAR(34)&amp;": "&amp;SUBSTITUTE(TRIM(ROUND(IFERROR(CriteriTecnici!$K1434*1,IFERROR(NUMBERVALUE(CriteriTecnici!$K1434,".",","),IFERROR(NUMBERVALUE(CriteriTecnici!$K1434,",","."),0))),4)&amp;""),",",".")&amp;", "&amp;CHAR(34)&amp;"denominator"&amp;CHAR(34)&amp;": "&amp;SUBSTITUTE(TRIM(ROUND(IFERROR(CriteriTecnici!$L1434*1,IFERROR(NUMBERVALUE(CriteriTecnici!$L1434,".",","),IFERROR(NUMBERVALUE(CriteriTecnici!$L1434,",","."),0))),4)&amp;""),",",".")&amp;", "&amp;CHAR(34)&amp;"flag"&amp;CHAR(34)&amp;": "&amp;SUBSTITUTE(TRIM(ROUND(IFERROR(CriteriTecnici!$M1434*1,IFERROR(NUMBERVALUE(CriteriTecnici!$M1434,".",","),IFERROR(NUMBERVALUE(CriteriTecnici!$M1434,",","."),0))),4)&amp;""),",",".")&amp;", "&amp;CHAR(34)&amp;"rawScore"&amp;CHAR(34)&amp;": "&amp;SUBSTITUTE(TRIM(ROUND(IFERROR(CriteriTecnici!$O1434*1,IFERROR(NUMBERVALUE(CriteriTecnici!$O1434,".",","),IFERROR(NUMBERVALUE(CriteriTecnici!$O1434,",","."),0))),4)&amp;""),",",".")&amp;CHAR(125)&amp;IF(TRUE,",",""))</f>
        <v/>
      </c>
    </row>
    <row r="1536">
      <c r="A1536" s="82">
        <f>IF(CriteriTecnici!$A1435="","","    "&amp;CHAR(123)&amp;CHAR(34)&amp;"bidderId"&amp;CHAR(34)&amp;": "&amp;CHAR(34)&amp;SUBSTITUTE(CriteriTecnici!$A1435,CHAR(34),"'")&amp;CHAR(34)&amp;", "&amp;CHAR(34)&amp;"lotId"&amp;CHAR(34)&amp;": "&amp;CHAR(34)&amp;SUBSTITUTE(CriteriTecnici!$C1435,CHAR(34),"'")&amp;CHAR(34)&amp;", "&amp;CHAR(34)&amp;"criterionId"&amp;CHAR(34)&amp;": "&amp;CHAR(34)&amp;SUBSTITUTE(CriteriTecnici!$D1435,CHAR(34),"'")&amp;CHAR(34)&amp;", "&amp;CHAR(34)&amp;"kind"&amp;CHAR(34)&amp;": "&amp;CHAR(34)&amp;SUBSTITUTE(CriteriTecnici!$F1435,CHAR(34),"'")&amp;CHAR(34)&amp;", "&amp;CHAR(34)&amp;"value"&amp;CHAR(34)&amp;": "&amp;SUBSTITUTE(TRIM(ROUND(IFERROR(CriteriTecnici!$N1435*1,IFERROR(NUMBERVALUE(CriteriTecnici!$N1435,".",","),IFERROR(NUMBERVALUE(CriteriTecnici!$N1435,",","."),0))),4)&amp;""),",",".")&amp;", "&amp;CHAR(34)&amp;"numerator"&amp;CHAR(34)&amp;": "&amp;SUBSTITUTE(TRIM(ROUND(IFERROR(CriteriTecnici!$K1435*1,IFERROR(NUMBERVALUE(CriteriTecnici!$K1435,".",","),IFERROR(NUMBERVALUE(CriteriTecnici!$K1435,",","."),0))),4)&amp;""),",",".")&amp;", "&amp;CHAR(34)&amp;"denominator"&amp;CHAR(34)&amp;": "&amp;SUBSTITUTE(TRIM(ROUND(IFERROR(CriteriTecnici!$L1435*1,IFERROR(NUMBERVALUE(CriteriTecnici!$L1435,".",","),IFERROR(NUMBERVALUE(CriteriTecnici!$L1435,",","."),0))),4)&amp;""),",",".")&amp;", "&amp;CHAR(34)&amp;"flag"&amp;CHAR(34)&amp;": "&amp;SUBSTITUTE(TRIM(ROUND(IFERROR(CriteriTecnici!$M1435*1,IFERROR(NUMBERVALUE(CriteriTecnici!$M1435,".",","),IFERROR(NUMBERVALUE(CriteriTecnici!$M1435,",","."),0))),4)&amp;""),",",".")&amp;", "&amp;CHAR(34)&amp;"rawScore"&amp;CHAR(34)&amp;": "&amp;SUBSTITUTE(TRIM(ROUND(IFERROR(CriteriTecnici!$O1435*1,IFERROR(NUMBERVALUE(CriteriTecnici!$O1435,".",","),IFERROR(NUMBERVALUE(CriteriTecnici!$O1435,",","."),0))),4)&amp;""),",",".")&amp;CHAR(125)&amp;IF(TRUE,",",""))</f>
        <v/>
      </c>
    </row>
    <row r="1537">
      <c r="A1537" s="82">
        <f>IF(CriteriTecnici!$A1436="","","    "&amp;CHAR(123)&amp;CHAR(34)&amp;"bidderId"&amp;CHAR(34)&amp;": "&amp;CHAR(34)&amp;SUBSTITUTE(CriteriTecnici!$A1436,CHAR(34),"'")&amp;CHAR(34)&amp;", "&amp;CHAR(34)&amp;"lotId"&amp;CHAR(34)&amp;": "&amp;CHAR(34)&amp;SUBSTITUTE(CriteriTecnici!$C1436,CHAR(34),"'")&amp;CHAR(34)&amp;", "&amp;CHAR(34)&amp;"criterionId"&amp;CHAR(34)&amp;": "&amp;CHAR(34)&amp;SUBSTITUTE(CriteriTecnici!$D1436,CHAR(34),"'")&amp;CHAR(34)&amp;", "&amp;CHAR(34)&amp;"kind"&amp;CHAR(34)&amp;": "&amp;CHAR(34)&amp;SUBSTITUTE(CriteriTecnici!$F1436,CHAR(34),"'")&amp;CHAR(34)&amp;", "&amp;CHAR(34)&amp;"value"&amp;CHAR(34)&amp;": "&amp;SUBSTITUTE(TRIM(ROUND(IFERROR(CriteriTecnici!$N1436*1,IFERROR(NUMBERVALUE(CriteriTecnici!$N1436,".",","),IFERROR(NUMBERVALUE(CriteriTecnici!$N1436,",","."),0))),4)&amp;""),",",".")&amp;", "&amp;CHAR(34)&amp;"numerator"&amp;CHAR(34)&amp;": "&amp;SUBSTITUTE(TRIM(ROUND(IFERROR(CriteriTecnici!$K1436*1,IFERROR(NUMBERVALUE(CriteriTecnici!$K1436,".",","),IFERROR(NUMBERVALUE(CriteriTecnici!$K1436,",","."),0))),4)&amp;""),",",".")&amp;", "&amp;CHAR(34)&amp;"denominator"&amp;CHAR(34)&amp;": "&amp;SUBSTITUTE(TRIM(ROUND(IFERROR(CriteriTecnici!$L1436*1,IFERROR(NUMBERVALUE(CriteriTecnici!$L1436,".",","),IFERROR(NUMBERVALUE(CriteriTecnici!$L1436,",","."),0))),4)&amp;""),",",".")&amp;", "&amp;CHAR(34)&amp;"flag"&amp;CHAR(34)&amp;": "&amp;SUBSTITUTE(TRIM(ROUND(IFERROR(CriteriTecnici!$M1436*1,IFERROR(NUMBERVALUE(CriteriTecnici!$M1436,".",","),IFERROR(NUMBERVALUE(CriteriTecnici!$M1436,",","."),0))),4)&amp;""),",",".")&amp;", "&amp;CHAR(34)&amp;"rawScore"&amp;CHAR(34)&amp;": "&amp;SUBSTITUTE(TRIM(ROUND(IFERROR(CriteriTecnici!$O1436*1,IFERROR(NUMBERVALUE(CriteriTecnici!$O1436,".",","),IFERROR(NUMBERVALUE(CriteriTecnici!$O1436,",","."),0))),4)&amp;""),",",".")&amp;CHAR(125)&amp;IF(TRUE,",",""))</f>
        <v/>
      </c>
    </row>
    <row r="1538">
      <c r="A1538" s="82">
        <f>IF(CriteriTecnici!$A1437="","","    "&amp;CHAR(123)&amp;CHAR(34)&amp;"bidderId"&amp;CHAR(34)&amp;": "&amp;CHAR(34)&amp;SUBSTITUTE(CriteriTecnici!$A1437,CHAR(34),"'")&amp;CHAR(34)&amp;", "&amp;CHAR(34)&amp;"lotId"&amp;CHAR(34)&amp;": "&amp;CHAR(34)&amp;SUBSTITUTE(CriteriTecnici!$C1437,CHAR(34),"'")&amp;CHAR(34)&amp;", "&amp;CHAR(34)&amp;"criterionId"&amp;CHAR(34)&amp;": "&amp;CHAR(34)&amp;SUBSTITUTE(CriteriTecnici!$D1437,CHAR(34),"'")&amp;CHAR(34)&amp;", "&amp;CHAR(34)&amp;"kind"&amp;CHAR(34)&amp;": "&amp;CHAR(34)&amp;SUBSTITUTE(CriteriTecnici!$F1437,CHAR(34),"'")&amp;CHAR(34)&amp;", "&amp;CHAR(34)&amp;"value"&amp;CHAR(34)&amp;": "&amp;SUBSTITUTE(TRIM(ROUND(IFERROR(CriteriTecnici!$N1437*1,IFERROR(NUMBERVALUE(CriteriTecnici!$N1437,".",","),IFERROR(NUMBERVALUE(CriteriTecnici!$N1437,",","."),0))),4)&amp;""),",",".")&amp;", "&amp;CHAR(34)&amp;"numerator"&amp;CHAR(34)&amp;": "&amp;SUBSTITUTE(TRIM(ROUND(IFERROR(CriteriTecnici!$K1437*1,IFERROR(NUMBERVALUE(CriteriTecnici!$K1437,".",","),IFERROR(NUMBERVALUE(CriteriTecnici!$K1437,",","."),0))),4)&amp;""),",",".")&amp;", "&amp;CHAR(34)&amp;"denominator"&amp;CHAR(34)&amp;": "&amp;SUBSTITUTE(TRIM(ROUND(IFERROR(CriteriTecnici!$L1437*1,IFERROR(NUMBERVALUE(CriteriTecnici!$L1437,".",","),IFERROR(NUMBERVALUE(CriteriTecnici!$L1437,",","."),0))),4)&amp;""),",",".")&amp;", "&amp;CHAR(34)&amp;"flag"&amp;CHAR(34)&amp;": "&amp;SUBSTITUTE(TRIM(ROUND(IFERROR(CriteriTecnici!$M1437*1,IFERROR(NUMBERVALUE(CriteriTecnici!$M1437,".",","),IFERROR(NUMBERVALUE(CriteriTecnici!$M1437,",","."),0))),4)&amp;""),",",".")&amp;", "&amp;CHAR(34)&amp;"rawScore"&amp;CHAR(34)&amp;": "&amp;SUBSTITUTE(TRIM(ROUND(IFERROR(CriteriTecnici!$O1437*1,IFERROR(NUMBERVALUE(CriteriTecnici!$O1437,".",","),IFERROR(NUMBERVALUE(CriteriTecnici!$O1437,",","."),0))),4)&amp;""),",",".")&amp;CHAR(125)&amp;IF(TRUE,",",""))</f>
        <v/>
      </c>
    </row>
    <row r="1539">
      <c r="A1539" s="82">
        <f>IF(CriteriTecnici!$A1438="","","    "&amp;CHAR(123)&amp;CHAR(34)&amp;"bidderId"&amp;CHAR(34)&amp;": "&amp;CHAR(34)&amp;SUBSTITUTE(CriteriTecnici!$A1438,CHAR(34),"'")&amp;CHAR(34)&amp;", "&amp;CHAR(34)&amp;"lotId"&amp;CHAR(34)&amp;": "&amp;CHAR(34)&amp;SUBSTITUTE(CriteriTecnici!$C1438,CHAR(34),"'")&amp;CHAR(34)&amp;", "&amp;CHAR(34)&amp;"criterionId"&amp;CHAR(34)&amp;": "&amp;CHAR(34)&amp;SUBSTITUTE(CriteriTecnici!$D1438,CHAR(34),"'")&amp;CHAR(34)&amp;", "&amp;CHAR(34)&amp;"kind"&amp;CHAR(34)&amp;": "&amp;CHAR(34)&amp;SUBSTITUTE(CriteriTecnici!$F1438,CHAR(34),"'")&amp;CHAR(34)&amp;", "&amp;CHAR(34)&amp;"value"&amp;CHAR(34)&amp;": "&amp;SUBSTITUTE(TRIM(ROUND(IFERROR(CriteriTecnici!$N1438*1,IFERROR(NUMBERVALUE(CriteriTecnici!$N1438,".",","),IFERROR(NUMBERVALUE(CriteriTecnici!$N1438,",","."),0))),4)&amp;""),",",".")&amp;", "&amp;CHAR(34)&amp;"numerator"&amp;CHAR(34)&amp;": "&amp;SUBSTITUTE(TRIM(ROUND(IFERROR(CriteriTecnici!$K1438*1,IFERROR(NUMBERVALUE(CriteriTecnici!$K1438,".",","),IFERROR(NUMBERVALUE(CriteriTecnici!$K1438,",","."),0))),4)&amp;""),",",".")&amp;", "&amp;CHAR(34)&amp;"denominator"&amp;CHAR(34)&amp;": "&amp;SUBSTITUTE(TRIM(ROUND(IFERROR(CriteriTecnici!$L1438*1,IFERROR(NUMBERVALUE(CriteriTecnici!$L1438,".",","),IFERROR(NUMBERVALUE(CriteriTecnici!$L1438,",","."),0))),4)&amp;""),",",".")&amp;", "&amp;CHAR(34)&amp;"flag"&amp;CHAR(34)&amp;": "&amp;SUBSTITUTE(TRIM(ROUND(IFERROR(CriteriTecnici!$M1438*1,IFERROR(NUMBERVALUE(CriteriTecnici!$M1438,".",","),IFERROR(NUMBERVALUE(CriteriTecnici!$M1438,",","."),0))),4)&amp;""),",",".")&amp;", "&amp;CHAR(34)&amp;"rawScore"&amp;CHAR(34)&amp;": "&amp;SUBSTITUTE(TRIM(ROUND(IFERROR(CriteriTecnici!$O1438*1,IFERROR(NUMBERVALUE(CriteriTecnici!$O1438,".",","),IFERROR(NUMBERVALUE(CriteriTecnici!$O1438,",","."),0))),4)&amp;""),",",".")&amp;CHAR(125)&amp;IF(TRUE,",",""))</f>
        <v/>
      </c>
    </row>
    <row r="1540">
      <c r="A1540" s="82">
        <f>IF(CriteriTecnici!$A1439="","","    "&amp;CHAR(123)&amp;CHAR(34)&amp;"bidderId"&amp;CHAR(34)&amp;": "&amp;CHAR(34)&amp;SUBSTITUTE(CriteriTecnici!$A1439,CHAR(34),"'")&amp;CHAR(34)&amp;", "&amp;CHAR(34)&amp;"lotId"&amp;CHAR(34)&amp;": "&amp;CHAR(34)&amp;SUBSTITUTE(CriteriTecnici!$C1439,CHAR(34),"'")&amp;CHAR(34)&amp;", "&amp;CHAR(34)&amp;"criterionId"&amp;CHAR(34)&amp;": "&amp;CHAR(34)&amp;SUBSTITUTE(CriteriTecnici!$D1439,CHAR(34),"'")&amp;CHAR(34)&amp;", "&amp;CHAR(34)&amp;"kind"&amp;CHAR(34)&amp;": "&amp;CHAR(34)&amp;SUBSTITUTE(CriteriTecnici!$F1439,CHAR(34),"'")&amp;CHAR(34)&amp;", "&amp;CHAR(34)&amp;"value"&amp;CHAR(34)&amp;": "&amp;SUBSTITUTE(TRIM(ROUND(IFERROR(CriteriTecnici!$N1439*1,IFERROR(NUMBERVALUE(CriteriTecnici!$N1439,".",","),IFERROR(NUMBERVALUE(CriteriTecnici!$N1439,",","."),0))),4)&amp;""),",",".")&amp;", "&amp;CHAR(34)&amp;"numerator"&amp;CHAR(34)&amp;": "&amp;SUBSTITUTE(TRIM(ROUND(IFERROR(CriteriTecnici!$K1439*1,IFERROR(NUMBERVALUE(CriteriTecnici!$K1439,".",","),IFERROR(NUMBERVALUE(CriteriTecnici!$K1439,",","."),0))),4)&amp;""),",",".")&amp;", "&amp;CHAR(34)&amp;"denominator"&amp;CHAR(34)&amp;": "&amp;SUBSTITUTE(TRIM(ROUND(IFERROR(CriteriTecnici!$L1439*1,IFERROR(NUMBERVALUE(CriteriTecnici!$L1439,".",","),IFERROR(NUMBERVALUE(CriteriTecnici!$L1439,",","."),0))),4)&amp;""),",",".")&amp;", "&amp;CHAR(34)&amp;"flag"&amp;CHAR(34)&amp;": "&amp;SUBSTITUTE(TRIM(ROUND(IFERROR(CriteriTecnici!$M1439*1,IFERROR(NUMBERVALUE(CriteriTecnici!$M1439,".",","),IFERROR(NUMBERVALUE(CriteriTecnici!$M1439,",","."),0))),4)&amp;""),",",".")&amp;", "&amp;CHAR(34)&amp;"rawScore"&amp;CHAR(34)&amp;": "&amp;SUBSTITUTE(TRIM(ROUND(IFERROR(CriteriTecnici!$O1439*1,IFERROR(NUMBERVALUE(CriteriTecnici!$O1439,".",","),IFERROR(NUMBERVALUE(CriteriTecnici!$O1439,",","."),0))),4)&amp;""),",",".")&amp;CHAR(125)&amp;IF(TRUE,",",""))</f>
        <v/>
      </c>
    </row>
    <row r="1541">
      <c r="A1541" s="82">
        <f>IF(CriteriTecnici!$A1440="","","    "&amp;CHAR(123)&amp;CHAR(34)&amp;"bidderId"&amp;CHAR(34)&amp;": "&amp;CHAR(34)&amp;SUBSTITUTE(CriteriTecnici!$A1440,CHAR(34),"'")&amp;CHAR(34)&amp;", "&amp;CHAR(34)&amp;"lotId"&amp;CHAR(34)&amp;": "&amp;CHAR(34)&amp;SUBSTITUTE(CriteriTecnici!$C1440,CHAR(34),"'")&amp;CHAR(34)&amp;", "&amp;CHAR(34)&amp;"criterionId"&amp;CHAR(34)&amp;": "&amp;CHAR(34)&amp;SUBSTITUTE(CriteriTecnici!$D1440,CHAR(34),"'")&amp;CHAR(34)&amp;", "&amp;CHAR(34)&amp;"kind"&amp;CHAR(34)&amp;": "&amp;CHAR(34)&amp;SUBSTITUTE(CriteriTecnici!$F1440,CHAR(34),"'")&amp;CHAR(34)&amp;", "&amp;CHAR(34)&amp;"value"&amp;CHAR(34)&amp;": "&amp;SUBSTITUTE(TRIM(ROUND(IFERROR(CriteriTecnici!$N1440*1,IFERROR(NUMBERVALUE(CriteriTecnici!$N1440,".",","),IFERROR(NUMBERVALUE(CriteriTecnici!$N1440,",","."),0))),4)&amp;""),",",".")&amp;", "&amp;CHAR(34)&amp;"numerator"&amp;CHAR(34)&amp;": "&amp;SUBSTITUTE(TRIM(ROUND(IFERROR(CriteriTecnici!$K1440*1,IFERROR(NUMBERVALUE(CriteriTecnici!$K1440,".",","),IFERROR(NUMBERVALUE(CriteriTecnici!$K1440,",","."),0))),4)&amp;""),",",".")&amp;", "&amp;CHAR(34)&amp;"denominator"&amp;CHAR(34)&amp;": "&amp;SUBSTITUTE(TRIM(ROUND(IFERROR(CriteriTecnici!$L1440*1,IFERROR(NUMBERVALUE(CriteriTecnici!$L1440,".",","),IFERROR(NUMBERVALUE(CriteriTecnici!$L1440,",","."),0))),4)&amp;""),",",".")&amp;", "&amp;CHAR(34)&amp;"flag"&amp;CHAR(34)&amp;": "&amp;SUBSTITUTE(TRIM(ROUND(IFERROR(CriteriTecnici!$M1440*1,IFERROR(NUMBERVALUE(CriteriTecnici!$M1440,".",","),IFERROR(NUMBERVALUE(CriteriTecnici!$M1440,",","."),0))),4)&amp;""),",",".")&amp;", "&amp;CHAR(34)&amp;"rawScore"&amp;CHAR(34)&amp;": "&amp;SUBSTITUTE(TRIM(ROUND(IFERROR(CriteriTecnici!$O1440*1,IFERROR(NUMBERVALUE(CriteriTecnici!$O1440,".",","),IFERROR(NUMBERVALUE(CriteriTecnici!$O1440,",","."),0))),4)&amp;""),",",".")&amp;CHAR(125)&amp;IF(TRUE,",",""))</f>
        <v/>
      </c>
    </row>
    <row r="1542">
      <c r="A1542" s="82">
        <f>IF(CriteriTecnici!$A1441="","","    "&amp;CHAR(123)&amp;CHAR(34)&amp;"bidderId"&amp;CHAR(34)&amp;": "&amp;CHAR(34)&amp;SUBSTITUTE(CriteriTecnici!$A1441,CHAR(34),"'")&amp;CHAR(34)&amp;", "&amp;CHAR(34)&amp;"lotId"&amp;CHAR(34)&amp;": "&amp;CHAR(34)&amp;SUBSTITUTE(CriteriTecnici!$C1441,CHAR(34),"'")&amp;CHAR(34)&amp;", "&amp;CHAR(34)&amp;"criterionId"&amp;CHAR(34)&amp;": "&amp;CHAR(34)&amp;SUBSTITUTE(CriteriTecnici!$D1441,CHAR(34),"'")&amp;CHAR(34)&amp;", "&amp;CHAR(34)&amp;"kind"&amp;CHAR(34)&amp;": "&amp;CHAR(34)&amp;SUBSTITUTE(CriteriTecnici!$F1441,CHAR(34),"'")&amp;CHAR(34)&amp;", "&amp;CHAR(34)&amp;"value"&amp;CHAR(34)&amp;": "&amp;SUBSTITUTE(TRIM(ROUND(IFERROR(CriteriTecnici!$N1441*1,IFERROR(NUMBERVALUE(CriteriTecnici!$N1441,".",","),IFERROR(NUMBERVALUE(CriteriTecnici!$N1441,",","."),0))),4)&amp;""),",",".")&amp;", "&amp;CHAR(34)&amp;"numerator"&amp;CHAR(34)&amp;": "&amp;SUBSTITUTE(TRIM(ROUND(IFERROR(CriteriTecnici!$K1441*1,IFERROR(NUMBERVALUE(CriteriTecnici!$K1441,".",","),IFERROR(NUMBERVALUE(CriteriTecnici!$K1441,",","."),0))),4)&amp;""),",",".")&amp;", "&amp;CHAR(34)&amp;"denominator"&amp;CHAR(34)&amp;": "&amp;SUBSTITUTE(TRIM(ROUND(IFERROR(CriteriTecnici!$L1441*1,IFERROR(NUMBERVALUE(CriteriTecnici!$L1441,".",","),IFERROR(NUMBERVALUE(CriteriTecnici!$L1441,",","."),0))),4)&amp;""),",",".")&amp;", "&amp;CHAR(34)&amp;"flag"&amp;CHAR(34)&amp;": "&amp;SUBSTITUTE(TRIM(ROUND(IFERROR(CriteriTecnici!$M1441*1,IFERROR(NUMBERVALUE(CriteriTecnici!$M1441,".",","),IFERROR(NUMBERVALUE(CriteriTecnici!$M1441,",","."),0))),4)&amp;""),",",".")&amp;", "&amp;CHAR(34)&amp;"rawScore"&amp;CHAR(34)&amp;": "&amp;SUBSTITUTE(TRIM(ROUND(IFERROR(CriteriTecnici!$O1441*1,IFERROR(NUMBERVALUE(CriteriTecnici!$O1441,".",","),IFERROR(NUMBERVALUE(CriteriTecnici!$O1441,",","."),0))),4)&amp;""),",",".")&amp;CHAR(125)&amp;IF(TRUE,",",""))</f>
        <v/>
      </c>
    </row>
    <row r="1543">
      <c r="A1543" s="82">
        <f>IF(CriteriTecnici!$A1442="","","    "&amp;CHAR(123)&amp;CHAR(34)&amp;"bidderId"&amp;CHAR(34)&amp;": "&amp;CHAR(34)&amp;SUBSTITUTE(CriteriTecnici!$A1442,CHAR(34),"'")&amp;CHAR(34)&amp;", "&amp;CHAR(34)&amp;"lotId"&amp;CHAR(34)&amp;": "&amp;CHAR(34)&amp;SUBSTITUTE(CriteriTecnici!$C1442,CHAR(34),"'")&amp;CHAR(34)&amp;", "&amp;CHAR(34)&amp;"criterionId"&amp;CHAR(34)&amp;": "&amp;CHAR(34)&amp;SUBSTITUTE(CriteriTecnici!$D1442,CHAR(34),"'")&amp;CHAR(34)&amp;", "&amp;CHAR(34)&amp;"kind"&amp;CHAR(34)&amp;": "&amp;CHAR(34)&amp;SUBSTITUTE(CriteriTecnici!$F1442,CHAR(34),"'")&amp;CHAR(34)&amp;", "&amp;CHAR(34)&amp;"value"&amp;CHAR(34)&amp;": "&amp;SUBSTITUTE(TRIM(ROUND(IFERROR(CriteriTecnici!$N1442*1,IFERROR(NUMBERVALUE(CriteriTecnici!$N1442,".",","),IFERROR(NUMBERVALUE(CriteriTecnici!$N1442,",","."),0))),4)&amp;""),",",".")&amp;", "&amp;CHAR(34)&amp;"numerator"&amp;CHAR(34)&amp;": "&amp;SUBSTITUTE(TRIM(ROUND(IFERROR(CriteriTecnici!$K1442*1,IFERROR(NUMBERVALUE(CriteriTecnici!$K1442,".",","),IFERROR(NUMBERVALUE(CriteriTecnici!$K1442,",","."),0))),4)&amp;""),",",".")&amp;", "&amp;CHAR(34)&amp;"denominator"&amp;CHAR(34)&amp;": "&amp;SUBSTITUTE(TRIM(ROUND(IFERROR(CriteriTecnici!$L1442*1,IFERROR(NUMBERVALUE(CriteriTecnici!$L1442,".",","),IFERROR(NUMBERVALUE(CriteriTecnici!$L1442,",","."),0))),4)&amp;""),",",".")&amp;", "&amp;CHAR(34)&amp;"flag"&amp;CHAR(34)&amp;": "&amp;SUBSTITUTE(TRIM(ROUND(IFERROR(CriteriTecnici!$M1442*1,IFERROR(NUMBERVALUE(CriteriTecnici!$M1442,".",","),IFERROR(NUMBERVALUE(CriteriTecnici!$M1442,",","."),0))),4)&amp;""),",",".")&amp;", "&amp;CHAR(34)&amp;"rawScore"&amp;CHAR(34)&amp;": "&amp;SUBSTITUTE(TRIM(ROUND(IFERROR(CriteriTecnici!$O1442*1,IFERROR(NUMBERVALUE(CriteriTecnici!$O1442,".",","),IFERROR(NUMBERVALUE(CriteriTecnici!$O1442,",","."),0))),4)&amp;""),",",".")&amp;CHAR(125)&amp;IF(TRUE,",",""))</f>
        <v/>
      </c>
    </row>
    <row r="1544">
      <c r="A1544" s="82">
        <f>IF(CriteriTecnici!$A1443="","","    "&amp;CHAR(123)&amp;CHAR(34)&amp;"bidderId"&amp;CHAR(34)&amp;": "&amp;CHAR(34)&amp;SUBSTITUTE(CriteriTecnici!$A1443,CHAR(34),"'")&amp;CHAR(34)&amp;", "&amp;CHAR(34)&amp;"lotId"&amp;CHAR(34)&amp;": "&amp;CHAR(34)&amp;SUBSTITUTE(CriteriTecnici!$C1443,CHAR(34),"'")&amp;CHAR(34)&amp;", "&amp;CHAR(34)&amp;"criterionId"&amp;CHAR(34)&amp;": "&amp;CHAR(34)&amp;SUBSTITUTE(CriteriTecnici!$D1443,CHAR(34),"'")&amp;CHAR(34)&amp;", "&amp;CHAR(34)&amp;"kind"&amp;CHAR(34)&amp;": "&amp;CHAR(34)&amp;SUBSTITUTE(CriteriTecnici!$F1443,CHAR(34),"'")&amp;CHAR(34)&amp;", "&amp;CHAR(34)&amp;"value"&amp;CHAR(34)&amp;": "&amp;SUBSTITUTE(TRIM(ROUND(IFERROR(CriteriTecnici!$N1443*1,IFERROR(NUMBERVALUE(CriteriTecnici!$N1443,".",","),IFERROR(NUMBERVALUE(CriteriTecnici!$N1443,",","."),0))),4)&amp;""),",",".")&amp;", "&amp;CHAR(34)&amp;"numerator"&amp;CHAR(34)&amp;": "&amp;SUBSTITUTE(TRIM(ROUND(IFERROR(CriteriTecnici!$K1443*1,IFERROR(NUMBERVALUE(CriteriTecnici!$K1443,".",","),IFERROR(NUMBERVALUE(CriteriTecnici!$K1443,",","."),0))),4)&amp;""),",",".")&amp;", "&amp;CHAR(34)&amp;"denominator"&amp;CHAR(34)&amp;": "&amp;SUBSTITUTE(TRIM(ROUND(IFERROR(CriteriTecnici!$L1443*1,IFERROR(NUMBERVALUE(CriteriTecnici!$L1443,".",","),IFERROR(NUMBERVALUE(CriteriTecnici!$L1443,",","."),0))),4)&amp;""),",",".")&amp;", "&amp;CHAR(34)&amp;"flag"&amp;CHAR(34)&amp;": "&amp;SUBSTITUTE(TRIM(ROUND(IFERROR(CriteriTecnici!$M1443*1,IFERROR(NUMBERVALUE(CriteriTecnici!$M1443,".",","),IFERROR(NUMBERVALUE(CriteriTecnici!$M1443,",","."),0))),4)&amp;""),",",".")&amp;", "&amp;CHAR(34)&amp;"rawScore"&amp;CHAR(34)&amp;": "&amp;SUBSTITUTE(TRIM(ROUND(IFERROR(CriteriTecnici!$O1443*1,IFERROR(NUMBERVALUE(CriteriTecnici!$O1443,".",","),IFERROR(NUMBERVALUE(CriteriTecnici!$O1443,",","."),0))),4)&amp;""),",",".")&amp;CHAR(125)&amp;IF(TRUE,",",""))</f>
        <v/>
      </c>
    </row>
    <row r="1545">
      <c r="A1545" s="82">
        <f>IF(CriteriTecnici!$A1444="","","    "&amp;CHAR(123)&amp;CHAR(34)&amp;"bidderId"&amp;CHAR(34)&amp;": "&amp;CHAR(34)&amp;SUBSTITUTE(CriteriTecnici!$A1444,CHAR(34),"'")&amp;CHAR(34)&amp;", "&amp;CHAR(34)&amp;"lotId"&amp;CHAR(34)&amp;": "&amp;CHAR(34)&amp;SUBSTITUTE(CriteriTecnici!$C1444,CHAR(34),"'")&amp;CHAR(34)&amp;", "&amp;CHAR(34)&amp;"criterionId"&amp;CHAR(34)&amp;": "&amp;CHAR(34)&amp;SUBSTITUTE(CriteriTecnici!$D1444,CHAR(34),"'")&amp;CHAR(34)&amp;", "&amp;CHAR(34)&amp;"kind"&amp;CHAR(34)&amp;": "&amp;CHAR(34)&amp;SUBSTITUTE(CriteriTecnici!$F1444,CHAR(34),"'")&amp;CHAR(34)&amp;", "&amp;CHAR(34)&amp;"value"&amp;CHAR(34)&amp;": "&amp;SUBSTITUTE(TRIM(ROUND(IFERROR(CriteriTecnici!$N1444*1,IFERROR(NUMBERVALUE(CriteriTecnici!$N1444,".",","),IFERROR(NUMBERVALUE(CriteriTecnici!$N1444,",","."),0))),4)&amp;""),",",".")&amp;", "&amp;CHAR(34)&amp;"numerator"&amp;CHAR(34)&amp;": "&amp;SUBSTITUTE(TRIM(ROUND(IFERROR(CriteriTecnici!$K1444*1,IFERROR(NUMBERVALUE(CriteriTecnici!$K1444,".",","),IFERROR(NUMBERVALUE(CriteriTecnici!$K1444,",","."),0))),4)&amp;""),",",".")&amp;", "&amp;CHAR(34)&amp;"denominator"&amp;CHAR(34)&amp;": "&amp;SUBSTITUTE(TRIM(ROUND(IFERROR(CriteriTecnici!$L1444*1,IFERROR(NUMBERVALUE(CriteriTecnici!$L1444,".",","),IFERROR(NUMBERVALUE(CriteriTecnici!$L1444,",","."),0))),4)&amp;""),",",".")&amp;", "&amp;CHAR(34)&amp;"flag"&amp;CHAR(34)&amp;": "&amp;SUBSTITUTE(TRIM(ROUND(IFERROR(CriteriTecnici!$M1444*1,IFERROR(NUMBERVALUE(CriteriTecnici!$M1444,".",","),IFERROR(NUMBERVALUE(CriteriTecnici!$M1444,",","."),0))),4)&amp;""),",",".")&amp;", "&amp;CHAR(34)&amp;"rawScore"&amp;CHAR(34)&amp;": "&amp;SUBSTITUTE(TRIM(ROUND(IFERROR(CriteriTecnici!$O1444*1,IFERROR(NUMBERVALUE(CriteriTecnici!$O1444,".",","),IFERROR(NUMBERVALUE(CriteriTecnici!$O1444,",","."),0))),4)&amp;""),",",".")&amp;CHAR(125)&amp;IF(TRUE,",",""))</f>
        <v/>
      </c>
    </row>
    <row r="1546">
      <c r="A1546" s="82">
        <f>IF(CriteriTecnici!$A1445="","","    "&amp;CHAR(123)&amp;CHAR(34)&amp;"bidderId"&amp;CHAR(34)&amp;": "&amp;CHAR(34)&amp;SUBSTITUTE(CriteriTecnici!$A1445,CHAR(34),"'")&amp;CHAR(34)&amp;", "&amp;CHAR(34)&amp;"lotId"&amp;CHAR(34)&amp;": "&amp;CHAR(34)&amp;SUBSTITUTE(CriteriTecnici!$C1445,CHAR(34),"'")&amp;CHAR(34)&amp;", "&amp;CHAR(34)&amp;"criterionId"&amp;CHAR(34)&amp;": "&amp;CHAR(34)&amp;SUBSTITUTE(CriteriTecnici!$D1445,CHAR(34),"'")&amp;CHAR(34)&amp;", "&amp;CHAR(34)&amp;"kind"&amp;CHAR(34)&amp;": "&amp;CHAR(34)&amp;SUBSTITUTE(CriteriTecnici!$F1445,CHAR(34),"'")&amp;CHAR(34)&amp;", "&amp;CHAR(34)&amp;"value"&amp;CHAR(34)&amp;": "&amp;SUBSTITUTE(TRIM(ROUND(IFERROR(CriteriTecnici!$N1445*1,IFERROR(NUMBERVALUE(CriteriTecnici!$N1445,".",","),IFERROR(NUMBERVALUE(CriteriTecnici!$N1445,",","."),0))),4)&amp;""),",",".")&amp;", "&amp;CHAR(34)&amp;"numerator"&amp;CHAR(34)&amp;": "&amp;SUBSTITUTE(TRIM(ROUND(IFERROR(CriteriTecnici!$K1445*1,IFERROR(NUMBERVALUE(CriteriTecnici!$K1445,".",","),IFERROR(NUMBERVALUE(CriteriTecnici!$K1445,",","."),0))),4)&amp;""),",",".")&amp;", "&amp;CHAR(34)&amp;"denominator"&amp;CHAR(34)&amp;": "&amp;SUBSTITUTE(TRIM(ROUND(IFERROR(CriteriTecnici!$L1445*1,IFERROR(NUMBERVALUE(CriteriTecnici!$L1445,".",","),IFERROR(NUMBERVALUE(CriteriTecnici!$L1445,",","."),0))),4)&amp;""),",",".")&amp;", "&amp;CHAR(34)&amp;"flag"&amp;CHAR(34)&amp;": "&amp;SUBSTITUTE(TRIM(ROUND(IFERROR(CriteriTecnici!$M1445*1,IFERROR(NUMBERVALUE(CriteriTecnici!$M1445,".",","),IFERROR(NUMBERVALUE(CriteriTecnici!$M1445,",","."),0))),4)&amp;""),",",".")&amp;", "&amp;CHAR(34)&amp;"rawScore"&amp;CHAR(34)&amp;": "&amp;SUBSTITUTE(TRIM(ROUND(IFERROR(CriteriTecnici!$O1445*1,IFERROR(NUMBERVALUE(CriteriTecnici!$O1445,".",","),IFERROR(NUMBERVALUE(CriteriTecnici!$O1445,",","."),0))),4)&amp;""),",",".")&amp;CHAR(125)&amp;IF(TRUE,",",""))</f>
        <v/>
      </c>
    </row>
    <row r="1547">
      <c r="A1547" s="82">
        <f>IF(CriteriTecnici!$A1446="","","    "&amp;CHAR(123)&amp;CHAR(34)&amp;"bidderId"&amp;CHAR(34)&amp;": "&amp;CHAR(34)&amp;SUBSTITUTE(CriteriTecnici!$A1446,CHAR(34),"'")&amp;CHAR(34)&amp;", "&amp;CHAR(34)&amp;"lotId"&amp;CHAR(34)&amp;": "&amp;CHAR(34)&amp;SUBSTITUTE(CriteriTecnici!$C1446,CHAR(34),"'")&amp;CHAR(34)&amp;", "&amp;CHAR(34)&amp;"criterionId"&amp;CHAR(34)&amp;": "&amp;CHAR(34)&amp;SUBSTITUTE(CriteriTecnici!$D1446,CHAR(34),"'")&amp;CHAR(34)&amp;", "&amp;CHAR(34)&amp;"kind"&amp;CHAR(34)&amp;": "&amp;CHAR(34)&amp;SUBSTITUTE(CriteriTecnici!$F1446,CHAR(34),"'")&amp;CHAR(34)&amp;", "&amp;CHAR(34)&amp;"value"&amp;CHAR(34)&amp;": "&amp;SUBSTITUTE(TRIM(ROUND(IFERROR(CriteriTecnici!$N1446*1,IFERROR(NUMBERVALUE(CriteriTecnici!$N1446,".",","),IFERROR(NUMBERVALUE(CriteriTecnici!$N1446,",","."),0))),4)&amp;""),",",".")&amp;", "&amp;CHAR(34)&amp;"numerator"&amp;CHAR(34)&amp;": "&amp;SUBSTITUTE(TRIM(ROUND(IFERROR(CriteriTecnici!$K1446*1,IFERROR(NUMBERVALUE(CriteriTecnici!$K1446,".",","),IFERROR(NUMBERVALUE(CriteriTecnici!$K1446,",","."),0))),4)&amp;""),",",".")&amp;", "&amp;CHAR(34)&amp;"denominator"&amp;CHAR(34)&amp;": "&amp;SUBSTITUTE(TRIM(ROUND(IFERROR(CriteriTecnici!$L1446*1,IFERROR(NUMBERVALUE(CriteriTecnici!$L1446,".",","),IFERROR(NUMBERVALUE(CriteriTecnici!$L1446,",","."),0))),4)&amp;""),",",".")&amp;", "&amp;CHAR(34)&amp;"flag"&amp;CHAR(34)&amp;": "&amp;SUBSTITUTE(TRIM(ROUND(IFERROR(CriteriTecnici!$M1446*1,IFERROR(NUMBERVALUE(CriteriTecnici!$M1446,".",","),IFERROR(NUMBERVALUE(CriteriTecnici!$M1446,",","."),0))),4)&amp;""),",",".")&amp;", "&amp;CHAR(34)&amp;"rawScore"&amp;CHAR(34)&amp;": "&amp;SUBSTITUTE(TRIM(ROUND(IFERROR(CriteriTecnici!$O1446*1,IFERROR(NUMBERVALUE(CriteriTecnici!$O1446,".",","),IFERROR(NUMBERVALUE(CriteriTecnici!$O1446,",","."),0))),4)&amp;""),",",".")&amp;CHAR(125)&amp;IF(TRUE,",",""))</f>
        <v/>
      </c>
    </row>
    <row r="1548">
      <c r="A1548" s="82">
        <f>IF(CriteriTecnici!$A1447="","","    "&amp;CHAR(123)&amp;CHAR(34)&amp;"bidderId"&amp;CHAR(34)&amp;": "&amp;CHAR(34)&amp;SUBSTITUTE(CriteriTecnici!$A1447,CHAR(34),"'")&amp;CHAR(34)&amp;", "&amp;CHAR(34)&amp;"lotId"&amp;CHAR(34)&amp;": "&amp;CHAR(34)&amp;SUBSTITUTE(CriteriTecnici!$C1447,CHAR(34),"'")&amp;CHAR(34)&amp;", "&amp;CHAR(34)&amp;"criterionId"&amp;CHAR(34)&amp;": "&amp;CHAR(34)&amp;SUBSTITUTE(CriteriTecnici!$D1447,CHAR(34),"'")&amp;CHAR(34)&amp;", "&amp;CHAR(34)&amp;"kind"&amp;CHAR(34)&amp;": "&amp;CHAR(34)&amp;SUBSTITUTE(CriteriTecnici!$F1447,CHAR(34),"'")&amp;CHAR(34)&amp;", "&amp;CHAR(34)&amp;"value"&amp;CHAR(34)&amp;": "&amp;SUBSTITUTE(TRIM(ROUND(IFERROR(CriteriTecnici!$N1447*1,IFERROR(NUMBERVALUE(CriteriTecnici!$N1447,".",","),IFERROR(NUMBERVALUE(CriteriTecnici!$N1447,",","."),0))),4)&amp;""),",",".")&amp;", "&amp;CHAR(34)&amp;"numerator"&amp;CHAR(34)&amp;": "&amp;SUBSTITUTE(TRIM(ROUND(IFERROR(CriteriTecnici!$K1447*1,IFERROR(NUMBERVALUE(CriteriTecnici!$K1447,".",","),IFERROR(NUMBERVALUE(CriteriTecnici!$K1447,",","."),0))),4)&amp;""),",",".")&amp;", "&amp;CHAR(34)&amp;"denominator"&amp;CHAR(34)&amp;": "&amp;SUBSTITUTE(TRIM(ROUND(IFERROR(CriteriTecnici!$L1447*1,IFERROR(NUMBERVALUE(CriteriTecnici!$L1447,".",","),IFERROR(NUMBERVALUE(CriteriTecnici!$L1447,",","."),0))),4)&amp;""),",",".")&amp;", "&amp;CHAR(34)&amp;"flag"&amp;CHAR(34)&amp;": "&amp;SUBSTITUTE(TRIM(ROUND(IFERROR(CriteriTecnici!$M1447*1,IFERROR(NUMBERVALUE(CriteriTecnici!$M1447,".",","),IFERROR(NUMBERVALUE(CriteriTecnici!$M1447,",","."),0))),4)&amp;""),",",".")&amp;", "&amp;CHAR(34)&amp;"rawScore"&amp;CHAR(34)&amp;": "&amp;SUBSTITUTE(TRIM(ROUND(IFERROR(CriteriTecnici!$O1447*1,IFERROR(NUMBERVALUE(CriteriTecnici!$O1447,".",","),IFERROR(NUMBERVALUE(CriteriTecnici!$O1447,",","."),0))),4)&amp;""),",",".")&amp;CHAR(125)&amp;IF(TRUE,",",""))</f>
        <v/>
      </c>
    </row>
    <row r="1549">
      <c r="A1549" s="82">
        <f>IF(CriteriTecnici!$A1448="","","    "&amp;CHAR(123)&amp;CHAR(34)&amp;"bidderId"&amp;CHAR(34)&amp;": "&amp;CHAR(34)&amp;SUBSTITUTE(CriteriTecnici!$A1448,CHAR(34),"'")&amp;CHAR(34)&amp;", "&amp;CHAR(34)&amp;"lotId"&amp;CHAR(34)&amp;": "&amp;CHAR(34)&amp;SUBSTITUTE(CriteriTecnici!$C1448,CHAR(34),"'")&amp;CHAR(34)&amp;", "&amp;CHAR(34)&amp;"criterionId"&amp;CHAR(34)&amp;": "&amp;CHAR(34)&amp;SUBSTITUTE(CriteriTecnici!$D1448,CHAR(34),"'")&amp;CHAR(34)&amp;", "&amp;CHAR(34)&amp;"kind"&amp;CHAR(34)&amp;": "&amp;CHAR(34)&amp;SUBSTITUTE(CriteriTecnici!$F1448,CHAR(34),"'")&amp;CHAR(34)&amp;", "&amp;CHAR(34)&amp;"value"&amp;CHAR(34)&amp;": "&amp;SUBSTITUTE(TRIM(ROUND(IFERROR(CriteriTecnici!$N1448*1,IFERROR(NUMBERVALUE(CriteriTecnici!$N1448,".",","),IFERROR(NUMBERVALUE(CriteriTecnici!$N1448,",","."),0))),4)&amp;""),",",".")&amp;", "&amp;CHAR(34)&amp;"numerator"&amp;CHAR(34)&amp;": "&amp;SUBSTITUTE(TRIM(ROUND(IFERROR(CriteriTecnici!$K1448*1,IFERROR(NUMBERVALUE(CriteriTecnici!$K1448,".",","),IFERROR(NUMBERVALUE(CriteriTecnici!$K1448,",","."),0))),4)&amp;""),",",".")&amp;", "&amp;CHAR(34)&amp;"denominator"&amp;CHAR(34)&amp;": "&amp;SUBSTITUTE(TRIM(ROUND(IFERROR(CriteriTecnici!$L1448*1,IFERROR(NUMBERVALUE(CriteriTecnici!$L1448,".",","),IFERROR(NUMBERVALUE(CriteriTecnici!$L1448,",","."),0))),4)&amp;""),",",".")&amp;", "&amp;CHAR(34)&amp;"flag"&amp;CHAR(34)&amp;": "&amp;SUBSTITUTE(TRIM(ROUND(IFERROR(CriteriTecnici!$M1448*1,IFERROR(NUMBERVALUE(CriteriTecnici!$M1448,".",","),IFERROR(NUMBERVALUE(CriteriTecnici!$M1448,",","."),0))),4)&amp;""),",",".")&amp;", "&amp;CHAR(34)&amp;"rawScore"&amp;CHAR(34)&amp;": "&amp;SUBSTITUTE(TRIM(ROUND(IFERROR(CriteriTecnici!$O1448*1,IFERROR(NUMBERVALUE(CriteriTecnici!$O1448,".",","),IFERROR(NUMBERVALUE(CriteriTecnici!$O1448,",","."),0))),4)&amp;""),",",".")&amp;CHAR(125)&amp;IF(TRUE,",",""))</f>
        <v/>
      </c>
    </row>
    <row r="1550">
      <c r="A1550" s="82">
        <f>IF(CriteriTecnici!$A1449="","","    "&amp;CHAR(123)&amp;CHAR(34)&amp;"bidderId"&amp;CHAR(34)&amp;": "&amp;CHAR(34)&amp;SUBSTITUTE(CriteriTecnici!$A1449,CHAR(34),"'")&amp;CHAR(34)&amp;", "&amp;CHAR(34)&amp;"lotId"&amp;CHAR(34)&amp;": "&amp;CHAR(34)&amp;SUBSTITUTE(CriteriTecnici!$C1449,CHAR(34),"'")&amp;CHAR(34)&amp;", "&amp;CHAR(34)&amp;"criterionId"&amp;CHAR(34)&amp;": "&amp;CHAR(34)&amp;SUBSTITUTE(CriteriTecnici!$D1449,CHAR(34),"'")&amp;CHAR(34)&amp;", "&amp;CHAR(34)&amp;"kind"&amp;CHAR(34)&amp;": "&amp;CHAR(34)&amp;SUBSTITUTE(CriteriTecnici!$F1449,CHAR(34),"'")&amp;CHAR(34)&amp;", "&amp;CHAR(34)&amp;"value"&amp;CHAR(34)&amp;": "&amp;SUBSTITUTE(TRIM(ROUND(IFERROR(CriteriTecnici!$N1449*1,IFERROR(NUMBERVALUE(CriteriTecnici!$N1449,".",","),IFERROR(NUMBERVALUE(CriteriTecnici!$N1449,",","."),0))),4)&amp;""),",",".")&amp;", "&amp;CHAR(34)&amp;"numerator"&amp;CHAR(34)&amp;": "&amp;SUBSTITUTE(TRIM(ROUND(IFERROR(CriteriTecnici!$K1449*1,IFERROR(NUMBERVALUE(CriteriTecnici!$K1449,".",","),IFERROR(NUMBERVALUE(CriteriTecnici!$K1449,",","."),0))),4)&amp;""),",",".")&amp;", "&amp;CHAR(34)&amp;"denominator"&amp;CHAR(34)&amp;": "&amp;SUBSTITUTE(TRIM(ROUND(IFERROR(CriteriTecnici!$L1449*1,IFERROR(NUMBERVALUE(CriteriTecnici!$L1449,".",","),IFERROR(NUMBERVALUE(CriteriTecnici!$L1449,",","."),0))),4)&amp;""),",",".")&amp;", "&amp;CHAR(34)&amp;"flag"&amp;CHAR(34)&amp;": "&amp;SUBSTITUTE(TRIM(ROUND(IFERROR(CriteriTecnici!$M1449*1,IFERROR(NUMBERVALUE(CriteriTecnici!$M1449,".",","),IFERROR(NUMBERVALUE(CriteriTecnici!$M1449,",","."),0))),4)&amp;""),",",".")&amp;", "&amp;CHAR(34)&amp;"rawScore"&amp;CHAR(34)&amp;": "&amp;SUBSTITUTE(TRIM(ROUND(IFERROR(CriteriTecnici!$O1449*1,IFERROR(NUMBERVALUE(CriteriTecnici!$O1449,".",","),IFERROR(NUMBERVALUE(CriteriTecnici!$O1449,",","."),0))),4)&amp;""),",",".")&amp;CHAR(125)&amp;IF(TRUE,",",""))</f>
        <v/>
      </c>
    </row>
    <row r="1551">
      <c r="A1551" s="82">
        <f>IF(CriteriTecnici!$A1450="","","    "&amp;CHAR(123)&amp;CHAR(34)&amp;"bidderId"&amp;CHAR(34)&amp;": "&amp;CHAR(34)&amp;SUBSTITUTE(CriteriTecnici!$A1450,CHAR(34),"'")&amp;CHAR(34)&amp;", "&amp;CHAR(34)&amp;"lotId"&amp;CHAR(34)&amp;": "&amp;CHAR(34)&amp;SUBSTITUTE(CriteriTecnici!$C1450,CHAR(34),"'")&amp;CHAR(34)&amp;", "&amp;CHAR(34)&amp;"criterionId"&amp;CHAR(34)&amp;": "&amp;CHAR(34)&amp;SUBSTITUTE(CriteriTecnici!$D1450,CHAR(34),"'")&amp;CHAR(34)&amp;", "&amp;CHAR(34)&amp;"kind"&amp;CHAR(34)&amp;": "&amp;CHAR(34)&amp;SUBSTITUTE(CriteriTecnici!$F1450,CHAR(34),"'")&amp;CHAR(34)&amp;", "&amp;CHAR(34)&amp;"value"&amp;CHAR(34)&amp;": "&amp;SUBSTITUTE(TRIM(ROUND(IFERROR(CriteriTecnici!$N1450*1,IFERROR(NUMBERVALUE(CriteriTecnici!$N1450,".",","),IFERROR(NUMBERVALUE(CriteriTecnici!$N1450,",","."),0))),4)&amp;""),",",".")&amp;", "&amp;CHAR(34)&amp;"numerator"&amp;CHAR(34)&amp;": "&amp;SUBSTITUTE(TRIM(ROUND(IFERROR(CriteriTecnici!$K1450*1,IFERROR(NUMBERVALUE(CriteriTecnici!$K1450,".",","),IFERROR(NUMBERVALUE(CriteriTecnici!$K1450,",","."),0))),4)&amp;""),",",".")&amp;", "&amp;CHAR(34)&amp;"denominator"&amp;CHAR(34)&amp;": "&amp;SUBSTITUTE(TRIM(ROUND(IFERROR(CriteriTecnici!$L1450*1,IFERROR(NUMBERVALUE(CriteriTecnici!$L1450,".",","),IFERROR(NUMBERVALUE(CriteriTecnici!$L1450,",","."),0))),4)&amp;""),",",".")&amp;", "&amp;CHAR(34)&amp;"flag"&amp;CHAR(34)&amp;": "&amp;SUBSTITUTE(TRIM(ROUND(IFERROR(CriteriTecnici!$M1450*1,IFERROR(NUMBERVALUE(CriteriTecnici!$M1450,".",","),IFERROR(NUMBERVALUE(CriteriTecnici!$M1450,",","."),0))),4)&amp;""),",",".")&amp;", "&amp;CHAR(34)&amp;"rawScore"&amp;CHAR(34)&amp;": "&amp;SUBSTITUTE(TRIM(ROUND(IFERROR(CriteriTecnici!$O1450*1,IFERROR(NUMBERVALUE(CriteriTecnici!$O1450,".",","),IFERROR(NUMBERVALUE(CriteriTecnici!$O1450,",","."),0))),4)&amp;""),",",".")&amp;CHAR(125)&amp;IF(TRUE,",",""))</f>
        <v/>
      </c>
    </row>
    <row r="1552">
      <c r="A1552" s="82">
        <f>IF(CriteriTecnici!$A1451="","","    "&amp;CHAR(123)&amp;CHAR(34)&amp;"bidderId"&amp;CHAR(34)&amp;": "&amp;CHAR(34)&amp;SUBSTITUTE(CriteriTecnici!$A1451,CHAR(34),"'")&amp;CHAR(34)&amp;", "&amp;CHAR(34)&amp;"lotId"&amp;CHAR(34)&amp;": "&amp;CHAR(34)&amp;SUBSTITUTE(CriteriTecnici!$C1451,CHAR(34),"'")&amp;CHAR(34)&amp;", "&amp;CHAR(34)&amp;"criterionId"&amp;CHAR(34)&amp;": "&amp;CHAR(34)&amp;SUBSTITUTE(CriteriTecnici!$D1451,CHAR(34),"'")&amp;CHAR(34)&amp;", "&amp;CHAR(34)&amp;"kind"&amp;CHAR(34)&amp;": "&amp;CHAR(34)&amp;SUBSTITUTE(CriteriTecnici!$F1451,CHAR(34),"'")&amp;CHAR(34)&amp;", "&amp;CHAR(34)&amp;"value"&amp;CHAR(34)&amp;": "&amp;SUBSTITUTE(TRIM(ROUND(IFERROR(CriteriTecnici!$N1451*1,IFERROR(NUMBERVALUE(CriteriTecnici!$N1451,".",","),IFERROR(NUMBERVALUE(CriteriTecnici!$N1451,",","."),0))),4)&amp;""),",",".")&amp;", "&amp;CHAR(34)&amp;"numerator"&amp;CHAR(34)&amp;": "&amp;SUBSTITUTE(TRIM(ROUND(IFERROR(CriteriTecnici!$K1451*1,IFERROR(NUMBERVALUE(CriteriTecnici!$K1451,".",","),IFERROR(NUMBERVALUE(CriteriTecnici!$K1451,",","."),0))),4)&amp;""),",",".")&amp;", "&amp;CHAR(34)&amp;"denominator"&amp;CHAR(34)&amp;": "&amp;SUBSTITUTE(TRIM(ROUND(IFERROR(CriteriTecnici!$L1451*1,IFERROR(NUMBERVALUE(CriteriTecnici!$L1451,".",","),IFERROR(NUMBERVALUE(CriteriTecnici!$L1451,",","."),0))),4)&amp;""),",",".")&amp;", "&amp;CHAR(34)&amp;"flag"&amp;CHAR(34)&amp;": "&amp;SUBSTITUTE(TRIM(ROUND(IFERROR(CriteriTecnici!$M1451*1,IFERROR(NUMBERVALUE(CriteriTecnici!$M1451,".",","),IFERROR(NUMBERVALUE(CriteriTecnici!$M1451,",","."),0))),4)&amp;""),",",".")&amp;", "&amp;CHAR(34)&amp;"rawScore"&amp;CHAR(34)&amp;": "&amp;SUBSTITUTE(TRIM(ROUND(IFERROR(CriteriTecnici!$O1451*1,IFERROR(NUMBERVALUE(CriteriTecnici!$O1451,".",","),IFERROR(NUMBERVALUE(CriteriTecnici!$O1451,",","."),0))),4)&amp;""),",",".")&amp;CHAR(125)&amp;IF(TRUE,",",""))</f>
        <v/>
      </c>
    </row>
    <row r="1553">
      <c r="A1553" s="82">
        <f>IF(CriteriTecnici!$A1452="","","    "&amp;CHAR(123)&amp;CHAR(34)&amp;"bidderId"&amp;CHAR(34)&amp;": "&amp;CHAR(34)&amp;SUBSTITUTE(CriteriTecnici!$A1452,CHAR(34),"'")&amp;CHAR(34)&amp;", "&amp;CHAR(34)&amp;"lotId"&amp;CHAR(34)&amp;": "&amp;CHAR(34)&amp;SUBSTITUTE(CriteriTecnici!$C1452,CHAR(34),"'")&amp;CHAR(34)&amp;", "&amp;CHAR(34)&amp;"criterionId"&amp;CHAR(34)&amp;": "&amp;CHAR(34)&amp;SUBSTITUTE(CriteriTecnici!$D1452,CHAR(34),"'")&amp;CHAR(34)&amp;", "&amp;CHAR(34)&amp;"kind"&amp;CHAR(34)&amp;": "&amp;CHAR(34)&amp;SUBSTITUTE(CriteriTecnici!$F1452,CHAR(34),"'")&amp;CHAR(34)&amp;", "&amp;CHAR(34)&amp;"value"&amp;CHAR(34)&amp;": "&amp;SUBSTITUTE(TRIM(ROUND(IFERROR(CriteriTecnici!$N1452*1,IFERROR(NUMBERVALUE(CriteriTecnici!$N1452,".",","),IFERROR(NUMBERVALUE(CriteriTecnici!$N1452,",","."),0))),4)&amp;""),",",".")&amp;", "&amp;CHAR(34)&amp;"numerator"&amp;CHAR(34)&amp;": "&amp;SUBSTITUTE(TRIM(ROUND(IFERROR(CriteriTecnici!$K1452*1,IFERROR(NUMBERVALUE(CriteriTecnici!$K1452,".",","),IFERROR(NUMBERVALUE(CriteriTecnici!$K1452,",","."),0))),4)&amp;""),",",".")&amp;", "&amp;CHAR(34)&amp;"denominator"&amp;CHAR(34)&amp;": "&amp;SUBSTITUTE(TRIM(ROUND(IFERROR(CriteriTecnici!$L1452*1,IFERROR(NUMBERVALUE(CriteriTecnici!$L1452,".",","),IFERROR(NUMBERVALUE(CriteriTecnici!$L1452,",","."),0))),4)&amp;""),",",".")&amp;", "&amp;CHAR(34)&amp;"flag"&amp;CHAR(34)&amp;": "&amp;SUBSTITUTE(TRIM(ROUND(IFERROR(CriteriTecnici!$M1452*1,IFERROR(NUMBERVALUE(CriteriTecnici!$M1452,".",","),IFERROR(NUMBERVALUE(CriteriTecnici!$M1452,",","."),0))),4)&amp;""),",",".")&amp;", "&amp;CHAR(34)&amp;"rawScore"&amp;CHAR(34)&amp;": "&amp;SUBSTITUTE(TRIM(ROUND(IFERROR(CriteriTecnici!$O1452*1,IFERROR(NUMBERVALUE(CriteriTecnici!$O1452,".",","),IFERROR(NUMBERVALUE(CriteriTecnici!$O1452,",","."),0))),4)&amp;""),",",".")&amp;CHAR(125)&amp;IF(TRUE,",",""))</f>
        <v/>
      </c>
    </row>
    <row r="1554">
      <c r="A1554" s="82">
        <f>IF(CriteriTecnici!$A1453="","","    "&amp;CHAR(123)&amp;CHAR(34)&amp;"bidderId"&amp;CHAR(34)&amp;": "&amp;CHAR(34)&amp;SUBSTITUTE(CriteriTecnici!$A1453,CHAR(34),"'")&amp;CHAR(34)&amp;", "&amp;CHAR(34)&amp;"lotId"&amp;CHAR(34)&amp;": "&amp;CHAR(34)&amp;SUBSTITUTE(CriteriTecnici!$C1453,CHAR(34),"'")&amp;CHAR(34)&amp;", "&amp;CHAR(34)&amp;"criterionId"&amp;CHAR(34)&amp;": "&amp;CHAR(34)&amp;SUBSTITUTE(CriteriTecnici!$D1453,CHAR(34),"'")&amp;CHAR(34)&amp;", "&amp;CHAR(34)&amp;"kind"&amp;CHAR(34)&amp;": "&amp;CHAR(34)&amp;SUBSTITUTE(CriteriTecnici!$F1453,CHAR(34),"'")&amp;CHAR(34)&amp;", "&amp;CHAR(34)&amp;"value"&amp;CHAR(34)&amp;": "&amp;SUBSTITUTE(TRIM(ROUND(IFERROR(CriteriTecnici!$N1453*1,IFERROR(NUMBERVALUE(CriteriTecnici!$N1453,".",","),IFERROR(NUMBERVALUE(CriteriTecnici!$N1453,",","."),0))),4)&amp;""),",",".")&amp;", "&amp;CHAR(34)&amp;"numerator"&amp;CHAR(34)&amp;": "&amp;SUBSTITUTE(TRIM(ROUND(IFERROR(CriteriTecnici!$K1453*1,IFERROR(NUMBERVALUE(CriteriTecnici!$K1453,".",","),IFERROR(NUMBERVALUE(CriteriTecnici!$K1453,",","."),0))),4)&amp;""),",",".")&amp;", "&amp;CHAR(34)&amp;"denominator"&amp;CHAR(34)&amp;": "&amp;SUBSTITUTE(TRIM(ROUND(IFERROR(CriteriTecnici!$L1453*1,IFERROR(NUMBERVALUE(CriteriTecnici!$L1453,".",","),IFERROR(NUMBERVALUE(CriteriTecnici!$L1453,",","."),0))),4)&amp;""),",",".")&amp;", "&amp;CHAR(34)&amp;"flag"&amp;CHAR(34)&amp;": "&amp;SUBSTITUTE(TRIM(ROUND(IFERROR(CriteriTecnici!$M1453*1,IFERROR(NUMBERVALUE(CriteriTecnici!$M1453,".",","),IFERROR(NUMBERVALUE(CriteriTecnici!$M1453,",","."),0))),4)&amp;""),",",".")&amp;", "&amp;CHAR(34)&amp;"rawScore"&amp;CHAR(34)&amp;": "&amp;SUBSTITUTE(TRIM(ROUND(IFERROR(CriteriTecnici!$O1453*1,IFERROR(NUMBERVALUE(CriteriTecnici!$O1453,".",","),IFERROR(NUMBERVALUE(CriteriTecnici!$O1453,",","."),0))),4)&amp;""),",",".")&amp;CHAR(125)&amp;IF(TRUE,",",""))</f>
        <v/>
      </c>
    </row>
    <row r="1555">
      <c r="A1555" s="82">
        <f>IF(CriteriTecnici!$A1454="","","    "&amp;CHAR(123)&amp;CHAR(34)&amp;"bidderId"&amp;CHAR(34)&amp;": "&amp;CHAR(34)&amp;SUBSTITUTE(CriteriTecnici!$A1454,CHAR(34),"'")&amp;CHAR(34)&amp;", "&amp;CHAR(34)&amp;"lotId"&amp;CHAR(34)&amp;": "&amp;CHAR(34)&amp;SUBSTITUTE(CriteriTecnici!$C1454,CHAR(34),"'")&amp;CHAR(34)&amp;", "&amp;CHAR(34)&amp;"criterionId"&amp;CHAR(34)&amp;": "&amp;CHAR(34)&amp;SUBSTITUTE(CriteriTecnici!$D1454,CHAR(34),"'")&amp;CHAR(34)&amp;", "&amp;CHAR(34)&amp;"kind"&amp;CHAR(34)&amp;": "&amp;CHAR(34)&amp;SUBSTITUTE(CriteriTecnici!$F1454,CHAR(34),"'")&amp;CHAR(34)&amp;", "&amp;CHAR(34)&amp;"value"&amp;CHAR(34)&amp;": "&amp;SUBSTITUTE(TRIM(ROUND(IFERROR(CriteriTecnici!$N1454*1,IFERROR(NUMBERVALUE(CriteriTecnici!$N1454,".",","),IFERROR(NUMBERVALUE(CriteriTecnici!$N1454,",","."),0))),4)&amp;""),",",".")&amp;", "&amp;CHAR(34)&amp;"numerator"&amp;CHAR(34)&amp;": "&amp;SUBSTITUTE(TRIM(ROUND(IFERROR(CriteriTecnici!$K1454*1,IFERROR(NUMBERVALUE(CriteriTecnici!$K1454,".",","),IFERROR(NUMBERVALUE(CriteriTecnici!$K1454,",","."),0))),4)&amp;""),",",".")&amp;", "&amp;CHAR(34)&amp;"denominator"&amp;CHAR(34)&amp;": "&amp;SUBSTITUTE(TRIM(ROUND(IFERROR(CriteriTecnici!$L1454*1,IFERROR(NUMBERVALUE(CriteriTecnici!$L1454,".",","),IFERROR(NUMBERVALUE(CriteriTecnici!$L1454,",","."),0))),4)&amp;""),",",".")&amp;", "&amp;CHAR(34)&amp;"flag"&amp;CHAR(34)&amp;": "&amp;SUBSTITUTE(TRIM(ROUND(IFERROR(CriteriTecnici!$M1454*1,IFERROR(NUMBERVALUE(CriteriTecnici!$M1454,".",","),IFERROR(NUMBERVALUE(CriteriTecnici!$M1454,",","."),0))),4)&amp;""),",",".")&amp;", "&amp;CHAR(34)&amp;"rawScore"&amp;CHAR(34)&amp;": "&amp;SUBSTITUTE(TRIM(ROUND(IFERROR(CriteriTecnici!$O1454*1,IFERROR(NUMBERVALUE(CriteriTecnici!$O1454,".",","),IFERROR(NUMBERVALUE(CriteriTecnici!$O1454,",","."),0))),4)&amp;""),",",".")&amp;CHAR(125)&amp;IF(TRUE,",",""))</f>
        <v/>
      </c>
    </row>
    <row r="1556">
      <c r="A1556" s="82">
        <f>IF(CriteriTecnici!$A1455="","","    "&amp;CHAR(123)&amp;CHAR(34)&amp;"bidderId"&amp;CHAR(34)&amp;": "&amp;CHAR(34)&amp;SUBSTITUTE(CriteriTecnici!$A1455,CHAR(34),"'")&amp;CHAR(34)&amp;", "&amp;CHAR(34)&amp;"lotId"&amp;CHAR(34)&amp;": "&amp;CHAR(34)&amp;SUBSTITUTE(CriteriTecnici!$C1455,CHAR(34),"'")&amp;CHAR(34)&amp;", "&amp;CHAR(34)&amp;"criterionId"&amp;CHAR(34)&amp;": "&amp;CHAR(34)&amp;SUBSTITUTE(CriteriTecnici!$D1455,CHAR(34),"'")&amp;CHAR(34)&amp;", "&amp;CHAR(34)&amp;"kind"&amp;CHAR(34)&amp;": "&amp;CHAR(34)&amp;SUBSTITUTE(CriteriTecnici!$F1455,CHAR(34),"'")&amp;CHAR(34)&amp;", "&amp;CHAR(34)&amp;"value"&amp;CHAR(34)&amp;": "&amp;SUBSTITUTE(TRIM(ROUND(IFERROR(CriteriTecnici!$N1455*1,IFERROR(NUMBERVALUE(CriteriTecnici!$N1455,".",","),IFERROR(NUMBERVALUE(CriteriTecnici!$N1455,",","."),0))),4)&amp;""),",",".")&amp;", "&amp;CHAR(34)&amp;"numerator"&amp;CHAR(34)&amp;": "&amp;SUBSTITUTE(TRIM(ROUND(IFERROR(CriteriTecnici!$K1455*1,IFERROR(NUMBERVALUE(CriteriTecnici!$K1455,".",","),IFERROR(NUMBERVALUE(CriteriTecnici!$K1455,",","."),0))),4)&amp;""),",",".")&amp;", "&amp;CHAR(34)&amp;"denominator"&amp;CHAR(34)&amp;": "&amp;SUBSTITUTE(TRIM(ROUND(IFERROR(CriteriTecnici!$L1455*1,IFERROR(NUMBERVALUE(CriteriTecnici!$L1455,".",","),IFERROR(NUMBERVALUE(CriteriTecnici!$L1455,",","."),0))),4)&amp;""),",",".")&amp;", "&amp;CHAR(34)&amp;"flag"&amp;CHAR(34)&amp;": "&amp;SUBSTITUTE(TRIM(ROUND(IFERROR(CriteriTecnici!$M1455*1,IFERROR(NUMBERVALUE(CriteriTecnici!$M1455,".",","),IFERROR(NUMBERVALUE(CriteriTecnici!$M1455,",","."),0))),4)&amp;""),",",".")&amp;", "&amp;CHAR(34)&amp;"rawScore"&amp;CHAR(34)&amp;": "&amp;SUBSTITUTE(TRIM(ROUND(IFERROR(CriteriTecnici!$O1455*1,IFERROR(NUMBERVALUE(CriteriTecnici!$O1455,".",","),IFERROR(NUMBERVALUE(CriteriTecnici!$O1455,",","."),0))),4)&amp;""),",",".")&amp;CHAR(125)&amp;IF(TRUE,",",""))</f>
        <v/>
      </c>
    </row>
    <row r="1557">
      <c r="A1557" s="82">
        <f>IF(CriteriTecnici!$A1456="","","    "&amp;CHAR(123)&amp;CHAR(34)&amp;"bidderId"&amp;CHAR(34)&amp;": "&amp;CHAR(34)&amp;SUBSTITUTE(CriteriTecnici!$A1456,CHAR(34),"'")&amp;CHAR(34)&amp;", "&amp;CHAR(34)&amp;"lotId"&amp;CHAR(34)&amp;": "&amp;CHAR(34)&amp;SUBSTITUTE(CriteriTecnici!$C1456,CHAR(34),"'")&amp;CHAR(34)&amp;", "&amp;CHAR(34)&amp;"criterionId"&amp;CHAR(34)&amp;": "&amp;CHAR(34)&amp;SUBSTITUTE(CriteriTecnici!$D1456,CHAR(34),"'")&amp;CHAR(34)&amp;", "&amp;CHAR(34)&amp;"kind"&amp;CHAR(34)&amp;": "&amp;CHAR(34)&amp;SUBSTITUTE(CriteriTecnici!$F1456,CHAR(34),"'")&amp;CHAR(34)&amp;", "&amp;CHAR(34)&amp;"value"&amp;CHAR(34)&amp;": "&amp;SUBSTITUTE(TRIM(ROUND(IFERROR(CriteriTecnici!$N1456*1,IFERROR(NUMBERVALUE(CriteriTecnici!$N1456,".",","),IFERROR(NUMBERVALUE(CriteriTecnici!$N1456,",","."),0))),4)&amp;""),",",".")&amp;", "&amp;CHAR(34)&amp;"numerator"&amp;CHAR(34)&amp;": "&amp;SUBSTITUTE(TRIM(ROUND(IFERROR(CriteriTecnici!$K1456*1,IFERROR(NUMBERVALUE(CriteriTecnici!$K1456,".",","),IFERROR(NUMBERVALUE(CriteriTecnici!$K1456,",","."),0))),4)&amp;""),",",".")&amp;", "&amp;CHAR(34)&amp;"denominator"&amp;CHAR(34)&amp;": "&amp;SUBSTITUTE(TRIM(ROUND(IFERROR(CriteriTecnici!$L1456*1,IFERROR(NUMBERVALUE(CriteriTecnici!$L1456,".",","),IFERROR(NUMBERVALUE(CriteriTecnici!$L1456,",","."),0))),4)&amp;""),",",".")&amp;", "&amp;CHAR(34)&amp;"flag"&amp;CHAR(34)&amp;": "&amp;SUBSTITUTE(TRIM(ROUND(IFERROR(CriteriTecnici!$M1456*1,IFERROR(NUMBERVALUE(CriteriTecnici!$M1456,".",","),IFERROR(NUMBERVALUE(CriteriTecnici!$M1456,",","."),0))),4)&amp;""),",",".")&amp;", "&amp;CHAR(34)&amp;"rawScore"&amp;CHAR(34)&amp;": "&amp;SUBSTITUTE(TRIM(ROUND(IFERROR(CriteriTecnici!$O1456*1,IFERROR(NUMBERVALUE(CriteriTecnici!$O1456,".",","),IFERROR(NUMBERVALUE(CriteriTecnici!$O1456,",","."),0))),4)&amp;""),",",".")&amp;CHAR(125)&amp;IF(TRUE,",",""))</f>
        <v/>
      </c>
    </row>
    <row r="1558">
      <c r="A1558" s="82">
        <f>IF(CriteriTecnici!$A1457="","","    "&amp;CHAR(123)&amp;CHAR(34)&amp;"bidderId"&amp;CHAR(34)&amp;": "&amp;CHAR(34)&amp;SUBSTITUTE(CriteriTecnici!$A1457,CHAR(34),"'")&amp;CHAR(34)&amp;", "&amp;CHAR(34)&amp;"lotId"&amp;CHAR(34)&amp;": "&amp;CHAR(34)&amp;SUBSTITUTE(CriteriTecnici!$C1457,CHAR(34),"'")&amp;CHAR(34)&amp;", "&amp;CHAR(34)&amp;"criterionId"&amp;CHAR(34)&amp;": "&amp;CHAR(34)&amp;SUBSTITUTE(CriteriTecnici!$D1457,CHAR(34),"'")&amp;CHAR(34)&amp;", "&amp;CHAR(34)&amp;"kind"&amp;CHAR(34)&amp;": "&amp;CHAR(34)&amp;SUBSTITUTE(CriteriTecnici!$F1457,CHAR(34),"'")&amp;CHAR(34)&amp;", "&amp;CHAR(34)&amp;"value"&amp;CHAR(34)&amp;": "&amp;SUBSTITUTE(TRIM(ROUND(IFERROR(CriteriTecnici!$N1457*1,IFERROR(NUMBERVALUE(CriteriTecnici!$N1457,".",","),IFERROR(NUMBERVALUE(CriteriTecnici!$N1457,",","."),0))),4)&amp;""),",",".")&amp;", "&amp;CHAR(34)&amp;"numerator"&amp;CHAR(34)&amp;": "&amp;SUBSTITUTE(TRIM(ROUND(IFERROR(CriteriTecnici!$K1457*1,IFERROR(NUMBERVALUE(CriteriTecnici!$K1457,".",","),IFERROR(NUMBERVALUE(CriteriTecnici!$K1457,",","."),0))),4)&amp;""),",",".")&amp;", "&amp;CHAR(34)&amp;"denominator"&amp;CHAR(34)&amp;": "&amp;SUBSTITUTE(TRIM(ROUND(IFERROR(CriteriTecnici!$L1457*1,IFERROR(NUMBERVALUE(CriteriTecnici!$L1457,".",","),IFERROR(NUMBERVALUE(CriteriTecnici!$L1457,",","."),0))),4)&amp;""),",",".")&amp;", "&amp;CHAR(34)&amp;"flag"&amp;CHAR(34)&amp;": "&amp;SUBSTITUTE(TRIM(ROUND(IFERROR(CriteriTecnici!$M1457*1,IFERROR(NUMBERVALUE(CriteriTecnici!$M1457,".",","),IFERROR(NUMBERVALUE(CriteriTecnici!$M1457,",","."),0))),4)&amp;""),",",".")&amp;", "&amp;CHAR(34)&amp;"rawScore"&amp;CHAR(34)&amp;": "&amp;SUBSTITUTE(TRIM(ROUND(IFERROR(CriteriTecnici!$O1457*1,IFERROR(NUMBERVALUE(CriteriTecnici!$O1457,".",","),IFERROR(NUMBERVALUE(CriteriTecnici!$O1457,",","."),0))),4)&amp;""),",",".")&amp;CHAR(125)&amp;IF(TRUE,",",""))</f>
        <v/>
      </c>
    </row>
    <row r="1559">
      <c r="A1559" s="82">
        <f>IF(CriteriTecnici!$A1458="","","    "&amp;CHAR(123)&amp;CHAR(34)&amp;"bidderId"&amp;CHAR(34)&amp;": "&amp;CHAR(34)&amp;SUBSTITUTE(CriteriTecnici!$A1458,CHAR(34),"'")&amp;CHAR(34)&amp;", "&amp;CHAR(34)&amp;"lotId"&amp;CHAR(34)&amp;": "&amp;CHAR(34)&amp;SUBSTITUTE(CriteriTecnici!$C1458,CHAR(34),"'")&amp;CHAR(34)&amp;", "&amp;CHAR(34)&amp;"criterionId"&amp;CHAR(34)&amp;": "&amp;CHAR(34)&amp;SUBSTITUTE(CriteriTecnici!$D1458,CHAR(34),"'")&amp;CHAR(34)&amp;", "&amp;CHAR(34)&amp;"kind"&amp;CHAR(34)&amp;": "&amp;CHAR(34)&amp;SUBSTITUTE(CriteriTecnici!$F1458,CHAR(34),"'")&amp;CHAR(34)&amp;", "&amp;CHAR(34)&amp;"value"&amp;CHAR(34)&amp;": "&amp;SUBSTITUTE(TRIM(ROUND(IFERROR(CriteriTecnici!$N1458*1,IFERROR(NUMBERVALUE(CriteriTecnici!$N1458,".",","),IFERROR(NUMBERVALUE(CriteriTecnici!$N1458,",","."),0))),4)&amp;""),",",".")&amp;", "&amp;CHAR(34)&amp;"numerator"&amp;CHAR(34)&amp;": "&amp;SUBSTITUTE(TRIM(ROUND(IFERROR(CriteriTecnici!$K1458*1,IFERROR(NUMBERVALUE(CriteriTecnici!$K1458,".",","),IFERROR(NUMBERVALUE(CriteriTecnici!$K1458,",","."),0))),4)&amp;""),",",".")&amp;", "&amp;CHAR(34)&amp;"denominator"&amp;CHAR(34)&amp;": "&amp;SUBSTITUTE(TRIM(ROUND(IFERROR(CriteriTecnici!$L1458*1,IFERROR(NUMBERVALUE(CriteriTecnici!$L1458,".",","),IFERROR(NUMBERVALUE(CriteriTecnici!$L1458,",","."),0))),4)&amp;""),",",".")&amp;", "&amp;CHAR(34)&amp;"flag"&amp;CHAR(34)&amp;": "&amp;SUBSTITUTE(TRIM(ROUND(IFERROR(CriteriTecnici!$M1458*1,IFERROR(NUMBERVALUE(CriteriTecnici!$M1458,".",","),IFERROR(NUMBERVALUE(CriteriTecnici!$M1458,",","."),0))),4)&amp;""),",",".")&amp;", "&amp;CHAR(34)&amp;"rawScore"&amp;CHAR(34)&amp;": "&amp;SUBSTITUTE(TRIM(ROUND(IFERROR(CriteriTecnici!$O1458*1,IFERROR(NUMBERVALUE(CriteriTecnici!$O1458,".",","),IFERROR(NUMBERVALUE(CriteriTecnici!$O1458,",","."),0))),4)&amp;""),",",".")&amp;CHAR(125)&amp;IF(TRUE,",",""))</f>
        <v/>
      </c>
    </row>
    <row r="1560">
      <c r="A1560" s="82">
        <f>IF(CriteriTecnici!$A1459="","","    "&amp;CHAR(123)&amp;CHAR(34)&amp;"bidderId"&amp;CHAR(34)&amp;": "&amp;CHAR(34)&amp;SUBSTITUTE(CriteriTecnici!$A1459,CHAR(34),"'")&amp;CHAR(34)&amp;", "&amp;CHAR(34)&amp;"lotId"&amp;CHAR(34)&amp;": "&amp;CHAR(34)&amp;SUBSTITUTE(CriteriTecnici!$C1459,CHAR(34),"'")&amp;CHAR(34)&amp;", "&amp;CHAR(34)&amp;"criterionId"&amp;CHAR(34)&amp;": "&amp;CHAR(34)&amp;SUBSTITUTE(CriteriTecnici!$D1459,CHAR(34),"'")&amp;CHAR(34)&amp;", "&amp;CHAR(34)&amp;"kind"&amp;CHAR(34)&amp;": "&amp;CHAR(34)&amp;SUBSTITUTE(CriteriTecnici!$F1459,CHAR(34),"'")&amp;CHAR(34)&amp;", "&amp;CHAR(34)&amp;"value"&amp;CHAR(34)&amp;": "&amp;SUBSTITUTE(TRIM(ROUND(IFERROR(CriteriTecnici!$N1459*1,IFERROR(NUMBERVALUE(CriteriTecnici!$N1459,".",","),IFERROR(NUMBERVALUE(CriteriTecnici!$N1459,",","."),0))),4)&amp;""),",",".")&amp;", "&amp;CHAR(34)&amp;"numerator"&amp;CHAR(34)&amp;": "&amp;SUBSTITUTE(TRIM(ROUND(IFERROR(CriteriTecnici!$K1459*1,IFERROR(NUMBERVALUE(CriteriTecnici!$K1459,".",","),IFERROR(NUMBERVALUE(CriteriTecnici!$K1459,",","."),0))),4)&amp;""),",",".")&amp;", "&amp;CHAR(34)&amp;"denominator"&amp;CHAR(34)&amp;": "&amp;SUBSTITUTE(TRIM(ROUND(IFERROR(CriteriTecnici!$L1459*1,IFERROR(NUMBERVALUE(CriteriTecnici!$L1459,".",","),IFERROR(NUMBERVALUE(CriteriTecnici!$L1459,",","."),0))),4)&amp;""),",",".")&amp;", "&amp;CHAR(34)&amp;"flag"&amp;CHAR(34)&amp;": "&amp;SUBSTITUTE(TRIM(ROUND(IFERROR(CriteriTecnici!$M1459*1,IFERROR(NUMBERVALUE(CriteriTecnici!$M1459,".",","),IFERROR(NUMBERVALUE(CriteriTecnici!$M1459,",","."),0))),4)&amp;""),",",".")&amp;", "&amp;CHAR(34)&amp;"rawScore"&amp;CHAR(34)&amp;": "&amp;SUBSTITUTE(TRIM(ROUND(IFERROR(CriteriTecnici!$O1459*1,IFERROR(NUMBERVALUE(CriteriTecnici!$O1459,".",","),IFERROR(NUMBERVALUE(CriteriTecnici!$O1459,",","."),0))),4)&amp;""),",",".")&amp;CHAR(125)&amp;IF(TRUE,",",""))</f>
        <v/>
      </c>
    </row>
    <row r="1561">
      <c r="A1561" s="82">
        <f>IF(CriteriTecnici!$A1460="","","    "&amp;CHAR(123)&amp;CHAR(34)&amp;"bidderId"&amp;CHAR(34)&amp;": "&amp;CHAR(34)&amp;SUBSTITUTE(CriteriTecnici!$A1460,CHAR(34),"'")&amp;CHAR(34)&amp;", "&amp;CHAR(34)&amp;"lotId"&amp;CHAR(34)&amp;": "&amp;CHAR(34)&amp;SUBSTITUTE(CriteriTecnici!$C1460,CHAR(34),"'")&amp;CHAR(34)&amp;", "&amp;CHAR(34)&amp;"criterionId"&amp;CHAR(34)&amp;": "&amp;CHAR(34)&amp;SUBSTITUTE(CriteriTecnici!$D1460,CHAR(34),"'")&amp;CHAR(34)&amp;", "&amp;CHAR(34)&amp;"kind"&amp;CHAR(34)&amp;": "&amp;CHAR(34)&amp;SUBSTITUTE(CriteriTecnici!$F1460,CHAR(34),"'")&amp;CHAR(34)&amp;", "&amp;CHAR(34)&amp;"value"&amp;CHAR(34)&amp;": "&amp;SUBSTITUTE(TRIM(ROUND(IFERROR(CriteriTecnici!$N1460*1,IFERROR(NUMBERVALUE(CriteriTecnici!$N1460,".",","),IFERROR(NUMBERVALUE(CriteriTecnici!$N1460,",","."),0))),4)&amp;""),",",".")&amp;", "&amp;CHAR(34)&amp;"numerator"&amp;CHAR(34)&amp;": "&amp;SUBSTITUTE(TRIM(ROUND(IFERROR(CriteriTecnici!$K1460*1,IFERROR(NUMBERVALUE(CriteriTecnici!$K1460,".",","),IFERROR(NUMBERVALUE(CriteriTecnici!$K1460,",","."),0))),4)&amp;""),",",".")&amp;", "&amp;CHAR(34)&amp;"denominator"&amp;CHAR(34)&amp;": "&amp;SUBSTITUTE(TRIM(ROUND(IFERROR(CriteriTecnici!$L1460*1,IFERROR(NUMBERVALUE(CriteriTecnici!$L1460,".",","),IFERROR(NUMBERVALUE(CriteriTecnici!$L1460,",","."),0))),4)&amp;""),",",".")&amp;", "&amp;CHAR(34)&amp;"flag"&amp;CHAR(34)&amp;": "&amp;SUBSTITUTE(TRIM(ROUND(IFERROR(CriteriTecnici!$M1460*1,IFERROR(NUMBERVALUE(CriteriTecnici!$M1460,".",","),IFERROR(NUMBERVALUE(CriteriTecnici!$M1460,",","."),0))),4)&amp;""),",",".")&amp;", "&amp;CHAR(34)&amp;"rawScore"&amp;CHAR(34)&amp;": "&amp;SUBSTITUTE(TRIM(ROUND(IFERROR(CriteriTecnici!$O1460*1,IFERROR(NUMBERVALUE(CriteriTecnici!$O1460,".",","),IFERROR(NUMBERVALUE(CriteriTecnici!$O1460,",","."),0))),4)&amp;""),",",".")&amp;CHAR(125)&amp;IF(TRUE,",",""))</f>
        <v/>
      </c>
    </row>
    <row r="1562">
      <c r="A1562" s="82">
        <f>IF(CriteriTecnici!$A1461="","","    "&amp;CHAR(123)&amp;CHAR(34)&amp;"bidderId"&amp;CHAR(34)&amp;": "&amp;CHAR(34)&amp;SUBSTITUTE(CriteriTecnici!$A1461,CHAR(34),"'")&amp;CHAR(34)&amp;", "&amp;CHAR(34)&amp;"lotId"&amp;CHAR(34)&amp;": "&amp;CHAR(34)&amp;SUBSTITUTE(CriteriTecnici!$C1461,CHAR(34),"'")&amp;CHAR(34)&amp;", "&amp;CHAR(34)&amp;"criterionId"&amp;CHAR(34)&amp;": "&amp;CHAR(34)&amp;SUBSTITUTE(CriteriTecnici!$D1461,CHAR(34),"'")&amp;CHAR(34)&amp;", "&amp;CHAR(34)&amp;"kind"&amp;CHAR(34)&amp;": "&amp;CHAR(34)&amp;SUBSTITUTE(CriteriTecnici!$F1461,CHAR(34),"'")&amp;CHAR(34)&amp;", "&amp;CHAR(34)&amp;"value"&amp;CHAR(34)&amp;": "&amp;SUBSTITUTE(TRIM(ROUND(IFERROR(CriteriTecnici!$N1461*1,IFERROR(NUMBERVALUE(CriteriTecnici!$N1461,".",","),IFERROR(NUMBERVALUE(CriteriTecnici!$N1461,",","."),0))),4)&amp;""),",",".")&amp;", "&amp;CHAR(34)&amp;"numerator"&amp;CHAR(34)&amp;": "&amp;SUBSTITUTE(TRIM(ROUND(IFERROR(CriteriTecnici!$K1461*1,IFERROR(NUMBERVALUE(CriteriTecnici!$K1461,".",","),IFERROR(NUMBERVALUE(CriteriTecnici!$K1461,",","."),0))),4)&amp;""),",",".")&amp;", "&amp;CHAR(34)&amp;"denominator"&amp;CHAR(34)&amp;": "&amp;SUBSTITUTE(TRIM(ROUND(IFERROR(CriteriTecnici!$L1461*1,IFERROR(NUMBERVALUE(CriteriTecnici!$L1461,".",","),IFERROR(NUMBERVALUE(CriteriTecnici!$L1461,",","."),0))),4)&amp;""),",",".")&amp;", "&amp;CHAR(34)&amp;"flag"&amp;CHAR(34)&amp;": "&amp;SUBSTITUTE(TRIM(ROUND(IFERROR(CriteriTecnici!$M1461*1,IFERROR(NUMBERVALUE(CriteriTecnici!$M1461,".",","),IFERROR(NUMBERVALUE(CriteriTecnici!$M1461,",","."),0))),4)&amp;""),",",".")&amp;", "&amp;CHAR(34)&amp;"rawScore"&amp;CHAR(34)&amp;": "&amp;SUBSTITUTE(TRIM(ROUND(IFERROR(CriteriTecnici!$O1461*1,IFERROR(NUMBERVALUE(CriteriTecnici!$O1461,".",","),IFERROR(NUMBERVALUE(CriteriTecnici!$O1461,",","."),0))),4)&amp;""),",",".")&amp;CHAR(125)&amp;IF(COUNTA(Offerte!$A49:$A$81)&gt;0,",",""))</f>
        <v/>
      </c>
    </row>
    <row r="1563">
      <c r="A1563" s="82">
        <f>IF(CriteriTecnici!$A1462="","","    "&amp;CHAR(123)&amp;CHAR(34)&amp;"bidderId"&amp;CHAR(34)&amp;": "&amp;CHAR(34)&amp;SUBSTITUTE(CriteriTecnici!$A1462,CHAR(34),"'")&amp;CHAR(34)&amp;", "&amp;CHAR(34)&amp;"lotId"&amp;CHAR(34)&amp;": "&amp;CHAR(34)&amp;SUBSTITUTE(CriteriTecnici!$C1462,CHAR(34),"'")&amp;CHAR(34)&amp;", "&amp;CHAR(34)&amp;"criterionId"&amp;CHAR(34)&amp;": "&amp;CHAR(34)&amp;SUBSTITUTE(CriteriTecnici!$D1462,CHAR(34),"'")&amp;CHAR(34)&amp;", "&amp;CHAR(34)&amp;"kind"&amp;CHAR(34)&amp;": "&amp;CHAR(34)&amp;SUBSTITUTE(CriteriTecnici!$F1462,CHAR(34),"'")&amp;CHAR(34)&amp;", "&amp;CHAR(34)&amp;"value"&amp;CHAR(34)&amp;": "&amp;SUBSTITUTE(TRIM(ROUND(IFERROR(CriteriTecnici!$N1462*1,IFERROR(NUMBERVALUE(CriteriTecnici!$N1462,".",","),IFERROR(NUMBERVALUE(CriteriTecnici!$N1462,",","."),0))),4)&amp;""),",",".")&amp;", "&amp;CHAR(34)&amp;"numerator"&amp;CHAR(34)&amp;": "&amp;SUBSTITUTE(TRIM(ROUND(IFERROR(CriteriTecnici!$K1462*1,IFERROR(NUMBERVALUE(CriteriTecnici!$K1462,".",","),IFERROR(NUMBERVALUE(CriteriTecnici!$K1462,",","."),0))),4)&amp;""),",",".")&amp;", "&amp;CHAR(34)&amp;"denominator"&amp;CHAR(34)&amp;": "&amp;SUBSTITUTE(TRIM(ROUND(IFERROR(CriteriTecnici!$L1462*1,IFERROR(NUMBERVALUE(CriteriTecnici!$L1462,".",","),IFERROR(NUMBERVALUE(CriteriTecnici!$L1462,",","."),0))),4)&amp;""),",",".")&amp;", "&amp;CHAR(34)&amp;"flag"&amp;CHAR(34)&amp;": "&amp;SUBSTITUTE(TRIM(ROUND(IFERROR(CriteriTecnici!$M1462*1,IFERROR(NUMBERVALUE(CriteriTecnici!$M1462,".",","),IFERROR(NUMBERVALUE(CriteriTecnici!$M1462,",","."),0))),4)&amp;""),",",".")&amp;", "&amp;CHAR(34)&amp;"rawScore"&amp;CHAR(34)&amp;": "&amp;SUBSTITUTE(TRIM(ROUND(IFERROR(CriteriTecnici!$O1462*1,IFERROR(NUMBERVALUE(CriteriTecnici!$O1462,".",","),IFERROR(NUMBERVALUE(CriteriTecnici!$O1462,",","."),0))),4)&amp;""),",",".")&amp;CHAR(125)&amp;IF(TRUE,",",""))</f>
        <v/>
      </c>
    </row>
    <row r="1564">
      <c r="A1564" s="82">
        <f>IF(CriteriTecnici!$A1463="","","    "&amp;CHAR(123)&amp;CHAR(34)&amp;"bidderId"&amp;CHAR(34)&amp;": "&amp;CHAR(34)&amp;SUBSTITUTE(CriteriTecnici!$A1463,CHAR(34),"'")&amp;CHAR(34)&amp;", "&amp;CHAR(34)&amp;"lotId"&amp;CHAR(34)&amp;": "&amp;CHAR(34)&amp;SUBSTITUTE(CriteriTecnici!$C1463,CHAR(34),"'")&amp;CHAR(34)&amp;", "&amp;CHAR(34)&amp;"criterionId"&amp;CHAR(34)&amp;": "&amp;CHAR(34)&amp;SUBSTITUTE(CriteriTecnici!$D1463,CHAR(34),"'")&amp;CHAR(34)&amp;", "&amp;CHAR(34)&amp;"kind"&amp;CHAR(34)&amp;": "&amp;CHAR(34)&amp;SUBSTITUTE(CriteriTecnici!$F1463,CHAR(34),"'")&amp;CHAR(34)&amp;", "&amp;CHAR(34)&amp;"value"&amp;CHAR(34)&amp;": "&amp;SUBSTITUTE(TRIM(ROUND(IFERROR(CriteriTecnici!$N1463*1,IFERROR(NUMBERVALUE(CriteriTecnici!$N1463,".",","),IFERROR(NUMBERVALUE(CriteriTecnici!$N1463,",","."),0))),4)&amp;""),",",".")&amp;", "&amp;CHAR(34)&amp;"numerator"&amp;CHAR(34)&amp;": "&amp;SUBSTITUTE(TRIM(ROUND(IFERROR(CriteriTecnici!$K1463*1,IFERROR(NUMBERVALUE(CriteriTecnici!$K1463,".",","),IFERROR(NUMBERVALUE(CriteriTecnici!$K1463,",","."),0))),4)&amp;""),",",".")&amp;", "&amp;CHAR(34)&amp;"denominator"&amp;CHAR(34)&amp;": "&amp;SUBSTITUTE(TRIM(ROUND(IFERROR(CriteriTecnici!$L1463*1,IFERROR(NUMBERVALUE(CriteriTecnici!$L1463,".",","),IFERROR(NUMBERVALUE(CriteriTecnici!$L1463,",","."),0))),4)&amp;""),",",".")&amp;", "&amp;CHAR(34)&amp;"flag"&amp;CHAR(34)&amp;": "&amp;SUBSTITUTE(TRIM(ROUND(IFERROR(CriteriTecnici!$M1463*1,IFERROR(NUMBERVALUE(CriteriTecnici!$M1463,".",","),IFERROR(NUMBERVALUE(CriteriTecnici!$M1463,",","."),0))),4)&amp;""),",",".")&amp;", "&amp;CHAR(34)&amp;"rawScore"&amp;CHAR(34)&amp;": "&amp;SUBSTITUTE(TRIM(ROUND(IFERROR(CriteriTecnici!$O1463*1,IFERROR(NUMBERVALUE(CriteriTecnici!$O1463,".",","),IFERROR(NUMBERVALUE(CriteriTecnici!$O1463,",","."),0))),4)&amp;""),",",".")&amp;CHAR(125)&amp;IF(TRUE,",",""))</f>
        <v/>
      </c>
    </row>
    <row r="1565">
      <c r="A1565" s="82">
        <f>IF(CriteriTecnici!$A1464="","","    "&amp;CHAR(123)&amp;CHAR(34)&amp;"bidderId"&amp;CHAR(34)&amp;": "&amp;CHAR(34)&amp;SUBSTITUTE(CriteriTecnici!$A1464,CHAR(34),"'")&amp;CHAR(34)&amp;", "&amp;CHAR(34)&amp;"lotId"&amp;CHAR(34)&amp;": "&amp;CHAR(34)&amp;SUBSTITUTE(CriteriTecnici!$C1464,CHAR(34),"'")&amp;CHAR(34)&amp;", "&amp;CHAR(34)&amp;"criterionId"&amp;CHAR(34)&amp;": "&amp;CHAR(34)&amp;SUBSTITUTE(CriteriTecnici!$D1464,CHAR(34),"'")&amp;CHAR(34)&amp;", "&amp;CHAR(34)&amp;"kind"&amp;CHAR(34)&amp;": "&amp;CHAR(34)&amp;SUBSTITUTE(CriteriTecnici!$F1464,CHAR(34),"'")&amp;CHAR(34)&amp;", "&amp;CHAR(34)&amp;"value"&amp;CHAR(34)&amp;": "&amp;SUBSTITUTE(TRIM(ROUND(IFERROR(CriteriTecnici!$N1464*1,IFERROR(NUMBERVALUE(CriteriTecnici!$N1464,".",","),IFERROR(NUMBERVALUE(CriteriTecnici!$N1464,",","."),0))),4)&amp;""),",",".")&amp;", "&amp;CHAR(34)&amp;"numerator"&amp;CHAR(34)&amp;": "&amp;SUBSTITUTE(TRIM(ROUND(IFERROR(CriteriTecnici!$K1464*1,IFERROR(NUMBERVALUE(CriteriTecnici!$K1464,".",","),IFERROR(NUMBERVALUE(CriteriTecnici!$K1464,",","."),0))),4)&amp;""),",",".")&amp;", "&amp;CHAR(34)&amp;"denominator"&amp;CHAR(34)&amp;": "&amp;SUBSTITUTE(TRIM(ROUND(IFERROR(CriteriTecnici!$L1464*1,IFERROR(NUMBERVALUE(CriteriTecnici!$L1464,".",","),IFERROR(NUMBERVALUE(CriteriTecnici!$L1464,",","."),0))),4)&amp;""),",",".")&amp;", "&amp;CHAR(34)&amp;"flag"&amp;CHAR(34)&amp;": "&amp;SUBSTITUTE(TRIM(ROUND(IFERROR(CriteriTecnici!$M1464*1,IFERROR(NUMBERVALUE(CriteriTecnici!$M1464,".",","),IFERROR(NUMBERVALUE(CriteriTecnici!$M1464,",","."),0))),4)&amp;""),",",".")&amp;", "&amp;CHAR(34)&amp;"rawScore"&amp;CHAR(34)&amp;": "&amp;SUBSTITUTE(TRIM(ROUND(IFERROR(CriteriTecnici!$O1464*1,IFERROR(NUMBERVALUE(CriteriTecnici!$O1464,".",","),IFERROR(NUMBERVALUE(CriteriTecnici!$O1464,",","."),0))),4)&amp;""),",",".")&amp;CHAR(125)&amp;IF(TRUE,",",""))</f>
        <v/>
      </c>
    </row>
    <row r="1566">
      <c r="A1566" s="82">
        <f>IF(CriteriTecnici!$A1465="","","    "&amp;CHAR(123)&amp;CHAR(34)&amp;"bidderId"&amp;CHAR(34)&amp;": "&amp;CHAR(34)&amp;SUBSTITUTE(CriteriTecnici!$A1465,CHAR(34),"'")&amp;CHAR(34)&amp;", "&amp;CHAR(34)&amp;"lotId"&amp;CHAR(34)&amp;": "&amp;CHAR(34)&amp;SUBSTITUTE(CriteriTecnici!$C1465,CHAR(34),"'")&amp;CHAR(34)&amp;", "&amp;CHAR(34)&amp;"criterionId"&amp;CHAR(34)&amp;": "&amp;CHAR(34)&amp;SUBSTITUTE(CriteriTecnici!$D1465,CHAR(34),"'")&amp;CHAR(34)&amp;", "&amp;CHAR(34)&amp;"kind"&amp;CHAR(34)&amp;": "&amp;CHAR(34)&amp;SUBSTITUTE(CriteriTecnici!$F1465,CHAR(34),"'")&amp;CHAR(34)&amp;", "&amp;CHAR(34)&amp;"value"&amp;CHAR(34)&amp;": "&amp;SUBSTITUTE(TRIM(ROUND(IFERROR(CriteriTecnici!$N1465*1,IFERROR(NUMBERVALUE(CriteriTecnici!$N1465,".",","),IFERROR(NUMBERVALUE(CriteriTecnici!$N1465,",","."),0))),4)&amp;""),",",".")&amp;", "&amp;CHAR(34)&amp;"numerator"&amp;CHAR(34)&amp;": "&amp;SUBSTITUTE(TRIM(ROUND(IFERROR(CriteriTecnici!$K1465*1,IFERROR(NUMBERVALUE(CriteriTecnici!$K1465,".",","),IFERROR(NUMBERVALUE(CriteriTecnici!$K1465,",","."),0))),4)&amp;""),",",".")&amp;", "&amp;CHAR(34)&amp;"denominator"&amp;CHAR(34)&amp;": "&amp;SUBSTITUTE(TRIM(ROUND(IFERROR(CriteriTecnici!$L1465*1,IFERROR(NUMBERVALUE(CriteriTecnici!$L1465,".",","),IFERROR(NUMBERVALUE(CriteriTecnici!$L1465,",","."),0))),4)&amp;""),",",".")&amp;", "&amp;CHAR(34)&amp;"flag"&amp;CHAR(34)&amp;": "&amp;SUBSTITUTE(TRIM(ROUND(IFERROR(CriteriTecnici!$M1465*1,IFERROR(NUMBERVALUE(CriteriTecnici!$M1465,".",","),IFERROR(NUMBERVALUE(CriteriTecnici!$M1465,",","."),0))),4)&amp;""),",",".")&amp;", "&amp;CHAR(34)&amp;"rawScore"&amp;CHAR(34)&amp;": "&amp;SUBSTITUTE(TRIM(ROUND(IFERROR(CriteriTecnici!$O1465*1,IFERROR(NUMBERVALUE(CriteriTecnici!$O1465,".",","),IFERROR(NUMBERVALUE(CriteriTecnici!$O1465,",","."),0))),4)&amp;""),",",".")&amp;CHAR(125)&amp;IF(TRUE,",",""))</f>
        <v/>
      </c>
    </row>
    <row r="1567">
      <c r="A1567" s="82">
        <f>IF(CriteriTecnici!$A1466="","","    "&amp;CHAR(123)&amp;CHAR(34)&amp;"bidderId"&amp;CHAR(34)&amp;": "&amp;CHAR(34)&amp;SUBSTITUTE(CriteriTecnici!$A1466,CHAR(34),"'")&amp;CHAR(34)&amp;", "&amp;CHAR(34)&amp;"lotId"&amp;CHAR(34)&amp;": "&amp;CHAR(34)&amp;SUBSTITUTE(CriteriTecnici!$C1466,CHAR(34),"'")&amp;CHAR(34)&amp;", "&amp;CHAR(34)&amp;"criterionId"&amp;CHAR(34)&amp;": "&amp;CHAR(34)&amp;SUBSTITUTE(CriteriTecnici!$D1466,CHAR(34),"'")&amp;CHAR(34)&amp;", "&amp;CHAR(34)&amp;"kind"&amp;CHAR(34)&amp;": "&amp;CHAR(34)&amp;SUBSTITUTE(CriteriTecnici!$F1466,CHAR(34),"'")&amp;CHAR(34)&amp;", "&amp;CHAR(34)&amp;"value"&amp;CHAR(34)&amp;": "&amp;SUBSTITUTE(TRIM(ROUND(IFERROR(CriteriTecnici!$N1466*1,IFERROR(NUMBERVALUE(CriteriTecnici!$N1466,".",","),IFERROR(NUMBERVALUE(CriteriTecnici!$N1466,",","."),0))),4)&amp;""),",",".")&amp;", "&amp;CHAR(34)&amp;"numerator"&amp;CHAR(34)&amp;": "&amp;SUBSTITUTE(TRIM(ROUND(IFERROR(CriteriTecnici!$K1466*1,IFERROR(NUMBERVALUE(CriteriTecnici!$K1466,".",","),IFERROR(NUMBERVALUE(CriteriTecnici!$K1466,",","."),0))),4)&amp;""),",",".")&amp;", "&amp;CHAR(34)&amp;"denominator"&amp;CHAR(34)&amp;": "&amp;SUBSTITUTE(TRIM(ROUND(IFERROR(CriteriTecnici!$L1466*1,IFERROR(NUMBERVALUE(CriteriTecnici!$L1466,".",","),IFERROR(NUMBERVALUE(CriteriTecnici!$L1466,",","."),0))),4)&amp;""),",",".")&amp;", "&amp;CHAR(34)&amp;"flag"&amp;CHAR(34)&amp;": "&amp;SUBSTITUTE(TRIM(ROUND(IFERROR(CriteriTecnici!$M1466*1,IFERROR(NUMBERVALUE(CriteriTecnici!$M1466,".",","),IFERROR(NUMBERVALUE(CriteriTecnici!$M1466,",","."),0))),4)&amp;""),",",".")&amp;", "&amp;CHAR(34)&amp;"rawScore"&amp;CHAR(34)&amp;": "&amp;SUBSTITUTE(TRIM(ROUND(IFERROR(CriteriTecnici!$O1466*1,IFERROR(NUMBERVALUE(CriteriTecnici!$O1466,".",","),IFERROR(NUMBERVALUE(CriteriTecnici!$O1466,",","."),0))),4)&amp;""),",",".")&amp;CHAR(125)&amp;IF(TRUE,",",""))</f>
        <v/>
      </c>
    </row>
    <row r="1568">
      <c r="A1568" s="82">
        <f>IF(CriteriTecnici!$A1467="","","    "&amp;CHAR(123)&amp;CHAR(34)&amp;"bidderId"&amp;CHAR(34)&amp;": "&amp;CHAR(34)&amp;SUBSTITUTE(CriteriTecnici!$A1467,CHAR(34),"'")&amp;CHAR(34)&amp;", "&amp;CHAR(34)&amp;"lotId"&amp;CHAR(34)&amp;": "&amp;CHAR(34)&amp;SUBSTITUTE(CriteriTecnici!$C1467,CHAR(34),"'")&amp;CHAR(34)&amp;", "&amp;CHAR(34)&amp;"criterionId"&amp;CHAR(34)&amp;": "&amp;CHAR(34)&amp;SUBSTITUTE(CriteriTecnici!$D1467,CHAR(34),"'")&amp;CHAR(34)&amp;", "&amp;CHAR(34)&amp;"kind"&amp;CHAR(34)&amp;": "&amp;CHAR(34)&amp;SUBSTITUTE(CriteriTecnici!$F1467,CHAR(34),"'")&amp;CHAR(34)&amp;", "&amp;CHAR(34)&amp;"value"&amp;CHAR(34)&amp;": "&amp;SUBSTITUTE(TRIM(ROUND(IFERROR(CriteriTecnici!$N1467*1,IFERROR(NUMBERVALUE(CriteriTecnici!$N1467,".",","),IFERROR(NUMBERVALUE(CriteriTecnici!$N1467,",","."),0))),4)&amp;""),",",".")&amp;", "&amp;CHAR(34)&amp;"numerator"&amp;CHAR(34)&amp;": "&amp;SUBSTITUTE(TRIM(ROUND(IFERROR(CriteriTecnici!$K1467*1,IFERROR(NUMBERVALUE(CriteriTecnici!$K1467,".",","),IFERROR(NUMBERVALUE(CriteriTecnici!$K1467,",","."),0))),4)&amp;""),",",".")&amp;", "&amp;CHAR(34)&amp;"denominator"&amp;CHAR(34)&amp;": "&amp;SUBSTITUTE(TRIM(ROUND(IFERROR(CriteriTecnici!$L1467*1,IFERROR(NUMBERVALUE(CriteriTecnici!$L1467,".",","),IFERROR(NUMBERVALUE(CriteriTecnici!$L1467,",","."),0))),4)&amp;""),",",".")&amp;", "&amp;CHAR(34)&amp;"flag"&amp;CHAR(34)&amp;": "&amp;SUBSTITUTE(TRIM(ROUND(IFERROR(CriteriTecnici!$M1467*1,IFERROR(NUMBERVALUE(CriteriTecnici!$M1467,".",","),IFERROR(NUMBERVALUE(CriteriTecnici!$M1467,",","."),0))),4)&amp;""),",",".")&amp;", "&amp;CHAR(34)&amp;"rawScore"&amp;CHAR(34)&amp;": "&amp;SUBSTITUTE(TRIM(ROUND(IFERROR(CriteriTecnici!$O1467*1,IFERROR(NUMBERVALUE(CriteriTecnici!$O1467,".",","),IFERROR(NUMBERVALUE(CriteriTecnici!$O1467,",","."),0))),4)&amp;""),",",".")&amp;CHAR(125)&amp;IF(TRUE,",",""))</f>
        <v/>
      </c>
    </row>
    <row r="1569">
      <c r="A1569" s="82">
        <f>IF(CriteriTecnici!$A1468="","","    "&amp;CHAR(123)&amp;CHAR(34)&amp;"bidderId"&amp;CHAR(34)&amp;": "&amp;CHAR(34)&amp;SUBSTITUTE(CriteriTecnici!$A1468,CHAR(34),"'")&amp;CHAR(34)&amp;", "&amp;CHAR(34)&amp;"lotId"&amp;CHAR(34)&amp;": "&amp;CHAR(34)&amp;SUBSTITUTE(CriteriTecnici!$C1468,CHAR(34),"'")&amp;CHAR(34)&amp;", "&amp;CHAR(34)&amp;"criterionId"&amp;CHAR(34)&amp;": "&amp;CHAR(34)&amp;SUBSTITUTE(CriteriTecnici!$D1468,CHAR(34),"'")&amp;CHAR(34)&amp;", "&amp;CHAR(34)&amp;"kind"&amp;CHAR(34)&amp;": "&amp;CHAR(34)&amp;SUBSTITUTE(CriteriTecnici!$F1468,CHAR(34),"'")&amp;CHAR(34)&amp;", "&amp;CHAR(34)&amp;"value"&amp;CHAR(34)&amp;": "&amp;SUBSTITUTE(TRIM(ROUND(IFERROR(CriteriTecnici!$N1468*1,IFERROR(NUMBERVALUE(CriteriTecnici!$N1468,".",","),IFERROR(NUMBERVALUE(CriteriTecnici!$N1468,",","."),0))),4)&amp;""),",",".")&amp;", "&amp;CHAR(34)&amp;"numerator"&amp;CHAR(34)&amp;": "&amp;SUBSTITUTE(TRIM(ROUND(IFERROR(CriteriTecnici!$K1468*1,IFERROR(NUMBERVALUE(CriteriTecnici!$K1468,".",","),IFERROR(NUMBERVALUE(CriteriTecnici!$K1468,",","."),0))),4)&amp;""),",",".")&amp;", "&amp;CHAR(34)&amp;"denominator"&amp;CHAR(34)&amp;": "&amp;SUBSTITUTE(TRIM(ROUND(IFERROR(CriteriTecnici!$L1468*1,IFERROR(NUMBERVALUE(CriteriTecnici!$L1468,".",","),IFERROR(NUMBERVALUE(CriteriTecnici!$L1468,",","."),0))),4)&amp;""),",",".")&amp;", "&amp;CHAR(34)&amp;"flag"&amp;CHAR(34)&amp;": "&amp;SUBSTITUTE(TRIM(ROUND(IFERROR(CriteriTecnici!$M1468*1,IFERROR(NUMBERVALUE(CriteriTecnici!$M1468,".",","),IFERROR(NUMBERVALUE(CriteriTecnici!$M1468,",","."),0))),4)&amp;""),",",".")&amp;", "&amp;CHAR(34)&amp;"rawScore"&amp;CHAR(34)&amp;": "&amp;SUBSTITUTE(TRIM(ROUND(IFERROR(CriteriTecnici!$O1468*1,IFERROR(NUMBERVALUE(CriteriTecnici!$O1468,".",","),IFERROR(NUMBERVALUE(CriteriTecnici!$O1468,",","."),0))),4)&amp;""),",",".")&amp;CHAR(125)&amp;IF(TRUE,",",""))</f>
        <v/>
      </c>
    </row>
    <row r="1570">
      <c r="A1570" s="82">
        <f>IF(CriteriTecnici!$A1469="","","    "&amp;CHAR(123)&amp;CHAR(34)&amp;"bidderId"&amp;CHAR(34)&amp;": "&amp;CHAR(34)&amp;SUBSTITUTE(CriteriTecnici!$A1469,CHAR(34),"'")&amp;CHAR(34)&amp;", "&amp;CHAR(34)&amp;"lotId"&amp;CHAR(34)&amp;": "&amp;CHAR(34)&amp;SUBSTITUTE(CriteriTecnici!$C1469,CHAR(34),"'")&amp;CHAR(34)&amp;", "&amp;CHAR(34)&amp;"criterionId"&amp;CHAR(34)&amp;": "&amp;CHAR(34)&amp;SUBSTITUTE(CriteriTecnici!$D1469,CHAR(34),"'")&amp;CHAR(34)&amp;", "&amp;CHAR(34)&amp;"kind"&amp;CHAR(34)&amp;": "&amp;CHAR(34)&amp;SUBSTITUTE(CriteriTecnici!$F1469,CHAR(34),"'")&amp;CHAR(34)&amp;", "&amp;CHAR(34)&amp;"value"&amp;CHAR(34)&amp;": "&amp;SUBSTITUTE(TRIM(ROUND(IFERROR(CriteriTecnici!$N1469*1,IFERROR(NUMBERVALUE(CriteriTecnici!$N1469,".",","),IFERROR(NUMBERVALUE(CriteriTecnici!$N1469,",","."),0))),4)&amp;""),",",".")&amp;", "&amp;CHAR(34)&amp;"numerator"&amp;CHAR(34)&amp;": "&amp;SUBSTITUTE(TRIM(ROUND(IFERROR(CriteriTecnici!$K1469*1,IFERROR(NUMBERVALUE(CriteriTecnici!$K1469,".",","),IFERROR(NUMBERVALUE(CriteriTecnici!$K1469,",","."),0))),4)&amp;""),",",".")&amp;", "&amp;CHAR(34)&amp;"denominator"&amp;CHAR(34)&amp;": "&amp;SUBSTITUTE(TRIM(ROUND(IFERROR(CriteriTecnici!$L1469*1,IFERROR(NUMBERVALUE(CriteriTecnici!$L1469,".",","),IFERROR(NUMBERVALUE(CriteriTecnici!$L1469,",","."),0))),4)&amp;""),",",".")&amp;", "&amp;CHAR(34)&amp;"flag"&amp;CHAR(34)&amp;": "&amp;SUBSTITUTE(TRIM(ROUND(IFERROR(CriteriTecnici!$M1469*1,IFERROR(NUMBERVALUE(CriteriTecnici!$M1469,".",","),IFERROR(NUMBERVALUE(CriteriTecnici!$M1469,",","."),0))),4)&amp;""),",",".")&amp;", "&amp;CHAR(34)&amp;"rawScore"&amp;CHAR(34)&amp;": "&amp;SUBSTITUTE(TRIM(ROUND(IFERROR(CriteriTecnici!$O1469*1,IFERROR(NUMBERVALUE(CriteriTecnici!$O1469,".",","),IFERROR(NUMBERVALUE(CriteriTecnici!$O1469,",","."),0))),4)&amp;""),",",".")&amp;CHAR(125)&amp;IF(TRUE,",",""))</f>
        <v/>
      </c>
    </row>
    <row r="1571">
      <c r="A1571" s="82">
        <f>IF(CriteriTecnici!$A1470="","","    "&amp;CHAR(123)&amp;CHAR(34)&amp;"bidderId"&amp;CHAR(34)&amp;": "&amp;CHAR(34)&amp;SUBSTITUTE(CriteriTecnici!$A1470,CHAR(34),"'")&amp;CHAR(34)&amp;", "&amp;CHAR(34)&amp;"lotId"&amp;CHAR(34)&amp;": "&amp;CHAR(34)&amp;SUBSTITUTE(CriteriTecnici!$C1470,CHAR(34),"'")&amp;CHAR(34)&amp;", "&amp;CHAR(34)&amp;"criterionId"&amp;CHAR(34)&amp;": "&amp;CHAR(34)&amp;SUBSTITUTE(CriteriTecnici!$D1470,CHAR(34),"'")&amp;CHAR(34)&amp;", "&amp;CHAR(34)&amp;"kind"&amp;CHAR(34)&amp;": "&amp;CHAR(34)&amp;SUBSTITUTE(CriteriTecnici!$F1470,CHAR(34),"'")&amp;CHAR(34)&amp;", "&amp;CHAR(34)&amp;"value"&amp;CHAR(34)&amp;": "&amp;SUBSTITUTE(TRIM(ROUND(IFERROR(CriteriTecnici!$N1470*1,IFERROR(NUMBERVALUE(CriteriTecnici!$N1470,".",","),IFERROR(NUMBERVALUE(CriteriTecnici!$N1470,",","."),0))),4)&amp;""),",",".")&amp;", "&amp;CHAR(34)&amp;"numerator"&amp;CHAR(34)&amp;": "&amp;SUBSTITUTE(TRIM(ROUND(IFERROR(CriteriTecnici!$K1470*1,IFERROR(NUMBERVALUE(CriteriTecnici!$K1470,".",","),IFERROR(NUMBERVALUE(CriteriTecnici!$K1470,",","."),0))),4)&amp;""),",",".")&amp;", "&amp;CHAR(34)&amp;"denominator"&amp;CHAR(34)&amp;": "&amp;SUBSTITUTE(TRIM(ROUND(IFERROR(CriteriTecnici!$L1470*1,IFERROR(NUMBERVALUE(CriteriTecnici!$L1470,".",","),IFERROR(NUMBERVALUE(CriteriTecnici!$L1470,",","."),0))),4)&amp;""),",",".")&amp;", "&amp;CHAR(34)&amp;"flag"&amp;CHAR(34)&amp;": "&amp;SUBSTITUTE(TRIM(ROUND(IFERROR(CriteriTecnici!$M1470*1,IFERROR(NUMBERVALUE(CriteriTecnici!$M1470,".",","),IFERROR(NUMBERVALUE(CriteriTecnici!$M1470,",","."),0))),4)&amp;""),",",".")&amp;", "&amp;CHAR(34)&amp;"rawScore"&amp;CHAR(34)&amp;": "&amp;SUBSTITUTE(TRIM(ROUND(IFERROR(CriteriTecnici!$O1470*1,IFERROR(NUMBERVALUE(CriteriTecnici!$O1470,".",","),IFERROR(NUMBERVALUE(CriteriTecnici!$O1470,",","."),0))),4)&amp;""),",",".")&amp;CHAR(125)&amp;IF(TRUE,",",""))</f>
        <v/>
      </c>
    </row>
    <row r="1572">
      <c r="A1572" s="82">
        <f>IF(CriteriTecnici!$A1471="","","    "&amp;CHAR(123)&amp;CHAR(34)&amp;"bidderId"&amp;CHAR(34)&amp;": "&amp;CHAR(34)&amp;SUBSTITUTE(CriteriTecnici!$A1471,CHAR(34),"'")&amp;CHAR(34)&amp;", "&amp;CHAR(34)&amp;"lotId"&amp;CHAR(34)&amp;": "&amp;CHAR(34)&amp;SUBSTITUTE(CriteriTecnici!$C1471,CHAR(34),"'")&amp;CHAR(34)&amp;", "&amp;CHAR(34)&amp;"criterionId"&amp;CHAR(34)&amp;": "&amp;CHAR(34)&amp;SUBSTITUTE(CriteriTecnici!$D1471,CHAR(34),"'")&amp;CHAR(34)&amp;", "&amp;CHAR(34)&amp;"kind"&amp;CHAR(34)&amp;": "&amp;CHAR(34)&amp;SUBSTITUTE(CriteriTecnici!$F1471,CHAR(34),"'")&amp;CHAR(34)&amp;", "&amp;CHAR(34)&amp;"value"&amp;CHAR(34)&amp;": "&amp;SUBSTITUTE(TRIM(ROUND(IFERROR(CriteriTecnici!$N1471*1,IFERROR(NUMBERVALUE(CriteriTecnici!$N1471,".",","),IFERROR(NUMBERVALUE(CriteriTecnici!$N1471,",","."),0))),4)&amp;""),",",".")&amp;", "&amp;CHAR(34)&amp;"numerator"&amp;CHAR(34)&amp;": "&amp;SUBSTITUTE(TRIM(ROUND(IFERROR(CriteriTecnici!$K1471*1,IFERROR(NUMBERVALUE(CriteriTecnici!$K1471,".",","),IFERROR(NUMBERVALUE(CriteriTecnici!$K1471,",","."),0))),4)&amp;""),",",".")&amp;", "&amp;CHAR(34)&amp;"denominator"&amp;CHAR(34)&amp;": "&amp;SUBSTITUTE(TRIM(ROUND(IFERROR(CriteriTecnici!$L1471*1,IFERROR(NUMBERVALUE(CriteriTecnici!$L1471,".",","),IFERROR(NUMBERVALUE(CriteriTecnici!$L1471,",","."),0))),4)&amp;""),",",".")&amp;", "&amp;CHAR(34)&amp;"flag"&amp;CHAR(34)&amp;": "&amp;SUBSTITUTE(TRIM(ROUND(IFERROR(CriteriTecnici!$M1471*1,IFERROR(NUMBERVALUE(CriteriTecnici!$M1471,".",","),IFERROR(NUMBERVALUE(CriteriTecnici!$M1471,",","."),0))),4)&amp;""),",",".")&amp;", "&amp;CHAR(34)&amp;"rawScore"&amp;CHAR(34)&amp;": "&amp;SUBSTITUTE(TRIM(ROUND(IFERROR(CriteriTecnici!$O1471*1,IFERROR(NUMBERVALUE(CriteriTecnici!$O1471,".",","),IFERROR(NUMBERVALUE(CriteriTecnici!$O1471,",","."),0))),4)&amp;""),",",".")&amp;CHAR(125)&amp;IF(TRUE,",",""))</f>
        <v/>
      </c>
    </row>
    <row r="1573">
      <c r="A1573" s="82">
        <f>IF(CriteriTecnici!$A1472="","","    "&amp;CHAR(123)&amp;CHAR(34)&amp;"bidderId"&amp;CHAR(34)&amp;": "&amp;CHAR(34)&amp;SUBSTITUTE(CriteriTecnici!$A1472,CHAR(34),"'")&amp;CHAR(34)&amp;", "&amp;CHAR(34)&amp;"lotId"&amp;CHAR(34)&amp;": "&amp;CHAR(34)&amp;SUBSTITUTE(CriteriTecnici!$C1472,CHAR(34),"'")&amp;CHAR(34)&amp;", "&amp;CHAR(34)&amp;"criterionId"&amp;CHAR(34)&amp;": "&amp;CHAR(34)&amp;SUBSTITUTE(CriteriTecnici!$D1472,CHAR(34),"'")&amp;CHAR(34)&amp;", "&amp;CHAR(34)&amp;"kind"&amp;CHAR(34)&amp;": "&amp;CHAR(34)&amp;SUBSTITUTE(CriteriTecnici!$F1472,CHAR(34),"'")&amp;CHAR(34)&amp;", "&amp;CHAR(34)&amp;"value"&amp;CHAR(34)&amp;": "&amp;SUBSTITUTE(TRIM(ROUND(IFERROR(CriteriTecnici!$N1472*1,IFERROR(NUMBERVALUE(CriteriTecnici!$N1472,".",","),IFERROR(NUMBERVALUE(CriteriTecnici!$N1472,",","."),0))),4)&amp;""),",",".")&amp;", "&amp;CHAR(34)&amp;"numerator"&amp;CHAR(34)&amp;": "&amp;SUBSTITUTE(TRIM(ROUND(IFERROR(CriteriTecnici!$K1472*1,IFERROR(NUMBERVALUE(CriteriTecnici!$K1472,".",","),IFERROR(NUMBERVALUE(CriteriTecnici!$K1472,",","."),0))),4)&amp;""),",",".")&amp;", "&amp;CHAR(34)&amp;"denominator"&amp;CHAR(34)&amp;": "&amp;SUBSTITUTE(TRIM(ROUND(IFERROR(CriteriTecnici!$L1472*1,IFERROR(NUMBERVALUE(CriteriTecnici!$L1472,".",","),IFERROR(NUMBERVALUE(CriteriTecnici!$L1472,",","."),0))),4)&amp;""),",",".")&amp;", "&amp;CHAR(34)&amp;"flag"&amp;CHAR(34)&amp;": "&amp;SUBSTITUTE(TRIM(ROUND(IFERROR(CriteriTecnici!$M1472*1,IFERROR(NUMBERVALUE(CriteriTecnici!$M1472,".",","),IFERROR(NUMBERVALUE(CriteriTecnici!$M1472,",","."),0))),4)&amp;""),",",".")&amp;", "&amp;CHAR(34)&amp;"rawScore"&amp;CHAR(34)&amp;": "&amp;SUBSTITUTE(TRIM(ROUND(IFERROR(CriteriTecnici!$O1472*1,IFERROR(NUMBERVALUE(CriteriTecnici!$O1472,".",","),IFERROR(NUMBERVALUE(CriteriTecnici!$O1472,",","."),0))),4)&amp;""),",",".")&amp;CHAR(125)&amp;IF(TRUE,",",""))</f>
        <v/>
      </c>
    </row>
    <row r="1574">
      <c r="A1574" s="82">
        <f>IF(CriteriTecnici!$A1473="","","    "&amp;CHAR(123)&amp;CHAR(34)&amp;"bidderId"&amp;CHAR(34)&amp;": "&amp;CHAR(34)&amp;SUBSTITUTE(CriteriTecnici!$A1473,CHAR(34),"'")&amp;CHAR(34)&amp;", "&amp;CHAR(34)&amp;"lotId"&amp;CHAR(34)&amp;": "&amp;CHAR(34)&amp;SUBSTITUTE(CriteriTecnici!$C1473,CHAR(34),"'")&amp;CHAR(34)&amp;", "&amp;CHAR(34)&amp;"criterionId"&amp;CHAR(34)&amp;": "&amp;CHAR(34)&amp;SUBSTITUTE(CriteriTecnici!$D1473,CHAR(34),"'")&amp;CHAR(34)&amp;", "&amp;CHAR(34)&amp;"kind"&amp;CHAR(34)&amp;": "&amp;CHAR(34)&amp;SUBSTITUTE(CriteriTecnici!$F1473,CHAR(34),"'")&amp;CHAR(34)&amp;", "&amp;CHAR(34)&amp;"value"&amp;CHAR(34)&amp;": "&amp;SUBSTITUTE(TRIM(ROUND(IFERROR(CriteriTecnici!$N1473*1,IFERROR(NUMBERVALUE(CriteriTecnici!$N1473,".",","),IFERROR(NUMBERVALUE(CriteriTecnici!$N1473,",","."),0))),4)&amp;""),",",".")&amp;", "&amp;CHAR(34)&amp;"numerator"&amp;CHAR(34)&amp;": "&amp;SUBSTITUTE(TRIM(ROUND(IFERROR(CriteriTecnici!$K1473*1,IFERROR(NUMBERVALUE(CriteriTecnici!$K1473,".",","),IFERROR(NUMBERVALUE(CriteriTecnici!$K1473,",","."),0))),4)&amp;""),",",".")&amp;", "&amp;CHAR(34)&amp;"denominator"&amp;CHAR(34)&amp;": "&amp;SUBSTITUTE(TRIM(ROUND(IFERROR(CriteriTecnici!$L1473*1,IFERROR(NUMBERVALUE(CriteriTecnici!$L1473,".",","),IFERROR(NUMBERVALUE(CriteriTecnici!$L1473,",","."),0))),4)&amp;""),",",".")&amp;", "&amp;CHAR(34)&amp;"flag"&amp;CHAR(34)&amp;": "&amp;SUBSTITUTE(TRIM(ROUND(IFERROR(CriteriTecnici!$M1473*1,IFERROR(NUMBERVALUE(CriteriTecnici!$M1473,".",","),IFERROR(NUMBERVALUE(CriteriTecnici!$M1473,",","."),0))),4)&amp;""),",",".")&amp;", "&amp;CHAR(34)&amp;"rawScore"&amp;CHAR(34)&amp;": "&amp;SUBSTITUTE(TRIM(ROUND(IFERROR(CriteriTecnici!$O1473*1,IFERROR(NUMBERVALUE(CriteriTecnici!$O1473,".",","),IFERROR(NUMBERVALUE(CriteriTecnici!$O1473,",","."),0))),4)&amp;""),",",".")&amp;CHAR(125)&amp;IF(TRUE,",",""))</f>
        <v/>
      </c>
    </row>
    <row r="1575">
      <c r="A1575" s="82">
        <f>IF(CriteriTecnici!$A1474="","","    "&amp;CHAR(123)&amp;CHAR(34)&amp;"bidderId"&amp;CHAR(34)&amp;": "&amp;CHAR(34)&amp;SUBSTITUTE(CriteriTecnici!$A1474,CHAR(34),"'")&amp;CHAR(34)&amp;", "&amp;CHAR(34)&amp;"lotId"&amp;CHAR(34)&amp;": "&amp;CHAR(34)&amp;SUBSTITUTE(CriteriTecnici!$C1474,CHAR(34),"'")&amp;CHAR(34)&amp;", "&amp;CHAR(34)&amp;"criterionId"&amp;CHAR(34)&amp;": "&amp;CHAR(34)&amp;SUBSTITUTE(CriteriTecnici!$D1474,CHAR(34),"'")&amp;CHAR(34)&amp;", "&amp;CHAR(34)&amp;"kind"&amp;CHAR(34)&amp;": "&amp;CHAR(34)&amp;SUBSTITUTE(CriteriTecnici!$F1474,CHAR(34),"'")&amp;CHAR(34)&amp;", "&amp;CHAR(34)&amp;"value"&amp;CHAR(34)&amp;": "&amp;SUBSTITUTE(TRIM(ROUND(IFERROR(CriteriTecnici!$N1474*1,IFERROR(NUMBERVALUE(CriteriTecnici!$N1474,".",","),IFERROR(NUMBERVALUE(CriteriTecnici!$N1474,",","."),0))),4)&amp;""),",",".")&amp;", "&amp;CHAR(34)&amp;"numerator"&amp;CHAR(34)&amp;": "&amp;SUBSTITUTE(TRIM(ROUND(IFERROR(CriteriTecnici!$K1474*1,IFERROR(NUMBERVALUE(CriteriTecnici!$K1474,".",","),IFERROR(NUMBERVALUE(CriteriTecnici!$K1474,",","."),0))),4)&amp;""),",",".")&amp;", "&amp;CHAR(34)&amp;"denominator"&amp;CHAR(34)&amp;": "&amp;SUBSTITUTE(TRIM(ROUND(IFERROR(CriteriTecnici!$L1474*1,IFERROR(NUMBERVALUE(CriteriTecnici!$L1474,".",","),IFERROR(NUMBERVALUE(CriteriTecnici!$L1474,",","."),0))),4)&amp;""),",",".")&amp;", "&amp;CHAR(34)&amp;"flag"&amp;CHAR(34)&amp;": "&amp;SUBSTITUTE(TRIM(ROUND(IFERROR(CriteriTecnici!$M1474*1,IFERROR(NUMBERVALUE(CriteriTecnici!$M1474,".",","),IFERROR(NUMBERVALUE(CriteriTecnici!$M1474,",","."),0))),4)&amp;""),",",".")&amp;", "&amp;CHAR(34)&amp;"rawScore"&amp;CHAR(34)&amp;": "&amp;SUBSTITUTE(TRIM(ROUND(IFERROR(CriteriTecnici!$O1474*1,IFERROR(NUMBERVALUE(CriteriTecnici!$O1474,".",","),IFERROR(NUMBERVALUE(CriteriTecnici!$O1474,",","."),0))),4)&amp;""),",",".")&amp;CHAR(125)&amp;IF(TRUE,",",""))</f>
        <v/>
      </c>
    </row>
    <row r="1576">
      <c r="A1576" s="82">
        <f>IF(CriteriTecnici!$A1475="","","    "&amp;CHAR(123)&amp;CHAR(34)&amp;"bidderId"&amp;CHAR(34)&amp;": "&amp;CHAR(34)&amp;SUBSTITUTE(CriteriTecnici!$A1475,CHAR(34),"'")&amp;CHAR(34)&amp;", "&amp;CHAR(34)&amp;"lotId"&amp;CHAR(34)&amp;": "&amp;CHAR(34)&amp;SUBSTITUTE(CriteriTecnici!$C1475,CHAR(34),"'")&amp;CHAR(34)&amp;", "&amp;CHAR(34)&amp;"criterionId"&amp;CHAR(34)&amp;": "&amp;CHAR(34)&amp;SUBSTITUTE(CriteriTecnici!$D1475,CHAR(34),"'")&amp;CHAR(34)&amp;", "&amp;CHAR(34)&amp;"kind"&amp;CHAR(34)&amp;": "&amp;CHAR(34)&amp;SUBSTITUTE(CriteriTecnici!$F1475,CHAR(34),"'")&amp;CHAR(34)&amp;", "&amp;CHAR(34)&amp;"value"&amp;CHAR(34)&amp;": "&amp;SUBSTITUTE(TRIM(ROUND(IFERROR(CriteriTecnici!$N1475*1,IFERROR(NUMBERVALUE(CriteriTecnici!$N1475,".",","),IFERROR(NUMBERVALUE(CriteriTecnici!$N1475,",","."),0))),4)&amp;""),",",".")&amp;", "&amp;CHAR(34)&amp;"numerator"&amp;CHAR(34)&amp;": "&amp;SUBSTITUTE(TRIM(ROUND(IFERROR(CriteriTecnici!$K1475*1,IFERROR(NUMBERVALUE(CriteriTecnici!$K1475,".",","),IFERROR(NUMBERVALUE(CriteriTecnici!$K1475,",","."),0))),4)&amp;""),",",".")&amp;", "&amp;CHAR(34)&amp;"denominator"&amp;CHAR(34)&amp;": "&amp;SUBSTITUTE(TRIM(ROUND(IFERROR(CriteriTecnici!$L1475*1,IFERROR(NUMBERVALUE(CriteriTecnici!$L1475,".",","),IFERROR(NUMBERVALUE(CriteriTecnici!$L1475,",","."),0))),4)&amp;""),",",".")&amp;", "&amp;CHAR(34)&amp;"flag"&amp;CHAR(34)&amp;": "&amp;SUBSTITUTE(TRIM(ROUND(IFERROR(CriteriTecnici!$M1475*1,IFERROR(NUMBERVALUE(CriteriTecnici!$M1475,".",","),IFERROR(NUMBERVALUE(CriteriTecnici!$M1475,",","."),0))),4)&amp;""),",",".")&amp;", "&amp;CHAR(34)&amp;"rawScore"&amp;CHAR(34)&amp;": "&amp;SUBSTITUTE(TRIM(ROUND(IFERROR(CriteriTecnici!$O1475*1,IFERROR(NUMBERVALUE(CriteriTecnici!$O1475,".",","),IFERROR(NUMBERVALUE(CriteriTecnici!$O1475,",","."),0))),4)&amp;""),",",".")&amp;CHAR(125)&amp;IF(TRUE,",",""))</f>
        <v/>
      </c>
    </row>
    <row r="1577">
      <c r="A1577" s="82">
        <f>IF(CriteriTecnici!$A1476="","","    "&amp;CHAR(123)&amp;CHAR(34)&amp;"bidderId"&amp;CHAR(34)&amp;": "&amp;CHAR(34)&amp;SUBSTITUTE(CriteriTecnici!$A1476,CHAR(34),"'")&amp;CHAR(34)&amp;", "&amp;CHAR(34)&amp;"lotId"&amp;CHAR(34)&amp;": "&amp;CHAR(34)&amp;SUBSTITUTE(CriteriTecnici!$C1476,CHAR(34),"'")&amp;CHAR(34)&amp;", "&amp;CHAR(34)&amp;"criterionId"&amp;CHAR(34)&amp;": "&amp;CHAR(34)&amp;SUBSTITUTE(CriteriTecnici!$D1476,CHAR(34),"'")&amp;CHAR(34)&amp;", "&amp;CHAR(34)&amp;"kind"&amp;CHAR(34)&amp;": "&amp;CHAR(34)&amp;SUBSTITUTE(CriteriTecnici!$F1476,CHAR(34),"'")&amp;CHAR(34)&amp;", "&amp;CHAR(34)&amp;"value"&amp;CHAR(34)&amp;": "&amp;SUBSTITUTE(TRIM(ROUND(IFERROR(CriteriTecnici!$N1476*1,IFERROR(NUMBERVALUE(CriteriTecnici!$N1476,".",","),IFERROR(NUMBERVALUE(CriteriTecnici!$N1476,",","."),0))),4)&amp;""),",",".")&amp;", "&amp;CHAR(34)&amp;"numerator"&amp;CHAR(34)&amp;": "&amp;SUBSTITUTE(TRIM(ROUND(IFERROR(CriteriTecnici!$K1476*1,IFERROR(NUMBERVALUE(CriteriTecnici!$K1476,".",","),IFERROR(NUMBERVALUE(CriteriTecnici!$K1476,",","."),0))),4)&amp;""),",",".")&amp;", "&amp;CHAR(34)&amp;"denominator"&amp;CHAR(34)&amp;": "&amp;SUBSTITUTE(TRIM(ROUND(IFERROR(CriteriTecnici!$L1476*1,IFERROR(NUMBERVALUE(CriteriTecnici!$L1476,".",","),IFERROR(NUMBERVALUE(CriteriTecnici!$L1476,",","."),0))),4)&amp;""),",",".")&amp;", "&amp;CHAR(34)&amp;"flag"&amp;CHAR(34)&amp;": "&amp;SUBSTITUTE(TRIM(ROUND(IFERROR(CriteriTecnici!$M1476*1,IFERROR(NUMBERVALUE(CriteriTecnici!$M1476,".",","),IFERROR(NUMBERVALUE(CriteriTecnici!$M1476,",","."),0))),4)&amp;""),",",".")&amp;", "&amp;CHAR(34)&amp;"rawScore"&amp;CHAR(34)&amp;": "&amp;SUBSTITUTE(TRIM(ROUND(IFERROR(CriteriTecnici!$O1476*1,IFERROR(NUMBERVALUE(CriteriTecnici!$O1476,".",","),IFERROR(NUMBERVALUE(CriteriTecnici!$O1476,",","."),0))),4)&amp;""),",",".")&amp;CHAR(125)&amp;IF(TRUE,",",""))</f>
        <v/>
      </c>
    </row>
    <row r="1578">
      <c r="A1578" s="82">
        <f>IF(CriteriTecnici!$A1477="","","    "&amp;CHAR(123)&amp;CHAR(34)&amp;"bidderId"&amp;CHAR(34)&amp;": "&amp;CHAR(34)&amp;SUBSTITUTE(CriteriTecnici!$A1477,CHAR(34),"'")&amp;CHAR(34)&amp;", "&amp;CHAR(34)&amp;"lotId"&amp;CHAR(34)&amp;": "&amp;CHAR(34)&amp;SUBSTITUTE(CriteriTecnici!$C1477,CHAR(34),"'")&amp;CHAR(34)&amp;", "&amp;CHAR(34)&amp;"criterionId"&amp;CHAR(34)&amp;": "&amp;CHAR(34)&amp;SUBSTITUTE(CriteriTecnici!$D1477,CHAR(34),"'")&amp;CHAR(34)&amp;", "&amp;CHAR(34)&amp;"kind"&amp;CHAR(34)&amp;": "&amp;CHAR(34)&amp;SUBSTITUTE(CriteriTecnici!$F1477,CHAR(34),"'")&amp;CHAR(34)&amp;", "&amp;CHAR(34)&amp;"value"&amp;CHAR(34)&amp;": "&amp;SUBSTITUTE(TRIM(ROUND(IFERROR(CriteriTecnici!$N1477*1,IFERROR(NUMBERVALUE(CriteriTecnici!$N1477,".",","),IFERROR(NUMBERVALUE(CriteriTecnici!$N1477,",","."),0))),4)&amp;""),",",".")&amp;", "&amp;CHAR(34)&amp;"numerator"&amp;CHAR(34)&amp;": "&amp;SUBSTITUTE(TRIM(ROUND(IFERROR(CriteriTecnici!$K1477*1,IFERROR(NUMBERVALUE(CriteriTecnici!$K1477,".",","),IFERROR(NUMBERVALUE(CriteriTecnici!$K1477,",","."),0))),4)&amp;""),",",".")&amp;", "&amp;CHAR(34)&amp;"denominator"&amp;CHAR(34)&amp;": "&amp;SUBSTITUTE(TRIM(ROUND(IFERROR(CriteriTecnici!$L1477*1,IFERROR(NUMBERVALUE(CriteriTecnici!$L1477,".",","),IFERROR(NUMBERVALUE(CriteriTecnici!$L1477,",","."),0))),4)&amp;""),",",".")&amp;", "&amp;CHAR(34)&amp;"flag"&amp;CHAR(34)&amp;": "&amp;SUBSTITUTE(TRIM(ROUND(IFERROR(CriteriTecnici!$M1477*1,IFERROR(NUMBERVALUE(CriteriTecnici!$M1477,".",","),IFERROR(NUMBERVALUE(CriteriTecnici!$M1477,",","."),0))),4)&amp;""),",",".")&amp;", "&amp;CHAR(34)&amp;"rawScore"&amp;CHAR(34)&amp;": "&amp;SUBSTITUTE(TRIM(ROUND(IFERROR(CriteriTecnici!$O1477*1,IFERROR(NUMBERVALUE(CriteriTecnici!$O1477,".",","),IFERROR(NUMBERVALUE(CriteriTecnici!$O1477,",","."),0))),4)&amp;""),",",".")&amp;CHAR(125)&amp;IF(TRUE,",",""))</f>
        <v/>
      </c>
    </row>
    <row r="1579">
      <c r="A1579" s="82">
        <f>IF(CriteriTecnici!$A1478="","","    "&amp;CHAR(123)&amp;CHAR(34)&amp;"bidderId"&amp;CHAR(34)&amp;": "&amp;CHAR(34)&amp;SUBSTITUTE(CriteriTecnici!$A1478,CHAR(34),"'")&amp;CHAR(34)&amp;", "&amp;CHAR(34)&amp;"lotId"&amp;CHAR(34)&amp;": "&amp;CHAR(34)&amp;SUBSTITUTE(CriteriTecnici!$C1478,CHAR(34),"'")&amp;CHAR(34)&amp;", "&amp;CHAR(34)&amp;"criterionId"&amp;CHAR(34)&amp;": "&amp;CHAR(34)&amp;SUBSTITUTE(CriteriTecnici!$D1478,CHAR(34),"'")&amp;CHAR(34)&amp;", "&amp;CHAR(34)&amp;"kind"&amp;CHAR(34)&amp;": "&amp;CHAR(34)&amp;SUBSTITUTE(CriteriTecnici!$F1478,CHAR(34),"'")&amp;CHAR(34)&amp;", "&amp;CHAR(34)&amp;"value"&amp;CHAR(34)&amp;": "&amp;SUBSTITUTE(TRIM(ROUND(IFERROR(CriteriTecnici!$N1478*1,IFERROR(NUMBERVALUE(CriteriTecnici!$N1478,".",","),IFERROR(NUMBERVALUE(CriteriTecnici!$N1478,",","."),0))),4)&amp;""),",",".")&amp;", "&amp;CHAR(34)&amp;"numerator"&amp;CHAR(34)&amp;": "&amp;SUBSTITUTE(TRIM(ROUND(IFERROR(CriteriTecnici!$K1478*1,IFERROR(NUMBERVALUE(CriteriTecnici!$K1478,".",","),IFERROR(NUMBERVALUE(CriteriTecnici!$K1478,",","."),0))),4)&amp;""),",",".")&amp;", "&amp;CHAR(34)&amp;"denominator"&amp;CHAR(34)&amp;": "&amp;SUBSTITUTE(TRIM(ROUND(IFERROR(CriteriTecnici!$L1478*1,IFERROR(NUMBERVALUE(CriteriTecnici!$L1478,".",","),IFERROR(NUMBERVALUE(CriteriTecnici!$L1478,",","."),0))),4)&amp;""),",",".")&amp;", "&amp;CHAR(34)&amp;"flag"&amp;CHAR(34)&amp;": "&amp;SUBSTITUTE(TRIM(ROUND(IFERROR(CriteriTecnici!$M1478*1,IFERROR(NUMBERVALUE(CriteriTecnici!$M1478,".",","),IFERROR(NUMBERVALUE(CriteriTecnici!$M1478,",","."),0))),4)&amp;""),",",".")&amp;", "&amp;CHAR(34)&amp;"rawScore"&amp;CHAR(34)&amp;": "&amp;SUBSTITUTE(TRIM(ROUND(IFERROR(CriteriTecnici!$O1478*1,IFERROR(NUMBERVALUE(CriteriTecnici!$O1478,".",","),IFERROR(NUMBERVALUE(CriteriTecnici!$O1478,",","."),0))),4)&amp;""),",",".")&amp;CHAR(125)&amp;IF(TRUE,",",""))</f>
        <v/>
      </c>
    </row>
    <row r="1580">
      <c r="A1580" s="82">
        <f>IF(CriteriTecnici!$A1479="","","    "&amp;CHAR(123)&amp;CHAR(34)&amp;"bidderId"&amp;CHAR(34)&amp;": "&amp;CHAR(34)&amp;SUBSTITUTE(CriteriTecnici!$A1479,CHAR(34),"'")&amp;CHAR(34)&amp;", "&amp;CHAR(34)&amp;"lotId"&amp;CHAR(34)&amp;": "&amp;CHAR(34)&amp;SUBSTITUTE(CriteriTecnici!$C1479,CHAR(34),"'")&amp;CHAR(34)&amp;", "&amp;CHAR(34)&amp;"criterionId"&amp;CHAR(34)&amp;": "&amp;CHAR(34)&amp;SUBSTITUTE(CriteriTecnici!$D1479,CHAR(34),"'")&amp;CHAR(34)&amp;", "&amp;CHAR(34)&amp;"kind"&amp;CHAR(34)&amp;": "&amp;CHAR(34)&amp;SUBSTITUTE(CriteriTecnici!$F1479,CHAR(34),"'")&amp;CHAR(34)&amp;", "&amp;CHAR(34)&amp;"value"&amp;CHAR(34)&amp;": "&amp;SUBSTITUTE(TRIM(ROUND(IFERROR(CriteriTecnici!$N1479*1,IFERROR(NUMBERVALUE(CriteriTecnici!$N1479,".",","),IFERROR(NUMBERVALUE(CriteriTecnici!$N1479,",","."),0))),4)&amp;""),",",".")&amp;", "&amp;CHAR(34)&amp;"numerator"&amp;CHAR(34)&amp;": "&amp;SUBSTITUTE(TRIM(ROUND(IFERROR(CriteriTecnici!$K1479*1,IFERROR(NUMBERVALUE(CriteriTecnici!$K1479,".",","),IFERROR(NUMBERVALUE(CriteriTecnici!$K1479,",","."),0))),4)&amp;""),",",".")&amp;", "&amp;CHAR(34)&amp;"denominator"&amp;CHAR(34)&amp;": "&amp;SUBSTITUTE(TRIM(ROUND(IFERROR(CriteriTecnici!$L1479*1,IFERROR(NUMBERVALUE(CriteriTecnici!$L1479,".",","),IFERROR(NUMBERVALUE(CriteriTecnici!$L1479,",","."),0))),4)&amp;""),",",".")&amp;", "&amp;CHAR(34)&amp;"flag"&amp;CHAR(34)&amp;": "&amp;SUBSTITUTE(TRIM(ROUND(IFERROR(CriteriTecnici!$M1479*1,IFERROR(NUMBERVALUE(CriteriTecnici!$M1479,".",","),IFERROR(NUMBERVALUE(CriteriTecnici!$M1479,",","."),0))),4)&amp;""),",",".")&amp;", "&amp;CHAR(34)&amp;"rawScore"&amp;CHAR(34)&amp;": "&amp;SUBSTITUTE(TRIM(ROUND(IFERROR(CriteriTecnici!$O1479*1,IFERROR(NUMBERVALUE(CriteriTecnici!$O1479,".",","),IFERROR(NUMBERVALUE(CriteriTecnici!$O1479,",","."),0))),4)&amp;""),",",".")&amp;CHAR(125)&amp;IF(TRUE,",",""))</f>
        <v/>
      </c>
    </row>
    <row r="1581">
      <c r="A1581" s="82">
        <f>IF(CriteriTecnici!$A1480="","","    "&amp;CHAR(123)&amp;CHAR(34)&amp;"bidderId"&amp;CHAR(34)&amp;": "&amp;CHAR(34)&amp;SUBSTITUTE(CriteriTecnici!$A1480,CHAR(34),"'")&amp;CHAR(34)&amp;", "&amp;CHAR(34)&amp;"lotId"&amp;CHAR(34)&amp;": "&amp;CHAR(34)&amp;SUBSTITUTE(CriteriTecnici!$C1480,CHAR(34),"'")&amp;CHAR(34)&amp;", "&amp;CHAR(34)&amp;"criterionId"&amp;CHAR(34)&amp;": "&amp;CHAR(34)&amp;SUBSTITUTE(CriteriTecnici!$D1480,CHAR(34),"'")&amp;CHAR(34)&amp;", "&amp;CHAR(34)&amp;"kind"&amp;CHAR(34)&amp;": "&amp;CHAR(34)&amp;SUBSTITUTE(CriteriTecnici!$F1480,CHAR(34),"'")&amp;CHAR(34)&amp;", "&amp;CHAR(34)&amp;"value"&amp;CHAR(34)&amp;": "&amp;SUBSTITUTE(TRIM(ROUND(IFERROR(CriteriTecnici!$N1480*1,IFERROR(NUMBERVALUE(CriteriTecnici!$N1480,".",","),IFERROR(NUMBERVALUE(CriteriTecnici!$N1480,",","."),0))),4)&amp;""),",",".")&amp;", "&amp;CHAR(34)&amp;"numerator"&amp;CHAR(34)&amp;": "&amp;SUBSTITUTE(TRIM(ROUND(IFERROR(CriteriTecnici!$K1480*1,IFERROR(NUMBERVALUE(CriteriTecnici!$K1480,".",","),IFERROR(NUMBERVALUE(CriteriTecnici!$K1480,",","."),0))),4)&amp;""),",",".")&amp;", "&amp;CHAR(34)&amp;"denominator"&amp;CHAR(34)&amp;": "&amp;SUBSTITUTE(TRIM(ROUND(IFERROR(CriteriTecnici!$L1480*1,IFERROR(NUMBERVALUE(CriteriTecnici!$L1480,".",","),IFERROR(NUMBERVALUE(CriteriTecnici!$L1480,",","."),0))),4)&amp;""),",",".")&amp;", "&amp;CHAR(34)&amp;"flag"&amp;CHAR(34)&amp;": "&amp;SUBSTITUTE(TRIM(ROUND(IFERROR(CriteriTecnici!$M1480*1,IFERROR(NUMBERVALUE(CriteriTecnici!$M1480,".",","),IFERROR(NUMBERVALUE(CriteriTecnici!$M1480,",","."),0))),4)&amp;""),",",".")&amp;", "&amp;CHAR(34)&amp;"rawScore"&amp;CHAR(34)&amp;": "&amp;SUBSTITUTE(TRIM(ROUND(IFERROR(CriteriTecnici!$O1480*1,IFERROR(NUMBERVALUE(CriteriTecnici!$O1480,".",","),IFERROR(NUMBERVALUE(CriteriTecnici!$O1480,",","."),0))),4)&amp;""),",",".")&amp;CHAR(125)&amp;IF(TRUE,",",""))</f>
        <v/>
      </c>
    </row>
    <row r="1582">
      <c r="A1582" s="82">
        <f>IF(CriteriTecnici!$A1481="","","    "&amp;CHAR(123)&amp;CHAR(34)&amp;"bidderId"&amp;CHAR(34)&amp;": "&amp;CHAR(34)&amp;SUBSTITUTE(CriteriTecnici!$A1481,CHAR(34),"'")&amp;CHAR(34)&amp;", "&amp;CHAR(34)&amp;"lotId"&amp;CHAR(34)&amp;": "&amp;CHAR(34)&amp;SUBSTITUTE(CriteriTecnici!$C1481,CHAR(34),"'")&amp;CHAR(34)&amp;", "&amp;CHAR(34)&amp;"criterionId"&amp;CHAR(34)&amp;": "&amp;CHAR(34)&amp;SUBSTITUTE(CriteriTecnici!$D1481,CHAR(34),"'")&amp;CHAR(34)&amp;", "&amp;CHAR(34)&amp;"kind"&amp;CHAR(34)&amp;": "&amp;CHAR(34)&amp;SUBSTITUTE(CriteriTecnici!$F1481,CHAR(34),"'")&amp;CHAR(34)&amp;", "&amp;CHAR(34)&amp;"value"&amp;CHAR(34)&amp;": "&amp;SUBSTITUTE(TRIM(ROUND(IFERROR(CriteriTecnici!$N1481*1,IFERROR(NUMBERVALUE(CriteriTecnici!$N1481,".",","),IFERROR(NUMBERVALUE(CriteriTecnici!$N1481,",","."),0))),4)&amp;""),",",".")&amp;", "&amp;CHAR(34)&amp;"numerator"&amp;CHAR(34)&amp;": "&amp;SUBSTITUTE(TRIM(ROUND(IFERROR(CriteriTecnici!$K1481*1,IFERROR(NUMBERVALUE(CriteriTecnici!$K1481,".",","),IFERROR(NUMBERVALUE(CriteriTecnici!$K1481,",","."),0))),4)&amp;""),",",".")&amp;", "&amp;CHAR(34)&amp;"denominator"&amp;CHAR(34)&amp;": "&amp;SUBSTITUTE(TRIM(ROUND(IFERROR(CriteriTecnici!$L1481*1,IFERROR(NUMBERVALUE(CriteriTecnici!$L1481,".",","),IFERROR(NUMBERVALUE(CriteriTecnici!$L1481,",","."),0))),4)&amp;""),",",".")&amp;", "&amp;CHAR(34)&amp;"flag"&amp;CHAR(34)&amp;": "&amp;SUBSTITUTE(TRIM(ROUND(IFERROR(CriteriTecnici!$M1481*1,IFERROR(NUMBERVALUE(CriteriTecnici!$M1481,".",","),IFERROR(NUMBERVALUE(CriteriTecnici!$M1481,",","."),0))),4)&amp;""),",",".")&amp;", "&amp;CHAR(34)&amp;"rawScore"&amp;CHAR(34)&amp;": "&amp;SUBSTITUTE(TRIM(ROUND(IFERROR(CriteriTecnici!$O1481*1,IFERROR(NUMBERVALUE(CriteriTecnici!$O1481,".",","),IFERROR(NUMBERVALUE(CriteriTecnici!$O1481,",","."),0))),4)&amp;""),",",".")&amp;CHAR(125)&amp;IF(TRUE,",",""))</f>
        <v/>
      </c>
    </row>
    <row r="1583">
      <c r="A1583" s="82">
        <f>IF(CriteriTecnici!$A1482="","","    "&amp;CHAR(123)&amp;CHAR(34)&amp;"bidderId"&amp;CHAR(34)&amp;": "&amp;CHAR(34)&amp;SUBSTITUTE(CriteriTecnici!$A1482,CHAR(34),"'")&amp;CHAR(34)&amp;", "&amp;CHAR(34)&amp;"lotId"&amp;CHAR(34)&amp;": "&amp;CHAR(34)&amp;SUBSTITUTE(CriteriTecnici!$C1482,CHAR(34),"'")&amp;CHAR(34)&amp;", "&amp;CHAR(34)&amp;"criterionId"&amp;CHAR(34)&amp;": "&amp;CHAR(34)&amp;SUBSTITUTE(CriteriTecnici!$D1482,CHAR(34),"'")&amp;CHAR(34)&amp;", "&amp;CHAR(34)&amp;"kind"&amp;CHAR(34)&amp;": "&amp;CHAR(34)&amp;SUBSTITUTE(CriteriTecnici!$F1482,CHAR(34),"'")&amp;CHAR(34)&amp;", "&amp;CHAR(34)&amp;"value"&amp;CHAR(34)&amp;": "&amp;SUBSTITUTE(TRIM(ROUND(IFERROR(CriteriTecnici!$N1482*1,IFERROR(NUMBERVALUE(CriteriTecnici!$N1482,".",","),IFERROR(NUMBERVALUE(CriteriTecnici!$N1482,",","."),0))),4)&amp;""),",",".")&amp;", "&amp;CHAR(34)&amp;"numerator"&amp;CHAR(34)&amp;": "&amp;SUBSTITUTE(TRIM(ROUND(IFERROR(CriteriTecnici!$K1482*1,IFERROR(NUMBERVALUE(CriteriTecnici!$K1482,".",","),IFERROR(NUMBERVALUE(CriteriTecnici!$K1482,",","."),0))),4)&amp;""),",",".")&amp;", "&amp;CHAR(34)&amp;"denominator"&amp;CHAR(34)&amp;": "&amp;SUBSTITUTE(TRIM(ROUND(IFERROR(CriteriTecnici!$L1482*1,IFERROR(NUMBERVALUE(CriteriTecnici!$L1482,".",","),IFERROR(NUMBERVALUE(CriteriTecnici!$L1482,",","."),0))),4)&amp;""),",",".")&amp;", "&amp;CHAR(34)&amp;"flag"&amp;CHAR(34)&amp;": "&amp;SUBSTITUTE(TRIM(ROUND(IFERROR(CriteriTecnici!$M1482*1,IFERROR(NUMBERVALUE(CriteriTecnici!$M1482,".",","),IFERROR(NUMBERVALUE(CriteriTecnici!$M1482,",","."),0))),4)&amp;""),",",".")&amp;", "&amp;CHAR(34)&amp;"rawScore"&amp;CHAR(34)&amp;": "&amp;SUBSTITUTE(TRIM(ROUND(IFERROR(CriteriTecnici!$O1482*1,IFERROR(NUMBERVALUE(CriteriTecnici!$O1482,".",","),IFERROR(NUMBERVALUE(CriteriTecnici!$O1482,",","."),0))),4)&amp;""),",",".")&amp;CHAR(125)&amp;IF(TRUE,",",""))</f>
        <v/>
      </c>
    </row>
    <row r="1584">
      <c r="A1584" s="82">
        <f>IF(CriteriTecnici!$A1483="","","    "&amp;CHAR(123)&amp;CHAR(34)&amp;"bidderId"&amp;CHAR(34)&amp;": "&amp;CHAR(34)&amp;SUBSTITUTE(CriteriTecnici!$A1483,CHAR(34),"'")&amp;CHAR(34)&amp;", "&amp;CHAR(34)&amp;"lotId"&amp;CHAR(34)&amp;": "&amp;CHAR(34)&amp;SUBSTITUTE(CriteriTecnici!$C1483,CHAR(34),"'")&amp;CHAR(34)&amp;", "&amp;CHAR(34)&amp;"criterionId"&amp;CHAR(34)&amp;": "&amp;CHAR(34)&amp;SUBSTITUTE(CriteriTecnici!$D1483,CHAR(34),"'")&amp;CHAR(34)&amp;", "&amp;CHAR(34)&amp;"kind"&amp;CHAR(34)&amp;": "&amp;CHAR(34)&amp;SUBSTITUTE(CriteriTecnici!$F1483,CHAR(34),"'")&amp;CHAR(34)&amp;", "&amp;CHAR(34)&amp;"value"&amp;CHAR(34)&amp;": "&amp;SUBSTITUTE(TRIM(ROUND(IFERROR(CriteriTecnici!$N1483*1,IFERROR(NUMBERVALUE(CriteriTecnici!$N1483,".",","),IFERROR(NUMBERVALUE(CriteriTecnici!$N1483,",","."),0))),4)&amp;""),",",".")&amp;", "&amp;CHAR(34)&amp;"numerator"&amp;CHAR(34)&amp;": "&amp;SUBSTITUTE(TRIM(ROUND(IFERROR(CriteriTecnici!$K1483*1,IFERROR(NUMBERVALUE(CriteriTecnici!$K1483,".",","),IFERROR(NUMBERVALUE(CriteriTecnici!$K1483,",","."),0))),4)&amp;""),",",".")&amp;", "&amp;CHAR(34)&amp;"denominator"&amp;CHAR(34)&amp;": "&amp;SUBSTITUTE(TRIM(ROUND(IFERROR(CriteriTecnici!$L1483*1,IFERROR(NUMBERVALUE(CriteriTecnici!$L1483,".",","),IFERROR(NUMBERVALUE(CriteriTecnici!$L1483,",","."),0))),4)&amp;""),",",".")&amp;", "&amp;CHAR(34)&amp;"flag"&amp;CHAR(34)&amp;": "&amp;SUBSTITUTE(TRIM(ROUND(IFERROR(CriteriTecnici!$M1483*1,IFERROR(NUMBERVALUE(CriteriTecnici!$M1483,".",","),IFERROR(NUMBERVALUE(CriteriTecnici!$M1483,",","."),0))),4)&amp;""),",",".")&amp;", "&amp;CHAR(34)&amp;"rawScore"&amp;CHAR(34)&amp;": "&amp;SUBSTITUTE(TRIM(ROUND(IFERROR(CriteriTecnici!$O1483*1,IFERROR(NUMBERVALUE(CriteriTecnici!$O1483,".",","),IFERROR(NUMBERVALUE(CriteriTecnici!$O1483,",","."),0))),4)&amp;""),",",".")&amp;CHAR(125)&amp;IF(TRUE,",",""))</f>
        <v/>
      </c>
    </row>
    <row r="1585">
      <c r="A1585" s="82">
        <f>IF(CriteriTecnici!$A1484="","","    "&amp;CHAR(123)&amp;CHAR(34)&amp;"bidderId"&amp;CHAR(34)&amp;": "&amp;CHAR(34)&amp;SUBSTITUTE(CriteriTecnici!$A1484,CHAR(34),"'")&amp;CHAR(34)&amp;", "&amp;CHAR(34)&amp;"lotId"&amp;CHAR(34)&amp;": "&amp;CHAR(34)&amp;SUBSTITUTE(CriteriTecnici!$C1484,CHAR(34),"'")&amp;CHAR(34)&amp;", "&amp;CHAR(34)&amp;"criterionId"&amp;CHAR(34)&amp;": "&amp;CHAR(34)&amp;SUBSTITUTE(CriteriTecnici!$D1484,CHAR(34),"'")&amp;CHAR(34)&amp;", "&amp;CHAR(34)&amp;"kind"&amp;CHAR(34)&amp;": "&amp;CHAR(34)&amp;SUBSTITUTE(CriteriTecnici!$F1484,CHAR(34),"'")&amp;CHAR(34)&amp;", "&amp;CHAR(34)&amp;"value"&amp;CHAR(34)&amp;": "&amp;SUBSTITUTE(TRIM(ROUND(IFERROR(CriteriTecnici!$N1484*1,IFERROR(NUMBERVALUE(CriteriTecnici!$N1484,".",","),IFERROR(NUMBERVALUE(CriteriTecnici!$N1484,",","."),0))),4)&amp;""),",",".")&amp;", "&amp;CHAR(34)&amp;"numerator"&amp;CHAR(34)&amp;": "&amp;SUBSTITUTE(TRIM(ROUND(IFERROR(CriteriTecnici!$K1484*1,IFERROR(NUMBERVALUE(CriteriTecnici!$K1484,".",","),IFERROR(NUMBERVALUE(CriteriTecnici!$K1484,",","."),0))),4)&amp;""),",",".")&amp;", "&amp;CHAR(34)&amp;"denominator"&amp;CHAR(34)&amp;": "&amp;SUBSTITUTE(TRIM(ROUND(IFERROR(CriteriTecnici!$L1484*1,IFERROR(NUMBERVALUE(CriteriTecnici!$L1484,".",","),IFERROR(NUMBERVALUE(CriteriTecnici!$L1484,",","."),0))),4)&amp;""),",",".")&amp;", "&amp;CHAR(34)&amp;"flag"&amp;CHAR(34)&amp;": "&amp;SUBSTITUTE(TRIM(ROUND(IFERROR(CriteriTecnici!$M1484*1,IFERROR(NUMBERVALUE(CriteriTecnici!$M1484,".",","),IFERROR(NUMBERVALUE(CriteriTecnici!$M1484,",","."),0))),4)&amp;""),",",".")&amp;", "&amp;CHAR(34)&amp;"rawScore"&amp;CHAR(34)&amp;": "&amp;SUBSTITUTE(TRIM(ROUND(IFERROR(CriteriTecnici!$O1484*1,IFERROR(NUMBERVALUE(CriteriTecnici!$O1484,".",","),IFERROR(NUMBERVALUE(CriteriTecnici!$O1484,",","."),0))),4)&amp;""),",",".")&amp;CHAR(125)&amp;IF(TRUE,",",""))</f>
        <v/>
      </c>
    </row>
    <row r="1586">
      <c r="A1586" s="82">
        <f>IF(CriteriTecnici!$A1485="","","    "&amp;CHAR(123)&amp;CHAR(34)&amp;"bidderId"&amp;CHAR(34)&amp;": "&amp;CHAR(34)&amp;SUBSTITUTE(CriteriTecnici!$A1485,CHAR(34),"'")&amp;CHAR(34)&amp;", "&amp;CHAR(34)&amp;"lotId"&amp;CHAR(34)&amp;": "&amp;CHAR(34)&amp;SUBSTITUTE(CriteriTecnici!$C1485,CHAR(34),"'")&amp;CHAR(34)&amp;", "&amp;CHAR(34)&amp;"criterionId"&amp;CHAR(34)&amp;": "&amp;CHAR(34)&amp;SUBSTITUTE(CriteriTecnici!$D1485,CHAR(34),"'")&amp;CHAR(34)&amp;", "&amp;CHAR(34)&amp;"kind"&amp;CHAR(34)&amp;": "&amp;CHAR(34)&amp;SUBSTITUTE(CriteriTecnici!$F1485,CHAR(34),"'")&amp;CHAR(34)&amp;", "&amp;CHAR(34)&amp;"value"&amp;CHAR(34)&amp;": "&amp;SUBSTITUTE(TRIM(ROUND(IFERROR(CriteriTecnici!$N1485*1,IFERROR(NUMBERVALUE(CriteriTecnici!$N1485,".",","),IFERROR(NUMBERVALUE(CriteriTecnici!$N1485,",","."),0))),4)&amp;""),",",".")&amp;", "&amp;CHAR(34)&amp;"numerator"&amp;CHAR(34)&amp;": "&amp;SUBSTITUTE(TRIM(ROUND(IFERROR(CriteriTecnici!$K1485*1,IFERROR(NUMBERVALUE(CriteriTecnici!$K1485,".",","),IFERROR(NUMBERVALUE(CriteriTecnici!$K1485,",","."),0))),4)&amp;""),",",".")&amp;", "&amp;CHAR(34)&amp;"denominator"&amp;CHAR(34)&amp;": "&amp;SUBSTITUTE(TRIM(ROUND(IFERROR(CriteriTecnici!$L1485*1,IFERROR(NUMBERVALUE(CriteriTecnici!$L1485,".",","),IFERROR(NUMBERVALUE(CriteriTecnici!$L1485,",","."),0))),4)&amp;""),",",".")&amp;", "&amp;CHAR(34)&amp;"flag"&amp;CHAR(34)&amp;": "&amp;SUBSTITUTE(TRIM(ROUND(IFERROR(CriteriTecnici!$M1485*1,IFERROR(NUMBERVALUE(CriteriTecnici!$M1485,".",","),IFERROR(NUMBERVALUE(CriteriTecnici!$M1485,",","."),0))),4)&amp;""),",",".")&amp;", "&amp;CHAR(34)&amp;"rawScore"&amp;CHAR(34)&amp;": "&amp;SUBSTITUTE(TRIM(ROUND(IFERROR(CriteriTecnici!$O1485*1,IFERROR(NUMBERVALUE(CriteriTecnici!$O1485,".",","),IFERROR(NUMBERVALUE(CriteriTecnici!$O1485,",","."),0))),4)&amp;""),",",".")&amp;CHAR(125)&amp;IF(TRUE,",",""))</f>
        <v/>
      </c>
    </row>
    <row r="1587">
      <c r="A1587" s="82">
        <f>IF(CriteriTecnici!$A1486="","","    "&amp;CHAR(123)&amp;CHAR(34)&amp;"bidderId"&amp;CHAR(34)&amp;": "&amp;CHAR(34)&amp;SUBSTITUTE(CriteriTecnici!$A1486,CHAR(34),"'")&amp;CHAR(34)&amp;", "&amp;CHAR(34)&amp;"lotId"&amp;CHAR(34)&amp;": "&amp;CHAR(34)&amp;SUBSTITUTE(CriteriTecnici!$C1486,CHAR(34),"'")&amp;CHAR(34)&amp;", "&amp;CHAR(34)&amp;"criterionId"&amp;CHAR(34)&amp;": "&amp;CHAR(34)&amp;SUBSTITUTE(CriteriTecnici!$D1486,CHAR(34),"'")&amp;CHAR(34)&amp;", "&amp;CHAR(34)&amp;"kind"&amp;CHAR(34)&amp;": "&amp;CHAR(34)&amp;SUBSTITUTE(CriteriTecnici!$F1486,CHAR(34),"'")&amp;CHAR(34)&amp;", "&amp;CHAR(34)&amp;"value"&amp;CHAR(34)&amp;": "&amp;SUBSTITUTE(TRIM(ROUND(IFERROR(CriteriTecnici!$N1486*1,IFERROR(NUMBERVALUE(CriteriTecnici!$N1486,".",","),IFERROR(NUMBERVALUE(CriteriTecnici!$N1486,",","."),0))),4)&amp;""),",",".")&amp;", "&amp;CHAR(34)&amp;"numerator"&amp;CHAR(34)&amp;": "&amp;SUBSTITUTE(TRIM(ROUND(IFERROR(CriteriTecnici!$K1486*1,IFERROR(NUMBERVALUE(CriteriTecnici!$K1486,".",","),IFERROR(NUMBERVALUE(CriteriTecnici!$K1486,",","."),0))),4)&amp;""),",",".")&amp;", "&amp;CHAR(34)&amp;"denominator"&amp;CHAR(34)&amp;": "&amp;SUBSTITUTE(TRIM(ROUND(IFERROR(CriteriTecnici!$L1486*1,IFERROR(NUMBERVALUE(CriteriTecnici!$L1486,".",","),IFERROR(NUMBERVALUE(CriteriTecnici!$L1486,",","."),0))),4)&amp;""),",",".")&amp;", "&amp;CHAR(34)&amp;"flag"&amp;CHAR(34)&amp;": "&amp;SUBSTITUTE(TRIM(ROUND(IFERROR(CriteriTecnici!$M1486*1,IFERROR(NUMBERVALUE(CriteriTecnici!$M1486,".",","),IFERROR(NUMBERVALUE(CriteriTecnici!$M1486,",","."),0))),4)&amp;""),",",".")&amp;", "&amp;CHAR(34)&amp;"rawScore"&amp;CHAR(34)&amp;": "&amp;SUBSTITUTE(TRIM(ROUND(IFERROR(CriteriTecnici!$O1486*1,IFERROR(NUMBERVALUE(CriteriTecnici!$O1486,".",","),IFERROR(NUMBERVALUE(CriteriTecnici!$O1486,",","."),0))),4)&amp;""),",",".")&amp;CHAR(125)&amp;IF(TRUE,",",""))</f>
        <v/>
      </c>
    </row>
    <row r="1588">
      <c r="A1588" s="82">
        <f>IF(CriteriTecnici!$A1487="","","    "&amp;CHAR(123)&amp;CHAR(34)&amp;"bidderId"&amp;CHAR(34)&amp;": "&amp;CHAR(34)&amp;SUBSTITUTE(CriteriTecnici!$A1487,CHAR(34),"'")&amp;CHAR(34)&amp;", "&amp;CHAR(34)&amp;"lotId"&amp;CHAR(34)&amp;": "&amp;CHAR(34)&amp;SUBSTITUTE(CriteriTecnici!$C1487,CHAR(34),"'")&amp;CHAR(34)&amp;", "&amp;CHAR(34)&amp;"criterionId"&amp;CHAR(34)&amp;": "&amp;CHAR(34)&amp;SUBSTITUTE(CriteriTecnici!$D1487,CHAR(34),"'")&amp;CHAR(34)&amp;", "&amp;CHAR(34)&amp;"kind"&amp;CHAR(34)&amp;": "&amp;CHAR(34)&amp;SUBSTITUTE(CriteriTecnici!$F1487,CHAR(34),"'")&amp;CHAR(34)&amp;", "&amp;CHAR(34)&amp;"value"&amp;CHAR(34)&amp;": "&amp;SUBSTITUTE(TRIM(ROUND(IFERROR(CriteriTecnici!$N1487*1,IFERROR(NUMBERVALUE(CriteriTecnici!$N1487,".",","),IFERROR(NUMBERVALUE(CriteriTecnici!$N1487,",","."),0))),4)&amp;""),",",".")&amp;", "&amp;CHAR(34)&amp;"numerator"&amp;CHAR(34)&amp;": "&amp;SUBSTITUTE(TRIM(ROUND(IFERROR(CriteriTecnici!$K1487*1,IFERROR(NUMBERVALUE(CriteriTecnici!$K1487,".",","),IFERROR(NUMBERVALUE(CriteriTecnici!$K1487,",","."),0))),4)&amp;""),",",".")&amp;", "&amp;CHAR(34)&amp;"denominator"&amp;CHAR(34)&amp;": "&amp;SUBSTITUTE(TRIM(ROUND(IFERROR(CriteriTecnici!$L1487*1,IFERROR(NUMBERVALUE(CriteriTecnici!$L1487,".",","),IFERROR(NUMBERVALUE(CriteriTecnici!$L1487,",","."),0))),4)&amp;""),",",".")&amp;", "&amp;CHAR(34)&amp;"flag"&amp;CHAR(34)&amp;": "&amp;SUBSTITUTE(TRIM(ROUND(IFERROR(CriteriTecnici!$M1487*1,IFERROR(NUMBERVALUE(CriteriTecnici!$M1487,".",","),IFERROR(NUMBERVALUE(CriteriTecnici!$M1487,",","."),0))),4)&amp;""),",",".")&amp;", "&amp;CHAR(34)&amp;"rawScore"&amp;CHAR(34)&amp;": "&amp;SUBSTITUTE(TRIM(ROUND(IFERROR(CriteriTecnici!$O1487*1,IFERROR(NUMBERVALUE(CriteriTecnici!$O1487,".",","),IFERROR(NUMBERVALUE(CriteriTecnici!$O1487,",","."),0))),4)&amp;""),",",".")&amp;CHAR(125)&amp;IF(TRUE,",",""))</f>
        <v/>
      </c>
    </row>
    <row r="1589">
      <c r="A1589" s="82">
        <f>IF(CriteriTecnici!$A1488="","","    "&amp;CHAR(123)&amp;CHAR(34)&amp;"bidderId"&amp;CHAR(34)&amp;": "&amp;CHAR(34)&amp;SUBSTITUTE(CriteriTecnici!$A1488,CHAR(34),"'")&amp;CHAR(34)&amp;", "&amp;CHAR(34)&amp;"lotId"&amp;CHAR(34)&amp;": "&amp;CHAR(34)&amp;SUBSTITUTE(CriteriTecnici!$C1488,CHAR(34),"'")&amp;CHAR(34)&amp;", "&amp;CHAR(34)&amp;"criterionId"&amp;CHAR(34)&amp;": "&amp;CHAR(34)&amp;SUBSTITUTE(CriteriTecnici!$D1488,CHAR(34),"'")&amp;CHAR(34)&amp;", "&amp;CHAR(34)&amp;"kind"&amp;CHAR(34)&amp;": "&amp;CHAR(34)&amp;SUBSTITUTE(CriteriTecnici!$F1488,CHAR(34),"'")&amp;CHAR(34)&amp;", "&amp;CHAR(34)&amp;"value"&amp;CHAR(34)&amp;": "&amp;SUBSTITUTE(TRIM(ROUND(IFERROR(CriteriTecnici!$N1488*1,IFERROR(NUMBERVALUE(CriteriTecnici!$N1488,".",","),IFERROR(NUMBERVALUE(CriteriTecnici!$N1488,",","."),0))),4)&amp;""),",",".")&amp;", "&amp;CHAR(34)&amp;"numerator"&amp;CHAR(34)&amp;": "&amp;SUBSTITUTE(TRIM(ROUND(IFERROR(CriteriTecnici!$K1488*1,IFERROR(NUMBERVALUE(CriteriTecnici!$K1488,".",","),IFERROR(NUMBERVALUE(CriteriTecnici!$K1488,",","."),0))),4)&amp;""),",",".")&amp;", "&amp;CHAR(34)&amp;"denominator"&amp;CHAR(34)&amp;": "&amp;SUBSTITUTE(TRIM(ROUND(IFERROR(CriteriTecnici!$L1488*1,IFERROR(NUMBERVALUE(CriteriTecnici!$L1488,".",","),IFERROR(NUMBERVALUE(CriteriTecnici!$L1488,",","."),0))),4)&amp;""),",",".")&amp;", "&amp;CHAR(34)&amp;"flag"&amp;CHAR(34)&amp;": "&amp;SUBSTITUTE(TRIM(ROUND(IFERROR(CriteriTecnici!$M1488*1,IFERROR(NUMBERVALUE(CriteriTecnici!$M1488,".",","),IFERROR(NUMBERVALUE(CriteriTecnici!$M1488,",","."),0))),4)&amp;""),",",".")&amp;", "&amp;CHAR(34)&amp;"rawScore"&amp;CHAR(34)&amp;": "&amp;SUBSTITUTE(TRIM(ROUND(IFERROR(CriteriTecnici!$O1488*1,IFERROR(NUMBERVALUE(CriteriTecnici!$O1488,".",","),IFERROR(NUMBERVALUE(CriteriTecnici!$O1488,",","."),0))),4)&amp;""),",",".")&amp;CHAR(125)&amp;IF(TRUE,",",""))</f>
        <v/>
      </c>
    </row>
    <row r="1590">
      <c r="A1590" s="82">
        <f>IF(CriteriTecnici!$A1489="","","    "&amp;CHAR(123)&amp;CHAR(34)&amp;"bidderId"&amp;CHAR(34)&amp;": "&amp;CHAR(34)&amp;SUBSTITUTE(CriteriTecnici!$A1489,CHAR(34),"'")&amp;CHAR(34)&amp;", "&amp;CHAR(34)&amp;"lotId"&amp;CHAR(34)&amp;": "&amp;CHAR(34)&amp;SUBSTITUTE(CriteriTecnici!$C1489,CHAR(34),"'")&amp;CHAR(34)&amp;", "&amp;CHAR(34)&amp;"criterionId"&amp;CHAR(34)&amp;": "&amp;CHAR(34)&amp;SUBSTITUTE(CriteriTecnici!$D1489,CHAR(34),"'")&amp;CHAR(34)&amp;", "&amp;CHAR(34)&amp;"kind"&amp;CHAR(34)&amp;": "&amp;CHAR(34)&amp;SUBSTITUTE(CriteriTecnici!$F1489,CHAR(34),"'")&amp;CHAR(34)&amp;", "&amp;CHAR(34)&amp;"value"&amp;CHAR(34)&amp;": "&amp;SUBSTITUTE(TRIM(ROUND(IFERROR(CriteriTecnici!$N1489*1,IFERROR(NUMBERVALUE(CriteriTecnici!$N1489,".",","),IFERROR(NUMBERVALUE(CriteriTecnici!$N1489,",","."),0))),4)&amp;""),",",".")&amp;", "&amp;CHAR(34)&amp;"numerator"&amp;CHAR(34)&amp;": "&amp;SUBSTITUTE(TRIM(ROUND(IFERROR(CriteriTecnici!$K1489*1,IFERROR(NUMBERVALUE(CriteriTecnici!$K1489,".",","),IFERROR(NUMBERVALUE(CriteriTecnici!$K1489,",","."),0))),4)&amp;""),",",".")&amp;", "&amp;CHAR(34)&amp;"denominator"&amp;CHAR(34)&amp;": "&amp;SUBSTITUTE(TRIM(ROUND(IFERROR(CriteriTecnici!$L1489*1,IFERROR(NUMBERVALUE(CriteriTecnici!$L1489,".",","),IFERROR(NUMBERVALUE(CriteriTecnici!$L1489,",","."),0))),4)&amp;""),",",".")&amp;", "&amp;CHAR(34)&amp;"flag"&amp;CHAR(34)&amp;": "&amp;SUBSTITUTE(TRIM(ROUND(IFERROR(CriteriTecnici!$M1489*1,IFERROR(NUMBERVALUE(CriteriTecnici!$M1489,".",","),IFERROR(NUMBERVALUE(CriteriTecnici!$M1489,",","."),0))),4)&amp;""),",",".")&amp;", "&amp;CHAR(34)&amp;"rawScore"&amp;CHAR(34)&amp;": "&amp;SUBSTITUTE(TRIM(ROUND(IFERROR(CriteriTecnici!$O1489*1,IFERROR(NUMBERVALUE(CriteriTecnici!$O1489,".",","),IFERROR(NUMBERVALUE(CriteriTecnici!$O1489,",","."),0))),4)&amp;""),",",".")&amp;CHAR(125)&amp;IF(TRUE,",",""))</f>
        <v/>
      </c>
    </row>
    <row r="1591">
      <c r="A1591" s="82">
        <f>IF(CriteriTecnici!$A1490="","","    "&amp;CHAR(123)&amp;CHAR(34)&amp;"bidderId"&amp;CHAR(34)&amp;": "&amp;CHAR(34)&amp;SUBSTITUTE(CriteriTecnici!$A1490,CHAR(34),"'")&amp;CHAR(34)&amp;", "&amp;CHAR(34)&amp;"lotId"&amp;CHAR(34)&amp;": "&amp;CHAR(34)&amp;SUBSTITUTE(CriteriTecnici!$C1490,CHAR(34),"'")&amp;CHAR(34)&amp;", "&amp;CHAR(34)&amp;"criterionId"&amp;CHAR(34)&amp;": "&amp;CHAR(34)&amp;SUBSTITUTE(CriteriTecnici!$D1490,CHAR(34),"'")&amp;CHAR(34)&amp;", "&amp;CHAR(34)&amp;"kind"&amp;CHAR(34)&amp;": "&amp;CHAR(34)&amp;SUBSTITUTE(CriteriTecnici!$F1490,CHAR(34),"'")&amp;CHAR(34)&amp;", "&amp;CHAR(34)&amp;"value"&amp;CHAR(34)&amp;": "&amp;SUBSTITUTE(TRIM(ROUND(IFERROR(CriteriTecnici!$N1490*1,IFERROR(NUMBERVALUE(CriteriTecnici!$N1490,".",","),IFERROR(NUMBERVALUE(CriteriTecnici!$N1490,",","."),0))),4)&amp;""),",",".")&amp;", "&amp;CHAR(34)&amp;"numerator"&amp;CHAR(34)&amp;": "&amp;SUBSTITUTE(TRIM(ROUND(IFERROR(CriteriTecnici!$K1490*1,IFERROR(NUMBERVALUE(CriteriTecnici!$K1490,".",","),IFERROR(NUMBERVALUE(CriteriTecnici!$K1490,",","."),0))),4)&amp;""),",",".")&amp;", "&amp;CHAR(34)&amp;"denominator"&amp;CHAR(34)&amp;": "&amp;SUBSTITUTE(TRIM(ROUND(IFERROR(CriteriTecnici!$L1490*1,IFERROR(NUMBERVALUE(CriteriTecnici!$L1490,".",","),IFERROR(NUMBERVALUE(CriteriTecnici!$L1490,",","."),0))),4)&amp;""),",",".")&amp;", "&amp;CHAR(34)&amp;"flag"&amp;CHAR(34)&amp;": "&amp;SUBSTITUTE(TRIM(ROUND(IFERROR(CriteriTecnici!$M1490*1,IFERROR(NUMBERVALUE(CriteriTecnici!$M1490,".",","),IFERROR(NUMBERVALUE(CriteriTecnici!$M1490,",","."),0))),4)&amp;""),",",".")&amp;", "&amp;CHAR(34)&amp;"rawScore"&amp;CHAR(34)&amp;": "&amp;SUBSTITUTE(TRIM(ROUND(IFERROR(CriteriTecnici!$O1490*1,IFERROR(NUMBERVALUE(CriteriTecnici!$O1490,".",","),IFERROR(NUMBERVALUE(CriteriTecnici!$O1490,",","."),0))),4)&amp;""),",",".")&amp;CHAR(125)&amp;IF(TRUE,",",""))</f>
        <v/>
      </c>
    </row>
    <row r="1592">
      <c r="A1592" s="82">
        <f>IF(CriteriTecnici!$A1491="","","    "&amp;CHAR(123)&amp;CHAR(34)&amp;"bidderId"&amp;CHAR(34)&amp;": "&amp;CHAR(34)&amp;SUBSTITUTE(CriteriTecnici!$A1491,CHAR(34),"'")&amp;CHAR(34)&amp;", "&amp;CHAR(34)&amp;"lotId"&amp;CHAR(34)&amp;": "&amp;CHAR(34)&amp;SUBSTITUTE(CriteriTecnici!$C1491,CHAR(34),"'")&amp;CHAR(34)&amp;", "&amp;CHAR(34)&amp;"criterionId"&amp;CHAR(34)&amp;": "&amp;CHAR(34)&amp;SUBSTITUTE(CriteriTecnici!$D1491,CHAR(34),"'")&amp;CHAR(34)&amp;", "&amp;CHAR(34)&amp;"kind"&amp;CHAR(34)&amp;": "&amp;CHAR(34)&amp;SUBSTITUTE(CriteriTecnici!$F1491,CHAR(34),"'")&amp;CHAR(34)&amp;", "&amp;CHAR(34)&amp;"value"&amp;CHAR(34)&amp;": "&amp;SUBSTITUTE(TRIM(ROUND(IFERROR(CriteriTecnici!$N1491*1,IFERROR(NUMBERVALUE(CriteriTecnici!$N1491,".",","),IFERROR(NUMBERVALUE(CriteriTecnici!$N1491,",","."),0))),4)&amp;""),",",".")&amp;", "&amp;CHAR(34)&amp;"numerator"&amp;CHAR(34)&amp;": "&amp;SUBSTITUTE(TRIM(ROUND(IFERROR(CriteriTecnici!$K1491*1,IFERROR(NUMBERVALUE(CriteriTecnici!$K1491,".",","),IFERROR(NUMBERVALUE(CriteriTecnici!$K1491,",","."),0))),4)&amp;""),",",".")&amp;", "&amp;CHAR(34)&amp;"denominator"&amp;CHAR(34)&amp;": "&amp;SUBSTITUTE(TRIM(ROUND(IFERROR(CriteriTecnici!$L1491*1,IFERROR(NUMBERVALUE(CriteriTecnici!$L1491,".",","),IFERROR(NUMBERVALUE(CriteriTecnici!$L1491,",","."),0))),4)&amp;""),",",".")&amp;", "&amp;CHAR(34)&amp;"flag"&amp;CHAR(34)&amp;": "&amp;SUBSTITUTE(TRIM(ROUND(IFERROR(CriteriTecnici!$M1491*1,IFERROR(NUMBERVALUE(CriteriTecnici!$M1491,".",","),IFERROR(NUMBERVALUE(CriteriTecnici!$M1491,",","."),0))),4)&amp;""),",",".")&amp;", "&amp;CHAR(34)&amp;"rawScore"&amp;CHAR(34)&amp;": "&amp;SUBSTITUTE(TRIM(ROUND(IFERROR(CriteriTecnici!$O1491*1,IFERROR(NUMBERVALUE(CriteriTecnici!$O1491,".",","),IFERROR(NUMBERVALUE(CriteriTecnici!$O1491,",","."),0))),4)&amp;""),",",".")&amp;CHAR(125)&amp;IF(TRUE,",",""))</f>
        <v/>
      </c>
    </row>
    <row r="1593">
      <c r="A1593" s="82">
        <f>IF(CriteriTecnici!$A1492="","","    "&amp;CHAR(123)&amp;CHAR(34)&amp;"bidderId"&amp;CHAR(34)&amp;": "&amp;CHAR(34)&amp;SUBSTITUTE(CriteriTecnici!$A1492,CHAR(34),"'")&amp;CHAR(34)&amp;", "&amp;CHAR(34)&amp;"lotId"&amp;CHAR(34)&amp;": "&amp;CHAR(34)&amp;SUBSTITUTE(CriteriTecnici!$C1492,CHAR(34),"'")&amp;CHAR(34)&amp;", "&amp;CHAR(34)&amp;"criterionId"&amp;CHAR(34)&amp;": "&amp;CHAR(34)&amp;SUBSTITUTE(CriteriTecnici!$D1492,CHAR(34),"'")&amp;CHAR(34)&amp;", "&amp;CHAR(34)&amp;"kind"&amp;CHAR(34)&amp;": "&amp;CHAR(34)&amp;SUBSTITUTE(CriteriTecnici!$F1492,CHAR(34),"'")&amp;CHAR(34)&amp;", "&amp;CHAR(34)&amp;"value"&amp;CHAR(34)&amp;": "&amp;SUBSTITUTE(TRIM(ROUND(IFERROR(CriteriTecnici!$N1492*1,IFERROR(NUMBERVALUE(CriteriTecnici!$N1492,".",","),IFERROR(NUMBERVALUE(CriteriTecnici!$N1492,",","."),0))),4)&amp;""),",",".")&amp;", "&amp;CHAR(34)&amp;"numerator"&amp;CHAR(34)&amp;": "&amp;SUBSTITUTE(TRIM(ROUND(IFERROR(CriteriTecnici!$K1492*1,IFERROR(NUMBERVALUE(CriteriTecnici!$K1492,".",","),IFERROR(NUMBERVALUE(CriteriTecnici!$K1492,",","."),0))),4)&amp;""),",",".")&amp;", "&amp;CHAR(34)&amp;"denominator"&amp;CHAR(34)&amp;": "&amp;SUBSTITUTE(TRIM(ROUND(IFERROR(CriteriTecnici!$L1492*1,IFERROR(NUMBERVALUE(CriteriTecnici!$L1492,".",","),IFERROR(NUMBERVALUE(CriteriTecnici!$L1492,",","."),0))),4)&amp;""),",",".")&amp;", "&amp;CHAR(34)&amp;"flag"&amp;CHAR(34)&amp;": "&amp;SUBSTITUTE(TRIM(ROUND(IFERROR(CriteriTecnici!$M1492*1,IFERROR(NUMBERVALUE(CriteriTecnici!$M1492,".",","),IFERROR(NUMBERVALUE(CriteriTecnici!$M1492,",","."),0))),4)&amp;""),",",".")&amp;", "&amp;CHAR(34)&amp;"rawScore"&amp;CHAR(34)&amp;": "&amp;SUBSTITUTE(TRIM(ROUND(IFERROR(CriteriTecnici!$O1492*1,IFERROR(NUMBERVALUE(CriteriTecnici!$O1492,".",","),IFERROR(NUMBERVALUE(CriteriTecnici!$O1492,",","."),0))),4)&amp;""),",",".")&amp;CHAR(125)&amp;IF(COUNTA(Offerte!$A50:$A$81)&gt;0,",",""))</f>
        <v/>
      </c>
    </row>
    <row r="1594">
      <c r="A1594" s="82">
        <f>IF(CriteriTecnici!$A1493="","","    "&amp;CHAR(123)&amp;CHAR(34)&amp;"bidderId"&amp;CHAR(34)&amp;": "&amp;CHAR(34)&amp;SUBSTITUTE(CriteriTecnici!$A1493,CHAR(34),"'")&amp;CHAR(34)&amp;", "&amp;CHAR(34)&amp;"lotId"&amp;CHAR(34)&amp;": "&amp;CHAR(34)&amp;SUBSTITUTE(CriteriTecnici!$C1493,CHAR(34),"'")&amp;CHAR(34)&amp;", "&amp;CHAR(34)&amp;"criterionId"&amp;CHAR(34)&amp;": "&amp;CHAR(34)&amp;SUBSTITUTE(CriteriTecnici!$D1493,CHAR(34),"'")&amp;CHAR(34)&amp;", "&amp;CHAR(34)&amp;"kind"&amp;CHAR(34)&amp;": "&amp;CHAR(34)&amp;SUBSTITUTE(CriteriTecnici!$F1493,CHAR(34),"'")&amp;CHAR(34)&amp;", "&amp;CHAR(34)&amp;"value"&amp;CHAR(34)&amp;": "&amp;SUBSTITUTE(TRIM(ROUND(IFERROR(CriteriTecnici!$N1493*1,IFERROR(NUMBERVALUE(CriteriTecnici!$N1493,".",","),IFERROR(NUMBERVALUE(CriteriTecnici!$N1493,",","."),0))),4)&amp;""),",",".")&amp;", "&amp;CHAR(34)&amp;"numerator"&amp;CHAR(34)&amp;": "&amp;SUBSTITUTE(TRIM(ROUND(IFERROR(CriteriTecnici!$K1493*1,IFERROR(NUMBERVALUE(CriteriTecnici!$K1493,".",","),IFERROR(NUMBERVALUE(CriteriTecnici!$K1493,",","."),0))),4)&amp;""),",",".")&amp;", "&amp;CHAR(34)&amp;"denominator"&amp;CHAR(34)&amp;": "&amp;SUBSTITUTE(TRIM(ROUND(IFERROR(CriteriTecnici!$L1493*1,IFERROR(NUMBERVALUE(CriteriTecnici!$L1493,".",","),IFERROR(NUMBERVALUE(CriteriTecnici!$L1493,",","."),0))),4)&amp;""),",",".")&amp;", "&amp;CHAR(34)&amp;"flag"&amp;CHAR(34)&amp;": "&amp;SUBSTITUTE(TRIM(ROUND(IFERROR(CriteriTecnici!$M1493*1,IFERROR(NUMBERVALUE(CriteriTecnici!$M1493,".",","),IFERROR(NUMBERVALUE(CriteriTecnici!$M1493,",","."),0))),4)&amp;""),",",".")&amp;", "&amp;CHAR(34)&amp;"rawScore"&amp;CHAR(34)&amp;": "&amp;SUBSTITUTE(TRIM(ROUND(IFERROR(CriteriTecnici!$O1493*1,IFERROR(NUMBERVALUE(CriteriTecnici!$O1493,".",","),IFERROR(NUMBERVALUE(CriteriTecnici!$O1493,",","."),0))),4)&amp;""),",",".")&amp;CHAR(125)&amp;IF(TRUE,",",""))</f>
        <v/>
      </c>
    </row>
    <row r="1595">
      <c r="A1595" s="82">
        <f>IF(CriteriTecnici!$A1494="","","    "&amp;CHAR(123)&amp;CHAR(34)&amp;"bidderId"&amp;CHAR(34)&amp;": "&amp;CHAR(34)&amp;SUBSTITUTE(CriteriTecnici!$A1494,CHAR(34),"'")&amp;CHAR(34)&amp;", "&amp;CHAR(34)&amp;"lotId"&amp;CHAR(34)&amp;": "&amp;CHAR(34)&amp;SUBSTITUTE(CriteriTecnici!$C1494,CHAR(34),"'")&amp;CHAR(34)&amp;", "&amp;CHAR(34)&amp;"criterionId"&amp;CHAR(34)&amp;": "&amp;CHAR(34)&amp;SUBSTITUTE(CriteriTecnici!$D1494,CHAR(34),"'")&amp;CHAR(34)&amp;", "&amp;CHAR(34)&amp;"kind"&amp;CHAR(34)&amp;": "&amp;CHAR(34)&amp;SUBSTITUTE(CriteriTecnici!$F1494,CHAR(34),"'")&amp;CHAR(34)&amp;", "&amp;CHAR(34)&amp;"value"&amp;CHAR(34)&amp;": "&amp;SUBSTITUTE(TRIM(ROUND(IFERROR(CriteriTecnici!$N1494*1,IFERROR(NUMBERVALUE(CriteriTecnici!$N1494,".",","),IFERROR(NUMBERVALUE(CriteriTecnici!$N1494,",","."),0))),4)&amp;""),",",".")&amp;", "&amp;CHAR(34)&amp;"numerator"&amp;CHAR(34)&amp;": "&amp;SUBSTITUTE(TRIM(ROUND(IFERROR(CriteriTecnici!$K1494*1,IFERROR(NUMBERVALUE(CriteriTecnici!$K1494,".",","),IFERROR(NUMBERVALUE(CriteriTecnici!$K1494,",","."),0))),4)&amp;""),",",".")&amp;", "&amp;CHAR(34)&amp;"denominator"&amp;CHAR(34)&amp;": "&amp;SUBSTITUTE(TRIM(ROUND(IFERROR(CriteriTecnici!$L1494*1,IFERROR(NUMBERVALUE(CriteriTecnici!$L1494,".",","),IFERROR(NUMBERVALUE(CriteriTecnici!$L1494,",","."),0))),4)&amp;""),",",".")&amp;", "&amp;CHAR(34)&amp;"flag"&amp;CHAR(34)&amp;": "&amp;SUBSTITUTE(TRIM(ROUND(IFERROR(CriteriTecnici!$M1494*1,IFERROR(NUMBERVALUE(CriteriTecnici!$M1494,".",","),IFERROR(NUMBERVALUE(CriteriTecnici!$M1494,",","."),0))),4)&amp;""),",",".")&amp;", "&amp;CHAR(34)&amp;"rawScore"&amp;CHAR(34)&amp;": "&amp;SUBSTITUTE(TRIM(ROUND(IFERROR(CriteriTecnici!$O1494*1,IFERROR(NUMBERVALUE(CriteriTecnici!$O1494,".",","),IFERROR(NUMBERVALUE(CriteriTecnici!$O1494,",","."),0))),4)&amp;""),",",".")&amp;CHAR(125)&amp;IF(TRUE,",",""))</f>
        <v/>
      </c>
    </row>
    <row r="1596">
      <c r="A1596" s="82">
        <f>IF(CriteriTecnici!$A1495="","","    "&amp;CHAR(123)&amp;CHAR(34)&amp;"bidderId"&amp;CHAR(34)&amp;": "&amp;CHAR(34)&amp;SUBSTITUTE(CriteriTecnici!$A1495,CHAR(34),"'")&amp;CHAR(34)&amp;", "&amp;CHAR(34)&amp;"lotId"&amp;CHAR(34)&amp;": "&amp;CHAR(34)&amp;SUBSTITUTE(CriteriTecnici!$C1495,CHAR(34),"'")&amp;CHAR(34)&amp;", "&amp;CHAR(34)&amp;"criterionId"&amp;CHAR(34)&amp;": "&amp;CHAR(34)&amp;SUBSTITUTE(CriteriTecnici!$D1495,CHAR(34),"'")&amp;CHAR(34)&amp;", "&amp;CHAR(34)&amp;"kind"&amp;CHAR(34)&amp;": "&amp;CHAR(34)&amp;SUBSTITUTE(CriteriTecnici!$F1495,CHAR(34),"'")&amp;CHAR(34)&amp;", "&amp;CHAR(34)&amp;"value"&amp;CHAR(34)&amp;": "&amp;SUBSTITUTE(TRIM(ROUND(IFERROR(CriteriTecnici!$N1495*1,IFERROR(NUMBERVALUE(CriteriTecnici!$N1495,".",","),IFERROR(NUMBERVALUE(CriteriTecnici!$N1495,",","."),0))),4)&amp;""),",",".")&amp;", "&amp;CHAR(34)&amp;"numerator"&amp;CHAR(34)&amp;": "&amp;SUBSTITUTE(TRIM(ROUND(IFERROR(CriteriTecnici!$K1495*1,IFERROR(NUMBERVALUE(CriteriTecnici!$K1495,".",","),IFERROR(NUMBERVALUE(CriteriTecnici!$K1495,",","."),0))),4)&amp;""),",",".")&amp;", "&amp;CHAR(34)&amp;"denominator"&amp;CHAR(34)&amp;": "&amp;SUBSTITUTE(TRIM(ROUND(IFERROR(CriteriTecnici!$L1495*1,IFERROR(NUMBERVALUE(CriteriTecnici!$L1495,".",","),IFERROR(NUMBERVALUE(CriteriTecnici!$L1495,",","."),0))),4)&amp;""),",",".")&amp;", "&amp;CHAR(34)&amp;"flag"&amp;CHAR(34)&amp;": "&amp;SUBSTITUTE(TRIM(ROUND(IFERROR(CriteriTecnici!$M1495*1,IFERROR(NUMBERVALUE(CriteriTecnici!$M1495,".",","),IFERROR(NUMBERVALUE(CriteriTecnici!$M1495,",","."),0))),4)&amp;""),",",".")&amp;", "&amp;CHAR(34)&amp;"rawScore"&amp;CHAR(34)&amp;": "&amp;SUBSTITUTE(TRIM(ROUND(IFERROR(CriteriTecnici!$O1495*1,IFERROR(NUMBERVALUE(CriteriTecnici!$O1495,".",","),IFERROR(NUMBERVALUE(CriteriTecnici!$O1495,",","."),0))),4)&amp;""),",",".")&amp;CHAR(125)&amp;IF(TRUE,",",""))</f>
        <v/>
      </c>
    </row>
    <row r="1597">
      <c r="A1597" s="82">
        <f>IF(CriteriTecnici!$A1496="","","    "&amp;CHAR(123)&amp;CHAR(34)&amp;"bidderId"&amp;CHAR(34)&amp;": "&amp;CHAR(34)&amp;SUBSTITUTE(CriteriTecnici!$A1496,CHAR(34),"'")&amp;CHAR(34)&amp;", "&amp;CHAR(34)&amp;"lotId"&amp;CHAR(34)&amp;": "&amp;CHAR(34)&amp;SUBSTITUTE(CriteriTecnici!$C1496,CHAR(34),"'")&amp;CHAR(34)&amp;", "&amp;CHAR(34)&amp;"criterionId"&amp;CHAR(34)&amp;": "&amp;CHAR(34)&amp;SUBSTITUTE(CriteriTecnici!$D1496,CHAR(34),"'")&amp;CHAR(34)&amp;", "&amp;CHAR(34)&amp;"kind"&amp;CHAR(34)&amp;": "&amp;CHAR(34)&amp;SUBSTITUTE(CriteriTecnici!$F1496,CHAR(34),"'")&amp;CHAR(34)&amp;", "&amp;CHAR(34)&amp;"value"&amp;CHAR(34)&amp;": "&amp;SUBSTITUTE(TRIM(ROUND(IFERROR(CriteriTecnici!$N1496*1,IFERROR(NUMBERVALUE(CriteriTecnici!$N1496,".",","),IFERROR(NUMBERVALUE(CriteriTecnici!$N1496,",","."),0))),4)&amp;""),",",".")&amp;", "&amp;CHAR(34)&amp;"numerator"&amp;CHAR(34)&amp;": "&amp;SUBSTITUTE(TRIM(ROUND(IFERROR(CriteriTecnici!$K1496*1,IFERROR(NUMBERVALUE(CriteriTecnici!$K1496,".",","),IFERROR(NUMBERVALUE(CriteriTecnici!$K1496,",","."),0))),4)&amp;""),",",".")&amp;", "&amp;CHAR(34)&amp;"denominator"&amp;CHAR(34)&amp;": "&amp;SUBSTITUTE(TRIM(ROUND(IFERROR(CriteriTecnici!$L1496*1,IFERROR(NUMBERVALUE(CriteriTecnici!$L1496,".",","),IFERROR(NUMBERVALUE(CriteriTecnici!$L1496,",","."),0))),4)&amp;""),",",".")&amp;", "&amp;CHAR(34)&amp;"flag"&amp;CHAR(34)&amp;": "&amp;SUBSTITUTE(TRIM(ROUND(IFERROR(CriteriTecnici!$M1496*1,IFERROR(NUMBERVALUE(CriteriTecnici!$M1496,".",","),IFERROR(NUMBERVALUE(CriteriTecnici!$M1496,",","."),0))),4)&amp;""),",",".")&amp;", "&amp;CHAR(34)&amp;"rawScore"&amp;CHAR(34)&amp;": "&amp;SUBSTITUTE(TRIM(ROUND(IFERROR(CriteriTecnici!$O1496*1,IFERROR(NUMBERVALUE(CriteriTecnici!$O1496,".",","),IFERROR(NUMBERVALUE(CriteriTecnici!$O1496,",","."),0))),4)&amp;""),",",".")&amp;CHAR(125)&amp;IF(TRUE,",",""))</f>
        <v/>
      </c>
    </row>
    <row r="1598">
      <c r="A1598" s="82">
        <f>IF(CriteriTecnici!$A1497="","","    "&amp;CHAR(123)&amp;CHAR(34)&amp;"bidderId"&amp;CHAR(34)&amp;": "&amp;CHAR(34)&amp;SUBSTITUTE(CriteriTecnici!$A1497,CHAR(34),"'")&amp;CHAR(34)&amp;", "&amp;CHAR(34)&amp;"lotId"&amp;CHAR(34)&amp;": "&amp;CHAR(34)&amp;SUBSTITUTE(CriteriTecnici!$C1497,CHAR(34),"'")&amp;CHAR(34)&amp;", "&amp;CHAR(34)&amp;"criterionId"&amp;CHAR(34)&amp;": "&amp;CHAR(34)&amp;SUBSTITUTE(CriteriTecnici!$D1497,CHAR(34),"'")&amp;CHAR(34)&amp;", "&amp;CHAR(34)&amp;"kind"&amp;CHAR(34)&amp;": "&amp;CHAR(34)&amp;SUBSTITUTE(CriteriTecnici!$F1497,CHAR(34),"'")&amp;CHAR(34)&amp;", "&amp;CHAR(34)&amp;"value"&amp;CHAR(34)&amp;": "&amp;SUBSTITUTE(TRIM(ROUND(IFERROR(CriteriTecnici!$N1497*1,IFERROR(NUMBERVALUE(CriteriTecnici!$N1497,".",","),IFERROR(NUMBERVALUE(CriteriTecnici!$N1497,",","."),0))),4)&amp;""),",",".")&amp;", "&amp;CHAR(34)&amp;"numerator"&amp;CHAR(34)&amp;": "&amp;SUBSTITUTE(TRIM(ROUND(IFERROR(CriteriTecnici!$K1497*1,IFERROR(NUMBERVALUE(CriteriTecnici!$K1497,".",","),IFERROR(NUMBERVALUE(CriteriTecnici!$K1497,",","."),0))),4)&amp;""),",",".")&amp;", "&amp;CHAR(34)&amp;"denominator"&amp;CHAR(34)&amp;": "&amp;SUBSTITUTE(TRIM(ROUND(IFERROR(CriteriTecnici!$L1497*1,IFERROR(NUMBERVALUE(CriteriTecnici!$L1497,".",","),IFERROR(NUMBERVALUE(CriteriTecnici!$L1497,",","."),0))),4)&amp;""),",",".")&amp;", "&amp;CHAR(34)&amp;"flag"&amp;CHAR(34)&amp;": "&amp;SUBSTITUTE(TRIM(ROUND(IFERROR(CriteriTecnici!$M1497*1,IFERROR(NUMBERVALUE(CriteriTecnici!$M1497,".",","),IFERROR(NUMBERVALUE(CriteriTecnici!$M1497,",","."),0))),4)&amp;""),",",".")&amp;", "&amp;CHAR(34)&amp;"rawScore"&amp;CHAR(34)&amp;": "&amp;SUBSTITUTE(TRIM(ROUND(IFERROR(CriteriTecnici!$O1497*1,IFERROR(NUMBERVALUE(CriteriTecnici!$O1497,".",","),IFERROR(NUMBERVALUE(CriteriTecnici!$O1497,",","."),0))),4)&amp;""),",",".")&amp;CHAR(125)&amp;IF(TRUE,",",""))</f>
        <v/>
      </c>
    </row>
    <row r="1599">
      <c r="A1599" s="82">
        <f>IF(CriteriTecnici!$A1498="","","    "&amp;CHAR(123)&amp;CHAR(34)&amp;"bidderId"&amp;CHAR(34)&amp;": "&amp;CHAR(34)&amp;SUBSTITUTE(CriteriTecnici!$A1498,CHAR(34),"'")&amp;CHAR(34)&amp;", "&amp;CHAR(34)&amp;"lotId"&amp;CHAR(34)&amp;": "&amp;CHAR(34)&amp;SUBSTITUTE(CriteriTecnici!$C1498,CHAR(34),"'")&amp;CHAR(34)&amp;", "&amp;CHAR(34)&amp;"criterionId"&amp;CHAR(34)&amp;": "&amp;CHAR(34)&amp;SUBSTITUTE(CriteriTecnici!$D1498,CHAR(34),"'")&amp;CHAR(34)&amp;", "&amp;CHAR(34)&amp;"kind"&amp;CHAR(34)&amp;": "&amp;CHAR(34)&amp;SUBSTITUTE(CriteriTecnici!$F1498,CHAR(34),"'")&amp;CHAR(34)&amp;", "&amp;CHAR(34)&amp;"value"&amp;CHAR(34)&amp;": "&amp;SUBSTITUTE(TRIM(ROUND(IFERROR(CriteriTecnici!$N1498*1,IFERROR(NUMBERVALUE(CriteriTecnici!$N1498,".",","),IFERROR(NUMBERVALUE(CriteriTecnici!$N1498,",","."),0))),4)&amp;""),",",".")&amp;", "&amp;CHAR(34)&amp;"numerator"&amp;CHAR(34)&amp;": "&amp;SUBSTITUTE(TRIM(ROUND(IFERROR(CriteriTecnici!$K1498*1,IFERROR(NUMBERVALUE(CriteriTecnici!$K1498,".",","),IFERROR(NUMBERVALUE(CriteriTecnici!$K1498,",","."),0))),4)&amp;""),",",".")&amp;", "&amp;CHAR(34)&amp;"denominator"&amp;CHAR(34)&amp;": "&amp;SUBSTITUTE(TRIM(ROUND(IFERROR(CriteriTecnici!$L1498*1,IFERROR(NUMBERVALUE(CriteriTecnici!$L1498,".",","),IFERROR(NUMBERVALUE(CriteriTecnici!$L1498,",","."),0))),4)&amp;""),",",".")&amp;", "&amp;CHAR(34)&amp;"flag"&amp;CHAR(34)&amp;": "&amp;SUBSTITUTE(TRIM(ROUND(IFERROR(CriteriTecnici!$M1498*1,IFERROR(NUMBERVALUE(CriteriTecnici!$M1498,".",","),IFERROR(NUMBERVALUE(CriteriTecnici!$M1498,",","."),0))),4)&amp;""),",",".")&amp;", "&amp;CHAR(34)&amp;"rawScore"&amp;CHAR(34)&amp;": "&amp;SUBSTITUTE(TRIM(ROUND(IFERROR(CriteriTecnici!$O1498*1,IFERROR(NUMBERVALUE(CriteriTecnici!$O1498,".",","),IFERROR(NUMBERVALUE(CriteriTecnici!$O1498,",","."),0))),4)&amp;""),",",".")&amp;CHAR(125)&amp;IF(TRUE,",",""))</f>
        <v/>
      </c>
    </row>
    <row r="1600">
      <c r="A1600" s="82">
        <f>IF(CriteriTecnici!$A1499="","","    "&amp;CHAR(123)&amp;CHAR(34)&amp;"bidderId"&amp;CHAR(34)&amp;": "&amp;CHAR(34)&amp;SUBSTITUTE(CriteriTecnici!$A1499,CHAR(34),"'")&amp;CHAR(34)&amp;", "&amp;CHAR(34)&amp;"lotId"&amp;CHAR(34)&amp;": "&amp;CHAR(34)&amp;SUBSTITUTE(CriteriTecnici!$C1499,CHAR(34),"'")&amp;CHAR(34)&amp;", "&amp;CHAR(34)&amp;"criterionId"&amp;CHAR(34)&amp;": "&amp;CHAR(34)&amp;SUBSTITUTE(CriteriTecnici!$D1499,CHAR(34),"'")&amp;CHAR(34)&amp;", "&amp;CHAR(34)&amp;"kind"&amp;CHAR(34)&amp;": "&amp;CHAR(34)&amp;SUBSTITUTE(CriteriTecnici!$F1499,CHAR(34),"'")&amp;CHAR(34)&amp;", "&amp;CHAR(34)&amp;"value"&amp;CHAR(34)&amp;": "&amp;SUBSTITUTE(TRIM(ROUND(IFERROR(CriteriTecnici!$N1499*1,IFERROR(NUMBERVALUE(CriteriTecnici!$N1499,".",","),IFERROR(NUMBERVALUE(CriteriTecnici!$N1499,",","."),0))),4)&amp;""),",",".")&amp;", "&amp;CHAR(34)&amp;"numerator"&amp;CHAR(34)&amp;": "&amp;SUBSTITUTE(TRIM(ROUND(IFERROR(CriteriTecnici!$K1499*1,IFERROR(NUMBERVALUE(CriteriTecnici!$K1499,".",","),IFERROR(NUMBERVALUE(CriteriTecnici!$K1499,",","."),0))),4)&amp;""),",",".")&amp;", "&amp;CHAR(34)&amp;"denominator"&amp;CHAR(34)&amp;": "&amp;SUBSTITUTE(TRIM(ROUND(IFERROR(CriteriTecnici!$L1499*1,IFERROR(NUMBERVALUE(CriteriTecnici!$L1499,".",","),IFERROR(NUMBERVALUE(CriteriTecnici!$L1499,",","."),0))),4)&amp;""),",",".")&amp;", "&amp;CHAR(34)&amp;"flag"&amp;CHAR(34)&amp;": "&amp;SUBSTITUTE(TRIM(ROUND(IFERROR(CriteriTecnici!$M1499*1,IFERROR(NUMBERVALUE(CriteriTecnici!$M1499,".",","),IFERROR(NUMBERVALUE(CriteriTecnici!$M1499,",","."),0))),4)&amp;""),",",".")&amp;", "&amp;CHAR(34)&amp;"rawScore"&amp;CHAR(34)&amp;": "&amp;SUBSTITUTE(TRIM(ROUND(IFERROR(CriteriTecnici!$O1499*1,IFERROR(NUMBERVALUE(CriteriTecnici!$O1499,".",","),IFERROR(NUMBERVALUE(CriteriTecnici!$O1499,",","."),0))),4)&amp;""),",",".")&amp;CHAR(125)&amp;IF(TRUE,",",""))</f>
        <v/>
      </c>
    </row>
    <row r="1601">
      <c r="A1601" s="82">
        <f>IF(CriteriTecnici!$A1500="","","    "&amp;CHAR(123)&amp;CHAR(34)&amp;"bidderId"&amp;CHAR(34)&amp;": "&amp;CHAR(34)&amp;SUBSTITUTE(CriteriTecnici!$A1500,CHAR(34),"'")&amp;CHAR(34)&amp;", "&amp;CHAR(34)&amp;"lotId"&amp;CHAR(34)&amp;": "&amp;CHAR(34)&amp;SUBSTITUTE(CriteriTecnici!$C1500,CHAR(34),"'")&amp;CHAR(34)&amp;", "&amp;CHAR(34)&amp;"criterionId"&amp;CHAR(34)&amp;": "&amp;CHAR(34)&amp;SUBSTITUTE(CriteriTecnici!$D1500,CHAR(34),"'")&amp;CHAR(34)&amp;", "&amp;CHAR(34)&amp;"kind"&amp;CHAR(34)&amp;": "&amp;CHAR(34)&amp;SUBSTITUTE(CriteriTecnici!$F1500,CHAR(34),"'")&amp;CHAR(34)&amp;", "&amp;CHAR(34)&amp;"value"&amp;CHAR(34)&amp;": "&amp;SUBSTITUTE(TRIM(ROUND(IFERROR(CriteriTecnici!$N1500*1,IFERROR(NUMBERVALUE(CriteriTecnici!$N1500,".",","),IFERROR(NUMBERVALUE(CriteriTecnici!$N1500,",","."),0))),4)&amp;""),",",".")&amp;", "&amp;CHAR(34)&amp;"numerator"&amp;CHAR(34)&amp;": "&amp;SUBSTITUTE(TRIM(ROUND(IFERROR(CriteriTecnici!$K1500*1,IFERROR(NUMBERVALUE(CriteriTecnici!$K1500,".",","),IFERROR(NUMBERVALUE(CriteriTecnici!$K1500,",","."),0))),4)&amp;""),",",".")&amp;", "&amp;CHAR(34)&amp;"denominator"&amp;CHAR(34)&amp;": "&amp;SUBSTITUTE(TRIM(ROUND(IFERROR(CriteriTecnici!$L1500*1,IFERROR(NUMBERVALUE(CriteriTecnici!$L1500,".",","),IFERROR(NUMBERVALUE(CriteriTecnici!$L1500,",","."),0))),4)&amp;""),",",".")&amp;", "&amp;CHAR(34)&amp;"flag"&amp;CHAR(34)&amp;": "&amp;SUBSTITUTE(TRIM(ROUND(IFERROR(CriteriTecnici!$M1500*1,IFERROR(NUMBERVALUE(CriteriTecnici!$M1500,".",","),IFERROR(NUMBERVALUE(CriteriTecnici!$M1500,",","."),0))),4)&amp;""),",",".")&amp;", "&amp;CHAR(34)&amp;"rawScore"&amp;CHAR(34)&amp;": "&amp;SUBSTITUTE(TRIM(ROUND(IFERROR(CriteriTecnici!$O1500*1,IFERROR(NUMBERVALUE(CriteriTecnici!$O1500,".",","),IFERROR(NUMBERVALUE(CriteriTecnici!$O1500,",","."),0))),4)&amp;""),",",".")&amp;CHAR(125)&amp;IF(TRUE,",",""))</f>
        <v/>
      </c>
    </row>
    <row r="1602">
      <c r="A1602" s="82">
        <f>IF(CriteriTecnici!$A1501="","","    "&amp;CHAR(123)&amp;CHAR(34)&amp;"bidderId"&amp;CHAR(34)&amp;": "&amp;CHAR(34)&amp;SUBSTITUTE(CriteriTecnici!$A1501,CHAR(34),"'")&amp;CHAR(34)&amp;", "&amp;CHAR(34)&amp;"lotId"&amp;CHAR(34)&amp;": "&amp;CHAR(34)&amp;SUBSTITUTE(CriteriTecnici!$C1501,CHAR(34),"'")&amp;CHAR(34)&amp;", "&amp;CHAR(34)&amp;"criterionId"&amp;CHAR(34)&amp;": "&amp;CHAR(34)&amp;SUBSTITUTE(CriteriTecnici!$D1501,CHAR(34),"'")&amp;CHAR(34)&amp;", "&amp;CHAR(34)&amp;"kind"&amp;CHAR(34)&amp;": "&amp;CHAR(34)&amp;SUBSTITUTE(CriteriTecnici!$F1501,CHAR(34),"'")&amp;CHAR(34)&amp;", "&amp;CHAR(34)&amp;"value"&amp;CHAR(34)&amp;": "&amp;SUBSTITUTE(TRIM(ROUND(IFERROR(CriteriTecnici!$N1501*1,IFERROR(NUMBERVALUE(CriteriTecnici!$N1501,".",","),IFERROR(NUMBERVALUE(CriteriTecnici!$N1501,",","."),0))),4)&amp;""),",",".")&amp;", "&amp;CHAR(34)&amp;"numerator"&amp;CHAR(34)&amp;": "&amp;SUBSTITUTE(TRIM(ROUND(IFERROR(CriteriTecnici!$K1501*1,IFERROR(NUMBERVALUE(CriteriTecnici!$K1501,".",","),IFERROR(NUMBERVALUE(CriteriTecnici!$K1501,",","."),0))),4)&amp;""),",",".")&amp;", "&amp;CHAR(34)&amp;"denominator"&amp;CHAR(34)&amp;": "&amp;SUBSTITUTE(TRIM(ROUND(IFERROR(CriteriTecnici!$L1501*1,IFERROR(NUMBERVALUE(CriteriTecnici!$L1501,".",","),IFERROR(NUMBERVALUE(CriteriTecnici!$L1501,",","."),0))),4)&amp;""),",",".")&amp;", "&amp;CHAR(34)&amp;"flag"&amp;CHAR(34)&amp;": "&amp;SUBSTITUTE(TRIM(ROUND(IFERROR(CriteriTecnici!$M1501*1,IFERROR(NUMBERVALUE(CriteriTecnici!$M1501,".",","),IFERROR(NUMBERVALUE(CriteriTecnici!$M1501,",","."),0))),4)&amp;""),",",".")&amp;", "&amp;CHAR(34)&amp;"rawScore"&amp;CHAR(34)&amp;": "&amp;SUBSTITUTE(TRIM(ROUND(IFERROR(CriteriTecnici!$O1501*1,IFERROR(NUMBERVALUE(CriteriTecnici!$O1501,".",","),IFERROR(NUMBERVALUE(CriteriTecnici!$O1501,",","."),0))),4)&amp;""),",",".")&amp;CHAR(125)&amp;IF(TRUE,",",""))</f>
        <v/>
      </c>
    </row>
    <row r="1603">
      <c r="A1603" s="82">
        <f>IF(CriteriTecnici!$A1502="","","    "&amp;CHAR(123)&amp;CHAR(34)&amp;"bidderId"&amp;CHAR(34)&amp;": "&amp;CHAR(34)&amp;SUBSTITUTE(CriteriTecnici!$A1502,CHAR(34),"'")&amp;CHAR(34)&amp;", "&amp;CHAR(34)&amp;"lotId"&amp;CHAR(34)&amp;": "&amp;CHAR(34)&amp;SUBSTITUTE(CriteriTecnici!$C1502,CHAR(34),"'")&amp;CHAR(34)&amp;", "&amp;CHAR(34)&amp;"criterionId"&amp;CHAR(34)&amp;": "&amp;CHAR(34)&amp;SUBSTITUTE(CriteriTecnici!$D1502,CHAR(34),"'")&amp;CHAR(34)&amp;", "&amp;CHAR(34)&amp;"kind"&amp;CHAR(34)&amp;": "&amp;CHAR(34)&amp;SUBSTITUTE(CriteriTecnici!$F1502,CHAR(34),"'")&amp;CHAR(34)&amp;", "&amp;CHAR(34)&amp;"value"&amp;CHAR(34)&amp;": "&amp;SUBSTITUTE(TRIM(ROUND(IFERROR(CriteriTecnici!$N1502*1,IFERROR(NUMBERVALUE(CriteriTecnici!$N1502,".",","),IFERROR(NUMBERVALUE(CriteriTecnici!$N1502,",","."),0))),4)&amp;""),",",".")&amp;", "&amp;CHAR(34)&amp;"numerator"&amp;CHAR(34)&amp;": "&amp;SUBSTITUTE(TRIM(ROUND(IFERROR(CriteriTecnici!$K1502*1,IFERROR(NUMBERVALUE(CriteriTecnici!$K1502,".",","),IFERROR(NUMBERVALUE(CriteriTecnici!$K1502,",","."),0))),4)&amp;""),",",".")&amp;", "&amp;CHAR(34)&amp;"denominator"&amp;CHAR(34)&amp;": "&amp;SUBSTITUTE(TRIM(ROUND(IFERROR(CriteriTecnici!$L1502*1,IFERROR(NUMBERVALUE(CriteriTecnici!$L1502,".",","),IFERROR(NUMBERVALUE(CriteriTecnici!$L1502,",","."),0))),4)&amp;""),",",".")&amp;", "&amp;CHAR(34)&amp;"flag"&amp;CHAR(34)&amp;": "&amp;SUBSTITUTE(TRIM(ROUND(IFERROR(CriteriTecnici!$M1502*1,IFERROR(NUMBERVALUE(CriteriTecnici!$M1502,".",","),IFERROR(NUMBERVALUE(CriteriTecnici!$M1502,",","."),0))),4)&amp;""),",",".")&amp;", "&amp;CHAR(34)&amp;"rawScore"&amp;CHAR(34)&amp;": "&amp;SUBSTITUTE(TRIM(ROUND(IFERROR(CriteriTecnici!$O1502*1,IFERROR(NUMBERVALUE(CriteriTecnici!$O1502,".",","),IFERROR(NUMBERVALUE(CriteriTecnici!$O1502,",","."),0))),4)&amp;""),",",".")&amp;CHAR(125)&amp;IF(TRUE,",",""))</f>
        <v/>
      </c>
    </row>
    <row r="1604">
      <c r="A1604" s="82">
        <f>IF(CriteriTecnici!$A1503="","","    "&amp;CHAR(123)&amp;CHAR(34)&amp;"bidderId"&amp;CHAR(34)&amp;": "&amp;CHAR(34)&amp;SUBSTITUTE(CriteriTecnici!$A1503,CHAR(34),"'")&amp;CHAR(34)&amp;", "&amp;CHAR(34)&amp;"lotId"&amp;CHAR(34)&amp;": "&amp;CHAR(34)&amp;SUBSTITUTE(CriteriTecnici!$C1503,CHAR(34),"'")&amp;CHAR(34)&amp;", "&amp;CHAR(34)&amp;"criterionId"&amp;CHAR(34)&amp;": "&amp;CHAR(34)&amp;SUBSTITUTE(CriteriTecnici!$D1503,CHAR(34),"'")&amp;CHAR(34)&amp;", "&amp;CHAR(34)&amp;"kind"&amp;CHAR(34)&amp;": "&amp;CHAR(34)&amp;SUBSTITUTE(CriteriTecnici!$F1503,CHAR(34),"'")&amp;CHAR(34)&amp;", "&amp;CHAR(34)&amp;"value"&amp;CHAR(34)&amp;": "&amp;SUBSTITUTE(TRIM(ROUND(IFERROR(CriteriTecnici!$N1503*1,IFERROR(NUMBERVALUE(CriteriTecnici!$N1503,".",","),IFERROR(NUMBERVALUE(CriteriTecnici!$N1503,",","."),0))),4)&amp;""),",",".")&amp;", "&amp;CHAR(34)&amp;"numerator"&amp;CHAR(34)&amp;": "&amp;SUBSTITUTE(TRIM(ROUND(IFERROR(CriteriTecnici!$K1503*1,IFERROR(NUMBERVALUE(CriteriTecnici!$K1503,".",","),IFERROR(NUMBERVALUE(CriteriTecnici!$K1503,",","."),0))),4)&amp;""),",",".")&amp;", "&amp;CHAR(34)&amp;"denominator"&amp;CHAR(34)&amp;": "&amp;SUBSTITUTE(TRIM(ROUND(IFERROR(CriteriTecnici!$L1503*1,IFERROR(NUMBERVALUE(CriteriTecnici!$L1503,".",","),IFERROR(NUMBERVALUE(CriteriTecnici!$L1503,",","."),0))),4)&amp;""),",",".")&amp;", "&amp;CHAR(34)&amp;"flag"&amp;CHAR(34)&amp;": "&amp;SUBSTITUTE(TRIM(ROUND(IFERROR(CriteriTecnici!$M1503*1,IFERROR(NUMBERVALUE(CriteriTecnici!$M1503,".",","),IFERROR(NUMBERVALUE(CriteriTecnici!$M1503,",","."),0))),4)&amp;""),",",".")&amp;", "&amp;CHAR(34)&amp;"rawScore"&amp;CHAR(34)&amp;": "&amp;SUBSTITUTE(TRIM(ROUND(IFERROR(CriteriTecnici!$O1503*1,IFERROR(NUMBERVALUE(CriteriTecnici!$O1503,".",","),IFERROR(NUMBERVALUE(CriteriTecnici!$O1503,",","."),0))),4)&amp;""),",",".")&amp;CHAR(125)&amp;IF(TRUE,",",""))</f>
        <v/>
      </c>
    </row>
    <row r="1605">
      <c r="A1605" s="82">
        <f>IF(CriteriTecnici!$A1504="","","    "&amp;CHAR(123)&amp;CHAR(34)&amp;"bidderId"&amp;CHAR(34)&amp;": "&amp;CHAR(34)&amp;SUBSTITUTE(CriteriTecnici!$A1504,CHAR(34),"'")&amp;CHAR(34)&amp;", "&amp;CHAR(34)&amp;"lotId"&amp;CHAR(34)&amp;": "&amp;CHAR(34)&amp;SUBSTITUTE(CriteriTecnici!$C1504,CHAR(34),"'")&amp;CHAR(34)&amp;", "&amp;CHAR(34)&amp;"criterionId"&amp;CHAR(34)&amp;": "&amp;CHAR(34)&amp;SUBSTITUTE(CriteriTecnici!$D1504,CHAR(34),"'")&amp;CHAR(34)&amp;", "&amp;CHAR(34)&amp;"kind"&amp;CHAR(34)&amp;": "&amp;CHAR(34)&amp;SUBSTITUTE(CriteriTecnici!$F1504,CHAR(34),"'")&amp;CHAR(34)&amp;", "&amp;CHAR(34)&amp;"value"&amp;CHAR(34)&amp;": "&amp;SUBSTITUTE(TRIM(ROUND(IFERROR(CriteriTecnici!$N1504*1,IFERROR(NUMBERVALUE(CriteriTecnici!$N1504,".",","),IFERROR(NUMBERVALUE(CriteriTecnici!$N1504,",","."),0))),4)&amp;""),",",".")&amp;", "&amp;CHAR(34)&amp;"numerator"&amp;CHAR(34)&amp;": "&amp;SUBSTITUTE(TRIM(ROUND(IFERROR(CriteriTecnici!$K1504*1,IFERROR(NUMBERVALUE(CriteriTecnici!$K1504,".",","),IFERROR(NUMBERVALUE(CriteriTecnici!$K1504,",","."),0))),4)&amp;""),",",".")&amp;", "&amp;CHAR(34)&amp;"denominator"&amp;CHAR(34)&amp;": "&amp;SUBSTITUTE(TRIM(ROUND(IFERROR(CriteriTecnici!$L1504*1,IFERROR(NUMBERVALUE(CriteriTecnici!$L1504,".",","),IFERROR(NUMBERVALUE(CriteriTecnici!$L1504,",","."),0))),4)&amp;""),",",".")&amp;", "&amp;CHAR(34)&amp;"flag"&amp;CHAR(34)&amp;": "&amp;SUBSTITUTE(TRIM(ROUND(IFERROR(CriteriTecnici!$M1504*1,IFERROR(NUMBERVALUE(CriteriTecnici!$M1504,".",","),IFERROR(NUMBERVALUE(CriteriTecnici!$M1504,",","."),0))),4)&amp;""),",",".")&amp;", "&amp;CHAR(34)&amp;"rawScore"&amp;CHAR(34)&amp;": "&amp;SUBSTITUTE(TRIM(ROUND(IFERROR(CriteriTecnici!$O1504*1,IFERROR(NUMBERVALUE(CriteriTecnici!$O1504,".",","),IFERROR(NUMBERVALUE(CriteriTecnici!$O1504,",","."),0))),4)&amp;""),",",".")&amp;CHAR(125)&amp;IF(TRUE,",",""))</f>
        <v/>
      </c>
    </row>
    <row r="1606">
      <c r="A1606" s="82">
        <f>IF(CriteriTecnici!$A1505="","","    "&amp;CHAR(123)&amp;CHAR(34)&amp;"bidderId"&amp;CHAR(34)&amp;": "&amp;CHAR(34)&amp;SUBSTITUTE(CriteriTecnici!$A1505,CHAR(34),"'")&amp;CHAR(34)&amp;", "&amp;CHAR(34)&amp;"lotId"&amp;CHAR(34)&amp;": "&amp;CHAR(34)&amp;SUBSTITUTE(CriteriTecnici!$C1505,CHAR(34),"'")&amp;CHAR(34)&amp;", "&amp;CHAR(34)&amp;"criterionId"&amp;CHAR(34)&amp;": "&amp;CHAR(34)&amp;SUBSTITUTE(CriteriTecnici!$D1505,CHAR(34),"'")&amp;CHAR(34)&amp;", "&amp;CHAR(34)&amp;"kind"&amp;CHAR(34)&amp;": "&amp;CHAR(34)&amp;SUBSTITUTE(CriteriTecnici!$F1505,CHAR(34),"'")&amp;CHAR(34)&amp;", "&amp;CHAR(34)&amp;"value"&amp;CHAR(34)&amp;": "&amp;SUBSTITUTE(TRIM(ROUND(IFERROR(CriteriTecnici!$N1505*1,IFERROR(NUMBERVALUE(CriteriTecnici!$N1505,".",","),IFERROR(NUMBERVALUE(CriteriTecnici!$N1505,",","."),0))),4)&amp;""),",",".")&amp;", "&amp;CHAR(34)&amp;"numerator"&amp;CHAR(34)&amp;": "&amp;SUBSTITUTE(TRIM(ROUND(IFERROR(CriteriTecnici!$K1505*1,IFERROR(NUMBERVALUE(CriteriTecnici!$K1505,".",","),IFERROR(NUMBERVALUE(CriteriTecnici!$K1505,",","."),0))),4)&amp;""),",",".")&amp;", "&amp;CHAR(34)&amp;"denominator"&amp;CHAR(34)&amp;": "&amp;SUBSTITUTE(TRIM(ROUND(IFERROR(CriteriTecnici!$L1505*1,IFERROR(NUMBERVALUE(CriteriTecnici!$L1505,".",","),IFERROR(NUMBERVALUE(CriteriTecnici!$L1505,",","."),0))),4)&amp;""),",",".")&amp;", "&amp;CHAR(34)&amp;"flag"&amp;CHAR(34)&amp;": "&amp;SUBSTITUTE(TRIM(ROUND(IFERROR(CriteriTecnici!$M1505*1,IFERROR(NUMBERVALUE(CriteriTecnici!$M1505,".",","),IFERROR(NUMBERVALUE(CriteriTecnici!$M1505,",","."),0))),4)&amp;""),",",".")&amp;", "&amp;CHAR(34)&amp;"rawScore"&amp;CHAR(34)&amp;": "&amp;SUBSTITUTE(TRIM(ROUND(IFERROR(CriteriTecnici!$O1505*1,IFERROR(NUMBERVALUE(CriteriTecnici!$O1505,".",","),IFERROR(NUMBERVALUE(CriteriTecnici!$O1505,",","."),0))),4)&amp;""),",",".")&amp;CHAR(125)&amp;IF(TRUE,",",""))</f>
        <v/>
      </c>
    </row>
    <row r="1607">
      <c r="A1607" s="82">
        <f>IF(CriteriTecnici!$A1506="","","    "&amp;CHAR(123)&amp;CHAR(34)&amp;"bidderId"&amp;CHAR(34)&amp;": "&amp;CHAR(34)&amp;SUBSTITUTE(CriteriTecnici!$A1506,CHAR(34),"'")&amp;CHAR(34)&amp;", "&amp;CHAR(34)&amp;"lotId"&amp;CHAR(34)&amp;": "&amp;CHAR(34)&amp;SUBSTITUTE(CriteriTecnici!$C1506,CHAR(34),"'")&amp;CHAR(34)&amp;", "&amp;CHAR(34)&amp;"criterionId"&amp;CHAR(34)&amp;": "&amp;CHAR(34)&amp;SUBSTITUTE(CriteriTecnici!$D1506,CHAR(34),"'")&amp;CHAR(34)&amp;", "&amp;CHAR(34)&amp;"kind"&amp;CHAR(34)&amp;": "&amp;CHAR(34)&amp;SUBSTITUTE(CriteriTecnici!$F1506,CHAR(34),"'")&amp;CHAR(34)&amp;", "&amp;CHAR(34)&amp;"value"&amp;CHAR(34)&amp;": "&amp;SUBSTITUTE(TRIM(ROUND(IFERROR(CriteriTecnici!$N1506*1,IFERROR(NUMBERVALUE(CriteriTecnici!$N1506,".",","),IFERROR(NUMBERVALUE(CriteriTecnici!$N1506,",","."),0))),4)&amp;""),",",".")&amp;", "&amp;CHAR(34)&amp;"numerator"&amp;CHAR(34)&amp;": "&amp;SUBSTITUTE(TRIM(ROUND(IFERROR(CriteriTecnici!$K1506*1,IFERROR(NUMBERVALUE(CriteriTecnici!$K1506,".",","),IFERROR(NUMBERVALUE(CriteriTecnici!$K1506,",","."),0))),4)&amp;""),",",".")&amp;", "&amp;CHAR(34)&amp;"denominator"&amp;CHAR(34)&amp;": "&amp;SUBSTITUTE(TRIM(ROUND(IFERROR(CriteriTecnici!$L1506*1,IFERROR(NUMBERVALUE(CriteriTecnici!$L1506,".",","),IFERROR(NUMBERVALUE(CriteriTecnici!$L1506,",","."),0))),4)&amp;""),",",".")&amp;", "&amp;CHAR(34)&amp;"flag"&amp;CHAR(34)&amp;": "&amp;SUBSTITUTE(TRIM(ROUND(IFERROR(CriteriTecnici!$M1506*1,IFERROR(NUMBERVALUE(CriteriTecnici!$M1506,".",","),IFERROR(NUMBERVALUE(CriteriTecnici!$M1506,",","."),0))),4)&amp;""),",",".")&amp;", "&amp;CHAR(34)&amp;"rawScore"&amp;CHAR(34)&amp;": "&amp;SUBSTITUTE(TRIM(ROUND(IFERROR(CriteriTecnici!$O1506*1,IFERROR(NUMBERVALUE(CriteriTecnici!$O1506,".",","),IFERROR(NUMBERVALUE(CriteriTecnici!$O1506,",","."),0))),4)&amp;""),",",".")&amp;CHAR(125)&amp;IF(TRUE,",",""))</f>
        <v/>
      </c>
    </row>
    <row r="1608">
      <c r="A1608" s="82">
        <f>IF(CriteriTecnici!$A1507="","","    "&amp;CHAR(123)&amp;CHAR(34)&amp;"bidderId"&amp;CHAR(34)&amp;": "&amp;CHAR(34)&amp;SUBSTITUTE(CriteriTecnici!$A1507,CHAR(34),"'")&amp;CHAR(34)&amp;", "&amp;CHAR(34)&amp;"lotId"&amp;CHAR(34)&amp;": "&amp;CHAR(34)&amp;SUBSTITUTE(CriteriTecnici!$C1507,CHAR(34),"'")&amp;CHAR(34)&amp;", "&amp;CHAR(34)&amp;"criterionId"&amp;CHAR(34)&amp;": "&amp;CHAR(34)&amp;SUBSTITUTE(CriteriTecnici!$D1507,CHAR(34),"'")&amp;CHAR(34)&amp;", "&amp;CHAR(34)&amp;"kind"&amp;CHAR(34)&amp;": "&amp;CHAR(34)&amp;SUBSTITUTE(CriteriTecnici!$F1507,CHAR(34),"'")&amp;CHAR(34)&amp;", "&amp;CHAR(34)&amp;"value"&amp;CHAR(34)&amp;": "&amp;SUBSTITUTE(TRIM(ROUND(IFERROR(CriteriTecnici!$N1507*1,IFERROR(NUMBERVALUE(CriteriTecnici!$N1507,".",","),IFERROR(NUMBERVALUE(CriteriTecnici!$N1507,",","."),0))),4)&amp;""),",",".")&amp;", "&amp;CHAR(34)&amp;"numerator"&amp;CHAR(34)&amp;": "&amp;SUBSTITUTE(TRIM(ROUND(IFERROR(CriteriTecnici!$K1507*1,IFERROR(NUMBERVALUE(CriteriTecnici!$K1507,".",","),IFERROR(NUMBERVALUE(CriteriTecnici!$K1507,",","."),0))),4)&amp;""),",",".")&amp;", "&amp;CHAR(34)&amp;"denominator"&amp;CHAR(34)&amp;": "&amp;SUBSTITUTE(TRIM(ROUND(IFERROR(CriteriTecnici!$L1507*1,IFERROR(NUMBERVALUE(CriteriTecnici!$L1507,".",","),IFERROR(NUMBERVALUE(CriteriTecnici!$L1507,",","."),0))),4)&amp;""),",",".")&amp;", "&amp;CHAR(34)&amp;"flag"&amp;CHAR(34)&amp;": "&amp;SUBSTITUTE(TRIM(ROUND(IFERROR(CriteriTecnici!$M1507*1,IFERROR(NUMBERVALUE(CriteriTecnici!$M1507,".",","),IFERROR(NUMBERVALUE(CriteriTecnici!$M1507,",","."),0))),4)&amp;""),",",".")&amp;", "&amp;CHAR(34)&amp;"rawScore"&amp;CHAR(34)&amp;": "&amp;SUBSTITUTE(TRIM(ROUND(IFERROR(CriteriTecnici!$O1507*1,IFERROR(NUMBERVALUE(CriteriTecnici!$O1507,".",","),IFERROR(NUMBERVALUE(CriteriTecnici!$O1507,",","."),0))),4)&amp;""),",",".")&amp;CHAR(125)&amp;IF(TRUE,",",""))</f>
        <v/>
      </c>
    </row>
    <row r="1609">
      <c r="A1609" s="82">
        <f>IF(CriteriTecnici!$A1508="","","    "&amp;CHAR(123)&amp;CHAR(34)&amp;"bidderId"&amp;CHAR(34)&amp;": "&amp;CHAR(34)&amp;SUBSTITUTE(CriteriTecnici!$A1508,CHAR(34),"'")&amp;CHAR(34)&amp;", "&amp;CHAR(34)&amp;"lotId"&amp;CHAR(34)&amp;": "&amp;CHAR(34)&amp;SUBSTITUTE(CriteriTecnici!$C1508,CHAR(34),"'")&amp;CHAR(34)&amp;", "&amp;CHAR(34)&amp;"criterionId"&amp;CHAR(34)&amp;": "&amp;CHAR(34)&amp;SUBSTITUTE(CriteriTecnici!$D1508,CHAR(34),"'")&amp;CHAR(34)&amp;", "&amp;CHAR(34)&amp;"kind"&amp;CHAR(34)&amp;": "&amp;CHAR(34)&amp;SUBSTITUTE(CriteriTecnici!$F1508,CHAR(34),"'")&amp;CHAR(34)&amp;", "&amp;CHAR(34)&amp;"value"&amp;CHAR(34)&amp;": "&amp;SUBSTITUTE(TRIM(ROUND(IFERROR(CriteriTecnici!$N1508*1,IFERROR(NUMBERVALUE(CriteriTecnici!$N1508,".",","),IFERROR(NUMBERVALUE(CriteriTecnici!$N1508,",","."),0))),4)&amp;""),",",".")&amp;", "&amp;CHAR(34)&amp;"numerator"&amp;CHAR(34)&amp;": "&amp;SUBSTITUTE(TRIM(ROUND(IFERROR(CriteriTecnici!$K1508*1,IFERROR(NUMBERVALUE(CriteriTecnici!$K1508,".",","),IFERROR(NUMBERVALUE(CriteriTecnici!$K1508,",","."),0))),4)&amp;""),",",".")&amp;", "&amp;CHAR(34)&amp;"denominator"&amp;CHAR(34)&amp;": "&amp;SUBSTITUTE(TRIM(ROUND(IFERROR(CriteriTecnici!$L1508*1,IFERROR(NUMBERVALUE(CriteriTecnici!$L1508,".",","),IFERROR(NUMBERVALUE(CriteriTecnici!$L1508,",","."),0))),4)&amp;""),",",".")&amp;", "&amp;CHAR(34)&amp;"flag"&amp;CHAR(34)&amp;": "&amp;SUBSTITUTE(TRIM(ROUND(IFERROR(CriteriTecnici!$M1508*1,IFERROR(NUMBERVALUE(CriteriTecnici!$M1508,".",","),IFERROR(NUMBERVALUE(CriteriTecnici!$M1508,",","."),0))),4)&amp;""),",",".")&amp;", "&amp;CHAR(34)&amp;"rawScore"&amp;CHAR(34)&amp;": "&amp;SUBSTITUTE(TRIM(ROUND(IFERROR(CriteriTecnici!$O1508*1,IFERROR(NUMBERVALUE(CriteriTecnici!$O1508,".",","),IFERROR(NUMBERVALUE(CriteriTecnici!$O1508,",","."),0))),4)&amp;""),",",".")&amp;CHAR(125)&amp;IF(TRUE,",",""))</f>
        <v/>
      </c>
    </row>
    <row r="1610">
      <c r="A1610" s="82">
        <f>IF(CriteriTecnici!$A1509="","","    "&amp;CHAR(123)&amp;CHAR(34)&amp;"bidderId"&amp;CHAR(34)&amp;": "&amp;CHAR(34)&amp;SUBSTITUTE(CriteriTecnici!$A1509,CHAR(34),"'")&amp;CHAR(34)&amp;", "&amp;CHAR(34)&amp;"lotId"&amp;CHAR(34)&amp;": "&amp;CHAR(34)&amp;SUBSTITUTE(CriteriTecnici!$C1509,CHAR(34),"'")&amp;CHAR(34)&amp;", "&amp;CHAR(34)&amp;"criterionId"&amp;CHAR(34)&amp;": "&amp;CHAR(34)&amp;SUBSTITUTE(CriteriTecnici!$D1509,CHAR(34),"'")&amp;CHAR(34)&amp;", "&amp;CHAR(34)&amp;"kind"&amp;CHAR(34)&amp;": "&amp;CHAR(34)&amp;SUBSTITUTE(CriteriTecnici!$F1509,CHAR(34),"'")&amp;CHAR(34)&amp;", "&amp;CHAR(34)&amp;"value"&amp;CHAR(34)&amp;": "&amp;SUBSTITUTE(TRIM(ROUND(IFERROR(CriteriTecnici!$N1509*1,IFERROR(NUMBERVALUE(CriteriTecnici!$N1509,".",","),IFERROR(NUMBERVALUE(CriteriTecnici!$N1509,",","."),0))),4)&amp;""),",",".")&amp;", "&amp;CHAR(34)&amp;"numerator"&amp;CHAR(34)&amp;": "&amp;SUBSTITUTE(TRIM(ROUND(IFERROR(CriteriTecnici!$K1509*1,IFERROR(NUMBERVALUE(CriteriTecnici!$K1509,".",","),IFERROR(NUMBERVALUE(CriteriTecnici!$K1509,",","."),0))),4)&amp;""),",",".")&amp;", "&amp;CHAR(34)&amp;"denominator"&amp;CHAR(34)&amp;": "&amp;SUBSTITUTE(TRIM(ROUND(IFERROR(CriteriTecnici!$L1509*1,IFERROR(NUMBERVALUE(CriteriTecnici!$L1509,".",","),IFERROR(NUMBERVALUE(CriteriTecnici!$L1509,",","."),0))),4)&amp;""),",",".")&amp;", "&amp;CHAR(34)&amp;"flag"&amp;CHAR(34)&amp;": "&amp;SUBSTITUTE(TRIM(ROUND(IFERROR(CriteriTecnici!$M1509*1,IFERROR(NUMBERVALUE(CriteriTecnici!$M1509,".",","),IFERROR(NUMBERVALUE(CriteriTecnici!$M1509,",","."),0))),4)&amp;""),",",".")&amp;", "&amp;CHAR(34)&amp;"rawScore"&amp;CHAR(34)&amp;": "&amp;SUBSTITUTE(TRIM(ROUND(IFERROR(CriteriTecnici!$O1509*1,IFERROR(NUMBERVALUE(CriteriTecnici!$O1509,".",","),IFERROR(NUMBERVALUE(CriteriTecnici!$O1509,",","."),0))),4)&amp;""),",",".")&amp;CHAR(125)&amp;IF(TRUE,",",""))</f>
        <v/>
      </c>
    </row>
    <row r="1611">
      <c r="A1611" s="82">
        <f>IF(CriteriTecnici!$A1510="","","    "&amp;CHAR(123)&amp;CHAR(34)&amp;"bidderId"&amp;CHAR(34)&amp;": "&amp;CHAR(34)&amp;SUBSTITUTE(CriteriTecnici!$A1510,CHAR(34),"'")&amp;CHAR(34)&amp;", "&amp;CHAR(34)&amp;"lotId"&amp;CHAR(34)&amp;": "&amp;CHAR(34)&amp;SUBSTITUTE(CriteriTecnici!$C1510,CHAR(34),"'")&amp;CHAR(34)&amp;", "&amp;CHAR(34)&amp;"criterionId"&amp;CHAR(34)&amp;": "&amp;CHAR(34)&amp;SUBSTITUTE(CriteriTecnici!$D1510,CHAR(34),"'")&amp;CHAR(34)&amp;", "&amp;CHAR(34)&amp;"kind"&amp;CHAR(34)&amp;": "&amp;CHAR(34)&amp;SUBSTITUTE(CriteriTecnici!$F1510,CHAR(34),"'")&amp;CHAR(34)&amp;", "&amp;CHAR(34)&amp;"value"&amp;CHAR(34)&amp;": "&amp;SUBSTITUTE(TRIM(ROUND(IFERROR(CriteriTecnici!$N1510*1,IFERROR(NUMBERVALUE(CriteriTecnici!$N1510,".",","),IFERROR(NUMBERVALUE(CriteriTecnici!$N1510,",","."),0))),4)&amp;""),",",".")&amp;", "&amp;CHAR(34)&amp;"numerator"&amp;CHAR(34)&amp;": "&amp;SUBSTITUTE(TRIM(ROUND(IFERROR(CriteriTecnici!$K1510*1,IFERROR(NUMBERVALUE(CriteriTecnici!$K1510,".",","),IFERROR(NUMBERVALUE(CriteriTecnici!$K1510,",","."),0))),4)&amp;""),",",".")&amp;", "&amp;CHAR(34)&amp;"denominator"&amp;CHAR(34)&amp;": "&amp;SUBSTITUTE(TRIM(ROUND(IFERROR(CriteriTecnici!$L1510*1,IFERROR(NUMBERVALUE(CriteriTecnici!$L1510,".",","),IFERROR(NUMBERVALUE(CriteriTecnici!$L1510,",","."),0))),4)&amp;""),",",".")&amp;", "&amp;CHAR(34)&amp;"flag"&amp;CHAR(34)&amp;": "&amp;SUBSTITUTE(TRIM(ROUND(IFERROR(CriteriTecnici!$M1510*1,IFERROR(NUMBERVALUE(CriteriTecnici!$M1510,".",","),IFERROR(NUMBERVALUE(CriteriTecnici!$M1510,",","."),0))),4)&amp;""),",",".")&amp;", "&amp;CHAR(34)&amp;"rawScore"&amp;CHAR(34)&amp;": "&amp;SUBSTITUTE(TRIM(ROUND(IFERROR(CriteriTecnici!$O1510*1,IFERROR(NUMBERVALUE(CriteriTecnici!$O1510,".",","),IFERROR(NUMBERVALUE(CriteriTecnici!$O1510,",","."),0))),4)&amp;""),",",".")&amp;CHAR(125)&amp;IF(TRUE,",",""))</f>
        <v/>
      </c>
    </row>
    <row r="1612">
      <c r="A1612" s="82">
        <f>IF(CriteriTecnici!$A1511="","","    "&amp;CHAR(123)&amp;CHAR(34)&amp;"bidderId"&amp;CHAR(34)&amp;": "&amp;CHAR(34)&amp;SUBSTITUTE(CriteriTecnici!$A1511,CHAR(34),"'")&amp;CHAR(34)&amp;", "&amp;CHAR(34)&amp;"lotId"&amp;CHAR(34)&amp;": "&amp;CHAR(34)&amp;SUBSTITUTE(CriteriTecnici!$C1511,CHAR(34),"'")&amp;CHAR(34)&amp;", "&amp;CHAR(34)&amp;"criterionId"&amp;CHAR(34)&amp;": "&amp;CHAR(34)&amp;SUBSTITUTE(CriteriTecnici!$D1511,CHAR(34),"'")&amp;CHAR(34)&amp;", "&amp;CHAR(34)&amp;"kind"&amp;CHAR(34)&amp;": "&amp;CHAR(34)&amp;SUBSTITUTE(CriteriTecnici!$F1511,CHAR(34),"'")&amp;CHAR(34)&amp;", "&amp;CHAR(34)&amp;"value"&amp;CHAR(34)&amp;": "&amp;SUBSTITUTE(TRIM(ROUND(IFERROR(CriteriTecnici!$N1511*1,IFERROR(NUMBERVALUE(CriteriTecnici!$N1511,".",","),IFERROR(NUMBERVALUE(CriteriTecnici!$N1511,",","."),0))),4)&amp;""),",",".")&amp;", "&amp;CHAR(34)&amp;"numerator"&amp;CHAR(34)&amp;": "&amp;SUBSTITUTE(TRIM(ROUND(IFERROR(CriteriTecnici!$K1511*1,IFERROR(NUMBERVALUE(CriteriTecnici!$K1511,".",","),IFERROR(NUMBERVALUE(CriteriTecnici!$K1511,",","."),0))),4)&amp;""),",",".")&amp;", "&amp;CHAR(34)&amp;"denominator"&amp;CHAR(34)&amp;": "&amp;SUBSTITUTE(TRIM(ROUND(IFERROR(CriteriTecnici!$L1511*1,IFERROR(NUMBERVALUE(CriteriTecnici!$L1511,".",","),IFERROR(NUMBERVALUE(CriteriTecnici!$L1511,",","."),0))),4)&amp;""),",",".")&amp;", "&amp;CHAR(34)&amp;"flag"&amp;CHAR(34)&amp;": "&amp;SUBSTITUTE(TRIM(ROUND(IFERROR(CriteriTecnici!$M1511*1,IFERROR(NUMBERVALUE(CriteriTecnici!$M1511,".",","),IFERROR(NUMBERVALUE(CriteriTecnici!$M1511,",","."),0))),4)&amp;""),",",".")&amp;", "&amp;CHAR(34)&amp;"rawScore"&amp;CHAR(34)&amp;": "&amp;SUBSTITUTE(TRIM(ROUND(IFERROR(CriteriTecnici!$O1511*1,IFERROR(NUMBERVALUE(CriteriTecnici!$O1511,".",","),IFERROR(NUMBERVALUE(CriteriTecnici!$O1511,",","."),0))),4)&amp;""),",",".")&amp;CHAR(125)&amp;IF(TRUE,",",""))</f>
        <v/>
      </c>
    </row>
    <row r="1613">
      <c r="A1613" s="82">
        <f>IF(CriteriTecnici!$A1512="","","    "&amp;CHAR(123)&amp;CHAR(34)&amp;"bidderId"&amp;CHAR(34)&amp;": "&amp;CHAR(34)&amp;SUBSTITUTE(CriteriTecnici!$A1512,CHAR(34),"'")&amp;CHAR(34)&amp;", "&amp;CHAR(34)&amp;"lotId"&amp;CHAR(34)&amp;": "&amp;CHAR(34)&amp;SUBSTITUTE(CriteriTecnici!$C1512,CHAR(34),"'")&amp;CHAR(34)&amp;", "&amp;CHAR(34)&amp;"criterionId"&amp;CHAR(34)&amp;": "&amp;CHAR(34)&amp;SUBSTITUTE(CriteriTecnici!$D1512,CHAR(34),"'")&amp;CHAR(34)&amp;", "&amp;CHAR(34)&amp;"kind"&amp;CHAR(34)&amp;": "&amp;CHAR(34)&amp;SUBSTITUTE(CriteriTecnici!$F1512,CHAR(34),"'")&amp;CHAR(34)&amp;", "&amp;CHAR(34)&amp;"value"&amp;CHAR(34)&amp;": "&amp;SUBSTITUTE(TRIM(ROUND(IFERROR(CriteriTecnici!$N1512*1,IFERROR(NUMBERVALUE(CriteriTecnici!$N1512,".",","),IFERROR(NUMBERVALUE(CriteriTecnici!$N1512,",","."),0))),4)&amp;""),",",".")&amp;", "&amp;CHAR(34)&amp;"numerator"&amp;CHAR(34)&amp;": "&amp;SUBSTITUTE(TRIM(ROUND(IFERROR(CriteriTecnici!$K1512*1,IFERROR(NUMBERVALUE(CriteriTecnici!$K1512,".",","),IFERROR(NUMBERVALUE(CriteriTecnici!$K1512,",","."),0))),4)&amp;""),",",".")&amp;", "&amp;CHAR(34)&amp;"denominator"&amp;CHAR(34)&amp;": "&amp;SUBSTITUTE(TRIM(ROUND(IFERROR(CriteriTecnici!$L1512*1,IFERROR(NUMBERVALUE(CriteriTecnici!$L1512,".",","),IFERROR(NUMBERVALUE(CriteriTecnici!$L1512,",","."),0))),4)&amp;""),",",".")&amp;", "&amp;CHAR(34)&amp;"flag"&amp;CHAR(34)&amp;": "&amp;SUBSTITUTE(TRIM(ROUND(IFERROR(CriteriTecnici!$M1512*1,IFERROR(NUMBERVALUE(CriteriTecnici!$M1512,".",","),IFERROR(NUMBERVALUE(CriteriTecnici!$M1512,",","."),0))),4)&amp;""),",",".")&amp;", "&amp;CHAR(34)&amp;"rawScore"&amp;CHAR(34)&amp;": "&amp;SUBSTITUTE(TRIM(ROUND(IFERROR(CriteriTecnici!$O1512*1,IFERROR(NUMBERVALUE(CriteriTecnici!$O1512,".",","),IFERROR(NUMBERVALUE(CriteriTecnici!$O1512,",","."),0))),4)&amp;""),",",".")&amp;CHAR(125)&amp;IF(TRUE,",",""))</f>
        <v/>
      </c>
    </row>
    <row r="1614">
      <c r="A1614" s="82">
        <f>IF(CriteriTecnici!$A1513="","","    "&amp;CHAR(123)&amp;CHAR(34)&amp;"bidderId"&amp;CHAR(34)&amp;": "&amp;CHAR(34)&amp;SUBSTITUTE(CriteriTecnici!$A1513,CHAR(34),"'")&amp;CHAR(34)&amp;", "&amp;CHAR(34)&amp;"lotId"&amp;CHAR(34)&amp;": "&amp;CHAR(34)&amp;SUBSTITUTE(CriteriTecnici!$C1513,CHAR(34),"'")&amp;CHAR(34)&amp;", "&amp;CHAR(34)&amp;"criterionId"&amp;CHAR(34)&amp;": "&amp;CHAR(34)&amp;SUBSTITUTE(CriteriTecnici!$D1513,CHAR(34),"'")&amp;CHAR(34)&amp;", "&amp;CHAR(34)&amp;"kind"&amp;CHAR(34)&amp;": "&amp;CHAR(34)&amp;SUBSTITUTE(CriteriTecnici!$F1513,CHAR(34),"'")&amp;CHAR(34)&amp;", "&amp;CHAR(34)&amp;"value"&amp;CHAR(34)&amp;": "&amp;SUBSTITUTE(TRIM(ROUND(IFERROR(CriteriTecnici!$N1513*1,IFERROR(NUMBERVALUE(CriteriTecnici!$N1513,".",","),IFERROR(NUMBERVALUE(CriteriTecnici!$N1513,",","."),0))),4)&amp;""),",",".")&amp;", "&amp;CHAR(34)&amp;"numerator"&amp;CHAR(34)&amp;": "&amp;SUBSTITUTE(TRIM(ROUND(IFERROR(CriteriTecnici!$K1513*1,IFERROR(NUMBERVALUE(CriteriTecnici!$K1513,".",","),IFERROR(NUMBERVALUE(CriteriTecnici!$K1513,",","."),0))),4)&amp;""),",",".")&amp;", "&amp;CHAR(34)&amp;"denominator"&amp;CHAR(34)&amp;": "&amp;SUBSTITUTE(TRIM(ROUND(IFERROR(CriteriTecnici!$L1513*1,IFERROR(NUMBERVALUE(CriteriTecnici!$L1513,".",","),IFERROR(NUMBERVALUE(CriteriTecnici!$L1513,",","."),0))),4)&amp;""),",",".")&amp;", "&amp;CHAR(34)&amp;"flag"&amp;CHAR(34)&amp;": "&amp;SUBSTITUTE(TRIM(ROUND(IFERROR(CriteriTecnici!$M1513*1,IFERROR(NUMBERVALUE(CriteriTecnici!$M1513,".",","),IFERROR(NUMBERVALUE(CriteriTecnici!$M1513,",","."),0))),4)&amp;""),",",".")&amp;", "&amp;CHAR(34)&amp;"rawScore"&amp;CHAR(34)&amp;": "&amp;SUBSTITUTE(TRIM(ROUND(IFERROR(CriteriTecnici!$O1513*1,IFERROR(NUMBERVALUE(CriteriTecnici!$O1513,".",","),IFERROR(NUMBERVALUE(CriteriTecnici!$O1513,",","."),0))),4)&amp;""),",",".")&amp;CHAR(125)&amp;IF(TRUE,",",""))</f>
        <v/>
      </c>
    </row>
    <row r="1615">
      <c r="A1615" s="82">
        <f>IF(CriteriTecnici!$A1514="","","    "&amp;CHAR(123)&amp;CHAR(34)&amp;"bidderId"&amp;CHAR(34)&amp;": "&amp;CHAR(34)&amp;SUBSTITUTE(CriteriTecnici!$A1514,CHAR(34),"'")&amp;CHAR(34)&amp;", "&amp;CHAR(34)&amp;"lotId"&amp;CHAR(34)&amp;": "&amp;CHAR(34)&amp;SUBSTITUTE(CriteriTecnici!$C1514,CHAR(34),"'")&amp;CHAR(34)&amp;", "&amp;CHAR(34)&amp;"criterionId"&amp;CHAR(34)&amp;": "&amp;CHAR(34)&amp;SUBSTITUTE(CriteriTecnici!$D1514,CHAR(34),"'")&amp;CHAR(34)&amp;", "&amp;CHAR(34)&amp;"kind"&amp;CHAR(34)&amp;": "&amp;CHAR(34)&amp;SUBSTITUTE(CriteriTecnici!$F1514,CHAR(34),"'")&amp;CHAR(34)&amp;", "&amp;CHAR(34)&amp;"value"&amp;CHAR(34)&amp;": "&amp;SUBSTITUTE(TRIM(ROUND(IFERROR(CriteriTecnici!$N1514*1,IFERROR(NUMBERVALUE(CriteriTecnici!$N1514,".",","),IFERROR(NUMBERVALUE(CriteriTecnici!$N1514,",","."),0))),4)&amp;""),",",".")&amp;", "&amp;CHAR(34)&amp;"numerator"&amp;CHAR(34)&amp;": "&amp;SUBSTITUTE(TRIM(ROUND(IFERROR(CriteriTecnici!$K1514*1,IFERROR(NUMBERVALUE(CriteriTecnici!$K1514,".",","),IFERROR(NUMBERVALUE(CriteriTecnici!$K1514,",","."),0))),4)&amp;""),",",".")&amp;", "&amp;CHAR(34)&amp;"denominator"&amp;CHAR(34)&amp;": "&amp;SUBSTITUTE(TRIM(ROUND(IFERROR(CriteriTecnici!$L1514*1,IFERROR(NUMBERVALUE(CriteriTecnici!$L1514,".",","),IFERROR(NUMBERVALUE(CriteriTecnici!$L1514,",","."),0))),4)&amp;""),",",".")&amp;", "&amp;CHAR(34)&amp;"flag"&amp;CHAR(34)&amp;": "&amp;SUBSTITUTE(TRIM(ROUND(IFERROR(CriteriTecnici!$M1514*1,IFERROR(NUMBERVALUE(CriteriTecnici!$M1514,".",","),IFERROR(NUMBERVALUE(CriteriTecnici!$M1514,",","."),0))),4)&amp;""),",",".")&amp;", "&amp;CHAR(34)&amp;"rawScore"&amp;CHAR(34)&amp;": "&amp;SUBSTITUTE(TRIM(ROUND(IFERROR(CriteriTecnici!$O1514*1,IFERROR(NUMBERVALUE(CriteriTecnici!$O1514,".",","),IFERROR(NUMBERVALUE(CriteriTecnici!$O1514,",","."),0))),4)&amp;""),",",".")&amp;CHAR(125)&amp;IF(TRUE,",",""))</f>
        <v/>
      </c>
    </row>
    <row r="1616">
      <c r="A1616" s="82">
        <f>IF(CriteriTecnici!$A1515="","","    "&amp;CHAR(123)&amp;CHAR(34)&amp;"bidderId"&amp;CHAR(34)&amp;": "&amp;CHAR(34)&amp;SUBSTITUTE(CriteriTecnici!$A1515,CHAR(34),"'")&amp;CHAR(34)&amp;", "&amp;CHAR(34)&amp;"lotId"&amp;CHAR(34)&amp;": "&amp;CHAR(34)&amp;SUBSTITUTE(CriteriTecnici!$C1515,CHAR(34),"'")&amp;CHAR(34)&amp;", "&amp;CHAR(34)&amp;"criterionId"&amp;CHAR(34)&amp;": "&amp;CHAR(34)&amp;SUBSTITUTE(CriteriTecnici!$D1515,CHAR(34),"'")&amp;CHAR(34)&amp;", "&amp;CHAR(34)&amp;"kind"&amp;CHAR(34)&amp;": "&amp;CHAR(34)&amp;SUBSTITUTE(CriteriTecnici!$F1515,CHAR(34),"'")&amp;CHAR(34)&amp;", "&amp;CHAR(34)&amp;"value"&amp;CHAR(34)&amp;": "&amp;SUBSTITUTE(TRIM(ROUND(IFERROR(CriteriTecnici!$N1515*1,IFERROR(NUMBERVALUE(CriteriTecnici!$N1515,".",","),IFERROR(NUMBERVALUE(CriteriTecnici!$N1515,",","."),0))),4)&amp;""),",",".")&amp;", "&amp;CHAR(34)&amp;"numerator"&amp;CHAR(34)&amp;": "&amp;SUBSTITUTE(TRIM(ROUND(IFERROR(CriteriTecnici!$K1515*1,IFERROR(NUMBERVALUE(CriteriTecnici!$K1515,".",","),IFERROR(NUMBERVALUE(CriteriTecnici!$K1515,",","."),0))),4)&amp;""),",",".")&amp;", "&amp;CHAR(34)&amp;"denominator"&amp;CHAR(34)&amp;": "&amp;SUBSTITUTE(TRIM(ROUND(IFERROR(CriteriTecnici!$L1515*1,IFERROR(NUMBERVALUE(CriteriTecnici!$L1515,".",","),IFERROR(NUMBERVALUE(CriteriTecnici!$L1515,",","."),0))),4)&amp;""),",",".")&amp;", "&amp;CHAR(34)&amp;"flag"&amp;CHAR(34)&amp;": "&amp;SUBSTITUTE(TRIM(ROUND(IFERROR(CriteriTecnici!$M1515*1,IFERROR(NUMBERVALUE(CriteriTecnici!$M1515,".",","),IFERROR(NUMBERVALUE(CriteriTecnici!$M1515,",","."),0))),4)&amp;""),",",".")&amp;", "&amp;CHAR(34)&amp;"rawScore"&amp;CHAR(34)&amp;": "&amp;SUBSTITUTE(TRIM(ROUND(IFERROR(CriteriTecnici!$O1515*1,IFERROR(NUMBERVALUE(CriteriTecnici!$O1515,".",","),IFERROR(NUMBERVALUE(CriteriTecnici!$O1515,",","."),0))),4)&amp;""),",",".")&amp;CHAR(125)&amp;IF(TRUE,",",""))</f>
        <v/>
      </c>
    </row>
    <row r="1617">
      <c r="A1617" s="82">
        <f>IF(CriteriTecnici!$A1516="","","    "&amp;CHAR(123)&amp;CHAR(34)&amp;"bidderId"&amp;CHAR(34)&amp;": "&amp;CHAR(34)&amp;SUBSTITUTE(CriteriTecnici!$A1516,CHAR(34),"'")&amp;CHAR(34)&amp;", "&amp;CHAR(34)&amp;"lotId"&amp;CHAR(34)&amp;": "&amp;CHAR(34)&amp;SUBSTITUTE(CriteriTecnici!$C1516,CHAR(34),"'")&amp;CHAR(34)&amp;", "&amp;CHAR(34)&amp;"criterionId"&amp;CHAR(34)&amp;": "&amp;CHAR(34)&amp;SUBSTITUTE(CriteriTecnici!$D1516,CHAR(34),"'")&amp;CHAR(34)&amp;", "&amp;CHAR(34)&amp;"kind"&amp;CHAR(34)&amp;": "&amp;CHAR(34)&amp;SUBSTITUTE(CriteriTecnici!$F1516,CHAR(34),"'")&amp;CHAR(34)&amp;", "&amp;CHAR(34)&amp;"value"&amp;CHAR(34)&amp;": "&amp;SUBSTITUTE(TRIM(ROUND(IFERROR(CriteriTecnici!$N1516*1,IFERROR(NUMBERVALUE(CriteriTecnici!$N1516,".",","),IFERROR(NUMBERVALUE(CriteriTecnici!$N1516,",","."),0))),4)&amp;""),",",".")&amp;", "&amp;CHAR(34)&amp;"numerator"&amp;CHAR(34)&amp;": "&amp;SUBSTITUTE(TRIM(ROUND(IFERROR(CriteriTecnici!$K1516*1,IFERROR(NUMBERVALUE(CriteriTecnici!$K1516,".",","),IFERROR(NUMBERVALUE(CriteriTecnici!$K1516,",","."),0))),4)&amp;""),",",".")&amp;", "&amp;CHAR(34)&amp;"denominator"&amp;CHAR(34)&amp;": "&amp;SUBSTITUTE(TRIM(ROUND(IFERROR(CriteriTecnici!$L1516*1,IFERROR(NUMBERVALUE(CriteriTecnici!$L1516,".",","),IFERROR(NUMBERVALUE(CriteriTecnici!$L1516,",","."),0))),4)&amp;""),",",".")&amp;", "&amp;CHAR(34)&amp;"flag"&amp;CHAR(34)&amp;": "&amp;SUBSTITUTE(TRIM(ROUND(IFERROR(CriteriTecnici!$M1516*1,IFERROR(NUMBERVALUE(CriteriTecnici!$M1516,".",","),IFERROR(NUMBERVALUE(CriteriTecnici!$M1516,",","."),0))),4)&amp;""),",",".")&amp;", "&amp;CHAR(34)&amp;"rawScore"&amp;CHAR(34)&amp;": "&amp;SUBSTITUTE(TRIM(ROUND(IFERROR(CriteriTecnici!$O1516*1,IFERROR(NUMBERVALUE(CriteriTecnici!$O1516,".",","),IFERROR(NUMBERVALUE(CriteriTecnici!$O1516,",","."),0))),4)&amp;""),",",".")&amp;CHAR(125)&amp;IF(TRUE,",",""))</f>
        <v/>
      </c>
    </row>
    <row r="1618">
      <c r="A1618" s="82">
        <f>IF(CriteriTecnici!$A1517="","","    "&amp;CHAR(123)&amp;CHAR(34)&amp;"bidderId"&amp;CHAR(34)&amp;": "&amp;CHAR(34)&amp;SUBSTITUTE(CriteriTecnici!$A1517,CHAR(34),"'")&amp;CHAR(34)&amp;", "&amp;CHAR(34)&amp;"lotId"&amp;CHAR(34)&amp;": "&amp;CHAR(34)&amp;SUBSTITUTE(CriteriTecnici!$C1517,CHAR(34),"'")&amp;CHAR(34)&amp;", "&amp;CHAR(34)&amp;"criterionId"&amp;CHAR(34)&amp;": "&amp;CHAR(34)&amp;SUBSTITUTE(CriteriTecnici!$D1517,CHAR(34),"'")&amp;CHAR(34)&amp;", "&amp;CHAR(34)&amp;"kind"&amp;CHAR(34)&amp;": "&amp;CHAR(34)&amp;SUBSTITUTE(CriteriTecnici!$F1517,CHAR(34),"'")&amp;CHAR(34)&amp;", "&amp;CHAR(34)&amp;"value"&amp;CHAR(34)&amp;": "&amp;SUBSTITUTE(TRIM(ROUND(IFERROR(CriteriTecnici!$N1517*1,IFERROR(NUMBERVALUE(CriteriTecnici!$N1517,".",","),IFERROR(NUMBERVALUE(CriteriTecnici!$N1517,",","."),0))),4)&amp;""),",",".")&amp;", "&amp;CHAR(34)&amp;"numerator"&amp;CHAR(34)&amp;": "&amp;SUBSTITUTE(TRIM(ROUND(IFERROR(CriteriTecnici!$K1517*1,IFERROR(NUMBERVALUE(CriteriTecnici!$K1517,".",","),IFERROR(NUMBERVALUE(CriteriTecnici!$K1517,",","."),0))),4)&amp;""),",",".")&amp;", "&amp;CHAR(34)&amp;"denominator"&amp;CHAR(34)&amp;": "&amp;SUBSTITUTE(TRIM(ROUND(IFERROR(CriteriTecnici!$L1517*1,IFERROR(NUMBERVALUE(CriteriTecnici!$L1517,".",","),IFERROR(NUMBERVALUE(CriteriTecnici!$L1517,",","."),0))),4)&amp;""),",",".")&amp;", "&amp;CHAR(34)&amp;"flag"&amp;CHAR(34)&amp;": "&amp;SUBSTITUTE(TRIM(ROUND(IFERROR(CriteriTecnici!$M1517*1,IFERROR(NUMBERVALUE(CriteriTecnici!$M1517,".",","),IFERROR(NUMBERVALUE(CriteriTecnici!$M1517,",","."),0))),4)&amp;""),",",".")&amp;", "&amp;CHAR(34)&amp;"rawScore"&amp;CHAR(34)&amp;": "&amp;SUBSTITUTE(TRIM(ROUND(IFERROR(CriteriTecnici!$O1517*1,IFERROR(NUMBERVALUE(CriteriTecnici!$O1517,".",","),IFERROR(NUMBERVALUE(CriteriTecnici!$O1517,",","."),0))),4)&amp;""),",",".")&amp;CHAR(125)&amp;IF(TRUE,",",""))</f>
        <v/>
      </c>
    </row>
    <row r="1619">
      <c r="A1619" s="82">
        <f>IF(CriteriTecnici!$A1518="","","    "&amp;CHAR(123)&amp;CHAR(34)&amp;"bidderId"&amp;CHAR(34)&amp;": "&amp;CHAR(34)&amp;SUBSTITUTE(CriteriTecnici!$A1518,CHAR(34),"'")&amp;CHAR(34)&amp;", "&amp;CHAR(34)&amp;"lotId"&amp;CHAR(34)&amp;": "&amp;CHAR(34)&amp;SUBSTITUTE(CriteriTecnici!$C1518,CHAR(34),"'")&amp;CHAR(34)&amp;", "&amp;CHAR(34)&amp;"criterionId"&amp;CHAR(34)&amp;": "&amp;CHAR(34)&amp;SUBSTITUTE(CriteriTecnici!$D1518,CHAR(34),"'")&amp;CHAR(34)&amp;", "&amp;CHAR(34)&amp;"kind"&amp;CHAR(34)&amp;": "&amp;CHAR(34)&amp;SUBSTITUTE(CriteriTecnici!$F1518,CHAR(34),"'")&amp;CHAR(34)&amp;", "&amp;CHAR(34)&amp;"value"&amp;CHAR(34)&amp;": "&amp;SUBSTITUTE(TRIM(ROUND(IFERROR(CriteriTecnici!$N1518*1,IFERROR(NUMBERVALUE(CriteriTecnici!$N1518,".",","),IFERROR(NUMBERVALUE(CriteriTecnici!$N1518,",","."),0))),4)&amp;""),",",".")&amp;", "&amp;CHAR(34)&amp;"numerator"&amp;CHAR(34)&amp;": "&amp;SUBSTITUTE(TRIM(ROUND(IFERROR(CriteriTecnici!$K1518*1,IFERROR(NUMBERVALUE(CriteriTecnici!$K1518,".",","),IFERROR(NUMBERVALUE(CriteriTecnici!$K1518,",","."),0))),4)&amp;""),",",".")&amp;", "&amp;CHAR(34)&amp;"denominator"&amp;CHAR(34)&amp;": "&amp;SUBSTITUTE(TRIM(ROUND(IFERROR(CriteriTecnici!$L1518*1,IFERROR(NUMBERVALUE(CriteriTecnici!$L1518,".",","),IFERROR(NUMBERVALUE(CriteriTecnici!$L1518,",","."),0))),4)&amp;""),",",".")&amp;", "&amp;CHAR(34)&amp;"flag"&amp;CHAR(34)&amp;": "&amp;SUBSTITUTE(TRIM(ROUND(IFERROR(CriteriTecnici!$M1518*1,IFERROR(NUMBERVALUE(CriteriTecnici!$M1518,".",","),IFERROR(NUMBERVALUE(CriteriTecnici!$M1518,",","."),0))),4)&amp;""),",",".")&amp;", "&amp;CHAR(34)&amp;"rawScore"&amp;CHAR(34)&amp;": "&amp;SUBSTITUTE(TRIM(ROUND(IFERROR(CriteriTecnici!$O1518*1,IFERROR(NUMBERVALUE(CriteriTecnici!$O1518,".",","),IFERROR(NUMBERVALUE(CriteriTecnici!$O1518,",","."),0))),4)&amp;""),",",".")&amp;CHAR(125)&amp;IF(TRUE,",",""))</f>
        <v/>
      </c>
    </row>
    <row r="1620">
      <c r="A1620" s="82">
        <f>IF(CriteriTecnici!$A1519="","","    "&amp;CHAR(123)&amp;CHAR(34)&amp;"bidderId"&amp;CHAR(34)&amp;": "&amp;CHAR(34)&amp;SUBSTITUTE(CriteriTecnici!$A1519,CHAR(34),"'")&amp;CHAR(34)&amp;", "&amp;CHAR(34)&amp;"lotId"&amp;CHAR(34)&amp;": "&amp;CHAR(34)&amp;SUBSTITUTE(CriteriTecnici!$C1519,CHAR(34),"'")&amp;CHAR(34)&amp;", "&amp;CHAR(34)&amp;"criterionId"&amp;CHAR(34)&amp;": "&amp;CHAR(34)&amp;SUBSTITUTE(CriteriTecnici!$D1519,CHAR(34),"'")&amp;CHAR(34)&amp;", "&amp;CHAR(34)&amp;"kind"&amp;CHAR(34)&amp;": "&amp;CHAR(34)&amp;SUBSTITUTE(CriteriTecnici!$F1519,CHAR(34),"'")&amp;CHAR(34)&amp;", "&amp;CHAR(34)&amp;"value"&amp;CHAR(34)&amp;": "&amp;SUBSTITUTE(TRIM(ROUND(IFERROR(CriteriTecnici!$N1519*1,IFERROR(NUMBERVALUE(CriteriTecnici!$N1519,".",","),IFERROR(NUMBERVALUE(CriteriTecnici!$N1519,",","."),0))),4)&amp;""),",",".")&amp;", "&amp;CHAR(34)&amp;"numerator"&amp;CHAR(34)&amp;": "&amp;SUBSTITUTE(TRIM(ROUND(IFERROR(CriteriTecnici!$K1519*1,IFERROR(NUMBERVALUE(CriteriTecnici!$K1519,".",","),IFERROR(NUMBERVALUE(CriteriTecnici!$K1519,",","."),0))),4)&amp;""),",",".")&amp;", "&amp;CHAR(34)&amp;"denominator"&amp;CHAR(34)&amp;": "&amp;SUBSTITUTE(TRIM(ROUND(IFERROR(CriteriTecnici!$L1519*1,IFERROR(NUMBERVALUE(CriteriTecnici!$L1519,".",","),IFERROR(NUMBERVALUE(CriteriTecnici!$L1519,",","."),0))),4)&amp;""),",",".")&amp;", "&amp;CHAR(34)&amp;"flag"&amp;CHAR(34)&amp;": "&amp;SUBSTITUTE(TRIM(ROUND(IFERROR(CriteriTecnici!$M1519*1,IFERROR(NUMBERVALUE(CriteriTecnici!$M1519,".",","),IFERROR(NUMBERVALUE(CriteriTecnici!$M1519,",","."),0))),4)&amp;""),",",".")&amp;", "&amp;CHAR(34)&amp;"rawScore"&amp;CHAR(34)&amp;": "&amp;SUBSTITUTE(TRIM(ROUND(IFERROR(CriteriTecnici!$O1519*1,IFERROR(NUMBERVALUE(CriteriTecnici!$O1519,".",","),IFERROR(NUMBERVALUE(CriteriTecnici!$O1519,",","."),0))),4)&amp;""),",",".")&amp;CHAR(125)&amp;IF(TRUE,",",""))</f>
        <v/>
      </c>
    </row>
    <row r="1621">
      <c r="A1621" s="82">
        <f>IF(CriteriTecnici!$A1520="","","    "&amp;CHAR(123)&amp;CHAR(34)&amp;"bidderId"&amp;CHAR(34)&amp;": "&amp;CHAR(34)&amp;SUBSTITUTE(CriteriTecnici!$A1520,CHAR(34),"'")&amp;CHAR(34)&amp;", "&amp;CHAR(34)&amp;"lotId"&amp;CHAR(34)&amp;": "&amp;CHAR(34)&amp;SUBSTITUTE(CriteriTecnici!$C1520,CHAR(34),"'")&amp;CHAR(34)&amp;", "&amp;CHAR(34)&amp;"criterionId"&amp;CHAR(34)&amp;": "&amp;CHAR(34)&amp;SUBSTITUTE(CriteriTecnici!$D1520,CHAR(34),"'")&amp;CHAR(34)&amp;", "&amp;CHAR(34)&amp;"kind"&amp;CHAR(34)&amp;": "&amp;CHAR(34)&amp;SUBSTITUTE(CriteriTecnici!$F1520,CHAR(34),"'")&amp;CHAR(34)&amp;", "&amp;CHAR(34)&amp;"value"&amp;CHAR(34)&amp;": "&amp;SUBSTITUTE(TRIM(ROUND(IFERROR(CriteriTecnici!$N1520*1,IFERROR(NUMBERVALUE(CriteriTecnici!$N1520,".",","),IFERROR(NUMBERVALUE(CriteriTecnici!$N1520,",","."),0))),4)&amp;""),",",".")&amp;", "&amp;CHAR(34)&amp;"numerator"&amp;CHAR(34)&amp;": "&amp;SUBSTITUTE(TRIM(ROUND(IFERROR(CriteriTecnici!$K1520*1,IFERROR(NUMBERVALUE(CriteriTecnici!$K1520,".",","),IFERROR(NUMBERVALUE(CriteriTecnici!$K1520,",","."),0))),4)&amp;""),",",".")&amp;", "&amp;CHAR(34)&amp;"denominator"&amp;CHAR(34)&amp;": "&amp;SUBSTITUTE(TRIM(ROUND(IFERROR(CriteriTecnici!$L1520*1,IFERROR(NUMBERVALUE(CriteriTecnici!$L1520,".",","),IFERROR(NUMBERVALUE(CriteriTecnici!$L1520,",","."),0))),4)&amp;""),",",".")&amp;", "&amp;CHAR(34)&amp;"flag"&amp;CHAR(34)&amp;": "&amp;SUBSTITUTE(TRIM(ROUND(IFERROR(CriteriTecnici!$M1520*1,IFERROR(NUMBERVALUE(CriteriTecnici!$M1520,".",","),IFERROR(NUMBERVALUE(CriteriTecnici!$M1520,",","."),0))),4)&amp;""),",",".")&amp;", "&amp;CHAR(34)&amp;"rawScore"&amp;CHAR(34)&amp;": "&amp;SUBSTITUTE(TRIM(ROUND(IFERROR(CriteriTecnici!$O1520*1,IFERROR(NUMBERVALUE(CriteriTecnici!$O1520,".",","),IFERROR(NUMBERVALUE(CriteriTecnici!$O1520,",","."),0))),4)&amp;""),",",".")&amp;CHAR(125)&amp;IF(TRUE,",",""))</f>
        <v/>
      </c>
    </row>
    <row r="1622">
      <c r="A1622" s="82">
        <f>IF(CriteriTecnici!$A1521="","","    "&amp;CHAR(123)&amp;CHAR(34)&amp;"bidderId"&amp;CHAR(34)&amp;": "&amp;CHAR(34)&amp;SUBSTITUTE(CriteriTecnici!$A1521,CHAR(34),"'")&amp;CHAR(34)&amp;", "&amp;CHAR(34)&amp;"lotId"&amp;CHAR(34)&amp;": "&amp;CHAR(34)&amp;SUBSTITUTE(CriteriTecnici!$C1521,CHAR(34),"'")&amp;CHAR(34)&amp;", "&amp;CHAR(34)&amp;"criterionId"&amp;CHAR(34)&amp;": "&amp;CHAR(34)&amp;SUBSTITUTE(CriteriTecnici!$D1521,CHAR(34),"'")&amp;CHAR(34)&amp;", "&amp;CHAR(34)&amp;"kind"&amp;CHAR(34)&amp;": "&amp;CHAR(34)&amp;SUBSTITUTE(CriteriTecnici!$F1521,CHAR(34),"'")&amp;CHAR(34)&amp;", "&amp;CHAR(34)&amp;"value"&amp;CHAR(34)&amp;": "&amp;SUBSTITUTE(TRIM(ROUND(IFERROR(CriteriTecnici!$N1521*1,IFERROR(NUMBERVALUE(CriteriTecnici!$N1521,".",","),IFERROR(NUMBERVALUE(CriteriTecnici!$N1521,",","."),0))),4)&amp;""),",",".")&amp;", "&amp;CHAR(34)&amp;"numerator"&amp;CHAR(34)&amp;": "&amp;SUBSTITUTE(TRIM(ROUND(IFERROR(CriteriTecnici!$K1521*1,IFERROR(NUMBERVALUE(CriteriTecnici!$K1521,".",","),IFERROR(NUMBERVALUE(CriteriTecnici!$K1521,",","."),0))),4)&amp;""),",",".")&amp;", "&amp;CHAR(34)&amp;"denominator"&amp;CHAR(34)&amp;": "&amp;SUBSTITUTE(TRIM(ROUND(IFERROR(CriteriTecnici!$L1521*1,IFERROR(NUMBERVALUE(CriteriTecnici!$L1521,".",","),IFERROR(NUMBERVALUE(CriteriTecnici!$L1521,",","."),0))),4)&amp;""),",",".")&amp;", "&amp;CHAR(34)&amp;"flag"&amp;CHAR(34)&amp;": "&amp;SUBSTITUTE(TRIM(ROUND(IFERROR(CriteriTecnici!$M1521*1,IFERROR(NUMBERVALUE(CriteriTecnici!$M1521,".",","),IFERROR(NUMBERVALUE(CriteriTecnici!$M1521,",","."),0))),4)&amp;""),",",".")&amp;", "&amp;CHAR(34)&amp;"rawScore"&amp;CHAR(34)&amp;": "&amp;SUBSTITUTE(TRIM(ROUND(IFERROR(CriteriTecnici!$O1521*1,IFERROR(NUMBERVALUE(CriteriTecnici!$O1521,".",","),IFERROR(NUMBERVALUE(CriteriTecnici!$O1521,",","."),0))),4)&amp;""),",",".")&amp;CHAR(125)&amp;IF(TRUE,",",""))</f>
        <v/>
      </c>
    </row>
    <row r="1623">
      <c r="A1623" s="82">
        <f>IF(CriteriTecnici!$A1522="","","    "&amp;CHAR(123)&amp;CHAR(34)&amp;"bidderId"&amp;CHAR(34)&amp;": "&amp;CHAR(34)&amp;SUBSTITUTE(CriteriTecnici!$A1522,CHAR(34),"'")&amp;CHAR(34)&amp;", "&amp;CHAR(34)&amp;"lotId"&amp;CHAR(34)&amp;": "&amp;CHAR(34)&amp;SUBSTITUTE(CriteriTecnici!$C1522,CHAR(34),"'")&amp;CHAR(34)&amp;", "&amp;CHAR(34)&amp;"criterionId"&amp;CHAR(34)&amp;": "&amp;CHAR(34)&amp;SUBSTITUTE(CriteriTecnici!$D1522,CHAR(34),"'")&amp;CHAR(34)&amp;", "&amp;CHAR(34)&amp;"kind"&amp;CHAR(34)&amp;": "&amp;CHAR(34)&amp;SUBSTITUTE(CriteriTecnici!$F1522,CHAR(34),"'")&amp;CHAR(34)&amp;", "&amp;CHAR(34)&amp;"value"&amp;CHAR(34)&amp;": "&amp;SUBSTITUTE(TRIM(ROUND(IFERROR(CriteriTecnici!$N1522*1,IFERROR(NUMBERVALUE(CriteriTecnici!$N1522,".",","),IFERROR(NUMBERVALUE(CriteriTecnici!$N1522,",","."),0))),4)&amp;""),",",".")&amp;", "&amp;CHAR(34)&amp;"numerator"&amp;CHAR(34)&amp;": "&amp;SUBSTITUTE(TRIM(ROUND(IFERROR(CriteriTecnici!$K1522*1,IFERROR(NUMBERVALUE(CriteriTecnici!$K1522,".",","),IFERROR(NUMBERVALUE(CriteriTecnici!$K1522,",","."),0))),4)&amp;""),",",".")&amp;", "&amp;CHAR(34)&amp;"denominator"&amp;CHAR(34)&amp;": "&amp;SUBSTITUTE(TRIM(ROUND(IFERROR(CriteriTecnici!$L1522*1,IFERROR(NUMBERVALUE(CriteriTecnici!$L1522,".",","),IFERROR(NUMBERVALUE(CriteriTecnici!$L1522,",","."),0))),4)&amp;""),",",".")&amp;", "&amp;CHAR(34)&amp;"flag"&amp;CHAR(34)&amp;": "&amp;SUBSTITUTE(TRIM(ROUND(IFERROR(CriteriTecnici!$M1522*1,IFERROR(NUMBERVALUE(CriteriTecnici!$M1522,".",","),IFERROR(NUMBERVALUE(CriteriTecnici!$M1522,",","."),0))),4)&amp;""),",",".")&amp;", "&amp;CHAR(34)&amp;"rawScore"&amp;CHAR(34)&amp;": "&amp;SUBSTITUTE(TRIM(ROUND(IFERROR(CriteriTecnici!$O1522*1,IFERROR(NUMBERVALUE(CriteriTecnici!$O1522,".",","),IFERROR(NUMBERVALUE(CriteriTecnici!$O1522,",","."),0))),4)&amp;""),",",".")&amp;CHAR(125)&amp;IF(TRUE,",",""))</f>
        <v/>
      </c>
    </row>
    <row r="1624">
      <c r="A1624" s="82">
        <f>IF(CriteriTecnici!$A1523="","","    "&amp;CHAR(123)&amp;CHAR(34)&amp;"bidderId"&amp;CHAR(34)&amp;": "&amp;CHAR(34)&amp;SUBSTITUTE(CriteriTecnici!$A1523,CHAR(34),"'")&amp;CHAR(34)&amp;", "&amp;CHAR(34)&amp;"lotId"&amp;CHAR(34)&amp;": "&amp;CHAR(34)&amp;SUBSTITUTE(CriteriTecnici!$C1523,CHAR(34),"'")&amp;CHAR(34)&amp;", "&amp;CHAR(34)&amp;"criterionId"&amp;CHAR(34)&amp;": "&amp;CHAR(34)&amp;SUBSTITUTE(CriteriTecnici!$D1523,CHAR(34),"'")&amp;CHAR(34)&amp;", "&amp;CHAR(34)&amp;"kind"&amp;CHAR(34)&amp;": "&amp;CHAR(34)&amp;SUBSTITUTE(CriteriTecnici!$F1523,CHAR(34),"'")&amp;CHAR(34)&amp;", "&amp;CHAR(34)&amp;"value"&amp;CHAR(34)&amp;": "&amp;SUBSTITUTE(TRIM(ROUND(IFERROR(CriteriTecnici!$N1523*1,IFERROR(NUMBERVALUE(CriteriTecnici!$N1523,".",","),IFERROR(NUMBERVALUE(CriteriTecnici!$N1523,",","."),0))),4)&amp;""),",",".")&amp;", "&amp;CHAR(34)&amp;"numerator"&amp;CHAR(34)&amp;": "&amp;SUBSTITUTE(TRIM(ROUND(IFERROR(CriteriTecnici!$K1523*1,IFERROR(NUMBERVALUE(CriteriTecnici!$K1523,".",","),IFERROR(NUMBERVALUE(CriteriTecnici!$K1523,",","."),0))),4)&amp;""),",",".")&amp;", "&amp;CHAR(34)&amp;"denominator"&amp;CHAR(34)&amp;": "&amp;SUBSTITUTE(TRIM(ROUND(IFERROR(CriteriTecnici!$L1523*1,IFERROR(NUMBERVALUE(CriteriTecnici!$L1523,".",","),IFERROR(NUMBERVALUE(CriteriTecnici!$L1523,",","."),0))),4)&amp;""),",",".")&amp;", "&amp;CHAR(34)&amp;"flag"&amp;CHAR(34)&amp;": "&amp;SUBSTITUTE(TRIM(ROUND(IFERROR(CriteriTecnici!$M1523*1,IFERROR(NUMBERVALUE(CriteriTecnici!$M1523,".",","),IFERROR(NUMBERVALUE(CriteriTecnici!$M1523,",","."),0))),4)&amp;""),",",".")&amp;", "&amp;CHAR(34)&amp;"rawScore"&amp;CHAR(34)&amp;": "&amp;SUBSTITUTE(TRIM(ROUND(IFERROR(CriteriTecnici!$O1523*1,IFERROR(NUMBERVALUE(CriteriTecnici!$O1523,".",","),IFERROR(NUMBERVALUE(CriteriTecnici!$O1523,",","."),0))),4)&amp;""),",",".")&amp;CHAR(125)&amp;IF(COUNTA(Offerte!$A51:$A$81)&gt;0,",",""))</f>
        <v/>
      </c>
    </row>
    <row r="1625">
      <c r="A1625" s="82">
        <f>IF(CriteriTecnici!$A1524="","","    "&amp;CHAR(123)&amp;CHAR(34)&amp;"bidderId"&amp;CHAR(34)&amp;": "&amp;CHAR(34)&amp;SUBSTITUTE(CriteriTecnici!$A1524,CHAR(34),"'")&amp;CHAR(34)&amp;", "&amp;CHAR(34)&amp;"lotId"&amp;CHAR(34)&amp;": "&amp;CHAR(34)&amp;SUBSTITUTE(CriteriTecnici!$C1524,CHAR(34),"'")&amp;CHAR(34)&amp;", "&amp;CHAR(34)&amp;"criterionId"&amp;CHAR(34)&amp;": "&amp;CHAR(34)&amp;SUBSTITUTE(CriteriTecnici!$D1524,CHAR(34),"'")&amp;CHAR(34)&amp;", "&amp;CHAR(34)&amp;"kind"&amp;CHAR(34)&amp;": "&amp;CHAR(34)&amp;SUBSTITUTE(CriteriTecnici!$F1524,CHAR(34),"'")&amp;CHAR(34)&amp;", "&amp;CHAR(34)&amp;"value"&amp;CHAR(34)&amp;": "&amp;SUBSTITUTE(TRIM(ROUND(IFERROR(CriteriTecnici!$N1524*1,IFERROR(NUMBERVALUE(CriteriTecnici!$N1524,".",","),IFERROR(NUMBERVALUE(CriteriTecnici!$N1524,",","."),0))),4)&amp;""),",",".")&amp;", "&amp;CHAR(34)&amp;"numerator"&amp;CHAR(34)&amp;": "&amp;SUBSTITUTE(TRIM(ROUND(IFERROR(CriteriTecnici!$K1524*1,IFERROR(NUMBERVALUE(CriteriTecnici!$K1524,".",","),IFERROR(NUMBERVALUE(CriteriTecnici!$K1524,",","."),0))),4)&amp;""),",",".")&amp;", "&amp;CHAR(34)&amp;"denominator"&amp;CHAR(34)&amp;": "&amp;SUBSTITUTE(TRIM(ROUND(IFERROR(CriteriTecnici!$L1524*1,IFERROR(NUMBERVALUE(CriteriTecnici!$L1524,".",","),IFERROR(NUMBERVALUE(CriteriTecnici!$L1524,",","."),0))),4)&amp;""),",",".")&amp;", "&amp;CHAR(34)&amp;"flag"&amp;CHAR(34)&amp;": "&amp;SUBSTITUTE(TRIM(ROUND(IFERROR(CriteriTecnici!$M1524*1,IFERROR(NUMBERVALUE(CriteriTecnici!$M1524,".",","),IFERROR(NUMBERVALUE(CriteriTecnici!$M1524,",","."),0))),4)&amp;""),",",".")&amp;", "&amp;CHAR(34)&amp;"rawScore"&amp;CHAR(34)&amp;": "&amp;SUBSTITUTE(TRIM(ROUND(IFERROR(CriteriTecnici!$O1524*1,IFERROR(NUMBERVALUE(CriteriTecnici!$O1524,".",","),IFERROR(NUMBERVALUE(CriteriTecnici!$O1524,",","."),0))),4)&amp;""),",",".")&amp;CHAR(125)&amp;IF(TRUE,",",""))</f>
        <v/>
      </c>
    </row>
    <row r="1626">
      <c r="A1626" s="82">
        <f>IF(CriteriTecnici!$A1525="","","    "&amp;CHAR(123)&amp;CHAR(34)&amp;"bidderId"&amp;CHAR(34)&amp;": "&amp;CHAR(34)&amp;SUBSTITUTE(CriteriTecnici!$A1525,CHAR(34),"'")&amp;CHAR(34)&amp;", "&amp;CHAR(34)&amp;"lotId"&amp;CHAR(34)&amp;": "&amp;CHAR(34)&amp;SUBSTITUTE(CriteriTecnici!$C1525,CHAR(34),"'")&amp;CHAR(34)&amp;", "&amp;CHAR(34)&amp;"criterionId"&amp;CHAR(34)&amp;": "&amp;CHAR(34)&amp;SUBSTITUTE(CriteriTecnici!$D1525,CHAR(34),"'")&amp;CHAR(34)&amp;", "&amp;CHAR(34)&amp;"kind"&amp;CHAR(34)&amp;": "&amp;CHAR(34)&amp;SUBSTITUTE(CriteriTecnici!$F1525,CHAR(34),"'")&amp;CHAR(34)&amp;", "&amp;CHAR(34)&amp;"value"&amp;CHAR(34)&amp;": "&amp;SUBSTITUTE(TRIM(ROUND(IFERROR(CriteriTecnici!$N1525*1,IFERROR(NUMBERVALUE(CriteriTecnici!$N1525,".",","),IFERROR(NUMBERVALUE(CriteriTecnici!$N1525,",","."),0))),4)&amp;""),",",".")&amp;", "&amp;CHAR(34)&amp;"numerator"&amp;CHAR(34)&amp;": "&amp;SUBSTITUTE(TRIM(ROUND(IFERROR(CriteriTecnici!$K1525*1,IFERROR(NUMBERVALUE(CriteriTecnici!$K1525,".",","),IFERROR(NUMBERVALUE(CriteriTecnici!$K1525,",","."),0))),4)&amp;""),",",".")&amp;", "&amp;CHAR(34)&amp;"denominator"&amp;CHAR(34)&amp;": "&amp;SUBSTITUTE(TRIM(ROUND(IFERROR(CriteriTecnici!$L1525*1,IFERROR(NUMBERVALUE(CriteriTecnici!$L1525,".",","),IFERROR(NUMBERVALUE(CriteriTecnici!$L1525,",","."),0))),4)&amp;""),",",".")&amp;", "&amp;CHAR(34)&amp;"flag"&amp;CHAR(34)&amp;": "&amp;SUBSTITUTE(TRIM(ROUND(IFERROR(CriteriTecnici!$M1525*1,IFERROR(NUMBERVALUE(CriteriTecnici!$M1525,".",","),IFERROR(NUMBERVALUE(CriteriTecnici!$M1525,",","."),0))),4)&amp;""),",",".")&amp;", "&amp;CHAR(34)&amp;"rawScore"&amp;CHAR(34)&amp;": "&amp;SUBSTITUTE(TRIM(ROUND(IFERROR(CriteriTecnici!$O1525*1,IFERROR(NUMBERVALUE(CriteriTecnici!$O1525,".",","),IFERROR(NUMBERVALUE(CriteriTecnici!$O1525,",","."),0))),4)&amp;""),",",".")&amp;CHAR(125)&amp;IF(TRUE,",",""))</f>
        <v/>
      </c>
    </row>
    <row r="1627">
      <c r="A1627" s="82">
        <f>IF(CriteriTecnici!$A1526="","","    "&amp;CHAR(123)&amp;CHAR(34)&amp;"bidderId"&amp;CHAR(34)&amp;": "&amp;CHAR(34)&amp;SUBSTITUTE(CriteriTecnici!$A1526,CHAR(34),"'")&amp;CHAR(34)&amp;", "&amp;CHAR(34)&amp;"lotId"&amp;CHAR(34)&amp;": "&amp;CHAR(34)&amp;SUBSTITUTE(CriteriTecnici!$C1526,CHAR(34),"'")&amp;CHAR(34)&amp;", "&amp;CHAR(34)&amp;"criterionId"&amp;CHAR(34)&amp;": "&amp;CHAR(34)&amp;SUBSTITUTE(CriteriTecnici!$D1526,CHAR(34),"'")&amp;CHAR(34)&amp;", "&amp;CHAR(34)&amp;"kind"&amp;CHAR(34)&amp;": "&amp;CHAR(34)&amp;SUBSTITUTE(CriteriTecnici!$F1526,CHAR(34),"'")&amp;CHAR(34)&amp;", "&amp;CHAR(34)&amp;"value"&amp;CHAR(34)&amp;": "&amp;SUBSTITUTE(TRIM(ROUND(IFERROR(CriteriTecnici!$N1526*1,IFERROR(NUMBERVALUE(CriteriTecnici!$N1526,".",","),IFERROR(NUMBERVALUE(CriteriTecnici!$N1526,",","."),0))),4)&amp;""),",",".")&amp;", "&amp;CHAR(34)&amp;"numerator"&amp;CHAR(34)&amp;": "&amp;SUBSTITUTE(TRIM(ROUND(IFERROR(CriteriTecnici!$K1526*1,IFERROR(NUMBERVALUE(CriteriTecnici!$K1526,".",","),IFERROR(NUMBERVALUE(CriteriTecnici!$K1526,",","."),0))),4)&amp;""),",",".")&amp;", "&amp;CHAR(34)&amp;"denominator"&amp;CHAR(34)&amp;": "&amp;SUBSTITUTE(TRIM(ROUND(IFERROR(CriteriTecnici!$L1526*1,IFERROR(NUMBERVALUE(CriteriTecnici!$L1526,".",","),IFERROR(NUMBERVALUE(CriteriTecnici!$L1526,",","."),0))),4)&amp;""),",",".")&amp;", "&amp;CHAR(34)&amp;"flag"&amp;CHAR(34)&amp;": "&amp;SUBSTITUTE(TRIM(ROUND(IFERROR(CriteriTecnici!$M1526*1,IFERROR(NUMBERVALUE(CriteriTecnici!$M1526,".",","),IFERROR(NUMBERVALUE(CriteriTecnici!$M1526,",","."),0))),4)&amp;""),",",".")&amp;", "&amp;CHAR(34)&amp;"rawScore"&amp;CHAR(34)&amp;": "&amp;SUBSTITUTE(TRIM(ROUND(IFERROR(CriteriTecnici!$O1526*1,IFERROR(NUMBERVALUE(CriteriTecnici!$O1526,".",","),IFERROR(NUMBERVALUE(CriteriTecnici!$O1526,",","."),0))),4)&amp;""),",",".")&amp;CHAR(125)&amp;IF(TRUE,",",""))</f>
        <v/>
      </c>
    </row>
    <row r="1628">
      <c r="A1628" s="82">
        <f>IF(CriteriTecnici!$A1527="","","    "&amp;CHAR(123)&amp;CHAR(34)&amp;"bidderId"&amp;CHAR(34)&amp;": "&amp;CHAR(34)&amp;SUBSTITUTE(CriteriTecnici!$A1527,CHAR(34),"'")&amp;CHAR(34)&amp;", "&amp;CHAR(34)&amp;"lotId"&amp;CHAR(34)&amp;": "&amp;CHAR(34)&amp;SUBSTITUTE(CriteriTecnici!$C1527,CHAR(34),"'")&amp;CHAR(34)&amp;", "&amp;CHAR(34)&amp;"criterionId"&amp;CHAR(34)&amp;": "&amp;CHAR(34)&amp;SUBSTITUTE(CriteriTecnici!$D1527,CHAR(34),"'")&amp;CHAR(34)&amp;", "&amp;CHAR(34)&amp;"kind"&amp;CHAR(34)&amp;": "&amp;CHAR(34)&amp;SUBSTITUTE(CriteriTecnici!$F1527,CHAR(34),"'")&amp;CHAR(34)&amp;", "&amp;CHAR(34)&amp;"value"&amp;CHAR(34)&amp;": "&amp;SUBSTITUTE(TRIM(ROUND(IFERROR(CriteriTecnici!$N1527*1,IFERROR(NUMBERVALUE(CriteriTecnici!$N1527,".",","),IFERROR(NUMBERVALUE(CriteriTecnici!$N1527,",","."),0))),4)&amp;""),",",".")&amp;", "&amp;CHAR(34)&amp;"numerator"&amp;CHAR(34)&amp;": "&amp;SUBSTITUTE(TRIM(ROUND(IFERROR(CriteriTecnici!$K1527*1,IFERROR(NUMBERVALUE(CriteriTecnici!$K1527,".",","),IFERROR(NUMBERVALUE(CriteriTecnici!$K1527,",","."),0))),4)&amp;""),",",".")&amp;", "&amp;CHAR(34)&amp;"denominator"&amp;CHAR(34)&amp;": "&amp;SUBSTITUTE(TRIM(ROUND(IFERROR(CriteriTecnici!$L1527*1,IFERROR(NUMBERVALUE(CriteriTecnici!$L1527,".",","),IFERROR(NUMBERVALUE(CriteriTecnici!$L1527,",","."),0))),4)&amp;""),",",".")&amp;", "&amp;CHAR(34)&amp;"flag"&amp;CHAR(34)&amp;": "&amp;SUBSTITUTE(TRIM(ROUND(IFERROR(CriteriTecnici!$M1527*1,IFERROR(NUMBERVALUE(CriteriTecnici!$M1527,".",","),IFERROR(NUMBERVALUE(CriteriTecnici!$M1527,",","."),0))),4)&amp;""),",",".")&amp;", "&amp;CHAR(34)&amp;"rawScore"&amp;CHAR(34)&amp;": "&amp;SUBSTITUTE(TRIM(ROUND(IFERROR(CriteriTecnici!$O1527*1,IFERROR(NUMBERVALUE(CriteriTecnici!$O1527,".",","),IFERROR(NUMBERVALUE(CriteriTecnici!$O1527,",","."),0))),4)&amp;""),",",".")&amp;CHAR(125)&amp;IF(TRUE,",",""))</f>
        <v/>
      </c>
    </row>
    <row r="1629">
      <c r="A1629" s="82">
        <f>IF(CriteriTecnici!$A1528="","","    "&amp;CHAR(123)&amp;CHAR(34)&amp;"bidderId"&amp;CHAR(34)&amp;": "&amp;CHAR(34)&amp;SUBSTITUTE(CriteriTecnici!$A1528,CHAR(34),"'")&amp;CHAR(34)&amp;", "&amp;CHAR(34)&amp;"lotId"&amp;CHAR(34)&amp;": "&amp;CHAR(34)&amp;SUBSTITUTE(CriteriTecnici!$C1528,CHAR(34),"'")&amp;CHAR(34)&amp;", "&amp;CHAR(34)&amp;"criterionId"&amp;CHAR(34)&amp;": "&amp;CHAR(34)&amp;SUBSTITUTE(CriteriTecnici!$D1528,CHAR(34),"'")&amp;CHAR(34)&amp;", "&amp;CHAR(34)&amp;"kind"&amp;CHAR(34)&amp;": "&amp;CHAR(34)&amp;SUBSTITUTE(CriteriTecnici!$F1528,CHAR(34),"'")&amp;CHAR(34)&amp;", "&amp;CHAR(34)&amp;"value"&amp;CHAR(34)&amp;": "&amp;SUBSTITUTE(TRIM(ROUND(IFERROR(CriteriTecnici!$N1528*1,IFERROR(NUMBERVALUE(CriteriTecnici!$N1528,".",","),IFERROR(NUMBERVALUE(CriteriTecnici!$N1528,",","."),0))),4)&amp;""),",",".")&amp;", "&amp;CHAR(34)&amp;"numerator"&amp;CHAR(34)&amp;": "&amp;SUBSTITUTE(TRIM(ROUND(IFERROR(CriteriTecnici!$K1528*1,IFERROR(NUMBERVALUE(CriteriTecnici!$K1528,".",","),IFERROR(NUMBERVALUE(CriteriTecnici!$K1528,",","."),0))),4)&amp;""),",",".")&amp;", "&amp;CHAR(34)&amp;"denominator"&amp;CHAR(34)&amp;": "&amp;SUBSTITUTE(TRIM(ROUND(IFERROR(CriteriTecnici!$L1528*1,IFERROR(NUMBERVALUE(CriteriTecnici!$L1528,".",","),IFERROR(NUMBERVALUE(CriteriTecnici!$L1528,",","."),0))),4)&amp;""),",",".")&amp;", "&amp;CHAR(34)&amp;"flag"&amp;CHAR(34)&amp;": "&amp;SUBSTITUTE(TRIM(ROUND(IFERROR(CriteriTecnici!$M1528*1,IFERROR(NUMBERVALUE(CriteriTecnici!$M1528,".",","),IFERROR(NUMBERVALUE(CriteriTecnici!$M1528,",","."),0))),4)&amp;""),",",".")&amp;", "&amp;CHAR(34)&amp;"rawScore"&amp;CHAR(34)&amp;": "&amp;SUBSTITUTE(TRIM(ROUND(IFERROR(CriteriTecnici!$O1528*1,IFERROR(NUMBERVALUE(CriteriTecnici!$O1528,".",","),IFERROR(NUMBERVALUE(CriteriTecnici!$O1528,",","."),0))),4)&amp;""),",",".")&amp;CHAR(125)&amp;IF(TRUE,",",""))</f>
        <v/>
      </c>
    </row>
    <row r="1630">
      <c r="A1630" s="82">
        <f>IF(CriteriTecnici!$A1529="","","    "&amp;CHAR(123)&amp;CHAR(34)&amp;"bidderId"&amp;CHAR(34)&amp;": "&amp;CHAR(34)&amp;SUBSTITUTE(CriteriTecnici!$A1529,CHAR(34),"'")&amp;CHAR(34)&amp;", "&amp;CHAR(34)&amp;"lotId"&amp;CHAR(34)&amp;": "&amp;CHAR(34)&amp;SUBSTITUTE(CriteriTecnici!$C1529,CHAR(34),"'")&amp;CHAR(34)&amp;", "&amp;CHAR(34)&amp;"criterionId"&amp;CHAR(34)&amp;": "&amp;CHAR(34)&amp;SUBSTITUTE(CriteriTecnici!$D1529,CHAR(34),"'")&amp;CHAR(34)&amp;", "&amp;CHAR(34)&amp;"kind"&amp;CHAR(34)&amp;": "&amp;CHAR(34)&amp;SUBSTITUTE(CriteriTecnici!$F1529,CHAR(34),"'")&amp;CHAR(34)&amp;", "&amp;CHAR(34)&amp;"value"&amp;CHAR(34)&amp;": "&amp;SUBSTITUTE(TRIM(ROUND(IFERROR(CriteriTecnici!$N1529*1,IFERROR(NUMBERVALUE(CriteriTecnici!$N1529,".",","),IFERROR(NUMBERVALUE(CriteriTecnici!$N1529,",","."),0))),4)&amp;""),",",".")&amp;", "&amp;CHAR(34)&amp;"numerator"&amp;CHAR(34)&amp;": "&amp;SUBSTITUTE(TRIM(ROUND(IFERROR(CriteriTecnici!$K1529*1,IFERROR(NUMBERVALUE(CriteriTecnici!$K1529,".",","),IFERROR(NUMBERVALUE(CriteriTecnici!$K1529,",","."),0))),4)&amp;""),",",".")&amp;", "&amp;CHAR(34)&amp;"denominator"&amp;CHAR(34)&amp;": "&amp;SUBSTITUTE(TRIM(ROUND(IFERROR(CriteriTecnici!$L1529*1,IFERROR(NUMBERVALUE(CriteriTecnici!$L1529,".",","),IFERROR(NUMBERVALUE(CriteriTecnici!$L1529,",","."),0))),4)&amp;""),",",".")&amp;", "&amp;CHAR(34)&amp;"flag"&amp;CHAR(34)&amp;": "&amp;SUBSTITUTE(TRIM(ROUND(IFERROR(CriteriTecnici!$M1529*1,IFERROR(NUMBERVALUE(CriteriTecnici!$M1529,".",","),IFERROR(NUMBERVALUE(CriteriTecnici!$M1529,",","."),0))),4)&amp;""),",",".")&amp;", "&amp;CHAR(34)&amp;"rawScore"&amp;CHAR(34)&amp;": "&amp;SUBSTITUTE(TRIM(ROUND(IFERROR(CriteriTecnici!$O1529*1,IFERROR(NUMBERVALUE(CriteriTecnici!$O1529,".",","),IFERROR(NUMBERVALUE(CriteriTecnici!$O1529,",","."),0))),4)&amp;""),",",".")&amp;CHAR(125)&amp;IF(TRUE,",",""))</f>
        <v/>
      </c>
    </row>
    <row r="1631">
      <c r="A1631" s="82">
        <f>IF(CriteriTecnici!$A1530="","","    "&amp;CHAR(123)&amp;CHAR(34)&amp;"bidderId"&amp;CHAR(34)&amp;": "&amp;CHAR(34)&amp;SUBSTITUTE(CriteriTecnici!$A1530,CHAR(34),"'")&amp;CHAR(34)&amp;", "&amp;CHAR(34)&amp;"lotId"&amp;CHAR(34)&amp;": "&amp;CHAR(34)&amp;SUBSTITUTE(CriteriTecnici!$C1530,CHAR(34),"'")&amp;CHAR(34)&amp;", "&amp;CHAR(34)&amp;"criterionId"&amp;CHAR(34)&amp;": "&amp;CHAR(34)&amp;SUBSTITUTE(CriteriTecnici!$D1530,CHAR(34),"'")&amp;CHAR(34)&amp;", "&amp;CHAR(34)&amp;"kind"&amp;CHAR(34)&amp;": "&amp;CHAR(34)&amp;SUBSTITUTE(CriteriTecnici!$F1530,CHAR(34),"'")&amp;CHAR(34)&amp;", "&amp;CHAR(34)&amp;"value"&amp;CHAR(34)&amp;": "&amp;SUBSTITUTE(TRIM(ROUND(IFERROR(CriteriTecnici!$N1530*1,IFERROR(NUMBERVALUE(CriteriTecnici!$N1530,".",","),IFERROR(NUMBERVALUE(CriteriTecnici!$N1530,",","."),0))),4)&amp;""),",",".")&amp;", "&amp;CHAR(34)&amp;"numerator"&amp;CHAR(34)&amp;": "&amp;SUBSTITUTE(TRIM(ROUND(IFERROR(CriteriTecnici!$K1530*1,IFERROR(NUMBERVALUE(CriteriTecnici!$K1530,".",","),IFERROR(NUMBERVALUE(CriteriTecnici!$K1530,",","."),0))),4)&amp;""),",",".")&amp;", "&amp;CHAR(34)&amp;"denominator"&amp;CHAR(34)&amp;": "&amp;SUBSTITUTE(TRIM(ROUND(IFERROR(CriteriTecnici!$L1530*1,IFERROR(NUMBERVALUE(CriteriTecnici!$L1530,".",","),IFERROR(NUMBERVALUE(CriteriTecnici!$L1530,",","."),0))),4)&amp;""),",",".")&amp;", "&amp;CHAR(34)&amp;"flag"&amp;CHAR(34)&amp;": "&amp;SUBSTITUTE(TRIM(ROUND(IFERROR(CriteriTecnici!$M1530*1,IFERROR(NUMBERVALUE(CriteriTecnici!$M1530,".",","),IFERROR(NUMBERVALUE(CriteriTecnici!$M1530,",","."),0))),4)&amp;""),",",".")&amp;", "&amp;CHAR(34)&amp;"rawScore"&amp;CHAR(34)&amp;": "&amp;SUBSTITUTE(TRIM(ROUND(IFERROR(CriteriTecnici!$O1530*1,IFERROR(NUMBERVALUE(CriteriTecnici!$O1530,".",","),IFERROR(NUMBERVALUE(CriteriTecnici!$O1530,",","."),0))),4)&amp;""),",",".")&amp;CHAR(125)&amp;IF(TRUE,",",""))</f>
        <v/>
      </c>
    </row>
    <row r="1632">
      <c r="A1632" s="82">
        <f>IF(CriteriTecnici!$A1531="","","    "&amp;CHAR(123)&amp;CHAR(34)&amp;"bidderId"&amp;CHAR(34)&amp;": "&amp;CHAR(34)&amp;SUBSTITUTE(CriteriTecnici!$A1531,CHAR(34),"'")&amp;CHAR(34)&amp;", "&amp;CHAR(34)&amp;"lotId"&amp;CHAR(34)&amp;": "&amp;CHAR(34)&amp;SUBSTITUTE(CriteriTecnici!$C1531,CHAR(34),"'")&amp;CHAR(34)&amp;", "&amp;CHAR(34)&amp;"criterionId"&amp;CHAR(34)&amp;": "&amp;CHAR(34)&amp;SUBSTITUTE(CriteriTecnici!$D1531,CHAR(34),"'")&amp;CHAR(34)&amp;", "&amp;CHAR(34)&amp;"kind"&amp;CHAR(34)&amp;": "&amp;CHAR(34)&amp;SUBSTITUTE(CriteriTecnici!$F1531,CHAR(34),"'")&amp;CHAR(34)&amp;", "&amp;CHAR(34)&amp;"value"&amp;CHAR(34)&amp;": "&amp;SUBSTITUTE(TRIM(ROUND(IFERROR(CriteriTecnici!$N1531*1,IFERROR(NUMBERVALUE(CriteriTecnici!$N1531,".",","),IFERROR(NUMBERVALUE(CriteriTecnici!$N1531,",","."),0))),4)&amp;""),",",".")&amp;", "&amp;CHAR(34)&amp;"numerator"&amp;CHAR(34)&amp;": "&amp;SUBSTITUTE(TRIM(ROUND(IFERROR(CriteriTecnici!$K1531*1,IFERROR(NUMBERVALUE(CriteriTecnici!$K1531,".",","),IFERROR(NUMBERVALUE(CriteriTecnici!$K1531,",","."),0))),4)&amp;""),",",".")&amp;", "&amp;CHAR(34)&amp;"denominator"&amp;CHAR(34)&amp;": "&amp;SUBSTITUTE(TRIM(ROUND(IFERROR(CriteriTecnici!$L1531*1,IFERROR(NUMBERVALUE(CriteriTecnici!$L1531,".",","),IFERROR(NUMBERVALUE(CriteriTecnici!$L1531,",","."),0))),4)&amp;""),",",".")&amp;", "&amp;CHAR(34)&amp;"flag"&amp;CHAR(34)&amp;": "&amp;SUBSTITUTE(TRIM(ROUND(IFERROR(CriteriTecnici!$M1531*1,IFERROR(NUMBERVALUE(CriteriTecnici!$M1531,".",","),IFERROR(NUMBERVALUE(CriteriTecnici!$M1531,",","."),0))),4)&amp;""),",",".")&amp;", "&amp;CHAR(34)&amp;"rawScore"&amp;CHAR(34)&amp;": "&amp;SUBSTITUTE(TRIM(ROUND(IFERROR(CriteriTecnici!$O1531*1,IFERROR(NUMBERVALUE(CriteriTecnici!$O1531,".",","),IFERROR(NUMBERVALUE(CriteriTecnici!$O1531,",","."),0))),4)&amp;""),",",".")&amp;CHAR(125)&amp;IF(TRUE,",",""))</f>
        <v/>
      </c>
    </row>
    <row r="1633">
      <c r="A1633" s="82">
        <f>IF(CriteriTecnici!$A1532="","","    "&amp;CHAR(123)&amp;CHAR(34)&amp;"bidderId"&amp;CHAR(34)&amp;": "&amp;CHAR(34)&amp;SUBSTITUTE(CriteriTecnici!$A1532,CHAR(34),"'")&amp;CHAR(34)&amp;", "&amp;CHAR(34)&amp;"lotId"&amp;CHAR(34)&amp;": "&amp;CHAR(34)&amp;SUBSTITUTE(CriteriTecnici!$C1532,CHAR(34),"'")&amp;CHAR(34)&amp;", "&amp;CHAR(34)&amp;"criterionId"&amp;CHAR(34)&amp;": "&amp;CHAR(34)&amp;SUBSTITUTE(CriteriTecnici!$D1532,CHAR(34),"'")&amp;CHAR(34)&amp;", "&amp;CHAR(34)&amp;"kind"&amp;CHAR(34)&amp;": "&amp;CHAR(34)&amp;SUBSTITUTE(CriteriTecnici!$F1532,CHAR(34),"'")&amp;CHAR(34)&amp;", "&amp;CHAR(34)&amp;"value"&amp;CHAR(34)&amp;": "&amp;SUBSTITUTE(TRIM(ROUND(IFERROR(CriteriTecnici!$N1532*1,IFERROR(NUMBERVALUE(CriteriTecnici!$N1532,".",","),IFERROR(NUMBERVALUE(CriteriTecnici!$N1532,",","."),0))),4)&amp;""),",",".")&amp;", "&amp;CHAR(34)&amp;"numerator"&amp;CHAR(34)&amp;": "&amp;SUBSTITUTE(TRIM(ROUND(IFERROR(CriteriTecnici!$K1532*1,IFERROR(NUMBERVALUE(CriteriTecnici!$K1532,".",","),IFERROR(NUMBERVALUE(CriteriTecnici!$K1532,",","."),0))),4)&amp;""),",",".")&amp;", "&amp;CHAR(34)&amp;"denominator"&amp;CHAR(34)&amp;": "&amp;SUBSTITUTE(TRIM(ROUND(IFERROR(CriteriTecnici!$L1532*1,IFERROR(NUMBERVALUE(CriteriTecnici!$L1532,".",","),IFERROR(NUMBERVALUE(CriteriTecnici!$L1532,",","."),0))),4)&amp;""),",",".")&amp;", "&amp;CHAR(34)&amp;"flag"&amp;CHAR(34)&amp;": "&amp;SUBSTITUTE(TRIM(ROUND(IFERROR(CriteriTecnici!$M1532*1,IFERROR(NUMBERVALUE(CriteriTecnici!$M1532,".",","),IFERROR(NUMBERVALUE(CriteriTecnici!$M1532,",","."),0))),4)&amp;""),",",".")&amp;", "&amp;CHAR(34)&amp;"rawScore"&amp;CHAR(34)&amp;": "&amp;SUBSTITUTE(TRIM(ROUND(IFERROR(CriteriTecnici!$O1532*1,IFERROR(NUMBERVALUE(CriteriTecnici!$O1532,".",","),IFERROR(NUMBERVALUE(CriteriTecnici!$O1532,",","."),0))),4)&amp;""),",",".")&amp;CHAR(125)&amp;IF(TRUE,",",""))</f>
        <v/>
      </c>
    </row>
    <row r="1634">
      <c r="A1634" s="82">
        <f>IF(CriteriTecnici!$A1533="","","    "&amp;CHAR(123)&amp;CHAR(34)&amp;"bidderId"&amp;CHAR(34)&amp;": "&amp;CHAR(34)&amp;SUBSTITUTE(CriteriTecnici!$A1533,CHAR(34),"'")&amp;CHAR(34)&amp;", "&amp;CHAR(34)&amp;"lotId"&amp;CHAR(34)&amp;": "&amp;CHAR(34)&amp;SUBSTITUTE(CriteriTecnici!$C1533,CHAR(34),"'")&amp;CHAR(34)&amp;", "&amp;CHAR(34)&amp;"criterionId"&amp;CHAR(34)&amp;": "&amp;CHAR(34)&amp;SUBSTITUTE(CriteriTecnici!$D1533,CHAR(34),"'")&amp;CHAR(34)&amp;", "&amp;CHAR(34)&amp;"kind"&amp;CHAR(34)&amp;": "&amp;CHAR(34)&amp;SUBSTITUTE(CriteriTecnici!$F1533,CHAR(34),"'")&amp;CHAR(34)&amp;", "&amp;CHAR(34)&amp;"value"&amp;CHAR(34)&amp;": "&amp;SUBSTITUTE(TRIM(ROUND(IFERROR(CriteriTecnici!$N1533*1,IFERROR(NUMBERVALUE(CriteriTecnici!$N1533,".",","),IFERROR(NUMBERVALUE(CriteriTecnici!$N1533,",","."),0))),4)&amp;""),",",".")&amp;", "&amp;CHAR(34)&amp;"numerator"&amp;CHAR(34)&amp;": "&amp;SUBSTITUTE(TRIM(ROUND(IFERROR(CriteriTecnici!$K1533*1,IFERROR(NUMBERVALUE(CriteriTecnici!$K1533,".",","),IFERROR(NUMBERVALUE(CriteriTecnici!$K1533,",","."),0))),4)&amp;""),",",".")&amp;", "&amp;CHAR(34)&amp;"denominator"&amp;CHAR(34)&amp;": "&amp;SUBSTITUTE(TRIM(ROUND(IFERROR(CriteriTecnici!$L1533*1,IFERROR(NUMBERVALUE(CriteriTecnici!$L1533,".",","),IFERROR(NUMBERVALUE(CriteriTecnici!$L1533,",","."),0))),4)&amp;""),",",".")&amp;", "&amp;CHAR(34)&amp;"flag"&amp;CHAR(34)&amp;": "&amp;SUBSTITUTE(TRIM(ROUND(IFERROR(CriteriTecnici!$M1533*1,IFERROR(NUMBERVALUE(CriteriTecnici!$M1533,".",","),IFERROR(NUMBERVALUE(CriteriTecnici!$M1533,",","."),0))),4)&amp;""),",",".")&amp;", "&amp;CHAR(34)&amp;"rawScore"&amp;CHAR(34)&amp;": "&amp;SUBSTITUTE(TRIM(ROUND(IFERROR(CriteriTecnici!$O1533*1,IFERROR(NUMBERVALUE(CriteriTecnici!$O1533,".",","),IFERROR(NUMBERVALUE(CriteriTecnici!$O1533,",","."),0))),4)&amp;""),",",".")&amp;CHAR(125)&amp;IF(TRUE,",",""))</f>
        <v/>
      </c>
    </row>
    <row r="1635">
      <c r="A1635" s="82">
        <f>IF(CriteriTecnici!$A1534="","","    "&amp;CHAR(123)&amp;CHAR(34)&amp;"bidderId"&amp;CHAR(34)&amp;": "&amp;CHAR(34)&amp;SUBSTITUTE(CriteriTecnici!$A1534,CHAR(34),"'")&amp;CHAR(34)&amp;", "&amp;CHAR(34)&amp;"lotId"&amp;CHAR(34)&amp;": "&amp;CHAR(34)&amp;SUBSTITUTE(CriteriTecnici!$C1534,CHAR(34),"'")&amp;CHAR(34)&amp;", "&amp;CHAR(34)&amp;"criterionId"&amp;CHAR(34)&amp;": "&amp;CHAR(34)&amp;SUBSTITUTE(CriteriTecnici!$D1534,CHAR(34),"'")&amp;CHAR(34)&amp;", "&amp;CHAR(34)&amp;"kind"&amp;CHAR(34)&amp;": "&amp;CHAR(34)&amp;SUBSTITUTE(CriteriTecnici!$F1534,CHAR(34),"'")&amp;CHAR(34)&amp;", "&amp;CHAR(34)&amp;"value"&amp;CHAR(34)&amp;": "&amp;SUBSTITUTE(TRIM(ROUND(IFERROR(CriteriTecnici!$N1534*1,IFERROR(NUMBERVALUE(CriteriTecnici!$N1534,".",","),IFERROR(NUMBERVALUE(CriteriTecnici!$N1534,",","."),0))),4)&amp;""),",",".")&amp;", "&amp;CHAR(34)&amp;"numerator"&amp;CHAR(34)&amp;": "&amp;SUBSTITUTE(TRIM(ROUND(IFERROR(CriteriTecnici!$K1534*1,IFERROR(NUMBERVALUE(CriteriTecnici!$K1534,".",","),IFERROR(NUMBERVALUE(CriteriTecnici!$K1534,",","."),0))),4)&amp;""),",",".")&amp;", "&amp;CHAR(34)&amp;"denominator"&amp;CHAR(34)&amp;": "&amp;SUBSTITUTE(TRIM(ROUND(IFERROR(CriteriTecnici!$L1534*1,IFERROR(NUMBERVALUE(CriteriTecnici!$L1534,".",","),IFERROR(NUMBERVALUE(CriteriTecnici!$L1534,",","."),0))),4)&amp;""),",",".")&amp;", "&amp;CHAR(34)&amp;"flag"&amp;CHAR(34)&amp;": "&amp;SUBSTITUTE(TRIM(ROUND(IFERROR(CriteriTecnici!$M1534*1,IFERROR(NUMBERVALUE(CriteriTecnici!$M1534,".",","),IFERROR(NUMBERVALUE(CriteriTecnici!$M1534,",","."),0))),4)&amp;""),",",".")&amp;", "&amp;CHAR(34)&amp;"rawScore"&amp;CHAR(34)&amp;": "&amp;SUBSTITUTE(TRIM(ROUND(IFERROR(CriteriTecnici!$O1534*1,IFERROR(NUMBERVALUE(CriteriTecnici!$O1534,".",","),IFERROR(NUMBERVALUE(CriteriTecnici!$O1534,",","."),0))),4)&amp;""),",",".")&amp;CHAR(125)&amp;IF(TRUE,",",""))</f>
        <v/>
      </c>
    </row>
    <row r="1636">
      <c r="A1636" s="82">
        <f>IF(CriteriTecnici!$A1535="","","    "&amp;CHAR(123)&amp;CHAR(34)&amp;"bidderId"&amp;CHAR(34)&amp;": "&amp;CHAR(34)&amp;SUBSTITUTE(CriteriTecnici!$A1535,CHAR(34),"'")&amp;CHAR(34)&amp;", "&amp;CHAR(34)&amp;"lotId"&amp;CHAR(34)&amp;": "&amp;CHAR(34)&amp;SUBSTITUTE(CriteriTecnici!$C1535,CHAR(34),"'")&amp;CHAR(34)&amp;", "&amp;CHAR(34)&amp;"criterionId"&amp;CHAR(34)&amp;": "&amp;CHAR(34)&amp;SUBSTITUTE(CriteriTecnici!$D1535,CHAR(34),"'")&amp;CHAR(34)&amp;", "&amp;CHAR(34)&amp;"kind"&amp;CHAR(34)&amp;": "&amp;CHAR(34)&amp;SUBSTITUTE(CriteriTecnici!$F1535,CHAR(34),"'")&amp;CHAR(34)&amp;", "&amp;CHAR(34)&amp;"value"&amp;CHAR(34)&amp;": "&amp;SUBSTITUTE(TRIM(ROUND(IFERROR(CriteriTecnici!$N1535*1,IFERROR(NUMBERVALUE(CriteriTecnici!$N1535,".",","),IFERROR(NUMBERVALUE(CriteriTecnici!$N1535,",","."),0))),4)&amp;""),",",".")&amp;", "&amp;CHAR(34)&amp;"numerator"&amp;CHAR(34)&amp;": "&amp;SUBSTITUTE(TRIM(ROUND(IFERROR(CriteriTecnici!$K1535*1,IFERROR(NUMBERVALUE(CriteriTecnici!$K1535,".",","),IFERROR(NUMBERVALUE(CriteriTecnici!$K1535,",","."),0))),4)&amp;""),",",".")&amp;", "&amp;CHAR(34)&amp;"denominator"&amp;CHAR(34)&amp;": "&amp;SUBSTITUTE(TRIM(ROUND(IFERROR(CriteriTecnici!$L1535*1,IFERROR(NUMBERVALUE(CriteriTecnici!$L1535,".",","),IFERROR(NUMBERVALUE(CriteriTecnici!$L1535,",","."),0))),4)&amp;""),",",".")&amp;", "&amp;CHAR(34)&amp;"flag"&amp;CHAR(34)&amp;": "&amp;SUBSTITUTE(TRIM(ROUND(IFERROR(CriteriTecnici!$M1535*1,IFERROR(NUMBERVALUE(CriteriTecnici!$M1535,".",","),IFERROR(NUMBERVALUE(CriteriTecnici!$M1535,",","."),0))),4)&amp;""),",",".")&amp;", "&amp;CHAR(34)&amp;"rawScore"&amp;CHAR(34)&amp;": "&amp;SUBSTITUTE(TRIM(ROUND(IFERROR(CriteriTecnici!$O1535*1,IFERROR(NUMBERVALUE(CriteriTecnici!$O1535,".",","),IFERROR(NUMBERVALUE(CriteriTecnici!$O1535,",","."),0))),4)&amp;""),",",".")&amp;CHAR(125)&amp;IF(TRUE,",",""))</f>
        <v/>
      </c>
    </row>
    <row r="1637">
      <c r="A1637" s="82">
        <f>IF(CriteriTecnici!$A1536="","","    "&amp;CHAR(123)&amp;CHAR(34)&amp;"bidderId"&amp;CHAR(34)&amp;": "&amp;CHAR(34)&amp;SUBSTITUTE(CriteriTecnici!$A1536,CHAR(34),"'")&amp;CHAR(34)&amp;", "&amp;CHAR(34)&amp;"lotId"&amp;CHAR(34)&amp;": "&amp;CHAR(34)&amp;SUBSTITUTE(CriteriTecnici!$C1536,CHAR(34),"'")&amp;CHAR(34)&amp;", "&amp;CHAR(34)&amp;"criterionId"&amp;CHAR(34)&amp;": "&amp;CHAR(34)&amp;SUBSTITUTE(CriteriTecnici!$D1536,CHAR(34),"'")&amp;CHAR(34)&amp;", "&amp;CHAR(34)&amp;"kind"&amp;CHAR(34)&amp;": "&amp;CHAR(34)&amp;SUBSTITUTE(CriteriTecnici!$F1536,CHAR(34),"'")&amp;CHAR(34)&amp;", "&amp;CHAR(34)&amp;"value"&amp;CHAR(34)&amp;": "&amp;SUBSTITUTE(TRIM(ROUND(IFERROR(CriteriTecnici!$N1536*1,IFERROR(NUMBERVALUE(CriteriTecnici!$N1536,".",","),IFERROR(NUMBERVALUE(CriteriTecnici!$N1536,",","."),0))),4)&amp;""),",",".")&amp;", "&amp;CHAR(34)&amp;"numerator"&amp;CHAR(34)&amp;": "&amp;SUBSTITUTE(TRIM(ROUND(IFERROR(CriteriTecnici!$K1536*1,IFERROR(NUMBERVALUE(CriteriTecnici!$K1536,".",","),IFERROR(NUMBERVALUE(CriteriTecnici!$K1536,",","."),0))),4)&amp;""),",",".")&amp;", "&amp;CHAR(34)&amp;"denominator"&amp;CHAR(34)&amp;": "&amp;SUBSTITUTE(TRIM(ROUND(IFERROR(CriteriTecnici!$L1536*1,IFERROR(NUMBERVALUE(CriteriTecnici!$L1536,".",","),IFERROR(NUMBERVALUE(CriteriTecnici!$L1536,",","."),0))),4)&amp;""),",",".")&amp;", "&amp;CHAR(34)&amp;"flag"&amp;CHAR(34)&amp;": "&amp;SUBSTITUTE(TRIM(ROUND(IFERROR(CriteriTecnici!$M1536*1,IFERROR(NUMBERVALUE(CriteriTecnici!$M1536,".",","),IFERROR(NUMBERVALUE(CriteriTecnici!$M1536,",","."),0))),4)&amp;""),",",".")&amp;", "&amp;CHAR(34)&amp;"rawScore"&amp;CHAR(34)&amp;": "&amp;SUBSTITUTE(TRIM(ROUND(IFERROR(CriteriTecnici!$O1536*1,IFERROR(NUMBERVALUE(CriteriTecnici!$O1536,".",","),IFERROR(NUMBERVALUE(CriteriTecnici!$O1536,",","."),0))),4)&amp;""),",",".")&amp;CHAR(125)&amp;IF(TRUE,",",""))</f>
        <v/>
      </c>
    </row>
    <row r="1638">
      <c r="A1638" s="82">
        <f>IF(CriteriTecnici!$A1537="","","    "&amp;CHAR(123)&amp;CHAR(34)&amp;"bidderId"&amp;CHAR(34)&amp;": "&amp;CHAR(34)&amp;SUBSTITUTE(CriteriTecnici!$A1537,CHAR(34),"'")&amp;CHAR(34)&amp;", "&amp;CHAR(34)&amp;"lotId"&amp;CHAR(34)&amp;": "&amp;CHAR(34)&amp;SUBSTITUTE(CriteriTecnici!$C1537,CHAR(34),"'")&amp;CHAR(34)&amp;", "&amp;CHAR(34)&amp;"criterionId"&amp;CHAR(34)&amp;": "&amp;CHAR(34)&amp;SUBSTITUTE(CriteriTecnici!$D1537,CHAR(34),"'")&amp;CHAR(34)&amp;", "&amp;CHAR(34)&amp;"kind"&amp;CHAR(34)&amp;": "&amp;CHAR(34)&amp;SUBSTITUTE(CriteriTecnici!$F1537,CHAR(34),"'")&amp;CHAR(34)&amp;", "&amp;CHAR(34)&amp;"value"&amp;CHAR(34)&amp;": "&amp;SUBSTITUTE(TRIM(ROUND(IFERROR(CriteriTecnici!$N1537*1,IFERROR(NUMBERVALUE(CriteriTecnici!$N1537,".",","),IFERROR(NUMBERVALUE(CriteriTecnici!$N1537,",","."),0))),4)&amp;""),",",".")&amp;", "&amp;CHAR(34)&amp;"numerator"&amp;CHAR(34)&amp;": "&amp;SUBSTITUTE(TRIM(ROUND(IFERROR(CriteriTecnici!$K1537*1,IFERROR(NUMBERVALUE(CriteriTecnici!$K1537,".",","),IFERROR(NUMBERVALUE(CriteriTecnici!$K1537,",","."),0))),4)&amp;""),",",".")&amp;", "&amp;CHAR(34)&amp;"denominator"&amp;CHAR(34)&amp;": "&amp;SUBSTITUTE(TRIM(ROUND(IFERROR(CriteriTecnici!$L1537*1,IFERROR(NUMBERVALUE(CriteriTecnici!$L1537,".",","),IFERROR(NUMBERVALUE(CriteriTecnici!$L1537,",","."),0))),4)&amp;""),",",".")&amp;", "&amp;CHAR(34)&amp;"flag"&amp;CHAR(34)&amp;": "&amp;SUBSTITUTE(TRIM(ROUND(IFERROR(CriteriTecnici!$M1537*1,IFERROR(NUMBERVALUE(CriteriTecnici!$M1537,".",","),IFERROR(NUMBERVALUE(CriteriTecnici!$M1537,",","."),0))),4)&amp;""),",",".")&amp;", "&amp;CHAR(34)&amp;"rawScore"&amp;CHAR(34)&amp;": "&amp;SUBSTITUTE(TRIM(ROUND(IFERROR(CriteriTecnici!$O1537*1,IFERROR(NUMBERVALUE(CriteriTecnici!$O1537,".",","),IFERROR(NUMBERVALUE(CriteriTecnici!$O1537,",","."),0))),4)&amp;""),",",".")&amp;CHAR(125)&amp;IF(TRUE,",",""))</f>
        <v/>
      </c>
    </row>
    <row r="1639">
      <c r="A1639" s="82">
        <f>IF(CriteriTecnici!$A1538="","","    "&amp;CHAR(123)&amp;CHAR(34)&amp;"bidderId"&amp;CHAR(34)&amp;": "&amp;CHAR(34)&amp;SUBSTITUTE(CriteriTecnici!$A1538,CHAR(34),"'")&amp;CHAR(34)&amp;", "&amp;CHAR(34)&amp;"lotId"&amp;CHAR(34)&amp;": "&amp;CHAR(34)&amp;SUBSTITUTE(CriteriTecnici!$C1538,CHAR(34),"'")&amp;CHAR(34)&amp;", "&amp;CHAR(34)&amp;"criterionId"&amp;CHAR(34)&amp;": "&amp;CHAR(34)&amp;SUBSTITUTE(CriteriTecnici!$D1538,CHAR(34),"'")&amp;CHAR(34)&amp;", "&amp;CHAR(34)&amp;"kind"&amp;CHAR(34)&amp;": "&amp;CHAR(34)&amp;SUBSTITUTE(CriteriTecnici!$F1538,CHAR(34),"'")&amp;CHAR(34)&amp;", "&amp;CHAR(34)&amp;"value"&amp;CHAR(34)&amp;": "&amp;SUBSTITUTE(TRIM(ROUND(IFERROR(CriteriTecnici!$N1538*1,IFERROR(NUMBERVALUE(CriteriTecnici!$N1538,".",","),IFERROR(NUMBERVALUE(CriteriTecnici!$N1538,",","."),0))),4)&amp;""),",",".")&amp;", "&amp;CHAR(34)&amp;"numerator"&amp;CHAR(34)&amp;": "&amp;SUBSTITUTE(TRIM(ROUND(IFERROR(CriteriTecnici!$K1538*1,IFERROR(NUMBERVALUE(CriteriTecnici!$K1538,".",","),IFERROR(NUMBERVALUE(CriteriTecnici!$K1538,",","."),0))),4)&amp;""),",",".")&amp;", "&amp;CHAR(34)&amp;"denominator"&amp;CHAR(34)&amp;": "&amp;SUBSTITUTE(TRIM(ROUND(IFERROR(CriteriTecnici!$L1538*1,IFERROR(NUMBERVALUE(CriteriTecnici!$L1538,".",","),IFERROR(NUMBERVALUE(CriteriTecnici!$L1538,",","."),0))),4)&amp;""),",",".")&amp;", "&amp;CHAR(34)&amp;"flag"&amp;CHAR(34)&amp;": "&amp;SUBSTITUTE(TRIM(ROUND(IFERROR(CriteriTecnici!$M1538*1,IFERROR(NUMBERVALUE(CriteriTecnici!$M1538,".",","),IFERROR(NUMBERVALUE(CriteriTecnici!$M1538,",","."),0))),4)&amp;""),",",".")&amp;", "&amp;CHAR(34)&amp;"rawScore"&amp;CHAR(34)&amp;": "&amp;SUBSTITUTE(TRIM(ROUND(IFERROR(CriteriTecnici!$O1538*1,IFERROR(NUMBERVALUE(CriteriTecnici!$O1538,".",","),IFERROR(NUMBERVALUE(CriteriTecnici!$O1538,",","."),0))),4)&amp;""),",",".")&amp;CHAR(125)&amp;IF(TRUE,",",""))</f>
        <v/>
      </c>
    </row>
    <row r="1640">
      <c r="A1640" s="82">
        <f>IF(CriteriTecnici!$A1539="","","    "&amp;CHAR(123)&amp;CHAR(34)&amp;"bidderId"&amp;CHAR(34)&amp;": "&amp;CHAR(34)&amp;SUBSTITUTE(CriteriTecnici!$A1539,CHAR(34),"'")&amp;CHAR(34)&amp;", "&amp;CHAR(34)&amp;"lotId"&amp;CHAR(34)&amp;": "&amp;CHAR(34)&amp;SUBSTITUTE(CriteriTecnici!$C1539,CHAR(34),"'")&amp;CHAR(34)&amp;", "&amp;CHAR(34)&amp;"criterionId"&amp;CHAR(34)&amp;": "&amp;CHAR(34)&amp;SUBSTITUTE(CriteriTecnici!$D1539,CHAR(34),"'")&amp;CHAR(34)&amp;", "&amp;CHAR(34)&amp;"kind"&amp;CHAR(34)&amp;": "&amp;CHAR(34)&amp;SUBSTITUTE(CriteriTecnici!$F1539,CHAR(34),"'")&amp;CHAR(34)&amp;", "&amp;CHAR(34)&amp;"value"&amp;CHAR(34)&amp;": "&amp;SUBSTITUTE(TRIM(ROUND(IFERROR(CriteriTecnici!$N1539*1,IFERROR(NUMBERVALUE(CriteriTecnici!$N1539,".",","),IFERROR(NUMBERVALUE(CriteriTecnici!$N1539,",","."),0))),4)&amp;""),",",".")&amp;", "&amp;CHAR(34)&amp;"numerator"&amp;CHAR(34)&amp;": "&amp;SUBSTITUTE(TRIM(ROUND(IFERROR(CriteriTecnici!$K1539*1,IFERROR(NUMBERVALUE(CriteriTecnici!$K1539,".",","),IFERROR(NUMBERVALUE(CriteriTecnici!$K1539,",","."),0))),4)&amp;""),",",".")&amp;", "&amp;CHAR(34)&amp;"denominator"&amp;CHAR(34)&amp;": "&amp;SUBSTITUTE(TRIM(ROUND(IFERROR(CriteriTecnici!$L1539*1,IFERROR(NUMBERVALUE(CriteriTecnici!$L1539,".",","),IFERROR(NUMBERVALUE(CriteriTecnici!$L1539,",","."),0))),4)&amp;""),",",".")&amp;", "&amp;CHAR(34)&amp;"flag"&amp;CHAR(34)&amp;": "&amp;SUBSTITUTE(TRIM(ROUND(IFERROR(CriteriTecnici!$M1539*1,IFERROR(NUMBERVALUE(CriteriTecnici!$M1539,".",","),IFERROR(NUMBERVALUE(CriteriTecnici!$M1539,",","."),0))),4)&amp;""),",",".")&amp;", "&amp;CHAR(34)&amp;"rawScore"&amp;CHAR(34)&amp;": "&amp;SUBSTITUTE(TRIM(ROUND(IFERROR(CriteriTecnici!$O1539*1,IFERROR(NUMBERVALUE(CriteriTecnici!$O1539,".",","),IFERROR(NUMBERVALUE(CriteriTecnici!$O1539,",","."),0))),4)&amp;""),",",".")&amp;CHAR(125)&amp;IF(TRUE,",",""))</f>
        <v/>
      </c>
    </row>
    <row r="1641">
      <c r="A1641" s="82">
        <f>IF(CriteriTecnici!$A1540="","","    "&amp;CHAR(123)&amp;CHAR(34)&amp;"bidderId"&amp;CHAR(34)&amp;": "&amp;CHAR(34)&amp;SUBSTITUTE(CriteriTecnici!$A1540,CHAR(34),"'")&amp;CHAR(34)&amp;", "&amp;CHAR(34)&amp;"lotId"&amp;CHAR(34)&amp;": "&amp;CHAR(34)&amp;SUBSTITUTE(CriteriTecnici!$C1540,CHAR(34),"'")&amp;CHAR(34)&amp;", "&amp;CHAR(34)&amp;"criterionId"&amp;CHAR(34)&amp;": "&amp;CHAR(34)&amp;SUBSTITUTE(CriteriTecnici!$D1540,CHAR(34),"'")&amp;CHAR(34)&amp;", "&amp;CHAR(34)&amp;"kind"&amp;CHAR(34)&amp;": "&amp;CHAR(34)&amp;SUBSTITUTE(CriteriTecnici!$F1540,CHAR(34),"'")&amp;CHAR(34)&amp;", "&amp;CHAR(34)&amp;"value"&amp;CHAR(34)&amp;": "&amp;SUBSTITUTE(TRIM(ROUND(IFERROR(CriteriTecnici!$N1540*1,IFERROR(NUMBERVALUE(CriteriTecnici!$N1540,".",","),IFERROR(NUMBERVALUE(CriteriTecnici!$N1540,",","."),0))),4)&amp;""),",",".")&amp;", "&amp;CHAR(34)&amp;"numerator"&amp;CHAR(34)&amp;": "&amp;SUBSTITUTE(TRIM(ROUND(IFERROR(CriteriTecnici!$K1540*1,IFERROR(NUMBERVALUE(CriteriTecnici!$K1540,".",","),IFERROR(NUMBERVALUE(CriteriTecnici!$K1540,",","."),0))),4)&amp;""),",",".")&amp;", "&amp;CHAR(34)&amp;"denominator"&amp;CHAR(34)&amp;": "&amp;SUBSTITUTE(TRIM(ROUND(IFERROR(CriteriTecnici!$L1540*1,IFERROR(NUMBERVALUE(CriteriTecnici!$L1540,".",","),IFERROR(NUMBERVALUE(CriteriTecnici!$L1540,",","."),0))),4)&amp;""),",",".")&amp;", "&amp;CHAR(34)&amp;"flag"&amp;CHAR(34)&amp;": "&amp;SUBSTITUTE(TRIM(ROUND(IFERROR(CriteriTecnici!$M1540*1,IFERROR(NUMBERVALUE(CriteriTecnici!$M1540,".",","),IFERROR(NUMBERVALUE(CriteriTecnici!$M1540,",","."),0))),4)&amp;""),",",".")&amp;", "&amp;CHAR(34)&amp;"rawScore"&amp;CHAR(34)&amp;": "&amp;SUBSTITUTE(TRIM(ROUND(IFERROR(CriteriTecnici!$O1540*1,IFERROR(NUMBERVALUE(CriteriTecnici!$O1540,".",","),IFERROR(NUMBERVALUE(CriteriTecnici!$O1540,",","."),0))),4)&amp;""),",",".")&amp;CHAR(125)&amp;IF(TRUE,",",""))</f>
        <v/>
      </c>
    </row>
    <row r="1642">
      <c r="A1642" s="82">
        <f>IF(CriteriTecnici!$A1541="","","    "&amp;CHAR(123)&amp;CHAR(34)&amp;"bidderId"&amp;CHAR(34)&amp;": "&amp;CHAR(34)&amp;SUBSTITUTE(CriteriTecnici!$A1541,CHAR(34),"'")&amp;CHAR(34)&amp;", "&amp;CHAR(34)&amp;"lotId"&amp;CHAR(34)&amp;": "&amp;CHAR(34)&amp;SUBSTITUTE(CriteriTecnici!$C1541,CHAR(34),"'")&amp;CHAR(34)&amp;", "&amp;CHAR(34)&amp;"criterionId"&amp;CHAR(34)&amp;": "&amp;CHAR(34)&amp;SUBSTITUTE(CriteriTecnici!$D1541,CHAR(34),"'")&amp;CHAR(34)&amp;", "&amp;CHAR(34)&amp;"kind"&amp;CHAR(34)&amp;": "&amp;CHAR(34)&amp;SUBSTITUTE(CriteriTecnici!$F1541,CHAR(34),"'")&amp;CHAR(34)&amp;", "&amp;CHAR(34)&amp;"value"&amp;CHAR(34)&amp;": "&amp;SUBSTITUTE(TRIM(ROUND(IFERROR(CriteriTecnici!$N1541*1,IFERROR(NUMBERVALUE(CriteriTecnici!$N1541,".",","),IFERROR(NUMBERVALUE(CriteriTecnici!$N1541,",","."),0))),4)&amp;""),",",".")&amp;", "&amp;CHAR(34)&amp;"numerator"&amp;CHAR(34)&amp;": "&amp;SUBSTITUTE(TRIM(ROUND(IFERROR(CriteriTecnici!$K1541*1,IFERROR(NUMBERVALUE(CriteriTecnici!$K1541,".",","),IFERROR(NUMBERVALUE(CriteriTecnici!$K1541,",","."),0))),4)&amp;""),",",".")&amp;", "&amp;CHAR(34)&amp;"denominator"&amp;CHAR(34)&amp;": "&amp;SUBSTITUTE(TRIM(ROUND(IFERROR(CriteriTecnici!$L1541*1,IFERROR(NUMBERVALUE(CriteriTecnici!$L1541,".",","),IFERROR(NUMBERVALUE(CriteriTecnici!$L1541,",","."),0))),4)&amp;""),",",".")&amp;", "&amp;CHAR(34)&amp;"flag"&amp;CHAR(34)&amp;": "&amp;SUBSTITUTE(TRIM(ROUND(IFERROR(CriteriTecnici!$M1541*1,IFERROR(NUMBERVALUE(CriteriTecnici!$M1541,".",","),IFERROR(NUMBERVALUE(CriteriTecnici!$M1541,",","."),0))),4)&amp;""),",",".")&amp;", "&amp;CHAR(34)&amp;"rawScore"&amp;CHAR(34)&amp;": "&amp;SUBSTITUTE(TRIM(ROUND(IFERROR(CriteriTecnici!$O1541*1,IFERROR(NUMBERVALUE(CriteriTecnici!$O1541,".",","),IFERROR(NUMBERVALUE(CriteriTecnici!$O1541,",","."),0))),4)&amp;""),",",".")&amp;CHAR(125)&amp;IF(TRUE,",",""))</f>
        <v/>
      </c>
    </row>
    <row r="1643">
      <c r="A1643" s="82">
        <f>IF(CriteriTecnici!$A1542="","","    "&amp;CHAR(123)&amp;CHAR(34)&amp;"bidderId"&amp;CHAR(34)&amp;": "&amp;CHAR(34)&amp;SUBSTITUTE(CriteriTecnici!$A1542,CHAR(34),"'")&amp;CHAR(34)&amp;", "&amp;CHAR(34)&amp;"lotId"&amp;CHAR(34)&amp;": "&amp;CHAR(34)&amp;SUBSTITUTE(CriteriTecnici!$C1542,CHAR(34),"'")&amp;CHAR(34)&amp;", "&amp;CHAR(34)&amp;"criterionId"&amp;CHAR(34)&amp;": "&amp;CHAR(34)&amp;SUBSTITUTE(CriteriTecnici!$D1542,CHAR(34),"'")&amp;CHAR(34)&amp;", "&amp;CHAR(34)&amp;"kind"&amp;CHAR(34)&amp;": "&amp;CHAR(34)&amp;SUBSTITUTE(CriteriTecnici!$F1542,CHAR(34),"'")&amp;CHAR(34)&amp;", "&amp;CHAR(34)&amp;"value"&amp;CHAR(34)&amp;": "&amp;SUBSTITUTE(TRIM(ROUND(IFERROR(CriteriTecnici!$N1542*1,IFERROR(NUMBERVALUE(CriteriTecnici!$N1542,".",","),IFERROR(NUMBERVALUE(CriteriTecnici!$N1542,",","."),0))),4)&amp;""),",",".")&amp;", "&amp;CHAR(34)&amp;"numerator"&amp;CHAR(34)&amp;": "&amp;SUBSTITUTE(TRIM(ROUND(IFERROR(CriteriTecnici!$K1542*1,IFERROR(NUMBERVALUE(CriteriTecnici!$K1542,".",","),IFERROR(NUMBERVALUE(CriteriTecnici!$K1542,",","."),0))),4)&amp;""),",",".")&amp;", "&amp;CHAR(34)&amp;"denominator"&amp;CHAR(34)&amp;": "&amp;SUBSTITUTE(TRIM(ROUND(IFERROR(CriteriTecnici!$L1542*1,IFERROR(NUMBERVALUE(CriteriTecnici!$L1542,".",","),IFERROR(NUMBERVALUE(CriteriTecnici!$L1542,",","."),0))),4)&amp;""),",",".")&amp;", "&amp;CHAR(34)&amp;"flag"&amp;CHAR(34)&amp;": "&amp;SUBSTITUTE(TRIM(ROUND(IFERROR(CriteriTecnici!$M1542*1,IFERROR(NUMBERVALUE(CriteriTecnici!$M1542,".",","),IFERROR(NUMBERVALUE(CriteriTecnici!$M1542,",","."),0))),4)&amp;""),",",".")&amp;", "&amp;CHAR(34)&amp;"rawScore"&amp;CHAR(34)&amp;": "&amp;SUBSTITUTE(TRIM(ROUND(IFERROR(CriteriTecnici!$O1542*1,IFERROR(NUMBERVALUE(CriteriTecnici!$O1542,".",","),IFERROR(NUMBERVALUE(CriteriTecnici!$O1542,",","."),0))),4)&amp;""),",",".")&amp;CHAR(125)&amp;IF(TRUE,",",""))</f>
        <v/>
      </c>
    </row>
    <row r="1644">
      <c r="A1644" s="82">
        <f>IF(CriteriTecnici!$A1543="","","    "&amp;CHAR(123)&amp;CHAR(34)&amp;"bidderId"&amp;CHAR(34)&amp;": "&amp;CHAR(34)&amp;SUBSTITUTE(CriteriTecnici!$A1543,CHAR(34),"'")&amp;CHAR(34)&amp;", "&amp;CHAR(34)&amp;"lotId"&amp;CHAR(34)&amp;": "&amp;CHAR(34)&amp;SUBSTITUTE(CriteriTecnici!$C1543,CHAR(34),"'")&amp;CHAR(34)&amp;", "&amp;CHAR(34)&amp;"criterionId"&amp;CHAR(34)&amp;": "&amp;CHAR(34)&amp;SUBSTITUTE(CriteriTecnici!$D1543,CHAR(34),"'")&amp;CHAR(34)&amp;", "&amp;CHAR(34)&amp;"kind"&amp;CHAR(34)&amp;": "&amp;CHAR(34)&amp;SUBSTITUTE(CriteriTecnici!$F1543,CHAR(34),"'")&amp;CHAR(34)&amp;", "&amp;CHAR(34)&amp;"value"&amp;CHAR(34)&amp;": "&amp;SUBSTITUTE(TRIM(ROUND(IFERROR(CriteriTecnici!$N1543*1,IFERROR(NUMBERVALUE(CriteriTecnici!$N1543,".",","),IFERROR(NUMBERVALUE(CriteriTecnici!$N1543,",","."),0))),4)&amp;""),",",".")&amp;", "&amp;CHAR(34)&amp;"numerator"&amp;CHAR(34)&amp;": "&amp;SUBSTITUTE(TRIM(ROUND(IFERROR(CriteriTecnici!$K1543*1,IFERROR(NUMBERVALUE(CriteriTecnici!$K1543,".",","),IFERROR(NUMBERVALUE(CriteriTecnici!$K1543,",","."),0))),4)&amp;""),",",".")&amp;", "&amp;CHAR(34)&amp;"denominator"&amp;CHAR(34)&amp;": "&amp;SUBSTITUTE(TRIM(ROUND(IFERROR(CriteriTecnici!$L1543*1,IFERROR(NUMBERVALUE(CriteriTecnici!$L1543,".",","),IFERROR(NUMBERVALUE(CriteriTecnici!$L1543,",","."),0))),4)&amp;""),",",".")&amp;", "&amp;CHAR(34)&amp;"flag"&amp;CHAR(34)&amp;": "&amp;SUBSTITUTE(TRIM(ROUND(IFERROR(CriteriTecnici!$M1543*1,IFERROR(NUMBERVALUE(CriteriTecnici!$M1543,".",","),IFERROR(NUMBERVALUE(CriteriTecnici!$M1543,",","."),0))),4)&amp;""),",",".")&amp;", "&amp;CHAR(34)&amp;"rawScore"&amp;CHAR(34)&amp;": "&amp;SUBSTITUTE(TRIM(ROUND(IFERROR(CriteriTecnici!$O1543*1,IFERROR(NUMBERVALUE(CriteriTecnici!$O1543,".",","),IFERROR(NUMBERVALUE(CriteriTecnici!$O1543,",","."),0))),4)&amp;""),",",".")&amp;CHAR(125)&amp;IF(TRUE,",",""))</f>
        <v/>
      </c>
    </row>
    <row r="1645">
      <c r="A1645" s="82">
        <f>IF(CriteriTecnici!$A1544="","","    "&amp;CHAR(123)&amp;CHAR(34)&amp;"bidderId"&amp;CHAR(34)&amp;": "&amp;CHAR(34)&amp;SUBSTITUTE(CriteriTecnici!$A1544,CHAR(34),"'")&amp;CHAR(34)&amp;", "&amp;CHAR(34)&amp;"lotId"&amp;CHAR(34)&amp;": "&amp;CHAR(34)&amp;SUBSTITUTE(CriteriTecnici!$C1544,CHAR(34),"'")&amp;CHAR(34)&amp;", "&amp;CHAR(34)&amp;"criterionId"&amp;CHAR(34)&amp;": "&amp;CHAR(34)&amp;SUBSTITUTE(CriteriTecnici!$D1544,CHAR(34),"'")&amp;CHAR(34)&amp;", "&amp;CHAR(34)&amp;"kind"&amp;CHAR(34)&amp;": "&amp;CHAR(34)&amp;SUBSTITUTE(CriteriTecnici!$F1544,CHAR(34),"'")&amp;CHAR(34)&amp;", "&amp;CHAR(34)&amp;"value"&amp;CHAR(34)&amp;": "&amp;SUBSTITUTE(TRIM(ROUND(IFERROR(CriteriTecnici!$N1544*1,IFERROR(NUMBERVALUE(CriteriTecnici!$N1544,".",","),IFERROR(NUMBERVALUE(CriteriTecnici!$N1544,",","."),0))),4)&amp;""),",",".")&amp;", "&amp;CHAR(34)&amp;"numerator"&amp;CHAR(34)&amp;": "&amp;SUBSTITUTE(TRIM(ROUND(IFERROR(CriteriTecnici!$K1544*1,IFERROR(NUMBERVALUE(CriteriTecnici!$K1544,".",","),IFERROR(NUMBERVALUE(CriteriTecnici!$K1544,",","."),0))),4)&amp;""),",",".")&amp;", "&amp;CHAR(34)&amp;"denominator"&amp;CHAR(34)&amp;": "&amp;SUBSTITUTE(TRIM(ROUND(IFERROR(CriteriTecnici!$L1544*1,IFERROR(NUMBERVALUE(CriteriTecnici!$L1544,".",","),IFERROR(NUMBERVALUE(CriteriTecnici!$L1544,",","."),0))),4)&amp;""),",",".")&amp;", "&amp;CHAR(34)&amp;"flag"&amp;CHAR(34)&amp;": "&amp;SUBSTITUTE(TRIM(ROUND(IFERROR(CriteriTecnici!$M1544*1,IFERROR(NUMBERVALUE(CriteriTecnici!$M1544,".",","),IFERROR(NUMBERVALUE(CriteriTecnici!$M1544,",","."),0))),4)&amp;""),",",".")&amp;", "&amp;CHAR(34)&amp;"rawScore"&amp;CHAR(34)&amp;": "&amp;SUBSTITUTE(TRIM(ROUND(IFERROR(CriteriTecnici!$O1544*1,IFERROR(NUMBERVALUE(CriteriTecnici!$O1544,".",","),IFERROR(NUMBERVALUE(CriteriTecnici!$O1544,",","."),0))),4)&amp;""),",",".")&amp;CHAR(125)&amp;IF(TRUE,",",""))</f>
        <v/>
      </c>
    </row>
    <row r="1646">
      <c r="A1646" s="82">
        <f>IF(CriteriTecnici!$A1545="","","    "&amp;CHAR(123)&amp;CHAR(34)&amp;"bidderId"&amp;CHAR(34)&amp;": "&amp;CHAR(34)&amp;SUBSTITUTE(CriteriTecnici!$A1545,CHAR(34),"'")&amp;CHAR(34)&amp;", "&amp;CHAR(34)&amp;"lotId"&amp;CHAR(34)&amp;": "&amp;CHAR(34)&amp;SUBSTITUTE(CriteriTecnici!$C1545,CHAR(34),"'")&amp;CHAR(34)&amp;", "&amp;CHAR(34)&amp;"criterionId"&amp;CHAR(34)&amp;": "&amp;CHAR(34)&amp;SUBSTITUTE(CriteriTecnici!$D1545,CHAR(34),"'")&amp;CHAR(34)&amp;", "&amp;CHAR(34)&amp;"kind"&amp;CHAR(34)&amp;": "&amp;CHAR(34)&amp;SUBSTITUTE(CriteriTecnici!$F1545,CHAR(34),"'")&amp;CHAR(34)&amp;", "&amp;CHAR(34)&amp;"value"&amp;CHAR(34)&amp;": "&amp;SUBSTITUTE(TRIM(ROUND(IFERROR(CriteriTecnici!$N1545*1,IFERROR(NUMBERVALUE(CriteriTecnici!$N1545,".",","),IFERROR(NUMBERVALUE(CriteriTecnici!$N1545,",","."),0))),4)&amp;""),",",".")&amp;", "&amp;CHAR(34)&amp;"numerator"&amp;CHAR(34)&amp;": "&amp;SUBSTITUTE(TRIM(ROUND(IFERROR(CriteriTecnici!$K1545*1,IFERROR(NUMBERVALUE(CriteriTecnici!$K1545,".",","),IFERROR(NUMBERVALUE(CriteriTecnici!$K1545,",","."),0))),4)&amp;""),",",".")&amp;", "&amp;CHAR(34)&amp;"denominator"&amp;CHAR(34)&amp;": "&amp;SUBSTITUTE(TRIM(ROUND(IFERROR(CriteriTecnici!$L1545*1,IFERROR(NUMBERVALUE(CriteriTecnici!$L1545,".",","),IFERROR(NUMBERVALUE(CriteriTecnici!$L1545,",","."),0))),4)&amp;""),",",".")&amp;", "&amp;CHAR(34)&amp;"flag"&amp;CHAR(34)&amp;": "&amp;SUBSTITUTE(TRIM(ROUND(IFERROR(CriteriTecnici!$M1545*1,IFERROR(NUMBERVALUE(CriteriTecnici!$M1545,".",","),IFERROR(NUMBERVALUE(CriteriTecnici!$M1545,",","."),0))),4)&amp;""),",",".")&amp;", "&amp;CHAR(34)&amp;"rawScore"&amp;CHAR(34)&amp;": "&amp;SUBSTITUTE(TRIM(ROUND(IFERROR(CriteriTecnici!$O1545*1,IFERROR(NUMBERVALUE(CriteriTecnici!$O1545,".",","),IFERROR(NUMBERVALUE(CriteriTecnici!$O1545,",","."),0))),4)&amp;""),",",".")&amp;CHAR(125)&amp;IF(TRUE,",",""))</f>
        <v/>
      </c>
    </row>
    <row r="1647">
      <c r="A1647" s="82">
        <f>IF(CriteriTecnici!$A1546="","","    "&amp;CHAR(123)&amp;CHAR(34)&amp;"bidderId"&amp;CHAR(34)&amp;": "&amp;CHAR(34)&amp;SUBSTITUTE(CriteriTecnici!$A1546,CHAR(34),"'")&amp;CHAR(34)&amp;", "&amp;CHAR(34)&amp;"lotId"&amp;CHAR(34)&amp;": "&amp;CHAR(34)&amp;SUBSTITUTE(CriteriTecnici!$C1546,CHAR(34),"'")&amp;CHAR(34)&amp;", "&amp;CHAR(34)&amp;"criterionId"&amp;CHAR(34)&amp;": "&amp;CHAR(34)&amp;SUBSTITUTE(CriteriTecnici!$D1546,CHAR(34),"'")&amp;CHAR(34)&amp;", "&amp;CHAR(34)&amp;"kind"&amp;CHAR(34)&amp;": "&amp;CHAR(34)&amp;SUBSTITUTE(CriteriTecnici!$F1546,CHAR(34),"'")&amp;CHAR(34)&amp;", "&amp;CHAR(34)&amp;"value"&amp;CHAR(34)&amp;": "&amp;SUBSTITUTE(TRIM(ROUND(IFERROR(CriteriTecnici!$N1546*1,IFERROR(NUMBERVALUE(CriteriTecnici!$N1546,".",","),IFERROR(NUMBERVALUE(CriteriTecnici!$N1546,",","."),0))),4)&amp;""),",",".")&amp;", "&amp;CHAR(34)&amp;"numerator"&amp;CHAR(34)&amp;": "&amp;SUBSTITUTE(TRIM(ROUND(IFERROR(CriteriTecnici!$K1546*1,IFERROR(NUMBERVALUE(CriteriTecnici!$K1546,".",","),IFERROR(NUMBERVALUE(CriteriTecnici!$K1546,",","."),0))),4)&amp;""),",",".")&amp;", "&amp;CHAR(34)&amp;"denominator"&amp;CHAR(34)&amp;": "&amp;SUBSTITUTE(TRIM(ROUND(IFERROR(CriteriTecnici!$L1546*1,IFERROR(NUMBERVALUE(CriteriTecnici!$L1546,".",","),IFERROR(NUMBERVALUE(CriteriTecnici!$L1546,",","."),0))),4)&amp;""),",",".")&amp;", "&amp;CHAR(34)&amp;"flag"&amp;CHAR(34)&amp;": "&amp;SUBSTITUTE(TRIM(ROUND(IFERROR(CriteriTecnici!$M1546*1,IFERROR(NUMBERVALUE(CriteriTecnici!$M1546,".",","),IFERROR(NUMBERVALUE(CriteriTecnici!$M1546,",","."),0))),4)&amp;""),",",".")&amp;", "&amp;CHAR(34)&amp;"rawScore"&amp;CHAR(34)&amp;": "&amp;SUBSTITUTE(TRIM(ROUND(IFERROR(CriteriTecnici!$O1546*1,IFERROR(NUMBERVALUE(CriteriTecnici!$O1546,".",","),IFERROR(NUMBERVALUE(CriteriTecnici!$O1546,",","."),0))),4)&amp;""),",",".")&amp;CHAR(125)&amp;IF(TRUE,",",""))</f>
        <v/>
      </c>
    </row>
    <row r="1648">
      <c r="A1648" s="82">
        <f>IF(CriteriTecnici!$A1547="","","    "&amp;CHAR(123)&amp;CHAR(34)&amp;"bidderId"&amp;CHAR(34)&amp;": "&amp;CHAR(34)&amp;SUBSTITUTE(CriteriTecnici!$A1547,CHAR(34),"'")&amp;CHAR(34)&amp;", "&amp;CHAR(34)&amp;"lotId"&amp;CHAR(34)&amp;": "&amp;CHAR(34)&amp;SUBSTITUTE(CriteriTecnici!$C1547,CHAR(34),"'")&amp;CHAR(34)&amp;", "&amp;CHAR(34)&amp;"criterionId"&amp;CHAR(34)&amp;": "&amp;CHAR(34)&amp;SUBSTITUTE(CriteriTecnici!$D1547,CHAR(34),"'")&amp;CHAR(34)&amp;", "&amp;CHAR(34)&amp;"kind"&amp;CHAR(34)&amp;": "&amp;CHAR(34)&amp;SUBSTITUTE(CriteriTecnici!$F1547,CHAR(34),"'")&amp;CHAR(34)&amp;", "&amp;CHAR(34)&amp;"value"&amp;CHAR(34)&amp;": "&amp;SUBSTITUTE(TRIM(ROUND(IFERROR(CriteriTecnici!$N1547*1,IFERROR(NUMBERVALUE(CriteriTecnici!$N1547,".",","),IFERROR(NUMBERVALUE(CriteriTecnici!$N1547,",","."),0))),4)&amp;""),",",".")&amp;", "&amp;CHAR(34)&amp;"numerator"&amp;CHAR(34)&amp;": "&amp;SUBSTITUTE(TRIM(ROUND(IFERROR(CriteriTecnici!$K1547*1,IFERROR(NUMBERVALUE(CriteriTecnici!$K1547,".",","),IFERROR(NUMBERVALUE(CriteriTecnici!$K1547,",","."),0))),4)&amp;""),",",".")&amp;", "&amp;CHAR(34)&amp;"denominator"&amp;CHAR(34)&amp;": "&amp;SUBSTITUTE(TRIM(ROUND(IFERROR(CriteriTecnici!$L1547*1,IFERROR(NUMBERVALUE(CriteriTecnici!$L1547,".",","),IFERROR(NUMBERVALUE(CriteriTecnici!$L1547,",","."),0))),4)&amp;""),",",".")&amp;", "&amp;CHAR(34)&amp;"flag"&amp;CHAR(34)&amp;": "&amp;SUBSTITUTE(TRIM(ROUND(IFERROR(CriteriTecnici!$M1547*1,IFERROR(NUMBERVALUE(CriteriTecnici!$M1547,".",","),IFERROR(NUMBERVALUE(CriteriTecnici!$M1547,",","."),0))),4)&amp;""),",",".")&amp;", "&amp;CHAR(34)&amp;"rawScore"&amp;CHAR(34)&amp;": "&amp;SUBSTITUTE(TRIM(ROUND(IFERROR(CriteriTecnici!$O1547*1,IFERROR(NUMBERVALUE(CriteriTecnici!$O1547,".",","),IFERROR(NUMBERVALUE(CriteriTecnici!$O1547,",","."),0))),4)&amp;""),",",".")&amp;CHAR(125)&amp;IF(TRUE,",",""))</f>
        <v/>
      </c>
    </row>
    <row r="1649">
      <c r="A1649" s="82">
        <f>IF(CriteriTecnici!$A1548="","","    "&amp;CHAR(123)&amp;CHAR(34)&amp;"bidderId"&amp;CHAR(34)&amp;": "&amp;CHAR(34)&amp;SUBSTITUTE(CriteriTecnici!$A1548,CHAR(34),"'")&amp;CHAR(34)&amp;", "&amp;CHAR(34)&amp;"lotId"&amp;CHAR(34)&amp;": "&amp;CHAR(34)&amp;SUBSTITUTE(CriteriTecnici!$C1548,CHAR(34),"'")&amp;CHAR(34)&amp;", "&amp;CHAR(34)&amp;"criterionId"&amp;CHAR(34)&amp;": "&amp;CHAR(34)&amp;SUBSTITUTE(CriteriTecnici!$D1548,CHAR(34),"'")&amp;CHAR(34)&amp;", "&amp;CHAR(34)&amp;"kind"&amp;CHAR(34)&amp;": "&amp;CHAR(34)&amp;SUBSTITUTE(CriteriTecnici!$F1548,CHAR(34),"'")&amp;CHAR(34)&amp;", "&amp;CHAR(34)&amp;"value"&amp;CHAR(34)&amp;": "&amp;SUBSTITUTE(TRIM(ROUND(IFERROR(CriteriTecnici!$N1548*1,IFERROR(NUMBERVALUE(CriteriTecnici!$N1548,".",","),IFERROR(NUMBERVALUE(CriteriTecnici!$N1548,",","."),0))),4)&amp;""),",",".")&amp;", "&amp;CHAR(34)&amp;"numerator"&amp;CHAR(34)&amp;": "&amp;SUBSTITUTE(TRIM(ROUND(IFERROR(CriteriTecnici!$K1548*1,IFERROR(NUMBERVALUE(CriteriTecnici!$K1548,".",","),IFERROR(NUMBERVALUE(CriteriTecnici!$K1548,",","."),0))),4)&amp;""),",",".")&amp;", "&amp;CHAR(34)&amp;"denominator"&amp;CHAR(34)&amp;": "&amp;SUBSTITUTE(TRIM(ROUND(IFERROR(CriteriTecnici!$L1548*1,IFERROR(NUMBERVALUE(CriteriTecnici!$L1548,".",","),IFERROR(NUMBERVALUE(CriteriTecnici!$L1548,",","."),0))),4)&amp;""),",",".")&amp;", "&amp;CHAR(34)&amp;"flag"&amp;CHAR(34)&amp;": "&amp;SUBSTITUTE(TRIM(ROUND(IFERROR(CriteriTecnici!$M1548*1,IFERROR(NUMBERVALUE(CriteriTecnici!$M1548,".",","),IFERROR(NUMBERVALUE(CriteriTecnici!$M1548,",","."),0))),4)&amp;""),",",".")&amp;", "&amp;CHAR(34)&amp;"rawScore"&amp;CHAR(34)&amp;": "&amp;SUBSTITUTE(TRIM(ROUND(IFERROR(CriteriTecnici!$O1548*1,IFERROR(NUMBERVALUE(CriteriTecnici!$O1548,".",","),IFERROR(NUMBERVALUE(CriteriTecnici!$O1548,",","."),0))),4)&amp;""),",",".")&amp;CHAR(125)&amp;IF(TRUE,",",""))</f>
        <v/>
      </c>
    </row>
    <row r="1650">
      <c r="A1650" s="82">
        <f>IF(CriteriTecnici!$A1549="","","    "&amp;CHAR(123)&amp;CHAR(34)&amp;"bidderId"&amp;CHAR(34)&amp;": "&amp;CHAR(34)&amp;SUBSTITUTE(CriteriTecnici!$A1549,CHAR(34),"'")&amp;CHAR(34)&amp;", "&amp;CHAR(34)&amp;"lotId"&amp;CHAR(34)&amp;": "&amp;CHAR(34)&amp;SUBSTITUTE(CriteriTecnici!$C1549,CHAR(34),"'")&amp;CHAR(34)&amp;", "&amp;CHAR(34)&amp;"criterionId"&amp;CHAR(34)&amp;": "&amp;CHAR(34)&amp;SUBSTITUTE(CriteriTecnici!$D1549,CHAR(34),"'")&amp;CHAR(34)&amp;", "&amp;CHAR(34)&amp;"kind"&amp;CHAR(34)&amp;": "&amp;CHAR(34)&amp;SUBSTITUTE(CriteriTecnici!$F1549,CHAR(34),"'")&amp;CHAR(34)&amp;", "&amp;CHAR(34)&amp;"value"&amp;CHAR(34)&amp;": "&amp;SUBSTITUTE(TRIM(ROUND(IFERROR(CriteriTecnici!$N1549*1,IFERROR(NUMBERVALUE(CriteriTecnici!$N1549,".",","),IFERROR(NUMBERVALUE(CriteriTecnici!$N1549,",","."),0))),4)&amp;""),",",".")&amp;", "&amp;CHAR(34)&amp;"numerator"&amp;CHAR(34)&amp;": "&amp;SUBSTITUTE(TRIM(ROUND(IFERROR(CriteriTecnici!$K1549*1,IFERROR(NUMBERVALUE(CriteriTecnici!$K1549,".",","),IFERROR(NUMBERVALUE(CriteriTecnici!$K1549,",","."),0))),4)&amp;""),",",".")&amp;", "&amp;CHAR(34)&amp;"denominator"&amp;CHAR(34)&amp;": "&amp;SUBSTITUTE(TRIM(ROUND(IFERROR(CriteriTecnici!$L1549*1,IFERROR(NUMBERVALUE(CriteriTecnici!$L1549,".",","),IFERROR(NUMBERVALUE(CriteriTecnici!$L1549,",","."),0))),4)&amp;""),",",".")&amp;", "&amp;CHAR(34)&amp;"flag"&amp;CHAR(34)&amp;": "&amp;SUBSTITUTE(TRIM(ROUND(IFERROR(CriteriTecnici!$M1549*1,IFERROR(NUMBERVALUE(CriteriTecnici!$M1549,".",","),IFERROR(NUMBERVALUE(CriteriTecnici!$M1549,",","."),0))),4)&amp;""),",",".")&amp;", "&amp;CHAR(34)&amp;"rawScore"&amp;CHAR(34)&amp;": "&amp;SUBSTITUTE(TRIM(ROUND(IFERROR(CriteriTecnici!$O1549*1,IFERROR(NUMBERVALUE(CriteriTecnici!$O1549,".",","),IFERROR(NUMBERVALUE(CriteriTecnici!$O1549,",","."),0))),4)&amp;""),",",".")&amp;CHAR(125)&amp;IF(TRUE,",",""))</f>
        <v/>
      </c>
    </row>
    <row r="1651">
      <c r="A1651" s="82">
        <f>IF(CriteriTecnici!$A1550="","","    "&amp;CHAR(123)&amp;CHAR(34)&amp;"bidderId"&amp;CHAR(34)&amp;": "&amp;CHAR(34)&amp;SUBSTITUTE(CriteriTecnici!$A1550,CHAR(34),"'")&amp;CHAR(34)&amp;", "&amp;CHAR(34)&amp;"lotId"&amp;CHAR(34)&amp;": "&amp;CHAR(34)&amp;SUBSTITUTE(CriteriTecnici!$C1550,CHAR(34),"'")&amp;CHAR(34)&amp;", "&amp;CHAR(34)&amp;"criterionId"&amp;CHAR(34)&amp;": "&amp;CHAR(34)&amp;SUBSTITUTE(CriteriTecnici!$D1550,CHAR(34),"'")&amp;CHAR(34)&amp;", "&amp;CHAR(34)&amp;"kind"&amp;CHAR(34)&amp;": "&amp;CHAR(34)&amp;SUBSTITUTE(CriteriTecnici!$F1550,CHAR(34),"'")&amp;CHAR(34)&amp;", "&amp;CHAR(34)&amp;"value"&amp;CHAR(34)&amp;": "&amp;SUBSTITUTE(TRIM(ROUND(IFERROR(CriteriTecnici!$N1550*1,IFERROR(NUMBERVALUE(CriteriTecnici!$N1550,".",","),IFERROR(NUMBERVALUE(CriteriTecnici!$N1550,",","."),0))),4)&amp;""),",",".")&amp;", "&amp;CHAR(34)&amp;"numerator"&amp;CHAR(34)&amp;": "&amp;SUBSTITUTE(TRIM(ROUND(IFERROR(CriteriTecnici!$K1550*1,IFERROR(NUMBERVALUE(CriteriTecnici!$K1550,".",","),IFERROR(NUMBERVALUE(CriteriTecnici!$K1550,",","."),0))),4)&amp;""),",",".")&amp;", "&amp;CHAR(34)&amp;"denominator"&amp;CHAR(34)&amp;": "&amp;SUBSTITUTE(TRIM(ROUND(IFERROR(CriteriTecnici!$L1550*1,IFERROR(NUMBERVALUE(CriteriTecnici!$L1550,".",","),IFERROR(NUMBERVALUE(CriteriTecnici!$L1550,",","."),0))),4)&amp;""),",",".")&amp;", "&amp;CHAR(34)&amp;"flag"&amp;CHAR(34)&amp;": "&amp;SUBSTITUTE(TRIM(ROUND(IFERROR(CriteriTecnici!$M1550*1,IFERROR(NUMBERVALUE(CriteriTecnici!$M1550,".",","),IFERROR(NUMBERVALUE(CriteriTecnici!$M1550,",","."),0))),4)&amp;""),",",".")&amp;", "&amp;CHAR(34)&amp;"rawScore"&amp;CHAR(34)&amp;": "&amp;SUBSTITUTE(TRIM(ROUND(IFERROR(CriteriTecnici!$O1550*1,IFERROR(NUMBERVALUE(CriteriTecnici!$O1550,".",","),IFERROR(NUMBERVALUE(CriteriTecnici!$O1550,",","."),0))),4)&amp;""),",",".")&amp;CHAR(125)&amp;IF(TRUE,",",""))</f>
        <v/>
      </c>
    </row>
    <row r="1652">
      <c r="A1652" s="82">
        <f>IF(CriteriTecnici!$A1551="","","    "&amp;CHAR(123)&amp;CHAR(34)&amp;"bidderId"&amp;CHAR(34)&amp;": "&amp;CHAR(34)&amp;SUBSTITUTE(CriteriTecnici!$A1551,CHAR(34),"'")&amp;CHAR(34)&amp;", "&amp;CHAR(34)&amp;"lotId"&amp;CHAR(34)&amp;": "&amp;CHAR(34)&amp;SUBSTITUTE(CriteriTecnici!$C1551,CHAR(34),"'")&amp;CHAR(34)&amp;", "&amp;CHAR(34)&amp;"criterionId"&amp;CHAR(34)&amp;": "&amp;CHAR(34)&amp;SUBSTITUTE(CriteriTecnici!$D1551,CHAR(34),"'")&amp;CHAR(34)&amp;", "&amp;CHAR(34)&amp;"kind"&amp;CHAR(34)&amp;": "&amp;CHAR(34)&amp;SUBSTITUTE(CriteriTecnici!$F1551,CHAR(34),"'")&amp;CHAR(34)&amp;", "&amp;CHAR(34)&amp;"value"&amp;CHAR(34)&amp;": "&amp;SUBSTITUTE(TRIM(ROUND(IFERROR(CriteriTecnici!$N1551*1,IFERROR(NUMBERVALUE(CriteriTecnici!$N1551,".",","),IFERROR(NUMBERVALUE(CriteriTecnici!$N1551,",","."),0))),4)&amp;""),",",".")&amp;", "&amp;CHAR(34)&amp;"numerator"&amp;CHAR(34)&amp;": "&amp;SUBSTITUTE(TRIM(ROUND(IFERROR(CriteriTecnici!$K1551*1,IFERROR(NUMBERVALUE(CriteriTecnici!$K1551,".",","),IFERROR(NUMBERVALUE(CriteriTecnici!$K1551,",","."),0))),4)&amp;""),",",".")&amp;", "&amp;CHAR(34)&amp;"denominator"&amp;CHAR(34)&amp;": "&amp;SUBSTITUTE(TRIM(ROUND(IFERROR(CriteriTecnici!$L1551*1,IFERROR(NUMBERVALUE(CriteriTecnici!$L1551,".",","),IFERROR(NUMBERVALUE(CriteriTecnici!$L1551,",","."),0))),4)&amp;""),",",".")&amp;", "&amp;CHAR(34)&amp;"flag"&amp;CHAR(34)&amp;": "&amp;SUBSTITUTE(TRIM(ROUND(IFERROR(CriteriTecnici!$M1551*1,IFERROR(NUMBERVALUE(CriteriTecnici!$M1551,".",","),IFERROR(NUMBERVALUE(CriteriTecnici!$M1551,",","."),0))),4)&amp;""),",",".")&amp;", "&amp;CHAR(34)&amp;"rawScore"&amp;CHAR(34)&amp;": "&amp;SUBSTITUTE(TRIM(ROUND(IFERROR(CriteriTecnici!$O1551*1,IFERROR(NUMBERVALUE(CriteriTecnici!$O1551,".",","),IFERROR(NUMBERVALUE(CriteriTecnici!$O1551,",","."),0))),4)&amp;""),",",".")&amp;CHAR(125)&amp;IF(TRUE,",",""))</f>
        <v/>
      </c>
    </row>
    <row r="1653">
      <c r="A1653" s="82">
        <f>IF(CriteriTecnici!$A1552="","","    "&amp;CHAR(123)&amp;CHAR(34)&amp;"bidderId"&amp;CHAR(34)&amp;": "&amp;CHAR(34)&amp;SUBSTITUTE(CriteriTecnici!$A1552,CHAR(34),"'")&amp;CHAR(34)&amp;", "&amp;CHAR(34)&amp;"lotId"&amp;CHAR(34)&amp;": "&amp;CHAR(34)&amp;SUBSTITUTE(CriteriTecnici!$C1552,CHAR(34),"'")&amp;CHAR(34)&amp;", "&amp;CHAR(34)&amp;"criterionId"&amp;CHAR(34)&amp;": "&amp;CHAR(34)&amp;SUBSTITUTE(CriteriTecnici!$D1552,CHAR(34),"'")&amp;CHAR(34)&amp;", "&amp;CHAR(34)&amp;"kind"&amp;CHAR(34)&amp;": "&amp;CHAR(34)&amp;SUBSTITUTE(CriteriTecnici!$F1552,CHAR(34),"'")&amp;CHAR(34)&amp;", "&amp;CHAR(34)&amp;"value"&amp;CHAR(34)&amp;": "&amp;SUBSTITUTE(TRIM(ROUND(IFERROR(CriteriTecnici!$N1552*1,IFERROR(NUMBERVALUE(CriteriTecnici!$N1552,".",","),IFERROR(NUMBERVALUE(CriteriTecnici!$N1552,",","."),0))),4)&amp;""),",",".")&amp;", "&amp;CHAR(34)&amp;"numerator"&amp;CHAR(34)&amp;": "&amp;SUBSTITUTE(TRIM(ROUND(IFERROR(CriteriTecnici!$K1552*1,IFERROR(NUMBERVALUE(CriteriTecnici!$K1552,".",","),IFERROR(NUMBERVALUE(CriteriTecnici!$K1552,",","."),0))),4)&amp;""),",",".")&amp;", "&amp;CHAR(34)&amp;"denominator"&amp;CHAR(34)&amp;": "&amp;SUBSTITUTE(TRIM(ROUND(IFERROR(CriteriTecnici!$L1552*1,IFERROR(NUMBERVALUE(CriteriTecnici!$L1552,".",","),IFERROR(NUMBERVALUE(CriteriTecnici!$L1552,",","."),0))),4)&amp;""),",",".")&amp;", "&amp;CHAR(34)&amp;"flag"&amp;CHAR(34)&amp;": "&amp;SUBSTITUTE(TRIM(ROUND(IFERROR(CriteriTecnici!$M1552*1,IFERROR(NUMBERVALUE(CriteriTecnici!$M1552,".",","),IFERROR(NUMBERVALUE(CriteriTecnici!$M1552,",","."),0))),4)&amp;""),",",".")&amp;", "&amp;CHAR(34)&amp;"rawScore"&amp;CHAR(34)&amp;": "&amp;SUBSTITUTE(TRIM(ROUND(IFERROR(CriteriTecnici!$O1552*1,IFERROR(NUMBERVALUE(CriteriTecnici!$O1552,".",","),IFERROR(NUMBERVALUE(CriteriTecnici!$O1552,",","."),0))),4)&amp;""),",",".")&amp;CHAR(125)&amp;IF(TRUE,",",""))</f>
        <v/>
      </c>
    </row>
    <row r="1654">
      <c r="A1654" s="82">
        <f>IF(CriteriTecnici!$A1553="","","    "&amp;CHAR(123)&amp;CHAR(34)&amp;"bidderId"&amp;CHAR(34)&amp;": "&amp;CHAR(34)&amp;SUBSTITUTE(CriteriTecnici!$A1553,CHAR(34),"'")&amp;CHAR(34)&amp;", "&amp;CHAR(34)&amp;"lotId"&amp;CHAR(34)&amp;": "&amp;CHAR(34)&amp;SUBSTITUTE(CriteriTecnici!$C1553,CHAR(34),"'")&amp;CHAR(34)&amp;", "&amp;CHAR(34)&amp;"criterionId"&amp;CHAR(34)&amp;": "&amp;CHAR(34)&amp;SUBSTITUTE(CriteriTecnici!$D1553,CHAR(34),"'")&amp;CHAR(34)&amp;", "&amp;CHAR(34)&amp;"kind"&amp;CHAR(34)&amp;": "&amp;CHAR(34)&amp;SUBSTITUTE(CriteriTecnici!$F1553,CHAR(34),"'")&amp;CHAR(34)&amp;", "&amp;CHAR(34)&amp;"value"&amp;CHAR(34)&amp;": "&amp;SUBSTITUTE(TRIM(ROUND(IFERROR(CriteriTecnici!$N1553*1,IFERROR(NUMBERVALUE(CriteriTecnici!$N1553,".",","),IFERROR(NUMBERVALUE(CriteriTecnici!$N1553,",","."),0))),4)&amp;""),",",".")&amp;", "&amp;CHAR(34)&amp;"numerator"&amp;CHAR(34)&amp;": "&amp;SUBSTITUTE(TRIM(ROUND(IFERROR(CriteriTecnici!$K1553*1,IFERROR(NUMBERVALUE(CriteriTecnici!$K1553,".",","),IFERROR(NUMBERVALUE(CriteriTecnici!$K1553,",","."),0))),4)&amp;""),",",".")&amp;", "&amp;CHAR(34)&amp;"denominator"&amp;CHAR(34)&amp;": "&amp;SUBSTITUTE(TRIM(ROUND(IFERROR(CriteriTecnici!$L1553*1,IFERROR(NUMBERVALUE(CriteriTecnici!$L1553,".",","),IFERROR(NUMBERVALUE(CriteriTecnici!$L1553,",","."),0))),4)&amp;""),",",".")&amp;", "&amp;CHAR(34)&amp;"flag"&amp;CHAR(34)&amp;": "&amp;SUBSTITUTE(TRIM(ROUND(IFERROR(CriteriTecnici!$M1553*1,IFERROR(NUMBERVALUE(CriteriTecnici!$M1553,".",","),IFERROR(NUMBERVALUE(CriteriTecnici!$M1553,",","."),0))),4)&amp;""),",",".")&amp;", "&amp;CHAR(34)&amp;"rawScore"&amp;CHAR(34)&amp;": "&amp;SUBSTITUTE(TRIM(ROUND(IFERROR(CriteriTecnici!$O1553*1,IFERROR(NUMBERVALUE(CriteriTecnici!$O1553,".",","),IFERROR(NUMBERVALUE(CriteriTecnici!$O1553,",","."),0))),4)&amp;""),",",".")&amp;CHAR(125)&amp;IF(TRUE,",",""))</f>
        <v/>
      </c>
    </row>
    <row r="1655">
      <c r="A1655" s="82">
        <f>IF(CriteriTecnici!$A1554="","","    "&amp;CHAR(123)&amp;CHAR(34)&amp;"bidderId"&amp;CHAR(34)&amp;": "&amp;CHAR(34)&amp;SUBSTITUTE(CriteriTecnici!$A1554,CHAR(34),"'")&amp;CHAR(34)&amp;", "&amp;CHAR(34)&amp;"lotId"&amp;CHAR(34)&amp;": "&amp;CHAR(34)&amp;SUBSTITUTE(CriteriTecnici!$C1554,CHAR(34),"'")&amp;CHAR(34)&amp;", "&amp;CHAR(34)&amp;"criterionId"&amp;CHAR(34)&amp;": "&amp;CHAR(34)&amp;SUBSTITUTE(CriteriTecnici!$D1554,CHAR(34),"'")&amp;CHAR(34)&amp;", "&amp;CHAR(34)&amp;"kind"&amp;CHAR(34)&amp;": "&amp;CHAR(34)&amp;SUBSTITUTE(CriteriTecnici!$F1554,CHAR(34),"'")&amp;CHAR(34)&amp;", "&amp;CHAR(34)&amp;"value"&amp;CHAR(34)&amp;": "&amp;SUBSTITUTE(TRIM(ROUND(IFERROR(CriteriTecnici!$N1554*1,IFERROR(NUMBERVALUE(CriteriTecnici!$N1554,".",","),IFERROR(NUMBERVALUE(CriteriTecnici!$N1554,",","."),0))),4)&amp;""),",",".")&amp;", "&amp;CHAR(34)&amp;"numerator"&amp;CHAR(34)&amp;": "&amp;SUBSTITUTE(TRIM(ROUND(IFERROR(CriteriTecnici!$K1554*1,IFERROR(NUMBERVALUE(CriteriTecnici!$K1554,".",","),IFERROR(NUMBERVALUE(CriteriTecnici!$K1554,",","."),0))),4)&amp;""),",",".")&amp;", "&amp;CHAR(34)&amp;"denominator"&amp;CHAR(34)&amp;": "&amp;SUBSTITUTE(TRIM(ROUND(IFERROR(CriteriTecnici!$L1554*1,IFERROR(NUMBERVALUE(CriteriTecnici!$L1554,".",","),IFERROR(NUMBERVALUE(CriteriTecnici!$L1554,",","."),0))),4)&amp;""),",",".")&amp;", "&amp;CHAR(34)&amp;"flag"&amp;CHAR(34)&amp;": "&amp;SUBSTITUTE(TRIM(ROUND(IFERROR(CriteriTecnici!$M1554*1,IFERROR(NUMBERVALUE(CriteriTecnici!$M1554,".",","),IFERROR(NUMBERVALUE(CriteriTecnici!$M1554,",","."),0))),4)&amp;""),",",".")&amp;", "&amp;CHAR(34)&amp;"rawScore"&amp;CHAR(34)&amp;": "&amp;SUBSTITUTE(TRIM(ROUND(IFERROR(CriteriTecnici!$O1554*1,IFERROR(NUMBERVALUE(CriteriTecnici!$O1554,".",","),IFERROR(NUMBERVALUE(CriteriTecnici!$O1554,",","."),0))),4)&amp;""),",",".")&amp;CHAR(125)&amp;IF(COUNTA(Offerte!$A52:$A$81)&gt;0,",",""))</f>
        <v/>
      </c>
    </row>
    <row r="1656">
      <c r="A1656" s="82">
        <f>IF(CriteriTecnici!$A1555="","","    "&amp;CHAR(123)&amp;CHAR(34)&amp;"bidderId"&amp;CHAR(34)&amp;": "&amp;CHAR(34)&amp;SUBSTITUTE(CriteriTecnici!$A1555,CHAR(34),"'")&amp;CHAR(34)&amp;", "&amp;CHAR(34)&amp;"lotId"&amp;CHAR(34)&amp;": "&amp;CHAR(34)&amp;SUBSTITUTE(CriteriTecnici!$C1555,CHAR(34),"'")&amp;CHAR(34)&amp;", "&amp;CHAR(34)&amp;"criterionId"&amp;CHAR(34)&amp;": "&amp;CHAR(34)&amp;SUBSTITUTE(CriteriTecnici!$D1555,CHAR(34),"'")&amp;CHAR(34)&amp;", "&amp;CHAR(34)&amp;"kind"&amp;CHAR(34)&amp;": "&amp;CHAR(34)&amp;SUBSTITUTE(CriteriTecnici!$F1555,CHAR(34),"'")&amp;CHAR(34)&amp;", "&amp;CHAR(34)&amp;"value"&amp;CHAR(34)&amp;": "&amp;SUBSTITUTE(TRIM(ROUND(IFERROR(CriteriTecnici!$N1555*1,IFERROR(NUMBERVALUE(CriteriTecnici!$N1555,".",","),IFERROR(NUMBERVALUE(CriteriTecnici!$N1555,",","."),0))),4)&amp;""),",",".")&amp;", "&amp;CHAR(34)&amp;"numerator"&amp;CHAR(34)&amp;": "&amp;SUBSTITUTE(TRIM(ROUND(IFERROR(CriteriTecnici!$K1555*1,IFERROR(NUMBERVALUE(CriteriTecnici!$K1555,".",","),IFERROR(NUMBERVALUE(CriteriTecnici!$K1555,",","."),0))),4)&amp;""),",",".")&amp;", "&amp;CHAR(34)&amp;"denominator"&amp;CHAR(34)&amp;": "&amp;SUBSTITUTE(TRIM(ROUND(IFERROR(CriteriTecnici!$L1555*1,IFERROR(NUMBERVALUE(CriteriTecnici!$L1555,".",","),IFERROR(NUMBERVALUE(CriteriTecnici!$L1555,",","."),0))),4)&amp;""),",",".")&amp;", "&amp;CHAR(34)&amp;"flag"&amp;CHAR(34)&amp;": "&amp;SUBSTITUTE(TRIM(ROUND(IFERROR(CriteriTecnici!$M1555*1,IFERROR(NUMBERVALUE(CriteriTecnici!$M1555,".",","),IFERROR(NUMBERVALUE(CriteriTecnici!$M1555,",","."),0))),4)&amp;""),",",".")&amp;", "&amp;CHAR(34)&amp;"rawScore"&amp;CHAR(34)&amp;": "&amp;SUBSTITUTE(TRIM(ROUND(IFERROR(CriteriTecnici!$O1555*1,IFERROR(NUMBERVALUE(CriteriTecnici!$O1555,".",","),IFERROR(NUMBERVALUE(CriteriTecnici!$O1555,",","."),0))),4)&amp;""),",",".")&amp;CHAR(125)&amp;IF(TRUE,",",""))</f>
        <v/>
      </c>
    </row>
    <row r="1657">
      <c r="A1657" s="82">
        <f>IF(CriteriTecnici!$A1556="","","    "&amp;CHAR(123)&amp;CHAR(34)&amp;"bidderId"&amp;CHAR(34)&amp;": "&amp;CHAR(34)&amp;SUBSTITUTE(CriteriTecnici!$A1556,CHAR(34),"'")&amp;CHAR(34)&amp;", "&amp;CHAR(34)&amp;"lotId"&amp;CHAR(34)&amp;": "&amp;CHAR(34)&amp;SUBSTITUTE(CriteriTecnici!$C1556,CHAR(34),"'")&amp;CHAR(34)&amp;", "&amp;CHAR(34)&amp;"criterionId"&amp;CHAR(34)&amp;": "&amp;CHAR(34)&amp;SUBSTITUTE(CriteriTecnici!$D1556,CHAR(34),"'")&amp;CHAR(34)&amp;", "&amp;CHAR(34)&amp;"kind"&amp;CHAR(34)&amp;": "&amp;CHAR(34)&amp;SUBSTITUTE(CriteriTecnici!$F1556,CHAR(34),"'")&amp;CHAR(34)&amp;", "&amp;CHAR(34)&amp;"value"&amp;CHAR(34)&amp;": "&amp;SUBSTITUTE(TRIM(ROUND(IFERROR(CriteriTecnici!$N1556*1,IFERROR(NUMBERVALUE(CriteriTecnici!$N1556,".",","),IFERROR(NUMBERVALUE(CriteriTecnici!$N1556,",","."),0))),4)&amp;""),",",".")&amp;", "&amp;CHAR(34)&amp;"numerator"&amp;CHAR(34)&amp;": "&amp;SUBSTITUTE(TRIM(ROUND(IFERROR(CriteriTecnici!$K1556*1,IFERROR(NUMBERVALUE(CriteriTecnici!$K1556,".",","),IFERROR(NUMBERVALUE(CriteriTecnici!$K1556,",","."),0))),4)&amp;""),",",".")&amp;", "&amp;CHAR(34)&amp;"denominator"&amp;CHAR(34)&amp;": "&amp;SUBSTITUTE(TRIM(ROUND(IFERROR(CriteriTecnici!$L1556*1,IFERROR(NUMBERVALUE(CriteriTecnici!$L1556,".",","),IFERROR(NUMBERVALUE(CriteriTecnici!$L1556,",","."),0))),4)&amp;""),",",".")&amp;", "&amp;CHAR(34)&amp;"flag"&amp;CHAR(34)&amp;": "&amp;SUBSTITUTE(TRIM(ROUND(IFERROR(CriteriTecnici!$M1556*1,IFERROR(NUMBERVALUE(CriteriTecnici!$M1556,".",","),IFERROR(NUMBERVALUE(CriteriTecnici!$M1556,",","."),0))),4)&amp;""),",",".")&amp;", "&amp;CHAR(34)&amp;"rawScore"&amp;CHAR(34)&amp;": "&amp;SUBSTITUTE(TRIM(ROUND(IFERROR(CriteriTecnici!$O1556*1,IFERROR(NUMBERVALUE(CriteriTecnici!$O1556,".",","),IFERROR(NUMBERVALUE(CriteriTecnici!$O1556,",","."),0))),4)&amp;""),",",".")&amp;CHAR(125)&amp;IF(TRUE,",",""))</f>
        <v/>
      </c>
    </row>
    <row r="1658">
      <c r="A1658" s="82">
        <f>IF(CriteriTecnici!$A1557="","","    "&amp;CHAR(123)&amp;CHAR(34)&amp;"bidderId"&amp;CHAR(34)&amp;": "&amp;CHAR(34)&amp;SUBSTITUTE(CriteriTecnici!$A1557,CHAR(34),"'")&amp;CHAR(34)&amp;", "&amp;CHAR(34)&amp;"lotId"&amp;CHAR(34)&amp;": "&amp;CHAR(34)&amp;SUBSTITUTE(CriteriTecnici!$C1557,CHAR(34),"'")&amp;CHAR(34)&amp;", "&amp;CHAR(34)&amp;"criterionId"&amp;CHAR(34)&amp;": "&amp;CHAR(34)&amp;SUBSTITUTE(CriteriTecnici!$D1557,CHAR(34),"'")&amp;CHAR(34)&amp;", "&amp;CHAR(34)&amp;"kind"&amp;CHAR(34)&amp;": "&amp;CHAR(34)&amp;SUBSTITUTE(CriteriTecnici!$F1557,CHAR(34),"'")&amp;CHAR(34)&amp;", "&amp;CHAR(34)&amp;"value"&amp;CHAR(34)&amp;": "&amp;SUBSTITUTE(TRIM(ROUND(IFERROR(CriteriTecnici!$N1557*1,IFERROR(NUMBERVALUE(CriteriTecnici!$N1557,".",","),IFERROR(NUMBERVALUE(CriteriTecnici!$N1557,",","."),0))),4)&amp;""),",",".")&amp;", "&amp;CHAR(34)&amp;"numerator"&amp;CHAR(34)&amp;": "&amp;SUBSTITUTE(TRIM(ROUND(IFERROR(CriteriTecnici!$K1557*1,IFERROR(NUMBERVALUE(CriteriTecnici!$K1557,".",","),IFERROR(NUMBERVALUE(CriteriTecnici!$K1557,",","."),0))),4)&amp;""),",",".")&amp;", "&amp;CHAR(34)&amp;"denominator"&amp;CHAR(34)&amp;": "&amp;SUBSTITUTE(TRIM(ROUND(IFERROR(CriteriTecnici!$L1557*1,IFERROR(NUMBERVALUE(CriteriTecnici!$L1557,".",","),IFERROR(NUMBERVALUE(CriteriTecnici!$L1557,",","."),0))),4)&amp;""),",",".")&amp;", "&amp;CHAR(34)&amp;"flag"&amp;CHAR(34)&amp;": "&amp;SUBSTITUTE(TRIM(ROUND(IFERROR(CriteriTecnici!$M1557*1,IFERROR(NUMBERVALUE(CriteriTecnici!$M1557,".",","),IFERROR(NUMBERVALUE(CriteriTecnici!$M1557,",","."),0))),4)&amp;""),",",".")&amp;", "&amp;CHAR(34)&amp;"rawScore"&amp;CHAR(34)&amp;": "&amp;SUBSTITUTE(TRIM(ROUND(IFERROR(CriteriTecnici!$O1557*1,IFERROR(NUMBERVALUE(CriteriTecnici!$O1557,".",","),IFERROR(NUMBERVALUE(CriteriTecnici!$O1557,",","."),0))),4)&amp;""),",",".")&amp;CHAR(125)&amp;IF(TRUE,",",""))</f>
        <v/>
      </c>
    </row>
    <row r="1659">
      <c r="A1659" s="82">
        <f>IF(CriteriTecnici!$A1558="","","    "&amp;CHAR(123)&amp;CHAR(34)&amp;"bidderId"&amp;CHAR(34)&amp;": "&amp;CHAR(34)&amp;SUBSTITUTE(CriteriTecnici!$A1558,CHAR(34),"'")&amp;CHAR(34)&amp;", "&amp;CHAR(34)&amp;"lotId"&amp;CHAR(34)&amp;": "&amp;CHAR(34)&amp;SUBSTITUTE(CriteriTecnici!$C1558,CHAR(34),"'")&amp;CHAR(34)&amp;", "&amp;CHAR(34)&amp;"criterionId"&amp;CHAR(34)&amp;": "&amp;CHAR(34)&amp;SUBSTITUTE(CriteriTecnici!$D1558,CHAR(34),"'")&amp;CHAR(34)&amp;", "&amp;CHAR(34)&amp;"kind"&amp;CHAR(34)&amp;": "&amp;CHAR(34)&amp;SUBSTITUTE(CriteriTecnici!$F1558,CHAR(34),"'")&amp;CHAR(34)&amp;", "&amp;CHAR(34)&amp;"value"&amp;CHAR(34)&amp;": "&amp;SUBSTITUTE(TRIM(ROUND(IFERROR(CriteriTecnici!$N1558*1,IFERROR(NUMBERVALUE(CriteriTecnici!$N1558,".",","),IFERROR(NUMBERVALUE(CriteriTecnici!$N1558,",","."),0))),4)&amp;""),",",".")&amp;", "&amp;CHAR(34)&amp;"numerator"&amp;CHAR(34)&amp;": "&amp;SUBSTITUTE(TRIM(ROUND(IFERROR(CriteriTecnici!$K1558*1,IFERROR(NUMBERVALUE(CriteriTecnici!$K1558,".",","),IFERROR(NUMBERVALUE(CriteriTecnici!$K1558,",","."),0))),4)&amp;""),",",".")&amp;", "&amp;CHAR(34)&amp;"denominator"&amp;CHAR(34)&amp;": "&amp;SUBSTITUTE(TRIM(ROUND(IFERROR(CriteriTecnici!$L1558*1,IFERROR(NUMBERVALUE(CriteriTecnici!$L1558,".",","),IFERROR(NUMBERVALUE(CriteriTecnici!$L1558,",","."),0))),4)&amp;""),",",".")&amp;", "&amp;CHAR(34)&amp;"flag"&amp;CHAR(34)&amp;": "&amp;SUBSTITUTE(TRIM(ROUND(IFERROR(CriteriTecnici!$M1558*1,IFERROR(NUMBERVALUE(CriteriTecnici!$M1558,".",","),IFERROR(NUMBERVALUE(CriteriTecnici!$M1558,",","."),0))),4)&amp;""),",",".")&amp;", "&amp;CHAR(34)&amp;"rawScore"&amp;CHAR(34)&amp;": "&amp;SUBSTITUTE(TRIM(ROUND(IFERROR(CriteriTecnici!$O1558*1,IFERROR(NUMBERVALUE(CriteriTecnici!$O1558,".",","),IFERROR(NUMBERVALUE(CriteriTecnici!$O1558,",","."),0))),4)&amp;""),",",".")&amp;CHAR(125)&amp;IF(TRUE,",",""))</f>
        <v/>
      </c>
    </row>
    <row r="1660">
      <c r="A1660" s="82">
        <f>IF(CriteriTecnici!$A1559="","","    "&amp;CHAR(123)&amp;CHAR(34)&amp;"bidderId"&amp;CHAR(34)&amp;": "&amp;CHAR(34)&amp;SUBSTITUTE(CriteriTecnici!$A1559,CHAR(34),"'")&amp;CHAR(34)&amp;", "&amp;CHAR(34)&amp;"lotId"&amp;CHAR(34)&amp;": "&amp;CHAR(34)&amp;SUBSTITUTE(CriteriTecnici!$C1559,CHAR(34),"'")&amp;CHAR(34)&amp;", "&amp;CHAR(34)&amp;"criterionId"&amp;CHAR(34)&amp;": "&amp;CHAR(34)&amp;SUBSTITUTE(CriteriTecnici!$D1559,CHAR(34),"'")&amp;CHAR(34)&amp;", "&amp;CHAR(34)&amp;"kind"&amp;CHAR(34)&amp;": "&amp;CHAR(34)&amp;SUBSTITUTE(CriteriTecnici!$F1559,CHAR(34),"'")&amp;CHAR(34)&amp;", "&amp;CHAR(34)&amp;"value"&amp;CHAR(34)&amp;": "&amp;SUBSTITUTE(TRIM(ROUND(IFERROR(CriteriTecnici!$N1559*1,IFERROR(NUMBERVALUE(CriteriTecnici!$N1559,".",","),IFERROR(NUMBERVALUE(CriteriTecnici!$N1559,",","."),0))),4)&amp;""),",",".")&amp;", "&amp;CHAR(34)&amp;"numerator"&amp;CHAR(34)&amp;": "&amp;SUBSTITUTE(TRIM(ROUND(IFERROR(CriteriTecnici!$K1559*1,IFERROR(NUMBERVALUE(CriteriTecnici!$K1559,".",","),IFERROR(NUMBERVALUE(CriteriTecnici!$K1559,",","."),0))),4)&amp;""),",",".")&amp;", "&amp;CHAR(34)&amp;"denominator"&amp;CHAR(34)&amp;": "&amp;SUBSTITUTE(TRIM(ROUND(IFERROR(CriteriTecnici!$L1559*1,IFERROR(NUMBERVALUE(CriteriTecnici!$L1559,".",","),IFERROR(NUMBERVALUE(CriteriTecnici!$L1559,",","."),0))),4)&amp;""),",",".")&amp;", "&amp;CHAR(34)&amp;"flag"&amp;CHAR(34)&amp;": "&amp;SUBSTITUTE(TRIM(ROUND(IFERROR(CriteriTecnici!$M1559*1,IFERROR(NUMBERVALUE(CriteriTecnici!$M1559,".",","),IFERROR(NUMBERVALUE(CriteriTecnici!$M1559,",","."),0))),4)&amp;""),",",".")&amp;", "&amp;CHAR(34)&amp;"rawScore"&amp;CHAR(34)&amp;": "&amp;SUBSTITUTE(TRIM(ROUND(IFERROR(CriteriTecnici!$O1559*1,IFERROR(NUMBERVALUE(CriteriTecnici!$O1559,".",","),IFERROR(NUMBERVALUE(CriteriTecnici!$O1559,",","."),0))),4)&amp;""),",",".")&amp;CHAR(125)&amp;IF(TRUE,",",""))</f>
        <v/>
      </c>
    </row>
    <row r="1661">
      <c r="A1661" s="82">
        <f>IF(CriteriTecnici!$A1560="","","    "&amp;CHAR(123)&amp;CHAR(34)&amp;"bidderId"&amp;CHAR(34)&amp;": "&amp;CHAR(34)&amp;SUBSTITUTE(CriteriTecnici!$A1560,CHAR(34),"'")&amp;CHAR(34)&amp;", "&amp;CHAR(34)&amp;"lotId"&amp;CHAR(34)&amp;": "&amp;CHAR(34)&amp;SUBSTITUTE(CriteriTecnici!$C1560,CHAR(34),"'")&amp;CHAR(34)&amp;", "&amp;CHAR(34)&amp;"criterionId"&amp;CHAR(34)&amp;": "&amp;CHAR(34)&amp;SUBSTITUTE(CriteriTecnici!$D1560,CHAR(34),"'")&amp;CHAR(34)&amp;", "&amp;CHAR(34)&amp;"kind"&amp;CHAR(34)&amp;": "&amp;CHAR(34)&amp;SUBSTITUTE(CriteriTecnici!$F1560,CHAR(34),"'")&amp;CHAR(34)&amp;", "&amp;CHAR(34)&amp;"value"&amp;CHAR(34)&amp;": "&amp;SUBSTITUTE(TRIM(ROUND(IFERROR(CriteriTecnici!$N1560*1,IFERROR(NUMBERVALUE(CriteriTecnici!$N1560,".",","),IFERROR(NUMBERVALUE(CriteriTecnici!$N1560,",","."),0))),4)&amp;""),",",".")&amp;", "&amp;CHAR(34)&amp;"numerator"&amp;CHAR(34)&amp;": "&amp;SUBSTITUTE(TRIM(ROUND(IFERROR(CriteriTecnici!$K1560*1,IFERROR(NUMBERVALUE(CriteriTecnici!$K1560,".",","),IFERROR(NUMBERVALUE(CriteriTecnici!$K1560,",","."),0))),4)&amp;""),",",".")&amp;", "&amp;CHAR(34)&amp;"denominator"&amp;CHAR(34)&amp;": "&amp;SUBSTITUTE(TRIM(ROUND(IFERROR(CriteriTecnici!$L1560*1,IFERROR(NUMBERVALUE(CriteriTecnici!$L1560,".",","),IFERROR(NUMBERVALUE(CriteriTecnici!$L1560,",","."),0))),4)&amp;""),",",".")&amp;", "&amp;CHAR(34)&amp;"flag"&amp;CHAR(34)&amp;": "&amp;SUBSTITUTE(TRIM(ROUND(IFERROR(CriteriTecnici!$M1560*1,IFERROR(NUMBERVALUE(CriteriTecnici!$M1560,".",","),IFERROR(NUMBERVALUE(CriteriTecnici!$M1560,",","."),0))),4)&amp;""),",",".")&amp;", "&amp;CHAR(34)&amp;"rawScore"&amp;CHAR(34)&amp;": "&amp;SUBSTITUTE(TRIM(ROUND(IFERROR(CriteriTecnici!$O1560*1,IFERROR(NUMBERVALUE(CriteriTecnici!$O1560,".",","),IFERROR(NUMBERVALUE(CriteriTecnici!$O1560,",","."),0))),4)&amp;""),",",".")&amp;CHAR(125)&amp;IF(TRUE,",",""))</f>
        <v/>
      </c>
    </row>
    <row r="1662">
      <c r="A1662" s="82">
        <f>IF(CriteriTecnici!$A1561="","","    "&amp;CHAR(123)&amp;CHAR(34)&amp;"bidderId"&amp;CHAR(34)&amp;": "&amp;CHAR(34)&amp;SUBSTITUTE(CriteriTecnici!$A1561,CHAR(34),"'")&amp;CHAR(34)&amp;", "&amp;CHAR(34)&amp;"lotId"&amp;CHAR(34)&amp;": "&amp;CHAR(34)&amp;SUBSTITUTE(CriteriTecnici!$C1561,CHAR(34),"'")&amp;CHAR(34)&amp;", "&amp;CHAR(34)&amp;"criterionId"&amp;CHAR(34)&amp;": "&amp;CHAR(34)&amp;SUBSTITUTE(CriteriTecnici!$D1561,CHAR(34),"'")&amp;CHAR(34)&amp;", "&amp;CHAR(34)&amp;"kind"&amp;CHAR(34)&amp;": "&amp;CHAR(34)&amp;SUBSTITUTE(CriteriTecnici!$F1561,CHAR(34),"'")&amp;CHAR(34)&amp;", "&amp;CHAR(34)&amp;"value"&amp;CHAR(34)&amp;": "&amp;SUBSTITUTE(TRIM(ROUND(IFERROR(CriteriTecnici!$N1561*1,IFERROR(NUMBERVALUE(CriteriTecnici!$N1561,".",","),IFERROR(NUMBERVALUE(CriteriTecnici!$N1561,",","."),0))),4)&amp;""),",",".")&amp;", "&amp;CHAR(34)&amp;"numerator"&amp;CHAR(34)&amp;": "&amp;SUBSTITUTE(TRIM(ROUND(IFERROR(CriteriTecnici!$K1561*1,IFERROR(NUMBERVALUE(CriteriTecnici!$K1561,".",","),IFERROR(NUMBERVALUE(CriteriTecnici!$K1561,",","."),0))),4)&amp;""),",",".")&amp;", "&amp;CHAR(34)&amp;"denominator"&amp;CHAR(34)&amp;": "&amp;SUBSTITUTE(TRIM(ROUND(IFERROR(CriteriTecnici!$L1561*1,IFERROR(NUMBERVALUE(CriteriTecnici!$L1561,".",","),IFERROR(NUMBERVALUE(CriteriTecnici!$L1561,",","."),0))),4)&amp;""),",",".")&amp;", "&amp;CHAR(34)&amp;"flag"&amp;CHAR(34)&amp;": "&amp;SUBSTITUTE(TRIM(ROUND(IFERROR(CriteriTecnici!$M1561*1,IFERROR(NUMBERVALUE(CriteriTecnici!$M1561,".",","),IFERROR(NUMBERVALUE(CriteriTecnici!$M1561,",","."),0))),4)&amp;""),",",".")&amp;", "&amp;CHAR(34)&amp;"rawScore"&amp;CHAR(34)&amp;": "&amp;SUBSTITUTE(TRIM(ROUND(IFERROR(CriteriTecnici!$O1561*1,IFERROR(NUMBERVALUE(CriteriTecnici!$O1561,".",","),IFERROR(NUMBERVALUE(CriteriTecnici!$O1561,",","."),0))),4)&amp;""),",",".")&amp;CHAR(125)&amp;IF(TRUE,",",""))</f>
        <v/>
      </c>
    </row>
    <row r="1663">
      <c r="A1663" s="82">
        <f>IF(CriteriTecnici!$A1562="","","    "&amp;CHAR(123)&amp;CHAR(34)&amp;"bidderId"&amp;CHAR(34)&amp;": "&amp;CHAR(34)&amp;SUBSTITUTE(CriteriTecnici!$A1562,CHAR(34),"'")&amp;CHAR(34)&amp;", "&amp;CHAR(34)&amp;"lotId"&amp;CHAR(34)&amp;": "&amp;CHAR(34)&amp;SUBSTITUTE(CriteriTecnici!$C1562,CHAR(34),"'")&amp;CHAR(34)&amp;", "&amp;CHAR(34)&amp;"criterionId"&amp;CHAR(34)&amp;": "&amp;CHAR(34)&amp;SUBSTITUTE(CriteriTecnici!$D1562,CHAR(34),"'")&amp;CHAR(34)&amp;", "&amp;CHAR(34)&amp;"kind"&amp;CHAR(34)&amp;": "&amp;CHAR(34)&amp;SUBSTITUTE(CriteriTecnici!$F1562,CHAR(34),"'")&amp;CHAR(34)&amp;", "&amp;CHAR(34)&amp;"value"&amp;CHAR(34)&amp;": "&amp;SUBSTITUTE(TRIM(ROUND(IFERROR(CriteriTecnici!$N1562*1,IFERROR(NUMBERVALUE(CriteriTecnici!$N1562,".",","),IFERROR(NUMBERVALUE(CriteriTecnici!$N1562,",","."),0))),4)&amp;""),",",".")&amp;", "&amp;CHAR(34)&amp;"numerator"&amp;CHAR(34)&amp;": "&amp;SUBSTITUTE(TRIM(ROUND(IFERROR(CriteriTecnici!$K1562*1,IFERROR(NUMBERVALUE(CriteriTecnici!$K1562,".",","),IFERROR(NUMBERVALUE(CriteriTecnici!$K1562,",","."),0))),4)&amp;""),",",".")&amp;", "&amp;CHAR(34)&amp;"denominator"&amp;CHAR(34)&amp;": "&amp;SUBSTITUTE(TRIM(ROUND(IFERROR(CriteriTecnici!$L1562*1,IFERROR(NUMBERVALUE(CriteriTecnici!$L1562,".",","),IFERROR(NUMBERVALUE(CriteriTecnici!$L1562,",","."),0))),4)&amp;""),",",".")&amp;", "&amp;CHAR(34)&amp;"flag"&amp;CHAR(34)&amp;": "&amp;SUBSTITUTE(TRIM(ROUND(IFERROR(CriteriTecnici!$M1562*1,IFERROR(NUMBERVALUE(CriteriTecnici!$M1562,".",","),IFERROR(NUMBERVALUE(CriteriTecnici!$M1562,",","."),0))),4)&amp;""),",",".")&amp;", "&amp;CHAR(34)&amp;"rawScore"&amp;CHAR(34)&amp;": "&amp;SUBSTITUTE(TRIM(ROUND(IFERROR(CriteriTecnici!$O1562*1,IFERROR(NUMBERVALUE(CriteriTecnici!$O1562,".",","),IFERROR(NUMBERVALUE(CriteriTecnici!$O1562,",","."),0))),4)&amp;""),",",".")&amp;CHAR(125)&amp;IF(TRUE,",",""))</f>
        <v/>
      </c>
    </row>
    <row r="1664">
      <c r="A1664" s="82">
        <f>IF(CriteriTecnici!$A1563="","","    "&amp;CHAR(123)&amp;CHAR(34)&amp;"bidderId"&amp;CHAR(34)&amp;": "&amp;CHAR(34)&amp;SUBSTITUTE(CriteriTecnici!$A1563,CHAR(34),"'")&amp;CHAR(34)&amp;", "&amp;CHAR(34)&amp;"lotId"&amp;CHAR(34)&amp;": "&amp;CHAR(34)&amp;SUBSTITUTE(CriteriTecnici!$C1563,CHAR(34),"'")&amp;CHAR(34)&amp;", "&amp;CHAR(34)&amp;"criterionId"&amp;CHAR(34)&amp;": "&amp;CHAR(34)&amp;SUBSTITUTE(CriteriTecnici!$D1563,CHAR(34),"'")&amp;CHAR(34)&amp;", "&amp;CHAR(34)&amp;"kind"&amp;CHAR(34)&amp;": "&amp;CHAR(34)&amp;SUBSTITUTE(CriteriTecnici!$F1563,CHAR(34),"'")&amp;CHAR(34)&amp;", "&amp;CHAR(34)&amp;"value"&amp;CHAR(34)&amp;": "&amp;SUBSTITUTE(TRIM(ROUND(IFERROR(CriteriTecnici!$N1563*1,IFERROR(NUMBERVALUE(CriteriTecnici!$N1563,".",","),IFERROR(NUMBERVALUE(CriteriTecnici!$N1563,",","."),0))),4)&amp;""),",",".")&amp;", "&amp;CHAR(34)&amp;"numerator"&amp;CHAR(34)&amp;": "&amp;SUBSTITUTE(TRIM(ROUND(IFERROR(CriteriTecnici!$K1563*1,IFERROR(NUMBERVALUE(CriteriTecnici!$K1563,".",","),IFERROR(NUMBERVALUE(CriteriTecnici!$K1563,",","."),0))),4)&amp;""),",",".")&amp;", "&amp;CHAR(34)&amp;"denominator"&amp;CHAR(34)&amp;": "&amp;SUBSTITUTE(TRIM(ROUND(IFERROR(CriteriTecnici!$L1563*1,IFERROR(NUMBERVALUE(CriteriTecnici!$L1563,".",","),IFERROR(NUMBERVALUE(CriteriTecnici!$L1563,",","."),0))),4)&amp;""),",",".")&amp;", "&amp;CHAR(34)&amp;"flag"&amp;CHAR(34)&amp;": "&amp;SUBSTITUTE(TRIM(ROUND(IFERROR(CriteriTecnici!$M1563*1,IFERROR(NUMBERVALUE(CriteriTecnici!$M1563,".",","),IFERROR(NUMBERVALUE(CriteriTecnici!$M1563,",","."),0))),4)&amp;""),",",".")&amp;", "&amp;CHAR(34)&amp;"rawScore"&amp;CHAR(34)&amp;": "&amp;SUBSTITUTE(TRIM(ROUND(IFERROR(CriteriTecnici!$O1563*1,IFERROR(NUMBERVALUE(CriteriTecnici!$O1563,".",","),IFERROR(NUMBERVALUE(CriteriTecnici!$O1563,",","."),0))),4)&amp;""),",",".")&amp;CHAR(125)&amp;IF(TRUE,",",""))</f>
        <v/>
      </c>
    </row>
    <row r="1665">
      <c r="A1665" s="82">
        <f>IF(CriteriTecnici!$A1564="","","    "&amp;CHAR(123)&amp;CHAR(34)&amp;"bidderId"&amp;CHAR(34)&amp;": "&amp;CHAR(34)&amp;SUBSTITUTE(CriteriTecnici!$A1564,CHAR(34),"'")&amp;CHAR(34)&amp;", "&amp;CHAR(34)&amp;"lotId"&amp;CHAR(34)&amp;": "&amp;CHAR(34)&amp;SUBSTITUTE(CriteriTecnici!$C1564,CHAR(34),"'")&amp;CHAR(34)&amp;", "&amp;CHAR(34)&amp;"criterionId"&amp;CHAR(34)&amp;": "&amp;CHAR(34)&amp;SUBSTITUTE(CriteriTecnici!$D1564,CHAR(34),"'")&amp;CHAR(34)&amp;", "&amp;CHAR(34)&amp;"kind"&amp;CHAR(34)&amp;": "&amp;CHAR(34)&amp;SUBSTITUTE(CriteriTecnici!$F1564,CHAR(34),"'")&amp;CHAR(34)&amp;", "&amp;CHAR(34)&amp;"value"&amp;CHAR(34)&amp;": "&amp;SUBSTITUTE(TRIM(ROUND(IFERROR(CriteriTecnici!$N1564*1,IFERROR(NUMBERVALUE(CriteriTecnici!$N1564,".",","),IFERROR(NUMBERVALUE(CriteriTecnici!$N1564,",","."),0))),4)&amp;""),",",".")&amp;", "&amp;CHAR(34)&amp;"numerator"&amp;CHAR(34)&amp;": "&amp;SUBSTITUTE(TRIM(ROUND(IFERROR(CriteriTecnici!$K1564*1,IFERROR(NUMBERVALUE(CriteriTecnici!$K1564,".",","),IFERROR(NUMBERVALUE(CriteriTecnici!$K1564,",","."),0))),4)&amp;""),",",".")&amp;", "&amp;CHAR(34)&amp;"denominator"&amp;CHAR(34)&amp;": "&amp;SUBSTITUTE(TRIM(ROUND(IFERROR(CriteriTecnici!$L1564*1,IFERROR(NUMBERVALUE(CriteriTecnici!$L1564,".",","),IFERROR(NUMBERVALUE(CriteriTecnici!$L1564,",","."),0))),4)&amp;""),",",".")&amp;", "&amp;CHAR(34)&amp;"flag"&amp;CHAR(34)&amp;": "&amp;SUBSTITUTE(TRIM(ROUND(IFERROR(CriteriTecnici!$M1564*1,IFERROR(NUMBERVALUE(CriteriTecnici!$M1564,".",","),IFERROR(NUMBERVALUE(CriteriTecnici!$M1564,",","."),0))),4)&amp;""),",",".")&amp;", "&amp;CHAR(34)&amp;"rawScore"&amp;CHAR(34)&amp;": "&amp;SUBSTITUTE(TRIM(ROUND(IFERROR(CriteriTecnici!$O1564*1,IFERROR(NUMBERVALUE(CriteriTecnici!$O1564,".",","),IFERROR(NUMBERVALUE(CriteriTecnici!$O1564,",","."),0))),4)&amp;""),",",".")&amp;CHAR(125)&amp;IF(TRUE,",",""))</f>
        <v/>
      </c>
    </row>
    <row r="1666">
      <c r="A1666" s="82">
        <f>IF(CriteriTecnici!$A1565="","","    "&amp;CHAR(123)&amp;CHAR(34)&amp;"bidderId"&amp;CHAR(34)&amp;": "&amp;CHAR(34)&amp;SUBSTITUTE(CriteriTecnici!$A1565,CHAR(34),"'")&amp;CHAR(34)&amp;", "&amp;CHAR(34)&amp;"lotId"&amp;CHAR(34)&amp;": "&amp;CHAR(34)&amp;SUBSTITUTE(CriteriTecnici!$C1565,CHAR(34),"'")&amp;CHAR(34)&amp;", "&amp;CHAR(34)&amp;"criterionId"&amp;CHAR(34)&amp;": "&amp;CHAR(34)&amp;SUBSTITUTE(CriteriTecnici!$D1565,CHAR(34),"'")&amp;CHAR(34)&amp;", "&amp;CHAR(34)&amp;"kind"&amp;CHAR(34)&amp;": "&amp;CHAR(34)&amp;SUBSTITUTE(CriteriTecnici!$F1565,CHAR(34),"'")&amp;CHAR(34)&amp;", "&amp;CHAR(34)&amp;"value"&amp;CHAR(34)&amp;": "&amp;SUBSTITUTE(TRIM(ROUND(IFERROR(CriteriTecnici!$N1565*1,IFERROR(NUMBERVALUE(CriteriTecnici!$N1565,".",","),IFERROR(NUMBERVALUE(CriteriTecnici!$N1565,",","."),0))),4)&amp;""),",",".")&amp;", "&amp;CHAR(34)&amp;"numerator"&amp;CHAR(34)&amp;": "&amp;SUBSTITUTE(TRIM(ROUND(IFERROR(CriteriTecnici!$K1565*1,IFERROR(NUMBERVALUE(CriteriTecnici!$K1565,".",","),IFERROR(NUMBERVALUE(CriteriTecnici!$K1565,",","."),0))),4)&amp;""),",",".")&amp;", "&amp;CHAR(34)&amp;"denominator"&amp;CHAR(34)&amp;": "&amp;SUBSTITUTE(TRIM(ROUND(IFERROR(CriteriTecnici!$L1565*1,IFERROR(NUMBERVALUE(CriteriTecnici!$L1565,".",","),IFERROR(NUMBERVALUE(CriteriTecnici!$L1565,",","."),0))),4)&amp;""),",",".")&amp;", "&amp;CHAR(34)&amp;"flag"&amp;CHAR(34)&amp;": "&amp;SUBSTITUTE(TRIM(ROUND(IFERROR(CriteriTecnici!$M1565*1,IFERROR(NUMBERVALUE(CriteriTecnici!$M1565,".",","),IFERROR(NUMBERVALUE(CriteriTecnici!$M1565,",","."),0))),4)&amp;""),",",".")&amp;", "&amp;CHAR(34)&amp;"rawScore"&amp;CHAR(34)&amp;": "&amp;SUBSTITUTE(TRIM(ROUND(IFERROR(CriteriTecnici!$O1565*1,IFERROR(NUMBERVALUE(CriteriTecnici!$O1565,".",","),IFERROR(NUMBERVALUE(CriteriTecnici!$O1565,",","."),0))),4)&amp;""),",",".")&amp;CHAR(125)&amp;IF(TRUE,",",""))</f>
        <v/>
      </c>
    </row>
    <row r="1667">
      <c r="A1667" s="82">
        <f>IF(CriteriTecnici!$A1566="","","    "&amp;CHAR(123)&amp;CHAR(34)&amp;"bidderId"&amp;CHAR(34)&amp;": "&amp;CHAR(34)&amp;SUBSTITUTE(CriteriTecnici!$A1566,CHAR(34),"'")&amp;CHAR(34)&amp;", "&amp;CHAR(34)&amp;"lotId"&amp;CHAR(34)&amp;": "&amp;CHAR(34)&amp;SUBSTITUTE(CriteriTecnici!$C1566,CHAR(34),"'")&amp;CHAR(34)&amp;", "&amp;CHAR(34)&amp;"criterionId"&amp;CHAR(34)&amp;": "&amp;CHAR(34)&amp;SUBSTITUTE(CriteriTecnici!$D1566,CHAR(34),"'")&amp;CHAR(34)&amp;", "&amp;CHAR(34)&amp;"kind"&amp;CHAR(34)&amp;": "&amp;CHAR(34)&amp;SUBSTITUTE(CriteriTecnici!$F1566,CHAR(34),"'")&amp;CHAR(34)&amp;", "&amp;CHAR(34)&amp;"value"&amp;CHAR(34)&amp;": "&amp;SUBSTITUTE(TRIM(ROUND(IFERROR(CriteriTecnici!$N1566*1,IFERROR(NUMBERVALUE(CriteriTecnici!$N1566,".",","),IFERROR(NUMBERVALUE(CriteriTecnici!$N1566,",","."),0))),4)&amp;""),",",".")&amp;", "&amp;CHAR(34)&amp;"numerator"&amp;CHAR(34)&amp;": "&amp;SUBSTITUTE(TRIM(ROUND(IFERROR(CriteriTecnici!$K1566*1,IFERROR(NUMBERVALUE(CriteriTecnici!$K1566,".",","),IFERROR(NUMBERVALUE(CriteriTecnici!$K1566,",","."),0))),4)&amp;""),",",".")&amp;", "&amp;CHAR(34)&amp;"denominator"&amp;CHAR(34)&amp;": "&amp;SUBSTITUTE(TRIM(ROUND(IFERROR(CriteriTecnici!$L1566*1,IFERROR(NUMBERVALUE(CriteriTecnici!$L1566,".",","),IFERROR(NUMBERVALUE(CriteriTecnici!$L1566,",","."),0))),4)&amp;""),",",".")&amp;", "&amp;CHAR(34)&amp;"flag"&amp;CHAR(34)&amp;": "&amp;SUBSTITUTE(TRIM(ROUND(IFERROR(CriteriTecnici!$M1566*1,IFERROR(NUMBERVALUE(CriteriTecnici!$M1566,".",","),IFERROR(NUMBERVALUE(CriteriTecnici!$M1566,",","."),0))),4)&amp;""),",",".")&amp;", "&amp;CHAR(34)&amp;"rawScore"&amp;CHAR(34)&amp;": "&amp;SUBSTITUTE(TRIM(ROUND(IFERROR(CriteriTecnici!$O1566*1,IFERROR(NUMBERVALUE(CriteriTecnici!$O1566,".",","),IFERROR(NUMBERVALUE(CriteriTecnici!$O1566,",","."),0))),4)&amp;""),",",".")&amp;CHAR(125)&amp;IF(TRUE,",",""))</f>
        <v/>
      </c>
    </row>
    <row r="1668">
      <c r="A1668" s="82">
        <f>IF(CriteriTecnici!$A1567="","","    "&amp;CHAR(123)&amp;CHAR(34)&amp;"bidderId"&amp;CHAR(34)&amp;": "&amp;CHAR(34)&amp;SUBSTITUTE(CriteriTecnici!$A1567,CHAR(34),"'")&amp;CHAR(34)&amp;", "&amp;CHAR(34)&amp;"lotId"&amp;CHAR(34)&amp;": "&amp;CHAR(34)&amp;SUBSTITUTE(CriteriTecnici!$C1567,CHAR(34),"'")&amp;CHAR(34)&amp;", "&amp;CHAR(34)&amp;"criterionId"&amp;CHAR(34)&amp;": "&amp;CHAR(34)&amp;SUBSTITUTE(CriteriTecnici!$D1567,CHAR(34),"'")&amp;CHAR(34)&amp;", "&amp;CHAR(34)&amp;"kind"&amp;CHAR(34)&amp;": "&amp;CHAR(34)&amp;SUBSTITUTE(CriteriTecnici!$F1567,CHAR(34),"'")&amp;CHAR(34)&amp;", "&amp;CHAR(34)&amp;"value"&amp;CHAR(34)&amp;": "&amp;SUBSTITUTE(TRIM(ROUND(IFERROR(CriteriTecnici!$N1567*1,IFERROR(NUMBERVALUE(CriteriTecnici!$N1567,".",","),IFERROR(NUMBERVALUE(CriteriTecnici!$N1567,",","."),0))),4)&amp;""),",",".")&amp;", "&amp;CHAR(34)&amp;"numerator"&amp;CHAR(34)&amp;": "&amp;SUBSTITUTE(TRIM(ROUND(IFERROR(CriteriTecnici!$K1567*1,IFERROR(NUMBERVALUE(CriteriTecnici!$K1567,".",","),IFERROR(NUMBERVALUE(CriteriTecnici!$K1567,",","."),0))),4)&amp;""),",",".")&amp;", "&amp;CHAR(34)&amp;"denominator"&amp;CHAR(34)&amp;": "&amp;SUBSTITUTE(TRIM(ROUND(IFERROR(CriteriTecnici!$L1567*1,IFERROR(NUMBERVALUE(CriteriTecnici!$L1567,".",","),IFERROR(NUMBERVALUE(CriteriTecnici!$L1567,",","."),0))),4)&amp;""),",",".")&amp;", "&amp;CHAR(34)&amp;"flag"&amp;CHAR(34)&amp;": "&amp;SUBSTITUTE(TRIM(ROUND(IFERROR(CriteriTecnici!$M1567*1,IFERROR(NUMBERVALUE(CriteriTecnici!$M1567,".",","),IFERROR(NUMBERVALUE(CriteriTecnici!$M1567,",","."),0))),4)&amp;""),",",".")&amp;", "&amp;CHAR(34)&amp;"rawScore"&amp;CHAR(34)&amp;": "&amp;SUBSTITUTE(TRIM(ROUND(IFERROR(CriteriTecnici!$O1567*1,IFERROR(NUMBERVALUE(CriteriTecnici!$O1567,".",","),IFERROR(NUMBERVALUE(CriteriTecnici!$O1567,",","."),0))),4)&amp;""),",",".")&amp;CHAR(125)&amp;IF(TRUE,",",""))</f>
        <v/>
      </c>
    </row>
    <row r="1669">
      <c r="A1669" s="82">
        <f>IF(CriteriTecnici!$A1568="","","    "&amp;CHAR(123)&amp;CHAR(34)&amp;"bidderId"&amp;CHAR(34)&amp;": "&amp;CHAR(34)&amp;SUBSTITUTE(CriteriTecnici!$A1568,CHAR(34),"'")&amp;CHAR(34)&amp;", "&amp;CHAR(34)&amp;"lotId"&amp;CHAR(34)&amp;": "&amp;CHAR(34)&amp;SUBSTITUTE(CriteriTecnici!$C1568,CHAR(34),"'")&amp;CHAR(34)&amp;", "&amp;CHAR(34)&amp;"criterionId"&amp;CHAR(34)&amp;": "&amp;CHAR(34)&amp;SUBSTITUTE(CriteriTecnici!$D1568,CHAR(34),"'")&amp;CHAR(34)&amp;", "&amp;CHAR(34)&amp;"kind"&amp;CHAR(34)&amp;": "&amp;CHAR(34)&amp;SUBSTITUTE(CriteriTecnici!$F1568,CHAR(34),"'")&amp;CHAR(34)&amp;", "&amp;CHAR(34)&amp;"value"&amp;CHAR(34)&amp;": "&amp;SUBSTITUTE(TRIM(ROUND(IFERROR(CriteriTecnici!$N1568*1,IFERROR(NUMBERVALUE(CriteriTecnici!$N1568,".",","),IFERROR(NUMBERVALUE(CriteriTecnici!$N1568,",","."),0))),4)&amp;""),",",".")&amp;", "&amp;CHAR(34)&amp;"numerator"&amp;CHAR(34)&amp;": "&amp;SUBSTITUTE(TRIM(ROUND(IFERROR(CriteriTecnici!$K1568*1,IFERROR(NUMBERVALUE(CriteriTecnici!$K1568,".",","),IFERROR(NUMBERVALUE(CriteriTecnici!$K1568,",","."),0))),4)&amp;""),",",".")&amp;", "&amp;CHAR(34)&amp;"denominator"&amp;CHAR(34)&amp;": "&amp;SUBSTITUTE(TRIM(ROUND(IFERROR(CriteriTecnici!$L1568*1,IFERROR(NUMBERVALUE(CriteriTecnici!$L1568,".",","),IFERROR(NUMBERVALUE(CriteriTecnici!$L1568,",","."),0))),4)&amp;""),",",".")&amp;", "&amp;CHAR(34)&amp;"flag"&amp;CHAR(34)&amp;": "&amp;SUBSTITUTE(TRIM(ROUND(IFERROR(CriteriTecnici!$M1568*1,IFERROR(NUMBERVALUE(CriteriTecnici!$M1568,".",","),IFERROR(NUMBERVALUE(CriteriTecnici!$M1568,",","."),0))),4)&amp;""),",",".")&amp;", "&amp;CHAR(34)&amp;"rawScore"&amp;CHAR(34)&amp;": "&amp;SUBSTITUTE(TRIM(ROUND(IFERROR(CriteriTecnici!$O1568*1,IFERROR(NUMBERVALUE(CriteriTecnici!$O1568,".",","),IFERROR(NUMBERVALUE(CriteriTecnici!$O1568,",","."),0))),4)&amp;""),",",".")&amp;CHAR(125)&amp;IF(TRUE,",",""))</f>
        <v/>
      </c>
    </row>
    <row r="1670">
      <c r="A1670" s="82">
        <f>IF(CriteriTecnici!$A1569="","","    "&amp;CHAR(123)&amp;CHAR(34)&amp;"bidderId"&amp;CHAR(34)&amp;": "&amp;CHAR(34)&amp;SUBSTITUTE(CriteriTecnici!$A1569,CHAR(34),"'")&amp;CHAR(34)&amp;", "&amp;CHAR(34)&amp;"lotId"&amp;CHAR(34)&amp;": "&amp;CHAR(34)&amp;SUBSTITUTE(CriteriTecnici!$C1569,CHAR(34),"'")&amp;CHAR(34)&amp;", "&amp;CHAR(34)&amp;"criterionId"&amp;CHAR(34)&amp;": "&amp;CHAR(34)&amp;SUBSTITUTE(CriteriTecnici!$D1569,CHAR(34),"'")&amp;CHAR(34)&amp;", "&amp;CHAR(34)&amp;"kind"&amp;CHAR(34)&amp;": "&amp;CHAR(34)&amp;SUBSTITUTE(CriteriTecnici!$F1569,CHAR(34),"'")&amp;CHAR(34)&amp;", "&amp;CHAR(34)&amp;"value"&amp;CHAR(34)&amp;": "&amp;SUBSTITUTE(TRIM(ROUND(IFERROR(CriteriTecnici!$N1569*1,IFERROR(NUMBERVALUE(CriteriTecnici!$N1569,".",","),IFERROR(NUMBERVALUE(CriteriTecnici!$N1569,",","."),0))),4)&amp;""),",",".")&amp;", "&amp;CHAR(34)&amp;"numerator"&amp;CHAR(34)&amp;": "&amp;SUBSTITUTE(TRIM(ROUND(IFERROR(CriteriTecnici!$K1569*1,IFERROR(NUMBERVALUE(CriteriTecnici!$K1569,".",","),IFERROR(NUMBERVALUE(CriteriTecnici!$K1569,",","."),0))),4)&amp;""),",",".")&amp;", "&amp;CHAR(34)&amp;"denominator"&amp;CHAR(34)&amp;": "&amp;SUBSTITUTE(TRIM(ROUND(IFERROR(CriteriTecnici!$L1569*1,IFERROR(NUMBERVALUE(CriteriTecnici!$L1569,".",","),IFERROR(NUMBERVALUE(CriteriTecnici!$L1569,",","."),0))),4)&amp;""),",",".")&amp;", "&amp;CHAR(34)&amp;"flag"&amp;CHAR(34)&amp;": "&amp;SUBSTITUTE(TRIM(ROUND(IFERROR(CriteriTecnici!$M1569*1,IFERROR(NUMBERVALUE(CriteriTecnici!$M1569,".",","),IFERROR(NUMBERVALUE(CriteriTecnici!$M1569,",","."),0))),4)&amp;""),",",".")&amp;", "&amp;CHAR(34)&amp;"rawScore"&amp;CHAR(34)&amp;": "&amp;SUBSTITUTE(TRIM(ROUND(IFERROR(CriteriTecnici!$O1569*1,IFERROR(NUMBERVALUE(CriteriTecnici!$O1569,".",","),IFERROR(NUMBERVALUE(CriteriTecnici!$O1569,",","."),0))),4)&amp;""),",",".")&amp;CHAR(125)&amp;IF(TRUE,",",""))</f>
        <v/>
      </c>
    </row>
    <row r="1671">
      <c r="A1671" s="82">
        <f>IF(CriteriTecnici!$A1570="","","    "&amp;CHAR(123)&amp;CHAR(34)&amp;"bidderId"&amp;CHAR(34)&amp;": "&amp;CHAR(34)&amp;SUBSTITUTE(CriteriTecnici!$A1570,CHAR(34),"'")&amp;CHAR(34)&amp;", "&amp;CHAR(34)&amp;"lotId"&amp;CHAR(34)&amp;": "&amp;CHAR(34)&amp;SUBSTITUTE(CriteriTecnici!$C1570,CHAR(34),"'")&amp;CHAR(34)&amp;", "&amp;CHAR(34)&amp;"criterionId"&amp;CHAR(34)&amp;": "&amp;CHAR(34)&amp;SUBSTITUTE(CriteriTecnici!$D1570,CHAR(34),"'")&amp;CHAR(34)&amp;", "&amp;CHAR(34)&amp;"kind"&amp;CHAR(34)&amp;": "&amp;CHAR(34)&amp;SUBSTITUTE(CriteriTecnici!$F1570,CHAR(34),"'")&amp;CHAR(34)&amp;", "&amp;CHAR(34)&amp;"value"&amp;CHAR(34)&amp;": "&amp;SUBSTITUTE(TRIM(ROUND(IFERROR(CriteriTecnici!$N1570*1,IFERROR(NUMBERVALUE(CriteriTecnici!$N1570,".",","),IFERROR(NUMBERVALUE(CriteriTecnici!$N1570,",","."),0))),4)&amp;""),",",".")&amp;", "&amp;CHAR(34)&amp;"numerator"&amp;CHAR(34)&amp;": "&amp;SUBSTITUTE(TRIM(ROUND(IFERROR(CriteriTecnici!$K1570*1,IFERROR(NUMBERVALUE(CriteriTecnici!$K1570,".",","),IFERROR(NUMBERVALUE(CriteriTecnici!$K1570,",","."),0))),4)&amp;""),",",".")&amp;", "&amp;CHAR(34)&amp;"denominator"&amp;CHAR(34)&amp;": "&amp;SUBSTITUTE(TRIM(ROUND(IFERROR(CriteriTecnici!$L1570*1,IFERROR(NUMBERVALUE(CriteriTecnici!$L1570,".",","),IFERROR(NUMBERVALUE(CriteriTecnici!$L1570,",","."),0))),4)&amp;""),",",".")&amp;", "&amp;CHAR(34)&amp;"flag"&amp;CHAR(34)&amp;": "&amp;SUBSTITUTE(TRIM(ROUND(IFERROR(CriteriTecnici!$M1570*1,IFERROR(NUMBERVALUE(CriteriTecnici!$M1570,".",","),IFERROR(NUMBERVALUE(CriteriTecnici!$M1570,",","."),0))),4)&amp;""),",",".")&amp;", "&amp;CHAR(34)&amp;"rawScore"&amp;CHAR(34)&amp;": "&amp;SUBSTITUTE(TRIM(ROUND(IFERROR(CriteriTecnici!$O1570*1,IFERROR(NUMBERVALUE(CriteriTecnici!$O1570,".",","),IFERROR(NUMBERVALUE(CriteriTecnici!$O1570,",","."),0))),4)&amp;""),",",".")&amp;CHAR(125)&amp;IF(TRUE,",",""))</f>
        <v/>
      </c>
    </row>
    <row r="1672">
      <c r="A1672" s="82">
        <f>IF(CriteriTecnici!$A1571="","","    "&amp;CHAR(123)&amp;CHAR(34)&amp;"bidderId"&amp;CHAR(34)&amp;": "&amp;CHAR(34)&amp;SUBSTITUTE(CriteriTecnici!$A1571,CHAR(34),"'")&amp;CHAR(34)&amp;", "&amp;CHAR(34)&amp;"lotId"&amp;CHAR(34)&amp;": "&amp;CHAR(34)&amp;SUBSTITUTE(CriteriTecnici!$C1571,CHAR(34),"'")&amp;CHAR(34)&amp;", "&amp;CHAR(34)&amp;"criterionId"&amp;CHAR(34)&amp;": "&amp;CHAR(34)&amp;SUBSTITUTE(CriteriTecnici!$D1571,CHAR(34),"'")&amp;CHAR(34)&amp;", "&amp;CHAR(34)&amp;"kind"&amp;CHAR(34)&amp;": "&amp;CHAR(34)&amp;SUBSTITUTE(CriteriTecnici!$F1571,CHAR(34),"'")&amp;CHAR(34)&amp;", "&amp;CHAR(34)&amp;"value"&amp;CHAR(34)&amp;": "&amp;SUBSTITUTE(TRIM(ROUND(IFERROR(CriteriTecnici!$N1571*1,IFERROR(NUMBERVALUE(CriteriTecnici!$N1571,".",","),IFERROR(NUMBERVALUE(CriteriTecnici!$N1571,",","."),0))),4)&amp;""),",",".")&amp;", "&amp;CHAR(34)&amp;"numerator"&amp;CHAR(34)&amp;": "&amp;SUBSTITUTE(TRIM(ROUND(IFERROR(CriteriTecnici!$K1571*1,IFERROR(NUMBERVALUE(CriteriTecnici!$K1571,".",","),IFERROR(NUMBERVALUE(CriteriTecnici!$K1571,",","."),0))),4)&amp;""),",",".")&amp;", "&amp;CHAR(34)&amp;"denominator"&amp;CHAR(34)&amp;": "&amp;SUBSTITUTE(TRIM(ROUND(IFERROR(CriteriTecnici!$L1571*1,IFERROR(NUMBERVALUE(CriteriTecnici!$L1571,".",","),IFERROR(NUMBERVALUE(CriteriTecnici!$L1571,",","."),0))),4)&amp;""),",",".")&amp;", "&amp;CHAR(34)&amp;"flag"&amp;CHAR(34)&amp;": "&amp;SUBSTITUTE(TRIM(ROUND(IFERROR(CriteriTecnici!$M1571*1,IFERROR(NUMBERVALUE(CriteriTecnici!$M1571,".",","),IFERROR(NUMBERVALUE(CriteriTecnici!$M1571,",","."),0))),4)&amp;""),",",".")&amp;", "&amp;CHAR(34)&amp;"rawScore"&amp;CHAR(34)&amp;": "&amp;SUBSTITUTE(TRIM(ROUND(IFERROR(CriteriTecnici!$O1571*1,IFERROR(NUMBERVALUE(CriteriTecnici!$O1571,".",","),IFERROR(NUMBERVALUE(CriteriTecnici!$O1571,",","."),0))),4)&amp;""),",",".")&amp;CHAR(125)&amp;IF(TRUE,",",""))</f>
        <v/>
      </c>
    </row>
    <row r="1673">
      <c r="A1673" s="82">
        <f>IF(CriteriTecnici!$A1572="","","    "&amp;CHAR(123)&amp;CHAR(34)&amp;"bidderId"&amp;CHAR(34)&amp;": "&amp;CHAR(34)&amp;SUBSTITUTE(CriteriTecnici!$A1572,CHAR(34),"'")&amp;CHAR(34)&amp;", "&amp;CHAR(34)&amp;"lotId"&amp;CHAR(34)&amp;": "&amp;CHAR(34)&amp;SUBSTITUTE(CriteriTecnici!$C1572,CHAR(34),"'")&amp;CHAR(34)&amp;", "&amp;CHAR(34)&amp;"criterionId"&amp;CHAR(34)&amp;": "&amp;CHAR(34)&amp;SUBSTITUTE(CriteriTecnici!$D1572,CHAR(34),"'")&amp;CHAR(34)&amp;", "&amp;CHAR(34)&amp;"kind"&amp;CHAR(34)&amp;": "&amp;CHAR(34)&amp;SUBSTITUTE(CriteriTecnici!$F1572,CHAR(34),"'")&amp;CHAR(34)&amp;", "&amp;CHAR(34)&amp;"value"&amp;CHAR(34)&amp;": "&amp;SUBSTITUTE(TRIM(ROUND(IFERROR(CriteriTecnici!$N1572*1,IFERROR(NUMBERVALUE(CriteriTecnici!$N1572,".",","),IFERROR(NUMBERVALUE(CriteriTecnici!$N1572,",","."),0))),4)&amp;""),",",".")&amp;", "&amp;CHAR(34)&amp;"numerator"&amp;CHAR(34)&amp;": "&amp;SUBSTITUTE(TRIM(ROUND(IFERROR(CriteriTecnici!$K1572*1,IFERROR(NUMBERVALUE(CriteriTecnici!$K1572,".",","),IFERROR(NUMBERVALUE(CriteriTecnici!$K1572,",","."),0))),4)&amp;""),",",".")&amp;", "&amp;CHAR(34)&amp;"denominator"&amp;CHAR(34)&amp;": "&amp;SUBSTITUTE(TRIM(ROUND(IFERROR(CriteriTecnici!$L1572*1,IFERROR(NUMBERVALUE(CriteriTecnici!$L1572,".",","),IFERROR(NUMBERVALUE(CriteriTecnici!$L1572,",","."),0))),4)&amp;""),",",".")&amp;", "&amp;CHAR(34)&amp;"flag"&amp;CHAR(34)&amp;": "&amp;SUBSTITUTE(TRIM(ROUND(IFERROR(CriteriTecnici!$M1572*1,IFERROR(NUMBERVALUE(CriteriTecnici!$M1572,".",","),IFERROR(NUMBERVALUE(CriteriTecnici!$M1572,",","."),0))),4)&amp;""),",",".")&amp;", "&amp;CHAR(34)&amp;"rawScore"&amp;CHAR(34)&amp;": "&amp;SUBSTITUTE(TRIM(ROUND(IFERROR(CriteriTecnici!$O1572*1,IFERROR(NUMBERVALUE(CriteriTecnici!$O1572,".",","),IFERROR(NUMBERVALUE(CriteriTecnici!$O1572,",","."),0))),4)&amp;""),",",".")&amp;CHAR(125)&amp;IF(TRUE,",",""))</f>
        <v/>
      </c>
    </row>
    <row r="1674">
      <c r="A1674" s="82">
        <f>IF(CriteriTecnici!$A1573="","","    "&amp;CHAR(123)&amp;CHAR(34)&amp;"bidderId"&amp;CHAR(34)&amp;": "&amp;CHAR(34)&amp;SUBSTITUTE(CriteriTecnici!$A1573,CHAR(34),"'")&amp;CHAR(34)&amp;", "&amp;CHAR(34)&amp;"lotId"&amp;CHAR(34)&amp;": "&amp;CHAR(34)&amp;SUBSTITUTE(CriteriTecnici!$C1573,CHAR(34),"'")&amp;CHAR(34)&amp;", "&amp;CHAR(34)&amp;"criterionId"&amp;CHAR(34)&amp;": "&amp;CHAR(34)&amp;SUBSTITUTE(CriteriTecnici!$D1573,CHAR(34),"'")&amp;CHAR(34)&amp;", "&amp;CHAR(34)&amp;"kind"&amp;CHAR(34)&amp;": "&amp;CHAR(34)&amp;SUBSTITUTE(CriteriTecnici!$F1573,CHAR(34),"'")&amp;CHAR(34)&amp;", "&amp;CHAR(34)&amp;"value"&amp;CHAR(34)&amp;": "&amp;SUBSTITUTE(TRIM(ROUND(IFERROR(CriteriTecnici!$N1573*1,IFERROR(NUMBERVALUE(CriteriTecnici!$N1573,".",","),IFERROR(NUMBERVALUE(CriteriTecnici!$N1573,",","."),0))),4)&amp;""),",",".")&amp;", "&amp;CHAR(34)&amp;"numerator"&amp;CHAR(34)&amp;": "&amp;SUBSTITUTE(TRIM(ROUND(IFERROR(CriteriTecnici!$K1573*1,IFERROR(NUMBERVALUE(CriteriTecnici!$K1573,".",","),IFERROR(NUMBERVALUE(CriteriTecnici!$K1573,",","."),0))),4)&amp;""),",",".")&amp;", "&amp;CHAR(34)&amp;"denominator"&amp;CHAR(34)&amp;": "&amp;SUBSTITUTE(TRIM(ROUND(IFERROR(CriteriTecnici!$L1573*1,IFERROR(NUMBERVALUE(CriteriTecnici!$L1573,".",","),IFERROR(NUMBERVALUE(CriteriTecnici!$L1573,",","."),0))),4)&amp;""),",",".")&amp;", "&amp;CHAR(34)&amp;"flag"&amp;CHAR(34)&amp;": "&amp;SUBSTITUTE(TRIM(ROUND(IFERROR(CriteriTecnici!$M1573*1,IFERROR(NUMBERVALUE(CriteriTecnici!$M1573,".",","),IFERROR(NUMBERVALUE(CriteriTecnici!$M1573,",","."),0))),4)&amp;""),",",".")&amp;", "&amp;CHAR(34)&amp;"rawScore"&amp;CHAR(34)&amp;": "&amp;SUBSTITUTE(TRIM(ROUND(IFERROR(CriteriTecnici!$O1573*1,IFERROR(NUMBERVALUE(CriteriTecnici!$O1573,".",","),IFERROR(NUMBERVALUE(CriteriTecnici!$O1573,",","."),0))),4)&amp;""),",",".")&amp;CHAR(125)&amp;IF(TRUE,",",""))</f>
        <v/>
      </c>
    </row>
    <row r="1675">
      <c r="A1675" s="82">
        <f>IF(CriteriTecnici!$A1574="","","    "&amp;CHAR(123)&amp;CHAR(34)&amp;"bidderId"&amp;CHAR(34)&amp;": "&amp;CHAR(34)&amp;SUBSTITUTE(CriteriTecnici!$A1574,CHAR(34),"'")&amp;CHAR(34)&amp;", "&amp;CHAR(34)&amp;"lotId"&amp;CHAR(34)&amp;": "&amp;CHAR(34)&amp;SUBSTITUTE(CriteriTecnici!$C1574,CHAR(34),"'")&amp;CHAR(34)&amp;", "&amp;CHAR(34)&amp;"criterionId"&amp;CHAR(34)&amp;": "&amp;CHAR(34)&amp;SUBSTITUTE(CriteriTecnici!$D1574,CHAR(34),"'")&amp;CHAR(34)&amp;", "&amp;CHAR(34)&amp;"kind"&amp;CHAR(34)&amp;": "&amp;CHAR(34)&amp;SUBSTITUTE(CriteriTecnici!$F1574,CHAR(34),"'")&amp;CHAR(34)&amp;", "&amp;CHAR(34)&amp;"value"&amp;CHAR(34)&amp;": "&amp;SUBSTITUTE(TRIM(ROUND(IFERROR(CriteriTecnici!$N1574*1,IFERROR(NUMBERVALUE(CriteriTecnici!$N1574,".",","),IFERROR(NUMBERVALUE(CriteriTecnici!$N1574,",","."),0))),4)&amp;""),",",".")&amp;", "&amp;CHAR(34)&amp;"numerator"&amp;CHAR(34)&amp;": "&amp;SUBSTITUTE(TRIM(ROUND(IFERROR(CriteriTecnici!$K1574*1,IFERROR(NUMBERVALUE(CriteriTecnici!$K1574,".",","),IFERROR(NUMBERVALUE(CriteriTecnici!$K1574,",","."),0))),4)&amp;""),",",".")&amp;", "&amp;CHAR(34)&amp;"denominator"&amp;CHAR(34)&amp;": "&amp;SUBSTITUTE(TRIM(ROUND(IFERROR(CriteriTecnici!$L1574*1,IFERROR(NUMBERVALUE(CriteriTecnici!$L1574,".",","),IFERROR(NUMBERVALUE(CriteriTecnici!$L1574,",","."),0))),4)&amp;""),",",".")&amp;", "&amp;CHAR(34)&amp;"flag"&amp;CHAR(34)&amp;": "&amp;SUBSTITUTE(TRIM(ROUND(IFERROR(CriteriTecnici!$M1574*1,IFERROR(NUMBERVALUE(CriteriTecnici!$M1574,".",","),IFERROR(NUMBERVALUE(CriteriTecnici!$M1574,",","."),0))),4)&amp;""),",",".")&amp;", "&amp;CHAR(34)&amp;"rawScore"&amp;CHAR(34)&amp;": "&amp;SUBSTITUTE(TRIM(ROUND(IFERROR(CriteriTecnici!$O1574*1,IFERROR(NUMBERVALUE(CriteriTecnici!$O1574,".",","),IFERROR(NUMBERVALUE(CriteriTecnici!$O1574,",","."),0))),4)&amp;""),",",".")&amp;CHAR(125)&amp;IF(TRUE,",",""))</f>
        <v/>
      </c>
    </row>
    <row r="1676">
      <c r="A1676" s="82">
        <f>IF(CriteriTecnici!$A1575="","","    "&amp;CHAR(123)&amp;CHAR(34)&amp;"bidderId"&amp;CHAR(34)&amp;": "&amp;CHAR(34)&amp;SUBSTITUTE(CriteriTecnici!$A1575,CHAR(34),"'")&amp;CHAR(34)&amp;", "&amp;CHAR(34)&amp;"lotId"&amp;CHAR(34)&amp;": "&amp;CHAR(34)&amp;SUBSTITUTE(CriteriTecnici!$C1575,CHAR(34),"'")&amp;CHAR(34)&amp;", "&amp;CHAR(34)&amp;"criterionId"&amp;CHAR(34)&amp;": "&amp;CHAR(34)&amp;SUBSTITUTE(CriteriTecnici!$D1575,CHAR(34),"'")&amp;CHAR(34)&amp;", "&amp;CHAR(34)&amp;"kind"&amp;CHAR(34)&amp;": "&amp;CHAR(34)&amp;SUBSTITUTE(CriteriTecnici!$F1575,CHAR(34),"'")&amp;CHAR(34)&amp;", "&amp;CHAR(34)&amp;"value"&amp;CHAR(34)&amp;": "&amp;SUBSTITUTE(TRIM(ROUND(IFERROR(CriteriTecnici!$N1575*1,IFERROR(NUMBERVALUE(CriteriTecnici!$N1575,".",","),IFERROR(NUMBERVALUE(CriteriTecnici!$N1575,",","."),0))),4)&amp;""),",",".")&amp;", "&amp;CHAR(34)&amp;"numerator"&amp;CHAR(34)&amp;": "&amp;SUBSTITUTE(TRIM(ROUND(IFERROR(CriteriTecnici!$K1575*1,IFERROR(NUMBERVALUE(CriteriTecnici!$K1575,".",","),IFERROR(NUMBERVALUE(CriteriTecnici!$K1575,",","."),0))),4)&amp;""),",",".")&amp;", "&amp;CHAR(34)&amp;"denominator"&amp;CHAR(34)&amp;": "&amp;SUBSTITUTE(TRIM(ROUND(IFERROR(CriteriTecnici!$L1575*1,IFERROR(NUMBERVALUE(CriteriTecnici!$L1575,".",","),IFERROR(NUMBERVALUE(CriteriTecnici!$L1575,",","."),0))),4)&amp;""),",",".")&amp;", "&amp;CHAR(34)&amp;"flag"&amp;CHAR(34)&amp;": "&amp;SUBSTITUTE(TRIM(ROUND(IFERROR(CriteriTecnici!$M1575*1,IFERROR(NUMBERVALUE(CriteriTecnici!$M1575,".",","),IFERROR(NUMBERVALUE(CriteriTecnici!$M1575,",","."),0))),4)&amp;""),",",".")&amp;", "&amp;CHAR(34)&amp;"rawScore"&amp;CHAR(34)&amp;": "&amp;SUBSTITUTE(TRIM(ROUND(IFERROR(CriteriTecnici!$O1575*1,IFERROR(NUMBERVALUE(CriteriTecnici!$O1575,".",","),IFERROR(NUMBERVALUE(CriteriTecnici!$O1575,",","."),0))),4)&amp;""),",",".")&amp;CHAR(125)&amp;IF(TRUE,",",""))</f>
        <v/>
      </c>
    </row>
    <row r="1677">
      <c r="A1677" s="82">
        <f>IF(CriteriTecnici!$A1576="","","    "&amp;CHAR(123)&amp;CHAR(34)&amp;"bidderId"&amp;CHAR(34)&amp;": "&amp;CHAR(34)&amp;SUBSTITUTE(CriteriTecnici!$A1576,CHAR(34),"'")&amp;CHAR(34)&amp;", "&amp;CHAR(34)&amp;"lotId"&amp;CHAR(34)&amp;": "&amp;CHAR(34)&amp;SUBSTITUTE(CriteriTecnici!$C1576,CHAR(34),"'")&amp;CHAR(34)&amp;", "&amp;CHAR(34)&amp;"criterionId"&amp;CHAR(34)&amp;": "&amp;CHAR(34)&amp;SUBSTITUTE(CriteriTecnici!$D1576,CHAR(34),"'")&amp;CHAR(34)&amp;", "&amp;CHAR(34)&amp;"kind"&amp;CHAR(34)&amp;": "&amp;CHAR(34)&amp;SUBSTITUTE(CriteriTecnici!$F1576,CHAR(34),"'")&amp;CHAR(34)&amp;", "&amp;CHAR(34)&amp;"value"&amp;CHAR(34)&amp;": "&amp;SUBSTITUTE(TRIM(ROUND(IFERROR(CriteriTecnici!$N1576*1,IFERROR(NUMBERVALUE(CriteriTecnici!$N1576,".",","),IFERROR(NUMBERVALUE(CriteriTecnici!$N1576,",","."),0))),4)&amp;""),",",".")&amp;", "&amp;CHAR(34)&amp;"numerator"&amp;CHAR(34)&amp;": "&amp;SUBSTITUTE(TRIM(ROUND(IFERROR(CriteriTecnici!$K1576*1,IFERROR(NUMBERVALUE(CriteriTecnici!$K1576,".",","),IFERROR(NUMBERVALUE(CriteriTecnici!$K1576,",","."),0))),4)&amp;""),",",".")&amp;", "&amp;CHAR(34)&amp;"denominator"&amp;CHAR(34)&amp;": "&amp;SUBSTITUTE(TRIM(ROUND(IFERROR(CriteriTecnici!$L1576*1,IFERROR(NUMBERVALUE(CriteriTecnici!$L1576,".",","),IFERROR(NUMBERVALUE(CriteriTecnici!$L1576,",","."),0))),4)&amp;""),",",".")&amp;", "&amp;CHAR(34)&amp;"flag"&amp;CHAR(34)&amp;": "&amp;SUBSTITUTE(TRIM(ROUND(IFERROR(CriteriTecnici!$M1576*1,IFERROR(NUMBERVALUE(CriteriTecnici!$M1576,".",","),IFERROR(NUMBERVALUE(CriteriTecnici!$M1576,",","."),0))),4)&amp;""),",",".")&amp;", "&amp;CHAR(34)&amp;"rawScore"&amp;CHAR(34)&amp;": "&amp;SUBSTITUTE(TRIM(ROUND(IFERROR(CriteriTecnici!$O1576*1,IFERROR(NUMBERVALUE(CriteriTecnici!$O1576,".",","),IFERROR(NUMBERVALUE(CriteriTecnici!$O1576,",","."),0))),4)&amp;""),",",".")&amp;CHAR(125)&amp;IF(TRUE,",",""))</f>
        <v/>
      </c>
    </row>
    <row r="1678">
      <c r="A1678" s="82">
        <f>IF(CriteriTecnici!$A1577="","","    "&amp;CHAR(123)&amp;CHAR(34)&amp;"bidderId"&amp;CHAR(34)&amp;": "&amp;CHAR(34)&amp;SUBSTITUTE(CriteriTecnici!$A1577,CHAR(34),"'")&amp;CHAR(34)&amp;", "&amp;CHAR(34)&amp;"lotId"&amp;CHAR(34)&amp;": "&amp;CHAR(34)&amp;SUBSTITUTE(CriteriTecnici!$C1577,CHAR(34),"'")&amp;CHAR(34)&amp;", "&amp;CHAR(34)&amp;"criterionId"&amp;CHAR(34)&amp;": "&amp;CHAR(34)&amp;SUBSTITUTE(CriteriTecnici!$D1577,CHAR(34),"'")&amp;CHAR(34)&amp;", "&amp;CHAR(34)&amp;"kind"&amp;CHAR(34)&amp;": "&amp;CHAR(34)&amp;SUBSTITUTE(CriteriTecnici!$F1577,CHAR(34),"'")&amp;CHAR(34)&amp;", "&amp;CHAR(34)&amp;"value"&amp;CHAR(34)&amp;": "&amp;SUBSTITUTE(TRIM(ROUND(IFERROR(CriteriTecnici!$N1577*1,IFERROR(NUMBERVALUE(CriteriTecnici!$N1577,".",","),IFERROR(NUMBERVALUE(CriteriTecnici!$N1577,",","."),0))),4)&amp;""),",",".")&amp;", "&amp;CHAR(34)&amp;"numerator"&amp;CHAR(34)&amp;": "&amp;SUBSTITUTE(TRIM(ROUND(IFERROR(CriteriTecnici!$K1577*1,IFERROR(NUMBERVALUE(CriteriTecnici!$K1577,".",","),IFERROR(NUMBERVALUE(CriteriTecnici!$K1577,",","."),0))),4)&amp;""),",",".")&amp;", "&amp;CHAR(34)&amp;"denominator"&amp;CHAR(34)&amp;": "&amp;SUBSTITUTE(TRIM(ROUND(IFERROR(CriteriTecnici!$L1577*1,IFERROR(NUMBERVALUE(CriteriTecnici!$L1577,".",","),IFERROR(NUMBERVALUE(CriteriTecnici!$L1577,",","."),0))),4)&amp;""),",",".")&amp;", "&amp;CHAR(34)&amp;"flag"&amp;CHAR(34)&amp;": "&amp;SUBSTITUTE(TRIM(ROUND(IFERROR(CriteriTecnici!$M1577*1,IFERROR(NUMBERVALUE(CriteriTecnici!$M1577,".",","),IFERROR(NUMBERVALUE(CriteriTecnici!$M1577,",","."),0))),4)&amp;""),",",".")&amp;", "&amp;CHAR(34)&amp;"rawScore"&amp;CHAR(34)&amp;": "&amp;SUBSTITUTE(TRIM(ROUND(IFERROR(CriteriTecnici!$O1577*1,IFERROR(NUMBERVALUE(CriteriTecnici!$O1577,".",","),IFERROR(NUMBERVALUE(CriteriTecnici!$O1577,",","."),0))),4)&amp;""),",",".")&amp;CHAR(125)&amp;IF(TRUE,",",""))</f>
        <v/>
      </c>
    </row>
    <row r="1679">
      <c r="A1679" s="82">
        <f>IF(CriteriTecnici!$A1578="","","    "&amp;CHAR(123)&amp;CHAR(34)&amp;"bidderId"&amp;CHAR(34)&amp;": "&amp;CHAR(34)&amp;SUBSTITUTE(CriteriTecnici!$A1578,CHAR(34),"'")&amp;CHAR(34)&amp;", "&amp;CHAR(34)&amp;"lotId"&amp;CHAR(34)&amp;": "&amp;CHAR(34)&amp;SUBSTITUTE(CriteriTecnici!$C1578,CHAR(34),"'")&amp;CHAR(34)&amp;", "&amp;CHAR(34)&amp;"criterionId"&amp;CHAR(34)&amp;": "&amp;CHAR(34)&amp;SUBSTITUTE(CriteriTecnici!$D1578,CHAR(34),"'")&amp;CHAR(34)&amp;", "&amp;CHAR(34)&amp;"kind"&amp;CHAR(34)&amp;": "&amp;CHAR(34)&amp;SUBSTITUTE(CriteriTecnici!$F1578,CHAR(34),"'")&amp;CHAR(34)&amp;", "&amp;CHAR(34)&amp;"value"&amp;CHAR(34)&amp;": "&amp;SUBSTITUTE(TRIM(ROUND(IFERROR(CriteriTecnici!$N1578*1,IFERROR(NUMBERVALUE(CriteriTecnici!$N1578,".",","),IFERROR(NUMBERVALUE(CriteriTecnici!$N1578,",","."),0))),4)&amp;""),",",".")&amp;", "&amp;CHAR(34)&amp;"numerator"&amp;CHAR(34)&amp;": "&amp;SUBSTITUTE(TRIM(ROUND(IFERROR(CriteriTecnici!$K1578*1,IFERROR(NUMBERVALUE(CriteriTecnici!$K1578,".",","),IFERROR(NUMBERVALUE(CriteriTecnici!$K1578,",","."),0))),4)&amp;""),",",".")&amp;", "&amp;CHAR(34)&amp;"denominator"&amp;CHAR(34)&amp;": "&amp;SUBSTITUTE(TRIM(ROUND(IFERROR(CriteriTecnici!$L1578*1,IFERROR(NUMBERVALUE(CriteriTecnici!$L1578,".",","),IFERROR(NUMBERVALUE(CriteriTecnici!$L1578,",","."),0))),4)&amp;""),",",".")&amp;", "&amp;CHAR(34)&amp;"flag"&amp;CHAR(34)&amp;": "&amp;SUBSTITUTE(TRIM(ROUND(IFERROR(CriteriTecnici!$M1578*1,IFERROR(NUMBERVALUE(CriteriTecnici!$M1578,".",","),IFERROR(NUMBERVALUE(CriteriTecnici!$M1578,",","."),0))),4)&amp;""),",",".")&amp;", "&amp;CHAR(34)&amp;"rawScore"&amp;CHAR(34)&amp;": "&amp;SUBSTITUTE(TRIM(ROUND(IFERROR(CriteriTecnici!$O1578*1,IFERROR(NUMBERVALUE(CriteriTecnici!$O1578,".",","),IFERROR(NUMBERVALUE(CriteriTecnici!$O1578,",","."),0))),4)&amp;""),",",".")&amp;CHAR(125)&amp;IF(TRUE,",",""))</f>
        <v/>
      </c>
    </row>
    <row r="1680">
      <c r="A1680" s="82">
        <f>IF(CriteriTecnici!$A1579="","","    "&amp;CHAR(123)&amp;CHAR(34)&amp;"bidderId"&amp;CHAR(34)&amp;": "&amp;CHAR(34)&amp;SUBSTITUTE(CriteriTecnici!$A1579,CHAR(34),"'")&amp;CHAR(34)&amp;", "&amp;CHAR(34)&amp;"lotId"&amp;CHAR(34)&amp;": "&amp;CHAR(34)&amp;SUBSTITUTE(CriteriTecnici!$C1579,CHAR(34),"'")&amp;CHAR(34)&amp;", "&amp;CHAR(34)&amp;"criterionId"&amp;CHAR(34)&amp;": "&amp;CHAR(34)&amp;SUBSTITUTE(CriteriTecnici!$D1579,CHAR(34),"'")&amp;CHAR(34)&amp;", "&amp;CHAR(34)&amp;"kind"&amp;CHAR(34)&amp;": "&amp;CHAR(34)&amp;SUBSTITUTE(CriteriTecnici!$F1579,CHAR(34),"'")&amp;CHAR(34)&amp;", "&amp;CHAR(34)&amp;"value"&amp;CHAR(34)&amp;": "&amp;SUBSTITUTE(TRIM(ROUND(IFERROR(CriteriTecnici!$N1579*1,IFERROR(NUMBERVALUE(CriteriTecnici!$N1579,".",","),IFERROR(NUMBERVALUE(CriteriTecnici!$N1579,",","."),0))),4)&amp;""),",",".")&amp;", "&amp;CHAR(34)&amp;"numerator"&amp;CHAR(34)&amp;": "&amp;SUBSTITUTE(TRIM(ROUND(IFERROR(CriteriTecnici!$K1579*1,IFERROR(NUMBERVALUE(CriteriTecnici!$K1579,".",","),IFERROR(NUMBERVALUE(CriteriTecnici!$K1579,",","."),0))),4)&amp;""),",",".")&amp;", "&amp;CHAR(34)&amp;"denominator"&amp;CHAR(34)&amp;": "&amp;SUBSTITUTE(TRIM(ROUND(IFERROR(CriteriTecnici!$L1579*1,IFERROR(NUMBERVALUE(CriteriTecnici!$L1579,".",","),IFERROR(NUMBERVALUE(CriteriTecnici!$L1579,",","."),0))),4)&amp;""),",",".")&amp;", "&amp;CHAR(34)&amp;"flag"&amp;CHAR(34)&amp;": "&amp;SUBSTITUTE(TRIM(ROUND(IFERROR(CriteriTecnici!$M1579*1,IFERROR(NUMBERVALUE(CriteriTecnici!$M1579,".",","),IFERROR(NUMBERVALUE(CriteriTecnici!$M1579,",","."),0))),4)&amp;""),",",".")&amp;", "&amp;CHAR(34)&amp;"rawScore"&amp;CHAR(34)&amp;": "&amp;SUBSTITUTE(TRIM(ROUND(IFERROR(CriteriTecnici!$O1579*1,IFERROR(NUMBERVALUE(CriteriTecnici!$O1579,".",","),IFERROR(NUMBERVALUE(CriteriTecnici!$O1579,",","."),0))),4)&amp;""),",",".")&amp;CHAR(125)&amp;IF(TRUE,",",""))</f>
        <v/>
      </c>
    </row>
    <row r="1681">
      <c r="A1681" s="82">
        <f>IF(CriteriTecnici!$A1580="","","    "&amp;CHAR(123)&amp;CHAR(34)&amp;"bidderId"&amp;CHAR(34)&amp;": "&amp;CHAR(34)&amp;SUBSTITUTE(CriteriTecnici!$A1580,CHAR(34),"'")&amp;CHAR(34)&amp;", "&amp;CHAR(34)&amp;"lotId"&amp;CHAR(34)&amp;": "&amp;CHAR(34)&amp;SUBSTITUTE(CriteriTecnici!$C1580,CHAR(34),"'")&amp;CHAR(34)&amp;", "&amp;CHAR(34)&amp;"criterionId"&amp;CHAR(34)&amp;": "&amp;CHAR(34)&amp;SUBSTITUTE(CriteriTecnici!$D1580,CHAR(34),"'")&amp;CHAR(34)&amp;", "&amp;CHAR(34)&amp;"kind"&amp;CHAR(34)&amp;": "&amp;CHAR(34)&amp;SUBSTITUTE(CriteriTecnici!$F1580,CHAR(34),"'")&amp;CHAR(34)&amp;", "&amp;CHAR(34)&amp;"value"&amp;CHAR(34)&amp;": "&amp;SUBSTITUTE(TRIM(ROUND(IFERROR(CriteriTecnici!$N1580*1,IFERROR(NUMBERVALUE(CriteriTecnici!$N1580,".",","),IFERROR(NUMBERVALUE(CriteriTecnici!$N1580,",","."),0))),4)&amp;""),",",".")&amp;", "&amp;CHAR(34)&amp;"numerator"&amp;CHAR(34)&amp;": "&amp;SUBSTITUTE(TRIM(ROUND(IFERROR(CriteriTecnici!$K1580*1,IFERROR(NUMBERVALUE(CriteriTecnici!$K1580,".",","),IFERROR(NUMBERVALUE(CriteriTecnici!$K1580,",","."),0))),4)&amp;""),",",".")&amp;", "&amp;CHAR(34)&amp;"denominator"&amp;CHAR(34)&amp;": "&amp;SUBSTITUTE(TRIM(ROUND(IFERROR(CriteriTecnici!$L1580*1,IFERROR(NUMBERVALUE(CriteriTecnici!$L1580,".",","),IFERROR(NUMBERVALUE(CriteriTecnici!$L1580,",","."),0))),4)&amp;""),",",".")&amp;", "&amp;CHAR(34)&amp;"flag"&amp;CHAR(34)&amp;": "&amp;SUBSTITUTE(TRIM(ROUND(IFERROR(CriteriTecnici!$M1580*1,IFERROR(NUMBERVALUE(CriteriTecnici!$M1580,".",","),IFERROR(NUMBERVALUE(CriteriTecnici!$M1580,",","."),0))),4)&amp;""),",",".")&amp;", "&amp;CHAR(34)&amp;"rawScore"&amp;CHAR(34)&amp;": "&amp;SUBSTITUTE(TRIM(ROUND(IFERROR(CriteriTecnici!$O1580*1,IFERROR(NUMBERVALUE(CriteriTecnici!$O1580,".",","),IFERROR(NUMBERVALUE(CriteriTecnici!$O1580,",","."),0))),4)&amp;""),",",".")&amp;CHAR(125)&amp;IF(TRUE,",",""))</f>
        <v/>
      </c>
    </row>
    <row r="1682">
      <c r="A1682" s="82">
        <f>IF(CriteriTecnici!$A1581="","","    "&amp;CHAR(123)&amp;CHAR(34)&amp;"bidderId"&amp;CHAR(34)&amp;": "&amp;CHAR(34)&amp;SUBSTITUTE(CriteriTecnici!$A1581,CHAR(34),"'")&amp;CHAR(34)&amp;", "&amp;CHAR(34)&amp;"lotId"&amp;CHAR(34)&amp;": "&amp;CHAR(34)&amp;SUBSTITUTE(CriteriTecnici!$C1581,CHAR(34),"'")&amp;CHAR(34)&amp;", "&amp;CHAR(34)&amp;"criterionId"&amp;CHAR(34)&amp;": "&amp;CHAR(34)&amp;SUBSTITUTE(CriteriTecnici!$D1581,CHAR(34),"'")&amp;CHAR(34)&amp;", "&amp;CHAR(34)&amp;"kind"&amp;CHAR(34)&amp;": "&amp;CHAR(34)&amp;SUBSTITUTE(CriteriTecnici!$F1581,CHAR(34),"'")&amp;CHAR(34)&amp;", "&amp;CHAR(34)&amp;"value"&amp;CHAR(34)&amp;": "&amp;SUBSTITUTE(TRIM(ROUND(IFERROR(CriteriTecnici!$N1581*1,IFERROR(NUMBERVALUE(CriteriTecnici!$N1581,".",","),IFERROR(NUMBERVALUE(CriteriTecnici!$N1581,",","."),0))),4)&amp;""),",",".")&amp;", "&amp;CHAR(34)&amp;"numerator"&amp;CHAR(34)&amp;": "&amp;SUBSTITUTE(TRIM(ROUND(IFERROR(CriteriTecnici!$K1581*1,IFERROR(NUMBERVALUE(CriteriTecnici!$K1581,".",","),IFERROR(NUMBERVALUE(CriteriTecnici!$K1581,",","."),0))),4)&amp;""),",",".")&amp;", "&amp;CHAR(34)&amp;"denominator"&amp;CHAR(34)&amp;": "&amp;SUBSTITUTE(TRIM(ROUND(IFERROR(CriteriTecnici!$L1581*1,IFERROR(NUMBERVALUE(CriteriTecnici!$L1581,".",","),IFERROR(NUMBERVALUE(CriteriTecnici!$L1581,",","."),0))),4)&amp;""),",",".")&amp;", "&amp;CHAR(34)&amp;"flag"&amp;CHAR(34)&amp;": "&amp;SUBSTITUTE(TRIM(ROUND(IFERROR(CriteriTecnici!$M1581*1,IFERROR(NUMBERVALUE(CriteriTecnici!$M1581,".",","),IFERROR(NUMBERVALUE(CriteriTecnici!$M1581,",","."),0))),4)&amp;""),",",".")&amp;", "&amp;CHAR(34)&amp;"rawScore"&amp;CHAR(34)&amp;": "&amp;SUBSTITUTE(TRIM(ROUND(IFERROR(CriteriTecnici!$O1581*1,IFERROR(NUMBERVALUE(CriteriTecnici!$O1581,".",","),IFERROR(NUMBERVALUE(CriteriTecnici!$O1581,",","."),0))),4)&amp;""),",",".")&amp;CHAR(125)&amp;IF(TRUE,",",""))</f>
        <v/>
      </c>
    </row>
    <row r="1683">
      <c r="A1683" s="82">
        <f>IF(CriteriTecnici!$A1582="","","    "&amp;CHAR(123)&amp;CHAR(34)&amp;"bidderId"&amp;CHAR(34)&amp;": "&amp;CHAR(34)&amp;SUBSTITUTE(CriteriTecnici!$A1582,CHAR(34),"'")&amp;CHAR(34)&amp;", "&amp;CHAR(34)&amp;"lotId"&amp;CHAR(34)&amp;": "&amp;CHAR(34)&amp;SUBSTITUTE(CriteriTecnici!$C1582,CHAR(34),"'")&amp;CHAR(34)&amp;", "&amp;CHAR(34)&amp;"criterionId"&amp;CHAR(34)&amp;": "&amp;CHAR(34)&amp;SUBSTITUTE(CriteriTecnici!$D1582,CHAR(34),"'")&amp;CHAR(34)&amp;", "&amp;CHAR(34)&amp;"kind"&amp;CHAR(34)&amp;": "&amp;CHAR(34)&amp;SUBSTITUTE(CriteriTecnici!$F1582,CHAR(34),"'")&amp;CHAR(34)&amp;", "&amp;CHAR(34)&amp;"value"&amp;CHAR(34)&amp;": "&amp;SUBSTITUTE(TRIM(ROUND(IFERROR(CriteriTecnici!$N1582*1,IFERROR(NUMBERVALUE(CriteriTecnici!$N1582,".",","),IFERROR(NUMBERVALUE(CriteriTecnici!$N1582,",","."),0))),4)&amp;""),",",".")&amp;", "&amp;CHAR(34)&amp;"numerator"&amp;CHAR(34)&amp;": "&amp;SUBSTITUTE(TRIM(ROUND(IFERROR(CriteriTecnici!$K1582*1,IFERROR(NUMBERVALUE(CriteriTecnici!$K1582,".",","),IFERROR(NUMBERVALUE(CriteriTecnici!$K1582,",","."),0))),4)&amp;""),",",".")&amp;", "&amp;CHAR(34)&amp;"denominator"&amp;CHAR(34)&amp;": "&amp;SUBSTITUTE(TRIM(ROUND(IFERROR(CriteriTecnici!$L1582*1,IFERROR(NUMBERVALUE(CriteriTecnici!$L1582,".",","),IFERROR(NUMBERVALUE(CriteriTecnici!$L1582,",","."),0))),4)&amp;""),",",".")&amp;", "&amp;CHAR(34)&amp;"flag"&amp;CHAR(34)&amp;": "&amp;SUBSTITUTE(TRIM(ROUND(IFERROR(CriteriTecnici!$M1582*1,IFERROR(NUMBERVALUE(CriteriTecnici!$M1582,".",","),IFERROR(NUMBERVALUE(CriteriTecnici!$M1582,",","."),0))),4)&amp;""),",",".")&amp;", "&amp;CHAR(34)&amp;"rawScore"&amp;CHAR(34)&amp;": "&amp;SUBSTITUTE(TRIM(ROUND(IFERROR(CriteriTecnici!$O1582*1,IFERROR(NUMBERVALUE(CriteriTecnici!$O1582,".",","),IFERROR(NUMBERVALUE(CriteriTecnici!$O1582,",","."),0))),4)&amp;""),",",".")&amp;CHAR(125)&amp;IF(TRUE,",",""))</f>
        <v/>
      </c>
    </row>
    <row r="1684">
      <c r="A1684" s="82">
        <f>IF(CriteriTecnici!$A1583="","","    "&amp;CHAR(123)&amp;CHAR(34)&amp;"bidderId"&amp;CHAR(34)&amp;": "&amp;CHAR(34)&amp;SUBSTITUTE(CriteriTecnici!$A1583,CHAR(34),"'")&amp;CHAR(34)&amp;", "&amp;CHAR(34)&amp;"lotId"&amp;CHAR(34)&amp;": "&amp;CHAR(34)&amp;SUBSTITUTE(CriteriTecnici!$C1583,CHAR(34),"'")&amp;CHAR(34)&amp;", "&amp;CHAR(34)&amp;"criterionId"&amp;CHAR(34)&amp;": "&amp;CHAR(34)&amp;SUBSTITUTE(CriteriTecnici!$D1583,CHAR(34),"'")&amp;CHAR(34)&amp;", "&amp;CHAR(34)&amp;"kind"&amp;CHAR(34)&amp;": "&amp;CHAR(34)&amp;SUBSTITUTE(CriteriTecnici!$F1583,CHAR(34),"'")&amp;CHAR(34)&amp;", "&amp;CHAR(34)&amp;"value"&amp;CHAR(34)&amp;": "&amp;SUBSTITUTE(TRIM(ROUND(IFERROR(CriteriTecnici!$N1583*1,IFERROR(NUMBERVALUE(CriteriTecnici!$N1583,".",","),IFERROR(NUMBERVALUE(CriteriTecnici!$N1583,",","."),0))),4)&amp;""),",",".")&amp;", "&amp;CHAR(34)&amp;"numerator"&amp;CHAR(34)&amp;": "&amp;SUBSTITUTE(TRIM(ROUND(IFERROR(CriteriTecnici!$K1583*1,IFERROR(NUMBERVALUE(CriteriTecnici!$K1583,".",","),IFERROR(NUMBERVALUE(CriteriTecnici!$K1583,",","."),0))),4)&amp;""),",",".")&amp;", "&amp;CHAR(34)&amp;"denominator"&amp;CHAR(34)&amp;": "&amp;SUBSTITUTE(TRIM(ROUND(IFERROR(CriteriTecnici!$L1583*1,IFERROR(NUMBERVALUE(CriteriTecnici!$L1583,".",","),IFERROR(NUMBERVALUE(CriteriTecnici!$L1583,",","."),0))),4)&amp;""),",",".")&amp;", "&amp;CHAR(34)&amp;"flag"&amp;CHAR(34)&amp;": "&amp;SUBSTITUTE(TRIM(ROUND(IFERROR(CriteriTecnici!$M1583*1,IFERROR(NUMBERVALUE(CriteriTecnici!$M1583,".",","),IFERROR(NUMBERVALUE(CriteriTecnici!$M1583,",","."),0))),4)&amp;""),",",".")&amp;", "&amp;CHAR(34)&amp;"rawScore"&amp;CHAR(34)&amp;": "&amp;SUBSTITUTE(TRIM(ROUND(IFERROR(CriteriTecnici!$O1583*1,IFERROR(NUMBERVALUE(CriteriTecnici!$O1583,".",","),IFERROR(NUMBERVALUE(CriteriTecnici!$O1583,",","."),0))),4)&amp;""),",",".")&amp;CHAR(125)&amp;IF(TRUE,",",""))</f>
        <v/>
      </c>
    </row>
    <row r="1685">
      <c r="A1685" s="82">
        <f>IF(CriteriTecnici!$A1584="","","    "&amp;CHAR(123)&amp;CHAR(34)&amp;"bidderId"&amp;CHAR(34)&amp;": "&amp;CHAR(34)&amp;SUBSTITUTE(CriteriTecnici!$A1584,CHAR(34),"'")&amp;CHAR(34)&amp;", "&amp;CHAR(34)&amp;"lotId"&amp;CHAR(34)&amp;": "&amp;CHAR(34)&amp;SUBSTITUTE(CriteriTecnici!$C1584,CHAR(34),"'")&amp;CHAR(34)&amp;", "&amp;CHAR(34)&amp;"criterionId"&amp;CHAR(34)&amp;": "&amp;CHAR(34)&amp;SUBSTITUTE(CriteriTecnici!$D1584,CHAR(34),"'")&amp;CHAR(34)&amp;", "&amp;CHAR(34)&amp;"kind"&amp;CHAR(34)&amp;": "&amp;CHAR(34)&amp;SUBSTITUTE(CriteriTecnici!$F1584,CHAR(34),"'")&amp;CHAR(34)&amp;", "&amp;CHAR(34)&amp;"value"&amp;CHAR(34)&amp;": "&amp;SUBSTITUTE(TRIM(ROUND(IFERROR(CriteriTecnici!$N1584*1,IFERROR(NUMBERVALUE(CriteriTecnici!$N1584,".",","),IFERROR(NUMBERVALUE(CriteriTecnici!$N1584,",","."),0))),4)&amp;""),",",".")&amp;", "&amp;CHAR(34)&amp;"numerator"&amp;CHAR(34)&amp;": "&amp;SUBSTITUTE(TRIM(ROUND(IFERROR(CriteriTecnici!$K1584*1,IFERROR(NUMBERVALUE(CriteriTecnici!$K1584,".",","),IFERROR(NUMBERVALUE(CriteriTecnici!$K1584,",","."),0))),4)&amp;""),",",".")&amp;", "&amp;CHAR(34)&amp;"denominator"&amp;CHAR(34)&amp;": "&amp;SUBSTITUTE(TRIM(ROUND(IFERROR(CriteriTecnici!$L1584*1,IFERROR(NUMBERVALUE(CriteriTecnici!$L1584,".",","),IFERROR(NUMBERVALUE(CriteriTecnici!$L1584,",","."),0))),4)&amp;""),",",".")&amp;", "&amp;CHAR(34)&amp;"flag"&amp;CHAR(34)&amp;": "&amp;SUBSTITUTE(TRIM(ROUND(IFERROR(CriteriTecnici!$M1584*1,IFERROR(NUMBERVALUE(CriteriTecnici!$M1584,".",","),IFERROR(NUMBERVALUE(CriteriTecnici!$M1584,",","."),0))),4)&amp;""),",",".")&amp;", "&amp;CHAR(34)&amp;"rawScore"&amp;CHAR(34)&amp;": "&amp;SUBSTITUTE(TRIM(ROUND(IFERROR(CriteriTecnici!$O1584*1,IFERROR(NUMBERVALUE(CriteriTecnici!$O1584,".",","),IFERROR(NUMBERVALUE(CriteriTecnici!$O1584,",","."),0))),4)&amp;""),",",".")&amp;CHAR(125)&amp;IF(TRUE,",",""))</f>
        <v/>
      </c>
    </row>
    <row r="1686">
      <c r="A1686" s="82">
        <f>IF(CriteriTecnici!$A1585="","","    "&amp;CHAR(123)&amp;CHAR(34)&amp;"bidderId"&amp;CHAR(34)&amp;": "&amp;CHAR(34)&amp;SUBSTITUTE(CriteriTecnici!$A1585,CHAR(34),"'")&amp;CHAR(34)&amp;", "&amp;CHAR(34)&amp;"lotId"&amp;CHAR(34)&amp;": "&amp;CHAR(34)&amp;SUBSTITUTE(CriteriTecnici!$C1585,CHAR(34),"'")&amp;CHAR(34)&amp;", "&amp;CHAR(34)&amp;"criterionId"&amp;CHAR(34)&amp;": "&amp;CHAR(34)&amp;SUBSTITUTE(CriteriTecnici!$D1585,CHAR(34),"'")&amp;CHAR(34)&amp;", "&amp;CHAR(34)&amp;"kind"&amp;CHAR(34)&amp;": "&amp;CHAR(34)&amp;SUBSTITUTE(CriteriTecnici!$F1585,CHAR(34),"'")&amp;CHAR(34)&amp;", "&amp;CHAR(34)&amp;"value"&amp;CHAR(34)&amp;": "&amp;SUBSTITUTE(TRIM(ROUND(IFERROR(CriteriTecnici!$N1585*1,IFERROR(NUMBERVALUE(CriteriTecnici!$N1585,".",","),IFERROR(NUMBERVALUE(CriteriTecnici!$N1585,",","."),0))),4)&amp;""),",",".")&amp;", "&amp;CHAR(34)&amp;"numerator"&amp;CHAR(34)&amp;": "&amp;SUBSTITUTE(TRIM(ROUND(IFERROR(CriteriTecnici!$K1585*1,IFERROR(NUMBERVALUE(CriteriTecnici!$K1585,".",","),IFERROR(NUMBERVALUE(CriteriTecnici!$K1585,",","."),0))),4)&amp;""),",",".")&amp;", "&amp;CHAR(34)&amp;"denominator"&amp;CHAR(34)&amp;": "&amp;SUBSTITUTE(TRIM(ROUND(IFERROR(CriteriTecnici!$L1585*1,IFERROR(NUMBERVALUE(CriteriTecnici!$L1585,".",","),IFERROR(NUMBERVALUE(CriteriTecnici!$L1585,",","."),0))),4)&amp;""),",",".")&amp;", "&amp;CHAR(34)&amp;"flag"&amp;CHAR(34)&amp;": "&amp;SUBSTITUTE(TRIM(ROUND(IFERROR(CriteriTecnici!$M1585*1,IFERROR(NUMBERVALUE(CriteriTecnici!$M1585,".",","),IFERROR(NUMBERVALUE(CriteriTecnici!$M1585,",","."),0))),4)&amp;""),",",".")&amp;", "&amp;CHAR(34)&amp;"rawScore"&amp;CHAR(34)&amp;": "&amp;SUBSTITUTE(TRIM(ROUND(IFERROR(CriteriTecnici!$O1585*1,IFERROR(NUMBERVALUE(CriteriTecnici!$O1585,".",","),IFERROR(NUMBERVALUE(CriteriTecnici!$O1585,",","."),0))),4)&amp;""),",",".")&amp;CHAR(125)&amp;IF(COUNTA(Offerte!$A53:$A$81)&gt;0,",",""))</f>
        <v/>
      </c>
    </row>
    <row r="1687">
      <c r="A1687" s="82">
        <f>IF(CriteriTecnici!$A1586="","","    "&amp;CHAR(123)&amp;CHAR(34)&amp;"bidderId"&amp;CHAR(34)&amp;": "&amp;CHAR(34)&amp;SUBSTITUTE(CriteriTecnici!$A1586,CHAR(34),"'")&amp;CHAR(34)&amp;", "&amp;CHAR(34)&amp;"lotId"&amp;CHAR(34)&amp;": "&amp;CHAR(34)&amp;SUBSTITUTE(CriteriTecnici!$C1586,CHAR(34),"'")&amp;CHAR(34)&amp;", "&amp;CHAR(34)&amp;"criterionId"&amp;CHAR(34)&amp;": "&amp;CHAR(34)&amp;SUBSTITUTE(CriteriTecnici!$D1586,CHAR(34),"'")&amp;CHAR(34)&amp;", "&amp;CHAR(34)&amp;"kind"&amp;CHAR(34)&amp;": "&amp;CHAR(34)&amp;SUBSTITUTE(CriteriTecnici!$F1586,CHAR(34),"'")&amp;CHAR(34)&amp;", "&amp;CHAR(34)&amp;"value"&amp;CHAR(34)&amp;": "&amp;SUBSTITUTE(TRIM(ROUND(IFERROR(CriteriTecnici!$N1586*1,IFERROR(NUMBERVALUE(CriteriTecnici!$N1586,".",","),IFERROR(NUMBERVALUE(CriteriTecnici!$N1586,",","."),0))),4)&amp;""),",",".")&amp;", "&amp;CHAR(34)&amp;"numerator"&amp;CHAR(34)&amp;": "&amp;SUBSTITUTE(TRIM(ROUND(IFERROR(CriteriTecnici!$K1586*1,IFERROR(NUMBERVALUE(CriteriTecnici!$K1586,".",","),IFERROR(NUMBERVALUE(CriteriTecnici!$K1586,",","."),0))),4)&amp;""),",",".")&amp;", "&amp;CHAR(34)&amp;"denominator"&amp;CHAR(34)&amp;": "&amp;SUBSTITUTE(TRIM(ROUND(IFERROR(CriteriTecnici!$L1586*1,IFERROR(NUMBERVALUE(CriteriTecnici!$L1586,".",","),IFERROR(NUMBERVALUE(CriteriTecnici!$L1586,",","."),0))),4)&amp;""),",",".")&amp;", "&amp;CHAR(34)&amp;"flag"&amp;CHAR(34)&amp;": "&amp;SUBSTITUTE(TRIM(ROUND(IFERROR(CriteriTecnici!$M1586*1,IFERROR(NUMBERVALUE(CriteriTecnici!$M1586,".",","),IFERROR(NUMBERVALUE(CriteriTecnici!$M1586,",","."),0))),4)&amp;""),",",".")&amp;", "&amp;CHAR(34)&amp;"rawScore"&amp;CHAR(34)&amp;": "&amp;SUBSTITUTE(TRIM(ROUND(IFERROR(CriteriTecnici!$O1586*1,IFERROR(NUMBERVALUE(CriteriTecnici!$O1586,".",","),IFERROR(NUMBERVALUE(CriteriTecnici!$O1586,",","."),0))),4)&amp;""),",",".")&amp;CHAR(125)&amp;IF(TRUE,",",""))</f>
        <v/>
      </c>
    </row>
    <row r="1688">
      <c r="A1688" s="82">
        <f>IF(CriteriTecnici!$A1587="","","    "&amp;CHAR(123)&amp;CHAR(34)&amp;"bidderId"&amp;CHAR(34)&amp;": "&amp;CHAR(34)&amp;SUBSTITUTE(CriteriTecnici!$A1587,CHAR(34),"'")&amp;CHAR(34)&amp;", "&amp;CHAR(34)&amp;"lotId"&amp;CHAR(34)&amp;": "&amp;CHAR(34)&amp;SUBSTITUTE(CriteriTecnici!$C1587,CHAR(34),"'")&amp;CHAR(34)&amp;", "&amp;CHAR(34)&amp;"criterionId"&amp;CHAR(34)&amp;": "&amp;CHAR(34)&amp;SUBSTITUTE(CriteriTecnici!$D1587,CHAR(34),"'")&amp;CHAR(34)&amp;", "&amp;CHAR(34)&amp;"kind"&amp;CHAR(34)&amp;": "&amp;CHAR(34)&amp;SUBSTITUTE(CriteriTecnici!$F1587,CHAR(34),"'")&amp;CHAR(34)&amp;", "&amp;CHAR(34)&amp;"value"&amp;CHAR(34)&amp;": "&amp;SUBSTITUTE(TRIM(ROUND(IFERROR(CriteriTecnici!$N1587*1,IFERROR(NUMBERVALUE(CriteriTecnici!$N1587,".",","),IFERROR(NUMBERVALUE(CriteriTecnici!$N1587,",","."),0))),4)&amp;""),",",".")&amp;", "&amp;CHAR(34)&amp;"numerator"&amp;CHAR(34)&amp;": "&amp;SUBSTITUTE(TRIM(ROUND(IFERROR(CriteriTecnici!$K1587*1,IFERROR(NUMBERVALUE(CriteriTecnici!$K1587,".",","),IFERROR(NUMBERVALUE(CriteriTecnici!$K1587,",","."),0))),4)&amp;""),",",".")&amp;", "&amp;CHAR(34)&amp;"denominator"&amp;CHAR(34)&amp;": "&amp;SUBSTITUTE(TRIM(ROUND(IFERROR(CriteriTecnici!$L1587*1,IFERROR(NUMBERVALUE(CriteriTecnici!$L1587,".",","),IFERROR(NUMBERVALUE(CriteriTecnici!$L1587,",","."),0))),4)&amp;""),",",".")&amp;", "&amp;CHAR(34)&amp;"flag"&amp;CHAR(34)&amp;": "&amp;SUBSTITUTE(TRIM(ROUND(IFERROR(CriteriTecnici!$M1587*1,IFERROR(NUMBERVALUE(CriteriTecnici!$M1587,".",","),IFERROR(NUMBERVALUE(CriteriTecnici!$M1587,",","."),0))),4)&amp;""),",",".")&amp;", "&amp;CHAR(34)&amp;"rawScore"&amp;CHAR(34)&amp;": "&amp;SUBSTITUTE(TRIM(ROUND(IFERROR(CriteriTecnici!$O1587*1,IFERROR(NUMBERVALUE(CriteriTecnici!$O1587,".",","),IFERROR(NUMBERVALUE(CriteriTecnici!$O1587,",","."),0))),4)&amp;""),",",".")&amp;CHAR(125)&amp;IF(TRUE,",",""))</f>
        <v/>
      </c>
    </row>
    <row r="1689">
      <c r="A1689" s="82">
        <f>IF(CriteriTecnici!$A1588="","","    "&amp;CHAR(123)&amp;CHAR(34)&amp;"bidderId"&amp;CHAR(34)&amp;": "&amp;CHAR(34)&amp;SUBSTITUTE(CriteriTecnici!$A1588,CHAR(34),"'")&amp;CHAR(34)&amp;", "&amp;CHAR(34)&amp;"lotId"&amp;CHAR(34)&amp;": "&amp;CHAR(34)&amp;SUBSTITUTE(CriteriTecnici!$C1588,CHAR(34),"'")&amp;CHAR(34)&amp;", "&amp;CHAR(34)&amp;"criterionId"&amp;CHAR(34)&amp;": "&amp;CHAR(34)&amp;SUBSTITUTE(CriteriTecnici!$D1588,CHAR(34),"'")&amp;CHAR(34)&amp;", "&amp;CHAR(34)&amp;"kind"&amp;CHAR(34)&amp;": "&amp;CHAR(34)&amp;SUBSTITUTE(CriteriTecnici!$F1588,CHAR(34),"'")&amp;CHAR(34)&amp;", "&amp;CHAR(34)&amp;"value"&amp;CHAR(34)&amp;": "&amp;SUBSTITUTE(TRIM(ROUND(IFERROR(CriteriTecnici!$N1588*1,IFERROR(NUMBERVALUE(CriteriTecnici!$N1588,".",","),IFERROR(NUMBERVALUE(CriteriTecnici!$N1588,",","."),0))),4)&amp;""),",",".")&amp;", "&amp;CHAR(34)&amp;"numerator"&amp;CHAR(34)&amp;": "&amp;SUBSTITUTE(TRIM(ROUND(IFERROR(CriteriTecnici!$K1588*1,IFERROR(NUMBERVALUE(CriteriTecnici!$K1588,".",","),IFERROR(NUMBERVALUE(CriteriTecnici!$K1588,",","."),0))),4)&amp;""),",",".")&amp;", "&amp;CHAR(34)&amp;"denominator"&amp;CHAR(34)&amp;": "&amp;SUBSTITUTE(TRIM(ROUND(IFERROR(CriteriTecnici!$L1588*1,IFERROR(NUMBERVALUE(CriteriTecnici!$L1588,".",","),IFERROR(NUMBERVALUE(CriteriTecnici!$L1588,",","."),0))),4)&amp;""),",",".")&amp;", "&amp;CHAR(34)&amp;"flag"&amp;CHAR(34)&amp;": "&amp;SUBSTITUTE(TRIM(ROUND(IFERROR(CriteriTecnici!$M1588*1,IFERROR(NUMBERVALUE(CriteriTecnici!$M1588,".",","),IFERROR(NUMBERVALUE(CriteriTecnici!$M1588,",","."),0))),4)&amp;""),",",".")&amp;", "&amp;CHAR(34)&amp;"rawScore"&amp;CHAR(34)&amp;": "&amp;SUBSTITUTE(TRIM(ROUND(IFERROR(CriteriTecnici!$O1588*1,IFERROR(NUMBERVALUE(CriteriTecnici!$O1588,".",","),IFERROR(NUMBERVALUE(CriteriTecnici!$O1588,",","."),0))),4)&amp;""),",",".")&amp;CHAR(125)&amp;IF(TRUE,",",""))</f>
        <v/>
      </c>
    </row>
    <row r="1690">
      <c r="A1690" s="82">
        <f>IF(CriteriTecnici!$A1589="","","    "&amp;CHAR(123)&amp;CHAR(34)&amp;"bidderId"&amp;CHAR(34)&amp;": "&amp;CHAR(34)&amp;SUBSTITUTE(CriteriTecnici!$A1589,CHAR(34),"'")&amp;CHAR(34)&amp;", "&amp;CHAR(34)&amp;"lotId"&amp;CHAR(34)&amp;": "&amp;CHAR(34)&amp;SUBSTITUTE(CriteriTecnici!$C1589,CHAR(34),"'")&amp;CHAR(34)&amp;", "&amp;CHAR(34)&amp;"criterionId"&amp;CHAR(34)&amp;": "&amp;CHAR(34)&amp;SUBSTITUTE(CriteriTecnici!$D1589,CHAR(34),"'")&amp;CHAR(34)&amp;", "&amp;CHAR(34)&amp;"kind"&amp;CHAR(34)&amp;": "&amp;CHAR(34)&amp;SUBSTITUTE(CriteriTecnici!$F1589,CHAR(34),"'")&amp;CHAR(34)&amp;", "&amp;CHAR(34)&amp;"value"&amp;CHAR(34)&amp;": "&amp;SUBSTITUTE(TRIM(ROUND(IFERROR(CriteriTecnici!$N1589*1,IFERROR(NUMBERVALUE(CriteriTecnici!$N1589,".",","),IFERROR(NUMBERVALUE(CriteriTecnici!$N1589,",","."),0))),4)&amp;""),",",".")&amp;", "&amp;CHAR(34)&amp;"numerator"&amp;CHAR(34)&amp;": "&amp;SUBSTITUTE(TRIM(ROUND(IFERROR(CriteriTecnici!$K1589*1,IFERROR(NUMBERVALUE(CriteriTecnici!$K1589,".",","),IFERROR(NUMBERVALUE(CriteriTecnici!$K1589,",","."),0))),4)&amp;""),",",".")&amp;", "&amp;CHAR(34)&amp;"denominator"&amp;CHAR(34)&amp;": "&amp;SUBSTITUTE(TRIM(ROUND(IFERROR(CriteriTecnici!$L1589*1,IFERROR(NUMBERVALUE(CriteriTecnici!$L1589,".",","),IFERROR(NUMBERVALUE(CriteriTecnici!$L1589,",","."),0))),4)&amp;""),",",".")&amp;", "&amp;CHAR(34)&amp;"flag"&amp;CHAR(34)&amp;": "&amp;SUBSTITUTE(TRIM(ROUND(IFERROR(CriteriTecnici!$M1589*1,IFERROR(NUMBERVALUE(CriteriTecnici!$M1589,".",","),IFERROR(NUMBERVALUE(CriteriTecnici!$M1589,",","."),0))),4)&amp;""),",",".")&amp;", "&amp;CHAR(34)&amp;"rawScore"&amp;CHAR(34)&amp;": "&amp;SUBSTITUTE(TRIM(ROUND(IFERROR(CriteriTecnici!$O1589*1,IFERROR(NUMBERVALUE(CriteriTecnici!$O1589,".",","),IFERROR(NUMBERVALUE(CriteriTecnici!$O1589,",","."),0))),4)&amp;""),",",".")&amp;CHAR(125)&amp;IF(TRUE,",",""))</f>
        <v/>
      </c>
    </row>
    <row r="1691">
      <c r="A1691" s="82">
        <f>IF(CriteriTecnici!$A1590="","","    "&amp;CHAR(123)&amp;CHAR(34)&amp;"bidderId"&amp;CHAR(34)&amp;": "&amp;CHAR(34)&amp;SUBSTITUTE(CriteriTecnici!$A1590,CHAR(34),"'")&amp;CHAR(34)&amp;", "&amp;CHAR(34)&amp;"lotId"&amp;CHAR(34)&amp;": "&amp;CHAR(34)&amp;SUBSTITUTE(CriteriTecnici!$C1590,CHAR(34),"'")&amp;CHAR(34)&amp;", "&amp;CHAR(34)&amp;"criterionId"&amp;CHAR(34)&amp;": "&amp;CHAR(34)&amp;SUBSTITUTE(CriteriTecnici!$D1590,CHAR(34),"'")&amp;CHAR(34)&amp;", "&amp;CHAR(34)&amp;"kind"&amp;CHAR(34)&amp;": "&amp;CHAR(34)&amp;SUBSTITUTE(CriteriTecnici!$F1590,CHAR(34),"'")&amp;CHAR(34)&amp;", "&amp;CHAR(34)&amp;"value"&amp;CHAR(34)&amp;": "&amp;SUBSTITUTE(TRIM(ROUND(IFERROR(CriteriTecnici!$N1590*1,IFERROR(NUMBERVALUE(CriteriTecnici!$N1590,".",","),IFERROR(NUMBERVALUE(CriteriTecnici!$N1590,",","."),0))),4)&amp;""),",",".")&amp;", "&amp;CHAR(34)&amp;"numerator"&amp;CHAR(34)&amp;": "&amp;SUBSTITUTE(TRIM(ROUND(IFERROR(CriteriTecnici!$K1590*1,IFERROR(NUMBERVALUE(CriteriTecnici!$K1590,".",","),IFERROR(NUMBERVALUE(CriteriTecnici!$K1590,",","."),0))),4)&amp;""),",",".")&amp;", "&amp;CHAR(34)&amp;"denominator"&amp;CHAR(34)&amp;": "&amp;SUBSTITUTE(TRIM(ROUND(IFERROR(CriteriTecnici!$L1590*1,IFERROR(NUMBERVALUE(CriteriTecnici!$L1590,".",","),IFERROR(NUMBERVALUE(CriteriTecnici!$L1590,",","."),0))),4)&amp;""),",",".")&amp;", "&amp;CHAR(34)&amp;"flag"&amp;CHAR(34)&amp;": "&amp;SUBSTITUTE(TRIM(ROUND(IFERROR(CriteriTecnici!$M1590*1,IFERROR(NUMBERVALUE(CriteriTecnici!$M1590,".",","),IFERROR(NUMBERVALUE(CriteriTecnici!$M1590,",","."),0))),4)&amp;""),",",".")&amp;", "&amp;CHAR(34)&amp;"rawScore"&amp;CHAR(34)&amp;": "&amp;SUBSTITUTE(TRIM(ROUND(IFERROR(CriteriTecnici!$O1590*1,IFERROR(NUMBERVALUE(CriteriTecnici!$O1590,".",","),IFERROR(NUMBERVALUE(CriteriTecnici!$O1590,",","."),0))),4)&amp;""),",",".")&amp;CHAR(125)&amp;IF(TRUE,",",""))</f>
        <v/>
      </c>
    </row>
    <row r="1692">
      <c r="A1692" s="82">
        <f>IF(CriteriTecnici!$A1591="","","    "&amp;CHAR(123)&amp;CHAR(34)&amp;"bidderId"&amp;CHAR(34)&amp;": "&amp;CHAR(34)&amp;SUBSTITUTE(CriteriTecnici!$A1591,CHAR(34),"'")&amp;CHAR(34)&amp;", "&amp;CHAR(34)&amp;"lotId"&amp;CHAR(34)&amp;": "&amp;CHAR(34)&amp;SUBSTITUTE(CriteriTecnici!$C1591,CHAR(34),"'")&amp;CHAR(34)&amp;", "&amp;CHAR(34)&amp;"criterionId"&amp;CHAR(34)&amp;": "&amp;CHAR(34)&amp;SUBSTITUTE(CriteriTecnici!$D1591,CHAR(34),"'")&amp;CHAR(34)&amp;", "&amp;CHAR(34)&amp;"kind"&amp;CHAR(34)&amp;": "&amp;CHAR(34)&amp;SUBSTITUTE(CriteriTecnici!$F1591,CHAR(34),"'")&amp;CHAR(34)&amp;", "&amp;CHAR(34)&amp;"value"&amp;CHAR(34)&amp;": "&amp;SUBSTITUTE(TRIM(ROUND(IFERROR(CriteriTecnici!$N1591*1,IFERROR(NUMBERVALUE(CriteriTecnici!$N1591,".",","),IFERROR(NUMBERVALUE(CriteriTecnici!$N1591,",","."),0))),4)&amp;""),",",".")&amp;", "&amp;CHAR(34)&amp;"numerator"&amp;CHAR(34)&amp;": "&amp;SUBSTITUTE(TRIM(ROUND(IFERROR(CriteriTecnici!$K1591*1,IFERROR(NUMBERVALUE(CriteriTecnici!$K1591,".",","),IFERROR(NUMBERVALUE(CriteriTecnici!$K1591,",","."),0))),4)&amp;""),",",".")&amp;", "&amp;CHAR(34)&amp;"denominator"&amp;CHAR(34)&amp;": "&amp;SUBSTITUTE(TRIM(ROUND(IFERROR(CriteriTecnici!$L1591*1,IFERROR(NUMBERVALUE(CriteriTecnici!$L1591,".",","),IFERROR(NUMBERVALUE(CriteriTecnici!$L1591,",","."),0))),4)&amp;""),",",".")&amp;", "&amp;CHAR(34)&amp;"flag"&amp;CHAR(34)&amp;": "&amp;SUBSTITUTE(TRIM(ROUND(IFERROR(CriteriTecnici!$M1591*1,IFERROR(NUMBERVALUE(CriteriTecnici!$M1591,".",","),IFERROR(NUMBERVALUE(CriteriTecnici!$M1591,",","."),0))),4)&amp;""),",",".")&amp;", "&amp;CHAR(34)&amp;"rawScore"&amp;CHAR(34)&amp;": "&amp;SUBSTITUTE(TRIM(ROUND(IFERROR(CriteriTecnici!$O1591*1,IFERROR(NUMBERVALUE(CriteriTecnici!$O1591,".",","),IFERROR(NUMBERVALUE(CriteriTecnici!$O1591,",","."),0))),4)&amp;""),",",".")&amp;CHAR(125)&amp;IF(TRUE,",",""))</f>
        <v/>
      </c>
    </row>
    <row r="1693">
      <c r="A1693" s="82">
        <f>IF(CriteriTecnici!$A1592="","","    "&amp;CHAR(123)&amp;CHAR(34)&amp;"bidderId"&amp;CHAR(34)&amp;": "&amp;CHAR(34)&amp;SUBSTITUTE(CriteriTecnici!$A1592,CHAR(34),"'")&amp;CHAR(34)&amp;", "&amp;CHAR(34)&amp;"lotId"&amp;CHAR(34)&amp;": "&amp;CHAR(34)&amp;SUBSTITUTE(CriteriTecnici!$C1592,CHAR(34),"'")&amp;CHAR(34)&amp;", "&amp;CHAR(34)&amp;"criterionId"&amp;CHAR(34)&amp;": "&amp;CHAR(34)&amp;SUBSTITUTE(CriteriTecnici!$D1592,CHAR(34),"'")&amp;CHAR(34)&amp;", "&amp;CHAR(34)&amp;"kind"&amp;CHAR(34)&amp;": "&amp;CHAR(34)&amp;SUBSTITUTE(CriteriTecnici!$F1592,CHAR(34),"'")&amp;CHAR(34)&amp;", "&amp;CHAR(34)&amp;"value"&amp;CHAR(34)&amp;": "&amp;SUBSTITUTE(TRIM(ROUND(IFERROR(CriteriTecnici!$N1592*1,IFERROR(NUMBERVALUE(CriteriTecnici!$N1592,".",","),IFERROR(NUMBERVALUE(CriteriTecnici!$N1592,",","."),0))),4)&amp;""),",",".")&amp;", "&amp;CHAR(34)&amp;"numerator"&amp;CHAR(34)&amp;": "&amp;SUBSTITUTE(TRIM(ROUND(IFERROR(CriteriTecnici!$K1592*1,IFERROR(NUMBERVALUE(CriteriTecnici!$K1592,".",","),IFERROR(NUMBERVALUE(CriteriTecnici!$K1592,",","."),0))),4)&amp;""),",",".")&amp;", "&amp;CHAR(34)&amp;"denominator"&amp;CHAR(34)&amp;": "&amp;SUBSTITUTE(TRIM(ROUND(IFERROR(CriteriTecnici!$L1592*1,IFERROR(NUMBERVALUE(CriteriTecnici!$L1592,".",","),IFERROR(NUMBERVALUE(CriteriTecnici!$L1592,",","."),0))),4)&amp;""),",",".")&amp;", "&amp;CHAR(34)&amp;"flag"&amp;CHAR(34)&amp;": "&amp;SUBSTITUTE(TRIM(ROUND(IFERROR(CriteriTecnici!$M1592*1,IFERROR(NUMBERVALUE(CriteriTecnici!$M1592,".",","),IFERROR(NUMBERVALUE(CriteriTecnici!$M1592,",","."),0))),4)&amp;""),",",".")&amp;", "&amp;CHAR(34)&amp;"rawScore"&amp;CHAR(34)&amp;": "&amp;SUBSTITUTE(TRIM(ROUND(IFERROR(CriteriTecnici!$O1592*1,IFERROR(NUMBERVALUE(CriteriTecnici!$O1592,".",","),IFERROR(NUMBERVALUE(CriteriTecnici!$O1592,",","."),0))),4)&amp;""),",",".")&amp;CHAR(125)&amp;IF(TRUE,",",""))</f>
        <v/>
      </c>
    </row>
    <row r="1694">
      <c r="A1694" s="82">
        <f>IF(CriteriTecnici!$A1593="","","    "&amp;CHAR(123)&amp;CHAR(34)&amp;"bidderId"&amp;CHAR(34)&amp;": "&amp;CHAR(34)&amp;SUBSTITUTE(CriteriTecnici!$A1593,CHAR(34),"'")&amp;CHAR(34)&amp;", "&amp;CHAR(34)&amp;"lotId"&amp;CHAR(34)&amp;": "&amp;CHAR(34)&amp;SUBSTITUTE(CriteriTecnici!$C1593,CHAR(34),"'")&amp;CHAR(34)&amp;", "&amp;CHAR(34)&amp;"criterionId"&amp;CHAR(34)&amp;": "&amp;CHAR(34)&amp;SUBSTITUTE(CriteriTecnici!$D1593,CHAR(34),"'")&amp;CHAR(34)&amp;", "&amp;CHAR(34)&amp;"kind"&amp;CHAR(34)&amp;": "&amp;CHAR(34)&amp;SUBSTITUTE(CriteriTecnici!$F1593,CHAR(34),"'")&amp;CHAR(34)&amp;", "&amp;CHAR(34)&amp;"value"&amp;CHAR(34)&amp;": "&amp;SUBSTITUTE(TRIM(ROUND(IFERROR(CriteriTecnici!$N1593*1,IFERROR(NUMBERVALUE(CriteriTecnici!$N1593,".",","),IFERROR(NUMBERVALUE(CriteriTecnici!$N1593,",","."),0))),4)&amp;""),",",".")&amp;", "&amp;CHAR(34)&amp;"numerator"&amp;CHAR(34)&amp;": "&amp;SUBSTITUTE(TRIM(ROUND(IFERROR(CriteriTecnici!$K1593*1,IFERROR(NUMBERVALUE(CriteriTecnici!$K1593,".",","),IFERROR(NUMBERVALUE(CriteriTecnici!$K1593,",","."),0))),4)&amp;""),",",".")&amp;", "&amp;CHAR(34)&amp;"denominator"&amp;CHAR(34)&amp;": "&amp;SUBSTITUTE(TRIM(ROUND(IFERROR(CriteriTecnici!$L1593*1,IFERROR(NUMBERVALUE(CriteriTecnici!$L1593,".",","),IFERROR(NUMBERVALUE(CriteriTecnici!$L1593,",","."),0))),4)&amp;""),",",".")&amp;", "&amp;CHAR(34)&amp;"flag"&amp;CHAR(34)&amp;": "&amp;SUBSTITUTE(TRIM(ROUND(IFERROR(CriteriTecnici!$M1593*1,IFERROR(NUMBERVALUE(CriteriTecnici!$M1593,".",","),IFERROR(NUMBERVALUE(CriteriTecnici!$M1593,",","."),0))),4)&amp;""),",",".")&amp;", "&amp;CHAR(34)&amp;"rawScore"&amp;CHAR(34)&amp;": "&amp;SUBSTITUTE(TRIM(ROUND(IFERROR(CriteriTecnici!$O1593*1,IFERROR(NUMBERVALUE(CriteriTecnici!$O1593,".",","),IFERROR(NUMBERVALUE(CriteriTecnici!$O1593,",","."),0))),4)&amp;""),",",".")&amp;CHAR(125)&amp;IF(TRUE,",",""))</f>
        <v/>
      </c>
    </row>
    <row r="1695">
      <c r="A1695" s="82">
        <f>IF(CriteriTecnici!$A1594="","","    "&amp;CHAR(123)&amp;CHAR(34)&amp;"bidderId"&amp;CHAR(34)&amp;": "&amp;CHAR(34)&amp;SUBSTITUTE(CriteriTecnici!$A1594,CHAR(34),"'")&amp;CHAR(34)&amp;", "&amp;CHAR(34)&amp;"lotId"&amp;CHAR(34)&amp;": "&amp;CHAR(34)&amp;SUBSTITUTE(CriteriTecnici!$C1594,CHAR(34),"'")&amp;CHAR(34)&amp;", "&amp;CHAR(34)&amp;"criterionId"&amp;CHAR(34)&amp;": "&amp;CHAR(34)&amp;SUBSTITUTE(CriteriTecnici!$D1594,CHAR(34),"'")&amp;CHAR(34)&amp;", "&amp;CHAR(34)&amp;"kind"&amp;CHAR(34)&amp;": "&amp;CHAR(34)&amp;SUBSTITUTE(CriteriTecnici!$F1594,CHAR(34),"'")&amp;CHAR(34)&amp;", "&amp;CHAR(34)&amp;"value"&amp;CHAR(34)&amp;": "&amp;SUBSTITUTE(TRIM(ROUND(IFERROR(CriteriTecnici!$N1594*1,IFERROR(NUMBERVALUE(CriteriTecnici!$N1594,".",","),IFERROR(NUMBERVALUE(CriteriTecnici!$N1594,",","."),0))),4)&amp;""),",",".")&amp;", "&amp;CHAR(34)&amp;"numerator"&amp;CHAR(34)&amp;": "&amp;SUBSTITUTE(TRIM(ROUND(IFERROR(CriteriTecnici!$K1594*1,IFERROR(NUMBERVALUE(CriteriTecnici!$K1594,".",","),IFERROR(NUMBERVALUE(CriteriTecnici!$K1594,",","."),0))),4)&amp;""),",",".")&amp;", "&amp;CHAR(34)&amp;"denominator"&amp;CHAR(34)&amp;": "&amp;SUBSTITUTE(TRIM(ROUND(IFERROR(CriteriTecnici!$L1594*1,IFERROR(NUMBERVALUE(CriteriTecnici!$L1594,".",","),IFERROR(NUMBERVALUE(CriteriTecnici!$L1594,",","."),0))),4)&amp;""),",",".")&amp;", "&amp;CHAR(34)&amp;"flag"&amp;CHAR(34)&amp;": "&amp;SUBSTITUTE(TRIM(ROUND(IFERROR(CriteriTecnici!$M1594*1,IFERROR(NUMBERVALUE(CriteriTecnici!$M1594,".",","),IFERROR(NUMBERVALUE(CriteriTecnici!$M1594,",","."),0))),4)&amp;""),",",".")&amp;", "&amp;CHAR(34)&amp;"rawScore"&amp;CHAR(34)&amp;": "&amp;SUBSTITUTE(TRIM(ROUND(IFERROR(CriteriTecnici!$O1594*1,IFERROR(NUMBERVALUE(CriteriTecnici!$O1594,".",","),IFERROR(NUMBERVALUE(CriteriTecnici!$O1594,",","."),0))),4)&amp;""),",",".")&amp;CHAR(125)&amp;IF(TRUE,",",""))</f>
        <v/>
      </c>
    </row>
    <row r="1696">
      <c r="A1696" s="82">
        <f>IF(CriteriTecnici!$A1595="","","    "&amp;CHAR(123)&amp;CHAR(34)&amp;"bidderId"&amp;CHAR(34)&amp;": "&amp;CHAR(34)&amp;SUBSTITUTE(CriteriTecnici!$A1595,CHAR(34),"'")&amp;CHAR(34)&amp;", "&amp;CHAR(34)&amp;"lotId"&amp;CHAR(34)&amp;": "&amp;CHAR(34)&amp;SUBSTITUTE(CriteriTecnici!$C1595,CHAR(34),"'")&amp;CHAR(34)&amp;", "&amp;CHAR(34)&amp;"criterionId"&amp;CHAR(34)&amp;": "&amp;CHAR(34)&amp;SUBSTITUTE(CriteriTecnici!$D1595,CHAR(34),"'")&amp;CHAR(34)&amp;", "&amp;CHAR(34)&amp;"kind"&amp;CHAR(34)&amp;": "&amp;CHAR(34)&amp;SUBSTITUTE(CriteriTecnici!$F1595,CHAR(34),"'")&amp;CHAR(34)&amp;", "&amp;CHAR(34)&amp;"value"&amp;CHAR(34)&amp;": "&amp;SUBSTITUTE(TRIM(ROUND(IFERROR(CriteriTecnici!$N1595*1,IFERROR(NUMBERVALUE(CriteriTecnici!$N1595,".",","),IFERROR(NUMBERVALUE(CriteriTecnici!$N1595,",","."),0))),4)&amp;""),",",".")&amp;", "&amp;CHAR(34)&amp;"numerator"&amp;CHAR(34)&amp;": "&amp;SUBSTITUTE(TRIM(ROUND(IFERROR(CriteriTecnici!$K1595*1,IFERROR(NUMBERVALUE(CriteriTecnici!$K1595,".",","),IFERROR(NUMBERVALUE(CriteriTecnici!$K1595,",","."),0))),4)&amp;""),",",".")&amp;", "&amp;CHAR(34)&amp;"denominator"&amp;CHAR(34)&amp;": "&amp;SUBSTITUTE(TRIM(ROUND(IFERROR(CriteriTecnici!$L1595*1,IFERROR(NUMBERVALUE(CriteriTecnici!$L1595,".",","),IFERROR(NUMBERVALUE(CriteriTecnici!$L1595,",","."),0))),4)&amp;""),",",".")&amp;", "&amp;CHAR(34)&amp;"flag"&amp;CHAR(34)&amp;": "&amp;SUBSTITUTE(TRIM(ROUND(IFERROR(CriteriTecnici!$M1595*1,IFERROR(NUMBERVALUE(CriteriTecnici!$M1595,".",","),IFERROR(NUMBERVALUE(CriteriTecnici!$M1595,",","."),0))),4)&amp;""),",",".")&amp;", "&amp;CHAR(34)&amp;"rawScore"&amp;CHAR(34)&amp;": "&amp;SUBSTITUTE(TRIM(ROUND(IFERROR(CriteriTecnici!$O1595*1,IFERROR(NUMBERVALUE(CriteriTecnici!$O1595,".",","),IFERROR(NUMBERVALUE(CriteriTecnici!$O1595,",","."),0))),4)&amp;""),",",".")&amp;CHAR(125)&amp;IF(TRUE,",",""))</f>
        <v/>
      </c>
    </row>
    <row r="1697">
      <c r="A1697" s="82">
        <f>IF(CriteriTecnici!$A1596="","","    "&amp;CHAR(123)&amp;CHAR(34)&amp;"bidderId"&amp;CHAR(34)&amp;": "&amp;CHAR(34)&amp;SUBSTITUTE(CriteriTecnici!$A1596,CHAR(34),"'")&amp;CHAR(34)&amp;", "&amp;CHAR(34)&amp;"lotId"&amp;CHAR(34)&amp;": "&amp;CHAR(34)&amp;SUBSTITUTE(CriteriTecnici!$C1596,CHAR(34),"'")&amp;CHAR(34)&amp;", "&amp;CHAR(34)&amp;"criterionId"&amp;CHAR(34)&amp;": "&amp;CHAR(34)&amp;SUBSTITUTE(CriteriTecnici!$D1596,CHAR(34),"'")&amp;CHAR(34)&amp;", "&amp;CHAR(34)&amp;"kind"&amp;CHAR(34)&amp;": "&amp;CHAR(34)&amp;SUBSTITUTE(CriteriTecnici!$F1596,CHAR(34),"'")&amp;CHAR(34)&amp;", "&amp;CHAR(34)&amp;"value"&amp;CHAR(34)&amp;": "&amp;SUBSTITUTE(TRIM(ROUND(IFERROR(CriteriTecnici!$N1596*1,IFERROR(NUMBERVALUE(CriteriTecnici!$N1596,".",","),IFERROR(NUMBERVALUE(CriteriTecnici!$N1596,",","."),0))),4)&amp;""),",",".")&amp;", "&amp;CHAR(34)&amp;"numerator"&amp;CHAR(34)&amp;": "&amp;SUBSTITUTE(TRIM(ROUND(IFERROR(CriteriTecnici!$K1596*1,IFERROR(NUMBERVALUE(CriteriTecnici!$K1596,".",","),IFERROR(NUMBERVALUE(CriteriTecnici!$K1596,",","."),0))),4)&amp;""),",",".")&amp;", "&amp;CHAR(34)&amp;"denominator"&amp;CHAR(34)&amp;": "&amp;SUBSTITUTE(TRIM(ROUND(IFERROR(CriteriTecnici!$L1596*1,IFERROR(NUMBERVALUE(CriteriTecnici!$L1596,".",","),IFERROR(NUMBERVALUE(CriteriTecnici!$L1596,",","."),0))),4)&amp;""),",",".")&amp;", "&amp;CHAR(34)&amp;"flag"&amp;CHAR(34)&amp;": "&amp;SUBSTITUTE(TRIM(ROUND(IFERROR(CriteriTecnici!$M1596*1,IFERROR(NUMBERVALUE(CriteriTecnici!$M1596,".",","),IFERROR(NUMBERVALUE(CriteriTecnici!$M1596,",","."),0))),4)&amp;""),",",".")&amp;", "&amp;CHAR(34)&amp;"rawScore"&amp;CHAR(34)&amp;": "&amp;SUBSTITUTE(TRIM(ROUND(IFERROR(CriteriTecnici!$O1596*1,IFERROR(NUMBERVALUE(CriteriTecnici!$O1596,".",","),IFERROR(NUMBERVALUE(CriteriTecnici!$O1596,",","."),0))),4)&amp;""),",",".")&amp;CHAR(125)&amp;IF(TRUE,",",""))</f>
        <v/>
      </c>
    </row>
    <row r="1698">
      <c r="A1698" s="82">
        <f>IF(CriteriTecnici!$A1597="","","    "&amp;CHAR(123)&amp;CHAR(34)&amp;"bidderId"&amp;CHAR(34)&amp;": "&amp;CHAR(34)&amp;SUBSTITUTE(CriteriTecnici!$A1597,CHAR(34),"'")&amp;CHAR(34)&amp;", "&amp;CHAR(34)&amp;"lotId"&amp;CHAR(34)&amp;": "&amp;CHAR(34)&amp;SUBSTITUTE(CriteriTecnici!$C1597,CHAR(34),"'")&amp;CHAR(34)&amp;", "&amp;CHAR(34)&amp;"criterionId"&amp;CHAR(34)&amp;": "&amp;CHAR(34)&amp;SUBSTITUTE(CriteriTecnici!$D1597,CHAR(34),"'")&amp;CHAR(34)&amp;", "&amp;CHAR(34)&amp;"kind"&amp;CHAR(34)&amp;": "&amp;CHAR(34)&amp;SUBSTITUTE(CriteriTecnici!$F1597,CHAR(34),"'")&amp;CHAR(34)&amp;", "&amp;CHAR(34)&amp;"value"&amp;CHAR(34)&amp;": "&amp;SUBSTITUTE(TRIM(ROUND(IFERROR(CriteriTecnici!$N1597*1,IFERROR(NUMBERVALUE(CriteriTecnici!$N1597,".",","),IFERROR(NUMBERVALUE(CriteriTecnici!$N1597,",","."),0))),4)&amp;""),",",".")&amp;", "&amp;CHAR(34)&amp;"numerator"&amp;CHAR(34)&amp;": "&amp;SUBSTITUTE(TRIM(ROUND(IFERROR(CriteriTecnici!$K1597*1,IFERROR(NUMBERVALUE(CriteriTecnici!$K1597,".",","),IFERROR(NUMBERVALUE(CriteriTecnici!$K1597,",","."),0))),4)&amp;""),",",".")&amp;", "&amp;CHAR(34)&amp;"denominator"&amp;CHAR(34)&amp;": "&amp;SUBSTITUTE(TRIM(ROUND(IFERROR(CriteriTecnici!$L1597*1,IFERROR(NUMBERVALUE(CriteriTecnici!$L1597,".",","),IFERROR(NUMBERVALUE(CriteriTecnici!$L1597,",","."),0))),4)&amp;""),",",".")&amp;", "&amp;CHAR(34)&amp;"flag"&amp;CHAR(34)&amp;": "&amp;SUBSTITUTE(TRIM(ROUND(IFERROR(CriteriTecnici!$M1597*1,IFERROR(NUMBERVALUE(CriteriTecnici!$M1597,".",","),IFERROR(NUMBERVALUE(CriteriTecnici!$M1597,",","."),0))),4)&amp;""),",",".")&amp;", "&amp;CHAR(34)&amp;"rawScore"&amp;CHAR(34)&amp;": "&amp;SUBSTITUTE(TRIM(ROUND(IFERROR(CriteriTecnici!$O1597*1,IFERROR(NUMBERVALUE(CriteriTecnici!$O1597,".",","),IFERROR(NUMBERVALUE(CriteriTecnici!$O1597,",","."),0))),4)&amp;""),",",".")&amp;CHAR(125)&amp;IF(TRUE,",",""))</f>
        <v/>
      </c>
    </row>
    <row r="1699">
      <c r="A1699" s="82">
        <f>IF(CriteriTecnici!$A1598="","","    "&amp;CHAR(123)&amp;CHAR(34)&amp;"bidderId"&amp;CHAR(34)&amp;": "&amp;CHAR(34)&amp;SUBSTITUTE(CriteriTecnici!$A1598,CHAR(34),"'")&amp;CHAR(34)&amp;", "&amp;CHAR(34)&amp;"lotId"&amp;CHAR(34)&amp;": "&amp;CHAR(34)&amp;SUBSTITUTE(CriteriTecnici!$C1598,CHAR(34),"'")&amp;CHAR(34)&amp;", "&amp;CHAR(34)&amp;"criterionId"&amp;CHAR(34)&amp;": "&amp;CHAR(34)&amp;SUBSTITUTE(CriteriTecnici!$D1598,CHAR(34),"'")&amp;CHAR(34)&amp;", "&amp;CHAR(34)&amp;"kind"&amp;CHAR(34)&amp;": "&amp;CHAR(34)&amp;SUBSTITUTE(CriteriTecnici!$F1598,CHAR(34),"'")&amp;CHAR(34)&amp;", "&amp;CHAR(34)&amp;"value"&amp;CHAR(34)&amp;": "&amp;SUBSTITUTE(TRIM(ROUND(IFERROR(CriteriTecnici!$N1598*1,IFERROR(NUMBERVALUE(CriteriTecnici!$N1598,".",","),IFERROR(NUMBERVALUE(CriteriTecnici!$N1598,",","."),0))),4)&amp;""),",",".")&amp;", "&amp;CHAR(34)&amp;"numerator"&amp;CHAR(34)&amp;": "&amp;SUBSTITUTE(TRIM(ROUND(IFERROR(CriteriTecnici!$K1598*1,IFERROR(NUMBERVALUE(CriteriTecnici!$K1598,".",","),IFERROR(NUMBERVALUE(CriteriTecnici!$K1598,",","."),0))),4)&amp;""),",",".")&amp;", "&amp;CHAR(34)&amp;"denominator"&amp;CHAR(34)&amp;": "&amp;SUBSTITUTE(TRIM(ROUND(IFERROR(CriteriTecnici!$L1598*1,IFERROR(NUMBERVALUE(CriteriTecnici!$L1598,".",","),IFERROR(NUMBERVALUE(CriteriTecnici!$L1598,",","."),0))),4)&amp;""),",",".")&amp;", "&amp;CHAR(34)&amp;"flag"&amp;CHAR(34)&amp;": "&amp;SUBSTITUTE(TRIM(ROUND(IFERROR(CriteriTecnici!$M1598*1,IFERROR(NUMBERVALUE(CriteriTecnici!$M1598,".",","),IFERROR(NUMBERVALUE(CriteriTecnici!$M1598,",","."),0))),4)&amp;""),",",".")&amp;", "&amp;CHAR(34)&amp;"rawScore"&amp;CHAR(34)&amp;": "&amp;SUBSTITUTE(TRIM(ROUND(IFERROR(CriteriTecnici!$O1598*1,IFERROR(NUMBERVALUE(CriteriTecnici!$O1598,".",","),IFERROR(NUMBERVALUE(CriteriTecnici!$O1598,",","."),0))),4)&amp;""),",",".")&amp;CHAR(125)&amp;IF(TRUE,",",""))</f>
        <v/>
      </c>
    </row>
    <row r="1700">
      <c r="A1700" s="82">
        <f>IF(CriteriTecnici!$A1599="","","    "&amp;CHAR(123)&amp;CHAR(34)&amp;"bidderId"&amp;CHAR(34)&amp;": "&amp;CHAR(34)&amp;SUBSTITUTE(CriteriTecnici!$A1599,CHAR(34),"'")&amp;CHAR(34)&amp;", "&amp;CHAR(34)&amp;"lotId"&amp;CHAR(34)&amp;": "&amp;CHAR(34)&amp;SUBSTITUTE(CriteriTecnici!$C1599,CHAR(34),"'")&amp;CHAR(34)&amp;", "&amp;CHAR(34)&amp;"criterionId"&amp;CHAR(34)&amp;": "&amp;CHAR(34)&amp;SUBSTITUTE(CriteriTecnici!$D1599,CHAR(34),"'")&amp;CHAR(34)&amp;", "&amp;CHAR(34)&amp;"kind"&amp;CHAR(34)&amp;": "&amp;CHAR(34)&amp;SUBSTITUTE(CriteriTecnici!$F1599,CHAR(34),"'")&amp;CHAR(34)&amp;", "&amp;CHAR(34)&amp;"value"&amp;CHAR(34)&amp;": "&amp;SUBSTITUTE(TRIM(ROUND(IFERROR(CriteriTecnici!$N1599*1,IFERROR(NUMBERVALUE(CriteriTecnici!$N1599,".",","),IFERROR(NUMBERVALUE(CriteriTecnici!$N1599,",","."),0))),4)&amp;""),",",".")&amp;", "&amp;CHAR(34)&amp;"numerator"&amp;CHAR(34)&amp;": "&amp;SUBSTITUTE(TRIM(ROUND(IFERROR(CriteriTecnici!$K1599*1,IFERROR(NUMBERVALUE(CriteriTecnici!$K1599,".",","),IFERROR(NUMBERVALUE(CriteriTecnici!$K1599,",","."),0))),4)&amp;""),",",".")&amp;", "&amp;CHAR(34)&amp;"denominator"&amp;CHAR(34)&amp;": "&amp;SUBSTITUTE(TRIM(ROUND(IFERROR(CriteriTecnici!$L1599*1,IFERROR(NUMBERVALUE(CriteriTecnici!$L1599,".",","),IFERROR(NUMBERVALUE(CriteriTecnici!$L1599,",","."),0))),4)&amp;""),",",".")&amp;", "&amp;CHAR(34)&amp;"flag"&amp;CHAR(34)&amp;": "&amp;SUBSTITUTE(TRIM(ROUND(IFERROR(CriteriTecnici!$M1599*1,IFERROR(NUMBERVALUE(CriteriTecnici!$M1599,".",","),IFERROR(NUMBERVALUE(CriteriTecnici!$M1599,",","."),0))),4)&amp;""),",",".")&amp;", "&amp;CHAR(34)&amp;"rawScore"&amp;CHAR(34)&amp;": "&amp;SUBSTITUTE(TRIM(ROUND(IFERROR(CriteriTecnici!$O1599*1,IFERROR(NUMBERVALUE(CriteriTecnici!$O1599,".",","),IFERROR(NUMBERVALUE(CriteriTecnici!$O1599,",","."),0))),4)&amp;""),",",".")&amp;CHAR(125)&amp;IF(TRUE,",",""))</f>
        <v/>
      </c>
    </row>
    <row r="1701">
      <c r="A1701" s="82">
        <f>IF(CriteriTecnici!$A1600="","","    "&amp;CHAR(123)&amp;CHAR(34)&amp;"bidderId"&amp;CHAR(34)&amp;": "&amp;CHAR(34)&amp;SUBSTITUTE(CriteriTecnici!$A1600,CHAR(34),"'")&amp;CHAR(34)&amp;", "&amp;CHAR(34)&amp;"lotId"&amp;CHAR(34)&amp;": "&amp;CHAR(34)&amp;SUBSTITUTE(CriteriTecnici!$C1600,CHAR(34),"'")&amp;CHAR(34)&amp;", "&amp;CHAR(34)&amp;"criterionId"&amp;CHAR(34)&amp;": "&amp;CHAR(34)&amp;SUBSTITUTE(CriteriTecnici!$D1600,CHAR(34),"'")&amp;CHAR(34)&amp;", "&amp;CHAR(34)&amp;"kind"&amp;CHAR(34)&amp;": "&amp;CHAR(34)&amp;SUBSTITUTE(CriteriTecnici!$F1600,CHAR(34),"'")&amp;CHAR(34)&amp;", "&amp;CHAR(34)&amp;"value"&amp;CHAR(34)&amp;": "&amp;SUBSTITUTE(TRIM(ROUND(IFERROR(CriteriTecnici!$N1600*1,IFERROR(NUMBERVALUE(CriteriTecnici!$N1600,".",","),IFERROR(NUMBERVALUE(CriteriTecnici!$N1600,",","."),0))),4)&amp;""),",",".")&amp;", "&amp;CHAR(34)&amp;"numerator"&amp;CHAR(34)&amp;": "&amp;SUBSTITUTE(TRIM(ROUND(IFERROR(CriteriTecnici!$K1600*1,IFERROR(NUMBERVALUE(CriteriTecnici!$K1600,".",","),IFERROR(NUMBERVALUE(CriteriTecnici!$K1600,",","."),0))),4)&amp;""),",",".")&amp;", "&amp;CHAR(34)&amp;"denominator"&amp;CHAR(34)&amp;": "&amp;SUBSTITUTE(TRIM(ROUND(IFERROR(CriteriTecnici!$L1600*1,IFERROR(NUMBERVALUE(CriteriTecnici!$L1600,".",","),IFERROR(NUMBERVALUE(CriteriTecnici!$L1600,",","."),0))),4)&amp;""),",",".")&amp;", "&amp;CHAR(34)&amp;"flag"&amp;CHAR(34)&amp;": "&amp;SUBSTITUTE(TRIM(ROUND(IFERROR(CriteriTecnici!$M1600*1,IFERROR(NUMBERVALUE(CriteriTecnici!$M1600,".",","),IFERROR(NUMBERVALUE(CriteriTecnici!$M1600,",","."),0))),4)&amp;""),",",".")&amp;", "&amp;CHAR(34)&amp;"rawScore"&amp;CHAR(34)&amp;": "&amp;SUBSTITUTE(TRIM(ROUND(IFERROR(CriteriTecnici!$O1600*1,IFERROR(NUMBERVALUE(CriteriTecnici!$O1600,".",","),IFERROR(NUMBERVALUE(CriteriTecnici!$O1600,",","."),0))),4)&amp;""),",",".")&amp;CHAR(125)&amp;IF(TRUE,",",""))</f>
        <v/>
      </c>
    </row>
    <row r="1702">
      <c r="A1702" s="82">
        <f>IF(CriteriTecnici!$A1601="","","    "&amp;CHAR(123)&amp;CHAR(34)&amp;"bidderId"&amp;CHAR(34)&amp;": "&amp;CHAR(34)&amp;SUBSTITUTE(CriteriTecnici!$A1601,CHAR(34),"'")&amp;CHAR(34)&amp;", "&amp;CHAR(34)&amp;"lotId"&amp;CHAR(34)&amp;": "&amp;CHAR(34)&amp;SUBSTITUTE(CriteriTecnici!$C1601,CHAR(34),"'")&amp;CHAR(34)&amp;", "&amp;CHAR(34)&amp;"criterionId"&amp;CHAR(34)&amp;": "&amp;CHAR(34)&amp;SUBSTITUTE(CriteriTecnici!$D1601,CHAR(34),"'")&amp;CHAR(34)&amp;", "&amp;CHAR(34)&amp;"kind"&amp;CHAR(34)&amp;": "&amp;CHAR(34)&amp;SUBSTITUTE(CriteriTecnici!$F1601,CHAR(34),"'")&amp;CHAR(34)&amp;", "&amp;CHAR(34)&amp;"value"&amp;CHAR(34)&amp;": "&amp;SUBSTITUTE(TRIM(ROUND(IFERROR(CriteriTecnici!$N1601*1,IFERROR(NUMBERVALUE(CriteriTecnici!$N1601,".",","),IFERROR(NUMBERVALUE(CriteriTecnici!$N1601,",","."),0))),4)&amp;""),",",".")&amp;", "&amp;CHAR(34)&amp;"numerator"&amp;CHAR(34)&amp;": "&amp;SUBSTITUTE(TRIM(ROUND(IFERROR(CriteriTecnici!$K1601*1,IFERROR(NUMBERVALUE(CriteriTecnici!$K1601,".",","),IFERROR(NUMBERVALUE(CriteriTecnici!$K1601,",","."),0))),4)&amp;""),",",".")&amp;", "&amp;CHAR(34)&amp;"denominator"&amp;CHAR(34)&amp;": "&amp;SUBSTITUTE(TRIM(ROUND(IFERROR(CriteriTecnici!$L1601*1,IFERROR(NUMBERVALUE(CriteriTecnici!$L1601,".",","),IFERROR(NUMBERVALUE(CriteriTecnici!$L1601,",","."),0))),4)&amp;""),",",".")&amp;", "&amp;CHAR(34)&amp;"flag"&amp;CHAR(34)&amp;": "&amp;SUBSTITUTE(TRIM(ROUND(IFERROR(CriteriTecnici!$M1601*1,IFERROR(NUMBERVALUE(CriteriTecnici!$M1601,".",","),IFERROR(NUMBERVALUE(CriteriTecnici!$M1601,",","."),0))),4)&amp;""),",",".")&amp;", "&amp;CHAR(34)&amp;"rawScore"&amp;CHAR(34)&amp;": "&amp;SUBSTITUTE(TRIM(ROUND(IFERROR(CriteriTecnici!$O1601*1,IFERROR(NUMBERVALUE(CriteriTecnici!$O1601,".",","),IFERROR(NUMBERVALUE(CriteriTecnici!$O1601,",","."),0))),4)&amp;""),",",".")&amp;CHAR(125)&amp;IF(TRUE,",",""))</f>
        <v/>
      </c>
    </row>
    <row r="1703">
      <c r="A1703" s="82">
        <f>IF(CriteriTecnici!$A1602="","","    "&amp;CHAR(123)&amp;CHAR(34)&amp;"bidderId"&amp;CHAR(34)&amp;": "&amp;CHAR(34)&amp;SUBSTITUTE(CriteriTecnici!$A1602,CHAR(34),"'")&amp;CHAR(34)&amp;", "&amp;CHAR(34)&amp;"lotId"&amp;CHAR(34)&amp;": "&amp;CHAR(34)&amp;SUBSTITUTE(CriteriTecnici!$C1602,CHAR(34),"'")&amp;CHAR(34)&amp;", "&amp;CHAR(34)&amp;"criterionId"&amp;CHAR(34)&amp;": "&amp;CHAR(34)&amp;SUBSTITUTE(CriteriTecnici!$D1602,CHAR(34),"'")&amp;CHAR(34)&amp;", "&amp;CHAR(34)&amp;"kind"&amp;CHAR(34)&amp;": "&amp;CHAR(34)&amp;SUBSTITUTE(CriteriTecnici!$F1602,CHAR(34),"'")&amp;CHAR(34)&amp;", "&amp;CHAR(34)&amp;"value"&amp;CHAR(34)&amp;": "&amp;SUBSTITUTE(TRIM(ROUND(IFERROR(CriteriTecnici!$N1602*1,IFERROR(NUMBERVALUE(CriteriTecnici!$N1602,".",","),IFERROR(NUMBERVALUE(CriteriTecnici!$N1602,",","."),0))),4)&amp;""),",",".")&amp;", "&amp;CHAR(34)&amp;"numerator"&amp;CHAR(34)&amp;": "&amp;SUBSTITUTE(TRIM(ROUND(IFERROR(CriteriTecnici!$K1602*1,IFERROR(NUMBERVALUE(CriteriTecnici!$K1602,".",","),IFERROR(NUMBERVALUE(CriteriTecnici!$K1602,",","."),0))),4)&amp;""),",",".")&amp;", "&amp;CHAR(34)&amp;"denominator"&amp;CHAR(34)&amp;": "&amp;SUBSTITUTE(TRIM(ROUND(IFERROR(CriteriTecnici!$L1602*1,IFERROR(NUMBERVALUE(CriteriTecnici!$L1602,".",","),IFERROR(NUMBERVALUE(CriteriTecnici!$L1602,",","."),0))),4)&amp;""),",",".")&amp;", "&amp;CHAR(34)&amp;"flag"&amp;CHAR(34)&amp;": "&amp;SUBSTITUTE(TRIM(ROUND(IFERROR(CriteriTecnici!$M1602*1,IFERROR(NUMBERVALUE(CriteriTecnici!$M1602,".",","),IFERROR(NUMBERVALUE(CriteriTecnici!$M1602,",","."),0))),4)&amp;""),",",".")&amp;", "&amp;CHAR(34)&amp;"rawScore"&amp;CHAR(34)&amp;": "&amp;SUBSTITUTE(TRIM(ROUND(IFERROR(CriteriTecnici!$O1602*1,IFERROR(NUMBERVALUE(CriteriTecnici!$O1602,".",","),IFERROR(NUMBERVALUE(CriteriTecnici!$O1602,",","."),0))),4)&amp;""),",",".")&amp;CHAR(125)&amp;IF(TRUE,",",""))</f>
        <v/>
      </c>
    </row>
    <row r="1704">
      <c r="A1704" s="82">
        <f>IF(CriteriTecnici!$A1603="","","    "&amp;CHAR(123)&amp;CHAR(34)&amp;"bidderId"&amp;CHAR(34)&amp;": "&amp;CHAR(34)&amp;SUBSTITUTE(CriteriTecnici!$A1603,CHAR(34),"'")&amp;CHAR(34)&amp;", "&amp;CHAR(34)&amp;"lotId"&amp;CHAR(34)&amp;": "&amp;CHAR(34)&amp;SUBSTITUTE(CriteriTecnici!$C1603,CHAR(34),"'")&amp;CHAR(34)&amp;", "&amp;CHAR(34)&amp;"criterionId"&amp;CHAR(34)&amp;": "&amp;CHAR(34)&amp;SUBSTITUTE(CriteriTecnici!$D1603,CHAR(34),"'")&amp;CHAR(34)&amp;", "&amp;CHAR(34)&amp;"kind"&amp;CHAR(34)&amp;": "&amp;CHAR(34)&amp;SUBSTITUTE(CriteriTecnici!$F1603,CHAR(34),"'")&amp;CHAR(34)&amp;", "&amp;CHAR(34)&amp;"value"&amp;CHAR(34)&amp;": "&amp;SUBSTITUTE(TRIM(ROUND(IFERROR(CriteriTecnici!$N1603*1,IFERROR(NUMBERVALUE(CriteriTecnici!$N1603,".",","),IFERROR(NUMBERVALUE(CriteriTecnici!$N1603,",","."),0))),4)&amp;""),",",".")&amp;", "&amp;CHAR(34)&amp;"numerator"&amp;CHAR(34)&amp;": "&amp;SUBSTITUTE(TRIM(ROUND(IFERROR(CriteriTecnici!$K1603*1,IFERROR(NUMBERVALUE(CriteriTecnici!$K1603,".",","),IFERROR(NUMBERVALUE(CriteriTecnici!$K1603,",","."),0))),4)&amp;""),",",".")&amp;", "&amp;CHAR(34)&amp;"denominator"&amp;CHAR(34)&amp;": "&amp;SUBSTITUTE(TRIM(ROUND(IFERROR(CriteriTecnici!$L1603*1,IFERROR(NUMBERVALUE(CriteriTecnici!$L1603,".",","),IFERROR(NUMBERVALUE(CriteriTecnici!$L1603,",","."),0))),4)&amp;""),",",".")&amp;", "&amp;CHAR(34)&amp;"flag"&amp;CHAR(34)&amp;": "&amp;SUBSTITUTE(TRIM(ROUND(IFERROR(CriteriTecnici!$M1603*1,IFERROR(NUMBERVALUE(CriteriTecnici!$M1603,".",","),IFERROR(NUMBERVALUE(CriteriTecnici!$M1603,",","."),0))),4)&amp;""),",",".")&amp;", "&amp;CHAR(34)&amp;"rawScore"&amp;CHAR(34)&amp;": "&amp;SUBSTITUTE(TRIM(ROUND(IFERROR(CriteriTecnici!$O1603*1,IFERROR(NUMBERVALUE(CriteriTecnici!$O1603,".",","),IFERROR(NUMBERVALUE(CriteriTecnici!$O1603,",","."),0))),4)&amp;""),",",".")&amp;CHAR(125)&amp;IF(TRUE,",",""))</f>
        <v/>
      </c>
    </row>
    <row r="1705">
      <c r="A1705" s="82">
        <f>IF(CriteriTecnici!$A1604="","","    "&amp;CHAR(123)&amp;CHAR(34)&amp;"bidderId"&amp;CHAR(34)&amp;": "&amp;CHAR(34)&amp;SUBSTITUTE(CriteriTecnici!$A1604,CHAR(34),"'")&amp;CHAR(34)&amp;", "&amp;CHAR(34)&amp;"lotId"&amp;CHAR(34)&amp;": "&amp;CHAR(34)&amp;SUBSTITUTE(CriteriTecnici!$C1604,CHAR(34),"'")&amp;CHAR(34)&amp;", "&amp;CHAR(34)&amp;"criterionId"&amp;CHAR(34)&amp;": "&amp;CHAR(34)&amp;SUBSTITUTE(CriteriTecnici!$D1604,CHAR(34),"'")&amp;CHAR(34)&amp;", "&amp;CHAR(34)&amp;"kind"&amp;CHAR(34)&amp;": "&amp;CHAR(34)&amp;SUBSTITUTE(CriteriTecnici!$F1604,CHAR(34),"'")&amp;CHAR(34)&amp;", "&amp;CHAR(34)&amp;"value"&amp;CHAR(34)&amp;": "&amp;SUBSTITUTE(TRIM(ROUND(IFERROR(CriteriTecnici!$N1604*1,IFERROR(NUMBERVALUE(CriteriTecnici!$N1604,".",","),IFERROR(NUMBERVALUE(CriteriTecnici!$N1604,",","."),0))),4)&amp;""),",",".")&amp;", "&amp;CHAR(34)&amp;"numerator"&amp;CHAR(34)&amp;": "&amp;SUBSTITUTE(TRIM(ROUND(IFERROR(CriteriTecnici!$K1604*1,IFERROR(NUMBERVALUE(CriteriTecnici!$K1604,".",","),IFERROR(NUMBERVALUE(CriteriTecnici!$K1604,",","."),0))),4)&amp;""),",",".")&amp;", "&amp;CHAR(34)&amp;"denominator"&amp;CHAR(34)&amp;": "&amp;SUBSTITUTE(TRIM(ROUND(IFERROR(CriteriTecnici!$L1604*1,IFERROR(NUMBERVALUE(CriteriTecnici!$L1604,".",","),IFERROR(NUMBERVALUE(CriteriTecnici!$L1604,",","."),0))),4)&amp;""),",",".")&amp;", "&amp;CHAR(34)&amp;"flag"&amp;CHAR(34)&amp;": "&amp;SUBSTITUTE(TRIM(ROUND(IFERROR(CriteriTecnici!$M1604*1,IFERROR(NUMBERVALUE(CriteriTecnici!$M1604,".",","),IFERROR(NUMBERVALUE(CriteriTecnici!$M1604,",","."),0))),4)&amp;""),",",".")&amp;", "&amp;CHAR(34)&amp;"rawScore"&amp;CHAR(34)&amp;": "&amp;SUBSTITUTE(TRIM(ROUND(IFERROR(CriteriTecnici!$O1604*1,IFERROR(NUMBERVALUE(CriteriTecnici!$O1604,".",","),IFERROR(NUMBERVALUE(CriteriTecnici!$O1604,",","."),0))),4)&amp;""),",",".")&amp;CHAR(125)&amp;IF(TRUE,",",""))</f>
        <v/>
      </c>
    </row>
    <row r="1706">
      <c r="A1706" s="82">
        <f>IF(CriteriTecnici!$A1605="","","    "&amp;CHAR(123)&amp;CHAR(34)&amp;"bidderId"&amp;CHAR(34)&amp;": "&amp;CHAR(34)&amp;SUBSTITUTE(CriteriTecnici!$A1605,CHAR(34),"'")&amp;CHAR(34)&amp;", "&amp;CHAR(34)&amp;"lotId"&amp;CHAR(34)&amp;": "&amp;CHAR(34)&amp;SUBSTITUTE(CriteriTecnici!$C1605,CHAR(34),"'")&amp;CHAR(34)&amp;", "&amp;CHAR(34)&amp;"criterionId"&amp;CHAR(34)&amp;": "&amp;CHAR(34)&amp;SUBSTITUTE(CriteriTecnici!$D1605,CHAR(34),"'")&amp;CHAR(34)&amp;", "&amp;CHAR(34)&amp;"kind"&amp;CHAR(34)&amp;": "&amp;CHAR(34)&amp;SUBSTITUTE(CriteriTecnici!$F1605,CHAR(34),"'")&amp;CHAR(34)&amp;", "&amp;CHAR(34)&amp;"value"&amp;CHAR(34)&amp;": "&amp;SUBSTITUTE(TRIM(ROUND(IFERROR(CriteriTecnici!$N1605*1,IFERROR(NUMBERVALUE(CriteriTecnici!$N1605,".",","),IFERROR(NUMBERVALUE(CriteriTecnici!$N1605,",","."),0))),4)&amp;""),",",".")&amp;", "&amp;CHAR(34)&amp;"numerator"&amp;CHAR(34)&amp;": "&amp;SUBSTITUTE(TRIM(ROUND(IFERROR(CriteriTecnici!$K1605*1,IFERROR(NUMBERVALUE(CriteriTecnici!$K1605,".",","),IFERROR(NUMBERVALUE(CriteriTecnici!$K1605,",","."),0))),4)&amp;""),",",".")&amp;", "&amp;CHAR(34)&amp;"denominator"&amp;CHAR(34)&amp;": "&amp;SUBSTITUTE(TRIM(ROUND(IFERROR(CriteriTecnici!$L1605*1,IFERROR(NUMBERVALUE(CriteriTecnici!$L1605,".",","),IFERROR(NUMBERVALUE(CriteriTecnici!$L1605,",","."),0))),4)&amp;""),",",".")&amp;", "&amp;CHAR(34)&amp;"flag"&amp;CHAR(34)&amp;": "&amp;SUBSTITUTE(TRIM(ROUND(IFERROR(CriteriTecnici!$M1605*1,IFERROR(NUMBERVALUE(CriteriTecnici!$M1605,".",","),IFERROR(NUMBERVALUE(CriteriTecnici!$M1605,",","."),0))),4)&amp;""),",",".")&amp;", "&amp;CHAR(34)&amp;"rawScore"&amp;CHAR(34)&amp;": "&amp;SUBSTITUTE(TRIM(ROUND(IFERROR(CriteriTecnici!$O1605*1,IFERROR(NUMBERVALUE(CriteriTecnici!$O1605,".",","),IFERROR(NUMBERVALUE(CriteriTecnici!$O1605,",","."),0))),4)&amp;""),",",".")&amp;CHAR(125)&amp;IF(TRUE,",",""))</f>
        <v/>
      </c>
    </row>
    <row r="1707">
      <c r="A1707" s="82">
        <f>IF(CriteriTecnici!$A1606="","","    "&amp;CHAR(123)&amp;CHAR(34)&amp;"bidderId"&amp;CHAR(34)&amp;": "&amp;CHAR(34)&amp;SUBSTITUTE(CriteriTecnici!$A1606,CHAR(34),"'")&amp;CHAR(34)&amp;", "&amp;CHAR(34)&amp;"lotId"&amp;CHAR(34)&amp;": "&amp;CHAR(34)&amp;SUBSTITUTE(CriteriTecnici!$C1606,CHAR(34),"'")&amp;CHAR(34)&amp;", "&amp;CHAR(34)&amp;"criterionId"&amp;CHAR(34)&amp;": "&amp;CHAR(34)&amp;SUBSTITUTE(CriteriTecnici!$D1606,CHAR(34),"'")&amp;CHAR(34)&amp;", "&amp;CHAR(34)&amp;"kind"&amp;CHAR(34)&amp;": "&amp;CHAR(34)&amp;SUBSTITUTE(CriteriTecnici!$F1606,CHAR(34),"'")&amp;CHAR(34)&amp;", "&amp;CHAR(34)&amp;"value"&amp;CHAR(34)&amp;": "&amp;SUBSTITUTE(TRIM(ROUND(IFERROR(CriteriTecnici!$N1606*1,IFERROR(NUMBERVALUE(CriteriTecnici!$N1606,".",","),IFERROR(NUMBERVALUE(CriteriTecnici!$N1606,",","."),0))),4)&amp;""),",",".")&amp;", "&amp;CHAR(34)&amp;"numerator"&amp;CHAR(34)&amp;": "&amp;SUBSTITUTE(TRIM(ROUND(IFERROR(CriteriTecnici!$K1606*1,IFERROR(NUMBERVALUE(CriteriTecnici!$K1606,".",","),IFERROR(NUMBERVALUE(CriteriTecnici!$K1606,",","."),0))),4)&amp;""),",",".")&amp;", "&amp;CHAR(34)&amp;"denominator"&amp;CHAR(34)&amp;": "&amp;SUBSTITUTE(TRIM(ROUND(IFERROR(CriteriTecnici!$L1606*1,IFERROR(NUMBERVALUE(CriteriTecnici!$L1606,".",","),IFERROR(NUMBERVALUE(CriteriTecnici!$L1606,",","."),0))),4)&amp;""),",",".")&amp;", "&amp;CHAR(34)&amp;"flag"&amp;CHAR(34)&amp;": "&amp;SUBSTITUTE(TRIM(ROUND(IFERROR(CriteriTecnici!$M1606*1,IFERROR(NUMBERVALUE(CriteriTecnici!$M1606,".",","),IFERROR(NUMBERVALUE(CriteriTecnici!$M1606,",","."),0))),4)&amp;""),",",".")&amp;", "&amp;CHAR(34)&amp;"rawScore"&amp;CHAR(34)&amp;": "&amp;SUBSTITUTE(TRIM(ROUND(IFERROR(CriteriTecnici!$O1606*1,IFERROR(NUMBERVALUE(CriteriTecnici!$O1606,".",","),IFERROR(NUMBERVALUE(CriteriTecnici!$O1606,",","."),0))),4)&amp;""),",",".")&amp;CHAR(125)&amp;IF(TRUE,",",""))</f>
        <v/>
      </c>
    </row>
    <row r="1708">
      <c r="A1708" s="82">
        <f>IF(CriteriTecnici!$A1607="","","    "&amp;CHAR(123)&amp;CHAR(34)&amp;"bidderId"&amp;CHAR(34)&amp;": "&amp;CHAR(34)&amp;SUBSTITUTE(CriteriTecnici!$A1607,CHAR(34),"'")&amp;CHAR(34)&amp;", "&amp;CHAR(34)&amp;"lotId"&amp;CHAR(34)&amp;": "&amp;CHAR(34)&amp;SUBSTITUTE(CriteriTecnici!$C1607,CHAR(34),"'")&amp;CHAR(34)&amp;", "&amp;CHAR(34)&amp;"criterionId"&amp;CHAR(34)&amp;": "&amp;CHAR(34)&amp;SUBSTITUTE(CriteriTecnici!$D1607,CHAR(34),"'")&amp;CHAR(34)&amp;", "&amp;CHAR(34)&amp;"kind"&amp;CHAR(34)&amp;": "&amp;CHAR(34)&amp;SUBSTITUTE(CriteriTecnici!$F1607,CHAR(34),"'")&amp;CHAR(34)&amp;", "&amp;CHAR(34)&amp;"value"&amp;CHAR(34)&amp;": "&amp;SUBSTITUTE(TRIM(ROUND(IFERROR(CriteriTecnici!$N1607*1,IFERROR(NUMBERVALUE(CriteriTecnici!$N1607,".",","),IFERROR(NUMBERVALUE(CriteriTecnici!$N1607,",","."),0))),4)&amp;""),",",".")&amp;", "&amp;CHAR(34)&amp;"numerator"&amp;CHAR(34)&amp;": "&amp;SUBSTITUTE(TRIM(ROUND(IFERROR(CriteriTecnici!$K1607*1,IFERROR(NUMBERVALUE(CriteriTecnici!$K1607,".",","),IFERROR(NUMBERVALUE(CriteriTecnici!$K1607,",","."),0))),4)&amp;""),",",".")&amp;", "&amp;CHAR(34)&amp;"denominator"&amp;CHAR(34)&amp;": "&amp;SUBSTITUTE(TRIM(ROUND(IFERROR(CriteriTecnici!$L1607*1,IFERROR(NUMBERVALUE(CriteriTecnici!$L1607,".",","),IFERROR(NUMBERVALUE(CriteriTecnici!$L1607,",","."),0))),4)&amp;""),",",".")&amp;", "&amp;CHAR(34)&amp;"flag"&amp;CHAR(34)&amp;": "&amp;SUBSTITUTE(TRIM(ROUND(IFERROR(CriteriTecnici!$M1607*1,IFERROR(NUMBERVALUE(CriteriTecnici!$M1607,".",","),IFERROR(NUMBERVALUE(CriteriTecnici!$M1607,",","."),0))),4)&amp;""),",",".")&amp;", "&amp;CHAR(34)&amp;"rawScore"&amp;CHAR(34)&amp;": "&amp;SUBSTITUTE(TRIM(ROUND(IFERROR(CriteriTecnici!$O1607*1,IFERROR(NUMBERVALUE(CriteriTecnici!$O1607,".",","),IFERROR(NUMBERVALUE(CriteriTecnici!$O1607,",","."),0))),4)&amp;""),",",".")&amp;CHAR(125)&amp;IF(TRUE,",",""))</f>
        <v/>
      </c>
    </row>
    <row r="1709">
      <c r="A1709" s="82">
        <f>IF(CriteriTecnici!$A1608="","","    "&amp;CHAR(123)&amp;CHAR(34)&amp;"bidderId"&amp;CHAR(34)&amp;": "&amp;CHAR(34)&amp;SUBSTITUTE(CriteriTecnici!$A1608,CHAR(34),"'")&amp;CHAR(34)&amp;", "&amp;CHAR(34)&amp;"lotId"&amp;CHAR(34)&amp;": "&amp;CHAR(34)&amp;SUBSTITUTE(CriteriTecnici!$C1608,CHAR(34),"'")&amp;CHAR(34)&amp;", "&amp;CHAR(34)&amp;"criterionId"&amp;CHAR(34)&amp;": "&amp;CHAR(34)&amp;SUBSTITUTE(CriteriTecnici!$D1608,CHAR(34),"'")&amp;CHAR(34)&amp;", "&amp;CHAR(34)&amp;"kind"&amp;CHAR(34)&amp;": "&amp;CHAR(34)&amp;SUBSTITUTE(CriteriTecnici!$F1608,CHAR(34),"'")&amp;CHAR(34)&amp;", "&amp;CHAR(34)&amp;"value"&amp;CHAR(34)&amp;": "&amp;SUBSTITUTE(TRIM(ROUND(IFERROR(CriteriTecnici!$N1608*1,IFERROR(NUMBERVALUE(CriteriTecnici!$N1608,".",","),IFERROR(NUMBERVALUE(CriteriTecnici!$N1608,",","."),0))),4)&amp;""),",",".")&amp;", "&amp;CHAR(34)&amp;"numerator"&amp;CHAR(34)&amp;": "&amp;SUBSTITUTE(TRIM(ROUND(IFERROR(CriteriTecnici!$K1608*1,IFERROR(NUMBERVALUE(CriteriTecnici!$K1608,".",","),IFERROR(NUMBERVALUE(CriteriTecnici!$K1608,",","."),0))),4)&amp;""),",",".")&amp;", "&amp;CHAR(34)&amp;"denominator"&amp;CHAR(34)&amp;": "&amp;SUBSTITUTE(TRIM(ROUND(IFERROR(CriteriTecnici!$L1608*1,IFERROR(NUMBERVALUE(CriteriTecnici!$L1608,".",","),IFERROR(NUMBERVALUE(CriteriTecnici!$L1608,",","."),0))),4)&amp;""),",",".")&amp;", "&amp;CHAR(34)&amp;"flag"&amp;CHAR(34)&amp;": "&amp;SUBSTITUTE(TRIM(ROUND(IFERROR(CriteriTecnici!$M1608*1,IFERROR(NUMBERVALUE(CriteriTecnici!$M1608,".",","),IFERROR(NUMBERVALUE(CriteriTecnici!$M1608,",","."),0))),4)&amp;""),",",".")&amp;", "&amp;CHAR(34)&amp;"rawScore"&amp;CHAR(34)&amp;": "&amp;SUBSTITUTE(TRIM(ROUND(IFERROR(CriteriTecnici!$O1608*1,IFERROR(NUMBERVALUE(CriteriTecnici!$O1608,".",","),IFERROR(NUMBERVALUE(CriteriTecnici!$O1608,",","."),0))),4)&amp;""),",",".")&amp;CHAR(125)&amp;IF(TRUE,",",""))</f>
        <v/>
      </c>
    </row>
    <row r="1710">
      <c r="A1710" s="82">
        <f>IF(CriteriTecnici!$A1609="","","    "&amp;CHAR(123)&amp;CHAR(34)&amp;"bidderId"&amp;CHAR(34)&amp;": "&amp;CHAR(34)&amp;SUBSTITUTE(CriteriTecnici!$A1609,CHAR(34),"'")&amp;CHAR(34)&amp;", "&amp;CHAR(34)&amp;"lotId"&amp;CHAR(34)&amp;": "&amp;CHAR(34)&amp;SUBSTITUTE(CriteriTecnici!$C1609,CHAR(34),"'")&amp;CHAR(34)&amp;", "&amp;CHAR(34)&amp;"criterionId"&amp;CHAR(34)&amp;": "&amp;CHAR(34)&amp;SUBSTITUTE(CriteriTecnici!$D1609,CHAR(34),"'")&amp;CHAR(34)&amp;", "&amp;CHAR(34)&amp;"kind"&amp;CHAR(34)&amp;": "&amp;CHAR(34)&amp;SUBSTITUTE(CriteriTecnici!$F1609,CHAR(34),"'")&amp;CHAR(34)&amp;", "&amp;CHAR(34)&amp;"value"&amp;CHAR(34)&amp;": "&amp;SUBSTITUTE(TRIM(ROUND(IFERROR(CriteriTecnici!$N1609*1,IFERROR(NUMBERVALUE(CriteriTecnici!$N1609,".",","),IFERROR(NUMBERVALUE(CriteriTecnici!$N1609,",","."),0))),4)&amp;""),",",".")&amp;", "&amp;CHAR(34)&amp;"numerator"&amp;CHAR(34)&amp;": "&amp;SUBSTITUTE(TRIM(ROUND(IFERROR(CriteriTecnici!$K1609*1,IFERROR(NUMBERVALUE(CriteriTecnici!$K1609,".",","),IFERROR(NUMBERVALUE(CriteriTecnici!$K1609,",","."),0))),4)&amp;""),",",".")&amp;", "&amp;CHAR(34)&amp;"denominator"&amp;CHAR(34)&amp;": "&amp;SUBSTITUTE(TRIM(ROUND(IFERROR(CriteriTecnici!$L1609*1,IFERROR(NUMBERVALUE(CriteriTecnici!$L1609,".",","),IFERROR(NUMBERVALUE(CriteriTecnici!$L1609,",","."),0))),4)&amp;""),",",".")&amp;", "&amp;CHAR(34)&amp;"flag"&amp;CHAR(34)&amp;": "&amp;SUBSTITUTE(TRIM(ROUND(IFERROR(CriteriTecnici!$M1609*1,IFERROR(NUMBERVALUE(CriteriTecnici!$M1609,".",","),IFERROR(NUMBERVALUE(CriteriTecnici!$M1609,",","."),0))),4)&amp;""),",",".")&amp;", "&amp;CHAR(34)&amp;"rawScore"&amp;CHAR(34)&amp;": "&amp;SUBSTITUTE(TRIM(ROUND(IFERROR(CriteriTecnici!$O1609*1,IFERROR(NUMBERVALUE(CriteriTecnici!$O1609,".",","),IFERROR(NUMBERVALUE(CriteriTecnici!$O1609,",","."),0))),4)&amp;""),",",".")&amp;CHAR(125)&amp;IF(TRUE,",",""))</f>
        <v/>
      </c>
    </row>
    <row r="1711">
      <c r="A1711" s="82">
        <f>IF(CriteriTecnici!$A1610="","","    "&amp;CHAR(123)&amp;CHAR(34)&amp;"bidderId"&amp;CHAR(34)&amp;": "&amp;CHAR(34)&amp;SUBSTITUTE(CriteriTecnici!$A1610,CHAR(34),"'")&amp;CHAR(34)&amp;", "&amp;CHAR(34)&amp;"lotId"&amp;CHAR(34)&amp;": "&amp;CHAR(34)&amp;SUBSTITUTE(CriteriTecnici!$C1610,CHAR(34),"'")&amp;CHAR(34)&amp;", "&amp;CHAR(34)&amp;"criterionId"&amp;CHAR(34)&amp;": "&amp;CHAR(34)&amp;SUBSTITUTE(CriteriTecnici!$D1610,CHAR(34),"'")&amp;CHAR(34)&amp;", "&amp;CHAR(34)&amp;"kind"&amp;CHAR(34)&amp;": "&amp;CHAR(34)&amp;SUBSTITUTE(CriteriTecnici!$F1610,CHAR(34),"'")&amp;CHAR(34)&amp;", "&amp;CHAR(34)&amp;"value"&amp;CHAR(34)&amp;": "&amp;SUBSTITUTE(TRIM(ROUND(IFERROR(CriteriTecnici!$N1610*1,IFERROR(NUMBERVALUE(CriteriTecnici!$N1610,".",","),IFERROR(NUMBERVALUE(CriteriTecnici!$N1610,",","."),0))),4)&amp;""),",",".")&amp;", "&amp;CHAR(34)&amp;"numerator"&amp;CHAR(34)&amp;": "&amp;SUBSTITUTE(TRIM(ROUND(IFERROR(CriteriTecnici!$K1610*1,IFERROR(NUMBERVALUE(CriteriTecnici!$K1610,".",","),IFERROR(NUMBERVALUE(CriteriTecnici!$K1610,",","."),0))),4)&amp;""),",",".")&amp;", "&amp;CHAR(34)&amp;"denominator"&amp;CHAR(34)&amp;": "&amp;SUBSTITUTE(TRIM(ROUND(IFERROR(CriteriTecnici!$L1610*1,IFERROR(NUMBERVALUE(CriteriTecnici!$L1610,".",","),IFERROR(NUMBERVALUE(CriteriTecnici!$L1610,",","."),0))),4)&amp;""),",",".")&amp;", "&amp;CHAR(34)&amp;"flag"&amp;CHAR(34)&amp;": "&amp;SUBSTITUTE(TRIM(ROUND(IFERROR(CriteriTecnici!$M1610*1,IFERROR(NUMBERVALUE(CriteriTecnici!$M1610,".",","),IFERROR(NUMBERVALUE(CriteriTecnici!$M1610,",","."),0))),4)&amp;""),",",".")&amp;", "&amp;CHAR(34)&amp;"rawScore"&amp;CHAR(34)&amp;": "&amp;SUBSTITUTE(TRIM(ROUND(IFERROR(CriteriTecnici!$O1610*1,IFERROR(NUMBERVALUE(CriteriTecnici!$O1610,".",","),IFERROR(NUMBERVALUE(CriteriTecnici!$O1610,",","."),0))),4)&amp;""),",",".")&amp;CHAR(125)&amp;IF(TRUE,",",""))</f>
        <v/>
      </c>
    </row>
    <row r="1712">
      <c r="A1712" s="82">
        <f>IF(CriteriTecnici!$A1611="","","    "&amp;CHAR(123)&amp;CHAR(34)&amp;"bidderId"&amp;CHAR(34)&amp;": "&amp;CHAR(34)&amp;SUBSTITUTE(CriteriTecnici!$A1611,CHAR(34),"'")&amp;CHAR(34)&amp;", "&amp;CHAR(34)&amp;"lotId"&amp;CHAR(34)&amp;": "&amp;CHAR(34)&amp;SUBSTITUTE(CriteriTecnici!$C1611,CHAR(34),"'")&amp;CHAR(34)&amp;", "&amp;CHAR(34)&amp;"criterionId"&amp;CHAR(34)&amp;": "&amp;CHAR(34)&amp;SUBSTITUTE(CriteriTecnici!$D1611,CHAR(34),"'")&amp;CHAR(34)&amp;", "&amp;CHAR(34)&amp;"kind"&amp;CHAR(34)&amp;": "&amp;CHAR(34)&amp;SUBSTITUTE(CriteriTecnici!$F1611,CHAR(34),"'")&amp;CHAR(34)&amp;", "&amp;CHAR(34)&amp;"value"&amp;CHAR(34)&amp;": "&amp;SUBSTITUTE(TRIM(ROUND(IFERROR(CriteriTecnici!$N1611*1,IFERROR(NUMBERVALUE(CriteriTecnici!$N1611,".",","),IFERROR(NUMBERVALUE(CriteriTecnici!$N1611,",","."),0))),4)&amp;""),",",".")&amp;", "&amp;CHAR(34)&amp;"numerator"&amp;CHAR(34)&amp;": "&amp;SUBSTITUTE(TRIM(ROUND(IFERROR(CriteriTecnici!$K1611*1,IFERROR(NUMBERVALUE(CriteriTecnici!$K1611,".",","),IFERROR(NUMBERVALUE(CriteriTecnici!$K1611,",","."),0))),4)&amp;""),",",".")&amp;", "&amp;CHAR(34)&amp;"denominator"&amp;CHAR(34)&amp;": "&amp;SUBSTITUTE(TRIM(ROUND(IFERROR(CriteriTecnici!$L1611*1,IFERROR(NUMBERVALUE(CriteriTecnici!$L1611,".",","),IFERROR(NUMBERVALUE(CriteriTecnici!$L1611,",","."),0))),4)&amp;""),",",".")&amp;", "&amp;CHAR(34)&amp;"flag"&amp;CHAR(34)&amp;": "&amp;SUBSTITUTE(TRIM(ROUND(IFERROR(CriteriTecnici!$M1611*1,IFERROR(NUMBERVALUE(CriteriTecnici!$M1611,".",","),IFERROR(NUMBERVALUE(CriteriTecnici!$M1611,",","."),0))),4)&amp;""),",",".")&amp;", "&amp;CHAR(34)&amp;"rawScore"&amp;CHAR(34)&amp;": "&amp;SUBSTITUTE(TRIM(ROUND(IFERROR(CriteriTecnici!$O1611*1,IFERROR(NUMBERVALUE(CriteriTecnici!$O1611,".",","),IFERROR(NUMBERVALUE(CriteriTecnici!$O1611,",","."),0))),4)&amp;""),",",".")&amp;CHAR(125)&amp;IF(TRUE,",",""))</f>
        <v/>
      </c>
    </row>
    <row r="1713">
      <c r="A1713" s="82">
        <f>IF(CriteriTecnici!$A1612="","","    "&amp;CHAR(123)&amp;CHAR(34)&amp;"bidderId"&amp;CHAR(34)&amp;": "&amp;CHAR(34)&amp;SUBSTITUTE(CriteriTecnici!$A1612,CHAR(34),"'")&amp;CHAR(34)&amp;", "&amp;CHAR(34)&amp;"lotId"&amp;CHAR(34)&amp;": "&amp;CHAR(34)&amp;SUBSTITUTE(CriteriTecnici!$C1612,CHAR(34),"'")&amp;CHAR(34)&amp;", "&amp;CHAR(34)&amp;"criterionId"&amp;CHAR(34)&amp;": "&amp;CHAR(34)&amp;SUBSTITUTE(CriteriTecnici!$D1612,CHAR(34),"'")&amp;CHAR(34)&amp;", "&amp;CHAR(34)&amp;"kind"&amp;CHAR(34)&amp;": "&amp;CHAR(34)&amp;SUBSTITUTE(CriteriTecnici!$F1612,CHAR(34),"'")&amp;CHAR(34)&amp;", "&amp;CHAR(34)&amp;"value"&amp;CHAR(34)&amp;": "&amp;SUBSTITUTE(TRIM(ROUND(IFERROR(CriteriTecnici!$N1612*1,IFERROR(NUMBERVALUE(CriteriTecnici!$N1612,".",","),IFERROR(NUMBERVALUE(CriteriTecnici!$N1612,",","."),0))),4)&amp;""),",",".")&amp;", "&amp;CHAR(34)&amp;"numerator"&amp;CHAR(34)&amp;": "&amp;SUBSTITUTE(TRIM(ROUND(IFERROR(CriteriTecnici!$K1612*1,IFERROR(NUMBERVALUE(CriteriTecnici!$K1612,".",","),IFERROR(NUMBERVALUE(CriteriTecnici!$K1612,",","."),0))),4)&amp;""),",",".")&amp;", "&amp;CHAR(34)&amp;"denominator"&amp;CHAR(34)&amp;": "&amp;SUBSTITUTE(TRIM(ROUND(IFERROR(CriteriTecnici!$L1612*1,IFERROR(NUMBERVALUE(CriteriTecnici!$L1612,".",","),IFERROR(NUMBERVALUE(CriteriTecnici!$L1612,",","."),0))),4)&amp;""),",",".")&amp;", "&amp;CHAR(34)&amp;"flag"&amp;CHAR(34)&amp;": "&amp;SUBSTITUTE(TRIM(ROUND(IFERROR(CriteriTecnici!$M1612*1,IFERROR(NUMBERVALUE(CriteriTecnici!$M1612,".",","),IFERROR(NUMBERVALUE(CriteriTecnici!$M1612,",","."),0))),4)&amp;""),",",".")&amp;", "&amp;CHAR(34)&amp;"rawScore"&amp;CHAR(34)&amp;": "&amp;SUBSTITUTE(TRIM(ROUND(IFERROR(CriteriTecnici!$O1612*1,IFERROR(NUMBERVALUE(CriteriTecnici!$O1612,".",","),IFERROR(NUMBERVALUE(CriteriTecnici!$O1612,",","."),0))),4)&amp;""),",",".")&amp;CHAR(125)&amp;IF(TRUE,",",""))</f>
        <v/>
      </c>
    </row>
    <row r="1714">
      <c r="A1714" s="82">
        <f>IF(CriteriTecnici!$A1613="","","    "&amp;CHAR(123)&amp;CHAR(34)&amp;"bidderId"&amp;CHAR(34)&amp;": "&amp;CHAR(34)&amp;SUBSTITUTE(CriteriTecnici!$A1613,CHAR(34),"'")&amp;CHAR(34)&amp;", "&amp;CHAR(34)&amp;"lotId"&amp;CHAR(34)&amp;": "&amp;CHAR(34)&amp;SUBSTITUTE(CriteriTecnici!$C1613,CHAR(34),"'")&amp;CHAR(34)&amp;", "&amp;CHAR(34)&amp;"criterionId"&amp;CHAR(34)&amp;": "&amp;CHAR(34)&amp;SUBSTITUTE(CriteriTecnici!$D1613,CHAR(34),"'")&amp;CHAR(34)&amp;", "&amp;CHAR(34)&amp;"kind"&amp;CHAR(34)&amp;": "&amp;CHAR(34)&amp;SUBSTITUTE(CriteriTecnici!$F1613,CHAR(34),"'")&amp;CHAR(34)&amp;", "&amp;CHAR(34)&amp;"value"&amp;CHAR(34)&amp;": "&amp;SUBSTITUTE(TRIM(ROUND(IFERROR(CriteriTecnici!$N1613*1,IFERROR(NUMBERVALUE(CriteriTecnici!$N1613,".",","),IFERROR(NUMBERVALUE(CriteriTecnici!$N1613,",","."),0))),4)&amp;""),",",".")&amp;", "&amp;CHAR(34)&amp;"numerator"&amp;CHAR(34)&amp;": "&amp;SUBSTITUTE(TRIM(ROUND(IFERROR(CriteriTecnici!$K1613*1,IFERROR(NUMBERVALUE(CriteriTecnici!$K1613,".",","),IFERROR(NUMBERVALUE(CriteriTecnici!$K1613,",","."),0))),4)&amp;""),",",".")&amp;", "&amp;CHAR(34)&amp;"denominator"&amp;CHAR(34)&amp;": "&amp;SUBSTITUTE(TRIM(ROUND(IFERROR(CriteriTecnici!$L1613*1,IFERROR(NUMBERVALUE(CriteriTecnici!$L1613,".",","),IFERROR(NUMBERVALUE(CriteriTecnici!$L1613,",","."),0))),4)&amp;""),",",".")&amp;", "&amp;CHAR(34)&amp;"flag"&amp;CHAR(34)&amp;": "&amp;SUBSTITUTE(TRIM(ROUND(IFERROR(CriteriTecnici!$M1613*1,IFERROR(NUMBERVALUE(CriteriTecnici!$M1613,".",","),IFERROR(NUMBERVALUE(CriteriTecnici!$M1613,",","."),0))),4)&amp;""),",",".")&amp;", "&amp;CHAR(34)&amp;"rawScore"&amp;CHAR(34)&amp;": "&amp;SUBSTITUTE(TRIM(ROUND(IFERROR(CriteriTecnici!$O1613*1,IFERROR(NUMBERVALUE(CriteriTecnici!$O1613,".",","),IFERROR(NUMBERVALUE(CriteriTecnici!$O1613,",","."),0))),4)&amp;""),",",".")&amp;CHAR(125)&amp;IF(TRUE,",",""))</f>
        <v/>
      </c>
    </row>
    <row r="1715">
      <c r="A1715" s="82">
        <f>IF(CriteriTecnici!$A1614="","","    "&amp;CHAR(123)&amp;CHAR(34)&amp;"bidderId"&amp;CHAR(34)&amp;": "&amp;CHAR(34)&amp;SUBSTITUTE(CriteriTecnici!$A1614,CHAR(34),"'")&amp;CHAR(34)&amp;", "&amp;CHAR(34)&amp;"lotId"&amp;CHAR(34)&amp;": "&amp;CHAR(34)&amp;SUBSTITUTE(CriteriTecnici!$C1614,CHAR(34),"'")&amp;CHAR(34)&amp;", "&amp;CHAR(34)&amp;"criterionId"&amp;CHAR(34)&amp;": "&amp;CHAR(34)&amp;SUBSTITUTE(CriteriTecnici!$D1614,CHAR(34),"'")&amp;CHAR(34)&amp;", "&amp;CHAR(34)&amp;"kind"&amp;CHAR(34)&amp;": "&amp;CHAR(34)&amp;SUBSTITUTE(CriteriTecnici!$F1614,CHAR(34),"'")&amp;CHAR(34)&amp;", "&amp;CHAR(34)&amp;"value"&amp;CHAR(34)&amp;": "&amp;SUBSTITUTE(TRIM(ROUND(IFERROR(CriteriTecnici!$N1614*1,IFERROR(NUMBERVALUE(CriteriTecnici!$N1614,".",","),IFERROR(NUMBERVALUE(CriteriTecnici!$N1614,",","."),0))),4)&amp;""),",",".")&amp;", "&amp;CHAR(34)&amp;"numerator"&amp;CHAR(34)&amp;": "&amp;SUBSTITUTE(TRIM(ROUND(IFERROR(CriteriTecnici!$K1614*1,IFERROR(NUMBERVALUE(CriteriTecnici!$K1614,".",","),IFERROR(NUMBERVALUE(CriteriTecnici!$K1614,",","."),0))),4)&amp;""),",",".")&amp;", "&amp;CHAR(34)&amp;"denominator"&amp;CHAR(34)&amp;": "&amp;SUBSTITUTE(TRIM(ROUND(IFERROR(CriteriTecnici!$L1614*1,IFERROR(NUMBERVALUE(CriteriTecnici!$L1614,".",","),IFERROR(NUMBERVALUE(CriteriTecnici!$L1614,",","."),0))),4)&amp;""),",",".")&amp;", "&amp;CHAR(34)&amp;"flag"&amp;CHAR(34)&amp;": "&amp;SUBSTITUTE(TRIM(ROUND(IFERROR(CriteriTecnici!$M1614*1,IFERROR(NUMBERVALUE(CriteriTecnici!$M1614,".",","),IFERROR(NUMBERVALUE(CriteriTecnici!$M1614,",","."),0))),4)&amp;""),",",".")&amp;", "&amp;CHAR(34)&amp;"rawScore"&amp;CHAR(34)&amp;": "&amp;SUBSTITUTE(TRIM(ROUND(IFERROR(CriteriTecnici!$O1614*1,IFERROR(NUMBERVALUE(CriteriTecnici!$O1614,".",","),IFERROR(NUMBERVALUE(CriteriTecnici!$O1614,",","."),0))),4)&amp;""),",",".")&amp;CHAR(125)&amp;IF(TRUE,",",""))</f>
        <v/>
      </c>
    </row>
    <row r="1716">
      <c r="A1716" s="82">
        <f>IF(CriteriTecnici!$A1615="","","    "&amp;CHAR(123)&amp;CHAR(34)&amp;"bidderId"&amp;CHAR(34)&amp;": "&amp;CHAR(34)&amp;SUBSTITUTE(CriteriTecnici!$A1615,CHAR(34),"'")&amp;CHAR(34)&amp;", "&amp;CHAR(34)&amp;"lotId"&amp;CHAR(34)&amp;": "&amp;CHAR(34)&amp;SUBSTITUTE(CriteriTecnici!$C1615,CHAR(34),"'")&amp;CHAR(34)&amp;", "&amp;CHAR(34)&amp;"criterionId"&amp;CHAR(34)&amp;": "&amp;CHAR(34)&amp;SUBSTITUTE(CriteriTecnici!$D1615,CHAR(34),"'")&amp;CHAR(34)&amp;", "&amp;CHAR(34)&amp;"kind"&amp;CHAR(34)&amp;": "&amp;CHAR(34)&amp;SUBSTITUTE(CriteriTecnici!$F1615,CHAR(34),"'")&amp;CHAR(34)&amp;", "&amp;CHAR(34)&amp;"value"&amp;CHAR(34)&amp;": "&amp;SUBSTITUTE(TRIM(ROUND(IFERROR(CriteriTecnici!$N1615*1,IFERROR(NUMBERVALUE(CriteriTecnici!$N1615,".",","),IFERROR(NUMBERVALUE(CriteriTecnici!$N1615,",","."),0))),4)&amp;""),",",".")&amp;", "&amp;CHAR(34)&amp;"numerator"&amp;CHAR(34)&amp;": "&amp;SUBSTITUTE(TRIM(ROUND(IFERROR(CriteriTecnici!$K1615*1,IFERROR(NUMBERVALUE(CriteriTecnici!$K1615,".",","),IFERROR(NUMBERVALUE(CriteriTecnici!$K1615,",","."),0))),4)&amp;""),",",".")&amp;", "&amp;CHAR(34)&amp;"denominator"&amp;CHAR(34)&amp;": "&amp;SUBSTITUTE(TRIM(ROUND(IFERROR(CriteriTecnici!$L1615*1,IFERROR(NUMBERVALUE(CriteriTecnici!$L1615,".",","),IFERROR(NUMBERVALUE(CriteriTecnici!$L1615,",","."),0))),4)&amp;""),",",".")&amp;", "&amp;CHAR(34)&amp;"flag"&amp;CHAR(34)&amp;": "&amp;SUBSTITUTE(TRIM(ROUND(IFERROR(CriteriTecnici!$M1615*1,IFERROR(NUMBERVALUE(CriteriTecnici!$M1615,".",","),IFERROR(NUMBERVALUE(CriteriTecnici!$M1615,",","."),0))),4)&amp;""),",",".")&amp;", "&amp;CHAR(34)&amp;"rawScore"&amp;CHAR(34)&amp;": "&amp;SUBSTITUTE(TRIM(ROUND(IFERROR(CriteriTecnici!$O1615*1,IFERROR(NUMBERVALUE(CriteriTecnici!$O1615,".",","),IFERROR(NUMBERVALUE(CriteriTecnici!$O1615,",","."),0))),4)&amp;""),",",".")&amp;CHAR(125)&amp;IF(TRUE,",",""))</f>
        <v/>
      </c>
    </row>
    <row r="1717">
      <c r="A1717" s="82">
        <f>IF(CriteriTecnici!$A1616="","","    "&amp;CHAR(123)&amp;CHAR(34)&amp;"bidderId"&amp;CHAR(34)&amp;": "&amp;CHAR(34)&amp;SUBSTITUTE(CriteriTecnici!$A1616,CHAR(34),"'")&amp;CHAR(34)&amp;", "&amp;CHAR(34)&amp;"lotId"&amp;CHAR(34)&amp;": "&amp;CHAR(34)&amp;SUBSTITUTE(CriteriTecnici!$C1616,CHAR(34),"'")&amp;CHAR(34)&amp;", "&amp;CHAR(34)&amp;"criterionId"&amp;CHAR(34)&amp;": "&amp;CHAR(34)&amp;SUBSTITUTE(CriteriTecnici!$D1616,CHAR(34),"'")&amp;CHAR(34)&amp;", "&amp;CHAR(34)&amp;"kind"&amp;CHAR(34)&amp;": "&amp;CHAR(34)&amp;SUBSTITUTE(CriteriTecnici!$F1616,CHAR(34),"'")&amp;CHAR(34)&amp;", "&amp;CHAR(34)&amp;"value"&amp;CHAR(34)&amp;": "&amp;SUBSTITUTE(TRIM(ROUND(IFERROR(CriteriTecnici!$N1616*1,IFERROR(NUMBERVALUE(CriteriTecnici!$N1616,".",","),IFERROR(NUMBERVALUE(CriteriTecnici!$N1616,",","."),0))),4)&amp;""),",",".")&amp;", "&amp;CHAR(34)&amp;"numerator"&amp;CHAR(34)&amp;": "&amp;SUBSTITUTE(TRIM(ROUND(IFERROR(CriteriTecnici!$K1616*1,IFERROR(NUMBERVALUE(CriteriTecnici!$K1616,".",","),IFERROR(NUMBERVALUE(CriteriTecnici!$K1616,",","."),0))),4)&amp;""),",",".")&amp;", "&amp;CHAR(34)&amp;"denominator"&amp;CHAR(34)&amp;": "&amp;SUBSTITUTE(TRIM(ROUND(IFERROR(CriteriTecnici!$L1616*1,IFERROR(NUMBERVALUE(CriteriTecnici!$L1616,".",","),IFERROR(NUMBERVALUE(CriteriTecnici!$L1616,",","."),0))),4)&amp;""),",",".")&amp;", "&amp;CHAR(34)&amp;"flag"&amp;CHAR(34)&amp;": "&amp;SUBSTITUTE(TRIM(ROUND(IFERROR(CriteriTecnici!$M1616*1,IFERROR(NUMBERVALUE(CriteriTecnici!$M1616,".",","),IFERROR(NUMBERVALUE(CriteriTecnici!$M1616,",","."),0))),4)&amp;""),",",".")&amp;", "&amp;CHAR(34)&amp;"rawScore"&amp;CHAR(34)&amp;": "&amp;SUBSTITUTE(TRIM(ROUND(IFERROR(CriteriTecnici!$O1616*1,IFERROR(NUMBERVALUE(CriteriTecnici!$O1616,".",","),IFERROR(NUMBERVALUE(CriteriTecnici!$O1616,",","."),0))),4)&amp;""),",",".")&amp;CHAR(125)&amp;IF(COUNTA(Offerte!$A54:$A$81)&gt;0,",",""))</f>
        <v/>
      </c>
    </row>
    <row r="1718">
      <c r="A1718" s="82">
        <f>IF(CriteriTecnici!$A1617="","","    "&amp;CHAR(123)&amp;CHAR(34)&amp;"bidderId"&amp;CHAR(34)&amp;": "&amp;CHAR(34)&amp;SUBSTITUTE(CriteriTecnici!$A1617,CHAR(34),"'")&amp;CHAR(34)&amp;", "&amp;CHAR(34)&amp;"lotId"&amp;CHAR(34)&amp;": "&amp;CHAR(34)&amp;SUBSTITUTE(CriteriTecnici!$C1617,CHAR(34),"'")&amp;CHAR(34)&amp;", "&amp;CHAR(34)&amp;"criterionId"&amp;CHAR(34)&amp;": "&amp;CHAR(34)&amp;SUBSTITUTE(CriteriTecnici!$D1617,CHAR(34),"'")&amp;CHAR(34)&amp;", "&amp;CHAR(34)&amp;"kind"&amp;CHAR(34)&amp;": "&amp;CHAR(34)&amp;SUBSTITUTE(CriteriTecnici!$F1617,CHAR(34),"'")&amp;CHAR(34)&amp;", "&amp;CHAR(34)&amp;"value"&amp;CHAR(34)&amp;": "&amp;SUBSTITUTE(TRIM(ROUND(IFERROR(CriteriTecnici!$N1617*1,IFERROR(NUMBERVALUE(CriteriTecnici!$N1617,".",","),IFERROR(NUMBERVALUE(CriteriTecnici!$N1617,",","."),0))),4)&amp;""),",",".")&amp;", "&amp;CHAR(34)&amp;"numerator"&amp;CHAR(34)&amp;": "&amp;SUBSTITUTE(TRIM(ROUND(IFERROR(CriteriTecnici!$K1617*1,IFERROR(NUMBERVALUE(CriteriTecnici!$K1617,".",","),IFERROR(NUMBERVALUE(CriteriTecnici!$K1617,",","."),0))),4)&amp;""),",",".")&amp;", "&amp;CHAR(34)&amp;"denominator"&amp;CHAR(34)&amp;": "&amp;SUBSTITUTE(TRIM(ROUND(IFERROR(CriteriTecnici!$L1617*1,IFERROR(NUMBERVALUE(CriteriTecnici!$L1617,".",","),IFERROR(NUMBERVALUE(CriteriTecnici!$L1617,",","."),0))),4)&amp;""),",",".")&amp;", "&amp;CHAR(34)&amp;"flag"&amp;CHAR(34)&amp;": "&amp;SUBSTITUTE(TRIM(ROUND(IFERROR(CriteriTecnici!$M1617*1,IFERROR(NUMBERVALUE(CriteriTecnici!$M1617,".",","),IFERROR(NUMBERVALUE(CriteriTecnici!$M1617,",","."),0))),4)&amp;""),",",".")&amp;", "&amp;CHAR(34)&amp;"rawScore"&amp;CHAR(34)&amp;": "&amp;SUBSTITUTE(TRIM(ROUND(IFERROR(CriteriTecnici!$O1617*1,IFERROR(NUMBERVALUE(CriteriTecnici!$O1617,".",","),IFERROR(NUMBERVALUE(CriteriTecnici!$O1617,",","."),0))),4)&amp;""),",",".")&amp;CHAR(125)&amp;IF(TRUE,",",""))</f>
        <v/>
      </c>
    </row>
    <row r="1719">
      <c r="A1719" s="82">
        <f>IF(CriteriTecnici!$A1618="","","    "&amp;CHAR(123)&amp;CHAR(34)&amp;"bidderId"&amp;CHAR(34)&amp;": "&amp;CHAR(34)&amp;SUBSTITUTE(CriteriTecnici!$A1618,CHAR(34),"'")&amp;CHAR(34)&amp;", "&amp;CHAR(34)&amp;"lotId"&amp;CHAR(34)&amp;": "&amp;CHAR(34)&amp;SUBSTITUTE(CriteriTecnici!$C1618,CHAR(34),"'")&amp;CHAR(34)&amp;", "&amp;CHAR(34)&amp;"criterionId"&amp;CHAR(34)&amp;": "&amp;CHAR(34)&amp;SUBSTITUTE(CriteriTecnici!$D1618,CHAR(34),"'")&amp;CHAR(34)&amp;", "&amp;CHAR(34)&amp;"kind"&amp;CHAR(34)&amp;": "&amp;CHAR(34)&amp;SUBSTITUTE(CriteriTecnici!$F1618,CHAR(34),"'")&amp;CHAR(34)&amp;", "&amp;CHAR(34)&amp;"value"&amp;CHAR(34)&amp;": "&amp;SUBSTITUTE(TRIM(ROUND(IFERROR(CriteriTecnici!$N1618*1,IFERROR(NUMBERVALUE(CriteriTecnici!$N1618,".",","),IFERROR(NUMBERVALUE(CriteriTecnici!$N1618,",","."),0))),4)&amp;""),",",".")&amp;", "&amp;CHAR(34)&amp;"numerator"&amp;CHAR(34)&amp;": "&amp;SUBSTITUTE(TRIM(ROUND(IFERROR(CriteriTecnici!$K1618*1,IFERROR(NUMBERVALUE(CriteriTecnici!$K1618,".",","),IFERROR(NUMBERVALUE(CriteriTecnici!$K1618,",","."),0))),4)&amp;""),",",".")&amp;", "&amp;CHAR(34)&amp;"denominator"&amp;CHAR(34)&amp;": "&amp;SUBSTITUTE(TRIM(ROUND(IFERROR(CriteriTecnici!$L1618*1,IFERROR(NUMBERVALUE(CriteriTecnici!$L1618,".",","),IFERROR(NUMBERVALUE(CriteriTecnici!$L1618,",","."),0))),4)&amp;""),",",".")&amp;", "&amp;CHAR(34)&amp;"flag"&amp;CHAR(34)&amp;": "&amp;SUBSTITUTE(TRIM(ROUND(IFERROR(CriteriTecnici!$M1618*1,IFERROR(NUMBERVALUE(CriteriTecnici!$M1618,".",","),IFERROR(NUMBERVALUE(CriteriTecnici!$M1618,",","."),0))),4)&amp;""),",",".")&amp;", "&amp;CHAR(34)&amp;"rawScore"&amp;CHAR(34)&amp;": "&amp;SUBSTITUTE(TRIM(ROUND(IFERROR(CriteriTecnici!$O1618*1,IFERROR(NUMBERVALUE(CriteriTecnici!$O1618,".",","),IFERROR(NUMBERVALUE(CriteriTecnici!$O1618,",","."),0))),4)&amp;""),",",".")&amp;CHAR(125)&amp;IF(TRUE,",",""))</f>
        <v/>
      </c>
    </row>
    <row r="1720">
      <c r="A1720" s="82">
        <f>IF(CriteriTecnici!$A1619="","","    "&amp;CHAR(123)&amp;CHAR(34)&amp;"bidderId"&amp;CHAR(34)&amp;": "&amp;CHAR(34)&amp;SUBSTITUTE(CriteriTecnici!$A1619,CHAR(34),"'")&amp;CHAR(34)&amp;", "&amp;CHAR(34)&amp;"lotId"&amp;CHAR(34)&amp;": "&amp;CHAR(34)&amp;SUBSTITUTE(CriteriTecnici!$C1619,CHAR(34),"'")&amp;CHAR(34)&amp;", "&amp;CHAR(34)&amp;"criterionId"&amp;CHAR(34)&amp;": "&amp;CHAR(34)&amp;SUBSTITUTE(CriteriTecnici!$D1619,CHAR(34),"'")&amp;CHAR(34)&amp;", "&amp;CHAR(34)&amp;"kind"&amp;CHAR(34)&amp;": "&amp;CHAR(34)&amp;SUBSTITUTE(CriteriTecnici!$F1619,CHAR(34),"'")&amp;CHAR(34)&amp;", "&amp;CHAR(34)&amp;"value"&amp;CHAR(34)&amp;": "&amp;SUBSTITUTE(TRIM(ROUND(IFERROR(CriteriTecnici!$N1619*1,IFERROR(NUMBERVALUE(CriteriTecnici!$N1619,".",","),IFERROR(NUMBERVALUE(CriteriTecnici!$N1619,",","."),0))),4)&amp;""),",",".")&amp;", "&amp;CHAR(34)&amp;"numerator"&amp;CHAR(34)&amp;": "&amp;SUBSTITUTE(TRIM(ROUND(IFERROR(CriteriTecnici!$K1619*1,IFERROR(NUMBERVALUE(CriteriTecnici!$K1619,".",","),IFERROR(NUMBERVALUE(CriteriTecnici!$K1619,",","."),0))),4)&amp;""),",",".")&amp;", "&amp;CHAR(34)&amp;"denominator"&amp;CHAR(34)&amp;": "&amp;SUBSTITUTE(TRIM(ROUND(IFERROR(CriteriTecnici!$L1619*1,IFERROR(NUMBERVALUE(CriteriTecnici!$L1619,".",","),IFERROR(NUMBERVALUE(CriteriTecnici!$L1619,",","."),0))),4)&amp;""),",",".")&amp;", "&amp;CHAR(34)&amp;"flag"&amp;CHAR(34)&amp;": "&amp;SUBSTITUTE(TRIM(ROUND(IFERROR(CriteriTecnici!$M1619*1,IFERROR(NUMBERVALUE(CriteriTecnici!$M1619,".",","),IFERROR(NUMBERVALUE(CriteriTecnici!$M1619,",","."),0))),4)&amp;""),",",".")&amp;", "&amp;CHAR(34)&amp;"rawScore"&amp;CHAR(34)&amp;": "&amp;SUBSTITUTE(TRIM(ROUND(IFERROR(CriteriTecnici!$O1619*1,IFERROR(NUMBERVALUE(CriteriTecnici!$O1619,".",","),IFERROR(NUMBERVALUE(CriteriTecnici!$O1619,",","."),0))),4)&amp;""),",",".")&amp;CHAR(125)&amp;IF(TRUE,",",""))</f>
        <v/>
      </c>
    </row>
    <row r="1721">
      <c r="A1721" s="82">
        <f>IF(CriteriTecnici!$A1620="","","    "&amp;CHAR(123)&amp;CHAR(34)&amp;"bidderId"&amp;CHAR(34)&amp;": "&amp;CHAR(34)&amp;SUBSTITUTE(CriteriTecnici!$A1620,CHAR(34),"'")&amp;CHAR(34)&amp;", "&amp;CHAR(34)&amp;"lotId"&amp;CHAR(34)&amp;": "&amp;CHAR(34)&amp;SUBSTITUTE(CriteriTecnici!$C1620,CHAR(34),"'")&amp;CHAR(34)&amp;", "&amp;CHAR(34)&amp;"criterionId"&amp;CHAR(34)&amp;": "&amp;CHAR(34)&amp;SUBSTITUTE(CriteriTecnici!$D1620,CHAR(34),"'")&amp;CHAR(34)&amp;", "&amp;CHAR(34)&amp;"kind"&amp;CHAR(34)&amp;": "&amp;CHAR(34)&amp;SUBSTITUTE(CriteriTecnici!$F1620,CHAR(34),"'")&amp;CHAR(34)&amp;", "&amp;CHAR(34)&amp;"value"&amp;CHAR(34)&amp;": "&amp;SUBSTITUTE(TRIM(ROUND(IFERROR(CriteriTecnici!$N1620*1,IFERROR(NUMBERVALUE(CriteriTecnici!$N1620,".",","),IFERROR(NUMBERVALUE(CriteriTecnici!$N1620,",","."),0))),4)&amp;""),",",".")&amp;", "&amp;CHAR(34)&amp;"numerator"&amp;CHAR(34)&amp;": "&amp;SUBSTITUTE(TRIM(ROUND(IFERROR(CriteriTecnici!$K1620*1,IFERROR(NUMBERVALUE(CriteriTecnici!$K1620,".",","),IFERROR(NUMBERVALUE(CriteriTecnici!$K1620,",","."),0))),4)&amp;""),",",".")&amp;", "&amp;CHAR(34)&amp;"denominator"&amp;CHAR(34)&amp;": "&amp;SUBSTITUTE(TRIM(ROUND(IFERROR(CriteriTecnici!$L1620*1,IFERROR(NUMBERVALUE(CriteriTecnici!$L1620,".",","),IFERROR(NUMBERVALUE(CriteriTecnici!$L1620,",","."),0))),4)&amp;""),",",".")&amp;", "&amp;CHAR(34)&amp;"flag"&amp;CHAR(34)&amp;": "&amp;SUBSTITUTE(TRIM(ROUND(IFERROR(CriteriTecnici!$M1620*1,IFERROR(NUMBERVALUE(CriteriTecnici!$M1620,".",","),IFERROR(NUMBERVALUE(CriteriTecnici!$M1620,",","."),0))),4)&amp;""),",",".")&amp;", "&amp;CHAR(34)&amp;"rawScore"&amp;CHAR(34)&amp;": "&amp;SUBSTITUTE(TRIM(ROUND(IFERROR(CriteriTecnici!$O1620*1,IFERROR(NUMBERVALUE(CriteriTecnici!$O1620,".",","),IFERROR(NUMBERVALUE(CriteriTecnici!$O1620,",","."),0))),4)&amp;""),",",".")&amp;CHAR(125)&amp;IF(TRUE,",",""))</f>
        <v/>
      </c>
    </row>
    <row r="1722">
      <c r="A1722" s="82">
        <f>IF(CriteriTecnici!$A1621="","","    "&amp;CHAR(123)&amp;CHAR(34)&amp;"bidderId"&amp;CHAR(34)&amp;": "&amp;CHAR(34)&amp;SUBSTITUTE(CriteriTecnici!$A1621,CHAR(34),"'")&amp;CHAR(34)&amp;", "&amp;CHAR(34)&amp;"lotId"&amp;CHAR(34)&amp;": "&amp;CHAR(34)&amp;SUBSTITUTE(CriteriTecnici!$C1621,CHAR(34),"'")&amp;CHAR(34)&amp;", "&amp;CHAR(34)&amp;"criterionId"&amp;CHAR(34)&amp;": "&amp;CHAR(34)&amp;SUBSTITUTE(CriteriTecnici!$D1621,CHAR(34),"'")&amp;CHAR(34)&amp;", "&amp;CHAR(34)&amp;"kind"&amp;CHAR(34)&amp;": "&amp;CHAR(34)&amp;SUBSTITUTE(CriteriTecnici!$F1621,CHAR(34),"'")&amp;CHAR(34)&amp;", "&amp;CHAR(34)&amp;"value"&amp;CHAR(34)&amp;": "&amp;SUBSTITUTE(TRIM(ROUND(IFERROR(CriteriTecnici!$N1621*1,IFERROR(NUMBERVALUE(CriteriTecnici!$N1621,".",","),IFERROR(NUMBERVALUE(CriteriTecnici!$N1621,",","."),0))),4)&amp;""),",",".")&amp;", "&amp;CHAR(34)&amp;"numerator"&amp;CHAR(34)&amp;": "&amp;SUBSTITUTE(TRIM(ROUND(IFERROR(CriteriTecnici!$K1621*1,IFERROR(NUMBERVALUE(CriteriTecnici!$K1621,".",","),IFERROR(NUMBERVALUE(CriteriTecnici!$K1621,",","."),0))),4)&amp;""),",",".")&amp;", "&amp;CHAR(34)&amp;"denominator"&amp;CHAR(34)&amp;": "&amp;SUBSTITUTE(TRIM(ROUND(IFERROR(CriteriTecnici!$L1621*1,IFERROR(NUMBERVALUE(CriteriTecnici!$L1621,".",","),IFERROR(NUMBERVALUE(CriteriTecnici!$L1621,",","."),0))),4)&amp;""),",",".")&amp;", "&amp;CHAR(34)&amp;"flag"&amp;CHAR(34)&amp;": "&amp;SUBSTITUTE(TRIM(ROUND(IFERROR(CriteriTecnici!$M1621*1,IFERROR(NUMBERVALUE(CriteriTecnici!$M1621,".",","),IFERROR(NUMBERVALUE(CriteriTecnici!$M1621,",","."),0))),4)&amp;""),",",".")&amp;", "&amp;CHAR(34)&amp;"rawScore"&amp;CHAR(34)&amp;": "&amp;SUBSTITUTE(TRIM(ROUND(IFERROR(CriteriTecnici!$O1621*1,IFERROR(NUMBERVALUE(CriteriTecnici!$O1621,".",","),IFERROR(NUMBERVALUE(CriteriTecnici!$O1621,",","."),0))),4)&amp;""),",",".")&amp;CHAR(125)&amp;IF(TRUE,",",""))</f>
        <v/>
      </c>
    </row>
    <row r="1723">
      <c r="A1723" s="82">
        <f>IF(CriteriTecnici!$A1622="","","    "&amp;CHAR(123)&amp;CHAR(34)&amp;"bidderId"&amp;CHAR(34)&amp;": "&amp;CHAR(34)&amp;SUBSTITUTE(CriteriTecnici!$A1622,CHAR(34),"'")&amp;CHAR(34)&amp;", "&amp;CHAR(34)&amp;"lotId"&amp;CHAR(34)&amp;": "&amp;CHAR(34)&amp;SUBSTITUTE(CriteriTecnici!$C1622,CHAR(34),"'")&amp;CHAR(34)&amp;", "&amp;CHAR(34)&amp;"criterionId"&amp;CHAR(34)&amp;": "&amp;CHAR(34)&amp;SUBSTITUTE(CriteriTecnici!$D1622,CHAR(34),"'")&amp;CHAR(34)&amp;", "&amp;CHAR(34)&amp;"kind"&amp;CHAR(34)&amp;": "&amp;CHAR(34)&amp;SUBSTITUTE(CriteriTecnici!$F1622,CHAR(34),"'")&amp;CHAR(34)&amp;", "&amp;CHAR(34)&amp;"value"&amp;CHAR(34)&amp;": "&amp;SUBSTITUTE(TRIM(ROUND(IFERROR(CriteriTecnici!$N1622*1,IFERROR(NUMBERVALUE(CriteriTecnici!$N1622,".",","),IFERROR(NUMBERVALUE(CriteriTecnici!$N1622,",","."),0))),4)&amp;""),",",".")&amp;", "&amp;CHAR(34)&amp;"numerator"&amp;CHAR(34)&amp;": "&amp;SUBSTITUTE(TRIM(ROUND(IFERROR(CriteriTecnici!$K1622*1,IFERROR(NUMBERVALUE(CriteriTecnici!$K1622,".",","),IFERROR(NUMBERVALUE(CriteriTecnici!$K1622,",","."),0))),4)&amp;""),",",".")&amp;", "&amp;CHAR(34)&amp;"denominator"&amp;CHAR(34)&amp;": "&amp;SUBSTITUTE(TRIM(ROUND(IFERROR(CriteriTecnici!$L1622*1,IFERROR(NUMBERVALUE(CriteriTecnici!$L1622,".",","),IFERROR(NUMBERVALUE(CriteriTecnici!$L1622,",","."),0))),4)&amp;""),",",".")&amp;", "&amp;CHAR(34)&amp;"flag"&amp;CHAR(34)&amp;": "&amp;SUBSTITUTE(TRIM(ROUND(IFERROR(CriteriTecnici!$M1622*1,IFERROR(NUMBERVALUE(CriteriTecnici!$M1622,".",","),IFERROR(NUMBERVALUE(CriteriTecnici!$M1622,",","."),0))),4)&amp;""),",",".")&amp;", "&amp;CHAR(34)&amp;"rawScore"&amp;CHAR(34)&amp;": "&amp;SUBSTITUTE(TRIM(ROUND(IFERROR(CriteriTecnici!$O1622*1,IFERROR(NUMBERVALUE(CriteriTecnici!$O1622,".",","),IFERROR(NUMBERVALUE(CriteriTecnici!$O1622,",","."),0))),4)&amp;""),",",".")&amp;CHAR(125)&amp;IF(TRUE,",",""))</f>
        <v/>
      </c>
    </row>
    <row r="1724">
      <c r="A1724" s="82">
        <f>IF(CriteriTecnici!$A1623="","","    "&amp;CHAR(123)&amp;CHAR(34)&amp;"bidderId"&amp;CHAR(34)&amp;": "&amp;CHAR(34)&amp;SUBSTITUTE(CriteriTecnici!$A1623,CHAR(34),"'")&amp;CHAR(34)&amp;", "&amp;CHAR(34)&amp;"lotId"&amp;CHAR(34)&amp;": "&amp;CHAR(34)&amp;SUBSTITUTE(CriteriTecnici!$C1623,CHAR(34),"'")&amp;CHAR(34)&amp;", "&amp;CHAR(34)&amp;"criterionId"&amp;CHAR(34)&amp;": "&amp;CHAR(34)&amp;SUBSTITUTE(CriteriTecnici!$D1623,CHAR(34),"'")&amp;CHAR(34)&amp;", "&amp;CHAR(34)&amp;"kind"&amp;CHAR(34)&amp;": "&amp;CHAR(34)&amp;SUBSTITUTE(CriteriTecnici!$F1623,CHAR(34),"'")&amp;CHAR(34)&amp;", "&amp;CHAR(34)&amp;"value"&amp;CHAR(34)&amp;": "&amp;SUBSTITUTE(TRIM(ROUND(IFERROR(CriteriTecnici!$N1623*1,IFERROR(NUMBERVALUE(CriteriTecnici!$N1623,".",","),IFERROR(NUMBERVALUE(CriteriTecnici!$N1623,",","."),0))),4)&amp;""),",",".")&amp;", "&amp;CHAR(34)&amp;"numerator"&amp;CHAR(34)&amp;": "&amp;SUBSTITUTE(TRIM(ROUND(IFERROR(CriteriTecnici!$K1623*1,IFERROR(NUMBERVALUE(CriteriTecnici!$K1623,".",","),IFERROR(NUMBERVALUE(CriteriTecnici!$K1623,",","."),0))),4)&amp;""),",",".")&amp;", "&amp;CHAR(34)&amp;"denominator"&amp;CHAR(34)&amp;": "&amp;SUBSTITUTE(TRIM(ROUND(IFERROR(CriteriTecnici!$L1623*1,IFERROR(NUMBERVALUE(CriteriTecnici!$L1623,".",","),IFERROR(NUMBERVALUE(CriteriTecnici!$L1623,",","."),0))),4)&amp;""),",",".")&amp;", "&amp;CHAR(34)&amp;"flag"&amp;CHAR(34)&amp;": "&amp;SUBSTITUTE(TRIM(ROUND(IFERROR(CriteriTecnici!$M1623*1,IFERROR(NUMBERVALUE(CriteriTecnici!$M1623,".",","),IFERROR(NUMBERVALUE(CriteriTecnici!$M1623,",","."),0))),4)&amp;""),",",".")&amp;", "&amp;CHAR(34)&amp;"rawScore"&amp;CHAR(34)&amp;": "&amp;SUBSTITUTE(TRIM(ROUND(IFERROR(CriteriTecnici!$O1623*1,IFERROR(NUMBERVALUE(CriteriTecnici!$O1623,".",","),IFERROR(NUMBERVALUE(CriteriTecnici!$O1623,",","."),0))),4)&amp;""),",",".")&amp;CHAR(125)&amp;IF(TRUE,",",""))</f>
        <v/>
      </c>
    </row>
    <row r="1725">
      <c r="A1725" s="82">
        <f>IF(CriteriTecnici!$A1624="","","    "&amp;CHAR(123)&amp;CHAR(34)&amp;"bidderId"&amp;CHAR(34)&amp;": "&amp;CHAR(34)&amp;SUBSTITUTE(CriteriTecnici!$A1624,CHAR(34),"'")&amp;CHAR(34)&amp;", "&amp;CHAR(34)&amp;"lotId"&amp;CHAR(34)&amp;": "&amp;CHAR(34)&amp;SUBSTITUTE(CriteriTecnici!$C1624,CHAR(34),"'")&amp;CHAR(34)&amp;", "&amp;CHAR(34)&amp;"criterionId"&amp;CHAR(34)&amp;": "&amp;CHAR(34)&amp;SUBSTITUTE(CriteriTecnici!$D1624,CHAR(34),"'")&amp;CHAR(34)&amp;", "&amp;CHAR(34)&amp;"kind"&amp;CHAR(34)&amp;": "&amp;CHAR(34)&amp;SUBSTITUTE(CriteriTecnici!$F1624,CHAR(34),"'")&amp;CHAR(34)&amp;", "&amp;CHAR(34)&amp;"value"&amp;CHAR(34)&amp;": "&amp;SUBSTITUTE(TRIM(ROUND(IFERROR(CriteriTecnici!$N1624*1,IFERROR(NUMBERVALUE(CriteriTecnici!$N1624,".",","),IFERROR(NUMBERVALUE(CriteriTecnici!$N1624,",","."),0))),4)&amp;""),",",".")&amp;", "&amp;CHAR(34)&amp;"numerator"&amp;CHAR(34)&amp;": "&amp;SUBSTITUTE(TRIM(ROUND(IFERROR(CriteriTecnici!$K1624*1,IFERROR(NUMBERVALUE(CriteriTecnici!$K1624,".",","),IFERROR(NUMBERVALUE(CriteriTecnici!$K1624,",","."),0))),4)&amp;""),",",".")&amp;", "&amp;CHAR(34)&amp;"denominator"&amp;CHAR(34)&amp;": "&amp;SUBSTITUTE(TRIM(ROUND(IFERROR(CriteriTecnici!$L1624*1,IFERROR(NUMBERVALUE(CriteriTecnici!$L1624,".",","),IFERROR(NUMBERVALUE(CriteriTecnici!$L1624,",","."),0))),4)&amp;""),",",".")&amp;", "&amp;CHAR(34)&amp;"flag"&amp;CHAR(34)&amp;": "&amp;SUBSTITUTE(TRIM(ROUND(IFERROR(CriteriTecnici!$M1624*1,IFERROR(NUMBERVALUE(CriteriTecnici!$M1624,".",","),IFERROR(NUMBERVALUE(CriteriTecnici!$M1624,",","."),0))),4)&amp;""),",",".")&amp;", "&amp;CHAR(34)&amp;"rawScore"&amp;CHAR(34)&amp;": "&amp;SUBSTITUTE(TRIM(ROUND(IFERROR(CriteriTecnici!$O1624*1,IFERROR(NUMBERVALUE(CriteriTecnici!$O1624,".",","),IFERROR(NUMBERVALUE(CriteriTecnici!$O1624,",","."),0))),4)&amp;""),",",".")&amp;CHAR(125)&amp;IF(TRUE,",",""))</f>
        <v/>
      </c>
    </row>
    <row r="1726">
      <c r="A1726" s="82">
        <f>IF(CriteriTecnici!$A1625="","","    "&amp;CHAR(123)&amp;CHAR(34)&amp;"bidderId"&amp;CHAR(34)&amp;": "&amp;CHAR(34)&amp;SUBSTITUTE(CriteriTecnici!$A1625,CHAR(34),"'")&amp;CHAR(34)&amp;", "&amp;CHAR(34)&amp;"lotId"&amp;CHAR(34)&amp;": "&amp;CHAR(34)&amp;SUBSTITUTE(CriteriTecnici!$C1625,CHAR(34),"'")&amp;CHAR(34)&amp;", "&amp;CHAR(34)&amp;"criterionId"&amp;CHAR(34)&amp;": "&amp;CHAR(34)&amp;SUBSTITUTE(CriteriTecnici!$D1625,CHAR(34),"'")&amp;CHAR(34)&amp;", "&amp;CHAR(34)&amp;"kind"&amp;CHAR(34)&amp;": "&amp;CHAR(34)&amp;SUBSTITUTE(CriteriTecnici!$F1625,CHAR(34),"'")&amp;CHAR(34)&amp;", "&amp;CHAR(34)&amp;"value"&amp;CHAR(34)&amp;": "&amp;SUBSTITUTE(TRIM(ROUND(IFERROR(CriteriTecnici!$N1625*1,IFERROR(NUMBERVALUE(CriteriTecnici!$N1625,".",","),IFERROR(NUMBERVALUE(CriteriTecnici!$N1625,",","."),0))),4)&amp;""),",",".")&amp;", "&amp;CHAR(34)&amp;"numerator"&amp;CHAR(34)&amp;": "&amp;SUBSTITUTE(TRIM(ROUND(IFERROR(CriteriTecnici!$K1625*1,IFERROR(NUMBERVALUE(CriteriTecnici!$K1625,".",","),IFERROR(NUMBERVALUE(CriteriTecnici!$K1625,",","."),0))),4)&amp;""),",",".")&amp;", "&amp;CHAR(34)&amp;"denominator"&amp;CHAR(34)&amp;": "&amp;SUBSTITUTE(TRIM(ROUND(IFERROR(CriteriTecnici!$L1625*1,IFERROR(NUMBERVALUE(CriteriTecnici!$L1625,".",","),IFERROR(NUMBERVALUE(CriteriTecnici!$L1625,",","."),0))),4)&amp;""),",",".")&amp;", "&amp;CHAR(34)&amp;"flag"&amp;CHAR(34)&amp;": "&amp;SUBSTITUTE(TRIM(ROUND(IFERROR(CriteriTecnici!$M1625*1,IFERROR(NUMBERVALUE(CriteriTecnici!$M1625,".",","),IFERROR(NUMBERVALUE(CriteriTecnici!$M1625,",","."),0))),4)&amp;""),",",".")&amp;", "&amp;CHAR(34)&amp;"rawScore"&amp;CHAR(34)&amp;": "&amp;SUBSTITUTE(TRIM(ROUND(IFERROR(CriteriTecnici!$O1625*1,IFERROR(NUMBERVALUE(CriteriTecnici!$O1625,".",","),IFERROR(NUMBERVALUE(CriteriTecnici!$O1625,",","."),0))),4)&amp;""),",",".")&amp;CHAR(125)&amp;IF(TRUE,",",""))</f>
        <v/>
      </c>
    </row>
    <row r="1727">
      <c r="A1727" s="82">
        <f>IF(CriteriTecnici!$A1626="","","    "&amp;CHAR(123)&amp;CHAR(34)&amp;"bidderId"&amp;CHAR(34)&amp;": "&amp;CHAR(34)&amp;SUBSTITUTE(CriteriTecnici!$A1626,CHAR(34),"'")&amp;CHAR(34)&amp;", "&amp;CHAR(34)&amp;"lotId"&amp;CHAR(34)&amp;": "&amp;CHAR(34)&amp;SUBSTITUTE(CriteriTecnici!$C1626,CHAR(34),"'")&amp;CHAR(34)&amp;", "&amp;CHAR(34)&amp;"criterionId"&amp;CHAR(34)&amp;": "&amp;CHAR(34)&amp;SUBSTITUTE(CriteriTecnici!$D1626,CHAR(34),"'")&amp;CHAR(34)&amp;", "&amp;CHAR(34)&amp;"kind"&amp;CHAR(34)&amp;": "&amp;CHAR(34)&amp;SUBSTITUTE(CriteriTecnici!$F1626,CHAR(34),"'")&amp;CHAR(34)&amp;", "&amp;CHAR(34)&amp;"value"&amp;CHAR(34)&amp;": "&amp;SUBSTITUTE(TRIM(ROUND(IFERROR(CriteriTecnici!$N1626*1,IFERROR(NUMBERVALUE(CriteriTecnici!$N1626,".",","),IFERROR(NUMBERVALUE(CriteriTecnici!$N1626,",","."),0))),4)&amp;""),",",".")&amp;", "&amp;CHAR(34)&amp;"numerator"&amp;CHAR(34)&amp;": "&amp;SUBSTITUTE(TRIM(ROUND(IFERROR(CriteriTecnici!$K1626*1,IFERROR(NUMBERVALUE(CriteriTecnici!$K1626,".",","),IFERROR(NUMBERVALUE(CriteriTecnici!$K1626,",","."),0))),4)&amp;""),",",".")&amp;", "&amp;CHAR(34)&amp;"denominator"&amp;CHAR(34)&amp;": "&amp;SUBSTITUTE(TRIM(ROUND(IFERROR(CriteriTecnici!$L1626*1,IFERROR(NUMBERVALUE(CriteriTecnici!$L1626,".",","),IFERROR(NUMBERVALUE(CriteriTecnici!$L1626,",","."),0))),4)&amp;""),",",".")&amp;", "&amp;CHAR(34)&amp;"flag"&amp;CHAR(34)&amp;": "&amp;SUBSTITUTE(TRIM(ROUND(IFERROR(CriteriTecnici!$M1626*1,IFERROR(NUMBERVALUE(CriteriTecnici!$M1626,".",","),IFERROR(NUMBERVALUE(CriteriTecnici!$M1626,",","."),0))),4)&amp;""),",",".")&amp;", "&amp;CHAR(34)&amp;"rawScore"&amp;CHAR(34)&amp;": "&amp;SUBSTITUTE(TRIM(ROUND(IFERROR(CriteriTecnici!$O1626*1,IFERROR(NUMBERVALUE(CriteriTecnici!$O1626,".",","),IFERROR(NUMBERVALUE(CriteriTecnici!$O1626,",","."),0))),4)&amp;""),",",".")&amp;CHAR(125)&amp;IF(TRUE,",",""))</f>
        <v/>
      </c>
    </row>
    <row r="1728">
      <c r="A1728" s="82">
        <f>IF(CriteriTecnici!$A1627="","","    "&amp;CHAR(123)&amp;CHAR(34)&amp;"bidderId"&amp;CHAR(34)&amp;": "&amp;CHAR(34)&amp;SUBSTITUTE(CriteriTecnici!$A1627,CHAR(34),"'")&amp;CHAR(34)&amp;", "&amp;CHAR(34)&amp;"lotId"&amp;CHAR(34)&amp;": "&amp;CHAR(34)&amp;SUBSTITUTE(CriteriTecnici!$C1627,CHAR(34),"'")&amp;CHAR(34)&amp;", "&amp;CHAR(34)&amp;"criterionId"&amp;CHAR(34)&amp;": "&amp;CHAR(34)&amp;SUBSTITUTE(CriteriTecnici!$D1627,CHAR(34),"'")&amp;CHAR(34)&amp;", "&amp;CHAR(34)&amp;"kind"&amp;CHAR(34)&amp;": "&amp;CHAR(34)&amp;SUBSTITUTE(CriteriTecnici!$F1627,CHAR(34),"'")&amp;CHAR(34)&amp;", "&amp;CHAR(34)&amp;"value"&amp;CHAR(34)&amp;": "&amp;SUBSTITUTE(TRIM(ROUND(IFERROR(CriteriTecnici!$N1627*1,IFERROR(NUMBERVALUE(CriteriTecnici!$N1627,".",","),IFERROR(NUMBERVALUE(CriteriTecnici!$N1627,",","."),0))),4)&amp;""),",",".")&amp;", "&amp;CHAR(34)&amp;"numerator"&amp;CHAR(34)&amp;": "&amp;SUBSTITUTE(TRIM(ROUND(IFERROR(CriteriTecnici!$K1627*1,IFERROR(NUMBERVALUE(CriteriTecnici!$K1627,".",","),IFERROR(NUMBERVALUE(CriteriTecnici!$K1627,",","."),0))),4)&amp;""),",",".")&amp;", "&amp;CHAR(34)&amp;"denominator"&amp;CHAR(34)&amp;": "&amp;SUBSTITUTE(TRIM(ROUND(IFERROR(CriteriTecnici!$L1627*1,IFERROR(NUMBERVALUE(CriteriTecnici!$L1627,".",","),IFERROR(NUMBERVALUE(CriteriTecnici!$L1627,",","."),0))),4)&amp;""),",",".")&amp;", "&amp;CHAR(34)&amp;"flag"&amp;CHAR(34)&amp;": "&amp;SUBSTITUTE(TRIM(ROUND(IFERROR(CriteriTecnici!$M1627*1,IFERROR(NUMBERVALUE(CriteriTecnici!$M1627,".",","),IFERROR(NUMBERVALUE(CriteriTecnici!$M1627,",","."),0))),4)&amp;""),",",".")&amp;", "&amp;CHAR(34)&amp;"rawScore"&amp;CHAR(34)&amp;": "&amp;SUBSTITUTE(TRIM(ROUND(IFERROR(CriteriTecnici!$O1627*1,IFERROR(NUMBERVALUE(CriteriTecnici!$O1627,".",","),IFERROR(NUMBERVALUE(CriteriTecnici!$O1627,",","."),0))),4)&amp;""),",",".")&amp;CHAR(125)&amp;IF(TRUE,",",""))</f>
        <v/>
      </c>
    </row>
    <row r="1729">
      <c r="A1729" s="82">
        <f>IF(CriteriTecnici!$A1628="","","    "&amp;CHAR(123)&amp;CHAR(34)&amp;"bidderId"&amp;CHAR(34)&amp;": "&amp;CHAR(34)&amp;SUBSTITUTE(CriteriTecnici!$A1628,CHAR(34),"'")&amp;CHAR(34)&amp;", "&amp;CHAR(34)&amp;"lotId"&amp;CHAR(34)&amp;": "&amp;CHAR(34)&amp;SUBSTITUTE(CriteriTecnici!$C1628,CHAR(34),"'")&amp;CHAR(34)&amp;", "&amp;CHAR(34)&amp;"criterionId"&amp;CHAR(34)&amp;": "&amp;CHAR(34)&amp;SUBSTITUTE(CriteriTecnici!$D1628,CHAR(34),"'")&amp;CHAR(34)&amp;", "&amp;CHAR(34)&amp;"kind"&amp;CHAR(34)&amp;": "&amp;CHAR(34)&amp;SUBSTITUTE(CriteriTecnici!$F1628,CHAR(34),"'")&amp;CHAR(34)&amp;", "&amp;CHAR(34)&amp;"value"&amp;CHAR(34)&amp;": "&amp;SUBSTITUTE(TRIM(ROUND(IFERROR(CriteriTecnici!$N1628*1,IFERROR(NUMBERVALUE(CriteriTecnici!$N1628,".",","),IFERROR(NUMBERVALUE(CriteriTecnici!$N1628,",","."),0))),4)&amp;""),",",".")&amp;", "&amp;CHAR(34)&amp;"numerator"&amp;CHAR(34)&amp;": "&amp;SUBSTITUTE(TRIM(ROUND(IFERROR(CriteriTecnici!$K1628*1,IFERROR(NUMBERVALUE(CriteriTecnici!$K1628,".",","),IFERROR(NUMBERVALUE(CriteriTecnici!$K1628,",","."),0))),4)&amp;""),",",".")&amp;", "&amp;CHAR(34)&amp;"denominator"&amp;CHAR(34)&amp;": "&amp;SUBSTITUTE(TRIM(ROUND(IFERROR(CriteriTecnici!$L1628*1,IFERROR(NUMBERVALUE(CriteriTecnici!$L1628,".",","),IFERROR(NUMBERVALUE(CriteriTecnici!$L1628,",","."),0))),4)&amp;""),",",".")&amp;", "&amp;CHAR(34)&amp;"flag"&amp;CHAR(34)&amp;": "&amp;SUBSTITUTE(TRIM(ROUND(IFERROR(CriteriTecnici!$M1628*1,IFERROR(NUMBERVALUE(CriteriTecnici!$M1628,".",","),IFERROR(NUMBERVALUE(CriteriTecnici!$M1628,",","."),0))),4)&amp;""),",",".")&amp;", "&amp;CHAR(34)&amp;"rawScore"&amp;CHAR(34)&amp;": "&amp;SUBSTITUTE(TRIM(ROUND(IFERROR(CriteriTecnici!$O1628*1,IFERROR(NUMBERVALUE(CriteriTecnici!$O1628,".",","),IFERROR(NUMBERVALUE(CriteriTecnici!$O1628,",","."),0))),4)&amp;""),",",".")&amp;CHAR(125)&amp;IF(TRUE,",",""))</f>
        <v/>
      </c>
    </row>
    <row r="1730">
      <c r="A1730" s="82">
        <f>IF(CriteriTecnici!$A1629="","","    "&amp;CHAR(123)&amp;CHAR(34)&amp;"bidderId"&amp;CHAR(34)&amp;": "&amp;CHAR(34)&amp;SUBSTITUTE(CriteriTecnici!$A1629,CHAR(34),"'")&amp;CHAR(34)&amp;", "&amp;CHAR(34)&amp;"lotId"&amp;CHAR(34)&amp;": "&amp;CHAR(34)&amp;SUBSTITUTE(CriteriTecnici!$C1629,CHAR(34),"'")&amp;CHAR(34)&amp;", "&amp;CHAR(34)&amp;"criterionId"&amp;CHAR(34)&amp;": "&amp;CHAR(34)&amp;SUBSTITUTE(CriteriTecnici!$D1629,CHAR(34),"'")&amp;CHAR(34)&amp;", "&amp;CHAR(34)&amp;"kind"&amp;CHAR(34)&amp;": "&amp;CHAR(34)&amp;SUBSTITUTE(CriteriTecnici!$F1629,CHAR(34),"'")&amp;CHAR(34)&amp;", "&amp;CHAR(34)&amp;"value"&amp;CHAR(34)&amp;": "&amp;SUBSTITUTE(TRIM(ROUND(IFERROR(CriteriTecnici!$N1629*1,IFERROR(NUMBERVALUE(CriteriTecnici!$N1629,".",","),IFERROR(NUMBERVALUE(CriteriTecnici!$N1629,",","."),0))),4)&amp;""),",",".")&amp;", "&amp;CHAR(34)&amp;"numerator"&amp;CHAR(34)&amp;": "&amp;SUBSTITUTE(TRIM(ROUND(IFERROR(CriteriTecnici!$K1629*1,IFERROR(NUMBERVALUE(CriteriTecnici!$K1629,".",","),IFERROR(NUMBERVALUE(CriteriTecnici!$K1629,",","."),0))),4)&amp;""),",",".")&amp;", "&amp;CHAR(34)&amp;"denominator"&amp;CHAR(34)&amp;": "&amp;SUBSTITUTE(TRIM(ROUND(IFERROR(CriteriTecnici!$L1629*1,IFERROR(NUMBERVALUE(CriteriTecnici!$L1629,".",","),IFERROR(NUMBERVALUE(CriteriTecnici!$L1629,",","."),0))),4)&amp;""),",",".")&amp;", "&amp;CHAR(34)&amp;"flag"&amp;CHAR(34)&amp;": "&amp;SUBSTITUTE(TRIM(ROUND(IFERROR(CriteriTecnici!$M1629*1,IFERROR(NUMBERVALUE(CriteriTecnici!$M1629,".",","),IFERROR(NUMBERVALUE(CriteriTecnici!$M1629,",","."),0))),4)&amp;""),",",".")&amp;", "&amp;CHAR(34)&amp;"rawScore"&amp;CHAR(34)&amp;": "&amp;SUBSTITUTE(TRIM(ROUND(IFERROR(CriteriTecnici!$O1629*1,IFERROR(NUMBERVALUE(CriteriTecnici!$O1629,".",","),IFERROR(NUMBERVALUE(CriteriTecnici!$O1629,",","."),0))),4)&amp;""),",",".")&amp;CHAR(125)&amp;IF(TRUE,",",""))</f>
        <v/>
      </c>
    </row>
    <row r="1731">
      <c r="A1731" s="82">
        <f>IF(CriteriTecnici!$A1630="","","    "&amp;CHAR(123)&amp;CHAR(34)&amp;"bidderId"&amp;CHAR(34)&amp;": "&amp;CHAR(34)&amp;SUBSTITUTE(CriteriTecnici!$A1630,CHAR(34),"'")&amp;CHAR(34)&amp;", "&amp;CHAR(34)&amp;"lotId"&amp;CHAR(34)&amp;": "&amp;CHAR(34)&amp;SUBSTITUTE(CriteriTecnici!$C1630,CHAR(34),"'")&amp;CHAR(34)&amp;", "&amp;CHAR(34)&amp;"criterionId"&amp;CHAR(34)&amp;": "&amp;CHAR(34)&amp;SUBSTITUTE(CriteriTecnici!$D1630,CHAR(34),"'")&amp;CHAR(34)&amp;", "&amp;CHAR(34)&amp;"kind"&amp;CHAR(34)&amp;": "&amp;CHAR(34)&amp;SUBSTITUTE(CriteriTecnici!$F1630,CHAR(34),"'")&amp;CHAR(34)&amp;", "&amp;CHAR(34)&amp;"value"&amp;CHAR(34)&amp;": "&amp;SUBSTITUTE(TRIM(ROUND(IFERROR(CriteriTecnici!$N1630*1,IFERROR(NUMBERVALUE(CriteriTecnici!$N1630,".",","),IFERROR(NUMBERVALUE(CriteriTecnici!$N1630,",","."),0))),4)&amp;""),",",".")&amp;", "&amp;CHAR(34)&amp;"numerator"&amp;CHAR(34)&amp;": "&amp;SUBSTITUTE(TRIM(ROUND(IFERROR(CriteriTecnici!$K1630*1,IFERROR(NUMBERVALUE(CriteriTecnici!$K1630,".",","),IFERROR(NUMBERVALUE(CriteriTecnici!$K1630,",","."),0))),4)&amp;""),",",".")&amp;", "&amp;CHAR(34)&amp;"denominator"&amp;CHAR(34)&amp;": "&amp;SUBSTITUTE(TRIM(ROUND(IFERROR(CriteriTecnici!$L1630*1,IFERROR(NUMBERVALUE(CriteriTecnici!$L1630,".",","),IFERROR(NUMBERVALUE(CriteriTecnici!$L1630,",","."),0))),4)&amp;""),",",".")&amp;", "&amp;CHAR(34)&amp;"flag"&amp;CHAR(34)&amp;": "&amp;SUBSTITUTE(TRIM(ROUND(IFERROR(CriteriTecnici!$M1630*1,IFERROR(NUMBERVALUE(CriteriTecnici!$M1630,".",","),IFERROR(NUMBERVALUE(CriteriTecnici!$M1630,",","."),0))),4)&amp;""),",",".")&amp;", "&amp;CHAR(34)&amp;"rawScore"&amp;CHAR(34)&amp;": "&amp;SUBSTITUTE(TRIM(ROUND(IFERROR(CriteriTecnici!$O1630*1,IFERROR(NUMBERVALUE(CriteriTecnici!$O1630,".",","),IFERROR(NUMBERVALUE(CriteriTecnici!$O1630,",","."),0))),4)&amp;""),",",".")&amp;CHAR(125)&amp;IF(TRUE,",",""))</f>
        <v/>
      </c>
    </row>
    <row r="1732">
      <c r="A1732" s="82">
        <f>IF(CriteriTecnici!$A1631="","","    "&amp;CHAR(123)&amp;CHAR(34)&amp;"bidderId"&amp;CHAR(34)&amp;": "&amp;CHAR(34)&amp;SUBSTITUTE(CriteriTecnici!$A1631,CHAR(34),"'")&amp;CHAR(34)&amp;", "&amp;CHAR(34)&amp;"lotId"&amp;CHAR(34)&amp;": "&amp;CHAR(34)&amp;SUBSTITUTE(CriteriTecnici!$C1631,CHAR(34),"'")&amp;CHAR(34)&amp;", "&amp;CHAR(34)&amp;"criterionId"&amp;CHAR(34)&amp;": "&amp;CHAR(34)&amp;SUBSTITUTE(CriteriTecnici!$D1631,CHAR(34),"'")&amp;CHAR(34)&amp;", "&amp;CHAR(34)&amp;"kind"&amp;CHAR(34)&amp;": "&amp;CHAR(34)&amp;SUBSTITUTE(CriteriTecnici!$F1631,CHAR(34),"'")&amp;CHAR(34)&amp;", "&amp;CHAR(34)&amp;"value"&amp;CHAR(34)&amp;": "&amp;SUBSTITUTE(TRIM(ROUND(IFERROR(CriteriTecnici!$N1631*1,IFERROR(NUMBERVALUE(CriteriTecnici!$N1631,".",","),IFERROR(NUMBERVALUE(CriteriTecnici!$N1631,",","."),0))),4)&amp;""),",",".")&amp;", "&amp;CHAR(34)&amp;"numerator"&amp;CHAR(34)&amp;": "&amp;SUBSTITUTE(TRIM(ROUND(IFERROR(CriteriTecnici!$K1631*1,IFERROR(NUMBERVALUE(CriteriTecnici!$K1631,".",","),IFERROR(NUMBERVALUE(CriteriTecnici!$K1631,",","."),0))),4)&amp;""),",",".")&amp;", "&amp;CHAR(34)&amp;"denominator"&amp;CHAR(34)&amp;": "&amp;SUBSTITUTE(TRIM(ROUND(IFERROR(CriteriTecnici!$L1631*1,IFERROR(NUMBERVALUE(CriteriTecnici!$L1631,".",","),IFERROR(NUMBERVALUE(CriteriTecnici!$L1631,",","."),0))),4)&amp;""),",",".")&amp;", "&amp;CHAR(34)&amp;"flag"&amp;CHAR(34)&amp;": "&amp;SUBSTITUTE(TRIM(ROUND(IFERROR(CriteriTecnici!$M1631*1,IFERROR(NUMBERVALUE(CriteriTecnici!$M1631,".",","),IFERROR(NUMBERVALUE(CriteriTecnici!$M1631,",","."),0))),4)&amp;""),",",".")&amp;", "&amp;CHAR(34)&amp;"rawScore"&amp;CHAR(34)&amp;": "&amp;SUBSTITUTE(TRIM(ROUND(IFERROR(CriteriTecnici!$O1631*1,IFERROR(NUMBERVALUE(CriteriTecnici!$O1631,".",","),IFERROR(NUMBERVALUE(CriteriTecnici!$O1631,",","."),0))),4)&amp;""),",",".")&amp;CHAR(125)&amp;IF(TRUE,",",""))</f>
        <v/>
      </c>
    </row>
    <row r="1733">
      <c r="A1733" s="82">
        <f>IF(CriteriTecnici!$A1632="","","    "&amp;CHAR(123)&amp;CHAR(34)&amp;"bidderId"&amp;CHAR(34)&amp;": "&amp;CHAR(34)&amp;SUBSTITUTE(CriteriTecnici!$A1632,CHAR(34),"'")&amp;CHAR(34)&amp;", "&amp;CHAR(34)&amp;"lotId"&amp;CHAR(34)&amp;": "&amp;CHAR(34)&amp;SUBSTITUTE(CriteriTecnici!$C1632,CHAR(34),"'")&amp;CHAR(34)&amp;", "&amp;CHAR(34)&amp;"criterionId"&amp;CHAR(34)&amp;": "&amp;CHAR(34)&amp;SUBSTITUTE(CriteriTecnici!$D1632,CHAR(34),"'")&amp;CHAR(34)&amp;", "&amp;CHAR(34)&amp;"kind"&amp;CHAR(34)&amp;": "&amp;CHAR(34)&amp;SUBSTITUTE(CriteriTecnici!$F1632,CHAR(34),"'")&amp;CHAR(34)&amp;", "&amp;CHAR(34)&amp;"value"&amp;CHAR(34)&amp;": "&amp;SUBSTITUTE(TRIM(ROUND(IFERROR(CriteriTecnici!$N1632*1,IFERROR(NUMBERVALUE(CriteriTecnici!$N1632,".",","),IFERROR(NUMBERVALUE(CriteriTecnici!$N1632,",","."),0))),4)&amp;""),",",".")&amp;", "&amp;CHAR(34)&amp;"numerator"&amp;CHAR(34)&amp;": "&amp;SUBSTITUTE(TRIM(ROUND(IFERROR(CriteriTecnici!$K1632*1,IFERROR(NUMBERVALUE(CriteriTecnici!$K1632,".",","),IFERROR(NUMBERVALUE(CriteriTecnici!$K1632,",","."),0))),4)&amp;""),",",".")&amp;", "&amp;CHAR(34)&amp;"denominator"&amp;CHAR(34)&amp;": "&amp;SUBSTITUTE(TRIM(ROUND(IFERROR(CriteriTecnici!$L1632*1,IFERROR(NUMBERVALUE(CriteriTecnici!$L1632,".",","),IFERROR(NUMBERVALUE(CriteriTecnici!$L1632,",","."),0))),4)&amp;""),",",".")&amp;", "&amp;CHAR(34)&amp;"flag"&amp;CHAR(34)&amp;": "&amp;SUBSTITUTE(TRIM(ROUND(IFERROR(CriteriTecnici!$M1632*1,IFERROR(NUMBERVALUE(CriteriTecnici!$M1632,".",","),IFERROR(NUMBERVALUE(CriteriTecnici!$M1632,",","."),0))),4)&amp;""),",",".")&amp;", "&amp;CHAR(34)&amp;"rawScore"&amp;CHAR(34)&amp;": "&amp;SUBSTITUTE(TRIM(ROUND(IFERROR(CriteriTecnici!$O1632*1,IFERROR(NUMBERVALUE(CriteriTecnici!$O1632,".",","),IFERROR(NUMBERVALUE(CriteriTecnici!$O1632,",","."),0))),4)&amp;""),",",".")&amp;CHAR(125)&amp;IF(TRUE,",",""))</f>
        <v/>
      </c>
    </row>
    <row r="1734">
      <c r="A1734" s="82">
        <f>IF(CriteriTecnici!$A1633="","","    "&amp;CHAR(123)&amp;CHAR(34)&amp;"bidderId"&amp;CHAR(34)&amp;": "&amp;CHAR(34)&amp;SUBSTITUTE(CriteriTecnici!$A1633,CHAR(34),"'")&amp;CHAR(34)&amp;", "&amp;CHAR(34)&amp;"lotId"&amp;CHAR(34)&amp;": "&amp;CHAR(34)&amp;SUBSTITUTE(CriteriTecnici!$C1633,CHAR(34),"'")&amp;CHAR(34)&amp;", "&amp;CHAR(34)&amp;"criterionId"&amp;CHAR(34)&amp;": "&amp;CHAR(34)&amp;SUBSTITUTE(CriteriTecnici!$D1633,CHAR(34),"'")&amp;CHAR(34)&amp;", "&amp;CHAR(34)&amp;"kind"&amp;CHAR(34)&amp;": "&amp;CHAR(34)&amp;SUBSTITUTE(CriteriTecnici!$F1633,CHAR(34),"'")&amp;CHAR(34)&amp;", "&amp;CHAR(34)&amp;"value"&amp;CHAR(34)&amp;": "&amp;SUBSTITUTE(TRIM(ROUND(IFERROR(CriteriTecnici!$N1633*1,IFERROR(NUMBERVALUE(CriteriTecnici!$N1633,".",","),IFERROR(NUMBERVALUE(CriteriTecnici!$N1633,",","."),0))),4)&amp;""),",",".")&amp;", "&amp;CHAR(34)&amp;"numerator"&amp;CHAR(34)&amp;": "&amp;SUBSTITUTE(TRIM(ROUND(IFERROR(CriteriTecnici!$K1633*1,IFERROR(NUMBERVALUE(CriteriTecnici!$K1633,".",","),IFERROR(NUMBERVALUE(CriteriTecnici!$K1633,",","."),0))),4)&amp;""),",",".")&amp;", "&amp;CHAR(34)&amp;"denominator"&amp;CHAR(34)&amp;": "&amp;SUBSTITUTE(TRIM(ROUND(IFERROR(CriteriTecnici!$L1633*1,IFERROR(NUMBERVALUE(CriteriTecnici!$L1633,".",","),IFERROR(NUMBERVALUE(CriteriTecnici!$L1633,",","."),0))),4)&amp;""),",",".")&amp;", "&amp;CHAR(34)&amp;"flag"&amp;CHAR(34)&amp;": "&amp;SUBSTITUTE(TRIM(ROUND(IFERROR(CriteriTecnici!$M1633*1,IFERROR(NUMBERVALUE(CriteriTecnici!$M1633,".",","),IFERROR(NUMBERVALUE(CriteriTecnici!$M1633,",","."),0))),4)&amp;""),",",".")&amp;", "&amp;CHAR(34)&amp;"rawScore"&amp;CHAR(34)&amp;": "&amp;SUBSTITUTE(TRIM(ROUND(IFERROR(CriteriTecnici!$O1633*1,IFERROR(NUMBERVALUE(CriteriTecnici!$O1633,".",","),IFERROR(NUMBERVALUE(CriteriTecnici!$O1633,",","."),0))),4)&amp;""),",",".")&amp;CHAR(125)&amp;IF(TRUE,",",""))</f>
        <v/>
      </c>
    </row>
    <row r="1735">
      <c r="A1735" s="82">
        <f>IF(CriteriTecnici!$A1634="","","    "&amp;CHAR(123)&amp;CHAR(34)&amp;"bidderId"&amp;CHAR(34)&amp;": "&amp;CHAR(34)&amp;SUBSTITUTE(CriteriTecnici!$A1634,CHAR(34),"'")&amp;CHAR(34)&amp;", "&amp;CHAR(34)&amp;"lotId"&amp;CHAR(34)&amp;": "&amp;CHAR(34)&amp;SUBSTITUTE(CriteriTecnici!$C1634,CHAR(34),"'")&amp;CHAR(34)&amp;", "&amp;CHAR(34)&amp;"criterionId"&amp;CHAR(34)&amp;": "&amp;CHAR(34)&amp;SUBSTITUTE(CriteriTecnici!$D1634,CHAR(34),"'")&amp;CHAR(34)&amp;", "&amp;CHAR(34)&amp;"kind"&amp;CHAR(34)&amp;": "&amp;CHAR(34)&amp;SUBSTITUTE(CriteriTecnici!$F1634,CHAR(34),"'")&amp;CHAR(34)&amp;", "&amp;CHAR(34)&amp;"value"&amp;CHAR(34)&amp;": "&amp;SUBSTITUTE(TRIM(ROUND(IFERROR(CriteriTecnici!$N1634*1,IFERROR(NUMBERVALUE(CriteriTecnici!$N1634,".",","),IFERROR(NUMBERVALUE(CriteriTecnici!$N1634,",","."),0))),4)&amp;""),",",".")&amp;", "&amp;CHAR(34)&amp;"numerator"&amp;CHAR(34)&amp;": "&amp;SUBSTITUTE(TRIM(ROUND(IFERROR(CriteriTecnici!$K1634*1,IFERROR(NUMBERVALUE(CriteriTecnici!$K1634,".",","),IFERROR(NUMBERVALUE(CriteriTecnici!$K1634,",","."),0))),4)&amp;""),",",".")&amp;", "&amp;CHAR(34)&amp;"denominator"&amp;CHAR(34)&amp;": "&amp;SUBSTITUTE(TRIM(ROUND(IFERROR(CriteriTecnici!$L1634*1,IFERROR(NUMBERVALUE(CriteriTecnici!$L1634,".",","),IFERROR(NUMBERVALUE(CriteriTecnici!$L1634,",","."),0))),4)&amp;""),",",".")&amp;", "&amp;CHAR(34)&amp;"flag"&amp;CHAR(34)&amp;": "&amp;SUBSTITUTE(TRIM(ROUND(IFERROR(CriteriTecnici!$M1634*1,IFERROR(NUMBERVALUE(CriteriTecnici!$M1634,".",","),IFERROR(NUMBERVALUE(CriteriTecnici!$M1634,",","."),0))),4)&amp;""),",",".")&amp;", "&amp;CHAR(34)&amp;"rawScore"&amp;CHAR(34)&amp;": "&amp;SUBSTITUTE(TRIM(ROUND(IFERROR(CriteriTecnici!$O1634*1,IFERROR(NUMBERVALUE(CriteriTecnici!$O1634,".",","),IFERROR(NUMBERVALUE(CriteriTecnici!$O1634,",","."),0))),4)&amp;""),",",".")&amp;CHAR(125)&amp;IF(TRUE,",",""))</f>
        <v/>
      </c>
    </row>
    <row r="1736">
      <c r="A1736" s="82">
        <f>IF(CriteriTecnici!$A1635="","","    "&amp;CHAR(123)&amp;CHAR(34)&amp;"bidderId"&amp;CHAR(34)&amp;": "&amp;CHAR(34)&amp;SUBSTITUTE(CriteriTecnici!$A1635,CHAR(34),"'")&amp;CHAR(34)&amp;", "&amp;CHAR(34)&amp;"lotId"&amp;CHAR(34)&amp;": "&amp;CHAR(34)&amp;SUBSTITUTE(CriteriTecnici!$C1635,CHAR(34),"'")&amp;CHAR(34)&amp;", "&amp;CHAR(34)&amp;"criterionId"&amp;CHAR(34)&amp;": "&amp;CHAR(34)&amp;SUBSTITUTE(CriteriTecnici!$D1635,CHAR(34),"'")&amp;CHAR(34)&amp;", "&amp;CHAR(34)&amp;"kind"&amp;CHAR(34)&amp;": "&amp;CHAR(34)&amp;SUBSTITUTE(CriteriTecnici!$F1635,CHAR(34),"'")&amp;CHAR(34)&amp;", "&amp;CHAR(34)&amp;"value"&amp;CHAR(34)&amp;": "&amp;SUBSTITUTE(TRIM(ROUND(IFERROR(CriteriTecnici!$N1635*1,IFERROR(NUMBERVALUE(CriteriTecnici!$N1635,".",","),IFERROR(NUMBERVALUE(CriteriTecnici!$N1635,",","."),0))),4)&amp;""),",",".")&amp;", "&amp;CHAR(34)&amp;"numerator"&amp;CHAR(34)&amp;": "&amp;SUBSTITUTE(TRIM(ROUND(IFERROR(CriteriTecnici!$K1635*1,IFERROR(NUMBERVALUE(CriteriTecnici!$K1635,".",","),IFERROR(NUMBERVALUE(CriteriTecnici!$K1635,",","."),0))),4)&amp;""),",",".")&amp;", "&amp;CHAR(34)&amp;"denominator"&amp;CHAR(34)&amp;": "&amp;SUBSTITUTE(TRIM(ROUND(IFERROR(CriteriTecnici!$L1635*1,IFERROR(NUMBERVALUE(CriteriTecnici!$L1635,".",","),IFERROR(NUMBERVALUE(CriteriTecnici!$L1635,",","."),0))),4)&amp;""),",",".")&amp;", "&amp;CHAR(34)&amp;"flag"&amp;CHAR(34)&amp;": "&amp;SUBSTITUTE(TRIM(ROUND(IFERROR(CriteriTecnici!$M1635*1,IFERROR(NUMBERVALUE(CriteriTecnici!$M1635,".",","),IFERROR(NUMBERVALUE(CriteriTecnici!$M1635,",","."),0))),4)&amp;""),",",".")&amp;", "&amp;CHAR(34)&amp;"rawScore"&amp;CHAR(34)&amp;": "&amp;SUBSTITUTE(TRIM(ROUND(IFERROR(CriteriTecnici!$O1635*1,IFERROR(NUMBERVALUE(CriteriTecnici!$O1635,".",","),IFERROR(NUMBERVALUE(CriteriTecnici!$O1635,",","."),0))),4)&amp;""),",",".")&amp;CHAR(125)&amp;IF(TRUE,",",""))</f>
        <v/>
      </c>
    </row>
    <row r="1737">
      <c r="A1737" s="82">
        <f>IF(CriteriTecnici!$A1636="","","    "&amp;CHAR(123)&amp;CHAR(34)&amp;"bidderId"&amp;CHAR(34)&amp;": "&amp;CHAR(34)&amp;SUBSTITUTE(CriteriTecnici!$A1636,CHAR(34),"'")&amp;CHAR(34)&amp;", "&amp;CHAR(34)&amp;"lotId"&amp;CHAR(34)&amp;": "&amp;CHAR(34)&amp;SUBSTITUTE(CriteriTecnici!$C1636,CHAR(34),"'")&amp;CHAR(34)&amp;", "&amp;CHAR(34)&amp;"criterionId"&amp;CHAR(34)&amp;": "&amp;CHAR(34)&amp;SUBSTITUTE(CriteriTecnici!$D1636,CHAR(34),"'")&amp;CHAR(34)&amp;", "&amp;CHAR(34)&amp;"kind"&amp;CHAR(34)&amp;": "&amp;CHAR(34)&amp;SUBSTITUTE(CriteriTecnici!$F1636,CHAR(34),"'")&amp;CHAR(34)&amp;", "&amp;CHAR(34)&amp;"value"&amp;CHAR(34)&amp;": "&amp;SUBSTITUTE(TRIM(ROUND(IFERROR(CriteriTecnici!$N1636*1,IFERROR(NUMBERVALUE(CriteriTecnici!$N1636,".",","),IFERROR(NUMBERVALUE(CriteriTecnici!$N1636,",","."),0))),4)&amp;""),",",".")&amp;", "&amp;CHAR(34)&amp;"numerator"&amp;CHAR(34)&amp;": "&amp;SUBSTITUTE(TRIM(ROUND(IFERROR(CriteriTecnici!$K1636*1,IFERROR(NUMBERVALUE(CriteriTecnici!$K1636,".",","),IFERROR(NUMBERVALUE(CriteriTecnici!$K1636,",","."),0))),4)&amp;""),",",".")&amp;", "&amp;CHAR(34)&amp;"denominator"&amp;CHAR(34)&amp;": "&amp;SUBSTITUTE(TRIM(ROUND(IFERROR(CriteriTecnici!$L1636*1,IFERROR(NUMBERVALUE(CriteriTecnici!$L1636,".",","),IFERROR(NUMBERVALUE(CriteriTecnici!$L1636,",","."),0))),4)&amp;""),",",".")&amp;", "&amp;CHAR(34)&amp;"flag"&amp;CHAR(34)&amp;": "&amp;SUBSTITUTE(TRIM(ROUND(IFERROR(CriteriTecnici!$M1636*1,IFERROR(NUMBERVALUE(CriteriTecnici!$M1636,".",","),IFERROR(NUMBERVALUE(CriteriTecnici!$M1636,",","."),0))),4)&amp;""),",",".")&amp;", "&amp;CHAR(34)&amp;"rawScore"&amp;CHAR(34)&amp;": "&amp;SUBSTITUTE(TRIM(ROUND(IFERROR(CriteriTecnici!$O1636*1,IFERROR(NUMBERVALUE(CriteriTecnici!$O1636,".",","),IFERROR(NUMBERVALUE(CriteriTecnici!$O1636,",","."),0))),4)&amp;""),",",".")&amp;CHAR(125)&amp;IF(TRUE,",",""))</f>
        <v/>
      </c>
    </row>
    <row r="1738">
      <c r="A1738" s="82">
        <f>IF(CriteriTecnici!$A1637="","","    "&amp;CHAR(123)&amp;CHAR(34)&amp;"bidderId"&amp;CHAR(34)&amp;": "&amp;CHAR(34)&amp;SUBSTITUTE(CriteriTecnici!$A1637,CHAR(34),"'")&amp;CHAR(34)&amp;", "&amp;CHAR(34)&amp;"lotId"&amp;CHAR(34)&amp;": "&amp;CHAR(34)&amp;SUBSTITUTE(CriteriTecnici!$C1637,CHAR(34),"'")&amp;CHAR(34)&amp;", "&amp;CHAR(34)&amp;"criterionId"&amp;CHAR(34)&amp;": "&amp;CHAR(34)&amp;SUBSTITUTE(CriteriTecnici!$D1637,CHAR(34),"'")&amp;CHAR(34)&amp;", "&amp;CHAR(34)&amp;"kind"&amp;CHAR(34)&amp;": "&amp;CHAR(34)&amp;SUBSTITUTE(CriteriTecnici!$F1637,CHAR(34),"'")&amp;CHAR(34)&amp;", "&amp;CHAR(34)&amp;"value"&amp;CHAR(34)&amp;": "&amp;SUBSTITUTE(TRIM(ROUND(IFERROR(CriteriTecnici!$N1637*1,IFERROR(NUMBERVALUE(CriteriTecnici!$N1637,".",","),IFERROR(NUMBERVALUE(CriteriTecnici!$N1637,",","."),0))),4)&amp;""),",",".")&amp;", "&amp;CHAR(34)&amp;"numerator"&amp;CHAR(34)&amp;": "&amp;SUBSTITUTE(TRIM(ROUND(IFERROR(CriteriTecnici!$K1637*1,IFERROR(NUMBERVALUE(CriteriTecnici!$K1637,".",","),IFERROR(NUMBERVALUE(CriteriTecnici!$K1637,",","."),0))),4)&amp;""),",",".")&amp;", "&amp;CHAR(34)&amp;"denominator"&amp;CHAR(34)&amp;": "&amp;SUBSTITUTE(TRIM(ROUND(IFERROR(CriteriTecnici!$L1637*1,IFERROR(NUMBERVALUE(CriteriTecnici!$L1637,".",","),IFERROR(NUMBERVALUE(CriteriTecnici!$L1637,",","."),0))),4)&amp;""),",",".")&amp;", "&amp;CHAR(34)&amp;"flag"&amp;CHAR(34)&amp;": "&amp;SUBSTITUTE(TRIM(ROUND(IFERROR(CriteriTecnici!$M1637*1,IFERROR(NUMBERVALUE(CriteriTecnici!$M1637,".",","),IFERROR(NUMBERVALUE(CriteriTecnici!$M1637,",","."),0))),4)&amp;""),",",".")&amp;", "&amp;CHAR(34)&amp;"rawScore"&amp;CHAR(34)&amp;": "&amp;SUBSTITUTE(TRIM(ROUND(IFERROR(CriteriTecnici!$O1637*1,IFERROR(NUMBERVALUE(CriteriTecnici!$O1637,".",","),IFERROR(NUMBERVALUE(CriteriTecnici!$O1637,",","."),0))),4)&amp;""),",",".")&amp;CHAR(125)&amp;IF(TRUE,",",""))</f>
        <v/>
      </c>
    </row>
    <row r="1739">
      <c r="A1739" s="82">
        <f>IF(CriteriTecnici!$A1638="","","    "&amp;CHAR(123)&amp;CHAR(34)&amp;"bidderId"&amp;CHAR(34)&amp;": "&amp;CHAR(34)&amp;SUBSTITUTE(CriteriTecnici!$A1638,CHAR(34),"'")&amp;CHAR(34)&amp;", "&amp;CHAR(34)&amp;"lotId"&amp;CHAR(34)&amp;": "&amp;CHAR(34)&amp;SUBSTITUTE(CriteriTecnici!$C1638,CHAR(34),"'")&amp;CHAR(34)&amp;", "&amp;CHAR(34)&amp;"criterionId"&amp;CHAR(34)&amp;": "&amp;CHAR(34)&amp;SUBSTITUTE(CriteriTecnici!$D1638,CHAR(34),"'")&amp;CHAR(34)&amp;", "&amp;CHAR(34)&amp;"kind"&amp;CHAR(34)&amp;": "&amp;CHAR(34)&amp;SUBSTITUTE(CriteriTecnici!$F1638,CHAR(34),"'")&amp;CHAR(34)&amp;", "&amp;CHAR(34)&amp;"value"&amp;CHAR(34)&amp;": "&amp;SUBSTITUTE(TRIM(ROUND(IFERROR(CriteriTecnici!$N1638*1,IFERROR(NUMBERVALUE(CriteriTecnici!$N1638,".",","),IFERROR(NUMBERVALUE(CriteriTecnici!$N1638,",","."),0))),4)&amp;""),",",".")&amp;", "&amp;CHAR(34)&amp;"numerator"&amp;CHAR(34)&amp;": "&amp;SUBSTITUTE(TRIM(ROUND(IFERROR(CriteriTecnici!$K1638*1,IFERROR(NUMBERVALUE(CriteriTecnici!$K1638,".",","),IFERROR(NUMBERVALUE(CriteriTecnici!$K1638,",","."),0))),4)&amp;""),",",".")&amp;", "&amp;CHAR(34)&amp;"denominator"&amp;CHAR(34)&amp;": "&amp;SUBSTITUTE(TRIM(ROUND(IFERROR(CriteriTecnici!$L1638*1,IFERROR(NUMBERVALUE(CriteriTecnici!$L1638,".",","),IFERROR(NUMBERVALUE(CriteriTecnici!$L1638,",","."),0))),4)&amp;""),",",".")&amp;", "&amp;CHAR(34)&amp;"flag"&amp;CHAR(34)&amp;": "&amp;SUBSTITUTE(TRIM(ROUND(IFERROR(CriteriTecnici!$M1638*1,IFERROR(NUMBERVALUE(CriteriTecnici!$M1638,".",","),IFERROR(NUMBERVALUE(CriteriTecnici!$M1638,",","."),0))),4)&amp;""),",",".")&amp;", "&amp;CHAR(34)&amp;"rawScore"&amp;CHAR(34)&amp;": "&amp;SUBSTITUTE(TRIM(ROUND(IFERROR(CriteriTecnici!$O1638*1,IFERROR(NUMBERVALUE(CriteriTecnici!$O1638,".",","),IFERROR(NUMBERVALUE(CriteriTecnici!$O1638,",","."),0))),4)&amp;""),",",".")&amp;CHAR(125)&amp;IF(TRUE,",",""))</f>
        <v/>
      </c>
    </row>
    <row r="1740">
      <c r="A1740" s="82">
        <f>IF(CriteriTecnici!$A1639="","","    "&amp;CHAR(123)&amp;CHAR(34)&amp;"bidderId"&amp;CHAR(34)&amp;": "&amp;CHAR(34)&amp;SUBSTITUTE(CriteriTecnici!$A1639,CHAR(34),"'")&amp;CHAR(34)&amp;", "&amp;CHAR(34)&amp;"lotId"&amp;CHAR(34)&amp;": "&amp;CHAR(34)&amp;SUBSTITUTE(CriteriTecnici!$C1639,CHAR(34),"'")&amp;CHAR(34)&amp;", "&amp;CHAR(34)&amp;"criterionId"&amp;CHAR(34)&amp;": "&amp;CHAR(34)&amp;SUBSTITUTE(CriteriTecnici!$D1639,CHAR(34),"'")&amp;CHAR(34)&amp;", "&amp;CHAR(34)&amp;"kind"&amp;CHAR(34)&amp;": "&amp;CHAR(34)&amp;SUBSTITUTE(CriteriTecnici!$F1639,CHAR(34),"'")&amp;CHAR(34)&amp;", "&amp;CHAR(34)&amp;"value"&amp;CHAR(34)&amp;": "&amp;SUBSTITUTE(TRIM(ROUND(IFERROR(CriteriTecnici!$N1639*1,IFERROR(NUMBERVALUE(CriteriTecnici!$N1639,".",","),IFERROR(NUMBERVALUE(CriteriTecnici!$N1639,",","."),0))),4)&amp;""),",",".")&amp;", "&amp;CHAR(34)&amp;"numerator"&amp;CHAR(34)&amp;": "&amp;SUBSTITUTE(TRIM(ROUND(IFERROR(CriteriTecnici!$K1639*1,IFERROR(NUMBERVALUE(CriteriTecnici!$K1639,".",","),IFERROR(NUMBERVALUE(CriteriTecnici!$K1639,",","."),0))),4)&amp;""),",",".")&amp;", "&amp;CHAR(34)&amp;"denominator"&amp;CHAR(34)&amp;": "&amp;SUBSTITUTE(TRIM(ROUND(IFERROR(CriteriTecnici!$L1639*1,IFERROR(NUMBERVALUE(CriteriTecnici!$L1639,".",","),IFERROR(NUMBERVALUE(CriteriTecnici!$L1639,",","."),0))),4)&amp;""),",",".")&amp;", "&amp;CHAR(34)&amp;"flag"&amp;CHAR(34)&amp;": "&amp;SUBSTITUTE(TRIM(ROUND(IFERROR(CriteriTecnici!$M1639*1,IFERROR(NUMBERVALUE(CriteriTecnici!$M1639,".",","),IFERROR(NUMBERVALUE(CriteriTecnici!$M1639,",","."),0))),4)&amp;""),",",".")&amp;", "&amp;CHAR(34)&amp;"rawScore"&amp;CHAR(34)&amp;": "&amp;SUBSTITUTE(TRIM(ROUND(IFERROR(CriteriTecnici!$O1639*1,IFERROR(NUMBERVALUE(CriteriTecnici!$O1639,".",","),IFERROR(NUMBERVALUE(CriteriTecnici!$O1639,",","."),0))),4)&amp;""),",",".")&amp;CHAR(125)&amp;IF(TRUE,",",""))</f>
        <v/>
      </c>
    </row>
    <row r="1741">
      <c r="A1741" s="82">
        <f>IF(CriteriTecnici!$A1640="","","    "&amp;CHAR(123)&amp;CHAR(34)&amp;"bidderId"&amp;CHAR(34)&amp;": "&amp;CHAR(34)&amp;SUBSTITUTE(CriteriTecnici!$A1640,CHAR(34),"'")&amp;CHAR(34)&amp;", "&amp;CHAR(34)&amp;"lotId"&amp;CHAR(34)&amp;": "&amp;CHAR(34)&amp;SUBSTITUTE(CriteriTecnici!$C1640,CHAR(34),"'")&amp;CHAR(34)&amp;", "&amp;CHAR(34)&amp;"criterionId"&amp;CHAR(34)&amp;": "&amp;CHAR(34)&amp;SUBSTITUTE(CriteriTecnici!$D1640,CHAR(34),"'")&amp;CHAR(34)&amp;", "&amp;CHAR(34)&amp;"kind"&amp;CHAR(34)&amp;": "&amp;CHAR(34)&amp;SUBSTITUTE(CriteriTecnici!$F1640,CHAR(34),"'")&amp;CHAR(34)&amp;", "&amp;CHAR(34)&amp;"value"&amp;CHAR(34)&amp;": "&amp;SUBSTITUTE(TRIM(ROUND(IFERROR(CriteriTecnici!$N1640*1,IFERROR(NUMBERVALUE(CriteriTecnici!$N1640,".",","),IFERROR(NUMBERVALUE(CriteriTecnici!$N1640,",","."),0))),4)&amp;""),",",".")&amp;", "&amp;CHAR(34)&amp;"numerator"&amp;CHAR(34)&amp;": "&amp;SUBSTITUTE(TRIM(ROUND(IFERROR(CriteriTecnici!$K1640*1,IFERROR(NUMBERVALUE(CriteriTecnici!$K1640,".",","),IFERROR(NUMBERVALUE(CriteriTecnici!$K1640,",","."),0))),4)&amp;""),",",".")&amp;", "&amp;CHAR(34)&amp;"denominator"&amp;CHAR(34)&amp;": "&amp;SUBSTITUTE(TRIM(ROUND(IFERROR(CriteriTecnici!$L1640*1,IFERROR(NUMBERVALUE(CriteriTecnici!$L1640,".",","),IFERROR(NUMBERVALUE(CriteriTecnici!$L1640,",","."),0))),4)&amp;""),",",".")&amp;", "&amp;CHAR(34)&amp;"flag"&amp;CHAR(34)&amp;": "&amp;SUBSTITUTE(TRIM(ROUND(IFERROR(CriteriTecnici!$M1640*1,IFERROR(NUMBERVALUE(CriteriTecnici!$M1640,".",","),IFERROR(NUMBERVALUE(CriteriTecnici!$M1640,",","."),0))),4)&amp;""),",",".")&amp;", "&amp;CHAR(34)&amp;"rawScore"&amp;CHAR(34)&amp;": "&amp;SUBSTITUTE(TRIM(ROUND(IFERROR(CriteriTecnici!$O1640*1,IFERROR(NUMBERVALUE(CriteriTecnici!$O1640,".",","),IFERROR(NUMBERVALUE(CriteriTecnici!$O1640,",","."),0))),4)&amp;""),",",".")&amp;CHAR(125)&amp;IF(TRUE,",",""))</f>
        <v/>
      </c>
    </row>
    <row r="1742">
      <c r="A1742" s="82">
        <f>IF(CriteriTecnici!$A1641="","","    "&amp;CHAR(123)&amp;CHAR(34)&amp;"bidderId"&amp;CHAR(34)&amp;": "&amp;CHAR(34)&amp;SUBSTITUTE(CriteriTecnici!$A1641,CHAR(34),"'")&amp;CHAR(34)&amp;", "&amp;CHAR(34)&amp;"lotId"&amp;CHAR(34)&amp;": "&amp;CHAR(34)&amp;SUBSTITUTE(CriteriTecnici!$C1641,CHAR(34),"'")&amp;CHAR(34)&amp;", "&amp;CHAR(34)&amp;"criterionId"&amp;CHAR(34)&amp;": "&amp;CHAR(34)&amp;SUBSTITUTE(CriteriTecnici!$D1641,CHAR(34),"'")&amp;CHAR(34)&amp;", "&amp;CHAR(34)&amp;"kind"&amp;CHAR(34)&amp;": "&amp;CHAR(34)&amp;SUBSTITUTE(CriteriTecnici!$F1641,CHAR(34),"'")&amp;CHAR(34)&amp;", "&amp;CHAR(34)&amp;"value"&amp;CHAR(34)&amp;": "&amp;SUBSTITUTE(TRIM(ROUND(IFERROR(CriteriTecnici!$N1641*1,IFERROR(NUMBERVALUE(CriteriTecnici!$N1641,".",","),IFERROR(NUMBERVALUE(CriteriTecnici!$N1641,",","."),0))),4)&amp;""),",",".")&amp;", "&amp;CHAR(34)&amp;"numerator"&amp;CHAR(34)&amp;": "&amp;SUBSTITUTE(TRIM(ROUND(IFERROR(CriteriTecnici!$K1641*1,IFERROR(NUMBERVALUE(CriteriTecnici!$K1641,".",","),IFERROR(NUMBERVALUE(CriteriTecnici!$K1641,",","."),0))),4)&amp;""),",",".")&amp;", "&amp;CHAR(34)&amp;"denominator"&amp;CHAR(34)&amp;": "&amp;SUBSTITUTE(TRIM(ROUND(IFERROR(CriteriTecnici!$L1641*1,IFERROR(NUMBERVALUE(CriteriTecnici!$L1641,".",","),IFERROR(NUMBERVALUE(CriteriTecnici!$L1641,",","."),0))),4)&amp;""),",",".")&amp;", "&amp;CHAR(34)&amp;"flag"&amp;CHAR(34)&amp;": "&amp;SUBSTITUTE(TRIM(ROUND(IFERROR(CriteriTecnici!$M1641*1,IFERROR(NUMBERVALUE(CriteriTecnici!$M1641,".",","),IFERROR(NUMBERVALUE(CriteriTecnici!$M1641,",","."),0))),4)&amp;""),",",".")&amp;", "&amp;CHAR(34)&amp;"rawScore"&amp;CHAR(34)&amp;": "&amp;SUBSTITUTE(TRIM(ROUND(IFERROR(CriteriTecnici!$O1641*1,IFERROR(NUMBERVALUE(CriteriTecnici!$O1641,".",","),IFERROR(NUMBERVALUE(CriteriTecnici!$O1641,",","."),0))),4)&amp;""),",",".")&amp;CHAR(125)&amp;IF(TRUE,",",""))</f>
        <v/>
      </c>
    </row>
    <row r="1743">
      <c r="A1743" s="82">
        <f>IF(CriteriTecnici!$A1642="","","    "&amp;CHAR(123)&amp;CHAR(34)&amp;"bidderId"&amp;CHAR(34)&amp;": "&amp;CHAR(34)&amp;SUBSTITUTE(CriteriTecnici!$A1642,CHAR(34),"'")&amp;CHAR(34)&amp;", "&amp;CHAR(34)&amp;"lotId"&amp;CHAR(34)&amp;": "&amp;CHAR(34)&amp;SUBSTITUTE(CriteriTecnici!$C1642,CHAR(34),"'")&amp;CHAR(34)&amp;", "&amp;CHAR(34)&amp;"criterionId"&amp;CHAR(34)&amp;": "&amp;CHAR(34)&amp;SUBSTITUTE(CriteriTecnici!$D1642,CHAR(34),"'")&amp;CHAR(34)&amp;", "&amp;CHAR(34)&amp;"kind"&amp;CHAR(34)&amp;": "&amp;CHAR(34)&amp;SUBSTITUTE(CriteriTecnici!$F1642,CHAR(34),"'")&amp;CHAR(34)&amp;", "&amp;CHAR(34)&amp;"value"&amp;CHAR(34)&amp;": "&amp;SUBSTITUTE(TRIM(ROUND(IFERROR(CriteriTecnici!$N1642*1,IFERROR(NUMBERVALUE(CriteriTecnici!$N1642,".",","),IFERROR(NUMBERVALUE(CriteriTecnici!$N1642,",","."),0))),4)&amp;""),",",".")&amp;", "&amp;CHAR(34)&amp;"numerator"&amp;CHAR(34)&amp;": "&amp;SUBSTITUTE(TRIM(ROUND(IFERROR(CriteriTecnici!$K1642*1,IFERROR(NUMBERVALUE(CriteriTecnici!$K1642,".",","),IFERROR(NUMBERVALUE(CriteriTecnici!$K1642,",","."),0))),4)&amp;""),",",".")&amp;", "&amp;CHAR(34)&amp;"denominator"&amp;CHAR(34)&amp;": "&amp;SUBSTITUTE(TRIM(ROUND(IFERROR(CriteriTecnici!$L1642*1,IFERROR(NUMBERVALUE(CriteriTecnici!$L1642,".",","),IFERROR(NUMBERVALUE(CriteriTecnici!$L1642,",","."),0))),4)&amp;""),",",".")&amp;", "&amp;CHAR(34)&amp;"flag"&amp;CHAR(34)&amp;": "&amp;SUBSTITUTE(TRIM(ROUND(IFERROR(CriteriTecnici!$M1642*1,IFERROR(NUMBERVALUE(CriteriTecnici!$M1642,".",","),IFERROR(NUMBERVALUE(CriteriTecnici!$M1642,",","."),0))),4)&amp;""),",",".")&amp;", "&amp;CHAR(34)&amp;"rawScore"&amp;CHAR(34)&amp;": "&amp;SUBSTITUTE(TRIM(ROUND(IFERROR(CriteriTecnici!$O1642*1,IFERROR(NUMBERVALUE(CriteriTecnici!$O1642,".",","),IFERROR(NUMBERVALUE(CriteriTecnici!$O1642,",","."),0))),4)&amp;""),",",".")&amp;CHAR(125)&amp;IF(TRUE,",",""))</f>
        <v/>
      </c>
    </row>
    <row r="1744">
      <c r="A1744" s="82">
        <f>IF(CriteriTecnici!$A1643="","","    "&amp;CHAR(123)&amp;CHAR(34)&amp;"bidderId"&amp;CHAR(34)&amp;": "&amp;CHAR(34)&amp;SUBSTITUTE(CriteriTecnici!$A1643,CHAR(34),"'")&amp;CHAR(34)&amp;", "&amp;CHAR(34)&amp;"lotId"&amp;CHAR(34)&amp;": "&amp;CHAR(34)&amp;SUBSTITUTE(CriteriTecnici!$C1643,CHAR(34),"'")&amp;CHAR(34)&amp;", "&amp;CHAR(34)&amp;"criterionId"&amp;CHAR(34)&amp;": "&amp;CHAR(34)&amp;SUBSTITUTE(CriteriTecnici!$D1643,CHAR(34),"'")&amp;CHAR(34)&amp;", "&amp;CHAR(34)&amp;"kind"&amp;CHAR(34)&amp;": "&amp;CHAR(34)&amp;SUBSTITUTE(CriteriTecnici!$F1643,CHAR(34),"'")&amp;CHAR(34)&amp;", "&amp;CHAR(34)&amp;"value"&amp;CHAR(34)&amp;": "&amp;SUBSTITUTE(TRIM(ROUND(IFERROR(CriteriTecnici!$N1643*1,IFERROR(NUMBERVALUE(CriteriTecnici!$N1643,".",","),IFERROR(NUMBERVALUE(CriteriTecnici!$N1643,",","."),0))),4)&amp;""),",",".")&amp;", "&amp;CHAR(34)&amp;"numerator"&amp;CHAR(34)&amp;": "&amp;SUBSTITUTE(TRIM(ROUND(IFERROR(CriteriTecnici!$K1643*1,IFERROR(NUMBERVALUE(CriteriTecnici!$K1643,".",","),IFERROR(NUMBERVALUE(CriteriTecnici!$K1643,",","."),0))),4)&amp;""),",",".")&amp;", "&amp;CHAR(34)&amp;"denominator"&amp;CHAR(34)&amp;": "&amp;SUBSTITUTE(TRIM(ROUND(IFERROR(CriteriTecnici!$L1643*1,IFERROR(NUMBERVALUE(CriteriTecnici!$L1643,".",","),IFERROR(NUMBERVALUE(CriteriTecnici!$L1643,",","."),0))),4)&amp;""),",",".")&amp;", "&amp;CHAR(34)&amp;"flag"&amp;CHAR(34)&amp;": "&amp;SUBSTITUTE(TRIM(ROUND(IFERROR(CriteriTecnici!$M1643*1,IFERROR(NUMBERVALUE(CriteriTecnici!$M1643,".",","),IFERROR(NUMBERVALUE(CriteriTecnici!$M1643,",","."),0))),4)&amp;""),",",".")&amp;", "&amp;CHAR(34)&amp;"rawScore"&amp;CHAR(34)&amp;": "&amp;SUBSTITUTE(TRIM(ROUND(IFERROR(CriteriTecnici!$O1643*1,IFERROR(NUMBERVALUE(CriteriTecnici!$O1643,".",","),IFERROR(NUMBERVALUE(CriteriTecnici!$O1643,",","."),0))),4)&amp;""),",",".")&amp;CHAR(125)&amp;IF(TRUE,",",""))</f>
        <v/>
      </c>
    </row>
    <row r="1745">
      <c r="A1745" s="82">
        <f>IF(CriteriTecnici!$A1644="","","    "&amp;CHAR(123)&amp;CHAR(34)&amp;"bidderId"&amp;CHAR(34)&amp;": "&amp;CHAR(34)&amp;SUBSTITUTE(CriteriTecnici!$A1644,CHAR(34),"'")&amp;CHAR(34)&amp;", "&amp;CHAR(34)&amp;"lotId"&amp;CHAR(34)&amp;": "&amp;CHAR(34)&amp;SUBSTITUTE(CriteriTecnici!$C1644,CHAR(34),"'")&amp;CHAR(34)&amp;", "&amp;CHAR(34)&amp;"criterionId"&amp;CHAR(34)&amp;": "&amp;CHAR(34)&amp;SUBSTITUTE(CriteriTecnici!$D1644,CHAR(34),"'")&amp;CHAR(34)&amp;", "&amp;CHAR(34)&amp;"kind"&amp;CHAR(34)&amp;": "&amp;CHAR(34)&amp;SUBSTITUTE(CriteriTecnici!$F1644,CHAR(34),"'")&amp;CHAR(34)&amp;", "&amp;CHAR(34)&amp;"value"&amp;CHAR(34)&amp;": "&amp;SUBSTITUTE(TRIM(ROUND(IFERROR(CriteriTecnici!$N1644*1,IFERROR(NUMBERVALUE(CriteriTecnici!$N1644,".",","),IFERROR(NUMBERVALUE(CriteriTecnici!$N1644,",","."),0))),4)&amp;""),",",".")&amp;", "&amp;CHAR(34)&amp;"numerator"&amp;CHAR(34)&amp;": "&amp;SUBSTITUTE(TRIM(ROUND(IFERROR(CriteriTecnici!$K1644*1,IFERROR(NUMBERVALUE(CriteriTecnici!$K1644,".",","),IFERROR(NUMBERVALUE(CriteriTecnici!$K1644,",","."),0))),4)&amp;""),",",".")&amp;", "&amp;CHAR(34)&amp;"denominator"&amp;CHAR(34)&amp;": "&amp;SUBSTITUTE(TRIM(ROUND(IFERROR(CriteriTecnici!$L1644*1,IFERROR(NUMBERVALUE(CriteriTecnici!$L1644,".",","),IFERROR(NUMBERVALUE(CriteriTecnici!$L1644,",","."),0))),4)&amp;""),",",".")&amp;", "&amp;CHAR(34)&amp;"flag"&amp;CHAR(34)&amp;": "&amp;SUBSTITUTE(TRIM(ROUND(IFERROR(CriteriTecnici!$M1644*1,IFERROR(NUMBERVALUE(CriteriTecnici!$M1644,".",","),IFERROR(NUMBERVALUE(CriteriTecnici!$M1644,",","."),0))),4)&amp;""),",",".")&amp;", "&amp;CHAR(34)&amp;"rawScore"&amp;CHAR(34)&amp;": "&amp;SUBSTITUTE(TRIM(ROUND(IFERROR(CriteriTecnici!$O1644*1,IFERROR(NUMBERVALUE(CriteriTecnici!$O1644,".",","),IFERROR(NUMBERVALUE(CriteriTecnici!$O1644,",","."),0))),4)&amp;""),",",".")&amp;CHAR(125)&amp;IF(TRUE,",",""))</f>
        <v/>
      </c>
    </row>
    <row r="1746">
      <c r="A1746" s="82">
        <f>IF(CriteriTecnici!$A1645="","","    "&amp;CHAR(123)&amp;CHAR(34)&amp;"bidderId"&amp;CHAR(34)&amp;": "&amp;CHAR(34)&amp;SUBSTITUTE(CriteriTecnici!$A1645,CHAR(34),"'")&amp;CHAR(34)&amp;", "&amp;CHAR(34)&amp;"lotId"&amp;CHAR(34)&amp;": "&amp;CHAR(34)&amp;SUBSTITUTE(CriteriTecnici!$C1645,CHAR(34),"'")&amp;CHAR(34)&amp;", "&amp;CHAR(34)&amp;"criterionId"&amp;CHAR(34)&amp;": "&amp;CHAR(34)&amp;SUBSTITUTE(CriteriTecnici!$D1645,CHAR(34),"'")&amp;CHAR(34)&amp;", "&amp;CHAR(34)&amp;"kind"&amp;CHAR(34)&amp;": "&amp;CHAR(34)&amp;SUBSTITUTE(CriteriTecnici!$F1645,CHAR(34),"'")&amp;CHAR(34)&amp;", "&amp;CHAR(34)&amp;"value"&amp;CHAR(34)&amp;": "&amp;SUBSTITUTE(TRIM(ROUND(IFERROR(CriteriTecnici!$N1645*1,IFERROR(NUMBERVALUE(CriteriTecnici!$N1645,".",","),IFERROR(NUMBERVALUE(CriteriTecnici!$N1645,",","."),0))),4)&amp;""),",",".")&amp;", "&amp;CHAR(34)&amp;"numerator"&amp;CHAR(34)&amp;": "&amp;SUBSTITUTE(TRIM(ROUND(IFERROR(CriteriTecnici!$K1645*1,IFERROR(NUMBERVALUE(CriteriTecnici!$K1645,".",","),IFERROR(NUMBERVALUE(CriteriTecnici!$K1645,",","."),0))),4)&amp;""),",",".")&amp;", "&amp;CHAR(34)&amp;"denominator"&amp;CHAR(34)&amp;": "&amp;SUBSTITUTE(TRIM(ROUND(IFERROR(CriteriTecnici!$L1645*1,IFERROR(NUMBERVALUE(CriteriTecnici!$L1645,".",","),IFERROR(NUMBERVALUE(CriteriTecnici!$L1645,",","."),0))),4)&amp;""),",",".")&amp;", "&amp;CHAR(34)&amp;"flag"&amp;CHAR(34)&amp;": "&amp;SUBSTITUTE(TRIM(ROUND(IFERROR(CriteriTecnici!$M1645*1,IFERROR(NUMBERVALUE(CriteriTecnici!$M1645,".",","),IFERROR(NUMBERVALUE(CriteriTecnici!$M1645,",","."),0))),4)&amp;""),",",".")&amp;", "&amp;CHAR(34)&amp;"rawScore"&amp;CHAR(34)&amp;": "&amp;SUBSTITUTE(TRIM(ROUND(IFERROR(CriteriTecnici!$O1645*1,IFERROR(NUMBERVALUE(CriteriTecnici!$O1645,".",","),IFERROR(NUMBERVALUE(CriteriTecnici!$O1645,",","."),0))),4)&amp;""),",",".")&amp;CHAR(125)&amp;IF(TRUE,",",""))</f>
        <v/>
      </c>
    </row>
    <row r="1747">
      <c r="A1747" s="82">
        <f>IF(CriteriTecnici!$A1646="","","    "&amp;CHAR(123)&amp;CHAR(34)&amp;"bidderId"&amp;CHAR(34)&amp;": "&amp;CHAR(34)&amp;SUBSTITUTE(CriteriTecnici!$A1646,CHAR(34),"'")&amp;CHAR(34)&amp;", "&amp;CHAR(34)&amp;"lotId"&amp;CHAR(34)&amp;": "&amp;CHAR(34)&amp;SUBSTITUTE(CriteriTecnici!$C1646,CHAR(34),"'")&amp;CHAR(34)&amp;", "&amp;CHAR(34)&amp;"criterionId"&amp;CHAR(34)&amp;": "&amp;CHAR(34)&amp;SUBSTITUTE(CriteriTecnici!$D1646,CHAR(34),"'")&amp;CHAR(34)&amp;", "&amp;CHAR(34)&amp;"kind"&amp;CHAR(34)&amp;": "&amp;CHAR(34)&amp;SUBSTITUTE(CriteriTecnici!$F1646,CHAR(34),"'")&amp;CHAR(34)&amp;", "&amp;CHAR(34)&amp;"value"&amp;CHAR(34)&amp;": "&amp;SUBSTITUTE(TRIM(ROUND(IFERROR(CriteriTecnici!$N1646*1,IFERROR(NUMBERVALUE(CriteriTecnici!$N1646,".",","),IFERROR(NUMBERVALUE(CriteriTecnici!$N1646,",","."),0))),4)&amp;""),",",".")&amp;", "&amp;CHAR(34)&amp;"numerator"&amp;CHAR(34)&amp;": "&amp;SUBSTITUTE(TRIM(ROUND(IFERROR(CriteriTecnici!$K1646*1,IFERROR(NUMBERVALUE(CriteriTecnici!$K1646,".",","),IFERROR(NUMBERVALUE(CriteriTecnici!$K1646,",","."),0))),4)&amp;""),",",".")&amp;", "&amp;CHAR(34)&amp;"denominator"&amp;CHAR(34)&amp;": "&amp;SUBSTITUTE(TRIM(ROUND(IFERROR(CriteriTecnici!$L1646*1,IFERROR(NUMBERVALUE(CriteriTecnici!$L1646,".",","),IFERROR(NUMBERVALUE(CriteriTecnici!$L1646,",","."),0))),4)&amp;""),",",".")&amp;", "&amp;CHAR(34)&amp;"flag"&amp;CHAR(34)&amp;": "&amp;SUBSTITUTE(TRIM(ROUND(IFERROR(CriteriTecnici!$M1646*1,IFERROR(NUMBERVALUE(CriteriTecnici!$M1646,".",","),IFERROR(NUMBERVALUE(CriteriTecnici!$M1646,",","."),0))),4)&amp;""),",",".")&amp;", "&amp;CHAR(34)&amp;"rawScore"&amp;CHAR(34)&amp;": "&amp;SUBSTITUTE(TRIM(ROUND(IFERROR(CriteriTecnici!$O1646*1,IFERROR(NUMBERVALUE(CriteriTecnici!$O1646,".",","),IFERROR(NUMBERVALUE(CriteriTecnici!$O1646,",","."),0))),4)&amp;""),",",".")&amp;CHAR(125)&amp;IF(TRUE,",",""))</f>
        <v/>
      </c>
    </row>
    <row r="1748">
      <c r="A1748" s="82">
        <f>IF(CriteriTecnici!$A1647="","","    "&amp;CHAR(123)&amp;CHAR(34)&amp;"bidderId"&amp;CHAR(34)&amp;": "&amp;CHAR(34)&amp;SUBSTITUTE(CriteriTecnici!$A1647,CHAR(34),"'")&amp;CHAR(34)&amp;", "&amp;CHAR(34)&amp;"lotId"&amp;CHAR(34)&amp;": "&amp;CHAR(34)&amp;SUBSTITUTE(CriteriTecnici!$C1647,CHAR(34),"'")&amp;CHAR(34)&amp;", "&amp;CHAR(34)&amp;"criterionId"&amp;CHAR(34)&amp;": "&amp;CHAR(34)&amp;SUBSTITUTE(CriteriTecnici!$D1647,CHAR(34),"'")&amp;CHAR(34)&amp;", "&amp;CHAR(34)&amp;"kind"&amp;CHAR(34)&amp;": "&amp;CHAR(34)&amp;SUBSTITUTE(CriteriTecnici!$F1647,CHAR(34),"'")&amp;CHAR(34)&amp;", "&amp;CHAR(34)&amp;"value"&amp;CHAR(34)&amp;": "&amp;SUBSTITUTE(TRIM(ROUND(IFERROR(CriteriTecnici!$N1647*1,IFERROR(NUMBERVALUE(CriteriTecnici!$N1647,".",","),IFERROR(NUMBERVALUE(CriteriTecnici!$N1647,",","."),0))),4)&amp;""),",",".")&amp;", "&amp;CHAR(34)&amp;"numerator"&amp;CHAR(34)&amp;": "&amp;SUBSTITUTE(TRIM(ROUND(IFERROR(CriteriTecnici!$K1647*1,IFERROR(NUMBERVALUE(CriteriTecnici!$K1647,".",","),IFERROR(NUMBERVALUE(CriteriTecnici!$K1647,",","."),0))),4)&amp;""),",",".")&amp;", "&amp;CHAR(34)&amp;"denominator"&amp;CHAR(34)&amp;": "&amp;SUBSTITUTE(TRIM(ROUND(IFERROR(CriteriTecnici!$L1647*1,IFERROR(NUMBERVALUE(CriteriTecnici!$L1647,".",","),IFERROR(NUMBERVALUE(CriteriTecnici!$L1647,",","."),0))),4)&amp;""),",",".")&amp;", "&amp;CHAR(34)&amp;"flag"&amp;CHAR(34)&amp;": "&amp;SUBSTITUTE(TRIM(ROUND(IFERROR(CriteriTecnici!$M1647*1,IFERROR(NUMBERVALUE(CriteriTecnici!$M1647,".",","),IFERROR(NUMBERVALUE(CriteriTecnici!$M1647,",","."),0))),4)&amp;""),",",".")&amp;", "&amp;CHAR(34)&amp;"rawScore"&amp;CHAR(34)&amp;": "&amp;SUBSTITUTE(TRIM(ROUND(IFERROR(CriteriTecnici!$O1647*1,IFERROR(NUMBERVALUE(CriteriTecnici!$O1647,".",","),IFERROR(NUMBERVALUE(CriteriTecnici!$O1647,",","."),0))),4)&amp;""),",",".")&amp;CHAR(125)&amp;IF(COUNTA(Offerte!$A55:$A$81)&gt;0,",",""))</f>
        <v/>
      </c>
    </row>
    <row r="1749">
      <c r="A1749" s="82">
        <f>IF(CriteriTecnici!$A1648="","","    "&amp;CHAR(123)&amp;CHAR(34)&amp;"bidderId"&amp;CHAR(34)&amp;": "&amp;CHAR(34)&amp;SUBSTITUTE(CriteriTecnici!$A1648,CHAR(34),"'")&amp;CHAR(34)&amp;", "&amp;CHAR(34)&amp;"lotId"&amp;CHAR(34)&amp;": "&amp;CHAR(34)&amp;SUBSTITUTE(CriteriTecnici!$C1648,CHAR(34),"'")&amp;CHAR(34)&amp;", "&amp;CHAR(34)&amp;"criterionId"&amp;CHAR(34)&amp;": "&amp;CHAR(34)&amp;SUBSTITUTE(CriteriTecnici!$D1648,CHAR(34),"'")&amp;CHAR(34)&amp;", "&amp;CHAR(34)&amp;"kind"&amp;CHAR(34)&amp;": "&amp;CHAR(34)&amp;SUBSTITUTE(CriteriTecnici!$F1648,CHAR(34),"'")&amp;CHAR(34)&amp;", "&amp;CHAR(34)&amp;"value"&amp;CHAR(34)&amp;": "&amp;SUBSTITUTE(TRIM(ROUND(IFERROR(CriteriTecnici!$N1648*1,IFERROR(NUMBERVALUE(CriteriTecnici!$N1648,".",","),IFERROR(NUMBERVALUE(CriteriTecnici!$N1648,",","."),0))),4)&amp;""),",",".")&amp;", "&amp;CHAR(34)&amp;"numerator"&amp;CHAR(34)&amp;": "&amp;SUBSTITUTE(TRIM(ROUND(IFERROR(CriteriTecnici!$K1648*1,IFERROR(NUMBERVALUE(CriteriTecnici!$K1648,".",","),IFERROR(NUMBERVALUE(CriteriTecnici!$K1648,",","."),0))),4)&amp;""),",",".")&amp;", "&amp;CHAR(34)&amp;"denominator"&amp;CHAR(34)&amp;": "&amp;SUBSTITUTE(TRIM(ROUND(IFERROR(CriteriTecnici!$L1648*1,IFERROR(NUMBERVALUE(CriteriTecnici!$L1648,".",","),IFERROR(NUMBERVALUE(CriteriTecnici!$L1648,",","."),0))),4)&amp;""),",",".")&amp;", "&amp;CHAR(34)&amp;"flag"&amp;CHAR(34)&amp;": "&amp;SUBSTITUTE(TRIM(ROUND(IFERROR(CriteriTecnici!$M1648*1,IFERROR(NUMBERVALUE(CriteriTecnici!$M1648,".",","),IFERROR(NUMBERVALUE(CriteriTecnici!$M1648,",","."),0))),4)&amp;""),",",".")&amp;", "&amp;CHAR(34)&amp;"rawScore"&amp;CHAR(34)&amp;": "&amp;SUBSTITUTE(TRIM(ROUND(IFERROR(CriteriTecnici!$O1648*1,IFERROR(NUMBERVALUE(CriteriTecnici!$O1648,".",","),IFERROR(NUMBERVALUE(CriteriTecnici!$O1648,",","."),0))),4)&amp;""),",",".")&amp;CHAR(125)&amp;IF(TRUE,",",""))</f>
        <v/>
      </c>
    </row>
    <row r="1750">
      <c r="A1750" s="82">
        <f>IF(CriteriTecnici!$A1649="","","    "&amp;CHAR(123)&amp;CHAR(34)&amp;"bidderId"&amp;CHAR(34)&amp;": "&amp;CHAR(34)&amp;SUBSTITUTE(CriteriTecnici!$A1649,CHAR(34),"'")&amp;CHAR(34)&amp;", "&amp;CHAR(34)&amp;"lotId"&amp;CHAR(34)&amp;": "&amp;CHAR(34)&amp;SUBSTITUTE(CriteriTecnici!$C1649,CHAR(34),"'")&amp;CHAR(34)&amp;", "&amp;CHAR(34)&amp;"criterionId"&amp;CHAR(34)&amp;": "&amp;CHAR(34)&amp;SUBSTITUTE(CriteriTecnici!$D1649,CHAR(34),"'")&amp;CHAR(34)&amp;", "&amp;CHAR(34)&amp;"kind"&amp;CHAR(34)&amp;": "&amp;CHAR(34)&amp;SUBSTITUTE(CriteriTecnici!$F1649,CHAR(34),"'")&amp;CHAR(34)&amp;", "&amp;CHAR(34)&amp;"value"&amp;CHAR(34)&amp;": "&amp;SUBSTITUTE(TRIM(ROUND(IFERROR(CriteriTecnici!$N1649*1,IFERROR(NUMBERVALUE(CriteriTecnici!$N1649,".",","),IFERROR(NUMBERVALUE(CriteriTecnici!$N1649,",","."),0))),4)&amp;""),",",".")&amp;", "&amp;CHAR(34)&amp;"numerator"&amp;CHAR(34)&amp;": "&amp;SUBSTITUTE(TRIM(ROUND(IFERROR(CriteriTecnici!$K1649*1,IFERROR(NUMBERVALUE(CriteriTecnici!$K1649,".",","),IFERROR(NUMBERVALUE(CriteriTecnici!$K1649,",","."),0))),4)&amp;""),",",".")&amp;", "&amp;CHAR(34)&amp;"denominator"&amp;CHAR(34)&amp;": "&amp;SUBSTITUTE(TRIM(ROUND(IFERROR(CriteriTecnici!$L1649*1,IFERROR(NUMBERVALUE(CriteriTecnici!$L1649,".",","),IFERROR(NUMBERVALUE(CriteriTecnici!$L1649,",","."),0))),4)&amp;""),",",".")&amp;", "&amp;CHAR(34)&amp;"flag"&amp;CHAR(34)&amp;": "&amp;SUBSTITUTE(TRIM(ROUND(IFERROR(CriteriTecnici!$M1649*1,IFERROR(NUMBERVALUE(CriteriTecnici!$M1649,".",","),IFERROR(NUMBERVALUE(CriteriTecnici!$M1649,",","."),0))),4)&amp;""),",",".")&amp;", "&amp;CHAR(34)&amp;"rawScore"&amp;CHAR(34)&amp;": "&amp;SUBSTITUTE(TRIM(ROUND(IFERROR(CriteriTecnici!$O1649*1,IFERROR(NUMBERVALUE(CriteriTecnici!$O1649,".",","),IFERROR(NUMBERVALUE(CriteriTecnici!$O1649,",","."),0))),4)&amp;""),",",".")&amp;CHAR(125)&amp;IF(TRUE,",",""))</f>
        <v/>
      </c>
    </row>
    <row r="1751">
      <c r="A1751" s="82">
        <f>IF(CriteriTecnici!$A1650="","","    "&amp;CHAR(123)&amp;CHAR(34)&amp;"bidderId"&amp;CHAR(34)&amp;": "&amp;CHAR(34)&amp;SUBSTITUTE(CriteriTecnici!$A1650,CHAR(34),"'")&amp;CHAR(34)&amp;", "&amp;CHAR(34)&amp;"lotId"&amp;CHAR(34)&amp;": "&amp;CHAR(34)&amp;SUBSTITUTE(CriteriTecnici!$C1650,CHAR(34),"'")&amp;CHAR(34)&amp;", "&amp;CHAR(34)&amp;"criterionId"&amp;CHAR(34)&amp;": "&amp;CHAR(34)&amp;SUBSTITUTE(CriteriTecnici!$D1650,CHAR(34),"'")&amp;CHAR(34)&amp;", "&amp;CHAR(34)&amp;"kind"&amp;CHAR(34)&amp;": "&amp;CHAR(34)&amp;SUBSTITUTE(CriteriTecnici!$F1650,CHAR(34),"'")&amp;CHAR(34)&amp;", "&amp;CHAR(34)&amp;"value"&amp;CHAR(34)&amp;": "&amp;SUBSTITUTE(TRIM(ROUND(IFERROR(CriteriTecnici!$N1650*1,IFERROR(NUMBERVALUE(CriteriTecnici!$N1650,".",","),IFERROR(NUMBERVALUE(CriteriTecnici!$N1650,",","."),0))),4)&amp;""),",",".")&amp;", "&amp;CHAR(34)&amp;"numerator"&amp;CHAR(34)&amp;": "&amp;SUBSTITUTE(TRIM(ROUND(IFERROR(CriteriTecnici!$K1650*1,IFERROR(NUMBERVALUE(CriteriTecnici!$K1650,".",","),IFERROR(NUMBERVALUE(CriteriTecnici!$K1650,",","."),0))),4)&amp;""),",",".")&amp;", "&amp;CHAR(34)&amp;"denominator"&amp;CHAR(34)&amp;": "&amp;SUBSTITUTE(TRIM(ROUND(IFERROR(CriteriTecnici!$L1650*1,IFERROR(NUMBERVALUE(CriteriTecnici!$L1650,".",","),IFERROR(NUMBERVALUE(CriteriTecnici!$L1650,",","."),0))),4)&amp;""),",",".")&amp;", "&amp;CHAR(34)&amp;"flag"&amp;CHAR(34)&amp;": "&amp;SUBSTITUTE(TRIM(ROUND(IFERROR(CriteriTecnici!$M1650*1,IFERROR(NUMBERVALUE(CriteriTecnici!$M1650,".",","),IFERROR(NUMBERVALUE(CriteriTecnici!$M1650,",","."),0))),4)&amp;""),",",".")&amp;", "&amp;CHAR(34)&amp;"rawScore"&amp;CHAR(34)&amp;": "&amp;SUBSTITUTE(TRIM(ROUND(IFERROR(CriteriTecnici!$O1650*1,IFERROR(NUMBERVALUE(CriteriTecnici!$O1650,".",","),IFERROR(NUMBERVALUE(CriteriTecnici!$O1650,",","."),0))),4)&amp;""),",",".")&amp;CHAR(125)&amp;IF(TRUE,",",""))</f>
        <v/>
      </c>
    </row>
    <row r="1752">
      <c r="A1752" s="82">
        <f>IF(CriteriTecnici!$A1651="","","    "&amp;CHAR(123)&amp;CHAR(34)&amp;"bidderId"&amp;CHAR(34)&amp;": "&amp;CHAR(34)&amp;SUBSTITUTE(CriteriTecnici!$A1651,CHAR(34),"'")&amp;CHAR(34)&amp;", "&amp;CHAR(34)&amp;"lotId"&amp;CHAR(34)&amp;": "&amp;CHAR(34)&amp;SUBSTITUTE(CriteriTecnici!$C1651,CHAR(34),"'")&amp;CHAR(34)&amp;", "&amp;CHAR(34)&amp;"criterionId"&amp;CHAR(34)&amp;": "&amp;CHAR(34)&amp;SUBSTITUTE(CriteriTecnici!$D1651,CHAR(34),"'")&amp;CHAR(34)&amp;", "&amp;CHAR(34)&amp;"kind"&amp;CHAR(34)&amp;": "&amp;CHAR(34)&amp;SUBSTITUTE(CriteriTecnici!$F1651,CHAR(34),"'")&amp;CHAR(34)&amp;", "&amp;CHAR(34)&amp;"value"&amp;CHAR(34)&amp;": "&amp;SUBSTITUTE(TRIM(ROUND(IFERROR(CriteriTecnici!$N1651*1,IFERROR(NUMBERVALUE(CriteriTecnici!$N1651,".",","),IFERROR(NUMBERVALUE(CriteriTecnici!$N1651,",","."),0))),4)&amp;""),",",".")&amp;", "&amp;CHAR(34)&amp;"numerator"&amp;CHAR(34)&amp;": "&amp;SUBSTITUTE(TRIM(ROUND(IFERROR(CriteriTecnici!$K1651*1,IFERROR(NUMBERVALUE(CriteriTecnici!$K1651,".",","),IFERROR(NUMBERVALUE(CriteriTecnici!$K1651,",","."),0))),4)&amp;""),",",".")&amp;", "&amp;CHAR(34)&amp;"denominator"&amp;CHAR(34)&amp;": "&amp;SUBSTITUTE(TRIM(ROUND(IFERROR(CriteriTecnici!$L1651*1,IFERROR(NUMBERVALUE(CriteriTecnici!$L1651,".",","),IFERROR(NUMBERVALUE(CriteriTecnici!$L1651,",","."),0))),4)&amp;""),",",".")&amp;", "&amp;CHAR(34)&amp;"flag"&amp;CHAR(34)&amp;": "&amp;SUBSTITUTE(TRIM(ROUND(IFERROR(CriteriTecnici!$M1651*1,IFERROR(NUMBERVALUE(CriteriTecnici!$M1651,".",","),IFERROR(NUMBERVALUE(CriteriTecnici!$M1651,",","."),0))),4)&amp;""),",",".")&amp;", "&amp;CHAR(34)&amp;"rawScore"&amp;CHAR(34)&amp;": "&amp;SUBSTITUTE(TRIM(ROUND(IFERROR(CriteriTecnici!$O1651*1,IFERROR(NUMBERVALUE(CriteriTecnici!$O1651,".",","),IFERROR(NUMBERVALUE(CriteriTecnici!$O1651,",","."),0))),4)&amp;""),",",".")&amp;CHAR(125)&amp;IF(TRUE,",",""))</f>
        <v/>
      </c>
    </row>
    <row r="1753">
      <c r="A1753" s="82">
        <f>IF(CriteriTecnici!$A1652="","","    "&amp;CHAR(123)&amp;CHAR(34)&amp;"bidderId"&amp;CHAR(34)&amp;": "&amp;CHAR(34)&amp;SUBSTITUTE(CriteriTecnici!$A1652,CHAR(34),"'")&amp;CHAR(34)&amp;", "&amp;CHAR(34)&amp;"lotId"&amp;CHAR(34)&amp;": "&amp;CHAR(34)&amp;SUBSTITUTE(CriteriTecnici!$C1652,CHAR(34),"'")&amp;CHAR(34)&amp;", "&amp;CHAR(34)&amp;"criterionId"&amp;CHAR(34)&amp;": "&amp;CHAR(34)&amp;SUBSTITUTE(CriteriTecnici!$D1652,CHAR(34),"'")&amp;CHAR(34)&amp;", "&amp;CHAR(34)&amp;"kind"&amp;CHAR(34)&amp;": "&amp;CHAR(34)&amp;SUBSTITUTE(CriteriTecnici!$F1652,CHAR(34),"'")&amp;CHAR(34)&amp;", "&amp;CHAR(34)&amp;"value"&amp;CHAR(34)&amp;": "&amp;SUBSTITUTE(TRIM(ROUND(IFERROR(CriteriTecnici!$N1652*1,IFERROR(NUMBERVALUE(CriteriTecnici!$N1652,".",","),IFERROR(NUMBERVALUE(CriteriTecnici!$N1652,",","."),0))),4)&amp;""),",",".")&amp;", "&amp;CHAR(34)&amp;"numerator"&amp;CHAR(34)&amp;": "&amp;SUBSTITUTE(TRIM(ROUND(IFERROR(CriteriTecnici!$K1652*1,IFERROR(NUMBERVALUE(CriteriTecnici!$K1652,".",","),IFERROR(NUMBERVALUE(CriteriTecnici!$K1652,",","."),0))),4)&amp;""),",",".")&amp;", "&amp;CHAR(34)&amp;"denominator"&amp;CHAR(34)&amp;": "&amp;SUBSTITUTE(TRIM(ROUND(IFERROR(CriteriTecnici!$L1652*1,IFERROR(NUMBERVALUE(CriteriTecnici!$L1652,".",","),IFERROR(NUMBERVALUE(CriteriTecnici!$L1652,",","."),0))),4)&amp;""),",",".")&amp;", "&amp;CHAR(34)&amp;"flag"&amp;CHAR(34)&amp;": "&amp;SUBSTITUTE(TRIM(ROUND(IFERROR(CriteriTecnici!$M1652*1,IFERROR(NUMBERVALUE(CriteriTecnici!$M1652,".",","),IFERROR(NUMBERVALUE(CriteriTecnici!$M1652,",","."),0))),4)&amp;""),",",".")&amp;", "&amp;CHAR(34)&amp;"rawScore"&amp;CHAR(34)&amp;": "&amp;SUBSTITUTE(TRIM(ROUND(IFERROR(CriteriTecnici!$O1652*1,IFERROR(NUMBERVALUE(CriteriTecnici!$O1652,".",","),IFERROR(NUMBERVALUE(CriteriTecnici!$O1652,",","."),0))),4)&amp;""),",",".")&amp;CHAR(125)&amp;IF(TRUE,",",""))</f>
        <v/>
      </c>
    </row>
    <row r="1754">
      <c r="A1754" s="82">
        <f>IF(CriteriTecnici!$A1653="","","    "&amp;CHAR(123)&amp;CHAR(34)&amp;"bidderId"&amp;CHAR(34)&amp;": "&amp;CHAR(34)&amp;SUBSTITUTE(CriteriTecnici!$A1653,CHAR(34),"'")&amp;CHAR(34)&amp;", "&amp;CHAR(34)&amp;"lotId"&amp;CHAR(34)&amp;": "&amp;CHAR(34)&amp;SUBSTITUTE(CriteriTecnici!$C1653,CHAR(34),"'")&amp;CHAR(34)&amp;", "&amp;CHAR(34)&amp;"criterionId"&amp;CHAR(34)&amp;": "&amp;CHAR(34)&amp;SUBSTITUTE(CriteriTecnici!$D1653,CHAR(34),"'")&amp;CHAR(34)&amp;", "&amp;CHAR(34)&amp;"kind"&amp;CHAR(34)&amp;": "&amp;CHAR(34)&amp;SUBSTITUTE(CriteriTecnici!$F1653,CHAR(34),"'")&amp;CHAR(34)&amp;", "&amp;CHAR(34)&amp;"value"&amp;CHAR(34)&amp;": "&amp;SUBSTITUTE(TRIM(ROUND(IFERROR(CriteriTecnici!$N1653*1,IFERROR(NUMBERVALUE(CriteriTecnici!$N1653,".",","),IFERROR(NUMBERVALUE(CriteriTecnici!$N1653,",","."),0))),4)&amp;""),",",".")&amp;", "&amp;CHAR(34)&amp;"numerator"&amp;CHAR(34)&amp;": "&amp;SUBSTITUTE(TRIM(ROUND(IFERROR(CriteriTecnici!$K1653*1,IFERROR(NUMBERVALUE(CriteriTecnici!$K1653,".",","),IFERROR(NUMBERVALUE(CriteriTecnici!$K1653,",","."),0))),4)&amp;""),",",".")&amp;", "&amp;CHAR(34)&amp;"denominator"&amp;CHAR(34)&amp;": "&amp;SUBSTITUTE(TRIM(ROUND(IFERROR(CriteriTecnici!$L1653*1,IFERROR(NUMBERVALUE(CriteriTecnici!$L1653,".",","),IFERROR(NUMBERVALUE(CriteriTecnici!$L1653,",","."),0))),4)&amp;""),",",".")&amp;", "&amp;CHAR(34)&amp;"flag"&amp;CHAR(34)&amp;": "&amp;SUBSTITUTE(TRIM(ROUND(IFERROR(CriteriTecnici!$M1653*1,IFERROR(NUMBERVALUE(CriteriTecnici!$M1653,".",","),IFERROR(NUMBERVALUE(CriteriTecnici!$M1653,",","."),0))),4)&amp;""),",",".")&amp;", "&amp;CHAR(34)&amp;"rawScore"&amp;CHAR(34)&amp;": "&amp;SUBSTITUTE(TRIM(ROUND(IFERROR(CriteriTecnici!$O1653*1,IFERROR(NUMBERVALUE(CriteriTecnici!$O1653,".",","),IFERROR(NUMBERVALUE(CriteriTecnici!$O1653,",","."),0))),4)&amp;""),",",".")&amp;CHAR(125)&amp;IF(TRUE,",",""))</f>
        <v/>
      </c>
    </row>
    <row r="1755">
      <c r="A1755" s="82">
        <f>IF(CriteriTecnici!$A1654="","","    "&amp;CHAR(123)&amp;CHAR(34)&amp;"bidderId"&amp;CHAR(34)&amp;": "&amp;CHAR(34)&amp;SUBSTITUTE(CriteriTecnici!$A1654,CHAR(34),"'")&amp;CHAR(34)&amp;", "&amp;CHAR(34)&amp;"lotId"&amp;CHAR(34)&amp;": "&amp;CHAR(34)&amp;SUBSTITUTE(CriteriTecnici!$C1654,CHAR(34),"'")&amp;CHAR(34)&amp;", "&amp;CHAR(34)&amp;"criterionId"&amp;CHAR(34)&amp;": "&amp;CHAR(34)&amp;SUBSTITUTE(CriteriTecnici!$D1654,CHAR(34),"'")&amp;CHAR(34)&amp;", "&amp;CHAR(34)&amp;"kind"&amp;CHAR(34)&amp;": "&amp;CHAR(34)&amp;SUBSTITUTE(CriteriTecnici!$F1654,CHAR(34),"'")&amp;CHAR(34)&amp;", "&amp;CHAR(34)&amp;"value"&amp;CHAR(34)&amp;": "&amp;SUBSTITUTE(TRIM(ROUND(IFERROR(CriteriTecnici!$N1654*1,IFERROR(NUMBERVALUE(CriteriTecnici!$N1654,".",","),IFERROR(NUMBERVALUE(CriteriTecnici!$N1654,",","."),0))),4)&amp;""),",",".")&amp;", "&amp;CHAR(34)&amp;"numerator"&amp;CHAR(34)&amp;": "&amp;SUBSTITUTE(TRIM(ROUND(IFERROR(CriteriTecnici!$K1654*1,IFERROR(NUMBERVALUE(CriteriTecnici!$K1654,".",","),IFERROR(NUMBERVALUE(CriteriTecnici!$K1654,",","."),0))),4)&amp;""),",",".")&amp;", "&amp;CHAR(34)&amp;"denominator"&amp;CHAR(34)&amp;": "&amp;SUBSTITUTE(TRIM(ROUND(IFERROR(CriteriTecnici!$L1654*1,IFERROR(NUMBERVALUE(CriteriTecnici!$L1654,".",","),IFERROR(NUMBERVALUE(CriteriTecnici!$L1654,",","."),0))),4)&amp;""),",",".")&amp;", "&amp;CHAR(34)&amp;"flag"&amp;CHAR(34)&amp;": "&amp;SUBSTITUTE(TRIM(ROUND(IFERROR(CriteriTecnici!$M1654*1,IFERROR(NUMBERVALUE(CriteriTecnici!$M1654,".",","),IFERROR(NUMBERVALUE(CriteriTecnici!$M1654,",","."),0))),4)&amp;""),",",".")&amp;", "&amp;CHAR(34)&amp;"rawScore"&amp;CHAR(34)&amp;": "&amp;SUBSTITUTE(TRIM(ROUND(IFERROR(CriteriTecnici!$O1654*1,IFERROR(NUMBERVALUE(CriteriTecnici!$O1654,".",","),IFERROR(NUMBERVALUE(CriteriTecnici!$O1654,",","."),0))),4)&amp;""),",",".")&amp;CHAR(125)&amp;IF(TRUE,",",""))</f>
        <v/>
      </c>
    </row>
    <row r="1756">
      <c r="A1756" s="82">
        <f>IF(CriteriTecnici!$A1655="","","    "&amp;CHAR(123)&amp;CHAR(34)&amp;"bidderId"&amp;CHAR(34)&amp;": "&amp;CHAR(34)&amp;SUBSTITUTE(CriteriTecnici!$A1655,CHAR(34),"'")&amp;CHAR(34)&amp;", "&amp;CHAR(34)&amp;"lotId"&amp;CHAR(34)&amp;": "&amp;CHAR(34)&amp;SUBSTITUTE(CriteriTecnici!$C1655,CHAR(34),"'")&amp;CHAR(34)&amp;", "&amp;CHAR(34)&amp;"criterionId"&amp;CHAR(34)&amp;": "&amp;CHAR(34)&amp;SUBSTITUTE(CriteriTecnici!$D1655,CHAR(34),"'")&amp;CHAR(34)&amp;", "&amp;CHAR(34)&amp;"kind"&amp;CHAR(34)&amp;": "&amp;CHAR(34)&amp;SUBSTITUTE(CriteriTecnici!$F1655,CHAR(34),"'")&amp;CHAR(34)&amp;", "&amp;CHAR(34)&amp;"value"&amp;CHAR(34)&amp;": "&amp;SUBSTITUTE(TRIM(ROUND(IFERROR(CriteriTecnici!$N1655*1,IFERROR(NUMBERVALUE(CriteriTecnici!$N1655,".",","),IFERROR(NUMBERVALUE(CriteriTecnici!$N1655,",","."),0))),4)&amp;""),",",".")&amp;", "&amp;CHAR(34)&amp;"numerator"&amp;CHAR(34)&amp;": "&amp;SUBSTITUTE(TRIM(ROUND(IFERROR(CriteriTecnici!$K1655*1,IFERROR(NUMBERVALUE(CriteriTecnici!$K1655,".",","),IFERROR(NUMBERVALUE(CriteriTecnici!$K1655,",","."),0))),4)&amp;""),",",".")&amp;", "&amp;CHAR(34)&amp;"denominator"&amp;CHAR(34)&amp;": "&amp;SUBSTITUTE(TRIM(ROUND(IFERROR(CriteriTecnici!$L1655*1,IFERROR(NUMBERVALUE(CriteriTecnici!$L1655,".",","),IFERROR(NUMBERVALUE(CriteriTecnici!$L1655,",","."),0))),4)&amp;""),",",".")&amp;", "&amp;CHAR(34)&amp;"flag"&amp;CHAR(34)&amp;": "&amp;SUBSTITUTE(TRIM(ROUND(IFERROR(CriteriTecnici!$M1655*1,IFERROR(NUMBERVALUE(CriteriTecnici!$M1655,".",","),IFERROR(NUMBERVALUE(CriteriTecnici!$M1655,",","."),0))),4)&amp;""),",",".")&amp;", "&amp;CHAR(34)&amp;"rawScore"&amp;CHAR(34)&amp;": "&amp;SUBSTITUTE(TRIM(ROUND(IFERROR(CriteriTecnici!$O1655*1,IFERROR(NUMBERVALUE(CriteriTecnici!$O1655,".",","),IFERROR(NUMBERVALUE(CriteriTecnici!$O1655,",","."),0))),4)&amp;""),",",".")&amp;CHAR(125)&amp;IF(TRUE,",",""))</f>
        <v/>
      </c>
    </row>
    <row r="1757">
      <c r="A1757" s="82">
        <f>IF(CriteriTecnici!$A1656="","","    "&amp;CHAR(123)&amp;CHAR(34)&amp;"bidderId"&amp;CHAR(34)&amp;": "&amp;CHAR(34)&amp;SUBSTITUTE(CriteriTecnici!$A1656,CHAR(34),"'")&amp;CHAR(34)&amp;", "&amp;CHAR(34)&amp;"lotId"&amp;CHAR(34)&amp;": "&amp;CHAR(34)&amp;SUBSTITUTE(CriteriTecnici!$C1656,CHAR(34),"'")&amp;CHAR(34)&amp;", "&amp;CHAR(34)&amp;"criterionId"&amp;CHAR(34)&amp;": "&amp;CHAR(34)&amp;SUBSTITUTE(CriteriTecnici!$D1656,CHAR(34),"'")&amp;CHAR(34)&amp;", "&amp;CHAR(34)&amp;"kind"&amp;CHAR(34)&amp;": "&amp;CHAR(34)&amp;SUBSTITUTE(CriteriTecnici!$F1656,CHAR(34),"'")&amp;CHAR(34)&amp;", "&amp;CHAR(34)&amp;"value"&amp;CHAR(34)&amp;": "&amp;SUBSTITUTE(TRIM(ROUND(IFERROR(CriteriTecnici!$N1656*1,IFERROR(NUMBERVALUE(CriteriTecnici!$N1656,".",","),IFERROR(NUMBERVALUE(CriteriTecnici!$N1656,",","."),0))),4)&amp;""),",",".")&amp;", "&amp;CHAR(34)&amp;"numerator"&amp;CHAR(34)&amp;": "&amp;SUBSTITUTE(TRIM(ROUND(IFERROR(CriteriTecnici!$K1656*1,IFERROR(NUMBERVALUE(CriteriTecnici!$K1656,".",","),IFERROR(NUMBERVALUE(CriteriTecnici!$K1656,",","."),0))),4)&amp;""),",",".")&amp;", "&amp;CHAR(34)&amp;"denominator"&amp;CHAR(34)&amp;": "&amp;SUBSTITUTE(TRIM(ROUND(IFERROR(CriteriTecnici!$L1656*1,IFERROR(NUMBERVALUE(CriteriTecnici!$L1656,".",","),IFERROR(NUMBERVALUE(CriteriTecnici!$L1656,",","."),0))),4)&amp;""),",",".")&amp;", "&amp;CHAR(34)&amp;"flag"&amp;CHAR(34)&amp;": "&amp;SUBSTITUTE(TRIM(ROUND(IFERROR(CriteriTecnici!$M1656*1,IFERROR(NUMBERVALUE(CriteriTecnici!$M1656,".",","),IFERROR(NUMBERVALUE(CriteriTecnici!$M1656,",","."),0))),4)&amp;""),",",".")&amp;", "&amp;CHAR(34)&amp;"rawScore"&amp;CHAR(34)&amp;": "&amp;SUBSTITUTE(TRIM(ROUND(IFERROR(CriteriTecnici!$O1656*1,IFERROR(NUMBERVALUE(CriteriTecnici!$O1656,".",","),IFERROR(NUMBERVALUE(CriteriTecnici!$O1656,",","."),0))),4)&amp;""),",",".")&amp;CHAR(125)&amp;IF(TRUE,",",""))</f>
        <v/>
      </c>
    </row>
    <row r="1758">
      <c r="A1758" s="82">
        <f>IF(CriteriTecnici!$A1657="","","    "&amp;CHAR(123)&amp;CHAR(34)&amp;"bidderId"&amp;CHAR(34)&amp;": "&amp;CHAR(34)&amp;SUBSTITUTE(CriteriTecnici!$A1657,CHAR(34),"'")&amp;CHAR(34)&amp;", "&amp;CHAR(34)&amp;"lotId"&amp;CHAR(34)&amp;": "&amp;CHAR(34)&amp;SUBSTITUTE(CriteriTecnici!$C1657,CHAR(34),"'")&amp;CHAR(34)&amp;", "&amp;CHAR(34)&amp;"criterionId"&amp;CHAR(34)&amp;": "&amp;CHAR(34)&amp;SUBSTITUTE(CriteriTecnici!$D1657,CHAR(34),"'")&amp;CHAR(34)&amp;", "&amp;CHAR(34)&amp;"kind"&amp;CHAR(34)&amp;": "&amp;CHAR(34)&amp;SUBSTITUTE(CriteriTecnici!$F1657,CHAR(34),"'")&amp;CHAR(34)&amp;", "&amp;CHAR(34)&amp;"value"&amp;CHAR(34)&amp;": "&amp;SUBSTITUTE(TRIM(ROUND(IFERROR(CriteriTecnici!$N1657*1,IFERROR(NUMBERVALUE(CriteriTecnici!$N1657,".",","),IFERROR(NUMBERVALUE(CriteriTecnici!$N1657,",","."),0))),4)&amp;""),",",".")&amp;", "&amp;CHAR(34)&amp;"numerator"&amp;CHAR(34)&amp;": "&amp;SUBSTITUTE(TRIM(ROUND(IFERROR(CriteriTecnici!$K1657*1,IFERROR(NUMBERVALUE(CriteriTecnici!$K1657,".",","),IFERROR(NUMBERVALUE(CriteriTecnici!$K1657,",","."),0))),4)&amp;""),",",".")&amp;", "&amp;CHAR(34)&amp;"denominator"&amp;CHAR(34)&amp;": "&amp;SUBSTITUTE(TRIM(ROUND(IFERROR(CriteriTecnici!$L1657*1,IFERROR(NUMBERVALUE(CriteriTecnici!$L1657,".",","),IFERROR(NUMBERVALUE(CriteriTecnici!$L1657,",","."),0))),4)&amp;""),",",".")&amp;", "&amp;CHAR(34)&amp;"flag"&amp;CHAR(34)&amp;": "&amp;SUBSTITUTE(TRIM(ROUND(IFERROR(CriteriTecnici!$M1657*1,IFERROR(NUMBERVALUE(CriteriTecnici!$M1657,".",","),IFERROR(NUMBERVALUE(CriteriTecnici!$M1657,",","."),0))),4)&amp;""),",",".")&amp;", "&amp;CHAR(34)&amp;"rawScore"&amp;CHAR(34)&amp;": "&amp;SUBSTITUTE(TRIM(ROUND(IFERROR(CriteriTecnici!$O1657*1,IFERROR(NUMBERVALUE(CriteriTecnici!$O1657,".",","),IFERROR(NUMBERVALUE(CriteriTecnici!$O1657,",","."),0))),4)&amp;""),",",".")&amp;CHAR(125)&amp;IF(TRUE,",",""))</f>
        <v/>
      </c>
    </row>
    <row r="1759">
      <c r="A1759" s="82">
        <f>IF(CriteriTecnici!$A1658="","","    "&amp;CHAR(123)&amp;CHAR(34)&amp;"bidderId"&amp;CHAR(34)&amp;": "&amp;CHAR(34)&amp;SUBSTITUTE(CriteriTecnici!$A1658,CHAR(34),"'")&amp;CHAR(34)&amp;", "&amp;CHAR(34)&amp;"lotId"&amp;CHAR(34)&amp;": "&amp;CHAR(34)&amp;SUBSTITUTE(CriteriTecnici!$C1658,CHAR(34),"'")&amp;CHAR(34)&amp;", "&amp;CHAR(34)&amp;"criterionId"&amp;CHAR(34)&amp;": "&amp;CHAR(34)&amp;SUBSTITUTE(CriteriTecnici!$D1658,CHAR(34),"'")&amp;CHAR(34)&amp;", "&amp;CHAR(34)&amp;"kind"&amp;CHAR(34)&amp;": "&amp;CHAR(34)&amp;SUBSTITUTE(CriteriTecnici!$F1658,CHAR(34),"'")&amp;CHAR(34)&amp;", "&amp;CHAR(34)&amp;"value"&amp;CHAR(34)&amp;": "&amp;SUBSTITUTE(TRIM(ROUND(IFERROR(CriteriTecnici!$N1658*1,IFERROR(NUMBERVALUE(CriteriTecnici!$N1658,".",","),IFERROR(NUMBERVALUE(CriteriTecnici!$N1658,",","."),0))),4)&amp;""),",",".")&amp;", "&amp;CHAR(34)&amp;"numerator"&amp;CHAR(34)&amp;": "&amp;SUBSTITUTE(TRIM(ROUND(IFERROR(CriteriTecnici!$K1658*1,IFERROR(NUMBERVALUE(CriteriTecnici!$K1658,".",","),IFERROR(NUMBERVALUE(CriteriTecnici!$K1658,",","."),0))),4)&amp;""),",",".")&amp;", "&amp;CHAR(34)&amp;"denominator"&amp;CHAR(34)&amp;": "&amp;SUBSTITUTE(TRIM(ROUND(IFERROR(CriteriTecnici!$L1658*1,IFERROR(NUMBERVALUE(CriteriTecnici!$L1658,".",","),IFERROR(NUMBERVALUE(CriteriTecnici!$L1658,",","."),0))),4)&amp;""),",",".")&amp;", "&amp;CHAR(34)&amp;"flag"&amp;CHAR(34)&amp;": "&amp;SUBSTITUTE(TRIM(ROUND(IFERROR(CriteriTecnici!$M1658*1,IFERROR(NUMBERVALUE(CriteriTecnici!$M1658,".",","),IFERROR(NUMBERVALUE(CriteriTecnici!$M1658,",","."),0))),4)&amp;""),",",".")&amp;", "&amp;CHAR(34)&amp;"rawScore"&amp;CHAR(34)&amp;": "&amp;SUBSTITUTE(TRIM(ROUND(IFERROR(CriteriTecnici!$O1658*1,IFERROR(NUMBERVALUE(CriteriTecnici!$O1658,".",","),IFERROR(NUMBERVALUE(CriteriTecnici!$O1658,",","."),0))),4)&amp;""),",",".")&amp;CHAR(125)&amp;IF(TRUE,",",""))</f>
        <v/>
      </c>
    </row>
    <row r="1760">
      <c r="A1760" s="82">
        <f>IF(CriteriTecnici!$A1659="","","    "&amp;CHAR(123)&amp;CHAR(34)&amp;"bidderId"&amp;CHAR(34)&amp;": "&amp;CHAR(34)&amp;SUBSTITUTE(CriteriTecnici!$A1659,CHAR(34),"'")&amp;CHAR(34)&amp;", "&amp;CHAR(34)&amp;"lotId"&amp;CHAR(34)&amp;": "&amp;CHAR(34)&amp;SUBSTITUTE(CriteriTecnici!$C1659,CHAR(34),"'")&amp;CHAR(34)&amp;", "&amp;CHAR(34)&amp;"criterionId"&amp;CHAR(34)&amp;": "&amp;CHAR(34)&amp;SUBSTITUTE(CriteriTecnici!$D1659,CHAR(34),"'")&amp;CHAR(34)&amp;", "&amp;CHAR(34)&amp;"kind"&amp;CHAR(34)&amp;": "&amp;CHAR(34)&amp;SUBSTITUTE(CriteriTecnici!$F1659,CHAR(34),"'")&amp;CHAR(34)&amp;", "&amp;CHAR(34)&amp;"value"&amp;CHAR(34)&amp;": "&amp;SUBSTITUTE(TRIM(ROUND(IFERROR(CriteriTecnici!$N1659*1,IFERROR(NUMBERVALUE(CriteriTecnici!$N1659,".",","),IFERROR(NUMBERVALUE(CriteriTecnici!$N1659,",","."),0))),4)&amp;""),",",".")&amp;", "&amp;CHAR(34)&amp;"numerator"&amp;CHAR(34)&amp;": "&amp;SUBSTITUTE(TRIM(ROUND(IFERROR(CriteriTecnici!$K1659*1,IFERROR(NUMBERVALUE(CriteriTecnici!$K1659,".",","),IFERROR(NUMBERVALUE(CriteriTecnici!$K1659,",","."),0))),4)&amp;""),",",".")&amp;", "&amp;CHAR(34)&amp;"denominator"&amp;CHAR(34)&amp;": "&amp;SUBSTITUTE(TRIM(ROUND(IFERROR(CriteriTecnici!$L1659*1,IFERROR(NUMBERVALUE(CriteriTecnici!$L1659,".",","),IFERROR(NUMBERVALUE(CriteriTecnici!$L1659,",","."),0))),4)&amp;""),",",".")&amp;", "&amp;CHAR(34)&amp;"flag"&amp;CHAR(34)&amp;": "&amp;SUBSTITUTE(TRIM(ROUND(IFERROR(CriteriTecnici!$M1659*1,IFERROR(NUMBERVALUE(CriteriTecnici!$M1659,".",","),IFERROR(NUMBERVALUE(CriteriTecnici!$M1659,",","."),0))),4)&amp;""),",",".")&amp;", "&amp;CHAR(34)&amp;"rawScore"&amp;CHAR(34)&amp;": "&amp;SUBSTITUTE(TRIM(ROUND(IFERROR(CriteriTecnici!$O1659*1,IFERROR(NUMBERVALUE(CriteriTecnici!$O1659,".",","),IFERROR(NUMBERVALUE(CriteriTecnici!$O1659,",","."),0))),4)&amp;""),",",".")&amp;CHAR(125)&amp;IF(TRUE,",",""))</f>
        <v/>
      </c>
    </row>
    <row r="1761">
      <c r="A1761" s="82">
        <f>IF(CriteriTecnici!$A1660="","","    "&amp;CHAR(123)&amp;CHAR(34)&amp;"bidderId"&amp;CHAR(34)&amp;": "&amp;CHAR(34)&amp;SUBSTITUTE(CriteriTecnici!$A1660,CHAR(34),"'")&amp;CHAR(34)&amp;", "&amp;CHAR(34)&amp;"lotId"&amp;CHAR(34)&amp;": "&amp;CHAR(34)&amp;SUBSTITUTE(CriteriTecnici!$C1660,CHAR(34),"'")&amp;CHAR(34)&amp;", "&amp;CHAR(34)&amp;"criterionId"&amp;CHAR(34)&amp;": "&amp;CHAR(34)&amp;SUBSTITUTE(CriteriTecnici!$D1660,CHAR(34),"'")&amp;CHAR(34)&amp;", "&amp;CHAR(34)&amp;"kind"&amp;CHAR(34)&amp;": "&amp;CHAR(34)&amp;SUBSTITUTE(CriteriTecnici!$F1660,CHAR(34),"'")&amp;CHAR(34)&amp;", "&amp;CHAR(34)&amp;"value"&amp;CHAR(34)&amp;": "&amp;SUBSTITUTE(TRIM(ROUND(IFERROR(CriteriTecnici!$N1660*1,IFERROR(NUMBERVALUE(CriteriTecnici!$N1660,".",","),IFERROR(NUMBERVALUE(CriteriTecnici!$N1660,",","."),0))),4)&amp;""),",",".")&amp;", "&amp;CHAR(34)&amp;"numerator"&amp;CHAR(34)&amp;": "&amp;SUBSTITUTE(TRIM(ROUND(IFERROR(CriteriTecnici!$K1660*1,IFERROR(NUMBERVALUE(CriteriTecnici!$K1660,".",","),IFERROR(NUMBERVALUE(CriteriTecnici!$K1660,",","."),0))),4)&amp;""),",",".")&amp;", "&amp;CHAR(34)&amp;"denominator"&amp;CHAR(34)&amp;": "&amp;SUBSTITUTE(TRIM(ROUND(IFERROR(CriteriTecnici!$L1660*1,IFERROR(NUMBERVALUE(CriteriTecnici!$L1660,".",","),IFERROR(NUMBERVALUE(CriteriTecnici!$L1660,",","."),0))),4)&amp;""),",",".")&amp;", "&amp;CHAR(34)&amp;"flag"&amp;CHAR(34)&amp;": "&amp;SUBSTITUTE(TRIM(ROUND(IFERROR(CriteriTecnici!$M1660*1,IFERROR(NUMBERVALUE(CriteriTecnici!$M1660,".",","),IFERROR(NUMBERVALUE(CriteriTecnici!$M1660,",","."),0))),4)&amp;""),",",".")&amp;", "&amp;CHAR(34)&amp;"rawScore"&amp;CHAR(34)&amp;": "&amp;SUBSTITUTE(TRIM(ROUND(IFERROR(CriteriTecnici!$O1660*1,IFERROR(NUMBERVALUE(CriteriTecnici!$O1660,".",","),IFERROR(NUMBERVALUE(CriteriTecnici!$O1660,",","."),0))),4)&amp;""),",",".")&amp;CHAR(125)&amp;IF(TRUE,",",""))</f>
        <v/>
      </c>
    </row>
    <row r="1762">
      <c r="A1762" s="82">
        <f>IF(CriteriTecnici!$A1661="","","    "&amp;CHAR(123)&amp;CHAR(34)&amp;"bidderId"&amp;CHAR(34)&amp;": "&amp;CHAR(34)&amp;SUBSTITUTE(CriteriTecnici!$A1661,CHAR(34),"'")&amp;CHAR(34)&amp;", "&amp;CHAR(34)&amp;"lotId"&amp;CHAR(34)&amp;": "&amp;CHAR(34)&amp;SUBSTITUTE(CriteriTecnici!$C1661,CHAR(34),"'")&amp;CHAR(34)&amp;", "&amp;CHAR(34)&amp;"criterionId"&amp;CHAR(34)&amp;": "&amp;CHAR(34)&amp;SUBSTITUTE(CriteriTecnici!$D1661,CHAR(34),"'")&amp;CHAR(34)&amp;", "&amp;CHAR(34)&amp;"kind"&amp;CHAR(34)&amp;": "&amp;CHAR(34)&amp;SUBSTITUTE(CriteriTecnici!$F1661,CHAR(34),"'")&amp;CHAR(34)&amp;", "&amp;CHAR(34)&amp;"value"&amp;CHAR(34)&amp;": "&amp;SUBSTITUTE(TRIM(ROUND(IFERROR(CriteriTecnici!$N1661*1,IFERROR(NUMBERVALUE(CriteriTecnici!$N1661,".",","),IFERROR(NUMBERVALUE(CriteriTecnici!$N1661,",","."),0))),4)&amp;""),",",".")&amp;", "&amp;CHAR(34)&amp;"numerator"&amp;CHAR(34)&amp;": "&amp;SUBSTITUTE(TRIM(ROUND(IFERROR(CriteriTecnici!$K1661*1,IFERROR(NUMBERVALUE(CriteriTecnici!$K1661,".",","),IFERROR(NUMBERVALUE(CriteriTecnici!$K1661,",","."),0))),4)&amp;""),",",".")&amp;", "&amp;CHAR(34)&amp;"denominator"&amp;CHAR(34)&amp;": "&amp;SUBSTITUTE(TRIM(ROUND(IFERROR(CriteriTecnici!$L1661*1,IFERROR(NUMBERVALUE(CriteriTecnici!$L1661,".",","),IFERROR(NUMBERVALUE(CriteriTecnici!$L1661,",","."),0))),4)&amp;""),",",".")&amp;", "&amp;CHAR(34)&amp;"flag"&amp;CHAR(34)&amp;": "&amp;SUBSTITUTE(TRIM(ROUND(IFERROR(CriteriTecnici!$M1661*1,IFERROR(NUMBERVALUE(CriteriTecnici!$M1661,".",","),IFERROR(NUMBERVALUE(CriteriTecnici!$M1661,",","."),0))),4)&amp;""),",",".")&amp;", "&amp;CHAR(34)&amp;"rawScore"&amp;CHAR(34)&amp;": "&amp;SUBSTITUTE(TRIM(ROUND(IFERROR(CriteriTecnici!$O1661*1,IFERROR(NUMBERVALUE(CriteriTecnici!$O1661,".",","),IFERROR(NUMBERVALUE(CriteriTecnici!$O1661,",","."),0))),4)&amp;""),",",".")&amp;CHAR(125)&amp;IF(TRUE,",",""))</f>
        <v/>
      </c>
    </row>
    <row r="1763">
      <c r="A1763" s="82">
        <f>IF(CriteriTecnici!$A1662="","","    "&amp;CHAR(123)&amp;CHAR(34)&amp;"bidderId"&amp;CHAR(34)&amp;": "&amp;CHAR(34)&amp;SUBSTITUTE(CriteriTecnici!$A1662,CHAR(34),"'")&amp;CHAR(34)&amp;", "&amp;CHAR(34)&amp;"lotId"&amp;CHAR(34)&amp;": "&amp;CHAR(34)&amp;SUBSTITUTE(CriteriTecnici!$C1662,CHAR(34),"'")&amp;CHAR(34)&amp;", "&amp;CHAR(34)&amp;"criterionId"&amp;CHAR(34)&amp;": "&amp;CHAR(34)&amp;SUBSTITUTE(CriteriTecnici!$D1662,CHAR(34),"'")&amp;CHAR(34)&amp;", "&amp;CHAR(34)&amp;"kind"&amp;CHAR(34)&amp;": "&amp;CHAR(34)&amp;SUBSTITUTE(CriteriTecnici!$F1662,CHAR(34),"'")&amp;CHAR(34)&amp;", "&amp;CHAR(34)&amp;"value"&amp;CHAR(34)&amp;": "&amp;SUBSTITUTE(TRIM(ROUND(IFERROR(CriteriTecnici!$N1662*1,IFERROR(NUMBERVALUE(CriteriTecnici!$N1662,".",","),IFERROR(NUMBERVALUE(CriteriTecnici!$N1662,",","."),0))),4)&amp;""),",",".")&amp;", "&amp;CHAR(34)&amp;"numerator"&amp;CHAR(34)&amp;": "&amp;SUBSTITUTE(TRIM(ROUND(IFERROR(CriteriTecnici!$K1662*1,IFERROR(NUMBERVALUE(CriteriTecnici!$K1662,".",","),IFERROR(NUMBERVALUE(CriteriTecnici!$K1662,",","."),0))),4)&amp;""),",",".")&amp;", "&amp;CHAR(34)&amp;"denominator"&amp;CHAR(34)&amp;": "&amp;SUBSTITUTE(TRIM(ROUND(IFERROR(CriteriTecnici!$L1662*1,IFERROR(NUMBERVALUE(CriteriTecnici!$L1662,".",","),IFERROR(NUMBERVALUE(CriteriTecnici!$L1662,",","."),0))),4)&amp;""),",",".")&amp;", "&amp;CHAR(34)&amp;"flag"&amp;CHAR(34)&amp;": "&amp;SUBSTITUTE(TRIM(ROUND(IFERROR(CriteriTecnici!$M1662*1,IFERROR(NUMBERVALUE(CriteriTecnici!$M1662,".",","),IFERROR(NUMBERVALUE(CriteriTecnici!$M1662,",","."),0))),4)&amp;""),",",".")&amp;", "&amp;CHAR(34)&amp;"rawScore"&amp;CHAR(34)&amp;": "&amp;SUBSTITUTE(TRIM(ROUND(IFERROR(CriteriTecnici!$O1662*1,IFERROR(NUMBERVALUE(CriteriTecnici!$O1662,".",","),IFERROR(NUMBERVALUE(CriteriTecnici!$O1662,",","."),0))),4)&amp;""),",",".")&amp;CHAR(125)&amp;IF(TRUE,",",""))</f>
        <v/>
      </c>
    </row>
    <row r="1764">
      <c r="A1764" s="82">
        <f>IF(CriteriTecnici!$A1663="","","    "&amp;CHAR(123)&amp;CHAR(34)&amp;"bidderId"&amp;CHAR(34)&amp;": "&amp;CHAR(34)&amp;SUBSTITUTE(CriteriTecnici!$A1663,CHAR(34),"'")&amp;CHAR(34)&amp;", "&amp;CHAR(34)&amp;"lotId"&amp;CHAR(34)&amp;": "&amp;CHAR(34)&amp;SUBSTITUTE(CriteriTecnici!$C1663,CHAR(34),"'")&amp;CHAR(34)&amp;", "&amp;CHAR(34)&amp;"criterionId"&amp;CHAR(34)&amp;": "&amp;CHAR(34)&amp;SUBSTITUTE(CriteriTecnici!$D1663,CHAR(34),"'")&amp;CHAR(34)&amp;", "&amp;CHAR(34)&amp;"kind"&amp;CHAR(34)&amp;": "&amp;CHAR(34)&amp;SUBSTITUTE(CriteriTecnici!$F1663,CHAR(34),"'")&amp;CHAR(34)&amp;", "&amp;CHAR(34)&amp;"value"&amp;CHAR(34)&amp;": "&amp;SUBSTITUTE(TRIM(ROUND(IFERROR(CriteriTecnici!$N1663*1,IFERROR(NUMBERVALUE(CriteriTecnici!$N1663,".",","),IFERROR(NUMBERVALUE(CriteriTecnici!$N1663,",","."),0))),4)&amp;""),",",".")&amp;", "&amp;CHAR(34)&amp;"numerator"&amp;CHAR(34)&amp;": "&amp;SUBSTITUTE(TRIM(ROUND(IFERROR(CriteriTecnici!$K1663*1,IFERROR(NUMBERVALUE(CriteriTecnici!$K1663,".",","),IFERROR(NUMBERVALUE(CriteriTecnici!$K1663,",","."),0))),4)&amp;""),",",".")&amp;", "&amp;CHAR(34)&amp;"denominator"&amp;CHAR(34)&amp;": "&amp;SUBSTITUTE(TRIM(ROUND(IFERROR(CriteriTecnici!$L1663*1,IFERROR(NUMBERVALUE(CriteriTecnici!$L1663,".",","),IFERROR(NUMBERVALUE(CriteriTecnici!$L1663,",","."),0))),4)&amp;""),",",".")&amp;", "&amp;CHAR(34)&amp;"flag"&amp;CHAR(34)&amp;": "&amp;SUBSTITUTE(TRIM(ROUND(IFERROR(CriteriTecnici!$M1663*1,IFERROR(NUMBERVALUE(CriteriTecnici!$M1663,".",","),IFERROR(NUMBERVALUE(CriteriTecnici!$M1663,",","."),0))),4)&amp;""),",",".")&amp;", "&amp;CHAR(34)&amp;"rawScore"&amp;CHAR(34)&amp;": "&amp;SUBSTITUTE(TRIM(ROUND(IFERROR(CriteriTecnici!$O1663*1,IFERROR(NUMBERVALUE(CriteriTecnici!$O1663,".",","),IFERROR(NUMBERVALUE(CriteriTecnici!$O1663,",","."),0))),4)&amp;""),",",".")&amp;CHAR(125)&amp;IF(TRUE,",",""))</f>
        <v/>
      </c>
    </row>
    <row r="1765">
      <c r="A1765" s="82">
        <f>IF(CriteriTecnici!$A1664="","","    "&amp;CHAR(123)&amp;CHAR(34)&amp;"bidderId"&amp;CHAR(34)&amp;": "&amp;CHAR(34)&amp;SUBSTITUTE(CriteriTecnici!$A1664,CHAR(34),"'")&amp;CHAR(34)&amp;", "&amp;CHAR(34)&amp;"lotId"&amp;CHAR(34)&amp;": "&amp;CHAR(34)&amp;SUBSTITUTE(CriteriTecnici!$C1664,CHAR(34),"'")&amp;CHAR(34)&amp;", "&amp;CHAR(34)&amp;"criterionId"&amp;CHAR(34)&amp;": "&amp;CHAR(34)&amp;SUBSTITUTE(CriteriTecnici!$D1664,CHAR(34),"'")&amp;CHAR(34)&amp;", "&amp;CHAR(34)&amp;"kind"&amp;CHAR(34)&amp;": "&amp;CHAR(34)&amp;SUBSTITUTE(CriteriTecnici!$F1664,CHAR(34),"'")&amp;CHAR(34)&amp;", "&amp;CHAR(34)&amp;"value"&amp;CHAR(34)&amp;": "&amp;SUBSTITUTE(TRIM(ROUND(IFERROR(CriteriTecnici!$N1664*1,IFERROR(NUMBERVALUE(CriteriTecnici!$N1664,".",","),IFERROR(NUMBERVALUE(CriteriTecnici!$N1664,",","."),0))),4)&amp;""),",",".")&amp;", "&amp;CHAR(34)&amp;"numerator"&amp;CHAR(34)&amp;": "&amp;SUBSTITUTE(TRIM(ROUND(IFERROR(CriteriTecnici!$K1664*1,IFERROR(NUMBERVALUE(CriteriTecnici!$K1664,".",","),IFERROR(NUMBERVALUE(CriteriTecnici!$K1664,",","."),0))),4)&amp;""),",",".")&amp;", "&amp;CHAR(34)&amp;"denominator"&amp;CHAR(34)&amp;": "&amp;SUBSTITUTE(TRIM(ROUND(IFERROR(CriteriTecnici!$L1664*1,IFERROR(NUMBERVALUE(CriteriTecnici!$L1664,".",","),IFERROR(NUMBERVALUE(CriteriTecnici!$L1664,",","."),0))),4)&amp;""),",",".")&amp;", "&amp;CHAR(34)&amp;"flag"&amp;CHAR(34)&amp;": "&amp;SUBSTITUTE(TRIM(ROUND(IFERROR(CriteriTecnici!$M1664*1,IFERROR(NUMBERVALUE(CriteriTecnici!$M1664,".",","),IFERROR(NUMBERVALUE(CriteriTecnici!$M1664,",","."),0))),4)&amp;""),",",".")&amp;", "&amp;CHAR(34)&amp;"rawScore"&amp;CHAR(34)&amp;": "&amp;SUBSTITUTE(TRIM(ROUND(IFERROR(CriteriTecnici!$O1664*1,IFERROR(NUMBERVALUE(CriteriTecnici!$O1664,".",","),IFERROR(NUMBERVALUE(CriteriTecnici!$O1664,",","."),0))),4)&amp;""),",",".")&amp;CHAR(125)&amp;IF(TRUE,",",""))</f>
        <v/>
      </c>
    </row>
    <row r="1766">
      <c r="A1766" s="82">
        <f>IF(CriteriTecnici!$A1665="","","    "&amp;CHAR(123)&amp;CHAR(34)&amp;"bidderId"&amp;CHAR(34)&amp;": "&amp;CHAR(34)&amp;SUBSTITUTE(CriteriTecnici!$A1665,CHAR(34),"'")&amp;CHAR(34)&amp;", "&amp;CHAR(34)&amp;"lotId"&amp;CHAR(34)&amp;": "&amp;CHAR(34)&amp;SUBSTITUTE(CriteriTecnici!$C1665,CHAR(34),"'")&amp;CHAR(34)&amp;", "&amp;CHAR(34)&amp;"criterionId"&amp;CHAR(34)&amp;": "&amp;CHAR(34)&amp;SUBSTITUTE(CriteriTecnici!$D1665,CHAR(34),"'")&amp;CHAR(34)&amp;", "&amp;CHAR(34)&amp;"kind"&amp;CHAR(34)&amp;": "&amp;CHAR(34)&amp;SUBSTITUTE(CriteriTecnici!$F1665,CHAR(34),"'")&amp;CHAR(34)&amp;", "&amp;CHAR(34)&amp;"value"&amp;CHAR(34)&amp;": "&amp;SUBSTITUTE(TRIM(ROUND(IFERROR(CriteriTecnici!$N1665*1,IFERROR(NUMBERVALUE(CriteriTecnici!$N1665,".",","),IFERROR(NUMBERVALUE(CriteriTecnici!$N1665,",","."),0))),4)&amp;""),",",".")&amp;", "&amp;CHAR(34)&amp;"numerator"&amp;CHAR(34)&amp;": "&amp;SUBSTITUTE(TRIM(ROUND(IFERROR(CriteriTecnici!$K1665*1,IFERROR(NUMBERVALUE(CriteriTecnici!$K1665,".",","),IFERROR(NUMBERVALUE(CriteriTecnici!$K1665,",","."),0))),4)&amp;""),",",".")&amp;", "&amp;CHAR(34)&amp;"denominator"&amp;CHAR(34)&amp;": "&amp;SUBSTITUTE(TRIM(ROUND(IFERROR(CriteriTecnici!$L1665*1,IFERROR(NUMBERVALUE(CriteriTecnici!$L1665,".",","),IFERROR(NUMBERVALUE(CriteriTecnici!$L1665,",","."),0))),4)&amp;""),",",".")&amp;", "&amp;CHAR(34)&amp;"flag"&amp;CHAR(34)&amp;": "&amp;SUBSTITUTE(TRIM(ROUND(IFERROR(CriteriTecnici!$M1665*1,IFERROR(NUMBERVALUE(CriteriTecnici!$M1665,".",","),IFERROR(NUMBERVALUE(CriteriTecnici!$M1665,",","."),0))),4)&amp;""),",",".")&amp;", "&amp;CHAR(34)&amp;"rawScore"&amp;CHAR(34)&amp;": "&amp;SUBSTITUTE(TRIM(ROUND(IFERROR(CriteriTecnici!$O1665*1,IFERROR(NUMBERVALUE(CriteriTecnici!$O1665,".",","),IFERROR(NUMBERVALUE(CriteriTecnici!$O1665,",","."),0))),4)&amp;""),",",".")&amp;CHAR(125)&amp;IF(TRUE,",",""))</f>
        <v/>
      </c>
    </row>
    <row r="1767">
      <c r="A1767" s="82">
        <f>IF(CriteriTecnici!$A1666="","","    "&amp;CHAR(123)&amp;CHAR(34)&amp;"bidderId"&amp;CHAR(34)&amp;": "&amp;CHAR(34)&amp;SUBSTITUTE(CriteriTecnici!$A1666,CHAR(34),"'")&amp;CHAR(34)&amp;", "&amp;CHAR(34)&amp;"lotId"&amp;CHAR(34)&amp;": "&amp;CHAR(34)&amp;SUBSTITUTE(CriteriTecnici!$C1666,CHAR(34),"'")&amp;CHAR(34)&amp;", "&amp;CHAR(34)&amp;"criterionId"&amp;CHAR(34)&amp;": "&amp;CHAR(34)&amp;SUBSTITUTE(CriteriTecnici!$D1666,CHAR(34),"'")&amp;CHAR(34)&amp;", "&amp;CHAR(34)&amp;"kind"&amp;CHAR(34)&amp;": "&amp;CHAR(34)&amp;SUBSTITUTE(CriteriTecnici!$F1666,CHAR(34),"'")&amp;CHAR(34)&amp;", "&amp;CHAR(34)&amp;"value"&amp;CHAR(34)&amp;": "&amp;SUBSTITUTE(TRIM(ROUND(IFERROR(CriteriTecnici!$N1666*1,IFERROR(NUMBERVALUE(CriteriTecnici!$N1666,".",","),IFERROR(NUMBERVALUE(CriteriTecnici!$N1666,",","."),0))),4)&amp;""),",",".")&amp;", "&amp;CHAR(34)&amp;"numerator"&amp;CHAR(34)&amp;": "&amp;SUBSTITUTE(TRIM(ROUND(IFERROR(CriteriTecnici!$K1666*1,IFERROR(NUMBERVALUE(CriteriTecnici!$K1666,".",","),IFERROR(NUMBERVALUE(CriteriTecnici!$K1666,",","."),0))),4)&amp;""),",",".")&amp;", "&amp;CHAR(34)&amp;"denominator"&amp;CHAR(34)&amp;": "&amp;SUBSTITUTE(TRIM(ROUND(IFERROR(CriteriTecnici!$L1666*1,IFERROR(NUMBERVALUE(CriteriTecnici!$L1666,".",","),IFERROR(NUMBERVALUE(CriteriTecnici!$L1666,",","."),0))),4)&amp;""),",",".")&amp;", "&amp;CHAR(34)&amp;"flag"&amp;CHAR(34)&amp;": "&amp;SUBSTITUTE(TRIM(ROUND(IFERROR(CriteriTecnici!$M1666*1,IFERROR(NUMBERVALUE(CriteriTecnici!$M1666,".",","),IFERROR(NUMBERVALUE(CriteriTecnici!$M1666,",","."),0))),4)&amp;""),",",".")&amp;", "&amp;CHAR(34)&amp;"rawScore"&amp;CHAR(34)&amp;": "&amp;SUBSTITUTE(TRIM(ROUND(IFERROR(CriteriTecnici!$O1666*1,IFERROR(NUMBERVALUE(CriteriTecnici!$O1666,".",","),IFERROR(NUMBERVALUE(CriteriTecnici!$O1666,",","."),0))),4)&amp;""),",",".")&amp;CHAR(125)&amp;IF(TRUE,",",""))</f>
        <v/>
      </c>
    </row>
    <row r="1768">
      <c r="A1768" s="82">
        <f>IF(CriteriTecnici!$A1667="","","    "&amp;CHAR(123)&amp;CHAR(34)&amp;"bidderId"&amp;CHAR(34)&amp;": "&amp;CHAR(34)&amp;SUBSTITUTE(CriteriTecnici!$A1667,CHAR(34),"'")&amp;CHAR(34)&amp;", "&amp;CHAR(34)&amp;"lotId"&amp;CHAR(34)&amp;": "&amp;CHAR(34)&amp;SUBSTITUTE(CriteriTecnici!$C1667,CHAR(34),"'")&amp;CHAR(34)&amp;", "&amp;CHAR(34)&amp;"criterionId"&amp;CHAR(34)&amp;": "&amp;CHAR(34)&amp;SUBSTITUTE(CriteriTecnici!$D1667,CHAR(34),"'")&amp;CHAR(34)&amp;", "&amp;CHAR(34)&amp;"kind"&amp;CHAR(34)&amp;": "&amp;CHAR(34)&amp;SUBSTITUTE(CriteriTecnici!$F1667,CHAR(34),"'")&amp;CHAR(34)&amp;", "&amp;CHAR(34)&amp;"value"&amp;CHAR(34)&amp;": "&amp;SUBSTITUTE(TRIM(ROUND(IFERROR(CriteriTecnici!$N1667*1,IFERROR(NUMBERVALUE(CriteriTecnici!$N1667,".",","),IFERROR(NUMBERVALUE(CriteriTecnici!$N1667,",","."),0))),4)&amp;""),",",".")&amp;", "&amp;CHAR(34)&amp;"numerator"&amp;CHAR(34)&amp;": "&amp;SUBSTITUTE(TRIM(ROUND(IFERROR(CriteriTecnici!$K1667*1,IFERROR(NUMBERVALUE(CriteriTecnici!$K1667,".",","),IFERROR(NUMBERVALUE(CriteriTecnici!$K1667,",","."),0))),4)&amp;""),",",".")&amp;", "&amp;CHAR(34)&amp;"denominator"&amp;CHAR(34)&amp;": "&amp;SUBSTITUTE(TRIM(ROUND(IFERROR(CriteriTecnici!$L1667*1,IFERROR(NUMBERVALUE(CriteriTecnici!$L1667,".",","),IFERROR(NUMBERVALUE(CriteriTecnici!$L1667,",","."),0))),4)&amp;""),",",".")&amp;", "&amp;CHAR(34)&amp;"flag"&amp;CHAR(34)&amp;": "&amp;SUBSTITUTE(TRIM(ROUND(IFERROR(CriteriTecnici!$M1667*1,IFERROR(NUMBERVALUE(CriteriTecnici!$M1667,".",","),IFERROR(NUMBERVALUE(CriteriTecnici!$M1667,",","."),0))),4)&amp;""),",",".")&amp;", "&amp;CHAR(34)&amp;"rawScore"&amp;CHAR(34)&amp;": "&amp;SUBSTITUTE(TRIM(ROUND(IFERROR(CriteriTecnici!$O1667*1,IFERROR(NUMBERVALUE(CriteriTecnici!$O1667,".",","),IFERROR(NUMBERVALUE(CriteriTecnici!$O1667,",","."),0))),4)&amp;""),",",".")&amp;CHAR(125)&amp;IF(TRUE,",",""))</f>
        <v/>
      </c>
    </row>
    <row r="1769">
      <c r="A1769" s="82">
        <f>IF(CriteriTecnici!$A1668="","","    "&amp;CHAR(123)&amp;CHAR(34)&amp;"bidderId"&amp;CHAR(34)&amp;": "&amp;CHAR(34)&amp;SUBSTITUTE(CriteriTecnici!$A1668,CHAR(34),"'")&amp;CHAR(34)&amp;", "&amp;CHAR(34)&amp;"lotId"&amp;CHAR(34)&amp;": "&amp;CHAR(34)&amp;SUBSTITUTE(CriteriTecnici!$C1668,CHAR(34),"'")&amp;CHAR(34)&amp;", "&amp;CHAR(34)&amp;"criterionId"&amp;CHAR(34)&amp;": "&amp;CHAR(34)&amp;SUBSTITUTE(CriteriTecnici!$D1668,CHAR(34),"'")&amp;CHAR(34)&amp;", "&amp;CHAR(34)&amp;"kind"&amp;CHAR(34)&amp;": "&amp;CHAR(34)&amp;SUBSTITUTE(CriteriTecnici!$F1668,CHAR(34),"'")&amp;CHAR(34)&amp;", "&amp;CHAR(34)&amp;"value"&amp;CHAR(34)&amp;": "&amp;SUBSTITUTE(TRIM(ROUND(IFERROR(CriteriTecnici!$N1668*1,IFERROR(NUMBERVALUE(CriteriTecnici!$N1668,".",","),IFERROR(NUMBERVALUE(CriteriTecnici!$N1668,",","."),0))),4)&amp;""),",",".")&amp;", "&amp;CHAR(34)&amp;"numerator"&amp;CHAR(34)&amp;": "&amp;SUBSTITUTE(TRIM(ROUND(IFERROR(CriteriTecnici!$K1668*1,IFERROR(NUMBERVALUE(CriteriTecnici!$K1668,".",","),IFERROR(NUMBERVALUE(CriteriTecnici!$K1668,",","."),0))),4)&amp;""),",",".")&amp;", "&amp;CHAR(34)&amp;"denominator"&amp;CHAR(34)&amp;": "&amp;SUBSTITUTE(TRIM(ROUND(IFERROR(CriteriTecnici!$L1668*1,IFERROR(NUMBERVALUE(CriteriTecnici!$L1668,".",","),IFERROR(NUMBERVALUE(CriteriTecnici!$L1668,",","."),0))),4)&amp;""),",",".")&amp;", "&amp;CHAR(34)&amp;"flag"&amp;CHAR(34)&amp;": "&amp;SUBSTITUTE(TRIM(ROUND(IFERROR(CriteriTecnici!$M1668*1,IFERROR(NUMBERVALUE(CriteriTecnici!$M1668,".",","),IFERROR(NUMBERVALUE(CriteriTecnici!$M1668,",","."),0))),4)&amp;""),",",".")&amp;", "&amp;CHAR(34)&amp;"rawScore"&amp;CHAR(34)&amp;": "&amp;SUBSTITUTE(TRIM(ROUND(IFERROR(CriteriTecnici!$O1668*1,IFERROR(NUMBERVALUE(CriteriTecnici!$O1668,".",","),IFERROR(NUMBERVALUE(CriteriTecnici!$O1668,",","."),0))),4)&amp;""),",",".")&amp;CHAR(125)&amp;IF(TRUE,",",""))</f>
        <v/>
      </c>
    </row>
    <row r="1770">
      <c r="A1770" s="82">
        <f>IF(CriteriTecnici!$A1669="","","    "&amp;CHAR(123)&amp;CHAR(34)&amp;"bidderId"&amp;CHAR(34)&amp;": "&amp;CHAR(34)&amp;SUBSTITUTE(CriteriTecnici!$A1669,CHAR(34),"'")&amp;CHAR(34)&amp;", "&amp;CHAR(34)&amp;"lotId"&amp;CHAR(34)&amp;": "&amp;CHAR(34)&amp;SUBSTITUTE(CriteriTecnici!$C1669,CHAR(34),"'")&amp;CHAR(34)&amp;", "&amp;CHAR(34)&amp;"criterionId"&amp;CHAR(34)&amp;": "&amp;CHAR(34)&amp;SUBSTITUTE(CriteriTecnici!$D1669,CHAR(34),"'")&amp;CHAR(34)&amp;", "&amp;CHAR(34)&amp;"kind"&amp;CHAR(34)&amp;": "&amp;CHAR(34)&amp;SUBSTITUTE(CriteriTecnici!$F1669,CHAR(34),"'")&amp;CHAR(34)&amp;", "&amp;CHAR(34)&amp;"value"&amp;CHAR(34)&amp;": "&amp;SUBSTITUTE(TRIM(ROUND(IFERROR(CriteriTecnici!$N1669*1,IFERROR(NUMBERVALUE(CriteriTecnici!$N1669,".",","),IFERROR(NUMBERVALUE(CriteriTecnici!$N1669,",","."),0))),4)&amp;""),",",".")&amp;", "&amp;CHAR(34)&amp;"numerator"&amp;CHAR(34)&amp;": "&amp;SUBSTITUTE(TRIM(ROUND(IFERROR(CriteriTecnici!$K1669*1,IFERROR(NUMBERVALUE(CriteriTecnici!$K1669,".",","),IFERROR(NUMBERVALUE(CriteriTecnici!$K1669,",","."),0))),4)&amp;""),",",".")&amp;", "&amp;CHAR(34)&amp;"denominator"&amp;CHAR(34)&amp;": "&amp;SUBSTITUTE(TRIM(ROUND(IFERROR(CriteriTecnici!$L1669*1,IFERROR(NUMBERVALUE(CriteriTecnici!$L1669,".",","),IFERROR(NUMBERVALUE(CriteriTecnici!$L1669,",","."),0))),4)&amp;""),",",".")&amp;", "&amp;CHAR(34)&amp;"flag"&amp;CHAR(34)&amp;": "&amp;SUBSTITUTE(TRIM(ROUND(IFERROR(CriteriTecnici!$M1669*1,IFERROR(NUMBERVALUE(CriteriTecnici!$M1669,".",","),IFERROR(NUMBERVALUE(CriteriTecnici!$M1669,",","."),0))),4)&amp;""),",",".")&amp;", "&amp;CHAR(34)&amp;"rawScore"&amp;CHAR(34)&amp;": "&amp;SUBSTITUTE(TRIM(ROUND(IFERROR(CriteriTecnici!$O1669*1,IFERROR(NUMBERVALUE(CriteriTecnici!$O1669,".",","),IFERROR(NUMBERVALUE(CriteriTecnici!$O1669,",","."),0))),4)&amp;""),",",".")&amp;CHAR(125)&amp;IF(TRUE,",",""))</f>
        <v/>
      </c>
    </row>
    <row r="1771">
      <c r="A1771" s="82">
        <f>IF(CriteriTecnici!$A1670="","","    "&amp;CHAR(123)&amp;CHAR(34)&amp;"bidderId"&amp;CHAR(34)&amp;": "&amp;CHAR(34)&amp;SUBSTITUTE(CriteriTecnici!$A1670,CHAR(34),"'")&amp;CHAR(34)&amp;", "&amp;CHAR(34)&amp;"lotId"&amp;CHAR(34)&amp;": "&amp;CHAR(34)&amp;SUBSTITUTE(CriteriTecnici!$C1670,CHAR(34),"'")&amp;CHAR(34)&amp;", "&amp;CHAR(34)&amp;"criterionId"&amp;CHAR(34)&amp;": "&amp;CHAR(34)&amp;SUBSTITUTE(CriteriTecnici!$D1670,CHAR(34),"'")&amp;CHAR(34)&amp;", "&amp;CHAR(34)&amp;"kind"&amp;CHAR(34)&amp;": "&amp;CHAR(34)&amp;SUBSTITUTE(CriteriTecnici!$F1670,CHAR(34),"'")&amp;CHAR(34)&amp;", "&amp;CHAR(34)&amp;"value"&amp;CHAR(34)&amp;": "&amp;SUBSTITUTE(TRIM(ROUND(IFERROR(CriteriTecnici!$N1670*1,IFERROR(NUMBERVALUE(CriteriTecnici!$N1670,".",","),IFERROR(NUMBERVALUE(CriteriTecnici!$N1670,",","."),0))),4)&amp;""),",",".")&amp;", "&amp;CHAR(34)&amp;"numerator"&amp;CHAR(34)&amp;": "&amp;SUBSTITUTE(TRIM(ROUND(IFERROR(CriteriTecnici!$K1670*1,IFERROR(NUMBERVALUE(CriteriTecnici!$K1670,".",","),IFERROR(NUMBERVALUE(CriteriTecnici!$K1670,",","."),0))),4)&amp;""),",",".")&amp;", "&amp;CHAR(34)&amp;"denominator"&amp;CHAR(34)&amp;": "&amp;SUBSTITUTE(TRIM(ROUND(IFERROR(CriteriTecnici!$L1670*1,IFERROR(NUMBERVALUE(CriteriTecnici!$L1670,".",","),IFERROR(NUMBERVALUE(CriteriTecnici!$L1670,",","."),0))),4)&amp;""),",",".")&amp;", "&amp;CHAR(34)&amp;"flag"&amp;CHAR(34)&amp;": "&amp;SUBSTITUTE(TRIM(ROUND(IFERROR(CriteriTecnici!$M1670*1,IFERROR(NUMBERVALUE(CriteriTecnici!$M1670,".",","),IFERROR(NUMBERVALUE(CriteriTecnici!$M1670,",","."),0))),4)&amp;""),",",".")&amp;", "&amp;CHAR(34)&amp;"rawScore"&amp;CHAR(34)&amp;": "&amp;SUBSTITUTE(TRIM(ROUND(IFERROR(CriteriTecnici!$O1670*1,IFERROR(NUMBERVALUE(CriteriTecnici!$O1670,".",","),IFERROR(NUMBERVALUE(CriteriTecnici!$O1670,",","."),0))),4)&amp;""),",",".")&amp;CHAR(125)&amp;IF(TRUE,",",""))</f>
        <v/>
      </c>
    </row>
    <row r="1772">
      <c r="A1772" s="82">
        <f>IF(CriteriTecnici!$A1671="","","    "&amp;CHAR(123)&amp;CHAR(34)&amp;"bidderId"&amp;CHAR(34)&amp;": "&amp;CHAR(34)&amp;SUBSTITUTE(CriteriTecnici!$A1671,CHAR(34),"'")&amp;CHAR(34)&amp;", "&amp;CHAR(34)&amp;"lotId"&amp;CHAR(34)&amp;": "&amp;CHAR(34)&amp;SUBSTITUTE(CriteriTecnici!$C1671,CHAR(34),"'")&amp;CHAR(34)&amp;", "&amp;CHAR(34)&amp;"criterionId"&amp;CHAR(34)&amp;": "&amp;CHAR(34)&amp;SUBSTITUTE(CriteriTecnici!$D1671,CHAR(34),"'")&amp;CHAR(34)&amp;", "&amp;CHAR(34)&amp;"kind"&amp;CHAR(34)&amp;": "&amp;CHAR(34)&amp;SUBSTITUTE(CriteriTecnici!$F1671,CHAR(34),"'")&amp;CHAR(34)&amp;", "&amp;CHAR(34)&amp;"value"&amp;CHAR(34)&amp;": "&amp;SUBSTITUTE(TRIM(ROUND(IFERROR(CriteriTecnici!$N1671*1,IFERROR(NUMBERVALUE(CriteriTecnici!$N1671,".",","),IFERROR(NUMBERVALUE(CriteriTecnici!$N1671,",","."),0))),4)&amp;""),",",".")&amp;", "&amp;CHAR(34)&amp;"numerator"&amp;CHAR(34)&amp;": "&amp;SUBSTITUTE(TRIM(ROUND(IFERROR(CriteriTecnici!$K1671*1,IFERROR(NUMBERVALUE(CriteriTecnici!$K1671,".",","),IFERROR(NUMBERVALUE(CriteriTecnici!$K1671,",","."),0))),4)&amp;""),",",".")&amp;", "&amp;CHAR(34)&amp;"denominator"&amp;CHAR(34)&amp;": "&amp;SUBSTITUTE(TRIM(ROUND(IFERROR(CriteriTecnici!$L1671*1,IFERROR(NUMBERVALUE(CriteriTecnici!$L1671,".",","),IFERROR(NUMBERVALUE(CriteriTecnici!$L1671,",","."),0))),4)&amp;""),",",".")&amp;", "&amp;CHAR(34)&amp;"flag"&amp;CHAR(34)&amp;": "&amp;SUBSTITUTE(TRIM(ROUND(IFERROR(CriteriTecnici!$M1671*1,IFERROR(NUMBERVALUE(CriteriTecnici!$M1671,".",","),IFERROR(NUMBERVALUE(CriteriTecnici!$M1671,",","."),0))),4)&amp;""),",",".")&amp;", "&amp;CHAR(34)&amp;"rawScore"&amp;CHAR(34)&amp;": "&amp;SUBSTITUTE(TRIM(ROUND(IFERROR(CriteriTecnici!$O1671*1,IFERROR(NUMBERVALUE(CriteriTecnici!$O1671,".",","),IFERROR(NUMBERVALUE(CriteriTecnici!$O1671,",","."),0))),4)&amp;""),",",".")&amp;CHAR(125)&amp;IF(TRUE,",",""))</f>
        <v/>
      </c>
    </row>
    <row r="1773">
      <c r="A1773" s="82">
        <f>IF(CriteriTecnici!$A1672="","","    "&amp;CHAR(123)&amp;CHAR(34)&amp;"bidderId"&amp;CHAR(34)&amp;": "&amp;CHAR(34)&amp;SUBSTITUTE(CriteriTecnici!$A1672,CHAR(34),"'")&amp;CHAR(34)&amp;", "&amp;CHAR(34)&amp;"lotId"&amp;CHAR(34)&amp;": "&amp;CHAR(34)&amp;SUBSTITUTE(CriteriTecnici!$C1672,CHAR(34),"'")&amp;CHAR(34)&amp;", "&amp;CHAR(34)&amp;"criterionId"&amp;CHAR(34)&amp;": "&amp;CHAR(34)&amp;SUBSTITUTE(CriteriTecnici!$D1672,CHAR(34),"'")&amp;CHAR(34)&amp;", "&amp;CHAR(34)&amp;"kind"&amp;CHAR(34)&amp;": "&amp;CHAR(34)&amp;SUBSTITUTE(CriteriTecnici!$F1672,CHAR(34),"'")&amp;CHAR(34)&amp;", "&amp;CHAR(34)&amp;"value"&amp;CHAR(34)&amp;": "&amp;SUBSTITUTE(TRIM(ROUND(IFERROR(CriteriTecnici!$N1672*1,IFERROR(NUMBERVALUE(CriteriTecnici!$N1672,".",","),IFERROR(NUMBERVALUE(CriteriTecnici!$N1672,",","."),0))),4)&amp;""),",",".")&amp;", "&amp;CHAR(34)&amp;"numerator"&amp;CHAR(34)&amp;": "&amp;SUBSTITUTE(TRIM(ROUND(IFERROR(CriteriTecnici!$K1672*1,IFERROR(NUMBERVALUE(CriteriTecnici!$K1672,".",","),IFERROR(NUMBERVALUE(CriteriTecnici!$K1672,",","."),0))),4)&amp;""),",",".")&amp;", "&amp;CHAR(34)&amp;"denominator"&amp;CHAR(34)&amp;": "&amp;SUBSTITUTE(TRIM(ROUND(IFERROR(CriteriTecnici!$L1672*1,IFERROR(NUMBERVALUE(CriteriTecnici!$L1672,".",","),IFERROR(NUMBERVALUE(CriteriTecnici!$L1672,",","."),0))),4)&amp;""),",",".")&amp;", "&amp;CHAR(34)&amp;"flag"&amp;CHAR(34)&amp;": "&amp;SUBSTITUTE(TRIM(ROUND(IFERROR(CriteriTecnici!$M1672*1,IFERROR(NUMBERVALUE(CriteriTecnici!$M1672,".",","),IFERROR(NUMBERVALUE(CriteriTecnici!$M1672,",","."),0))),4)&amp;""),",",".")&amp;", "&amp;CHAR(34)&amp;"rawScore"&amp;CHAR(34)&amp;": "&amp;SUBSTITUTE(TRIM(ROUND(IFERROR(CriteriTecnici!$O1672*1,IFERROR(NUMBERVALUE(CriteriTecnici!$O1672,".",","),IFERROR(NUMBERVALUE(CriteriTecnici!$O1672,",","."),0))),4)&amp;""),",",".")&amp;CHAR(125)&amp;IF(TRUE,",",""))</f>
        <v/>
      </c>
    </row>
    <row r="1774">
      <c r="A1774" s="82">
        <f>IF(CriteriTecnici!$A1673="","","    "&amp;CHAR(123)&amp;CHAR(34)&amp;"bidderId"&amp;CHAR(34)&amp;": "&amp;CHAR(34)&amp;SUBSTITUTE(CriteriTecnici!$A1673,CHAR(34),"'")&amp;CHAR(34)&amp;", "&amp;CHAR(34)&amp;"lotId"&amp;CHAR(34)&amp;": "&amp;CHAR(34)&amp;SUBSTITUTE(CriteriTecnici!$C1673,CHAR(34),"'")&amp;CHAR(34)&amp;", "&amp;CHAR(34)&amp;"criterionId"&amp;CHAR(34)&amp;": "&amp;CHAR(34)&amp;SUBSTITUTE(CriteriTecnici!$D1673,CHAR(34),"'")&amp;CHAR(34)&amp;", "&amp;CHAR(34)&amp;"kind"&amp;CHAR(34)&amp;": "&amp;CHAR(34)&amp;SUBSTITUTE(CriteriTecnici!$F1673,CHAR(34),"'")&amp;CHAR(34)&amp;", "&amp;CHAR(34)&amp;"value"&amp;CHAR(34)&amp;": "&amp;SUBSTITUTE(TRIM(ROUND(IFERROR(CriteriTecnici!$N1673*1,IFERROR(NUMBERVALUE(CriteriTecnici!$N1673,".",","),IFERROR(NUMBERVALUE(CriteriTecnici!$N1673,",","."),0))),4)&amp;""),",",".")&amp;", "&amp;CHAR(34)&amp;"numerator"&amp;CHAR(34)&amp;": "&amp;SUBSTITUTE(TRIM(ROUND(IFERROR(CriteriTecnici!$K1673*1,IFERROR(NUMBERVALUE(CriteriTecnici!$K1673,".",","),IFERROR(NUMBERVALUE(CriteriTecnici!$K1673,",","."),0))),4)&amp;""),",",".")&amp;", "&amp;CHAR(34)&amp;"denominator"&amp;CHAR(34)&amp;": "&amp;SUBSTITUTE(TRIM(ROUND(IFERROR(CriteriTecnici!$L1673*1,IFERROR(NUMBERVALUE(CriteriTecnici!$L1673,".",","),IFERROR(NUMBERVALUE(CriteriTecnici!$L1673,",","."),0))),4)&amp;""),",",".")&amp;", "&amp;CHAR(34)&amp;"flag"&amp;CHAR(34)&amp;": "&amp;SUBSTITUTE(TRIM(ROUND(IFERROR(CriteriTecnici!$M1673*1,IFERROR(NUMBERVALUE(CriteriTecnici!$M1673,".",","),IFERROR(NUMBERVALUE(CriteriTecnici!$M1673,",","."),0))),4)&amp;""),",",".")&amp;", "&amp;CHAR(34)&amp;"rawScore"&amp;CHAR(34)&amp;": "&amp;SUBSTITUTE(TRIM(ROUND(IFERROR(CriteriTecnici!$O1673*1,IFERROR(NUMBERVALUE(CriteriTecnici!$O1673,".",","),IFERROR(NUMBERVALUE(CriteriTecnici!$O1673,",","."),0))),4)&amp;""),",",".")&amp;CHAR(125)&amp;IF(TRUE,",",""))</f>
        <v/>
      </c>
    </row>
    <row r="1775">
      <c r="A1775" s="82">
        <f>IF(CriteriTecnici!$A1674="","","    "&amp;CHAR(123)&amp;CHAR(34)&amp;"bidderId"&amp;CHAR(34)&amp;": "&amp;CHAR(34)&amp;SUBSTITUTE(CriteriTecnici!$A1674,CHAR(34),"'")&amp;CHAR(34)&amp;", "&amp;CHAR(34)&amp;"lotId"&amp;CHAR(34)&amp;": "&amp;CHAR(34)&amp;SUBSTITUTE(CriteriTecnici!$C1674,CHAR(34),"'")&amp;CHAR(34)&amp;", "&amp;CHAR(34)&amp;"criterionId"&amp;CHAR(34)&amp;": "&amp;CHAR(34)&amp;SUBSTITUTE(CriteriTecnici!$D1674,CHAR(34),"'")&amp;CHAR(34)&amp;", "&amp;CHAR(34)&amp;"kind"&amp;CHAR(34)&amp;": "&amp;CHAR(34)&amp;SUBSTITUTE(CriteriTecnici!$F1674,CHAR(34),"'")&amp;CHAR(34)&amp;", "&amp;CHAR(34)&amp;"value"&amp;CHAR(34)&amp;": "&amp;SUBSTITUTE(TRIM(ROUND(IFERROR(CriteriTecnici!$N1674*1,IFERROR(NUMBERVALUE(CriteriTecnici!$N1674,".",","),IFERROR(NUMBERVALUE(CriteriTecnici!$N1674,",","."),0))),4)&amp;""),",",".")&amp;", "&amp;CHAR(34)&amp;"numerator"&amp;CHAR(34)&amp;": "&amp;SUBSTITUTE(TRIM(ROUND(IFERROR(CriteriTecnici!$K1674*1,IFERROR(NUMBERVALUE(CriteriTecnici!$K1674,".",","),IFERROR(NUMBERVALUE(CriteriTecnici!$K1674,",","."),0))),4)&amp;""),",",".")&amp;", "&amp;CHAR(34)&amp;"denominator"&amp;CHAR(34)&amp;": "&amp;SUBSTITUTE(TRIM(ROUND(IFERROR(CriteriTecnici!$L1674*1,IFERROR(NUMBERVALUE(CriteriTecnici!$L1674,".",","),IFERROR(NUMBERVALUE(CriteriTecnici!$L1674,",","."),0))),4)&amp;""),",",".")&amp;", "&amp;CHAR(34)&amp;"flag"&amp;CHAR(34)&amp;": "&amp;SUBSTITUTE(TRIM(ROUND(IFERROR(CriteriTecnici!$M1674*1,IFERROR(NUMBERVALUE(CriteriTecnici!$M1674,".",","),IFERROR(NUMBERVALUE(CriteriTecnici!$M1674,",","."),0))),4)&amp;""),",",".")&amp;", "&amp;CHAR(34)&amp;"rawScore"&amp;CHAR(34)&amp;": "&amp;SUBSTITUTE(TRIM(ROUND(IFERROR(CriteriTecnici!$O1674*1,IFERROR(NUMBERVALUE(CriteriTecnici!$O1674,".",","),IFERROR(NUMBERVALUE(CriteriTecnici!$O1674,",","."),0))),4)&amp;""),",",".")&amp;CHAR(125)&amp;IF(TRUE,",",""))</f>
        <v/>
      </c>
    </row>
    <row r="1776">
      <c r="A1776" s="82">
        <f>IF(CriteriTecnici!$A1675="","","    "&amp;CHAR(123)&amp;CHAR(34)&amp;"bidderId"&amp;CHAR(34)&amp;": "&amp;CHAR(34)&amp;SUBSTITUTE(CriteriTecnici!$A1675,CHAR(34),"'")&amp;CHAR(34)&amp;", "&amp;CHAR(34)&amp;"lotId"&amp;CHAR(34)&amp;": "&amp;CHAR(34)&amp;SUBSTITUTE(CriteriTecnici!$C1675,CHAR(34),"'")&amp;CHAR(34)&amp;", "&amp;CHAR(34)&amp;"criterionId"&amp;CHAR(34)&amp;": "&amp;CHAR(34)&amp;SUBSTITUTE(CriteriTecnici!$D1675,CHAR(34),"'")&amp;CHAR(34)&amp;", "&amp;CHAR(34)&amp;"kind"&amp;CHAR(34)&amp;": "&amp;CHAR(34)&amp;SUBSTITUTE(CriteriTecnici!$F1675,CHAR(34),"'")&amp;CHAR(34)&amp;", "&amp;CHAR(34)&amp;"value"&amp;CHAR(34)&amp;": "&amp;SUBSTITUTE(TRIM(ROUND(IFERROR(CriteriTecnici!$N1675*1,IFERROR(NUMBERVALUE(CriteriTecnici!$N1675,".",","),IFERROR(NUMBERVALUE(CriteriTecnici!$N1675,",","."),0))),4)&amp;""),",",".")&amp;", "&amp;CHAR(34)&amp;"numerator"&amp;CHAR(34)&amp;": "&amp;SUBSTITUTE(TRIM(ROUND(IFERROR(CriteriTecnici!$K1675*1,IFERROR(NUMBERVALUE(CriteriTecnici!$K1675,".",","),IFERROR(NUMBERVALUE(CriteriTecnici!$K1675,",","."),0))),4)&amp;""),",",".")&amp;", "&amp;CHAR(34)&amp;"denominator"&amp;CHAR(34)&amp;": "&amp;SUBSTITUTE(TRIM(ROUND(IFERROR(CriteriTecnici!$L1675*1,IFERROR(NUMBERVALUE(CriteriTecnici!$L1675,".",","),IFERROR(NUMBERVALUE(CriteriTecnici!$L1675,",","."),0))),4)&amp;""),",",".")&amp;", "&amp;CHAR(34)&amp;"flag"&amp;CHAR(34)&amp;": "&amp;SUBSTITUTE(TRIM(ROUND(IFERROR(CriteriTecnici!$M1675*1,IFERROR(NUMBERVALUE(CriteriTecnici!$M1675,".",","),IFERROR(NUMBERVALUE(CriteriTecnici!$M1675,",","."),0))),4)&amp;""),",",".")&amp;", "&amp;CHAR(34)&amp;"rawScore"&amp;CHAR(34)&amp;": "&amp;SUBSTITUTE(TRIM(ROUND(IFERROR(CriteriTecnici!$O1675*1,IFERROR(NUMBERVALUE(CriteriTecnici!$O1675,".",","),IFERROR(NUMBERVALUE(CriteriTecnici!$O1675,",","."),0))),4)&amp;""),",",".")&amp;CHAR(125)&amp;IF(TRUE,",",""))</f>
        <v/>
      </c>
    </row>
    <row r="1777">
      <c r="A1777" s="82">
        <f>IF(CriteriTecnici!$A1676="","","    "&amp;CHAR(123)&amp;CHAR(34)&amp;"bidderId"&amp;CHAR(34)&amp;": "&amp;CHAR(34)&amp;SUBSTITUTE(CriteriTecnici!$A1676,CHAR(34),"'")&amp;CHAR(34)&amp;", "&amp;CHAR(34)&amp;"lotId"&amp;CHAR(34)&amp;": "&amp;CHAR(34)&amp;SUBSTITUTE(CriteriTecnici!$C1676,CHAR(34),"'")&amp;CHAR(34)&amp;", "&amp;CHAR(34)&amp;"criterionId"&amp;CHAR(34)&amp;": "&amp;CHAR(34)&amp;SUBSTITUTE(CriteriTecnici!$D1676,CHAR(34),"'")&amp;CHAR(34)&amp;", "&amp;CHAR(34)&amp;"kind"&amp;CHAR(34)&amp;": "&amp;CHAR(34)&amp;SUBSTITUTE(CriteriTecnici!$F1676,CHAR(34),"'")&amp;CHAR(34)&amp;", "&amp;CHAR(34)&amp;"value"&amp;CHAR(34)&amp;": "&amp;SUBSTITUTE(TRIM(ROUND(IFERROR(CriteriTecnici!$N1676*1,IFERROR(NUMBERVALUE(CriteriTecnici!$N1676,".",","),IFERROR(NUMBERVALUE(CriteriTecnici!$N1676,",","."),0))),4)&amp;""),",",".")&amp;", "&amp;CHAR(34)&amp;"numerator"&amp;CHAR(34)&amp;": "&amp;SUBSTITUTE(TRIM(ROUND(IFERROR(CriteriTecnici!$K1676*1,IFERROR(NUMBERVALUE(CriteriTecnici!$K1676,".",","),IFERROR(NUMBERVALUE(CriteriTecnici!$K1676,",","."),0))),4)&amp;""),",",".")&amp;", "&amp;CHAR(34)&amp;"denominator"&amp;CHAR(34)&amp;": "&amp;SUBSTITUTE(TRIM(ROUND(IFERROR(CriteriTecnici!$L1676*1,IFERROR(NUMBERVALUE(CriteriTecnici!$L1676,".",","),IFERROR(NUMBERVALUE(CriteriTecnici!$L1676,",","."),0))),4)&amp;""),",",".")&amp;", "&amp;CHAR(34)&amp;"flag"&amp;CHAR(34)&amp;": "&amp;SUBSTITUTE(TRIM(ROUND(IFERROR(CriteriTecnici!$M1676*1,IFERROR(NUMBERVALUE(CriteriTecnici!$M1676,".",","),IFERROR(NUMBERVALUE(CriteriTecnici!$M1676,",","."),0))),4)&amp;""),",",".")&amp;", "&amp;CHAR(34)&amp;"rawScore"&amp;CHAR(34)&amp;": "&amp;SUBSTITUTE(TRIM(ROUND(IFERROR(CriteriTecnici!$O1676*1,IFERROR(NUMBERVALUE(CriteriTecnici!$O1676,".",","),IFERROR(NUMBERVALUE(CriteriTecnici!$O1676,",","."),0))),4)&amp;""),",",".")&amp;CHAR(125)&amp;IF(TRUE,",",""))</f>
        <v/>
      </c>
    </row>
    <row r="1778">
      <c r="A1778" s="82">
        <f>IF(CriteriTecnici!$A1677="","","    "&amp;CHAR(123)&amp;CHAR(34)&amp;"bidderId"&amp;CHAR(34)&amp;": "&amp;CHAR(34)&amp;SUBSTITUTE(CriteriTecnici!$A1677,CHAR(34),"'")&amp;CHAR(34)&amp;", "&amp;CHAR(34)&amp;"lotId"&amp;CHAR(34)&amp;": "&amp;CHAR(34)&amp;SUBSTITUTE(CriteriTecnici!$C1677,CHAR(34),"'")&amp;CHAR(34)&amp;", "&amp;CHAR(34)&amp;"criterionId"&amp;CHAR(34)&amp;": "&amp;CHAR(34)&amp;SUBSTITUTE(CriteriTecnici!$D1677,CHAR(34),"'")&amp;CHAR(34)&amp;", "&amp;CHAR(34)&amp;"kind"&amp;CHAR(34)&amp;": "&amp;CHAR(34)&amp;SUBSTITUTE(CriteriTecnici!$F1677,CHAR(34),"'")&amp;CHAR(34)&amp;", "&amp;CHAR(34)&amp;"value"&amp;CHAR(34)&amp;": "&amp;SUBSTITUTE(TRIM(ROUND(IFERROR(CriteriTecnici!$N1677*1,IFERROR(NUMBERVALUE(CriteriTecnici!$N1677,".",","),IFERROR(NUMBERVALUE(CriteriTecnici!$N1677,",","."),0))),4)&amp;""),",",".")&amp;", "&amp;CHAR(34)&amp;"numerator"&amp;CHAR(34)&amp;": "&amp;SUBSTITUTE(TRIM(ROUND(IFERROR(CriteriTecnici!$K1677*1,IFERROR(NUMBERVALUE(CriteriTecnici!$K1677,".",","),IFERROR(NUMBERVALUE(CriteriTecnici!$K1677,",","."),0))),4)&amp;""),",",".")&amp;", "&amp;CHAR(34)&amp;"denominator"&amp;CHAR(34)&amp;": "&amp;SUBSTITUTE(TRIM(ROUND(IFERROR(CriteriTecnici!$L1677*1,IFERROR(NUMBERVALUE(CriteriTecnici!$L1677,".",","),IFERROR(NUMBERVALUE(CriteriTecnici!$L1677,",","."),0))),4)&amp;""),",",".")&amp;", "&amp;CHAR(34)&amp;"flag"&amp;CHAR(34)&amp;": "&amp;SUBSTITUTE(TRIM(ROUND(IFERROR(CriteriTecnici!$M1677*1,IFERROR(NUMBERVALUE(CriteriTecnici!$M1677,".",","),IFERROR(NUMBERVALUE(CriteriTecnici!$M1677,",","."),0))),4)&amp;""),",",".")&amp;", "&amp;CHAR(34)&amp;"rawScore"&amp;CHAR(34)&amp;": "&amp;SUBSTITUTE(TRIM(ROUND(IFERROR(CriteriTecnici!$O1677*1,IFERROR(NUMBERVALUE(CriteriTecnici!$O1677,".",","),IFERROR(NUMBERVALUE(CriteriTecnici!$O1677,",","."),0))),4)&amp;""),",",".")&amp;CHAR(125)&amp;IF(TRUE,",",""))</f>
        <v/>
      </c>
    </row>
    <row r="1779">
      <c r="A1779" s="82">
        <f>IF(CriteriTecnici!$A1678="","","    "&amp;CHAR(123)&amp;CHAR(34)&amp;"bidderId"&amp;CHAR(34)&amp;": "&amp;CHAR(34)&amp;SUBSTITUTE(CriteriTecnici!$A1678,CHAR(34),"'")&amp;CHAR(34)&amp;", "&amp;CHAR(34)&amp;"lotId"&amp;CHAR(34)&amp;": "&amp;CHAR(34)&amp;SUBSTITUTE(CriteriTecnici!$C1678,CHAR(34),"'")&amp;CHAR(34)&amp;", "&amp;CHAR(34)&amp;"criterionId"&amp;CHAR(34)&amp;": "&amp;CHAR(34)&amp;SUBSTITUTE(CriteriTecnici!$D1678,CHAR(34),"'")&amp;CHAR(34)&amp;", "&amp;CHAR(34)&amp;"kind"&amp;CHAR(34)&amp;": "&amp;CHAR(34)&amp;SUBSTITUTE(CriteriTecnici!$F1678,CHAR(34),"'")&amp;CHAR(34)&amp;", "&amp;CHAR(34)&amp;"value"&amp;CHAR(34)&amp;": "&amp;SUBSTITUTE(TRIM(ROUND(IFERROR(CriteriTecnici!$N1678*1,IFERROR(NUMBERVALUE(CriteriTecnici!$N1678,".",","),IFERROR(NUMBERVALUE(CriteriTecnici!$N1678,",","."),0))),4)&amp;""),",",".")&amp;", "&amp;CHAR(34)&amp;"numerator"&amp;CHAR(34)&amp;": "&amp;SUBSTITUTE(TRIM(ROUND(IFERROR(CriteriTecnici!$K1678*1,IFERROR(NUMBERVALUE(CriteriTecnici!$K1678,".",","),IFERROR(NUMBERVALUE(CriteriTecnici!$K1678,",","."),0))),4)&amp;""),",",".")&amp;", "&amp;CHAR(34)&amp;"denominator"&amp;CHAR(34)&amp;": "&amp;SUBSTITUTE(TRIM(ROUND(IFERROR(CriteriTecnici!$L1678*1,IFERROR(NUMBERVALUE(CriteriTecnici!$L1678,".",","),IFERROR(NUMBERVALUE(CriteriTecnici!$L1678,",","."),0))),4)&amp;""),",",".")&amp;", "&amp;CHAR(34)&amp;"flag"&amp;CHAR(34)&amp;": "&amp;SUBSTITUTE(TRIM(ROUND(IFERROR(CriteriTecnici!$M1678*1,IFERROR(NUMBERVALUE(CriteriTecnici!$M1678,".",","),IFERROR(NUMBERVALUE(CriteriTecnici!$M1678,",","."),0))),4)&amp;""),",",".")&amp;", "&amp;CHAR(34)&amp;"rawScore"&amp;CHAR(34)&amp;": "&amp;SUBSTITUTE(TRIM(ROUND(IFERROR(CriteriTecnici!$O1678*1,IFERROR(NUMBERVALUE(CriteriTecnici!$O1678,".",","),IFERROR(NUMBERVALUE(CriteriTecnici!$O1678,",","."),0))),4)&amp;""),",",".")&amp;CHAR(125)&amp;IF(COUNTA(Offerte!$A56:$A$81)&gt;0,",",""))</f>
        <v/>
      </c>
    </row>
    <row r="1780">
      <c r="A1780" s="82">
        <f>IF(CriteriTecnici!$A1679="","","    "&amp;CHAR(123)&amp;CHAR(34)&amp;"bidderId"&amp;CHAR(34)&amp;": "&amp;CHAR(34)&amp;SUBSTITUTE(CriteriTecnici!$A1679,CHAR(34),"'")&amp;CHAR(34)&amp;", "&amp;CHAR(34)&amp;"lotId"&amp;CHAR(34)&amp;": "&amp;CHAR(34)&amp;SUBSTITUTE(CriteriTecnici!$C1679,CHAR(34),"'")&amp;CHAR(34)&amp;", "&amp;CHAR(34)&amp;"criterionId"&amp;CHAR(34)&amp;": "&amp;CHAR(34)&amp;SUBSTITUTE(CriteriTecnici!$D1679,CHAR(34),"'")&amp;CHAR(34)&amp;", "&amp;CHAR(34)&amp;"kind"&amp;CHAR(34)&amp;": "&amp;CHAR(34)&amp;SUBSTITUTE(CriteriTecnici!$F1679,CHAR(34),"'")&amp;CHAR(34)&amp;", "&amp;CHAR(34)&amp;"value"&amp;CHAR(34)&amp;": "&amp;SUBSTITUTE(TRIM(ROUND(IFERROR(CriteriTecnici!$N1679*1,IFERROR(NUMBERVALUE(CriteriTecnici!$N1679,".",","),IFERROR(NUMBERVALUE(CriteriTecnici!$N1679,",","."),0))),4)&amp;""),",",".")&amp;", "&amp;CHAR(34)&amp;"numerator"&amp;CHAR(34)&amp;": "&amp;SUBSTITUTE(TRIM(ROUND(IFERROR(CriteriTecnici!$K1679*1,IFERROR(NUMBERVALUE(CriteriTecnici!$K1679,".",","),IFERROR(NUMBERVALUE(CriteriTecnici!$K1679,",","."),0))),4)&amp;""),",",".")&amp;", "&amp;CHAR(34)&amp;"denominator"&amp;CHAR(34)&amp;": "&amp;SUBSTITUTE(TRIM(ROUND(IFERROR(CriteriTecnici!$L1679*1,IFERROR(NUMBERVALUE(CriteriTecnici!$L1679,".",","),IFERROR(NUMBERVALUE(CriteriTecnici!$L1679,",","."),0))),4)&amp;""),",",".")&amp;", "&amp;CHAR(34)&amp;"flag"&amp;CHAR(34)&amp;": "&amp;SUBSTITUTE(TRIM(ROUND(IFERROR(CriteriTecnici!$M1679*1,IFERROR(NUMBERVALUE(CriteriTecnici!$M1679,".",","),IFERROR(NUMBERVALUE(CriteriTecnici!$M1679,",","."),0))),4)&amp;""),",",".")&amp;", "&amp;CHAR(34)&amp;"rawScore"&amp;CHAR(34)&amp;": "&amp;SUBSTITUTE(TRIM(ROUND(IFERROR(CriteriTecnici!$O1679*1,IFERROR(NUMBERVALUE(CriteriTecnici!$O1679,".",","),IFERROR(NUMBERVALUE(CriteriTecnici!$O1679,",","."),0))),4)&amp;""),",",".")&amp;CHAR(125)&amp;IF(TRUE,",",""))</f>
        <v/>
      </c>
    </row>
    <row r="1781">
      <c r="A1781" s="82">
        <f>IF(CriteriTecnici!$A1680="","","    "&amp;CHAR(123)&amp;CHAR(34)&amp;"bidderId"&amp;CHAR(34)&amp;": "&amp;CHAR(34)&amp;SUBSTITUTE(CriteriTecnici!$A1680,CHAR(34),"'")&amp;CHAR(34)&amp;", "&amp;CHAR(34)&amp;"lotId"&amp;CHAR(34)&amp;": "&amp;CHAR(34)&amp;SUBSTITUTE(CriteriTecnici!$C1680,CHAR(34),"'")&amp;CHAR(34)&amp;", "&amp;CHAR(34)&amp;"criterionId"&amp;CHAR(34)&amp;": "&amp;CHAR(34)&amp;SUBSTITUTE(CriteriTecnici!$D1680,CHAR(34),"'")&amp;CHAR(34)&amp;", "&amp;CHAR(34)&amp;"kind"&amp;CHAR(34)&amp;": "&amp;CHAR(34)&amp;SUBSTITUTE(CriteriTecnici!$F1680,CHAR(34),"'")&amp;CHAR(34)&amp;", "&amp;CHAR(34)&amp;"value"&amp;CHAR(34)&amp;": "&amp;SUBSTITUTE(TRIM(ROUND(IFERROR(CriteriTecnici!$N1680*1,IFERROR(NUMBERVALUE(CriteriTecnici!$N1680,".",","),IFERROR(NUMBERVALUE(CriteriTecnici!$N1680,",","."),0))),4)&amp;""),",",".")&amp;", "&amp;CHAR(34)&amp;"numerator"&amp;CHAR(34)&amp;": "&amp;SUBSTITUTE(TRIM(ROUND(IFERROR(CriteriTecnici!$K1680*1,IFERROR(NUMBERVALUE(CriteriTecnici!$K1680,".",","),IFERROR(NUMBERVALUE(CriteriTecnici!$K1680,",","."),0))),4)&amp;""),",",".")&amp;", "&amp;CHAR(34)&amp;"denominator"&amp;CHAR(34)&amp;": "&amp;SUBSTITUTE(TRIM(ROUND(IFERROR(CriteriTecnici!$L1680*1,IFERROR(NUMBERVALUE(CriteriTecnici!$L1680,".",","),IFERROR(NUMBERVALUE(CriteriTecnici!$L1680,",","."),0))),4)&amp;""),",",".")&amp;", "&amp;CHAR(34)&amp;"flag"&amp;CHAR(34)&amp;": "&amp;SUBSTITUTE(TRIM(ROUND(IFERROR(CriteriTecnici!$M1680*1,IFERROR(NUMBERVALUE(CriteriTecnici!$M1680,".",","),IFERROR(NUMBERVALUE(CriteriTecnici!$M1680,",","."),0))),4)&amp;""),",",".")&amp;", "&amp;CHAR(34)&amp;"rawScore"&amp;CHAR(34)&amp;": "&amp;SUBSTITUTE(TRIM(ROUND(IFERROR(CriteriTecnici!$O1680*1,IFERROR(NUMBERVALUE(CriteriTecnici!$O1680,".",","),IFERROR(NUMBERVALUE(CriteriTecnici!$O1680,",","."),0))),4)&amp;""),",",".")&amp;CHAR(125)&amp;IF(TRUE,",",""))</f>
        <v/>
      </c>
    </row>
    <row r="1782">
      <c r="A1782" s="82">
        <f>IF(CriteriTecnici!$A1681="","","    "&amp;CHAR(123)&amp;CHAR(34)&amp;"bidderId"&amp;CHAR(34)&amp;": "&amp;CHAR(34)&amp;SUBSTITUTE(CriteriTecnici!$A1681,CHAR(34),"'")&amp;CHAR(34)&amp;", "&amp;CHAR(34)&amp;"lotId"&amp;CHAR(34)&amp;": "&amp;CHAR(34)&amp;SUBSTITUTE(CriteriTecnici!$C1681,CHAR(34),"'")&amp;CHAR(34)&amp;", "&amp;CHAR(34)&amp;"criterionId"&amp;CHAR(34)&amp;": "&amp;CHAR(34)&amp;SUBSTITUTE(CriteriTecnici!$D1681,CHAR(34),"'")&amp;CHAR(34)&amp;", "&amp;CHAR(34)&amp;"kind"&amp;CHAR(34)&amp;": "&amp;CHAR(34)&amp;SUBSTITUTE(CriteriTecnici!$F1681,CHAR(34),"'")&amp;CHAR(34)&amp;", "&amp;CHAR(34)&amp;"value"&amp;CHAR(34)&amp;": "&amp;SUBSTITUTE(TRIM(ROUND(IFERROR(CriteriTecnici!$N1681*1,IFERROR(NUMBERVALUE(CriteriTecnici!$N1681,".",","),IFERROR(NUMBERVALUE(CriteriTecnici!$N1681,",","."),0))),4)&amp;""),",",".")&amp;", "&amp;CHAR(34)&amp;"numerator"&amp;CHAR(34)&amp;": "&amp;SUBSTITUTE(TRIM(ROUND(IFERROR(CriteriTecnici!$K1681*1,IFERROR(NUMBERVALUE(CriteriTecnici!$K1681,".",","),IFERROR(NUMBERVALUE(CriteriTecnici!$K1681,",","."),0))),4)&amp;""),",",".")&amp;", "&amp;CHAR(34)&amp;"denominator"&amp;CHAR(34)&amp;": "&amp;SUBSTITUTE(TRIM(ROUND(IFERROR(CriteriTecnici!$L1681*1,IFERROR(NUMBERVALUE(CriteriTecnici!$L1681,".",","),IFERROR(NUMBERVALUE(CriteriTecnici!$L1681,",","."),0))),4)&amp;""),",",".")&amp;", "&amp;CHAR(34)&amp;"flag"&amp;CHAR(34)&amp;": "&amp;SUBSTITUTE(TRIM(ROUND(IFERROR(CriteriTecnici!$M1681*1,IFERROR(NUMBERVALUE(CriteriTecnici!$M1681,".",","),IFERROR(NUMBERVALUE(CriteriTecnici!$M1681,",","."),0))),4)&amp;""),",",".")&amp;", "&amp;CHAR(34)&amp;"rawScore"&amp;CHAR(34)&amp;": "&amp;SUBSTITUTE(TRIM(ROUND(IFERROR(CriteriTecnici!$O1681*1,IFERROR(NUMBERVALUE(CriteriTecnici!$O1681,".",","),IFERROR(NUMBERVALUE(CriteriTecnici!$O1681,",","."),0))),4)&amp;""),",",".")&amp;CHAR(125)&amp;IF(TRUE,",",""))</f>
        <v/>
      </c>
    </row>
    <row r="1783">
      <c r="A1783" s="82">
        <f>IF(CriteriTecnici!$A1682="","","    "&amp;CHAR(123)&amp;CHAR(34)&amp;"bidderId"&amp;CHAR(34)&amp;": "&amp;CHAR(34)&amp;SUBSTITUTE(CriteriTecnici!$A1682,CHAR(34),"'")&amp;CHAR(34)&amp;", "&amp;CHAR(34)&amp;"lotId"&amp;CHAR(34)&amp;": "&amp;CHAR(34)&amp;SUBSTITUTE(CriteriTecnici!$C1682,CHAR(34),"'")&amp;CHAR(34)&amp;", "&amp;CHAR(34)&amp;"criterionId"&amp;CHAR(34)&amp;": "&amp;CHAR(34)&amp;SUBSTITUTE(CriteriTecnici!$D1682,CHAR(34),"'")&amp;CHAR(34)&amp;", "&amp;CHAR(34)&amp;"kind"&amp;CHAR(34)&amp;": "&amp;CHAR(34)&amp;SUBSTITUTE(CriteriTecnici!$F1682,CHAR(34),"'")&amp;CHAR(34)&amp;", "&amp;CHAR(34)&amp;"value"&amp;CHAR(34)&amp;": "&amp;SUBSTITUTE(TRIM(ROUND(IFERROR(CriteriTecnici!$N1682*1,IFERROR(NUMBERVALUE(CriteriTecnici!$N1682,".",","),IFERROR(NUMBERVALUE(CriteriTecnici!$N1682,",","."),0))),4)&amp;""),",",".")&amp;", "&amp;CHAR(34)&amp;"numerator"&amp;CHAR(34)&amp;": "&amp;SUBSTITUTE(TRIM(ROUND(IFERROR(CriteriTecnici!$K1682*1,IFERROR(NUMBERVALUE(CriteriTecnici!$K1682,".",","),IFERROR(NUMBERVALUE(CriteriTecnici!$K1682,",","."),0))),4)&amp;""),",",".")&amp;", "&amp;CHAR(34)&amp;"denominator"&amp;CHAR(34)&amp;": "&amp;SUBSTITUTE(TRIM(ROUND(IFERROR(CriteriTecnici!$L1682*1,IFERROR(NUMBERVALUE(CriteriTecnici!$L1682,".",","),IFERROR(NUMBERVALUE(CriteriTecnici!$L1682,",","."),0))),4)&amp;""),",",".")&amp;", "&amp;CHAR(34)&amp;"flag"&amp;CHAR(34)&amp;": "&amp;SUBSTITUTE(TRIM(ROUND(IFERROR(CriteriTecnici!$M1682*1,IFERROR(NUMBERVALUE(CriteriTecnici!$M1682,".",","),IFERROR(NUMBERVALUE(CriteriTecnici!$M1682,",","."),0))),4)&amp;""),",",".")&amp;", "&amp;CHAR(34)&amp;"rawScore"&amp;CHAR(34)&amp;": "&amp;SUBSTITUTE(TRIM(ROUND(IFERROR(CriteriTecnici!$O1682*1,IFERROR(NUMBERVALUE(CriteriTecnici!$O1682,".",","),IFERROR(NUMBERVALUE(CriteriTecnici!$O1682,",","."),0))),4)&amp;""),",",".")&amp;CHAR(125)&amp;IF(TRUE,",",""))</f>
        <v/>
      </c>
    </row>
    <row r="1784">
      <c r="A1784" s="82">
        <f>IF(CriteriTecnici!$A1683="","","    "&amp;CHAR(123)&amp;CHAR(34)&amp;"bidderId"&amp;CHAR(34)&amp;": "&amp;CHAR(34)&amp;SUBSTITUTE(CriteriTecnici!$A1683,CHAR(34),"'")&amp;CHAR(34)&amp;", "&amp;CHAR(34)&amp;"lotId"&amp;CHAR(34)&amp;": "&amp;CHAR(34)&amp;SUBSTITUTE(CriteriTecnici!$C1683,CHAR(34),"'")&amp;CHAR(34)&amp;", "&amp;CHAR(34)&amp;"criterionId"&amp;CHAR(34)&amp;": "&amp;CHAR(34)&amp;SUBSTITUTE(CriteriTecnici!$D1683,CHAR(34),"'")&amp;CHAR(34)&amp;", "&amp;CHAR(34)&amp;"kind"&amp;CHAR(34)&amp;": "&amp;CHAR(34)&amp;SUBSTITUTE(CriteriTecnici!$F1683,CHAR(34),"'")&amp;CHAR(34)&amp;", "&amp;CHAR(34)&amp;"value"&amp;CHAR(34)&amp;": "&amp;SUBSTITUTE(TRIM(ROUND(IFERROR(CriteriTecnici!$N1683*1,IFERROR(NUMBERVALUE(CriteriTecnici!$N1683,".",","),IFERROR(NUMBERVALUE(CriteriTecnici!$N1683,",","."),0))),4)&amp;""),",",".")&amp;", "&amp;CHAR(34)&amp;"numerator"&amp;CHAR(34)&amp;": "&amp;SUBSTITUTE(TRIM(ROUND(IFERROR(CriteriTecnici!$K1683*1,IFERROR(NUMBERVALUE(CriteriTecnici!$K1683,".",","),IFERROR(NUMBERVALUE(CriteriTecnici!$K1683,",","."),0))),4)&amp;""),",",".")&amp;", "&amp;CHAR(34)&amp;"denominator"&amp;CHAR(34)&amp;": "&amp;SUBSTITUTE(TRIM(ROUND(IFERROR(CriteriTecnici!$L1683*1,IFERROR(NUMBERVALUE(CriteriTecnici!$L1683,".",","),IFERROR(NUMBERVALUE(CriteriTecnici!$L1683,",","."),0))),4)&amp;""),",",".")&amp;", "&amp;CHAR(34)&amp;"flag"&amp;CHAR(34)&amp;": "&amp;SUBSTITUTE(TRIM(ROUND(IFERROR(CriteriTecnici!$M1683*1,IFERROR(NUMBERVALUE(CriteriTecnici!$M1683,".",","),IFERROR(NUMBERVALUE(CriteriTecnici!$M1683,",","."),0))),4)&amp;""),",",".")&amp;", "&amp;CHAR(34)&amp;"rawScore"&amp;CHAR(34)&amp;": "&amp;SUBSTITUTE(TRIM(ROUND(IFERROR(CriteriTecnici!$O1683*1,IFERROR(NUMBERVALUE(CriteriTecnici!$O1683,".",","),IFERROR(NUMBERVALUE(CriteriTecnici!$O1683,",","."),0))),4)&amp;""),",",".")&amp;CHAR(125)&amp;IF(TRUE,",",""))</f>
        <v/>
      </c>
    </row>
    <row r="1785">
      <c r="A1785" s="82">
        <f>IF(CriteriTecnici!$A1684="","","    "&amp;CHAR(123)&amp;CHAR(34)&amp;"bidderId"&amp;CHAR(34)&amp;": "&amp;CHAR(34)&amp;SUBSTITUTE(CriteriTecnici!$A1684,CHAR(34),"'")&amp;CHAR(34)&amp;", "&amp;CHAR(34)&amp;"lotId"&amp;CHAR(34)&amp;": "&amp;CHAR(34)&amp;SUBSTITUTE(CriteriTecnici!$C1684,CHAR(34),"'")&amp;CHAR(34)&amp;", "&amp;CHAR(34)&amp;"criterionId"&amp;CHAR(34)&amp;": "&amp;CHAR(34)&amp;SUBSTITUTE(CriteriTecnici!$D1684,CHAR(34),"'")&amp;CHAR(34)&amp;", "&amp;CHAR(34)&amp;"kind"&amp;CHAR(34)&amp;": "&amp;CHAR(34)&amp;SUBSTITUTE(CriteriTecnici!$F1684,CHAR(34),"'")&amp;CHAR(34)&amp;", "&amp;CHAR(34)&amp;"value"&amp;CHAR(34)&amp;": "&amp;SUBSTITUTE(TRIM(ROUND(IFERROR(CriteriTecnici!$N1684*1,IFERROR(NUMBERVALUE(CriteriTecnici!$N1684,".",","),IFERROR(NUMBERVALUE(CriteriTecnici!$N1684,",","."),0))),4)&amp;""),",",".")&amp;", "&amp;CHAR(34)&amp;"numerator"&amp;CHAR(34)&amp;": "&amp;SUBSTITUTE(TRIM(ROUND(IFERROR(CriteriTecnici!$K1684*1,IFERROR(NUMBERVALUE(CriteriTecnici!$K1684,".",","),IFERROR(NUMBERVALUE(CriteriTecnici!$K1684,",","."),0))),4)&amp;""),",",".")&amp;", "&amp;CHAR(34)&amp;"denominator"&amp;CHAR(34)&amp;": "&amp;SUBSTITUTE(TRIM(ROUND(IFERROR(CriteriTecnici!$L1684*1,IFERROR(NUMBERVALUE(CriteriTecnici!$L1684,".",","),IFERROR(NUMBERVALUE(CriteriTecnici!$L1684,",","."),0))),4)&amp;""),",",".")&amp;", "&amp;CHAR(34)&amp;"flag"&amp;CHAR(34)&amp;": "&amp;SUBSTITUTE(TRIM(ROUND(IFERROR(CriteriTecnici!$M1684*1,IFERROR(NUMBERVALUE(CriteriTecnici!$M1684,".",","),IFERROR(NUMBERVALUE(CriteriTecnici!$M1684,",","."),0))),4)&amp;""),",",".")&amp;", "&amp;CHAR(34)&amp;"rawScore"&amp;CHAR(34)&amp;": "&amp;SUBSTITUTE(TRIM(ROUND(IFERROR(CriteriTecnici!$O1684*1,IFERROR(NUMBERVALUE(CriteriTecnici!$O1684,".",","),IFERROR(NUMBERVALUE(CriteriTecnici!$O1684,",","."),0))),4)&amp;""),",",".")&amp;CHAR(125)&amp;IF(TRUE,",",""))</f>
        <v/>
      </c>
    </row>
    <row r="1786">
      <c r="A1786" s="82">
        <f>IF(CriteriTecnici!$A1685="","","    "&amp;CHAR(123)&amp;CHAR(34)&amp;"bidderId"&amp;CHAR(34)&amp;": "&amp;CHAR(34)&amp;SUBSTITUTE(CriteriTecnici!$A1685,CHAR(34),"'")&amp;CHAR(34)&amp;", "&amp;CHAR(34)&amp;"lotId"&amp;CHAR(34)&amp;": "&amp;CHAR(34)&amp;SUBSTITUTE(CriteriTecnici!$C1685,CHAR(34),"'")&amp;CHAR(34)&amp;", "&amp;CHAR(34)&amp;"criterionId"&amp;CHAR(34)&amp;": "&amp;CHAR(34)&amp;SUBSTITUTE(CriteriTecnici!$D1685,CHAR(34),"'")&amp;CHAR(34)&amp;", "&amp;CHAR(34)&amp;"kind"&amp;CHAR(34)&amp;": "&amp;CHAR(34)&amp;SUBSTITUTE(CriteriTecnici!$F1685,CHAR(34),"'")&amp;CHAR(34)&amp;", "&amp;CHAR(34)&amp;"value"&amp;CHAR(34)&amp;": "&amp;SUBSTITUTE(TRIM(ROUND(IFERROR(CriteriTecnici!$N1685*1,IFERROR(NUMBERVALUE(CriteriTecnici!$N1685,".",","),IFERROR(NUMBERVALUE(CriteriTecnici!$N1685,",","."),0))),4)&amp;""),",",".")&amp;", "&amp;CHAR(34)&amp;"numerator"&amp;CHAR(34)&amp;": "&amp;SUBSTITUTE(TRIM(ROUND(IFERROR(CriteriTecnici!$K1685*1,IFERROR(NUMBERVALUE(CriteriTecnici!$K1685,".",","),IFERROR(NUMBERVALUE(CriteriTecnici!$K1685,",","."),0))),4)&amp;""),",",".")&amp;", "&amp;CHAR(34)&amp;"denominator"&amp;CHAR(34)&amp;": "&amp;SUBSTITUTE(TRIM(ROUND(IFERROR(CriteriTecnici!$L1685*1,IFERROR(NUMBERVALUE(CriteriTecnici!$L1685,".",","),IFERROR(NUMBERVALUE(CriteriTecnici!$L1685,",","."),0))),4)&amp;""),",",".")&amp;", "&amp;CHAR(34)&amp;"flag"&amp;CHAR(34)&amp;": "&amp;SUBSTITUTE(TRIM(ROUND(IFERROR(CriteriTecnici!$M1685*1,IFERROR(NUMBERVALUE(CriteriTecnici!$M1685,".",","),IFERROR(NUMBERVALUE(CriteriTecnici!$M1685,",","."),0))),4)&amp;""),",",".")&amp;", "&amp;CHAR(34)&amp;"rawScore"&amp;CHAR(34)&amp;": "&amp;SUBSTITUTE(TRIM(ROUND(IFERROR(CriteriTecnici!$O1685*1,IFERROR(NUMBERVALUE(CriteriTecnici!$O1685,".",","),IFERROR(NUMBERVALUE(CriteriTecnici!$O1685,",","."),0))),4)&amp;""),",",".")&amp;CHAR(125)&amp;IF(TRUE,",",""))</f>
        <v/>
      </c>
    </row>
    <row r="1787">
      <c r="A1787" s="82">
        <f>IF(CriteriTecnici!$A1686="","","    "&amp;CHAR(123)&amp;CHAR(34)&amp;"bidderId"&amp;CHAR(34)&amp;": "&amp;CHAR(34)&amp;SUBSTITUTE(CriteriTecnici!$A1686,CHAR(34),"'")&amp;CHAR(34)&amp;", "&amp;CHAR(34)&amp;"lotId"&amp;CHAR(34)&amp;": "&amp;CHAR(34)&amp;SUBSTITUTE(CriteriTecnici!$C1686,CHAR(34),"'")&amp;CHAR(34)&amp;", "&amp;CHAR(34)&amp;"criterionId"&amp;CHAR(34)&amp;": "&amp;CHAR(34)&amp;SUBSTITUTE(CriteriTecnici!$D1686,CHAR(34),"'")&amp;CHAR(34)&amp;", "&amp;CHAR(34)&amp;"kind"&amp;CHAR(34)&amp;": "&amp;CHAR(34)&amp;SUBSTITUTE(CriteriTecnici!$F1686,CHAR(34),"'")&amp;CHAR(34)&amp;", "&amp;CHAR(34)&amp;"value"&amp;CHAR(34)&amp;": "&amp;SUBSTITUTE(TRIM(ROUND(IFERROR(CriteriTecnici!$N1686*1,IFERROR(NUMBERVALUE(CriteriTecnici!$N1686,".",","),IFERROR(NUMBERVALUE(CriteriTecnici!$N1686,",","."),0))),4)&amp;""),",",".")&amp;", "&amp;CHAR(34)&amp;"numerator"&amp;CHAR(34)&amp;": "&amp;SUBSTITUTE(TRIM(ROUND(IFERROR(CriteriTecnici!$K1686*1,IFERROR(NUMBERVALUE(CriteriTecnici!$K1686,".",","),IFERROR(NUMBERVALUE(CriteriTecnici!$K1686,",","."),0))),4)&amp;""),",",".")&amp;", "&amp;CHAR(34)&amp;"denominator"&amp;CHAR(34)&amp;": "&amp;SUBSTITUTE(TRIM(ROUND(IFERROR(CriteriTecnici!$L1686*1,IFERROR(NUMBERVALUE(CriteriTecnici!$L1686,".",","),IFERROR(NUMBERVALUE(CriteriTecnici!$L1686,",","."),0))),4)&amp;""),",",".")&amp;", "&amp;CHAR(34)&amp;"flag"&amp;CHAR(34)&amp;": "&amp;SUBSTITUTE(TRIM(ROUND(IFERROR(CriteriTecnici!$M1686*1,IFERROR(NUMBERVALUE(CriteriTecnici!$M1686,".",","),IFERROR(NUMBERVALUE(CriteriTecnici!$M1686,",","."),0))),4)&amp;""),",",".")&amp;", "&amp;CHAR(34)&amp;"rawScore"&amp;CHAR(34)&amp;": "&amp;SUBSTITUTE(TRIM(ROUND(IFERROR(CriteriTecnici!$O1686*1,IFERROR(NUMBERVALUE(CriteriTecnici!$O1686,".",","),IFERROR(NUMBERVALUE(CriteriTecnici!$O1686,",","."),0))),4)&amp;""),",",".")&amp;CHAR(125)&amp;IF(TRUE,",",""))</f>
        <v/>
      </c>
    </row>
    <row r="1788">
      <c r="A1788" s="82">
        <f>IF(CriteriTecnici!$A1687="","","    "&amp;CHAR(123)&amp;CHAR(34)&amp;"bidderId"&amp;CHAR(34)&amp;": "&amp;CHAR(34)&amp;SUBSTITUTE(CriteriTecnici!$A1687,CHAR(34),"'")&amp;CHAR(34)&amp;", "&amp;CHAR(34)&amp;"lotId"&amp;CHAR(34)&amp;": "&amp;CHAR(34)&amp;SUBSTITUTE(CriteriTecnici!$C1687,CHAR(34),"'")&amp;CHAR(34)&amp;", "&amp;CHAR(34)&amp;"criterionId"&amp;CHAR(34)&amp;": "&amp;CHAR(34)&amp;SUBSTITUTE(CriteriTecnici!$D1687,CHAR(34),"'")&amp;CHAR(34)&amp;", "&amp;CHAR(34)&amp;"kind"&amp;CHAR(34)&amp;": "&amp;CHAR(34)&amp;SUBSTITUTE(CriteriTecnici!$F1687,CHAR(34),"'")&amp;CHAR(34)&amp;", "&amp;CHAR(34)&amp;"value"&amp;CHAR(34)&amp;": "&amp;SUBSTITUTE(TRIM(ROUND(IFERROR(CriteriTecnici!$N1687*1,IFERROR(NUMBERVALUE(CriteriTecnici!$N1687,".",","),IFERROR(NUMBERVALUE(CriteriTecnici!$N1687,",","."),0))),4)&amp;""),",",".")&amp;", "&amp;CHAR(34)&amp;"numerator"&amp;CHAR(34)&amp;": "&amp;SUBSTITUTE(TRIM(ROUND(IFERROR(CriteriTecnici!$K1687*1,IFERROR(NUMBERVALUE(CriteriTecnici!$K1687,".",","),IFERROR(NUMBERVALUE(CriteriTecnici!$K1687,",","."),0))),4)&amp;""),",",".")&amp;", "&amp;CHAR(34)&amp;"denominator"&amp;CHAR(34)&amp;": "&amp;SUBSTITUTE(TRIM(ROUND(IFERROR(CriteriTecnici!$L1687*1,IFERROR(NUMBERVALUE(CriteriTecnici!$L1687,".",","),IFERROR(NUMBERVALUE(CriteriTecnici!$L1687,",","."),0))),4)&amp;""),",",".")&amp;", "&amp;CHAR(34)&amp;"flag"&amp;CHAR(34)&amp;": "&amp;SUBSTITUTE(TRIM(ROUND(IFERROR(CriteriTecnici!$M1687*1,IFERROR(NUMBERVALUE(CriteriTecnici!$M1687,".",","),IFERROR(NUMBERVALUE(CriteriTecnici!$M1687,",","."),0))),4)&amp;""),",",".")&amp;", "&amp;CHAR(34)&amp;"rawScore"&amp;CHAR(34)&amp;": "&amp;SUBSTITUTE(TRIM(ROUND(IFERROR(CriteriTecnici!$O1687*1,IFERROR(NUMBERVALUE(CriteriTecnici!$O1687,".",","),IFERROR(NUMBERVALUE(CriteriTecnici!$O1687,",","."),0))),4)&amp;""),",",".")&amp;CHAR(125)&amp;IF(TRUE,",",""))</f>
        <v/>
      </c>
    </row>
    <row r="1789">
      <c r="A1789" s="82">
        <f>IF(CriteriTecnici!$A1688="","","    "&amp;CHAR(123)&amp;CHAR(34)&amp;"bidderId"&amp;CHAR(34)&amp;": "&amp;CHAR(34)&amp;SUBSTITUTE(CriteriTecnici!$A1688,CHAR(34),"'")&amp;CHAR(34)&amp;", "&amp;CHAR(34)&amp;"lotId"&amp;CHAR(34)&amp;": "&amp;CHAR(34)&amp;SUBSTITUTE(CriteriTecnici!$C1688,CHAR(34),"'")&amp;CHAR(34)&amp;", "&amp;CHAR(34)&amp;"criterionId"&amp;CHAR(34)&amp;": "&amp;CHAR(34)&amp;SUBSTITUTE(CriteriTecnici!$D1688,CHAR(34),"'")&amp;CHAR(34)&amp;", "&amp;CHAR(34)&amp;"kind"&amp;CHAR(34)&amp;": "&amp;CHAR(34)&amp;SUBSTITUTE(CriteriTecnici!$F1688,CHAR(34),"'")&amp;CHAR(34)&amp;", "&amp;CHAR(34)&amp;"value"&amp;CHAR(34)&amp;": "&amp;SUBSTITUTE(TRIM(ROUND(IFERROR(CriteriTecnici!$N1688*1,IFERROR(NUMBERVALUE(CriteriTecnici!$N1688,".",","),IFERROR(NUMBERVALUE(CriteriTecnici!$N1688,",","."),0))),4)&amp;""),",",".")&amp;", "&amp;CHAR(34)&amp;"numerator"&amp;CHAR(34)&amp;": "&amp;SUBSTITUTE(TRIM(ROUND(IFERROR(CriteriTecnici!$K1688*1,IFERROR(NUMBERVALUE(CriteriTecnici!$K1688,".",","),IFERROR(NUMBERVALUE(CriteriTecnici!$K1688,",","."),0))),4)&amp;""),",",".")&amp;", "&amp;CHAR(34)&amp;"denominator"&amp;CHAR(34)&amp;": "&amp;SUBSTITUTE(TRIM(ROUND(IFERROR(CriteriTecnici!$L1688*1,IFERROR(NUMBERVALUE(CriteriTecnici!$L1688,".",","),IFERROR(NUMBERVALUE(CriteriTecnici!$L1688,",","."),0))),4)&amp;""),",",".")&amp;", "&amp;CHAR(34)&amp;"flag"&amp;CHAR(34)&amp;": "&amp;SUBSTITUTE(TRIM(ROUND(IFERROR(CriteriTecnici!$M1688*1,IFERROR(NUMBERVALUE(CriteriTecnici!$M1688,".",","),IFERROR(NUMBERVALUE(CriteriTecnici!$M1688,",","."),0))),4)&amp;""),",",".")&amp;", "&amp;CHAR(34)&amp;"rawScore"&amp;CHAR(34)&amp;": "&amp;SUBSTITUTE(TRIM(ROUND(IFERROR(CriteriTecnici!$O1688*1,IFERROR(NUMBERVALUE(CriteriTecnici!$O1688,".",","),IFERROR(NUMBERVALUE(CriteriTecnici!$O1688,",","."),0))),4)&amp;""),",",".")&amp;CHAR(125)&amp;IF(TRUE,",",""))</f>
        <v/>
      </c>
    </row>
    <row r="1790">
      <c r="A1790" s="82">
        <f>IF(CriteriTecnici!$A1689="","","    "&amp;CHAR(123)&amp;CHAR(34)&amp;"bidderId"&amp;CHAR(34)&amp;": "&amp;CHAR(34)&amp;SUBSTITUTE(CriteriTecnici!$A1689,CHAR(34),"'")&amp;CHAR(34)&amp;", "&amp;CHAR(34)&amp;"lotId"&amp;CHAR(34)&amp;": "&amp;CHAR(34)&amp;SUBSTITUTE(CriteriTecnici!$C1689,CHAR(34),"'")&amp;CHAR(34)&amp;", "&amp;CHAR(34)&amp;"criterionId"&amp;CHAR(34)&amp;": "&amp;CHAR(34)&amp;SUBSTITUTE(CriteriTecnici!$D1689,CHAR(34),"'")&amp;CHAR(34)&amp;", "&amp;CHAR(34)&amp;"kind"&amp;CHAR(34)&amp;": "&amp;CHAR(34)&amp;SUBSTITUTE(CriteriTecnici!$F1689,CHAR(34),"'")&amp;CHAR(34)&amp;", "&amp;CHAR(34)&amp;"value"&amp;CHAR(34)&amp;": "&amp;SUBSTITUTE(TRIM(ROUND(IFERROR(CriteriTecnici!$N1689*1,IFERROR(NUMBERVALUE(CriteriTecnici!$N1689,".",","),IFERROR(NUMBERVALUE(CriteriTecnici!$N1689,",","."),0))),4)&amp;""),",",".")&amp;", "&amp;CHAR(34)&amp;"numerator"&amp;CHAR(34)&amp;": "&amp;SUBSTITUTE(TRIM(ROUND(IFERROR(CriteriTecnici!$K1689*1,IFERROR(NUMBERVALUE(CriteriTecnici!$K1689,".",","),IFERROR(NUMBERVALUE(CriteriTecnici!$K1689,",","."),0))),4)&amp;""),",",".")&amp;", "&amp;CHAR(34)&amp;"denominator"&amp;CHAR(34)&amp;": "&amp;SUBSTITUTE(TRIM(ROUND(IFERROR(CriteriTecnici!$L1689*1,IFERROR(NUMBERVALUE(CriteriTecnici!$L1689,".",","),IFERROR(NUMBERVALUE(CriteriTecnici!$L1689,",","."),0))),4)&amp;""),",",".")&amp;", "&amp;CHAR(34)&amp;"flag"&amp;CHAR(34)&amp;": "&amp;SUBSTITUTE(TRIM(ROUND(IFERROR(CriteriTecnici!$M1689*1,IFERROR(NUMBERVALUE(CriteriTecnici!$M1689,".",","),IFERROR(NUMBERVALUE(CriteriTecnici!$M1689,",","."),0))),4)&amp;""),",",".")&amp;", "&amp;CHAR(34)&amp;"rawScore"&amp;CHAR(34)&amp;": "&amp;SUBSTITUTE(TRIM(ROUND(IFERROR(CriteriTecnici!$O1689*1,IFERROR(NUMBERVALUE(CriteriTecnici!$O1689,".",","),IFERROR(NUMBERVALUE(CriteriTecnici!$O1689,",","."),0))),4)&amp;""),",",".")&amp;CHAR(125)&amp;IF(TRUE,",",""))</f>
        <v/>
      </c>
    </row>
    <row r="1791">
      <c r="A1791" s="82">
        <f>IF(CriteriTecnici!$A1690="","","    "&amp;CHAR(123)&amp;CHAR(34)&amp;"bidderId"&amp;CHAR(34)&amp;": "&amp;CHAR(34)&amp;SUBSTITUTE(CriteriTecnici!$A1690,CHAR(34),"'")&amp;CHAR(34)&amp;", "&amp;CHAR(34)&amp;"lotId"&amp;CHAR(34)&amp;": "&amp;CHAR(34)&amp;SUBSTITUTE(CriteriTecnici!$C1690,CHAR(34),"'")&amp;CHAR(34)&amp;", "&amp;CHAR(34)&amp;"criterionId"&amp;CHAR(34)&amp;": "&amp;CHAR(34)&amp;SUBSTITUTE(CriteriTecnici!$D1690,CHAR(34),"'")&amp;CHAR(34)&amp;", "&amp;CHAR(34)&amp;"kind"&amp;CHAR(34)&amp;": "&amp;CHAR(34)&amp;SUBSTITUTE(CriteriTecnici!$F1690,CHAR(34),"'")&amp;CHAR(34)&amp;", "&amp;CHAR(34)&amp;"value"&amp;CHAR(34)&amp;": "&amp;SUBSTITUTE(TRIM(ROUND(IFERROR(CriteriTecnici!$N1690*1,IFERROR(NUMBERVALUE(CriteriTecnici!$N1690,".",","),IFERROR(NUMBERVALUE(CriteriTecnici!$N1690,",","."),0))),4)&amp;""),",",".")&amp;", "&amp;CHAR(34)&amp;"numerator"&amp;CHAR(34)&amp;": "&amp;SUBSTITUTE(TRIM(ROUND(IFERROR(CriteriTecnici!$K1690*1,IFERROR(NUMBERVALUE(CriteriTecnici!$K1690,".",","),IFERROR(NUMBERVALUE(CriteriTecnici!$K1690,",","."),0))),4)&amp;""),",",".")&amp;", "&amp;CHAR(34)&amp;"denominator"&amp;CHAR(34)&amp;": "&amp;SUBSTITUTE(TRIM(ROUND(IFERROR(CriteriTecnici!$L1690*1,IFERROR(NUMBERVALUE(CriteriTecnici!$L1690,".",","),IFERROR(NUMBERVALUE(CriteriTecnici!$L1690,",","."),0))),4)&amp;""),",",".")&amp;", "&amp;CHAR(34)&amp;"flag"&amp;CHAR(34)&amp;": "&amp;SUBSTITUTE(TRIM(ROUND(IFERROR(CriteriTecnici!$M1690*1,IFERROR(NUMBERVALUE(CriteriTecnici!$M1690,".",","),IFERROR(NUMBERVALUE(CriteriTecnici!$M1690,",","."),0))),4)&amp;""),",",".")&amp;", "&amp;CHAR(34)&amp;"rawScore"&amp;CHAR(34)&amp;": "&amp;SUBSTITUTE(TRIM(ROUND(IFERROR(CriteriTecnici!$O1690*1,IFERROR(NUMBERVALUE(CriteriTecnici!$O1690,".",","),IFERROR(NUMBERVALUE(CriteriTecnici!$O1690,",","."),0))),4)&amp;""),",",".")&amp;CHAR(125)&amp;IF(TRUE,",",""))</f>
        <v/>
      </c>
    </row>
    <row r="1792">
      <c r="A1792" s="82">
        <f>IF(CriteriTecnici!$A1691="","","    "&amp;CHAR(123)&amp;CHAR(34)&amp;"bidderId"&amp;CHAR(34)&amp;": "&amp;CHAR(34)&amp;SUBSTITUTE(CriteriTecnici!$A1691,CHAR(34),"'")&amp;CHAR(34)&amp;", "&amp;CHAR(34)&amp;"lotId"&amp;CHAR(34)&amp;": "&amp;CHAR(34)&amp;SUBSTITUTE(CriteriTecnici!$C1691,CHAR(34),"'")&amp;CHAR(34)&amp;", "&amp;CHAR(34)&amp;"criterionId"&amp;CHAR(34)&amp;": "&amp;CHAR(34)&amp;SUBSTITUTE(CriteriTecnici!$D1691,CHAR(34),"'")&amp;CHAR(34)&amp;", "&amp;CHAR(34)&amp;"kind"&amp;CHAR(34)&amp;": "&amp;CHAR(34)&amp;SUBSTITUTE(CriteriTecnici!$F1691,CHAR(34),"'")&amp;CHAR(34)&amp;", "&amp;CHAR(34)&amp;"value"&amp;CHAR(34)&amp;": "&amp;SUBSTITUTE(TRIM(ROUND(IFERROR(CriteriTecnici!$N1691*1,IFERROR(NUMBERVALUE(CriteriTecnici!$N1691,".",","),IFERROR(NUMBERVALUE(CriteriTecnici!$N1691,",","."),0))),4)&amp;""),",",".")&amp;", "&amp;CHAR(34)&amp;"numerator"&amp;CHAR(34)&amp;": "&amp;SUBSTITUTE(TRIM(ROUND(IFERROR(CriteriTecnici!$K1691*1,IFERROR(NUMBERVALUE(CriteriTecnici!$K1691,".",","),IFERROR(NUMBERVALUE(CriteriTecnici!$K1691,",","."),0))),4)&amp;""),",",".")&amp;", "&amp;CHAR(34)&amp;"denominator"&amp;CHAR(34)&amp;": "&amp;SUBSTITUTE(TRIM(ROUND(IFERROR(CriteriTecnici!$L1691*1,IFERROR(NUMBERVALUE(CriteriTecnici!$L1691,".",","),IFERROR(NUMBERVALUE(CriteriTecnici!$L1691,",","."),0))),4)&amp;""),",",".")&amp;", "&amp;CHAR(34)&amp;"flag"&amp;CHAR(34)&amp;": "&amp;SUBSTITUTE(TRIM(ROUND(IFERROR(CriteriTecnici!$M1691*1,IFERROR(NUMBERVALUE(CriteriTecnici!$M1691,".",","),IFERROR(NUMBERVALUE(CriteriTecnici!$M1691,",","."),0))),4)&amp;""),",",".")&amp;", "&amp;CHAR(34)&amp;"rawScore"&amp;CHAR(34)&amp;": "&amp;SUBSTITUTE(TRIM(ROUND(IFERROR(CriteriTecnici!$O1691*1,IFERROR(NUMBERVALUE(CriteriTecnici!$O1691,".",","),IFERROR(NUMBERVALUE(CriteriTecnici!$O1691,",","."),0))),4)&amp;""),",",".")&amp;CHAR(125)&amp;IF(TRUE,",",""))</f>
        <v/>
      </c>
    </row>
    <row r="1793">
      <c r="A1793" s="82">
        <f>IF(CriteriTecnici!$A1692="","","    "&amp;CHAR(123)&amp;CHAR(34)&amp;"bidderId"&amp;CHAR(34)&amp;": "&amp;CHAR(34)&amp;SUBSTITUTE(CriteriTecnici!$A1692,CHAR(34),"'")&amp;CHAR(34)&amp;", "&amp;CHAR(34)&amp;"lotId"&amp;CHAR(34)&amp;": "&amp;CHAR(34)&amp;SUBSTITUTE(CriteriTecnici!$C1692,CHAR(34),"'")&amp;CHAR(34)&amp;", "&amp;CHAR(34)&amp;"criterionId"&amp;CHAR(34)&amp;": "&amp;CHAR(34)&amp;SUBSTITUTE(CriteriTecnici!$D1692,CHAR(34),"'")&amp;CHAR(34)&amp;", "&amp;CHAR(34)&amp;"kind"&amp;CHAR(34)&amp;": "&amp;CHAR(34)&amp;SUBSTITUTE(CriteriTecnici!$F1692,CHAR(34),"'")&amp;CHAR(34)&amp;", "&amp;CHAR(34)&amp;"value"&amp;CHAR(34)&amp;": "&amp;SUBSTITUTE(TRIM(ROUND(IFERROR(CriteriTecnici!$N1692*1,IFERROR(NUMBERVALUE(CriteriTecnici!$N1692,".",","),IFERROR(NUMBERVALUE(CriteriTecnici!$N1692,",","."),0))),4)&amp;""),",",".")&amp;", "&amp;CHAR(34)&amp;"numerator"&amp;CHAR(34)&amp;": "&amp;SUBSTITUTE(TRIM(ROUND(IFERROR(CriteriTecnici!$K1692*1,IFERROR(NUMBERVALUE(CriteriTecnici!$K1692,".",","),IFERROR(NUMBERVALUE(CriteriTecnici!$K1692,",","."),0))),4)&amp;""),",",".")&amp;", "&amp;CHAR(34)&amp;"denominator"&amp;CHAR(34)&amp;": "&amp;SUBSTITUTE(TRIM(ROUND(IFERROR(CriteriTecnici!$L1692*1,IFERROR(NUMBERVALUE(CriteriTecnici!$L1692,".",","),IFERROR(NUMBERVALUE(CriteriTecnici!$L1692,",","."),0))),4)&amp;""),",",".")&amp;", "&amp;CHAR(34)&amp;"flag"&amp;CHAR(34)&amp;": "&amp;SUBSTITUTE(TRIM(ROUND(IFERROR(CriteriTecnici!$M1692*1,IFERROR(NUMBERVALUE(CriteriTecnici!$M1692,".",","),IFERROR(NUMBERVALUE(CriteriTecnici!$M1692,",","."),0))),4)&amp;""),",",".")&amp;", "&amp;CHAR(34)&amp;"rawScore"&amp;CHAR(34)&amp;": "&amp;SUBSTITUTE(TRIM(ROUND(IFERROR(CriteriTecnici!$O1692*1,IFERROR(NUMBERVALUE(CriteriTecnici!$O1692,".",","),IFERROR(NUMBERVALUE(CriteriTecnici!$O1692,",","."),0))),4)&amp;""),",",".")&amp;CHAR(125)&amp;IF(TRUE,",",""))</f>
        <v/>
      </c>
    </row>
    <row r="1794">
      <c r="A1794" s="82">
        <f>IF(CriteriTecnici!$A1693="","","    "&amp;CHAR(123)&amp;CHAR(34)&amp;"bidderId"&amp;CHAR(34)&amp;": "&amp;CHAR(34)&amp;SUBSTITUTE(CriteriTecnici!$A1693,CHAR(34),"'")&amp;CHAR(34)&amp;", "&amp;CHAR(34)&amp;"lotId"&amp;CHAR(34)&amp;": "&amp;CHAR(34)&amp;SUBSTITUTE(CriteriTecnici!$C1693,CHAR(34),"'")&amp;CHAR(34)&amp;", "&amp;CHAR(34)&amp;"criterionId"&amp;CHAR(34)&amp;": "&amp;CHAR(34)&amp;SUBSTITUTE(CriteriTecnici!$D1693,CHAR(34),"'")&amp;CHAR(34)&amp;", "&amp;CHAR(34)&amp;"kind"&amp;CHAR(34)&amp;": "&amp;CHAR(34)&amp;SUBSTITUTE(CriteriTecnici!$F1693,CHAR(34),"'")&amp;CHAR(34)&amp;", "&amp;CHAR(34)&amp;"value"&amp;CHAR(34)&amp;": "&amp;SUBSTITUTE(TRIM(ROUND(IFERROR(CriteriTecnici!$N1693*1,IFERROR(NUMBERVALUE(CriteriTecnici!$N1693,".",","),IFERROR(NUMBERVALUE(CriteriTecnici!$N1693,",","."),0))),4)&amp;""),",",".")&amp;", "&amp;CHAR(34)&amp;"numerator"&amp;CHAR(34)&amp;": "&amp;SUBSTITUTE(TRIM(ROUND(IFERROR(CriteriTecnici!$K1693*1,IFERROR(NUMBERVALUE(CriteriTecnici!$K1693,".",","),IFERROR(NUMBERVALUE(CriteriTecnici!$K1693,",","."),0))),4)&amp;""),",",".")&amp;", "&amp;CHAR(34)&amp;"denominator"&amp;CHAR(34)&amp;": "&amp;SUBSTITUTE(TRIM(ROUND(IFERROR(CriteriTecnici!$L1693*1,IFERROR(NUMBERVALUE(CriteriTecnici!$L1693,".",","),IFERROR(NUMBERVALUE(CriteriTecnici!$L1693,",","."),0))),4)&amp;""),",",".")&amp;", "&amp;CHAR(34)&amp;"flag"&amp;CHAR(34)&amp;": "&amp;SUBSTITUTE(TRIM(ROUND(IFERROR(CriteriTecnici!$M1693*1,IFERROR(NUMBERVALUE(CriteriTecnici!$M1693,".",","),IFERROR(NUMBERVALUE(CriteriTecnici!$M1693,",","."),0))),4)&amp;""),",",".")&amp;", "&amp;CHAR(34)&amp;"rawScore"&amp;CHAR(34)&amp;": "&amp;SUBSTITUTE(TRIM(ROUND(IFERROR(CriteriTecnici!$O1693*1,IFERROR(NUMBERVALUE(CriteriTecnici!$O1693,".",","),IFERROR(NUMBERVALUE(CriteriTecnici!$O1693,",","."),0))),4)&amp;""),",",".")&amp;CHAR(125)&amp;IF(TRUE,",",""))</f>
        <v/>
      </c>
    </row>
    <row r="1795">
      <c r="A1795" s="82">
        <f>IF(CriteriTecnici!$A1694="","","    "&amp;CHAR(123)&amp;CHAR(34)&amp;"bidderId"&amp;CHAR(34)&amp;": "&amp;CHAR(34)&amp;SUBSTITUTE(CriteriTecnici!$A1694,CHAR(34),"'")&amp;CHAR(34)&amp;", "&amp;CHAR(34)&amp;"lotId"&amp;CHAR(34)&amp;": "&amp;CHAR(34)&amp;SUBSTITUTE(CriteriTecnici!$C1694,CHAR(34),"'")&amp;CHAR(34)&amp;", "&amp;CHAR(34)&amp;"criterionId"&amp;CHAR(34)&amp;": "&amp;CHAR(34)&amp;SUBSTITUTE(CriteriTecnici!$D1694,CHAR(34),"'")&amp;CHAR(34)&amp;", "&amp;CHAR(34)&amp;"kind"&amp;CHAR(34)&amp;": "&amp;CHAR(34)&amp;SUBSTITUTE(CriteriTecnici!$F1694,CHAR(34),"'")&amp;CHAR(34)&amp;", "&amp;CHAR(34)&amp;"value"&amp;CHAR(34)&amp;": "&amp;SUBSTITUTE(TRIM(ROUND(IFERROR(CriteriTecnici!$N1694*1,IFERROR(NUMBERVALUE(CriteriTecnici!$N1694,".",","),IFERROR(NUMBERVALUE(CriteriTecnici!$N1694,",","."),0))),4)&amp;""),",",".")&amp;", "&amp;CHAR(34)&amp;"numerator"&amp;CHAR(34)&amp;": "&amp;SUBSTITUTE(TRIM(ROUND(IFERROR(CriteriTecnici!$K1694*1,IFERROR(NUMBERVALUE(CriteriTecnici!$K1694,".",","),IFERROR(NUMBERVALUE(CriteriTecnici!$K1694,",","."),0))),4)&amp;""),",",".")&amp;", "&amp;CHAR(34)&amp;"denominator"&amp;CHAR(34)&amp;": "&amp;SUBSTITUTE(TRIM(ROUND(IFERROR(CriteriTecnici!$L1694*1,IFERROR(NUMBERVALUE(CriteriTecnici!$L1694,".",","),IFERROR(NUMBERVALUE(CriteriTecnici!$L1694,",","."),0))),4)&amp;""),",",".")&amp;", "&amp;CHAR(34)&amp;"flag"&amp;CHAR(34)&amp;": "&amp;SUBSTITUTE(TRIM(ROUND(IFERROR(CriteriTecnici!$M1694*1,IFERROR(NUMBERVALUE(CriteriTecnici!$M1694,".",","),IFERROR(NUMBERVALUE(CriteriTecnici!$M1694,",","."),0))),4)&amp;""),",",".")&amp;", "&amp;CHAR(34)&amp;"rawScore"&amp;CHAR(34)&amp;": "&amp;SUBSTITUTE(TRIM(ROUND(IFERROR(CriteriTecnici!$O1694*1,IFERROR(NUMBERVALUE(CriteriTecnici!$O1694,".",","),IFERROR(NUMBERVALUE(CriteriTecnici!$O1694,",","."),0))),4)&amp;""),",",".")&amp;CHAR(125)&amp;IF(TRUE,",",""))</f>
        <v/>
      </c>
    </row>
    <row r="1796">
      <c r="A1796" s="82">
        <f>IF(CriteriTecnici!$A1695="","","    "&amp;CHAR(123)&amp;CHAR(34)&amp;"bidderId"&amp;CHAR(34)&amp;": "&amp;CHAR(34)&amp;SUBSTITUTE(CriteriTecnici!$A1695,CHAR(34),"'")&amp;CHAR(34)&amp;", "&amp;CHAR(34)&amp;"lotId"&amp;CHAR(34)&amp;": "&amp;CHAR(34)&amp;SUBSTITUTE(CriteriTecnici!$C1695,CHAR(34),"'")&amp;CHAR(34)&amp;", "&amp;CHAR(34)&amp;"criterionId"&amp;CHAR(34)&amp;": "&amp;CHAR(34)&amp;SUBSTITUTE(CriteriTecnici!$D1695,CHAR(34),"'")&amp;CHAR(34)&amp;", "&amp;CHAR(34)&amp;"kind"&amp;CHAR(34)&amp;": "&amp;CHAR(34)&amp;SUBSTITUTE(CriteriTecnici!$F1695,CHAR(34),"'")&amp;CHAR(34)&amp;", "&amp;CHAR(34)&amp;"value"&amp;CHAR(34)&amp;": "&amp;SUBSTITUTE(TRIM(ROUND(IFERROR(CriteriTecnici!$N1695*1,IFERROR(NUMBERVALUE(CriteriTecnici!$N1695,".",","),IFERROR(NUMBERVALUE(CriteriTecnici!$N1695,",","."),0))),4)&amp;""),",",".")&amp;", "&amp;CHAR(34)&amp;"numerator"&amp;CHAR(34)&amp;": "&amp;SUBSTITUTE(TRIM(ROUND(IFERROR(CriteriTecnici!$K1695*1,IFERROR(NUMBERVALUE(CriteriTecnici!$K1695,".",","),IFERROR(NUMBERVALUE(CriteriTecnici!$K1695,",","."),0))),4)&amp;""),",",".")&amp;", "&amp;CHAR(34)&amp;"denominator"&amp;CHAR(34)&amp;": "&amp;SUBSTITUTE(TRIM(ROUND(IFERROR(CriteriTecnici!$L1695*1,IFERROR(NUMBERVALUE(CriteriTecnici!$L1695,".",","),IFERROR(NUMBERVALUE(CriteriTecnici!$L1695,",","."),0))),4)&amp;""),",",".")&amp;", "&amp;CHAR(34)&amp;"flag"&amp;CHAR(34)&amp;": "&amp;SUBSTITUTE(TRIM(ROUND(IFERROR(CriteriTecnici!$M1695*1,IFERROR(NUMBERVALUE(CriteriTecnici!$M1695,".",","),IFERROR(NUMBERVALUE(CriteriTecnici!$M1695,",","."),0))),4)&amp;""),",",".")&amp;", "&amp;CHAR(34)&amp;"rawScore"&amp;CHAR(34)&amp;": "&amp;SUBSTITUTE(TRIM(ROUND(IFERROR(CriteriTecnici!$O1695*1,IFERROR(NUMBERVALUE(CriteriTecnici!$O1695,".",","),IFERROR(NUMBERVALUE(CriteriTecnici!$O1695,",","."),0))),4)&amp;""),",",".")&amp;CHAR(125)&amp;IF(TRUE,",",""))</f>
        <v/>
      </c>
    </row>
    <row r="1797">
      <c r="A1797" s="82">
        <f>IF(CriteriTecnici!$A1696="","","    "&amp;CHAR(123)&amp;CHAR(34)&amp;"bidderId"&amp;CHAR(34)&amp;": "&amp;CHAR(34)&amp;SUBSTITUTE(CriteriTecnici!$A1696,CHAR(34),"'")&amp;CHAR(34)&amp;", "&amp;CHAR(34)&amp;"lotId"&amp;CHAR(34)&amp;": "&amp;CHAR(34)&amp;SUBSTITUTE(CriteriTecnici!$C1696,CHAR(34),"'")&amp;CHAR(34)&amp;", "&amp;CHAR(34)&amp;"criterionId"&amp;CHAR(34)&amp;": "&amp;CHAR(34)&amp;SUBSTITUTE(CriteriTecnici!$D1696,CHAR(34),"'")&amp;CHAR(34)&amp;", "&amp;CHAR(34)&amp;"kind"&amp;CHAR(34)&amp;": "&amp;CHAR(34)&amp;SUBSTITUTE(CriteriTecnici!$F1696,CHAR(34),"'")&amp;CHAR(34)&amp;", "&amp;CHAR(34)&amp;"value"&amp;CHAR(34)&amp;": "&amp;SUBSTITUTE(TRIM(ROUND(IFERROR(CriteriTecnici!$N1696*1,IFERROR(NUMBERVALUE(CriteriTecnici!$N1696,".",","),IFERROR(NUMBERVALUE(CriteriTecnici!$N1696,",","."),0))),4)&amp;""),",",".")&amp;", "&amp;CHAR(34)&amp;"numerator"&amp;CHAR(34)&amp;": "&amp;SUBSTITUTE(TRIM(ROUND(IFERROR(CriteriTecnici!$K1696*1,IFERROR(NUMBERVALUE(CriteriTecnici!$K1696,".",","),IFERROR(NUMBERVALUE(CriteriTecnici!$K1696,",","."),0))),4)&amp;""),",",".")&amp;", "&amp;CHAR(34)&amp;"denominator"&amp;CHAR(34)&amp;": "&amp;SUBSTITUTE(TRIM(ROUND(IFERROR(CriteriTecnici!$L1696*1,IFERROR(NUMBERVALUE(CriteriTecnici!$L1696,".",","),IFERROR(NUMBERVALUE(CriteriTecnici!$L1696,",","."),0))),4)&amp;""),",",".")&amp;", "&amp;CHAR(34)&amp;"flag"&amp;CHAR(34)&amp;": "&amp;SUBSTITUTE(TRIM(ROUND(IFERROR(CriteriTecnici!$M1696*1,IFERROR(NUMBERVALUE(CriteriTecnici!$M1696,".",","),IFERROR(NUMBERVALUE(CriteriTecnici!$M1696,",","."),0))),4)&amp;""),",",".")&amp;", "&amp;CHAR(34)&amp;"rawScore"&amp;CHAR(34)&amp;": "&amp;SUBSTITUTE(TRIM(ROUND(IFERROR(CriteriTecnici!$O1696*1,IFERROR(NUMBERVALUE(CriteriTecnici!$O1696,".",","),IFERROR(NUMBERVALUE(CriteriTecnici!$O1696,",","."),0))),4)&amp;""),",",".")&amp;CHAR(125)&amp;IF(TRUE,",",""))</f>
        <v/>
      </c>
    </row>
    <row r="1798">
      <c r="A1798" s="82">
        <f>IF(CriteriTecnici!$A1697="","","    "&amp;CHAR(123)&amp;CHAR(34)&amp;"bidderId"&amp;CHAR(34)&amp;": "&amp;CHAR(34)&amp;SUBSTITUTE(CriteriTecnici!$A1697,CHAR(34),"'")&amp;CHAR(34)&amp;", "&amp;CHAR(34)&amp;"lotId"&amp;CHAR(34)&amp;": "&amp;CHAR(34)&amp;SUBSTITUTE(CriteriTecnici!$C1697,CHAR(34),"'")&amp;CHAR(34)&amp;", "&amp;CHAR(34)&amp;"criterionId"&amp;CHAR(34)&amp;": "&amp;CHAR(34)&amp;SUBSTITUTE(CriteriTecnici!$D1697,CHAR(34),"'")&amp;CHAR(34)&amp;", "&amp;CHAR(34)&amp;"kind"&amp;CHAR(34)&amp;": "&amp;CHAR(34)&amp;SUBSTITUTE(CriteriTecnici!$F1697,CHAR(34),"'")&amp;CHAR(34)&amp;", "&amp;CHAR(34)&amp;"value"&amp;CHAR(34)&amp;": "&amp;SUBSTITUTE(TRIM(ROUND(IFERROR(CriteriTecnici!$N1697*1,IFERROR(NUMBERVALUE(CriteriTecnici!$N1697,".",","),IFERROR(NUMBERVALUE(CriteriTecnici!$N1697,",","."),0))),4)&amp;""),",",".")&amp;", "&amp;CHAR(34)&amp;"numerator"&amp;CHAR(34)&amp;": "&amp;SUBSTITUTE(TRIM(ROUND(IFERROR(CriteriTecnici!$K1697*1,IFERROR(NUMBERVALUE(CriteriTecnici!$K1697,".",","),IFERROR(NUMBERVALUE(CriteriTecnici!$K1697,",","."),0))),4)&amp;""),",",".")&amp;", "&amp;CHAR(34)&amp;"denominator"&amp;CHAR(34)&amp;": "&amp;SUBSTITUTE(TRIM(ROUND(IFERROR(CriteriTecnici!$L1697*1,IFERROR(NUMBERVALUE(CriteriTecnici!$L1697,".",","),IFERROR(NUMBERVALUE(CriteriTecnici!$L1697,",","."),0))),4)&amp;""),",",".")&amp;", "&amp;CHAR(34)&amp;"flag"&amp;CHAR(34)&amp;": "&amp;SUBSTITUTE(TRIM(ROUND(IFERROR(CriteriTecnici!$M1697*1,IFERROR(NUMBERVALUE(CriteriTecnici!$M1697,".",","),IFERROR(NUMBERVALUE(CriteriTecnici!$M1697,",","."),0))),4)&amp;""),",",".")&amp;", "&amp;CHAR(34)&amp;"rawScore"&amp;CHAR(34)&amp;": "&amp;SUBSTITUTE(TRIM(ROUND(IFERROR(CriteriTecnici!$O1697*1,IFERROR(NUMBERVALUE(CriteriTecnici!$O1697,".",","),IFERROR(NUMBERVALUE(CriteriTecnici!$O1697,",","."),0))),4)&amp;""),",",".")&amp;CHAR(125)&amp;IF(TRUE,",",""))</f>
        <v/>
      </c>
    </row>
    <row r="1799">
      <c r="A1799" s="82">
        <f>IF(CriteriTecnici!$A1698="","","    "&amp;CHAR(123)&amp;CHAR(34)&amp;"bidderId"&amp;CHAR(34)&amp;": "&amp;CHAR(34)&amp;SUBSTITUTE(CriteriTecnici!$A1698,CHAR(34),"'")&amp;CHAR(34)&amp;", "&amp;CHAR(34)&amp;"lotId"&amp;CHAR(34)&amp;": "&amp;CHAR(34)&amp;SUBSTITUTE(CriteriTecnici!$C1698,CHAR(34),"'")&amp;CHAR(34)&amp;", "&amp;CHAR(34)&amp;"criterionId"&amp;CHAR(34)&amp;": "&amp;CHAR(34)&amp;SUBSTITUTE(CriteriTecnici!$D1698,CHAR(34),"'")&amp;CHAR(34)&amp;", "&amp;CHAR(34)&amp;"kind"&amp;CHAR(34)&amp;": "&amp;CHAR(34)&amp;SUBSTITUTE(CriteriTecnici!$F1698,CHAR(34),"'")&amp;CHAR(34)&amp;", "&amp;CHAR(34)&amp;"value"&amp;CHAR(34)&amp;": "&amp;SUBSTITUTE(TRIM(ROUND(IFERROR(CriteriTecnici!$N1698*1,IFERROR(NUMBERVALUE(CriteriTecnici!$N1698,".",","),IFERROR(NUMBERVALUE(CriteriTecnici!$N1698,",","."),0))),4)&amp;""),",",".")&amp;", "&amp;CHAR(34)&amp;"numerator"&amp;CHAR(34)&amp;": "&amp;SUBSTITUTE(TRIM(ROUND(IFERROR(CriteriTecnici!$K1698*1,IFERROR(NUMBERVALUE(CriteriTecnici!$K1698,".",","),IFERROR(NUMBERVALUE(CriteriTecnici!$K1698,",","."),0))),4)&amp;""),",",".")&amp;", "&amp;CHAR(34)&amp;"denominator"&amp;CHAR(34)&amp;": "&amp;SUBSTITUTE(TRIM(ROUND(IFERROR(CriteriTecnici!$L1698*1,IFERROR(NUMBERVALUE(CriteriTecnici!$L1698,".",","),IFERROR(NUMBERVALUE(CriteriTecnici!$L1698,",","."),0))),4)&amp;""),",",".")&amp;", "&amp;CHAR(34)&amp;"flag"&amp;CHAR(34)&amp;": "&amp;SUBSTITUTE(TRIM(ROUND(IFERROR(CriteriTecnici!$M1698*1,IFERROR(NUMBERVALUE(CriteriTecnici!$M1698,".",","),IFERROR(NUMBERVALUE(CriteriTecnici!$M1698,",","."),0))),4)&amp;""),",",".")&amp;", "&amp;CHAR(34)&amp;"rawScore"&amp;CHAR(34)&amp;": "&amp;SUBSTITUTE(TRIM(ROUND(IFERROR(CriteriTecnici!$O1698*1,IFERROR(NUMBERVALUE(CriteriTecnici!$O1698,".",","),IFERROR(NUMBERVALUE(CriteriTecnici!$O1698,",","."),0))),4)&amp;""),",",".")&amp;CHAR(125)&amp;IF(TRUE,",",""))</f>
        <v/>
      </c>
    </row>
    <row r="1800">
      <c r="A1800" s="82">
        <f>IF(CriteriTecnici!$A1699="","","    "&amp;CHAR(123)&amp;CHAR(34)&amp;"bidderId"&amp;CHAR(34)&amp;": "&amp;CHAR(34)&amp;SUBSTITUTE(CriteriTecnici!$A1699,CHAR(34),"'")&amp;CHAR(34)&amp;", "&amp;CHAR(34)&amp;"lotId"&amp;CHAR(34)&amp;": "&amp;CHAR(34)&amp;SUBSTITUTE(CriteriTecnici!$C1699,CHAR(34),"'")&amp;CHAR(34)&amp;", "&amp;CHAR(34)&amp;"criterionId"&amp;CHAR(34)&amp;": "&amp;CHAR(34)&amp;SUBSTITUTE(CriteriTecnici!$D1699,CHAR(34),"'")&amp;CHAR(34)&amp;", "&amp;CHAR(34)&amp;"kind"&amp;CHAR(34)&amp;": "&amp;CHAR(34)&amp;SUBSTITUTE(CriteriTecnici!$F1699,CHAR(34),"'")&amp;CHAR(34)&amp;", "&amp;CHAR(34)&amp;"value"&amp;CHAR(34)&amp;": "&amp;SUBSTITUTE(TRIM(ROUND(IFERROR(CriteriTecnici!$N1699*1,IFERROR(NUMBERVALUE(CriteriTecnici!$N1699,".",","),IFERROR(NUMBERVALUE(CriteriTecnici!$N1699,",","."),0))),4)&amp;""),",",".")&amp;", "&amp;CHAR(34)&amp;"numerator"&amp;CHAR(34)&amp;": "&amp;SUBSTITUTE(TRIM(ROUND(IFERROR(CriteriTecnici!$K1699*1,IFERROR(NUMBERVALUE(CriteriTecnici!$K1699,".",","),IFERROR(NUMBERVALUE(CriteriTecnici!$K1699,",","."),0))),4)&amp;""),",",".")&amp;", "&amp;CHAR(34)&amp;"denominator"&amp;CHAR(34)&amp;": "&amp;SUBSTITUTE(TRIM(ROUND(IFERROR(CriteriTecnici!$L1699*1,IFERROR(NUMBERVALUE(CriteriTecnici!$L1699,".",","),IFERROR(NUMBERVALUE(CriteriTecnici!$L1699,",","."),0))),4)&amp;""),",",".")&amp;", "&amp;CHAR(34)&amp;"flag"&amp;CHAR(34)&amp;": "&amp;SUBSTITUTE(TRIM(ROUND(IFERROR(CriteriTecnici!$M1699*1,IFERROR(NUMBERVALUE(CriteriTecnici!$M1699,".",","),IFERROR(NUMBERVALUE(CriteriTecnici!$M1699,",","."),0))),4)&amp;""),",",".")&amp;", "&amp;CHAR(34)&amp;"rawScore"&amp;CHAR(34)&amp;": "&amp;SUBSTITUTE(TRIM(ROUND(IFERROR(CriteriTecnici!$O1699*1,IFERROR(NUMBERVALUE(CriteriTecnici!$O1699,".",","),IFERROR(NUMBERVALUE(CriteriTecnici!$O1699,",","."),0))),4)&amp;""),",",".")&amp;CHAR(125)&amp;IF(TRUE,",",""))</f>
        <v/>
      </c>
    </row>
    <row r="1801">
      <c r="A1801" s="82">
        <f>IF(CriteriTecnici!$A1700="","","    "&amp;CHAR(123)&amp;CHAR(34)&amp;"bidderId"&amp;CHAR(34)&amp;": "&amp;CHAR(34)&amp;SUBSTITUTE(CriteriTecnici!$A1700,CHAR(34),"'")&amp;CHAR(34)&amp;", "&amp;CHAR(34)&amp;"lotId"&amp;CHAR(34)&amp;": "&amp;CHAR(34)&amp;SUBSTITUTE(CriteriTecnici!$C1700,CHAR(34),"'")&amp;CHAR(34)&amp;", "&amp;CHAR(34)&amp;"criterionId"&amp;CHAR(34)&amp;": "&amp;CHAR(34)&amp;SUBSTITUTE(CriteriTecnici!$D1700,CHAR(34),"'")&amp;CHAR(34)&amp;", "&amp;CHAR(34)&amp;"kind"&amp;CHAR(34)&amp;": "&amp;CHAR(34)&amp;SUBSTITUTE(CriteriTecnici!$F1700,CHAR(34),"'")&amp;CHAR(34)&amp;", "&amp;CHAR(34)&amp;"value"&amp;CHAR(34)&amp;": "&amp;SUBSTITUTE(TRIM(ROUND(IFERROR(CriteriTecnici!$N1700*1,IFERROR(NUMBERVALUE(CriteriTecnici!$N1700,".",","),IFERROR(NUMBERVALUE(CriteriTecnici!$N1700,",","."),0))),4)&amp;""),",",".")&amp;", "&amp;CHAR(34)&amp;"numerator"&amp;CHAR(34)&amp;": "&amp;SUBSTITUTE(TRIM(ROUND(IFERROR(CriteriTecnici!$K1700*1,IFERROR(NUMBERVALUE(CriteriTecnici!$K1700,".",","),IFERROR(NUMBERVALUE(CriteriTecnici!$K1700,",","."),0))),4)&amp;""),",",".")&amp;", "&amp;CHAR(34)&amp;"denominator"&amp;CHAR(34)&amp;": "&amp;SUBSTITUTE(TRIM(ROUND(IFERROR(CriteriTecnici!$L1700*1,IFERROR(NUMBERVALUE(CriteriTecnici!$L1700,".",","),IFERROR(NUMBERVALUE(CriteriTecnici!$L1700,",","."),0))),4)&amp;""),",",".")&amp;", "&amp;CHAR(34)&amp;"flag"&amp;CHAR(34)&amp;": "&amp;SUBSTITUTE(TRIM(ROUND(IFERROR(CriteriTecnici!$M1700*1,IFERROR(NUMBERVALUE(CriteriTecnici!$M1700,".",","),IFERROR(NUMBERVALUE(CriteriTecnici!$M1700,",","."),0))),4)&amp;""),",",".")&amp;", "&amp;CHAR(34)&amp;"rawScore"&amp;CHAR(34)&amp;": "&amp;SUBSTITUTE(TRIM(ROUND(IFERROR(CriteriTecnici!$O1700*1,IFERROR(NUMBERVALUE(CriteriTecnici!$O1700,".",","),IFERROR(NUMBERVALUE(CriteriTecnici!$O1700,",","."),0))),4)&amp;""),",",".")&amp;CHAR(125)&amp;IF(TRUE,",",""))</f>
        <v/>
      </c>
    </row>
    <row r="1802">
      <c r="A1802" s="82">
        <f>IF(CriteriTecnici!$A1701="","","    "&amp;CHAR(123)&amp;CHAR(34)&amp;"bidderId"&amp;CHAR(34)&amp;": "&amp;CHAR(34)&amp;SUBSTITUTE(CriteriTecnici!$A1701,CHAR(34),"'")&amp;CHAR(34)&amp;", "&amp;CHAR(34)&amp;"lotId"&amp;CHAR(34)&amp;": "&amp;CHAR(34)&amp;SUBSTITUTE(CriteriTecnici!$C1701,CHAR(34),"'")&amp;CHAR(34)&amp;", "&amp;CHAR(34)&amp;"criterionId"&amp;CHAR(34)&amp;": "&amp;CHAR(34)&amp;SUBSTITUTE(CriteriTecnici!$D1701,CHAR(34),"'")&amp;CHAR(34)&amp;", "&amp;CHAR(34)&amp;"kind"&amp;CHAR(34)&amp;": "&amp;CHAR(34)&amp;SUBSTITUTE(CriteriTecnici!$F1701,CHAR(34),"'")&amp;CHAR(34)&amp;", "&amp;CHAR(34)&amp;"value"&amp;CHAR(34)&amp;": "&amp;SUBSTITUTE(TRIM(ROUND(IFERROR(CriteriTecnici!$N1701*1,IFERROR(NUMBERVALUE(CriteriTecnici!$N1701,".",","),IFERROR(NUMBERVALUE(CriteriTecnici!$N1701,",","."),0))),4)&amp;""),",",".")&amp;", "&amp;CHAR(34)&amp;"numerator"&amp;CHAR(34)&amp;": "&amp;SUBSTITUTE(TRIM(ROUND(IFERROR(CriteriTecnici!$K1701*1,IFERROR(NUMBERVALUE(CriteriTecnici!$K1701,".",","),IFERROR(NUMBERVALUE(CriteriTecnici!$K1701,",","."),0))),4)&amp;""),",",".")&amp;", "&amp;CHAR(34)&amp;"denominator"&amp;CHAR(34)&amp;": "&amp;SUBSTITUTE(TRIM(ROUND(IFERROR(CriteriTecnici!$L1701*1,IFERROR(NUMBERVALUE(CriteriTecnici!$L1701,".",","),IFERROR(NUMBERVALUE(CriteriTecnici!$L1701,",","."),0))),4)&amp;""),",",".")&amp;", "&amp;CHAR(34)&amp;"flag"&amp;CHAR(34)&amp;": "&amp;SUBSTITUTE(TRIM(ROUND(IFERROR(CriteriTecnici!$M1701*1,IFERROR(NUMBERVALUE(CriteriTecnici!$M1701,".",","),IFERROR(NUMBERVALUE(CriteriTecnici!$M1701,",","."),0))),4)&amp;""),",",".")&amp;", "&amp;CHAR(34)&amp;"rawScore"&amp;CHAR(34)&amp;": "&amp;SUBSTITUTE(TRIM(ROUND(IFERROR(CriteriTecnici!$O1701*1,IFERROR(NUMBERVALUE(CriteriTecnici!$O1701,".",","),IFERROR(NUMBERVALUE(CriteriTecnici!$O1701,",","."),0))),4)&amp;""),",",".")&amp;CHAR(125)&amp;IF(TRUE,",",""))</f>
        <v/>
      </c>
    </row>
    <row r="1803">
      <c r="A1803" s="82">
        <f>IF(CriteriTecnici!$A1702="","","    "&amp;CHAR(123)&amp;CHAR(34)&amp;"bidderId"&amp;CHAR(34)&amp;": "&amp;CHAR(34)&amp;SUBSTITUTE(CriteriTecnici!$A1702,CHAR(34),"'")&amp;CHAR(34)&amp;", "&amp;CHAR(34)&amp;"lotId"&amp;CHAR(34)&amp;": "&amp;CHAR(34)&amp;SUBSTITUTE(CriteriTecnici!$C1702,CHAR(34),"'")&amp;CHAR(34)&amp;", "&amp;CHAR(34)&amp;"criterionId"&amp;CHAR(34)&amp;": "&amp;CHAR(34)&amp;SUBSTITUTE(CriteriTecnici!$D1702,CHAR(34),"'")&amp;CHAR(34)&amp;", "&amp;CHAR(34)&amp;"kind"&amp;CHAR(34)&amp;": "&amp;CHAR(34)&amp;SUBSTITUTE(CriteriTecnici!$F1702,CHAR(34),"'")&amp;CHAR(34)&amp;", "&amp;CHAR(34)&amp;"value"&amp;CHAR(34)&amp;": "&amp;SUBSTITUTE(TRIM(ROUND(IFERROR(CriteriTecnici!$N1702*1,IFERROR(NUMBERVALUE(CriteriTecnici!$N1702,".",","),IFERROR(NUMBERVALUE(CriteriTecnici!$N1702,",","."),0))),4)&amp;""),",",".")&amp;", "&amp;CHAR(34)&amp;"numerator"&amp;CHAR(34)&amp;": "&amp;SUBSTITUTE(TRIM(ROUND(IFERROR(CriteriTecnici!$K1702*1,IFERROR(NUMBERVALUE(CriteriTecnici!$K1702,".",","),IFERROR(NUMBERVALUE(CriteriTecnici!$K1702,",","."),0))),4)&amp;""),",",".")&amp;", "&amp;CHAR(34)&amp;"denominator"&amp;CHAR(34)&amp;": "&amp;SUBSTITUTE(TRIM(ROUND(IFERROR(CriteriTecnici!$L1702*1,IFERROR(NUMBERVALUE(CriteriTecnici!$L1702,".",","),IFERROR(NUMBERVALUE(CriteriTecnici!$L1702,",","."),0))),4)&amp;""),",",".")&amp;", "&amp;CHAR(34)&amp;"flag"&amp;CHAR(34)&amp;": "&amp;SUBSTITUTE(TRIM(ROUND(IFERROR(CriteriTecnici!$M1702*1,IFERROR(NUMBERVALUE(CriteriTecnici!$M1702,".",","),IFERROR(NUMBERVALUE(CriteriTecnici!$M1702,",","."),0))),4)&amp;""),",",".")&amp;", "&amp;CHAR(34)&amp;"rawScore"&amp;CHAR(34)&amp;": "&amp;SUBSTITUTE(TRIM(ROUND(IFERROR(CriteriTecnici!$O1702*1,IFERROR(NUMBERVALUE(CriteriTecnici!$O1702,".",","),IFERROR(NUMBERVALUE(CriteriTecnici!$O1702,",","."),0))),4)&amp;""),",",".")&amp;CHAR(125)&amp;IF(TRUE,",",""))</f>
        <v/>
      </c>
    </row>
    <row r="1804">
      <c r="A1804" s="82">
        <f>IF(CriteriTecnici!$A1703="","","    "&amp;CHAR(123)&amp;CHAR(34)&amp;"bidderId"&amp;CHAR(34)&amp;": "&amp;CHAR(34)&amp;SUBSTITUTE(CriteriTecnici!$A1703,CHAR(34),"'")&amp;CHAR(34)&amp;", "&amp;CHAR(34)&amp;"lotId"&amp;CHAR(34)&amp;": "&amp;CHAR(34)&amp;SUBSTITUTE(CriteriTecnici!$C1703,CHAR(34),"'")&amp;CHAR(34)&amp;", "&amp;CHAR(34)&amp;"criterionId"&amp;CHAR(34)&amp;": "&amp;CHAR(34)&amp;SUBSTITUTE(CriteriTecnici!$D1703,CHAR(34),"'")&amp;CHAR(34)&amp;", "&amp;CHAR(34)&amp;"kind"&amp;CHAR(34)&amp;": "&amp;CHAR(34)&amp;SUBSTITUTE(CriteriTecnici!$F1703,CHAR(34),"'")&amp;CHAR(34)&amp;", "&amp;CHAR(34)&amp;"value"&amp;CHAR(34)&amp;": "&amp;SUBSTITUTE(TRIM(ROUND(IFERROR(CriteriTecnici!$N1703*1,IFERROR(NUMBERVALUE(CriteriTecnici!$N1703,".",","),IFERROR(NUMBERVALUE(CriteriTecnici!$N1703,",","."),0))),4)&amp;""),",",".")&amp;", "&amp;CHAR(34)&amp;"numerator"&amp;CHAR(34)&amp;": "&amp;SUBSTITUTE(TRIM(ROUND(IFERROR(CriteriTecnici!$K1703*1,IFERROR(NUMBERVALUE(CriteriTecnici!$K1703,".",","),IFERROR(NUMBERVALUE(CriteriTecnici!$K1703,",","."),0))),4)&amp;""),",",".")&amp;", "&amp;CHAR(34)&amp;"denominator"&amp;CHAR(34)&amp;": "&amp;SUBSTITUTE(TRIM(ROUND(IFERROR(CriteriTecnici!$L1703*1,IFERROR(NUMBERVALUE(CriteriTecnici!$L1703,".",","),IFERROR(NUMBERVALUE(CriteriTecnici!$L1703,",","."),0))),4)&amp;""),",",".")&amp;", "&amp;CHAR(34)&amp;"flag"&amp;CHAR(34)&amp;": "&amp;SUBSTITUTE(TRIM(ROUND(IFERROR(CriteriTecnici!$M1703*1,IFERROR(NUMBERVALUE(CriteriTecnici!$M1703,".",","),IFERROR(NUMBERVALUE(CriteriTecnici!$M1703,",","."),0))),4)&amp;""),",",".")&amp;", "&amp;CHAR(34)&amp;"rawScore"&amp;CHAR(34)&amp;": "&amp;SUBSTITUTE(TRIM(ROUND(IFERROR(CriteriTecnici!$O1703*1,IFERROR(NUMBERVALUE(CriteriTecnici!$O1703,".",","),IFERROR(NUMBERVALUE(CriteriTecnici!$O1703,",","."),0))),4)&amp;""),",",".")&amp;CHAR(125)&amp;IF(TRUE,",",""))</f>
        <v/>
      </c>
    </row>
    <row r="1805">
      <c r="A1805" s="82">
        <f>IF(CriteriTecnici!$A1704="","","    "&amp;CHAR(123)&amp;CHAR(34)&amp;"bidderId"&amp;CHAR(34)&amp;": "&amp;CHAR(34)&amp;SUBSTITUTE(CriteriTecnici!$A1704,CHAR(34),"'")&amp;CHAR(34)&amp;", "&amp;CHAR(34)&amp;"lotId"&amp;CHAR(34)&amp;": "&amp;CHAR(34)&amp;SUBSTITUTE(CriteriTecnici!$C1704,CHAR(34),"'")&amp;CHAR(34)&amp;", "&amp;CHAR(34)&amp;"criterionId"&amp;CHAR(34)&amp;": "&amp;CHAR(34)&amp;SUBSTITUTE(CriteriTecnici!$D1704,CHAR(34),"'")&amp;CHAR(34)&amp;", "&amp;CHAR(34)&amp;"kind"&amp;CHAR(34)&amp;": "&amp;CHAR(34)&amp;SUBSTITUTE(CriteriTecnici!$F1704,CHAR(34),"'")&amp;CHAR(34)&amp;", "&amp;CHAR(34)&amp;"value"&amp;CHAR(34)&amp;": "&amp;SUBSTITUTE(TRIM(ROUND(IFERROR(CriteriTecnici!$N1704*1,IFERROR(NUMBERVALUE(CriteriTecnici!$N1704,".",","),IFERROR(NUMBERVALUE(CriteriTecnici!$N1704,",","."),0))),4)&amp;""),",",".")&amp;", "&amp;CHAR(34)&amp;"numerator"&amp;CHAR(34)&amp;": "&amp;SUBSTITUTE(TRIM(ROUND(IFERROR(CriteriTecnici!$K1704*1,IFERROR(NUMBERVALUE(CriteriTecnici!$K1704,".",","),IFERROR(NUMBERVALUE(CriteriTecnici!$K1704,",","."),0))),4)&amp;""),",",".")&amp;", "&amp;CHAR(34)&amp;"denominator"&amp;CHAR(34)&amp;": "&amp;SUBSTITUTE(TRIM(ROUND(IFERROR(CriteriTecnici!$L1704*1,IFERROR(NUMBERVALUE(CriteriTecnici!$L1704,".",","),IFERROR(NUMBERVALUE(CriteriTecnici!$L1704,",","."),0))),4)&amp;""),",",".")&amp;", "&amp;CHAR(34)&amp;"flag"&amp;CHAR(34)&amp;": "&amp;SUBSTITUTE(TRIM(ROUND(IFERROR(CriteriTecnici!$M1704*1,IFERROR(NUMBERVALUE(CriteriTecnici!$M1704,".",","),IFERROR(NUMBERVALUE(CriteriTecnici!$M1704,",","."),0))),4)&amp;""),",",".")&amp;", "&amp;CHAR(34)&amp;"rawScore"&amp;CHAR(34)&amp;": "&amp;SUBSTITUTE(TRIM(ROUND(IFERROR(CriteriTecnici!$O1704*1,IFERROR(NUMBERVALUE(CriteriTecnici!$O1704,".",","),IFERROR(NUMBERVALUE(CriteriTecnici!$O1704,",","."),0))),4)&amp;""),",",".")&amp;CHAR(125)&amp;IF(TRUE,",",""))</f>
        <v/>
      </c>
    </row>
    <row r="1806">
      <c r="A1806" s="82">
        <f>IF(CriteriTecnici!$A1705="","","    "&amp;CHAR(123)&amp;CHAR(34)&amp;"bidderId"&amp;CHAR(34)&amp;": "&amp;CHAR(34)&amp;SUBSTITUTE(CriteriTecnici!$A1705,CHAR(34),"'")&amp;CHAR(34)&amp;", "&amp;CHAR(34)&amp;"lotId"&amp;CHAR(34)&amp;": "&amp;CHAR(34)&amp;SUBSTITUTE(CriteriTecnici!$C1705,CHAR(34),"'")&amp;CHAR(34)&amp;", "&amp;CHAR(34)&amp;"criterionId"&amp;CHAR(34)&amp;": "&amp;CHAR(34)&amp;SUBSTITUTE(CriteriTecnici!$D1705,CHAR(34),"'")&amp;CHAR(34)&amp;", "&amp;CHAR(34)&amp;"kind"&amp;CHAR(34)&amp;": "&amp;CHAR(34)&amp;SUBSTITUTE(CriteriTecnici!$F1705,CHAR(34),"'")&amp;CHAR(34)&amp;", "&amp;CHAR(34)&amp;"value"&amp;CHAR(34)&amp;": "&amp;SUBSTITUTE(TRIM(ROUND(IFERROR(CriteriTecnici!$N1705*1,IFERROR(NUMBERVALUE(CriteriTecnici!$N1705,".",","),IFERROR(NUMBERVALUE(CriteriTecnici!$N1705,",","."),0))),4)&amp;""),",",".")&amp;", "&amp;CHAR(34)&amp;"numerator"&amp;CHAR(34)&amp;": "&amp;SUBSTITUTE(TRIM(ROUND(IFERROR(CriteriTecnici!$K1705*1,IFERROR(NUMBERVALUE(CriteriTecnici!$K1705,".",","),IFERROR(NUMBERVALUE(CriteriTecnici!$K1705,",","."),0))),4)&amp;""),",",".")&amp;", "&amp;CHAR(34)&amp;"denominator"&amp;CHAR(34)&amp;": "&amp;SUBSTITUTE(TRIM(ROUND(IFERROR(CriteriTecnici!$L1705*1,IFERROR(NUMBERVALUE(CriteriTecnici!$L1705,".",","),IFERROR(NUMBERVALUE(CriteriTecnici!$L1705,",","."),0))),4)&amp;""),",",".")&amp;", "&amp;CHAR(34)&amp;"flag"&amp;CHAR(34)&amp;": "&amp;SUBSTITUTE(TRIM(ROUND(IFERROR(CriteriTecnici!$M1705*1,IFERROR(NUMBERVALUE(CriteriTecnici!$M1705,".",","),IFERROR(NUMBERVALUE(CriteriTecnici!$M1705,",","."),0))),4)&amp;""),",",".")&amp;", "&amp;CHAR(34)&amp;"rawScore"&amp;CHAR(34)&amp;": "&amp;SUBSTITUTE(TRIM(ROUND(IFERROR(CriteriTecnici!$O1705*1,IFERROR(NUMBERVALUE(CriteriTecnici!$O1705,".",","),IFERROR(NUMBERVALUE(CriteriTecnici!$O1705,",","."),0))),4)&amp;""),",",".")&amp;CHAR(125)&amp;IF(TRUE,",",""))</f>
        <v/>
      </c>
    </row>
    <row r="1807">
      <c r="A1807" s="82">
        <f>IF(CriteriTecnici!$A1706="","","    "&amp;CHAR(123)&amp;CHAR(34)&amp;"bidderId"&amp;CHAR(34)&amp;": "&amp;CHAR(34)&amp;SUBSTITUTE(CriteriTecnici!$A1706,CHAR(34),"'")&amp;CHAR(34)&amp;", "&amp;CHAR(34)&amp;"lotId"&amp;CHAR(34)&amp;": "&amp;CHAR(34)&amp;SUBSTITUTE(CriteriTecnici!$C1706,CHAR(34),"'")&amp;CHAR(34)&amp;", "&amp;CHAR(34)&amp;"criterionId"&amp;CHAR(34)&amp;": "&amp;CHAR(34)&amp;SUBSTITUTE(CriteriTecnici!$D1706,CHAR(34),"'")&amp;CHAR(34)&amp;", "&amp;CHAR(34)&amp;"kind"&amp;CHAR(34)&amp;": "&amp;CHAR(34)&amp;SUBSTITUTE(CriteriTecnici!$F1706,CHAR(34),"'")&amp;CHAR(34)&amp;", "&amp;CHAR(34)&amp;"value"&amp;CHAR(34)&amp;": "&amp;SUBSTITUTE(TRIM(ROUND(IFERROR(CriteriTecnici!$N1706*1,IFERROR(NUMBERVALUE(CriteriTecnici!$N1706,".",","),IFERROR(NUMBERVALUE(CriteriTecnici!$N1706,",","."),0))),4)&amp;""),",",".")&amp;", "&amp;CHAR(34)&amp;"numerator"&amp;CHAR(34)&amp;": "&amp;SUBSTITUTE(TRIM(ROUND(IFERROR(CriteriTecnici!$K1706*1,IFERROR(NUMBERVALUE(CriteriTecnici!$K1706,".",","),IFERROR(NUMBERVALUE(CriteriTecnici!$K1706,",","."),0))),4)&amp;""),",",".")&amp;", "&amp;CHAR(34)&amp;"denominator"&amp;CHAR(34)&amp;": "&amp;SUBSTITUTE(TRIM(ROUND(IFERROR(CriteriTecnici!$L1706*1,IFERROR(NUMBERVALUE(CriteriTecnici!$L1706,".",","),IFERROR(NUMBERVALUE(CriteriTecnici!$L1706,",","."),0))),4)&amp;""),",",".")&amp;", "&amp;CHAR(34)&amp;"flag"&amp;CHAR(34)&amp;": "&amp;SUBSTITUTE(TRIM(ROUND(IFERROR(CriteriTecnici!$M1706*1,IFERROR(NUMBERVALUE(CriteriTecnici!$M1706,".",","),IFERROR(NUMBERVALUE(CriteriTecnici!$M1706,",","."),0))),4)&amp;""),",",".")&amp;", "&amp;CHAR(34)&amp;"rawScore"&amp;CHAR(34)&amp;": "&amp;SUBSTITUTE(TRIM(ROUND(IFERROR(CriteriTecnici!$O1706*1,IFERROR(NUMBERVALUE(CriteriTecnici!$O1706,".",","),IFERROR(NUMBERVALUE(CriteriTecnici!$O1706,",","."),0))),4)&amp;""),",",".")&amp;CHAR(125)&amp;IF(TRUE,",",""))</f>
        <v/>
      </c>
    </row>
    <row r="1808">
      <c r="A1808" s="82">
        <f>IF(CriteriTecnici!$A1707="","","    "&amp;CHAR(123)&amp;CHAR(34)&amp;"bidderId"&amp;CHAR(34)&amp;": "&amp;CHAR(34)&amp;SUBSTITUTE(CriteriTecnici!$A1707,CHAR(34),"'")&amp;CHAR(34)&amp;", "&amp;CHAR(34)&amp;"lotId"&amp;CHAR(34)&amp;": "&amp;CHAR(34)&amp;SUBSTITUTE(CriteriTecnici!$C1707,CHAR(34),"'")&amp;CHAR(34)&amp;", "&amp;CHAR(34)&amp;"criterionId"&amp;CHAR(34)&amp;": "&amp;CHAR(34)&amp;SUBSTITUTE(CriteriTecnici!$D1707,CHAR(34),"'")&amp;CHAR(34)&amp;", "&amp;CHAR(34)&amp;"kind"&amp;CHAR(34)&amp;": "&amp;CHAR(34)&amp;SUBSTITUTE(CriteriTecnici!$F1707,CHAR(34),"'")&amp;CHAR(34)&amp;", "&amp;CHAR(34)&amp;"value"&amp;CHAR(34)&amp;": "&amp;SUBSTITUTE(TRIM(ROUND(IFERROR(CriteriTecnici!$N1707*1,IFERROR(NUMBERVALUE(CriteriTecnici!$N1707,".",","),IFERROR(NUMBERVALUE(CriteriTecnici!$N1707,",","."),0))),4)&amp;""),",",".")&amp;", "&amp;CHAR(34)&amp;"numerator"&amp;CHAR(34)&amp;": "&amp;SUBSTITUTE(TRIM(ROUND(IFERROR(CriteriTecnici!$K1707*1,IFERROR(NUMBERVALUE(CriteriTecnici!$K1707,".",","),IFERROR(NUMBERVALUE(CriteriTecnici!$K1707,",","."),0))),4)&amp;""),",",".")&amp;", "&amp;CHAR(34)&amp;"denominator"&amp;CHAR(34)&amp;": "&amp;SUBSTITUTE(TRIM(ROUND(IFERROR(CriteriTecnici!$L1707*1,IFERROR(NUMBERVALUE(CriteriTecnici!$L1707,".",","),IFERROR(NUMBERVALUE(CriteriTecnici!$L1707,",","."),0))),4)&amp;""),",",".")&amp;", "&amp;CHAR(34)&amp;"flag"&amp;CHAR(34)&amp;": "&amp;SUBSTITUTE(TRIM(ROUND(IFERROR(CriteriTecnici!$M1707*1,IFERROR(NUMBERVALUE(CriteriTecnici!$M1707,".",","),IFERROR(NUMBERVALUE(CriteriTecnici!$M1707,",","."),0))),4)&amp;""),",",".")&amp;", "&amp;CHAR(34)&amp;"rawScore"&amp;CHAR(34)&amp;": "&amp;SUBSTITUTE(TRIM(ROUND(IFERROR(CriteriTecnici!$O1707*1,IFERROR(NUMBERVALUE(CriteriTecnici!$O1707,".",","),IFERROR(NUMBERVALUE(CriteriTecnici!$O1707,",","."),0))),4)&amp;""),",",".")&amp;CHAR(125)&amp;IF(TRUE,",",""))</f>
        <v/>
      </c>
    </row>
    <row r="1809">
      <c r="A1809" s="82">
        <f>IF(CriteriTecnici!$A1708="","","    "&amp;CHAR(123)&amp;CHAR(34)&amp;"bidderId"&amp;CHAR(34)&amp;": "&amp;CHAR(34)&amp;SUBSTITUTE(CriteriTecnici!$A1708,CHAR(34),"'")&amp;CHAR(34)&amp;", "&amp;CHAR(34)&amp;"lotId"&amp;CHAR(34)&amp;": "&amp;CHAR(34)&amp;SUBSTITUTE(CriteriTecnici!$C1708,CHAR(34),"'")&amp;CHAR(34)&amp;", "&amp;CHAR(34)&amp;"criterionId"&amp;CHAR(34)&amp;": "&amp;CHAR(34)&amp;SUBSTITUTE(CriteriTecnici!$D1708,CHAR(34),"'")&amp;CHAR(34)&amp;", "&amp;CHAR(34)&amp;"kind"&amp;CHAR(34)&amp;": "&amp;CHAR(34)&amp;SUBSTITUTE(CriteriTecnici!$F1708,CHAR(34),"'")&amp;CHAR(34)&amp;", "&amp;CHAR(34)&amp;"value"&amp;CHAR(34)&amp;": "&amp;SUBSTITUTE(TRIM(ROUND(IFERROR(CriteriTecnici!$N1708*1,IFERROR(NUMBERVALUE(CriteriTecnici!$N1708,".",","),IFERROR(NUMBERVALUE(CriteriTecnici!$N1708,",","."),0))),4)&amp;""),",",".")&amp;", "&amp;CHAR(34)&amp;"numerator"&amp;CHAR(34)&amp;": "&amp;SUBSTITUTE(TRIM(ROUND(IFERROR(CriteriTecnici!$K1708*1,IFERROR(NUMBERVALUE(CriteriTecnici!$K1708,".",","),IFERROR(NUMBERVALUE(CriteriTecnici!$K1708,",","."),0))),4)&amp;""),",",".")&amp;", "&amp;CHAR(34)&amp;"denominator"&amp;CHAR(34)&amp;": "&amp;SUBSTITUTE(TRIM(ROUND(IFERROR(CriteriTecnici!$L1708*1,IFERROR(NUMBERVALUE(CriteriTecnici!$L1708,".",","),IFERROR(NUMBERVALUE(CriteriTecnici!$L1708,",","."),0))),4)&amp;""),",",".")&amp;", "&amp;CHAR(34)&amp;"flag"&amp;CHAR(34)&amp;": "&amp;SUBSTITUTE(TRIM(ROUND(IFERROR(CriteriTecnici!$M1708*1,IFERROR(NUMBERVALUE(CriteriTecnici!$M1708,".",","),IFERROR(NUMBERVALUE(CriteriTecnici!$M1708,",","."),0))),4)&amp;""),",",".")&amp;", "&amp;CHAR(34)&amp;"rawScore"&amp;CHAR(34)&amp;": "&amp;SUBSTITUTE(TRIM(ROUND(IFERROR(CriteriTecnici!$O1708*1,IFERROR(NUMBERVALUE(CriteriTecnici!$O1708,".",","),IFERROR(NUMBERVALUE(CriteriTecnici!$O1708,",","."),0))),4)&amp;""),",",".")&amp;CHAR(125)&amp;IF(TRUE,",",""))</f>
        <v/>
      </c>
    </row>
    <row r="1810">
      <c r="A1810" s="82">
        <f>IF(CriteriTecnici!$A1709="","","    "&amp;CHAR(123)&amp;CHAR(34)&amp;"bidderId"&amp;CHAR(34)&amp;": "&amp;CHAR(34)&amp;SUBSTITUTE(CriteriTecnici!$A1709,CHAR(34),"'")&amp;CHAR(34)&amp;", "&amp;CHAR(34)&amp;"lotId"&amp;CHAR(34)&amp;": "&amp;CHAR(34)&amp;SUBSTITUTE(CriteriTecnici!$C1709,CHAR(34),"'")&amp;CHAR(34)&amp;", "&amp;CHAR(34)&amp;"criterionId"&amp;CHAR(34)&amp;": "&amp;CHAR(34)&amp;SUBSTITUTE(CriteriTecnici!$D1709,CHAR(34),"'")&amp;CHAR(34)&amp;", "&amp;CHAR(34)&amp;"kind"&amp;CHAR(34)&amp;": "&amp;CHAR(34)&amp;SUBSTITUTE(CriteriTecnici!$F1709,CHAR(34),"'")&amp;CHAR(34)&amp;", "&amp;CHAR(34)&amp;"value"&amp;CHAR(34)&amp;": "&amp;SUBSTITUTE(TRIM(ROUND(IFERROR(CriteriTecnici!$N1709*1,IFERROR(NUMBERVALUE(CriteriTecnici!$N1709,".",","),IFERROR(NUMBERVALUE(CriteriTecnici!$N1709,",","."),0))),4)&amp;""),",",".")&amp;", "&amp;CHAR(34)&amp;"numerator"&amp;CHAR(34)&amp;": "&amp;SUBSTITUTE(TRIM(ROUND(IFERROR(CriteriTecnici!$K1709*1,IFERROR(NUMBERVALUE(CriteriTecnici!$K1709,".",","),IFERROR(NUMBERVALUE(CriteriTecnici!$K1709,",","."),0))),4)&amp;""),",",".")&amp;", "&amp;CHAR(34)&amp;"denominator"&amp;CHAR(34)&amp;": "&amp;SUBSTITUTE(TRIM(ROUND(IFERROR(CriteriTecnici!$L1709*1,IFERROR(NUMBERVALUE(CriteriTecnici!$L1709,".",","),IFERROR(NUMBERVALUE(CriteriTecnici!$L1709,",","."),0))),4)&amp;""),",",".")&amp;", "&amp;CHAR(34)&amp;"flag"&amp;CHAR(34)&amp;": "&amp;SUBSTITUTE(TRIM(ROUND(IFERROR(CriteriTecnici!$M1709*1,IFERROR(NUMBERVALUE(CriteriTecnici!$M1709,".",","),IFERROR(NUMBERVALUE(CriteriTecnici!$M1709,",","."),0))),4)&amp;""),",",".")&amp;", "&amp;CHAR(34)&amp;"rawScore"&amp;CHAR(34)&amp;": "&amp;SUBSTITUTE(TRIM(ROUND(IFERROR(CriteriTecnici!$O1709*1,IFERROR(NUMBERVALUE(CriteriTecnici!$O1709,".",","),IFERROR(NUMBERVALUE(CriteriTecnici!$O1709,",","."),0))),4)&amp;""),",",".")&amp;CHAR(125)&amp;IF(COUNTA(Offerte!$A57:$A$81)&gt;0,",",""))</f>
        <v/>
      </c>
    </row>
    <row r="1811">
      <c r="A1811" s="82">
        <f>IF(CriteriTecnici!$A1710="","","    "&amp;CHAR(123)&amp;CHAR(34)&amp;"bidderId"&amp;CHAR(34)&amp;": "&amp;CHAR(34)&amp;SUBSTITUTE(CriteriTecnici!$A1710,CHAR(34),"'")&amp;CHAR(34)&amp;", "&amp;CHAR(34)&amp;"lotId"&amp;CHAR(34)&amp;": "&amp;CHAR(34)&amp;SUBSTITUTE(CriteriTecnici!$C1710,CHAR(34),"'")&amp;CHAR(34)&amp;", "&amp;CHAR(34)&amp;"criterionId"&amp;CHAR(34)&amp;": "&amp;CHAR(34)&amp;SUBSTITUTE(CriteriTecnici!$D1710,CHAR(34),"'")&amp;CHAR(34)&amp;", "&amp;CHAR(34)&amp;"kind"&amp;CHAR(34)&amp;": "&amp;CHAR(34)&amp;SUBSTITUTE(CriteriTecnici!$F1710,CHAR(34),"'")&amp;CHAR(34)&amp;", "&amp;CHAR(34)&amp;"value"&amp;CHAR(34)&amp;": "&amp;SUBSTITUTE(TRIM(ROUND(IFERROR(CriteriTecnici!$N1710*1,IFERROR(NUMBERVALUE(CriteriTecnici!$N1710,".",","),IFERROR(NUMBERVALUE(CriteriTecnici!$N1710,",","."),0))),4)&amp;""),",",".")&amp;", "&amp;CHAR(34)&amp;"numerator"&amp;CHAR(34)&amp;": "&amp;SUBSTITUTE(TRIM(ROUND(IFERROR(CriteriTecnici!$K1710*1,IFERROR(NUMBERVALUE(CriteriTecnici!$K1710,".",","),IFERROR(NUMBERVALUE(CriteriTecnici!$K1710,",","."),0))),4)&amp;""),",",".")&amp;", "&amp;CHAR(34)&amp;"denominator"&amp;CHAR(34)&amp;": "&amp;SUBSTITUTE(TRIM(ROUND(IFERROR(CriteriTecnici!$L1710*1,IFERROR(NUMBERVALUE(CriteriTecnici!$L1710,".",","),IFERROR(NUMBERVALUE(CriteriTecnici!$L1710,",","."),0))),4)&amp;""),",",".")&amp;", "&amp;CHAR(34)&amp;"flag"&amp;CHAR(34)&amp;": "&amp;SUBSTITUTE(TRIM(ROUND(IFERROR(CriteriTecnici!$M1710*1,IFERROR(NUMBERVALUE(CriteriTecnici!$M1710,".",","),IFERROR(NUMBERVALUE(CriteriTecnici!$M1710,",","."),0))),4)&amp;""),",",".")&amp;", "&amp;CHAR(34)&amp;"rawScore"&amp;CHAR(34)&amp;": "&amp;SUBSTITUTE(TRIM(ROUND(IFERROR(CriteriTecnici!$O1710*1,IFERROR(NUMBERVALUE(CriteriTecnici!$O1710,".",","),IFERROR(NUMBERVALUE(CriteriTecnici!$O1710,",","."),0))),4)&amp;""),",",".")&amp;CHAR(125)&amp;IF(TRUE,",",""))</f>
        <v/>
      </c>
    </row>
    <row r="1812">
      <c r="A1812" s="82">
        <f>IF(CriteriTecnici!$A1711="","","    "&amp;CHAR(123)&amp;CHAR(34)&amp;"bidderId"&amp;CHAR(34)&amp;": "&amp;CHAR(34)&amp;SUBSTITUTE(CriteriTecnici!$A1711,CHAR(34),"'")&amp;CHAR(34)&amp;", "&amp;CHAR(34)&amp;"lotId"&amp;CHAR(34)&amp;": "&amp;CHAR(34)&amp;SUBSTITUTE(CriteriTecnici!$C1711,CHAR(34),"'")&amp;CHAR(34)&amp;", "&amp;CHAR(34)&amp;"criterionId"&amp;CHAR(34)&amp;": "&amp;CHAR(34)&amp;SUBSTITUTE(CriteriTecnici!$D1711,CHAR(34),"'")&amp;CHAR(34)&amp;", "&amp;CHAR(34)&amp;"kind"&amp;CHAR(34)&amp;": "&amp;CHAR(34)&amp;SUBSTITUTE(CriteriTecnici!$F1711,CHAR(34),"'")&amp;CHAR(34)&amp;", "&amp;CHAR(34)&amp;"value"&amp;CHAR(34)&amp;": "&amp;SUBSTITUTE(TRIM(ROUND(IFERROR(CriteriTecnici!$N1711*1,IFERROR(NUMBERVALUE(CriteriTecnici!$N1711,".",","),IFERROR(NUMBERVALUE(CriteriTecnici!$N1711,",","."),0))),4)&amp;""),",",".")&amp;", "&amp;CHAR(34)&amp;"numerator"&amp;CHAR(34)&amp;": "&amp;SUBSTITUTE(TRIM(ROUND(IFERROR(CriteriTecnici!$K1711*1,IFERROR(NUMBERVALUE(CriteriTecnici!$K1711,".",","),IFERROR(NUMBERVALUE(CriteriTecnici!$K1711,",","."),0))),4)&amp;""),",",".")&amp;", "&amp;CHAR(34)&amp;"denominator"&amp;CHAR(34)&amp;": "&amp;SUBSTITUTE(TRIM(ROUND(IFERROR(CriteriTecnici!$L1711*1,IFERROR(NUMBERVALUE(CriteriTecnici!$L1711,".",","),IFERROR(NUMBERVALUE(CriteriTecnici!$L1711,",","."),0))),4)&amp;""),",",".")&amp;", "&amp;CHAR(34)&amp;"flag"&amp;CHAR(34)&amp;": "&amp;SUBSTITUTE(TRIM(ROUND(IFERROR(CriteriTecnici!$M1711*1,IFERROR(NUMBERVALUE(CriteriTecnici!$M1711,".",","),IFERROR(NUMBERVALUE(CriteriTecnici!$M1711,",","."),0))),4)&amp;""),",",".")&amp;", "&amp;CHAR(34)&amp;"rawScore"&amp;CHAR(34)&amp;": "&amp;SUBSTITUTE(TRIM(ROUND(IFERROR(CriteriTecnici!$O1711*1,IFERROR(NUMBERVALUE(CriteriTecnici!$O1711,".",","),IFERROR(NUMBERVALUE(CriteriTecnici!$O1711,",","."),0))),4)&amp;""),",",".")&amp;CHAR(125)&amp;IF(TRUE,",",""))</f>
        <v/>
      </c>
    </row>
    <row r="1813">
      <c r="A1813" s="82">
        <f>IF(CriteriTecnici!$A1712="","","    "&amp;CHAR(123)&amp;CHAR(34)&amp;"bidderId"&amp;CHAR(34)&amp;": "&amp;CHAR(34)&amp;SUBSTITUTE(CriteriTecnici!$A1712,CHAR(34),"'")&amp;CHAR(34)&amp;", "&amp;CHAR(34)&amp;"lotId"&amp;CHAR(34)&amp;": "&amp;CHAR(34)&amp;SUBSTITUTE(CriteriTecnici!$C1712,CHAR(34),"'")&amp;CHAR(34)&amp;", "&amp;CHAR(34)&amp;"criterionId"&amp;CHAR(34)&amp;": "&amp;CHAR(34)&amp;SUBSTITUTE(CriteriTecnici!$D1712,CHAR(34),"'")&amp;CHAR(34)&amp;", "&amp;CHAR(34)&amp;"kind"&amp;CHAR(34)&amp;": "&amp;CHAR(34)&amp;SUBSTITUTE(CriteriTecnici!$F1712,CHAR(34),"'")&amp;CHAR(34)&amp;", "&amp;CHAR(34)&amp;"value"&amp;CHAR(34)&amp;": "&amp;SUBSTITUTE(TRIM(ROUND(IFERROR(CriteriTecnici!$N1712*1,IFERROR(NUMBERVALUE(CriteriTecnici!$N1712,".",","),IFERROR(NUMBERVALUE(CriteriTecnici!$N1712,",","."),0))),4)&amp;""),",",".")&amp;", "&amp;CHAR(34)&amp;"numerator"&amp;CHAR(34)&amp;": "&amp;SUBSTITUTE(TRIM(ROUND(IFERROR(CriteriTecnici!$K1712*1,IFERROR(NUMBERVALUE(CriteriTecnici!$K1712,".",","),IFERROR(NUMBERVALUE(CriteriTecnici!$K1712,",","."),0))),4)&amp;""),",",".")&amp;", "&amp;CHAR(34)&amp;"denominator"&amp;CHAR(34)&amp;": "&amp;SUBSTITUTE(TRIM(ROUND(IFERROR(CriteriTecnici!$L1712*1,IFERROR(NUMBERVALUE(CriteriTecnici!$L1712,".",","),IFERROR(NUMBERVALUE(CriteriTecnici!$L1712,",","."),0))),4)&amp;""),",",".")&amp;", "&amp;CHAR(34)&amp;"flag"&amp;CHAR(34)&amp;": "&amp;SUBSTITUTE(TRIM(ROUND(IFERROR(CriteriTecnici!$M1712*1,IFERROR(NUMBERVALUE(CriteriTecnici!$M1712,".",","),IFERROR(NUMBERVALUE(CriteriTecnici!$M1712,",","."),0))),4)&amp;""),",",".")&amp;", "&amp;CHAR(34)&amp;"rawScore"&amp;CHAR(34)&amp;": "&amp;SUBSTITUTE(TRIM(ROUND(IFERROR(CriteriTecnici!$O1712*1,IFERROR(NUMBERVALUE(CriteriTecnici!$O1712,".",","),IFERROR(NUMBERVALUE(CriteriTecnici!$O1712,",","."),0))),4)&amp;""),",",".")&amp;CHAR(125)&amp;IF(TRUE,",",""))</f>
        <v/>
      </c>
    </row>
    <row r="1814">
      <c r="A1814" s="82">
        <f>IF(CriteriTecnici!$A1713="","","    "&amp;CHAR(123)&amp;CHAR(34)&amp;"bidderId"&amp;CHAR(34)&amp;": "&amp;CHAR(34)&amp;SUBSTITUTE(CriteriTecnici!$A1713,CHAR(34),"'")&amp;CHAR(34)&amp;", "&amp;CHAR(34)&amp;"lotId"&amp;CHAR(34)&amp;": "&amp;CHAR(34)&amp;SUBSTITUTE(CriteriTecnici!$C1713,CHAR(34),"'")&amp;CHAR(34)&amp;", "&amp;CHAR(34)&amp;"criterionId"&amp;CHAR(34)&amp;": "&amp;CHAR(34)&amp;SUBSTITUTE(CriteriTecnici!$D1713,CHAR(34),"'")&amp;CHAR(34)&amp;", "&amp;CHAR(34)&amp;"kind"&amp;CHAR(34)&amp;": "&amp;CHAR(34)&amp;SUBSTITUTE(CriteriTecnici!$F1713,CHAR(34),"'")&amp;CHAR(34)&amp;", "&amp;CHAR(34)&amp;"value"&amp;CHAR(34)&amp;": "&amp;SUBSTITUTE(TRIM(ROUND(IFERROR(CriteriTecnici!$N1713*1,IFERROR(NUMBERVALUE(CriteriTecnici!$N1713,".",","),IFERROR(NUMBERVALUE(CriteriTecnici!$N1713,",","."),0))),4)&amp;""),",",".")&amp;", "&amp;CHAR(34)&amp;"numerator"&amp;CHAR(34)&amp;": "&amp;SUBSTITUTE(TRIM(ROUND(IFERROR(CriteriTecnici!$K1713*1,IFERROR(NUMBERVALUE(CriteriTecnici!$K1713,".",","),IFERROR(NUMBERVALUE(CriteriTecnici!$K1713,",","."),0))),4)&amp;""),",",".")&amp;", "&amp;CHAR(34)&amp;"denominator"&amp;CHAR(34)&amp;": "&amp;SUBSTITUTE(TRIM(ROUND(IFERROR(CriteriTecnici!$L1713*1,IFERROR(NUMBERVALUE(CriteriTecnici!$L1713,".",","),IFERROR(NUMBERVALUE(CriteriTecnici!$L1713,",","."),0))),4)&amp;""),",",".")&amp;", "&amp;CHAR(34)&amp;"flag"&amp;CHAR(34)&amp;": "&amp;SUBSTITUTE(TRIM(ROUND(IFERROR(CriteriTecnici!$M1713*1,IFERROR(NUMBERVALUE(CriteriTecnici!$M1713,".",","),IFERROR(NUMBERVALUE(CriteriTecnici!$M1713,",","."),0))),4)&amp;""),",",".")&amp;", "&amp;CHAR(34)&amp;"rawScore"&amp;CHAR(34)&amp;": "&amp;SUBSTITUTE(TRIM(ROUND(IFERROR(CriteriTecnici!$O1713*1,IFERROR(NUMBERVALUE(CriteriTecnici!$O1713,".",","),IFERROR(NUMBERVALUE(CriteriTecnici!$O1713,",","."),0))),4)&amp;""),",",".")&amp;CHAR(125)&amp;IF(TRUE,",",""))</f>
        <v/>
      </c>
    </row>
    <row r="1815">
      <c r="A1815" s="82">
        <f>IF(CriteriTecnici!$A1714="","","    "&amp;CHAR(123)&amp;CHAR(34)&amp;"bidderId"&amp;CHAR(34)&amp;": "&amp;CHAR(34)&amp;SUBSTITUTE(CriteriTecnici!$A1714,CHAR(34),"'")&amp;CHAR(34)&amp;", "&amp;CHAR(34)&amp;"lotId"&amp;CHAR(34)&amp;": "&amp;CHAR(34)&amp;SUBSTITUTE(CriteriTecnici!$C1714,CHAR(34),"'")&amp;CHAR(34)&amp;", "&amp;CHAR(34)&amp;"criterionId"&amp;CHAR(34)&amp;": "&amp;CHAR(34)&amp;SUBSTITUTE(CriteriTecnici!$D1714,CHAR(34),"'")&amp;CHAR(34)&amp;", "&amp;CHAR(34)&amp;"kind"&amp;CHAR(34)&amp;": "&amp;CHAR(34)&amp;SUBSTITUTE(CriteriTecnici!$F1714,CHAR(34),"'")&amp;CHAR(34)&amp;", "&amp;CHAR(34)&amp;"value"&amp;CHAR(34)&amp;": "&amp;SUBSTITUTE(TRIM(ROUND(IFERROR(CriteriTecnici!$N1714*1,IFERROR(NUMBERVALUE(CriteriTecnici!$N1714,".",","),IFERROR(NUMBERVALUE(CriteriTecnici!$N1714,",","."),0))),4)&amp;""),",",".")&amp;", "&amp;CHAR(34)&amp;"numerator"&amp;CHAR(34)&amp;": "&amp;SUBSTITUTE(TRIM(ROUND(IFERROR(CriteriTecnici!$K1714*1,IFERROR(NUMBERVALUE(CriteriTecnici!$K1714,".",","),IFERROR(NUMBERVALUE(CriteriTecnici!$K1714,",","."),0))),4)&amp;""),",",".")&amp;", "&amp;CHAR(34)&amp;"denominator"&amp;CHAR(34)&amp;": "&amp;SUBSTITUTE(TRIM(ROUND(IFERROR(CriteriTecnici!$L1714*1,IFERROR(NUMBERVALUE(CriteriTecnici!$L1714,".",","),IFERROR(NUMBERVALUE(CriteriTecnici!$L1714,",","."),0))),4)&amp;""),",",".")&amp;", "&amp;CHAR(34)&amp;"flag"&amp;CHAR(34)&amp;": "&amp;SUBSTITUTE(TRIM(ROUND(IFERROR(CriteriTecnici!$M1714*1,IFERROR(NUMBERVALUE(CriteriTecnici!$M1714,".",","),IFERROR(NUMBERVALUE(CriteriTecnici!$M1714,",","."),0))),4)&amp;""),",",".")&amp;", "&amp;CHAR(34)&amp;"rawScore"&amp;CHAR(34)&amp;": "&amp;SUBSTITUTE(TRIM(ROUND(IFERROR(CriteriTecnici!$O1714*1,IFERROR(NUMBERVALUE(CriteriTecnici!$O1714,".",","),IFERROR(NUMBERVALUE(CriteriTecnici!$O1714,",","."),0))),4)&amp;""),",",".")&amp;CHAR(125)&amp;IF(TRUE,",",""))</f>
        <v/>
      </c>
    </row>
    <row r="1816">
      <c r="A1816" s="82">
        <f>IF(CriteriTecnici!$A1715="","","    "&amp;CHAR(123)&amp;CHAR(34)&amp;"bidderId"&amp;CHAR(34)&amp;": "&amp;CHAR(34)&amp;SUBSTITUTE(CriteriTecnici!$A1715,CHAR(34),"'")&amp;CHAR(34)&amp;", "&amp;CHAR(34)&amp;"lotId"&amp;CHAR(34)&amp;": "&amp;CHAR(34)&amp;SUBSTITUTE(CriteriTecnici!$C1715,CHAR(34),"'")&amp;CHAR(34)&amp;", "&amp;CHAR(34)&amp;"criterionId"&amp;CHAR(34)&amp;": "&amp;CHAR(34)&amp;SUBSTITUTE(CriteriTecnici!$D1715,CHAR(34),"'")&amp;CHAR(34)&amp;", "&amp;CHAR(34)&amp;"kind"&amp;CHAR(34)&amp;": "&amp;CHAR(34)&amp;SUBSTITUTE(CriteriTecnici!$F1715,CHAR(34),"'")&amp;CHAR(34)&amp;", "&amp;CHAR(34)&amp;"value"&amp;CHAR(34)&amp;": "&amp;SUBSTITUTE(TRIM(ROUND(IFERROR(CriteriTecnici!$N1715*1,IFERROR(NUMBERVALUE(CriteriTecnici!$N1715,".",","),IFERROR(NUMBERVALUE(CriteriTecnici!$N1715,",","."),0))),4)&amp;""),",",".")&amp;", "&amp;CHAR(34)&amp;"numerator"&amp;CHAR(34)&amp;": "&amp;SUBSTITUTE(TRIM(ROUND(IFERROR(CriteriTecnici!$K1715*1,IFERROR(NUMBERVALUE(CriteriTecnici!$K1715,".",","),IFERROR(NUMBERVALUE(CriteriTecnici!$K1715,",","."),0))),4)&amp;""),",",".")&amp;", "&amp;CHAR(34)&amp;"denominator"&amp;CHAR(34)&amp;": "&amp;SUBSTITUTE(TRIM(ROUND(IFERROR(CriteriTecnici!$L1715*1,IFERROR(NUMBERVALUE(CriteriTecnici!$L1715,".",","),IFERROR(NUMBERVALUE(CriteriTecnici!$L1715,",","."),0))),4)&amp;""),",",".")&amp;", "&amp;CHAR(34)&amp;"flag"&amp;CHAR(34)&amp;": "&amp;SUBSTITUTE(TRIM(ROUND(IFERROR(CriteriTecnici!$M1715*1,IFERROR(NUMBERVALUE(CriteriTecnici!$M1715,".",","),IFERROR(NUMBERVALUE(CriteriTecnici!$M1715,",","."),0))),4)&amp;""),",",".")&amp;", "&amp;CHAR(34)&amp;"rawScore"&amp;CHAR(34)&amp;": "&amp;SUBSTITUTE(TRIM(ROUND(IFERROR(CriteriTecnici!$O1715*1,IFERROR(NUMBERVALUE(CriteriTecnici!$O1715,".",","),IFERROR(NUMBERVALUE(CriteriTecnici!$O1715,",","."),0))),4)&amp;""),",",".")&amp;CHAR(125)&amp;IF(TRUE,",",""))</f>
        <v/>
      </c>
    </row>
    <row r="1817">
      <c r="A1817" s="82">
        <f>IF(CriteriTecnici!$A1716="","","    "&amp;CHAR(123)&amp;CHAR(34)&amp;"bidderId"&amp;CHAR(34)&amp;": "&amp;CHAR(34)&amp;SUBSTITUTE(CriteriTecnici!$A1716,CHAR(34),"'")&amp;CHAR(34)&amp;", "&amp;CHAR(34)&amp;"lotId"&amp;CHAR(34)&amp;": "&amp;CHAR(34)&amp;SUBSTITUTE(CriteriTecnici!$C1716,CHAR(34),"'")&amp;CHAR(34)&amp;", "&amp;CHAR(34)&amp;"criterionId"&amp;CHAR(34)&amp;": "&amp;CHAR(34)&amp;SUBSTITUTE(CriteriTecnici!$D1716,CHAR(34),"'")&amp;CHAR(34)&amp;", "&amp;CHAR(34)&amp;"kind"&amp;CHAR(34)&amp;": "&amp;CHAR(34)&amp;SUBSTITUTE(CriteriTecnici!$F1716,CHAR(34),"'")&amp;CHAR(34)&amp;", "&amp;CHAR(34)&amp;"value"&amp;CHAR(34)&amp;": "&amp;SUBSTITUTE(TRIM(ROUND(IFERROR(CriteriTecnici!$N1716*1,IFERROR(NUMBERVALUE(CriteriTecnici!$N1716,".",","),IFERROR(NUMBERVALUE(CriteriTecnici!$N1716,",","."),0))),4)&amp;""),",",".")&amp;", "&amp;CHAR(34)&amp;"numerator"&amp;CHAR(34)&amp;": "&amp;SUBSTITUTE(TRIM(ROUND(IFERROR(CriteriTecnici!$K1716*1,IFERROR(NUMBERVALUE(CriteriTecnici!$K1716,".",","),IFERROR(NUMBERVALUE(CriteriTecnici!$K1716,",","."),0))),4)&amp;""),",",".")&amp;", "&amp;CHAR(34)&amp;"denominator"&amp;CHAR(34)&amp;": "&amp;SUBSTITUTE(TRIM(ROUND(IFERROR(CriteriTecnici!$L1716*1,IFERROR(NUMBERVALUE(CriteriTecnici!$L1716,".",","),IFERROR(NUMBERVALUE(CriteriTecnici!$L1716,",","."),0))),4)&amp;""),",",".")&amp;", "&amp;CHAR(34)&amp;"flag"&amp;CHAR(34)&amp;": "&amp;SUBSTITUTE(TRIM(ROUND(IFERROR(CriteriTecnici!$M1716*1,IFERROR(NUMBERVALUE(CriteriTecnici!$M1716,".",","),IFERROR(NUMBERVALUE(CriteriTecnici!$M1716,",","."),0))),4)&amp;""),",",".")&amp;", "&amp;CHAR(34)&amp;"rawScore"&amp;CHAR(34)&amp;": "&amp;SUBSTITUTE(TRIM(ROUND(IFERROR(CriteriTecnici!$O1716*1,IFERROR(NUMBERVALUE(CriteriTecnici!$O1716,".",","),IFERROR(NUMBERVALUE(CriteriTecnici!$O1716,",","."),0))),4)&amp;""),",",".")&amp;CHAR(125)&amp;IF(TRUE,",",""))</f>
        <v/>
      </c>
    </row>
    <row r="1818">
      <c r="A1818" s="82">
        <f>IF(CriteriTecnici!$A1717="","","    "&amp;CHAR(123)&amp;CHAR(34)&amp;"bidderId"&amp;CHAR(34)&amp;": "&amp;CHAR(34)&amp;SUBSTITUTE(CriteriTecnici!$A1717,CHAR(34),"'")&amp;CHAR(34)&amp;", "&amp;CHAR(34)&amp;"lotId"&amp;CHAR(34)&amp;": "&amp;CHAR(34)&amp;SUBSTITUTE(CriteriTecnici!$C1717,CHAR(34),"'")&amp;CHAR(34)&amp;", "&amp;CHAR(34)&amp;"criterionId"&amp;CHAR(34)&amp;": "&amp;CHAR(34)&amp;SUBSTITUTE(CriteriTecnici!$D1717,CHAR(34),"'")&amp;CHAR(34)&amp;", "&amp;CHAR(34)&amp;"kind"&amp;CHAR(34)&amp;": "&amp;CHAR(34)&amp;SUBSTITUTE(CriteriTecnici!$F1717,CHAR(34),"'")&amp;CHAR(34)&amp;", "&amp;CHAR(34)&amp;"value"&amp;CHAR(34)&amp;": "&amp;SUBSTITUTE(TRIM(ROUND(IFERROR(CriteriTecnici!$N1717*1,IFERROR(NUMBERVALUE(CriteriTecnici!$N1717,".",","),IFERROR(NUMBERVALUE(CriteriTecnici!$N1717,",","."),0))),4)&amp;""),",",".")&amp;", "&amp;CHAR(34)&amp;"numerator"&amp;CHAR(34)&amp;": "&amp;SUBSTITUTE(TRIM(ROUND(IFERROR(CriteriTecnici!$K1717*1,IFERROR(NUMBERVALUE(CriteriTecnici!$K1717,".",","),IFERROR(NUMBERVALUE(CriteriTecnici!$K1717,",","."),0))),4)&amp;""),",",".")&amp;", "&amp;CHAR(34)&amp;"denominator"&amp;CHAR(34)&amp;": "&amp;SUBSTITUTE(TRIM(ROUND(IFERROR(CriteriTecnici!$L1717*1,IFERROR(NUMBERVALUE(CriteriTecnici!$L1717,".",","),IFERROR(NUMBERVALUE(CriteriTecnici!$L1717,",","."),0))),4)&amp;""),",",".")&amp;", "&amp;CHAR(34)&amp;"flag"&amp;CHAR(34)&amp;": "&amp;SUBSTITUTE(TRIM(ROUND(IFERROR(CriteriTecnici!$M1717*1,IFERROR(NUMBERVALUE(CriteriTecnici!$M1717,".",","),IFERROR(NUMBERVALUE(CriteriTecnici!$M1717,",","."),0))),4)&amp;""),",",".")&amp;", "&amp;CHAR(34)&amp;"rawScore"&amp;CHAR(34)&amp;": "&amp;SUBSTITUTE(TRIM(ROUND(IFERROR(CriteriTecnici!$O1717*1,IFERROR(NUMBERVALUE(CriteriTecnici!$O1717,".",","),IFERROR(NUMBERVALUE(CriteriTecnici!$O1717,",","."),0))),4)&amp;""),",",".")&amp;CHAR(125)&amp;IF(TRUE,",",""))</f>
        <v/>
      </c>
    </row>
    <row r="1819">
      <c r="A1819" s="82">
        <f>IF(CriteriTecnici!$A1718="","","    "&amp;CHAR(123)&amp;CHAR(34)&amp;"bidderId"&amp;CHAR(34)&amp;": "&amp;CHAR(34)&amp;SUBSTITUTE(CriteriTecnici!$A1718,CHAR(34),"'")&amp;CHAR(34)&amp;", "&amp;CHAR(34)&amp;"lotId"&amp;CHAR(34)&amp;": "&amp;CHAR(34)&amp;SUBSTITUTE(CriteriTecnici!$C1718,CHAR(34),"'")&amp;CHAR(34)&amp;", "&amp;CHAR(34)&amp;"criterionId"&amp;CHAR(34)&amp;": "&amp;CHAR(34)&amp;SUBSTITUTE(CriteriTecnici!$D1718,CHAR(34),"'")&amp;CHAR(34)&amp;", "&amp;CHAR(34)&amp;"kind"&amp;CHAR(34)&amp;": "&amp;CHAR(34)&amp;SUBSTITUTE(CriteriTecnici!$F1718,CHAR(34),"'")&amp;CHAR(34)&amp;", "&amp;CHAR(34)&amp;"value"&amp;CHAR(34)&amp;": "&amp;SUBSTITUTE(TRIM(ROUND(IFERROR(CriteriTecnici!$N1718*1,IFERROR(NUMBERVALUE(CriteriTecnici!$N1718,".",","),IFERROR(NUMBERVALUE(CriteriTecnici!$N1718,",","."),0))),4)&amp;""),",",".")&amp;", "&amp;CHAR(34)&amp;"numerator"&amp;CHAR(34)&amp;": "&amp;SUBSTITUTE(TRIM(ROUND(IFERROR(CriteriTecnici!$K1718*1,IFERROR(NUMBERVALUE(CriteriTecnici!$K1718,".",","),IFERROR(NUMBERVALUE(CriteriTecnici!$K1718,",","."),0))),4)&amp;""),",",".")&amp;", "&amp;CHAR(34)&amp;"denominator"&amp;CHAR(34)&amp;": "&amp;SUBSTITUTE(TRIM(ROUND(IFERROR(CriteriTecnici!$L1718*1,IFERROR(NUMBERVALUE(CriteriTecnici!$L1718,".",","),IFERROR(NUMBERVALUE(CriteriTecnici!$L1718,",","."),0))),4)&amp;""),",",".")&amp;", "&amp;CHAR(34)&amp;"flag"&amp;CHAR(34)&amp;": "&amp;SUBSTITUTE(TRIM(ROUND(IFERROR(CriteriTecnici!$M1718*1,IFERROR(NUMBERVALUE(CriteriTecnici!$M1718,".",","),IFERROR(NUMBERVALUE(CriteriTecnici!$M1718,",","."),0))),4)&amp;""),",",".")&amp;", "&amp;CHAR(34)&amp;"rawScore"&amp;CHAR(34)&amp;": "&amp;SUBSTITUTE(TRIM(ROUND(IFERROR(CriteriTecnici!$O1718*1,IFERROR(NUMBERVALUE(CriteriTecnici!$O1718,".",","),IFERROR(NUMBERVALUE(CriteriTecnici!$O1718,",","."),0))),4)&amp;""),",",".")&amp;CHAR(125)&amp;IF(TRUE,",",""))</f>
        <v/>
      </c>
    </row>
    <row r="1820">
      <c r="A1820" s="82">
        <f>IF(CriteriTecnici!$A1719="","","    "&amp;CHAR(123)&amp;CHAR(34)&amp;"bidderId"&amp;CHAR(34)&amp;": "&amp;CHAR(34)&amp;SUBSTITUTE(CriteriTecnici!$A1719,CHAR(34),"'")&amp;CHAR(34)&amp;", "&amp;CHAR(34)&amp;"lotId"&amp;CHAR(34)&amp;": "&amp;CHAR(34)&amp;SUBSTITUTE(CriteriTecnici!$C1719,CHAR(34),"'")&amp;CHAR(34)&amp;", "&amp;CHAR(34)&amp;"criterionId"&amp;CHAR(34)&amp;": "&amp;CHAR(34)&amp;SUBSTITUTE(CriteriTecnici!$D1719,CHAR(34),"'")&amp;CHAR(34)&amp;", "&amp;CHAR(34)&amp;"kind"&amp;CHAR(34)&amp;": "&amp;CHAR(34)&amp;SUBSTITUTE(CriteriTecnici!$F1719,CHAR(34),"'")&amp;CHAR(34)&amp;", "&amp;CHAR(34)&amp;"value"&amp;CHAR(34)&amp;": "&amp;SUBSTITUTE(TRIM(ROUND(IFERROR(CriteriTecnici!$N1719*1,IFERROR(NUMBERVALUE(CriteriTecnici!$N1719,".",","),IFERROR(NUMBERVALUE(CriteriTecnici!$N1719,",","."),0))),4)&amp;""),",",".")&amp;", "&amp;CHAR(34)&amp;"numerator"&amp;CHAR(34)&amp;": "&amp;SUBSTITUTE(TRIM(ROUND(IFERROR(CriteriTecnici!$K1719*1,IFERROR(NUMBERVALUE(CriteriTecnici!$K1719,".",","),IFERROR(NUMBERVALUE(CriteriTecnici!$K1719,",","."),0))),4)&amp;""),",",".")&amp;", "&amp;CHAR(34)&amp;"denominator"&amp;CHAR(34)&amp;": "&amp;SUBSTITUTE(TRIM(ROUND(IFERROR(CriteriTecnici!$L1719*1,IFERROR(NUMBERVALUE(CriteriTecnici!$L1719,".",","),IFERROR(NUMBERVALUE(CriteriTecnici!$L1719,",","."),0))),4)&amp;""),",",".")&amp;", "&amp;CHAR(34)&amp;"flag"&amp;CHAR(34)&amp;": "&amp;SUBSTITUTE(TRIM(ROUND(IFERROR(CriteriTecnici!$M1719*1,IFERROR(NUMBERVALUE(CriteriTecnici!$M1719,".",","),IFERROR(NUMBERVALUE(CriteriTecnici!$M1719,",","."),0))),4)&amp;""),",",".")&amp;", "&amp;CHAR(34)&amp;"rawScore"&amp;CHAR(34)&amp;": "&amp;SUBSTITUTE(TRIM(ROUND(IFERROR(CriteriTecnici!$O1719*1,IFERROR(NUMBERVALUE(CriteriTecnici!$O1719,".",","),IFERROR(NUMBERVALUE(CriteriTecnici!$O1719,",","."),0))),4)&amp;""),",",".")&amp;CHAR(125)&amp;IF(TRUE,",",""))</f>
        <v/>
      </c>
    </row>
    <row r="1821">
      <c r="A1821" s="82">
        <f>IF(CriteriTecnici!$A1720="","","    "&amp;CHAR(123)&amp;CHAR(34)&amp;"bidderId"&amp;CHAR(34)&amp;": "&amp;CHAR(34)&amp;SUBSTITUTE(CriteriTecnici!$A1720,CHAR(34),"'")&amp;CHAR(34)&amp;", "&amp;CHAR(34)&amp;"lotId"&amp;CHAR(34)&amp;": "&amp;CHAR(34)&amp;SUBSTITUTE(CriteriTecnici!$C1720,CHAR(34),"'")&amp;CHAR(34)&amp;", "&amp;CHAR(34)&amp;"criterionId"&amp;CHAR(34)&amp;": "&amp;CHAR(34)&amp;SUBSTITUTE(CriteriTecnici!$D1720,CHAR(34),"'")&amp;CHAR(34)&amp;", "&amp;CHAR(34)&amp;"kind"&amp;CHAR(34)&amp;": "&amp;CHAR(34)&amp;SUBSTITUTE(CriteriTecnici!$F1720,CHAR(34),"'")&amp;CHAR(34)&amp;", "&amp;CHAR(34)&amp;"value"&amp;CHAR(34)&amp;": "&amp;SUBSTITUTE(TRIM(ROUND(IFERROR(CriteriTecnici!$N1720*1,IFERROR(NUMBERVALUE(CriteriTecnici!$N1720,".",","),IFERROR(NUMBERVALUE(CriteriTecnici!$N1720,",","."),0))),4)&amp;""),",",".")&amp;", "&amp;CHAR(34)&amp;"numerator"&amp;CHAR(34)&amp;": "&amp;SUBSTITUTE(TRIM(ROUND(IFERROR(CriteriTecnici!$K1720*1,IFERROR(NUMBERVALUE(CriteriTecnici!$K1720,".",","),IFERROR(NUMBERVALUE(CriteriTecnici!$K1720,",","."),0))),4)&amp;""),",",".")&amp;", "&amp;CHAR(34)&amp;"denominator"&amp;CHAR(34)&amp;": "&amp;SUBSTITUTE(TRIM(ROUND(IFERROR(CriteriTecnici!$L1720*1,IFERROR(NUMBERVALUE(CriteriTecnici!$L1720,".",","),IFERROR(NUMBERVALUE(CriteriTecnici!$L1720,",","."),0))),4)&amp;""),",",".")&amp;", "&amp;CHAR(34)&amp;"flag"&amp;CHAR(34)&amp;": "&amp;SUBSTITUTE(TRIM(ROUND(IFERROR(CriteriTecnici!$M1720*1,IFERROR(NUMBERVALUE(CriteriTecnici!$M1720,".",","),IFERROR(NUMBERVALUE(CriteriTecnici!$M1720,",","."),0))),4)&amp;""),",",".")&amp;", "&amp;CHAR(34)&amp;"rawScore"&amp;CHAR(34)&amp;": "&amp;SUBSTITUTE(TRIM(ROUND(IFERROR(CriteriTecnici!$O1720*1,IFERROR(NUMBERVALUE(CriteriTecnici!$O1720,".",","),IFERROR(NUMBERVALUE(CriteriTecnici!$O1720,",","."),0))),4)&amp;""),",",".")&amp;CHAR(125)&amp;IF(TRUE,",",""))</f>
        <v/>
      </c>
    </row>
    <row r="1822">
      <c r="A1822" s="82">
        <f>IF(CriteriTecnici!$A1721="","","    "&amp;CHAR(123)&amp;CHAR(34)&amp;"bidderId"&amp;CHAR(34)&amp;": "&amp;CHAR(34)&amp;SUBSTITUTE(CriteriTecnici!$A1721,CHAR(34),"'")&amp;CHAR(34)&amp;", "&amp;CHAR(34)&amp;"lotId"&amp;CHAR(34)&amp;": "&amp;CHAR(34)&amp;SUBSTITUTE(CriteriTecnici!$C1721,CHAR(34),"'")&amp;CHAR(34)&amp;", "&amp;CHAR(34)&amp;"criterionId"&amp;CHAR(34)&amp;": "&amp;CHAR(34)&amp;SUBSTITUTE(CriteriTecnici!$D1721,CHAR(34),"'")&amp;CHAR(34)&amp;", "&amp;CHAR(34)&amp;"kind"&amp;CHAR(34)&amp;": "&amp;CHAR(34)&amp;SUBSTITUTE(CriteriTecnici!$F1721,CHAR(34),"'")&amp;CHAR(34)&amp;", "&amp;CHAR(34)&amp;"value"&amp;CHAR(34)&amp;": "&amp;SUBSTITUTE(TRIM(ROUND(IFERROR(CriteriTecnici!$N1721*1,IFERROR(NUMBERVALUE(CriteriTecnici!$N1721,".",","),IFERROR(NUMBERVALUE(CriteriTecnici!$N1721,",","."),0))),4)&amp;""),",",".")&amp;", "&amp;CHAR(34)&amp;"numerator"&amp;CHAR(34)&amp;": "&amp;SUBSTITUTE(TRIM(ROUND(IFERROR(CriteriTecnici!$K1721*1,IFERROR(NUMBERVALUE(CriteriTecnici!$K1721,".",","),IFERROR(NUMBERVALUE(CriteriTecnici!$K1721,",","."),0))),4)&amp;""),",",".")&amp;", "&amp;CHAR(34)&amp;"denominator"&amp;CHAR(34)&amp;": "&amp;SUBSTITUTE(TRIM(ROUND(IFERROR(CriteriTecnici!$L1721*1,IFERROR(NUMBERVALUE(CriteriTecnici!$L1721,".",","),IFERROR(NUMBERVALUE(CriteriTecnici!$L1721,",","."),0))),4)&amp;""),",",".")&amp;", "&amp;CHAR(34)&amp;"flag"&amp;CHAR(34)&amp;": "&amp;SUBSTITUTE(TRIM(ROUND(IFERROR(CriteriTecnici!$M1721*1,IFERROR(NUMBERVALUE(CriteriTecnici!$M1721,".",","),IFERROR(NUMBERVALUE(CriteriTecnici!$M1721,",","."),0))),4)&amp;""),",",".")&amp;", "&amp;CHAR(34)&amp;"rawScore"&amp;CHAR(34)&amp;": "&amp;SUBSTITUTE(TRIM(ROUND(IFERROR(CriteriTecnici!$O1721*1,IFERROR(NUMBERVALUE(CriteriTecnici!$O1721,".",","),IFERROR(NUMBERVALUE(CriteriTecnici!$O1721,",","."),0))),4)&amp;""),",",".")&amp;CHAR(125)&amp;IF(TRUE,",",""))</f>
        <v/>
      </c>
    </row>
    <row r="1823">
      <c r="A1823" s="82">
        <f>IF(CriteriTecnici!$A1722="","","    "&amp;CHAR(123)&amp;CHAR(34)&amp;"bidderId"&amp;CHAR(34)&amp;": "&amp;CHAR(34)&amp;SUBSTITUTE(CriteriTecnici!$A1722,CHAR(34),"'")&amp;CHAR(34)&amp;", "&amp;CHAR(34)&amp;"lotId"&amp;CHAR(34)&amp;": "&amp;CHAR(34)&amp;SUBSTITUTE(CriteriTecnici!$C1722,CHAR(34),"'")&amp;CHAR(34)&amp;", "&amp;CHAR(34)&amp;"criterionId"&amp;CHAR(34)&amp;": "&amp;CHAR(34)&amp;SUBSTITUTE(CriteriTecnici!$D1722,CHAR(34),"'")&amp;CHAR(34)&amp;", "&amp;CHAR(34)&amp;"kind"&amp;CHAR(34)&amp;": "&amp;CHAR(34)&amp;SUBSTITUTE(CriteriTecnici!$F1722,CHAR(34),"'")&amp;CHAR(34)&amp;", "&amp;CHAR(34)&amp;"value"&amp;CHAR(34)&amp;": "&amp;SUBSTITUTE(TRIM(ROUND(IFERROR(CriteriTecnici!$N1722*1,IFERROR(NUMBERVALUE(CriteriTecnici!$N1722,".",","),IFERROR(NUMBERVALUE(CriteriTecnici!$N1722,",","."),0))),4)&amp;""),",",".")&amp;", "&amp;CHAR(34)&amp;"numerator"&amp;CHAR(34)&amp;": "&amp;SUBSTITUTE(TRIM(ROUND(IFERROR(CriteriTecnici!$K1722*1,IFERROR(NUMBERVALUE(CriteriTecnici!$K1722,".",","),IFERROR(NUMBERVALUE(CriteriTecnici!$K1722,",","."),0))),4)&amp;""),",",".")&amp;", "&amp;CHAR(34)&amp;"denominator"&amp;CHAR(34)&amp;": "&amp;SUBSTITUTE(TRIM(ROUND(IFERROR(CriteriTecnici!$L1722*1,IFERROR(NUMBERVALUE(CriteriTecnici!$L1722,".",","),IFERROR(NUMBERVALUE(CriteriTecnici!$L1722,",","."),0))),4)&amp;""),",",".")&amp;", "&amp;CHAR(34)&amp;"flag"&amp;CHAR(34)&amp;": "&amp;SUBSTITUTE(TRIM(ROUND(IFERROR(CriteriTecnici!$M1722*1,IFERROR(NUMBERVALUE(CriteriTecnici!$M1722,".",","),IFERROR(NUMBERVALUE(CriteriTecnici!$M1722,",","."),0))),4)&amp;""),",",".")&amp;", "&amp;CHAR(34)&amp;"rawScore"&amp;CHAR(34)&amp;": "&amp;SUBSTITUTE(TRIM(ROUND(IFERROR(CriteriTecnici!$O1722*1,IFERROR(NUMBERVALUE(CriteriTecnici!$O1722,".",","),IFERROR(NUMBERVALUE(CriteriTecnici!$O1722,",","."),0))),4)&amp;""),",",".")&amp;CHAR(125)&amp;IF(TRUE,",",""))</f>
        <v/>
      </c>
    </row>
    <row r="1824">
      <c r="A1824" s="82">
        <f>IF(CriteriTecnici!$A1723="","","    "&amp;CHAR(123)&amp;CHAR(34)&amp;"bidderId"&amp;CHAR(34)&amp;": "&amp;CHAR(34)&amp;SUBSTITUTE(CriteriTecnici!$A1723,CHAR(34),"'")&amp;CHAR(34)&amp;", "&amp;CHAR(34)&amp;"lotId"&amp;CHAR(34)&amp;": "&amp;CHAR(34)&amp;SUBSTITUTE(CriteriTecnici!$C1723,CHAR(34),"'")&amp;CHAR(34)&amp;", "&amp;CHAR(34)&amp;"criterionId"&amp;CHAR(34)&amp;": "&amp;CHAR(34)&amp;SUBSTITUTE(CriteriTecnici!$D1723,CHAR(34),"'")&amp;CHAR(34)&amp;", "&amp;CHAR(34)&amp;"kind"&amp;CHAR(34)&amp;": "&amp;CHAR(34)&amp;SUBSTITUTE(CriteriTecnici!$F1723,CHAR(34),"'")&amp;CHAR(34)&amp;", "&amp;CHAR(34)&amp;"value"&amp;CHAR(34)&amp;": "&amp;SUBSTITUTE(TRIM(ROUND(IFERROR(CriteriTecnici!$N1723*1,IFERROR(NUMBERVALUE(CriteriTecnici!$N1723,".",","),IFERROR(NUMBERVALUE(CriteriTecnici!$N1723,",","."),0))),4)&amp;""),",",".")&amp;", "&amp;CHAR(34)&amp;"numerator"&amp;CHAR(34)&amp;": "&amp;SUBSTITUTE(TRIM(ROUND(IFERROR(CriteriTecnici!$K1723*1,IFERROR(NUMBERVALUE(CriteriTecnici!$K1723,".",","),IFERROR(NUMBERVALUE(CriteriTecnici!$K1723,",","."),0))),4)&amp;""),",",".")&amp;", "&amp;CHAR(34)&amp;"denominator"&amp;CHAR(34)&amp;": "&amp;SUBSTITUTE(TRIM(ROUND(IFERROR(CriteriTecnici!$L1723*1,IFERROR(NUMBERVALUE(CriteriTecnici!$L1723,".",","),IFERROR(NUMBERVALUE(CriteriTecnici!$L1723,",","."),0))),4)&amp;""),",",".")&amp;", "&amp;CHAR(34)&amp;"flag"&amp;CHAR(34)&amp;": "&amp;SUBSTITUTE(TRIM(ROUND(IFERROR(CriteriTecnici!$M1723*1,IFERROR(NUMBERVALUE(CriteriTecnici!$M1723,".",","),IFERROR(NUMBERVALUE(CriteriTecnici!$M1723,",","."),0))),4)&amp;""),",",".")&amp;", "&amp;CHAR(34)&amp;"rawScore"&amp;CHAR(34)&amp;": "&amp;SUBSTITUTE(TRIM(ROUND(IFERROR(CriteriTecnici!$O1723*1,IFERROR(NUMBERVALUE(CriteriTecnici!$O1723,".",","),IFERROR(NUMBERVALUE(CriteriTecnici!$O1723,",","."),0))),4)&amp;""),",",".")&amp;CHAR(125)&amp;IF(TRUE,",",""))</f>
        <v/>
      </c>
    </row>
    <row r="1825">
      <c r="A1825" s="82">
        <f>IF(CriteriTecnici!$A1724="","","    "&amp;CHAR(123)&amp;CHAR(34)&amp;"bidderId"&amp;CHAR(34)&amp;": "&amp;CHAR(34)&amp;SUBSTITUTE(CriteriTecnici!$A1724,CHAR(34),"'")&amp;CHAR(34)&amp;", "&amp;CHAR(34)&amp;"lotId"&amp;CHAR(34)&amp;": "&amp;CHAR(34)&amp;SUBSTITUTE(CriteriTecnici!$C1724,CHAR(34),"'")&amp;CHAR(34)&amp;", "&amp;CHAR(34)&amp;"criterionId"&amp;CHAR(34)&amp;": "&amp;CHAR(34)&amp;SUBSTITUTE(CriteriTecnici!$D1724,CHAR(34),"'")&amp;CHAR(34)&amp;", "&amp;CHAR(34)&amp;"kind"&amp;CHAR(34)&amp;": "&amp;CHAR(34)&amp;SUBSTITUTE(CriteriTecnici!$F1724,CHAR(34),"'")&amp;CHAR(34)&amp;", "&amp;CHAR(34)&amp;"value"&amp;CHAR(34)&amp;": "&amp;SUBSTITUTE(TRIM(ROUND(IFERROR(CriteriTecnici!$N1724*1,IFERROR(NUMBERVALUE(CriteriTecnici!$N1724,".",","),IFERROR(NUMBERVALUE(CriteriTecnici!$N1724,",","."),0))),4)&amp;""),",",".")&amp;", "&amp;CHAR(34)&amp;"numerator"&amp;CHAR(34)&amp;": "&amp;SUBSTITUTE(TRIM(ROUND(IFERROR(CriteriTecnici!$K1724*1,IFERROR(NUMBERVALUE(CriteriTecnici!$K1724,".",","),IFERROR(NUMBERVALUE(CriteriTecnici!$K1724,",","."),0))),4)&amp;""),",",".")&amp;", "&amp;CHAR(34)&amp;"denominator"&amp;CHAR(34)&amp;": "&amp;SUBSTITUTE(TRIM(ROUND(IFERROR(CriteriTecnici!$L1724*1,IFERROR(NUMBERVALUE(CriteriTecnici!$L1724,".",","),IFERROR(NUMBERVALUE(CriteriTecnici!$L1724,",","."),0))),4)&amp;""),",",".")&amp;", "&amp;CHAR(34)&amp;"flag"&amp;CHAR(34)&amp;": "&amp;SUBSTITUTE(TRIM(ROUND(IFERROR(CriteriTecnici!$M1724*1,IFERROR(NUMBERVALUE(CriteriTecnici!$M1724,".",","),IFERROR(NUMBERVALUE(CriteriTecnici!$M1724,",","."),0))),4)&amp;""),",",".")&amp;", "&amp;CHAR(34)&amp;"rawScore"&amp;CHAR(34)&amp;": "&amp;SUBSTITUTE(TRIM(ROUND(IFERROR(CriteriTecnici!$O1724*1,IFERROR(NUMBERVALUE(CriteriTecnici!$O1724,".",","),IFERROR(NUMBERVALUE(CriteriTecnici!$O1724,",","."),0))),4)&amp;""),",",".")&amp;CHAR(125)&amp;IF(TRUE,",",""))</f>
        <v/>
      </c>
    </row>
    <row r="1826">
      <c r="A1826" s="82">
        <f>IF(CriteriTecnici!$A1725="","","    "&amp;CHAR(123)&amp;CHAR(34)&amp;"bidderId"&amp;CHAR(34)&amp;": "&amp;CHAR(34)&amp;SUBSTITUTE(CriteriTecnici!$A1725,CHAR(34),"'")&amp;CHAR(34)&amp;", "&amp;CHAR(34)&amp;"lotId"&amp;CHAR(34)&amp;": "&amp;CHAR(34)&amp;SUBSTITUTE(CriteriTecnici!$C1725,CHAR(34),"'")&amp;CHAR(34)&amp;", "&amp;CHAR(34)&amp;"criterionId"&amp;CHAR(34)&amp;": "&amp;CHAR(34)&amp;SUBSTITUTE(CriteriTecnici!$D1725,CHAR(34),"'")&amp;CHAR(34)&amp;", "&amp;CHAR(34)&amp;"kind"&amp;CHAR(34)&amp;": "&amp;CHAR(34)&amp;SUBSTITUTE(CriteriTecnici!$F1725,CHAR(34),"'")&amp;CHAR(34)&amp;", "&amp;CHAR(34)&amp;"value"&amp;CHAR(34)&amp;": "&amp;SUBSTITUTE(TRIM(ROUND(IFERROR(CriteriTecnici!$N1725*1,IFERROR(NUMBERVALUE(CriteriTecnici!$N1725,".",","),IFERROR(NUMBERVALUE(CriteriTecnici!$N1725,",","."),0))),4)&amp;""),",",".")&amp;", "&amp;CHAR(34)&amp;"numerator"&amp;CHAR(34)&amp;": "&amp;SUBSTITUTE(TRIM(ROUND(IFERROR(CriteriTecnici!$K1725*1,IFERROR(NUMBERVALUE(CriteriTecnici!$K1725,".",","),IFERROR(NUMBERVALUE(CriteriTecnici!$K1725,",","."),0))),4)&amp;""),",",".")&amp;", "&amp;CHAR(34)&amp;"denominator"&amp;CHAR(34)&amp;": "&amp;SUBSTITUTE(TRIM(ROUND(IFERROR(CriteriTecnici!$L1725*1,IFERROR(NUMBERVALUE(CriteriTecnici!$L1725,".",","),IFERROR(NUMBERVALUE(CriteriTecnici!$L1725,",","."),0))),4)&amp;""),",",".")&amp;", "&amp;CHAR(34)&amp;"flag"&amp;CHAR(34)&amp;": "&amp;SUBSTITUTE(TRIM(ROUND(IFERROR(CriteriTecnici!$M1725*1,IFERROR(NUMBERVALUE(CriteriTecnici!$M1725,".",","),IFERROR(NUMBERVALUE(CriteriTecnici!$M1725,",","."),0))),4)&amp;""),",",".")&amp;", "&amp;CHAR(34)&amp;"rawScore"&amp;CHAR(34)&amp;": "&amp;SUBSTITUTE(TRIM(ROUND(IFERROR(CriteriTecnici!$O1725*1,IFERROR(NUMBERVALUE(CriteriTecnici!$O1725,".",","),IFERROR(NUMBERVALUE(CriteriTecnici!$O1725,",","."),0))),4)&amp;""),",",".")&amp;CHAR(125)&amp;IF(TRUE,",",""))</f>
        <v/>
      </c>
    </row>
    <row r="1827">
      <c r="A1827" s="82">
        <f>IF(CriteriTecnici!$A1726="","","    "&amp;CHAR(123)&amp;CHAR(34)&amp;"bidderId"&amp;CHAR(34)&amp;": "&amp;CHAR(34)&amp;SUBSTITUTE(CriteriTecnici!$A1726,CHAR(34),"'")&amp;CHAR(34)&amp;", "&amp;CHAR(34)&amp;"lotId"&amp;CHAR(34)&amp;": "&amp;CHAR(34)&amp;SUBSTITUTE(CriteriTecnici!$C1726,CHAR(34),"'")&amp;CHAR(34)&amp;", "&amp;CHAR(34)&amp;"criterionId"&amp;CHAR(34)&amp;": "&amp;CHAR(34)&amp;SUBSTITUTE(CriteriTecnici!$D1726,CHAR(34),"'")&amp;CHAR(34)&amp;", "&amp;CHAR(34)&amp;"kind"&amp;CHAR(34)&amp;": "&amp;CHAR(34)&amp;SUBSTITUTE(CriteriTecnici!$F1726,CHAR(34),"'")&amp;CHAR(34)&amp;", "&amp;CHAR(34)&amp;"value"&amp;CHAR(34)&amp;": "&amp;SUBSTITUTE(TRIM(ROUND(IFERROR(CriteriTecnici!$N1726*1,IFERROR(NUMBERVALUE(CriteriTecnici!$N1726,".",","),IFERROR(NUMBERVALUE(CriteriTecnici!$N1726,",","."),0))),4)&amp;""),",",".")&amp;", "&amp;CHAR(34)&amp;"numerator"&amp;CHAR(34)&amp;": "&amp;SUBSTITUTE(TRIM(ROUND(IFERROR(CriteriTecnici!$K1726*1,IFERROR(NUMBERVALUE(CriteriTecnici!$K1726,".",","),IFERROR(NUMBERVALUE(CriteriTecnici!$K1726,",","."),0))),4)&amp;""),",",".")&amp;", "&amp;CHAR(34)&amp;"denominator"&amp;CHAR(34)&amp;": "&amp;SUBSTITUTE(TRIM(ROUND(IFERROR(CriteriTecnici!$L1726*1,IFERROR(NUMBERVALUE(CriteriTecnici!$L1726,".",","),IFERROR(NUMBERVALUE(CriteriTecnici!$L1726,",","."),0))),4)&amp;""),",",".")&amp;", "&amp;CHAR(34)&amp;"flag"&amp;CHAR(34)&amp;": "&amp;SUBSTITUTE(TRIM(ROUND(IFERROR(CriteriTecnici!$M1726*1,IFERROR(NUMBERVALUE(CriteriTecnici!$M1726,".",","),IFERROR(NUMBERVALUE(CriteriTecnici!$M1726,",","."),0))),4)&amp;""),",",".")&amp;", "&amp;CHAR(34)&amp;"rawScore"&amp;CHAR(34)&amp;": "&amp;SUBSTITUTE(TRIM(ROUND(IFERROR(CriteriTecnici!$O1726*1,IFERROR(NUMBERVALUE(CriteriTecnici!$O1726,".",","),IFERROR(NUMBERVALUE(CriteriTecnici!$O1726,",","."),0))),4)&amp;""),",",".")&amp;CHAR(125)&amp;IF(TRUE,",",""))</f>
        <v/>
      </c>
    </row>
    <row r="1828">
      <c r="A1828" s="82">
        <f>IF(CriteriTecnici!$A1727="","","    "&amp;CHAR(123)&amp;CHAR(34)&amp;"bidderId"&amp;CHAR(34)&amp;": "&amp;CHAR(34)&amp;SUBSTITUTE(CriteriTecnici!$A1727,CHAR(34),"'")&amp;CHAR(34)&amp;", "&amp;CHAR(34)&amp;"lotId"&amp;CHAR(34)&amp;": "&amp;CHAR(34)&amp;SUBSTITUTE(CriteriTecnici!$C1727,CHAR(34),"'")&amp;CHAR(34)&amp;", "&amp;CHAR(34)&amp;"criterionId"&amp;CHAR(34)&amp;": "&amp;CHAR(34)&amp;SUBSTITUTE(CriteriTecnici!$D1727,CHAR(34),"'")&amp;CHAR(34)&amp;", "&amp;CHAR(34)&amp;"kind"&amp;CHAR(34)&amp;": "&amp;CHAR(34)&amp;SUBSTITUTE(CriteriTecnici!$F1727,CHAR(34),"'")&amp;CHAR(34)&amp;", "&amp;CHAR(34)&amp;"value"&amp;CHAR(34)&amp;": "&amp;SUBSTITUTE(TRIM(ROUND(IFERROR(CriteriTecnici!$N1727*1,IFERROR(NUMBERVALUE(CriteriTecnici!$N1727,".",","),IFERROR(NUMBERVALUE(CriteriTecnici!$N1727,",","."),0))),4)&amp;""),",",".")&amp;", "&amp;CHAR(34)&amp;"numerator"&amp;CHAR(34)&amp;": "&amp;SUBSTITUTE(TRIM(ROUND(IFERROR(CriteriTecnici!$K1727*1,IFERROR(NUMBERVALUE(CriteriTecnici!$K1727,".",","),IFERROR(NUMBERVALUE(CriteriTecnici!$K1727,",","."),0))),4)&amp;""),",",".")&amp;", "&amp;CHAR(34)&amp;"denominator"&amp;CHAR(34)&amp;": "&amp;SUBSTITUTE(TRIM(ROUND(IFERROR(CriteriTecnici!$L1727*1,IFERROR(NUMBERVALUE(CriteriTecnici!$L1727,".",","),IFERROR(NUMBERVALUE(CriteriTecnici!$L1727,",","."),0))),4)&amp;""),",",".")&amp;", "&amp;CHAR(34)&amp;"flag"&amp;CHAR(34)&amp;": "&amp;SUBSTITUTE(TRIM(ROUND(IFERROR(CriteriTecnici!$M1727*1,IFERROR(NUMBERVALUE(CriteriTecnici!$M1727,".",","),IFERROR(NUMBERVALUE(CriteriTecnici!$M1727,",","."),0))),4)&amp;""),",",".")&amp;", "&amp;CHAR(34)&amp;"rawScore"&amp;CHAR(34)&amp;": "&amp;SUBSTITUTE(TRIM(ROUND(IFERROR(CriteriTecnici!$O1727*1,IFERROR(NUMBERVALUE(CriteriTecnici!$O1727,".",","),IFERROR(NUMBERVALUE(CriteriTecnici!$O1727,",","."),0))),4)&amp;""),",",".")&amp;CHAR(125)&amp;IF(TRUE,",",""))</f>
        <v/>
      </c>
    </row>
    <row r="1829">
      <c r="A1829" s="82">
        <f>IF(CriteriTecnici!$A1728="","","    "&amp;CHAR(123)&amp;CHAR(34)&amp;"bidderId"&amp;CHAR(34)&amp;": "&amp;CHAR(34)&amp;SUBSTITUTE(CriteriTecnici!$A1728,CHAR(34),"'")&amp;CHAR(34)&amp;", "&amp;CHAR(34)&amp;"lotId"&amp;CHAR(34)&amp;": "&amp;CHAR(34)&amp;SUBSTITUTE(CriteriTecnici!$C1728,CHAR(34),"'")&amp;CHAR(34)&amp;", "&amp;CHAR(34)&amp;"criterionId"&amp;CHAR(34)&amp;": "&amp;CHAR(34)&amp;SUBSTITUTE(CriteriTecnici!$D1728,CHAR(34),"'")&amp;CHAR(34)&amp;", "&amp;CHAR(34)&amp;"kind"&amp;CHAR(34)&amp;": "&amp;CHAR(34)&amp;SUBSTITUTE(CriteriTecnici!$F1728,CHAR(34),"'")&amp;CHAR(34)&amp;", "&amp;CHAR(34)&amp;"value"&amp;CHAR(34)&amp;": "&amp;SUBSTITUTE(TRIM(ROUND(IFERROR(CriteriTecnici!$N1728*1,IFERROR(NUMBERVALUE(CriteriTecnici!$N1728,".",","),IFERROR(NUMBERVALUE(CriteriTecnici!$N1728,",","."),0))),4)&amp;""),",",".")&amp;", "&amp;CHAR(34)&amp;"numerator"&amp;CHAR(34)&amp;": "&amp;SUBSTITUTE(TRIM(ROUND(IFERROR(CriteriTecnici!$K1728*1,IFERROR(NUMBERVALUE(CriteriTecnici!$K1728,".",","),IFERROR(NUMBERVALUE(CriteriTecnici!$K1728,",","."),0))),4)&amp;""),",",".")&amp;", "&amp;CHAR(34)&amp;"denominator"&amp;CHAR(34)&amp;": "&amp;SUBSTITUTE(TRIM(ROUND(IFERROR(CriteriTecnici!$L1728*1,IFERROR(NUMBERVALUE(CriteriTecnici!$L1728,".",","),IFERROR(NUMBERVALUE(CriteriTecnici!$L1728,",","."),0))),4)&amp;""),",",".")&amp;", "&amp;CHAR(34)&amp;"flag"&amp;CHAR(34)&amp;": "&amp;SUBSTITUTE(TRIM(ROUND(IFERROR(CriteriTecnici!$M1728*1,IFERROR(NUMBERVALUE(CriteriTecnici!$M1728,".",","),IFERROR(NUMBERVALUE(CriteriTecnici!$M1728,",","."),0))),4)&amp;""),",",".")&amp;", "&amp;CHAR(34)&amp;"rawScore"&amp;CHAR(34)&amp;": "&amp;SUBSTITUTE(TRIM(ROUND(IFERROR(CriteriTecnici!$O1728*1,IFERROR(NUMBERVALUE(CriteriTecnici!$O1728,".",","),IFERROR(NUMBERVALUE(CriteriTecnici!$O1728,",","."),0))),4)&amp;""),",",".")&amp;CHAR(125)&amp;IF(TRUE,",",""))</f>
        <v/>
      </c>
    </row>
    <row r="1830">
      <c r="A1830" s="82">
        <f>IF(CriteriTecnici!$A1729="","","    "&amp;CHAR(123)&amp;CHAR(34)&amp;"bidderId"&amp;CHAR(34)&amp;": "&amp;CHAR(34)&amp;SUBSTITUTE(CriteriTecnici!$A1729,CHAR(34),"'")&amp;CHAR(34)&amp;", "&amp;CHAR(34)&amp;"lotId"&amp;CHAR(34)&amp;": "&amp;CHAR(34)&amp;SUBSTITUTE(CriteriTecnici!$C1729,CHAR(34),"'")&amp;CHAR(34)&amp;", "&amp;CHAR(34)&amp;"criterionId"&amp;CHAR(34)&amp;": "&amp;CHAR(34)&amp;SUBSTITUTE(CriteriTecnici!$D1729,CHAR(34),"'")&amp;CHAR(34)&amp;", "&amp;CHAR(34)&amp;"kind"&amp;CHAR(34)&amp;": "&amp;CHAR(34)&amp;SUBSTITUTE(CriteriTecnici!$F1729,CHAR(34),"'")&amp;CHAR(34)&amp;", "&amp;CHAR(34)&amp;"value"&amp;CHAR(34)&amp;": "&amp;SUBSTITUTE(TRIM(ROUND(IFERROR(CriteriTecnici!$N1729*1,IFERROR(NUMBERVALUE(CriteriTecnici!$N1729,".",","),IFERROR(NUMBERVALUE(CriteriTecnici!$N1729,",","."),0))),4)&amp;""),",",".")&amp;", "&amp;CHAR(34)&amp;"numerator"&amp;CHAR(34)&amp;": "&amp;SUBSTITUTE(TRIM(ROUND(IFERROR(CriteriTecnici!$K1729*1,IFERROR(NUMBERVALUE(CriteriTecnici!$K1729,".",","),IFERROR(NUMBERVALUE(CriteriTecnici!$K1729,",","."),0))),4)&amp;""),",",".")&amp;", "&amp;CHAR(34)&amp;"denominator"&amp;CHAR(34)&amp;": "&amp;SUBSTITUTE(TRIM(ROUND(IFERROR(CriteriTecnici!$L1729*1,IFERROR(NUMBERVALUE(CriteriTecnici!$L1729,".",","),IFERROR(NUMBERVALUE(CriteriTecnici!$L1729,",","."),0))),4)&amp;""),",",".")&amp;", "&amp;CHAR(34)&amp;"flag"&amp;CHAR(34)&amp;": "&amp;SUBSTITUTE(TRIM(ROUND(IFERROR(CriteriTecnici!$M1729*1,IFERROR(NUMBERVALUE(CriteriTecnici!$M1729,".",","),IFERROR(NUMBERVALUE(CriteriTecnici!$M1729,",","."),0))),4)&amp;""),",",".")&amp;", "&amp;CHAR(34)&amp;"rawScore"&amp;CHAR(34)&amp;": "&amp;SUBSTITUTE(TRIM(ROUND(IFERROR(CriteriTecnici!$O1729*1,IFERROR(NUMBERVALUE(CriteriTecnici!$O1729,".",","),IFERROR(NUMBERVALUE(CriteriTecnici!$O1729,",","."),0))),4)&amp;""),",",".")&amp;CHAR(125)&amp;IF(TRUE,",",""))</f>
        <v/>
      </c>
    </row>
    <row r="1831">
      <c r="A1831" s="82">
        <f>IF(CriteriTecnici!$A1730="","","    "&amp;CHAR(123)&amp;CHAR(34)&amp;"bidderId"&amp;CHAR(34)&amp;": "&amp;CHAR(34)&amp;SUBSTITUTE(CriteriTecnici!$A1730,CHAR(34),"'")&amp;CHAR(34)&amp;", "&amp;CHAR(34)&amp;"lotId"&amp;CHAR(34)&amp;": "&amp;CHAR(34)&amp;SUBSTITUTE(CriteriTecnici!$C1730,CHAR(34),"'")&amp;CHAR(34)&amp;", "&amp;CHAR(34)&amp;"criterionId"&amp;CHAR(34)&amp;": "&amp;CHAR(34)&amp;SUBSTITUTE(CriteriTecnici!$D1730,CHAR(34),"'")&amp;CHAR(34)&amp;", "&amp;CHAR(34)&amp;"kind"&amp;CHAR(34)&amp;": "&amp;CHAR(34)&amp;SUBSTITUTE(CriteriTecnici!$F1730,CHAR(34),"'")&amp;CHAR(34)&amp;", "&amp;CHAR(34)&amp;"value"&amp;CHAR(34)&amp;": "&amp;SUBSTITUTE(TRIM(ROUND(IFERROR(CriteriTecnici!$N1730*1,IFERROR(NUMBERVALUE(CriteriTecnici!$N1730,".",","),IFERROR(NUMBERVALUE(CriteriTecnici!$N1730,",","."),0))),4)&amp;""),",",".")&amp;", "&amp;CHAR(34)&amp;"numerator"&amp;CHAR(34)&amp;": "&amp;SUBSTITUTE(TRIM(ROUND(IFERROR(CriteriTecnici!$K1730*1,IFERROR(NUMBERVALUE(CriteriTecnici!$K1730,".",","),IFERROR(NUMBERVALUE(CriteriTecnici!$K1730,",","."),0))),4)&amp;""),",",".")&amp;", "&amp;CHAR(34)&amp;"denominator"&amp;CHAR(34)&amp;": "&amp;SUBSTITUTE(TRIM(ROUND(IFERROR(CriteriTecnici!$L1730*1,IFERROR(NUMBERVALUE(CriteriTecnici!$L1730,".",","),IFERROR(NUMBERVALUE(CriteriTecnici!$L1730,",","."),0))),4)&amp;""),",",".")&amp;", "&amp;CHAR(34)&amp;"flag"&amp;CHAR(34)&amp;": "&amp;SUBSTITUTE(TRIM(ROUND(IFERROR(CriteriTecnici!$M1730*1,IFERROR(NUMBERVALUE(CriteriTecnici!$M1730,".",","),IFERROR(NUMBERVALUE(CriteriTecnici!$M1730,",","."),0))),4)&amp;""),",",".")&amp;", "&amp;CHAR(34)&amp;"rawScore"&amp;CHAR(34)&amp;": "&amp;SUBSTITUTE(TRIM(ROUND(IFERROR(CriteriTecnici!$O1730*1,IFERROR(NUMBERVALUE(CriteriTecnici!$O1730,".",","),IFERROR(NUMBERVALUE(CriteriTecnici!$O1730,",","."),0))),4)&amp;""),",",".")&amp;CHAR(125)&amp;IF(TRUE,",",""))</f>
        <v/>
      </c>
    </row>
    <row r="1832">
      <c r="A1832" s="82">
        <f>IF(CriteriTecnici!$A1731="","","    "&amp;CHAR(123)&amp;CHAR(34)&amp;"bidderId"&amp;CHAR(34)&amp;": "&amp;CHAR(34)&amp;SUBSTITUTE(CriteriTecnici!$A1731,CHAR(34),"'")&amp;CHAR(34)&amp;", "&amp;CHAR(34)&amp;"lotId"&amp;CHAR(34)&amp;": "&amp;CHAR(34)&amp;SUBSTITUTE(CriteriTecnici!$C1731,CHAR(34),"'")&amp;CHAR(34)&amp;", "&amp;CHAR(34)&amp;"criterionId"&amp;CHAR(34)&amp;": "&amp;CHAR(34)&amp;SUBSTITUTE(CriteriTecnici!$D1731,CHAR(34),"'")&amp;CHAR(34)&amp;", "&amp;CHAR(34)&amp;"kind"&amp;CHAR(34)&amp;": "&amp;CHAR(34)&amp;SUBSTITUTE(CriteriTecnici!$F1731,CHAR(34),"'")&amp;CHAR(34)&amp;", "&amp;CHAR(34)&amp;"value"&amp;CHAR(34)&amp;": "&amp;SUBSTITUTE(TRIM(ROUND(IFERROR(CriteriTecnici!$N1731*1,IFERROR(NUMBERVALUE(CriteriTecnici!$N1731,".",","),IFERROR(NUMBERVALUE(CriteriTecnici!$N1731,",","."),0))),4)&amp;""),",",".")&amp;", "&amp;CHAR(34)&amp;"numerator"&amp;CHAR(34)&amp;": "&amp;SUBSTITUTE(TRIM(ROUND(IFERROR(CriteriTecnici!$K1731*1,IFERROR(NUMBERVALUE(CriteriTecnici!$K1731,".",","),IFERROR(NUMBERVALUE(CriteriTecnici!$K1731,",","."),0))),4)&amp;""),",",".")&amp;", "&amp;CHAR(34)&amp;"denominator"&amp;CHAR(34)&amp;": "&amp;SUBSTITUTE(TRIM(ROUND(IFERROR(CriteriTecnici!$L1731*1,IFERROR(NUMBERVALUE(CriteriTecnici!$L1731,".",","),IFERROR(NUMBERVALUE(CriteriTecnici!$L1731,",","."),0))),4)&amp;""),",",".")&amp;", "&amp;CHAR(34)&amp;"flag"&amp;CHAR(34)&amp;": "&amp;SUBSTITUTE(TRIM(ROUND(IFERROR(CriteriTecnici!$M1731*1,IFERROR(NUMBERVALUE(CriteriTecnici!$M1731,".",","),IFERROR(NUMBERVALUE(CriteriTecnici!$M1731,",","."),0))),4)&amp;""),",",".")&amp;", "&amp;CHAR(34)&amp;"rawScore"&amp;CHAR(34)&amp;": "&amp;SUBSTITUTE(TRIM(ROUND(IFERROR(CriteriTecnici!$O1731*1,IFERROR(NUMBERVALUE(CriteriTecnici!$O1731,".",","),IFERROR(NUMBERVALUE(CriteriTecnici!$O1731,",","."),0))),4)&amp;""),",",".")&amp;CHAR(125)&amp;IF(TRUE,",",""))</f>
        <v/>
      </c>
    </row>
    <row r="1833">
      <c r="A1833" s="82">
        <f>IF(CriteriTecnici!$A1732="","","    "&amp;CHAR(123)&amp;CHAR(34)&amp;"bidderId"&amp;CHAR(34)&amp;": "&amp;CHAR(34)&amp;SUBSTITUTE(CriteriTecnici!$A1732,CHAR(34),"'")&amp;CHAR(34)&amp;", "&amp;CHAR(34)&amp;"lotId"&amp;CHAR(34)&amp;": "&amp;CHAR(34)&amp;SUBSTITUTE(CriteriTecnici!$C1732,CHAR(34),"'")&amp;CHAR(34)&amp;", "&amp;CHAR(34)&amp;"criterionId"&amp;CHAR(34)&amp;": "&amp;CHAR(34)&amp;SUBSTITUTE(CriteriTecnici!$D1732,CHAR(34),"'")&amp;CHAR(34)&amp;", "&amp;CHAR(34)&amp;"kind"&amp;CHAR(34)&amp;": "&amp;CHAR(34)&amp;SUBSTITUTE(CriteriTecnici!$F1732,CHAR(34),"'")&amp;CHAR(34)&amp;", "&amp;CHAR(34)&amp;"value"&amp;CHAR(34)&amp;": "&amp;SUBSTITUTE(TRIM(ROUND(IFERROR(CriteriTecnici!$N1732*1,IFERROR(NUMBERVALUE(CriteriTecnici!$N1732,".",","),IFERROR(NUMBERVALUE(CriteriTecnici!$N1732,",","."),0))),4)&amp;""),",",".")&amp;", "&amp;CHAR(34)&amp;"numerator"&amp;CHAR(34)&amp;": "&amp;SUBSTITUTE(TRIM(ROUND(IFERROR(CriteriTecnici!$K1732*1,IFERROR(NUMBERVALUE(CriteriTecnici!$K1732,".",","),IFERROR(NUMBERVALUE(CriteriTecnici!$K1732,",","."),0))),4)&amp;""),",",".")&amp;", "&amp;CHAR(34)&amp;"denominator"&amp;CHAR(34)&amp;": "&amp;SUBSTITUTE(TRIM(ROUND(IFERROR(CriteriTecnici!$L1732*1,IFERROR(NUMBERVALUE(CriteriTecnici!$L1732,".",","),IFERROR(NUMBERVALUE(CriteriTecnici!$L1732,",","."),0))),4)&amp;""),",",".")&amp;", "&amp;CHAR(34)&amp;"flag"&amp;CHAR(34)&amp;": "&amp;SUBSTITUTE(TRIM(ROUND(IFERROR(CriteriTecnici!$M1732*1,IFERROR(NUMBERVALUE(CriteriTecnici!$M1732,".",","),IFERROR(NUMBERVALUE(CriteriTecnici!$M1732,",","."),0))),4)&amp;""),",",".")&amp;", "&amp;CHAR(34)&amp;"rawScore"&amp;CHAR(34)&amp;": "&amp;SUBSTITUTE(TRIM(ROUND(IFERROR(CriteriTecnici!$O1732*1,IFERROR(NUMBERVALUE(CriteriTecnici!$O1732,".",","),IFERROR(NUMBERVALUE(CriteriTecnici!$O1732,",","."),0))),4)&amp;""),",",".")&amp;CHAR(125)&amp;IF(TRUE,",",""))</f>
        <v/>
      </c>
    </row>
    <row r="1834">
      <c r="A1834" s="82">
        <f>IF(CriteriTecnici!$A1733="","","    "&amp;CHAR(123)&amp;CHAR(34)&amp;"bidderId"&amp;CHAR(34)&amp;": "&amp;CHAR(34)&amp;SUBSTITUTE(CriteriTecnici!$A1733,CHAR(34),"'")&amp;CHAR(34)&amp;", "&amp;CHAR(34)&amp;"lotId"&amp;CHAR(34)&amp;": "&amp;CHAR(34)&amp;SUBSTITUTE(CriteriTecnici!$C1733,CHAR(34),"'")&amp;CHAR(34)&amp;", "&amp;CHAR(34)&amp;"criterionId"&amp;CHAR(34)&amp;": "&amp;CHAR(34)&amp;SUBSTITUTE(CriteriTecnici!$D1733,CHAR(34),"'")&amp;CHAR(34)&amp;", "&amp;CHAR(34)&amp;"kind"&amp;CHAR(34)&amp;": "&amp;CHAR(34)&amp;SUBSTITUTE(CriteriTecnici!$F1733,CHAR(34),"'")&amp;CHAR(34)&amp;", "&amp;CHAR(34)&amp;"value"&amp;CHAR(34)&amp;": "&amp;SUBSTITUTE(TRIM(ROUND(IFERROR(CriteriTecnici!$N1733*1,IFERROR(NUMBERVALUE(CriteriTecnici!$N1733,".",","),IFERROR(NUMBERVALUE(CriteriTecnici!$N1733,",","."),0))),4)&amp;""),",",".")&amp;", "&amp;CHAR(34)&amp;"numerator"&amp;CHAR(34)&amp;": "&amp;SUBSTITUTE(TRIM(ROUND(IFERROR(CriteriTecnici!$K1733*1,IFERROR(NUMBERVALUE(CriteriTecnici!$K1733,".",","),IFERROR(NUMBERVALUE(CriteriTecnici!$K1733,",","."),0))),4)&amp;""),",",".")&amp;", "&amp;CHAR(34)&amp;"denominator"&amp;CHAR(34)&amp;": "&amp;SUBSTITUTE(TRIM(ROUND(IFERROR(CriteriTecnici!$L1733*1,IFERROR(NUMBERVALUE(CriteriTecnici!$L1733,".",","),IFERROR(NUMBERVALUE(CriteriTecnici!$L1733,",","."),0))),4)&amp;""),",",".")&amp;", "&amp;CHAR(34)&amp;"flag"&amp;CHAR(34)&amp;": "&amp;SUBSTITUTE(TRIM(ROUND(IFERROR(CriteriTecnici!$M1733*1,IFERROR(NUMBERVALUE(CriteriTecnici!$M1733,".",","),IFERROR(NUMBERVALUE(CriteriTecnici!$M1733,",","."),0))),4)&amp;""),",",".")&amp;", "&amp;CHAR(34)&amp;"rawScore"&amp;CHAR(34)&amp;": "&amp;SUBSTITUTE(TRIM(ROUND(IFERROR(CriteriTecnici!$O1733*1,IFERROR(NUMBERVALUE(CriteriTecnici!$O1733,".",","),IFERROR(NUMBERVALUE(CriteriTecnici!$O1733,",","."),0))),4)&amp;""),",",".")&amp;CHAR(125)&amp;IF(TRUE,",",""))</f>
        <v/>
      </c>
    </row>
    <row r="1835">
      <c r="A1835" s="82">
        <f>IF(CriteriTecnici!$A1734="","","    "&amp;CHAR(123)&amp;CHAR(34)&amp;"bidderId"&amp;CHAR(34)&amp;": "&amp;CHAR(34)&amp;SUBSTITUTE(CriteriTecnici!$A1734,CHAR(34),"'")&amp;CHAR(34)&amp;", "&amp;CHAR(34)&amp;"lotId"&amp;CHAR(34)&amp;": "&amp;CHAR(34)&amp;SUBSTITUTE(CriteriTecnici!$C1734,CHAR(34),"'")&amp;CHAR(34)&amp;", "&amp;CHAR(34)&amp;"criterionId"&amp;CHAR(34)&amp;": "&amp;CHAR(34)&amp;SUBSTITUTE(CriteriTecnici!$D1734,CHAR(34),"'")&amp;CHAR(34)&amp;", "&amp;CHAR(34)&amp;"kind"&amp;CHAR(34)&amp;": "&amp;CHAR(34)&amp;SUBSTITUTE(CriteriTecnici!$F1734,CHAR(34),"'")&amp;CHAR(34)&amp;", "&amp;CHAR(34)&amp;"value"&amp;CHAR(34)&amp;": "&amp;SUBSTITUTE(TRIM(ROUND(IFERROR(CriteriTecnici!$N1734*1,IFERROR(NUMBERVALUE(CriteriTecnici!$N1734,".",","),IFERROR(NUMBERVALUE(CriteriTecnici!$N1734,",","."),0))),4)&amp;""),",",".")&amp;", "&amp;CHAR(34)&amp;"numerator"&amp;CHAR(34)&amp;": "&amp;SUBSTITUTE(TRIM(ROUND(IFERROR(CriteriTecnici!$K1734*1,IFERROR(NUMBERVALUE(CriteriTecnici!$K1734,".",","),IFERROR(NUMBERVALUE(CriteriTecnici!$K1734,",","."),0))),4)&amp;""),",",".")&amp;", "&amp;CHAR(34)&amp;"denominator"&amp;CHAR(34)&amp;": "&amp;SUBSTITUTE(TRIM(ROUND(IFERROR(CriteriTecnici!$L1734*1,IFERROR(NUMBERVALUE(CriteriTecnici!$L1734,".",","),IFERROR(NUMBERVALUE(CriteriTecnici!$L1734,",","."),0))),4)&amp;""),",",".")&amp;", "&amp;CHAR(34)&amp;"flag"&amp;CHAR(34)&amp;": "&amp;SUBSTITUTE(TRIM(ROUND(IFERROR(CriteriTecnici!$M1734*1,IFERROR(NUMBERVALUE(CriteriTecnici!$M1734,".",","),IFERROR(NUMBERVALUE(CriteriTecnici!$M1734,",","."),0))),4)&amp;""),",",".")&amp;", "&amp;CHAR(34)&amp;"rawScore"&amp;CHAR(34)&amp;": "&amp;SUBSTITUTE(TRIM(ROUND(IFERROR(CriteriTecnici!$O1734*1,IFERROR(NUMBERVALUE(CriteriTecnici!$O1734,".",","),IFERROR(NUMBERVALUE(CriteriTecnici!$O1734,",","."),0))),4)&amp;""),",",".")&amp;CHAR(125)&amp;IF(TRUE,",",""))</f>
        <v/>
      </c>
    </row>
    <row r="1836">
      <c r="A1836" s="82">
        <f>IF(CriteriTecnici!$A1735="","","    "&amp;CHAR(123)&amp;CHAR(34)&amp;"bidderId"&amp;CHAR(34)&amp;": "&amp;CHAR(34)&amp;SUBSTITUTE(CriteriTecnici!$A1735,CHAR(34),"'")&amp;CHAR(34)&amp;", "&amp;CHAR(34)&amp;"lotId"&amp;CHAR(34)&amp;": "&amp;CHAR(34)&amp;SUBSTITUTE(CriteriTecnici!$C1735,CHAR(34),"'")&amp;CHAR(34)&amp;", "&amp;CHAR(34)&amp;"criterionId"&amp;CHAR(34)&amp;": "&amp;CHAR(34)&amp;SUBSTITUTE(CriteriTecnici!$D1735,CHAR(34),"'")&amp;CHAR(34)&amp;", "&amp;CHAR(34)&amp;"kind"&amp;CHAR(34)&amp;": "&amp;CHAR(34)&amp;SUBSTITUTE(CriteriTecnici!$F1735,CHAR(34),"'")&amp;CHAR(34)&amp;", "&amp;CHAR(34)&amp;"value"&amp;CHAR(34)&amp;": "&amp;SUBSTITUTE(TRIM(ROUND(IFERROR(CriteriTecnici!$N1735*1,IFERROR(NUMBERVALUE(CriteriTecnici!$N1735,".",","),IFERROR(NUMBERVALUE(CriteriTecnici!$N1735,",","."),0))),4)&amp;""),",",".")&amp;", "&amp;CHAR(34)&amp;"numerator"&amp;CHAR(34)&amp;": "&amp;SUBSTITUTE(TRIM(ROUND(IFERROR(CriteriTecnici!$K1735*1,IFERROR(NUMBERVALUE(CriteriTecnici!$K1735,".",","),IFERROR(NUMBERVALUE(CriteriTecnici!$K1735,",","."),0))),4)&amp;""),",",".")&amp;", "&amp;CHAR(34)&amp;"denominator"&amp;CHAR(34)&amp;": "&amp;SUBSTITUTE(TRIM(ROUND(IFERROR(CriteriTecnici!$L1735*1,IFERROR(NUMBERVALUE(CriteriTecnici!$L1735,".",","),IFERROR(NUMBERVALUE(CriteriTecnici!$L1735,",","."),0))),4)&amp;""),",",".")&amp;", "&amp;CHAR(34)&amp;"flag"&amp;CHAR(34)&amp;": "&amp;SUBSTITUTE(TRIM(ROUND(IFERROR(CriteriTecnici!$M1735*1,IFERROR(NUMBERVALUE(CriteriTecnici!$M1735,".",","),IFERROR(NUMBERVALUE(CriteriTecnici!$M1735,",","."),0))),4)&amp;""),",",".")&amp;", "&amp;CHAR(34)&amp;"rawScore"&amp;CHAR(34)&amp;": "&amp;SUBSTITUTE(TRIM(ROUND(IFERROR(CriteriTecnici!$O1735*1,IFERROR(NUMBERVALUE(CriteriTecnici!$O1735,".",","),IFERROR(NUMBERVALUE(CriteriTecnici!$O1735,",","."),0))),4)&amp;""),",",".")&amp;CHAR(125)&amp;IF(TRUE,",",""))</f>
        <v/>
      </c>
    </row>
    <row r="1837">
      <c r="A1837" s="82">
        <f>IF(CriteriTecnici!$A1736="","","    "&amp;CHAR(123)&amp;CHAR(34)&amp;"bidderId"&amp;CHAR(34)&amp;": "&amp;CHAR(34)&amp;SUBSTITUTE(CriteriTecnici!$A1736,CHAR(34),"'")&amp;CHAR(34)&amp;", "&amp;CHAR(34)&amp;"lotId"&amp;CHAR(34)&amp;": "&amp;CHAR(34)&amp;SUBSTITUTE(CriteriTecnici!$C1736,CHAR(34),"'")&amp;CHAR(34)&amp;", "&amp;CHAR(34)&amp;"criterionId"&amp;CHAR(34)&amp;": "&amp;CHAR(34)&amp;SUBSTITUTE(CriteriTecnici!$D1736,CHAR(34),"'")&amp;CHAR(34)&amp;", "&amp;CHAR(34)&amp;"kind"&amp;CHAR(34)&amp;": "&amp;CHAR(34)&amp;SUBSTITUTE(CriteriTecnici!$F1736,CHAR(34),"'")&amp;CHAR(34)&amp;", "&amp;CHAR(34)&amp;"value"&amp;CHAR(34)&amp;": "&amp;SUBSTITUTE(TRIM(ROUND(IFERROR(CriteriTecnici!$N1736*1,IFERROR(NUMBERVALUE(CriteriTecnici!$N1736,".",","),IFERROR(NUMBERVALUE(CriteriTecnici!$N1736,",","."),0))),4)&amp;""),",",".")&amp;", "&amp;CHAR(34)&amp;"numerator"&amp;CHAR(34)&amp;": "&amp;SUBSTITUTE(TRIM(ROUND(IFERROR(CriteriTecnici!$K1736*1,IFERROR(NUMBERVALUE(CriteriTecnici!$K1736,".",","),IFERROR(NUMBERVALUE(CriteriTecnici!$K1736,",","."),0))),4)&amp;""),",",".")&amp;", "&amp;CHAR(34)&amp;"denominator"&amp;CHAR(34)&amp;": "&amp;SUBSTITUTE(TRIM(ROUND(IFERROR(CriteriTecnici!$L1736*1,IFERROR(NUMBERVALUE(CriteriTecnici!$L1736,".",","),IFERROR(NUMBERVALUE(CriteriTecnici!$L1736,",","."),0))),4)&amp;""),",",".")&amp;", "&amp;CHAR(34)&amp;"flag"&amp;CHAR(34)&amp;": "&amp;SUBSTITUTE(TRIM(ROUND(IFERROR(CriteriTecnici!$M1736*1,IFERROR(NUMBERVALUE(CriteriTecnici!$M1736,".",","),IFERROR(NUMBERVALUE(CriteriTecnici!$M1736,",","."),0))),4)&amp;""),",",".")&amp;", "&amp;CHAR(34)&amp;"rawScore"&amp;CHAR(34)&amp;": "&amp;SUBSTITUTE(TRIM(ROUND(IFERROR(CriteriTecnici!$O1736*1,IFERROR(NUMBERVALUE(CriteriTecnici!$O1736,".",","),IFERROR(NUMBERVALUE(CriteriTecnici!$O1736,",","."),0))),4)&amp;""),",",".")&amp;CHAR(125)&amp;IF(TRUE,",",""))</f>
        <v/>
      </c>
    </row>
    <row r="1838">
      <c r="A1838" s="82">
        <f>IF(CriteriTecnici!$A1737="","","    "&amp;CHAR(123)&amp;CHAR(34)&amp;"bidderId"&amp;CHAR(34)&amp;": "&amp;CHAR(34)&amp;SUBSTITUTE(CriteriTecnici!$A1737,CHAR(34),"'")&amp;CHAR(34)&amp;", "&amp;CHAR(34)&amp;"lotId"&amp;CHAR(34)&amp;": "&amp;CHAR(34)&amp;SUBSTITUTE(CriteriTecnici!$C1737,CHAR(34),"'")&amp;CHAR(34)&amp;", "&amp;CHAR(34)&amp;"criterionId"&amp;CHAR(34)&amp;": "&amp;CHAR(34)&amp;SUBSTITUTE(CriteriTecnici!$D1737,CHAR(34),"'")&amp;CHAR(34)&amp;", "&amp;CHAR(34)&amp;"kind"&amp;CHAR(34)&amp;": "&amp;CHAR(34)&amp;SUBSTITUTE(CriteriTecnici!$F1737,CHAR(34),"'")&amp;CHAR(34)&amp;", "&amp;CHAR(34)&amp;"value"&amp;CHAR(34)&amp;": "&amp;SUBSTITUTE(TRIM(ROUND(IFERROR(CriteriTecnici!$N1737*1,IFERROR(NUMBERVALUE(CriteriTecnici!$N1737,".",","),IFERROR(NUMBERVALUE(CriteriTecnici!$N1737,",","."),0))),4)&amp;""),",",".")&amp;", "&amp;CHAR(34)&amp;"numerator"&amp;CHAR(34)&amp;": "&amp;SUBSTITUTE(TRIM(ROUND(IFERROR(CriteriTecnici!$K1737*1,IFERROR(NUMBERVALUE(CriteriTecnici!$K1737,".",","),IFERROR(NUMBERVALUE(CriteriTecnici!$K1737,",","."),0))),4)&amp;""),",",".")&amp;", "&amp;CHAR(34)&amp;"denominator"&amp;CHAR(34)&amp;": "&amp;SUBSTITUTE(TRIM(ROUND(IFERROR(CriteriTecnici!$L1737*1,IFERROR(NUMBERVALUE(CriteriTecnici!$L1737,".",","),IFERROR(NUMBERVALUE(CriteriTecnici!$L1737,",","."),0))),4)&amp;""),",",".")&amp;", "&amp;CHAR(34)&amp;"flag"&amp;CHAR(34)&amp;": "&amp;SUBSTITUTE(TRIM(ROUND(IFERROR(CriteriTecnici!$M1737*1,IFERROR(NUMBERVALUE(CriteriTecnici!$M1737,".",","),IFERROR(NUMBERVALUE(CriteriTecnici!$M1737,",","."),0))),4)&amp;""),",",".")&amp;", "&amp;CHAR(34)&amp;"rawScore"&amp;CHAR(34)&amp;": "&amp;SUBSTITUTE(TRIM(ROUND(IFERROR(CriteriTecnici!$O1737*1,IFERROR(NUMBERVALUE(CriteriTecnici!$O1737,".",","),IFERROR(NUMBERVALUE(CriteriTecnici!$O1737,",","."),0))),4)&amp;""),",",".")&amp;CHAR(125)&amp;IF(TRUE,",",""))</f>
        <v/>
      </c>
    </row>
    <row r="1839">
      <c r="A1839" s="82">
        <f>IF(CriteriTecnici!$A1738="","","    "&amp;CHAR(123)&amp;CHAR(34)&amp;"bidderId"&amp;CHAR(34)&amp;": "&amp;CHAR(34)&amp;SUBSTITUTE(CriteriTecnici!$A1738,CHAR(34),"'")&amp;CHAR(34)&amp;", "&amp;CHAR(34)&amp;"lotId"&amp;CHAR(34)&amp;": "&amp;CHAR(34)&amp;SUBSTITUTE(CriteriTecnici!$C1738,CHAR(34),"'")&amp;CHAR(34)&amp;", "&amp;CHAR(34)&amp;"criterionId"&amp;CHAR(34)&amp;": "&amp;CHAR(34)&amp;SUBSTITUTE(CriteriTecnici!$D1738,CHAR(34),"'")&amp;CHAR(34)&amp;", "&amp;CHAR(34)&amp;"kind"&amp;CHAR(34)&amp;": "&amp;CHAR(34)&amp;SUBSTITUTE(CriteriTecnici!$F1738,CHAR(34),"'")&amp;CHAR(34)&amp;", "&amp;CHAR(34)&amp;"value"&amp;CHAR(34)&amp;": "&amp;SUBSTITUTE(TRIM(ROUND(IFERROR(CriteriTecnici!$N1738*1,IFERROR(NUMBERVALUE(CriteriTecnici!$N1738,".",","),IFERROR(NUMBERVALUE(CriteriTecnici!$N1738,",","."),0))),4)&amp;""),",",".")&amp;", "&amp;CHAR(34)&amp;"numerator"&amp;CHAR(34)&amp;": "&amp;SUBSTITUTE(TRIM(ROUND(IFERROR(CriteriTecnici!$K1738*1,IFERROR(NUMBERVALUE(CriteriTecnici!$K1738,".",","),IFERROR(NUMBERVALUE(CriteriTecnici!$K1738,",","."),0))),4)&amp;""),",",".")&amp;", "&amp;CHAR(34)&amp;"denominator"&amp;CHAR(34)&amp;": "&amp;SUBSTITUTE(TRIM(ROUND(IFERROR(CriteriTecnici!$L1738*1,IFERROR(NUMBERVALUE(CriteriTecnici!$L1738,".",","),IFERROR(NUMBERVALUE(CriteriTecnici!$L1738,",","."),0))),4)&amp;""),",",".")&amp;", "&amp;CHAR(34)&amp;"flag"&amp;CHAR(34)&amp;": "&amp;SUBSTITUTE(TRIM(ROUND(IFERROR(CriteriTecnici!$M1738*1,IFERROR(NUMBERVALUE(CriteriTecnici!$M1738,".",","),IFERROR(NUMBERVALUE(CriteriTecnici!$M1738,",","."),0))),4)&amp;""),",",".")&amp;", "&amp;CHAR(34)&amp;"rawScore"&amp;CHAR(34)&amp;": "&amp;SUBSTITUTE(TRIM(ROUND(IFERROR(CriteriTecnici!$O1738*1,IFERROR(NUMBERVALUE(CriteriTecnici!$O1738,".",","),IFERROR(NUMBERVALUE(CriteriTecnici!$O1738,",","."),0))),4)&amp;""),",",".")&amp;CHAR(125)&amp;IF(TRUE,",",""))</f>
        <v/>
      </c>
    </row>
    <row r="1840">
      <c r="A1840" s="82">
        <f>IF(CriteriTecnici!$A1739="","","    "&amp;CHAR(123)&amp;CHAR(34)&amp;"bidderId"&amp;CHAR(34)&amp;": "&amp;CHAR(34)&amp;SUBSTITUTE(CriteriTecnici!$A1739,CHAR(34),"'")&amp;CHAR(34)&amp;", "&amp;CHAR(34)&amp;"lotId"&amp;CHAR(34)&amp;": "&amp;CHAR(34)&amp;SUBSTITUTE(CriteriTecnici!$C1739,CHAR(34),"'")&amp;CHAR(34)&amp;", "&amp;CHAR(34)&amp;"criterionId"&amp;CHAR(34)&amp;": "&amp;CHAR(34)&amp;SUBSTITUTE(CriteriTecnici!$D1739,CHAR(34),"'")&amp;CHAR(34)&amp;", "&amp;CHAR(34)&amp;"kind"&amp;CHAR(34)&amp;": "&amp;CHAR(34)&amp;SUBSTITUTE(CriteriTecnici!$F1739,CHAR(34),"'")&amp;CHAR(34)&amp;", "&amp;CHAR(34)&amp;"value"&amp;CHAR(34)&amp;": "&amp;SUBSTITUTE(TRIM(ROUND(IFERROR(CriteriTecnici!$N1739*1,IFERROR(NUMBERVALUE(CriteriTecnici!$N1739,".",","),IFERROR(NUMBERVALUE(CriteriTecnici!$N1739,",","."),0))),4)&amp;""),",",".")&amp;", "&amp;CHAR(34)&amp;"numerator"&amp;CHAR(34)&amp;": "&amp;SUBSTITUTE(TRIM(ROUND(IFERROR(CriteriTecnici!$K1739*1,IFERROR(NUMBERVALUE(CriteriTecnici!$K1739,".",","),IFERROR(NUMBERVALUE(CriteriTecnici!$K1739,",","."),0))),4)&amp;""),",",".")&amp;", "&amp;CHAR(34)&amp;"denominator"&amp;CHAR(34)&amp;": "&amp;SUBSTITUTE(TRIM(ROUND(IFERROR(CriteriTecnici!$L1739*1,IFERROR(NUMBERVALUE(CriteriTecnici!$L1739,".",","),IFERROR(NUMBERVALUE(CriteriTecnici!$L1739,",","."),0))),4)&amp;""),",",".")&amp;", "&amp;CHAR(34)&amp;"flag"&amp;CHAR(34)&amp;": "&amp;SUBSTITUTE(TRIM(ROUND(IFERROR(CriteriTecnici!$M1739*1,IFERROR(NUMBERVALUE(CriteriTecnici!$M1739,".",","),IFERROR(NUMBERVALUE(CriteriTecnici!$M1739,",","."),0))),4)&amp;""),",",".")&amp;", "&amp;CHAR(34)&amp;"rawScore"&amp;CHAR(34)&amp;": "&amp;SUBSTITUTE(TRIM(ROUND(IFERROR(CriteriTecnici!$O1739*1,IFERROR(NUMBERVALUE(CriteriTecnici!$O1739,".",","),IFERROR(NUMBERVALUE(CriteriTecnici!$O1739,",","."),0))),4)&amp;""),",",".")&amp;CHAR(125)&amp;IF(TRUE,",",""))</f>
        <v/>
      </c>
    </row>
    <row r="1841">
      <c r="A1841" s="82">
        <f>IF(CriteriTecnici!$A1740="","","    "&amp;CHAR(123)&amp;CHAR(34)&amp;"bidderId"&amp;CHAR(34)&amp;": "&amp;CHAR(34)&amp;SUBSTITUTE(CriteriTecnici!$A1740,CHAR(34),"'")&amp;CHAR(34)&amp;", "&amp;CHAR(34)&amp;"lotId"&amp;CHAR(34)&amp;": "&amp;CHAR(34)&amp;SUBSTITUTE(CriteriTecnici!$C1740,CHAR(34),"'")&amp;CHAR(34)&amp;", "&amp;CHAR(34)&amp;"criterionId"&amp;CHAR(34)&amp;": "&amp;CHAR(34)&amp;SUBSTITUTE(CriteriTecnici!$D1740,CHAR(34),"'")&amp;CHAR(34)&amp;", "&amp;CHAR(34)&amp;"kind"&amp;CHAR(34)&amp;": "&amp;CHAR(34)&amp;SUBSTITUTE(CriteriTecnici!$F1740,CHAR(34),"'")&amp;CHAR(34)&amp;", "&amp;CHAR(34)&amp;"value"&amp;CHAR(34)&amp;": "&amp;SUBSTITUTE(TRIM(ROUND(IFERROR(CriteriTecnici!$N1740*1,IFERROR(NUMBERVALUE(CriteriTecnici!$N1740,".",","),IFERROR(NUMBERVALUE(CriteriTecnici!$N1740,",","."),0))),4)&amp;""),",",".")&amp;", "&amp;CHAR(34)&amp;"numerator"&amp;CHAR(34)&amp;": "&amp;SUBSTITUTE(TRIM(ROUND(IFERROR(CriteriTecnici!$K1740*1,IFERROR(NUMBERVALUE(CriteriTecnici!$K1740,".",","),IFERROR(NUMBERVALUE(CriteriTecnici!$K1740,",","."),0))),4)&amp;""),",",".")&amp;", "&amp;CHAR(34)&amp;"denominator"&amp;CHAR(34)&amp;": "&amp;SUBSTITUTE(TRIM(ROUND(IFERROR(CriteriTecnici!$L1740*1,IFERROR(NUMBERVALUE(CriteriTecnici!$L1740,".",","),IFERROR(NUMBERVALUE(CriteriTecnici!$L1740,",","."),0))),4)&amp;""),",",".")&amp;", "&amp;CHAR(34)&amp;"flag"&amp;CHAR(34)&amp;": "&amp;SUBSTITUTE(TRIM(ROUND(IFERROR(CriteriTecnici!$M1740*1,IFERROR(NUMBERVALUE(CriteriTecnici!$M1740,".",","),IFERROR(NUMBERVALUE(CriteriTecnici!$M1740,",","."),0))),4)&amp;""),",",".")&amp;", "&amp;CHAR(34)&amp;"rawScore"&amp;CHAR(34)&amp;": "&amp;SUBSTITUTE(TRIM(ROUND(IFERROR(CriteriTecnici!$O1740*1,IFERROR(NUMBERVALUE(CriteriTecnici!$O1740,".",","),IFERROR(NUMBERVALUE(CriteriTecnici!$O1740,",","."),0))),4)&amp;""),",",".")&amp;CHAR(125)&amp;IF(COUNTA(Offerte!$A58:$A$81)&gt;0,",",""))</f>
        <v/>
      </c>
    </row>
    <row r="1842">
      <c r="A1842" s="82">
        <f>IF(CriteriTecnici!$A1741="","","    "&amp;CHAR(123)&amp;CHAR(34)&amp;"bidderId"&amp;CHAR(34)&amp;": "&amp;CHAR(34)&amp;SUBSTITUTE(CriteriTecnici!$A1741,CHAR(34),"'")&amp;CHAR(34)&amp;", "&amp;CHAR(34)&amp;"lotId"&amp;CHAR(34)&amp;": "&amp;CHAR(34)&amp;SUBSTITUTE(CriteriTecnici!$C1741,CHAR(34),"'")&amp;CHAR(34)&amp;", "&amp;CHAR(34)&amp;"criterionId"&amp;CHAR(34)&amp;": "&amp;CHAR(34)&amp;SUBSTITUTE(CriteriTecnici!$D1741,CHAR(34),"'")&amp;CHAR(34)&amp;", "&amp;CHAR(34)&amp;"kind"&amp;CHAR(34)&amp;": "&amp;CHAR(34)&amp;SUBSTITUTE(CriteriTecnici!$F1741,CHAR(34),"'")&amp;CHAR(34)&amp;", "&amp;CHAR(34)&amp;"value"&amp;CHAR(34)&amp;": "&amp;SUBSTITUTE(TRIM(ROUND(IFERROR(CriteriTecnici!$N1741*1,IFERROR(NUMBERVALUE(CriteriTecnici!$N1741,".",","),IFERROR(NUMBERVALUE(CriteriTecnici!$N1741,",","."),0))),4)&amp;""),",",".")&amp;", "&amp;CHAR(34)&amp;"numerator"&amp;CHAR(34)&amp;": "&amp;SUBSTITUTE(TRIM(ROUND(IFERROR(CriteriTecnici!$K1741*1,IFERROR(NUMBERVALUE(CriteriTecnici!$K1741,".",","),IFERROR(NUMBERVALUE(CriteriTecnici!$K1741,",","."),0))),4)&amp;""),",",".")&amp;", "&amp;CHAR(34)&amp;"denominator"&amp;CHAR(34)&amp;": "&amp;SUBSTITUTE(TRIM(ROUND(IFERROR(CriteriTecnici!$L1741*1,IFERROR(NUMBERVALUE(CriteriTecnici!$L1741,".",","),IFERROR(NUMBERVALUE(CriteriTecnici!$L1741,",","."),0))),4)&amp;""),",",".")&amp;", "&amp;CHAR(34)&amp;"flag"&amp;CHAR(34)&amp;": "&amp;SUBSTITUTE(TRIM(ROUND(IFERROR(CriteriTecnici!$M1741*1,IFERROR(NUMBERVALUE(CriteriTecnici!$M1741,".",","),IFERROR(NUMBERVALUE(CriteriTecnici!$M1741,",","."),0))),4)&amp;""),",",".")&amp;", "&amp;CHAR(34)&amp;"rawScore"&amp;CHAR(34)&amp;": "&amp;SUBSTITUTE(TRIM(ROUND(IFERROR(CriteriTecnici!$O1741*1,IFERROR(NUMBERVALUE(CriteriTecnici!$O1741,".",","),IFERROR(NUMBERVALUE(CriteriTecnici!$O1741,",","."),0))),4)&amp;""),",",".")&amp;CHAR(125)&amp;IF(TRUE,",",""))</f>
        <v/>
      </c>
    </row>
    <row r="1843">
      <c r="A1843" s="82">
        <f>IF(CriteriTecnici!$A1742="","","    "&amp;CHAR(123)&amp;CHAR(34)&amp;"bidderId"&amp;CHAR(34)&amp;": "&amp;CHAR(34)&amp;SUBSTITUTE(CriteriTecnici!$A1742,CHAR(34),"'")&amp;CHAR(34)&amp;", "&amp;CHAR(34)&amp;"lotId"&amp;CHAR(34)&amp;": "&amp;CHAR(34)&amp;SUBSTITUTE(CriteriTecnici!$C1742,CHAR(34),"'")&amp;CHAR(34)&amp;", "&amp;CHAR(34)&amp;"criterionId"&amp;CHAR(34)&amp;": "&amp;CHAR(34)&amp;SUBSTITUTE(CriteriTecnici!$D1742,CHAR(34),"'")&amp;CHAR(34)&amp;", "&amp;CHAR(34)&amp;"kind"&amp;CHAR(34)&amp;": "&amp;CHAR(34)&amp;SUBSTITUTE(CriteriTecnici!$F1742,CHAR(34),"'")&amp;CHAR(34)&amp;", "&amp;CHAR(34)&amp;"value"&amp;CHAR(34)&amp;": "&amp;SUBSTITUTE(TRIM(ROUND(IFERROR(CriteriTecnici!$N1742*1,IFERROR(NUMBERVALUE(CriteriTecnici!$N1742,".",","),IFERROR(NUMBERVALUE(CriteriTecnici!$N1742,",","."),0))),4)&amp;""),",",".")&amp;", "&amp;CHAR(34)&amp;"numerator"&amp;CHAR(34)&amp;": "&amp;SUBSTITUTE(TRIM(ROUND(IFERROR(CriteriTecnici!$K1742*1,IFERROR(NUMBERVALUE(CriteriTecnici!$K1742,".",","),IFERROR(NUMBERVALUE(CriteriTecnici!$K1742,",","."),0))),4)&amp;""),",",".")&amp;", "&amp;CHAR(34)&amp;"denominator"&amp;CHAR(34)&amp;": "&amp;SUBSTITUTE(TRIM(ROUND(IFERROR(CriteriTecnici!$L1742*1,IFERROR(NUMBERVALUE(CriteriTecnici!$L1742,".",","),IFERROR(NUMBERVALUE(CriteriTecnici!$L1742,",","."),0))),4)&amp;""),",",".")&amp;", "&amp;CHAR(34)&amp;"flag"&amp;CHAR(34)&amp;": "&amp;SUBSTITUTE(TRIM(ROUND(IFERROR(CriteriTecnici!$M1742*1,IFERROR(NUMBERVALUE(CriteriTecnici!$M1742,".",","),IFERROR(NUMBERVALUE(CriteriTecnici!$M1742,",","."),0))),4)&amp;""),",",".")&amp;", "&amp;CHAR(34)&amp;"rawScore"&amp;CHAR(34)&amp;": "&amp;SUBSTITUTE(TRIM(ROUND(IFERROR(CriteriTecnici!$O1742*1,IFERROR(NUMBERVALUE(CriteriTecnici!$O1742,".",","),IFERROR(NUMBERVALUE(CriteriTecnici!$O1742,",","."),0))),4)&amp;""),",",".")&amp;CHAR(125)&amp;IF(TRUE,",",""))</f>
        <v/>
      </c>
    </row>
    <row r="1844">
      <c r="A1844" s="82">
        <f>IF(CriteriTecnici!$A1743="","","    "&amp;CHAR(123)&amp;CHAR(34)&amp;"bidderId"&amp;CHAR(34)&amp;": "&amp;CHAR(34)&amp;SUBSTITUTE(CriteriTecnici!$A1743,CHAR(34),"'")&amp;CHAR(34)&amp;", "&amp;CHAR(34)&amp;"lotId"&amp;CHAR(34)&amp;": "&amp;CHAR(34)&amp;SUBSTITUTE(CriteriTecnici!$C1743,CHAR(34),"'")&amp;CHAR(34)&amp;", "&amp;CHAR(34)&amp;"criterionId"&amp;CHAR(34)&amp;": "&amp;CHAR(34)&amp;SUBSTITUTE(CriteriTecnici!$D1743,CHAR(34),"'")&amp;CHAR(34)&amp;", "&amp;CHAR(34)&amp;"kind"&amp;CHAR(34)&amp;": "&amp;CHAR(34)&amp;SUBSTITUTE(CriteriTecnici!$F1743,CHAR(34),"'")&amp;CHAR(34)&amp;", "&amp;CHAR(34)&amp;"value"&amp;CHAR(34)&amp;": "&amp;SUBSTITUTE(TRIM(ROUND(IFERROR(CriteriTecnici!$N1743*1,IFERROR(NUMBERVALUE(CriteriTecnici!$N1743,".",","),IFERROR(NUMBERVALUE(CriteriTecnici!$N1743,",","."),0))),4)&amp;""),",",".")&amp;", "&amp;CHAR(34)&amp;"numerator"&amp;CHAR(34)&amp;": "&amp;SUBSTITUTE(TRIM(ROUND(IFERROR(CriteriTecnici!$K1743*1,IFERROR(NUMBERVALUE(CriteriTecnici!$K1743,".",","),IFERROR(NUMBERVALUE(CriteriTecnici!$K1743,",","."),0))),4)&amp;""),",",".")&amp;", "&amp;CHAR(34)&amp;"denominator"&amp;CHAR(34)&amp;": "&amp;SUBSTITUTE(TRIM(ROUND(IFERROR(CriteriTecnici!$L1743*1,IFERROR(NUMBERVALUE(CriteriTecnici!$L1743,".",","),IFERROR(NUMBERVALUE(CriteriTecnici!$L1743,",","."),0))),4)&amp;""),",",".")&amp;", "&amp;CHAR(34)&amp;"flag"&amp;CHAR(34)&amp;": "&amp;SUBSTITUTE(TRIM(ROUND(IFERROR(CriteriTecnici!$M1743*1,IFERROR(NUMBERVALUE(CriteriTecnici!$M1743,".",","),IFERROR(NUMBERVALUE(CriteriTecnici!$M1743,",","."),0))),4)&amp;""),",",".")&amp;", "&amp;CHAR(34)&amp;"rawScore"&amp;CHAR(34)&amp;": "&amp;SUBSTITUTE(TRIM(ROUND(IFERROR(CriteriTecnici!$O1743*1,IFERROR(NUMBERVALUE(CriteriTecnici!$O1743,".",","),IFERROR(NUMBERVALUE(CriteriTecnici!$O1743,",","."),0))),4)&amp;""),",",".")&amp;CHAR(125)&amp;IF(TRUE,",",""))</f>
        <v/>
      </c>
    </row>
    <row r="1845">
      <c r="A1845" s="82">
        <f>IF(CriteriTecnici!$A1744="","","    "&amp;CHAR(123)&amp;CHAR(34)&amp;"bidderId"&amp;CHAR(34)&amp;": "&amp;CHAR(34)&amp;SUBSTITUTE(CriteriTecnici!$A1744,CHAR(34),"'")&amp;CHAR(34)&amp;", "&amp;CHAR(34)&amp;"lotId"&amp;CHAR(34)&amp;": "&amp;CHAR(34)&amp;SUBSTITUTE(CriteriTecnici!$C1744,CHAR(34),"'")&amp;CHAR(34)&amp;", "&amp;CHAR(34)&amp;"criterionId"&amp;CHAR(34)&amp;": "&amp;CHAR(34)&amp;SUBSTITUTE(CriteriTecnici!$D1744,CHAR(34),"'")&amp;CHAR(34)&amp;", "&amp;CHAR(34)&amp;"kind"&amp;CHAR(34)&amp;": "&amp;CHAR(34)&amp;SUBSTITUTE(CriteriTecnici!$F1744,CHAR(34),"'")&amp;CHAR(34)&amp;", "&amp;CHAR(34)&amp;"value"&amp;CHAR(34)&amp;": "&amp;SUBSTITUTE(TRIM(ROUND(IFERROR(CriteriTecnici!$N1744*1,IFERROR(NUMBERVALUE(CriteriTecnici!$N1744,".",","),IFERROR(NUMBERVALUE(CriteriTecnici!$N1744,",","."),0))),4)&amp;""),",",".")&amp;", "&amp;CHAR(34)&amp;"numerator"&amp;CHAR(34)&amp;": "&amp;SUBSTITUTE(TRIM(ROUND(IFERROR(CriteriTecnici!$K1744*1,IFERROR(NUMBERVALUE(CriteriTecnici!$K1744,".",","),IFERROR(NUMBERVALUE(CriteriTecnici!$K1744,",","."),0))),4)&amp;""),",",".")&amp;", "&amp;CHAR(34)&amp;"denominator"&amp;CHAR(34)&amp;": "&amp;SUBSTITUTE(TRIM(ROUND(IFERROR(CriteriTecnici!$L1744*1,IFERROR(NUMBERVALUE(CriteriTecnici!$L1744,".",","),IFERROR(NUMBERVALUE(CriteriTecnici!$L1744,",","."),0))),4)&amp;""),",",".")&amp;", "&amp;CHAR(34)&amp;"flag"&amp;CHAR(34)&amp;": "&amp;SUBSTITUTE(TRIM(ROUND(IFERROR(CriteriTecnici!$M1744*1,IFERROR(NUMBERVALUE(CriteriTecnici!$M1744,".",","),IFERROR(NUMBERVALUE(CriteriTecnici!$M1744,",","."),0))),4)&amp;""),",",".")&amp;", "&amp;CHAR(34)&amp;"rawScore"&amp;CHAR(34)&amp;": "&amp;SUBSTITUTE(TRIM(ROUND(IFERROR(CriteriTecnici!$O1744*1,IFERROR(NUMBERVALUE(CriteriTecnici!$O1744,".",","),IFERROR(NUMBERVALUE(CriteriTecnici!$O1744,",","."),0))),4)&amp;""),",",".")&amp;CHAR(125)&amp;IF(TRUE,",",""))</f>
        <v/>
      </c>
    </row>
    <row r="1846">
      <c r="A1846" s="82">
        <f>IF(CriteriTecnici!$A1745="","","    "&amp;CHAR(123)&amp;CHAR(34)&amp;"bidderId"&amp;CHAR(34)&amp;": "&amp;CHAR(34)&amp;SUBSTITUTE(CriteriTecnici!$A1745,CHAR(34),"'")&amp;CHAR(34)&amp;", "&amp;CHAR(34)&amp;"lotId"&amp;CHAR(34)&amp;": "&amp;CHAR(34)&amp;SUBSTITUTE(CriteriTecnici!$C1745,CHAR(34),"'")&amp;CHAR(34)&amp;", "&amp;CHAR(34)&amp;"criterionId"&amp;CHAR(34)&amp;": "&amp;CHAR(34)&amp;SUBSTITUTE(CriteriTecnici!$D1745,CHAR(34),"'")&amp;CHAR(34)&amp;", "&amp;CHAR(34)&amp;"kind"&amp;CHAR(34)&amp;": "&amp;CHAR(34)&amp;SUBSTITUTE(CriteriTecnici!$F1745,CHAR(34),"'")&amp;CHAR(34)&amp;", "&amp;CHAR(34)&amp;"value"&amp;CHAR(34)&amp;": "&amp;SUBSTITUTE(TRIM(ROUND(IFERROR(CriteriTecnici!$N1745*1,IFERROR(NUMBERVALUE(CriteriTecnici!$N1745,".",","),IFERROR(NUMBERVALUE(CriteriTecnici!$N1745,",","."),0))),4)&amp;""),",",".")&amp;", "&amp;CHAR(34)&amp;"numerator"&amp;CHAR(34)&amp;": "&amp;SUBSTITUTE(TRIM(ROUND(IFERROR(CriteriTecnici!$K1745*1,IFERROR(NUMBERVALUE(CriteriTecnici!$K1745,".",","),IFERROR(NUMBERVALUE(CriteriTecnici!$K1745,",","."),0))),4)&amp;""),",",".")&amp;", "&amp;CHAR(34)&amp;"denominator"&amp;CHAR(34)&amp;": "&amp;SUBSTITUTE(TRIM(ROUND(IFERROR(CriteriTecnici!$L1745*1,IFERROR(NUMBERVALUE(CriteriTecnici!$L1745,".",","),IFERROR(NUMBERVALUE(CriteriTecnici!$L1745,",","."),0))),4)&amp;""),",",".")&amp;", "&amp;CHAR(34)&amp;"flag"&amp;CHAR(34)&amp;": "&amp;SUBSTITUTE(TRIM(ROUND(IFERROR(CriteriTecnici!$M1745*1,IFERROR(NUMBERVALUE(CriteriTecnici!$M1745,".",","),IFERROR(NUMBERVALUE(CriteriTecnici!$M1745,",","."),0))),4)&amp;""),",",".")&amp;", "&amp;CHAR(34)&amp;"rawScore"&amp;CHAR(34)&amp;": "&amp;SUBSTITUTE(TRIM(ROUND(IFERROR(CriteriTecnici!$O1745*1,IFERROR(NUMBERVALUE(CriteriTecnici!$O1745,".",","),IFERROR(NUMBERVALUE(CriteriTecnici!$O1745,",","."),0))),4)&amp;""),",",".")&amp;CHAR(125)&amp;IF(TRUE,",",""))</f>
        <v/>
      </c>
    </row>
    <row r="1847">
      <c r="A1847" s="82">
        <f>IF(CriteriTecnici!$A1746="","","    "&amp;CHAR(123)&amp;CHAR(34)&amp;"bidderId"&amp;CHAR(34)&amp;": "&amp;CHAR(34)&amp;SUBSTITUTE(CriteriTecnici!$A1746,CHAR(34),"'")&amp;CHAR(34)&amp;", "&amp;CHAR(34)&amp;"lotId"&amp;CHAR(34)&amp;": "&amp;CHAR(34)&amp;SUBSTITUTE(CriteriTecnici!$C1746,CHAR(34),"'")&amp;CHAR(34)&amp;", "&amp;CHAR(34)&amp;"criterionId"&amp;CHAR(34)&amp;": "&amp;CHAR(34)&amp;SUBSTITUTE(CriteriTecnici!$D1746,CHAR(34),"'")&amp;CHAR(34)&amp;", "&amp;CHAR(34)&amp;"kind"&amp;CHAR(34)&amp;": "&amp;CHAR(34)&amp;SUBSTITUTE(CriteriTecnici!$F1746,CHAR(34),"'")&amp;CHAR(34)&amp;", "&amp;CHAR(34)&amp;"value"&amp;CHAR(34)&amp;": "&amp;SUBSTITUTE(TRIM(ROUND(IFERROR(CriteriTecnici!$N1746*1,IFERROR(NUMBERVALUE(CriteriTecnici!$N1746,".",","),IFERROR(NUMBERVALUE(CriteriTecnici!$N1746,",","."),0))),4)&amp;""),",",".")&amp;", "&amp;CHAR(34)&amp;"numerator"&amp;CHAR(34)&amp;": "&amp;SUBSTITUTE(TRIM(ROUND(IFERROR(CriteriTecnici!$K1746*1,IFERROR(NUMBERVALUE(CriteriTecnici!$K1746,".",","),IFERROR(NUMBERVALUE(CriteriTecnici!$K1746,",","."),0))),4)&amp;""),",",".")&amp;", "&amp;CHAR(34)&amp;"denominator"&amp;CHAR(34)&amp;": "&amp;SUBSTITUTE(TRIM(ROUND(IFERROR(CriteriTecnici!$L1746*1,IFERROR(NUMBERVALUE(CriteriTecnici!$L1746,".",","),IFERROR(NUMBERVALUE(CriteriTecnici!$L1746,",","."),0))),4)&amp;""),",",".")&amp;", "&amp;CHAR(34)&amp;"flag"&amp;CHAR(34)&amp;": "&amp;SUBSTITUTE(TRIM(ROUND(IFERROR(CriteriTecnici!$M1746*1,IFERROR(NUMBERVALUE(CriteriTecnici!$M1746,".",","),IFERROR(NUMBERVALUE(CriteriTecnici!$M1746,",","."),0))),4)&amp;""),",",".")&amp;", "&amp;CHAR(34)&amp;"rawScore"&amp;CHAR(34)&amp;": "&amp;SUBSTITUTE(TRIM(ROUND(IFERROR(CriteriTecnici!$O1746*1,IFERROR(NUMBERVALUE(CriteriTecnici!$O1746,".",","),IFERROR(NUMBERVALUE(CriteriTecnici!$O1746,",","."),0))),4)&amp;""),",",".")&amp;CHAR(125)&amp;IF(TRUE,",",""))</f>
        <v/>
      </c>
    </row>
    <row r="1848">
      <c r="A1848" s="82">
        <f>IF(CriteriTecnici!$A1747="","","    "&amp;CHAR(123)&amp;CHAR(34)&amp;"bidderId"&amp;CHAR(34)&amp;": "&amp;CHAR(34)&amp;SUBSTITUTE(CriteriTecnici!$A1747,CHAR(34),"'")&amp;CHAR(34)&amp;", "&amp;CHAR(34)&amp;"lotId"&amp;CHAR(34)&amp;": "&amp;CHAR(34)&amp;SUBSTITUTE(CriteriTecnici!$C1747,CHAR(34),"'")&amp;CHAR(34)&amp;", "&amp;CHAR(34)&amp;"criterionId"&amp;CHAR(34)&amp;": "&amp;CHAR(34)&amp;SUBSTITUTE(CriteriTecnici!$D1747,CHAR(34),"'")&amp;CHAR(34)&amp;", "&amp;CHAR(34)&amp;"kind"&amp;CHAR(34)&amp;": "&amp;CHAR(34)&amp;SUBSTITUTE(CriteriTecnici!$F1747,CHAR(34),"'")&amp;CHAR(34)&amp;", "&amp;CHAR(34)&amp;"value"&amp;CHAR(34)&amp;": "&amp;SUBSTITUTE(TRIM(ROUND(IFERROR(CriteriTecnici!$N1747*1,IFERROR(NUMBERVALUE(CriteriTecnici!$N1747,".",","),IFERROR(NUMBERVALUE(CriteriTecnici!$N1747,",","."),0))),4)&amp;""),",",".")&amp;", "&amp;CHAR(34)&amp;"numerator"&amp;CHAR(34)&amp;": "&amp;SUBSTITUTE(TRIM(ROUND(IFERROR(CriteriTecnici!$K1747*1,IFERROR(NUMBERVALUE(CriteriTecnici!$K1747,".",","),IFERROR(NUMBERVALUE(CriteriTecnici!$K1747,",","."),0))),4)&amp;""),",",".")&amp;", "&amp;CHAR(34)&amp;"denominator"&amp;CHAR(34)&amp;": "&amp;SUBSTITUTE(TRIM(ROUND(IFERROR(CriteriTecnici!$L1747*1,IFERROR(NUMBERVALUE(CriteriTecnici!$L1747,".",","),IFERROR(NUMBERVALUE(CriteriTecnici!$L1747,",","."),0))),4)&amp;""),",",".")&amp;", "&amp;CHAR(34)&amp;"flag"&amp;CHAR(34)&amp;": "&amp;SUBSTITUTE(TRIM(ROUND(IFERROR(CriteriTecnici!$M1747*1,IFERROR(NUMBERVALUE(CriteriTecnici!$M1747,".",","),IFERROR(NUMBERVALUE(CriteriTecnici!$M1747,",","."),0))),4)&amp;""),",",".")&amp;", "&amp;CHAR(34)&amp;"rawScore"&amp;CHAR(34)&amp;": "&amp;SUBSTITUTE(TRIM(ROUND(IFERROR(CriteriTecnici!$O1747*1,IFERROR(NUMBERVALUE(CriteriTecnici!$O1747,".",","),IFERROR(NUMBERVALUE(CriteriTecnici!$O1747,",","."),0))),4)&amp;""),",",".")&amp;CHAR(125)&amp;IF(TRUE,",",""))</f>
        <v/>
      </c>
    </row>
    <row r="1849">
      <c r="A1849" s="82">
        <f>IF(CriteriTecnici!$A1748="","","    "&amp;CHAR(123)&amp;CHAR(34)&amp;"bidderId"&amp;CHAR(34)&amp;": "&amp;CHAR(34)&amp;SUBSTITUTE(CriteriTecnici!$A1748,CHAR(34),"'")&amp;CHAR(34)&amp;", "&amp;CHAR(34)&amp;"lotId"&amp;CHAR(34)&amp;": "&amp;CHAR(34)&amp;SUBSTITUTE(CriteriTecnici!$C1748,CHAR(34),"'")&amp;CHAR(34)&amp;", "&amp;CHAR(34)&amp;"criterionId"&amp;CHAR(34)&amp;": "&amp;CHAR(34)&amp;SUBSTITUTE(CriteriTecnici!$D1748,CHAR(34),"'")&amp;CHAR(34)&amp;", "&amp;CHAR(34)&amp;"kind"&amp;CHAR(34)&amp;": "&amp;CHAR(34)&amp;SUBSTITUTE(CriteriTecnici!$F1748,CHAR(34),"'")&amp;CHAR(34)&amp;", "&amp;CHAR(34)&amp;"value"&amp;CHAR(34)&amp;": "&amp;SUBSTITUTE(TRIM(ROUND(IFERROR(CriteriTecnici!$N1748*1,IFERROR(NUMBERVALUE(CriteriTecnici!$N1748,".",","),IFERROR(NUMBERVALUE(CriteriTecnici!$N1748,",","."),0))),4)&amp;""),",",".")&amp;", "&amp;CHAR(34)&amp;"numerator"&amp;CHAR(34)&amp;": "&amp;SUBSTITUTE(TRIM(ROUND(IFERROR(CriteriTecnici!$K1748*1,IFERROR(NUMBERVALUE(CriteriTecnici!$K1748,".",","),IFERROR(NUMBERVALUE(CriteriTecnici!$K1748,",","."),0))),4)&amp;""),",",".")&amp;", "&amp;CHAR(34)&amp;"denominator"&amp;CHAR(34)&amp;": "&amp;SUBSTITUTE(TRIM(ROUND(IFERROR(CriteriTecnici!$L1748*1,IFERROR(NUMBERVALUE(CriteriTecnici!$L1748,".",","),IFERROR(NUMBERVALUE(CriteriTecnici!$L1748,",","."),0))),4)&amp;""),",",".")&amp;", "&amp;CHAR(34)&amp;"flag"&amp;CHAR(34)&amp;": "&amp;SUBSTITUTE(TRIM(ROUND(IFERROR(CriteriTecnici!$M1748*1,IFERROR(NUMBERVALUE(CriteriTecnici!$M1748,".",","),IFERROR(NUMBERVALUE(CriteriTecnici!$M1748,",","."),0))),4)&amp;""),",",".")&amp;", "&amp;CHAR(34)&amp;"rawScore"&amp;CHAR(34)&amp;": "&amp;SUBSTITUTE(TRIM(ROUND(IFERROR(CriteriTecnici!$O1748*1,IFERROR(NUMBERVALUE(CriteriTecnici!$O1748,".",","),IFERROR(NUMBERVALUE(CriteriTecnici!$O1748,",","."),0))),4)&amp;""),",",".")&amp;CHAR(125)&amp;IF(TRUE,",",""))</f>
        <v/>
      </c>
    </row>
    <row r="1850">
      <c r="A1850" s="82">
        <f>IF(CriteriTecnici!$A1749="","","    "&amp;CHAR(123)&amp;CHAR(34)&amp;"bidderId"&amp;CHAR(34)&amp;": "&amp;CHAR(34)&amp;SUBSTITUTE(CriteriTecnici!$A1749,CHAR(34),"'")&amp;CHAR(34)&amp;", "&amp;CHAR(34)&amp;"lotId"&amp;CHAR(34)&amp;": "&amp;CHAR(34)&amp;SUBSTITUTE(CriteriTecnici!$C1749,CHAR(34),"'")&amp;CHAR(34)&amp;", "&amp;CHAR(34)&amp;"criterionId"&amp;CHAR(34)&amp;": "&amp;CHAR(34)&amp;SUBSTITUTE(CriteriTecnici!$D1749,CHAR(34),"'")&amp;CHAR(34)&amp;", "&amp;CHAR(34)&amp;"kind"&amp;CHAR(34)&amp;": "&amp;CHAR(34)&amp;SUBSTITUTE(CriteriTecnici!$F1749,CHAR(34),"'")&amp;CHAR(34)&amp;", "&amp;CHAR(34)&amp;"value"&amp;CHAR(34)&amp;": "&amp;SUBSTITUTE(TRIM(ROUND(IFERROR(CriteriTecnici!$N1749*1,IFERROR(NUMBERVALUE(CriteriTecnici!$N1749,".",","),IFERROR(NUMBERVALUE(CriteriTecnici!$N1749,",","."),0))),4)&amp;""),",",".")&amp;", "&amp;CHAR(34)&amp;"numerator"&amp;CHAR(34)&amp;": "&amp;SUBSTITUTE(TRIM(ROUND(IFERROR(CriteriTecnici!$K1749*1,IFERROR(NUMBERVALUE(CriteriTecnici!$K1749,".",","),IFERROR(NUMBERVALUE(CriteriTecnici!$K1749,",","."),0))),4)&amp;""),",",".")&amp;", "&amp;CHAR(34)&amp;"denominator"&amp;CHAR(34)&amp;": "&amp;SUBSTITUTE(TRIM(ROUND(IFERROR(CriteriTecnici!$L1749*1,IFERROR(NUMBERVALUE(CriteriTecnici!$L1749,".",","),IFERROR(NUMBERVALUE(CriteriTecnici!$L1749,",","."),0))),4)&amp;""),",",".")&amp;", "&amp;CHAR(34)&amp;"flag"&amp;CHAR(34)&amp;": "&amp;SUBSTITUTE(TRIM(ROUND(IFERROR(CriteriTecnici!$M1749*1,IFERROR(NUMBERVALUE(CriteriTecnici!$M1749,".",","),IFERROR(NUMBERVALUE(CriteriTecnici!$M1749,",","."),0))),4)&amp;""),",",".")&amp;", "&amp;CHAR(34)&amp;"rawScore"&amp;CHAR(34)&amp;": "&amp;SUBSTITUTE(TRIM(ROUND(IFERROR(CriteriTecnici!$O1749*1,IFERROR(NUMBERVALUE(CriteriTecnici!$O1749,".",","),IFERROR(NUMBERVALUE(CriteriTecnici!$O1749,",","."),0))),4)&amp;""),",",".")&amp;CHAR(125)&amp;IF(TRUE,",",""))</f>
        <v/>
      </c>
    </row>
    <row r="1851">
      <c r="A1851" s="82">
        <f>IF(CriteriTecnici!$A1750="","","    "&amp;CHAR(123)&amp;CHAR(34)&amp;"bidderId"&amp;CHAR(34)&amp;": "&amp;CHAR(34)&amp;SUBSTITUTE(CriteriTecnici!$A1750,CHAR(34),"'")&amp;CHAR(34)&amp;", "&amp;CHAR(34)&amp;"lotId"&amp;CHAR(34)&amp;": "&amp;CHAR(34)&amp;SUBSTITUTE(CriteriTecnici!$C1750,CHAR(34),"'")&amp;CHAR(34)&amp;", "&amp;CHAR(34)&amp;"criterionId"&amp;CHAR(34)&amp;": "&amp;CHAR(34)&amp;SUBSTITUTE(CriteriTecnici!$D1750,CHAR(34),"'")&amp;CHAR(34)&amp;", "&amp;CHAR(34)&amp;"kind"&amp;CHAR(34)&amp;": "&amp;CHAR(34)&amp;SUBSTITUTE(CriteriTecnici!$F1750,CHAR(34),"'")&amp;CHAR(34)&amp;", "&amp;CHAR(34)&amp;"value"&amp;CHAR(34)&amp;": "&amp;SUBSTITUTE(TRIM(ROUND(IFERROR(CriteriTecnici!$N1750*1,IFERROR(NUMBERVALUE(CriteriTecnici!$N1750,".",","),IFERROR(NUMBERVALUE(CriteriTecnici!$N1750,",","."),0))),4)&amp;""),",",".")&amp;", "&amp;CHAR(34)&amp;"numerator"&amp;CHAR(34)&amp;": "&amp;SUBSTITUTE(TRIM(ROUND(IFERROR(CriteriTecnici!$K1750*1,IFERROR(NUMBERVALUE(CriteriTecnici!$K1750,".",","),IFERROR(NUMBERVALUE(CriteriTecnici!$K1750,",","."),0))),4)&amp;""),",",".")&amp;", "&amp;CHAR(34)&amp;"denominator"&amp;CHAR(34)&amp;": "&amp;SUBSTITUTE(TRIM(ROUND(IFERROR(CriteriTecnici!$L1750*1,IFERROR(NUMBERVALUE(CriteriTecnici!$L1750,".",","),IFERROR(NUMBERVALUE(CriteriTecnici!$L1750,",","."),0))),4)&amp;""),",",".")&amp;", "&amp;CHAR(34)&amp;"flag"&amp;CHAR(34)&amp;": "&amp;SUBSTITUTE(TRIM(ROUND(IFERROR(CriteriTecnici!$M1750*1,IFERROR(NUMBERVALUE(CriteriTecnici!$M1750,".",","),IFERROR(NUMBERVALUE(CriteriTecnici!$M1750,",","."),0))),4)&amp;""),",",".")&amp;", "&amp;CHAR(34)&amp;"rawScore"&amp;CHAR(34)&amp;": "&amp;SUBSTITUTE(TRIM(ROUND(IFERROR(CriteriTecnici!$O1750*1,IFERROR(NUMBERVALUE(CriteriTecnici!$O1750,".",","),IFERROR(NUMBERVALUE(CriteriTecnici!$O1750,",","."),0))),4)&amp;""),",",".")&amp;CHAR(125)&amp;IF(TRUE,",",""))</f>
        <v/>
      </c>
    </row>
    <row r="1852">
      <c r="A1852" s="82">
        <f>IF(CriteriTecnici!$A1751="","","    "&amp;CHAR(123)&amp;CHAR(34)&amp;"bidderId"&amp;CHAR(34)&amp;": "&amp;CHAR(34)&amp;SUBSTITUTE(CriteriTecnici!$A1751,CHAR(34),"'")&amp;CHAR(34)&amp;", "&amp;CHAR(34)&amp;"lotId"&amp;CHAR(34)&amp;": "&amp;CHAR(34)&amp;SUBSTITUTE(CriteriTecnici!$C1751,CHAR(34),"'")&amp;CHAR(34)&amp;", "&amp;CHAR(34)&amp;"criterionId"&amp;CHAR(34)&amp;": "&amp;CHAR(34)&amp;SUBSTITUTE(CriteriTecnici!$D1751,CHAR(34),"'")&amp;CHAR(34)&amp;", "&amp;CHAR(34)&amp;"kind"&amp;CHAR(34)&amp;": "&amp;CHAR(34)&amp;SUBSTITUTE(CriteriTecnici!$F1751,CHAR(34),"'")&amp;CHAR(34)&amp;", "&amp;CHAR(34)&amp;"value"&amp;CHAR(34)&amp;": "&amp;SUBSTITUTE(TRIM(ROUND(IFERROR(CriteriTecnici!$N1751*1,IFERROR(NUMBERVALUE(CriteriTecnici!$N1751,".",","),IFERROR(NUMBERVALUE(CriteriTecnici!$N1751,",","."),0))),4)&amp;""),",",".")&amp;", "&amp;CHAR(34)&amp;"numerator"&amp;CHAR(34)&amp;": "&amp;SUBSTITUTE(TRIM(ROUND(IFERROR(CriteriTecnici!$K1751*1,IFERROR(NUMBERVALUE(CriteriTecnici!$K1751,".",","),IFERROR(NUMBERVALUE(CriteriTecnici!$K1751,",","."),0))),4)&amp;""),",",".")&amp;", "&amp;CHAR(34)&amp;"denominator"&amp;CHAR(34)&amp;": "&amp;SUBSTITUTE(TRIM(ROUND(IFERROR(CriteriTecnici!$L1751*1,IFERROR(NUMBERVALUE(CriteriTecnici!$L1751,".",","),IFERROR(NUMBERVALUE(CriteriTecnici!$L1751,",","."),0))),4)&amp;""),",",".")&amp;", "&amp;CHAR(34)&amp;"flag"&amp;CHAR(34)&amp;": "&amp;SUBSTITUTE(TRIM(ROUND(IFERROR(CriteriTecnici!$M1751*1,IFERROR(NUMBERVALUE(CriteriTecnici!$M1751,".",","),IFERROR(NUMBERVALUE(CriteriTecnici!$M1751,",","."),0))),4)&amp;""),",",".")&amp;", "&amp;CHAR(34)&amp;"rawScore"&amp;CHAR(34)&amp;": "&amp;SUBSTITUTE(TRIM(ROUND(IFERROR(CriteriTecnici!$O1751*1,IFERROR(NUMBERVALUE(CriteriTecnici!$O1751,".",","),IFERROR(NUMBERVALUE(CriteriTecnici!$O1751,",","."),0))),4)&amp;""),",",".")&amp;CHAR(125)&amp;IF(TRUE,",",""))</f>
        <v/>
      </c>
    </row>
    <row r="1853">
      <c r="A1853" s="82">
        <f>IF(CriteriTecnici!$A1752="","","    "&amp;CHAR(123)&amp;CHAR(34)&amp;"bidderId"&amp;CHAR(34)&amp;": "&amp;CHAR(34)&amp;SUBSTITUTE(CriteriTecnici!$A1752,CHAR(34),"'")&amp;CHAR(34)&amp;", "&amp;CHAR(34)&amp;"lotId"&amp;CHAR(34)&amp;": "&amp;CHAR(34)&amp;SUBSTITUTE(CriteriTecnici!$C1752,CHAR(34),"'")&amp;CHAR(34)&amp;", "&amp;CHAR(34)&amp;"criterionId"&amp;CHAR(34)&amp;": "&amp;CHAR(34)&amp;SUBSTITUTE(CriteriTecnici!$D1752,CHAR(34),"'")&amp;CHAR(34)&amp;", "&amp;CHAR(34)&amp;"kind"&amp;CHAR(34)&amp;": "&amp;CHAR(34)&amp;SUBSTITUTE(CriteriTecnici!$F1752,CHAR(34),"'")&amp;CHAR(34)&amp;", "&amp;CHAR(34)&amp;"value"&amp;CHAR(34)&amp;": "&amp;SUBSTITUTE(TRIM(ROUND(IFERROR(CriteriTecnici!$N1752*1,IFERROR(NUMBERVALUE(CriteriTecnici!$N1752,".",","),IFERROR(NUMBERVALUE(CriteriTecnici!$N1752,",","."),0))),4)&amp;""),",",".")&amp;", "&amp;CHAR(34)&amp;"numerator"&amp;CHAR(34)&amp;": "&amp;SUBSTITUTE(TRIM(ROUND(IFERROR(CriteriTecnici!$K1752*1,IFERROR(NUMBERVALUE(CriteriTecnici!$K1752,".",","),IFERROR(NUMBERVALUE(CriteriTecnici!$K1752,",","."),0))),4)&amp;""),",",".")&amp;", "&amp;CHAR(34)&amp;"denominator"&amp;CHAR(34)&amp;": "&amp;SUBSTITUTE(TRIM(ROUND(IFERROR(CriteriTecnici!$L1752*1,IFERROR(NUMBERVALUE(CriteriTecnici!$L1752,".",","),IFERROR(NUMBERVALUE(CriteriTecnici!$L1752,",","."),0))),4)&amp;""),",",".")&amp;", "&amp;CHAR(34)&amp;"flag"&amp;CHAR(34)&amp;": "&amp;SUBSTITUTE(TRIM(ROUND(IFERROR(CriteriTecnici!$M1752*1,IFERROR(NUMBERVALUE(CriteriTecnici!$M1752,".",","),IFERROR(NUMBERVALUE(CriteriTecnici!$M1752,",","."),0))),4)&amp;""),",",".")&amp;", "&amp;CHAR(34)&amp;"rawScore"&amp;CHAR(34)&amp;": "&amp;SUBSTITUTE(TRIM(ROUND(IFERROR(CriteriTecnici!$O1752*1,IFERROR(NUMBERVALUE(CriteriTecnici!$O1752,".",","),IFERROR(NUMBERVALUE(CriteriTecnici!$O1752,",","."),0))),4)&amp;""),",",".")&amp;CHAR(125)&amp;IF(TRUE,",",""))</f>
        <v/>
      </c>
    </row>
    <row r="1854">
      <c r="A1854" s="82">
        <f>IF(CriteriTecnici!$A1753="","","    "&amp;CHAR(123)&amp;CHAR(34)&amp;"bidderId"&amp;CHAR(34)&amp;": "&amp;CHAR(34)&amp;SUBSTITUTE(CriteriTecnici!$A1753,CHAR(34),"'")&amp;CHAR(34)&amp;", "&amp;CHAR(34)&amp;"lotId"&amp;CHAR(34)&amp;": "&amp;CHAR(34)&amp;SUBSTITUTE(CriteriTecnici!$C1753,CHAR(34),"'")&amp;CHAR(34)&amp;", "&amp;CHAR(34)&amp;"criterionId"&amp;CHAR(34)&amp;": "&amp;CHAR(34)&amp;SUBSTITUTE(CriteriTecnici!$D1753,CHAR(34),"'")&amp;CHAR(34)&amp;", "&amp;CHAR(34)&amp;"kind"&amp;CHAR(34)&amp;": "&amp;CHAR(34)&amp;SUBSTITUTE(CriteriTecnici!$F1753,CHAR(34),"'")&amp;CHAR(34)&amp;", "&amp;CHAR(34)&amp;"value"&amp;CHAR(34)&amp;": "&amp;SUBSTITUTE(TRIM(ROUND(IFERROR(CriteriTecnici!$N1753*1,IFERROR(NUMBERVALUE(CriteriTecnici!$N1753,".",","),IFERROR(NUMBERVALUE(CriteriTecnici!$N1753,",","."),0))),4)&amp;""),",",".")&amp;", "&amp;CHAR(34)&amp;"numerator"&amp;CHAR(34)&amp;": "&amp;SUBSTITUTE(TRIM(ROUND(IFERROR(CriteriTecnici!$K1753*1,IFERROR(NUMBERVALUE(CriteriTecnici!$K1753,".",","),IFERROR(NUMBERVALUE(CriteriTecnici!$K1753,",","."),0))),4)&amp;""),",",".")&amp;", "&amp;CHAR(34)&amp;"denominator"&amp;CHAR(34)&amp;": "&amp;SUBSTITUTE(TRIM(ROUND(IFERROR(CriteriTecnici!$L1753*1,IFERROR(NUMBERVALUE(CriteriTecnici!$L1753,".",","),IFERROR(NUMBERVALUE(CriteriTecnici!$L1753,",","."),0))),4)&amp;""),",",".")&amp;", "&amp;CHAR(34)&amp;"flag"&amp;CHAR(34)&amp;": "&amp;SUBSTITUTE(TRIM(ROUND(IFERROR(CriteriTecnici!$M1753*1,IFERROR(NUMBERVALUE(CriteriTecnici!$M1753,".",","),IFERROR(NUMBERVALUE(CriteriTecnici!$M1753,",","."),0))),4)&amp;""),",",".")&amp;", "&amp;CHAR(34)&amp;"rawScore"&amp;CHAR(34)&amp;": "&amp;SUBSTITUTE(TRIM(ROUND(IFERROR(CriteriTecnici!$O1753*1,IFERROR(NUMBERVALUE(CriteriTecnici!$O1753,".",","),IFERROR(NUMBERVALUE(CriteriTecnici!$O1753,",","."),0))),4)&amp;""),",",".")&amp;CHAR(125)&amp;IF(TRUE,",",""))</f>
        <v/>
      </c>
    </row>
    <row r="1855">
      <c r="A1855" s="82">
        <f>IF(CriteriTecnici!$A1754="","","    "&amp;CHAR(123)&amp;CHAR(34)&amp;"bidderId"&amp;CHAR(34)&amp;": "&amp;CHAR(34)&amp;SUBSTITUTE(CriteriTecnici!$A1754,CHAR(34),"'")&amp;CHAR(34)&amp;", "&amp;CHAR(34)&amp;"lotId"&amp;CHAR(34)&amp;": "&amp;CHAR(34)&amp;SUBSTITUTE(CriteriTecnici!$C1754,CHAR(34),"'")&amp;CHAR(34)&amp;", "&amp;CHAR(34)&amp;"criterionId"&amp;CHAR(34)&amp;": "&amp;CHAR(34)&amp;SUBSTITUTE(CriteriTecnici!$D1754,CHAR(34),"'")&amp;CHAR(34)&amp;", "&amp;CHAR(34)&amp;"kind"&amp;CHAR(34)&amp;": "&amp;CHAR(34)&amp;SUBSTITUTE(CriteriTecnici!$F1754,CHAR(34),"'")&amp;CHAR(34)&amp;", "&amp;CHAR(34)&amp;"value"&amp;CHAR(34)&amp;": "&amp;SUBSTITUTE(TRIM(ROUND(IFERROR(CriteriTecnici!$N1754*1,IFERROR(NUMBERVALUE(CriteriTecnici!$N1754,".",","),IFERROR(NUMBERVALUE(CriteriTecnici!$N1754,",","."),0))),4)&amp;""),",",".")&amp;", "&amp;CHAR(34)&amp;"numerator"&amp;CHAR(34)&amp;": "&amp;SUBSTITUTE(TRIM(ROUND(IFERROR(CriteriTecnici!$K1754*1,IFERROR(NUMBERVALUE(CriteriTecnici!$K1754,".",","),IFERROR(NUMBERVALUE(CriteriTecnici!$K1754,",","."),0))),4)&amp;""),",",".")&amp;", "&amp;CHAR(34)&amp;"denominator"&amp;CHAR(34)&amp;": "&amp;SUBSTITUTE(TRIM(ROUND(IFERROR(CriteriTecnici!$L1754*1,IFERROR(NUMBERVALUE(CriteriTecnici!$L1754,".",","),IFERROR(NUMBERVALUE(CriteriTecnici!$L1754,",","."),0))),4)&amp;""),",",".")&amp;", "&amp;CHAR(34)&amp;"flag"&amp;CHAR(34)&amp;": "&amp;SUBSTITUTE(TRIM(ROUND(IFERROR(CriteriTecnici!$M1754*1,IFERROR(NUMBERVALUE(CriteriTecnici!$M1754,".",","),IFERROR(NUMBERVALUE(CriteriTecnici!$M1754,",","."),0))),4)&amp;""),",",".")&amp;", "&amp;CHAR(34)&amp;"rawScore"&amp;CHAR(34)&amp;": "&amp;SUBSTITUTE(TRIM(ROUND(IFERROR(CriteriTecnici!$O1754*1,IFERROR(NUMBERVALUE(CriteriTecnici!$O1754,".",","),IFERROR(NUMBERVALUE(CriteriTecnici!$O1754,",","."),0))),4)&amp;""),",",".")&amp;CHAR(125)&amp;IF(TRUE,",",""))</f>
        <v/>
      </c>
    </row>
    <row r="1856">
      <c r="A1856" s="82">
        <f>IF(CriteriTecnici!$A1755="","","    "&amp;CHAR(123)&amp;CHAR(34)&amp;"bidderId"&amp;CHAR(34)&amp;": "&amp;CHAR(34)&amp;SUBSTITUTE(CriteriTecnici!$A1755,CHAR(34),"'")&amp;CHAR(34)&amp;", "&amp;CHAR(34)&amp;"lotId"&amp;CHAR(34)&amp;": "&amp;CHAR(34)&amp;SUBSTITUTE(CriteriTecnici!$C1755,CHAR(34),"'")&amp;CHAR(34)&amp;", "&amp;CHAR(34)&amp;"criterionId"&amp;CHAR(34)&amp;": "&amp;CHAR(34)&amp;SUBSTITUTE(CriteriTecnici!$D1755,CHAR(34),"'")&amp;CHAR(34)&amp;", "&amp;CHAR(34)&amp;"kind"&amp;CHAR(34)&amp;": "&amp;CHAR(34)&amp;SUBSTITUTE(CriteriTecnici!$F1755,CHAR(34),"'")&amp;CHAR(34)&amp;", "&amp;CHAR(34)&amp;"value"&amp;CHAR(34)&amp;": "&amp;SUBSTITUTE(TRIM(ROUND(IFERROR(CriteriTecnici!$N1755*1,IFERROR(NUMBERVALUE(CriteriTecnici!$N1755,".",","),IFERROR(NUMBERVALUE(CriteriTecnici!$N1755,",","."),0))),4)&amp;""),",",".")&amp;", "&amp;CHAR(34)&amp;"numerator"&amp;CHAR(34)&amp;": "&amp;SUBSTITUTE(TRIM(ROUND(IFERROR(CriteriTecnici!$K1755*1,IFERROR(NUMBERVALUE(CriteriTecnici!$K1755,".",","),IFERROR(NUMBERVALUE(CriteriTecnici!$K1755,",","."),0))),4)&amp;""),",",".")&amp;", "&amp;CHAR(34)&amp;"denominator"&amp;CHAR(34)&amp;": "&amp;SUBSTITUTE(TRIM(ROUND(IFERROR(CriteriTecnici!$L1755*1,IFERROR(NUMBERVALUE(CriteriTecnici!$L1755,".",","),IFERROR(NUMBERVALUE(CriteriTecnici!$L1755,",","."),0))),4)&amp;""),",",".")&amp;", "&amp;CHAR(34)&amp;"flag"&amp;CHAR(34)&amp;": "&amp;SUBSTITUTE(TRIM(ROUND(IFERROR(CriteriTecnici!$M1755*1,IFERROR(NUMBERVALUE(CriteriTecnici!$M1755,".",","),IFERROR(NUMBERVALUE(CriteriTecnici!$M1755,",","."),0))),4)&amp;""),",",".")&amp;", "&amp;CHAR(34)&amp;"rawScore"&amp;CHAR(34)&amp;": "&amp;SUBSTITUTE(TRIM(ROUND(IFERROR(CriteriTecnici!$O1755*1,IFERROR(NUMBERVALUE(CriteriTecnici!$O1755,".",","),IFERROR(NUMBERVALUE(CriteriTecnici!$O1755,",","."),0))),4)&amp;""),",",".")&amp;CHAR(125)&amp;IF(TRUE,",",""))</f>
        <v/>
      </c>
    </row>
    <row r="1857">
      <c r="A1857" s="82">
        <f>IF(CriteriTecnici!$A1756="","","    "&amp;CHAR(123)&amp;CHAR(34)&amp;"bidderId"&amp;CHAR(34)&amp;": "&amp;CHAR(34)&amp;SUBSTITUTE(CriteriTecnici!$A1756,CHAR(34),"'")&amp;CHAR(34)&amp;", "&amp;CHAR(34)&amp;"lotId"&amp;CHAR(34)&amp;": "&amp;CHAR(34)&amp;SUBSTITUTE(CriteriTecnici!$C1756,CHAR(34),"'")&amp;CHAR(34)&amp;", "&amp;CHAR(34)&amp;"criterionId"&amp;CHAR(34)&amp;": "&amp;CHAR(34)&amp;SUBSTITUTE(CriteriTecnici!$D1756,CHAR(34),"'")&amp;CHAR(34)&amp;", "&amp;CHAR(34)&amp;"kind"&amp;CHAR(34)&amp;": "&amp;CHAR(34)&amp;SUBSTITUTE(CriteriTecnici!$F1756,CHAR(34),"'")&amp;CHAR(34)&amp;", "&amp;CHAR(34)&amp;"value"&amp;CHAR(34)&amp;": "&amp;SUBSTITUTE(TRIM(ROUND(IFERROR(CriteriTecnici!$N1756*1,IFERROR(NUMBERVALUE(CriteriTecnici!$N1756,".",","),IFERROR(NUMBERVALUE(CriteriTecnici!$N1756,",","."),0))),4)&amp;""),",",".")&amp;", "&amp;CHAR(34)&amp;"numerator"&amp;CHAR(34)&amp;": "&amp;SUBSTITUTE(TRIM(ROUND(IFERROR(CriteriTecnici!$K1756*1,IFERROR(NUMBERVALUE(CriteriTecnici!$K1756,".",","),IFERROR(NUMBERVALUE(CriteriTecnici!$K1756,",","."),0))),4)&amp;""),",",".")&amp;", "&amp;CHAR(34)&amp;"denominator"&amp;CHAR(34)&amp;": "&amp;SUBSTITUTE(TRIM(ROUND(IFERROR(CriteriTecnici!$L1756*1,IFERROR(NUMBERVALUE(CriteriTecnici!$L1756,".",","),IFERROR(NUMBERVALUE(CriteriTecnici!$L1756,",","."),0))),4)&amp;""),",",".")&amp;", "&amp;CHAR(34)&amp;"flag"&amp;CHAR(34)&amp;": "&amp;SUBSTITUTE(TRIM(ROUND(IFERROR(CriteriTecnici!$M1756*1,IFERROR(NUMBERVALUE(CriteriTecnici!$M1756,".",","),IFERROR(NUMBERVALUE(CriteriTecnici!$M1756,",","."),0))),4)&amp;""),",",".")&amp;", "&amp;CHAR(34)&amp;"rawScore"&amp;CHAR(34)&amp;": "&amp;SUBSTITUTE(TRIM(ROUND(IFERROR(CriteriTecnici!$O1756*1,IFERROR(NUMBERVALUE(CriteriTecnici!$O1756,".",","),IFERROR(NUMBERVALUE(CriteriTecnici!$O1756,",","."),0))),4)&amp;""),",",".")&amp;CHAR(125)&amp;IF(TRUE,",",""))</f>
        <v/>
      </c>
    </row>
    <row r="1858">
      <c r="A1858" s="82">
        <f>IF(CriteriTecnici!$A1757="","","    "&amp;CHAR(123)&amp;CHAR(34)&amp;"bidderId"&amp;CHAR(34)&amp;": "&amp;CHAR(34)&amp;SUBSTITUTE(CriteriTecnici!$A1757,CHAR(34),"'")&amp;CHAR(34)&amp;", "&amp;CHAR(34)&amp;"lotId"&amp;CHAR(34)&amp;": "&amp;CHAR(34)&amp;SUBSTITUTE(CriteriTecnici!$C1757,CHAR(34),"'")&amp;CHAR(34)&amp;", "&amp;CHAR(34)&amp;"criterionId"&amp;CHAR(34)&amp;": "&amp;CHAR(34)&amp;SUBSTITUTE(CriteriTecnici!$D1757,CHAR(34),"'")&amp;CHAR(34)&amp;", "&amp;CHAR(34)&amp;"kind"&amp;CHAR(34)&amp;": "&amp;CHAR(34)&amp;SUBSTITUTE(CriteriTecnici!$F1757,CHAR(34),"'")&amp;CHAR(34)&amp;", "&amp;CHAR(34)&amp;"value"&amp;CHAR(34)&amp;": "&amp;SUBSTITUTE(TRIM(ROUND(IFERROR(CriteriTecnici!$N1757*1,IFERROR(NUMBERVALUE(CriteriTecnici!$N1757,".",","),IFERROR(NUMBERVALUE(CriteriTecnici!$N1757,",","."),0))),4)&amp;""),",",".")&amp;", "&amp;CHAR(34)&amp;"numerator"&amp;CHAR(34)&amp;": "&amp;SUBSTITUTE(TRIM(ROUND(IFERROR(CriteriTecnici!$K1757*1,IFERROR(NUMBERVALUE(CriteriTecnici!$K1757,".",","),IFERROR(NUMBERVALUE(CriteriTecnici!$K1757,",","."),0))),4)&amp;""),",",".")&amp;", "&amp;CHAR(34)&amp;"denominator"&amp;CHAR(34)&amp;": "&amp;SUBSTITUTE(TRIM(ROUND(IFERROR(CriteriTecnici!$L1757*1,IFERROR(NUMBERVALUE(CriteriTecnici!$L1757,".",","),IFERROR(NUMBERVALUE(CriteriTecnici!$L1757,",","."),0))),4)&amp;""),",",".")&amp;", "&amp;CHAR(34)&amp;"flag"&amp;CHAR(34)&amp;": "&amp;SUBSTITUTE(TRIM(ROUND(IFERROR(CriteriTecnici!$M1757*1,IFERROR(NUMBERVALUE(CriteriTecnici!$M1757,".",","),IFERROR(NUMBERVALUE(CriteriTecnici!$M1757,",","."),0))),4)&amp;""),",",".")&amp;", "&amp;CHAR(34)&amp;"rawScore"&amp;CHAR(34)&amp;": "&amp;SUBSTITUTE(TRIM(ROUND(IFERROR(CriteriTecnici!$O1757*1,IFERROR(NUMBERVALUE(CriteriTecnici!$O1757,".",","),IFERROR(NUMBERVALUE(CriteriTecnici!$O1757,",","."),0))),4)&amp;""),",",".")&amp;CHAR(125)&amp;IF(TRUE,",",""))</f>
        <v/>
      </c>
    </row>
    <row r="1859">
      <c r="A1859" s="82">
        <f>IF(CriteriTecnici!$A1758="","","    "&amp;CHAR(123)&amp;CHAR(34)&amp;"bidderId"&amp;CHAR(34)&amp;": "&amp;CHAR(34)&amp;SUBSTITUTE(CriteriTecnici!$A1758,CHAR(34),"'")&amp;CHAR(34)&amp;", "&amp;CHAR(34)&amp;"lotId"&amp;CHAR(34)&amp;": "&amp;CHAR(34)&amp;SUBSTITUTE(CriteriTecnici!$C1758,CHAR(34),"'")&amp;CHAR(34)&amp;", "&amp;CHAR(34)&amp;"criterionId"&amp;CHAR(34)&amp;": "&amp;CHAR(34)&amp;SUBSTITUTE(CriteriTecnici!$D1758,CHAR(34),"'")&amp;CHAR(34)&amp;", "&amp;CHAR(34)&amp;"kind"&amp;CHAR(34)&amp;": "&amp;CHAR(34)&amp;SUBSTITUTE(CriteriTecnici!$F1758,CHAR(34),"'")&amp;CHAR(34)&amp;", "&amp;CHAR(34)&amp;"value"&amp;CHAR(34)&amp;": "&amp;SUBSTITUTE(TRIM(ROUND(IFERROR(CriteriTecnici!$N1758*1,IFERROR(NUMBERVALUE(CriteriTecnici!$N1758,".",","),IFERROR(NUMBERVALUE(CriteriTecnici!$N1758,",","."),0))),4)&amp;""),",",".")&amp;", "&amp;CHAR(34)&amp;"numerator"&amp;CHAR(34)&amp;": "&amp;SUBSTITUTE(TRIM(ROUND(IFERROR(CriteriTecnici!$K1758*1,IFERROR(NUMBERVALUE(CriteriTecnici!$K1758,".",","),IFERROR(NUMBERVALUE(CriteriTecnici!$K1758,",","."),0))),4)&amp;""),",",".")&amp;", "&amp;CHAR(34)&amp;"denominator"&amp;CHAR(34)&amp;": "&amp;SUBSTITUTE(TRIM(ROUND(IFERROR(CriteriTecnici!$L1758*1,IFERROR(NUMBERVALUE(CriteriTecnici!$L1758,".",","),IFERROR(NUMBERVALUE(CriteriTecnici!$L1758,",","."),0))),4)&amp;""),",",".")&amp;", "&amp;CHAR(34)&amp;"flag"&amp;CHAR(34)&amp;": "&amp;SUBSTITUTE(TRIM(ROUND(IFERROR(CriteriTecnici!$M1758*1,IFERROR(NUMBERVALUE(CriteriTecnici!$M1758,".",","),IFERROR(NUMBERVALUE(CriteriTecnici!$M1758,",","."),0))),4)&amp;""),",",".")&amp;", "&amp;CHAR(34)&amp;"rawScore"&amp;CHAR(34)&amp;": "&amp;SUBSTITUTE(TRIM(ROUND(IFERROR(CriteriTecnici!$O1758*1,IFERROR(NUMBERVALUE(CriteriTecnici!$O1758,".",","),IFERROR(NUMBERVALUE(CriteriTecnici!$O1758,",","."),0))),4)&amp;""),",",".")&amp;CHAR(125)&amp;IF(TRUE,",",""))</f>
        <v/>
      </c>
    </row>
    <row r="1860">
      <c r="A1860" s="82">
        <f>IF(CriteriTecnici!$A1759="","","    "&amp;CHAR(123)&amp;CHAR(34)&amp;"bidderId"&amp;CHAR(34)&amp;": "&amp;CHAR(34)&amp;SUBSTITUTE(CriteriTecnici!$A1759,CHAR(34),"'")&amp;CHAR(34)&amp;", "&amp;CHAR(34)&amp;"lotId"&amp;CHAR(34)&amp;": "&amp;CHAR(34)&amp;SUBSTITUTE(CriteriTecnici!$C1759,CHAR(34),"'")&amp;CHAR(34)&amp;", "&amp;CHAR(34)&amp;"criterionId"&amp;CHAR(34)&amp;": "&amp;CHAR(34)&amp;SUBSTITUTE(CriteriTecnici!$D1759,CHAR(34),"'")&amp;CHAR(34)&amp;", "&amp;CHAR(34)&amp;"kind"&amp;CHAR(34)&amp;": "&amp;CHAR(34)&amp;SUBSTITUTE(CriteriTecnici!$F1759,CHAR(34),"'")&amp;CHAR(34)&amp;", "&amp;CHAR(34)&amp;"value"&amp;CHAR(34)&amp;": "&amp;SUBSTITUTE(TRIM(ROUND(IFERROR(CriteriTecnici!$N1759*1,IFERROR(NUMBERVALUE(CriteriTecnici!$N1759,".",","),IFERROR(NUMBERVALUE(CriteriTecnici!$N1759,",","."),0))),4)&amp;""),",",".")&amp;", "&amp;CHAR(34)&amp;"numerator"&amp;CHAR(34)&amp;": "&amp;SUBSTITUTE(TRIM(ROUND(IFERROR(CriteriTecnici!$K1759*1,IFERROR(NUMBERVALUE(CriteriTecnici!$K1759,".",","),IFERROR(NUMBERVALUE(CriteriTecnici!$K1759,",","."),0))),4)&amp;""),",",".")&amp;", "&amp;CHAR(34)&amp;"denominator"&amp;CHAR(34)&amp;": "&amp;SUBSTITUTE(TRIM(ROUND(IFERROR(CriteriTecnici!$L1759*1,IFERROR(NUMBERVALUE(CriteriTecnici!$L1759,".",","),IFERROR(NUMBERVALUE(CriteriTecnici!$L1759,",","."),0))),4)&amp;""),",",".")&amp;", "&amp;CHAR(34)&amp;"flag"&amp;CHAR(34)&amp;": "&amp;SUBSTITUTE(TRIM(ROUND(IFERROR(CriteriTecnici!$M1759*1,IFERROR(NUMBERVALUE(CriteriTecnici!$M1759,".",","),IFERROR(NUMBERVALUE(CriteriTecnici!$M1759,",","."),0))),4)&amp;""),",",".")&amp;", "&amp;CHAR(34)&amp;"rawScore"&amp;CHAR(34)&amp;": "&amp;SUBSTITUTE(TRIM(ROUND(IFERROR(CriteriTecnici!$O1759*1,IFERROR(NUMBERVALUE(CriteriTecnici!$O1759,".",","),IFERROR(NUMBERVALUE(CriteriTecnici!$O1759,",","."),0))),4)&amp;""),",",".")&amp;CHAR(125)&amp;IF(TRUE,",",""))</f>
        <v/>
      </c>
    </row>
    <row r="1861">
      <c r="A1861" s="82">
        <f>IF(CriteriTecnici!$A1760="","","    "&amp;CHAR(123)&amp;CHAR(34)&amp;"bidderId"&amp;CHAR(34)&amp;": "&amp;CHAR(34)&amp;SUBSTITUTE(CriteriTecnici!$A1760,CHAR(34),"'")&amp;CHAR(34)&amp;", "&amp;CHAR(34)&amp;"lotId"&amp;CHAR(34)&amp;": "&amp;CHAR(34)&amp;SUBSTITUTE(CriteriTecnici!$C1760,CHAR(34),"'")&amp;CHAR(34)&amp;", "&amp;CHAR(34)&amp;"criterionId"&amp;CHAR(34)&amp;": "&amp;CHAR(34)&amp;SUBSTITUTE(CriteriTecnici!$D1760,CHAR(34),"'")&amp;CHAR(34)&amp;", "&amp;CHAR(34)&amp;"kind"&amp;CHAR(34)&amp;": "&amp;CHAR(34)&amp;SUBSTITUTE(CriteriTecnici!$F1760,CHAR(34),"'")&amp;CHAR(34)&amp;", "&amp;CHAR(34)&amp;"value"&amp;CHAR(34)&amp;": "&amp;SUBSTITUTE(TRIM(ROUND(IFERROR(CriteriTecnici!$N1760*1,IFERROR(NUMBERVALUE(CriteriTecnici!$N1760,".",","),IFERROR(NUMBERVALUE(CriteriTecnici!$N1760,",","."),0))),4)&amp;""),",",".")&amp;", "&amp;CHAR(34)&amp;"numerator"&amp;CHAR(34)&amp;": "&amp;SUBSTITUTE(TRIM(ROUND(IFERROR(CriteriTecnici!$K1760*1,IFERROR(NUMBERVALUE(CriteriTecnici!$K1760,".",","),IFERROR(NUMBERVALUE(CriteriTecnici!$K1760,",","."),0))),4)&amp;""),",",".")&amp;", "&amp;CHAR(34)&amp;"denominator"&amp;CHAR(34)&amp;": "&amp;SUBSTITUTE(TRIM(ROUND(IFERROR(CriteriTecnici!$L1760*1,IFERROR(NUMBERVALUE(CriteriTecnici!$L1760,".",","),IFERROR(NUMBERVALUE(CriteriTecnici!$L1760,",","."),0))),4)&amp;""),",",".")&amp;", "&amp;CHAR(34)&amp;"flag"&amp;CHAR(34)&amp;": "&amp;SUBSTITUTE(TRIM(ROUND(IFERROR(CriteriTecnici!$M1760*1,IFERROR(NUMBERVALUE(CriteriTecnici!$M1760,".",","),IFERROR(NUMBERVALUE(CriteriTecnici!$M1760,",","."),0))),4)&amp;""),",",".")&amp;", "&amp;CHAR(34)&amp;"rawScore"&amp;CHAR(34)&amp;": "&amp;SUBSTITUTE(TRIM(ROUND(IFERROR(CriteriTecnici!$O1760*1,IFERROR(NUMBERVALUE(CriteriTecnici!$O1760,".",","),IFERROR(NUMBERVALUE(CriteriTecnici!$O1760,",","."),0))),4)&amp;""),",",".")&amp;CHAR(125)&amp;IF(TRUE,",",""))</f>
        <v/>
      </c>
    </row>
    <row r="1862">
      <c r="A1862" s="82">
        <f>IF(CriteriTecnici!$A1761="","","    "&amp;CHAR(123)&amp;CHAR(34)&amp;"bidderId"&amp;CHAR(34)&amp;": "&amp;CHAR(34)&amp;SUBSTITUTE(CriteriTecnici!$A1761,CHAR(34),"'")&amp;CHAR(34)&amp;", "&amp;CHAR(34)&amp;"lotId"&amp;CHAR(34)&amp;": "&amp;CHAR(34)&amp;SUBSTITUTE(CriteriTecnici!$C1761,CHAR(34),"'")&amp;CHAR(34)&amp;", "&amp;CHAR(34)&amp;"criterionId"&amp;CHAR(34)&amp;": "&amp;CHAR(34)&amp;SUBSTITUTE(CriteriTecnici!$D1761,CHAR(34),"'")&amp;CHAR(34)&amp;", "&amp;CHAR(34)&amp;"kind"&amp;CHAR(34)&amp;": "&amp;CHAR(34)&amp;SUBSTITUTE(CriteriTecnici!$F1761,CHAR(34),"'")&amp;CHAR(34)&amp;", "&amp;CHAR(34)&amp;"value"&amp;CHAR(34)&amp;": "&amp;SUBSTITUTE(TRIM(ROUND(IFERROR(CriteriTecnici!$N1761*1,IFERROR(NUMBERVALUE(CriteriTecnici!$N1761,".",","),IFERROR(NUMBERVALUE(CriteriTecnici!$N1761,",","."),0))),4)&amp;""),",",".")&amp;", "&amp;CHAR(34)&amp;"numerator"&amp;CHAR(34)&amp;": "&amp;SUBSTITUTE(TRIM(ROUND(IFERROR(CriteriTecnici!$K1761*1,IFERROR(NUMBERVALUE(CriteriTecnici!$K1761,".",","),IFERROR(NUMBERVALUE(CriteriTecnici!$K1761,",","."),0))),4)&amp;""),",",".")&amp;", "&amp;CHAR(34)&amp;"denominator"&amp;CHAR(34)&amp;": "&amp;SUBSTITUTE(TRIM(ROUND(IFERROR(CriteriTecnici!$L1761*1,IFERROR(NUMBERVALUE(CriteriTecnici!$L1761,".",","),IFERROR(NUMBERVALUE(CriteriTecnici!$L1761,",","."),0))),4)&amp;""),",",".")&amp;", "&amp;CHAR(34)&amp;"flag"&amp;CHAR(34)&amp;": "&amp;SUBSTITUTE(TRIM(ROUND(IFERROR(CriteriTecnici!$M1761*1,IFERROR(NUMBERVALUE(CriteriTecnici!$M1761,".",","),IFERROR(NUMBERVALUE(CriteriTecnici!$M1761,",","."),0))),4)&amp;""),",",".")&amp;", "&amp;CHAR(34)&amp;"rawScore"&amp;CHAR(34)&amp;": "&amp;SUBSTITUTE(TRIM(ROUND(IFERROR(CriteriTecnici!$O1761*1,IFERROR(NUMBERVALUE(CriteriTecnici!$O1761,".",","),IFERROR(NUMBERVALUE(CriteriTecnici!$O1761,",","."),0))),4)&amp;""),",",".")&amp;CHAR(125)&amp;IF(TRUE,",",""))</f>
        <v/>
      </c>
    </row>
    <row r="1863">
      <c r="A1863" s="82">
        <f>IF(CriteriTecnici!$A1762="","","    "&amp;CHAR(123)&amp;CHAR(34)&amp;"bidderId"&amp;CHAR(34)&amp;": "&amp;CHAR(34)&amp;SUBSTITUTE(CriteriTecnici!$A1762,CHAR(34),"'")&amp;CHAR(34)&amp;", "&amp;CHAR(34)&amp;"lotId"&amp;CHAR(34)&amp;": "&amp;CHAR(34)&amp;SUBSTITUTE(CriteriTecnici!$C1762,CHAR(34),"'")&amp;CHAR(34)&amp;", "&amp;CHAR(34)&amp;"criterionId"&amp;CHAR(34)&amp;": "&amp;CHAR(34)&amp;SUBSTITUTE(CriteriTecnici!$D1762,CHAR(34),"'")&amp;CHAR(34)&amp;", "&amp;CHAR(34)&amp;"kind"&amp;CHAR(34)&amp;": "&amp;CHAR(34)&amp;SUBSTITUTE(CriteriTecnici!$F1762,CHAR(34),"'")&amp;CHAR(34)&amp;", "&amp;CHAR(34)&amp;"value"&amp;CHAR(34)&amp;": "&amp;SUBSTITUTE(TRIM(ROUND(IFERROR(CriteriTecnici!$N1762*1,IFERROR(NUMBERVALUE(CriteriTecnici!$N1762,".",","),IFERROR(NUMBERVALUE(CriteriTecnici!$N1762,",","."),0))),4)&amp;""),",",".")&amp;", "&amp;CHAR(34)&amp;"numerator"&amp;CHAR(34)&amp;": "&amp;SUBSTITUTE(TRIM(ROUND(IFERROR(CriteriTecnici!$K1762*1,IFERROR(NUMBERVALUE(CriteriTecnici!$K1762,".",","),IFERROR(NUMBERVALUE(CriteriTecnici!$K1762,",","."),0))),4)&amp;""),",",".")&amp;", "&amp;CHAR(34)&amp;"denominator"&amp;CHAR(34)&amp;": "&amp;SUBSTITUTE(TRIM(ROUND(IFERROR(CriteriTecnici!$L1762*1,IFERROR(NUMBERVALUE(CriteriTecnici!$L1762,".",","),IFERROR(NUMBERVALUE(CriteriTecnici!$L1762,",","."),0))),4)&amp;""),",",".")&amp;", "&amp;CHAR(34)&amp;"flag"&amp;CHAR(34)&amp;": "&amp;SUBSTITUTE(TRIM(ROUND(IFERROR(CriteriTecnici!$M1762*1,IFERROR(NUMBERVALUE(CriteriTecnici!$M1762,".",","),IFERROR(NUMBERVALUE(CriteriTecnici!$M1762,",","."),0))),4)&amp;""),",",".")&amp;", "&amp;CHAR(34)&amp;"rawScore"&amp;CHAR(34)&amp;": "&amp;SUBSTITUTE(TRIM(ROUND(IFERROR(CriteriTecnici!$O1762*1,IFERROR(NUMBERVALUE(CriteriTecnici!$O1762,".",","),IFERROR(NUMBERVALUE(CriteriTecnici!$O1762,",","."),0))),4)&amp;""),",",".")&amp;CHAR(125)&amp;IF(TRUE,",",""))</f>
        <v/>
      </c>
    </row>
    <row r="1864">
      <c r="A1864" s="82">
        <f>IF(CriteriTecnici!$A1763="","","    "&amp;CHAR(123)&amp;CHAR(34)&amp;"bidderId"&amp;CHAR(34)&amp;": "&amp;CHAR(34)&amp;SUBSTITUTE(CriteriTecnici!$A1763,CHAR(34),"'")&amp;CHAR(34)&amp;", "&amp;CHAR(34)&amp;"lotId"&amp;CHAR(34)&amp;": "&amp;CHAR(34)&amp;SUBSTITUTE(CriteriTecnici!$C1763,CHAR(34),"'")&amp;CHAR(34)&amp;", "&amp;CHAR(34)&amp;"criterionId"&amp;CHAR(34)&amp;": "&amp;CHAR(34)&amp;SUBSTITUTE(CriteriTecnici!$D1763,CHAR(34),"'")&amp;CHAR(34)&amp;", "&amp;CHAR(34)&amp;"kind"&amp;CHAR(34)&amp;": "&amp;CHAR(34)&amp;SUBSTITUTE(CriteriTecnici!$F1763,CHAR(34),"'")&amp;CHAR(34)&amp;", "&amp;CHAR(34)&amp;"value"&amp;CHAR(34)&amp;": "&amp;SUBSTITUTE(TRIM(ROUND(IFERROR(CriteriTecnici!$N1763*1,IFERROR(NUMBERVALUE(CriteriTecnici!$N1763,".",","),IFERROR(NUMBERVALUE(CriteriTecnici!$N1763,",","."),0))),4)&amp;""),",",".")&amp;", "&amp;CHAR(34)&amp;"numerator"&amp;CHAR(34)&amp;": "&amp;SUBSTITUTE(TRIM(ROUND(IFERROR(CriteriTecnici!$K1763*1,IFERROR(NUMBERVALUE(CriteriTecnici!$K1763,".",","),IFERROR(NUMBERVALUE(CriteriTecnici!$K1763,",","."),0))),4)&amp;""),",",".")&amp;", "&amp;CHAR(34)&amp;"denominator"&amp;CHAR(34)&amp;": "&amp;SUBSTITUTE(TRIM(ROUND(IFERROR(CriteriTecnici!$L1763*1,IFERROR(NUMBERVALUE(CriteriTecnici!$L1763,".",","),IFERROR(NUMBERVALUE(CriteriTecnici!$L1763,",","."),0))),4)&amp;""),",",".")&amp;", "&amp;CHAR(34)&amp;"flag"&amp;CHAR(34)&amp;": "&amp;SUBSTITUTE(TRIM(ROUND(IFERROR(CriteriTecnici!$M1763*1,IFERROR(NUMBERVALUE(CriteriTecnici!$M1763,".",","),IFERROR(NUMBERVALUE(CriteriTecnici!$M1763,",","."),0))),4)&amp;""),",",".")&amp;", "&amp;CHAR(34)&amp;"rawScore"&amp;CHAR(34)&amp;": "&amp;SUBSTITUTE(TRIM(ROUND(IFERROR(CriteriTecnici!$O1763*1,IFERROR(NUMBERVALUE(CriteriTecnici!$O1763,".",","),IFERROR(NUMBERVALUE(CriteriTecnici!$O1763,",","."),0))),4)&amp;""),",",".")&amp;CHAR(125)&amp;IF(TRUE,",",""))</f>
        <v/>
      </c>
    </row>
    <row r="1865">
      <c r="A1865" s="82">
        <f>IF(CriteriTecnici!$A1764="","","    "&amp;CHAR(123)&amp;CHAR(34)&amp;"bidderId"&amp;CHAR(34)&amp;": "&amp;CHAR(34)&amp;SUBSTITUTE(CriteriTecnici!$A1764,CHAR(34),"'")&amp;CHAR(34)&amp;", "&amp;CHAR(34)&amp;"lotId"&amp;CHAR(34)&amp;": "&amp;CHAR(34)&amp;SUBSTITUTE(CriteriTecnici!$C1764,CHAR(34),"'")&amp;CHAR(34)&amp;", "&amp;CHAR(34)&amp;"criterionId"&amp;CHAR(34)&amp;": "&amp;CHAR(34)&amp;SUBSTITUTE(CriteriTecnici!$D1764,CHAR(34),"'")&amp;CHAR(34)&amp;", "&amp;CHAR(34)&amp;"kind"&amp;CHAR(34)&amp;": "&amp;CHAR(34)&amp;SUBSTITUTE(CriteriTecnici!$F1764,CHAR(34),"'")&amp;CHAR(34)&amp;", "&amp;CHAR(34)&amp;"value"&amp;CHAR(34)&amp;": "&amp;SUBSTITUTE(TRIM(ROUND(IFERROR(CriteriTecnici!$N1764*1,IFERROR(NUMBERVALUE(CriteriTecnici!$N1764,".",","),IFERROR(NUMBERVALUE(CriteriTecnici!$N1764,",","."),0))),4)&amp;""),",",".")&amp;", "&amp;CHAR(34)&amp;"numerator"&amp;CHAR(34)&amp;": "&amp;SUBSTITUTE(TRIM(ROUND(IFERROR(CriteriTecnici!$K1764*1,IFERROR(NUMBERVALUE(CriteriTecnici!$K1764,".",","),IFERROR(NUMBERVALUE(CriteriTecnici!$K1764,",","."),0))),4)&amp;""),",",".")&amp;", "&amp;CHAR(34)&amp;"denominator"&amp;CHAR(34)&amp;": "&amp;SUBSTITUTE(TRIM(ROUND(IFERROR(CriteriTecnici!$L1764*1,IFERROR(NUMBERVALUE(CriteriTecnici!$L1764,".",","),IFERROR(NUMBERVALUE(CriteriTecnici!$L1764,",","."),0))),4)&amp;""),",",".")&amp;", "&amp;CHAR(34)&amp;"flag"&amp;CHAR(34)&amp;": "&amp;SUBSTITUTE(TRIM(ROUND(IFERROR(CriteriTecnici!$M1764*1,IFERROR(NUMBERVALUE(CriteriTecnici!$M1764,".",","),IFERROR(NUMBERVALUE(CriteriTecnici!$M1764,",","."),0))),4)&amp;""),",",".")&amp;", "&amp;CHAR(34)&amp;"rawScore"&amp;CHAR(34)&amp;": "&amp;SUBSTITUTE(TRIM(ROUND(IFERROR(CriteriTecnici!$O1764*1,IFERROR(NUMBERVALUE(CriteriTecnici!$O1764,".",","),IFERROR(NUMBERVALUE(CriteriTecnici!$O1764,",","."),0))),4)&amp;""),",",".")&amp;CHAR(125)&amp;IF(TRUE,",",""))</f>
        <v/>
      </c>
    </row>
    <row r="1866">
      <c r="A1866" s="82">
        <f>IF(CriteriTecnici!$A1765="","","    "&amp;CHAR(123)&amp;CHAR(34)&amp;"bidderId"&amp;CHAR(34)&amp;": "&amp;CHAR(34)&amp;SUBSTITUTE(CriteriTecnici!$A1765,CHAR(34),"'")&amp;CHAR(34)&amp;", "&amp;CHAR(34)&amp;"lotId"&amp;CHAR(34)&amp;": "&amp;CHAR(34)&amp;SUBSTITUTE(CriteriTecnici!$C1765,CHAR(34),"'")&amp;CHAR(34)&amp;", "&amp;CHAR(34)&amp;"criterionId"&amp;CHAR(34)&amp;": "&amp;CHAR(34)&amp;SUBSTITUTE(CriteriTecnici!$D1765,CHAR(34),"'")&amp;CHAR(34)&amp;", "&amp;CHAR(34)&amp;"kind"&amp;CHAR(34)&amp;": "&amp;CHAR(34)&amp;SUBSTITUTE(CriteriTecnici!$F1765,CHAR(34),"'")&amp;CHAR(34)&amp;", "&amp;CHAR(34)&amp;"value"&amp;CHAR(34)&amp;": "&amp;SUBSTITUTE(TRIM(ROUND(IFERROR(CriteriTecnici!$N1765*1,IFERROR(NUMBERVALUE(CriteriTecnici!$N1765,".",","),IFERROR(NUMBERVALUE(CriteriTecnici!$N1765,",","."),0))),4)&amp;""),",",".")&amp;", "&amp;CHAR(34)&amp;"numerator"&amp;CHAR(34)&amp;": "&amp;SUBSTITUTE(TRIM(ROUND(IFERROR(CriteriTecnici!$K1765*1,IFERROR(NUMBERVALUE(CriteriTecnici!$K1765,".",","),IFERROR(NUMBERVALUE(CriteriTecnici!$K1765,",","."),0))),4)&amp;""),",",".")&amp;", "&amp;CHAR(34)&amp;"denominator"&amp;CHAR(34)&amp;": "&amp;SUBSTITUTE(TRIM(ROUND(IFERROR(CriteriTecnici!$L1765*1,IFERROR(NUMBERVALUE(CriteriTecnici!$L1765,".",","),IFERROR(NUMBERVALUE(CriteriTecnici!$L1765,",","."),0))),4)&amp;""),",",".")&amp;", "&amp;CHAR(34)&amp;"flag"&amp;CHAR(34)&amp;": "&amp;SUBSTITUTE(TRIM(ROUND(IFERROR(CriteriTecnici!$M1765*1,IFERROR(NUMBERVALUE(CriteriTecnici!$M1765,".",","),IFERROR(NUMBERVALUE(CriteriTecnici!$M1765,",","."),0))),4)&amp;""),",",".")&amp;", "&amp;CHAR(34)&amp;"rawScore"&amp;CHAR(34)&amp;": "&amp;SUBSTITUTE(TRIM(ROUND(IFERROR(CriteriTecnici!$O1765*1,IFERROR(NUMBERVALUE(CriteriTecnici!$O1765,".",","),IFERROR(NUMBERVALUE(CriteriTecnici!$O1765,",","."),0))),4)&amp;""),",",".")&amp;CHAR(125)&amp;IF(TRUE,",",""))</f>
        <v/>
      </c>
    </row>
    <row r="1867">
      <c r="A1867" s="82">
        <f>IF(CriteriTecnici!$A1766="","","    "&amp;CHAR(123)&amp;CHAR(34)&amp;"bidderId"&amp;CHAR(34)&amp;": "&amp;CHAR(34)&amp;SUBSTITUTE(CriteriTecnici!$A1766,CHAR(34),"'")&amp;CHAR(34)&amp;", "&amp;CHAR(34)&amp;"lotId"&amp;CHAR(34)&amp;": "&amp;CHAR(34)&amp;SUBSTITUTE(CriteriTecnici!$C1766,CHAR(34),"'")&amp;CHAR(34)&amp;", "&amp;CHAR(34)&amp;"criterionId"&amp;CHAR(34)&amp;": "&amp;CHAR(34)&amp;SUBSTITUTE(CriteriTecnici!$D1766,CHAR(34),"'")&amp;CHAR(34)&amp;", "&amp;CHAR(34)&amp;"kind"&amp;CHAR(34)&amp;": "&amp;CHAR(34)&amp;SUBSTITUTE(CriteriTecnici!$F1766,CHAR(34),"'")&amp;CHAR(34)&amp;", "&amp;CHAR(34)&amp;"value"&amp;CHAR(34)&amp;": "&amp;SUBSTITUTE(TRIM(ROUND(IFERROR(CriteriTecnici!$N1766*1,IFERROR(NUMBERVALUE(CriteriTecnici!$N1766,".",","),IFERROR(NUMBERVALUE(CriteriTecnici!$N1766,",","."),0))),4)&amp;""),",",".")&amp;", "&amp;CHAR(34)&amp;"numerator"&amp;CHAR(34)&amp;": "&amp;SUBSTITUTE(TRIM(ROUND(IFERROR(CriteriTecnici!$K1766*1,IFERROR(NUMBERVALUE(CriteriTecnici!$K1766,".",","),IFERROR(NUMBERVALUE(CriteriTecnici!$K1766,",","."),0))),4)&amp;""),",",".")&amp;", "&amp;CHAR(34)&amp;"denominator"&amp;CHAR(34)&amp;": "&amp;SUBSTITUTE(TRIM(ROUND(IFERROR(CriteriTecnici!$L1766*1,IFERROR(NUMBERVALUE(CriteriTecnici!$L1766,".",","),IFERROR(NUMBERVALUE(CriteriTecnici!$L1766,",","."),0))),4)&amp;""),",",".")&amp;", "&amp;CHAR(34)&amp;"flag"&amp;CHAR(34)&amp;": "&amp;SUBSTITUTE(TRIM(ROUND(IFERROR(CriteriTecnici!$M1766*1,IFERROR(NUMBERVALUE(CriteriTecnici!$M1766,".",","),IFERROR(NUMBERVALUE(CriteriTecnici!$M1766,",","."),0))),4)&amp;""),",",".")&amp;", "&amp;CHAR(34)&amp;"rawScore"&amp;CHAR(34)&amp;": "&amp;SUBSTITUTE(TRIM(ROUND(IFERROR(CriteriTecnici!$O1766*1,IFERROR(NUMBERVALUE(CriteriTecnici!$O1766,".",","),IFERROR(NUMBERVALUE(CriteriTecnici!$O1766,",","."),0))),4)&amp;""),",",".")&amp;CHAR(125)&amp;IF(TRUE,",",""))</f>
        <v/>
      </c>
    </row>
    <row r="1868">
      <c r="A1868" s="82">
        <f>IF(CriteriTecnici!$A1767="","","    "&amp;CHAR(123)&amp;CHAR(34)&amp;"bidderId"&amp;CHAR(34)&amp;": "&amp;CHAR(34)&amp;SUBSTITUTE(CriteriTecnici!$A1767,CHAR(34),"'")&amp;CHAR(34)&amp;", "&amp;CHAR(34)&amp;"lotId"&amp;CHAR(34)&amp;": "&amp;CHAR(34)&amp;SUBSTITUTE(CriteriTecnici!$C1767,CHAR(34),"'")&amp;CHAR(34)&amp;", "&amp;CHAR(34)&amp;"criterionId"&amp;CHAR(34)&amp;": "&amp;CHAR(34)&amp;SUBSTITUTE(CriteriTecnici!$D1767,CHAR(34),"'")&amp;CHAR(34)&amp;", "&amp;CHAR(34)&amp;"kind"&amp;CHAR(34)&amp;": "&amp;CHAR(34)&amp;SUBSTITUTE(CriteriTecnici!$F1767,CHAR(34),"'")&amp;CHAR(34)&amp;", "&amp;CHAR(34)&amp;"value"&amp;CHAR(34)&amp;": "&amp;SUBSTITUTE(TRIM(ROUND(IFERROR(CriteriTecnici!$N1767*1,IFERROR(NUMBERVALUE(CriteriTecnici!$N1767,".",","),IFERROR(NUMBERVALUE(CriteriTecnici!$N1767,",","."),0))),4)&amp;""),",",".")&amp;", "&amp;CHAR(34)&amp;"numerator"&amp;CHAR(34)&amp;": "&amp;SUBSTITUTE(TRIM(ROUND(IFERROR(CriteriTecnici!$K1767*1,IFERROR(NUMBERVALUE(CriteriTecnici!$K1767,".",","),IFERROR(NUMBERVALUE(CriteriTecnici!$K1767,",","."),0))),4)&amp;""),",",".")&amp;", "&amp;CHAR(34)&amp;"denominator"&amp;CHAR(34)&amp;": "&amp;SUBSTITUTE(TRIM(ROUND(IFERROR(CriteriTecnici!$L1767*1,IFERROR(NUMBERVALUE(CriteriTecnici!$L1767,".",","),IFERROR(NUMBERVALUE(CriteriTecnici!$L1767,",","."),0))),4)&amp;""),",",".")&amp;", "&amp;CHAR(34)&amp;"flag"&amp;CHAR(34)&amp;": "&amp;SUBSTITUTE(TRIM(ROUND(IFERROR(CriteriTecnici!$M1767*1,IFERROR(NUMBERVALUE(CriteriTecnici!$M1767,".",","),IFERROR(NUMBERVALUE(CriteriTecnici!$M1767,",","."),0))),4)&amp;""),",",".")&amp;", "&amp;CHAR(34)&amp;"rawScore"&amp;CHAR(34)&amp;": "&amp;SUBSTITUTE(TRIM(ROUND(IFERROR(CriteriTecnici!$O1767*1,IFERROR(NUMBERVALUE(CriteriTecnici!$O1767,".",","),IFERROR(NUMBERVALUE(CriteriTecnici!$O1767,",","."),0))),4)&amp;""),",",".")&amp;CHAR(125)&amp;IF(TRUE,",",""))</f>
        <v/>
      </c>
    </row>
    <row r="1869">
      <c r="A1869" s="82">
        <f>IF(CriteriTecnici!$A1768="","","    "&amp;CHAR(123)&amp;CHAR(34)&amp;"bidderId"&amp;CHAR(34)&amp;": "&amp;CHAR(34)&amp;SUBSTITUTE(CriteriTecnici!$A1768,CHAR(34),"'")&amp;CHAR(34)&amp;", "&amp;CHAR(34)&amp;"lotId"&amp;CHAR(34)&amp;": "&amp;CHAR(34)&amp;SUBSTITUTE(CriteriTecnici!$C1768,CHAR(34),"'")&amp;CHAR(34)&amp;", "&amp;CHAR(34)&amp;"criterionId"&amp;CHAR(34)&amp;": "&amp;CHAR(34)&amp;SUBSTITUTE(CriteriTecnici!$D1768,CHAR(34),"'")&amp;CHAR(34)&amp;", "&amp;CHAR(34)&amp;"kind"&amp;CHAR(34)&amp;": "&amp;CHAR(34)&amp;SUBSTITUTE(CriteriTecnici!$F1768,CHAR(34),"'")&amp;CHAR(34)&amp;", "&amp;CHAR(34)&amp;"value"&amp;CHAR(34)&amp;": "&amp;SUBSTITUTE(TRIM(ROUND(IFERROR(CriteriTecnici!$N1768*1,IFERROR(NUMBERVALUE(CriteriTecnici!$N1768,".",","),IFERROR(NUMBERVALUE(CriteriTecnici!$N1768,",","."),0))),4)&amp;""),",",".")&amp;", "&amp;CHAR(34)&amp;"numerator"&amp;CHAR(34)&amp;": "&amp;SUBSTITUTE(TRIM(ROUND(IFERROR(CriteriTecnici!$K1768*1,IFERROR(NUMBERVALUE(CriteriTecnici!$K1768,".",","),IFERROR(NUMBERVALUE(CriteriTecnici!$K1768,",","."),0))),4)&amp;""),",",".")&amp;", "&amp;CHAR(34)&amp;"denominator"&amp;CHAR(34)&amp;": "&amp;SUBSTITUTE(TRIM(ROUND(IFERROR(CriteriTecnici!$L1768*1,IFERROR(NUMBERVALUE(CriteriTecnici!$L1768,".",","),IFERROR(NUMBERVALUE(CriteriTecnici!$L1768,",","."),0))),4)&amp;""),",",".")&amp;", "&amp;CHAR(34)&amp;"flag"&amp;CHAR(34)&amp;": "&amp;SUBSTITUTE(TRIM(ROUND(IFERROR(CriteriTecnici!$M1768*1,IFERROR(NUMBERVALUE(CriteriTecnici!$M1768,".",","),IFERROR(NUMBERVALUE(CriteriTecnici!$M1768,",","."),0))),4)&amp;""),",",".")&amp;", "&amp;CHAR(34)&amp;"rawScore"&amp;CHAR(34)&amp;": "&amp;SUBSTITUTE(TRIM(ROUND(IFERROR(CriteriTecnici!$O1768*1,IFERROR(NUMBERVALUE(CriteriTecnici!$O1768,".",","),IFERROR(NUMBERVALUE(CriteriTecnici!$O1768,",","."),0))),4)&amp;""),",",".")&amp;CHAR(125)&amp;IF(TRUE,",",""))</f>
        <v/>
      </c>
    </row>
    <row r="1870">
      <c r="A1870" s="82">
        <f>IF(CriteriTecnici!$A1769="","","    "&amp;CHAR(123)&amp;CHAR(34)&amp;"bidderId"&amp;CHAR(34)&amp;": "&amp;CHAR(34)&amp;SUBSTITUTE(CriteriTecnici!$A1769,CHAR(34),"'")&amp;CHAR(34)&amp;", "&amp;CHAR(34)&amp;"lotId"&amp;CHAR(34)&amp;": "&amp;CHAR(34)&amp;SUBSTITUTE(CriteriTecnici!$C1769,CHAR(34),"'")&amp;CHAR(34)&amp;", "&amp;CHAR(34)&amp;"criterionId"&amp;CHAR(34)&amp;": "&amp;CHAR(34)&amp;SUBSTITUTE(CriteriTecnici!$D1769,CHAR(34),"'")&amp;CHAR(34)&amp;", "&amp;CHAR(34)&amp;"kind"&amp;CHAR(34)&amp;": "&amp;CHAR(34)&amp;SUBSTITUTE(CriteriTecnici!$F1769,CHAR(34),"'")&amp;CHAR(34)&amp;", "&amp;CHAR(34)&amp;"value"&amp;CHAR(34)&amp;": "&amp;SUBSTITUTE(TRIM(ROUND(IFERROR(CriteriTecnici!$N1769*1,IFERROR(NUMBERVALUE(CriteriTecnici!$N1769,".",","),IFERROR(NUMBERVALUE(CriteriTecnici!$N1769,",","."),0))),4)&amp;""),",",".")&amp;", "&amp;CHAR(34)&amp;"numerator"&amp;CHAR(34)&amp;": "&amp;SUBSTITUTE(TRIM(ROUND(IFERROR(CriteriTecnici!$K1769*1,IFERROR(NUMBERVALUE(CriteriTecnici!$K1769,".",","),IFERROR(NUMBERVALUE(CriteriTecnici!$K1769,",","."),0))),4)&amp;""),",",".")&amp;", "&amp;CHAR(34)&amp;"denominator"&amp;CHAR(34)&amp;": "&amp;SUBSTITUTE(TRIM(ROUND(IFERROR(CriteriTecnici!$L1769*1,IFERROR(NUMBERVALUE(CriteriTecnici!$L1769,".",","),IFERROR(NUMBERVALUE(CriteriTecnici!$L1769,",","."),0))),4)&amp;""),",",".")&amp;", "&amp;CHAR(34)&amp;"flag"&amp;CHAR(34)&amp;": "&amp;SUBSTITUTE(TRIM(ROUND(IFERROR(CriteriTecnici!$M1769*1,IFERROR(NUMBERVALUE(CriteriTecnici!$M1769,".",","),IFERROR(NUMBERVALUE(CriteriTecnici!$M1769,",","."),0))),4)&amp;""),",",".")&amp;", "&amp;CHAR(34)&amp;"rawScore"&amp;CHAR(34)&amp;": "&amp;SUBSTITUTE(TRIM(ROUND(IFERROR(CriteriTecnici!$O1769*1,IFERROR(NUMBERVALUE(CriteriTecnici!$O1769,".",","),IFERROR(NUMBERVALUE(CriteriTecnici!$O1769,",","."),0))),4)&amp;""),",",".")&amp;CHAR(125)&amp;IF(TRUE,",",""))</f>
        <v/>
      </c>
    </row>
    <row r="1871">
      <c r="A1871" s="82">
        <f>IF(CriteriTecnici!$A1770="","","    "&amp;CHAR(123)&amp;CHAR(34)&amp;"bidderId"&amp;CHAR(34)&amp;": "&amp;CHAR(34)&amp;SUBSTITUTE(CriteriTecnici!$A1770,CHAR(34),"'")&amp;CHAR(34)&amp;", "&amp;CHAR(34)&amp;"lotId"&amp;CHAR(34)&amp;": "&amp;CHAR(34)&amp;SUBSTITUTE(CriteriTecnici!$C1770,CHAR(34),"'")&amp;CHAR(34)&amp;", "&amp;CHAR(34)&amp;"criterionId"&amp;CHAR(34)&amp;": "&amp;CHAR(34)&amp;SUBSTITUTE(CriteriTecnici!$D1770,CHAR(34),"'")&amp;CHAR(34)&amp;", "&amp;CHAR(34)&amp;"kind"&amp;CHAR(34)&amp;": "&amp;CHAR(34)&amp;SUBSTITUTE(CriteriTecnici!$F1770,CHAR(34),"'")&amp;CHAR(34)&amp;", "&amp;CHAR(34)&amp;"value"&amp;CHAR(34)&amp;": "&amp;SUBSTITUTE(TRIM(ROUND(IFERROR(CriteriTecnici!$N1770*1,IFERROR(NUMBERVALUE(CriteriTecnici!$N1770,".",","),IFERROR(NUMBERVALUE(CriteriTecnici!$N1770,",","."),0))),4)&amp;""),",",".")&amp;", "&amp;CHAR(34)&amp;"numerator"&amp;CHAR(34)&amp;": "&amp;SUBSTITUTE(TRIM(ROUND(IFERROR(CriteriTecnici!$K1770*1,IFERROR(NUMBERVALUE(CriteriTecnici!$K1770,".",","),IFERROR(NUMBERVALUE(CriteriTecnici!$K1770,",","."),0))),4)&amp;""),",",".")&amp;", "&amp;CHAR(34)&amp;"denominator"&amp;CHAR(34)&amp;": "&amp;SUBSTITUTE(TRIM(ROUND(IFERROR(CriteriTecnici!$L1770*1,IFERROR(NUMBERVALUE(CriteriTecnici!$L1770,".",","),IFERROR(NUMBERVALUE(CriteriTecnici!$L1770,",","."),0))),4)&amp;""),",",".")&amp;", "&amp;CHAR(34)&amp;"flag"&amp;CHAR(34)&amp;": "&amp;SUBSTITUTE(TRIM(ROUND(IFERROR(CriteriTecnici!$M1770*1,IFERROR(NUMBERVALUE(CriteriTecnici!$M1770,".",","),IFERROR(NUMBERVALUE(CriteriTecnici!$M1770,",","."),0))),4)&amp;""),",",".")&amp;", "&amp;CHAR(34)&amp;"rawScore"&amp;CHAR(34)&amp;": "&amp;SUBSTITUTE(TRIM(ROUND(IFERROR(CriteriTecnici!$O1770*1,IFERROR(NUMBERVALUE(CriteriTecnici!$O1770,".",","),IFERROR(NUMBERVALUE(CriteriTecnici!$O1770,",","."),0))),4)&amp;""),",",".")&amp;CHAR(125)&amp;IF(TRUE,",",""))</f>
        <v/>
      </c>
    </row>
    <row r="1872">
      <c r="A1872" s="82">
        <f>IF(CriteriTecnici!$A1771="","","    "&amp;CHAR(123)&amp;CHAR(34)&amp;"bidderId"&amp;CHAR(34)&amp;": "&amp;CHAR(34)&amp;SUBSTITUTE(CriteriTecnici!$A1771,CHAR(34),"'")&amp;CHAR(34)&amp;", "&amp;CHAR(34)&amp;"lotId"&amp;CHAR(34)&amp;": "&amp;CHAR(34)&amp;SUBSTITUTE(CriteriTecnici!$C1771,CHAR(34),"'")&amp;CHAR(34)&amp;", "&amp;CHAR(34)&amp;"criterionId"&amp;CHAR(34)&amp;": "&amp;CHAR(34)&amp;SUBSTITUTE(CriteriTecnici!$D1771,CHAR(34),"'")&amp;CHAR(34)&amp;", "&amp;CHAR(34)&amp;"kind"&amp;CHAR(34)&amp;": "&amp;CHAR(34)&amp;SUBSTITUTE(CriteriTecnici!$F1771,CHAR(34),"'")&amp;CHAR(34)&amp;", "&amp;CHAR(34)&amp;"value"&amp;CHAR(34)&amp;": "&amp;SUBSTITUTE(TRIM(ROUND(IFERROR(CriteriTecnici!$N1771*1,IFERROR(NUMBERVALUE(CriteriTecnici!$N1771,".",","),IFERROR(NUMBERVALUE(CriteriTecnici!$N1771,",","."),0))),4)&amp;""),",",".")&amp;", "&amp;CHAR(34)&amp;"numerator"&amp;CHAR(34)&amp;": "&amp;SUBSTITUTE(TRIM(ROUND(IFERROR(CriteriTecnici!$K1771*1,IFERROR(NUMBERVALUE(CriteriTecnici!$K1771,".",","),IFERROR(NUMBERVALUE(CriteriTecnici!$K1771,",","."),0))),4)&amp;""),",",".")&amp;", "&amp;CHAR(34)&amp;"denominator"&amp;CHAR(34)&amp;": "&amp;SUBSTITUTE(TRIM(ROUND(IFERROR(CriteriTecnici!$L1771*1,IFERROR(NUMBERVALUE(CriteriTecnici!$L1771,".",","),IFERROR(NUMBERVALUE(CriteriTecnici!$L1771,",","."),0))),4)&amp;""),",",".")&amp;", "&amp;CHAR(34)&amp;"flag"&amp;CHAR(34)&amp;": "&amp;SUBSTITUTE(TRIM(ROUND(IFERROR(CriteriTecnici!$M1771*1,IFERROR(NUMBERVALUE(CriteriTecnici!$M1771,".",","),IFERROR(NUMBERVALUE(CriteriTecnici!$M1771,",","."),0))),4)&amp;""),",",".")&amp;", "&amp;CHAR(34)&amp;"rawScore"&amp;CHAR(34)&amp;": "&amp;SUBSTITUTE(TRIM(ROUND(IFERROR(CriteriTecnici!$O1771*1,IFERROR(NUMBERVALUE(CriteriTecnici!$O1771,".",","),IFERROR(NUMBERVALUE(CriteriTecnici!$O1771,",","."),0))),4)&amp;""),",",".")&amp;CHAR(125)&amp;IF(COUNTA(Offerte!$A59:$A$81)&gt;0,",",""))</f>
        <v/>
      </c>
    </row>
    <row r="1873">
      <c r="A1873" s="82">
        <f>IF(CriteriTecnici!$A1772="","","    "&amp;CHAR(123)&amp;CHAR(34)&amp;"bidderId"&amp;CHAR(34)&amp;": "&amp;CHAR(34)&amp;SUBSTITUTE(CriteriTecnici!$A1772,CHAR(34),"'")&amp;CHAR(34)&amp;", "&amp;CHAR(34)&amp;"lotId"&amp;CHAR(34)&amp;": "&amp;CHAR(34)&amp;SUBSTITUTE(CriteriTecnici!$C1772,CHAR(34),"'")&amp;CHAR(34)&amp;", "&amp;CHAR(34)&amp;"criterionId"&amp;CHAR(34)&amp;": "&amp;CHAR(34)&amp;SUBSTITUTE(CriteriTecnici!$D1772,CHAR(34),"'")&amp;CHAR(34)&amp;", "&amp;CHAR(34)&amp;"kind"&amp;CHAR(34)&amp;": "&amp;CHAR(34)&amp;SUBSTITUTE(CriteriTecnici!$F1772,CHAR(34),"'")&amp;CHAR(34)&amp;", "&amp;CHAR(34)&amp;"value"&amp;CHAR(34)&amp;": "&amp;SUBSTITUTE(TRIM(ROUND(IFERROR(CriteriTecnici!$N1772*1,IFERROR(NUMBERVALUE(CriteriTecnici!$N1772,".",","),IFERROR(NUMBERVALUE(CriteriTecnici!$N1772,",","."),0))),4)&amp;""),",",".")&amp;", "&amp;CHAR(34)&amp;"numerator"&amp;CHAR(34)&amp;": "&amp;SUBSTITUTE(TRIM(ROUND(IFERROR(CriteriTecnici!$K1772*1,IFERROR(NUMBERVALUE(CriteriTecnici!$K1772,".",","),IFERROR(NUMBERVALUE(CriteriTecnici!$K1772,",","."),0))),4)&amp;""),",",".")&amp;", "&amp;CHAR(34)&amp;"denominator"&amp;CHAR(34)&amp;": "&amp;SUBSTITUTE(TRIM(ROUND(IFERROR(CriteriTecnici!$L1772*1,IFERROR(NUMBERVALUE(CriteriTecnici!$L1772,".",","),IFERROR(NUMBERVALUE(CriteriTecnici!$L1772,",","."),0))),4)&amp;""),",",".")&amp;", "&amp;CHAR(34)&amp;"flag"&amp;CHAR(34)&amp;": "&amp;SUBSTITUTE(TRIM(ROUND(IFERROR(CriteriTecnici!$M1772*1,IFERROR(NUMBERVALUE(CriteriTecnici!$M1772,".",","),IFERROR(NUMBERVALUE(CriteriTecnici!$M1772,",","."),0))),4)&amp;""),",",".")&amp;", "&amp;CHAR(34)&amp;"rawScore"&amp;CHAR(34)&amp;": "&amp;SUBSTITUTE(TRIM(ROUND(IFERROR(CriteriTecnici!$O1772*1,IFERROR(NUMBERVALUE(CriteriTecnici!$O1772,".",","),IFERROR(NUMBERVALUE(CriteriTecnici!$O1772,",","."),0))),4)&amp;""),",",".")&amp;CHAR(125)&amp;IF(TRUE,",",""))</f>
        <v/>
      </c>
    </row>
    <row r="1874">
      <c r="A1874" s="82">
        <f>IF(CriteriTecnici!$A1773="","","    "&amp;CHAR(123)&amp;CHAR(34)&amp;"bidderId"&amp;CHAR(34)&amp;": "&amp;CHAR(34)&amp;SUBSTITUTE(CriteriTecnici!$A1773,CHAR(34),"'")&amp;CHAR(34)&amp;", "&amp;CHAR(34)&amp;"lotId"&amp;CHAR(34)&amp;": "&amp;CHAR(34)&amp;SUBSTITUTE(CriteriTecnici!$C1773,CHAR(34),"'")&amp;CHAR(34)&amp;", "&amp;CHAR(34)&amp;"criterionId"&amp;CHAR(34)&amp;": "&amp;CHAR(34)&amp;SUBSTITUTE(CriteriTecnici!$D1773,CHAR(34),"'")&amp;CHAR(34)&amp;", "&amp;CHAR(34)&amp;"kind"&amp;CHAR(34)&amp;": "&amp;CHAR(34)&amp;SUBSTITUTE(CriteriTecnici!$F1773,CHAR(34),"'")&amp;CHAR(34)&amp;", "&amp;CHAR(34)&amp;"value"&amp;CHAR(34)&amp;": "&amp;SUBSTITUTE(TRIM(ROUND(IFERROR(CriteriTecnici!$N1773*1,IFERROR(NUMBERVALUE(CriteriTecnici!$N1773,".",","),IFERROR(NUMBERVALUE(CriteriTecnici!$N1773,",","."),0))),4)&amp;""),",",".")&amp;", "&amp;CHAR(34)&amp;"numerator"&amp;CHAR(34)&amp;": "&amp;SUBSTITUTE(TRIM(ROUND(IFERROR(CriteriTecnici!$K1773*1,IFERROR(NUMBERVALUE(CriteriTecnici!$K1773,".",","),IFERROR(NUMBERVALUE(CriteriTecnici!$K1773,",","."),0))),4)&amp;""),",",".")&amp;", "&amp;CHAR(34)&amp;"denominator"&amp;CHAR(34)&amp;": "&amp;SUBSTITUTE(TRIM(ROUND(IFERROR(CriteriTecnici!$L1773*1,IFERROR(NUMBERVALUE(CriteriTecnici!$L1773,".",","),IFERROR(NUMBERVALUE(CriteriTecnici!$L1773,",","."),0))),4)&amp;""),",",".")&amp;", "&amp;CHAR(34)&amp;"flag"&amp;CHAR(34)&amp;": "&amp;SUBSTITUTE(TRIM(ROUND(IFERROR(CriteriTecnici!$M1773*1,IFERROR(NUMBERVALUE(CriteriTecnici!$M1773,".",","),IFERROR(NUMBERVALUE(CriteriTecnici!$M1773,",","."),0))),4)&amp;""),",",".")&amp;", "&amp;CHAR(34)&amp;"rawScore"&amp;CHAR(34)&amp;": "&amp;SUBSTITUTE(TRIM(ROUND(IFERROR(CriteriTecnici!$O1773*1,IFERROR(NUMBERVALUE(CriteriTecnici!$O1773,".",","),IFERROR(NUMBERVALUE(CriteriTecnici!$O1773,",","."),0))),4)&amp;""),",",".")&amp;CHAR(125)&amp;IF(TRUE,",",""))</f>
        <v/>
      </c>
    </row>
    <row r="1875">
      <c r="A1875" s="82">
        <f>IF(CriteriTecnici!$A1774="","","    "&amp;CHAR(123)&amp;CHAR(34)&amp;"bidderId"&amp;CHAR(34)&amp;": "&amp;CHAR(34)&amp;SUBSTITUTE(CriteriTecnici!$A1774,CHAR(34),"'")&amp;CHAR(34)&amp;", "&amp;CHAR(34)&amp;"lotId"&amp;CHAR(34)&amp;": "&amp;CHAR(34)&amp;SUBSTITUTE(CriteriTecnici!$C1774,CHAR(34),"'")&amp;CHAR(34)&amp;", "&amp;CHAR(34)&amp;"criterionId"&amp;CHAR(34)&amp;": "&amp;CHAR(34)&amp;SUBSTITUTE(CriteriTecnici!$D1774,CHAR(34),"'")&amp;CHAR(34)&amp;", "&amp;CHAR(34)&amp;"kind"&amp;CHAR(34)&amp;": "&amp;CHAR(34)&amp;SUBSTITUTE(CriteriTecnici!$F1774,CHAR(34),"'")&amp;CHAR(34)&amp;", "&amp;CHAR(34)&amp;"value"&amp;CHAR(34)&amp;": "&amp;SUBSTITUTE(TRIM(ROUND(IFERROR(CriteriTecnici!$N1774*1,IFERROR(NUMBERVALUE(CriteriTecnici!$N1774,".",","),IFERROR(NUMBERVALUE(CriteriTecnici!$N1774,",","."),0))),4)&amp;""),",",".")&amp;", "&amp;CHAR(34)&amp;"numerator"&amp;CHAR(34)&amp;": "&amp;SUBSTITUTE(TRIM(ROUND(IFERROR(CriteriTecnici!$K1774*1,IFERROR(NUMBERVALUE(CriteriTecnici!$K1774,".",","),IFERROR(NUMBERVALUE(CriteriTecnici!$K1774,",","."),0))),4)&amp;""),",",".")&amp;", "&amp;CHAR(34)&amp;"denominator"&amp;CHAR(34)&amp;": "&amp;SUBSTITUTE(TRIM(ROUND(IFERROR(CriteriTecnici!$L1774*1,IFERROR(NUMBERVALUE(CriteriTecnici!$L1774,".",","),IFERROR(NUMBERVALUE(CriteriTecnici!$L1774,",","."),0))),4)&amp;""),",",".")&amp;", "&amp;CHAR(34)&amp;"flag"&amp;CHAR(34)&amp;": "&amp;SUBSTITUTE(TRIM(ROUND(IFERROR(CriteriTecnici!$M1774*1,IFERROR(NUMBERVALUE(CriteriTecnici!$M1774,".",","),IFERROR(NUMBERVALUE(CriteriTecnici!$M1774,",","."),0))),4)&amp;""),",",".")&amp;", "&amp;CHAR(34)&amp;"rawScore"&amp;CHAR(34)&amp;": "&amp;SUBSTITUTE(TRIM(ROUND(IFERROR(CriteriTecnici!$O1774*1,IFERROR(NUMBERVALUE(CriteriTecnici!$O1774,".",","),IFERROR(NUMBERVALUE(CriteriTecnici!$O1774,",","."),0))),4)&amp;""),",",".")&amp;CHAR(125)&amp;IF(TRUE,",",""))</f>
        <v/>
      </c>
    </row>
    <row r="1876">
      <c r="A1876" s="82">
        <f>IF(CriteriTecnici!$A1775="","","    "&amp;CHAR(123)&amp;CHAR(34)&amp;"bidderId"&amp;CHAR(34)&amp;": "&amp;CHAR(34)&amp;SUBSTITUTE(CriteriTecnici!$A1775,CHAR(34),"'")&amp;CHAR(34)&amp;", "&amp;CHAR(34)&amp;"lotId"&amp;CHAR(34)&amp;": "&amp;CHAR(34)&amp;SUBSTITUTE(CriteriTecnici!$C1775,CHAR(34),"'")&amp;CHAR(34)&amp;", "&amp;CHAR(34)&amp;"criterionId"&amp;CHAR(34)&amp;": "&amp;CHAR(34)&amp;SUBSTITUTE(CriteriTecnici!$D1775,CHAR(34),"'")&amp;CHAR(34)&amp;", "&amp;CHAR(34)&amp;"kind"&amp;CHAR(34)&amp;": "&amp;CHAR(34)&amp;SUBSTITUTE(CriteriTecnici!$F1775,CHAR(34),"'")&amp;CHAR(34)&amp;", "&amp;CHAR(34)&amp;"value"&amp;CHAR(34)&amp;": "&amp;SUBSTITUTE(TRIM(ROUND(IFERROR(CriteriTecnici!$N1775*1,IFERROR(NUMBERVALUE(CriteriTecnici!$N1775,".",","),IFERROR(NUMBERVALUE(CriteriTecnici!$N1775,",","."),0))),4)&amp;""),",",".")&amp;", "&amp;CHAR(34)&amp;"numerator"&amp;CHAR(34)&amp;": "&amp;SUBSTITUTE(TRIM(ROUND(IFERROR(CriteriTecnici!$K1775*1,IFERROR(NUMBERVALUE(CriteriTecnici!$K1775,".",","),IFERROR(NUMBERVALUE(CriteriTecnici!$K1775,",","."),0))),4)&amp;""),",",".")&amp;", "&amp;CHAR(34)&amp;"denominator"&amp;CHAR(34)&amp;": "&amp;SUBSTITUTE(TRIM(ROUND(IFERROR(CriteriTecnici!$L1775*1,IFERROR(NUMBERVALUE(CriteriTecnici!$L1775,".",","),IFERROR(NUMBERVALUE(CriteriTecnici!$L1775,",","."),0))),4)&amp;""),",",".")&amp;", "&amp;CHAR(34)&amp;"flag"&amp;CHAR(34)&amp;": "&amp;SUBSTITUTE(TRIM(ROUND(IFERROR(CriteriTecnici!$M1775*1,IFERROR(NUMBERVALUE(CriteriTecnici!$M1775,".",","),IFERROR(NUMBERVALUE(CriteriTecnici!$M1775,",","."),0))),4)&amp;""),",",".")&amp;", "&amp;CHAR(34)&amp;"rawScore"&amp;CHAR(34)&amp;": "&amp;SUBSTITUTE(TRIM(ROUND(IFERROR(CriteriTecnici!$O1775*1,IFERROR(NUMBERVALUE(CriteriTecnici!$O1775,".",","),IFERROR(NUMBERVALUE(CriteriTecnici!$O1775,",","."),0))),4)&amp;""),",",".")&amp;CHAR(125)&amp;IF(TRUE,",",""))</f>
        <v/>
      </c>
    </row>
    <row r="1877">
      <c r="A1877" s="82">
        <f>IF(CriteriTecnici!$A1776="","","    "&amp;CHAR(123)&amp;CHAR(34)&amp;"bidderId"&amp;CHAR(34)&amp;": "&amp;CHAR(34)&amp;SUBSTITUTE(CriteriTecnici!$A1776,CHAR(34),"'")&amp;CHAR(34)&amp;", "&amp;CHAR(34)&amp;"lotId"&amp;CHAR(34)&amp;": "&amp;CHAR(34)&amp;SUBSTITUTE(CriteriTecnici!$C1776,CHAR(34),"'")&amp;CHAR(34)&amp;", "&amp;CHAR(34)&amp;"criterionId"&amp;CHAR(34)&amp;": "&amp;CHAR(34)&amp;SUBSTITUTE(CriteriTecnici!$D1776,CHAR(34),"'")&amp;CHAR(34)&amp;", "&amp;CHAR(34)&amp;"kind"&amp;CHAR(34)&amp;": "&amp;CHAR(34)&amp;SUBSTITUTE(CriteriTecnici!$F1776,CHAR(34),"'")&amp;CHAR(34)&amp;", "&amp;CHAR(34)&amp;"value"&amp;CHAR(34)&amp;": "&amp;SUBSTITUTE(TRIM(ROUND(IFERROR(CriteriTecnici!$N1776*1,IFERROR(NUMBERVALUE(CriteriTecnici!$N1776,".",","),IFERROR(NUMBERVALUE(CriteriTecnici!$N1776,",","."),0))),4)&amp;""),",",".")&amp;", "&amp;CHAR(34)&amp;"numerator"&amp;CHAR(34)&amp;": "&amp;SUBSTITUTE(TRIM(ROUND(IFERROR(CriteriTecnici!$K1776*1,IFERROR(NUMBERVALUE(CriteriTecnici!$K1776,".",","),IFERROR(NUMBERVALUE(CriteriTecnici!$K1776,",","."),0))),4)&amp;""),",",".")&amp;", "&amp;CHAR(34)&amp;"denominator"&amp;CHAR(34)&amp;": "&amp;SUBSTITUTE(TRIM(ROUND(IFERROR(CriteriTecnici!$L1776*1,IFERROR(NUMBERVALUE(CriteriTecnici!$L1776,".",","),IFERROR(NUMBERVALUE(CriteriTecnici!$L1776,",","."),0))),4)&amp;""),",",".")&amp;", "&amp;CHAR(34)&amp;"flag"&amp;CHAR(34)&amp;": "&amp;SUBSTITUTE(TRIM(ROUND(IFERROR(CriteriTecnici!$M1776*1,IFERROR(NUMBERVALUE(CriteriTecnici!$M1776,".",","),IFERROR(NUMBERVALUE(CriteriTecnici!$M1776,",","."),0))),4)&amp;""),",",".")&amp;", "&amp;CHAR(34)&amp;"rawScore"&amp;CHAR(34)&amp;": "&amp;SUBSTITUTE(TRIM(ROUND(IFERROR(CriteriTecnici!$O1776*1,IFERROR(NUMBERVALUE(CriteriTecnici!$O1776,".",","),IFERROR(NUMBERVALUE(CriteriTecnici!$O1776,",","."),0))),4)&amp;""),",",".")&amp;CHAR(125)&amp;IF(TRUE,",",""))</f>
        <v/>
      </c>
    </row>
    <row r="1878">
      <c r="A1878" s="82">
        <f>IF(CriteriTecnici!$A1777="","","    "&amp;CHAR(123)&amp;CHAR(34)&amp;"bidderId"&amp;CHAR(34)&amp;": "&amp;CHAR(34)&amp;SUBSTITUTE(CriteriTecnici!$A1777,CHAR(34),"'")&amp;CHAR(34)&amp;", "&amp;CHAR(34)&amp;"lotId"&amp;CHAR(34)&amp;": "&amp;CHAR(34)&amp;SUBSTITUTE(CriteriTecnici!$C1777,CHAR(34),"'")&amp;CHAR(34)&amp;", "&amp;CHAR(34)&amp;"criterionId"&amp;CHAR(34)&amp;": "&amp;CHAR(34)&amp;SUBSTITUTE(CriteriTecnici!$D1777,CHAR(34),"'")&amp;CHAR(34)&amp;", "&amp;CHAR(34)&amp;"kind"&amp;CHAR(34)&amp;": "&amp;CHAR(34)&amp;SUBSTITUTE(CriteriTecnici!$F1777,CHAR(34),"'")&amp;CHAR(34)&amp;", "&amp;CHAR(34)&amp;"value"&amp;CHAR(34)&amp;": "&amp;SUBSTITUTE(TRIM(ROUND(IFERROR(CriteriTecnici!$N1777*1,IFERROR(NUMBERVALUE(CriteriTecnici!$N1777,".",","),IFERROR(NUMBERVALUE(CriteriTecnici!$N1777,",","."),0))),4)&amp;""),",",".")&amp;", "&amp;CHAR(34)&amp;"numerator"&amp;CHAR(34)&amp;": "&amp;SUBSTITUTE(TRIM(ROUND(IFERROR(CriteriTecnici!$K1777*1,IFERROR(NUMBERVALUE(CriteriTecnici!$K1777,".",","),IFERROR(NUMBERVALUE(CriteriTecnici!$K1777,",","."),0))),4)&amp;""),",",".")&amp;", "&amp;CHAR(34)&amp;"denominator"&amp;CHAR(34)&amp;": "&amp;SUBSTITUTE(TRIM(ROUND(IFERROR(CriteriTecnici!$L1777*1,IFERROR(NUMBERVALUE(CriteriTecnici!$L1777,".",","),IFERROR(NUMBERVALUE(CriteriTecnici!$L1777,",","."),0))),4)&amp;""),",",".")&amp;", "&amp;CHAR(34)&amp;"flag"&amp;CHAR(34)&amp;": "&amp;SUBSTITUTE(TRIM(ROUND(IFERROR(CriteriTecnici!$M1777*1,IFERROR(NUMBERVALUE(CriteriTecnici!$M1777,".",","),IFERROR(NUMBERVALUE(CriteriTecnici!$M1777,",","."),0))),4)&amp;""),",",".")&amp;", "&amp;CHAR(34)&amp;"rawScore"&amp;CHAR(34)&amp;": "&amp;SUBSTITUTE(TRIM(ROUND(IFERROR(CriteriTecnici!$O1777*1,IFERROR(NUMBERVALUE(CriteriTecnici!$O1777,".",","),IFERROR(NUMBERVALUE(CriteriTecnici!$O1777,",","."),0))),4)&amp;""),",",".")&amp;CHAR(125)&amp;IF(TRUE,",",""))</f>
        <v/>
      </c>
    </row>
    <row r="1879">
      <c r="A1879" s="82">
        <f>IF(CriteriTecnici!$A1778="","","    "&amp;CHAR(123)&amp;CHAR(34)&amp;"bidderId"&amp;CHAR(34)&amp;": "&amp;CHAR(34)&amp;SUBSTITUTE(CriteriTecnici!$A1778,CHAR(34),"'")&amp;CHAR(34)&amp;", "&amp;CHAR(34)&amp;"lotId"&amp;CHAR(34)&amp;": "&amp;CHAR(34)&amp;SUBSTITUTE(CriteriTecnici!$C1778,CHAR(34),"'")&amp;CHAR(34)&amp;", "&amp;CHAR(34)&amp;"criterionId"&amp;CHAR(34)&amp;": "&amp;CHAR(34)&amp;SUBSTITUTE(CriteriTecnici!$D1778,CHAR(34),"'")&amp;CHAR(34)&amp;", "&amp;CHAR(34)&amp;"kind"&amp;CHAR(34)&amp;": "&amp;CHAR(34)&amp;SUBSTITUTE(CriteriTecnici!$F1778,CHAR(34),"'")&amp;CHAR(34)&amp;", "&amp;CHAR(34)&amp;"value"&amp;CHAR(34)&amp;": "&amp;SUBSTITUTE(TRIM(ROUND(IFERROR(CriteriTecnici!$N1778*1,IFERROR(NUMBERVALUE(CriteriTecnici!$N1778,".",","),IFERROR(NUMBERVALUE(CriteriTecnici!$N1778,",","."),0))),4)&amp;""),",",".")&amp;", "&amp;CHAR(34)&amp;"numerator"&amp;CHAR(34)&amp;": "&amp;SUBSTITUTE(TRIM(ROUND(IFERROR(CriteriTecnici!$K1778*1,IFERROR(NUMBERVALUE(CriteriTecnici!$K1778,".",","),IFERROR(NUMBERVALUE(CriteriTecnici!$K1778,",","."),0))),4)&amp;""),",",".")&amp;", "&amp;CHAR(34)&amp;"denominator"&amp;CHAR(34)&amp;": "&amp;SUBSTITUTE(TRIM(ROUND(IFERROR(CriteriTecnici!$L1778*1,IFERROR(NUMBERVALUE(CriteriTecnici!$L1778,".",","),IFERROR(NUMBERVALUE(CriteriTecnici!$L1778,",","."),0))),4)&amp;""),",",".")&amp;", "&amp;CHAR(34)&amp;"flag"&amp;CHAR(34)&amp;": "&amp;SUBSTITUTE(TRIM(ROUND(IFERROR(CriteriTecnici!$M1778*1,IFERROR(NUMBERVALUE(CriteriTecnici!$M1778,".",","),IFERROR(NUMBERVALUE(CriteriTecnici!$M1778,",","."),0))),4)&amp;""),",",".")&amp;", "&amp;CHAR(34)&amp;"rawScore"&amp;CHAR(34)&amp;": "&amp;SUBSTITUTE(TRIM(ROUND(IFERROR(CriteriTecnici!$O1778*1,IFERROR(NUMBERVALUE(CriteriTecnici!$O1778,".",","),IFERROR(NUMBERVALUE(CriteriTecnici!$O1778,",","."),0))),4)&amp;""),",",".")&amp;CHAR(125)&amp;IF(TRUE,",",""))</f>
        <v/>
      </c>
    </row>
    <row r="1880">
      <c r="A1880" s="82">
        <f>IF(CriteriTecnici!$A1779="","","    "&amp;CHAR(123)&amp;CHAR(34)&amp;"bidderId"&amp;CHAR(34)&amp;": "&amp;CHAR(34)&amp;SUBSTITUTE(CriteriTecnici!$A1779,CHAR(34),"'")&amp;CHAR(34)&amp;", "&amp;CHAR(34)&amp;"lotId"&amp;CHAR(34)&amp;": "&amp;CHAR(34)&amp;SUBSTITUTE(CriteriTecnici!$C1779,CHAR(34),"'")&amp;CHAR(34)&amp;", "&amp;CHAR(34)&amp;"criterionId"&amp;CHAR(34)&amp;": "&amp;CHAR(34)&amp;SUBSTITUTE(CriteriTecnici!$D1779,CHAR(34),"'")&amp;CHAR(34)&amp;", "&amp;CHAR(34)&amp;"kind"&amp;CHAR(34)&amp;": "&amp;CHAR(34)&amp;SUBSTITUTE(CriteriTecnici!$F1779,CHAR(34),"'")&amp;CHAR(34)&amp;", "&amp;CHAR(34)&amp;"value"&amp;CHAR(34)&amp;": "&amp;SUBSTITUTE(TRIM(ROUND(IFERROR(CriteriTecnici!$N1779*1,IFERROR(NUMBERVALUE(CriteriTecnici!$N1779,".",","),IFERROR(NUMBERVALUE(CriteriTecnici!$N1779,",","."),0))),4)&amp;""),",",".")&amp;", "&amp;CHAR(34)&amp;"numerator"&amp;CHAR(34)&amp;": "&amp;SUBSTITUTE(TRIM(ROUND(IFERROR(CriteriTecnici!$K1779*1,IFERROR(NUMBERVALUE(CriteriTecnici!$K1779,".",","),IFERROR(NUMBERVALUE(CriteriTecnici!$K1779,",","."),0))),4)&amp;""),",",".")&amp;", "&amp;CHAR(34)&amp;"denominator"&amp;CHAR(34)&amp;": "&amp;SUBSTITUTE(TRIM(ROUND(IFERROR(CriteriTecnici!$L1779*1,IFERROR(NUMBERVALUE(CriteriTecnici!$L1779,".",","),IFERROR(NUMBERVALUE(CriteriTecnici!$L1779,",","."),0))),4)&amp;""),",",".")&amp;", "&amp;CHAR(34)&amp;"flag"&amp;CHAR(34)&amp;": "&amp;SUBSTITUTE(TRIM(ROUND(IFERROR(CriteriTecnici!$M1779*1,IFERROR(NUMBERVALUE(CriteriTecnici!$M1779,".",","),IFERROR(NUMBERVALUE(CriteriTecnici!$M1779,",","."),0))),4)&amp;""),",",".")&amp;", "&amp;CHAR(34)&amp;"rawScore"&amp;CHAR(34)&amp;": "&amp;SUBSTITUTE(TRIM(ROUND(IFERROR(CriteriTecnici!$O1779*1,IFERROR(NUMBERVALUE(CriteriTecnici!$O1779,".",","),IFERROR(NUMBERVALUE(CriteriTecnici!$O1779,",","."),0))),4)&amp;""),",",".")&amp;CHAR(125)&amp;IF(TRUE,",",""))</f>
        <v/>
      </c>
    </row>
    <row r="1881">
      <c r="A1881" s="82">
        <f>IF(CriteriTecnici!$A1780="","","    "&amp;CHAR(123)&amp;CHAR(34)&amp;"bidderId"&amp;CHAR(34)&amp;": "&amp;CHAR(34)&amp;SUBSTITUTE(CriteriTecnici!$A1780,CHAR(34),"'")&amp;CHAR(34)&amp;", "&amp;CHAR(34)&amp;"lotId"&amp;CHAR(34)&amp;": "&amp;CHAR(34)&amp;SUBSTITUTE(CriteriTecnici!$C1780,CHAR(34),"'")&amp;CHAR(34)&amp;", "&amp;CHAR(34)&amp;"criterionId"&amp;CHAR(34)&amp;": "&amp;CHAR(34)&amp;SUBSTITUTE(CriteriTecnici!$D1780,CHAR(34),"'")&amp;CHAR(34)&amp;", "&amp;CHAR(34)&amp;"kind"&amp;CHAR(34)&amp;": "&amp;CHAR(34)&amp;SUBSTITUTE(CriteriTecnici!$F1780,CHAR(34),"'")&amp;CHAR(34)&amp;", "&amp;CHAR(34)&amp;"value"&amp;CHAR(34)&amp;": "&amp;SUBSTITUTE(TRIM(ROUND(IFERROR(CriteriTecnici!$N1780*1,IFERROR(NUMBERVALUE(CriteriTecnici!$N1780,".",","),IFERROR(NUMBERVALUE(CriteriTecnici!$N1780,",","."),0))),4)&amp;""),",",".")&amp;", "&amp;CHAR(34)&amp;"numerator"&amp;CHAR(34)&amp;": "&amp;SUBSTITUTE(TRIM(ROUND(IFERROR(CriteriTecnici!$K1780*1,IFERROR(NUMBERVALUE(CriteriTecnici!$K1780,".",","),IFERROR(NUMBERVALUE(CriteriTecnici!$K1780,",","."),0))),4)&amp;""),",",".")&amp;", "&amp;CHAR(34)&amp;"denominator"&amp;CHAR(34)&amp;": "&amp;SUBSTITUTE(TRIM(ROUND(IFERROR(CriteriTecnici!$L1780*1,IFERROR(NUMBERVALUE(CriteriTecnici!$L1780,".",","),IFERROR(NUMBERVALUE(CriteriTecnici!$L1780,",","."),0))),4)&amp;""),",",".")&amp;", "&amp;CHAR(34)&amp;"flag"&amp;CHAR(34)&amp;": "&amp;SUBSTITUTE(TRIM(ROUND(IFERROR(CriteriTecnici!$M1780*1,IFERROR(NUMBERVALUE(CriteriTecnici!$M1780,".",","),IFERROR(NUMBERVALUE(CriteriTecnici!$M1780,",","."),0))),4)&amp;""),",",".")&amp;", "&amp;CHAR(34)&amp;"rawScore"&amp;CHAR(34)&amp;": "&amp;SUBSTITUTE(TRIM(ROUND(IFERROR(CriteriTecnici!$O1780*1,IFERROR(NUMBERVALUE(CriteriTecnici!$O1780,".",","),IFERROR(NUMBERVALUE(CriteriTecnici!$O1780,",","."),0))),4)&amp;""),",",".")&amp;CHAR(125)&amp;IF(TRUE,",",""))</f>
        <v/>
      </c>
    </row>
    <row r="1882">
      <c r="A1882" s="82">
        <f>IF(CriteriTecnici!$A1781="","","    "&amp;CHAR(123)&amp;CHAR(34)&amp;"bidderId"&amp;CHAR(34)&amp;": "&amp;CHAR(34)&amp;SUBSTITUTE(CriteriTecnici!$A1781,CHAR(34),"'")&amp;CHAR(34)&amp;", "&amp;CHAR(34)&amp;"lotId"&amp;CHAR(34)&amp;": "&amp;CHAR(34)&amp;SUBSTITUTE(CriteriTecnici!$C1781,CHAR(34),"'")&amp;CHAR(34)&amp;", "&amp;CHAR(34)&amp;"criterionId"&amp;CHAR(34)&amp;": "&amp;CHAR(34)&amp;SUBSTITUTE(CriteriTecnici!$D1781,CHAR(34),"'")&amp;CHAR(34)&amp;", "&amp;CHAR(34)&amp;"kind"&amp;CHAR(34)&amp;": "&amp;CHAR(34)&amp;SUBSTITUTE(CriteriTecnici!$F1781,CHAR(34),"'")&amp;CHAR(34)&amp;", "&amp;CHAR(34)&amp;"value"&amp;CHAR(34)&amp;": "&amp;SUBSTITUTE(TRIM(ROUND(IFERROR(CriteriTecnici!$N1781*1,IFERROR(NUMBERVALUE(CriteriTecnici!$N1781,".",","),IFERROR(NUMBERVALUE(CriteriTecnici!$N1781,",","."),0))),4)&amp;""),",",".")&amp;", "&amp;CHAR(34)&amp;"numerator"&amp;CHAR(34)&amp;": "&amp;SUBSTITUTE(TRIM(ROUND(IFERROR(CriteriTecnici!$K1781*1,IFERROR(NUMBERVALUE(CriteriTecnici!$K1781,".",","),IFERROR(NUMBERVALUE(CriteriTecnici!$K1781,",","."),0))),4)&amp;""),",",".")&amp;", "&amp;CHAR(34)&amp;"denominator"&amp;CHAR(34)&amp;": "&amp;SUBSTITUTE(TRIM(ROUND(IFERROR(CriteriTecnici!$L1781*1,IFERROR(NUMBERVALUE(CriteriTecnici!$L1781,".",","),IFERROR(NUMBERVALUE(CriteriTecnici!$L1781,",","."),0))),4)&amp;""),",",".")&amp;", "&amp;CHAR(34)&amp;"flag"&amp;CHAR(34)&amp;": "&amp;SUBSTITUTE(TRIM(ROUND(IFERROR(CriteriTecnici!$M1781*1,IFERROR(NUMBERVALUE(CriteriTecnici!$M1781,".",","),IFERROR(NUMBERVALUE(CriteriTecnici!$M1781,",","."),0))),4)&amp;""),",",".")&amp;", "&amp;CHAR(34)&amp;"rawScore"&amp;CHAR(34)&amp;": "&amp;SUBSTITUTE(TRIM(ROUND(IFERROR(CriteriTecnici!$O1781*1,IFERROR(NUMBERVALUE(CriteriTecnici!$O1781,".",","),IFERROR(NUMBERVALUE(CriteriTecnici!$O1781,",","."),0))),4)&amp;""),",",".")&amp;CHAR(125)&amp;IF(TRUE,",",""))</f>
        <v/>
      </c>
    </row>
    <row r="1883">
      <c r="A1883" s="82">
        <f>IF(CriteriTecnici!$A1782="","","    "&amp;CHAR(123)&amp;CHAR(34)&amp;"bidderId"&amp;CHAR(34)&amp;": "&amp;CHAR(34)&amp;SUBSTITUTE(CriteriTecnici!$A1782,CHAR(34),"'")&amp;CHAR(34)&amp;", "&amp;CHAR(34)&amp;"lotId"&amp;CHAR(34)&amp;": "&amp;CHAR(34)&amp;SUBSTITUTE(CriteriTecnici!$C1782,CHAR(34),"'")&amp;CHAR(34)&amp;", "&amp;CHAR(34)&amp;"criterionId"&amp;CHAR(34)&amp;": "&amp;CHAR(34)&amp;SUBSTITUTE(CriteriTecnici!$D1782,CHAR(34),"'")&amp;CHAR(34)&amp;", "&amp;CHAR(34)&amp;"kind"&amp;CHAR(34)&amp;": "&amp;CHAR(34)&amp;SUBSTITUTE(CriteriTecnici!$F1782,CHAR(34),"'")&amp;CHAR(34)&amp;", "&amp;CHAR(34)&amp;"value"&amp;CHAR(34)&amp;": "&amp;SUBSTITUTE(TRIM(ROUND(IFERROR(CriteriTecnici!$N1782*1,IFERROR(NUMBERVALUE(CriteriTecnici!$N1782,".",","),IFERROR(NUMBERVALUE(CriteriTecnici!$N1782,",","."),0))),4)&amp;""),",",".")&amp;", "&amp;CHAR(34)&amp;"numerator"&amp;CHAR(34)&amp;": "&amp;SUBSTITUTE(TRIM(ROUND(IFERROR(CriteriTecnici!$K1782*1,IFERROR(NUMBERVALUE(CriteriTecnici!$K1782,".",","),IFERROR(NUMBERVALUE(CriteriTecnici!$K1782,",","."),0))),4)&amp;""),",",".")&amp;", "&amp;CHAR(34)&amp;"denominator"&amp;CHAR(34)&amp;": "&amp;SUBSTITUTE(TRIM(ROUND(IFERROR(CriteriTecnici!$L1782*1,IFERROR(NUMBERVALUE(CriteriTecnici!$L1782,".",","),IFERROR(NUMBERVALUE(CriteriTecnici!$L1782,",","."),0))),4)&amp;""),",",".")&amp;", "&amp;CHAR(34)&amp;"flag"&amp;CHAR(34)&amp;": "&amp;SUBSTITUTE(TRIM(ROUND(IFERROR(CriteriTecnici!$M1782*1,IFERROR(NUMBERVALUE(CriteriTecnici!$M1782,".",","),IFERROR(NUMBERVALUE(CriteriTecnici!$M1782,",","."),0))),4)&amp;""),",",".")&amp;", "&amp;CHAR(34)&amp;"rawScore"&amp;CHAR(34)&amp;": "&amp;SUBSTITUTE(TRIM(ROUND(IFERROR(CriteriTecnici!$O1782*1,IFERROR(NUMBERVALUE(CriteriTecnici!$O1782,".",","),IFERROR(NUMBERVALUE(CriteriTecnici!$O1782,",","."),0))),4)&amp;""),",",".")&amp;CHAR(125)&amp;IF(TRUE,",",""))</f>
        <v/>
      </c>
    </row>
    <row r="1884">
      <c r="A1884" s="82">
        <f>IF(CriteriTecnici!$A1783="","","    "&amp;CHAR(123)&amp;CHAR(34)&amp;"bidderId"&amp;CHAR(34)&amp;": "&amp;CHAR(34)&amp;SUBSTITUTE(CriteriTecnici!$A1783,CHAR(34),"'")&amp;CHAR(34)&amp;", "&amp;CHAR(34)&amp;"lotId"&amp;CHAR(34)&amp;": "&amp;CHAR(34)&amp;SUBSTITUTE(CriteriTecnici!$C1783,CHAR(34),"'")&amp;CHAR(34)&amp;", "&amp;CHAR(34)&amp;"criterionId"&amp;CHAR(34)&amp;": "&amp;CHAR(34)&amp;SUBSTITUTE(CriteriTecnici!$D1783,CHAR(34),"'")&amp;CHAR(34)&amp;", "&amp;CHAR(34)&amp;"kind"&amp;CHAR(34)&amp;": "&amp;CHAR(34)&amp;SUBSTITUTE(CriteriTecnici!$F1783,CHAR(34),"'")&amp;CHAR(34)&amp;", "&amp;CHAR(34)&amp;"value"&amp;CHAR(34)&amp;": "&amp;SUBSTITUTE(TRIM(ROUND(IFERROR(CriteriTecnici!$N1783*1,IFERROR(NUMBERVALUE(CriteriTecnici!$N1783,".",","),IFERROR(NUMBERVALUE(CriteriTecnici!$N1783,",","."),0))),4)&amp;""),",",".")&amp;", "&amp;CHAR(34)&amp;"numerator"&amp;CHAR(34)&amp;": "&amp;SUBSTITUTE(TRIM(ROUND(IFERROR(CriteriTecnici!$K1783*1,IFERROR(NUMBERVALUE(CriteriTecnici!$K1783,".",","),IFERROR(NUMBERVALUE(CriteriTecnici!$K1783,",","."),0))),4)&amp;""),",",".")&amp;", "&amp;CHAR(34)&amp;"denominator"&amp;CHAR(34)&amp;": "&amp;SUBSTITUTE(TRIM(ROUND(IFERROR(CriteriTecnici!$L1783*1,IFERROR(NUMBERVALUE(CriteriTecnici!$L1783,".",","),IFERROR(NUMBERVALUE(CriteriTecnici!$L1783,",","."),0))),4)&amp;""),",",".")&amp;", "&amp;CHAR(34)&amp;"flag"&amp;CHAR(34)&amp;": "&amp;SUBSTITUTE(TRIM(ROUND(IFERROR(CriteriTecnici!$M1783*1,IFERROR(NUMBERVALUE(CriteriTecnici!$M1783,".",","),IFERROR(NUMBERVALUE(CriteriTecnici!$M1783,",","."),0))),4)&amp;""),",",".")&amp;", "&amp;CHAR(34)&amp;"rawScore"&amp;CHAR(34)&amp;": "&amp;SUBSTITUTE(TRIM(ROUND(IFERROR(CriteriTecnici!$O1783*1,IFERROR(NUMBERVALUE(CriteriTecnici!$O1783,".",","),IFERROR(NUMBERVALUE(CriteriTecnici!$O1783,",","."),0))),4)&amp;""),",",".")&amp;CHAR(125)&amp;IF(TRUE,",",""))</f>
        <v/>
      </c>
    </row>
    <row r="1885">
      <c r="A1885" s="82">
        <f>IF(CriteriTecnici!$A1784="","","    "&amp;CHAR(123)&amp;CHAR(34)&amp;"bidderId"&amp;CHAR(34)&amp;": "&amp;CHAR(34)&amp;SUBSTITUTE(CriteriTecnici!$A1784,CHAR(34),"'")&amp;CHAR(34)&amp;", "&amp;CHAR(34)&amp;"lotId"&amp;CHAR(34)&amp;": "&amp;CHAR(34)&amp;SUBSTITUTE(CriteriTecnici!$C1784,CHAR(34),"'")&amp;CHAR(34)&amp;", "&amp;CHAR(34)&amp;"criterionId"&amp;CHAR(34)&amp;": "&amp;CHAR(34)&amp;SUBSTITUTE(CriteriTecnici!$D1784,CHAR(34),"'")&amp;CHAR(34)&amp;", "&amp;CHAR(34)&amp;"kind"&amp;CHAR(34)&amp;": "&amp;CHAR(34)&amp;SUBSTITUTE(CriteriTecnici!$F1784,CHAR(34),"'")&amp;CHAR(34)&amp;", "&amp;CHAR(34)&amp;"value"&amp;CHAR(34)&amp;": "&amp;SUBSTITUTE(TRIM(ROUND(IFERROR(CriteriTecnici!$N1784*1,IFERROR(NUMBERVALUE(CriteriTecnici!$N1784,".",","),IFERROR(NUMBERVALUE(CriteriTecnici!$N1784,",","."),0))),4)&amp;""),",",".")&amp;", "&amp;CHAR(34)&amp;"numerator"&amp;CHAR(34)&amp;": "&amp;SUBSTITUTE(TRIM(ROUND(IFERROR(CriteriTecnici!$K1784*1,IFERROR(NUMBERVALUE(CriteriTecnici!$K1784,".",","),IFERROR(NUMBERVALUE(CriteriTecnici!$K1784,",","."),0))),4)&amp;""),",",".")&amp;", "&amp;CHAR(34)&amp;"denominator"&amp;CHAR(34)&amp;": "&amp;SUBSTITUTE(TRIM(ROUND(IFERROR(CriteriTecnici!$L1784*1,IFERROR(NUMBERVALUE(CriteriTecnici!$L1784,".",","),IFERROR(NUMBERVALUE(CriteriTecnici!$L1784,",","."),0))),4)&amp;""),",",".")&amp;", "&amp;CHAR(34)&amp;"flag"&amp;CHAR(34)&amp;": "&amp;SUBSTITUTE(TRIM(ROUND(IFERROR(CriteriTecnici!$M1784*1,IFERROR(NUMBERVALUE(CriteriTecnici!$M1784,".",","),IFERROR(NUMBERVALUE(CriteriTecnici!$M1784,",","."),0))),4)&amp;""),",",".")&amp;", "&amp;CHAR(34)&amp;"rawScore"&amp;CHAR(34)&amp;": "&amp;SUBSTITUTE(TRIM(ROUND(IFERROR(CriteriTecnici!$O1784*1,IFERROR(NUMBERVALUE(CriteriTecnici!$O1784,".",","),IFERROR(NUMBERVALUE(CriteriTecnici!$O1784,",","."),0))),4)&amp;""),",",".")&amp;CHAR(125)&amp;IF(TRUE,",",""))</f>
        <v/>
      </c>
    </row>
    <row r="1886">
      <c r="A1886" s="82">
        <f>IF(CriteriTecnici!$A1785="","","    "&amp;CHAR(123)&amp;CHAR(34)&amp;"bidderId"&amp;CHAR(34)&amp;": "&amp;CHAR(34)&amp;SUBSTITUTE(CriteriTecnici!$A1785,CHAR(34),"'")&amp;CHAR(34)&amp;", "&amp;CHAR(34)&amp;"lotId"&amp;CHAR(34)&amp;": "&amp;CHAR(34)&amp;SUBSTITUTE(CriteriTecnici!$C1785,CHAR(34),"'")&amp;CHAR(34)&amp;", "&amp;CHAR(34)&amp;"criterionId"&amp;CHAR(34)&amp;": "&amp;CHAR(34)&amp;SUBSTITUTE(CriteriTecnici!$D1785,CHAR(34),"'")&amp;CHAR(34)&amp;", "&amp;CHAR(34)&amp;"kind"&amp;CHAR(34)&amp;": "&amp;CHAR(34)&amp;SUBSTITUTE(CriteriTecnici!$F1785,CHAR(34),"'")&amp;CHAR(34)&amp;", "&amp;CHAR(34)&amp;"value"&amp;CHAR(34)&amp;": "&amp;SUBSTITUTE(TRIM(ROUND(IFERROR(CriteriTecnici!$N1785*1,IFERROR(NUMBERVALUE(CriteriTecnici!$N1785,".",","),IFERROR(NUMBERVALUE(CriteriTecnici!$N1785,",","."),0))),4)&amp;""),",",".")&amp;", "&amp;CHAR(34)&amp;"numerator"&amp;CHAR(34)&amp;": "&amp;SUBSTITUTE(TRIM(ROUND(IFERROR(CriteriTecnici!$K1785*1,IFERROR(NUMBERVALUE(CriteriTecnici!$K1785,".",","),IFERROR(NUMBERVALUE(CriteriTecnici!$K1785,",","."),0))),4)&amp;""),",",".")&amp;", "&amp;CHAR(34)&amp;"denominator"&amp;CHAR(34)&amp;": "&amp;SUBSTITUTE(TRIM(ROUND(IFERROR(CriteriTecnici!$L1785*1,IFERROR(NUMBERVALUE(CriteriTecnici!$L1785,".",","),IFERROR(NUMBERVALUE(CriteriTecnici!$L1785,",","."),0))),4)&amp;""),",",".")&amp;", "&amp;CHAR(34)&amp;"flag"&amp;CHAR(34)&amp;": "&amp;SUBSTITUTE(TRIM(ROUND(IFERROR(CriteriTecnici!$M1785*1,IFERROR(NUMBERVALUE(CriteriTecnici!$M1785,".",","),IFERROR(NUMBERVALUE(CriteriTecnici!$M1785,",","."),0))),4)&amp;""),",",".")&amp;", "&amp;CHAR(34)&amp;"rawScore"&amp;CHAR(34)&amp;": "&amp;SUBSTITUTE(TRIM(ROUND(IFERROR(CriteriTecnici!$O1785*1,IFERROR(NUMBERVALUE(CriteriTecnici!$O1785,".",","),IFERROR(NUMBERVALUE(CriteriTecnici!$O1785,",","."),0))),4)&amp;""),",",".")&amp;CHAR(125)&amp;IF(TRUE,",",""))</f>
        <v/>
      </c>
    </row>
    <row r="1887">
      <c r="A1887" s="82">
        <f>IF(CriteriTecnici!$A1786="","","    "&amp;CHAR(123)&amp;CHAR(34)&amp;"bidderId"&amp;CHAR(34)&amp;": "&amp;CHAR(34)&amp;SUBSTITUTE(CriteriTecnici!$A1786,CHAR(34),"'")&amp;CHAR(34)&amp;", "&amp;CHAR(34)&amp;"lotId"&amp;CHAR(34)&amp;": "&amp;CHAR(34)&amp;SUBSTITUTE(CriteriTecnici!$C1786,CHAR(34),"'")&amp;CHAR(34)&amp;", "&amp;CHAR(34)&amp;"criterionId"&amp;CHAR(34)&amp;": "&amp;CHAR(34)&amp;SUBSTITUTE(CriteriTecnici!$D1786,CHAR(34),"'")&amp;CHAR(34)&amp;", "&amp;CHAR(34)&amp;"kind"&amp;CHAR(34)&amp;": "&amp;CHAR(34)&amp;SUBSTITUTE(CriteriTecnici!$F1786,CHAR(34),"'")&amp;CHAR(34)&amp;", "&amp;CHAR(34)&amp;"value"&amp;CHAR(34)&amp;": "&amp;SUBSTITUTE(TRIM(ROUND(IFERROR(CriteriTecnici!$N1786*1,IFERROR(NUMBERVALUE(CriteriTecnici!$N1786,".",","),IFERROR(NUMBERVALUE(CriteriTecnici!$N1786,",","."),0))),4)&amp;""),",",".")&amp;", "&amp;CHAR(34)&amp;"numerator"&amp;CHAR(34)&amp;": "&amp;SUBSTITUTE(TRIM(ROUND(IFERROR(CriteriTecnici!$K1786*1,IFERROR(NUMBERVALUE(CriteriTecnici!$K1786,".",","),IFERROR(NUMBERVALUE(CriteriTecnici!$K1786,",","."),0))),4)&amp;""),",",".")&amp;", "&amp;CHAR(34)&amp;"denominator"&amp;CHAR(34)&amp;": "&amp;SUBSTITUTE(TRIM(ROUND(IFERROR(CriteriTecnici!$L1786*1,IFERROR(NUMBERVALUE(CriteriTecnici!$L1786,".",","),IFERROR(NUMBERVALUE(CriteriTecnici!$L1786,",","."),0))),4)&amp;""),",",".")&amp;", "&amp;CHAR(34)&amp;"flag"&amp;CHAR(34)&amp;": "&amp;SUBSTITUTE(TRIM(ROUND(IFERROR(CriteriTecnici!$M1786*1,IFERROR(NUMBERVALUE(CriteriTecnici!$M1786,".",","),IFERROR(NUMBERVALUE(CriteriTecnici!$M1786,",","."),0))),4)&amp;""),",",".")&amp;", "&amp;CHAR(34)&amp;"rawScore"&amp;CHAR(34)&amp;": "&amp;SUBSTITUTE(TRIM(ROUND(IFERROR(CriteriTecnici!$O1786*1,IFERROR(NUMBERVALUE(CriteriTecnici!$O1786,".",","),IFERROR(NUMBERVALUE(CriteriTecnici!$O1786,",","."),0))),4)&amp;""),",",".")&amp;CHAR(125)&amp;IF(TRUE,",",""))</f>
        <v/>
      </c>
    </row>
    <row r="1888">
      <c r="A1888" s="82">
        <f>IF(CriteriTecnici!$A1787="","","    "&amp;CHAR(123)&amp;CHAR(34)&amp;"bidderId"&amp;CHAR(34)&amp;": "&amp;CHAR(34)&amp;SUBSTITUTE(CriteriTecnici!$A1787,CHAR(34),"'")&amp;CHAR(34)&amp;", "&amp;CHAR(34)&amp;"lotId"&amp;CHAR(34)&amp;": "&amp;CHAR(34)&amp;SUBSTITUTE(CriteriTecnici!$C1787,CHAR(34),"'")&amp;CHAR(34)&amp;", "&amp;CHAR(34)&amp;"criterionId"&amp;CHAR(34)&amp;": "&amp;CHAR(34)&amp;SUBSTITUTE(CriteriTecnici!$D1787,CHAR(34),"'")&amp;CHAR(34)&amp;", "&amp;CHAR(34)&amp;"kind"&amp;CHAR(34)&amp;": "&amp;CHAR(34)&amp;SUBSTITUTE(CriteriTecnici!$F1787,CHAR(34),"'")&amp;CHAR(34)&amp;", "&amp;CHAR(34)&amp;"value"&amp;CHAR(34)&amp;": "&amp;SUBSTITUTE(TRIM(ROUND(IFERROR(CriteriTecnici!$N1787*1,IFERROR(NUMBERVALUE(CriteriTecnici!$N1787,".",","),IFERROR(NUMBERVALUE(CriteriTecnici!$N1787,",","."),0))),4)&amp;""),",",".")&amp;", "&amp;CHAR(34)&amp;"numerator"&amp;CHAR(34)&amp;": "&amp;SUBSTITUTE(TRIM(ROUND(IFERROR(CriteriTecnici!$K1787*1,IFERROR(NUMBERVALUE(CriteriTecnici!$K1787,".",","),IFERROR(NUMBERVALUE(CriteriTecnici!$K1787,",","."),0))),4)&amp;""),",",".")&amp;", "&amp;CHAR(34)&amp;"denominator"&amp;CHAR(34)&amp;": "&amp;SUBSTITUTE(TRIM(ROUND(IFERROR(CriteriTecnici!$L1787*1,IFERROR(NUMBERVALUE(CriteriTecnici!$L1787,".",","),IFERROR(NUMBERVALUE(CriteriTecnici!$L1787,",","."),0))),4)&amp;""),",",".")&amp;", "&amp;CHAR(34)&amp;"flag"&amp;CHAR(34)&amp;": "&amp;SUBSTITUTE(TRIM(ROUND(IFERROR(CriteriTecnici!$M1787*1,IFERROR(NUMBERVALUE(CriteriTecnici!$M1787,".",","),IFERROR(NUMBERVALUE(CriteriTecnici!$M1787,",","."),0))),4)&amp;""),",",".")&amp;", "&amp;CHAR(34)&amp;"rawScore"&amp;CHAR(34)&amp;": "&amp;SUBSTITUTE(TRIM(ROUND(IFERROR(CriteriTecnici!$O1787*1,IFERROR(NUMBERVALUE(CriteriTecnici!$O1787,".",","),IFERROR(NUMBERVALUE(CriteriTecnici!$O1787,",","."),0))),4)&amp;""),",",".")&amp;CHAR(125)&amp;IF(TRUE,",",""))</f>
        <v/>
      </c>
    </row>
    <row r="1889">
      <c r="A1889" s="82">
        <f>IF(CriteriTecnici!$A1788="","","    "&amp;CHAR(123)&amp;CHAR(34)&amp;"bidderId"&amp;CHAR(34)&amp;": "&amp;CHAR(34)&amp;SUBSTITUTE(CriteriTecnici!$A1788,CHAR(34),"'")&amp;CHAR(34)&amp;", "&amp;CHAR(34)&amp;"lotId"&amp;CHAR(34)&amp;": "&amp;CHAR(34)&amp;SUBSTITUTE(CriteriTecnici!$C1788,CHAR(34),"'")&amp;CHAR(34)&amp;", "&amp;CHAR(34)&amp;"criterionId"&amp;CHAR(34)&amp;": "&amp;CHAR(34)&amp;SUBSTITUTE(CriteriTecnici!$D1788,CHAR(34),"'")&amp;CHAR(34)&amp;", "&amp;CHAR(34)&amp;"kind"&amp;CHAR(34)&amp;": "&amp;CHAR(34)&amp;SUBSTITUTE(CriteriTecnici!$F1788,CHAR(34),"'")&amp;CHAR(34)&amp;", "&amp;CHAR(34)&amp;"value"&amp;CHAR(34)&amp;": "&amp;SUBSTITUTE(TRIM(ROUND(IFERROR(CriteriTecnici!$N1788*1,IFERROR(NUMBERVALUE(CriteriTecnici!$N1788,".",","),IFERROR(NUMBERVALUE(CriteriTecnici!$N1788,",","."),0))),4)&amp;""),",",".")&amp;", "&amp;CHAR(34)&amp;"numerator"&amp;CHAR(34)&amp;": "&amp;SUBSTITUTE(TRIM(ROUND(IFERROR(CriteriTecnici!$K1788*1,IFERROR(NUMBERVALUE(CriteriTecnici!$K1788,".",","),IFERROR(NUMBERVALUE(CriteriTecnici!$K1788,",","."),0))),4)&amp;""),",",".")&amp;", "&amp;CHAR(34)&amp;"denominator"&amp;CHAR(34)&amp;": "&amp;SUBSTITUTE(TRIM(ROUND(IFERROR(CriteriTecnici!$L1788*1,IFERROR(NUMBERVALUE(CriteriTecnici!$L1788,".",","),IFERROR(NUMBERVALUE(CriteriTecnici!$L1788,",","."),0))),4)&amp;""),",",".")&amp;", "&amp;CHAR(34)&amp;"flag"&amp;CHAR(34)&amp;": "&amp;SUBSTITUTE(TRIM(ROUND(IFERROR(CriteriTecnici!$M1788*1,IFERROR(NUMBERVALUE(CriteriTecnici!$M1788,".",","),IFERROR(NUMBERVALUE(CriteriTecnici!$M1788,",","."),0))),4)&amp;""),",",".")&amp;", "&amp;CHAR(34)&amp;"rawScore"&amp;CHAR(34)&amp;": "&amp;SUBSTITUTE(TRIM(ROUND(IFERROR(CriteriTecnici!$O1788*1,IFERROR(NUMBERVALUE(CriteriTecnici!$O1788,".",","),IFERROR(NUMBERVALUE(CriteriTecnici!$O1788,",","."),0))),4)&amp;""),",",".")&amp;CHAR(125)&amp;IF(TRUE,",",""))</f>
        <v/>
      </c>
    </row>
    <row r="1890">
      <c r="A1890" s="82">
        <f>IF(CriteriTecnici!$A1789="","","    "&amp;CHAR(123)&amp;CHAR(34)&amp;"bidderId"&amp;CHAR(34)&amp;": "&amp;CHAR(34)&amp;SUBSTITUTE(CriteriTecnici!$A1789,CHAR(34),"'")&amp;CHAR(34)&amp;", "&amp;CHAR(34)&amp;"lotId"&amp;CHAR(34)&amp;": "&amp;CHAR(34)&amp;SUBSTITUTE(CriteriTecnici!$C1789,CHAR(34),"'")&amp;CHAR(34)&amp;", "&amp;CHAR(34)&amp;"criterionId"&amp;CHAR(34)&amp;": "&amp;CHAR(34)&amp;SUBSTITUTE(CriteriTecnici!$D1789,CHAR(34),"'")&amp;CHAR(34)&amp;", "&amp;CHAR(34)&amp;"kind"&amp;CHAR(34)&amp;": "&amp;CHAR(34)&amp;SUBSTITUTE(CriteriTecnici!$F1789,CHAR(34),"'")&amp;CHAR(34)&amp;", "&amp;CHAR(34)&amp;"value"&amp;CHAR(34)&amp;": "&amp;SUBSTITUTE(TRIM(ROUND(IFERROR(CriteriTecnici!$N1789*1,IFERROR(NUMBERVALUE(CriteriTecnici!$N1789,".",","),IFERROR(NUMBERVALUE(CriteriTecnici!$N1789,",","."),0))),4)&amp;""),",",".")&amp;", "&amp;CHAR(34)&amp;"numerator"&amp;CHAR(34)&amp;": "&amp;SUBSTITUTE(TRIM(ROUND(IFERROR(CriteriTecnici!$K1789*1,IFERROR(NUMBERVALUE(CriteriTecnici!$K1789,".",","),IFERROR(NUMBERVALUE(CriteriTecnici!$K1789,",","."),0))),4)&amp;""),",",".")&amp;", "&amp;CHAR(34)&amp;"denominator"&amp;CHAR(34)&amp;": "&amp;SUBSTITUTE(TRIM(ROUND(IFERROR(CriteriTecnici!$L1789*1,IFERROR(NUMBERVALUE(CriteriTecnici!$L1789,".",","),IFERROR(NUMBERVALUE(CriteriTecnici!$L1789,",","."),0))),4)&amp;""),",",".")&amp;", "&amp;CHAR(34)&amp;"flag"&amp;CHAR(34)&amp;": "&amp;SUBSTITUTE(TRIM(ROUND(IFERROR(CriteriTecnici!$M1789*1,IFERROR(NUMBERVALUE(CriteriTecnici!$M1789,".",","),IFERROR(NUMBERVALUE(CriteriTecnici!$M1789,",","."),0))),4)&amp;""),",",".")&amp;", "&amp;CHAR(34)&amp;"rawScore"&amp;CHAR(34)&amp;": "&amp;SUBSTITUTE(TRIM(ROUND(IFERROR(CriteriTecnici!$O1789*1,IFERROR(NUMBERVALUE(CriteriTecnici!$O1789,".",","),IFERROR(NUMBERVALUE(CriteriTecnici!$O1789,",","."),0))),4)&amp;""),",",".")&amp;CHAR(125)&amp;IF(TRUE,",",""))</f>
        <v/>
      </c>
    </row>
    <row r="1891">
      <c r="A1891" s="82">
        <f>IF(CriteriTecnici!$A1790="","","    "&amp;CHAR(123)&amp;CHAR(34)&amp;"bidderId"&amp;CHAR(34)&amp;": "&amp;CHAR(34)&amp;SUBSTITUTE(CriteriTecnici!$A1790,CHAR(34),"'")&amp;CHAR(34)&amp;", "&amp;CHAR(34)&amp;"lotId"&amp;CHAR(34)&amp;": "&amp;CHAR(34)&amp;SUBSTITUTE(CriteriTecnici!$C1790,CHAR(34),"'")&amp;CHAR(34)&amp;", "&amp;CHAR(34)&amp;"criterionId"&amp;CHAR(34)&amp;": "&amp;CHAR(34)&amp;SUBSTITUTE(CriteriTecnici!$D1790,CHAR(34),"'")&amp;CHAR(34)&amp;", "&amp;CHAR(34)&amp;"kind"&amp;CHAR(34)&amp;": "&amp;CHAR(34)&amp;SUBSTITUTE(CriteriTecnici!$F1790,CHAR(34),"'")&amp;CHAR(34)&amp;", "&amp;CHAR(34)&amp;"value"&amp;CHAR(34)&amp;": "&amp;SUBSTITUTE(TRIM(ROUND(IFERROR(CriteriTecnici!$N1790*1,IFERROR(NUMBERVALUE(CriteriTecnici!$N1790,".",","),IFERROR(NUMBERVALUE(CriteriTecnici!$N1790,",","."),0))),4)&amp;""),",",".")&amp;", "&amp;CHAR(34)&amp;"numerator"&amp;CHAR(34)&amp;": "&amp;SUBSTITUTE(TRIM(ROUND(IFERROR(CriteriTecnici!$K1790*1,IFERROR(NUMBERVALUE(CriteriTecnici!$K1790,".",","),IFERROR(NUMBERVALUE(CriteriTecnici!$K1790,",","."),0))),4)&amp;""),",",".")&amp;", "&amp;CHAR(34)&amp;"denominator"&amp;CHAR(34)&amp;": "&amp;SUBSTITUTE(TRIM(ROUND(IFERROR(CriteriTecnici!$L1790*1,IFERROR(NUMBERVALUE(CriteriTecnici!$L1790,".",","),IFERROR(NUMBERVALUE(CriteriTecnici!$L1790,",","."),0))),4)&amp;""),",",".")&amp;", "&amp;CHAR(34)&amp;"flag"&amp;CHAR(34)&amp;": "&amp;SUBSTITUTE(TRIM(ROUND(IFERROR(CriteriTecnici!$M1790*1,IFERROR(NUMBERVALUE(CriteriTecnici!$M1790,".",","),IFERROR(NUMBERVALUE(CriteriTecnici!$M1790,",","."),0))),4)&amp;""),",",".")&amp;", "&amp;CHAR(34)&amp;"rawScore"&amp;CHAR(34)&amp;": "&amp;SUBSTITUTE(TRIM(ROUND(IFERROR(CriteriTecnici!$O1790*1,IFERROR(NUMBERVALUE(CriteriTecnici!$O1790,".",","),IFERROR(NUMBERVALUE(CriteriTecnici!$O1790,",","."),0))),4)&amp;""),",",".")&amp;CHAR(125)&amp;IF(TRUE,",",""))</f>
        <v/>
      </c>
    </row>
    <row r="1892">
      <c r="A1892" s="82">
        <f>IF(CriteriTecnici!$A1791="","","    "&amp;CHAR(123)&amp;CHAR(34)&amp;"bidderId"&amp;CHAR(34)&amp;": "&amp;CHAR(34)&amp;SUBSTITUTE(CriteriTecnici!$A1791,CHAR(34),"'")&amp;CHAR(34)&amp;", "&amp;CHAR(34)&amp;"lotId"&amp;CHAR(34)&amp;": "&amp;CHAR(34)&amp;SUBSTITUTE(CriteriTecnici!$C1791,CHAR(34),"'")&amp;CHAR(34)&amp;", "&amp;CHAR(34)&amp;"criterionId"&amp;CHAR(34)&amp;": "&amp;CHAR(34)&amp;SUBSTITUTE(CriteriTecnici!$D1791,CHAR(34),"'")&amp;CHAR(34)&amp;", "&amp;CHAR(34)&amp;"kind"&amp;CHAR(34)&amp;": "&amp;CHAR(34)&amp;SUBSTITUTE(CriteriTecnici!$F1791,CHAR(34),"'")&amp;CHAR(34)&amp;", "&amp;CHAR(34)&amp;"value"&amp;CHAR(34)&amp;": "&amp;SUBSTITUTE(TRIM(ROUND(IFERROR(CriteriTecnici!$N1791*1,IFERROR(NUMBERVALUE(CriteriTecnici!$N1791,".",","),IFERROR(NUMBERVALUE(CriteriTecnici!$N1791,",","."),0))),4)&amp;""),",",".")&amp;", "&amp;CHAR(34)&amp;"numerator"&amp;CHAR(34)&amp;": "&amp;SUBSTITUTE(TRIM(ROUND(IFERROR(CriteriTecnici!$K1791*1,IFERROR(NUMBERVALUE(CriteriTecnici!$K1791,".",","),IFERROR(NUMBERVALUE(CriteriTecnici!$K1791,",","."),0))),4)&amp;""),",",".")&amp;", "&amp;CHAR(34)&amp;"denominator"&amp;CHAR(34)&amp;": "&amp;SUBSTITUTE(TRIM(ROUND(IFERROR(CriteriTecnici!$L1791*1,IFERROR(NUMBERVALUE(CriteriTecnici!$L1791,".",","),IFERROR(NUMBERVALUE(CriteriTecnici!$L1791,",","."),0))),4)&amp;""),",",".")&amp;", "&amp;CHAR(34)&amp;"flag"&amp;CHAR(34)&amp;": "&amp;SUBSTITUTE(TRIM(ROUND(IFERROR(CriteriTecnici!$M1791*1,IFERROR(NUMBERVALUE(CriteriTecnici!$M1791,".",","),IFERROR(NUMBERVALUE(CriteriTecnici!$M1791,",","."),0))),4)&amp;""),",",".")&amp;", "&amp;CHAR(34)&amp;"rawScore"&amp;CHAR(34)&amp;": "&amp;SUBSTITUTE(TRIM(ROUND(IFERROR(CriteriTecnici!$O1791*1,IFERROR(NUMBERVALUE(CriteriTecnici!$O1791,".",","),IFERROR(NUMBERVALUE(CriteriTecnici!$O1791,",","."),0))),4)&amp;""),",",".")&amp;CHAR(125)&amp;IF(TRUE,",",""))</f>
        <v/>
      </c>
    </row>
    <row r="1893">
      <c r="A1893" s="82">
        <f>IF(CriteriTecnici!$A1792="","","    "&amp;CHAR(123)&amp;CHAR(34)&amp;"bidderId"&amp;CHAR(34)&amp;": "&amp;CHAR(34)&amp;SUBSTITUTE(CriteriTecnici!$A1792,CHAR(34),"'")&amp;CHAR(34)&amp;", "&amp;CHAR(34)&amp;"lotId"&amp;CHAR(34)&amp;": "&amp;CHAR(34)&amp;SUBSTITUTE(CriteriTecnici!$C1792,CHAR(34),"'")&amp;CHAR(34)&amp;", "&amp;CHAR(34)&amp;"criterionId"&amp;CHAR(34)&amp;": "&amp;CHAR(34)&amp;SUBSTITUTE(CriteriTecnici!$D1792,CHAR(34),"'")&amp;CHAR(34)&amp;", "&amp;CHAR(34)&amp;"kind"&amp;CHAR(34)&amp;": "&amp;CHAR(34)&amp;SUBSTITUTE(CriteriTecnici!$F1792,CHAR(34),"'")&amp;CHAR(34)&amp;", "&amp;CHAR(34)&amp;"value"&amp;CHAR(34)&amp;": "&amp;SUBSTITUTE(TRIM(ROUND(IFERROR(CriteriTecnici!$N1792*1,IFERROR(NUMBERVALUE(CriteriTecnici!$N1792,".",","),IFERROR(NUMBERVALUE(CriteriTecnici!$N1792,",","."),0))),4)&amp;""),",",".")&amp;", "&amp;CHAR(34)&amp;"numerator"&amp;CHAR(34)&amp;": "&amp;SUBSTITUTE(TRIM(ROUND(IFERROR(CriteriTecnici!$K1792*1,IFERROR(NUMBERVALUE(CriteriTecnici!$K1792,".",","),IFERROR(NUMBERVALUE(CriteriTecnici!$K1792,",","."),0))),4)&amp;""),",",".")&amp;", "&amp;CHAR(34)&amp;"denominator"&amp;CHAR(34)&amp;": "&amp;SUBSTITUTE(TRIM(ROUND(IFERROR(CriteriTecnici!$L1792*1,IFERROR(NUMBERVALUE(CriteriTecnici!$L1792,".",","),IFERROR(NUMBERVALUE(CriteriTecnici!$L1792,",","."),0))),4)&amp;""),",",".")&amp;", "&amp;CHAR(34)&amp;"flag"&amp;CHAR(34)&amp;": "&amp;SUBSTITUTE(TRIM(ROUND(IFERROR(CriteriTecnici!$M1792*1,IFERROR(NUMBERVALUE(CriteriTecnici!$M1792,".",","),IFERROR(NUMBERVALUE(CriteriTecnici!$M1792,",","."),0))),4)&amp;""),",",".")&amp;", "&amp;CHAR(34)&amp;"rawScore"&amp;CHAR(34)&amp;": "&amp;SUBSTITUTE(TRIM(ROUND(IFERROR(CriteriTecnici!$O1792*1,IFERROR(NUMBERVALUE(CriteriTecnici!$O1792,".",","),IFERROR(NUMBERVALUE(CriteriTecnici!$O1792,",","."),0))),4)&amp;""),",",".")&amp;CHAR(125)&amp;IF(TRUE,",",""))</f>
        <v/>
      </c>
    </row>
    <row r="1894">
      <c r="A1894" s="82">
        <f>IF(CriteriTecnici!$A1793="","","    "&amp;CHAR(123)&amp;CHAR(34)&amp;"bidderId"&amp;CHAR(34)&amp;": "&amp;CHAR(34)&amp;SUBSTITUTE(CriteriTecnici!$A1793,CHAR(34),"'")&amp;CHAR(34)&amp;", "&amp;CHAR(34)&amp;"lotId"&amp;CHAR(34)&amp;": "&amp;CHAR(34)&amp;SUBSTITUTE(CriteriTecnici!$C1793,CHAR(34),"'")&amp;CHAR(34)&amp;", "&amp;CHAR(34)&amp;"criterionId"&amp;CHAR(34)&amp;": "&amp;CHAR(34)&amp;SUBSTITUTE(CriteriTecnici!$D1793,CHAR(34),"'")&amp;CHAR(34)&amp;", "&amp;CHAR(34)&amp;"kind"&amp;CHAR(34)&amp;": "&amp;CHAR(34)&amp;SUBSTITUTE(CriteriTecnici!$F1793,CHAR(34),"'")&amp;CHAR(34)&amp;", "&amp;CHAR(34)&amp;"value"&amp;CHAR(34)&amp;": "&amp;SUBSTITUTE(TRIM(ROUND(IFERROR(CriteriTecnici!$N1793*1,IFERROR(NUMBERVALUE(CriteriTecnici!$N1793,".",","),IFERROR(NUMBERVALUE(CriteriTecnici!$N1793,",","."),0))),4)&amp;""),",",".")&amp;", "&amp;CHAR(34)&amp;"numerator"&amp;CHAR(34)&amp;": "&amp;SUBSTITUTE(TRIM(ROUND(IFERROR(CriteriTecnici!$K1793*1,IFERROR(NUMBERVALUE(CriteriTecnici!$K1793,".",","),IFERROR(NUMBERVALUE(CriteriTecnici!$K1793,",","."),0))),4)&amp;""),",",".")&amp;", "&amp;CHAR(34)&amp;"denominator"&amp;CHAR(34)&amp;": "&amp;SUBSTITUTE(TRIM(ROUND(IFERROR(CriteriTecnici!$L1793*1,IFERROR(NUMBERVALUE(CriteriTecnici!$L1793,".",","),IFERROR(NUMBERVALUE(CriteriTecnici!$L1793,",","."),0))),4)&amp;""),",",".")&amp;", "&amp;CHAR(34)&amp;"flag"&amp;CHAR(34)&amp;": "&amp;SUBSTITUTE(TRIM(ROUND(IFERROR(CriteriTecnici!$M1793*1,IFERROR(NUMBERVALUE(CriteriTecnici!$M1793,".",","),IFERROR(NUMBERVALUE(CriteriTecnici!$M1793,",","."),0))),4)&amp;""),",",".")&amp;", "&amp;CHAR(34)&amp;"rawScore"&amp;CHAR(34)&amp;": "&amp;SUBSTITUTE(TRIM(ROUND(IFERROR(CriteriTecnici!$O1793*1,IFERROR(NUMBERVALUE(CriteriTecnici!$O1793,".",","),IFERROR(NUMBERVALUE(CriteriTecnici!$O1793,",","."),0))),4)&amp;""),",",".")&amp;CHAR(125)&amp;IF(TRUE,",",""))</f>
        <v/>
      </c>
    </row>
    <row r="1895">
      <c r="A1895" s="82">
        <f>IF(CriteriTecnici!$A1794="","","    "&amp;CHAR(123)&amp;CHAR(34)&amp;"bidderId"&amp;CHAR(34)&amp;": "&amp;CHAR(34)&amp;SUBSTITUTE(CriteriTecnici!$A1794,CHAR(34),"'")&amp;CHAR(34)&amp;", "&amp;CHAR(34)&amp;"lotId"&amp;CHAR(34)&amp;": "&amp;CHAR(34)&amp;SUBSTITUTE(CriteriTecnici!$C1794,CHAR(34),"'")&amp;CHAR(34)&amp;", "&amp;CHAR(34)&amp;"criterionId"&amp;CHAR(34)&amp;": "&amp;CHAR(34)&amp;SUBSTITUTE(CriteriTecnici!$D1794,CHAR(34),"'")&amp;CHAR(34)&amp;", "&amp;CHAR(34)&amp;"kind"&amp;CHAR(34)&amp;": "&amp;CHAR(34)&amp;SUBSTITUTE(CriteriTecnici!$F1794,CHAR(34),"'")&amp;CHAR(34)&amp;", "&amp;CHAR(34)&amp;"value"&amp;CHAR(34)&amp;": "&amp;SUBSTITUTE(TRIM(ROUND(IFERROR(CriteriTecnici!$N1794*1,IFERROR(NUMBERVALUE(CriteriTecnici!$N1794,".",","),IFERROR(NUMBERVALUE(CriteriTecnici!$N1794,",","."),0))),4)&amp;""),",",".")&amp;", "&amp;CHAR(34)&amp;"numerator"&amp;CHAR(34)&amp;": "&amp;SUBSTITUTE(TRIM(ROUND(IFERROR(CriteriTecnici!$K1794*1,IFERROR(NUMBERVALUE(CriteriTecnici!$K1794,".",","),IFERROR(NUMBERVALUE(CriteriTecnici!$K1794,",","."),0))),4)&amp;""),",",".")&amp;", "&amp;CHAR(34)&amp;"denominator"&amp;CHAR(34)&amp;": "&amp;SUBSTITUTE(TRIM(ROUND(IFERROR(CriteriTecnici!$L1794*1,IFERROR(NUMBERVALUE(CriteriTecnici!$L1794,".",","),IFERROR(NUMBERVALUE(CriteriTecnici!$L1794,",","."),0))),4)&amp;""),",",".")&amp;", "&amp;CHAR(34)&amp;"flag"&amp;CHAR(34)&amp;": "&amp;SUBSTITUTE(TRIM(ROUND(IFERROR(CriteriTecnici!$M1794*1,IFERROR(NUMBERVALUE(CriteriTecnici!$M1794,".",","),IFERROR(NUMBERVALUE(CriteriTecnici!$M1794,",","."),0))),4)&amp;""),",",".")&amp;", "&amp;CHAR(34)&amp;"rawScore"&amp;CHAR(34)&amp;": "&amp;SUBSTITUTE(TRIM(ROUND(IFERROR(CriteriTecnici!$O1794*1,IFERROR(NUMBERVALUE(CriteriTecnici!$O1794,".",","),IFERROR(NUMBERVALUE(CriteriTecnici!$O1794,",","."),0))),4)&amp;""),",",".")&amp;CHAR(125)&amp;IF(TRUE,",",""))</f>
        <v/>
      </c>
    </row>
    <row r="1896">
      <c r="A1896" s="82">
        <f>IF(CriteriTecnici!$A1795="","","    "&amp;CHAR(123)&amp;CHAR(34)&amp;"bidderId"&amp;CHAR(34)&amp;": "&amp;CHAR(34)&amp;SUBSTITUTE(CriteriTecnici!$A1795,CHAR(34),"'")&amp;CHAR(34)&amp;", "&amp;CHAR(34)&amp;"lotId"&amp;CHAR(34)&amp;": "&amp;CHAR(34)&amp;SUBSTITUTE(CriteriTecnici!$C1795,CHAR(34),"'")&amp;CHAR(34)&amp;", "&amp;CHAR(34)&amp;"criterionId"&amp;CHAR(34)&amp;": "&amp;CHAR(34)&amp;SUBSTITUTE(CriteriTecnici!$D1795,CHAR(34),"'")&amp;CHAR(34)&amp;", "&amp;CHAR(34)&amp;"kind"&amp;CHAR(34)&amp;": "&amp;CHAR(34)&amp;SUBSTITUTE(CriteriTecnici!$F1795,CHAR(34),"'")&amp;CHAR(34)&amp;", "&amp;CHAR(34)&amp;"value"&amp;CHAR(34)&amp;": "&amp;SUBSTITUTE(TRIM(ROUND(IFERROR(CriteriTecnici!$N1795*1,IFERROR(NUMBERVALUE(CriteriTecnici!$N1795,".",","),IFERROR(NUMBERVALUE(CriteriTecnici!$N1795,",","."),0))),4)&amp;""),",",".")&amp;", "&amp;CHAR(34)&amp;"numerator"&amp;CHAR(34)&amp;": "&amp;SUBSTITUTE(TRIM(ROUND(IFERROR(CriteriTecnici!$K1795*1,IFERROR(NUMBERVALUE(CriteriTecnici!$K1795,".",","),IFERROR(NUMBERVALUE(CriteriTecnici!$K1795,",","."),0))),4)&amp;""),",",".")&amp;", "&amp;CHAR(34)&amp;"denominator"&amp;CHAR(34)&amp;": "&amp;SUBSTITUTE(TRIM(ROUND(IFERROR(CriteriTecnici!$L1795*1,IFERROR(NUMBERVALUE(CriteriTecnici!$L1795,".",","),IFERROR(NUMBERVALUE(CriteriTecnici!$L1795,",","."),0))),4)&amp;""),",",".")&amp;", "&amp;CHAR(34)&amp;"flag"&amp;CHAR(34)&amp;": "&amp;SUBSTITUTE(TRIM(ROUND(IFERROR(CriteriTecnici!$M1795*1,IFERROR(NUMBERVALUE(CriteriTecnici!$M1795,".",","),IFERROR(NUMBERVALUE(CriteriTecnici!$M1795,",","."),0))),4)&amp;""),",",".")&amp;", "&amp;CHAR(34)&amp;"rawScore"&amp;CHAR(34)&amp;": "&amp;SUBSTITUTE(TRIM(ROUND(IFERROR(CriteriTecnici!$O1795*1,IFERROR(NUMBERVALUE(CriteriTecnici!$O1795,".",","),IFERROR(NUMBERVALUE(CriteriTecnici!$O1795,",","."),0))),4)&amp;""),",",".")&amp;CHAR(125)&amp;IF(TRUE,",",""))</f>
        <v/>
      </c>
    </row>
    <row r="1897">
      <c r="A1897" s="82">
        <f>IF(CriteriTecnici!$A1796="","","    "&amp;CHAR(123)&amp;CHAR(34)&amp;"bidderId"&amp;CHAR(34)&amp;": "&amp;CHAR(34)&amp;SUBSTITUTE(CriteriTecnici!$A1796,CHAR(34),"'")&amp;CHAR(34)&amp;", "&amp;CHAR(34)&amp;"lotId"&amp;CHAR(34)&amp;": "&amp;CHAR(34)&amp;SUBSTITUTE(CriteriTecnici!$C1796,CHAR(34),"'")&amp;CHAR(34)&amp;", "&amp;CHAR(34)&amp;"criterionId"&amp;CHAR(34)&amp;": "&amp;CHAR(34)&amp;SUBSTITUTE(CriteriTecnici!$D1796,CHAR(34),"'")&amp;CHAR(34)&amp;", "&amp;CHAR(34)&amp;"kind"&amp;CHAR(34)&amp;": "&amp;CHAR(34)&amp;SUBSTITUTE(CriteriTecnici!$F1796,CHAR(34),"'")&amp;CHAR(34)&amp;", "&amp;CHAR(34)&amp;"value"&amp;CHAR(34)&amp;": "&amp;SUBSTITUTE(TRIM(ROUND(IFERROR(CriteriTecnici!$N1796*1,IFERROR(NUMBERVALUE(CriteriTecnici!$N1796,".",","),IFERROR(NUMBERVALUE(CriteriTecnici!$N1796,",","."),0))),4)&amp;""),",",".")&amp;", "&amp;CHAR(34)&amp;"numerator"&amp;CHAR(34)&amp;": "&amp;SUBSTITUTE(TRIM(ROUND(IFERROR(CriteriTecnici!$K1796*1,IFERROR(NUMBERVALUE(CriteriTecnici!$K1796,".",","),IFERROR(NUMBERVALUE(CriteriTecnici!$K1796,",","."),0))),4)&amp;""),",",".")&amp;", "&amp;CHAR(34)&amp;"denominator"&amp;CHAR(34)&amp;": "&amp;SUBSTITUTE(TRIM(ROUND(IFERROR(CriteriTecnici!$L1796*1,IFERROR(NUMBERVALUE(CriteriTecnici!$L1796,".",","),IFERROR(NUMBERVALUE(CriteriTecnici!$L1796,",","."),0))),4)&amp;""),",",".")&amp;", "&amp;CHAR(34)&amp;"flag"&amp;CHAR(34)&amp;": "&amp;SUBSTITUTE(TRIM(ROUND(IFERROR(CriteriTecnici!$M1796*1,IFERROR(NUMBERVALUE(CriteriTecnici!$M1796,".",","),IFERROR(NUMBERVALUE(CriteriTecnici!$M1796,",","."),0))),4)&amp;""),",",".")&amp;", "&amp;CHAR(34)&amp;"rawScore"&amp;CHAR(34)&amp;": "&amp;SUBSTITUTE(TRIM(ROUND(IFERROR(CriteriTecnici!$O1796*1,IFERROR(NUMBERVALUE(CriteriTecnici!$O1796,".",","),IFERROR(NUMBERVALUE(CriteriTecnici!$O1796,",","."),0))),4)&amp;""),",",".")&amp;CHAR(125)&amp;IF(TRUE,",",""))</f>
        <v/>
      </c>
    </row>
    <row r="1898">
      <c r="A1898" s="82">
        <f>IF(CriteriTecnici!$A1797="","","    "&amp;CHAR(123)&amp;CHAR(34)&amp;"bidderId"&amp;CHAR(34)&amp;": "&amp;CHAR(34)&amp;SUBSTITUTE(CriteriTecnici!$A1797,CHAR(34),"'")&amp;CHAR(34)&amp;", "&amp;CHAR(34)&amp;"lotId"&amp;CHAR(34)&amp;": "&amp;CHAR(34)&amp;SUBSTITUTE(CriteriTecnici!$C1797,CHAR(34),"'")&amp;CHAR(34)&amp;", "&amp;CHAR(34)&amp;"criterionId"&amp;CHAR(34)&amp;": "&amp;CHAR(34)&amp;SUBSTITUTE(CriteriTecnici!$D1797,CHAR(34),"'")&amp;CHAR(34)&amp;", "&amp;CHAR(34)&amp;"kind"&amp;CHAR(34)&amp;": "&amp;CHAR(34)&amp;SUBSTITUTE(CriteriTecnici!$F1797,CHAR(34),"'")&amp;CHAR(34)&amp;", "&amp;CHAR(34)&amp;"value"&amp;CHAR(34)&amp;": "&amp;SUBSTITUTE(TRIM(ROUND(IFERROR(CriteriTecnici!$N1797*1,IFERROR(NUMBERVALUE(CriteriTecnici!$N1797,".",","),IFERROR(NUMBERVALUE(CriteriTecnici!$N1797,",","."),0))),4)&amp;""),",",".")&amp;", "&amp;CHAR(34)&amp;"numerator"&amp;CHAR(34)&amp;": "&amp;SUBSTITUTE(TRIM(ROUND(IFERROR(CriteriTecnici!$K1797*1,IFERROR(NUMBERVALUE(CriteriTecnici!$K1797,".",","),IFERROR(NUMBERVALUE(CriteriTecnici!$K1797,",","."),0))),4)&amp;""),",",".")&amp;", "&amp;CHAR(34)&amp;"denominator"&amp;CHAR(34)&amp;": "&amp;SUBSTITUTE(TRIM(ROUND(IFERROR(CriteriTecnici!$L1797*1,IFERROR(NUMBERVALUE(CriteriTecnici!$L1797,".",","),IFERROR(NUMBERVALUE(CriteriTecnici!$L1797,",","."),0))),4)&amp;""),",",".")&amp;", "&amp;CHAR(34)&amp;"flag"&amp;CHAR(34)&amp;": "&amp;SUBSTITUTE(TRIM(ROUND(IFERROR(CriteriTecnici!$M1797*1,IFERROR(NUMBERVALUE(CriteriTecnici!$M1797,".",","),IFERROR(NUMBERVALUE(CriteriTecnici!$M1797,",","."),0))),4)&amp;""),",",".")&amp;", "&amp;CHAR(34)&amp;"rawScore"&amp;CHAR(34)&amp;": "&amp;SUBSTITUTE(TRIM(ROUND(IFERROR(CriteriTecnici!$O1797*1,IFERROR(NUMBERVALUE(CriteriTecnici!$O1797,".",","),IFERROR(NUMBERVALUE(CriteriTecnici!$O1797,",","."),0))),4)&amp;""),",",".")&amp;CHAR(125)&amp;IF(TRUE,",",""))</f>
        <v/>
      </c>
    </row>
    <row r="1899">
      <c r="A1899" s="82">
        <f>IF(CriteriTecnici!$A1798="","","    "&amp;CHAR(123)&amp;CHAR(34)&amp;"bidderId"&amp;CHAR(34)&amp;": "&amp;CHAR(34)&amp;SUBSTITUTE(CriteriTecnici!$A1798,CHAR(34),"'")&amp;CHAR(34)&amp;", "&amp;CHAR(34)&amp;"lotId"&amp;CHAR(34)&amp;": "&amp;CHAR(34)&amp;SUBSTITUTE(CriteriTecnici!$C1798,CHAR(34),"'")&amp;CHAR(34)&amp;", "&amp;CHAR(34)&amp;"criterionId"&amp;CHAR(34)&amp;": "&amp;CHAR(34)&amp;SUBSTITUTE(CriteriTecnici!$D1798,CHAR(34),"'")&amp;CHAR(34)&amp;", "&amp;CHAR(34)&amp;"kind"&amp;CHAR(34)&amp;": "&amp;CHAR(34)&amp;SUBSTITUTE(CriteriTecnici!$F1798,CHAR(34),"'")&amp;CHAR(34)&amp;", "&amp;CHAR(34)&amp;"value"&amp;CHAR(34)&amp;": "&amp;SUBSTITUTE(TRIM(ROUND(IFERROR(CriteriTecnici!$N1798*1,IFERROR(NUMBERVALUE(CriteriTecnici!$N1798,".",","),IFERROR(NUMBERVALUE(CriteriTecnici!$N1798,",","."),0))),4)&amp;""),",",".")&amp;", "&amp;CHAR(34)&amp;"numerator"&amp;CHAR(34)&amp;": "&amp;SUBSTITUTE(TRIM(ROUND(IFERROR(CriteriTecnici!$K1798*1,IFERROR(NUMBERVALUE(CriteriTecnici!$K1798,".",","),IFERROR(NUMBERVALUE(CriteriTecnici!$K1798,",","."),0))),4)&amp;""),",",".")&amp;", "&amp;CHAR(34)&amp;"denominator"&amp;CHAR(34)&amp;": "&amp;SUBSTITUTE(TRIM(ROUND(IFERROR(CriteriTecnici!$L1798*1,IFERROR(NUMBERVALUE(CriteriTecnici!$L1798,".",","),IFERROR(NUMBERVALUE(CriteriTecnici!$L1798,",","."),0))),4)&amp;""),",",".")&amp;", "&amp;CHAR(34)&amp;"flag"&amp;CHAR(34)&amp;": "&amp;SUBSTITUTE(TRIM(ROUND(IFERROR(CriteriTecnici!$M1798*1,IFERROR(NUMBERVALUE(CriteriTecnici!$M1798,".",","),IFERROR(NUMBERVALUE(CriteriTecnici!$M1798,",","."),0))),4)&amp;""),",",".")&amp;", "&amp;CHAR(34)&amp;"rawScore"&amp;CHAR(34)&amp;": "&amp;SUBSTITUTE(TRIM(ROUND(IFERROR(CriteriTecnici!$O1798*1,IFERROR(NUMBERVALUE(CriteriTecnici!$O1798,".",","),IFERROR(NUMBERVALUE(CriteriTecnici!$O1798,",","."),0))),4)&amp;""),",",".")&amp;CHAR(125)&amp;IF(TRUE,",",""))</f>
        <v/>
      </c>
    </row>
    <row r="1900">
      <c r="A1900" s="82">
        <f>IF(CriteriTecnici!$A1799="","","    "&amp;CHAR(123)&amp;CHAR(34)&amp;"bidderId"&amp;CHAR(34)&amp;": "&amp;CHAR(34)&amp;SUBSTITUTE(CriteriTecnici!$A1799,CHAR(34),"'")&amp;CHAR(34)&amp;", "&amp;CHAR(34)&amp;"lotId"&amp;CHAR(34)&amp;": "&amp;CHAR(34)&amp;SUBSTITUTE(CriteriTecnici!$C1799,CHAR(34),"'")&amp;CHAR(34)&amp;", "&amp;CHAR(34)&amp;"criterionId"&amp;CHAR(34)&amp;": "&amp;CHAR(34)&amp;SUBSTITUTE(CriteriTecnici!$D1799,CHAR(34),"'")&amp;CHAR(34)&amp;", "&amp;CHAR(34)&amp;"kind"&amp;CHAR(34)&amp;": "&amp;CHAR(34)&amp;SUBSTITUTE(CriteriTecnici!$F1799,CHAR(34),"'")&amp;CHAR(34)&amp;", "&amp;CHAR(34)&amp;"value"&amp;CHAR(34)&amp;": "&amp;SUBSTITUTE(TRIM(ROUND(IFERROR(CriteriTecnici!$N1799*1,IFERROR(NUMBERVALUE(CriteriTecnici!$N1799,".",","),IFERROR(NUMBERVALUE(CriteriTecnici!$N1799,",","."),0))),4)&amp;""),",",".")&amp;", "&amp;CHAR(34)&amp;"numerator"&amp;CHAR(34)&amp;": "&amp;SUBSTITUTE(TRIM(ROUND(IFERROR(CriteriTecnici!$K1799*1,IFERROR(NUMBERVALUE(CriteriTecnici!$K1799,".",","),IFERROR(NUMBERVALUE(CriteriTecnici!$K1799,",","."),0))),4)&amp;""),",",".")&amp;", "&amp;CHAR(34)&amp;"denominator"&amp;CHAR(34)&amp;": "&amp;SUBSTITUTE(TRIM(ROUND(IFERROR(CriteriTecnici!$L1799*1,IFERROR(NUMBERVALUE(CriteriTecnici!$L1799,".",","),IFERROR(NUMBERVALUE(CriteriTecnici!$L1799,",","."),0))),4)&amp;""),",",".")&amp;", "&amp;CHAR(34)&amp;"flag"&amp;CHAR(34)&amp;": "&amp;SUBSTITUTE(TRIM(ROUND(IFERROR(CriteriTecnici!$M1799*1,IFERROR(NUMBERVALUE(CriteriTecnici!$M1799,".",","),IFERROR(NUMBERVALUE(CriteriTecnici!$M1799,",","."),0))),4)&amp;""),",",".")&amp;", "&amp;CHAR(34)&amp;"rawScore"&amp;CHAR(34)&amp;": "&amp;SUBSTITUTE(TRIM(ROUND(IFERROR(CriteriTecnici!$O1799*1,IFERROR(NUMBERVALUE(CriteriTecnici!$O1799,".",","),IFERROR(NUMBERVALUE(CriteriTecnici!$O1799,",","."),0))),4)&amp;""),",",".")&amp;CHAR(125)&amp;IF(TRUE,",",""))</f>
        <v/>
      </c>
    </row>
    <row r="1901">
      <c r="A1901" s="82">
        <f>IF(CriteriTecnici!$A1800="","","    "&amp;CHAR(123)&amp;CHAR(34)&amp;"bidderId"&amp;CHAR(34)&amp;": "&amp;CHAR(34)&amp;SUBSTITUTE(CriteriTecnici!$A1800,CHAR(34),"'")&amp;CHAR(34)&amp;", "&amp;CHAR(34)&amp;"lotId"&amp;CHAR(34)&amp;": "&amp;CHAR(34)&amp;SUBSTITUTE(CriteriTecnici!$C1800,CHAR(34),"'")&amp;CHAR(34)&amp;", "&amp;CHAR(34)&amp;"criterionId"&amp;CHAR(34)&amp;": "&amp;CHAR(34)&amp;SUBSTITUTE(CriteriTecnici!$D1800,CHAR(34),"'")&amp;CHAR(34)&amp;", "&amp;CHAR(34)&amp;"kind"&amp;CHAR(34)&amp;": "&amp;CHAR(34)&amp;SUBSTITUTE(CriteriTecnici!$F1800,CHAR(34),"'")&amp;CHAR(34)&amp;", "&amp;CHAR(34)&amp;"value"&amp;CHAR(34)&amp;": "&amp;SUBSTITUTE(TRIM(ROUND(IFERROR(CriteriTecnici!$N1800*1,IFERROR(NUMBERVALUE(CriteriTecnici!$N1800,".",","),IFERROR(NUMBERVALUE(CriteriTecnici!$N1800,",","."),0))),4)&amp;""),",",".")&amp;", "&amp;CHAR(34)&amp;"numerator"&amp;CHAR(34)&amp;": "&amp;SUBSTITUTE(TRIM(ROUND(IFERROR(CriteriTecnici!$K1800*1,IFERROR(NUMBERVALUE(CriteriTecnici!$K1800,".",","),IFERROR(NUMBERVALUE(CriteriTecnici!$K1800,",","."),0))),4)&amp;""),",",".")&amp;", "&amp;CHAR(34)&amp;"denominator"&amp;CHAR(34)&amp;": "&amp;SUBSTITUTE(TRIM(ROUND(IFERROR(CriteriTecnici!$L1800*1,IFERROR(NUMBERVALUE(CriteriTecnici!$L1800,".",","),IFERROR(NUMBERVALUE(CriteriTecnici!$L1800,",","."),0))),4)&amp;""),",",".")&amp;", "&amp;CHAR(34)&amp;"flag"&amp;CHAR(34)&amp;": "&amp;SUBSTITUTE(TRIM(ROUND(IFERROR(CriteriTecnici!$M1800*1,IFERROR(NUMBERVALUE(CriteriTecnici!$M1800,".",","),IFERROR(NUMBERVALUE(CriteriTecnici!$M1800,",","."),0))),4)&amp;""),",",".")&amp;", "&amp;CHAR(34)&amp;"rawScore"&amp;CHAR(34)&amp;": "&amp;SUBSTITUTE(TRIM(ROUND(IFERROR(CriteriTecnici!$O1800*1,IFERROR(NUMBERVALUE(CriteriTecnici!$O1800,".",","),IFERROR(NUMBERVALUE(CriteriTecnici!$O1800,",","."),0))),4)&amp;""),",",".")&amp;CHAR(125)&amp;IF(TRUE,",",""))</f>
        <v/>
      </c>
    </row>
    <row r="1902">
      <c r="A1902" s="82">
        <f>IF(CriteriTecnici!$A1801="","","    "&amp;CHAR(123)&amp;CHAR(34)&amp;"bidderId"&amp;CHAR(34)&amp;": "&amp;CHAR(34)&amp;SUBSTITUTE(CriteriTecnici!$A1801,CHAR(34),"'")&amp;CHAR(34)&amp;", "&amp;CHAR(34)&amp;"lotId"&amp;CHAR(34)&amp;": "&amp;CHAR(34)&amp;SUBSTITUTE(CriteriTecnici!$C1801,CHAR(34),"'")&amp;CHAR(34)&amp;", "&amp;CHAR(34)&amp;"criterionId"&amp;CHAR(34)&amp;": "&amp;CHAR(34)&amp;SUBSTITUTE(CriteriTecnici!$D1801,CHAR(34),"'")&amp;CHAR(34)&amp;", "&amp;CHAR(34)&amp;"kind"&amp;CHAR(34)&amp;": "&amp;CHAR(34)&amp;SUBSTITUTE(CriteriTecnici!$F1801,CHAR(34),"'")&amp;CHAR(34)&amp;", "&amp;CHAR(34)&amp;"value"&amp;CHAR(34)&amp;": "&amp;SUBSTITUTE(TRIM(ROUND(IFERROR(CriteriTecnici!$N1801*1,IFERROR(NUMBERVALUE(CriteriTecnici!$N1801,".",","),IFERROR(NUMBERVALUE(CriteriTecnici!$N1801,",","."),0))),4)&amp;""),",",".")&amp;", "&amp;CHAR(34)&amp;"numerator"&amp;CHAR(34)&amp;": "&amp;SUBSTITUTE(TRIM(ROUND(IFERROR(CriteriTecnici!$K1801*1,IFERROR(NUMBERVALUE(CriteriTecnici!$K1801,".",","),IFERROR(NUMBERVALUE(CriteriTecnici!$K1801,",","."),0))),4)&amp;""),",",".")&amp;", "&amp;CHAR(34)&amp;"denominator"&amp;CHAR(34)&amp;": "&amp;SUBSTITUTE(TRIM(ROUND(IFERROR(CriteriTecnici!$L1801*1,IFERROR(NUMBERVALUE(CriteriTecnici!$L1801,".",","),IFERROR(NUMBERVALUE(CriteriTecnici!$L1801,",","."),0))),4)&amp;""),",",".")&amp;", "&amp;CHAR(34)&amp;"flag"&amp;CHAR(34)&amp;": "&amp;SUBSTITUTE(TRIM(ROUND(IFERROR(CriteriTecnici!$M1801*1,IFERROR(NUMBERVALUE(CriteriTecnici!$M1801,".",","),IFERROR(NUMBERVALUE(CriteriTecnici!$M1801,",","."),0))),4)&amp;""),",",".")&amp;", "&amp;CHAR(34)&amp;"rawScore"&amp;CHAR(34)&amp;": "&amp;SUBSTITUTE(TRIM(ROUND(IFERROR(CriteriTecnici!$O1801*1,IFERROR(NUMBERVALUE(CriteriTecnici!$O1801,".",","),IFERROR(NUMBERVALUE(CriteriTecnici!$O1801,",","."),0))),4)&amp;""),",",".")&amp;CHAR(125)&amp;IF(TRUE,",",""))</f>
        <v/>
      </c>
    </row>
    <row r="1903">
      <c r="A1903" s="82">
        <f>IF(CriteriTecnici!$A1802="","","    "&amp;CHAR(123)&amp;CHAR(34)&amp;"bidderId"&amp;CHAR(34)&amp;": "&amp;CHAR(34)&amp;SUBSTITUTE(CriteriTecnici!$A1802,CHAR(34),"'")&amp;CHAR(34)&amp;", "&amp;CHAR(34)&amp;"lotId"&amp;CHAR(34)&amp;": "&amp;CHAR(34)&amp;SUBSTITUTE(CriteriTecnici!$C1802,CHAR(34),"'")&amp;CHAR(34)&amp;", "&amp;CHAR(34)&amp;"criterionId"&amp;CHAR(34)&amp;": "&amp;CHAR(34)&amp;SUBSTITUTE(CriteriTecnici!$D1802,CHAR(34),"'")&amp;CHAR(34)&amp;", "&amp;CHAR(34)&amp;"kind"&amp;CHAR(34)&amp;": "&amp;CHAR(34)&amp;SUBSTITUTE(CriteriTecnici!$F1802,CHAR(34),"'")&amp;CHAR(34)&amp;", "&amp;CHAR(34)&amp;"value"&amp;CHAR(34)&amp;": "&amp;SUBSTITUTE(TRIM(ROUND(IFERROR(CriteriTecnici!$N1802*1,IFERROR(NUMBERVALUE(CriteriTecnici!$N1802,".",","),IFERROR(NUMBERVALUE(CriteriTecnici!$N1802,",","."),0))),4)&amp;""),",",".")&amp;", "&amp;CHAR(34)&amp;"numerator"&amp;CHAR(34)&amp;": "&amp;SUBSTITUTE(TRIM(ROUND(IFERROR(CriteriTecnici!$K1802*1,IFERROR(NUMBERVALUE(CriteriTecnici!$K1802,".",","),IFERROR(NUMBERVALUE(CriteriTecnici!$K1802,",","."),0))),4)&amp;""),",",".")&amp;", "&amp;CHAR(34)&amp;"denominator"&amp;CHAR(34)&amp;": "&amp;SUBSTITUTE(TRIM(ROUND(IFERROR(CriteriTecnici!$L1802*1,IFERROR(NUMBERVALUE(CriteriTecnici!$L1802,".",","),IFERROR(NUMBERVALUE(CriteriTecnici!$L1802,",","."),0))),4)&amp;""),",",".")&amp;", "&amp;CHAR(34)&amp;"flag"&amp;CHAR(34)&amp;": "&amp;SUBSTITUTE(TRIM(ROUND(IFERROR(CriteriTecnici!$M1802*1,IFERROR(NUMBERVALUE(CriteriTecnici!$M1802,".",","),IFERROR(NUMBERVALUE(CriteriTecnici!$M1802,",","."),0))),4)&amp;""),",",".")&amp;", "&amp;CHAR(34)&amp;"rawScore"&amp;CHAR(34)&amp;": "&amp;SUBSTITUTE(TRIM(ROUND(IFERROR(CriteriTecnici!$O1802*1,IFERROR(NUMBERVALUE(CriteriTecnici!$O1802,".",","),IFERROR(NUMBERVALUE(CriteriTecnici!$O1802,",","."),0))),4)&amp;""),",",".")&amp;CHAR(125)&amp;IF(COUNTA(Offerte!$A60:$A$81)&gt;0,",",""))</f>
        <v/>
      </c>
    </row>
    <row r="1904">
      <c r="A1904" s="82">
        <f>IF(CriteriTecnici!$A1803="","","    "&amp;CHAR(123)&amp;CHAR(34)&amp;"bidderId"&amp;CHAR(34)&amp;": "&amp;CHAR(34)&amp;SUBSTITUTE(CriteriTecnici!$A1803,CHAR(34),"'")&amp;CHAR(34)&amp;", "&amp;CHAR(34)&amp;"lotId"&amp;CHAR(34)&amp;": "&amp;CHAR(34)&amp;SUBSTITUTE(CriteriTecnici!$C1803,CHAR(34),"'")&amp;CHAR(34)&amp;", "&amp;CHAR(34)&amp;"criterionId"&amp;CHAR(34)&amp;": "&amp;CHAR(34)&amp;SUBSTITUTE(CriteriTecnici!$D1803,CHAR(34),"'")&amp;CHAR(34)&amp;", "&amp;CHAR(34)&amp;"kind"&amp;CHAR(34)&amp;": "&amp;CHAR(34)&amp;SUBSTITUTE(CriteriTecnici!$F1803,CHAR(34),"'")&amp;CHAR(34)&amp;", "&amp;CHAR(34)&amp;"value"&amp;CHAR(34)&amp;": "&amp;SUBSTITUTE(TRIM(ROUND(IFERROR(CriteriTecnici!$N1803*1,IFERROR(NUMBERVALUE(CriteriTecnici!$N1803,".",","),IFERROR(NUMBERVALUE(CriteriTecnici!$N1803,",","."),0))),4)&amp;""),",",".")&amp;", "&amp;CHAR(34)&amp;"numerator"&amp;CHAR(34)&amp;": "&amp;SUBSTITUTE(TRIM(ROUND(IFERROR(CriteriTecnici!$K1803*1,IFERROR(NUMBERVALUE(CriteriTecnici!$K1803,".",","),IFERROR(NUMBERVALUE(CriteriTecnici!$K1803,",","."),0))),4)&amp;""),",",".")&amp;", "&amp;CHAR(34)&amp;"denominator"&amp;CHAR(34)&amp;": "&amp;SUBSTITUTE(TRIM(ROUND(IFERROR(CriteriTecnici!$L1803*1,IFERROR(NUMBERVALUE(CriteriTecnici!$L1803,".",","),IFERROR(NUMBERVALUE(CriteriTecnici!$L1803,",","."),0))),4)&amp;""),",",".")&amp;", "&amp;CHAR(34)&amp;"flag"&amp;CHAR(34)&amp;": "&amp;SUBSTITUTE(TRIM(ROUND(IFERROR(CriteriTecnici!$M1803*1,IFERROR(NUMBERVALUE(CriteriTecnici!$M1803,".",","),IFERROR(NUMBERVALUE(CriteriTecnici!$M1803,",","."),0))),4)&amp;""),",",".")&amp;", "&amp;CHAR(34)&amp;"rawScore"&amp;CHAR(34)&amp;": "&amp;SUBSTITUTE(TRIM(ROUND(IFERROR(CriteriTecnici!$O1803*1,IFERROR(NUMBERVALUE(CriteriTecnici!$O1803,".",","),IFERROR(NUMBERVALUE(CriteriTecnici!$O1803,",","."),0))),4)&amp;""),",",".")&amp;CHAR(125)&amp;IF(TRUE,",",""))</f>
        <v/>
      </c>
    </row>
    <row r="1905">
      <c r="A1905" s="82">
        <f>IF(CriteriTecnici!$A1804="","","    "&amp;CHAR(123)&amp;CHAR(34)&amp;"bidderId"&amp;CHAR(34)&amp;": "&amp;CHAR(34)&amp;SUBSTITUTE(CriteriTecnici!$A1804,CHAR(34),"'")&amp;CHAR(34)&amp;", "&amp;CHAR(34)&amp;"lotId"&amp;CHAR(34)&amp;": "&amp;CHAR(34)&amp;SUBSTITUTE(CriteriTecnici!$C1804,CHAR(34),"'")&amp;CHAR(34)&amp;", "&amp;CHAR(34)&amp;"criterionId"&amp;CHAR(34)&amp;": "&amp;CHAR(34)&amp;SUBSTITUTE(CriteriTecnici!$D1804,CHAR(34),"'")&amp;CHAR(34)&amp;", "&amp;CHAR(34)&amp;"kind"&amp;CHAR(34)&amp;": "&amp;CHAR(34)&amp;SUBSTITUTE(CriteriTecnici!$F1804,CHAR(34),"'")&amp;CHAR(34)&amp;", "&amp;CHAR(34)&amp;"value"&amp;CHAR(34)&amp;": "&amp;SUBSTITUTE(TRIM(ROUND(IFERROR(CriteriTecnici!$N1804*1,IFERROR(NUMBERVALUE(CriteriTecnici!$N1804,".",","),IFERROR(NUMBERVALUE(CriteriTecnici!$N1804,",","."),0))),4)&amp;""),",",".")&amp;", "&amp;CHAR(34)&amp;"numerator"&amp;CHAR(34)&amp;": "&amp;SUBSTITUTE(TRIM(ROUND(IFERROR(CriteriTecnici!$K1804*1,IFERROR(NUMBERVALUE(CriteriTecnici!$K1804,".",","),IFERROR(NUMBERVALUE(CriteriTecnici!$K1804,",","."),0))),4)&amp;""),",",".")&amp;", "&amp;CHAR(34)&amp;"denominator"&amp;CHAR(34)&amp;": "&amp;SUBSTITUTE(TRIM(ROUND(IFERROR(CriteriTecnici!$L1804*1,IFERROR(NUMBERVALUE(CriteriTecnici!$L1804,".",","),IFERROR(NUMBERVALUE(CriteriTecnici!$L1804,",","."),0))),4)&amp;""),",",".")&amp;", "&amp;CHAR(34)&amp;"flag"&amp;CHAR(34)&amp;": "&amp;SUBSTITUTE(TRIM(ROUND(IFERROR(CriteriTecnici!$M1804*1,IFERROR(NUMBERVALUE(CriteriTecnici!$M1804,".",","),IFERROR(NUMBERVALUE(CriteriTecnici!$M1804,",","."),0))),4)&amp;""),",",".")&amp;", "&amp;CHAR(34)&amp;"rawScore"&amp;CHAR(34)&amp;": "&amp;SUBSTITUTE(TRIM(ROUND(IFERROR(CriteriTecnici!$O1804*1,IFERROR(NUMBERVALUE(CriteriTecnici!$O1804,".",","),IFERROR(NUMBERVALUE(CriteriTecnici!$O1804,",","."),0))),4)&amp;""),",",".")&amp;CHAR(125)&amp;IF(TRUE,",",""))</f>
        <v/>
      </c>
    </row>
    <row r="1906">
      <c r="A1906" s="82">
        <f>IF(CriteriTecnici!$A1805="","","    "&amp;CHAR(123)&amp;CHAR(34)&amp;"bidderId"&amp;CHAR(34)&amp;": "&amp;CHAR(34)&amp;SUBSTITUTE(CriteriTecnici!$A1805,CHAR(34),"'")&amp;CHAR(34)&amp;", "&amp;CHAR(34)&amp;"lotId"&amp;CHAR(34)&amp;": "&amp;CHAR(34)&amp;SUBSTITUTE(CriteriTecnici!$C1805,CHAR(34),"'")&amp;CHAR(34)&amp;", "&amp;CHAR(34)&amp;"criterionId"&amp;CHAR(34)&amp;": "&amp;CHAR(34)&amp;SUBSTITUTE(CriteriTecnici!$D1805,CHAR(34),"'")&amp;CHAR(34)&amp;", "&amp;CHAR(34)&amp;"kind"&amp;CHAR(34)&amp;": "&amp;CHAR(34)&amp;SUBSTITUTE(CriteriTecnici!$F1805,CHAR(34),"'")&amp;CHAR(34)&amp;", "&amp;CHAR(34)&amp;"value"&amp;CHAR(34)&amp;": "&amp;SUBSTITUTE(TRIM(ROUND(IFERROR(CriteriTecnici!$N1805*1,IFERROR(NUMBERVALUE(CriteriTecnici!$N1805,".",","),IFERROR(NUMBERVALUE(CriteriTecnici!$N1805,",","."),0))),4)&amp;""),",",".")&amp;", "&amp;CHAR(34)&amp;"numerator"&amp;CHAR(34)&amp;": "&amp;SUBSTITUTE(TRIM(ROUND(IFERROR(CriteriTecnici!$K1805*1,IFERROR(NUMBERVALUE(CriteriTecnici!$K1805,".",","),IFERROR(NUMBERVALUE(CriteriTecnici!$K1805,",","."),0))),4)&amp;""),",",".")&amp;", "&amp;CHAR(34)&amp;"denominator"&amp;CHAR(34)&amp;": "&amp;SUBSTITUTE(TRIM(ROUND(IFERROR(CriteriTecnici!$L1805*1,IFERROR(NUMBERVALUE(CriteriTecnici!$L1805,".",","),IFERROR(NUMBERVALUE(CriteriTecnici!$L1805,",","."),0))),4)&amp;""),",",".")&amp;", "&amp;CHAR(34)&amp;"flag"&amp;CHAR(34)&amp;": "&amp;SUBSTITUTE(TRIM(ROUND(IFERROR(CriteriTecnici!$M1805*1,IFERROR(NUMBERVALUE(CriteriTecnici!$M1805,".",","),IFERROR(NUMBERVALUE(CriteriTecnici!$M1805,",","."),0))),4)&amp;""),",",".")&amp;", "&amp;CHAR(34)&amp;"rawScore"&amp;CHAR(34)&amp;": "&amp;SUBSTITUTE(TRIM(ROUND(IFERROR(CriteriTecnici!$O1805*1,IFERROR(NUMBERVALUE(CriteriTecnici!$O1805,".",","),IFERROR(NUMBERVALUE(CriteriTecnici!$O1805,",","."),0))),4)&amp;""),",",".")&amp;CHAR(125)&amp;IF(TRUE,",",""))</f>
        <v/>
      </c>
    </row>
    <row r="1907">
      <c r="A1907" s="82">
        <f>IF(CriteriTecnici!$A1806="","","    "&amp;CHAR(123)&amp;CHAR(34)&amp;"bidderId"&amp;CHAR(34)&amp;": "&amp;CHAR(34)&amp;SUBSTITUTE(CriteriTecnici!$A1806,CHAR(34),"'")&amp;CHAR(34)&amp;", "&amp;CHAR(34)&amp;"lotId"&amp;CHAR(34)&amp;": "&amp;CHAR(34)&amp;SUBSTITUTE(CriteriTecnici!$C1806,CHAR(34),"'")&amp;CHAR(34)&amp;", "&amp;CHAR(34)&amp;"criterionId"&amp;CHAR(34)&amp;": "&amp;CHAR(34)&amp;SUBSTITUTE(CriteriTecnici!$D1806,CHAR(34),"'")&amp;CHAR(34)&amp;", "&amp;CHAR(34)&amp;"kind"&amp;CHAR(34)&amp;": "&amp;CHAR(34)&amp;SUBSTITUTE(CriteriTecnici!$F1806,CHAR(34),"'")&amp;CHAR(34)&amp;", "&amp;CHAR(34)&amp;"value"&amp;CHAR(34)&amp;": "&amp;SUBSTITUTE(TRIM(ROUND(IFERROR(CriteriTecnici!$N1806*1,IFERROR(NUMBERVALUE(CriteriTecnici!$N1806,".",","),IFERROR(NUMBERVALUE(CriteriTecnici!$N1806,",","."),0))),4)&amp;""),",",".")&amp;", "&amp;CHAR(34)&amp;"numerator"&amp;CHAR(34)&amp;": "&amp;SUBSTITUTE(TRIM(ROUND(IFERROR(CriteriTecnici!$K1806*1,IFERROR(NUMBERVALUE(CriteriTecnici!$K1806,".",","),IFERROR(NUMBERVALUE(CriteriTecnici!$K1806,",","."),0))),4)&amp;""),",",".")&amp;", "&amp;CHAR(34)&amp;"denominator"&amp;CHAR(34)&amp;": "&amp;SUBSTITUTE(TRIM(ROUND(IFERROR(CriteriTecnici!$L1806*1,IFERROR(NUMBERVALUE(CriteriTecnici!$L1806,".",","),IFERROR(NUMBERVALUE(CriteriTecnici!$L1806,",","."),0))),4)&amp;""),",",".")&amp;", "&amp;CHAR(34)&amp;"flag"&amp;CHAR(34)&amp;": "&amp;SUBSTITUTE(TRIM(ROUND(IFERROR(CriteriTecnici!$M1806*1,IFERROR(NUMBERVALUE(CriteriTecnici!$M1806,".",","),IFERROR(NUMBERVALUE(CriteriTecnici!$M1806,",","."),0))),4)&amp;""),",",".")&amp;", "&amp;CHAR(34)&amp;"rawScore"&amp;CHAR(34)&amp;": "&amp;SUBSTITUTE(TRIM(ROUND(IFERROR(CriteriTecnici!$O1806*1,IFERROR(NUMBERVALUE(CriteriTecnici!$O1806,".",","),IFERROR(NUMBERVALUE(CriteriTecnici!$O1806,",","."),0))),4)&amp;""),",",".")&amp;CHAR(125)&amp;IF(TRUE,",",""))</f>
        <v/>
      </c>
    </row>
    <row r="1908">
      <c r="A1908" s="82">
        <f>IF(CriteriTecnici!$A1807="","","    "&amp;CHAR(123)&amp;CHAR(34)&amp;"bidderId"&amp;CHAR(34)&amp;": "&amp;CHAR(34)&amp;SUBSTITUTE(CriteriTecnici!$A1807,CHAR(34),"'")&amp;CHAR(34)&amp;", "&amp;CHAR(34)&amp;"lotId"&amp;CHAR(34)&amp;": "&amp;CHAR(34)&amp;SUBSTITUTE(CriteriTecnici!$C1807,CHAR(34),"'")&amp;CHAR(34)&amp;", "&amp;CHAR(34)&amp;"criterionId"&amp;CHAR(34)&amp;": "&amp;CHAR(34)&amp;SUBSTITUTE(CriteriTecnici!$D1807,CHAR(34),"'")&amp;CHAR(34)&amp;", "&amp;CHAR(34)&amp;"kind"&amp;CHAR(34)&amp;": "&amp;CHAR(34)&amp;SUBSTITUTE(CriteriTecnici!$F1807,CHAR(34),"'")&amp;CHAR(34)&amp;", "&amp;CHAR(34)&amp;"value"&amp;CHAR(34)&amp;": "&amp;SUBSTITUTE(TRIM(ROUND(IFERROR(CriteriTecnici!$N1807*1,IFERROR(NUMBERVALUE(CriteriTecnici!$N1807,".",","),IFERROR(NUMBERVALUE(CriteriTecnici!$N1807,",","."),0))),4)&amp;""),",",".")&amp;", "&amp;CHAR(34)&amp;"numerator"&amp;CHAR(34)&amp;": "&amp;SUBSTITUTE(TRIM(ROUND(IFERROR(CriteriTecnici!$K1807*1,IFERROR(NUMBERVALUE(CriteriTecnici!$K1807,".",","),IFERROR(NUMBERVALUE(CriteriTecnici!$K1807,",","."),0))),4)&amp;""),",",".")&amp;", "&amp;CHAR(34)&amp;"denominator"&amp;CHAR(34)&amp;": "&amp;SUBSTITUTE(TRIM(ROUND(IFERROR(CriteriTecnici!$L1807*1,IFERROR(NUMBERVALUE(CriteriTecnici!$L1807,".",","),IFERROR(NUMBERVALUE(CriteriTecnici!$L1807,",","."),0))),4)&amp;""),",",".")&amp;", "&amp;CHAR(34)&amp;"flag"&amp;CHAR(34)&amp;": "&amp;SUBSTITUTE(TRIM(ROUND(IFERROR(CriteriTecnici!$M1807*1,IFERROR(NUMBERVALUE(CriteriTecnici!$M1807,".",","),IFERROR(NUMBERVALUE(CriteriTecnici!$M1807,",","."),0))),4)&amp;""),",",".")&amp;", "&amp;CHAR(34)&amp;"rawScore"&amp;CHAR(34)&amp;": "&amp;SUBSTITUTE(TRIM(ROUND(IFERROR(CriteriTecnici!$O1807*1,IFERROR(NUMBERVALUE(CriteriTecnici!$O1807,".",","),IFERROR(NUMBERVALUE(CriteriTecnici!$O1807,",","."),0))),4)&amp;""),",",".")&amp;CHAR(125)&amp;IF(TRUE,",",""))</f>
        <v/>
      </c>
    </row>
    <row r="1909">
      <c r="A1909" s="82">
        <f>IF(CriteriTecnici!$A1808="","","    "&amp;CHAR(123)&amp;CHAR(34)&amp;"bidderId"&amp;CHAR(34)&amp;": "&amp;CHAR(34)&amp;SUBSTITUTE(CriteriTecnici!$A1808,CHAR(34),"'")&amp;CHAR(34)&amp;", "&amp;CHAR(34)&amp;"lotId"&amp;CHAR(34)&amp;": "&amp;CHAR(34)&amp;SUBSTITUTE(CriteriTecnici!$C1808,CHAR(34),"'")&amp;CHAR(34)&amp;", "&amp;CHAR(34)&amp;"criterionId"&amp;CHAR(34)&amp;": "&amp;CHAR(34)&amp;SUBSTITUTE(CriteriTecnici!$D1808,CHAR(34),"'")&amp;CHAR(34)&amp;", "&amp;CHAR(34)&amp;"kind"&amp;CHAR(34)&amp;": "&amp;CHAR(34)&amp;SUBSTITUTE(CriteriTecnici!$F1808,CHAR(34),"'")&amp;CHAR(34)&amp;", "&amp;CHAR(34)&amp;"value"&amp;CHAR(34)&amp;": "&amp;SUBSTITUTE(TRIM(ROUND(IFERROR(CriteriTecnici!$N1808*1,IFERROR(NUMBERVALUE(CriteriTecnici!$N1808,".",","),IFERROR(NUMBERVALUE(CriteriTecnici!$N1808,",","."),0))),4)&amp;""),",",".")&amp;", "&amp;CHAR(34)&amp;"numerator"&amp;CHAR(34)&amp;": "&amp;SUBSTITUTE(TRIM(ROUND(IFERROR(CriteriTecnici!$K1808*1,IFERROR(NUMBERVALUE(CriteriTecnici!$K1808,".",","),IFERROR(NUMBERVALUE(CriteriTecnici!$K1808,",","."),0))),4)&amp;""),",",".")&amp;", "&amp;CHAR(34)&amp;"denominator"&amp;CHAR(34)&amp;": "&amp;SUBSTITUTE(TRIM(ROUND(IFERROR(CriteriTecnici!$L1808*1,IFERROR(NUMBERVALUE(CriteriTecnici!$L1808,".",","),IFERROR(NUMBERVALUE(CriteriTecnici!$L1808,",","."),0))),4)&amp;""),",",".")&amp;", "&amp;CHAR(34)&amp;"flag"&amp;CHAR(34)&amp;": "&amp;SUBSTITUTE(TRIM(ROUND(IFERROR(CriteriTecnici!$M1808*1,IFERROR(NUMBERVALUE(CriteriTecnici!$M1808,".",","),IFERROR(NUMBERVALUE(CriteriTecnici!$M1808,",","."),0))),4)&amp;""),",",".")&amp;", "&amp;CHAR(34)&amp;"rawScore"&amp;CHAR(34)&amp;": "&amp;SUBSTITUTE(TRIM(ROUND(IFERROR(CriteriTecnici!$O1808*1,IFERROR(NUMBERVALUE(CriteriTecnici!$O1808,".",","),IFERROR(NUMBERVALUE(CriteriTecnici!$O1808,",","."),0))),4)&amp;""),",",".")&amp;CHAR(125)&amp;IF(TRUE,",",""))</f>
        <v/>
      </c>
    </row>
    <row r="1910">
      <c r="A1910" s="82">
        <f>IF(CriteriTecnici!$A1809="","","    "&amp;CHAR(123)&amp;CHAR(34)&amp;"bidderId"&amp;CHAR(34)&amp;": "&amp;CHAR(34)&amp;SUBSTITUTE(CriteriTecnici!$A1809,CHAR(34),"'")&amp;CHAR(34)&amp;", "&amp;CHAR(34)&amp;"lotId"&amp;CHAR(34)&amp;": "&amp;CHAR(34)&amp;SUBSTITUTE(CriteriTecnici!$C1809,CHAR(34),"'")&amp;CHAR(34)&amp;", "&amp;CHAR(34)&amp;"criterionId"&amp;CHAR(34)&amp;": "&amp;CHAR(34)&amp;SUBSTITUTE(CriteriTecnici!$D1809,CHAR(34),"'")&amp;CHAR(34)&amp;", "&amp;CHAR(34)&amp;"kind"&amp;CHAR(34)&amp;": "&amp;CHAR(34)&amp;SUBSTITUTE(CriteriTecnici!$F1809,CHAR(34),"'")&amp;CHAR(34)&amp;", "&amp;CHAR(34)&amp;"value"&amp;CHAR(34)&amp;": "&amp;SUBSTITUTE(TRIM(ROUND(IFERROR(CriteriTecnici!$N1809*1,IFERROR(NUMBERVALUE(CriteriTecnici!$N1809,".",","),IFERROR(NUMBERVALUE(CriteriTecnici!$N1809,",","."),0))),4)&amp;""),",",".")&amp;", "&amp;CHAR(34)&amp;"numerator"&amp;CHAR(34)&amp;": "&amp;SUBSTITUTE(TRIM(ROUND(IFERROR(CriteriTecnici!$K1809*1,IFERROR(NUMBERVALUE(CriteriTecnici!$K1809,".",","),IFERROR(NUMBERVALUE(CriteriTecnici!$K1809,",","."),0))),4)&amp;""),",",".")&amp;", "&amp;CHAR(34)&amp;"denominator"&amp;CHAR(34)&amp;": "&amp;SUBSTITUTE(TRIM(ROUND(IFERROR(CriteriTecnici!$L1809*1,IFERROR(NUMBERVALUE(CriteriTecnici!$L1809,".",","),IFERROR(NUMBERVALUE(CriteriTecnici!$L1809,",","."),0))),4)&amp;""),",",".")&amp;", "&amp;CHAR(34)&amp;"flag"&amp;CHAR(34)&amp;": "&amp;SUBSTITUTE(TRIM(ROUND(IFERROR(CriteriTecnici!$M1809*1,IFERROR(NUMBERVALUE(CriteriTecnici!$M1809,".",","),IFERROR(NUMBERVALUE(CriteriTecnici!$M1809,",","."),0))),4)&amp;""),",",".")&amp;", "&amp;CHAR(34)&amp;"rawScore"&amp;CHAR(34)&amp;": "&amp;SUBSTITUTE(TRIM(ROUND(IFERROR(CriteriTecnici!$O1809*1,IFERROR(NUMBERVALUE(CriteriTecnici!$O1809,".",","),IFERROR(NUMBERVALUE(CriteriTecnici!$O1809,",","."),0))),4)&amp;""),",",".")&amp;CHAR(125)&amp;IF(TRUE,",",""))</f>
        <v/>
      </c>
    </row>
    <row r="1911">
      <c r="A1911" s="82">
        <f>IF(CriteriTecnici!$A1810="","","    "&amp;CHAR(123)&amp;CHAR(34)&amp;"bidderId"&amp;CHAR(34)&amp;": "&amp;CHAR(34)&amp;SUBSTITUTE(CriteriTecnici!$A1810,CHAR(34),"'")&amp;CHAR(34)&amp;", "&amp;CHAR(34)&amp;"lotId"&amp;CHAR(34)&amp;": "&amp;CHAR(34)&amp;SUBSTITUTE(CriteriTecnici!$C1810,CHAR(34),"'")&amp;CHAR(34)&amp;", "&amp;CHAR(34)&amp;"criterionId"&amp;CHAR(34)&amp;": "&amp;CHAR(34)&amp;SUBSTITUTE(CriteriTecnici!$D1810,CHAR(34),"'")&amp;CHAR(34)&amp;", "&amp;CHAR(34)&amp;"kind"&amp;CHAR(34)&amp;": "&amp;CHAR(34)&amp;SUBSTITUTE(CriteriTecnici!$F1810,CHAR(34),"'")&amp;CHAR(34)&amp;", "&amp;CHAR(34)&amp;"value"&amp;CHAR(34)&amp;": "&amp;SUBSTITUTE(TRIM(ROUND(IFERROR(CriteriTecnici!$N1810*1,IFERROR(NUMBERVALUE(CriteriTecnici!$N1810,".",","),IFERROR(NUMBERVALUE(CriteriTecnici!$N1810,",","."),0))),4)&amp;""),",",".")&amp;", "&amp;CHAR(34)&amp;"numerator"&amp;CHAR(34)&amp;": "&amp;SUBSTITUTE(TRIM(ROUND(IFERROR(CriteriTecnici!$K1810*1,IFERROR(NUMBERVALUE(CriteriTecnici!$K1810,".",","),IFERROR(NUMBERVALUE(CriteriTecnici!$K1810,",","."),0))),4)&amp;""),",",".")&amp;", "&amp;CHAR(34)&amp;"denominator"&amp;CHAR(34)&amp;": "&amp;SUBSTITUTE(TRIM(ROUND(IFERROR(CriteriTecnici!$L1810*1,IFERROR(NUMBERVALUE(CriteriTecnici!$L1810,".",","),IFERROR(NUMBERVALUE(CriteriTecnici!$L1810,",","."),0))),4)&amp;""),",",".")&amp;", "&amp;CHAR(34)&amp;"flag"&amp;CHAR(34)&amp;": "&amp;SUBSTITUTE(TRIM(ROUND(IFERROR(CriteriTecnici!$M1810*1,IFERROR(NUMBERVALUE(CriteriTecnici!$M1810,".",","),IFERROR(NUMBERVALUE(CriteriTecnici!$M1810,",","."),0))),4)&amp;""),",",".")&amp;", "&amp;CHAR(34)&amp;"rawScore"&amp;CHAR(34)&amp;": "&amp;SUBSTITUTE(TRIM(ROUND(IFERROR(CriteriTecnici!$O1810*1,IFERROR(NUMBERVALUE(CriteriTecnici!$O1810,".",","),IFERROR(NUMBERVALUE(CriteriTecnici!$O1810,",","."),0))),4)&amp;""),",",".")&amp;CHAR(125)&amp;IF(TRUE,",",""))</f>
        <v/>
      </c>
    </row>
    <row r="1912">
      <c r="A1912" s="82">
        <f>IF(CriteriTecnici!$A1811="","","    "&amp;CHAR(123)&amp;CHAR(34)&amp;"bidderId"&amp;CHAR(34)&amp;": "&amp;CHAR(34)&amp;SUBSTITUTE(CriteriTecnici!$A1811,CHAR(34),"'")&amp;CHAR(34)&amp;", "&amp;CHAR(34)&amp;"lotId"&amp;CHAR(34)&amp;": "&amp;CHAR(34)&amp;SUBSTITUTE(CriteriTecnici!$C1811,CHAR(34),"'")&amp;CHAR(34)&amp;", "&amp;CHAR(34)&amp;"criterionId"&amp;CHAR(34)&amp;": "&amp;CHAR(34)&amp;SUBSTITUTE(CriteriTecnici!$D1811,CHAR(34),"'")&amp;CHAR(34)&amp;", "&amp;CHAR(34)&amp;"kind"&amp;CHAR(34)&amp;": "&amp;CHAR(34)&amp;SUBSTITUTE(CriteriTecnici!$F1811,CHAR(34),"'")&amp;CHAR(34)&amp;", "&amp;CHAR(34)&amp;"value"&amp;CHAR(34)&amp;": "&amp;SUBSTITUTE(TRIM(ROUND(IFERROR(CriteriTecnici!$N1811*1,IFERROR(NUMBERVALUE(CriteriTecnici!$N1811,".",","),IFERROR(NUMBERVALUE(CriteriTecnici!$N1811,",","."),0))),4)&amp;""),",",".")&amp;", "&amp;CHAR(34)&amp;"numerator"&amp;CHAR(34)&amp;": "&amp;SUBSTITUTE(TRIM(ROUND(IFERROR(CriteriTecnici!$K1811*1,IFERROR(NUMBERVALUE(CriteriTecnici!$K1811,".",","),IFERROR(NUMBERVALUE(CriteriTecnici!$K1811,",","."),0))),4)&amp;""),",",".")&amp;", "&amp;CHAR(34)&amp;"denominator"&amp;CHAR(34)&amp;": "&amp;SUBSTITUTE(TRIM(ROUND(IFERROR(CriteriTecnici!$L1811*1,IFERROR(NUMBERVALUE(CriteriTecnici!$L1811,".",","),IFERROR(NUMBERVALUE(CriteriTecnici!$L1811,",","."),0))),4)&amp;""),",",".")&amp;", "&amp;CHAR(34)&amp;"flag"&amp;CHAR(34)&amp;": "&amp;SUBSTITUTE(TRIM(ROUND(IFERROR(CriteriTecnici!$M1811*1,IFERROR(NUMBERVALUE(CriteriTecnici!$M1811,".",","),IFERROR(NUMBERVALUE(CriteriTecnici!$M1811,",","."),0))),4)&amp;""),",",".")&amp;", "&amp;CHAR(34)&amp;"rawScore"&amp;CHAR(34)&amp;": "&amp;SUBSTITUTE(TRIM(ROUND(IFERROR(CriteriTecnici!$O1811*1,IFERROR(NUMBERVALUE(CriteriTecnici!$O1811,".",","),IFERROR(NUMBERVALUE(CriteriTecnici!$O1811,",","."),0))),4)&amp;""),",",".")&amp;CHAR(125)&amp;IF(TRUE,",",""))</f>
        <v/>
      </c>
    </row>
    <row r="1913">
      <c r="A1913" s="82">
        <f>IF(CriteriTecnici!$A1812="","","    "&amp;CHAR(123)&amp;CHAR(34)&amp;"bidderId"&amp;CHAR(34)&amp;": "&amp;CHAR(34)&amp;SUBSTITUTE(CriteriTecnici!$A1812,CHAR(34),"'")&amp;CHAR(34)&amp;", "&amp;CHAR(34)&amp;"lotId"&amp;CHAR(34)&amp;": "&amp;CHAR(34)&amp;SUBSTITUTE(CriteriTecnici!$C1812,CHAR(34),"'")&amp;CHAR(34)&amp;", "&amp;CHAR(34)&amp;"criterionId"&amp;CHAR(34)&amp;": "&amp;CHAR(34)&amp;SUBSTITUTE(CriteriTecnici!$D1812,CHAR(34),"'")&amp;CHAR(34)&amp;", "&amp;CHAR(34)&amp;"kind"&amp;CHAR(34)&amp;": "&amp;CHAR(34)&amp;SUBSTITUTE(CriteriTecnici!$F1812,CHAR(34),"'")&amp;CHAR(34)&amp;", "&amp;CHAR(34)&amp;"value"&amp;CHAR(34)&amp;": "&amp;SUBSTITUTE(TRIM(ROUND(IFERROR(CriteriTecnici!$N1812*1,IFERROR(NUMBERVALUE(CriteriTecnici!$N1812,".",","),IFERROR(NUMBERVALUE(CriteriTecnici!$N1812,",","."),0))),4)&amp;""),",",".")&amp;", "&amp;CHAR(34)&amp;"numerator"&amp;CHAR(34)&amp;": "&amp;SUBSTITUTE(TRIM(ROUND(IFERROR(CriteriTecnici!$K1812*1,IFERROR(NUMBERVALUE(CriteriTecnici!$K1812,".",","),IFERROR(NUMBERVALUE(CriteriTecnici!$K1812,",","."),0))),4)&amp;""),",",".")&amp;", "&amp;CHAR(34)&amp;"denominator"&amp;CHAR(34)&amp;": "&amp;SUBSTITUTE(TRIM(ROUND(IFERROR(CriteriTecnici!$L1812*1,IFERROR(NUMBERVALUE(CriteriTecnici!$L1812,".",","),IFERROR(NUMBERVALUE(CriteriTecnici!$L1812,",","."),0))),4)&amp;""),",",".")&amp;", "&amp;CHAR(34)&amp;"flag"&amp;CHAR(34)&amp;": "&amp;SUBSTITUTE(TRIM(ROUND(IFERROR(CriteriTecnici!$M1812*1,IFERROR(NUMBERVALUE(CriteriTecnici!$M1812,".",","),IFERROR(NUMBERVALUE(CriteriTecnici!$M1812,",","."),0))),4)&amp;""),",",".")&amp;", "&amp;CHAR(34)&amp;"rawScore"&amp;CHAR(34)&amp;": "&amp;SUBSTITUTE(TRIM(ROUND(IFERROR(CriteriTecnici!$O1812*1,IFERROR(NUMBERVALUE(CriteriTecnici!$O1812,".",","),IFERROR(NUMBERVALUE(CriteriTecnici!$O1812,",","."),0))),4)&amp;""),",",".")&amp;CHAR(125)&amp;IF(TRUE,",",""))</f>
        <v/>
      </c>
    </row>
    <row r="1914">
      <c r="A1914" s="82">
        <f>IF(CriteriTecnici!$A1813="","","    "&amp;CHAR(123)&amp;CHAR(34)&amp;"bidderId"&amp;CHAR(34)&amp;": "&amp;CHAR(34)&amp;SUBSTITUTE(CriteriTecnici!$A1813,CHAR(34),"'")&amp;CHAR(34)&amp;", "&amp;CHAR(34)&amp;"lotId"&amp;CHAR(34)&amp;": "&amp;CHAR(34)&amp;SUBSTITUTE(CriteriTecnici!$C1813,CHAR(34),"'")&amp;CHAR(34)&amp;", "&amp;CHAR(34)&amp;"criterionId"&amp;CHAR(34)&amp;": "&amp;CHAR(34)&amp;SUBSTITUTE(CriteriTecnici!$D1813,CHAR(34),"'")&amp;CHAR(34)&amp;", "&amp;CHAR(34)&amp;"kind"&amp;CHAR(34)&amp;": "&amp;CHAR(34)&amp;SUBSTITUTE(CriteriTecnici!$F1813,CHAR(34),"'")&amp;CHAR(34)&amp;", "&amp;CHAR(34)&amp;"value"&amp;CHAR(34)&amp;": "&amp;SUBSTITUTE(TRIM(ROUND(IFERROR(CriteriTecnici!$N1813*1,IFERROR(NUMBERVALUE(CriteriTecnici!$N1813,".",","),IFERROR(NUMBERVALUE(CriteriTecnici!$N1813,",","."),0))),4)&amp;""),",",".")&amp;", "&amp;CHAR(34)&amp;"numerator"&amp;CHAR(34)&amp;": "&amp;SUBSTITUTE(TRIM(ROUND(IFERROR(CriteriTecnici!$K1813*1,IFERROR(NUMBERVALUE(CriteriTecnici!$K1813,".",","),IFERROR(NUMBERVALUE(CriteriTecnici!$K1813,",","."),0))),4)&amp;""),",",".")&amp;", "&amp;CHAR(34)&amp;"denominator"&amp;CHAR(34)&amp;": "&amp;SUBSTITUTE(TRIM(ROUND(IFERROR(CriteriTecnici!$L1813*1,IFERROR(NUMBERVALUE(CriteriTecnici!$L1813,".",","),IFERROR(NUMBERVALUE(CriteriTecnici!$L1813,",","."),0))),4)&amp;""),",",".")&amp;", "&amp;CHAR(34)&amp;"flag"&amp;CHAR(34)&amp;": "&amp;SUBSTITUTE(TRIM(ROUND(IFERROR(CriteriTecnici!$M1813*1,IFERROR(NUMBERVALUE(CriteriTecnici!$M1813,".",","),IFERROR(NUMBERVALUE(CriteriTecnici!$M1813,",","."),0))),4)&amp;""),",",".")&amp;", "&amp;CHAR(34)&amp;"rawScore"&amp;CHAR(34)&amp;": "&amp;SUBSTITUTE(TRIM(ROUND(IFERROR(CriteriTecnici!$O1813*1,IFERROR(NUMBERVALUE(CriteriTecnici!$O1813,".",","),IFERROR(NUMBERVALUE(CriteriTecnici!$O1813,",","."),0))),4)&amp;""),",",".")&amp;CHAR(125)&amp;IF(TRUE,",",""))</f>
        <v/>
      </c>
    </row>
    <row r="1915">
      <c r="A1915" s="82">
        <f>IF(CriteriTecnici!$A1814="","","    "&amp;CHAR(123)&amp;CHAR(34)&amp;"bidderId"&amp;CHAR(34)&amp;": "&amp;CHAR(34)&amp;SUBSTITUTE(CriteriTecnici!$A1814,CHAR(34),"'")&amp;CHAR(34)&amp;", "&amp;CHAR(34)&amp;"lotId"&amp;CHAR(34)&amp;": "&amp;CHAR(34)&amp;SUBSTITUTE(CriteriTecnici!$C1814,CHAR(34),"'")&amp;CHAR(34)&amp;", "&amp;CHAR(34)&amp;"criterionId"&amp;CHAR(34)&amp;": "&amp;CHAR(34)&amp;SUBSTITUTE(CriteriTecnici!$D1814,CHAR(34),"'")&amp;CHAR(34)&amp;", "&amp;CHAR(34)&amp;"kind"&amp;CHAR(34)&amp;": "&amp;CHAR(34)&amp;SUBSTITUTE(CriteriTecnici!$F1814,CHAR(34),"'")&amp;CHAR(34)&amp;", "&amp;CHAR(34)&amp;"value"&amp;CHAR(34)&amp;": "&amp;SUBSTITUTE(TRIM(ROUND(IFERROR(CriteriTecnici!$N1814*1,IFERROR(NUMBERVALUE(CriteriTecnici!$N1814,".",","),IFERROR(NUMBERVALUE(CriteriTecnici!$N1814,",","."),0))),4)&amp;""),",",".")&amp;", "&amp;CHAR(34)&amp;"numerator"&amp;CHAR(34)&amp;": "&amp;SUBSTITUTE(TRIM(ROUND(IFERROR(CriteriTecnici!$K1814*1,IFERROR(NUMBERVALUE(CriteriTecnici!$K1814,".",","),IFERROR(NUMBERVALUE(CriteriTecnici!$K1814,",","."),0))),4)&amp;""),",",".")&amp;", "&amp;CHAR(34)&amp;"denominator"&amp;CHAR(34)&amp;": "&amp;SUBSTITUTE(TRIM(ROUND(IFERROR(CriteriTecnici!$L1814*1,IFERROR(NUMBERVALUE(CriteriTecnici!$L1814,".",","),IFERROR(NUMBERVALUE(CriteriTecnici!$L1814,",","."),0))),4)&amp;""),",",".")&amp;", "&amp;CHAR(34)&amp;"flag"&amp;CHAR(34)&amp;": "&amp;SUBSTITUTE(TRIM(ROUND(IFERROR(CriteriTecnici!$M1814*1,IFERROR(NUMBERVALUE(CriteriTecnici!$M1814,".",","),IFERROR(NUMBERVALUE(CriteriTecnici!$M1814,",","."),0))),4)&amp;""),",",".")&amp;", "&amp;CHAR(34)&amp;"rawScore"&amp;CHAR(34)&amp;": "&amp;SUBSTITUTE(TRIM(ROUND(IFERROR(CriteriTecnici!$O1814*1,IFERROR(NUMBERVALUE(CriteriTecnici!$O1814,".",","),IFERROR(NUMBERVALUE(CriteriTecnici!$O1814,",","."),0))),4)&amp;""),",",".")&amp;CHAR(125)&amp;IF(TRUE,",",""))</f>
        <v/>
      </c>
    </row>
    <row r="1916">
      <c r="A1916" s="82">
        <f>IF(CriteriTecnici!$A1815="","","    "&amp;CHAR(123)&amp;CHAR(34)&amp;"bidderId"&amp;CHAR(34)&amp;": "&amp;CHAR(34)&amp;SUBSTITUTE(CriteriTecnici!$A1815,CHAR(34),"'")&amp;CHAR(34)&amp;", "&amp;CHAR(34)&amp;"lotId"&amp;CHAR(34)&amp;": "&amp;CHAR(34)&amp;SUBSTITUTE(CriteriTecnici!$C1815,CHAR(34),"'")&amp;CHAR(34)&amp;", "&amp;CHAR(34)&amp;"criterionId"&amp;CHAR(34)&amp;": "&amp;CHAR(34)&amp;SUBSTITUTE(CriteriTecnici!$D1815,CHAR(34),"'")&amp;CHAR(34)&amp;", "&amp;CHAR(34)&amp;"kind"&amp;CHAR(34)&amp;": "&amp;CHAR(34)&amp;SUBSTITUTE(CriteriTecnici!$F1815,CHAR(34),"'")&amp;CHAR(34)&amp;", "&amp;CHAR(34)&amp;"value"&amp;CHAR(34)&amp;": "&amp;SUBSTITUTE(TRIM(ROUND(IFERROR(CriteriTecnici!$N1815*1,IFERROR(NUMBERVALUE(CriteriTecnici!$N1815,".",","),IFERROR(NUMBERVALUE(CriteriTecnici!$N1815,",","."),0))),4)&amp;""),",",".")&amp;", "&amp;CHAR(34)&amp;"numerator"&amp;CHAR(34)&amp;": "&amp;SUBSTITUTE(TRIM(ROUND(IFERROR(CriteriTecnici!$K1815*1,IFERROR(NUMBERVALUE(CriteriTecnici!$K1815,".",","),IFERROR(NUMBERVALUE(CriteriTecnici!$K1815,",","."),0))),4)&amp;""),",",".")&amp;", "&amp;CHAR(34)&amp;"denominator"&amp;CHAR(34)&amp;": "&amp;SUBSTITUTE(TRIM(ROUND(IFERROR(CriteriTecnici!$L1815*1,IFERROR(NUMBERVALUE(CriteriTecnici!$L1815,".",","),IFERROR(NUMBERVALUE(CriteriTecnici!$L1815,",","."),0))),4)&amp;""),",",".")&amp;", "&amp;CHAR(34)&amp;"flag"&amp;CHAR(34)&amp;": "&amp;SUBSTITUTE(TRIM(ROUND(IFERROR(CriteriTecnici!$M1815*1,IFERROR(NUMBERVALUE(CriteriTecnici!$M1815,".",","),IFERROR(NUMBERVALUE(CriteriTecnici!$M1815,",","."),0))),4)&amp;""),",",".")&amp;", "&amp;CHAR(34)&amp;"rawScore"&amp;CHAR(34)&amp;": "&amp;SUBSTITUTE(TRIM(ROUND(IFERROR(CriteriTecnici!$O1815*1,IFERROR(NUMBERVALUE(CriteriTecnici!$O1815,".",","),IFERROR(NUMBERVALUE(CriteriTecnici!$O1815,",","."),0))),4)&amp;""),",",".")&amp;CHAR(125)&amp;IF(TRUE,",",""))</f>
        <v/>
      </c>
    </row>
    <row r="1917">
      <c r="A1917" s="82">
        <f>IF(CriteriTecnici!$A1816="","","    "&amp;CHAR(123)&amp;CHAR(34)&amp;"bidderId"&amp;CHAR(34)&amp;": "&amp;CHAR(34)&amp;SUBSTITUTE(CriteriTecnici!$A1816,CHAR(34),"'")&amp;CHAR(34)&amp;", "&amp;CHAR(34)&amp;"lotId"&amp;CHAR(34)&amp;": "&amp;CHAR(34)&amp;SUBSTITUTE(CriteriTecnici!$C1816,CHAR(34),"'")&amp;CHAR(34)&amp;", "&amp;CHAR(34)&amp;"criterionId"&amp;CHAR(34)&amp;": "&amp;CHAR(34)&amp;SUBSTITUTE(CriteriTecnici!$D1816,CHAR(34),"'")&amp;CHAR(34)&amp;", "&amp;CHAR(34)&amp;"kind"&amp;CHAR(34)&amp;": "&amp;CHAR(34)&amp;SUBSTITUTE(CriteriTecnici!$F1816,CHAR(34),"'")&amp;CHAR(34)&amp;", "&amp;CHAR(34)&amp;"value"&amp;CHAR(34)&amp;": "&amp;SUBSTITUTE(TRIM(ROUND(IFERROR(CriteriTecnici!$N1816*1,IFERROR(NUMBERVALUE(CriteriTecnici!$N1816,".",","),IFERROR(NUMBERVALUE(CriteriTecnici!$N1816,",","."),0))),4)&amp;""),",",".")&amp;", "&amp;CHAR(34)&amp;"numerator"&amp;CHAR(34)&amp;": "&amp;SUBSTITUTE(TRIM(ROUND(IFERROR(CriteriTecnici!$K1816*1,IFERROR(NUMBERVALUE(CriteriTecnici!$K1816,".",","),IFERROR(NUMBERVALUE(CriteriTecnici!$K1816,",","."),0))),4)&amp;""),",",".")&amp;", "&amp;CHAR(34)&amp;"denominator"&amp;CHAR(34)&amp;": "&amp;SUBSTITUTE(TRIM(ROUND(IFERROR(CriteriTecnici!$L1816*1,IFERROR(NUMBERVALUE(CriteriTecnici!$L1816,".",","),IFERROR(NUMBERVALUE(CriteriTecnici!$L1816,",","."),0))),4)&amp;""),",",".")&amp;", "&amp;CHAR(34)&amp;"flag"&amp;CHAR(34)&amp;": "&amp;SUBSTITUTE(TRIM(ROUND(IFERROR(CriteriTecnici!$M1816*1,IFERROR(NUMBERVALUE(CriteriTecnici!$M1816,".",","),IFERROR(NUMBERVALUE(CriteriTecnici!$M1816,",","."),0))),4)&amp;""),",",".")&amp;", "&amp;CHAR(34)&amp;"rawScore"&amp;CHAR(34)&amp;": "&amp;SUBSTITUTE(TRIM(ROUND(IFERROR(CriteriTecnici!$O1816*1,IFERROR(NUMBERVALUE(CriteriTecnici!$O1816,".",","),IFERROR(NUMBERVALUE(CriteriTecnici!$O1816,",","."),0))),4)&amp;""),",",".")&amp;CHAR(125)&amp;IF(TRUE,",",""))</f>
        <v/>
      </c>
    </row>
    <row r="1918">
      <c r="A1918" s="82">
        <f>IF(CriteriTecnici!$A1817="","","    "&amp;CHAR(123)&amp;CHAR(34)&amp;"bidderId"&amp;CHAR(34)&amp;": "&amp;CHAR(34)&amp;SUBSTITUTE(CriteriTecnici!$A1817,CHAR(34),"'")&amp;CHAR(34)&amp;", "&amp;CHAR(34)&amp;"lotId"&amp;CHAR(34)&amp;": "&amp;CHAR(34)&amp;SUBSTITUTE(CriteriTecnici!$C1817,CHAR(34),"'")&amp;CHAR(34)&amp;", "&amp;CHAR(34)&amp;"criterionId"&amp;CHAR(34)&amp;": "&amp;CHAR(34)&amp;SUBSTITUTE(CriteriTecnici!$D1817,CHAR(34),"'")&amp;CHAR(34)&amp;", "&amp;CHAR(34)&amp;"kind"&amp;CHAR(34)&amp;": "&amp;CHAR(34)&amp;SUBSTITUTE(CriteriTecnici!$F1817,CHAR(34),"'")&amp;CHAR(34)&amp;", "&amp;CHAR(34)&amp;"value"&amp;CHAR(34)&amp;": "&amp;SUBSTITUTE(TRIM(ROUND(IFERROR(CriteriTecnici!$N1817*1,IFERROR(NUMBERVALUE(CriteriTecnici!$N1817,".",","),IFERROR(NUMBERVALUE(CriteriTecnici!$N1817,",","."),0))),4)&amp;""),",",".")&amp;", "&amp;CHAR(34)&amp;"numerator"&amp;CHAR(34)&amp;": "&amp;SUBSTITUTE(TRIM(ROUND(IFERROR(CriteriTecnici!$K1817*1,IFERROR(NUMBERVALUE(CriteriTecnici!$K1817,".",","),IFERROR(NUMBERVALUE(CriteriTecnici!$K1817,",","."),0))),4)&amp;""),",",".")&amp;", "&amp;CHAR(34)&amp;"denominator"&amp;CHAR(34)&amp;": "&amp;SUBSTITUTE(TRIM(ROUND(IFERROR(CriteriTecnici!$L1817*1,IFERROR(NUMBERVALUE(CriteriTecnici!$L1817,".",","),IFERROR(NUMBERVALUE(CriteriTecnici!$L1817,",","."),0))),4)&amp;""),",",".")&amp;", "&amp;CHAR(34)&amp;"flag"&amp;CHAR(34)&amp;": "&amp;SUBSTITUTE(TRIM(ROUND(IFERROR(CriteriTecnici!$M1817*1,IFERROR(NUMBERVALUE(CriteriTecnici!$M1817,".",","),IFERROR(NUMBERVALUE(CriteriTecnici!$M1817,",","."),0))),4)&amp;""),",",".")&amp;", "&amp;CHAR(34)&amp;"rawScore"&amp;CHAR(34)&amp;": "&amp;SUBSTITUTE(TRIM(ROUND(IFERROR(CriteriTecnici!$O1817*1,IFERROR(NUMBERVALUE(CriteriTecnici!$O1817,".",","),IFERROR(NUMBERVALUE(CriteriTecnici!$O1817,",","."),0))),4)&amp;""),",",".")&amp;CHAR(125)&amp;IF(TRUE,",",""))</f>
        <v/>
      </c>
    </row>
    <row r="1919">
      <c r="A1919" s="82">
        <f>IF(CriteriTecnici!$A1818="","","    "&amp;CHAR(123)&amp;CHAR(34)&amp;"bidderId"&amp;CHAR(34)&amp;": "&amp;CHAR(34)&amp;SUBSTITUTE(CriteriTecnici!$A1818,CHAR(34),"'")&amp;CHAR(34)&amp;", "&amp;CHAR(34)&amp;"lotId"&amp;CHAR(34)&amp;": "&amp;CHAR(34)&amp;SUBSTITUTE(CriteriTecnici!$C1818,CHAR(34),"'")&amp;CHAR(34)&amp;", "&amp;CHAR(34)&amp;"criterionId"&amp;CHAR(34)&amp;": "&amp;CHAR(34)&amp;SUBSTITUTE(CriteriTecnici!$D1818,CHAR(34),"'")&amp;CHAR(34)&amp;", "&amp;CHAR(34)&amp;"kind"&amp;CHAR(34)&amp;": "&amp;CHAR(34)&amp;SUBSTITUTE(CriteriTecnici!$F1818,CHAR(34),"'")&amp;CHAR(34)&amp;", "&amp;CHAR(34)&amp;"value"&amp;CHAR(34)&amp;": "&amp;SUBSTITUTE(TRIM(ROUND(IFERROR(CriteriTecnici!$N1818*1,IFERROR(NUMBERVALUE(CriteriTecnici!$N1818,".",","),IFERROR(NUMBERVALUE(CriteriTecnici!$N1818,",","."),0))),4)&amp;""),",",".")&amp;", "&amp;CHAR(34)&amp;"numerator"&amp;CHAR(34)&amp;": "&amp;SUBSTITUTE(TRIM(ROUND(IFERROR(CriteriTecnici!$K1818*1,IFERROR(NUMBERVALUE(CriteriTecnici!$K1818,".",","),IFERROR(NUMBERVALUE(CriteriTecnici!$K1818,",","."),0))),4)&amp;""),",",".")&amp;", "&amp;CHAR(34)&amp;"denominator"&amp;CHAR(34)&amp;": "&amp;SUBSTITUTE(TRIM(ROUND(IFERROR(CriteriTecnici!$L1818*1,IFERROR(NUMBERVALUE(CriteriTecnici!$L1818,".",","),IFERROR(NUMBERVALUE(CriteriTecnici!$L1818,",","."),0))),4)&amp;""),",",".")&amp;", "&amp;CHAR(34)&amp;"flag"&amp;CHAR(34)&amp;": "&amp;SUBSTITUTE(TRIM(ROUND(IFERROR(CriteriTecnici!$M1818*1,IFERROR(NUMBERVALUE(CriteriTecnici!$M1818,".",","),IFERROR(NUMBERVALUE(CriteriTecnici!$M1818,",","."),0))),4)&amp;""),",",".")&amp;", "&amp;CHAR(34)&amp;"rawScore"&amp;CHAR(34)&amp;": "&amp;SUBSTITUTE(TRIM(ROUND(IFERROR(CriteriTecnici!$O1818*1,IFERROR(NUMBERVALUE(CriteriTecnici!$O1818,".",","),IFERROR(NUMBERVALUE(CriteriTecnici!$O1818,",","."),0))),4)&amp;""),",",".")&amp;CHAR(125)&amp;IF(TRUE,",",""))</f>
        <v/>
      </c>
    </row>
    <row r="1920">
      <c r="A1920" s="82">
        <f>IF(CriteriTecnici!$A1819="","","    "&amp;CHAR(123)&amp;CHAR(34)&amp;"bidderId"&amp;CHAR(34)&amp;": "&amp;CHAR(34)&amp;SUBSTITUTE(CriteriTecnici!$A1819,CHAR(34),"'")&amp;CHAR(34)&amp;", "&amp;CHAR(34)&amp;"lotId"&amp;CHAR(34)&amp;": "&amp;CHAR(34)&amp;SUBSTITUTE(CriteriTecnici!$C1819,CHAR(34),"'")&amp;CHAR(34)&amp;", "&amp;CHAR(34)&amp;"criterionId"&amp;CHAR(34)&amp;": "&amp;CHAR(34)&amp;SUBSTITUTE(CriteriTecnici!$D1819,CHAR(34),"'")&amp;CHAR(34)&amp;", "&amp;CHAR(34)&amp;"kind"&amp;CHAR(34)&amp;": "&amp;CHAR(34)&amp;SUBSTITUTE(CriteriTecnici!$F1819,CHAR(34),"'")&amp;CHAR(34)&amp;", "&amp;CHAR(34)&amp;"value"&amp;CHAR(34)&amp;": "&amp;SUBSTITUTE(TRIM(ROUND(IFERROR(CriteriTecnici!$N1819*1,IFERROR(NUMBERVALUE(CriteriTecnici!$N1819,".",","),IFERROR(NUMBERVALUE(CriteriTecnici!$N1819,",","."),0))),4)&amp;""),",",".")&amp;", "&amp;CHAR(34)&amp;"numerator"&amp;CHAR(34)&amp;": "&amp;SUBSTITUTE(TRIM(ROUND(IFERROR(CriteriTecnici!$K1819*1,IFERROR(NUMBERVALUE(CriteriTecnici!$K1819,".",","),IFERROR(NUMBERVALUE(CriteriTecnici!$K1819,",","."),0))),4)&amp;""),",",".")&amp;", "&amp;CHAR(34)&amp;"denominator"&amp;CHAR(34)&amp;": "&amp;SUBSTITUTE(TRIM(ROUND(IFERROR(CriteriTecnici!$L1819*1,IFERROR(NUMBERVALUE(CriteriTecnici!$L1819,".",","),IFERROR(NUMBERVALUE(CriteriTecnici!$L1819,",","."),0))),4)&amp;""),",",".")&amp;", "&amp;CHAR(34)&amp;"flag"&amp;CHAR(34)&amp;": "&amp;SUBSTITUTE(TRIM(ROUND(IFERROR(CriteriTecnici!$M1819*1,IFERROR(NUMBERVALUE(CriteriTecnici!$M1819,".",","),IFERROR(NUMBERVALUE(CriteriTecnici!$M1819,",","."),0))),4)&amp;""),",",".")&amp;", "&amp;CHAR(34)&amp;"rawScore"&amp;CHAR(34)&amp;": "&amp;SUBSTITUTE(TRIM(ROUND(IFERROR(CriteriTecnici!$O1819*1,IFERROR(NUMBERVALUE(CriteriTecnici!$O1819,".",","),IFERROR(NUMBERVALUE(CriteriTecnici!$O1819,",","."),0))),4)&amp;""),",",".")&amp;CHAR(125)&amp;IF(TRUE,",",""))</f>
        <v/>
      </c>
    </row>
    <row r="1921">
      <c r="A1921" s="82">
        <f>IF(CriteriTecnici!$A1820="","","    "&amp;CHAR(123)&amp;CHAR(34)&amp;"bidderId"&amp;CHAR(34)&amp;": "&amp;CHAR(34)&amp;SUBSTITUTE(CriteriTecnici!$A1820,CHAR(34),"'")&amp;CHAR(34)&amp;", "&amp;CHAR(34)&amp;"lotId"&amp;CHAR(34)&amp;": "&amp;CHAR(34)&amp;SUBSTITUTE(CriteriTecnici!$C1820,CHAR(34),"'")&amp;CHAR(34)&amp;", "&amp;CHAR(34)&amp;"criterionId"&amp;CHAR(34)&amp;": "&amp;CHAR(34)&amp;SUBSTITUTE(CriteriTecnici!$D1820,CHAR(34),"'")&amp;CHAR(34)&amp;", "&amp;CHAR(34)&amp;"kind"&amp;CHAR(34)&amp;": "&amp;CHAR(34)&amp;SUBSTITUTE(CriteriTecnici!$F1820,CHAR(34),"'")&amp;CHAR(34)&amp;", "&amp;CHAR(34)&amp;"value"&amp;CHAR(34)&amp;": "&amp;SUBSTITUTE(TRIM(ROUND(IFERROR(CriteriTecnici!$N1820*1,IFERROR(NUMBERVALUE(CriteriTecnici!$N1820,".",","),IFERROR(NUMBERVALUE(CriteriTecnici!$N1820,",","."),0))),4)&amp;""),",",".")&amp;", "&amp;CHAR(34)&amp;"numerator"&amp;CHAR(34)&amp;": "&amp;SUBSTITUTE(TRIM(ROUND(IFERROR(CriteriTecnici!$K1820*1,IFERROR(NUMBERVALUE(CriteriTecnici!$K1820,".",","),IFERROR(NUMBERVALUE(CriteriTecnici!$K1820,",","."),0))),4)&amp;""),",",".")&amp;", "&amp;CHAR(34)&amp;"denominator"&amp;CHAR(34)&amp;": "&amp;SUBSTITUTE(TRIM(ROUND(IFERROR(CriteriTecnici!$L1820*1,IFERROR(NUMBERVALUE(CriteriTecnici!$L1820,".",","),IFERROR(NUMBERVALUE(CriteriTecnici!$L1820,",","."),0))),4)&amp;""),",",".")&amp;", "&amp;CHAR(34)&amp;"flag"&amp;CHAR(34)&amp;": "&amp;SUBSTITUTE(TRIM(ROUND(IFERROR(CriteriTecnici!$M1820*1,IFERROR(NUMBERVALUE(CriteriTecnici!$M1820,".",","),IFERROR(NUMBERVALUE(CriteriTecnici!$M1820,",","."),0))),4)&amp;""),",",".")&amp;", "&amp;CHAR(34)&amp;"rawScore"&amp;CHAR(34)&amp;": "&amp;SUBSTITUTE(TRIM(ROUND(IFERROR(CriteriTecnici!$O1820*1,IFERROR(NUMBERVALUE(CriteriTecnici!$O1820,".",","),IFERROR(NUMBERVALUE(CriteriTecnici!$O1820,",","."),0))),4)&amp;""),",",".")&amp;CHAR(125)&amp;IF(TRUE,",",""))</f>
        <v/>
      </c>
    </row>
    <row r="1922">
      <c r="A1922" s="82">
        <f>IF(CriteriTecnici!$A1821="","","    "&amp;CHAR(123)&amp;CHAR(34)&amp;"bidderId"&amp;CHAR(34)&amp;": "&amp;CHAR(34)&amp;SUBSTITUTE(CriteriTecnici!$A1821,CHAR(34),"'")&amp;CHAR(34)&amp;", "&amp;CHAR(34)&amp;"lotId"&amp;CHAR(34)&amp;": "&amp;CHAR(34)&amp;SUBSTITUTE(CriteriTecnici!$C1821,CHAR(34),"'")&amp;CHAR(34)&amp;", "&amp;CHAR(34)&amp;"criterionId"&amp;CHAR(34)&amp;": "&amp;CHAR(34)&amp;SUBSTITUTE(CriteriTecnici!$D1821,CHAR(34),"'")&amp;CHAR(34)&amp;", "&amp;CHAR(34)&amp;"kind"&amp;CHAR(34)&amp;": "&amp;CHAR(34)&amp;SUBSTITUTE(CriteriTecnici!$F1821,CHAR(34),"'")&amp;CHAR(34)&amp;", "&amp;CHAR(34)&amp;"value"&amp;CHAR(34)&amp;": "&amp;SUBSTITUTE(TRIM(ROUND(IFERROR(CriteriTecnici!$N1821*1,IFERROR(NUMBERVALUE(CriteriTecnici!$N1821,".",","),IFERROR(NUMBERVALUE(CriteriTecnici!$N1821,",","."),0))),4)&amp;""),",",".")&amp;", "&amp;CHAR(34)&amp;"numerator"&amp;CHAR(34)&amp;": "&amp;SUBSTITUTE(TRIM(ROUND(IFERROR(CriteriTecnici!$K1821*1,IFERROR(NUMBERVALUE(CriteriTecnici!$K1821,".",","),IFERROR(NUMBERVALUE(CriteriTecnici!$K1821,",","."),0))),4)&amp;""),",",".")&amp;", "&amp;CHAR(34)&amp;"denominator"&amp;CHAR(34)&amp;": "&amp;SUBSTITUTE(TRIM(ROUND(IFERROR(CriteriTecnici!$L1821*1,IFERROR(NUMBERVALUE(CriteriTecnici!$L1821,".",","),IFERROR(NUMBERVALUE(CriteriTecnici!$L1821,",","."),0))),4)&amp;""),",",".")&amp;", "&amp;CHAR(34)&amp;"flag"&amp;CHAR(34)&amp;": "&amp;SUBSTITUTE(TRIM(ROUND(IFERROR(CriteriTecnici!$M1821*1,IFERROR(NUMBERVALUE(CriteriTecnici!$M1821,".",","),IFERROR(NUMBERVALUE(CriteriTecnici!$M1821,",","."),0))),4)&amp;""),",",".")&amp;", "&amp;CHAR(34)&amp;"rawScore"&amp;CHAR(34)&amp;": "&amp;SUBSTITUTE(TRIM(ROUND(IFERROR(CriteriTecnici!$O1821*1,IFERROR(NUMBERVALUE(CriteriTecnici!$O1821,".",","),IFERROR(NUMBERVALUE(CriteriTecnici!$O1821,",","."),0))),4)&amp;""),",",".")&amp;CHAR(125)&amp;IF(TRUE,",",""))</f>
        <v/>
      </c>
    </row>
    <row r="1923">
      <c r="A1923" s="82">
        <f>IF(CriteriTecnici!$A1822="","","    "&amp;CHAR(123)&amp;CHAR(34)&amp;"bidderId"&amp;CHAR(34)&amp;": "&amp;CHAR(34)&amp;SUBSTITUTE(CriteriTecnici!$A1822,CHAR(34),"'")&amp;CHAR(34)&amp;", "&amp;CHAR(34)&amp;"lotId"&amp;CHAR(34)&amp;": "&amp;CHAR(34)&amp;SUBSTITUTE(CriteriTecnici!$C1822,CHAR(34),"'")&amp;CHAR(34)&amp;", "&amp;CHAR(34)&amp;"criterionId"&amp;CHAR(34)&amp;": "&amp;CHAR(34)&amp;SUBSTITUTE(CriteriTecnici!$D1822,CHAR(34),"'")&amp;CHAR(34)&amp;", "&amp;CHAR(34)&amp;"kind"&amp;CHAR(34)&amp;": "&amp;CHAR(34)&amp;SUBSTITUTE(CriteriTecnici!$F1822,CHAR(34),"'")&amp;CHAR(34)&amp;", "&amp;CHAR(34)&amp;"value"&amp;CHAR(34)&amp;": "&amp;SUBSTITUTE(TRIM(ROUND(IFERROR(CriteriTecnici!$N1822*1,IFERROR(NUMBERVALUE(CriteriTecnici!$N1822,".",","),IFERROR(NUMBERVALUE(CriteriTecnici!$N1822,",","."),0))),4)&amp;""),",",".")&amp;", "&amp;CHAR(34)&amp;"numerator"&amp;CHAR(34)&amp;": "&amp;SUBSTITUTE(TRIM(ROUND(IFERROR(CriteriTecnici!$K1822*1,IFERROR(NUMBERVALUE(CriteriTecnici!$K1822,".",","),IFERROR(NUMBERVALUE(CriteriTecnici!$K1822,",","."),0))),4)&amp;""),",",".")&amp;", "&amp;CHAR(34)&amp;"denominator"&amp;CHAR(34)&amp;": "&amp;SUBSTITUTE(TRIM(ROUND(IFERROR(CriteriTecnici!$L1822*1,IFERROR(NUMBERVALUE(CriteriTecnici!$L1822,".",","),IFERROR(NUMBERVALUE(CriteriTecnici!$L1822,",","."),0))),4)&amp;""),",",".")&amp;", "&amp;CHAR(34)&amp;"flag"&amp;CHAR(34)&amp;": "&amp;SUBSTITUTE(TRIM(ROUND(IFERROR(CriteriTecnici!$M1822*1,IFERROR(NUMBERVALUE(CriteriTecnici!$M1822,".",","),IFERROR(NUMBERVALUE(CriteriTecnici!$M1822,",","."),0))),4)&amp;""),",",".")&amp;", "&amp;CHAR(34)&amp;"rawScore"&amp;CHAR(34)&amp;": "&amp;SUBSTITUTE(TRIM(ROUND(IFERROR(CriteriTecnici!$O1822*1,IFERROR(NUMBERVALUE(CriteriTecnici!$O1822,".",","),IFERROR(NUMBERVALUE(CriteriTecnici!$O1822,",","."),0))),4)&amp;""),",",".")&amp;CHAR(125)&amp;IF(TRUE,",",""))</f>
        <v/>
      </c>
    </row>
    <row r="1924">
      <c r="A1924" s="82">
        <f>IF(CriteriTecnici!$A1823="","","    "&amp;CHAR(123)&amp;CHAR(34)&amp;"bidderId"&amp;CHAR(34)&amp;": "&amp;CHAR(34)&amp;SUBSTITUTE(CriteriTecnici!$A1823,CHAR(34),"'")&amp;CHAR(34)&amp;", "&amp;CHAR(34)&amp;"lotId"&amp;CHAR(34)&amp;": "&amp;CHAR(34)&amp;SUBSTITUTE(CriteriTecnici!$C1823,CHAR(34),"'")&amp;CHAR(34)&amp;", "&amp;CHAR(34)&amp;"criterionId"&amp;CHAR(34)&amp;": "&amp;CHAR(34)&amp;SUBSTITUTE(CriteriTecnici!$D1823,CHAR(34),"'")&amp;CHAR(34)&amp;", "&amp;CHAR(34)&amp;"kind"&amp;CHAR(34)&amp;": "&amp;CHAR(34)&amp;SUBSTITUTE(CriteriTecnici!$F1823,CHAR(34),"'")&amp;CHAR(34)&amp;", "&amp;CHAR(34)&amp;"value"&amp;CHAR(34)&amp;": "&amp;SUBSTITUTE(TRIM(ROUND(IFERROR(CriteriTecnici!$N1823*1,IFERROR(NUMBERVALUE(CriteriTecnici!$N1823,".",","),IFERROR(NUMBERVALUE(CriteriTecnici!$N1823,",","."),0))),4)&amp;""),",",".")&amp;", "&amp;CHAR(34)&amp;"numerator"&amp;CHAR(34)&amp;": "&amp;SUBSTITUTE(TRIM(ROUND(IFERROR(CriteriTecnici!$K1823*1,IFERROR(NUMBERVALUE(CriteriTecnici!$K1823,".",","),IFERROR(NUMBERVALUE(CriteriTecnici!$K1823,",","."),0))),4)&amp;""),",",".")&amp;", "&amp;CHAR(34)&amp;"denominator"&amp;CHAR(34)&amp;": "&amp;SUBSTITUTE(TRIM(ROUND(IFERROR(CriteriTecnici!$L1823*1,IFERROR(NUMBERVALUE(CriteriTecnici!$L1823,".",","),IFERROR(NUMBERVALUE(CriteriTecnici!$L1823,",","."),0))),4)&amp;""),",",".")&amp;", "&amp;CHAR(34)&amp;"flag"&amp;CHAR(34)&amp;": "&amp;SUBSTITUTE(TRIM(ROUND(IFERROR(CriteriTecnici!$M1823*1,IFERROR(NUMBERVALUE(CriteriTecnici!$M1823,".",","),IFERROR(NUMBERVALUE(CriteriTecnici!$M1823,",","."),0))),4)&amp;""),",",".")&amp;", "&amp;CHAR(34)&amp;"rawScore"&amp;CHAR(34)&amp;": "&amp;SUBSTITUTE(TRIM(ROUND(IFERROR(CriteriTecnici!$O1823*1,IFERROR(NUMBERVALUE(CriteriTecnici!$O1823,".",","),IFERROR(NUMBERVALUE(CriteriTecnici!$O1823,",","."),0))),4)&amp;""),",",".")&amp;CHAR(125)&amp;IF(TRUE,",",""))</f>
        <v/>
      </c>
    </row>
    <row r="1925">
      <c r="A1925" s="82">
        <f>IF(CriteriTecnici!$A1824="","","    "&amp;CHAR(123)&amp;CHAR(34)&amp;"bidderId"&amp;CHAR(34)&amp;": "&amp;CHAR(34)&amp;SUBSTITUTE(CriteriTecnici!$A1824,CHAR(34),"'")&amp;CHAR(34)&amp;", "&amp;CHAR(34)&amp;"lotId"&amp;CHAR(34)&amp;": "&amp;CHAR(34)&amp;SUBSTITUTE(CriteriTecnici!$C1824,CHAR(34),"'")&amp;CHAR(34)&amp;", "&amp;CHAR(34)&amp;"criterionId"&amp;CHAR(34)&amp;": "&amp;CHAR(34)&amp;SUBSTITUTE(CriteriTecnici!$D1824,CHAR(34),"'")&amp;CHAR(34)&amp;", "&amp;CHAR(34)&amp;"kind"&amp;CHAR(34)&amp;": "&amp;CHAR(34)&amp;SUBSTITUTE(CriteriTecnici!$F1824,CHAR(34),"'")&amp;CHAR(34)&amp;", "&amp;CHAR(34)&amp;"value"&amp;CHAR(34)&amp;": "&amp;SUBSTITUTE(TRIM(ROUND(IFERROR(CriteriTecnici!$N1824*1,IFERROR(NUMBERVALUE(CriteriTecnici!$N1824,".",","),IFERROR(NUMBERVALUE(CriteriTecnici!$N1824,",","."),0))),4)&amp;""),",",".")&amp;", "&amp;CHAR(34)&amp;"numerator"&amp;CHAR(34)&amp;": "&amp;SUBSTITUTE(TRIM(ROUND(IFERROR(CriteriTecnici!$K1824*1,IFERROR(NUMBERVALUE(CriteriTecnici!$K1824,".",","),IFERROR(NUMBERVALUE(CriteriTecnici!$K1824,",","."),0))),4)&amp;""),",",".")&amp;", "&amp;CHAR(34)&amp;"denominator"&amp;CHAR(34)&amp;": "&amp;SUBSTITUTE(TRIM(ROUND(IFERROR(CriteriTecnici!$L1824*1,IFERROR(NUMBERVALUE(CriteriTecnici!$L1824,".",","),IFERROR(NUMBERVALUE(CriteriTecnici!$L1824,",","."),0))),4)&amp;""),",",".")&amp;", "&amp;CHAR(34)&amp;"flag"&amp;CHAR(34)&amp;": "&amp;SUBSTITUTE(TRIM(ROUND(IFERROR(CriteriTecnici!$M1824*1,IFERROR(NUMBERVALUE(CriteriTecnici!$M1824,".",","),IFERROR(NUMBERVALUE(CriteriTecnici!$M1824,",","."),0))),4)&amp;""),",",".")&amp;", "&amp;CHAR(34)&amp;"rawScore"&amp;CHAR(34)&amp;": "&amp;SUBSTITUTE(TRIM(ROUND(IFERROR(CriteriTecnici!$O1824*1,IFERROR(NUMBERVALUE(CriteriTecnici!$O1824,".",","),IFERROR(NUMBERVALUE(CriteriTecnici!$O1824,",","."),0))),4)&amp;""),",",".")&amp;CHAR(125)&amp;IF(TRUE,",",""))</f>
        <v/>
      </c>
    </row>
    <row r="1926">
      <c r="A1926" s="82">
        <f>IF(CriteriTecnici!$A1825="","","    "&amp;CHAR(123)&amp;CHAR(34)&amp;"bidderId"&amp;CHAR(34)&amp;": "&amp;CHAR(34)&amp;SUBSTITUTE(CriteriTecnici!$A1825,CHAR(34),"'")&amp;CHAR(34)&amp;", "&amp;CHAR(34)&amp;"lotId"&amp;CHAR(34)&amp;": "&amp;CHAR(34)&amp;SUBSTITUTE(CriteriTecnici!$C1825,CHAR(34),"'")&amp;CHAR(34)&amp;", "&amp;CHAR(34)&amp;"criterionId"&amp;CHAR(34)&amp;": "&amp;CHAR(34)&amp;SUBSTITUTE(CriteriTecnici!$D1825,CHAR(34),"'")&amp;CHAR(34)&amp;", "&amp;CHAR(34)&amp;"kind"&amp;CHAR(34)&amp;": "&amp;CHAR(34)&amp;SUBSTITUTE(CriteriTecnici!$F1825,CHAR(34),"'")&amp;CHAR(34)&amp;", "&amp;CHAR(34)&amp;"value"&amp;CHAR(34)&amp;": "&amp;SUBSTITUTE(TRIM(ROUND(IFERROR(CriteriTecnici!$N1825*1,IFERROR(NUMBERVALUE(CriteriTecnici!$N1825,".",","),IFERROR(NUMBERVALUE(CriteriTecnici!$N1825,",","."),0))),4)&amp;""),",",".")&amp;", "&amp;CHAR(34)&amp;"numerator"&amp;CHAR(34)&amp;": "&amp;SUBSTITUTE(TRIM(ROUND(IFERROR(CriteriTecnici!$K1825*1,IFERROR(NUMBERVALUE(CriteriTecnici!$K1825,".",","),IFERROR(NUMBERVALUE(CriteriTecnici!$K1825,",","."),0))),4)&amp;""),",",".")&amp;", "&amp;CHAR(34)&amp;"denominator"&amp;CHAR(34)&amp;": "&amp;SUBSTITUTE(TRIM(ROUND(IFERROR(CriteriTecnici!$L1825*1,IFERROR(NUMBERVALUE(CriteriTecnici!$L1825,".",","),IFERROR(NUMBERVALUE(CriteriTecnici!$L1825,",","."),0))),4)&amp;""),",",".")&amp;", "&amp;CHAR(34)&amp;"flag"&amp;CHAR(34)&amp;": "&amp;SUBSTITUTE(TRIM(ROUND(IFERROR(CriteriTecnici!$M1825*1,IFERROR(NUMBERVALUE(CriteriTecnici!$M1825,".",","),IFERROR(NUMBERVALUE(CriteriTecnici!$M1825,",","."),0))),4)&amp;""),",",".")&amp;", "&amp;CHAR(34)&amp;"rawScore"&amp;CHAR(34)&amp;": "&amp;SUBSTITUTE(TRIM(ROUND(IFERROR(CriteriTecnici!$O1825*1,IFERROR(NUMBERVALUE(CriteriTecnici!$O1825,".",","),IFERROR(NUMBERVALUE(CriteriTecnici!$O1825,",","."),0))),4)&amp;""),",",".")&amp;CHAR(125)&amp;IF(TRUE,",",""))</f>
        <v/>
      </c>
    </row>
    <row r="1927">
      <c r="A1927" s="82">
        <f>IF(CriteriTecnici!$A1826="","","    "&amp;CHAR(123)&amp;CHAR(34)&amp;"bidderId"&amp;CHAR(34)&amp;": "&amp;CHAR(34)&amp;SUBSTITUTE(CriteriTecnici!$A1826,CHAR(34),"'")&amp;CHAR(34)&amp;", "&amp;CHAR(34)&amp;"lotId"&amp;CHAR(34)&amp;": "&amp;CHAR(34)&amp;SUBSTITUTE(CriteriTecnici!$C1826,CHAR(34),"'")&amp;CHAR(34)&amp;", "&amp;CHAR(34)&amp;"criterionId"&amp;CHAR(34)&amp;": "&amp;CHAR(34)&amp;SUBSTITUTE(CriteriTecnici!$D1826,CHAR(34),"'")&amp;CHAR(34)&amp;", "&amp;CHAR(34)&amp;"kind"&amp;CHAR(34)&amp;": "&amp;CHAR(34)&amp;SUBSTITUTE(CriteriTecnici!$F1826,CHAR(34),"'")&amp;CHAR(34)&amp;", "&amp;CHAR(34)&amp;"value"&amp;CHAR(34)&amp;": "&amp;SUBSTITUTE(TRIM(ROUND(IFERROR(CriteriTecnici!$N1826*1,IFERROR(NUMBERVALUE(CriteriTecnici!$N1826,".",","),IFERROR(NUMBERVALUE(CriteriTecnici!$N1826,",","."),0))),4)&amp;""),",",".")&amp;", "&amp;CHAR(34)&amp;"numerator"&amp;CHAR(34)&amp;": "&amp;SUBSTITUTE(TRIM(ROUND(IFERROR(CriteriTecnici!$K1826*1,IFERROR(NUMBERVALUE(CriteriTecnici!$K1826,".",","),IFERROR(NUMBERVALUE(CriteriTecnici!$K1826,",","."),0))),4)&amp;""),",",".")&amp;", "&amp;CHAR(34)&amp;"denominator"&amp;CHAR(34)&amp;": "&amp;SUBSTITUTE(TRIM(ROUND(IFERROR(CriteriTecnici!$L1826*1,IFERROR(NUMBERVALUE(CriteriTecnici!$L1826,".",","),IFERROR(NUMBERVALUE(CriteriTecnici!$L1826,",","."),0))),4)&amp;""),",",".")&amp;", "&amp;CHAR(34)&amp;"flag"&amp;CHAR(34)&amp;": "&amp;SUBSTITUTE(TRIM(ROUND(IFERROR(CriteriTecnici!$M1826*1,IFERROR(NUMBERVALUE(CriteriTecnici!$M1826,".",","),IFERROR(NUMBERVALUE(CriteriTecnici!$M1826,",","."),0))),4)&amp;""),",",".")&amp;", "&amp;CHAR(34)&amp;"rawScore"&amp;CHAR(34)&amp;": "&amp;SUBSTITUTE(TRIM(ROUND(IFERROR(CriteriTecnici!$O1826*1,IFERROR(NUMBERVALUE(CriteriTecnici!$O1826,".",","),IFERROR(NUMBERVALUE(CriteriTecnici!$O1826,",","."),0))),4)&amp;""),",",".")&amp;CHAR(125)&amp;IF(TRUE,",",""))</f>
        <v/>
      </c>
    </row>
    <row r="1928">
      <c r="A1928" s="82">
        <f>IF(CriteriTecnici!$A1827="","","    "&amp;CHAR(123)&amp;CHAR(34)&amp;"bidderId"&amp;CHAR(34)&amp;": "&amp;CHAR(34)&amp;SUBSTITUTE(CriteriTecnici!$A1827,CHAR(34),"'")&amp;CHAR(34)&amp;", "&amp;CHAR(34)&amp;"lotId"&amp;CHAR(34)&amp;": "&amp;CHAR(34)&amp;SUBSTITUTE(CriteriTecnici!$C1827,CHAR(34),"'")&amp;CHAR(34)&amp;", "&amp;CHAR(34)&amp;"criterionId"&amp;CHAR(34)&amp;": "&amp;CHAR(34)&amp;SUBSTITUTE(CriteriTecnici!$D1827,CHAR(34),"'")&amp;CHAR(34)&amp;", "&amp;CHAR(34)&amp;"kind"&amp;CHAR(34)&amp;": "&amp;CHAR(34)&amp;SUBSTITUTE(CriteriTecnici!$F1827,CHAR(34),"'")&amp;CHAR(34)&amp;", "&amp;CHAR(34)&amp;"value"&amp;CHAR(34)&amp;": "&amp;SUBSTITUTE(TRIM(ROUND(IFERROR(CriteriTecnici!$N1827*1,IFERROR(NUMBERVALUE(CriteriTecnici!$N1827,".",","),IFERROR(NUMBERVALUE(CriteriTecnici!$N1827,",","."),0))),4)&amp;""),",",".")&amp;", "&amp;CHAR(34)&amp;"numerator"&amp;CHAR(34)&amp;": "&amp;SUBSTITUTE(TRIM(ROUND(IFERROR(CriteriTecnici!$K1827*1,IFERROR(NUMBERVALUE(CriteriTecnici!$K1827,".",","),IFERROR(NUMBERVALUE(CriteriTecnici!$K1827,",","."),0))),4)&amp;""),",",".")&amp;", "&amp;CHAR(34)&amp;"denominator"&amp;CHAR(34)&amp;": "&amp;SUBSTITUTE(TRIM(ROUND(IFERROR(CriteriTecnici!$L1827*1,IFERROR(NUMBERVALUE(CriteriTecnici!$L1827,".",","),IFERROR(NUMBERVALUE(CriteriTecnici!$L1827,",","."),0))),4)&amp;""),",",".")&amp;", "&amp;CHAR(34)&amp;"flag"&amp;CHAR(34)&amp;": "&amp;SUBSTITUTE(TRIM(ROUND(IFERROR(CriteriTecnici!$M1827*1,IFERROR(NUMBERVALUE(CriteriTecnici!$M1827,".",","),IFERROR(NUMBERVALUE(CriteriTecnici!$M1827,",","."),0))),4)&amp;""),",",".")&amp;", "&amp;CHAR(34)&amp;"rawScore"&amp;CHAR(34)&amp;": "&amp;SUBSTITUTE(TRIM(ROUND(IFERROR(CriteriTecnici!$O1827*1,IFERROR(NUMBERVALUE(CriteriTecnici!$O1827,".",","),IFERROR(NUMBERVALUE(CriteriTecnici!$O1827,",","."),0))),4)&amp;""),",",".")&amp;CHAR(125)&amp;IF(TRUE,",",""))</f>
        <v/>
      </c>
    </row>
    <row r="1929">
      <c r="A1929" s="82">
        <f>IF(CriteriTecnici!$A1828="","","    "&amp;CHAR(123)&amp;CHAR(34)&amp;"bidderId"&amp;CHAR(34)&amp;": "&amp;CHAR(34)&amp;SUBSTITUTE(CriteriTecnici!$A1828,CHAR(34),"'")&amp;CHAR(34)&amp;", "&amp;CHAR(34)&amp;"lotId"&amp;CHAR(34)&amp;": "&amp;CHAR(34)&amp;SUBSTITUTE(CriteriTecnici!$C1828,CHAR(34),"'")&amp;CHAR(34)&amp;", "&amp;CHAR(34)&amp;"criterionId"&amp;CHAR(34)&amp;": "&amp;CHAR(34)&amp;SUBSTITUTE(CriteriTecnici!$D1828,CHAR(34),"'")&amp;CHAR(34)&amp;", "&amp;CHAR(34)&amp;"kind"&amp;CHAR(34)&amp;": "&amp;CHAR(34)&amp;SUBSTITUTE(CriteriTecnici!$F1828,CHAR(34),"'")&amp;CHAR(34)&amp;", "&amp;CHAR(34)&amp;"value"&amp;CHAR(34)&amp;": "&amp;SUBSTITUTE(TRIM(ROUND(IFERROR(CriteriTecnici!$N1828*1,IFERROR(NUMBERVALUE(CriteriTecnici!$N1828,".",","),IFERROR(NUMBERVALUE(CriteriTecnici!$N1828,",","."),0))),4)&amp;""),",",".")&amp;", "&amp;CHAR(34)&amp;"numerator"&amp;CHAR(34)&amp;": "&amp;SUBSTITUTE(TRIM(ROUND(IFERROR(CriteriTecnici!$K1828*1,IFERROR(NUMBERVALUE(CriteriTecnici!$K1828,".",","),IFERROR(NUMBERVALUE(CriteriTecnici!$K1828,",","."),0))),4)&amp;""),",",".")&amp;", "&amp;CHAR(34)&amp;"denominator"&amp;CHAR(34)&amp;": "&amp;SUBSTITUTE(TRIM(ROUND(IFERROR(CriteriTecnici!$L1828*1,IFERROR(NUMBERVALUE(CriteriTecnici!$L1828,".",","),IFERROR(NUMBERVALUE(CriteriTecnici!$L1828,",","."),0))),4)&amp;""),",",".")&amp;", "&amp;CHAR(34)&amp;"flag"&amp;CHAR(34)&amp;": "&amp;SUBSTITUTE(TRIM(ROUND(IFERROR(CriteriTecnici!$M1828*1,IFERROR(NUMBERVALUE(CriteriTecnici!$M1828,".",","),IFERROR(NUMBERVALUE(CriteriTecnici!$M1828,",","."),0))),4)&amp;""),",",".")&amp;", "&amp;CHAR(34)&amp;"rawScore"&amp;CHAR(34)&amp;": "&amp;SUBSTITUTE(TRIM(ROUND(IFERROR(CriteriTecnici!$O1828*1,IFERROR(NUMBERVALUE(CriteriTecnici!$O1828,".",","),IFERROR(NUMBERVALUE(CriteriTecnici!$O1828,",","."),0))),4)&amp;""),",",".")&amp;CHAR(125)&amp;IF(TRUE,",",""))</f>
        <v/>
      </c>
    </row>
    <row r="1930">
      <c r="A1930" s="82">
        <f>IF(CriteriTecnici!$A1829="","","    "&amp;CHAR(123)&amp;CHAR(34)&amp;"bidderId"&amp;CHAR(34)&amp;": "&amp;CHAR(34)&amp;SUBSTITUTE(CriteriTecnici!$A1829,CHAR(34),"'")&amp;CHAR(34)&amp;", "&amp;CHAR(34)&amp;"lotId"&amp;CHAR(34)&amp;": "&amp;CHAR(34)&amp;SUBSTITUTE(CriteriTecnici!$C1829,CHAR(34),"'")&amp;CHAR(34)&amp;", "&amp;CHAR(34)&amp;"criterionId"&amp;CHAR(34)&amp;": "&amp;CHAR(34)&amp;SUBSTITUTE(CriteriTecnici!$D1829,CHAR(34),"'")&amp;CHAR(34)&amp;", "&amp;CHAR(34)&amp;"kind"&amp;CHAR(34)&amp;": "&amp;CHAR(34)&amp;SUBSTITUTE(CriteriTecnici!$F1829,CHAR(34),"'")&amp;CHAR(34)&amp;", "&amp;CHAR(34)&amp;"value"&amp;CHAR(34)&amp;": "&amp;SUBSTITUTE(TRIM(ROUND(IFERROR(CriteriTecnici!$N1829*1,IFERROR(NUMBERVALUE(CriteriTecnici!$N1829,".",","),IFERROR(NUMBERVALUE(CriteriTecnici!$N1829,",","."),0))),4)&amp;""),",",".")&amp;", "&amp;CHAR(34)&amp;"numerator"&amp;CHAR(34)&amp;": "&amp;SUBSTITUTE(TRIM(ROUND(IFERROR(CriteriTecnici!$K1829*1,IFERROR(NUMBERVALUE(CriteriTecnici!$K1829,".",","),IFERROR(NUMBERVALUE(CriteriTecnici!$K1829,",","."),0))),4)&amp;""),",",".")&amp;", "&amp;CHAR(34)&amp;"denominator"&amp;CHAR(34)&amp;": "&amp;SUBSTITUTE(TRIM(ROUND(IFERROR(CriteriTecnici!$L1829*1,IFERROR(NUMBERVALUE(CriteriTecnici!$L1829,".",","),IFERROR(NUMBERVALUE(CriteriTecnici!$L1829,",","."),0))),4)&amp;""),",",".")&amp;", "&amp;CHAR(34)&amp;"flag"&amp;CHAR(34)&amp;": "&amp;SUBSTITUTE(TRIM(ROUND(IFERROR(CriteriTecnici!$M1829*1,IFERROR(NUMBERVALUE(CriteriTecnici!$M1829,".",","),IFERROR(NUMBERVALUE(CriteriTecnici!$M1829,",","."),0))),4)&amp;""),",",".")&amp;", "&amp;CHAR(34)&amp;"rawScore"&amp;CHAR(34)&amp;": "&amp;SUBSTITUTE(TRIM(ROUND(IFERROR(CriteriTecnici!$O1829*1,IFERROR(NUMBERVALUE(CriteriTecnici!$O1829,".",","),IFERROR(NUMBERVALUE(CriteriTecnici!$O1829,",","."),0))),4)&amp;""),",",".")&amp;CHAR(125)&amp;IF(TRUE,",",""))</f>
        <v/>
      </c>
    </row>
    <row r="1931">
      <c r="A1931" s="82">
        <f>IF(CriteriTecnici!$A1830="","","    "&amp;CHAR(123)&amp;CHAR(34)&amp;"bidderId"&amp;CHAR(34)&amp;": "&amp;CHAR(34)&amp;SUBSTITUTE(CriteriTecnici!$A1830,CHAR(34),"'")&amp;CHAR(34)&amp;", "&amp;CHAR(34)&amp;"lotId"&amp;CHAR(34)&amp;": "&amp;CHAR(34)&amp;SUBSTITUTE(CriteriTecnici!$C1830,CHAR(34),"'")&amp;CHAR(34)&amp;", "&amp;CHAR(34)&amp;"criterionId"&amp;CHAR(34)&amp;": "&amp;CHAR(34)&amp;SUBSTITUTE(CriteriTecnici!$D1830,CHAR(34),"'")&amp;CHAR(34)&amp;", "&amp;CHAR(34)&amp;"kind"&amp;CHAR(34)&amp;": "&amp;CHAR(34)&amp;SUBSTITUTE(CriteriTecnici!$F1830,CHAR(34),"'")&amp;CHAR(34)&amp;", "&amp;CHAR(34)&amp;"value"&amp;CHAR(34)&amp;": "&amp;SUBSTITUTE(TRIM(ROUND(IFERROR(CriteriTecnici!$N1830*1,IFERROR(NUMBERVALUE(CriteriTecnici!$N1830,".",","),IFERROR(NUMBERVALUE(CriteriTecnici!$N1830,",","."),0))),4)&amp;""),",",".")&amp;", "&amp;CHAR(34)&amp;"numerator"&amp;CHAR(34)&amp;": "&amp;SUBSTITUTE(TRIM(ROUND(IFERROR(CriteriTecnici!$K1830*1,IFERROR(NUMBERVALUE(CriteriTecnici!$K1830,".",","),IFERROR(NUMBERVALUE(CriteriTecnici!$K1830,",","."),0))),4)&amp;""),",",".")&amp;", "&amp;CHAR(34)&amp;"denominator"&amp;CHAR(34)&amp;": "&amp;SUBSTITUTE(TRIM(ROUND(IFERROR(CriteriTecnici!$L1830*1,IFERROR(NUMBERVALUE(CriteriTecnici!$L1830,".",","),IFERROR(NUMBERVALUE(CriteriTecnici!$L1830,",","."),0))),4)&amp;""),",",".")&amp;", "&amp;CHAR(34)&amp;"flag"&amp;CHAR(34)&amp;": "&amp;SUBSTITUTE(TRIM(ROUND(IFERROR(CriteriTecnici!$M1830*1,IFERROR(NUMBERVALUE(CriteriTecnici!$M1830,".",","),IFERROR(NUMBERVALUE(CriteriTecnici!$M1830,",","."),0))),4)&amp;""),",",".")&amp;", "&amp;CHAR(34)&amp;"rawScore"&amp;CHAR(34)&amp;": "&amp;SUBSTITUTE(TRIM(ROUND(IFERROR(CriteriTecnici!$O1830*1,IFERROR(NUMBERVALUE(CriteriTecnici!$O1830,".",","),IFERROR(NUMBERVALUE(CriteriTecnici!$O1830,",","."),0))),4)&amp;""),",",".")&amp;CHAR(125)&amp;IF(TRUE,",",""))</f>
        <v/>
      </c>
    </row>
    <row r="1932">
      <c r="A1932" s="82">
        <f>IF(CriteriTecnici!$A1831="","","    "&amp;CHAR(123)&amp;CHAR(34)&amp;"bidderId"&amp;CHAR(34)&amp;": "&amp;CHAR(34)&amp;SUBSTITUTE(CriteriTecnici!$A1831,CHAR(34),"'")&amp;CHAR(34)&amp;", "&amp;CHAR(34)&amp;"lotId"&amp;CHAR(34)&amp;": "&amp;CHAR(34)&amp;SUBSTITUTE(CriteriTecnici!$C1831,CHAR(34),"'")&amp;CHAR(34)&amp;", "&amp;CHAR(34)&amp;"criterionId"&amp;CHAR(34)&amp;": "&amp;CHAR(34)&amp;SUBSTITUTE(CriteriTecnici!$D1831,CHAR(34),"'")&amp;CHAR(34)&amp;", "&amp;CHAR(34)&amp;"kind"&amp;CHAR(34)&amp;": "&amp;CHAR(34)&amp;SUBSTITUTE(CriteriTecnici!$F1831,CHAR(34),"'")&amp;CHAR(34)&amp;", "&amp;CHAR(34)&amp;"value"&amp;CHAR(34)&amp;": "&amp;SUBSTITUTE(TRIM(ROUND(IFERROR(CriteriTecnici!$N1831*1,IFERROR(NUMBERVALUE(CriteriTecnici!$N1831,".",","),IFERROR(NUMBERVALUE(CriteriTecnici!$N1831,",","."),0))),4)&amp;""),",",".")&amp;", "&amp;CHAR(34)&amp;"numerator"&amp;CHAR(34)&amp;": "&amp;SUBSTITUTE(TRIM(ROUND(IFERROR(CriteriTecnici!$K1831*1,IFERROR(NUMBERVALUE(CriteriTecnici!$K1831,".",","),IFERROR(NUMBERVALUE(CriteriTecnici!$K1831,",","."),0))),4)&amp;""),",",".")&amp;", "&amp;CHAR(34)&amp;"denominator"&amp;CHAR(34)&amp;": "&amp;SUBSTITUTE(TRIM(ROUND(IFERROR(CriteriTecnici!$L1831*1,IFERROR(NUMBERVALUE(CriteriTecnici!$L1831,".",","),IFERROR(NUMBERVALUE(CriteriTecnici!$L1831,",","."),0))),4)&amp;""),",",".")&amp;", "&amp;CHAR(34)&amp;"flag"&amp;CHAR(34)&amp;": "&amp;SUBSTITUTE(TRIM(ROUND(IFERROR(CriteriTecnici!$M1831*1,IFERROR(NUMBERVALUE(CriteriTecnici!$M1831,".",","),IFERROR(NUMBERVALUE(CriteriTecnici!$M1831,",","."),0))),4)&amp;""),",",".")&amp;", "&amp;CHAR(34)&amp;"rawScore"&amp;CHAR(34)&amp;": "&amp;SUBSTITUTE(TRIM(ROUND(IFERROR(CriteriTecnici!$O1831*1,IFERROR(NUMBERVALUE(CriteriTecnici!$O1831,".",","),IFERROR(NUMBERVALUE(CriteriTecnici!$O1831,",","."),0))),4)&amp;""),",",".")&amp;CHAR(125)&amp;IF(TRUE,",",""))</f>
        <v/>
      </c>
    </row>
    <row r="1933">
      <c r="A1933" s="82">
        <f>IF(CriteriTecnici!$A1832="","","    "&amp;CHAR(123)&amp;CHAR(34)&amp;"bidderId"&amp;CHAR(34)&amp;": "&amp;CHAR(34)&amp;SUBSTITUTE(CriteriTecnici!$A1832,CHAR(34),"'")&amp;CHAR(34)&amp;", "&amp;CHAR(34)&amp;"lotId"&amp;CHAR(34)&amp;": "&amp;CHAR(34)&amp;SUBSTITUTE(CriteriTecnici!$C1832,CHAR(34),"'")&amp;CHAR(34)&amp;", "&amp;CHAR(34)&amp;"criterionId"&amp;CHAR(34)&amp;": "&amp;CHAR(34)&amp;SUBSTITUTE(CriteriTecnici!$D1832,CHAR(34),"'")&amp;CHAR(34)&amp;", "&amp;CHAR(34)&amp;"kind"&amp;CHAR(34)&amp;": "&amp;CHAR(34)&amp;SUBSTITUTE(CriteriTecnici!$F1832,CHAR(34),"'")&amp;CHAR(34)&amp;", "&amp;CHAR(34)&amp;"value"&amp;CHAR(34)&amp;": "&amp;SUBSTITUTE(TRIM(ROUND(IFERROR(CriteriTecnici!$N1832*1,IFERROR(NUMBERVALUE(CriteriTecnici!$N1832,".",","),IFERROR(NUMBERVALUE(CriteriTecnici!$N1832,",","."),0))),4)&amp;""),",",".")&amp;", "&amp;CHAR(34)&amp;"numerator"&amp;CHAR(34)&amp;": "&amp;SUBSTITUTE(TRIM(ROUND(IFERROR(CriteriTecnici!$K1832*1,IFERROR(NUMBERVALUE(CriteriTecnici!$K1832,".",","),IFERROR(NUMBERVALUE(CriteriTecnici!$K1832,",","."),0))),4)&amp;""),",",".")&amp;", "&amp;CHAR(34)&amp;"denominator"&amp;CHAR(34)&amp;": "&amp;SUBSTITUTE(TRIM(ROUND(IFERROR(CriteriTecnici!$L1832*1,IFERROR(NUMBERVALUE(CriteriTecnici!$L1832,".",","),IFERROR(NUMBERVALUE(CriteriTecnici!$L1832,",","."),0))),4)&amp;""),",",".")&amp;", "&amp;CHAR(34)&amp;"flag"&amp;CHAR(34)&amp;": "&amp;SUBSTITUTE(TRIM(ROUND(IFERROR(CriteriTecnici!$M1832*1,IFERROR(NUMBERVALUE(CriteriTecnici!$M1832,".",","),IFERROR(NUMBERVALUE(CriteriTecnici!$M1832,",","."),0))),4)&amp;""),",",".")&amp;", "&amp;CHAR(34)&amp;"rawScore"&amp;CHAR(34)&amp;": "&amp;SUBSTITUTE(TRIM(ROUND(IFERROR(CriteriTecnici!$O1832*1,IFERROR(NUMBERVALUE(CriteriTecnici!$O1832,".",","),IFERROR(NUMBERVALUE(CriteriTecnici!$O1832,",","."),0))),4)&amp;""),",",".")&amp;CHAR(125)&amp;IF(TRUE,",",""))</f>
        <v/>
      </c>
    </row>
    <row r="1934">
      <c r="A1934" s="82">
        <f>IF(CriteriTecnici!$A1833="","","    "&amp;CHAR(123)&amp;CHAR(34)&amp;"bidderId"&amp;CHAR(34)&amp;": "&amp;CHAR(34)&amp;SUBSTITUTE(CriteriTecnici!$A1833,CHAR(34),"'")&amp;CHAR(34)&amp;", "&amp;CHAR(34)&amp;"lotId"&amp;CHAR(34)&amp;": "&amp;CHAR(34)&amp;SUBSTITUTE(CriteriTecnici!$C1833,CHAR(34),"'")&amp;CHAR(34)&amp;", "&amp;CHAR(34)&amp;"criterionId"&amp;CHAR(34)&amp;": "&amp;CHAR(34)&amp;SUBSTITUTE(CriteriTecnici!$D1833,CHAR(34),"'")&amp;CHAR(34)&amp;", "&amp;CHAR(34)&amp;"kind"&amp;CHAR(34)&amp;": "&amp;CHAR(34)&amp;SUBSTITUTE(CriteriTecnici!$F1833,CHAR(34),"'")&amp;CHAR(34)&amp;", "&amp;CHAR(34)&amp;"value"&amp;CHAR(34)&amp;": "&amp;SUBSTITUTE(TRIM(ROUND(IFERROR(CriteriTecnici!$N1833*1,IFERROR(NUMBERVALUE(CriteriTecnici!$N1833,".",","),IFERROR(NUMBERVALUE(CriteriTecnici!$N1833,",","."),0))),4)&amp;""),",",".")&amp;", "&amp;CHAR(34)&amp;"numerator"&amp;CHAR(34)&amp;": "&amp;SUBSTITUTE(TRIM(ROUND(IFERROR(CriteriTecnici!$K1833*1,IFERROR(NUMBERVALUE(CriteriTecnici!$K1833,".",","),IFERROR(NUMBERVALUE(CriteriTecnici!$K1833,",","."),0))),4)&amp;""),",",".")&amp;", "&amp;CHAR(34)&amp;"denominator"&amp;CHAR(34)&amp;": "&amp;SUBSTITUTE(TRIM(ROUND(IFERROR(CriteriTecnici!$L1833*1,IFERROR(NUMBERVALUE(CriteriTecnici!$L1833,".",","),IFERROR(NUMBERVALUE(CriteriTecnici!$L1833,",","."),0))),4)&amp;""),",",".")&amp;", "&amp;CHAR(34)&amp;"flag"&amp;CHAR(34)&amp;": "&amp;SUBSTITUTE(TRIM(ROUND(IFERROR(CriteriTecnici!$M1833*1,IFERROR(NUMBERVALUE(CriteriTecnici!$M1833,".",","),IFERROR(NUMBERVALUE(CriteriTecnici!$M1833,",","."),0))),4)&amp;""),",",".")&amp;", "&amp;CHAR(34)&amp;"rawScore"&amp;CHAR(34)&amp;": "&amp;SUBSTITUTE(TRIM(ROUND(IFERROR(CriteriTecnici!$O1833*1,IFERROR(NUMBERVALUE(CriteriTecnici!$O1833,".",","),IFERROR(NUMBERVALUE(CriteriTecnici!$O1833,",","."),0))),4)&amp;""),",",".")&amp;CHAR(125)&amp;IF(COUNTA(Offerte!$A61:$A$81)&gt;0,",",""))</f>
        <v/>
      </c>
    </row>
    <row r="1935">
      <c r="A1935" s="82">
        <f>IF(CriteriTecnici!$A1834="","","    "&amp;CHAR(123)&amp;CHAR(34)&amp;"bidderId"&amp;CHAR(34)&amp;": "&amp;CHAR(34)&amp;SUBSTITUTE(CriteriTecnici!$A1834,CHAR(34),"'")&amp;CHAR(34)&amp;", "&amp;CHAR(34)&amp;"lotId"&amp;CHAR(34)&amp;": "&amp;CHAR(34)&amp;SUBSTITUTE(CriteriTecnici!$C1834,CHAR(34),"'")&amp;CHAR(34)&amp;", "&amp;CHAR(34)&amp;"criterionId"&amp;CHAR(34)&amp;": "&amp;CHAR(34)&amp;SUBSTITUTE(CriteriTecnici!$D1834,CHAR(34),"'")&amp;CHAR(34)&amp;", "&amp;CHAR(34)&amp;"kind"&amp;CHAR(34)&amp;": "&amp;CHAR(34)&amp;SUBSTITUTE(CriteriTecnici!$F1834,CHAR(34),"'")&amp;CHAR(34)&amp;", "&amp;CHAR(34)&amp;"value"&amp;CHAR(34)&amp;": "&amp;SUBSTITUTE(TRIM(ROUND(IFERROR(CriteriTecnici!$N1834*1,IFERROR(NUMBERVALUE(CriteriTecnici!$N1834,".",","),IFERROR(NUMBERVALUE(CriteriTecnici!$N1834,",","."),0))),4)&amp;""),",",".")&amp;", "&amp;CHAR(34)&amp;"numerator"&amp;CHAR(34)&amp;": "&amp;SUBSTITUTE(TRIM(ROUND(IFERROR(CriteriTecnici!$K1834*1,IFERROR(NUMBERVALUE(CriteriTecnici!$K1834,".",","),IFERROR(NUMBERVALUE(CriteriTecnici!$K1834,",","."),0))),4)&amp;""),",",".")&amp;", "&amp;CHAR(34)&amp;"denominator"&amp;CHAR(34)&amp;": "&amp;SUBSTITUTE(TRIM(ROUND(IFERROR(CriteriTecnici!$L1834*1,IFERROR(NUMBERVALUE(CriteriTecnici!$L1834,".",","),IFERROR(NUMBERVALUE(CriteriTecnici!$L1834,",","."),0))),4)&amp;""),",",".")&amp;", "&amp;CHAR(34)&amp;"flag"&amp;CHAR(34)&amp;": "&amp;SUBSTITUTE(TRIM(ROUND(IFERROR(CriteriTecnici!$M1834*1,IFERROR(NUMBERVALUE(CriteriTecnici!$M1834,".",","),IFERROR(NUMBERVALUE(CriteriTecnici!$M1834,",","."),0))),4)&amp;""),",",".")&amp;", "&amp;CHAR(34)&amp;"rawScore"&amp;CHAR(34)&amp;": "&amp;SUBSTITUTE(TRIM(ROUND(IFERROR(CriteriTecnici!$O1834*1,IFERROR(NUMBERVALUE(CriteriTecnici!$O1834,".",","),IFERROR(NUMBERVALUE(CriteriTecnici!$O1834,",","."),0))),4)&amp;""),",",".")&amp;CHAR(125)&amp;IF(TRUE,",",""))</f>
        <v/>
      </c>
    </row>
    <row r="1936">
      <c r="A1936" s="82">
        <f>IF(CriteriTecnici!$A1835="","","    "&amp;CHAR(123)&amp;CHAR(34)&amp;"bidderId"&amp;CHAR(34)&amp;": "&amp;CHAR(34)&amp;SUBSTITUTE(CriteriTecnici!$A1835,CHAR(34),"'")&amp;CHAR(34)&amp;", "&amp;CHAR(34)&amp;"lotId"&amp;CHAR(34)&amp;": "&amp;CHAR(34)&amp;SUBSTITUTE(CriteriTecnici!$C1835,CHAR(34),"'")&amp;CHAR(34)&amp;", "&amp;CHAR(34)&amp;"criterionId"&amp;CHAR(34)&amp;": "&amp;CHAR(34)&amp;SUBSTITUTE(CriteriTecnici!$D1835,CHAR(34),"'")&amp;CHAR(34)&amp;", "&amp;CHAR(34)&amp;"kind"&amp;CHAR(34)&amp;": "&amp;CHAR(34)&amp;SUBSTITUTE(CriteriTecnici!$F1835,CHAR(34),"'")&amp;CHAR(34)&amp;", "&amp;CHAR(34)&amp;"value"&amp;CHAR(34)&amp;": "&amp;SUBSTITUTE(TRIM(ROUND(IFERROR(CriteriTecnici!$N1835*1,IFERROR(NUMBERVALUE(CriteriTecnici!$N1835,".",","),IFERROR(NUMBERVALUE(CriteriTecnici!$N1835,",","."),0))),4)&amp;""),",",".")&amp;", "&amp;CHAR(34)&amp;"numerator"&amp;CHAR(34)&amp;": "&amp;SUBSTITUTE(TRIM(ROUND(IFERROR(CriteriTecnici!$K1835*1,IFERROR(NUMBERVALUE(CriteriTecnici!$K1835,".",","),IFERROR(NUMBERVALUE(CriteriTecnici!$K1835,",","."),0))),4)&amp;""),",",".")&amp;", "&amp;CHAR(34)&amp;"denominator"&amp;CHAR(34)&amp;": "&amp;SUBSTITUTE(TRIM(ROUND(IFERROR(CriteriTecnici!$L1835*1,IFERROR(NUMBERVALUE(CriteriTecnici!$L1835,".",","),IFERROR(NUMBERVALUE(CriteriTecnici!$L1835,",","."),0))),4)&amp;""),",",".")&amp;", "&amp;CHAR(34)&amp;"flag"&amp;CHAR(34)&amp;": "&amp;SUBSTITUTE(TRIM(ROUND(IFERROR(CriteriTecnici!$M1835*1,IFERROR(NUMBERVALUE(CriteriTecnici!$M1835,".",","),IFERROR(NUMBERVALUE(CriteriTecnici!$M1835,",","."),0))),4)&amp;""),",",".")&amp;", "&amp;CHAR(34)&amp;"rawScore"&amp;CHAR(34)&amp;": "&amp;SUBSTITUTE(TRIM(ROUND(IFERROR(CriteriTecnici!$O1835*1,IFERROR(NUMBERVALUE(CriteriTecnici!$O1835,".",","),IFERROR(NUMBERVALUE(CriteriTecnici!$O1835,",","."),0))),4)&amp;""),",",".")&amp;CHAR(125)&amp;IF(TRUE,",",""))</f>
        <v/>
      </c>
    </row>
    <row r="1937">
      <c r="A1937" s="82">
        <f>IF(CriteriTecnici!$A1836="","","    "&amp;CHAR(123)&amp;CHAR(34)&amp;"bidderId"&amp;CHAR(34)&amp;": "&amp;CHAR(34)&amp;SUBSTITUTE(CriteriTecnici!$A1836,CHAR(34),"'")&amp;CHAR(34)&amp;", "&amp;CHAR(34)&amp;"lotId"&amp;CHAR(34)&amp;": "&amp;CHAR(34)&amp;SUBSTITUTE(CriteriTecnici!$C1836,CHAR(34),"'")&amp;CHAR(34)&amp;", "&amp;CHAR(34)&amp;"criterionId"&amp;CHAR(34)&amp;": "&amp;CHAR(34)&amp;SUBSTITUTE(CriteriTecnici!$D1836,CHAR(34),"'")&amp;CHAR(34)&amp;", "&amp;CHAR(34)&amp;"kind"&amp;CHAR(34)&amp;": "&amp;CHAR(34)&amp;SUBSTITUTE(CriteriTecnici!$F1836,CHAR(34),"'")&amp;CHAR(34)&amp;", "&amp;CHAR(34)&amp;"value"&amp;CHAR(34)&amp;": "&amp;SUBSTITUTE(TRIM(ROUND(IFERROR(CriteriTecnici!$N1836*1,IFERROR(NUMBERVALUE(CriteriTecnici!$N1836,".",","),IFERROR(NUMBERVALUE(CriteriTecnici!$N1836,",","."),0))),4)&amp;""),",",".")&amp;", "&amp;CHAR(34)&amp;"numerator"&amp;CHAR(34)&amp;": "&amp;SUBSTITUTE(TRIM(ROUND(IFERROR(CriteriTecnici!$K1836*1,IFERROR(NUMBERVALUE(CriteriTecnici!$K1836,".",","),IFERROR(NUMBERVALUE(CriteriTecnici!$K1836,",","."),0))),4)&amp;""),",",".")&amp;", "&amp;CHAR(34)&amp;"denominator"&amp;CHAR(34)&amp;": "&amp;SUBSTITUTE(TRIM(ROUND(IFERROR(CriteriTecnici!$L1836*1,IFERROR(NUMBERVALUE(CriteriTecnici!$L1836,".",","),IFERROR(NUMBERVALUE(CriteriTecnici!$L1836,",","."),0))),4)&amp;""),",",".")&amp;", "&amp;CHAR(34)&amp;"flag"&amp;CHAR(34)&amp;": "&amp;SUBSTITUTE(TRIM(ROUND(IFERROR(CriteriTecnici!$M1836*1,IFERROR(NUMBERVALUE(CriteriTecnici!$M1836,".",","),IFERROR(NUMBERVALUE(CriteriTecnici!$M1836,",","."),0))),4)&amp;""),",",".")&amp;", "&amp;CHAR(34)&amp;"rawScore"&amp;CHAR(34)&amp;": "&amp;SUBSTITUTE(TRIM(ROUND(IFERROR(CriteriTecnici!$O1836*1,IFERROR(NUMBERVALUE(CriteriTecnici!$O1836,".",","),IFERROR(NUMBERVALUE(CriteriTecnici!$O1836,",","."),0))),4)&amp;""),",",".")&amp;CHAR(125)&amp;IF(TRUE,",",""))</f>
        <v/>
      </c>
    </row>
    <row r="1938">
      <c r="A1938" s="82">
        <f>IF(CriteriTecnici!$A1837="","","    "&amp;CHAR(123)&amp;CHAR(34)&amp;"bidderId"&amp;CHAR(34)&amp;": "&amp;CHAR(34)&amp;SUBSTITUTE(CriteriTecnici!$A1837,CHAR(34),"'")&amp;CHAR(34)&amp;", "&amp;CHAR(34)&amp;"lotId"&amp;CHAR(34)&amp;": "&amp;CHAR(34)&amp;SUBSTITUTE(CriteriTecnici!$C1837,CHAR(34),"'")&amp;CHAR(34)&amp;", "&amp;CHAR(34)&amp;"criterionId"&amp;CHAR(34)&amp;": "&amp;CHAR(34)&amp;SUBSTITUTE(CriteriTecnici!$D1837,CHAR(34),"'")&amp;CHAR(34)&amp;", "&amp;CHAR(34)&amp;"kind"&amp;CHAR(34)&amp;": "&amp;CHAR(34)&amp;SUBSTITUTE(CriteriTecnici!$F1837,CHAR(34),"'")&amp;CHAR(34)&amp;", "&amp;CHAR(34)&amp;"value"&amp;CHAR(34)&amp;": "&amp;SUBSTITUTE(TRIM(ROUND(IFERROR(CriteriTecnici!$N1837*1,IFERROR(NUMBERVALUE(CriteriTecnici!$N1837,".",","),IFERROR(NUMBERVALUE(CriteriTecnici!$N1837,",","."),0))),4)&amp;""),",",".")&amp;", "&amp;CHAR(34)&amp;"numerator"&amp;CHAR(34)&amp;": "&amp;SUBSTITUTE(TRIM(ROUND(IFERROR(CriteriTecnici!$K1837*1,IFERROR(NUMBERVALUE(CriteriTecnici!$K1837,".",","),IFERROR(NUMBERVALUE(CriteriTecnici!$K1837,",","."),0))),4)&amp;""),",",".")&amp;", "&amp;CHAR(34)&amp;"denominator"&amp;CHAR(34)&amp;": "&amp;SUBSTITUTE(TRIM(ROUND(IFERROR(CriteriTecnici!$L1837*1,IFERROR(NUMBERVALUE(CriteriTecnici!$L1837,".",","),IFERROR(NUMBERVALUE(CriteriTecnici!$L1837,",","."),0))),4)&amp;""),",",".")&amp;", "&amp;CHAR(34)&amp;"flag"&amp;CHAR(34)&amp;": "&amp;SUBSTITUTE(TRIM(ROUND(IFERROR(CriteriTecnici!$M1837*1,IFERROR(NUMBERVALUE(CriteriTecnici!$M1837,".",","),IFERROR(NUMBERVALUE(CriteriTecnici!$M1837,",","."),0))),4)&amp;""),",",".")&amp;", "&amp;CHAR(34)&amp;"rawScore"&amp;CHAR(34)&amp;": "&amp;SUBSTITUTE(TRIM(ROUND(IFERROR(CriteriTecnici!$O1837*1,IFERROR(NUMBERVALUE(CriteriTecnici!$O1837,".",","),IFERROR(NUMBERVALUE(CriteriTecnici!$O1837,",","."),0))),4)&amp;""),",",".")&amp;CHAR(125)&amp;IF(TRUE,",",""))</f>
        <v/>
      </c>
    </row>
    <row r="1939">
      <c r="A1939" s="82">
        <f>IF(CriteriTecnici!$A1838="","","    "&amp;CHAR(123)&amp;CHAR(34)&amp;"bidderId"&amp;CHAR(34)&amp;": "&amp;CHAR(34)&amp;SUBSTITUTE(CriteriTecnici!$A1838,CHAR(34),"'")&amp;CHAR(34)&amp;", "&amp;CHAR(34)&amp;"lotId"&amp;CHAR(34)&amp;": "&amp;CHAR(34)&amp;SUBSTITUTE(CriteriTecnici!$C1838,CHAR(34),"'")&amp;CHAR(34)&amp;", "&amp;CHAR(34)&amp;"criterionId"&amp;CHAR(34)&amp;": "&amp;CHAR(34)&amp;SUBSTITUTE(CriteriTecnici!$D1838,CHAR(34),"'")&amp;CHAR(34)&amp;", "&amp;CHAR(34)&amp;"kind"&amp;CHAR(34)&amp;": "&amp;CHAR(34)&amp;SUBSTITUTE(CriteriTecnici!$F1838,CHAR(34),"'")&amp;CHAR(34)&amp;", "&amp;CHAR(34)&amp;"value"&amp;CHAR(34)&amp;": "&amp;SUBSTITUTE(TRIM(ROUND(IFERROR(CriteriTecnici!$N1838*1,IFERROR(NUMBERVALUE(CriteriTecnici!$N1838,".",","),IFERROR(NUMBERVALUE(CriteriTecnici!$N1838,",","."),0))),4)&amp;""),",",".")&amp;", "&amp;CHAR(34)&amp;"numerator"&amp;CHAR(34)&amp;": "&amp;SUBSTITUTE(TRIM(ROUND(IFERROR(CriteriTecnici!$K1838*1,IFERROR(NUMBERVALUE(CriteriTecnici!$K1838,".",","),IFERROR(NUMBERVALUE(CriteriTecnici!$K1838,",","."),0))),4)&amp;""),",",".")&amp;", "&amp;CHAR(34)&amp;"denominator"&amp;CHAR(34)&amp;": "&amp;SUBSTITUTE(TRIM(ROUND(IFERROR(CriteriTecnici!$L1838*1,IFERROR(NUMBERVALUE(CriteriTecnici!$L1838,".",","),IFERROR(NUMBERVALUE(CriteriTecnici!$L1838,",","."),0))),4)&amp;""),",",".")&amp;", "&amp;CHAR(34)&amp;"flag"&amp;CHAR(34)&amp;": "&amp;SUBSTITUTE(TRIM(ROUND(IFERROR(CriteriTecnici!$M1838*1,IFERROR(NUMBERVALUE(CriteriTecnici!$M1838,".",","),IFERROR(NUMBERVALUE(CriteriTecnici!$M1838,",","."),0))),4)&amp;""),",",".")&amp;", "&amp;CHAR(34)&amp;"rawScore"&amp;CHAR(34)&amp;": "&amp;SUBSTITUTE(TRIM(ROUND(IFERROR(CriteriTecnici!$O1838*1,IFERROR(NUMBERVALUE(CriteriTecnici!$O1838,".",","),IFERROR(NUMBERVALUE(CriteriTecnici!$O1838,",","."),0))),4)&amp;""),",",".")&amp;CHAR(125)&amp;IF(TRUE,",",""))</f>
        <v/>
      </c>
    </row>
    <row r="1940">
      <c r="A1940" s="82">
        <f>IF(CriteriTecnici!$A1839="","","    "&amp;CHAR(123)&amp;CHAR(34)&amp;"bidderId"&amp;CHAR(34)&amp;": "&amp;CHAR(34)&amp;SUBSTITUTE(CriteriTecnici!$A1839,CHAR(34),"'")&amp;CHAR(34)&amp;", "&amp;CHAR(34)&amp;"lotId"&amp;CHAR(34)&amp;": "&amp;CHAR(34)&amp;SUBSTITUTE(CriteriTecnici!$C1839,CHAR(34),"'")&amp;CHAR(34)&amp;", "&amp;CHAR(34)&amp;"criterionId"&amp;CHAR(34)&amp;": "&amp;CHAR(34)&amp;SUBSTITUTE(CriteriTecnici!$D1839,CHAR(34),"'")&amp;CHAR(34)&amp;", "&amp;CHAR(34)&amp;"kind"&amp;CHAR(34)&amp;": "&amp;CHAR(34)&amp;SUBSTITUTE(CriteriTecnici!$F1839,CHAR(34),"'")&amp;CHAR(34)&amp;", "&amp;CHAR(34)&amp;"value"&amp;CHAR(34)&amp;": "&amp;SUBSTITUTE(TRIM(ROUND(IFERROR(CriteriTecnici!$N1839*1,IFERROR(NUMBERVALUE(CriteriTecnici!$N1839,".",","),IFERROR(NUMBERVALUE(CriteriTecnici!$N1839,",","."),0))),4)&amp;""),",",".")&amp;", "&amp;CHAR(34)&amp;"numerator"&amp;CHAR(34)&amp;": "&amp;SUBSTITUTE(TRIM(ROUND(IFERROR(CriteriTecnici!$K1839*1,IFERROR(NUMBERVALUE(CriteriTecnici!$K1839,".",","),IFERROR(NUMBERVALUE(CriteriTecnici!$K1839,",","."),0))),4)&amp;""),",",".")&amp;", "&amp;CHAR(34)&amp;"denominator"&amp;CHAR(34)&amp;": "&amp;SUBSTITUTE(TRIM(ROUND(IFERROR(CriteriTecnici!$L1839*1,IFERROR(NUMBERVALUE(CriteriTecnici!$L1839,".",","),IFERROR(NUMBERVALUE(CriteriTecnici!$L1839,",","."),0))),4)&amp;""),",",".")&amp;", "&amp;CHAR(34)&amp;"flag"&amp;CHAR(34)&amp;": "&amp;SUBSTITUTE(TRIM(ROUND(IFERROR(CriteriTecnici!$M1839*1,IFERROR(NUMBERVALUE(CriteriTecnici!$M1839,".",","),IFERROR(NUMBERVALUE(CriteriTecnici!$M1839,",","."),0))),4)&amp;""),",",".")&amp;", "&amp;CHAR(34)&amp;"rawScore"&amp;CHAR(34)&amp;": "&amp;SUBSTITUTE(TRIM(ROUND(IFERROR(CriteriTecnici!$O1839*1,IFERROR(NUMBERVALUE(CriteriTecnici!$O1839,".",","),IFERROR(NUMBERVALUE(CriteriTecnici!$O1839,",","."),0))),4)&amp;""),",",".")&amp;CHAR(125)&amp;IF(TRUE,",",""))</f>
        <v/>
      </c>
    </row>
    <row r="1941">
      <c r="A1941" s="82">
        <f>IF(CriteriTecnici!$A1840="","","    "&amp;CHAR(123)&amp;CHAR(34)&amp;"bidderId"&amp;CHAR(34)&amp;": "&amp;CHAR(34)&amp;SUBSTITUTE(CriteriTecnici!$A1840,CHAR(34),"'")&amp;CHAR(34)&amp;", "&amp;CHAR(34)&amp;"lotId"&amp;CHAR(34)&amp;": "&amp;CHAR(34)&amp;SUBSTITUTE(CriteriTecnici!$C1840,CHAR(34),"'")&amp;CHAR(34)&amp;", "&amp;CHAR(34)&amp;"criterionId"&amp;CHAR(34)&amp;": "&amp;CHAR(34)&amp;SUBSTITUTE(CriteriTecnici!$D1840,CHAR(34),"'")&amp;CHAR(34)&amp;", "&amp;CHAR(34)&amp;"kind"&amp;CHAR(34)&amp;": "&amp;CHAR(34)&amp;SUBSTITUTE(CriteriTecnici!$F1840,CHAR(34),"'")&amp;CHAR(34)&amp;", "&amp;CHAR(34)&amp;"value"&amp;CHAR(34)&amp;": "&amp;SUBSTITUTE(TRIM(ROUND(IFERROR(CriteriTecnici!$N1840*1,IFERROR(NUMBERVALUE(CriteriTecnici!$N1840,".",","),IFERROR(NUMBERVALUE(CriteriTecnici!$N1840,",","."),0))),4)&amp;""),",",".")&amp;", "&amp;CHAR(34)&amp;"numerator"&amp;CHAR(34)&amp;": "&amp;SUBSTITUTE(TRIM(ROUND(IFERROR(CriteriTecnici!$K1840*1,IFERROR(NUMBERVALUE(CriteriTecnici!$K1840,".",","),IFERROR(NUMBERVALUE(CriteriTecnici!$K1840,",","."),0))),4)&amp;""),",",".")&amp;", "&amp;CHAR(34)&amp;"denominator"&amp;CHAR(34)&amp;": "&amp;SUBSTITUTE(TRIM(ROUND(IFERROR(CriteriTecnici!$L1840*1,IFERROR(NUMBERVALUE(CriteriTecnici!$L1840,".",","),IFERROR(NUMBERVALUE(CriteriTecnici!$L1840,",","."),0))),4)&amp;""),",",".")&amp;", "&amp;CHAR(34)&amp;"flag"&amp;CHAR(34)&amp;": "&amp;SUBSTITUTE(TRIM(ROUND(IFERROR(CriteriTecnici!$M1840*1,IFERROR(NUMBERVALUE(CriteriTecnici!$M1840,".",","),IFERROR(NUMBERVALUE(CriteriTecnici!$M1840,",","."),0))),4)&amp;""),",",".")&amp;", "&amp;CHAR(34)&amp;"rawScore"&amp;CHAR(34)&amp;": "&amp;SUBSTITUTE(TRIM(ROUND(IFERROR(CriteriTecnici!$O1840*1,IFERROR(NUMBERVALUE(CriteriTecnici!$O1840,".",","),IFERROR(NUMBERVALUE(CriteriTecnici!$O1840,",","."),0))),4)&amp;""),",",".")&amp;CHAR(125)&amp;IF(TRUE,",",""))</f>
        <v/>
      </c>
    </row>
    <row r="1942">
      <c r="A1942" s="82">
        <f>IF(CriteriTecnici!$A1841="","","    "&amp;CHAR(123)&amp;CHAR(34)&amp;"bidderId"&amp;CHAR(34)&amp;": "&amp;CHAR(34)&amp;SUBSTITUTE(CriteriTecnici!$A1841,CHAR(34),"'")&amp;CHAR(34)&amp;", "&amp;CHAR(34)&amp;"lotId"&amp;CHAR(34)&amp;": "&amp;CHAR(34)&amp;SUBSTITUTE(CriteriTecnici!$C1841,CHAR(34),"'")&amp;CHAR(34)&amp;", "&amp;CHAR(34)&amp;"criterionId"&amp;CHAR(34)&amp;": "&amp;CHAR(34)&amp;SUBSTITUTE(CriteriTecnici!$D1841,CHAR(34),"'")&amp;CHAR(34)&amp;", "&amp;CHAR(34)&amp;"kind"&amp;CHAR(34)&amp;": "&amp;CHAR(34)&amp;SUBSTITUTE(CriteriTecnici!$F1841,CHAR(34),"'")&amp;CHAR(34)&amp;", "&amp;CHAR(34)&amp;"value"&amp;CHAR(34)&amp;": "&amp;SUBSTITUTE(TRIM(ROUND(IFERROR(CriteriTecnici!$N1841*1,IFERROR(NUMBERVALUE(CriteriTecnici!$N1841,".",","),IFERROR(NUMBERVALUE(CriteriTecnici!$N1841,",","."),0))),4)&amp;""),",",".")&amp;", "&amp;CHAR(34)&amp;"numerator"&amp;CHAR(34)&amp;": "&amp;SUBSTITUTE(TRIM(ROUND(IFERROR(CriteriTecnici!$K1841*1,IFERROR(NUMBERVALUE(CriteriTecnici!$K1841,".",","),IFERROR(NUMBERVALUE(CriteriTecnici!$K1841,",","."),0))),4)&amp;""),",",".")&amp;", "&amp;CHAR(34)&amp;"denominator"&amp;CHAR(34)&amp;": "&amp;SUBSTITUTE(TRIM(ROUND(IFERROR(CriteriTecnici!$L1841*1,IFERROR(NUMBERVALUE(CriteriTecnici!$L1841,".",","),IFERROR(NUMBERVALUE(CriteriTecnici!$L1841,",","."),0))),4)&amp;""),",",".")&amp;", "&amp;CHAR(34)&amp;"flag"&amp;CHAR(34)&amp;": "&amp;SUBSTITUTE(TRIM(ROUND(IFERROR(CriteriTecnici!$M1841*1,IFERROR(NUMBERVALUE(CriteriTecnici!$M1841,".",","),IFERROR(NUMBERVALUE(CriteriTecnici!$M1841,",","."),0))),4)&amp;""),",",".")&amp;", "&amp;CHAR(34)&amp;"rawScore"&amp;CHAR(34)&amp;": "&amp;SUBSTITUTE(TRIM(ROUND(IFERROR(CriteriTecnici!$O1841*1,IFERROR(NUMBERVALUE(CriteriTecnici!$O1841,".",","),IFERROR(NUMBERVALUE(CriteriTecnici!$O1841,",","."),0))),4)&amp;""),",",".")&amp;CHAR(125)&amp;IF(TRUE,",",""))</f>
        <v/>
      </c>
    </row>
    <row r="1943">
      <c r="A1943" s="82">
        <f>IF(CriteriTecnici!$A1842="","","    "&amp;CHAR(123)&amp;CHAR(34)&amp;"bidderId"&amp;CHAR(34)&amp;": "&amp;CHAR(34)&amp;SUBSTITUTE(CriteriTecnici!$A1842,CHAR(34),"'")&amp;CHAR(34)&amp;", "&amp;CHAR(34)&amp;"lotId"&amp;CHAR(34)&amp;": "&amp;CHAR(34)&amp;SUBSTITUTE(CriteriTecnici!$C1842,CHAR(34),"'")&amp;CHAR(34)&amp;", "&amp;CHAR(34)&amp;"criterionId"&amp;CHAR(34)&amp;": "&amp;CHAR(34)&amp;SUBSTITUTE(CriteriTecnici!$D1842,CHAR(34),"'")&amp;CHAR(34)&amp;", "&amp;CHAR(34)&amp;"kind"&amp;CHAR(34)&amp;": "&amp;CHAR(34)&amp;SUBSTITUTE(CriteriTecnici!$F1842,CHAR(34),"'")&amp;CHAR(34)&amp;", "&amp;CHAR(34)&amp;"value"&amp;CHAR(34)&amp;": "&amp;SUBSTITUTE(TRIM(ROUND(IFERROR(CriteriTecnici!$N1842*1,IFERROR(NUMBERVALUE(CriteriTecnici!$N1842,".",","),IFERROR(NUMBERVALUE(CriteriTecnici!$N1842,",","."),0))),4)&amp;""),",",".")&amp;", "&amp;CHAR(34)&amp;"numerator"&amp;CHAR(34)&amp;": "&amp;SUBSTITUTE(TRIM(ROUND(IFERROR(CriteriTecnici!$K1842*1,IFERROR(NUMBERVALUE(CriteriTecnici!$K1842,".",","),IFERROR(NUMBERVALUE(CriteriTecnici!$K1842,",","."),0))),4)&amp;""),",",".")&amp;", "&amp;CHAR(34)&amp;"denominator"&amp;CHAR(34)&amp;": "&amp;SUBSTITUTE(TRIM(ROUND(IFERROR(CriteriTecnici!$L1842*1,IFERROR(NUMBERVALUE(CriteriTecnici!$L1842,".",","),IFERROR(NUMBERVALUE(CriteriTecnici!$L1842,",","."),0))),4)&amp;""),",",".")&amp;", "&amp;CHAR(34)&amp;"flag"&amp;CHAR(34)&amp;": "&amp;SUBSTITUTE(TRIM(ROUND(IFERROR(CriteriTecnici!$M1842*1,IFERROR(NUMBERVALUE(CriteriTecnici!$M1842,".",","),IFERROR(NUMBERVALUE(CriteriTecnici!$M1842,",","."),0))),4)&amp;""),",",".")&amp;", "&amp;CHAR(34)&amp;"rawScore"&amp;CHAR(34)&amp;": "&amp;SUBSTITUTE(TRIM(ROUND(IFERROR(CriteriTecnici!$O1842*1,IFERROR(NUMBERVALUE(CriteriTecnici!$O1842,".",","),IFERROR(NUMBERVALUE(CriteriTecnici!$O1842,",","."),0))),4)&amp;""),",",".")&amp;CHAR(125)&amp;IF(TRUE,",",""))</f>
        <v/>
      </c>
    </row>
    <row r="1944">
      <c r="A1944" s="82">
        <f>IF(CriteriTecnici!$A1843="","","    "&amp;CHAR(123)&amp;CHAR(34)&amp;"bidderId"&amp;CHAR(34)&amp;": "&amp;CHAR(34)&amp;SUBSTITUTE(CriteriTecnici!$A1843,CHAR(34),"'")&amp;CHAR(34)&amp;", "&amp;CHAR(34)&amp;"lotId"&amp;CHAR(34)&amp;": "&amp;CHAR(34)&amp;SUBSTITUTE(CriteriTecnici!$C1843,CHAR(34),"'")&amp;CHAR(34)&amp;", "&amp;CHAR(34)&amp;"criterionId"&amp;CHAR(34)&amp;": "&amp;CHAR(34)&amp;SUBSTITUTE(CriteriTecnici!$D1843,CHAR(34),"'")&amp;CHAR(34)&amp;", "&amp;CHAR(34)&amp;"kind"&amp;CHAR(34)&amp;": "&amp;CHAR(34)&amp;SUBSTITUTE(CriteriTecnici!$F1843,CHAR(34),"'")&amp;CHAR(34)&amp;", "&amp;CHAR(34)&amp;"value"&amp;CHAR(34)&amp;": "&amp;SUBSTITUTE(TRIM(ROUND(IFERROR(CriteriTecnici!$N1843*1,IFERROR(NUMBERVALUE(CriteriTecnici!$N1843,".",","),IFERROR(NUMBERVALUE(CriteriTecnici!$N1843,",","."),0))),4)&amp;""),",",".")&amp;", "&amp;CHAR(34)&amp;"numerator"&amp;CHAR(34)&amp;": "&amp;SUBSTITUTE(TRIM(ROUND(IFERROR(CriteriTecnici!$K1843*1,IFERROR(NUMBERVALUE(CriteriTecnici!$K1843,".",","),IFERROR(NUMBERVALUE(CriteriTecnici!$K1843,",","."),0))),4)&amp;""),",",".")&amp;", "&amp;CHAR(34)&amp;"denominator"&amp;CHAR(34)&amp;": "&amp;SUBSTITUTE(TRIM(ROUND(IFERROR(CriteriTecnici!$L1843*1,IFERROR(NUMBERVALUE(CriteriTecnici!$L1843,".",","),IFERROR(NUMBERVALUE(CriteriTecnici!$L1843,",","."),0))),4)&amp;""),",",".")&amp;", "&amp;CHAR(34)&amp;"flag"&amp;CHAR(34)&amp;": "&amp;SUBSTITUTE(TRIM(ROUND(IFERROR(CriteriTecnici!$M1843*1,IFERROR(NUMBERVALUE(CriteriTecnici!$M1843,".",","),IFERROR(NUMBERVALUE(CriteriTecnici!$M1843,",","."),0))),4)&amp;""),",",".")&amp;", "&amp;CHAR(34)&amp;"rawScore"&amp;CHAR(34)&amp;": "&amp;SUBSTITUTE(TRIM(ROUND(IFERROR(CriteriTecnici!$O1843*1,IFERROR(NUMBERVALUE(CriteriTecnici!$O1843,".",","),IFERROR(NUMBERVALUE(CriteriTecnici!$O1843,",","."),0))),4)&amp;""),",",".")&amp;CHAR(125)&amp;IF(TRUE,",",""))</f>
        <v/>
      </c>
    </row>
    <row r="1945">
      <c r="A1945" s="82">
        <f>IF(CriteriTecnici!$A1844="","","    "&amp;CHAR(123)&amp;CHAR(34)&amp;"bidderId"&amp;CHAR(34)&amp;": "&amp;CHAR(34)&amp;SUBSTITUTE(CriteriTecnici!$A1844,CHAR(34),"'")&amp;CHAR(34)&amp;", "&amp;CHAR(34)&amp;"lotId"&amp;CHAR(34)&amp;": "&amp;CHAR(34)&amp;SUBSTITUTE(CriteriTecnici!$C1844,CHAR(34),"'")&amp;CHAR(34)&amp;", "&amp;CHAR(34)&amp;"criterionId"&amp;CHAR(34)&amp;": "&amp;CHAR(34)&amp;SUBSTITUTE(CriteriTecnici!$D1844,CHAR(34),"'")&amp;CHAR(34)&amp;", "&amp;CHAR(34)&amp;"kind"&amp;CHAR(34)&amp;": "&amp;CHAR(34)&amp;SUBSTITUTE(CriteriTecnici!$F1844,CHAR(34),"'")&amp;CHAR(34)&amp;", "&amp;CHAR(34)&amp;"value"&amp;CHAR(34)&amp;": "&amp;SUBSTITUTE(TRIM(ROUND(IFERROR(CriteriTecnici!$N1844*1,IFERROR(NUMBERVALUE(CriteriTecnici!$N1844,".",","),IFERROR(NUMBERVALUE(CriteriTecnici!$N1844,",","."),0))),4)&amp;""),",",".")&amp;", "&amp;CHAR(34)&amp;"numerator"&amp;CHAR(34)&amp;": "&amp;SUBSTITUTE(TRIM(ROUND(IFERROR(CriteriTecnici!$K1844*1,IFERROR(NUMBERVALUE(CriteriTecnici!$K1844,".",","),IFERROR(NUMBERVALUE(CriteriTecnici!$K1844,",","."),0))),4)&amp;""),",",".")&amp;", "&amp;CHAR(34)&amp;"denominator"&amp;CHAR(34)&amp;": "&amp;SUBSTITUTE(TRIM(ROUND(IFERROR(CriteriTecnici!$L1844*1,IFERROR(NUMBERVALUE(CriteriTecnici!$L1844,".",","),IFERROR(NUMBERVALUE(CriteriTecnici!$L1844,",","."),0))),4)&amp;""),",",".")&amp;", "&amp;CHAR(34)&amp;"flag"&amp;CHAR(34)&amp;": "&amp;SUBSTITUTE(TRIM(ROUND(IFERROR(CriteriTecnici!$M1844*1,IFERROR(NUMBERVALUE(CriteriTecnici!$M1844,".",","),IFERROR(NUMBERVALUE(CriteriTecnici!$M1844,",","."),0))),4)&amp;""),",",".")&amp;", "&amp;CHAR(34)&amp;"rawScore"&amp;CHAR(34)&amp;": "&amp;SUBSTITUTE(TRIM(ROUND(IFERROR(CriteriTecnici!$O1844*1,IFERROR(NUMBERVALUE(CriteriTecnici!$O1844,".",","),IFERROR(NUMBERVALUE(CriteriTecnici!$O1844,",","."),0))),4)&amp;""),",",".")&amp;CHAR(125)&amp;IF(TRUE,",",""))</f>
        <v/>
      </c>
    </row>
    <row r="1946">
      <c r="A1946" s="82">
        <f>IF(CriteriTecnici!$A1845="","","    "&amp;CHAR(123)&amp;CHAR(34)&amp;"bidderId"&amp;CHAR(34)&amp;": "&amp;CHAR(34)&amp;SUBSTITUTE(CriteriTecnici!$A1845,CHAR(34),"'")&amp;CHAR(34)&amp;", "&amp;CHAR(34)&amp;"lotId"&amp;CHAR(34)&amp;": "&amp;CHAR(34)&amp;SUBSTITUTE(CriteriTecnici!$C1845,CHAR(34),"'")&amp;CHAR(34)&amp;", "&amp;CHAR(34)&amp;"criterionId"&amp;CHAR(34)&amp;": "&amp;CHAR(34)&amp;SUBSTITUTE(CriteriTecnici!$D1845,CHAR(34),"'")&amp;CHAR(34)&amp;", "&amp;CHAR(34)&amp;"kind"&amp;CHAR(34)&amp;": "&amp;CHAR(34)&amp;SUBSTITUTE(CriteriTecnici!$F1845,CHAR(34),"'")&amp;CHAR(34)&amp;", "&amp;CHAR(34)&amp;"value"&amp;CHAR(34)&amp;": "&amp;SUBSTITUTE(TRIM(ROUND(IFERROR(CriteriTecnici!$N1845*1,IFERROR(NUMBERVALUE(CriteriTecnici!$N1845,".",","),IFERROR(NUMBERVALUE(CriteriTecnici!$N1845,",","."),0))),4)&amp;""),",",".")&amp;", "&amp;CHAR(34)&amp;"numerator"&amp;CHAR(34)&amp;": "&amp;SUBSTITUTE(TRIM(ROUND(IFERROR(CriteriTecnici!$K1845*1,IFERROR(NUMBERVALUE(CriteriTecnici!$K1845,".",","),IFERROR(NUMBERVALUE(CriteriTecnici!$K1845,",","."),0))),4)&amp;""),",",".")&amp;", "&amp;CHAR(34)&amp;"denominator"&amp;CHAR(34)&amp;": "&amp;SUBSTITUTE(TRIM(ROUND(IFERROR(CriteriTecnici!$L1845*1,IFERROR(NUMBERVALUE(CriteriTecnici!$L1845,".",","),IFERROR(NUMBERVALUE(CriteriTecnici!$L1845,",","."),0))),4)&amp;""),",",".")&amp;", "&amp;CHAR(34)&amp;"flag"&amp;CHAR(34)&amp;": "&amp;SUBSTITUTE(TRIM(ROUND(IFERROR(CriteriTecnici!$M1845*1,IFERROR(NUMBERVALUE(CriteriTecnici!$M1845,".",","),IFERROR(NUMBERVALUE(CriteriTecnici!$M1845,",","."),0))),4)&amp;""),",",".")&amp;", "&amp;CHAR(34)&amp;"rawScore"&amp;CHAR(34)&amp;": "&amp;SUBSTITUTE(TRIM(ROUND(IFERROR(CriteriTecnici!$O1845*1,IFERROR(NUMBERVALUE(CriteriTecnici!$O1845,".",","),IFERROR(NUMBERVALUE(CriteriTecnici!$O1845,",","."),0))),4)&amp;""),",",".")&amp;CHAR(125)&amp;IF(TRUE,",",""))</f>
        <v/>
      </c>
    </row>
    <row r="1947">
      <c r="A1947" s="82">
        <f>IF(CriteriTecnici!$A1846="","","    "&amp;CHAR(123)&amp;CHAR(34)&amp;"bidderId"&amp;CHAR(34)&amp;": "&amp;CHAR(34)&amp;SUBSTITUTE(CriteriTecnici!$A1846,CHAR(34),"'")&amp;CHAR(34)&amp;", "&amp;CHAR(34)&amp;"lotId"&amp;CHAR(34)&amp;": "&amp;CHAR(34)&amp;SUBSTITUTE(CriteriTecnici!$C1846,CHAR(34),"'")&amp;CHAR(34)&amp;", "&amp;CHAR(34)&amp;"criterionId"&amp;CHAR(34)&amp;": "&amp;CHAR(34)&amp;SUBSTITUTE(CriteriTecnici!$D1846,CHAR(34),"'")&amp;CHAR(34)&amp;", "&amp;CHAR(34)&amp;"kind"&amp;CHAR(34)&amp;": "&amp;CHAR(34)&amp;SUBSTITUTE(CriteriTecnici!$F1846,CHAR(34),"'")&amp;CHAR(34)&amp;", "&amp;CHAR(34)&amp;"value"&amp;CHAR(34)&amp;": "&amp;SUBSTITUTE(TRIM(ROUND(IFERROR(CriteriTecnici!$N1846*1,IFERROR(NUMBERVALUE(CriteriTecnici!$N1846,".",","),IFERROR(NUMBERVALUE(CriteriTecnici!$N1846,",","."),0))),4)&amp;""),",",".")&amp;", "&amp;CHAR(34)&amp;"numerator"&amp;CHAR(34)&amp;": "&amp;SUBSTITUTE(TRIM(ROUND(IFERROR(CriteriTecnici!$K1846*1,IFERROR(NUMBERVALUE(CriteriTecnici!$K1846,".",","),IFERROR(NUMBERVALUE(CriteriTecnici!$K1846,",","."),0))),4)&amp;""),",",".")&amp;", "&amp;CHAR(34)&amp;"denominator"&amp;CHAR(34)&amp;": "&amp;SUBSTITUTE(TRIM(ROUND(IFERROR(CriteriTecnici!$L1846*1,IFERROR(NUMBERVALUE(CriteriTecnici!$L1846,".",","),IFERROR(NUMBERVALUE(CriteriTecnici!$L1846,",","."),0))),4)&amp;""),",",".")&amp;", "&amp;CHAR(34)&amp;"flag"&amp;CHAR(34)&amp;": "&amp;SUBSTITUTE(TRIM(ROUND(IFERROR(CriteriTecnici!$M1846*1,IFERROR(NUMBERVALUE(CriteriTecnici!$M1846,".",","),IFERROR(NUMBERVALUE(CriteriTecnici!$M1846,",","."),0))),4)&amp;""),",",".")&amp;", "&amp;CHAR(34)&amp;"rawScore"&amp;CHAR(34)&amp;": "&amp;SUBSTITUTE(TRIM(ROUND(IFERROR(CriteriTecnici!$O1846*1,IFERROR(NUMBERVALUE(CriteriTecnici!$O1846,".",","),IFERROR(NUMBERVALUE(CriteriTecnici!$O1846,",","."),0))),4)&amp;""),",",".")&amp;CHAR(125)&amp;IF(TRUE,",",""))</f>
        <v/>
      </c>
    </row>
    <row r="1948">
      <c r="A1948" s="82">
        <f>IF(CriteriTecnici!$A1847="","","    "&amp;CHAR(123)&amp;CHAR(34)&amp;"bidderId"&amp;CHAR(34)&amp;": "&amp;CHAR(34)&amp;SUBSTITUTE(CriteriTecnici!$A1847,CHAR(34),"'")&amp;CHAR(34)&amp;", "&amp;CHAR(34)&amp;"lotId"&amp;CHAR(34)&amp;": "&amp;CHAR(34)&amp;SUBSTITUTE(CriteriTecnici!$C1847,CHAR(34),"'")&amp;CHAR(34)&amp;", "&amp;CHAR(34)&amp;"criterionId"&amp;CHAR(34)&amp;": "&amp;CHAR(34)&amp;SUBSTITUTE(CriteriTecnici!$D1847,CHAR(34),"'")&amp;CHAR(34)&amp;", "&amp;CHAR(34)&amp;"kind"&amp;CHAR(34)&amp;": "&amp;CHAR(34)&amp;SUBSTITUTE(CriteriTecnici!$F1847,CHAR(34),"'")&amp;CHAR(34)&amp;", "&amp;CHAR(34)&amp;"value"&amp;CHAR(34)&amp;": "&amp;SUBSTITUTE(TRIM(ROUND(IFERROR(CriteriTecnici!$N1847*1,IFERROR(NUMBERVALUE(CriteriTecnici!$N1847,".",","),IFERROR(NUMBERVALUE(CriteriTecnici!$N1847,",","."),0))),4)&amp;""),",",".")&amp;", "&amp;CHAR(34)&amp;"numerator"&amp;CHAR(34)&amp;": "&amp;SUBSTITUTE(TRIM(ROUND(IFERROR(CriteriTecnici!$K1847*1,IFERROR(NUMBERVALUE(CriteriTecnici!$K1847,".",","),IFERROR(NUMBERVALUE(CriteriTecnici!$K1847,",","."),0))),4)&amp;""),",",".")&amp;", "&amp;CHAR(34)&amp;"denominator"&amp;CHAR(34)&amp;": "&amp;SUBSTITUTE(TRIM(ROUND(IFERROR(CriteriTecnici!$L1847*1,IFERROR(NUMBERVALUE(CriteriTecnici!$L1847,".",","),IFERROR(NUMBERVALUE(CriteriTecnici!$L1847,",","."),0))),4)&amp;""),",",".")&amp;", "&amp;CHAR(34)&amp;"flag"&amp;CHAR(34)&amp;": "&amp;SUBSTITUTE(TRIM(ROUND(IFERROR(CriteriTecnici!$M1847*1,IFERROR(NUMBERVALUE(CriteriTecnici!$M1847,".",","),IFERROR(NUMBERVALUE(CriteriTecnici!$M1847,",","."),0))),4)&amp;""),",",".")&amp;", "&amp;CHAR(34)&amp;"rawScore"&amp;CHAR(34)&amp;": "&amp;SUBSTITUTE(TRIM(ROUND(IFERROR(CriteriTecnici!$O1847*1,IFERROR(NUMBERVALUE(CriteriTecnici!$O1847,".",","),IFERROR(NUMBERVALUE(CriteriTecnici!$O1847,",","."),0))),4)&amp;""),",",".")&amp;CHAR(125)&amp;IF(TRUE,",",""))</f>
        <v/>
      </c>
    </row>
    <row r="1949">
      <c r="A1949" s="82">
        <f>IF(CriteriTecnici!$A1848="","","    "&amp;CHAR(123)&amp;CHAR(34)&amp;"bidderId"&amp;CHAR(34)&amp;": "&amp;CHAR(34)&amp;SUBSTITUTE(CriteriTecnici!$A1848,CHAR(34),"'")&amp;CHAR(34)&amp;", "&amp;CHAR(34)&amp;"lotId"&amp;CHAR(34)&amp;": "&amp;CHAR(34)&amp;SUBSTITUTE(CriteriTecnici!$C1848,CHAR(34),"'")&amp;CHAR(34)&amp;", "&amp;CHAR(34)&amp;"criterionId"&amp;CHAR(34)&amp;": "&amp;CHAR(34)&amp;SUBSTITUTE(CriteriTecnici!$D1848,CHAR(34),"'")&amp;CHAR(34)&amp;", "&amp;CHAR(34)&amp;"kind"&amp;CHAR(34)&amp;": "&amp;CHAR(34)&amp;SUBSTITUTE(CriteriTecnici!$F1848,CHAR(34),"'")&amp;CHAR(34)&amp;", "&amp;CHAR(34)&amp;"value"&amp;CHAR(34)&amp;": "&amp;SUBSTITUTE(TRIM(ROUND(IFERROR(CriteriTecnici!$N1848*1,IFERROR(NUMBERVALUE(CriteriTecnici!$N1848,".",","),IFERROR(NUMBERVALUE(CriteriTecnici!$N1848,",","."),0))),4)&amp;""),",",".")&amp;", "&amp;CHAR(34)&amp;"numerator"&amp;CHAR(34)&amp;": "&amp;SUBSTITUTE(TRIM(ROUND(IFERROR(CriteriTecnici!$K1848*1,IFERROR(NUMBERVALUE(CriteriTecnici!$K1848,".",","),IFERROR(NUMBERVALUE(CriteriTecnici!$K1848,",","."),0))),4)&amp;""),",",".")&amp;", "&amp;CHAR(34)&amp;"denominator"&amp;CHAR(34)&amp;": "&amp;SUBSTITUTE(TRIM(ROUND(IFERROR(CriteriTecnici!$L1848*1,IFERROR(NUMBERVALUE(CriteriTecnici!$L1848,".",","),IFERROR(NUMBERVALUE(CriteriTecnici!$L1848,",","."),0))),4)&amp;""),",",".")&amp;", "&amp;CHAR(34)&amp;"flag"&amp;CHAR(34)&amp;": "&amp;SUBSTITUTE(TRIM(ROUND(IFERROR(CriteriTecnici!$M1848*1,IFERROR(NUMBERVALUE(CriteriTecnici!$M1848,".",","),IFERROR(NUMBERVALUE(CriteriTecnici!$M1848,",","."),0))),4)&amp;""),",",".")&amp;", "&amp;CHAR(34)&amp;"rawScore"&amp;CHAR(34)&amp;": "&amp;SUBSTITUTE(TRIM(ROUND(IFERROR(CriteriTecnici!$O1848*1,IFERROR(NUMBERVALUE(CriteriTecnici!$O1848,".",","),IFERROR(NUMBERVALUE(CriteriTecnici!$O1848,",","."),0))),4)&amp;""),",",".")&amp;CHAR(125)&amp;IF(TRUE,",",""))</f>
        <v/>
      </c>
    </row>
    <row r="1950">
      <c r="A1950" s="82">
        <f>IF(CriteriTecnici!$A1849="","","    "&amp;CHAR(123)&amp;CHAR(34)&amp;"bidderId"&amp;CHAR(34)&amp;": "&amp;CHAR(34)&amp;SUBSTITUTE(CriteriTecnici!$A1849,CHAR(34),"'")&amp;CHAR(34)&amp;", "&amp;CHAR(34)&amp;"lotId"&amp;CHAR(34)&amp;": "&amp;CHAR(34)&amp;SUBSTITUTE(CriteriTecnici!$C1849,CHAR(34),"'")&amp;CHAR(34)&amp;", "&amp;CHAR(34)&amp;"criterionId"&amp;CHAR(34)&amp;": "&amp;CHAR(34)&amp;SUBSTITUTE(CriteriTecnici!$D1849,CHAR(34),"'")&amp;CHAR(34)&amp;", "&amp;CHAR(34)&amp;"kind"&amp;CHAR(34)&amp;": "&amp;CHAR(34)&amp;SUBSTITUTE(CriteriTecnici!$F1849,CHAR(34),"'")&amp;CHAR(34)&amp;", "&amp;CHAR(34)&amp;"value"&amp;CHAR(34)&amp;": "&amp;SUBSTITUTE(TRIM(ROUND(IFERROR(CriteriTecnici!$N1849*1,IFERROR(NUMBERVALUE(CriteriTecnici!$N1849,".",","),IFERROR(NUMBERVALUE(CriteriTecnici!$N1849,",","."),0))),4)&amp;""),",",".")&amp;", "&amp;CHAR(34)&amp;"numerator"&amp;CHAR(34)&amp;": "&amp;SUBSTITUTE(TRIM(ROUND(IFERROR(CriteriTecnici!$K1849*1,IFERROR(NUMBERVALUE(CriteriTecnici!$K1849,".",","),IFERROR(NUMBERVALUE(CriteriTecnici!$K1849,",","."),0))),4)&amp;""),",",".")&amp;", "&amp;CHAR(34)&amp;"denominator"&amp;CHAR(34)&amp;": "&amp;SUBSTITUTE(TRIM(ROUND(IFERROR(CriteriTecnici!$L1849*1,IFERROR(NUMBERVALUE(CriteriTecnici!$L1849,".",","),IFERROR(NUMBERVALUE(CriteriTecnici!$L1849,",","."),0))),4)&amp;""),",",".")&amp;", "&amp;CHAR(34)&amp;"flag"&amp;CHAR(34)&amp;": "&amp;SUBSTITUTE(TRIM(ROUND(IFERROR(CriteriTecnici!$M1849*1,IFERROR(NUMBERVALUE(CriteriTecnici!$M1849,".",","),IFERROR(NUMBERVALUE(CriteriTecnici!$M1849,",","."),0))),4)&amp;""),",",".")&amp;", "&amp;CHAR(34)&amp;"rawScore"&amp;CHAR(34)&amp;": "&amp;SUBSTITUTE(TRIM(ROUND(IFERROR(CriteriTecnici!$O1849*1,IFERROR(NUMBERVALUE(CriteriTecnici!$O1849,".",","),IFERROR(NUMBERVALUE(CriteriTecnici!$O1849,",","."),0))),4)&amp;""),",",".")&amp;CHAR(125)&amp;IF(TRUE,",",""))</f>
        <v/>
      </c>
    </row>
    <row r="1951">
      <c r="A1951" s="82">
        <f>IF(CriteriTecnici!$A1850="","","    "&amp;CHAR(123)&amp;CHAR(34)&amp;"bidderId"&amp;CHAR(34)&amp;": "&amp;CHAR(34)&amp;SUBSTITUTE(CriteriTecnici!$A1850,CHAR(34),"'")&amp;CHAR(34)&amp;", "&amp;CHAR(34)&amp;"lotId"&amp;CHAR(34)&amp;": "&amp;CHAR(34)&amp;SUBSTITUTE(CriteriTecnici!$C1850,CHAR(34),"'")&amp;CHAR(34)&amp;", "&amp;CHAR(34)&amp;"criterionId"&amp;CHAR(34)&amp;": "&amp;CHAR(34)&amp;SUBSTITUTE(CriteriTecnici!$D1850,CHAR(34),"'")&amp;CHAR(34)&amp;", "&amp;CHAR(34)&amp;"kind"&amp;CHAR(34)&amp;": "&amp;CHAR(34)&amp;SUBSTITUTE(CriteriTecnici!$F1850,CHAR(34),"'")&amp;CHAR(34)&amp;", "&amp;CHAR(34)&amp;"value"&amp;CHAR(34)&amp;": "&amp;SUBSTITUTE(TRIM(ROUND(IFERROR(CriteriTecnici!$N1850*1,IFERROR(NUMBERVALUE(CriteriTecnici!$N1850,".",","),IFERROR(NUMBERVALUE(CriteriTecnici!$N1850,",","."),0))),4)&amp;""),",",".")&amp;", "&amp;CHAR(34)&amp;"numerator"&amp;CHAR(34)&amp;": "&amp;SUBSTITUTE(TRIM(ROUND(IFERROR(CriteriTecnici!$K1850*1,IFERROR(NUMBERVALUE(CriteriTecnici!$K1850,".",","),IFERROR(NUMBERVALUE(CriteriTecnici!$K1850,",","."),0))),4)&amp;""),",",".")&amp;", "&amp;CHAR(34)&amp;"denominator"&amp;CHAR(34)&amp;": "&amp;SUBSTITUTE(TRIM(ROUND(IFERROR(CriteriTecnici!$L1850*1,IFERROR(NUMBERVALUE(CriteriTecnici!$L1850,".",","),IFERROR(NUMBERVALUE(CriteriTecnici!$L1850,",","."),0))),4)&amp;""),",",".")&amp;", "&amp;CHAR(34)&amp;"flag"&amp;CHAR(34)&amp;": "&amp;SUBSTITUTE(TRIM(ROUND(IFERROR(CriteriTecnici!$M1850*1,IFERROR(NUMBERVALUE(CriteriTecnici!$M1850,".",","),IFERROR(NUMBERVALUE(CriteriTecnici!$M1850,",","."),0))),4)&amp;""),",",".")&amp;", "&amp;CHAR(34)&amp;"rawScore"&amp;CHAR(34)&amp;": "&amp;SUBSTITUTE(TRIM(ROUND(IFERROR(CriteriTecnici!$O1850*1,IFERROR(NUMBERVALUE(CriteriTecnici!$O1850,".",","),IFERROR(NUMBERVALUE(CriteriTecnici!$O1850,",","."),0))),4)&amp;""),",",".")&amp;CHAR(125)&amp;IF(TRUE,",",""))</f>
        <v/>
      </c>
    </row>
    <row r="1952">
      <c r="A1952" s="82">
        <f>IF(CriteriTecnici!$A1851="","","    "&amp;CHAR(123)&amp;CHAR(34)&amp;"bidderId"&amp;CHAR(34)&amp;": "&amp;CHAR(34)&amp;SUBSTITUTE(CriteriTecnici!$A1851,CHAR(34),"'")&amp;CHAR(34)&amp;", "&amp;CHAR(34)&amp;"lotId"&amp;CHAR(34)&amp;": "&amp;CHAR(34)&amp;SUBSTITUTE(CriteriTecnici!$C1851,CHAR(34),"'")&amp;CHAR(34)&amp;", "&amp;CHAR(34)&amp;"criterionId"&amp;CHAR(34)&amp;": "&amp;CHAR(34)&amp;SUBSTITUTE(CriteriTecnici!$D1851,CHAR(34),"'")&amp;CHAR(34)&amp;", "&amp;CHAR(34)&amp;"kind"&amp;CHAR(34)&amp;": "&amp;CHAR(34)&amp;SUBSTITUTE(CriteriTecnici!$F1851,CHAR(34),"'")&amp;CHAR(34)&amp;", "&amp;CHAR(34)&amp;"value"&amp;CHAR(34)&amp;": "&amp;SUBSTITUTE(TRIM(ROUND(IFERROR(CriteriTecnici!$N1851*1,IFERROR(NUMBERVALUE(CriteriTecnici!$N1851,".",","),IFERROR(NUMBERVALUE(CriteriTecnici!$N1851,",","."),0))),4)&amp;""),",",".")&amp;", "&amp;CHAR(34)&amp;"numerator"&amp;CHAR(34)&amp;": "&amp;SUBSTITUTE(TRIM(ROUND(IFERROR(CriteriTecnici!$K1851*1,IFERROR(NUMBERVALUE(CriteriTecnici!$K1851,".",","),IFERROR(NUMBERVALUE(CriteriTecnici!$K1851,",","."),0))),4)&amp;""),",",".")&amp;", "&amp;CHAR(34)&amp;"denominator"&amp;CHAR(34)&amp;": "&amp;SUBSTITUTE(TRIM(ROUND(IFERROR(CriteriTecnici!$L1851*1,IFERROR(NUMBERVALUE(CriteriTecnici!$L1851,".",","),IFERROR(NUMBERVALUE(CriteriTecnici!$L1851,",","."),0))),4)&amp;""),",",".")&amp;", "&amp;CHAR(34)&amp;"flag"&amp;CHAR(34)&amp;": "&amp;SUBSTITUTE(TRIM(ROUND(IFERROR(CriteriTecnici!$M1851*1,IFERROR(NUMBERVALUE(CriteriTecnici!$M1851,".",","),IFERROR(NUMBERVALUE(CriteriTecnici!$M1851,",","."),0))),4)&amp;""),",",".")&amp;", "&amp;CHAR(34)&amp;"rawScore"&amp;CHAR(34)&amp;": "&amp;SUBSTITUTE(TRIM(ROUND(IFERROR(CriteriTecnici!$O1851*1,IFERROR(NUMBERVALUE(CriteriTecnici!$O1851,".",","),IFERROR(NUMBERVALUE(CriteriTecnici!$O1851,",","."),0))),4)&amp;""),",",".")&amp;CHAR(125)&amp;IF(TRUE,",",""))</f>
        <v/>
      </c>
    </row>
    <row r="1953">
      <c r="A1953" s="82">
        <f>IF(CriteriTecnici!$A1852="","","    "&amp;CHAR(123)&amp;CHAR(34)&amp;"bidderId"&amp;CHAR(34)&amp;": "&amp;CHAR(34)&amp;SUBSTITUTE(CriteriTecnici!$A1852,CHAR(34),"'")&amp;CHAR(34)&amp;", "&amp;CHAR(34)&amp;"lotId"&amp;CHAR(34)&amp;": "&amp;CHAR(34)&amp;SUBSTITUTE(CriteriTecnici!$C1852,CHAR(34),"'")&amp;CHAR(34)&amp;", "&amp;CHAR(34)&amp;"criterionId"&amp;CHAR(34)&amp;": "&amp;CHAR(34)&amp;SUBSTITUTE(CriteriTecnici!$D1852,CHAR(34),"'")&amp;CHAR(34)&amp;", "&amp;CHAR(34)&amp;"kind"&amp;CHAR(34)&amp;": "&amp;CHAR(34)&amp;SUBSTITUTE(CriteriTecnici!$F1852,CHAR(34),"'")&amp;CHAR(34)&amp;", "&amp;CHAR(34)&amp;"value"&amp;CHAR(34)&amp;": "&amp;SUBSTITUTE(TRIM(ROUND(IFERROR(CriteriTecnici!$N1852*1,IFERROR(NUMBERVALUE(CriteriTecnici!$N1852,".",","),IFERROR(NUMBERVALUE(CriteriTecnici!$N1852,",","."),0))),4)&amp;""),",",".")&amp;", "&amp;CHAR(34)&amp;"numerator"&amp;CHAR(34)&amp;": "&amp;SUBSTITUTE(TRIM(ROUND(IFERROR(CriteriTecnici!$K1852*1,IFERROR(NUMBERVALUE(CriteriTecnici!$K1852,".",","),IFERROR(NUMBERVALUE(CriteriTecnici!$K1852,",","."),0))),4)&amp;""),",",".")&amp;", "&amp;CHAR(34)&amp;"denominator"&amp;CHAR(34)&amp;": "&amp;SUBSTITUTE(TRIM(ROUND(IFERROR(CriteriTecnici!$L1852*1,IFERROR(NUMBERVALUE(CriteriTecnici!$L1852,".",","),IFERROR(NUMBERVALUE(CriteriTecnici!$L1852,",","."),0))),4)&amp;""),",",".")&amp;", "&amp;CHAR(34)&amp;"flag"&amp;CHAR(34)&amp;": "&amp;SUBSTITUTE(TRIM(ROUND(IFERROR(CriteriTecnici!$M1852*1,IFERROR(NUMBERVALUE(CriteriTecnici!$M1852,".",","),IFERROR(NUMBERVALUE(CriteriTecnici!$M1852,",","."),0))),4)&amp;""),",",".")&amp;", "&amp;CHAR(34)&amp;"rawScore"&amp;CHAR(34)&amp;": "&amp;SUBSTITUTE(TRIM(ROUND(IFERROR(CriteriTecnici!$O1852*1,IFERROR(NUMBERVALUE(CriteriTecnici!$O1852,".",","),IFERROR(NUMBERVALUE(CriteriTecnici!$O1852,",","."),0))),4)&amp;""),",",".")&amp;CHAR(125)&amp;IF(TRUE,",",""))</f>
        <v/>
      </c>
    </row>
    <row r="1954">
      <c r="A1954" s="82">
        <f>IF(CriteriTecnici!$A1853="","","    "&amp;CHAR(123)&amp;CHAR(34)&amp;"bidderId"&amp;CHAR(34)&amp;": "&amp;CHAR(34)&amp;SUBSTITUTE(CriteriTecnici!$A1853,CHAR(34),"'")&amp;CHAR(34)&amp;", "&amp;CHAR(34)&amp;"lotId"&amp;CHAR(34)&amp;": "&amp;CHAR(34)&amp;SUBSTITUTE(CriteriTecnici!$C1853,CHAR(34),"'")&amp;CHAR(34)&amp;", "&amp;CHAR(34)&amp;"criterionId"&amp;CHAR(34)&amp;": "&amp;CHAR(34)&amp;SUBSTITUTE(CriteriTecnici!$D1853,CHAR(34),"'")&amp;CHAR(34)&amp;", "&amp;CHAR(34)&amp;"kind"&amp;CHAR(34)&amp;": "&amp;CHAR(34)&amp;SUBSTITUTE(CriteriTecnici!$F1853,CHAR(34),"'")&amp;CHAR(34)&amp;", "&amp;CHAR(34)&amp;"value"&amp;CHAR(34)&amp;": "&amp;SUBSTITUTE(TRIM(ROUND(IFERROR(CriteriTecnici!$N1853*1,IFERROR(NUMBERVALUE(CriteriTecnici!$N1853,".",","),IFERROR(NUMBERVALUE(CriteriTecnici!$N1853,",","."),0))),4)&amp;""),",",".")&amp;", "&amp;CHAR(34)&amp;"numerator"&amp;CHAR(34)&amp;": "&amp;SUBSTITUTE(TRIM(ROUND(IFERROR(CriteriTecnici!$K1853*1,IFERROR(NUMBERVALUE(CriteriTecnici!$K1853,".",","),IFERROR(NUMBERVALUE(CriteriTecnici!$K1853,",","."),0))),4)&amp;""),",",".")&amp;", "&amp;CHAR(34)&amp;"denominator"&amp;CHAR(34)&amp;": "&amp;SUBSTITUTE(TRIM(ROUND(IFERROR(CriteriTecnici!$L1853*1,IFERROR(NUMBERVALUE(CriteriTecnici!$L1853,".",","),IFERROR(NUMBERVALUE(CriteriTecnici!$L1853,",","."),0))),4)&amp;""),",",".")&amp;", "&amp;CHAR(34)&amp;"flag"&amp;CHAR(34)&amp;": "&amp;SUBSTITUTE(TRIM(ROUND(IFERROR(CriteriTecnici!$M1853*1,IFERROR(NUMBERVALUE(CriteriTecnici!$M1853,".",","),IFERROR(NUMBERVALUE(CriteriTecnici!$M1853,",","."),0))),4)&amp;""),",",".")&amp;", "&amp;CHAR(34)&amp;"rawScore"&amp;CHAR(34)&amp;": "&amp;SUBSTITUTE(TRIM(ROUND(IFERROR(CriteriTecnici!$O1853*1,IFERROR(NUMBERVALUE(CriteriTecnici!$O1853,".",","),IFERROR(NUMBERVALUE(CriteriTecnici!$O1853,",","."),0))),4)&amp;""),",",".")&amp;CHAR(125)&amp;IF(TRUE,",",""))</f>
        <v/>
      </c>
    </row>
    <row r="1955">
      <c r="A1955" s="82">
        <f>IF(CriteriTecnici!$A1854="","","    "&amp;CHAR(123)&amp;CHAR(34)&amp;"bidderId"&amp;CHAR(34)&amp;": "&amp;CHAR(34)&amp;SUBSTITUTE(CriteriTecnici!$A1854,CHAR(34),"'")&amp;CHAR(34)&amp;", "&amp;CHAR(34)&amp;"lotId"&amp;CHAR(34)&amp;": "&amp;CHAR(34)&amp;SUBSTITUTE(CriteriTecnici!$C1854,CHAR(34),"'")&amp;CHAR(34)&amp;", "&amp;CHAR(34)&amp;"criterionId"&amp;CHAR(34)&amp;": "&amp;CHAR(34)&amp;SUBSTITUTE(CriteriTecnici!$D1854,CHAR(34),"'")&amp;CHAR(34)&amp;", "&amp;CHAR(34)&amp;"kind"&amp;CHAR(34)&amp;": "&amp;CHAR(34)&amp;SUBSTITUTE(CriteriTecnici!$F1854,CHAR(34),"'")&amp;CHAR(34)&amp;", "&amp;CHAR(34)&amp;"value"&amp;CHAR(34)&amp;": "&amp;SUBSTITUTE(TRIM(ROUND(IFERROR(CriteriTecnici!$N1854*1,IFERROR(NUMBERVALUE(CriteriTecnici!$N1854,".",","),IFERROR(NUMBERVALUE(CriteriTecnici!$N1854,",","."),0))),4)&amp;""),",",".")&amp;", "&amp;CHAR(34)&amp;"numerator"&amp;CHAR(34)&amp;": "&amp;SUBSTITUTE(TRIM(ROUND(IFERROR(CriteriTecnici!$K1854*1,IFERROR(NUMBERVALUE(CriteriTecnici!$K1854,".",","),IFERROR(NUMBERVALUE(CriteriTecnici!$K1854,",","."),0))),4)&amp;""),",",".")&amp;", "&amp;CHAR(34)&amp;"denominator"&amp;CHAR(34)&amp;": "&amp;SUBSTITUTE(TRIM(ROUND(IFERROR(CriteriTecnici!$L1854*1,IFERROR(NUMBERVALUE(CriteriTecnici!$L1854,".",","),IFERROR(NUMBERVALUE(CriteriTecnici!$L1854,",","."),0))),4)&amp;""),",",".")&amp;", "&amp;CHAR(34)&amp;"flag"&amp;CHAR(34)&amp;": "&amp;SUBSTITUTE(TRIM(ROUND(IFERROR(CriteriTecnici!$M1854*1,IFERROR(NUMBERVALUE(CriteriTecnici!$M1854,".",","),IFERROR(NUMBERVALUE(CriteriTecnici!$M1854,",","."),0))),4)&amp;""),",",".")&amp;", "&amp;CHAR(34)&amp;"rawScore"&amp;CHAR(34)&amp;": "&amp;SUBSTITUTE(TRIM(ROUND(IFERROR(CriteriTecnici!$O1854*1,IFERROR(NUMBERVALUE(CriteriTecnici!$O1854,".",","),IFERROR(NUMBERVALUE(CriteriTecnici!$O1854,",","."),0))),4)&amp;""),",",".")&amp;CHAR(125)&amp;IF(TRUE,",",""))</f>
        <v/>
      </c>
    </row>
    <row r="1956">
      <c r="A1956" s="82">
        <f>IF(CriteriTecnici!$A1855="","","    "&amp;CHAR(123)&amp;CHAR(34)&amp;"bidderId"&amp;CHAR(34)&amp;": "&amp;CHAR(34)&amp;SUBSTITUTE(CriteriTecnici!$A1855,CHAR(34),"'")&amp;CHAR(34)&amp;", "&amp;CHAR(34)&amp;"lotId"&amp;CHAR(34)&amp;": "&amp;CHAR(34)&amp;SUBSTITUTE(CriteriTecnici!$C1855,CHAR(34),"'")&amp;CHAR(34)&amp;", "&amp;CHAR(34)&amp;"criterionId"&amp;CHAR(34)&amp;": "&amp;CHAR(34)&amp;SUBSTITUTE(CriteriTecnici!$D1855,CHAR(34),"'")&amp;CHAR(34)&amp;", "&amp;CHAR(34)&amp;"kind"&amp;CHAR(34)&amp;": "&amp;CHAR(34)&amp;SUBSTITUTE(CriteriTecnici!$F1855,CHAR(34),"'")&amp;CHAR(34)&amp;", "&amp;CHAR(34)&amp;"value"&amp;CHAR(34)&amp;": "&amp;SUBSTITUTE(TRIM(ROUND(IFERROR(CriteriTecnici!$N1855*1,IFERROR(NUMBERVALUE(CriteriTecnici!$N1855,".",","),IFERROR(NUMBERVALUE(CriteriTecnici!$N1855,",","."),0))),4)&amp;""),",",".")&amp;", "&amp;CHAR(34)&amp;"numerator"&amp;CHAR(34)&amp;": "&amp;SUBSTITUTE(TRIM(ROUND(IFERROR(CriteriTecnici!$K1855*1,IFERROR(NUMBERVALUE(CriteriTecnici!$K1855,".",","),IFERROR(NUMBERVALUE(CriteriTecnici!$K1855,",","."),0))),4)&amp;""),",",".")&amp;", "&amp;CHAR(34)&amp;"denominator"&amp;CHAR(34)&amp;": "&amp;SUBSTITUTE(TRIM(ROUND(IFERROR(CriteriTecnici!$L1855*1,IFERROR(NUMBERVALUE(CriteriTecnici!$L1855,".",","),IFERROR(NUMBERVALUE(CriteriTecnici!$L1855,",","."),0))),4)&amp;""),",",".")&amp;", "&amp;CHAR(34)&amp;"flag"&amp;CHAR(34)&amp;": "&amp;SUBSTITUTE(TRIM(ROUND(IFERROR(CriteriTecnici!$M1855*1,IFERROR(NUMBERVALUE(CriteriTecnici!$M1855,".",","),IFERROR(NUMBERVALUE(CriteriTecnici!$M1855,",","."),0))),4)&amp;""),",",".")&amp;", "&amp;CHAR(34)&amp;"rawScore"&amp;CHAR(34)&amp;": "&amp;SUBSTITUTE(TRIM(ROUND(IFERROR(CriteriTecnici!$O1855*1,IFERROR(NUMBERVALUE(CriteriTecnici!$O1855,".",","),IFERROR(NUMBERVALUE(CriteriTecnici!$O1855,",","."),0))),4)&amp;""),",",".")&amp;CHAR(125)&amp;IF(TRUE,",",""))</f>
        <v/>
      </c>
    </row>
    <row r="1957">
      <c r="A1957" s="82">
        <f>IF(CriteriTecnici!$A1856="","","    "&amp;CHAR(123)&amp;CHAR(34)&amp;"bidderId"&amp;CHAR(34)&amp;": "&amp;CHAR(34)&amp;SUBSTITUTE(CriteriTecnici!$A1856,CHAR(34),"'")&amp;CHAR(34)&amp;", "&amp;CHAR(34)&amp;"lotId"&amp;CHAR(34)&amp;": "&amp;CHAR(34)&amp;SUBSTITUTE(CriteriTecnici!$C1856,CHAR(34),"'")&amp;CHAR(34)&amp;", "&amp;CHAR(34)&amp;"criterionId"&amp;CHAR(34)&amp;": "&amp;CHAR(34)&amp;SUBSTITUTE(CriteriTecnici!$D1856,CHAR(34),"'")&amp;CHAR(34)&amp;", "&amp;CHAR(34)&amp;"kind"&amp;CHAR(34)&amp;": "&amp;CHAR(34)&amp;SUBSTITUTE(CriteriTecnici!$F1856,CHAR(34),"'")&amp;CHAR(34)&amp;", "&amp;CHAR(34)&amp;"value"&amp;CHAR(34)&amp;": "&amp;SUBSTITUTE(TRIM(ROUND(IFERROR(CriteriTecnici!$N1856*1,IFERROR(NUMBERVALUE(CriteriTecnici!$N1856,".",","),IFERROR(NUMBERVALUE(CriteriTecnici!$N1856,",","."),0))),4)&amp;""),",",".")&amp;", "&amp;CHAR(34)&amp;"numerator"&amp;CHAR(34)&amp;": "&amp;SUBSTITUTE(TRIM(ROUND(IFERROR(CriteriTecnici!$K1856*1,IFERROR(NUMBERVALUE(CriteriTecnici!$K1856,".",","),IFERROR(NUMBERVALUE(CriteriTecnici!$K1856,",","."),0))),4)&amp;""),",",".")&amp;", "&amp;CHAR(34)&amp;"denominator"&amp;CHAR(34)&amp;": "&amp;SUBSTITUTE(TRIM(ROUND(IFERROR(CriteriTecnici!$L1856*1,IFERROR(NUMBERVALUE(CriteriTecnici!$L1856,".",","),IFERROR(NUMBERVALUE(CriteriTecnici!$L1856,",","."),0))),4)&amp;""),",",".")&amp;", "&amp;CHAR(34)&amp;"flag"&amp;CHAR(34)&amp;": "&amp;SUBSTITUTE(TRIM(ROUND(IFERROR(CriteriTecnici!$M1856*1,IFERROR(NUMBERVALUE(CriteriTecnici!$M1856,".",","),IFERROR(NUMBERVALUE(CriteriTecnici!$M1856,",","."),0))),4)&amp;""),",",".")&amp;", "&amp;CHAR(34)&amp;"rawScore"&amp;CHAR(34)&amp;": "&amp;SUBSTITUTE(TRIM(ROUND(IFERROR(CriteriTecnici!$O1856*1,IFERROR(NUMBERVALUE(CriteriTecnici!$O1856,".",","),IFERROR(NUMBERVALUE(CriteriTecnici!$O1856,",","."),0))),4)&amp;""),",",".")&amp;CHAR(125)&amp;IF(TRUE,",",""))</f>
        <v/>
      </c>
    </row>
    <row r="1958">
      <c r="A1958" s="82">
        <f>IF(CriteriTecnici!$A1857="","","    "&amp;CHAR(123)&amp;CHAR(34)&amp;"bidderId"&amp;CHAR(34)&amp;": "&amp;CHAR(34)&amp;SUBSTITUTE(CriteriTecnici!$A1857,CHAR(34),"'")&amp;CHAR(34)&amp;", "&amp;CHAR(34)&amp;"lotId"&amp;CHAR(34)&amp;": "&amp;CHAR(34)&amp;SUBSTITUTE(CriteriTecnici!$C1857,CHAR(34),"'")&amp;CHAR(34)&amp;", "&amp;CHAR(34)&amp;"criterionId"&amp;CHAR(34)&amp;": "&amp;CHAR(34)&amp;SUBSTITUTE(CriteriTecnici!$D1857,CHAR(34),"'")&amp;CHAR(34)&amp;", "&amp;CHAR(34)&amp;"kind"&amp;CHAR(34)&amp;": "&amp;CHAR(34)&amp;SUBSTITUTE(CriteriTecnici!$F1857,CHAR(34),"'")&amp;CHAR(34)&amp;", "&amp;CHAR(34)&amp;"value"&amp;CHAR(34)&amp;": "&amp;SUBSTITUTE(TRIM(ROUND(IFERROR(CriteriTecnici!$N1857*1,IFERROR(NUMBERVALUE(CriteriTecnici!$N1857,".",","),IFERROR(NUMBERVALUE(CriteriTecnici!$N1857,",","."),0))),4)&amp;""),",",".")&amp;", "&amp;CHAR(34)&amp;"numerator"&amp;CHAR(34)&amp;": "&amp;SUBSTITUTE(TRIM(ROUND(IFERROR(CriteriTecnici!$K1857*1,IFERROR(NUMBERVALUE(CriteriTecnici!$K1857,".",","),IFERROR(NUMBERVALUE(CriteriTecnici!$K1857,",","."),0))),4)&amp;""),",",".")&amp;", "&amp;CHAR(34)&amp;"denominator"&amp;CHAR(34)&amp;": "&amp;SUBSTITUTE(TRIM(ROUND(IFERROR(CriteriTecnici!$L1857*1,IFERROR(NUMBERVALUE(CriteriTecnici!$L1857,".",","),IFERROR(NUMBERVALUE(CriteriTecnici!$L1857,",","."),0))),4)&amp;""),",",".")&amp;", "&amp;CHAR(34)&amp;"flag"&amp;CHAR(34)&amp;": "&amp;SUBSTITUTE(TRIM(ROUND(IFERROR(CriteriTecnici!$M1857*1,IFERROR(NUMBERVALUE(CriteriTecnici!$M1857,".",","),IFERROR(NUMBERVALUE(CriteriTecnici!$M1857,",","."),0))),4)&amp;""),",",".")&amp;", "&amp;CHAR(34)&amp;"rawScore"&amp;CHAR(34)&amp;": "&amp;SUBSTITUTE(TRIM(ROUND(IFERROR(CriteriTecnici!$O1857*1,IFERROR(NUMBERVALUE(CriteriTecnici!$O1857,".",","),IFERROR(NUMBERVALUE(CriteriTecnici!$O1857,",","."),0))),4)&amp;""),",",".")&amp;CHAR(125)&amp;IF(TRUE,",",""))</f>
        <v/>
      </c>
    </row>
    <row r="1959">
      <c r="A1959" s="82">
        <f>IF(CriteriTecnici!$A1858="","","    "&amp;CHAR(123)&amp;CHAR(34)&amp;"bidderId"&amp;CHAR(34)&amp;": "&amp;CHAR(34)&amp;SUBSTITUTE(CriteriTecnici!$A1858,CHAR(34),"'")&amp;CHAR(34)&amp;", "&amp;CHAR(34)&amp;"lotId"&amp;CHAR(34)&amp;": "&amp;CHAR(34)&amp;SUBSTITUTE(CriteriTecnici!$C1858,CHAR(34),"'")&amp;CHAR(34)&amp;", "&amp;CHAR(34)&amp;"criterionId"&amp;CHAR(34)&amp;": "&amp;CHAR(34)&amp;SUBSTITUTE(CriteriTecnici!$D1858,CHAR(34),"'")&amp;CHAR(34)&amp;", "&amp;CHAR(34)&amp;"kind"&amp;CHAR(34)&amp;": "&amp;CHAR(34)&amp;SUBSTITUTE(CriteriTecnici!$F1858,CHAR(34),"'")&amp;CHAR(34)&amp;", "&amp;CHAR(34)&amp;"value"&amp;CHAR(34)&amp;": "&amp;SUBSTITUTE(TRIM(ROUND(IFERROR(CriteriTecnici!$N1858*1,IFERROR(NUMBERVALUE(CriteriTecnici!$N1858,".",","),IFERROR(NUMBERVALUE(CriteriTecnici!$N1858,",","."),0))),4)&amp;""),",",".")&amp;", "&amp;CHAR(34)&amp;"numerator"&amp;CHAR(34)&amp;": "&amp;SUBSTITUTE(TRIM(ROUND(IFERROR(CriteriTecnici!$K1858*1,IFERROR(NUMBERVALUE(CriteriTecnici!$K1858,".",","),IFERROR(NUMBERVALUE(CriteriTecnici!$K1858,",","."),0))),4)&amp;""),",",".")&amp;", "&amp;CHAR(34)&amp;"denominator"&amp;CHAR(34)&amp;": "&amp;SUBSTITUTE(TRIM(ROUND(IFERROR(CriteriTecnici!$L1858*1,IFERROR(NUMBERVALUE(CriteriTecnici!$L1858,".",","),IFERROR(NUMBERVALUE(CriteriTecnici!$L1858,",","."),0))),4)&amp;""),",",".")&amp;", "&amp;CHAR(34)&amp;"flag"&amp;CHAR(34)&amp;": "&amp;SUBSTITUTE(TRIM(ROUND(IFERROR(CriteriTecnici!$M1858*1,IFERROR(NUMBERVALUE(CriteriTecnici!$M1858,".",","),IFERROR(NUMBERVALUE(CriteriTecnici!$M1858,",","."),0))),4)&amp;""),",",".")&amp;", "&amp;CHAR(34)&amp;"rawScore"&amp;CHAR(34)&amp;": "&amp;SUBSTITUTE(TRIM(ROUND(IFERROR(CriteriTecnici!$O1858*1,IFERROR(NUMBERVALUE(CriteriTecnici!$O1858,".",","),IFERROR(NUMBERVALUE(CriteriTecnici!$O1858,",","."),0))),4)&amp;""),",",".")&amp;CHAR(125)&amp;IF(TRUE,",",""))</f>
        <v/>
      </c>
    </row>
    <row r="1960">
      <c r="A1960" s="82">
        <f>IF(CriteriTecnici!$A1859="","","    "&amp;CHAR(123)&amp;CHAR(34)&amp;"bidderId"&amp;CHAR(34)&amp;": "&amp;CHAR(34)&amp;SUBSTITUTE(CriteriTecnici!$A1859,CHAR(34),"'")&amp;CHAR(34)&amp;", "&amp;CHAR(34)&amp;"lotId"&amp;CHAR(34)&amp;": "&amp;CHAR(34)&amp;SUBSTITUTE(CriteriTecnici!$C1859,CHAR(34),"'")&amp;CHAR(34)&amp;", "&amp;CHAR(34)&amp;"criterionId"&amp;CHAR(34)&amp;": "&amp;CHAR(34)&amp;SUBSTITUTE(CriteriTecnici!$D1859,CHAR(34),"'")&amp;CHAR(34)&amp;", "&amp;CHAR(34)&amp;"kind"&amp;CHAR(34)&amp;": "&amp;CHAR(34)&amp;SUBSTITUTE(CriteriTecnici!$F1859,CHAR(34),"'")&amp;CHAR(34)&amp;", "&amp;CHAR(34)&amp;"value"&amp;CHAR(34)&amp;": "&amp;SUBSTITUTE(TRIM(ROUND(IFERROR(CriteriTecnici!$N1859*1,IFERROR(NUMBERVALUE(CriteriTecnici!$N1859,".",","),IFERROR(NUMBERVALUE(CriteriTecnici!$N1859,",","."),0))),4)&amp;""),",",".")&amp;", "&amp;CHAR(34)&amp;"numerator"&amp;CHAR(34)&amp;": "&amp;SUBSTITUTE(TRIM(ROUND(IFERROR(CriteriTecnici!$K1859*1,IFERROR(NUMBERVALUE(CriteriTecnici!$K1859,".",","),IFERROR(NUMBERVALUE(CriteriTecnici!$K1859,",","."),0))),4)&amp;""),",",".")&amp;", "&amp;CHAR(34)&amp;"denominator"&amp;CHAR(34)&amp;": "&amp;SUBSTITUTE(TRIM(ROUND(IFERROR(CriteriTecnici!$L1859*1,IFERROR(NUMBERVALUE(CriteriTecnici!$L1859,".",","),IFERROR(NUMBERVALUE(CriteriTecnici!$L1859,",","."),0))),4)&amp;""),",",".")&amp;", "&amp;CHAR(34)&amp;"flag"&amp;CHAR(34)&amp;": "&amp;SUBSTITUTE(TRIM(ROUND(IFERROR(CriteriTecnici!$M1859*1,IFERROR(NUMBERVALUE(CriteriTecnici!$M1859,".",","),IFERROR(NUMBERVALUE(CriteriTecnici!$M1859,",","."),0))),4)&amp;""),",",".")&amp;", "&amp;CHAR(34)&amp;"rawScore"&amp;CHAR(34)&amp;": "&amp;SUBSTITUTE(TRIM(ROUND(IFERROR(CriteriTecnici!$O1859*1,IFERROR(NUMBERVALUE(CriteriTecnici!$O1859,".",","),IFERROR(NUMBERVALUE(CriteriTecnici!$O1859,",","."),0))),4)&amp;""),",",".")&amp;CHAR(125)&amp;IF(TRUE,",",""))</f>
        <v/>
      </c>
    </row>
    <row r="1961">
      <c r="A1961" s="82">
        <f>IF(CriteriTecnici!$A1860="","","    "&amp;CHAR(123)&amp;CHAR(34)&amp;"bidderId"&amp;CHAR(34)&amp;": "&amp;CHAR(34)&amp;SUBSTITUTE(CriteriTecnici!$A1860,CHAR(34),"'")&amp;CHAR(34)&amp;", "&amp;CHAR(34)&amp;"lotId"&amp;CHAR(34)&amp;": "&amp;CHAR(34)&amp;SUBSTITUTE(CriteriTecnici!$C1860,CHAR(34),"'")&amp;CHAR(34)&amp;", "&amp;CHAR(34)&amp;"criterionId"&amp;CHAR(34)&amp;": "&amp;CHAR(34)&amp;SUBSTITUTE(CriteriTecnici!$D1860,CHAR(34),"'")&amp;CHAR(34)&amp;", "&amp;CHAR(34)&amp;"kind"&amp;CHAR(34)&amp;": "&amp;CHAR(34)&amp;SUBSTITUTE(CriteriTecnici!$F1860,CHAR(34),"'")&amp;CHAR(34)&amp;", "&amp;CHAR(34)&amp;"value"&amp;CHAR(34)&amp;": "&amp;SUBSTITUTE(TRIM(ROUND(IFERROR(CriteriTecnici!$N1860*1,IFERROR(NUMBERVALUE(CriteriTecnici!$N1860,".",","),IFERROR(NUMBERVALUE(CriteriTecnici!$N1860,",","."),0))),4)&amp;""),",",".")&amp;", "&amp;CHAR(34)&amp;"numerator"&amp;CHAR(34)&amp;": "&amp;SUBSTITUTE(TRIM(ROUND(IFERROR(CriteriTecnici!$K1860*1,IFERROR(NUMBERVALUE(CriteriTecnici!$K1860,".",","),IFERROR(NUMBERVALUE(CriteriTecnici!$K1860,",","."),0))),4)&amp;""),",",".")&amp;", "&amp;CHAR(34)&amp;"denominator"&amp;CHAR(34)&amp;": "&amp;SUBSTITUTE(TRIM(ROUND(IFERROR(CriteriTecnici!$L1860*1,IFERROR(NUMBERVALUE(CriteriTecnici!$L1860,".",","),IFERROR(NUMBERVALUE(CriteriTecnici!$L1860,",","."),0))),4)&amp;""),",",".")&amp;", "&amp;CHAR(34)&amp;"flag"&amp;CHAR(34)&amp;": "&amp;SUBSTITUTE(TRIM(ROUND(IFERROR(CriteriTecnici!$M1860*1,IFERROR(NUMBERVALUE(CriteriTecnici!$M1860,".",","),IFERROR(NUMBERVALUE(CriteriTecnici!$M1860,",","."),0))),4)&amp;""),",",".")&amp;", "&amp;CHAR(34)&amp;"rawScore"&amp;CHAR(34)&amp;": "&amp;SUBSTITUTE(TRIM(ROUND(IFERROR(CriteriTecnici!$O1860*1,IFERROR(NUMBERVALUE(CriteriTecnici!$O1860,".",","),IFERROR(NUMBERVALUE(CriteriTecnici!$O1860,",","."),0))),4)&amp;""),",",".")&amp;CHAR(125)&amp;IF(TRUE,",",""))</f>
        <v/>
      </c>
    </row>
    <row r="1962">
      <c r="A1962" s="82">
        <f>IF(CriteriTecnici!$A1861="","","    "&amp;CHAR(123)&amp;CHAR(34)&amp;"bidderId"&amp;CHAR(34)&amp;": "&amp;CHAR(34)&amp;SUBSTITUTE(CriteriTecnici!$A1861,CHAR(34),"'")&amp;CHAR(34)&amp;", "&amp;CHAR(34)&amp;"lotId"&amp;CHAR(34)&amp;": "&amp;CHAR(34)&amp;SUBSTITUTE(CriteriTecnici!$C1861,CHAR(34),"'")&amp;CHAR(34)&amp;", "&amp;CHAR(34)&amp;"criterionId"&amp;CHAR(34)&amp;": "&amp;CHAR(34)&amp;SUBSTITUTE(CriteriTecnici!$D1861,CHAR(34),"'")&amp;CHAR(34)&amp;", "&amp;CHAR(34)&amp;"kind"&amp;CHAR(34)&amp;": "&amp;CHAR(34)&amp;SUBSTITUTE(CriteriTecnici!$F1861,CHAR(34),"'")&amp;CHAR(34)&amp;", "&amp;CHAR(34)&amp;"value"&amp;CHAR(34)&amp;": "&amp;SUBSTITUTE(TRIM(ROUND(IFERROR(CriteriTecnici!$N1861*1,IFERROR(NUMBERVALUE(CriteriTecnici!$N1861,".",","),IFERROR(NUMBERVALUE(CriteriTecnici!$N1861,",","."),0))),4)&amp;""),",",".")&amp;", "&amp;CHAR(34)&amp;"numerator"&amp;CHAR(34)&amp;": "&amp;SUBSTITUTE(TRIM(ROUND(IFERROR(CriteriTecnici!$K1861*1,IFERROR(NUMBERVALUE(CriteriTecnici!$K1861,".",","),IFERROR(NUMBERVALUE(CriteriTecnici!$K1861,",","."),0))),4)&amp;""),",",".")&amp;", "&amp;CHAR(34)&amp;"denominator"&amp;CHAR(34)&amp;": "&amp;SUBSTITUTE(TRIM(ROUND(IFERROR(CriteriTecnici!$L1861*1,IFERROR(NUMBERVALUE(CriteriTecnici!$L1861,".",","),IFERROR(NUMBERVALUE(CriteriTecnici!$L1861,",","."),0))),4)&amp;""),",",".")&amp;", "&amp;CHAR(34)&amp;"flag"&amp;CHAR(34)&amp;": "&amp;SUBSTITUTE(TRIM(ROUND(IFERROR(CriteriTecnici!$M1861*1,IFERROR(NUMBERVALUE(CriteriTecnici!$M1861,".",","),IFERROR(NUMBERVALUE(CriteriTecnici!$M1861,",","."),0))),4)&amp;""),",",".")&amp;", "&amp;CHAR(34)&amp;"rawScore"&amp;CHAR(34)&amp;": "&amp;SUBSTITUTE(TRIM(ROUND(IFERROR(CriteriTecnici!$O1861*1,IFERROR(NUMBERVALUE(CriteriTecnici!$O1861,".",","),IFERROR(NUMBERVALUE(CriteriTecnici!$O1861,",","."),0))),4)&amp;""),",",".")&amp;CHAR(125)&amp;IF(TRUE,",",""))</f>
        <v/>
      </c>
    </row>
    <row r="1963">
      <c r="A1963" s="82">
        <f>IF(CriteriTecnici!$A1862="","","    "&amp;CHAR(123)&amp;CHAR(34)&amp;"bidderId"&amp;CHAR(34)&amp;": "&amp;CHAR(34)&amp;SUBSTITUTE(CriteriTecnici!$A1862,CHAR(34),"'")&amp;CHAR(34)&amp;", "&amp;CHAR(34)&amp;"lotId"&amp;CHAR(34)&amp;": "&amp;CHAR(34)&amp;SUBSTITUTE(CriteriTecnici!$C1862,CHAR(34),"'")&amp;CHAR(34)&amp;", "&amp;CHAR(34)&amp;"criterionId"&amp;CHAR(34)&amp;": "&amp;CHAR(34)&amp;SUBSTITUTE(CriteriTecnici!$D1862,CHAR(34),"'")&amp;CHAR(34)&amp;", "&amp;CHAR(34)&amp;"kind"&amp;CHAR(34)&amp;": "&amp;CHAR(34)&amp;SUBSTITUTE(CriteriTecnici!$F1862,CHAR(34),"'")&amp;CHAR(34)&amp;", "&amp;CHAR(34)&amp;"value"&amp;CHAR(34)&amp;": "&amp;SUBSTITUTE(TRIM(ROUND(IFERROR(CriteriTecnici!$N1862*1,IFERROR(NUMBERVALUE(CriteriTecnici!$N1862,".",","),IFERROR(NUMBERVALUE(CriteriTecnici!$N1862,",","."),0))),4)&amp;""),",",".")&amp;", "&amp;CHAR(34)&amp;"numerator"&amp;CHAR(34)&amp;": "&amp;SUBSTITUTE(TRIM(ROUND(IFERROR(CriteriTecnici!$K1862*1,IFERROR(NUMBERVALUE(CriteriTecnici!$K1862,".",","),IFERROR(NUMBERVALUE(CriteriTecnici!$K1862,",","."),0))),4)&amp;""),",",".")&amp;", "&amp;CHAR(34)&amp;"denominator"&amp;CHAR(34)&amp;": "&amp;SUBSTITUTE(TRIM(ROUND(IFERROR(CriteriTecnici!$L1862*1,IFERROR(NUMBERVALUE(CriteriTecnici!$L1862,".",","),IFERROR(NUMBERVALUE(CriteriTecnici!$L1862,",","."),0))),4)&amp;""),",",".")&amp;", "&amp;CHAR(34)&amp;"flag"&amp;CHAR(34)&amp;": "&amp;SUBSTITUTE(TRIM(ROUND(IFERROR(CriteriTecnici!$M1862*1,IFERROR(NUMBERVALUE(CriteriTecnici!$M1862,".",","),IFERROR(NUMBERVALUE(CriteriTecnici!$M1862,",","."),0))),4)&amp;""),",",".")&amp;", "&amp;CHAR(34)&amp;"rawScore"&amp;CHAR(34)&amp;": "&amp;SUBSTITUTE(TRIM(ROUND(IFERROR(CriteriTecnici!$O1862*1,IFERROR(NUMBERVALUE(CriteriTecnici!$O1862,".",","),IFERROR(NUMBERVALUE(CriteriTecnici!$O1862,",","."),0))),4)&amp;""),",",".")&amp;CHAR(125)&amp;IF(TRUE,",",""))</f>
        <v/>
      </c>
    </row>
    <row r="1964">
      <c r="A1964" s="82">
        <f>IF(CriteriTecnici!$A1863="","","    "&amp;CHAR(123)&amp;CHAR(34)&amp;"bidderId"&amp;CHAR(34)&amp;": "&amp;CHAR(34)&amp;SUBSTITUTE(CriteriTecnici!$A1863,CHAR(34),"'")&amp;CHAR(34)&amp;", "&amp;CHAR(34)&amp;"lotId"&amp;CHAR(34)&amp;": "&amp;CHAR(34)&amp;SUBSTITUTE(CriteriTecnici!$C1863,CHAR(34),"'")&amp;CHAR(34)&amp;", "&amp;CHAR(34)&amp;"criterionId"&amp;CHAR(34)&amp;": "&amp;CHAR(34)&amp;SUBSTITUTE(CriteriTecnici!$D1863,CHAR(34),"'")&amp;CHAR(34)&amp;", "&amp;CHAR(34)&amp;"kind"&amp;CHAR(34)&amp;": "&amp;CHAR(34)&amp;SUBSTITUTE(CriteriTecnici!$F1863,CHAR(34),"'")&amp;CHAR(34)&amp;", "&amp;CHAR(34)&amp;"value"&amp;CHAR(34)&amp;": "&amp;SUBSTITUTE(TRIM(ROUND(IFERROR(CriteriTecnici!$N1863*1,IFERROR(NUMBERVALUE(CriteriTecnici!$N1863,".",","),IFERROR(NUMBERVALUE(CriteriTecnici!$N1863,",","."),0))),4)&amp;""),",",".")&amp;", "&amp;CHAR(34)&amp;"numerator"&amp;CHAR(34)&amp;": "&amp;SUBSTITUTE(TRIM(ROUND(IFERROR(CriteriTecnici!$K1863*1,IFERROR(NUMBERVALUE(CriteriTecnici!$K1863,".",","),IFERROR(NUMBERVALUE(CriteriTecnici!$K1863,",","."),0))),4)&amp;""),",",".")&amp;", "&amp;CHAR(34)&amp;"denominator"&amp;CHAR(34)&amp;": "&amp;SUBSTITUTE(TRIM(ROUND(IFERROR(CriteriTecnici!$L1863*1,IFERROR(NUMBERVALUE(CriteriTecnici!$L1863,".",","),IFERROR(NUMBERVALUE(CriteriTecnici!$L1863,",","."),0))),4)&amp;""),",",".")&amp;", "&amp;CHAR(34)&amp;"flag"&amp;CHAR(34)&amp;": "&amp;SUBSTITUTE(TRIM(ROUND(IFERROR(CriteriTecnici!$M1863*1,IFERROR(NUMBERVALUE(CriteriTecnici!$M1863,".",","),IFERROR(NUMBERVALUE(CriteriTecnici!$M1863,",","."),0))),4)&amp;""),",",".")&amp;", "&amp;CHAR(34)&amp;"rawScore"&amp;CHAR(34)&amp;": "&amp;SUBSTITUTE(TRIM(ROUND(IFERROR(CriteriTecnici!$O1863*1,IFERROR(NUMBERVALUE(CriteriTecnici!$O1863,".",","),IFERROR(NUMBERVALUE(CriteriTecnici!$O1863,",","."),0))),4)&amp;""),",",".")&amp;CHAR(125)&amp;IF(TRUE,",",""))</f>
        <v/>
      </c>
    </row>
    <row r="1965">
      <c r="A1965" s="82">
        <f>IF(CriteriTecnici!$A1864="","","    "&amp;CHAR(123)&amp;CHAR(34)&amp;"bidderId"&amp;CHAR(34)&amp;": "&amp;CHAR(34)&amp;SUBSTITUTE(CriteriTecnici!$A1864,CHAR(34),"'")&amp;CHAR(34)&amp;", "&amp;CHAR(34)&amp;"lotId"&amp;CHAR(34)&amp;": "&amp;CHAR(34)&amp;SUBSTITUTE(CriteriTecnici!$C1864,CHAR(34),"'")&amp;CHAR(34)&amp;", "&amp;CHAR(34)&amp;"criterionId"&amp;CHAR(34)&amp;": "&amp;CHAR(34)&amp;SUBSTITUTE(CriteriTecnici!$D1864,CHAR(34),"'")&amp;CHAR(34)&amp;", "&amp;CHAR(34)&amp;"kind"&amp;CHAR(34)&amp;": "&amp;CHAR(34)&amp;SUBSTITUTE(CriteriTecnici!$F1864,CHAR(34),"'")&amp;CHAR(34)&amp;", "&amp;CHAR(34)&amp;"value"&amp;CHAR(34)&amp;": "&amp;SUBSTITUTE(TRIM(ROUND(IFERROR(CriteriTecnici!$N1864*1,IFERROR(NUMBERVALUE(CriteriTecnici!$N1864,".",","),IFERROR(NUMBERVALUE(CriteriTecnici!$N1864,",","."),0))),4)&amp;""),",",".")&amp;", "&amp;CHAR(34)&amp;"numerator"&amp;CHAR(34)&amp;": "&amp;SUBSTITUTE(TRIM(ROUND(IFERROR(CriteriTecnici!$K1864*1,IFERROR(NUMBERVALUE(CriteriTecnici!$K1864,".",","),IFERROR(NUMBERVALUE(CriteriTecnici!$K1864,",","."),0))),4)&amp;""),",",".")&amp;", "&amp;CHAR(34)&amp;"denominator"&amp;CHAR(34)&amp;": "&amp;SUBSTITUTE(TRIM(ROUND(IFERROR(CriteriTecnici!$L1864*1,IFERROR(NUMBERVALUE(CriteriTecnici!$L1864,".",","),IFERROR(NUMBERVALUE(CriteriTecnici!$L1864,",","."),0))),4)&amp;""),",",".")&amp;", "&amp;CHAR(34)&amp;"flag"&amp;CHAR(34)&amp;": "&amp;SUBSTITUTE(TRIM(ROUND(IFERROR(CriteriTecnici!$M1864*1,IFERROR(NUMBERVALUE(CriteriTecnici!$M1864,".",","),IFERROR(NUMBERVALUE(CriteriTecnici!$M1864,",","."),0))),4)&amp;""),",",".")&amp;", "&amp;CHAR(34)&amp;"rawScore"&amp;CHAR(34)&amp;": "&amp;SUBSTITUTE(TRIM(ROUND(IFERROR(CriteriTecnici!$O1864*1,IFERROR(NUMBERVALUE(CriteriTecnici!$O1864,".",","),IFERROR(NUMBERVALUE(CriteriTecnici!$O1864,",","."),0))),4)&amp;""),",",".")&amp;CHAR(125)&amp;IF(COUNTA(Offerte!$A62:$A$81)&gt;0,",",""))</f>
        <v/>
      </c>
    </row>
    <row r="1966">
      <c r="A1966" s="82">
        <f>IF(CriteriTecnici!$A1865="","","    "&amp;CHAR(123)&amp;CHAR(34)&amp;"bidderId"&amp;CHAR(34)&amp;": "&amp;CHAR(34)&amp;SUBSTITUTE(CriteriTecnici!$A1865,CHAR(34),"'")&amp;CHAR(34)&amp;", "&amp;CHAR(34)&amp;"lotId"&amp;CHAR(34)&amp;": "&amp;CHAR(34)&amp;SUBSTITUTE(CriteriTecnici!$C1865,CHAR(34),"'")&amp;CHAR(34)&amp;", "&amp;CHAR(34)&amp;"criterionId"&amp;CHAR(34)&amp;": "&amp;CHAR(34)&amp;SUBSTITUTE(CriteriTecnici!$D1865,CHAR(34),"'")&amp;CHAR(34)&amp;", "&amp;CHAR(34)&amp;"kind"&amp;CHAR(34)&amp;": "&amp;CHAR(34)&amp;SUBSTITUTE(CriteriTecnici!$F1865,CHAR(34),"'")&amp;CHAR(34)&amp;", "&amp;CHAR(34)&amp;"value"&amp;CHAR(34)&amp;": "&amp;SUBSTITUTE(TRIM(ROUND(IFERROR(CriteriTecnici!$N1865*1,IFERROR(NUMBERVALUE(CriteriTecnici!$N1865,".",","),IFERROR(NUMBERVALUE(CriteriTecnici!$N1865,",","."),0))),4)&amp;""),",",".")&amp;", "&amp;CHAR(34)&amp;"numerator"&amp;CHAR(34)&amp;": "&amp;SUBSTITUTE(TRIM(ROUND(IFERROR(CriteriTecnici!$K1865*1,IFERROR(NUMBERVALUE(CriteriTecnici!$K1865,".",","),IFERROR(NUMBERVALUE(CriteriTecnici!$K1865,",","."),0))),4)&amp;""),",",".")&amp;", "&amp;CHAR(34)&amp;"denominator"&amp;CHAR(34)&amp;": "&amp;SUBSTITUTE(TRIM(ROUND(IFERROR(CriteriTecnici!$L1865*1,IFERROR(NUMBERVALUE(CriteriTecnici!$L1865,".",","),IFERROR(NUMBERVALUE(CriteriTecnici!$L1865,",","."),0))),4)&amp;""),",",".")&amp;", "&amp;CHAR(34)&amp;"flag"&amp;CHAR(34)&amp;": "&amp;SUBSTITUTE(TRIM(ROUND(IFERROR(CriteriTecnici!$M1865*1,IFERROR(NUMBERVALUE(CriteriTecnici!$M1865,".",","),IFERROR(NUMBERVALUE(CriteriTecnici!$M1865,",","."),0))),4)&amp;""),",",".")&amp;", "&amp;CHAR(34)&amp;"rawScore"&amp;CHAR(34)&amp;": "&amp;SUBSTITUTE(TRIM(ROUND(IFERROR(CriteriTecnici!$O1865*1,IFERROR(NUMBERVALUE(CriteriTecnici!$O1865,".",","),IFERROR(NUMBERVALUE(CriteriTecnici!$O1865,",","."),0))),4)&amp;""),",",".")&amp;CHAR(125)&amp;IF(TRUE,",",""))</f>
        <v/>
      </c>
    </row>
    <row r="1967">
      <c r="A1967" s="82">
        <f>IF(CriteriTecnici!$A1866="","","    "&amp;CHAR(123)&amp;CHAR(34)&amp;"bidderId"&amp;CHAR(34)&amp;": "&amp;CHAR(34)&amp;SUBSTITUTE(CriteriTecnici!$A1866,CHAR(34),"'")&amp;CHAR(34)&amp;", "&amp;CHAR(34)&amp;"lotId"&amp;CHAR(34)&amp;": "&amp;CHAR(34)&amp;SUBSTITUTE(CriteriTecnici!$C1866,CHAR(34),"'")&amp;CHAR(34)&amp;", "&amp;CHAR(34)&amp;"criterionId"&amp;CHAR(34)&amp;": "&amp;CHAR(34)&amp;SUBSTITUTE(CriteriTecnici!$D1866,CHAR(34),"'")&amp;CHAR(34)&amp;", "&amp;CHAR(34)&amp;"kind"&amp;CHAR(34)&amp;": "&amp;CHAR(34)&amp;SUBSTITUTE(CriteriTecnici!$F1866,CHAR(34),"'")&amp;CHAR(34)&amp;", "&amp;CHAR(34)&amp;"value"&amp;CHAR(34)&amp;": "&amp;SUBSTITUTE(TRIM(ROUND(IFERROR(CriteriTecnici!$N1866*1,IFERROR(NUMBERVALUE(CriteriTecnici!$N1866,".",","),IFERROR(NUMBERVALUE(CriteriTecnici!$N1866,",","."),0))),4)&amp;""),",",".")&amp;", "&amp;CHAR(34)&amp;"numerator"&amp;CHAR(34)&amp;": "&amp;SUBSTITUTE(TRIM(ROUND(IFERROR(CriteriTecnici!$K1866*1,IFERROR(NUMBERVALUE(CriteriTecnici!$K1866,".",","),IFERROR(NUMBERVALUE(CriteriTecnici!$K1866,",","."),0))),4)&amp;""),",",".")&amp;", "&amp;CHAR(34)&amp;"denominator"&amp;CHAR(34)&amp;": "&amp;SUBSTITUTE(TRIM(ROUND(IFERROR(CriteriTecnici!$L1866*1,IFERROR(NUMBERVALUE(CriteriTecnici!$L1866,".",","),IFERROR(NUMBERVALUE(CriteriTecnici!$L1866,",","."),0))),4)&amp;""),",",".")&amp;", "&amp;CHAR(34)&amp;"flag"&amp;CHAR(34)&amp;": "&amp;SUBSTITUTE(TRIM(ROUND(IFERROR(CriteriTecnici!$M1866*1,IFERROR(NUMBERVALUE(CriteriTecnici!$M1866,".",","),IFERROR(NUMBERVALUE(CriteriTecnici!$M1866,",","."),0))),4)&amp;""),",",".")&amp;", "&amp;CHAR(34)&amp;"rawScore"&amp;CHAR(34)&amp;": "&amp;SUBSTITUTE(TRIM(ROUND(IFERROR(CriteriTecnici!$O1866*1,IFERROR(NUMBERVALUE(CriteriTecnici!$O1866,".",","),IFERROR(NUMBERVALUE(CriteriTecnici!$O1866,",","."),0))),4)&amp;""),",",".")&amp;CHAR(125)&amp;IF(TRUE,",",""))</f>
        <v/>
      </c>
    </row>
    <row r="1968">
      <c r="A1968" s="82">
        <f>IF(CriteriTecnici!$A1867="","","    "&amp;CHAR(123)&amp;CHAR(34)&amp;"bidderId"&amp;CHAR(34)&amp;": "&amp;CHAR(34)&amp;SUBSTITUTE(CriteriTecnici!$A1867,CHAR(34),"'")&amp;CHAR(34)&amp;", "&amp;CHAR(34)&amp;"lotId"&amp;CHAR(34)&amp;": "&amp;CHAR(34)&amp;SUBSTITUTE(CriteriTecnici!$C1867,CHAR(34),"'")&amp;CHAR(34)&amp;", "&amp;CHAR(34)&amp;"criterionId"&amp;CHAR(34)&amp;": "&amp;CHAR(34)&amp;SUBSTITUTE(CriteriTecnici!$D1867,CHAR(34),"'")&amp;CHAR(34)&amp;", "&amp;CHAR(34)&amp;"kind"&amp;CHAR(34)&amp;": "&amp;CHAR(34)&amp;SUBSTITUTE(CriteriTecnici!$F1867,CHAR(34),"'")&amp;CHAR(34)&amp;", "&amp;CHAR(34)&amp;"value"&amp;CHAR(34)&amp;": "&amp;SUBSTITUTE(TRIM(ROUND(IFERROR(CriteriTecnici!$N1867*1,IFERROR(NUMBERVALUE(CriteriTecnici!$N1867,".",","),IFERROR(NUMBERVALUE(CriteriTecnici!$N1867,",","."),0))),4)&amp;""),",",".")&amp;", "&amp;CHAR(34)&amp;"numerator"&amp;CHAR(34)&amp;": "&amp;SUBSTITUTE(TRIM(ROUND(IFERROR(CriteriTecnici!$K1867*1,IFERROR(NUMBERVALUE(CriteriTecnici!$K1867,".",","),IFERROR(NUMBERVALUE(CriteriTecnici!$K1867,",","."),0))),4)&amp;""),",",".")&amp;", "&amp;CHAR(34)&amp;"denominator"&amp;CHAR(34)&amp;": "&amp;SUBSTITUTE(TRIM(ROUND(IFERROR(CriteriTecnici!$L1867*1,IFERROR(NUMBERVALUE(CriteriTecnici!$L1867,".",","),IFERROR(NUMBERVALUE(CriteriTecnici!$L1867,",","."),0))),4)&amp;""),",",".")&amp;", "&amp;CHAR(34)&amp;"flag"&amp;CHAR(34)&amp;": "&amp;SUBSTITUTE(TRIM(ROUND(IFERROR(CriteriTecnici!$M1867*1,IFERROR(NUMBERVALUE(CriteriTecnici!$M1867,".",","),IFERROR(NUMBERVALUE(CriteriTecnici!$M1867,",","."),0))),4)&amp;""),",",".")&amp;", "&amp;CHAR(34)&amp;"rawScore"&amp;CHAR(34)&amp;": "&amp;SUBSTITUTE(TRIM(ROUND(IFERROR(CriteriTecnici!$O1867*1,IFERROR(NUMBERVALUE(CriteriTecnici!$O1867,".",","),IFERROR(NUMBERVALUE(CriteriTecnici!$O1867,",","."),0))),4)&amp;""),",",".")&amp;CHAR(125)&amp;IF(TRUE,",",""))</f>
        <v/>
      </c>
    </row>
    <row r="1969">
      <c r="A1969" s="82">
        <f>IF(CriteriTecnici!$A1868="","","    "&amp;CHAR(123)&amp;CHAR(34)&amp;"bidderId"&amp;CHAR(34)&amp;": "&amp;CHAR(34)&amp;SUBSTITUTE(CriteriTecnici!$A1868,CHAR(34),"'")&amp;CHAR(34)&amp;", "&amp;CHAR(34)&amp;"lotId"&amp;CHAR(34)&amp;": "&amp;CHAR(34)&amp;SUBSTITUTE(CriteriTecnici!$C1868,CHAR(34),"'")&amp;CHAR(34)&amp;", "&amp;CHAR(34)&amp;"criterionId"&amp;CHAR(34)&amp;": "&amp;CHAR(34)&amp;SUBSTITUTE(CriteriTecnici!$D1868,CHAR(34),"'")&amp;CHAR(34)&amp;", "&amp;CHAR(34)&amp;"kind"&amp;CHAR(34)&amp;": "&amp;CHAR(34)&amp;SUBSTITUTE(CriteriTecnici!$F1868,CHAR(34),"'")&amp;CHAR(34)&amp;", "&amp;CHAR(34)&amp;"value"&amp;CHAR(34)&amp;": "&amp;SUBSTITUTE(TRIM(ROUND(IFERROR(CriteriTecnici!$N1868*1,IFERROR(NUMBERVALUE(CriteriTecnici!$N1868,".",","),IFERROR(NUMBERVALUE(CriteriTecnici!$N1868,",","."),0))),4)&amp;""),",",".")&amp;", "&amp;CHAR(34)&amp;"numerator"&amp;CHAR(34)&amp;": "&amp;SUBSTITUTE(TRIM(ROUND(IFERROR(CriteriTecnici!$K1868*1,IFERROR(NUMBERVALUE(CriteriTecnici!$K1868,".",","),IFERROR(NUMBERVALUE(CriteriTecnici!$K1868,",","."),0))),4)&amp;""),",",".")&amp;", "&amp;CHAR(34)&amp;"denominator"&amp;CHAR(34)&amp;": "&amp;SUBSTITUTE(TRIM(ROUND(IFERROR(CriteriTecnici!$L1868*1,IFERROR(NUMBERVALUE(CriteriTecnici!$L1868,".",","),IFERROR(NUMBERVALUE(CriteriTecnici!$L1868,",","."),0))),4)&amp;""),",",".")&amp;", "&amp;CHAR(34)&amp;"flag"&amp;CHAR(34)&amp;": "&amp;SUBSTITUTE(TRIM(ROUND(IFERROR(CriteriTecnici!$M1868*1,IFERROR(NUMBERVALUE(CriteriTecnici!$M1868,".",","),IFERROR(NUMBERVALUE(CriteriTecnici!$M1868,",","."),0))),4)&amp;""),",",".")&amp;", "&amp;CHAR(34)&amp;"rawScore"&amp;CHAR(34)&amp;": "&amp;SUBSTITUTE(TRIM(ROUND(IFERROR(CriteriTecnici!$O1868*1,IFERROR(NUMBERVALUE(CriteriTecnici!$O1868,".",","),IFERROR(NUMBERVALUE(CriteriTecnici!$O1868,",","."),0))),4)&amp;""),",",".")&amp;CHAR(125)&amp;IF(TRUE,",",""))</f>
        <v/>
      </c>
    </row>
    <row r="1970">
      <c r="A1970" s="82">
        <f>IF(CriteriTecnici!$A1869="","","    "&amp;CHAR(123)&amp;CHAR(34)&amp;"bidderId"&amp;CHAR(34)&amp;": "&amp;CHAR(34)&amp;SUBSTITUTE(CriteriTecnici!$A1869,CHAR(34),"'")&amp;CHAR(34)&amp;", "&amp;CHAR(34)&amp;"lotId"&amp;CHAR(34)&amp;": "&amp;CHAR(34)&amp;SUBSTITUTE(CriteriTecnici!$C1869,CHAR(34),"'")&amp;CHAR(34)&amp;", "&amp;CHAR(34)&amp;"criterionId"&amp;CHAR(34)&amp;": "&amp;CHAR(34)&amp;SUBSTITUTE(CriteriTecnici!$D1869,CHAR(34),"'")&amp;CHAR(34)&amp;", "&amp;CHAR(34)&amp;"kind"&amp;CHAR(34)&amp;": "&amp;CHAR(34)&amp;SUBSTITUTE(CriteriTecnici!$F1869,CHAR(34),"'")&amp;CHAR(34)&amp;", "&amp;CHAR(34)&amp;"value"&amp;CHAR(34)&amp;": "&amp;SUBSTITUTE(TRIM(ROUND(IFERROR(CriteriTecnici!$N1869*1,IFERROR(NUMBERVALUE(CriteriTecnici!$N1869,".",","),IFERROR(NUMBERVALUE(CriteriTecnici!$N1869,",","."),0))),4)&amp;""),",",".")&amp;", "&amp;CHAR(34)&amp;"numerator"&amp;CHAR(34)&amp;": "&amp;SUBSTITUTE(TRIM(ROUND(IFERROR(CriteriTecnici!$K1869*1,IFERROR(NUMBERVALUE(CriteriTecnici!$K1869,".",","),IFERROR(NUMBERVALUE(CriteriTecnici!$K1869,",","."),0))),4)&amp;""),",",".")&amp;", "&amp;CHAR(34)&amp;"denominator"&amp;CHAR(34)&amp;": "&amp;SUBSTITUTE(TRIM(ROUND(IFERROR(CriteriTecnici!$L1869*1,IFERROR(NUMBERVALUE(CriteriTecnici!$L1869,".",","),IFERROR(NUMBERVALUE(CriteriTecnici!$L1869,",","."),0))),4)&amp;""),",",".")&amp;", "&amp;CHAR(34)&amp;"flag"&amp;CHAR(34)&amp;": "&amp;SUBSTITUTE(TRIM(ROUND(IFERROR(CriteriTecnici!$M1869*1,IFERROR(NUMBERVALUE(CriteriTecnici!$M1869,".",","),IFERROR(NUMBERVALUE(CriteriTecnici!$M1869,",","."),0))),4)&amp;""),",",".")&amp;", "&amp;CHAR(34)&amp;"rawScore"&amp;CHAR(34)&amp;": "&amp;SUBSTITUTE(TRIM(ROUND(IFERROR(CriteriTecnici!$O1869*1,IFERROR(NUMBERVALUE(CriteriTecnici!$O1869,".",","),IFERROR(NUMBERVALUE(CriteriTecnici!$O1869,",","."),0))),4)&amp;""),",",".")&amp;CHAR(125)&amp;IF(TRUE,",",""))</f>
        <v/>
      </c>
    </row>
    <row r="1971">
      <c r="A1971" s="82">
        <f>IF(CriteriTecnici!$A1870="","","    "&amp;CHAR(123)&amp;CHAR(34)&amp;"bidderId"&amp;CHAR(34)&amp;": "&amp;CHAR(34)&amp;SUBSTITUTE(CriteriTecnici!$A1870,CHAR(34),"'")&amp;CHAR(34)&amp;", "&amp;CHAR(34)&amp;"lotId"&amp;CHAR(34)&amp;": "&amp;CHAR(34)&amp;SUBSTITUTE(CriteriTecnici!$C1870,CHAR(34),"'")&amp;CHAR(34)&amp;", "&amp;CHAR(34)&amp;"criterionId"&amp;CHAR(34)&amp;": "&amp;CHAR(34)&amp;SUBSTITUTE(CriteriTecnici!$D1870,CHAR(34),"'")&amp;CHAR(34)&amp;", "&amp;CHAR(34)&amp;"kind"&amp;CHAR(34)&amp;": "&amp;CHAR(34)&amp;SUBSTITUTE(CriteriTecnici!$F1870,CHAR(34),"'")&amp;CHAR(34)&amp;", "&amp;CHAR(34)&amp;"value"&amp;CHAR(34)&amp;": "&amp;SUBSTITUTE(TRIM(ROUND(IFERROR(CriteriTecnici!$N1870*1,IFERROR(NUMBERVALUE(CriteriTecnici!$N1870,".",","),IFERROR(NUMBERVALUE(CriteriTecnici!$N1870,",","."),0))),4)&amp;""),",",".")&amp;", "&amp;CHAR(34)&amp;"numerator"&amp;CHAR(34)&amp;": "&amp;SUBSTITUTE(TRIM(ROUND(IFERROR(CriteriTecnici!$K1870*1,IFERROR(NUMBERVALUE(CriteriTecnici!$K1870,".",","),IFERROR(NUMBERVALUE(CriteriTecnici!$K1870,",","."),0))),4)&amp;""),",",".")&amp;", "&amp;CHAR(34)&amp;"denominator"&amp;CHAR(34)&amp;": "&amp;SUBSTITUTE(TRIM(ROUND(IFERROR(CriteriTecnici!$L1870*1,IFERROR(NUMBERVALUE(CriteriTecnici!$L1870,".",","),IFERROR(NUMBERVALUE(CriteriTecnici!$L1870,",","."),0))),4)&amp;""),",",".")&amp;", "&amp;CHAR(34)&amp;"flag"&amp;CHAR(34)&amp;": "&amp;SUBSTITUTE(TRIM(ROUND(IFERROR(CriteriTecnici!$M1870*1,IFERROR(NUMBERVALUE(CriteriTecnici!$M1870,".",","),IFERROR(NUMBERVALUE(CriteriTecnici!$M1870,",","."),0))),4)&amp;""),",",".")&amp;", "&amp;CHAR(34)&amp;"rawScore"&amp;CHAR(34)&amp;": "&amp;SUBSTITUTE(TRIM(ROUND(IFERROR(CriteriTecnici!$O1870*1,IFERROR(NUMBERVALUE(CriteriTecnici!$O1870,".",","),IFERROR(NUMBERVALUE(CriteriTecnici!$O1870,",","."),0))),4)&amp;""),",",".")&amp;CHAR(125)&amp;IF(TRUE,",",""))</f>
        <v/>
      </c>
    </row>
    <row r="1972">
      <c r="A1972" s="82">
        <f>IF(CriteriTecnici!$A1871="","","    "&amp;CHAR(123)&amp;CHAR(34)&amp;"bidderId"&amp;CHAR(34)&amp;": "&amp;CHAR(34)&amp;SUBSTITUTE(CriteriTecnici!$A1871,CHAR(34),"'")&amp;CHAR(34)&amp;", "&amp;CHAR(34)&amp;"lotId"&amp;CHAR(34)&amp;": "&amp;CHAR(34)&amp;SUBSTITUTE(CriteriTecnici!$C1871,CHAR(34),"'")&amp;CHAR(34)&amp;", "&amp;CHAR(34)&amp;"criterionId"&amp;CHAR(34)&amp;": "&amp;CHAR(34)&amp;SUBSTITUTE(CriteriTecnici!$D1871,CHAR(34),"'")&amp;CHAR(34)&amp;", "&amp;CHAR(34)&amp;"kind"&amp;CHAR(34)&amp;": "&amp;CHAR(34)&amp;SUBSTITUTE(CriteriTecnici!$F1871,CHAR(34),"'")&amp;CHAR(34)&amp;", "&amp;CHAR(34)&amp;"value"&amp;CHAR(34)&amp;": "&amp;SUBSTITUTE(TRIM(ROUND(IFERROR(CriteriTecnici!$N1871*1,IFERROR(NUMBERVALUE(CriteriTecnici!$N1871,".",","),IFERROR(NUMBERVALUE(CriteriTecnici!$N1871,",","."),0))),4)&amp;""),",",".")&amp;", "&amp;CHAR(34)&amp;"numerator"&amp;CHAR(34)&amp;": "&amp;SUBSTITUTE(TRIM(ROUND(IFERROR(CriteriTecnici!$K1871*1,IFERROR(NUMBERVALUE(CriteriTecnici!$K1871,".",","),IFERROR(NUMBERVALUE(CriteriTecnici!$K1871,",","."),0))),4)&amp;""),",",".")&amp;", "&amp;CHAR(34)&amp;"denominator"&amp;CHAR(34)&amp;": "&amp;SUBSTITUTE(TRIM(ROUND(IFERROR(CriteriTecnici!$L1871*1,IFERROR(NUMBERVALUE(CriteriTecnici!$L1871,".",","),IFERROR(NUMBERVALUE(CriteriTecnici!$L1871,",","."),0))),4)&amp;""),",",".")&amp;", "&amp;CHAR(34)&amp;"flag"&amp;CHAR(34)&amp;": "&amp;SUBSTITUTE(TRIM(ROUND(IFERROR(CriteriTecnici!$M1871*1,IFERROR(NUMBERVALUE(CriteriTecnici!$M1871,".",","),IFERROR(NUMBERVALUE(CriteriTecnici!$M1871,",","."),0))),4)&amp;""),",",".")&amp;", "&amp;CHAR(34)&amp;"rawScore"&amp;CHAR(34)&amp;": "&amp;SUBSTITUTE(TRIM(ROUND(IFERROR(CriteriTecnici!$O1871*1,IFERROR(NUMBERVALUE(CriteriTecnici!$O1871,".",","),IFERROR(NUMBERVALUE(CriteriTecnici!$O1871,",","."),0))),4)&amp;""),",",".")&amp;CHAR(125)&amp;IF(TRUE,",",""))</f>
        <v/>
      </c>
    </row>
    <row r="1973">
      <c r="A1973" s="82">
        <f>IF(CriteriTecnici!$A1872="","","    "&amp;CHAR(123)&amp;CHAR(34)&amp;"bidderId"&amp;CHAR(34)&amp;": "&amp;CHAR(34)&amp;SUBSTITUTE(CriteriTecnici!$A1872,CHAR(34),"'")&amp;CHAR(34)&amp;", "&amp;CHAR(34)&amp;"lotId"&amp;CHAR(34)&amp;": "&amp;CHAR(34)&amp;SUBSTITUTE(CriteriTecnici!$C1872,CHAR(34),"'")&amp;CHAR(34)&amp;", "&amp;CHAR(34)&amp;"criterionId"&amp;CHAR(34)&amp;": "&amp;CHAR(34)&amp;SUBSTITUTE(CriteriTecnici!$D1872,CHAR(34),"'")&amp;CHAR(34)&amp;", "&amp;CHAR(34)&amp;"kind"&amp;CHAR(34)&amp;": "&amp;CHAR(34)&amp;SUBSTITUTE(CriteriTecnici!$F1872,CHAR(34),"'")&amp;CHAR(34)&amp;", "&amp;CHAR(34)&amp;"value"&amp;CHAR(34)&amp;": "&amp;SUBSTITUTE(TRIM(ROUND(IFERROR(CriteriTecnici!$N1872*1,IFERROR(NUMBERVALUE(CriteriTecnici!$N1872,".",","),IFERROR(NUMBERVALUE(CriteriTecnici!$N1872,",","."),0))),4)&amp;""),",",".")&amp;", "&amp;CHAR(34)&amp;"numerator"&amp;CHAR(34)&amp;": "&amp;SUBSTITUTE(TRIM(ROUND(IFERROR(CriteriTecnici!$K1872*1,IFERROR(NUMBERVALUE(CriteriTecnici!$K1872,".",","),IFERROR(NUMBERVALUE(CriteriTecnici!$K1872,",","."),0))),4)&amp;""),",",".")&amp;", "&amp;CHAR(34)&amp;"denominator"&amp;CHAR(34)&amp;": "&amp;SUBSTITUTE(TRIM(ROUND(IFERROR(CriteriTecnici!$L1872*1,IFERROR(NUMBERVALUE(CriteriTecnici!$L1872,".",","),IFERROR(NUMBERVALUE(CriteriTecnici!$L1872,",","."),0))),4)&amp;""),",",".")&amp;", "&amp;CHAR(34)&amp;"flag"&amp;CHAR(34)&amp;": "&amp;SUBSTITUTE(TRIM(ROUND(IFERROR(CriteriTecnici!$M1872*1,IFERROR(NUMBERVALUE(CriteriTecnici!$M1872,".",","),IFERROR(NUMBERVALUE(CriteriTecnici!$M1872,",","."),0))),4)&amp;""),",",".")&amp;", "&amp;CHAR(34)&amp;"rawScore"&amp;CHAR(34)&amp;": "&amp;SUBSTITUTE(TRIM(ROUND(IFERROR(CriteriTecnici!$O1872*1,IFERROR(NUMBERVALUE(CriteriTecnici!$O1872,".",","),IFERROR(NUMBERVALUE(CriteriTecnici!$O1872,",","."),0))),4)&amp;""),",",".")&amp;CHAR(125)&amp;IF(TRUE,",",""))</f>
        <v/>
      </c>
    </row>
    <row r="1974">
      <c r="A1974" s="82">
        <f>IF(CriteriTecnici!$A1873="","","    "&amp;CHAR(123)&amp;CHAR(34)&amp;"bidderId"&amp;CHAR(34)&amp;": "&amp;CHAR(34)&amp;SUBSTITUTE(CriteriTecnici!$A1873,CHAR(34),"'")&amp;CHAR(34)&amp;", "&amp;CHAR(34)&amp;"lotId"&amp;CHAR(34)&amp;": "&amp;CHAR(34)&amp;SUBSTITUTE(CriteriTecnici!$C1873,CHAR(34),"'")&amp;CHAR(34)&amp;", "&amp;CHAR(34)&amp;"criterionId"&amp;CHAR(34)&amp;": "&amp;CHAR(34)&amp;SUBSTITUTE(CriteriTecnici!$D1873,CHAR(34),"'")&amp;CHAR(34)&amp;", "&amp;CHAR(34)&amp;"kind"&amp;CHAR(34)&amp;": "&amp;CHAR(34)&amp;SUBSTITUTE(CriteriTecnici!$F1873,CHAR(34),"'")&amp;CHAR(34)&amp;", "&amp;CHAR(34)&amp;"value"&amp;CHAR(34)&amp;": "&amp;SUBSTITUTE(TRIM(ROUND(IFERROR(CriteriTecnici!$N1873*1,IFERROR(NUMBERVALUE(CriteriTecnici!$N1873,".",","),IFERROR(NUMBERVALUE(CriteriTecnici!$N1873,",","."),0))),4)&amp;""),",",".")&amp;", "&amp;CHAR(34)&amp;"numerator"&amp;CHAR(34)&amp;": "&amp;SUBSTITUTE(TRIM(ROUND(IFERROR(CriteriTecnici!$K1873*1,IFERROR(NUMBERVALUE(CriteriTecnici!$K1873,".",","),IFERROR(NUMBERVALUE(CriteriTecnici!$K1873,",","."),0))),4)&amp;""),",",".")&amp;", "&amp;CHAR(34)&amp;"denominator"&amp;CHAR(34)&amp;": "&amp;SUBSTITUTE(TRIM(ROUND(IFERROR(CriteriTecnici!$L1873*1,IFERROR(NUMBERVALUE(CriteriTecnici!$L1873,".",","),IFERROR(NUMBERVALUE(CriteriTecnici!$L1873,",","."),0))),4)&amp;""),",",".")&amp;", "&amp;CHAR(34)&amp;"flag"&amp;CHAR(34)&amp;": "&amp;SUBSTITUTE(TRIM(ROUND(IFERROR(CriteriTecnici!$M1873*1,IFERROR(NUMBERVALUE(CriteriTecnici!$M1873,".",","),IFERROR(NUMBERVALUE(CriteriTecnici!$M1873,",","."),0))),4)&amp;""),",",".")&amp;", "&amp;CHAR(34)&amp;"rawScore"&amp;CHAR(34)&amp;": "&amp;SUBSTITUTE(TRIM(ROUND(IFERROR(CriteriTecnici!$O1873*1,IFERROR(NUMBERVALUE(CriteriTecnici!$O1873,".",","),IFERROR(NUMBERVALUE(CriteriTecnici!$O1873,",","."),0))),4)&amp;""),",",".")&amp;CHAR(125)&amp;IF(TRUE,",",""))</f>
        <v/>
      </c>
    </row>
    <row r="1975">
      <c r="A1975" s="82">
        <f>IF(CriteriTecnici!$A1874="","","    "&amp;CHAR(123)&amp;CHAR(34)&amp;"bidderId"&amp;CHAR(34)&amp;": "&amp;CHAR(34)&amp;SUBSTITUTE(CriteriTecnici!$A1874,CHAR(34),"'")&amp;CHAR(34)&amp;", "&amp;CHAR(34)&amp;"lotId"&amp;CHAR(34)&amp;": "&amp;CHAR(34)&amp;SUBSTITUTE(CriteriTecnici!$C1874,CHAR(34),"'")&amp;CHAR(34)&amp;", "&amp;CHAR(34)&amp;"criterionId"&amp;CHAR(34)&amp;": "&amp;CHAR(34)&amp;SUBSTITUTE(CriteriTecnici!$D1874,CHAR(34),"'")&amp;CHAR(34)&amp;", "&amp;CHAR(34)&amp;"kind"&amp;CHAR(34)&amp;": "&amp;CHAR(34)&amp;SUBSTITUTE(CriteriTecnici!$F1874,CHAR(34),"'")&amp;CHAR(34)&amp;", "&amp;CHAR(34)&amp;"value"&amp;CHAR(34)&amp;": "&amp;SUBSTITUTE(TRIM(ROUND(IFERROR(CriteriTecnici!$N1874*1,IFERROR(NUMBERVALUE(CriteriTecnici!$N1874,".",","),IFERROR(NUMBERVALUE(CriteriTecnici!$N1874,",","."),0))),4)&amp;""),",",".")&amp;", "&amp;CHAR(34)&amp;"numerator"&amp;CHAR(34)&amp;": "&amp;SUBSTITUTE(TRIM(ROUND(IFERROR(CriteriTecnici!$K1874*1,IFERROR(NUMBERVALUE(CriteriTecnici!$K1874,".",","),IFERROR(NUMBERVALUE(CriteriTecnici!$K1874,",","."),0))),4)&amp;""),",",".")&amp;", "&amp;CHAR(34)&amp;"denominator"&amp;CHAR(34)&amp;": "&amp;SUBSTITUTE(TRIM(ROUND(IFERROR(CriteriTecnici!$L1874*1,IFERROR(NUMBERVALUE(CriteriTecnici!$L1874,".",","),IFERROR(NUMBERVALUE(CriteriTecnici!$L1874,",","."),0))),4)&amp;""),",",".")&amp;", "&amp;CHAR(34)&amp;"flag"&amp;CHAR(34)&amp;": "&amp;SUBSTITUTE(TRIM(ROUND(IFERROR(CriteriTecnici!$M1874*1,IFERROR(NUMBERVALUE(CriteriTecnici!$M1874,".",","),IFERROR(NUMBERVALUE(CriteriTecnici!$M1874,",","."),0))),4)&amp;""),",",".")&amp;", "&amp;CHAR(34)&amp;"rawScore"&amp;CHAR(34)&amp;": "&amp;SUBSTITUTE(TRIM(ROUND(IFERROR(CriteriTecnici!$O1874*1,IFERROR(NUMBERVALUE(CriteriTecnici!$O1874,".",","),IFERROR(NUMBERVALUE(CriteriTecnici!$O1874,",","."),0))),4)&amp;""),",",".")&amp;CHAR(125)&amp;IF(TRUE,",",""))</f>
        <v/>
      </c>
    </row>
    <row r="1976">
      <c r="A1976" s="82">
        <f>IF(CriteriTecnici!$A1875="","","    "&amp;CHAR(123)&amp;CHAR(34)&amp;"bidderId"&amp;CHAR(34)&amp;": "&amp;CHAR(34)&amp;SUBSTITUTE(CriteriTecnici!$A1875,CHAR(34),"'")&amp;CHAR(34)&amp;", "&amp;CHAR(34)&amp;"lotId"&amp;CHAR(34)&amp;": "&amp;CHAR(34)&amp;SUBSTITUTE(CriteriTecnici!$C1875,CHAR(34),"'")&amp;CHAR(34)&amp;", "&amp;CHAR(34)&amp;"criterionId"&amp;CHAR(34)&amp;": "&amp;CHAR(34)&amp;SUBSTITUTE(CriteriTecnici!$D1875,CHAR(34),"'")&amp;CHAR(34)&amp;", "&amp;CHAR(34)&amp;"kind"&amp;CHAR(34)&amp;": "&amp;CHAR(34)&amp;SUBSTITUTE(CriteriTecnici!$F1875,CHAR(34),"'")&amp;CHAR(34)&amp;", "&amp;CHAR(34)&amp;"value"&amp;CHAR(34)&amp;": "&amp;SUBSTITUTE(TRIM(ROUND(IFERROR(CriteriTecnici!$N1875*1,IFERROR(NUMBERVALUE(CriteriTecnici!$N1875,".",","),IFERROR(NUMBERVALUE(CriteriTecnici!$N1875,",","."),0))),4)&amp;""),",",".")&amp;", "&amp;CHAR(34)&amp;"numerator"&amp;CHAR(34)&amp;": "&amp;SUBSTITUTE(TRIM(ROUND(IFERROR(CriteriTecnici!$K1875*1,IFERROR(NUMBERVALUE(CriteriTecnici!$K1875,".",","),IFERROR(NUMBERVALUE(CriteriTecnici!$K1875,",","."),0))),4)&amp;""),",",".")&amp;", "&amp;CHAR(34)&amp;"denominator"&amp;CHAR(34)&amp;": "&amp;SUBSTITUTE(TRIM(ROUND(IFERROR(CriteriTecnici!$L1875*1,IFERROR(NUMBERVALUE(CriteriTecnici!$L1875,".",","),IFERROR(NUMBERVALUE(CriteriTecnici!$L1875,",","."),0))),4)&amp;""),",",".")&amp;", "&amp;CHAR(34)&amp;"flag"&amp;CHAR(34)&amp;": "&amp;SUBSTITUTE(TRIM(ROUND(IFERROR(CriteriTecnici!$M1875*1,IFERROR(NUMBERVALUE(CriteriTecnici!$M1875,".",","),IFERROR(NUMBERVALUE(CriteriTecnici!$M1875,",","."),0))),4)&amp;""),",",".")&amp;", "&amp;CHAR(34)&amp;"rawScore"&amp;CHAR(34)&amp;": "&amp;SUBSTITUTE(TRIM(ROUND(IFERROR(CriteriTecnici!$O1875*1,IFERROR(NUMBERVALUE(CriteriTecnici!$O1875,".",","),IFERROR(NUMBERVALUE(CriteriTecnici!$O1875,",","."),0))),4)&amp;""),",",".")&amp;CHAR(125)&amp;IF(TRUE,",",""))</f>
        <v/>
      </c>
    </row>
    <row r="1977">
      <c r="A1977" s="82">
        <f>IF(CriteriTecnici!$A1876="","","    "&amp;CHAR(123)&amp;CHAR(34)&amp;"bidderId"&amp;CHAR(34)&amp;": "&amp;CHAR(34)&amp;SUBSTITUTE(CriteriTecnici!$A1876,CHAR(34),"'")&amp;CHAR(34)&amp;", "&amp;CHAR(34)&amp;"lotId"&amp;CHAR(34)&amp;": "&amp;CHAR(34)&amp;SUBSTITUTE(CriteriTecnici!$C1876,CHAR(34),"'")&amp;CHAR(34)&amp;", "&amp;CHAR(34)&amp;"criterionId"&amp;CHAR(34)&amp;": "&amp;CHAR(34)&amp;SUBSTITUTE(CriteriTecnici!$D1876,CHAR(34),"'")&amp;CHAR(34)&amp;", "&amp;CHAR(34)&amp;"kind"&amp;CHAR(34)&amp;": "&amp;CHAR(34)&amp;SUBSTITUTE(CriteriTecnici!$F1876,CHAR(34),"'")&amp;CHAR(34)&amp;", "&amp;CHAR(34)&amp;"value"&amp;CHAR(34)&amp;": "&amp;SUBSTITUTE(TRIM(ROUND(IFERROR(CriteriTecnici!$N1876*1,IFERROR(NUMBERVALUE(CriteriTecnici!$N1876,".",","),IFERROR(NUMBERVALUE(CriteriTecnici!$N1876,",","."),0))),4)&amp;""),",",".")&amp;", "&amp;CHAR(34)&amp;"numerator"&amp;CHAR(34)&amp;": "&amp;SUBSTITUTE(TRIM(ROUND(IFERROR(CriteriTecnici!$K1876*1,IFERROR(NUMBERVALUE(CriteriTecnici!$K1876,".",","),IFERROR(NUMBERVALUE(CriteriTecnici!$K1876,",","."),0))),4)&amp;""),",",".")&amp;", "&amp;CHAR(34)&amp;"denominator"&amp;CHAR(34)&amp;": "&amp;SUBSTITUTE(TRIM(ROUND(IFERROR(CriteriTecnici!$L1876*1,IFERROR(NUMBERVALUE(CriteriTecnici!$L1876,".",","),IFERROR(NUMBERVALUE(CriteriTecnici!$L1876,",","."),0))),4)&amp;""),",",".")&amp;", "&amp;CHAR(34)&amp;"flag"&amp;CHAR(34)&amp;": "&amp;SUBSTITUTE(TRIM(ROUND(IFERROR(CriteriTecnici!$M1876*1,IFERROR(NUMBERVALUE(CriteriTecnici!$M1876,".",","),IFERROR(NUMBERVALUE(CriteriTecnici!$M1876,",","."),0))),4)&amp;""),",",".")&amp;", "&amp;CHAR(34)&amp;"rawScore"&amp;CHAR(34)&amp;": "&amp;SUBSTITUTE(TRIM(ROUND(IFERROR(CriteriTecnici!$O1876*1,IFERROR(NUMBERVALUE(CriteriTecnici!$O1876,".",","),IFERROR(NUMBERVALUE(CriteriTecnici!$O1876,",","."),0))),4)&amp;""),",",".")&amp;CHAR(125)&amp;IF(TRUE,",",""))</f>
        <v/>
      </c>
    </row>
    <row r="1978">
      <c r="A1978" s="82">
        <f>IF(CriteriTecnici!$A1877="","","    "&amp;CHAR(123)&amp;CHAR(34)&amp;"bidderId"&amp;CHAR(34)&amp;": "&amp;CHAR(34)&amp;SUBSTITUTE(CriteriTecnici!$A1877,CHAR(34),"'")&amp;CHAR(34)&amp;", "&amp;CHAR(34)&amp;"lotId"&amp;CHAR(34)&amp;": "&amp;CHAR(34)&amp;SUBSTITUTE(CriteriTecnici!$C1877,CHAR(34),"'")&amp;CHAR(34)&amp;", "&amp;CHAR(34)&amp;"criterionId"&amp;CHAR(34)&amp;": "&amp;CHAR(34)&amp;SUBSTITUTE(CriteriTecnici!$D1877,CHAR(34),"'")&amp;CHAR(34)&amp;", "&amp;CHAR(34)&amp;"kind"&amp;CHAR(34)&amp;": "&amp;CHAR(34)&amp;SUBSTITUTE(CriteriTecnici!$F1877,CHAR(34),"'")&amp;CHAR(34)&amp;", "&amp;CHAR(34)&amp;"value"&amp;CHAR(34)&amp;": "&amp;SUBSTITUTE(TRIM(ROUND(IFERROR(CriteriTecnici!$N1877*1,IFERROR(NUMBERVALUE(CriteriTecnici!$N1877,".",","),IFERROR(NUMBERVALUE(CriteriTecnici!$N1877,",","."),0))),4)&amp;""),",",".")&amp;", "&amp;CHAR(34)&amp;"numerator"&amp;CHAR(34)&amp;": "&amp;SUBSTITUTE(TRIM(ROUND(IFERROR(CriteriTecnici!$K1877*1,IFERROR(NUMBERVALUE(CriteriTecnici!$K1877,".",","),IFERROR(NUMBERVALUE(CriteriTecnici!$K1877,",","."),0))),4)&amp;""),",",".")&amp;", "&amp;CHAR(34)&amp;"denominator"&amp;CHAR(34)&amp;": "&amp;SUBSTITUTE(TRIM(ROUND(IFERROR(CriteriTecnici!$L1877*1,IFERROR(NUMBERVALUE(CriteriTecnici!$L1877,".",","),IFERROR(NUMBERVALUE(CriteriTecnici!$L1877,",","."),0))),4)&amp;""),",",".")&amp;", "&amp;CHAR(34)&amp;"flag"&amp;CHAR(34)&amp;": "&amp;SUBSTITUTE(TRIM(ROUND(IFERROR(CriteriTecnici!$M1877*1,IFERROR(NUMBERVALUE(CriteriTecnici!$M1877,".",","),IFERROR(NUMBERVALUE(CriteriTecnici!$M1877,",","."),0))),4)&amp;""),",",".")&amp;", "&amp;CHAR(34)&amp;"rawScore"&amp;CHAR(34)&amp;": "&amp;SUBSTITUTE(TRIM(ROUND(IFERROR(CriteriTecnici!$O1877*1,IFERROR(NUMBERVALUE(CriteriTecnici!$O1877,".",","),IFERROR(NUMBERVALUE(CriteriTecnici!$O1877,",","."),0))),4)&amp;""),",",".")&amp;CHAR(125)&amp;IF(TRUE,",",""))</f>
        <v/>
      </c>
    </row>
    <row r="1979">
      <c r="A1979" s="82">
        <f>IF(CriteriTecnici!$A1878="","","    "&amp;CHAR(123)&amp;CHAR(34)&amp;"bidderId"&amp;CHAR(34)&amp;": "&amp;CHAR(34)&amp;SUBSTITUTE(CriteriTecnici!$A1878,CHAR(34),"'")&amp;CHAR(34)&amp;", "&amp;CHAR(34)&amp;"lotId"&amp;CHAR(34)&amp;": "&amp;CHAR(34)&amp;SUBSTITUTE(CriteriTecnici!$C1878,CHAR(34),"'")&amp;CHAR(34)&amp;", "&amp;CHAR(34)&amp;"criterionId"&amp;CHAR(34)&amp;": "&amp;CHAR(34)&amp;SUBSTITUTE(CriteriTecnici!$D1878,CHAR(34),"'")&amp;CHAR(34)&amp;", "&amp;CHAR(34)&amp;"kind"&amp;CHAR(34)&amp;": "&amp;CHAR(34)&amp;SUBSTITUTE(CriteriTecnici!$F1878,CHAR(34),"'")&amp;CHAR(34)&amp;", "&amp;CHAR(34)&amp;"value"&amp;CHAR(34)&amp;": "&amp;SUBSTITUTE(TRIM(ROUND(IFERROR(CriteriTecnici!$N1878*1,IFERROR(NUMBERVALUE(CriteriTecnici!$N1878,".",","),IFERROR(NUMBERVALUE(CriteriTecnici!$N1878,",","."),0))),4)&amp;""),",",".")&amp;", "&amp;CHAR(34)&amp;"numerator"&amp;CHAR(34)&amp;": "&amp;SUBSTITUTE(TRIM(ROUND(IFERROR(CriteriTecnici!$K1878*1,IFERROR(NUMBERVALUE(CriteriTecnici!$K1878,".",","),IFERROR(NUMBERVALUE(CriteriTecnici!$K1878,",","."),0))),4)&amp;""),",",".")&amp;", "&amp;CHAR(34)&amp;"denominator"&amp;CHAR(34)&amp;": "&amp;SUBSTITUTE(TRIM(ROUND(IFERROR(CriteriTecnici!$L1878*1,IFERROR(NUMBERVALUE(CriteriTecnici!$L1878,".",","),IFERROR(NUMBERVALUE(CriteriTecnici!$L1878,",","."),0))),4)&amp;""),",",".")&amp;", "&amp;CHAR(34)&amp;"flag"&amp;CHAR(34)&amp;": "&amp;SUBSTITUTE(TRIM(ROUND(IFERROR(CriteriTecnici!$M1878*1,IFERROR(NUMBERVALUE(CriteriTecnici!$M1878,".",","),IFERROR(NUMBERVALUE(CriteriTecnici!$M1878,",","."),0))),4)&amp;""),",",".")&amp;", "&amp;CHAR(34)&amp;"rawScore"&amp;CHAR(34)&amp;": "&amp;SUBSTITUTE(TRIM(ROUND(IFERROR(CriteriTecnici!$O1878*1,IFERROR(NUMBERVALUE(CriteriTecnici!$O1878,".",","),IFERROR(NUMBERVALUE(CriteriTecnici!$O1878,",","."),0))),4)&amp;""),",",".")&amp;CHAR(125)&amp;IF(TRUE,",",""))</f>
        <v/>
      </c>
    </row>
    <row r="1980">
      <c r="A1980" s="82">
        <f>IF(CriteriTecnici!$A1879="","","    "&amp;CHAR(123)&amp;CHAR(34)&amp;"bidderId"&amp;CHAR(34)&amp;": "&amp;CHAR(34)&amp;SUBSTITUTE(CriteriTecnici!$A1879,CHAR(34),"'")&amp;CHAR(34)&amp;", "&amp;CHAR(34)&amp;"lotId"&amp;CHAR(34)&amp;": "&amp;CHAR(34)&amp;SUBSTITUTE(CriteriTecnici!$C1879,CHAR(34),"'")&amp;CHAR(34)&amp;", "&amp;CHAR(34)&amp;"criterionId"&amp;CHAR(34)&amp;": "&amp;CHAR(34)&amp;SUBSTITUTE(CriteriTecnici!$D1879,CHAR(34),"'")&amp;CHAR(34)&amp;", "&amp;CHAR(34)&amp;"kind"&amp;CHAR(34)&amp;": "&amp;CHAR(34)&amp;SUBSTITUTE(CriteriTecnici!$F1879,CHAR(34),"'")&amp;CHAR(34)&amp;", "&amp;CHAR(34)&amp;"value"&amp;CHAR(34)&amp;": "&amp;SUBSTITUTE(TRIM(ROUND(IFERROR(CriteriTecnici!$N1879*1,IFERROR(NUMBERVALUE(CriteriTecnici!$N1879,".",","),IFERROR(NUMBERVALUE(CriteriTecnici!$N1879,",","."),0))),4)&amp;""),",",".")&amp;", "&amp;CHAR(34)&amp;"numerator"&amp;CHAR(34)&amp;": "&amp;SUBSTITUTE(TRIM(ROUND(IFERROR(CriteriTecnici!$K1879*1,IFERROR(NUMBERVALUE(CriteriTecnici!$K1879,".",","),IFERROR(NUMBERVALUE(CriteriTecnici!$K1879,",","."),0))),4)&amp;""),",",".")&amp;", "&amp;CHAR(34)&amp;"denominator"&amp;CHAR(34)&amp;": "&amp;SUBSTITUTE(TRIM(ROUND(IFERROR(CriteriTecnici!$L1879*1,IFERROR(NUMBERVALUE(CriteriTecnici!$L1879,".",","),IFERROR(NUMBERVALUE(CriteriTecnici!$L1879,",","."),0))),4)&amp;""),",",".")&amp;", "&amp;CHAR(34)&amp;"flag"&amp;CHAR(34)&amp;": "&amp;SUBSTITUTE(TRIM(ROUND(IFERROR(CriteriTecnici!$M1879*1,IFERROR(NUMBERVALUE(CriteriTecnici!$M1879,".",","),IFERROR(NUMBERVALUE(CriteriTecnici!$M1879,",","."),0))),4)&amp;""),",",".")&amp;", "&amp;CHAR(34)&amp;"rawScore"&amp;CHAR(34)&amp;": "&amp;SUBSTITUTE(TRIM(ROUND(IFERROR(CriteriTecnici!$O1879*1,IFERROR(NUMBERVALUE(CriteriTecnici!$O1879,".",","),IFERROR(NUMBERVALUE(CriteriTecnici!$O1879,",","."),0))),4)&amp;""),",",".")&amp;CHAR(125)&amp;IF(TRUE,",",""))</f>
        <v/>
      </c>
    </row>
    <row r="1981">
      <c r="A1981" s="82">
        <f>IF(CriteriTecnici!$A1880="","","    "&amp;CHAR(123)&amp;CHAR(34)&amp;"bidderId"&amp;CHAR(34)&amp;": "&amp;CHAR(34)&amp;SUBSTITUTE(CriteriTecnici!$A1880,CHAR(34),"'")&amp;CHAR(34)&amp;", "&amp;CHAR(34)&amp;"lotId"&amp;CHAR(34)&amp;": "&amp;CHAR(34)&amp;SUBSTITUTE(CriteriTecnici!$C1880,CHAR(34),"'")&amp;CHAR(34)&amp;", "&amp;CHAR(34)&amp;"criterionId"&amp;CHAR(34)&amp;": "&amp;CHAR(34)&amp;SUBSTITUTE(CriteriTecnici!$D1880,CHAR(34),"'")&amp;CHAR(34)&amp;", "&amp;CHAR(34)&amp;"kind"&amp;CHAR(34)&amp;": "&amp;CHAR(34)&amp;SUBSTITUTE(CriteriTecnici!$F1880,CHAR(34),"'")&amp;CHAR(34)&amp;", "&amp;CHAR(34)&amp;"value"&amp;CHAR(34)&amp;": "&amp;SUBSTITUTE(TRIM(ROUND(IFERROR(CriteriTecnici!$N1880*1,IFERROR(NUMBERVALUE(CriteriTecnici!$N1880,".",","),IFERROR(NUMBERVALUE(CriteriTecnici!$N1880,",","."),0))),4)&amp;""),",",".")&amp;", "&amp;CHAR(34)&amp;"numerator"&amp;CHAR(34)&amp;": "&amp;SUBSTITUTE(TRIM(ROUND(IFERROR(CriteriTecnici!$K1880*1,IFERROR(NUMBERVALUE(CriteriTecnici!$K1880,".",","),IFERROR(NUMBERVALUE(CriteriTecnici!$K1880,",","."),0))),4)&amp;""),",",".")&amp;", "&amp;CHAR(34)&amp;"denominator"&amp;CHAR(34)&amp;": "&amp;SUBSTITUTE(TRIM(ROUND(IFERROR(CriteriTecnici!$L1880*1,IFERROR(NUMBERVALUE(CriteriTecnici!$L1880,".",","),IFERROR(NUMBERVALUE(CriteriTecnici!$L1880,",","."),0))),4)&amp;""),",",".")&amp;", "&amp;CHAR(34)&amp;"flag"&amp;CHAR(34)&amp;": "&amp;SUBSTITUTE(TRIM(ROUND(IFERROR(CriteriTecnici!$M1880*1,IFERROR(NUMBERVALUE(CriteriTecnici!$M1880,".",","),IFERROR(NUMBERVALUE(CriteriTecnici!$M1880,",","."),0))),4)&amp;""),",",".")&amp;", "&amp;CHAR(34)&amp;"rawScore"&amp;CHAR(34)&amp;": "&amp;SUBSTITUTE(TRIM(ROUND(IFERROR(CriteriTecnici!$O1880*1,IFERROR(NUMBERVALUE(CriteriTecnici!$O1880,".",","),IFERROR(NUMBERVALUE(CriteriTecnici!$O1880,",","."),0))),4)&amp;""),",",".")&amp;CHAR(125)&amp;IF(TRUE,",",""))</f>
        <v/>
      </c>
    </row>
    <row r="1982">
      <c r="A1982" s="82">
        <f>IF(CriteriTecnici!$A1881="","","    "&amp;CHAR(123)&amp;CHAR(34)&amp;"bidderId"&amp;CHAR(34)&amp;": "&amp;CHAR(34)&amp;SUBSTITUTE(CriteriTecnici!$A1881,CHAR(34),"'")&amp;CHAR(34)&amp;", "&amp;CHAR(34)&amp;"lotId"&amp;CHAR(34)&amp;": "&amp;CHAR(34)&amp;SUBSTITUTE(CriteriTecnici!$C1881,CHAR(34),"'")&amp;CHAR(34)&amp;", "&amp;CHAR(34)&amp;"criterionId"&amp;CHAR(34)&amp;": "&amp;CHAR(34)&amp;SUBSTITUTE(CriteriTecnici!$D1881,CHAR(34),"'")&amp;CHAR(34)&amp;", "&amp;CHAR(34)&amp;"kind"&amp;CHAR(34)&amp;": "&amp;CHAR(34)&amp;SUBSTITUTE(CriteriTecnici!$F1881,CHAR(34),"'")&amp;CHAR(34)&amp;", "&amp;CHAR(34)&amp;"value"&amp;CHAR(34)&amp;": "&amp;SUBSTITUTE(TRIM(ROUND(IFERROR(CriteriTecnici!$N1881*1,IFERROR(NUMBERVALUE(CriteriTecnici!$N1881,".",","),IFERROR(NUMBERVALUE(CriteriTecnici!$N1881,",","."),0))),4)&amp;""),",",".")&amp;", "&amp;CHAR(34)&amp;"numerator"&amp;CHAR(34)&amp;": "&amp;SUBSTITUTE(TRIM(ROUND(IFERROR(CriteriTecnici!$K1881*1,IFERROR(NUMBERVALUE(CriteriTecnici!$K1881,".",","),IFERROR(NUMBERVALUE(CriteriTecnici!$K1881,",","."),0))),4)&amp;""),",",".")&amp;", "&amp;CHAR(34)&amp;"denominator"&amp;CHAR(34)&amp;": "&amp;SUBSTITUTE(TRIM(ROUND(IFERROR(CriteriTecnici!$L1881*1,IFERROR(NUMBERVALUE(CriteriTecnici!$L1881,".",","),IFERROR(NUMBERVALUE(CriteriTecnici!$L1881,",","."),0))),4)&amp;""),",",".")&amp;", "&amp;CHAR(34)&amp;"flag"&amp;CHAR(34)&amp;": "&amp;SUBSTITUTE(TRIM(ROUND(IFERROR(CriteriTecnici!$M1881*1,IFERROR(NUMBERVALUE(CriteriTecnici!$M1881,".",","),IFERROR(NUMBERVALUE(CriteriTecnici!$M1881,",","."),0))),4)&amp;""),",",".")&amp;", "&amp;CHAR(34)&amp;"rawScore"&amp;CHAR(34)&amp;": "&amp;SUBSTITUTE(TRIM(ROUND(IFERROR(CriteriTecnici!$O1881*1,IFERROR(NUMBERVALUE(CriteriTecnici!$O1881,".",","),IFERROR(NUMBERVALUE(CriteriTecnici!$O1881,",","."),0))),4)&amp;""),",",".")&amp;CHAR(125)&amp;IF(TRUE,",",""))</f>
        <v/>
      </c>
    </row>
    <row r="1983">
      <c r="A1983" s="82">
        <f>IF(CriteriTecnici!$A1882="","","    "&amp;CHAR(123)&amp;CHAR(34)&amp;"bidderId"&amp;CHAR(34)&amp;": "&amp;CHAR(34)&amp;SUBSTITUTE(CriteriTecnici!$A1882,CHAR(34),"'")&amp;CHAR(34)&amp;", "&amp;CHAR(34)&amp;"lotId"&amp;CHAR(34)&amp;": "&amp;CHAR(34)&amp;SUBSTITUTE(CriteriTecnici!$C1882,CHAR(34),"'")&amp;CHAR(34)&amp;", "&amp;CHAR(34)&amp;"criterionId"&amp;CHAR(34)&amp;": "&amp;CHAR(34)&amp;SUBSTITUTE(CriteriTecnici!$D1882,CHAR(34),"'")&amp;CHAR(34)&amp;", "&amp;CHAR(34)&amp;"kind"&amp;CHAR(34)&amp;": "&amp;CHAR(34)&amp;SUBSTITUTE(CriteriTecnici!$F1882,CHAR(34),"'")&amp;CHAR(34)&amp;", "&amp;CHAR(34)&amp;"value"&amp;CHAR(34)&amp;": "&amp;SUBSTITUTE(TRIM(ROUND(IFERROR(CriteriTecnici!$N1882*1,IFERROR(NUMBERVALUE(CriteriTecnici!$N1882,".",","),IFERROR(NUMBERVALUE(CriteriTecnici!$N1882,",","."),0))),4)&amp;""),",",".")&amp;", "&amp;CHAR(34)&amp;"numerator"&amp;CHAR(34)&amp;": "&amp;SUBSTITUTE(TRIM(ROUND(IFERROR(CriteriTecnici!$K1882*1,IFERROR(NUMBERVALUE(CriteriTecnici!$K1882,".",","),IFERROR(NUMBERVALUE(CriteriTecnici!$K1882,",","."),0))),4)&amp;""),",",".")&amp;", "&amp;CHAR(34)&amp;"denominator"&amp;CHAR(34)&amp;": "&amp;SUBSTITUTE(TRIM(ROUND(IFERROR(CriteriTecnici!$L1882*1,IFERROR(NUMBERVALUE(CriteriTecnici!$L1882,".",","),IFERROR(NUMBERVALUE(CriteriTecnici!$L1882,",","."),0))),4)&amp;""),",",".")&amp;", "&amp;CHAR(34)&amp;"flag"&amp;CHAR(34)&amp;": "&amp;SUBSTITUTE(TRIM(ROUND(IFERROR(CriteriTecnici!$M1882*1,IFERROR(NUMBERVALUE(CriteriTecnici!$M1882,".",","),IFERROR(NUMBERVALUE(CriteriTecnici!$M1882,",","."),0))),4)&amp;""),",",".")&amp;", "&amp;CHAR(34)&amp;"rawScore"&amp;CHAR(34)&amp;": "&amp;SUBSTITUTE(TRIM(ROUND(IFERROR(CriteriTecnici!$O1882*1,IFERROR(NUMBERVALUE(CriteriTecnici!$O1882,".",","),IFERROR(NUMBERVALUE(CriteriTecnici!$O1882,",","."),0))),4)&amp;""),",",".")&amp;CHAR(125)&amp;IF(TRUE,",",""))</f>
        <v/>
      </c>
    </row>
    <row r="1984">
      <c r="A1984" s="82">
        <f>IF(CriteriTecnici!$A1883="","","    "&amp;CHAR(123)&amp;CHAR(34)&amp;"bidderId"&amp;CHAR(34)&amp;": "&amp;CHAR(34)&amp;SUBSTITUTE(CriteriTecnici!$A1883,CHAR(34),"'")&amp;CHAR(34)&amp;", "&amp;CHAR(34)&amp;"lotId"&amp;CHAR(34)&amp;": "&amp;CHAR(34)&amp;SUBSTITUTE(CriteriTecnici!$C1883,CHAR(34),"'")&amp;CHAR(34)&amp;", "&amp;CHAR(34)&amp;"criterionId"&amp;CHAR(34)&amp;": "&amp;CHAR(34)&amp;SUBSTITUTE(CriteriTecnici!$D1883,CHAR(34),"'")&amp;CHAR(34)&amp;", "&amp;CHAR(34)&amp;"kind"&amp;CHAR(34)&amp;": "&amp;CHAR(34)&amp;SUBSTITUTE(CriteriTecnici!$F1883,CHAR(34),"'")&amp;CHAR(34)&amp;", "&amp;CHAR(34)&amp;"value"&amp;CHAR(34)&amp;": "&amp;SUBSTITUTE(TRIM(ROUND(IFERROR(CriteriTecnici!$N1883*1,IFERROR(NUMBERVALUE(CriteriTecnici!$N1883,".",","),IFERROR(NUMBERVALUE(CriteriTecnici!$N1883,",","."),0))),4)&amp;""),",",".")&amp;", "&amp;CHAR(34)&amp;"numerator"&amp;CHAR(34)&amp;": "&amp;SUBSTITUTE(TRIM(ROUND(IFERROR(CriteriTecnici!$K1883*1,IFERROR(NUMBERVALUE(CriteriTecnici!$K1883,".",","),IFERROR(NUMBERVALUE(CriteriTecnici!$K1883,",","."),0))),4)&amp;""),",",".")&amp;", "&amp;CHAR(34)&amp;"denominator"&amp;CHAR(34)&amp;": "&amp;SUBSTITUTE(TRIM(ROUND(IFERROR(CriteriTecnici!$L1883*1,IFERROR(NUMBERVALUE(CriteriTecnici!$L1883,".",","),IFERROR(NUMBERVALUE(CriteriTecnici!$L1883,",","."),0))),4)&amp;""),",",".")&amp;", "&amp;CHAR(34)&amp;"flag"&amp;CHAR(34)&amp;": "&amp;SUBSTITUTE(TRIM(ROUND(IFERROR(CriteriTecnici!$M1883*1,IFERROR(NUMBERVALUE(CriteriTecnici!$M1883,".",","),IFERROR(NUMBERVALUE(CriteriTecnici!$M1883,",","."),0))),4)&amp;""),",",".")&amp;", "&amp;CHAR(34)&amp;"rawScore"&amp;CHAR(34)&amp;": "&amp;SUBSTITUTE(TRIM(ROUND(IFERROR(CriteriTecnici!$O1883*1,IFERROR(NUMBERVALUE(CriteriTecnici!$O1883,".",","),IFERROR(NUMBERVALUE(CriteriTecnici!$O1883,",","."),0))),4)&amp;""),",",".")&amp;CHAR(125)&amp;IF(TRUE,",",""))</f>
        <v/>
      </c>
    </row>
    <row r="1985">
      <c r="A1985" s="82">
        <f>IF(CriteriTecnici!$A1884="","","    "&amp;CHAR(123)&amp;CHAR(34)&amp;"bidderId"&amp;CHAR(34)&amp;": "&amp;CHAR(34)&amp;SUBSTITUTE(CriteriTecnici!$A1884,CHAR(34),"'")&amp;CHAR(34)&amp;", "&amp;CHAR(34)&amp;"lotId"&amp;CHAR(34)&amp;": "&amp;CHAR(34)&amp;SUBSTITUTE(CriteriTecnici!$C1884,CHAR(34),"'")&amp;CHAR(34)&amp;", "&amp;CHAR(34)&amp;"criterionId"&amp;CHAR(34)&amp;": "&amp;CHAR(34)&amp;SUBSTITUTE(CriteriTecnici!$D1884,CHAR(34),"'")&amp;CHAR(34)&amp;", "&amp;CHAR(34)&amp;"kind"&amp;CHAR(34)&amp;": "&amp;CHAR(34)&amp;SUBSTITUTE(CriteriTecnici!$F1884,CHAR(34),"'")&amp;CHAR(34)&amp;", "&amp;CHAR(34)&amp;"value"&amp;CHAR(34)&amp;": "&amp;SUBSTITUTE(TRIM(ROUND(IFERROR(CriteriTecnici!$N1884*1,IFERROR(NUMBERVALUE(CriteriTecnici!$N1884,".",","),IFERROR(NUMBERVALUE(CriteriTecnici!$N1884,",","."),0))),4)&amp;""),",",".")&amp;", "&amp;CHAR(34)&amp;"numerator"&amp;CHAR(34)&amp;": "&amp;SUBSTITUTE(TRIM(ROUND(IFERROR(CriteriTecnici!$K1884*1,IFERROR(NUMBERVALUE(CriteriTecnici!$K1884,".",","),IFERROR(NUMBERVALUE(CriteriTecnici!$K1884,",","."),0))),4)&amp;""),",",".")&amp;", "&amp;CHAR(34)&amp;"denominator"&amp;CHAR(34)&amp;": "&amp;SUBSTITUTE(TRIM(ROUND(IFERROR(CriteriTecnici!$L1884*1,IFERROR(NUMBERVALUE(CriteriTecnici!$L1884,".",","),IFERROR(NUMBERVALUE(CriteriTecnici!$L1884,",","."),0))),4)&amp;""),",",".")&amp;", "&amp;CHAR(34)&amp;"flag"&amp;CHAR(34)&amp;": "&amp;SUBSTITUTE(TRIM(ROUND(IFERROR(CriteriTecnici!$M1884*1,IFERROR(NUMBERVALUE(CriteriTecnici!$M1884,".",","),IFERROR(NUMBERVALUE(CriteriTecnici!$M1884,",","."),0))),4)&amp;""),",",".")&amp;", "&amp;CHAR(34)&amp;"rawScore"&amp;CHAR(34)&amp;": "&amp;SUBSTITUTE(TRIM(ROUND(IFERROR(CriteriTecnici!$O1884*1,IFERROR(NUMBERVALUE(CriteriTecnici!$O1884,".",","),IFERROR(NUMBERVALUE(CriteriTecnici!$O1884,",","."),0))),4)&amp;""),",",".")&amp;CHAR(125)&amp;IF(TRUE,",",""))</f>
        <v/>
      </c>
    </row>
    <row r="1986">
      <c r="A1986" s="82">
        <f>IF(CriteriTecnici!$A1885="","","    "&amp;CHAR(123)&amp;CHAR(34)&amp;"bidderId"&amp;CHAR(34)&amp;": "&amp;CHAR(34)&amp;SUBSTITUTE(CriteriTecnici!$A1885,CHAR(34),"'")&amp;CHAR(34)&amp;", "&amp;CHAR(34)&amp;"lotId"&amp;CHAR(34)&amp;": "&amp;CHAR(34)&amp;SUBSTITUTE(CriteriTecnici!$C1885,CHAR(34),"'")&amp;CHAR(34)&amp;", "&amp;CHAR(34)&amp;"criterionId"&amp;CHAR(34)&amp;": "&amp;CHAR(34)&amp;SUBSTITUTE(CriteriTecnici!$D1885,CHAR(34),"'")&amp;CHAR(34)&amp;", "&amp;CHAR(34)&amp;"kind"&amp;CHAR(34)&amp;": "&amp;CHAR(34)&amp;SUBSTITUTE(CriteriTecnici!$F1885,CHAR(34),"'")&amp;CHAR(34)&amp;", "&amp;CHAR(34)&amp;"value"&amp;CHAR(34)&amp;": "&amp;SUBSTITUTE(TRIM(ROUND(IFERROR(CriteriTecnici!$N1885*1,IFERROR(NUMBERVALUE(CriteriTecnici!$N1885,".",","),IFERROR(NUMBERVALUE(CriteriTecnici!$N1885,",","."),0))),4)&amp;""),",",".")&amp;", "&amp;CHAR(34)&amp;"numerator"&amp;CHAR(34)&amp;": "&amp;SUBSTITUTE(TRIM(ROUND(IFERROR(CriteriTecnici!$K1885*1,IFERROR(NUMBERVALUE(CriteriTecnici!$K1885,".",","),IFERROR(NUMBERVALUE(CriteriTecnici!$K1885,",","."),0))),4)&amp;""),",",".")&amp;", "&amp;CHAR(34)&amp;"denominator"&amp;CHAR(34)&amp;": "&amp;SUBSTITUTE(TRIM(ROUND(IFERROR(CriteriTecnici!$L1885*1,IFERROR(NUMBERVALUE(CriteriTecnici!$L1885,".",","),IFERROR(NUMBERVALUE(CriteriTecnici!$L1885,",","."),0))),4)&amp;""),",",".")&amp;", "&amp;CHAR(34)&amp;"flag"&amp;CHAR(34)&amp;": "&amp;SUBSTITUTE(TRIM(ROUND(IFERROR(CriteriTecnici!$M1885*1,IFERROR(NUMBERVALUE(CriteriTecnici!$M1885,".",","),IFERROR(NUMBERVALUE(CriteriTecnici!$M1885,",","."),0))),4)&amp;""),",",".")&amp;", "&amp;CHAR(34)&amp;"rawScore"&amp;CHAR(34)&amp;": "&amp;SUBSTITUTE(TRIM(ROUND(IFERROR(CriteriTecnici!$O1885*1,IFERROR(NUMBERVALUE(CriteriTecnici!$O1885,".",","),IFERROR(NUMBERVALUE(CriteriTecnici!$O1885,",","."),0))),4)&amp;""),",",".")&amp;CHAR(125)&amp;IF(TRUE,",",""))</f>
        <v/>
      </c>
    </row>
    <row r="1987">
      <c r="A1987" s="82">
        <f>IF(CriteriTecnici!$A1886="","","    "&amp;CHAR(123)&amp;CHAR(34)&amp;"bidderId"&amp;CHAR(34)&amp;": "&amp;CHAR(34)&amp;SUBSTITUTE(CriteriTecnici!$A1886,CHAR(34),"'")&amp;CHAR(34)&amp;", "&amp;CHAR(34)&amp;"lotId"&amp;CHAR(34)&amp;": "&amp;CHAR(34)&amp;SUBSTITUTE(CriteriTecnici!$C1886,CHAR(34),"'")&amp;CHAR(34)&amp;", "&amp;CHAR(34)&amp;"criterionId"&amp;CHAR(34)&amp;": "&amp;CHAR(34)&amp;SUBSTITUTE(CriteriTecnici!$D1886,CHAR(34),"'")&amp;CHAR(34)&amp;", "&amp;CHAR(34)&amp;"kind"&amp;CHAR(34)&amp;": "&amp;CHAR(34)&amp;SUBSTITUTE(CriteriTecnici!$F1886,CHAR(34),"'")&amp;CHAR(34)&amp;", "&amp;CHAR(34)&amp;"value"&amp;CHAR(34)&amp;": "&amp;SUBSTITUTE(TRIM(ROUND(IFERROR(CriteriTecnici!$N1886*1,IFERROR(NUMBERVALUE(CriteriTecnici!$N1886,".",","),IFERROR(NUMBERVALUE(CriteriTecnici!$N1886,",","."),0))),4)&amp;""),",",".")&amp;", "&amp;CHAR(34)&amp;"numerator"&amp;CHAR(34)&amp;": "&amp;SUBSTITUTE(TRIM(ROUND(IFERROR(CriteriTecnici!$K1886*1,IFERROR(NUMBERVALUE(CriteriTecnici!$K1886,".",","),IFERROR(NUMBERVALUE(CriteriTecnici!$K1886,",","."),0))),4)&amp;""),",",".")&amp;", "&amp;CHAR(34)&amp;"denominator"&amp;CHAR(34)&amp;": "&amp;SUBSTITUTE(TRIM(ROUND(IFERROR(CriteriTecnici!$L1886*1,IFERROR(NUMBERVALUE(CriteriTecnici!$L1886,".",","),IFERROR(NUMBERVALUE(CriteriTecnici!$L1886,",","."),0))),4)&amp;""),",",".")&amp;", "&amp;CHAR(34)&amp;"flag"&amp;CHAR(34)&amp;": "&amp;SUBSTITUTE(TRIM(ROUND(IFERROR(CriteriTecnici!$M1886*1,IFERROR(NUMBERVALUE(CriteriTecnici!$M1886,".",","),IFERROR(NUMBERVALUE(CriteriTecnici!$M1886,",","."),0))),4)&amp;""),",",".")&amp;", "&amp;CHAR(34)&amp;"rawScore"&amp;CHAR(34)&amp;": "&amp;SUBSTITUTE(TRIM(ROUND(IFERROR(CriteriTecnici!$O1886*1,IFERROR(NUMBERVALUE(CriteriTecnici!$O1886,".",","),IFERROR(NUMBERVALUE(CriteriTecnici!$O1886,",","."),0))),4)&amp;""),",",".")&amp;CHAR(125)&amp;IF(TRUE,",",""))</f>
        <v/>
      </c>
    </row>
    <row r="1988">
      <c r="A1988" s="82">
        <f>IF(CriteriTecnici!$A1887="","","    "&amp;CHAR(123)&amp;CHAR(34)&amp;"bidderId"&amp;CHAR(34)&amp;": "&amp;CHAR(34)&amp;SUBSTITUTE(CriteriTecnici!$A1887,CHAR(34),"'")&amp;CHAR(34)&amp;", "&amp;CHAR(34)&amp;"lotId"&amp;CHAR(34)&amp;": "&amp;CHAR(34)&amp;SUBSTITUTE(CriteriTecnici!$C1887,CHAR(34),"'")&amp;CHAR(34)&amp;", "&amp;CHAR(34)&amp;"criterionId"&amp;CHAR(34)&amp;": "&amp;CHAR(34)&amp;SUBSTITUTE(CriteriTecnici!$D1887,CHAR(34),"'")&amp;CHAR(34)&amp;", "&amp;CHAR(34)&amp;"kind"&amp;CHAR(34)&amp;": "&amp;CHAR(34)&amp;SUBSTITUTE(CriteriTecnici!$F1887,CHAR(34),"'")&amp;CHAR(34)&amp;", "&amp;CHAR(34)&amp;"value"&amp;CHAR(34)&amp;": "&amp;SUBSTITUTE(TRIM(ROUND(IFERROR(CriteriTecnici!$N1887*1,IFERROR(NUMBERVALUE(CriteriTecnici!$N1887,".",","),IFERROR(NUMBERVALUE(CriteriTecnici!$N1887,",","."),0))),4)&amp;""),",",".")&amp;", "&amp;CHAR(34)&amp;"numerator"&amp;CHAR(34)&amp;": "&amp;SUBSTITUTE(TRIM(ROUND(IFERROR(CriteriTecnici!$K1887*1,IFERROR(NUMBERVALUE(CriteriTecnici!$K1887,".",","),IFERROR(NUMBERVALUE(CriteriTecnici!$K1887,",","."),0))),4)&amp;""),",",".")&amp;", "&amp;CHAR(34)&amp;"denominator"&amp;CHAR(34)&amp;": "&amp;SUBSTITUTE(TRIM(ROUND(IFERROR(CriteriTecnici!$L1887*1,IFERROR(NUMBERVALUE(CriteriTecnici!$L1887,".",","),IFERROR(NUMBERVALUE(CriteriTecnici!$L1887,",","."),0))),4)&amp;""),",",".")&amp;", "&amp;CHAR(34)&amp;"flag"&amp;CHAR(34)&amp;": "&amp;SUBSTITUTE(TRIM(ROUND(IFERROR(CriteriTecnici!$M1887*1,IFERROR(NUMBERVALUE(CriteriTecnici!$M1887,".",","),IFERROR(NUMBERVALUE(CriteriTecnici!$M1887,",","."),0))),4)&amp;""),",",".")&amp;", "&amp;CHAR(34)&amp;"rawScore"&amp;CHAR(34)&amp;": "&amp;SUBSTITUTE(TRIM(ROUND(IFERROR(CriteriTecnici!$O1887*1,IFERROR(NUMBERVALUE(CriteriTecnici!$O1887,".",","),IFERROR(NUMBERVALUE(CriteriTecnici!$O1887,",","."),0))),4)&amp;""),",",".")&amp;CHAR(125)&amp;IF(TRUE,",",""))</f>
        <v/>
      </c>
    </row>
    <row r="1989">
      <c r="A1989" s="82">
        <f>IF(CriteriTecnici!$A1888="","","    "&amp;CHAR(123)&amp;CHAR(34)&amp;"bidderId"&amp;CHAR(34)&amp;": "&amp;CHAR(34)&amp;SUBSTITUTE(CriteriTecnici!$A1888,CHAR(34),"'")&amp;CHAR(34)&amp;", "&amp;CHAR(34)&amp;"lotId"&amp;CHAR(34)&amp;": "&amp;CHAR(34)&amp;SUBSTITUTE(CriteriTecnici!$C1888,CHAR(34),"'")&amp;CHAR(34)&amp;", "&amp;CHAR(34)&amp;"criterionId"&amp;CHAR(34)&amp;": "&amp;CHAR(34)&amp;SUBSTITUTE(CriteriTecnici!$D1888,CHAR(34),"'")&amp;CHAR(34)&amp;", "&amp;CHAR(34)&amp;"kind"&amp;CHAR(34)&amp;": "&amp;CHAR(34)&amp;SUBSTITUTE(CriteriTecnici!$F1888,CHAR(34),"'")&amp;CHAR(34)&amp;", "&amp;CHAR(34)&amp;"value"&amp;CHAR(34)&amp;": "&amp;SUBSTITUTE(TRIM(ROUND(IFERROR(CriteriTecnici!$N1888*1,IFERROR(NUMBERVALUE(CriteriTecnici!$N1888,".",","),IFERROR(NUMBERVALUE(CriteriTecnici!$N1888,",","."),0))),4)&amp;""),",",".")&amp;", "&amp;CHAR(34)&amp;"numerator"&amp;CHAR(34)&amp;": "&amp;SUBSTITUTE(TRIM(ROUND(IFERROR(CriteriTecnici!$K1888*1,IFERROR(NUMBERVALUE(CriteriTecnici!$K1888,".",","),IFERROR(NUMBERVALUE(CriteriTecnici!$K1888,",","."),0))),4)&amp;""),",",".")&amp;", "&amp;CHAR(34)&amp;"denominator"&amp;CHAR(34)&amp;": "&amp;SUBSTITUTE(TRIM(ROUND(IFERROR(CriteriTecnici!$L1888*1,IFERROR(NUMBERVALUE(CriteriTecnici!$L1888,".",","),IFERROR(NUMBERVALUE(CriteriTecnici!$L1888,",","."),0))),4)&amp;""),",",".")&amp;", "&amp;CHAR(34)&amp;"flag"&amp;CHAR(34)&amp;": "&amp;SUBSTITUTE(TRIM(ROUND(IFERROR(CriteriTecnici!$M1888*1,IFERROR(NUMBERVALUE(CriteriTecnici!$M1888,".",","),IFERROR(NUMBERVALUE(CriteriTecnici!$M1888,",","."),0))),4)&amp;""),",",".")&amp;", "&amp;CHAR(34)&amp;"rawScore"&amp;CHAR(34)&amp;": "&amp;SUBSTITUTE(TRIM(ROUND(IFERROR(CriteriTecnici!$O1888*1,IFERROR(NUMBERVALUE(CriteriTecnici!$O1888,".",","),IFERROR(NUMBERVALUE(CriteriTecnici!$O1888,",","."),0))),4)&amp;""),",",".")&amp;CHAR(125)&amp;IF(TRUE,",",""))</f>
        <v/>
      </c>
    </row>
    <row r="1990">
      <c r="A1990" s="82">
        <f>IF(CriteriTecnici!$A1889="","","    "&amp;CHAR(123)&amp;CHAR(34)&amp;"bidderId"&amp;CHAR(34)&amp;": "&amp;CHAR(34)&amp;SUBSTITUTE(CriteriTecnici!$A1889,CHAR(34),"'")&amp;CHAR(34)&amp;", "&amp;CHAR(34)&amp;"lotId"&amp;CHAR(34)&amp;": "&amp;CHAR(34)&amp;SUBSTITUTE(CriteriTecnici!$C1889,CHAR(34),"'")&amp;CHAR(34)&amp;", "&amp;CHAR(34)&amp;"criterionId"&amp;CHAR(34)&amp;": "&amp;CHAR(34)&amp;SUBSTITUTE(CriteriTecnici!$D1889,CHAR(34),"'")&amp;CHAR(34)&amp;", "&amp;CHAR(34)&amp;"kind"&amp;CHAR(34)&amp;": "&amp;CHAR(34)&amp;SUBSTITUTE(CriteriTecnici!$F1889,CHAR(34),"'")&amp;CHAR(34)&amp;", "&amp;CHAR(34)&amp;"value"&amp;CHAR(34)&amp;": "&amp;SUBSTITUTE(TRIM(ROUND(IFERROR(CriteriTecnici!$N1889*1,IFERROR(NUMBERVALUE(CriteriTecnici!$N1889,".",","),IFERROR(NUMBERVALUE(CriteriTecnici!$N1889,",","."),0))),4)&amp;""),",",".")&amp;", "&amp;CHAR(34)&amp;"numerator"&amp;CHAR(34)&amp;": "&amp;SUBSTITUTE(TRIM(ROUND(IFERROR(CriteriTecnici!$K1889*1,IFERROR(NUMBERVALUE(CriteriTecnici!$K1889,".",","),IFERROR(NUMBERVALUE(CriteriTecnici!$K1889,",","."),0))),4)&amp;""),",",".")&amp;", "&amp;CHAR(34)&amp;"denominator"&amp;CHAR(34)&amp;": "&amp;SUBSTITUTE(TRIM(ROUND(IFERROR(CriteriTecnici!$L1889*1,IFERROR(NUMBERVALUE(CriteriTecnici!$L1889,".",","),IFERROR(NUMBERVALUE(CriteriTecnici!$L1889,",","."),0))),4)&amp;""),",",".")&amp;", "&amp;CHAR(34)&amp;"flag"&amp;CHAR(34)&amp;": "&amp;SUBSTITUTE(TRIM(ROUND(IFERROR(CriteriTecnici!$M1889*1,IFERROR(NUMBERVALUE(CriteriTecnici!$M1889,".",","),IFERROR(NUMBERVALUE(CriteriTecnici!$M1889,",","."),0))),4)&amp;""),",",".")&amp;", "&amp;CHAR(34)&amp;"rawScore"&amp;CHAR(34)&amp;": "&amp;SUBSTITUTE(TRIM(ROUND(IFERROR(CriteriTecnici!$O1889*1,IFERROR(NUMBERVALUE(CriteriTecnici!$O1889,".",","),IFERROR(NUMBERVALUE(CriteriTecnici!$O1889,",","."),0))),4)&amp;""),",",".")&amp;CHAR(125)&amp;IF(TRUE,",",""))</f>
        <v/>
      </c>
    </row>
    <row r="1991">
      <c r="A1991" s="82">
        <f>IF(CriteriTecnici!$A1890="","","    "&amp;CHAR(123)&amp;CHAR(34)&amp;"bidderId"&amp;CHAR(34)&amp;": "&amp;CHAR(34)&amp;SUBSTITUTE(CriteriTecnici!$A1890,CHAR(34),"'")&amp;CHAR(34)&amp;", "&amp;CHAR(34)&amp;"lotId"&amp;CHAR(34)&amp;": "&amp;CHAR(34)&amp;SUBSTITUTE(CriteriTecnici!$C1890,CHAR(34),"'")&amp;CHAR(34)&amp;", "&amp;CHAR(34)&amp;"criterionId"&amp;CHAR(34)&amp;": "&amp;CHAR(34)&amp;SUBSTITUTE(CriteriTecnici!$D1890,CHAR(34),"'")&amp;CHAR(34)&amp;", "&amp;CHAR(34)&amp;"kind"&amp;CHAR(34)&amp;": "&amp;CHAR(34)&amp;SUBSTITUTE(CriteriTecnici!$F1890,CHAR(34),"'")&amp;CHAR(34)&amp;", "&amp;CHAR(34)&amp;"value"&amp;CHAR(34)&amp;": "&amp;SUBSTITUTE(TRIM(ROUND(IFERROR(CriteriTecnici!$N1890*1,IFERROR(NUMBERVALUE(CriteriTecnici!$N1890,".",","),IFERROR(NUMBERVALUE(CriteriTecnici!$N1890,",","."),0))),4)&amp;""),",",".")&amp;", "&amp;CHAR(34)&amp;"numerator"&amp;CHAR(34)&amp;": "&amp;SUBSTITUTE(TRIM(ROUND(IFERROR(CriteriTecnici!$K1890*1,IFERROR(NUMBERVALUE(CriteriTecnici!$K1890,".",","),IFERROR(NUMBERVALUE(CriteriTecnici!$K1890,",","."),0))),4)&amp;""),",",".")&amp;", "&amp;CHAR(34)&amp;"denominator"&amp;CHAR(34)&amp;": "&amp;SUBSTITUTE(TRIM(ROUND(IFERROR(CriteriTecnici!$L1890*1,IFERROR(NUMBERVALUE(CriteriTecnici!$L1890,".",","),IFERROR(NUMBERVALUE(CriteriTecnici!$L1890,",","."),0))),4)&amp;""),",",".")&amp;", "&amp;CHAR(34)&amp;"flag"&amp;CHAR(34)&amp;": "&amp;SUBSTITUTE(TRIM(ROUND(IFERROR(CriteriTecnici!$M1890*1,IFERROR(NUMBERVALUE(CriteriTecnici!$M1890,".",","),IFERROR(NUMBERVALUE(CriteriTecnici!$M1890,",","."),0))),4)&amp;""),",",".")&amp;", "&amp;CHAR(34)&amp;"rawScore"&amp;CHAR(34)&amp;": "&amp;SUBSTITUTE(TRIM(ROUND(IFERROR(CriteriTecnici!$O1890*1,IFERROR(NUMBERVALUE(CriteriTecnici!$O1890,".",","),IFERROR(NUMBERVALUE(CriteriTecnici!$O1890,",","."),0))),4)&amp;""),",",".")&amp;CHAR(125)&amp;IF(TRUE,",",""))</f>
        <v/>
      </c>
    </row>
    <row r="1992">
      <c r="A1992" s="82">
        <f>IF(CriteriTecnici!$A1891="","","    "&amp;CHAR(123)&amp;CHAR(34)&amp;"bidderId"&amp;CHAR(34)&amp;": "&amp;CHAR(34)&amp;SUBSTITUTE(CriteriTecnici!$A1891,CHAR(34),"'")&amp;CHAR(34)&amp;", "&amp;CHAR(34)&amp;"lotId"&amp;CHAR(34)&amp;": "&amp;CHAR(34)&amp;SUBSTITUTE(CriteriTecnici!$C1891,CHAR(34),"'")&amp;CHAR(34)&amp;", "&amp;CHAR(34)&amp;"criterionId"&amp;CHAR(34)&amp;": "&amp;CHAR(34)&amp;SUBSTITUTE(CriteriTecnici!$D1891,CHAR(34),"'")&amp;CHAR(34)&amp;", "&amp;CHAR(34)&amp;"kind"&amp;CHAR(34)&amp;": "&amp;CHAR(34)&amp;SUBSTITUTE(CriteriTecnici!$F1891,CHAR(34),"'")&amp;CHAR(34)&amp;", "&amp;CHAR(34)&amp;"value"&amp;CHAR(34)&amp;": "&amp;SUBSTITUTE(TRIM(ROUND(IFERROR(CriteriTecnici!$N1891*1,IFERROR(NUMBERVALUE(CriteriTecnici!$N1891,".",","),IFERROR(NUMBERVALUE(CriteriTecnici!$N1891,",","."),0))),4)&amp;""),",",".")&amp;", "&amp;CHAR(34)&amp;"numerator"&amp;CHAR(34)&amp;": "&amp;SUBSTITUTE(TRIM(ROUND(IFERROR(CriteriTecnici!$K1891*1,IFERROR(NUMBERVALUE(CriteriTecnici!$K1891,".",","),IFERROR(NUMBERVALUE(CriteriTecnici!$K1891,",","."),0))),4)&amp;""),",",".")&amp;", "&amp;CHAR(34)&amp;"denominator"&amp;CHAR(34)&amp;": "&amp;SUBSTITUTE(TRIM(ROUND(IFERROR(CriteriTecnici!$L1891*1,IFERROR(NUMBERVALUE(CriteriTecnici!$L1891,".",","),IFERROR(NUMBERVALUE(CriteriTecnici!$L1891,",","."),0))),4)&amp;""),",",".")&amp;", "&amp;CHAR(34)&amp;"flag"&amp;CHAR(34)&amp;": "&amp;SUBSTITUTE(TRIM(ROUND(IFERROR(CriteriTecnici!$M1891*1,IFERROR(NUMBERVALUE(CriteriTecnici!$M1891,".",","),IFERROR(NUMBERVALUE(CriteriTecnici!$M1891,",","."),0))),4)&amp;""),",",".")&amp;", "&amp;CHAR(34)&amp;"rawScore"&amp;CHAR(34)&amp;": "&amp;SUBSTITUTE(TRIM(ROUND(IFERROR(CriteriTecnici!$O1891*1,IFERROR(NUMBERVALUE(CriteriTecnici!$O1891,".",","),IFERROR(NUMBERVALUE(CriteriTecnici!$O1891,",","."),0))),4)&amp;""),",",".")&amp;CHAR(125)&amp;IF(TRUE,",",""))</f>
        <v/>
      </c>
    </row>
    <row r="1993">
      <c r="A1993" s="82">
        <f>IF(CriteriTecnici!$A1892="","","    "&amp;CHAR(123)&amp;CHAR(34)&amp;"bidderId"&amp;CHAR(34)&amp;": "&amp;CHAR(34)&amp;SUBSTITUTE(CriteriTecnici!$A1892,CHAR(34),"'")&amp;CHAR(34)&amp;", "&amp;CHAR(34)&amp;"lotId"&amp;CHAR(34)&amp;": "&amp;CHAR(34)&amp;SUBSTITUTE(CriteriTecnici!$C1892,CHAR(34),"'")&amp;CHAR(34)&amp;", "&amp;CHAR(34)&amp;"criterionId"&amp;CHAR(34)&amp;": "&amp;CHAR(34)&amp;SUBSTITUTE(CriteriTecnici!$D1892,CHAR(34),"'")&amp;CHAR(34)&amp;", "&amp;CHAR(34)&amp;"kind"&amp;CHAR(34)&amp;": "&amp;CHAR(34)&amp;SUBSTITUTE(CriteriTecnici!$F1892,CHAR(34),"'")&amp;CHAR(34)&amp;", "&amp;CHAR(34)&amp;"value"&amp;CHAR(34)&amp;": "&amp;SUBSTITUTE(TRIM(ROUND(IFERROR(CriteriTecnici!$N1892*1,IFERROR(NUMBERVALUE(CriteriTecnici!$N1892,".",","),IFERROR(NUMBERVALUE(CriteriTecnici!$N1892,",","."),0))),4)&amp;""),",",".")&amp;", "&amp;CHAR(34)&amp;"numerator"&amp;CHAR(34)&amp;": "&amp;SUBSTITUTE(TRIM(ROUND(IFERROR(CriteriTecnici!$K1892*1,IFERROR(NUMBERVALUE(CriteriTecnici!$K1892,".",","),IFERROR(NUMBERVALUE(CriteriTecnici!$K1892,",","."),0))),4)&amp;""),",",".")&amp;", "&amp;CHAR(34)&amp;"denominator"&amp;CHAR(34)&amp;": "&amp;SUBSTITUTE(TRIM(ROUND(IFERROR(CriteriTecnici!$L1892*1,IFERROR(NUMBERVALUE(CriteriTecnici!$L1892,".",","),IFERROR(NUMBERVALUE(CriteriTecnici!$L1892,",","."),0))),4)&amp;""),",",".")&amp;", "&amp;CHAR(34)&amp;"flag"&amp;CHAR(34)&amp;": "&amp;SUBSTITUTE(TRIM(ROUND(IFERROR(CriteriTecnici!$M1892*1,IFERROR(NUMBERVALUE(CriteriTecnici!$M1892,".",","),IFERROR(NUMBERVALUE(CriteriTecnici!$M1892,",","."),0))),4)&amp;""),",",".")&amp;", "&amp;CHAR(34)&amp;"rawScore"&amp;CHAR(34)&amp;": "&amp;SUBSTITUTE(TRIM(ROUND(IFERROR(CriteriTecnici!$O1892*1,IFERROR(NUMBERVALUE(CriteriTecnici!$O1892,".",","),IFERROR(NUMBERVALUE(CriteriTecnici!$O1892,",","."),0))),4)&amp;""),",",".")&amp;CHAR(125)&amp;IF(TRUE,",",""))</f>
        <v/>
      </c>
    </row>
    <row r="1994">
      <c r="A1994" s="82">
        <f>IF(CriteriTecnici!$A1893="","","    "&amp;CHAR(123)&amp;CHAR(34)&amp;"bidderId"&amp;CHAR(34)&amp;": "&amp;CHAR(34)&amp;SUBSTITUTE(CriteriTecnici!$A1893,CHAR(34),"'")&amp;CHAR(34)&amp;", "&amp;CHAR(34)&amp;"lotId"&amp;CHAR(34)&amp;": "&amp;CHAR(34)&amp;SUBSTITUTE(CriteriTecnici!$C1893,CHAR(34),"'")&amp;CHAR(34)&amp;", "&amp;CHAR(34)&amp;"criterionId"&amp;CHAR(34)&amp;": "&amp;CHAR(34)&amp;SUBSTITUTE(CriteriTecnici!$D1893,CHAR(34),"'")&amp;CHAR(34)&amp;", "&amp;CHAR(34)&amp;"kind"&amp;CHAR(34)&amp;": "&amp;CHAR(34)&amp;SUBSTITUTE(CriteriTecnici!$F1893,CHAR(34),"'")&amp;CHAR(34)&amp;", "&amp;CHAR(34)&amp;"value"&amp;CHAR(34)&amp;": "&amp;SUBSTITUTE(TRIM(ROUND(IFERROR(CriteriTecnici!$N1893*1,IFERROR(NUMBERVALUE(CriteriTecnici!$N1893,".",","),IFERROR(NUMBERVALUE(CriteriTecnici!$N1893,",","."),0))),4)&amp;""),",",".")&amp;", "&amp;CHAR(34)&amp;"numerator"&amp;CHAR(34)&amp;": "&amp;SUBSTITUTE(TRIM(ROUND(IFERROR(CriteriTecnici!$K1893*1,IFERROR(NUMBERVALUE(CriteriTecnici!$K1893,".",","),IFERROR(NUMBERVALUE(CriteriTecnici!$K1893,",","."),0))),4)&amp;""),",",".")&amp;", "&amp;CHAR(34)&amp;"denominator"&amp;CHAR(34)&amp;": "&amp;SUBSTITUTE(TRIM(ROUND(IFERROR(CriteriTecnici!$L1893*1,IFERROR(NUMBERVALUE(CriteriTecnici!$L1893,".",","),IFERROR(NUMBERVALUE(CriteriTecnici!$L1893,",","."),0))),4)&amp;""),",",".")&amp;", "&amp;CHAR(34)&amp;"flag"&amp;CHAR(34)&amp;": "&amp;SUBSTITUTE(TRIM(ROUND(IFERROR(CriteriTecnici!$M1893*1,IFERROR(NUMBERVALUE(CriteriTecnici!$M1893,".",","),IFERROR(NUMBERVALUE(CriteriTecnici!$M1893,",","."),0))),4)&amp;""),",",".")&amp;", "&amp;CHAR(34)&amp;"rawScore"&amp;CHAR(34)&amp;": "&amp;SUBSTITUTE(TRIM(ROUND(IFERROR(CriteriTecnici!$O1893*1,IFERROR(NUMBERVALUE(CriteriTecnici!$O1893,".",","),IFERROR(NUMBERVALUE(CriteriTecnici!$O1893,",","."),0))),4)&amp;""),",",".")&amp;CHAR(125)&amp;IF(TRUE,",",""))</f>
        <v/>
      </c>
    </row>
    <row r="1995">
      <c r="A1995" s="82">
        <f>IF(CriteriTecnici!$A1894="","","    "&amp;CHAR(123)&amp;CHAR(34)&amp;"bidderId"&amp;CHAR(34)&amp;": "&amp;CHAR(34)&amp;SUBSTITUTE(CriteriTecnici!$A1894,CHAR(34),"'")&amp;CHAR(34)&amp;", "&amp;CHAR(34)&amp;"lotId"&amp;CHAR(34)&amp;": "&amp;CHAR(34)&amp;SUBSTITUTE(CriteriTecnici!$C1894,CHAR(34),"'")&amp;CHAR(34)&amp;", "&amp;CHAR(34)&amp;"criterionId"&amp;CHAR(34)&amp;": "&amp;CHAR(34)&amp;SUBSTITUTE(CriteriTecnici!$D1894,CHAR(34),"'")&amp;CHAR(34)&amp;", "&amp;CHAR(34)&amp;"kind"&amp;CHAR(34)&amp;": "&amp;CHAR(34)&amp;SUBSTITUTE(CriteriTecnici!$F1894,CHAR(34),"'")&amp;CHAR(34)&amp;", "&amp;CHAR(34)&amp;"value"&amp;CHAR(34)&amp;": "&amp;SUBSTITUTE(TRIM(ROUND(IFERROR(CriteriTecnici!$N1894*1,IFERROR(NUMBERVALUE(CriteriTecnici!$N1894,".",","),IFERROR(NUMBERVALUE(CriteriTecnici!$N1894,",","."),0))),4)&amp;""),",",".")&amp;", "&amp;CHAR(34)&amp;"numerator"&amp;CHAR(34)&amp;": "&amp;SUBSTITUTE(TRIM(ROUND(IFERROR(CriteriTecnici!$K1894*1,IFERROR(NUMBERVALUE(CriteriTecnici!$K1894,".",","),IFERROR(NUMBERVALUE(CriteriTecnici!$K1894,",","."),0))),4)&amp;""),",",".")&amp;", "&amp;CHAR(34)&amp;"denominator"&amp;CHAR(34)&amp;": "&amp;SUBSTITUTE(TRIM(ROUND(IFERROR(CriteriTecnici!$L1894*1,IFERROR(NUMBERVALUE(CriteriTecnici!$L1894,".",","),IFERROR(NUMBERVALUE(CriteriTecnici!$L1894,",","."),0))),4)&amp;""),",",".")&amp;", "&amp;CHAR(34)&amp;"flag"&amp;CHAR(34)&amp;": "&amp;SUBSTITUTE(TRIM(ROUND(IFERROR(CriteriTecnici!$M1894*1,IFERROR(NUMBERVALUE(CriteriTecnici!$M1894,".",","),IFERROR(NUMBERVALUE(CriteriTecnici!$M1894,",","."),0))),4)&amp;""),",",".")&amp;", "&amp;CHAR(34)&amp;"rawScore"&amp;CHAR(34)&amp;": "&amp;SUBSTITUTE(TRIM(ROUND(IFERROR(CriteriTecnici!$O1894*1,IFERROR(NUMBERVALUE(CriteriTecnici!$O1894,".",","),IFERROR(NUMBERVALUE(CriteriTecnici!$O1894,",","."),0))),4)&amp;""),",",".")&amp;CHAR(125)&amp;IF(TRUE,",",""))</f>
        <v/>
      </c>
    </row>
    <row r="1996">
      <c r="A1996" s="82">
        <f>IF(CriteriTecnici!$A1895="","","    "&amp;CHAR(123)&amp;CHAR(34)&amp;"bidderId"&amp;CHAR(34)&amp;": "&amp;CHAR(34)&amp;SUBSTITUTE(CriteriTecnici!$A1895,CHAR(34),"'")&amp;CHAR(34)&amp;", "&amp;CHAR(34)&amp;"lotId"&amp;CHAR(34)&amp;": "&amp;CHAR(34)&amp;SUBSTITUTE(CriteriTecnici!$C1895,CHAR(34),"'")&amp;CHAR(34)&amp;", "&amp;CHAR(34)&amp;"criterionId"&amp;CHAR(34)&amp;": "&amp;CHAR(34)&amp;SUBSTITUTE(CriteriTecnici!$D1895,CHAR(34),"'")&amp;CHAR(34)&amp;", "&amp;CHAR(34)&amp;"kind"&amp;CHAR(34)&amp;": "&amp;CHAR(34)&amp;SUBSTITUTE(CriteriTecnici!$F1895,CHAR(34),"'")&amp;CHAR(34)&amp;", "&amp;CHAR(34)&amp;"value"&amp;CHAR(34)&amp;": "&amp;SUBSTITUTE(TRIM(ROUND(IFERROR(CriteriTecnici!$N1895*1,IFERROR(NUMBERVALUE(CriteriTecnici!$N1895,".",","),IFERROR(NUMBERVALUE(CriteriTecnici!$N1895,",","."),0))),4)&amp;""),",",".")&amp;", "&amp;CHAR(34)&amp;"numerator"&amp;CHAR(34)&amp;": "&amp;SUBSTITUTE(TRIM(ROUND(IFERROR(CriteriTecnici!$K1895*1,IFERROR(NUMBERVALUE(CriteriTecnici!$K1895,".",","),IFERROR(NUMBERVALUE(CriteriTecnici!$K1895,",","."),0))),4)&amp;""),",",".")&amp;", "&amp;CHAR(34)&amp;"denominator"&amp;CHAR(34)&amp;": "&amp;SUBSTITUTE(TRIM(ROUND(IFERROR(CriteriTecnici!$L1895*1,IFERROR(NUMBERVALUE(CriteriTecnici!$L1895,".",","),IFERROR(NUMBERVALUE(CriteriTecnici!$L1895,",","."),0))),4)&amp;""),",",".")&amp;", "&amp;CHAR(34)&amp;"flag"&amp;CHAR(34)&amp;": "&amp;SUBSTITUTE(TRIM(ROUND(IFERROR(CriteriTecnici!$M1895*1,IFERROR(NUMBERVALUE(CriteriTecnici!$M1895,".",","),IFERROR(NUMBERVALUE(CriteriTecnici!$M1895,",","."),0))),4)&amp;""),",",".")&amp;", "&amp;CHAR(34)&amp;"rawScore"&amp;CHAR(34)&amp;": "&amp;SUBSTITUTE(TRIM(ROUND(IFERROR(CriteriTecnici!$O1895*1,IFERROR(NUMBERVALUE(CriteriTecnici!$O1895,".",","),IFERROR(NUMBERVALUE(CriteriTecnici!$O1895,",","."),0))),4)&amp;""),",",".")&amp;CHAR(125)&amp;IF(COUNTA(Offerte!$A63:$A$81)&gt;0,",",""))</f>
        <v/>
      </c>
    </row>
    <row r="1997">
      <c r="A1997" s="82">
        <f>IF(CriteriTecnici!$A1896="","","    "&amp;CHAR(123)&amp;CHAR(34)&amp;"bidderId"&amp;CHAR(34)&amp;": "&amp;CHAR(34)&amp;SUBSTITUTE(CriteriTecnici!$A1896,CHAR(34),"'")&amp;CHAR(34)&amp;", "&amp;CHAR(34)&amp;"lotId"&amp;CHAR(34)&amp;": "&amp;CHAR(34)&amp;SUBSTITUTE(CriteriTecnici!$C1896,CHAR(34),"'")&amp;CHAR(34)&amp;", "&amp;CHAR(34)&amp;"criterionId"&amp;CHAR(34)&amp;": "&amp;CHAR(34)&amp;SUBSTITUTE(CriteriTecnici!$D1896,CHAR(34),"'")&amp;CHAR(34)&amp;", "&amp;CHAR(34)&amp;"kind"&amp;CHAR(34)&amp;": "&amp;CHAR(34)&amp;SUBSTITUTE(CriteriTecnici!$F1896,CHAR(34),"'")&amp;CHAR(34)&amp;", "&amp;CHAR(34)&amp;"value"&amp;CHAR(34)&amp;": "&amp;SUBSTITUTE(TRIM(ROUND(IFERROR(CriteriTecnici!$N1896*1,IFERROR(NUMBERVALUE(CriteriTecnici!$N1896,".",","),IFERROR(NUMBERVALUE(CriteriTecnici!$N1896,",","."),0))),4)&amp;""),",",".")&amp;", "&amp;CHAR(34)&amp;"numerator"&amp;CHAR(34)&amp;": "&amp;SUBSTITUTE(TRIM(ROUND(IFERROR(CriteriTecnici!$K1896*1,IFERROR(NUMBERVALUE(CriteriTecnici!$K1896,".",","),IFERROR(NUMBERVALUE(CriteriTecnici!$K1896,",","."),0))),4)&amp;""),",",".")&amp;", "&amp;CHAR(34)&amp;"denominator"&amp;CHAR(34)&amp;": "&amp;SUBSTITUTE(TRIM(ROUND(IFERROR(CriteriTecnici!$L1896*1,IFERROR(NUMBERVALUE(CriteriTecnici!$L1896,".",","),IFERROR(NUMBERVALUE(CriteriTecnici!$L1896,",","."),0))),4)&amp;""),",",".")&amp;", "&amp;CHAR(34)&amp;"flag"&amp;CHAR(34)&amp;": "&amp;SUBSTITUTE(TRIM(ROUND(IFERROR(CriteriTecnici!$M1896*1,IFERROR(NUMBERVALUE(CriteriTecnici!$M1896,".",","),IFERROR(NUMBERVALUE(CriteriTecnici!$M1896,",","."),0))),4)&amp;""),",",".")&amp;", "&amp;CHAR(34)&amp;"rawScore"&amp;CHAR(34)&amp;": "&amp;SUBSTITUTE(TRIM(ROUND(IFERROR(CriteriTecnici!$O1896*1,IFERROR(NUMBERVALUE(CriteriTecnici!$O1896,".",","),IFERROR(NUMBERVALUE(CriteriTecnici!$O1896,",","."),0))),4)&amp;""),",",".")&amp;CHAR(125)&amp;IF(TRUE,",",""))</f>
        <v/>
      </c>
    </row>
    <row r="1998">
      <c r="A1998" s="82">
        <f>IF(CriteriTecnici!$A1897="","","    "&amp;CHAR(123)&amp;CHAR(34)&amp;"bidderId"&amp;CHAR(34)&amp;": "&amp;CHAR(34)&amp;SUBSTITUTE(CriteriTecnici!$A1897,CHAR(34),"'")&amp;CHAR(34)&amp;", "&amp;CHAR(34)&amp;"lotId"&amp;CHAR(34)&amp;": "&amp;CHAR(34)&amp;SUBSTITUTE(CriteriTecnici!$C1897,CHAR(34),"'")&amp;CHAR(34)&amp;", "&amp;CHAR(34)&amp;"criterionId"&amp;CHAR(34)&amp;": "&amp;CHAR(34)&amp;SUBSTITUTE(CriteriTecnici!$D1897,CHAR(34),"'")&amp;CHAR(34)&amp;", "&amp;CHAR(34)&amp;"kind"&amp;CHAR(34)&amp;": "&amp;CHAR(34)&amp;SUBSTITUTE(CriteriTecnici!$F1897,CHAR(34),"'")&amp;CHAR(34)&amp;", "&amp;CHAR(34)&amp;"value"&amp;CHAR(34)&amp;": "&amp;SUBSTITUTE(TRIM(ROUND(IFERROR(CriteriTecnici!$N1897*1,IFERROR(NUMBERVALUE(CriteriTecnici!$N1897,".",","),IFERROR(NUMBERVALUE(CriteriTecnici!$N1897,",","."),0))),4)&amp;""),",",".")&amp;", "&amp;CHAR(34)&amp;"numerator"&amp;CHAR(34)&amp;": "&amp;SUBSTITUTE(TRIM(ROUND(IFERROR(CriteriTecnici!$K1897*1,IFERROR(NUMBERVALUE(CriteriTecnici!$K1897,".",","),IFERROR(NUMBERVALUE(CriteriTecnici!$K1897,",","."),0))),4)&amp;""),",",".")&amp;", "&amp;CHAR(34)&amp;"denominator"&amp;CHAR(34)&amp;": "&amp;SUBSTITUTE(TRIM(ROUND(IFERROR(CriteriTecnici!$L1897*1,IFERROR(NUMBERVALUE(CriteriTecnici!$L1897,".",","),IFERROR(NUMBERVALUE(CriteriTecnici!$L1897,",","."),0))),4)&amp;""),",",".")&amp;", "&amp;CHAR(34)&amp;"flag"&amp;CHAR(34)&amp;": "&amp;SUBSTITUTE(TRIM(ROUND(IFERROR(CriteriTecnici!$M1897*1,IFERROR(NUMBERVALUE(CriteriTecnici!$M1897,".",","),IFERROR(NUMBERVALUE(CriteriTecnici!$M1897,",","."),0))),4)&amp;""),",",".")&amp;", "&amp;CHAR(34)&amp;"rawScore"&amp;CHAR(34)&amp;": "&amp;SUBSTITUTE(TRIM(ROUND(IFERROR(CriteriTecnici!$O1897*1,IFERROR(NUMBERVALUE(CriteriTecnici!$O1897,".",","),IFERROR(NUMBERVALUE(CriteriTecnici!$O1897,",","."),0))),4)&amp;""),",",".")&amp;CHAR(125)&amp;IF(TRUE,",",""))</f>
        <v/>
      </c>
    </row>
    <row r="1999">
      <c r="A1999" s="82">
        <f>IF(CriteriTecnici!$A1898="","","    "&amp;CHAR(123)&amp;CHAR(34)&amp;"bidderId"&amp;CHAR(34)&amp;": "&amp;CHAR(34)&amp;SUBSTITUTE(CriteriTecnici!$A1898,CHAR(34),"'")&amp;CHAR(34)&amp;", "&amp;CHAR(34)&amp;"lotId"&amp;CHAR(34)&amp;": "&amp;CHAR(34)&amp;SUBSTITUTE(CriteriTecnici!$C1898,CHAR(34),"'")&amp;CHAR(34)&amp;", "&amp;CHAR(34)&amp;"criterionId"&amp;CHAR(34)&amp;": "&amp;CHAR(34)&amp;SUBSTITUTE(CriteriTecnici!$D1898,CHAR(34),"'")&amp;CHAR(34)&amp;", "&amp;CHAR(34)&amp;"kind"&amp;CHAR(34)&amp;": "&amp;CHAR(34)&amp;SUBSTITUTE(CriteriTecnici!$F1898,CHAR(34),"'")&amp;CHAR(34)&amp;", "&amp;CHAR(34)&amp;"value"&amp;CHAR(34)&amp;": "&amp;SUBSTITUTE(TRIM(ROUND(IFERROR(CriteriTecnici!$N1898*1,IFERROR(NUMBERVALUE(CriteriTecnici!$N1898,".",","),IFERROR(NUMBERVALUE(CriteriTecnici!$N1898,",","."),0))),4)&amp;""),",",".")&amp;", "&amp;CHAR(34)&amp;"numerator"&amp;CHAR(34)&amp;": "&amp;SUBSTITUTE(TRIM(ROUND(IFERROR(CriteriTecnici!$K1898*1,IFERROR(NUMBERVALUE(CriteriTecnici!$K1898,".",","),IFERROR(NUMBERVALUE(CriteriTecnici!$K1898,",","."),0))),4)&amp;""),",",".")&amp;", "&amp;CHAR(34)&amp;"denominator"&amp;CHAR(34)&amp;": "&amp;SUBSTITUTE(TRIM(ROUND(IFERROR(CriteriTecnici!$L1898*1,IFERROR(NUMBERVALUE(CriteriTecnici!$L1898,".",","),IFERROR(NUMBERVALUE(CriteriTecnici!$L1898,",","."),0))),4)&amp;""),",",".")&amp;", "&amp;CHAR(34)&amp;"flag"&amp;CHAR(34)&amp;": "&amp;SUBSTITUTE(TRIM(ROUND(IFERROR(CriteriTecnici!$M1898*1,IFERROR(NUMBERVALUE(CriteriTecnici!$M1898,".",","),IFERROR(NUMBERVALUE(CriteriTecnici!$M1898,",","."),0))),4)&amp;""),",",".")&amp;", "&amp;CHAR(34)&amp;"rawScore"&amp;CHAR(34)&amp;": "&amp;SUBSTITUTE(TRIM(ROUND(IFERROR(CriteriTecnici!$O1898*1,IFERROR(NUMBERVALUE(CriteriTecnici!$O1898,".",","),IFERROR(NUMBERVALUE(CriteriTecnici!$O1898,",","."),0))),4)&amp;""),",",".")&amp;CHAR(125)&amp;IF(TRUE,",",""))</f>
        <v/>
      </c>
    </row>
    <row r="2000">
      <c r="A2000" s="82">
        <f>IF(CriteriTecnici!$A1899="","","    "&amp;CHAR(123)&amp;CHAR(34)&amp;"bidderId"&amp;CHAR(34)&amp;": "&amp;CHAR(34)&amp;SUBSTITUTE(CriteriTecnici!$A1899,CHAR(34),"'")&amp;CHAR(34)&amp;", "&amp;CHAR(34)&amp;"lotId"&amp;CHAR(34)&amp;": "&amp;CHAR(34)&amp;SUBSTITUTE(CriteriTecnici!$C1899,CHAR(34),"'")&amp;CHAR(34)&amp;", "&amp;CHAR(34)&amp;"criterionId"&amp;CHAR(34)&amp;": "&amp;CHAR(34)&amp;SUBSTITUTE(CriteriTecnici!$D1899,CHAR(34),"'")&amp;CHAR(34)&amp;", "&amp;CHAR(34)&amp;"kind"&amp;CHAR(34)&amp;": "&amp;CHAR(34)&amp;SUBSTITUTE(CriteriTecnici!$F1899,CHAR(34),"'")&amp;CHAR(34)&amp;", "&amp;CHAR(34)&amp;"value"&amp;CHAR(34)&amp;": "&amp;SUBSTITUTE(TRIM(ROUND(IFERROR(CriteriTecnici!$N1899*1,IFERROR(NUMBERVALUE(CriteriTecnici!$N1899,".",","),IFERROR(NUMBERVALUE(CriteriTecnici!$N1899,",","."),0))),4)&amp;""),",",".")&amp;", "&amp;CHAR(34)&amp;"numerator"&amp;CHAR(34)&amp;": "&amp;SUBSTITUTE(TRIM(ROUND(IFERROR(CriteriTecnici!$K1899*1,IFERROR(NUMBERVALUE(CriteriTecnici!$K1899,".",","),IFERROR(NUMBERVALUE(CriteriTecnici!$K1899,",","."),0))),4)&amp;""),",",".")&amp;", "&amp;CHAR(34)&amp;"denominator"&amp;CHAR(34)&amp;": "&amp;SUBSTITUTE(TRIM(ROUND(IFERROR(CriteriTecnici!$L1899*1,IFERROR(NUMBERVALUE(CriteriTecnici!$L1899,".",","),IFERROR(NUMBERVALUE(CriteriTecnici!$L1899,",","."),0))),4)&amp;""),",",".")&amp;", "&amp;CHAR(34)&amp;"flag"&amp;CHAR(34)&amp;": "&amp;SUBSTITUTE(TRIM(ROUND(IFERROR(CriteriTecnici!$M1899*1,IFERROR(NUMBERVALUE(CriteriTecnici!$M1899,".",","),IFERROR(NUMBERVALUE(CriteriTecnici!$M1899,",","."),0))),4)&amp;""),",",".")&amp;", "&amp;CHAR(34)&amp;"rawScore"&amp;CHAR(34)&amp;": "&amp;SUBSTITUTE(TRIM(ROUND(IFERROR(CriteriTecnici!$O1899*1,IFERROR(NUMBERVALUE(CriteriTecnici!$O1899,".",","),IFERROR(NUMBERVALUE(CriteriTecnici!$O1899,",","."),0))),4)&amp;""),",",".")&amp;CHAR(125)&amp;IF(TRUE,",",""))</f>
        <v/>
      </c>
    </row>
    <row r="2001">
      <c r="A2001" s="82">
        <f>IF(CriteriTecnici!$A1900="","","    "&amp;CHAR(123)&amp;CHAR(34)&amp;"bidderId"&amp;CHAR(34)&amp;": "&amp;CHAR(34)&amp;SUBSTITUTE(CriteriTecnici!$A1900,CHAR(34),"'")&amp;CHAR(34)&amp;", "&amp;CHAR(34)&amp;"lotId"&amp;CHAR(34)&amp;": "&amp;CHAR(34)&amp;SUBSTITUTE(CriteriTecnici!$C1900,CHAR(34),"'")&amp;CHAR(34)&amp;", "&amp;CHAR(34)&amp;"criterionId"&amp;CHAR(34)&amp;": "&amp;CHAR(34)&amp;SUBSTITUTE(CriteriTecnici!$D1900,CHAR(34),"'")&amp;CHAR(34)&amp;", "&amp;CHAR(34)&amp;"kind"&amp;CHAR(34)&amp;": "&amp;CHAR(34)&amp;SUBSTITUTE(CriteriTecnici!$F1900,CHAR(34),"'")&amp;CHAR(34)&amp;", "&amp;CHAR(34)&amp;"value"&amp;CHAR(34)&amp;": "&amp;SUBSTITUTE(TRIM(ROUND(IFERROR(CriteriTecnici!$N1900*1,IFERROR(NUMBERVALUE(CriteriTecnici!$N1900,".",","),IFERROR(NUMBERVALUE(CriteriTecnici!$N1900,",","."),0))),4)&amp;""),",",".")&amp;", "&amp;CHAR(34)&amp;"numerator"&amp;CHAR(34)&amp;": "&amp;SUBSTITUTE(TRIM(ROUND(IFERROR(CriteriTecnici!$K1900*1,IFERROR(NUMBERVALUE(CriteriTecnici!$K1900,".",","),IFERROR(NUMBERVALUE(CriteriTecnici!$K1900,",","."),0))),4)&amp;""),",",".")&amp;", "&amp;CHAR(34)&amp;"denominator"&amp;CHAR(34)&amp;": "&amp;SUBSTITUTE(TRIM(ROUND(IFERROR(CriteriTecnici!$L1900*1,IFERROR(NUMBERVALUE(CriteriTecnici!$L1900,".",","),IFERROR(NUMBERVALUE(CriteriTecnici!$L1900,",","."),0))),4)&amp;""),",",".")&amp;", "&amp;CHAR(34)&amp;"flag"&amp;CHAR(34)&amp;": "&amp;SUBSTITUTE(TRIM(ROUND(IFERROR(CriteriTecnici!$M1900*1,IFERROR(NUMBERVALUE(CriteriTecnici!$M1900,".",","),IFERROR(NUMBERVALUE(CriteriTecnici!$M1900,",","."),0))),4)&amp;""),",",".")&amp;", "&amp;CHAR(34)&amp;"rawScore"&amp;CHAR(34)&amp;": "&amp;SUBSTITUTE(TRIM(ROUND(IFERROR(CriteriTecnici!$O1900*1,IFERROR(NUMBERVALUE(CriteriTecnici!$O1900,".",","),IFERROR(NUMBERVALUE(CriteriTecnici!$O1900,",","."),0))),4)&amp;""),",",".")&amp;CHAR(125)&amp;IF(TRUE,",",""))</f>
        <v/>
      </c>
    </row>
    <row r="2002">
      <c r="A2002" s="82">
        <f>IF(CriteriTecnici!$A1901="","","    "&amp;CHAR(123)&amp;CHAR(34)&amp;"bidderId"&amp;CHAR(34)&amp;": "&amp;CHAR(34)&amp;SUBSTITUTE(CriteriTecnici!$A1901,CHAR(34),"'")&amp;CHAR(34)&amp;", "&amp;CHAR(34)&amp;"lotId"&amp;CHAR(34)&amp;": "&amp;CHAR(34)&amp;SUBSTITUTE(CriteriTecnici!$C1901,CHAR(34),"'")&amp;CHAR(34)&amp;", "&amp;CHAR(34)&amp;"criterionId"&amp;CHAR(34)&amp;": "&amp;CHAR(34)&amp;SUBSTITUTE(CriteriTecnici!$D1901,CHAR(34),"'")&amp;CHAR(34)&amp;", "&amp;CHAR(34)&amp;"kind"&amp;CHAR(34)&amp;": "&amp;CHAR(34)&amp;SUBSTITUTE(CriteriTecnici!$F1901,CHAR(34),"'")&amp;CHAR(34)&amp;", "&amp;CHAR(34)&amp;"value"&amp;CHAR(34)&amp;": "&amp;SUBSTITUTE(TRIM(ROUND(IFERROR(CriteriTecnici!$N1901*1,IFERROR(NUMBERVALUE(CriteriTecnici!$N1901,".",","),IFERROR(NUMBERVALUE(CriteriTecnici!$N1901,",","."),0))),4)&amp;""),",",".")&amp;", "&amp;CHAR(34)&amp;"numerator"&amp;CHAR(34)&amp;": "&amp;SUBSTITUTE(TRIM(ROUND(IFERROR(CriteriTecnici!$K1901*1,IFERROR(NUMBERVALUE(CriteriTecnici!$K1901,".",","),IFERROR(NUMBERVALUE(CriteriTecnici!$K1901,",","."),0))),4)&amp;""),",",".")&amp;", "&amp;CHAR(34)&amp;"denominator"&amp;CHAR(34)&amp;": "&amp;SUBSTITUTE(TRIM(ROUND(IFERROR(CriteriTecnici!$L1901*1,IFERROR(NUMBERVALUE(CriteriTecnici!$L1901,".",","),IFERROR(NUMBERVALUE(CriteriTecnici!$L1901,",","."),0))),4)&amp;""),",",".")&amp;", "&amp;CHAR(34)&amp;"flag"&amp;CHAR(34)&amp;": "&amp;SUBSTITUTE(TRIM(ROUND(IFERROR(CriteriTecnici!$M1901*1,IFERROR(NUMBERVALUE(CriteriTecnici!$M1901,".",","),IFERROR(NUMBERVALUE(CriteriTecnici!$M1901,",","."),0))),4)&amp;""),",",".")&amp;", "&amp;CHAR(34)&amp;"rawScore"&amp;CHAR(34)&amp;": "&amp;SUBSTITUTE(TRIM(ROUND(IFERROR(CriteriTecnici!$O1901*1,IFERROR(NUMBERVALUE(CriteriTecnici!$O1901,".",","),IFERROR(NUMBERVALUE(CriteriTecnici!$O1901,",","."),0))),4)&amp;""),",",".")&amp;CHAR(125)&amp;IF(TRUE,",",""))</f>
        <v/>
      </c>
    </row>
    <row r="2003">
      <c r="A2003" s="82">
        <f>IF(CriteriTecnici!$A1902="","","    "&amp;CHAR(123)&amp;CHAR(34)&amp;"bidderId"&amp;CHAR(34)&amp;": "&amp;CHAR(34)&amp;SUBSTITUTE(CriteriTecnici!$A1902,CHAR(34),"'")&amp;CHAR(34)&amp;", "&amp;CHAR(34)&amp;"lotId"&amp;CHAR(34)&amp;": "&amp;CHAR(34)&amp;SUBSTITUTE(CriteriTecnici!$C1902,CHAR(34),"'")&amp;CHAR(34)&amp;", "&amp;CHAR(34)&amp;"criterionId"&amp;CHAR(34)&amp;": "&amp;CHAR(34)&amp;SUBSTITUTE(CriteriTecnici!$D1902,CHAR(34),"'")&amp;CHAR(34)&amp;", "&amp;CHAR(34)&amp;"kind"&amp;CHAR(34)&amp;": "&amp;CHAR(34)&amp;SUBSTITUTE(CriteriTecnici!$F1902,CHAR(34),"'")&amp;CHAR(34)&amp;", "&amp;CHAR(34)&amp;"value"&amp;CHAR(34)&amp;": "&amp;SUBSTITUTE(TRIM(ROUND(IFERROR(CriteriTecnici!$N1902*1,IFERROR(NUMBERVALUE(CriteriTecnici!$N1902,".",","),IFERROR(NUMBERVALUE(CriteriTecnici!$N1902,",","."),0))),4)&amp;""),",",".")&amp;", "&amp;CHAR(34)&amp;"numerator"&amp;CHAR(34)&amp;": "&amp;SUBSTITUTE(TRIM(ROUND(IFERROR(CriteriTecnici!$K1902*1,IFERROR(NUMBERVALUE(CriteriTecnici!$K1902,".",","),IFERROR(NUMBERVALUE(CriteriTecnici!$K1902,",","."),0))),4)&amp;""),",",".")&amp;", "&amp;CHAR(34)&amp;"denominator"&amp;CHAR(34)&amp;": "&amp;SUBSTITUTE(TRIM(ROUND(IFERROR(CriteriTecnici!$L1902*1,IFERROR(NUMBERVALUE(CriteriTecnici!$L1902,".",","),IFERROR(NUMBERVALUE(CriteriTecnici!$L1902,",","."),0))),4)&amp;""),",",".")&amp;", "&amp;CHAR(34)&amp;"flag"&amp;CHAR(34)&amp;": "&amp;SUBSTITUTE(TRIM(ROUND(IFERROR(CriteriTecnici!$M1902*1,IFERROR(NUMBERVALUE(CriteriTecnici!$M1902,".",","),IFERROR(NUMBERVALUE(CriteriTecnici!$M1902,",","."),0))),4)&amp;""),",",".")&amp;", "&amp;CHAR(34)&amp;"rawScore"&amp;CHAR(34)&amp;": "&amp;SUBSTITUTE(TRIM(ROUND(IFERROR(CriteriTecnici!$O1902*1,IFERROR(NUMBERVALUE(CriteriTecnici!$O1902,".",","),IFERROR(NUMBERVALUE(CriteriTecnici!$O1902,",","."),0))),4)&amp;""),",",".")&amp;CHAR(125)&amp;IF(TRUE,",",""))</f>
        <v/>
      </c>
    </row>
    <row r="2004">
      <c r="A2004" s="82">
        <f>IF(CriteriTecnici!$A1903="","","    "&amp;CHAR(123)&amp;CHAR(34)&amp;"bidderId"&amp;CHAR(34)&amp;": "&amp;CHAR(34)&amp;SUBSTITUTE(CriteriTecnici!$A1903,CHAR(34),"'")&amp;CHAR(34)&amp;", "&amp;CHAR(34)&amp;"lotId"&amp;CHAR(34)&amp;": "&amp;CHAR(34)&amp;SUBSTITUTE(CriteriTecnici!$C1903,CHAR(34),"'")&amp;CHAR(34)&amp;", "&amp;CHAR(34)&amp;"criterionId"&amp;CHAR(34)&amp;": "&amp;CHAR(34)&amp;SUBSTITUTE(CriteriTecnici!$D1903,CHAR(34),"'")&amp;CHAR(34)&amp;", "&amp;CHAR(34)&amp;"kind"&amp;CHAR(34)&amp;": "&amp;CHAR(34)&amp;SUBSTITUTE(CriteriTecnici!$F1903,CHAR(34),"'")&amp;CHAR(34)&amp;", "&amp;CHAR(34)&amp;"value"&amp;CHAR(34)&amp;": "&amp;SUBSTITUTE(TRIM(ROUND(IFERROR(CriteriTecnici!$N1903*1,IFERROR(NUMBERVALUE(CriteriTecnici!$N1903,".",","),IFERROR(NUMBERVALUE(CriteriTecnici!$N1903,",","."),0))),4)&amp;""),",",".")&amp;", "&amp;CHAR(34)&amp;"numerator"&amp;CHAR(34)&amp;": "&amp;SUBSTITUTE(TRIM(ROUND(IFERROR(CriteriTecnici!$K1903*1,IFERROR(NUMBERVALUE(CriteriTecnici!$K1903,".",","),IFERROR(NUMBERVALUE(CriteriTecnici!$K1903,",","."),0))),4)&amp;""),",",".")&amp;", "&amp;CHAR(34)&amp;"denominator"&amp;CHAR(34)&amp;": "&amp;SUBSTITUTE(TRIM(ROUND(IFERROR(CriteriTecnici!$L1903*1,IFERROR(NUMBERVALUE(CriteriTecnici!$L1903,".",","),IFERROR(NUMBERVALUE(CriteriTecnici!$L1903,",","."),0))),4)&amp;""),",",".")&amp;", "&amp;CHAR(34)&amp;"flag"&amp;CHAR(34)&amp;": "&amp;SUBSTITUTE(TRIM(ROUND(IFERROR(CriteriTecnici!$M1903*1,IFERROR(NUMBERVALUE(CriteriTecnici!$M1903,".",","),IFERROR(NUMBERVALUE(CriteriTecnici!$M1903,",","."),0))),4)&amp;""),",",".")&amp;", "&amp;CHAR(34)&amp;"rawScore"&amp;CHAR(34)&amp;": "&amp;SUBSTITUTE(TRIM(ROUND(IFERROR(CriteriTecnici!$O1903*1,IFERROR(NUMBERVALUE(CriteriTecnici!$O1903,".",","),IFERROR(NUMBERVALUE(CriteriTecnici!$O1903,",","."),0))),4)&amp;""),",",".")&amp;CHAR(125)&amp;IF(TRUE,",",""))</f>
        <v/>
      </c>
    </row>
    <row r="2005">
      <c r="A2005" s="82">
        <f>IF(CriteriTecnici!$A1904="","","    "&amp;CHAR(123)&amp;CHAR(34)&amp;"bidderId"&amp;CHAR(34)&amp;": "&amp;CHAR(34)&amp;SUBSTITUTE(CriteriTecnici!$A1904,CHAR(34),"'")&amp;CHAR(34)&amp;", "&amp;CHAR(34)&amp;"lotId"&amp;CHAR(34)&amp;": "&amp;CHAR(34)&amp;SUBSTITUTE(CriteriTecnici!$C1904,CHAR(34),"'")&amp;CHAR(34)&amp;", "&amp;CHAR(34)&amp;"criterionId"&amp;CHAR(34)&amp;": "&amp;CHAR(34)&amp;SUBSTITUTE(CriteriTecnici!$D1904,CHAR(34),"'")&amp;CHAR(34)&amp;", "&amp;CHAR(34)&amp;"kind"&amp;CHAR(34)&amp;": "&amp;CHAR(34)&amp;SUBSTITUTE(CriteriTecnici!$F1904,CHAR(34),"'")&amp;CHAR(34)&amp;", "&amp;CHAR(34)&amp;"value"&amp;CHAR(34)&amp;": "&amp;SUBSTITUTE(TRIM(ROUND(IFERROR(CriteriTecnici!$N1904*1,IFERROR(NUMBERVALUE(CriteriTecnici!$N1904,".",","),IFERROR(NUMBERVALUE(CriteriTecnici!$N1904,",","."),0))),4)&amp;""),",",".")&amp;", "&amp;CHAR(34)&amp;"numerator"&amp;CHAR(34)&amp;": "&amp;SUBSTITUTE(TRIM(ROUND(IFERROR(CriteriTecnici!$K1904*1,IFERROR(NUMBERVALUE(CriteriTecnici!$K1904,".",","),IFERROR(NUMBERVALUE(CriteriTecnici!$K1904,",","."),0))),4)&amp;""),",",".")&amp;", "&amp;CHAR(34)&amp;"denominator"&amp;CHAR(34)&amp;": "&amp;SUBSTITUTE(TRIM(ROUND(IFERROR(CriteriTecnici!$L1904*1,IFERROR(NUMBERVALUE(CriteriTecnici!$L1904,".",","),IFERROR(NUMBERVALUE(CriteriTecnici!$L1904,",","."),0))),4)&amp;""),",",".")&amp;", "&amp;CHAR(34)&amp;"flag"&amp;CHAR(34)&amp;": "&amp;SUBSTITUTE(TRIM(ROUND(IFERROR(CriteriTecnici!$M1904*1,IFERROR(NUMBERVALUE(CriteriTecnici!$M1904,".",","),IFERROR(NUMBERVALUE(CriteriTecnici!$M1904,",","."),0))),4)&amp;""),",",".")&amp;", "&amp;CHAR(34)&amp;"rawScore"&amp;CHAR(34)&amp;": "&amp;SUBSTITUTE(TRIM(ROUND(IFERROR(CriteriTecnici!$O1904*1,IFERROR(NUMBERVALUE(CriteriTecnici!$O1904,".",","),IFERROR(NUMBERVALUE(CriteriTecnici!$O1904,",","."),0))),4)&amp;""),",",".")&amp;CHAR(125)&amp;IF(TRUE,",",""))</f>
        <v/>
      </c>
    </row>
    <row r="2006">
      <c r="A2006" s="82">
        <f>IF(CriteriTecnici!$A1905="","","    "&amp;CHAR(123)&amp;CHAR(34)&amp;"bidderId"&amp;CHAR(34)&amp;": "&amp;CHAR(34)&amp;SUBSTITUTE(CriteriTecnici!$A1905,CHAR(34),"'")&amp;CHAR(34)&amp;", "&amp;CHAR(34)&amp;"lotId"&amp;CHAR(34)&amp;": "&amp;CHAR(34)&amp;SUBSTITUTE(CriteriTecnici!$C1905,CHAR(34),"'")&amp;CHAR(34)&amp;", "&amp;CHAR(34)&amp;"criterionId"&amp;CHAR(34)&amp;": "&amp;CHAR(34)&amp;SUBSTITUTE(CriteriTecnici!$D1905,CHAR(34),"'")&amp;CHAR(34)&amp;", "&amp;CHAR(34)&amp;"kind"&amp;CHAR(34)&amp;": "&amp;CHAR(34)&amp;SUBSTITUTE(CriteriTecnici!$F1905,CHAR(34),"'")&amp;CHAR(34)&amp;", "&amp;CHAR(34)&amp;"value"&amp;CHAR(34)&amp;": "&amp;SUBSTITUTE(TRIM(ROUND(IFERROR(CriteriTecnici!$N1905*1,IFERROR(NUMBERVALUE(CriteriTecnici!$N1905,".",","),IFERROR(NUMBERVALUE(CriteriTecnici!$N1905,",","."),0))),4)&amp;""),",",".")&amp;", "&amp;CHAR(34)&amp;"numerator"&amp;CHAR(34)&amp;": "&amp;SUBSTITUTE(TRIM(ROUND(IFERROR(CriteriTecnici!$K1905*1,IFERROR(NUMBERVALUE(CriteriTecnici!$K1905,".",","),IFERROR(NUMBERVALUE(CriteriTecnici!$K1905,",","."),0))),4)&amp;""),",",".")&amp;", "&amp;CHAR(34)&amp;"denominator"&amp;CHAR(34)&amp;": "&amp;SUBSTITUTE(TRIM(ROUND(IFERROR(CriteriTecnici!$L1905*1,IFERROR(NUMBERVALUE(CriteriTecnici!$L1905,".",","),IFERROR(NUMBERVALUE(CriteriTecnici!$L1905,",","."),0))),4)&amp;""),",",".")&amp;", "&amp;CHAR(34)&amp;"flag"&amp;CHAR(34)&amp;": "&amp;SUBSTITUTE(TRIM(ROUND(IFERROR(CriteriTecnici!$M1905*1,IFERROR(NUMBERVALUE(CriteriTecnici!$M1905,".",","),IFERROR(NUMBERVALUE(CriteriTecnici!$M1905,",","."),0))),4)&amp;""),",",".")&amp;", "&amp;CHAR(34)&amp;"rawScore"&amp;CHAR(34)&amp;": "&amp;SUBSTITUTE(TRIM(ROUND(IFERROR(CriteriTecnici!$O1905*1,IFERROR(NUMBERVALUE(CriteriTecnici!$O1905,".",","),IFERROR(NUMBERVALUE(CriteriTecnici!$O1905,",","."),0))),4)&amp;""),",",".")&amp;CHAR(125)&amp;IF(TRUE,",",""))</f>
        <v/>
      </c>
    </row>
    <row r="2007">
      <c r="A2007" s="82">
        <f>IF(CriteriTecnici!$A1906="","","    "&amp;CHAR(123)&amp;CHAR(34)&amp;"bidderId"&amp;CHAR(34)&amp;": "&amp;CHAR(34)&amp;SUBSTITUTE(CriteriTecnici!$A1906,CHAR(34),"'")&amp;CHAR(34)&amp;", "&amp;CHAR(34)&amp;"lotId"&amp;CHAR(34)&amp;": "&amp;CHAR(34)&amp;SUBSTITUTE(CriteriTecnici!$C1906,CHAR(34),"'")&amp;CHAR(34)&amp;", "&amp;CHAR(34)&amp;"criterionId"&amp;CHAR(34)&amp;": "&amp;CHAR(34)&amp;SUBSTITUTE(CriteriTecnici!$D1906,CHAR(34),"'")&amp;CHAR(34)&amp;", "&amp;CHAR(34)&amp;"kind"&amp;CHAR(34)&amp;": "&amp;CHAR(34)&amp;SUBSTITUTE(CriteriTecnici!$F1906,CHAR(34),"'")&amp;CHAR(34)&amp;", "&amp;CHAR(34)&amp;"value"&amp;CHAR(34)&amp;": "&amp;SUBSTITUTE(TRIM(ROUND(IFERROR(CriteriTecnici!$N1906*1,IFERROR(NUMBERVALUE(CriteriTecnici!$N1906,".",","),IFERROR(NUMBERVALUE(CriteriTecnici!$N1906,",","."),0))),4)&amp;""),",",".")&amp;", "&amp;CHAR(34)&amp;"numerator"&amp;CHAR(34)&amp;": "&amp;SUBSTITUTE(TRIM(ROUND(IFERROR(CriteriTecnici!$K1906*1,IFERROR(NUMBERVALUE(CriteriTecnici!$K1906,".",","),IFERROR(NUMBERVALUE(CriteriTecnici!$K1906,",","."),0))),4)&amp;""),",",".")&amp;", "&amp;CHAR(34)&amp;"denominator"&amp;CHAR(34)&amp;": "&amp;SUBSTITUTE(TRIM(ROUND(IFERROR(CriteriTecnici!$L1906*1,IFERROR(NUMBERVALUE(CriteriTecnici!$L1906,".",","),IFERROR(NUMBERVALUE(CriteriTecnici!$L1906,",","."),0))),4)&amp;""),",",".")&amp;", "&amp;CHAR(34)&amp;"flag"&amp;CHAR(34)&amp;": "&amp;SUBSTITUTE(TRIM(ROUND(IFERROR(CriteriTecnici!$M1906*1,IFERROR(NUMBERVALUE(CriteriTecnici!$M1906,".",","),IFERROR(NUMBERVALUE(CriteriTecnici!$M1906,",","."),0))),4)&amp;""),",",".")&amp;", "&amp;CHAR(34)&amp;"rawScore"&amp;CHAR(34)&amp;": "&amp;SUBSTITUTE(TRIM(ROUND(IFERROR(CriteriTecnici!$O1906*1,IFERROR(NUMBERVALUE(CriteriTecnici!$O1906,".",","),IFERROR(NUMBERVALUE(CriteriTecnici!$O1906,",","."),0))),4)&amp;""),",",".")&amp;CHAR(125)&amp;IF(TRUE,",",""))</f>
        <v/>
      </c>
    </row>
    <row r="2008">
      <c r="A2008" s="82">
        <f>IF(CriteriTecnici!$A1907="","","    "&amp;CHAR(123)&amp;CHAR(34)&amp;"bidderId"&amp;CHAR(34)&amp;": "&amp;CHAR(34)&amp;SUBSTITUTE(CriteriTecnici!$A1907,CHAR(34),"'")&amp;CHAR(34)&amp;", "&amp;CHAR(34)&amp;"lotId"&amp;CHAR(34)&amp;": "&amp;CHAR(34)&amp;SUBSTITUTE(CriteriTecnici!$C1907,CHAR(34),"'")&amp;CHAR(34)&amp;", "&amp;CHAR(34)&amp;"criterionId"&amp;CHAR(34)&amp;": "&amp;CHAR(34)&amp;SUBSTITUTE(CriteriTecnici!$D1907,CHAR(34),"'")&amp;CHAR(34)&amp;", "&amp;CHAR(34)&amp;"kind"&amp;CHAR(34)&amp;": "&amp;CHAR(34)&amp;SUBSTITUTE(CriteriTecnici!$F1907,CHAR(34),"'")&amp;CHAR(34)&amp;", "&amp;CHAR(34)&amp;"value"&amp;CHAR(34)&amp;": "&amp;SUBSTITUTE(TRIM(ROUND(IFERROR(CriteriTecnici!$N1907*1,IFERROR(NUMBERVALUE(CriteriTecnici!$N1907,".",","),IFERROR(NUMBERVALUE(CriteriTecnici!$N1907,",","."),0))),4)&amp;""),",",".")&amp;", "&amp;CHAR(34)&amp;"numerator"&amp;CHAR(34)&amp;": "&amp;SUBSTITUTE(TRIM(ROUND(IFERROR(CriteriTecnici!$K1907*1,IFERROR(NUMBERVALUE(CriteriTecnici!$K1907,".",","),IFERROR(NUMBERVALUE(CriteriTecnici!$K1907,",","."),0))),4)&amp;""),",",".")&amp;", "&amp;CHAR(34)&amp;"denominator"&amp;CHAR(34)&amp;": "&amp;SUBSTITUTE(TRIM(ROUND(IFERROR(CriteriTecnici!$L1907*1,IFERROR(NUMBERVALUE(CriteriTecnici!$L1907,".",","),IFERROR(NUMBERVALUE(CriteriTecnici!$L1907,",","."),0))),4)&amp;""),",",".")&amp;", "&amp;CHAR(34)&amp;"flag"&amp;CHAR(34)&amp;": "&amp;SUBSTITUTE(TRIM(ROUND(IFERROR(CriteriTecnici!$M1907*1,IFERROR(NUMBERVALUE(CriteriTecnici!$M1907,".",","),IFERROR(NUMBERVALUE(CriteriTecnici!$M1907,",","."),0))),4)&amp;""),",",".")&amp;", "&amp;CHAR(34)&amp;"rawScore"&amp;CHAR(34)&amp;": "&amp;SUBSTITUTE(TRIM(ROUND(IFERROR(CriteriTecnici!$O1907*1,IFERROR(NUMBERVALUE(CriteriTecnici!$O1907,".",","),IFERROR(NUMBERVALUE(CriteriTecnici!$O1907,",","."),0))),4)&amp;""),",",".")&amp;CHAR(125)&amp;IF(TRUE,",",""))</f>
        <v/>
      </c>
    </row>
    <row r="2009">
      <c r="A2009" s="82">
        <f>IF(CriteriTecnici!$A1908="","","    "&amp;CHAR(123)&amp;CHAR(34)&amp;"bidderId"&amp;CHAR(34)&amp;": "&amp;CHAR(34)&amp;SUBSTITUTE(CriteriTecnici!$A1908,CHAR(34),"'")&amp;CHAR(34)&amp;", "&amp;CHAR(34)&amp;"lotId"&amp;CHAR(34)&amp;": "&amp;CHAR(34)&amp;SUBSTITUTE(CriteriTecnici!$C1908,CHAR(34),"'")&amp;CHAR(34)&amp;", "&amp;CHAR(34)&amp;"criterionId"&amp;CHAR(34)&amp;": "&amp;CHAR(34)&amp;SUBSTITUTE(CriteriTecnici!$D1908,CHAR(34),"'")&amp;CHAR(34)&amp;", "&amp;CHAR(34)&amp;"kind"&amp;CHAR(34)&amp;": "&amp;CHAR(34)&amp;SUBSTITUTE(CriteriTecnici!$F1908,CHAR(34),"'")&amp;CHAR(34)&amp;", "&amp;CHAR(34)&amp;"value"&amp;CHAR(34)&amp;": "&amp;SUBSTITUTE(TRIM(ROUND(IFERROR(CriteriTecnici!$N1908*1,IFERROR(NUMBERVALUE(CriteriTecnici!$N1908,".",","),IFERROR(NUMBERVALUE(CriteriTecnici!$N1908,",","."),0))),4)&amp;""),",",".")&amp;", "&amp;CHAR(34)&amp;"numerator"&amp;CHAR(34)&amp;": "&amp;SUBSTITUTE(TRIM(ROUND(IFERROR(CriteriTecnici!$K1908*1,IFERROR(NUMBERVALUE(CriteriTecnici!$K1908,".",","),IFERROR(NUMBERVALUE(CriteriTecnici!$K1908,",","."),0))),4)&amp;""),",",".")&amp;", "&amp;CHAR(34)&amp;"denominator"&amp;CHAR(34)&amp;": "&amp;SUBSTITUTE(TRIM(ROUND(IFERROR(CriteriTecnici!$L1908*1,IFERROR(NUMBERVALUE(CriteriTecnici!$L1908,".",","),IFERROR(NUMBERVALUE(CriteriTecnici!$L1908,",","."),0))),4)&amp;""),",",".")&amp;", "&amp;CHAR(34)&amp;"flag"&amp;CHAR(34)&amp;": "&amp;SUBSTITUTE(TRIM(ROUND(IFERROR(CriteriTecnici!$M1908*1,IFERROR(NUMBERVALUE(CriteriTecnici!$M1908,".",","),IFERROR(NUMBERVALUE(CriteriTecnici!$M1908,",","."),0))),4)&amp;""),",",".")&amp;", "&amp;CHAR(34)&amp;"rawScore"&amp;CHAR(34)&amp;": "&amp;SUBSTITUTE(TRIM(ROUND(IFERROR(CriteriTecnici!$O1908*1,IFERROR(NUMBERVALUE(CriteriTecnici!$O1908,".",","),IFERROR(NUMBERVALUE(CriteriTecnici!$O1908,",","."),0))),4)&amp;""),",",".")&amp;CHAR(125)&amp;IF(TRUE,",",""))</f>
        <v/>
      </c>
    </row>
    <row r="2010">
      <c r="A2010" s="82">
        <f>IF(CriteriTecnici!$A1909="","","    "&amp;CHAR(123)&amp;CHAR(34)&amp;"bidderId"&amp;CHAR(34)&amp;": "&amp;CHAR(34)&amp;SUBSTITUTE(CriteriTecnici!$A1909,CHAR(34),"'")&amp;CHAR(34)&amp;", "&amp;CHAR(34)&amp;"lotId"&amp;CHAR(34)&amp;": "&amp;CHAR(34)&amp;SUBSTITUTE(CriteriTecnici!$C1909,CHAR(34),"'")&amp;CHAR(34)&amp;", "&amp;CHAR(34)&amp;"criterionId"&amp;CHAR(34)&amp;": "&amp;CHAR(34)&amp;SUBSTITUTE(CriteriTecnici!$D1909,CHAR(34),"'")&amp;CHAR(34)&amp;", "&amp;CHAR(34)&amp;"kind"&amp;CHAR(34)&amp;": "&amp;CHAR(34)&amp;SUBSTITUTE(CriteriTecnici!$F1909,CHAR(34),"'")&amp;CHAR(34)&amp;", "&amp;CHAR(34)&amp;"value"&amp;CHAR(34)&amp;": "&amp;SUBSTITUTE(TRIM(ROUND(IFERROR(CriteriTecnici!$N1909*1,IFERROR(NUMBERVALUE(CriteriTecnici!$N1909,".",","),IFERROR(NUMBERVALUE(CriteriTecnici!$N1909,",","."),0))),4)&amp;""),",",".")&amp;", "&amp;CHAR(34)&amp;"numerator"&amp;CHAR(34)&amp;": "&amp;SUBSTITUTE(TRIM(ROUND(IFERROR(CriteriTecnici!$K1909*1,IFERROR(NUMBERVALUE(CriteriTecnici!$K1909,".",","),IFERROR(NUMBERVALUE(CriteriTecnici!$K1909,",","."),0))),4)&amp;""),",",".")&amp;", "&amp;CHAR(34)&amp;"denominator"&amp;CHAR(34)&amp;": "&amp;SUBSTITUTE(TRIM(ROUND(IFERROR(CriteriTecnici!$L1909*1,IFERROR(NUMBERVALUE(CriteriTecnici!$L1909,".",","),IFERROR(NUMBERVALUE(CriteriTecnici!$L1909,",","."),0))),4)&amp;""),",",".")&amp;", "&amp;CHAR(34)&amp;"flag"&amp;CHAR(34)&amp;": "&amp;SUBSTITUTE(TRIM(ROUND(IFERROR(CriteriTecnici!$M1909*1,IFERROR(NUMBERVALUE(CriteriTecnici!$M1909,".",","),IFERROR(NUMBERVALUE(CriteriTecnici!$M1909,",","."),0))),4)&amp;""),",",".")&amp;", "&amp;CHAR(34)&amp;"rawScore"&amp;CHAR(34)&amp;": "&amp;SUBSTITUTE(TRIM(ROUND(IFERROR(CriteriTecnici!$O1909*1,IFERROR(NUMBERVALUE(CriteriTecnici!$O1909,".",","),IFERROR(NUMBERVALUE(CriteriTecnici!$O1909,",","."),0))),4)&amp;""),",",".")&amp;CHAR(125)&amp;IF(TRUE,",",""))</f>
        <v/>
      </c>
    </row>
    <row r="2011">
      <c r="A2011" s="82">
        <f>IF(CriteriTecnici!$A1910="","","    "&amp;CHAR(123)&amp;CHAR(34)&amp;"bidderId"&amp;CHAR(34)&amp;": "&amp;CHAR(34)&amp;SUBSTITUTE(CriteriTecnici!$A1910,CHAR(34),"'")&amp;CHAR(34)&amp;", "&amp;CHAR(34)&amp;"lotId"&amp;CHAR(34)&amp;": "&amp;CHAR(34)&amp;SUBSTITUTE(CriteriTecnici!$C1910,CHAR(34),"'")&amp;CHAR(34)&amp;", "&amp;CHAR(34)&amp;"criterionId"&amp;CHAR(34)&amp;": "&amp;CHAR(34)&amp;SUBSTITUTE(CriteriTecnici!$D1910,CHAR(34),"'")&amp;CHAR(34)&amp;", "&amp;CHAR(34)&amp;"kind"&amp;CHAR(34)&amp;": "&amp;CHAR(34)&amp;SUBSTITUTE(CriteriTecnici!$F1910,CHAR(34),"'")&amp;CHAR(34)&amp;", "&amp;CHAR(34)&amp;"value"&amp;CHAR(34)&amp;": "&amp;SUBSTITUTE(TRIM(ROUND(IFERROR(CriteriTecnici!$N1910*1,IFERROR(NUMBERVALUE(CriteriTecnici!$N1910,".",","),IFERROR(NUMBERVALUE(CriteriTecnici!$N1910,",","."),0))),4)&amp;""),",",".")&amp;", "&amp;CHAR(34)&amp;"numerator"&amp;CHAR(34)&amp;": "&amp;SUBSTITUTE(TRIM(ROUND(IFERROR(CriteriTecnici!$K1910*1,IFERROR(NUMBERVALUE(CriteriTecnici!$K1910,".",","),IFERROR(NUMBERVALUE(CriteriTecnici!$K1910,",","."),0))),4)&amp;""),",",".")&amp;", "&amp;CHAR(34)&amp;"denominator"&amp;CHAR(34)&amp;": "&amp;SUBSTITUTE(TRIM(ROUND(IFERROR(CriteriTecnici!$L1910*1,IFERROR(NUMBERVALUE(CriteriTecnici!$L1910,".",","),IFERROR(NUMBERVALUE(CriteriTecnici!$L1910,",","."),0))),4)&amp;""),",",".")&amp;", "&amp;CHAR(34)&amp;"flag"&amp;CHAR(34)&amp;": "&amp;SUBSTITUTE(TRIM(ROUND(IFERROR(CriteriTecnici!$M1910*1,IFERROR(NUMBERVALUE(CriteriTecnici!$M1910,".",","),IFERROR(NUMBERVALUE(CriteriTecnici!$M1910,",","."),0))),4)&amp;""),",",".")&amp;", "&amp;CHAR(34)&amp;"rawScore"&amp;CHAR(34)&amp;": "&amp;SUBSTITUTE(TRIM(ROUND(IFERROR(CriteriTecnici!$O1910*1,IFERROR(NUMBERVALUE(CriteriTecnici!$O1910,".",","),IFERROR(NUMBERVALUE(CriteriTecnici!$O1910,",","."),0))),4)&amp;""),",",".")&amp;CHAR(125)&amp;IF(TRUE,",",""))</f>
        <v/>
      </c>
    </row>
    <row r="2012">
      <c r="A2012" s="82">
        <f>IF(CriteriTecnici!$A1911="","","    "&amp;CHAR(123)&amp;CHAR(34)&amp;"bidderId"&amp;CHAR(34)&amp;": "&amp;CHAR(34)&amp;SUBSTITUTE(CriteriTecnici!$A1911,CHAR(34),"'")&amp;CHAR(34)&amp;", "&amp;CHAR(34)&amp;"lotId"&amp;CHAR(34)&amp;": "&amp;CHAR(34)&amp;SUBSTITUTE(CriteriTecnici!$C1911,CHAR(34),"'")&amp;CHAR(34)&amp;", "&amp;CHAR(34)&amp;"criterionId"&amp;CHAR(34)&amp;": "&amp;CHAR(34)&amp;SUBSTITUTE(CriteriTecnici!$D1911,CHAR(34),"'")&amp;CHAR(34)&amp;", "&amp;CHAR(34)&amp;"kind"&amp;CHAR(34)&amp;": "&amp;CHAR(34)&amp;SUBSTITUTE(CriteriTecnici!$F1911,CHAR(34),"'")&amp;CHAR(34)&amp;", "&amp;CHAR(34)&amp;"value"&amp;CHAR(34)&amp;": "&amp;SUBSTITUTE(TRIM(ROUND(IFERROR(CriteriTecnici!$N1911*1,IFERROR(NUMBERVALUE(CriteriTecnici!$N1911,".",","),IFERROR(NUMBERVALUE(CriteriTecnici!$N1911,",","."),0))),4)&amp;""),",",".")&amp;", "&amp;CHAR(34)&amp;"numerator"&amp;CHAR(34)&amp;": "&amp;SUBSTITUTE(TRIM(ROUND(IFERROR(CriteriTecnici!$K1911*1,IFERROR(NUMBERVALUE(CriteriTecnici!$K1911,".",","),IFERROR(NUMBERVALUE(CriteriTecnici!$K1911,",","."),0))),4)&amp;""),",",".")&amp;", "&amp;CHAR(34)&amp;"denominator"&amp;CHAR(34)&amp;": "&amp;SUBSTITUTE(TRIM(ROUND(IFERROR(CriteriTecnici!$L1911*1,IFERROR(NUMBERVALUE(CriteriTecnici!$L1911,".",","),IFERROR(NUMBERVALUE(CriteriTecnici!$L1911,",","."),0))),4)&amp;""),",",".")&amp;", "&amp;CHAR(34)&amp;"flag"&amp;CHAR(34)&amp;": "&amp;SUBSTITUTE(TRIM(ROUND(IFERROR(CriteriTecnici!$M1911*1,IFERROR(NUMBERVALUE(CriteriTecnici!$M1911,".",","),IFERROR(NUMBERVALUE(CriteriTecnici!$M1911,",","."),0))),4)&amp;""),",",".")&amp;", "&amp;CHAR(34)&amp;"rawScore"&amp;CHAR(34)&amp;": "&amp;SUBSTITUTE(TRIM(ROUND(IFERROR(CriteriTecnici!$O1911*1,IFERROR(NUMBERVALUE(CriteriTecnici!$O1911,".",","),IFERROR(NUMBERVALUE(CriteriTecnici!$O1911,",","."),0))),4)&amp;""),",",".")&amp;CHAR(125)&amp;IF(TRUE,",",""))</f>
        <v/>
      </c>
    </row>
    <row r="2013">
      <c r="A2013" s="82">
        <f>IF(CriteriTecnici!$A1912="","","    "&amp;CHAR(123)&amp;CHAR(34)&amp;"bidderId"&amp;CHAR(34)&amp;": "&amp;CHAR(34)&amp;SUBSTITUTE(CriteriTecnici!$A1912,CHAR(34),"'")&amp;CHAR(34)&amp;", "&amp;CHAR(34)&amp;"lotId"&amp;CHAR(34)&amp;": "&amp;CHAR(34)&amp;SUBSTITUTE(CriteriTecnici!$C1912,CHAR(34),"'")&amp;CHAR(34)&amp;", "&amp;CHAR(34)&amp;"criterionId"&amp;CHAR(34)&amp;": "&amp;CHAR(34)&amp;SUBSTITUTE(CriteriTecnici!$D1912,CHAR(34),"'")&amp;CHAR(34)&amp;", "&amp;CHAR(34)&amp;"kind"&amp;CHAR(34)&amp;": "&amp;CHAR(34)&amp;SUBSTITUTE(CriteriTecnici!$F1912,CHAR(34),"'")&amp;CHAR(34)&amp;", "&amp;CHAR(34)&amp;"value"&amp;CHAR(34)&amp;": "&amp;SUBSTITUTE(TRIM(ROUND(IFERROR(CriteriTecnici!$N1912*1,IFERROR(NUMBERVALUE(CriteriTecnici!$N1912,".",","),IFERROR(NUMBERVALUE(CriteriTecnici!$N1912,",","."),0))),4)&amp;""),",",".")&amp;", "&amp;CHAR(34)&amp;"numerator"&amp;CHAR(34)&amp;": "&amp;SUBSTITUTE(TRIM(ROUND(IFERROR(CriteriTecnici!$K1912*1,IFERROR(NUMBERVALUE(CriteriTecnici!$K1912,".",","),IFERROR(NUMBERVALUE(CriteriTecnici!$K1912,",","."),0))),4)&amp;""),",",".")&amp;", "&amp;CHAR(34)&amp;"denominator"&amp;CHAR(34)&amp;": "&amp;SUBSTITUTE(TRIM(ROUND(IFERROR(CriteriTecnici!$L1912*1,IFERROR(NUMBERVALUE(CriteriTecnici!$L1912,".",","),IFERROR(NUMBERVALUE(CriteriTecnici!$L1912,",","."),0))),4)&amp;""),",",".")&amp;", "&amp;CHAR(34)&amp;"flag"&amp;CHAR(34)&amp;": "&amp;SUBSTITUTE(TRIM(ROUND(IFERROR(CriteriTecnici!$M1912*1,IFERROR(NUMBERVALUE(CriteriTecnici!$M1912,".",","),IFERROR(NUMBERVALUE(CriteriTecnici!$M1912,",","."),0))),4)&amp;""),",",".")&amp;", "&amp;CHAR(34)&amp;"rawScore"&amp;CHAR(34)&amp;": "&amp;SUBSTITUTE(TRIM(ROUND(IFERROR(CriteriTecnici!$O1912*1,IFERROR(NUMBERVALUE(CriteriTecnici!$O1912,".",","),IFERROR(NUMBERVALUE(CriteriTecnici!$O1912,",","."),0))),4)&amp;""),",",".")&amp;CHAR(125)&amp;IF(TRUE,",",""))</f>
        <v/>
      </c>
    </row>
    <row r="2014">
      <c r="A2014" s="82">
        <f>IF(CriteriTecnici!$A1913="","","    "&amp;CHAR(123)&amp;CHAR(34)&amp;"bidderId"&amp;CHAR(34)&amp;": "&amp;CHAR(34)&amp;SUBSTITUTE(CriteriTecnici!$A1913,CHAR(34),"'")&amp;CHAR(34)&amp;", "&amp;CHAR(34)&amp;"lotId"&amp;CHAR(34)&amp;": "&amp;CHAR(34)&amp;SUBSTITUTE(CriteriTecnici!$C1913,CHAR(34),"'")&amp;CHAR(34)&amp;", "&amp;CHAR(34)&amp;"criterionId"&amp;CHAR(34)&amp;": "&amp;CHAR(34)&amp;SUBSTITUTE(CriteriTecnici!$D1913,CHAR(34),"'")&amp;CHAR(34)&amp;", "&amp;CHAR(34)&amp;"kind"&amp;CHAR(34)&amp;": "&amp;CHAR(34)&amp;SUBSTITUTE(CriteriTecnici!$F1913,CHAR(34),"'")&amp;CHAR(34)&amp;", "&amp;CHAR(34)&amp;"value"&amp;CHAR(34)&amp;": "&amp;SUBSTITUTE(TRIM(ROUND(IFERROR(CriteriTecnici!$N1913*1,IFERROR(NUMBERVALUE(CriteriTecnici!$N1913,".",","),IFERROR(NUMBERVALUE(CriteriTecnici!$N1913,",","."),0))),4)&amp;""),",",".")&amp;", "&amp;CHAR(34)&amp;"numerator"&amp;CHAR(34)&amp;": "&amp;SUBSTITUTE(TRIM(ROUND(IFERROR(CriteriTecnici!$K1913*1,IFERROR(NUMBERVALUE(CriteriTecnici!$K1913,".",","),IFERROR(NUMBERVALUE(CriteriTecnici!$K1913,",","."),0))),4)&amp;""),",",".")&amp;", "&amp;CHAR(34)&amp;"denominator"&amp;CHAR(34)&amp;": "&amp;SUBSTITUTE(TRIM(ROUND(IFERROR(CriteriTecnici!$L1913*1,IFERROR(NUMBERVALUE(CriteriTecnici!$L1913,".",","),IFERROR(NUMBERVALUE(CriteriTecnici!$L1913,",","."),0))),4)&amp;""),",",".")&amp;", "&amp;CHAR(34)&amp;"flag"&amp;CHAR(34)&amp;": "&amp;SUBSTITUTE(TRIM(ROUND(IFERROR(CriteriTecnici!$M1913*1,IFERROR(NUMBERVALUE(CriteriTecnici!$M1913,".",","),IFERROR(NUMBERVALUE(CriteriTecnici!$M1913,",","."),0))),4)&amp;""),",",".")&amp;", "&amp;CHAR(34)&amp;"rawScore"&amp;CHAR(34)&amp;": "&amp;SUBSTITUTE(TRIM(ROUND(IFERROR(CriteriTecnici!$O1913*1,IFERROR(NUMBERVALUE(CriteriTecnici!$O1913,".",","),IFERROR(NUMBERVALUE(CriteriTecnici!$O1913,",","."),0))),4)&amp;""),",",".")&amp;CHAR(125)&amp;IF(TRUE,",",""))</f>
        <v/>
      </c>
    </row>
    <row r="2015">
      <c r="A2015" s="82">
        <f>IF(CriteriTecnici!$A1914="","","    "&amp;CHAR(123)&amp;CHAR(34)&amp;"bidderId"&amp;CHAR(34)&amp;": "&amp;CHAR(34)&amp;SUBSTITUTE(CriteriTecnici!$A1914,CHAR(34),"'")&amp;CHAR(34)&amp;", "&amp;CHAR(34)&amp;"lotId"&amp;CHAR(34)&amp;": "&amp;CHAR(34)&amp;SUBSTITUTE(CriteriTecnici!$C1914,CHAR(34),"'")&amp;CHAR(34)&amp;", "&amp;CHAR(34)&amp;"criterionId"&amp;CHAR(34)&amp;": "&amp;CHAR(34)&amp;SUBSTITUTE(CriteriTecnici!$D1914,CHAR(34),"'")&amp;CHAR(34)&amp;", "&amp;CHAR(34)&amp;"kind"&amp;CHAR(34)&amp;": "&amp;CHAR(34)&amp;SUBSTITUTE(CriteriTecnici!$F1914,CHAR(34),"'")&amp;CHAR(34)&amp;", "&amp;CHAR(34)&amp;"value"&amp;CHAR(34)&amp;": "&amp;SUBSTITUTE(TRIM(ROUND(IFERROR(CriteriTecnici!$N1914*1,IFERROR(NUMBERVALUE(CriteriTecnici!$N1914,".",","),IFERROR(NUMBERVALUE(CriteriTecnici!$N1914,",","."),0))),4)&amp;""),",",".")&amp;", "&amp;CHAR(34)&amp;"numerator"&amp;CHAR(34)&amp;": "&amp;SUBSTITUTE(TRIM(ROUND(IFERROR(CriteriTecnici!$K1914*1,IFERROR(NUMBERVALUE(CriteriTecnici!$K1914,".",","),IFERROR(NUMBERVALUE(CriteriTecnici!$K1914,",","."),0))),4)&amp;""),",",".")&amp;", "&amp;CHAR(34)&amp;"denominator"&amp;CHAR(34)&amp;": "&amp;SUBSTITUTE(TRIM(ROUND(IFERROR(CriteriTecnici!$L1914*1,IFERROR(NUMBERVALUE(CriteriTecnici!$L1914,".",","),IFERROR(NUMBERVALUE(CriteriTecnici!$L1914,",","."),0))),4)&amp;""),",",".")&amp;", "&amp;CHAR(34)&amp;"flag"&amp;CHAR(34)&amp;": "&amp;SUBSTITUTE(TRIM(ROUND(IFERROR(CriteriTecnici!$M1914*1,IFERROR(NUMBERVALUE(CriteriTecnici!$M1914,".",","),IFERROR(NUMBERVALUE(CriteriTecnici!$M1914,",","."),0))),4)&amp;""),",",".")&amp;", "&amp;CHAR(34)&amp;"rawScore"&amp;CHAR(34)&amp;": "&amp;SUBSTITUTE(TRIM(ROUND(IFERROR(CriteriTecnici!$O1914*1,IFERROR(NUMBERVALUE(CriteriTecnici!$O1914,".",","),IFERROR(NUMBERVALUE(CriteriTecnici!$O1914,",","."),0))),4)&amp;""),",",".")&amp;CHAR(125)&amp;IF(TRUE,",",""))</f>
        <v/>
      </c>
    </row>
    <row r="2016">
      <c r="A2016" s="82">
        <f>IF(CriteriTecnici!$A1915="","","    "&amp;CHAR(123)&amp;CHAR(34)&amp;"bidderId"&amp;CHAR(34)&amp;": "&amp;CHAR(34)&amp;SUBSTITUTE(CriteriTecnici!$A1915,CHAR(34),"'")&amp;CHAR(34)&amp;", "&amp;CHAR(34)&amp;"lotId"&amp;CHAR(34)&amp;": "&amp;CHAR(34)&amp;SUBSTITUTE(CriteriTecnici!$C1915,CHAR(34),"'")&amp;CHAR(34)&amp;", "&amp;CHAR(34)&amp;"criterionId"&amp;CHAR(34)&amp;": "&amp;CHAR(34)&amp;SUBSTITUTE(CriteriTecnici!$D1915,CHAR(34),"'")&amp;CHAR(34)&amp;", "&amp;CHAR(34)&amp;"kind"&amp;CHAR(34)&amp;": "&amp;CHAR(34)&amp;SUBSTITUTE(CriteriTecnici!$F1915,CHAR(34),"'")&amp;CHAR(34)&amp;", "&amp;CHAR(34)&amp;"value"&amp;CHAR(34)&amp;": "&amp;SUBSTITUTE(TRIM(ROUND(IFERROR(CriteriTecnici!$N1915*1,IFERROR(NUMBERVALUE(CriteriTecnici!$N1915,".",","),IFERROR(NUMBERVALUE(CriteriTecnici!$N1915,",","."),0))),4)&amp;""),",",".")&amp;", "&amp;CHAR(34)&amp;"numerator"&amp;CHAR(34)&amp;": "&amp;SUBSTITUTE(TRIM(ROUND(IFERROR(CriteriTecnici!$K1915*1,IFERROR(NUMBERVALUE(CriteriTecnici!$K1915,".",","),IFERROR(NUMBERVALUE(CriteriTecnici!$K1915,",","."),0))),4)&amp;""),",",".")&amp;", "&amp;CHAR(34)&amp;"denominator"&amp;CHAR(34)&amp;": "&amp;SUBSTITUTE(TRIM(ROUND(IFERROR(CriteriTecnici!$L1915*1,IFERROR(NUMBERVALUE(CriteriTecnici!$L1915,".",","),IFERROR(NUMBERVALUE(CriteriTecnici!$L1915,",","."),0))),4)&amp;""),",",".")&amp;", "&amp;CHAR(34)&amp;"flag"&amp;CHAR(34)&amp;": "&amp;SUBSTITUTE(TRIM(ROUND(IFERROR(CriteriTecnici!$M1915*1,IFERROR(NUMBERVALUE(CriteriTecnici!$M1915,".",","),IFERROR(NUMBERVALUE(CriteriTecnici!$M1915,",","."),0))),4)&amp;""),",",".")&amp;", "&amp;CHAR(34)&amp;"rawScore"&amp;CHAR(34)&amp;": "&amp;SUBSTITUTE(TRIM(ROUND(IFERROR(CriteriTecnici!$O1915*1,IFERROR(NUMBERVALUE(CriteriTecnici!$O1915,".",","),IFERROR(NUMBERVALUE(CriteriTecnici!$O1915,",","."),0))),4)&amp;""),",",".")&amp;CHAR(125)&amp;IF(TRUE,",",""))</f>
        <v/>
      </c>
    </row>
    <row r="2017">
      <c r="A2017" s="82">
        <f>IF(CriteriTecnici!$A1916="","","    "&amp;CHAR(123)&amp;CHAR(34)&amp;"bidderId"&amp;CHAR(34)&amp;": "&amp;CHAR(34)&amp;SUBSTITUTE(CriteriTecnici!$A1916,CHAR(34),"'")&amp;CHAR(34)&amp;", "&amp;CHAR(34)&amp;"lotId"&amp;CHAR(34)&amp;": "&amp;CHAR(34)&amp;SUBSTITUTE(CriteriTecnici!$C1916,CHAR(34),"'")&amp;CHAR(34)&amp;", "&amp;CHAR(34)&amp;"criterionId"&amp;CHAR(34)&amp;": "&amp;CHAR(34)&amp;SUBSTITUTE(CriteriTecnici!$D1916,CHAR(34),"'")&amp;CHAR(34)&amp;", "&amp;CHAR(34)&amp;"kind"&amp;CHAR(34)&amp;": "&amp;CHAR(34)&amp;SUBSTITUTE(CriteriTecnici!$F1916,CHAR(34),"'")&amp;CHAR(34)&amp;", "&amp;CHAR(34)&amp;"value"&amp;CHAR(34)&amp;": "&amp;SUBSTITUTE(TRIM(ROUND(IFERROR(CriteriTecnici!$N1916*1,IFERROR(NUMBERVALUE(CriteriTecnici!$N1916,".",","),IFERROR(NUMBERVALUE(CriteriTecnici!$N1916,",","."),0))),4)&amp;""),",",".")&amp;", "&amp;CHAR(34)&amp;"numerator"&amp;CHAR(34)&amp;": "&amp;SUBSTITUTE(TRIM(ROUND(IFERROR(CriteriTecnici!$K1916*1,IFERROR(NUMBERVALUE(CriteriTecnici!$K1916,".",","),IFERROR(NUMBERVALUE(CriteriTecnici!$K1916,",","."),0))),4)&amp;""),",",".")&amp;", "&amp;CHAR(34)&amp;"denominator"&amp;CHAR(34)&amp;": "&amp;SUBSTITUTE(TRIM(ROUND(IFERROR(CriteriTecnici!$L1916*1,IFERROR(NUMBERVALUE(CriteriTecnici!$L1916,".",","),IFERROR(NUMBERVALUE(CriteriTecnici!$L1916,",","."),0))),4)&amp;""),",",".")&amp;", "&amp;CHAR(34)&amp;"flag"&amp;CHAR(34)&amp;": "&amp;SUBSTITUTE(TRIM(ROUND(IFERROR(CriteriTecnici!$M1916*1,IFERROR(NUMBERVALUE(CriteriTecnici!$M1916,".",","),IFERROR(NUMBERVALUE(CriteriTecnici!$M1916,",","."),0))),4)&amp;""),",",".")&amp;", "&amp;CHAR(34)&amp;"rawScore"&amp;CHAR(34)&amp;": "&amp;SUBSTITUTE(TRIM(ROUND(IFERROR(CriteriTecnici!$O1916*1,IFERROR(NUMBERVALUE(CriteriTecnici!$O1916,".",","),IFERROR(NUMBERVALUE(CriteriTecnici!$O1916,",","."),0))),4)&amp;""),",",".")&amp;CHAR(125)&amp;IF(TRUE,",",""))</f>
        <v/>
      </c>
    </row>
    <row r="2018">
      <c r="A2018" s="82">
        <f>IF(CriteriTecnici!$A1917="","","    "&amp;CHAR(123)&amp;CHAR(34)&amp;"bidderId"&amp;CHAR(34)&amp;": "&amp;CHAR(34)&amp;SUBSTITUTE(CriteriTecnici!$A1917,CHAR(34),"'")&amp;CHAR(34)&amp;", "&amp;CHAR(34)&amp;"lotId"&amp;CHAR(34)&amp;": "&amp;CHAR(34)&amp;SUBSTITUTE(CriteriTecnici!$C1917,CHAR(34),"'")&amp;CHAR(34)&amp;", "&amp;CHAR(34)&amp;"criterionId"&amp;CHAR(34)&amp;": "&amp;CHAR(34)&amp;SUBSTITUTE(CriteriTecnici!$D1917,CHAR(34),"'")&amp;CHAR(34)&amp;", "&amp;CHAR(34)&amp;"kind"&amp;CHAR(34)&amp;": "&amp;CHAR(34)&amp;SUBSTITUTE(CriteriTecnici!$F1917,CHAR(34),"'")&amp;CHAR(34)&amp;", "&amp;CHAR(34)&amp;"value"&amp;CHAR(34)&amp;": "&amp;SUBSTITUTE(TRIM(ROUND(IFERROR(CriteriTecnici!$N1917*1,IFERROR(NUMBERVALUE(CriteriTecnici!$N1917,".",","),IFERROR(NUMBERVALUE(CriteriTecnici!$N1917,",","."),0))),4)&amp;""),",",".")&amp;", "&amp;CHAR(34)&amp;"numerator"&amp;CHAR(34)&amp;": "&amp;SUBSTITUTE(TRIM(ROUND(IFERROR(CriteriTecnici!$K1917*1,IFERROR(NUMBERVALUE(CriteriTecnici!$K1917,".",","),IFERROR(NUMBERVALUE(CriteriTecnici!$K1917,",","."),0))),4)&amp;""),",",".")&amp;", "&amp;CHAR(34)&amp;"denominator"&amp;CHAR(34)&amp;": "&amp;SUBSTITUTE(TRIM(ROUND(IFERROR(CriteriTecnici!$L1917*1,IFERROR(NUMBERVALUE(CriteriTecnici!$L1917,".",","),IFERROR(NUMBERVALUE(CriteriTecnici!$L1917,",","."),0))),4)&amp;""),",",".")&amp;", "&amp;CHAR(34)&amp;"flag"&amp;CHAR(34)&amp;": "&amp;SUBSTITUTE(TRIM(ROUND(IFERROR(CriteriTecnici!$M1917*1,IFERROR(NUMBERVALUE(CriteriTecnici!$M1917,".",","),IFERROR(NUMBERVALUE(CriteriTecnici!$M1917,",","."),0))),4)&amp;""),",",".")&amp;", "&amp;CHAR(34)&amp;"rawScore"&amp;CHAR(34)&amp;": "&amp;SUBSTITUTE(TRIM(ROUND(IFERROR(CriteriTecnici!$O1917*1,IFERROR(NUMBERVALUE(CriteriTecnici!$O1917,".",","),IFERROR(NUMBERVALUE(CriteriTecnici!$O1917,",","."),0))),4)&amp;""),",",".")&amp;CHAR(125)&amp;IF(TRUE,",",""))</f>
        <v/>
      </c>
    </row>
    <row r="2019">
      <c r="A2019" s="82">
        <f>IF(CriteriTecnici!$A1918="","","    "&amp;CHAR(123)&amp;CHAR(34)&amp;"bidderId"&amp;CHAR(34)&amp;": "&amp;CHAR(34)&amp;SUBSTITUTE(CriteriTecnici!$A1918,CHAR(34),"'")&amp;CHAR(34)&amp;", "&amp;CHAR(34)&amp;"lotId"&amp;CHAR(34)&amp;": "&amp;CHAR(34)&amp;SUBSTITUTE(CriteriTecnici!$C1918,CHAR(34),"'")&amp;CHAR(34)&amp;", "&amp;CHAR(34)&amp;"criterionId"&amp;CHAR(34)&amp;": "&amp;CHAR(34)&amp;SUBSTITUTE(CriteriTecnici!$D1918,CHAR(34),"'")&amp;CHAR(34)&amp;", "&amp;CHAR(34)&amp;"kind"&amp;CHAR(34)&amp;": "&amp;CHAR(34)&amp;SUBSTITUTE(CriteriTecnici!$F1918,CHAR(34),"'")&amp;CHAR(34)&amp;", "&amp;CHAR(34)&amp;"value"&amp;CHAR(34)&amp;": "&amp;SUBSTITUTE(TRIM(ROUND(IFERROR(CriteriTecnici!$N1918*1,IFERROR(NUMBERVALUE(CriteriTecnici!$N1918,".",","),IFERROR(NUMBERVALUE(CriteriTecnici!$N1918,",","."),0))),4)&amp;""),",",".")&amp;", "&amp;CHAR(34)&amp;"numerator"&amp;CHAR(34)&amp;": "&amp;SUBSTITUTE(TRIM(ROUND(IFERROR(CriteriTecnici!$K1918*1,IFERROR(NUMBERVALUE(CriteriTecnici!$K1918,".",","),IFERROR(NUMBERVALUE(CriteriTecnici!$K1918,",","."),0))),4)&amp;""),",",".")&amp;", "&amp;CHAR(34)&amp;"denominator"&amp;CHAR(34)&amp;": "&amp;SUBSTITUTE(TRIM(ROUND(IFERROR(CriteriTecnici!$L1918*1,IFERROR(NUMBERVALUE(CriteriTecnici!$L1918,".",","),IFERROR(NUMBERVALUE(CriteriTecnici!$L1918,",","."),0))),4)&amp;""),",",".")&amp;", "&amp;CHAR(34)&amp;"flag"&amp;CHAR(34)&amp;": "&amp;SUBSTITUTE(TRIM(ROUND(IFERROR(CriteriTecnici!$M1918*1,IFERROR(NUMBERVALUE(CriteriTecnici!$M1918,".",","),IFERROR(NUMBERVALUE(CriteriTecnici!$M1918,",","."),0))),4)&amp;""),",",".")&amp;", "&amp;CHAR(34)&amp;"rawScore"&amp;CHAR(34)&amp;": "&amp;SUBSTITUTE(TRIM(ROUND(IFERROR(CriteriTecnici!$O1918*1,IFERROR(NUMBERVALUE(CriteriTecnici!$O1918,".",","),IFERROR(NUMBERVALUE(CriteriTecnici!$O1918,",","."),0))),4)&amp;""),",",".")&amp;CHAR(125)&amp;IF(TRUE,",",""))</f>
        <v/>
      </c>
    </row>
    <row r="2020">
      <c r="A2020" s="82">
        <f>IF(CriteriTecnici!$A1919="","","    "&amp;CHAR(123)&amp;CHAR(34)&amp;"bidderId"&amp;CHAR(34)&amp;": "&amp;CHAR(34)&amp;SUBSTITUTE(CriteriTecnici!$A1919,CHAR(34),"'")&amp;CHAR(34)&amp;", "&amp;CHAR(34)&amp;"lotId"&amp;CHAR(34)&amp;": "&amp;CHAR(34)&amp;SUBSTITUTE(CriteriTecnici!$C1919,CHAR(34),"'")&amp;CHAR(34)&amp;", "&amp;CHAR(34)&amp;"criterionId"&amp;CHAR(34)&amp;": "&amp;CHAR(34)&amp;SUBSTITUTE(CriteriTecnici!$D1919,CHAR(34),"'")&amp;CHAR(34)&amp;", "&amp;CHAR(34)&amp;"kind"&amp;CHAR(34)&amp;": "&amp;CHAR(34)&amp;SUBSTITUTE(CriteriTecnici!$F1919,CHAR(34),"'")&amp;CHAR(34)&amp;", "&amp;CHAR(34)&amp;"value"&amp;CHAR(34)&amp;": "&amp;SUBSTITUTE(TRIM(ROUND(IFERROR(CriteriTecnici!$N1919*1,IFERROR(NUMBERVALUE(CriteriTecnici!$N1919,".",","),IFERROR(NUMBERVALUE(CriteriTecnici!$N1919,",","."),0))),4)&amp;""),",",".")&amp;", "&amp;CHAR(34)&amp;"numerator"&amp;CHAR(34)&amp;": "&amp;SUBSTITUTE(TRIM(ROUND(IFERROR(CriteriTecnici!$K1919*1,IFERROR(NUMBERVALUE(CriteriTecnici!$K1919,".",","),IFERROR(NUMBERVALUE(CriteriTecnici!$K1919,",","."),0))),4)&amp;""),",",".")&amp;", "&amp;CHAR(34)&amp;"denominator"&amp;CHAR(34)&amp;": "&amp;SUBSTITUTE(TRIM(ROUND(IFERROR(CriteriTecnici!$L1919*1,IFERROR(NUMBERVALUE(CriteriTecnici!$L1919,".",","),IFERROR(NUMBERVALUE(CriteriTecnici!$L1919,",","."),0))),4)&amp;""),",",".")&amp;", "&amp;CHAR(34)&amp;"flag"&amp;CHAR(34)&amp;": "&amp;SUBSTITUTE(TRIM(ROUND(IFERROR(CriteriTecnici!$M1919*1,IFERROR(NUMBERVALUE(CriteriTecnici!$M1919,".",","),IFERROR(NUMBERVALUE(CriteriTecnici!$M1919,",","."),0))),4)&amp;""),",",".")&amp;", "&amp;CHAR(34)&amp;"rawScore"&amp;CHAR(34)&amp;": "&amp;SUBSTITUTE(TRIM(ROUND(IFERROR(CriteriTecnici!$O1919*1,IFERROR(NUMBERVALUE(CriteriTecnici!$O1919,".",","),IFERROR(NUMBERVALUE(CriteriTecnici!$O1919,",","."),0))),4)&amp;""),",",".")&amp;CHAR(125)&amp;IF(TRUE,",",""))</f>
        <v/>
      </c>
    </row>
    <row r="2021">
      <c r="A2021" s="82">
        <f>IF(CriteriTecnici!$A1920="","","    "&amp;CHAR(123)&amp;CHAR(34)&amp;"bidderId"&amp;CHAR(34)&amp;": "&amp;CHAR(34)&amp;SUBSTITUTE(CriteriTecnici!$A1920,CHAR(34),"'")&amp;CHAR(34)&amp;", "&amp;CHAR(34)&amp;"lotId"&amp;CHAR(34)&amp;": "&amp;CHAR(34)&amp;SUBSTITUTE(CriteriTecnici!$C1920,CHAR(34),"'")&amp;CHAR(34)&amp;", "&amp;CHAR(34)&amp;"criterionId"&amp;CHAR(34)&amp;": "&amp;CHAR(34)&amp;SUBSTITUTE(CriteriTecnici!$D1920,CHAR(34),"'")&amp;CHAR(34)&amp;", "&amp;CHAR(34)&amp;"kind"&amp;CHAR(34)&amp;": "&amp;CHAR(34)&amp;SUBSTITUTE(CriteriTecnici!$F1920,CHAR(34),"'")&amp;CHAR(34)&amp;", "&amp;CHAR(34)&amp;"value"&amp;CHAR(34)&amp;": "&amp;SUBSTITUTE(TRIM(ROUND(IFERROR(CriteriTecnici!$N1920*1,IFERROR(NUMBERVALUE(CriteriTecnici!$N1920,".",","),IFERROR(NUMBERVALUE(CriteriTecnici!$N1920,",","."),0))),4)&amp;""),",",".")&amp;", "&amp;CHAR(34)&amp;"numerator"&amp;CHAR(34)&amp;": "&amp;SUBSTITUTE(TRIM(ROUND(IFERROR(CriteriTecnici!$K1920*1,IFERROR(NUMBERVALUE(CriteriTecnici!$K1920,".",","),IFERROR(NUMBERVALUE(CriteriTecnici!$K1920,",","."),0))),4)&amp;""),",",".")&amp;", "&amp;CHAR(34)&amp;"denominator"&amp;CHAR(34)&amp;": "&amp;SUBSTITUTE(TRIM(ROUND(IFERROR(CriteriTecnici!$L1920*1,IFERROR(NUMBERVALUE(CriteriTecnici!$L1920,".",","),IFERROR(NUMBERVALUE(CriteriTecnici!$L1920,",","."),0))),4)&amp;""),",",".")&amp;", "&amp;CHAR(34)&amp;"flag"&amp;CHAR(34)&amp;": "&amp;SUBSTITUTE(TRIM(ROUND(IFERROR(CriteriTecnici!$M1920*1,IFERROR(NUMBERVALUE(CriteriTecnici!$M1920,".",","),IFERROR(NUMBERVALUE(CriteriTecnici!$M1920,",","."),0))),4)&amp;""),",",".")&amp;", "&amp;CHAR(34)&amp;"rawScore"&amp;CHAR(34)&amp;": "&amp;SUBSTITUTE(TRIM(ROUND(IFERROR(CriteriTecnici!$O1920*1,IFERROR(NUMBERVALUE(CriteriTecnici!$O1920,".",","),IFERROR(NUMBERVALUE(CriteriTecnici!$O1920,",","."),0))),4)&amp;""),",",".")&amp;CHAR(125)&amp;IF(TRUE,",",""))</f>
        <v/>
      </c>
    </row>
    <row r="2022">
      <c r="A2022" s="82">
        <f>IF(CriteriTecnici!$A1921="","","    "&amp;CHAR(123)&amp;CHAR(34)&amp;"bidderId"&amp;CHAR(34)&amp;": "&amp;CHAR(34)&amp;SUBSTITUTE(CriteriTecnici!$A1921,CHAR(34),"'")&amp;CHAR(34)&amp;", "&amp;CHAR(34)&amp;"lotId"&amp;CHAR(34)&amp;": "&amp;CHAR(34)&amp;SUBSTITUTE(CriteriTecnici!$C1921,CHAR(34),"'")&amp;CHAR(34)&amp;", "&amp;CHAR(34)&amp;"criterionId"&amp;CHAR(34)&amp;": "&amp;CHAR(34)&amp;SUBSTITUTE(CriteriTecnici!$D1921,CHAR(34),"'")&amp;CHAR(34)&amp;", "&amp;CHAR(34)&amp;"kind"&amp;CHAR(34)&amp;": "&amp;CHAR(34)&amp;SUBSTITUTE(CriteriTecnici!$F1921,CHAR(34),"'")&amp;CHAR(34)&amp;", "&amp;CHAR(34)&amp;"value"&amp;CHAR(34)&amp;": "&amp;SUBSTITUTE(TRIM(ROUND(IFERROR(CriteriTecnici!$N1921*1,IFERROR(NUMBERVALUE(CriteriTecnici!$N1921,".",","),IFERROR(NUMBERVALUE(CriteriTecnici!$N1921,",","."),0))),4)&amp;""),",",".")&amp;", "&amp;CHAR(34)&amp;"numerator"&amp;CHAR(34)&amp;": "&amp;SUBSTITUTE(TRIM(ROUND(IFERROR(CriteriTecnici!$K1921*1,IFERROR(NUMBERVALUE(CriteriTecnici!$K1921,".",","),IFERROR(NUMBERVALUE(CriteriTecnici!$K1921,",","."),0))),4)&amp;""),",",".")&amp;", "&amp;CHAR(34)&amp;"denominator"&amp;CHAR(34)&amp;": "&amp;SUBSTITUTE(TRIM(ROUND(IFERROR(CriteriTecnici!$L1921*1,IFERROR(NUMBERVALUE(CriteriTecnici!$L1921,".",","),IFERROR(NUMBERVALUE(CriteriTecnici!$L1921,",","."),0))),4)&amp;""),",",".")&amp;", "&amp;CHAR(34)&amp;"flag"&amp;CHAR(34)&amp;": "&amp;SUBSTITUTE(TRIM(ROUND(IFERROR(CriteriTecnici!$M1921*1,IFERROR(NUMBERVALUE(CriteriTecnici!$M1921,".",","),IFERROR(NUMBERVALUE(CriteriTecnici!$M1921,",","."),0))),4)&amp;""),",",".")&amp;", "&amp;CHAR(34)&amp;"rawScore"&amp;CHAR(34)&amp;": "&amp;SUBSTITUTE(TRIM(ROUND(IFERROR(CriteriTecnici!$O1921*1,IFERROR(NUMBERVALUE(CriteriTecnici!$O1921,".",","),IFERROR(NUMBERVALUE(CriteriTecnici!$O1921,",","."),0))),4)&amp;""),",",".")&amp;CHAR(125)&amp;IF(TRUE,",",""))</f>
        <v/>
      </c>
    </row>
    <row r="2023">
      <c r="A2023" s="82">
        <f>IF(CriteriTecnici!$A1922="","","    "&amp;CHAR(123)&amp;CHAR(34)&amp;"bidderId"&amp;CHAR(34)&amp;": "&amp;CHAR(34)&amp;SUBSTITUTE(CriteriTecnici!$A1922,CHAR(34),"'")&amp;CHAR(34)&amp;", "&amp;CHAR(34)&amp;"lotId"&amp;CHAR(34)&amp;": "&amp;CHAR(34)&amp;SUBSTITUTE(CriteriTecnici!$C1922,CHAR(34),"'")&amp;CHAR(34)&amp;", "&amp;CHAR(34)&amp;"criterionId"&amp;CHAR(34)&amp;": "&amp;CHAR(34)&amp;SUBSTITUTE(CriteriTecnici!$D1922,CHAR(34),"'")&amp;CHAR(34)&amp;", "&amp;CHAR(34)&amp;"kind"&amp;CHAR(34)&amp;": "&amp;CHAR(34)&amp;SUBSTITUTE(CriteriTecnici!$F1922,CHAR(34),"'")&amp;CHAR(34)&amp;", "&amp;CHAR(34)&amp;"value"&amp;CHAR(34)&amp;": "&amp;SUBSTITUTE(TRIM(ROUND(IFERROR(CriteriTecnici!$N1922*1,IFERROR(NUMBERVALUE(CriteriTecnici!$N1922,".",","),IFERROR(NUMBERVALUE(CriteriTecnici!$N1922,",","."),0))),4)&amp;""),",",".")&amp;", "&amp;CHAR(34)&amp;"numerator"&amp;CHAR(34)&amp;": "&amp;SUBSTITUTE(TRIM(ROUND(IFERROR(CriteriTecnici!$K1922*1,IFERROR(NUMBERVALUE(CriteriTecnici!$K1922,".",","),IFERROR(NUMBERVALUE(CriteriTecnici!$K1922,",","."),0))),4)&amp;""),",",".")&amp;", "&amp;CHAR(34)&amp;"denominator"&amp;CHAR(34)&amp;": "&amp;SUBSTITUTE(TRIM(ROUND(IFERROR(CriteriTecnici!$L1922*1,IFERROR(NUMBERVALUE(CriteriTecnici!$L1922,".",","),IFERROR(NUMBERVALUE(CriteriTecnici!$L1922,",","."),0))),4)&amp;""),",",".")&amp;", "&amp;CHAR(34)&amp;"flag"&amp;CHAR(34)&amp;": "&amp;SUBSTITUTE(TRIM(ROUND(IFERROR(CriteriTecnici!$M1922*1,IFERROR(NUMBERVALUE(CriteriTecnici!$M1922,".",","),IFERROR(NUMBERVALUE(CriteriTecnici!$M1922,",","."),0))),4)&amp;""),",",".")&amp;", "&amp;CHAR(34)&amp;"rawScore"&amp;CHAR(34)&amp;": "&amp;SUBSTITUTE(TRIM(ROUND(IFERROR(CriteriTecnici!$O1922*1,IFERROR(NUMBERVALUE(CriteriTecnici!$O1922,".",","),IFERROR(NUMBERVALUE(CriteriTecnici!$O1922,",","."),0))),4)&amp;""),",",".")&amp;CHAR(125)&amp;IF(TRUE,",",""))</f>
        <v/>
      </c>
    </row>
    <row r="2024">
      <c r="A2024" s="82">
        <f>IF(CriteriTecnici!$A1923="","","    "&amp;CHAR(123)&amp;CHAR(34)&amp;"bidderId"&amp;CHAR(34)&amp;": "&amp;CHAR(34)&amp;SUBSTITUTE(CriteriTecnici!$A1923,CHAR(34),"'")&amp;CHAR(34)&amp;", "&amp;CHAR(34)&amp;"lotId"&amp;CHAR(34)&amp;": "&amp;CHAR(34)&amp;SUBSTITUTE(CriteriTecnici!$C1923,CHAR(34),"'")&amp;CHAR(34)&amp;", "&amp;CHAR(34)&amp;"criterionId"&amp;CHAR(34)&amp;": "&amp;CHAR(34)&amp;SUBSTITUTE(CriteriTecnici!$D1923,CHAR(34),"'")&amp;CHAR(34)&amp;", "&amp;CHAR(34)&amp;"kind"&amp;CHAR(34)&amp;": "&amp;CHAR(34)&amp;SUBSTITUTE(CriteriTecnici!$F1923,CHAR(34),"'")&amp;CHAR(34)&amp;", "&amp;CHAR(34)&amp;"value"&amp;CHAR(34)&amp;": "&amp;SUBSTITUTE(TRIM(ROUND(IFERROR(CriteriTecnici!$N1923*1,IFERROR(NUMBERVALUE(CriteriTecnici!$N1923,".",","),IFERROR(NUMBERVALUE(CriteriTecnici!$N1923,",","."),0))),4)&amp;""),",",".")&amp;", "&amp;CHAR(34)&amp;"numerator"&amp;CHAR(34)&amp;": "&amp;SUBSTITUTE(TRIM(ROUND(IFERROR(CriteriTecnici!$K1923*1,IFERROR(NUMBERVALUE(CriteriTecnici!$K1923,".",","),IFERROR(NUMBERVALUE(CriteriTecnici!$K1923,",","."),0))),4)&amp;""),",",".")&amp;", "&amp;CHAR(34)&amp;"denominator"&amp;CHAR(34)&amp;": "&amp;SUBSTITUTE(TRIM(ROUND(IFERROR(CriteriTecnici!$L1923*1,IFERROR(NUMBERVALUE(CriteriTecnici!$L1923,".",","),IFERROR(NUMBERVALUE(CriteriTecnici!$L1923,",","."),0))),4)&amp;""),",",".")&amp;", "&amp;CHAR(34)&amp;"flag"&amp;CHAR(34)&amp;": "&amp;SUBSTITUTE(TRIM(ROUND(IFERROR(CriteriTecnici!$M1923*1,IFERROR(NUMBERVALUE(CriteriTecnici!$M1923,".",","),IFERROR(NUMBERVALUE(CriteriTecnici!$M1923,",","."),0))),4)&amp;""),",",".")&amp;", "&amp;CHAR(34)&amp;"rawScore"&amp;CHAR(34)&amp;": "&amp;SUBSTITUTE(TRIM(ROUND(IFERROR(CriteriTecnici!$O1923*1,IFERROR(NUMBERVALUE(CriteriTecnici!$O1923,".",","),IFERROR(NUMBERVALUE(CriteriTecnici!$O1923,",","."),0))),4)&amp;""),",",".")&amp;CHAR(125)&amp;IF(TRUE,",",""))</f>
        <v/>
      </c>
    </row>
    <row r="2025">
      <c r="A2025" s="82">
        <f>IF(CriteriTecnici!$A1924="","","    "&amp;CHAR(123)&amp;CHAR(34)&amp;"bidderId"&amp;CHAR(34)&amp;": "&amp;CHAR(34)&amp;SUBSTITUTE(CriteriTecnici!$A1924,CHAR(34),"'")&amp;CHAR(34)&amp;", "&amp;CHAR(34)&amp;"lotId"&amp;CHAR(34)&amp;": "&amp;CHAR(34)&amp;SUBSTITUTE(CriteriTecnici!$C1924,CHAR(34),"'")&amp;CHAR(34)&amp;", "&amp;CHAR(34)&amp;"criterionId"&amp;CHAR(34)&amp;": "&amp;CHAR(34)&amp;SUBSTITUTE(CriteriTecnici!$D1924,CHAR(34),"'")&amp;CHAR(34)&amp;", "&amp;CHAR(34)&amp;"kind"&amp;CHAR(34)&amp;": "&amp;CHAR(34)&amp;SUBSTITUTE(CriteriTecnici!$F1924,CHAR(34),"'")&amp;CHAR(34)&amp;", "&amp;CHAR(34)&amp;"value"&amp;CHAR(34)&amp;": "&amp;SUBSTITUTE(TRIM(ROUND(IFERROR(CriteriTecnici!$N1924*1,IFERROR(NUMBERVALUE(CriteriTecnici!$N1924,".",","),IFERROR(NUMBERVALUE(CriteriTecnici!$N1924,",","."),0))),4)&amp;""),",",".")&amp;", "&amp;CHAR(34)&amp;"numerator"&amp;CHAR(34)&amp;": "&amp;SUBSTITUTE(TRIM(ROUND(IFERROR(CriteriTecnici!$K1924*1,IFERROR(NUMBERVALUE(CriteriTecnici!$K1924,".",","),IFERROR(NUMBERVALUE(CriteriTecnici!$K1924,",","."),0))),4)&amp;""),",",".")&amp;", "&amp;CHAR(34)&amp;"denominator"&amp;CHAR(34)&amp;": "&amp;SUBSTITUTE(TRIM(ROUND(IFERROR(CriteriTecnici!$L1924*1,IFERROR(NUMBERVALUE(CriteriTecnici!$L1924,".",","),IFERROR(NUMBERVALUE(CriteriTecnici!$L1924,",","."),0))),4)&amp;""),",",".")&amp;", "&amp;CHAR(34)&amp;"flag"&amp;CHAR(34)&amp;": "&amp;SUBSTITUTE(TRIM(ROUND(IFERROR(CriteriTecnici!$M1924*1,IFERROR(NUMBERVALUE(CriteriTecnici!$M1924,".",","),IFERROR(NUMBERVALUE(CriteriTecnici!$M1924,",","."),0))),4)&amp;""),",",".")&amp;", "&amp;CHAR(34)&amp;"rawScore"&amp;CHAR(34)&amp;": "&amp;SUBSTITUTE(TRIM(ROUND(IFERROR(CriteriTecnici!$O1924*1,IFERROR(NUMBERVALUE(CriteriTecnici!$O1924,".",","),IFERROR(NUMBERVALUE(CriteriTecnici!$O1924,",","."),0))),4)&amp;""),",",".")&amp;CHAR(125)&amp;IF(TRUE,",",""))</f>
        <v/>
      </c>
    </row>
    <row r="2026">
      <c r="A2026" s="82">
        <f>IF(CriteriTecnici!$A1925="","","    "&amp;CHAR(123)&amp;CHAR(34)&amp;"bidderId"&amp;CHAR(34)&amp;": "&amp;CHAR(34)&amp;SUBSTITUTE(CriteriTecnici!$A1925,CHAR(34),"'")&amp;CHAR(34)&amp;", "&amp;CHAR(34)&amp;"lotId"&amp;CHAR(34)&amp;": "&amp;CHAR(34)&amp;SUBSTITUTE(CriteriTecnici!$C1925,CHAR(34),"'")&amp;CHAR(34)&amp;", "&amp;CHAR(34)&amp;"criterionId"&amp;CHAR(34)&amp;": "&amp;CHAR(34)&amp;SUBSTITUTE(CriteriTecnici!$D1925,CHAR(34),"'")&amp;CHAR(34)&amp;", "&amp;CHAR(34)&amp;"kind"&amp;CHAR(34)&amp;": "&amp;CHAR(34)&amp;SUBSTITUTE(CriteriTecnici!$F1925,CHAR(34),"'")&amp;CHAR(34)&amp;", "&amp;CHAR(34)&amp;"value"&amp;CHAR(34)&amp;": "&amp;SUBSTITUTE(TRIM(ROUND(IFERROR(CriteriTecnici!$N1925*1,IFERROR(NUMBERVALUE(CriteriTecnici!$N1925,".",","),IFERROR(NUMBERVALUE(CriteriTecnici!$N1925,",","."),0))),4)&amp;""),",",".")&amp;", "&amp;CHAR(34)&amp;"numerator"&amp;CHAR(34)&amp;": "&amp;SUBSTITUTE(TRIM(ROUND(IFERROR(CriteriTecnici!$K1925*1,IFERROR(NUMBERVALUE(CriteriTecnici!$K1925,".",","),IFERROR(NUMBERVALUE(CriteriTecnici!$K1925,",","."),0))),4)&amp;""),",",".")&amp;", "&amp;CHAR(34)&amp;"denominator"&amp;CHAR(34)&amp;": "&amp;SUBSTITUTE(TRIM(ROUND(IFERROR(CriteriTecnici!$L1925*1,IFERROR(NUMBERVALUE(CriteriTecnici!$L1925,".",","),IFERROR(NUMBERVALUE(CriteriTecnici!$L1925,",","."),0))),4)&amp;""),",",".")&amp;", "&amp;CHAR(34)&amp;"flag"&amp;CHAR(34)&amp;": "&amp;SUBSTITUTE(TRIM(ROUND(IFERROR(CriteriTecnici!$M1925*1,IFERROR(NUMBERVALUE(CriteriTecnici!$M1925,".",","),IFERROR(NUMBERVALUE(CriteriTecnici!$M1925,",","."),0))),4)&amp;""),",",".")&amp;", "&amp;CHAR(34)&amp;"rawScore"&amp;CHAR(34)&amp;": "&amp;SUBSTITUTE(TRIM(ROUND(IFERROR(CriteriTecnici!$O1925*1,IFERROR(NUMBERVALUE(CriteriTecnici!$O1925,".",","),IFERROR(NUMBERVALUE(CriteriTecnici!$O1925,",","."),0))),4)&amp;""),",",".")&amp;CHAR(125)&amp;IF(TRUE,",",""))</f>
        <v/>
      </c>
    </row>
    <row r="2027">
      <c r="A2027" s="82">
        <f>IF(CriteriTecnici!$A1926="","","    "&amp;CHAR(123)&amp;CHAR(34)&amp;"bidderId"&amp;CHAR(34)&amp;": "&amp;CHAR(34)&amp;SUBSTITUTE(CriteriTecnici!$A1926,CHAR(34),"'")&amp;CHAR(34)&amp;", "&amp;CHAR(34)&amp;"lotId"&amp;CHAR(34)&amp;": "&amp;CHAR(34)&amp;SUBSTITUTE(CriteriTecnici!$C1926,CHAR(34),"'")&amp;CHAR(34)&amp;", "&amp;CHAR(34)&amp;"criterionId"&amp;CHAR(34)&amp;": "&amp;CHAR(34)&amp;SUBSTITUTE(CriteriTecnici!$D1926,CHAR(34),"'")&amp;CHAR(34)&amp;", "&amp;CHAR(34)&amp;"kind"&amp;CHAR(34)&amp;": "&amp;CHAR(34)&amp;SUBSTITUTE(CriteriTecnici!$F1926,CHAR(34),"'")&amp;CHAR(34)&amp;", "&amp;CHAR(34)&amp;"value"&amp;CHAR(34)&amp;": "&amp;SUBSTITUTE(TRIM(ROUND(IFERROR(CriteriTecnici!$N1926*1,IFERROR(NUMBERVALUE(CriteriTecnici!$N1926,".",","),IFERROR(NUMBERVALUE(CriteriTecnici!$N1926,",","."),0))),4)&amp;""),",",".")&amp;", "&amp;CHAR(34)&amp;"numerator"&amp;CHAR(34)&amp;": "&amp;SUBSTITUTE(TRIM(ROUND(IFERROR(CriteriTecnici!$K1926*1,IFERROR(NUMBERVALUE(CriteriTecnici!$K1926,".",","),IFERROR(NUMBERVALUE(CriteriTecnici!$K1926,",","."),0))),4)&amp;""),",",".")&amp;", "&amp;CHAR(34)&amp;"denominator"&amp;CHAR(34)&amp;": "&amp;SUBSTITUTE(TRIM(ROUND(IFERROR(CriteriTecnici!$L1926*1,IFERROR(NUMBERVALUE(CriteriTecnici!$L1926,".",","),IFERROR(NUMBERVALUE(CriteriTecnici!$L1926,",","."),0))),4)&amp;""),",",".")&amp;", "&amp;CHAR(34)&amp;"flag"&amp;CHAR(34)&amp;": "&amp;SUBSTITUTE(TRIM(ROUND(IFERROR(CriteriTecnici!$M1926*1,IFERROR(NUMBERVALUE(CriteriTecnici!$M1926,".",","),IFERROR(NUMBERVALUE(CriteriTecnici!$M1926,",","."),0))),4)&amp;""),",",".")&amp;", "&amp;CHAR(34)&amp;"rawScore"&amp;CHAR(34)&amp;": "&amp;SUBSTITUTE(TRIM(ROUND(IFERROR(CriteriTecnici!$O1926*1,IFERROR(NUMBERVALUE(CriteriTecnici!$O1926,".",","),IFERROR(NUMBERVALUE(CriteriTecnici!$O1926,",","."),0))),4)&amp;""),",",".")&amp;CHAR(125)&amp;IF(COUNTA(Offerte!$A64:$A$81)&gt;0,",",""))</f>
        <v/>
      </c>
    </row>
    <row r="2028">
      <c r="A2028" s="82">
        <f>IF(CriteriTecnici!$A1927="","","    "&amp;CHAR(123)&amp;CHAR(34)&amp;"bidderId"&amp;CHAR(34)&amp;": "&amp;CHAR(34)&amp;SUBSTITUTE(CriteriTecnici!$A1927,CHAR(34),"'")&amp;CHAR(34)&amp;", "&amp;CHAR(34)&amp;"lotId"&amp;CHAR(34)&amp;": "&amp;CHAR(34)&amp;SUBSTITUTE(CriteriTecnici!$C1927,CHAR(34),"'")&amp;CHAR(34)&amp;", "&amp;CHAR(34)&amp;"criterionId"&amp;CHAR(34)&amp;": "&amp;CHAR(34)&amp;SUBSTITUTE(CriteriTecnici!$D1927,CHAR(34),"'")&amp;CHAR(34)&amp;", "&amp;CHAR(34)&amp;"kind"&amp;CHAR(34)&amp;": "&amp;CHAR(34)&amp;SUBSTITUTE(CriteriTecnici!$F1927,CHAR(34),"'")&amp;CHAR(34)&amp;", "&amp;CHAR(34)&amp;"value"&amp;CHAR(34)&amp;": "&amp;SUBSTITUTE(TRIM(ROUND(IFERROR(CriteriTecnici!$N1927*1,IFERROR(NUMBERVALUE(CriteriTecnici!$N1927,".",","),IFERROR(NUMBERVALUE(CriteriTecnici!$N1927,",","."),0))),4)&amp;""),",",".")&amp;", "&amp;CHAR(34)&amp;"numerator"&amp;CHAR(34)&amp;": "&amp;SUBSTITUTE(TRIM(ROUND(IFERROR(CriteriTecnici!$K1927*1,IFERROR(NUMBERVALUE(CriteriTecnici!$K1927,".",","),IFERROR(NUMBERVALUE(CriteriTecnici!$K1927,",","."),0))),4)&amp;""),",",".")&amp;", "&amp;CHAR(34)&amp;"denominator"&amp;CHAR(34)&amp;": "&amp;SUBSTITUTE(TRIM(ROUND(IFERROR(CriteriTecnici!$L1927*1,IFERROR(NUMBERVALUE(CriteriTecnici!$L1927,".",","),IFERROR(NUMBERVALUE(CriteriTecnici!$L1927,",","."),0))),4)&amp;""),",",".")&amp;", "&amp;CHAR(34)&amp;"flag"&amp;CHAR(34)&amp;": "&amp;SUBSTITUTE(TRIM(ROUND(IFERROR(CriteriTecnici!$M1927*1,IFERROR(NUMBERVALUE(CriteriTecnici!$M1927,".",","),IFERROR(NUMBERVALUE(CriteriTecnici!$M1927,",","."),0))),4)&amp;""),",",".")&amp;", "&amp;CHAR(34)&amp;"rawScore"&amp;CHAR(34)&amp;": "&amp;SUBSTITUTE(TRIM(ROUND(IFERROR(CriteriTecnici!$O1927*1,IFERROR(NUMBERVALUE(CriteriTecnici!$O1927,".",","),IFERROR(NUMBERVALUE(CriteriTecnici!$O1927,",","."),0))),4)&amp;""),",",".")&amp;CHAR(125)&amp;IF(TRUE,",",""))</f>
        <v/>
      </c>
    </row>
    <row r="2029">
      <c r="A2029" s="82">
        <f>IF(CriteriTecnici!$A1928="","","    "&amp;CHAR(123)&amp;CHAR(34)&amp;"bidderId"&amp;CHAR(34)&amp;": "&amp;CHAR(34)&amp;SUBSTITUTE(CriteriTecnici!$A1928,CHAR(34),"'")&amp;CHAR(34)&amp;", "&amp;CHAR(34)&amp;"lotId"&amp;CHAR(34)&amp;": "&amp;CHAR(34)&amp;SUBSTITUTE(CriteriTecnici!$C1928,CHAR(34),"'")&amp;CHAR(34)&amp;", "&amp;CHAR(34)&amp;"criterionId"&amp;CHAR(34)&amp;": "&amp;CHAR(34)&amp;SUBSTITUTE(CriteriTecnici!$D1928,CHAR(34),"'")&amp;CHAR(34)&amp;", "&amp;CHAR(34)&amp;"kind"&amp;CHAR(34)&amp;": "&amp;CHAR(34)&amp;SUBSTITUTE(CriteriTecnici!$F1928,CHAR(34),"'")&amp;CHAR(34)&amp;", "&amp;CHAR(34)&amp;"value"&amp;CHAR(34)&amp;": "&amp;SUBSTITUTE(TRIM(ROUND(IFERROR(CriteriTecnici!$N1928*1,IFERROR(NUMBERVALUE(CriteriTecnici!$N1928,".",","),IFERROR(NUMBERVALUE(CriteriTecnici!$N1928,",","."),0))),4)&amp;""),",",".")&amp;", "&amp;CHAR(34)&amp;"numerator"&amp;CHAR(34)&amp;": "&amp;SUBSTITUTE(TRIM(ROUND(IFERROR(CriteriTecnici!$K1928*1,IFERROR(NUMBERVALUE(CriteriTecnici!$K1928,".",","),IFERROR(NUMBERVALUE(CriteriTecnici!$K1928,",","."),0))),4)&amp;""),",",".")&amp;", "&amp;CHAR(34)&amp;"denominator"&amp;CHAR(34)&amp;": "&amp;SUBSTITUTE(TRIM(ROUND(IFERROR(CriteriTecnici!$L1928*1,IFERROR(NUMBERVALUE(CriteriTecnici!$L1928,".",","),IFERROR(NUMBERVALUE(CriteriTecnici!$L1928,",","."),0))),4)&amp;""),",",".")&amp;", "&amp;CHAR(34)&amp;"flag"&amp;CHAR(34)&amp;": "&amp;SUBSTITUTE(TRIM(ROUND(IFERROR(CriteriTecnici!$M1928*1,IFERROR(NUMBERVALUE(CriteriTecnici!$M1928,".",","),IFERROR(NUMBERVALUE(CriteriTecnici!$M1928,",","."),0))),4)&amp;""),",",".")&amp;", "&amp;CHAR(34)&amp;"rawScore"&amp;CHAR(34)&amp;": "&amp;SUBSTITUTE(TRIM(ROUND(IFERROR(CriteriTecnici!$O1928*1,IFERROR(NUMBERVALUE(CriteriTecnici!$O1928,".",","),IFERROR(NUMBERVALUE(CriteriTecnici!$O1928,",","."),0))),4)&amp;""),",",".")&amp;CHAR(125)&amp;IF(TRUE,",",""))</f>
        <v/>
      </c>
    </row>
    <row r="2030">
      <c r="A2030" s="82">
        <f>IF(CriteriTecnici!$A1929="","","    "&amp;CHAR(123)&amp;CHAR(34)&amp;"bidderId"&amp;CHAR(34)&amp;": "&amp;CHAR(34)&amp;SUBSTITUTE(CriteriTecnici!$A1929,CHAR(34),"'")&amp;CHAR(34)&amp;", "&amp;CHAR(34)&amp;"lotId"&amp;CHAR(34)&amp;": "&amp;CHAR(34)&amp;SUBSTITUTE(CriteriTecnici!$C1929,CHAR(34),"'")&amp;CHAR(34)&amp;", "&amp;CHAR(34)&amp;"criterionId"&amp;CHAR(34)&amp;": "&amp;CHAR(34)&amp;SUBSTITUTE(CriteriTecnici!$D1929,CHAR(34),"'")&amp;CHAR(34)&amp;", "&amp;CHAR(34)&amp;"kind"&amp;CHAR(34)&amp;": "&amp;CHAR(34)&amp;SUBSTITUTE(CriteriTecnici!$F1929,CHAR(34),"'")&amp;CHAR(34)&amp;", "&amp;CHAR(34)&amp;"value"&amp;CHAR(34)&amp;": "&amp;SUBSTITUTE(TRIM(ROUND(IFERROR(CriteriTecnici!$N1929*1,IFERROR(NUMBERVALUE(CriteriTecnici!$N1929,".",","),IFERROR(NUMBERVALUE(CriteriTecnici!$N1929,",","."),0))),4)&amp;""),",",".")&amp;", "&amp;CHAR(34)&amp;"numerator"&amp;CHAR(34)&amp;": "&amp;SUBSTITUTE(TRIM(ROUND(IFERROR(CriteriTecnici!$K1929*1,IFERROR(NUMBERVALUE(CriteriTecnici!$K1929,".",","),IFERROR(NUMBERVALUE(CriteriTecnici!$K1929,",","."),0))),4)&amp;""),",",".")&amp;", "&amp;CHAR(34)&amp;"denominator"&amp;CHAR(34)&amp;": "&amp;SUBSTITUTE(TRIM(ROUND(IFERROR(CriteriTecnici!$L1929*1,IFERROR(NUMBERVALUE(CriteriTecnici!$L1929,".",","),IFERROR(NUMBERVALUE(CriteriTecnici!$L1929,",","."),0))),4)&amp;""),",",".")&amp;", "&amp;CHAR(34)&amp;"flag"&amp;CHAR(34)&amp;": "&amp;SUBSTITUTE(TRIM(ROUND(IFERROR(CriteriTecnici!$M1929*1,IFERROR(NUMBERVALUE(CriteriTecnici!$M1929,".",","),IFERROR(NUMBERVALUE(CriteriTecnici!$M1929,",","."),0))),4)&amp;""),",",".")&amp;", "&amp;CHAR(34)&amp;"rawScore"&amp;CHAR(34)&amp;": "&amp;SUBSTITUTE(TRIM(ROUND(IFERROR(CriteriTecnici!$O1929*1,IFERROR(NUMBERVALUE(CriteriTecnici!$O1929,".",","),IFERROR(NUMBERVALUE(CriteriTecnici!$O1929,",","."),0))),4)&amp;""),",",".")&amp;CHAR(125)&amp;IF(TRUE,",",""))</f>
        <v/>
      </c>
    </row>
    <row r="2031">
      <c r="A2031" s="82">
        <f>IF(CriteriTecnici!$A1930="","","    "&amp;CHAR(123)&amp;CHAR(34)&amp;"bidderId"&amp;CHAR(34)&amp;": "&amp;CHAR(34)&amp;SUBSTITUTE(CriteriTecnici!$A1930,CHAR(34),"'")&amp;CHAR(34)&amp;", "&amp;CHAR(34)&amp;"lotId"&amp;CHAR(34)&amp;": "&amp;CHAR(34)&amp;SUBSTITUTE(CriteriTecnici!$C1930,CHAR(34),"'")&amp;CHAR(34)&amp;", "&amp;CHAR(34)&amp;"criterionId"&amp;CHAR(34)&amp;": "&amp;CHAR(34)&amp;SUBSTITUTE(CriteriTecnici!$D1930,CHAR(34),"'")&amp;CHAR(34)&amp;", "&amp;CHAR(34)&amp;"kind"&amp;CHAR(34)&amp;": "&amp;CHAR(34)&amp;SUBSTITUTE(CriteriTecnici!$F1930,CHAR(34),"'")&amp;CHAR(34)&amp;", "&amp;CHAR(34)&amp;"value"&amp;CHAR(34)&amp;": "&amp;SUBSTITUTE(TRIM(ROUND(IFERROR(CriteriTecnici!$N1930*1,IFERROR(NUMBERVALUE(CriteriTecnici!$N1930,".",","),IFERROR(NUMBERVALUE(CriteriTecnici!$N1930,",","."),0))),4)&amp;""),",",".")&amp;", "&amp;CHAR(34)&amp;"numerator"&amp;CHAR(34)&amp;": "&amp;SUBSTITUTE(TRIM(ROUND(IFERROR(CriteriTecnici!$K1930*1,IFERROR(NUMBERVALUE(CriteriTecnici!$K1930,".",","),IFERROR(NUMBERVALUE(CriteriTecnici!$K1930,",","."),0))),4)&amp;""),",",".")&amp;", "&amp;CHAR(34)&amp;"denominator"&amp;CHAR(34)&amp;": "&amp;SUBSTITUTE(TRIM(ROUND(IFERROR(CriteriTecnici!$L1930*1,IFERROR(NUMBERVALUE(CriteriTecnici!$L1930,".",","),IFERROR(NUMBERVALUE(CriteriTecnici!$L1930,",","."),0))),4)&amp;""),",",".")&amp;", "&amp;CHAR(34)&amp;"flag"&amp;CHAR(34)&amp;": "&amp;SUBSTITUTE(TRIM(ROUND(IFERROR(CriteriTecnici!$M1930*1,IFERROR(NUMBERVALUE(CriteriTecnici!$M1930,".",","),IFERROR(NUMBERVALUE(CriteriTecnici!$M1930,",","."),0))),4)&amp;""),",",".")&amp;", "&amp;CHAR(34)&amp;"rawScore"&amp;CHAR(34)&amp;": "&amp;SUBSTITUTE(TRIM(ROUND(IFERROR(CriteriTecnici!$O1930*1,IFERROR(NUMBERVALUE(CriteriTecnici!$O1930,".",","),IFERROR(NUMBERVALUE(CriteriTecnici!$O1930,",","."),0))),4)&amp;""),",",".")&amp;CHAR(125)&amp;IF(TRUE,",",""))</f>
        <v/>
      </c>
    </row>
    <row r="2032">
      <c r="A2032" s="82">
        <f>IF(CriteriTecnici!$A1931="","","    "&amp;CHAR(123)&amp;CHAR(34)&amp;"bidderId"&amp;CHAR(34)&amp;": "&amp;CHAR(34)&amp;SUBSTITUTE(CriteriTecnici!$A1931,CHAR(34),"'")&amp;CHAR(34)&amp;", "&amp;CHAR(34)&amp;"lotId"&amp;CHAR(34)&amp;": "&amp;CHAR(34)&amp;SUBSTITUTE(CriteriTecnici!$C1931,CHAR(34),"'")&amp;CHAR(34)&amp;", "&amp;CHAR(34)&amp;"criterionId"&amp;CHAR(34)&amp;": "&amp;CHAR(34)&amp;SUBSTITUTE(CriteriTecnici!$D1931,CHAR(34),"'")&amp;CHAR(34)&amp;", "&amp;CHAR(34)&amp;"kind"&amp;CHAR(34)&amp;": "&amp;CHAR(34)&amp;SUBSTITUTE(CriteriTecnici!$F1931,CHAR(34),"'")&amp;CHAR(34)&amp;", "&amp;CHAR(34)&amp;"value"&amp;CHAR(34)&amp;": "&amp;SUBSTITUTE(TRIM(ROUND(IFERROR(CriteriTecnici!$N1931*1,IFERROR(NUMBERVALUE(CriteriTecnici!$N1931,".",","),IFERROR(NUMBERVALUE(CriteriTecnici!$N1931,",","."),0))),4)&amp;""),",",".")&amp;", "&amp;CHAR(34)&amp;"numerator"&amp;CHAR(34)&amp;": "&amp;SUBSTITUTE(TRIM(ROUND(IFERROR(CriteriTecnici!$K1931*1,IFERROR(NUMBERVALUE(CriteriTecnici!$K1931,".",","),IFERROR(NUMBERVALUE(CriteriTecnici!$K1931,",","."),0))),4)&amp;""),",",".")&amp;", "&amp;CHAR(34)&amp;"denominator"&amp;CHAR(34)&amp;": "&amp;SUBSTITUTE(TRIM(ROUND(IFERROR(CriteriTecnici!$L1931*1,IFERROR(NUMBERVALUE(CriteriTecnici!$L1931,".",","),IFERROR(NUMBERVALUE(CriteriTecnici!$L1931,",","."),0))),4)&amp;""),",",".")&amp;", "&amp;CHAR(34)&amp;"flag"&amp;CHAR(34)&amp;": "&amp;SUBSTITUTE(TRIM(ROUND(IFERROR(CriteriTecnici!$M1931*1,IFERROR(NUMBERVALUE(CriteriTecnici!$M1931,".",","),IFERROR(NUMBERVALUE(CriteriTecnici!$M1931,",","."),0))),4)&amp;""),",",".")&amp;", "&amp;CHAR(34)&amp;"rawScore"&amp;CHAR(34)&amp;": "&amp;SUBSTITUTE(TRIM(ROUND(IFERROR(CriteriTecnici!$O1931*1,IFERROR(NUMBERVALUE(CriteriTecnici!$O1931,".",","),IFERROR(NUMBERVALUE(CriteriTecnici!$O1931,",","."),0))),4)&amp;""),",",".")&amp;CHAR(125)&amp;IF(TRUE,",",""))</f>
        <v/>
      </c>
    </row>
    <row r="2033">
      <c r="A2033" s="82">
        <f>IF(CriteriTecnici!$A1932="","","    "&amp;CHAR(123)&amp;CHAR(34)&amp;"bidderId"&amp;CHAR(34)&amp;": "&amp;CHAR(34)&amp;SUBSTITUTE(CriteriTecnici!$A1932,CHAR(34),"'")&amp;CHAR(34)&amp;", "&amp;CHAR(34)&amp;"lotId"&amp;CHAR(34)&amp;": "&amp;CHAR(34)&amp;SUBSTITUTE(CriteriTecnici!$C1932,CHAR(34),"'")&amp;CHAR(34)&amp;", "&amp;CHAR(34)&amp;"criterionId"&amp;CHAR(34)&amp;": "&amp;CHAR(34)&amp;SUBSTITUTE(CriteriTecnici!$D1932,CHAR(34),"'")&amp;CHAR(34)&amp;", "&amp;CHAR(34)&amp;"kind"&amp;CHAR(34)&amp;": "&amp;CHAR(34)&amp;SUBSTITUTE(CriteriTecnici!$F1932,CHAR(34),"'")&amp;CHAR(34)&amp;", "&amp;CHAR(34)&amp;"value"&amp;CHAR(34)&amp;": "&amp;SUBSTITUTE(TRIM(ROUND(IFERROR(CriteriTecnici!$N1932*1,IFERROR(NUMBERVALUE(CriteriTecnici!$N1932,".",","),IFERROR(NUMBERVALUE(CriteriTecnici!$N1932,",","."),0))),4)&amp;""),",",".")&amp;", "&amp;CHAR(34)&amp;"numerator"&amp;CHAR(34)&amp;": "&amp;SUBSTITUTE(TRIM(ROUND(IFERROR(CriteriTecnici!$K1932*1,IFERROR(NUMBERVALUE(CriteriTecnici!$K1932,".",","),IFERROR(NUMBERVALUE(CriteriTecnici!$K1932,",","."),0))),4)&amp;""),",",".")&amp;", "&amp;CHAR(34)&amp;"denominator"&amp;CHAR(34)&amp;": "&amp;SUBSTITUTE(TRIM(ROUND(IFERROR(CriteriTecnici!$L1932*1,IFERROR(NUMBERVALUE(CriteriTecnici!$L1932,".",","),IFERROR(NUMBERVALUE(CriteriTecnici!$L1932,",","."),0))),4)&amp;""),",",".")&amp;", "&amp;CHAR(34)&amp;"flag"&amp;CHAR(34)&amp;": "&amp;SUBSTITUTE(TRIM(ROUND(IFERROR(CriteriTecnici!$M1932*1,IFERROR(NUMBERVALUE(CriteriTecnici!$M1932,".",","),IFERROR(NUMBERVALUE(CriteriTecnici!$M1932,",","."),0))),4)&amp;""),",",".")&amp;", "&amp;CHAR(34)&amp;"rawScore"&amp;CHAR(34)&amp;": "&amp;SUBSTITUTE(TRIM(ROUND(IFERROR(CriteriTecnici!$O1932*1,IFERROR(NUMBERVALUE(CriteriTecnici!$O1932,".",","),IFERROR(NUMBERVALUE(CriteriTecnici!$O1932,",","."),0))),4)&amp;""),",",".")&amp;CHAR(125)&amp;IF(TRUE,",",""))</f>
        <v/>
      </c>
    </row>
    <row r="2034">
      <c r="A2034" s="82">
        <f>IF(CriteriTecnici!$A1933="","","    "&amp;CHAR(123)&amp;CHAR(34)&amp;"bidderId"&amp;CHAR(34)&amp;": "&amp;CHAR(34)&amp;SUBSTITUTE(CriteriTecnici!$A1933,CHAR(34),"'")&amp;CHAR(34)&amp;", "&amp;CHAR(34)&amp;"lotId"&amp;CHAR(34)&amp;": "&amp;CHAR(34)&amp;SUBSTITUTE(CriteriTecnici!$C1933,CHAR(34),"'")&amp;CHAR(34)&amp;", "&amp;CHAR(34)&amp;"criterionId"&amp;CHAR(34)&amp;": "&amp;CHAR(34)&amp;SUBSTITUTE(CriteriTecnici!$D1933,CHAR(34),"'")&amp;CHAR(34)&amp;", "&amp;CHAR(34)&amp;"kind"&amp;CHAR(34)&amp;": "&amp;CHAR(34)&amp;SUBSTITUTE(CriteriTecnici!$F1933,CHAR(34),"'")&amp;CHAR(34)&amp;", "&amp;CHAR(34)&amp;"value"&amp;CHAR(34)&amp;": "&amp;SUBSTITUTE(TRIM(ROUND(IFERROR(CriteriTecnici!$N1933*1,IFERROR(NUMBERVALUE(CriteriTecnici!$N1933,".",","),IFERROR(NUMBERVALUE(CriteriTecnici!$N1933,",","."),0))),4)&amp;""),",",".")&amp;", "&amp;CHAR(34)&amp;"numerator"&amp;CHAR(34)&amp;": "&amp;SUBSTITUTE(TRIM(ROUND(IFERROR(CriteriTecnici!$K1933*1,IFERROR(NUMBERVALUE(CriteriTecnici!$K1933,".",","),IFERROR(NUMBERVALUE(CriteriTecnici!$K1933,",","."),0))),4)&amp;""),",",".")&amp;", "&amp;CHAR(34)&amp;"denominator"&amp;CHAR(34)&amp;": "&amp;SUBSTITUTE(TRIM(ROUND(IFERROR(CriteriTecnici!$L1933*1,IFERROR(NUMBERVALUE(CriteriTecnici!$L1933,".",","),IFERROR(NUMBERVALUE(CriteriTecnici!$L1933,",","."),0))),4)&amp;""),",",".")&amp;", "&amp;CHAR(34)&amp;"flag"&amp;CHAR(34)&amp;": "&amp;SUBSTITUTE(TRIM(ROUND(IFERROR(CriteriTecnici!$M1933*1,IFERROR(NUMBERVALUE(CriteriTecnici!$M1933,".",","),IFERROR(NUMBERVALUE(CriteriTecnici!$M1933,",","."),0))),4)&amp;""),",",".")&amp;", "&amp;CHAR(34)&amp;"rawScore"&amp;CHAR(34)&amp;": "&amp;SUBSTITUTE(TRIM(ROUND(IFERROR(CriteriTecnici!$O1933*1,IFERROR(NUMBERVALUE(CriteriTecnici!$O1933,".",","),IFERROR(NUMBERVALUE(CriteriTecnici!$O1933,",","."),0))),4)&amp;""),",",".")&amp;CHAR(125)&amp;IF(TRUE,",",""))</f>
        <v/>
      </c>
    </row>
    <row r="2035">
      <c r="A2035" s="82">
        <f>IF(CriteriTecnici!$A1934="","","    "&amp;CHAR(123)&amp;CHAR(34)&amp;"bidderId"&amp;CHAR(34)&amp;": "&amp;CHAR(34)&amp;SUBSTITUTE(CriteriTecnici!$A1934,CHAR(34),"'")&amp;CHAR(34)&amp;", "&amp;CHAR(34)&amp;"lotId"&amp;CHAR(34)&amp;": "&amp;CHAR(34)&amp;SUBSTITUTE(CriteriTecnici!$C1934,CHAR(34),"'")&amp;CHAR(34)&amp;", "&amp;CHAR(34)&amp;"criterionId"&amp;CHAR(34)&amp;": "&amp;CHAR(34)&amp;SUBSTITUTE(CriteriTecnici!$D1934,CHAR(34),"'")&amp;CHAR(34)&amp;", "&amp;CHAR(34)&amp;"kind"&amp;CHAR(34)&amp;": "&amp;CHAR(34)&amp;SUBSTITUTE(CriteriTecnici!$F1934,CHAR(34),"'")&amp;CHAR(34)&amp;", "&amp;CHAR(34)&amp;"value"&amp;CHAR(34)&amp;": "&amp;SUBSTITUTE(TRIM(ROUND(IFERROR(CriteriTecnici!$N1934*1,IFERROR(NUMBERVALUE(CriteriTecnici!$N1934,".",","),IFERROR(NUMBERVALUE(CriteriTecnici!$N1934,",","."),0))),4)&amp;""),",",".")&amp;", "&amp;CHAR(34)&amp;"numerator"&amp;CHAR(34)&amp;": "&amp;SUBSTITUTE(TRIM(ROUND(IFERROR(CriteriTecnici!$K1934*1,IFERROR(NUMBERVALUE(CriteriTecnici!$K1934,".",","),IFERROR(NUMBERVALUE(CriteriTecnici!$K1934,",","."),0))),4)&amp;""),",",".")&amp;", "&amp;CHAR(34)&amp;"denominator"&amp;CHAR(34)&amp;": "&amp;SUBSTITUTE(TRIM(ROUND(IFERROR(CriteriTecnici!$L1934*1,IFERROR(NUMBERVALUE(CriteriTecnici!$L1934,".",","),IFERROR(NUMBERVALUE(CriteriTecnici!$L1934,",","."),0))),4)&amp;""),",",".")&amp;", "&amp;CHAR(34)&amp;"flag"&amp;CHAR(34)&amp;": "&amp;SUBSTITUTE(TRIM(ROUND(IFERROR(CriteriTecnici!$M1934*1,IFERROR(NUMBERVALUE(CriteriTecnici!$M1934,".",","),IFERROR(NUMBERVALUE(CriteriTecnici!$M1934,",","."),0))),4)&amp;""),",",".")&amp;", "&amp;CHAR(34)&amp;"rawScore"&amp;CHAR(34)&amp;": "&amp;SUBSTITUTE(TRIM(ROUND(IFERROR(CriteriTecnici!$O1934*1,IFERROR(NUMBERVALUE(CriteriTecnici!$O1934,".",","),IFERROR(NUMBERVALUE(CriteriTecnici!$O1934,",","."),0))),4)&amp;""),",",".")&amp;CHAR(125)&amp;IF(TRUE,",",""))</f>
        <v/>
      </c>
    </row>
    <row r="2036">
      <c r="A2036" s="82">
        <f>IF(CriteriTecnici!$A1935="","","    "&amp;CHAR(123)&amp;CHAR(34)&amp;"bidderId"&amp;CHAR(34)&amp;": "&amp;CHAR(34)&amp;SUBSTITUTE(CriteriTecnici!$A1935,CHAR(34),"'")&amp;CHAR(34)&amp;", "&amp;CHAR(34)&amp;"lotId"&amp;CHAR(34)&amp;": "&amp;CHAR(34)&amp;SUBSTITUTE(CriteriTecnici!$C1935,CHAR(34),"'")&amp;CHAR(34)&amp;", "&amp;CHAR(34)&amp;"criterionId"&amp;CHAR(34)&amp;": "&amp;CHAR(34)&amp;SUBSTITUTE(CriteriTecnici!$D1935,CHAR(34),"'")&amp;CHAR(34)&amp;", "&amp;CHAR(34)&amp;"kind"&amp;CHAR(34)&amp;": "&amp;CHAR(34)&amp;SUBSTITUTE(CriteriTecnici!$F1935,CHAR(34),"'")&amp;CHAR(34)&amp;", "&amp;CHAR(34)&amp;"value"&amp;CHAR(34)&amp;": "&amp;SUBSTITUTE(TRIM(ROUND(IFERROR(CriteriTecnici!$N1935*1,IFERROR(NUMBERVALUE(CriteriTecnici!$N1935,".",","),IFERROR(NUMBERVALUE(CriteriTecnici!$N1935,",","."),0))),4)&amp;""),",",".")&amp;", "&amp;CHAR(34)&amp;"numerator"&amp;CHAR(34)&amp;": "&amp;SUBSTITUTE(TRIM(ROUND(IFERROR(CriteriTecnici!$K1935*1,IFERROR(NUMBERVALUE(CriteriTecnici!$K1935,".",","),IFERROR(NUMBERVALUE(CriteriTecnici!$K1935,",","."),0))),4)&amp;""),",",".")&amp;", "&amp;CHAR(34)&amp;"denominator"&amp;CHAR(34)&amp;": "&amp;SUBSTITUTE(TRIM(ROUND(IFERROR(CriteriTecnici!$L1935*1,IFERROR(NUMBERVALUE(CriteriTecnici!$L1935,".",","),IFERROR(NUMBERVALUE(CriteriTecnici!$L1935,",","."),0))),4)&amp;""),",",".")&amp;", "&amp;CHAR(34)&amp;"flag"&amp;CHAR(34)&amp;": "&amp;SUBSTITUTE(TRIM(ROUND(IFERROR(CriteriTecnici!$M1935*1,IFERROR(NUMBERVALUE(CriteriTecnici!$M1935,".",","),IFERROR(NUMBERVALUE(CriteriTecnici!$M1935,",","."),0))),4)&amp;""),",",".")&amp;", "&amp;CHAR(34)&amp;"rawScore"&amp;CHAR(34)&amp;": "&amp;SUBSTITUTE(TRIM(ROUND(IFERROR(CriteriTecnici!$O1935*1,IFERROR(NUMBERVALUE(CriteriTecnici!$O1935,".",","),IFERROR(NUMBERVALUE(CriteriTecnici!$O1935,",","."),0))),4)&amp;""),",",".")&amp;CHAR(125)&amp;IF(TRUE,",",""))</f>
        <v/>
      </c>
    </row>
    <row r="2037">
      <c r="A2037" s="82">
        <f>IF(CriteriTecnici!$A1936="","","    "&amp;CHAR(123)&amp;CHAR(34)&amp;"bidderId"&amp;CHAR(34)&amp;": "&amp;CHAR(34)&amp;SUBSTITUTE(CriteriTecnici!$A1936,CHAR(34),"'")&amp;CHAR(34)&amp;", "&amp;CHAR(34)&amp;"lotId"&amp;CHAR(34)&amp;": "&amp;CHAR(34)&amp;SUBSTITUTE(CriteriTecnici!$C1936,CHAR(34),"'")&amp;CHAR(34)&amp;", "&amp;CHAR(34)&amp;"criterionId"&amp;CHAR(34)&amp;": "&amp;CHAR(34)&amp;SUBSTITUTE(CriteriTecnici!$D1936,CHAR(34),"'")&amp;CHAR(34)&amp;", "&amp;CHAR(34)&amp;"kind"&amp;CHAR(34)&amp;": "&amp;CHAR(34)&amp;SUBSTITUTE(CriteriTecnici!$F1936,CHAR(34),"'")&amp;CHAR(34)&amp;", "&amp;CHAR(34)&amp;"value"&amp;CHAR(34)&amp;": "&amp;SUBSTITUTE(TRIM(ROUND(IFERROR(CriteriTecnici!$N1936*1,IFERROR(NUMBERVALUE(CriteriTecnici!$N1936,".",","),IFERROR(NUMBERVALUE(CriteriTecnici!$N1936,",","."),0))),4)&amp;""),",",".")&amp;", "&amp;CHAR(34)&amp;"numerator"&amp;CHAR(34)&amp;": "&amp;SUBSTITUTE(TRIM(ROUND(IFERROR(CriteriTecnici!$K1936*1,IFERROR(NUMBERVALUE(CriteriTecnici!$K1936,".",","),IFERROR(NUMBERVALUE(CriteriTecnici!$K1936,",","."),0))),4)&amp;""),",",".")&amp;", "&amp;CHAR(34)&amp;"denominator"&amp;CHAR(34)&amp;": "&amp;SUBSTITUTE(TRIM(ROUND(IFERROR(CriteriTecnici!$L1936*1,IFERROR(NUMBERVALUE(CriteriTecnici!$L1936,".",","),IFERROR(NUMBERVALUE(CriteriTecnici!$L1936,",","."),0))),4)&amp;""),",",".")&amp;", "&amp;CHAR(34)&amp;"flag"&amp;CHAR(34)&amp;": "&amp;SUBSTITUTE(TRIM(ROUND(IFERROR(CriteriTecnici!$M1936*1,IFERROR(NUMBERVALUE(CriteriTecnici!$M1936,".",","),IFERROR(NUMBERVALUE(CriteriTecnici!$M1936,",","."),0))),4)&amp;""),",",".")&amp;", "&amp;CHAR(34)&amp;"rawScore"&amp;CHAR(34)&amp;": "&amp;SUBSTITUTE(TRIM(ROUND(IFERROR(CriteriTecnici!$O1936*1,IFERROR(NUMBERVALUE(CriteriTecnici!$O1936,".",","),IFERROR(NUMBERVALUE(CriteriTecnici!$O1936,",","."),0))),4)&amp;""),",",".")&amp;CHAR(125)&amp;IF(TRUE,",",""))</f>
        <v/>
      </c>
    </row>
    <row r="2038">
      <c r="A2038" s="82">
        <f>IF(CriteriTecnici!$A1937="","","    "&amp;CHAR(123)&amp;CHAR(34)&amp;"bidderId"&amp;CHAR(34)&amp;": "&amp;CHAR(34)&amp;SUBSTITUTE(CriteriTecnici!$A1937,CHAR(34),"'")&amp;CHAR(34)&amp;", "&amp;CHAR(34)&amp;"lotId"&amp;CHAR(34)&amp;": "&amp;CHAR(34)&amp;SUBSTITUTE(CriteriTecnici!$C1937,CHAR(34),"'")&amp;CHAR(34)&amp;", "&amp;CHAR(34)&amp;"criterionId"&amp;CHAR(34)&amp;": "&amp;CHAR(34)&amp;SUBSTITUTE(CriteriTecnici!$D1937,CHAR(34),"'")&amp;CHAR(34)&amp;", "&amp;CHAR(34)&amp;"kind"&amp;CHAR(34)&amp;": "&amp;CHAR(34)&amp;SUBSTITUTE(CriteriTecnici!$F1937,CHAR(34),"'")&amp;CHAR(34)&amp;", "&amp;CHAR(34)&amp;"value"&amp;CHAR(34)&amp;": "&amp;SUBSTITUTE(TRIM(ROUND(IFERROR(CriteriTecnici!$N1937*1,IFERROR(NUMBERVALUE(CriteriTecnici!$N1937,".",","),IFERROR(NUMBERVALUE(CriteriTecnici!$N1937,",","."),0))),4)&amp;""),",",".")&amp;", "&amp;CHAR(34)&amp;"numerator"&amp;CHAR(34)&amp;": "&amp;SUBSTITUTE(TRIM(ROUND(IFERROR(CriteriTecnici!$K1937*1,IFERROR(NUMBERVALUE(CriteriTecnici!$K1937,".",","),IFERROR(NUMBERVALUE(CriteriTecnici!$K1937,",","."),0))),4)&amp;""),",",".")&amp;", "&amp;CHAR(34)&amp;"denominator"&amp;CHAR(34)&amp;": "&amp;SUBSTITUTE(TRIM(ROUND(IFERROR(CriteriTecnici!$L1937*1,IFERROR(NUMBERVALUE(CriteriTecnici!$L1937,".",","),IFERROR(NUMBERVALUE(CriteriTecnici!$L1937,",","."),0))),4)&amp;""),",",".")&amp;", "&amp;CHAR(34)&amp;"flag"&amp;CHAR(34)&amp;": "&amp;SUBSTITUTE(TRIM(ROUND(IFERROR(CriteriTecnici!$M1937*1,IFERROR(NUMBERVALUE(CriteriTecnici!$M1937,".",","),IFERROR(NUMBERVALUE(CriteriTecnici!$M1937,",","."),0))),4)&amp;""),",",".")&amp;", "&amp;CHAR(34)&amp;"rawScore"&amp;CHAR(34)&amp;": "&amp;SUBSTITUTE(TRIM(ROUND(IFERROR(CriteriTecnici!$O1937*1,IFERROR(NUMBERVALUE(CriteriTecnici!$O1937,".",","),IFERROR(NUMBERVALUE(CriteriTecnici!$O1937,",","."),0))),4)&amp;""),",",".")&amp;CHAR(125)&amp;IF(TRUE,",",""))</f>
        <v/>
      </c>
    </row>
    <row r="2039">
      <c r="A2039" s="82">
        <f>IF(CriteriTecnici!$A1938="","","    "&amp;CHAR(123)&amp;CHAR(34)&amp;"bidderId"&amp;CHAR(34)&amp;": "&amp;CHAR(34)&amp;SUBSTITUTE(CriteriTecnici!$A1938,CHAR(34),"'")&amp;CHAR(34)&amp;", "&amp;CHAR(34)&amp;"lotId"&amp;CHAR(34)&amp;": "&amp;CHAR(34)&amp;SUBSTITUTE(CriteriTecnici!$C1938,CHAR(34),"'")&amp;CHAR(34)&amp;", "&amp;CHAR(34)&amp;"criterionId"&amp;CHAR(34)&amp;": "&amp;CHAR(34)&amp;SUBSTITUTE(CriteriTecnici!$D1938,CHAR(34),"'")&amp;CHAR(34)&amp;", "&amp;CHAR(34)&amp;"kind"&amp;CHAR(34)&amp;": "&amp;CHAR(34)&amp;SUBSTITUTE(CriteriTecnici!$F1938,CHAR(34),"'")&amp;CHAR(34)&amp;", "&amp;CHAR(34)&amp;"value"&amp;CHAR(34)&amp;": "&amp;SUBSTITUTE(TRIM(ROUND(IFERROR(CriteriTecnici!$N1938*1,IFERROR(NUMBERVALUE(CriteriTecnici!$N1938,".",","),IFERROR(NUMBERVALUE(CriteriTecnici!$N1938,",","."),0))),4)&amp;""),",",".")&amp;", "&amp;CHAR(34)&amp;"numerator"&amp;CHAR(34)&amp;": "&amp;SUBSTITUTE(TRIM(ROUND(IFERROR(CriteriTecnici!$K1938*1,IFERROR(NUMBERVALUE(CriteriTecnici!$K1938,".",","),IFERROR(NUMBERVALUE(CriteriTecnici!$K1938,",","."),0))),4)&amp;""),",",".")&amp;", "&amp;CHAR(34)&amp;"denominator"&amp;CHAR(34)&amp;": "&amp;SUBSTITUTE(TRIM(ROUND(IFERROR(CriteriTecnici!$L1938*1,IFERROR(NUMBERVALUE(CriteriTecnici!$L1938,".",","),IFERROR(NUMBERVALUE(CriteriTecnici!$L1938,",","."),0))),4)&amp;""),",",".")&amp;", "&amp;CHAR(34)&amp;"flag"&amp;CHAR(34)&amp;": "&amp;SUBSTITUTE(TRIM(ROUND(IFERROR(CriteriTecnici!$M1938*1,IFERROR(NUMBERVALUE(CriteriTecnici!$M1938,".",","),IFERROR(NUMBERVALUE(CriteriTecnici!$M1938,",","."),0))),4)&amp;""),",",".")&amp;", "&amp;CHAR(34)&amp;"rawScore"&amp;CHAR(34)&amp;": "&amp;SUBSTITUTE(TRIM(ROUND(IFERROR(CriteriTecnici!$O1938*1,IFERROR(NUMBERVALUE(CriteriTecnici!$O1938,".",","),IFERROR(NUMBERVALUE(CriteriTecnici!$O1938,",","."),0))),4)&amp;""),",",".")&amp;CHAR(125)&amp;IF(TRUE,",",""))</f>
        <v/>
      </c>
    </row>
    <row r="2040">
      <c r="A2040" s="82">
        <f>IF(CriteriTecnici!$A1939="","","    "&amp;CHAR(123)&amp;CHAR(34)&amp;"bidderId"&amp;CHAR(34)&amp;": "&amp;CHAR(34)&amp;SUBSTITUTE(CriteriTecnici!$A1939,CHAR(34),"'")&amp;CHAR(34)&amp;", "&amp;CHAR(34)&amp;"lotId"&amp;CHAR(34)&amp;": "&amp;CHAR(34)&amp;SUBSTITUTE(CriteriTecnici!$C1939,CHAR(34),"'")&amp;CHAR(34)&amp;", "&amp;CHAR(34)&amp;"criterionId"&amp;CHAR(34)&amp;": "&amp;CHAR(34)&amp;SUBSTITUTE(CriteriTecnici!$D1939,CHAR(34),"'")&amp;CHAR(34)&amp;", "&amp;CHAR(34)&amp;"kind"&amp;CHAR(34)&amp;": "&amp;CHAR(34)&amp;SUBSTITUTE(CriteriTecnici!$F1939,CHAR(34),"'")&amp;CHAR(34)&amp;", "&amp;CHAR(34)&amp;"value"&amp;CHAR(34)&amp;": "&amp;SUBSTITUTE(TRIM(ROUND(IFERROR(CriteriTecnici!$N1939*1,IFERROR(NUMBERVALUE(CriteriTecnici!$N1939,".",","),IFERROR(NUMBERVALUE(CriteriTecnici!$N1939,",","."),0))),4)&amp;""),",",".")&amp;", "&amp;CHAR(34)&amp;"numerator"&amp;CHAR(34)&amp;": "&amp;SUBSTITUTE(TRIM(ROUND(IFERROR(CriteriTecnici!$K1939*1,IFERROR(NUMBERVALUE(CriteriTecnici!$K1939,".",","),IFERROR(NUMBERVALUE(CriteriTecnici!$K1939,",","."),0))),4)&amp;""),",",".")&amp;", "&amp;CHAR(34)&amp;"denominator"&amp;CHAR(34)&amp;": "&amp;SUBSTITUTE(TRIM(ROUND(IFERROR(CriteriTecnici!$L1939*1,IFERROR(NUMBERVALUE(CriteriTecnici!$L1939,".",","),IFERROR(NUMBERVALUE(CriteriTecnici!$L1939,",","."),0))),4)&amp;""),",",".")&amp;", "&amp;CHAR(34)&amp;"flag"&amp;CHAR(34)&amp;": "&amp;SUBSTITUTE(TRIM(ROUND(IFERROR(CriteriTecnici!$M1939*1,IFERROR(NUMBERVALUE(CriteriTecnici!$M1939,".",","),IFERROR(NUMBERVALUE(CriteriTecnici!$M1939,",","."),0))),4)&amp;""),",",".")&amp;", "&amp;CHAR(34)&amp;"rawScore"&amp;CHAR(34)&amp;": "&amp;SUBSTITUTE(TRIM(ROUND(IFERROR(CriteriTecnici!$O1939*1,IFERROR(NUMBERVALUE(CriteriTecnici!$O1939,".",","),IFERROR(NUMBERVALUE(CriteriTecnici!$O1939,",","."),0))),4)&amp;""),",",".")&amp;CHAR(125)&amp;IF(TRUE,",",""))</f>
        <v/>
      </c>
    </row>
    <row r="2041">
      <c r="A2041" s="82">
        <f>IF(CriteriTecnici!$A1940="","","    "&amp;CHAR(123)&amp;CHAR(34)&amp;"bidderId"&amp;CHAR(34)&amp;": "&amp;CHAR(34)&amp;SUBSTITUTE(CriteriTecnici!$A1940,CHAR(34),"'")&amp;CHAR(34)&amp;", "&amp;CHAR(34)&amp;"lotId"&amp;CHAR(34)&amp;": "&amp;CHAR(34)&amp;SUBSTITUTE(CriteriTecnici!$C1940,CHAR(34),"'")&amp;CHAR(34)&amp;", "&amp;CHAR(34)&amp;"criterionId"&amp;CHAR(34)&amp;": "&amp;CHAR(34)&amp;SUBSTITUTE(CriteriTecnici!$D1940,CHAR(34),"'")&amp;CHAR(34)&amp;", "&amp;CHAR(34)&amp;"kind"&amp;CHAR(34)&amp;": "&amp;CHAR(34)&amp;SUBSTITUTE(CriteriTecnici!$F1940,CHAR(34),"'")&amp;CHAR(34)&amp;", "&amp;CHAR(34)&amp;"value"&amp;CHAR(34)&amp;": "&amp;SUBSTITUTE(TRIM(ROUND(IFERROR(CriteriTecnici!$N1940*1,IFERROR(NUMBERVALUE(CriteriTecnici!$N1940,".",","),IFERROR(NUMBERVALUE(CriteriTecnici!$N1940,",","."),0))),4)&amp;""),",",".")&amp;", "&amp;CHAR(34)&amp;"numerator"&amp;CHAR(34)&amp;": "&amp;SUBSTITUTE(TRIM(ROUND(IFERROR(CriteriTecnici!$K1940*1,IFERROR(NUMBERVALUE(CriteriTecnici!$K1940,".",","),IFERROR(NUMBERVALUE(CriteriTecnici!$K1940,",","."),0))),4)&amp;""),",",".")&amp;", "&amp;CHAR(34)&amp;"denominator"&amp;CHAR(34)&amp;": "&amp;SUBSTITUTE(TRIM(ROUND(IFERROR(CriteriTecnici!$L1940*1,IFERROR(NUMBERVALUE(CriteriTecnici!$L1940,".",","),IFERROR(NUMBERVALUE(CriteriTecnici!$L1940,",","."),0))),4)&amp;""),",",".")&amp;", "&amp;CHAR(34)&amp;"flag"&amp;CHAR(34)&amp;": "&amp;SUBSTITUTE(TRIM(ROUND(IFERROR(CriteriTecnici!$M1940*1,IFERROR(NUMBERVALUE(CriteriTecnici!$M1940,".",","),IFERROR(NUMBERVALUE(CriteriTecnici!$M1940,",","."),0))),4)&amp;""),",",".")&amp;", "&amp;CHAR(34)&amp;"rawScore"&amp;CHAR(34)&amp;": "&amp;SUBSTITUTE(TRIM(ROUND(IFERROR(CriteriTecnici!$O1940*1,IFERROR(NUMBERVALUE(CriteriTecnici!$O1940,".",","),IFERROR(NUMBERVALUE(CriteriTecnici!$O1940,",","."),0))),4)&amp;""),",",".")&amp;CHAR(125)&amp;IF(TRUE,",",""))</f>
        <v/>
      </c>
    </row>
    <row r="2042">
      <c r="A2042" s="82">
        <f>IF(CriteriTecnici!$A1941="","","    "&amp;CHAR(123)&amp;CHAR(34)&amp;"bidderId"&amp;CHAR(34)&amp;": "&amp;CHAR(34)&amp;SUBSTITUTE(CriteriTecnici!$A1941,CHAR(34),"'")&amp;CHAR(34)&amp;", "&amp;CHAR(34)&amp;"lotId"&amp;CHAR(34)&amp;": "&amp;CHAR(34)&amp;SUBSTITUTE(CriteriTecnici!$C1941,CHAR(34),"'")&amp;CHAR(34)&amp;", "&amp;CHAR(34)&amp;"criterionId"&amp;CHAR(34)&amp;": "&amp;CHAR(34)&amp;SUBSTITUTE(CriteriTecnici!$D1941,CHAR(34),"'")&amp;CHAR(34)&amp;", "&amp;CHAR(34)&amp;"kind"&amp;CHAR(34)&amp;": "&amp;CHAR(34)&amp;SUBSTITUTE(CriteriTecnici!$F1941,CHAR(34),"'")&amp;CHAR(34)&amp;", "&amp;CHAR(34)&amp;"value"&amp;CHAR(34)&amp;": "&amp;SUBSTITUTE(TRIM(ROUND(IFERROR(CriteriTecnici!$N1941*1,IFERROR(NUMBERVALUE(CriteriTecnici!$N1941,".",","),IFERROR(NUMBERVALUE(CriteriTecnici!$N1941,",","."),0))),4)&amp;""),",",".")&amp;", "&amp;CHAR(34)&amp;"numerator"&amp;CHAR(34)&amp;": "&amp;SUBSTITUTE(TRIM(ROUND(IFERROR(CriteriTecnici!$K1941*1,IFERROR(NUMBERVALUE(CriteriTecnici!$K1941,".",","),IFERROR(NUMBERVALUE(CriteriTecnici!$K1941,",","."),0))),4)&amp;""),",",".")&amp;", "&amp;CHAR(34)&amp;"denominator"&amp;CHAR(34)&amp;": "&amp;SUBSTITUTE(TRIM(ROUND(IFERROR(CriteriTecnici!$L1941*1,IFERROR(NUMBERVALUE(CriteriTecnici!$L1941,".",","),IFERROR(NUMBERVALUE(CriteriTecnici!$L1941,",","."),0))),4)&amp;""),",",".")&amp;", "&amp;CHAR(34)&amp;"flag"&amp;CHAR(34)&amp;": "&amp;SUBSTITUTE(TRIM(ROUND(IFERROR(CriteriTecnici!$M1941*1,IFERROR(NUMBERVALUE(CriteriTecnici!$M1941,".",","),IFERROR(NUMBERVALUE(CriteriTecnici!$M1941,",","."),0))),4)&amp;""),",",".")&amp;", "&amp;CHAR(34)&amp;"rawScore"&amp;CHAR(34)&amp;": "&amp;SUBSTITUTE(TRIM(ROUND(IFERROR(CriteriTecnici!$O1941*1,IFERROR(NUMBERVALUE(CriteriTecnici!$O1941,".",","),IFERROR(NUMBERVALUE(CriteriTecnici!$O1941,",","."),0))),4)&amp;""),",",".")&amp;CHAR(125)&amp;IF(TRUE,",",""))</f>
        <v/>
      </c>
    </row>
    <row r="2043">
      <c r="A2043" s="82">
        <f>IF(CriteriTecnici!$A1942="","","    "&amp;CHAR(123)&amp;CHAR(34)&amp;"bidderId"&amp;CHAR(34)&amp;": "&amp;CHAR(34)&amp;SUBSTITUTE(CriteriTecnici!$A1942,CHAR(34),"'")&amp;CHAR(34)&amp;", "&amp;CHAR(34)&amp;"lotId"&amp;CHAR(34)&amp;": "&amp;CHAR(34)&amp;SUBSTITUTE(CriteriTecnici!$C1942,CHAR(34),"'")&amp;CHAR(34)&amp;", "&amp;CHAR(34)&amp;"criterionId"&amp;CHAR(34)&amp;": "&amp;CHAR(34)&amp;SUBSTITUTE(CriteriTecnici!$D1942,CHAR(34),"'")&amp;CHAR(34)&amp;", "&amp;CHAR(34)&amp;"kind"&amp;CHAR(34)&amp;": "&amp;CHAR(34)&amp;SUBSTITUTE(CriteriTecnici!$F1942,CHAR(34),"'")&amp;CHAR(34)&amp;", "&amp;CHAR(34)&amp;"value"&amp;CHAR(34)&amp;": "&amp;SUBSTITUTE(TRIM(ROUND(IFERROR(CriteriTecnici!$N1942*1,IFERROR(NUMBERVALUE(CriteriTecnici!$N1942,".",","),IFERROR(NUMBERVALUE(CriteriTecnici!$N1942,",","."),0))),4)&amp;""),",",".")&amp;", "&amp;CHAR(34)&amp;"numerator"&amp;CHAR(34)&amp;": "&amp;SUBSTITUTE(TRIM(ROUND(IFERROR(CriteriTecnici!$K1942*1,IFERROR(NUMBERVALUE(CriteriTecnici!$K1942,".",","),IFERROR(NUMBERVALUE(CriteriTecnici!$K1942,",","."),0))),4)&amp;""),",",".")&amp;", "&amp;CHAR(34)&amp;"denominator"&amp;CHAR(34)&amp;": "&amp;SUBSTITUTE(TRIM(ROUND(IFERROR(CriteriTecnici!$L1942*1,IFERROR(NUMBERVALUE(CriteriTecnici!$L1942,".",","),IFERROR(NUMBERVALUE(CriteriTecnici!$L1942,",","."),0))),4)&amp;""),",",".")&amp;", "&amp;CHAR(34)&amp;"flag"&amp;CHAR(34)&amp;": "&amp;SUBSTITUTE(TRIM(ROUND(IFERROR(CriteriTecnici!$M1942*1,IFERROR(NUMBERVALUE(CriteriTecnici!$M1942,".",","),IFERROR(NUMBERVALUE(CriteriTecnici!$M1942,",","."),0))),4)&amp;""),",",".")&amp;", "&amp;CHAR(34)&amp;"rawScore"&amp;CHAR(34)&amp;": "&amp;SUBSTITUTE(TRIM(ROUND(IFERROR(CriteriTecnici!$O1942*1,IFERROR(NUMBERVALUE(CriteriTecnici!$O1942,".",","),IFERROR(NUMBERVALUE(CriteriTecnici!$O1942,",","."),0))),4)&amp;""),",",".")&amp;CHAR(125)&amp;IF(TRUE,",",""))</f>
        <v/>
      </c>
    </row>
    <row r="2044">
      <c r="A2044" s="82">
        <f>IF(CriteriTecnici!$A1943="","","    "&amp;CHAR(123)&amp;CHAR(34)&amp;"bidderId"&amp;CHAR(34)&amp;": "&amp;CHAR(34)&amp;SUBSTITUTE(CriteriTecnici!$A1943,CHAR(34),"'")&amp;CHAR(34)&amp;", "&amp;CHAR(34)&amp;"lotId"&amp;CHAR(34)&amp;": "&amp;CHAR(34)&amp;SUBSTITUTE(CriteriTecnici!$C1943,CHAR(34),"'")&amp;CHAR(34)&amp;", "&amp;CHAR(34)&amp;"criterionId"&amp;CHAR(34)&amp;": "&amp;CHAR(34)&amp;SUBSTITUTE(CriteriTecnici!$D1943,CHAR(34),"'")&amp;CHAR(34)&amp;", "&amp;CHAR(34)&amp;"kind"&amp;CHAR(34)&amp;": "&amp;CHAR(34)&amp;SUBSTITUTE(CriteriTecnici!$F1943,CHAR(34),"'")&amp;CHAR(34)&amp;", "&amp;CHAR(34)&amp;"value"&amp;CHAR(34)&amp;": "&amp;SUBSTITUTE(TRIM(ROUND(IFERROR(CriteriTecnici!$N1943*1,IFERROR(NUMBERVALUE(CriteriTecnici!$N1943,".",","),IFERROR(NUMBERVALUE(CriteriTecnici!$N1943,",","."),0))),4)&amp;""),",",".")&amp;", "&amp;CHAR(34)&amp;"numerator"&amp;CHAR(34)&amp;": "&amp;SUBSTITUTE(TRIM(ROUND(IFERROR(CriteriTecnici!$K1943*1,IFERROR(NUMBERVALUE(CriteriTecnici!$K1943,".",","),IFERROR(NUMBERVALUE(CriteriTecnici!$K1943,",","."),0))),4)&amp;""),",",".")&amp;", "&amp;CHAR(34)&amp;"denominator"&amp;CHAR(34)&amp;": "&amp;SUBSTITUTE(TRIM(ROUND(IFERROR(CriteriTecnici!$L1943*1,IFERROR(NUMBERVALUE(CriteriTecnici!$L1943,".",","),IFERROR(NUMBERVALUE(CriteriTecnici!$L1943,",","."),0))),4)&amp;""),",",".")&amp;", "&amp;CHAR(34)&amp;"flag"&amp;CHAR(34)&amp;": "&amp;SUBSTITUTE(TRIM(ROUND(IFERROR(CriteriTecnici!$M1943*1,IFERROR(NUMBERVALUE(CriteriTecnici!$M1943,".",","),IFERROR(NUMBERVALUE(CriteriTecnici!$M1943,",","."),0))),4)&amp;""),",",".")&amp;", "&amp;CHAR(34)&amp;"rawScore"&amp;CHAR(34)&amp;": "&amp;SUBSTITUTE(TRIM(ROUND(IFERROR(CriteriTecnici!$O1943*1,IFERROR(NUMBERVALUE(CriteriTecnici!$O1943,".",","),IFERROR(NUMBERVALUE(CriteriTecnici!$O1943,",","."),0))),4)&amp;""),",",".")&amp;CHAR(125)&amp;IF(TRUE,",",""))</f>
        <v/>
      </c>
    </row>
    <row r="2045">
      <c r="A2045" s="82">
        <f>IF(CriteriTecnici!$A1944="","","    "&amp;CHAR(123)&amp;CHAR(34)&amp;"bidderId"&amp;CHAR(34)&amp;": "&amp;CHAR(34)&amp;SUBSTITUTE(CriteriTecnici!$A1944,CHAR(34),"'")&amp;CHAR(34)&amp;", "&amp;CHAR(34)&amp;"lotId"&amp;CHAR(34)&amp;": "&amp;CHAR(34)&amp;SUBSTITUTE(CriteriTecnici!$C1944,CHAR(34),"'")&amp;CHAR(34)&amp;", "&amp;CHAR(34)&amp;"criterionId"&amp;CHAR(34)&amp;": "&amp;CHAR(34)&amp;SUBSTITUTE(CriteriTecnici!$D1944,CHAR(34),"'")&amp;CHAR(34)&amp;", "&amp;CHAR(34)&amp;"kind"&amp;CHAR(34)&amp;": "&amp;CHAR(34)&amp;SUBSTITUTE(CriteriTecnici!$F1944,CHAR(34),"'")&amp;CHAR(34)&amp;", "&amp;CHAR(34)&amp;"value"&amp;CHAR(34)&amp;": "&amp;SUBSTITUTE(TRIM(ROUND(IFERROR(CriteriTecnici!$N1944*1,IFERROR(NUMBERVALUE(CriteriTecnici!$N1944,".",","),IFERROR(NUMBERVALUE(CriteriTecnici!$N1944,",","."),0))),4)&amp;""),",",".")&amp;", "&amp;CHAR(34)&amp;"numerator"&amp;CHAR(34)&amp;": "&amp;SUBSTITUTE(TRIM(ROUND(IFERROR(CriteriTecnici!$K1944*1,IFERROR(NUMBERVALUE(CriteriTecnici!$K1944,".",","),IFERROR(NUMBERVALUE(CriteriTecnici!$K1944,",","."),0))),4)&amp;""),",",".")&amp;", "&amp;CHAR(34)&amp;"denominator"&amp;CHAR(34)&amp;": "&amp;SUBSTITUTE(TRIM(ROUND(IFERROR(CriteriTecnici!$L1944*1,IFERROR(NUMBERVALUE(CriteriTecnici!$L1944,".",","),IFERROR(NUMBERVALUE(CriteriTecnici!$L1944,",","."),0))),4)&amp;""),",",".")&amp;", "&amp;CHAR(34)&amp;"flag"&amp;CHAR(34)&amp;": "&amp;SUBSTITUTE(TRIM(ROUND(IFERROR(CriteriTecnici!$M1944*1,IFERROR(NUMBERVALUE(CriteriTecnici!$M1944,".",","),IFERROR(NUMBERVALUE(CriteriTecnici!$M1944,",","."),0))),4)&amp;""),",",".")&amp;", "&amp;CHAR(34)&amp;"rawScore"&amp;CHAR(34)&amp;": "&amp;SUBSTITUTE(TRIM(ROUND(IFERROR(CriteriTecnici!$O1944*1,IFERROR(NUMBERVALUE(CriteriTecnici!$O1944,".",","),IFERROR(NUMBERVALUE(CriteriTecnici!$O1944,",","."),0))),4)&amp;""),",",".")&amp;CHAR(125)&amp;IF(TRUE,",",""))</f>
        <v/>
      </c>
    </row>
    <row r="2046">
      <c r="A2046" s="82">
        <f>IF(CriteriTecnici!$A1945="","","    "&amp;CHAR(123)&amp;CHAR(34)&amp;"bidderId"&amp;CHAR(34)&amp;": "&amp;CHAR(34)&amp;SUBSTITUTE(CriteriTecnici!$A1945,CHAR(34),"'")&amp;CHAR(34)&amp;", "&amp;CHAR(34)&amp;"lotId"&amp;CHAR(34)&amp;": "&amp;CHAR(34)&amp;SUBSTITUTE(CriteriTecnici!$C1945,CHAR(34),"'")&amp;CHAR(34)&amp;", "&amp;CHAR(34)&amp;"criterionId"&amp;CHAR(34)&amp;": "&amp;CHAR(34)&amp;SUBSTITUTE(CriteriTecnici!$D1945,CHAR(34),"'")&amp;CHAR(34)&amp;", "&amp;CHAR(34)&amp;"kind"&amp;CHAR(34)&amp;": "&amp;CHAR(34)&amp;SUBSTITUTE(CriteriTecnici!$F1945,CHAR(34),"'")&amp;CHAR(34)&amp;", "&amp;CHAR(34)&amp;"value"&amp;CHAR(34)&amp;": "&amp;SUBSTITUTE(TRIM(ROUND(IFERROR(CriteriTecnici!$N1945*1,IFERROR(NUMBERVALUE(CriteriTecnici!$N1945,".",","),IFERROR(NUMBERVALUE(CriteriTecnici!$N1945,",","."),0))),4)&amp;""),",",".")&amp;", "&amp;CHAR(34)&amp;"numerator"&amp;CHAR(34)&amp;": "&amp;SUBSTITUTE(TRIM(ROUND(IFERROR(CriteriTecnici!$K1945*1,IFERROR(NUMBERVALUE(CriteriTecnici!$K1945,".",","),IFERROR(NUMBERVALUE(CriteriTecnici!$K1945,",","."),0))),4)&amp;""),",",".")&amp;", "&amp;CHAR(34)&amp;"denominator"&amp;CHAR(34)&amp;": "&amp;SUBSTITUTE(TRIM(ROUND(IFERROR(CriteriTecnici!$L1945*1,IFERROR(NUMBERVALUE(CriteriTecnici!$L1945,".",","),IFERROR(NUMBERVALUE(CriteriTecnici!$L1945,",","."),0))),4)&amp;""),",",".")&amp;", "&amp;CHAR(34)&amp;"flag"&amp;CHAR(34)&amp;": "&amp;SUBSTITUTE(TRIM(ROUND(IFERROR(CriteriTecnici!$M1945*1,IFERROR(NUMBERVALUE(CriteriTecnici!$M1945,".",","),IFERROR(NUMBERVALUE(CriteriTecnici!$M1945,",","."),0))),4)&amp;""),",",".")&amp;", "&amp;CHAR(34)&amp;"rawScore"&amp;CHAR(34)&amp;": "&amp;SUBSTITUTE(TRIM(ROUND(IFERROR(CriteriTecnici!$O1945*1,IFERROR(NUMBERVALUE(CriteriTecnici!$O1945,".",","),IFERROR(NUMBERVALUE(CriteriTecnici!$O1945,",","."),0))),4)&amp;""),",",".")&amp;CHAR(125)&amp;IF(TRUE,",",""))</f>
        <v/>
      </c>
    </row>
    <row r="2047">
      <c r="A2047" s="82">
        <f>IF(CriteriTecnici!$A1946="","","    "&amp;CHAR(123)&amp;CHAR(34)&amp;"bidderId"&amp;CHAR(34)&amp;": "&amp;CHAR(34)&amp;SUBSTITUTE(CriteriTecnici!$A1946,CHAR(34),"'")&amp;CHAR(34)&amp;", "&amp;CHAR(34)&amp;"lotId"&amp;CHAR(34)&amp;": "&amp;CHAR(34)&amp;SUBSTITUTE(CriteriTecnici!$C1946,CHAR(34),"'")&amp;CHAR(34)&amp;", "&amp;CHAR(34)&amp;"criterionId"&amp;CHAR(34)&amp;": "&amp;CHAR(34)&amp;SUBSTITUTE(CriteriTecnici!$D1946,CHAR(34),"'")&amp;CHAR(34)&amp;", "&amp;CHAR(34)&amp;"kind"&amp;CHAR(34)&amp;": "&amp;CHAR(34)&amp;SUBSTITUTE(CriteriTecnici!$F1946,CHAR(34),"'")&amp;CHAR(34)&amp;", "&amp;CHAR(34)&amp;"value"&amp;CHAR(34)&amp;": "&amp;SUBSTITUTE(TRIM(ROUND(IFERROR(CriteriTecnici!$N1946*1,IFERROR(NUMBERVALUE(CriteriTecnici!$N1946,".",","),IFERROR(NUMBERVALUE(CriteriTecnici!$N1946,",","."),0))),4)&amp;""),",",".")&amp;", "&amp;CHAR(34)&amp;"numerator"&amp;CHAR(34)&amp;": "&amp;SUBSTITUTE(TRIM(ROUND(IFERROR(CriteriTecnici!$K1946*1,IFERROR(NUMBERVALUE(CriteriTecnici!$K1946,".",","),IFERROR(NUMBERVALUE(CriteriTecnici!$K1946,",","."),0))),4)&amp;""),",",".")&amp;", "&amp;CHAR(34)&amp;"denominator"&amp;CHAR(34)&amp;": "&amp;SUBSTITUTE(TRIM(ROUND(IFERROR(CriteriTecnici!$L1946*1,IFERROR(NUMBERVALUE(CriteriTecnici!$L1946,".",","),IFERROR(NUMBERVALUE(CriteriTecnici!$L1946,",","."),0))),4)&amp;""),",",".")&amp;", "&amp;CHAR(34)&amp;"flag"&amp;CHAR(34)&amp;": "&amp;SUBSTITUTE(TRIM(ROUND(IFERROR(CriteriTecnici!$M1946*1,IFERROR(NUMBERVALUE(CriteriTecnici!$M1946,".",","),IFERROR(NUMBERVALUE(CriteriTecnici!$M1946,",","."),0))),4)&amp;""),",",".")&amp;", "&amp;CHAR(34)&amp;"rawScore"&amp;CHAR(34)&amp;": "&amp;SUBSTITUTE(TRIM(ROUND(IFERROR(CriteriTecnici!$O1946*1,IFERROR(NUMBERVALUE(CriteriTecnici!$O1946,".",","),IFERROR(NUMBERVALUE(CriteriTecnici!$O1946,",","."),0))),4)&amp;""),",",".")&amp;CHAR(125)&amp;IF(TRUE,",",""))</f>
        <v/>
      </c>
    </row>
    <row r="2048">
      <c r="A2048" s="82">
        <f>IF(CriteriTecnici!$A1947="","","    "&amp;CHAR(123)&amp;CHAR(34)&amp;"bidderId"&amp;CHAR(34)&amp;": "&amp;CHAR(34)&amp;SUBSTITUTE(CriteriTecnici!$A1947,CHAR(34),"'")&amp;CHAR(34)&amp;", "&amp;CHAR(34)&amp;"lotId"&amp;CHAR(34)&amp;": "&amp;CHAR(34)&amp;SUBSTITUTE(CriteriTecnici!$C1947,CHAR(34),"'")&amp;CHAR(34)&amp;", "&amp;CHAR(34)&amp;"criterionId"&amp;CHAR(34)&amp;": "&amp;CHAR(34)&amp;SUBSTITUTE(CriteriTecnici!$D1947,CHAR(34),"'")&amp;CHAR(34)&amp;", "&amp;CHAR(34)&amp;"kind"&amp;CHAR(34)&amp;": "&amp;CHAR(34)&amp;SUBSTITUTE(CriteriTecnici!$F1947,CHAR(34),"'")&amp;CHAR(34)&amp;", "&amp;CHAR(34)&amp;"value"&amp;CHAR(34)&amp;": "&amp;SUBSTITUTE(TRIM(ROUND(IFERROR(CriteriTecnici!$N1947*1,IFERROR(NUMBERVALUE(CriteriTecnici!$N1947,".",","),IFERROR(NUMBERVALUE(CriteriTecnici!$N1947,",","."),0))),4)&amp;""),",",".")&amp;", "&amp;CHAR(34)&amp;"numerator"&amp;CHAR(34)&amp;": "&amp;SUBSTITUTE(TRIM(ROUND(IFERROR(CriteriTecnici!$K1947*1,IFERROR(NUMBERVALUE(CriteriTecnici!$K1947,".",","),IFERROR(NUMBERVALUE(CriteriTecnici!$K1947,",","."),0))),4)&amp;""),",",".")&amp;", "&amp;CHAR(34)&amp;"denominator"&amp;CHAR(34)&amp;": "&amp;SUBSTITUTE(TRIM(ROUND(IFERROR(CriteriTecnici!$L1947*1,IFERROR(NUMBERVALUE(CriteriTecnici!$L1947,".",","),IFERROR(NUMBERVALUE(CriteriTecnici!$L1947,",","."),0))),4)&amp;""),",",".")&amp;", "&amp;CHAR(34)&amp;"flag"&amp;CHAR(34)&amp;": "&amp;SUBSTITUTE(TRIM(ROUND(IFERROR(CriteriTecnici!$M1947*1,IFERROR(NUMBERVALUE(CriteriTecnici!$M1947,".",","),IFERROR(NUMBERVALUE(CriteriTecnici!$M1947,",","."),0))),4)&amp;""),",",".")&amp;", "&amp;CHAR(34)&amp;"rawScore"&amp;CHAR(34)&amp;": "&amp;SUBSTITUTE(TRIM(ROUND(IFERROR(CriteriTecnici!$O1947*1,IFERROR(NUMBERVALUE(CriteriTecnici!$O1947,".",","),IFERROR(NUMBERVALUE(CriteriTecnici!$O1947,",","."),0))),4)&amp;""),",",".")&amp;CHAR(125)&amp;IF(TRUE,",",""))</f>
        <v/>
      </c>
    </row>
    <row r="2049">
      <c r="A2049" s="82">
        <f>IF(CriteriTecnici!$A1948="","","    "&amp;CHAR(123)&amp;CHAR(34)&amp;"bidderId"&amp;CHAR(34)&amp;": "&amp;CHAR(34)&amp;SUBSTITUTE(CriteriTecnici!$A1948,CHAR(34),"'")&amp;CHAR(34)&amp;", "&amp;CHAR(34)&amp;"lotId"&amp;CHAR(34)&amp;": "&amp;CHAR(34)&amp;SUBSTITUTE(CriteriTecnici!$C1948,CHAR(34),"'")&amp;CHAR(34)&amp;", "&amp;CHAR(34)&amp;"criterionId"&amp;CHAR(34)&amp;": "&amp;CHAR(34)&amp;SUBSTITUTE(CriteriTecnici!$D1948,CHAR(34),"'")&amp;CHAR(34)&amp;", "&amp;CHAR(34)&amp;"kind"&amp;CHAR(34)&amp;": "&amp;CHAR(34)&amp;SUBSTITUTE(CriteriTecnici!$F1948,CHAR(34),"'")&amp;CHAR(34)&amp;", "&amp;CHAR(34)&amp;"value"&amp;CHAR(34)&amp;": "&amp;SUBSTITUTE(TRIM(ROUND(IFERROR(CriteriTecnici!$N1948*1,IFERROR(NUMBERVALUE(CriteriTecnici!$N1948,".",","),IFERROR(NUMBERVALUE(CriteriTecnici!$N1948,",","."),0))),4)&amp;""),",",".")&amp;", "&amp;CHAR(34)&amp;"numerator"&amp;CHAR(34)&amp;": "&amp;SUBSTITUTE(TRIM(ROUND(IFERROR(CriteriTecnici!$K1948*1,IFERROR(NUMBERVALUE(CriteriTecnici!$K1948,".",","),IFERROR(NUMBERVALUE(CriteriTecnici!$K1948,",","."),0))),4)&amp;""),",",".")&amp;", "&amp;CHAR(34)&amp;"denominator"&amp;CHAR(34)&amp;": "&amp;SUBSTITUTE(TRIM(ROUND(IFERROR(CriteriTecnici!$L1948*1,IFERROR(NUMBERVALUE(CriteriTecnici!$L1948,".",","),IFERROR(NUMBERVALUE(CriteriTecnici!$L1948,",","."),0))),4)&amp;""),",",".")&amp;", "&amp;CHAR(34)&amp;"flag"&amp;CHAR(34)&amp;": "&amp;SUBSTITUTE(TRIM(ROUND(IFERROR(CriteriTecnici!$M1948*1,IFERROR(NUMBERVALUE(CriteriTecnici!$M1948,".",","),IFERROR(NUMBERVALUE(CriteriTecnici!$M1948,",","."),0))),4)&amp;""),",",".")&amp;", "&amp;CHAR(34)&amp;"rawScore"&amp;CHAR(34)&amp;": "&amp;SUBSTITUTE(TRIM(ROUND(IFERROR(CriteriTecnici!$O1948*1,IFERROR(NUMBERVALUE(CriteriTecnici!$O1948,".",","),IFERROR(NUMBERVALUE(CriteriTecnici!$O1948,",","."),0))),4)&amp;""),",",".")&amp;CHAR(125)&amp;IF(TRUE,",",""))</f>
        <v/>
      </c>
    </row>
    <row r="2050">
      <c r="A2050" s="82">
        <f>IF(CriteriTecnici!$A1949="","","    "&amp;CHAR(123)&amp;CHAR(34)&amp;"bidderId"&amp;CHAR(34)&amp;": "&amp;CHAR(34)&amp;SUBSTITUTE(CriteriTecnici!$A1949,CHAR(34),"'")&amp;CHAR(34)&amp;", "&amp;CHAR(34)&amp;"lotId"&amp;CHAR(34)&amp;": "&amp;CHAR(34)&amp;SUBSTITUTE(CriteriTecnici!$C1949,CHAR(34),"'")&amp;CHAR(34)&amp;", "&amp;CHAR(34)&amp;"criterionId"&amp;CHAR(34)&amp;": "&amp;CHAR(34)&amp;SUBSTITUTE(CriteriTecnici!$D1949,CHAR(34),"'")&amp;CHAR(34)&amp;", "&amp;CHAR(34)&amp;"kind"&amp;CHAR(34)&amp;": "&amp;CHAR(34)&amp;SUBSTITUTE(CriteriTecnici!$F1949,CHAR(34),"'")&amp;CHAR(34)&amp;", "&amp;CHAR(34)&amp;"value"&amp;CHAR(34)&amp;": "&amp;SUBSTITUTE(TRIM(ROUND(IFERROR(CriteriTecnici!$N1949*1,IFERROR(NUMBERVALUE(CriteriTecnici!$N1949,".",","),IFERROR(NUMBERVALUE(CriteriTecnici!$N1949,",","."),0))),4)&amp;""),",",".")&amp;", "&amp;CHAR(34)&amp;"numerator"&amp;CHAR(34)&amp;": "&amp;SUBSTITUTE(TRIM(ROUND(IFERROR(CriteriTecnici!$K1949*1,IFERROR(NUMBERVALUE(CriteriTecnici!$K1949,".",","),IFERROR(NUMBERVALUE(CriteriTecnici!$K1949,",","."),0))),4)&amp;""),",",".")&amp;", "&amp;CHAR(34)&amp;"denominator"&amp;CHAR(34)&amp;": "&amp;SUBSTITUTE(TRIM(ROUND(IFERROR(CriteriTecnici!$L1949*1,IFERROR(NUMBERVALUE(CriteriTecnici!$L1949,".",","),IFERROR(NUMBERVALUE(CriteriTecnici!$L1949,",","."),0))),4)&amp;""),",",".")&amp;", "&amp;CHAR(34)&amp;"flag"&amp;CHAR(34)&amp;": "&amp;SUBSTITUTE(TRIM(ROUND(IFERROR(CriteriTecnici!$M1949*1,IFERROR(NUMBERVALUE(CriteriTecnici!$M1949,".",","),IFERROR(NUMBERVALUE(CriteriTecnici!$M1949,",","."),0))),4)&amp;""),",",".")&amp;", "&amp;CHAR(34)&amp;"rawScore"&amp;CHAR(34)&amp;": "&amp;SUBSTITUTE(TRIM(ROUND(IFERROR(CriteriTecnici!$O1949*1,IFERROR(NUMBERVALUE(CriteriTecnici!$O1949,".",","),IFERROR(NUMBERVALUE(CriteriTecnici!$O1949,",","."),0))),4)&amp;""),",",".")&amp;CHAR(125)&amp;IF(TRUE,",",""))</f>
        <v/>
      </c>
    </row>
    <row r="2051">
      <c r="A2051" s="82">
        <f>IF(CriteriTecnici!$A1950="","","    "&amp;CHAR(123)&amp;CHAR(34)&amp;"bidderId"&amp;CHAR(34)&amp;": "&amp;CHAR(34)&amp;SUBSTITUTE(CriteriTecnici!$A1950,CHAR(34),"'")&amp;CHAR(34)&amp;", "&amp;CHAR(34)&amp;"lotId"&amp;CHAR(34)&amp;": "&amp;CHAR(34)&amp;SUBSTITUTE(CriteriTecnici!$C1950,CHAR(34),"'")&amp;CHAR(34)&amp;", "&amp;CHAR(34)&amp;"criterionId"&amp;CHAR(34)&amp;": "&amp;CHAR(34)&amp;SUBSTITUTE(CriteriTecnici!$D1950,CHAR(34),"'")&amp;CHAR(34)&amp;", "&amp;CHAR(34)&amp;"kind"&amp;CHAR(34)&amp;": "&amp;CHAR(34)&amp;SUBSTITUTE(CriteriTecnici!$F1950,CHAR(34),"'")&amp;CHAR(34)&amp;", "&amp;CHAR(34)&amp;"value"&amp;CHAR(34)&amp;": "&amp;SUBSTITUTE(TRIM(ROUND(IFERROR(CriteriTecnici!$N1950*1,IFERROR(NUMBERVALUE(CriteriTecnici!$N1950,".",","),IFERROR(NUMBERVALUE(CriteriTecnici!$N1950,",","."),0))),4)&amp;""),",",".")&amp;", "&amp;CHAR(34)&amp;"numerator"&amp;CHAR(34)&amp;": "&amp;SUBSTITUTE(TRIM(ROUND(IFERROR(CriteriTecnici!$K1950*1,IFERROR(NUMBERVALUE(CriteriTecnici!$K1950,".",","),IFERROR(NUMBERVALUE(CriteriTecnici!$K1950,",","."),0))),4)&amp;""),",",".")&amp;", "&amp;CHAR(34)&amp;"denominator"&amp;CHAR(34)&amp;": "&amp;SUBSTITUTE(TRIM(ROUND(IFERROR(CriteriTecnici!$L1950*1,IFERROR(NUMBERVALUE(CriteriTecnici!$L1950,".",","),IFERROR(NUMBERVALUE(CriteriTecnici!$L1950,",","."),0))),4)&amp;""),",",".")&amp;", "&amp;CHAR(34)&amp;"flag"&amp;CHAR(34)&amp;": "&amp;SUBSTITUTE(TRIM(ROUND(IFERROR(CriteriTecnici!$M1950*1,IFERROR(NUMBERVALUE(CriteriTecnici!$M1950,".",","),IFERROR(NUMBERVALUE(CriteriTecnici!$M1950,",","."),0))),4)&amp;""),",",".")&amp;", "&amp;CHAR(34)&amp;"rawScore"&amp;CHAR(34)&amp;": "&amp;SUBSTITUTE(TRIM(ROUND(IFERROR(CriteriTecnici!$O1950*1,IFERROR(NUMBERVALUE(CriteriTecnici!$O1950,".",","),IFERROR(NUMBERVALUE(CriteriTecnici!$O1950,",","."),0))),4)&amp;""),",",".")&amp;CHAR(125)&amp;IF(TRUE,",",""))</f>
        <v/>
      </c>
    </row>
    <row r="2052">
      <c r="A2052" s="82">
        <f>IF(CriteriTecnici!$A1951="","","    "&amp;CHAR(123)&amp;CHAR(34)&amp;"bidderId"&amp;CHAR(34)&amp;": "&amp;CHAR(34)&amp;SUBSTITUTE(CriteriTecnici!$A1951,CHAR(34),"'")&amp;CHAR(34)&amp;", "&amp;CHAR(34)&amp;"lotId"&amp;CHAR(34)&amp;": "&amp;CHAR(34)&amp;SUBSTITUTE(CriteriTecnici!$C1951,CHAR(34),"'")&amp;CHAR(34)&amp;", "&amp;CHAR(34)&amp;"criterionId"&amp;CHAR(34)&amp;": "&amp;CHAR(34)&amp;SUBSTITUTE(CriteriTecnici!$D1951,CHAR(34),"'")&amp;CHAR(34)&amp;", "&amp;CHAR(34)&amp;"kind"&amp;CHAR(34)&amp;": "&amp;CHAR(34)&amp;SUBSTITUTE(CriteriTecnici!$F1951,CHAR(34),"'")&amp;CHAR(34)&amp;", "&amp;CHAR(34)&amp;"value"&amp;CHAR(34)&amp;": "&amp;SUBSTITUTE(TRIM(ROUND(IFERROR(CriteriTecnici!$N1951*1,IFERROR(NUMBERVALUE(CriteriTecnici!$N1951,".",","),IFERROR(NUMBERVALUE(CriteriTecnici!$N1951,",","."),0))),4)&amp;""),",",".")&amp;", "&amp;CHAR(34)&amp;"numerator"&amp;CHAR(34)&amp;": "&amp;SUBSTITUTE(TRIM(ROUND(IFERROR(CriteriTecnici!$K1951*1,IFERROR(NUMBERVALUE(CriteriTecnici!$K1951,".",","),IFERROR(NUMBERVALUE(CriteriTecnici!$K1951,",","."),0))),4)&amp;""),",",".")&amp;", "&amp;CHAR(34)&amp;"denominator"&amp;CHAR(34)&amp;": "&amp;SUBSTITUTE(TRIM(ROUND(IFERROR(CriteriTecnici!$L1951*1,IFERROR(NUMBERVALUE(CriteriTecnici!$L1951,".",","),IFERROR(NUMBERVALUE(CriteriTecnici!$L1951,",","."),0))),4)&amp;""),",",".")&amp;", "&amp;CHAR(34)&amp;"flag"&amp;CHAR(34)&amp;": "&amp;SUBSTITUTE(TRIM(ROUND(IFERROR(CriteriTecnici!$M1951*1,IFERROR(NUMBERVALUE(CriteriTecnici!$M1951,".",","),IFERROR(NUMBERVALUE(CriteriTecnici!$M1951,",","."),0))),4)&amp;""),",",".")&amp;", "&amp;CHAR(34)&amp;"rawScore"&amp;CHAR(34)&amp;": "&amp;SUBSTITUTE(TRIM(ROUND(IFERROR(CriteriTecnici!$O1951*1,IFERROR(NUMBERVALUE(CriteriTecnici!$O1951,".",","),IFERROR(NUMBERVALUE(CriteriTecnici!$O1951,",","."),0))),4)&amp;""),",",".")&amp;CHAR(125)&amp;IF(TRUE,",",""))</f>
        <v/>
      </c>
    </row>
    <row r="2053">
      <c r="A2053" s="82">
        <f>IF(CriteriTecnici!$A1952="","","    "&amp;CHAR(123)&amp;CHAR(34)&amp;"bidderId"&amp;CHAR(34)&amp;": "&amp;CHAR(34)&amp;SUBSTITUTE(CriteriTecnici!$A1952,CHAR(34),"'")&amp;CHAR(34)&amp;", "&amp;CHAR(34)&amp;"lotId"&amp;CHAR(34)&amp;": "&amp;CHAR(34)&amp;SUBSTITUTE(CriteriTecnici!$C1952,CHAR(34),"'")&amp;CHAR(34)&amp;", "&amp;CHAR(34)&amp;"criterionId"&amp;CHAR(34)&amp;": "&amp;CHAR(34)&amp;SUBSTITUTE(CriteriTecnici!$D1952,CHAR(34),"'")&amp;CHAR(34)&amp;", "&amp;CHAR(34)&amp;"kind"&amp;CHAR(34)&amp;": "&amp;CHAR(34)&amp;SUBSTITUTE(CriteriTecnici!$F1952,CHAR(34),"'")&amp;CHAR(34)&amp;", "&amp;CHAR(34)&amp;"value"&amp;CHAR(34)&amp;": "&amp;SUBSTITUTE(TRIM(ROUND(IFERROR(CriteriTecnici!$N1952*1,IFERROR(NUMBERVALUE(CriteriTecnici!$N1952,".",","),IFERROR(NUMBERVALUE(CriteriTecnici!$N1952,",","."),0))),4)&amp;""),",",".")&amp;", "&amp;CHAR(34)&amp;"numerator"&amp;CHAR(34)&amp;": "&amp;SUBSTITUTE(TRIM(ROUND(IFERROR(CriteriTecnici!$K1952*1,IFERROR(NUMBERVALUE(CriteriTecnici!$K1952,".",","),IFERROR(NUMBERVALUE(CriteriTecnici!$K1952,",","."),0))),4)&amp;""),",",".")&amp;", "&amp;CHAR(34)&amp;"denominator"&amp;CHAR(34)&amp;": "&amp;SUBSTITUTE(TRIM(ROUND(IFERROR(CriteriTecnici!$L1952*1,IFERROR(NUMBERVALUE(CriteriTecnici!$L1952,".",","),IFERROR(NUMBERVALUE(CriteriTecnici!$L1952,",","."),0))),4)&amp;""),",",".")&amp;", "&amp;CHAR(34)&amp;"flag"&amp;CHAR(34)&amp;": "&amp;SUBSTITUTE(TRIM(ROUND(IFERROR(CriteriTecnici!$M1952*1,IFERROR(NUMBERVALUE(CriteriTecnici!$M1952,".",","),IFERROR(NUMBERVALUE(CriteriTecnici!$M1952,",","."),0))),4)&amp;""),",",".")&amp;", "&amp;CHAR(34)&amp;"rawScore"&amp;CHAR(34)&amp;": "&amp;SUBSTITUTE(TRIM(ROUND(IFERROR(CriteriTecnici!$O1952*1,IFERROR(NUMBERVALUE(CriteriTecnici!$O1952,".",","),IFERROR(NUMBERVALUE(CriteriTecnici!$O1952,",","."),0))),4)&amp;""),",",".")&amp;CHAR(125)&amp;IF(TRUE,",",""))</f>
        <v/>
      </c>
    </row>
    <row r="2054">
      <c r="A2054" s="82">
        <f>IF(CriteriTecnici!$A1953="","","    "&amp;CHAR(123)&amp;CHAR(34)&amp;"bidderId"&amp;CHAR(34)&amp;": "&amp;CHAR(34)&amp;SUBSTITUTE(CriteriTecnici!$A1953,CHAR(34),"'")&amp;CHAR(34)&amp;", "&amp;CHAR(34)&amp;"lotId"&amp;CHAR(34)&amp;": "&amp;CHAR(34)&amp;SUBSTITUTE(CriteriTecnici!$C1953,CHAR(34),"'")&amp;CHAR(34)&amp;", "&amp;CHAR(34)&amp;"criterionId"&amp;CHAR(34)&amp;": "&amp;CHAR(34)&amp;SUBSTITUTE(CriteriTecnici!$D1953,CHAR(34),"'")&amp;CHAR(34)&amp;", "&amp;CHAR(34)&amp;"kind"&amp;CHAR(34)&amp;": "&amp;CHAR(34)&amp;SUBSTITUTE(CriteriTecnici!$F1953,CHAR(34),"'")&amp;CHAR(34)&amp;", "&amp;CHAR(34)&amp;"value"&amp;CHAR(34)&amp;": "&amp;SUBSTITUTE(TRIM(ROUND(IFERROR(CriteriTecnici!$N1953*1,IFERROR(NUMBERVALUE(CriteriTecnici!$N1953,".",","),IFERROR(NUMBERVALUE(CriteriTecnici!$N1953,",","."),0))),4)&amp;""),",",".")&amp;", "&amp;CHAR(34)&amp;"numerator"&amp;CHAR(34)&amp;": "&amp;SUBSTITUTE(TRIM(ROUND(IFERROR(CriteriTecnici!$K1953*1,IFERROR(NUMBERVALUE(CriteriTecnici!$K1953,".",","),IFERROR(NUMBERVALUE(CriteriTecnici!$K1953,",","."),0))),4)&amp;""),",",".")&amp;", "&amp;CHAR(34)&amp;"denominator"&amp;CHAR(34)&amp;": "&amp;SUBSTITUTE(TRIM(ROUND(IFERROR(CriteriTecnici!$L1953*1,IFERROR(NUMBERVALUE(CriteriTecnici!$L1953,".",","),IFERROR(NUMBERVALUE(CriteriTecnici!$L1953,",","."),0))),4)&amp;""),",",".")&amp;", "&amp;CHAR(34)&amp;"flag"&amp;CHAR(34)&amp;": "&amp;SUBSTITUTE(TRIM(ROUND(IFERROR(CriteriTecnici!$M1953*1,IFERROR(NUMBERVALUE(CriteriTecnici!$M1953,".",","),IFERROR(NUMBERVALUE(CriteriTecnici!$M1953,",","."),0))),4)&amp;""),",",".")&amp;", "&amp;CHAR(34)&amp;"rawScore"&amp;CHAR(34)&amp;": "&amp;SUBSTITUTE(TRIM(ROUND(IFERROR(CriteriTecnici!$O1953*1,IFERROR(NUMBERVALUE(CriteriTecnici!$O1953,".",","),IFERROR(NUMBERVALUE(CriteriTecnici!$O1953,",","."),0))),4)&amp;""),",",".")&amp;CHAR(125)&amp;IF(TRUE,",",""))</f>
        <v/>
      </c>
    </row>
    <row r="2055">
      <c r="A2055" s="82">
        <f>IF(CriteriTecnici!$A1954="","","    "&amp;CHAR(123)&amp;CHAR(34)&amp;"bidderId"&amp;CHAR(34)&amp;": "&amp;CHAR(34)&amp;SUBSTITUTE(CriteriTecnici!$A1954,CHAR(34),"'")&amp;CHAR(34)&amp;", "&amp;CHAR(34)&amp;"lotId"&amp;CHAR(34)&amp;": "&amp;CHAR(34)&amp;SUBSTITUTE(CriteriTecnici!$C1954,CHAR(34),"'")&amp;CHAR(34)&amp;", "&amp;CHAR(34)&amp;"criterionId"&amp;CHAR(34)&amp;": "&amp;CHAR(34)&amp;SUBSTITUTE(CriteriTecnici!$D1954,CHAR(34),"'")&amp;CHAR(34)&amp;", "&amp;CHAR(34)&amp;"kind"&amp;CHAR(34)&amp;": "&amp;CHAR(34)&amp;SUBSTITUTE(CriteriTecnici!$F1954,CHAR(34),"'")&amp;CHAR(34)&amp;", "&amp;CHAR(34)&amp;"value"&amp;CHAR(34)&amp;": "&amp;SUBSTITUTE(TRIM(ROUND(IFERROR(CriteriTecnici!$N1954*1,IFERROR(NUMBERVALUE(CriteriTecnici!$N1954,".",","),IFERROR(NUMBERVALUE(CriteriTecnici!$N1954,",","."),0))),4)&amp;""),",",".")&amp;", "&amp;CHAR(34)&amp;"numerator"&amp;CHAR(34)&amp;": "&amp;SUBSTITUTE(TRIM(ROUND(IFERROR(CriteriTecnici!$K1954*1,IFERROR(NUMBERVALUE(CriteriTecnici!$K1954,".",","),IFERROR(NUMBERVALUE(CriteriTecnici!$K1954,",","."),0))),4)&amp;""),",",".")&amp;", "&amp;CHAR(34)&amp;"denominator"&amp;CHAR(34)&amp;": "&amp;SUBSTITUTE(TRIM(ROUND(IFERROR(CriteriTecnici!$L1954*1,IFERROR(NUMBERVALUE(CriteriTecnici!$L1954,".",","),IFERROR(NUMBERVALUE(CriteriTecnici!$L1954,",","."),0))),4)&amp;""),",",".")&amp;", "&amp;CHAR(34)&amp;"flag"&amp;CHAR(34)&amp;": "&amp;SUBSTITUTE(TRIM(ROUND(IFERROR(CriteriTecnici!$M1954*1,IFERROR(NUMBERVALUE(CriteriTecnici!$M1954,".",","),IFERROR(NUMBERVALUE(CriteriTecnici!$M1954,",","."),0))),4)&amp;""),",",".")&amp;", "&amp;CHAR(34)&amp;"rawScore"&amp;CHAR(34)&amp;": "&amp;SUBSTITUTE(TRIM(ROUND(IFERROR(CriteriTecnici!$O1954*1,IFERROR(NUMBERVALUE(CriteriTecnici!$O1954,".",","),IFERROR(NUMBERVALUE(CriteriTecnici!$O1954,",","."),0))),4)&amp;""),",",".")&amp;CHAR(125)&amp;IF(TRUE,",",""))</f>
        <v/>
      </c>
    </row>
    <row r="2056">
      <c r="A2056" s="82">
        <f>IF(CriteriTecnici!$A1955="","","    "&amp;CHAR(123)&amp;CHAR(34)&amp;"bidderId"&amp;CHAR(34)&amp;": "&amp;CHAR(34)&amp;SUBSTITUTE(CriteriTecnici!$A1955,CHAR(34),"'")&amp;CHAR(34)&amp;", "&amp;CHAR(34)&amp;"lotId"&amp;CHAR(34)&amp;": "&amp;CHAR(34)&amp;SUBSTITUTE(CriteriTecnici!$C1955,CHAR(34),"'")&amp;CHAR(34)&amp;", "&amp;CHAR(34)&amp;"criterionId"&amp;CHAR(34)&amp;": "&amp;CHAR(34)&amp;SUBSTITUTE(CriteriTecnici!$D1955,CHAR(34),"'")&amp;CHAR(34)&amp;", "&amp;CHAR(34)&amp;"kind"&amp;CHAR(34)&amp;": "&amp;CHAR(34)&amp;SUBSTITUTE(CriteriTecnici!$F1955,CHAR(34),"'")&amp;CHAR(34)&amp;", "&amp;CHAR(34)&amp;"value"&amp;CHAR(34)&amp;": "&amp;SUBSTITUTE(TRIM(ROUND(IFERROR(CriteriTecnici!$N1955*1,IFERROR(NUMBERVALUE(CriteriTecnici!$N1955,".",","),IFERROR(NUMBERVALUE(CriteriTecnici!$N1955,",","."),0))),4)&amp;""),",",".")&amp;", "&amp;CHAR(34)&amp;"numerator"&amp;CHAR(34)&amp;": "&amp;SUBSTITUTE(TRIM(ROUND(IFERROR(CriteriTecnici!$K1955*1,IFERROR(NUMBERVALUE(CriteriTecnici!$K1955,".",","),IFERROR(NUMBERVALUE(CriteriTecnici!$K1955,",","."),0))),4)&amp;""),",",".")&amp;", "&amp;CHAR(34)&amp;"denominator"&amp;CHAR(34)&amp;": "&amp;SUBSTITUTE(TRIM(ROUND(IFERROR(CriteriTecnici!$L1955*1,IFERROR(NUMBERVALUE(CriteriTecnici!$L1955,".",","),IFERROR(NUMBERVALUE(CriteriTecnici!$L1955,",","."),0))),4)&amp;""),",",".")&amp;", "&amp;CHAR(34)&amp;"flag"&amp;CHAR(34)&amp;": "&amp;SUBSTITUTE(TRIM(ROUND(IFERROR(CriteriTecnici!$M1955*1,IFERROR(NUMBERVALUE(CriteriTecnici!$M1955,".",","),IFERROR(NUMBERVALUE(CriteriTecnici!$M1955,",","."),0))),4)&amp;""),",",".")&amp;", "&amp;CHAR(34)&amp;"rawScore"&amp;CHAR(34)&amp;": "&amp;SUBSTITUTE(TRIM(ROUND(IFERROR(CriteriTecnici!$O1955*1,IFERROR(NUMBERVALUE(CriteriTecnici!$O1955,".",","),IFERROR(NUMBERVALUE(CriteriTecnici!$O1955,",","."),0))),4)&amp;""),",",".")&amp;CHAR(125)&amp;IF(TRUE,",",""))</f>
        <v/>
      </c>
    </row>
    <row r="2057">
      <c r="A2057" s="82">
        <f>IF(CriteriTecnici!$A1956="","","    "&amp;CHAR(123)&amp;CHAR(34)&amp;"bidderId"&amp;CHAR(34)&amp;": "&amp;CHAR(34)&amp;SUBSTITUTE(CriteriTecnici!$A1956,CHAR(34),"'")&amp;CHAR(34)&amp;", "&amp;CHAR(34)&amp;"lotId"&amp;CHAR(34)&amp;": "&amp;CHAR(34)&amp;SUBSTITUTE(CriteriTecnici!$C1956,CHAR(34),"'")&amp;CHAR(34)&amp;", "&amp;CHAR(34)&amp;"criterionId"&amp;CHAR(34)&amp;": "&amp;CHAR(34)&amp;SUBSTITUTE(CriteriTecnici!$D1956,CHAR(34),"'")&amp;CHAR(34)&amp;", "&amp;CHAR(34)&amp;"kind"&amp;CHAR(34)&amp;": "&amp;CHAR(34)&amp;SUBSTITUTE(CriteriTecnici!$F1956,CHAR(34),"'")&amp;CHAR(34)&amp;", "&amp;CHAR(34)&amp;"value"&amp;CHAR(34)&amp;": "&amp;SUBSTITUTE(TRIM(ROUND(IFERROR(CriteriTecnici!$N1956*1,IFERROR(NUMBERVALUE(CriteriTecnici!$N1956,".",","),IFERROR(NUMBERVALUE(CriteriTecnici!$N1956,",","."),0))),4)&amp;""),",",".")&amp;", "&amp;CHAR(34)&amp;"numerator"&amp;CHAR(34)&amp;": "&amp;SUBSTITUTE(TRIM(ROUND(IFERROR(CriteriTecnici!$K1956*1,IFERROR(NUMBERVALUE(CriteriTecnici!$K1956,".",","),IFERROR(NUMBERVALUE(CriteriTecnici!$K1956,",","."),0))),4)&amp;""),",",".")&amp;", "&amp;CHAR(34)&amp;"denominator"&amp;CHAR(34)&amp;": "&amp;SUBSTITUTE(TRIM(ROUND(IFERROR(CriteriTecnici!$L1956*1,IFERROR(NUMBERVALUE(CriteriTecnici!$L1956,".",","),IFERROR(NUMBERVALUE(CriteriTecnici!$L1956,",","."),0))),4)&amp;""),",",".")&amp;", "&amp;CHAR(34)&amp;"flag"&amp;CHAR(34)&amp;": "&amp;SUBSTITUTE(TRIM(ROUND(IFERROR(CriteriTecnici!$M1956*1,IFERROR(NUMBERVALUE(CriteriTecnici!$M1956,".",","),IFERROR(NUMBERVALUE(CriteriTecnici!$M1956,",","."),0))),4)&amp;""),",",".")&amp;", "&amp;CHAR(34)&amp;"rawScore"&amp;CHAR(34)&amp;": "&amp;SUBSTITUTE(TRIM(ROUND(IFERROR(CriteriTecnici!$O1956*1,IFERROR(NUMBERVALUE(CriteriTecnici!$O1956,".",","),IFERROR(NUMBERVALUE(CriteriTecnici!$O1956,",","."),0))),4)&amp;""),",",".")&amp;CHAR(125)&amp;IF(TRUE,",",""))</f>
        <v/>
      </c>
    </row>
    <row r="2058">
      <c r="A2058" s="82">
        <f>IF(CriteriTecnici!$A1957="","","    "&amp;CHAR(123)&amp;CHAR(34)&amp;"bidderId"&amp;CHAR(34)&amp;": "&amp;CHAR(34)&amp;SUBSTITUTE(CriteriTecnici!$A1957,CHAR(34),"'")&amp;CHAR(34)&amp;", "&amp;CHAR(34)&amp;"lotId"&amp;CHAR(34)&amp;": "&amp;CHAR(34)&amp;SUBSTITUTE(CriteriTecnici!$C1957,CHAR(34),"'")&amp;CHAR(34)&amp;", "&amp;CHAR(34)&amp;"criterionId"&amp;CHAR(34)&amp;": "&amp;CHAR(34)&amp;SUBSTITUTE(CriteriTecnici!$D1957,CHAR(34),"'")&amp;CHAR(34)&amp;", "&amp;CHAR(34)&amp;"kind"&amp;CHAR(34)&amp;": "&amp;CHAR(34)&amp;SUBSTITUTE(CriteriTecnici!$F1957,CHAR(34),"'")&amp;CHAR(34)&amp;", "&amp;CHAR(34)&amp;"value"&amp;CHAR(34)&amp;": "&amp;SUBSTITUTE(TRIM(ROUND(IFERROR(CriteriTecnici!$N1957*1,IFERROR(NUMBERVALUE(CriteriTecnici!$N1957,".",","),IFERROR(NUMBERVALUE(CriteriTecnici!$N1957,",","."),0))),4)&amp;""),",",".")&amp;", "&amp;CHAR(34)&amp;"numerator"&amp;CHAR(34)&amp;": "&amp;SUBSTITUTE(TRIM(ROUND(IFERROR(CriteriTecnici!$K1957*1,IFERROR(NUMBERVALUE(CriteriTecnici!$K1957,".",","),IFERROR(NUMBERVALUE(CriteriTecnici!$K1957,",","."),0))),4)&amp;""),",",".")&amp;", "&amp;CHAR(34)&amp;"denominator"&amp;CHAR(34)&amp;": "&amp;SUBSTITUTE(TRIM(ROUND(IFERROR(CriteriTecnici!$L1957*1,IFERROR(NUMBERVALUE(CriteriTecnici!$L1957,".",","),IFERROR(NUMBERVALUE(CriteriTecnici!$L1957,",","."),0))),4)&amp;""),",",".")&amp;", "&amp;CHAR(34)&amp;"flag"&amp;CHAR(34)&amp;": "&amp;SUBSTITUTE(TRIM(ROUND(IFERROR(CriteriTecnici!$M1957*1,IFERROR(NUMBERVALUE(CriteriTecnici!$M1957,".",","),IFERROR(NUMBERVALUE(CriteriTecnici!$M1957,",","."),0))),4)&amp;""),",",".")&amp;", "&amp;CHAR(34)&amp;"rawScore"&amp;CHAR(34)&amp;": "&amp;SUBSTITUTE(TRIM(ROUND(IFERROR(CriteriTecnici!$O1957*1,IFERROR(NUMBERVALUE(CriteriTecnici!$O1957,".",","),IFERROR(NUMBERVALUE(CriteriTecnici!$O1957,",","."),0))),4)&amp;""),",",".")&amp;CHAR(125)&amp;IF(COUNTA(Offerte!$A65:$A$81)&gt;0,",",""))</f>
        <v/>
      </c>
    </row>
    <row r="2059">
      <c r="A2059" s="82">
        <f>IF(CriteriTecnici!$A1958="","","    "&amp;CHAR(123)&amp;CHAR(34)&amp;"bidderId"&amp;CHAR(34)&amp;": "&amp;CHAR(34)&amp;SUBSTITUTE(CriteriTecnici!$A1958,CHAR(34),"'")&amp;CHAR(34)&amp;", "&amp;CHAR(34)&amp;"lotId"&amp;CHAR(34)&amp;": "&amp;CHAR(34)&amp;SUBSTITUTE(CriteriTecnici!$C1958,CHAR(34),"'")&amp;CHAR(34)&amp;", "&amp;CHAR(34)&amp;"criterionId"&amp;CHAR(34)&amp;": "&amp;CHAR(34)&amp;SUBSTITUTE(CriteriTecnici!$D1958,CHAR(34),"'")&amp;CHAR(34)&amp;", "&amp;CHAR(34)&amp;"kind"&amp;CHAR(34)&amp;": "&amp;CHAR(34)&amp;SUBSTITUTE(CriteriTecnici!$F1958,CHAR(34),"'")&amp;CHAR(34)&amp;", "&amp;CHAR(34)&amp;"value"&amp;CHAR(34)&amp;": "&amp;SUBSTITUTE(TRIM(ROUND(IFERROR(CriteriTecnici!$N1958*1,IFERROR(NUMBERVALUE(CriteriTecnici!$N1958,".",","),IFERROR(NUMBERVALUE(CriteriTecnici!$N1958,",","."),0))),4)&amp;""),",",".")&amp;", "&amp;CHAR(34)&amp;"numerator"&amp;CHAR(34)&amp;": "&amp;SUBSTITUTE(TRIM(ROUND(IFERROR(CriteriTecnici!$K1958*1,IFERROR(NUMBERVALUE(CriteriTecnici!$K1958,".",","),IFERROR(NUMBERVALUE(CriteriTecnici!$K1958,",","."),0))),4)&amp;""),",",".")&amp;", "&amp;CHAR(34)&amp;"denominator"&amp;CHAR(34)&amp;": "&amp;SUBSTITUTE(TRIM(ROUND(IFERROR(CriteriTecnici!$L1958*1,IFERROR(NUMBERVALUE(CriteriTecnici!$L1958,".",","),IFERROR(NUMBERVALUE(CriteriTecnici!$L1958,",","."),0))),4)&amp;""),",",".")&amp;", "&amp;CHAR(34)&amp;"flag"&amp;CHAR(34)&amp;": "&amp;SUBSTITUTE(TRIM(ROUND(IFERROR(CriteriTecnici!$M1958*1,IFERROR(NUMBERVALUE(CriteriTecnici!$M1958,".",","),IFERROR(NUMBERVALUE(CriteriTecnici!$M1958,",","."),0))),4)&amp;""),",",".")&amp;", "&amp;CHAR(34)&amp;"rawScore"&amp;CHAR(34)&amp;": "&amp;SUBSTITUTE(TRIM(ROUND(IFERROR(CriteriTecnici!$O1958*1,IFERROR(NUMBERVALUE(CriteriTecnici!$O1958,".",","),IFERROR(NUMBERVALUE(CriteriTecnici!$O1958,",","."),0))),4)&amp;""),",",".")&amp;CHAR(125)&amp;IF(TRUE,",",""))</f>
        <v/>
      </c>
    </row>
    <row r="2060">
      <c r="A2060" s="82">
        <f>IF(CriteriTecnici!$A1959="","","    "&amp;CHAR(123)&amp;CHAR(34)&amp;"bidderId"&amp;CHAR(34)&amp;": "&amp;CHAR(34)&amp;SUBSTITUTE(CriteriTecnici!$A1959,CHAR(34),"'")&amp;CHAR(34)&amp;", "&amp;CHAR(34)&amp;"lotId"&amp;CHAR(34)&amp;": "&amp;CHAR(34)&amp;SUBSTITUTE(CriteriTecnici!$C1959,CHAR(34),"'")&amp;CHAR(34)&amp;", "&amp;CHAR(34)&amp;"criterionId"&amp;CHAR(34)&amp;": "&amp;CHAR(34)&amp;SUBSTITUTE(CriteriTecnici!$D1959,CHAR(34),"'")&amp;CHAR(34)&amp;", "&amp;CHAR(34)&amp;"kind"&amp;CHAR(34)&amp;": "&amp;CHAR(34)&amp;SUBSTITUTE(CriteriTecnici!$F1959,CHAR(34),"'")&amp;CHAR(34)&amp;", "&amp;CHAR(34)&amp;"value"&amp;CHAR(34)&amp;": "&amp;SUBSTITUTE(TRIM(ROUND(IFERROR(CriteriTecnici!$N1959*1,IFERROR(NUMBERVALUE(CriteriTecnici!$N1959,".",","),IFERROR(NUMBERVALUE(CriteriTecnici!$N1959,",","."),0))),4)&amp;""),",",".")&amp;", "&amp;CHAR(34)&amp;"numerator"&amp;CHAR(34)&amp;": "&amp;SUBSTITUTE(TRIM(ROUND(IFERROR(CriteriTecnici!$K1959*1,IFERROR(NUMBERVALUE(CriteriTecnici!$K1959,".",","),IFERROR(NUMBERVALUE(CriteriTecnici!$K1959,",","."),0))),4)&amp;""),",",".")&amp;", "&amp;CHAR(34)&amp;"denominator"&amp;CHAR(34)&amp;": "&amp;SUBSTITUTE(TRIM(ROUND(IFERROR(CriteriTecnici!$L1959*1,IFERROR(NUMBERVALUE(CriteriTecnici!$L1959,".",","),IFERROR(NUMBERVALUE(CriteriTecnici!$L1959,",","."),0))),4)&amp;""),",",".")&amp;", "&amp;CHAR(34)&amp;"flag"&amp;CHAR(34)&amp;": "&amp;SUBSTITUTE(TRIM(ROUND(IFERROR(CriteriTecnici!$M1959*1,IFERROR(NUMBERVALUE(CriteriTecnici!$M1959,".",","),IFERROR(NUMBERVALUE(CriteriTecnici!$M1959,",","."),0))),4)&amp;""),",",".")&amp;", "&amp;CHAR(34)&amp;"rawScore"&amp;CHAR(34)&amp;": "&amp;SUBSTITUTE(TRIM(ROUND(IFERROR(CriteriTecnici!$O1959*1,IFERROR(NUMBERVALUE(CriteriTecnici!$O1959,".",","),IFERROR(NUMBERVALUE(CriteriTecnici!$O1959,",","."),0))),4)&amp;""),",",".")&amp;CHAR(125)&amp;IF(TRUE,",",""))</f>
        <v/>
      </c>
    </row>
    <row r="2061">
      <c r="A2061" s="82">
        <f>IF(CriteriTecnici!$A1960="","","    "&amp;CHAR(123)&amp;CHAR(34)&amp;"bidderId"&amp;CHAR(34)&amp;": "&amp;CHAR(34)&amp;SUBSTITUTE(CriteriTecnici!$A1960,CHAR(34),"'")&amp;CHAR(34)&amp;", "&amp;CHAR(34)&amp;"lotId"&amp;CHAR(34)&amp;": "&amp;CHAR(34)&amp;SUBSTITUTE(CriteriTecnici!$C1960,CHAR(34),"'")&amp;CHAR(34)&amp;", "&amp;CHAR(34)&amp;"criterionId"&amp;CHAR(34)&amp;": "&amp;CHAR(34)&amp;SUBSTITUTE(CriteriTecnici!$D1960,CHAR(34),"'")&amp;CHAR(34)&amp;", "&amp;CHAR(34)&amp;"kind"&amp;CHAR(34)&amp;": "&amp;CHAR(34)&amp;SUBSTITUTE(CriteriTecnici!$F1960,CHAR(34),"'")&amp;CHAR(34)&amp;", "&amp;CHAR(34)&amp;"value"&amp;CHAR(34)&amp;": "&amp;SUBSTITUTE(TRIM(ROUND(IFERROR(CriteriTecnici!$N1960*1,IFERROR(NUMBERVALUE(CriteriTecnici!$N1960,".",","),IFERROR(NUMBERVALUE(CriteriTecnici!$N1960,",","."),0))),4)&amp;""),",",".")&amp;", "&amp;CHAR(34)&amp;"numerator"&amp;CHAR(34)&amp;": "&amp;SUBSTITUTE(TRIM(ROUND(IFERROR(CriteriTecnici!$K1960*1,IFERROR(NUMBERVALUE(CriteriTecnici!$K1960,".",","),IFERROR(NUMBERVALUE(CriteriTecnici!$K1960,",","."),0))),4)&amp;""),",",".")&amp;", "&amp;CHAR(34)&amp;"denominator"&amp;CHAR(34)&amp;": "&amp;SUBSTITUTE(TRIM(ROUND(IFERROR(CriteriTecnici!$L1960*1,IFERROR(NUMBERVALUE(CriteriTecnici!$L1960,".",","),IFERROR(NUMBERVALUE(CriteriTecnici!$L1960,",","."),0))),4)&amp;""),",",".")&amp;", "&amp;CHAR(34)&amp;"flag"&amp;CHAR(34)&amp;": "&amp;SUBSTITUTE(TRIM(ROUND(IFERROR(CriteriTecnici!$M1960*1,IFERROR(NUMBERVALUE(CriteriTecnici!$M1960,".",","),IFERROR(NUMBERVALUE(CriteriTecnici!$M1960,",","."),0))),4)&amp;""),",",".")&amp;", "&amp;CHAR(34)&amp;"rawScore"&amp;CHAR(34)&amp;": "&amp;SUBSTITUTE(TRIM(ROUND(IFERROR(CriteriTecnici!$O1960*1,IFERROR(NUMBERVALUE(CriteriTecnici!$O1960,".",","),IFERROR(NUMBERVALUE(CriteriTecnici!$O1960,",","."),0))),4)&amp;""),",",".")&amp;CHAR(125)&amp;IF(TRUE,",",""))</f>
        <v/>
      </c>
    </row>
    <row r="2062">
      <c r="A2062" s="82">
        <f>IF(CriteriTecnici!$A1961="","","    "&amp;CHAR(123)&amp;CHAR(34)&amp;"bidderId"&amp;CHAR(34)&amp;": "&amp;CHAR(34)&amp;SUBSTITUTE(CriteriTecnici!$A1961,CHAR(34),"'")&amp;CHAR(34)&amp;", "&amp;CHAR(34)&amp;"lotId"&amp;CHAR(34)&amp;": "&amp;CHAR(34)&amp;SUBSTITUTE(CriteriTecnici!$C1961,CHAR(34),"'")&amp;CHAR(34)&amp;", "&amp;CHAR(34)&amp;"criterionId"&amp;CHAR(34)&amp;": "&amp;CHAR(34)&amp;SUBSTITUTE(CriteriTecnici!$D1961,CHAR(34),"'")&amp;CHAR(34)&amp;", "&amp;CHAR(34)&amp;"kind"&amp;CHAR(34)&amp;": "&amp;CHAR(34)&amp;SUBSTITUTE(CriteriTecnici!$F1961,CHAR(34),"'")&amp;CHAR(34)&amp;", "&amp;CHAR(34)&amp;"value"&amp;CHAR(34)&amp;": "&amp;SUBSTITUTE(TRIM(ROUND(IFERROR(CriteriTecnici!$N1961*1,IFERROR(NUMBERVALUE(CriteriTecnici!$N1961,".",","),IFERROR(NUMBERVALUE(CriteriTecnici!$N1961,",","."),0))),4)&amp;""),",",".")&amp;", "&amp;CHAR(34)&amp;"numerator"&amp;CHAR(34)&amp;": "&amp;SUBSTITUTE(TRIM(ROUND(IFERROR(CriteriTecnici!$K1961*1,IFERROR(NUMBERVALUE(CriteriTecnici!$K1961,".",","),IFERROR(NUMBERVALUE(CriteriTecnici!$K1961,",","."),0))),4)&amp;""),",",".")&amp;", "&amp;CHAR(34)&amp;"denominator"&amp;CHAR(34)&amp;": "&amp;SUBSTITUTE(TRIM(ROUND(IFERROR(CriteriTecnici!$L1961*1,IFERROR(NUMBERVALUE(CriteriTecnici!$L1961,".",","),IFERROR(NUMBERVALUE(CriteriTecnici!$L1961,",","."),0))),4)&amp;""),",",".")&amp;", "&amp;CHAR(34)&amp;"flag"&amp;CHAR(34)&amp;": "&amp;SUBSTITUTE(TRIM(ROUND(IFERROR(CriteriTecnici!$M1961*1,IFERROR(NUMBERVALUE(CriteriTecnici!$M1961,".",","),IFERROR(NUMBERVALUE(CriteriTecnici!$M1961,",","."),0))),4)&amp;""),",",".")&amp;", "&amp;CHAR(34)&amp;"rawScore"&amp;CHAR(34)&amp;": "&amp;SUBSTITUTE(TRIM(ROUND(IFERROR(CriteriTecnici!$O1961*1,IFERROR(NUMBERVALUE(CriteriTecnici!$O1961,".",","),IFERROR(NUMBERVALUE(CriteriTecnici!$O1961,",","."),0))),4)&amp;""),",",".")&amp;CHAR(125)&amp;IF(TRUE,",",""))</f>
        <v/>
      </c>
    </row>
    <row r="2063">
      <c r="A2063" s="82">
        <f>IF(CriteriTecnici!$A1962="","","    "&amp;CHAR(123)&amp;CHAR(34)&amp;"bidderId"&amp;CHAR(34)&amp;": "&amp;CHAR(34)&amp;SUBSTITUTE(CriteriTecnici!$A1962,CHAR(34),"'")&amp;CHAR(34)&amp;", "&amp;CHAR(34)&amp;"lotId"&amp;CHAR(34)&amp;": "&amp;CHAR(34)&amp;SUBSTITUTE(CriteriTecnici!$C1962,CHAR(34),"'")&amp;CHAR(34)&amp;", "&amp;CHAR(34)&amp;"criterionId"&amp;CHAR(34)&amp;": "&amp;CHAR(34)&amp;SUBSTITUTE(CriteriTecnici!$D1962,CHAR(34),"'")&amp;CHAR(34)&amp;", "&amp;CHAR(34)&amp;"kind"&amp;CHAR(34)&amp;": "&amp;CHAR(34)&amp;SUBSTITUTE(CriteriTecnici!$F1962,CHAR(34),"'")&amp;CHAR(34)&amp;", "&amp;CHAR(34)&amp;"value"&amp;CHAR(34)&amp;": "&amp;SUBSTITUTE(TRIM(ROUND(IFERROR(CriteriTecnici!$N1962*1,IFERROR(NUMBERVALUE(CriteriTecnici!$N1962,".",","),IFERROR(NUMBERVALUE(CriteriTecnici!$N1962,",","."),0))),4)&amp;""),",",".")&amp;", "&amp;CHAR(34)&amp;"numerator"&amp;CHAR(34)&amp;": "&amp;SUBSTITUTE(TRIM(ROUND(IFERROR(CriteriTecnici!$K1962*1,IFERROR(NUMBERVALUE(CriteriTecnici!$K1962,".",","),IFERROR(NUMBERVALUE(CriteriTecnici!$K1962,",","."),0))),4)&amp;""),",",".")&amp;", "&amp;CHAR(34)&amp;"denominator"&amp;CHAR(34)&amp;": "&amp;SUBSTITUTE(TRIM(ROUND(IFERROR(CriteriTecnici!$L1962*1,IFERROR(NUMBERVALUE(CriteriTecnici!$L1962,".",","),IFERROR(NUMBERVALUE(CriteriTecnici!$L1962,",","."),0))),4)&amp;""),",",".")&amp;", "&amp;CHAR(34)&amp;"flag"&amp;CHAR(34)&amp;": "&amp;SUBSTITUTE(TRIM(ROUND(IFERROR(CriteriTecnici!$M1962*1,IFERROR(NUMBERVALUE(CriteriTecnici!$M1962,".",","),IFERROR(NUMBERVALUE(CriteriTecnici!$M1962,",","."),0))),4)&amp;""),",",".")&amp;", "&amp;CHAR(34)&amp;"rawScore"&amp;CHAR(34)&amp;": "&amp;SUBSTITUTE(TRIM(ROUND(IFERROR(CriteriTecnici!$O1962*1,IFERROR(NUMBERVALUE(CriteriTecnici!$O1962,".",","),IFERROR(NUMBERVALUE(CriteriTecnici!$O1962,",","."),0))),4)&amp;""),",",".")&amp;CHAR(125)&amp;IF(TRUE,",",""))</f>
        <v/>
      </c>
    </row>
    <row r="2064">
      <c r="A2064" s="82">
        <f>IF(CriteriTecnici!$A1963="","","    "&amp;CHAR(123)&amp;CHAR(34)&amp;"bidderId"&amp;CHAR(34)&amp;": "&amp;CHAR(34)&amp;SUBSTITUTE(CriteriTecnici!$A1963,CHAR(34),"'")&amp;CHAR(34)&amp;", "&amp;CHAR(34)&amp;"lotId"&amp;CHAR(34)&amp;": "&amp;CHAR(34)&amp;SUBSTITUTE(CriteriTecnici!$C1963,CHAR(34),"'")&amp;CHAR(34)&amp;", "&amp;CHAR(34)&amp;"criterionId"&amp;CHAR(34)&amp;": "&amp;CHAR(34)&amp;SUBSTITUTE(CriteriTecnici!$D1963,CHAR(34),"'")&amp;CHAR(34)&amp;", "&amp;CHAR(34)&amp;"kind"&amp;CHAR(34)&amp;": "&amp;CHAR(34)&amp;SUBSTITUTE(CriteriTecnici!$F1963,CHAR(34),"'")&amp;CHAR(34)&amp;", "&amp;CHAR(34)&amp;"value"&amp;CHAR(34)&amp;": "&amp;SUBSTITUTE(TRIM(ROUND(IFERROR(CriteriTecnici!$N1963*1,IFERROR(NUMBERVALUE(CriteriTecnici!$N1963,".",","),IFERROR(NUMBERVALUE(CriteriTecnici!$N1963,",","."),0))),4)&amp;""),",",".")&amp;", "&amp;CHAR(34)&amp;"numerator"&amp;CHAR(34)&amp;": "&amp;SUBSTITUTE(TRIM(ROUND(IFERROR(CriteriTecnici!$K1963*1,IFERROR(NUMBERVALUE(CriteriTecnici!$K1963,".",","),IFERROR(NUMBERVALUE(CriteriTecnici!$K1963,",","."),0))),4)&amp;""),",",".")&amp;", "&amp;CHAR(34)&amp;"denominator"&amp;CHAR(34)&amp;": "&amp;SUBSTITUTE(TRIM(ROUND(IFERROR(CriteriTecnici!$L1963*1,IFERROR(NUMBERVALUE(CriteriTecnici!$L1963,".",","),IFERROR(NUMBERVALUE(CriteriTecnici!$L1963,",","."),0))),4)&amp;""),",",".")&amp;", "&amp;CHAR(34)&amp;"flag"&amp;CHAR(34)&amp;": "&amp;SUBSTITUTE(TRIM(ROUND(IFERROR(CriteriTecnici!$M1963*1,IFERROR(NUMBERVALUE(CriteriTecnici!$M1963,".",","),IFERROR(NUMBERVALUE(CriteriTecnici!$M1963,",","."),0))),4)&amp;""),",",".")&amp;", "&amp;CHAR(34)&amp;"rawScore"&amp;CHAR(34)&amp;": "&amp;SUBSTITUTE(TRIM(ROUND(IFERROR(CriteriTecnici!$O1963*1,IFERROR(NUMBERVALUE(CriteriTecnici!$O1963,".",","),IFERROR(NUMBERVALUE(CriteriTecnici!$O1963,",","."),0))),4)&amp;""),",",".")&amp;CHAR(125)&amp;IF(TRUE,",",""))</f>
        <v/>
      </c>
    </row>
    <row r="2065">
      <c r="A2065" s="82">
        <f>IF(CriteriTecnici!$A1964="","","    "&amp;CHAR(123)&amp;CHAR(34)&amp;"bidderId"&amp;CHAR(34)&amp;": "&amp;CHAR(34)&amp;SUBSTITUTE(CriteriTecnici!$A1964,CHAR(34),"'")&amp;CHAR(34)&amp;", "&amp;CHAR(34)&amp;"lotId"&amp;CHAR(34)&amp;": "&amp;CHAR(34)&amp;SUBSTITUTE(CriteriTecnici!$C1964,CHAR(34),"'")&amp;CHAR(34)&amp;", "&amp;CHAR(34)&amp;"criterionId"&amp;CHAR(34)&amp;": "&amp;CHAR(34)&amp;SUBSTITUTE(CriteriTecnici!$D1964,CHAR(34),"'")&amp;CHAR(34)&amp;", "&amp;CHAR(34)&amp;"kind"&amp;CHAR(34)&amp;": "&amp;CHAR(34)&amp;SUBSTITUTE(CriteriTecnici!$F1964,CHAR(34),"'")&amp;CHAR(34)&amp;", "&amp;CHAR(34)&amp;"value"&amp;CHAR(34)&amp;": "&amp;SUBSTITUTE(TRIM(ROUND(IFERROR(CriteriTecnici!$N1964*1,IFERROR(NUMBERVALUE(CriteriTecnici!$N1964,".",","),IFERROR(NUMBERVALUE(CriteriTecnici!$N1964,",","."),0))),4)&amp;""),",",".")&amp;", "&amp;CHAR(34)&amp;"numerator"&amp;CHAR(34)&amp;": "&amp;SUBSTITUTE(TRIM(ROUND(IFERROR(CriteriTecnici!$K1964*1,IFERROR(NUMBERVALUE(CriteriTecnici!$K1964,".",","),IFERROR(NUMBERVALUE(CriteriTecnici!$K1964,",","."),0))),4)&amp;""),",",".")&amp;", "&amp;CHAR(34)&amp;"denominator"&amp;CHAR(34)&amp;": "&amp;SUBSTITUTE(TRIM(ROUND(IFERROR(CriteriTecnici!$L1964*1,IFERROR(NUMBERVALUE(CriteriTecnici!$L1964,".",","),IFERROR(NUMBERVALUE(CriteriTecnici!$L1964,",","."),0))),4)&amp;""),",",".")&amp;", "&amp;CHAR(34)&amp;"flag"&amp;CHAR(34)&amp;": "&amp;SUBSTITUTE(TRIM(ROUND(IFERROR(CriteriTecnici!$M1964*1,IFERROR(NUMBERVALUE(CriteriTecnici!$M1964,".",","),IFERROR(NUMBERVALUE(CriteriTecnici!$M1964,",","."),0))),4)&amp;""),",",".")&amp;", "&amp;CHAR(34)&amp;"rawScore"&amp;CHAR(34)&amp;": "&amp;SUBSTITUTE(TRIM(ROUND(IFERROR(CriteriTecnici!$O1964*1,IFERROR(NUMBERVALUE(CriteriTecnici!$O1964,".",","),IFERROR(NUMBERVALUE(CriteriTecnici!$O1964,",","."),0))),4)&amp;""),",",".")&amp;CHAR(125)&amp;IF(TRUE,",",""))</f>
        <v/>
      </c>
    </row>
    <row r="2066">
      <c r="A2066" s="82">
        <f>IF(CriteriTecnici!$A1965="","","    "&amp;CHAR(123)&amp;CHAR(34)&amp;"bidderId"&amp;CHAR(34)&amp;": "&amp;CHAR(34)&amp;SUBSTITUTE(CriteriTecnici!$A1965,CHAR(34),"'")&amp;CHAR(34)&amp;", "&amp;CHAR(34)&amp;"lotId"&amp;CHAR(34)&amp;": "&amp;CHAR(34)&amp;SUBSTITUTE(CriteriTecnici!$C1965,CHAR(34),"'")&amp;CHAR(34)&amp;", "&amp;CHAR(34)&amp;"criterionId"&amp;CHAR(34)&amp;": "&amp;CHAR(34)&amp;SUBSTITUTE(CriteriTecnici!$D1965,CHAR(34),"'")&amp;CHAR(34)&amp;", "&amp;CHAR(34)&amp;"kind"&amp;CHAR(34)&amp;": "&amp;CHAR(34)&amp;SUBSTITUTE(CriteriTecnici!$F1965,CHAR(34),"'")&amp;CHAR(34)&amp;", "&amp;CHAR(34)&amp;"value"&amp;CHAR(34)&amp;": "&amp;SUBSTITUTE(TRIM(ROUND(IFERROR(CriteriTecnici!$N1965*1,IFERROR(NUMBERVALUE(CriteriTecnici!$N1965,".",","),IFERROR(NUMBERVALUE(CriteriTecnici!$N1965,",","."),0))),4)&amp;""),",",".")&amp;", "&amp;CHAR(34)&amp;"numerator"&amp;CHAR(34)&amp;": "&amp;SUBSTITUTE(TRIM(ROUND(IFERROR(CriteriTecnici!$K1965*1,IFERROR(NUMBERVALUE(CriteriTecnici!$K1965,".",","),IFERROR(NUMBERVALUE(CriteriTecnici!$K1965,",","."),0))),4)&amp;""),",",".")&amp;", "&amp;CHAR(34)&amp;"denominator"&amp;CHAR(34)&amp;": "&amp;SUBSTITUTE(TRIM(ROUND(IFERROR(CriteriTecnici!$L1965*1,IFERROR(NUMBERVALUE(CriteriTecnici!$L1965,".",","),IFERROR(NUMBERVALUE(CriteriTecnici!$L1965,",","."),0))),4)&amp;""),",",".")&amp;", "&amp;CHAR(34)&amp;"flag"&amp;CHAR(34)&amp;": "&amp;SUBSTITUTE(TRIM(ROUND(IFERROR(CriteriTecnici!$M1965*1,IFERROR(NUMBERVALUE(CriteriTecnici!$M1965,".",","),IFERROR(NUMBERVALUE(CriteriTecnici!$M1965,",","."),0))),4)&amp;""),",",".")&amp;", "&amp;CHAR(34)&amp;"rawScore"&amp;CHAR(34)&amp;": "&amp;SUBSTITUTE(TRIM(ROUND(IFERROR(CriteriTecnici!$O1965*1,IFERROR(NUMBERVALUE(CriteriTecnici!$O1965,".",","),IFERROR(NUMBERVALUE(CriteriTecnici!$O1965,",","."),0))),4)&amp;""),",",".")&amp;CHAR(125)&amp;IF(TRUE,",",""))</f>
        <v/>
      </c>
    </row>
    <row r="2067">
      <c r="A2067" s="82">
        <f>IF(CriteriTecnici!$A1966="","","    "&amp;CHAR(123)&amp;CHAR(34)&amp;"bidderId"&amp;CHAR(34)&amp;": "&amp;CHAR(34)&amp;SUBSTITUTE(CriteriTecnici!$A1966,CHAR(34),"'")&amp;CHAR(34)&amp;", "&amp;CHAR(34)&amp;"lotId"&amp;CHAR(34)&amp;": "&amp;CHAR(34)&amp;SUBSTITUTE(CriteriTecnici!$C1966,CHAR(34),"'")&amp;CHAR(34)&amp;", "&amp;CHAR(34)&amp;"criterionId"&amp;CHAR(34)&amp;": "&amp;CHAR(34)&amp;SUBSTITUTE(CriteriTecnici!$D1966,CHAR(34),"'")&amp;CHAR(34)&amp;", "&amp;CHAR(34)&amp;"kind"&amp;CHAR(34)&amp;": "&amp;CHAR(34)&amp;SUBSTITUTE(CriteriTecnici!$F1966,CHAR(34),"'")&amp;CHAR(34)&amp;", "&amp;CHAR(34)&amp;"value"&amp;CHAR(34)&amp;": "&amp;SUBSTITUTE(TRIM(ROUND(IFERROR(CriteriTecnici!$N1966*1,IFERROR(NUMBERVALUE(CriteriTecnici!$N1966,".",","),IFERROR(NUMBERVALUE(CriteriTecnici!$N1966,",","."),0))),4)&amp;""),",",".")&amp;", "&amp;CHAR(34)&amp;"numerator"&amp;CHAR(34)&amp;": "&amp;SUBSTITUTE(TRIM(ROUND(IFERROR(CriteriTecnici!$K1966*1,IFERROR(NUMBERVALUE(CriteriTecnici!$K1966,".",","),IFERROR(NUMBERVALUE(CriteriTecnici!$K1966,",","."),0))),4)&amp;""),",",".")&amp;", "&amp;CHAR(34)&amp;"denominator"&amp;CHAR(34)&amp;": "&amp;SUBSTITUTE(TRIM(ROUND(IFERROR(CriteriTecnici!$L1966*1,IFERROR(NUMBERVALUE(CriteriTecnici!$L1966,".",","),IFERROR(NUMBERVALUE(CriteriTecnici!$L1966,",","."),0))),4)&amp;""),",",".")&amp;", "&amp;CHAR(34)&amp;"flag"&amp;CHAR(34)&amp;": "&amp;SUBSTITUTE(TRIM(ROUND(IFERROR(CriteriTecnici!$M1966*1,IFERROR(NUMBERVALUE(CriteriTecnici!$M1966,".",","),IFERROR(NUMBERVALUE(CriteriTecnici!$M1966,",","."),0))),4)&amp;""),",",".")&amp;", "&amp;CHAR(34)&amp;"rawScore"&amp;CHAR(34)&amp;": "&amp;SUBSTITUTE(TRIM(ROUND(IFERROR(CriteriTecnici!$O1966*1,IFERROR(NUMBERVALUE(CriteriTecnici!$O1966,".",","),IFERROR(NUMBERVALUE(CriteriTecnici!$O1966,",","."),0))),4)&amp;""),",",".")&amp;CHAR(125)&amp;IF(TRUE,",",""))</f>
        <v/>
      </c>
    </row>
    <row r="2068">
      <c r="A2068" s="82">
        <f>IF(CriteriTecnici!$A1967="","","    "&amp;CHAR(123)&amp;CHAR(34)&amp;"bidderId"&amp;CHAR(34)&amp;": "&amp;CHAR(34)&amp;SUBSTITUTE(CriteriTecnici!$A1967,CHAR(34),"'")&amp;CHAR(34)&amp;", "&amp;CHAR(34)&amp;"lotId"&amp;CHAR(34)&amp;": "&amp;CHAR(34)&amp;SUBSTITUTE(CriteriTecnici!$C1967,CHAR(34),"'")&amp;CHAR(34)&amp;", "&amp;CHAR(34)&amp;"criterionId"&amp;CHAR(34)&amp;": "&amp;CHAR(34)&amp;SUBSTITUTE(CriteriTecnici!$D1967,CHAR(34),"'")&amp;CHAR(34)&amp;", "&amp;CHAR(34)&amp;"kind"&amp;CHAR(34)&amp;": "&amp;CHAR(34)&amp;SUBSTITUTE(CriteriTecnici!$F1967,CHAR(34),"'")&amp;CHAR(34)&amp;", "&amp;CHAR(34)&amp;"value"&amp;CHAR(34)&amp;": "&amp;SUBSTITUTE(TRIM(ROUND(IFERROR(CriteriTecnici!$N1967*1,IFERROR(NUMBERVALUE(CriteriTecnici!$N1967,".",","),IFERROR(NUMBERVALUE(CriteriTecnici!$N1967,",","."),0))),4)&amp;""),",",".")&amp;", "&amp;CHAR(34)&amp;"numerator"&amp;CHAR(34)&amp;": "&amp;SUBSTITUTE(TRIM(ROUND(IFERROR(CriteriTecnici!$K1967*1,IFERROR(NUMBERVALUE(CriteriTecnici!$K1967,".",","),IFERROR(NUMBERVALUE(CriteriTecnici!$K1967,",","."),0))),4)&amp;""),",",".")&amp;", "&amp;CHAR(34)&amp;"denominator"&amp;CHAR(34)&amp;": "&amp;SUBSTITUTE(TRIM(ROUND(IFERROR(CriteriTecnici!$L1967*1,IFERROR(NUMBERVALUE(CriteriTecnici!$L1967,".",","),IFERROR(NUMBERVALUE(CriteriTecnici!$L1967,",","."),0))),4)&amp;""),",",".")&amp;", "&amp;CHAR(34)&amp;"flag"&amp;CHAR(34)&amp;": "&amp;SUBSTITUTE(TRIM(ROUND(IFERROR(CriteriTecnici!$M1967*1,IFERROR(NUMBERVALUE(CriteriTecnici!$M1967,".",","),IFERROR(NUMBERVALUE(CriteriTecnici!$M1967,",","."),0))),4)&amp;""),",",".")&amp;", "&amp;CHAR(34)&amp;"rawScore"&amp;CHAR(34)&amp;": "&amp;SUBSTITUTE(TRIM(ROUND(IFERROR(CriteriTecnici!$O1967*1,IFERROR(NUMBERVALUE(CriteriTecnici!$O1967,".",","),IFERROR(NUMBERVALUE(CriteriTecnici!$O1967,",","."),0))),4)&amp;""),",",".")&amp;CHAR(125)&amp;IF(TRUE,",",""))</f>
        <v/>
      </c>
    </row>
    <row r="2069">
      <c r="A2069" s="82">
        <f>IF(CriteriTecnici!$A1968="","","    "&amp;CHAR(123)&amp;CHAR(34)&amp;"bidderId"&amp;CHAR(34)&amp;": "&amp;CHAR(34)&amp;SUBSTITUTE(CriteriTecnici!$A1968,CHAR(34),"'")&amp;CHAR(34)&amp;", "&amp;CHAR(34)&amp;"lotId"&amp;CHAR(34)&amp;": "&amp;CHAR(34)&amp;SUBSTITUTE(CriteriTecnici!$C1968,CHAR(34),"'")&amp;CHAR(34)&amp;", "&amp;CHAR(34)&amp;"criterionId"&amp;CHAR(34)&amp;": "&amp;CHAR(34)&amp;SUBSTITUTE(CriteriTecnici!$D1968,CHAR(34),"'")&amp;CHAR(34)&amp;", "&amp;CHAR(34)&amp;"kind"&amp;CHAR(34)&amp;": "&amp;CHAR(34)&amp;SUBSTITUTE(CriteriTecnici!$F1968,CHAR(34),"'")&amp;CHAR(34)&amp;", "&amp;CHAR(34)&amp;"value"&amp;CHAR(34)&amp;": "&amp;SUBSTITUTE(TRIM(ROUND(IFERROR(CriteriTecnici!$N1968*1,IFERROR(NUMBERVALUE(CriteriTecnici!$N1968,".",","),IFERROR(NUMBERVALUE(CriteriTecnici!$N1968,",","."),0))),4)&amp;""),",",".")&amp;", "&amp;CHAR(34)&amp;"numerator"&amp;CHAR(34)&amp;": "&amp;SUBSTITUTE(TRIM(ROUND(IFERROR(CriteriTecnici!$K1968*1,IFERROR(NUMBERVALUE(CriteriTecnici!$K1968,".",","),IFERROR(NUMBERVALUE(CriteriTecnici!$K1968,",","."),0))),4)&amp;""),",",".")&amp;", "&amp;CHAR(34)&amp;"denominator"&amp;CHAR(34)&amp;": "&amp;SUBSTITUTE(TRIM(ROUND(IFERROR(CriteriTecnici!$L1968*1,IFERROR(NUMBERVALUE(CriteriTecnici!$L1968,".",","),IFERROR(NUMBERVALUE(CriteriTecnici!$L1968,",","."),0))),4)&amp;""),",",".")&amp;", "&amp;CHAR(34)&amp;"flag"&amp;CHAR(34)&amp;": "&amp;SUBSTITUTE(TRIM(ROUND(IFERROR(CriteriTecnici!$M1968*1,IFERROR(NUMBERVALUE(CriteriTecnici!$M1968,".",","),IFERROR(NUMBERVALUE(CriteriTecnici!$M1968,",","."),0))),4)&amp;""),",",".")&amp;", "&amp;CHAR(34)&amp;"rawScore"&amp;CHAR(34)&amp;": "&amp;SUBSTITUTE(TRIM(ROUND(IFERROR(CriteriTecnici!$O1968*1,IFERROR(NUMBERVALUE(CriteriTecnici!$O1968,".",","),IFERROR(NUMBERVALUE(CriteriTecnici!$O1968,",","."),0))),4)&amp;""),",",".")&amp;CHAR(125)&amp;IF(TRUE,",",""))</f>
        <v/>
      </c>
    </row>
    <row r="2070">
      <c r="A2070" s="82">
        <f>IF(CriteriTecnici!$A1969="","","    "&amp;CHAR(123)&amp;CHAR(34)&amp;"bidderId"&amp;CHAR(34)&amp;": "&amp;CHAR(34)&amp;SUBSTITUTE(CriteriTecnici!$A1969,CHAR(34),"'")&amp;CHAR(34)&amp;", "&amp;CHAR(34)&amp;"lotId"&amp;CHAR(34)&amp;": "&amp;CHAR(34)&amp;SUBSTITUTE(CriteriTecnici!$C1969,CHAR(34),"'")&amp;CHAR(34)&amp;", "&amp;CHAR(34)&amp;"criterionId"&amp;CHAR(34)&amp;": "&amp;CHAR(34)&amp;SUBSTITUTE(CriteriTecnici!$D1969,CHAR(34),"'")&amp;CHAR(34)&amp;", "&amp;CHAR(34)&amp;"kind"&amp;CHAR(34)&amp;": "&amp;CHAR(34)&amp;SUBSTITUTE(CriteriTecnici!$F1969,CHAR(34),"'")&amp;CHAR(34)&amp;", "&amp;CHAR(34)&amp;"value"&amp;CHAR(34)&amp;": "&amp;SUBSTITUTE(TRIM(ROUND(IFERROR(CriteriTecnici!$N1969*1,IFERROR(NUMBERVALUE(CriteriTecnici!$N1969,".",","),IFERROR(NUMBERVALUE(CriteriTecnici!$N1969,",","."),0))),4)&amp;""),",",".")&amp;", "&amp;CHAR(34)&amp;"numerator"&amp;CHAR(34)&amp;": "&amp;SUBSTITUTE(TRIM(ROUND(IFERROR(CriteriTecnici!$K1969*1,IFERROR(NUMBERVALUE(CriteriTecnici!$K1969,".",","),IFERROR(NUMBERVALUE(CriteriTecnici!$K1969,",","."),0))),4)&amp;""),",",".")&amp;", "&amp;CHAR(34)&amp;"denominator"&amp;CHAR(34)&amp;": "&amp;SUBSTITUTE(TRIM(ROUND(IFERROR(CriteriTecnici!$L1969*1,IFERROR(NUMBERVALUE(CriteriTecnici!$L1969,".",","),IFERROR(NUMBERVALUE(CriteriTecnici!$L1969,",","."),0))),4)&amp;""),",",".")&amp;", "&amp;CHAR(34)&amp;"flag"&amp;CHAR(34)&amp;": "&amp;SUBSTITUTE(TRIM(ROUND(IFERROR(CriteriTecnici!$M1969*1,IFERROR(NUMBERVALUE(CriteriTecnici!$M1969,".",","),IFERROR(NUMBERVALUE(CriteriTecnici!$M1969,",","."),0))),4)&amp;""),",",".")&amp;", "&amp;CHAR(34)&amp;"rawScore"&amp;CHAR(34)&amp;": "&amp;SUBSTITUTE(TRIM(ROUND(IFERROR(CriteriTecnici!$O1969*1,IFERROR(NUMBERVALUE(CriteriTecnici!$O1969,".",","),IFERROR(NUMBERVALUE(CriteriTecnici!$O1969,",","."),0))),4)&amp;""),",",".")&amp;CHAR(125)&amp;IF(TRUE,",",""))</f>
        <v/>
      </c>
    </row>
    <row r="2071">
      <c r="A2071" s="82">
        <f>IF(CriteriTecnici!$A1970="","","    "&amp;CHAR(123)&amp;CHAR(34)&amp;"bidderId"&amp;CHAR(34)&amp;": "&amp;CHAR(34)&amp;SUBSTITUTE(CriteriTecnici!$A1970,CHAR(34),"'")&amp;CHAR(34)&amp;", "&amp;CHAR(34)&amp;"lotId"&amp;CHAR(34)&amp;": "&amp;CHAR(34)&amp;SUBSTITUTE(CriteriTecnici!$C1970,CHAR(34),"'")&amp;CHAR(34)&amp;", "&amp;CHAR(34)&amp;"criterionId"&amp;CHAR(34)&amp;": "&amp;CHAR(34)&amp;SUBSTITUTE(CriteriTecnici!$D1970,CHAR(34),"'")&amp;CHAR(34)&amp;", "&amp;CHAR(34)&amp;"kind"&amp;CHAR(34)&amp;": "&amp;CHAR(34)&amp;SUBSTITUTE(CriteriTecnici!$F1970,CHAR(34),"'")&amp;CHAR(34)&amp;", "&amp;CHAR(34)&amp;"value"&amp;CHAR(34)&amp;": "&amp;SUBSTITUTE(TRIM(ROUND(IFERROR(CriteriTecnici!$N1970*1,IFERROR(NUMBERVALUE(CriteriTecnici!$N1970,".",","),IFERROR(NUMBERVALUE(CriteriTecnici!$N1970,",","."),0))),4)&amp;""),",",".")&amp;", "&amp;CHAR(34)&amp;"numerator"&amp;CHAR(34)&amp;": "&amp;SUBSTITUTE(TRIM(ROUND(IFERROR(CriteriTecnici!$K1970*1,IFERROR(NUMBERVALUE(CriteriTecnici!$K1970,".",","),IFERROR(NUMBERVALUE(CriteriTecnici!$K1970,",","."),0))),4)&amp;""),",",".")&amp;", "&amp;CHAR(34)&amp;"denominator"&amp;CHAR(34)&amp;": "&amp;SUBSTITUTE(TRIM(ROUND(IFERROR(CriteriTecnici!$L1970*1,IFERROR(NUMBERVALUE(CriteriTecnici!$L1970,".",","),IFERROR(NUMBERVALUE(CriteriTecnici!$L1970,",","."),0))),4)&amp;""),",",".")&amp;", "&amp;CHAR(34)&amp;"flag"&amp;CHAR(34)&amp;": "&amp;SUBSTITUTE(TRIM(ROUND(IFERROR(CriteriTecnici!$M1970*1,IFERROR(NUMBERVALUE(CriteriTecnici!$M1970,".",","),IFERROR(NUMBERVALUE(CriteriTecnici!$M1970,",","."),0))),4)&amp;""),",",".")&amp;", "&amp;CHAR(34)&amp;"rawScore"&amp;CHAR(34)&amp;": "&amp;SUBSTITUTE(TRIM(ROUND(IFERROR(CriteriTecnici!$O1970*1,IFERROR(NUMBERVALUE(CriteriTecnici!$O1970,".",","),IFERROR(NUMBERVALUE(CriteriTecnici!$O1970,",","."),0))),4)&amp;""),",",".")&amp;CHAR(125)&amp;IF(TRUE,",",""))</f>
        <v/>
      </c>
    </row>
    <row r="2072">
      <c r="A2072" s="82">
        <f>IF(CriteriTecnici!$A1971="","","    "&amp;CHAR(123)&amp;CHAR(34)&amp;"bidderId"&amp;CHAR(34)&amp;": "&amp;CHAR(34)&amp;SUBSTITUTE(CriteriTecnici!$A1971,CHAR(34),"'")&amp;CHAR(34)&amp;", "&amp;CHAR(34)&amp;"lotId"&amp;CHAR(34)&amp;": "&amp;CHAR(34)&amp;SUBSTITUTE(CriteriTecnici!$C1971,CHAR(34),"'")&amp;CHAR(34)&amp;", "&amp;CHAR(34)&amp;"criterionId"&amp;CHAR(34)&amp;": "&amp;CHAR(34)&amp;SUBSTITUTE(CriteriTecnici!$D1971,CHAR(34),"'")&amp;CHAR(34)&amp;", "&amp;CHAR(34)&amp;"kind"&amp;CHAR(34)&amp;": "&amp;CHAR(34)&amp;SUBSTITUTE(CriteriTecnici!$F1971,CHAR(34),"'")&amp;CHAR(34)&amp;", "&amp;CHAR(34)&amp;"value"&amp;CHAR(34)&amp;": "&amp;SUBSTITUTE(TRIM(ROUND(IFERROR(CriteriTecnici!$N1971*1,IFERROR(NUMBERVALUE(CriteriTecnici!$N1971,".",","),IFERROR(NUMBERVALUE(CriteriTecnici!$N1971,",","."),0))),4)&amp;""),",",".")&amp;", "&amp;CHAR(34)&amp;"numerator"&amp;CHAR(34)&amp;": "&amp;SUBSTITUTE(TRIM(ROUND(IFERROR(CriteriTecnici!$K1971*1,IFERROR(NUMBERVALUE(CriteriTecnici!$K1971,".",","),IFERROR(NUMBERVALUE(CriteriTecnici!$K1971,",","."),0))),4)&amp;""),",",".")&amp;", "&amp;CHAR(34)&amp;"denominator"&amp;CHAR(34)&amp;": "&amp;SUBSTITUTE(TRIM(ROUND(IFERROR(CriteriTecnici!$L1971*1,IFERROR(NUMBERVALUE(CriteriTecnici!$L1971,".",","),IFERROR(NUMBERVALUE(CriteriTecnici!$L1971,",","."),0))),4)&amp;""),",",".")&amp;", "&amp;CHAR(34)&amp;"flag"&amp;CHAR(34)&amp;": "&amp;SUBSTITUTE(TRIM(ROUND(IFERROR(CriteriTecnici!$M1971*1,IFERROR(NUMBERVALUE(CriteriTecnici!$M1971,".",","),IFERROR(NUMBERVALUE(CriteriTecnici!$M1971,",","."),0))),4)&amp;""),",",".")&amp;", "&amp;CHAR(34)&amp;"rawScore"&amp;CHAR(34)&amp;": "&amp;SUBSTITUTE(TRIM(ROUND(IFERROR(CriteriTecnici!$O1971*1,IFERROR(NUMBERVALUE(CriteriTecnici!$O1971,".",","),IFERROR(NUMBERVALUE(CriteriTecnici!$O1971,",","."),0))),4)&amp;""),",",".")&amp;CHAR(125)&amp;IF(TRUE,",",""))</f>
        <v/>
      </c>
    </row>
    <row r="2073">
      <c r="A2073" s="82">
        <f>IF(CriteriTecnici!$A1972="","","    "&amp;CHAR(123)&amp;CHAR(34)&amp;"bidderId"&amp;CHAR(34)&amp;": "&amp;CHAR(34)&amp;SUBSTITUTE(CriteriTecnici!$A1972,CHAR(34),"'")&amp;CHAR(34)&amp;", "&amp;CHAR(34)&amp;"lotId"&amp;CHAR(34)&amp;": "&amp;CHAR(34)&amp;SUBSTITUTE(CriteriTecnici!$C1972,CHAR(34),"'")&amp;CHAR(34)&amp;", "&amp;CHAR(34)&amp;"criterionId"&amp;CHAR(34)&amp;": "&amp;CHAR(34)&amp;SUBSTITUTE(CriteriTecnici!$D1972,CHAR(34),"'")&amp;CHAR(34)&amp;", "&amp;CHAR(34)&amp;"kind"&amp;CHAR(34)&amp;": "&amp;CHAR(34)&amp;SUBSTITUTE(CriteriTecnici!$F1972,CHAR(34),"'")&amp;CHAR(34)&amp;", "&amp;CHAR(34)&amp;"value"&amp;CHAR(34)&amp;": "&amp;SUBSTITUTE(TRIM(ROUND(IFERROR(CriteriTecnici!$N1972*1,IFERROR(NUMBERVALUE(CriteriTecnici!$N1972,".",","),IFERROR(NUMBERVALUE(CriteriTecnici!$N1972,",","."),0))),4)&amp;""),",",".")&amp;", "&amp;CHAR(34)&amp;"numerator"&amp;CHAR(34)&amp;": "&amp;SUBSTITUTE(TRIM(ROUND(IFERROR(CriteriTecnici!$K1972*1,IFERROR(NUMBERVALUE(CriteriTecnici!$K1972,".",","),IFERROR(NUMBERVALUE(CriteriTecnici!$K1972,",","."),0))),4)&amp;""),",",".")&amp;", "&amp;CHAR(34)&amp;"denominator"&amp;CHAR(34)&amp;": "&amp;SUBSTITUTE(TRIM(ROUND(IFERROR(CriteriTecnici!$L1972*1,IFERROR(NUMBERVALUE(CriteriTecnici!$L1972,".",","),IFERROR(NUMBERVALUE(CriteriTecnici!$L1972,",","."),0))),4)&amp;""),",",".")&amp;", "&amp;CHAR(34)&amp;"flag"&amp;CHAR(34)&amp;": "&amp;SUBSTITUTE(TRIM(ROUND(IFERROR(CriteriTecnici!$M1972*1,IFERROR(NUMBERVALUE(CriteriTecnici!$M1972,".",","),IFERROR(NUMBERVALUE(CriteriTecnici!$M1972,",","."),0))),4)&amp;""),",",".")&amp;", "&amp;CHAR(34)&amp;"rawScore"&amp;CHAR(34)&amp;": "&amp;SUBSTITUTE(TRIM(ROUND(IFERROR(CriteriTecnici!$O1972*1,IFERROR(NUMBERVALUE(CriteriTecnici!$O1972,".",","),IFERROR(NUMBERVALUE(CriteriTecnici!$O1972,",","."),0))),4)&amp;""),",",".")&amp;CHAR(125)&amp;IF(TRUE,",",""))</f>
        <v/>
      </c>
    </row>
    <row r="2074">
      <c r="A2074" s="82">
        <f>IF(CriteriTecnici!$A1973="","","    "&amp;CHAR(123)&amp;CHAR(34)&amp;"bidderId"&amp;CHAR(34)&amp;": "&amp;CHAR(34)&amp;SUBSTITUTE(CriteriTecnici!$A1973,CHAR(34),"'")&amp;CHAR(34)&amp;", "&amp;CHAR(34)&amp;"lotId"&amp;CHAR(34)&amp;": "&amp;CHAR(34)&amp;SUBSTITUTE(CriteriTecnici!$C1973,CHAR(34),"'")&amp;CHAR(34)&amp;", "&amp;CHAR(34)&amp;"criterionId"&amp;CHAR(34)&amp;": "&amp;CHAR(34)&amp;SUBSTITUTE(CriteriTecnici!$D1973,CHAR(34),"'")&amp;CHAR(34)&amp;", "&amp;CHAR(34)&amp;"kind"&amp;CHAR(34)&amp;": "&amp;CHAR(34)&amp;SUBSTITUTE(CriteriTecnici!$F1973,CHAR(34),"'")&amp;CHAR(34)&amp;", "&amp;CHAR(34)&amp;"value"&amp;CHAR(34)&amp;": "&amp;SUBSTITUTE(TRIM(ROUND(IFERROR(CriteriTecnici!$N1973*1,IFERROR(NUMBERVALUE(CriteriTecnici!$N1973,".",","),IFERROR(NUMBERVALUE(CriteriTecnici!$N1973,",","."),0))),4)&amp;""),",",".")&amp;", "&amp;CHAR(34)&amp;"numerator"&amp;CHAR(34)&amp;": "&amp;SUBSTITUTE(TRIM(ROUND(IFERROR(CriteriTecnici!$K1973*1,IFERROR(NUMBERVALUE(CriteriTecnici!$K1973,".",","),IFERROR(NUMBERVALUE(CriteriTecnici!$K1973,",","."),0))),4)&amp;""),",",".")&amp;", "&amp;CHAR(34)&amp;"denominator"&amp;CHAR(34)&amp;": "&amp;SUBSTITUTE(TRIM(ROUND(IFERROR(CriteriTecnici!$L1973*1,IFERROR(NUMBERVALUE(CriteriTecnici!$L1973,".",","),IFERROR(NUMBERVALUE(CriteriTecnici!$L1973,",","."),0))),4)&amp;""),",",".")&amp;", "&amp;CHAR(34)&amp;"flag"&amp;CHAR(34)&amp;": "&amp;SUBSTITUTE(TRIM(ROUND(IFERROR(CriteriTecnici!$M1973*1,IFERROR(NUMBERVALUE(CriteriTecnici!$M1973,".",","),IFERROR(NUMBERVALUE(CriteriTecnici!$M1973,",","."),0))),4)&amp;""),",",".")&amp;", "&amp;CHAR(34)&amp;"rawScore"&amp;CHAR(34)&amp;": "&amp;SUBSTITUTE(TRIM(ROUND(IFERROR(CriteriTecnici!$O1973*1,IFERROR(NUMBERVALUE(CriteriTecnici!$O1973,".",","),IFERROR(NUMBERVALUE(CriteriTecnici!$O1973,",","."),0))),4)&amp;""),",",".")&amp;CHAR(125)&amp;IF(TRUE,",",""))</f>
        <v/>
      </c>
    </row>
    <row r="2075">
      <c r="A2075" s="82">
        <f>IF(CriteriTecnici!$A1974="","","    "&amp;CHAR(123)&amp;CHAR(34)&amp;"bidderId"&amp;CHAR(34)&amp;": "&amp;CHAR(34)&amp;SUBSTITUTE(CriteriTecnici!$A1974,CHAR(34),"'")&amp;CHAR(34)&amp;", "&amp;CHAR(34)&amp;"lotId"&amp;CHAR(34)&amp;": "&amp;CHAR(34)&amp;SUBSTITUTE(CriteriTecnici!$C1974,CHAR(34),"'")&amp;CHAR(34)&amp;", "&amp;CHAR(34)&amp;"criterionId"&amp;CHAR(34)&amp;": "&amp;CHAR(34)&amp;SUBSTITUTE(CriteriTecnici!$D1974,CHAR(34),"'")&amp;CHAR(34)&amp;", "&amp;CHAR(34)&amp;"kind"&amp;CHAR(34)&amp;": "&amp;CHAR(34)&amp;SUBSTITUTE(CriteriTecnici!$F1974,CHAR(34),"'")&amp;CHAR(34)&amp;", "&amp;CHAR(34)&amp;"value"&amp;CHAR(34)&amp;": "&amp;SUBSTITUTE(TRIM(ROUND(IFERROR(CriteriTecnici!$N1974*1,IFERROR(NUMBERVALUE(CriteriTecnici!$N1974,".",","),IFERROR(NUMBERVALUE(CriteriTecnici!$N1974,",","."),0))),4)&amp;""),",",".")&amp;", "&amp;CHAR(34)&amp;"numerator"&amp;CHAR(34)&amp;": "&amp;SUBSTITUTE(TRIM(ROUND(IFERROR(CriteriTecnici!$K1974*1,IFERROR(NUMBERVALUE(CriteriTecnici!$K1974,".",","),IFERROR(NUMBERVALUE(CriteriTecnici!$K1974,",","."),0))),4)&amp;""),",",".")&amp;", "&amp;CHAR(34)&amp;"denominator"&amp;CHAR(34)&amp;": "&amp;SUBSTITUTE(TRIM(ROUND(IFERROR(CriteriTecnici!$L1974*1,IFERROR(NUMBERVALUE(CriteriTecnici!$L1974,".",","),IFERROR(NUMBERVALUE(CriteriTecnici!$L1974,",","."),0))),4)&amp;""),",",".")&amp;", "&amp;CHAR(34)&amp;"flag"&amp;CHAR(34)&amp;": "&amp;SUBSTITUTE(TRIM(ROUND(IFERROR(CriteriTecnici!$M1974*1,IFERROR(NUMBERVALUE(CriteriTecnici!$M1974,".",","),IFERROR(NUMBERVALUE(CriteriTecnici!$M1974,",","."),0))),4)&amp;""),",",".")&amp;", "&amp;CHAR(34)&amp;"rawScore"&amp;CHAR(34)&amp;": "&amp;SUBSTITUTE(TRIM(ROUND(IFERROR(CriteriTecnici!$O1974*1,IFERROR(NUMBERVALUE(CriteriTecnici!$O1974,".",","),IFERROR(NUMBERVALUE(CriteriTecnici!$O1974,",","."),0))),4)&amp;""),",",".")&amp;CHAR(125)&amp;IF(TRUE,",",""))</f>
        <v/>
      </c>
    </row>
    <row r="2076">
      <c r="A2076" s="82">
        <f>IF(CriteriTecnici!$A1975="","","    "&amp;CHAR(123)&amp;CHAR(34)&amp;"bidderId"&amp;CHAR(34)&amp;": "&amp;CHAR(34)&amp;SUBSTITUTE(CriteriTecnici!$A1975,CHAR(34),"'")&amp;CHAR(34)&amp;", "&amp;CHAR(34)&amp;"lotId"&amp;CHAR(34)&amp;": "&amp;CHAR(34)&amp;SUBSTITUTE(CriteriTecnici!$C1975,CHAR(34),"'")&amp;CHAR(34)&amp;", "&amp;CHAR(34)&amp;"criterionId"&amp;CHAR(34)&amp;": "&amp;CHAR(34)&amp;SUBSTITUTE(CriteriTecnici!$D1975,CHAR(34),"'")&amp;CHAR(34)&amp;", "&amp;CHAR(34)&amp;"kind"&amp;CHAR(34)&amp;": "&amp;CHAR(34)&amp;SUBSTITUTE(CriteriTecnici!$F1975,CHAR(34),"'")&amp;CHAR(34)&amp;", "&amp;CHAR(34)&amp;"value"&amp;CHAR(34)&amp;": "&amp;SUBSTITUTE(TRIM(ROUND(IFERROR(CriteriTecnici!$N1975*1,IFERROR(NUMBERVALUE(CriteriTecnici!$N1975,".",","),IFERROR(NUMBERVALUE(CriteriTecnici!$N1975,",","."),0))),4)&amp;""),",",".")&amp;", "&amp;CHAR(34)&amp;"numerator"&amp;CHAR(34)&amp;": "&amp;SUBSTITUTE(TRIM(ROUND(IFERROR(CriteriTecnici!$K1975*1,IFERROR(NUMBERVALUE(CriteriTecnici!$K1975,".",","),IFERROR(NUMBERVALUE(CriteriTecnici!$K1975,",","."),0))),4)&amp;""),",",".")&amp;", "&amp;CHAR(34)&amp;"denominator"&amp;CHAR(34)&amp;": "&amp;SUBSTITUTE(TRIM(ROUND(IFERROR(CriteriTecnici!$L1975*1,IFERROR(NUMBERVALUE(CriteriTecnici!$L1975,".",","),IFERROR(NUMBERVALUE(CriteriTecnici!$L1975,",","."),0))),4)&amp;""),",",".")&amp;", "&amp;CHAR(34)&amp;"flag"&amp;CHAR(34)&amp;": "&amp;SUBSTITUTE(TRIM(ROUND(IFERROR(CriteriTecnici!$M1975*1,IFERROR(NUMBERVALUE(CriteriTecnici!$M1975,".",","),IFERROR(NUMBERVALUE(CriteriTecnici!$M1975,",","."),0))),4)&amp;""),",",".")&amp;", "&amp;CHAR(34)&amp;"rawScore"&amp;CHAR(34)&amp;": "&amp;SUBSTITUTE(TRIM(ROUND(IFERROR(CriteriTecnici!$O1975*1,IFERROR(NUMBERVALUE(CriteriTecnici!$O1975,".",","),IFERROR(NUMBERVALUE(CriteriTecnici!$O1975,",","."),0))),4)&amp;""),",",".")&amp;CHAR(125)&amp;IF(TRUE,",",""))</f>
        <v/>
      </c>
    </row>
    <row r="2077">
      <c r="A2077" s="82">
        <f>IF(CriteriTecnici!$A1976="","","    "&amp;CHAR(123)&amp;CHAR(34)&amp;"bidderId"&amp;CHAR(34)&amp;": "&amp;CHAR(34)&amp;SUBSTITUTE(CriteriTecnici!$A1976,CHAR(34),"'")&amp;CHAR(34)&amp;", "&amp;CHAR(34)&amp;"lotId"&amp;CHAR(34)&amp;": "&amp;CHAR(34)&amp;SUBSTITUTE(CriteriTecnici!$C1976,CHAR(34),"'")&amp;CHAR(34)&amp;", "&amp;CHAR(34)&amp;"criterionId"&amp;CHAR(34)&amp;": "&amp;CHAR(34)&amp;SUBSTITUTE(CriteriTecnici!$D1976,CHAR(34),"'")&amp;CHAR(34)&amp;", "&amp;CHAR(34)&amp;"kind"&amp;CHAR(34)&amp;": "&amp;CHAR(34)&amp;SUBSTITUTE(CriteriTecnici!$F1976,CHAR(34),"'")&amp;CHAR(34)&amp;", "&amp;CHAR(34)&amp;"value"&amp;CHAR(34)&amp;": "&amp;SUBSTITUTE(TRIM(ROUND(IFERROR(CriteriTecnici!$N1976*1,IFERROR(NUMBERVALUE(CriteriTecnici!$N1976,".",","),IFERROR(NUMBERVALUE(CriteriTecnici!$N1976,",","."),0))),4)&amp;""),",",".")&amp;", "&amp;CHAR(34)&amp;"numerator"&amp;CHAR(34)&amp;": "&amp;SUBSTITUTE(TRIM(ROUND(IFERROR(CriteriTecnici!$K1976*1,IFERROR(NUMBERVALUE(CriteriTecnici!$K1976,".",","),IFERROR(NUMBERVALUE(CriteriTecnici!$K1976,",","."),0))),4)&amp;""),",",".")&amp;", "&amp;CHAR(34)&amp;"denominator"&amp;CHAR(34)&amp;": "&amp;SUBSTITUTE(TRIM(ROUND(IFERROR(CriteriTecnici!$L1976*1,IFERROR(NUMBERVALUE(CriteriTecnici!$L1976,".",","),IFERROR(NUMBERVALUE(CriteriTecnici!$L1976,",","."),0))),4)&amp;""),",",".")&amp;", "&amp;CHAR(34)&amp;"flag"&amp;CHAR(34)&amp;": "&amp;SUBSTITUTE(TRIM(ROUND(IFERROR(CriteriTecnici!$M1976*1,IFERROR(NUMBERVALUE(CriteriTecnici!$M1976,".",","),IFERROR(NUMBERVALUE(CriteriTecnici!$M1976,",","."),0))),4)&amp;""),",",".")&amp;", "&amp;CHAR(34)&amp;"rawScore"&amp;CHAR(34)&amp;": "&amp;SUBSTITUTE(TRIM(ROUND(IFERROR(CriteriTecnici!$O1976*1,IFERROR(NUMBERVALUE(CriteriTecnici!$O1976,".",","),IFERROR(NUMBERVALUE(CriteriTecnici!$O1976,",","."),0))),4)&amp;""),",",".")&amp;CHAR(125)&amp;IF(TRUE,",",""))</f>
        <v/>
      </c>
    </row>
    <row r="2078">
      <c r="A2078" s="82">
        <f>IF(CriteriTecnici!$A1977="","","    "&amp;CHAR(123)&amp;CHAR(34)&amp;"bidderId"&amp;CHAR(34)&amp;": "&amp;CHAR(34)&amp;SUBSTITUTE(CriteriTecnici!$A1977,CHAR(34),"'")&amp;CHAR(34)&amp;", "&amp;CHAR(34)&amp;"lotId"&amp;CHAR(34)&amp;": "&amp;CHAR(34)&amp;SUBSTITUTE(CriteriTecnici!$C1977,CHAR(34),"'")&amp;CHAR(34)&amp;", "&amp;CHAR(34)&amp;"criterionId"&amp;CHAR(34)&amp;": "&amp;CHAR(34)&amp;SUBSTITUTE(CriteriTecnici!$D1977,CHAR(34),"'")&amp;CHAR(34)&amp;", "&amp;CHAR(34)&amp;"kind"&amp;CHAR(34)&amp;": "&amp;CHAR(34)&amp;SUBSTITUTE(CriteriTecnici!$F1977,CHAR(34),"'")&amp;CHAR(34)&amp;", "&amp;CHAR(34)&amp;"value"&amp;CHAR(34)&amp;": "&amp;SUBSTITUTE(TRIM(ROUND(IFERROR(CriteriTecnici!$N1977*1,IFERROR(NUMBERVALUE(CriteriTecnici!$N1977,".",","),IFERROR(NUMBERVALUE(CriteriTecnici!$N1977,",","."),0))),4)&amp;""),",",".")&amp;", "&amp;CHAR(34)&amp;"numerator"&amp;CHAR(34)&amp;": "&amp;SUBSTITUTE(TRIM(ROUND(IFERROR(CriteriTecnici!$K1977*1,IFERROR(NUMBERVALUE(CriteriTecnici!$K1977,".",","),IFERROR(NUMBERVALUE(CriteriTecnici!$K1977,",","."),0))),4)&amp;""),",",".")&amp;", "&amp;CHAR(34)&amp;"denominator"&amp;CHAR(34)&amp;": "&amp;SUBSTITUTE(TRIM(ROUND(IFERROR(CriteriTecnici!$L1977*1,IFERROR(NUMBERVALUE(CriteriTecnici!$L1977,".",","),IFERROR(NUMBERVALUE(CriteriTecnici!$L1977,",","."),0))),4)&amp;""),",",".")&amp;", "&amp;CHAR(34)&amp;"flag"&amp;CHAR(34)&amp;": "&amp;SUBSTITUTE(TRIM(ROUND(IFERROR(CriteriTecnici!$M1977*1,IFERROR(NUMBERVALUE(CriteriTecnici!$M1977,".",","),IFERROR(NUMBERVALUE(CriteriTecnici!$M1977,",","."),0))),4)&amp;""),",",".")&amp;", "&amp;CHAR(34)&amp;"rawScore"&amp;CHAR(34)&amp;": "&amp;SUBSTITUTE(TRIM(ROUND(IFERROR(CriteriTecnici!$O1977*1,IFERROR(NUMBERVALUE(CriteriTecnici!$O1977,".",","),IFERROR(NUMBERVALUE(CriteriTecnici!$O1977,",","."),0))),4)&amp;""),",",".")&amp;CHAR(125)&amp;IF(TRUE,",",""))</f>
        <v/>
      </c>
    </row>
    <row r="2079">
      <c r="A2079" s="82">
        <f>IF(CriteriTecnici!$A1978="","","    "&amp;CHAR(123)&amp;CHAR(34)&amp;"bidderId"&amp;CHAR(34)&amp;": "&amp;CHAR(34)&amp;SUBSTITUTE(CriteriTecnici!$A1978,CHAR(34),"'")&amp;CHAR(34)&amp;", "&amp;CHAR(34)&amp;"lotId"&amp;CHAR(34)&amp;": "&amp;CHAR(34)&amp;SUBSTITUTE(CriteriTecnici!$C1978,CHAR(34),"'")&amp;CHAR(34)&amp;", "&amp;CHAR(34)&amp;"criterionId"&amp;CHAR(34)&amp;": "&amp;CHAR(34)&amp;SUBSTITUTE(CriteriTecnici!$D1978,CHAR(34),"'")&amp;CHAR(34)&amp;", "&amp;CHAR(34)&amp;"kind"&amp;CHAR(34)&amp;": "&amp;CHAR(34)&amp;SUBSTITUTE(CriteriTecnici!$F1978,CHAR(34),"'")&amp;CHAR(34)&amp;", "&amp;CHAR(34)&amp;"value"&amp;CHAR(34)&amp;": "&amp;SUBSTITUTE(TRIM(ROUND(IFERROR(CriteriTecnici!$N1978*1,IFERROR(NUMBERVALUE(CriteriTecnici!$N1978,".",","),IFERROR(NUMBERVALUE(CriteriTecnici!$N1978,",","."),0))),4)&amp;""),",",".")&amp;", "&amp;CHAR(34)&amp;"numerator"&amp;CHAR(34)&amp;": "&amp;SUBSTITUTE(TRIM(ROUND(IFERROR(CriteriTecnici!$K1978*1,IFERROR(NUMBERVALUE(CriteriTecnici!$K1978,".",","),IFERROR(NUMBERVALUE(CriteriTecnici!$K1978,",","."),0))),4)&amp;""),",",".")&amp;", "&amp;CHAR(34)&amp;"denominator"&amp;CHAR(34)&amp;": "&amp;SUBSTITUTE(TRIM(ROUND(IFERROR(CriteriTecnici!$L1978*1,IFERROR(NUMBERVALUE(CriteriTecnici!$L1978,".",","),IFERROR(NUMBERVALUE(CriteriTecnici!$L1978,",","."),0))),4)&amp;""),",",".")&amp;", "&amp;CHAR(34)&amp;"flag"&amp;CHAR(34)&amp;": "&amp;SUBSTITUTE(TRIM(ROUND(IFERROR(CriteriTecnici!$M1978*1,IFERROR(NUMBERVALUE(CriteriTecnici!$M1978,".",","),IFERROR(NUMBERVALUE(CriteriTecnici!$M1978,",","."),0))),4)&amp;""),",",".")&amp;", "&amp;CHAR(34)&amp;"rawScore"&amp;CHAR(34)&amp;": "&amp;SUBSTITUTE(TRIM(ROUND(IFERROR(CriteriTecnici!$O1978*1,IFERROR(NUMBERVALUE(CriteriTecnici!$O1978,".",","),IFERROR(NUMBERVALUE(CriteriTecnici!$O1978,",","."),0))),4)&amp;""),",",".")&amp;CHAR(125)&amp;IF(TRUE,",",""))</f>
        <v/>
      </c>
    </row>
    <row r="2080">
      <c r="A2080" s="82">
        <f>IF(CriteriTecnici!$A1979="","","    "&amp;CHAR(123)&amp;CHAR(34)&amp;"bidderId"&amp;CHAR(34)&amp;": "&amp;CHAR(34)&amp;SUBSTITUTE(CriteriTecnici!$A1979,CHAR(34),"'")&amp;CHAR(34)&amp;", "&amp;CHAR(34)&amp;"lotId"&amp;CHAR(34)&amp;": "&amp;CHAR(34)&amp;SUBSTITUTE(CriteriTecnici!$C1979,CHAR(34),"'")&amp;CHAR(34)&amp;", "&amp;CHAR(34)&amp;"criterionId"&amp;CHAR(34)&amp;": "&amp;CHAR(34)&amp;SUBSTITUTE(CriteriTecnici!$D1979,CHAR(34),"'")&amp;CHAR(34)&amp;", "&amp;CHAR(34)&amp;"kind"&amp;CHAR(34)&amp;": "&amp;CHAR(34)&amp;SUBSTITUTE(CriteriTecnici!$F1979,CHAR(34),"'")&amp;CHAR(34)&amp;", "&amp;CHAR(34)&amp;"value"&amp;CHAR(34)&amp;": "&amp;SUBSTITUTE(TRIM(ROUND(IFERROR(CriteriTecnici!$N1979*1,IFERROR(NUMBERVALUE(CriteriTecnici!$N1979,".",","),IFERROR(NUMBERVALUE(CriteriTecnici!$N1979,",","."),0))),4)&amp;""),",",".")&amp;", "&amp;CHAR(34)&amp;"numerator"&amp;CHAR(34)&amp;": "&amp;SUBSTITUTE(TRIM(ROUND(IFERROR(CriteriTecnici!$K1979*1,IFERROR(NUMBERVALUE(CriteriTecnici!$K1979,".",","),IFERROR(NUMBERVALUE(CriteriTecnici!$K1979,",","."),0))),4)&amp;""),",",".")&amp;", "&amp;CHAR(34)&amp;"denominator"&amp;CHAR(34)&amp;": "&amp;SUBSTITUTE(TRIM(ROUND(IFERROR(CriteriTecnici!$L1979*1,IFERROR(NUMBERVALUE(CriteriTecnici!$L1979,".",","),IFERROR(NUMBERVALUE(CriteriTecnici!$L1979,",","."),0))),4)&amp;""),",",".")&amp;", "&amp;CHAR(34)&amp;"flag"&amp;CHAR(34)&amp;": "&amp;SUBSTITUTE(TRIM(ROUND(IFERROR(CriteriTecnici!$M1979*1,IFERROR(NUMBERVALUE(CriteriTecnici!$M1979,".",","),IFERROR(NUMBERVALUE(CriteriTecnici!$M1979,",","."),0))),4)&amp;""),",",".")&amp;", "&amp;CHAR(34)&amp;"rawScore"&amp;CHAR(34)&amp;": "&amp;SUBSTITUTE(TRIM(ROUND(IFERROR(CriteriTecnici!$O1979*1,IFERROR(NUMBERVALUE(CriteriTecnici!$O1979,".",","),IFERROR(NUMBERVALUE(CriteriTecnici!$O1979,",","."),0))),4)&amp;""),",",".")&amp;CHAR(125)&amp;IF(TRUE,",",""))</f>
        <v/>
      </c>
    </row>
    <row r="2081">
      <c r="A2081" s="82">
        <f>IF(CriteriTecnici!$A1980="","","    "&amp;CHAR(123)&amp;CHAR(34)&amp;"bidderId"&amp;CHAR(34)&amp;": "&amp;CHAR(34)&amp;SUBSTITUTE(CriteriTecnici!$A1980,CHAR(34),"'")&amp;CHAR(34)&amp;", "&amp;CHAR(34)&amp;"lotId"&amp;CHAR(34)&amp;": "&amp;CHAR(34)&amp;SUBSTITUTE(CriteriTecnici!$C1980,CHAR(34),"'")&amp;CHAR(34)&amp;", "&amp;CHAR(34)&amp;"criterionId"&amp;CHAR(34)&amp;": "&amp;CHAR(34)&amp;SUBSTITUTE(CriteriTecnici!$D1980,CHAR(34),"'")&amp;CHAR(34)&amp;", "&amp;CHAR(34)&amp;"kind"&amp;CHAR(34)&amp;": "&amp;CHAR(34)&amp;SUBSTITUTE(CriteriTecnici!$F1980,CHAR(34),"'")&amp;CHAR(34)&amp;", "&amp;CHAR(34)&amp;"value"&amp;CHAR(34)&amp;": "&amp;SUBSTITUTE(TRIM(ROUND(IFERROR(CriteriTecnici!$N1980*1,IFERROR(NUMBERVALUE(CriteriTecnici!$N1980,".",","),IFERROR(NUMBERVALUE(CriteriTecnici!$N1980,",","."),0))),4)&amp;""),",",".")&amp;", "&amp;CHAR(34)&amp;"numerator"&amp;CHAR(34)&amp;": "&amp;SUBSTITUTE(TRIM(ROUND(IFERROR(CriteriTecnici!$K1980*1,IFERROR(NUMBERVALUE(CriteriTecnici!$K1980,".",","),IFERROR(NUMBERVALUE(CriteriTecnici!$K1980,",","."),0))),4)&amp;""),",",".")&amp;", "&amp;CHAR(34)&amp;"denominator"&amp;CHAR(34)&amp;": "&amp;SUBSTITUTE(TRIM(ROUND(IFERROR(CriteriTecnici!$L1980*1,IFERROR(NUMBERVALUE(CriteriTecnici!$L1980,".",","),IFERROR(NUMBERVALUE(CriteriTecnici!$L1980,",","."),0))),4)&amp;""),",",".")&amp;", "&amp;CHAR(34)&amp;"flag"&amp;CHAR(34)&amp;": "&amp;SUBSTITUTE(TRIM(ROUND(IFERROR(CriteriTecnici!$M1980*1,IFERROR(NUMBERVALUE(CriteriTecnici!$M1980,".",","),IFERROR(NUMBERVALUE(CriteriTecnici!$M1980,",","."),0))),4)&amp;""),",",".")&amp;", "&amp;CHAR(34)&amp;"rawScore"&amp;CHAR(34)&amp;": "&amp;SUBSTITUTE(TRIM(ROUND(IFERROR(CriteriTecnici!$O1980*1,IFERROR(NUMBERVALUE(CriteriTecnici!$O1980,".",","),IFERROR(NUMBERVALUE(CriteriTecnici!$O1980,",","."),0))),4)&amp;""),",",".")&amp;CHAR(125)&amp;IF(TRUE,",",""))</f>
        <v/>
      </c>
    </row>
    <row r="2082">
      <c r="A2082" s="82">
        <f>IF(CriteriTecnici!$A1981="","","    "&amp;CHAR(123)&amp;CHAR(34)&amp;"bidderId"&amp;CHAR(34)&amp;": "&amp;CHAR(34)&amp;SUBSTITUTE(CriteriTecnici!$A1981,CHAR(34),"'")&amp;CHAR(34)&amp;", "&amp;CHAR(34)&amp;"lotId"&amp;CHAR(34)&amp;": "&amp;CHAR(34)&amp;SUBSTITUTE(CriteriTecnici!$C1981,CHAR(34),"'")&amp;CHAR(34)&amp;", "&amp;CHAR(34)&amp;"criterionId"&amp;CHAR(34)&amp;": "&amp;CHAR(34)&amp;SUBSTITUTE(CriteriTecnici!$D1981,CHAR(34),"'")&amp;CHAR(34)&amp;", "&amp;CHAR(34)&amp;"kind"&amp;CHAR(34)&amp;": "&amp;CHAR(34)&amp;SUBSTITUTE(CriteriTecnici!$F1981,CHAR(34),"'")&amp;CHAR(34)&amp;", "&amp;CHAR(34)&amp;"value"&amp;CHAR(34)&amp;": "&amp;SUBSTITUTE(TRIM(ROUND(IFERROR(CriteriTecnici!$N1981*1,IFERROR(NUMBERVALUE(CriteriTecnici!$N1981,".",","),IFERROR(NUMBERVALUE(CriteriTecnici!$N1981,",","."),0))),4)&amp;""),",",".")&amp;", "&amp;CHAR(34)&amp;"numerator"&amp;CHAR(34)&amp;": "&amp;SUBSTITUTE(TRIM(ROUND(IFERROR(CriteriTecnici!$K1981*1,IFERROR(NUMBERVALUE(CriteriTecnici!$K1981,".",","),IFERROR(NUMBERVALUE(CriteriTecnici!$K1981,",","."),0))),4)&amp;""),",",".")&amp;", "&amp;CHAR(34)&amp;"denominator"&amp;CHAR(34)&amp;": "&amp;SUBSTITUTE(TRIM(ROUND(IFERROR(CriteriTecnici!$L1981*1,IFERROR(NUMBERVALUE(CriteriTecnici!$L1981,".",","),IFERROR(NUMBERVALUE(CriteriTecnici!$L1981,",","."),0))),4)&amp;""),",",".")&amp;", "&amp;CHAR(34)&amp;"flag"&amp;CHAR(34)&amp;": "&amp;SUBSTITUTE(TRIM(ROUND(IFERROR(CriteriTecnici!$M1981*1,IFERROR(NUMBERVALUE(CriteriTecnici!$M1981,".",","),IFERROR(NUMBERVALUE(CriteriTecnici!$M1981,",","."),0))),4)&amp;""),",",".")&amp;", "&amp;CHAR(34)&amp;"rawScore"&amp;CHAR(34)&amp;": "&amp;SUBSTITUTE(TRIM(ROUND(IFERROR(CriteriTecnici!$O1981*1,IFERROR(NUMBERVALUE(CriteriTecnici!$O1981,".",","),IFERROR(NUMBERVALUE(CriteriTecnici!$O1981,",","."),0))),4)&amp;""),",",".")&amp;CHAR(125)&amp;IF(TRUE,",",""))</f>
        <v/>
      </c>
    </row>
    <row r="2083">
      <c r="A2083" s="82">
        <f>IF(CriteriTecnici!$A1982="","","    "&amp;CHAR(123)&amp;CHAR(34)&amp;"bidderId"&amp;CHAR(34)&amp;": "&amp;CHAR(34)&amp;SUBSTITUTE(CriteriTecnici!$A1982,CHAR(34),"'")&amp;CHAR(34)&amp;", "&amp;CHAR(34)&amp;"lotId"&amp;CHAR(34)&amp;": "&amp;CHAR(34)&amp;SUBSTITUTE(CriteriTecnici!$C1982,CHAR(34),"'")&amp;CHAR(34)&amp;", "&amp;CHAR(34)&amp;"criterionId"&amp;CHAR(34)&amp;": "&amp;CHAR(34)&amp;SUBSTITUTE(CriteriTecnici!$D1982,CHAR(34),"'")&amp;CHAR(34)&amp;", "&amp;CHAR(34)&amp;"kind"&amp;CHAR(34)&amp;": "&amp;CHAR(34)&amp;SUBSTITUTE(CriteriTecnici!$F1982,CHAR(34),"'")&amp;CHAR(34)&amp;", "&amp;CHAR(34)&amp;"value"&amp;CHAR(34)&amp;": "&amp;SUBSTITUTE(TRIM(ROUND(IFERROR(CriteriTecnici!$N1982*1,IFERROR(NUMBERVALUE(CriteriTecnici!$N1982,".",","),IFERROR(NUMBERVALUE(CriteriTecnici!$N1982,",","."),0))),4)&amp;""),",",".")&amp;", "&amp;CHAR(34)&amp;"numerator"&amp;CHAR(34)&amp;": "&amp;SUBSTITUTE(TRIM(ROUND(IFERROR(CriteriTecnici!$K1982*1,IFERROR(NUMBERVALUE(CriteriTecnici!$K1982,".",","),IFERROR(NUMBERVALUE(CriteriTecnici!$K1982,",","."),0))),4)&amp;""),",",".")&amp;", "&amp;CHAR(34)&amp;"denominator"&amp;CHAR(34)&amp;": "&amp;SUBSTITUTE(TRIM(ROUND(IFERROR(CriteriTecnici!$L1982*1,IFERROR(NUMBERVALUE(CriteriTecnici!$L1982,".",","),IFERROR(NUMBERVALUE(CriteriTecnici!$L1982,",","."),0))),4)&amp;""),",",".")&amp;", "&amp;CHAR(34)&amp;"flag"&amp;CHAR(34)&amp;": "&amp;SUBSTITUTE(TRIM(ROUND(IFERROR(CriteriTecnici!$M1982*1,IFERROR(NUMBERVALUE(CriteriTecnici!$M1982,".",","),IFERROR(NUMBERVALUE(CriteriTecnici!$M1982,",","."),0))),4)&amp;""),",",".")&amp;", "&amp;CHAR(34)&amp;"rawScore"&amp;CHAR(34)&amp;": "&amp;SUBSTITUTE(TRIM(ROUND(IFERROR(CriteriTecnici!$O1982*1,IFERROR(NUMBERVALUE(CriteriTecnici!$O1982,".",","),IFERROR(NUMBERVALUE(CriteriTecnici!$O1982,",","."),0))),4)&amp;""),",",".")&amp;CHAR(125)&amp;IF(TRUE,",",""))</f>
        <v/>
      </c>
    </row>
    <row r="2084">
      <c r="A2084" s="82">
        <f>IF(CriteriTecnici!$A1983="","","    "&amp;CHAR(123)&amp;CHAR(34)&amp;"bidderId"&amp;CHAR(34)&amp;": "&amp;CHAR(34)&amp;SUBSTITUTE(CriteriTecnici!$A1983,CHAR(34),"'")&amp;CHAR(34)&amp;", "&amp;CHAR(34)&amp;"lotId"&amp;CHAR(34)&amp;": "&amp;CHAR(34)&amp;SUBSTITUTE(CriteriTecnici!$C1983,CHAR(34),"'")&amp;CHAR(34)&amp;", "&amp;CHAR(34)&amp;"criterionId"&amp;CHAR(34)&amp;": "&amp;CHAR(34)&amp;SUBSTITUTE(CriteriTecnici!$D1983,CHAR(34),"'")&amp;CHAR(34)&amp;", "&amp;CHAR(34)&amp;"kind"&amp;CHAR(34)&amp;": "&amp;CHAR(34)&amp;SUBSTITUTE(CriteriTecnici!$F1983,CHAR(34),"'")&amp;CHAR(34)&amp;", "&amp;CHAR(34)&amp;"value"&amp;CHAR(34)&amp;": "&amp;SUBSTITUTE(TRIM(ROUND(IFERROR(CriteriTecnici!$N1983*1,IFERROR(NUMBERVALUE(CriteriTecnici!$N1983,".",","),IFERROR(NUMBERVALUE(CriteriTecnici!$N1983,",","."),0))),4)&amp;""),",",".")&amp;", "&amp;CHAR(34)&amp;"numerator"&amp;CHAR(34)&amp;": "&amp;SUBSTITUTE(TRIM(ROUND(IFERROR(CriteriTecnici!$K1983*1,IFERROR(NUMBERVALUE(CriteriTecnici!$K1983,".",","),IFERROR(NUMBERVALUE(CriteriTecnici!$K1983,",","."),0))),4)&amp;""),",",".")&amp;", "&amp;CHAR(34)&amp;"denominator"&amp;CHAR(34)&amp;": "&amp;SUBSTITUTE(TRIM(ROUND(IFERROR(CriteriTecnici!$L1983*1,IFERROR(NUMBERVALUE(CriteriTecnici!$L1983,".",","),IFERROR(NUMBERVALUE(CriteriTecnici!$L1983,",","."),0))),4)&amp;""),",",".")&amp;", "&amp;CHAR(34)&amp;"flag"&amp;CHAR(34)&amp;": "&amp;SUBSTITUTE(TRIM(ROUND(IFERROR(CriteriTecnici!$M1983*1,IFERROR(NUMBERVALUE(CriteriTecnici!$M1983,".",","),IFERROR(NUMBERVALUE(CriteriTecnici!$M1983,",","."),0))),4)&amp;""),",",".")&amp;", "&amp;CHAR(34)&amp;"rawScore"&amp;CHAR(34)&amp;": "&amp;SUBSTITUTE(TRIM(ROUND(IFERROR(CriteriTecnici!$O1983*1,IFERROR(NUMBERVALUE(CriteriTecnici!$O1983,".",","),IFERROR(NUMBERVALUE(CriteriTecnici!$O1983,",","."),0))),4)&amp;""),",",".")&amp;CHAR(125)&amp;IF(TRUE,",",""))</f>
        <v/>
      </c>
    </row>
    <row r="2085">
      <c r="A2085" s="82">
        <f>IF(CriteriTecnici!$A1984="","","    "&amp;CHAR(123)&amp;CHAR(34)&amp;"bidderId"&amp;CHAR(34)&amp;": "&amp;CHAR(34)&amp;SUBSTITUTE(CriteriTecnici!$A1984,CHAR(34),"'")&amp;CHAR(34)&amp;", "&amp;CHAR(34)&amp;"lotId"&amp;CHAR(34)&amp;": "&amp;CHAR(34)&amp;SUBSTITUTE(CriteriTecnici!$C1984,CHAR(34),"'")&amp;CHAR(34)&amp;", "&amp;CHAR(34)&amp;"criterionId"&amp;CHAR(34)&amp;": "&amp;CHAR(34)&amp;SUBSTITUTE(CriteriTecnici!$D1984,CHAR(34),"'")&amp;CHAR(34)&amp;", "&amp;CHAR(34)&amp;"kind"&amp;CHAR(34)&amp;": "&amp;CHAR(34)&amp;SUBSTITUTE(CriteriTecnici!$F1984,CHAR(34),"'")&amp;CHAR(34)&amp;", "&amp;CHAR(34)&amp;"value"&amp;CHAR(34)&amp;": "&amp;SUBSTITUTE(TRIM(ROUND(IFERROR(CriteriTecnici!$N1984*1,IFERROR(NUMBERVALUE(CriteriTecnici!$N1984,".",","),IFERROR(NUMBERVALUE(CriteriTecnici!$N1984,",","."),0))),4)&amp;""),",",".")&amp;", "&amp;CHAR(34)&amp;"numerator"&amp;CHAR(34)&amp;": "&amp;SUBSTITUTE(TRIM(ROUND(IFERROR(CriteriTecnici!$K1984*1,IFERROR(NUMBERVALUE(CriteriTecnici!$K1984,".",","),IFERROR(NUMBERVALUE(CriteriTecnici!$K1984,",","."),0))),4)&amp;""),",",".")&amp;", "&amp;CHAR(34)&amp;"denominator"&amp;CHAR(34)&amp;": "&amp;SUBSTITUTE(TRIM(ROUND(IFERROR(CriteriTecnici!$L1984*1,IFERROR(NUMBERVALUE(CriteriTecnici!$L1984,".",","),IFERROR(NUMBERVALUE(CriteriTecnici!$L1984,",","."),0))),4)&amp;""),",",".")&amp;", "&amp;CHAR(34)&amp;"flag"&amp;CHAR(34)&amp;": "&amp;SUBSTITUTE(TRIM(ROUND(IFERROR(CriteriTecnici!$M1984*1,IFERROR(NUMBERVALUE(CriteriTecnici!$M1984,".",","),IFERROR(NUMBERVALUE(CriteriTecnici!$M1984,",","."),0))),4)&amp;""),",",".")&amp;", "&amp;CHAR(34)&amp;"rawScore"&amp;CHAR(34)&amp;": "&amp;SUBSTITUTE(TRIM(ROUND(IFERROR(CriteriTecnici!$O1984*1,IFERROR(NUMBERVALUE(CriteriTecnici!$O1984,".",","),IFERROR(NUMBERVALUE(CriteriTecnici!$O1984,",","."),0))),4)&amp;""),",",".")&amp;CHAR(125)&amp;IF(TRUE,",",""))</f>
        <v/>
      </c>
    </row>
    <row r="2086">
      <c r="A2086" s="82">
        <f>IF(CriteriTecnici!$A1985="","","    "&amp;CHAR(123)&amp;CHAR(34)&amp;"bidderId"&amp;CHAR(34)&amp;": "&amp;CHAR(34)&amp;SUBSTITUTE(CriteriTecnici!$A1985,CHAR(34),"'")&amp;CHAR(34)&amp;", "&amp;CHAR(34)&amp;"lotId"&amp;CHAR(34)&amp;": "&amp;CHAR(34)&amp;SUBSTITUTE(CriteriTecnici!$C1985,CHAR(34),"'")&amp;CHAR(34)&amp;", "&amp;CHAR(34)&amp;"criterionId"&amp;CHAR(34)&amp;": "&amp;CHAR(34)&amp;SUBSTITUTE(CriteriTecnici!$D1985,CHAR(34),"'")&amp;CHAR(34)&amp;", "&amp;CHAR(34)&amp;"kind"&amp;CHAR(34)&amp;": "&amp;CHAR(34)&amp;SUBSTITUTE(CriteriTecnici!$F1985,CHAR(34),"'")&amp;CHAR(34)&amp;", "&amp;CHAR(34)&amp;"value"&amp;CHAR(34)&amp;": "&amp;SUBSTITUTE(TRIM(ROUND(IFERROR(CriteriTecnici!$N1985*1,IFERROR(NUMBERVALUE(CriteriTecnici!$N1985,".",","),IFERROR(NUMBERVALUE(CriteriTecnici!$N1985,",","."),0))),4)&amp;""),",",".")&amp;", "&amp;CHAR(34)&amp;"numerator"&amp;CHAR(34)&amp;": "&amp;SUBSTITUTE(TRIM(ROUND(IFERROR(CriteriTecnici!$K1985*1,IFERROR(NUMBERVALUE(CriteriTecnici!$K1985,".",","),IFERROR(NUMBERVALUE(CriteriTecnici!$K1985,",","."),0))),4)&amp;""),",",".")&amp;", "&amp;CHAR(34)&amp;"denominator"&amp;CHAR(34)&amp;": "&amp;SUBSTITUTE(TRIM(ROUND(IFERROR(CriteriTecnici!$L1985*1,IFERROR(NUMBERVALUE(CriteriTecnici!$L1985,".",","),IFERROR(NUMBERVALUE(CriteriTecnici!$L1985,",","."),0))),4)&amp;""),",",".")&amp;", "&amp;CHAR(34)&amp;"flag"&amp;CHAR(34)&amp;": "&amp;SUBSTITUTE(TRIM(ROUND(IFERROR(CriteriTecnici!$M1985*1,IFERROR(NUMBERVALUE(CriteriTecnici!$M1985,".",","),IFERROR(NUMBERVALUE(CriteriTecnici!$M1985,",","."),0))),4)&amp;""),",",".")&amp;", "&amp;CHAR(34)&amp;"rawScore"&amp;CHAR(34)&amp;": "&amp;SUBSTITUTE(TRIM(ROUND(IFERROR(CriteriTecnici!$O1985*1,IFERROR(NUMBERVALUE(CriteriTecnici!$O1985,".",","),IFERROR(NUMBERVALUE(CriteriTecnici!$O1985,",","."),0))),4)&amp;""),",",".")&amp;CHAR(125)&amp;IF(TRUE,",",""))</f>
        <v/>
      </c>
    </row>
    <row r="2087">
      <c r="A2087" s="82">
        <f>IF(CriteriTecnici!$A1986="","","    "&amp;CHAR(123)&amp;CHAR(34)&amp;"bidderId"&amp;CHAR(34)&amp;": "&amp;CHAR(34)&amp;SUBSTITUTE(CriteriTecnici!$A1986,CHAR(34),"'")&amp;CHAR(34)&amp;", "&amp;CHAR(34)&amp;"lotId"&amp;CHAR(34)&amp;": "&amp;CHAR(34)&amp;SUBSTITUTE(CriteriTecnici!$C1986,CHAR(34),"'")&amp;CHAR(34)&amp;", "&amp;CHAR(34)&amp;"criterionId"&amp;CHAR(34)&amp;": "&amp;CHAR(34)&amp;SUBSTITUTE(CriteriTecnici!$D1986,CHAR(34),"'")&amp;CHAR(34)&amp;", "&amp;CHAR(34)&amp;"kind"&amp;CHAR(34)&amp;": "&amp;CHAR(34)&amp;SUBSTITUTE(CriteriTecnici!$F1986,CHAR(34),"'")&amp;CHAR(34)&amp;", "&amp;CHAR(34)&amp;"value"&amp;CHAR(34)&amp;": "&amp;SUBSTITUTE(TRIM(ROUND(IFERROR(CriteriTecnici!$N1986*1,IFERROR(NUMBERVALUE(CriteriTecnici!$N1986,".",","),IFERROR(NUMBERVALUE(CriteriTecnici!$N1986,",","."),0))),4)&amp;""),",",".")&amp;", "&amp;CHAR(34)&amp;"numerator"&amp;CHAR(34)&amp;": "&amp;SUBSTITUTE(TRIM(ROUND(IFERROR(CriteriTecnici!$K1986*1,IFERROR(NUMBERVALUE(CriteriTecnici!$K1986,".",","),IFERROR(NUMBERVALUE(CriteriTecnici!$K1986,",","."),0))),4)&amp;""),",",".")&amp;", "&amp;CHAR(34)&amp;"denominator"&amp;CHAR(34)&amp;": "&amp;SUBSTITUTE(TRIM(ROUND(IFERROR(CriteriTecnici!$L1986*1,IFERROR(NUMBERVALUE(CriteriTecnici!$L1986,".",","),IFERROR(NUMBERVALUE(CriteriTecnici!$L1986,",","."),0))),4)&amp;""),",",".")&amp;", "&amp;CHAR(34)&amp;"flag"&amp;CHAR(34)&amp;": "&amp;SUBSTITUTE(TRIM(ROUND(IFERROR(CriteriTecnici!$M1986*1,IFERROR(NUMBERVALUE(CriteriTecnici!$M1986,".",","),IFERROR(NUMBERVALUE(CriteriTecnici!$M1986,",","."),0))),4)&amp;""),",",".")&amp;", "&amp;CHAR(34)&amp;"rawScore"&amp;CHAR(34)&amp;": "&amp;SUBSTITUTE(TRIM(ROUND(IFERROR(CriteriTecnici!$O1986*1,IFERROR(NUMBERVALUE(CriteriTecnici!$O1986,".",","),IFERROR(NUMBERVALUE(CriteriTecnici!$O1986,",","."),0))),4)&amp;""),",",".")&amp;CHAR(125)&amp;IF(TRUE,",",""))</f>
        <v/>
      </c>
    </row>
    <row r="2088">
      <c r="A2088" s="82">
        <f>IF(CriteriTecnici!$A1987="","","    "&amp;CHAR(123)&amp;CHAR(34)&amp;"bidderId"&amp;CHAR(34)&amp;": "&amp;CHAR(34)&amp;SUBSTITUTE(CriteriTecnici!$A1987,CHAR(34),"'")&amp;CHAR(34)&amp;", "&amp;CHAR(34)&amp;"lotId"&amp;CHAR(34)&amp;": "&amp;CHAR(34)&amp;SUBSTITUTE(CriteriTecnici!$C1987,CHAR(34),"'")&amp;CHAR(34)&amp;", "&amp;CHAR(34)&amp;"criterionId"&amp;CHAR(34)&amp;": "&amp;CHAR(34)&amp;SUBSTITUTE(CriteriTecnici!$D1987,CHAR(34),"'")&amp;CHAR(34)&amp;", "&amp;CHAR(34)&amp;"kind"&amp;CHAR(34)&amp;": "&amp;CHAR(34)&amp;SUBSTITUTE(CriteriTecnici!$F1987,CHAR(34),"'")&amp;CHAR(34)&amp;", "&amp;CHAR(34)&amp;"value"&amp;CHAR(34)&amp;": "&amp;SUBSTITUTE(TRIM(ROUND(IFERROR(CriteriTecnici!$N1987*1,IFERROR(NUMBERVALUE(CriteriTecnici!$N1987,".",","),IFERROR(NUMBERVALUE(CriteriTecnici!$N1987,",","."),0))),4)&amp;""),",",".")&amp;", "&amp;CHAR(34)&amp;"numerator"&amp;CHAR(34)&amp;": "&amp;SUBSTITUTE(TRIM(ROUND(IFERROR(CriteriTecnici!$K1987*1,IFERROR(NUMBERVALUE(CriteriTecnici!$K1987,".",","),IFERROR(NUMBERVALUE(CriteriTecnici!$K1987,",","."),0))),4)&amp;""),",",".")&amp;", "&amp;CHAR(34)&amp;"denominator"&amp;CHAR(34)&amp;": "&amp;SUBSTITUTE(TRIM(ROUND(IFERROR(CriteriTecnici!$L1987*1,IFERROR(NUMBERVALUE(CriteriTecnici!$L1987,".",","),IFERROR(NUMBERVALUE(CriteriTecnici!$L1987,",","."),0))),4)&amp;""),",",".")&amp;", "&amp;CHAR(34)&amp;"flag"&amp;CHAR(34)&amp;": "&amp;SUBSTITUTE(TRIM(ROUND(IFERROR(CriteriTecnici!$M1987*1,IFERROR(NUMBERVALUE(CriteriTecnici!$M1987,".",","),IFERROR(NUMBERVALUE(CriteriTecnici!$M1987,",","."),0))),4)&amp;""),",",".")&amp;", "&amp;CHAR(34)&amp;"rawScore"&amp;CHAR(34)&amp;": "&amp;SUBSTITUTE(TRIM(ROUND(IFERROR(CriteriTecnici!$O1987*1,IFERROR(NUMBERVALUE(CriteriTecnici!$O1987,".",","),IFERROR(NUMBERVALUE(CriteriTecnici!$O1987,",","."),0))),4)&amp;""),",",".")&amp;CHAR(125)&amp;IF(TRUE,",",""))</f>
        <v/>
      </c>
    </row>
    <row r="2089">
      <c r="A2089" s="82">
        <f>IF(CriteriTecnici!$A1988="","","    "&amp;CHAR(123)&amp;CHAR(34)&amp;"bidderId"&amp;CHAR(34)&amp;": "&amp;CHAR(34)&amp;SUBSTITUTE(CriteriTecnici!$A1988,CHAR(34),"'")&amp;CHAR(34)&amp;", "&amp;CHAR(34)&amp;"lotId"&amp;CHAR(34)&amp;": "&amp;CHAR(34)&amp;SUBSTITUTE(CriteriTecnici!$C1988,CHAR(34),"'")&amp;CHAR(34)&amp;", "&amp;CHAR(34)&amp;"criterionId"&amp;CHAR(34)&amp;": "&amp;CHAR(34)&amp;SUBSTITUTE(CriteriTecnici!$D1988,CHAR(34),"'")&amp;CHAR(34)&amp;", "&amp;CHAR(34)&amp;"kind"&amp;CHAR(34)&amp;": "&amp;CHAR(34)&amp;SUBSTITUTE(CriteriTecnici!$F1988,CHAR(34),"'")&amp;CHAR(34)&amp;", "&amp;CHAR(34)&amp;"value"&amp;CHAR(34)&amp;": "&amp;SUBSTITUTE(TRIM(ROUND(IFERROR(CriteriTecnici!$N1988*1,IFERROR(NUMBERVALUE(CriteriTecnici!$N1988,".",","),IFERROR(NUMBERVALUE(CriteriTecnici!$N1988,",","."),0))),4)&amp;""),",",".")&amp;", "&amp;CHAR(34)&amp;"numerator"&amp;CHAR(34)&amp;": "&amp;SUBSTITUTE(TRIM(ROUND(IFERROR(CriteriTecnici!$K1988*1,IFERROR(NUMBERVALUE(CriteriTecnici!$K1988,".",","),IFERROR(NUMBERVALUE(CriteriTecnici!$K1988,",","."),0))),4)&amp;""),",",".")&amp;", "&amp;CHAR(34)&amp;"denominator"&amp;CHAR(34)&amp;": "&amp;SUBSTITUTE(TRIM(ROUND(IFERROR(CriteriTecnici!$L1988*1,IFERROR(NUMBERVALUE(CriteriTecnici!$L1988,".",","),IFERROR(NUMBERVALUE(CriteriTecnici!$L1988,",","."),0))),4)&amp;""),",",".")&amp;", "&amp;CHAR(34)&amp;"flag"&amp;CHAR(34)&amp;": "&amp;SUBSTITUTE(TRIM(ROUND(IFERROR(CriteriTecnici!$M1988*1,IFERROR(NUMBERVALUE(CriteriTecnici!$M1988,".",","),IFERROR(NUMBERVALUE(CriteriTecnici!$M1988,",","."),0))),4)&amp;""),",",".")&amp;", "&amp;CHAR(34)&amp;"rawScore"&amp;CHAR(34)&amp;": "&amp;SUBSTITUTE(TRIM(ROUND(IFERROR(CriteriTecnici!$O1988*1,IFERROR(NUMBERVALUE(CriteriTecnici!$O1988,".",","),IFERROR(NUMBERVALUE(CriteriTecnici!$O1988,",","."),0))),4)&amp;""),",",".")&amp;CHAR(125)&amp;IF(COUNTA(Offerte!$A66:$A$81)&gt;0,",",""))</f>
        <v/>
      </c>
    </row>
    <row r="2090">
      <c r="A2090" s="82">
        <f>IF(CriteriTecnici!$A1989="","","    "&amp;CHAR(123)&amp;CHAR(34)&amp;"bidderId"&amp;CHAR(34)&amp;": "&amp;CHAR(34)&amp;SUBSTITUTE(CriteriTecnici!$A1989,CHAR(34),"'")&amp;CHAR(34)&amp;", "&amp;CHAR(34)&amp;"lotId"&amp;CHAR(34)&amp;": "&amp;CHAR(34)&amp;SUBSTITUTE(CriteriTecnici!$C1989,CHAR(34),"'")&amp;CHAR(34)&amp;", "&amp;CHAR(34)&amp;"criterionId"&amp;CHAR(34)&amp;": "&amp;CHAR(34)&amp;SUBSTITUTE(CriteriTecnici!$D1989,CHAR(34),"'")&amp;CHAR(34)&amp;", "&amp;CHAR(34)&amp;"kind"&amp;CHAR(34)&amp;": "&amp;CHAR(34)&amp;SUBSTITUTE(CriteriTecnici!$F1989,CHAR(34),"'")&amp;CHAR(34)&amp;", "&amp;CHAR(34)&amp;"value"&amp;CHAR(34)&amp;": "&amp;SUBSTITUTE(TRIM(ROUND(IFERROR(CriteriTecnici!$N1989*1,IFERROR(NUMBERVALUE(CriteriTecnici!$N1989,".",","),IFERROR(NUMBERVALUE(CriteriTecnici!$N1989,",","."),0))),4)&amp;""),",",".")&amp;", "&amp;CHAR(34)&amp;"numerator"&amp;CHAR(34)&amp;": "&amp;SUBSTITUTE(TRIM(ROUND(IFERROR(CriteriTecnici!$K1989*1,IFERROR(NUMBERVALUE(CriteriTecnici!$K1989,".",","),IFERROR(NUMBERVALUE(CriteriTecnici!$K1989,",","."),0))),4)&amp;""),",",".")&amp;", "&amp;CHAR(34)&amp;"denominator"&amp;CHAR(34)&amp;": "&amp;SUBSTITUTE(TRIM(ROUND(IFERROR(CriteriTecnici!$L1989*1,IFERROR(NUMBERVALUE(CriteriTecnici!$L1989,".",","),IFERROR(NUMBERVALUE(CriteriTecnici!$L1989,",","."),0))),4)&amp;""),",",".")&amp;", "&amp;CHAR(34)&amp;"flag"&amp;CHAR(34)&amp;": "&amp;SUBSTITUTE(TRIM(ROUND(IFERROR(CriteriTecnici!$M1989*1,IFERROR(NUMBERVALUE(CriteriTecnici!$M1989,".",","),IFERROR(NUMBERVALUE(CriteriTecnici!$M1989,",","."),0))),4)&amp;""),",",".")&amp;", "&amp;CHAR(34)&amp;"rawScore"&amp;CHAR(34)&amp;": "&amp;SUBSTITUTE(TRIM(ROUND(IFERROR(CriteriTecnici!$O1989*1,IFERROR(NUMBERVALUE(CriteriTecnici!$O1989,".",","),IFERROR(NUMBERVALUE(CriteriTecnici!$O1989,",","."),0))),4)&amp;""),",",".")&amp;CHAR(125)&amp;IF(TRUE,",",""))</f>
        <v/>
      </c>
    </row>
    <row r="2091">
      <c r="A2091" s="82">
        <f>IF(CriteriTecnici!$A1990="","","    "&amp;CHAR(123)&amp;CHAR(34)&amp;"bidderId"&amp;CHAR(34)&amp;": "&amp;CHAR(34)&amp;SUBSTITUTE(CriteriTecnici!$A1990,CHAR(34),"'")&amp;CHAR(34)&amp;", "&amp;CHAR(34)&amp;"lotId"&amp;CHAR(34)&amp;": "&amp;CHAR(34)&amp;SUBSTITUTE(CriteriTecnici!$C1990,CHAR(34),"'")&amp;CHAR(34)&amp;", "&amp;CHAR(34)&amp;"criterionId"&amp;CHAR(34)&amp;": "&amp;CHAR(34)&amp;SUBSTITUTE(CriteriTecnici!$D1990,CHAR(34),"'")&amp;CHAR(34)&amp;", "&amp;CHAR(34)&amp;"kind"&amp;CHAR(34)&amp;": "&amp;CHAR(34)&amp;SUBSTITUTE(CriteriTecnici!$F1990,CHAR(34),"'")&amp;CHAR(34)&amp;", "&amp;CHAR(34)&amp;"value"&amp;CHAR(34)&amp;": "&amp;SUBSTITUTE(TRIM(ROUND(IFERROR(CriteriTecnici!$N1990*1,IFERROR(NUMBERVALUE(CriteriTecnici!$N1990,".",","),IFERROR(NUMBERVALUE(CriteriTecnici!$N1990,",","."),0))),4)&amp;""),",",".")&amp;", "&amp;CHAR(34)&amp;"numerator"&amp;CHAR(34)&amp;": "&amp;SUBSTITUTE(TRIM(ROUND(IFERROR(CriteriTecnici!$K1990*1,IFERROR(NUMBERVALUE(CriteriTecnici!$K1990,".",","),IFERROR(NUMBERVALUE(CriteriTecnici!$K1990,",","."),0))),4)&amp;""),",",".")&amp;", "&amp;CHAR(34)&amp;"denominator"&amp;CHAR(34)&amp;": "&amp;SUBSTITUTE(TRIM(ROUND(IFERROR(CriteriTecnici!$L1990*1,IFERROR(NUMBERVALUE(CriteriTecnici!$L1990,".",","),IFERROR(NUMBERVALUE(CriteriTecnici!$L1990,",","."),0))),4)&amp;""),",",".")&amp;", "&amp;CHAR(34)&amp;"flag"&amp;CHAR(34)&amp;": "&amp;SUBSTITUTE(TRIM(ROUND(IFERROR(CriteriTecnici!$M1990*1,IFERROR(NUMBERVALUE(CriteriTecnici!$M1990,".",","),IFERROR(NUMBERVALUE(CriteriTecnici!$M1990,",","."),0))),4)&amp;""),",",".")&amp;", "&amp;CHAR(34)&amp;"rawScore"&amp;CHAR(34)&amp;": "&amp;SUBSTITUTE(TRIM(ROUND(IFERROR(CriteriTecnici!$O1990*1,IFERROR(NUMBERVALUE(CriteriTecnici!$O1990,".",","),IFERROR(NUMBERVALUE(CriteriTecnici!$O1990,",","."),0))),4)&amp;""),",",".")&amp;CHAR(125)&amp;IF(TRUE,",",""))</f>
        <v/>
      </c>
    </row>
    <row r="2092">
      <c r="A2092" s="82">
        <f>IF(CriteriTecnici!$A1991="","","    "&amp;CHAR(123)&amp;CHAR(34)&amp;"bidderId"&amp;CHAR(34)&amp;": "&amp;CHAR(34)&amp;SUBSTITUTE(CriteriTecnici!$A1991,CHAR(34),"'")&amp;CHAR(34)&amp;", "&amp;CHAR(34)&amp;"lotId"&amp;CHAR(34)&amp;": "&amp;CHAR(34)&amp;SUBSTITUTE(CriteriTecnici!$C1991,CHAR(34),"'")&amp;CHAR(34)&amp;", "&amp;CHAR(34)&amp;"criterionId"&amp;CHAR(34)&amp;": "&amp;CHAR(34)&amp;SUBSTITUTE(CriteriTecnici!$D1991,CHAR(34),"'")&amp;CHAR(34)&amp;", "&amp;CHAR(34)&amp;"kind"&amp;CHAR(34)&amp;": "&amp;CHAR(34)&amp;SUBSTITUTE(CriteriTecnici!$F1991,CHAR(34),"'")&amp;CHAR(34)&amp;", "&amp;CHAR(34)&amp;"value"&amp;CHAR(34)&amp;": "&amp;SUBSTITUTE(TRIM(ROUND(IFERROR(CriteriTecnici!$N1991*1,IFERROR(NUMBERVALUE(CriteriTecnici!$N1991,".",","),IFERROR(NUMBERVALUE(CriteriTecnici!$N1991,",","."),0))),4)&amp;""),",",".")&amp;", "&amp;CHAR(34)&amp;"numerator"&amp;CHAR(34)&amp;": "&amp;SUBSTITUTE(TRIM(ROUND(IFERROR(CriteriTecnici!$K1991*1,IFERROR(NUMBERVALUE(CriteriTecnici!$K1991,".",","),IFERROR(NUMBERVALUE(CriteriTecnici!$K1991,",","."),0))),4)&amp;""),",",".")&amp;", "&amp;CHAR(34)&amp;"denominator"&amp;CHAR(34)&amp;": "&amp;SUBSTITUTE(TRIM(ROUND(IFERROR(CriteriTecnici!$L1991*1,IFERROR(NUMBERVALUE(CriteriTecnici!$L1991,".",","),IFERROR(NUMBERVALUE(CriteriTecnici!$L1991,",","."),0))),4)&amp;""),",",".")&amp;", "&amp;CHAR(34)&amp;"flag"&amp;CHAR(34)&amp;": "&amp;SUBSTITUTE(TRIM(ROUND(IFERROR(CriteriTecnici!$M1991*1,IFERROR(NUMBERVALUE(CriteriTecnici!$M1991,".",","),IFERROR(NUMBERVALUE(CriteriTecnici!$M1991,",","."),0))),4)&amp;""),",",".")&amp;", "&amp;CHAR(34)&amp;"rawScore"&amp;CHAR(34)&amp;": "&amp;SUBSTITUTE(TRIM(ROUND(IFERROR(CriteriTecnici!$O1991*1,IFERROR(NUMBERVALUE(CriteriTecnici!$O1991,".",","),IFERROR(NUMBERVALUE(CriteriTecnici!$O1991,",","."),0))),4)&amp;""),",",".")&amp;CHAR(125)&amp;IF(TRUE,",",""))</f>
        <v/>
      </c>
    </row>
    <row r="2093">
      <c r="A2093" s="82">
        <f>IF(CriteriTecnici!$A1992="","","    "&amp;CHAR(123)&amp;CHAR(34)&amp;"bidderId"&amp;CHAR(34)&amp;": "&amp;CHAR(34)&amp;SUBSTITUTE(CriteriTecnici!$A1992,CHAR(34),"'")&amp;CHAR(34)&amp;", "&amp;CHAR(34)&amp;"lotId"&amp;CHAR(34)&amp;": "&amp;CHAR(34)&amp;SUBSTITUTE(CriteriTecnici!$C1992,CHAR(34),"'")&amp;CHAR(34)&amp;", "&amp;CHAR(34)&amp;"criterionId"&amp;CHAR(34)&amp;": "&amp;CHAR(34)&amp;SUBSTITUTE(CriteriTecnici!$D1992,CHAR(34),"'")&amp;CHAR(34)&amp;", "&amp;CHAR(34)&amp;"kind"&amp;CHAR(34)&amp;": "&amp;CHAR(34)&amp;SUBSTITUTE(CriteriTecnici!$F1992,CHAR(34),"'")&amp;CHAR(34)&amp;", "&amp;CHAR(34)&amp;"value"&amp;CHAR(34)&amp;": "&amp;SUBSTITUTE(TRIM(ROUND(IFERROR(CriteriTecnici!$N1992*1,IFERROR(NUMBERVALUE(CriteriTecnici!$N1992,".",","),IFERROR(NUMBERVALUE(CriteriTecnici!$N1992,",","."),0))),4)&amp;""),",",".")&amp;", "&amp;CHAR(34)&amp;"numerator"&amp;CHAR(34)&amp;": "&amp;SUBSTITUTE(TRIM(ROUND(IFERROR(CriteriTecnici!$K1992*1,IFERROR(NUMBERVALUE(CriteriTecnici!$K1992,".",","),IFERROR(NUMBERVALUE(CriteriTecnici!$K1992,",","."),0))),4)&amp;""),",",".")&amp;", "&amp;CHAR(34)&amp;"denominator"&amp;CHAR(34)&amp;": "&amp;SUBSTITUTE(TRIM(ROUND(IFERROR(CriteriTecnici!$L1992*1,IFERROR(NUMBERVALUE(CriteriTecnici!$L1992,".",","),IFERROR(NUMBERVALUE(CriteriTecnici!$L1992,",","."),0))),4)&amp;""),",",".")&amp;", "&amp;CHAR(34)&amp;"flag"&amp;CHAR(34)&amp;": "&amp;SUBSTITUTE(TRIM(ROUND(IFERROR(CriteriTecnici!$M1992*1,IFERROR(NUMBERVALUE(CriteriTecnici!$M1992,".",","),IFERROR(NUMBERVALUE(CriteriTecnici!$M1992,",","."),0))),4)&amp;""),",",".")&amp;", "&amp;CHAR(34)&amp;"rawScore"&amp;CHAR(34)&amp;": "&amp;SUBSTITUTE(TRIM(ROUND(IFERROR(CriteriTecnici!$O1992*1,IFERROR(NUMBERVALUE(CriteriTecnici!$O1992,".",","),IFERROR(NUMBERVALUE(CriteriTecnici!$O1992,",","."),0))),4)&amp;""),",",".")&amp;CHAR(125)&amp;IF(TRUE,",",""))</f>
        <v/>
      </c>
    </row>
    <row r="2094">
      <c r="A2094" s="82">
        <f>IF(CriteriTecnici!$A1993="","","    "&amp;CHAR(123)&amp;CHAR(34)&amp;"bidderId"&amp;CHAR(34)&amp;": "&amp;CHAR(34)&amp;SUBSTITUTE(CriteriTecnici!$A1993,CHAR(34),"'")&amp;CHAR(34)&amp;", "&amp;CHAR(34)&amp;"lotId"&amp;CHAR(34)&amp;": "&amp;CHAR(34)&amp;SUBSTITUTE(CriteriTecnici!$C1993,CHAR(34),"'")&amp;CHAR(34)&amp;", "&amp;CHAR(34)&amp;"criterionId"&amp;CHAR(34)&amp;": "&amp;CHAR(34)&amp;SUBSTITUTE(CriteriTecnici!$D1993,CHAR(34),"'")&amp;CHAR(34)&amp;", "&amp;CHAR(34)&amp;"kind"&amp;CHAR(34)&amp;": "&amp;CHAR(34)&amp;SUBSTITUTE(CriteriTecnici!$F1993,CHAR(34),"'")&amp;CHAR(34)&amp;", "&amp;CHAR(34)&amp;"value"&amp;CHAR(34)&amp;": "&amp;SUBSTITUTE(TRIM(ROUND(IFERROR(CriteriTecnici!$N1993*1,IFERROR(NUMBERVALUE(CriteriTecnici!$N1993,".",","),IFERROR(NUMBERVALUE(CriteriTecnici!$N1993,",","."),0))),4)&amp;""),",",".")&amp;", "&amp;CHAR(34)&amp;"numerator"&amp;CHAR(34)&amp;": "&amp;SUBSTITUTE(TRIM(ROUND(IFERROR(CriteriTecnici!$K1993*1,IFERROR(NUMBERVALUE(CriteriTecnici!$K1993,".",","),IFERROR(NUMBERVALUE(CriteriTecnici!$K1993,",","."),0))),4)&amp;""),",",".")&amp;", "&amp;CHAR(34)&amp;"denominator"&amp;CHAR(34)&amp;": "&amp;SUBSTITUTE(TRIM(ROUND(IFERROR(CriteriTecnici!$L1993*1,IFERROR(NUMBERVALUE(CriteriTecnici!$L1993,".",","),IFERROR(NUMBERVALUE(CriteriTecnici!$L1993,",","."),0))),4)&amp;""),",",".")&amp;", "&amp;CHAR(34)&amp;"flag"&amp;CHAR(34)&amp;": "&amp;SUBSTITUTE(TRIM(ROUND(IFERROR(CriteriTecnici!$M1993*1,IFERROR(NUMBERVALUE(CriteriTecnici!$M1993,".",","),IFERROR(NUMBERVALUE(CriteriTecnici!$M1993,",","."),0))),4)&amp;""),",",".")&amp;", "&amp;CHAR(34)&amp;"rawScore"&amp;CHAR(34)&amp;": "&amp;SUBSTITUTE(TRIM(ROUND(IFERROR(CriteriTecnici!$O1993*1,IFERROR(NUMBERVALUE(CriteriTecnici!$O1993,".",","),IFERROR(NUMBERVALUE(CriteriTecnici!$O1993,",","."),0))),4)&amp;""),",",".")&amp;CHAR(125)&amp;IF(TRUE,",",""))</f>
        <v/>
      </c>
    </row>
    <row r="2095">
      <c r="A2095" s="82">
        <f>IF(CriteriTecnici!$A1994="","","    "&amp;CHAR(123)&amp;CHAR(34)&amp;"bidderId"&amp;CHAR(34)&amp;": "&amp;CHAR(34)&amp;SUBSTITUTE(CriteriTecnici!$A1994,CHAR(34),"'")&amp;CHAR(34)&amp;", "&amp;CHAR(34)&amp;"lotId"&amp;CHAR(34)&amp;": "&amp;CHAR(34)&amp;SUBSTITUTE(CriteriTecnici!$C1994,CHAR(34),"'")&amp;CHAR(34)&amp;", "&amp;CHAR(34)&amp;"criterionId"&amp;CHAR(34)&amp;": "&amp;CHAR(34)&amp;SUBSTITUTE(CriteriTecnici!$D1994,CHAR(34),"'")&amp;CHAR(34)&amp;", "&amp;CHAR(34)&amp;"kind"&amp;CHAR(34)&amp;": "&amp;CHAR(34)&amp;SUBSTITUTE(CriteriTecnici!$F1994,CHAR(34),"'")&amp;CHAR(34)&amp;", "&amp;CHAR(34)&amp;"value"&amp;CHAR(34)&amp;": "&amp;SUBSTITUTE(TRIM(ROUND(IFERROR(CriteriTecnici!$N1994*1,IFERROR(NUMBERVALUE(CriteriTecnici!$N1994,".",","),IFERROR(NUMBERVALUE(CriteriTecnici!$N1994,",","."),0))),4)&amp;""),",",".")&amp;", "&amp;CHAR(34)&amp;"numerator"&amp;CHAR(34)&amp;": "&amp;SUBSTITUTE(TRIM(ROUND(IFERROR(CriteriTecnici!$K1994*1,IFERROR(NUMBERVALUE(CriteriTecnici!$K1994,".",","),IFERROR(NUMBERVALUE(CriteriTecnici!$K1994,",","."),0))),4)&amp;""),",",".")&amp;", "&amp;CHAR(34)&amp;"denominator"&amp;CHAR(34)&amp;": "&amp;SUBSTITUTE(TRIM(ROUND(IFERROR(CriteriTecnici!$L1994*1,IFERROR(NUMBERVALUE(CriteriTecnici!$L1994,".",","),IFERROR(NUMBERVALUE(CriteriTecnici!$L1994,",","."),0))),4)&amp;""),",",".")&amp;", "&amp;CHAR(34)&amp;"flag"&amp;CHAR(34)&amp;": "&amp;SUBSTITUTE(TRIM(ROUND(IFERROR(CriteriTecnici!$M1994*1,IFERROR(NUMBERVALUE(CriteriTecnici!$M1994,".",","),IFERROR(NUMBERVALUE(CriteriTecnici!$M1994,",","."),0))),4)&amp;""),",",".")&amp;", "&amp;CHAR(34)&amp;"rawScore"&amp;CHAR(34)&amp;": "&amp;SUBSTITUTE(TRIM(ROUND(IFERROR(CriteriTecnici!$O1994*1,IFERROR(NUMBERVALUE(CriteriTecnici!$O1994,".",","),IFERROR(NUMBERVALUE(CriteriTecnici!$O1994,",","."),0))),4)&amp;""),",",".")&amp;CHAR(125)&amp;IF(TRUE,",",""))</f>
        <v/>
      </c>
    </row>
    <row r="2096">
      <c r="A2096" s="82">
        <f>IF(CriteriTecnici!$A1995="","","    "&amp;CHAR(123)&amp;CHAR(34)&amp;"bidderId"&amp;CHAR(34)&amp;": "&amp;CHAR(34)&amp;SUBSTITUTE(CriteriTecnici!$A1995,CHAR(34),"'")&amp;CHAR(34)&amp;", "&amp;CHAR(34)&amp;"lotId"&amp;CHAR(34)&amp;": "&amp;CHAR(34)&amp;SUBSTITUTE(CriteriTecnici!$C1995,CHAR(34),"'")&amp;CHAR(34)&amp;", "&amp;CHAR(34)&amp;"criterionId"&amp;CHAR(34)&amp;": "&amp;CHAR(34)&amp;SUBSTITUTE(CriteriTecnici!$D1995,CHAR(34),"'")&amp;CHAR(34)&amp;", "&amp;CHAR(34)&amp;"kind"&amp;CHAR(34)&amp;": "&amp;CHAR(34)&amp;SUBSTITUTE(CriteriTecnici!$F1995,CHAR(34),"'")&amp;CHAR(34)&amp;", "&amp;CHAR(34)&amp;"value"&amp;CHAR(34)&amp;": "&amp;SUBSTITUTE(TRIM(ROUND(IFERROR(CriteriTecnici!$N1995*1,IFERROR(NUMBERVALUE(CriteriTecnici!$N1995,".",","),IFERROR(NUMBERVALUE(CriteriTecnici!$N1995,",","."),0))),4)&amp;""),",",".")&amp;", "&amp;CHAR(34)&amp;"numerator"&amp;CHAR(34)&amp;": "&amp;SUBSTITUTE(TRIM(ROUND(IFERROR(CriteriTecnici!$K1995*1,IFERROR(NUMBERVALUE(CriteriTecnici!$K1995,".",","),IFERROR(NUMBERVALUE(CriteriTecnici!$K1995,",","."),0))),4)&amp;""),",",".")&amp;", "&amp;CHAR(34)&amp;"denominator"&amp;CHAR(34)&amp;": "&amp;SUBSTITUTE(TRIM(ROUND(IFERROR(CriteriTecnici!$L1995*1,IFERROR(NUMBERVALUE(CriteriTecnici!$L1995,".",","),IFERROR(NUMBERVALUE(CriteriTecnici!$L1995,",","."),0))),4)&amp;""),",",".")&amp;", "&amp;CHAR(34)&amp;"flag"&amp;CHAR(34)&amp;": "&amp;SUBSTITUTE(TRIM(ROUND(IFERROR(CriteriTecnici!$M1995*1,IFERROR(NUMBERVALUE(CriteriTecnici!$M1995,".",","),IFERROR(NUMBERVALUE(CriteriTecnici!$M1995,",","."),0))),4)&amp;""),",",".")&amp;", "&amp;CHAR(34)&amp;"rawScore"&amp;CHAR(34)&amp;": "&amp;SUBSTITUTE(TRIM(ROUND(IFERROR(CriteriTecnici!$O1995*1,IFERROR(NUMBERVALUE(CriteriTecnici!$O1995,".",","),IFERROR(NUMBERVALUE(CriteriTecnici!$O1995,",","."),0))),4)&amp;""),",",".")&amp;CHAR(125)&amp;IF(TRUE,",",""))</f>
        <v/>
      </c>
    </row>
    <row r="2097">
      <c r="A2097" s="82">
        <f>IF(CriteriTecnici!$A1996="","","    "&amp;CHAR(123)&amp;CHAR(34)&amp;"bidderId"&amp;CHAR(34)&amp;": "&amp;CHAR(34)&amp;SUBSTITUTE(CriteriTecnici!$A1996,CHAR(34),"'")&amp;CHAR(34)&amp;", "&amp;CHAR(34)&amp;"lotId"&amp;CHAR(34)&amp;": "&amp;CHAR(34)&amp;SUBSTITUTE(CriteriTecnici!$C1996,CHAR(34),"'")&amp;CHAR(34)&amp;", "&amp;CHAR(34)&amp;"criterionId"&amp;CHAR(34)&amp;": "&amp;CHAR(34)&amp;SUBSTITUTE(CriteriTecnici!$D1996,CHAR(34),"'")&amp;CHAR(34)&amp;", "&amp;CHAR(34)&amp;"kind"&amp;CHAR(34)&amp;": "&amp;CHAR(34)&amp;SUBSTITUTE(CriteriTecnici!$F1996,CHAR(34),"'")&amp;CHAR(34)&amp;", "&amp;CHAR(34)&amp;"value"&amp;CHAR(34)&amp;": "&amp;SUBSTITUTE(TRIM(ROUND(IFERROR(CriteriTecnici!$N1996*1,IFERROR(NUMBERVALUE(CriteriTecnici!$N1996,".",","),IFERROR(NUMBERVALUE(CriteriTecnici!$N1996,",","."),0))),4)&amp;""),",",".")&amp;", "&amp;CHAR(34)&amp;"numerator"&amp;CHAR(34)&amp;": "&amp;SUBSTITUTE(TRIM(ROUND(IFERROR(CriteriTecnici!$K1996*1,IFERROR(NUMBERVALUE(CriteriTecnici!$K1996,".",","),IFERROR(NUMBERVALUE(CriteriTecnici!$K1996,",","."),0))),4)&amp;""),",",".")&amp;", "&amp;CHAR(34)&amp;"denominator"&amp;CHAR(34)&amp;": "&amp;SUBSTITUTE(TRIM(ROUND(IFERROR(CriteriTecnici!$L1996*1,IFERROR(NUMBERVALUE(CriteriTecnici!$L1996,".",","),IFERROR(NUMBERVALUE(CriteriTecnici!$L1996,",","."),0))),4)&amp;""),",",".")&amp;", "&amp;CHAR(34)&amp;"flag"&amp;CHAR(34)&amp;": "&amp;SUBSTITUTE(TRIM(ROUND(IFERROR(CriteriTecnici!$M1996*1,IFERROR(NUMBERVALUE(CriteriTecnici!$M1996,".",","),IFERROR(NUMBERVALUE(CriteriTecnici!$M1996,",","."),0))),4)&amp;""),",",".")&amp;", "&amp;CHAR(34)&amp;"rawScore"&amp;CHAR(34)&amp;": "&amp;SUBSTITUTE(TRIM(ROUND(IFERROR(CriteriTecnici!$O1996*1,IFERROR(NUMBERVALUE(CriteriTecnici!$O1996,".",","),IFERROR(NUMBERVALUE(CriteriTecnici!$O1996,",","."),0))),4)&amp;""),",",".")&amp;CHAR(125)&amp;IF(TRUE,",",""))</f>
        <v/>
      </c>
    </row>
    <row r="2098">
      <c r="A2098" s="82">
        <f>IF(CriteriTecnici!$A1997="","","    "&amp;CHAR(123)&amp;CHAR(34)&amp;"bidderId"&amp;CHAR(34)&amp;": "&amp;CHAR(34)&amp;SUBSTITUTE(CriteriTecnici!$A1997,CHAR(34),"'")&amp;CHAR(34)&amp;", "&amp;CHAR(34)&amp;"lotId"&amp;CHAR(34)&amp;": "&amp;CHAR(34)&amp;SUBSTITUTE(CriteriTecnici!$C1997,CHAR(34),"'")&amp;CHAR(34)&amp;", "&amp;CHAR(34)&amp;"criterionId"&amp;CHAR(34)&amp;": "&amp;CHAR(34)&amp;SUBSTITUTE(CriteriTecnici!$D1997,CHAR(34),"'")&amp;CHAR(34)&amp;", "&amp;CHAR(34)&amp;"kind"&amp;CHAR(34)&amp;": "&amp;CHAR(34)&amp;SUBSTITUTE(CriteriTecnici!$F1997,CHAR(34),"'")&amp;CHAR(34)&amp;", "&amp;CHAR(34)&amp;"value"&amp;CHAR(34)&amp;": "&amp;SUBSTITUTE(TRIM(ROUND(IFERROR(CriteriTecnici!$N1997*1,IFERROR(NUMBERVALUE(CriteriTecnici!$N1997,".",","),IFERROR(NUMBERVALUE(CriteriTecnici!$N1997,",","."),0))),4)&amp;""),",",".")&amp;", "&amp;CHAR(34)&amp;"numerator"&amp;CHAR(34)&amp;": "&amp;SUBSTITUTE(TRIM(ROUND(IFERROR(CriteriTecnici!$K1997*1,IFERROR(NUMBERVALUE(CriteriTecnici!$K1997,".",","),IFERROR(NUMBERVALUE(CriteriTecnici!$K1997,",","."),0))),4)&amp;""),",",".")&amp;", "&amp;CHAR(34)&amp;"denominator"&amp;CHAR(34)&amp;": "&amp;SUBSTITUTE(TRIM(ROUND(IFERROR(CriteriTecnici!$L1997*1,IFERROR(NUMBERVALUE(CriteriTecnici!$L1997,".",","),IFERROR(NUMBERVALUE(CriteriTecnici!$L1997,",","."),0))),4)&amp;""),",",".")&amp;", "&amp;CHAR(34)&amp;"flag"&amp;CHAR(34)&amp;": "&amp;SUBSTITUTE(TRIM(ROUND(IFERROR(CriteriTecnici!$M1997*1,IFERROR(NUMBERVALUE(CriteriTecnici!$M1997,".",","),IFERROR(NUMBERVALUE(CriteriTecnici!$M1997,",","."),0))),4)&amp;""),",",".")&amp;", "&amp;CHAR(34)&amp;"rawScore"&amp;CHAR(34)&amp;": "&amp;SUBSTITUTE(TRIM(ROUND(IFERROR(CriteriTecnici!$O1997*1,IFERROR(NUMBERVALUE(CriteriTecnici!$O1997,".",","),IFERROR(NUMBERVALUE(CriteriTecnici!$O1997,",","."),0))),4)&amp;""),",",".")&amp;CHAR(125)&amp;IF(TRUE,",",""))</f>
        <v/>
      </c>
    </row>
    <row r="2099">
      <c r="A2099" s="82">
        <f>IF(CriteriTecnici!$A1998="","","    "&amp;CHAR(123)&amp;CHAR(34)&amp;"bidderId"&amp;CHAR(34)&amp;": "&amp;CHAR(34)&amp;SUBSTITUTE(CriteriTecnici!$A1998,CHAR(34),"'")&amp;CHAR(34)&amp;", "&amp;CHAR(34)&amp;"lotId"&amp;CHAR(34)&amp;": "&amp;CHAR(34)&amp;SUBSTITUTE(CriteriTecnici!$C1998,CHAR(34),"'")&amp;CHAR(34)&amp;", "&amp;CHAR(34)&amp;"criterionId"&amp;CHAR(34)&amp;": "&amp;CHAR(34)&amp;SUBSTITUTE(CriteriTecnici!$D1998,CHAR(34),"'")&amp;CHAR(34)&amp;", "&amp;CHAR(34)&amp;"kind"&amp;CHAR(34)&amp;": "&amp;CHAR(34)&amp;SUBSTITUTE(CriteriTecnici!$F1998,CHAR(34),"'")&amp;CHAR(34)&amp;", "&amp;CHAR(34)&amp;"value"&amp;CHAR(34)&amp;": "&amp;SUBSTITUTE(TRIM(ROUND(IFERROR(CriteriTecnici!$N1998*1,IFERROR(NUMBERVALUE(CriteriTecnici!$N1998,".",","),IFERROR(NUMBERVALUE(CriteriTecnici!$N1998,",","."),0))),4)&amp;""),",",".")&amp;", "&amp;CHAR(34)&amp;"numerator"&amp;CHAR(34)&amp;": "&amp;SUBSTITUTE(TRIM(ROUND(IFERROR(CriteriTecnici!$K1998*1,IFERROR(NUMBERVALUE(CriteriTecnici!$K1998,".",","),IFERROR(NUMBERVALUE(CriteriTecnici!$K1998,",","."),0))),4)&amp;""),",",".")&amp;", "&amp;CHAR(34)&amp;"denominator"&amp;CHAR(34)&amp;": "&amp;SUBSTITUTE(TRIM(ROUND(IFERROR(CriteriTecnici!$L1998*1,IFERROR(NUMBERVALUE(CriteriTecnici!$L1998,".",","),IFERROR(NUMBERVALUE(CriteriTecnici!$L1998,",","."),0))),4)&amp;""),",",".")&amp;", "&amp;CHAR(34)&amp;"flag"&amp;CHAR(34)&amp;": "&amp;SUBSTITUTE(TRIM(ROUND(IFERROR(CriteriTecnici!$M1998*1,IFERROR(NUMBERVALUE(CriteriTecnici!$M1998,".",","),IFERROR(NUMBERVALUE(CriteriTecnici!$M1998,",","."),0))),4)&amp;""),",",".")&amp;", "&amp;CHAR(34)&amp;"rawScore"&amp;CHAR(34)&amp;": "&amp;SUBSTITUTE(TRIM(ROUND(IFERROR(CriteriTecnici!$O1998*1,IFERROR(NUMBERVALUE(CriteriTecnici!$O1998,".",","),IFERROR(NUMBERVALUE(CriteriTecnici!$O1998,",","."),0))),4)&amp;""),",",".")&amp;CHAR(125)&amp;IF(TRUE,",",""))</f>
        <v/>
      </c>
    </row>
    <row r="2100">
      <c r="A2100" s="82">
        <f>IF(CriteriTecnici!$A1999="","","    "&amp;CHAR(123)&amp;CHAR(34)&amp;"bidderId"&amp;CHAR(34)&amp;": "&amp;CHAR(34)&amp;SUBSTITUTE(CriteriTecnici!$A1999,CHAR(34),"'")&amp;CHAR(34)&amp;", "&amp;CHAR(34)&amp;"lotId"&amp;CHAR(34)&amp;": "&amp;CHAR(34)&amp;SUBSTITUTE(CriteriTecnici!$C1999,CHAR(34),"'")&amp;CHAR(34)&amp;", "&amp;CHAR(34)&amp;"criterionId"&amp;CHAR(34)&amp;": "&amp;CHAR(34)&amp;SUBSTITUTE(CriteriTecnici!$D1999,CHAR(34),"'")&amp;CHAR(34)&amp;", "&amp;CHAR(34)&amp;"kind"&amp;CHAR(34)&amp;": "&amp;CHAR(34)&amp;SUBSTITUTE(CriteriTecnici!$F1999,CHAR(34),"'")&amp;CHAR(34)&amp;", "&amp;CHAR(34)&amp;"value"&amp;CHAR(34)&amp;": "&amp;SUBSTITUTE(TRIM(ROUND(IFERROR(CriteriTecnici!$N1999*1,IFERROR(NUMBERVALUE(CriteriTecnici!$N1999,".",","),IFERROR(NUMBERVALUE(CriteriTecnici!$N1999,",","."),0))),4)&amp;""),",",".")&amp;", "&amp;CHAR(34)&amp;"numerator"&amp;CHAR(34)&amp;": "&amp;SUBSTITUTE(TRIM(ROUND(IFERROR(CriteriTecnici!$K1999*1,IFERROR(NUMBERVALUE(CriteriTecnici!$K1999,".",","),IFERROR(NUMBERVALUE(CriteriTecnici!$K1999,",","."),0))),4)&amp;""),",",".")&amp;", "&amp;CHAR(34)&amp;"denominator"&amp;CHAR(34)&amp;": "&amp;SUBSTITUTE(TRIM(ROUND(IFERROR(CriteriTecnici!$L1999*1,IFERROR(NUMBERVALUE(CriteriTecnici!$L1999,".",","),IFERROR(NUMBERVALUE(CriteriTecnici!$L1999,",","."),0))),4)&amp;""),",",".")&amp;", "&amp;CHAR(34)&amp;"flag"&amp;CHAR(34)&amp;": "&amp;SUBSTITUTE(TRIM(ROUND(IFERROR(CriteriTecnici!$M1999*1,IFERROR(NUMBERVALUE(CriteriTecnici!$M1999,".",","),IFERROR(NUMBERVALUE(CriteriTecnici!$M1999,",","."),0))),4)&amp;""),",",".")&amp;", "&amp;CHAR(34)&amp;"rawScore"&amp;CHAR(34)&amp;": "&amp;SUBSTITUTE(TRIM(ROUND(IFERROR(CriteriTecnici!$O1999*1,IFERROR(NUMBERVALUE(CriteriTecnici!$O1999,".",","),IFERROR(NUMBERVALUE(CriteriTecnici!$O1999,",","."),0))),4)&amp;""),",",".")&amp;CHAR(125)&amp;IF(TRUE,",",""))</f>
        <v/>
      </c>
    </row>
    <row r="2101">
      <c r="A2101" s="82">
        <f>IF(CriteriTecnici!$A2000="","","    "&amp;CHAR(123)&amp;CHAR(34)&amp;"bidderId"&amp;CHAR(34)&amp;": "&amp;CHAR(34)&amp;SUBSTITUTE(CriteriTecnici!$A2000,CHAR(34),"'")&amp;CHAR(34)&amp;", "&amp;CHAR(34)&amp;"lotId"&amp;CHAR(34)&amp;": "&amp;CHAR(34)&amp;SUBSTITUTE(CriteriTecnici!$C2000,CHAR(34),"'")&amp;CHAR(34)&amp;", "&amp;CHAR(34)&amp;"criterionId"&amp;CHAR(34)&amp;": "&amp;CHAR(34)&amp;SUBSTITUTE(CriteriTecnici!$D2000,CHAR(34),"'")&amp;CHAR(34)&amp;", "&amp;CHAR(34)&amp;"kind"&amp;CHAR(34)&amp;": "&amp;CHAR(34)&amp;SUBSTITUTE(CriteriTecnici!$F2000,CHAR(34),"'")&amp;CHAR(34)&amp;", "&amp;CHAR(34)&amp;"value"&amp;CHAR(34)&amp;": "&amp;SUBSTITUTE(TRIM(ROUND(IFERROR(CriteriTecnici!$N2000*1,IFERROR(NUMBERVALUE(CriteriTecnici!$N2000,".",","),IFERROR(NUMBERVALUE(CriteriTecnici!$N2000,",","."),0))),4)&amp;""),",",".")&amp;", "&amp;CHAR(34)&amp;"numerator"&amp;CHAR(34)&amp;": "&amp;SUBSTITUTE(TRIM(ROUND(IFERROR(CriteriTecnici!$K2000*1,IFERROR(NUMBERVALUE(CriteriTecnici!$K2000,".",","),IFERROR(NUMBERVALUE(CriteriTecnici!$K2000,",","."),0))),4)&amp;""),",",".")&amp;", "&amp;CHAR(34)&amp;"denominator"&amp;CHAR(34)&amp;": "&amp;SUBSTITUTE(TRIM(ROUND(IFERROR(CriteriTecnici!$L2000*1,IFERROR(NUMBERVALUE(CriteriTecnici!$L2000,".",","),IFERROR(NUMBERVALUE(CriteriTecnici!$L2000,",","."),0))),4)&amp;""),",",".")&amp;", "&amp;CHAR(34)&amp;"flag"&amp;CHAR(34)&amp;": "&amp;SUBSTITUTE(TRIM(ROUND(IFERROR(CriteriTecnici!$M2000*1,IFERROR(NUMBERVALUE(CriteriTecnici!$M2000,".",","),IFERROR(NUMBERVALUE(CriteriTecnici!$M2000,",","."),0))),4)&amp;""),",",".")&amp;", "&amp;CHAR(34)&amp;"rawScore"&amp;CHAR(34)&amp;": "&amp;SUBSTITUTE(TRIM(ROUND(IFERROR(CriteriTecnici!$O2000*1,IFERROR(NUMBERVALUE(CriteriTecnici!$O2000,".",","),IFERROR(NUMBERVALUE(CriteriTecnici!$O2000,",","."),0))),4)&amp;""),",",".")&amp;CHAR(125)&amp;IF(TRUE,",",""))</f>
        <v/>
      </c>
    </row>
    <row r="2102">
      <c r="A2102" s="82">
        <f>IF(CriteriTecnici!$A2001="","","    "&amp;CHAR(123)&amp;CHAR(34)&amp;"bidderId"&amp;CHAR(34)&amp;": "&amp;CHAR(34)&amp;SUBSTITUTE(CriteriTecnici!$A2001,CHAR(34),"'")&amp;CHAR(34)&amp;", "&amp;CHAR(34)&amp;"lotId"&amp;CHAR(34)&amp;": "&amp;CHAR(34)&amp;SUBSTITUTE(CriteriTecnici!$C2001,CHAR(34),"'")&amp;CHAR(34)&amp;", "&amp;CHAR(34)&amp;"criterionId"&amp;CHAR(34)&amp;": "&amp;CHAR(34)&amp;SUBSTITUTE(CriteriTecnici!$D2001,CHAR(34),"'")&amp;CHAR(34)&amp;", "&amp;CHAR(34)&amp;"kind"&amp;CHAR(34)&amp;": "&amp;CHAR(34)&amp;SUBSTITUTE(CriteriTecnici!$F2001,CHAR(34),"'")&amp;CHAR(34)&amp;", "&amp;CHAR(34)&amp;"value"&amp;CHAR(34)&amp;": "&amp;SUBSTITUTE(TRIM(ROUND(IFERROR(CriteriTecnici!$N2001*1,IFERROR(NUMBERVALUE(CriteriTecnici!$N2001,".",","),IFERROR(NUMBERVALUE(CriteriTecnici!$N2001,",","."),0))),4)&amp;""),",",".")&amp;", "&amp;CHAR(34)&amp;"numerator"&amp;CHAR(34)&amp;": "&amp;SUBSTITUTE(TRIM(ROUND(IFERROR(CriteriTecnici!$K2001*1,IFERROR(NUMBERVALUE(CriteriTecnici!$K2001,".",","),IFERROR(NUMBERVALUE(CriteriTecnici!$K2001,",","."),0))),4)&amp;""),",",".")&amp;", "&amp;CHAR(34)&amp;"denominator"&amp;CHAR(34)&amp;": "&amp;SUBSTITUTE(TRIM(ROUND(IFERROR(CriteriTecnici!$L2001*1,IFERROR(NUMBERVALUE(CriteriTecnici!$L2001,".",","),IFERROR(NUMBERVALUE(CriteriTecnici!$L2001,",","."),0))),4)&amp;""),",",".")&amp;", "&amp;CHAR(34)&amp;"flag"&amp;CHAR(34)&amp;": "&amp;SUBSTITUTE(TRIM(ROUND(IFERROR(CriteriTecnici!$M2001*1,IFERROR(NUMBERVALUE(CriteriTecnici!$M2001,".",","),IFERROR(NUMBERVALUE(CriteriTecnici!$M2001,",","."),0))),4)&amp;""),",",".")&amp;", "&amp;CHAR(34)&amp;"rawScore"&amp;CHAR(34)&amp;": "&amp;SUBSTITUTE(TRIM(ROUND(IFERROR(CriteriTecnici!$O2001*1,IFERROR(NUMBERVALUE(CriteriTecnici!$O2001,".",","),IFERROR(NUMBERVALUE(CriteriTecnici!$O2001,",","."),0))),4)&amp;""),",",".")&amp;CHAR(125)&amp;IF(TRUE,",",""))</f>
        <v/>
      </c>
    </row>
    <row r="2103">
      <c r="A2103" s="82">
        <f>IF(CriteriTecnici!$A2002="","","    "&amp;CHAR(123)&amp;CHAR(34)&amp;"bidderId"&amp;CHAR(34)&amp;": "&amp;CHAR(34)&amp;SUBSTITUTE(CriteriTecnici!$A2002,CHAR(34),"'")&amp;CHAR(34)&amp;", "&amp;CHAR(34)&amp;"lotId"&amp;CHAR(34)&amp;": "&amp;CHAR(34)&amp;SUBSTITUTE(CriteriTecnici!$C2002,CHAR(34),"'")&amp;CHAR(34)&amp;", "&amp;CHAR(34)&amp;"criterionId"&amp;CHAR(34)&amp;": "&amp;CHAR(34)&amp;SUBSTITUTE(CriteriTecnici!$D2002,CHAR(34),"'")&amp;CHAR(34)&amp;", "&amp;CHAR(34)&amp;"kind"&amp;CHAR(34)&amp;": "&amp;CHAR(34)&amp;SUBSTITUTE(CriteriTecnici!$F2002,CHAR(34),"'")&amp;CHAR(34)&amp;", "&amp;CHAR(34)&amp;"value"&amp;CHAR(34)&amp;": "&amp;SUBSTITUTE(TRIM(ROUND(IFERROR(CriteriTecnici!$N2002*1,IFERROR(NUMBERVALUE(CriteriTecnici!$N2002,".",","),IFERROR(NUMBERVALUE(CriteriTecnici!$N2002,",","."),0))),4)&amp;""),",",".")&amp;", "&amp;CHAR(34)&amp;"numerator"&amp;CHAR(34)&amp;": "&amp;SUBSTITUTE(TRIM(ROUND(IFERROR(CriteriTecnici!$K2002*1,IFERROR(NUMBERVALUE(CriteriTecnici!$K2002,".",","),IFERROR(NUMBERVALUE(CriteriTecnici!$K2002,",","."),0))),4)&amp;""),",",".")&amp;", "&amp;CHAR(34)&amp;"denominator"&amp;CHAR(34)&amp;": "&amp;SUBSTITUTE(TRIM(ROUND(IFERROR(CriteriTecnici!$L2002*1,IFERROR(NUMBERVALUE(CriteriTecnici!$L2002,".",","),IFERROR(NUMBERVALUE(CriteriTecnici!$L2002,",","."),0))),4)&amp;""),",",".")&amp;", "&amp;CHAR(34)&amp;"flag"&amp;CHAR(34)&amp;": "&amp;SUBSTITUTE(TRIM(ROUND(IFERROR(CriteriTecnici!$M2002*1,IFERROR(NUMBERVALUE(CriteriTecnici!$M2002,".",","),IFERROR(NUMBERVALUE(CriteriTecnici!$M2002,",","."),0))),4)&amp;""),",",".")&amp;", "&amp;CHAR(34)&amp;"rawScore"&amp;CHAR(34)&amp;": "&amp;SUBSTITUTE(TRIM(ROUND(IFERROR(CriteriTecnici!$O2002*1,IFERROR(NUMBERVALUE(CriteriTecnici!$O2002,".",","),IFERROR(NUMBERVALUE(CriteriTecnici!$O2002,",","."),0))),4)&amp;""),",",".")&amp;CHAR(125)&amp;IF(TRUE,",",""))</f>
        <v/>
      </c>
    </row>
    <row r="2104">
      <c r="A2104" s="82">
        <f>IF(CriteriTecnici!$A2003="","","    "&amp;CHAR(123)&amp;CHAR(34)&amp;"bidderId"&amp;CHAR(34)&amp;": "&amp;CHAR(34)&amp;SUBSTITUTE(CriteriTecnici!$A2003,CHAR(34),"'")&amp;CHAR(34)&amp;", "&amp;CHAR(34)&amp;"lotId"&amp;CHAR(34)&amp;": "&amp;CHAR(34)&amp;SUBSTITUTE(CriteriTecnici!$C2003,CHAR(34),"'")&amp;CHAR(34)&amp;", "&amp;CHAR(34)&amp;"criterionId"&amp;CHAR(34)&amp;": "&amp;CHAR(34)&amp;SUBSTITUTE(CriteriTecnici!$D2003,CHAR(34),"'")&amp;CHAR(34)&amp;", "&amp;CHAR(34)&amp;"kind"&amp;CHAR(34)&amp;": "&amp;CHAR(34)&amp;SUBSTITUTE(CriteriTecnici!$F2003,CHAR(34),"'")&amp;CHAR(34)&amp;", "&amp;CHAR(34)&amp;"value"&amp;CHAR(34)&amp;": "&amp;SUBSTITUTE(TRIM(ROUND(IFERROR(CriteriTecnici!$N2003*1,IFERROR(NUMBERVALUE(CriteriTecnici!$N2003,".",","),IFERROR(NUMBERVALUE(CriteriTecnici!$N2003,",","."),0))),4)&amp;""),",",".")&amp;", "&amp;CHAR(34)&amp;"numerator"&amp;CHAR(34)&amp;": "&amp;SUBSTITUTE(TRIM(ROUND(IFERROR(CriteriTecnici!$K2003*1,IFERROR(NUMBERVALUE(CriteriTecnici!$K2003,".",","),IFERROR(NUMBERVALUE(CriteriTecnici!$K2003,",","."),0))),4)&amp;""),",",".")&amp;", "&amp;CHAR(34)&amp;"denominator"&amp;CHAR(34)&amp;": "&amp;SUBSTITUTE(TRIM(ROUND(IFERROR(CriteriTecnici!$L2003*1,IFERROR(NUMBERVALUE(CriteriTecnici!$L2003,".",","),IFERROR(NUMBERVALUE(CriteriTecnici!$L2003,",","."),0))),4)&amp;""),",",".")&amp;", "&amp;CHAR(34)&amp;"flag"&amp;CHAR(34)&amp;": "&amp;SUBSTITUTE(TRIM(ROUND(IFERROR(CriteriTecnici!$M2003*1,IFERROR(NUMBERVALUE(CriteriTecnici!$M2003,".",","),IFERROR(NUMBERVALUE(CriteriTecnici!$M2003,",","."),0))),4)&amp;""),",",".")&amp;", "&amp;CHAR(34)&amp;"rawScore"&amp;CHAR(34)&amp;": "&amp;SUBSTITUTE(TRIM(ROUND(IFERROR(CriteriTecnici!$O2003*1,IFERROR(NUMBERVALUE(CriteriTecnici!$O2003,".",","),IFERROR(NUMBERVALUE(CriteriTecnici!$O2003,",","."),0))),4)&amp;""),",",".")&amp;CHAR(125)&amp;IF(TRUE,",",""))</f>
        <v/>
      </c>
    </row>
    <row r="2105">
      <c r="A2105" s="82">
        <f>IF(CriteriTecnici!$A2004="","","    "&amp;CHAR(123)&amp;CHAR(34)&amp;"bidderId"&amp;CHAR(34)&amp;": "&amp;CHAR(34)&amp;SUBSTITUTE(CriteriTecnici!$A2004,CHAR(34),"'")&amp;CHAR(34)&amp;", "&amp;CHAR(34)&amp;"lotId"&amp;CHAR(34)&amp;": "&amp;CHAR(34)&amp;SUBSTITUTE(CriteriTecnici!$C2004,CHAR(34),"'")&amp;CHAR(34)&amp;", "&amp;CHAR(34)&amp;"criterionId"&amp;CHAR(34)&amp;": "&amp;CHAR(34)&amp;SUBSTITUTE(CriteriTecnici!$D2004,CHAR(34),"'")&amp;CHAR(34)&amp;", "&amp;CHAR(34)&amp;"kind"&amp;CHAR(34)&amp;": "&amp;CHAR(34)&amp;SUBSTITUTE(CriteriTecnici!$F2004,CHAR(34),"'")&amp;CHAR(34)&amp;", "&amp;CHAR(34)&amp;"value"&amp;CHAR(34)&amp;": "&amp;SUBSTITUTE(TRIM(ROUND(IFERROR(CriteriTecnici!$N2004*1,IFERROR(NUMBERVALUE(CriteriTecnici!$N2004,".",","),IFERROR(NUMBERVALUE(CriteriTecnici!$N2004,",","."),0))),4)&amp;""),",",".")&amp;", "&amp;CHAR(34)&amp;"numerator"&amp;CHAR(34)&amp;": "&amp;SUBSTITUTE(TRIM(ROUND(IFERROR(CriteriTecnici!$K2004*1,IFERROR(NUMBERVALUE(CriteriTecnici!$K2004,".",","),IFERROR(NUMBERVALUE(CriteriTecnici!$K2004,",","."),0))),4)&amp;""),",",".")&amp;", "&amp;CHAR(34)&amp;"denominator"&amp;CHAR(34)&amp;": "&amp;SUBSTITUTE(TRIM(ROUND(IFERROR(CriteriTecnici!$L2004*1,IFERROR(NUMBERVALUE(CriteriTecnici!$L2004,".",","),IFERROR(NUMBERVALUE(CriteriTecnici!$L2004,",","."),0))),4)&amp;""),",",".")&amp;", "&amp;CHAR(34)&amp;"flag"&amp;CHAR(34)&amp;": "&amp;SUBSTITUTE(TRIM(ROUND(IFERROR(CriteriTecnici!$M2004*1,IFERROR(NUMBERVALUE(CriteriTecnici!$M2004,".",","),IFERROR(NUMBERVALUE(CriteriTecnici!$M2004,",","."),0))),4)&amp;""),",",".")&amp;", "&amp;CHAR(34)&amp;"rawScore"&amp;CHAR(34)&amp;": "&amp;SUBSTITUTE(TRIM(ROUND(IFERROR(CriteriTecnici!$O2004*1,IFERROR(NUMBERVALUE(CriteriTecnici!$O2004,".",","),IFERROR(NUMBERVALUE(CriteriTecnici!$O2004,",","."),0))),4)&amp;""),",",".")&amp;CHAR(125)&amp;IF(TRUE,",",""))</f>
        <v/>
      </c>
    </row>
    <row r="2106">
      <c r="A2106" s="82">
        <f>IF(CriteriTecnici!$A2005="","","    "&amp;CHAR(123)&amp;CHAR(34)&amp;"bidderId"&amp;CHAR(34)&amp;": "&amp;CHAR(34)&amp;SUBSTITUTE(CriteriTecnici!$A2005,CHAR(34),"'")&amp;CHAR(34)&amp;", "&amp;CHAR(34)&amp;"lotId"&amp;CHAR(34)&amp;": "&amp;CHAR(34)&amp;SUBSTITUTE(CriteriTecnici!$C2005,CHAR(34),"'")&amp;CHAR(34)&amp;", "&amp;CHAR(34)&amp;"criterionId"&amp;CHAR(34)&amp;": "&amp;CHAR(34)&amp;SUBSTITUTE(CriteriTecnici!$D2005,CHAR(34),"'")&amp;CHAR(34)&amp;", "&amp;CHAR(34)&amp;"kind"&amp;CHAR(34)&amp;": "&amp;CHAR(34)&amp;SUBSTITUTE(CriteriTecnici!$F2005,CHAR(34),"'")&amp;CHAR(34)&amp;", "&amp;CHAR(34)&amp;"value"&amp;CHAR(34)&amp;": "&amp;SUBSTITUTE(TRIM(ROUND(IFERROR(CriteriTecnici!$N2005*1,IFERROR(NUMBERVALUE(CriteriTecnici!$N2005,".",","),IFERROR(NUMBERVALUE(CriteriTecnici!$N2005,",","."),0))),4)&amp;""),",",".")&amp;", "&amp;CHAR(34)&amp;"numerator"&amp;CHAR(34)&amp;": "&amp;SUBSTITUTE(TRIM(ROUND(IFERROR(CriteriTecnici!$K2005*1,IFERROR(NUMBERVALUE(CriteriTecnici!$K2005,".",","),IFERROR(NUMBERVALUE(CriteriTecnici!$K2005,",","."),0))),4)&amp;""),",",".")&amp;", "&amp;CHAR(34)&amp;"denominator"&amp;CHAR(34)&amp;": "&amp;SUBSTITUTE(TRIM(ROUND(IFERROR(CriteriTecnici!$L2005*1,IFERROR(NUMBERVALUE(CriteriTecnici!$L2005,".",","),IFERROR(NUMBERVALUE(CriteriTecnici!$L2005,",","."),0))),4)&amp;""),",",".")&amp;", "&amp;CHAR(34)&amp;"flag"&amp;CHAR(34)&amp;": "&amp;SUBSTITUTE(TRIM(ROUND(IFERROR(CriteriTecnici!$M2005*1,IFERROR(NUMBERVALUE(CriteriTecnici!$M2005,".",","),IFERROR(NUMBERVALUE(CriteriTecnici!$M2005,",","."),0))),4)&amp;""),",",".")&amp;", "&amp;CHAR(34)&amp;"rawScore"&amp;CHAR(34)&amp;": "&amp;SUBSTITUTE(TRIM(ROUND(IFERROR(CriteriTecnici!$O2005*1,IFERROR(NUMBERVALUE(CriteriTecnici!$O2005,".",","),IFERROR(NUMBERVALUE(CriteriTecnici!$O2005,",","."),0))),4)&amp;""),",",".")&amp;CHAR(125)&amp;IF(TRUE,",",""))</f>
        <v/>
      </c>
    </row>
    <row r="2107">
      <c r="A2107" s="82">
        <f>IF(CriteriTecnici!$A2006="","","    "&amp;CHAR(123)&amp;CHAR(34)&amp;"bidderId"&amp;CHAR(34)&amp;": "&amp;CHAR(34)&amp;SUBSTITUTE(CriteriTecnici!$A2006,CHAR(34),"'")&amp;CHAR(34)&amp;", "&amp;CHAR(34)&amp;"lotId"&amp;CHAR(34)&amp;": "&amp;CHAR(34)&amp;SUBSTITUTE(CriteriTecnici!$C2006,CHAR(34),"'")&amp;CHAR(34)&amp;", "&amp;CHAR(34)&amp;"criterionId"&amp;CHAR(34)&amp;": "&amp;CHAR(34)&amp;SUBSTITUTE(CriteriTecnici!$D2006,CHAR(34),"'")&amp;CHAR(34)&amp;", "&amp;CHAR(34)&amp;"kind"&amp;CHAR(34)&amp;": "&amp;CHAR(34)&amp;SUBSTITUTE(CriteriTecnici!$F2006,CHAR(34),"'")&amp;CHAR(34)&amp;", "&amp;CHAR(34)&amp;"value"&amp;CHAR(34)&amp;": "&amp;SUBSTITUTE(TRIM(ROUND(IFERROR(CriteriTecnici!$N2006*1,IFERROR(NUMBERVALUE(CriteriTecnici!$N2006,".",","),IFERROR(NUMBERVALUE(CriteriTecnici!$N2006,",","."),0))),4)&amp;""),",",".")&amp;", "&amp;CHAR(34)&amp;"numerator"&amp;CHAR(34)&amp;": "&amp;SUBSTITUTE(TRIM(ROUND(IFERROR(CriteriTecnici!$K2006*1,IFERROR(NUMBERVALUE(CriteriTecnici!$K2006,".",","),IFERROR(NUMBERVALUE(CriteriTecnici!$K2006,",","."),0))),4)&amp;""),",",".")&amp;", "&amp;CHAR(34)&amp;"denominator"&amp;CHAR(34)&amp;": "&amp;SUBSTITUTE(TRIM(ROUND(IFERROR(CriteriTecnici!$L2006*1,IFERROR(NUMBERVALUE(CriteriTecnici!$L2006,".",","),IFERROR(NUMBERVALUE(CriteriTecnici!$L2006,",","."),0))),4)&amp;""),",",".")&amp;", "&amp;CHAR(34)&amp;"flag"&amp;CHAR(34)&amp;": "&amp;SUBSTITUTE(TRIM(ROUND(IFERROR(CriteriTecnici!$M2006*1,IFERROR(NUMBERVALUE(CriteriTecnici!$M2006,".",","),IFERROR(NUMBERVALUE(CriteriTecnici!$M2006,",","."),0))),4)&amp;""),",",".")&amp;", "&amp;CHAR(34)&amp;"rawScore"&amp;CHAR(34)&amp;": "&amp;SUBSTITUTE(TRIM(ROUND(IFERROR(CriteriTecnici!$O2006*1,IFERROR(NUMBERVALUE(CriteriTecnici!$O2006,".",","),IFERROR(NUMBERVALUE(CriteriTecnici!$O2006,",","."),0))),4)&amp;""),",",".")&amp;CHAR(125)&amp;IF(TRUE,",",""))</f>
        <v/>
      </c>
    </row>
    <row r="2108">
      <c r="A2108" s="82">
        <f>IF(CriteriTecnici!$A2007="","","    "&amp;CHAR(123)&amp;CHAR(34)&amp;"bidderId"&amp;CHAR(34)&amp;": "&amp;CHAR(34)&amp;SUBSTITUTE(CriteriTecnici!$A2007,CHAR(34),"'")&amp;CHAR(34)&amp;", "&amp;CHAR(34)&amp;"lotId"&amp;CHAR(34)&amp;": "&amp;CHAR(34)&amp;SUBSTITUTE(CriteriTecnici!$C2007,CHAR(34),"'")&amp;CHAR(34)&amp;", "&amp;CHAR(34)&amp;"criterionId"&amp;CHAR(34)&amp;": "&amp;CHAR(34)&amp;SUBSTITUTE(CriteriTecnici!$D2007,CHAR(34),"'")&amp;CHAR(34)&amp;", "&amp;CHAR(34)&amp;"kind"&amp;CHAR(34)&amp;": "&amp;CHAR(34)&amp;SUBSTITUTE(CriteriTecnici!$F2007,CHAR(34),"'")&amp;CHAR(34)&amp;", "&amp;CHAR(34)&amp;"value"&amp;CHAR(34)&amp;": "&amp;SUBSTITUTE(TRIM(ROUND(IFERROR(CriteriTecnici!$N2007*1,IFERROR(NUMBERVALUE(CriteriTecnici!$N2007,".",","),IFERROR(NUMBERVALUE(CriteriTecnici!$N2007,",","."),0))),4)&amp;""),",",".")&amp;", "&amp;CHAR(34)&amp;"numerator"&amp;CHAR(34)&amp;": "&amp;SUBSTITUTE(TRIM(ROUND(IFERROR(CriteriTecnici!$K2007*1,IFERROR(NUMBERVALUE(CriteriTecnici!$K2007,".",","),IFERROR(NUMBERVALUE(CriteriTecnici!$K2007,",","."),0))),4)&amp;""),",",".")&amp;", "&amp;CHAR(34)&amp;"denominator"&amp;CHAR(34)&amp;": "&amp;SUBSTITUTE(TRIM(ROUND(IFERROR(CriteriTecnici!$L2007*1,IFERROR(NUMBERVALUE(CriteriTecnici!$L2007,".",","),IFERROR(NUMBERVALUE(CriteriTecnici!$L2007,",","."),0))),4)&amp;""),",",".")&amp;", "&amp;CHAR(34)&amp;"flag"&amp;CHAR(34)&amp;": "&amp;SUBSTITUTE(TRIM(ROUND(IFERROR(CriteriTecnici!$M2007*1,IFERROR(NUMBERVALUE(CriteriTecnici!$M2007,".",","),IFERROR(NUMBERVALUE(CriteriTecnici!$M2007,",","."),0))),4)&amp;""),",",".")&amp;", "&amp;CHAR(34)&amp;"rawScore"&amp;CHAR(34)&amp;": "&amp;SUBSTITUTE(TRIM(ROUND(IFERROR(CriteriTecnici!$O2007*1,IFERROR(NUMBERVALUE(CriteriTecnici!$O2007,".",","),IFERROR(NUMBERVALUE(CriteriTecnici!$O2007,",","."),0))),4)&amp;""),",",".")&amp;CHAR(125)&amp;IF(TRUE,",",""))</f>
        <v/>
      </c>
    </row>
    <row r="2109">
      <c r="A2109" s="82">
        <f>IF(CriteriTecnici!$A2008="","","    "&amp;CHAR(123)&amp;CHAR(34)&amp;"bidderId"&amp;CHAR(34)&amp;": "&amp;CHAR(34)&amp;SUBSTITUTE(CriteriTecnici!$A2008,CHAR(34),"'")&amp;CHAR(34)&amp;", "&amp;CHAR(34)&amp;"lotId"&amp;CHAR(34)&amp;": "&amp;CHAR(34)&amp;SUBSTITUTE(CriteriTecnici!$C2008,CHAR(34),"'")&amp;CHAR(34)&amp;", "&amp;CHAR(34)&amp;"criterionId"&amp;CHAR(34)&amp;": "&amp;CHAR(34)&amp;SUBSTITUTE(CriteriTecnici!$D2008,CHAR(34),"'")&amp;CHAR(34)&amp;", "&amp;CHAR(34)&amp;"kind"&amp;CHAR(34)&amp;": "&amp;CHAR(34)&amp;SUBSTITUTE(CriteriTecnici!$F2008,CHAR(34),"'")&amp;CHAR(34)&amp;", "&amp;CHAR(34)&amp;"value"&amp;CHAR(34)&amp;": "&amp;SUBSTITUTE(TRIM(ROUND(IFERROR(CriteriTecnici!$N2008*1,IFERROR(NUMBERVALUE(CriteriTecnici!$N2008,".",","),IFERROR(NUMBERVALUE(CriteriTecnici!$N2008,",","."),0))),4)&amp;""),",",".")&amp;", "&amp;CHAR(34)&amp;"numerator"&amp;CHAR(34)&amp;": "&amp;SUBSTITUTE(TRIM(ROUND(IFERROR(CriteriTecnici!$K2008*1,IFERROR(NUMBERVALUE(CriteriTecnici!$K2008,".",","),IFERROR(NUMBERVALUE(CriteriTecnici!$K2008,",","."),0))),4)&amp;""),",",".")&amp;", "&amp;CHAR(34)&amp;"denominator"&amp;CHAR(34)&amp;": "&amp;SUBSTITUTE(TRIM(ROUND(IFERROR(CriteriTecnici!$L2008*1,IFERROR(NUMBERVALUE(CriteriTecnici!$L2008,".",","),IFERROR(NUMBERVALUE(CriteriTecnici!$L2008,",","."),0))),4)&amp;""),",",".")&amp;", "&amp;CHAR(34)&amp;"flag"&amp;CHAR(34)&amp;": "&amp;SUBSTITUTE(TRIM(ROUND(IFERROR(CriteriTecnici!$M2008*1,IFERROR(NUMBERVALUE(CriteriTecnici!$M2008,".",","),IFERROR(NUMBERVALUE(CriteriTecnici!$M2008,",","."),0))),4)&amp;""),",",".")&amp;", "&amp;CHAR(34)&amp;"rawScore"&amp;CHAR(34)&amp;": "&amp;SUBSTITUTE(TRIM(ROUND(IFERROR(CriteriTecnici!$O2008*1,IFERROR(NUMBERVALUE(CriteriTecnici!$O2008,".",","),IFERROR(NUMBERVALUE(CriteriTecnici!$O2008,",","."),0))),4)&amp;""),",",".")&amp;CHAR(125)&amp;IF(TRUE,",",""))</f>
        <v/>
      </c>
    </row>
    <row r="2110">
      <c r="A2110" s="82">
        <f>IF(CriteriTecnici!$A2009="","","    "&amp;CHAR(123)&amp;CHAR(34)&amp;"bidderId"&amp;CHAR(34)&amp;": "&amp;CHAR(34)&amp;SUBSTITUTE(CriteriTecnici!$A2009,CHAR(34),"'")&amp;CHAR(34)&amp;", "&amp;CHAR(34)&amp;"lotId"&amp;CHAR(34)&amp;": "&amp;CHAR(34)&amp;SUBSTITUTE(CriteriTecnici!$C2009,CHAR(34),"'")&amp;CHAR(34)&amp;", "&amp;CHAR(34)&amp;"criterionId"&amp;CHAR(34)&amp;": "&amp;CHAR(34)&amp;SUBSTITUTE(CriteriTecnici!$D2009,CHAR(34),"'")&amp;CHAR(34)&amp;", "&amp;CHAR(34)&amp;"kind"&amp;CHAR(34)&amp;": "&amp;CHAR(34)&amp;SUBSTITUTE(CriteriTecnici!$F2009,CHAR(34),"'")&amp;CHAR(34)&amp;", "&amp;CHAR(34)&amp;"value"&amp;CHAR(34)&amp;": "&amp;SUBSTITUTE(TRIM(ROUND(IFERROR(CriteriTecnici!$N2009*1,IFERROR(NUMBERVALUE(CriteriTecnici!$N2009,".",","),IFERROR(NUMBERVALUE(CriteriTecnici!$N2009,",","."),0))),4)&amp;""),",",".")&amp;", "&amp;CHAR(34)&amp;"numerator"&amp;CHAR(34)&amp;": "&amp;SUBSTITUTE(TRIM(ROUND(IFERROR(CriteriTecnici!$K2009*1,IFERROR(NUMBERVALUE(CriteriTecnici!$K2009,".",","),IFERROR(NUMBERVALUE(CriteriTecnici!$K2009,",","."),0))),4)&amp;""),",",".")&amp;", "&amp;CHAR(34)&amp;"denominator"&amp;CHAR(34)&amp;": "&amp;SUBSTITUTE(TRIM(ROUND(IFERROR(CriteriTecnici!$L2009*1,IFERROR(NUMBERVALUE(CriteriTecnici!$L2009,".",","),IFERROR(NUMBERVALUE(CriteriTecnici!$L2009,",","."),0))),4)&amp;""),",",".")&amp;", "&amp;CHAR(34)&amp;"flag"&amp;CHAR(34)&amp;": "&amp;SUBSTITUTE(TRIM(ROUND(IFERROR(CriteriTecnici!$M2009*1,IFERROR(NUMBERVALUE(CriteriTecnici!$M2009,".",","),IFERROR(NUMBERVALUE(CriteriTecnici!$M2009,",","."),0))),4)&amp;""),",",".")&amp;", "&amp;CHAR(34)&amp;"rawScore"&amp;CHAR(34)&amp;": "&amp;SUBSTITUTE(TRIM(ROUND(IFERROR(CriteriTecnici!$O2009*1,IFERROR(NUMBERVALUE(CriteriTecnici!$O2009,".",","),IFERROR(NUMBERVALUE(CriteriTecnici!$O2009,",","."),0))),4)&amp;""),",",".")&amp;CHAR(125)&amp;IF(TRUE,",",""))</f>
        <v/>
      </c>
    </row>
    <row r="2111">
      <c r="A2111" s="82">
        <f>IF(CriteriTecnici!$A2010="","","    "&amp;CHAR(123)&amp;CHAR(34)&amp;"bidderId"&amp;CHAR(34)&amp;": "&amp;CHAR(34)&amp;SUBSTITUTE(CriteriTecnici!$A2010,CHAR(34),"'")&amp;CHAR(34)&amp;", "&amp;CHAR(34)&amp;"lotId"&amp;CHAR(34)&amp;": "&amp;CHAR(34)&amp;SUBSTITUTE(CriteriTecnici!$C2010,CHAR(34),"'")&amp;CHAR(34)&amp;", "&amp;CHAR(34)&amp;"criterionId"&amp;CHAR(34)&amp;": "&amp;CHAR(34)&amp;SUBSTITUTE(CriteriTecnici!$D2010,CHAR(34),"'")&amp;CHAR(34)&amp;", "&amp;CHAR(34)&amp;"kind"&amp;CHAR(34)&amp;": "&amp;CHAR(34)&amp;SUBSTITUTE(CriteriTecnici!$F2010,CHAR(34),"'")&amp;CHAR(34)&amp;", "&amp;CHAR(34)&amp;"value"&amp;CHAR(34)&amp;": "&amp;SUBSTITUTE(TRIM(ROUND(IFERROR(CriteriTecnici!$N2010*1,IFERROR(NUMBERVALUE(CriteriTecnici!$N2010,".",","),IFERROR(NUMBERVALUE(CriteriTecnici!$N2010,",","."),0))),4)&amp;""),",",".")&amp;", "&amp;CHAR(34)&amp;"numerator"&amp;CHAR(34)&amp;": "&amp;SUBSTITUTE(TRIM(ROUND(IFERROR(CriteriTecnici!$K2010*1,IFERROR(NUMBERVALUE(CriteriTecnici!$K2010,".",","),IFERROR(NUMBERVALUE(CriteriTecnici!$K2010,",","."),0))),4)&amp;""),",",".")&amp;", "&amp;CHAR(34)&amp;"denominator"&amp;CHAR(34)&amp;": "&amp;SUBSTITUTE(TRIM(ROUND(IFERROR(CriteriTecnici!$L2010*1,IFERROR(NUMBERVALUE(CriteriTecnici!$L2010,".",","),IFERROR(NUMBERVALUE(CriteriTecnici!$L2010,",","."),0))),4)&amp;""),",",".")&amp;", "&amp;CHAR(34)&amp;"flag"&amp;CHAR(34)&amp;": "&amp;SUBSTITUTE(TRIM(ROUND(IFERROR(CriteriTecnici!$M2010*1,IFERROR(NUMBERVALUE(CriteriTecnici!$M2010,".",","),IFERROR(NUMBERVALUE(CriteriTecnici!$M2010,",","."),0))),4)&amp;""),",",".")&amp;", "&amp;CHAR(34)&amp;"rawScore"&amp;CHAR(34)&amp;": "&amp;SUBSTITUTE(TRIM(ROUND(IFERROR(CriteriTecnici!$O2010*1,IFERROR(NUMBERVALUE(CriteriTecnici!$O2010,".",","),IFERROR(NUMBERVALUE(CriteriTecnici!$O2010,",","."),0))),4)&amp;""),",",".")&amp;CHAR(125)&amp;IF(TRUE,",",""))</f>
        <v/>
      </c>
    </row>
    <row r="2112">
      <c r="A2112" s="82">
        <f>IF(CriteriTecnici!$A2011="","","    "&amp;CHAR(123)&amp;CHAR(34)&amp;"bidderId"&amp;CHAR(34)&amp;": "&amp;CHAR(34)&amp;SUBSTITUTE(CriteriTecnici!$A2011,CHAR(34),"'")&amp;CHAR(34)&amp;", "&amp;CHAR(34)&amp;"lotId"&amp;CHAR(34)&amp;": "&amp;CHAR(34)&amp;SUBSTITUTE(CriteriTecnici!$C2011,CHAR(34),"'")&amp;CHAR(34)&amp;", "&amp;CHAR(34)&amp;"criterionId"&amp;CHAR(34)&amp;": "&amp;CHAR(34)&amp;SUBSTITUTE(CriteriTecnici!$D2011,CHAR(34),"'")&amp;CHAR(34)&amp;", "&amp;CHAR(34)&amp;"kind"&amp;CHAR(34)&amp;": "&amp;CHAR(34)&amp;SUBSTITUTE(CriteriTecnici!$F2011,CHAR(34),"'")&amp;CHAR(34)&amp;", "&amp;CHAR(34)&amp;"value"&amp;CHAR(34)&amp;": "&amp;SUBSTITUTE(TRIM(ROUND(IFERROR(CriteriTecnici!$N2011*1,IFERROR(NUMBERVALUE(CriteriTecnici!$N2011,".",","),IFERROR(NUMBERVALUE(CriteriTecnici!$N2011,",","."),0))),4)&amp;""),",",".")&amp;", "&amp;CHAR(34)&amp;"numerator"&amp;CHAR(34)&amp;": "&amp;SUBSTITUTE(TRIM(ROUND(IFERROR(CriteriTecnici!$K2011*1,IFERROR(NUMBERVALUE(CriteriTecnici!$K2011,".",","),IFERROR(NUMBERVALUE(CriteriTecnici!$K2011,",","."),0))),4)&amp;""),",",".")&amp;", "&amp;CHAR(34)&amp;"denominator"&amp;CHAR(34)&amp;": "&amp;SUBSTITUTE(TRIM(ROUND(IFERROR(CriteriTecnici!$L2011*1,IFERROR(NUMBERVALUE(CriteriTecnici!$L2011,".",","),IFERROR(NUMBERVALUE(CriteriTecnici!$L2011,",","."),0))),4)&amp;""),",",".")&amp;", "&amp;CHAR(34)&amp;"flag"&amp;CHAR(34)&amp;": "&amp;SUBSTITUTE(TRIM(ROUND(IFERROR(CriteriTecnici!$M2011*1,IFERROR(NUMBERVALUE(CriteriTecnici!$M2011,".",","),IFERROR(NUMBERVALUE(CriteriTecnici!$M2011,",","."),0))),4)&amp;""),",",".")&amp;", "&amp;CHAR(34)&amp;"rawScore"&amp;CHAR(34)&amp;": "&amp;SUBSTITUTE(TRIM(ROUND(IFERROR(CriteriTecnici!$O2011*1,IFERROR(NUMBERVALUE(CriteriTecnici!$O2011,".",","),IFERROR(NUMBERVALUE(CriteriTecnici!$O2011,",","."),0))),4)&amp;""),",",".")&amp;CHAR(125)&amp;IF(TRUE,",",""))</f>
        <v/>
      </c>
    </row>
    <row r="2113">
      <c r="A2113" s="82">
        <f>IF(CriteriTecnici!$A2012="","","    "&amp;CHAR(123)&amp;CHAR(34)&amp;"bidderId"&amp;CHAR(34)&amp;": "&amp;CHAR(34)&amp;SUBSTITUTE(CriteriTecnici!$A2012,CHAR(34),"'")&amp;CHAR(34)&amp;", "&amp;CHAR(34)&amp;"lotId"&amp;CHAR(34)&amp;": "&amp;CHAR(34)&amp;SUBSTITUTE(CriteriTecnici!$C2012,CHAR(34),"'")&amp;CHAR(34)&amp;", "&amp;CHAR(34)&amp;"criterionId"&amp;CHAR(34)&amp;": "&amp;CHAR(34)&amp;SUBSTITUTE(CriteriTecnici!$D2012,CHAR(34),"'")&amp;CHAR(34)&amp;", "&amp;CHAR(34)&amp;"kind"&amp;CHAR(34)&amp;": "&amp;CHAR(34)&amp;SUBSTITUTE(CriteriTecnici!$F2012,CHAR(34),"'")&amp;CHAR(34)&amp;", "&amp;CHAR(34)&amp;"value"&amp;CHAR(34)&amp;": "&amp;SUBSTITUTE(TRIM(ROUND(IFERROR(CriteriTecnici!$N2012*1,IFERROR(NUMBERVALUE(CriteriTecnici!$N2012,".",","),IFERROR(NUMBERVALUE(CriteriTecnici!$N2012,",","."),0))),4)&amp;""),",",".")&amp;", "&amp;CHAR(34)&amp;"numerator"&amp;CHAR(34)&amp;": "&amp;SUBSTITUTE(TRIM(ROUND(IFERROR(CriteriTecnici!$K2012*1,IFERROR(NUMBERVALUE(CriteriTecnici!$K2012,".",","),IFERROR(NUMBERVALUE(CriteriTecnici!$K2012,",","."),0))),4)&amp;""),",",".")&amp;", "&amp;CHAR(34)&amp;"denominator"&amp;CHAR(34)&amp;": "&amp;SUBSTITUTE(TRIM(ROUND(IFERROR(CriteriTecnici!$L2012*1,IFERROR(NUMBERVALUE(CriteriTecnici!$L2012,".",","),IFERROR(NUMBERVALUE(CriteriTecnici!$L2012,",","."),0))),4)&amp;""),",",".")&amp;", "&amp;CHAR(34)&amp;"flag"&amp;CHAR(34)&amp;": "&amp;SUBSTITUTE(TRIM(ROUND(IFERROR(CriteriTecnici!$M2012*1,IFERROR(NUMBERVALUE(CriteriTecnici!$M2012,".",","),IFERROR(NUMBERVALUE(CriteriTecnici!$M2012,",","."),0))),4)&amp;""),",",".")&amp;", "&amp;CHAR(34)&amp;"rawScore"&amp;CHAR(34)&amp;": "&amp;SUBSTITUTE(TRIM(ROUND(IFERROR(CriteriTecnici!$O2012*1,IFERROR(NUMBERVALUE(CriteriTecnici!$O2012,".",","),IFERROR(NUMBERVALUE(CriteriTecnici!$O2012,",","."),0))),4)&amp;""),",",".")&amp;CHAR(125)&amp;IF(TRUE,",",""))</f>
        <v/>
      </c>
    </row>
    <row r="2114">
      <c r="A2114" s="82">
        <f>IF(CriteriTecnici!$A2013="","","    "&amp;CHAR(123)&amp;CHAR(34)&amp;"bidderId"&amp;CHAR(34)&amp;": "&amp;CHAR(34)&amp;SUBSTITUTE(CriteriTecnici!$A2013,CHAR(34),"'")&amp;CHAR(34)&amp;", "&amp;CHAR(34)&amp;"lotId"&amp;CHAR(34)&amp;": "&amp;CHAR(34)&amp;SUBSTITUTE(CriteriTecnici!$C2013,CHAR(34),"'")&amp;CHAR(34)&amp;", "&amp;CHAR(34)&amp;"criterionId"&amp;CHAR(34)&amp;": "&amp;CHAR(34)&amp;SUBSTITUTE(CriteriTecnici!$D2013,CHAR(34),"'")&amp;CHAR(34)&amp;", "&amp;CHAR(34)&amp;"kind"&amp;CHAR(34)&amp;": "&amp;CHAR(34)&amp;SUBSTITUTE(CriteriTecnici!$F2013,CHAR(34),"'")&amp;CHAR(34)&amp;", "&amp;CHAR(34)&amp;"value"&amp;CHAR(34)&amp;": "&amp;SUBSTITUTE(TRIM(ROUND(IFERROR(CriteriTecnici!$N2013*1,IFERROR(NUMBERVALUE(CriteriTecnici!$N2013,".",","),IFERROR(NUMBERVALUE(CriteriTecnici!$N2013,",","."),0))),4)&amp;""),",",".")&amp;", "&amp;CHAR(34)&amp;"numerator"&amp;CHAR(34)&amp;": "&amp;SUBSTITUTE(TRIM(ROUND(IFERROR(CriteriTecnici!$K2013*1,IFERROR(NUMBERVALUE(CriteriTecnici!$K2013,".",","),IFERROR(NUMBERVALUE(CriteriTecnici!$K2013,",","."),0))),4)&amp;""),",",".")&amp;", "&amp;CHAR(34)&amp;"denominator"&amp;CHAR(34)&amp;": "&amp;SUBSTITUTE(TRIM(ROUND(IFERROR(CriteriTecnici!$L2013*1,IFERROR(NUMBERVALUE(CriteriTecnici!$L2013,".",","),IFERROR(NUMBERVALUE(CriteriTecnici!$L2013,",","."),0))),4)&amp;""),",",".")&amp;", "&amp;CHAR(34)&amp;"flag"&amp;CHAR(34)&amp;": "&amp;SUBSTITUTE(TRIM(ROUND(IFERROR(CriteriTecnici!$M2013*1,IFERROR(NUMBERVALUE(CriteriTecnici!$M2013,".",","),IFERROR(NUMBERVALUE(CriteriTecnici!$M2013,",","."),0))),4)&amp;""),",",".")&amp;", "&amp;CHAR(34)&amp;"rawScore"&amp;CHAR(34)&amp;": "&amp;SUBSTITUTE(TRIM(ROUND(IFERROR(CriteriTecnici!$O2013*1,IFERROR(NUMBERVALUE(CriteriTecnici!$O2013,".",","),IFERROR(NUMBERVALUE(CriteriTecnici!$O2013,",","."),0))),4)&amp;""),",",".")&amp;CHAR(125)&amp;IF(TRUE,",",""))</f>
        <v/>
      </c>
    </row>
    <row r="2115">
      <c r="A2115" s="82">
        <f>IF(CriteriTecnici!$A2014="","","    "&amp;CHAR(123)&amp;CHAR(34)&amp;"bidderId"&amp;CHAR(34)&amp;": "&amp;CHAR(34)&amp;SUBSTITUTE(CriteriTecnici!$A2014,CHAR(34),"'")&amp;CHAR(34)&amp;", "&amp;CHAR(34)&amp;"lotId"&amp;CHAR(34)&amp;": "&amp;CHAR(34)&amp;SUBSTITUTE(CriteriTecnici!$C2014,CHAR(34),"'")&amp;CHAR(34)&amp;", "&amp;CHAR(34)&amp;"criterionId"&amp;CHAR(34)&amp;": "&amp;CHAR(34)&amp;SUBSTITUTE(CriteriTecnici!$D2014,CHAR(34),"'")&amp;CHAR(34)&amp;", "&amp;CHAR(34)&amp;"kind"&amp;CHAR(34)&amp;": "&amp;CHAR(34)&amp;SUBSTITUTE(CriteriTecnici!$F2014,CHAR(34),"'")&amp;CHAR(34)&amp;", "&amp;CHAR(34)&amp;"value"&amp;CHAR(34)&amp;": "&amp;SUBSTITUTE(TRIM(ROUND(IFERROR(CriteriTecnici!$N2014*1,IFERROR(NUMBERVALUE(CriteriTecnici!$N2014,".",","),IFERROR(NUMBERVALUE(CriteriTecnici!$N2014,",","."),0))),4)&amp;""),",",".")&amp;", "&amp;CHAR(34)&amp;"numerator"&amp;CHAR(34)&amp;": "&amp;SUBSTITUTE(TRIM(ROUND(IFERROR(CriteriTecnici!$K2014*1,IFERROR(NUMBERVALUE(CriteriTecnici!$K2014,".",","),IFERROR(NUMBERVALUE(CriteriTecnici!$K2014,",","."),0))),4)&amp;""),",",".")&amp;", "&amp;CHAR(34)&amp;"denominator"&amp;CHAR(34)&amp;": "&amp;SUBSTITUTE(TRIM(ROUND(IFERROR(CriteriTecnici!$L2014*1,IFERROR(NUMBERVALUE(CriteriTecnici!$L2014,".",","),IFERROR(NUMBERVALUE(CriteriTecnici!$L2014,",","."),0))),4)&amp;""),",",".")&amp;", "&amp;CHAR(34)&amp;"flag"&amp;CHAR(34)&amp;": "&amp;SUBSTITUTE(TRIM(ROUND(IFERROR(CriteriTecnici!$M2014*1,IFERROR(NUMBERVALUE(CriteriTecnici!$M2014,".",","),IFERROR(NUMBERVALUE(CriteriTecnici!$M2014,",","."),0))),4)&amp;""),",",".")&amp;", "&amp;CHAR(34)&amp;"rawScore"&amp;CHAR(34)&amp;": "&amp;SUBSTITUTE(TRIM(ROUND(IFERROR(CriteriTecnici!$O2014*1,IFERROR(NUMBERVALUE(CriteriTecnici!$O2014,".",","),IFERROR(NUMBERVALUE(CriteriTecnici!$O2014,",","."),0))),4)&amp;""),",",".")&amp;CHAR(125)&amp;IF(TRUE,",",""))</f>
        <v/>
      </c>
    </row>
    <row r="2116">
      <c r="A2116" s="82">
        <f>IF(CriteriTecnici!$A2015="","","    "&amp;CHAR(123)&amp;CHAR(34)&amp;"bidderId"&amp;CHAR(34)&amp;": "&amp;CHAR(34)&amp;SUBSTITUTE(CriteriTecnici!$A2015,CHAR(34),"'")&amp;CHAR(34)&amp;", "&amp;CHAR(34)&amp;"lotId"&amp;CHAR(34)&amp;": "&amp;CHAR(34)&amp;SUBSTITUTE(CriteriTecnici!$C2015,CHAR(34),"'")&amp;CHAR(34)&amp;", "&amp;CHAR(34)&amp;"criterionId"&amp;CHAR(34)&amp;": "&amp;CHAR(34)&amp;SUBSTITUTE(CriteriTecnici!$D2015,CHAR(34),"'")&amp;CHAR(34)&amp;", "&amp;CHAR(34)&amp;"kind"&amp;CHAR(34)&amp;": "&amp;CHAR(34)&amp;SUBSTITUTE(CriteriTecnici!$F2015,CHAR(34),"'")&amp;CHAR(34)&amp;", "&amp;CHAR(34)&amp;"value"&amp;CHAR(34)&amp;": "&amp;SUBSTITUTE(TRIM(ROUND(IFERROR(CriteriTecnici!$N2015*1,IFERROR(NUMBERVALUE(CriteriTecnici!$N2015,".",","),IFERROR(NUMBERVALUE(CriteriTecnici!$N2015,",","."),0))),4)&amp;""),",",".")&amp;", "&amp;CHAR(34)&amp;"numerator"&amp;CHAR(34)&amp;": "&amp;SUBSTITUTE(TRIM(ROUND(IFERROR(CriteriTecnici!$K2015*1,IFERROR(NUMBERVALUE(CriteriTecnici!$K2015,".",","),IFERROR(NUMBERVALUE(CriteriTecnici!$K2015,",","."),0))),4)&amp;""),",",".")&amp;", "&amp;CHAR(34)&amp;"denominator"&amp;CHAR(34)&amp;": "&amp;SUBSTITUTE(TRIM(ROUND(IFERROR(CriteriTecnici!$L2015*1,IFERROR(NUMBERVALUE(CriteriTecnici!$L2015,".",","),IFERROR(NUMBERVALUE(CriteriTecnici!$L2015,",","."),0))),4)&amp;""),",",".")&amp;", "&amp;CHAR(34)&amp;"flag"&amp;CHAR(34)&amp;": "&amp;SUBSTITUTE(TRIM(ROUND(IFERROR(CriteriTecnici!$M2015*1,IFERROR(NUMBERVALUE(CriteriTecnici!$M2015,".",","),IFERROR(NUMBERVALUE(CriteriTecnici!$M2015,",","."),0))),4)&amp;""),",",".")&amp;", "&amp;CHAR(34)&amp;"rawScore"&amp;CHAR(34)&amp;": "&amp;SUBSTITUTE(TRIM(ROUND(IFERROR(CriteriTecnici!$O2015*1,IFERROR(NUMBERVALUE(CriteriTecnici!$O2015,".",","),IFERROR(NUMBERVALUE(CriteriTecnici!$O2015,",","."),0))),4)&amp;""),",",".")&amp;CHAR(125)&amp;IF(TRUE,",",""))</f>
        <v/>
      </c>
    </row>
    <row r="2117">
      <c r="A2117" s="82">
        <f>IF(CriteriTecnici!$A2016="","","    "&amp;CHAR(123)&amp;CHAR(34)&amp;"bidderId"&amp;CHAR(34)&amp;": "&amp;CHAR(34)&amp;SUBSTITUTE(CriteriTecnici!$A2016,CHAR(34),"'")&amp;CHAR(34)&amp;", "&amp;CHAR(34)&amp;"lotId"&amp;CHAR(34)&amp;": "&amp;CHAR(34)&amp;SUBSTITUTE(CriteriTecnici!$C2016,CHAR(34),"'")&amp;CHAR(34)&amp;", "&amp;CHAR(34)&amp;"criterionId"&amp;CHAR(34)&amp;": "&amp;CHAR(34)&amp;SUBSTITUTE(CriteriTecnici!$D2016,CHAR(34),"'")&amp;CHAR(34)&amp;", "&amp;CHAR(34)&amp;"kind"&amp;CHAR(34)&amp;": "&amp;CHAR(34)&amp;SUBSTITUTE(CriteriTecnici!$F2016,CHAR(34),"'")&amp;CHAR(34)&amp;", "&amp;CHAR(34)&amp;"value"&amp;CHAR(34)&amp;": "&amp;SUBSTITUTE(TRIM(ROUND(IFERROR(CriteriTecnici!$N2016*1,IFERROR(NUMBERVALUE(CriteriTecnici!$N2016,".",","),IFERROR(NUMBERVALUE(CriteriTecnici!$N2016,",","."),0))),4)&amp;""),",",".")&amp;", "&amp;CHAR(34)&amp;"numerator"&amp;CHAR(34)&amp;": "&amp;SUBSTITUTE(TRIM(ROUND(IFERROR(CriteriTecnici!$K2016*1,IFERROR(NUMBERVALUE(CriteriTecnici!$K2016,".",","),IFERROR(NUMBERVALUE(CriteriTecnici!$K2016,",","."),0))),4)&amp;""),",",".")&amp;", "&amp;CHAR(34)&amp;"denominator"&amp;CHAR(34)&amp;": "&amp;SUBSTITUTE(TRIM(ROUND(IFERROR(CriteriTecnici!$L2016*1,IFERROR(NUMBERVALUE(CriteriTecnici!$L2016,".",","),IFERROR(NUMBERVALUE(CriteriTecnici!$L2016,",","."),0))),4)&amp;""),",",".")&amp;", "&amp;CHAR(34)&amp;"flag"&amp;CHAR(34)&amp;": "&amp;SUBSTITUTE(TRIM(ROUND(IFERROR(CriteriTecnici!$M2016*1,IFERROR(NUMBERVALUE(CriteriTecnici!$M2016,".",","),IFERROR(NUMBERVALUE(CriteriTecnici!$M2016,",","."),0))),4)&amp;""),",",".")&amp;", "&amp;CHAR(34)&amp;"rawScore"&amp;CHAR(34)&amp;": "&amp;SUBSTITUTE(TRIM(ROUND(IFERROR(CriteriTecnici!$O2016*1,IFERROR(NUMBERVALUE(CriteriTecnici!$O2016,".",","),IFERROR(NUMBERVALUE(CriteriTecnici!$O2016,",","."),0))),4)&amp;""),",",".")&amp;CHAR(125)&amp;IF(TRUE,",",""))</f>
        <v/>
      </c>
    </row>
    <row r="2118">
      <c r="A2118" s="82">
        <f>IF(CriteriTecnici!$A2017="","","    "&amp;CHAR(123)&amp;CHAR(34)&amp;"bidderId"&amp;CHAR(34)&amp;": "&amp;CHAR(34)&amp;SUBSTITUTE(CriteriTecnici!$A2017,CHAR(34),"'")&amp;CHAR(34)&amp;", "&amp;CHAR(34)&amp;"lotId"&amp;CHAR(34)&amp;": "&amp;CHAR(34)&amp;SUBSTITUTE(CriteriTecnici!$C2017,CHAR(34),"'")&amp;CHAR(34)&amp;", "&amp;CHAR(34)&amp;"criterionId"&amp;CHAR(34)&amp;": "&amp;CHAR(34)&amp;SUBSTITUTE(CriteriTecnici!$D2017,CHAR(34),"'")&amp;CHAR(34)&amp;", "&amp;CHAR(34)&amp;"kind"&amp;CHAR(34)&amp;": "&amp;CHAR(34)&amp;SUBSTITUTE(CriteriTecnici!$F2017,CHAR(34),"'")&amp;CHAR(34)&amp;", "&amp;CHAR(34)&amp;"value"&amp;CHAR(34)&amp;": "&amp;SUBSTITUTE(TRIM(ROUND(IFERROR(CriteriTecnici!$N2017*1,IFERROR(NUMBERVALUE(CriteriTecnici!$N2017,".",","),IFERROR(NUMBERVALUE(CriteriTecnici!$N2017,",","."),0))),4)&amp;""),",",".")&amp;", "&amp;CHAR(34)&amp;"numerator"&amp;CHAR(34)&amp;": "&amp;SUBSTITUTE(TRIM(ROUND(IFERROR(CriteriTecnici!$K2017*1,IFERROR(NUMBERVALUE(CriteriTecnici!$K2017,".",","),IFERROR(NUMBERVALUE(CriteriTecnici!$K2017,",","."),0))),4)&amp;""),",",".")&amp;", "&amp;CHAR(34)&amp;"denominator"&amp;CHAR(34)&amp;": "&amp;SUBSTITUTE(TRIM(ROUND(IFERROR(CriteriTecnici!$L2017*1,IFERROR(NUMBERVALUE(CriteriTecnici!$L2017,".",","),IFERROR(NUMBERVALUE(CriteriTecnici!$L2017,",","."),0))),4)&amp;""),",",".")&amp;", "&amp;CHAR(34)&amp;"flag"&amp;CHAR(34)&amp;": "&amp;SUBSTITUTE(TRIM(ROUND(IFERROR(CriteriTecnici!$M2017*1,IFERROR(NUMBERVALUE(CriteriTecnici!$M2017,".",","),IFERROR(NUMBERVALUE(CriteriTecnici!$M2017,",","."),0))),4)&amp;""),",",".")&amp;", "&amp;CHAR(34)&amp;"rawScore"&amp;CHAR(34)&amp;": "&amp;SUBSTITUTE(TRIM(ROUND(IFERROR(CriteriTecnici!$O2017*1,IFERROR(NUMBERVALUE(CriteriTecnici!$O2017,".",","),IFERROR(NUMBERVALUE(CriteriTecnici!$O2017,",","."),0))),4)&amp;""),",",".")&amp;CHAR(125)&amp;IF(TRUE,",",""))</f>
        <v/>
      </c>
    </row>
    <row r="2119">
      <c r="A2119" s="82">
        <f>IF(CriteriTecnici!$A2018="","","    "&amp;CHAR(123)&amp;CHAR(34)&amp;"bidderId"&amp;CHAR(34)&amp;": "&amp;CHAR(34)&amp;SUBSTITUTE(CriteriTecnici!$A2018,CHAR(34),"'")&amp;CHAR(34)&amp;", "&amp;CHAR(34)&amp;"lotId"&amp;CHAR(34)&amp;": "&amp;CHAR(34)&amp;SUBSTITUTE(CriteriTecnici!$C2018,CHAR(34),"'")&amp;CHAR(34)&amp;", "&amp;CHAR(34)&amp;"criterionId"&amp;CHAR(34)&amp;": "&amp;CHAR(34)&amp;SUBSTITUTE(CriteriTecnici!$D2018,CHAR(34),"'")&amp;CHAR(34)&amp;", "&amp;CHAR(34)&amp;"kind"&amp;CHAR(34)&amp;": "&amp;CHAR(34)&amp;SUBSTITUTE(CriteriTecnici!$F2018,CHAR(34),"'")&amp;CHAR(34)&amp;", "&amp;CHAR(34)&amp;"value"&amp;CHAR(34)&amp;": "&amp;SUBSTITUTE(TRIM(ROUND(IFERROR(CriteriTecnici!$N2018*1,IFERROR(NUMBERVALUE(CriteriTecnici!$N2018,".",","),IFERROR(NUMBERVALUE(CriteriTecnici!$N2018,",","."),0))),4)&amp;""),",",".")&amp;", "&amp;CHAR(34)&amp;"numerator"&amp;CHAR(34)&amp;": "&amp;SUBSTITUTE(TRIM(ROUND(IFERROR(CriteriTecnici!$K2018*1,IFERROR(NUMBERVALUE(CriteriTecnici!$K2018,".",","),IFERROR(NUMBERVALUE(CriteriTecnici!$K2018,",","."),0))),4)&amp;""),",",".")&amp;", "&amp;CHAR(34)&amp;"denominator"&amp;CHAR(34)&amp;": "&amp;SUBSTITUTE(TRIM(ROUND(IFERROR(CriteriTecnici!$L2018*1,IFERROR(NUMBERVALUE(CriteriTecnici!$L2018,".",","),IFERROR(NUMBERVALUE(CriteriTecnici!$L2018,",","."),0))),4)&amp;""),",",".")&amp;", "&amp;CHAR(34)&amp;"flag"&amp;CHAR(34)&amp;": "&amp;SUBSTITUTE(TRIM(ROUND(IFERROR(CriteriTecnici!$M2018*1,IFERROR(NUMBERVALUE(CriteriTecnici!$M2018,".",","),IFERROR(NUMBERVALUE(CriteriTecnici!$M2018,",","."),0))),4)&amp;""),",",".")&amp;", "&amp;CHAR(34)&amp;"rawScore"&amp;CHAR(34)&amp;": "&amp;SUBSTITUTE(TRIM(ROUND(IFERROR(CriteriTecnici!$O2018*1,IFERROR(NUMBERVALUE(CriteriTecnici!$O2018,".",","),IFERROR(NUMBERVALUE(CriteriTecnici!$O2018,",","."),0))),4)&amp;""),",",".")&amp;CHAR(125)&amp;IF(TRUE,",",""))</f>
        <v/>
      </c>
    </row>
    <row r="2120">
      <c r="A2120" s="82">
        <f>IF(CriteriTecnici!$A2019="","","    "&amp;CHAR(123)&amp;CHAR(34)&amp;"bidderId"&amp;CHAR(34)&amp;": "&amp;CHAR(34)&amp;SUBSTITUTE(CriteriTecnici!$A2019,CHAR(34),"'")&amp;CHAR(34)&amp;", "&amp;CHAR(34)&amp;"lotId"&amp;CHAR(34)&amp;": "&amp;CHAR(34)&amp;SUBSTITUTE(CriteriTecnici!$C2019,CHAR(34),"'")&amp;CHAR(34)&amp;", "&amp;CHAR(34)&amp;"criterionId"&amp;CHAR(34)&amp;": "&amp;CHAR(34)&amp;SUBSTITUTE(CriteriTecnici!$D2019,CHAR(34),"'")&amp;CHAR(34)&amp;", "&amp;CHAR(34)&amp;"kind"&amp;CHAR(34)&amp;": "&amp;CHAR(34)&amp;SUBSTITUTE(CriteriTecnici!$F2019,CHAR(34),"'")&amp;CHAR(34)&amp;", "&amp;CHAR(34)&amp;"value"&amp;CHAR(34)&amp;": "&amp;SUBSTITUTE(TRIM(ROUND(IFERROR(CriteriTecnici!$N2019*1,IFERROR(NUMBERVALUE(CriteriTecnici!$N2019,".",","),IFERROR(NUMBERVALUE(CriteriTecnici!$N2019,",","."),0))),4)&amp;""),",",".")&amp;", "&amp;CHAR(34)&amp;"numerator"&amp;CHAR(34)&amp;": "&amp;SUBSTITUTE(TRIM(ROUND(IFERROR(CriteriTecnici!$K2019*1,IFERROR(NUMBERVALUE(CriteriTecnici!$K2019,".",","),IFERROR(NUMBERVALUE(CriteriTecnici!$K2019,",","."),0))),4)&amp;""),",",".")&amp;", "&amp;CHAR(34)&amp;"denominator"&amp;CHAR(34)&amp;": "&amp;SUBSTITUTE(TRIM(ROUND(IFERROR(CriteriTecnici!$L2019*1,IFERROR(NUMBERVALUE(CriteriTecnici!$L2019,".",","),IFERROR(NUMBERVALUE(CriteriTecnici!$L2019,",","."),0))),4)&amp;""),",",".")&amp;", "&amp;CHAR(34)&amp;"flag"&amp;CHAR(34)&amp;": "&amp;SUBSTITUTE(TRIM(ROUND(IFERROR(CriteriTecnici!$M2019*1,IFERROR(NUMBERVALUE(CriteriTecnici!$M2019,".",","),IFERROR(NUMBERVALUE(CriteriTecnici!$M2019,",","."),0))),4)&amp;""),",",".")&amp;", "&amp;CHAR(34)&amp;"rawScore"&amp;CHAR(34)&amp;": "&amp;SUBSTITUTE(TRIM(ROUND(IFERROR(CriteriTecnici!$O2019*1,IFERROR(NUMBERVALUE(CriteriTecnici!$O2019,".",","),IFERROR(NUMBERVALUE(CriteriTecnici!$O2019,",","."),0))),4)&amp;""),",",".")&amp;CHAR(125)&amp;IF(COUNTA(Offerte!$A67:$A$81)&gt;0,",",""))</f>
        <v/>
      </c>
    </row>
    <row r="2121">
      <c r="A2121" s="82">
        <f>IF(CriteriTecnici!$A2020="","","    "&amp;CHAR(123)&amp;CHAR(34)&amp;"bidderId"&amp;CHAR(34)&amp;": "&amp;CHAR(34)&amp;SUBSTITUTE(CriteriTecnici!$A2020,CHAR(34),"'")&amp;CHAR(34)&amp;", "&amp;CHAR(34)&amp;"lotId"&amp;CHAR(34)&amp;": "&amp;CHAR(34)&amp;SUBSTITUTE(CriteriTecnici!$C2020,CHAR(34),"'")&amp;CHAR(34)&amp;", "&amp;CHAR(34)&amp;"criterionId"&amp;CHAR(34)&amp;": "&amp;CHAR(34)&amp;SUBSTITUTE(CriteriTecnici!$D2020,CHAR(34),"'")&amp;CHAR(34)&amp;", "&amp;CHAR(34)&amp;"kind"&amp;CHAR(34)&amp;": "&amp;CHAR(34)&amp;SUBSTITUTE(CriteriTecnici!$F2020,CHAR(34),"'")&amp;CHAR(34)&amp;", "&amp;CHAR(34)&amp;"value"&amp;CHAR(34)&amp;": "&amp;SUBSTITUTE(TRIM(ROUND(IFERROR(CriteriTecnici!$N2020*1,IFERROR(NUMBERVALUE(CriteriTecnici!$N2020,".",","),IFERROR(NUMBERVALUE(CriteriTecnici!$N2020,",","."),0))),4)&amp;""),",",".")&amp;", "&amp;CHAR(34)&amp;"numerator"&amp;CHAR(34)&amp;": "&amp;SUBSTITUTE(TRIM(ROUND(IFERROR(CriteriTecnici!$K2020*1,IFERROR(NUMBERVALUE(CriteriTecnici!$K2020,".",","),IFERROR(NUMBERVALUE(CriteriTecnici!$K2020,",","."),0))),4)&amp;""),",",".")&amp;", "&amp;CHAR(34)&amp;"denominator"&amp;CHAR(34)&amp;": "&amp;SUBSTITUTE(TRIM(ROUND(IFERROR(CriteriTecnici!$L2020*1,IFERROR(NUMBERVALUE(CriteriTecnici!$L2020,".",","),IFERROR(NUMBERVALUE(CriteriTecnici!$L2020,",","."),0))),4)&amp;""),",",".")&amp;", "&amp;CHAR(34)&amp;"flag"&amp;CHAR(34)&amp;": "&amp;SUBSTITUTE(TRIM(ROUND(IFERROR(CriteriTecnici!$M2020*1,IFERROR(NUMBERVALUE(CriteriTecnici!$M2020,".",","),IFERROR(NUMBERVALUE(CriteriTecnici!$M2020,",","."),0))),4)&amp;""),",",".")&amp;", "&amp;CHAR(34)&amp;"rawScore"&amp;CHAR(34)&amp;": "&amp;SUBSTITUTE(TRIM(ROUND(IFERROR(CriteriTecnici!$O2020*1,IFERROR(NUMBERVALUE(CriteriTecnici!$O2020,".",","),IFERROR(NUMBERVALUE(CriteriTecnici!$O2020,",","."),0))),4)&amp;""),",",".")&amp;CHAR(125)&amp;IF(TRUE,",",""))</f>
        <v/>
      </c>
    </row>
    <row r="2122">
      <c r="A2122" s="82">
        <f>IF(CriteriTecnici!$A2021="","","    "&amp;CHAR(123)&amp;CHAR(34)&amp;"bidderId"&amp;CHAR(34)&amp;": "&amp;CHAR(34)&amp;SUBSTITUTE(CriteriTecnici!$A2021,CHAR(34),"'")&amp;CHAR(34)&amp;", "&amp;CHAR(34)&amp;"lotId"&amp;CHAR(34)&amp;": "&amp;CHAR(34)&amp;SUBSTITUTE(CriteriTecnici!$C2021,CHAR(34),"'")&amp;CHAR(34)&amp;", "&amp;CHAR(34)&amp;"criterionId"&amp;CHAR(34)&amp;": "&amp;CHAR(34)&amp;SUBSTITUTE(CriteriTecnici!$D2021,CHAR(34),"'")&amp;CHAR(34)&amp;", "&amp;CHAR(34)&amp;"kind"&amp;CHAR(34)&amp;": "&amp;CHAR(34)&amp;SUBSTITUTE(CriteriTecnici!$F2021,CHAR(34),"'")&amp;CHAR(34)&amp;", "&amp;CHAR(34)&amp;"value"&amp;CHAR(34)&amp;": "&amp;SUBSTITUTE(TRIM(ROUND(IFERROR(CriteriTecnici!$N2021*1,IFERROR(NUMBERVALUE(CriteriTecnici!$N2021,".",","),IFERROR(NUMBERVALUE(CriteriTecnici!$N2021,",","."),0))),4)&amp;""),",",".")&amp;", "&amp;CHAR(34)&amp;"numerator"&amp;CHAR(34)&amp;": "&amp;SUBSTITUTE(TRIM(ROUND(IFERROR(CriteriTecnici!$K2021*1,IFERROR(NUMBERVALUE(CriteriTecnici!$K2021,".",","),IFERROR(NUMBERVALUE(CriteriTecnici!$K2021,",","."),0))),4)&amp;""),",",".")&amp;", "&amp;CHAR(34)&amp;"denominator"&amp;CHAR(34)&amp;": "&amp;SUBSTITUTE(TRIM(ROUND(IFERROR(CriteriTecnici!$L2021*1,IFERROR(NUMBERVALUE(CriteriTecnici!$L2021,".",","),IFERROR(NUMBERVALUE(CriteriTecnici!$L2021,",","."),0))),4)&amp;""),",",".")&amp;", "&amp;CHAR(34)&amp;"flag"&amp;CHAR(34)&amp;": "&amp;SUBSTITUTE(TRIM(ROUND(IFERROR(CriteriTecnici!$M2021*1,IFERROR(NUMBERVALUE(CriteriTecnici!$M2021,".",","),IFERROR(NUMBERVALUE(CriteriTecnici!$M2021,",","."),0))),4)&amp;""),",",".")&amp;", "&amp;CHAR(34)&amp;"rawScore"&amp;CHAR(34)&amp;": "&amp;SUBSTITUTE(TRIM(ROUND(IFERROR(CriteriTecnici!$O2021*1,IFERROR(NUMBERVALUE(CriteriTecnici!$O2021,".",","),IFERROR(NUMBERVALUE(CriteriTecnici!$O2021,",","."),0))),4)&amp;""),",",".")&amp;CHAR(125)&amp;IF(TRUE,",",""))</f>
        <v/>
      </c>
    </row>
    <row r="2123">
      <c r="A2123" s="82">
        <f>IF(CriteriTecnici!$A2022="","","    "&amp;CHAR(123)&amp;CHAR(34)&amp;"bidderId"&amp;CHAR(34)&amp;": "&amp;CHAR(34)&amp;SUBSTITUTE(CriteriTecnici!$A2022,CHAR(34),"'")&amp;CHAR(34)&amp;", "&amp;CHAR(34)&amp;"lotId"&amp;CHAR(34)&amp;": "&amp;CHAR(34)&amp;SUBSTITUTE(CriteriTecnici!$C2022,CHAR(34),"'")&amp;CHAR(34)&amp;", "&amp;CHAR(34)&amp;"criterionId"&amp;CHAR(34)&amp;": "&amp;CHAR(34)&amp;SUBSTITUTE(CriteriTecnici!$D2022,CHAR(34),"'")&amp;CHAR(34)&amp;", "&amp;CHAR(34)&amp;"kind"&amp;CHAR(34)&amp;": "&amp;CHAR(34)&amp;SUBSTITUTE(CriteriTecnici!$F2022,CHAR(34),"'")&amp;CHAR(34)&amp;", "&amp;CHAR(34)&amp;"value"&amp;CHAR(34)&amp;": "&amp;SUBSTITUTE(TRIM(ROUND(IFERROR(CriteriTecnici!$N2022*1,IFERROR(NUMBERVALUE(CriteriTecnici!$N2022,".",","),IFERROR(NUMBERVALUE(CriteriTecnici!$N2022,",","."),0))),4)&amp;""),",",".")&amp;", "&amp;CHAR(34)&amp;"numerator"&amp;CHAR(34)&amp;": "&amp;SUBSTITUTE(TRIM(ROUND(IFERROR(CriteriTecnici!$K2022*1,IFERROR(NUMBERVALUE(CriteriTecnici!$K2022,".",","),IFERROR(NUMBERVALUE(CriteriTecnici!$K2022,",","."),0))),4)&amp;""),",",".")&amp;", "&amp;CHAR(34)&amp;"denominator"&amp;CHAR(34)&amp;": "&amp;SUBSTITUTE(TRIM(ROUND(IFERROR(CriteriTecnici!$L2022*1,IFERROR(NUMBERVALUE(CriteriTecnici!$L2022,".",","),IFERROR(NUMBERVALUE(CriteriTecnici!$L2022,",","."),0))),4)&amp;""),",",".")&amp;", "&amp;CHAR(34)&amp;"flag"&amp;CHAR(34)&amp;": "&amp;SUBSTITUTE(TRIM(ROUND(IFERROR(CriteriTecnici!$M2022*1,IFERROR(NUMBERVALUE(CriteriTecnici!$M2022,".",","),IFERROR(NUMBERVALUE(CriteriTecnici!$M2022,",","."),0))),4)&amp;""),",",".")&amp;", "&amp;CHAR(34)&amp;"rawScore"&amp;CHAR(34)&amp;": "&amp;SUBSTITUTE(TRIM(ROUND(IFERROR(CriteriTecnici!$O2022*1,IFERROR(NUMBERVALUE(CriteriTecnici!$O2022,".",","),IFERROR(NUMBERVALUE(CriteriTecnici!$O2022,",","."),0))),4)&amp;""),",",".")&amp;CHAR(125)&amp;IF(TRUE,",",""))</f>
        <v/>
      </c>
    </row>
    <row r="2124">
      <c r="A2124" s="82">
        <f>IF(CriteriTecnici!$A2023="","","    "&amp;CHAR(123)&amp;CHAR(34)&amp;"bidderId"&amp;CHAR(34)&amp;": "&amp;CHAR(34)&amp;SUBSTITUTE(CriteriTecnici!$A2023,CHAR(34),"'")&amp;CHAR(34)&amp;", "&amp;CHAR(34)&amp;"lotId"&amp;CHAR(34)&amp;": "&amp;CHAR(34)&amp;SUBSTITUTE(CriteriTecnici!$C2023,CHAR(34),"'")&amp;CHAR(34)&amp;", "&amp;CHAR(34)&amp;"criterionId"&amp;CHAR(34)&amp;": "&amp;CHAR(34)&amp;SUBSTITUTE(CriteriTecnici!$D2023,CHAR(34),"'")&amp;CHAR(34)&amp;", "&amp;CHAR(34)&amp;"kind"&amp;CHAR(34)&amp;": "&amp;CHAR(34)&amp;SUBSTITUTE(CriteriTecnici!$F2023,CHAR(34),"'")&amp;CHAR(34)&amp;", "&amp;CHAR(34)&amp;"value"&amp;CHAR(34)&amp;": "&amp;SUBSTITUTE(TRIM(ROUND(IFERROR(CriteriTecnici!$N2023*1,IFERROR(NUMBERVALUE(CriteriTecnici!$N2023,".",","),IFERROR(NUMBERVALUE(CriteriTecnici!$N2023,",","."),0))),4)&amp;""),",",".")&amp;", "&amp;CHAR(34)&amp;"numerator"&amp;CHAR(34)&amp;": "&amp;SUBSTITUTE(TRIM(ROUND(IFERROR(CriteriTecnici!$K2023*1,IFERROR(NUMBERVALUE(CriteriTecnici!$K2023,".",","),IFERROR(NUMBERVALUE(CriteriTecnici!$K2023,",","."),0))),4)&amp;""),",",".")&amp;", "&amp;CHAR(34)&amp;"denominator"&amp;CHAR(34)&amp;": "&amp;SUBSTITUTE(TRIM(ROUND(IFERROR(CriteriTecnici!$L2023*1,IFERROR(NUMBERVALUE(CriteriTecnici!$L2023,".",","),IFERROR(NUMBERVALUE(CriteriTecnici!$L2023,",","."),0))),4)&amp;""),",",".")&amp;", "&amp;CHAR(34)&amp;"flag"&amp;CHAR(34)&amp;": "&amp;SUBSTITUTE(TRIM(ROUND(IFERROR(CriteriTecnici!$M2023*1,IFERROR(NUMBERVALUE(CriteriTecnici!$M2023,".",","),IFERROR(NUMBERVALUE(CriteriTecnici!$M2023,",","."),0))),4)&amp;""),",",".")&amp;", "&amp;CHAR(34)&amp;"rawScore"&amp;CHAR(34)&amp;": "&amp;SUBSTITUTE(TRIM(ROUND(IFERROR(CriteriTecnici!$O2023*1,IFERROR(NUMBERVALUE(CriteriTecnici!$O2023,".",","),IFERROR(NUMBERVALUE(CriteriTecnici!$O2023,",","."),0))),4)&amp;""),",",".")&amp;CHAR(125)&amp;IF(TRUE,",",""))</f>
        <v/>
      </c>
    </row>
    <row r="2125">
      <c r="A2125" s="82">
        <f>IF(CriteriTecnici!$A2024="","","    "&amp;CHAR(123)&amp;CHAR(34)&amp;"bidderId"&amp;CHAR(34)&amp;": "&amp;CHAR(34)&amp;SUBSTITUTE(CriteriTecnici!$A2024,CHAR(34),"'")&amp;CHAR(34)&amp;", "&amp;CHAR(34)&amp;"lotId"&amp;CHAR(34)&amp;": "&amp;CHAR(34)&amp;SUBSTITUTE(CriteriTecnici!$C2024,CHAR(34),"'")&amp;CHAR(34)&amp;", "&amp;CHAR(34)&amp;"criterionId"&amp;CHAR(34)&amp;": "&amp;CHAR(34)&amp;SUBSTITUTE(CriteriTecnici!$D2024,CHAR(34),"'")&amp;CHAR(34)&amp;", "&amp;CHAR(34)&amp;"kind"&amp;CHAR(34)&amp;": "&amp;CHAR(34)&amp;SUBSTITUTE(CriteriTecnici!$F2024,CHAR(34),"'")&amp;CHAR(34)&amp;", "&amp;CHAR(34)&amp;"value"&amp;CHAR(34)&amp;": "&amp;SUBSTITUTE(TRIM(ROUND(IFERROR(CriteriTecnici!$N2024*1,IFERROR(NUMBERVALUE(CriteriTecnici!$N2024,".",","),IFERROR(NUMBERVALUE(CriteriTecnici!$N2024,",","."),0))),4)&amp;""),",",".")&amp;", "&amp;CHAR(34)&amp;"numerator"&amp;CHAR(34)&amp;": "&amp;SUBSTITUTE(TRIM(ROUND(IFERROR(CriteriTecnici!$K2024*1,IFERROR(NUMBERVALUE(CriteriTecnici!$K2024,".",","),IFERROR(NUMBERVALUE(CriteriTecnici!$K2024,",","."),0))),4)&amp;""),",",".")&amp;", "&amp;CHAR(34)&amp;"denominator"&amp;CHAR(34)&amp;": "&amp;SUBSTITUTE(TRIM(ROUND(IFERROR(CriteriTecnici!$L2024*1,IFERROR(NUMBERVALUE(CriteriTecnici!$L2024,".",","),IFERROR(NUMBERVALUE(CriteriTecnici!$L2024,",","."),0))),4)&amp;""),",",".")&amp;", "&amp;CHAR(34)&amp;"flag"&amp;CHAR(34)&amp;": "&amp;SUBSTITUTE(TRIM(ROUND(IFERROR(CriteriTecnici!$M2024*1,IFERROR(NUMBERVALUE(CriteriTecnici!$M2024,".",","),IFERROR(NUMBERVALUE(CriteriTecnici!$M2024,",","."),0))),4)&amp;""),",",".")&amp;", "&amp;CHAR(34)&amp;"rawScore"&amp;CHAR(34)&amp;": "&amp;SUBSTITUTE(TRIM(ROUND(IFERROR(CriteriTecnici!$O2024*1,IFERROR(NUMBERVALUE(CriteriTecnici!$O2024,".",","),IFERROR(NUMBERVALUE(CriteriTecnici!$O2024,",","."),0))),4)&amp;""),",",".")&amp;CHAR(125)&amp;IF(TRUE,",",""))</f>
        <v/>
      </c>
    </row>
    <row r="2126">
      <c r="A2126" s="82">
        <f>IF(CriteriTecnici!$A2025="","","    "&amp;CHAR(123)&amp;CHAR(34)&amp;"bidderId"&amp;CHAR(34)&amp;": "&amp;CHAR(34)&amp;SUBSTITUTE(CriteriTecnici!$A2025,CHAR(34),"'")&amp;CHAR(34)&amp;", "&amp;CHAR(34)&amp;"lotId"&amp;CHAR(34)&amp;": "&amp;CHAR(34)&amp;SUBSTITUTE(CriteriTecnici!$C2025,CHAR(34),"'")&amp;CHAR(34)&amp;", "&amp;CHAR(34)&amp;"criterionId"&amp;CHAR(34)&amp;": "&amp;CHAR(34)&amp;SUBSTITUTE(CriteriTecnici!$D2025,CHAR(34),"'")&amp;CHAR(34)&amp;", "&amp;CHAR(34)&amp;"kind"&amp;CHAR(34)&amp;": "&amp;CHAR(34)&amp;SUBSTITUTE(CriteriTecnici!$F2025,CHAR(34),"'")&amp;CHAR(34)&amp;", "&amp;CHAR(34)&amp;"value"&amp;CHAR(34)&amp;": "&amp;SUBSTITUTE(TRIM(ROUND(IFERROR(CriteriTecnici!$N2025*1,IFERROR(NUMBERVALUE(CriteriTecnici!$N2025,".",","),IFERROR(NUMBERVALUE(CriteriTecnici!$N2025,",","."),0))),4)&amp;""),",",".")&amp;", "&amp;CHAR(34)&amp;"numerator"&amp;CHAR(34)&amp;": "&amp;SUBSTITUTE(TRIM(ROUND(IFERROR(CriteriTecnici!$K2025*1,IFERROR(NUMBERVALUE(CriteriTecnici!$K2025,".",","),IFERROR(NUMBERVALUE(CriteriTecnici!$K2025,",","."),0))),4)&amp;""),",",".")&amp;", "&amp;CHAR(34)&amp;"denominator"&amp;CHAR(34)&amp;": "&amp;SUBSTITUTE(TRIM(ROUND(IFERROR(CriteriTecnici!$L2025*1,IFERROR(NUMBERVALUE(CriteriTecnici!$L2025,".",","),IFERROR(NUMBERVALUE(CriteriTecnici!$L2025,",","."),0))),4)&amp;""),",",".")&amp;", "&amp;CHAR(34)&amp;"flag"&amp;CHAR(34)&amp;": "&amp;SUBSTITUTE(TRIM(ROUND(IFERROR(CriteriTecnici!$M2025*1,IFERROR(NUMBERVALUE(CriteriTecnici!$M2025,".",","),IFERROR(NUMBERVALUE(CriteriTecnici!$M2025,",","."),0))),4)&amp;""),",",".")&amp;", "&amp;CHAR(34)&amp;"rawScore"&amp;CHAR(34)&amp;": "&amp;SUBSTITUTE(TRIM(ROUND(IFERROR(CriteriTecnici!$O2025*1,IFERROR(NUMBERVALUE(CriteriTecnici!$O2025,".",","),IFERROR(NUMBERVALUE(CriteriTecnici!$O2025,",","."),0))),4)&amp;""),",",".")&amp;CHAR(125)&amp;IF(TRUE,",",""))</f>
        <v/>
      </c>
    </row>
    <row r="2127">
      <c r="A2127" s="82">
        <f>IF(CriteriTecnici!$A2026="","","    "&amp;CHAR(123)&amp;CHAR(34)&amp;"bidderId"&amp;CHAR(34)&amp;": "&amp;CHAR(34)&amp;SUBSTITUTE(CriteriTecnici!$A2026,CHAR(34),"'")&amp;CHAR(34)&amp;", "&amp;CHAR(34)&amp;"lotId"&amp;CHAR(34)&amp;": "&amp;CHAR(34)&amp;SUBSTITUTE(CriteriTecnici!$C2026,CHAR(34),"'")&amp;CHAR(34)&amp;", "&amp;CHAR(34)&amp;"criterionId"&amp;CHAR(34)&amp;": "&amp;CHAR(34)&amp;SUBSTITUTE(CriteriTecnici!$D2026,CHAR(34),"'")&amp;CHAR(34)&amp;", "&amp;CHAR(34)&amp;"kind"&amp;CHAR(34)&amp;": "&amp;CHAR(34)&amp;SUBSTITUTE(CriteriTecnici!$F2026,CHAR(34),"'")&amp;CHAR(34)&amp;", "&amp;CHAR(34)&amp;"value"&amp;CHAR(34)&amp;": "&amp;SUBSTITUTE(TRIM(ROUND(IFERROR(CriteriTecnici!$N2026*1,IFERROR(NUMBERVALUE(CriteriTecnici!$N2026,".",","),IFERROR(NUMBERVALUE(CriteriTecnici!$N2026,",","."),0))),4)&amp;""),",",".")&amp;", "&amp;CHAR(34)&amp;"numerator"&amp;CHAR(34)&amp;": "&amp;SUBSTITUTE(TRIM(ROUND(IFERROR(CriteriTecnici!$K2026*1,IFERROR(NUMBERVALUE(CriteriTecnici!$K2026,".",","),IFERROR(NUMBERVALUE(CriteriTecnici!$K2026,",","."),0))),4)&amp;""),",",".")&amp;", "&amp;CHAR(34)&amp;"denominator"&amp;CHAR(34)&amp;": "&amp;SUBSTITUTE(TRIM(ROUND(IFERROR(CriteriTecnici!$L2026*1,IFERROR(NUMBERVALUE(CriteriTecnici!$L2026,".",","),IFERROR(NUMBERVALUE(CriteriTecnici!$L2026,",","."),0))),4)&amp;""),",",".")&amp;", "&amp;CHAR(34)&amp;"flag"&amp;CHAR(34)&amp;": "&amp;SUBSTITUTE(TRIM(ROUND(IFERROR(CriteriTecnici!$M2026*1,IFERROR(NUMBERVALUE(CriteriTecnici!$M2026,".",","),IFERROR(NUMBERVALUE(CriteriTecnici!$M2026,",","."),0))),4)&amp;""),",",".")&amp;", "&amp;CHAR(34)&amp;"rawScore"&amp;CHAR(34)&amp;": "&amp;SUBSTITUTE(TRIM(ROUND(IFERROR(CriteriTecnici!$O2026*1,IFERROR(NUMBERVALUE(CriteriTecnici!$O2026,".",","),IFERROR(NUMBERVALUE(CriteriTecnici!$O2026,",","."),0))),4)&amp;""),",",".")&amp;CHAR(125)&amp;IF(TRUE,",",""))</f>
        <v/>
      </c>
    </row>
    <row r="2128">
      <c r="A2128" s="82">
        <f>IF(CriteriTecnici!$A2027="","","    "&amp;CHAR(123)&amp;CHAR(34)&amp;"bidderId"&amp;CHAR(34)&amp;": "&amp;CHAR(34)&amp;SUBSTITUTE(CriteriTecnici!$A2027,CHAR(34),"'")&amp;CHAR(34)&amp;", "&amp;CHAR(34)&amp;"lotId"&amp;CHAR(34)&amp;": "&amp;CHAR(34)&amp;SUBSTITUTE(CriteriTecnici!$C2027,CHAR(34),"'")&amp;CHAR(34)&amp;", "&amp;CHAR(34)&amp;"criterionId"&amp;CHAR(34)&amp;": "&amp;CHAR(34)&amp;SUBSTITUTE(CriteriTecnici!$D2027,CHAR(34),"'")&amp;CHAR(34)&amp;", "&amp;CHAR(34)&amp;"kind"&amp;CHAR(34)&amp;": "&amp;CHAR(34)&amp;SUBSTITUTE(CriteriTecnici!$F2027,CHAR(34),"'")&amp;CHAR(34)&amp;", "&amp;CHAR(34)&amp;"value"&amp;CHAR(34)&amp;": "&amp;SUBSTITUTE(TRIM(ROUND(IFERROR(CriteriTecnici!$N2027*1,IFERROR(NUMBERVALUE(CriteriTecnici!$N2027,".",","),IFERROR(NUMBERVALUE(CriteriTecnici!$N2027,",","."),0))),4)&amp;""),",",".")&amp;", "&amp;CHAR(34)&amp;"numerator"&amp;CHAR(34)&amp;": "&amp;SUBSTITUTE(TRIM(ROUND(IFERROR(CriteriTecnici!$K2027*1,IFERROR(NUMBERVALUE(CriteriTecnici!$K2027,".",","),IFERROR(NUMBERVALUE(CriteriTecnici!$K2027,",","."),0))),4)&amp;""),",",".")&amp;", "&amp;CHAR(34)&amp;"denominator"&amp;CHAR(34)&amp;": "&amp;SUBSTITUTE(TRIM(ROUND(IFERROR(CriteriTecnici!$L2027*1,IFERROR(NUMBERVALUE(CriteriTecnici!$L2027,".",","),IFERROR(NUMBERVALUE(CriteriTecnici!$L2027,",","."),0))),4)&amp;""),",",".")&amp;", "&amp;CHAR(34)&amp;"flag"&amp;CHAR(34)&amp;": "&amp;SUBSTITUTE(TRIM(ROUND(IFERROR(CriteriTecnici!$M2027*1,IFERROR(NUMBERVALUE(CriteriTecnici!$M2027,".",","),IFERROR(NUMBERVALUE(CriteriTecnici!$M2027,",","."),0))),4)&amp;""),",",".")&amp;", "&amp;CHAR(34)&amp;"rawScore"&amp;CHAR(34)&amp;": "&amp;SUBSTITUTE(TRIM(ROUND(IFERROR(CriteriTecnici!$O2027*1,IFERROR(NUMBERVALUE(CriteriTecnici!$O2027,".",","),IFERROR(NUMBERVALUE(CriteriTecnici!$O2027,",","."),0))),4)&amp;""),",",".")&amp;CHAR(125)&amp;IF(TRUE,",",""))</f>
        <v/>
      </c>
    </row>
    <row r="2129">
      <c r="A2129" s="82">
        <f>IF(CriteriTecnici!$A2028="","","    "&amp;CHAR(123)&amp;CHAR(34)&amp;"bidderId"&amp;CHAR(34)&amp;": "&amp;CHAR(34)&amp;SUBSTITUTE(CriteriTecnici!$A2028,CHAR(34),"'")&amp;CHAR(34)&amp;", "&amp;CHAR(34)&amp;"lotId"&amp;CHAR(34)&amp;": "&amp;CHAR(34)&amp;SUBSTITUTE(CriteriTecnici!$C2028,CHAR(34),"'")&amp;CHAR(34)&amp;", "&amp;CHAR(34)&amp;"criterionId"&amp;CHAR(34)&amp;": "&amp;CHAR(34)&amp;SUBSTITUTE(CriteriTecnici!$D2028,CHAR(34),"'")&amp;CHAR(34)&amp;", "&amp;CHAR(34)&amp;"kind"&amp;CHAR(34)&amp;": "&amp;CHAR(34)&amp;SUBSTITUTE(CriteriTecnici!$F2028,CHAR(34),"'")&amp;CHAR(34)&amp;", "&amp;CHAR(34)&amp;"value"&amp;CHAR(34)&amp;": "&amp;SUBSTITUTE(TRIM(ROUND(IFERROR(CriteriTecnici!$N2028*1,IFERROR(NUMBERVALUE(CriteriTecnici!$N2028,".",","),IFERROR(NUMBERVALUE(CriteriTecnici!$N2028,",","."),0))),4)&amp;""),",",".")&amp;", "&amp;CHAR(34)&amp;"numerator"&amp;CHAR(34)&amp;": "&amp;SUBSTITUTE(TRIM(ROUND(IFERROR(CriteriTecnici!$K2028*1,IFERROR(NUMBERVALUE(CriteriTecnici!$K2028,".",","),IFERROR(NUMBERVALUE(CriteriTecnici!$K2028,",","."),0))),4)&amp;""),",",".")&amp;", "&amp;CHAR(34)&amp;"denominator"&amp;CHAR(34)&amp;": "&amp;SUBSTITUTE(TRIM(ROUND(IFERROR(CriteriTecnici!$L2028*1,IFERROR(NUMBERVALUE(CriteriTecnici!$L2028,".",","),IFERROR(NUMBERVALUE(CriteriTecnici!$L2028,",","."),0))),4)&amp;""),",",".")&amp;", "&amp;CHAR(34)&amp;"flag"&amp;CHAR(34)&amp;": "&amp;SUBSTITUTE(TRIM(ROUND(IFERROR(CriteriTecnici!$M2028*1,IFERROR(NUMBERVALUE(CriteriTecnici!$M2028,".",","),IFERROR(NUMBERVALUE(CriteriTecnici!$M2028,",","."),0))),4)&amp;""),",",".")&amp;", "&amp;CHAR(34)&amp;"rawScore"&amp;CHAR(34)&amp;": "&amp;SUBSTITUTE(TRIM(ROUND(IFERROR(CriteriTecnici!$O2028*1,IFERROR(NUMBERVALUE(CriteriTecnici!$O2028,".",","),IFERROR(NUMBERVALUE(CriteriTecnici!$O2028,",","."),0))),4)&amp;""),",",".")&amp;CHAR(125)&amp;IF(TRUE,",",""))</f>
        <v/>
      </c>
    </row>
    <row r="2130">
      <c r="A2130" s="82">
        <f>IF(CriteriTecnici!$A2029="","","    "&amp;CHAR(123)&amp;CHAR(34)&amp;"bidderId"&amp;CHAR(34)&amp;": "&amp;CHAR(34)&amp;SUBSTITUTE(CriteriTecnici!$A2029,CHAR(34),"'")&amp;CHAR(34)&amp;", "&amp;CHAR(34)&amp;"lotId"&amp;CHAR(34)&amp;": "&amp;CHAR(34)&amp;SUBSTITUTE(CriteriTecnici!$C2029,CHAR(34),"'")&amp;CHAR(34)&amp;", "&amp;CHAR(34)&amp;"criterionId"&amp;CHAR(34)&amp;": "&amp;CHAR(34)&amp;SUBSTITUTE(CriteriTecnici!$D2029,CHAR(34),"'")&amp;CHAR(34)&amp;", "&amp;CHAR(34)&amp;"kind"&amp;CHAR(34)&amp;": "&amp;CHAR(34)&amp;SUBSTITUTE(CriteriTecnici!$F2029,CHAR(34),"'")&amp;CHAR(34)&amp;", "&amp;CHAR(34)&amp;"value"&amp;CHAR(34)&amp;": "&amp;SUBSTITUTE(TRIM(ROUND(IFERROR(CriteriTecnici!$N2029*1,IFERROR(NUMBERVALUE(CriteriTecnici!$N2029,".",","),IFERROR(NUMBERVALUE(CriteriTecnici!$N2029,",","."),0))),4)&amp;""),",",".")&amp;", "&amp;CHAR(34)&amp;"numerator"&amp;CHAR(34)&amp;": "&amp;SUBSTITUTE(TRIM(ROUND(IFERROR(CriteriTecnici!$K2029*1,IFERROR(NUMBERVALUE(CriteriTecnici!$K2029,".",","),IFERROR(NUMBERVALUE(CriteriTecnici!$K2029,",","."),0))),4)&amp;""),",",".")&amp;", "&amp;CHAR(34)&amp;"denominator"&amp;CHAR(34)&amp;": "&amp;SUBSTITUTE(TRIM(ROUND(IFERROR(CriteriTecnici!$L2029*1,IFERROR(NUMBERVALUE(CriteriTecnici!$L2029,".",","),IFERROR(NUMBERVALUE(CriteriTecnici!$L2029,",","."),0))),4)&amp;""),",",".")&amp;", "&amp;CHAR(34)&amp;"flag"&amp;CHAR(34)&amp;": "&amp;SUBSTITUTE(TRIM(ROUND(IFERROR(CriteriTecnici!$M2029*1,IFERROR(NUMBERVALUE(CriteriTecnici!$M2029,".",","),IFERROR(NUMBERVALUE(CriteriTecnici!$M2029,",","."),0))),4)&amp;""),",",".")&amp;", "&amp;CHAR(34)&amp;"rawScore"&amp;CHAR(34)&amp;": "&amp;SUBSTITUTE(TRIM(ROUND(IFERROR(CriteriTecnici!$O2029*1,IFERROR(NUMBERVALUE(CriteriTecnici!$O2029,".",","),IFERROR(NUMBERVALUE(CriteriTecnici!$O2029,",","."),0))),4)&amp;""),",",".")&amp;CHAR(125)&amp;IF(TRUE,",",""))</f>
        <v/>
      </c>
    </row>
    <row r="2131">
      <c r="A2131" s="82">
        <f>IF(CriteriTecnici!$A2030="","","    "&amp;CHAR(123)&amp;CHAR(34)&amp;"bidderId"&amp;CHAR(34)&amp;": "&amp;CHAR(34)&amp;SUBSTITUTE(CriteriTecnici!$A2030,CHAR(34),"'")&amp;CHAR(34)&amp;", "&amp;CHAR(34)&amp;"lotId"&amp;CHAR(34)&amp;": "&amp;CHAR(34)&amp;SUBSTITUTE(CriteriTecnici!$C2030,CHAR(34),"'")&amp;CHAR(34)&amp;", "&amp;CHAR(34)&amp;"criterionId"&amp;CHAR(34)&amp;": "&amp;CHAR(34)&amp;SUBSTITUTE(CriteriTecnici!$D2030,CHAR(34),"'")&amp;CHAR(34)&amp;", "&amp;CHAR(34)&amp;"kind"&amp;CHAR(34)&amp;": "&amp;CHAR(34)&amp;SUBSTITUTE(CriteriTecnici!$F2030,CHAR(34),"'")&amp;CHAR(34)&amp;", "&amp;CHAR(34)&amp;"value"&amp;CHAR(34)&amp;": "&amp;SUBSTITUTE(TRIM(ROUND(IFERROR(CriteriTecnici!$N2030*1,IFERROR(NUMBERVALUE(CriteriTecnici!$N2030,".",","),IFERROR(NUMBERVALUE(CriteriTecnici!$N2030,",","."),0))),4)&amp;""),",",".")&amp;", "&amp;CHAR(34)&amp;"numerator"&amp;CHAR(34)&amp;": "&amp;SUBSTITUTE(TRIM(ROUND(IFERROR(CriteriTecnici!$K2030*1,IFERROR(NUMBERVALUE(CriteriTecnici!$K2030,".",","),IFERROR(NUMBERVALUE(CriteriTecnici!$K2030,",","."),0))),4)&amp;""),",",".")&amp;", "&amp;CHAR(34)&amp;"denominator"&amp;CHAR(34)&amp;": "&amp;SUBSTITUTE(TRIM(ROUND(IFERROR(CriteriTecnici!$L2030*1,IFERROR(NUMBERVALUE(CriteriTecnici!$L2030,".",","),IFERROR(NUMBERVALUE(CriteriTecnici!$L2030,",","."),0))),4)&amp;""),",",".")&amp;", "&amp;CHAR(34)&amp;"flag"&amp;CHAR(34)&amp;": "&amp;SUBSTITUTE(TRIM(ROUND(IFERROR(CriteriTecnici!$M2030*1,IFERROR(NUMBERVALUE(CriteriTecnici!$M2030,".",","),IFERROR(NUMBERVALUE(CriteriTecnici!$M2030,",","."),0))),4)&amp;""),",",".")&amp;", "&amp;CHAR(34)&amp;"rawScore"&amp;CHAR(34)&amp;": "&amp;SUBSTITUTE(TRIM(ROUND(IFERROR(CriteriTecnici!$O2030*1,IFERROR(NUMBERVALUE(CriteriTecnici!$O2030,".",","),IFERROR(NUMBERVALUE(CriteriTecnici!$O2030,",","."),0))),4)&amp;""),",",".")&amp;CHAR(125)&amp;IF(TRUE,",",""))</f>
        <v/>
      </c>
    </row>
    <row r="2132">
      <c r="A2132" s="82">
        <f>IF(CriteriTecnici!$A2031="","","    "&amp;CHAR(123)&amp;CHAR(34)&amp;"bidderId"&amp;CHAR(34)&amp;": "&amp;CHAR(34)&amp;SUBSTITUTE(CriteriTecnici!$A2031,CHAR(34),"'")&amp;CHAR(34)&amp;", "&amp;CHAR(34)&amp;"lotId"&amp;CHAR(34)&amp;": "&amp;CHAR(34)&amp;SUBSTITUTE(CriteriTecnici!$C2031,CHAR(34),"'")&amp;CHAR(34)&amp;", "&amp;CHAR(34)&amp;"criterionId"&amp;CHAR(34)&amp;": "&amp;CHAR(34)&amp;SUBSTITUTE(CriteriTecnici!$D2031,CHAR(34),"'")&amp;CHAR(34)&amp;", "&amp;CHAR(34)&amp;"kind"&amp;CHAR(34)&amp;": "&amp;CHAR(34)&amp;SUBSTITUTE(CriteriTecnici!$F2031,CHAR(34),"'")&amp;CHAR(34)&amp;", "&amp;CHAR(34)&amp;"value"&amp;CHAR(34)&amp;": "&amp;SUBSTITUTE(TRIM(ROUND(IFERROR(CriteriTecnici!$N2031*1,IFERROR(NUMBERVALUE(CriteriTecnici!$N2031,".",","),IFERROR(NUMBERVALUE(CriteriTecnici!$N2031,",","."),0))),4)&amp;""),",",".")&amp;", "&amp;CHAR(34)&amp;"numerator"&amp;CHAR(34)&amp;": "&amp;SUBSTITUTE(TRIM(ROUND(IFERROR(CriteriTecnici!$K2031*1,IFERROR(NUMBERVALUE(CriteriTecnici!$K2031,".",","),IFERROR(NUMBERVALUE(CriteriTecnici!$K2031,",","."),0))),4)&amp;""),",",".")&amp;", "&amp;CHAR(34)&amp;"denominator"&amp;CHAR(34)&amp;": "&amp;SUBSTITUTE(TRIM(ROUND(IFERROR(CriteriTecnici!$L2031*1,IFERROR(NUMBERVALUE(CriteriTecnici!$L2031,".",","),IFERROR(NUMBERVALUE(CriteriTecnici!$L2031,",","."),0))),4)&amp;""),",",".")&amp;", "&amp;CHAR(34)&amp;"flag"&amp;CHAR(34)&amp;": "&amp;SUBSTITUTE(TRIM(ROUND(IFERROR(CriteriTecnici!$M2031*1,IFERROR(NUMBERVALUE(CriteriTecnici!$M2031,".",","),IFERROR(NUMBERVALUE(CriteriTecnici!$M2031,",","."),0))),4)&amp;""),",",".")&amp;", "&amp;CHAR(34)&amp;"rawScore"&amp;CHAR(34)&amp;": "&amp;SUBSTITUTE(TRIM(ROUND(IFERROR(CriteriTecnici!$O2031*1,IFERROR(NUMBERVALUE(CriteriTecnici!$O2031,".",","),IFERROR(NUMBERVALUE(CriteriTecnici!$O2031,",","."),0))),4)&amp;""),",",".")&amp;CHAR(125)&amp;IF(TRUE,",",""))</f>
        <v/>
      </c>
    </row>
    <row r="2133">
      <c r="A2133" s="82">
        <f>IF(CriteriTecnici!$A2032="","","    "&amp;CHAR(123)&amp;CHAR(34)&amp;"bidderId"&amp;CHAR(34)&amp;": "&amp;CHAR(34)&amp;SUBSTITUTE(CriteriTecnici!$A2032,CHAR(34),"'")&amp;CHAR(34)&amp;", "&amp;CHAR(34)&amp;"lotId"&amp;CHAR(34)&amp;": "&amp;CHAR(34)&amp;SUBSTITUTE(CriteriTecnici!$C2032,CHAR(34),"'")&amp;CHAR(34)&amp;", "&amp;CHAR(34)&amp;"criterionId"&amp;CHAR(34)&amp;": "&amp;CHAR(34)&amp;SUBSTITUTE(CriteriTecnici!$D2032,CHAR(34),"'")&amp;CHAR(34)&amp;", "&amp;CHAR(34)&amp;"kind"&amp;CHAR(34)&amp;": "&amp;CHAR(34)&amp;SUBSTITUTE(CriteriTecnici!$F2032,CHAR(34),"'")&amp;CHAR(34)&amp;", "&amp;CHAR(34)&amp;"value"&amp;CHAR(34)&amp;": "&amp;SUBSTITUTE(TRIM(ROUND(IFERROR(CriteriTecnici!$N2032*1,IFERROR(NUMBERVALUE(CriteriTecnici!$N2032,".",","),IFERROR(NUMBERVALUE(CriteriTecnici!$N2032,",","."),0))),4)&amp;""),",",".")&amp;", "&amp;CHAR(34)&amp;"numerator"&amp;CHAR(34)&amp;": "&amp;SUBSTITUTE(TRIM(ROUND(IFERROR(CriteriTecnici!$K2032*1,IFERROR(NUMBERVALUE(CriteriTecnici!$K2032,".",","),IFERROR(NUMBERVALUE(CriteriTecnici!$K2032,",","."),0))),4)&amp;""),",",".")&amp;", "&amp;CHAR(34)&amp;"denominator"&amp;CHAR(34)&amp;": "&amp;SUBSTITUTE(TRIM(ROUND(IFERROR(CriteriTecnici!$L2032*1,IFERROR(NUMBERVALUE(CriteriTecnici!$L2032,".",","),IFERROR(NUMBERVALUE(CriteriTecnici!$L2032,",","."),0))),4)&amp;""),",",".")&amp;", "&amp;CHAR(34)&amp;"flag"&amp;CHAR(34)&amp;": "&amp;SUBSTITUTE(TRIM(ROUND(IFERROR(CriteriTecnici!$M2032*1,IFERROR(NUMBERVALUE(CriteriTecnici!$M2032,".",","),IFERROR(NUMBERVALUE(CriteriTecnici!$M2032,",","."),0))),4)&amp;""),",",".")&amp;", "&amp;CHAR(34)&amp;"rawScore"&amp;CHAR(34)&amp;": "&amp;SUBSTITUTE(TRIM(ROUND(IFERROR(CriteriTecnici!$O2032*1,IFERROR(NUMBERVALUE(CriteriTecnici!$O2032,".",","),IFERROR(NUMBERVALUE(CriteriTecnici!$O2032,",","."),0))),4)&amp;""),",",".")&amp;CHAR(125)&amp;IF(TRUE,",",""))</f>
        <v/>
      </c>
    </row>
    <row r="2134">
      <c r="A2134" s="82">
        <f>IF(CriteriTecnici!$A2033="","","    "&amp;CHAR(123)&amp;CHAR(34)&amp;"bidderId"&amp;CHAR(34)&amp;": "&amp;CHAR(34)&amp;SUBSTITUTE(CriteriTecnici!$A2033,CHAR(34),"'")&amp;CHAR(34)&amp;", "&amp;CHAR(34)&amp;"lotId"&amp;CHAR(34)&amp;": "&amp;CHAR(34)&amp;SUBSTITUTE(CriteriTecnici!$C2033,CHAR(34),"'")&amp;CHAR(34)&amp;", "&amp;CHAR(34)&amp;"criterionId"&amp;CHAR(34)&amp;": "&amp;CHAR(34)&amp;SUBSTITUTE(CriteriTecnici!$D2033,CHAR(34),"'")&amp;CHAR(34)&amp;", "&amp;CHAR(34)&amp;"kind"&amp;CHAR(34)&amp;": "&amp;CHAR(34)&amp;SUBSTITUTE(CriteriTecnici!$F2033,CHAR(34),"'")&amp;CHAR(34)&amp;", "&amp;CHAR(34)&amp;"value"&amp;CHAR(34)&amp;": "&amp;SUBSTITUTE(TRIM(ROUND(IFERROR(CriteriTecnici!$N2033*1,IFERROR(NUMBERVALUE(CriteriTecnici!$N2033,".",","),IFERROR(NUMBERVALUE(CriteriTecnici!$N2033,",","."),0))),4)&amp;""),",",".")&amp;", "&amp;CHAR(34)&amp;"numerator"&amp;CHAR(34)&amp;": "&amp;SUBSTITUTE(TRIM(ROUND(IFERROR(CriteriTecnici!$K2033*1,IFERROR(NUMBERVALUE(CriteriTecnici!$K2033,".",","),IFERROR(NUMBERVALUE(CriteriTecnici!$K2033,",","."),0))),4)&amp;""),",",".")&amp;", "&amp;CHAR(34)&amp;"denominator"&amp;CHAR(34)&amp;": "&amp;SUBSTITUTE(TRIM(ROUND(IFERROR(CriteriTecnici!$L2033*1,IFERROR(NUMBERVALUE(CriteriTecnici!$L2033,".",","),IFERROR(NUMBERVALUE(CriteriTecnici!$L2033,",","."),0))),4)&amp;""),",",".")&amp;", "&amp;CHAR(34)&amp;"flag"&amp;CHAR(34)&amp;": "&amp;SUBSTITUTE(TRIM(ROUND(IFERROR(CriteriTecnici!$M2033*1,IFERROR(NUMBERVALUE(CriteriTecnici!$M2033,".",","),IFERROR(NUMBERVALUE(CriteriTecnici!$M2033,",","."),0))),4)&amp;""),",",".")&amp;", "&amp;CHAR(34)&amp;"rawScore"&amp;CHAR(34)&amp;": "&amp;SUBSTITUTE(TRIM(ROUND(IFERROR(CriteriTecnici!$O2033*1,IFERROR(NUMBERVALUE(CriteriTecnici!$O2033,".",","),IFERROR(NUMBERVALUE(CriteriTecnici!$O2033,",","."),0))),4)&amp;""),",",".")&amp;CHAR(125)&amp;IF(TRUE,",",""))</f>
        <v/>
      </c>
    </row>
    <row r="2135">
      <c r="A2135" s="82">
        <f>IF(CriteriTecnici!$A2034="","","    "&amp;CHAR(123)&amp;CHAR(34)&amp;"bidderId"&amp;CHAR(34)&amp;": "&amp;CHAR(34)&amp;SUBSTITUTE(CriteriTecnici!$A2034,CHAR(34),"'")&amp;CHAR(34)&amp;", "&amp;CHAR(34)&amp;"lotId"&amp;CHAR(34)&amp;": "&amp;CHAR(34)&amp;SUBSTITUTE(CriteriTecnici!$C2034,CHAR(34),"'")&amp;CHAR(34)&amp;", "&amp;CHAR(34)&amp;"criterionId"&amp;CHAR(34)&amp;": "&amp;CHAR(34)&amp;SUBSTITUTE(CriteriTecnici!$D2034,CHAR(34),"'")&amp;CHAR(34)&amp;", "&amp;CHAR(34)&amp;"kind"&amp;CHAR(34)&amp;": "&amp;CHAR(34)&amp;SUBSTITUTE(CriteriTecnici!$F2034,CHAR(34),"'")&amp;CHAR(34)&amp;", "&amp;CHAR(34)&amp;"value"&amp;CHAR(34)&amp;": "&amp;SUBSTITUTE(TRIM(ROUND(IFERROR(CriteriTecnici!$N2034*1,IFERROR(NUMBERVALUE(CriteriTecnici!$N2034,".",","),IFERROR(NUMBERVALUE(CriteriTecnici!$N2034,",","."),0))),4)&amp;""),",",".")&amp;", "&amp;CHAR(34)&amp;"numerator"&amp;CHAR(34)&amp;": "&amp;SUBSTITUTE(TRIM(ROUND(IFERROR(CriteriTecnici!$K2034*1,IFERROR(NUMBERVALUE(CriteriTecnici!$K2034,".",","),IFERROR(NUMBERVALUE(CriteriTecnici!$K2034,",","."),0))),4)&amp;""),",",".")&amp;", "&amp;CHAR(34)&amp;"denominator"&amp;CHAR(34)&amp;": "&amp;SUBSTITUTE(TRIM(ROUND(IFERROR(CriteriTecnici!$L2034*1,IFERROR(NUMBERVALUE(CriteriTecnici!$L2034,".",","),IFERROR(NUMBERVALUE(CriteriTecnici!$L2034,",","."),0))),4)&amp;""),",",".")&amp;", "&amp;CHAR(34)&amp;"flag"&amp;CHAR(34)&amp;": "&amp;SUBSTITUTE(TRIM(ROUND(IFERROR(CriteriTecnici!$M2034*1,IFERROR(NUMBERVALUE(CriteriTecnici!$M2034,".",","),IFERROR(NUMBERVALUE(CriteriTecnici!$M2034,",","."),0))),4)&amp;""),",",".")&amp;", "&amp;CHAR(34)&amp;"rawScore"&amp;CHAR(34)&amp;": "&amp;SUBSTITUTE(TRIM(ROUND(IFERROR(CriteriTecnici!$O2034*1,IFERROR(NUMBERVALUE(CriteriTecnici!$O2034,".",","),IFERROR(NUMBERVALUE(CriteriTecnici!$O2034,",","."),0))),4)&amp;""),",",".")&amp;CHAR(125)&amp;IF(TRUE,",",""))</f>
        <v/>
      </c>
    </row>
    <row r="2136">
      <c r="A2136" s="82">
        <f>IF(CriteriTecnici!$A2035="","","    "&amp;CHAR(123)&amp;CHAR(34)&amp;"bidderId"&amp;CHAR(34)&amp;": "&amp;CHAR(34)&amp;SUBSTITUTE(CriteriTecnici!$A2035,CHAR(34),"'")&amp;CHAR(34)&amp;", "&amp;CHAR(34)&amp;"lotId"&amp;CHAR(34)&amp;": "&amp;CHAR(34)&amp;SUBSTITUTE(CriteriTecnici!$C2035,CHAR(34),"'")&amp;CHAR(34)&amp;", "&amp;CHAR(34)&amp;"criterionId"&amp;CHAR(34)&amp;": "&amp;CHAR(34)&amp;SUBSTITUTE(CriteriTecnici!$D2035,CHAR(34),"'")&amp;CHAR(34)&amp;", "&amp;CHAR(34)&amp;"kind"&amp;CHAR(34)&amp;": "&amp;CHAR(34)&amp;SUBSTITUTE(CriteriTecnici!$F2035,CHAR(34),"'")&amp;CHAR(34)&amp;", "&amp;CHAR(34)&amp;"value"&amp;CHAR(34)&amp;": "&amp;SUBSTITUTE(TRIM(ROUND(IFERROR(CriteriTecnici!$N2035*1,IFERROR(NUMBERVALUE(CriteriTecnici!$N2035,".",","),IFERROR(NUMBERVALUE(CriteriTecnici!$N2035,",","."),0))),4)&amp;""),",",".")&amp;", "&amp;CHAR(34)&amp;"numerator"&amp;CHAR(34)&amp;": "&amp;SUBSTITUTE(TRIM(ROUND(IFERROR(CriteriTecnici!$K2035*1,IFERROR(NUMBERVALUE(CriteriTecnici!$K2035,".",","),IFERROR(NUMBERVALUE(CriteriTecnici!$K2035,",","."),0))),4)&amp;""),",",".")&amp;", "&amp;CHAR(34)&amp;"denominator"&amp;CHAR(34)&amp;": "&amp;SUBSTITUTE(TRIM(ROUND(IFERROR(CriteriTecnici!$L2035*1,IFERROR(NUMBERVALUE(CriteriTecnici!$L2035,".",","),IFERROR(NUMBERVALUE(CriteriTecnici!$L2035,",","."),0))),4)&amp;""),",",".")&amp;", "&amp;CHAR(34)&amp;"flag"&amp;CHAR(34)&amp;": "&amp;SUBSTITUTE(TRIM(ROUND(IFERROR(CriteriTecnici!$M2035*1,IFERROR(NUMBERVALUE(CriteriTecnici!$M2035,".",","),IFERROR(NUMBERVALUE(CriteriTecnici!$M2035,",","."),0))),4)&amp;""),",",".")&amp;", "&amp;CHAR(34)&amp;"rawScore"&amp;CHAR(34)&amp;": "&amp;SUBSTITUTE(TRIM(ROUND(IFERROR(CriteriTecnici!$O2035*1,IFERROR(NUMBERVALUE(CriteriTecnici!$O2035,".",","),IFERROR(NUMBERVALUE(CriteriTecnici!$O2035,",","."),0))),4)&amp;""),",",".")&amp;CHAR(125)&amp;IF(TRUE,",",""))</f>
        <v/>
      </c>
    </row>
    <row r="2137">
      <c r="A2137" s="82">
        <f>IF(CriteriTecnici!$A2036="","","    "&amp;CHAR(123)&amp;CHAR(34)&amp;"bidderId"&amp;CHAR(34)&amp;": "&amp;CHAR(34)&amp;SUBSTITUTE(CriteriTecnici!$A2036,CHAR(34),"'")&amp;CHAR(34)&amp;", "&amp;CHAR(34)&amp;"lotId"&amp;CHAR(34)&amp;": "&amp;CHAR(34)&amp;SUBSTITUTE(CriteriTecnici!$C2036,CHAR(34),"'")&amp;CHAR(34)&amp;", "&amp;CHAR(34)&amp;"criterionId"&amp;CHAR(34)&amp;": "&amp;CHAR(34)&amp;SUBSTITUTE(CriteriTecnici!$D2036,CHAR(34),"'")&amp;CHAR(34)&amp;", "&amp;CHAR(34)&amp;"kind"&amp;CHAR(34)&amp;": "&amp;CHAR(34)&amp;SUBSTITUTE(CriteriTecnici!$F2036,CHAR(34),"'")&amp;CHAR(34)&amp;", "&amp;CHAR(34)&amp;"value"&amp;CHAR(34)&amp;": "&amp;SUBSTITUTE(TRIM(ROUND(IFERROR(CriteriTecnici!$N2036*1,IFERROR(NUMBERVALUE(CriteriTecnici!$N2036,".",","),IFERROR(NUMBERVALUE(CriteriTecnici!$N2036,",","."),0))),4)&amp;""),",",".")&amp;", "&amp;CHAR(34)&amp;"numerator"&amp;CHAR(34)&amp;": "&amp;SUBSTITUTE(TRIM(ROUND(IFERROR(CriteriTecnici!$K2036*1,IFERROR(NUMBERVALUE(CriteriTecnici!$K2036,".",","),IFERROR(NUMBERVALUE(CriteriTecnici!$K2036,",","."),0))),4)&amp;""),",",".")&amp;", "&amp;CHAR(34)&amp;"denominator"&amp;CHAR(34)&amp;": "&amp;SUBSTITUTE(TRIM(ROUND(IFERROR(CriteriTecnici!$L2036*1,IFERROR(NUMBERVALUE(CriteriTecnici!$L2036,".",","),IFERROR(NUMBERVALUE(CriteriTecnici!$L2036,",","."),0))),4)&amp;""),",",".")&amp;", "&amp;CHAR(34)&amp;"flag"&amp;CHAR(34)&amp;": "&amp;SUBSTITUTE(TRIM(ROUND(IFERROR(CriteriTecnici!$M2036*1,IFERROR(NUMBERVALUE(CriteriTecnici!$M2036,".",","),IFERROR(NUMBERVALUE(CriteriTecnici!$M2036,",","."),0))),4)&amp;""),",",".")&amp;", "&amp;CHAR(34)&amp;"rawScore"&amp;CHAR(34)&amp;": "&amp;SUBSTITUTE(TRIM(ROUND(IFERROR(CriteriTecnici!$O2036*1,IFERROR(NUMBERVALUE(CriteriTecnici!$O2036,".",","),IFERROR(NUMBERVALUE(CriteriTecnici!$O2036,",","."),0))),4)&amp;""),",",".")&amp;CHAR(125)&amp;IF(TRUE,",",""))</f>
        <v/>
      </c>
    </row>
    <row r="2138">
      <c r="A2138" s="82">
        <f>IF(CriteriTecnici!$A2037="","","    "&amp;CHAR(123)&amp;CHAR(34)&amp;"bidderId"&amp;CHAR(34)&amp;": "&amp;CHAR(34)&amp;SUBSTITUTE(CriteriTecnici!$A2037,CHAR(34),"'")&amp;CHAR(34)&amp;", "&amp;CHAR(34)&amp;"lotId"&amp;CHAR(34)&amp;": "&amp;CHAR(34)&amp;SUBSTITUTE(CriteriTecnici!$C2037,CHAR(34),"'")&amp;CHAR(34)&amp;", "&amp;CHAR(34)&amp;"criterionId"&amp;CHAR(34)&amp;": "&amp;CHAR(34)&amp;SUBSTITUTE(CriteriTecnici!$D2037,CHAR(34),"'")&amp;CHAR(34)&amp;", "&amp;CHAR(34)&amp;"kind"&amp;CHAR(34)&amp;": "&amp;CHAR(34)&amp;SUBSTITUTE(CriteriTecnici!$F2037,CHAR(34),"'")&amp;CHAR(34)&amp;", "&amp;CHAR(34)&amp;"value"&amp;CHAR(34)&amp;": "&amp;SUBSTITUTE(TRIM(ROUND(IFERROR(CriteriTecnici!$N2037*1,IFERROR(NUMBERVALUE(CriteriTecnici!$N2037,".",","),IFERROR(NUMBERVALUE(CriteriTecnici!$N2037,",","."),0))),4)&amp;""),",",".")&amp;", "&amp;CHAR(34)&amp;"numerator"&amp;CHAR(34)&amp;": "&amp;SUBSTITUTE(TRIM(ROUND(IFERROR(CriteriTecnici!$K2037*1,IFERROR(NUMBERVALUE(CriteriTecnici!$K2037,".",","),IFERROR(NUMBERVALUE(CriteriTecnici!$K2037,",","."),0))),4)&amp;""),",",".")&amp;", "&amp;CHAR(34)&amp;"denominator"&amp;CHAR(34)&amp;": "&amp;SUBSTITUTE(TRIM(ROUND(IFERROR(CriteriTecnici!$L2037*1,IFERROR(NUMBERVALUE(CriteriTecnici!$L2037,".",","),IFERROR(NUMBERVALUE(CriteriTecnici!$L2037,",","."),0))),4)&amp;""),",",".")&amp;", "&amp;CHAR(34)&amp;"flag"&amp;CHAR(34)&amp;": "&amp;SUBSTITUTE(TRIM(ROUND(IFERROR(CriteriTecnici!$M2037*1,IFERROR(NUMBERVALUE(CriteriTecnici!$M2037,".",","),IFERROR(NUMBERVALUE(CriteriTecnici!$M2037,",","."),0))),4)&amp;""),",",".")&amp;", "&amp;CHAR(34)&amp;"rawScore"&amp;CHAR(34)&amp;": "&amp;SUBSTITUTE(TRIM(ROUND(IFERROR(CriteriTecnici!$O2037*1,IFERROR(NUMBERVALUE(CriteriTecnici!$O2037,".",","),IFERROR(NUMBERVALUE(CriteriTecnici!$O2037,",","."),0))),4)&amp;""),",",".")&amp;CHAR(125)&amp;IF(TRUE,",",""))</f>
        <v/>
      </c>
    </row>
    <row r="2139">
      <c r="A2139" s="82">
        <f>IF(CriteriTecnici!$A2038="","","    "&amp;CHAR(123)&amp;CHAR(34)&amp;"bidderId"&amp;CHAR(34)&amp;": "&amp;CHAR(34)&amp;SUBSTITUTE(CriteriTecnici!$A2038,CHAR(34),"'")&amp;CHAR(34)&amp;", "&amp;CHAR(34)&amp;"lotId"&amp;CHAR(34)&amp;": "&amp;CHAR(34)&amp;SUBSTITUTE(CriteriTecnici!$C2038,CHAR(34),"'")&amp;CHAR(34)&amp;", "&amp;CHAR(34)&amp;"criterionId"&amp;CHAR(34)&amp;": "&amp;CHAR(34)&amp;SUBSTITUTE(CriteriTecnici!$D2038,CHAR(34),"'")&amp;CHAR(34)&amp;", "&amp;CHAR(34)&amp;"kind"&amp;CHAR(34)&amp;": "&amp;CHAR(34)&amp;SUBSTITUTE(CriteriTecnici!$F2038,CHAR(34),"'")&amp;CHAR(34)&amp;", "&amp;CHAR(34)&amp;"value"&amp;CHAR(34)&amp;": "&amp;SUBSTITUTE(TRIM(ROUND(IFERROR(CriteriTecnici!$N2038*1,IFERROR(NUMBERVALUE(CriteriTecnici!$N2038,".",","),IFERROR(NUMBERVALUE(CriteriTecnici!$N2038,",","."),0))),4)&amp;""),",",".")&amp;", "&amp;CHAR(34)&amp;"numerator"&amp;CHAR(34)&amp;": "&amp;SUBSTITUTE(TRIM(ROUND(IFERROR(CriteriTecnici!$K2038*1,IFERROR(NUMBERVALUE(CriteriTecnici!$K2038,".",","),IFERROR(NUMBERVALUE(CriteriTecnici!$K2038,",","."),0))),4)&amp;""),",",".")&amp;", "&amp;CHAR(34)&amp;"denominator"&amp;CHAR(34)&amp;": "&amp;SUBSTITUTE(TRIM(ROUND(IFERROR(CriteriTecnici!$L2038*1,IFERROR(NUMBERVALUE(CriteriTecnici!$L2038,".",","),IFERROR(NUMBERVALUE(CriteriTecnici!$L2038,",","."),0))),4)&amp;""),",",".")&amp;", "&amp;CHAR(34)&amp;"flag"&amp;CHAR(34)&amp;": "&amp;SUBSTITUTE(TRIM(ROUND(IFERROR(CriteriTecnici!$M2038*1,IFERROR(NUMBERVALUE(CriteriTecnici!$M2038,".",","),IFERROR(NUMBERVALUE(CriteriTecnici!$M2038,",","."),0))),4)&amp;""),",",".")&amp;", "&amp;CHAR(34)&amp;"rawScore"&amp;CHAR(34)&amp;": "&amp;SUBSTITUTE(TRIM(ROUND(IFERROR(CriteriTecnici!$O2038*1,IFERROR(NUMBERVALUE(CriteriTecnici!$O2038,".",","),IFERROR(NUMBERVALUE(CriteriTecnici!$O2038,",","."),0))),4)&amp;""),",",".")&amp;CHAR(125)&amp;IF(TRUE,",",""))</f>
        <v/>
      </c>
    </row>
    <row r="2140">
      <c r="A2140" s="82">
        <f>IF(CriteriTecnici!$A2039="","","    "&amp;CHAR(123)&amp;CHAR(34)&amp;"bidderId"&amp;CHAR(34)&amp;": "&amp;CHAR(34)&amp;SUBSTITUTE(CriteriTecnici!$A2039,CHAR(34),"'")&amp;CHAR(34)&amp;", "&amp;CHAR(34)&amp;"lotId"&amp;CHAR(34)&amp;": "&amp;CHAR(34)&amp;SUBSTITUTE(CriteriTecnici!$C2039,CHAR(34),"'")&amp;CHAR(34)&amp;", "&amp;CHAR(34)&amp;"criterionId"&amp;CHAR(34)&amp;": "&amp;CHAR(34)&amp;SUBSTITUTE(CriteriTecnici!$D2039,CHAR(34),"'")&amp;CHAR(34)&amp;", "&amp;CHAR(34)&amp;"kind"&amp;CHAR(34)&amp;": "&amp;CHAR(34)&amp;SUBSTITUTE(CriteriTecnici!$F2039,CHAR(34),"'")&amp;CHAR(34)&amp;", "&amp;CHAR(34)&amp;"value"&amp;CHAR(34)&amp;": "&amp;SUBSTITUTE(TRIM(ROUND(IFERROR(CriteriTecnici!$N2039*1,IFERROR(NUMBERVALUE(CriteriTecnici!$N2039,".",","),IFERROR(NUMBERVALUE(CriteriTecnici!$N2039,",","."),0))),4)&amp;""),",",".")&amp;", "&amp;CHAR(34)&amp;"numerator"&amp;CHAR(34)&amp;": "&amp;SUBSTITUTE(TRIM(ROUND(IFERROR(CriteriTecnici!$K2039*1,IFERROR(NUMBERVALUE(CriteriTecnici!$K2039,".",","),IFERROR(NUMBERVALUE(CriteriTecnici!$K2039,",","."),0))),4)&amp;""),",",".")&amp;", "&amp;CHAR(34)&amp;"denominator"&amp;CHAR(34)&amp;": "&amp;SUBSTITUTE(TRIM(ROUND(IFERROR(CriteriTecnici!$L2039*1,IFERROR(NUMBERVALUE(CriteriTecnici!$L2039,".",","),IFERROR(NUMBERVALUE(CriteriTecnici!$L2039,",","."),0))),4)&amp;""),",",".")&amp;", "&amp;CHAR(34)&amp;"flag"&amp;CHAR(34)&amp;": "&amp;SUBSTITUTE(TRIM(ROUND(IFERROR(CriteriTecnici!$M2039*1,IFERROR(NUMBERVALUE(CriteriTecnici!$M2039,".",","),IFERROR(NUMBERVALUE(CriteriTecnici!$M2039,",","."),0))),4)&amp;""),",",".")&amp;", "&amp;CHAR(34)&amp;"rawScore"&amp;CHAR(34)&amp;": "&amp;SUBSTITUTE(TRIM(ROUND(IFERROR(CriteriTecnici!$O2039*1,IFERROR(NUMBERVALUE(CriteriTecnici!$O2039,".",","),IFERROR(NUMBERVALUE(CriteriTecnici!$O2039,",","."),0))),4)&amp;""),",",".")&amp;CHAR(125)&amp;IF(TRUE,",",""))</f>
        <v/>
      </c>
    </row>
    <row r="2141">
      <c r="A2141" s="82">
        <f>IF(CriteriTecnici!$A2040="","","    "&amp;CHAR(123)&amp;CHAR(34)&amp;"bidderId"&amp;CHAR(34)&amp;": "&amp;CHAR(34)&amp;SUBSTITUTE(CriteriTecnici!$A2040,CHAR(34),"'")&amp;CHAR(34)&amp;", "&amp;CHAR(34)&amp;"lotId"&amp;CHAR(34)&amp;": "&amp;CHAR(34)&amp;SUBSTITUTE(CriteriTecnici!$C2040,CHAR(34),"'")&amp;CHAR(34)&amp;", "&amp;CHAR(34)&amp;"criterionId"&amp;CHAR(34)&amp;": "&amp;CHAR(34)&amp;SUBSTITUTE(CriteriTecnici!$D2040,CHAR(34),"'")&amp;CHAR(34)&amp;", "&amp;CHAR(34)&amp;"kind"&amp;CHAR(34)&amp;": "&amp;CHAR(34)&amp;SUBSTITUTE(CriteriTecnici!$F2040,CHAR(34),"'")&amp;CHAR(34)&amp;", "&amp;CHAR(34)&amp;"value"&amp;CHAR(34)&amp;": "&amp;SUBSTITUTE(TRIM(ROUND(IFERROR(CriteriTecnici!$N2040*1,IFERROR(NUMBERVALUE(CriteriTecnici!$N2040,".",","),IFERROR(NUMBERVALUE(CriteriTecnici!$N2040,",","."),0))),4)&amp;""),",",".")&amp;", "&amp;CHAR(34)&amp;"numerator"&amp;CHAR(34)&amp;": "&amp;SUBSTITUTE(TRIM(ROUND(IFERROR(CriteriTecnici!$K2040*1,IFERROR(NUMBERVALUE(CriteriTecnici!$K2040,".",","),IFERROR(NUMBERVALUE(CriteriTecnici!$K2040,",","."),0))),4)&amp;""),",",".")&amp;", "&amp;CHAR(34)&amp;"denominator"&amp;CHAR(34)&amp;": "&amp;SUBSTITUTE(TRIM(ROUND(IFERROR(CriteriTecnici!$L2040*1,IFERROR(NUMBERVALUE(CriteriTecnici!$L2040,".",","),IFERROR(NUMBERVALUE(CriteriTecnici!$L2040,",","."),0))),4)&amp;""),",",".")&amp;", "&amp;CHAR(34)&amp;"flag"&amp;CHAR(34)&amp;": "&amp;SUBSTITUTE(TRIM(ROUND(IFERROR(CriteriTecnici!$M2040*1,IFERROR(NUMBERVALUE(CriteriTecnici!$M2040,".",","),IFERROR(NUMBERVALUE(CriteriTecnici!$M2040,",","."),0))),4)&amp;""),",",".")&amp;", "&amp;CHAR(34)&amp;"rawScore"&amp;CHAR(34)&amp;": "&amp;SUBSTITUTE(TRIM(ROUND(IFERROR(CriteriTecnici!$O2040*1,IFERROR(NUMBERVALUE(CriteriTecnici!$O2040,".",","),IFERROR(NUMBERVALUE(CriteriTecnici!$O2040,",","."),0))),4)&amp;""),",",".")&amp;CHAR(125)&amp;IF(TRUE,",",""))</f>
        <v/>
      </c>
    </row>
    <row r="2142">
      <c r="A2142" s="82">
        <f>IF(CriteriTecnici!$A2041="","","    "&amp;CHAR(123)&amp;CHAR(34)&amp;"bidderId"&amp;CHAR(34)&amp;": "&amp;CHAR(34)&amp;SUBSTITUTE(CriteriTecnici!$A2041,CHAR(34),"'")&amp;CHAR(34)&amp;", "&amp;CHAR(34)&amp;"lotId"&amp;CHAR(34)&amp;": "&amp;CHAR(34)&amp;SUBSTITUTE(CriteriTecnici!$C2041,CHAR(34),"'")&amp;CHAR(34)&amp;", "&amp;CHAR(34)&amp;"criterionId"&amp;CHAR(34)&amp;": "&amp;CHAR(34)&amp;SUBSTITUTE(CriteriTecnici!$D2041,CHAR(34),"'")&amp;CHAR(34)&amp;", "&amp;CHAR(34)&amp;"kind"&amp;CHAR(34)&amp;": "&amp;CHAR(34)&amp;SUBSTITUTE(CriteriTecnici!$F2041,CHAR(34),"'")&amp;CHAR(34)&amp;", "&amp;CHAR(34)&amp;"value"&amp;CHAR(34)&amp;": "&amp;SUBSTITUTE(TRIM(ROUND(IFERROR(CriteriTecnici!$N2041*1,IFERROR(NUMBERVALUE(CriteriTecnici!$N2041,".",","),IFERROR(NUMBERVALUE(CriteriTecnici!$N2041,",","."),0))),4)&amp;""),",",".")&amp;", "&amp;CHAR(34)&amp;"numerator"&amp;CHAR(34)&amp;": "&amp;SUBSTITUTE(TRIM(ROUND(IFERROR(CriteriTecnici!$K2041*1,IFERROR(NUMBERVALUE(CriteriTecnici!$K2041,".",","),IFERROR(NUMBERVALUE(CriteriTecnici!$K2041,",","."),0))),4)&amp;""),",",".")&amp;", "&amp;CHAR(34)&amp;"denominator"&amp;CHAR(34)&amp;": "&amp;SUBSTITUTE(TRIM(ROUND(IFERROR(CriteriTecnici!$L2041*1,IFERROR(NUMBERVALUE(CriteriTecnici!$L2041,".",","),IFERROR(NUMBERVALUE(CriteriTecnici!$L2041,",","."),0))),4)&amp;""),",",".")&amp;", "&amp;CHAR(34)&amp;"flag"&amp;CHAR(34)&amp;": "&amp;SUBSTITUTE(TRIM(ROUND(IFERROR(CriteriTecnici!$M2041*1,IFERROR(NUMBERVALUE(CriteriTecnici!$M2041,".",","),IFERROR(NUMBERVALUE(CriteriTecnici!$M2041,",","."),0))),4)&amp;""),",",".")&amp;", "&amp;CHAR(34)&amp;"rawScore"&amp;CHAR(34)&amp;": "&amp;SUBSTITUTE(TRIM(ROUND(IFERROR(CriteriTecnici!$O2041*1,IFERROR(NUMBERVALUE(CriteriTecnici!$O2041,".",","),IFERROR(NUMBERVALUE(CriteriTecnici!$O2041,",","."),0))),4)&amp;""),",",".")&amp;CHAR(125)&amp;IF(TRUE,",",""))</f>
        <v/>
      </c>
    </row>
    <row r="2143">
      <c r="A2143" s="82">
        <f>IF(CriteriTecnici!$A2042="","","    "&amp;CHAR(123)&amp;CHAR(34)&amp;"bidderId"&amp;CHAR(34)&amp;": "&amp;CHAR(34)&amp;SUBSTITUTE(CriteriTecnici!$A2042,CHAR(34),"'")&amp;CHAR(34)&amp;", "&amp;CHAR(34)&amp;"lotId"&amp;CHAR(34)&amp;": "&amp;CHAR(34)&amp;SUBSTITUTE(CriteriTecnici!$C2042,CHAR(34),"'")&amp;CHAR(34)&amp;", "&amp;CHAR(34)&amp;"criterionId"&amp;CHAR(34)&amp;": "&amp;CHAR(34)&amp;SUBSTITUTE(CriteriTecnici!$D2042,CHAR(34),"'")&amp;CHAR(34)&amp;", "&amp;CHAR(34)&amp;"kind"&amp;CHAR(34)&amp;": "&amp;CHAR(34)&amp;SUBSTITUTE(CriteriTecnici!$F2042,CHAR(34),"'")&amp;CHAR(34)&amp;", "&amp;CHAR(34)&amp;"value"&amp;CHAR(34)&amp;": "&amp;SUBSTITUTE(TRIM(ROUND(IFERROR(CriteriTecnici!$N2042*1,IFERROR(NUMBERVALUE(CriteriTecnici!$N2042,".",","),IFERROR(NUMBERVALUE(CriteriTecnici!$N2042,",","."),0))),4)&amp;""),",",".")&amp;", "&amp;CHAR(34)&amp;"numerator"&amp;CHAR(34)&amp;": "&amp;SUBSTITUTE(TRIM(ROUND(IFERROR(CriteriTecnici!$K2042*1,IFERROR(NUMBERVALUE(CriteriTecnici!$K2042,".",","),IFERROR(NUMBERVALUE(CriteriTecnici!$K2042,",","."),0))),4)&amp;""),",",".")&amp;", "&amp;CHAR(34)&amp;"denominator"&amp;CHAR(34)&amp;": "&amp;SUBSTITUTE(TRIM(ROUND(IFERROR(CriteriTecnici!$L2042*1,IFERROR(NUMBERVALUE(CriteriTecnici!$L2042,".",","),IFERROR(NUMBERVALUE(CriteriTecnici!$L2042,",","."),0))),4)&amp;""),",",".")&amp;", "&amp;CHAR(34)&amp;"flag"&amp;CHAR(34)&amp;": "&amp;SUBSTITUTE(TRIM(ROUND(IFERROR(CriteriTecnici!$M2042*1,IFERROR(NUMBERVALUE(CriteriTecnici!$M2042,".",","),IFERROR(NUMBERVALUE(CriteriTecnici!$M2042,",","."),0))),4)&amp;""),",",".")&amp;", "&amp;CHAR(34)&amp;"rawScore"&amp;CHAR(34)&amp;": "&amp;SUBSTITUTE(TRIM(ROUND(IFERROR(CriteriTecnici!$O2042*1,IFERROR(NUMBERVALUE(CriteriTecnici!$O2042,".",","),IFERROR(NUMBERVALUE(CriteriTecnici!$O2042,",","."),0))),4)&amp;""),",",".")&amp;CHAR(125)&amp;IF(TRUE,",",""))</f>
        <v/>
      </c>
    </row>
    <row r="2144">
      <c r="A2144" s="82">
        <f>IF(CriteriTecnici!$A2043="","","    "&amp;CHAR(123)&amp;CHAR(34)&amp;"bidderId"&amp;CHAR(34)&amp;": "&amp;CHAR(34)&amp;SUBSTITUTE(CriteriTecnici!$A2043,CHAR(34),"'")&amp;CHAR(34)&amp;", "&amp;CHAR(34)&amp;"lotId"&amp;CHAR(34)&amp;": "&amp;CHAR(34)&amp;SUBSTITUTE(CriteriTecnici!$C2043,CHAR(34),"'")&amp;CHAR(34)&amp;", "&amp;CHAR(34)&amp;"criterionId"&amp;CHAR(34)&amp;": "&amp;CHAR(34)&amp;SUBSTITUTE(CriteriTecnici!$D2043,CHAR(34),"'")&amp;CHAR(34)&amp;", "&amp;CHAR(34)&amp;"kind"&amp;CHAR(34)&amp;": "&amp;CHAR(34)&amp;SUBSTITUTE(CriteriTecnici!$F2043,CHAR(34),"'")&amp;CHAR(34)&amp;", "&amp;CHAR(34)&amp;"value"&amp;CHAR(34)&amp;": "&amp;SUBSTITUTE(TRIM(ROUND(IFERROR(CriteriTecnici!$N2043*1,IFERROR(NUMBERVALUE(CriteriTecnici!$N2043,".",","),IFERROR(NUMBERVALUE(CriteriTecnici!$N2043,",","."),0))),4)&amp;""),",",".")&amp;", "&amp;CHAR(34)&amp;"numerator"&amp;CHAR(34)&amp;": "&amp;SUBSTITUTE(TRIM(ROUND(IFERROR(CriteriTecnici!$K2043*1,IFERROR(NUMBERVALUE(CriteriTecnici!$K2043,".",","),IFERROR(NUMBERVALUE(CriteriTecnici!$K2043,",","."),0))),4)&amp;""),",",".")&amp;", "&amp;CHAR(34)&amp;"denominator"&amp;CHAR(34)&amp;": "&amp;SUBSTITUTE(TRIM(ROUND(IFERROR(CriteriTecnici!$L2043*1,IFERROR(NUMBERVALUE(CriteriTecnici!$L2043,".",","),IFERROR(NUMBERVALUE(CriteriTecnici!$L2043,",","."),0))),4)&amp;""),",",".")&amp;", "&amp;CHAR(34)&amp;"flag"&amp;CHAR(34)&amp;": "&amp;SUBSTITUTE(TRIM(ROUND(IFERROR(CriteriTecnici!$M2043*1,IFERROR(NUMBERVALUE(CriteriTecnici!$M2043,".",","),IFERROR(NUMBERVALUE(CriteriTecnici!$M2043,",","."),0))),4)&amp;""),",",".")&amp;", "&amp;CHAR(34)&amp;"rawScore"&amp;CHAR(34)&amp;": "&amp;SUBSTITUTE(TRIM(ROUND(IFERROR(CriteriTecnici!$O2043*1,IFERROR(NUMBERVALUE(CriteriTecnici!$O2043,".",","),IFERROR(NUMBERVALUE(CriteriTecnici!$O2043,",","."),0))),4)&amp;""),",",".")&amp;CHAR(125)&amp;IF(TRUE,",",""))</f>
        <v/>
      </c>
    </row>
    <row r="2145">
      <c r="A2145" s="82">
        <f>IF(CriteriTecnici!$A2044="","","    "&amp;CHAR(123)&amp;CHAR(34)&amp;"bidderId"&amp;CHAR(34)&amp;": "&amp;CHAR(34)&amp;SUBSTITUTE(CriteriTecnici!$A2044,CHAR(34),"'")&amp;CHAR(34)&amp;", "&amp;CHAR(34)&amp;"lotId"&amp;CHAR(34)&amp;": "&amp;CHAR(34)&amp;SUBSTITUTE(CriteriTecnici!$C2044,CHAR(34),"'")&amp;CHAR(34)&amp;", "&amp;CHAR(34)&amp;"criterionId"&amp;CHAR(34)&amp;": "&amp;CHAR(34)&amp;SUBSTITUTE(CriteriTecnici!$D2044,CHAR(34),"'")&amp;CHAR(34)&amp;", "&amp;CHAR(34)&amp;"kind"&amp;CHAR(34)&amp;": "&amp;CHAR(34)&amp;SUBSTITUTE(CriteriTecnici!$F2044,CHAR(34),"'")&amp;CHAR(34)&amp;", "&amp;CHAR(34)&amp;"value"&amp;CHAR(34)&amp;": "&amp;SUBSTITUTE(TRIM(ROUND(IFERROR(CriteriTecnici!$N2044*1,IFERROR(NUMBERVALUE(CriteriTecnici!$N2044,".",","),IFERROR(NUMBERVALUE(CriteriTecnici!$N2044,",","."),0))),4)&amp;""),",",".")&amp;", "&amp;CHAR(34)&amp;"numerator"&amp;CHAR(34)&amp;": "&amp;SUBSTITUTE(TRIM(ROUND(IFERROR(CriteriTecnici!$K2044*1,IFERROR(NUMBERVALUE(CriteriTecnici!$K2044,".",","),IFERROR(NUMBERVALUE(CriteriTecnici!$K2044,",","."),0))),4)&amp;""),",",".")&amp;", "&amp;CHAR(34)&amp;"denominator"&amp;CHAR(34)&amp;": "&amp;SUBSTITUTE(TRIM(ROUND(IFERROR(CriteriTecnici!$L2044*1,IFERROR(NUMBERVALUE(CriteriTecnici!$L2044,".",","),IFERROR(NUMBERVALUE(CriteriTecnici!$L2044,",","."),0))),4)&amp;""),",",".")&amp;", "&amp;CHAR(34)&amp;"flag"&amp;CHAR(34)&amp;": "&amp;SUBSTITUTE(TRIM(ROUND(IFERROR(CriteriTecnici!$M2044*1,IFERROR(NUMBERVALUE(CriteriTecnici!$M2044,".",","),IFERROR(NUMBERVALUE(CriteriTecnici!$M2044,",","."),0))),4)&amp;""),",",".")&amp;", "&amp;CHAR(34)&amp;"rawScore"&amp;CHAR(34)&amp;": "&amp;SUBSTITUTE(TRIM(ROUND(IFERROR(CriteriTecnici!$O2044*1,IFERROR(NUMBERVALUE(CriteriTecnici!$O2044,".",","),IFERROR(NUMBERVALUE(CriteriTecnici!$O2044,",","."),0))),4)&amp;""),",",".")&amp;CHAR(125)&amp;IF(TRUE,",",""))</f>
        <v/>
      </c>
    </row>
    <row r="2146">
      <c r="A2146" s="82">
        <f>IF(CriteriTecnici!$A2045="","","    "&amp;CHAR(123)&amp;CHAR(34)&amp;"bidderId"&amp;CHAR(34)&amp;": "&amp;CHAR(34)&amp;SUBSTITUTE(CriteriTecnici!$A2045,CHAR(34),"'")&amp;CHAR(34)&amp;", "&amp;CHAR(34)&amp;"lotId"&amp;CHAR(34)&amp;": "&amp;CHAR(34)&amp;SUBSTITUTE(CriteriTecnici!$C2045,CHAR(34),"'")&amp;CHAR(34)&amp;", "&amp;CHAR(34)&amp;"criterionId"&amp;CHAR(34)&amp;": "&amp;CHAR(34)&amp;SUBSTITUTE(CriteriTecnici!$D2045,CHAR(34),"'")&amp;CHAR(34)&amp;", "&amp;CHAR(34)&amp;"kind"&amp;CHAR(34)&amp;": "&amp;CHAR(34)&amp;SUBSTITUTE(CriteriTecnici!$F2045,CHAR(34),"'")&amp;CHAR(34)&amp;", "&amp;CHAR(34)&amp;"value"&amp;CHAR(34)&amp;": "&amp;SUBSTITUTE(TRIM(ROUND(IFERROR(CriteriTecnici!$N2045*1,IFERROR(NUMBERVALUE(CriteriTecnici!$N2045,".",","),IFERROR(NUMBERVALUE(CriteriTecnici!$N2045,",","."),0))),4)&amp;""),",",".")&amp;", "&amp;CHAR(34)&amp;"numerator"&amp;CHAR(34)&amp;": "&amp;SUBSTITUTE(TRIM(ROUND(IFERROR(CriteriTecnici!$K2045*1,IFERROR(NUMBERVALUE(CriteriTecnici!$K2045,".",","),IFERROR(NUMBERVALUE(CriteriTecnici!$K2045,",","."),0))),4)&amp;""),",",".")&amp;", "&amp;CHAR(34)&amp;"denominator"&amp;CHAR(34)&amp;": "&amp;SUBSTITUTE(TRIM(ROUND(IFERROR(CriteriTecnici!$L2045*1,IFERROR(NUMBERVALUE(CriteriTecnici!$L2045,".",","),IFERROR(NUMBERVALUE(CriteriTecnici!$L2045,",","."),0))),4)&amp;""),",",".")&amp;", "&amp;CHAR(34)&amp;"flag"&amp;CHAR(34)&amp;": "&amp;SUBSTITUTE(TRIM(ROUND(IFERROR(CriteriTecnici!$M2045*1,IFERROR(NUMBERVALUE(CriteriTecnici!$M2045,".",","),IFERROR(NUMBERVALUE(CriteriTecnici!$M2045,",","."),0))),4)&amp;""),",",".")&amp;", "&amp;CHAR(34)&amp;"rawScore"&amp;CHAR(34)&amp;": "&amp;SUBSTITUTE(TRIM(ROUND(IFERROR(CriteriTecnici!$O2045*1,IFERROR(NUMBERVALUE(CriteriTecnici!$O2045,".",","),IFERROR(NUMBERVALUE(CriteriTecnici!$O2045,",","."),0))),4)&amp;""),",",".")&amp;CHAR(125)&amp;IF(TRUE,",",""))</f>
        <v/>
      </c>
    </row>
    <row r="2147">
      <c r="A2147" s="82">
        <f>IF(CriteriTecnici!$A2046="","","    "&amp;CHAR(123)&amp;CHAR(34)&amp;"bidderId"&amp;CHAR(34)&amp;": "&amp;CHAR(34)&amp;SUBSTITUTE(CriteriTecnici!$A2046,CHAR(34),"'")&amp;CHAR(34)&amp;", "&amp;CHAR(34)&amp;"lotId"&amp;CHAR(34)&amp;": "&amp;CHAR(34)&amp;SUBSTITUTE(CriteriTecnici!$C2046,CHAR(34),"'")&amp;CHAR(34)&amp;", "&amp;CHAR(34)&amp;"criterionId"&amp;CHAR(34)&amp;": "&amp;CHAR(34)&amp;SUBSTITUTE(CriteriTecnici!$D2046,CHAR(34),"'")&amp;CHAR(34)&amp;", "&amp;CHAR(34)&amp;"kind"&amp;CHAR(34)&amp;": "&amp;CHAR(34)&amp;SUBSTITUTE(CriteriTecnici!$F2046,CHAR(34),"'")&amp;CHAR(34)&amp;", "&amp;CHAR(34)&amp;"value"&amp;CHAR(34)&amp;": "&amp;SUBSTITUTE(TRIM(ROUND(IFERROR(CriteriTecnici!$N2046*1,IFERROR(NUMBERVALUE(CriteriTecnici!$N2046,".",","),IFERROR(NUMBERVALUE(CriteriTecnici!$N2046,",","."),0))),4)&amp;""),",",".")&amp;", "&amp;CHAR(34)&amp;"numerator"&amp;CHAR(34)&amp;": "&amp;SUBSTITUTE(TRIM(ROUND(IFERROR(CriteriTecnici!$K2046*1,IFERROR(NUMBERVALUE(CriteriTecnici!$K2046,".",","),IFERROR(NUMBERVALUE(CriteriTecnici!$K2046,",","."),0))),4)&amp;""),",",".")&amp;", "&amp;CHAR(34)&amp;"denominator"&amp;CHAR(34)&amp;": "&amp;SUBSTITUTE(TRIM(ROUND(IFERROR(CriteriTecnici!$L2046*1,IFERROR(NUMBERVALUE(CriteriTecnici!$L2046,".",","),IFERROR(NUMBERVALUE(CriteriTecnici!$L2046,",","."),0))),4)&amp;""),",",".")&amp;", "&amp;CHAR(34)&amp;"flag"&amp;CHAR(34)&amp;": "&amp;SUBSTITUTE(TRIM(ROUND(IFERROR(CriteriTecnici!$M2046*1,IFERROR(NUMBERVALUE(CriteriTecnici!$M2046,".",","),IFERROR(NUMBERVALUE(CriteriTecnici!$M2046,",","."),0))),4)&amp;""),",",".")&amp;", "&amp;CHAR(34)&amp;"rawScore"&amp;CHAR(34)&amp;": "&amp;SUBSTITUTE(TRIM(ROUND(IFERROR(CriteriTecnici!$O2046*1,IFERROR(NUMBERVALUE(CriteriTecnici!$O2046,".",","),IFERROR(NUMBERVALUE(CriteriTecnici!$O2046,",","."),0))),4)&amp;""),",",".")&amp;CHAR(125)&amp;IF(TRUE,",",""))</f>
        <v/>
      </c>
    </row>
    <row r="2148">
      <c r="A2148" s="82">
        <f>IF(CriteriTecnici!$A2047="","","    "&amp;CHAR(123)&amp;CHAR(34)&amp;"bidderId"&amp;CHAR(34)&amp;": "&amp;CHAR(34)&amp;SUBSTITUTE(CriteriTecnici!$A2047,CHAR(34),"'")&amp;CHAR(34)&amp;", "&amp;CHAR(34)&amp;"lotId"&amp;CHAR(34)&amp;": "&amp;CHAR(34)&amp;SUBSTITUTE(CriteriTecnici!$C2047,CHAR(34),"'")&amp;CHAR(34)&amp;", "&amp;CHAR(34)&amp;"criterionId"&amp;CHAR(34)&amp;": "&amp;CHAR(34)&amp;SUBSTITUTE(CriteriTecnici!$D2047,CHAR(34),"'")&amp;CHAR(34)&amp;", "&amp;CHAR(34)&amp;"kind"&amp;CHAR(34)&amp;": "&amp;CHAR(34)&amp;SUBSTITUTE(CriteriTecnici!$F2047,CHAR(34),"'")&amp;CHAR(34)&amp;", "&amp;CHAR(34)&amp;"value"&amp;CHAR(34)&amp;": "&amp;SUBSTITUTE(TRIM(ROUND(IFERROR(CriteriTecnici!$N2047*1,IFERROR(NUMBERVALUE(CriteriTecnici!$N2047,".",","),IFERROR(NUMBERVALUE(CriteriTecnici!$N2047,",","."),0))),4)&amp;""),",",".")&amp;", "&amp;CHAR(34)&amp;"numerator"&amp;CHAR(34)&amp;": "&amp;SUBSTITUTE(TRIM(ROUND(IFERROR(CriteriTecnici!$K2047*1,IFERROR(NUMBERVALUE(CriteriTecnici!$K2047,".",","),IFERROR(NUMBERVALUE(CriteriTecnici!$K2047,",","."),0))),4)&amp;""),",",".")&amp;", "&amp;CHAR(34)&amp;"denominator"&amp;CHAR(34)&amp;": "&amp;SUBSTITUTE(TRIM(ROUND(IFERROR(CriteriTecnici!$L2047*1,IFERROR(NUMBERVALUE(CriteriTecnici!$L2047,".",","),IFERROR(NUMBERVALUE(CriteriTecnici!$L2047,",","."),0))),4)&amp;""),",",".")&amp;", "&amp;CHAR(34)&amp;"flag"&amp;CHAR(34)&amp;": "&amp;SUBSTITUTE(TRIM(ROUND(IFERROR(CriteriTecnici!$M2047*1,IFERROR(NUMBERVALUE(CriteriTecnici!$M2047,".",","),IFERROR(NUMBERVALUE(CriteriTecnici!$M2047,",","."),0))),4)&amp;""),",",".")&amp;", "&amp;CHAR(34)&amp;"rawScore"&amp;CHAR(34)&amp;": "&amp;SUBSTITUTE(TRIM(ROUND(IFERROR(CriteriTecnici!$O2047*1,IFERROR(NUMBERVALUE(CriteriTecnici!$O2047,".",","),IFERROR(NUMBERVALUE(CriteriTecnici!$O2047,",","."),0))),4)&amp;""),",",".")&amp;CHAR(125)&amp;IF(TRUE,",",""))</f>
        <v/>
      </c>
    </row>
    <row r="2149">
      <c r="A2149" s="82">
        <f>IF(CriteriTecnici!$A2048="","","    "&amp;CHAR(123)&amp;CHAR(34)&amp;"bidderId"&amp;CHAR(34)&amp;": "&amp;CHAR(34)&amp;SUBSTITUTE(CriteriTecnici!$A2048,CHAR(34),"'")&amp;CHAR(34)&amp;", "&amp;CHAR(34)&amp;"lotId"&amp;CHAR(34)&amp;": "&amp;CHAR(34)&amp;SUBSTITUTE(CriteriTecnici!$C2048,CHAR(34),"'")&amp;CHAR(34)&amp;", "&amp;CHAR(34)&amp;"criterionId"&amp;CHAR(34)&amp;": "&amp;CHAR(34)&amp;SUBSTITUTE(CriteriTecnici!$D2048,CHAR(34),"'")&amp;CHAR(34)&amp;", "&amp;CHAR(34)&amp;"kind"&amp;CHAR(34)&amp;": "&amp;CHAR(34)&amp;SUBSTITUTE(CriteriTecnici!$F2048,CHAR(34),"'")&amp;CHAR(34)&amp;", "&amp;CHAR(34)&amp;"value"&amp;CHAR(34)&amp;": "&amp;SUBSTITUTE(TRIM(ROUND(IFERROR(CriteriTecnici!$N2048*1,IFERROR(NUMBERVALUE(CriteriTecnici!$N2048,".",","),IFERROR(NUMBERVALUE(CriteriTecnici!$N2048,",","."),0))),4)&amp;""),",",".")&amp;", "&amp;CHAR(34)&amp;"numerator"&amp;CHAR(34)&amp;": "&amp;SUBSTITUTE(TRIM(ROUND(IFERROR(CriteriTecnici!$K2048*1,IFERROR(NUMBERVALUE(CriteriTecnici!$K2048,".",","),IFERROR(NUMBERVALUE(CriteriTecnici!$K2048,",","."),0))),4)&amp;""),",",".")&amp;", "&amp;CHAR(34)&amp;"denominator"&amp;CHAR(34)&amp;": "&amp;SUBSTITUTE(TRIM(ROUND(IFERROR(CriteriTecnici!$L2048*1,IFERROR(NUMBERVALUE(CriteriTecnici!$L2048,".",","),IFERROR(NUMBERVALUE(CriteriTecnici!$L2048,",","."),0))),4)&amp;""),",",".")&amp;", "&amp;CHAR(34)&amp;"flag"&amp;CHAR(34)&amp;": "&amp;SUBSTITUTE(TRIM(ROUND(IFERROR(CriteriTecnici!$M2048*1,IFERROR(NUMBERVALUE(CriteriTecnici!$M2048,".",","),IFERROR(NUMBERVALUE(CriteriTecnici!$M2048,",","."),0))),4)&amp;""),",",".")&amp;", "&amp;CHAR(34)&amp;"rawScore"&amp;CHAR(34)&amp;": "&amp;SUBSTITUTE(TRIM(ROUND(IFERROR(CriteriTecnici!$O2048*1,IFERROR(NUMBERVALUE(CriteriTecnici!$O2048,".",","),IFERROR(NUMBERVALUE(CriteriTecnici!$O2048,",","."),0))),4)&amp;""),",",".")&amp;CHAR(125)&amp;IF(TRUE,",",""))</f>
        <v/>
      </c>
    </row>
    <row r="2150">
      <c r="A2150" s="82">
        <f>IF(CriteriTecnici!$A2049="","","    "&amp;CHAR(123)&amp;CHAR(34)&amp;"bidderId"&amp;CHAR(34)&amp;": "&amp;CHAR(34)&amp;SUBSTITUTE(CriteriTecnici!$A2049,CHAR(34),"'")&amp;CHAR(34)&amp;", "&amp;CHAR(34)&amp;"lotId"&amp;CHAR(34)&amp;": "&amp;CHAR(34)&amp;SUBSTITUTE(CriteriTecnici!$C2049,CHAR(34),"'")&amp;CHAR(34)&amp;", "&amp;CHAR(34)&amp;"criterionId"&amp;CHAR(34)&amp;": "&amp;CHAR(34)&amp;SUBSTITUTE(CriteriTecnici!$D2049,CHAR(34),"'")&amp;CHAR(34)&amp;", "&amp;CHAR(34)&amp;"kind"&amp;CHAR(34)&amp;": "&amp;CHAR(34)&amp;SUBSTITUTE(CriteriTecnici!$F2049,CHAR(34),"'")&amp;CHAR(34)&amp;", "&amp;CHAR(34)&amp;"value"&amp;CHAR(34)&amp;": "&amp;SUBSTITUTE(TRIM(ROUND(IFERROR(CriteriTecnici!$N2049*1,IFERROR(NUMBERVALUE(CriteriTecnici!$N2049,".",","),IFERROR(NUMBERVALUE(CriteriTecnici!$N2049,",","."),0))),4)&amp;""),",",".")&amp;", "&amp;CHAR(34)&amp;"numerator"&amp;CHAR(34)&amp;": "&amp;SUBSTITUTE(TRIM(ROUND(IFERROR(CriteriTecnici!$K2049*1,IFERROR(NUMBERVALUE(CriteriTecnici!$K2049,".",","),IFERROR(NUMBERVALUE(CriteriTecnici!$K2049,",","."),0))),4)&amp;""),",",".")&amp;", "&amp;CHAR(34)&amp;"denominator"&amp;CHAR(34)&amp;": "&amp;SUBSTITUTE(TRIM(ROUND(IFERROR(CriteriTecnici!$L2049*1,IFERROR(NUMBERVALUE(CriteriTecnici!$L2049,".",","),IFERROR(NUMBERVALUE(CriteriTecnici!$L2049,",","."),0))),4)&amp;""),",",".")&amp;", "&amp;CHAR(34)&amp;"flag"&amp;CHAR(34)&amp;": "&amp;SUBSTITUTE(TRIM(ROUND(IFERROR(CriteriTecnici!$M2049*1,IFERROR(NUMBERVALUE(CriteriTecnici!$M2049,".",","),IFERROR(NUMBERVALUE(CriteriTecnici!$M2049,",","."),0))),4)&amp;""),",",".")&amp;", "&amp;CHAR(34)&amp;"rawScore"&amp;CHAR(34)&amp;": "&amp;SUBSTITUTE(TRIM(ROUND(IFERROR(CriteriTecnici!$O2049*1,IFERROR(NUMBERVALUE(CriteriTecnici!$O2049,".",","),IFERROR(NUMBERVALUE(CriteriTecnici!$O2049,",","."),0))),4)&amp;""),",",".")&amp;CHAR(125)&amp;IF(TRUE,",",""))</f>
        <v/>
      </c>
    </row>
    <row r="2151">
      <c r="A2151" s="82">
        <f>IF(CriteriTecnici!$A2050="","","    "&amp;CHAR(123)&amp;CHAR(34)&amp;"bidderId"&amp;CHAR(34)&amp;": "&amp;CHAR(34)&amp;SUBSTITUTE(CriteriTecnici!$A2050,CHAR(34),"'")&amp;CHAR(34)&amp;", "&amp;CHAR(34)&amp;"lotId"&amp;CHAR(34)&amp;": "&amp;CHAR(34)&amp;SUBSTITUTE(CriteriTecnici!$C2050,CHAR(34),"'")&amp;CHAR(34)&amp;", "&amp;CHAR(34)&amp;"criterionId"&amp;CHAR(34)&amp;": "&amp;CHAR(34)&amp;SUBSTITUTE(CriteriTecnici!$D2050,CHAR(34),"'")&amp;CHAR(34)&amp;", "&amp;CHAR(34)&amp;"kind"&amp;CHAR(34)&amp;": "&amp;CHAR(34)&amp;SUBSTITUTE(CriteriTecnici!$F2050,CHAR(34),"'")&amp;CHAR(34)&amp;", "&amp;CHAR(34)&amp;"value"&amp;CHAR(34)&amp;": "&amp;SUBSTITUTE(TRIM(ROUND(IFERROR(CriteriTecnici!$N2050*1,IFERROR(NUMBERVALUE(CriteriTecnici!$N2050,".",","),IFERROR(NUMBERVALUE(CriteriTecnici!$N2050,",","."),0))),4)&amp;""),",",".")&amp;", "&amp;CHAR(34)&amp;"numerator"&amp;CHAR(34)&amp;": "&amp;SUBSTITUTE(TRIM(ROUND(IFERROR(CriteriTecnici!$K2050*1,IFERROR(NUMBERVALUE(CriteriTecnici!$K2050,".",","),IFERROR(NUMBERVALUE(CriteriTecnici!$K2050,",","."),0))),4)&amp;""),",",".")&amp;", "&amp;CHAR(34)&amp;"denominator"&amp;CHAR(34)&amp;": "&amp;SUBSTITUTE(TRIM(ROUND(IFERROR(CriteriTecnici!$L2050*1,IFERROR(NUMBERVALUE(CriteriTecnici!$L2050,".",","),IFERROR(NUMBERVALUE(CriteriTecnici!$L2050,",","."),0))),4)&amp;""),",",".")&amp;", "&amp;CHAR(34)&amp;"flag"&amp;CHAR(34)&amp;": "&amp;SUBSTITUTE(TRIM(ROUND(IFERROR(CriteriTecnici!$M2050*1,IFERROR(NUMBERVALUE(CriteriTecnici!$M2050,".",","),IFERROR(NUMBERVALUE(CriteriTecnici!$M2050,",","."),0))),4)&amp;""),",",".")&amp;", "&amp;CHAR(34)&amp;"rawScore"&amp;CHAR(34)&amp;": "&amp;SUBSTITUTE(TRIM(ROUND(IFERROR(CriteriTecnici!$O2050*1,IFERROR(NUMBERVALUE(CriteriTecnici!$O2050,".",","),IFERROR(NUMBERVALUE(CriteriTecnici!$O2050,",","."),0))),4)&amp;""),",",".")&amp;CHAR(125)&amp;IF(COUNTA(Offerte!$A68:$A$81)&gt;0,",",""))</f>
        <v/>
      </c>
    </row>
    <row r="2152">
      <c r="A2152" s="82">
        <f>IF(CriteriTecnici!$A2051="","","    "&amp;CHAR(123)&amp;CHAR(34)&amp;"bidderId"&amp;CHAR(34)&amp;": "&amp;CHAR(34)&amp;SUBSTITUTE(CriteriTecnici!$A2051,CHAR(34),"'")&amp;CHAR(34)&amp;", "&amp;CHAR(34)&amp;"lotId"&amp;CHAR(34)&amp;": "&amp;CHAR(34)&amp;SUBSTITUTE(CriteriTecnici!$C2051,CHAR(34),"'")&amp;CHAR(34)&amp;", "&amp;CHAR(34)&amp;"criterionId"&amp;CHAR(34)&amp;": "&amp;CHAR(34)&amp;SUBSTITUTE(CriteriTecnici!$D2051,CHAR(34),"'")&amp;CHAR(34)&amp;", "&amp;CHAR(34)&amp;"kind"&amp;CHAR(34)&amp;": "&amp;CHAR(34)&amp;SUBSTITUTE(CriteriTecnici!$F2051,CHAR(34),"'")&amp;CHAR(34)&amp;", "&amp;CHAR(34)&amp;"value"&amp;CHAR(34)&amp;": "&amp;SUBSTITUTE(TRIM(ROUND(IFERROR(CriteriTecnici!$N2051*1,IFERROR(NUMBERVALUE(CriteriTecnici!$N2051,".",","),IFERROR(NUMBERVALUE(CriteriTecnici!$N2051,",","."),0))),4)&amp;""),",",".")&amp;", "&amp;CHAR(34)&amp;"numerator"&amp;CHAR(34)&amp;": "&amp;SUBSTITUTE(TRIM(ROUND(IFERROR(CriteriTecnici!$K2051*1,IFERROR(NUMBERVALUE(CriteriTecnici!$K2051,".",","),IFERROR(NUMBERVALUE(CriteriTecnici!$K2051,",","."),0))),4)&amp;""),",",".")&amp;", "&amp;CHAR(34)&amp;"denominator"&amp;CHAR(34)&amp;": "&amp;SUBSTITUTE(TRIM(ROUND(IFERROR(CriteriTecnici!$L2051*1,IFERROR(NUMBERVALUE(CriteriTecnici!$L2051,".",","),IFERROR(NUMBERVALUE(CriteriTecnici!$L2051,",","."),0))),4)&amp;""),",",".")&amp;", "&amp;CHAR(34)&amp;"flag"&amp;CHAR(34)&amp;": "&amp;SUBSTITUTE(TRIM(ROUND(IFERROR(CriteriTecnici!$M2051*1,IFERROR(NUMBERVALUE(CriteriTecnici!$M2051,".",","),IFERROR(NUMBERVALUE(CriteriTecnici!$M2051,",","."),0))),4)&amp;""),",",".")&amp;", "&amp;CHAR(34)&amp;"rawScore"&amp;CHAR(34)&amp;": "&amp;SUBSTITUTE(TRIM(ROUND(IFERROR(CriteriTecnici!$O2051*1,IFERROR(NUMBERVALUE(CriteriTecnici!$O2051,".",","),IFERROR(NUMBERVALUE(CriteriTecnici!$O2051,",","."),0))),4)&amp;""),",",".")&amp;CHAR(125)&amp;IF(TRUE,",",""))</f>
        <v/>
      </c>
    </row>
    <row r="2153">
      <c r="A2153" s="82">
        <f>IF(CriteriTecnici!$A2052="","","    "&amp;CHAR(123)&amp;CHAR(34)&amp;"bidderId"&amp;CHAR(34)&amp;": "&amp;CHAR(34)&amp;SUBSTITUTE(CriteriTecnici!$A2052,CHAR(34),"'")&amp;CHAR(34)&amp;", "&amp;CHAR(34)&amp;"lotId"&amp;CHAR(34)&amp;": "&amp;CHAR(34)&amp;SUBSTITUTE(CriteriTecnici!$C2052,CHAR(34),"'")&amp;CHAR(34)&amp;", "&amp;CHAR(34)&amp;"criterionId"&amp;CHAR(34)&amp;": "&amp;CHAR(34)&amp;SUBSTITUTE(CriteriTecnici!$D2052,CHAR(34),"'")&amp;CHAR(34)&amp;", "&amp;CHAR(34)&amp;"kind"&amp;CHAR(34)&amp;": "&amp;CHAR(34)&amp;SUBSTITUTE(CriteriTecnici!$F2052,CHAR(34),"'")&amp;CHAR(34)&amp;", "&amp;CHAR(34)&amp;"value"&amp;CHAR(34)&amp;": "&amp;SUBSTITUTE(TRIM(ROUND(IFERROR(CriteriTecnici!$N2052*1,IFERROR(NUMBERVALUE(CriteriTecnici!$N2052,".",","),IFERROR(NUMBERVALUE(CriteriTecnici!$N2052,",","."),0))),4)&amp;""),",",".")&amp;", "&amp;CHAR(34)&amp;"numerator"&amp;CHAR(34)&amp;": "&amp;SUBSTITUTE(TRIM(ROUND(IFERROR(CriteriTecnici!$K2052*1,IFERROR(NUMBERVALUE(CriteriTecnici!$K2052,".",","),IFERROR(NUMBERVALUE(CriteriTecnici!$K2052,",","."),0))),4)&amp;""),",",".")&amp;", "&amp;CHAR(34)&amp;"denominator"&amp;CHAR(34)&amp;": "&amp;SUBSTITUTE(TRIM(ROUND(IFERROR(CriteriTecnici!$L2052*1,IFERROR(NUMBERVALUE(CriteriTecnici!$L2052,".",","),IFERROR(NUMBERVALUE(CriteriTecnici!$L2052,",","."),0))),4)&amp;""),",",".")&amp;", "&amp;CHAR(34)&amp;"flag"&amp;CHAR(34)&amp;": "&amp;SUBSTITUTE(TRIM(ROUND(IFERROR(CriteriTecnici!$M2052*1,IFERROR(NUMBERVALUE(CriteriTecnici!$M2052,".",","),IFERROR(NUMBERVALUE(CriteriTecnici!$M2052,",","."),0))),4)&amp;""),",",".")&amp;", "&amp;CHAR(34)&amp;"rawScore"&amp;CHAR(34)&amp;": "&amp;SUBSTITUTE(TRIM(ROUND(IFERROR(CriteriTecnici!$O2052*1,IFERROR(NUMBERVALUE(CriteriTecnici!$O2052,".",","),IFERROR(NUMBERVALUE(CriteriTecnici!$O2052,",","."),0))),4)&amp;""),",",".")&amp;CHAR(125)&amp;IF(TRUE,",",""))</f>
        <v/>
      </c>
    </row>
    <row r="2154">
      <c r="A2154" s="82">
        <f>IF(CriteriTecnici!$A2053="","","    "&amp;CHAR(123)&amp;CHAR(34)&amp;"bidderId"&amp;CHAR(34)&amp;": "&amp;CHAR(34)&amp;SUBSTITUTE(CriteriTecnici!$A2053,CHAR(34),"'")&amp;CHAR(34)&amp;", "&amp;CHAR(34)&amp;"lotId"&amp;CHAR(34)&amp;": "&amp;CHAR(34)&amp;SUBSTITUTE(CriteriTecnici!$C2053,CHAR(34),"'")&amp;CHAR(34)&amp;", "&amp;CHAR(34)&amp;"criterionId"&amp;CHAR(34)&amp;": "&amp;CHAR(34)&amp;SUBSTITUTE(CriteriTecnici!$D2053,CHAR(34),"'")&amp;CHAR(34)&amp;", "&amp;CHAR(34)&amp;"kind"&amp;CHAR(34)&amp;": "&amp;CHAR(34)&amp;SUBSTITUTE(CriteriTecnici!$F2053,CHAR(34),"'")&amp;CHAR(34)&amp;", "&amp;CHAR(34)&amp;"value"&amp;CHAR(34)&amp;": "&amp;SUBSTITUTE(TRIM(ROUND(IFERROR(CriteriTecnici!$N2053*1,IFERROR(NUMBERVALUE(CriteriTecnici!$N2053,".",","),IFERROR(NUMBERVALUE(CriteriTecnici!$N2053,",","."),0))),4)&amp;""),",",".")&amp;", "&amp;CHAR(34)&amp;"numerator"&amp;CHAR(34)&amp;": "&amp;SUBSTITUTE(TRIM(ROUND(IFERROR(CriteriTecnici!$K2053*1,IFERROR(NUMBERVALUE(CriteriTecnici!$K2053,".",","),IFERROR(NUMBERVALUE(CriteriTecnici!$K2053,",","."),0))),4)&amp;""),",",".")&amp;", "&amp;CHAR(34)&amp;"denominator"&amp;CHAR(34)&amp;": "&amp;SUBSTITUTE(TRIM(ROUND(IFERROR(CriteriTecnici!$L2053*1,IFERROR(NUMBERVALUE(CriteriTecnici!$L2053,".",","),IFERROR(NUMBERVALUE(CriteriTecnici!$L2053,",","."),0))),4)&amp;""),",",".")&amp;", "&amp;CHAR(34)&amp;"flag"&amp;CHAR(34)&amp;": "&amp;SUBSTITUTE(TRIM(ROUND(IFERROR(CriteriTecnici!$M2053*1,IFERROR(NUMBERVALUE(CriteriTecnici!$M2053,".",","),IFERROR(NUMBERVALUE(CriteriTecnici!$M2053,",","."),0))),4)&amp;""),",",".")&amp;", "&amp;CHAR(34)&amp;"rawScore"&amp;CHAR(34)&amp;": "&amp;SUBSTITUTE(TRIM(ROUND(IFERROR(CriteriTecnici!$O2053*1,IFERROR(NUMBERVALUE(CriteriTecnici!$O2053,".",","),IFERROR(NUMBERVALUE(CriteriTecnici!$O2053,",","."),0))),4)&amp;""),",",".")&amp;CHAR(125)&amp;IF(TRUE,",",""))</f>
        <v/>
      </c>
    </row>
    <row r="2155">
      <c r="A2155" s="82">
        <f>IF(CriteriTecnici!$A2054="","","    "&amp;CHAR(123)&amp;CHAR(34)&amp;"bidderId"&amp;CHAR(34)&amp;": "&amp;CHAR(34)&amp;SUBSTITUTE(CriteriTecnici!$A2054,CHAR(34),"'")&amp;CHAR(34)&amp;", "&amp;CHAR(34)&amp;"lotId"&amp;CHAR(34)&amp;": "&amp;CHAR(34)&amp;SUBSTITUTE(CriteriTecnici!$C2054,CHAR(34),"'")&amp;CHAR(34)&amp;", "&amp;CHAR(34)&amp;"criterionId"&amp;CHAR(34)&amp;": "&amp;CHAR(34)&amp;SUBSTITUTE(CriteriTecnici!$D2054,CHAR(34),"'")&amp;CHAR(34)&amp;", "&amp;CHAR(34)&amp;"kind"&amp;CHAR(34)&amp;": "&amp;CHAR(34)&amp;SUBSTITUTE(CriteriTecnici!$F2054,CHAR(34),"'")&amp;CHAR(34)&amp;", "&amp;CHAR(34)&amp;"value"&amp;CHAR(34)&amp;": "&amp;SUBSTITUTE(TRIM(ROUND(IFERROR(CriteriTecnici!$N2054*1,IFERROR(NUMBERVALUE(CriteriTecnici!$N2054,".",","),IFERROR(NUMBERVALUE(CriteriTecnici!$N2054,",","."),0))),4)&amp;""),",",".")&amp;", "&amp;CHAR(34)&amp;"numerator"&amp;CHAR(34)&amp;": "&amp;SUBSTITUTE(TRIM(ROUND(IFERROR(CriteriTecnici!$K2054*1,IFERROR(NUMBERVALUE(CriteriTecnici!$K2054,".",","),IFERROR(NUMBERVALUE(CriteriTecnici!$K2054,",","."),0))),4)&amp;""),",",".")&amp;", "&amp;CHAR(34)&amp;"denominator"&amp;CHAR(34)&amp;": "&amp;SUBSTITUTE(TRIM(ROUND(IFERROR(CriteriTecnici!$L2054*1,IFERROR(NUMBERVALUE(CriteriTecnici!$L2054,".",","),IFERROR(NUMBERVALUE(CriteriTecnici!$L2054,",","."),0))),4)&amp;""),",",".")&amp;", "&amp;CHAR(34)&amp;"flag"&amp;CHAR(34)&amp;": "&amp;SUBSTITUTE(TRIM(ROUND(IFERROR(CriteriTecnici!$M2054*1,IFERROR(NUMBERVALUE(CriteriTecnici!$M2054,".",","),IFERROR(NUMBERVALUE(CriteriTecnici!$M2054,",","."),0))),4)&amp;""),",",".")&amp;", "&amp;CHAR(34)&amp;"rawScore"&amp;CHAR(34)&amp;": "&amp;SUBSTITUTE(TRIM(ROUND(IFERROR(CriteriTecnici!$O2054*1,IFERROR(NUMBERVALUE(CriteriTecnici!$O2054,".",","),IFERROR(NUMBERVALUE(CriteriTecnici!$O2054,",","."),0))),4)&amp;""),",",".")&amp;CHAR(125)&amp;IF(TRUE,",",""))</f>
        <v/>
      </c>
    </row>
    <row r="2156">
      <c r="A2156" s="82">
        <f>IF(CriteriTecnici!$A2055="","","    "&amp;CHAR(123)&amp;CHAR(34)&amp;"bidderId"&amp;CHAR(34)&amp;": "&amp;CHAR(34)&amp;SUBSTITUTE(CriteriTecnici!$A2055,CHAR(34),"'")&amp;CHAR(34)&amp;", "&amp;CHAR(34)&amp;"lotId"&amp;CHAR(34)&amp;": "&amp;CHAR(34)&amp;SUBSTITUTE(CriteriTecnici!$C2055,CHAR(34),"'")&amp;CHAR(34)&amp;", "&amp;CHAR(34)&amp;"criterionId"&amp;CHAR(34)&amp;": "&amp;CHAR(34)&amp;SUBSTITUTE(CriteriTecnici!$D2055,CHAR(34),"'")&amp;CHAR(34)&amp;", "&amp;CHAR(34)&amp;"kind"&amp;CHAR(34)&amp;": "&amp;CHAR(34)&amp;SUBSTITUTE(CriteriTecnici!$F2055,CHAR(34),"'")&amp;CHAR(34)&amp;", "&amp;CHAR(34)&amp;"value"&amp;CHAR(34)&amp;": "&amp;SUBSTITUTE(TRIM(ROUND(IFERROR(CriteriTecnici!$N2055*1,IFERROR(NUMBERVALUE(CriteriTecnici!$N2055,".",","),IFERROR(NUMBERVALUE(CriteriTecnici!$N2055,",","."),0))),4)&amp;""),",",".")&amp;", "&amp;CHAR(34)&amp;"numerator"&amp;CHAR(34)&amp;": "&amp;SUBSTITUTE(TRIM(ROUND(IFERROR(CriteriTecnici!$K2055*1,IFERROR(NUMBERVALUE(CriteriTecnici!$K2055,".",","),IFERROR(NUMBERVALUE(CriteriTecnici!$K2055,",","."),0))),4)&amp;""),",",".")&amp;", "&amp;CHAR(34)&amp;"denominator"&amp;CHAR(34)&amp;": "&amp;SUBSTITUTE(TRIM(ROUND(IFERROR(CriteriTecnici!$L2055*1,IFERROR(NUMBERVALUE(CriteriTecnici!$L2055,".",","),IFERROR(NUMBERVALUE(CriteriTecnici!$L2055,",","."),0))),4)&amp;""),",",".")&amp;", "&amp;CHAR(34)&amp;"flag"&amp;CHAR(34)&amp;": "&amp;SUBSTITUTE(TRIM(ROUND(IFERROR(CriteriTecnici!$M2055*1,IFERROR(NUMBERVALUE(CriteriTecnici!$M2055,".",","),IFERROR(NUMBERVALUE(CriteriTecnici!$M2055,",","."),0))),4)&amp;""),",",".")&amp;", "&amp;CHAR(34)&amp;"rawScore"&amp;CHAR(34)&amp;": "&amp;SUBSTITUTE(TRIM(ROUND(IFERROR(CriteriTecnici!$O2055*1,IFERROR(NUMBERVALUE(CriteriTecnici!$O2055,".",","),IFERROR(NUMBERVALUE(CriteriTecnici!$O2055,",","."),0))),4)&amp;""),",",".")&amp;CHAR(125)&amp;IF(TRUE,",",""))</f>
        <v/>
      </c>
    </row>
    <row r="2157">
      <c r="A2157" s="82">
        <f>IF(CriteriTecnici!$A2056="","","    "&amp;CHAR(123)&amp;CHAR(34)&amp;"bidderId"&amp;CHAR(34)&amp;": "&amp;CHAR(34)&amp;SUBSTITUTE(CriteriTecnici!$A2056,CHAR(34),"'")&amp;CHAR(34)&amp;", "&amp;CHAR(34)&amp;"lotId"&amp;CHAR(34)&amp;": "&amp;CHAR(34)&amp;SUBSTITUTE(CriteriTecnici!$C2056,CHAR(34),"'")&amp;CHAR(34)&amp;", "&amp;CHAR(34)&amp;"criterionId"&amp;CHAR(34)&amp;": "&amp;CHAR(34)&amp;SUBSTITUTE(CriteriTecnici!$D2056,CHAR(34),"'")&amp;CHAR(34)&amp;", "&amp;CHAR(34)&amp;"kind"&amp;CHAR(34)&amp;": "&amp;CHAR(34)&amp;SUBSTITUTE(CriteriTecnici!$F2056,CHAR(34),"'")&amp;CHAR(34)&amp;", "&amp;CHAR(34)&amp;"value"&amp;CHAR(34)&amp;": "&amp;SUBSTITUTE(TRIM(ROUND(IFERROR(CriteriTecnici!$N2056*1,IFERROR(NUMBERVALUE(CriteriTecnici!$N2056,".",","),IFERROR(NUMBERVALUE(CriteriTecnici!$N2056,",","."),0))),4)&amp;""),",",".")&amp;", "&amp;CHAR(34)&amp;"numerator"&amp;CHAR(34)&amp;": "&amp;SUBSTITUTE(TRIM(ROUND(IFERROR(CriteriTecnici!$K2056*1,IFERROR(NUMBERVALUE(CriteriTecnici!$K2056,".",","),IFERROR(NUMBERVALUE(CriteriTecnici!$K2056,",","."),0))),4)&amp;""),",",".")&amp;", "&amp;CHAR(34)&amp;"denominator"&amp;CHAR(34)&amp;": "&amp;SUBSTITUTE(TRIM(ROUND(IFERROR(CriteriTecnici!$L2056*1,IFERROR(NUMBERVALUE(CriteriTecnici!$L2056,".",","),IFERROR(NUMBERVALUE(CriteriTecnici!$L2056,",","."),0))),4)&amp;""),",",".")&amp;", "&amp;CHAR(34)&amp;"flag"&amp;CHAR(34)&amp;": "&amp;SUBSTITUTE(TRIM(ROUND(IFERROR(CriteriTecnici!$M2056*1,IFERROR(NUMBERVALUE(CriteriTecnici!$M2056,".",","),IFERROR(NUMBERVALUE(CriteriTecnici!$M2056,",","."),0))),4)&amp;""),",",".")&amp;", "&amp;CHAR(34)&amp;"rawScore"&amp;CHAR(34)&amp;": "&amp;SUBSTITUTE(TRIM(ROUND(IFERROR(CriteriTecnici!$O2056*1,IFERROR(NUMBERVALUE(CriteriTecnici!$O2056,".",","),IFERROR(NUMBERVALUE(CriteriTecnici!$O2056,",","."),0))),4)&amp;""),",",".")&amp;CHAR(125)&amp;IF(TRUE,",",""))</f>
        <v/>
      </c>
    </row>
    <row r="2158">
      <c r="A2158" s="82">
        <f>IF(CriteriTecnici!$A2057="","","    "&amp;CHAR(123)&amp;CHAR(34)&amp;"bidderId"&amp;CHAR(34)&amp;": "&amp;CHAR(34)&amp;SUBSTITUTE(CriteriTecnici!$A2057,CHAR(34),"'")&amp;CHAR(34)&amp;", "&amp;CHAR(34)&amp;"lotId"&amp;CHAR(34)&amp;": "&amp;CHAR(34)&amp;SUBSTITUTE(CriteriTecnici!$C2057,CHAR(34),"'")&amp;CHAR(34)&amp;", "&amp;CHAR(34)&amp;"criterionId"&amp;CHAR(34)&amp;": "&amp;CHAR(34)&amp;SUBSTITUTE(CriteriTecnici!$D2057,CHAR(34),"'")&amp;CHAR(34)&amp;", "&amp;CHAR(34)&amp;"kind"&amp;CHAR(34)&amp;": "&amp;CHAR(34)&amp;SUBSTITUTE(CriteriTecnici!$F2057,CHAR(34),"'")&amp;CHAR(34)&amp;", "&amp;CHAR(34)&amp;"value"&amp;CHAR(34)&amp;": "&amp;SUBSTITUTE(TRIM(ROUND(IFERROR(CriteriTecnici!$N2057*1,IFERROR(NUMBERVALUE(CriteriTecnici!$N2057,".",","),IFERROR(NUMBERVALUE(CriteriTecnici!$N2057,",","."),0))),4)&amp;""),",",".")&amp;", "&amp;CHAR(34)&amp;"numerator"&amp;CHAR(34)&amp;": "&amp;SUBSTITUTE(TRIM(ROUND(IFERROR(CriteriTecnici!$K2057*1,IFERROR(NUMBERVALUE(CriteriTecnici!$K2057,".",","),IFERROR(NUMBERVALUE(CriteriTecnici!$K2057,",","."),0))),4)&amp;""),",",".")&amp;", "&amp;CHAR(34)&amp;"denominator"&amp;CHAR(34)&amp;": "&amp;SUBSTITUTE(TRIM(ROUND(IFERROR(CriteriTecnici!$L2057*1,IFERROR(NUMBERVALUE(CriteriTecnici!$L2057,".",","),IFERROR(NUMBERVALUE(CriteriTecnici!$L2057,",","."),0))),4)&amp;""),",",".")&amp;", "&amp;CHAR(34)&amp;"flag"&amp;CHAR(34)&amp;": "&amp;SUBSTITUTE(TRIM(ROUND(IFERROR(CriteriTecnici!$M2057*1,IFERROR(NUMBERVALUE(CriteriTecnici!$M2057,".",","),IFERROR(NUMBERVALUE(CriteriTecnici!$M2057,",","."),0))),4)&amp;""),",",".")&amp;", "&amp;CHAR(34)&amp;"rawScore"&amp;CHAR(34)&amp;": "&amp;SUBSTITUTE(TRIM(ROUND(IFERROR(CriteriTecnici!$O2057*1,IFERROR(NUMBERVALUE(CriteriTecnici!$O2057,".",","),IFERROR(NUMBERVALUE(CriteriTecnici!$O2057,",","."),0))),4)&amp;""),",",".")&amp;CHAR(125)&amp;IF(TRUE,",",""))</f>
        <v/>
      </c>
    </row>
    <row r="2159">
      <c r="A2159" s="82">
        <f>IF(CriteriTecnici!$A2058="","","    "&amp;CHAR(123)&amp;CHAR(34)&amp;"bidderId"&amp;CHAR(34)&amp;": "&amp;CHAR(34)&amp;SUBSTITUTE(CriteriTecnici!$A2058,CHAR(34),"'")&amp;CHAR(34)&amp;", "&amp;CHAR(34)&amp;"lotId"&amp;CHAR(34)&amp;": "&amp;CHAR(34)&amp;SUBSTITUTE(CriteriTecnici!$C2058,CHAR(34),"'")&amp;CHAR(34)&amp;", "&amp;CHAR(34)&amp;"criterionId"&amp;CHAR(34)&amp;": "&amp;CHAR(34)&amp;SUBSTITUTE(CriteriTecnici!$D2058,CHAR(34),"'")&amp;CHAR(34)&amp;", "&amp;CHAR(34)&amp;"kind"&amp;CHAR(34)&amp;": "&amp;CHAR(34)&amp;SUBSTITUTE(CriteriTecnici!$F2058,CHAR(34),"'")&amp;CHAR(34)&amp;", "&amp;CHAR(34)&amp;"value"&amp;CHAR(34)&amp;": "&amp;SUBSTITUTE(TRIM(ROUND(IFERROR(CriteriTecnici!$N2058*1,IFERROR(NUMBERVALUE(CriteriTecnici!$N2058,".",","),IFERROR(NUMBERVALUE(CriteriTecnici!$N2058,",","."),0))),4)&amp;""),",",".")&amp;", "&amp;CHAR(34)&amp;"numerator"&amp;CHAR(34)&amp;": "&amp;SUBSTITUTE(TRIM(ROUND(IFERROR(CriteriTecnici!$K2058*1,IFERROR(NUMBERVALUE(CriteriTecnici!$K2058,".",","),IFERROR(NUMBERVALUE(CriteriTecnici!$K2058,",","."),0))),4)&amp;""),",",".")&amp;", "&amp;CHAR(34)&amp;"denominator"&amp;CHAR(34)&amp;": "&amp;SUBSTITUTE(TRIM(ROUND(IFERROR(CriteriTecnici!$L2058*1,IFERROR(NUMBERVALUE(CriteriTecnici!$L2058,".",","),IFERROR(NUMBERVALUE(CriteriTecnici!$L2058,",","."),0))),4)&amp;""),",",".")&amp;", "&amp;CHAR(34)&amp;"flag"&amp;CHAR(34)&amp;": "&amp;SUBSTITUTE(TRIM(ROUND(IFERROR(CriteriTecnici!$M2058*1,IFERROR(NUMBERVALUE(CriteriTecnici!$M2058,".",","),IFERROR(NUMBERVALUE(CriteriTecnici!$M2058,",","."),0))),4)&amp;""),",",".")&amp;", "&amp;CHAR(34)&amp;"rawScore"&amp;CHAR(34)&amp;": "&amp;SUBSTITUTE(TRIM(ROUND(IFERROR(CriteriTecnici!$O2058*1,IFERROR(NUMBERVALUE(CriteriTecnici!$O2058,".",","),IFERROR(NUMBERVALUE(CriteriTecnici!$O2058,",","."),0))),4)&amp;""),",",".")&amp;CHAR(125)&amp;IF(TRUE,",",""))</f>
        <v/>
      </c>
    </row>
    <row r="2160">
      <c r="A2160" s="82">
        <f>IF(CriteriTecnici!$A2059="","","    "&amp;CHAR(123)&amp;CHAR(34)&amp;"bidderId"&amp;CHAR(34)&amp;": "&amp;CHAR(34)&amp;SUBSTITUTE(CriteriTecnici!$A2059,CHAR(34),"'")&amp;CHAR(34)&amp;", "&amp;CHAR(34)&amp;"lotId"&amp;CHAR(34)&amp;": "&amp;CHAR(34)&amp;SUBSTITUTE(CriteriTecnici!$C2059,CHAR(34),"'")&amp;CHAR(34)&amp;", "&amp;CHAR(34)&amp;"criterionId"&amp;CHAR(34)&amp;": "&amp;CHAR(34)&amp;SUBSTITUTE(CriteriTecnici!$D2059,CHAR(34),"'")&amp;CHAR(34)&amp;", "&amp;CHAR(34)&amp;"kind"&amp;CHAR(34)&amp;": "&amp;CHAR(34)&amp;SUBSTITUTE(CriteriTecnici!$F2059,CHAR(34),"'")&amp;CHAR(34)&amp;", "&amp;CHAR(34)&amp;"value"&amp;CHAR(34)&amp;": "&amp;SUBSTITUTE(TRIM(ROUND(IFERROR(CriteriTecnici!$N2059*1,IFERROR(NUMBERVALUE(CriteriTecnici!$N2059,".",","),IFERROR(NUMBERVALUE(CriteriTecnici!$N2059,",","."),0))),4)&amp;""),",",".")&amp;", "&amp;CHAR(34)&amp;"numerator"&amp;CHAR(34)&amp;": "&amp;SUBSTITUTE(TRIM(ROUND(IFERROR(CriteriTecnici!$K2059*1,IFERROR(NUMBERVALUE(CriteriTecnici!$K2059,".",","),IFERROR(NUMBERVALUE(CriteriTecnici!$K2059,",","."),0))),4)&amp;""),",",".")&amp;", "&amp;CHAR(34)&amp;"denominator"&amp;CHAR(34)&amp;": "&amp;SUBSTITUTE(TRIM(ROUND(IFERROR(CriteriTecnici!$L2059*1,IFERROR(NUMBERVALUE(CriteriTecnici!$L2059,".",","),IFERROR(NUMBERVALUE(CriteriTecnici!$L2059,",","."),0))),4)&amp;""),",",".")&amp;", "&amp;CHAR(34)&amp;"flag"&amp;CHAR(34)&amp;": "&amp;SUBSTITUTE(TRIM(ROUND(IFERROR(CriteriTecnici!$M2059*1,IFERROR(NUMBERVALUE(CriteriTecnici!$M2059,".",","),IFERROR(NUMBERVALUE(CriteriTecnici!$M2059,",","."),0))),4)&amp;""),",",".")&amp;", "&amp;CHAR(34)&amp;"rawScore"&amp;CHAR(34)&amp;": "&amp;SUBSTITUTE(TRIM(ROUND(IFERROR(CriteriTecnici!$O2059*1,IFERROR(NUMBERVALUE(CriteriTecnici!$O2059,".",","),IFERROR(NUMBERVALUE(CriteriTecnici!$O2059,",","."),0))),4)&amp;""),",",".")&amp;CHAR(125)&amp;IF(TRUE,",",""))</f>
        <v/>
      </c>
    </row>
    <row r="2161">
      <c r="A2161" s="82">
        <f>IF(CriteriTecnici!$A2060="","","    "&amp;CHAR(123)&amp;CHAR(34)&amp;"bidderId"&amp;CHAR(34)&amp;": "&amp;CHAR(34)&amp;SUBSTITUTE(CriteriTecnici!$A2060,CHAR(34),"'")&amp;CHAR(34)&amp;", "&amp;CHAR(34)&amp;"lotId"&amp;CHAR(34)&amp;": "&amp;CHAR(34)&amp;SUBSTITUTE(CriteriTecnici!$C2060,CHAR(34),"'")&amp;CHAR(34)&amp;", "&amp;CHAR(34)&amp;"criterionId"&amp;CHAR(34)&amp;": "&amp;CHAR(34)&amp;SUBSTITUTE(CriteriTecnici!$D2060,CHAR(34),"'")&amp;CHAR(34)&amp;", "&amp;CHAR(34)&amp;"kind"&amp;CHAR(34)&amp;": "&amp;CHAR(34)&amp;SUBSTITUTE(CriteriTecnici!$F2060,CHAR(34),"'")&amp;CHAR(34)&amp;", "&amp;CHAR(34)&amp;"value"&amp;CHAR(34)&amp;": "&amp;SUBSTITUTE(TRIM(ROUND(IFERROR(CriteriTecnici!$N2060*1,IFERROR(NUMBERVALUE(CriteriTecnici!$N2060,".",","),IFERROR(NUMBERVALUE(CriteriTecnici!$N2060,",","."),0))),4)&amp;""),",",".")&amp;", "&amp;CHAR(34)&amp;"numerator"&amp;CHAR(34)&amp;": "&amp;SUBSTITUTE(TRIM(ROUND(IFERROR(CriteriTecnici!$K2060*1,IFERROR(NUMBERVALUE(CriteriTecnici!$K2060,".",","),IFERROR(NUMBERVALUE(CriteriTecnici!$K2060,",","."),0))),4)&amp;""),",",".")&amp;", "&amp;CHAR(34)&amp;"denominator"&amp;CHAR(34)&amp;": "&amp;SUBSTITUTE(TRIM(ROUND(IFERROR(CriteriTecnici!$L2060*1,IFERROR(NUMBERVALUE(CriteriTecnici!$L2060,".",","),IFERROR(NUMBERVALUE(CriteriTecnici!$L2060,",","."),0))),4)&amp;""),",",".")&amp;", "&amp;CHAR(34)&amp;"flag"&amp;CHAR(34)&amp;": "&amp;SUBSTITUTE(TRIM(ROUND(IFERROR(CriteriTecnici!$M2060*1,IFERROR(NUMBERVALUE(CriteriTecnici!$M2060,".",","),IFERROR(NUMBERVALUE(CriteriTecnici!$M2060,",","."),0))),4)&amp;""),",",".")&amp;", "&amp;CHAR(34)&amp;"rawScore"&amp;CHAR(34)&amp;": "&amp;SUBSTITUTE(TRIM(ROUND(IFERROR(CriteriTecnici!$O2060*1,IFERROR(NUMBERVALUE(CriteriTecnici!$O2060,".",","),IFERROR(NUMBERVALUE(CriteriTecnici!$O2060,",","."),0))),4)&amp;""),",",".")&amp;CHAR(125)&amp;IF(TRUE,",",""))</f>
        <v/>
      </c>
    </row>
    <row r="2162">
      <c r="A2162" s="82">
        <f>IF(CriteriTecnici!$A2061="","","    "&amp;CHAR(123)&amp;CHAR(34)&amp;"bidderId"&amp;CHAR(34)&amp;": "&amp;CHAR(34)&amp;SUBSTITUTE(CriteriTecnici!$A2061,CHAR(34),"'")&amp;CHAR(34)&amp;", "&amp;CHAR(34)&amp;"lotId"&amp;CHAR(34)&amp;": "&amp;CHAR(34)&amp;SUBSTITUTE(CriteriTecnici!$C2061,CHAR(34),"'")&amp;CHAR(34)&amp;", "&amp;CHAR(34)&amp;"criterionId"&amp;CHAR(34)&amp;": "&amp;CHAR(34)&amp;SUBSTITUTE(CriteriTecnici!$D2061,CHAR(34),"'")&amp;CHAR(34)&amp;", "&amp;CHAR(34)&amp;"kind"&amp;CHAR(34)&amp;": "&amp;CHAR(34)&amp;SUBSTITUTE(CriteriTecnici!$F2061,CHAR(34),"'")&amp;CHAR(34)&amp;", "&amp;CHAR(34)&amp;"value"&amp;CHAR(34)&amp;": "&amp;SUBSTITUTE(TRIM(ROUND(IFERROR(CriteriTecnici!$N2061*1,IFERROR(NUMBERVALUE(CriteriTecnici!$N2061,".",","),IFERROR(NUMBERVALUE(CriteriTecnici!$N2061,",","."),0))),4)&amp;""),",",".")&amp;", "&amp;CHAR(34)&amp;"numerator"&amp;CHAR(34)&amp;": "&amp;SUBSTITUTE(TRIM(ROUND(IFERROR(CriteriTecnici!$K2061*1,IFERROR(NUMBERVALUE(CriteriTecnici!$K2061,".",","),IFERROR(NUMBERVALUE(CriteriTecnici!$K2061,",","."),0))),4)&amp;""),",",".")&amp;", "&amp;CHAR(34)&amp;"denominator"&amp;CHAR(34)&amp;": "&amp;SUBSTITUTE(TRIM(ROUND(IFERROR(CriteriTecnici!$L2061*1,IFERROR(NUMBERVALUE(CriteriTecnici!$L2061,".",","),IFERROR(NUMBERVALUE(CriteriTecnici!$L2061,",","."),0))),4)&amp;""),",",".")&amp;", "&amp;CHAR(34)&amp;"flag"&amp;CHAR(34)&amp;": "&amp;SUBSTITUTE(TRIM(ROUND(IFERROR(CriteriTecnici!$M2061*1,IFERROR(NUMBERVALUE(CriteriTecnici!$M2061,".",","),IFERROR(NUMBERVALUE(CriteriTecnici!$M2061,",","."),0))),4)&amp;""),",",".")&amp;", "&amp;CHAR(34)&amp;"rawScore"&amp;CHAR(34)&amp;": "&amp;SUBSTITUTE(TRIM(ROUND(IFERROR(CriteriTecnici!$O2061*1,IFERROR(NUMBERVALUE(CriteriTecnici!$O2061,".",","),IFERROR(NUMBERVALUE(CriteriTecnici!$O2061,",","."),0))),4)&amp;""),",",".")&amp;CHAR(125)&amp;IF(TRUE,",",""))</f>
        <v/>
      </c>
    </row>
    <row r="2163">
      <c r="A2163" s="82">
        <f>IF(CriteriTecnici!$A2062="","","    "&amp;CHAR(123)&amp;CHAR(34)&amp;"bidderId"&amp;CHAR(34)&amp;": "&amp;CHAR(34)&amp;SUBSTITUTE(CriteriTecnici!$A2062,CHAR(34),"'")&amp;CHAR(34)&amp;", "&amp;CHAR(34)&amp;"lotId"&amp;CHAR(34)&amp;": "&amp;CHAR(34)&amp;SUBSTITUTE(CriteriTecnici!$C2062,CHAR(34),"'")&amp;CHAR(34)&amp;", "&amp;CHAR(34)&amp;"criterionId"&amp;CHAR(34)&amp;": "&amp;CHAR(34)&amp;SUBSTITUTE(CriteriTecnici!$D2062,CHAR(34),"'")&amp;CHAR(34)&amp;", "&amp;CHAR(34)&amp;"kind"&amp;CHAR(34)&amp;": "&amp;CHAR(34)&amp;SUBSTITUTE(CriteriTecnici!$F2062,CHAR(34),"'")&amp;CHAR(34)&amp;", "&amp;CHAR(34)&amp;"value"&amp;CHAR(34)&amp;": "&amp;SUBSTITUTE(TRIM(ROUND(IFERROR(CriteriTecnici!$N2062*1,IFERROR(NUMBERVALUE(CriteriTecnici!$N2062,".",","),IFERROR(NUMBERVALUE(CriteriTecnici!$N2062,",","."),0))),4)&amp;""),",",".")&amp;", "&amp;CHAR(34)&amp;"numerator"&amp;CHAR(34)&amp;": "&amp;SUBSTITUTE(TRIM(ROUND(IFERROR(CriteriTecnici!$K2062*1,IFERROR(NUMBERVALUE(CriteriTecnici!$K2062,".",","),IFERROR(NUMBERVALUE(CriteriTecnici!$K2062,",","."),0))),4)&amp;""),",",".")&amp;", "&amp;CHAR(34)&amp;"denominator"&amp;CHAR(34)&amp;": "&amp;SUBSTITUTE(TRIM(ROUND(IFERROR(CriteriTecnici!$L2062*1,IFERROR(NUMBERVALUE(CriteriTecnici!$L2062,".",","),IFERROR(NUMBERVALUE(CriteriTecnici!$L2062,",","."),0))),4)&amp;""),",",".")&amp;", "&amp;CHAR(34)&amp;"flag"&amp;CHAR(34)&amp;": "&amp;SUBSTITUTE(TRIM(ROUND(IFERROR(CriteriTecnici!$M2062*1,IFERROR(NUMBERVALUE(CriteriTecnici!$M2062,".",","),IFERROR(NUMBERVALUE(CriteriTecnici!$M2062,",","."),0))),4)&amp;""),",",".")&amp;", "&amp;CHAR(34)&amp;"rawScore"&amp;CHAR(34)&amp;": "&amp;SUBSTITUTE(TRIM(ROUND(IFERROR(CriteriTecnici!$O2062*1,IFERROR(NUMBERVALUE(CriteriTecnici!$O2062,".",","),IFERROR(NUMBERVALUE(CriteriTecnici!$O2062,",","."),0))),4)&amp;""),",",".")&amp;CHAR(125)&amp;IF(TRUE,",",""))</f>
        <v/>
      </c>
    </row>
    <row r="2164">
      <c r="A2164" s="82">
        <f>IF(CriteriTecnici!$A2063="","","    "&amp;CHAR(123)&amp;CHAR(34)&amp;"bidderId"&amp;CHAR(34)&amp;": "&amp;CHAR(34)&amp;SUBSTITUTE(CriteriTecnici!$A2063,CHAR(34),"'")&amp;CHAR(34)&amp;", "&amp;CHAR(34)&amp;"lotId"&amp;CHAR(34)&amp;": "&amp;CHAR(34)&amp;SUBSTITUTE(CriteriTecnici!$C2063,CHAR(34),"'")&amp;CHAR(34)&amp;", "&amp;CHAR(34)&amp;"criterionId"&amp;CHAR(34)&amp;": "&amp;CHAR(34)&amp;SUBSTITUTE(CriteriTecnici!$D2063,CHAR(34),"'")&amp;CHAR(34)&amp;", "&amp;CHAR(34)&amp;"kind"&amp;CHAR(34)&amp;": "&amp;CHAR(34)&amp;SUBSTITUTE(CriteriTecnici!$F2063,CHAR(34),"'")&amp;CHAR(34)&amp;", "&amp;CHAR(34)&amp;"value"&amp;CHAR(34)&amp;": "&amp;SUBSTITUTE(TRIM(ROUND(IFERROR(CriteriTecnici!$N2063*1,IFERROR(NUMBERVALUE(CriteriTecnici!$N2063,".",","),IFERROR(NUMBERVALUE(CriteriTecnici!$N2063,",","."),0))),4)&amp;""),",",".")&amp;", "&amp;CHAR(34)&amp;"numerator"&amp;CHAR(34)&amp;": "&amp;SUBSTITUTE(TRIM(ROUND(IFERROR(CriteriTecnici!$K2063*1,IFERROR(NUMBERVALUE(CriteriTecnici!$K2063,".",","),IFERROR(NUMBERVALUE(CriteriTecnici!$K2063,",","."),0))),4)&amp;""),",",".")&amp;", "&amp;CHAR(34)&amp;"denominator"&amp;CHAR(34)&amp;": "&amp;SUBSTITUTE(TRIM(ROUND(IFERROR(CriteriTecnici!$L2063*1,IFERROR(NUMBERVALUE(CriteriTecnici!$L2063,".",","),IFERROR(NUMBERVALUE(CriteriTecnici!$L2063,",","."),0))),4)&amp;""),",",".")&amp;", "&amp;CHAR(34)&amp;"flag"&amp;CHAR(34)&amp;": "&amp;SUBSTITUTE(TRIM(ROUND(IFERROR(CriteriTecnici!$M2063*1,IFERROR(NUMBERVALUE(CriteriTecnici!$M2063,".",","),IFERROR(NUMBERVALUE(CriteriTecnici!$M2063,",","."),0))),4)&amp;""),",",".")&amp;", "&amp;CHAR(34)&amp;"rawScore"&amp;CHAR(34)&amp;": "&amp;SUBSTITUTE(TRIM(ROUND(IFERROR(CriteriTecnici!$O2063*1,IFERROR(NUMBERVALUE(CriteriTecnici!$O2063,".",","),IFERROR(NUMBERVALUE(CriteriTecnici!$O2063,",","."),0))),4)&amp;""),",",".")&amp;CHAR(125)&amp;IF(TRUE,",",""))</f>
        <v/>
      </c>
    </row>
    <row r="2165">
      <c r="A2165" s="82">
        <f>IF(CriteriTecnici!$A2064="","","    "&amp;CHAR(123)&amp;CHAR(34)&amp;"bidderId"&amp;CHAR(34)&amp;": "&amp;CHAR(34)&amp;SUBSTITUTE(CriteriTecnici!$A2064,CHAR(34),"'")&amp;CHAR(34)&amp;", "&amp;CHAR(34)&amp;"lotId"&amp;CHAR(34)&amp;": "&amp;CHAR(34)&amp;SUBSTITUTE(CriteriTecnici!$C2064,CHAR(34),"'")&amp;CHAR(34)&amp;", "&amp;CHAR(34)&amp;"criterionId"&amp;CHAR(34)&amp;": "&amp;CHAR(34)&amp;SUBSTITUTE(CriteriTecnici!$D2064,CHAR(34),"'")&amp;CHAR(34)&amp;", "&amp;CHAR(34)&amp;"kind"&amp;CHAR(34)&amp;": "&amp;CHAR(34)&amp;SUBSTITUTE(CriteriTecnici!$F2064,CHAR(34),"'")&amp;CHAR(34)&amp;", "&amp;CHAR(34)&amp;"value"&amp;CHAR(34)&amp;": "&amp;SUBSTITUTE(TRIM(ROUND(IFERROR(CriteriTecnici!$N2064*1,IFERROR(NUMBERVALUE(CriteriTecnici!$N2064,".",","),IFERROR(NUMBERVALUE(CriteriTecnici!$N2064,",","."),0))),4)&amp;""),",",".")&amp;", "&amp;CHAR(34)&amp;"numerator"&amp;CHAR(34)&amp;": "&amp;SUBSTITUTE(TRIM(ROUND(IFERROR(CriteriTecnici!$K2064*1,IFERROR(NUMBERVALUE(CriteriTecnici!$K2064,".",","),IFERROR(NUMBERVALUE(CriteriTecnici!$K2064,",","."),0))),4)&amp;""),",",".")&amp;", "&amp;CHAR(34)&amp;"denominator"&amp;CHAR(34)&amp;": "&amp;SUBSTITUTE(TRIM(ROUND(IFERROR(CriteriTecnici!$L2064*1,IFERROR(NUMBERVALUE(CriteriTecnici!$L2064,".",","),IFERROR(NUMBERVALUE(CriteriTecnici!$L2064,",","."),0))),4)&amp;""),",",".")&amp;", "&amp;CHAR(34)&amp;"flag"&amp;CHAR(34)&amp;": "&amp;SUBSTITUTE(TRIM(ROUND(IFERROR(CriteriTecnici!$M2064*1,IFERROR(NUMBERVALUE(CriteriTecnici!$M2064,".",","),IFERROR(NUMBERVALUE(CriteriTecnici!$M2064,",","."),0))),4)&amp;""),",",".")&amp;", "&amp;CHAR(34)&amp;"rawScore"&amp;CHAR(34)&amp;": "&amp;SUBSTITUTE(TRIM(ROUND(IFERROR(CriteriTecnici!$O2064*1,IFERROR(NUMBERVALUE(CriteriTecnici!$O2064,".",","),IFERROR(NUMBERVALUE(CriteriTecnici!$O2064,",","."),0))),4)&amp;""),",",".")&amp;CHAR(125)&amp;IF(TRUE,",",""))</f>
        <v/>
      </c>
    </row>
    <row r="2166">
      <c r="A2166" s="82">
        <f>IF(CriteriTecnici!$A2065="","","    "&amp;CHAR(123)&amp;CHAR(34)&amp;"bidderId"&amp;CHAR(34)&amp;": "&amp;CHAR(34)&amp;SUBSTITUTE(CriteriTecnici!$A2065,CHAR(34),"'")&amp;CHAR(34)&amp;", "&amp;CHAR(34)&amp;"lotId"&amp;CHAR(34)&amp;": "&amp;CHAR(34)&amp;SUBSTITUTE(CriteriTecnici!$C2065,CHAR(34),"'")&amp;CHAR(34)&amp;", "&amp;CHAR(34)&amp;"criterionId"&amp;CHAR(34)&amp;": "&amp;CHAR(34)&amp;SUBSTITUTE(CriteriTecnici!$D2065,CHAR(34),"'")&amp;CHAR(34)&amp;", "&amp;CHAR(34)&amp;"kind"&amp;CHAR(34)&amp;": "&amp;CHAR(34)&amp;SUBSTITUTE(CriteriTecnici!$F2065,CHAR(34),"'")&amp;CHAR(34)&amp;", "&amp;CHAR(34)&amp;"value"&amp;CHAR(34)&amp;": "&amp;SUBSTITUTE(TRIM(ROUND(IFERROR(CriteriTecnici!$N2065*1,IFERROR(NUMBERVALUE(CriteriTecnici!$N2065,".",","),IFERROR(NUMBERVALUE(CriteriTecnici!$N2065,",","."),0))),4)&amp;""),",",".")&amp;", "&amp;CHAR(34)&amp;"numerator"&amp;CHAR(34)&amp;": "&amp;SUBSTITUTE(TRIM(ROUND(IFERROR(CriteriTecnici!$K2065*1,IFERROR(NUMBERVALUE(CriteriTecnici!$K2065,".",","),IFERROR(NUMBERVALUE(CriteriTecnici!$K2065,",","."),0))),4)&amp;""),",",".")&amp;", "&amp;CHAR(34)&amp;"denominator"&amp;CHAR(34)&amp;": "&amp;SUBSTITUTE(TRIM(ROUND(IFERROR(CriteriTecnici!$L2065*1,IFERROR(NUMBERVALUE(CriteriTecnici!$L2065,".",","),IFERROR(NUMBERVALUE(CriteriTecnici!$L2065,",","."),0))),4)&amp;""),",",".")&amp;", "&amp;CHAR(34)&amp;"flag"&amp;CHAR(34)&amp;": "&amp;SUBSTITUTE(TRIM(ROUND(IFERROR(CriteriTecnici!$M2065*1,IFERROR(NUMBERVALUE(CriteriTecnici!$M2065,".",","),IFERROR(NUMBERVALUE(CriteriTecnici!$M2065,",","."),0))),4)&amp;""),",",".")&amp;", "&amp;CHAR(34)&amp;"rawScore"&amp;CHAR(34)&amp;": "&amp;SUBSTITUTE(TRIM(ROUND(IFERROR(CriteriTecnici!$O2065*1,IFERROR(NUMBERVALUE(CriteriTecnici!$O2065,".",","),IFERROR(NUMBERVALUE(CriteriTecnici!$O2065,",","."),0))),4)&amp;""),",",".")&amp;CHAR(125)&amp;IF(TRUE,",",""))</f>
        <v/>
      </c>
    </row>
    <row r="2167">
      <c r="A2167" s="82">
        <f>IF(CriteriTecnici!$A2066="","","    "&amp;CHAR(123)&amp;CHAR(34)&amp;"bidderId"&amp;CHAR(34)&amp;": "&amp;CHAR(34)&amp;SUBSTITUTE(CriteriTecnici!$A2066,CHAR(34),"'")&amp;CHAR(34)&amp;", "&amp;CHAR(34)&amp;"lotId"&amp;CHAR(34)&amp;": "&amp;CHAR(34)&amp;SUBSTITUTE(CriteriTecnici!$C2066,CHAR(34),"'")&amp;CHAR(34)&amp;", "&amp;CHAR(34)&amp;"criterionId"&amp;CHAR(34)&amp;": "&amp;CHAR(34)&amp;SUBSTITUTE(CriteriTecnici!$D2066,CHAR(34),"'")&amp;CHAR(34)&amp;", "&amp;CHAR(34)&amp;"kind"&amp;CHAR(34)&amp;": "&amp;CHAR(34)&amp;SUBSTITUTE(CriteriTecnici!$F2066,CHAR(34),"'")&amp;CHAR(34)&amp;", "&amp;CHAR(34)&amp;"value"&amp;CHAR(34)&amp;": "&amp;SUBSTITUTE(TRIM(ROUND(IFERROR(CriteriTecnici!$N2066*1,IFERROR(NUMBERVALUE(CriteriTecnici!$N2066,".",","),IFERROR(NUMBERVALUE(CriteriTecnici!$N2066,",","."),0))),4)&amp;""),",",".")&amp;", "&amp;CHAR(34)&amp;"numerator"&amp;CHAR(34)&amp;": "&amp;SUBSTITUTE(TRIM(ROUND(IFERROR(CriteriTecnici!$K2066*1,IFERROR(NUMBERVALUE(CriteriTecnici!$K2066,".",","),IFERROR(NUMBERVALUE(CriteriTecnici!$K2066,",","."),0))),4)&amp;""),",",".")&amp;", "&amp;CHAR(34)&amp;"denominator"&amp;CHAR(34)&amp;": "&amp;SUBSTITUTE(TRIM(ROUND(IFERROR(CriteriTecnici!$L2066*1,IFERROR(NUMBERVALUE(CriteriTecnici!$L2066,".",","),IFERROR(NUMBERVALUE(CriteriTecnici!$L2066,",","."),0))),4)&amp;""),",",".")&amp;", "&amp;CHAR(34)&amp;"flag"&amp;CHAR(34)&amp;": "&amp;SUBSTITUTE(TRIM(ROUND(IFERROR(CriteriTecnici!$M2066*1,IFERROR(NUMBERVALUE(CriteriTecnici!$M2066,".",","),IFERROR(NUMBERVALUE(CriteriTecnici!$M2066,",","."),0))),4)&amp;""),",",".")&amp;", "&amp;CHAR(34)&amp;"rawScore"&amp;CHAR(34)&amp;": "&amp;SUBSTITUTE(TRIM(ROUND(IFERROR(CriteriTecnici!$O2066*1,IFERROR(NUMBERVALUE(CriteriTecnici!$O2066,".",","),IFERROR(NUMBERVALUE(CriteriTecnici!$O2066,",","."),0))),4)&amp;""),",",".")&amp;CHAR(125)&amp;IF(TRUE,",",""))</f>
        <v/>
      </c>
    </row>
    <row r="2168">
      <c r="A2168" s="82">
        <f>IF(CriteriTecnici!$A2067="","","    "&amp;CHAR(123)&amp;CHAR(34)&amp;"bidderId"&amp;CHAR(34)&amp;": "&amp;CHAR(34)&amp;SUBSTITUTE(CriteriTecnici!$A2067,CHAR(34),"'")&amp;CHAR(34)&amp;", "&amp;CHAR(34)&amp;"lotId"&amp;CHAR(34)&amp;": "&amp;CHAR(34)&amp;SUBSTITUTE(CriteriTecnici!$C2067,CHAR(34),"'")&amp;CHAR(34)&amp;", "&amp;CHAR(34)&amp;"criterionId"&amp;CHAR(34)&amp;": "&amp;CHAR(34)&amp;SUBSTITUTE(CriteriTecnici!$D2067,CHAR(34),"'")&amp;CHAR(34)&amp;", "&amp;CHAR(34)&amp;"kind"&amp;CHAR(34)&amp;": "&amp;CHAR(34)&amp;SUBSTITUTE(CriteriTecnici!$F2067,CHAR(34),"'")&amp;CHAR(34)&amp;", "&amp;CHAR(34)&amp;"value"&amp;CHAR(34)&amp;": "&amp;SUBSTITUTE(TRIM(ROUND(IFERROR(CriteriTecnici!$N2067*1,IFERROR(NUMBERVALUE(CriteriTecnici!$N2067,".",","),IFERROR(NUMBERVALUE(CriteriTecnici!$N2067,",","."),0))),4)&amp;""),",",".")&amp;", "&amp;CHAR(34)&amp;"numerator"&amp;CHAR(34)&amp;": "&amp;SUBSTITUTE(TRIM(ROUND(IFERROR(CriteriTecnici!$K2067*1,IFERROR(NUMBERVALUE(CriteriTecnici!$K2067,".",","),IFERROR(NUMBERVALUE(CriteriTecnici!$K2067,",","."),0))),4)&amp;""),",",".")&amp;", "&amp;CHAR(34)&amp;"denominator"&amp;CHAR(34)&amp;": "&amp;SUBSTITUTE(TRIM(ROUND(IFERROR(CriteriTecnici!$L2067*1,IFERROR(NUMBERVALUE(CriteriTecnici!$L2067,".",","),IFERROR(NUMBERVALUE(CriteriTecnici!$L2067,",","."),0))),4)&amp;""),",",".")&amp;", "&amp;CHAR(34)&amp;"flag"&amp;CHAR(34)&amp;": "&amp;SUBSTITUTE(TRIM(ROUND(IFERROR(CriteriTecnici!$M2067*1,IFERROR(NUMBERVALUE(CriteriTecnici!$M2067,".",","),IFERROR(NUMBERVALUE(CriteriTecnici!$M2067,",","."),0))),4)&amp;""),",",".")&amp;", "&amp;CHAR(34)&amp;"rawScore"&amp;CHAR(34)&amp;": "&amp;SUBSTITUTE(TRIM(ROUND(IFERROR(CriteriTecnici!$O2067*1,IFERROR(NUMBERVALUE(CriteriTecnici!$O2067,".",","),IFERROR(NUMBERVALUE(CriteriTecnici!$O2067,",","."),0))),4)&amp;""),",",".")&amp;CHAR(125)&amp;IF(TRUE,",",""))</f>
        <v/>
      </c>
    </row>
    <row r="2169">
      <c r="A2169" s="82">
        <f>IF(CriteriTecnici!$A2068="","","    "&amp;CHAR(123)&amp;CHAR(34)&amp;"bidderId"&amp;CHAR(34)&amp;": "&amp;CHAR(34)&amp;SUBSTITUTE(CriteriTecnici!$A2068,CHAR(34),"'")&amp;CHAR(34)&amp;", "&amp;CHAR(34)&amp;"lotId"&amp;CHAR(34)&amp;": "&amp;CHAR(34)&amp;SUBSTITUTE(CriteriTecnici!$C2068,CHAR(34),"'")&amp;CHAR(34)&amp;", "&amp;CHAR(34)&amp;"criterionId"&amp;CHAR(34)&amp;": "&amp;CHAR(34)&amp;SUBSTITUTE(CriteriTecnici!$D2068,CHAR(34),"'")&amp;CHAR(34)&amp;", "&amp;CHAR(34)&amp;"kind"&amp;CHAR(34)&amp;": "&amp;CHAR(34)&amp;SUBSTITUTE(CriteriTecnici!$F2068,CHAR(34),"'")&amp;CHAR(34)&amp;", "&amp;CHAR(34)&amp;"value"&amp;CHAR(34)&amp;": "&amp;SUBSTITUTE(TRIM(ROUND(IFERROR(CriteriTecnici!$N2068*1,IFERROR(NUMBERVALUE(CriteriTecnici!$N2068,".",","),IFERROR(NUMBERVALUE(CriteriTecnici!$N2068,",","."),0))),4)&amp;""),",",".")&amp;", "&amp;CHAR(34)&amp;"numerator"&amp;CHAR(34)&amp;": "&amp;SUBSTITUTE(TRIM(ROUND(IFERROR(CriteriTecnici!$K2068*1,IFERROR(NUMBERVALUE(CriteriTecnici!$K2068,".",","),IFERROR(NUMBERVALUE(CriteriTecnici!$K2068,",","."),0))),4)&amp;""),",",".")&amp;", "&amp;CHAR(34)&amp;"denominator"&amp;CHAR(34)&amp;": "&amp;SUBSTITUTE(TRIM(ROUND(IFERROR(CriteriTecnici!$L2068*1,IFERROR(NUMBERVALUE(CriteriTecnici!$L2068,".",","),IFERROR(NUMBERVALUE(CriteriTecnici!$L2068,",","."),0))),4)&amp;""),",",".")&amp;", "&amp;CHAR(34)&amp;"flag"&amp;CHAR(34)&amp;": "&amp;SUBSTITUTE(TRIM(ROUND(IFERROR(CriteriTecnici!$M2068*1,IFERROR(NUMBERVALUE(CriteriTecnici!$M2068,".",","),IFERROR(NUMBERVALUE(CriteriTecnici!$M2068,",","."),0))),4)&amp;""),",",".")&amp;", "&amp;CHAR(34)&amp;"rawScore"&amp;CHAR(34)&amp;": "&amp;SUBSTITUTE(TRIM(ROUND(IFERROR(CriteriTecnici!$O2068*1,IFERROR(NUMBERVALUE(CriteriTecnici!$O2068,".",","),IFERROR(NUMBERVALUE(CriteriTecnici!$O2068,",","."),0))),4)&amp;""),",",".")&amp;CHAR(125)&amp;IF(TRUE,",",""))</f>
        <v/>
      </c>
    </row>
    <row r="2170">
      <c r="A2170" s="82">
        <f>IF(CriteriTecnici!$A2069="","","    "&amp;CHAR(123)&amp;CHAR(34)&amp;"bidderId"&amp;CHAR(34)&amp;": "&amp;CHAR(34)&amp;SUBSTITUTE(CriteriTecnici!$A2069,CHAR(34),"'")&amp;CHAR(34)&amp;", "&amp;CHAR(34)&amp;"lotId"&amp;CHAR(34)&amp;": "&amp;CHAR(34)&amp;SUBSTITUTE(CriteriTecnici!$C2069,CHAR(34),"'")&amp;CHAR(34)&amp;", "&amp;CHAR(34)&amp;"criterionId"&amp;CHAR(34)&amp;": "&amp;CHAR(34)&amp;SUBSTITUTE(CriteriTecnici!$D2069,CHAR(34),"'")&amp;CHAR(34)&amp;", "&amp;CHAR(34)&amp;"kind"&amp;CHAR(34)&amp;": "&amp;CHAR(34)&amp;SUBSTITUTE(CriteriTecnici!$F2069,CHAR(34),"'")&amp;CHAR(34)&amp;", "&amp;CHAR(34)&amp;"value"&amp;CHAR(34)&amp;": "&amp;SUBSTITUTE(TRIM(ROUND(IFERROR(CriteriTecnici!$N2069*1,IFERROR(NUMBERVALUE(CriteriTecnici!$N2069,".",","),IFERROR(NUMBERVALUE(CriteriTecnici!$N2069,",","."),0))),4)&amp;""),",",".")&amp;", "&amp;CHAR(34)&amp;"numerator"&amp;CHAR(34)&amp;": "&amp;SUBSTITUTE(TRIM(ROUND(IFERROR(CriteriTecnici!$K2069*1,IFERROR(NUMBERVALUE(CriteriTecnici!$K2069,".",","),IFERROR(NUMBERVALUE(CriteriTecnici!$K2069,",","."),0))),4)&amp;""),",",".")&amp;", "&amp;CHAR(34)&amp;"denominator"&amp;CHAR(34)&amp;": "&amp;SUBSTITUTE(TRIM(ROUND(IFERROR(CriteriTecnici!$L2069*1,IFERROR(NUMBERVALUE(CriteriTecnici!$L2069,".",","),IFERROR(NUMBERVALUE(CriteriTecnici!$L2069,",","."),0))),4)&amp;""),",",".")&amp;", "&amp;CHAR(34)&amp;"flag"&amp;CHAR(34)&amp;": "&amp;SUBSTITUTE(TRIM(ROUND(IFERROR(CriteriTecnici!$M2069*1,IFERROR(NUMBERVALUE(CriteriTecnici!$M2069,".",","),IFERROR(NUMBERVALUE(CriteriTecnici!$M2069,",","."),0))),4)&amp;""),",",".")&amp;", "&amp;CHAR(34)&amp;"rawScore"&amp;CHAR(34)&amp;": "&amp;SUBSTITUTE(TRIM(ROUND(IFERROR(CriteriTecnici!$O2069*1,IFERROR(NUMBERVALUE(CriteriTecnici!$O2069,".",","),IFERROR(NUMBERVALUE(CriteriTecnici!$O2069,",","."),0))),4)&amp;""),",",".")&amp;CHAR(125)&amp;IF(TRUE,",",""))</f>
        <v/>
      </c>
    </row>
    <row r="2171">
      <c r="A2171" s="82">
        <f>IF(CriteriTecnici!$A2070="","","    "&amp;CHAR(123)&amp;CHAR(34)&amp;"bidderId"&amp;CHAR(34)&amp;": "&amp;CHAR(34)&amp;SUBSTITUTE(CriteriTecnici!$A2070,CHAR(34),"'")&amp;CHAR(34)&amp;", "&amp;CHAR(34)&amp;"lotId"&amp;CHAR(34)&amp;": "&amp;CHAR(34)&amp;SUBSTITUTE(CriteriTecnici!$C2070,CHAR(34),"'")&amp;CHAR(34)&amp;", "&amp;CHAR(34)&amp;"criterionId"&amp;CHAR(34)&amp;": "&amp;CHAR(34)&amp;SUBSTITUTE(CriteriTecnici!$D2070,CHAR(34),"'")&amp;CHAR(34)&amp;", "&amp;CHAR(34)&amp;"kind"&amp;CHAR(34)&amp;": "&amp;CHAR(34)&amp;SUBSTITUTE(CriteriTecnici!$F2070,CHAR(34),"'")&amp;CHAR(34)&amp;", "&amp;CHAR(34)&amp;"value"&amp;CHAR(34)&amp;": "&amp;SUBSTITUTE(TRIM(ROUND(IFERROR(CriteriTecnici!$N2070*1,IFERROR(NUMBERVALUE(CriteriTecnici!$N2070,".",","),IFERROR(NUMBERVALUE(CriteriTecnici!$N2070,",","."),0))),4)&amp;""),",",".")&amp;", "&amp;CHAR(34)&amp;"numerator"&amp;CHAR(34)&amp;": "&amp;SUBSTITUTE(TRIM(ROUND(IFERROR(CriteriTecnici!$K2070*1,IFERROR(NUMBERVALUE(CriteriTecnici!$K2070,".",","),IFERROR(NUMBERVALUE(CriteriTecnici!$K2070,",","."),0))),4)&amp;""),",",".")&amp;", "&amp;CHAR(34)&amp;"denominator"&amp;CHAR(34)&amp;": "&amp;SUBSTITUTE(TRIM(ROUND(IFERROR(CriteriTecnici!$L2070*1,IFERROR(NUMBERVALUE(CriteriTecnici!$L2070,".",","),IFERROR(NUMBERVALUE(CriteriTecnici!$L2070,",","."),0))),4)&amp;""),",",".")&amp;", "&amp;CHAR(34)&amp;"flag"&amp;CHAR(34)&amp;": "&amp;SUBSTITUTE(TRIM(ROUND(IFERROR(CriteriTecnici!$M2070*1,IFERROR(NUMBERVALUE(CriteriTecnici!$M2070,".",","),IFERROR(NUMBERVALUE(CriteriTecnici!$M2070,",","."),0))),4)&amp;""),",",".")&amp;", "&amp;CHAR(34)&amp;"rawScore"&amp;CHAR(34)&amp;": "&amp;SUBSTITUTE(TRIM(ROUND(IFERROR(CriteriTecnici!$O2070*1,IFERROR(NUMBERVALUE(CriteriTecnici!$O2070,".",","),IFERROR(NUMBERVALUE(CriteriTecnici!$O2070,",","."),0))),4)&amp;""),",",".")&amp;CHAR(125)&amp;IF(TRUE,",",""))</f>
        <v/>
      </c>
    </row>
    <row r="2172">
      <c r="A2172" s="82">
        <f>IF(CriteriTecnici!$A2071="","","    "&amp;CHAR(123)&amp;CHAR(34)&amp;"bidderId"&amp;CHAR(34)&amp;": "&amp;CHAR(34)&amp;SUBSTITUTE(CriteriTecnici!$A2071,CHAR(34),"'")&amp;CHAR(34)&amp;", "&amp;CHAR(34)&amp;"lotId"&amp;CHAR(34)&amp;": "&amp;CHAR(34)&amp;SUBSTITUTE(CriteriTecnici!$C2071,CHAR(34),"'")&amp;CHAR(34)&amp;", "&amp;CHAR(34)&amp;"criterionId"&amp;CHAR(34)&amp;": "&amp;CHAR(34)&amp;SUBSTITUTE(CriteriTecnici!$D2071,CHAR(34),"'")&amp;CHAR(34)&amp;", "&amp;CHAR(34)&amp;"kind"&amp;CHAR(34)&amp;": "&amp;CHAR(34)&amp;SUBSTITUTE(CriteriTecnici!$F2071,CHAR(34),"'")&amp;CHAR(34)&amp;", "&amp;CHAR(34)&amp;"value"&amp;CHAR(34)&amp;": "&amp;SUBSTITUTE(TRIM(ROUND(IFERROR(CriteriTecnici!$N2071*1,IFERROR(NUMBERVALUE(CriteriTecnici!$N2071,".",","),IFERROR(NUMBERVALUE(CriteriTecnici!$N2071,",","."),0))),4)&amp;""),",",".")&amp;", "&amp;CHAR(34)&amp;"numerator"&amp;CHAR(34)&amp;": "&amp;SUBSTITUTE(TRIM(ROUND(IFERROR(CriteriTecnici!$K2071*1,IFERROR(NUMBERVALUE(CriteriTecnici!$K2071,".",","),IFERROR(NUMBERVALUE(CriteriTecnici!$K2071,",","."),0))),4)&amp;""),",",".")&amp;", "&amp;CHAR(34)&amp;"denominator"&amp;CHAR(34)&amp;": "&amp;SUBSTITUTE(TRIM(ROUND(IFERROR(CriteriTecnici!$L2071*1,IFERROR(NUMBERVALUE(CriteriTecnici!$L2071,".",","),IFERROR(NUMBERVALUE(CriteriTecnici!$L2071,",","."),0))),4)&amp;""),",",".")&amp;", "&amp;CHAR(34)&amp;"flag"&amp;CHAR(34)&amp;": "&amp;SUBSTITUTE(TRIM(ROUND(IFERROR(CriteriTecnici!$M2071*1,IFERROR(NUMBERVALUE(CriteriTecnici!$M2071,".",","),IFERROR(NUMBERVALUE(CriteriTecnici!$M2071,",","."),0))),4)&amp;""),",",".")&amp;", "&amp;CHAR(34)&amp;"rawScore"&amp;CHAR(34)&amp;": "&amp;SUBSTITUTE(TRIM(ROUND(IFERROR(CriteriTecnici!$O2071*1,IFERROR(NUMBERVALUE(CriteriTecnici!$O2071,".",","),IFERROR(NUMBERVALUE(CriteriTecnici!$O2071,",","."),0))),4)&amp;""),",",".")&amp;CHAR(125)&amp;IF(TRUE,",",""))</f>
        <v/>
      </c>
    </row>
    <row r="2173">
      <c r="A2173" s="82">
        <f>IF(CriteriTecnici!$A2072="","","    "&amp;CHAR(123)&amp;CHAR(34)&amp;"bidderId"&amp;CHAR(34)&amp;": "&amp;CHAR(34)&amp;SUBSTITUTE(CriteriTecnici!$A2072,CHAR(34),"'")&amp;CHAR(34)&amp;", "&amp;CHAR(34)&amp;"lotId"&amp;CHAR(34)&amp;": "&amp;CHAR(34)&amp;SUBSTITUTE(CriteriTecnici!$C2072,CHAR(34),"'")&amp;CHAR(34)&amp;", "&amp;CHAR(34)&amp;"criterionId"&amp;CHAR(34)&amp;": "&amp;CHAR(34)&amp;SUBSTITUTE(CriteriTecnici!$D2072,CHAR(34),"'")&amp;CHAR(34)&amp;", "&amp;CHAR(34)&amp;"kind"&amp;CHAR(34)&amp;": "&amp;CHAR(34)&amp;SUBSTITUTE(CriteriTecnici!$F2072,CHAR(34),"'")&amp;CHAR(34)&amp;", "&amp;CHAR(34)&amp;"value"&amp;CHAR(34)&amp;": "&amp;SUBSTITUTE(TRIM(ROUND(IFERROR(CriteriTecnici!$N2072*1,IFERROR(NUMBERVALUE(CriteriTecnici!$N2072,".",","),IFERROR(NUMBERVALUE(CriteriTecnici!$N2072,",","."),0))),4)&amp;""),",",".")&amp;", "&amp;CHAR(34)&amp;"numerator"&amp;CHAR(34)&amp;": "&amp;SUBSTITUTE(TRIM(ROUND(IFERROR(CriteriTecnici!$K2072*1,IFERROR(NUMBERVALUE(CriteriTecnici!$K2072,".",","),IFERROR(NUMBERVALUE(CriteriTecnici!$K2072,",","."),0))),4)&amp;""),",",".")&amp;", "&amp;CHAR(34)&amp;"denominator"&amp;CHAR(34)&amp;": "&amp;SUBSTITUTE(TRIM(ROUND(IFERROR(CriteriTecnici!$L2072*1,IFERROR(NUMBERVALUE(CriteriTecnici!$L2072,".",","),IFERROR(NUMBERVALUE(CriteriTecnici!$L2072,",","."),0))),4)&amp;""),",",".")&amp;", "&amp;CHAR(34)&amp;"flag"&amp;CHAR(34)&amp;": "&amp;SUBSTITUTE(TRIM(ROUND(IFERROR(CriteriTecnici!$M2072*1,IFERROR(NUMBERVALUE(CriteriTecnici!$M2072,".",","),IFERROR(NUMBERVALUE(CriteriTecnici!$M2072,",","."),0))),4)&amp;""),",",".")&amp;", "&amp;CHAR(34)&amp;"rawScore"&amp;CHAR(34)&amp;": "&amp;SUBSTITUTE(TRIM(ROUND(IFERROR(CriteriTecnici!$O2072*1,IFERROR(NUMBERVALUE(CriteriTecnici!$O2072,".",","),IFERROR(NUMBERVALUE(CriteriTecnici!$O2072,",","."),0))),4)&amp;""),",",".")&amp;CHAR(125)&amp;IF(TRUE,",",""))</f>
        <v/>
      </c>
    </row>
    <row r="2174">
      <c r="A2174" s="82">
        <f>IF(CriteriTecnici!$A2073="","","    "&amp;CHAR(123)&amp;CHAR(34)&amp;"bidderId"&amp;CHAR(34)&amp;": "&amp;CHAR(34)&amp;SUBSTITUTE(CriteriTecnici!$A2073,CHAR(34),"'")&amp;CHAR(34)&amp;", "&amp;CHAR(34)&amp;"lotId"&amp;CHAR(34)&amp;": "&amp;CHAR(34)&amp;SUBSTITUTE(CriteriTecnici!$C2073,CHAR(34),"'")&amp;CHAR(34)&amp;", "&amp;CHAR(34)&amp;"criterionId"&amp;CHAR(34)&amp;": "&amp;CHAR(34)&amp;SUBSTITUTE(CriteriTecnici!$D2073,CHAR(34),"'")&amp;CHAR(34)&amp;", "&amp;CHAR(34)&amp;"kind"&amp;CHAR(34)&amp;": "&amp;CHAR(34)&amp;SUBSTITUTE(CriteriTecnici!$F2073,CHAR(34),"'")&amp;CHAR(34)&amp;", "&amp;CHAR(34)&amp;"value"&amp;CHAR(34)&amp;": "&amp;SUBSTITUTE(TRIM(ROUND(IFERROR(CriteriTecnici!$N2073*1,IFERROR(NUMBERVALUE(CriteriTecnici!$N2073,".",","),IFERROR(NUMBERVALUE(CriteriTecnici!$N2073,",","."),0))),4)&amp;""),",",".")&amp;", "&amp;CHAR(34)&amp;"numerator"&amp;CHAR(34)&amp;": "&amp;SUBSTITUTE(TRIM(ROUND(IFERROR(CriteriTecnici!$K2073*1,IFERROR(NUMBERVALUE(CriteriTecnici!$K2073,".",","),IFERROR(NUMBERVALUE(CriteriTecnici!$K2073,",","."),0))),4)&amp;""),",",".")&amp;", "&amp;CHAR(34)&amp;"denominator"&amp;CHAR(34)&amp;": "&amp;SUBSTITUTE(TRIM(ROUND(IFERROR(CriteriTecnici!$L2073*1,IFERROR(NUMBERVALUE(CriteriTecnici!$L2073,".",","),IFERROR(NUMBERVALUE(CriteriTecnici!$L2073,",","."),0))),4)&amp;""),",",".")&amp;", "&amp;CHAR(34)&amp;"flag"&amp;CHAR(34)&amp;": "&amp;SUBSTITUTE(TRIM(ROUND(IFERROR(CriteriTecnici!$M2073*1,IFERROR(NUMBERVALUE(CriteriTecnici!$M2073,".",","),IFERROR(NUMBERVALUE(CriteriTecnici!$M2073,",","."),0))),4)&amp;""),",",".")&amp;", "&amp;CHAR(34)&amp;"rawScore"&amp;CHAR(34)&amp;": "&amp;SUBSTITUTE(TRIM(ROUND(IFERROR(CriteriTecnici!$O2073*1,IFERROR(NUMBERVALUE(CriteriTecnici!$O2073,".",","),IFERROR(NUMBERVALUE(CriteriTecnici!$O2073,",","."),0))),4)&amp;""),",",".")&amp;CHAR(125)&amp;IF(TRUE,",",""))</f>
        <v/>
      </c>
    </row>
    <row r="2175">
      <c r="A2175" s="82">
        <f>IF(CriteriTecnici!$A2074="","","    "&amp;CHAR(123)&amp;CHAR(34)&amp;"bidderId"&amp;CHAR(34)&amp;": "&amp;CHAR(34)&amp;SUBSTITUTE(CriteriTecnici!$A2074,CHAR(34),"'")&amp;CHAR(34)&amp;", "&amp;CHAR(34)&amp;"lotId"&amp;CHAR(34)&amp;": "&amp;CHAR(34)&amp;SUBSTITUTE(CriteriTecnici!$C2074,CHAR(34),"'")&amp;CHAR(34)&amp;", "&amp;CHAR(34)&amp;"criterionId"&amp;CHAR(34)&amp;": "&amp;CHAR(34)&amp;SUBSTITUTE(CriteriTecnici!$D2074,CHAR(34),"'")&amp;CHAR(34)&amp;", "&amp;CHAR(34)&amp;"kind"&amp;CHAR(34)&amp;": "&amp;CHAR(34)&amp;SUBSTITUTE(CriteriTecnici!$F2074,CHAR(34),"'")&amp;CHAR(34)&amp;", "&amp;CHAR(34)&amp;"value"&amp;CHAR(34)&amp;": "&amp;SUBSTITUTE(TRIM(ROUND(IFERROR(CriteriTecnici!$N2074*1,IFERROR(NUMBERVALUE(CriteriTecnici!$N2074,".",","),IFERROR(NUMBERVALUE(CriteriTecnici!$N2074,",","."),0))),4)&amp;""),",",".")&amp;", "&amp;CHAR(34)&amp;"numerator"&amp;CHAR(34)&amp;": "&amp;SUBSTITUTE(TRIM(ROUND(IFERROR(CriteriTecnici!$K2074*1,IFERROR(NUMBERVALUE(CriteriTecnici!$K2074,".",","),IFERROR(NUMBERVALUE(CriteriTecnici!$K2074,",","."),0))),4)&amp;""),",",".")&amp;", "&amp;CHAR(34)&amp;"denominator"&amp;CHAR(34)&amp;": "&amp;SUBSTITUTE(TRIM(ROUND(IFERROR(CriteriTecnici!$L2074*1,IFERROR(NUMBERVALUE(CriteriTecnici!$L2074,".",","),IFERROR(NUMBERVALUE(CriteriTecnici!$L2074,",","."),0))),4)&amp;""),",",".")&amp;", "&amp;CHAR(34)&amp;"flag"&amp;CHAR(34)&amp;": "&amp;SUBSTITUTE(TRIM(ROUND(IFERROR(CriteriTecnici!$M2074*1,IFERROR(NUMBERVALUE(CriteriTecnici!$M2074,".",","),IFERROR(NUMBERVALUE(CriteriTecnici!$M2074,",","."),0))),4)&amp;""),",",".")&amp;", "&amp;CHAR(34)&amp;"rawScore"&amp;CHAR(34)&amp;": "&amp;SUBSTITUTE(TRIM(ROUND(IFERROR(CriteriTecnici!$O2074*1,IFERROR(NUMBERVALUE(CriteriTecnici!$O2074,".",","),IFERROR(NUMBERVALUE(CriteriTecnici!$O2074,",","."),0))),4)&amp;""),",",".")&amp;CHAR(125)&amp;IF(TRUE,",",""))</f>
        <v/>
      </c>
    </row>
    <row r="2176">
      <c r="A2176" s="82">
        <f>IF(CriteriTecnici!$A2075="","","    "&amp;CHAR(123)&amp;CHAR(34)&amp;"bidderId"&amp;CHAR(34)&amp;": "&amp;CHAR(34)&amp;SUBSTITUTE(CriteriTecnici!$A2075,CHAR(34),"'")&amp;CHAR(34)&amp;", "&amp;CHAR(34)&amp;"lotId"&amp;CHAR(34)&amp;": "&amp;CHAR(34)&amp;SUBSTITUTE(CriteriTecnici!$C2075,CHAR(34),"'")&amp;CHAR(34)&amp;", "&amp;CHAR(34)&amp;"criterionId"&amp;CHAR(34)&amp;": "&amp;CHAR(34)&amp;SUBSTITUTE(CriteriTecnici!$D2075,CHAR(34),"'")&amp;CHAR(34)&amp;", "&amp;CHAR(34)&amp;"kind"&amp;CHAR(34)&amp;": "&amp;CHAR(34)&amp;SUBSTITUTE(CriteriTecnici!$F2075,CHAR(34),"'")&amp;CHAR(34)&amp;", "&amp;CHAR(34)&amp;"value"&amp;CHAR(34)&amp;": "&amp;SUBSTITUTE(TRIM(ROUND(IFERROR(CriteriTecnici!$N2075*1,IFERROR(NUMBERVALUE(CriteriTecnici!$N2075,".",","),IFERROR(NUMBERVALUE(CriteriTecnici!$N2075,",","."),0))),4)&amp;""),",",".")&amp;", "&amp;CHAR(34)&amp;"numerator"&amp;CHAR(34)&amp;": "&amp;SUBSTITUTE(TRIM(ROUND(IFERROR(CriteriTecnici!$K2075*1,IFERROR(NUMBERVALUE(CriteriTecnici!$K2075,".",","),IFERROR(NUMBERVALUE(CriteriTecnici!$K2075,",","."),0))),4)&amp;""),",",".")&amp;", "&amp;CHAR(34)&amp;"denominator"&amp;CHAR(34)&amp;": "&amp;SUBSTITUTE(TRIM(ROUND(IFERROR(CriteriTecnici!$L2075*1,IFERROR(NUMBERVALUE(CriteriTecnici!$L2075,".",","),IFERROR(NUMBERVALUE(CriteriTecnici!$L2075,",","."),0))),4)&amp;""),",",".")&amp;", "&amp;CHAR(34)&amp;"flag"&amp;CHAR(34)&amp;": "&amp;SUBSTITUTE(TRIM(ROUND(IFERROR(CriteriTecnici!$M2075*1,IFERROR(NUMBERVALUE(CriteriTecnici!$M2075,".",","),IFERROR(NUMBERVALUE(CriteriTecnici!$M2075,",","."),0))),4)&amp;""),",",".")&amp;", "&amp;CHAR(34)&amp;"rawScore"&amp;CHAR(34)&amp;": "&amp;SUBSTITUTE(TRIM(ROUND(IFERROR(CriteriTecnici!$O2075*1,IFERROR(NUMBERVALUE(CriteriTecnici!$O2075,".",","),IFERROR(NUMBERVALUE(CriteriTecnici!$O2075,",","."),0))),4)&amp;""),",",".")&amp;CHAR(125)&amp;IF(TRUE,",",""))</f>
        <v/>
      </c>
    </row>
    <row r="2177">
      <c r="A2177" s="82">
        <f>IF(CriteriTecnici!$A2076="","","    "&amp;CHAR(123)&amp;CHAR(34)&amp;"bidderId"&amp;CHAR(34)&amp;": "&amp;CHAR(34)&amp;SUBSTITUTE(CriteriTecnici!$A2076,CHAR(34),"'")&amp;CHAR(34)&amp;", "&amp;CHAR(34)&amp;"lotId"&amp;CHAR(34)&amp;": "&amp;CHAR(34)&amp;SUBSTITUTE(CriteriTecnici!$C2076,CHAR(34),"'")&amp;CHAR(34)&amp;", "&amp;CHAR(34)&amp;"criterionId"&amp;CHAR(34)&amp;": "&amp;CHAR(34)&amp;SUBSTITUTE(CriteriTecnici!$D2076,CHAR(34),"'")&amp;CHAR(34)&amp;", "&amp;CHAR(34)&amp;"kind"&amp;CHAR(34)&amp;": "&amp;CHAR(34)&amp;SUBSTITUTE(CriteriTecnici!$F2076,CHAR(34),"'")&amp;CHAR(34)&amp;", "&amp;CHAR(34)&amp;"value"&amp;CHAR(34)&amp;": "&amp;SUBSTITUTE(TRIM(ROUND(IFERROR(CriteriTecnici!$N2076*1,IFERROR(NUMBERVALUE(CriteriTecnici!$N2076,".",","),IFERROR(NUMBERVALUE(CriteriTecnici!$N2076,",","."),0))),4)&amp;""),",",".")&amp;", "&amp;CHAR(34)&amp;"numerator"&amp;CHAR(34)&amp;": "&amp;SUBSTITUTE(TRIM(ROUND(IFERROR(CriteriTecnici!$K2076*1,IFERROR(NUMBERVALUE(CriteriTecnici!$K2076,".",","),IFERROR(NUMBERVALUE(CriteriTecnici!$K2076,",","."),0))),4)&amp;""),",",".")&amp;", "&amp;CHAR(34)&amp;"denominator"&amp;CHAR(34)&amp;": "&amp;SUBSTITUTE(TRIM(ROUND(IFERROR(CriteriTecnici!$L2076*1,IFERROR(NUMBERVALUE(CriteriTecnici!$L2076,".",","),IFERROR(NUMBERVALUE(CriteriTecnici!$L2076,",","."),0))),4)&amp;""),",",".")&amp;", "&amp;CHAR(34)&amp;"flag"&amp;CHAR(34)&amp;": "&amp;SUBSTITUTE(TRIM(ROUND(IFERROR(CriteriTecnici!$M2076*1,IFERROR(NUMBERVALUE(CriteriTecnici!$M2076,".",","),IFERROR(NUMBERVALUE(CriteriTecnici!$M2076,",","."),0))),4)&amp;""),",",".")&amp;", "&amp;CHAR(34)&amp;"rawScore"&amp;CHAR(34)&amp;": "&amp;SUBSTITUTE(TRIM(ROUND(IFERROR(CriteriTecnici!$O2076*1,IFERROR(NUMBERVALUE(CriteriTecnici!$O2076,".",","),IFERROR(NUMBERVALUE(CriteriTecnici!$O2076,",","."),0))),4)&amp;""),",",".")&amp;CHAR(125)&amp;IF(TRUE,",",""))</f>
        <v/>
      </c>
    </row>
    <row r="2178">
      <c r="A2178" s="82">
        <f>IF(CriteriTecnici!$A2077="","","    "&amp;CHAR(123)&amp;CHAR(34)&amp;"bidderId"&amp;CHAR(34)&amp;": "&amp;CHAR(34)&amp;SUBSTITUTE(CriteriTecnici!$A2077,CHAR(34),"'")&amp;CHAR(34)&amp;", "&amp;CHAR(34)&amp;"lotId"&amp;CHAR(34)&amp;": "&amp;CHAR(34)&amp;SUBSTITUTE(CriteriTecnici!$C2077,CHAR(34),"'")&amp;CHAR(34)&amp;", "&amp;CHAR(34)&amp;"criterionId"&amp;CHAR(34)&amp;": "&amp;CHAR(34)&amp;SUBSTITUTE(CriteriTecnici!$D2077,CHAR(34),"'")&amp;CHAR(34)&amp;", "&amp;CHAR(34)&amp;"kind"&amp;CHAR(34)&amp;": "&amp;CHAR(34)&amp;SUBSTITUTE(CriteriTecnici!$F2077,CHAR(34),"'")&amp;CHAR(34)&amp;", "&amp;CHAR(34)&amp;"value"&amp;CHAR(34)&amp;": "&amp;SUBSTITUTE(TRIM(ROUND(IFERROR(CriteriTecnici!$N2077*1,IFERROR(NUMBERVALUE(CriteriTecnici!$N2077,".",","),IFERROR(NUMBERVALUE(CriteriTecnici!$N2077,",","."),0))),4)&amp;""),",",".")&amp;", "&amp;CHAR(34)&amp;"numerator"&amp;CHAR(34)&amp;": "&amp;SUBSTITUTE(TRIM(ROUND(IFERROR(CriteriTecnici!$K2077*1,IFERROR(NUMBERVALUE(CriteriTecnici!$K2077,".",","),IFERROR(NUMBERVALUE(CriteriTecnici!$K2077,",","."),0))),4)&amp;""),",",".")&amp;", "&amp;CHAR(34)&amp;"denominator"&amp;CHAR(34)&amp;": "&amp;SUBSTITUTE(TRIM(ROUND(IFERROR(CriteriTecnici!$L2077*1,IFERROR(NUMBERVALUE(CriteriTecnici!$L2077,".",","),IFERROR(NUMBERVALUE(CriteriTecnici!$L2077,",","."),0))),4)&amp;""),",",".")&amp;", "&amp;CHAR(34)&amp;"flag"&amp;CHAR(34)&amp;": "&amp;SUBSTITUTE(TRIM(ROUND(IFERROR(CriteriTecnici!$M2077*1,IFERROR(NUMBERVALUE(CriteriTecnici!$M2077,".",","),IFERROR(NUMBERVALUE(CriteriTecnici!$M2077,",","."),0))),4)&amp;""),",",".")&amp;", "&amp;CHAR(34)&amp;"rawScore"&amp;CHAR(34)&amp;": "&amp;SUBSTITUTE(TRIM(ROUND(IFERROR(CriteriTecnici!$O2077*1,IFERROR(NUMBERVALUE(CriteriTecnici!$O2077,".",","),IFERROR(NUMBERVALUE(CriteriTecnici!$O2077,",","."),0))),4)&amp;""),",",".")&amp;CHAR(125)&amp;IF(TRUE,",",""))</f>
        <v/>
      </c>
    </row>
    <row r="2179">
      <c r="A2179" s="82">
        <f>IF(CriteriTecnici!$A2078="","","    "&amp;CHAR(123)&amp;CHAR(34)&amp;"bidderId"&amp;CHAR(34)&amp;": "&amp;CHAR(34)&amp;SUBSTITUTE(CriteriTecnici!$A2078,CHAR(34),"'")&amp;CHAR(34)&amp;", "&amp;CHAR(34)&amp;"lotId"&amp;CHAR(34)&amp;": "&amp;CHAR(34)&amp;SUBSTITUTE(CriteriTecnici!$C2078,CHAR(34),"'")&amp;CHAR(34)&amp;", "&amp;CHAR(34)&amp;"criterionId"&amp;CHAR(34)&amp;": "&amp;CHAR(34)&amp;SUBSTITUTE(CriteriTecnici!$D2078,CHAR(34),"'")&amp;CHAR(34)&amp;", "&amp;CHAR(34)&amp;"kind"&amp;CHAR(34)&amp;": "&amp;CHAR(34)&amp;SUBSTITUTE(CriteriTecnici!$F2078,CHAR(34),"'")&amp;CHAR(34)&amp;", "&amp;CHAR(34)&amp;"value"&amp;CHAR(34)&amp;": "&amp;SUBSTITUTE(TRIM(ROUND(IFERROR(CriteriTecnici!$N2078*1,IFERROR(NUMBERVALUE(CriteriTecnici!$N2078,".",","),IFERROR(NUMBERVALUE(CriteriTecnici!$N2078,",","."),0))),4)&amp;""),",",".")&amp;", "&amp;CHAR(34)&amp;"numerator"&amp;CHAR(34)&amp;": "&amp;SUBSTITUTE(TRIM(ROUND(IFERROR(CriteriTecnici!$K2078*1,IFERROR(NUMBERVALUE(CriteriTecnici!$K2078,".",","),IFERROR(NUMBERVALUE(CriteriTecnici!$K2078,",","."),0))),4)&amp;""),",",".")&amp;", "&amp;CHAR(34)&amp;"denominator"&amp;CHAR(34)&amp;": "&amp;SUBSTITUTE(TRIM(ROUND(IFERROR(CriteriTecnici!$L2078*1,IFERROR(NUMBERVALUE(CriteriTecnici!$L2078,".",","),IFERROR(NUMBERVALUE(CriteriTecnici!$L2078,",","."),0))),4)&amp;""),",",".")&amp;", "&amp;CHAR(34)&amp;"flag"&amp;CHAR(34)&amp;": "&amp;SUBSTITUTE(TRIM(ROUND(IFERROR(CriteriTecnici!$M2078*1,IFERROR(NUMBERVALUE(CriteriTecnici!$M2078,".",","),IFERROR(NUMBERVALUE(CriteriTecnici!$M2078,",","."),0))),4)&amp;""),",",".")&amp;", "&amp;CHAR(34)&amp;"rawScore"&amp;CHAR(34)&amp;": "&amp;SUBSTITUTE(TRIM(ROUND(IFERROR(CriteriTecnici!$O2078*1,IFERROR(NUMBERVALUE(CriteriTecnici!$O2078,".",","),IFERROR(NUMBERVALUE(CriteriTecnici!$O2078,",","."),0))),4)&amp;""),",",".")&amp;CHAR(125)&amp;IF(TRUE,",",""))</f>
        <v/>
      </c>
    </row>
    <row r="2180">
      <c r="A2180" s="82">
        <f>IF(CriteriTecnici!$A2079="","","    "&amp;CHAR(123)&amp;CHAR(34)&amp;"bidderId"&amp;CHAR(34)&amp;": "&amp;CHAR(34)&amp;SUBSTITUTE(CriteriTecnici!$A2079,CHAR(34),"'")&amp;CHAR(34)&amp;", "&amp;CHAR(34)&amp;"lotId"&amp;CHAR(34)&amp;": "&amp;CHAR(34)&amp;SUBSTITUTE(CriteriTecnici!$C2079,CHAR(34),"'")&amp;CHAR(34)&amp;", "&amp;CHAR(34)&amp;"criterionId"&amp;CHAR(34)&amp;": "&amp;CHAR(34)&amp;SUBSTITUTE(CriteriTecnici!$D2079,CHAR(34),"'")&amp;CHAR(34)&amp;", "&amp;CHAR(34)&amp;"kind"&amp;CHAR(34)&amp;": "&amp;CHAR(34)&amp;SUBSTITUTE(CriteriTecnici!$F2079,CHAR(34),"'")&amp;CHAR(34)&amp;", "&amp;CHAR(34)&amp;"value"&amp;CHAR(34)&amp;": "&amp;SUBSTITUTE(TRIM(ROUND(IFERROR(CriteriTecnici!$N2079*1,IFERROR(NUMBERVALUE(CriteriTecnici!$N2079,".",","),IFERROR(NUMBERVALUE(CriteriTecnici!$N2079,",","."),0))),4)&amp;""),",",".")&amp;", "&amp;CHAR(34)&amp;"numerator"&amp;CHAR(34)&amp;": "&amp;SUBSTITUTE(TRIM(ROUND(IFERROR(CriteriTecnici!$K2079*1,IFERROR(NUMBERVALUE(CriteriTecnici!$K2079,".",","),IFERROR(NUMBERVALUE(CriteriTecnici!$K2079,",","."),0))),4)&amp;""),",",".")&amp;", "&amp;CHAR(34)&amp;"denominator"&amp;CHAR(34)&amp;": "&amp;SUBSTITUTE(TRIM(ROUND(IFERROR(CriteriTecnici!$L2079*1,IFERROR(NUMBERVALUE(CriteriTecnici!$L2079,".",","),IFERROR(NUMBERVALUE(CriteriTecnici!$L2079,",","."),0))),4)&amp;""),",",".")&amp;", "&amp;CHAR(34)&amp;"flag"&amp;CHAR(34)&amp;": "&amp;SUBSTITUTE(TRIM(ROUND(IFERROR(CriteriTecnici!$M2079*1,IFERROR(NUMBERVALUE(CriteriTecnici!$M2079,".",","),IFERROR(NUMBERVALUE(CriteriTecnici!$M2079,",","."),0))),4)&amp;""),",",".")&amp;", "&amp;CHAR(34)&amp;"rawScore"&amp;CHAR(34)&amp;": "&amp;SUBSTITUTE(TRIM(ROUND(IFERROR(CriteriTecnici!$O2079*1,IFERROR(NUMBERVALUE(CriteriTecnici!$O2079,".",","),IFERROR(NUMBERVALUE(CriteriTecnici!$O2079,",","."),0))),4)&amp;""),",",".")&amp;CHAR(125)&amp;IF(TRUE,",",""))</f>
        <v/>
      </c>
    </row>
    <row r="2181">
      <c r="A2181" s="82">
        <f>IF(CriteriTecnici!$A2080="","","    "&amp;CHAR(123)&amp;CHAR(34)&amp;"bidderId"&amp;CHAR(34)&amp;": "&amp;CHAR(34)&amp;SUBSTITUTE(CriteriTecnici!$A2080,CHAR(34),"'")&amp;CHAR(34)&amp;", "&amp;CHAR(34)&amp;"lotId"&amp;CHAR(34)&amp;": "&amp;CHAR(34)&amp;SUBSTITUTE(CriteriTecnici!$C2080,CHAR(34),"'")&amp;CHAR(34)&amp;", "&amp;CHAR(34)&amp;"criterionId"&amp;CHAR(34)&amp;": "&amp;CHAR(34)&amp;SUBSTITUTE(CriteriTecnici!$D2080,CHAR(34),"'")&amp;CHAR(34)&amp;", "&amp;CHAR(34)&amp;"kind"&amp;CHAR(34)&amp;": "&amp;CHAR(34)&amp;SUBSTITUTE(CriteriTecnici!$F2080,CHAR(34),"'")&amp;CHAR(34)&amp;", "&amp;CHAR(34)&amp;"value"&amp;CHAR(34)&amp;": "&amp;SUBSTITUTE(TRIM(ROUND(IFERROR(CriteriTecnici!$N2080*1,IFERROR(NUMBERVALUE(CriteriTecnici!$N2080,".",","),IFERROR(NUMBERVALUE(CriteriTecnici!$N2080,",","."),0))),4)&amp;""),",",".")&amp;", "&amp;CHAR(34)&amp;"numerator"&amp;CHAR(34)&amp;": "&amp;SUBSTITUTE(TRIM(ROUND(IFERROR(CriteriTecnici!$K2080*1,IFERROR(NUMBERVALUE(CriteriTecnici!$K2080,".",","),IFERROR(NUMBERVALUE(CriteriTecnici!$K2080,",","."),0))),4)&amp;""),",",".")&amp;", "&amp;CHAR(34)&amp;"denominator"&amp;CHAR(34)&amp;": "&amp;SUBSTITUTE(TRIM(ROUND(IFERROR(CriteriTecnici!$L2080*1,IFERROR(NUMBERVALUE(CriteriTecnici!$L2080,".",","),IFERROR(NUMBERVALUE(CriteriTecnici!$L2080,",","."),0))),4)&amp;""),",",".")&amp;", "&amp;CHAR(34)&amp;"flag"&amp;CHAR(34)&amp;": "&amp;SUBSTITUTE(TRIM(ROUND(IFERROR(CriteriTecnici!$M2080*1,IFERROR(NUMBERVALUE(CriteriTecnici!$M2080,".",","),IFERROR(NUMBERVALUE(CriteriTecnici!$M2080,",","."),0))),4)&amp;""),",",".")&amp;", "&amp;CHAR(34)&amp;"rawScore"&amp;CHAR(34)&amp;": "&amp;SUBSTITUTE(TRIM(ROUND(IFERROR(CriteriTecnici!$O2080*1,IFERROR(NUMBERVALUE(CriteriTecnici!$O2080,".",","),IFERROR(NUMBERVALUE(CriteriTecnici!$O2080,",","."),0))),4)&amp;""),",",".")&amp;CHAR(125)&amp;IF(TRUE,",",""))</f>
        <v/>
      </c>
    </row>
    <row r="2182">
      <c r="A2182" s="82">
        <f>IF(CriteriTecnici!$A2081="","","    "&amp;CHAR(123)&amp;CHAR(34)&amp;"bidderId"&amp;CHAR(34)&amp;": "&amp;CHAR(34)&amp;SUBSTITUTE(CriteriTecnici!$A2081,CHAR(34),"'")&amp;CHAR(34)&amp;", "&amp;CHAR(34)&amp;"lotId"&amp;CHAR(34)&amp;": "&amp;CHAR(34)&amp;SUBSTITUTE(CriteriTecnici!$C2081,CHAR(34),"'")&amp;CHAR(34)&amp;", "&amp;CHAR(34)&amp;"criterionId"&amp;CHAR(34)&amp;": "&amp;CHAR(34)&amp;SUBSTITUTE(CriteriTecnici!$D2081,CHAR(34),"'")&amp;CHAR(34)&amp;", "&amp;CHAR(34)&amp;"kind"&amp;CHAR(34)&amp;": "&amp;CHAR(34)&amp;SUBSTITUTE(CriteriTecnici!$F2081,CHAR(34),"'")&amp;CHAR(34)&amp;", "&amp;CHAR(34)&amp;"value"&amp;CHAR(34)&amp;": "&amp;SUBSTITUTE(TRIM(ROUND(IFERROR(CriteriTecnici!$N2081*1,IFERROR(NUMBERVALUE(CriteriTecnici!$N2081,".",","),IFERROR(NUMBERVALUE(CriteriTecnici!$N2081,",","."),0))),4)&amp;""),",",".")&amp;", "&amp;CHAR(34)&amp;"numerator"&amp;CHAR(34)&amp;": "&amp;SUBSTITUTE(TRIM(ROUND(IFERROR(CriteriTecnici!$K2081*1,IFERROR(NUMBERVALUE(CriteriTecnici!$K2081,".",","),IFERROR(NUMBERVALUE(CriteriTecnici!$K2081,",","."),0))),4)&amp;""),",",".")&amp;", "&amp;CHAR(34)&amp;"denominator"&amp;CHAR(34)&amp;": "&amp;SUBSTITUTE(TRIM(ROUND(IFERROR(CriteriTecnici!$L2081*1,IFERROR(NUMBERVALUE(CriteriTecnici!$L2081,".",","),IFERROR(NUMBERVALUE(CriteriTecnici!$L2081,",","."),0))),4)&amp;""),",",".")&amp;", "&amp;CHAR(34)&amp;"flag"&amp;CHAR(34)&amp;": "&amp;SUBSTITUTE(TRIM(ROUND(IFERROR(CriteriTecnici!$M2081*1,IFERROR(NUMBERVALUE(CriteriTecnici!$M2081,".",","),IFERROR(NUMBERVALUE(CriteriTecnici!$M2081,",","."),0))),4)&amp;""),",",".")&amp;", "&amp;CHAR(34)&amp;"rawScore"&amp;CHAR(34)&amp;": "&amp;SUBSTITUTE(TRIM(ROUND(IFERROR(CriteriTecnici!$O2081*1,IFERROR(NUMBERVALUE(CriteriTecnici!$O2081,".",","),IFERROR(NUMBERVALUE(CriteriTecnici!$O2081,",","."),0))),4)&amp;""),",",".")&amp;CHAR(125)&amp;IF(COUNTA(Offerte!$A69:$A$81)&gt;0,",",""))</f>
        <v/>
      </c>
    </row>
    <row r="2183">
      <c r="A2183" s="82">
        <f>IF(CriteriTecnici!$A2082="","","    "&amp;CHAR(123)&amp;CHAR(34)&amp;"bidderId"&amp;CHAR(34)&amp;": "&amp;CHAR(34)&amp;SUBSTITUTE(CriteriTecnici!$A2082,CHAR(34),"'")&amp;CHAR(34)&amp;", "&amp;CHAR(34)&amp;"lotId"&amp;CHAR(34)&amp;": "&amp;CHAR(34)&amp;SUBSTITUTE(CriteriTecnici!$C2082,CHAR(34),"'")&amp;CHAR(34)&amp;", "&amp;CHAR(34)&amp;"criterionId"&amp;CHAR(34)&amp;": "&amp;CHAR(34)&amp;SUBSTITUTE(CriteriTecnici!$D2082,CHAR(34),"'")&amp;CHAR(34)&amp;", "&amp;CHAR(34)&amp;"kind"&amp;CHAR(34)&amp;": "&amp;CHAR(34)&amp;SUBSTITUTE(CriteriTecnici!$F2082,CHAR(34),"'")&amp;CHAR(34)&amp;", "&amp;CHAR(34)&amp;"value"&amp;CHAR(34)&amp;": "&amp;SUBSTITUTE(TRIM(ROUND(IFERROR(CriteriTecnici!$N2082*1,IFERROR(NUMBERVALUE(CriteriTecnici!$N2082,".",","),IFERROR(NUMBERVALUE(CriteriTecnici!$N2082,",","."),0))),4)&amp;""),",",".")&amp;", "&amp;CHAR(34)&amp;"numerator"&amp;CHAR(34)&amp;": "&amp;SUBSTITUTE(TRIM(ROUND(IFERROR(CriteriTecnici!$K2082*1,IFERROR(NUMBERVALUE(CriteriTecnici!$K2082,".",","),IFERROR(NUMBERVALUE(CriteriTecnici!$K2082,",","."),0))),4)&amp;""),",",".")&amp;", "&amp;CHAR(34)&amp;"denominator"&amp;CHAR(34)&amp;": "&amp;SUBSTITUTE(TRIM(ROUND(IFERROR(CriteriTecnici!$L2082*1,IFERROR(NUMBERVALUE(CriteriTecnici!$L2082,".",","),IFERROR(NUMBERVALUE(CriteriTecnici!$L2082,",","."),0))),4)&amp;""),",",".")&amp;", "&amp;CHAR(34)&amp;"flag"&amp;CHAR(34)&amp;": "&amp;SUBSTITUTE(TRIM(ROUND(IFERROR(CriteriTecnici!$M2082*1,IFERROR(NUMBERVALUE(CriteriTecnici!$M2082,".",","),IFERROR(NUMBERVALUE(CriteriTecnici!$M2082,",","."),0))),4)&amp;""),",",".")&amp;", "&amp;CHAR(34)&amp;"rawScore"&amp;CHAR(34)&amp;": "&amp;SUBSTITUTE(TRIM(ROUND(IFERROR(CriteriTecnici!$O2082*1,IFERROR(NUMBERVALUE(CriteriTecnici!$O2082,".",","),IFERROR(NUMBERVALUE(CriteriTecnici!$O2082,",","."),0))),4)&amp;""),",",".")&amp;CHAR(125)&amp;IF(TRUE,",",""))</f>
        <v/>
      </c>
    </row>
    <row r="2184">
      <c r="A2184" s="82">
        <f>IF(CriteriTecnici!$A2083="","","    "&amp;CHAR(123)&amp;CHAR(34)&amp;"bidderId"&amp;CHAR(34)&amp;": "&amp;CHAR(34)&amp;SUBSTITUTE(CriteriTecnici!$A2083,CHAR(34),"'")&amp;CHAR(34)&amp;", "&amp;CHAR(34)&amp;"lotId"&amp;CHAR(34)&amp;": "&amp;CHAR(34)&amp;SUBSTITUTE(CriteriTecnici!$C2083,CHAR(34),"'")&amp;CHAR(34)&amp;", "&amp;CHAR(34)&amp;"criterionId"&amp;CHAR(34)&amp;": "&amp;CHAR(34)&amp;SUBSTITUTE(CriteriTecnici!$D2083,CHAR(34),"'")&amp;CHAR(34)&amp;", "&amp;CHAR(34)&amp;"kind"&amp;CHAR(34)&amp;": "&amp;CHAR(34)&amp;SUBSTITUTE(CriteriTecnici!$F2083,CHAR(34),"'")&amp;CHAR(34)&amp;", "&amp;CHAR(34)&amp;"value"&amp;CHAR(34)&amp;": "&amp;SUBSTITUTE(TRIM(ROUND(IFERROR(CriteriTecnici!$N2083*1,IFERROR(NUMBERVALUE(CriteriTecnici!$N2083,".",","),IFERROR(NUMBERVALUE(CriteriTecnici!$N2083,",","."),0))),4)&amp;""),",",".")&amp;", "&amp;CHAR(34)&amp;"numerator"&amp;CHAR(34)&amp;": "&amp;SUBSTITUTE(TRIM(ROUND(IFERROR(CriteriTecnici!$K2083*1,IFERROR(NUMBERVALUE(CriteriTecnici!$K2083,".",","),IFERROR(NUMBERVALUE(CriteriTecnici!$K2083,",","."),0))),4)&amp;""),",",".")&amp;", "&amp;CHAR(34)&amp;"denominator"&amp;CHAR(34)&amp;": "&amp;SUBSTITUTE(TRIM(ROUND(IFERROR(CriteriTecnici!$L2083*1,IFERROR(NUMBERVALUE(CriteriTecnici!$L2083,".",","),IFERROR(NUMBERVALUE(CriteriTecnici!$L2083,",","."),0))),4)&amp;""),",",".")&amp;", "&amp;CHAR(34)&amp;"flag"&amp;CHAR(34)&amp;": "&amp;SUBSTITUTE(TRIM(ROUND(IFERROR(CriteriTecnici!$M2083*1,IFERROR(NUMBERVALUE(CriteriTecnici!$M2083,".",","),IFERROR(NUMBERVALUE(CriteriTecnici!$M2083,",","."),0))),4)&amp;""),",",".")&amp;", "&amp;CHAR(34)&amp;"rawScore"&amp;CHAR(34)&amp;": "&amp;SUBSTITUTE(TRIM(ROUND(IFERROR(CriteriTecnici!$O2083*1,IFERROR(NUMBERVALUE(CriteriTecnici!$O2083,".",","),IFERROR(NUMBERVALUE(CriteriTecnici!$O2083,",","."),0))),4)&amp;""),",",".")&amp;CHAR(125)&amp;IF(TRUE,",",""))</f>
        <v/>
      </c>
    </row>
    <row r="2185">
      <c r="A2185" s="82">
        <f>IF(CriteriTecnici!$A2084="","","    "&amp;CHAR(123)&amp;CHAR(34)&amp;"bidderId"&amp;CHAR(34)&amp;": "&amp;CHAR(34)&amp;SUBSTITUTE(CriteriTecnici!$A2084,CHAR(34),"'")&amp;CHAR(34)&amp;", "&amp;CHAR(34)&amp;"lotId"&amp;CHAR(34)&amp;": "&amp;CHAR(34)&amp;SUBSTITUTE(CriteriTecnici!$C2084,CHAR(34),"'")&amp;CHAR(34)&amp;", "&amp;CHAR(34)&amp;"criterionId"&amp;CHAR(34)&amp;": "&amp;CHAR(34)&amp;SUBSTITUTE(CriteriTecnici!$D2084,CHAR(34),"'")&amp;CHAR(34)&amp;", "&amp;CHAR(34)&amp;"kind"&amp;CHAR(34)&amp;": "&amp;CHAR(34)&amp;SUBSTITUTE(CriteriTecnici!$F2084,CHAR(34),"'")&amp;CHAR(34)&amp;", "&amp;CHAR(34)&amp;"value"&amp;CHAR(34)&amp;": "&amp;SUBSTITUTE(TRIM(ROUND(IFERROR(CriteriTecnici!$N2084*1,IFERROR(NUMBERVALUE(CriteriTecnici!$N2084,".",","),IFERROR(NUMBERVALUE(CriteriTecnici!$N2084,",","."),0))),4)&amp;""),",",".")&amp;", "&amp;CHAR(34)&amp;"numerator"&amp;CHAR(34)&amp;": "&amp;SUBSTITUTE(TRIM(ROUND(IFERROR(CriteriTecnici!$K2084*1,IFERROR(NUMBERVALUE(CriteriTecnici!$K2084,".",","),IFERROR(NUMBERVALUE(CriteriTecnici!$K2084,",","."),0))),4)&amp;""),",",".")&amp;", "&amp;CHAR(34)&amp;"denominator"&amp;CHAR(34)&amp;": "&amp;SUBSTITUTE(TRIM(ROUND(IFERROR(CriteriTecnici!$L2084*1,IFERROR(NUMBERVALUE(CriteriTecnici!$L2084,".",","),IFERROR(NUMBERVALUE(CriteriTecnici!$L2084,",","."),0))),4)&amp;""),",",".")&amp;", "&amp;CHAR(34)&amp;"flag"&amp;CHAR(34)&amp;": "&amp;SUBSTITUTE(TRIM(ROUND(IFERROR(CriteriTecnici!$M2084*1,IFERROR(NUMBERVALUE(CriteriTecnici!$M2084,".",","),IFERROR(NUMBERVALUE(CriteriTecnici!$M2084,",","."),0))),4)&amp;""),",",".")&amp;", "&amp;CHAR(34)&amp;"rawScore"&amp;CHAR(34)&amp;": "&amp;SUBSTITUTE(TRIM(ROUND(IFERROR(CriteriTecnici!$O2084*1,IFERROR(NUMBERVALUE(CriteriTecnici!$O2084,".",","),IFERROR(NUMBERVALUE(CriteriTecnici!$O2084,",","."),0))),4)&amp;""),",",".")&amp;CHAR(125)&amp;IF(TRUE,",",""))</f>
        <v/>
      </c>
    </row>
    <row r="2186">
      <c r="A2186" s="82">
        <f>IF(CriteriTecnici!$A2085="","","    "&amp;CHAR(123)&amp;CHAR(34)&amp;"bidderId"&amp;CHAR(34)&amp;": "&amp;CHAR(34)&amp;SUBSTITUTE(CriteriTecnici!$A2085,CHAR(34),"'")&amp;CHAR(34)&amp;", "&amp;CHAR(34)&amp;"lotId"&amp;CHAR(34)&amp;": "&amp;CHAR(34)&amp;SUBSTITUTE(CriteriTecnici!$C2085,CHAR(34),"'")&amp;CHAR(34)&amp;", "&amp;CHAR(34)&amp;"criterionId"&amp;CHAR(34)&amp;": "&amp;CHAR(34)&amp;SUBSTITUTE(CriteriTecnici!$D2085,CHAR(34),"'")&amp;CHAR(34)&amp;", "&amp;CHAR(34)&amp;"kind"&amp;CHAR(34)&amp;": "&amp;CHAR(34)&amp;SUBSTITUTE(CriteriTecnici!$F2085,CHAR(34),"'")&amp;CHAR(34)&amp;", "&amp;CHAR(34)&amp;"value"&amp;CHAR(34)&amp;": "&amp;SUBSTITUTE(TRIM(ROUND(IFERROR(CriteriTecnici!$N2085*1,IFERROR(NUMBERVALUE(CriteriTecnici!$N2085,".",","),IFERROR(NUMBERVALUE(CriteriTecnici!$N2085,",","."),0))),4)&amp;""),",",".")&amp;", "&amp;CHAR(34)&amp;"numerator"&amp;CHAR(34)&amp;": "&amp;SUBSTITUTE(TRIM(ROUND(IFERROR(CriteriTecnici!$K2085*1,IFERROR(NUMBERVALUE(CriteriTecnici!$K2085,".",","),IFERROR(NUMBERVALUE(CriteriTecnici!$K2085,",","."),0))),4)&amp;""),",",".")&amp;", "&amp;CHAR(34)&amp;"denominator"&amp;CHAR(34)&amp;": "&amp;SUBSTITUTE(TRIM(ROUND(IFERROR(CriteriTecnici!$L2085*1,IFERROR(NUMBERVALUE(CriteriTecnici!$L2085,".",","),IFERROR(NUMBERVALUE(CriteriTecnici!$L2085,",","."),0))),4)&amp;""),",",".")&amp;", "&amp;CHAR(34)&amp;"flag"&amp;CHAR(34)&amp;": "&amp;SUBSTITUTE(TRIM(ROUND(IFERROR(CriteriTecnici!$M2085*1,IFERROR(NUMBERVALUE(CriteriTecnici!$M2085,".",","),IFERROR(NUMBERVALUE(CriteriTecnici!$M2085,",","."),0))),4)&amp;""),",",".")&amp;", "&amp;CHAR(34)&amp;"rawScore"&amp;CHAR(34)&amp;": "&amp;SUBSTITUTE(TRIM(ROUND(IFERROR(CriteriTecnici!$O2085*1,IFERROR(NUMBERVALUE(CriteriTecnici!$O2085,".",","),IFERROR(NUMBERVALUE(CriteriTecnici!$O2085,",","."),0))),4)&amp;""),",",".")&amp;CHAR(125)&amp;IF(TRUE,",",""))</f>
        <v/>
      </c>
    </row>
    <row r="2187">
      <c r="A2187" s="82">
        <f>IF(CriteriTecnici!$A2086="","","    "&amp;CHAR(123)&amp;CHAR(34)&amp;"bidderId"&amp;CHAR(34)&amp;": "&amp;CHAR(34)&amp;SUBSTITUTE(CriteriTecnici!$A2086,CHAR(34),"'")&amp;CHAR(34)&amp;", "&amp;CHAR(34)&amp;"lotId"&amp;CHAR(34)&amp;": "&amp;CHAR(34)&amp;SUBSTITUTE(CriteriTecnici!$C2086,CHAR(34),"'")&amp;CHAR(34)&amp;", "&amp;CHAR(34)&amp;"criterionId"&amp;CHAR(34)&amp;": "&amp;CHAR(34)&amp;SUBSTITUTE(CriteriTecnici!$D2086,CHAR(34),"'")&amp;CHAR(34)&amp;", "&amp;CHAR(34)&amp;"kind"&amp;CHAR(34)&amp;": "&amp;CHAR(34)&amp;SUBSTITUTE(CriteriTecnici!$F2086,CHAR(34),"'")&amp;CHAR(34)&amp;", "&amp;CHAR(34)&amp;"value"&amp;CHAR(34)&amp;": "&amp;SUBSTITUTE(TRIM(ROUND(IFERROR(CriteriTecnici!$N2086*1,IFERROR(NUMBERVALUE(CriteriTecnici!$N2086,".",","),IFERROR(NUMBERVALUE(CriteriTecnici!$N2086,",","."),0))),4)&amp;""),",",".")&amp;", "&amp;CHAR(34)&amp;"numerator"&amp;CHAR(34)&amp;": "&amp;SUBSTITUTE(TRIM(ROUND(IFERROR(CriteriTecnici!$K2086*1,IFERROR(NUMBERVALUE(CriteriTecnici!$K2086,".",","),IFERROR(NUMBERVALUE(CriteriTecnici!$K2086,",","."),0))),4)&amp;""),",",".")&amp;", "&amp;CHAR(34)&amp;"denominator"&amp;CHAR(34)&amp;": "&amp;SUBSTITUTE(TRIM(ROUND(IFERROR(CriteriTecnici!$L2086*1,IFERROR(NUMBERVALUE(CriteriTecnici!$L2086,".",","),IFERROR(NUMBERVALUE(CriteriTecnici!$L2086,",","."),0))),4)&amp;""),",",".")&amp;", "&amp;CHAR(34)&amp;"flag"&amp;CHAR(34)&amp;": "&amp;SUBSTITUTE(TRIM(ROUND(IFERROR(CriteriTecnici!$M2086*1,IFERROR(NUMBERVALUE(CriteriTecnici!$M2086,".",","),IFERROR(NUMBERVALUE(CriteriTecnici!$M2086,",","."),0))),4)&amp;""),",",".")&amp;", "&amp;CHAR(34)&amp;"rawScore"&amp;CHAR(34)&amp;": "&amp;SUBSTITUTE(TRIM(ROUND(IFERROR(CriteriTecnici!$O2086*1,IFERROR(NUMBERVALUE(CriteriTecnici!$O2086,".",","),IFERROR(NUMBERVALUE(CriteriTecnici!$O2086,",","."),0))),4)&amp;""),",",".")&amp;CHAR(125)&amp;IF(TRUE,",",""))</f>
        <v/>
      </c>
    </row>
    <row r="2188">
      <c r="A2188" s="82">
        <f>IF(CriteriTecnici!$A2087="","","    "&amp;CHAR(123)&amp;CHAR(34)&amp;"bidderId"&amp;CHAR(34)&amp;": "&amp;CHAR(34)&amp;SUBSTITUTE(CriteriTecnici!$A2087,CHAR(34),"'")&amp;CHAR(34)&amp;", "&amp;CHAR(34)&amp;"lotId"&amp;CHAR(34)&amp;": "&amp;CHAR(34)&amp;SUBSTITUTE(CriteriTecnici!$C2087,CHAR(34),"'")&amp;CHAR(34)&amp;", "&amp;CHAR(34)&amp;"criterionId"&amp;CHAR(34)&amp;": "&amp;CHAR(34)&amp;SUBSTITUTE(CriteriTecnici!$D2087,CHAR(34),"'")&amp;CHAR(34)&amp;", "&amp;CHAR(34)&amp;"kind"&amp;CHAR(34)&amp;": "&amp;CHAR(34)&amp;SUBSTITUTE(CriteriTecnici!$F2087,CHAR(34),"'")&amp;CHAR(34)&amp;", "&amp;CHAR(34)&amp;"value"&amp;CHAR(34)&amp;": "&amp;SUBSTITUTE(TRIM(ROUND(IFERROR(CriteriTecnici!$N2087*1,IFERROR(NUMBERVALUE(CriteriTecnici!$N2087,".",","),IFERROR(NUMBERVALUE(CriteriTecnici!$N2087,",","."),0))),4)&amp;""),",",".")&amp;", "&amp;CHAR(34)&amp;"numerator"&amp;CHAR(34)&amp;": "&amp;SUBSTITUTE(TRIM(ROUND(IFERROR(CriteriTecnici!$K2087*1,IFERROR(NUMBERVALUE(CriteriTecnici!$K2087,".",","),IFERROR(NUMBERVALUE(CriteriTecnici!$K2087,",","."),0))),4)&amp;""),",",".")&amp;", "&amp;CHAR(34)&amp;"denominator"&amp;CHAR(34)&amp;": "&amp;SUBSTITUTE(TRIM(ROUND(IFERROR(CriteriTecnici!$L2087*1,IFERROR(NUMBERVALUE(CriteriTecnici!$L2087,".",","),IFERROR(NUMBERVALUE(CriteriTecnici!$L2087,",","."),0))),4)&amp;""),",",".")&amp;", "&amp;CHAR(34)&amp;"flag"&amp;CHAR(34)&amp;": "&amp;SUBSTITUTE(TRIM(ROUND(IFERROR(CriteriTecnici!$M2087*1,IFERROR(NUMBERVALUE(CriteriTecnici!$M2087,".",","),IFERROR(NUMBERVALUE(CriteriTecnici!$M2087,",","."),0))),4)&amp;""),",",".")&amp;", "&amp;CHAR(34)&amp;"rawScore"&amp;CHAR(34)&amp;": "&amp;SUBSTITUTE(TRIM(ROUND(IFERROR(CriteriTecnici!$O2087*1,IFERROR(NUMBERVALUE(CriteriTecnici!$O2087,".",","),IFERROR(NUMBERVALUE(CriteriTecnici!$O2087,",","."),0))),4)&amp;""),",",".")&amp;CHAR(125)&amp;IF(TRUE,",",""))</f>
        <v/>
      </c>
    </row>
    <row r="2189">
      <c r="A2189" s="82">
        <f>IF(CriteriTecnici!$A2088="","","    "&amp;CHAR(123)&amp;CHAR(34)&amp;"bidderId"&amp;CHAR(34)&amp;": "&amp;CHAR(34)&amp;SUBSTITUTE(CriteriTecnici!$A2088,CHAR(34),"'")&amp;CHAR(34)&amp;", "&amp;CHAR(34)&amp;"lotId"&amp;CHAR(34)&amp;": "&amp;CHAR(34)&amp;SUBSTITUTE(CriteriTecnici!$C2088,CHAR(34),"'")&amp;CHAR(34)&amp;", "&amp;CHAR(34)&amp;"criterionId"&amp;CHAR(34)&amp;": "&amp;CHAR(34)&amp;SUBSTITUTE(CriteriTecnici!$D2088,CHAR(34),"'")&amp;CHAR(34)&amp;", "&amp;CHAR(34)&amp;"kind"&amp;CHAR(34)&amp;": "&amp;CHAR(34)&amp;SUBSTITUTE(CriteriTecnici!$F2088,CHAR(34),"'")&amp;CHAR(34)&amp;", "&amp;CHAR(34)&amp;"value"&amp;CHAR(34)&amp;": "&amp;SUBSTITUTE(TRIM(ROUND(IFERROR(CriteriTecnici!$N2088*1,IFERROR(NUMBERVALUE(CriteriTecnici!$N2088,".",","),IFERROR(NUMBERVALUE(CriteriTecnici!$N2088,",","."),0))),4)&amp;""),",",".")&amp;", "&amp;CHAR(34)&amp;"numerator"&amp;CHAR(34)&amp;": "&amp;SUBSTITUTE(TRIM(ROUND(IFERROR(CriteriTecnici!$K2088*1,IFERROR(NUMBERVALUE(CriteriTecnici!$K2088,".",","),IFERROR(NUMBERVALUE(CriteriTecnici!$K2088,",","."),0))),4)&amp;""),",",".")&amp;", "&amp;CHAR(34)&amp;"denominator"&amp;CHAR(34)&amp;": "&amp;SUBSTITUTE(TRIM(ROUND(IFERROR(CriteriTecnici!$L2088*1,IFERROR(NUMBERVALUE(CriteriTecnici!$L2088,".",","),IFERROR(NUMBERVALUE(CriteriTecnici!$L2088,",","."),0))),4)&amp;""),",",".")&amp;", "&amp;CHAR(34)&amp;"flag"&amp;CHAR(34)&amp;": "&amp;SUBSTITUTE(TRIM(ROUND(IFERROR(CriteriTecnici!$M2088*1,IFERROR(NUMBERVALUE(CriteriTecnici!$M2088,".",","),IFERROR(NUMBERVALUE(CriteriTecnici!$M2088,",","."),0))),4)&amp;""),",",".")&amp;", "&amp;CHAR(34)&amp;"rawScore"&amp;CHAR(34)&amp;": "&amp;SUBSTITUTE(TRIM(ROUND(IFERROR(CriteriTecnici!$O2088*1,IFERROR(NUMBERVALUE(CriteriTecnici!$O2088,".",","),IFERROR(NUMBERVALUE(CriteriTecnici!$O2088,",","."),0))),4)&amp;""),",",".")&amp;CHAR(125)&amp;IF(TRUE,",",""))</f>
        <v/>
      </c>
    </row>
    <row r="2190">
      <c r="A2190" s="82">
        <f>IF(CriteriTecnici!$A2089="","","    "&amp;CHAR(123)&amp;CHAR(34)&amp;"bidderId"&amp;CHAR(34)&amp;": "&amp;CHAR(34)&amp;SUBSTITUTE(CriteriTecnici!$A2089,CHAR(34),"'")&amp;CHAR(34)&amp;", "&amp;CHAR(34)&amp;"lotId"&amp;CHAR(34)&amp;": "&amp;CHAR(34)&amp;SUBSTITUTE(CriteriTecnici!$C2089,CHAR(34),"'")&amp;CHAR(34)&amp;", "&amp;CHAR(34)&amp;"criterionId"&amp;CHAR(34)&amp;": "&amp;CHAR(34)&amp;SUBSTITUTE(CriteriTecnici!$D2089,CHAR(34),"'")&amp;CHAR(34)&amp;", "&amp;CHAR(34)&amp;"kind"&amp;CHAR(34)&amp;": "&amp;CHAR(34)&amp;SUBSTITUTE(CriteriTecnici!$F2089,CHAR(34),"'")&amp;CHAR(34)&amp;", "&amp;CHAR(34)&amp;"value"&amp;CHAR(34)&amp;": "&amp;SUBSTITUTE(TRIM(ROUND(IFERROR(CriteriTecnici!$N2089*1,IFERROR(NUMBERVALUE(CriteriTecnici!$N2089,".",","),IFERROR(NUMBERVALUE(CriteriTecnici!$N2089,",","."),0))),4)&amp;""),",",".")&amp;", "&amp;CHAR(34)&amp;"numerator"&amp;CHAR(34)&amp;": "&amp;SUBSTITUTE(TRIM(ROUND(IFERROR(CriteriTecnici!$K2089*1,IFERROR(NUMBERVALUE(CriteriTecnici!$K2089,".",","),IFERROR(NUMBERVALUE(CriteriTecnici!$K2089,",","."),0))),4)&amp;""),",",".")&amp;", "&amp;CHAR(34)&amp;"denominator"&amp;CHAR(34)&amp;": "&amp;SUBSTITUTE(TRIM(ROUND(IFERROR(CriteriTecnici!$L2089*1,IFERROR(NUMBERVALUE(CriteriTecnici!$L2089,".",","),IFERROR(NUMBERVALUE(CriteriTecnici!$L2089,",","."),0))),4)&amp;""),",",".")&amp;", "&amp;CHAR(34)&amp;"flag"&amp;CHAR(34)&amp;": "&amp;SUBSTITUTE(TRIM(ROUND(IFERROR(CriteriTecnici!$M2089*1,IFERROR(NUMBERVALUE(CriteriTecnici!$M2089,".",","),IFERROR(NUMBERVALUE(CriteriTecnici!$M2089,",","."),0))),4)&amp;""),",",".")&amp;", "&amp;CHAR(34)&amp;"rawScore"&amp;CHAR(34)&amp;": "&amp;SUBSTITUTE(TRIM(ROUND(IFERROR(CriteriTecnici!$O2089*1,IFERROR(NUMBERVALUE(CriteriTecnici!$O2089,".",","),IFERROR(NUMBERVALUE(CriteriTecnici!$O2089,",","."),0))),4)&amp;""),",",".")&amp;CHAR(125)&amp;IF(TRUE,",",""))</f>
        <v/>
      </c>
    </row>
    <row r="2191">
      <c r="A2191" s="82">
        <f>IF(CriteriTecnici!$A2090="","","    "&amp;CHAR(123)&amp;CHAR(34)&amp;"bidderId"&amp;CHAR(34)&amp;": "&amp;CHAR(34)&amp;SUBSTITUTE(CriteriTecnici!$A2090,CHAR(34),"'")&amp;CHAR(34)&amp;", "&amp;CHAR(34)&amp;"lotId"&amp;CHAR(34)&amp;": "&amp;CHAR(34)&amp;SUBSTITUTE(CriteriTecnici!$C2090,CHAR(34),"'")&amp;CHAR(34)&amp;", "&amp;CHAR(34)&amp;"criterionId"&amp;CHAR(34)&amp;": "&amp;CHAR(34)&amp;SUBSTITUTE(CriteriTecnici!$D2090,CHAR(34),"'")&amp;CHAR(34)&amp;", "&amp;CHAR(34)&amp;"kind"&amp;CHAR(34)&amp;": "&amp;CHAR(34)&amp;SUBSTITUTE(CriteriTecnici!$F2090,CHAR(34),"'")&amp;CHAR(34)&amp;", "&amp;CHAR(34)&amp;"value"&amp;CHAR(34)&amp;": "&amp;SUBSTITUTE(TRIM(ROUND(IFERROR(CriteriTecnici!$N2090*1,IFERROR(NUMBERVALUE(CriteriTecnici!$N2090,".",","),IFERROR(NUMBERVALUE(CriteriTecnici!$N2090,",","."),0))),4)&amp;""),",",".")&amp;", "&amp;CHAR(34)&amp;"numerator"&amp;CHAR(34)&amp;": "&amp;SUBSTITUTE(TRIM(ROUND(IFERROR(CriteriTecnici!$K2090*1,IFERROR(NUMBERVALUE(CriteriTecnici!$K2090,".",","),IFERROR(NUMBERVALUE(CriteriTecnici!$K2090,",","."),0))),4)&amp;""),",",".")&amp;", "&amp;CHAR(34)&amp;"denominator"&amp;CHAR(34)&amp;": "&amp;SUBSTITUTE(TRIM(ROUND(IFERROR(CriteriTecnici!$L2090*1,IFERROR(NUMBERVALUE(CriteriTecnici!$L2090,".",","),IFERROR(NUMBERVALUE(CriteriTecnici!$L2090,",","."),0))),4)&amp;""),",",".")&amp;", "&amp;CHAR(34)&amp;"flag"&amp;CHAR(34)&amp;": "&amp;SUBSTITUTE(TRIM(ROUND(IFERROR(CriteriTecnici!$M2090*1,IFERROR(NUMBERVALUE(CriteriTecnici!$M2090,".",","),IFERROR(NUMBERVALUE(CriteriTecnici!$M2090,",","."),0))),4)&amp;""),",",".")&amp;", "&amp;CHAR(34)&amp;"rawScore"&amp;CHAR(34)&amp;": "&amp;SUBSTITUTE(TRIM(ROUND(IFERROR(CriteriTecnici!$O2090*1,IFERROR(NUMBERVALUE(CriteriTecnici!$O2090,".",","),IFERROR(NUMBERVALUE(CriteriTecnici!$O2090,",","."),0))),4)&amp;""),",",".")&amp;CHAR(125)&amp;IF(TRUE,",",""))</f>
        <v/>
      </c>
    </row>
    <row r="2192">
      <c r="A2192" s="82">
        <f>IF(CriteriTecnici!$A2091="","","    "&amp;CHAR(123)&amp;CHAR(34)&amp;"bidderId"&amp;CHAR(34)&amp;": "&amp;CHAR(34)&amp;SUBSTITUTE(CriteriTecnici!$A2091,CHAR(34),"'")&amp;CHAR(34)&amp;", "&amp;CHAR(34)&amp;"lotId"&amp;CHAR(34)&amp;": "&amp;CHAR(34)&amp;SUBSTITUTE(CriteriTecnici!$C2091,CHAR(34),"'")&amp;CHAR(34)&amp;", "&amp;CHAR(34)&amp;"criterionId"&amp;CHAR(34)&amp;": "&amp;CHAR(34)&amp;SUBSTITUTE(CriteriTecnici!$D2091,CHAR(34),"'")&amp;CHAR(34)&amp;", "&amp;CHAR(34)&amp;"kind"&amp;CHAR(34)&amp;": "&amp;CHAR(34)&amp;SUBSTITUTE(CriteriTecnici!$F2091,CHAR(34),"'")&amp;CHAR(34)&amp;", "&amp;CHAR(34)&amp;"value"&amp;CHAR(34)&amp;": "&amp;SUBSTITUTE(TRIM(ROUND(IFERROR(CriteriTecnici!$N2091*1,IFERROR(NUMBERVALUE(CriteriTecnici!$N2091,".",","),IFERROR(NUMBERVALUE(CriteriTecnici!$N2091,",","."),0))),4)&amp;""),",",".")&amp;", "&amp;CHAR(34)&amp;"numerator"&amp;CHAR(34)&amp;": "&amp;SUBSTITUTE(TRIM(ROUND(IFERROR(CriteriTecnici!$K2091*1,IFERROR(NUMBERVALUE(CriteriTecnici!$K2091,".",","),IFERROR(NUMBERVALUE(CriteriTecnici!$K2091,",","."),0))),4)&amp;""),",",".")&amp;", "&amp;CHAR(34)&amp;"denominator"&amp;CHAR(34)&amp;": "&amp;SUBSTITUTE(TRIM(ROUND(IFERROR(CriteriTecnici!$L2091*1,IFERROR(NUMBERVALUE(CriteriTecnici!$L2091,".",","),IFERROR(NUMBERVALUE(CriteriTecnici!$L2091,",","."),0))),4)&amp;""),",",".")&amp;", "&amp;CHAR(34)&amp;"flag"&amp;CHAR(34)&amp;": "&amp;SUBSTITUTE(TRIM(ROUND(IFERROR(CriteriTecnici!$M2091*1,IFERROR(NUMBERVALUE(CriteriTecnici!$M2091,".",","),IFERROR(NUMBERVALUE(CriteriTecnici!$M2091,",","."),0))),4)&amp;""),",",".")&amp;", "&amp;CHAR(34)&amp;"rawScore"&amp;CHAR(34)&amp;": "&amp;SUBSTITUTE(TRIM(ROUND(IFERROR(CriteriTecnici!$O2091*1,IFERROR(NUMBERVALUE(CriteriTecnici!$O2091,".",","),IFERROR(NUMBERVALUE(CriteriTecnici!$O2091,",","."),0))),4)&amp;""),",",".")&amp;CHAR(125)&amp;IF(TRUE,",",""))</f>
        <v/>
      </c>
    </row>
    <row r="2193">
      <c r="A2193" s="82">
        <f>IF(CriteriTecnici!$A2092="","","    "&amp;CHAR(123)&amp;CHAR(34)&amp;"bidderId"&amp;CHAR(34)&amp;": "&amp;CHAR(34)&amp;SUBSTITUTE(CriteriTecnici!$A2092,CHAR(34),"'")&amp;CHAR(34)&amp;", "&amp;CHAR(34)&amp;"lotId"&amp;CHAR(34)&amp;": "&amp;CHAR(34)&amp;SUBSTITUTE(CriteriTecnici!$C2092,CHAR(34),"'")&amp;CHAR(34)&amp;", "&amp;CHAR(34)&amp;"criterionId"&amp;CHAR(34)&amp;": "&amp;CHAR(34)&amp;SUBSTITUTE(CriteriTecnici!$D2092,CHAR(34),"'")&amp;CHAR(34)&amp;", "&amp;CHAR(34)&amp;"kind"&amp;CHAR(34)&amp;": "&amp;CHAR(34)&amp;SUBSTITUTE(CriteriTecnici!$F2092,CHAR(34),"'")&amp;CHAR(34)&amp;", "&amp;CHAR(34)&amp;"value"&amp;CHAR(34)&amp;": "&amp;SUBSTITUTE(TRIM(ROUND(IFERROR(CriteriTecnici!$N2092*1,IFERROR(NUMBERVALUE(CriteriTecnici!$N2092,".",","),IFERROR(NUMBERVALUE(CriteriTecnici!$N2092,",","."),0))),4)&amp;""),",",".")&amp;", "&amp;CHAR(34)&amp;"numerator"&amp;CHAR(34)&amp;": "&amp;SUBSTITUTE(TRIM(ROUND(IFERROR(CriteriTecnici!$K2092*1,IFERROR(NUMBERVALUE(CriteriTecnici!$K2092,".",","),IFERROR(NUMBERVALUE(CriteriTecnici!$K2092,",","."),0))),4)&amp;""),",",".")&amp;", "&amp;CHAR(34)&amp;"denominator"&amp;CHAR(34)&amp;": "&amp;SUBSTITUTE(TRIM(ROUND(IFERROR(CriteriTecnici!$L2092*1,IFERROR(NUMBERVALUE(CriteriTecnici!$L2092,".",","),IFERROR(NUMBERVALUE(CriteriTecnici!$L2092,",","."),0))),4)&amp;""),",",".")&amp;", "&amp;CHAR(34)&amp;"flag"&amp;CHAR(34)&amp;": "&amp;SUBSTITUTE(TRIM(ROUND(IFERROR(CriteriTecnici!$M2092*1,IFERROR(NUMBERVALUE(CriteriTecnici!$M2092,".",","),IFERROR(NUMBERVALUE(CriteriTecnici!$M2092,",","."),0))),4)&amp;""),",",".")&amp;", "&amp;CHAR(34)&amp;"rawScore"&amp;CHAR(34)&amp;": "&amp;SUBSTITUTE(TRIM(ROUND(IFERROR(CriteriTecnici!$O2092*1,IFERROR(NUMBERVALUE(CriteriTecnici!$O2092,".",","),IFERROR(NUMBERVALUE(CriteriTecnici!$O2092,",","."),0))),4)&amp;""),",",".")&amp;CHAR(125)&amp;IF(TRUE,",",""))</f>
        <v/>
      </c>
    </row>
    <row r="2194">
      <c r="A2194" s="82">
        <f>IF(CriteriTecnici!$A2093="","","    "&amp;CHAR(123)&amp;CHAR(34)&amp;"bidderId"&amp;CHAR(34)&amp;": "&amp;CHAR(34)&amp;SUBSTITUTE(CriteriTecnici!$A2093,CHAR(34),"'")&amp;CHAR(34)&amp;", "&amp;CHAR(34)&amp;"lotId"&amp;CHAR(34)&amp;": "&amp;CHAR(34)&amp;SUBSTITUTE(CriteriTecnici!$C2093,CHAR(34),"'")&amp;CHAR(34)&amp;", "&amp;CHAR(34)&amp;"criterionId"&amp;CHAR(34)&amp;": "&amp;CHAR(34)&amp;SUBSTITUTE(CriteriTecnici!$D2093,CHAR(34),"'")&amp;CHAR(34)&amp;", "&amp;CHAR(34)&amp;"kind"&amp;CHAR(34)&amp;": "&amp;CHAR(34)&amp;SUBSTITUTE(CriteriTecnici!$F2093,CHAR(34),"'")&amp;CHAR(34)&amp;", "&amp;CHAR(34)&amp;"value"&amp;CHAR(34)&amp;": "&amp;SUBSTITUTE(TRIM(ROUND(IFERROR(CriteriTecnici!$N2093*1,IFERROR(NUMBERVALUE(CriteriTecnici!$N2093,".",","),IFERROR(NUMBERVALUE(CriteriTecnici!$N2093,",","."),0))),4)&amp;""),",",".")&amp;", "&amp;CHAR(34)&amp;"numerator"&amp;CHAR(34)&amp;": "&amp;SUBSTITUTE(TRIM(ROUND(IFERROR(CriteriTecnici!$K2093*1,IFERROR(NUMBERVALUE(CriteriTecnici!$K2093,".",","),IFERROR(NUMBERVALUE(CriteriTecnici!$K2093,",","."),0))),4)&amp;""),",",".")&amp;", "&amp;CHAR(34)&amp;"denominator"&amp;CHAR(34)&amp;": "&amp;SUBSTITUTE(TRIM(ROUND(IFERROR(CriteriTecnici!$L2093*1,IFERROR(NUMBERVALUE(CriteriTecnici!$L2093,".",","),IFERROR(NUMBERVALUE(CriteriTecnici!$L2093,",","."),0))),4)&amp;""),",",".")&amp;", "&amp;CHAR(34)&amp;"flag"&amp;CHAR(34)&amp;": "&amp;SUBSTITUTE(TRIM(ROUND(IFERROR(CriteriTecnici!$M2093*1,IFERROR(NUMBERVALUE(CriteriTecnici!$M2093,".",","),IFERROR(NUMBERVALUE(CriteriTecnici!$M2093,",","."),0))),4)&amp;""),",",".")&amp;", "&amp;CHAR(34)&amp;"rawScore"&amp;CHAR(34)&amp;": "&amp;SUBSTITUTE(TRIM(ROUND(IFERROR(CriteriTecnici!$O2093*1,IFERROR(NUMBERVALUE(CriteriTecnici!$O2093,".",","),IFERROR(NUMBERVALUE(CriteriTecnici!$O2093,",","."),0))),4)&amp;""),",",".")&amp;CHAR(125)&amp;IF(TRUE,",",""))</f>
        <v/>
      </c>
    </row>
    <row r="2195">
      <c r="A2195" s="82">
        <f>IF(CriteriTecnici!$A2094="","","    "&amp;CHAR(123)&amp;CHAR(34)&amp;"bidderId"&amp;CHAR(34)&amp;": "&amp;CHAR(34)&amp;SUBSTITUTE(CriteriTecnici!$A2094,CHAR(34),"'")&amp;CHAR(34)&amp;", "&amp;CHAR(34)&amp;"lotId"&amp;CHAR(34)&amp;": "&amp;CHAR(34)&amp;SUBSTITUTE(CriteriTecnici!$C2094,CHAR(34),"'")&amp;CHAR(34)&amp;", "&amp;CHAR(34)&amp;"criterionId"&amp;CHAR(34)&amp;": "&amp;CHAR(34)&amp;SUBSTITUTE(CriteriTecnici!$D2094,CHAR(34),"'")&amp;CHAR(34)&amp;", "&amp;CHAR(34)&amp;"kind"&amp;CHAR(34)&amp;": "&amp;CHAR(34)&amp;SUBSTITUTE(CriteriTecnici!$F2094,CHAR(34),"'")&amp;CHAR(34)&amp;", "&amp;CHAR(34)&amp;"value"&amp;CHAR(34)&amp;": "&amp;SUBSTITUTE(TRIM(ROUND(IFERROR(CriteriTecnici!$N2094*1,IFERROR(NUMBERVALUE(CriteriTecnici!$N2094,".",","),IFERROR(NUMBERVALUE(CriteriTecnici!$N2094,",","."),0))),4)&amp;""),",",".")&amp;", "&amp;CHAR(34)&amp;"numerator"&amp;CHAR(34)&amp;": "&amp;SUBSTITUTE(TRIM(ROUND(IFERROR(CriteriTecnici!$K2094*1,IFERROR(NUMBERVALUE(CriteriTecnici!$K2094,".",","),IFERROR(NUMBERVALUE(CriteriTecnici!$K2094,",","."),0))),4)&amp;""),",",".")&amp;", "&amp;CHAR(34)&amp;"denominator"&amp;CHAR(34)&amp;": "&amp;SUBSTITUTE(TRIM(ROUND(IFERROR(CriteriTecnici!$L2094*1,IFERROR(NUMBERVALUE(CriteriTecnici!$L2094,".",","),IFERROR(NUMBERVALUE(CriteriTecnici!$L2094,",","."),0))),4)&amp;""),",",".")&amp;", "&amp;CHAR(34)&amp;"flag"&amp;CHAR(34)&amp;": "&amp;SUBSTITUTE(TRIM(ROUND(IFERROR(CriteriTecnici!$M2094*1,IFERROR(NUMBERVALUE(CriteriTecnici!$M2094,".",","),IFERROR(NUMBERVALUE(CriteriTecnici!$M2094,",","."),0))),4)&amp;""),",",".")&amp;", "&amp;CHAR(34)&amp;"rawScore"&amp;CHAR(34)&amp;": "&amp;SUBSTITUTE(TRIM(ROUND(IFERROR(CriteriTecnici!$O2094*1,IFERROR(NUMBERVALUE(CriteriTecnici!$O2094,".",","),IFERROR(NUMBERVALUE(CriteriTecnici!$O2094,",","."),0))),4)&amp;""),",",".")&amp;CHAR(125)&amp;IF(TRUE,",",""))</f>
        <v/>
      </c>
    </row>
    <row r="2196">
      <c r="A2196" s="82">
        <f>IF(CriteriTecnici!$A2095="","","    "&amp;CHAR(123)&amp;CHAR(34)&amp;"bidderId"&amp;CHAR(34)&amp;": "&amp;CHAR(34)&amp;SUBSTITUTE(CriteriTecnici!$A2095,CHAR(34),"'")&amp;CHAR(34)&amp;", "&amp;CHAR(34)&amp;"lotId"&amp;CHAR(34)&amp;": "&amp;CHAR(34)&amp;SUBSTITUTE(CriteriTecnici!$C2095,CHAR(34),"'")&amp;CHAR(34)&amp;", "&amp;CHAR(34)&amp;"criterionId"&amp;CHAR(34)&amp;": "&amp;CHAR(34)&amp;SUBSTITUTE(CriteriTecnici!$D2095,CHAR(34),"'")&amp;CHAR(34)&amp;", "&amp;CHAR(34)&amp;"kind"&amp;CHAR(34)&amp;": "&amp;CHAR(34)&amp;SUBSTITUTE(CriteriTecnici!$F2095,CHAR(34),"'")&amp;CHAR(34)&amp;", "&amp;CHAR(34)&amp;"value"&amp;CHAR(34)&amp;": "&amp;SUBSTITUTE(TRIM(ROUND(IFERROR(CriteriTecnici!$N2095*1,IFERROR(NUMBERVALUE(CriteriTecnici!$N2095,".",","),IFERROR(NUMBERVALUE(CriteriTecnici!$N2095,",","."),0))),4)&amp;""),",",".")&amp;", "&amp;CHAR(34)&amp;"numerator"&amp;CHAR(34)&amp;": "&amp;SUBSTITUTE(TRIM(ROUND(IFERROR(CriteriTecnici!$K2095*1,IFERROR(NUMBERVALUE(CriteriTecnici!$K2095,".",","),IFERROR(NUMBERVALUE(CriteriTecnici!$K2095,",","."),0))),4)&amp;""),",",".")&amp;", "&amp;CHAR(34)&amp;"denominator"&amp;CHAR(34)&amp;": "&amp;SUBSTITUTE(TRIM(ROUND(IFERROR(CriteriTecnici!$L2095*1,IFERROR(NUMBERVALUE(CriteriTecnici!$L2095,".",","),IFERROR(NUMBERVALUE(CriteriTecnici!$L2095,",","."),0))),4)&amp;""),",",".")&amp;", "&amp;CHAR(34)&amp;"flag"&amp;CHAR(34)&amp;": "&amp;SUBSTITUTE(TRIM(ROUND(IFERROR(CriteriTecnici!$M2095*1,IFERROR(NUMBERVALUE(CriteriTecnici!$M2095,".",","),IFERROR(NUMBERVALUE(CriteriTecnici!$M2095,",","."),0))),4)&amp;""),",",".")&amp;", "&amp;CHAR(34)&amp;"rawScore"&amp;CHAR(34)&amp;": "&amp;SUBSTITUTE(TRIM(ROUND(IFERROR(CriteriTecnici!$O2095*1,IFERROR(NUMBERVALUE(CriteriTecnici!$O2095,".",","),IFERROR(NUMBERVALUE(CriteriTecnici!$O2095,",","."),0))),4)&amp;""),",",".")&amp;CHAR(125)&amp;IF(TRUE,",",""))</f>
        <v/>
      </c>
    </row>
    <row r="2197">
      <c r="A2197" s="82">
        <f>IF(CriteriTecnici!$A2096="","","    "&amp;CHAR(123)&amp;CHAR(34)&amp;"bidderId"&amp;CHAR(34)&amp;": "&amp;CHAR(34)&amp;SUBSTITUTE(CriteriTecnici!$A2096,CHAR(34),"'")&amp;CHAR(34)&amp;", "&amp;CHAR(34)&amp;"lotId"&amp;CHAR(34)&amp;": "&amp;CHAR(34)&amp;SUBSTITUTE(CriteriTecnici!$C2096,CHAR(34),"'")&amp;CHAR(34)&amp;", "&amp;CHAR(34)&amp;"criterionId"&amp;CHAR(34)&amp;": "&amp;CHAR(34)&amp;SUBSTITUTE(CriteriTecnici!$D2096,CHAR(34),"'")&amp;CHAR(34)&amp;", "&amp;CHAR(34)&amp;"kind"&amp;CHAR(34)&amp;": "&amp;CHAR(34)&amp;SUBSTITUTE(CriteriTecnici!$F2096,CHAR(34),"'")&amp;CHAR(34)&amp;", "&amp;CHAR(34)&amp;"value"&amp;CHAR(34)&amp;": "&amp;SUBSTITUTE(TRIM(ROUND(IFERROR(CriteriTecnici!$N2096*1,IFERROR(NUMBERVALUE(CriteriTecnici!$N2096,".",","),IFERROR(NUMBERVALUE(CriteriTecnici!$N2096,",","."),0))),4)&amp;""),",",".")&amp;", "&amp;CHAR(34)&amp;"numerator"&amp;CHAR(34)&amp;": "&amp;SUBSTITUTE(TRIM(ROUND(IFERROR(CriteriTecnici!$K2096*1,IFERROR(NUMBERVALUE(CriteriTecnici!$K2096,".",","),IFERROR(NUMBERVALUE(CriteriTecnici!$K2096,",","."),0))),4)&amp;""),",",".")&amp;", "&amp;CHAR(34)&amp;"denominator"&amp;CHAR(34)&amp;": "&amp;SUBSTITUTE(TRIM(ROUND(IFERROR(CriteriTecnici!$L2096*1,IFERROR(NUMBERVALUE(CriteriTecnici!$L2096,".",","),IFERROR(NUMBERVALUE(CriteriTecnici!$L2096,",","."),0))),4)&amp;""),",",".")&amp;", "&amp;CHAR(34)&amp;"flag"&amp;CHAR(34)&amp;": "&amp;SUBSTITUTE(TRIM(ROUND(IFERROR(CriteriTecnici!$M2096*1,IFERROR(NUMBERVALUE(CriteriTecnici!$M2096,".",","),IFERROR(NUMBERVALUE(CriteriTecnici!$M2096,",","."),0))),4)&amp;""),",",".")&amp;", "&amp;CHAR(34)&amp;"rawScore"&amp;CHAR(34)&amp;": "&amp;SUBSTITUTE(TRIM(ROUND(IFERROR(CriteriTecnici!$O2096*1,IFERROR(NUMBERVALUE(CriteriTecnici!$O2096,".",","),IFERROR(NUMBERVALUE(CriteriTecnici!$O2096,",","."),0))),4)&amp;""),",",".")&amp;CHAR(125)&amp;IF(TRUE,",",""))</f>
        <v/>
      </c>
    </row>
    <row r="2198">
      <c r="A2198" s="82">
        <f>IF(CriteriTecnici!$A2097="","","    "&amp;CHAR(123)&amp;CHAR(34)&amp;"bidderId"&amp;CHAR(34)&amp;": "&amp;CHAR(34)&amp;SUBSTITUTE(CriteriTecnici!$A2097,CHAR(34),"'")&amp;CHAR(34)&amp;", "&amp;CHAR(34)&amp;"lotId"&amp;CHAR(34)&amp;": "&amp;CHAR(34)&amp;SUBSTITUTE(CriteriTecnici!$C2097,CHAR(34),"'")&amp;CHAR(34)&amp;", "&amp;CHAR(34)&amp;"criterionId"&amp;CHAR(34)&amp;": "&amp;CHAR(34)&amp;SUBSTITUTE(CriteriTecnici!$D2097,CHAR(34),"'")&amp;CHAR(34)&amp;", "&amp;CHAR(34)&amp;"kind"&amp;CHAR(34)&amp;": "&amp;CHAR(34)&amp;SUBSTITUTE(CriteriTecnici!$F2097,CHAR(34),"'")&amp;CHAR(34)&amp;", "&amp;CHAR(34)&amp;"value"&amp;CHAR(34)&amp;": "&amp;SUBSTITUTE(TRIM(ROUND(IFERROR(CriteriTecnici!$N2097*1,IFERROR(NUMBERVALUE(CriteriTecnici!$N2097,".",","),IFERROR(NUMBERVALUE(CriteriTecnici!$N2097,",","."),0))),4)&amp;""),",",".")&amp;", "&amp;CHAR(34)&amp;"numerator"&amp;CHAR(34)&amp;": "&amp;SUBSTITUTE(TRIM(ROUND(IFERROR(CriteriTecnici!$K2097*1,IFERROR(NUMBERVALUE(CriteriTecnici!$K2097,".",","),IFERROR(NUMBERVALUE(CriteriTecnici!$K2097,",","."),0))),4)&amp;""),",",".")&amp;", "&amp;CHAR(34)&amp;"denominator"&amp;CHAR(34)&amp;": "&amp;SUBSTITUTE(TRIM(ROUND(IFERROR(CriteriTecnici!$L2097*1,IFERROR(NUMBERVALUE(CriteriTecnici!$L2097,".",","),IFERROR(NUMBERVALUE(CriteriTecnici!$L2097,",","."),0))),4)&amp;""),",",".")&amp;", "&amp;CHAR(34)&amp;"flag"&amp;CHAR(34)&amp;": "&amp;SUBSTITUTE(TRIM(ROUND(IFERROR(CriteriTecnici!$M2097*1,IFERROR(NUMBERVALUE(CriteriTecnici!$M2097,".",","),IFERROR(NUMBERVALUE(CriteriTecnici!$M2097,",","."),0))),4)&amp;""),",",".")&amp;", "&amp;CHAR(34)&amp;"rawScore"&amp;CHAR(34)&amp;": "&amp;SUBSTITUTE(TRIM(ROUND(IFERROR(CriteriTecnici!$O2097*1,IFERROR(NUMBERVALUE(CriteriTecnici!$O2097,".",","),IFERROR(NUMBERVALUE(CriteriTecnici!$O2097,",","."),0))),4)&amp;""),",",".")&amp;CHAR(125)&amp;IF(TRUE,",",""))</f>
        <v/>
      </c>
    </row>
    <row r="2199">
      <c r="A2199" s="82">
        <f>IF(CriteriTecnici!$A2098="","","    "&amp;CHAR(123)&amp;CHAR(34)&amp;"bidderId"&amp;CHAR(34)&amp;": "&amp;CHAR(34)&amp;SUBSTITUTE(CriteriTecnici!$A2098,CHAR(34),"'")&amp;CHAR(34)&amp;", "&amp;CHAR(34)&amp;"lotId"&amp;CHAR(34)&amp;": "&amp;CHAR(34)&amp;SUBSTITUTE(CriteriTecnici!$C2098,CHAR(34),"'")&amp;CHAR(34)&amp;", "&amp;CHAR(34)&amp;"criterionId"&amp;CHAR(34)&amp;": "&amp;CHAR(34)&amp;SUBSTITUTE(CriteriTecnici!$D2098,CHAR(34),"'")&amp;CHAR(34)&amp;", "&amp;CHAR(34)&amp;"kind"&amp;CHAR(34)&amp;": "&amp;CHAR(34)&amp;SUBSTITUTE(CriteriTecnici!$F2098,CHAR(34),"'")&amp;CHAR(34)&amp;", "&amp;CHAR(34)&amp;"value"&amp;CHAR(34)&amp;": "&amp;SUBSTITUTE(TRIM(ROUND(IFERROR(CriteriTecnici!$N2098*1,IFERROR(NUMBERVALUE(CriteriTecnici!$N2098,".",","),IFERROR(NUMBERVALUE(CriteriTecnici!$N2098,",","."),0))),4)&amp;""),",",".")&amp;", "&amp;CHAR(34)&amp;"numerator"&amp;CHAR(34)&amp;": "&amp;SUBSTITUTE(TRIM(ROUND(IFERROR(CriteriTecnici!$K2098*1,IFERROR(NUMBERVALUE(CriteriTecnici!$K2098,".",","),IFERROR(NUMBERVALUE(CriteriTecnici!$K2098,",","."),0))),4)&amp;""),",",".")&amp;", "&amp;CHAR(34)&amp;"denominator"&amp;CHAR(34)&amp;": "&amp;SUBSTITUTE(TRIM(ROUND(IFERROR(CriteriTecnici!$L2098*1,IFERROR(NUMBERVALUE(CriteriTecnici!$L2098,".",","),IFERROR(NUMBERVALUE(CriteriTecnici!$L2098,",","."),0))),4)&amp;""),",",".")&amp;", "&amp;CHAR(34)&amp;"flag"&amp;CHAR(34)&amp;": "&amp;SUBSTITUTE(TRIM(ROUND(IFERROR(CriteriTecnici!$M2098*1,IFERROR(NUMBERVALUE(CriteriTecnici!$M2098,".",","),IFERROR(NUMBERVALUE(CriteriTecnici!$M2098,",","."),0))),4)&amp;""),",",".")&amp;", "&amp;CHAR(34)&amp;"rawScore"&amp;CHAR(34)&amp;": "&amp;SUBSTITUTE(TRIM(ROUND(IFERROR(CriteriTecnici!$O2098*1,IFERROR(NUMBERVALUE(CriteriTecnici!$O2098,".",","),IFERROR(NUMBERVALUE(CriteriTecnici!$O2098,",","."),0))),4)&amp;""),",",".")&amp;CHAR(125)&amp;IF(TRUE,",",""))</f>
        <v/>
      </c>
    </row>
    <row r="2200">
      <c r="A2200" s="82">
        <f>IF(CriteriTecnici!$A2099="","","    "&amp;CHAR(123)&amp;CHAR(34)&amp;"bidderId"&amp;CHAR(34)&amp;": "&amp;CHAR(34)&amp;SUBSTITUTE(CriteriTecnici!$A2099,CHAR(34),"'")&amp;CHAR(34)&amp;", "&amp;CHAR(34)&amp;"lotId"&amp;CHAR(34)&amp;": "&amp;CHAR(34)&amp;SUBSTITUTE(CriteriTecnici!$C2099,CHAR(34),"'")&amp;CHAR(34)&amp;", "&amp;CHAR(34)&amp;"criterionId"&amp;CHAR(34)&amp;": "&amp;CHAR(34)&amp;SUBSTITUTE(CriteriTecnici!$D2099,CHAR(34),"'")&amp;CHAR(34)&amp;", "&amp;CHAR(34)&amp;"kind"&amp;CHAR(34)&amp;": "&amp;CHAR(34)&amp;SUBSTITUTE(CriteriTecnici!$F2099,CHAR(34),"'")&amp;CHAR(34)&amp;", "&amp;CHAR(34)&amp;"value"&amp;CHAR(34)&amp;": "&amp;SUBSTITUTE(TRIM(ROUND(IFERROR(CriteriTecnici!$N2099*1,IFERROR(NUMBERVALUE(CriteriTecnici!$N2099,".",","),IFERROR(NUMBERVALUE(CriteriTecnici!$N2099,",","."),0))),4)&amp;""),",",".")&amp;", "&amp;CHAR(34)&amp;"numerator"&amp;CHAR(34)&amp;": "&amp;SUBSTITUTE(TRIM(ROUND(IFERROR(CriteriTecnici!$K2099*1,IFERROR(NUMBERVALUE(CriteriTecnici!$K2099,".",","),IFERROR(NUMBERVALUE(CriteriTecnici!$K2099,",","."),0))),4)&amp;""),",",".")&amp;", "&amp;CHAR(34)&amp;"denominator"&amp;CHAR(34)&amp;": "&amp;SUBSTITUTE(TRIM(ROUND(IFERROR(CriteriTecnici!$L2099*1,IFERROR(NUMBERVALUE(CriteriTecnici!$L2099,".",","),IFERROR(NUMBERVALUE(CriteriTecnici!$L2099,",","."),0))),4)&amp;""),",",".")&amp;", "&amp;CHAR(34)&amp;"flag"&amp;CHAR(34)&amp;": "&amp;SUBSTITUTE(TRIM(ROUND(IFERROR(CriteriTecnici!$M2099*1,IFERROR(NUMBERVALUE(CriteriTecnici!$M2099,".",","),IFERROR(NUMBERVALUE(CriteriTecnici!$M2099,",","."),0))),4)&amp;""),",",".")&amp;", "&amp;CHAR(34)&amp;"rawScore"&amp;CHAR(34)&amp;": "&amp;SUBSTITUTE(TRIM(ROUND(IFERROR(CriteriTecnici!$O2099*1,IFERROR(NUMBERVALUE(CriteriTecnici!$O2099,".",","),IFERROR(NUMBERVALUE(CriteriTecnici!$O2099,",","."),0))),4)&amp;""),",",".")&amp;CHAR(125)&amp;IF(TRUE,",",""))</f>
        <v/>
      </c>
    </row>
    <row r="2201">
      <c r="A2201" s="82">
        <f>IF(CriteriTecnici!$A2100="","","    "&amp;CHAR(123)&amp;CHAR(34)&amp;"bidderId"&amp;CHAR(34)&amp;": "&amp;CHAR(34)&amp;SUBSTITUTE(CriteriTecnici!$A2100,CHAR(34),"'")&amp;CHAR(34)&amp;", "&amp;CHAR(34)&amp;"lotId"&amp;CHAR(34)&amp;": "&amp;CHAR(34)&amp;SUBSTITUTE(CriteriTecnici!$C2100,CHAR(34),"'")&amp;CHAR(34)&amp;", "&amp;CHAR(34)&amp;"criterionId"&amp;CHAR(34)&amp;": "&amp;CHAR(34)&amp;SUBSTITUTE(CriteriTecnici!$D2100,CHAR(34),"'")&amp;CHAR(34)&amp;", "&amp;CHAR(34)&amp;"kind"&amp;CHAR(34)&amp;": "&amp;CHAR(34)&amp;SUBSTITUTE(CriteriTecnici!$F2100,CHAR(34),"'")&amp;CHAR(34)&amp;", "&amp;CHAR(34)&amp;"value"&amp;CHAR(34)&amp;": "&amp;SUBSTITUTE(TRIM(ROUND(IFERROR(CriteriTecnici!$N2100*1,IFERROR(NUMBERVALUE(CriteriTecnici!$N2100,".",","),IFERROR(NUMBERVALUE(CriteriTecnici!$N2100,",","."),0))),4)&amp;""),",",".")&amp;", "&amp;CHAR(34)&amp;"numerator"&amp;CHAR(34)&amp;": "&amp;SUBSTITUTE(TRIM(ROUND(IFERROR(CriteriTecnici!$K2100*1,IFERROR(NUMBERVALUE(CriteriTecnici!$K2100,".",","),IFERROR(NUMBERVALUE(CriteriTecnici!$K2100,",","."),0))),4)&amp;""),",",".")&amp;", "&amp;CHAR(34)&amp;"denominator"&amp;CHAR(34)&amp;": "&amp;SUBSTITUTE(TRIM(ROUND(IFERROR(CriteriTecnici!$L2100*1,IFERROR(NUMBERVALUE(CriteriTecnici!$L2100,".",","),IFERROR(NUMBERVALUE(CriteriTecnici!$L2100,",","."),0))),4)&amp;""),",",".")&amp;", "&amp;CHAR(34)&amp;"flag"&amp;CHAR(34)&amp;": "&amp;SUBSTITUTE(TRIM(ROUND(IFERROR(CriteriTecnici!$M2100*1,IFERROR(NUMBERVALUE(CriteriTecnici!$M2100,".",","),IFERROR(NUMBERVALUE(CriteriTecnici!$M2100,",","."),0))),4)&amp;""),",",".")&amp;", "&amp;CHAR(34)&amp;"rawScore"&amp;CHAR(34)&amp;": "&amp;SUBSTITUTE(TRIM(ROUND(IFERROR(CriteriTecnici!$O2100*1,IFERROR(NUMBERVALUE(CriteriTecnici!$O2100,".",","),IFERROR(NUMBERVALUE(CriteriTecnici!$O2100,",","."),0))),4)&amp;""),",",".")&amp;CHAR(125)&amp;IF(TRUE,",",""))</f>
        <v/>
      </c>
    </row>
    <row r="2202">
      <c r="A2202" s="82">
        <f>IF(CriteriTecnici!$A2101="","","    "&amp;CHAR(123)&amp;CHAR(34)&amp;"bidderId"&amp;CHAR(34)&amp;": "&amp;CHAR(34)&amp;SUBSTITUTE(CriteriTecnici!$A2101,CHAR(34),"'")&amp;CHAR(34)&amp;", "&amp;CHAR(34)&amp;"lotId"&amp;CHAR(34)&amp;": "&amp;CHAR(34)&amp;SUBSTITUTE(CriteriTecnici!$C2101,CHAR(34),"'")&amp;CHAR(34)&amp;", "&amp;CHAR(34)&amp;"criterionId"&amp;CHAR(34)&amp;": "&amp;CHAR(34)&amp;SUBSTITUTE(CriteriTecnici!$D2101,CHAR(34),"'")&amp;CHAR(34)&amp;", "&amp;CHAR(34)&amp;"kind"&amp;CHAR(34)&amp;": "&amp;CHAR(34)&amp;SUBSTITUTE(CriteriTecnici!$F2101,CHAR(34),"'")&amp;CHAR(34)&amp;", "&amp;CHAR(34)&amp;"value"&amp;CHAR(34)&amp;": "&amp;SUBSTITUTE(TRIM(ROUND(IFERROR(CriteriTecnici!$N2101*1,IFERROR(NUMBERVALUE(CriteriTecnici!$N2101,".",","),IFERROR(NUMBERVALUE(CriteriTecnici!$N2101,",","."),0))),4)&amp;""),",",".")&amp;", "&amp;CHAR(34)&amp;"numerator"&amp;CHAR(34)&amp;": "&amp;SUBSTITUTE(TRIM(ROUND(IFERROR(CriteriTecnici!$K2101*1,IFERROR(NUMBERVALUE(CriteriTecnici!$K2101,".",","),IFERROR(NUMBERVALUE(CriteriTecnici!$K2101,",","."),0))),4)&amp;""),",",".")&amp;", "&amp;CHAR(34)&amp;"denominator"&amp;CHAR(34)&amp;": "&amp;SUBSTITUTE(TRIM(ROUND(IFERROR(CriteriTecnici!$L2101*1,IFERROR(NUMBERVALUE(CriteriTecnici!$L2101,".",","),IFERROR(NUMBERVALUE(CriteriTecnici!$L2101,",","."),0))),4)&amp;""),",",".")&amp;", "&amp;CHAR(34)&amp;"flag"&amp;CHAR(34)&amp;": "&amp;SUBSTITUTE(TRIM(ROUND(IFERROR(CriteriTecnici!$M2101*1,IFERROR(NUMBERVALUE(CriteriTecnici!$M2101,".",","),IFERROR(NUMBERVALUE(CriteriTecnici!$M2101,",","."),0))),4)&amp;""),",",".")&amp;", "&amp;CHAR(34)&amp;"rawScore"&amp;CHAR(34)&amp;": "&amp;SUBSTITUTE(TRIM(ROUND(IFERROR(CriteriTecnici!$O2101*1,IFERROR(NUMBERVALUE(CriteriTecnici!$O2101,".",","),IFERROR(NUMBERVALUE(CriteriTecnici!$O2101,",","."),0))),4)&amp;""),",",".")&amp;CHAR(125)&amp;IF(TRUE,",",""))</f>
        <v/>
      </c>
    </row>
    <row r="2203">
      <c r="A2203" s="82">
        <f>IF(CriteriTecnici!$A2102="","","    "&amp;CHAR(123)&amp;CHAR(34)&amp;"bidderId"&amp;CHAR(34)&amp;": "&amp;CHAR(34)&amp;SUBSTITUTE(CriteriTecnici!$A2102,CHAR(34),"'")&amp;CHAR(34)&amp;", "&amp;CHAR(34)&amp;"lotId"&amp;CHAR(34)&amp;": "&amp;CHAR(34)&amp;SUBSTITUTE(CriteriTecnici!$C2102,CHAR(34),"'")&amp;CHAR(34)&amp;", "&amp;CHAR(34)&amp;"criterionId"&amp;CHAR(34)&amp;": "&amp;CHAR(34)&amp;SUBSTITUTE(CriteriTecnici!$D2102,CHAR(34),"'")&amp;CHAR(34)&amp;", "&amp;CHAR(34)&amp;"kind"&amp;CHAR(34)&amp;": "&amp;CHAR(34)&amp;SUBSTITUTE(CriteriTecnici!$F2102,CHAR(34),"'")&amp;CHAR(34)&amp;", "&amp;CHAR(34)&amp;"value"&amp;CHAR(34)&amp;": "&amp;SUBSTITUTE(TRIM(ROUND(IFERROR(CriteriTecnici!$N2102*1,IFERROR(NUMBERVALUE(CriteriTecnici!$N2102,".",","),IFERROR(NUMBERVALUE(CriteriTecnici!$N2102,",","."),0))),4)&amp;""),",",".")&amp;", "&amp;CHAR(34)&amp;"numerator"&amp;CHAR(34)&amp;": "&amp;SUBSTITUTE(TRIM(ROUND(IFERROR(CriteriTecnici!$K2102*1,IFERROR(NUMBERVALUE(CriteriTecnici!$K2102,".",","),IFERROR(NUMBERVALUE(CriteriTecnici!$K2102,",","."),0))),4)&amp;""),",",".")&amp;", "&amp;CHAR(34)&amp;"denominator"&amp;CHAR(34)&amp;": "&amp;SUBSTITUTE(TRIM(ROUND(IFERROR(CriteriTecnici!$L2102*1,IFERROR(NUMBERVALUE(CriteriTecnici!$L2102,".",","),IFERROR(NUMBERVALUE(CriteriTecnici!$L2102,",","."),0))),4)&amp;""),",",".")&amp;", "&amp;CHAR(34)&amp;"flag"&amp;CHAR(34)&amp;": "&amp;SUBSTITUTE(TRIM(ROUND(IFERROR(CriteriTecnici!$M2102*1,IFERROR(NUMBERVALUE(CriteriTecnici!$M2102,".",","),IFERROR(NUMBERVALUE(CriteriTecnici!$M2102,",","."),0))),4)&amp;""),",",".")&amp;", "&amp;CHAR(34)&amp;"rawScore"&amp;CHAR(34)&amp;": "&amp;SUBSTITUTE(TRIM(ROUND(IFERROR(CriteriTecnici!$O2102*1,IFERROR(NUMBERVALUE(CriteriTecnici!$O2102,".",","),IFERROR(NUMBERVALUE(CriteriTecnici!$O2102,",","."),0))),4)&amp;""),",",".")&amp;CHAR(125)&amp;IF(TRUE,",",""))</f>
        <v/>
      </c>
    </row>
    <row r="2204">
      <c r="A2204" s="82">
        <f>IF(CriteriTecnici!$A2103="","","    "&amp;CHAR(123)&amp;CHAR(34)&amp;"bidderId"&amp;CHAR(34)&amp;": "&amp;CHAR(34)&amp;SUBSTITUTE(CriteriTecnici!$A2103,CHAR(34),"'")&amp;CHAR(34)&amp;", "&amp;CHAR(34)&amp;"lotId"&amp;CHAR(34)&amp;": "&amp;CHAR(34)&amp;SUBSTITUTE(CriteriTecnici!$C2103,CHAR(34),"'")&amp;CHAR(34)&amp;", "&amp;CHAR(34)&amp;"criterionId"&amp;CHAR(34)&amp;": "&amp;CHAR(34)&amp;SUBSTITUTE(CriteriTecnici!$D2103,CHAR(34),"'")&amp;CHAR(34)&amp;", "&amp;CHAR(34)&amp;"kind"&amp;CHAR(34)&amp;": "&amp;CHAR(34)&amp;SUBSTITUTE(CriteriTecnici!$F2103,CHAR(34),"'")&amp;CHAR(34)&amp;", "&amp;CHAR(34)&amp;"value"&amp;CHAR(34)&amp;": "&amp;SUBSTITUTE(TRIM(ROUND(IFERROR(CriteriTecnici!$N2103*1,IFERROR(NUMBERVALUE(CriteriTecnici!$N2103,".",","),IFERROR(NUMBERVALUE(CriteriTecnici!$N2103,",","."),0))),4)&amp;""),",",".")&amp;", "&amp;CHAR(34)&amp;"numerator"&amp;CHAR(34)&amp;": "&amp;SUBSTITUTE(TRIM(ROUND(IFERROR(CriteriTecnici!$K2103*1,IFERROR(NUMBERVALUE(CriteriTecnici!$K2103,".",","),IFERROR(NUMBERVALUE(CriteriTecnici!$K2103,",","."),0))),4)&amp;""),",",".")&amp;", "&amp;CHAR(34)&amp;"denominator"&amp;CHAR(34)&amp;": "&amp;SUBSTITUTE(TRIM(ROUND(IFERROR(CriteriTecnici!$L2103*1,IFERROR(NUMBERVALUE(CriteriTecnici!$L2103,".",","),IFERROR(NUMBERVALUE(CriteriTecnici!$L2103,",","."),0))),4)&amp;""),",",".")&amp;", "&amp;CHAR(34)&amp;"flag"&amp;CHAR(34)&amp;": "&amp;SUBSTITUTE(TRIM(ROUND(IFERROR(CriteriTecnici!$M2103*1,IFERROR(NUMBERVALUE(CriteriTecnici!$M2103,".",","),IFERROR(NUMBERVALUE(CriteriTecnici!$M2103,",","."),0))),4)&amp;""),",",".")&amp;", "&amp;CHAR(34)&amp;"rawScore"&amp;CHAR(34)&amp;": "&amp;SUBSTITUTE(TRIM(ROUND(IFERROR(CriteriTecnici!$O2103*1,IFERROR(NUMBERVALUE(CriteriTecnici!$O2103,".",","),IFERROR(NUMBERVALUE(CriteriTecnici!$O2103,",","."),0))),4)&amp;""),",",".")&amp;CHAR(125)&amp;IF(TRUE,",",""))</f>
        <v/>
      </c>
    </row>
    <row r="2205">
      <c r="A2205" s="82">
        <f>IF(CriteriTecnici!$A2104="","","    "&amp;CHAR(123)&amp;CHAR(34)&amp;"bidderId"&amp;CHAR(34)&amp;": "&amp;CHAR(34)&amp;SUBSTITUTE(CriteriTecnici!$A2104,CHAR(34),"'")&amp;CHAR(34)&amp;", "&amp;CHAR(34)&amp;"lotId"&amp;CHAR(34)&amp;": "&amp;CHAR(34)&amp;SUBSTITUTE(CriteriTecnici!$C2104,CHAR(34),"'")&amp;CHAR(34)&amp;", "&amp;CHAR(34)&amp;"criterionId"&amp;CHAR(34)&amp;": "&amp;CHAR(34)&amp;SUBSTITUTE(CriteriTecnici!$D2104,CHAR(34),"'")&amp;CHAR(34)&amp;", "&amp;CHAR(34)&amp;"kind"&amp;CHAR(34)&amp;": "&amp;CHAR(34)&amp;SUBSTITUTE(CriteriTecnici!$F2104,CHAR(34),"'")&amp;CHAR(34)&amp;", "&amp;CHAR(34)&amp;"value"&amp;CHAR(34)&amp;": "&amp;SUBSTITUTE(TRIM(ROUND(IFERROR(CriteriTecnici!$N2104*1,IFERROR(NUMBERVALUE(CriteriTecnici!$N2104,".",","),IFERROR(NUMBERVALUE(CriteriTecnici!$N2104,",","."),0))),4)&amp;""),",",".")&amp;", "&amp;CHAR(34)&amp;"numerator"&amp;CHAR(34)&amp;": "&amp;SUBSTITUTE(TRIM(ROUND(IFERROR(CriteriTecnici!$K2104*1,IFERROR(NUMBERVALUE(CriteriTecnici!$K2104,".",","),IFERROR(NUMBERVALUE(CriteriTecnici!$K2104,",","."),0))),4)&amp;""),",",".")&amp;", "&amp;CHAR(34)&amp;"denominator"&amp;CHAR(34)&amp;": "&amp;SUBSTITUTE(TRIM(ROUND(IFERROR(CriteriTecnici!$L2104*1,IFERROR(NUMBERVALUE(CriteriTecnici!$L2104,".",","),IFERROR(NUMBERVALUE(CriteriTecnici!$L2104,",","."),0))),4)&amp;""),",",".")&amp;", "&amp;CHAR(34)&amp;"flag"&amp;CHAR(34)&amp;": "&amp;SUBSTITUTE(TRIM(ROUND(IFERROR(CriteriTecnici!$M2104*1,IFERROR(NUMBERVALUE(CriteriTecnici!$M2104,".",","),IFERROR(NUMBERVALUE(CriteriTecnici!$M2104,",","."),0))),4)&amp;""),",",".")&amp;", "&amp;CHAR(34)&amp;"rawScore"&amp;CHAR(34)&amp;": "&amp;SUBSTITUTE(TRIM(ROUND(IFERROR(CriteriTecnici!$O2104*1,IFERROR(NUMBERVALUE(CriteriTecnici!$O2104,".",","),IFERROR(NUMBERVALUE(CriteriTecnici!$O2104,",","."),0))),4)&amp;""),",",".")&amp;CHAR(125)&amp;IF(TRUE,",",""))</f>
        <v/>
      </c>
    </row>
    <row r="2206">
      <c r="A2206" s="82">
        <f>IF(CriteriTecnici!$A2105="","","    "&amp;CHAR(123)&amp;CHAR(34)&amp;"bidderId"&amp;CHAR(34)&amp;": "&amp;CHAR(34)&amp;SUBSTITUTE(CriteriTecnici!$A2105,CHAR(34),"'")&amp;CHAR(34)&amp;", "&amp;CHAR(34)&amp;"lotId"&amp;CHAR(34)&amp;": "&amp;CHAR(34)&amp;SUBSTITUTE(CriteriTecnici!$C2105,CHAR(34),"'")&amp;CHAR(34)&amp;", "&amp;CHAR(34)&amp;"criterionId"&amp;CHAR(34)&amp;": "&amp;CHAR(34)&amp;SUBSTITUTE(CriteriTecnici!$D2105,CHAR(34),"'")&amp;CHAR(34)&amp;", "&amp;CHAR(34)&amp;"kind"&amp;CHAR(34)&amp;": "&amp;CHAR(34)&amp;SUBSTITUTE(CriteriTecnici!$F2105,CHAR(34),"'")&amp;CHAR(34)&amp;", "&amp;CHAR(34)&amp;"value"&amp;CHAR(34)&amp;": "&amp;SUBSTITUTE(TRIM(ROUND(IFERROR(CriteriTecnici!$N2105*1,IFERROR(NUMBERVALUE(CriteriTecnici!$N2105,".",","),IFERROR(NUMBERVALUE(CriteriTecnici!$N2105,",","."),0))),4)&amp;""),",",".")&amp;", "&amp;CHAR(34)&amp;"numerator"&amp;CHAR(34)&amp;": "&amp;SUBSTITUTE(TRIM(ROUND(IFERROR(CriteriTecnici!$K2105*1,IFERROR(NUMBERVALUE(CriteriTecnici!$K2105,".",","),IFERROR(NUMBERVALUE(CriteriTecnici!$K2105,",","."),0))),4)&amp;""),",",".")&amp;", "&amp;CHAR(34)&amp;"denominator"&amp;CHAR(34)&amp;": "&amp;SUBSTITUTE(TRIM(ROUND(IFERROR(CriteriTecnici!$L2105*1,IFERROR(NUMBERVALUE(CriteriTecnici!$L2105,".",","),IFERROR(NUMBERVALUE(CriteriTecnici!$L2105,",","."),0))),4)&amp;""),",",".")&amp;", "&amp;CHAR(34)&amp;"flag"&amp;CHAR(34)&amp;": "&amp;SUBSTITUTE(TRIM(ROUND(IFERROR(CriteriTecnici!$M2105*1,IFERROR(NUMBERVALUE(CriteriTecnici!$M2105,".",","),IFERROR(NUMBERVALUE(CriteriTecnici!$M2105,",","."),0))),4)&amp;""),",",".")&amp;", "&amp;CHAR(34)&amp;"rawScore"&amp;CHAR(34)&amp;": "&amp;SUBSTITUTE(TRIM(ROUND(IFERROR(CriteriTecnici!$O2105*1,IFERROR(NUMBERVALUE(CriteriTecnici!$O2105,".",","),IFERROR(NUMBERVALUE(CriteriTecnici!$O2105,",","."),0))),4)&amp;""),",",".")&amp;CHAR(125)&amp;IF(TRUE,",",""))</f>
        <v/>
      </c>
    </row>
    <row r="2207">
      <c r="A2207" s="82">
        <f>IF(CriteriTecnici!$A2106="","","    "&amp;CHAR(123)&amp;CHAR(34)&amp;"bidderId"&amp;CHAR(34)&amp;": "&amp;CHAR(34)&amp;SUBSTITUTE(CriteriTecnici!$A2106,CHAR(34),"'")&amp;CHAR(34)&amp;", "&amp;CHAR(34)&amp;"lotId"&amp;CHAR(34)&amp;": "&amp;CHAR(34)&amp;SUBSTITUTE(CriteriTecnici!$C2106,CHAR(34),"'")&amp;CHAR(34)&amp;", "&amp;CHAR(34)&amp;"criterionId"&amp;CHAR(34)&amp;": "&amp;CHAR(34)&amp;SUBSTITUTE(CriteriTecnici!$D2106,CHAR(34),"'")&amp;CHAR(34)&amp;", "&amp;CHAR(34)&amp;"kind"&amp;CHAR(34)&amp;": "&amp;CHAR(34)&amp;SUBSTITUTE(CriteriTecnici!$F2106,CHAR(34),"'")&amp;CHAR(34)&amp;", "&amp;CHAR(34)&amp;"value"&amp;CHAR(34)&amp;": "&amp;SUBSTITUTE(TRIM(ROUND(IFERROR(CriteriTecnici!$N2106*1,IFERROR(NUMBERVALUE(CriteriTecnici!$N2106,".",","),IFERROR(NUMBERVALUE(CriteriTecnici!$N2106,",","."),0))),4)&amp;""),",",".")&amp;", "&amp;CHAR(34)&amp;"numerator"&amp;CHAR(34)&amp;": "&amp;SUBSTITUTE(TRIM(ROUND(IFERROR(CriteriTecnici!$K2106*1,IFERROR(NUMBERVALUE(CriteriTecnici!$K2106,".",","),IFERROR(NUMBERVALUE(CriteriTecnici!$K2106,",","."),0))),4)&amp;""),",",".")&amp;", "&amp;CHAR(34)&amp;"denominator"&amp;CHAR(34)&amp;": "&amp;SUBSTITUTE(TRIM(ROUND(IFERROR(CriteriTecnici!$L2106*1,IFERROR(NUMBERVALUE(CriteriTecnici!$L2106,".",","),IFERROR(NUMBERVALUE(CriteriTecnici!$L2106,",","."),0))),4)&amp;""),",",".")&amp;", "&amp;CHAR(34)&amp;"flag"&amp;CHAR(34)&amp;": "&amp;SUBSTITUTE(TRIM(ROUND(IFERROR(CriteriTecnici!$M2106*1,IFERROR(NUMBERVALUE(CriteriTecnici!$M2106,".",","),IFERROR(NUMBERVALUE(CriteriTecnici!$M2106,",","."),0))),4)&amp;""),",",".")&amp;", "&amp;CHAR(34)&amp;"rawScore"&amp;CHAR(34)&amp;": "&amp;SUBSTITUTE(TRIM(ROUND(IFERROR(CriteriTecnici!$O2106*1,IFERROR(NUMBERVALUE(CriteriTecnici!$O2106,".",","),IFERROR(NUMBERVALUE(CriteriTecnici!$O2106,",","."),0))),4)&amp;""),",",".")&amp;CHAR(125)&amp;IF(TRUE,",",""))</f>
        <v/>
      </c>
    </row>
    <row r="2208">
      <c r="A2208" s="82">
        <f>IF(CriteriTecnici!$A2107="","","    "&amp;CHAR(123)&amp;CHAR(34)&amp;"bidderId"&amp;CHAR(34)&amp;": "&amp;CHAR(34)&amp;SUBSTITUTE(CriteriTecnici!$A2107,CHAR(34),"'")&amp;CHAR(34)&amp;", "&amp;CHAR(34)&amp;"lotId"&amp;CHAR(34)&amp;": "&amp;CHAR(34)&amp;SUBSTITUTE(CriteriTecnici!$C2107,CHAR(34),"'")&amp;CHAR(34)&amp;", "&amp;CHAR(34)&amp;"criterionId"&amp;CHAR(34)&amp;": "&amp;CHAR(34)&amp;SUBSTITUTE(CriteriTecnici!$D2107,CHAR(34),"'")&amp;CHAR(34)&amp;", "&amp;CHAR(34)&amp;"kind"&amp;CHAR(34)&amp;": "&amp;CHAR(34)&amp;SUBSTITUTE(CriteriTecnici!$F2107,CHAR(34),"'")&amp;CHAR(34)&amp;", "&amp;CHAR(34)&amp;"value"&amp;CHAR(34)&amp;": "&amp;SUBSTITUTE(TRIM(ROUND(IFERROR(CriteriTecnici!$N2107*1,IFERROR(NUMBERVALUE(CriteriTecnici!$N2107,".",","),IFERROR(NUMBERVALUE(CriteriTecnici!$N2107,",","."),0))),4)&amp;""),",",".")&amp;", "&amp;CHAR(34)&amp;"numerator"&amp;CHAR(34)&amp;": "&amp;SUBSTITUTE(TRIM(ROUND(IFERROR(CriteriTecnici!$K2107*1,IFERROR(NUMBERVALUE(CriteriTecnici!$K2107,".",","),IFERROR(NUMBERVALUE(CriteriTecnici!$K2107,",","."),0))),4)&amp;""),",",".")&amp;", "&amp;CHAR(34)&amp;"denominator"&amp;CHAR(34)&amp;": "&amp;SUBSTITUTE(TRIM(ROUND(IFERROR(CriteriTecnici!$L2107*1,IFERROR(NUMBERVALUE(CriteriTecnici!$L2107,".",","),IFERROR(NUMBERVALUE(CriteriTecnici!$L2107,",","."),0))),4)&amp;""),",",".")&amp;", "&amp;CHAR(34)&amp;"flag"&amp;CHAR(34)&amp;": "&amp;SUBSTITUTE(TRIM(ROUND(IFERROR(CriteriTecnici!$M2107*1,IFERROR(NUMBERVALUE(CriteriTecnici!$M2107,".",","),IFERROR(NUMBERVALUE(CriteriTecnici!$M2107,",","."),0))),4)&amp;""),",",".")&amp;", "&amp;CHAR(34)&amp;"rawScore"&amp;CHAR(34)&amp;": "&amp;SUBSTITUTE(TRIM(ROUND(IFERROR(CriteriTecnici!$O2107*1,IFERROR(NUMBERVALUE(CriteriTecnici!$O2107,".",","),IFERROR(NUMBERVALUE(CriteriTecnici!$O2107,",","."),0))),4)&amp;""),",",".")&amp;CHAR(125)&amp;IF(TRUE,",",""))</f>
        <v/>
      </c>
    </row>
    <row r="2209">
      <c r="A2209" s="82">
        <f>IF(CriteriTecnici!$A2108="","","    "&amp;CHAR(123)&amp;CHAR(34)&amp;"bidderId"&amp;CHAR(34)&amp;": "&amp;CHAR(34)&amp;SUBSTITUTE(CriteriTecnici!$A2108,CHAR(34),"'")&amp;CHAR(34)&amp;", "&amp;CHAR(34)&amp;"lotId"&amp;CHAR(34)&amp;": "&amp;CHAR(34)&amp;SUBSTITUTE(CriteriTecnici!$C2108,CHAR(34),"'")&amp;CHAR(34)&amp;", "&amp;CHAR(34)&amp;"criterionId"&amp;CHAR(34)&amp;": "&amp;CHAR(34)&amp;SUBSTITUTE(CriteriTecnici!$D2108,CHAR(34),"'")&amp;CHAR(34)&amp;", "&amp;CHAR(34)&amp;"kind"&amp;CHAR(34)&amp;": "&amp;CHAR(34)&amp;SUBSTITUTE(CriteriTecnici!$F2108,CHAR(34),"'")&amp;CHAR(34)&amp;", "&amp;CHAR(34)&amp;"value"&amp;CHAR(34)&amp;": "&amp;SUBSTITUTE(TRIM(ROUND(IFERROR(CriteriTecnici!$N2108*1,IFERROR(NUMBERVALUE(CriteriTecnici!$N2108,".",","),IFERROR(NUMBERVALUE(CriteriTecnici!$N2108,",","."),0))),4)&amp;""),",",".")&amp;", "&amp;CHAR(34)&amp;"numerator"&amp;CHAR(34)&amp;": "&amp;SUBSTITUTE(TRIM(ROUND(IFERROR(CriteriTecnici!$K2108*1,IFERROR(NUMBERVALUE(CriteriTecnici!$K2108,".",","),IFERROR(NUMBERVALUE(CriteriTecnici!$K2108,",","."),0))),4)&amp;""),",",".")&amp;", "&amp;CHAR(34)&amp;"denominator"&amp;CHAR(34)&amp;": "&amp;SUBSTITUTE(TRIM(ROUND(IFERROR(CriteriTecnici!$L2108*1,IFERROR(NUMBERVALUE(CriteriTecnici!$L2108,".",","),IFERROR(NUMBERVALUE(CriteriTecnici!$L2108,",","."),0))),4)&amp;""),",",".")&amp;", "&amp;CHAR(34)&amp;"flag"&amp;CHAR(34)&amp;": "&amp;SUBSTITUTE(TRIM(ROUND(IFERROR(CriteriTecnici!$M2108*1,IFERROR(NUMBERVALUE(CriteriTecnici!$M2108,".",","),IFERROR(NUMBERVALUE(CriteriTecnici!$M2108,",","."),0))),4)&amp;""),",",".")&amp;", "&amp;CHAR(34)&amp;"rawScore"&amp;CHAR(34)&amp;": "&amp;SUBSTITUTE(TRIM(ROUND(IFERROR(CriteriTecnici!$O2108*1,IFERROR(NUMBERVALUE(CriteriTecnici!$O2108,".",","),IFERROR(NUMBERVALUE(CriteriTecnici!$O2108,",","."),0))),4)&amp;""),",",".")&amp;CHAR(125)&amp;IF(TRUE,",",""))</f>
        <v/>
      </c>
    </row>
    <row r="2210">
      <c r="A2210" s="82">
        <f>IF(CriteriTecnici!$A2109="","","    "&amp;CHAR(123)&amp;CHAR(34)&amp;"bidderId"&amp;CHAR(34)&amp;": "&amp;CHAR(34)&amp;SUBSTITUTE(CriteriTecnici!$A2109,CHAR(34),"'")&amp;CHAR(34)&amp;", "&amp;CHAR(34)&amp;"lotId"&amp;CHAR(34)&amp;": "&amp;CHAR(34)&amp;SUBSTITUTE(CriteriTecnici!$C2109,CHAR(34),"'")&amp;CHAR(34)&amp;", "&amp;CHAR(34)&amp;"criterionId"&amp;CHAR(34)&amp;": "&amp;CHAR(34)&amp;SUBSTITUTE(CriteriTecnici!$D2109,CHAR(34),"'")&amp;CHAR(34)&amp;", "&amp;CHAR(34)&amp;"kind"&amp;CHAR(34)&amp;": "&amp;CHAR(34)&amp;SUBSTITUTE(CriteriTecnici!$F2109,CHAR(34),"'")&amp;CHAR(34)&amp;", "&amp;CHAR(34)&amp;"value"&amp;CHAR(34)&amp;": "&amp;SUBSTITUTE(TRIM(ROUND(IFERROR(CriteriTecnici!$N2109*1,IFERROR(NUMBERVALUE(CriteriTecnici!$N2109,".",","),IFERROR(NUMBERVALUE(CriteriTecnici!$N2109,",","."),0))),4)&amp;""),",",".")&amp;", "&amp;CHAR(34)&amp;"numerator"&amp;CHAR(34)&amp;": "&amp;SUBSTITUTE(TRIM(ROUND(IFERROR(CriteriTecnici!$K2109*1,IFERROR(NUMBERVALUE(CriteriTecnici!$K2109,".",","),IFERROR(NUMBERVALUE(CriteriTecnici!$K2109,",","."),0))),4)&amp;""),",",".")&amp;", "&amp;CHAR(34)&amp;"denominator"&amp;CHAR(34)&amp;": "&amp;SUBSTITUTE(TRIM(ROUND(IFERROR(CriteriTecnici!$L2109*1,IFERROR(NUMBERVALUE(CriteriTecnici!$L2109,".",","),IFERROR(NUMBERVALUE(CriteriTecnici!$L2109,",","."),0))),4)&amp;""),",",".")&amp;", "&amp;CHAR(34)&amp;"flag"&amp;CHAR(34)&amp;": "&amp;SUBSTITUTE(TRIM(ROUND(IFERROR(CriteriTecnici!$M2109*1,IFERROR(NUMBERVALUE(CriteriTecnici!$M2109,".",","),IFERROR(NUMBERVALUE(CriteriTecnici!$M2109,",","."),0))),4)&amp;""),",",".")&amp;", "&amp;CHAR(34)&amp;"rawScore"&amp;CHAR(34)&amp;": "&amp;SUBSTITUTE(TRIM(ROUND(IFERROR(CriteriTecnici!$O2109*1,IFERROR(NUMBERVALUE(CriteriTecnici!$O2109,".",","),IFERROR(NUMBERVALUE(CriteriTecnici!$O2109,",","."),0))),4)&amp;""),",",".")&amp;CHAR(125)&amp;IF(TRUE,",",""))</f>
        <v/>
      </c>
    </row>
    <row r="2211">
      <c r="A2211" s="82">
        <f>IF(CriteriTecnici!$A2110="","","    "&amp;CHAR(123)&amp;CHAR(34)&amp;"bidderId"&amp;CHAR(34)&amp;": "&amp;CHAR(34)&amp;SUBSTITUTE(CriteriTecnici!$A2110,CHAR(34),"'")&amp;CHAR(34)&amp;", "&amp;CHAR(34)&amp;"lotId"&amp;CHAR(34)&amp;": "&amp;CHAR(34)&amp;SUBSTITUTE(CriteriTecnici!$C2110,CHAR(34),"'")&amp;CHAR(34)&amp;", "&amp;CHAR(34)&amp;"criterionId"&amp;CHAR(34)&amp;": "&amp;CHAR(34)&amp;SUBSTITUTE(CriteriTecnici!$D2110,CHAR(34),"'")&amp;CHAR(34)&amp;", "&amp;CHAR(34)&amp;"kind"&amp;CHAR(34)&amp;": "&amp;CHAR(34)&amp;SUBSTITUTE(CriteriTecnici!$F2110,CHAR(34),"'")&amp;CHAR(34)&amp;", "&amp;CHAR(34)&amp;"value"&amp;CHAR(34)&amp;": "&amp;SUBSTITUTE(TRIM(ROUND(IFERROR(CriteriTecnici!$N2110*1,IFERROR(NUMBERVALUE(CriteriTecnici!$N2110,".",","),IFERROR(NUMBERVALUE(CriteriTecnici!$N2110,",","."),0))),4)&amp;""),",",".")&amp;", "&amp;CHAR(34)&amp;"numerator"&amp;CHAR(34)&amp;": "&amp;SUBSTITUTE(TRIM(ROUND(IFERROR(CriteriTecnici!$K2110*1,IFERROR(NUMBERVALUE(CriteriTecnici!$K2110,".",","),IFERROR(NUMBERVALUE(CriteriTecnici!$K2110,",","."),0))),4)&amp;""),",",".")&amp;", "&amp;CHAR(34)&amp;"denominator"&amp;CHAR(34)&amp;": "&amp;SUBSTITUTE(TRIM(ROUND(IFERROR(CriteriTecnici!$L2110*1,IFERROR(NUMBERVALUE(CriteriTecnici!$L2110,".",","),IFERROR(NUMBERVALUE(CriteriTecnici!$L2110,",","."),0))),4)&amp;""),",",".")&amp;", "&amp;CHAR(34)&amp;"flag"&amp;CHAR(34)&amp;": "&amp;SUBSTITUTE(TRIM(ROUND(IFERROR(CriteriTecnici!$M2110*1,IFERROR(NUMBERVALUE(CriteriTecnici!$M2110,".",","),IFERROR(NUMBERVALUE(CriteriTecnici!$M2110,",","."),0))),4)&amp;""),",",".")&amp;", "&amp;CHAR(34)&amp;"rawScore"&amp;CHAR(34)&amp;": "&amp;SUBSTITUTE(TRIM(ROUND(IFERROR(CriteriTecnici!$O2110*1,IFERROR(NUMBERVALUE(CriteriTecnici!$O2110,".",","),IFERROR(NUMBERVALUE(CriteriTecnici!$O2110,",","."),0))),4)&amp;""),",",".")&amp;CHAR(125)&amp;IF(TRUE,",",""))</f>
        <v/>
      </c>
    </row>
    <row r="2212">
      <c r="A2212" s="82">
        <f>IF(CriteriTecnici!$A2111="","","    "&amp;CHAR(123)&amp;CHAR(34)&amp;"bidderId"&amp;CHAR(34)&amp;": "&amp;CHAR(34)&amp;SUBSTITUTE(CriteriTecnici!$A2111,CHAR(34),"'")&amp;CHAR(34)&amp;", "&amp;CHAR(34)&amp;"lotId"&amp;CHAR(34)&amp;": "&amp;CHAR(34)&amp;SUBSTITUTE(CriteriTecnici!$C2111,CHAR(34),"'")&amp;CHAR(34)&amp;", "&amp;CHAR(34)&amp;"criterionId"&amp;CHAR(34)&amp;": "&amp;CHAR(34)&amp;SUBSTITUTE(CriteriTecnici!$D2111,CHAR(34),"'")&amp;CHAR(34)&amp;", "&amp;CHAR(34)&amp;"kind"&amp;CHAR(34)&amp;": "&amp;CHAR(34)&amp;SUBSTITUTE(CriteriTecnici!$F2111,CHAR(34),"'")&amp;CHAR(34)&amp;", "&amp;CHAR(34)&amp;"value"&amp;CHAR(34)&amp;": "&amp;SUBSTITUTE(TRIM(ROUND(IFERROR(CriteriTecnici!$N2111*1,IFERROR(NUMBERVALUE(CriteriTecnici!$N2111,".",","),IFERROR(NUMBERVALUE(CriteriTecnici!$N2111,",","."),0))),4)&amp;""),",",".")&amp;", "&amp;CHAR(34)&amp;"numerator"&amp;CHAR(34)&amp;": "&amp;SUBSTITUTE(TRIM(ROUND(IFERROR(CriteriTecnici!$K2111*1,IFERROR(NUMBERVALUE(CriteriTecnici!$K2111,".",","),IFERROR(NUMBERVALUE(CriteriTecnici!$K2111,",","."),0))),4)&amp;""),",",".")&amp;", "&amp;CHAR(34)&amp;"denominator"&amp;CHAR(34)&amp;": "&amp;SUBSTITUTE(TRIM(ROUND(IFERROR(CriteriTecnici!$L2111*1,IFERROR(NUMBERVALUE(CriteriTecnici!$L2111,".",","),IFERROR(NUMBERVALUE(CriteriTecnici!$L2111,",","."),0))),4)&amp;""),",",".")&amp;", "&amp;CHAR(34)&amp;"flag"&amp;CHAR(34)&amp;": "&amp;SUBSTITUTE(TRIM(ROUND(IFERROR(CriteriTecnici!$M2111*1,IFERROR(NUMBERVALUE(CriteriTecnici!$M2111,".",","),IFERROR(NUMBERVALUE(CriteriTecnici!$M2111,",","."),0))),4)&amp;""),",",".")&amp;", "&amp;CHAR(34)&amp;"rawScore"&amp;CHAR(34)&amp;": "&amp;SUBSTITUTE(TRIM(ROUND(IFERROR(CriteriTecnici!$O2111*1,IFERROR(NUMBERVALUE(CriteriTecnici!$O2111,".",","),IFERROR(NUMBERVALUE(CriteriTecnici!$O2111,",","."),0))),4)&amp;""),",",".")&amp;CHAR(125)&amp;IF(TRUE,",",""))</f>
        <v/>
      </c>
    </row>
    <row r="2213">
      <c r="A2213" s="82">
        <f>IF(CriteriTecnici!$A2112="","","    "&amp;CHAR(123)&amp;CHAR(34)&amp;"bidderId"&amp;CHAR(34)&amp;": "&amp;CHAR(34)&amp;SUBSTITUTE(CriteriTecnici!$A2112,CHAR(34),"'")&amp;CHAR(34)&amp;", "&amp;CHAR(34)&amp;"lotId"&amp;CHAR(34)&amp;": "&amp;CHAR(34)&amp;SUBSTITUTE(CriteriTecnici!$C2112,CHAR(34),"'")&amp;CHAR(34)&amp;", "&amp;CHAR(34)&amp;"criterionId"&amp;CHAR(34)&amp;": "&amp;CHAR(34)&amp;SUBSTITUTE(CriteriTecnici!$D2112,CHAR(34),"'")&amp;CHAR(34)&amp;", "&amp;CHAR(34)&amp;"kind"&amp;CHAR(34)&amp;": "&amp;CHAR(34)&amp;SUBSTITUTE(CriteriTecnici!$F2112,CHAR(34),"'")&amp;CHAR(34)&amp;", "&amp;CHAR(34)&amp;"value"&amp;CHAR(34)&amp;": "&amp;SUBSTITUTE(TRIM(ROUND(IFERROR(CriteriTecnici!$N2112*1,IFERROR(NUMBERVALUE(CriteriTecnici!$N2112,".",","),IFERROR(NUMBERVALUE(CriteriTecnici!$N2112,",","."),0))),4)&amp;""),",",".")&amp;", "&amp;CHAR(34)&amp;"numerator"&amp;CHAR(34)&amp;": "&amp;SUBSTITUTE(TRIM(ROUND(IFERROR(CriteriTecnici!$K2112*1,IFERROR(NUMBERVALUE(CriteriTecnici!$K2112,".",","),IFERROR(NUMBERVALUE(CriteriTecnici!$K2112,",","."),0))),4)&amp;""),",",".")&amp;", "&amp;CHAR(34)&amp;"denominator"&amp;CHAR(34)&amp;": "&amp;SUBSTITUTE(TRIM(ROUND(IFERROR(CriteriTecnici!$L2112*1,IFERROR(NUMBERVALUE(CriteriTecnici!$L2112,".",","),IFERROR(NUMBERVALUE(CriteriTecnici!$L2112,",","."),0))),4)&amp;""),",",".")&amp;", "&amp;CHAR(34)&amp;"flag"&amp;CHAR(34)&amp;": "&amp;SUBSTITUTE(TRIM(ROUND(IFERROR(CriteriTecnici!$M2112*1,IFERROR(NUMBERVALUE(CriteriTecnici!$M2112,".",","),IFERROR(NUMBERVALUE(CriteriTecnici!$M2112,",","."),0))),4)&amp;""),",",".")&amp;", "&amp;CHAR(34)&amp;"rawScore"&amp;CHAR(34)&amp;": "&amp;SUBSTITUTE(TRIM(ROUND(IFERROR(CriteriTecnici!$O2112*1,IFERROR(NUMBERVALUE(CriteriTecnici!$O2112,".",","),IFERROR(NUMBERVALUE(CriteriTecnici!$O2112,",","."),0))),4)&amp;""),",",".")&amp;CHAR(125)&amp;IF(COUNTA(Offerte!$A70:$A$81)&gt;0,",",""))</f>
        <v/>
      </c>
    </row>
    <row r="2214">
      <c r="A2214" s="82">
        <f>IF(CriteriTecnici!$A2113="","","    "&amp;CHAR(123)&amp;CHAR(34)&amp;"bidderId"&amp;CHAR(34)&amp;": "&amp;CHAR(34)&amp;SUBSTITUTE(CriteriTecnici!$A2113,CHAR(34),"'")&amp;CHAR(34)&amp;", "&amp;CHAR(34)&amp;"lotId"&amp;CHAR(34)&amp;": "&amp;CHAR(34)&amp;SUBSTITUTE(CriteriTecnici!$C2113,CHAR(34),"'")&amp;CHAR(34)&amp;", "&amp;CHAR(34)&amp;"criterionId"&amp;CHAR(34)&amp;": "&amp;CHAR(34)&amp;SUBSTITUTE(CriteriTecnici!$D2113,CHAR(34),"'")&amp;CHAR(34)&amp;", "&amp;CHAR(34)&amp;"kind"&amp;CHAR(34)&amp;": "&amp;CHAR(34)&amp;SUBSTITUTE(CriteriTecnici!$F2113,CHAR(34),"'")&amp;CHAR(34)&amp;", "&amp;CHAR(34)&amp;"value"&amp;CHAR(34)&amp;": "&amp;SUBSTITUTE(TRIM(ROUND(IFERROR(CriteriTecnici!$N2113*1,IFERROR(NUMBERVALUE(CriteriTecnici!$N2113,".",","),IFERROR(NUMBERVALUE(CriteriTecnici!$N2113,",","."),0))),4)&amp;""),",",".")&amp;", "&amp;CHAR(34)&amp;"numerator"&amp;CHAR(34)&amp;": "&amp;SUBSTITUTE(TRIM(ROUND(IFERROR(CriteriTecnici!$K2113*1,IFERROR(NUMBERVALUE(CriteriTecnici!$K2113,".",","),IFERROR(NUMBERVALUE(CriteriTecnici!$K2113,",","."),0))),4)&amp;""),",",".")&amp;", "&amp;CHAR(34)&amp;"denominator"&amp;CHAR(34)&amp;": "&amp;SUBSTITUTE(TRIM(ROUND(IFERROR(CriteriTecnici!$L2113*1,IFERROR(NUMBERVALUE(CriteriTecnici!$L2113,".",","),IFERROR(NUMBERVALUE(CriteriTecnici!$L2113,",","."),0))),4)&amp;""),",",".")&amp;", "&amp;CHAR(34)&amp;"flag"&amp;CHAR(34)&amp;": "&amp;SUBSTITUTE(TRIM(ROUND(IFERROR(CriteriTecnici!$M2113*1,IFERROR(NUMBERVALUE(CriteriTecnici!$M2113,".",","),IFERROR(NUMBERVALUE(CriteriTecnici!$M2113,",","."),0))),4)&amp;""),",",".")&amp;", "&amp;CHAR(34)&amp;"rawScore"&amp;CHAR(34)&amp;": "&amp;SUBSTITUTE(TRIM(ROUND(IFERROR(CriteriTecnici!$O2113*1,IFERROR(NUMBERVALUE(CriteriTecnici!$O2113,".",","),IFERROR(NUMBERVALUE(CriteriTecnici!$O2113,",","."),0))),4)&amp;""),",",".")&amp;CHAR(125)&amp;IF(TRUE,",",""))</f>
        <v/>
      </c>
    </row>
    <row r="2215">
      <c r="A2215" s="82">
        <f>IF(CriteriTecnici!$A2114="","","    "&amp;CHAR(123)&amp;CHAR(34)&amp;"bidderId"&amp;CHAR(34)&amp;": "&amp;CHAR(34)&amp;SUBSTITUTE(CriteriTecnici!$A2114,CHAR(34),"'")&amp;CHAR(34)&amp;", "&amp;CHAR(34)&amp;"lotId"&amp;CHAR(34)&amp;": "&amp;CHAR(34)&amp;SUBSTITUTE(CriteriTecnici!$C2114,CHAR(34),"'")&amp;CHAR(34)&amp;", "&amp;CHAR(34)&amp;"criterionId"&amp;CHAR(34)&amp;": "&amp;CHAR(34)&amp;SUBSTITUTE(CriteriTecnici!$D2114,CHAR(34),"'")&amp;CHAR(34)&amp;", "&amp;CHAR(34)&amp;"kind"&amp;CHAR(34)&amp;": "&amp;CHAR(34)&amp;SUBSTITUTE(CriteriTecnici!$F2114,CHAR(34),"'")&amp;CHAR(34)&amp;", "&amp;CHAR(34)&amp;"value"&amp;CHAR(34)&amp;": "&amp;SUBSTITUTE(TRIM(ROUND(IFERROR(CriteriTecnici!$N2114*1,IFERROR(NUMBERVALUE(CriteriTecnici!$N2114,".",","),IFERROR(NUMBERVALUE(CriteriTecnici!$N2114,",","."),0))),4)&amp;""),",",".")&amp;", "&amp;CHAR(34)&amp;"numerator"&amp;CHAR(34)&amp;": "&amp;SUBSTITUTE(TRIM(ROUND(IFERROR(CriteriTecnici!$K2114*1,IFERROR(NUMBERVALUE(CriteriTecnici!$K2114,".",","),IFERROR(NUMBERVALUE(CriteriTecnici!$K2114,",","."),0))),4)&amp;""),",",".")&amp;", "&amp;CHAR(34)&amp;"denominator"&amp;CHAR(34)&amp;": "&amp;SUBSTITUTE(TRIM(ROUND(IFERROR(CriteriTecnici!$L2114*1,IFERROR(NUMBERVALUE(CriteriTecnici!$L2114,".",","),IFERROR(NUMBERVALUE(CriteriTecnici!$L2114,",","."),0))),4)&amp;""),",",".")&amp;", "&amp;CHAR(34)&amp;"flag"&amp;CHAR(34)&amp;": "&amp;SUBSTITUTE(TRIM(ROUND(IFERROR(CriteriTecnici!$M2114*1,IFERROR(NUMBERVALUE(CriteriTecnici!$M2114,".",","),IFERROR(NUMBERVALUE(CriteriTecnici!$M2114,",","."),0))),4)&amp;""),",",".")&amp;", "&amp;CHAR(34)&amp;"rawScore"&amp;CHAR(34)&amp;": "&amp;SUBSTITUTE(TRIM(ROUND(IFERROR(CriteriTecnici!$O2114*1,IFERROR(NUMBERVALUE(CriteriTecnici!$O2114,".",","),IFERROR(NUMBERVALUE(CriteriTecnici!$O2114,",","."),0))),4)&amp;""),",",".")&amp;CHAR(125)&amp;IF(TRUE,",",""))</f>
        <v/>
      </c>
    </row>
    <row r="2216">
      <c r="A2216" s="82">
        <f>IF(CriteriTecnici!$A2115="","","    "&amp;CHAR(123)&amp;CHAR(34)&amp;"bidderId"&amp;CHAR(34)&amp;": "&amp;CHAR(34)&amp;SUBSTITUTE(CriteriTecnici!$A2115,CHAR(34),"'")&amp;CHAR(34)&amp;", "&amp;CHAR(34)&amp;"lotId"&amp;CHAR(34)&amp;": "&amp;CHAR(34)&amp;SUBSTITUTE(CriteriTecnici!$C2115,CHAR(34),"'")&amp;CHAR(34)&amp;", "&amp;CHAR(34)&amp;"criterionId"&amp;CHAR(34)&amp;": "&amp;CHAR(34)&amp;SUBSTITUTE(CriteriTecnici!$D2115,CHAR(34),"'")&amp;CHAR(34)&amp;", "&amp;CHAR(34)&amp;"kind"&amp;CHAR(34)&amp;": "&amp;CHAR(34)&amp;SUBSTITUTE(CriteriTecnici!$F2115,CHAR(34),"'")&amp;CHAR(34)&amp;", "&amp;CHAR(34)&amp;"value"&amp;CHAR(34)&amp;": "&amp;SUBSTITUTE(TRIM(ROUND(IFERROR(CriteriTecnici!$N2115*1,IFERROR(NUMBERVALUE(CriteriTecnici!$N2115,".",","),IFERROR(NUMBERVALUE(CriteriTecnici!$N2115,",","."),0))),4)&amp;""),",",".")&amp;", "&amp;CHAR(34)&amp;"numerator"&amp;CHAR(34)&amp;": "&amp;SUBSTITUTE(TRIM(ROUND(IFERROR(CriteriTecnici!$K2115*1,IFERROR(NUMBERVALUE(CriteriTecnici!$K2115,".",","),IFERROR(NUMBERVALUE(CriteriTecnici!$K2115,",","."),0))),4)&amp;""),",",".")&amp;", "&amp;CHAR(34)&amp;"denominator"&amp;CHAR(34)&amp;": "&amp;SUBSTITUTE(TRIM(ROUND(IFERROR(CriteriTecnici!$L2115*1,IFERROR(NUMBERVALUE(CriteriTecnici!$L2115,".",","),IFERROR(NUMBERVALUE(CriteriTecnici!$L2115,",","."),0))),4)&amp;""),",",".")&amp;", "&amp;CHAR(34)&amp;"flag"&amp;CHAR(34)&amp;": "&amp;SUBSTITUTE(TRIM(ROUND(IFERROR(CriteriTecnici!$M2115*1,IFERROR(NUMBERVALUE(CriteriTecnici!$M2115,".",","),IFERROR(NUMBERVALUE(CriteriTecnici!$M2115,",","."),0))),4)&amp;""),",",".")&amp;", "&amp;CHAR(34)&amp;"rawScore"&amp;CHAR(34)&amp;": "&amp;SUBSTITUTE(TRIM(ROUND(IFERROR(CriteriTecnici!$O2115*1,IFERROR(NUMBERVALUE(CriteriTecnici!$O2115,".",","),IFERROR(NUMBERVALUE(CriteriTecnici!$O2115,",","."),0))),4)&amp;""),",",".")&amp;CHAR(125)&amp;IF(TRUE,",",""))</f>
        <v/>
      </c>
    </row>
    <row r="2217">
      <c r="A2217" s="82">
        <f>IF(CriteriTecnici!$A2116="","","    "&amp;CHAR(123)&amp;CHAR(34)&amp;"bidderId"&amp;CHAR(34)&amp;": "&amp;CHAR(34)&amp;SUBSTITUTE(CriteriTecnici!$A2116,CHAR(34),"'")&amp;CHAR(34)&amp;", "&amp;CHAR(34)&amp;"lotId"&amp;CHAR(34)&amp;": "&amp;CHAR(34)&amp;SUBSTITUTE(CriteriTecnici!$C2116,CHAR(34),"'")&amp;CHAR(34)&amp;", "&amp;CHAR(34)&amp;"criterionId"&amp;CHAR(34)&amp;": "&amp;CHAR(34)&amp;SUBSTITUTE(CriteriTecnici!$D2116,CHAR(34),"'")&amp;CHAR(34)&amp;", "&amp;CHAR(34)&amp;"kind"&amp;CHAR(34)&amp;": "&amp;CHAR(34)&amp;SUBSTITUTE(CriteriTecnici!$F2116,CHAR(34),"'")&amp;CHAR(34)&amp;", "&amp;CHAR(34)&amp;"value"&amp;CHAR(34)&amp;": "&amp;SUBSTITUTE(TRIM(ROUND(IFERROR(CriteriTecnici!$N2116*1,IFERROR(NUMBERVALUE(CriteriTecnici!$N2116,".",","),IFERROR(NUMBERVALUE(CriteriTecnici!$N2116,",","."),0))),4)&amp;""),",",".")&amp;", "&amp;CHAR(34)&amp;"numerator"&amp;CHAR(34)&amp;": "&amp;SUBSTITUTE(TRIM(ROUND(IFERROR(CriteriTecnici!$K2116*1,IFERROR(NUMBERVALUE(CriteriTecnici!$K2116,".",","),IFERROR(NUMBERVALUE(CriteriTecnici!$K2116,",","."),0))),4)&amp;""),",",".")&amp;", "&amp;CHAR(34)&amp;"denominator"&amp;CHAR(34)&amp;": "&amp;SUBSTITUTE(TRIM(ROUND(IFERROR(CriteriTecnici!$L2116*1,IFERROR(NUMBERVALUE(CriteriTecnici!$L2116,".",","),IFERROR(NUMBERVALUE(CriteriTecnici!$L2116,",","."),0))),4)&amp;""),",",".")&amp;", "&amp;CHAR(34)&amp;"flag"&amp;CHAR(34)&amp;": "&amp;SUBSTITUTE(TRIM(ROUND(IFERROR(CriteriTecnici!$M2116*1,IFERROR(NUMBERVALUE(CriteriTecnici!$M2116,".",","),IFERROR(NUMBERVALUE(CriteriTecnici!$M2116,",","."),0))),4)&amp;""),",",".")&amp;", "&amp;CHAR(34)&amp;"rawScore"&amp;CHAR(34)&amp;": "&amp;SUBSTITUTE(TRIM(ROUND(IFERROR(CriteriTecnici!$O2116*1,IFERROR(NUMBERVALUE(CriteriTecnici!$O2116,".",","),IFERROR(NUMBERVALUE(CriteriTecnici!$O2116,",","."),0))),4)&amp;""),",",".")&amp;CHAR(125)&amp;IF(TRUE,",",""))</f>
        <v/>
      </c>
    </row>
    <row r="2218">
      <c r="A2218" s="82">
        <f>IF(CriteriTecnici!$A2117="","","    "&amp;CHAR(123)&amp;CHAR(34)&amp;"bidderId"&amp;CHAR(34)&amp;": "&amp;CHAR(34)&amp;SUBSTITUTE(CriteriTecnici!$A2117,CHAR(34),"'")&amp;CHAR(34)&amp;", "&amp;CHAR(34)&amp;"lotId"&amp;CHAR(34)&amp;": "&amp;CHAR(34)&amp;SUBSTITUTE(CriteriTecnici!$C2117,CHAR(34),"'")&amp;CHAR(34)&amp;", "&amp;CHAR(34)&amp;"criterionId"&amp;CHAR(34)&amp;": "&amp;CHAR(34)&amp;SUBSTITUTE(CriteriTecnici!$D2117,CHAR(34),"'")&amp;CHAR(34)&amp;", "&amp;CHAR(34)&amp;"kind"&amp;CHAR(34)&amp;": "&amp;CHAR(34)&amp;SUBSTITUTE(CriteriTecnici!$F2117,CHAR(34),"'")&amp;CHAR(34)&amp;", "&amp;CHAR(34)&amp;"value"&amp;CHAR(34)&amp;": "&amp;SUBSTITUTE(TRIM(ROUND(IFERROR(CriteriTecnici!$N2117*1,IFERROR(NUMBERVALUE(CriteriTecnici!$N2117,".",","),IFERROR(NUMBERVALUE(CriteriTecnici!$N2117,",","."),0))),4)&amp;""),",",".")&amp;", "&amp;CHAR(34)&amp;"numerator"&amp;CHAR(34)&amp;": "&amp;SUBSTITUTE(TRIM(ROUND(IFERROR(CriteriTecnici!$K2117*1,IFERROR(NUMBERVALUE(CriteriTecnici!$K2117,".",","),IFERROR(NUMBERVALUE(CriteriTecnici!$K2117,",","."),0))),4)&amp;""),",",".")&amp;", "&amp;CHAR(34)&amp;"denominator"&amp;CHAR(34)&amp;": "&amp;SUBSTITUTE(TRIM(ROUND(IFERROR(CriteriTecnici!$L2117*1,IFERROR(NUMBERVALUE(CriteriTecnici!$L2117,".",","),IFERROR(NUMBERVALUE(CriteriTecnici!$L2117,",","."),0))),4)&amp;""),",",".")&amp;", "&amp;CHAR(34)&amp;"flag"&amp;CHAR(34)&amp;": "&amp;SUBSTITUTE(TRIM(ROUND(IFERROR(CriteriTecnici!$M2117*1,IFERROR(NUMBERVALUE(CriteriTecnici!$M2117,".",","),IFERROR(NUMBERVALUE(CriteriTecnici!$M2117,",","."),0))),4)&amp;""),",",".")&amp;", "&amp;CHAR(34)&amp;"rawScore"&amp;CHAR(34)&amp;": "&amp;SUBSTITUTE(TRIM(ROUND(IFERROR(CriteriTecnici!$O2117*1,IFERROR(NUMBERVALUE(CriteriTecnici!$O2117,".",","),IFERROR(NUMBERVALUE(CriteriTecnici!$O2117,",","."),0))),4)&amp;""),",",".")&amp;CHAR(125)&amp;IF(TRUE,",",""))</f>
        <v/>
      </c>
    </row>
    <row r="2219">
      <c r="A2219" s="82">
        <f>IF(CriteriTecnici!$A2118="","","    "&amp;CHAR(123)&amp;CHAR(34)&amp;"bidderId"&amp;CHAR(34)&amp;": "&amp;CHAR(34)&amp;SUBSTITUTE(CriteriTecnici!$A2118,CHAR(34),"'")&amp;CHAR(34)&amp;", "&amp;CHAR(34)&amp;"lotId"&amp;CHAR(34)&amp;": "&amp;CHAR(34)&amp;SUBSTITUTE(CriteriTecnici!$C2118,CHAR(34),"'")&amp;CHAR(34)&amp;", "&amp;CHAR(34)&amp;"criterionId"&amp;CHAR(34)&amp;": "&amp;CHAR(34)&amp;SUBSTITUTE(CriteriTecnici!$D2118,CHAR(34),"'")&amp;CHAR(34)&amp;", "&amp;CHAR(34)&amp;"kind"&amp;CHAR(34)&amp;": "&amp;CHAR(34)&amp;SUBSTITUTE(CriteriTecnici!$F2118,CHAR(34),"'")&amp;CHAR(34)&amp;", "&amp;CHAR(34)&amp;"value"&amp;CHAR(34)&amp;": "&amp;SUBSTITUTE(TRIM(ROUND(IFERROR(CriteriTecnici!$N2118*1,IFERROR(NUMBERVALUE(CriteriTecnici!$N2118,".",","),IFERROR(NUMBERVALUE(CriteriTecnici!$N2118,",","."),0))),4)&amp;""),",",".")&amp;", "&amp;CHAR(34)&amp;"numerator"&amp;CHAR(34)&amp;": "&amp;SUBSTITUTE(TRIM(ROUND(IFERROR(CriteriTecnici!$K2118*1,IFERROR(NUMBERVALUE(CriteriTecnici!$K2118,".",","),IFERROR(NUMBERVALUE(CriteriTecnici!$K2118,",","."),0))),4)&amp;""),",",".")&amp;", "&amp;CHAR(34)&amp;"denominator"&amp;CHAR(34)&amp;": "&amp;SUBSTITUTE(TRIM(ROUND(IFERROR(CriteriTecnici!$L2118*1,IFERROR(NUMBERVALUE(CriteriTecnici!$L2118,".",","),IFERROR(NUMBERVALUE(CriteriTecnici!$L2118,",","."),0))),4)&amp;""),",",".")&amp;", "&amp;CHAR(34)&amp;"flag"&amp;CHAR(34)&amp;": "&amp;SUBSTITUTE(TRIM(ROUND(IFERROR(CriteriTecnici!$M2118*1,IFERROR(NUMBERVALUE(CriteriTecnici!$M2118,".",","),IFERROR(NUMBERVALUE(CriteriTecnici!$M2118,",","."),0))),4)&amp;""),",",".")&amp;", "&amp;CHAR(34)&amp;"rawScore"&amp;CHAR(34)&amp;": "&amp;SUBSTITUTE(TRIM(ROUND(IFERROR(CriteriTecnici!$O2118*1,IFERROR(NUMBERVALUE(CriteriTecnici!$O2118,".",","),IFERROR(NUMBERVALUE(CriteriTecnici!$O2118,",","."),0))),4)&amp;""),",",".")&amp;CHAR(125)&amp;IF(TRUE,",",""))</f>
        <v/>
      </c>
    </row>
    <row r="2220">
      <c r="A2220" s="82">
        <f>IF(CriteriTecnici!$A2119="","","    "&amp;CHAR(123)&amp;CHAR(34)&amp;"bidderId"&amp;CHAR(34)&amp;": "&amp;CHAR(34)&amp;SUBSTITUTE(CriteriTecnici!$A2119,CHAR(34),"'")&amp;CHAR(34)&amp;", "&amp;CHAR(34)&amp;"lotId"&amp;CHAR(34)&amp;": "&amp;CHAR(34)&amp;SUBSTITUTE(CriteriTecnici!$C2119,CHAR(34),"'")&amp;CHAR(34)&amp;", "&amp;CHAR(34)&amp;"criterionId"&amp;CHAR(34)&amp;": "&amp;CHAR(34)&amp;SUBSTITUTE(CriteriTecnici!$D2119,CHAR(34),"'")&amp;CHAR(34)&amp;", "&amp;CHAR(34)&amp;"kind"&amp;CHAR(34)&amp;": "&amp;CHAR(34)&amp;SUBSTITUTE(CriteriTecnici!$F2119,CHAR(34),"'")&amp;CHAR(34)&amp;", "&amp;CHAR(34)&amp;"value"&amp;CHAR(34)&amp;": "&amp;SUBSTITUTE(TRIM(ROUND(IFERROR(CriteriTecnici!$N2119*1,IFERROR(NUMBERVALUE(CriteriTecnici!$N2119,".",","),IFERROR(NUMBERVALUE(CriteriTecnici!$N2119,",","."),0))),4)&amp;""),",",".")&amp;", "&amp;CHAR(34)&amp;"numerator"&amp;CHAR(34)&amp;": "&amp;SUBSTITUTE(TRIM(ROUND(IFERROR(CriteriTecnici!$K2119*1,IFERROR(NUMBERVALUE(CriteriTecnici!$K2119,".",","),IFERROR(NUMBERVALUE(CriteriTecnici!$K2119,",","."),0))),4)&amp;""),",",".")&amp;", "&amp;CHAR(34)&amp;"denominator"&amp;CHAR(34)&amp;": "&amp;SUBSTITUTE(TRIM(ROUND(IFERROR(CriteriTecnici!$L2119*1,IFERROR(NUMBERVALUE(CriteriTecnici!$L2119,".",","),IFERROR(NUMBERVALUE(CriteriTecnici!$L2119,",","."),0))),4)&amp;""),",",".")&amp;", "&amp;CHAR(34)&amp;"flag"&amp;CHAR(34)&amp;": "&amp;SUBSTITUTE(TRIM(ROUND(IFERROR(CriteriTecnici!$M2119*1,IFERROR(NUMBERVALUE(CriteriTecnici!$M2119,".",","),IFERROR(NUMBERVALUE(CriteriTecnici!$M2119,",","."),0))),4)&amp;""),",",".")&amp;", "&amp;CHAR(34)&amp;"rawScore"&amp;CHAR(34)&amp;": "&amp;SUBSTITUTE(TRIM(ROUND(IFERROR(CriteriTecnici!$O2119*1,IFERROR(NUMBERVALUE(CriteriTecnici!$O2119,".",","),IFERROR(NUMBERVALUE(CriteriTecnici!$O2119,",","."),0))),4)&amp;""),",",".")&amp;CHAR(125)&amp;IF(TRUE,",",""))</f>
        <v/>
      </c>
    </row>
    <row r="2221">
      <c r="A2221" s="82">
        <f>IF(CriteriTecnici!$A2120="","","    "&amp;CHAR(123)&amp;CHAR(34)&amp;"bidderId"&amp;CHAR(34)&amp;": "&amp;CHAR(34)&amp;SUBSTITUTE(CriteriTecnici!$A2120,CHAR(34),"'")&amp;CHAR(34)&amp;", "&amp;CHAR(34)&amp;"lotId"&amp;CHAR(34)&amp;": "&amp;CHAR(34)&amp;SUBSTITUTE(CriteriTecnici!$C2120,CHAR(34),"'")&amp;CHAR(34)&amp;", "&amp;CHAR(34)&amp;"criterionId"&amp;CHAR(34)&amp;": "&amp;CHAR(34)&amp;SUBSTITUTE(CriteriTecnici!$D2120,CHAR(34),"'")&amp;CHAR(34)&amp;", "&amp;CHAR(34)&amp;"kind"&amp;CHAR(34)&amp;": "&amp;CHAR(34)&amp;SUBSTITUTE(CriteriTecnici!$F2120,CHAR(34),"'")&amp;CHAR(34)&amp;", "&amp;CHAR(34)&amp;"value"&amp;CHAR(34)&amp;": "&amp;SUBSTITUTE(TRIM(ROUND(IFERROR(CriteriTecnici!$N2120*1,IFERROR(NUMBERVALUE(CriteriTecnici!$N2120,".",","),IFERROR(NUMBERVALUE(CriteriTecnici!$N2120,",","."),0))),4)&amp;""),",",".")&amp;", "&amp;CHAR(34)&amp;"numerator"&amp;CHAR(34)&amp;": "&amp;SUBSTITUTE(TRIM(ROUND(IFERROR(CriteriTecnici!$K2120*1,IFERROR(NUMBERVALUE(CriteriTecnici!$K2120,".",","),IFERROR(NUMBERVALUE(CriteriTecnici!$K2120,",","."),0))),4)&amp;""),",",".")&amp;", "&amp;CHAR(34)&amp;"denominator"&amp;CHAR(34)&amp;": "&amp;SUBSTITUTE(TRIM(ROUND(IFERROR(CriteriTecnici!$L2120*1,IFERROR(NUMBERVALUE(CriteriTecnici!$L2120,".",","),IFERROR(NUMBERVALUE(CriteriTecnici!$L2120,",","."),0))),4)&amp;""),",",".")&amp;", "&amp;CHAR(34)&amp;"flag"&amp;CHAR(34)&amp;": "&amp;SUBSTITUTE(TRIM(ROUND(IFERROR(CriteriTecnici!$M2120*1,IFERROR(NUMBERVALUE(CriteriTecnici!$M2120,".",","),IFERROR(NUMBERVALUE(CriteriTecnici!$M2120,",","."),0))),4)&amp;""),",",".")&amp;", "&amp;CHAR(34)&amp;"rawScore"&amp;CHAR(34)&amp;": "&amp;SUBSTITUTE(TRIM(ROUND(IFERROR(CriteriTecnici!$O2120*1,IFERROR(NUMBERVALUE(CriteriTecnici!$O2120,".",","),IFERROR(NUMBERVALUE(CriteriTecnici!$O2120,",","."),0))),4)&amp;""),",",".")&amp;CHAR(125)&amp;IF(TRUE,",",""))</f>
        <v/>
      </c>
    </row>
    <row r="2222">
      <c r="A2222" s="82">
        <f>IF(CriteriTecnici!$A2121="","","    "&amp;CHAR(123)&amp;CHAR(34)&amp;"bidderId"&amp;CHAR(34)&amp;": "&amp;CHAR(34)&amp;SUBSTITUTE(CriteriTecnici!$A2121,CHAR(34),"'")&amp;CHAR(34)&amp;", "&amp;CHAR(34)&amp;"lotId"&amp;CHAR(34)&amp;": "&amp;CHAR(34)&amp;SUBSTITUTE(CriteriTecnici!$C2121,CHAR(34),"'")&amp;CHAR(34)&amp;", "&amp;CHAR(34)&amp;"criterionId"&amp;CHAR(34)&amp;": "&amp;CHAR(34)&amp;SUBSTITUTE(CriteriTecnici!$D2121,CHAR(34),"'")&amp;CHAR(34)&amp;", "&amp;CHAR(34)&amp;"kind"&amp;CHAR(34)&amp;": "&amp;CHAR(34)&amp;SUBSTITUTE(CriteriTecnici!$F2121,CHAR(34),"'")&amp;CHAR(34)&amp;", "&amp;CHAR(34)&amp;"value"&amp;CHAR(34)&amp;": "&amp;SUBSTITUTE(TRIM(ROUND(IFERROR(CriteriTecnici!$N2121*1,IFERROR(NUMBERVALUE(CriteriTecnici!$N2121,".",","),IFERROR(NUMBERVALUE(CriteriTecnici!$N2121,",","."),0))),4)&amp;""),",",".")&amp;", "&amp;CHAR(34)&amp;"numerator"&amp;CHAR(34)&amp;": "&amp;SUBSTITUTE(TRIM(ROUND(IFERROR(CriteriTecnici!$K2121*1,IFERROR(NUMBERVALUE(CriteriTecnici!$K2121,".",","),IFERROR(NUMBERVALUE(CriteriTecnici!$K2121,",","."),0))),4)&amp;""),",",".")&amp;", "&amp;CHAR(34)&amp;"denominator"&amp;CHAR(34)&amp;": "&amp;SUBSTITUTE(TRIM(ROUND(IFERROR(CriteriTecnici!$L2121*1,IFERROR(NUMBERVALUE(CriteriTecnici!$L2121,".",","),IFERROR(NUMBERVALUE(CriteriTecnici!$L2121,",","."),0))),4)&amp;""),",",".")&amp;", "&amp;CHAR(34)&amp;"flag"&amp;CHAR(34)&amp;": "&amp;SUBSTITUTE(TRIM(ROUND(IFERROR(CriteriTecnici!$M2121*1,IFERROR(NUMBERVALUE(CriteriTecnici!$M2121,".",","),IFERROR(NUMBERVALUE(CriteriTecnici!$M2121,",","."),0))),4)&amp;""),",",".")&amp;", "&amp;CHAR(34)&amp;"rawScore"&amp;CHAR(34)&amp;": "&amp;SUBSTITUTE(TRIM(ROUND(IFERROR(CriteriTecnici!$O2121*1,IFERROR(NUMBERVALUE(CriteriTecnici!$O2121,".",","),IFERROR(NUMBERVALUE(CriteriTecnici!$O2121,",","."),0))),4)&amp;""),",",".")&amp;CHAR(125)&amp;IF(TRUE,",",""))</f>
        <v/>
      </c>
    </row>
    <row r="2223">
      <c r="A2223" s="82">
        <f>IF(CriteriTecnici!$A2122="","","    "&amp;CHAR(123)&amp;CHAR(34)&amp;"bidderId"&amp;CHAR(34)&amp;": "&amp;CHAR(34)&amp;SUBSTITUTE(CriteriTecnici!$A2122,CHAR(34),"'")&amp;CHAR(34)&amp;", "&amp;CHAR(34)&amp;"lotId"&amp;CHAR(34)&amp;": "&amp;CHAR(34)&amp;SUBSTITUTE(CriteriTecnici!$C2122,CHAR(34),"'")&amp;CHAR(34)&amp;", "&amp;CHAR(34)&amp;"criterionId"&amp;CHAR(34)&amp;": "&amp;CHAR(34)&amp;SUBSTITUTE(CriteriTecnici!$D2122,CHAR(34),"'")&amp;CHAR(34)&amp;", "&amp;CHAR(34)&amp;"kind"&amp;CHAR(34)&amp;": "&amp;CHAR(34)&amp;SUBSTITUTE(CriteriTecnici!$F2122,CHAR(34),"'")&amp;CHAR(34)&amp;", "&amp;CHAR(34)&amp;"value"&amp;CHAR(34)&amp;": "&amp;SUBSTITUTE(TRIM(ROUND(IFERROR(CriteriTecnici!$N2122*1,IFERROR(NUMBERVALUE(CriteriTecnici!$N2122,".",","),IFERROR(NUMBERVALUE(CriteriTecnici!$N2122,",","."),0))),4)&amp;""),",",".")&amp;", "&amp;CHAR(34)&amp;"numerator"&amp;CHAR(34)&amp;": "&amp;SUBSTITUTE(TRIM(ROUND(IFERROR(CriteriTecnici!$K2122*1,IFERROR(NUMBERVALUE(CriteriTecnici!$K2122,".",","),IFERROR(NUMBERVALUE(CriteriTecnici!$K2122,",","."),0))),4)&amp;""),",",".")&amp;", "&amp;CHAR(34)&amp;"denominator"&amp;CHAR(34)&amp;": "&amp;SUBSTITUTE(TRIM(ROUND(IFERROR(CriteriTecnici!$L2122*1,IFERROR(NUMBERVALUE(CriteriTecnici!$L2122,".",","),IFERROR(NUMBERVALUE(CriteriTecnici!$L2122,",","."),0))),4)&amp;""),",",".")&amp;", "&amp;CHAR(34)&amp;"flag"&amp;CHAR(34)&amp;": "&amp;SUBSTITUTE(TRIM(ROUND(IFERROR(CriteriTecnici!$M2122*1,IFERROR(NUMBERVALUE(CriteriTecnici!$M2122,".",","),IFERROR(NUMBERVALUE(CriteriTecnici!$M2122,",","."),0))),4)&amp;""),",",".")&amp;", "&amp;CHAR(34)&amp;"rawScore"&amp;CHAR(34)&amp;": "&amp;SUBSTITUTE(TRIM(ROUND(IFERROR(CriteriTecnici!$O2122*1,IFERROR(NUMBERVALUE(CriteriTecnici!$O2122,".",","),IFERROR(NUMBERVALUE(CriteriTecnici!$O2122,",","."),0))),4)&amp;""),",",".")&amp;CHAR(125)&amp;IF(TRUE,",",""))</f>
        <v/>
      </c>
    </row>
    <row r="2224">
      <c r="A2224" s="82">
        <f>IF(CriteriTecnici!$A2123="","","    "&amp;CHAR(123)&amp;CHAR(34)&amp;"bidderId"&amp;CHAR(34)&amp;": "&amp;CHAR(34)&amp;SUBSTITUTE(CriteriTecnici!$A2123,CHAR(34),"'")&amp;CHAR(34)&amp;", "&amp;CHAR(34)&amp;"lotId"&amp;CHAR(34)&amp;": "&amp;CHAR(34)&amp;SUBSTITUTE(CriteriTecnici!$C2123,CHAR(34),"'")&amp;CHAR(34)&amp;", "&amp;CHAR(34)&amp;"criterionId"&amp;CHAR(34)&amp;": "&amp;CHAR(34)&amp;SUBSTITUTE(CriteriTecnici!$D2123,CHAR(34),"'")&amp;CHAR(34)&amp;", "&amp;CHAR(34)&amp;"kind"&amp;CHAR(34)&amp;": "&amp;CHAR(34)&amp;SUBSTITUTE(CriteriTecnici!$F2123,CHAR(34),"'")&amp;CHAR(34)&amp;", "&amp;CHAR(34)&amp;"value"&amp;CHAR(34)&amp;": "&amp;SUBSTITUTE(TRIM(ROUND(IFERROR(CriteriTecnici!$N2123*1,IFERROR(NUMBERVALUE(CriteriTecnici!$N2123,".",","),IFERROR(NUMBERVALUE(CriteriTecnici!$N2123,",","."),0))),4)&amp;""),",",".")&amp;", "&amp;CHAR(34)&amp;"numerator"&amp;CHAR(34)&amp;": "&amp;SUBSTITUTE(TRIM(ROUND(IFERROR(CriteriTecnici!$K2123*1,IFERROR(NUMBERVALUE(CriteriTecnici!$K2123,".",","),IFERROR(NUMBERVALUE(CriteriTecnici!$K2123,",","."),0))),4)&amp;""),",",".")&amp;", "&amp;CHAR(34)&amp;"denominator"&amp;CHAR(34)&amp;": "&amp;SUBSTITUTE(TRIM(ROUND(IFERROR(CriteriTecnici!$L2123*1,IFERROR(NUMBERVALUE(CriteriTecnici!$L2123,".",","),IFERROR(NUMBERVALUE(CriteriTecnici!$L2123,",","."),0))),4)&amp;""),",",".")&amp;", "&amp;CHAR(34)&amp;"flag"&amp;CHAR(34)&amp;": "&amp;SUBSTITUTE(TRIM(ROUND(IFERROR(CriteriTecnici!$M2123*1,IFERROR(NUMBERVALUE(CriteriTecnici!$M2123,".",","),IFERROR(NUMBERVALUE(CriteriTecnici!$M2123,",","."),0))),4)&amp;""),",",".")&amp;", "&amp;CHAR(34)&amp;"rawScore"&amp;CHAR(34)&amp;": "&amp;SUBSTITUTE(TRIM(ROUND(IFERROR(CriteriTecnici!$O2123*1,IFERROR(NUMBERVALUE(CriteriTecnici!$O2123,".",","),IFERROR(NUMBERVALUE(CriteriTecnici!$O2123,",","."),0))),4)&amp;""),",",".")&amp;CHAR(125)&amp;IF(TRUE,",",""))</f>
        <v/>
      </c>
    </row>
    <row r="2225">
      <c r="A2225" s="82">
        <f>IF(CriteriTecnici!$A2124="","","    "&amp;CHAR(123)&amp;CHAR(34)&amp;"bidderId"&amp;CHAR(34)&amp;": "&amp;CHAR(34)&amp;SUBSTITUTE(CriteriTecnici!$A2124,CHAR(34),"'")&amp;CHAR(34)&amp;", "&amp;CHAR(34)&amp;"lotId"&amp;CHAR(34)&amp;": "&amp;CHAR(34)&amp;SUBSTITUTE(CriteriTecnici!$C2124,CHAR(34),"'")&amp;CHAR(34)&amp;", "&amp;CHAR(34)&amp;"criterionId"&amp;CHAR(34)&amp;": "&amp;CHAR(34)&amp;SUBSTITUTE(CriteriTecnici!$D2124,CHAR(34),"'")&amp;CHAR(34)&amp;", "&amp;CHAR(34)&amp;"kind"&amp;CHAR(34)&amp;": "&amp;CHAR(34)&amp;SUBSTITUTE(CriteriTecnici!$F2124,CHAR(34),"'")&amp;CHAR(34)&amp;", "&amp;CHAR(34)&amp;"value"&amp;CHAR(34)&amp;": "&amp;SUBSTITUTE(TRIM(ROUND(IFERROR(CriteriTecnici!$N2124*1,IFERROR(NUMBERVALUE(CriteriTecnici!$N2124,".",","),IFERROR(NUMBERVALUE(CriteriTecnici!$N2124,",","."),0))),4)&amp;""),",",".")&amp;", "&amp;CHAR(34)&amp;"numerator"&amp;CHAR(34)&amp;": "&amp;SUBSTITUTE(TRIM(ROUND(IFERROR(CriteriTecnici!$K2124*1,IFERROR(NUMBERVALUE(CriteriTecnici!$K2124,".",","),IFERROR(NUMBERVALUE(CriteriTecnici!$K2124,",","."),0))),4)&amp;""),",",".")&amp;", "&amp;CHAR(34)&amp;"denominator"&amp;CHAR(34)&amp;": "&amp;SUBSTITUTE(TRIM(ROUND(IFERROR(CriteriTecnici!$L2124*1,IFERROR(NUMBERVALUE(CriteriTecnici!$L2124,".",","),IFERROR(NUMBERVALUE(CriteriTecnici!$L2124,",","."),0))),4)&amp;""),",",".")&amp;", "&amp;CHAR(34)&amp;"flag"&amp;CHAR(34)&amp;": "&amp;SUBSTITUTE(TRIM(ROUND(IFERROR(CriteriTecnici!$M2124*1,IFERROR(NUMBERVALUE(CriteriTecnici!$M2124,".",","),IFERROR(NUMBERVALUE(CriteriTecnici!$M2124,",","."),0))),4)&amp;""),",",".")&amp;", "&amp;CHAR(34)&amp;"rawScore"&amp;CHAR(34)&amp;": "&amp;SUBSTITUTE(TRIM(ROUND(IFERROR(CriteriTecnici!$O2124*1,IFERROR(NUMBERVALUE(CriteriTecnici!$O2124,".",","),IFERROR(NUMBERVALUE(CriteriTecnici!$O2124,",","."),0))),4)&amp;""),",",".")&amp;CHAR(125)&amp;IF(TRUE,",",""))</f>
        <v/>
      </c>
    </row>
    <row r="2226">
      <c r="A2226" s="82">
        <f>IF(CriteriTecnici!$A2125="","","    "&amp;CHAR(123)&amp;CHAR(34)&amp;"bidderId"&amp;CHAR(34)&amp;": "&amp;CHAR(34)&amp;SUBSTITUTE(CriteriTecnici!$A2125,CHAR(34),"'")&amp;CHAR(34)&amp;", "&amp;CHAR(34)&amp;"lotId"&amp;CHAR(34)&amp;": "&amp;CHAR(34)&amp;SUBSTITUTE(CriteriTecnici!$C2125,CHAR(34),"'")&amp;CHAR(34)&amp;", "&amp;CHAR(34)&amp;"criterionId"&amp;CHAR(34)&amp;": "&amp;CHAR(34)&amp;SUBSTITUTE(CriteriTecnici!$D2125,CHAR(34),"'")&amp;CHAR(34)&amp;", "&amp;CHAR(34)&amp;"kind"&amp;CHAR(34)&amp;": "&amp;CHAR(34)&amp;SUBSTITUTE(CriteriTecnici!$F2125,CHAR(34),"'")&amp;CHAR(34)&amp;", "&amp;CHAR(34)&amp;"value"&amp;CHAR(34)&amp;": "&amp;SUBSTITUTE(TRIM(ROUND(IFERROR(CriteriTecnici!$N2125*1,IFERROR(NUMBERVALUE(CriteriTecnici!$N2125,".",","),IFERROR(NUMBERVALUE(CriteriTecnici!$N2125,",","."),0))),4)&amp;""),",",".")&amp;", "&amp;CHAR(34)&amp;"numerator"&amp;CHAR(34)&amp;": "&amp;SUBSTITUTE(TRIM(ROUND(IFERROR(CriteriTecnici!$K2125*1,IFERROR(NUMBERVALUE(CriteriTecnici!$K2125,".",","),IFERROR(NUMBERVALUE(CriteriTecnici!$K2125,",","."),0))),4)&amp;""),",",".")&amp;", "&amp;CHAR(34)&amp;"denominator"&amp;CHAR(34)&amp;": "&amp;SUBSTITUTE(TRIM(ROUND(IFERROR(CriteriTecnici!$L2125*1,IFERROR(NUMBERVALUE(CriteriTecnici!$L2125,".",","),IFERROR(NUMBERVALUE(CriteriTecnici!$L2125,",","."),0))),4)&amp;""),",",".")&amp;", "&amp;CHAR(34)&amp;"flag"&amp;CHAR(34)&amp;": "&amp;SUBSTITUTE(TRIM(ROUND(IFERROR(CriteriTecnici!$M2125*1,IFERROR(NUMBERVALUE(CriteriTecnici!$M2125,".",","),IFERROR(NUMBERVALUE(CriteriTecnici!$M2125,",","."),0))),4)&amp;""),",",".")&amp;", "&amp;CHAR(34)&amp;"rawScore"&amp;CHAR(34)&amp;": "&amp;SUBSTITUTE(TRIM(ROUND(IFERROR(CriteriTecnici!$O2125*1,IFERROR(NUMBERVALUE(CriteriTecnici!$O2125,".",","),IFERROR(NUMBERVALUE(CriteriTecnici!$O2125,",","."),0))),4)&amp;""),",",".")&amp;CHAR(125)&amp;IF(TRUE,",",""))</f>
        <v/>
      </c>
    </row>
    <row r="2227">
      <c r="A2227" s="82">
        <f>IF(CriteriTecnici!$A2126="","","    "&amp;CHAR(123)&amp;CHAR(34)&amp;"bidderId"&amp;CHAR(34)&amp;": "&amp;CHAR(34)&amp;SUBSTITUTE(CriteriTecnici!$A2126,CHAR(34),"'")&amp;CHAR(34)&amp;", "&amp;CHAR(34)&amp;"lotId"&amp;CHAR(34)&amp;": "&amp;CHAR(34)&amp;SUBSTITUTE(CriteriTecnici!$C2126,CHAR(34),"'")&amp;CHAR(34)&amp;", "&amp;CHAR(34)&amp;"criterionId"&amp;CHAR(34)&amp;": "&amp;CHAR(34)&amp;SUBSTITUTE(CriteriTecnici!$D2126,CHAR(34),"'")&amp;CHAR(34)&amp;", "&amp;CHAR(34)&amp;"kind"&amp;CHAR(34)&amp;": "&amp;CHAR(34)&amp;SUBSTITUTE(CriteriTecnici!$F2126,CHAR(34),"'")&amp;CHAR(34)&amp;", "&amp;CHAR(34)&amp;"value"&amp;CHAR(34)&amp;": "&amp;SUBSTITUTE(TRIM(ROUND(IFERROR(CriteriTecnici!$N2126*1,IFERROR(NUMBERVALUE(CriteriTecnici!$N2126,".",","),IFERROR(NUMBERVALUE(CriteriTecnici!$N2126,",","."),0))),4)&amp;""),",",".")&amp;", "&amp;CHAR(34)&amp;"numerator"&amp;CHAR(34)&amp;": "&amp;SUBSTITUTE(TRIM(ROUND(IFERROR(CriteriTecnici!$K2126*1,IFERROR(NUMBERVALUE(CriteriTecnici!$K2126,".",","),IFERROR(NUMBERVALUE(CriteriTecnici!$K2126,",","."),0))),4)&amp;""),",",".")&amp;", "&amp;CHAR(34)&amp;"denominator"&amp;CHAR(34)&amp;": "&amp;SUBSTITUTE(TRIM(ROUND(IFERROR(CriteriTecnici!$L2126*1,IFERROR(NUMBERVALUE(CriteriTecnici!$L2126,".",","),IFERROR(NUMBERVALUE(CriteriTecnici!$L2126,",","."),0))),4)&amp;""),",",".")&amp;", "&amp;CHAR(34)&amp;"flag"&amp;CHAR(34)&amp;": "&amp;SUBSTITUTE(TRIM(ROUND(IFERROR(CriteriTecnici!$M2126*1,IFERROR(NUMBERVALUE(CriteriTecnici!$M2126,".",","),IFERROR(NUMBERVALUE(CriteriTecnici!$M2126,",","."),0))),4)&amp;""),",",".")&amp;", "&amp;CHAR(34)&amp;"rawScore"&amp;CHAR(34)&amp;": "&amp;SUBSTITUTE(TRIM(ROUND(IFERROR(CriteriTecnici!$O2126*1,IFERROR(NUMBERVALUE(CriteriTecnici!$O2126,".",","),IFERROR(NUMBERVALUE(CriteriTecnici!$O2126,",","."),0))),4)&amp;""),",",".")&amp;CHAR(125)&amp;IF(TRUE,",",""))</f>
        <v/>
      </c>
    </row>
    <row r="2228">
      <c r="A2228" s="82">
        <f>IF(CriteriTecnici!$A2127="","","    "&amp;CHAR(123)&amp;CHAR(34)&amp;"bidderId"&amp;CHAR(34)&amp;": "&amp;CHAR(34)&amp;SUBSTITUTE(CriteriTecnici!$A2127,CHAR(34),"'")&amp;CHAR(34)&amp;", "&amp;CHAR(34)&amp;"lotId"&amp;CHAR(34)&amp;": "&amp;CHAR(34)&amp;SUBSTITUTE(CriteriTecnici!$C2127,CHAR(34),"'")&amp;CHAR(34)&amp;", "&amp;CHAR(34)&amp;"criterionId"&amp;CHAR(34)&amp;": "&amp;CHAR(34)&amp;SUBSTITUTE(CriteriTecnici!$D2127,CHAR(34),"'")&amp;CHAR(34)&amp;", "&amp;CHAR(34)&amp;"kind"&amp;CHAR(34)&amp;": "&amp;CHAR(34)&amp;SUBSTITUTE(CriteriTecnici!$F2127,CHAR(34),"'")&amp;CHAR(34)&amp;", "&amp;CHAR(34)&amp;"value"&amp;CHAR(34)&amp;": "&amp;SUBSTITUTE(TRIM(ROUND(IFERROR(CriteriTecnici!$N2127*1,IFERROR(NUMBERVALUE(CriteriTecnici!$N2127,".",","),IFERROR(NUMBERVALUE(CriteriTecnici!$N2127,",","."),0))),4)&amp;""),",",".")&amp;", "&amp;CHAR(34)&amp;"numerator"&amp;CHAR(34)&amp;": "&amp;SUBSTITUTE(TRIM(ROUND(IFERROR(CriteriTecnici!$K2127*1,IFERROR(NUMBERVALUE(CriteriTecnici!$K2127,".",","),IFERROR(NUMBERVALUE(CriteriTecnici!$K2127,",","."),0))),4)&amp;""),",",".")&amp;", "&amp;CHAR(34)&amp;"denominator"&amp;CHAR(34)&amp;": "&amp;SUBSTITUTE(TRIM(ROUND(IFERROR(CriteriTecnici!$L2127*1,IFERROR(NUMBERVALUE(CriteriTecnici!$L2127,".",","),IFERROR(NUMBERVALUE(CriteriTecnici!$L2127,",","."),0))),4)&amp;""),",",".")&amp;", "&amp;CHAR(34)&amp;"flag"&amp;CHAR(34)&amp;": "&amp;SUBSTITUTE(TRIM(ROUND(IFERROR(CriteriTecnici!$M2127*1,IFERROR(NUMBERVALUE(CriteriTecnici!$M2127,".",","),IFERROR(NUMBERVALUE(CriteriTecnici!$M2127,",","."),0))),4)&amp;""),",",".")&amp;", "&amp;CHAR(34)&amp;"rawScore"&amp;CHAR(34)&amp;": "&amp;SUBSTITUTE(TRIM(ROUND(IFERROR(CriteriTecnici!$O2127*1,IFERROR(NUMBERVALUE(CriteriTecnici!$O2127,".",","),IFERROR(NUMBERVALUE(CriteriTecnici!$O2127,",","."),0))),4)&amp;""),",",".")&amp;CHAR(125)&amp;IF(TRUE,",",""))</f>
        <v/>
      </c>
    </row>
    <row r="2229">
      <c r="A2229" s="82">
        <f>IF(CriteriTecnici!$A2128="","","    "&amp;CHAR(123)&amp;CHAR(34)&amp;"bidderId"&amp;CHAR(34)&amp;": "&amp;CHAR(34)&amp;SUBSTITUTE(CriteriTecnici!$A2128,CHAR(34),"'")&amp;CHAR(34)&amp;", "&amp;CHAR(34)&amp;"lotId"&amp;CHAR(34)&amp;": "&amp;CHAR(34)&amp;SUBSTITUTE(CriteriTecnici!$C2128,CHAR(34),"'")&amp;CHAR(34)&amp;", "&amp;CHAR(34)&amp;"criterionId"&amp;CHAR(34)&amp;": "&amp;CHAR(34)&amp;SUBSTITUTE(CriteriTecnici!$D2128,CHAR(34),"'")&amp;CHAR(34)&amp;", "&amp;CHAR(34)&amp;"kind"&amp;CHAR(34)&amp;": "&amp;CHAR(34)&amp;SUBSTITUTE(CriteriTecnici!$F2128,CHAR(34),"'")&amp;CHAR(34)&amp;", "&amp;CHAR(34)&amp;"value"&amp;CHAR(34)&amp;": "&amp;SUBSTITUTE(TRIM(ROUND(IFERROR(CriteriTecnici!$N2128*1,IFERROR(NUMBERVALUE(CriteriTecnici!$N2128,".",","),IFERROR(NUMBERVALUE(CriteriTecnici!$N2128,",","."),0))),4)&amp;""),",",".")&amp;", "&amp;CHAR(34)&amp;"numerator"&amp;CHAR(34)&amp;": "&amp;SUBSTITUTE(TRIM(ROUND(IFERROR(CriteriTecnici!$K2128*1,IFERROR(NUMBERVALUE(CriteriTecnici!$K2128,".",","),IFERROR(NUMBERVALUE(CriteriTecnici!$K2128,",","."),0))),4)&amp;""),",",".")&amp;", "&amp;CHAR(34)&amp;"denominator"&amp;CHAR(34)&amp;": "&amp;SUBSTITUTE(TRIM(ROUND(IFERROR(CriteriTecnici!$L2128*1,IFERROR(NUMBERVALUE(CriteriTecnici!$L2128,".",","),IFERROR(NUMBERVALUE(CriteriTecnici!$L2128,",","."),0))),4)&amp;""),",",".")&amp;", "&amp;CHAR(34)&amp;"flag"&amp;CHAR(34)&amp;": "&amp;SUBSTITUTE(TRIM(ROUND(IFERROR(CriteriTecnici!$M2128*1,IFERROR(NUMBERVALUE(CriteriTecnici!$M2128,".",","),IFERROR(NUMBERVALUE(CriteriTecnici!$M2128,",","."),0))),4)&amp;""),",",".")&amp;", "&amp;CHAR(34)&amp;"rawScore"&amp;CHAR(34)&amp;": "&amp;SUBSTITUTE(TRIM(ROUND(IFERROR(CriteriTecnici!$O2128*1,IFERROR(NUMBERVALUE(CriteriTecnici!$O2128,".",","),IFERROR(NUMBERVALUE(CriteriTecnici!$O2128,",","."),0))),4)&amp;""),",",".")&amp;CHAR(125)&amp;IF(TRUE,",",""))</f>
        <v/>
      </c>
    </row>
    <row r="2230">
      <c r="A2230" s="82">
        <f>IF(CriteriTecnici!$A2129="","","    "&amp;CHAR(123)&amp;CHAR(34)&amp;"bidderId"&amp;CHAR(34)&amp;": "&amp;CHAR(34)&amp;SUBSTITUTE(CriteriTecnici!$A2129,CHAR(34),"'")&amp;CHAR(34)&amp;", "&amp;CHAR(34)&amp;"lotId"&amp;CHAR(34)&amp;": "&amp;CHAR(34)&amp;SUBSTITUTE(CriteriTecnici!$C2129,CHAR(34),"'")&amp;CHAR(34)&amp;", "&amp;CHAR(34)&amp;"criterionId"&amp;CHAR(34)&amp;": "&amp;CHAR(34)&amp;SUBSTITUTE(CriteriTecnici!$D2129,CHAR(34),"'")&amp;CHAR(34)&amp;", "&amp;CHAR(34)&amp;"kind"&amp;CHAR(34)&amp;": "&amp;CHAR(34)&amp;SUBSTITUTE(CriteriTecnici!$F2129,CHAR(34),"'")&amp;CHAR(34)&amp;", "&amp;CHAR(34)&amp;"value"&amp;CHAR(34)&amp;": "&amp;SUBSTITUTE(TRIM(ROUND(IFERROR(CriteriTecnici!$N2129*1,IFERROR(NUMBERVALUE(CriteriTecnici!$N2129,".",","),IFERROR(NUMBERVALUE(CriteriTecnici!$N2129,",","."),0))),4)&amp;""),",",".")&amp;", "&amp;CHAR(34)&amp;"numerator"&amp;CHAR(34)&amp;": "&amp;SUBSTITUTE(TRIM(ROUND(IFERROR(CriteriTecnici!$K2129*1,IFERROR(NUMBERVALUE(CriteriTecnici!$K2129,".",","),IFERROR(NUMBERVALUE(CriteriTecnici!$K2129,",","."),0))),4)&amp;""),",",".")&amp;", "&amp;CHAR(34)&amp;"denominator"&amp;CHAR(34)&amp;": "&amp;SUBSTITUTE(TRIM(ROUND(IFERROR(CriteriTecnici!$L2129*1,IFERROR(NUMBERVALUE(CriteriTecnici!$L2129,".",","),IFERROR(NUMBERVALUE(CriteriTecnici!$L2129,",","."),0))),4)&amp;""),",",".")&amp;", "&amp;CHAR(34)&amp;"flag"&amp;CHAR(34)&amp;": "&amp;SUBSTITUTE(TRIM(ROUND(IFERROR(CriteriTecnici!$M2129*1,IFERROR(NUMBERVALUE(CriteriTecnici!$M2129,".",","),IFERROR(NUMBERVALUE(CriteriTecnici!$M2129,",","."),0))),4)&amp;""),",",".")&amp;", "&amp;CHAR(34)&amp;"rawScore"&amp;CHAR(34)&amp;": "&amp;SUBSTITUTE(TRIM(ROUND(IFERROR(CriteriTecnici!$O2129*1,IFERROR(NUMBERVALUE(CriteriTecnici!$O2129,".",","),IFERROR(NUMBERVALUE(CriteriTecnici!$O2129,",","."),0))),4)&amp;""),",",".")&amp;CHAR(125)&amp;IF(TRUE,",",""))</f>
        <v/>
      </c>
    </row>
    <row r="2231">
      <c r="A2231" s="82">
        <f>IF(CriteriTecnici!$A2130="","","    "&amp;CHAR(123)&amp;CHAR(34)&amp;"bidderId"&amp;CHAR(34)&amp;": "&amp;CHAR(34)&amp;SUBSTITUTE(CriteriTecnici!$A2130,CHAR(34),"'")&amp;CHAR(34)&amp;", "&amp;CHAR(34)&amp;"lotId"&amp;CHAR(34)&amp;": "&amp;CHAR(34)&amp;SUBSTITUTE(CriteriTecnici!$C2130,CHAR(34),"'")&amp;CHAR(34)&amp;", "&amp;CHAR(34)&amp;"criterionId"&amp;CHAR(34)&amp;": "&amp;CHAR(34)&amp;SUBSTITUTE(CriteriTecnici!$D2130,CHAR(34),"'")&amp;CHAR(34)&amp;", "&amp;CHAR(34)&amp;"kind"&amp;CHAR(34)&amp;": "&amp;CHAR(34)&amp;SUBSTITUTE(CriteriTecnici!$F2130,CHAR(34),"'")&amp;CHAR(34)&amp;", "&amp;CHAR(34)&amp;"value"&amp;CHAR(34)&amp;": "&amp;SUBSTITUTE(TRIM(ROUND(IFERROR(CriteriTecnici!$N2130*1,IFERROR(NUMBERVALUE(CriteriTecnici!$N2130,".",","),IFERROR(NUMBERVALUE(CriteriTecnici!$N2130,",","."),0))),4)&amp;""),",",".")&amp;", "&amp;CHAR(34)&amp;"numerator"&amp;CHAR(34)&amp;": "&amp;SUBSTITUTE(TRIM(ROUND(IFERROR(CriteriTecnici!$K2130*1,IFERROR(NUMBERVALUE(CriteriTecnici!$K2130,".",","),IFERROR(NUMBERVALUE(CriteriTecnici!$K2130,",","."),0))),4)&amp;""),",",".")&amp;", "&amp;CHAR(34)&amp;"denominator"&amp;CHAR(34)&amp;": "&amp;SUBSTITUTE(TRIM(ROUND(IFERROR(CriteriTecnici!$L2130*1,IFERROR(NUMBERVALUE(CriteriTecnici!$L2130,".",","),IFERROR(NUMBERVALUE(CriteriTecnici!$L2130,",","."),0))),4)&amp;""),",",".")&amp;", "&amp;CHAR(34)&amp;"flag"&amp;CHAR(34)&amp;": "&amp;SUBSTITUTE(TRIM(ROUND(IFERROR(CriteriTecnici!$M2130*1,IFERROR(NUMBERVALUE(CriteriTecnici!$M2130,".",","),IFERROR(NUMBERVALUE(CriteriTecnici!$M2130,",","."),0))),4)&amp;""),",",".")&amp;", "&amp;CHAR(34)&amp;"rawScore"&amp;CHAR(34)&amp;": "&amp;SUBSTITUTE(TRIM(ROUND(IFERROR(CriteriTecnici!$O2130*1,IFERROR(NUMBERVALUE(CriteriTecnici!$O2130,".",","),IFERROR(NUMBERVALUE(CriteriTecnici!$O2130,",","."),0))),4)&amp;""),",",".")&amp;CHAR(125)&amp;IF(TRUE,",",""))</f>
        <v/>
      </c>
    </row>
    <row r="2232">
      <c r="A2232" s="82">
        <f>IF(CriteriTecnici!$A2131="","","    "&amp;CHAR(123)&amp;CHAR(34)&amp;"bidderId"&amp;CHAR(34)&amp;": "&amp;CHAR(34)&amp;SUBSTITUTE(CriteriTecnici!$A2131,CHAR(34),"'")&amp;CHAR(34)&amp;", "&amp;CHAR(34)&amp;"lotId"&amp;CHAR(34)&amp;": "&amp;CHAR(34)&amp;SUBSTITUTE(CriteriTecnici!$C2131,CHAR(34),"'")&amp;CHAR(34)&amp;", "&amp;CHAR(34)&amp;"criterionId"&amp;CHAR(34)&amp;": "&amp;CHAR(34)&amp;SUBSTITUTE(CriteriTecnici!$D2131,CHAR(34),"'")&amp;CHAR(34)&amp;", "&amp;CHAR(34)&amp;"kind"&amp;CHAR(34)&amp;": "&amp;CHAR(34)&amp;SUBSTITUTE(CriteriTecnici!$F2131,CHAR(34),"'")&amp;CHAR(34)&amp;", "&amp;CHAR(34)&amp;"value"&amp;CHAR(34)&amp;": "&amp;SUBSTITUTE(TRIM(ROUND(IFERROR(CriteriTecnici!$N2131*1,IFERROR(NUMBERVALUE(CriteriTecnici!$N2131,".",","),IFERROR(NUMBERVALUE(CriteriTecnici!$N2131,",","."),0))),4)&amp;""),",",".")&amp;", "&amp;CHAR(34)&amp;"numerator"&amp;CHAR(34)&amp;": "&amp;SUBSTITUTE(TRIM(ROUND(IFERROR(CriteriTecnici!$K2131*1,IFERROR(NUMBERVALUE(CriteriTecnici!$K2131,".",","),IFERROR(NUMBERVALUE(CriteriTecnici!$K2131,",","."),0))),4)&amp;""),",",".")&amp;", "&amp;CHAR(34)&amp;"denominator"&amp;CHAR(34)&amp;": "&amp;SUBSTITUTE(TRIM(ROUND(IFERROR(CriteriTecnici!$L2131*1,IFERROR(NUMBERVALUE(CriteriTecnici!$L2131,".",","),IFERROR(NUMBERVALUE(CriteriTecnici!$L2131,",","."),0))),4)&amp;""),",",".")&amp;", "&amp;CHAR(34)&amp;"flag"&amp;CHAR(34)&amp;": "&amp;SUBSTITUTE(TRIM(ROUND(IFERROR(CriteriTecnici!$M2131*1,IFERROR(NUMBERVALUE(CriteriTecnici!$M2131,".",","),IFERROR(NUMBERVALUE(CriteriTecnici!$M2131,",","."),0))),4)&amp;""),",",".")&amp;", "&amp;CHAR(34)&amp;"rawScore"&amp;CHAR(34)&amp;": "&amp;SUBSTITUTE(TRIM(ROUND(IFERROR(CriteriTecnici!$O2131*1,IFERROR(NUMBERVALUE(CriteriTecnici!$O2131,".",","),IFERROR(NUMBERVALUE(CriteriTecnici!$O2131,",","."),0))),4)&amp;""),",",".")&amp;CHAR(125)&amp;IF(TRUE,",",""))</f>
        <v/>
      </c>
    </row>
    <row r="2233">
      <c r="A2233" s="82">
        <f>IF(CriteriTecnici!$A2132="","","    "&amp;CHAR(123)&amp;CHAR(34)&amp;"bidderId"&amp;CHAR(34)&amp;": "&amp;CHAR(34)&amp;SUBSTITUTE(CriteriTecnici!$A2132,CHAR(34),"'")&amp;CHAR(34)&amp;", "&amp;CHAR(34)&amp;"lotId"&amp;CHAR(34)&amp;": "&amp;CHAR(34)&amp;SUBSTITUTE(CriteriTecnici!$C2132,CHAR(34),"'")&amp;CHAR(34)&amp;", "&amp;CHAR(34)&amp;"criterionId"&amp;CHAR(34)&amp;": "&amp;CHAR(34)&amp;SUBSTITUTE(CriteriTecnici!$D2132,CHAR(34),"'")&amp;CHAR(34)&amp;", "&amp;CHAR(34)&amp;"kind"&amp;CHAR(34)&amp;": "&amp;CHAR(34)&amp;SUBSTITUTE(CriteriTecnici!$F2132,CHAR(34),"'")&amp;CHAR(34)&amp;", "&amp;CHAR(34)&amp;"value"&amp;CHAR(34)&amp;": "&amp;SUBSTITUTE(TRIM(ROUND(IFERROR(CriteriTecnici!$N2132*1,IFERROR(NUMBERVALUE(CriteriTecnici!$N2132,".",","),IFERROR(NUMBERVALUE(CriteriTecnici!$N2132,",","."),0))),4)&amp;""),",",".")&amp;", "&amp;CHAR(34)&amp;"numerator"&amp;CHAR(34)&amp;": "&amp;SUBSTITUTE(TRIM(ROUND(IFERROR(CriteriTecnici!$K2132*1,IFERROR(NUMBERVALUE(CriteriTecnici!$K2132,".",","),IFERROR(NUMBERVALUE(CriteriTecnici!$K2132,",","."),0))),4)&amp;""),",",".")&amp;", "&amp;CHAR(34)&amp;"denominator"&amp;CHAR(34)&amp;": "&amp;SUBSTITUTE(TRIM(ROUND(IFERROR(CriteriTecnici!$L2132*1,IFERROR(NUMBERVALUE(CriteriTecnici!$L2132,".",","),IFERROR(NUMBERVALUE(CriteriTecnici!$L2132,",","."),0))),4)&amp;""),",",".")&amp;", "&amp;CHAR(34)&amp;"flag"&amp;CHAR(34)&amp;": "&amp;SUBSTITUTE(TRIM(ROUND(IFERROR(CriteriTecnici!$M2132*1,IFERROR(NUMBERVALUE(CriteriTecnici!$M2132,".",","),IFERROR(NUMBERVALUE(CriteriTecnici!$M2132,",","."),0))),4)&amp;""),",",".")&amp;", "&amp;CHAR(34)&amp;"rawScore"&amp;CHAR(34)&amp;": "&amp;SUBSTITUTE(TRIM(ROUND(IFERROR(CriteriTecnici!$O2132*1,IFERROR(NUMBERVALUE(CriteriTecnici!$O2132,".",","),IFERROR(NUMBERVALUE(CriteriTecnici!$O2132,",","."),0))),4)&amp;""),",",".")&amp;CHAR(125)&amp;IF(TRUE,",",""))</f>
        <v/>
      </c>
    </row>
    <row r="2234">
      <c r="A2234" s="82">
        <f>IF(CriteriTecnici!$A2133="","","    "&amp;CHAR(123)&amp;CHAR(34)&amp;"bidderId"&amp;CHAR(34)&amp;": "&amp;CHAR(34)&amp;SUBSTITUTE(CriteriTecnici!$A2133,CHAR(34),"'")&amp;CHAR(34)&amp;", "&amp;CHAR(34)&amp;"lotId"&amp;CHAR(34)&amp;": "&amp;CHAR(34)&amp;SUBSTITUTE(CriteriTecnici!$C2133,CHAR(34),"'")&amp;CHAR(34)&amp;", "&amp;CHAR(34)&amp;"criterionId"&amp;CHAR(34)&amp;": "&amp;CHAR(34)&amp;SUBSTITUTE(CriteriTecnici!$D2133,CHAR(34),"'")&amp;CHAR(34)&amp;", "&amp;CHAR(34)&amp;"kind"&amp;CHAR(34)&amp;": "&amp;CHAR(34)&amp;SUBSTITUTE(CriteriTecnici!$F2133,CHAR(34),"'")&amp;CHAR(34)&amp;", "&amp;CHAR(34)&amp;"value"&amp;CHAR(34)&amp;": "&amp;SUBSTITUTE(TRIM(ROUND(IFERROR(CriteriTecnici!$N2133*1,IFERROR(NUMBERVALUE(CriteriTecnici!$N2133,".",","),IFERROR(NUMBERVALUE(CriteriTecnici!$N2133,",","."),0))),4)&amp;""),",",".")&amp;", "&amp;CHAR(34)&amp;"numerator"&amp;CHAR(34)&amp;": "&amp;SUBSTITUTE(TRIM(ROUND(IFERROR(CriteriTecnici!$K2133*1,IFERROR(NUMBERVALUE(CriteriTecnici!$K2133,".",","),IFERROR(NUMBERVALUE(CriteriTecnici!$K2133,",","."),0))),4)&amp;""),",",".")&amp;", "&amp;CHAR(34)&amp;"denominator"&amp;CHAR(34)&amp;": "&amp;SUBSTITUTE(TRIM(ROUND(IFERROR(CriteriTecnici!$L2133*1,IFERROR(NUMBERVALUE(CriteriTecnici!$L2133,".",","),IFERROR(NUMBERVALUE(CriteriTecnici!$L2133,",","."),0))),4)&amp;""),",",".")&amp;", "&amp;CHAR(34)&amp;"flag"&amp;CHAR(34)&amp;": "&amp;SUBSTITUTE(TRIM(ROUND(IFERROR(CriteriTecnici!$M2133*1,IFERROR(NUMBERVALUE(CriteriTecnici!$M2133,".",","),IFERROR(NUMBERVALUE(CriteriTecnici!$M2133,",","."),0))),4)&amp;""),",",".")&amp;", "&amp;CHAR(34)&amp;"rawScore"&amp;CHAR(34)&amp;": "&amp;SUBSTITUTE(TRIM(ROUND(IFERROR(CriteriTecnici!$O2133*1,IFERROR(NUMBERVALUE(CriteriTecnici!$O2133,".",","),IFERROR(NUMBERVALUE(CriteriTecnici!$O2133,",","."),0))),4)&amp;""),",",".")&amp;CHAR(125)&amp;IF(TRUE,",",""))</f>
        <v/>
      </c>
    </row>
    <row r="2235">
      <c r="A2235" s="82">
        <f>IF(CriteriTecnici!$A2134="","","    "&amp;CHAR(123)&amp;CHAR(34)&amp;"bidderId"&amp;CHAR(34)&amp;": "&amp;CHAR(34)&amp;SUBSTITUTE(CriteriTecnici!$A2134,CHAR(34),"'")&amp;CHAR(34)&amp;", "&amp;CHAR(34)&amp;"lotId"&amp;CHAR(34)&amp;": "&amp;CHAR(34)&amp;SUBSTITUTE(CriteriTecnici!$C2134,CHAR(34),"'")&amp;CHAR(34)&amp;", "&amp;CHAR(34)&amp;"criterionId"&amp;CHAR(34)&amp;": "&amp;CHAR(34)&amp;SUBSTITUTE(CriteriTecnici!$D2134,CHAR(34),"'")&amp;CHAR(34)&amp;", "&amp;CHAR(34)&amp;"kind"&amp;CHAR(34)&amp;": "&amp;CHAR(34)&amp;SUBSTITUTE(CriteriTecnici!$F2134,CHAR(34),"'")&amp;CHAR(34)&amp;", "&amp;CHAR(34)&amp;"value"&amp;CHAR(34)&amp;": "&amp;SUBSTITUTE(TRIM(ROUND(IFERROR(CriteriTecnici!$N2134*1,IFERROR(NUMBERVALUE(CriteriTecnici!$N2134,".",","),IFERROR(NUMBERVALUE(CriteriTecnici!$N2134,",","."),0))),4)&amp;""),",",".")&amp;", "&amp;CHAR(34)&amp;"numerator"&amp;CHAR(34)&amp;": "&amp;SUBSTITUTE(TRIM(ROUND(IFERROR(CriteriTecnici!$K2134*1,IFERROR(NUMBERVALUE(CriteriTecnici!$K2134,".",","),IFERROR(NUMBERVALUE(CriteriTecnici!$K2134,",","."),0))),4)&amp;""),",",".")&amp;", "&amp;CHAR(34)&amp;"denominator"&amp;CHAR(34)&amp;": "&amp;SUBSTITUTE(TRIM(ROUND(IFERROR(CriteriTecnici!$L2134*1,IFERROR(NUMBERVALUE(CriteriTecnici!$L2134,".",","),IFERROR(NUMBERVALUE(CriteriTecnici!$L2134,",","."),0))),4)&amp;""),",",".")&amp;", "&amp;CHAR(34)&amp;"flag"&amp;CHAR(34)&amp;": "&amp;SUBSTITUTE(TRIM(ROUND(IFERROR(CriteriTecnici!$M2134*1,IFERROR(NUMBERVALUE(CriteriTecnici!$M2134,".",","),IFERROR(NUMBERVALUE(CriteriTecnici!$M2134,",","."),0))),4)&amp;""),",",".")&amp;", "&amp;CHAR(34)&amp;"rawScore"&amp;CHAR(34)&amp;": "&amp;SUBSTITUTE(TRIM(ROUND(IFERROR(CriteriTecnici!$O2134*1,IFERROR(NUMBERVALUE(CriteriTecnici!$O2134,".",","),IFERROR(NUMBERVALUE(CriteriTecnici!$O2134,",","."),0))),4)&amp;""),",",".")&amp;CHAR(125)&amp;IF(TRUE,",",""))</f>
        <v/>
      </c>
    </row>
    <row r="2236">
      <c r="A2236" s="82">
        <f>IF(CriteriTecnici!$A2135="","","    "&amp;CHAR(123)&amp;CHAR(34)&amp;"bidderId"&amp;CHAR(34)&amp;": "&amp;CHAR(34)&amp;SUBSTITUTE(CriteriTecnici!$A2135,CHAR(34),"'")&amp;CHAR(34)&amp;", "&amp;CHAR(34)&amp;"lotId"&amp;CHAR(34)&amp;": "&amp;CHAR(34)&amp;SUBSTITUTE(CriteriTecnici!$C2135,CHAR(34),"'")&amp;CHAR(34)&amp;", "&amp;CHAR(34)&amp;"criterionId"&amp;CHAR(34)&amp;": "&amp;CHAR(34)&amp;SUBSTITUTE(CriteriTecnici!$D2135,CHAR(34),"'")&amp;CHAR(34)&amp;", "&amp;CHAR(34)&amp;"kind"&amp;CHAR(34)&amp;": "&amp;CHAR(34)&amp;SUBSTITUTE(CriteriTecnici!$F2135,CHAR(34),"'")&amp;CHAR(34)&amp;", "&amp;CHAR(34)&amp;"value"&amp;CHAR(34)&amp;": "&amp;SUBSTITUTE(TRIM(ROUND(IFERROR(CriteriTecnici!$N2135*1,IFERROR(NUMBERVALUE(CriteriTecnici!$N2135,".",","),IFERROR(NUMBERVALUE(CriteriTecnici!$N2135,",","."),0))),4)&amp;""),",",".")&amp;", "&amp;CHAR(34)&amp;"numerator"&amp;CHAR(34)&amp;": "&amp;SUBSTITUTE(TRIM(ROUND(IFERROR(CriteriTecnici!$K2135*1,IFERROR(NUMBERVALUE(CriteriTecnici!$K2135,".",","),IFERROR(NUMBERVALUE(CriteriTecnici!$K2135,",","."),0))),4)&amp;""),",",".")&amp;", "&amp;CHAR(34)&amp;"denominator"&amp;CHAR(34)&amp;": "&amp;SUBSTITUTE(TRIM(ROUND(IFERROR(CriteriTecnici!$L2135*1,IFERROR(NUMBERVALUE(CriteriTecnici!$L2135,".",","),IFERROR(NUMBERVALUE(CriteriTecnici!$L2135,",","."),0))),4)&amp;""),",",".")&amp;", "&amp;CHAR(34)&amp;"flag"&amp;CHAR(34)&amp;": "&amp;SUBSTITUTE(TRIM(ROUND(IFERROR(CriteriTecnici!$M2135*1,IFERROR(NUMBERVALUE(CriteriTecnici!$M2135,".",","),IFERROR(NUMBERVALUE(CriteriTecnici!$M2135,",","."),0))),4)&amp;""),",",".")&amp;", "&amp;CHAR(34)&amp;"rawScore"&amp;CHAR(34)&amp;": "&amp;SUBSTITUTE(TRIM(ROUND(IFERROR(CriteriTecnici!$O2135*1,IFERROR(NUMBERVALUE(CriteriTecnici!$O2135,".",","),IFERROR(NUMBERVALUE(CriteriTecnici!$O2135,",","."),0))),4)&amp;""),",",".")&amp;CHAR(125)&amp;IF(TRUE,",",""))</f>
        <v/>
      </c>
    </row>
    <row r="2237">
      <c r="A2237" s="82">
        <f>IF(CriteriTecnici!$A2136="","","    "&amp;CHAR(123)&amp;CHAR(34)&amp;"bidderId"&amp;CHAR(34)&amp;": "&amp;CHAR(34)&amp;SUBSTITUTE(CriteriTecnici!$A2136,CHAR(34),"'")&amp;CHAR(34)&amp;", "&amp;CHAR(34)&amp;"lotId"&amp;CHAR(34)&amp;": "&amp;CHAR(34)&amp;SUBSTITUTE(CriteriTecnici!$C2136,CHAR(34),"'")&amp;CHAR(34)&amp;", "&amp;CHAR(34)&amp;"criterionId"&amp;CHAR(34)&amp;": "&amp;CHAR(34)&amp;SUBSTITUTE(CriteriTecnici!$D2136,CHAR(34),"'")&amp;CHAR(34)&amp;", "&amp;CHAR(34)&amp;"kind"&amp;CHAR(34)&amp;": "&amp;CHAR(34)&amp;SUBSTITUTE(CriteriTecnici!$F2136,CHAR(34),"'")&amp;CHAR(34)&amp;", "&amp;CHAR(34)&amp;"value"&amp;CHAR(34)&amp;": "&amp;SUBSTITUTE(TRIM(ROUND(IFERROR(CriteriTecnici!$N2136*1,IFERROR(NUMBERVALUE(CriteriTecnici!$N2136,".",","),IFERROR(NUMBERVALUE(CriteriTecnici!$N2136,",","."),0))),4)&amp;""),",",".")&amp;", "&amp;CHAR(34)&amp;"numerator"&amp;CHAR(34)&amp;": "&amp;SUBSTITUTE(TRIM(ROUND(IFERROR(CriteriTecnici!$K2136*1,IFERROR(NUMBERVALUE(CriteriTecnici!$K2136,".",","),IFERROR(NUMBERVALUE(CriteriTecnici!$K2136,",","."),0))),4)&amp;""),",",".")&amp;", "&amp;CHAR(34)&amp;"denominator"&amp;CHAR(34)&amp;": "&amp;SUBSTITUTE(TRIM(ROUND(IFERROR(CriteriTecnici!$L2136*1,IFERROR(NUMBERVALUE(CriteriTecnici!$L2136,".",","),IFERROR(NUMBERVALUE(CriteriTecnici!$L2136,",","."),0))),4)&amp;""),",",".")&amp;", "&amp;CHAR(34)&amp;"flag"&amp;CHAR(34)&amp;": "&amp;SUBSTITUTE(TRIM(ROUND(IFERROR(CriteriTecnici!$M2136*1,IFERROR(NUMBERVALUE(CriteriTecnici!$M2136,".",","),IFERROR(NUMBERVALUE(CriteriTecnici!$M2136,",","."),0))),4)&amp;""),",",".")&amp;", "&amp;CHAR(34)&amp;"rawScore"&amp;CHAR(34)&amp;": "&amp;SUBSTITUTE(TRIM(ROUND(IFERROR(CriteriTecnici!$O2136*1,IFERROR(NUMBERVALUE(CriteriTecnici!$O2136,".",","),IFERROR(NUMBERVALUE(CriteriTecnici!$O2136,",","."),0))),4)&amp;""),",",".")&amp;CHAR(125)&amp;IF(TRUE,",",""))</f>
        <v/>
      </c>
    </row>
    <row r="2238">
      <c r="A2238" s="82">
        <f>IF(CriteriTecnici!$A2137="","","    "&amp;CHAR(123)&amp;CHAR(34)&amp;"bidderId"&amp;CHAR(34)&amp;": "&amp;CHAR(34)&amp;SUBSTITUTE(CriteriTecnici!$A2137,CHAR(34),"'")&amp;CHAR(34)&amp;", "&amp;CHAR(34)&amp;"lotId"&amp;CHAR(34)&amp;": "&amp;CHAR(34)&amp;SUBSTITUTE(CriteriTecnici!$C2137,CHAR(34),"'")&amp;CHAR(34)&amp;", "&amp;CHAR(34)&amp;"criterionId"&amp;CHAR(34)&amp;": "&amp;CHAR(34)&amp;SUBSTITUTE(CriteriTecnici!$D2137,CHAR(34),"'")&amp;CHAR(34)&amp;", "&amp;CHAR(34)&amp;"kind"&amp;CHAR(34)&amp;": "&amp;CHAR(34)&amp;SUBSTITUTE(CriteriTecnici!$F2137,CHAR(34),"'")&amp;CHAR(34)&amp;", "&amp;CHAR(34)&amp;"value"&amp;CHAR(34)&amp;": "&amp;SUBSTITUTE(TRIM(ROUND(IFERROR(CriteriTecnici!$N2137*1,IFERROR(NUMBERVALUE(CriteriTecnici!$N2137,".",","),IFERROR(NUMBERVALUE(CriteriTecnici!$N2137,",","."),0))),4)&amp;""),",",".")&amp;", "&amp;CHAR(34)&amp;"numerator"&amp;CHAR(34)&amp;": "&amp;SUBSTITUTE(TRIM(ROUND(IFERROR(CriteriTecnici!$K2137*1,IFERROR(NUMBERVALUE(CriteriTecnici!$K2137,".",","),IFERROR(NUMBERVALUE(CriteriTecnici!$K2137,",","."),0))),4)&amp;""),",",".")&amp;", "&amp;CHAR(34)&amp;"denominator"&amp;CHAR(34)&amp;": "&amp;SUBSTITUTE(TRIM(ROUND(IFERROR(CriteriTecnici!$L2137*1,IFERROR(NUMBERVALUE(CriteriTecnici!$L2137,".",","),IFERROR(NUMBERVALUE(CriteriTecnici!$L2137,",","."),0))),4)&amp;""),",",".")&amp;", "&amp;CHAR(34)&amp;"flag"&amp;CHAR(34)&amp;": "&amp;SUBSTITUTE(TRIM(ROUND(IFERROR(CriteriTecnici!$M2137*1,IFERROR(NUMBERVALUE(CriteriTecnici!$M2137,".",","),IFERROR(NUMBERVALUE(CriteriTecnici!$M2137,",","."),0))),4)&amp;""),",",".")&amp;", "&amp;CHAR(34)&amp;"rawScore"&amp;CHAR(34)&amp;": "&amp;SUBSTITUTE(TRIM(ROUND(IFERROR(CriteriTecnici!$O2137*1,IFERROR(NUMBERVALUE(CriteriTecnici!$O2137,".",","),IFERROR(NUMBERVALUE(CriteriTecnici!$O2137,",","."),0))),4)&amp;""),",",".")&amp;CHAR(125)&amp;IF(TRUE,",",""))</f>
        <v/>
      </c>
    </row>
    <row r="2239">
      <c r="A2239" s="82">
        <f>IF(CriteriTecnici!$A2138="","","    "&amp;CHAR(123)&amp;CHAR(34)&amp;"bidderId"&amp;CHAR(34)&amp;": "&amp;CHAR(34)&amp;SUBSTITUTE(CriteriTecnici!$A2138,CHAR(34),"'")&amp;CHAR(34)&amp;", "&amp;CHAR(34)&amp;"lotId"&amp;CHAR(34)&amp;": "&amp;CHAR(34)&amp;SUBSTITUTE(CriteriTecnici!$C2138,CHAR(34),"'")&amp;CHAR(34)&amp;", "&amp;CHAR(34)&amp;"criterionId"&amp;CHAR(34)&amp;": "&amp;CHAR(34)&amp;SUBSTITUTE(CriteriTecnici!$D2138,CHAR(34),"'")&amp;CHAR(34)&amp;", "&amp;CHAR(34)&amp;"kind"&amp;CHAR(34)&amp;": "&amp;CHAR(34)&amp;SUBSTITUTE(CriteriTecnici!$F2138,CHAR(34),"'")&amp;CHAR(34)&amp;", "&amp;CHAR(34)&amp;"value"&amp;CHAR(34)&amp;": "&amp;SUBSTITUTE(TRIM(ROUND(IFERROR(CriteriTecnici!$N2138*1,IFERROR(NUMBERVALUE(CriteriTecnici!$N2138,".",","),IFERROR(NUMBERVALUE(CriteriTecnici!$N2138,",","."),0))),4)&amp;""),",",".")&amp;", "&amp;CHAR(34)&amp;"numerator"&amp;CHAR(34)&amp;": "&amp;SUBSTITUTE(TRIM(ROUND(IFERROR(CriteriTecnici!$K2138*1,IFERROR(NUMBERVALUE(CriteriTecnici!$K2138,".",","),IFERROR(NUMBERVALUE(CriteriTecnici!$K2138,",","."),0))),4)&amp;""),",",".")&amp;", "&amp;CHAR(34)&amp;"denominator"&amp;CHAR(34)&amp;": "&amp;SUBSTITUTE(TRIM(ROUND(IFERROR(CriteriTecnici!$L2138*1,IFERROR(NUMBERVALUE(CriteriTecnici!$L2138,".",","),IFERROR(NUMBERVALUE(CriteriTecnici!$L2138,",","."),0))),4)&amp;""),",",".")&amp;", "&amp;CHAR(34)&amp;"flag"&amp;CHAR(34)&amp;": "&amp;SUBSTITUTE(TRIM(ROUND(IFERROR(CriteriTecnici!$M2138*1,IFERROR(NUMBERVALUE(CriteriTecnici!$M2138,".",","),IFERROR(NUMBERVALUE(CriteriTecnici!$M2138,",","."),0))),4)&amp;""),",",".")&amp;", "&amp;CHAR(34)&amp;"rawScore"&amp;CHAR(34)&amp;": "&amp;SUBSTITUTE(TRIM(ROUND(IFERROR(CriteriTecnici!$O2138*1,IFERROR(NUMBERVALUE(CriteriTecnici!$O2138,".",","),IFERROR(NUMBERVALUE(CriteriTecnici!$O2138,",","."),0))),4)&amp;""),",",".")&amp;CHAR(125)&amp;IF(TRUE,",",""))</f>
        <v/>
      </c>
    </row>
    <row r="2240">
      <c r="A2240" s="82">
        <f>IF(CriteriTecnici!$A2139="","","    "&amp;CHAR(123)&amp;CHAR(34)&amp;"bidderId"&amp;CHAR(34)&amp;": "&amp;CHAR(34)&amp;SUBSTITUTE(CriteriTecnici!$A2139,CHAR(34),"'")&amp;CHAR(34)&amp;", "&amp;CHAR(34)&amp;"lotId"&amp;CHAR(34)&amp;": "&amp;CHAR(34)&amp;SUBSTITUTE(CriteriTecnici!$C2139,CHAR(34),"'")&amp;CHAR(34)&amp;", "&amp;CHAR(34)&amp;"criterionId"&amp;CHAR(34)&amp;": "&amp;CHAR(34)&amp;SUBSTITUTE(CriteriTecnici!$D2139,CHAR(34),"'")&amp;CHAR(34)&amp;", "&amp;CHAR(34)&amp;"kind"&amp;CHAR(34)&amp;": "&amp;CHAR(34)&amp;SUBSTITUTE(CriteriTecnici!$F2139,CHAR(34),"'")&amp;CHAR(34)&amp;", "&amp;CHAR(34)&amp;"value"&amp;CHAR(34)&amp;": "&amp;SUBSTITUTE(TRIM(ROUND(IFERROR(CriteriTecnici!$N2139*1,IFERROR(NUMBERVALUE(CriteriTecnici!$N2139,".",","),IFERROR(NUMBERVALUE(CriteriTecnici!$N2139,",","."),0))),4)&amp;""),",",".")&amp;", "&amp;CHAR(34)&amp;"numerator"&amp;CHAR(34)&amp;": "&amp;SUBSTITUTE(TRIM(ROUND(IFERROR(CriteriTecnici!$K2139*1,IFERROR(NUMBERVALUE(CriteriTecnici!$K2139,".",","),IFERROR(NUMBERVALUE(CriteriTecnici!$K2139,",","."),0))),4)&amp;""),",",".")&amp;", "&amp;CHAR(34)&amp;"denominator"&amp;CHAR(34)&amp;": "&amp;SUBSTITUTE(TRIM(ROUND(IFERROR(CriteriTecnici!$L2139*1,IFERROR(NUMBERVALUE(CriteriTecnici!$L2139,".",","),IFERROR(NUMBERVALUE(CriteriTecnici!$L2139,",","."),0))),4)&amp;""),",",".")&amp;", "&amp;CHAR(34)&amp;"flag"&amp;CHAR(34)&amp;": "&amp;SUBSTITUTE(TRIM(ROUND(IFERROR(CriteriTecnici!$M2139*1,IFERROR(NUMBERVALUE(CriteriTecnici!$M2139,".",","),IFERROR(NUMBERVALUE(CriteriTecnici!$M2139,",","."),0))),4)&amp;""),",",".")&amp;", "&amp;CHAR(34)&amp;"rawScore"&amp;CHAR(34)&amp;": "&amp;SUBSTITUTE(TRIM(ROUND(IFERROR(CriteriTecnici!$O2139*1,IFERROR(NUMBERVALUE(CriteriTecnici!$O2139,".",","),IFERROR(NUMBERVALUE(CriteriTecnici!$O2139,",","."),0))),4)&amp;""),",",".")&amp;CHAR(125)&amp;IF(TRUE,",",""))</f>
        <v/>
      </c>
    </row>
    <row r="2241">
      <c r="A2241" s="82">
        <f>IF(CriteriTecnici!$A2140="","","    "&amp;CHAR(123)&amp;CHAR(34)&amp;"bidderId"&amp;CHAR(34)&amp;": "&amp;CHAR(34)&amp;SUBSTITUTE(CriteriTecnici!$A2140,CHAR(34),"'")&amp;CHAR(34)&amp;", "&amp;CHAR(34)&amp;"lotId"&amp;CHAR(34)&amp;": "&amp;CHAR(34)&amp;SUBSTITUTE(CriteriTecnici!$C2140,CHAR(34),"'")&amp;CHAR(34)&amp;", "&amp;CHAR(34)&amp;"criterionId"&amp;CHAR(34)&amp;": "&amp;CHAR(34)&amp;SUBSTITUTE(CriteriTecnici!$D2140,CHAR(34),"'")&amp;CHAR(34)&amp;", "&amp;CHAR(34)&amp;"kind"&amp;CHAR(34)&amp;": "&amp;CHAR(34)&amp;SUBSTITUTE(CriteriTecnici!$F2140,CHAR(34),"'")&amp;CHAR(34)&amp;", "&amp;CHAR(34)&amp;"value"&amp;CHAR(34)&amp;": "&amp;SUBSTITUTE(TRIM(ROUND(IFERROR(CriteriTecnici!$N2140*1,IFERROR(NUMBERVALUE(CriteriTecnici!$N2140,".",","),IFERROR(NUMBERVALUE(CriteriTecnici!$N2140,",","."),0))),4)&amp;""),",",".")&amp;", "&amp;CHAR(34)&amp;"numerator"&amp;CHAR(34)&amp;": "&amp;SUBSTITUTE(TRIM(ROUND(IFERROR(CriteriTecnici!$K2140*1,IFERROR(NUMBERVALUE(CriteriTecnici!$K2140,".",","),IFERROR(NUMBERVALUE(CriteriTecnici!$K2140,",","."),0))),4)&amp;""),",",".")&amp;", "&amp;CHAR(34)&amp;"denominator"&amp;CHAR(34)&amp;": "&amp;SUBSTITUTE(TRIM(ROUND(IFERROR(CriteriTecnici!$L2140*1,IFERROR(NUMBERVALUE(CriteriTecnici!$L2140,".",","),IFERROR(NUMBERVALUE(CriteriTecnici!$L2140,",","."),0))),4)&amp;""),",",".")&amp;", "&amp;CHAR(34)&amp;"flag"&amp;CHAR(34)&amp;": "&amp;SUBSTITUTE(TRIM(ROUND(IFERROR(CriteriTecnici!$M2140*1,IFERROR(NUMBERVALUE(CriteriTecnici!$M2140,".",","),IFERROR(NUMBERVALUE(CriteriTecnici!$M2140,",","."),0))),4)&amp;""),",",".")&amp;", "&amp;CHAR(34)&amp;"rawScore"&amp;CHAR(34)&amp;": "&amp;SUBSTITUTE(TRIM(ROUND(IFERROR(CriteriTecnici!$O2140*1,IFERROR(NUMBERVALUE(CriteriTecnici!$O2140,".",","),IFERROR(NUMBERVALUE(CriteriTecnici!$O2140,",","."),0))),4)&amp;""),",",".")&amp;CHAR(125)&amp;IF(TRUE,",",""))</f>
        <v/>
      </c>
    </row>
    <row r="2242">
      <c r="A2242" s="82">
        <f>IF(CriteriTecnici!$A2141="","","    "&amp;CHAR(123)&amp;CHAR(34)&amp;"bidderId"&amp;CHAR(34)&amp;": "&amp;CHAR(34)&amp;SUBSTITUTE(CriteriTecnici!$A2141,CHAR(34),"'")&amp;CHAR(34)&amp;", "&amp;CHAR(34)&amp;"lotId"&amp;CHAR(34)&amp;": "&amp;CHAR(34)&amp;SUBSTITUTE(CriteriTecnici!$C2141,CHAR(34),"'")&amp;CHAR(34)&amp;", "&amp;CHAR(34)&amp;"criterionId"&amp;CHAR(34)&amp;": "&amp;CHAR(34)&amp;SUBSTITUTE(CriteriTecnici!$D2141,CHAR(34),"'")&amp;CHAR(34)&amp;", "&amp;CHAR(34)&amp;"kind"&amp;CHAR(34)&amp;": "&amp;CHAR(34)&amp;SUBSTITUTE(CriteriTecnici!$F2141,CHAR(34),"'")&amp;CHAR(34)&amp;", "&amp;CHAR(34)&amp;"value"&amp;CHAR(34)&amp;": "&amp;SUBSTITUTE(TRIM(ROUND(IFERROR(CriteriTecnici!$N2141*1,IFERROR(NUMBERVALUE(CriteriTecnici!$N2141,".",","),IFERROR(NUMBERVALUE(CriteriTecnici!$N2141,",","."),0))),4)&amp;""),",",".")&amp;", "&amp;CHAR(34)&amp;"numerator"&amp;CHAR(34)&amp;": "&amp;SUBSTITUTE(TRIM(ROUND(IFERROR(CriteriTecnici!$K2141*1,IFERROR(NUMBERVALUE(CriteriTecnici!$K2141,".",","),IFERROR(NUMBERVALUE(CriteriTecnici!$K2141,",","."),0))),4)&amp;""),",",".")&amp;", "&amp;CHAR(34)&amp;"denominator"&amp;CHAR(34)&amp;": "&amp;SUBSTITUTE(TRIM(ROUND(IFERROR(CriteriTecnici!$L2141*1,IFERROR(NUMBERVALUE(CriteriTecnici!$L2141,".",","),IFERROR(NUMBERVALUE(CriteriTecnici!$L2141,",","."),0))),4)&amp;""),",",".")&amp;", "&amp;CHAR(34)&amp;"flag"&amp;CHAR(34)&amp;": "&amp;SUBSTITUTE(TRIM(ROUND(IFERROR(CriteriTecnici!$M2141*1,IFERROR(NUMBERVALUE(CriteriTecnici!$M2141,".",","),IFERROR(NUMBERVALUE(CriteriTecnici!$M2141,",","."),0))),4)&amp;""),",",".")&amp;", "&amp;CHAR(34)&amp;"rawScore"&amp;CHAR(34)&amp;": "&amp;SUBSTITUTE(TRIM(ROUND(IFERROR(CriteriTecnici!$O2141*1,IFERROR(NUMBERVALUE(CriteriTecnici!$O2141,".",","),IFERROR(NUMBERVALUE(CriteriTecnici!$O2141,",","."),0))),4)&amp;""),",",".")&amp;CHAR(125)&amp;IF(TRUE,",",""))</f>
        <v/>
      </c>
    </row>
    <row r="2243">
      <c r="A2243" s="82">
        <f>IF(CriteriTecnici!$A2142="","","    "&amp;CHAR(123)&amp;CHAR(34)&amp;"bidderId"&amp;CHAR(34)&amp;": "&amp;CHAR(34)&amp;SUBSTITUTE(CriteriTecnici!$A2142,CHAR(34),"'")&amp;CHAR(34)&amp;", "&amp;CHAR(34)&amp;"lotId"&amp;CHAR(34)&amp;": "&amp;CHAR(34)&amp;SUBSTITUTE(CriteriTecnici!$C2142,CHAR(34),"'")&amp;CHAR(34)&amp;", "&amp;CHAR(34)&amp;"criterionId"&amp;CHAR(34)&amp;": "&amp;CHAR(34)&amp;SUBSTITUTE(CriteriTecnici!$D2142,CHAR(34),"'")&amp;CHAR(34)&amp;", "&amp;CHAR(34)&amp;"kind"&amp;CHAR(34)&amp;": "&amp;CHAR(34)&amp;SUBSTITUTE(CriteriTecnici!$F2142,CHAR(34),"'")&amp;CHAR(34)&amp;", "&amp;CHAR(34)&amp;"value"&amp;CHAR(34)&amp;": "&amp;SUBSTITUTE(TRIM(ROUND(IFERROR(CriteriTecnici!$N2142*1,IFERROR(NUMBERVALUE(CriteriTecnici!$N2142,".",","),IFERROR(NUMBERVALUE(CriteriTecnici!$N2142,",","."),0))),4)&amp;""),",",".")&amp;", "&amp;CHAR(34)&amp;"numerator"&amp;CHAR(34)&amp;": "&amp;SUBSTITUTE(TRIM(ROUND(IFERROR(CriteriTecnici!$K2142*1,IFERROR(NUMBERVALUE(CriteriTecnici!$K2142,".",","),IFERROR(NUMBERVALUE(CriteriTecnici!$K2142,",","."),0))),4)&amp;""),",",".")&amp;", "&amp;CHAR(34)&amp;"denominator"&amp;CHAR(34)&amp;": "&amp;SUBSTITUTE(TRIM(ROUND(IFERROR(CriteriTecnici!$L2142*1,IFERROR(NUMBERVALUE(CriteriTecnici!$L2142,".",","),IFERROR(NUMBERVALUE(CriteriTecnici!$L2142,",","."),0))),4)&amp;""),",",".")&amp;", "&amp;CHAR(34)&amp;"flag"&amp;CHAR(34)&amp;": "&amp;SUBSTITUTE(TRIM(ROUND(IFERROR(CriteriTecnici!$M2142*1,IFERROR(NUMBERVALUE(CriteriTecnici!$M2142,".",","),IFERROR(NUMBERVALUE(CriteriTecnici!$M2142,",","."),0))),4)&amp;""),",",".")&amp;", "&amp;CHAR(34)&amp;"rawScore"&amp;CHAR(34)&amp;": "&amp;SUBSTITUTE(TRIM(ROUND(IFERROR(CriteriTecnici!$O2142*1,IFERROR(NUMBERVALUE(CriteriTecnici!$O2142,".",","),IFERROR(NUMBERVALUE(CriteriTecnici!$O2142,",","."),0))),4)&amp;""),",",".")&amp;CHAR(125)&amp;IF(TRUE,",",""))</f>
        <v/>
      </c>
    </row>
    <row r="2244">
      <c r="A2244" s="82">
        <f>IF(CriteriTecnici!$A2143="","","    "&amp;CHAR(123)&amp;CHAR(34)&amp;"bidderId"&amp;CHAR(34)&amp;": "&amp;CHAR(34)&amp;SUBSTITUTE(CriteriTecnici!$A2143,CHAR(34),"'")&amp;CHAR(34)&amp;", "&amp;CHAR(34)&amp;"lotId"&amp;CHAR(34)&amp;": "&amp;CHAR(34)&amp;SUBSTITUTE(CriteriTecnici!$C2143,CHAR(34),"'")&amp;CHAR(34)&amp;", "&amp;CHAR(34)&amp;"criterionId"&amp;CHAR(34)&amp;": "&amp;CHAR(34)&amp;SUBSTITUTE(CriteriTecnici!$D2143,CHAR(34),"'")&amp;CHAR(34)&amp;", "&amp;CHAR(34)&amp;"kind"&amp;CHAR(34)&amp;": "&amp;CHAR(34)&amp;SUBSTITUTE(CriteriTecnici!$F2143,CHAR(34),"'")&amp;CHAR(34)&amp;", "&amp;CHAR(34)&amp;"value"&amp;CHAR(34)&amp;": "&amp;SUBSTITUTE(TRIM(ROUND(IFERROR(CriteriTecnici!$N2143*1,IFERROR(NUMBERVALUE(CriteriTecnici!$N2143,".",","),IFERROR(NUMBERVALUE(CriteriTecnici!$N2143,",","."),0))),4)&amp;""),",",".")&amp;", "&amp;CHAR(34)&amp;"numerator"&amp;CHAR(34)&amp;": "&amp;SUBSTITUTE(TRIM(ROUND(IFERROR(CriteriTecnici!$K2143*1,IFERROR(NUMBERVALUE(CriteriTecnici!$K2143,".",","),IFERROR(NUMBERVALUE(CriteriTecnici!$K2143,",","."),0))),4)&amp;""),",",".")&amp;", "&amp;CHAR(34)&amp;"denominator"&amp;CHAR(34)&amp;": "&amp;SUBSTITUTE(TRIM(ROUND(IFERROR(CriteriTecnici!$L2143*1,IFERROR(NUMBERVALUE(CriteriTecnici!$L2143,".",","),IFERROR(NUMBERVALUE(CriteriTecnici!$L2143,",","."),0))),4)&amp;""),",",".")&amp;", "&amp;CHAR(34)&amp;"flag"&amp;CHAR(34)&amp;": "&amp;SUBSTITUTE(TRIM(ROUND(IFERROR(CriteriTecnici!$M2143*1,IFERROR(NUMBERVALUE(CriteriTecnici!$M2143,".",","),IFERROR(NUMBERVALUE(CriteriTecnici!$M2143,",","."),0))),4)&amp;""),",",".")&amp;", "&amp;CHAR(34)&amp;"rawScore"&amp;CHAR(34)&amp;": "&amp;SUBSTITUTE(TRIM(ROUND(IFERROR(CriteriTecnici!$O2143*1,IFERROR(NUMBERVALUE(CriteriTecnici!$O2143,".",","),IFERROR(NUMBERVALUE(CriteriTecnici!$O2143,",","."),0))),4)&amp;""),",",".")&amp;CHAR(125)&amp;IF(COUNTA(Offerte!$A71:$A$81)&gt;0,",",""))</f>
        <v/>
      </c>
    </row>
    <row r="2245">
      <c r="A2245" s="82">
        <f>IF(CriteriTecnici!$A2144="","","    "&amp;CHAR(123)&amp;CHAR(34)&amp;"bidderId"&amp;CHAR(34)&amp;": "&amp;CHAR(34)&amp;SUBSTITUTE(CriteriTecnici!$A2144,CHAR(34),"'")&amp;CHAR(34)&amp;", "&amp;CHAR(34)&amp;"lotId"&amp;CHAR(34)&amp;": "&amp;CHAR(34)&amp;SUBSTITUTE(CriteriTecnici!$C2144,CHAR(34),"'")&amp;CHAR(34)&amp;", "&amp;CHAR(34)&amp;"criterionId"&amp;CHAR(34)&amp;": "&amp;CHAR(34)&amp;SUBSTITUTE(CriteriTecnici!$D2144,CHAR(34),"'")&amp;CHAR(34)&amp;", "&amp;CHAR(34)&amp;"kind"&amp;CHAR(34)&amp;": "&amp;CHAR(34)&amp;SUBSTITUTE(CriteriTecnici!$F2144,CHAR(34),"'")&amp;CHAR(34)&amp;", "&amp;CHAR(34)&amp;"value"&amp;CHAR(34)&amp;": "&amp;SUBSTITUTE(TRIM(ROUND(IFERROR(CriteriTecnici!$N2144*1,IFERROR(NUMBERVALUE(CriteriTecnici!$N2144,".",","),IFERROR(NUMBERVALUE(CriteriTecnici!$N2144,",","."),0))),4)&amp;""),",",".")&amp;", "&amp;CHAR(34)&amp;"numerator"&amp;CHAR(34)&amp;": "&amp;SUBSTITUTE(TRIM(ROUND(IFERROR(CriteriTecnici!$K2144*1,IFERROR(NUMBERVALUE(CriteriTecnici!$K2144,".",","),IFERROR(NUMBERVALUE(CriteriTecnici!$K2144,",","."),0))),4)&amp;""),",",".")&amp;", "&amp;CHAR(34)&amp;"denominator"&amp;CHAR(34)&amp;": "&amp;SUBSTITUTE(TRIM(ROUND(IFERROR(CriteriTecnici!$L2144*1,IFERROR(NUMBERVALUE(CriteriTecnici!$L2144,".",","),IFERROR(NUMBERVALUE(CriteriTecnici!$L2144,",","."),0))),4)&amp;""),",",".")&amp;", "&amp;CHAR(34)&amp;"flag"&amp;CHAR(34)&amp;": "&amp;SUBSTITUTE(TRIM(ROUND(IFERROR(CriteriTecnici!$M2144*1,IFERROR(NUMBERVALUE(CriteriTecnici!$M2144,".",","),IFERROR(NUMBERVALUE(CriteriTecnici!$M2144,",","."),0))),4)&amp;""),",",".")&amp;", "&amp;CHAR(34)&amp;"rawScore"&amp;CHAR(34)&amp;": "&amp;SUBSTITUTE(TRIM(ROUND(IFERROR(CriteriTecnici!$O2144*1,IFERROR(NUMBERVALUE(CriteriTecnici!$O2144,".",","),IFERROR(NUMBERVALUE(CriteriTecnici!$O2144,",","."),0))),4)&amp;""),",",".")&amp;CHAR(125)&amp;IF(TRUE,",",""))</f>
        <v/>
      </c>
    </row>
    <row r="2246">
      <c r="A2246" s="82">
        <f>IF(CriteriTecnici!$A2145="","","    "&amp;CHAR(123)&amp;CHAR(34)&amp;"bidderId"&amp;CHAR(34)&amp;": "&amp;CHAR(34)&amp;SUBSTITUTE(CriteriTecnici!$A2145,CHAR(34),"'")&amp;CHAR(34)&amp;", "&amp;CHAR(34)&amp;"lotId"&amp;CHAR(34)&amp;": "&amp;CHAR(34)&amp;SUBSTITUTE(CriteriTecnici!$C2145,CHAR(34),"'")&amp;CHAR(34)&amp;", "&amp;CHAR(34)&amp;"criterionId"&amp;CHAR(34)&amp;": "&amp;CHAR(34)&amp;SUBSTITUTE(CriteriTecnici!$D2145,CHAR(34),"'")&amp;CHAR(34)&amp;", "&amp;CHAR(34)&amp;"kind"&amp;CHAR(34)&amp;": "&amp;CHAR(34)&amp;SUBSTITUTE(CriteriTecnici!$F2145,CHAR(34),"'")&amp;CHAR(34)&amp;", "&amp;CHAR(34)&amp;"value"&amp;CHAR(34)&amp;": "&amp;SUBSTITUTE(TRIM(ROUND(IFERROR(CriteriTecnici!$N2145*1,IFERROR(NUMBERVALUE(CriteriTecnici!$N2145,".",","),IFERROR(NUMBERVALUE(CriteriTecnici!$N2145,",","."),0))),4)&amp;""),",",".")&amp;", "&amp;CHAR(34)&amp;"numerator"&amp;CHAR(34)&amp;": "&amp;SUBSTITUTE(TRIM(ROUND(IFERROR(CriteriTecnici!$K2145*1,IFERROR(NUMBERVALUE(CriteriTecnici!$K2145,".",","),IFERROR(NUMBERVALUE(CriteriTecnici!$K2145,",","."),0))),4)&amp;""),",",".")&amp;", "&amp;CHAR(34)&amp;"denominator"&amp;CHAR(34)&amp;": "&amp;SUBSTITUTE(TRIM(ROUND(IFERROR(CriteriTecnici!$L2145*1,IFERROR(NUMBERVALUE(CriteriTecnici!$L2145,".",","),IFERROR(NUMBERVALUE(CriteriTecnici!$L2145,",","."),0))),4)&amp;""),",",".")&amp;", "&amp;CHAR(34)&amp;"flag"&amp;CHAR(34)&amp;": "&amp;SUBSTITUTE(TRIM(ROUND(IFERROR(CriteriTecnici!$M2145*1,IFERROR(NUMBERVALUE(CriteriTecnici!$M2145,".",","),IFERROR(NUMBERVALUE(CriteriTecnici!$M2145,",","."),0))),4)&amp;""),",",".")&amp;", "&amp;CHAR(34)&amp;"rawScore"&amp;CHAR(34)&amp;": "&amp;SUBSTITUTE(TRIM(ROUND(IFERROR(CriteriTecnici!$O2145*1,IFERROR(NUMBERVALUE(CriteriTecnici!$O2145,".",","),IFERROR(NUMBERVALUE(CriteriTecnici!$O2145,",","."),0))),4)&amp;""),",",".")&amp;CHAR(125)&amp;IF(TRUE,",",""))</f>
        <v/>
      </c>
    </row>
    <row r="2247">
      <c r="A2247" s="82">
        <f>IF(CriteriTecnici!$A2146="","","    "&amp;CHAR(123)&amp;CHAR(34)&amp;"bidderId"&amp;CHAR(34)&amp;": "&amp;CHAR(34)&amp;SUBSTITUTE(CriteriTecnici!$A2146,CHAR(34),"'")&amp;CHAR(34)&amp;", "&amp;CHAR(34)&amp;"lotId"&amp;CHAR(34)&amp;": "&amp;CHAR(34)&amp;SUBSTITUTE(CriteriTecnici!$C2146,CHAR(34),"'")&amp;CHAR(34)&amp;", "&amp;CHAR(34)&amp;"criterionId"&amp;CHAR(34)&amp;": "&amp;CHAR(34)&amp;SUBSTITUTE(CriteriTecnici!$D2146,CHAR(34),"'")&amp;CHAR(34)&amp;", "&amp;CHAR(34)&amp;"kind"&amp;CHAR(34)&amp;": "&amp;CHAR(34)&amp;SUBSTITUTE(CriteriTecnici!$F2146,CHAR(34),"'")&amp;CHAR(34)&amp;", "&amp;CHAR(34)&amp;"value"&amp;CHAR(34)&amp;": "&amp;SUBSTITUTE(TRIM(ROUND(IFERROR(CriteriTecnici!$N2146*1,IFERROR(NUMBERVALUE(CriteriTecnici!$N2146,".",","),IFERROR(NUMBERVALUE(CriteriTecnici!$N2146,",","."),0))),4)&amp;""),",",".")&amp;", "&amp;CHAR(34)&amp;"numerator"&amp;CHAR(34)&amp;": "&amp;SUBSTITUTE(TRIM(ROUND(IFERROR(CriteriTecnici!$K2146*1,IFERROR(NUMBERVALUE(CriteriTecnici!$K2146,".",","),IFERROR(NUMBERVALUE(CriteriTecnici!$K2146,",","."),0))),4)&amp;""),",",".")&amp;", "&amp;CHAR(34)&amp;"denominator"&amp;CHAR(34)&amp;": "&amp;SUBSTITUTE(TRIM(ROUND(IFERROR(CriteriTecnici!$L2146*1,IFERROR(NUMBERVALUE(CriteriTecnici!$L2146,".",","),IFERROR(NUMBERVALUE(CriteriTecnici!$L2146,",","."),0))),4)&amp;""),",",".")&amp;", "&amp;CHAR(34)&amp;"flag"&amp;CHAR(34)&amp;": "&amp;SUBSTITUTE(TRIM(ROUND(IFERROR(CriteriTecnici!$M2146*1,IFERROR(NUMBERVALUE(CriteriTecnici!$M2146,".",","),IFERROR(NUMBERVALUE(CriteriTecnici!$M2146,",","."),0))),4)&amp;""),",",".")&amp;", "&amp;CHAR(34)&amp;"rawScore"&amp;CHAR(34)&amp;": "&amp;SUBSTITUTE(TRIM(ROUND(IFERROR(CriteriTecnici!$O2146*1,IFERROR(NUMBERVALUE(CriteriTecnici!$O2146,".",","),IFERROR(NUMBERVALUE(CriteriTecnici!$O2146,",","."),0))),4)&amp;""),",",".")&amp;CHAR(125)&amp;IF(TRUE,",",""))</f>
        <v/>
      </c>
    </row>
    <row r="2248">
      <c r="A2248" s="82">
        <f>IF(CriteriTecnici!$A2147="","","    "&amp;CHAR(123)&amp;CHAR(34)&amp;"bidderId"&amp;CHAR(34)&amp;": "&amp;CHAR(34)&amp;SUBSTITUTE(CriteriTecnici!$A2147,CHAR(34),"'")&amp;CHAR(34)&amp;", "&amp;CHAR(34)&amp;"lotId"&amp;CHAR(34)&amp;": "&amp;CHAR(34)&amp;SUBSTITUTE(CriteriTecnici!$C2147,CHAR(34),"'")&amp;CHAR(34)&amp;", "&amp;CHAR(34)&amp;"criterionId"&amp;CHAR(34)&amp;": "&amp;CHAR(34)&amp;SUBSTITUTE(CriteriTecnici!$D2147,CHAR(34),"'")&amp;CHAR(34)&amp;", "&amp;CHAR(34)&amp;"kind"&amp;CHAR(34)&amp;": "&amp;CHAR(34)&amp;SUBSTITUTE(CriteriTecnici!$F2147,CHAR(34),"'")&amp;CHAR(34)&amp;", "&amp;CHAR(34)&amp;"value"&amp;CHAR(34)&amp;": "&amp;SUBSTITUTE(TRIM(ROUND(IFERROR(CriteriTecnici!$N2147*1,IFERROR(NUMBERVALUE(CriteriTecnici!$N2147,".",","),IFERROR(NUMBERVALUE(CriteriTecnici!$N2147,",","."),0))),4)&amp;""),",",".")&amp;", "&amp;CHAR(34)&amp;"numerator"&amp;CHAR(34)&amp;": "&amp;SUBSTITUTE(TRIM(ROUND(IFERROR(CriteriTecnici!$K2147*1,IFERROR(NUMBERVALUE(CriteriTecnici!$K2147,".",","),IFERROR(NUMBERVALUE(CriteriTecnici!$K2147,",","."),0))),4)&amp;""),",",".")&amp;", "&amp;CHAR(34)&amp;"denominator"&amp;CHAR(34)&amp;": "&amp;SUBSTITUTE(TRIM(ROUND(IFERROR(CriteriTecnici!$L2147*1,IFERROR(NUMBERVALUE(CriteriTecnici!$L2147,".",","),IFERROR(NUMBERVALUE(CriteriTecnici!$L2147,",","."),0))),4)&amp;""),",",".")&amp;", "&amp;CHAR(34)&amp;"flag"&amp;CHAR(34)&amp;": "&amp;SUBSTITUTE(TRIM(ROUND(IFERROR(CriteriTecnici!$M2147*1,IFERROR(NUMBERVALUE(CriteriTecnici!$M2147,".",","),IFERROR(NUMBERVALUE(CriteriTecnici!$M2147,",","."),0))),4)&amp;""),",",".")&amp;", "&amp;CHAR(34)&amp;"rawScore"&amp;CHAR(34)&amp;": "&amp;SUBSTITUTE(TRIM(ROUND(IFERROR(CriteriTecnici!$O2147*1,IFERROR(NUMBERVALUE(CriteriTecnici!$O2147,".",","),IFERROR(NUMBERVALUE(CriteriTecnici!$O2147,",","."),0))),4)&amp;""),",",".")&amp;CHAR(125)&amp;IF(TRUE,",",""))</f>
        <v/>
      </c>
    </row>
    <row r="2249">
      <c r="A2249" s="82">
        <f>IF(CriteriTecnici!$A2148="","","    "&amp;CHAR(123)&amp;CHAR(34)&amp;"bidderId"&amp;CHAR(34)&amp;": "&amp;CHAR(34)&amp;SUBSTITUTE(CriteriTecnici!$A2148,CHAR(34),"'")&amp;CHAR(34)&amp;", "&amp;CHAR(34)&amp;"lotId"&amp;CHAR(34)&amp;": "&amp;CHAR(34)&amp;SUBSTITUTE(CriteriTecnici!$C2148,CHAR(34),"'")&amp;CHAR(34)&amp;", "&amp;CHAR(34)&amp;"criterionId"&amp;CHAR(34)&amp;": "&amp;CHAR(34)&amp;SUBSTITUTE(CriteriTecnici!$D2148,CHAR(34),"'")&amp;CHAR(34)&amp;", "&amp;CHAR(34)&amp;"kind"&amp;CHAR(34)&amp;": "&amp;CHAR(34)&amp;SUBSTITUTE(CriteriTecnici!$F2148,CHAR(34),"'")&amp;CHAR(34)&amp;", "&amp;CHAR(34)&amp;"value"&amp;CHAR(34)&amp;": "&amp;SUBSTITUTE(TRIM(ROUND(IFERROR(CriteriTecnici!$N2148*1,IFERROR(NUMBERVALUE(CriteriTecnici!$N2148,".",","),IFERROR(NUMBERVALUE(CriteriTecnici!$N2148,",","."),0))),4)&amp;""),",",".")&amp;", "&amp;CHAR(34)&amp;"numerator"&amp;CHAR(34)&amp;": "&amp;SUBSTITUTE(TRIM(ROUND(IFERROR(CriteriTecnici!$K2148*1,IFERROR(NUMBERVALUE(CriteriTecnici!$K2148,".",","),IFERROR(NUMBERVALUE(CriteriTecnici!$K2148,",","."),0))),4)&amp;""),",",".")&amp;", "&amp;CHAR(34)&amp;"denominator"&amp;CHAR(34)&amp;": "&amp;SUBSTITUTE(TRIM(ROUND(IFERROR(CriteriTecnici!$L2148*1,IFERROR(NUMBERVALUE(CriteriTecnici!$L2148,".",","),IFERROR(NUMBERVALUE(CriteriTecnici!$L2148,",","."),0))),4)&amp;""),",",".")&amp;", "&amp;CHAR(34)&amp;"flag"&amp;CHAR(34)&amp;": "&amp;SUBSTITUTE(TRIM(ROUND(IFERROR(CriteriTecnici!$M2148*1,IFERROR(NUMBERVALUE(CriteriTecnici!$M2148,".",","),IFERROR(NUMBERVALUE(CriteriTecnici!$M2148,",","."),0))),4)&amp;""),",",".")&amp;", "&amp;CHAR(34)&amp;"rawScore"&amp;CHAR(34)&amp;": "&amp;SUBSTITUTE(TRIM(ROUND(IFERROR(CriteriTecnici!$O2148*1,IFERROR(NUMBERVALUE(CriteriTecnici!$O2148,".",","),IFERROR(NUMBERVALUE(CriteriTecnici!$O2148,",","."),0))),4)&amp;""),",",".")&amp;CHAR(125)&amp;IF(TRUE,",",""))</f>
        <v/>
      </c>
    </row>
    <row r="2250">
      <c r="A2250" s="82">
        <f>IF(CriteriTecnici!$A2149="","","    "&amp;CHAR(123)&amp;CHAR(34)&amp;"bidderId"&amp;CHAR(34)&amp;": "&amp;CHAR(34)&amp;SUBSTITUTE(CriteriTecnici!$A2149,CHAR(34),"'")&amp;CHAR(34)&amp;", "&amp;CHAR(34)&amp;"lotId"&amp;CHAR(34)&amp;": "&amp;CHAR(34)&amp;SUBSTITUTE(CriteriTecnici!$C2149,CHAR(34),"'")&amp;CHAR(34)&amp;", "&amp;CHAR(34)&amp;"criterionId"&amp;CHAR(34)&amp;": "&amp;CHAR(34)&amp;SUBSTITUTE(CriteriTecnici!$D2149,CHAR(34),"'")&amp;CHAR(34)&amp;", "&amp;CHAR(34)&amp;"kind"&amp;CHAR(34)&amp;": "&amp;CHAR(34)&amp;SUBSTITUTE(CriteriTecnici!$F2149,CHAR(34),"'")&amp;CHAR(34)&amp;", "&amp;CHAR(34)&amp;"value"&amp;CHAR(34)&amp;": "&amp;SUBSTITUTE(TRIM(ROUND(IFERROR(CriteriTecnici!$N2149*1,IFERROR(NUMBERVALUE(CriteriTecnici!$N2149,".",","),IFERROR(NUMBERVALUE(CriteriTecnici!$N2149,",","."),0))),4)&amp;""),",",".")&amp;", "&amp;CHAR(34)&amp;"numerator"&amp;CHAR(34)&amp;": "&amp;SUBSTITUTE(TRIM(ROUND(IFERROR(CriteriTecnici!$K2149*1,IFERROR(NUMBERVALUE(CriteriTecnici!$K2149,".",","),IFERROR(NUMBERVALUE(CriteriTecnici!$K2149,",","."),0))),4)&amp;""),",",".")&amp;", "&amp;CHAR(34)&amp;"denominator"&amp;CHAR(34)&amp;": "&amp;SUBSTITUTE(TRIM(ROUND(IFERROR(CriteriTecnici!$L2149*1,IFERROR(NUMBERVALUE(CriteriTecnici!$L2149,".",","),IFERROR(NUMBERVALUE(CriteriTecnici!$L2149,",","."),0))),4)&amp;""),",",".")&amp;", "&amp;CHAR(34)&amp;"flag"&amp;CHAR(34)&amp;": "&amp;SUBSTITUTE(TRIM(ROUND(IFERROR(CriteriTecnici!$M2149*1,IFERROR(NUMBERVALUE(CriteriTecnici!$M2149,".",","),IFERROR(NUMBERVALUE(CriteriTecnici!$M2149,",","."),0))),4)&amp;""),",",".")&amp;", "&amp;CHAR(34)&amp;"rawScore"&amp;CHAR(34)&amp;": "&amp;SUBSTITUTE(TRIM(ROUND(IFERROR(CriteriTecnici!$O2149*1,IFERROR(NUMBERVALUE(CriteriTecnici!$O2149,".",","),IFERROR(NUMBERVALUE(CriteriTecnici!$O2149,",","."),0))),4)&amp;""),",",".")&amp;CHAR(125)&amp;IF(TRUE,",",""))</f>
        <v/>
      </c>
    </row>
    <row r="2251">
      <c r="A2251" s="82">
        <f>IF(CriteriTecnici!$A2150="","","    "&amp;CHAR(123)&amp;CHAR(34)&amp;"bidderId"&amp;CHAR(34)&amp;": "&amp;CHAR(34)&amp;SUBSTITUTE(CriteriTecnici!$A2150,CHAR(34),"'")&amp;CHAR(34)&amp;", "&amp;CHAR(34)&amp;"lotId"&amp;CHAR(34)&amp;": "&amp;CHAR(34)&amp;SUBSTITUTE(CriteriTecnici!$C2150,CHAR(34),"'")&amp;CHAR(34)&amp;", "&amp;CHAR(34)&amp;"criterionId"&amp;CHAR(34)&amp;": "&amp;CHAR(34)&amp;SUBSTITUTE(CriteriTecnici!$D2150,CHAR(34),"'")&amp;CHAR(34)&amp;", "&amp;CHAR(34)&amp;"kind"&amp;CHAR(34)&amp;": "&amp;CHAR(34)&amp;SUBSTITUTE(CriteriTecnici!$F2150,CHAR(34),"'")&amp;CHAR(34)&amp;", "&amp;CHAR(34)&amp;"value"&amp;CHAR(34)&amp;": "&amp;SUBSTITUTE(TRIM(ROUND(IFERROR(CriteriTecnici!$N2150*1,IFERROR(NUMBERVALUE(CriteriTecnici!$N2150,".",","),IFERROR(NUMBERVALUE(CriteriTecnici!$N2150,",","."),0))),4)&amp;""),",",".")&amp;", "&amp;CHAR(34)&amp;"numerator"&amp;CHAR(34)&amp;": "&amp;SUBSTITUTE(TRIM(ROUND(IFERROR(CriteriTecnici!$K2150*1,IFERROR(NUMBERVALUE(CriteriTecnici!$K2150,".",","),IFERROR(NUMBERVALUE(CriteriTecnici!$K2150,",","."),0))),4)&amp;""),",",".")&amp;", "&amp;CHAR(34)&amp;"denominator"&amp;CHAR(34)&amp;": "&amp;SUBSTITUTE(TRIM(ROUND(IFERROR(CriteriTecnici!$L2150*1,IFERROR(NUMBERVALUE(CriteriTecnici!$L2150,".",","),IFERROR(NUMBERVALUE(CriteriTecnici!$L2150,",","."),0))),4)&amp;""),",",".")&amp;", "&amp;CHAR(34)&amp;"flag"&amp;CHAR(34)&amp;": "&amp;SUBSTITUTE(TRIM(ROUND(IFERROR(CriteriTecnici!$M2150*1,IFERROR(NUMBERVALUE(CriteriTecnici!$M2150,".",","),IFERROR(NUMBERVALUE(CriteriTecnici!$M2150,",","."),0))),4)&amp;""),",",".")&amp;", "&amp;CHAR(34)&amp;"rawScore"&amp;CHAR(34)&amp;": "&amp;SUBSTITUTE(TRIM(ROUND(IFERROR(CriteriTecnici!$O2150*1,IFERROR(NUMBERVALUE(CriteriTecnici!$O2150,".",","),IFERROR(NUMBERVALUE(CriteriTecnici!$O2150,",","."),0))),4)&amp;""),",",".")&amp;CHAR(125)&amp;IF(TRUE,",",""))</f>
        <v/>
      </c>
    </row>
    <row r="2252">
      <c r="A2252" s="82">
        <f>IF(CriteriTecnici!$A2151="","","    "&amp;CHAR(123)&amp;CHAR(34)&amp;"bidderId"&amp;CHAR(34)&amp;": "&amp;CHAR(34)&amp;SUBSTITUTE(CriteriTecnici!$A2151,CHAR(34),"'")&amp;CHAR(34)&amp;", "&amp;CHAR(34)&amp;"lotId"&amp;CHAR(34)&amp;": "&amp;CHAR(34)&amp;SUBSTITUTE(CriteriTecnici!$C2151,CHAR(34),"'")&amp;CHAR(34)&amp;", "&amp;CHAR(34)&amp;"criterionId"&amp;CHAR(34)&amp;": "&amp;CHAR(34)&amp;SUBSTITUTE(CriteriTecnici!$D2151,CHAR(34),"'")&amp;CHAR(34)&amp;", "&amp;CHAR(34)&amp;"kind"&amp;CHAR(34)&amp;": "&amp;CHAR(34)&amp;SUBSTITUTE(CriteriTecnici!$F2151,CHAR(34),"'")&amp;CHAR(34)&amp;", "&amp;CHAR(34)&amp;"value"&amp;CHAR(34)&amp;": "&amp;SUBSTITUTE(TRIM(ROUND(IFERROR(CriteriTecnici!$N2151*1,IFERROR(NUMBERVALUE(CriteriTecnici!$N2151,".",","),IFERROR(NUMBERVALUE(CriteriTecnici!$N2151,",","."),0))),4)&amp;""),",",".")&amp;", "&amp;CHAR(34)&amp;"numerator"&amp;CHAR(34)&amp;": "&amp;SUBSTITUTE(TRIM(ROUND(IFERROR(CriteriTecnici!$K2151*1,IFERROR(NUMBERVALUE(CriteriTecnici!$K2151,".",","),IFERROR(NUMBERVALUE(CriteriTecnici!$K2151,",","."),0))),4)&amp;""),",",".")&amp;", "&amp;CHAR(34)&amp;"denominator"&amp;CHAR(34)&amp;": "&amp;SUBSTITUTE(TRIM(ROUND(IFERROR(CriteriTecnici!$L2151*1,IFERROR(NUMBERVALUE(CriteriTecnici!$L2151,".",","),IFERROR(NUMBERVALUE(CriteriTecnici!$L2151,",","."),0))),4)&amp;""),",",".")&amp;", "&amp;CHAR(34)&amp;"flag"&amp;CHAR(34)&amp;": "&amp;SUBSTITUTE(TRIM(ROUND(IFERROR(CriteriTecnici!$M2151*1,IFERROR(NUMBERVALUE(CriteriTecnici!$M2151,".",","),IFERROR(NUMBERVALUE(CriteriTecnici!$M2151,",","."),0))),4)&amp;""),",",".")&amp;", "&amp;CHAR(34)&amp;"rawScore"&amp;CHAR(34)&amp;": "&amp;SUBSTITUTE(TRIM(ROUND(IFERROR(CriteriTecnici!$O2151*1,IFERROR(NUMBERVALUE(CriteriTecnici!$O2151,".",","),IFERROR(NUMBERVALUE(CriteriTecnici!$O2151,",","."),0))),4)&amp;""),",",".")&amp;CHAR(125)&amp;IF(TRUE,",",""))</f>
        <v/>
      </c>
    </row>
    <row r="2253">
      <c r="A2253" s="82">
        <f>IF(CriteriTecnici!$A2152="","","    "&amp;CHAR(123)&amp;CHAR(34)&amp;"bidderId"&amp;CHAR(34)&amp;": "&amp;CHAR(34)&amp;SUBSTITUTE(CriteriTecnici!$A2152,CHAR(34),"'")&amp;CHAR(34)&amp;", "&amp;CHAR(34)&amp;"lotId"&amp;CHAR(34)&amp;": "&amp;CHAR(34)&amp;SUBSTITUTE(CriteriTecnici!$C2152,CHAR(34),"'")&amp;CHAR(34)&amp;", "&amp;CHAR(34)&amp;"criterionId"&amp;CHAR(34)&amp;": "&amp;CHAR(34)&amp;SUBSTITUTE(CriteriTecnici!$D2152,CHAR(34),"'")&amp;CHAR(34)&amp;", "&amp;CHAR(34)&amp;"kind"&amp;CHAR(34)&amp;": "&amp;CHAR(34)&amp;SUBSTITUTE(CriteriTecnici!$F2152,CHAR(34),"'")&amp;CHAR(34)&amp;", "&amp;CHAR(34)&amp;"value"&amp;CHAR(34)&amp;": "&amp;SUBSTITUTE(TRIM(ROUND(IFERROR(CriteriTecnici!$N2152*1,IFERROR(NUMBERVALUE(CriteriTecnici!$N2152,".",","),IFERROR(NUMBERVALUE(CriteriTecnici!$N2152,",","."),0))),4)&amp;""),",",".")&amp;", "&amp;CHAR(34)&amp;"numerator"&amp;CHAR(34)&amp;": "&amp;SUBSTITUTE(TRIM(ROUND(IFERROR(CriteriTecnici!$K2152*1,IFERROR(NUMBERVALUE(CriteriTecnici!$K2152,".",","),IFERROR(NUMBERVALUE(CriteriTecnici!$K2152,",","."),0))),4)&amp;""),",",".")&amp;", "&amp;CHAR(34)&amp;"denominator"&amp;CHAR(34)&amp;": "&amp;SUBSTITUTE(TRIM(ROUND(IFERROR(CriteriTecnici!$L2152*1,IFERROR(NUMBERVALUE(CriteriTecnici!$L2152,".",","),IFERROR(NUMBERVALUE(CriteriTecnici!$L2152,",","."),0))),4)&amp;""),",",".")&amp;", "&amp;CHAR(34)&amp;"flag"&amp;CHAR(34)&amp;": "&amp;SUBSTITUTE(TRIM(ROUND(IFERROR(CriteriTecnici!$M2152*1,IFERROR(NUMBERVALUE(CriteriTecnici!$M2152,".",","),IFERROR(NUMBERVALUE(CriteriTecnici!$M2152,",","."),0))),4)&amp;""),",",".")&amp;", "&amp;CHAR(34)&amp;"rawScore"&amp;CHAR(34)&amp;": "&amp;SUBSTITUTE(TRIM(ROUND(IFERROR(CriteriTecnici!$O2152*1,IFERROR(NUMBERVALUE(CriteriTecnici!$O2152,".",","),IFERROR(NUMBERVALUE(CriteriTecnici!$O2152,",","."),0))),4)&amp;""),",",".")&amp;CHAR(125)&amp;IF(TRUE,",",""))</f>
        <v/>
      </c>
    </row>
    <row r="2254">
      <c r="A2254" s="82">
        <f>IF(CriteriTecnici!$A2153="","","    "&amp;CHAR(123)&amp;CHAR(34)&amp;"bidderId"&amp;CHAR(34)&amp;": "&amp;CHAR(34)&amp;SUBSTITUTE(CriteriTecnici!$A2153,CHAR(34),"'")&amp;CHAR(34)&amp;", "&amp;CHAR(34)&amp;"lotId"&amp;CHAR(34)&amp;": "&amp;CHAR(34)&amp;SUBSTITUTE(CriteriTecnici!$C2153,CHAR(34),"'")&amp;CHAR(34)&amp;", "&amp;CHAR(34)&amp;"criterionId"&amp;CHAR(34)&amp;": "&amp;CHAR(34)&amp;SUBSTITUTE(CriteriTecnici!$D2153,CHAR(34),"'")&amp;CHAR(34)&amp;", "&amp;CHAR(34)&amp;"kind"&amp;CHAR(34)&amp;": "&amp;CHAR(34)&amp;SUBSTITUTE(CriteriTecnici!$F2153,CHAR(34),"'")&amp;CHAR(34)&amp;", "&amp;CHAR(34)&amp;"value"&amp;CHAR(34)&amp;": "&amp;SUBSTITUTE(TRIM(ROUND(IFERROR(CriteriTecnici!$N2153*1,IFERROR(NUMBERVALUE(CriteriTecnici!$N2153,".",","),IFERROR(NUMBERVALUE(CriteriTecnici!$N2153,",","."),0))),4)&amp;""),",",".")&amp;", "&amp;CHAR(34)&amp;"numerator"&amp;CHAR(34)&amp;": "&amp;SUBSTITUTE(TRIM(ROUND(IFERROR(CriteriTecnici!$K2153*1,IFERROR(NUMBERVALUE(CriteriTecnici!$K2153,".",","),IFERROR(NUMBERVALUE(CriteriTecnici!$K2153,",","."),0))),4)&amp;""),",",".")&amp;", "&amp;CHAR(34)&amp;"denominator"&amp;CHAR(34)&amp;": "&amp;SUBSTITUTE(TRIM(ROUND(IFERROR(CriteriTecnici!$L2153*1,IFERROR(NUMBERVALUE(CriteriTecnici!$L2153,".",","),IFERROR(NUMBERVALUE(CriteriTecnici!$L2153,",","."),0))),4)&amp;""),",",".")&amp;", "&amp;CHAR(34)&amp;"flag"&amp;CHAR(34)&amp;": "&amp;SUBSTITUTE(TRIM(ROUND(IFERROR(CriteriTecnici!$M2153*1,IFERROR(NUMBERVALUE(CriteriTecnici!$M2153,".",","),IFERROR(NUMBERVALUE(CriteriTecnici!$M2153,",","."),0))),4)&amp;""),",",".")&amp;", "&amp;CHAR(34)&amp;"rawScore"&amp;CHAR(34)&amp;": "&amp;SUBSTITUTE(TRIM(ROUND(IFERROR(CriteriTecnici!$O2153*1,IFERROR(NUMBERVALUE(CriteriTecnici!$O2153,".",","),IFERROR(NUMBERVALUE(CriteriTecnici!$O2153,",","."),0))),4)&amp;""),",",".")&amp;CHAR(125)&amp;IF(TRUE,",",""))</f>
        <v/>
      </c>
    </row>
    <row r="2255">
      <c r="A2255" s="82">
        <f>IF(CriteriTecnici!$A2154="","","    "&amp;CHAR(123)&amp;CHAR(34)&amp;"bidderId"&amp;CHAR(34)&amp;": "&amp;CHAR(34)&amp;SUBSTITUTE(CriteriTecnici!$A2154,CHAR(34),"'")&amp;CHAR(34)&amp;", "&amp;CHAR(34)&amp;"lotId"&amp;CHAR(34)&amp;": "&amp;CHAR(34)&amp;SUBSTITUTE(CriteriTecnici!$C2154,CHAR(34),"'")&amp;CHAR(34)&amp;", "&amp;CHAR(34)&amp;"criterionId"&amp;CHAR(34)&amp;": "&amp;CHAR(34)&amp;SUBSTITUTE(CriteriTecnici!$D2154,CHAR(34),"'")&amp;CHAR(34)&amp;", "&amp;CHAR(34)&amp;"kind"&amp;CHAR(34)&amp;": "&amp;CHAR(34)&amp;SUBSTITUTE(CriteriTecnici!$F2154,CHAR(34),"'")&amp;CHAR(34)&amp;", "&amp;CHAR(34)&amp;"value"&amp;CHAR(34)&amp;": "&amp;SUBSTITUTE(TRIM(ROUND(IFERROR(CriteriTecnici!$N2154*1,IFERROR(NUMBERVALUE(CriteriTecnici!$N2154,".",","),IFERROR(NUMBERVALUE(CriteriTecnici!$N2154,",","."),0))),4)&amp;""),",",".")&amp;", "&amp;CHAR(34)&amp;"numerator"&amp;CHAR(34)&amp;": "&amp;SUBSTITUTE(TRIM(ROUND(IFERROR(CriteriTecnici!$K2154*1,IFERROR(NUMBERVALUE(CriteriTecnici!$K2154,".",","),IFERROR(NUMBERVALUE(CriteriTecnici!$K2154,",","."),0))),4)&amp;""),",",".")&amp;", "&amp;CHAR(34)&amp;"denominator"&amp;CHAR(34)&amp;": "&amp;SUBSTITUTE(TRIM(ROUND(IFERROR(CriteriTecnici!$L2154*1,IFERROR(NUMBERVALUE(CriteriTecnici!$L2154,".",","),IFERROR(NUMBERVALUE(CriteriTecnici!$L2154,",","."),0))),4)&amp;""),",",".")&amp;", "&amp;CHAR(34)&amp;"flag"&amp;CHAR(34)&amp;": "&amp;SUBSTITUTE(TRIM(ROUND(IFERROR(CriteriTecnici!$M2154*1,IFERROR(NUMBERVALUE(CriteriTecnici!$M2154,".",","),IFERROR(NUMBERVALUE(CriteriTecnici!$M2154,",","."),0))),4)&amp;""),",",".")&amp;", "&amp;CHAR(34)&amp;"rawScore"&amp;CHAR(34)&amp;": "&amp;SUBSTITUTE(TRIM(ROUND(IFERROR(CriteriTecnici!$O2154*1,IFERROR(NUMBERVALUE(CriteriTecnici!$O2154,".",","),IFERROR(NUMBERVALUE(CriteriTecnici!$O2154,",","."),0))),4)&amp;""),",",".")&amp;CHAR(125)&amp;IF(TRUE,",",""))</f>
        <v/>
      </c>
    </row>
    <row r="2256">
      <c r="A2256" s="82">
        <f>IF(CriteriTecnici!$A2155="","","    "&amp;CHAR(123)&amp;CHAR(34)&amp;"bidderId"&amp;CHAR(34)&amp;": "&amp;CHAR(34)&amp;SUBSTITUTE(CriteriTecnici!$A2155,CHAR(34),"'")&amp;CHAR(34)&amp;", "&amp;CHAR(34)&amp;"lotId"&amp;CHAR(34)&amp;": "&amp;CHAR(34)&amp;SUBSTITUTE(CriteriTecnici!$C2155,CHAR(34),"'")&amp;CHAR(34)&amp;", "&amp;CHAR(34)&amp;"criterionId"&amp;CHAR(34)&amp;": "&amp;CHAR(34)&amp;SUBSTITUTE(CriteriTecnici!$D2155,CHAR(34),"'")&amp;CHAR(34)&amp;", "&amp;CHAR(34)&amp;"kind"&amp;CHAR(34)&amp;": "&amp;CHAR(34)&amp;SUBSTITUTE(CriteriTecnici!$F2155,CHAR(34),"'")&amp;CHAR(34)&amp;", "&amp;CHAR(34)&amp;"value"&amp;CHAR(34)&amp;": "&amp;SUBSTITUTE(TRIM(ROUND(IFERROR(CriteriTecnici!$N2155*1,IFERROR(NUMBERVALUE(CriteriTecnici!$N2155,".",","),IFERROR(NUMBERVALUE(CriteriTecnici!$N2155,",","."),0))),4)&amp;""),",",".")&amp;", "&amp;CHAR(34)&amp;"numerator"&amp;CHAR(34)&amp;": "&amp;SUBSTITUTE(TRIM(ROUND(IFERROR(CriteriTecnici!$K2155*1,IFERROR(NUMBERVALUE(CriteriTecnici!$K2155,".",","),IFERROR(NUMBERVALUE(CriteriTecnici!$K2155,",","."),0))),4)&amp;""),",",".")&amp;", "&amp;CHAR(34)&amp;"denominator"&amp;CHAR(34)&amp;": "&amp;SUBSTITUTE(TRIM(ROUND(IFERROR(CriteriTecnici!$L2155*1,IFERROR(NUMBERVALUE(CriteriTecnici!$L2155,".",","),IFERROR(NUMBERVALUE(CriteriTecnici!$L2155,",","."),0))),4)&amp;""),",",".")&amp;", "&amp;CHAR(34)&amp;"flag"&amp;CHAR(34)&amp;": "&amp;SUBSTITUTE(TRIM(ROUND(IFERROR(CriteriTecnici!$M2155*1,IFERROR(NUMBERVALUE(CriteriTecnici!$M2155,".",","),IFERROR(NUMBERVALUE(CriteriTecnici!$M2155,",","."),0))),4)&amp;""),",",".")&amp;", "&amp;CHAR(34)&amp;"rawScore"&amp;CHAR(34)&amp;": "&amp;SUBSTITUTE(TRIM(ROUND(IFERROR(CriteriTecnici!$O2155*1,IFERROR(NUMBERVALUE(CriteriTecnici!$O2155,".",","),IFERROR(NUMBERVALUE(CriteriTecnici!$O2155,",","."),0))),4)&amp;""),",",".")&amp;CHAR(125)&amp;IF(TRUE,",",""))</f>
        <v/>
      </c>
    </row>
    <row r="2257">
      <c r="A2257" s="82">
        <f>IF(CriteriTecnici!$A2156="","","    "&amp;CHAR(123)&amp;CHAR(34)&amp;"bidderId"&amp;CHAR(34)&amp;": "&amp;CHAR(34)&amp;SUBSTITUTE(CriteriTecnici!$A2156,CHAR(34),"'")&amp;CHAR(34)&amp;", "&amp;CHAR(34)&amp;"lotId"&amp;CHAR(34)&amp;": "&amp;CHAR(34)&amp;SUBSTITUTE(CriteriTecnici!$C2156,CHAR(34),"'")&amp;CHAR(34)&amp;", "&amp;CHAR(34)&amp;"criterionId"&amp;CHAR(34)&amp;": "&amp;CHAR(34)&amp;SUBSTITUTE(CriteriTecnici!$D2156,CHAR(34),"'")&amp;CHAR(34)&amp;", "&amp;CHAR(34)&amp;"kind"&amp;CHAR(34)&amp;": "&amp;CHAR(34)&amp;SUBSTITUTE(CriteriTecnici!$F2156,CHAR(34),"'")&amp;CHAR(34)&amp;", "&amp;CHAR(34)&amp;"value"&amp;CHAR(34)&amp;": "&amp;SUBSTITUTE(TRIM(ROUND(IFERROR(CriteriTecnici!$N2156*1,IFERROR(NUMBERVALUE(CriteriTecnici!$N2156,".",","),IFERROR(NUMBERVALUE(CriteriTecnici!$N2156,",","."),0))),4)&amp;""),",",".")&amp;", "&amp;CHAR(34)&amp;"numerator"&amp;CHAR(34)&amp;": "&amp;SUBSTITUTE(TRIM(ROUND(IFERROR(CriteriTecnici!$K2156*1,IFERROR(NUMBERVALUE(CriteriTecnici!$K2156,".",","),IFERROR(NUMBERVALUE(CriteriTecnici!$K2156,",","."),0))),4)&amp;""),",",".")&amp;", "&amp;CHAR(34)&amp;"denominator"&amp;CHAR(34)&amp;": "&amp;SUBSTITUTE(TRIM(ROUND(IFERROR(CriteriTecnici!$L2156*1,IFERROR(NUMBERVALUE(CriteriTecnici!$L2156,".",","),IFERROR(NUMBERVALUE(CriteriTecnici!$L2156,",","."),0))),4)&amp;""),",",".")&amp;", "&amp;CHAR(34)&amp;"flag"&amp;CHAR(34)&amp;": "&amp;SUBSTITUTE(TRIM(ROUND(IFERROR(CriteriTecnici!$M2156*1,IFERROR(NUMBERVALUE(CriteriTecnici!$M2156,".",","),IFERROR(NUMBERVALUE(CriteriTecnici!$M2156,",","."),0))),4)&amp;""),",",".")&amp;", "&amp;CHAR(34)&amp;"rawScore"&amp;CHAR(34)&amp;": "&amp;SUBSTITUTE(TRIM(ROUND(IFERROR(CriteriTecnici!$O2156*1,IFERROR(NUMBERVALUE(CriteriTecnici!$O2156,".",","),IFERROR(NUMBERVALUE(CriteriTecnici!$O2156,",","."),0))),4)&amp;""),",",".")&amp;CHAR(125)&amp;IF(TRUE,",",""))</f>
        <v/>
      </c>
    </row>
    <row r="2258">
      <c r="A2258" s="82">
        <f>IF(CriteriTecnici!$A2157="","","    "&amp;CHAR(123)&amp;CHAR(34)&amp;"bidderId"&amp;CHAR(34)&amp;": "&amp;CHAR(34)&amp;SUBSTITUTE(CriteriTecnici!$A2157,CHAR(34),"'")&amp;CHAR(34)&amp;", "&amp;CHAR(34)&amp;"lotId"&amp;CHAR(34)&amp;": "&amp;CHAR(34)&amp;SUBSTITUTE(CriteriTecnici!$C2157,CHAR(34),"'")&amp;CHAR(34)&amp;", "&amp;CHAR(34)&amp;"criterionId"&amp;CHAR(34)&amp;": "&amp;CHAR(34)&amp;SUBSTITUTE(CriteriTecnici!$D2157,CHAR(34),"'")&amp;CHAR(34)&amp;", "&amp;CHAR(34)&amp;"kind"&amp;CHAR(34)&amp;": "&amp;CHAR(34)&amp;SUBSTITUTE(CriteriTecnici!$F2157,CHAR(34),"'")&amp;CHAR(34)&amp;", "&amp;CHAR(34)&amp;"value"&amp;CHAR(34)&amp;": "&amp;SUBSTITUTE(TRIM(ROUND(IFERROR(CriteriTecnici!$N2157*1,IFERROR(NUMBERVALUE(CriteriTecnici!$N2157,".",","),IFERROR(NUMBERVALUE(CriteriTecnici!$N2157,",","."),0))),4)&amp;""),",",".")&amp;", "&amp;CHAR(34)&amp;"numerator"&amp;CHAR(34)&amp;": "&amp;SUBSTITUTE(TRIM(ROUND(IFERROR(CriteriTecnici!$K2157*1,IFERROR(NUMBERVALUE(CriteriTecnici!$K2157,".",","),IFERROR(NUMBERVALUE(CriteriTecnici!$K2157,",","."),0))),4)&amp;""),",",".")&amp;", "&amp;CHAR(34)&amp;"denominator"&amp;CHAR(34)&amp;": "&amp;SUBSTITUTE(TRIM(ROUND(IFERROR(CriteriTecnici!$L2157*1,IFERROR(NUMBERVALUE(CriteriTecnici!$L2157,".",","),IFERROR(NUMBERVALUE(CriteriTecnici!$L2157,",","."),0))),4)&amp;""),",",".")&amp;", "&amp;CHAR(34)&amp;"flag"&amp;CHAR(34)&amp;": "&amp;SUBSTITUTE(TRIM(ROUND(IFERROR(CriteriTecnici!$M2157*1,IFERROR(NUMBERVALUE(CriteriTecnici!$M2157,".",","),IFERROR(NUMBERVALUE(CriteriTecnici!$M2157,",","."),0))),4)&amp;""),",",".")&amp;", "&amp;CHAR(34)&amp;"rawScore"&amp;CHAR(34)&amp;": "&amp;SUBSTITUTE(TRIM(ROUND(IFERROR(CriteriTecnici!$O2157*1,IFERROR(NUMBERVALUE(CriteriTecnici!$O2157,".",","),IFERROR(NUMBERVALUE(CriteriTecnici!$O2157,",","."),0))),4)&amp;""),",",".")&amp;CHAR(125)&amp;IF(TRUE,",",""))</f>
        <v/>
      </c>
    </row>
    <row r="2259">
      <c r="A2259" s="82">
        <f>IF(CriteriTecnici!$A2158="","","    "&amp;CHAR(123)&amp;CHAR(34)&amp;"bidderId"&amp;CHAR(34)&amp;": "&amp;CHAR(34)&amp;SUBSTITUTE(CriteriTecnici!$A2158,CHAR(34),"'")&amp;CHAR(34)&amp;", "&amp;CHAR(34)&amp;"lotId"&amp;CHAR(34)&amp;": "&amp;CHAR(34)&amp;SUBSTITUTE(CriteriTecnici!$C2158,CHAR(34),"'")&amp;CHAR(34)&amp;", "&amp;CHAR(34)&amp;"criterionId"&amp;CHAR(34)&amp;": "&amp;CHAR(34)&amp;SUBSTITUTE(CriteriTecnici!$D2158,CHAR(34),"'")&amp;CHAR(34)&amp;", "&amp;CHAR(34)&amp;"kind"&amp;CHAR(34)&amp;": "&amp;CHAR(34)&amp;SUBSTITUTE(CriteriTecnici!$F2158,CHAR(34),"'")&amp;CHAR(34)&amp;", "&amp;CHAR(34)&amp;"value"&amp;CHAR(34)&amp;": "&amp;SUBSTITUTE(TRIM(ROUND(IFERROR(CriteriTecnici!$N2158*1,IFERROR(NUMBERVALUE(CriteriTecnici!$N2158,".",","),IFERROR(NUMBERVALUE(CriteriTecnici!$N2158,",","."),0))),4)&amp;""),",",".")&amp;", "&amp;CHAR(34)&amp;"numerator"&amp;CHAR(34)&amp;": "&amp;SUBSTITUTE(TRIM(ROUND(IFERROR(CriteriTecnici!$K2158*1,IFERROR(NUMBERVALUE(CriteriTecnici!$K2158,".",","),IFERROR(NUMBERVALUE(CriteriTecnici!$K2158,",","."),0))),4)&amp;""),",",".")&amp;", "&amp;CHAR(34)&amp;"denominator"&amp;CHAR(34)&amp;": "&amp;SUBSTITUTE(TRIM(ROUND(IFERROR(CriteriTecnici!$L2158*1,IFERROR(NUMBERVALUE(CriteriTecnici!$L2158,".",","),IFERROR(NUMBERVALUE(CriteriTecnici!$L2158,",","."),0))),4)&amp;""),",",".")&amp;", "&amp;CHAR(34)&amp;"flag"&amp;CHAR(34)&amp;": "&amp;SUBSTITUTE(TRIM(ROUND(IFERROR(CriteriTecnici!$M2158*1,IFERROR(NUMBERVALUE(CriteriTecnici!$M2158,".",","),IFERROR(NUMBERVALUE(CriteriTecnici!$M2158,",","."),0))),4)&amp;""),",",".")&amp;", "&amp;CHAR(34)&amp;"rawScore"&amp;CHAR(34)&amp;": "&amp;SUBSTITUTE(TRIM(ROUND(IFERROR(CriteriTecnici!$O2158*1,IFERROR(NUMBERVALUE(CriteriTecnici!$O2158,".",","),IFERROR(NUMBERVALUE(CriteriTecnici!$O2158,",","."),0))),4)&amp;""),",",".")&amp;CHAR(125)&amp;IF(TRUE,",",""))</f>
        <v/>
      </c>
    </row>
    <row r="2260">
      <c r="A2260" s="82">
        <f>IF(CriteriTecnici!$A2159="","","    "&amp;CHAR(123)&amp;CHAR(34)&amp;"bidderId"&amp;CHAR(34)&amp;": "&amp;CHAR(34)&amp;SUBSTITUTE(CriteriTecnici!$A2159,CHAR(34),"'")&amp;CHAR(34)&amp;", "&amp;CHAR(34)&amp;"lotId"&amp;CHAR(34)&amp;": "&amp;CHAR(34)&amp;SUBSTITUTE(CriteriTecnici!$C2159,CHAR(34),"'")&amp;CHAR(34)&amp;", "&amp;CHAR(34)&amp;"criterionId"&amp;CHAR(34)&amp;": "&amp;CHAR(34)&amp;SUBSTITUTE(CriteriTecnici!$D2159,CHAR(34),"'")&amp;CHAR(34)&amp;", "&amp;CHAR(34)&amp;"kind"&amp;CHAR(34)&amp;": "&amp;CHAR(34)&amp;SUBSTITUTE(CriteriTecnici!$F2159,CHAR(34),"'")&amp;CHAR(34)&amp;", "&amp;CHAR(34)&amp;"value"&amp;CHAR(34)&amp;": "&amp;SUBSTITUTE(TRIM(ROUND(IFERROR(CriteriTecnici!$N2159*1,IFERROR(NUMBERVALUE(CriteriTecnici!$N2159,".",","),IFERROR(NUMBERVALUE(CriteriTecnici!$N2159,",","."),0))),4)&amp;""),",",".")&amp;", "&amp;CHAR(34)&amp;"numerator"&amp;CHAR(34)&amp;": "&amp;SUBSTITUTE(TRIM(ROUND(IFERROR(CriteriTecnici!$K2159*1,IFERROR(NUMBERVALUE(CriteriTecnici!$K2159,".",","),IFERROR(NUMBERVALUE(CriteriTecnici!$K2159,",","."),0))),4)&amp;""),",",".")&amp;", "&amp;CHAR(34)&amp;"denominator"&amp;CHAR(34)&amp;": "&amp;SUBSTITUTE(TRIM(ROUND(IFERROR(CriteriTecnici!$L2159*1,IFERROR(NUMBERVALUE(CriteriTecnici!$L2159,".",","),IFERROR(NUMBERVALUE(CriteriTecnici!$L2159,",","."),0))),4)&amp;""),",",".")&amp;", "&amp;CHAR(34)&amp;"flag"&amp;CHAR(34)&amp;": "&amp;SUBSTITUTE(TRIM(ROUND(IFERROR(CriteriTecnici!$M2159*1,IFERROR(NUMBERVALUE(CriteriTecnici!$M2159,".",","),IFERROR(NUMBERVALUE(CriteriTecnici!$M2159,",","."),0))),4)&amp;""),",",".")&amp;", "&amp;CHAR(34)&amp;"rawScore"&amp;CHAR(34)&amp;": "&amp;SUBSTITUTE(TRIM(ROUND(IFERROR(CriteriTecnici!$O2159*1,IFERROR(NUMBERVALUE(CriteriTecnici!$O2159,".",","),IFERROR(NUMBERVALUE(CriteriTecnici!$O2159,",","."),0))),4)&amp;""),",",".")&amp;CHAR(125)&amp;IF(TRUE,",",""))</f>
        <v/>
      </c>
    </row>
    <row r="2261">
      <c r="A2261" s="82">
        <f>IF(CriteriTecnici!$A2160="","","    "&amp;CHAR(123)&amp;CHAR(34)&amp;"bidderId"&amp;CHAR(34)&amp;": "&amp;CHAR(34)&amp;SUBSTITUTE(CriteriTecnici!$A2160,CHAR(34),"'")&amp;CHAR(34)&amp;", "&amp;CHAR(34)&amp;"lotId"&amp;CHAR(34)&amp;": "&amp;CHAR(34)&amp;SUBSTITUTE(CriteriTecnici!$C2160,CHAR(34),"'")&amp;CHAR(34)&amp;", "&amp;CHAR(34)&amp;"criterionId"&amp;CHAR(34)&amp;": "&amp;CHAR(34)&amp;SUBSTITUTE(CriteriTecnici!$D2160,CHAR(34),"'")&amp;CHAR(34)&amp;", "&amp;CHAR(34)&amp;"kind"&amp;CHAR(34)&amp;": "&amp;CHAR(34)&amp;SUBSTITUTE(CriteriTecnici!$F2160,CHAR(34),"'")&amp;CHAR(34)&amp;", "&amp;CHAR(34)&amp;"value"&amp;CHAR(34)&amp;": "&amp;SUBSTITUTE(TRIM(ROUND(IFERROR(CriteriTecnici!$N2160*1,IFERROR(NUMBERVALUE(CriteriTecnici!$N2160,".",","),IFERROR(NUMBERVALUE(CriteriTecnici!$N2160,",","."),0))),4)&amp;""),",",".")&amp;", "&amp;CHAR(34)&amp;"numerator"&amp;CHAR(34)&amp;": "&amp;SUBSTITUTE(TRIM(ROUND(IFERROR(CriteriTecnici!$K2160*1,IFERROR(NUMBERVALUE(CriteriTecnici!$K2160,".",","),IFERROR(NUMBERVALUE(CriteriTecnici!$K2160,",","."),0))),4)&amp;""),",",".")&amp;", "&amp;CHAR(34)&amp;"denominator"&amp;CHAR(34)&amp;": "&amp;SUBSTITUTE(TRIM(ROUND(IFERROR(CriteriTecnici!$L2160*1,IFERROR(NUMBERVALUE(CriteriTecnici!$L2160,".",","),IFERROR(NUMBERVALUE(CriteriTecnici!$L2160,",","."),0))),4)&amp;""),",",".")&amp;", "&amp;CHAR(34)&amp;"flag"&amp;CHAR(34)&amp;": "&amp;SUBSTITUTE(TRIM(ROUND(IFERROR(CriteriTecnici!$M2160*1,IFERROR(NUMBERVALUE(CriteriTecnici!$M2160,".",","),IFERROR(NUMBERVALUE(CriteriTecnici!$M2160,",","."),0))),4)&amp;""),",",".")&amp;", "&amp;CHAR(34)&amp;"rawScore"&amp;CHAR(34)&amp;": "&amp;SUBSTITUTE(TRIM(ROUND(IFERROR(CriteriTecnici!$O2160*1,IFERROR(NUMBERVALUE(CriteriTecnici!$O2160,".",","),IFERROR(NUMBERVALUE(CriteriTecnici!$O2160,",","."),0))),4)&amp;""),",",".")&amp;CHAR(125)&amp;IF(TRUE,",",""))</f>
        <v/>
      </c>
    </row>
    <row r="2262">
      <c r="A2262" s="82">
        <f>IF(CriteriTecnici!$A2161="","","    "&amp;CHAR(123)&amp;CHAR(34)&amp;"bidderId"&amp;CHAR(34)&amp;": "&amp;CHAR(34)&amp;SUBSTITUTE(CriteriTecnici!$A2161,CHAR(34),"'")&amp;CHAR(34)&amp;", "&amp;CHAR(34)&amp;"lotId"&amp;CHAR(34)&amp;": "&amp;CHAR(34)&amp;SUBSTITUTE(CriteriTecnici!$C2161,CHAR(34),"'")&amp;CHAR(34)&amp;", "&amp;CHAR(34)&amp;"criterionId"&amp;CHAR(34)&amp;": "&amp;CHAR(34)&amp;SUBSTITUTE(CriteriTecnici!$D2161,CHAR(34),"'")&amp;CHAR(34)&amp;", "&amp;CHAR(34)&amp;"kind"&amp;CHAR(34)&amp;": "&amp;CHAR(34)&amp;SUBSTITUTE(CriteriTecnici!$F2161,CHAR(34),"'")&amp;CHAR(34)&amp;", "&amp;CHAR(34)&amp;"value"&amp;CHAR(34)&amp;": "&amp;SUBSTITUTE(TRIM(ROUND(IFERROR(CriteriTecnici!$N2161*1,IFERROR(NUMBERVALUE(CriteriTecnici!$N2161,".",","),IFERROR(NUMBERVALUE(CriteriTecnici!$N2161,",","."),0))),4)&amp;""),",",".")&amp;", "&amp;CHAR(34)&amp;"numerator"&amp;CHAR(34)&amp;": "&amp;SUBSTITUTE(TRIM(ROUND(IFERROR(CriteriTecnici!$K2161*1,IFERROR(NUMBERVALUE(CriteriTecnici!$K2161,".",","),IFERROR(NUMBERVALUE(CriteriTecnici!$K2161,",","."),0))),4)&amp;""),",",".")&amp;", "&amp;CHAR(34)&amp;"denominator"&amp;CHAR(34)&amp;": "&amp;SUBSTITUTE(TRIM(ROUND(IFERROR(CriteriTecnici!$L2161*1,IFERROR(NUMBERVALUE(CriteriTecnici!$L2161,".",","),IFERROR(NUMBERVALUE(CriteriTecnici!$L2161,",","."),0))),4)&amp;""),",",".")&amp;", "&amp;CHAR(34)&amp;"flag"&amp;CHAR(34)&amp;": "&amp;SUBSTITUTE(TRIM(ROUND(IFERROR(CriteriTecnici!$M2161*1,IFERROR(NUMBERVALUE(CriteriTecnici!$M2161,".",","),IFERROR(NUMBERVALUE(CriteriTecnici!$M2161,",","."),0))),4)&amp;""),",",".")&amp;", "&amp;CHAR(34)&amp;"rawScore"&amp;CHAR(34)&amp;": "&amp;SUBSTITUTE(TRIM(ROUND(IFERROR(CriteriTecnici!$O2161*1,IFERROR(NUMBERVALUE(CriteriTecnici!$O2161,".",","),IFERROR(NUMBERVALUE(CriteriTecnici!$O2161,",","."),0))),4)&amp;""),",",".")&amp;CHAR(125)&amp;IF(TRUE,",",""))</f>
        <v/>
      </c>
    </row>
    <row r="2263">
      <c r="A2263" s="82">
        <f>IF(CriteriTecnici!$A2162="","","    "&amp;CHAR(123)&amp;CHAR(34)&amp;"bidderId"&amp;CHAR(34)&amp;": "&amp;CHAR(34)&amp;SUBSTITUTE(CriteriTecnici!$A2162,CHAR(34),"'")&amp;CHAR(34)&amp;", "&amp;CHAR(34)&amp;"lotId"&amp;CHAR(34)&amp;": "&amp;CHAR(34)&amp;SUBSTITUTE(CriteriTecnici!$C2162,CHAR(34),"'")&amp;CHAR(34)&amp;", "&amp;CHAR(34)&amp;"criterionId"&amp;CHAR(34)&amp;": "&amp;CHAR(34)&amp;SUBSTITUTE(CriteriTecnici!$D2162,CHAR(34),"'")&amp;CHAR(34)&amp;", "&amp;CHAR(34)&amp;"kind"&amp;CHAR(34)&amp;": "&amp;CHAR(34)&amp;SUBSTITUTE(CriteriTecnici!$F2162,CHAR(34),"'")&amp;CHAR(34)&amp;", "&amp;CHAR(34)&amp;"value"&amp;CHAR(34)&amp;": "&amp;SUBSTITUTE(TRIM(ROUND(IFERROR(CriteriTecnici!$N2162*1,IFERROR(NUMBERVALUE(CriteriTecnici!$N2162,".",","),IFERROR(NUMBERVALUE(CriteriTecnici!$N2162,",","."),0))),4)&amp;""),",",".")&amp;", "&amp;CHAR(34)&amp;"numerator"&amp;CHAR(34)&amp;": "&amp;SUBSTITUTE(TRIM(ROUND(IFERROR(CriteriTecnici!$K2162*1,IFERROR(NUMBERVALUE(CriteriTecnici!$K2162,".",","),IFERROR(NUMBERVALUE(CriteriTecnici!$K2162,",","."),0))),4)&amp;""),",",".")&amp;", "&amp;CHAR(34)&amp;"denominator"&amp;CHAR(34)&amp;": "&amp;SUBSTITUTE(TRIM(ROUND(IFERROR(CriteriTecnici!$L2162*1,IFERROR(NUMBERVALUE(CriteriTecnici!$L2162,".",","),IFERROR(NUMBERVALUE(CriteriTecnici!$L2162,",","."),0))),4)&amp;""),",",".")&amp;", "&amp;CHAR(34)&amp;"flag"&amp;CHAR(34)&amp;": "&amp;SUBSTITUTE(TRIM(ROUND(IFERROR(CriteriTecnici!$M2162*1,IFERROR(NUMBERVALUE(CriteriTecnici!$M2162,".",","),IFERROR(NUMBERVALUE(CriteriTecnici!$M2162,",","."),0))),4)&amp;""),",",".")&amp;", "&amp;CHAR(34)&amp;"rawScore"&amp;CHAR(34)&amp;": "&amp;SUBSTITUTE(TRIM(ROUND(IFERROR(CriteriTecnici!$O2162*1,IFERROR(NUMBERVALUE(CriteriTecnici!$O2162,".",","),IFERROR(NUMBERVALUE(CriteriTecnici!$O2162,",","."),0))),4)&amp;""),",",".")&amp;CHAR(125)&amp;IF(TRUE,",",""))</f>
        <v/>
      </c>
    </row>
    <row r="2264">
      <c r="A2264" s="82">
        <f>IF(CriteriTecnici!$A2163="","","    "&amp;CHAR(123)&amp;CHAR(34)&amp;"bidderId"&amp;CHAR(34)&amp;": "&amp;CHAR(34)&amp;SUBSTITUTE(CriteriTecnici!$A2163,CHAR(34),"'")&amp;CHAR(34)&amp;", "&amp;CHAR(34)&amp;"lotId"&amp;CHAR(34)&amp;": "&amp;CHAR(34)&amp;SUBSTITUTE(CriteriTecnici!$C2163,CHAR(34),"'")&amp;CHAR(34)&amp;", "&amp;CHAR(34)&amp;"criterionId"&amp;CHAR(34)&amp;": "&amp;CHAR(34)&amp;SUBSTITUTE(CriteriTecnici!$D2163,CHAR(34),"'")&amp;CHAR(34)&amp;", "&amp;CHAR(34)&amp;"kind"&amp;CHAR(34)&amp;": "&amp;CHAR(34)&amp;SUBSTITUTE(CriteriTecnici!$F2163,CHAR(34),"'")&amp;CHAR(34)&amp;", "&amp;CHAR(34)&amp;"value"&amp;CHAR(34)&amp;": "&amp;SUBSTITUTE(TRIM(ROUND(IFERROR(CriteriTecnici!$N2163*1,IFERROR(NUMBERVALUE(CriteriTecnici!$N2163,".",","),IFERROR(NUMBERVALUE(CriteriTecnici!$N2163,",","."),0))),4)&amp;""),",",".")&amp;", "&amp;CHAR(34)&amp;"numerator"&amp;CHAR(34)&amp;": "&amp;SUBSTITUTE(TRIM(ROUND(IFERROR(CriteriTecnici!$K2163*1,IFERROR(NUMBERVALUE(CriteriTecnici!$K2163,".",","),IFERROR(NUMBERVALUE(CriteriTecnici!$K2163,",","."),0))),4)&amp;""),",",".")&amp;", "&amp;CHAR(34)&amp;"denominator"&amp;CHAR(34)&amp;": "&amp;SUBSTITUTE(TRIM(ROUND(IFERROR(CriteriTecnici!$L2163*1,IFERROR(NUMBERVALUE(CriteriTecnici!$L2163,".",","),IFERROR(NUMBERVALUE(CriteriTecnici!$L2163,",","."),0))),4)&amp;""),",",".")&amp;", "&amp;CHAR(34)&amp;"flag"&amp;CHAR(34)&amp;": "&amp;SUBSTITUTE(TRIM(ROUND(IFERROR(CriteriTecnici!$M2163*1,IFERROR(NUMBERVALUE(CriteriTecnici!$M2163,".",","),IFERROR(NUMBERVALUE(CriteriTecnici!$M2163,",","."),0))),4)&amp;""),",",".")&amp;", "&amp;CHAR(34)&amp;"rawScore"&amp;CHAR(34)&amp;": "&amp;SUBSTITUTE(TRIM(ROUND(IFERROR(CriteriTecnici!$O2163*1,IFERROR(NUMBERVALUE(CriteriTecnici!$O2163,".",","),IFERROR(NUMBERVALUE(CriteriTecnici!$O2163,",","."),0))),4)&amp;""),",",".")&amp;CHAR(125)&amp;IF(TRUE,",",""))</f>
        <v/>
      </c>
    </row>
    <row r="2265">
      <c r="A2265" s="82">
        <f>IF(CriteriTecnici!$A2164="","","    "&amp;CHAR(123)&amp;CHAR(34)&amp;"bidderId"&amp;CHAR(34)&amp;": "&amp;CHAR(34)&amp;SUBSTITUTE(CriteriTecnici!$A2164,CHAR(34),"'")&amp;CHAR(34)&amp;", "&amp;CHAR(34)&amp;"lotId"&amp;CHAR(34)&amp;": "&amp;CHAR(34)&amp;SUBSTITUTE(CriteriTecnici!$C2164,CHAR(34),"'")&amp;CHAR(34)&amp;", "&amp;CHAR(34)&amp;"criterionId"&amp;CHAR(34)&amp;": "&amp;CHAR(34)&amp;SUBSTITUTE(CriteriTecnici!$D2164,CHAR(34),"'")&amp;CHAR(34)&amp;", "&amp;CHAR(34)&amp;"kind"&amp;CHAR(34)&amp;": "&amp;CHAR(34)&amp;SUBSTITUTE(CriteriTecnici!$F2164,CHAR(34),"'")&amp;CHAR(34)&amp;", "&amp;CHAR(34)&amp;"value"&amp;CHAR(34)&amp;": "&amp;SUBSTITUTE(TRIM(ROUND(IFERROR(CriteriTecnici!$N2164*1,IFERROR(NUMBERVALUE(CriteriTecnici!$N2164,".",","),IFERROR(NUMBERVALUE(CriteriTecnici!$N2164,",","."),0))),4)&amp;""),",",".")&amp;", "&amp;CHAR(34)&amp;"numerator"&amp;CHAR(34)&amp;": "&amp;SUBSTITUTE(TRIM(ROUND(IFERROR(CriteriTecnici!$K2164*1,IFERROR(NUMBERVALUE(CriteriTecnici!$K2164,".",","),IFERROR(NUMBERVALUE(CriteriTecnici!$K2164,",","."),0))),4)&amp;""),",",".")&amp;", "&amp;CHAR(34)&amp;"denominator"&amp;CHAR(34)&amp;": "&amp;SUBSTITUTE(TRIM(ROUND(IFERROR(CriteriTecnici!$L2164*1,IFERROR(NUMBERVALUE(CriteriTecnici!$L2164,".",","),IFERROR(NUMBERVALUE(CriteriTecnici!$L2164,",","."),0))),4)&amp;""),",",".")&amp;", "&amp;CHAR(34)&amp;"flag"&amp;CHAR(34)&amp;": "&amp;SUBSTITUTE(TRIM(ROUND(IFERROR(CriteriTecnici!$M2164*1,IFERROR(NUMBERVALUE(CriteriTecnici!$M2164,".",","),IFERROR(NUMBERVALUE(CriteriTecnici!$M2164,",","."),0))),4)&amp;""),",",".")&amp;", "&amp;CHAR(34)&amp;"rawScore"&amp;CHAR(34)&amp;": "&amp;SUBSTITUTE(TRIM(ROUND(IFERROR(CriteriTecnici!$O2164*1,IFERROR(NUMBERVALUE(CriteriTecnici!$O2164,".",","),IFERROR(NUMBERVALUE(CriteriTecnici!$O2164,",","."),0))),4)&amp;""),",",".")&amp;CHAR(125)&amp;IF(TRUE,",",""))</f>
        <v/>
      </c>
    </row>
    <row r="2266">
      <c r="A2266" s="82">
        <f>IF(CriteriTecnici!$A2165="","","    "&amp;CHAR(123)&amp;CHAR(34)&amp;"bidderId"&amp;CHAR(34)&amp;": "&amp;CHAR(34)&amp;SUBSTITUTE(CriteriTecnici!$A2165,CHAR(34),"'")&amp;CHAR(34)&amp;", "&amp;CHAR(34)&amp;"lotId"&amp;CHAR(34)&amp;": "&amp;CHAR(34)&amp;SUBSTITUTE(CriteriTecnici!$C2165,CHAR(34),"'")&amp;CHAR(34)&amp;", "&amp;CHAR(34)&amp;"criterionId"&amp;CHAR(34)&amp;": "&amp;CHAR(34)&amp;SUBSTITUTE(CriteriTecnici!$D2165,CHAR(34),"'")&amp;CHAR(34)&amp;", "&amp;CHAR(34)&amp;"kind"&amp;CHAR(34)&amp;": "&amp;CHAR(34)&amp;SUBSTITUTE(CriteriTecnici!$F2165,CHAR(34),"'")&amp;CHAR(34)&amp;", "&amp;CHAR(34)&amp;"value"&amp;CHAR(34)&amp;": "&amp;SUBSTITUTE(TRIM(ROUND(IFERROR(CriteriTecnici!$N2165*1,IFERROR(NUMBERVALUE(CriteriTecnici!$N2165,".",","),IFERROR(NUMBERVALUE(CriteriTecnici!$N2165,",","."),0))),4)&amp;""),",",".")&amp;", "&amp;CHAR(34)&amp;"numerator"&amp;CHAR(34)&amp;": "&amp;SUBSTITUTE(TRIM(ROUND(IFERROR(CriteriTecnici!$K2165*1,IFERROR(NUMBERVALUE(CriteriTecnici!$K2165,".",","),IFERROR(NUMBERVALUE(CriteriTecnici!$K2165,",","."),0))),4)&amp;""),",",".")&amp;", "&amp;CHAR(34)&amp;"denominator"&amp;CHAR(34)&amp;": "&amp;SUBSTITUTE(TRIM(ROUND(IFERROR(CriteriTecnici!$L2165*1,IFERROR(NUMBERVALUE(CriteriTecnici!$L2165,".",","),IFERROR(NUMBERVALUE(CriteriTecnici!$L2165,",","."),0))),4)&amp;""),",",".")&amp;", "&amp;CHAR(34)&amp;"flag"&amp;CHAR(34)&amp;": "&amp;SUBSTITUTE(TRIM(ROUND(IFERROR(CriteriTecnici!$M2165*1,IFERROR(NUMBERVALUE(CriteriTecnici!$M2165,".",","),IFERROR(NUMBERVALUE(CriteriTecnici!$M2165,",","."),0))),4)&amp;""),",",".")&amp;", "&amp;CHAR(34)&amp;"rawScore"&amp;CHAR(34)&amp;": "&amp;SUBSTITUTE(TRIM(ROUND(IFERROR(CriteriTecnici!$O2165*1,IFERROR(NUMBERVALUE(CriteriTecnici!$O2165,".",","),IFERROR(NUMBERVALUE(CriteriTecnici!$O2165,",","."),0))),4)&amp;""),",",".")&amp;CHAR(125)&amp;IF(TRUE,",",""))</f>
        <v/>
      </c>
    </row>
    <row r="2267">
      <c r="A2267" s="82">
        <f>IF(CriteriTecnici!$A2166="","","    "&amp;CHAR(123)&amp;CHAR(34)&amp;"bidderId"&amp;CHAR(34)&amp;": "&amp;CHAR(34)&amp;SUBSTITUTE(CriteriTecnici!$A2166,CHAR(34),"'")&amp;CHAR(34)&amp;", "&amp;CHAR(34)&amp;"lotId"&amp;CHAR(34)&amp;": "&amp;CHAR(34)&amp;SUBSTITUTE(CriteriTecnici!$C2166,CHAR(34),"'")&amp;CHAR(34)&amp;", "&amp;CHAR(34)&amp;"criterionId"&amp;CHAR(34)&amp;": "&amp;CHAR(34)&amp;SUBSTITUTE(CriteriTecnici!$D2166,CHAR(34),"'")&amp;CHAR(34)&amp;", "&amp;CHAR(34)&amp;"kind"&amp;CHAR(34)&amp;": "&amp;CHAR(34)&amp;SUBSTITUTE(CriteriTecnici!$F2166,CHAR(34),"'")&amp;CHAR(34)&amp;", "&amp;CHAR(34)&amp;"value"&amp;CHAR(34)&amp;": "&amp;SUBSTITUTE(TRIM(ROUND(IFERROR(CriteriTecnici!$N2166*1,IFERROR(NUMBERVALUE(CriteriTecnici!$N2166,".",","),IFERROR(NUMBERVALUE(CriteriTecnici!$N2166,",","."),0))),4)&amp;""),",",".")&amp;", "&amp;CHAR(34)&amp;"numerator"&amp;CHAR(34)&amp;": "&amp;SUBSTITUTE(TRIM(ROUND(IFERROR(CriteriTecnici!$K2166*1,IFERROR(NUMBERVALUE(CriteriTecnici!$K2166,".",","),IFERROR(NUMBERVALUE(CriteriTecnici!$K2166,",","."),0))),4)&amp;""),",",".")&amp;", "&amp;CHAR(34)&amp;"denominator"&amp;CHAR(34)&amp;": "&amp;SUBSTITUTE(TRIM(ROUND(IFERROR(CriteriTecnici!$L2166*1,IFERROR(NUMBERVALUE(CriteriTecnici!$L2166,".",","),IFERROR(NUMBERVALUE(CriteriTecnici!$L2166,",","."),0))),4)&amp;""),",",".")&amp;", "&amp;CHAR(34)&amp;"flag"&amp;CHAR(34)&amp;": "&amp;SUBSTITUTE(TRIM(ROUND(IFERROR(CriteriTecnici!$M2166*1,IFERROR(NUMBERVALUE(CriteriTecnici!$M2166,".",","),IFERROR(NUMBERVALUE(CriteriTecnici!$M2166,",","."),0))),4)&amp;""),",",".")&amp;", "&amp;CHAR(34)&amp;"rawScore"&amp;CHAR(34)&amp;": "&amp;SUBSTITUTE(TRIM(ROUND(IFERROR(CriteriTecnici!$O2166*1,IFERROR(NUMBERVALUE(CriteriTecnici!$O2166,".",","),IFERROR(NUMBERVALUE(CriteriTecnici!$O2166,",","."),0))),4)&amp;""),",",".")&amp;CHAR(125)&amp;IF(TRUE,",",""))</f>
        <v/>
      </c>
    </row>
    <row r="2268">
      <c r="A2268" s="82">
        <f>IF(CriteriTecnici!$A2167="","","    "&amp;CHAR(123)&amp;CHAR(34)&amp;"bidderId"&amp;CHAR(34)&amp;": "&amp;CHAR(34)&amp;SUBSTITUTE(CriteriTecnici!$A2167,CHAR(34),"'")&amp;CHAR(34)&amp;", "&amp;CHAR(34)&amp;"lotId"&amp;CHAR(34)&amp;": "&amp;CHAR(34)&amp;SUBSTITUTE(CriteriTecnici!$C2167,CHAR(34),"'")&amp;CHAR(34)&amp;", "&amp;CHAR(34)&amp;"criterionId"&amp;CHAR(34)&amp;": "&amp;CHAR(34)&amp;SUBSTITUTE(CriteriTecnici!$D2167,CHAR(34),"'")&amp;CHAR(34)&amp;", "&amp;CHAR(34)&amp;"kind"&amp;CHAR(34)&amp;": "&amp;CHAR(34)&amp;SUBSTITUTE(CriteriTecnici!$F2167,CHAR(34),"'")&amp;CHAR(34)&amp;", "&amp;CHAR(34)&amp;"value"&amp;CHAR(34)&amp;": "&amp;SUBSTITUTE(TRIM(ROUND(IFERROR(CriteriTecnici!$N2167*1,IFERROR(NUMBERVALUE(CriteriTecnici!$N2167,".",","),IFERROR(NUMBERVALUE(CriteriTecnici!$N2167,",","."),0))),4)&amp;""),",",".")&amp;", "&amp;CHAR(34)&amp;"numerator"&amp;CHAR(34)&amp;": "&amp;SUBSTITUTE(TRIM(ROUND(IFERROR(CriteriTecnici!$K2167*1,IFERROR(NUMBERVALUE(CriteriTecnici!$K2167,".",","),IFERROR(NUMBERVALUE(CriteriTecnici!$K2167,",","."),0))),4)&amp;""),",",".")&amp;", "&amp;CHAR(34)&amp;"denominator"&amp;CHAR(34)&amp;": "&amp;SUBSTITUTE(TRIM(ROUND(IFERROR(CriteriTecnici!$L2167*1,IFERROR(NUMBERVALUE(CriteriTecnici!$L2167,".",","),IFERROR(NUMBERVALUE(CriteriTecnici!$L2167,",","."),0))),4)&amp;""),",",".")&amp;", "&amp;CHAR(34)&amp;"flag"&amp;CHAR(34)&amp;": "&amp;SUBSTITUTE(TRIM(ROUND(IFERROR(CriteriTecnici!$M2167*1,IFERROR(NUMBERVALUE(CriteriTecnici!$M2167,".",","),IFERROR(NUMBERVALUE(CriteriTecnici!$M2167,",","."),0))),4)&amp;""),",",".")&amp;", "&amp;CHAR(34)&amp;"rawScore"&amp;CHAR(34)&amp;": "&amp;SUBSTITUTE(TRIM(ROUND(IFERROR(CriteriTecnici!$O2167*1,IFERROR(NUMBERVALUE(CriteriTecnici!$O2167,".",","),IFERROR(NUMBERVALUE(CriteriTecnici!$O2167,",","."),0))),4)&amp;""),",",".")&amp;CHAR(125)&amp;IF(TRUE,",",""))</f>
        <v/>
      </c>
    </row>
    <row r="2269">
      <c r="A2269" s="82">
        <f>IF(CriteriTecnici!$A2168="","","    "&amp;CHAR(123)&amp;CHAR(34)&amp;"bidderId"&amp;CHAR(34)&amp;": "&amp;CHAR(34)&amp;SUBSTITUTE(CriteriTecnici!$A2168,CHAR(34),"'")&amp;CHAR(34)&amp;", "&amp;CHAR(34)&amp;"lotId"&amp;CHAR(34)&amp;": "&amp;CHAR(34)&amp;SUBSTITUTE(CriteriTecnici!$C2168,CHAR(34),"'")&amp;CHAR(34)&amp;", "&amp;CHAR(34)&amp;"criterionId"&amp;CHAR(34)&amp;": "&amp;CHAR(34)&amp;SUBSTITUTE(CriteriTecnici!$D2168,CHAR(34),"'")&amp;CHAR(34)&amp;", "&amp;CHAR(34)&amp;"kind"&amp;CHAR(34)&amp;": "&amp;CHAR(34)&amp;SUBSTITUTE(CriteriTecnici!$F2168,CHAR(34),"'")&amp;CHAR(34)&amp;", "&amp;CHAR(34)&amp;"value"&amp;CHAR(34)&amp;": "&amp;SUBSTITUTE(TRIM(ROUND(IFERROR(CriteriTecnici!$N2168*1,IFERROR(NUMBERVALUE(CriteriTecnici!$N2168,".",","),IFERROR(NUMBERVALUE(CriteriTecnici!$N2168,",","."),0))),4)&amp;""),",",".")&amp;", "&amp;CHAR(34)&amp;"numerator"&amp;CHAR(34)&amp;": "&amp;SUBSTITUTE(TRIM(ROUND(IFERROR(CriteriTecnici!$K2168*1,IFERROR(NUMBERVALUE(CriteriTecnici!$K2168,".",","),IFERROR(NUMBERVALUE(CriteriTecnici!$K2168,",","."),0))),4)&amp;""),",",".")&amp;", "&amp;CHAR(34)&amp;"denominator"&amp;CHAR(34)&amp;": "&amp;SUBSTITUTE(TRIM(ROUND(IFERROR(CriteriTecnici!$L2168*1,IFERROR(NUMBERVALUE(CriteriTecnici!$L2168,".",","),IFERROR(NUMBERVALUE(CriteriTecnici!$L2168,",","."),0))),4)&amp;""),",",".")&amp;", "&amp;CHAR(34)&amp;"flag"&amp;CHAR(34)&amp;": "&amp;SUBSTITUTE(TRIM(ROUND(IFERROR(CriteriTecnici!$M2168*1,IFERROR(NUMBERVALUE(CriteriTecnici!$M2168,".",","),IFERROR(NUMBERVALUE(CriteriTecnici!$M2168,",","."),0))),4)&amp;""),",",".")&amp;", "&amp;CHAR(34)&amp;"rawScore"&amp;CHAR(34)&amp;": "&amp;SUBSTITUTE(TRIM(ROUND(IFERROR(CriteriTecnici!$O2168*1,IFERROR(NUMBERVALUE(CriteriTecnici!$O2168,".",","),IFERROR(NUMBERVALUE(CriteriTecnici!$O2168,",","."),0))),4)&amp;""),",",".")&amp;CHAR(125)&amp;IF(TRUE,",",""))</f>
        <v/>
      </c>
    </row>
    <row r="2270">
      <c r="A2270" s="82">
        <f>IF(CriteriTecnici!$A2169="","","    "&amp;CHAR(123)&amp;CHAR(34)&amp;"bidderId"&amp;CHAR(34)&amp;": "&amp;CHAR(34)&amp;SUBSTITUTE(CriteriTecnici!$A2169,CHAR(34),"'")&amp;CHAR(34)&amp;", "&amp;CHAR(34)&amp;"lotId"&amp;CHAR(34)&amp;": "&amp;CHAR(34)&amp;SUBSTITUTE(CriteriTecnici!$C2169,CHAR(34),"'")&amp;CHAR(34)&amp;", "&amp;CHAR(34)&amp;"criterionId"&amp;CHAR(34)&amp;": "&amp;CHAR(34)&amp;SUBSTITUTE(CriteriTecnici!$D2169,CHAR(34),"'")&amp;CHAR(34)&amp;", "&amp;CHAR(34)&amp;"kind"&amp;CHAR(34)&amp;": "&amp;CHAR(34)&amp;SUBSTITUTE(CriteriTecnici!$F2169,CHAR(34),"'")&amp;CHAR(34)&amp;", "&amp;CHAR(34)&amp;"value"&amp;CHAR(34)&amp;": "&amp;SUBSTITUTE(TRIM(ROUND(IFERROR(CriteriTecnici!$N2169*1,IFERROR(NUMBERVALUE(CriteriTecnici!$N2169,".",","),IFERROR(NUMBERVALUE(CriteriTecnici!$N2169,",","."),0))),4)&amp;""),",",".")&amp;", "&amp;CHAR(34)&amp;"numerator"&amp;CHAR(34)&amp;": "&amp;SUBSTITUTE(TRIM(ROUND(IFERROR(CriteriTecnici!$K2169*1,IFERROR(NUMBERVALUE(CriteriTecnici!$K2169,".",","),IFERROR(NUMBERVALUE(CriteriTecnici!$K2169,",","."),0))),4)&amp;""),",",".")&amp;", "&amp;CHAR(34)&amp;"denominator"&amp;CHAR(34)&amp;": "&amp;SUBSTITUTE(TRIM(ROUND(IFERROR(CriteriTecnici!$L2169*1,IFERROR(NUMBERVALUE(CriteriTecnici!$L2169,".",","),IFERROR(NUMBERVALUE(CriteriTecnici!$L2169,",","."),0))),4)&amp;""),",",".")&amp;", "&amp;CHAR(34)&amp;"flag"&amp;CHAR(34)&amp;": "&amp;SUBSTITUTE(TRIM(ROUND(IFERROR(CriteriTecnici!$M2169*1,IFERROR(NUMBERVALUE(CriteriTecnici!$M2169,".",","),IFERROR(NUMBERVALUE(CriteriTecnici!$M2169,",","."),0))),4)&amp;""),",",".")&amp;", "&amp;CHAR(34)&amp;"rawScore"&amp;CHAR(34)&amp;": "&amp;SUBSTITUTE(TRIM(ROUND(IFERROR(CriteriTecnici!$O2169*1,IFERROR(NUMBERVALUE(CriteriTecnici!$O2169,".",","),IFERROR(NUMBERVALUE(CriteriTecnici!$O2169,",","."),0))),4)&amp;""),",",".")&amp;CHAR(125)&amp;IF(TRUE,",",""))</f>
        <v/>
      </c>
    </row>
    <row r="2271">
      <c r="A2271" s="82">
        <f>IF(CriteriTecnici!$A2170="","","    "&amp;CHAR(123)&amp;CHAR(34)&amp;"bidderId"&amp;CHAR(34)&amp;": "&amp;CHAR(34)&amp;SUBSTITUTE(CriteriTecnici!$A2170,CHAR(34),"'")&amp;CHAR(34)&amp;", "&amp;CHAR(34)&amp;"lotId"&amp;CHAR(34)&amp;": "&amp;CHAR(34)&amp;SUBSTITUTE(CriteriTecnici!$C2170,CHAR(34),"'")&amp;CHAR(34)&amp;", "&amp;CHAR(34)&amp;"criterionId"&amp;CHAR(34)&amp;": "&amp;CHAR(34)&amp;SUBSTITUTE(CriteriTecnici!$D2170,CHAR(34),"'")&amp;CHAR(34)&amp;", "&amp;CHAR(34)&amp;"kind"&amp;CHAR(34)&amp;": "&amp;CHAR(34)&amp;SUBSTITUTE(CriteriTecnici!$F2170,CHAR(34),"'")&amp;CHAR(34)&amp;", "&amp;CHAR(34)&amp;"value"&amp;CHAR(34)&amp;": "&amp;SUBSTITUTE(TRIM(ROUND(IFERROR(CriteriTecnici!$N2170*1,IFERROR(NUMBERVALUE(CriteriTecnici!$N2170,".",","),IFERROR(NUMBERVALUE(CriteriTecnici!$N2170,",","."),0))),4)&amp;""),",",".")&amp;", "&amp;CHAR(34)&amp;"numerator"&amp;CHAR(34)&amp;": "&amp;SUBSTITUTE(TRIM(ROUND(IFERROR(CriteriTecnici!$K2170*1,IFERROR(NUMBERVALUE(CriteriTecnici!$K2170,".",","),IFERROR(NUMBERVALUE(CriteriTecnici!$K2170,",","."),0))),4)&amp;""),",",".")&amp;", "&amp;CHAR(34)&amp;"denominator"&amp;CHAR(34)&amp;": "&amp;SUBSTITUTE(TRIM(ROUND(IFERROR(CriteriTecnici!$L2170*1,IFERROR(NUMBERVALUE(CriteriTecnici!$L2170,".",","),IFERROR(NUMBERVALUE(CriteriTecnici!$L2170,",","."),0))),4)&amp;""),",",".")&amp;", "&amp;CHAR(34)&amp;"flag"&amp;CHAR(34)&amp;": "&amp;SUBSTITUTE(TRIM(ROUND(IFERROR(CriteriTecnici!$M2170*1,IFERROR(NUMBERVALUE(CriteriTecnici!$M2170,".",","),IFERROR(NUMBERVALUE(CriteriTecnici!$M2170,",","."),0))),4)&amp;""),",",".")&amp;", "&amp;CHAR(34)&amp;"rawScore"&amp;CHAR(34)&amp;": "&amp;SUBSTITUTE(TRIM(ROUND(IFERROR(CriteriTecnici!$O2170*1,IFERROR(NUMBERVALUE(CriteriTecnici!$O2170,".",","),IFERROR(NUMBERVALUE(CriteriTecnici!$O2170,",","."),0))),4)&amp;""),",",".")&amp;CHAR(125)&amp;IF(TRUE,",",""))</f>
        <v/>
      </c>
    </row>
    <row r="2272">
      <c r="A2272" s="82">
        <f>IF(CriteriTecnici!$A2171="","","    "&amp;CHAR(123)&amp;CHAR(34)&amp;"bidderId"&amp;CHAR(34)&amp;": "&amp;CHAR(34)&amp;SUBSTITUTE(CriteriTecnici!$A2171,CHAR(34),"'")&amp;CHAR(34)&amp;", "&amp;CHAR(34)&amp;"lotId"&amp;CHAR(34)&amp;": "&amp;CHAR(34)&amp;SUBSTITUTE(CriteriTecnici!$C2171,CHAR(34),"'")&amp;CHAR(34)&amp;", "&amp;CHAR(34)&amp;"criterionId"&amp;CHAR(34)&amp;": "&amp;CHAR(34)&amp;SUBSTITUTE(CriteriTecnici!$D2171,CHAR(34),"'")&amp;CHAR(34)&amp;", "&amp;CHAR(34)&amp;"kind"&amp;CHAR(34)&amp;": "&amp;CHAR(34)&amp;SUBSTITUTE(CriteriTecnici!$F2171,CHAR(34),"'")&amp;CHAR(34)&amp;", "&amp;CHAR(34)&amp;"value"&amp;CHAR(34)&amp;": "&amp;SUBSTITUTE(TRIM(ROUND(IFERROR(CriteriTecnici!$N2171*1,IFERROR(NUMBERVALUE(CriteriTecnici!$N2171,".",","),IFERROR(NUMBERVALUE(CriteriTecnici!$N2171,",","."),0))),4)&amp;""),",",".")&amp;", "&amp;CHAR(34)&amp;"numerator"&amp;CHAR(34)&amp;": "&amp;SUBSTITUTE(TRIM(ROUND(IFERROR(CriteriTecnici!$K2171*1,IFERROR(NUMBERVALUE(CriteriTecnici!$K2171,".",","),IFERROR(NUMBERVALUE(CriteriTecnici!$K2171,",","."),0))),4)&amp;""),",",".")&amp;", "&amp;CHAR(34)&amp;"denominator"&amp;CHAR(34)&amp;": "&amp;SUBSTITUTE(TRIM(ROUND(IFERROR(CriteriTecnici!$L2171*1,IFERROR(NUMBERVALUE(CriteriTecnici!$L2171,".",","),IFERROR(NUMBERVALUE(CriteriTecnici!$L2171,",","."),0))),4)&amp;""),",",".")&amp;", "&amp;CHAR(34)&amp;"flag"&amp;CHAR(34)&amp;": "&amp;SUBSTITUTE(TRIM(ROUND(IFERROR(CriteriTecnici!$M2171*1,IFERROR(NUMBERVALUE(CriteriTecnici!$M2171,".",","),IFERROR(NUMBERVALUE(CriteriTecnici!$M2171,",","."),0))),4)&amp;""),",",".")&amp;", "&amp;CHAR(34)&amp;"rawScore"&amp;CHAR(34)&amp;": "&amp;SUBSTITUTE(TRIM(ROUND(IFERROR(CriteriTecnici!$O2171*1,IFERROR(NUMBERVALUE(CriteriTecnici!$O2171,".",","),IFERROR(NUMBERVALUE(CriteriTecnici!$O2171,",","."),0))),4)&amp;""),",",".")&amp;CHAR(125)&amp;IF(TRUE,",",""))</f>
        <v/>
      </c>
    </row>
    <row r="2273">
      <c r="A2273" s="82">
        <f>IF(CriteriTecnici!$A2172="","","    "&amp;CHAR(123)&amp;CHAR(34)&amp;"bidderId"&amp;CHAR(34)&amp;": "&amp;CHAR(34)&amp;SUBSTITUTE(CriteriTecnici!$A2172,CHAR(34),"'")&amp;CHAR(34)&amp;", "&amp;CHAR(34)&amp;"lotId"&amp;CHAR(34)&amp;": "&amp;CHAR(34)&amp;SUBSTITUTE(CriteriTecnici!$C2172,CHAR(34),"'")&amp;CHAR(34)&amp;", "&amp;CHAR(34)&amp;"criterionId"&amp;CHAR(34)&amp;": "&amp;CHAR(34)&amp;SUBSTITUTE(CriteriTecnici!$D2172,CHAR(34),"'")&amp;CHAR(34)&amp;", "&amp;CHAR(34)&amp;"kind"&amp;CHAR(34)&amp;": "&amp;CHAR(34)&amp;SUBSTITUTE(CriteriTecnici!$F2172,CHAR(34),"'")&amp;CHAR(34)&amp;", "&amp;CHAR(34)&amp;"value"&amp;CHAR(34)&amp;": "&amp;SUBSTITUTE(TRIM(ROUND(IFERROR(CriteriTecnici!$N2172*1,IFERROR(NUMBERVALUE(CriteriTecnici!$N2172,".",","),IFERROR(NUMBERVALUE(CriteriTecnici!$N2172,",","."),0))),4)&amp;""),",",".")&amp;", "&amp;CHAR(34)&amp;"numerator"&amp;CHAR(34)&amp;": "&amp;SUBSTITUTE(TRIM(ROUND(IFERROR(CriteriTecnici!$K2172*1,IFERROR(NUMBERVALUE(CriteriTecnici!$K2172,".",","),IFERROR(NUMBERVALUE(CriteriTecnici!$K2172,",","."),0))),4)&amp;""),",",".")&amp;", "&amp;CHAR(34)&amp;"denominator"&amp;CHAR(34)&amp;": "&amp;SUBSTITUTE(TRIM(ROUND(IFERROR(CriteriTecnici!$L2172*1,IFERROR(NUMBERVALUE(CriteriTecnici!$L2172,".",","),IFERROR(NUMBERVALUE(CriteriTecnici!$L2172,",","."),0))),4)&amp;""),",",".")&amp;", "&amp;CHAR(34)&amp;"flag"&amp;CHAR(34)&amp;": "&amp;SUBSTITUTE(TRIM(ROUND(IFERROR(CriteriTecnici!$M2172*1,IFERROR(NUMBERVALUE(CriteriTecnici!$M2172,".",","),IFERROR(NUMBERVALUE(CriteriTecnici!$M2172,",","."),0))),4)&amp;""),",",".")&amp;", "&amp;CHAR(34)&amp;"rawScore"&amp;CHAR(34)&amp;": "&amp;SUBSTITUTE(TRIM(ROUND(IFERROR(CriteriTecnici!$O2172*1,IFERROR(NUMBERVALUE(CriteriTecnici!$O2172,".",","),IFERROR(NUMBERVALUE(CriteriTecnici!$O2172,",","."),0))),4)&amp;""),",",".")&amp;CHAR(125)&amp;IF(TRUE,",",""))</f>
        <v/>
      </c>
    </row>
    <row r="2274">
      <c r="A2274" s="82">
        <f>IF(CriteriTecnici!$A2173="","","    "&amp;CHAR(123)&amp;CHAR(34)&amp;"bidderId"&amp;CHAR(34)&amp;": "&amp;CHAR(34)&amp;SUBSTITUTE(CriteriTecnici!$A2173,CHAR(34),"'")&amp;CHAR(34)&amp;", "&amp;CHAR(34)&amp;"lotId"&amp;CHAR(34)&amp;": "&amp;CHAR(34)&amp;SUBSTITUTE(CriteriTecnici!$C2173,CHAR(34),"'")&amp;CHAR(34)&amp;", "&amp;CHAR(34)&amp;"criterionId"&amp;CHAR(34)&amp;": "&amp;CHAR(34)&amp;SUBSTITUTE(CriteriTecnici!$D2173,CHAR(34),"'")&amp;CHAR(34)&amp;", "&amp;CHAR(34)&amp;"kind"&amp;CHAR(34)&amp;": "&amp;CHAR(34)&amp;SUBSTITUTE(CriteriTecnici!$F2173,CHAR(34),"'")&amp;CHAR(34)&amp;", "&amp;CHAR(34)&amp;"value"&amp;CHAR(34)&amp;": "&amp;SUBSTITUTE(TRIM(ROUND(IFERROR(CriteriTecnici!$N2173*1,IFERROR(NUMBERVALUE(CriteriTecnici!$N2173,".",","),IFERROR(NUMBERVALUE(CriteriTecnici!$N2173,",","."),0))),4)&amp;""),",",".")&amp;", "&amp;CHAR(34)&amp;"numerator"&amp;CHAR(34)&amp;": "&amp;SUBSTITUTE(TRIM(ROUND(IFERROR(CriteriTecnici!$K2173*1,IFERROR(NUMBERVALUE(CriteriTecnici!$K2173,".",","),IFERROR(NUMBERVALUE(CriteriTecnici!$K2173,",","."),0))),4)&amp;""),",",".")&amp;", "&amp;CHAR(34)&amp;"denominator"&amp;CHAR(34)&amp;": "&amp;SUBSTITUTE(TRIM(ROUND(IFERROR(CriteriTecnici!$L2173*1,IFERROR(NUMBERVALUE(CriteriTecnici!$L2173,".",","),IFERROR(NUMBERVALUE(CriteriTecnici!$L2173,",","."),0))),4)&amp;""),",",".")&amp;", "&amp;CHAR(34)&amp;"flag"&amp;CHAR(34)&amp;": "&amp;SUBSTITUTE(TRIM(ROUND(IFERROR(CriteriTecnici!$M2173*1,IFERROR(NUMBERVALUE(CriteriTecnici!$M2173,".",","),IFERROR(NUMBERVALUE(CriteriTecnici!$M2173,",","."),0))),4)&amp;""),",",".")&amp;", "&amp;CHAR(34)&amp;"rawScore"&amp;CHAR(34)&amp;": "&amp;SUBSTITUTE(TRIM(ROUND(IFERROR(CriteriTecnici!$O2173*1,IFERROR(NUMBERVALUE(CriteriTecnici!$O2173,".",","),IFERROR(NUMBERVALUE(CriteriTecnici!$O2173,",","."),0))),4)&amp;""),",",".")&amp;CHAR(125)&amp;IF(TRUE,",",""))</f>
        <v/>
      </c>
    </row>
    <row r="2275">
      <c r="A2275" s="82">
        <f>IF(CriteriTecnici!$A2174="","","    "&amp;CHAR(123)&amp;CHAR(34)&amp;"bidderId"&amp;CHAR(34)&amp;": "&amp;CHAR(34)&amp;SUBSTITUTE(CriteriTecnici!$A2174,CHAR(34),"'")&amp;CHAR(34)&amp;", "&amp;CHAR(34)&amp;"lotId"&amp;CHAR(34)&amp;": "&amp;CHAR(34)&amp;SUBSTITUTE(CriteriTecnici!$C2174,CHAR(34),"'")&amp;CHAR(34)&amp;", "&amp;CHAR(34)&amp;"criterionId"&amp;CHAR(34)&amp;": "&amp;CHAR(34)&amp;SUBSTITUTE(CriteriTecnici!$D2174,CHAR(34),"'")&amp;CHAR(34)&amp;", "&amp;CHAR(34)&amp;"kind"&amp;CHAR(34)&amp;": "&amp;CHAR(34)&amp;SUBSTITUTE(CriteriTecnici!$F2174,CHAR(34),"'")&amp;CHAR(34)&amp;", "&amp;CHAR(34)&amp;"value"&amp;CHAR(34)&amp;": "&amp;SUBSTITUTE(TRIM(ROUND(IFERROR(CriteriTecnici!$N2174*1,IFERROR(NUMBERVALUE(CriteriTecnici!$N2174,".",","),IFERROR(NUMBERVALUE(CriteriTecnici!$N2174,",","."),0))),4)&amp;""),",",".")&amp;", "&amp;CHAR(34)&amp;"numerator"&amp;CHAR(34)&amp;": "&amp;SUBSTITUTE(TRIM(ROUND(IFERROR(CriteriTecnici!$K2174*1,IFERROR(NUMBERVALUE(CriteriTecnici!$K2174,".",","),IFERROR(NUMBERVALUE(CriteriTecnici!$K2174,",","."),0))),4)&amp;""),",",".")&amp;", "&amp;CHAR(34)&amp;"denominator"&amp;CHAR(34)&amp;": "&amp;SUBSTITUTE(TRIM(ROUND(IFERROR(CriteriTecnici!$L2174*1,IFERROR(NUMBERVALUE(CriteriTecnici!$L2174,".",","),IFERROR(NUMBERVALUE(CriteriTecnici!$L2174,",","."),0))),4)&amp;""),",",".")&amp;", "&amp;CHAR(34)&amp;"flag"&amp;CHAR(34)&amp;": "&amp;SUBSTITUTE(TRIM(ROUND(IFERROR(CriteriTecnici!$M2174*1,IFERROR(NUMBERVALUE(CriteriTecnici!$M2174,".",","),IFERROR(NUMBERVALUE(CriteriTecnici!$M2174,",","."),0))),4)&amp;""),",",".")&amp;", "&amp;CHAR(34)&amp;"rawScore"&amp;CHAR(34)&amp;": "&amp;SUBSTITUTE(TRIM(ROUND(IFERROR(CriteriTecnici!$O2174*1,IFERROR(NUMBERVALUE(CriteriTecnici!$O2174,".",","),IFERROR(NUMBERVALUE(CriteriTecnici!$O2174,",","."),0))),4)&amp;""),",",".")&amp;CHAR(125)&amp;IF(COUNTA(Offerte!$A72:$A$81)&gt;0,",",""))</f>
        <v/>
      </c>
    </row>
    <row r="2276">
      <c r="A2276" s="82">
        <f>IF(CriteriTecnici!$A2175="","","    "&amp;CHAR(123)&amp;CHAR(34)&amp;"bidderId"&amp;CHAR(34)&amp;": "&amp;CHAR(34)&amp;SUBSTITUTE(CriteriTecnici!$A2175,CHAR(34),"'")&amp;CHAR(34)&amp;", "&amp;CHAR(34)&amp;"lotId"&amp;CHAR(34)&amp;": "&amp;CHAR(34)&amp;SUBSTITUTE(CriteriTecnici!$C2175,CHAR(34),"'")&amp;CHAR(34)&amp;", "&amp;CHAR(34)&amp;"criterionId"&amp;CHAR(34)&amp;": "&amp;CHAR(34)&amp;SUBSTITUTE(CriteriTecnici!$D2175,CHAR(34),"'")&amp;CHAR(34)&amp;", "&amp;CHAR(34)&amp;"kind"&amp;CHAR(34)&amp;": "&amp;CHAR(34)&amp;SUBSTITUTE(CriteriTecnici!$F2175,CHAR(34),"'")&amp;CHAR(34)&amp;", "&amp;CHAR(34)&amp;"value"&amp;CHAR(34)&amp;": "&amp;SUBSTITUTE(TRIM(ROUND(IFERROR(CriteriTecnici!$N2175*1,IFERROR(NUMBERVALUE(CriteriTecnici!$N2175,".",","),IFERROR(NUMBERVALUE(CriteriTecnici!$N2175,",","."),0))),4)&amp;""),",",".")&amp;", "&amp;CHAR(34)&amp;"numerator"&amp;CHAR(34)&amp;": "&amp;SUBSTITUTE(TRIM(ROUND(IFERROR(CriteriTecnici!$K2175*1,IFERROR(NUMBERVALUE(CriteriTecnici!$K2175,".",","),IFERROR(NUMBERVALUE(CriteriTecnici!$K2175,",","."),0))),4)&amp;""),",",".")&amp;", "&amp;CHAR(34)&amp;"denominator"&amp;CHAR(34)&amp;": "&amp;SUBSTITUTE(TRIM(ROUND(IFERROR(CriteriTecnici!$L2175*1,IFERROR(NUMBERVALUE(CriteriTecnici!$L2175,".",","),IFERROR(NUMBERVALUE(CriteriTecnici!$L2175,",","."),0))),4)&amp;""),",",".")&amp;", "&amp;CHAR(34)&amp;"flag"&amp;CHAR(34)&amp;": "&amp;SUBSTITUTE(TRIM(ROUND(IFERROR(CriteriTecnici!$M2175*1,IFERROR(NUMBERVALUE(CriteriTecnici!$M2175,".",","),IFERROR(NUMBERVALUE(CriteriTecnici!$M2175,",","."),0))),4)&amp;""),",",".")&amp;", "&amp;CHAR(34)&amp;"rawScore"&amp;CHAR(34)&amp;": "&amp;SUBSTITUTE(TRIM(ROUND(IFERROR(CriteriTecnici!$O2175*1,IFERROR(NUMBERVALUE(CriteriTecnici!$O2175,".",","),IFERROR(NUMBERVALUE(CriteriTecnici!$O2175,",","."),0))),4)&amp;""),",",".")&amp;CHAR(125)&amp;IF(TRUE,",",""))</f>
        <v/>
      </c>
    </row>
    <row r="2277">
      <c r="A2277" s="82">
        <f>IF(CriteriTecnici!$A2176="","","    "&amp;CHAR(123)&amp;CHAR(34)&amp;"bidderId"&amp;CHAR(34)&amp;": "&amp;CHAR(34)&amp;SUBSTITUTE(CriteriTecnici!$A2176,CHAR(34),"'")&amp;CHAR(34)&amp;", "&amp;CHAR(34)&amp;"lotId"&amp;CHAR(34)&amp;": "&amp;CHAR(34)&amp;SUBSTITUTE(CriteriTecnici!$C2176,CHAR(34),"'")&amp;CHAR(34)&amp;", "&amp;CHAR(34)&amp;"criterionId"&amp;CHAR(34)&amp;": "&amp;CHAR(34)&amp;SUBSTITUTE(CriteriTecnici!$D2176,CHAR(34),"'")&amp;CHAR(34)&amp;", "&amp;CHAR(34)&amp;"kind"&amp;CHAR(34)&amp;": "&amp;CHAR(34)&amp;SUBSTITUTE(CriteriTecnici!$F2176,CHAR(34),"'")&amp;CHAR(34)&amp;", "&amp;CHAR(34)&amp;"value"&amp;CHAR(34)&amp;": "&amp;SUBSTITUTE(TRIM(ROUND(IFERROR(CriteriTecnici!$N2176*1,IFERROR(NUMBERVALUE(CriteriTecnici!$N2176,".",","),IFERROR(NUMBERVALUE(CriteriTecnici!$N2176,",","."),0))),4)&amp;""),",",".")&amp;", "&amp;CHAR(34)&amp;"numerator"&amp;CHAR(34)&amp;": "&amp;SUBSTITUTE(TRIM(ROUND(IFERROR(CriteriTecnici!$K2176*1,IFERROR(NUMBERVALUE(CriteriTecnici!$K2176,".",","),IFERROR(NUMBERVALUE(CriteriTecnici!$K2176,",","."),0))),4)&amp;""),",",".")&amp;", "&amp;CHAR(34)&amp;"denominator"&amp;CHAR(34)&amp;": "&amp;SUBSTITUTE(TRIM(ROUND(IFERROR(CriteriTecnici!$L2176*1,IFERROR(NUMBERVALUE(CriteriTecnici!$L2176,".",","),IFERROR(NUMBERVALUE(CriteriTecnici!$L2176,",","."),0))),4)&amp;""),",",".")&amp;", "&amp;CHAR(34)&amp;"flag"&amp;CHAR(34)&amp;": "&amp;SUBSTITUTE(TRIM(ROUND(IFERROR(CriteriTecnici!$M2176*1,IFERROR(NUMBERVALUE(CriteriTecnici!$M2176,".",","),IFERROR(NUMBERVALUE(CriteriTecnici!$M2176,",","."),0))),4)&amp;""),",",".")&amp;", "&amp;CHAR(34)&amp;"rawScore"&amp;CHAR(34)&amp;": "&amp;SUBSTITUTE(TRIM(ROUND(IFERROR(CriteriTecnici!$O2176*1,IFERROR(NUMBERVALUE(CriteriTecnici!$O2176,".",","),IFERROR(NUMBERVALUE(CriteriTecnici!$O2176,",","."),0))),4)&amp;""),",",".")&amp;CHAR(125)&amp;IF(TRUE,",",""))</f>
        <v/>
      </c>
    </row>
    <row r="2278">
      <c r="A2278" s="82">
        <f>IF(CriteriTecnici!$A2177="","","    "&amp;CHAR(123)&amp;CHAR(34)&amp;"bidderId"&amp;CHAR(34)&amp;": "&amp;CHAR(34)&amp;SUBSTITUTE(CriteriTecnici!$A2177,CHAR(34),"'")&amp;CHAR(34)&amp;", "&amp;CHAR(34)&amp;"lotId"&amp;CHAR(34)&amp;": "&amp;CHAR(34)&amp;SUBSTITUTE(CriteriTecnici!$C2177,CHAR(34),"'")&amp;CHAR(34)&amp;", "&amp;CHAR(34)&amp;"criterionId"&amp;CHAR(34)&amp;": "&amp;CHAR(34)&amp;SUBSTITUTE(CriteriTecnici!$D2177,CHAR(34),"'")&amp;CHAR(34)&amp;", "&amp;CHAR(34)&amp;"kind"&amp;CHAR(34)&amp;": "&amp;CHAR(34)&amp;SUBSTITUTE(CriteriTecnici!$F2177,CHAR(34),"'")&amp;CHAR(34)&amp;", "&amp;CHAR(34)&amp;"value"&amp;CHAR(34)&amp;": "&amp;SUBSTITUTE(TRIM(ROUND(IFERROR(CriteriTecnici!$N2177*1,IFERROR(NUMBERVALUE(CriteriTecnici!$N2177,".",","),IFERROR(NUMBERVALUE(CriteriTecnici!$N2177,",","."),0))),4)&amp;""),",",".")&amp;", "&amp;CHAR(34)&amp;"numerator"&amp;CHAR(34)&amp;": "&amp;SUBSTITUTE(TRIM(ROUND(IFERROR(CriteriTecnici!$K2177*1,IFERROR(NUMBERVALUE(CriteriTecnici!$K2177,".",","),IFERROR(NUMBERVALUE(CriteriTecnici!$K2177,",","."),0))),4)&amp;""),",",".")&amp;", "&amp;CHAR(34)&amp;"denominator"&amp;CHAR(34)&amp;": "&amp;SUBSTITUTE(TRIM(ROUND(IFERROR(CriteriTecnici!$L2177*1,IFERROR(NUMBERVALUE(CriteriTecnici!$L2177,".",","),IFERROR(NUMBERVALUE(CriteriTecnici!$L2177,",","."),0))),4)&amp;""),",",".")&amp;", "&amp;CHAR(34)&amp;"flag"&amp;CHAR(34)&amp;": "&amp;SUBSTITUTE(TRIM(ROUND(IFERROR(CriteriTecnici!$M2177*1,IFERROR(NUMBERVALUE(CriteriTecnici!$M2177,".",","),IFERROR(NUMBERVALUE(CriteriTecnici!$M2177,",","."),0))),4)&amp;""),",",".")&amp;", "&amp;CHAR(34)&amp;"rawScore"&amp;CHAR(34)&amp;": "&amp;SUBSTITUTE(TRIM(ROUND(IFERROR(CriteriTecnici!$O2177*1,IFERROR(NUMBERVALUE(CriteriTecnici!$O2177,".",","),IFERROR(NUMBERVALUE(CriteriTecnici!$O2177,",","."),0))),4)&amp;""),",",".")&amp;CHAR(125)&amp;IF(TRUE,",",""))</f>
        <v/>
      </c>
    </row>
    <row r="2279">
      <c r="A2279" s="82">
        <f>IF(CriteriTecnici!$A2178="","","    "&amp;CHAR(123)&amp;CHAR(34)&amp;"bidderId"&amp;CHAR(34)&amp;": "&amp;CHAR(34)&amp;SUBSTITUTE(CriteriTecnici!$A2178,CHAR(34),"'")&amp;CHAR(34)&amp;", "&amp;CHAR(34)&amp;"lotId"&amp;CHAR(34)&amp;": "&amp;CHAR(34)&amp;SUBSTITUTE(CriteriTecnici!$C2178,CHAR(34),"'")&amp;CHAR(34)&amp;", "&amp;CHAR(34)&amp;"criterionId"&amp;CHAR(34)&amp;": "&amp;CHAR(34)&amp;SUBSTITUTE(CriteriTecnici!$D2178,CHAR(34),"'")&amp;CHAR(34)&amp;", "&amp;CHAR(34)&amp;"kind"&amp;CHAR(34)&amp;": "&amp;CHAR(34)&amp;SUBSTITUTE(CriteriTecnici!$F2178,CHAR(34),"'")&amp;CHAR(34)&amp;", "&amp;CHAR(34)&amp;"value"&amp;CHAR(34)&amp;": "&amp;SUBSTITUTE(TRIM(ROUND(IFERROR(CriteriTecnici!$N2178*1,IFERROR(NUMBERVALUE(CriteriTecnici!$N2178,".",","),IFERROR(NUMBERVALUE(CriteriTecnici!$N2178,",","."),0))),4)&amp;""),",",".")&amp;", "&amp;CHAR(34)&amp;"numerator"&amp;CHAR(34)&amp;": "&amp;SUBSTITUTE(TRIM(ROUND(IFERROR(CriteriTecnici!$K2178*1,IFERROR(NUMBERVALUE(CriteriTecnici!$K2178,".",","),IFERROR(NUMBERVALUE(CriteriTecnici!$K2178,",","."),0))),4)&amp;""),",",".")&amp;", "&amp;CHAR(34)&amp;"denominator"&amp;CHAR(34)&amp;": "&amp;SUBSTITUTE(TRIM(ROUND(IFERROR(CriteriTecnici!$L2178*1,IFERROR(NUMBERVALUE(CriteriTecnici!$L2178,".",","),IFERROR(NUMBERVALUE(CriteriTecnici!$L2178,",","."),0))),4)&amp;""),",",".")&amp;", "&amp;CHAR(34)&amp;"flag"&amp;CHAR(34)&amp;": "&amp;SUBSTITUTE(TRIM(ROUND(IFERROR(CriteriTecnici!$M2178*1,IFERROR(NUMBERVALUE(CriteriTecnici!$M2178,".",","),IFERROR(NUMBERVALUE(CriteriTecnici!$M2178,",","."),0))),4)&amp;""),",",".")&amp;", "&amp;CHAR(34)&amp;"rawScore"&amp;CHAR(34)&amp;": "&amp;SUBSTITUTE(TRIM(ROUND(IFERROR(CriteriTecnici!$O2178*1,IFERROR(NUMBERVALUE(CriteriTecnici!$O2178,".",","),IFERROR(NUMBERVALUE(CriteriTecnici!$O2178,",","."),0))),4)&amp;""),",",".")&amp;CHAR(125)&amp;IF(TRUE,",",""))</f>
        <v/>
      </c>
    </row>
    <row r="2280">
      <c r="A2280" s="82">
        <f>IF(CriteriTecnici!$A2179="","","    "&amp;CHAR(123)&amp;CHAR(34)&amp;"bidderId"&amp;CHAR(34)&amp;": "&amp;CHAR(34)&amp;SUBSTITUTE(CriteriTecnici!$A2179,CHAR(34),"'")&amp;CHAR(34)&amp;", "&amp;CHAR(34)&amp;"lotId"&amp;CHAR(34)&amp;": "&amp;CHAR(34)&amp;SUBSTITUTE(CriteriTecnici!$C2179,CHAR(34),"'")&amp;CHAR(34)&amp;", "&amp;CHAR(34)&amp;"criterionId"&amp;CHAR(34)&amp;": "&amp;CHAR(34)&amp;SUBSTITUTE(CriteriTecnici!$D2179,CHAR(34),"'")&amp;CHAR(34)&amp;", "&amp;CHAR(34)&amp;"kind"&amp;CHAR(34)&amp;": "&amp;CHAR(34)&amp;SUBSTITUTE(CriteriTecnici!$F2179,CHAR(34),"'")&amp;CHAR(34)&amp;", "&amp;CHAR(34)&amp;"value"&amp;CHAR(34)&amp;": "&amp;SUBSTITUTE(TRIM(ROUND(IFERROR(CriteriTecnici!$N2179*1,IFERROR(NUMBERVALUE(CriteriTecnici!$N2179,".",","),IFERROR(NUMBERVALUE(CriteriTecnici!$N2179,",","."),0))),4)&amp;""),",",".")&amp;", "&amp;CHAR(34)&amp;"numerator"&amp;CHAR(34)&amp;": "&amp;SUBSTITUTE(TRIM(ROUND(IFERROR(CriteriTecnici!$K2179*1,IFERROR(NUMBERVALUE(CriteriTecnici!$K2179,".",","),IFERROR(NUMBERVALUE(CriteriTecnici!$K2179,",","."),0))),4)&amp;""),",",".")&amp;", "&amp;CHAR(34)&amp;"denominator"&amp;CHAR(34)&amp;": "&amp;SUBSTITUTE(TRIM(ROUND(IFERROR(CriteriTecnici!$L2179*1,IFERROR(NUMBERVALUE(CriteriTecnici!$L2179,".",","),IFERROR(NUMBERVALUE(CriteriTecnici!$L2179,",","."),0))),4)&amp;""),",",".")&amp;", "&amp;CHAR(34)&amp;"flag"&amp;CHAR(34)&amp;": "&amp;SUBSTITUTE(TRIM(ROUND(IFERROR(CriteriTecnici!$M2179*1,IFERROR(NUMBERVALUE(CriteriTecnici!$M2179,".",","),IFERROR(NUMBERVALUE(CriteriTecnici!$M2179,",","."),0))),4)&amp;""),",",".")&amp;", "&amp;CHAR(34)&amp;"rawScore"&amp;CHAR(34)&amp;": "&amp;SUBSTITUTE(TRIM(ROUND(IFERROR(CriteriTecnici!$O2179*1,IFERROR(NUMBERVALUE(CriteriTecnici!$O2179,".",","),IFERROR(NUMBERVALUE(CriteriTecnici!$O2179,",","."),0))),4)&amp;""),",",".")&amp;CHAR(125)&amp;IF(TRUE,",",""))</f>
        <v/>
      </c>
    </row>
    <row r="2281">
      <c r="A2281" s="82">
        <f>IF(CriteriTecnici!$A2180="","","    "&amp;CHAR(123)&amp;CHAR(34)&amp;"bidderId"&amp;CHAR(34)&amp;": "&amp;CHAR(34)&amp;SUBSTITUTE(CriteriTecnici!$A2180,CHAR(34),"'")&amp;CHAR(34)&amp;", "&amp;CHAR(34)&amp;"lotId"&amp;CHAR(34)&amp;": "&amp;CHAR(34)&amp;SUBSTITUTE(CriteriTecnici!$C2180,CHAR(34),"'")&amp;CHAR(34)&amp;", "&amp;CHAR(34)&amp;"criterionId"&amp;CHAR(34)&amp;": "&amp;CHAR(34)&amp;SUBSTITUTE(CriteriTecnici!$D2180,CHAR(34),"'")&amp;CHAR(34)&amp;", "&amp;CHAR(34)&amp;"kind"&amp;CHAR(34)&amp;": "&amp;CHAR(34)&amp;SUBSTITUTE(CriteriTecnici!$F2180,CHAR(34),"'")&amp;CHAR(34)&amp;", "&amp;CHAR(34)&amp;"value"&amp;CHAR(34)&amp;": "&amp;SUBSTITUTE(TRIM(ROUND(IFERROR(CriteriTecnici!$N2180*1,IFERROR(NUMBERVALUE(CriteriTecnici!$N2180,".",","),IFERROR(NUMBERVALUE(CriteriTecnici!$N2180,",","."),0))),4)&amp;""),",",".")&amp;", "&amp;CHAR(34)&amp;"numerator"&amp;CHAR(34)&amp;": "&amp;SUBSTITUTE(TRIM(ROUND(IFERROR(CriteriTecnici!$K2180*1,IFERROR(NUMBERVALUE(CriteriTecnici!$K2180,".",","),IFERROR(NUMBERVALUE(CriteriTecnici!$K2180,",","."),0))),4)&amp;""),",",".")&amp;", "&amp;CHAR(34)&amp;"denominator"&amp;CHAR(34)&amp;": "&amp;SUBSTITUTE(TRIM(ROUND(IFERROR(CriteriTecnici!$L2180*1,IFERROR(NUMBERVALUE(CriteriTecnici!$L2180,".",","),IFERROR(NUMBERVALUE(CriteriTecnici!$L2180,",","."),0))),4)&amp;""),",",".")&amp;", "&amp;CHAR(34)&amp;"flag"&amp;CHAR(34)&amp;": "&amp;SUBSTITUTE(TRIM(ROUND(IFERROR(CriteriTecnici!$M2180*1,IFERROR(NUMBERVALUE(CriteriTecnici!$M2180,".",","),IFERROR(NUMBERVALUE(CriteriTecnici!$M2180,",","."),0))),4)&amp;""),",",".")&amp;", "&amp;CHAR(34)&amp;"rawScore"&amp;CHAR(34)&amp;": "&amp;SUBSTITUTE(TRIM(ROUND(IFERROR(CriteriTecnici!$O2180*1,IFERROR(NUMBERVALUE(CriteriTecnici!$O2180,".",","),IFERROR(NUMBERVALUE(CriteriTecnici!$O2180,",","."),0))),4)&amp;""),",",".")&amp;CHAR(125)&amp;IF(TRUE,",",""))</f>
        <v/>
      </c>
    </row>
    <row r="2282">
      <c r="A2282" s="82">
        <f>IF(CriteriTecnici!$A2181="","","    "&amp;CHAR(123)&amp;CHAR(34)&amp;"bidderId"&amp;CHAR(34)&amp;": "&amp;CHAR(34)&amp;SUBSTITUTE(CriteriTecnici!$A2181,CHAR(34),"'")&amp;CHAR(34)&amp;", "&amp;CHAR(34)&amp;"lotId"&amp;CHAR(34)&amp;": "&amp;CHAR(34)&amp;SUBSTITUTE(CriteriTecnici!$C2181,CHAR(34),"'")&amp;CHAR(34)&amp;", "&amp;CHAR(34)&amp;"criterionId"&amp;CHAR(34)&amp;": "&amp;CHAR(34)&amp;SUBSTITUTE(CriteriTecnici!$D2181,CHAR(34),"'")&amp;CHAR(34)&amp;", "&amp;CHAR(34)&amp;"kind"&amp;CHAR(34)&amp;": "&amp;CHAR(34)&amp;SUBSTITUTE(CriteriTecnici!$F2181,CHAR(34),"'")&amp;CHAR(34)&amp;", "&amp;CHAR(34)&amp;"value"&amp;CHAR(34)&amp;": "&amp;SUBSTITUTE(TRIM(ROUND(IFERROR(CriteriTecnici!$N2181*1,IFERROR(NUMBERVALUE(CriteriTecnici!$N2181,".",","),IFERROR(NUMBERVALUE(CriteriTecnici!$N2181,",","."),0))),4)&amp;""),",",".")&amp;", "&amp;CHAR(34)&amp;"numerator"&amp;CHAR(34)&amp;": "&amp;SUBSTITUTE(TRIM(ROUND(IFERROR(CriteriTecnici!$K2181*1,IFERROR(NUMBERVALUE(CriteriTecnici!$K2181,".",","),IFERROR(NUMBERVALUE(CriteriTecnici!$K2181,",","."),0))),4)&amp;""),",",".")&amp;", "&amp;CHAR(34)&amp;"denominator"&amp;CHAR(34)&amp;": "&amp;SUBSTITUTE(TRIM(ROUND(IFERROR(CriteriTecnici!$L2181*1,IFERROR(NUMBERVALUE(CriteriTecnici!$L2181,".",","),IFERROR(NUMBERVALUE(CriteriTecnici!$L2181,",","."),0))),4)&amp;""),",",".")&amp;", "&amp;CHAR(34)&amp;"flag"&amp;CHAR(34)&amp;": "&amp;SUBSTITUTE(TRIM(ROUND(IFERROR(CriteriTecnici!$M2181*1,IFERROR(NUMBERVALUE(CriteriTecnici!$M2181,".",","),IFERROR(NUMBERVALUE(CriteriTecnici!$M2181,",","."),0))),4)&amp;""),",",".")&amp;", "&amp;CHAR(34)&amp;"rawScore"&amp;CHAR(34)&amp;": "&amp;SUBSTITUTE(TRIM(ROUND(IFERROR(CriteriTecnici!$O2181*1,IFERROR(NUMBERVALUE(CriteriTecnici!$O2181,".",","),IFERROR(NUMBERVALUE(CriteriTecnici!$O2181,",","."),0))),4)&amp;""),",",".")&amp;CHAR(125)&amp;IF(TRUE,",",""))</f>
        <v/>
      </c>
    </row>
    <row r="2283">
      <c r="A2283" s="82">
        <f>IF(CriteriTecnici!$A2182="","","    "&amp;CHAR(123)&amp;CHAR(34)&amp;"bidderId"&amp;CHAR(34)&amp;": "&amp;CHAR(34)&amp;SUBSTITUTE(CriteriTecnici!$A2182,CHAR(34),"'")&amp;CHAR(34)&amp;", "&amp;CHAR(34)&amp;"lotId"&amp;CHAR(34)&amp;": "&amp;CHAR(34)&amp;SUBSTITUTE(CriteriTecnici!$C2182,CHAR(34),"'")&amp;CHAR(34)&amp;", "&amp;CHAR(34)&amp;"criterionId"&amp;CHAR(34)&amp;": "&amp;CHAR(34)&amp;SUBSTITUTE(CriteriTecnici!$D2182,CHAR(34),"'")&amp;CHAR(34)&amp;", "&amp;CHAR(34)&amp;"kind"&amp;CHAR(34)&amp;": "&amp;CHAR(34)&amp;SUBSTITUTE(CriteriTecnici!$F2182,CHAR(34),"'")&amp;CHAR(34)&amp;", "&amp;CHAR(34)&amp;"value"&amp;CHAR(34)&amp;": "&amp;SUBSTITUTE(TRIM(ROUND(IFERROR(CriteriTecnici!$N2182*1,IFERROR(NUMBERVALUE(CriteriTecnici!$N2182,".",","),IFERROR(NUMBERVALUE(CriteriTecnici!$N2182,",","."),0))),4)&amp;""),",",".")&amp;", "&amp;CHAR(34)&amp;"numerator"&amp;CHAR(34)&amp;": "&amp;SUBSTITUTE(TRIM(ROUND(IFERROR(CriteriTecnici!$K2182*1,IFERROR(NUMBERVALUE(CriteriTecnici!$K2182,".",","),IFERROR(NUMBERVALUE(CriteriTecnici!$K2182,",","."),0))),4)&amp;""),",",".")&amp;", "&amp;CHAR(34)&amp;"denominator"&amp;CHAR(34)&amp;": "&amp;SUBSTITUTE(TRIM(ROUND(IFERROR(CriteriTecnici!$L2182*1,IFERROR(NUMBERVALUE(CriteriTecnici!$L2182,".",","),IFERROR(NUMBERVALUE(CriteriTecnici!$L2182,",","."),0))),4)&amp;""),",",".")&amp;", "&amp;CHAR(34)&amp;"flag"&amp;CHAR(34)&amp;": "&amp;SUBSTITUTE(TRIM(ROUND(IFERROR(CriteriTecnici!$M2182*1,IFERROR(NUMBERVALUE(CriteriTecnici!$M2182,".",","),IFERROR(NUMBERVALUE(CriteriTecnici!$M2182,",","."),0))),4)&amp;""),",",".")&amp;", "&amp;CHAR(34)&amp;"rawScore"&amp;CHAR(34)&amp;": "&amp;SUBSTITUTE(TRIM(ROUND(IFERROR(CriteriTecnici!$O2182*1,IFERROR(NUMBERVALUE(CriteriTecnici!$O2182,".",","),IFERROR(NUMBERVALUE(CriteriTecnici!$O2182,",","."),0))),4)&amp;""),",",".")&amp;CHAR(125)&amp;IF(TRUE,",",""))</f>
        <v/>
      </c>
    </row>
    <row r="2284">
      <c r="A2284" s="82">
        <f>IF(CriteriTecnici!$A2183="","","    "&amp;CHAR(123)&amp;CHAR(34)&amp;"bidderId"&amp;CHAR(34)&amp;": "&amp;CHAR(34)&amp;SUBSTITUTE(CriteriTecnici!$A2183,CHAR(34),"'")&amp;CHAR(34)&amp;", "&amp;CHAR(34)&amp;"lotId"&amp;CHAR(34)&amp;": "&amp;CHAR(34)&amp;SUBSTITUTE(CriteriTecnici!$C2183,CHAR(34),"'")&amp;CHAR(34)&amp;", "&amp;CHAR(34)&amp;"criterionId"&amp;CHAR(34)&amp;": "&amp;CHAR(34)&amp;SUBSTITUTE(CriteriTecnici!$D2183,CHAR(34),"'")&amp;CHAR(34)&amp;", "&amp;CHAR(34)&amp;"kind"&amp;CHAR(34)&amp;": "&amp;CHAR(34)&amp;SUBSTITUTE(CriteriTecnici!$F2183,CHAR(34),"'")&amp;CHAR(34)&amp;", "&amp;CHAR(34)&amp;"value"&amp;CHAR(34)&amp;": "&amp;SUBSTITUTE(TRIM(ROUND(IFERROR(CriteriTecnici!$N2183*1,IFERROR(NUMBERVALUE(CriteriTecnici!$N2183,".",","),IFERROR(NUMBERVALUE(CriteriTecnici!$N2183,",","."),0))),4)&amp;""),",",".")&amp;", "&amp;CHAR(34)&amp;"numerator"&amp;CHAR(34)&amp;": "&amp;SUBSTITUTE(TRIM(ROUND(IFERROR(CriteriTecnici!$K2183*1,IFERROR(NUMBERVALUE(CriteriTecnici!$K2183,".",","),IFERROR(NUMBERVALUE(CriteriTecnici!$K2183,",","."),0))),4)&amp;""),",",".")&amp;", "&amp;CHAR(34)&amp;"denominator"&amp;CHAR(34)&amp;": "&amp;SUBSTITUTE(TRIM(ROUND(IFERROR(CriteriTecnici!$L2183*1,IFERROR(NUMBERVALUE(CriteriTecnici!$L2183,".",","),IFERROR(NUMBERVALUE(CriteriTecnici!$L2183,",","."),0))),4)&amp;""),",",".")&amp;", "&amp;CHAR(34)&amp;"flag"&amp;CHAR(34)&amp;": "&amp;SUBSTITUTE(TRIM(ROUND(IFERROR(CriteriTecnici!$M2183*1,IFERROR(NUMBERVALUE(CriteriTecnici!$M2183,".",","),IFERROR(NUMBERVALUE(CriteriTecnici!$M2183,",","."),0))),4)&amp;""),",",".")&amp;", "&amp;CHAR(34)&amp;"rawScore"&amp;CHAR(34)&amp;": "&amp;SUBSTITUTE(TRIM(ROUND(IFERROR(CriteriTecnici!$O2183*1,IFERROR(NUMBERVALUE(CriteriTecnici!$O2183,".",","),IFERROR(NUMBERVALUE(CriteriTecnici!$O2183,",","."),0))),4)&amp;""),",",".")&amp;CHAR(125)&amp;IF(TRUE,",",""))</f>
        <v/>
      </c>
    </row>
    <row r="2285">
      <c r="A2285" s="82">
        <f>IF(CriteriTecnici!$A2184="","","    "&amp;CHAR(123)&amp;CHAR(34)&amp;"bidderId"&amp;CHAR(34)&amp;": "&amp;CHAR(34)&amp;SUBSTITUTE(CriteriTecnici!$A2184,CHAR(34),"'")&amp;CHAR(34)&amp;", "&amp;CHAR(34)&amp;"lotId"&amp;CHAR(34)&amp;": "&amp;CHAR(34)&amp;SUBSTITUTE(CriteriTecnici!$C2184,CHAR(34),"'")&amp;CHAR(34)&amp;", "&amp;CHAR(34)&amp;"criterionId"&amp;CHAR(34)&amp;": "&amp;CHAR(34)&amp;SUBSTITUTE(CriteriTecnici!$D2184,CHAR(34),"'")&amp;CHAR(34)&amp;", "&amp;CHAR(34)&amp;"kind"&amp;CHAR(34)&amp;": "&amp;CHAR(34)&amp;SUBSTITUTE(CriteriTecnici!$F2184,CHAR(34),"'")&amp;CHAR(34)&amp;", "&amp;CHAR(34)&amp;"value"&amp;CHAR(34)&amp;": "&amp;SUBSTITUTE(TRIM(ROUND(IFERROR(CriteriTecnici!$N2184*1,IFERROR(NUMBERVALUE(CriteriTecnici!$N2184,".",","),IFERROR(NUMBERVALUE(CriteriTecnici!$N2184,",","."),0))),4)&amp;""),",",".")&amp;", "&amp;CHAR(34)&amp;"numerator"&amp;CHAR(34)&amp;": "&amp;SUBSTITUTE(TRIM(ROUND(IFERROR(CriteriTecnici!$K2184*1,IFERROR(NUMBERVALUE(CriteriTecnici!$K2184,".",","),IFERROR(NUMBERVALUE(CriteriTecnici!$K2184,",","."),0))),4)&amp;""),",",".")&amp;", "&amp;CHAR(34)&amp;"denominator"&amp;CHAR(34)&amp;": "&amp;SUBSTITUTE(TRIM(ROUND(IFERROR(CriteriTecnici!$L2184*1,IFERROR(NUMBERVALUE(CriteriTecnici!$L2184,".",","),IFERROR(NUMBERVALUE(CriteriTecnici!$L2184,",","."),0))),4)&amp;""),",",".")&amp;", "&amp;CHAR(34)&amp;"flag"&amp;CHAR(34)&amp;": "&amp;SUBSTITUTE(TRIM(ROUND(IFERROR(CriteriTecnici!$M2184*1,IFERROR(NUMBERVALUE(CriteriTecnici!$M2184,".",","),IFERROR(NUMBERVALUE(CriteriTecnici!$M2184,",","."),0))),4)&amp;""),",",".")&amp;", "&amp;CHAR(34)&amp;"rawScore"&amp;CHAR(34)&amp;": "&amp;SUBSTITUTE(TRIM(ROUND(IFERROR(CriteriTecnici!$O2184*1,IFERROR(NUMBERVALUE(CriteriTecnici!$O2184,".",","),IFERROR(NUMBERVALUE(CriteriTecnici!$O2184,",","."),0))),4)&amp;""),",",".")&amp;CHAR(125)&amp;IF(TRUE,",",""))</f>
        <v/>
      </c>
    </row>
    <row r="2286">
      <c r="A2286" s="82">
        <f>IF(CriteriTecnici!$A2185="","","    "&amp;CHAR(123)&amp;CHAR(34)&amp;"bidderId"&amp;CHAR(34)&amp;": "&amp;CHAR(34)&amp;SUBSTITUTE(CriteriTecnici!$A2185,CHAR(34),"'")&amp;CHAR(34)&amp;", "&amp;CHAR(34)&amp;"lotId"&amp;CHAR(34)&amp;": "&amp;CHAR(34)&amp;SUBSTITUTE(CriteriTecnici!$C2185,CHAR(34),"'")&amp;CHAR(34)&amp;", "&amp;CHAR(34)&amp;"criterionId"&amp;CHAR(34)&amp;": "&amp;CHAR(34)&amp;SUBSTITUTE(CriteriTecnici!$D2185,CHAR(34),"'")&amp;CHAR(34)&amp;", "&amp;CHAR(34)&amp;"kind"&amp;CHAR(34)&amp;": "&amp;CHAR(34)&amp;SUBSTITUTE(CriteriTecnici!$F2185,CHAR(34),"'")&amp;CHAR(34)&amp;", "&amp;CHAR(34)&amp;"value"&amp;CHAR(34)&amp;": "&amp;SUBSTITUTE(TRIM(ROUND(IFERROR(CriteriTecnici!$N2185*1,IFERROR(NUMBERVALUE(CriteriTecnici!$N2185,".",","),IFERROR(NUMBERVALUE(CriteriTecnici!$N2185,",","."),0))),4)&amp;""),",",".")&amp;", "&amp;CHAR(34)&amp;"numerator"&amp;CHAR(34)&amp;": "&amp;SUBSTITUTE(TRIM(ROUND(IFERROR(CriteriTecnici!$K2185*1,IFERROR(NUMBERVALUE(CriteriTecnici!$K2185,".",","),IFERROR(NUMBERVALUE(CriteriTecnici!$K2185,",","."),0))),4)&amp;""),",",".")&amp;", "&amp;CHAR(34)&amp;"denominator"&amp;CHAR(34)&amp;": "&amp;SUBSTITUTE(TRIM(ROUND(IFERROR(CriteriTecnici!$L2185*1,IFERROR(NUMBERVALUE(CriteriTecnici!$L2185,".",","),IFERROR(NUMBERVALUE(CriteriTecnici!$L2185,",","."),0))),4)&amp;""),",",".")&amp;", "&amp;CHAR(34)&amp;"flag"&amp;CHAR(34)&amp;": "&amp;SUBSTITUTE(TRIM(ROUND(IFERROR(CriteriTecnici!$M2185*1,IFERROR(NUMBERVALUE(CriteriTecnici!$M2185,".",","),IFERROR(NUMBERVALUE(CriteriTecnici!$M2185,",","."),0))),4)&amp;""),",",".")&amp;", "&amp;CHAR(34)&amp;"rawScore"&amp;CHAR(34)&amp;": "&amp;SUBSTITUTE(TRIM(ROUND(IFERROR(CriteriTecnici!$O2185*1,IFERROR(NUMBERVALUE(CriteriTecnici!$O2185,".",","),IFERROR(NUMBERVALUE(CriteriTecnici!$O2185,",","."),0))),4)&amp;""),",",".")&amp;CHAR(125)&amp;IF(TRUE,",",""))</f>
        <v/>
      </c>
    </row>
    <row r="2287">
      <c r="A2287" s="82">
        <f>IF(CriteriTecnici!$A2186="","","    "&amp;CHAR(123)&amp;CHAR(34)&amp;"bidderId"&amp;CHAR(34)&amp;": "&amp;CHAR(34)&amp;SUBSTITUTE(CriteriTecnici!$A2186,CHAR(34),"'")&amp;CHAR(34)&amp;", "&amp;CHAR(34)&amp;"lotId"&amp;CHAR(34)&amp;": "&amp;CHAR(34)&amp;SUBSTITUTE(CriteriTecnici!$C2186,CHAR(34),"'")&amp;CHAR(34)&amp;", "&amp;CHAR(34)&amp;"criterionId"&amp;CHAR(34)&amp;": "&amp;CHAR(34)&amp;SUBSTITUTE(CriteriTecnici!$D2186,CHAR(34),"'")&amp;CHAR(34)&amp;", "&amp;CHAR(34)&amp;"kind"&amp;CHAR(34)&amp;": "&amp;CHAR(34)&amp;SUBSTITUTE(CriteriTecnici!$F2186,CHAR(34),"'")&amp;CHAR(34)&amp;", "&amp;CHAR(34)&amp;"value"&amp;CHAR(34)&amp;": "&amp;SUBSTITUTE(TRIM(ROUND(IFERROR(CriteriTecnici!$N2186*1,IFERROR(NUMBERVALUE(CriteriTecnici!$N2186,".",","),IFERROR(NUMBERVALUE(CriteriTecnici!$N2186,",","."),0))),4)&amp;""),",",".")&amp;", "&amp;CHAR(34)&amp;"numerator"&amp;CHAR(34)&amp;": "&amp;SUBSTITUTE(TRIM(ROUND(IFERROR(CriteriTecnici!$K2186*1,IFERROR(NUMBERVALUE(CriteriTecnici!$K2186,".",","),IFERROR(NUMBERVALUE(CriteriTecnici!$K2186,",","."),0))),4)&amp;""),",",".")&amp;", "&amp;CHAR(34)&amp;"denominator"&amp;CHAR(34)&amp;": "&amp;SUBSTITUTE(TRIM(ROUND(IFERROR(CriteriTecnici!$L2186*1,IFERROR(NUMBERVALUE(CriteriTecnici!$L2186,".",","),IFERROR(NUMBERVALUE(CriteriTecnici!$L2186,",","."),0))),4)&amp;""),",",".")&amp;", "&amp;CHAR(34)&amp;"flag"&amp;CHAR(34)&amp;": "&amp;SUBSTITUTE(TRIM(ROUND(IFERROR(CriteriTecnici!$M2186*1,IFERROR(NUMBERVALUE(CriteriTecnici!$M2186,".",","),IFERROR(NUMBERVALUE(CriteriTecnici!$M2186,",","."),0))),4)&amp;""),",",".")&amp;", "&amp;CHAR(34)&amp;"rawScore"&amp;CHAR(34)&amp;": "&amp;SUBSTITUTE(TRIM(ROUND(IFERROR(CriteriTecnici!$O2186*1,IFERROR(NUMBERVALUE(CriteriTecnici!$O2186,".",","),IFERROR(NUMBERVALUE(CriteriTecnici!$O2186,",","."),0))),4)&amp;""),",",".")&amp;CHAR(125)&amp;IF(TRUE,",",""))</f>
        <v/>
      </c>
    </row>
    <row r="2288">
      <c r="A2288" s="82">
        <f>IF(CriteriTecnici!$A2187="","","    "&amp;CHAR(123)&amp;CHAR(34)&amp;"bidderId"&amp;CHAR(34)&amp;": "&amp;CHAR(34)&amp;SUBSTITUTE(CriteriTecnici!$A2187,CHAR(34),"'")&amp;CHAR(34)&amp;", "&amp;CHAR(34)&amp;"lotId"&amp;CHAR(34)&amp;": "&amp;CHAR(34)&amp;SUBSTITUTE(CriteriTecnici!$C2187,CHAR(34),"'")&amp;CHAR(34)&amp;", "&amp;CHAR(34)&amp;"criterionId"&amp;CHAR(34)&amp;": "&amp;CHAR(34)&amp;SUBSTITUTE(CriteriTecnici!$D2187,CHAR(34),"'")&amp;CHAR(34)&amp;", "&amp;CHAR(34)&amp;"kind"&amp;CHAR(34)&amp;": "&amp;CHAR(34)&amp;SUBSTITUTE(CriteriTecnici!$F2187,CHAR(34),"'")&amp;CHAR(34)&amp;", "&amp;CHAR(34)&amp;"value"&amp;CHAR(34)&amp;": "&amp;SUBSTITUTE(TRIM(ROUND(IFERROR(CriteriTecnici!$N2187*1,IFERROR(NUMBERVALUE(CriteriTecnici!$N2187,".",","),IFERROR(NUMBERVALUE(CriteriTecnici!$N2187,",","."),0))),4)&amp;""),",",".")&amp;", "&amp;CHAR(34)&amp;"numerator"&amp;CHAR(34)&amp;": "&amp;SUBSTITUTE(TRIM(ROUND(IFERROR(CriteriTecnici!$K2187*1,IFERROR(NUMBERVALUE(CriteriTecnici!$K2187,".",","),IFERROR(NUMBERVALUE(CriteriTecnici!$K2187,",","."),0))),4)&amp;""),",",".")&amp;", "&amp;CHAR(34)&amp;"denominator"&amp;CHAR(34)&amp;": "&amp;SUBSTITUTE(TRIM(ROUND(IFERROR(CriteriTecnici!$L2187*1,IFERROR(NUMBERVALUE(CriteriTecnici!$L2187,".",","),IFERROR(NUMBERVALUE(CriteriTecnici!$L2187,",","."),0))),4)&amp;""),",",".")&amp;", "&amp;CHAR(34)&amp;"flag"&amp;CHAR(34)&amp;": "&amp;SUBSTITUTE(TRIM(ROUND(IFERROR(CriteriTecnici!$M2187*1,IFERROR(NUMBERVALUE(CriteriTecnici!$M2187,".",","),IFERROR(NUMBERVALUE(CriteriTecnici!$M2187,",","."),0))),4)&amp;""),",",".")&amp;", "&amp;CHAR(34)&amp;"rawScore"&amp;CHAR(34)&amp;": "&amp;SUBSTITUTE(TRIM(ROUND(IFERROR(CriteriTecnici!$O2187*1,IFERROR(NUMBERVALUE(CriteriTecnici!$O2187,".",","),IFERROR(NUMBERVALUE(CriteriTecnici!$O2187,",","."),0))),4)&amp;""),",",".")&amp;CHAR(125)&amp;IF(TRUE,",",""))</f>
        <v/>
      </c>
    </row>
    <row r="2289">
      <c r="A2289" s="82">
        <f>IF(CriteriTecnici!$A2188="","","    "&amp;CHAR(123)&amp;CHAR(34)&amp;"bidderId"&amp;CHAR(34)&amp;": "&amp;CHAR(34)&amp;SUBSTITUTE(CriteriTecnici!$A2188,CHAR(34),"'")&amp;CHAR(34)&amp;", "&amp;CHAR(34)&amp;"lotId"&amp;CHAR(34)&amp;": "&amp;CHAR(34)&amp;SUBSTITUTE(CriteriTecnici!$C2188,CHAR(34),"'")&amp;CHAR(34)&amp;", "&amp;CHAR(34)&amp;"criterionId"&amp;CHAR(34)&amp;": "&amp;CHAR(34)&amp;SUBSTITUTE(CriteriTecnici!$D2188,CHAR(34),"'")&amp;CHAR(34)&amp;", "&amp;CHAR(34)&amp;"kind"&amp;CHAR(34)&amp;": "&amp;CHAR(34)&amp;SUBSTITUTE(CriteriTecnici!$F2188,CHAR(34),"'")&amp;CHAR(34)&amp;", "&amp;CHAR(34)&amp;"value"&amp;CHAR(34)&amp;": "&amp;SUBSTITUTE(TRIM(ROUND(IFERROR(CriteriTecnici!$N2188*1,IFERROR(NUMBERVALUE(CriteriTecnici!$N2188,".",","),IFERROR(NUMBERVALUE(CriteriTecnici!$N2188,",","."),0))),4)&amp;""),",",".")&amp;", "&amp;CHAR(34)&amp;"numerator"&amp;CHAR(34)&amp;": "&amp;SUBSTITUTE(TRIM(ROUND(IFERROR(CriteriTecnici!$K2188*1,IFERROR(NUMBERVALUE(CriteriTecnici!$K2188,".",","),IFERROR(NUMBERVALUE(CriteriTecnici!$K2188,",","."),0))),4)&amp;""),",",".")&amp;", "&amp;CHAR(34)&amp;"denominator"&amp;CHAR(34)&amp;": "&amp;SUBSTITUTE(TRIM(ROUND(IFERROR(CriteriTecnici!$L2188*1,IFERROR(NUMBERVALUE(CriteriTecnici!$L2188,".",","),IFERROR(NUMBERVALUE(CriteriTecnici!$L2188,",","."),0))),4)&amp;""),",",".")&amp;", "&amp;CHAR(34)&amp;"flag"&amp;CHAR(34)&amp;": "&amp;SUBSTITUTE(TRIM(ROUND(IFERROR(CriteriTecnici!$M2188*1,IFERROR(NUMBERVALUE(CriteriTecnici!$M2188,".",","),IFERROR(NUMBERVALUE(CriteriTecnici!$M2188,",","."),0))),4)&amp;""),",",".")&amp;", "&amp;CHAR(34)&amp;"rawScore"&amp;CHAR(34)&amp;": "&amp;SUBSTITUTE(TRIM(ROUND(IFERROR(CriteriTecnici!$O2188*1,IFERROR(NUMBERVALUE(CriteriTecnici!$O2188,".",","),IFERROR(NUMBERVALUE(CriteriTecnici!$O2188,",","."),0))),4)&amp;""),",",".")&amp;CHAR(125)&amp;IF(TRUE,",",""))</f>
        <v/>
      </c>
    </row>
    <row r="2290">
      <c r="A2290" s="82">
        <f>IF(CriteriTecnici!$A2189="","","    "&amp;CHAR(123)&amp;CHAR(34)&amp;"bidderId"&amp;CHAR(34)&amp;": "&amp;CHAR(34)&amp;SUBSTITUTE(CriteriTecnici!$A2189,CHAR(34),"'")&amp;CHAR(34)&amp;", "&amp;CHAR(34)&amp;"lotId"&amp;CHAR(34)&amp;": "&amp;CHAR(34)&amp;SUBSTITUTE(CriteriTecnici!$C2189,CHAR(34),"'")&amp;CHAR(34)&amp;", "&amp;CHAR(34)&amp;"criterionId"&amp;CHAR(34)&amp;": "&amp;CHAR(34)&amp;SUBSTITUTE(CriteriTecnici!$D2189,CHAR(34),"'")&amp;CHAR(34)&amp;", "&amp;CHAR(34)&amp;"kind"&amp;CHAR(34)&amp;": "&amp;CHAR(34)&amp;SUBSTITUTE(CriteriTecnici!$F2189,CHAR(34),"'")&amp;CHAR(34)&amp;", "&amp;CHAR(34)&amp;"value"&amp;CHAR(34)&amp;": "&amp;SUBSTITUTE(TRIM(ROUND(IFERROR(CriteriTecnici!$N2189*1,IFERROR(NUMBERVALUE(CriteriTecnici!$N2189,".",","),IFERROR(NUMBERVALUE(CriteriTecnici!$N2189,",","."),0))),4)&amp;""),",",".")&amp;", "&amp;CHAR(34)&amp;"numerator"&amp;CHAR(34)&amp;": "&amp;SUBSTITUTE(TRIM(ROUND(IFERROR(CriteriTecnici!$K2189*1,IFERROR(NUMBERVALUE(CriteriTecnici!$K2189,".",","),IFERROR(NUMBERVALUE(CriteriTecnici!$K2189,",","."),0))),4)&amp;""),",",".")&amp;", "&amp;CHAR(34)&amp;"denominator"&amp;CHAR(34)&amp;": "&amp;SUBSTITUTE(TRIM(ROUND(IFERROR(CriteriTecnici!$L2189*1,IFERROR(NUMBERVALUE(CriteriTecnici!$L2189,".",","),IFERROR(NUMBERVALUE(CriteriTecnici!$L2189,",","."),0))),4)&amp;""),",",".")&amp;", "&amp;CHAR(34)&amp;"flag"&amp;CHAR(34)&amp;": "&amp;SUBSTITUTE(TRIM(ROUND(IFERROR(CriteriTecnici!$M2189*1,IFERROR(NUMBERVALUE(CriteriTecnici!$M2189,".",","),IFERROR(NUMBERVALUE(CriteriTecnici!$M2189,",","."),0))),4)&amp;""),",",".")&amp;", "&amp;CHAR(34)&amp;"rawScore"&amp;CHAR(34)&amp;": "&amp;SUBSTITUTE(TRIM(ROUND(IFERROR(CriteriTecnici!$O2189*1,IFERROR(NUMBERVALUE(CriteriTecnici!$O2189,".",","),IFERROR(NUMBERVALUE(CriteriTecnici!$O2189,",","."),0))),4)&amp;""),",",".")&amp;CHAR(125)&amp;IF(TRUE,",",""))</f>
        <v/>
      </c>
    </row>
    <row r="2291">
      <c r="A2291" s="82">
        <f>IF(CriteriTecnici!$A2190="","","    "&amp;CHAR(123)&amp;CHAR(34)&amp;"bidderId"&amp;CHAR(34)&amp;": "&amp;CHAR(34)&amp;SUBSTITUTE(CriteriTecnici!$A2190,CHAR(34),"'")&amp;CHAR(34)&amp;", "&amp;CHAR(34)&amp;"lotId"&amp;CHAR(34)&amp;": "&amp;CHAR(34)&amp;SUBSTITUTE(CriteriTecnici!$C2190,CHAR(34),"'")&amp;CHAR(34)&amp;", "&amp;CHAR(34)&amp;"criterionId"&amp;CHAR(34)&amp;": "&amp;CHAR(34)&amp;SUBSTITUTE(CriteriTecnici!$D2190,CHAR(34),"'")&amp;CHAR(34)&amp;", "&amp;CHAR(34)&amp;"kind"&amp;CHAR(34)&amp;": "&amp;CHAR(34)&amp;SUBSTITUTE(CriteriTecnici!$F2190,CHAR(34),"'")&amp;CHAR(34)&amp;", "&amp;CHAR(34)&amp;"value"&amp;CHAR(34)&amp;": "&amp;SUBSTITUTE(TRIM(ROUND(IFERROR(CriteriTecnici!$N2190*1,IFERROR(NUMBERVALUE(CriteriTecnici!$N2190,".",","),IFERROR(NUMBERVALUE(CriteriTecnici!$N2190,",","."),0))),4)&amp;""),",",".")&amp;", "&amp;CHAR(34)&amp;"numerator"&amp;CHAR(34)&amp;": "&amp;SUBSTITUTE(TRIM(ROUND(IFERROR(CriteriTecnici!$K2190*1,IFERROR(NUMBERVALUE(CriteriTecnici!$K2190,".",","),IFERROR(NUMBERVALUE(CriteriTecnici!$K2190,",","."),0))),4)&amp;""),",",".")&amp;", "&amp;CHAR(34)&amp;"denominator"&amp;CHAR(34)&amp;": "&amp;SUBSTITUTE(TRIM(ROUND(IFERROR(CriteriTecnici!$L2190*1,IFERROR(NUMBERVALUE(CriteriTecnici!$L2190,".",","),IFERROR(NUMBERVALUE(CriteriTecnici!$L2190,",","."),0))),4)&amp;""),",",".")&amp;", "&amp;CHAR(34)&amp;"flag"&amp;CHAR(34)&amp;": "&amp;SUBSTITUTE(TRIM(ROUND(IFERROR(CriteriTecnici!$M2190*1,IFERROR(NUMBERVALUE(CriteriTecnici!$M2190,".",","),IFERROR(NUMBERVALUE(CriteriTecnici!$M2190,",","."),0))),4)&amp;""),",",".")&amp;", "&amp;CHAR(34)&amp;"rawScore"&amp;CHAR(34)&amp;": "&amp;SUBSTITUTE(TRIM(ROUND(IFERROR(CriteriTecnici!$O2190*1,IFERROR(NUMBERVALUE(CriteriTecnici!$O2190,".",","),IFERROR(NUMBERVALUE(CriteriTecnici!$O2190,",","."),0))),4)&amp;""),",",".")&amp;CHAR(125)&amp;IF(TRUE,",",""))</f>
        <v/>
      </c>
    </row>
    <row r="2292">
      <c r="A2292" s="82">
        <f>IF(CriteriTecnici!$A2191="","","    "&amp;CHAR(123)&amp;CHAR(34)&amp;"bidderId"&amp;CHAR(34)&amp;": "&amp;CHAR(34)&amp;SUBSTITUTE(CriteriTecnici!$A2191,CHAR(34),"'")&amp;CHAR(34)&amp;", "&amp;CHAR(34)&amp;"lotId"&amp;CHAR(34)&amp;": "&amp;CHAR(34)&amp;SUBSTITUTE(CriteriTecnici!$C2191,CHAR(34),"'")&amp;CHAR(34)&amp;", "&amp;CHAR(34)&amp;"criterionId"&amp;CHAR(34)&amp;": "&amp;CHAR(34)&amp;SUBSTITUTE(CriteriTecnici!$D2191,CHAR(34),"'")&amp;CHAR(34)&amp;", "&amp;CHAR(34)&amp;"kind"&amp;CHAR(34)&amp;": "&amp;CHAR(34)&amp;SUBSTITUTE(CriteriTecnici!$F2191,CHAR(34),"'")&amp;CHAR(34)&amp;", "&amp;CHAR(34)&amp;"value"&amp;CHAR(34)&amp;": "&amp;SUBSTITUTE(TRIM(ROUND(IFERROR(CriteriTecnici!$N2191*1,IFERROR(NUMBERVALUE(CriteriTecnici!$N2191,".",","),IFERROR(NUMBERVALUE(CriteriTecnici!$N2191,",","."),0))),4)&amp;""),",",".")&amp;", "&amp;CHAR(34)&amp;"numerator"&amp;CHAR(34)&amp;": "&amp;SUBSTITUTE(TRIM(ROUND(IFERROR(CriteriTecnici!$K2191*1,IFERROR(NUMBERVALUE(CriteriTecnici!$K2191,".",","),IFERROR(NUMBERVALUE(CriteriTecnici!$K2191,",","."),0))),4)&amp;""),",",".")&amp;", "&amp;CHAR(34)&amp;"denominator"&amp;CHAR(34)&amp;": "&amp;SUBSTITUTE(TRIM(ROUND(IFERROR(CriteriTecnici!$L2191*1,IFERROR(NUMBERVALUE(CriteriTecnici!$L2191,".",","),IFERROR(NUMBERVALUE(CriteriTecnici!$L2191,",","."),0))),4)&amp;""),",",".")&amp;", "&amp;CHAR(34)&amp;"flag"&amp;CHAR(34)&amp;": "&amp;SUBSTITUTE(TRIM(ROUND(IFERROR(CriteriTecnici!$M2191*1,IFERROR(NUMBERVALUE(CriteriTecnici!$M2191,".",","),IFERROR(NUMBERVALUE(CriteriTecnici!$M2191,",","."),0))),4)&amp;""),",",".")&amp;", "&amp;CHAR(34)&amp;"rawScore"&amp;CHAR(34)&amp;": "&amp;SUBSTITUTE(TRIM(ROUND(IFERROR(CriteriTecnici!$O2191*1,IFERROR(NUMBERVALUE(CriteriTecnici!$O2191,".",","),IFERROR(NUMBERVALUE(CriteriTecnici!$O2191,",","."),0))),4)&amp;""),",",".")&amp;CHAR(125)&amp;IF(TRUE,",",""))</f>
        <v/>
      </c>
    </row>
    <row r="2293">
      <c r="A2293" s="82">
        <f>IF(CriteriTecnici!$A2192="","","    "&amp;CHAR(123)&amp;CHAR(34)&amp;"bidderId"&amp;CHAR(34)&amp;": "&amp;CHAR(34)&amp;SUBSTITUTE(CriteriTecnici!$A2192,CHAR(34),"'")&amp;CHAR(34)&amp;", "&amp;CHAR(34)&amp;"lotId"&amp;CHAR(34)&amp;": "&amp;CHAR(34)&amp;SUBSTITUTE(CriteriTecnici!$C2192,CHAR(34),"'")&amp;CHAR(34)&amp;", "&amp;CHAR(34)&amp;"criterionId"&amp;CHAR(34)&amp;": "&amp;CHAR(34)&amp;SUBSTITUTE(CriteriTecnici!$D2192,CHAR(34),"'")&amp;CHAR(34)&amp;", "&amp;CHAR(34)&amp;"kind"&amp;CHAR(34)&amp;": "&amp;CHAR(34)&amp;SUBSTITUTE(CriteriTecnici!$F2192,CHAR(34),"'")&amp;CHAR(34)&amp;", "&amp;CHAR(34)&amp;"value"&amp;CHAR(34)&amp;": "&amp;SUBSTITUTE(TRIM(ROUND(IFERROR(CriteriTecnici!$N2192*1,IFERROR(NUMBERVALUE(CriteriTecnici!$N2192,".",","),IFERROR(NUMBERVALUE(CriteriTecnici!$N2192,",","."),0))),4)&amp;""),",",".")&amp;", "&amp;CHAR(34)&amp;"numerator"&amp;CHAR(34)&amp;": "&amp;SUBSTITUTE(TRIM(ROUND(IFERROR(CriteriTecnici!$K2192*1,IFERROR(NUMBERVALUE(CriteriTecnici!$K2192,".",","),IFERROR(NUMBERVALUE(CriteriTecnici!$K2192,",","."),0))),4)&amp;""),",",".")&amp;", "&amp;CHAR(34)&amp;"denominator"&amp;CHAR(34)&amp;": "&amp;SUBSTITUTE(TRIM(ROUND(IFERROR(CriteriTecnici!$L2192*1,IFERROR(NUMBERVALUE(CriteriTecnici!$L2192,".",","),IFERROR(NUMBERVALUE(CriteriTecnici!$L2192,",","."),0))),4)&amp;""),",",".")&amp;", "&amp;CHAR(34)&amp;"flag"&amp;CHAR(34)&amp;": "&amp;SUBSTITUTE(TRIM(ROUND(IFERROR(CriteriTecnici!$M2192*1,IFERROR(NUMBERVALUE(CriteriTecnici!$M2192,".",","),IFERROR(NUMBERVALUE(CriteriTecnici!$M2192,",","."),0))),4)&amp;""),",",".")&amp;", "&amp;CHAR(34)&amp;"rawScore"&amp;CHAR(34)&amp;": "&amp;SUBSTITUTE(TRIM(ROUND(IFERROR(CriteriTecnici!$O2192*1,IFERROR(NUMBERVALUE(CriteriTecnici!$O2192,".",","),IFERROR(NUMBERVALUE(CriteriTecnici!$O2192,",","."),0))),4)&amp;""),",",".")&amp;CHAR(125)&amp;IF(TRUE,",",""))</f>
        <v/>
      </c>
    </row>
    <row r="2294">
      <c r="A2294" s="82">
        <f>IF(CriteriTecnici!$A2193="","","    "&amp;CHAR(123)&amp;CHAR(34)&amp;"bidderId"&amp;CHAR(34)&amp;": "&amp;CHAR(34)&amp;SUBSTITUTE(CriteriTecnici!$A2193,CHAR(34),"'")&amp;CHAR(34)&amp;", "&amp;CHAR(34)&amp;"lotId"&amp;CHAR(34)&amp;": "&amp;CHAR(34)&amp;SUBSTITUTE(CriteriTecnici!$C2193,CHAR(34),"'")&amp;CHAR(34)&amp;", "&amp;CHAR(34)&amp;"criterionId"&amp;CHAR(34)&amp;": "&amp;CHAR(34)&amp;SUBSTITUTE(CriteriTecnici!$D2193,CHAR(34),"'")&amp;CHAR(34)&amp;", "&amp;CHAR(34)&amp;"kind"&amp;CHAR(34)&amp;": "&amp;CHAR(34)&amp;SUBSTITUTE(CriteriTecnici!$F2193,CHAR(34),"'")&amp;CHAR(34)&amp;", "&amp;CHAR(34)&amp;"value"&amp;CHAR(34)&amp;": "&amp;SUBSTITUTE(TRIM(ROUND(IFERROR(CriteriTecnici!$N2193*1,IFERROR(NUMBERVALUE(CriteriTecnici!$N2193,".",","),IFERROR(NUMBERVALUE(CriteriTecnici!$N2193,",","."),0))),4)&amp;""),",",".")&amp;", "&amp;CHAR(34)&amp;"numerator"&amp;CHAR(34)&amp;": "&amp;SUBSTITUTE(TRIM(ROUND(IFERROR(CriteriTecnici!$K2193*1,IFERROR(NUMBERVALUE(CriteriTecnici!$K2193,".",","),IFERROR(NUMBERVALUE(CriteriTecnici!$K2193,",","."),0))),4)&amp;""),",",".")&amp;", "&amp;CHAR(34)&amp;"denominator"&amp;CHAR(34)&amp;": "&amp;SUBSTITUTE(TRIM(ROUND(IFERROR(CriteriTecnici!$L2193*1,IFERROR(NUMBERVALUE(CriteriTecnici!$L2193,".",","),IFERROR(NUMBERVALUE(CriteriTecnici!$L2193,",","."),0))),4)&amp;""),",",".")&amp;", "&amp;CHAR(34)&amp;"flag"&amp;CHAR(34)&amp;": "&amp;SUBSTITUTE(TRIM(ROUND(IFERROR(CriteriTecnici!$M2193*1,IFERROR(NUMBERVALUE(CriteriTecnici!$M2193,".",","),IFERROR(NUMBERVALUE(CriteriTecnici!$M2193,",","."),0))),4)&amp;""),",",".")&amp;", "&amp;CHAR(34)&amp;"rawScore"&amp;CHAR(34)&amp;": "&amp;SUBSTITUTE(TRIM(ROUND(IFERROR(CriteriTecnici!$O2193*1,IFERROR(NUMBERVALUE(CriteriTecnici!$O2193,".",","),IFERROR(NUMBERVALUE(CriteriTecnici!$O2193,",","."),0))),4)&amp;""),",",".")&amp;CHAR(125)&amp;IF(TRUE,",",""))</f>
        <v/>
      </c>
    </row>
    <row r="2295">
      <c r="A2295" s="82">
        <f>IF(CriteriTecnici!$A2194="","","    "&amp;CHAR(123)&amp;CHAR(34)&amp;"bidderId"&amp;CHAR(34)&amp;": "&amp;CHAR(34)&amp;SUBSTITUTE(CriteriTecnici!$A2194,CHAR(34),"'")&amp;CHAR(34)&amp;", "&amp;CHAR(34)&amp;"lotId"&amp;CHAR(34)&amp;": "&amp;CHAR(34)&amp;SUBSTITUTE(CriteriTecnici!$C2194,CHAR(34),"'")&amp;CHAR(34)&amp;", "&amp;CHAR(34)&amp;"criterionId"&amp;CHAR(34)&amp;": "&amp;CHAR(34)&amp;SUBSTITUTE(CriteriTecnici!$D2194,CHAR(34),"'")&amp;CHAR(34)&amp;", "&amp;CHAR(34)&amp;"kind"&amp;CHAR(34)&amp;": "&amp;CHAR(34)&amp;SUBSTITUTE(CriteriTecnici!$F2194,CHAR(34),"'")&amp;CHAR(34)&amp;", "&amp;CHAR(34)&amp;"value"&amp;CHAR(34)&amp;": "&amp;SUBSTITUTE(TRIM(ROUND(IFERROR(CriteriTecnici!$N2194*1,IFERROR(NUMBERVALUE(CriteriTecnici!$N2194,".",","),IFERROR(NUMBERVALUE(CriteriTecnici!$N2194,",","."),0))),4)&amp;""),",",".")&amp;", "&amp;CHAR(34)&amp;"numerator"&amp;CHAR(34)&amp;": "&amp;SUBSTITUTE(TRIM(ROUND(IFERROR(CriteriTecnici!$K2194*1,IFERROR(NUMBERVALUE(CriteriTecnici!$K2194,".",","),IFERROR(NUMBERVALUE(CriteriTecnici!$K2194,",","."),0))),4)&amp;""),",",".")&amp;", "&amp;CHAR(34)&amp;"denominator"&amp;CHAR(34)&amp;": "&amp;SUBSTITUTE(TRIM(ROUND(IFERROR(CriteriTecnici!$L2194*1,IFERROR(NUMBERVALUE(CriteriTecnici!$L2194,".",","),IFERROR(NUMBERVALUE(CriteriTecnici!$L2194,",","."),0))),4)&amp;""),",",".")&amp;", "&amp;CHAR(34)&amp;"flag"&amp;CHAR(34)&amp;": "&amp;SUBSTITUTE(TRIM(ROUND(IFERROR(CriteriTecnici!$M2194*1,IFERROR(NUMBERVALUE(CriteriTecnici!$M2194,".",","),IFERROR(NUMBERVALUE(CriteriTecnici!$M2194,",","."),0))),4)&amp;""),",",".")&amp;", "&amp;CHAR(34)&amp;"rawScore"&amp;CHAR(34)&amp;": "&amp;SUBSTITUTE(TRIM(ROUND(IFERROR(CriteriTecnici!$O2194*1,IFERROR(NUMBERVALUE(CriteriTecnici!$O2194,".",","),IFERROR(NUMBERVALUE(CriteriTecnici!$O2194,",","."),0))),4)&amp;""),",",".")&amp;CHAR(125)&amp;IF(TRUE,",",""))</f>
        <v/>
      </c>
    </row>
    <row r="2296">
      <c r="A2296" s="82">
        <f>IF(CriteriTecnici!$A2195="","","    "&amp;CHAR(123)&amp;CHAR(34)&amp;"bidderId"&amp;CHAR(34)&amp;": "&amp;CHAR(34)&amp;SUBSTITUTE(CriteriTecnici!$A2195,CHAR(34),"'")&amp;CHAR(34)&amp;", "&amp;CHAR(34)&amp;"lotId"&amp;CHAR(34)&amp;": "&amp;CHAR(34)&amp;SUBSTITUTE(CriteriTecnici!$C2195,CHAR(34),"'")&amp;CHAR(34)&amp;", "&amp;CHAR(34)&amp;"criterionId"&amp;CHAR(34)&amp;": "&amp;CHAR(34)&amp;SUBSTITUTE(CriteriTecnici!$D2195,CHAR(34),"'")&amp;CHAR(34)&amp;", "&amp;CHAR(34)&amp;"kind"&amp;CHAR(34)&amp;": "&amp;CHAR(34)&amp;SUBSTITUTE(CriteriTecnici!$F2195,CHAR(34),"'")&amp;CHAR(34)&amp;", "&amp;CHAR(34)&amp;"value"&amp;CHAR(34)&amp;": "&amp;SUBSTITUTE(TRIM(ROUND(IFERROR(CriteriTecnici!$N2195*1,IFERROR(NUMBERVALUE(CriteriTecnici!$N2195,".",","),IFERROR(NUMBERVALUE(CriteriTecnici!$N2195,",","."),0))),4)&amp;""),",",".")&amp;", "&amp;CHAR(34)&amp;"numerator"&amp;CHAR(34)&amp;": "&amp;SUBSTITUTE(TRIM(ROUND(IFERROR(CriteriTecnici!$K2195*1,IFERROR(NUMBERVALUE(CriteriTecnici!$K2195,".",","),IFERROR(NUMBERVALUE(CriteriTecnici!$K2195,",","."),0))),4)&amp;""),",",".")&amp;", "&amp;CHAR(34)&amp;"denominator"&amp;CHAR(34)&amp;": "&amp;SUBSTITUTE(TRIM(ROUND(IFERROR(CriteriTecnici!$L2195*1,IFERROR(NUMBERVALUE(CriteriTecnici!$L2195,".",","),IFERROR(NUMBERVALUE(CriteriTecnici!$L2195,",","."),0))),4)&amp;""),",",".")&amp;", "&amp;CHAR(34)&amp;"flag"&amp;CHAR(34)&amp;": "&amp;SUBSTITUTE(TRIM(ROUND(IFERROR(CriteriTecnici!$M2195*1,IFERROR(NUMBERVALUE(CriteriTecnici!$M2195,".",","),IFERROR(NUMBERVALUE(CriteriTecnici!$M2195,",","."),0))),4)&amp;""),",",".")&amp;", "&amp;CHAR(34)&amp;"rawScore"&amp;CHAR(34)&amp;": "&amp;SUBSTITUTE(TRIM(ROUND(IFERROR(CriteriTecnici!$O2195*1,IFERROR(NUMBERVALUE(CriteriTecnici!$O2195,".",","),IFERROR(NUMBERVALUE(CriteriTecnici!$O2195,",","."),0))),4)&amp;""),",",".")&amp;CHAR(125)&amp;IF(TRUE,",",""))</f>
        <v/>
      </c>
    </row>
    <row r="2297">
      <c r="A2297" s="82">
        <f>IF(CriteriTecnici!$A2196="","","    "&amp;CHAR(123)&amp;CHAR(34)&amp;"bidderId"&amp;CHAR(34)&amp;": "&amp;CHAR(34)&amp;SUBSTITUTE(CriteriTecnici!$A2196,CHAR(34),"'")&amp;CHAR(34)&amp;", "&amp;CHAR(34)&amp;"lotId"&amp;CHAR(34)&amp;": "&amp;CHAR(34)&amp;SUBSTITUTE(CriteriTecnici!$C2196,CHAR(34),"'")&amp;CHAR(34)&amp;", "&amp;CHAR(34)&amp;"criterionId"&amp;CHAR(34)&amp;": "&amp;CHAR(34)&amp;SUBSTITUTE(CriteriTecnici!$D2196,CHAR(34),"'")&amp;CHAR(34)&amp;", "&amp;CHAR(34)&amp;"kind"&amp;CHAR(34)&amp;": "&amp;CHAR(34)&amp;SUBSTITUTE(CriteriTecnici!$F2196,CHAR(34),"'")&amp;CHAR(34)&amp;", "&amp;CHAR(34)&amp;"value"&amp;CHAR(34)&amp;": "&amp;SUBSTITUTE(TRIM(ROUND(IFERROR(CriteriTecnici!$N2196*1,IFERROR(NUMBERVALUE(CriteriTecnici!$N2196,".",","),IFERROR(NUMBERVALUE(CriteriTecnici!$N2196,",","."),0))),4)&amp;""),",",".")&amp;", "&amp;CHAR(34)&amp;"numerator"&amp;CHAR(34)&amp;": "&amp;SUBSTITUTE(TRIM(ROUND(IFERROR(CriteriTecnici!$K2196*1,IFERROR(NUMBERVALUE(CriteriTecnici!$K2196,".",","),IFERROR(NUMBERVALUE(CriteriTecnici!$K2196,",","."),0))),4)&amp;""),",",".")&amp;", "&amp;CHAR(34)&amp;"denominator"&amp;CHAR(34)&amp;": "&amp;SUBSTITUTE(TRIM(ROUND(IFERROR(CriteriTecnici!$L2196*1,IFERROR(NUMBERVALUE(CriteriTecnici!$L2196,".",","),IFERROR(NUMBERVALUE(CriteriTecnici!$L2196,",","."),0))),4)&amp;""),",",".")&amp;", "&amp;CHAR(34)&amp;"flag"&amp;CHAR(34)&amp;": "&amp;SUBSTITUTE(TRIM(ROUND(IFERROR(CriteriTecnici!$M2196*1,IFERROR(NUMBERVALUE(CriteriTecnici!$M2196,".",","),IFERROR(NUMBERVALUE(CriteriTecnici!$M2196,",","."),0))),4)&amp;""),",",".")&amp;", "&amp;CHAR(34)&amp;"rawScore"&amp;CHAR(34)&amp;": "&amp;SUBSTITUTE(TRIM(ROUND(IFERROR(CriteriTecnici!$O2196*1,IFERROR(NUMBERVALUE(CriteriTecnici!$O2196,".",","),IFERROR(NUMBERVALUE(CriteriTecnici!$O2196,",","."),0))),4)&amp;""),",",".")&amp;CHAR(125)&amp;IF(TRUE,",",""))</f>
        <v/>
      </c>
    </row>
    <row r="2298">
      <c r="A2298" s="82">
        <f>IF(CriteriTecnici!$A2197="","","    "&amp;CHAR(123)&amp;CHAR(34)&amp;"bidderId"&amp;CHAR(34)&amp;": "&amp;CHAR(34)&amp;SUBSTITUTE(CriteriTecnici!$A2197,CHAR(34),"'")&amp;CHAR(34)&amp;", "&amp;CHAR(34)&amp;"lotId"&amp;CHAR(34)&amp;": "&amp;CHAR(34)&amp;SUBSTITUTE(CriteriTecnici!$C2197,CHAR(34),"'")&amp;CHAR(34)&amp;", "&amp;CHAR(34)&amp;"criterionId"&amp;CHAR(34)&amp;": "&amp;CHAR(34)&amp;SUBSTITUTE(CriteriTecnici!$D2197,CHAR(34),"'")&amp;CHAR(34)&amp;", "&amp;CHAR(34)&amp;"kind"&amp;CHAR(34)&amp;": "&amp;CHAR(34)&amp;SUBSTITUTE(CriteriTecnici!$F2197,CHAR(34),"'")&amp;CHAR(34)&amp;", "&amp;CHAR(34)&amp;"value"&amp;CHAR(34)&amp;": "&amp;SUBSTITUTE(TRIM(ROUND(IFERROR(CriteriTecnici!$N2197*1,IFERROR(NUMBERVALUE(CriteriTecnici!$N2197,".",","),IFERROR(NUMBERVALUE(CriteriTecnici!$N2197,",","."),0))),4)&amp;""),",",".")&amp;", "&amp;CHAR(34)&amp;"numerator"&amp;CHAR(34)&amp;": "&amp;SUBSTITUTE(TRIM(ROUND(IFERROR(CriteriTecnici!$K2197*1,IFERROR(NUMBERVALUE(CriteriTecnici!$K2197,".",","),IFERROR(NUMBERVALUE(CriteriTecnici!$K2197,",","."),0))),4)&amp;""),",",".")&amp;", "&amp;CHAR(34)&amp;"denominator"&amp;CHAR(34)&amp;": "&amp;SUBSTITUTE(TRIM(ROUND(IFERROR(CriteriTecnici!$L2197*1,IFERROR(NUMBERVALUE(CriteriTecnici!$L2197,".",","),IFERROR(NUMBERVALUE(CriteriTecnici!$L2197,",","."),0))),4)&amp;""),",",".")&amp;", "&amp;CHAR(34)&amp;"flag"&amp;CHAR(34)&amp;": "&amp;SUBSTITUTE(TRIM(ROUND(IFERROR(CriteriTecnici!$M2197*1,IFERROR(NUMBERVALUE(CriteriTecnici!$M2197,".",","),IFERROR(NUMBERVALUE(CriteriTecnici!$M2197,",","."),0))),4)&amp;""),",",".")&amp;", "&amp;CHAR(34)&amp;"rawScore"&amp;CHAR(34)&amp;": "&amp;SUBSTITUTE(TRIM(ROUND(IFERROR(CriteriTecnici!$O2197*1,IFERROR(NUMBERVALUE(CriteriTecnici!$O2197,".",","),IFERROR(NUMBERVALUE(CriteriTecnici!$O2197,",","."),0))),4)&amp;""),",",".")&amp;CHAR(125)&amp;IF(TRUE,",",""))</f>
        <v/>
      </c>
    </row>
    <row r="2299">
      <c r="A2299" s="82">
        <f>IF(CriteriTecnici!$A2198="","","    "&amp;CHAR(123)&amp;CHAR(34)&amp;"bidderId"&amp;CHAR(34)&amp;": "&amp;CHAR(34)&amp;SUBSTITUTE(CriteriTecnici!$A2198,CHAR(34),"'")&amp;CHAR(34)&amp;", "&amp;CHAR(34)&amp;"lotId"&amp;CHAR(34)&amp;": "&amp;CHAR(34)&amp;SUBSTITUTE(CriteriTecnici!$C2198,CHAR(34),"'")&amp;CHAR(34)&amp;", "&amp;CHAR(34)&amp;"criterionId"&amp;CHAR(34)&amp;": "&amp;CHAR(34)&amp;SUBSTITUTE(CriteriTecnici!$D2198,CHAR(34),"'")&amp;CHAR(34)&amp;", "&amp;CHAR(34)&amp;"kind"&amp;CHAR(34)&amp;": "&amp;CHAR(34)&amp;SUBSTITUTE(CriteriTecnici!$F2198,CHAR(34),"'")&amp;CHAR(34)&amp;", "&amp;CHAR(34)&amp;"value"&amp;CHAR(34)&amp;": "&amp;SUBSTITUTE(TRIM(ROUND(IFERROR(CriteriTecnici!$N2198*1,IFERROR(NUMBERVALUE(CriteriTecnici!$N2198,".",","),IFERROR(NUMBERVALUE(CriteriTecnici!$N2198,",","."),0))),4)&amp;""),",",".")&amp;", "&amp;CHAR(34)&amp;"numerator"&amp;CHAR(34)&amp;": "&amp;SUBSTITUTE(TRIM(ROUND(IFERROR(CriteriTecnici!$K2198*1,IFERROR(NUMBERVALUE(CriteriTecnici!$K2198,".",","),IFERROR(NUMBERVALUE(CriteriTecnici!$K2198,",","."),0))),4)&amp;""),",",".")&amp;", "&amp;CHAR(34)&amp;"denominator"&amp;CHAR(34)&amp;": "&amp;SUBSTITUTE(TRIM(ROUND(IFERROR(CriteriTecnici!$L2198*1,IFERROR(NUMBERVALUE(CriteriTecnici!$L2198,".",","),IFERROR(NUMBERVALUE(CriteriTecnici!$L2198,",","."),0))),4)&amp;""),",",".")&amp;", "&amp;CHAR(34)&amp;"flag"&amp;CHAR(34)&amp;": "&amp;SUBSTITUTE(TRIM(ROUND(IFERROR(CriteriTecnici!$M2198*1,IFERROR(NUMBERVALUE(CriteriTecnici!$M2198,".",","),IFERROR(NUMBERVALUE(CriteriTecnici!$M2198,",","."),0))),4)&amp;""),",",".")&amp;", "&amp;CHAR(34)&amp;"rawScore"&amp;CHAR(34)&amp;": "&amp;SUBSTITUTE(TRIM(ROUND(IFERROR(CriteriTecnici!$O2198*1,IFERROR(NUMBERVALUE(CriteriTecnici!$O2198,".",","),IFERROR(NUMBERVALUE(CriteriTecnici!$O2198,",","."),0))),4)&amp;""),",",".")&amp;CHAR(125)&amp;IF(TRUE,",",""))</f>
        <v/>
      </c>
    </row>
    <row r="2300">
      <c r="A2300" s="82">
        <f>IF(CriteriTecnici!$A2199="","","    "&amp;CHAR(123)&amp;CHAR(34)&amp;"bidderId"&amp;CHAR(34)&amp;": "&amp;CHAR(34)&amp;SUBSTITUTE(CriteriTecnici!$A2199,CHAR(34),"'")&amp;CHAR(34)&amp;", "&amp;CHAR(34)&amp;"lotId"&amp;CHAR(34)&amp;": "&amp;CHAR(34)&amp;SUBSTITUTE(CriteriTecnici!$C2199,CHAR(34),"'")&amp;CHAR(34)&amp;", "&amp;CHAR(34)&amp;"criterionId"&amp;CHAR(34)&amp;": "&amp;CHAR(34)&amp;SUBSTITUTE(CriteriTecnici!$D2199,CHAR(34),"'")&amp;CHAR(34)&amp;", "&amp;CHAR(34)&amp;"kind"&amp;CHAR(34)&amp;": "&amp;CHAR(34)&amp;SUBSTITUTE(CriteriTecnici!$F2199,CHAR(34),"'")&amp;CHAR(34)&amp;", "&amp;CHAR(34)&amp;"value"&amp;CHAR(34)&amp;": "&amp;SUBSTITUTE(TRIM(ROUND(IFERROR(CriteriTecnici!$N2199*1,IFERROR(NUMBERVALUE(CriteriTecnici!$N2199,".",","),IFERROR(NUMBERVALUE(CriteriTecnici!$N2199,",","."),0))),4)&amp;""),",",".")&amp;", "&amp;CHAR(34)&amp;"numerator"&amp;CHAR(34)&amp;": "&amp;SUBSTITUTE(TRIM(ROUND(IFERROR(CriteriTecnici!$K2199*1,IFERROR(NUMBERVALUE(CriteriTecnici!$K2199,".",","),IFERROR(NUMBERVALUE(CriteriTecnici!$K2199,",","."),0))),4)&amp;""),",",".")&amp;", "&amp;CHAR(34)&amp;"denominator"&amp;CHAR(34)&amp;": "&amp;SUBSTITUTE(TRIM(ROUND(IFERROR(CriteriTecnici!$L2199*1,IFERROR(NUMBERVALUE(CriteriTecnici!$L2199,".",","),IFERROR(NUMBERVALUE(CriteriTecnici!$L2199,",","."),0))),4)&amp;""),",",".")&amp;", "&amp;CHAR(34)&amp;"flag"&amp;CHAR(34)&amp;": "&amp;SUBSTITUTE(TRIM(ROUND(IFERROR(CriteriTecnici!$M2199*1,IFERROR(NUMBERVALUE(CriteriTecnici!$M2199,".",","),IFERROR(NUMBERVALUE(CriteriTecnici!$M2199,",","."),0))),4)&amp;""),",",".")&amp;", "&amp;CHAR(34)&amp;"rawScore"&amp;CHAR(34)&amp;": "&amp;SUBSTITUTE(TRIM(ROUND(IFERROR(CriteriTecnici!$O2199*1,IFERROR(NUMBERVALUE(CriteriTecnici!$O2199,".",","),IFERROR(NUMBERVALUE(CriteriTecnici!$O2199,",","."),0))),4)&amp;""),",",".")&amp;CHAR(125)&amp;IF(TRUE,",",""))</f>
        <v/>
      </c>
    </row>
    <row r="2301">
      <c r="A2301" s="82">
        <f>IF(CriteriTecnici!$A2200="","","    "&amp;CHAR(123)&amp;CHAR(34)&amp;"bidderId"&amp;CHAR(34)&amp;": "&amp;CHAR(34)&amp;SUBSTITUTE(CriteriTecnici!$A2200,CHAR(34),"'")&amp;CHAR(34)&amp;", "&amp;CHAR(34)&amp;"lotId"&amp;CHAR(34)&amp;": "&amp;CHAR(34)&amp;SUBSTITUTE(CriteriTecnici!$C2200,CHAR(34),"'")&amp;CHAR(34)&amp;", "&amp;CHAR(34)&amp;"criterionId"&amp;CHAR(34)&amp;": "&amp;CHAR(34)&amp;SUBSTITUTE(CriteriTecnici!$D2200,CHAR(34),"'")&amp;CHAR(34)&amp;", "&amp;CHAR(34)&amp;"kind"&amp;CHAR(34)&amp;": "&amp;CHAR(34)&amp;SUBSTITUTE(CriteriTecnici!$F2200,CHAR(34),"'")&amp;CHAR(34)&amp;", "&amp;CHAR(34)&amp;"value"&amp;CHAR(34)&amp;": "&amp;SUBSTITUTE(TRIM(ROUND(IFERROR(CriteriTecnici!$N2200*1,IFERROR(NUMBERVALUE(CriteriTecnici!$N2200,".",","),IFERROR(NUMBERVALUE(CriteriTecnici!$N2200,",","."),0))),4)&amp;""),",",".")&amp;", "&amp;CHAR(34)&amp;"numerator"&amp;CHAR(34)&amp;": "&amp;SUBSTITUTE(TRIM(ROUND(IFERROR(CriteriTecnici!$K2200*1,IFERROR(NUMBERVALUE(CriteriTecnici!$K2200,".",","),IFERROR(NUMBERVALUE(CriteriTecnici!$K2200,",","."),0))),4)&amp;""),",",".")&amp;", "&amp;CHAR(34)&amp;"denominator"&amp;CHAR(34)&amp;": "&amp;SUBSTITUTE(TRIM(ROUND(IFERROR(CriteriTecnici!$L2200*1,IFERROR(NUMBERVALUE(CriteriTecnici!$L2200,".",","),IFERROR(NUMBERVALUE(CriteriTecnici!$L2200,",","."),0))),4)&amp;""),",",".")&amp;", "&amp;CHAR(34)&amp;"flag"&amp;CHAR(34)&amp;": "&amp;SUBSTITUTE(TRIM(ROUND(IFERROR(CriteriTecnici!$M2200*1,IFERROR(NUMBERVALUE(CriteriTecnici!$M2200,".",","),IFERROR(NUMBERVALUE(CriteriTecnici!$M2200,",","."),0))),4)&amp;""),",",".")&amp;", "&amp;CHAR(34)&amp;"rawScore"&amp;CHAR(34)&amp;": "&amp;SUBSTITUTE(TRIM(ROUND(IFERROR(CriteriTecnici!$O2200*1,IFERROR(NUMBERVALUE(CriteriTecnici!$O2200,".",","),IFERROR(NUMBERVALUE(CriteriTecnici!$O2200,",","."),0))),4)&amp;""),",",".")&amp;CHAR(125)&amp;IF(TRUE,",",""))</f>
        <v/>
      </c>
    </row>
    <row r="2302">
      <c r="A2302" s="82">
        <f>IF(CriteriTecnici!$A2201="","","    "&amp;CHAR(123)&amp;CHAR(34)&amp;"bidderId"&amp;CHAR(34)&amp;": "&amp;CHAR(34)&amp;SUBSTITUTE(CriteriTecnici!$A2201,CHAR(34),"'")&amp;CHAR(34)&amp;", "&amp;CHAR(34)&amp;"lotId"&amp;CHAR(34)&amp;": "&amp;CHAR(34)&amp;SUBSTITUTE(CriteriTecnici!$C2201,CHAR(34),"'")&amp;CHAR(34)&amp;", "&amp;CHAR(34)&amp;"criterionId"&amp;CHAR(34)&amp;": "&amp;CHAR(34)&amp;SUBSTITUTE(CriteriTecnici!$D2201,CHAR(34),"'")&amp;CHAR(34)&amp;", "&amp;CHAR(34)&amp;"kind"&amp;CHAR(34)&amp;": "&amp;CHAR(34)&amp;SUBSTITUTE(CriteriTecnici!$F2201,CHAR(34),"'")&amp;CHAR(34)&amp;", "&amp;CHAR(34)&amp;"value"&amp;CHAR(34)&amp;": "&amp;SUBSTITUTE(TRIM(ROUND(IFERROR(CriteriTecnici!$N2201*1,IFERROR(NUMBERVALUE(CriteriTecnici!$N2201,".",","),IFERROR(NUMBERVALUE(CriteriTecnici!$N2201,",","."),0))),4)&amp;""),",",".")&amp;", "&amp;CHAR(34)&amp;"numerator"&amp;CHAR(34)&amp;": "&amp;SUBSTITUTE(TRIM(ROUND(IFERROR(CriteriTecnici!$K2201*1,IFERROR(NUMBERVALUE(CriteriTecnici!$K2201,".",","),IFERROR(NUMBERVALUE(CriteriTecnici!$K2201,",","."),0))),4)&amp;""),",",".")&amp;", "&amp;CHAR(34)&amp;"denominator"&amp;CHAR(34)&amp;": "&amp;SUBSTITUTE(TRIM(ROUND(IFERROR(CriteriTecnici!$L2201*1,IFERROR(NUMBERVALUE(CriteriTecnici!$L2201,".",","),IFERROR(NUMBERVALUE(CriteriTecnici!$L2201,",","."),0))),4)&amp;""),",",".")&amp;", "&amp;CHAR(34)&amp;"flag"&amp;CHAR(34)&amp;": "&amp;SUBSTITUTE(TRIM(ROUND(IFERROR(CriteriTecnici!$M2201*1,IFERROR(NUMBERVALUE(CriteriTecnici!$M2201,".",","),IFERROR(NUMBERVALUE(CriteriTecnici!$M2201,",","."),0))),4)&amp;""),",",".")&amp;", "&amp;CHAR(34)&amp;"rawScore"&amp;CHAR(34)&amp;": "&amp;SUBSTITUTE(TRIM(ROUND(IFERROR(CriteriTecnici!$O2201*1,IFERROR(NUMBERVALUE(CriteriTecnici!$O2201,".",","),IFERROR(NUMBERVALUE(CriteriTecnici!$O2201,",","."),0))),4)&amp;""),",",".")&amp;CHAR(125)&amp;IF(TRUE,",",""))</f>
        <v/>
      </c>
    </row>
    <row r="2303">
      <c r="A2303" s="82">
        <f>IF(CriteriTecnici!$A2202="","","    "&amp;CHAR(123)&amp;CHAR(34)&amp;"bidderId"&amp;CHAR(34)&amp;": "&amp;CHAR(34)&amp;SUBSTITUTE(CriteriTecnici!$A2202,CHAR(34),"'")&amp;CHAR(34)&amp;", "&amp;CHAR(34)&amp;"lotId"&amp;CHAR(34)&amp;": "&amp;CHAR(34)&amp;SUBSTITUTE(CriteriTecnici!$C2202,CHAR(34),"'")&amp;CHAR(34)&amp;", "&amp;CHAR(34)&amp;"criterionId"&amp;CHAR(34)&amp;": "&amp;CHAR(34)&amp;SUBSTITUTE(CriteriTecnici!$D2202,CHAR(34),"'")&amp;CHAR(34)&amp;", "&amp;CHAR(34)&amp;"kind"&amp;CHAR(34)&amp;": "&amp;CHAR(34)&amp;SUBSTITUTE(CriteriTecnici!$F2202,CHAR(34),"'")&amp;CHAR(34)&amp;", "&amp;CHAR(34)&amp;"value"&amp;CHAR(34)&amp;": "&amp;SUBSTITUTE(TRIM(ROUND(IFERROR(CriteriTecnici!$N2202*1,IFERROR(NUMBERVALUE(CriteriTecnici!$N2202,".",","),IFERROR(NUMBERVALUE(CriteriTecnici!$N2202,",","."),0))),4)&amp;""),",",".")&amp;", "&amp;CHAR(34)&amp;"numerator"&amp;CHAR(34)&amp;": "&amp;SUBSTITUTE(TRIM(ROUND(IFERROR(CriteriTecnici!$K2202*1,IFERROR(NUMBERVALUE(CriteriTecnici!$K2202,".",","),IFERROR(NUMBERVALUE(CriteriTecnici!$K2202,",","."),0))),4)&amp;""),",",".")&amp;", "&amp;CHAR(34)&amp;"denominator"&amp;CHAR(34)&amp;": "&amp;SUBSTITUTE(TRIM(ROUND(IFERROR(CriteriTecnici!$L2202*1,IFERROR(NUMBERVALUE(CriteriTecnici!$L2202,".",","),IFERROR(NUMBERVALUE(CriteriTecnici!$L2202,",","."),0))),4)&amp;""),",",".")&amp;", "&amp;CHAR(34)&amp;"flag"&amp;CHAR(34)&amp;": "&amp;SUBSTITUTE(TRIM(ROUND(IFERROR(CriteriTecnici!$M2202*1,IFERROR(NUMBERVALUE(CriteriTecnici!$M2202,".",","),IFERROR(NUMBERVALUE(CriteriTecnici!$M2202,",","."),0))),4)&amp;""),",",".")&amp;", "&amp;CHAR(34)&amp;"rawScore"&amp;CHAR(34)&amp;": "&amp;SUBSTITUTE(TRIM(ROUND(IFERROR(CriteriTecnici!$O2202*1,IFERROR(NUMBERVALUE(CriteriTecnici!$O2202,".",","),IFERROR(NUMBERVALUE(CriteriTecnici!$O2202,",","."),0))),4)&amp;""),",",".")&amp;CHAR(125)&amp;IF(TRUE,",",""))</f>
        <v/>
      </c>
    </row>
    <row r="2304">
      <c r="A2304" s="82">
        <f>IF(CriteriTecnici!$A2203="","","    "&amp;CHAR(123)&amp;CHAR(34)&amp;"bidderId"&amp;CHAR(34)&amp;": "&amp;CHAR(34)&amp;SUBSTITUTE(CriteriTecnici!$A2203,CHAR(34),"'")&amp;CHAR(34)&amp;", "&amp;CHAR(34)&amp;"lotId"&amp;CHAR(34)&amp;": "&amp;CHAR(34)&amp;SUBSTITUTE(CriteriTecnici!$C2203,CHAR(34),"'")&amp;CHAR(34)&amp;", "&amp;CHAR(34)&amp;"criterionId"&amp;CHAR(34)&amp;": "&amp;CHAR(34)&amp;SUBSTITUTE(CriteriTecnici!$D2203,CHAR(34),"'")&amp;CHAR(34)&amp;", "&amp;CHAR(34)&amp;"kind"&amp;CHAR(34)&amp;": "&amp;CHAR(34)&amp;SUBSTITUTE(CriteriTecnici!$F2203,CHAR(34),"'")&amp;CHAR(34)&amp;", "&amp;CHAR(34)&amp;"value"&amp;CHAR(34)&amp;": "&amp;SUBSTITUTE(TRIM(ROUND(IFERROR(CriteriTecnici!$N2203*1,IFERROR(NUMBERVALUE(CriteriTecnici!$N2203,".",","),IFERROR(NUMBERVALUE(CriteriTecnici!$N2203,",","."),0))),4)&amp;""),",",".")&amp;", "&amp;CHAR(34)&amp;"numerator"&amp;CHAR(34)&amp;": "&amp;SUBSTITUTE(TRIM(ROUND(IFERROR(CriteriTecnici!$K2203*1,IFERROR(NUMBERVALUE(CriteriTecnici!$K2203,".",","),IFERROR(NUMBERVALUE(CriteriTecnici!$K2203,",","."),0))),4)&amp;""),",",".")&amp;", "&amp;CHAR(34)&amp;"denominator"&amp;CHAR(34)&amp;": "&amp;SUBSTITUTE(TRIM(ROUND(IFERROR(CriteriTecnici!$L2203*1,IFERROR(NUMBERVALUE(CriteriTecnici!$L2203,".",","),IFERROR(NUMBERVALUE(CriteriTecnici!$L2203,",","."),0))),4)&amp;""),",",".")&amp;", "&amp;CHAR(34)&amp;"flag"&amp;CHAR(34)&amp;": "&amp;SUBSTITUTE(TRIM(ROUND(IFERROR(CriteriTecnici!$M2203*1,IFERROR(NUMBERVALUE(CriteriTecnici!$M2203,".",","),IFERROR(NUMBERVALUE(CriteriTecnici!$M2203,",","."),0))),4)&amp;""),",",".")&amp;", "&amp;CHAR(34)&amp;"rawScore"&amp;CHAR(34)&amp;": "&amp;SUBSTITUTE(TRIM(ROUND(IFERROR(CriteriTecnici!$O2203*1,IFERROR(NUMBERVALUE(CriteriTecnici!$O2203,".",","),IFERROR(NUMBERVALUE(CriteriTecnici!$O2203,",","."),0))),4)&amp;""),",",".")&amp;CHAR(125)&amp;IF(TRUE,",",""))</f>
        <v/>
      </c>
    </row>
    <row r="2305">
      <c r="A2305" s="82">
        <f>IF(CriteriTecnici!$A2204="","","    "&amp;CHAR(123)&amp;CHAR(34)&amp;"bidderId"&amp;CHAR(34)&amp;": "&amp;CHAR(34)&amp;SUBSTITUTE(CriteriTecnici!$A2204,CHAR(34),"'")&amp;CHAR(34)&amp;", "&amp;CHAR(34)&amp;"lotId"&amp;CHAR(34)&amp;": "&amp;CHAR(34)&amp;SUBSTITUTE(CriteriTecnici!$C2204,CHAR(34),"'")&amp;CHAR(34)&amp;", "&amp;CHAR(34)&amp;"criterionId"&amp;CHAR(34)&amp;": "&amp;CHAR(34)&amp;SUBSTITUTE(CriteriTecnici!$D2204,CHAR(34),"'")&amp;CHAR(34)&amp;", "&amp;CHAR(34)&amp;"kind"&amp;CHAR(34)&amp;": "&amp;CHAR(34)&amp;SUBSTITUTE(CriteriTecnici!$F2204,CHAR(34),"'")&amp;CHAR(34)&amp;", "&amp;CHAR(34)&amp;"value"&amp;CHAR(34)&amp;": "&amp;SUBSTITUTE(TRIM(ROUND(IFERROR(CriteriTecnici!$N2204*1,IFERROR(NUMBERVALUE(CriteriTecnici!$N2204,".",","),IFERROR(NUMBERVALUE(CriteriTecnici!$N2204,",","."),0))),4)&amp;""),",",".")&amp;", "&amp;CHAR(34)&amp;"numerator"&amp;CHAR(34)&amp;": "&amp;SUBSTITUTE(TRIM(ROUND(IFERROR(CriteriTecnici!$K2204*1,IFERROR(NUMBERVALUE(CriteriTecnici!$K2204,".",","),IFERROR(NUMBERVALUE(CriteriTecnici!$K2204,",","."),0))),4)&amp;""),",",".")&amp;", "&amp;CHAR(34)&amp;"denominator"&amp;CHAR(34)&amp;": "&amp;SUBSTITUTE(TRIM(ROUND(IFERROR(CriteriTecnici!$L2204*1,IFERROR(NUMBERVALUE(CriteriTecnici!$L2204,".",","),IFERROR(NUMBERVALUE(CriteriTecnici!$L2204,",","."),0))),4)&amp;""),",",".")&amp;", "&amp;CHAR(34)&amp;"flag"&amp;CHAR(34)&amp;": "&amp;SUBSTITUTE(TRIM(ROUND(IFERROR(CriteriTecnici!$M2204*1,IFERROR(NUMBERVALUE(CriteriTecnici!$M2204,".",","),IFERROR(NUMBERVALUE(CriteriTecnici!$M2204,",","."),0))),4)&amp;""),",",".")&amp;", "&amp;CHAR(34)&amp;"rawScore"&amp;CHAR(34)&amp;": "&amp;SUBSTITUTE(TRIM(ROUND(IFERROR(CriteriTecnici!$O2204*1,IFERROR(NUMBERVALUE(CriteriTecnici!$O2204,".",","),IFERROR(NUMBERVALUE(CriteriTecnici!$O2204,",","."),0))),4)&amp;""),",",".")&amp;CHAR(125)&amp;IF(TRUE,",",""))</f>
        <v/>
      </c>
    </row>
    <row r="2306">
      <c r="A2306" s="82">
        <f>IF(CriteriTecnici!$A2205="","","    "&amp;CHAR(123)&amp;CHAR(34)&amp;"bidderId"&amp;CHAR(34)&amp;": "&amp;CHAR(34)&amp;SUBSTITUTE(CriteriTecnici!$A2205,CHAR(34),"'")&amp;CHAR(34)&amp;", "&amp;CHAR(34)&amp;"lotId"&amp;CHAR(34)&amp;": "&amp;CHAR(34)&amp;SUBSTITUTE(CriteriTecnici!$C2205,CHAR(34),"'")&amp;CHAR(34)&amp;", "&amp;CHAR(34)&amp;"criterionId"&amp;CHAR(34)&amp;": "&amp;CHAR(34)&amp;SUBSTITUTE(CriteriTecnici!$D2205,CHAR(34),"'")&amp;CHAR(34)&amp;", "&amp;CHAR(34)&amp;"kind"&amp;CHAR(34)&amp;": "&amp;CHAR(34)&amp;SUBSTITUTE(CriteriTecnici!$F2205,CHAR(34),"'")&amp;CHAR(34)&amp;", "&amp;CHAR(34)&amp;"value"&amp;CHAR(34)&amp;": "&amp;SUBSTITUTE(TRIM(ROUND(IFERROR(CriteriTecnici!$N2205*1,IFERROR(NUMBERVALUE(CriteriTecnici!$N2205,".",","),IFERROR(NUMBERVALUE(CriteriTecnici!$N2205,",","."),0))),4)&amp;""),",",".")&amp;", "&amp;CHAR(34)&amp;"numerator"&amp;CHAR(34)&amp;": "&amp;SUBSTITUTE(TRIM(ROUND(IFERROR(CriteriTecnici!$K2205*1,IFERROR(NUMBERVALUE(CriteriTecnici!$K2205,".",","),IFERROR(NUMBERVALUE(CriteriTecnici!$K2205,",","."),0))),4)&amp;""),",",".")&amp;", "&amp;CHAR(34)&amp;"denominator"&amp;CHAR(34)&amp;": "&amp;SUBSTITUTE(TRIM(ROUND(IFERROR(CriteriTecnici!$L2205*1,IFERROR(NUMBERVALUE(CriteriTecnici!$L2205,".",","),IFERROR(NUMBERVALUE(CriteriTecnici!$L2205,",","."),0))),4)&amp;""),",",".")&amp;", "&amp;CHAR(34)&amp;"flag"&amp;CHAR(34)&amp;": "&amp;SUBSTITUTE(TRIM(ROUND(IFERROR(CriteriTecnici!$M2205*1,IFERROR(NUMBERVALUE(CriteriTecnici!$M2205,".",","),IFERROR(NUMBERVALUE(CriteriTecnici!$M2205,",","."),0))),4)&amp;""),",",".")&amp;", "&amp;CHAR(34)&amp;"rawScore"&amp;CHAR(34)&amp;": "&amp;SUBSTITUTE(TRIM(ROUND(IFERROR(CriteriTecnici!$O2205*1,IFERROR(NUMBERVALUE(CriteriTecnici!$O2205,".",","),IFERROR(NUMBERVALUE(CriteriTecnici!$O2205,",","."),0))),4)&amp;""),",",".")&amp;CHAR(125)&amp;IF(COUNTA(Offerte!$A73:$A$81)&gt;0,",",""))</f>
        <v/>
      </c>
    </row>
    <row r="2307">
      <c r="A2307" s="82">
        <f>IF(CriteriTecnici!$A2206="","","    "&amp;CHAR(123)&amp;CHAR(34)&amp;"bidderId"&amp;CHAR(34)&amp;": "&amp;CHAR(34)&amp;SUBSTITUTE(CriteriTecnici!$A2206,CHAR(34),"'")&amp;CHAR(34)&amp;", "&amp;CHAR(34)&amp;"lotId"&amp;CHAR(34)&amp;": "&amp;CHAR(34)&amp;SUBSTITUTE(CriteriTecnici!$C2206,CHAR(34),"'")&amp;CHAR(34)&amp;", "&amp;CHAR(34)&amp;"criterionId"&amp;CHAR(34)&amp;": "&amp;CHAR(34)&amp;SUBSTITUTE(CriteriTecnici!$D2206,CHAR(34),"'")&amp;CHAR(34)&amp;", "&amp;CHAR(34)&amp;"kind"&amp;CHAR(34)&amp;": "&amp;CHAR(34)&amp;SUBSTITUTE(CriteriTecnici!$F2206,CHAR(34),"'")&amp;CHAR(34)&amp;", "&amp;CHAR(34)&amp;"value"&amp;CHAR(34)&amp;": "&amp;SUBSTITUTE(TRIM(ROUND(IFERROR(CriteriTecnici!$N2206*1,IFERROR(NUMBERVALUE(CriteriTecnici!$N2206,".",","),IFERROR(NUMBERVALUE(CriteriTecnici!$N2206,",","."),0))),4)&amp;""),",",".")&amp;", "&amp;CHAR(34)&amp;"numerator"&amp;CHAR(34)&amp;": "&amp;SUBSTITUTE(TRIM(ROUND(IFERROR(CriteriTecnici!$K2206*1,IFERROR(NUMBERVALUE(CriteriTecnici!$K2206,".",","),IFERROR(NUMBERVALUE(CriteriTecnici!$K2206,",","."),0))),4)&amp;""),",",".")&amp;", "&amp;CHAR(34)&amp;"denominator"&amp;CHAR(34)&amp;": "&amp;SUBSTITUTE(TRIM(ROUND(IFERROR(CriteriTecnici!$L2206*1,IFERROR(NUMBERVALUE(CriteriTecnici!$L2206,".",","),IFERROR(NUMBERVALUE(CriteriTecnici!$L2206,",","."),0))),4)&amp;""),",",".")&amp;", "&amp;CHAR(34)&amp;"flag"&amp;CHAR(34)&amp;": "&amp;SUBSTITUTE(TRIM(ROUND(IFERROR(CriteriTecnici!$M2206*1,IFERROR(NUMBERVALUE(CriteriTecnici!$M2206,".",","),IFERROR(NUMBERVALUE(CriteriTecnici!$M2206,",","."),0))),4)&amp;""),",",".")&amp;", "&amp;CHAR(34)&amp;"rawScore"&amp;CHAR(34)&amp;": "&amp;SUBSTITUTE(TRIM(ROUND(IFERROR(CriteriTecnici!$O2206*1,IFERROR(NUMBERVALUE(CriteriTecnici!$O2206,".",","),IFERROR(NUMBERVALUE(CriteriTecnici!$O2206,",","."),0))),4)&amp;""),",",".")&amp;CHAR(125)&amp;IF(TRUE,",",""))</f>
        <v/>
      </c>
    </row>
    <row r="2308">
      <c r="A2308" s="82">
        <f>IF(CriteriTecnici!$A2207="","","    "&amp;CHAR(123)&amp;CHAR(34)&amp;"bidderId"&amp;CHAR(34)&amp;": "&amp;CHAR(34)&amp;SUBSTITUTE(CriteriTecnici!$A2207,CHAR(34),"'")&amp;CHAR(34)&amp;", "&amp;CHAR(34)&amp;"lotId"&amp;CHAR(34)&amp;": "&amp;CHAR(34)&amp;SUBSTITUTE(CriteriTecnici!$C2207,CHAR(34),"'")&amp;CHAR(34)&amp;", "&amp;CHAR(34)&amp;"criterionId"&amp;CHAR(34)&amp;": "&amp;CHAR(34)&amp;SUBSTITUTE(CriteriTecnici!$D2207,CHAR(34),"'")&amp;CHAR(34)&amp;", "&amp;CHAR(34)&amp;"kind"&amp;CHAR(34)&amp;": "&amp;CHAR(34)&amp;SUBSTITUTE(CriteriTecnici!$F2207,CHAR(34),"'")&amp;CHAR(34)&amp;", "&amp;CHAR(34)&amp;"value"&amp;CHAR(34)&amp;": "&amp;SUBSTITUTE(TRIM(ROUND(IFERROR(CriteriTecnici!$N2207*1,IFERROR(NUMBERVALUE(CriteriTecnici!$N2207,".",","),IFERROR(NUMBERVALUE(CriteriTecnici!$N2207,",","."),0))),4)&amp;""),",",".")&amp;", "&amp;CHAR(34)&amp;"numerator"&amp;CHAR(34)&amp;": "&amp;SUBSTITUTE(TRIM(ROUND(IFERROR(CriteriTecnici!$K2207*1,IFERROR(NUMBERVALUE(CriteriTecnici!$K2207,".",","),IFERROR(NUMBERVALUE(CriteriTecnici!$K2207,",","."),0))),4)&amp;""),",",".")&amp;", "&amp;CHAR(34)&amp;"denominator"&amp;CHAR(34)&amp;": "&amp;SUBSTITUTE(TRIM(ROUND(IFERROR(CriteriTecnici!$L2207*1,IFERROR(NUMBERVALUE(CriteriTecnici!$L2207,".",","),IFERROR(NUMBERVALUE(CriteriTecnici!$L2207,",","."),0))),4)&amp;""),",",".")&amp;", "&amp;CHAR(34)&amp;"flag"&amp;CHAR(34)&amp;": "&amp;SUBSTITUTE(TRIM(ROUND(IFERROR(CriteriTecnici!$M2207*1,IFERROR(NUMBERVALUE(CriteriTecnici!$M2207,".",","),IFERROR(NUMBERVALUE(CriteriTecnici!$M2207,",","."),0))),4)&amp;""),",",".")&amp;", "&amp;CHAR(34)&amp;"rawScore"&amp;CHAR(34)&amp;": "&amp;SUBSTITUTE(TRIM(ROUND(IFERROR(CriteriTecnici!$O2207*1,IFERROR(NUMBERVALUE(CriteriTecnici!$O2207,".",","),IFERROR(NUMBERVALUE(CriteriTecnici!$O2207,",","."),0))),4)&amp;""),",",".")&amp;CHAR(125)&amp;IF(TRUE,",",""))</f>
        <v/>
      </c>
    </row>
    <row r="2309">
      <c r="A2309" s="82">
        <f>IF(CriteriTecnici!$A2208="","","    "&amp;CHAR(123)&amp;CHAR(34)&amp;"bidderId"&amp;CHAR(34)&amp;": "&amp;CHAR(34)&amp;SUBSTITUTE(CriteriTecnici!$A2208,CHAR(34),"'")&amp;CHAR(34)&amp;", "&amp;CHAR(34)&amp;"lotId"&amp;CHAR(34)&amp;": "&amp;CHAR(34)&amp;SUBSTITUTE(CriteriTecnici!$C2208,CHAR(34),"'")&amp;CHAR(34)&amp;", "&amp;CHAR(34)&amp;"criterionId"&amp;CHAR(34)&amp;": "&amp;CHAR(34)&amp;SUBSTITUTE(CriteriTecnici!$D2208,CHAR(34),"'")&amp;CHAR(34)&amp;", "&amp;CHAR(34)&amp;"kind"&amp;CHAR(34)&amp;": "&amp;CHAR(34)&amp;SUBSTITUTE(CriteriTecnici!$F2208,CHAR(34),"'")&amp;CHAR(34)&amp;", "&amp;CHAR(34)&amp;"value"&amp;CHAR(34)&amp;": "&amp;SUBSTITUTE(TRIM(ROUND(IFERROR(CriteriTecnici!$N2208*1,IFERROR(NUMBERVALUE(CriteriTecnici!$N2208,".",","),IFERROR(NUMBERVALUE(CriteriTecnici!$N2208,",","."),0))),4)&amp;""),",",".")&amp;", "&amp;CHAR(34)&amp;"numerator"&amp;CHAR(34)&amp;": "&amp;SUBSTITUTE(TRIM(ROUND(IFERROR(CriteriTecnici!$K2208*1,IFERROR(NUMBERVALUE(CriteriTecnici!$K2208,".",","),IFERROR(NUMBERVALUE(CriteriTecnici!$K2208,",","."),0))),4)&amp;""),",",".")&amp;", "&amp;CHAR(34)&amp;"denominator"&amp;CHAR(34)&amp;": "&amp;SUBSTITUTE(TRIM(ROUND(IFERROR(CriteriTecnici!$L2208*1,IFERROR(NUMBERVALUE(CriteriTecnici!$L2208,".",","),IFERROR(NUMBERVALUE(CriteriTecnici!$L2208,",","."),0))),4)&amp;""),",",".")&amp;", "&amp;CHAR(34)&amp;"flag"&amp;CHAR(34)&amp;": "&amp;SUBSTITUTE(TRIM(ROUND(IFERROR(CriteriTecnici!$M2208*1,IFERROR(NUMBERVALUE(CriteriTecnici!$M2208,".",","),IFERROR(NUMBERVALUE(CriteriTecnici!$M2208,",","."),0))),4)&amp;""),",",".")&amp;", "&amp;CHAR(34)&amp;"rawScore"&amp;CHAR(34)&amp;": "&amp;SUBSTITUTE(TRIM(ROUND(IFERROR(CriteriTecnici!$O2208*1,IFERROR(NUMBERVALUE(CriteriTecnici!$O2208,".",","),IFERROR(NUMBERVALUE(CriteriTecnici!$O2208,",","."),0))),4)&amp;""),",",".")&amp;CHAR(125)&amp;IF(TRUE,",",""))</f>
        <v/>
      </c>
    </row>
    <row r="2310">
      <c r="A2310" s="82">
        <f>IF(CriteriTecnici!$A2209="","","    "&amp;CHAR(123)&amp;CHAR(34)&amp;"bidderId"&amp;CHAR(34)&amp;": "&amp;CHAR(34)&amp;SUBSTITUTE(CriteriTecnici!$A2209,CHAR(34),"'")&amp;CHAR(34)&amp;", "&amp;CHAR(34)&amp;"lotId"&amp;CHAR(34)&amp;": "&amp;CHAR(34)&amp;SUBSTITUTE(CriteriTecnici!$C2209,CHAR(34),"'")&amp;CHAR(34)&amp;", "&amp;CHAR(34)&amp;"criterionId"&amp;CHAR(34)&amp;": "&amp;CHAR(34)&amp;SUBSTITUTE(CriteriTecnici!$D2209,CHAR(34),"'")&amp;CHAR(34)&amp;", "&amp;CHAR(34)&amp;"kind"&amp;CHAR(34)&amp;": "&amp;CHAR(34)&amp;SUBSTITUTE(CriteriTecnici!$F2209,CHAR(34),"'")&amp;CHAR(34)&amp;", "&amp;CHAR(34)&amp;"value"&amp;CHAR(34)&amp;": "&amp;SUBSTITUTE(TRIM(ROUND(IFERROR(CriteriTecnici!$N2209*1,IFERROR(NUMBERVALUE(CriteriTecnici!$N2209,".",","),IFERROR(NUMBERVALUE(CriteriTecnici!$N2209,",","."),0))),4)&amp;""),",",".")&amp;", "&amp;CHAR(34)&amp;"numerator"&amp;CHAR(34)&amp;": "&amp;SUBSTITUTE(TRIM(ROUND(IFERROR(CriteriTecnici!$K2209*1,IFERROR(NUMBERVALUE(CriteriTecnici!$K2209,".",","),IFERROR(NUMBERVALUE(CriteriTecnici!$K2209,",","."),0))),4)&amp;""),",",".")&amp;", "&amp;CHAR(34)&amp;"denominator"&amp;CHAR(34)&amp;": "&amp;SUBSTITUTE(TRIM(ROUND(IFERROR(CriteriTecnici!$L2209*1,IFERROR(NUMBERVALUE(CriteriTecnici!$L2209,".",","),IFERROR(NUMBERVALUE(CriteriTecnici!$L2209,",","."),0))),4)&amp;""),",",".")&amp;", "&amp;CHAR(34)&amp;"flag"&amp;CHAR(34)&amp;": "&amp;SUBSTITUTE(TRIM(ROUND(IFERROR(CriteriTecnici!$M2209*1,IFERROR(NUMBERVALUE(CriteriTecnici!$M2209,".",","),IFERROR(NUMBERVALUE(CriteriTecnici!$M2209,",","."),0))),4)&amp;""),",",".")&amp;", "&amp;CHAR(34)&amp;"rawScore"&amp;CHAR(34)&amp;": "&amp;SUBSTITUTE(TRIM(ROUND(IFERROR(CriteriTecnici!$O2209*1,IFERROR(NUMBERVALUE(CriteriTecnici!$O2209,".",","),IFERROR(NUMBERVALUE(CriteriTecnici!$O2209,",","."),0))),4)&amp;""),",",".")&amp;CHAR(125)&amp;IF(TRUE,",",""))</f>
        <v/>
      </c>
    </row>
    <row r="2311">
      <c r="A2311" s="82">
        <f>IF(CriteriTecnici!$A2210="","","    "&amp;CHAR(123)&amp;CHAR(34)&amp;"bidderId"&amp;CHAR(34)&amp;": "&amp;CHAR(34)&amp;SUBSTITUTE(CriteriTecnici!$A2210,CHAR(34),"'")&amp;CHAR(34)&amp;", "&amp;CHAR(34)&amp;"lotId"&amp;CHAR(34)&amp;": "&amp;CHAR(34)&amp;SUBSTITUTE(CriteriTecnici!$C2210,CHAR(34),"'")&amp;CHAR(34)&amp;", "&amp;CHAR(34)&amp;"criterionId"&amp;CHAR(34)&amp;": "&amp;CHAR(34)&amp;SUBSTITUTE(CriteriTecnici!$D2210,CHAR(34),"'")&amp;CHAR(34)&amp;", "&amp;CHAR(34)&amp;"kind"&amp;CHAR(34)&amp;": "&amp;CHAR(34)&amp;SUBSTITUTE(CriteriTecnici!$F2210,CHAR(34),"'")&amp;CHAR(34)&amp;", "&amp;CHAR(34)&amp;"value"&amp;CHAR(34)&amp;": "&amp;SUBSTITUTE(TRIM(ROUND(IFERROR(CriteriTecnici!$N2210*1,IFERROR(NUMBERVALUE(CriteriTecnici!$N2210,".",","),IFERROR(NUMBERVALUE(CriteriTecnici!$N2210,",","."),0))),4)&amp;""),",",".")&amp;", "&amp;CHAR(34)&amp;"numerator"&amp;CHAR(34)&amp;": "&amp;SUBSTITUTE(TRIM(ROUND(IFERROR(CriteriTecnici!$K2210*1,IFERROR(NUMBERVALUE(CriteriTecnici!$K2210,".",","),IFERROR(NUMBERVALUE(CriteriTecnici!$K2210,",","."),0))),4)&amp;""),",",".")&amp;", "&amp;CHAR(34)&amp;"denominator"&amp;CHAR(34)&amp;": "&amp;SUBSTITUTE(TRIM(ROUND(IFERROR(CriteriTecnici!$L2210*1,IFERROR(NUMBERVALUE(CriteriTecnici!$L2210,".",","),IFERROR(NUMBERVALUE(CriteriTecnici!$L2210,",","."),0))),4)&amp;""),",",".")&amp;", "&amp;CHAR(34)&amp;"flag"&amp;CHAR(34)&amp;": "&amp;SUBSTITUTE(TRIM(ROUND(IFERROR(CriteriTecnici!$M2210*1,IFERROR(NUMBERVALUE(CriteriTecnici!$M2210,".",","),IFERROR(NUMBERVALUE(CriteriTecnici!$M2210,",","."),0))),4)&amp;""),",",".")&amp;", "&amp;CHAR(34)&amp;"rawScore"&amp;CHAR(34)&amp;": "&amp;SUBSTITUTE(TRIM(ROUND(IFERROR(CriteriTecnici!$O2210*1,IFERROR(NUMBERVALUE(CriteriTecnici!$O2210,".",","),IFERROR(NUMBERVALUE(CriteriTecnici!$O2210,",","."),0))),4)&amp;""),",",".")&amp;CHAR(125)&amp;IF(TRUE,",",""))</f>
        <v/>
      </c>
    </row>
    <row r="2312">
      <c r="A2312" s="82">
        <f>IF(CriteriTecnici!$A2211="","","    "&amp;CHAR(123)&amp;CHAR(34)&amp;"bidderId"&amp;CHAR(34)&amp;": "&amp;CHAR(34)&amp;SUBSTITUTE(CriteriTecnici!$A2211,CHAR(34),"'")&amp;CHAR(34)&amp;", "&amp;CHAR(34)&amp;"lotId"&amp;CHAR(34)&amp;": "&amp;CHAR(34)&amp;SUBSTITUTE(CriteriTecnici!$C2211,CHAR(34),"'")&amp;CHAR(34)&amp;", "&amp;CHAR(34)&amp;"criterionId"&amp;CHAR(34)&amp;": "&amp;CHAR(34)&amp;SUBSTITUTE(CriteriTecnici!$D2211,CHAR(34),"'")&amp;CHAR(34)&amp;", "&amp;CHAR(34)&amp;"kind"&amp;CHAR(34)&amp;": "&amp;CHAR(34)&amp;SUBSTITUTE(CriteriTecnici!$F2211,CHAR(34),"'")&amp;CHAR(34)&amp;", "&amp;CHAR(34)&amp;"value"&amp;CHAR(34)&amp;": "&amp;SUBSTITUTE(TRIM(ROUND(IFERROR(CriteriTecnici!$N2211*1,IFERROR(NUMBERVALUE(CriteriTecnici!$N2211,".",","),IFERROR(NUMBERVALUE(CriteriTecnici!$N2211,",","."),0))),4)&amp;""),",",".")&amp;", "&amp;CHAR(34)&amp;"numerator"&amp;CHAR(34)&amp;": "&amp;SUBSTITUTE(TRIM(ROUND(IFERROR(CriteriTecnici!$K2211*1,IFERROR(NUMBERVALUE(CriteriTecnici!$K2211,".",","),IFERROR(NUMBERVALUE(CriteriTecnici!$K2211,",","."),0))),4)&amp;""),",",".")&amp;", "&amp;CHAR(34)&amp;"denominator"&amp;CHAR(34)&amp;": "&amp;SUBSTITUTE(TRIM(ROUND(IFERROR(CriteriTecnici!$L2211*1,IFERROR(NUMBERVALUE(CriteriTecnici!$L2211,".",","),IFERROR(NUMBERVALUE(CriteriTecnici!$L2211,",","."),0))),4)&amp;""),",",".")&amp;", "&amp;CHAR(34)&amp;"flag"&amp;CHAR(34)&amp;": "&amp;SUBSTITUTE(TRIM(ROUND(IFERROR(CriteriTecnici!$M2211*1,IFERROR(NUMBERVALUE(CriteriTecnici!$M2211,".",","),IFERROR(NUMBERVALUE(CriteriTecnici!$M2211,",","."),0))),4)&amp;""),",",".")&amp;", "&amp;CHAR(34)&amp;"rawScore"&amp;CHAR(34)&amp;": "&amp;SUBSTITUTE(TRIM(ROUND(IFERROR(CriteriTecnici!$O2211*1,IFERROR(NUMBERVALUE(CriteriTecnici!$O2211,".",","),IFERROR(NUMBERVALUE(CriteriTecnici!$O2211,",","."),0))),4)&amp;""),",",".")&amp;CHAR(125)&amp;IF(TRUE,",",""))</f>
        <v/>
      </c>
    </row>
    <row r="2313">
      <c r="A2313" s="82">
        <f>IF(CriteriTecnici!$A2212="","","    "&amp;CHAR(123)&amp;CHAR(34)&amp;"bidderId"&amp;CHAR(34)&amp;": "&amp;CHAR(34)&amp;SUBSTITUTE(CriteriTecnici!$A2212,CHAR(34),"'")&amp;CHAR(34)&amp;", "&amp;CHAR(34)&amp;"lotId"&amp;CHAR(34)&amp;": "&amp;CHAR(34)&amp;SUBSTITUTE(CriteriTecnici!$C2212,CHAR(34),"'")&amp;CHAR(34)&amp;", "&amp;CHAR(34)&amp;"criterionId"&amp;CHAR(34)&amp;": "&amp;CHAR(34)&amp;SUBSTITUTE(CriteriTecnici!$D2212,CHAR(34),"'")&amp;CHAR(34)&amp;", "&amp;CHAR(34)&amp;"kind"&amp;CHAR(34)&amp;": "&amp;CHAR(34)&amp;SUBSTITUTE(CriteriTecnici!$F2212,CHAR(34),"'")&amp;CHAR(34)&amp;", "&amp;CHAR(34)&amp;"value"&amp;CHAR(34)&amp;": "&amp;SUBSTITUTE(TRIM(ROUND(IFERROR(CriteriTecnici!$N2212*1,IFERROR(NUMBERVALUE(CriteriTecnici!$N2212,".",","),IFERROR(NUMBERVALUE(CriteriTecnici!$N2212,",","."),0))),4)&amp;""),",",".")&amp;", "&amp;CHAR(34)&amp;"numerator"&amp;CHAR(34)&amp;": "&amp;SUBSTITUTE(TRIM(ROUND(IFERROR(CriteriTecnici!$K2212*1,IFERROR(NUMBERVALUE(CriteriTecnici!$K2212,".",","),IFERROR(NUMBERVALUE(CriteriTecnici!$K2212,",","."),0))),4)&amp;""),",",".")&amp;", "&amp;CHAR(34)&amp;"denominator"&amp;CHAR(34)&amp;": "&amp;SUBSTITUTE(TRIM(ROUND(IFERROR(CriteriTecnici!$L2212*1,IFERROR(NUMBERVALUE(CriteriTecnici!$L2212,".",","),IFERROR(NUMBERVALUE(CriteriTecnici!$L2212,",","."),0))),4)&amp;""),",",".")&amp;", "&amp;CHAR(34)&amp;"flag"&amp;CHAR(34)&amp;": "&amp;SUBSTITUTE(TRIM(ROUND(IFERROR(CriteriTecnici!$M2212*1,IFERROR(NUMBERVALUE(CriteriTecnici!$M2212,".",","),IFERROR(NUMBERVALUE(CriteriTecnici!$M2212,",","."),0))),4)&amp;""),",",".")&amp;", "&amp;CHAR(34)&amp;"rawScore"&amp;CHAR(34)&amp;": "&amp;SUBSTITUTE(TRIM(ROUND(IFERROR(CriteriTecnici!$O2212*1,IFERROR(NUMBERVALUE(CriteriTecnici!$O2212,".",","),IFERROR(NUMBERVALUE(CriteriTecnici!$O2212,",","."),0))),4)&amp;""),",",".")&amp;CHAR(125)&amp;IF(TRUE,",",""))</f>
        <v/>
      </c>
    </row>
    <row r="2314">
      <c r="A2314" s="82">
        <f>IF(CriteriTecnici!$A2213="","","    "&amp;CHAR(123)&amp;CHAR(34)&amp;"bidderId"&amp;CHAR(34)&amp;": "&amp;CHAR(34)&amp;SUBSTITUTE(CriteriTecnici!$A2213,CHAR(34),"'")&amp;CHAR(34)&amp;", "&amp;CHAR(34)&amp;"lotId"&amp;CHAR(34)&amp;": "&amp;CHAR(34)&amp;SUBSTITUTE(CriteriTecnici!$C2213,CHAR(34),"'")&amp;CHAR(34)&amp;", "&amp;CHAR(34)&amp;"criterionId"&amp;CHAR(34)&amp;": "&amp;CHAR(34)&amp;SUBSTITUTE(CriteriTecnici!$D2213,CHAR(34),"'")&amp;CHAR(34)&amp;", "&amp;CHAR(34)&amp;"kind"&amp;CHAR(34)&amp;": "&amp;CHAR(34)&amp;SUBSTITUTE(CriteriTecnici!$F2213,CHAR(34),"'")&amp;CHAR(34)&amp;", "&amp;CHAR(34)&amp;"value"&amp;CHAR(34)&amp;": "&amp;SUBSTITUTE(TRIM(ROUND(IFERROR(CriteriTecnici!$N2213*1,IFERROR(NUMBERVALUE(CriteriTecnici!$N2213,".",","),IFERROR(NUMBERVALUE(CriteriTecnici!$N2213,",","."),0))),4)&amp;""),",",".")&amp;", "&amp;CHAR(34)&amp;"numerator"&amp;CHAR(34)&amp;": "&amp;SUBSTITUTE(TRIM(ROUND(IFERROR(CriteriTecnici!$K2213*1,IFERROR(NUMBERVALUE(CriteriTecnici!$K2213,".",","),IFERROR(NUMBERVALUE(CriteriTecnici!$K2213,",","."),0))),4)&amp;""),",",".")&amp;", "&amp;CHAR(34)&amp;"denominator"&amp;CHAR(34)&amp;": "&amp;SUBSTITUTE(TRIM(ROUND(IFERROR(CriteriTecnici!$L2213*1,IFERROR(NUMBERVALUE(CriteriTecnici!$L2213,".",","),IFERROR(NUMBERVALUE(CriteriTecnici!$L2213,",","."),0))),4)&amp;""),",",".")&amp;", "&amp;CHAR(34)&amp;"flag"&amp;CHAR(34)&amp;": "&amp;SUBSTITUTE(TRIM(ROUND(IFERROR(CriteriTecnici!$M2213*1,IFERROR(NUMBERVALUE(CriteriTecnici!$M2213,".",","),IFERROR(NUMBERVALUE(CriteriTecnici!$M2213,",","."),0))),4)&amp;""),",",".")&amp;", "&amp;CHAR(34)&amp;"rawScore"&amp;CHAR(34)&amp;": "&amp;SUBSTITUTE(TRIM(ROUND(IFERROR(CriteriTecnici!$O2213*1,IFERROR(NUMBERVALUE(CriteriTecnici!$O2213,".",","),IFERROR(NUMBERVALUE(CriteriTecnici!$O2213,",","."),0))),4)&amp;""),",",".")&amp;CHAR(125)&amp;IF(TRUE,",",""))</f>
        <v/>
      </c>
    </row>
    <row r="2315">
      <c r="A2315" s="82">
        <f>IF(CriteriTecnici!$A2214="","","    "&amp;CHAR(123)&amp;CHAR(34)&amp;"bidderId"&amp;CHAR(34)&amp;": "&amp;CHAR(34)&amp;SUBSTITUTE(CriteriTecnici!$A2214,CHAR(34),"'")&amp;CHAR(34)&amp;", "&amp;CHAR(34)&amp;"lotId"&amp;CHAR(34)&amp;": "&amp;CHAR(34)&amp;SUBSTITUTE(CriteriTecnici!$C2214,CHAR(34),"'")&amp;CHAR(34)&amp;", "&amp;CHAR(34)&amp;"criterionId"&amp;CHAR(34)&amp;": "&amp;CHAR(34)&amp;SUBSTITUTE(CriteriTecnici!$D2214,CHAR(34),"'")&amp;CHAR(34)&amp;", "&amp;CHAR(34)&amp;"kind"&amp;CHAR(34)&amp;": "&amp;CHAR(34)&amp;SUBSTITUTE(CriteriTecnici!$F2214,CHAR(34),"'")&amp;CHAR(34)&amp;", "&amp;CHAR(34)&amp;"value"&amp;CHAR(34)&amp;": "&amp;SUBSTITUTE(TRIM(ROUND(IFERROR(CriteriTecnici!$N2214*1,IFERROR(NUMBERVALUE(CriteriTecnici!$N2214,".",","),IFERROR(NUMBERVALUE(CriteriTecnici!$N2214,",","."),0))),4)&amp;""),",",".")&amp;", "&amp;CHAR(34)&amp;"numerator"&amp;CHAR(34)&amp;": "&amp;SUBSTITUTE(TRIM(ROUND(IFERROR(CriteriTecnici!$K2214*1,IFERROR(NUMBERVALUE(CriteriTecnici!$K2214,".",","),IFERROR(NUMBERVALUE(CriteriTecnici!$K2214,",","."),0))),4)&amp;""),",",".")&amp;", "&amp;CHAR(34)&amp;"denominator"&amp;CHAR(34)&amp;": "&amp;SUBSTITUTE(TRIM(ROUND(IFERROR(CriteriTecnici!$L2214*1,IFERROR(NUMBERVALUE(CriteriTecnici!$L2214,".",","),IFERROR(NUMBERVALUE(CriteriTecnici!$L2214,",","."),0))),4)&amp;""),",",".")&amp;", "&amp;CHAR(34)&amp;"flag"&amp;CHAR(34)&amp;": "&amp;SUBSTITUTE(TRIM(ROUND(IFERROR(CriteriTecnici!$M2214*1,IFERROR(NUMBERVALUE(CriteriTecnici!$M2214,".",","),IFERROR(NUMBERVALUE(CriteriTecnici!$M2214,",","."),0))),4)&amp;""),",",".")&amp;", "&amp;CHAR(34)&amp;"rawScore"&amp;CHAR(34)&amp;": "&amp;SUBSTITUTE(TRIM(ROUND(IFERROR(CriteriTecnici!$O2214*1,IFERROR(NUMBERVALUE(CriteriTecnici!$O2214,".",","),IFERROR(NUMBERVALUE(CriteriTecnici!$O2214,",","."),0))),4)&amp;""),",",".")&amp;CHAR(125)&amp;IF(TRUE,",",""))</f>
        <v/>
      </c>
    </row>
    <row r="2316">
      <c r="A2316" s="82">
        <f>IF(CriteriTecnici!$A2215="","","    "&amp;CHAR(123)&amp;CHAR(34)&amp;"bidderId"&amp;CHAR(34)&amp;": "&amp;CHAR(34)&amp;SUBSTITUTE(CriteriTecnici!$A2215,CHAR(34),"'")&amp;CHAR(34)&amp;", "&amp;CHAR(34)&amp;"lotId"&amp;CHAR(34)&amp;": "&amp;CHAR(34)&amp;SUBSTITUTE(CriteriTecnici!$C2215,CHAR(34),"'")&amp;CHAR(34)&amp;", "&amp;CHAR(34)&amp;"criterionId"&amp;CHAR(34)&amp;": "&amp;CHAR(34)&amp;SUBSTITUTE(CriteriTecnici!$D2215,CHAR(34),"'")&amp;CHAR(34)&amp;", "&amp;CHAR(34)&amp;"kind"&amp;CHAR(34)&amp;": "&amp;CHAR(34)&amp;SUBSTITUTE(CriteriTecnici!$F2215,CHAR(34),"'")&amp;CHAR(34)&amp;", "&amp;CHAR(34)&amp;"value"&amp;CHAR(34)&amp;": "&amp;SUBSTITUTE(TRIM(ROUND(IFERROR(CriteriTecnici!$N2215*1,IFERROR(NUMBERVALUE(CriteriTecnici!$N2215,".",","),IFERROR(NUMBERVALUE(CriteriTecnici!$N2215,",","."),0))),4)&amp;""),",",".")&amp;", "&amp;CHAR(34)&amp;"numerator"&amp;CHAR(34)&amp;": "&amp;SUBSTITUTE(TRIM(ROUND(IFERROR(CriteriTecnici!$K2215*1,IFERROR(NUMBERVALUE(CriteriTecnici!$K2215,".",","),IFERROR(NUMBERVALUE(CriteriTecnici!$K2215,",","."),0))),4)&amp;""),",",".")&amp;", "&amp;CHAR(34)&amp;"denominator"&amp;CHAR(34)&amp;": "&amp;SUBSTITUTE(TRIM(ROUND(IFERROR(CriteriTecnici!$L2215*1,IFERROR(NUMBERVALUE(CriteriTecnici!$L2215,".",","),IFERROR(NUMBERVALUE(CriteriTecnici!$L2215,",","."),0))),4)&amp;""),",",".")&amp;", "&amp;CHAR(34)&amp;"flag"&amp;CHAR(34)&amp;": "&amp;SUBSTITUTE(TRIM(ROUND(IFERROR(CriteriTecnici!$M2215*1,IFERROR(NUMBERVALUE(CriteriTecnici!$M2215,".",","),IFERROR(NUMBERVALUE(CriteriTecnici!$M2215,",","."),0))),4)&amp;""),",",".")&amp;", "&amp;CHAR(34)&amp;"rawScore"&amp;CHAR(34)&amp;": "&amp;SUBSTITUTE(TRIM(ROUND(IFERROR(CriteriTecnici!$O2215*1,IFERROR(NUMBERVALUE(CriteriTecnici!$O2215,".",","),IFERROR(NUMBERVALUE(CriteriTecnici!$O2215,",","."),0))),4)&amp;""),",",".")&amp;CHAR(125)&amp;IF(TRUE,",",""))</f>
        <v/>
      </c>
    </row>
    <row r="2317">
      <c r="A2317" s="82">
        <f>IF(CriteriTecnici!$A2216="","","    "&amp;CHAR(123)&amp;CHAR(34)&amp;"bidderId"&amp;CHAR(34)&amp;": "&amp;CHAR(34)&amp;SUBSTITUTE(CriteriTecnici!$A2216,CHAR(34),"'")&amp;CHAR(34)&amp;", "&amp;CHAR(34)&amp;"lotId"&amp;CHAR(34)&amp;": "&amp;CHAR(34)&amp;SUBSTITUTE(CriteriTecnici!$C2216,CHAR(34),"'")&amp;CHAR(34)&amp;", "&amp;CHAR(34)&amp;"criterionId"&amp;CHAR(34)&amp;": "&amp;CHAR(34)&amp;SUBSTITUTE(CriteriTecnici!$D2216,CHAR(34),"'")&amp;CHAR(34)&amp;", "&amp;CHAR(34)&amp;"kind"&amp;CHAR(34)&amp;": "&amp;CHAR(34)&amp;SUBSTITUTE(CriteriTecnici!$F2216,CHAR(34),"'")&amp;CHAR(34)&amp;", "&amp;CHAR(34)&amp;"value"&amp;CHAR(34)&amp;": "&amp;SUBSTITUTE(TRIM(ROUND(IFERROR(CriteriTecnici!$N2216*1,IFERROR(NUMBERVALUE(CriteriTecnici!$N2216,".",","),IFERROR(NUMBERVALUE(CriteriTecnici!$N2216,",","."),0))),4)&amp;""),",",".")&amp;", "&amp;CHAR(34)&amp;"numerator"&amp;CHAR(34)&amp;": "&amp;SUBSTITUTE(TRIM(ROUND(IFERROR(CriteriTecnici!$K2216*1,IFERROR(NUMBERVALUE(CriteriTecnici!$K2216,".",","),IFERROR(NUMBERVALUE(CriteriTecnici!$K2216,",","."),0))),4)&amp;""),",",".")&amp;", "&amp;CHAR(34)&amp;"denominator"&amp;CHAR(34)&amp;": "&amp;SUBSTITUTE(TRIM(ROUND(IFERROR(CriteriTecnici!$L2216*1,IFERROR(NUMBERVALUE(CriteriTecnici!$L2216,".",","),IFERROR(NUMBERVALUE(CriteriTecnici!$L2216,",","."),0))),4)&amp;""),",",".")&amp;", "&amp;CHAR(34)&amp;"flag"&amp;CHAR(34)&amp;": "&amp;SUBSTITUTE(TRIM(ROUND(IFERROR(CriteriTecnici!$M2216*1,IFERROR(NUMBERVALUE(CriteriTecnici!$M2216,".",","),IFERROR(NUMBERVALUE(CriteriTecnici!$M2216,",","."),0))),4)&amp;""),",",".")&amp;", "&amp;CHAR(34)&amp;"rawScore"&amp;CHAR(34)&amp;": "&amp;SUBSTITUTE(TRIM(ROUND(IFERROR(CriteriTecnici!$O2216*1,IFERROR(NUMBERVALUE(CriteriTecnici!$O2216,".",","),IFERROR(NUMBERVALUE(CriteriTecnici!$O2216,",","."),0))),4)&amp;""),",",".")&amp;CHAR(125)&amp;IF(TRUE,",",""))</f>
        <v/>
      </c>
    </row>
    <row r="2318">
      <c r="A2318" s="82">
        <f>IF(CriteriTecnici!$A2217="","","    "&amp;CHAR(123)&amp;CHAR(34)&amp;"bidderId"&amp;CHAR(34)&amp;": "&amp;CHAR(34)&amp;SUBSTITUTE(CriteriTecnici!$A2217,CHAR(34),"'")&amp;CHAR(34)&amp;", "&amp;CHAR(34)&amp;"lotId"&amp;CHAR(34)&amp;": "&amp;CHAR(34)&amp;SUBSTITUTE(CriteriTecnici!$C2217,CHAR(34),"'")&amp;CHAR(34)&amp;", "&amp;CHAR(34)&amp;"criterionId"&amp;CHAR(34)&amp;": "&amp;CHAR(34)&amp;SUBSTITUTE(CriteriTecnici!$D2217,CHAR(34),"'")&amp;CHAR(34)&amp;", "&amp;CHAR(34)&amp;"kind"&amp;CHAR(34)&amp;": "&amp;CHAR(34)&amp;SUBSTITUTE(CriteriTecnici!$F2217,CHAR(34),"'")&amp;CHAR(34)&amp;", "&amp;CHAR(34)&amp;"value"&amp;CHAR(34)&amp;": "&amp;SUBSTITUTE(TRIM(ROUND(IFERROR(CriteriTecnici!$N2217*1,IFERROR(NUMBERVALUE(CriteriTecnici!$N2217,".",","),IFERROR(NUMBERVALUE(CriteriTecnici!$N2217,",","."),0))),4)&amp;""),",",".")&amp;", "&amp;CHAR(34)&amp;"numerator"&amp;CHAR(34)&amp;": "&amp;SUBSTITUTE(TRIM(ROUND(IFERROR(CriteriTecnici!$K2217*1,IFERROR(NUMBERVALUE(CriteriTecnici!$K2217,".",","),IFERROR(NUMBERVALUE(CriteriTecnici!$K2217,",","."),0))),4)&amp;""),",",".")&amp;", "&amp;CHAR(34)&amp;"denominator"&amp;CHAR(34)&amp;": "&amp;SUBSTITUTE(TRIM(ROUND(IFERROR(CriteriTecnici!$L2217*1,IFERROR(NUMBERVALUE(CriteriTecnici!$L2217,".",","),IFERROR(NUMBERVALUE(CriteriTecnici!$L2217,",","."),0))),4)&amp;""),",",".")&amp;", "&amp;CHAR(34)&amp;"flag"&amp;CHAR(34)&amp;": "&amp;SUBSTITUTE(TRIM(ROUND(IFERROR(CriteriTecnici!$M2217*1,IFERROR(NUMBERVALUE(CriteriTecnici!$M2217,".",","),IFERROR(NUMBERVALUE(CriteriTecnici!$M2217,",","."),0))),4)&amp;""),",",".")&amp;", "&amp;CHAR(34)&amp;"rawScore"&amp;CHAR(34)&amp;": "&amp;SUBSTITUTE(TRIM(ROUND(IFERROR(CriteriTecnici!$O2217*1,IFERROR(NUMBERVALUE(CriteriTecnici!$O2217,".",","),IFERROR(NUMBERVALUE(CriteriTecnici!$O2217,",","."),0))),4)&amp;""),",",".")&amp;CHAR(125)&amp;IF(TRUE,",",""))</f>
        <v/>
      </c>
    </row>
    <row r="2319">
      <c r="A2319" s="82">
        <f>IF(CriteriTecnici!$A2218="","","    "&amp;CHAR(123)&amp;CHAR(34)&amp;"bidderId"&amp;CHAR(34)&amp;": "&amp;CHAR(34)&amp;SUBSTITUTE(CriteriTecnici!$A2218,CHAR(34),"'")&amp;CHAR(34)&amp;", "&amp;CHAR(34)&amp;"lotId"&amp;CHAR(34)&amp;": "&amp;CHAR(34)&amp;SUBSTITUTE(CriteriTecnici!$C2218,CHAR(34),"'")&amp;CHAR(34)&amp;", "&amp;CHAR(34)&amp;"criterionId"&amp;CHAR(34)&amp;": "&amp;CHAR(34)&amp;SUBSTITUTE(CriteriTecnici!$D2218,CHAR(34),"'")&amp;CHAR(34)&amp;", "&amp;CHAR(34)&amp;"kind"&amp;CHAR(34)&amp;": "&amp;CHAR(34)&amp;SUBSTITUTE(CriteriTecnici!$F2218,CHAR(34),"'")&amp;CHAR(34)&amp;", "&amp;CHAR(34)&amp;"value"&amp;CHAR(34)&amp;": "&amp;SUBSTITUTE(TRIM(ROUND(IFERROR(CriteriTecnici!$N2218*1,IFERROR(NUMBERVALUE(CriteriTecnici!$N2218,".",","),IFERROR(NUMBERVALUE(CriteriTecnici!$N2218,",","."),0))),4)&amp;""),",",".")&amp;", "&amp;CHAR(34)&amp;"numerator"&amp;CHAR(34)&amp;": "&amp;SUBSTITUTE(TRIM(ROUND(IFERROR(CriteriTecnici!$K2218*1,IFERROR(NUMBERVALUE(CriteriTecnici!$K2218,".",","),IFERROR(NUMBERVALUE(CriteriTecnici!$K2218,",","."),0))),4)&amp;""),",",".")&amp;", "&amp;CHAR(34)&amp;"denominator"&amp;CHAR(34)&amp;": "&amp;SUBSTITUTE(TRIM(ROUND(IFERROR(CriteriTecnici!$L2218*1,IFERROR(NUMBERVALUE(CriteriTecnici!$L2218,".",","),IFERROR(NUMBERVALUE(CriteriTecnici!$L2218,",","."),0))),4)&amp;""),",",".")&amp;", "&amp;CHAR(34)&amp;"flag"&amp;CHAR(34)&amp;": "&amp;SUBSTITUTE(TRIM(ROUND(IFERROR(CriteriTecnici!$M2218*1,IFERROR(NUMBERVALUE(CriteriTecnici!$M2218,".",","),IFERROR(NUMBERVALUE(CriteriTecnici!$M2218,",","."),0))),4)&amp;""),",",".")&amp;", "&amp;CHAR(34)&amp;"rawScore"&amp;CHAR(34)&amp;": "&amp;SUBSTITUTE(TRIM(ROUND(IFERROR(CriteriTecnici!$O2218*1,IFERROR(NUMBERVALUE(CriteriTecnici!$O2218,".",","),IFERROR(NUMBERVALUE(CriteriTecnici!$O2218,",","."),0))),4)&amp;""),",",".")&amp;CHAR(125)&amp;IF(TRUE,",",""))</f>
        <v/>
      </c>
    </row>
    <row r="2320">
      <c r="A2320" s="82">
        <f>IF(CriteriTecnici!$A2219="","","    "&amp;CHAR(123)&amp;CHAR(34)&amp;"bidderId"&amp;CHAR(34)&amp;": "&amp;CHAR(34)&amp;SUBSTITUTE(CriteriTecnici!$A2219,CHAR(34),"'")&amp;CHAR(34)&amp;", "&amp;CHAR(34)&amp;"lotId"&amp;CHAR(34)&amp;": "&amp;CHAR(34)&amp;SUBSTITUTE(CriteriTecnici!$C2219,CHAR(34),"'")&amp;CHAR(34)&amp;", "&amp;CHAR(34)&amp;"criterionId"&amp;CHAR(34)&amp;": "&amp;CHAR(34)&amp;SUBSTITUTE(CriteriTecnici!$D2219,CHAR(34),"'")&amp;CHAR(34)&amp;", "&amp;CHAR(34)&amp;"kind"&amp;CHAR(34)&amp;": "&amp;CHAR(34)&amp;SUBSTITUTE(CriteriTecnici!$F2219,CHAR(34),"'")&amp;CHAR(34)&amp;", "&amp;CHAR(34)&amp;"value"&amp;CHAR(34)&amp;": "&amp;SUBSTITUTE(TRIM(ROUND(IFERROR(CriteriTecnici!$N2219*1,IFERROR(NUMBERVALUE(CriteriTecnici!$N2219,".",","),IFERROR(NUMBERVALUE(CriteriTecnici!$N2219,",","."),0))),4)&amp;""),",",".")&amp;", "&amp;CHAR(34)&amp;"numerator"&amp;CHAR(34)&amp;": "&amp;SUBSTITUTE(TRIM(ROUND(IFERROR(CriteriTecnici!$K2219*1,IFERROR(NUMBERVALUE(CriteriTecnici!$K2219,".",","),IFERROR(NUMBERVALUE(CriteriTecnici!$K2219,",","."),0))),4)&amp;""),",",".")&amp;", "&amp;CHAR(34)&amp;"denominator"&amp;CHAR(34)&amp;": "&amp;SUBSTITUTE(TRIM(ROUND(IFERROR(CriteriTecnici!$L2219*1,IFERROR(NUMBERVALUE(CriteriTecnici!$L2219,".",","),IFERROR(NUMBERVALUE(CriteriTecnici!$L2219,",","."),0))),4)&amp;""),",",".")&amp;", "&amp;CHAR(34)&amp;"flag"&amp;CHAR(34)&amp;": "&amp;SUBSTITUTE(TRIM(ROUND(IFERROR(CriteriTecnici!$M2219*1,IFERROR(NUMBERVALUE(CriteriTecnici!$M2219,".",","),IFERROR(NUMBERVALUE(CriteriTecnici!$M2219,",","."),0))),4)&amp;""),",",".")&amp;", "&amp;CHAR(34)&amp;"rawScore"&amp;CHAR(34)&amp;": "&amp;SUBSTITUTE(TRIM(ROUND(IFERROR(CriteriTecnici!$O2219*1,IFERROR(NUMBERVALUE(CriteriTecnici!$O2219,".",","),IFERROR(NUMBERVALUE(CriteriTecnici!$O2219,",","."),0))),4)&amp;""),",",".")&amp;CHAR(125)&amp;IF(TRUE,",",""))</f>
        <v/>
      </c>
    </row>
    <row r="2321">
      <c r="A2321" s="82">
        <f>IF(CriteriTecnici!$A2220="","","    "&amp;CHAR(123)&amp;CHAR(34)&amp;"bidderId"&amp;CHAR(34)&amp;": "&amp;CHAR(34)&amp;SUBSTITUTE(CriteriTecnici!$A2220,CHAR(34),"'")&amp;CHAR(34)&amp;", "&amp;CHAR(34)&amp;"lotId"&amp;CHAR(34)&amp;": "&amp;CHAR(34)&amp;SUBSTITUTE(CriteriTecnici!$C2220,CHAR(34),"'")&amp;CHAR(34)&amp;", "&amp;CHAR(34)&amp;"criterionId"&amp;CHAR(34)&amp;": "&amp;CHAR(34)&amp;SUBSTITUTE(CriteriTecnici!$D2220,CHAR(34),"'")&amp;CHAR(34)&amp;", "&amp;CHAR(34)&amp;"kind"&amp;CHAR(34)&amp;": "&amp;CHAR(34)&amp;SUBSTITUTE(CriteriTecnici!$F2220,CHAR(34),"'")&amp;CHAR(34)&amp;", "&amp;CHAR(34)&amp;"value"&amp;CHAR(34)&amp;": "&amp;SUBSTITUTE(TRIM(ROUND(IFERROR(CriteriTecnici!$N2220*1,IFERROR(NUMBERVALUE(CriteriTecnici!$N2220,".",","),IFERROR(NUMBERVALUE(CriteriTecnici!$N2220,",","."),0))),4)&amp;""),",",".")&amp;", "&amp;CHAR(34)&amp;"numerator"&amp;CHAR(34)&amp;": "&amp;SUBSTITUTE(TRIM(ROUND(IFERROR(CriteriTecnici!$K2220*1,IFERROR(NUMBERVALUE(CriteriTecnici!$K2220,".",","),IFERROR(NUMBERVALUE(CriteriTecnici!$K2220,",","."),0))),4)&amp;""),",",".")&amp;", "&amp;CHAR(34)&amp;"denominator"&amp;CHAR(34)&amp;": "&amp;SUBSTITUTE(TRIM(ROUND(IFERROR(CriteriTecnici!$L2220*1,IFERROR(NUMBERVALUE(CriteriTecnici!$L2220,".",","),IFERROR(NUMBERVALUE(CriteriTecnici!$L2220,",","."),0))),4)&amp;""),",",".")&amp;", "&amp;CHAR(34)&amp;"flag"&amp;CHAR(34)&amp;": "&amp;SUBSTITUTE(TRIM(ROUND(IFERROR(CriteriTecnici!$M2220*1,IFERROR(NUMBERVALUE(CriteriTecnici!$M2220,".",","),IFERROR(NUMBERVALUE(CriteriTecnici!$M2220,",","."),0))),4)&amp;""),",",".")&amp;", "&amp;CHAR(34)&amp;"rawScore"&amp;CHAR(34)&amp;": "&amp;SUBSTITUTE(TRIM(ROUND(IFERROR(CriteriTecnici!$O2220*1,IFERROR(NUMBERVALUE(CriteriTecnici!$O2220,".",","),IFERROR(NUMBERVALUE(CriteriTecnici!$O2220,",","."),0))),4)&amp;""),",",".")&amp;CHAR(125)&amp;IF(TRUE,",",""))</f>
        <v/>
      </c>
    </row>
    <row r="2322">
      <c r="A2322" s="82">
        <f>IF(CriteriTecnici!$A2221="","","    "&amp;CHAR(123)&amp;CHAR(34)&amp;"bidderId"&amp;CHAR(34)&amp;": "&amp;CHAR(34)&amp;SUBSTITUTE(CriteriTecnici!$A2221,CHAR(34),"'")&amp;CHAR(34)&amp;", "&amp;CHAR(34)&amp;"lotId"&amp;CHAR(34)&amp;": "&amp;CHAR(34)&amp;SUBSTITUTE(CriteriTecnici!$C2221,CHAR(34),"'")&amp;CHAR(34)&amp;", "&amp;CHAR(34)&amp;"criterionId"&amp;CHAR(34)&amp;": "&amp;CHAR(34)&amp;SUBSTITUTE(CriteriTecnici!$D2221,CHAR(34),"'")&amp;CHAR(34)&amp;", "&amp;CHAR(34)&amp;"kind"&amp;CHAR(34)&amp;": "&amp;CHAR(34)&amp;SUBSTITUTE(CriteriTecnici!$F2221,CHAR(34),"'")&amp;CHAR(34)&amp;", "&amp;CHAR(34)&amp;"value"&amp;CHAR(34)&amp;": "&amp;SUBSTITUTE(TRIM(ROUND(IFERROR(CriteriTecnici!$N2221*1,IFERROR(NUMBERVALUE(CriteriTecnici!$N2221,".",","),IFERROR(NUMBERVALUE(CriteriTecnici!$N2221,",","."),0))),4)&amp;""),",",".")&amp;", "&amp;CHAR(34)&amp;"numerator"&amp;CHAR(34)&amp;": "&amp;SUBSTITUTE(TRIM(ROUND(IFERROR(CriteriTecnici!$K2221*1,IFERROR(NUMBERVALUE(CriteriTecnici!$K2221,".",","),IFERROR(NUMBERVALUE(CriteriTecnici!$K2221,",","."),0))),4)&amp;""),",",".")&amp;", "&amp;CHAR(34)&amp;"denominator"&amp;CHAR(34)&amp;": "&amp;SUBSTITUTE(TRIM(ROUND(IFERROR(CriteriTecnici!$L2221*1,IFERROR(NUMBERVALUE(CriteriTecnici!$L2221,".",","),IFERROR(NUMBERVALUE(CriteriTecnici!$L2221,",","."),0))),4)&amp;""),",",".")&amp;", "&amp;CHAR(34)&amp;"flag"&amp;CHAR(34)&amp;": "&amp;SUBSTITUTE(TRIM(ROUND(IFERROR(CriteriTecnici!$M2221*1,IFERROR(NUMBERVALUE(CriteriTecnici!$M2221,".",","),IFERROR(NUMBERVALUE(CriteriTecnici!$M2221,",","."),0))),4)&amp;""),",",".")&amp;", "&amp;CHAR(34)&amp;"rawScore"&amp;CHAR(34)&amp;": "&amp;SUBSTITUTE(TRIM(ROUND(IFERROR(CriteriTecnici!$O2221*1,IFERROR(NUMBERVALUE(CriteriTecnici!$O2221,".",","),IFERROR(NUMBERVALUE(CriteriTecnici!$O2221,",","."),0))),4)&amp;""),",",".")&amp;CHAR(125)&amp;IF(TRUE,",",""))</f>
        <v/>
      </c>
    </row>
    <row r="2323">
      <c r="A2323" s="82">
        <f>IF(CriteriTecnici!$A2222="","","    "&amp;CHAR(123)&amp;CHAR(34)&amp;"bidderId"&amp;CHAR(34)&amp;": "&amp;CHAR(34)&amp;SUBSTITUTE(CriteriTecnici!$A2222,CHAR(34),"'")&amp;CHAR(34)&amp;", "&amp;CHAR(34)&amp;"lotId"&amp;CHAR(34)&amp;": "&amp;CHAR(34)&amp;SUBSTITUTE(CriteriTecnici!$C2222,CHAR(34),"'")&amp;CHAR(34)&amp;", "&amp;CHAR(34)&amp;"criterionId"&amp;CHAR(34)&amp;": "&amp;CHAR(34)&amp;SUBSTITUTE(CriteriTecnici!$D2222,CHAR(34),"'")&amp;CHAR(34)&amp;", "&amp;CHAR(34)&amp;"kind"&amp;CHAR(34)&amp;": "&amp;CHAR(34)&amp;SUBSTITUTE(CriteriTecnici!$F2222,CHAR(34),"'")&amp;CHAR(34)&amp;", "&amp;CHAR(34)&amp;"value"&amp;CHAR(34)&amp;": "&amp;SUBSTITUTE(TRIM(ROUND(IFERROR(CriteriTecnici!$N2222*1,IFERROR(NUMBERVALUE(CriteriTecnici!$N2222,".",","),IFERROR(NUMBERVALUE(CriteriTecnici!$N2222,",","."),0))),4)&amp;""),",",".")&amp;", "&amp;CHAR(34)&amp;"numerator"&amp;CHAR(34)&amp;": "&amp;SUBSTITUTE(TRIM(ROUND(IFERROR(CriteriTecnici!$K2222*1,IFERROR(NUMBERVALUE(CriteriTecnici!$K2222,".",","),IFERROR(NUMBERVALUE(CriteriTecnici!$K2222,",","."),0))),4)&amp;""),",",".")&amp;", "&amp;CHAR(34)&amp;"denominator"&amp;CHAR(34)&amp;": "&amp;SUBSTITUTE(TRIM(ROUND(IFERROR(CriteriTecnici!$L2222*1,IFERROR(NUMBERVALUE(CriteriTecnici!$L2222,".",","),IFERROR(NUMBERVALUE(CriteriTecnici!$L2222,",","."),0))),4)&amp;""),",",".")&amp;", "&amp;CHAR(34)&amp;"flag"&amp;CHAR(34)&amp;": "&amp;SUBSTITUTE(TRIM(ROUND(IFERROR(CriteriTecnici!$M2222*1,IFERROR(NUMBERVALUE(CriteriTecnici!$M2222,".",","),IFERROR(NUMBERVALUE(CriteriTecnici!$M2222,",","."),0))),4)&amp;""),",",".")&amp;", "&amp;CHAR(34)&amp;"rawScore"&amp;CHAR(34)&amp;": "&amp;SUBSTITUTE(TRIM(ROUND(IFERROR(CriteriTecnici!$O2222*1,IFERROR(NUMBERVALUE(CriteriTecnici!$O2222,".",","),IFERROR(NUMBERVALUE(CriteriTecnici!$O2222,",","."),0))),4)&amp;""),",",".")&amp;CHAR(125)&amp;IF(TRUE,",",""))</f>
        <v/>
      </c>
    </row>
    <row r="2324">
      <c r="A2324" s="82">
        <f>IF(CriteriTecnici!$A2223="","","    "&amp;CHAR(123)&amp;CHAR(34)&amp;"bidderId"&amp;CHAR(34)&amp;": "&amp;CHAR(34)&amp;SUBSTITUTE(CriteriTecnici!$A2223,CHAR(34),"'")&amp;CHAR(34)&amp;", "&amp;CHAR(34)&amp;"lotId"&amp;CHAR(34)&amp;": "&amp;CHAR(34)&amp;SUBSTITUTE(CriteriTecnici!$C2223,CHAR(34),"'")&amp;CHAR(34)&amp;", "&amp;CHAR(34)&amp;"criterionId"&amp;CHAR(34)&amp;": "&amp;CHAR(34)&amp;SUBSTITUTE(CriteriTecnici!$D2223,CHAR(34),"'")&amp;CHAR(34)&amp;", "&amp;CHAR(34)&amp;"kind"&amp;CHAR(34)&amp;": "&amp;CHAR(34)&amp;SUBSTITUTE(CriteriTecnici!$F2223,CHAR(34),"'")&amp;CHAR(34)&amp;", "&amp;CHAR(34)&amp;"value"&amp;CHAR(34)&amp;": "&amp;SUBSTITUTE(TRIM(ROUND(IFERROR(CriteriTecnici!$N2223*1,IFERROR(NUMBERVALUE(CriteriTecnici!$N2223,".",","),IFERROR(NUMBERVALUE(CriteriTecnici!$N2223,",","."),0))),4)&amp;""),",",".")&amp;", "&amp;CHAR(34)&amp;"numerator"&amp;CHAR(34)&amp;": "&amp;SUBSTITUTE(TRIM(ROUND(IFERROR(CriteriTecnici!$K2223*1,IFERROR(NUMBERVALUE(CriteriTecnici!$K2223,".",","),IFERROR(NUMBERVALUE(CriteriTecnici!$K2223,",","."),0))),4)&amp;""),",",".")&amp;", "&amp;CHAR(34)&amp;"denominator"&amp;CHAR(34)&amp;": "&amp;SUBSTITUTE(TRIM(ROUND(IFERROR(CriteriTecnici!$L2223*1,IFERROR(NUMBERVALUE(CriteriTecnici!$L2223,".",","),IFERROR(NUMBERVALUE(CriteriTecnici!$L2223,",","."),0))),4)&amp;""),",",".")&amp;", "&amp;CHAR(34)&amp;"flag"&amp;CHAR(34)&amp;": "&amp;SUBSTITUTE(TRIM(ROUND(IFERROR(CriteriTecnici!$M2223*1,IFERROR(NUMBERVALUE(CriteriTecnici!$M2223,".",","),IFERROR(NUMBERVALUE(CriteriTecnici!$M2223,",","."),0))),4)&amp;""),",",".")&amp;", "&amp;CHAR(34)&amp;"rawScore"&amp;CHAR(34)&amp;": "&amp;SUBSTITUTE(TRIM(ROUND(IFERROR(CriteriTecnici!$O2223*1,IFERROR(NUMBERVALUE(CriteriTecnici!$O2223,".",","),IFERROR(NUMBERVALUE(CriteriTecnici!$O2223,",","."),0))),4)&amp;""),",",".")&amp;CHAR(125)&amp;IF(TRUE,",",""))</f>
        <v/>
      </c>
    </row>
    <row r="2325">
      <c r="A2325" s="82">
        <f>IF(CriteriTecnici!$A2224="","","    "&amp;CHAR(123)&amp;CHAR(34)&amp;"bidderId"&amp;CHAR(34)&amp;": "&amp;CHAR(34)&amp;SUBSTITUTE(CriteriTecnici!$A2224,CHAR(34),"'")&amp;CHAR(34)&amp;", "&amp;CHAR(34)&amp;"lotId"&amp;CHAR(34)&amp;": "&amp;CHAR(34)&amp;SUBSTITUTE(CriteriTecnici!$C2224,CHAR(34),"'")&amp;CHAR(34)&amp;", "&amp;CHAR(34)&amp;"criterionId"&amp;CHAR(34)&amp;": "&amp;CHAR(34)&amp;SUBSTITUTE(CriteriTecnici!$D2224,CHAR(34),"'")&amp;CHAR(34)&amp;", "&amp;CHAR(34)&amp;"kind"&amp;CHAR(34)&amp;": "&amp;CHAR(34)&amp;SUBSTITUTE(CriteriTecnici!$F2224,CHAR(34),"'")&amp;CHAR(34)&amp;", "&amp;CHAR(34)&amp;"value"&amp;CHAR(34)&amp;": "&amp;SUBSTITUTE(TRIM(ROUND(IFERROR(CriteriTecnici!$N2224*1,IFERROR(NUMBERVALUE(CriteriTecnici!$N2224,".",","),IFERROR(NUMBERVALUE(CriteriTecnici!$N2224,",","."),0))),4)&amp;""),",",".")&amp;", "&amp;CHAR(34)&amp;"numerator"&amp;CHAR(34)&amp;": "&amp;SUBSTITUTE(TRIM(ROUND(IFERROR(CriteriTecnici!$K2224*1,IFERROR(NUMBERVALUE(CriteriTecnici!$K2224,".",","),IFERROR(NUMBERVALUE(CriteriTecnici!$K2224,",","."),0))),4)&amp;""),",",".")&amp;", "&amp;CHAR(34)&amp;"denominator"&amp;CHAR(34)&amp;": "&amp;SUBSTITUTE(TRIM(ROUND(IFERROR(CriteriTecnici!$L2224*1,IFERROR(NUMBERVALUE(CriteriTecnici!$L2224,".",","),IFERROR(NUMBERVALUE(CriteriTecnici!$L2224,",","."),0))),4)&amp;""),",",".")&amp;", "&amp;CHAR(34)&amp;"flag"&amp;CHAR(34)&amp;": "&amp;SUBSTITUTE(TRIM(ROUND(IFERROR(CriteriTecnici!$M2224*1,IFERROR(NUMBERVALUE(CriteriTecnici!$M2224,".",","),IFERROR(NUMBERVALUE(CriteriTecnici!$M2224,",","."),0))),4)&amp;""),",",".")&amp;", "&amp;CHAR(34)&amp;"rawScore"&amp;CHAR(34)&amp;": "&amp;SUBSTITUTE(TRIM(ROUND(IFERROR(CriteriTecnici!$O2224*1,IFERROR(NUMBERVALUE(CriteriTecnici!$O2224,".",","),IFERROR(NUMBERVALUE(CriteriTecnici!$O2224,",","."),0))),4)&amp;""),",",".")&amp;CHAR(125)&amp;IF(TRUE,",",""))</f>
        <v/>
      </c>
    </row>
    <row r="2326">
      <c r="A2326" s="82">
        <f>IF(CriteriTecnici!$A2225="","","    "&amp;CHAR(123)&amp;CHAR(34)&amp;"bidderId"&amp;CHAR(34)&amp;": "&amp;CHAR(34)&amp;SUBSTITUTE(CriteriTecnici!$A2225,CHAR(34),"'")&amp;CHAR(34)&amp;", "&amp;CHAR(34)&amp;"lotId"&amp;CHAR(34)&amp;": "&amp;CHAR(34)&amp;SUBSTITUTE(CriteriTecnici!$C2225,CHAR(34),"'")&amp;CHAR(34)&amp;", "&amp;CHAR(34)&amp;"criterionId"&amp;CHAR(34)&amp;": "&amp;CHAR(34)&amp;SUBSTITUTE(CriteriTecnici!$D2225,CHAR(34),"'")&amp;CHAR(34)&amp;", "&amp;CHAR(34)&amp;"kind"&amp;CHAR(34)&amp;": "&amp;CHAR(34)&amp;SUBSTITUTE(CriteriTecnici!$F2225,CHAR(34),"'")&amp;CHAR(34)&amp;", "&amp;CHAR(34)&amp;"value"&amp;CHAR(34)&amp;": "&amp;SUBSTITUTE(TRIM(ROUND(IFERROR(CriteriTecnici!$N2225*1,IFERROR(NUMBERVALUE(CriteriTecnici!$N2225,".",","),IFERROR(NUMBERVALUE(CriteriTecnici!$N2225,",","."),0))),4)&amp;""),",",".")&amp;", "&amp;CHAR(34)&amp;"numerator"&amp;CHAR(34)&amp;": "&amp;SUBSTITUTE(TRIM(ROUND(IFERROR(CriteriTecnici!$K2225*1,IFERROR(NUMBERVALUE(CriteriTecnici!$K2225,".",","),IFERROR(NUMBERVALUE(CriteriTecnici!$K2225,",","."),0))),4)&amp;""),",",".")&amp;", "&amp;CHAR(34)&amp;"denominator"&amp;CHAR(34)&amp;": "&amp;SUBSTITUTE(TRIM(ROUND(IFERROR(CriteriTecnici!$L2225*1,IFERROR(NUMBERVALUE(CriteriTecnici!$L2225,".",","),IFERROR(NUMBERVALUE(CriteriTecnici!$L2225,",","."),0))),4)&amp;""),",",".")&amp;", "&amp;CHAR(34)&amp;"flag"&amp;CHAR(34)&amp;": "&amp;SUBSTITUTE(TRIM(ROUND(IFERROR(CriteriTecnici!$M2225*1,IFERROR(NUMBERVALUE(CriteriTecnici!$M2225,".",","),IFERROR(NUMBERVALUE(CriteriTecnici!$M2225,",","."),0))),4)&amp;""),",",".")&amp;", "&amp;CHAR(34)&amp;"rawScore"&amp;CHAR(34)&amp;": "&amp;SUBSTITUTE(TRIM(ROUND(IFERROR(CriteriTecnici!$O2225*1,IFERROR(NUMBERVALUE(CriteriTecnici!$O2225,".",","),IFERROR(NUMBERVALUE(CriteriTecnici!$O2225,",","."),0))),4)&amp;""),",",".")&amp;CHAR(125)&amp;IF(TRUE,",",""))</f>
        <v/>
      </c>
    </row>
    <row r="2327">
      <c r="A2327" s="82">
        <f>IF(CriteriTecnici!$A2226="","","    "&amp;CHAR(123)&amp;CHAR(34)&amp;"bidderId"&amp;CHAR(34)&amp;": "&amp;CHAR(34)&amp;SUBSTITUTE(CriteriTecnici!$A2226,CHAR(34),"'")&amp;CHAR(34)&amp;", "&amp;CHAR(34)&amp;"lotId"&amp;CHAR(34)&amp;": "&amp;CHAR(34)&amp;SUBSTITUTE(CriteriTecnici!$C2226,CHAR(34),"'")&amp;CHAR(34)&amp;", "&amp;CHAR(34)&amp;"criterionId"&amp;CHAR(34)&amp;": "&amp;CHAR(34)&amp;SUBSTITUTE(CriteriTecnici!$D2226,CHAR(34),"'")&amp;CHAR(34)&amp;", "&amp;CHAR(34)&amp;"kind"&amp;CHAR(34)&amp;": "&amp;CHAR(34)&amp;SUBSTITUTE(CriteriTecnici!$F2226,CHAR(34),"'")&amp;CHAR(34)&amp;", "&amp;CHAR(34)&amp;"value"&amp;CHAR(34)&amp;": "&amp;SUBSTITUTE(TRIM(ROUND(IFERROR(CriteriTecnici!$N2226*1,IFERROR(NUMBERVALUE(CriteriTecnici!$N2226,".",","),IFERROR(NUMBERVALUE(CriteriTecnici!$N2226,",","."),0))),4)&amp;""),",",".")&amp;", "&amp;CHAR(34)&amp;"numerator"&amp;CHAR(34)&amp;": "&amp;SUBSTITUTE(TRIM(ROUND(IFERROR(CriteriTecnici!$K2226*1,IFERROR(NUMBERVALUE(CriteriTecnici!$K2226,".",","),IFERROR(NUMBERVALUE(CriteriTecnici!$K2226,",","."),0))),4)&amp;""),",",".")&amp;", "&amp;CHAR(34)&amp;"denominator"&amp;CHAR(34)&amp;": "&amp;SUBSTITUTE(TRIM(ROUND(IFERROR(CriteriTecnici!$L2226*1,IFERROR(NUMBERVALUE(CriteriTecnici!$L2226,".",","),IFERROR(NUMBERVALUE(CriteriTecnici!$L2226,",","."),0))),4)&amp;""),",",".")&amp;", "&amp;CHAR(34)&amp;"flag"&amp;CHAR(34)&amp;": "&amp;SUBSTITUTE(TRIM(ROUND(IFERROR(CriteriTecnici!$M2226*1,IFERROR(NUMBERVALUE(CriteriTecnici!$M2226,".",","),IFERROR(NUMBERVALUE(CriteriTecnici!$M2226,",","."),0))),4)&amp;""),",",".")&amp;", "&amp;CHAR(34)&amp;"rawScore"&amp;CHAR(34)&amp;": "&amp;SUBSTITUTE(TRIM(ROUND(IFERROR(CriteriTecnici!$O2226*1,IFERROR(NUMBERVALUE(CriteriTecnici!$O2226,".",","),IFERROR(NUMBERVALUE(CriteriTecnici!$O2226,",","."),0))),4)&amp;""),",",".")&amp;CHAR(125)&amp;IF(TRUE,",",""))</f>
        <v/>
      </c>
    </row>
    <row r="2328">
      <c r="A2328" s="82">
        <f>IF(CriteriTecnici!$A2227="","","    "&amp;CHAR(123)&amp;CHAR(34)&amp;"bidderId"&amp;CHAR(34)&amp;": "&amp;CHAR(34)&amp;SUBSTITUTE(CriteriTecnici!$A2227,CHAR(34),"'")&amp;CHAR(34)&amp;", "&amp;CHAR(34)&amp;"lotId"&amp;CHAR(34)&amp;": "&amp;CHAR(34)&amp;SUBSTITUTE(CriteriTecnici!$C2227,CHAR(34),"'")&amp;CHAR(34)&amp;", "&amp;CHAR(34)&amp;"criterionId"&amp;CHAR(34)&amp;": "&amp;CHAR(34)&amp;SUBSTITUTE(CriteriTecnici!$D2227,CHAR(34),"'")&amp;CHAR(34)&amp;", "&amp;CHAR(34)&amp;"kind"&amp;CHAR(34)&amp;": "&amp;CHAR(34)&amp;SUBSTITUTE(CriteriTecnici!$F2227,CHAR(34),"'")&amp;CHAR(34)&amp;", "&amp;CHAR(34)&amp;"value"&amp;CHAR(34)&amp;": "&amp;SUBSTITUTE(TRIM(ROUND(IFERROR(CriteriTecnici!$N2227*1,IFERROR(NUMBERVALUE(CriteriTecnici!$N2227,".",","),IFERROR(NUMBERVALUE(CriteriTecnici!$N2227,",","."),0))),4)&amp;""),",",".")&amp;", "&amp;CHAR(34)&amp;"numerator"&amp;CHAR(34)&amp;": "&amp;SUBSTITUTE(TRIM(ROUND(IFERROR(CriteriTecnici!$K2227*1,IFERROR(NUMBERVALUE(CriteriTecnici!$K2227,".",","),IFERROR(NUMBERVALUE(CriteriTecnici!$K2227,",","."),0))),4)&amp;""),",",".")&amp;", "&amp;CHAR(34)&amp;"denominator"&amp;CHAR(34)&amp;": "&amp;SUBSTITUTE(TRIM(ROUND(IFERROR(CriteriTecnici!$L2227*1,IFERROR(NUMBERVALUE(CriteriTecnici!$L2227,".",","),IFERROR(NUMBERVALUE(CriteriTecnici!$L2227,",","."),0))),4)&amp;""),",",".")&amp;", "&amp;CHAR(34)&amp;"flag"&amp;CHAR(34)&amp;": "&amp;SUBSTITUTE(TRIM(ROUND(IFERROR(CriteriTecnici!$M2227*1,IFERROR(NUMBERVALUE(CriteriTecnici!$M2227,".",","),IFERROR(NUMBERVALUE(CriteriTecnici!$M2227,",","."),0))),4)&amp;""),",",".")&amp;", "&amp;CHAR(34)&amp;"rawScore"&amp;CHAR(34)&amp;": "&amp;SUBSTITUTE(TRIM(ROUND(IFERROR(CriteriTecnici!$O2227*1,IFERROR(NUMBERVALUE(CriteriTecnici!$O2227,".",","),IFERROR(NUMBERVALUE(CriteriTecnici!$O2227,",","."),0))),4)&amp;""),",",".")&amp;CHAR(125)&amp;IF(TRUE,",",""))</f>
        <v/>
      </c>
    </row>
    <row r="2329">
      <c r="A2329" s="82">
        <f>IF(CriteriTecnici!$A2228="","","    "&amp;CHAR(123)&amp;CHAR(34)&amp;"bidderId"&amp;CHAR(34)&amp;": "&amp;CHAR(34)&amp;SUBSTITUTE(CriteriTecnici!$A2228,CHAR(34),"'")&amp;CHAR(34)&amp;", "&amp;CHAR(34)&amp;"lotId"&amp;CHAR(34)&amp;": "&amp;CHAR(34)&amp;SUBSTITUTE(CriteriTecnici!$C2228,CHAR(34),"'")&amp;CHAR(34)&amp;", "&amp;CHAR(34)&amp;"criterionId"&amp;CHAR(34)&amp;": "&amp;CHAR(34)&amp;SUBSTITUTE(CriteriTecnici!$D2228,CHAR(34),"'")&amp;CHAR(34)&amp;", "&amp;CHAR(34)&amp;"kind"&amp;CHAR(34)&amp;": "&amp;CHAR(34)&amp;SUBSTITUTE(CriteriTecnici!$F2228,CHAR(34),"'")&amp;CHAR(34)&amp;", "&amp;CHAR(34)&amp;"value"&amp;CHAR(34)&amp;": "&amp;SUBSTITUTE(TRIM(ROUND(IFERROR(CriteriTecnici!$N2228*1,IFERROR(NUMBERVALUE(CriteriTecnici!$N2228,".",","),IFERROR(NUMBERVALUE(CriteriTecnici!$N2228,",","."),0))),4)&amp;""),",",".")&amp;", "&amp;CHAR(34)&amp;"numerator"&amp;CHAR(34)&amp;": "&amp;SUBSTITUTE(TRIM(ROUND(IFERROR(CriteriTecnici!$K2228*1,IFERROR(NUMBERVALUE(CriteriTecnici!$K2228,".",","),IFERROR(NUMBERVALUE(CriteriTecnici!$K2228,",","."),0))),4)&amp;""),",",".")&amp;", "&amp;CHAR(34)&amp;"denominator"&amp;CHAR(34)&amp;": "&amp;SUBSTITUTE(TRIM(ROUND(IFERROR(CriteriTecnici!$L2228*1,IFERROR(NUMBERVALUE(CriteriTecnici!$L2228,".",","),IFERROR(NUMBERVALUE(CriteriTecnici!$L2228,",","."),0))),4)&amp;""),",",".")&amp;", "&amp;CHAR(34)&amp;"flag"&amp;CHAR(34)&amp;": "&amp;SUBSTITUTE(TRIM(ROUND(IFERROR(CriteriTecnici!$M2228*1,IFERROR(NUMBERVALUE(CriteriTecnici!$M2228,".",","),IFERROR(NUMBERVALUE(CriteriTecnici!$M2228,",","."),0))),4)&amp;""),",",".")&amp;", "&amp;CHAR(34)&amp;"rawScore"&amp;CHAR(34)&amp;": "&amp;SUBSTITUTE(TRIM(ROUND(IFERROR(CriteriTecnici!$O2228*1,IFERROR(NUMBERVALUE(CriteriTecnici!$O2228,".",","),IFERROR(NUMBERVALUE(CriteriTecnici!$O2228,",","."),0))),4)&amp;""),",",".")&amp;CHAR(125)&amp;IF(TRUE,",",""))</f>
        <v/>
      </c>
    </row>
    <row r="2330">
      <c r="A2330" s="82">
        <f>IF(CriteriTecnici!$A2229="","","    "&amp;CHAR(123)&amp;CHAR(34)&amp;"bidderId"&amp;CHAR(34)&amp;": "&amp;CHAR(34)&amp;SUBSTITUTE(CriteriTecnici!$A2229,CHAR(34),"'")&amp;CHAR(34)&amp;", "&amp;CHAR(34)&amp;"lotId"&amp;CHAR(34)&amp;": "&amp;CHAR(34)&amp;SUBSTITUTE(CriteriTecnici!$C2229,CHAR(34),"'")&amp;CHAR(34)&amp;", "&amp;CHAR(34)&amp;"criterionId"&amp;CHAR(34)&amp;": "&amp;CHAR(34)&amp;SUBSTITUTE(CriteriTecnici!$D2229,CHAR(34),"'")&amp;CHAR(34)&amp;", "&amp;CHAR(34)&amp;"kind"&amp;CHAR(34)&amp;": "&amp;CHAR(34)&amp;SUBSTITUTE(CriteriTecnici!$F2229,CHAR(34),"'")&amp;CHAR(34)&amp;", "&amp;CHAR(34)&amp;"value"&amp;CHAR(34)&amp;": "&amp;SUBSTITUTE(TRIM(ROUND(IFERROR(CriteriTecnici!$N2229*1,IFERROR(NUMBERVALUE(CriteriTecnici!$N2229,".",","),IFERROR(NUMBERVALUE(CriteriTecnici!$N2229,",","."),0))),4)&amp;""),",",".")&amp;", "&amp;CHAR(34)&amp;"numerator"&amp;CHAR(34)&amp;": "&amp;SUBSTITUTE(TRIM(ROUND(IFERROR(CriteriTecnici!$K2229*1,IFERROR(NUMBERVALUE(CriteriTecnici!$K2229,".",","),IFERROR(NUMBERVALUE(CriteriTecnici!$K2229,",","."),0))),4)&amp;""),",",".")&amp;", "&amp;CHAR(34)&amp;"denominator"&amp;CHAR(34)&amp;": "&amp;SUBSTITUTE(TRIM(ROUND(IFERROR(CriteriTecnici!$L2229*1,IFERROR(NUMBERVALUE(CriteriTecnici!$L2229,".",","),IFERROR(NUMBERVALUE(CriteriTecnici!$L2229,",","."),0))),4)&amp;""),",",".")&amp;", "&amp;CHAR(34)&amp;"flag"&amp;CHAR(34)&amp;": "&amp;SUBSTITUTE(TRIM(ROUND(IFERROR(CriteriTecnici!$M2229*1,IFERROR(NUMBERVALUE(CriteriTecnici!$M2229,".",","),IFERROR(NUMBERVALUE(CriteriTecnici!$M2229,",","."),0))),4)&amp;""),",",".")&amp;", "&amp;CHAR(34)&amp;"rawScore"&amp;CHAR(34)&amp;": "&amp;SUBSTITUTE(TRIM(ROUND(IFERROR(CriteriTecnici!$O2229*1,IFERROR(NUMBERVALUE(CriteriTecnici!$O2229,".",","),IFERROR(NUMBERVALUE(CriteriTecnici!$O2229,",","."),0))),4)&amp;""),",",".")&amp;CHAR(125)&amp;IF(TRUE,",",""))</f>
        <v/>
      </c>
    </row>
    <row r="2331">
      <c r="A2331" s="82">
        <f>IF(CriteriTecnici!$A2230="","","    "&amp;CHAR(123)&amp;CHAR(34)&amp;"bidderId"&amp;CHAR(34)&amp;": "&amp;CHAR(34)&amp;SUBSTITUTE(CriteriTecnici!$A2230,CHAR(34),"'")&amp;CHAR(34)&amp;", "&amp;CHAR(34)&amp;"lotId"&amp;CHAR(34)&amp;": "&amp;CHAR(34)&amp;SUBSTITUTE(CriteriTecnici!$C2230,CHAR(34),"'")&amp;CHAR(34)&amp;", "&amp;CHAR(34)&amp;"criterionId"&amp;CHAR(34)&amp;": "&amp;CHAR(34)&amp;SUBSTITUTE(CriteriTecnici!$D2230,CHAR(34),"'")&amp;CHAR(34)&amp;", "&amp;CHAR(34)&amp;"kind"&amp;CHAR(34)&amp;": "&amp;CHAR(34)&amp;SUBSTITUTE(CriteriTecnici!$F2230,CHAR(34),"'")&amp;CHAR(34)&amp;", "&amp;CHAR(34)&amp;"value"&amp;CHAR(34)&amp;": "&amp;SUBSTITUTE(TRIM(ROUND(IFERROR(CriteriTecnici!$N2230*1,IFERROR(NUMBERVALUE(CriteriTecnici!$N2230,".",","),IFERROR(NUMBERVALUE(CriteriTecnici!$N2230,",","."),0))),4)&amp;""),",",".")&amp;", "&amp;CHAR(34)&amp;"numerator"&amp;CHAR(34)&amp;": "&amp;SUBSTITUTE(TRIM(ROUND(IFERROR(CriteriTecnici!$K2230*1,IFERROR(NUMBERVALUE(CriteriTecnici!$K2230,".",","),IFERROR(NUMBERVALUE(CriteriTecnici!$K2230,",","."),0))),4)&amp;""),",",".")&amp;", "&amp;CHAR(34)&amp;"denominator"&amp;CHAR(34)&amp;": "&amp;SUBSTITUTE(TRIM(ROUND(IFERROR(CriteriTecnici!$L2230*1,IFERROR(NUMBERVALUE(CriteriTecnici!$L2230,".",","),IFERROR(NUMBERVALUE(CriteriTecnici!$L2230,",","."),0))),4)&amp;""),",",".")&amp;", "&amp;CHAR(34)&amp;"flag"&amp;CHAR(34)&amp;": "&amp;SUBSTITUTE(TRIM(ROUND(IFERROR(CriteriTecnici!$M2230*1,IFERROR(NUMBERVALUE(CriteriTecnici!$M2230,".",","),IFERROR(NUMBERVALUE(CriteriTecnici!$M2230,",","."),0))),4)&amp;""),",",".")&amp;", "&amp;CHAR(34)&amp;"rawScore"&amp;CHAR(34)&amp;": "&amp;SUBSTITUTE(TRIM(ROUND(IFERROR(CriteriTecnici!$O2230*1,IFERROR(NUMBERVALUE(CriteriTecnici!$O2230,".",","),IFERROR(NUMBERVALUE(CriteriTecnici!$O2230,",","."),0))),4)&amp;""),",",".")&amp;CHAR(125)&amp;IF(TRUE,",",""))</f>
        <v/>
      </c>
    </row>
    <row r="2332">
      <c r="A2332" s="82">
        <f>IF(CriteriTecnici!$A2231="","","    "&amp;CHAR(123)&amp;CHAR(34)&amp;"bidderId"&amp;CHAR(34)&amp;": "&amp;CHAR(34)&amp;SUBSTITUTE(CriteriTecnici!$A2231,CHAR(34),"'")&amp;CHAR(34)&amp;", "&amp;CHAR(34)&amp;"lotId"&amp;CHAR(34)&amp;": "&amp;CHAR(34)&amp;SUBSTITUTE(CriteriTecnici!$C2231,CHAR(34),"'")&amp;CHAR(34)&amp;", "&amp;CHAR(34)&amp;"criterionId"&amp;CHAR(34)&amp;": "&amp;CHAR(34)&amp;SUBSTITUTE(CriteriTecnici!$D2231,CHAR(34),"'")&amp;CHAR(34)&amp;", "&amp;CHAR(34)&amp;"kind"&amp;CHAR(34)&amp;": "&amp;CHAR(34)&amp;SUBSTITUTE(CriteriTecnici!$F2231,CHAR(34),"'")&amp;CHAR(34)&amp;", "&amp;CHAR(34)&amp;"value"&amp;CHAR(34)&amp;": "&amp;SUBSTITUTE(TRIM(ROUND(IFERROR(CriteriTecnici!$N2231*1,IFERROR(NUMBERVALUE(CriteriTecnici!$N2231,".",","),IFERROR(NUMBERVALUE(CriteriTecnici!$N2231,",","."),0))),4)&amp;""),",",".")&amp;", "&amp;CHAR(34)&amp;"numerator"&amp;CHAR(34)&amp;": "&amp;SUBSTITUTE(TRIM(ROUND(IFERROR(CriteriTecnici!$K2231*1,IFERROR(NUMBERVALUE(CriteriTecnici!$K2231,".",","),IFERROR(NUMBERVALUE(CriteriTecnici!$K2231,",","."),0))),4)&amp;""),",",".")&amp;", "&amp;CHAR(34)&amp;"denominator"&amp;CHAR(34)&amp;": "&amp;SUBSTITUTE(TRIM(ROUND(IFERROR(CriteriTecnici!$L2231*1,IFERROR(NUMBERVALUE(CriteriTecnici!$L2231,".",","),IFERROR(NUMBERVALUE(CriteriTecnici!$L2231,",","."),0))),4)&amp;""),",",".")&amp;", "&amp;CHAR(34)&amp;"flag"&amp;CHAR(34)&amp;": "&amp;SUBSTITUTE(TRIM(ROUND(IFERROR(CriteriTecnici!$M2231*1,IFERROR(NUMBERVALUE(CriteriTecnici!$M2231,".",","),IFERROR(NUMBERVALUE(CriteriTecnici!$M2231,",","."),0))),4)&amp;""),",",".")&amp;", "&amp;CHAR(34)&amp;"rawScore"&amp;CHAR(34)&amp;": "&amp;SUBSTITUTE(TRIM(ROUND(IFERROR(CriteriTecnici!$O2231*1,IFERROR(NUMBERVALUE(CriteriTecnici!$O2231,".",","),IFERROR(NUMBERVALUE(CriteriTecnici!$O2231,",","."),0))),4)&amp;""),",",".")&amp;CHAR(125)&amp;IF(TRUE,",",""))</f>
        <v/>
      </c>
    </row>
    <row r="2333">
      <c r="A2333" s="82">
        <f>IF(CriteriTecnici!$A2232="","","    "&amp;CHAR(123)&amp;CHAR(34)&amp;"bidderId"&amp;CHAR(34)&amp;": "&amp;CHAR(34)&amp;SUBSTITUTE(CriteriTecnici!$A2232,CHAR(34),"'")&amp;CHAR(34)&amp;", "&amp;CHAR(34)&amp;"lotId"&amp;CHAR(34)&amp;": "&amp;CHAR(34)&amp;SUBSTITUTE(CriteriTecnici!$C2232,CHAR(34),"'")&amp;CHAR(34)&amp;", "&amp;CHAR(34)&amp;"criterionId"&amp;CHAR(34)&amp;": "&amp;CHAR(34)&amp;SUBSTITUTE(CriteriTecnici!$D2232,CHAR(34),"'")&amp;CHAR(34)&amp;", "&amp;CHAR(34)&amp;"kind"&amp;CHAR(34)&amp;": "&amp;CHAR(34)&amp;SUBSTITUTE(CriteriTecnici!$F2232,CHAR(34),"'")&amp;CHAR(34)&amp;", "&amp;CHAR(34)&amp;"value"&amp;CHAR(34)&amp;": "&amp;SUBSTITUTE(TRIM(ROUND(IFERROR(CriteriTecnici!$N2232*1,IFERROR(NUMBERVALUE(CriteriTecnici!$N2232,".",","),IFERROR(NUMBERVALUE(CriteriTecnici!$N2232,",","."),0))),4)&amp;""),",",".")&amp;", "&amp;CHAR(34)&amp;"numerator"&amp;CHAR(34)&amp;": "&amp;SUBSTITUTE(TRIM(ROUND(IFERROR(CriteriTecnici!$K2232*1,IFERROR(NUMBERVALUE(CriteriTecnici!$K2232,".",","),IFERROR(NUMBERVALUE(CriteriTecnici!$K2232,",","."),0))),4)&amp;""),",",".")&amp;", "&amp;CHAR(34)&amp;"denominator"&amp;CHAR(34)&amp;": "&amp;SUBSTITUTE(TRIM(ROUND(IFERROR(CriteriTecnici!$L2232*1,IFERROR(NUMBERVALUE(CriteriTecnici!$L2232,".",","),IFERROR(NUMBERVALUE(CriteriTecnici!$L2232,",","."),0))),4)&amp;""),",",".")&amp;", "&amp;CHAR(34)&amp;"flag"&amp;CHAR(34)&amp;": "&amp;SUBSTITUTE(TRIM(ROUND(IFERROR(CriteriTecnici!$M2232*1,IFERROR(NUMBERVALUE(CriteriTecnici!$M2232,".",","),IFERROR(NUMBERVALUE(CriteriTecnici!$M2232,",","."),0))),4)&amp;""),",",".")&amp;", "&amp;CHAR(34)&amp;"rawScore"&amp;CHAR(34)&amp;": "&amp;SUBSTITUTE(TRIM(ROUND(IFERROR(CriteriTecnici!$O2232*1,IFERROR(NUMBERVALUE(CriteriTecnici!$O2232,".",","),IFERROR(NUMBERVALUE(CriteriTecnici!$O2232,",","."),0))),4)&amp;""),",",".")&amp;CHAR(125)&amp;IF(TRUE,",",""))</f>
        <v/>
      </c>
    </row>
    <row r="2334">
      <c r="A2334" s="82">
        <f>IF(CriteriTecnici!$A2233="","","    "&amp;CHAR(123)&amp;CHAR(34)&amp;"bidderId"&amp;CHAR(34)&amp;": "&amp;CHAR(34)&amp;SUBSTITUTE(CriteriTecnici!$A2233,CHAR(34),"'")&amp;CHAR(34)&amp;", "&amp;CHAR(34)&amp;"lotId"&amp;CHAR(34)&amp;": "&amp;CHAR(34)&amp;SUBSTITUTE(CriteriTecnici!$C2233,CHAR(34),"'")&amp;CHAR(34)&amp;", "&amp;CHAR(34)&amp;"criterionId"&amp;CHAR(34)&amp;": "&amp;CHAR(34)&amp;SUBSTITUTE(CriteriTecnici!$D2233,CHAR(34),"'")&amp;CHAR(34)&amp;", "&amp;CHAR(34)&amp;"kind"&amp;CHAR(34)&amp;": "&amp;CHAR(34)&amp;SUBSTITUTE(CriteriTecnici!$F2233,CHAR(34),"'")&amp;CHAR(34)&amp;", "&amp;CHAR(34)&amp;"value"&amp;CHAR(34)&amp;": "&amp;SUBSTITUTE(TRIM(ROUND(IFERROR(CriteriTecnici!$N2233*1,IFERROR(NUMBERVALUE(CriteriTecnici!$N2233,".",","),IFERROR(NUMBERVALUE(CriteriTecnici!$N2233,",","."),0))),4)&amp;""),",",".")&amp;", "&amp;CHAR(34)&amp;"numerator"&amp;CHAR(34)&amp;": "&amp;SUBSTITUTE(TRIM(ROUND(IFERROR(CriteriTecnici!$K2233*1,IFERROR(NUMBERVALUE(CriteriTecnici!$K2233,".",","),IFERROR(NUMBERVALUE(CriteriTecnici!$K2233,",","."),0))),4)&amp;""),",",".")&amp;", "&amp;CHAR(34)&amp;"denominator"&amp;CHAR(34)&amp;": "&amp;SUBSTITUTE(TRIM(ROUND(IFERROR(CriteriTecnici!$L2233*1,IFERROR(NUMBERVALUE(CriteriTecnici!$L2233,".",","),IFERROR(NUMBERVALUE(CriteriTecnici!$L2233,",","."),0))),4)&amp;""),",",".")&amp;", "&amp;CHAR(34)&amp;"flag"&amp;CHAR(34)&amp;": "&amp;SUBSTITUTE(TRIM(ROUND(IFERROR(CriteriTecnici!$M2233*1,IFERROR(NUMBERVALUE(CriteriTecnici!$M2233,".",","),IFERROR(NUMBERVALUE(CriteriTecnici!$M2233,",","."),0))),4)&amp;""),",",".")&amp;", "&amp;CHAR(34)&amp;"rawScore"&amp;CHAR(34)&amp;": "&amp;SUBSTITUTE(TRIM(ROUND(IFERROR(CriteriTecnici!$O2233*1,IFERROR(NUMBERVALUE(CriteriTecnici!$O2233,".",","),IFERROR(NUMBERVALUE(CriteriTecnici!$O2233,",","."),0))),4)&amp;""),",",".")&amp;CHAR(125)&amp;IF(TRUE,",",""))</f>
        <v/>
      </c>
    </row>
    <row r="2335">
      <c r="A2335" s="82">
        <f>IF(CriteriTecnici!$A2234="","","    "&amp;CHAR(123)&amp;CHAR(34)&amp;"bidderId"&amp;CHAR(34)&amp;": "&amp;CHAR(34)&amp;SUBSTITUTE(CriteriTecnici!$A2234,CHAR(34),"'")&amp;CHAR(34)&amp;", "&amp;CHAR(34)&amp;"lotId"&amp;CHAR(34)&amp;": "&amp;CHAR(34)&amp;SUBSTITUTE(CriteriTecnici!$C2234,CHAR(34),"'")&amp;CHAR(34)&amp;", "&amp;CHAR(34)&amp;"criterionId"&amp;CHAR(34)&amp;": "&amp;CHAR(34)&amp;SUBSTITUTE(CriteriTecnici!$D2234,CHAR(34),"'")&amp;CHAR(34)&amp;", "&amp;CHAR(34)&amp;"kind"&amp;CHAR(34)&amp;": "&amp;CHAR(34)&amp;SUBSTITUTE(CriteriTecnici!$F2234,CHAR(34),"'")&amp;CHAR(34)&amp;", "&amp;CHAR(34)&amp;"value"&amp;CHAR(34)&amp;": "&amp;SUBSTITUTE(TRIM(ROUND(IFERROR(CriteriTecnici!$N2234*1,IFERROR(NUMBERVALUE(CriteriTecnici!$N2234,".",","),IFERROR(NUMBERVALUE(CriteriTecnici!$N2234,",","."),0))),4)&amp;""),",",".")&amp;", "&amp;CHAR(34)&amp;"numerator"&amp;CHAR(34)&amp;": "&amp;SUBSTITUTE(TRIM(ROUND(IFERROR(CriteriTecnici!$K2234*1,IFERROR(NUMBERVALUE(CriteriTecnici!$K2234,".",","),IFERROR(NUMBERVALUE(CriteriTecnici!$K2234,",","."),0))),4)&amp;""),",",".")&amp;", "&amp;CHAR(34)&amp;"denominator"&amp;CHAR(34)&amp;": "&amp;SUBSTITUTE(TRIM(ROUND(IFERROR(CriteriTecnici!$L2234*1,IFERROR(NUMBERVALUE(CriteriTecnici!$L2234,".",","),IFERROR(NUMBERVALUE(CriteriTecnici!$L2234,",","."),0))),4)&amp;""),",",".")&amp;", "&amp;CHAR(34)&amp;"flag"&amp;CHAR(34)&amp;": "&amp;SUBSTITUTE(TRIM(ROUND(IFERROR(CriteriTecnici!$M2234*1,IFERROR(NUMBERVALUE(CriteriTecnici!$M2234,".",","),IFERROR(NUMBERVALUE(CriteriTecnici!$M2234,",","."),0))),4)&amp;""),",",".")&amp;", "&amp;CHAR(34)&amp;"rawScore"&amp;CHAR(34)&amp;": "&amp;SUBSTITUTE(TRIM(ROUND(IFERROR(CriteriTecnici!$O2234*1,IFERROR(NUMBERVALUE(CriteriTecnici!$O2234,".",","),IFERROR(NUMBERVALUE(CriteriTecnici!$O2234,",","."),0))),4)&amp;""),",",".")&amp;CHAR(125)&amp;IF(TRUE,",",""))</f>
        <v/>
      </c>
    </row>
    <row r="2336">
      <c r="A2336" s="82">
        <f>IF(CriteriTecnici!$A2235="","","    "&amp;CHAR(123)&amp;CHAR(34)&amp;"bidderId"&amp;CHAR(34)&amp;": "&amp;CHAR(34)&amp;SUBSTITUTE(CriteriTecnici!$A2235,CHAR(34),"'")&amp;CHAR(34)&amp;", "&amp;CHAR(34)&amp;"lotId"&amp;CHAR(34)&amp;": "&amp;CHAR(34)&amp;SUBSTITUTE(CriteriTecnici!$C2235,CHAR(34),"'")&amp;CHAR(34)&amp;", "&amp;CHAR(34)&amp;"criterionId"&amp;CHAR(34)&amp;": "&amp;CHAR(34)&amp;SUBSTITUTE(CriteriTecnici!$D2235,CHAR(34),"'")&amp;CHAR(34)&amp;", "&amp;CHAR(34)&amp;"kind"&amp;CHAR(34)&amp;": "&amp;CHAR(34)&amp;SUBSTITUTE(CriteriTecnici!$F2235,CHAR(34),"'")&amp;CHAR(34)&amp;", "&amp;CHAR(34)&amp;"value"&amp;CHAR(34)&amp;": "&amp;SUBSTITUTE(TRIM(ROUND(IFERROR(CriteriTecnici!$N2235*1,IFERROR(NUMBERVALUE(CriteriTecnici!$N2235,".",","),IFERROR(NUMBERVALUE(CriteriTecnici!$N2235,",","."),0))),4)&amp;""),",",".")&amp;", "&amp;CHAR(34)&amp;"numerator"&amp;CHAR(34)&amp;": "&amp;SUBSTITUTE(TRIM(ROUND(IFERROR(CriteriTecnici!$K2235*1,IFERROR(NUMBERVALUE(CriteriTecnici!$K2235,".",","),IFERROR(NUMBERVALUE(CriteriTecnici!$K2235,",","."),0))),4)&amp;""),",",".")&amp;", "&amp;CHAR(34)&amp;"denominator"&amp;CHAR(34)&amp;": "&amp;SUBSTITUTE(TRIM(ROUND(IFERROR(CriteriTecnici!$L2235*1,IFERROR(NUMBERVALUE(CriteriTecnici!$L2235,".",","),IFERROR(NUMBERVALUE(CriteriTecnici!$L2235,",","."),0))),4)&amp;""),",",".")&amp;", "&amp;CHAR(34)&amp;"flag"&amp;CHAR(34)&amp;": "&amp;SUBSTITUTE(TRIM(ROUND(IFERROR(CriteriTecnici!$M2235*1,IFERROR(NUMBERVALUE(CriteriTecnici!$M2235,".",","),IFERROR(NUMBERVALUE(CriteriTecnici!$M2235,",","."),0))),4)&amp;""),",",".")&amp;", "&amp;CHAR(34)&amp;"rawScore"&amp;CHAR(34)&amp;": "&amp;SUBSTITUTE(TRIM(ROUND(IFERROR(CriteriTecnici!$O2235*1,IFERROR(NUMBERVALUE(CriteriTecnici!$O2235,".",","),IFERROR(NUMBERVALUE(CriteriTecnici!$O2235,",","."),0))),4)&amp;""),",",".")&amp;CHAR(125)&amp;IF(TRUE,",",""))</f>
        <v/>
      </c>
    </row>
    <row r="2337">
      <c r="A2337" s="82">
        <f>IF(CriteriTecnici!$A2236="","","    "&amp;CHAR(123)&amp;CHAR(34)&amp;"bidderId"&amp;CHAR(34)&amp;": "&amp;CHAR(34)&amp;SUBSTITUTE(CriteriTecnici!$A2236,CHAR(34),"'")&amp;CHAR(34)&amp;", "&amp;CHAR(34)&amp;"lotId"&amp;CHAR(34)&amp;": "&amp;CHAR(34)&amp;SUBSTITUTE(CriteriTecnici!$C2236,CHAR(34),"'")&amp;CHAR(34)&amp;", "&amp;CHAR(34)&amp;"criterionId"&amp;CHAR(34)&amp;": "&amp;CHAR(34)&amp;SUBSTITUTE(CriteriTecnici!$D2236,CHAR(34),"'")&amp;CHAR(34)&amp;", "&amp;CHAR(34)&amp;"kind"&amp;CHAR(34)&amp;": "&amp;CHAR(34)&amp;SUBSTITUTE(CriteriTecnici!$F2236,CHAR(34),"'")&amp;CHAR(34)&amp;", "&amp;CHAR(34)&amp;"value"&amp;CHAR(34)&amp;": "&amp;SUBSTITUTE(TRIM(ROUND(IFERROR(CriteriTecnici!$N2236*1,IFERROR(NUMBERVALUE(CriteriTecnici!$N2236,".",","),IFERROR(NUMBERVALUE(CriteriTecnici!$N2236,",","."),0))),4)&amp;""),",",".")&amp;", "&amp;CHAR(34)&amp;"numerator"&amp;CHAR(34)&amp;": "&amp;SUBSTITUTE(TRIM(ROUND(IFERROR(CriteriTecnici!$K2236*1,IFERROR(NUMBERVALUE(CriteriTecnici!$K2236,".",","),IFERROR(NUMBERVALUE(CriteriTecnici!$K2236,",","."),0))),4)&amp;""),",",".")&amp;", "&amp;CHAR(34)&amp;"denominator"&amp;CHAR(34)&amp;": "&amp;SUBSTITUTE(TRIM(ROUND(IFERROR(CriteriTecnici!$L2236*1,IFERROR(NUMBERVALUE(CriteriTecnici!$L2236,".",","),IFERROR(NUMBERVALUE(CriteriTecnici!$L2236,",","."),0))),4)&amp;""),",",".")&amp;", "&amp;CHAR(34)&amp;"flag"&amp;CHAR(34)&amp;": "&amp;SUBSTITUTE(TRIM(ROUND(IFERROR(CriteriTecnici!$M2236*1,IFERROR(NUMBERVALUE(CriteriTecnici!$M2236,".",","),IFERROR(NUMBERVALUE(CriteriTecnici!$M2236,",","."),0))),4)&amp;""),",",".")&amp;", "&amp;CHAR(34)&amp;"rawScore"&amp;CHAR(34)&amp;": "&amp;SUBSTITUTE(TRIM(ROUND(IFERROR(CriteriTecnici!$O2236*1,IFERROR(NUMBERVALUE(CriteriTecnici!$O2236,".",","),IFERROR(NUMBERVALUE(CriteriTecnici!$O2236,",","."),0))),4)&amp;""),",",".")&amp;CHAR(125)&amp;IF(COUNTA(Offerte!$A74:$A$81)&gt;0,",",""))</f>
        <v/>
      </c>
    </row>
    <row r="2338">
      <c r="A2338" s="82">
        <f>IF(CriteriTecnici!$A2237="","","    "&amp;CHAR(123)&amp;CHAR(34)&amp;"bidderId"&amp;CHAR(34)&amp;": "&amp;CHAR(34)&amp;SUBSTITUTE(CriteriTecnici!$A2237,CHAR(34),"'")&amp;CHAR(34)&amp;", "&amp;CHAR(34)&amp;"lotId"&amp;CHAR(34)&amp;": "&amp;CHAR(34)&amp;SUBSTITUTE(CriteriTecnici!$C2237,CHAR(34),"'")&amp;CHAR(34)&amp;", "&amp;CHAR(34)&amp;"criterionId"&amp;CHAR(34)&amp;": "&amp;CHAR(34)&amp;SUBSTITUTE(CriteriTecnici!$D2237,CHAR(34),"'")&amp;CHAR(34)&amp;", "&amp;CHAR(34)&amp;"kind"&amp;CHAR(34)&amp;": "&amp;CHAR(34)&amp;SUBSTITUTE(CriteriTecnici!$F2237,CHAR(34),"'")&amp;CHAR(34)&amp;", "&amp;CHAR(34)&amp;"value"&amp;CHAR(34)&amp;": "&amp;SUBSTITUTE(TRIM(ROUND(IFERROR(CriteriTecnici!$N2237*1,IFERROR(NUMBERVALUE(CriteriTecnici!$N2237,".",","),IFERROR(NUMBERVALUE(CriteriTecnici!$N2237,",","."),0))),4)&amp;""),",",".")&amp;", "&amp;CHAR(34)&amp;"numerator"&amp;CHAR(34)&amp;": "&amp;SUBSTITUTE(TRIM(ROUND(IFERROR(CriteriTecnici!$K2237*1,IFERROR(NUMBERVALUE(CriteriTecnici!$K2237,".",","),IFERROR(NUMBERVALUE(CriteriTecnici!$K2237,",","."),0))),4)&amp;""),",",".")&amp;", "&amp;CHAR(34)&amp;"denominator"&amp;CHAR(34)&amp;": "&amp;SUBSTITUTE(TRIM(ROUND(IFERROR(CriteriTecnici!$L2237*1,IFERROR(NUMBERVALUE(CriteriTecnici!$L2237,".",","),IFERROR(NUMBERVALUE(CriteriTecnici!$L2237,",","."),0))),4)&amp;""),",",".")&amp;", "&amp;CHAR(34)&amp;"flag"&amp;CHAR(34)&amp;": "&amp;SUBSTITUTE(TRIM(ROUND(IFERROR(CriteriTecnici!$M2237*1,IFERROR(NUMBERVALUE(CriteriTecnici!$M2237,".",","),IFERROR(NUMBERVALUE(CriteriTecnici!$M2237,",","."),0))),4)&amp;""),",",".")&amp;", "&amp;CHAR(34)&amp;"rawScore"&amp;CHAR(34)&amp;": "&amp;SUBSTITUTE(TRIM(ROUND(IFERROR(CriteriTecnici!$O2237*1,IFERROR(NUMBERVALUE(CriteriTecnici!$O2237,".",","),IFERROR(NUMBERVALUE(CriteriTecnici!$O2237,",","."),0))),4)&amp;""),",",".")&amp;CHAR(125)&amp;IF(TRUE,",",""))</f>
        <v/>
      </c>
    </row>
    <row r="2339">
      <c r="A2339" s="82">
        <f>IF(CriteriTecnici!$A2238="","","    "&amp;CHAR(123)&amp;CHAR(34)&amp;"bidderId"&amp;CHAR(34)&amp;": "&amp;CHAR(34)&amp;SUBSTITUTE(CriteriTecnici!$A2238,CHAR(34),"'")&amp;CHAR(34)&amp;", "&amp;CHAR(34)&amp;"lotId"&amp;CHAR(34)&amp;": "&amp;CHAR(34)&amp;SUBSTITUTE(CriteriTecnici!$C2238,CHAR(34),"'")&amp;CHAR(34)&amp;", "&amp;CHAR(34)&amp;"criterionId"&amp;CHAR(34)&amp;": "&amp;CHAR(34)&amp;SUBSTITUTE(CriteriTecnici!$D2238,CHAR(34),"'")&amp;CHAR(34)&amp;", "&amp;CHAR(34)&amp;"kind"&amp;CHAR(34)&amp;": "&amp;CHAR(34)&amp;SUBSTITUTE(CriteriTecnici!$F2238,CHAR(34),"'")&amp;CHAR(34)&amp;", "&amp;CHAR(34)&amp;"value"&amp;CHAR(34)&amp;": "&amp;SUBSTITUTE(TRIM(ROUND(IFERROR(CriteriTecnici!$N2238*1,IFERROR(NUMBERVALUE(CriteriTecnici!$N2238,".",","),IFERROR(NUMBERVALUE(CriteriTecnici!$N2238,",","."),0))),4)&amp;""),",",".")&amp;", "&amp;CHAR(34)&amp;"numerator"&amp;CHAR(34)&amp;": "&amp;SUBSTITUTE(TRIM(ROUND(IFERROR(CriteriTecnici!$K2238*1,IFERROR(NUMBERVALUE(CriteriTecnici!$K2238,".",","),IFERROR(NUMBERVALUE(CriteriTecnici!$K2238,",","."),0))),4)&amp;""),",",".")&amp;", "&amp;CHAR(34)&amp;"denominator"&amp;CHAR(34)&amp;": "&amp;SUBSTITUTE(TRIM(ROUND(IFERROR(CriteriTecnici!$L2238*1,IFERROR(NUMBERVALUE(CriteriTecnici!$L2238,".",","),IFERROR(NUMBERVALUE(CriteriTecnici!$L2238,",","."),0))),4)&amp;""),",",".")&amp;", "&amp;CHAR(34)&amp;"flag"&amp;CHAR(34)&amp;": "&amp;SUBSTITUTE(TRIM(ROUND(IFERROR(CriteriTecnici!$M2238*1,IFERROR(NUMBERVALUE(CriteriTecnici!$M2238,".",","),IFERROR(NUMBERVALUE(CriteriTecnici!$M2238,",","."),0))),4)&amp;""),",",".")&amp;", "&amp;CHAR(34)&amp;"rawScore"&amp;CHAR(34)&amp;": "&amp;SUBSTITUTE(TRIM(ROUND(IFERROR(CriteriTecnici!$O2238*1,IFERROR(NUMBERVALUE(CriteriTecnici!$O2238,".",","),IFERROR(NUMBERVALUE(CriteriTecnici!$O2238,",","."),0))),4)&amp;""),",",".")&amp;CHAR(125)&amp;IF(TRUE,",",""))</f>
        <v/>
      </c>
    </row>
    <row r="2340">
      <c r="A2340" s="82">
        <f>IF(CriteriTecnici!$A2239="","","    "&amp;CHAR(123)&amp;CHAR(34)&amp;"bidderId"&amp;CHAR(34)&amp;": "&amp;CHAR(34)&amp;SUBSTITUTE(CriteriTecnici!$A2239,CHAR(34),"'")&amp;CHAR(34)&amp;", "&amp;CHAR(34)&amp;"lotId"&amp;CHAR(34)&amp;": "&amp;CHAR(34)&amp;SUBSTITUTE(CriteriTecnici!$C2239,CHAR(34),"'")&amp;CHAR(34)&amp;", "&amp;CHAR(34)&amp;"criterionId"&amp;CHAR(34)&amp;": "&amp;CHAR(34)&amp;SUBSTITUTE(CriteriTecnici!$D2239,CHAR(34),"'")&amp;CHAR(34)&amp;", "&amp;CHAR(34)&amp;"kind"&amp;CHAR(34)&amp;": "&amp;CHAR(34)&amp;SUBSTITUTE(CriteriTecnici!$F2239,CHAR(34),"'")&amp;CHAR(34)&amp;", "&amp;CHAR(34)&amp;"value"&amp;CHAR(34)&amp;": "&amp;SUBSTITUTE(TRIM(ROUND(IFERROR(CriteriTecnici!$N2239*1,IFERROR(NUMBERVALUE(CriteriTecnici!$N2239,".",","),IFERROR(NUMBERVALUE(CriteriTecnici!$N2239,",","."),0))),4)&amp;""),",",".")&amp;", "&amp;CHAR(34)&amp;"numerator"&amp;CHAR(34)&amp;": "&amp;SUBSTITUTE(TRIM(ROUND(IFERROR(CriteriTecnici!$K2239*1,IFERROR(NUMBERVALUE(CriteriTecnici!$K2239,".",","),IFERROR(NUMBERVALUE(CriteriTecnici!$K2239,",","."),0))),4)&amp;""),",",".")&amp;", "&amp;CHAR(34)&amp;"denominator"&amp;CHAR(34)&amp;": "&amp;SUBSTITUTE(TRIM(ROUND(IFERROR(CriteriTecnici!$L2239*1,IFERROR(NUMBERVALUE(CriteriTecnici!$L2239,".",","),IFERROR(NUMBERVALUE(CriteriTecnici!$L2239,",","."),0))),4)&amp;""),",",".")&amp;", "&amp;CHAR(34)&amp;"flag"&amp;CHAR(34)&amp;": "&amp;SUBSTITUTE(TRIM(ROUND(IFERROR(CriteriTecnici!$M2239*1,IFERROR(NUMBERVALUE(CriteriTecnici!$M2239,".",","),IFERROR(NUMBERVALUE(CriteriTecnici!$M2239,",","."),0))),4)&amp;""),",",".")&amp;", "&amp;CHAR(34)&amp;"rawScore"&amp;CHAR(34)&amp;": "&amp;SUBSTITUTE(TRIM(ROUND(IFERROR(CriteriTecnici!$O2239*1,IFERROR(NUMBERVALUE(CriteriTecnici!$O2239,".",","),IFERROR(NUMBERVALUE(CriteriTecnici!$O2239,",","."),0))),4)&amp;""),",",".")&amp;CHAR(125)&amp;IF(TRUE,",",""))</f>
        <v/>
      </c>
    </row>
    <row r="2341">
      <c r="A2341" s="82">
        <f>IF(CriteriTecnici!$A2240="","","    "&amp;CHAR(123)&amp;CHAR(34)&amp;"bidderId"&amp;CHAR(34)&amp;": "&amp;CHAR(34)&amp;SUBSTITUTE(CriteriTecnici!$A2240,CHAR(34),"'")&amp;CHAR(34)&amp;", "&amp;CHAR(34)&amp;"lotId"&amp;CHAR(34)&amp;": "&amp;CHAR(34)&amp;SUBSTITUTE(CriteriTecnici!$C2240,CHAR(34),"'")&amp;CHAR(34)&amp;", "&amp;CHAR(34)&amp;"criterionId"&amp;CHAR(34)&amp;": "&amp;CHAR(34)&amp;SUBSTITUTE(CriteriTecnici!$D2240,CHAR(34),"'")&amp;CHAR(34)&amp;", "&amp;CHAR(34)&amp;"kind"&amp;CHAR(34)&amp;": "&amp;CHAR(34)&amp;SUBSTITUTE(CriteriTecnici!$F2240,CHAR(34),"'")&amp;CHAR(34)&amp;", "&amp;CHAR(34)&amp;"value"&amp;CHAR(34)&amp;": "&amp;SUBSTITUTE(TRIM(ROUND(IFERROR(CriteriTecnici!$N2240*1,IFERROR(NUMBERVALUE(CriteriTecnici!$N2240,".",","),IFERROR(NUMBERVALUE(CriteriTecnici!$N2240,",","."),0))),4)&amp;""),",",".")&amp;", "&amp;CHAR(34)&amp;"numerator"&amp;CHAR(34)&amp;": "&amp;SUBSTITUTE(TRIM(ROUND(IFERROR(CriteriTecnici!$K2240*1,IFERROR(NUMBERVALUE(CriteriTecnici!$K2240,".",","),IFERROR(NUMBERVALUE(CriteriTecnici!$K2240,",","."),0))),4)&amp;""),",",".")&amp;", "&amp;CHAR(34)&amp;"denominator"&amp;CHAR(34)&amp;": "&amp;SUBSTITUTE(TRIM(ROUND(IFERROR(CriteriTecnici!$L2240*1,IFERROR(NUMBERVALUE(CriteriTecnici!$L2240,".",","),IFERROR(NUMBERVALUE(CriteriTecnici!$L2240,",","."),0))),4)&amp;""),",",".")&amp;", "&amp;CHAR(34)&amp;"flag"&amp;CHAR(34)&amp;": "&amp;SUBSTITUTE(TRIM(ROUND(IFERROR(CriteriTecnici!$M2240*1,IFERROR(NUMBERVALUE(CriteriTecnici!$M2240,".",","),IFERROR(NUMBERVALUE(CriteriTecnici!$M2240,",","."),0))),4)&amp;""),",",".")&amp;", "&amp;CHAR(34)&amp;"rawScore"&amp;CHAR(34)&amp;": "&amp;SUBSTITUTE(TRIM(ROUND(IFERROR(CriteriTecnici!$O2240*1,IFERROR(NUMBERVALUE(CriteriTecnici!$O2240,".",","),IFERROR(NUMBERVALUE(CriteriTecnici!$O2240,",","."),0))),4)&amp;""),",",".")&amp;CHAR(125)&amp;IF(TRUE,",",""))</f>
        <v/>
      </c>
    </row>
    <row r="2342">
      <c r="A2342" s="82">
        <f>IF(CriteriTecnici!$A2241="","","    "&amp;CHAR(123)&amp;CHAR(34)&amp;"bidderId"&amp;CHAR(34)&amp;": "&amp;CHAR(34)&amp;SUBSTITUTE(CriteriTecnici!$A2241,CHAR(34),"'")&amp;CHAR(34)&amp;", "&amp;CHAR(34)&amp;"lotId"&amp;CHAR(34)&amp;": "&amp;CHAR(34)&amp;SUBSTITUTE(CriteriTecnici!$C2241,CHAR(34),"'")&amp;CHAR(34)&amp;", "&amp;CHAR(34)&amp;"criterionId"&amp;CHAR(34)&amp;": "&amp;CHAR(34)&amp;SUBSTITUTE(CriteriTecnici!$D2241,CHAR(34),"'")&amp;CHAR(34)&amp;", "&amp;CHAR(34)&amp;"kind"&amp;CHAR(34)&amp;": "&amp;CHAR(34)&amp;SUBSTITUTE(CriteriTecnici!$F2241,CHAR(34),"'")&amp;CHAR(34)&amp;", "&amp;CHAR(34)&amp;"value"&amp;CHAR(34)&amp;": "&amp;SUBSTITUTE(TRIM(ROUND(IFERROR(CriteriTecnici!$N2241*1,IFERROR(NUMBERVALUE(CriteriTecnici!$N2241,".",","),IFERROR(NUMBERVALUE(CriteriTecnici!$N2241,",","."),0))),4)&amp;""),",",".")&amp;", "&amp;CHAR(34)&amp;"numerator"&amp;CHAR(34)&amp;": "&amp;SUBSTITUTE(TRIM(ROUND(IFERROR(CriteriTecnici!$K2241*1,IFERROR(NUMBERVALUE(CriteriTecnici!$K2241,".",","),IFERROR(NUMBERVALUE(CriteriTecnici!$K2241,",","."),0))),4)&amp;""),",",".")&amp;", "&amp;CHAR(34)&amp;"denominator"&amp;CHAR(34)&amp;": "&amp;SUBSTITUTE(TRIM(ROUND(IFERROR(CriteriTecnici!$L2241*1,IFERROR(NUMBERVALUE(CriteriTecnici!$L2241,".",","),IFERROR(NUMBERVALUE(CriteriTecnici!$L2241,",","."),0))),4)&amp;""),",",".")&amp;", "&amp;CHAR(34)&amp;"flag"&amp;CHAR(34)&amp;": "&amp;SUBSTITUTE(TRIM(ROUND(IFERROR(CriteriTecnici!$M2241*1,IFERROR(NUMBERVALUE(CriteriTecnici!$M2241,".",","),IFERROR(NUMBERVALUE(CriteriTecnici!$M2241,",","."),0))),4)&amp;""),",",".")&amp;", "&amp;CHAR(34)&amp;"rawScore"&amp;CHAR(34)&amp;": "&amp;SUBSTITUTE(TRIM(ROUND(IFERROR(CriteriTecnici!$O2241*1,IFERROR(NUMBERVALUE(CriteriTecnici!$O2241,".",","),IFERROR(NUMBERVALUE(CriteriTecnici!$O2241,",","."),0))),4)&amp;""),",",".")&amp;CHAR(125)&amp;IF(TRUE,",",""))</f>
        <v/>
      </c>
    </row>
    <row r="2343">
      <c r="A2343" s="82">
        <f>IF(CriteriTecnici!$A2242="","","    "&amp;CHAR(123)&amp;CHAR(34)&amp;"bidderId"&amp;CHAR(34)&amp;": "&amp;CHAR(34)&amp;SUBSTITUTE(CriteriTecnici!$A2242,CHAR(34),"'")&amp;CHAR(34)&amp;", "&amp;CHAR(34)&amp;"lotId"&amp;CHAR(34)&amp;": "&amp;CHAR(34)&amp;SUBSTITUTE(CriteriTecnici!$C2242,CHAR(34),"'")&amp;CHAR(34)&amp;", "&amp;CHAR(34)&amp;"criterionId"&amp;CHAR(34)&amp;": "&amp;CHAR(34)&amp;SUBSTITUTE(CriteriTecnici!$D2242,CHAR(34),"'")&amp;CHAR(34)&amp;", "&amp;CHAR(34)&amp;"kind"&amp;CHAR(34)&amp;": "&amp;CHAR(34)&amp;SUBSTITUTE(CriteriTecnici!$F2242,CHAR(34),"'")&amp;CHAR(34)&amp;", "&amp;CHAR(34)&amp;"value"&amp;CHAR(34)&amp;": "&amp;SUBSTITUTE(TRIM(ROUND(IFERROR(CriteriTecnici!$N2242*1,IFERROR(NUMBERVALUE(CriteriTecnici!$N2242,".",","),IFERROR(NUMBERVALUE(CriteriTecnici!$N2242,",","."),0))),4)&amp;""),",",".")&amp;", "&amp;CHAR(34)&amp;"numerator"&amp;CHAR(34)&amp;": "&amp;SUBSTITUTE(TRIM(ROUND(IFERROR(CriteriTecnici!$K2242*1,IFERROR(NUMBERVALUE(CriteriTecnici!$K2242,".",","),IFERROR(NUMBERVALUE(CriteriTecnici!$K2242,",","."),0))),4)&amp;""),",",".")&amp;", "&amp;CHAR(34)&amp;"denominator"&amp;CHAR(34)&amp;": "&amp;SUBSTITUTE(TRIM(ROUND(IFERROR(CriteriTecnici!$L2242*1,IFERROR(NUMBERVALUE(CriteriTecnici!$L2242,".",","),IFERROR(NUMBERVALUE(CriteriTecnici!$L2242,",","."),0))),4)&amp;""),",",".")&amp;", "&amp;CHAR(34)&amp;"flag"&amp;CHAR(34)&amp;": "&amp;SUBSTITUTE(TRIM(ROUND(IFERROR(CriteriTecnici!$M2242*1,IFERROR(NUMBERVALUE(CriteriTecnici!$M2242,".",","),IFERROR(NUMBERVALUE(CriteriTecnici!$M2242,",","."),0))),4)&amp;""),",",".")&amp;", "&amp;CHAR(34)&amp;"rawScore"&amp;CHAR(34)&amp;": "&amp;SUBSTITUTE(TRIM(ROUND(IFERROR(CriteriTecnici!$O2242*1,IFERROR(NUMBERVALUE(CriteriTecnici!$O2242,".",","),IFERROR(NUMBERVALUE(CriteriTecnici!$O2242,",","."),0))),4)&amp;""),",",".")&amp;CHAR(125)&amp;IF(TRUE,",",""))</f>
        <v/>
      </c>
    </row>
    <row r="2344">
      <c r="A2344" s="82">
        <f>IF(CriteriTecnici!$A2243="","","    "&amp;CHAR(123)&amp;CHAR(34)&amp;"bidderId"&amp;CHAR(34)&amp;": "&amp;CHAR(34)&amp;SUBSTITUTE(CriteriTecnici!$A2243,CHAR(34),"'")&amp;CHAR(34)&amp;", "&amp;CHAR(34)&amp;"lotId"&amp;CHAR(34)&amp;": "&amp;CHAR(34)&amp;SUBSTITUTE(CriteriTecnici!$C2243,CHAR(34),"'")&amp;CHAR(34)&amp;", "&amp;CHAR(34)&amp;"criterionId"&amp;CHAR(34)&amp;": "&amp;CHAR(34)&amp;SUBSTITUTE(CriteriTecnici!$D2243,CHAR(34),"'")&amp;CHAR(34)&amp;", "&amp;CHAR(34)&amp;"kind"&amp;CHAR(34)&amp;": "&amp;CHAR(34)&amp;SUBSTITUTE(CriteriTecnici!$F2243,CHAR(34),"'")&amp;CHAR(34)&amp;", "&amp;CHAR(34)&amp;"value"&amp;CHAR(34)&amp;": "&amp;SUBSTITUTE(TRIM(ROUND(IFERROR(CriteriTecnici!$N2243*1,IFERROR(NUMBERVALUE(CriteriTecnici!$N2243,".",","),IFERROR(NUMBERVALUE(CriteriTecnici!$N2243,",","."),0))),4)&amp;""),",",".")&amp;", "&amp;CHAR(34)&amp;"numerator"&amp;CHAR(34)&amp;": "&amp;SUBSTITUTE(TRIM(ROUND(IFERROR(CriteriTecnici!$K2243*1,IFERROR(NUMBERVALUE(CriteriTecnici!$K2243,".",","),IFERROR(NUMBERVALUE(CriteriTecnici!$K2243,",","."),0))),4)&amp;""),",",".")&amp;", "&amp;CHAR(34)&amp;"denominator"&amp;CHAR(34)&amp;": "&amp;SUBSTITUTE(TRIM(ROUND(IFERROR(CriteriTecnici!$L2243*1,IFERROR(NUMBERVALUE(CriteriTecnici!$L2243,".",","),IFERROR(NUMBERVALUE(CriteriTecnici!$L2243,",","."),0))),4)&amp;""),",",".")&amp;", "&amp;CHAR(34)&amp;"flag"&amp;CHAR(34)&amp;": "&amp;SUBSTITUTE(TRIM(ROUND(IFERROR(CriteriTecnici!$M2243*1,IFERROR(NUMBERVALUE(CriteriTecnici!$M2243,".",","),IFERROR(NUMBERVALUE(CriteriTecnici!$M2243,",","."),0))),4)&amp;""),",",".")&amp;", "&amp;CHAR(34)&amp;"rawScore"&amp;CHAR(34)&amp;": "&amp;SUBSTITUTE(TRIM(ROUND(IFERROR(CriteriTecnici!$O2243*1,IFERROR(NUMBERVALUE(CriteriTecnici!$O2243,".",","),IFERROR(NUMBERVALUE(CriteriTecnici!$O2243,",","."),0))),4)&amp;""),",",".")&amp;CHAR(125)&amp;IF(TRUE,",",""))</f>
        <v/>
      </c>
    </row>
    <row r="2345">
      <c r="A2345" s="82">
        <f>IF(CriteriTecnici!$A2244="","","    "&amp;CHAR(123)&amp;CHAR(34)&amp;"bidderId"&amp;CHAR(34)&amp;": "&amp;CHAR(34)&amp;SUBSTITUTE(CriteriTecnici!$A2244,CHAR(34),"'")&amp;CHAR(34)&amp;", "&amp;CHAR(34)&amp;"lotId"&amp;CHAR(34)&amp;": "&amp;CHAR(34)&amp;SUBSTITUTE(CriteriTecnici!$C2244,CHAR(34),"'")&amp;CHAR(34)&amp;", "&amp;CHAR(34)&amp;"criterionId"&amp;CHAR(34)&amp;": "&amp;CHAR(34)&amp;SUBSTITUTE(CriteriTecnici!$D2244,CHAR(34),"'")&amp;CHAR(34)&amp;", "&amp;CHAR(34)&amp;"kind"&amp;CHAR(34)&amp;": "&amp;CHAR(34)&amp;SUBSTITUTE(CriteriTecnici!$F2244,CHAR(34),"'")&amp;CHAR(34)&amp;", "&amp;CHAR(34)&amp;"value"&amp;CHAR(34)&amp;": "&amp;SUBSTITUTE(TRIM(ROUND(IFERROR(CriteriTecnici!$N2244*1,IFERROR(NUMBERVALUE(CriteriTecnici!$N2244,".",","),IFERROR(NUMBERVALUE(CriteriTecnici!$N2244,",","."),0))),4)&amp;""),",",".")&amp;", "&amp;CHAR(34)&amp;"numerator"&amp;CHAR(34)&amp;": "&amp;SUBSTITUTE(TRIM(ROUND(IFERROR(CriteriTecnici!$K2244*1,IFERROR(NUMBERVALUE(CriteriTecnici!$K2244,".",","),IFERROR(NUMBERVALUE(CriteriTecnici!$K2244,",","."),0))),4)&amp;""),",",".")&amp;", "&amp;CHAR(34)&amp;"denominator"&amp;CHAR(34)&amp;": "&amp;SUBSTITUTE(TRIM(ROUND(IFERROR(CriteriTecnici!$L2244*1,IFERROR(NUMBERVALUE(CriteriTecnici!$L2244,".",","),IFERROR(NUMBERVALUE(CriteriTecnici!$L2244,",","."),0))),4)&amp;""),",",".")&amp;", "&amp;CHAR(34)&amp;"flag"&amp;CHAR(34)&amp;": "&amp;SUBSTITUTE(TRIM(ROUND(IFERROR(CriteriTecnici!$M2244*1,IFERROR(NUMBERVALUE(CriteriTecnici!$M2244,".",","),IFERROR(NUMBERVALUE(CriteriTecnici!$M2244,",","."),0))),4)&amp;""),",",".")&amp;", "&amp;CHAR(34)&amp;"rawScore"&amp;CHAR(34)&amp;": "&amp;SUBSTITUTE(TRIM(ROUND(IFERROR(CriteriTecnici!$O2244*1,IFERROR(NUMBERVALUE(CriteriTecnici!$O2244,".",","),IFERROR(NUMBERVALUE(CriteriTecnici!$O2244,",","."),0))),4)&amp;""),",",".")&amp;CHAR(125)&amp;IF(TRUE,",",""))</f>
        <v/>
      </c>
    </row>
    <row r="2346">
      <c r="A2346" s="82">
        <f>IF(CriteriTecnici!$A2245="","","    "&amp;CHAR(123)&amp;CHAR(34)&amp;"bidderId"&amp;CHAR(34)&amp;": "&amp;CHAR(34)&amp;SUBSTITUTE(CriteriTecnici!$A2245,CHAR(34),"'")&amp;CHAR(34)&amp;", "&amp;CHAR(34)&amp;"lotId"&amp;CHAR(34)&amp;": "&amp;CHAR(34)&amp;SUBSTITUTE(CriteriTecnici!$C2245,CHAR(34),"'")&amp;CHAR(34)&amp;", "&amp;CHAR(34)&amp;"criterionId"&amp;CHAR(34)&amp;": "&amp;CHAR(34)&amp;SUBSTITUTE(CriteriTecnici!$D2245,CHAR(34),"'")&amp;CHAR(34)&amp;", "&amp;CHAR(34)&amp;"kind"&amp;CHAR(34)&amp;": "&amp;CHAR(34)&amp;SUBSTITUTE(CriteriTecnici!$F2245,CHAR(34),"'")&amp;CHAR(34)&amp;", "&amp;CHAR(34)&amp;"value"&amp;CHAR(34)&amp;": "&amp;SUBSTITUTE(TRIM(ROUND(IFERROR(CriteriTecnici!$N2245*1,IFERROR(NUMBERVALUE(CriteriTecnici!$N2245,".",","),IFERROR(NUMBERVALUE(CriteriTecnici!$N2245,",","."),0))),4)&amp;""),",",".")&amp;", "&amp;CHAR(34)&amp;"numerator"&amp;CHAR(34)&amp;": "&amp;SUBSTITUTE(TRIM(ROUND(IFERROR(CriteriTecnici!$K2245*1,IFERROR(NUMBERVALUE(CriteriTecnici!$K2245,".",","),IFERROR(NUMBERVALUE(CriteriTecnici!$K2245,",","."),0))),4)&amp;""),",",".")&amp;", "&amp;CHAR(34)&amp;"denominator"&amp;CHAR(34)&amp;": "&amp;SUBSTITUTE(TRIM(ROUND(IFERROR(CriteriTecnici!$L2245*1,IFERROR(NUMBERVALUE(CriteriTecnici!$L2245,".",","),IFERROR(NUMBERVALUE(CriteriTecnici!$L2245,",","."),0))),4)&amp;""),",",".")&amp;", "&amp;CHAR(34)&amp;"flag"&amp;CHAR(34)&amp;": "&amp;SUBSTITUTE(TRIM(ROUND(IFERROR(CriteriTecnici!$M2245*1,IFERROR(NUMBERVALUE(CriteriTecnici!$M2245,".",","),IFERROR(NUMBERVALUE(CriteriTecnici!$M2245,",","."),0))),4)&amp;""),",",".")&amp;", "&amp;CHAR(34)&amp;"rawScore"&amp;CHAR(34)&amp;": "&amp;SUBSTITUTE(TRIM(ROUND(IFERROR(CriteriTecnici!$O2245*1,IFERROR(NUMBERVALUE(CriteriTecnici!$O2245,".",","),IFERROR(NUMBERVALUE(CriteriTecnici!$O2245,",","."),0))),4)&amp;""),",",".")&amp;CHAR(125)&amp;IF(TRUE,",",""))</f>
        <v/>
      </c>
    </row>
    <row r="2347">
      <c r="A2347" s="82">
        <f>IF(CriteriTecnici!$A2246="","","    "&amp;CHAR(123)&amp;CHAR(34)&amp;"bidderId"&amp;CHAR(34)&amp;": "&amp;CHAR(34)&amp;SUBSTITUTE(CriteriTecnici!$A2246,CHAR(34),"'")&amp;CHAR(34)&amp;", "&amp;CHAR(34)&amp;"lotId"&amp;CHAR(34)&amp;": "&amp;CHAR(34)&amp;SUBSTITUTE(CriteriTecnici!$C2246,CHAR(34),"'")&amp;CHAR(34)&amp;", "&amp;CHAR(34)&amp;"criterionId"&amp;CHAR(34)&amp;": "&amp;CHAR(34)&amp;SUBSTITUTE(CriteriTecnici!$D2246,CHAR(34),"'")&amp;CHAR(34)&amp;", "&amp;CHAR(34)&amp;"kind"&amp;CHAR(34)&amp;": "&amp;CHAR(34)&amp;SUBSTITUTE(CriteriTecnici!$F2246,CHAR(34),"'")&amp;CHAR(34)&amp;", "&amp;CHAR(34)&amp;"value"&amp;CHAR(34)&amp;": "&amp;SUBSTITUTE(TRIM(ROUND(IFERROR(CriteriTecnici!$N2246*1,IFERROR(NUMBERVALUE(CriteriTecnici!$N2246,".",","),IFERROR(NUMBERVALUE(CriteriTecnici!$N2246,",","."),0))),4)&amp;""),",",".")&amp;", "&amp;CHAR(34)&amp;"numerator"&amp;CHAR(34)&amp;": "&amp;SUBSTITUTE(TRIM(ROUND(IFERROR(CriteriTecnici!$K2246*1,IFERROR(NUMBERVALUE(CriteriTecnici!$K2246,".",","),IFERROR(NUMBERVALUE(CriteriTecnici!$K2246,",","."),0))),4)&amp;""),",",".")&amp;", "&amp;CHAR(34)&amp;"denominator"&amp;CHAR(34)&amp;": "&amp;SUBSTITUTE(TRIM(ROUND(IFERROR(CriteriTecnici!$L2246*1,IFERROR(NUMBERVALUE(CriteriTecnici!$L2246,".",","),IFERROR(NUMBERVALUE(CriteriTecnici!$L2246,",","."),0))),4)&amp;""),",",".")&amp;", "&amp;CHAR(34)&amp;"flag"&amp;CHAR(34)&amp;": "&amp;SUBSTITUTE(TRIM(ROUND(IFERROR(CriteriTecnici!$M2246*1,IFERROR(NUMBERVALUE(CriteriTecnici!$M2246,".",","),IFERROR(NUMBERVALUE(CriteriTecnici!$M2246,",","."),0))),4)&amp;""),",",".")&amp;", "&amp;CHAR(34)&amp;"rawScore"&amp;CHAR(34)&amp;": "&amp;SUBSTITUTE(TRIM(ROUND(IFERROR(CriteriTecnici!$O2246*1,IFERROR(NUMBERVALUE(CriteriTecnici!$O2246,".",","),IFERROR(NUMBERVALUE(CriteriTecnici!$O2246,",","."),0))),4)&amp;""),",",".")&amp;CHAR(125)&amp;IF(TRUE,",",""))</f>
        <v/>
      </c>
    </row>
    <row r="2348">
      <c r="A2348" s="82">
        <f>IF(CriteriTecnici!$A2247="","","    "&amp;CHAR(123)&amp;CHAR(34)&amp;"bidderId"&amp;CHAR(34)&amp;": "&amp;CHAR(34)&amp;SUBSTITUTE(CriteriTecnici!$A2247,CHAR(34),"'")&amp;CHAR(34)&amp;", "&amp;CHAR(34)&amp;"lotId"&amp;CHAR(34)&amp;": "&amp;CHAR(34)&amp;SUBSTITUTE(CriteriTecnici!$C2247,CHAR(34),"'")&amp;CHAR(34)&amp;", "&amp;CHAR(34)&amp;"criterionId"&amp;CHAR(34)&amp;": "&amp;CHAR(34)&amp;SUBSTITUTE(CriteriTecnici!$D2247,CHAR(34),"'")&amp;CHAR(34)&amp;", "&amp;CHAR(34)&amp;"kind"&amp;CHAR(34)&amp;": "&amp;CHAR(34)&amp;SUBSTITUTE(CriteriTecnici!$F2247,CHAR(34),"'")&amp;CHAR(34)&amp;", "&amp;CHAR(34)&amp;"value"&amp;CHAR(34)&amp;": "&amp;SUBSTITUTE(TRIM(ROUND(IFERROR(CriteriTecnici!$N2247*1,IFERROR(NUMBERVALUE(CriteriTecnici!$N2247,".",","),IFERROR(NUMBERVALUE(CriteriTecnici!$N2247,",","."),0))),4)&amp;""),",",".")&amp;", "&amp;CHAR(34)&amp;"numerator"&amp;CHAR(34)&amp;": "&amp;SUBSTITUTE(TRIM(ROUND(IFERROR(CriteriTecnici!$K2247*1,IFERROR(NUMBERVALUE(CriteriTecnici!$K2247,".",","),IFERROR(NUMBERVALUE(CriteriTecnici!$K2247,",","."),0))),4)&amp;""),",",".")&amp;", "&amp;CHAR(34)&amp;"denominator"&amp;CHAR(34)&amp;": "&amp;SUBSTITUTE(TRIM(ROUND(IFERROR(CriteriTecnici!$L2247*1,IFERROR(NUMBERVALUE(CriteriTecnici!$L2247,".",","),IFERROR(NUMBERVALUE(CriteriTecnici!$L2247,",","."),0))),4)&amp;""),",",".")&amp;", "&amp;CHAR(34)&amp;"flag"&amp;CHAR(34)&amp;": "&amp;SUBSTITUTE(TRIM(ROUND(IFERROR(CriteriTecnici!$M2247*1,IFERROR(NUMBERVALUE(CriteriTecnici!$M2247,".",","),IFERROR(NUMBERVALUE(CriteriTecnici!$M2247,",","."),0))),4)&amp;""),",",".")&amp;", "&amp;CHAR(34)&amp;"rawScore"&amp;CHAR(34)&amp;": "&amp;SUBSTITUTE(TRIM(ROUND(IFERROR(CriteriTecnici!$O2247*1,IFERROR(NUMBERVALUE(CriteriTecnici!$O2247,".",","),IFERROR(NUMBERVALUE(CriteriTecnici!$O2247,",","."),0))),4)&amp;""),",",".")&amp;CHAR(125)&amp;IF(TRUE,",",""))</f>
        <v/>
      </c>
    </row>
    <row r="2349">
      <c r="A2349" s="82">
        <f>IF(CriteriTecnici!$A2248="","","    "&amp;CHAR(123)&amp;CHAR(34)&amp;"bidderId"&amp;CHAR(34)&amp;": "&amp;CHAR(34)&amp;SUBSTITUTE(CriteriTecnici!$A2248,CHAR(34),"'")&amp;CHAR(34)&amp;", "&amp;CHAR(34)&amp;"lotId"&amp;CHAR(34)&amp;": "&amp;CHAR(34)&amp;SUBSTITUTE(CriteriTecnici!$C2248,CHAR(34),"'")&amp;CHAR(34)&amp;", "&amp;CHAR(34)&amp;"criterionId"&amp;CHAR(34)&amp;": "&amp;CHAR(34)&amp;SUBSTITUTE(CriteriTecnici!$D2248,CHAR(34),"'")&amp;CHAR(34)&amp;", "&amp;CHAR(34)&amp;"kind"&amp;CHAR(34)&amp;": "&amp;CHAR(34)&amp;SUBSTITUTE(CriteriTecnici!$F2248,CHAR(34),"'")&amp;CHAR(34)&amp;", "&amp;CHAR(34)&amp;"value"&amp;CHAR(34)&amp;": "&amp;SUBSTITUTE(TRIM(ROUND(IFERROR(CriteriTecnici!$N2248*1,IFERROR(NUMBERVALUE(CriteriTecnici!$N2248,".",","),IFERROR(NUMBERVALUE(CriteriTecnici!$N2248,",","."),0))),4)&amp;""),",",".")&amp;", "&amp;CHAR(34)&amp;"numerator"&amp;CHAR(34)&amp;": "&amp;SUBSTITUTE(TRIM(ROUND(IFERROR(CriteriTecnici!$K2248*1,IFERROR(NUMBERVALUE(CriteriTecnici!$K2248,".",","),IFERROR(NUMBERVALUE(CriteriTecnici!$K2248,",","."),0))),4)&amp;""),",",".")&amp;", "&amp;CHAR(34)&amp;"denominator"&amp;CHAR(34)&amp;": "&amp;SUBSTITUTE(TRIM(ROUND(IFERROR(CriteriTecnici!$L2248*1,IFERROR(NUMBERVALUE(CriteriTecnici!$L2248,".",","),IFERROR(NUMBERVALUE(CriteriTecnici!$L2248,",","."),0))),4)&amp;""),",",".")&amp;", "&amp;CHAR(34)&amp;"flag"&amp;CHAR(34)&amp;": "&amp;SUBSTITUTE(TRIM(ROUND(IFERROR(CriteriTecnici!$M2248*1,IFERROR(NUMBERVALUE(CriteriTecnici!$M2248,".",","),IFERROR(NUMBERVALUE(CriteriTecnici!$M2248,",","."),0))),4)&amp;""),",",".")&amp;", "&amp;CHAR(34)&amp;"rawScore"&amp;CHAR(34)&amp;": "&amp;SUBSTITUTE(TRIM(ROUND(IFERROR(CriteriTecnici!$O2248*1,IFERROR(NUMBERVALUE(CriteriTecnici!$O2248,".",","),IFERROR(NUMBERVALUE(CriteriTecnici!$O2248,",","."),0))),4)&amp;""),",",".")&amp;CHAR(125)&amp;IF(TRUE,",",""))</f>
        <v/>
      </c>
    </row>
    <row r="2350">
      <c r="A2350" s="82">
        <f>IF(CriteriTecnici!$A2249="","","    "&amp;CHAR(123)&amp;CHAR(34)&amp;"bidderId"&amp;CHAR(34)&amp;": "&amp;CHAR(34)&amp;SUBSTITUTE(CriteriTecnici!$A2249,CHAR(34),"'")&amp;CHAR(34)&amp;", "&amp;CHAR(34)&amp;"lotId"&amp;CHAR(34)&amp;": "&amp;CHAR(34)&amp;SUBSTITUTE(CriteriTecnici!$C2249,CHAR(34),"'")&amp;CHAR(34)&amp;", "&amp;CHAR(34)&amp;"criterionId"&amp;CHAR(34)&amp;": "&amp;CHAR(34)&amp;SUBSTITUTE(CriteriTecnici!$D2249,CHAR(34),"'")&amp;CHAR(34)&amp;", "&amp;CHAR(34)&amp;"kind"&amp;CHAR(34)&amp;": "&amp;CHAR(34)&amp;SUBSTITUTE(CriteriTecnici!$F2249,CHAR(34),"'")&amp;CHAR(34)&amp;", "&amp;CHAR(34)&amp;"value"&amp;CHAR(34)&amp;": "&amp;SUBSTITUTE(TRIM(ROUND(IFERROR(CriteriTecnici!$N2249*1,IFERROR(NUMBERVALUE(CriteriTecnici!$N2249,".",","),IFERROR(NUMBERVALUE(CriteriTecnici!$N2249,",","."),0))),4)&amp;""),",",".")&amp;", "&amp;CHAR(34)&amp;"numerator"&amp;CHAR(34)&amp;": "&amp;SUBSTITUTE(TRIM(ROUND(IFERROR(CriteriTecnici!$K2249*1,IFERROR(NUMBERVALUE(CriteriTecnici!$K2249,".",","),IFERROR(NUMBERVALUE(CriteriTecnici!$K2249,",","."),0))),4)&amp;""),",",".")&amp;", "&amp;CHAR(34)&amp;"denominator"&amp;CHAR(34)&amp;": "&amp;SUBSTITUTE(TRIM(ROUND(IFERROR(CriteriTecnici!$L2249*1,IFERROR(NUMBERVALUE(CriteriTecnici!$L2249,".",","),IFERROR(NUMBERVALUE(CriteriTecnici!$L2249,",","."),0))),4)&amp;""),",",".")&amp;", "&amp;CHAR(34)&amp;"flag"&amp;CHAR(34)&amp;": "&amp;SUBSTITUTE(TRIM(ROUND(IFERROR(CriteriTecnici!$M2249*1,IFERROR(NUMBERVALUE(CriteriTecnici!$M2249,".",","),IFERROR(NUMBERVALUE(CriteriTecnici!$M2249,",","."),0))),4)&amp;""),",",".")&amp;", "&amp;CHAR(34)&amp;"rawScore"&amp;CHAR(34)&amp;": "&amp;SUBSTITUTE(TRIM(ROUND(IFERROR(CriteriTecnici!$O2249*1,IFERROR(NUMBERVALUE(CriteriTecnici!$O2249,".",","),IFERROR(NUMBERVALUE(CriteriTecnici!$O2249,",","."),0))),4)&amp;""),",",".")&amp;CHAR(125)&amp;IF(TRUE,",",""))</f>
        <v/>
      </c>
    </row>
    <row r="2351">
      <c r="A2351" s="82">
        <f>IF(CriteriTecnici!$A2250="","","    "&amp;CHAR(123)&amp;CHAR(34)&amp;"bidderId"&amp;CHAR(34)&amp;": "&amp;CHAR(34)&amp;SUBSTITUTE(CriteriTecnici!$A2250,CHAR(34),"'")&amp;CHAR(34)&amp;", "&amp;CHAR(34)&amp;"lotId"&amp;CHAR(34)&amp;": "&amp;CHAR(34)&amp;SUBSTITUTE(CriteriTecnici!$C2250,CHAR(34),"'")&amp;CHAR(34)&amp;", "&amp;CHAR(34)&amp;"criterionId"&amp;CHAR(34)&amp;": "&amp;CHAR(34)&amp;SUBSTITUTE(CriteriTecnici!$D2250,CHAR(34),"'")&amp;CHAR(34)&amp;", "&amp;CHAR(34)&amp;"kind"&amp;CHAR(34)&amp;": "&amp;CHAR(34)&amp;SUBSTITUTE(CriteriTecnici!$F2250,CHAR(34),"'")&amp;CHAR(34)&amp;", "&amp;CHAR(34)&amp;"value"&amp;CHAR(34)&amp;": "&amp;SUBSTITUTE(TRIM(ROUND(IFERROR(CriteriTecnici!$N2250*1,IFERROR(NUMBERVALUE(CriteriTecnici!$N2250,".",","),IFERROR(NUMBERVALUE(CriteriTecnici!$N2250,",","."),0))),4)&amp;""),",",".")&amp;", "&amp;CHAR(34)&amp;"numerator"&amp;CHAR(34)&amp;": "&amp;SUBSTITUTE(TRIM(ROUND(IFERROR(CriteriTecnici!$K2250*1,IFERROR(NUMBERVALUE(CriteriTecnici!$K2250,".",","),IFERROR(NUMBERVALUE(CriteriTecnici!$K2250,",","."),0))),4)&amp;""),",",".")&amp;", "&amp;CHAR(34)&amp;"denominator"&amp;CHAR(34)&amp;": "&amp;SUBSTITUTE(TRIM(ROUND(IFERROR(CriteriTecnici!$L2250*1,IFERROR(NUMBERVALUE(CriteriTecnici!$L2250,".",","),IFERROR(NUMBERVALUE(CriteriTecnici!$L2250,",","."),0))),4)&amp;""),",",".")&amp;", "&amp;CHAR(34)&amp;"flag"&amp;CHAR(34)&amp;": "&amp;SUBSTITUTE(TRIM(ROUND(IFERROR(CriteriTecnici!$M2250*1,IFERROR(NUMBERVALUE(CriteriTecnici!$M2250,".",","),IFERROR(NUMBERVALUE(CriteriTecnici!$M2250,",","."),0))),4)&amp;""),",",".")&amp;", "&amp;CHAR(34)&amp;"rawScore"&amp;CHAR(34)&amp;": "&amp;SUBSTITUTE(TRIM(ROUND(IFERROR(CriteriTecnici!$O2250*1,IFERROR(NUMBERVALUE(CriteriTecnici!$O2250,".",","),IFERROR(NUMBERVALUE(CriteriTecnici!$O2250,",","."),0))),4)&amp;""),",",".")&amp;CHAR(125)&amp;IF(TRUE,",",""))</f>
        <v/>
      </c>
    </row>
    <row r="2352">
      <c r="A2352" s="82">
        <f>IF(CriteriTecnici!$A2251="","","    "&amp;CHAR(123)&amp;CHAR(34)&amp;"bidderId"&amp;CHAR(34)&amp;": "&amp;CHAR(34)&amp;SUBSTITUTE(CriteriTecnici!$A2251,CHAR(34),"'")&amp;CHAR(34)&amp;", "&amp;CHAR(34)&amp;"lotId"&amp;CHAR(34)&amp;": "&amp;CHAR(34)&amp;SUBSTITUTE(CriteriTecnici!$C2251,CHAR(34),"'")&amp;CHAR(34)&amp;", "&amp;CHAR(34)&amp;"criterionId"&amp;CHAR(34)&amp;": "&amp;CHAR(34)&amp;SUBSTITUTE(CriteriTecnici!$D2251,CHAR(34),"'")&amp;CHAR(34)&amp;", "&amp;CHAR(34)&amp;"kind"&amp;CHAR(34)&amp;": "&amp;CHAR(34)&amp;SUBSTITUTE(CriteriTecnici!$F2251,CHAR(34),"'")&amp;CHAR(34)&amp;", "&amp;CHAR(34)&amp;"value"&amp;CHAR(34)&amp;": "&amp;SUBSTITUTE(TRIM(ROUND(IFERROR(CriteriTecnici!$N2251*1,IFERROR(NUMBERVALUE(CriteriTecnici!$N2251,".",","),IFERROR(NUMBERVALUE(CriteriTecnici!$N2251,",","."),0))),4)&amp;""),",",".")&amp;", "&amp;CHAR(34)&amp;"numerator"&amp;CHAR(34)&amp;": "&amp;SUBSTITUTE(TRIM(ROUND(IFERROR(CriteriTecnici!$K2251*1,IFERROR(NUMBERVALUE(CriteriTecnici!$K2251,".",","),IFERROR(NUMBERVALUE(CriteriTecnici!$K2251,",","."),0))),4)&amp;""),",",".")&amp;", "&amp;CHAR(34)&amp;"denominator"&amp;CHAR(34)&amp;": "&amp;SUBSTITUTE(TRIM(ROUND(IFERROR(CriteriTecnici!$L2251*1,IFERROR(NUMBERVALUE(CriteriTecnici!$L2251,".",","),IFERROR(NUMBERVALUE(CriteriTecnici!$L2251,",","."),0))),4)&amp;""),",",".")&amp;", "&amp;CHAR(34)&amp;"flag"&amp;CHAR(34)&amp;": "&amp;SUBSTITUTE(TRIM(ROUND(IFERROR(CriteriTecnici!$M2251*1,IFERROR(NUMBERVALUE(CriteriTecnici!$M2251,".",","),IFERROR(NUMBERVALUE(CriteriTecnici!$M2251,",","."),0))),4)&amp;""),",",".")&amp;", "&amp;CHAR(34)&amp;"rawScore"&amp;CHAR(34)&amp;": "&amp;SUBSTITUTE(TRIM(ROUND(IFERROR(CriteriTecnici!$O2251*1,IFERROR(NUMBERVALUE(CriteriTecnici!$O2251,".",","),IFERROR(NUMBERVALUE(CriteriTecnici!$O2251,",","."),0))),4)&amp;""),",",".")&amp;CHAR(125)&amp;IF(TRUE,",",""))</f>
        <v/>
      </c>
    </row>
    <row r="2353">
      <c r="A2353" s="82">
        <f>IF(CriteriTecnici!$A2252="","","    "&amp;CHAR(123)&amp;CHAR(34)&amp;"bidderId"&amp;CHAR(34)&amp;": "&amp;CHAR(34)&amp;SUBSTITUTE(CriteriTecnici!$A2252,CHAR(34),"'")&amp;CHAR(34)&amp;", "&amp;CHAR(34)&amp;"lotId"&amp;CHAR(34)&amp;": "&amp;CHAR(34)&amp;SUBSTITUTE(CriteriTecnici!$C2252,CHAR(34),"'")&amp;CHAR(34)&amp;", "&amp;CHAR(34)&amp;"criterionId"&amp;CHAR(34)&amp;": "&amp;CHAR(34)&amp;SUBSTITUTE(CriteriTecnici!$D2252,CHAR(34),"'")&amp;CHAR(34)&amp;", "&amp;CHAR(34)&amp;"kind"&amp;CHAR(34)&amp;": "&amp;CHAR(34)&amp;SUBSTITUTE(CriteriTecnici!$F2252,CHAR(34),"'")&amp;CHAR(34)&amp;", "&amp;CHAR(34)&amp;"value"&amp;CHAR(34)&amp;": "&amp;SUBSTITUTE(TRIM(ROUND(IFERROR(CriteriTecnici!$N2252*1,IFERROR(NUMBERVALUE(CriteriTecnici!$N2252,".",","),IFERROR(NUMBERVALUE(CriteriTecnici!$N2252,",","."),0))),4)&amp;""),",",".")&amp;", "&amp;CHAR(34)&amp;"numerator"&amp;CHAR(34)&amp;": "&amp;SUBSTITUTE(TRIM(ROUND(IFERROR(CriteriTecnici!$K2252*1,IFERROR(NUMBERVALUE(CriteriTecnici!$K2252,".",","),IFERROR(NUMBERVALUE(CriteriTecnici!$K2252,",","."),0))),4)&amp;""),",",".")&amp;", "&amp;CHAR(34)&amp;"denominator"&amp;CHAR(34)&amp;": "&amp;SUBSTITUTE(TRIM(ROUND(IFERROR(CriteriTecnici!$L2252*1,IFERROR(NUMBERVALUE(CriteriTecnici!$L2252,".",","),IFERROR(NUMBERVALUE(CriteriTecnici!$L2252,",","."),0))),4)&amp;""),",",".")&amp;", "&amp;CHAR(34)&amp;"flag"&amp;CHAR(34)&amp;": "&amp;SUBSTITUTE(TRIM(ROUND(IFERROR(CriteriTecnici!$M2252*1,IFERROR(NUMBERVALUE(CriteriTecnici!$M2252,".",","),IFERROR(NUMBERVALUE(CriteriTecnici!$M2252,",","."),0))),4)&amp;""),",",".")&amp;", "&amp;CHAR(34)&amp;"rawScore"&amp;CHAR(34)&amp;": "&amp;SUBSTITUTE(TRIM(ROUND(IFERROR(CriteriTecnici!$O2252*1,IFERROR(NUMBERVALUE(CriteriTecnici!$O2252,".",","),IFERROR(NUMBERVALUE(CriteriTecnici!$O2252,",","."),0))),4)&amp;""),",",".")&amp;CHAR(125)&amp;IF(TRUE,",",""))</f>
        <v/>
      </c>
    </row>
    <row r="2354">
      <c r="A2354" s="82">
        <f>IF(CriteriTecnici!$A2253="","","    "&amp;CHAR(123)&amp;CHAR(34)&amp;"bidderId"&amp;CHAR(34)&amp;": "&amp;CHAR(34)&amp;SUBSTITUTE(CriteriTecnici!$A2253,CHAR(34),"'")&amp;CHAR(34)&amp;", "&amp;CHAR(34)&amp;"lotId"&amp;CHAR(34)&amp;": "&amp;CHAR(34)&amp;SUBSTITUTE(CriteriTecnici!$C2253,CHAR(34),"'")&amp;CHAR(34)&amp;", "&amp;CHAR(34)&amp;"criterionId"&amp;CHAR(34)&amp;": "&amp;CHAR(34)&amp;SUBSTITUTE(CriteriTecnici!$D2253,CHAR(34),"'")&amp;CHAR(34)&amp;", "&amp;CHAR(34)&amp;"kind"&amp;CHAR(34)&amp;": "&amp;CHAR(34)&amp;SUBSTITUTE(CriteriTecnici!$F2253,CHAR(34),"'")&amp;CHAR(34)&amp;", "&amp;CHAR(34)&amp;"value"&amp;CHAR(34)&amp;": "&amp;SUBSTITUTE(TRIM(ROUND(IFERROR(CriteriTecnici!$N2253*1,IFERROR(NUMBERVALUE(CriteriTecnici!$N2253,".",","),IFERROR(NUMBERVALUE(CriteriTecnici!$N2253,",","."),0))),4)&amp;""),",",".")&amp;", "&amp;CHAR(34)&amp;"numerator"&amp;CHAR(34)&amp;": "&amp;SUBSTITUTE(TRIM(ROUND(IFERROR(CriteriTecnici!$K2253*1,IFERROR(NUMBERVALUE(CriteriTecnici!$K2253,".",","),IFERROR(NUMBERVALUE(CriteriTecnici!$K2253,",","."),0))),4)&amp;""),",",".")&amp;", "&amp;CHAR(34)&amp;"denominator"&amp;CHAR(34)&amp;": "&amp;SUBSTITUTE(TRIM(ROUND(IFERROR(CriteriTecnici!$L2253*1,IFERROR(NUMBERVALUE(CriteriTecnici!$L2253,".",","),IFERROR(NUMBERVALUE(CriteriTecnici!$L2253,",","."),0))),4)&amp;""),",",".")&amp;", "&amp;CHAR(34)&amp;"flag"&amp;CHAR(34)&amp;": "&amp;SUBSTITUTE(TRIM(ROUND(IFERROR(CriteriTecnici!$M2253*1,IFERROR(NUMBERVALUE(CriteriTecnici!$M2253,".",","),IFERROR(NUMBERVALUE(CriteriTecnici!$M2253,",","."),0))),4)&amp;""),",",".")&amp;", "&amp;CHAR(34)&amp;"rawScore"&amp;CHAR(34)&amp;": "&amp;SUBSTITUTE(TRIM(ROUND(IFERROR(CriteriTecnici!$O2253*1,IFERROR(NUMBERVALUE(CriteriTecnici!$O2253,".",","),IFERROR(NUMBERVALUE(CriteriTecnici!$O2253,",","."),0))),4)&amp;""),",",".")&amp;CHAR(125)&amp;IF(TRUE,",",""))</f>
        <v/>
      </c>
    </row>
    <row r="2355">
      <c r="A2355" s="82">
        <f>IF(CriteriTecnici!$A2254="","","    "&amp;CHAR(123)&amp;CHAR(34)&amp;"bidderId"&amp;CHAR(34)&amp;": "&amp;CHAR(34)&amp;SUBSTITUTE(CriteriTecnici!$A2254,CHAR(34),"'")&amp;CHAR(34)&amp;", "&amp;CHAR(34)&amp;"lotId"&amp;CHAR(34)&amp;": "&amp;CHAR(34)&amp;SUBSTITUTE(CriteriTecnici!$C2254,CHAR(34),"'")&amp;CHAR(34)&amp;", "&amp;CHAR(34)&amp;"criterionId"&amp;CHAR(34)&amp;": "&amp;CHAR(34)&amp;SUBSTITUTE(CriteriTecnici!$D2254,CHAR(34),"'")&amp;CHAR(34)&amp;", "&amp;CHAR(34)&amp;"kind"&amp;CHAR(34)&amp;": "&amp;CHAR(34)&amp;SUBSTITUTE(CriteriTecnici!$F2254,CHAR(34),"'")&amp;CHAR(34)&amp;", "&amp;CHAR(34)&amp;"value"&amp;CHAR(34)&amp;": "&amp;SUBSTITUTE(TRIM(ROUND(IFERROR(CriteriTecnici!$N2254*1,IFERROR(NUMBERVALUE(CriteriTecnici!$N2254,".",","),IFERROR(NUMBERVALUE(CriteriTecnici!$N2254,",","."),0))),4)&amp;""),",",".")&amp;", "&amp;CHAR(34)&amp;"numerator"&amp;CHAR(34)&amp;": "&amp;SUBSTITUTE(TRIM(ROUND(IFERROR(CriteriTecnici!$K2254*1,IFERROR(NUMBERVALUE(CriteriTecnici!$K2254,".",","),IFERROR(NUMBERVALUE(CriteriTecnici!$K2254,",","."),0))),4)&amp;""),",",".")&amp;", "&amp;CHAR(34)&amp;"denominator"&amp;CHAR(34)&amp;": "&amp;SUBSTITUTE(TRIM(ROUND(IFERROR(CriteriTecnici!$L2254*1,IFERROR(NUMBERVALUE(CriteriTecnici!$L2254,".",","),IFERROR(NUMBERVALUE(CriteriTecnici!$L2254,",","."),0))),4)&amp;""),",",".")&amp;", "&amp;CHAR(34)&amp;"flag"&amp;CHAR(34)&amp;": "&amp;SUBSTITUTE(TRIM(ROUND(IFERROR(CriteriTecnici!$M2254*1,IFERROR(NUMBERVALUE(CriteriTecnici!$M2254,".",","),IFERROR(NUMBERVALUE(CriteriTecnici!$M2254,",","."),0))),4)&amp;""),",",".")&amp;", "&amp;CHAR(34)&amp;"rawScore"&amp;CHAR(34)&amp;": "&amp;SUBSTITUTE(TRIM(ROUND(IFERROR(CriteriTecnici!$O2254*1,IFERROR(NUMBERVALUE(CriteriTecnici!$O2254,".",","),IFERROR(NUMBERVALUE(CriteriTecnici!$O2254,",","."),0))),4)&amp;""),",",".")&amp;CHAR(125)&amp;IF(TRUE,",",""))</f>
        <v/>
      </c>
    </row>
    <row r="2356">
      <c r="A2356" s="82">
        <f>IF(CriteriTecnici!$A2255="","","    "&amp;CHAR(123)&amp;CHAR(34)&amp;"bidderId"&amp;CHAR(34)&amp;": "&amp;CHAR(34)&amp;SUBSTITUTE(CriteriTecnici!$A2255,CHAR(34),"'")&amp;CHAR(34)&amp;", "&amp;CHAR(34)&amp;"lotId"&amp;CHAR(34)&amp;": "&amp;CHAR(34)&amp;SUBSTITUTE(CriteriTecnici!$C2255,CHAR(34),"'")&amp;CHAR(34)&amp;", "&amp;CHAR(34)&amp;"criterionId"&amp;CHAR(34)&amp;": "&amp;CHAR(34)&amp;SUBSTITUTE(CriteriTecnici!$D2255,CHAR(34),"'")&amp;CHAR(34)&amp;", "&amp;CHAR(34)&amp;"kind"&amp;CHAR(34)&amp;": "&amp;CHAR(34)&amp;SUBSTITUTE(CriteriTecnici!$F2255,CHAR(34),"'")&amp;CHAR(34)&amp;", "&amp;CHAR(34)&amp;"value"&amp;CHAR(34)&amp;": "&amp;SUBSTITUTE(TRIM(ROUND(IFERROR(CriteriTecnici!$N2255*1,IFERROR(NUMBERVALUE(CriteriTecnici!$N2255,".",","),IFERROR(NUMBERVALUE(CriteriTecnici!$N2255,",","."),0))),4)&amp;""),",",".")&amp;", "&amp;CHAR(34)&amp;"numerator"&amp;CHAR(34)&amp;": "&amp;SUBSTITUTE(TRIM(ROUND(IFERROR(CriteriTecnici!$K2255*1,IFERROR(NUMBERVALUE(CriteriTecnici!$K2255,".",","),IFERROR(NUMBERVALUE(CriteriTecnici!$K2255,",","."),0))),4)&amp;""),",",".")&amp;", "&amp;CHAR(34)&amp;"denominator"&amp;CHAR(34)&amp;": "&amp;SUBSTITUTE(TRIM(ROUND(IFERROR(CriteriTecnici!$L2255*1,IFERROR(NUMBERVALUE(CriteriTecnici!$L2255,".",","),IFERROR(NUMBERVALUE(CriteriTecnici!$L2255,",","."),0))),4)&amp;""),",",".")&amp;", "&amp;CHAR(34)&amp;"flag"&amp;CHAR(34)&amp;": "&amp;SUBSTITUTE(TRIM(ROUND(IFERROR(CriteriTecnici!$M2255*1,IFERROR(NUMBERVALUE(CriteriTecnici!$M2255,".",","),IFERROR(NUMBERVALUE(CriteriTecnici!$M2255,",","."),0))),4)&amp;""),",",".")&amp;", "&amp;CHAR(34)&amp;"rawScore"&amp;CHAR(34)&amp;": "&amp;SUBSTITUTE(TRIM(ROUND(IFERROR(CriteriTecnici!$O2255*1,IFERROR(NUMBERVALUE(CriteriTecnici!$O2255,".",","),IFERROR(NUMBERVALUE(CriteriTecnici!$O2255,",","."),0))),4)&amp;""),",",".")&amp;CHAR(125)&amp;IF(TRUE,",",""))</f>
        <v/>
      </c>
    </row>
    <row r="2357">
      <c r="A2357" s="82">
        <f>IF(CriteriTecnici!$A2256="","","    "&amp;CHAR(123)&amp;CHAR(34)&amp;"bidderId"&amp;CHAR(34)&amp;": "&amp;CHAR(34)&amp;SUBSTITUTE(CriteriTecnici!$A2256,CHAR(34),"'")&amp;CHAR(34)&amp;", "&amp;CHAR(34)&amp;"lotId"&amp;CHAR(34)&amp;": "&amp;CHAR(34)&amp;SUBSTITUTE(CriteriTecnici!$C2256,CHAR(34),"'")&amp;CHAR(34)&amp;", "&amp;CHAR(34)&amp;"criterionId"&amp;CHAR(34)&amp;": "&amp;CHAR(34)&amp;SUBSTITUTE(CriteriTecnici!$D2256,CHAR(34),"'")&amp;CHAR(34)&amp;", "&amp;CHAR(34)&amp;"kind"&amp;CHAR(34)&amp;": "&amp;CHAR(34)&amp;SUBSTITUTE(CriteriTecnici!$F2256,CHAR(34),"'")&amp;CHAR(34)&amp;", "&amp;CHAR(34)&amp;"value"&amp;CHAR(34)&amp;": "&amp;SUBSTITUTE(TRIM(ROUND(IFERROR(CriteriTecnici!$N2256*1,IFERROR(NUMBERVALUE(CriteriTecnici!$N2256,".",","),IFERROR(NUMBERVALUE(CriteriTecnici!$N2256,",","."),0))),4)&amp;""),",",".")&amp;", "&amp;CHAR(34)&amp;"numerator"&amp;CHAR(34)&amp;": "&amp;SUBSTITUTE(TRIM(ROUND(IFERROR(CriteriTecnici!$K2256*1,IFERROR(NUMBERVALUE(CriteriTecnici!$K2256,".",","),IFERROR(NUMBERVALUE(CriteriTecnici!$K2256,",","."),0))),4)&amp;""),",",".")&amp;", "&amp;CHAR(34)&amp;"denominator"&amp;CHAR(34)&amp;": "&amp;SUBSTITUTE(TRIM(ROUND(IFERROR(CriteriTecnici!$L2256*1,IFERROR(NUMBERVALUE(CriteriTecnici!$L2256,".",","),IFERROR(NUMBERVALUE(CriteriTecnici!$L2256,",","."),0))),4)&amp;""),",",".")&amp;", "&amp;CHAR(34)&amp;"flag"&amp;CHAR(34)&amp;": "&amp;SUBSTITUTE(TRIM(ROUND(IFERROR(CriteriTecnici!$M2256*1,IFERROR(NUMBERVALUE(CriteriTecnici!$M2256,".",","),IFERROR(NUMBERVALUE(CriteriTecnici!$M2256,",","."),0))),4)&amp;""),",",".")&amp;", "&amp;CHAR(34)&amp;"rawScore"&amp;CHAR(34)&amp;": "&amp;SUBSTITUTE(TRIM(ROUND(IFERROR(CriteriTecnici!$O2256*1,IFERROR(NUMBERVALUE(CriteriTecnici!$O2256,".",","),IFERROR(NUMBERVALUE(CriteriTecnici!$O2256,",","."),0))),4)&amp;""),",",".")&amp;CHAR(125)&amp;IF(TRUE,",",""))</f>
        <v/>
      </c>
    </row>
    <row r="2358">
      <c r="A2358" s="82">
        <f>IF(CriteriTecnici!$A2257="","","    "&amp;CHAR(123)&amp;CHAR(34)&amp;"bidderId"&amp;CHAR(34)&amp;": "&amp;CHAR(34)&amp;SUBSTITUTE(CriteriTecnici!$A2257,CHAR(34),"'")&amp;CHAR(34)&amp;", "&amp;CHAR(34)&amp;"lotId"&amp;CHAR(34)&amp;": "&amp;CHAR(34)&amp;SUBSTITUTE(CriteriTecnici!$C2257,CHAR(34),"'")&amp;CHAR(34)&amp;", "&amp;CHAR(34)&amp;"criterionId"&amp;CHAR(34)&amp;": "&amp;CHAR(34)&amp;SUBSTITUTE(CriteriTecnici!$D2257,CHAR(34),"'")&amp;CHAR(34)&amp;", "&amp;CHAR(34)&amp;"kind"&amp;CHAR(34)&amp;": "&amp;CHAR(34)&amp;SUBSTITUTE(CriteriTecnici!$F2257,CHAR(34),"'")&amp;CHAR(34)&amp;", "&amp;CHAR(34)&amp;"value"&amp;CHAR(34)&amp;": "&amp;SUBSTITUTE(TRIM(ROUND(IFERROR(CriteriTecnici!$N2257*1,IFERROR(NUMBERVALUE(CriteriTecnici!$N2257,".",","),IFERROR(NUMBERVALUE(CriteriTecnici!$N2257,",","."),0))),4)&amp;""),",",".")&amp;", "&amp;CHAR(34)&amp;"numerator"&amp;CHAR(34)&amp;": "&amp;SUBSTITUTE(TRIM(ROUND(IFERROR(CriteriTecnici!$K2257*1,IFERROR(NUMBERVALUE(CriteriTecnici!$K2257,".",","),IFERROR(NUMBERVALUE(CriteriTecnici!$K2257,",","."),0))),4)&amp;""),",",".")&amp;", "&amp;CHAR(34)&amp;"denominator"&amp;CHAR(34)&amp;": "&amp;SUBSTITUTE(TRIM(ROUND(IFERROR(CriteriTecnici!$L2257*1,IFERROR(NUMBERVALUE(CriteriTecnici!$L2257,".",","),IFERROR(NUMBERVALUE(CriteriTecnici!$L2257,",","."),0))),4)&amp;""),",",".")&amp;", "&amp;CHAR(34)&amp;"flag"&amp;CHAR(34)&amp;": "&amp;SUBSTITUTE(TRIM(ROUND(IFERROR(CriteriTecnici!$M2257*1,IFERROR(NUMBERVALUE(CriteriTecnici!$M2257,".",","),IFERROR(NUMBERVALUE(CriteriTecnici!$M2257,",","."),0))),4)&amp;""),",",".")&amp;", "&amp;CHAR(34)&amp;"rawScore"&amp;CHAR(34)&amp;": "&amp;SUBSTITUTE(TRIM(ROUND(IFERROR(CriteriTecnici!$O2257*1,IFERROR(NUMBERVALUE(CriteriTecnici!$O2257,".",","),IFERROR(NUMBERVALUE(CriteriTecnici!$O2257,",","."),0))),4)&amp;""),",",".")&amp;CHAR(125)&amp;IF(TRUE,",",""))</f>
        <v/>
      </c>
    </row>
    <row r="2359">
      <c r="A2359" s="82">
        <f>IF(CriteriTecnici!$A2258="","","    "&amp;CHAR(123)&amp;CHAR(34)&amp;"bidderId"&amp;CHAR(34)&amp;": "&amp;CHAR(34)&amp;SUBSTITUTE(CriteriTecnici!$A2258,CHAR(34),"'")&amp;CHAR(34)&amp;", "&amp;CHAR(34)&amp;"lotId"&amp;CHAR(34)&amp;": "&amp;CHAR(34)&amp;SUBSTITUTE(CriteriTecnici!$C2258,CHAR(34),"'")&amp;CHAR(34)&amp;", "&amp;CHAR(34)&amp;"criterionId"&amp;CHAR(34)&amp;": "&amp;CHAR(34)&amp;SUBSTITUTE(CriteriTecnici!$D2258,CHAR(34),"'")&amp;CHAR(34)&amp;", "&amp;CHAR(34)&amp;"kind"&amp;CHAR(34)&amp;": "&amp;CHAR(34)&amp;SUBSTITUTE(CriteriTecnici!$F2258,CHAR(34),"'")&amp;CHAR(34)&amp;", "&amp;CHAR(34)&amp;"value"&amp;CHAR(34)&amp;": "&amp;SUBSTITUTE(TRIM(ROUND(IFERROR(CriteriTecnici!$N2258*1,IFERROR(NUMBERVALUE(CriteriTecnici!$N2258,".",","),IFERROR(NUMBERVALUE(CriteriTecnici!$N2258,",","."),0))),4)&amp;""),",",".")&amp;", "&amp;CHAR(34)&amp;"numerator"&amp;CHAR(34)&amp;": "&amp;SUBSTITUTE(TRIM(ROUND(IFERROR(CriteriTecnici!$K2258*1,IFERROR(NUMBERVALUE(CriteriTecnici!$K2258,".",","),IFERROR(NUMBERVALUE(CriteriTecnici!$K2258,",","."),0))),4)&amp;""),",",".")&amp;", "&amp;CHAR(34)&amp;"denominator"&amp;CHAR(34)&amp;": "&amp;SUBSTITUTE(TRIM(ROUND(IFERROR(CriteriTecnici!$L2258*1,IFERROR(NUMBERVALUE(CriteriTecnici!$L2258,".",","),IFERROR(NUMBERVALUE(CriteriTecnici!$L2258,",","."),0))),4)&amp;""),",",".")&amp;", "&amp;CHAR(34)&amp;"flag"&amp;CHAR(34)&amp;": "&amp;SUBSTITUTE(TRIM(ROUND(IFERROR(CriteriTecnici!$M2258*1,IFERROR(NUMBERVALUE(CriteriTecnici!$M2258,".",","),IFERROR(NUMBERVALUE(CriteriTecnici!$M2258,",","."),0))),4)&amp;""),",",".")&amp;", "&amp;CHAR(34)&amp;"rawScore"&amp;CHAR(34)&amp;": "&amp;SUBSTITUTE(TRIM(ROUND(IFERROR(CriteriTecnici!$O2258*1,IFERROR(NUMBERVALUE(CriteriTecnici!$O2258,".",","),IFERROR(NUMBERVALUE(CriteriTecnici!$O2258,",","."),0))),4)&amp;""),",",".")&amp;CHAR(125)&amp;IF(TRUE,",",""))</f>
        <v/>
      </c>
    </row>
    <row r="2360">
      <c r="A2360" s="82">
        <f>IF(CriteriTecnici!$A2259="","","    "&amp;CHAR(123)&amp;CHAR(34)&amp;"bidderId"&amp;CHAR(34)&amp;": "&amp;CHAR(34)&amp;SUBSTITUTE(CriteriTecnici!$A2259,CHAR(34),"'")&amp;CHAR(34)&amp;", "&amp;CHAR(34)&amp;"lotId"&amp;CHAR(34)&amp;": "&amp;CHAR(34)&amp;SUBSTITUTE(CriteriTecnici!$C2259,CHAR(34),"'")&amp;CHAR(34)&amp;", "&amp;CHAR(34)&amp;"criterionId"&amp;CHAR(34)&amp;": "&amp;CHAR(34)&amp;SUBSTITUTE(CriteriTecnici!$D2259,CHAR(34),"'")&amp;CHAR(34)&amp;", "&amp;CHAR(34)&amp;"kind"&amp;CHAR(34)&amp;": "&amp;CHAR(34)&amp;SUBSTITUTE(CriteriTecnici!$F2259,CHAR(34),"'")&amp;CHAR(34)&amp;", "&amp;CHAR(34)&amp;"value"&amp;CHAR(34)&amp;": "&amp;SUBSTITUTE(TRIM(ROUND(IFERROR(CriteriTecnici!$N2259*1,IFERROR(NUMBERVALUE(CriteriTecnici!$N2259,".",","),IFERROR(NUMBERVALUE(CriteriTecnici!$N2259,",","."),0))),4)&amp;""),",",".")&amp;", "&amp;CHAR(34)&amp;"numerator"&amp;CHAR(34)&amp;": "&amp;SUBSTITUTE(TRIM(ROUND(IFERROR(CriteriTecnici!$K2259*1,IFERROR(NUMBERVALUE(CriteriTecnici!$K2259,".",","),IFERROR(NUMBERVALUE(CriteriTecnici!$K2259,",","."),0))),4)&amp;""),",",".")&amp;", "&amp;CHAR(34)&amp;"denominator"&amp;CHAR(34)&amp;": "&amp;SUBSTITUTE(TRIM(ROUND(IFERROR(CriteriTecnici!$L2259*1,IFERROR(NUMBERVALUE(CriteriTecnici!$L2259,".",","),IFERROR(NUMBERVALUE(CriteriTecnici!$L2259,",","."),0))),4)&amp;""),",",".")&amp;", "&amp;CHAR(34)&amp;"flag"&amp;CHAR(34)&amp;": "&amp;SUBSTITUTE(TRIM(ROUND(IFERROR(CriteriTecnici!$M2259*1,IFERROR(NUMBERVALUE(CriteriTecnici!$M2259,".",","),IFERROR(NUMBERVALUE(CriteriTecnici!$M2259,",","."),0))),4)&amp;""),",",".")&amp;", "&amp;CHAR(34)&amp;"rawScore"&amp;CHAR(34)&amp;": "&amp;SUBSTITUTE(TRIM(ROUND(IFERROR(CriteriTecnici!$O2259*1,IFERROR(NUMBERVALUE(CriteriTecnici!$O2259,".",","),IFERROR(NUMBERVALUE(CriteriTecnici!$O2259,",","."),0))),4)&amp;""),",",".")&amp;CHAR(125)&amp;IF(TRUE,",",""))</f>
        <v/>
      </c>
    </row>
    <row r="2361">
      <c r="A2361" s="82">
        <f>IF(CriteriTecnici!$A2260="","","    "&amp;CHAR(123)&amp;CHAR(34)&amp;"bidderId"&amp;CHAR(34)&amp;": "&amp;CHAR(34)&amp;SUBSTITUTE(CriteriTecnici!$A2260,CHAR(34),"'")&amp;CHAR(34)&amp;", "&amp;CHAR(34)&amp;"lotId"&amp;CHAR(34)&amp;": "&amp;CHAR(34)&amp;SUBSTITUTE(CriteriTecnici!$C2260,CHAR(34),"'")&amp;CHAR(34)&amp;", "&amp;CHAR(34)&amp;"criterionId"&amp;CHAR(34)&amp;": "&amp;CHAR(34)&amp;SUBSTITUTE(CriteriTecnici!$D2260,CHAR(34),"'")&amp;CHAR(34)&amp;", "&amp;CHAR(34)&amp;"kind"&amp;CHAR(34)&amp;": "&amp;CHAR(34)&amp;SUBSTITUTE(CriteriTecnici!$F2260,CHAR(34),"'")&amp;CHAR(34)&amp;", "&amp;CHAR(34)&amp;"value"&amp;CHAR(34)&amp;": "&amp;SUBSTITUTE(TRIM(ROUND(IFERROR(CriteriTecnici!$N2260*1,IFERROR(NUMBERVALUE(CriteriTecnici!$N2260,".",","),IFERROR(NUMBERVALUE(CriteriTecnici!$N2260,",","."),0))),4)&amp;""),",",".")&amp;", "&amp;CHAR(34)&amp;"numerator"&amp;CHAR(34)&amp;": "&amp;SUBSTITUTE(TRIM(ROUND(IFERROR(CriteriTecnici!$K2260*1,IFERROR(NUMBERVALUE(CriteriTecnici!$K2260,".",","),IFERROR(NUMBERVALUE(CriteriTecnici!$K2260,",","."),0))),4)&amp;""),",",".")&amp;", "&amp;CHAR(34)&amp;"denominator"&amp;CHAR(34)&amp;": "&amp;SUBSTITUTE(TRIM(ROUND(IFERROR(CriteriTecnici!$L2260*1,IFERROR(NUMBERVALUE(CriteriTecnici!$L2260,".",","),IFERROR(NUMBERVALUE(CriteriTecnici!$L2260,",","."),0))),4)&amp;""),",",".")&amp;", "&amp;CHAR(34)&amp;"flag"&amp;CHAR(34)&amp;": "&amp;SUBSTITUTE(TRIM(ROUND(IFERROR(CriteriTecnici!$M2260*1,IFERROR(NUMBERVALUE(CriteriTecnici!$M2260,".",","),IFERROR(NUMBERVALUE(CriteriTecnici!$M2260,",","."),0))),4)&amp;""),",",".")&amp;", "&amp;CHAR(34)&amp;"rawScore"&amp;CHAR(34)&amp;": "&amp;SUBSTITUTE(TRIM(ROUND(IFERROR(CriteriTecnici!$O2260*1,IFERROR(NUMBERVALUE(CriteriTecnici!$O2260,".",","),IFERROR(NUMBERVALUE(CriteriTecnici!$O2260,",","."),0))),4)&amp;""),",",".")&amp;CHAR(125)&amp;IF(TRUE,",",""))</f>
        <v/>
      </c>
    </row>
    <row r="2362">
      <c r="A2362" s="82">
        <f>IF(CriteriTecnici!$A2261="","","    "&amp;CHAR(123)&amp;CHAR(34)&amp;"bidderId"&amp;CHAR(34)&amp;": "&amp;CHAR(34)&amp;SUBSTITUTE(CriteriTecnici!$A2261,CHAR(34),"'")&amp;CHAR(34)&amp;", "&amp;CHAR(34)&amp;"lotId"&amp;CHAR(34)&amp;": "&amp;CHAR(34)&amp;SUBSTITUTE(CriteriTecnici!$C2261,CHAR(34),"'")&amp;CHAR(34)&amp;", "&amp;CHAR(34)&amp;"criterionId"&amp;CHAR(34)&amp;": "&amp;CHAR(34)&amp;SUBSTITUTE(CriteriTecnici!$D2261,CHAR(34),"'")&amp;CHAR(34)&amp;", "&amp;CHAR(34)&amp;"kind"&amp;CHAR(34)&amp;": "&amp;CHAR(34)&amp;SUBSTITUTE(CriteriTecnici!$F2261,CHAR(34),"'")&amp;CHAR(34)&amp;", "&amp;CHAR(34)&amp;"value"&amp;CHAR(34)&amp;": "&amp;SUBSTITUTE(TRIM(ROUND(IFERROR(CriteriTecnici!$N2261*1,IFERROR(NUMBERVALUE(CriteriTecnici!$N2261,".",","),IFERROR(NUMBERVALUE(CriteriTecnici!$N2261,",","."),0))),4)&amp;""),",",".")&amp;", "&amp;CHAR(34)&amp;"numerator"&amp;CHAR(34)&amp;": "&amp;SUBSTITUTE(TRIM(ROUND(IFERROR(CriteriTecnici!$K2261*1,IFERROR(NUMBERVALUE(CriteriTecnici!$K2261,".",","),IFERROR(NUMBERVALUE(CriteriTecnici!$K2261,",","."),0))),4)&amp;""),",",".")&amp;", "&amp;CHAR(34)&amp;"denominator"&amp;CHAR(34)&amp;": "&amp;SUBSTITUTE(TRIM(ROUND(IFERROR(CriteriTecnici!$L2261*1,IFERROR(NUMBERVALUE(CriteriTecnici!$L2261,".",","),IFERROR(NUMBERVALUE(CriteriTecnici!$L2261,",","."),0))),4)&amp;""),",",".")&amp;", "&amp;CHAR(34)&amp;"flag"&amp;CHAR(34)&amp;": "&amp;SUBSTITUTE(TRIM(ROUND(IFERROR(CriteriTecnici!$M2261*1,IFERROR(NUMBERVALUE(CriteriTecnici!$M2261,".",","),IFERROR(NUMBERVALUE(CriteriTecnici!$M2261,",","."),0))),4)&amp;""),",",".")&amp;", "&amp;CHAR(34)&amp;"rawScore"&amp;CHAR(34)&amp;": "&amp;SUBSTITUTE(TRIM(ROUND(IFERROR(CriteriTecnici!$O2261*1,IFERROR(NUMBERVALUE(CriteriTecnici!$O2261,".",","),IFERROR(NUMBERVALUE(CriteriTecnici!$O2261,",","."),0))),4)&amp;""),",",".")&amp;CHAR(125)&amp;IF(TRUE,",",""))</f>
        <v/>
      </c>
    </row>
    <row r="2363">
      <c r="A2363" s="82">
        <f>IF(CriteriTecnici!$A2262="","","    "&amp;CHAR(123)&amp;CHAR(34)&amp;"bidderId"&amp;CHAR(34)&amp;": "&amp;CHAR(34)&amp;SUBSTITUTE(CriteriTecnici!$A2262,CHAR(34),"'")&amp;CHAR(34)&amp;", "&amp;CHAR(34)&amp;"lotId"&amp;CHAR(34)&amp;": "&amp;CHAR(34)&amp;SUBSTITUTE(CriteriTecnici!$C2262,CHAR(34),"'")&amp;CHAR(34)&amp;", "&amp;CHAR(34)&amp;"criterionId"&amp;CHAR(34)&amp;": "&amp;CHAR(34)&amp;SUBSTITUTE(CriteriTecnici!$D2262,CHAR(34),"'")&amp;CHAR(34)&amp;", "&amp;CHAR(34)&amp;"kind"&amp;CHAR(34)&amp;": "&amp;CHAR(34)&amp;SUBSTITUTE(CriteriTecnici!$F2262,CHAR(34),"'")&amp;CHAR(34)&amp;", "&amp;CHAR(34)&amp;"value"&amp;CHAR(34)&amp;": "&amp;SUBSTITUTE(TRIM(ROUND(IFERROR(CriteriTecnici!$N2262*1,IFERROR(NUMBERVALUE(CriteriTecnici!$N2262,".",","),IFERROR(NUMBERVALUE(CriteriTecnici!$N2262,",","."),0))),4)&amp;""),",",".")&amp;", "&amp;CHAR(34)&amp;"numerator"&amp;CHAR(34)&amp;": "&amp;SUBSTITUTE(TRIM(ROUND(IFERROR(CriteriTecnici!$K2262*1,IFERROR(NUMBERVALUE(CriteriTecnici!$K2262,".",","),IFERROR(NUMBERVALUE(CriteriTecnici!$K2262,",","."),0))),4)&amp;""),",",".")&amp;", "&amp;CHAR(34)&amp;"denominator"&amp;CHAR(34)&amp;": "&amp;SUBSTITUTE(TRIM(ROUND(IFERROR(CriteriTecnici!$L2262*1,IFERROR(NUMBERVALUE(CriteriTecnici!$L2262,".",","),IFERROR(NUMBERVALUE(CriteriTecnici!$L2262,",","."),0))),4)&amp;""),",",".")&amp;", "&amp;CHAR(34)&amp;"flag"&amp;CHAR(34)&amp;": "&amp;SUBSTITUTE(TRIM(ROUND(IFERROR(CriteriTecnici!$M2262*1,IFERROR(NUMBERVALUE(CriteriTecnici!$M2262,".",","),IFERROR(NUMBERVALUE(CriteriTecnici!$M2262,",","."),0))),4)&amp;""),",",".")&amp;", "&amp;CHAR(34)&amp;"rawScore"&amp;CHAR(34)&amp;": "&amp;SUBSTITUTE(TRIM(ROUND(IFERROR(CriteriTecnici!$O2262*1,IFERROR(NUMBERVALUE(CriteriTecnici!$O2262,".",","),IFERROR(NUMBERVALUE(CriteriTecnici!$O2262,",","."),0))),4)&amp;""),",",".")&amp;CHAR(125)&amp;IF(TRUE,",",""))</f>
        <v/>
      </c>
    </row>
    <row r="2364">
      <c r="A2364" s="82">
        <f>IF(CriteriTecnici!$A2263="","","    "&amp;CHAR(123)&amp;CHAR(34)&amp;"bidderId"&amp;CHAR(34)&amp;": "&amp;CHAR(34)&amp;SUBSTITUTE(CriteriTecnici!$A2263,CHAR(34),"'")&amp;CHAR(34)&amp;", "&amp;CHAR(34)&amp;"lotId"&amp;CHAR(34)&amp;": "&amp;CHAR(34)&amp;SUBSTITUTE(CriteriTecnici!$C2263,CHAR(34),"'")&amp;CHAR(34)&amp;", "&amp;CHAR(34)&amp;"criterionId"&amp;CHAR(34)&amp;": "&amp;CHAR(34)&amp;SUBSTITUTE(CriteriTecnici!$D2263,CHAR(34),"'")&amp;CHAR(34)&amp;", "&amp;CHAR(34)&amp;"kind"&amp;CHAR(34)&amp;": "&amp;CHAR(34)&amp;SUBSTITUTE(CriteriTecnici!$F2263,CHAR(34),"'")&amp;CHAR(34)&amp;", "&amp;CHAR(34)&amp;"value"&amp;CHAR(34)&amp;": "&amp;SUBSTITUTE(TRIM(ROUND(IFERROR(CriteriTecnici!$N2263*1,IFERROR(NUMBERVALUE(CriteriTecnici!$N2263,".",","),IFERROR(NUMBERVALUE(CriteriTecnici!$N2263,",","."),0))),4)&amp;""),",",".")&amp;", "&amp;CHAR(34)&amp;"numerator"&amp;CHAR(34)&amp;": "&amp;SUBSTITUTE(TRIM(ROUND(IFERROR(CriteriTecnici!$K2263*1,IFERROR(NUMBERVALUE(CriteriTecnici!$K2263,".",","),IFERROR(NUMBERVALUE(CriteriTecnici!$K2263,",","."),0))),4)&amp;""),",",".")&amp;", "&amp;CHAR(34)&amp;"denominator"&amp;CHAR(34)&amp;": "&amp;SUBSTITUTE(TRIM(ROUND(IFERROR(CriteriTecnici!$L2263*1,IFERROR(NUMBERVALUE(CriteriTecnici!$L2263,".",","),IFERROR(NUMBERVALUE(CriteriTecnici!$L2263,",","."),0))),4)&amp;""),",",".")&amp;", "&amp;CHAR(34)&amp;"flag"&amp;CHAR(34)&amp;": "&amp;SUBSTITUTE(TRIM(ROUND(IFERROR(CriteriTecnici!$M2263*1,IFERROR(NUMBERVALUE(CriteriTecnici!$M2263,".",","),IFERROR(NUMBERVALUE(CriteriTecnici!$M2263,",","."),0))),4)&amp;""),",",".")&amp;", "&amp;CHAR(34)&amp;"rawScore"&amp;CHAR(34)&amp;": "&amp;SUBSTITUTE(TRIM(ROUND(IFERROR(CriteriTecnici!$O2263*1,IFERROR(NUMBERVALUE(CriteriTecnici!$O2263,".",","),IFERROR(NUMBERVALUE(CriteriTecnici!$O2263,",","."),0))),4)&amp;""),",",".")&amp;CHAR(125)&amp;IF(TRUE,",",""))</f>
        <v/>
      </c>
    </row>
    <row r="2365">
      <c r="A2365" s="82">
        <f>IF(CriteriTecnici!$A2264="","","    "&amp;CHAR(123)&amp;CHAR(34)&amp;"bidderId"&amp;CHAR(34)&amp;": "&amp;CHAR(34)&amp;SUBSTITUTE(CriteriTecnici!$A2264,CHAR(34),"'")&amp;CHAR(34)&amp;", "&amp;CHAR(34)&amp;"lotId"&amp;CHAR(34)&amp;": "&amp;CHAR(34)&amp;SUBSTITUTE(CriteriTecnici!$C2264,CHAR(34),"'")&amp;CHAR(34)&amp;", "&amp;CHAR(34)&amp;"criterionId"&amp;CHAR(34)&amp;": "&amp;CHAR(34)&amp;SUBSTITUTE(CriteriTecnici!$D2264,CHAR(34),"'")&amp;CHAR(34)&amp;", "&amp;CHAR(34)&amp;"kind"&amp;CHAR(34)&amp;": "&amp;CHAR(34)&amp;SUBSTITUTE(CriteriTecnici!$F2264,CHAR(34),"'")&amp;CHAR(34)&amp;", "&amp;CHAR(34)&amp;"value"&amp;CHAR(34)&amp;": "&amp;SUBSTITUTE(TRIM(ROUND(IFERROR(CriteriTecnici!$N2264*1,IFERROR(NUMBERVALUE(CriteriTecnici!$N2264,".",","),IFERROR(NUMBERVALUE(CriteriTecnici!$N2264,",","."),0))),4)&amp;""),",",".")&amp;", "&amp;CHAR(34)&amp;"numerator"&amp;CHAR(34)&amp;": "&amp;SUBSTITUTE(TRIM(ROUND(IFERROR(CriteriTecnici!$K2264*1,IFERROR(NUMBERVALUE(CriteriTecnici!$K2264,".",","),IFERROR(NUMBERVALUE(CriteriTecnici!$K2264,",","."),0))),4)&amp;""),",",".")&amp;", "&amp;CHAR(34)&amp;"denominator"&amp;CHAR(34)&amp;": "&amp;SUBSTITUTE(TRIM(ROUND(IFERROR(CriteriTecnici!$L2264*1,IFERROR(NUMBERVALUE(CriteriTecnici!$L2264,".",","),IFERROR(NUMBERVALUE(CriteriTecnici!$L2264,",","."),0))),4)&amp;""),",",".")&amp;", "&amp;CHAR(34)&amp;"flag"&amp;CHAR(34)&amp;": "&amp;SUBSTITUTE(TRIM(ROUND(IFERROR(CriteriTecnici!$M2264*1,IFERROR(NUMBERVALUE(CriteriTecnici!$M2264,".",","),IFERROR(NUMBERVALUE(CriteriTecnici!$M2264,",","."),0))),4)&amp;""),",",".")&amp;", "&amp;CHAR(34)&amp;"rawScore"&amp;CHAR(34)&amp;": "&amp;SUBSTITUTE(TRIM(ROUND(IFERROR(CriteriTecnici!$O2264*1,IFERROR(NUMBERVALUE(CriteriTecnici!$O2264,".",","),IFERROR(NUMBERVALUE(CriteriTecnici!$O2264,",","."),0))),4)&amp;""),",",".")&amp;CHAR(125)&amp;IF(TRUE,",",""))</f>
        <v/>
      </c>
    </row>
    <row r="2366">
      <c r="A2366" s="82">
        <f>IF(CriteriTecnici!$A2265="","","    "&amp;CHAR(123)&amp;CHAR(34)&amp;"bidderId"&amp;CHAR(34)&amp;": "&amp;CHAR(34)&amp;SUBSTITUTE(CriteriTecnici!$A2265,CHAR(34),"'")&amp;CHAR(34)&amp;", "&amp;CHAR(34)&amp;"lotId"&amp;CHAR(34)&amp;": "&amp;CHAR(34)&amp;SUBSTITUTE(CriteriTecnici!$C2265,CHAR(34),"'")&amp;CHAR(34)&amp;", "&amp;CHAR(34)&amp;"criterionId"&amp;CHAR(34)&amp;": "&amp;CHAR(34)&amp;SUBSTITUTE(CriteriTecnici!$D2265,CHAR(34),"'")&amp;CHAR(34)&amp;", "&amp;CHAR(34)&amp;"kind"&amp;CHAR(34)&amp;": "&amp;CHAR(34)&amp;SUBSTITUTE(CriteriTecnici!$F2265,CHAR(34),"'")&amp;CHAR(34)&amp;", "&amp;CHAR(34)&amp;"value"&amp;CHAR(34)&amp;": "&amp;SUBSTITUTE(TRIM(ROUND(IFERROR(CriteriTecnici!$N2265*1,IFERROR(NUMBERVALUE(CriteriTecnici!$N2265,".",","),IFERROR(NUMBERVALUE(CriteriTecnici!$N2265,",","."),0))),4)&amp;""),",",".")&amp;", "&amp;CHAR(34)&amp;"numerator"&amp;CHAR(34)&amp;": "&amp;SUBSTITUTE(TRIM(ROUND(IFERROR(CriteriTecnici!$K2265*1,IFERROR(NUMBERVALUE(CriteriTecnici!$K2265,".",","),IFERROR(NUMBERVALUE(CriteriTecnici!$K2265,",","."),0))),4)&amp;""),",",".")&amp;", "&amp;CHAR(34)&amp;"denominator"&amp;CHAR(34)&amp;": "&amp;SUBSTITUTE(TRIM(ROUND(IFERROR(CriteriTecnici!$L2265*1,IFERROR(NUMBERVALUE(CriteriTecnici!$L2265,".",","),IFERROR(NUMBERVALUE(CriteriTecnici!$L2265,",","."),0))),4)&amp;""),",",".")&amp;", "&amp;CHAR(34)&amp;"flag"&amp;CHAR(34)&amp;": "&amp;SUBSTITUTE(TRIM(ROUND(IFERROR(CriteriTecnici!$M2265*1,IFERROR(NUMBERVALUE(CriteriTecnici!$M2265,".",","),IFERROR(NUMBERVALUE(CriteriTecnici!$M2265,",","."),0))),4)&amp;""),",",".")&amp;", "&amp;CHAR(34)&amp;"rawScore"&amp;CHAR(34)&amp;": "&amp;SUBSTITUTE(TRIM(ROUND(IFERROR(CriteriTecnici!$O2265*1,IFERROR(NUMBERVALUE(CriteriTecnici!$O2265,".",","),IFERROR(NUMBERVALUE(CriteriTecnici!$O2265,",","."),0))),4)&amp;""),",",".")&amp;CHAR(125)&amp;IF(TRUE,",",""))</f>
        <v/>
      </c>
    </row>
    <row r="2367">
      <c r="A2367" s="82">
        <f>IF(CriteriTecnici!$A2266="","","    "&amp;CHAR(123)&amp;CHAR(34)&amp;"bidderId"&amp;CHAR(34)&amp;": "&amp;CHAR(34)&amp;SUBSTITUTE(CriteriTecnici!$A2266,CHAR(34),"'")&amp;CHAR(34)&amp;", "&amp;CHAR(34)&amp;"lotId"&amp;CHAR(34)&amp;": "&amp;CHAR(34)&amp;SUBSTITUTE(CriteriTecnici!$C2266,CHAR(34),"'")&amp;CHAR(34)&amp;", "&amp;CHAR(34)&amp;"criterionId"&amp;CHAR(34)&amp;": "&amp;CHAR(34)&amp;SUBSTITUTE(CriteriTecnici!$D2266,CHAR(34),"'")&amp;CHAR(34)&amp;", "&amp;CHAR(34)&amp;"kind"&amp;CHAR(34)&amp;": "&amp;CHAR(34)&amp;SUBSTITUTE(CriteriTecnici!$F2266,CHAR(34),"'")&amp;CHAR(34)&amp;", "&amp;CHAR(34)&amp;"value"&amp;CHAR(34)&amp;": "&amp;SUBSTITUTE(TRIM(ROUND(IFERROR(CriteriTecnici!$N2266*1,IFERROR(NUMBERVALUE(CriteriTecnici!$N2266,".",","),IFERROR(NUMBERVALUE(CriteriTecnici!$N2266,",","."),0))),4)&amp;""),",",".")&amp;", "&amp;CHAR(34)&amp;"numerator"&amp;CHAR(34)&amp;": "&amp;SUBSTITUTE(TRIM(ROUND(IFERROR(CriteriTecnici!$K2266*1,IFERROR(NUMBERVALUE(CriteriTecnici!$K2266,".",","),IFERROR(NUMBERVALUE(CriteriTecnici!$K2266,",","."),0))),4)&amp;""),",",".")&amp;", "&amp;CHAR(34)&amp;"denominator"&amp;CHAR(34)&amp;": "&amp;SUBSTITUTE(TRIM(ROUND(IFERROR(CriteriTecnici!$L2266*1,IFERROR(NUMBERVALUE(CriteriTecnici!$L2266,".",","),IFERROR(NUMBERVALUE(CriteriTecnici!$L2266,",","."),0))),4)&amp;""),",",".")&amp;", "&amp;CHAR(34)&amp;"flag"&amp;CHAR(34)&amp;": "&amp;SUBSTITUTE(TRIM(ROUND(IFERROR(CriteriTecnici!$M2266*1,IFERROR(NUMBERVALUE(CriteriTecnici!$M2266,".",","),IFERROR(NUMBERVALUE(CriteriTecnici!$M2266,",","."),0))),4)&amp;""),",",".")&amp;", "&amp;CHAR(34)&amp;"rawScore"&amp;CHAR(34)&amp;": "&amp;SUBSTITUTE(TRIM(ROUND(IFERROR(CriteriTecnici!$O2266*1,IFERROR(NUMBERVALUE(CriteriTecnici!$O2266,".",","),IFERROR(NUMBERVALUE(CriteriTecnici!$O2266,",","."),0))),4)&amp;""),",",".")&amp;CHAR(125)&amp;IF(TRUE,",",""))</f>
        <v/>
      </c>
    </row>
    <row r="2368">
      <c r="A2368" s="82">
        <f>IF(CriteriTecnici!$A2267="","","    "&amp;CHAR(123)&amp;CHAR(34)&amp;"bidderId"&amp;CHAR(34)&amp;": "&amp;CHAR(34)&amp;SUBSTITUTE(CriteriTecnici!$A2267,CHAR(34),"'")&amp;CHAR(34)&amp;", "&amp;CHAR(34)&amp;"lotId"&amp;CHAR(34)&amp;": "&amp;CHAR(34)&amp;SUBSTITUTE(CriteriTecnici!$C2267,CHAR(34),"'")&amp;CHAR(34)&amp;", "&amp;CHAR(34)&amp;"criterionId"&amp;CHAR(34)&amp;": "&amp;CHAR(34)&amp;SUBSTITUTE(CriteriTecnici!$D2267,CHAR(34),"'")&amp;CHAR(34)&amp;", "&amp;CHAR(34)&amp;"kind"&amp;CHAR(34)&amp;": "&amp;CHAR(34)&amp;SUBSTITUTE(CriteriTecnici!$F2267,CHAR(34),"'")&amp;CHAR(34)&amp;", "&amp;CHAR(34)&amp;"value"&amp;CHAR(34)&amp;": "&amp;SUBSTITUTE(TRIM(ROUND(IFERROR(CriteriTecnici!$N2267*1,IFERROR(NUMBERVALUE(CriteriTecnici!$N2267,".",","),IFERROR(NUMBERVALUE(CriteriTecnici!$N2267,",","."),0))),4)&amp;""),",",".")&amp;", "&amp;CHAR(34)&amp;"numerator"&amp;CHAR(34)&amp;": "&amp;SUBSTITUTE(TRIM(ROUND(IFERROR(CriteriTecnici!$K2267*1,IFERROR(NUMBERVALUE(CriteriTecnici!$K2267,".",","),IFERROR(NUMBERVALUE(CriteriTecnici!$K2267,",","."),0))),4)&amp;""),",",".")&amp;", "&amp;CHAR(34)&amp;"denominator"&amp;CHAR(34)&amp;": "&amp;SUBSTITUTE(TRIM(ROUND(IFERROR(CriteriTecnici!$L2267*1,IFERROR(NUMBERVALUE(CriteriTecnici!$L2267,".",","),IFERROR(NUMBERVALUE(CriteriTecnici!$L2267,",","."),0))),4)&amp;""),",",".")&amp;", "&amp;CHAR(34)&amp;"flag"&amp;CHAR(34)&amp;": "&amp;SUBSTITUTE(TRIM(ROUND(IFERROR(CriteriTecnici!$M2267*1,IFERROR(NUMBERVALUE(CriteriTecnici!$M2267,".",","),IFERROR(NUMBERVALUE(CriteriTecnici!$M2267,",","."),0))),4)&amp;""),",",".")&amp;", "&amp;CHAR(34)&amp;"rawScore"&amp;CHAR(34)&amp;": "&amp;SUBSTITUTE(TRIM(ROUND(IFERROR(CriteriTecnici!$O2267*1,IFERROR(NUMBERVALUE(CriteriTecnici!$O2267,".",","),IFERROR(NUMBERVALUE(CriteriTecnici!$O2267,",","."),0))),4)&amp;""),",",".")&amp;CHAR(125)&amp;IF(COUNTA(Offerte!$A75:$A$81)&gt;0,",",""))</f>
        <v/>
      </c>
    </row>
    <row r="2369">
      <c r="A2369" s="82">
        <f>IF(CriteriTecnici!$A2268="","","    "&amp;CHAR(123)&amp;CHAR(34)&amp;"bidderId"&amp;CHAR(34)&amp;": "&amp;CHAR(34)&amp;SUBSTITUTE(CriteriTecnici!$A2268,CHAR(34),"'")&amp;CHAR(34)&amp;", "&amp;CHAR(34)&amp;"lotId"&amp;CHAR(34)&amp;": "&amp;CHAR(34)&amp;SUBSTITUTE(CriteriTecnici!$C2268,CHAR(34),"'")&amp;CHAR(34)&amp;", "&amp;CHAR(34)&amp;"criterionId"&amp;CHAR(34)&amp;": "&amp;CHAR(34)&amp;SUBSTITUTE(CriteriTecnici!$D2268,CHAR(34),"'")&amp;CHAR(34)&amp;", "&amp;CHAR(34)&amp;"kind"&amp;CHAR(34)&amp;": "&amp;CHAR(34)&amp;SUBSTITUTE(CriteriTecnici!$F2268,CHAR(34),"'")&amp;CHAR(34)&amp;", "&amp;CHAR(34)&amp;"value"&amp;CHAR(34)&amp;": "&amp;SUBSTITUTE(TRIM(ROUND(IFERROR(CriteriTecnici!$N2268*1,IFERROR(NUMBERVALUE(CriteriTecnici!$N2268,".",","),IFERROR(NUMBERVALUE(CriteriTecnici!$N2268,",","."),0))),4)&amp;""),",",".")&amp;", "&amp;CHAR(34)&amp;"numerator"&amp;CHAR(34)&amp;": "&amp;SUBSTITUTE(TRIM(ROUND(IFERROR(CriteriTecnici!$K2268*1,IFERROR(NUMBERVALUE(CriteriTecnici!$K2268,".",","),IFERROR(NUMBERVALUE(CriteriTecnici!$K2268,",","."),0))),4)&amp;""),",",".")&amp;", "&amp;CHAR(34)&amp;"denominator"&amp;CHAR(34)&amp;": "&amp;SUBSTITUTE(TRIM(ROUND(IFERROR(CriteriTecnici!$L2268*1,IFERROR(NUMBERVALUE(CriteriTecnici!$L2268,".",","),IFERROR(NUMBERVALUE(CriteriTecnici!$L2268,",","."),0))),4)&amp;""),",",".")&amp;", "&amp;CHAR(34)&amp;"flag"&amp;CHAR(34)&amp;": "&amp;SUBSTITUTE(TRIM(ROUND(IFERROR(CriteriTecnici!$M2268*1,IFERROR(NUMBERVALUE(CriteriTecnici!$M2268,".",","),IFERROR(NUMBERVALUE(CriteriTecnici!$M2268,",","."),0))),4)&amp;""),",",".")&amp;", "&amp;CHAR(34)&amp;"rawScore"&amp;CHAR(34)&amp;": "&amp;SUBSTITUTE(TRIM(ROUND(IFERROR(CriteriTecnici!$O2268*1,IFERROR(NUMBERVALUE(CriteriTecnici!$O2268,".",","),IFERROR(NUMBERVALUE(CriteriTecnici!$O2268,",","."),0))),4)&amp;""),",",".")&amp;CHAR(125)&amp;IF(TRUE,",",""))</f>
        <v/>
      </c>
    </row>
    <row r="2370">
      <c r="A2370" s="82">
        <f>IF(CriteriTecnici!$A2269="","","    "&amp;CHAR(123)&amp;CHAR(34)&amp;"bidderId"&amp;CHAR(34)&amp;": "&amp;CHAR(34)&amp;SUBSTITUTE(CriteriTecnici!$A2269,CHAR(34),"'")&amp;CHAR(34)&amp;", "&amp;CHAR(34)&amp;"lotId"&amp;CHAR(34)&amp;": "&amp;CHAR(34)&amp;SUBSTITUTE(CriteriTecnici!$C2269,CHAR(34),"'")&amp;CHAR(34)&amp;", "&amp;CHAR(34)&amp;"criterionId"&amp;CHAR(34)&amp;": "&amp;CHAR(34)&amp;SUBSTITUTE(CriteriTecnici!$D2269,CHAR(34),"'")&amp;CHAR(34)&amp;", "&amp;CHAR(34)&amp;"kind"&amp;CHAR(34)&amp;": "&amp;CHAR(34)&amp;SUBSTITUTE(CriteriTecnici!$F2269,CHAR(34),"'")&amp;CHAR(34)&amp;", "&amp;CHAR(34)&amp;"value"&amp;CHAR(34)&amp;": "&amp;SUBSTITUTE(TRIM(ROUND(IFERROR(CriteriTecnici!$N2269*1,IFERROR(NUMBERVALUE(CriteriTecnici!$N2269,".",","),IFERROR(NUMBERVALUE(CriteriTecnici!$N2269,",","."),0))),4)&amp;""),",",".")&amp;", "&amp;CHAR(34)&amp;"numerator"&amp;CHAR(34)&amp;": "&amp;SUBSTITUTE(TRIM(ROUND(IFERROR(CriteriTecnici!$K2269*1,IFERROR(NUMBERVALUE(CriteriTecnici!$K2269,".",","),IFERROR(NUMBERVALUE(CriteriTecnici!$K2269,",","."),0))),4)&amp;""),",",".")&amp;", "&amp;CHAR(34)&amp;"denominator"&amp;CHAR(34)&amp;": "&amp;SUBSTITUTE(TRIM(ROUND(IFERROR(CriteriTecnici!$L2269*1,IFERROR(NUMBERVALUE(CriteriTecnici!$L2269,".",","),IFERROR(NUMBERVALUE(CriteriTecnici!$L2269,",","."),0))),4)&amp;""),",",".")&amp;", "&amp;CHAR(34)&amp;"flag"&amp;CHAR(34)&amp;": "&amp;SUBSTITUTE(TRIM(ROUND(IFERROR(CriteriTecnici!$M2269*1,IFERROR(NUMBERVALUE(CriteriTecnici!$M2269,".",","),IFERROR(NUMBERVALUE(CriteriTecnici!$M2269,",","."),0))),4)&amp;""),",",".")&amp;", "&amp;CHAR(34)&amp;"rawScore"&amp;CHAR(34)&amp;": "&amp;SUBSTITUTE(TRIM(ROUND(IFERROR(CriteriTecnici!$O2269*1,IFERROR(NUMBERVALUE(CriteriTecnici!$O2269,".",","),IFERROR(NUMBERVALUE(CriteriTecnici!$O2269,",","."),0))),4)&amp;""),",",".")&amp;CHAR(125)&amp;IF(TRUE,",",""))</f>
        <v/>
      </c>
    </row>
    <row r="2371">
      <c r="A2371" s="82">
        <f>IF(CriteriTecnici!$A2270="","","    "&amp;CHAR(123)&amp;CHAR(34)&amp;"bidderId"&amp;CHAR(34)&amp;": "&amp;CHAR(34)&amp;SUBSTITUTE(CriteriTecnici!$A2270,CHAR(34),"'")&amp;CHAR(34)&amp;", "&amp;CHAR(34)&amp;"lotId"&amp;CHAR(34)&amp;": "&amp;CHAR(34)&amp;SUBSTITUTE(CriteriTecnici!$C2270,CHAR(34),"'")&amp;CHAR(34)&amp;", "&amp;CHAR(34)&amp;"criterionId"&amp;CHAR(34)&amp;": "&amp;CHAR(34)&amp;SUBSTITUTE(CriteriTecnici!$D2270,CHAR(34),"'")&amp;CHAR(34)&amp;", "&amp;CHAR(34)&amp;"kind"&amp;CHAR(34)&amp;": "&amp;CHAR(34)&amp;SUBSTITUTE(CriteriTecnici!$F2270,CHAR(34),"'")&amp;CHAR(34)&amp;", "&amp;CHAR(34)&amp;"value"&amp;CHAR(34)&amp;": "&amp;SUBSTITUTE(TRIM(ROUND(IFERROR(CriteriTecnici!$N2270*1,IFERROR(NUMBERVALUE(CriteriTecnici!$N2270,".",","),IFERROR(NUMBERVALUE(CriteriTecnici!$N2270,",","."),0))),4)&amp;""),",",".")&amp;", "&amp;CHAR(34)&amp;"numerator"&amp;CHAR(34)&amp;": "&amp;SUBSTITUTE(TRIM(ROUND(IFERROR(CriteriTecnici!$K2270*1,IFERROR(NUMBERVALUE(CriteriTecnici!$K2270,".",","),IFERROR(NUMBERVALUE(CriteriTecnici!$K2270,",","."),0))),4)&amp;""),",",".")&amp;", "&amp;CHAR(34)&amp;"denominator"&amp;CHAR(34)&amp;": "&amp;SUBSTITUTE(TRIM(ROUND(IFERROR(CriteriTecnici!$L2270*1,IFERROR(NUMBERVALUE(CriteriTecnici!$L2270,".",","),IFERROR(NUMBERVALUE(CriteriTecnici!$L2270,",","."),0))),4)&amp;""),",",".")&amp;", "&amp;CHAR(34)&amp;"flag"&amp;CHAR(34)&amp;": "&amp;SUBSTITUTE(TRIM(ROUND(IFERROR(CriteriTecnici!$M2270*1,IFERROR(NUMBERVALUE(CriteriTecnici!$M2270,".",","),IFERROR(NUMBERVALUE(CriteriTecnici!$M2270,",","."),0))),4)&amp;""),",",".")&amp;", "&amp;CHAR(34)&amp;"rawScore"&amp;CHAR(34)&amp;": "&amp;SUBSTITUTE(TRIM(ROUND(IFERROR(CriteriTecnici!$O2270*1,IFERROR(NUMBERVALUE(CriteriTecnici!$O2270,".",","),IFERROR(NUMBERVALUE(CriteriTecnici!$O2270,",","."),0))),4)&amp;""),",",".")&amp;CHAR(125)&amp;IF(TRUE,",",""))</f>
        <v/>
      </c>
    </row>
    <row r="2372">
      <c r="A2372" s="82">
        <f>IF(CriteriTecnici!$A2271="","","    "&amp;CHAR(123)&amp;CHAR(34)&amp;"bidderId"&amp;CHAR(34)&amp;": "&amp;CHAR(34)&amp;SUBSTITUTE(CriteriTecnici!$A2271,CHAR(34),"'")&amp;CHAR(34)&amp;", "&amp;CHAR(34)&amp;"lotId"&amp;CHAR(34)&amp;": "&amp;CHAR(34)&amp;SUBSTITUTE(CriteriTecnici!$C2271,CHAR(34),"'")&amp;CHAR(34)&amp;", "&amp;CHAR(34)&amp;"criterionId"&amp;CHAR(34)&amp;": "&amp;CHAR(34)&amp;SUBSTITUTE(CriteriTecnici!$D2271,CHAR(34),"'")&amp;CHAR(34)&amp;", "&amp;CHAR(34)&amp;"kind"&amp;CHAR(34)&amp;": "&amp;CHAR(34)&amp;SUBSTITUTE(CriteriTecnici!$F2271,CHAR(34),"'")&amp;CHAR(34)&amp;", "&amp;CHAR(34)&amp;"value"&amp;CHAR(34)&amp;": "&amp;SUBSTITUTE(TRIM(ROUND(IFERROR(CriteriTecnici!$N2271*1,IFERROR(NUMBERVALUE(CriteriTecnici!$N2271,".",","),IFERROR(NUMBERVALUE(CriteriTecnici!$N2271,",","."),0))),4)&amp;""),",",".")&amp;", "&amp;CHAR(34)&amp;"numerator"&amp;CHAR(34)&amp;": "&amp;SUBSTITUTE(TRIM(ROUND(IFERROR(CriteriTecnici!$K2271*1,IFERROR(NUMBERVALUE(CriteriTecnici!$K2271,".",","),IFERROR(NUMBERVALUE(CriteriTecnici!$K2271,",","."),0))),4)&amp;""),",",".")&amp;", "&amp;CHAR(34)&amp;"denominator"&amp;CHAR(34)&amp;": "&amp;SUBSTITUTE(TRIM(ROUND(IFERROR(CriteriTecnici!$L2271*1,IFERROR(NUMBERVALUE(CriteriTecnici!$L2271,".",","),IFERROR(NUMBERVALUE(CriteriTecnici!$L2271,",","."),0))),4)&amp;""),",",".")&amp;", "&amp;CHAR(34)&amp;"flag"&amp;CHAR(34)&amp;": "&amp;SUBSTITUTE(TRIM(ROUND(IFERROR(CriteriTecnici!$M2271*1,IFERROR(NUMBERVALUE(CriteriTecnici!$M2271,".",","),IFERROR(NUMBERVALUE(CriteriTecnici!$M2271,",","."),0))),4)&amp;""),",",".")&amp;", "&amp;CHAR(34)&amp;"rawScore"&amp;CHAR(34)&amp;": "&amp;SUBSTITUTE(TRIM(ROUND(IFERROR(CriteriTecnici!$O2271*1,IFERROR(NUMBERVALUE(CriteriTecnici!$O2271,".",","),IFERROR(NUMBERVALUE(CriteriTecnici!$O2271,",","."),0))),4)&amp;""),",",".")&amp;CHAR(125)&amp;IF(TRUE,",",""))</f>
        <v/>
      </c>
    </row>
    <row r="2373">
      <c r="A2373" s="82">
        <f>IF(CriteriTecnici!$A2272="","","    "&amp;CHAR(123)&amp;CHAR(34)&amp;"bidderId"&amp;CHAR(34)&amp;": "&amp;CHAR(34)&amp;SUBSTITUTE(CriteriTecnici!$A2272,CHAR(34),"'")&amp;CHAR(34)&amp;", "&amp;CHAR(34)&amp;"lotId"&amp;CHAR(34)&amp;": "&amp;CHAR(34)&amp;SUBSTITUTE(CriteriTecnici!$C2272,CHAR(34),"'")&amp;CHAR(34)&amp;", "&amp;CHAR(34)&amp;"criterionId"&amp;CHAR(34)&amp;": "&amp;CHAR(34)&amp;SUBSTITUTE(CriteriTecnici!$D2272,CHAR(34),"'")&amp;CHAR(34)&amp;", "&amp;CHAR(34)&amp;"kind"&amp;CHAR(34)&amp;": "&amp;CHAR(34)&amp;SUBSTITUTE(CriteriTecnici!$F2272,CHAR(34),"'")&amp;CHAR(34)&amp;", "&amp;CHAR(34)&amp;"value"&amp;CHAR(34)&amp;": "&amp;SUBSTITUTE(TRIM(ROUND(IFERROR(CriteriTecnici!$N2272*1,IFERROR(NUMBERVALUE(CriteriTecnici!$N2272,".",","),IFERROR(NUMBERVALUE(CriteriTecnici!$N2272,",","."),0))),4)&amp;""),",",".")&amp;", "&amp;CHAR(34)&amp;"numerator"&amp;CHAR(34)&amp;": "&amp;SUBSTITUTE(TRIM(ROUND(IFERROR(CriteriTecnici!$K2272*1,IFERROR(NUMBERVALUE(CriteriTecnici!$K2272,".",","),IFERROR(NUMBERVALUE(CriteriTecnici!$K2272,",","."),0))),4)&amp;""),",",".")&amp;", "&amp;CHAR(34)&amp;"denominator"&amp;CHAR(34)&amp;": "&amp;SUBSTITUTE(TRIM(ROUND(IFERROR(CriteriTecnici!$L2272*1,IFERROR(NUMBERVALUE(CriteriTecnici!$L2272,".",","),IFERROR(NUMBERVALUE(CriteriTecnici!$L2272,",","."),0))),4)&amp;""),",",".")&amp;", "&amp;CHAR(34)&amp;"flag"&amp;CHAR(34)&amp;": "&amp;SUBSTITUTE(TRIM(ROUND(IFERROR(CriteriTecnici!$M2272*1,IFERROR(NUMBERVALUE(CriteriTecnici!$M2272,".",","),IFERROR(NUMBERVALUE(CriteriTecnici!$M2272,",","."),0))),4)&amp;""),",",".")&amp;", "&amp;CHAR(34)&amp;"rawScore"&amp;CHAR(34)&amp;": "&amp;SUBSTITUTE(TRIM(ROUND(IFERROR(CriteriTecnici!$O2272*1,IFERROR(NUMBERVALUE(CriteriTecnici!$O2272,".",","),IFERROR(NUMBERVALUE(CriteriTecnici!$O2272,",","."),0))),4)&amp;""),",",".")&amp;CHAR(125)&amp;IF(TRUE,",",""))</f>
        <v/>
      </c>
    </row>
    <row r="2374">
      <c r="A2374" s="82">
        <f>IF(CriteriTecnici!$A2273="","","    "&amp;CHAR(123)&amp;CHAR(34)&amp;"bidderId"&amp;CHAR(34)&amp;": "&amp;CHAR(34)&amp;SUBSTITUTE(CriteriTecnici!$A2273,CHAR(34),"'")&amp;CHAR(34)&amp;", "&amp;CHAR(34)&amp;"lotId"&amp;CHAR(34)&amp;": "&amp;CHAR(34)&amp;SUBSTITUTE(CriteriTecnici!$C2273,CHAR(34),"'")&amp;CHAR(34)&amp;", "&amp;CHAR(34)&amp;"criterionId"&amp;CHAR(34)&amp;": "&amp;CHAR(34)&amp;SUBSTITUTE(CriteriTecnici!$D2273,CHAR(34),"'")&amp;CHAR(34)&amp;", "&amp;CHAR(34)&amp;"kind"&amp;CHAR(34)&amp;": "&amp;CHAR(34)&amp;SUBSTITUTE(CriteriTecnici!$F2273,CHAR(34),"'")&amp;CHAR(34)&amp;", "&amp;CHAR(34)&amp;"value"&amp;CHAR(34)&amp;": "&amp;SUBSTITUTE(TRIM(ROUND(IFERROR(CriteriTecnici!$N2273*1,IFERROR(NUMBERVALUE(CriteriTecnici!$N2273,".",","),IFERROR(NUMBERVALUE(CriteriTecnici!$N2273,",","."),0))),4)&amp;""),",",".")&amp;", "&amp;CHAR(34)&amp;"numerator"&amp;CHAR(34)&amp;": "&amp;SUBSTITUTE(TRIM(ROUND(IFERROR(CriteriTecnici!$K2273*1,IFERROR(NUMBERVALUE(CriteriTecnici!$K2273,".",","),IFERROR(NUMBERVALUE(CriteriTecnici!$K2273,",","."),0))),4)&amp;""),",",".")&amp;", "&amp;CHAR(34)&amp;"denominator"&amp;CHAR(34)&amp;": "&amp;SUBSTITUTE(TRIM(ROUND(IFERROR(CriteriTecnici!$L2273*1,IFERROR(NUMBERVALUE(CriteriTecnici!$L2273,".",","),IFERROR(NUMBERVALUE(CriteriTecnici!$L2273,",","."),0))),4)&amp;""),",",".")&amp;", "&amp;CHAR(34)&amp;"flag"&amp;CHAR(34)&amp;": "&amp;SUBSTITUTE(TRIM(ROUND(IFERROR(CriteriTecnici!$M2273*1,IFERROR(NUMBERVALUE(CriteriTecnici!$M2273,".",","),IFERROR(NUMBERVALUE(CriteriTecnici!$M2273,",","."),0))),4)&amp;""),",",".")&amp;", "&amp;CHAR(34)&amp;"rawScore"&amp;CHAR(34)&amp;": "&amp;SUBSTITUTE(TRIM(ROUND(IFERROR(CriteriTecnici!$O2273*1,IFERROR(NUMBERVALUE(CriteriTecnici!$O2273,".",","),IFERROR(NUMBERVALUE(CriteriTecnici!$O2273,",","."),0))),4)&amp;""),",",".")&amp;CHAR(125)&amp;IF(TRUE,",",""))</f>
        <v/>
      </c>
    </row>
    <row r="2375">
      <c r="A2375" s="82">
        <f>IF(CriteriTecnici!$A2274="","","    "&amp;CHAR(123)&amp;CHAR(34)&amp;"bidderId"&amp;CHAR(34)&amp;": "&amp;CHAR(34)&amp;SUBSTITUTE(CriteriTecnici!$A2274,CHAR(34),"'")&amp;CHAR(34)&amp;", "&amp;CHAR(34)&amp;"lotId"&amp;CHAR(34)&amp;": "&amp;CHAR(34)&amp;SUBSTITUTE(CriteriTecnici!$C2274,CHAR(34),"'")&amp;CHAR(34)&amp;", "&amp;CHAR(34)&amp;"criterionId"&amp;CHAR(34)&amp;": "&amp;CHAR(34)&amp;SUBSTITUTE(CriteriTecnici!$D2274,CHAR(34),"'")&amp;CHAR(34)&amp;", "&amp;CHAR(34)&amp;"kind"&amp;CHAR(34)&amp;": "&amp;CHAR(34)&amp;SUBSTITUTE(CriteriTecnici!$F2274,CHAR(34),"'")&amp;CHAR(34)&amp;", "&amp;CHAR(34)&amp;"value"&amp;CHAR(34)&amp;": "&amp;SUBSTITUTE(TRIM(ROUND(IFERROR(CriteriTecnici!$N2274*1,IFERROR(NUMBERVALUE(CriteriTecnici!$N2274,".",","),IFERROR(NUMBERVALUE(CriteriTecnici!$N2274,",","."),0))),4)&amp;""),",",".")&amp;", "&amp;CHAR(34)&amp;"numerator"&amp;CHAR(34)&amp;": "&amp;SUBSTITUTE(TRIM(ROUND(IFERROR(CriteriTecnici!$K2274*1,IFERROR(NUMBERVALUE(CriteriTecnici!$K2274,".",","),IFERROR(NUMBERVALUE(CriteriTecnici!$K2274,",","."),0))),4)&amp;""),",",".")&amp;", "&amp;CHAR(34)&amp;"denominator"&amp;CHAR(34)&amp;": "&amp;SUBSTITUTE(TRIM(ROUND(IFERROR(CriteriTecnici!$L2274*1,IFERROR(NUMBERVALUE(CriteriTecnici!$L2274,".",","),IFERROR(NUMBERVALUE(CriteriTecnici!$L2274,",","."),0))),4)&amp;""),",",".")&amp;", "&amp;CHAR(34)&amp;"flag"&amp;CHAR(34)&amp;": "&amp;SUBSTITUTE(TRIM(ROUND(IFERROR(CriteriTecnici!$M2274*1,IFERROR(NUMBERVALUE(CriteriTecnici!$M2274,".",","),IFERROR(NUMBERVALUE(CriteriTecnici!$M2274,",","."),0))),4)&amp;""),",",".")&amp;", "&amp;CHAR(34)&amp;"rawScore"&amp;CHAR(34)&amp;": "&amp;SUBSTITUTE(TRIM(ROUND(IFERROR(CriteriTecnici!$O2274*1,IFERROR(NUMBERVALUE(CriteriTecnici!$O2274,".",","),IFERROR(NUMBERVALUE(CriteriTecnici!$O2274,",","."),0))),4)&amp;""),",",".")&amp;CHAR(125)&amp;IF(TRUE,",",""))</f>
        <v/>
      </c>
    </row>
    <row r="2376">
      <c r="A2376" s="82">
        <f>IF(CriteriTecnici!$A2275="","","    "&amp;CHAR(123)&amp;CHAR(34)&amp;"bidderId"&amp;CHAR(34)&amp;": "&amp;CHAR(34)&amp;SUBSTITUTE(CriteriTecnici!$A2275,CHAR(34),"'")&amp;CHAR(34)&amp;", "&amp;CHAR(34)&amp;"lotId"&amp;CHAR(34)&amp;": "&amp;CHAR(34)&amp;SUBSTITUTE(CriteriTecnici!$C2275,CHAR(34),"'")&amp;CHAR(34)&amp;", "&amp;CHAR(34)&amp;"criterionId"&amp;CHAR(34)&amp;": "&amp;CHAR(34)&amp;SUBSTITUTE(CriteriTecnici!$D2275,CHAR(34),"'")&amp;CHAR(34)&amp;", "&amp;CHAR(34)&amp;"kind"&amp;CHAR(34)&amp;": "&amp;CHAR(34)&amp;SUBSTITUTE(CriteriTecnici!$F2275,CHAR(34),"'")&amp;CHAR(34)&amp;", "&amp;CHAR(34)&amp;"value"&amp;CHAR(34)&amp;": "&amp;SUBSTITUTE(TRIM(ROUND(IFERROR(CriteriTecnici!$N2275*1,IFERROR(NUMBERVALUE(CriteriTecnici!$N2275,".",","),IFERROR(NUMBERVALUE(CriteriTecnici!$N2275,",","."),0))),4)&amp;""),",",".")&amp;", "&amp;CHAR(34)&amp;"numerator"&amp;CHAR(34)&amp;": "&amp;SUBSTITUTE(TRIM(ROUND(IFERROR(CriteriTecnici!$K2275*1,IFERROR(NUMBERVALUE(CriteriTecnici!$K2275,".",","),IFERROR(NUMBERVALUE(CriteriTecnici!$K2275,",","."),0))),4)&amp;""),",",".")&amp;", "&amp;CHAR(34)&amp;"denominator"&amp;CHAR(34)&amp;": "&amp;SUBSTITUTE(TRIM(ROUND(IFERROR(CriteriTecnici!$L2275*1,IFERROR(NUMBERVALUE(CriteriTecnici!$L2275,".",","),IFERROR(NUMBERVALUE(CriteriTecnici!$L2275,",","."),0))),4)&amp;""),",",".")&amp;", "&amp;CHAR(34)&amp;"flag"&amp;CHAR(34)&amp;": "&amp;SUBSTITUTE(TRIM(ROUND(IFERROR(CriteriTecnici!$M2275*1,IFERROR(NUMBERVALUE(CriteriTecnici!$M2275,".",","),IFERROR(NUMBERVALUE(CriteriTecnici!$M2275,",","."),0))),4)&amp;""),",",".")&amp;", "&amp;CHAR(34)&amp;"rawScore"&amp;CHAR(34)&amp;": "&amp;SUBSTITUTE(TRIM(ROUND(IFERROR(CriteriTecnici!$O2275*1,IFERROR(NUMBERVALUE(CriteriTecnici!$O2275,".",","),IFERROR(NUMBERVALUE(CriteriTecnici!$O2275,",","."),0))),4)&amp;""),",",".")&amp;CHAR(125)&amp;IF(TRUE,",",""))</f>
        <v/>
      </c>
    </row>
    <row r="2377">
      <c r="A2377" s="82">
        <f>IF(CriteriTecnici!$A2276="","","    "&amp;CHAR(123)&amp;CHAR(34)&amp;"bidderId"&amp;CHAR(34)&amp;": "&amp;CHAR(34)&amp;SUBSTITUTE(CriteriTecnici!$A2276,CHAR(34),"'")&amp;CHAR(34)&amp;", "&amp;CHAR(34)&amp;"lotId"&amp;CHAR(34)&amp;": "&amp;CHAR(34)&amp;SUBSTITUTE(CriteriTecnici!$C2276,CHAR(34),"'")&amp;CHAR(34)&amp;", "&amp;CHAR(34)&amp;"criterionId"&amp;CHAR(34)&amp;": "&amp;CHAR(34)&amp;SUBSTITUTE(CriteriTecnici!$D2276,CHAR(34),"'")&amp;CHAR(34)&amp;", "&amp;CHAR(34)&amp;"kind"&amp;CHAR(34)&amp;": "&amp;CHAR(34)&amp;SUBSTITUTE(CriteriTecnici!$F2276,CHAR(34),"'")&amp;CHAR(34)&amp;", "&amp;CHAR(34)&amp;"value"&amp;CHAR(34)&amp;": "&amp;SUBSTITUTE(TRIM(ROUND(IFERROR(CriteriTecnici!$N2276*1,IFERROR(NUMBERVALUE(CriteriTecnici!$N2276,".",","),IFERROR(NUMBERVALUE(CriteriTecnici!$N2276,",","."),0))),4)&amp;""),",",".")&amp;", "&amp;CHAR(34)&amp;"numerator"&amp;CHAR(34)&amp;": "&amp;SUBSTITUTE(TRIM(ROUND(IFERROR(CriteriTecnici!$K2276*1,IFERROR(NUMBERVALUE(CriteriTecnici!$K2276,".",","),IFERROR(NUMBERVALUE(CriteriTecnici!$K2276,",","."),0))),4)&amp;""),",",".")&amp;", "&amp;CHAR(34)&amp;"denominator"&amp;CHAR(34)&amp;": "&amp;SUBSTITUTE(TRIM(ROUND(IFERROR(CriteriTecnici!$L2276*1,IFERROR(NUMBERVALUE(CriteriTecnici!$L2276,".",","),IFERROR(NUMBERVALUE(CriteriTecnici!$L2276,",","."),0))),4)&amp;""),",",".")&amp;", "&amp;CHAR(34)&amp;"flag"&amp;CHAR(34)&amp;": "&amp;SUBSTITUTE(TRIM(ROUND(IFERROR(CriteriTecnici!$M2276*1,IFERROR(NUMBERVALUE(CriteriTecnici!$M2276,".",","),IFERROR(NUMBERVALUE(CriteriTecnici!$M2276,",","."),0))),4)&amp;""),",",".")&amp;", "&amp;CHAR(34)&amp;"rawScore"&amp;CHAR(34)&amp;": "&amp;SUBSTITUTE(TRIM(ROUND(IFERROR(CriteriTecnici!$O2276*1,IFERROR(NUMBERVALUE(CriteriTecnici!$O2276,".",","),IFERROR(NUMBERVALUE(CriteriTecnici!$O2276,",","."),0))),4)&amp;""),",",".")&amp;CHAR(125)&amp;IF(TRUE,",",""))</f>
        <v/>
      </c>
    </row>
    <row r="2378">
      <c r="A2378" s="82">
        <f>IF(CriteriTecnici!$A2277="","","    "&amp;CHAR(123)&amp;CHAR(34)&amp;"bidderId"&amp;CHAR(34)&amp;": "&amp;CHAR(34)&amp;SUBSTITUTE(CriteriTecnici!$A2277,CHAR(34),"'")&amp;CHAR(34)&amp;", "&amp;CHAR(34)&amp;"lotId"&amp;CHAR(34)&amp;": "&amp;CHAR(34)&amp;SUBSTITUTE(CriteriTecnici!$C2277,CHAR(34),"'")&amp;CHAR(34)&amp;", "&amp;CHAR(34)&amp;"criterionId"&amp;CHAR(34)&amp;": "&amp;CHAR(34)&amp;SUBSTITUTE(CriteriTecnici!$D2277,CHAR(34),"'")&amp;CHAR(34)&amp;", "&amp;CHAR(34)&amp;"kind"&amp;CHAR(34)&amp;": "&amp;CHAR(34)&amp;SUBSTITUTE(CriteriTecnici!$F2277,CHAR(34),"'")&amp;CHAR(34)&amp;", "&amp;CHAR(34)&amp;"value"&amp;CHAR(34)&amp;": "&amp;SUBSTITUTE(TRIM(ROUND(IFERROR(CriteriTecnici!$N2277*1,IFERROR(NUMBERVALUE(CriteriTecnici!$N2277,".",","),IFERROR(NUMBERVALUE(CriteriTecnici!$N2277,",","."),0))),4)&amp;""),",",".")&amp;", "&amp;CHAR(34)&amp;"numerator"&amp;CHAR(34)&amp;": "&amp;SUBSTITUTE(TRIM(ROUND(IFERROR(CriteriTecnici!$K2277*1,IFERROR(NUMBERVALUE(CriteriTecnici!$K2277,".",","),IFERROR(NUMBERVALUE(CriteriTecnici!$K2277,",","."),0))),4)&amp;""),",",".")&amp;", "&amp;CHAR(34)&amp;"denominator"&amp;CHAR(34)&amp;": "&amp;SUBSTITUTE(TRIM(ROUND(IFERROR(CriteriTecnici!$L2277*1,IFERROR(NUMBERVALUE(CriteriTecnici!$L2277,".",","),IFERROR(NUMBERVALUE(CriteriTecnici!$L2277,",","."),0))),4)&amp;""),",",".")&amp;", "&amp;CHAR(34)&amp;"flag"&amp;CHAR(34)&amp;": "&amp;SUBSTITUTE(TRIM(ROUND(IFERROR(CriteriTecnici!$M2277*1,IFERROR(NUMBERVALUE(CriteriTecnici!$M2277,".",","),IFERROR(NUMBERVALUE(CriteriTecnici!$M2277,",","."),0))),4)&amp;""),",",".")&amp;", "&amp;CHAR(34)&amp;"rawScore"&amp;CHAR(34)&amp;": "&amp;SUBSTITUTE(TRIM(ROUND(IFERROR(CriteriTecnici!$O2277*1,IFERROR(NUMBERVALUE(CriteriTecnici!$O2277,".",","),IFERROR(NUMBERVALUE(CriteriTecnici!$O2277,",","."),0))),4)&amp;""),",",".")&amp;CHAR(125)&amp;IF(TRUE,",",""))</f>
        <v/>
      </c>
    </row>
    <row r="2379">
      <c r="A2379" s="82">
        <f>IF(CriteriTecnici!$A2278="","","    "&amp;CHAR(123)&amp;CHAR(34)&amp;"bidderId"&amp;CHAR(34)&amp;": "&amp;CHAR(34)&amp;SUBSTITUTE(CriteriTecnici!$A2278,CHAR(34),"'")&amp;CHAR(34)&amp;", "&amp;CHAR(34)&amp;"lotId"&amp;CHAR(34)&amp;": "&amp;CHAR(34)&amp;SUBSTITUTE(CriteriTecnici!$C2278,CHAR(34),"'")&amp;CHAR(34)&amp;", "&amp;CHAR(34)&amp;"criterionId"&amp;CHAR(34)&amp;": "&amp;CHAR(34)&amp;SUBSTITUTE(CriteriTecnici!$D2278,CHAR(34),"'")&amp;CHAR(34)&amp;", "&amp;CHAR(34)&amp;"kind"&amp;CHAR(34)&amp;": "&amp;CHAR(34)&amp;SUBSTITUTE(CriteriTecnici!$F2278,CHAR(34),"'")&amp;CHAR(34)&amp;", "&amp;CHAR(34)&amp;"value"&amp;CHAR(34)&amp;": "&amp;SUBSTITUTE(TRIM(ROUND(IFERROR(CriteriTecnici!$N2278*1,IFERROR(NUMBERVALUE(CriteriTecnici!$N2278,".",","),IFERROR(NUMBERVALUE(CriteriTecnici!$N2278,",","."),0))),4)&amp;""),",",".")&amp;", "&amp;CHAR(34)&amp;"numerator"&amp;CHAR(34)&amp;": "&amp;SUBSTITUTE(TRIM(ROUND(IFERROR(CriteriTecnici!$K2278*1,IFERROR(NUMBERVALUE(CriteriTecnici!$K2278,".",","),IFERROR(NUMBERVALUE(CriteriTecnici!$K2278,",","."),0))),4)&amp;""),",",".")&amp;", "&amp;CHAR(34)&amp;"denominator"&amp;CHAR(34)&amp;": "&amp;SUBSTITUTE(TRIM(ROUND(IFERROR(CriteriTecnici!$L2278*1,IFERROR(NUMBERVALUE(CriteriTecnici!$L2278,".",","),IFERROR(NUMBERVALUE(CriteriTecnici!$L2278,",","."),0))),4)&amp;""),",",".")&amp;", "&amp;CHAR(34)&amp;"flag"&amp;CHAR(34)&amp;": "&amp;SUBSTITUTE(TRIM(ROUND(IFERROR(CriteriTecnici!$M2278*1,IFERROR(NUMBERVALUE(CriteriTecnici!$M2278,".",","),IFERROR(NUMBERVALUE(CriteriTecnici!$M2278,",","."),0))),4)&amp;""),",",".")&amp;", "&amp;CHAR(34)&amp;"rawScore"&amp;CHAR(34)&amp;": "&amp;SUBSTITUTE(TRIM(ROUND(IFERROR(CriteriTecnici!$O2278*1,IFERROR(NUMBERVALUE(CriteriTecnici!$O2278,".",","),IFERROR(NUMBERVALUE(CriteriTecnici!$O2278,",","."),0))),4)&amp;""),",",".")&amp;CHAR(125)&amp;IF(TRUE,",",""))</f>
        <v/>
      </c>
    </row>
    <row r="2380">
      <c r="A2380" s="82">
        <f>IF(CriteriTecnici!$A2279="","","    "&amp;CHAR(123)&amp;CHAR(34)&amp;"bidderId"&amp;CHAR(34)&amp;": "&amp;CHAR(34)&amp;SUBSTITUTE(CriteriTecnici!$A2279,CHAR(34),"'")&amp;CHAR(34)&amp;", "&amp;CHAR(34)&amp;"lotId"&amp;CHAR(34)&amp;": "&amp;CHAR(34)&amp;SUBSTITUTE(CriteriTecnici!$C2279,CHAR(34),"'")&amp;CHAR(34)&amp;", "&amp;CHAR(34)&amp;"criterionId"&amp;CHAR(34)&amp;": "&amp;CHAR(34)&amp;SUBSTITUTE(CriteriTecnici!$D2279,CHAR(34),"'")&amp;CHAR(34)&amp;", "&amp;CHAR(34)&amp;"kind"&amp;CHAR(34)&amp;": "&amp;CHAR(34)&amp;SUBSTITUTE(CriteriTecnici!$F2279,CHAR(34),"'")&amp;CHAR(34)&amp;", "&amp;CHAR(34)&amp;"value"&amp;CHAR(34)&amp;": "&amp;SUBSTITUTE(TRIM(ROUND(IFERROR(CriteriTecnici!$N2279*1,IFERROR(NUMBERVALUE(CriteriTecnici!$N2279,".",","),IFERROR(NUMBERVALUE(CriteriTecnici!$N2279,",","."),0))),4)&amp;""),",",".")&amp;", "&amp;CHAR(34)&amp;"numerator"&amp;CHAR(34)&amp;": "&amp;SUBSTITUTE(TRIM(ROUND(IFERROR(CriteriTecnici!$K2279*1,IFERROR(NUMBERVALUE(CriteriTecnici!$K2279,".",","),IFERROR(NUMBERVALUE(CriteriTecnici!$K2279,",","."),0))),4)&amp;""),",",".")&amp;", "&amp;CHAR(34)&amp;"denominator"&amp;CHAR(34)&amp;": "&amp;SUBSTITUTE(TRIM(ROUND(IFERROR(CriteriTecnici!$L2279*1,IFERROR(NUMBERVALUE(CriteriTecnici!$L2279,".",","),IFERROR(NUMBERVALUE(CriteriTecnici!$L2279,",","."),0))),4)&amp;""),",",".")&amp;", "&amp;CHAR(34)&amp;"flag"&amp;CHAR(34)&amp;": "&amp;SUBSTITUTE(TRIM(ROUND(IFERROR(CriteriTecnici!$M2279*1,IFERROR(NUMBERVALUE(CriteriTecnici!$M2279,".",","),IFERROR(NUMBERVALUE(CriteriTecnici!$M2279,",","."),0))),4)&amp;""),",",".")&amp;", "&amp;CHAR(34)&amp;"rawScore"&amp;CHAR(34)&amp;": "&amp;SUBSTITUTE(TRIM(ROUND(IFERROR(CriteriTecnici!$O2279*1,IFERROR(NUMBERVALUE(CriteriTecnici!$O2279,".",","),IFERROR(NUMBERVALUE(CriteriTecnici!$O2279,",","."),0))),4)&amp;""),",",".")&amp;CHAR(125)&amp;IF(TRUE,",",""))</f>
        <v/>
      </c>
    </row>
    <row r="2381">
      <c r="A2381" s="82">
        <f>IF(CriteriTecnici!$A2280="","","    "&amp;CHAR(123)&amp;CHAR(34)&amp;"bidderId"&amp;CHAR(34)&amp;": "&amp;CHAR(34)&amp;SUBSTITUTE(CriteriTecnici!$A2280,CHAR(34),"'")&amp;CHAR(34)&amp;", "&amp;CHAR(34)&amp;"lotId"&amp;CHAR(34)&amp;": "&amp;CHAR(34)&amp;SUBSTITUTE(CriteriTecnici!$C2280,CHAR(34),"'")&amp;CHAR(34)&amp;", "&amp;CHAR(34)&amp;"criterionId"&amp;CHAR(34)&amp;": "&amp;CHAR(34)&amp;SUBSTITUTE(CriteriTecnici!$D2280,CHAR(34),"'")&amp;CHAR(34)&amp;", "&amp;CHAR(34)&amp;"kind"&amp;CHAR(34)&amp;": "&amp;CHAR(34)&amp;SUBSTITUTE(CriteriTecnici!$F2280,CHAR(34),"'")&amp;CHAR(34)&amp;", "&amp;CHAR(34)&amp;"value"&amp;CHAR(34)&amp;": "&amp;SUBSTITUTE(TRIM(ROUND(IFERROR(CriteriTecnici!$N2280*1,IFERROR(NUMBERVALUE(CriteriTecnici!$N2280,".",","),IFERROR(NUMBERVALUE(CriteriTecnici!$N2280,",","."),0))),4)&amp;""),",",".")&amp;", "&amp;CHAR(34)&amp;"numerator"&amp;CHAR(34)&amp;": "&amp;SUBSTITUTE(TRIM(ROUND(IFERROR(CriteriTecnici!$K2280*1,IFERROR(NUMBERVALUE(CriteriTecnici!$K2280,".",","),IFERROR(NUMBERVALUE(CriteriTecnici!$K2280,",","."),0))),4)&amp;""),",",".")&amp;", "&amp;CHAR(34)&amp;"denominator"&amp;CHAR(34)&amp;": "&amp;SUBSTITUTE(TRIM(ROUND(IFERROR(CriteriTecnici!$L2280*1,IFERROR(NUMBERVALUE(CriteriTecnici!$L2280,".",","),IFERROR(NUMBERVALUE(CriteriTecnici!$L2280,",","."),0))),4)&amp;""),",",".")&amp;", "&amp;CHAR(34)&amp;"flag"&amp;CHAR(34)&amp;": "&amp;SUBSTITUTE(TRIM(ROUND(IFERROR(CriteriTecnici!$M2280*1,IFERROR(NUMBERVALUE(CriteriTecnici!$M2280,".",","),IFERROR(NUMBERVALUE(CriteriTecnici!$M2280,",","."),0))),4)&amp;""),",",".")&amp;", "&amp;CHAR(34)&amp;"rawScore"&amp;CHAR(34)&amp;": "&amp;SUBSTITUTE(TRIM(ROUND(IFERROR(CriteriTecnici!$O2280*1,IFERROR(NUMBERVALUE(CriteriTecnici!$O2280,".",","),IFERROR(NUMBERVALUE(CriteriTecnici!$O2280,",","."),0))),4)&amp;""),",",".")&amp;CHAR(125)&amp;IF(TRUE,",",""))</f>
        <v/>
      </c>
    </row>
    <row r="2382">
      <c r="A2382" s="82">
        <f>IF(CriteriTecnici!$A2281="","","    "&amp;CHAR(123)&amp;CHAR(34)&amp;"bidderId"&amp;CHAR(34)&amp;": "&amp;CHAR(34)&amp;SUBSTITUTE(CriteriTecnici!$A2281,CHAR(34),"'")&amp;CHAR(34)&amp;", "&amp;CHAR(34)&amp;"lotId"&amp;CHAR(34)&amp;": "&amp;CHAR(34)&amp;SUBSTITUTE(CriteriTecnici!$C2281,CHAR(34),"'")&amp;CHAR(34)&amp;", "&amp;CHAR(34)&amp;"criterionId"&amp;CHAR(34)&amp;": "&amp;CHAR(34)&amp;SUBSTITUTE(CriteriTecnici!$D2281,CHAR(34),"'")&amp;CHAR(34)&amp;", "&amp;CHAR(34)&amp;"kind"&amp;CHAR(34)&amp;": "&amp;CHAR(34)&amp;SUBSTITUTE(CriteriTecnici!$F2281,CHAR(34),"'")&amp;CHAR(34)&amp;", "&amp;CHAR(34)&amp;"value"&amp;CHAR(34)&amp;": "&amp;SUBSTITUTE(TRIM(ROUND(IFERROR(CriteriTecnici!$N2281*1,IFERROR(NUMBERVALUE(CriteriTecnici!$N2281,".",","),IFERROR(NUMBERVALUE(CriteriTecnici!$N2281,",","."),0))),4)&amp;""),",",".")&amp;", "&amp;CHAR(34)&amp;"numerator"&amp;CHAR(34)&amp;": "&amp;SUBSTITUTE(TRIM(ROUND(IFERROR(CriteriTecnici!$K2281*1,IFERROR(NUMBERVALUE(CriteriTecnici!$K2281,".",","),IFERROR(NUMBERVALUE(CriteriTecnici!$K2281,",","."),0))),4)&amp;""),",",".")&amp;", "&amp;CHAR(34)&amp;"denominator"&amp;CHAR(34)&amp;": "&amp;SUBSTITUTE(TRIM(ROUND(IFERROR(CriteriTecnici!$L2281*1,IFERROR(NUMBERVALUE(CriteriTecnici!$L2281,".",","),IFERROR(NUMBERVALUE(CriteriTecnici!$L2281,",","."),0))),4)&amp;""),",",".")&amp;", "&amp;CHAR(34)&amp;"flag"&amp;CHAR(34)&amp;": "&amp;SUBSTITUTE(TRIM(ROUND(IFERROR(CriteriTecnici!$M2281*1,IFERROR(NUMBERVALUE(CriteriTecnici!$M2281,".",","),IFERROR(NUMBERVALUE(CriteriTecnici!$M2281,",","."),0))),4)&amp;""),",",".")&amp;", "&amp;CHAR(34)&amp;"rawScore"&amp;CHAR(34)&amp;": "&amp;SUBSTITUTE(TRIM(ROUND(IFERROR(CriteriTecnici!$O2281*1,IFERROR(NUMBERVALUE(CriteriTecnici!$O2281,".",","),IFERROR(NUMBERVALUE(CriteriTecnici!$O2281,",","."),0))),4)&amp;""),",",".")&amp;CHAR(125)&amp;IF(TRUE,",",""))</f>
        <v/>
      </c>
    </row>
    <row r="2383">
      <c r="A2383" s="82">
        <f>IF(CriteriTecnici!$A2282="","","    "&amp;CHAR(123)&amp;CHAR(34)&amp;"bidderId"&amp;CHAR(34)&amp;": "&amp;CHAR(34)&amp;SUBSTITUTE(CriteriTecnici!$A2282,CHAR(34),"'")&amp;CHAR(34)&amp;", "&amp;CHAR(34)&amp;"lotId"&amp;CHAR(34)&amp;": "&amp;CHAR(34)&amp;SUBSTITUTE(CriteriTecnici!$C2282,CHAR(34),"'")&amp;CHAR(34)&amp;", "&amp;CHAR(34)&amp;"criterionId"&amp;CHAR(34)&amp;": "&amp;CHAR(34)&amp;SUBSTITUTE(CriteriTecnici!$D2282,CHAR(34),"'")&amp;CHAR(34)&amp;", "&amp;CHAR(34)&amp;"kind"&amp;CHAR(34)&amp;": "&amp;CHAR(34)&amp;SUBSTITUTE(CriteriTecnici!$F2282,CHAR(34),"'")&amp;CHAR(34)&amp;", "&amp;CHAR(34)&amp;"value"&amp;CHAR(34)&amp;": "&amp;SUBSTITUTE(TRIM(ROUND(IFERROR(CriteriTecnici!$N2282*1,IFERROR(NUMBERVALUE(CriteriTecnici!$N2282,".",","),IFERROR(NUMBERVALUE(CriteriTecnici!$N2282,",","."),0))),4)&amp;""),",",".")&amp;", "&amp;CHAR(34)&amp;"numerator"&amp;CHAR(34)&amp;": "&amp;SUBSTITUTE(TRIM(ROUND(IFERROR(CriteriTecnici!$K2282*1,IFERROR(NUMBERVALUE(CriteriTecnici!$K2282,".",","),IFERROR(NUMBERVALUE(CriteriTecnici!$K2282,",","."),0))),4)&amp;""),",",".")&amp;", "&amp;CHAR(34)&amp;"denominator"&amp;CHAR(34)&amp;": "&amp;SUBSTITUTE(TRIM(ROUND(IFERROR(CriteriTecnici!$L2282*1,IFERROR(NUMBERVALUE(CriteriTecnici!$L2282,".",","),IFERROR(NUMBERVALUE(CriteriTecnici!$L2282,",","."),0))),4)&amp;""),",",".")&amp;", "&amp;CHAR(34)&amp;"flag"&amp;CHAR(34)&amp;": "&amp;SUBSTITUTE(TRIM(ROUND(IFERROR(CriteriTecnici!$M2282*1,IFERROR(NUMBERVALUE(CriteriTecnici!$M2282,".",","),IFERROR(NUMBERVALUE(CriteriTecnici!$M2282,",","."),0))),4)&amp;""),",",".")&amp;", "&amp;CHAR(34)&amp;"rawScore"&amp;CHAR(34)&amp;": "&amp;SUBSTITUTE(TRIM(ROUND(IFERROR(CriteriTecnici!$O2282*1,IFERROR(NUMBERVALUE(CriteriTecnici!$O2282,".",","),IFERROR(NUMBERVALUE(CriteriTecnici!$O2282,",","."),0))),4)&amp;""),",",".")&amp;CHAR(125)&amp;IF(TRUE,",",""))</f>
        <v/>
      </c>
    </row>
    <row r="2384">
      <c r="A2384" s="82">
        <f>IF(CriteriTecnici!$A2283="","","    "&amp;CHAR(123)&amp;CHAR(34)&amp;"bidderId"&amp;CHAR(34)&amp;": "&amp;CHAR(34)&amp;SUBSTITUTE(CriteriTecnici!$A2283,CHAR(34),"'")&amp;CHAR(34)&amp;", "&amp;CHAR(34)&amp;"lotId"&amp;CHAR(34)&amp;": "&amp;CHAR(34)&amp;SUBSTITUTE(CriteriTecnici!$C2283,CHAR(34),"'")&amp;CHAR(34)&amp;", "&amp;CHAR(34)&amp;"criterionId"&amp;CHAR(34)&amp;": "&amp;CHAR(34)&amp;SUBSTITUTE(CriteriTecnici!$D2283,CHAR(34),"'")&amp;CHAR(34)&amp;", "&amp;CHAR(34)&amp;"kind"&amp;CHAR(34)&amp;": "&amp;CHAR(34)&amp;SUBSTITUTE(CriteriTecnici!$F2283,CHAR(34),"'")&amp;CHAR(34)&amp;", "&amp;CHAR(34)&amp;"value"&amp;CHAR(34)&amp;": "&amp;SUBSTITUTE(TRIM(ROUND(IFERROR(CriteriTecnici!$N2283*1,IFERROR(NUMBERVALUE(CriteriTecnici!$N2283,".",","),IFERROR(NUMBERVALUE(CriteriTecnici!$N2283,",","."),0))),4)&amp;""),",",".")&amp;", "&amp;CHAR(34)&amp;"numerator"&amp;CHAR(34)&amp;": "&amp;SUBSTITUTE(TRIM(ROUND(IFERROR(CriteriTecnici!$K2283*1,IFERROR(NUMBERVALUE(CriteriTecnici!$K2283,".",","),IFERROR(NUMBERVALUE(CriteriTecnici!$K2283,",","."),0))),4)&amp;""),",",".")&amp;", "&amp;CHAR(34)&amp;"denominator"&amp;CHAR(34)&amp;": "&amp;SUBSTITUTE(TRIM(ROUND(IFERROR(CriteriTecnici!$L2283*1,IFERROR(NUMBERVALUE(CriteriTecnici!$L2283,".",","),IFERROR(NUMBERVALUE(CriteriTecnici!$L2283,",","."),0))),4)&amp;""),",",".")&amp;", "&amp;CHAR(34)&amp;"flag"&amp;CHAR(34)&amp;": "&amp;SUBSTITUTE(TRIM(ROUND(IFERROR(CriteriTecnici!$M2283*1,IFERROR(NUMBERVALUE(CriteriTecnici!$M2283,".",","),IFERROR(NUMBERVALUE(CriteriTecnici!$M2283,",","."),0))),4)&amp;""),",",".")&amp;", "&amp;CHAR(34)&amp;"rawScore"&amp;CHAR(34)&amp;": "&amp;SUBSTITUTE(TRIM(ROUND(IFERROR(CriteriTecnici!$O2283*1,IFERROR(NUMBERVALUE(CriteriTecnici!$O2283,".",","),IFERROR(NUMBERVALUE(CriteriTecnici!$O2283,",","."),0))),4)&amp;""),",",".")&amp;CHAR(125)&amp;IF(TRUE,",",""))</f>
        <v/>
      </c>
    </row>
    <row r="2385">
      <c r="A2385" s="82">
        <f>IF(CriteriTecnici!$A2284="","","    "&amp;CHAR(123)&amp;CHAR(34)&amp;"bidderId"&amp;CHAR(34)&amp;": "&amp;CHAR(34)&amp;SUBSTITUTE(CriteriTecnici!$A2284,CHAR(34),"'")&amp;CHAR(34)&amp;", "&amp;CHAR(34)&amp;"lotId"&amp;CHAR(34)&amp;": "&amp;CHAR(34)&amp;SUBSTITUTE(CriteriTecnici!$C2284,CHAR(34),"'")&amp;CHAR(34)&amp;", "&amp;CHAR(34)&amp;"criterionId"&amp;CHAR(34)&amp;": "&amp;CHAR(34)&amp;SUBSTITUTE(CriteriTecnici!$D2284,CHAR(34),"'")&amp;CHAR(34)&amp;", "&amp;CHAR(34)&amp;"kind"&amp;CHAR(34)&amp;": "&amp;CHAR(34)&amp;SUBSTITUTE(CriteriTecnici!$F2284,CHAR(34),"'")&amp;CHAR(34)&amp;", "&amp;CHAR(34)&amp;"value"&amp;CHAR(34)&amp;": "&amp;SUBSTITUTE(TRIM(ROUND(IFERROR(CriteriTecnici!$N2284*1,IFERROR(NUMBERVALUE(CriteriTecnici!$N2284,".",","),IFERROR(NUMBERVALUE(CriteriTecnici!$N2284,",","."),0))),4)&amp;""),",",".")&amp;", "&amp;CHAR(34)&amp;"numerator"&amp;CHAR(34)&amp;": "&amp;SUBSTITUTE(TRIM(ROUND(IFERROR(CriteriTecnici!$K2284*1,IFERROR(NUMBERVALUE(CriteriTecnici!$K2284,".",","),IFERROR(NUMBERVALUE(CriteriTecnici!$K2284,",","."),0))),4)&amp;""),",",".")&amp;", "&amp;CHAR(34)&amp;"denominator"&amp;CHAR(34)&amp;": "&amp;SUBSTITUTE(TRIM(ROUND(IFERROR(CriteriTecnici!$L2284*1,IFERROR(NUMBERVALUE(CriteriTecnici!$L2284,".",","),IFERROR(NUMBERVALUE(CriteriTecnici!$L2284,",","."),0))),4)&amp;""),",",".")&amp;", "&amp;CHAR(34)&amp;"flag"&amp;CHAR(34)&amp;": "&amp;SUBSTITUTE(TRIM(ROUND(IFERROR(CriteriTecnici!$M2284*1,IFERROR(NUMBERVALUE(CriteriTecnici!$M2284,".",","),IFERROR(NUMBERVALUE(CriteriTecnici!$M2284,",","."),0))),4)&amp;""),",",".")&amp;", "&amp;CHAR(34)&amp;"rawScore"&amp;CHAR(34)&amp;": "&amp;SUBSTITUTE(TRIM(ROUND(IFERROR(CriteriTecnici!$O2284*1,IFERROR(NUMBERVALUE(CriteriTecnici!$O2284,".",","),IFERROR(NUMBERVALUE(CriteriTecnici!$O2284,",","."),0))),4)&amp;""),",",".")&amp;CHAR(125)&amp;IF(TRUE,",",""))</f>
        <v/>
      </c>
    </row>
    <row r="2386">
      <c r="A2386" s="82">
        <f>IF(CriteriTecnici!$A2285="","","    "&amp;CHAR(123)&amp;CHAR(34)&amp;"bidderId"&amp;CHAR(34)&amp;": "&amp;CHAR(34)&amp;SUBSTITUTE(CriteriTecnici!$A2285,CHAR(34),"'")&amp;CHAR(34)&amp;", "&amp;CHAR(34)&amp;"lotId"&amp;CHAR(34)&amp;": "&amp;CHAR(34)&amp;SUBSTITUTE(CriteriTecnici!$C2285,CHAR(34),"'")&amp;CHAR(34)&amp;", "&amp;CHAR(34)&amp;"criterionId"&amp;CHAR(34)&amp;": "&amp;CHAR(34)&amp;SUBSTITUTE(CriteriTecnici!$D2285,CHAR(34),"'")&amp;CHAR(34)&amp;", "&amp;CHAR(34)&amp;"kind"&amp;CHAR(34)&amp;": "&amp;CHAR(34)&amp;SUBSTITUTE(CriteriTecnici!$F2285,CHAR(34),"'")&amp;CHAR(34)&amp;", "&amp;CHAR(34)&amp;"value"&amp;CHAR(34)&amp;": "&amp;SUBSTITUTE(TRIM(ROUND(IFERROR(CriteriTecnici!$N2285*1,IFERROR(NUMBERVALUE(CriteriTecnici!$N2285,".",","),IFERROR(NUMBERVALUE(CriteriTecnici!$N2285,",","."),0))),4)&amp;""),",",".")&amp;", "&amp;CHAR(34)&amp;"numerator"&amp;CHAR(34)&amp;": "&amp;SUBSTITUTE(TRIM(ROUND(IFERROR(CriteriTecnici!$K2285*1,IFERROR(NUMBERVALUE(CriteriTecnici!$K2285,".",","),IFERROR(NUMBERVALUE(CriteriTecnici!$K2285,",","."),0))),4)&amp;""),",",".")&amp;", "&amp;CHAR(34)&amp;"denominator"&amp;CHAR(34)&amp;": "&amp;SUBSTITUTE(TRIM(ROUND(IFERROR(CriteriTecnici!$L2285*1,IFERROR(NUMBERVALUE(CriteriTecnici!$L2285,".",","),IFERROR(NUMBERVALUE(CriteriTecnici!$L2285,",","."),0))),4)&amp;""),",",".")&amp;", "&amp;CHAR(34)&amp;"flag"&amp;CHAR(34)&amp;": "&amp;SUBSTITUTE(TRIM(ROUND(IFERROR(CriteriTecnici!$M2285*1,IFERROR(NUMBERVALUE(CriteriTecnici!$M2285,".",","),IFERROR(NUMBERVALUE(CriteriTecnici!$M2285,",","."),0))),4)&amp;""),",",".")&amp;", "&amp;CHAR(34)&amp;"rawScore"&amp;CHAR(34)&amp;": "&amp;SUBSTITUTE(TRIM(ROUND(IFERROR(CriteriTecnici!$O2285*1,IFERROR(NUMBERVALUE(CriteriTecnici!$O2285,".",","),IFERROR(NUMBERVALUE(CriteriTecnici!$O2285,",","."),0))),4)&amp;""),",",".")&amp;CHAR(125)&amp;IF(TRUE,",",""))</f>
        <v/>
      </c>
    </row>
    <row r="2387">
      <c r="A2387" s="82">
        <f>IF(CriteriTecnici!$A2286="","","    "&amp;CHAR(123)&amp;CHAR(34)&amp;"bidderId"&amp;CHAR(34)&amp;": "&amp;CHAR(34)&amp;SUBSTITUTE(CriteriTecnici!$A2286,CHAR(34),"'")&amp;CHAR(34)&amp;", "&amp;CHAR(34)&amp;"lotId"&amp;CHAR(34)&amp;": "&amp;CHAR(34)&amp;SUBSTITUTE(CriteriTecnici!$C2286,CHAR(34),"'")&amp;CHAR(34)&amp;", "&amp;CHAR(34)&amp;"criterionId"&amp;CHAR(34)&amp;": "&amp;CHAR(34)&amp;SUBSTITUTE(CriteriTecnici!$D2286,CHAR(34),"'")&amp;CHAR(34)&amp;", "&amp;CHAR(34)&amp;"kind"&amp;CHAR(34)&amp;": "&amp;CHAR(34)&amp;SUBSTITUTE(CriteriTecnici!$F2286,CHAR(34),"'")&amp;CHAR(34)&amp;", "&amp;CHAR(34)&amp;"value"&amp;CHAR(34)&amp;": "&amp;SUBSTITUTE(TRIM(ROUND(IFERROR(CriteriTecnici!$N2286*1,IFERROR(NUMBERVALUE(CriteriTecnici!$N2286,".",","),IFERROR(NUMBERVALUE(CriteriTecnici!$N2286,",","."),0))),4)&amp;""),",",".")&amp;", "&amp;CHAR(34)&amp;"numerator"&amp;CHAR(34)&amp;": "&amp;SUBSTITUTE(TRIM(ROUND(IFERROR(CriteriTecnici!$K2286*1,IFERROR(NUMBERVALUE(CriteriTecnici!$K2286,".",","),IFERROR(NUMBERVALUE(CriteriTecnici!$K2286,",","."),0))),4)&amp;""),",",".")&amp;", "&amp;CHAR(34)&amp;"denominator"&amp;CHAR(34)&amp;": "&amp;SUBSTITUTE(TRIM(ROUND(IFERROR(CriteriTecnici!$L2286*1,IFERROR(NUMBERVALUE(CriteriTecnici!$L2286,".",","),IFERROR(NUMBERVALUE(CriteriTecnici!$L2286,",","."),0))),4)&amp;""),",",".")&amp;", "&amp;CHAR(34)&amp;"flag"&amp;CHAR(34)&amp;": "&amp;SUBSTITUTE(TRIM(ROUND(IFERROR(CriteriTecnici!$M2286*1,IFERROR(NUMBERVALUE(CriteriTecnici!$M2286,".",","),IFERROR(NUMBERVALUE(CriteriTecnici!$M2286,",","."),0))),4)&amp;""),",",".")&amp;", "&amp;CHAR(34)&amp;"rawScore"&amp;CHAR(34)&amp;": "&amp;SUBSTITUTE(TRIM(ROUND(IFERROR(CriteriTecnici!$O2286*1,IFERROR(NUMBERVALUE(CriteriTecnici!$O2286,".",","),IFERROR(NUMBERVALUE(CriteriTecnici!$O2286,",","."),0))),4)&amp;""),",",".")&amp;CHAR(125)&amp;IF(TRUE,",",""))</f>
        <v/>
      </c>
    </row>
    <row r="2388">
      <c r="A2388" s="82">
        <f>IF(CriteriTecnici!$A2287="","","    "&amp;CHAR(123)&amp;CHAR(34)&amp;"bidderId"&amp;CHAR(34)&amp;": "&amp;CHAR(34)&amp;SUBSTITUTE(CriteriTecnici!$A2287,CHAR(34),"'")&amp;CHAR(34)&amp;", "&amp;CHAR(34)&amp;"lotId"&amp;CHAR(34)&amp;": "&amp;CHAR(34)&amp;SUBSTITUTE(CriteriTecnici!$C2287,CHAR(34),"'")&amp;CHAR(34)&amp;", "&amp;CHAR(34)&amp;"criterionId"&amp;CHAR(34)&amp;": "&amp;CHAR(34)&amp;SUBSTITUTE(CriteriTecnici!$D2287,CHAR(34),"'")&amp;CHAR(34)&amp;", "&amp;CHAR(34)&amp;"kind"&amp;CHAR(34)&amp;": "&amp;CHAR(34)&amp;SUBSTITUTE(CriteriTecnici!$F2287,CHAR(34),"'")&amp;CHAR(34)&amp;", "&amp;CHAR(34)&amp;"value"&amp;CHAR(34)&amp;": "&amp;SUBSTITUTE(TRIM(ROUND(IFERROR(CriteriTecnici!$N2287*1,IFERROR(NUMBERVALUE(CriteriTecnici!$N2287,".",","),IFERROR(NUMBERVALUE(CriteriTecnici!$N2287,",","."),0))),4)&amp;""),",",".")&amp;", "&amp;CHAR(34)&amp;"numerator"&amp;CHAR(34)&amp;": "&amp;SUBSTITUTE(TRIM(ROUND(IFERROR(CriteriTecnici!$K2287*1,IFERROR(NUMBERVALUE(CriteriTecnici!$K2287,".",","),IFERROR(NUMBERVALUE(CriteriTecnici!$K2287,",","."),0))),4)&amp;""),",",".")&amp;", "&amp;CHAR(34)&amp;"denominator"&amp;CHAR(34)&amp;": "&amp;SUBSTITUTE(TRIM(ROUND(IFERROR(CriteriTecnici!$L2287*1,IFERROR(NUMBERVALUE(CriteriTecnici!$L2287,".",","),IFERROR(NUMBERVALUE(CriteriTecnici!$L2287,",","."),0))),4)&amp;""),",",".")&amp;", "&amp;CHAR(34)&amp;"flag"&amp;CHAR(34)&amp;": "&amp;SUBSTITUTE(TRIM(ROUND(IFERROR(CriteriTecnici!$M2287*1,IFERROR(NUMBERVALUE(CriteriTecnici!$M2287,".",","),IFERROR(NUMBERVALUE(CriteriTecnici!$M2287,",","."),0))),4)&amp;""),",",".")&amp;", "&amp;CHAR(34)&amp;"rawScore"&amp;CHAR(34)&amp;": "&amp;SUBSTITUTE(TRIM(ROUND(IFERROR(CriteriTecnici!$O2287*1,IFERROR(NUMBERVALUE(CriteriTecnici!$O2287,".",","),IFERROR(NUMBERVALUE(CriteriTecnici!$O2287,",","."),0))),4)&amp;""),",",".")&amp;CHAR(125)&amp;IF(TRUE,",",""))</f>
        <v/>
      </c>
    </row>
    <row r="2389">
      <c r="A2389" s="82">
        <f>IF(CriteriTecnici!$A2288="","","    "&amp;CHAR(123)&amp;CHAR(34)&amp;"bidderId"&amp;CHAR(34)&amp;": "&amp;CHAR(34)&amp;SUBSTITUTE(CriteriTecnici!$A2288,CHAR(34),"'")&amp;CHAR(34)&amp;", "&amp;CHAR(34)&amp;"lotId"&amp;CHAR(34)&amp;": "&amp;CHAR(34)&amp;SUBSTITUTE(CriteriTecnici!$C2288,CHAR(34),"'")&amp;CHAR(34)&amp;", "&amp;CHAR(34)&amp;"criterionId"&amp;CHAR(34)&amp;": "&amp;CHAR(34)&amp;SUBSTITUTE(CriteriTecnici!$D2288,CHAR(34),"'")&amp;CHAR(34)&amp;", "&amp;CHAR(34)&amp;"kind"&amp;CHAR(34)&amp;": "&amp;CHAR(34)&amp;SUBSTITUTE(CriteriTecnici!$F2288,CHAR(34),"'")&amp;CHAR(34)&amp;", "&amp;CHAR(34)&amp;"value"&amp;CHAR(34)&amp;": "&amp;SUBSTITUTE(TRIM(ROUND(IFERROR(CriteriTecnici!$N2288*1,IFERROR(NUMBERVALUE(CriteriTecnici!$N2288,".",","),IFERROR(NUMBERVALUE(CriteriTecnici!$N2288,",","."),0))),4)&amp;""),",",".")&amp;", "&amp;CHAR(34)&amp;"numerator"&amp;CHAR(34)&amp;": "&amp;SUBSTITUTE(TRIM(ROUND(IFERROR(CriteriTecnici!$K2288*1,IFERROR(NUMBERVALUE(CriteriTecnici!$K2288,".",","),IFERROR(NUMBERVALUE(CriteriTecnici!$K2288,",","."),0))),4)&amp;""),",",".")&amp;", "&amp;CHAR(34)&amp;"denominator"&amp;CHAR(34)&amp;": "&amp;SUBSTITUTE(TRIM(ROUND(IFERROR(CriteriTecnici!$L2288*1,IFERROR(NUMBERVALUE(CriteriTecnici!$L2288,".",","),IFERROR(NUMBERVALUE(CriteriTecnici!$L2288,",","."),0))),4)&amp;""),",",".")&amp;", "&amp;CHAR(34)&amp;"flag"&amp;CHAR(34)&amp;": "&amp;SUBSTITUTE(TRIM(ROUND(IFERROR(CriteriTecnici!$M2288*1,IFERROR(NUMBERVALUE(CriteriTecnici!$M2288,".",","),IFERROR(NUMBERVALUE(CriteriTecnici!$M2288,",","."),0))),4)&amp;""),",",".")&amp;", "&amp;CHAR(34)&amp;"rawScore"&amp;CHAR(34)&amp;": "&amp;SUBSTITUTE(TRIM(ROUND(IFERROR(CriteriTecnici!$O2288*1,IFERROR(NUMBERVALUE(CriteriTecnici!$O2288,".",","),IFERROR(NUMBERVALUE(CriteriTecnici!$O2288,",","."),0))),4)&amp;""),",",".")&amp;CHAR(125)&amp;IF(TRUE,",",""))</f>
        <v/>
      </c>
    </row>
    <row r="2390">
      <c r="A2390" s="82">
        <f>IF(CriteriTecnici!$A2289="","","    "&amp;CHAR(123)&amp;CHAR(34)&amp;"bidderId"&amp;CHAR(34)&amp;": "&amp;CHAR(34)&amp;SUBSTITUTE(CriteriTecnici!$A2289,CHAR(34),"'")&amp;CHAR(34)&amp;", "&amp;CHAR(34)&amp;"lotId"&amp;CHAR(34)&amp;": "&amp;CHAR(34)&amp;SUBSTITUTE(CriteriTecnici!$C2289,CHAR(34),"'")&amp;CHAR(34)&amp;", "&amp;CHAR(34)&amp;"criterionId"&amp;CHAR(34)&amp;": "&amp;CHAR(34)&amp;SUBSTITUTE(CriteriTecnici!$D2289,CHAR(34),"'")&amp;CHAR(34)&amp;", "&amp;CHAR(34)&amp;"kind"&amp;CHAR(34)&amp;": "&amp;CHAR(34)&amp;SUBSTITUTE(CriteriTecnici!$F2289,CHAR(34),"'")&amp;CHAR(34)&amp;", "&amp;CHAR(34)&amp;"value"&amp;CHAR(34)&amp;": "&amp;SUBSTITUTE(TRIM(ROUND(IFERROR(CriteriTecnici!$N2289*1,IFERROR(NUMBERVALUE(CriteriTecnici!$N2289,".",","),IFERROR(NUMBERVALUE(CriteriTecnici!$N2289,",","."),0))),4)&amp;""),",",".")&amp;", "&amp;CHAR(34)&amp;"numerator"&amp;CHAR(34)&amp;": "&amp;SUBSTITUTE(TRIM(ROUND(IFERROR(CriteriTecnici!$K2289*1,IFERROR(NUMBERVALUE(CriteriTecnici!$K2289,".",","),IFERROR(NUMBERVALUE(CriteriTecnici!$K2289,",","."),0))),4)&amp;""),",",".")&amp;", "&amp;CHAR(34)&amp;"denominator"&amp;CHAR(34)&amp;": "&amp;SUBSTITUTE(TRIM(ROUND(IFERROR(CriteriTecnici!$L2289*1,IFERROR(NUMBERVALUE(CriteriTecnici!$L2289,".",","),IFERROR(NUMBERVALUE(CriteriTecnici!$L2289,",","."),0))),4)&amp;""),",",".")&amp;", "&amp;CHAR(34)&amp;"flag"&amp;CHAR(34)&amp;": "&amp;SUBSTITUTE(TRIM(ROUND(IFERROR(CriteriTecnici!$M2289*1,IFERROR(NUMBERVALUE(CriteriTecnici!$M2289,".",","),IFERROR(NUMBERVALUE(CriteriTecnici!$M2289,",","."),0))),4)&amp;""),",",".")&amp;", "&amp;CHAR(34)&amp;"rawScore"&amp;CHAR(34)&amp;": "&amp;SUBSTITUTE(TRIM(ROUND(IFERROR(CriteriTecnici!$O2289*1,IFERROR(NUMBERVALUE(CriteriTecnici!$O2289,".",","),IFERROR(NUMBERVALUE(CriteriTecnici!$O2289,",","."),0))),4)&amp;""),",",".")&amp;CHAR(125)&amp;IF(TRUE,",",""))</f>
        <v/>
      </c>
    </row>
    <row r="2391">
      <c r="A2391" s="82">
        <f>IF(CriteriTecnici!$A2290="","","    "&amp;CHAR(123)&amp;CHAR(34)&amp;"bidderId"&amp;CHAR(34)&amp;": "&amp;CHAR(34)&amp;SUBSTITUTE(CriteriTecnici!$A2290,CHAR(34),"'")&amp;CHAR(34)&amp;", "&amp;CHAR(34)&amp;"lotId"&amp;CHAR(34)&amp;": "&amp;CHAR(34)&amp;SUBSTITUTE(CriteriTecnici!$C2290,CHAR(34),"'")&amp;CHAR(34)&amp;", "&amp;CHAR(34)&amp;"criterionId"&amp;CHAR(34)&amp;": "&amp;CHAR(34)&amp;SUBSTITUTE(CriteriTecnici!$D2290,CHAR(34),"'")&amp;CHAR(34)&amp;", "&amp;CHAR(34)&amp;"kind"&amp;CHAR(34)&amp;": "&amp;CHAR(34)&amp;SUBSTITUTE(CriteriTecnici!$F2290,CHAR(34),"'")&amp;CHAR(34)&amp;", "&amp;CHAR(34)&amp;"value"&amp;CHAR(34)&amp;": "&amp;SUBSTITUTE(TRIM(ROUND(IFERROR(CriteriTecnici!$N2290*1,IFERROR(NUMBERVALUE(CriteriTecnici!$N2290,".",","),IFERROR(NUMBERVALUE(CriteriTecnici!$N2290,",","."),0))),4)&amp;""),",",".")&amp;", "&amp;CHAR(34)&amp;"numerator"&amp;CHAR(34)&amp;": "&amp;SUBSTITUTE(TRIM(ROUND(IFERROR(CriteriTecnici!$K2290*1,IFERROR(NUMBERVALUE(CriteriTecnici!$K2290,".",","),IFERROR(NUMBERVALUE(CriteriTecnici!$K2290,",","."),0))),4)&amp;""),",",".")&amp;", "&amp;CHAR(34)&amp;"denominator"&amp;CHAR(34)&amp;": "&amp;SUBSTITUTE(TRIM(ROUND(IFERROR(CriteriTecnici!$L2290*1,IFERROR(NUMBERVALUE(CriteriTecnici!$L2290,".",","),IFERROR(NUMBERVALUE(CriteriTecnici!$L2290,",","."),0))),4)&amp;""),",",".")&amp;", "&amp;CHAR(34)&amp;"flag"&amp;CHAR(34)&amp;": "&amp;SUBSTITUTE(TRIM(ROUND(IFERROR(CriteriTecnici!$M2290*1,IFERROR(NUMBERVALUE(CriteriTecnici!$M2290,".",","),IFERROR(NUMBERVALUE(CriteriTecnici!$M2290,",","."),0))),4)&amp;""),",",".")&amp;", "&amp;CHAR(34)&amp;"rawScore"&amp;CHAR(34)&amp;": "&amp;SUBSTITUTE(TRIM(ROUND(IFERROR(CriteriTecnici!$O2290*1,IFERROR(NUMBERVALUE(CriteriTecnici!$O2290,".",","),IFERROR(NUMBERVALUE(CriteriTecnici!$O2290,",","."),0))),4)&amp;""),",",".")&amp;CHAR(125)&amp;IF(TRUE,",",""))</f>
        <v/>
      </c>
    </row>
    <row r="2392">
      <c r="A2392" s="82">
        <f>IF(CriteriTecnici!$A2291="","","    "&amp;CHAR(123)&amp;CHAR(34)&amp;"bidderId"&amp;CHAR(34)&amp;": "&amp;CHAR(34)&amp;SUBSTITUTE(CriteriTecnici!$A2291,CHAR(34),"'")&amp;CHAR(34)&amp;", "&amp;CHAR(34)&amp;"lotId"&amp;CHAR(34)&amp;": "&amp;CHAR(34)&amp;SUBSTITUTE(CriteriTecnici!$C2291,CHAR(34),"'")&amp;CHAR(34)&amp;", "&amp;CHAR(34)&amp;"criterionId"&amp;CHAR(34)&amp;": "&amp;CHAR(34)&amp;SUBSTITUTE(CriteriTecnici!$D2291,CHAR(34),"'")&amp;CHAR(34)&amp;", "&amp;CHAR(34)&amp;"kind"&amp;CHAR(34)&amp;": "&amp;CHAR(34)&amp;SUBSTITUTE(CriteriTecnici!$F2291,CHAR(34),"'")&amp;CHAR(34)&amp;", "&amp;CHAR(34)&amp;"value"&amp;CHAR(34)&amp;": "&amp;SUBSTITUTE(TRIM(ROUND(IFERROR(CriteriTecnici!$N2291*1,IFERROR(NUMBERVALUE(CriteriTecnici!$N2291,".",","),IFERROR(NUMBERVALUE(CriteriTecnici!$N2291,",","."),0))),4)&amp;""),",",".")&amp;", "&amp;CHAR(34)&amp;"numerator"&amp;CHAR(34)&amp;": "&amp;SUBSTITUTE(TRIM(ROUND(IFERROR(CriteriTecnici!$K2291*1,IFERROR(NUMBERVALUE(CriteriTecnici!$K2291,".",","),IFERROR(NUMBERVALUE(CriteriTecnici!$K2291,",","."),0))),4)&amp;""),",",".")&amp;", "&amp;CHAR(34)&amp;"denominator"&amp;CHAR(34)&amp;": "&amp;SUBSTITUTE(TRIM(ROUND(IFERROR(CriteriTecnici!$L2291*1,IFERROR(NUMBERVALUE(CriteriTecnici!$L2291,".",","),IFERROR(NUMBERVALUE(CriteriTecnici!$L2291,",","."),0))),4)&amp;""),",",".")&amp;", "&amp;CHAR(34)&amp;"flag"&amp;CHAR(34)&amp;": "&amp;SUBSTITUTE(TRIM(ROUND(IFERROR(CriteriTecnici!$M2291*1,IFERROR(NUMBERVALUE(CriteriTecnici!$M2291,".",","),IFERROR(NUMBERVALUE(CriteriTecnici!$M2291,",","."),0))),4)&amp;""),",",".")&amp;", "&amp;CHAR(34)&amp;"rawScore"&amp;CHAR(34)&amp;": "&amp;SUBSTITUTE(TRIM(ROUND(IFERROR(CriteriTecnici!$O2291*1,IFERROR(NUMBERVALUE(CriteriTecnici!$O2291,".",","),IFERROR(NUMBERVALUE(CriteriTecnici!$O2291,",","."),0))),4)&amp;""),",",".")&amp;CHAR(125)&amp;IF(TRUE,",",""))</f>
        <v/>
      </c>
    </row>
    <row r="2393">
      <c r="A2393" s="82">
        <f>IF(CriteriTecnici!$A2292="","","    "&amp;CHAR(123)&amp;CHAR(34)&amp;"bidderId"&amp;CHAR(34)&amp;": "&amp;CHAR(34)&amp;SUBSTITUTE(CriteriTecnici!$A2292,CHAR(34),"'")&amp;CHAR(34)&amp;", "&amp;CHAR(34)&amp;"lotId"&amp;CHAR(34)&amp;": "&amp;CHAR(34)&amp;SUBSTITUTE(CriteriTecnici!$C2292,CHAR(34),"'")&amp;CHAR(34)&amp;", "&amp;CHAR(34)&amp;"criterionId"&amp;CHAR(34)&amp;": "&amp;CHAR(34)&amp;SUBSTITUTE(CriteriTecnici!$D2292,CHAR(34),"'")&amp;CHAR(34)&amp;", "&amp;CHAR(34)&amp;"kind"&amp;CHAR(34)&amp;": "&amp;CHAR(34)&amp;SUBSTITUTE(CriteriTecnici!$F2292,CHAR(34),"'")&amp;CHAR(34)&amp;", "&amp;CHAR(34)&amp;"value"&amp;CHAR(34)&amp;": "&amp;SUBSTITUTE(TRIM(ROUND(IFERROR(CriteriTecnici!$N2292*1,IFERROR(NUMBERVALUE(CriteriTecnici!$N2292,".",","),IFERROR(NUMBERVALUE(CriteriTecnici!$N2292,",","."),0))),4)&amp;""),",",".")&amp;", "&amp;CHAR(34)&amp;"numerator"&amp;CHAR(34)&amp;": "&amp;SUBSTITUTE(TRIM(ROUND(IFERROR(CriteriTecnici!$K2292*1,IFERROR(NUMBERVALUE(CriteriTecnici!$K2292,".",","),IFERROR(NUMBERVALUE(CriteriTecnici!$K2292,",","."),0))),4)&amp;""),",",".")&amp;", "&amp;CHAR(34)&amp;"denominator"&amp;CHAR(34)&amp;": "&amp;SUBSTITUTE(TRIM(ROUND(IFERROR(CriteriTecnici!$L2292*1,IFERROR(NUMBERVALUE(CriteriTecnici!$L2292,".",","),IFERROR(NUMBERVALUE(CriteriTecnici!$L2292,",","."),0))),4)&amp;""),",",".")&amp;", "&amp;CHAR(34)&amp;"flag"&amp;CHAR(34)&amp;": "&amp;SUBSTITUTE(TRIM(ROUND(IFERROR(CriteriTecnici!$M2292*1,IFERROR(NUMBERVALUE(CriteriTecnici!$M2292,".",","),IFERROR(NUMBERVALUE(CriteriTecnici!$M2292,",","."),0))),4)&amp;""),",",".")&amp;", "&amp;CHAR(34)&amp;"rawScore"&amp;CHAR(34)&amp;": "&amp;SUBSTITUTE(TRIM(ROUND(IFERROR(CriteriTecnici!$O2292*1,IFERROR(NUMBERVALUE(CriteriTecnici!$O2292,".",","),IFERROR(NUMBERVALUE(CriteriTecnici!$O2292,",","."),0))),4)&amp;""),",",".")&amp;CHAR(125)&amp;IF(TRUE,",",""))</f>
        <v/>
      </c>
    </row>
    <row r="2394">
      <c r="A2394" s="82">
        <f>IF(CriteriTecnici!$A2293="","","    "&amp;CHAR(123)&amp;CHAR(34)&amp;"bidderId"&amp;CHAR(34)&amp;": "&amp;CHAR(34)&amp;SUBSTITUTE(CriteriTecnici!$A2293,CHAR(34),"'")&amp;CHAR(34)&amp;", "&amp;CHAR(34)&amp;"lotId"&amp;CHAR(34)&amp;": "&amp;CHAR(34)&amp;SUBSTITUTE(CriteriTecnici!$C2293,CHAR(34),"'")&amp;CHAR(34)&amp;", "&amp;CHAR(34)&amp;"criterionId"&amp;CHAR(34)&amp;": "&amp;CHAR(34)&amp;SUBSTITUTE(CriteriTecnici!$D2293,CHAR(34),"'")&amp;CHAR(34)&amp;", "&amp;CHAR(34)&amp;"kind"&amp;CHAR(34)&amp;": "&amp;CHAR(34)&amp;SUBSTITUTE(CriteriTecnici!$F2293,CHAR(34),"'")&amp;CHAR(34)&amp;", "&amp;CHAR(34)&amp;"value"&amp;CHAR(34)&amp;": "&amp;SUBSTITUTE(TRIM(ROUND(IFERROR(CriteriTecnici!$N2293*1,IFERROR(NUMBERVALUE(CriteriTecnici!$N2293,".",","),IFERROR(NUMBERVALUE(CriteriTecnici!$N2293,",","."),0))),4)&amp;""),",",".")&amp;", "&amp;CHAR(34)&amp;"numerator"&amp;CHAR(34)&amp;": "&amp;SUBSTITUTE(TRIM(ROUND(IFERROR(CriteriTecnici!$K2293*1,IFERROR(NUMBERVALUE(CriteriTecnici!$K2293,".",","),IFERROR(NUMBERVALUE(CriteriTecnici!$K2293,",","."),0))),4)&amp;""),",",".")&amp;", "&amp;CHAR(34)&amp;"denominator"&amp;CHAR(34)&amp;": "&amp;SUBSTITUTE(TRIM(ROUND(IFERROR(CriteriTecnici!$L2293*1,IFERROR(NUMBERVALUE(CriteriTecnici!$L2293,".",","),IFERROR(NUMBERVALUE(CriteriTecnici!$L2293,",","."),0))),4)&amp;""),",",".")&amp;", "&amp;CHAR(34)&amp;"flag"&amp;CHAR(34)&amp;": "&amp;SUBSTITUTE(TRIM(ROUND(IFERROR(CriteriTecnici!$M2293*1,IFERROR(NUMBERVALUE(CriteriTecnici!$M2293,".",","),IFERROR(NUMBERVALUE(CriteriTecnici!$M2293,",","."),0))),4)&amp;""),",",".")&amp;", "&amp;CHAR(34)&amp;"rawScore"&amp;CHAR(34)&amp;": "&amp;SUBSTITUTE(TRIM(ROUND(IFERROR(CriteriTecnici!$O2293*1,IFERROR(NUMBERVALUE(CriteriTecnici!$O2293,".",","),IFERROR(NUMBERVALUE(CriteriTecnici!$O2293,",","."),0))),4)&amp;""),",",".")&amp;CHAR(125)&amp;IF(TRUE,",",""))</f>
        <v/>
      </c>
    </row>
    <row r="2395">
      <c r="A2395" s="82">
        <f>IF(CriteriTecnici!$A2294="","","    "&amp;CHAR(123)&amp;CHAR(34)&amp;"bidderId"&amp;CHAR(34)&amp;": "&amp;CHAR(34)&amp;SUBSTITUTE(CriteriTecnici!$A2294,CHAR(34),"'")&amp;CHAR(34)&amp;", "&amp;CHAR(34)&amp;"lotId"&amp;CHAR(34)&amp;": "&amp;CHAR(34)&amp;SUBSTITUTE(CriteriTecnici!$C2294,CHAR(34),"'")&amp;CHAR(34)&amp;", "&amp;CHAR(34)&amp;"criterionId"&amp;CHAR(34)&amp;": "&amp;CHAR(34)&amp;SUBSTITUTE(CriteriTecnici!$D2294,CHAR(34),"'")&amp;CHAR(34)&amp;", "&amp;CHAR(34)&amp;"kind"&amp;CHAR(34)&amp;": "&amp;CHAR(34)&amp;SUBSTITUTE(CriteriTecnici!$F2294,CHAR(34),"'")&amp;CHAR(34)&amp;", "&amp;CHAR(34)&amp;"value"&amp;CHAR(34)&amp;": "&amp;SUBSTITUTE(TRIM(ROUND(IFERROR(CriteriTecnici!$N2294*1,IFERROR(NUMBERVALUE(CriteriTecnici!$N2294,".",","),IFERROR(NUMBERVALUE(CriteriTecnici!$N2294,",","."),0))),4)&amp;""),",",".")&amp;", "&amp;CHAR(34)&amp;"numerator"&amp;CHAR(34)&amp;": "&amp;SUBSTITUTE(TRIM(ROUND(IFERROR(CriteriTecnici!$K2294*1,IFERROR(NUMBERVALUE(CriteriTecnici!$K2294,".",","),IFERROR(NUMBERVALUE(CriteriTecnici!$K2294,",","."),0))),4)&amp;""),",",".")&amp;", "&amp;CHAR(34)&amp;"denominator"&amp;CHAR(34)&amp;": "&amp;SUBSTITUTE(TRIM(ROUND(IFERROR(CriteriTecnici!$L2294*1,IFERROR(NUMBERVALUE(CriteriTecnici!$L2294,".",","),IFERROR(NUMBERVALUE(CriteriTecnici!$L2294,",","."),0))),4)&amp;""),",",".")&amp;", "&amp;CHAR(34)&amp;"flag"&amp;CHAR(34)&amp;": "&amp;SUBSTITUTE(TRIM(ROUND(IFERROR(CriteriTecnici!$M2294*1,IFERROR(NUMBERVALUE(CriteriTecnici!$M2294,".",","),IFERROR(NUMBERVALUE(CriteriTecnici!$M2294,",","."),0))),4)&amp;""),",",".")&amp;", "&amp;CHAR(34)&amp;"rawScore"&amp;CHAR(34)&amp;": "&amp;SUBSTITUTE(TRIM(ROUND(IFERROR(CriteriTecnici!$O2294*1,IFERROR(NUMBERVALUE(CriteriTecnici!$O2294,".",","),IFERROR(NUMBERVALUE(CriteriTecnici!$O2294,",","."),0))),4)&amp;""),",",".")&amp;CHAR(125)&amp;IF(TRUE,",",""))</f>
        <v/>
      </c>
    </row>
    <row r="2396">
      <c r="A2396" s="82">
        <f>IF(CriteriTecnici!$A2295="","","    "&amp;CHAR(123)&amp;CHAR(34)&amp;"bidderId"&amp;CHAR(34)&amp;": "&amp;CHAR(34)&amp;SUBSTITUTE(CriteriTecnici!$A2295,CHAR(34),"'")&amp;CHAR(34)&amp;", "&amp;CHAR(34)&amp;"lotId"&amp;CHAR(34)&amp;": "&amp;CHAR(34)&amp;SUBSTITUTE(CriteriTecnici!$C2295,CHAR(34),"'")&amp;CHAR(34)&amp;", "&amp;CHAR(34)&amp;"criterionId"&amp;CHAR(34)&amp;": "&amp;CHAR(34)&amp;SUBSTITUTE(CriteriTecnici!$D2295,CHAR(34),"'")&amp;CHAR(34)&amp;", "&amp;CHAR(34)&amp;"kind"&amp;CHAR(34)&amp;": "&amp;CHAR(34)&amp;SUBSTITUTE(CriteriTecnici!$F2295,CHAR(34),"'")&amp;CHAR(34)&amp;", "&amp;CHAR(34)&amp;"value"&amp;CHAR(34)&amp;": "&amp;SUBSTITUTE(TRIM(ROUND(IFERROR(CriteriTecnici!$N2295*1,IFERROR(NUMBERVALUE(CriteriTecnici!$N2295,".",","),IFERROR(NUMBERVALUE(CriteriTecnici!$N2295,",","."),0))),4)&amp;""),",",".")&amp;", "&amp;CHAR(34)&amp;"numerator"&amp;CHAR(34)&amp;": "&amp;SUBSTITUTE(TRIM(ROUND(IFERROR(CriteriTecnici!$K2295*1,IFERROR(NUMBERVALUE(CriteriTecnici!$K2295,".",","),IFERROR(NUMBERVALUE(CriteriTecnici!$K2295,",","."),0))),4)&amp;""),",",".")&amp;", "&amp;CHAR(34)&amp;"denominator"&amp;CHAR(34)&amp;": "&amp;SUBSTITUTE(TRIM(ROUND(IFERROR(CriteriTecnici!$L2295*1,IFERROR(NUMBERVALUE(CriteriTecnici!$L2295,".",","),IFERROR(NUMBERVALUE(CriteriTecnici!$L2295,",","."),0))),4)&amp;""),",",".")&amp;", "&amp;CHAR(34)&amp;"flag"&amp;CHAR(34)&amp;": "&amp;SUBSTITUTE(TRIM(ROUND(IFERROR(CriteriTecnici!$M2295*1,IFERROR(NUMBERVALUE(CriteriTecnici!$M2295,".",","),IFERROR(NUMBERVALUE(CriteriTecnici!$M2295,",","."),0))),4)&amp;""),",",".")&amp;", "&amp;CHAR(34)&amp;"rawScore"&amp;CHAR(34)&amp;": "&amp;SUBSTITUTE(TRIM(ROUND(IFERROR(CriteriTecnici!$O2295*1,IFERROR(NUMBERVALUE(CriteriTecnici!$O2295,".",","),IFERROR(NUMBERVALUE(CriteriTecnici!$O2295,",","."),0))),4)&amp;""),",",".")&amp;CHAR(125)&amp;IF(TRUE,",",""))</f>
        <v/>
      </c>
    </row>
    <row r="2397">
      <c r="A2397" s="82">
        <f>IF(CriteriTecnici!$A2296="","","    "&amp;CHAR(123)&amp;CHAR(34)&amp;"bidderId"&amp;CHAR(34)&amp;": "&amp;CHAR(34)&amp;SUBSTITUTE(CriteriTecnici!$A2296,CHAR(34),"'")&amp;CHAR(34)&amp;", "&amp;CHAR(34)&amp;"lotId"&amp;CHAR(34)&amp;": "&amp;CHAR(34)&amp;SUBSTITUTE(CriteriTecnici!$C2296,CHAR(34),"'")&amp;CHAR(34)&amp;", "&amp;CHAR(34)&amp;"criterionId"&amp;CHAR(34)&amp;": "&amp;CHAR(34)&amp;SUBSTITUTE(CriteriTecnici!$D2296,CHAR(34),"'")&amp;CHAR(34)&amp;", "&amp;CHAR(34)&amp;"kind"&amp;CHAR(34)&amp;": "&amp;CHAR(34)&amp;SUBSTITUTE(CriteriTecnici!$F2296,CHAR(34),"'")&amp;CHAR(34)&amp;", "&amp;CHAR(34)&amp;"value"&amp;CHAR(34)&amp;": "&amp;SUBSTITUTE(TRIM(ROUND(IFERROR(CriteriTecnici!$N2296*1,IFERROR(NUMBERVALUE(CriteriTecnici!$N2296,".",","),IFERROR(NUMBERVALUE(CriteriTecnici!$N2296,",","."),0))),4)&amp;""),",",".")&amp;", "&amp;CHAR(34)&amp;"numerator"&amp;CHAR(34)&amp;": "&amp;SUBSTITUTE(TRIM(ROUND(IFERROR(CriteriTecnici!$K2296*1,IFERROR(NUMBERVALUE(CriteriTecnici!$K2296,".",","),IFERROR(NUMBERVALUE(CriteriTecnici!$K2296,",","."),0))),4)&amp;""),",",".")&amp;", "&amp;CHAR(34)&amp;"denominator"&amp;CHAR(34)&amp;": "&amp;SUBSTITUTE(TRIM(ROUND(IFERROR(CriteriTecnici!$L2296*1,IFERROR(NUMBERVALUE(CriteriTecnici!$L2296,".",","),IFERROR(NUMBERVALUE(CriteriTecnici!$L2296,",","."),0))),4)&amp;""),",",".")&amp;", "&amp;CHAR(34)&amp;"flag"&amp;CHAR(34)&amp;": "&amp;SUBSTITUTE(TRIM(ROUND(IFERROR(CriteriTecnici!$M2296*1,IFERROR(NUMBERVALUE(CriteriTecnici!$M2296,".",","),IFERROR(NUMBERVALUE(CriteriTecnici!$M2296,",","."),0))),4)&amp;""),",",".")&amp;", "&amp;CHAR(34)&amp;"rawScore"&amp;CHAR(34)&amp;": "&amp;SUBSTITUTE(TRIM(ROUND(IFERROR(CriteriTecnici!$O2296*1,IFERROR(NUMBERVALUE(CriteriTecnici!$O2296,".",","),IFERROR(NUMBERVALUE(CriteriTecnici!$O2296,",","."),0))),4)&amp;""),",",".")&amp;CHAR(125)&amp;IF(TRUE,",",""))</f>
        <v/>
      </c>
    </row>
    <row r="2398">
      <c r="A2398" s="82">
        <f>IF(CriteriTecnici!$A2297="","","    "&amp;CHAR(123)&amp;CHAR(34)&amp;"bidderId"&amp;CHAR(34)&amp;": "&amp;CHAR(34)&amp;SUBSTITUTE(CriteriTecnici!$A2297,CHAR(34),"'")&amp;CHAR(34)&amp;", "&amp;CHAR(34)&amp;"lotId"&amp;CHAR(34)&amp;": "&amp;CHAR(34)&amp;SUBSTITUTE(CriteriTecnici!$C2297,CHAR(34),"'")&amp;CHAR(34)&amp;", "&amp;CHAR(34)&amp;"criterionId"&amp;CHAR(34)&amp;": "&amp;CHAR(34)&amp;SUBSTITUTE(CriteriTecnici!$D2297,CHAR(34),"'")&amp;CHAR(34)&amp;", "&amp;CHAR(34)&amp;"kind"&amp;CHAR(34)&amp;": "&amp;CHAR(34)&amp;SUBSTITUTE(CriteriTecnici!$F2297,CHAR(34),"'")&amp;CHAR(34)&amp;", "&amp;CHAR(34)&amp;"value"&amp;CHAR(34)&amp;": "&amp;SUBSTITUTE(TRIM(ROUND(IFERROR(CriteriTecnici!$N2297*1,IFERROR(NUMBERVALUE(CriteriTecnici!$N2297,".",","),IFERROR(NUMBERVALUE(CriteriTecnici!$N2297,",","."),0))),4)&amp;""),",",".")&amp;", "&amp;CHAR(34)&amp;"numerator"&amp;CHAR(34)&amp;": "&amp;SUBSTITUTE(TRIM(ROUND(IFERROR(CriteriTecnici!$K2297*1,IFERROR(NUMBERVALUE(CriteriTecnici!$K2297,".",","),IFERROR(NUMBERVALUE(CriteriTecnici!$K2297,",","."),0))),4)&amp;""),",",".")&amp;", "&amp;CHAR(34)&amp;"denominator"&amp;CHAR(34)&amp;": "&amp;SUBSTITUTE(TRIM(ROUND(IFERROR(CriteriTecnici!$L2297*1,IFERROR(NUMBERVALUE(CriteriTecnici!$L2297,".",","),IFERROR(NUMBERVALUE(CriteriTecnici!$L2297,",","."),0))),4)&amp;""),",",".")&amp;", "&amp;CHAR(34)&amp;"flag"&amp;CHAR(34)&amp;": "&amp;SUBSTITUTE(TRIM(ROUND(IFERROR(CriteriTecnici!$M2297*1,IFERROR(NUMBERVALUE(CriteriTecnici!$M2297,".",","),IFERROR(NUMBERVALUE(CriteriTecnici!$M2297,",","."),0))),4)&amp;""),",",".")&amp;", "&amp;CHAR(34)&amp;"rawScore"&amp;CHAR(34)&amp;": "&amp;SUBSTITUTE(TRIM(ROUND(IFERROR(CriteriTecnici!$O2297*1,IFERROR(NUMBERVALUE(CriteriTecnici!$O2297,".",","),IFERROR(NUMBERVALUE(CriteriTecnici!$O2297,",","."),0))),4)&amp;""),",",".")&amp;CHAR(125)&amp;IF(TRUE,",",""))</f>
        <v/>
      </c>
    </row>
    <row r="2399">
      <c r="A2399" s="82">
        <f>IF(CriteriTecnici!$A2298="","","    "&amp;CHAR(123)&amp;CHAR(34)&amp;"bidderId"&amp;CHAR(34)&amp;": "&amp;CHAR(34)&amp;SUBSTITUTE(CriteriTecnici!$A2298,CHAR(34),"'")&amp;CHAR(34)&amp;", "&amp;CHAR(34)&amp;"lotId"&amp;CHAR(34)&amp;": "&amp;CHAR(34)&amp;SUBSTITUTE(CriteriTecnici!$C2298,CHAR(34),"'")&amp;CHAR(34)&amp;", "&amp;CHAR(34)&amp;"criterionId"&amp;CHAR(34)&amp;": "&amp;CHAR(34)&amp;SUBSTITUTE(CriteriTecnici!$D2298,CHAR(34),"'")&amp;CHAR(34)&amp;", "&amp;CHAR(34)&amp;"kind"&amp;CHAR(34)&amp;": "&amp;CHAR(34)&amp;SUBSTITUTE(CriteriTecnici!$F2298,CHAR(34),"'")&amp;CHAR(34)&amp;", "&amp;CHAR(34)&amp;"value"&amp;CHAR(34)&amp;": "&amp;SUBSTITUTE(TRIM(ROUND(IFERROR(CriteriTecnici!$N2298*1,IFERROR(NUMBERVALUE(CriteriTecnici!$N2298,".",","),IFERROR(NUMBERVALUE(CriteriTecnici!$N2298,",","."),0))),4)&amp;""),",",".")&amp;", "&amp;CHAR(34)&amp;"numerator"&amp;CHAR(34)&amp;": "&amp;SUBSTITUTE(TRIM(ROUND(IFERROR(CriteriTecnici!$K2298*1,IFERROR(NUMBERVALUE(CriteriTecnici!$K2298,".",","),IFERROR(NUMBERVALUE(CriteriTecnici!$K2298,",","."),0))),4)&amp;""),",",".")&amp;", "&amp;CHAR(34)&amp;"denominator"&amp;CHAR(34)&amp;": "&amp;SUBSTITUTE(TRIM(ROUND(IFERROR(CriteriTecnici!$L2298*1,IFERROR(NUMBERVALUE(CriteriTecnici!$L2298,".",","),IFERROR(NUMBERVALUE(CriteriTecnici!$L2298,",","."),0))),4)&amp;""),",",".")&amp;", "&amp;CHAR(34)&amp;"flag"&amp;CHAR(34)&amp;": "&amp;SUBSTITUTE(TRIM(ROUND(IFERROR(CriteriTecnici!$M2298*1,IFERROR(NUMBERVALUE(CriteriTecnici!$M2298,".",","),IFERROR(NUMBERVALUE(CriteriTecnici!$M2298,",","."),0))),4)&amp;""),",",".")&amp;", "&amp;CHAR(34)&amp;"rawScore"&amp;CHAR(34)&amp;": "&amp;SUBSTITUTE(TRIM(ROUND(IFERROR(CriteriTecnici!$O2298*1,IFERROR(NUMBERVALUE(CriteriTecnici!$O2298,".",","),IFERROR(NUMBERVALUE(CriteriTecnici!$O2298,",","."),0))),4)&amp;""),",",".")&amp;CHAR(125)&amp;IF(COUNTA(Offerte!$A76:$A$81)&gt;0,",",""))</f>
        <v/>
      </c>
    </row>
    <row r="2400">
      <c r="A2400" s="82">
        <f>IF(CriteriTecnici!$A2299="","","    "&amp;CHAR(123)&amp;CHAR(34)&amp;"bidderId"&amp;CHAR(34)&amp;": "&amp;CHAR(34)&amp;SUBSTITUTE(CriteriTecnici!$A2299,CHAR(34),"'")&amp;CHAR(34)&amp;", "&amp;CHAR(34)&amp;"lotId"&amp;CHAR(34)&amp;": "&amp;CHAR(34)&amp;SUBSTITUTE(CriteriTecnici!$C2299,CHAR(34),"'")&amp;CHAR(34)&amp;", "&amp;CHAR(34)&amp;"criterionId"&amp;CHAR(34)&amp;": "&amp;CHAR(34)&amp;SUBSTITUTE(CriteriTecnici!$D2299,CHAR(34),"'")&amp;CHAR(34)&amp;", "&amp;CHAR(34)&amp;"kind"&amp;CHAR(34)&amp;": "&amp;CHAR(34)&amp;SUBSTITUTE(CriteriTecnici!$F2299,CHAR(34),"'")&amp;CHAR(34)&amp;", "&amp;CHAR(34)&amp;"value"&amp;CHAR(34)&amp;": "&amp;SUBSTITUTE(TRIM(ROUND(IFERROR(CriteriTecnici!$N2299*1,IFERROR(NUMBERVALUE(CriteriTecnici!$N2299,".",","),IFERROR(NUMBERVALUE(CriteriTecnici!$N2299,",","."),0))),4)&amp;""),",",".")&amp;", "&amp;CHAR(34)&amp;"numerator"&amp;CHAR(34)&amp;": "&amp;SUBSTITUTE(TRIM(ROUND(IFERROR(CriteriTecnici!$K2299*1,IFERROR(NUMBERVALUE(CriteriTecnici!$K2299,".",","),IFERROR(NUMBERVALUE(CriteriTecnici!$K2299,",","."),0))),4)&amp;""),",",".")&amp;", "&amp;CHAR(34)&amp;"denominator"&amp;CHAR(34)&amp;": "&amp;SUBSTITUTE(TRIM(ROUND(IFERROR(CriteriTecnici!$L2299*1,IFERROR(NUMBERVALUE(CriteriTecnici!$L2299,".",","),IFERROR(NUMBERVALUE(CriteriTecnici!$L2299,",","."),0))),4)&amp;""),",",".")&amp;", "&amp;CHAR(34)&amp;"flag"&amp;CHAR(34)&amp;": "&amp;SUBSTITUTE(TRIM(ROUND(IFERROR(CriteriTecnici!$M2299*1,IFERROR(NUMBERVALUE(CriteriTecnici!$M2299,".",","),IFERROR(NUMBERVALUE(CriteriTecnici!$M2299,",","."),0))),4)&amp;""),",",".")&amp;", "&amp;CHAR(34)&amp;"rawScore"&amp;CHAR(34)&amp;": "&amp;SUBSTITUTE(TRIM(ROUND(IFERROR(CriteriTecnici!$O2299*1,IFERROR(NUMBERVALUE(CriteriTecnici!$O2299,".",","),IFERROR(NUMBERVALUE(CriteriTecnici!$O2299,",","."),0))),4)&amp;""),",",".")&amp;CHAR(125)&amp;IF(TRUE,",",""))</f>
        <v/>
      </c>
    </row>
    <row r="2401">
      <c r="A2401" s="82">
        <f>IF(CriteriTecnici!$A2300="","","    "&amp;CHAR(123)&amp;CHAR(34)&amp;"bidderId"&amp;CHAR(34)&amp;": "&amp;CHAR(34)&amp;SUBSTITUTE(CriteriTecnici!$A2300,CHAR(34),"'")&amp;CHAR(34)&amp;", "&amp;CHAR(34)&amp;"lotId"&amp;CHAR(34)&amp;": "&amp;CHAR(34)&amp;SUBSTITUTE(CriteriTecnici!$C2300,CHAR(34),"'")&amp;CHAR(34)&amp;", "&amp;CHAR(34)&amp;"criterionId"&amp;CHAR(34)&amp;": "&amp;CHAR(34)&amp;SUBSTITUTE(CriteriTecnici!$D2300,CHAR(34),"'")&amp;CHAR(34)&amp;", "&amp;CHAR(34)&amp;"kind"&amp;CHAR(34)&amp;": "&amp;CHAR(34)&amp;SUBSTITUTE(CriteriTecnici!$F2300,CHAR(34),"'")&amp;CHAR(34)&amp;", "&amp;CHAR(34)&amp;"value"&amp;CHAR(34)&amp;": "&amp;SUBSTITUTE(TRIM(ROUND(IFERROR(CriteriTecnici!$N2300*1,IFERROR(NUMBERVALUE(CriteriTecnici!$N2300,".",","),IFERROR(NUMBERVALUE(CriteriTecnici!$N2300,",","."),0))),4)&amp;""),",",".")&amp;", "&amp;CHAR(34)&amp;"numerator"&amp;CHAR(34)&amp;": "&amp;SUBSTITUTE(TRIM(ROUND(IFERROR(CriteriTecnici!$K2300*1,IFERROR(NUMBERVALUE(CriteriTecnici!$K2300,".",","),IFERROR(NUMBERVALUE(CriteriTecnici!$K2300,",","."),0))),4)&amp;""),",",".")&amp;", "&amp;CHAR(34)&amp;"denominator"&amp;CHAR(34)&amp;": "&amp;SUBSTITUTE(TRIM(ROUND(IFERROR(CriteriTecnici!$L2300*1,IFERROR(NUMBERVALUE(CriteriTecnici!$L2300,".",","),IFERROR(NUMBERVALUE(CriteriTecnici!$L2300,",","."),0))),4)&amp;""),",",".")&amp;", "&amp;CHAR(34)&amp;"flag"&amp;CHAR(34)&amp;": "&amp;SUBSTITUTE(TRIM(ROUND(IFERROR(CriteriTecnici!$M2300*1,IFERROR(NUMBERVALUE(CriteriTecnici!$M2300,".",","),IFERROR(NUMBERVALUE(CriteriTecnici!$M2300,",","."),0))),4)&amp;""),",",".")&amp;", "&amp;CHAR(34)&amp;"rawScore"&amp;CHAR(34)&amp;": "&amp;SUBSTITUTE(TRIM(ROUND(IFERROR(CriteriTecnici!$O2300*1,IFERROR(NUMBERVALUE(CriteriTecnici!$O2300,".",","),IFERROR(NUMBERVALUE(CriteriTecnici!$O2300,",","."),0))),4)&amp;""),",",".")&amp;CHAR(125)&amp;IF(TRUE,",",""))</f>
        <v/>
      </c>
    </row>
    <row r="2402">
      <c r="A2402" s="82">
        <f>IF(CriteriTecnici!$A2301="","","    "&amp;CHAR(123)&amp;CHAR(34)&amp;"bidderId"&amp;CHAR(34)&amp;": "&amp;CHAR(34)&amp;SUBSTITUTE(CriteriTecnici!$A2301,CHAR(34),"'")&amp;CHAR(34)&amp;", "&amp;CHAR(34)&amp;"lotId"&amp;CHAR(34)&amp;": "&amp;CHAR(34)&amp;SUBSTITUTE(CriteriTecnici!$C2301,CHAR(34),"'")&amp;CHAR(34)&amp;", "&amp;CHAR(34)&amp;"criterionId"&amp;CHAR(34)&amp;": "&amp;CHAR(34)&amp;SUBSTITUTE(CriteriTecnici!$D2301,CHAR(34),"'")&amp;CHAR(34)&amp;", "&amp;CHAR(34)&amp;"kind"&amp;CHAR(34)&amp;": "&amp;CHAR(34)&amp;SUBSTITUTE(CriteriTecnici!$F2301,CHAR(34),"'")&amp;CHAR(34)&amp;", "&amp;CHAR(34)&amp;"value"&amp;CHAR(34)&amp;": "&amp;SUBSTITUTE(TRIM(ROUND(IFERROR(CriteriTecnici!$N2301*1,IFERROR(NUMBERVALUE(CriteriTecnici!$N2301,".",","),IFERROR(NUMBERVALUE(CriteriTecnici!$N2301,",","."),0))),4)&amp;""),",",".")&amp;", "&amp;CHAR(34)&amp;"numerator"&amp;CHAR(34)&amp;": "&amp;SUBSTITUTE(TRIM(ROUND(IFERROR(CriteriTecnici!$K2301*1,IFERROR(NUMBERVALUE(CriteriTecnici!$K2301,".",","),IFERROR(NUMBERVALUE(CriteriTecnici!$K2301,",","."),0))),4)&amp;""),",",".")&amp;", "&amp;CHAR(34)&amp;"denominator"&amp;CHAR(34)&amp;": "&amp;SUBSTITUTE(TRIM(ROUND(IFERROR(CriteriTecnici!$L2301*1,IFERROR(NUMBERVALUE(CriteriTecnici!$L2301,".",","),IFERROR(NUMBERVALUE(CriteriTecnici!$L2301,",","."),0))),4)&amp;""),",",".")&amp;", "&amp;CHAR(34)&amp;"flag"&amp;CHAR(34)&amp;": "&amp;SUBSTITUTE(TRIM(ROUND(IFERROR(CriteriTecnici!$M2301*1,IFERROR(NUMBERVALUE(CriteriTecnici!$M2301,".",","),IFERROR(NUMBERVALUE(CriteriTecnici!$M2301,",","."),0))),4)&amp;""),",",".")&amp;", "&amp;CHAR(34)&amp;"rawScore"&amp;CHAR(34)&amp;": "&amp;SUBSTITUTE(TRIM(ROUND(IFERROR(CriteriTecnici!$O2301*1,IFERROR(NUMBERVALUE(CriteriTecnici!$O2301,".",","),IFERROR(NUMBERVALUE(CriteriTecnici!$O2301,",","."),0))),4)&amp;""),",",".")&amp;CHAR(125)&amp;IF(TRUE,",",""))</f>
        <v/>
      </c>
    </row>
    <row r="2403">
      <c r="A2403" s="82">
        <f>IF(CriteriTecnici!$A2302="","","    "&amp;CHAR(123)&amp;CHAR(34)&amp;"bidderId"&amp;CHAR(34)&amp;": "&amp;CHAR(34)&amp;SUBSTITUTE(CriteriTecnici!$A2302,CHAR(34),"'")&amp;CHAR(34)&amp;", "&amp;CHAR(34)&amp;"lotId"&amp;CHAR(34)&amp;": "&amp;CHAR(34)&amp;SUBSTITUTE(CriteriTecnici!$C2302,CHAR(34),"'")&amp;CHAR(34)&amp;", "&amp;CHAR(34)&amp;"criterionId"&amp;CHAR(34)&amp;": "&amp;CHAR(34)&amp;SUBSTITUTE(CriteriTecnici!$D2302,CHAR(34),"'")&amp;CHAR(34)&amp;", "&amp;CHAR(34)&amp;"kind"&amp;CHAR(34)&amp;": "&amp;CHAR(34)&amp;SUBSTITUTE(CriteriTecnici!$F2302,CHAR(34),"'")&amp;CHAR(34)&amp;", "&amp;CHAR(34)&amp;"value"&amp;CHAR(34)&amp;": "&amp;SUBSTITUTE(TRIM(ROUND(IFERROR(CriteriTecnici!$N2302*1,IFERROR(NUMBERVALUE(CriteriTecnici!$N2302,".",","),IFERROR(NUMBERVALUE(CriteriTecnici!$N2302,",","."),0))),4)&amp;""),",",".")&amp;", "&amp;CHAR(34)&amp;"numerator"&amp;CHAR(34)&amp;": "&amp;SUBSTITUTE(TRIM(ROUND(IFERROR(CriteriTecnici!$K2302*1,IFERROR(NUMBERVALUE(CriteriTecnici!$K2302,".",","),IFERROR(NUMBERVALUE(CriteriTecnici!$K2302,",","."),0))),4)&amp;""),",",".")&amp;", "&amp;CHAR(34)&amp;"denominator"&amp;CHAR(34)&amp;": "&amp;SUBSTITUTE(TRIM(ROUND(IFERROR(CriteriTecnici!$L2302*1,IFERROR(NUMBERVALUE(CriteriTecnici!$L2302,".",","),IFERROR(NUMBERVALUE(CriteriTecnici!$L2302,",","."),0))),4)&amp;""),",",".")&amp;", "&amp;CHAR(34)&amp;"flag"&amp;CHAR(34)&amp;": "&amp;SUBSTITUTE(TRIM(ROUND(IFERROR(CriteriTecnici!$M2302*1,IFERROR(NUMBERVALUE(CriteriTecnici!$M2302,".",","),IFERROR(NUMBERVALUE(CriteriTecnici!$M2302,",","."),0))),4)&amp;""),",",".")&amp;", "&amp;CHAR(34)&amp;"rawScore"&amp;CHAR(34)&amp;": "&amp;SUBSTITUTE(TRIM(ROUND(IFERROR(CriteriTecnici!$O2302*1,IFERROR(NUMBERVALUE(CriteriTecnici!$O2302,".",","),IFERROR(NUMBERVALUE(CriteriTecnici!$O2302,",","."),0))),4)&amp;""),",",".")&amp;CHAR(125)&amp;IF(TRUE,",",""))</f>
        <v/>
      </c>
    </row>
    <row r="2404">
      <c r="A2404" s="82">
        <f>IF(CriteriTecnici!$A2303="","","    "&amp;CHAR(123)&amp;CHAR(34)&amp;"bidderId"&amp;CHAR(34)&amp;": "&amp;CHAR(34)&amp;SUBSTITUTE(CriteriTecnici!$A2303,CHAR(34),"'")&amp;CHAR(34)&amp;", "&amp;CHAR(34)&amp;"lotId"&amp;CHAR(34)&amp;": "&amp;CHAR(34)&amp;SUBSTITUTE(CriteriTecnici!$C2303,CHAR(34),"'")&amp;CHAR(34)&amp;", "&amp;CHAR(34)&amp;"criterionId"&amp;CHAR(34)&amp;": "&amp;CHAR(34)&amp;SUBSTITUTE(CriteriTecnici!$D2303,CHAR(34),"'")&amp;CHAR(34)&amp;", "&amp;CHAR(34)&amp;"kind"&amp;CHAR(34)&amp;": "&amp;CHAR(34)&amp;SUBSTITUTE(CriteriTecnici!$F2303,CHAR(34),"'")&amp;CHAR(34)&amp;", "&amp;CHAR(34)&amp;"value"&amp;CHAR(34)&amp;": "&amp;SUBSTITUTE(TRIM(ROUND(IFERROR(CriteriTecnici!$N2303*1,IFERROR(NUMBERVALUE(CriteriTecnici!$N2303,".",","),IFERROR(NUMBERVALUE(CriteriTecnici!$N2303,",","."),0))),4)&amp;""),",",".")&amp;", "&amp;CHAR(34)&amp;"numerator"&amp;CHAR(34)&amp;": "&amp;SUBSTITUTE(TRIM(ROUND(IFERROR(CriteriTecnici!$K2303*1,IFERROR(NUMBERVALUE(CriteriTecnici!$K2303,".",","),IFERROR(NUMBERVALUE(CriteriTecnici!$K2303,",","."),0))),4)&amp;""),",",".")&amp;", "&amp;CHAR(34)&amp;"denominator"&amp;CHAR(34)&amp;": "&amp;SUBSTITUTE(TRIM(ROUND(IFERROR(CriteriTecnici!$L2303*1,IFERROR(NUMBERVALUE(CriteriTecnici!$L2303,".",","),IFERROR(NUMBERVALUE(CriteriTecnici!$L2303,",","."),0))),4)&amp;""),",",".")&amp;", "&amp;CHAR(34)&amp;"flag"&amp;CHAR(34)&amp;": "&amp;SUBSTITUTE(TRIM(ROUND(IFERROR(CriteriTecnici!$M2303*1,IFERROR(NUMBERVALUE(CriteriTecnici!$M2303,".",","),IFERROR(NUMBERVALUE(CriteriTecnici!$M2303,",","."),0))),4)&amp;""),",",".")&amp;", "&amp;CHAR(34)&amp;"rawScore"&amp;CHAR(34)&amp;": "&amp;SUBSTITUTE(TRIM(ROUND(IFERROR(CriteriTecnici!$O2303*1,IFERROR(NUMBERVALUE(CriteriTecnici!$O2303,".",","),IFERROR(NUMBERVALUE(CriteriTecnici!$O2303,",","."),0))),4)&amp;""),",",".")&amp;CHAR(125)&amp;IF(TRUE,",",""))</f>
        <v/>
      </c>
    </row>
    <row r="2405">
      <c r="A2405" s="82">
        <f>IF(CriteriTecnici!$A2304="","","    "&amp;CHAR(123)&amp;CHAR(34)&amp;"bidderId"&amp;CHAR(34)&amp;": "&amp;CHAR(34)&amp;SUBSTITUTE(CriteriTecnici!$A2304,CHAR(34),"'")&amp;CHAR(34)&amp;", "&amp;CHAR(34)&amp;"lotId"&amp;CHAR(34)&amp;": "&amp;CHAR(34)&amp;SUBSTITUTE(CriteriTecnici!$C2304,CHAR(34),"'")&amp;CHAR(34)&amp;", "&amp;CHAR(34)&amp;"criterionId"&amp;CHAR(34)&amp;": "&amp;CHAR(34)&amp;SUBSTITUTE(CriteriTecnici!$D2304,CHAR(34),"'")&amp;CHAR(34)&amp;", "&amp;CHAR(34)&amp;"kind"&amp;CHAR(34)&amp;": "&amp;CHAR(34)&amp;SUBSTITUTE(CriteriTecnici!$F2304,CHAR(34),"'")&amp;CHAR(34)&amp;", "&amp;CHAR(34)&amp;"value"&amp;CHAR(34)&amp;": "&amp;SUBSTITUTE(TRIM(ROUND(IFERROR(CriteriTecnici!$N2304*1,IFERROR(NUMBERVALUE(CriteriTecnici!$N2304,".",","),IFERROR(NUMBERVALUE(CriteriTecnici!$N2304,",","."),0))),4)&amp;""),",",".")&amp;", "&amp;CHAR(34)&amp;"numerator"&amp;CHAR(34)&amp;": "&amp;SUBSTITUTE(TRIM(ROUND(IFERROR(CriteriTecnici!$K2304*1,IFERROR(NUMBERVALUE(CriteriTecnici!$K2304,".",","),IFERROR(NUMBERVALUE(CriteriTecnici!$K2304,",","."),0))),4)&amp;""),",",".")&amp;", "&amp;CHAR(34)&amp;"denominator"&amp;CHAR(34)&amp;": "&amp;SUBSTITUTE(TRIM(ROUND(IFERROR(CriteriTecnici!$L2304*1,IFERROR(NUMBERVALUE(CriteriTecnici!$L2304,".",","),IFERROR(NUMBERVALUE(CriteriTecnici!$L2304,",","."),0))),4)&amp;""),",",".")&amp;", "&amp;CHAR(34)&amp;"flag"&amp;CHAR(34)&amp;": "&amp;SUBSTITUTE(TRIM(ROUND(IFERROR(CriteriTecnici!$M2304*1,IFERROR(NUMBERVALUE(CriteriTecnici!$M2304,".",","),IFERROR(NUMBERVALUE(CriteriTecnici!$M2304,",","."),0))),4)&amp;""),",",".")&amp;", "&amp;CHAR(34)&amp;"rawScore"&amp;CHAR(34)&amp;": "&amp;SUBSTITUTE(TRIM(ROUND(IFERROR(CriteriTecnici!$O2304*1,IFERROR(NUMBERVALUE(CriteriTecnici!$O2304,".",","),IFERROR(NUMBERVALUE(CriteriTecnici!$O2304,",","."),0))),4)&amp;""),",",".")&amp;CHAR(125)&amp;IF(TRUE,",",""))</f>
        <v/>
      </c>
    </row>
    <row r="2406">
      <c r="A2406" s="82">
        <f>IF(CriteriTecnici!$A2305="","","    "&amp;CHAR(123)&amp;CHAR(34)&amp;"bidderId"&amp;CHAR(34)&amp;": "&amp;CHAR(34)&amp;SUBSTITUTE(CriteriTecnici!$A2305,CHAR(34),"'")&amp;CHAR(34)&amp;", "&amp;CHAR(34)&amp;"lotId"&amp;CHAR(34)&amp;": "&amp;CHAR(34)&amp;SUBSTITUTE(CriteriTecnici!$C2305,CHAR(34),"'")&amp;CHAR(34)&amp;", "&amp;CHAR(34)&amp;"criterionId"&amp;CHAR(34)&amp;": "&amp;CHAR(34)&amp;SUBSTITUTE(CriteriTecnici!$D2305,CHAR(34),"'")&amp;CHAR(34)&amp;", "&amp;CHAR(34)&amp;"kind"&amp;CHAR(34)&amp;": "&amp;CHAR(34)&amp;SUBSTITUTE(CriteriTecnici!$F2305,CHAR(34),"'")&amp;CHAR(34)&amp;", "&amp;CHAR(34)&amp;"value"&amp;CHAR(34)&amp;": "&amp;SUBSTITUTE(TRIM(ROUND(IFERROR(CriteriTecnici!$N2305*1,IFERROR(NUMBERVALUE(CriteriTecnici!$N2305,".",","),IFERROR(NUMBERVALUE(CriteriTecnici!$N2305,",","."),0))),4)&amp;""),",",".")&amp;", "&amp;CHAR(34)&amp;"numerator"&amp;CHAR(34)&amp;": "&amp;SUBSTITUTE(TRIM(ROUND(IFERROR(CriteriTecnici!$K2305*1,IFERROR(NUMBERVALUE(CriteriTecnici!$K2305,".",","),IFERROR(NUMBERVALUE(CriteriTecnici!$K2305,",","."),0))),4)&amp;""),",",".")&amp;", "&amp;CHAR(34)&amp;"denominator"&amp;CHAR(34)&amp;": "&amp;SUBSTITUTE(TRIM(ROUND(IFERROR(CriteriTecnici!$L2305*1,IFERROR(NUMBERVALUE(CriteriTecnici!$L2305,".",","),IFERROR(NUMBERVALUE(CriteriTecnici!$L2305,",","."),0))),4)&amp;""),",",".")&amp;", "&amp;CHAR(34)&amp;"flag"&amp;CHAR(34)&amp;": "&amp;SUBSTITUTE(TRIM(ROUND(IFERROR(CriteriTecnici!$M2305*1,IFERROR(NUMBERVALUE(CriteriTecnici!$M2305,".",","),IFERROR(NUMBERVALUE(CriteriTecnici!$M2305,",","."),0))),4)&amp;""),",",".")&amp;", "&amp;CHAR(34)&amp;"rawScore"&amp;CHAR(34)&amp;": "&amp;SUBSTITUTE(TRIM(ROUND(IFERROR(CriteriTecnici!$O2305*1,IFERROR(NUMBERVALUE(CriteriTecnici!$O2305,".",","),IFERROR(NUMBERVALUE(CriteriTecnici!$O2305,",","."),0))),4)&amp;""),",",".")&amp;CHAR(125)&amp;IF(TRUE,",",""))</f>
        <v/>
      </c>
    </row>
    <row r="2407">
      <c r="A2407" s="82">
        <f>IF(CriteriTecnici!$A2306="","","    "&amp;CHAR(123)&amp;CHAR(34)&amp;"bidderId"&amp;CHAR(34)&amp;": "&amp;CHAR(34)&amp;SUBSTITUTE(CriteriTecnici!$A2306,CHAR(34),"'")&amp;CHAR(34)&amp;", "&amp;CHAR(34)&amp;"lotId"&amp;CHAR(34)&amp;": "&amp;CHAR(34)&amp;SUBSTITUTE(CriteriTecnici!$C2306,CHAR(34),"'")&amp;CHAR(34)&amp;", "&amp;CHAR(34)&amp;"criterionId"&amp;CHAR(34)&amp;": "&amp;CHAR(34)&amp;SUBSTITUTE(CriteriTecnici!$D2306,CHAR(34),"'")&amp;CHAR(34)&amp;", "&amp;CHAR(34)&amp;"kind"&amp;CHAR(34)&amp;": "&amp;CHAR(34)&amp;SUBSTITUTE(CriteriTecnici!$F2306,CHAR(34),"'")&amp;CHAR(34)&amp;", "&amp;CHAR(34)&amp;"value"&amp;CHAR(34)&amp;": "&amp;SUBSTITUTE(TRIM(ROUND(IFERROR(CriteriTecnici!$N2306*1,IFERROR(NUMBERVALUE(CriteriTecnici!$N2306,".",","),IFERROR(NUMBERVALUE(CriteriTecnici!$N2306,",","."),0))),4)&amp;""),",",".")&amp;", "&amp;CHAR(34)&amp;"numerator"&amp;CHAR(34)&amp;": "&amp;SUBSTITUTE(TRIM(ROUND(IFERROR(CriteriTecnici!$K2306*1,IFERROR(NUMBERVALUE(CriteriTecnici!$K2306,".",","),IFERROR(NUMBERVALUE(CriteriTecnici!$K2306,",","."),0))),4)&amp;""),",",".")&amp;", "&amp;CHAR(34)&amp;"denominator"&amp;CHAR(34)&amp;": "&amp;SUBSTITUTE(TRIM(ROUND(IFERROR(CriteriTecnici!$L2306*1,IFERROR(NUMBERVALUE(CriteriTecnici!$L2306,".",","),IFERROR(NUMBERVALUE(CriteriTecnici!$L2306,",","."),0))),4)&amp;""),",",".")&amp;", "&amp;CHAR(34)&amp;"flag"&amp;CHAR(34)&amp;": "&amp;SUBSTITUTE(TRIM(ROUND(IFERROR(CriteriTecnici!$M2306*1,IFERROR(NUMBERVALUE(CriteriTecnici!$M2306,".",","),IFERROR(NUMBERVALUE(CriteriTecnici!$M2306,",","."),0))),4)&amp;""),",",".")&amp;", "&amp;CHAR(34)&amp;"rawScore"&amp;CHAR(34)&amp;": "&amp;SUBSTITUTE(TRIM(ROUND(IFERROR(CriteriTecnici!$O2306*1,IFERROR(NUMBERVALUE(CriteriTecnici!$O2306,".",","),IFERROR(NUMBERVALUE(CriteriTecnici!$O2306,",","."),0))),4)&amp;""),",",".")&amp;CHAR(125)&amp;IF(TRUE,",",""))</f>
        <v/>
      </c>
    </row>
    <row r="2408">
      <c r="A2408" s="82">
        <f>IF(CriteriTecnici!$A2307="","","    "&amp;CHAR(123)&amp;CHAR(34)&amp;"bidderId"&amp;CHAR(34)&amp;": "&amp;CHAR(34)&amp;SUBSTITUTE(CriteriTecnici!$A2307,CHAR(34),"'")&amp;CHAR(34)&amp;", "&amp;CHAR(34)&amp;"lotId"&amp;CHAR(34)&amp;": "&amp;CHAR(34)&amp;SUBSTITUTE(CriteriTecnici!$C2307,CHAR(34),"'")&amp;CHAR(34)&amp;", "&amp;CHAR(34)&amp;"criterionId"&amp;CHAR(34)&amp;": "&amp;CHAR(34)&amp;SUBSTITUTE(CriteriTecnici!$D2307,CHAR(34),"'")&amp;CHAR(34)&amp;", "&amp;CHAR(34)&amp;"kind"&amp;CHAR(34)&amp;": "&amp;CHAR(34)&amp;SUBSTITUTE(CriteriTecnici!$F2307,CHAR(34),"'")&amp;CHAR(34)&amp;", "&amp;CHAR(34)&amp;"value"&amp;CHAR(34)&amp;": "&amp;SUBSTITUTE(TRIM(ROUND(IFERROR(CriteriTecnici!$N2307*1,IFERROR(NUMBERVALUE(CriteriTecnici!$N2307,".",","),IFERROR(NUMBERVALUE(CriteriTecnici!$N2307,",","."),0))),4)&amp;""),",",".")&amp;", "&amp;CHAR(34)&amp;"numerator"&amp;CHAR(34)&amp;": "&amp;SUBSTITUTE(TRIM(ROUND(IFERROR(CriteriTecnici!$K2307*1,IFERROR(NUMBERVALUE(CriteriTecnici!$K2307,".",","),IFERROR(NUMBERVALUE(CriteriTecnici!$K2307,",","."),0))),4)&amp;""),",",".")&amp;", "&amp;CHAR(34)&amp;"denominator"&amp;CHAR(34)&amp;": "&amp;SUBSTITUTE(TRIM(ROUND(IFERROR(CriteriTecnici!$L2307*1,IFERROR(NUMBERVALUE(CriteriTecnici!$L2307,".",","),IFERROR(NUMBERVALUE(CriteriTecnici!$L2307,",","."),0))),4)&amp;""),",",".")&amp;", "&amp;CHAR(34)&amp;"flag"&amp;CHAR(34)&amp;": "&amp;SUBSTITUTE(TRIM(ROUND(IFERROR(CriteriTecnici!$M2307*1,IFERROR(NUMBERVALUE(CriteriTecnici!$M2307,".",","),IFERROR(NUMBERVALUE(CriteriTecnici!$M2307,",","."),0))),4)&amp;""),",",".")&amp;", "&amp;CHAR(34)&amp;"rawScore"&amp;CHAR(34)&amp;": "&amp;SUBSTITUTE(TRIM(ROUND(IFERROR(CriteriTecnici!$O2307*1,IFERROR(NUMBERVALUE(CriteriTecnici!$O2307,".",","),IFERROR(NUMBERVALUE(CriteriTecnici!$O2307,",","."),0))),4)&amp;""),",",".")&amp;CHAR(125)&amp;IF(TRUE,",",""))</f>
        <v/>
      </c>
    </row>
    <row r="2409">
      <c r="A2409" s="82">
        <f>IF(CriteriTecnici!$A2308="","","    "&amp;CHAR(123)&amp;CHAR(34)&amp;"bidderId"&amp;CHAR(34)&amp;": "&amp;CHAR(34)&amp;SUBSTITUTE(CriteriTecnici!$A2308,CHAR(34),"'")&amp;CHAR(34)&amp;", "&amp;CHAR(34)&amp;"lotId"&amp;CHAR(34)&amp;": "&amp;CHAR(34)&amp;SUBSTITUTE(CriteriTecnici!$C2308,CHAR(34),"'")&amp;CHAR(34)&amp;", "&amp;CHAR(34)&amp;"criterionId"&amp;CHAR(34)&amp;": "&amp;CHAR(34)&amp;SUBSTITUTE(CriteriTecnici!$D2308,CHAR(34),"'")&amp;CHAR(34)&amp;", "&amp;CHAR(34)&amp;"kind"&amp;CHAR(34)&amp;": "&amp;CHAR(34)&amp;SUBSTITUTE(CriteriTecnici!$F2308,CHAR(34),"'")&amp;CHAR(34)&amp;", "&amp;CHAR(34)&amp;"value"&amp;CHAR(34)&amp;": "&amp;SUBSTITUTE(TRIM(ROUND(IFERROR(CriteriTecnici!$N2308*1,IFERROR(NUMBERVALUE(CriteriTecnici!$N2308,".",","),IFERROR(NUMBERVALUE(CriteriTecnici!$N2308,",","."),0))),4)&amp;""),",",".")&amp;", "&amp;CHAR(34)&amp;"numerator"&amp;CHAR(34)&amp;": "&amp;SUBSTITUTE(TRIM(ROUND(IFERROR(CriteriTecnici!$K2308*1,IFERROR(NUMBERVALUE(CriteriTecnici!$K2308,".",","),IFERROR(NUMBERVALUE(CriteriTecnici!$K2308,",","."),0))),4)&amp;""),",",".")&amp;", "&amp;CHAR(34)&amp;"denominator"&amp;CHAR(34)&amp;": "&amp;SUBSTITUTE(TRIM(ROUND(IFERROR(CriteriTecnici!$L2308*1,IFERROR(NUMBERVALUE(CriteriTecnici!$L2308,".",","),IFERROR(NUMBERVALUE(CriteriTecnici!$L2308,",","."),0))),4)&amp;""),",",".")&amp;", "&amp;CHAR(34)&amp;"flag"&amp;CHAR(34)&amp;": "&amp;SUBSTITUTE(TRIM(ROUND(IFERROR(CriteriTecnici!$M2308*1,IFERROR(NUMBERVALUE(CriteriTecnici!$M2308,".",","),IFERROR(NUMBERVALUE(CriteriTecnici!$M2308,",","."),0))),4)&amp;""),",",".")&amp;", "&amp;CHAR(34)&amp;"rawScore"&amp;CHAR(34)&amp;": "&amp;SUBSTITUTE(TRIM(ROUND(IFERROR(CriteriTecnici!$O2308*1,IFERROR(NUMBERVALUE(CriteriTecnici!$O2308,".",","),IFERROR(NUMBERVALUE(CriteriTecnici!$O2308,",","."),0))),4)&amp;""),",",".")&amp;CHAR(125)&amp;IF(TRUE,",",""))</f>
        <v/>
      </c>
    </row>
    <row r="2410">
      <c r="A2410" s="82">
        <f>IF(CriteriTecnici!$A2309="","","    "&amp;CHAR(123)&amp;CHAR(34)&amp;"bidderId"&amp;CHAR(34)&amp;": "&amp;CHAR(34)&amp;SUBSTITUTE(CriteriTecnici!$A2309,CHAR(34),"'")&amp;CHAR(34)&amp;", "&amp;CHAR(34)&amp;"lotId"&amp;CHAR(34)&amp;": "&amp;CHAR(34)&amp;SUBSTITUTE(CriteriTecnici!$C2309,CHAR(34),"'")&amp;CHAR(34)&amp;", "&amp;CHAR(34)&amp;"criterionId"&amp;CHAR(34)&amp;": "&amp;CHAR(34)&amp;SUBSTITUTE(CriteriTecnici!$D2309,CHAR(34),"'")&amp;CHAR(34)&amp;", "&amp;CHAR(34)&amp;"kind"&amp;CHAR(34)&amp;": "&amp;CHAR(34)&amp;SUBSTITUTE(CriteriTecnici!$F2309,CHAR(34),"'")&amp;CHAR(34)&amp;", "&amp;CHAR(34)&amp;"value"&amp;CHAR(34)&amp;": "&amp;SUBSTITUTE(TRIM(ROUND(IFERROR(CriteriTecnici!$N2309*1,IFERROR(NUMBERVALUE(CriteriTecnici!$N2309,".",","),IFERROR(NUMBERVALUE(CriteriTecnici!$N2309,",","."),0))),4)&amp;""),",",".")&amp;", "&amp;CHAR(34)&amp;"numerator"&amp;CHAR(34)&amp;": "&amp;SUBSTITUTE(TRIM(ROUND(IFERROR(CriteriTecnici!$K2309*1,IFERROR(NUMBERVALUE(CriteriTecnici!$K2309,".",","),IFERROR(NUMBERVALUE(CriteriTecnici!$K2309,",","."),0))),4)&amp;""),",",".")&amp;", "&amp;CHAR(34)&amp;"denominator"&amp;CHAR(34)&amp;": "&amp;SUBSTITUTE(TRIM(ROUND(IFERROR(CriteriTecnici!$L2309*1,IFERROR(NUMBERVALUE(CriteriTecnici!$L2309,".",","),IFERROR(NUMBERVALUE(CriteriTecnici!$L2309,",","."),0))),4)&amp;""),",",".")&amp;", "&amp;CHAR(34)&amp;"flag"&amp;CHAR(34)&amp;": "&amp;SUBSTITUTE(TRIM(ROUND(IFERROR(CriteriTecnici!$M2309*1,IFERROR(NUMBERVALUE(CriteriTecnici!$M2309,".",","),IFERROR(NUMBERVALUE(CriteriTecnici!$M2309,",","."),0))),4)&amp;""),",",".")&amp;", "&amp;CHAR(34)&amp;"rawScore"&amp;CHAR(34)&amp;": "&amp;SUBSTITUTE(TRIM(ROUND(IFERROR(CriteriTecnici!$O2309*1,IFERROR(NUMBERVALUE(CriteriTecnici!$O2309,".",","),IFERROR(NUMBERVALUE(CriteriTecnici!$O2309,",","."),0))),4)&amp;""),",",".")&amp;CHAR(125)&amp;IF(TRUE,",",""))</f>
        <v/>
      </c>
    </row>
    <row r="2411">
      <c r="A2411" s="82">
        <f>IF(CriteriTecnici!$A2310="","","    "&amp;CHAR(123)&amp;CHAR(34)&amp;"bidderId"&amp;CHAR(34)&amp;": "&amp;CHAR(34)&amp;SUBSTITUTE(CriteriTecnici!$A2310,CHAR(34),"'")&amp;CHAR(34)&amp;", "&amp;CHAR(34)&amp;"lotId"&amp;CHAR(34)&amp;": "&amp;CHAR(34)&amp;SUBSTITUTE(CriteriTecnici!$C2310,CHAR(34),"'")&amp;CHAR(34)&amp;", "&amp;CHAR(34)&amp;"criterionId"&amp;CHAR(34)&amp;": "&amp;CHAR(34)&amp;SUBSTITUTE(CriteriTecnici!$D2310,CHAR(34),"'")&amp;CHAR(34)&amp;", "&amp;CHAR(34)&amp;"kind"&amp;CHAR(34)&amp;": "&amp;CHAR(34)&amp;SUBSTITUTE(CriteriTecnici!$F2310,CHAR(34),"'")&amp;CHAR(34)&amp;", "&amp;CHAR(34)&amp;"value"&amp;CHAR(34)&amp;": "&amp;SUBSTITUTE(TRIM(ROUND(IFERROR(CriteriTecnici!$N2310*1,IFERROR(NUMBERVALUE(CriteriTecnici!$N2310,".",","),IFERROR(NUMBERVALUE(CriteriTecnici!$N2310,",","."),0))),4)&amp;""),",",".")&amp;", "&amp;CHAR(34)&amp;"numerator"&amp;CHAR(34)&amp;": "&amp;SUBSTITUTE(TRIM(ROUND(IFERROR(CriteriTecnici!$K2310*1,IFERROR(NUMBERVALUE(CriteriTecnici!$K2310,".",","),IFERROR(NUMBERVALUE(CriteriTecnici!$K2310,",","."),0))),4)&amp;""),",",".")&amp;", "&amp;CHAR(34)&amp;"denominator"&amp;CHAR(34)&amp;": "&amp;SUBSTITUTE(TRIM(ROUND(IFERROR(CriteriTecnici!$L2310*1,IFERROR(NUMBERVALUE(CriteriTecnici!$L2310,".",","),IFERROR(NUMBERVALUE(CriteriTecnici!$L2310,",","."),0))),4)&amp;""),",",".")&amp;", "&amp;CHAR(34)&amp;"flag"&amp;CHAR(34)&amp;": "&amp;SUBSTITUTE(TRIM(ROUND(IFERROR(CriteriTecnici!$M2310*1,IFERROR(NUMBERVALUE(CriteriTecnici!$M2310,".",","),IFERROR(NUMBERVALUE(CriteriTecnici!$M2310,",","."),0))),4)&amp;""),",",".")&amp;", "&amp;CHAR(34)&amp;"rawScore"&amp;CHAR(34)&amp;": "&amp;SUBSTITUTE(TRIM(ROUND(IFERROR(CriteriTecnici!$O2310*1,IFERROR(NUMBERVALUE(CriteriTecnici!$O2310,".",","),IFERROR(NUMBERVALUE(CriteriTecnici!$O2310,",","."),0))),4)&amp;""),",",".")&amp;CHAR(125)&amp;IF(TRUE,",",""))</f>
        <v/>
      </c>
    </row>
    <row r="2412">
      <c r="A2412" s="82">
        <f>IF(CriteriTecnici!$A2311="","","    "&amp;CHAR(123)&amp;CHAR(34)&amp;"bidderId"&amp;CHAR(34)&amp;": "&amp;CHAR(34)&amp;SUBSTITUTE(CriteriTecnici!$A2311,CHAR(34),"'")&amp;CHAR(34)&amp;", "&amp;CHAR(34)&amp;"lotId"&amp;CHAR(34)&amp;": "&amp;CHAR(34)&amp;SUBSTITUTE(CriteriTecnici!$C2311,CHAR(34),"'")&amp;CHAR(34)&amp;", "&amp;CHAR(34)&amp;"criterionId"&amp;CHAR(34)&amp;": "&amp;CHAR(34)&amp;SUBSTITUTE(CriteriTecnici!$D2311,CHAR(34),"'")&amp;CHAR(34)&amp;", "&amp;CHAR(34)&amp;"kind"&amp;CHAR(34)&amp;": "&amp;CHAR(34)&amp;SUBSTITUTE(CriteriTecnici!$F2311,CHAR(34),"'")&amp;CHAR(34)&amp;", "&amp;CHAR(34)&amp;"value"&amp;CHAR(34)&amp;": "&amp;SUBSTITUTE(TRIM(ROUND(IFERROR(CriteriTecnici!$N2311*1,IFERROR(NUMBERVALUE(CriteriTecnici!$N2311,".",","),IFERROR(NUMBERVALUE(CriteriTecnici!$N2311,",","."),0))),4)&amp;""),",",".")&amp;", "&amp;CHAR(34)&amp;"numerator"&amp;CHAR(34)&amp;": "&amp;SUBSTITUTE(TRIM(ROUND(IFERROR(CriteriTecnici!$K2311*1,IFERROR(NUMBERVALUE(CriteriTecnici!$K2311,".",","),IFERROR(NUMBERVALUE(CriteriTecnici!$K2311,",","."),0))),4)&amp;""),",",".")&amp;", "&amp;CHAR(34)&amp;"denominator"&amp;CHAR(34)&amp;": "&amp;SUBSTITUTE(TRIM(ROUND(IFERROR(CriteriTecnici!$L2311*1,IFERROR(NUMBERVALUE(CriteriTecnici!$L2311,".",","),IFERROR(NUMBERVALUE(CriteriTecnici!$L2311,",","."),0))),4)&amp;""),",",".")&amp;", "&amp;CHAR(34)&amp;"flag"&amp;CHAR(34)&amp;": "&amp;SUBSTITUTE(TRIM(ROUND(IFERROR(CriteriTecnici!$M2311*1,IFERROR(NUMBERVALUE(CriteriTecnici!$M2311,".",","),IFERROR(NUMBERVALUE(CriteriTecnici!$M2311,",","."),0))),4)&amp;""),",",".")&amp;", "&amp;CHAR(34)&amp;"rawScore"&amp;CHAR(34)&amp;": "&amp;SUBSTITUTE(TRIM(ROUND(IFERROR(CriteriTecnici!$O2311*1,IFERROR(NUMBERVALUE(CriteriTecnici!$O2311,".",","),IFERROR(NUMBERVALUE(CriteriTecnici!$O2311,",","."),0))),4)&amp;""),",",".")&amp;CHAR(125)&amp;IF(TRUE,",",""))</f>
        <v/>
      </c>
    </row>
    <row r="2413">
      <c r="A2413" s="82">
        <f>IF(CriteriTecnici!$A2312="","","    "&amp;CHAR(123)&amp;CHAR(34)&amp;"bidderId"&amp;CHAR(34)&amp;": "&amp;CHAR(34)&amp;SUBSTITUTE(CriteriTecnici!$A2312,CHAR(34),"'")&amp;CHAR(34)&amp;", "&amp;CHAR(34)&amp;"lotId"&amp;CHAR(34)&amp;": "&amp;CHAR(34)&amp;SUBSTITUTE(CriteriTecnici!$C2312,CHAR(34),"'")&amp;CHAR(34)&amp;", "&amp;CHAR(34)&amp;"criterionId"&amp;CHAR(34)&amp;": "&amp;CHAR(34)&amp;SUBSTITUTE(CriteriTecnici!$D2312,CHAR(34),"'")&amp;CHAR(34)&amp;", "&amp;CHAR(34)&amp;"kind"&amp;CHAR(34)&amp;": "&amp;CHAR(34)&amp;SUBSTITUTE(CriteriTecnici!$F2312,CHAR(34),"'")&amp;CHAR(34)&amp;", "&amp;CHAR(34)&amp;"value"&amp;CHAR(34)&amp;": "&amp;SUBSTITUTE(TRIM(ROUND(IFERROR(CriteriTecnici!$N2312*1,IFERROR(NUMBERVALUE(CriteriTecnici!$N2312,".",","),IFERROR(NUMBERVALUE(CriteriTecnici!$N2312,",","."),0))),4)&amp;""),",",".")&amp;", "&amp;CHAR(34)&amp;"numerator"&amp;CHAR(34)&amp;": "&amp;SUBSTITUTE(TRIM(ROUND(IFERROR(CriteriTecnici!$K2312*1,IFERROR(NUMBERVALUE(CriteriTecnici!$K2312,".",","),IFERROR(NUMBERVALUE(CriteriTecnici!$K2312,",","."),0))),4)&amp;""),",",".")&amp;", "&amp;CHAR(34)&amp;"denominator"&amp;CHAR(34)&amp;": "&amp;SUBSTITUTE(TRIM(ROUND(IFERROR(CriteriTecnici!$L2312*1,IFERROR(NUMBERVALUE(CriteriTecnici!$L2312,".",","),IFERROR(NUMBERVALUE(CriteriTecnici!$L2312,",","."),0))),4)&amp;""),",",".")&amp;", "&amp;CHAR(34)&amp;"flag"&amp;CHAR(34)&amp;": "&amp;SUBSTITUTE(TRIM(ROUND(IFERROR(CriteriTecnici!$M2312*1,IFERROR(NUMBERVALUE(CriteriTecnici!$M2312,".",","),IFERROR(NUMBERVALUE(CriteriTecnici!$M2312,",","."),0))),4)&amp;""),",",".")&amp;", "&amp;CHAR(34)&amp;"rawScore"&amp;CHAR(34)&amp;": "&amp;SUBSTITUTE(TRIM(ROUND(IFERROR(CriteriTecnici!$O2312*1,IFERROR(NUMBERVALUE(CriteriTecnici!$O2312,".",","),IFERROR(NUMBERVALUE(CriteriTecnici!$O2312,",","."),0))),4)&amp;""),",",".")&amp;CHAR(125)&amp;IF(TRUE,",",""))</f>
        <v/>
      </c>
    </row>
    <row r="2414">
      <c r="A2414" s="82">
        <f>IF(CriteriTecnici!$A2313="","","    "&amp;CHAR(123)&amp;CHAR(34)&amp;"bidderId"&amp;CHAR(34)&amp;": "&amp;CHAR(34)&amp;SUBSTITUTE(CriteriTecnici!$A2313,CHAR(34),"'")&amp;CHAR(34)&amp;", "&amp;CHAR(34)&amp;"lotId"&amp;CHAR(34)&amp;": "&amp;CHAR(34)&amp;SUBSTITUTE(CriteriTecnici!$C2313,CHAR(34),"'")&amp;CHAR(34)&amp;", "&amp;CHAR(34)&amp;"criterionId"&amp;CHAR(34)&amp;": "&amp;CHAR(34)&amp;SUBSTITUTE(CriteriTecnici!$D2313,CHAR(34),"'")&amp;CHAR(34)&amp;", "&amp;CHAR(34)&amp;"kind"&amp;CHAR(34)&amp;": "&amp;CHAR(34)&amp;SUBSTITUTE(CriteriTecnici!$F2313,CHAR(34),"'")&amp;CHAR(34)&amp;", "&amp;CHAR(34)&amp;"value"&amp;CHAR(34)&amp;": "&amp;SUBSTITUTE(TRIM(ROUND(IFERROR(CriteriTecnici!$N2313*1,IFERROR(NUMBERVALUE(CriteriTecnici!$N2313,".",","),IFERROR(NUMBERVALUE(CriteriTecnici!$N2313,",","."),0))),4)&amp;""),",",".")&amp;", "&amp;CHAR(34)&amp;"numerator"&amp;CHAR(34)&amp;": "&amp;SUBSTITUTE(TRIM(ROUND(IFERROR(CriteriTecnici!$K2313*1,IFERROR(NUMBERVALUE(CriteriTecnici!$K2313,".",","),IFERROR(NUMBERVALUE(CriteriTecnici!$K2313,",","."),0))),4)&amp;""),",",".")&amp;", "&amp;CHAR(34)&amp;"denominator"&amp;CHAR(34)&amp;": "&amp;SUBSTITUTE(TRIM(ROUND(IFERROR(CriteriTecnici!$L2313*1,IFERROR(NUMBERVALUE(CriteriTecnici!$L2313,".",","),IFERROR(NUMBERVALUE(CriteriTecnici!$L2313,",","."),0))),4)&amp;""),",",".")&amp;", "&amp;CHAR(34)&amp;"flag"&amp;CHAR(34)&amp;": "&amp;SUBSTITUTE(TRIM(ROUND(IFERROR(CriteriTecnici!$M2313*1,IFERROR(NUMBERVALUE(CriteriTecnici!$M2313,".",","),IFERROR(NUMBERVALUE(CriteriTecnici!$M2313,",","."),0))),4)&amp;""),",",".")&amp;", "&amp;CHAR(34)&amp;"rawScore"&amp;CHAR(34)&amp;": "&amp;SUBSTITUTE(TRIM(ROUND(IFERROR(CriteriTecnici!$O2313*1,IFERROR(NUMBERVALUE(CriteriTecnici!$O2313,".",","),IFERROR(NUMBERVALUE(CriteriTecnici!$O2313,",","."),0))),4)&amp;""),",",".")&amp;CHAR(125)&amp;IF(TRUE,",",""))</f>
        <v/>
      </c>
    </row>
    <row r="2415">
      <c r="A2415" s="82">
        <f>IF(CriteriTecnici!$A2314="","","    "&amp;CHAR(123)&amp;CHAR(34)&amp;"bidderId"&amp;CHAR(34)&amp;": "&amp;CHAR(34)&amp;SUBSTITUTE(CriteriTecnici!$A2314,CHAR(34),"'")&amp;CHAR(34)&amp;", "&amp;CHAR(34)&amp;"lotId"&amp;CHAR(34)&amp;": "&amp;CHAR(34)&amp;SUBSTITUTE(CriteriTecnici!$C2314,CHAR(34),"'")&amp;CHAR(34)&amp;", "&amp;CHAR(34)&amp;"criterionId"&amp;CHAR(34)&amp;": "&amp;CHAR(34)&amp;SUBSTITUTE(CriteriTecnici!$D2314,CHAR(34),"'")&amp;CHAR(34)&amp;", "&amp;CHAR(34)&amp;"kind"&amp;CHAR(34)&amp;": "&amp;CHAR(34)&amp;SUBSTITUTE(CriteriTecnici!$F2314,CHAR(34),"'")&amp;CHAR(34)&amp;", "&amp;CHAR(34)&amp;"value"&amp;CHAR(34)&amp;": "&amp;SUBSTITUTE(TRIM(ROUND(IFERROR(CriteriTecnici!$N2314*1,IFERROR(NUMBERVALUE(CriteriTecnici!$N2314,".",","),IFERROR(NUMBERVALUE(CriteriTecnici!$N2314,",","."),0))),4)&amp;""),",",".")&amp;", "&amp;CHAR(34)&amp;"numerator"&amp;CHAR(34)&amp;": "&amp;SUBSTITUTE(TRIM(ROUND(IFERROR(CriteriTecnici!$K2314*1,IFERROR(NUMBERVALUE(CriteriTecnici!$K2314,".",","),IFERROR(NUMBERVALUE(CriteriTecnici!$K2314,",","."),0))),4)&amp;""),",",".")&amp;", "&amp;CHAR(34)&amp;"denominator"&amp;CHAR(34)&amp;": "&amp;SUBSTITUTE(TRIM(ROUND(IFERROR(CriteriTecnici!$L2314*1,IFERROR(NUMBERVALUE(CriteriTecnici!$L2314,".",","),IFERROR(NUMBERVALUE(CriteriTecnici!$L2314,",","."),0))),4)&amp;""),",",".")&amp;", "&amp;CHAR(34)&amp;"flag"&amp;CHAR(34)&amp;": "&amp;SUBSTITUTE(TRIM(ROUND(IFERROR(CriteriTecnici!$M2314*1,IFERROR(NUMBERVALUE(CriteriTecnici!$M2314,".",","),IFERROR(NUMBERVALUE(CriteriTecnici!$M2314,",","."),0))),4)&amp;""),",",".")&amp;", "&amp;CHAR(34)&amp;"rawScore"&amp;CHAR(34)&amp;": "&amp;SUBSTITUTE(TRIM(ROUND(IFERROR(CriteriTecnici!$O2314*1,IFERROR(NUMBERVALUE(CriteriTecnici!$O2314,".",","),IFERROR(NUMBERVALUE(CriteriTecnici!$O2314,",","."),0))),4)&amp;""),",",".")&amp;CHAR(125)&amp;IF(TRUE,",",""))</f>
        <v/>
      </c>
    </row>
    <row r="2416">
      <c r="A2416" s="82">
        <f>IF(CriteriTecnici!$A2315="","","    "&amp;CHAR(123)&amp;CHAR(34)&amp;"bidderId"&amp;CHAR(34)&amp;": "&amp;CHAR(34)&amp;SUBSTITUTE(CriteriTecnici!$A2315,CHAR(34),"'")&amp;CHAR(34)&amp;", "&amp;CHAR(34)&amp;"lotId"&amp;CHAR(34)&amp;": "&amp;CHAR(34)&amp;SUBSTITUTE(CriteriTecnici!$C2315,CHAR(34),"'")&amp;CHAR(34)&amp;", "&amp;CHAR(34)&amp;"criterionId"&amp;CHAR(34)&amp;": "&amp;CHAR(34)&amp;SUBSTITUTE(CriteriTecnici!$D2315,CHAR(34),"'")&amp;CHAR(34)&amp;", "&amp;CHAR(34)&amp;"kind"&amp;CHAR(34)&amp;": "&amp;CHAR(34)&amp;SUBSTITUTE(CriteriTecnici!$F2315,CHAR(34),"'")&amp;CHAR(34)&amp;", "&amp;CHAR(34)&amp;"value"&amp;CHAR(34)&amp;": "&amp;SUBSTITUTE(TRIM(ROUND(IFERROR(CriteriTecnici!$N2315*1,IFERROR(NUMBERVALUE(CriteriTecnici!$N2315,".",","),IFERROR(NUMBERVALUE(CriteriTecnici!$N2315,",","."),0))),4)&amp;""),",",".")&amp;", "&amp;CHAR(34)&amp;"numerator"&amp;CHAR(34)&amp;": "&amp;SUBSTITUTE(TRIM(ROUND(IFERROR(CriteriTecnici!$K2315*1,IFERROR(NUMBERVALUE(CriteriTecnici!$K2315,".",","),IFERROR(NUMBERVALUE(CriteriTecnici!$K2315,",","."),0))),4)&amp;""),",",".")&amp;", "&amp;CHAR(34)&amp;"denominator"&amp;CHAR(34)&amp;": "&amp;SUBSTITUTE(TRIM(ROUND(IFERROR(CriteriTecnici!$L2315*1,IFERROR(NUMBERVALUE(CriteriTecnici!$L2315,".",","),IFERROR(NUMBERVALUE(CriteriTecnici!$L2315,",","."),0))),4)&amp;""),",",".")&amp;", "&amp;CHAR(34)&amp;"flag"&amp;CHAR(34)&amp;": "&amp;SUBSTITUTE(TRIM(ROUND(IFERROR(CriteriTecnici!$M2315*1,IFERROR(NUMBERVALUE(CriteriTecnici!$M2315,".",","),IFERROR(NUMBERVALUE(CriteriTecnici!$M2315,",","."),0))),4)&amp;""),",",".")&amp;", "&amp;CHAR(34)&amp;"rawScore"&amp;CHAR(34)&amp;": "&amp;SUBSTITUTE(TRIM(ROUND(IFERROR(CriteriTecnici!$O2315*1,IFERROR(NUMBERVALUE(CriteriTecnici!$O2315,".",","),IFERROR(NUMBERVALUE(CriteriTecnici!$O2315,",","."),0))),4)&amp;""),",",".")&amp;CHAR(125)&amp;IF(TRUE,",",""))</f>
        <v/>
      </c>
    </row>
    <row r="2417">
      <c r="A2417" s="82">
        <f>IF(CriteriTecnici!$A2316="","","    "&amp;CHAR(123)&amp;CHAR(34)&amp;"bidderId"&amp;CHAR(34)&amp;": "&amp;CHAR(34)&amp;SUBSTITUTE(CriteriTecnici!$A2316,CHAR(34),"'")&amp;CHAR(34)&amp;", "&amp;CHAR(34)&amp;"lotId"&amp;CHAR(34)&amp;": "&amp;CHAR(34)&amp;SUBSTITUTE(CriteriTecnici!$C2316,CHAR(34),"'")&amp;CHAR(34)&amp;", "&amp;CHAR(34)&amp;"criterionId"&amp;CHAR(34)&amp;": "&amp;CHAR(34)&amp;SUBSTITUTE(CriteriTecnici!$D2316,CHAR(34),"'")&amp;CHAR(34)&amp;", "&amp;CHAR(34)&amp;"kind"&amp;CHAR(34)&amp;": "&amp;CHAR(34)&amp;SUBSTITUTE(CriteriTecnici!$F2316,CHAR(34),"'")&amp;CHAR(34)&amp;", "&amp;CHAR(34)&amp;"value"&amp;CHAR(34)&amp;": "&amp;SUBSTITUTE(TRIM(ROUND(IFERROR(CriteriTecnici!$N2316*1,IFERROR(NUMBERVALUE(CriteriTecnici!$N2316,".",","),IFERROR(NUMBERVALUE(CriteriTecnici!$N2316,",","."),0))),4)&amp;""),",",".")&amp;", "&amp;CHAR(34)&amp;"numerator"&amp;CHAR(34)&amp;": "&amp;SUBSTITUTE(TRIM(ROUND(IFERROR(CriteriTecnici!$K2316*1,IFERROR(NUMBERVALUE(CriteriTecnici!$K2316,".",","),IFERROR(NUMBERVALUE(CriteriTecnici!$K2316,",","."),0))),4)&amp;""),",",".")&amp;", "&amp;CHAR(34)&amp;"denominator"&amp;CHAR(34)&amp;": "&amp;SUBSTITUTE(TRIM(ROUND(IFERROR(CriteriTecnici!$L2316*1,IFERROR(NUMBERVALUE(CriteriTecnici!$L2316,".",","),IFERROR(NUMBERVALUE(CriteriTecnici!$L2316,",","."),0))),4)&amp;""),",",".")&amp;", "&amp;CHAR(34)&amp;"flag"&amp;CHAR(34)&amp;": "&amp;SUBSTITUTE(TRIM(ROUND(IFERROR(CriteriTecnici!$M2316*1,IFERROR(NUMBERVALUE(CriteriTecnici!$M2316,".",","),IFERROR(NUMBERVALUE(CriteriTecnici!$M2316,",","."),0))),4)&amp;""),",",".")&amp;", "&amp;CHAR(34)&amp;"rawScore"&amp;CHAR(34)&amp;": "&amp;SUBSTITUTE(TRIM(ROUND(IFERROR(CriteriTecnici!$O2316*1,IFERROR(NUMBERVALUE(CriteriTecnici!$O2316,".",","),IFERROR(NUMBERVALUE(CriteriTecnici!$O2316,",","."),0))),4)&amp;""),",",".")&amp;CHAR(125)&amp;IF(TRUE,",",""))</f>
        <v/>
      </c>
    </row>
    <row r="2418">
      <c r="A2418" s="82">
        <f>IF(CriteriTecnici!$A2317="","","    "&amp;CHAR(123)&amp;CHAR(34)&amp;"bidderId"&amp;CHAR(34)&amp;": "&amp;CHAR(34)&amp;SUBSTITUTE(CriteriTecnici!$A2317,CHAR(34),"'")&amp;CHAR(34)&amp;", "&amp;CHAR(34)&amp;"lotId"&amp;CHAR(34)&amp;": "&amp;CHAR(34)&amp;SUBSTITUTE(CriteriTecnici!$C2317,CHAR(34),"'")&amp;CHAR(34)&amp;", "&amp;CHAR(34)&amp;"criterionId"&amp;CHAR(34)&amp;": "&amp;CHAR(34)&amp;SUBSTITUTE(CriteriTecnici!$D2317,CHAR(34),"'")&amp;CHAR(34)&amp;", "&amp;CHAR(34)&amp;"kind"&amp;CHAR(34)&amp;": "&amp;CHAR(34)&amp;SUBSTITUTE(CriteriTecnici!$F2317,CHAR(34),"'")&amp;CHAR(34)&amp;", "&amp;CHAR(34)&amp;"value"&amp;CHAR(34)&amp;": "&amp;SUBSTITUTE(TRIM(ROUND(IFERROR(CriteriTecnici!$N2317*1,IFERROR(NUMBERVALUE(CriteriTecnici!$N2317,".",","),IFERROR(NUMBERVALUE(CriteriTecnici!$N2317,",","."),0))),4)&amp;""),",",".")&amp;", "&amp;CHAR(34)&amp;"numerator"&amp;CHAR(34)&amp;": "&amp;SUBSTITUTE(TRIM(ROUND(IFERROR(CriteriTecnici!$K2317*1,IFERROR(NUMBERVALUE(CriteriTecnici!$K2317,".",","),IFERROR(NUMBERVALUE(CriteriTecnici!$K2317,",","."),0))),4)&amp;""),",",".")&amp;", "&amp;CHAR(34)&amp;"denominator"&amp;CHAR(34)&amp;": "&amp;SUBSTITUTE(TRIM(ROUND(IFERROR(CriteriTecnici!$L2317*1,IFERROR(NUMBERVALUE(CriteriTecnici!$L2317,".",","),IFERROR(NUMBERVALUE(CriteriTecnici!$L2317,",","."),0))),4)&amp;""),",",".")&amp;", "&amp;CHAR(34)&amp;"flag"&amp;CHAR(34)&amp;": "&amp;SUBSTITUTE(TRIM(ROUND(IFERROR(CriteriTecnici!$M2317*1,IFERROR(NUMBERVALUE(CriteriTecnici!$M2317,".",","),IFERROR(NUMBERVALUE(CriteriTecnici!$M2317,",","."),0))),4)&amp;""),",",".")&amp;", "&amp;CHAR(34)&amp;"rawScore"&amp;CHAR(34)&amp;": "&amp;SUBSTITUTE(TRIM(ROUND(IFERROR(CriteriTecnici!$O2317*1,IFERROR(NUMBERVALUE(CriteriTecnici!$O2317,".",","),IFERROR(NUMBERVALUE(CriteriTecnici!$O2317,",","."),0))),4)&amp;""),",",".")&amp;CHAR(125)&amp;IF(TRUE,",",""))</f>
        <v/>
      </c>
    </row>
    <row r="2419">
      <c r="A2419" s="82">
        <f>IF(CriteriTecnici!$A2318="","","    "&amp;CHAR(123)&amp;CHAR(34)&amp;"bidderId"&amp;CHAR(34)&amp;": "&amp;CHAR(34)&amp;SUBSTITUTE(CriteriTecnici!$A2318,CHAR(34),"'")&amp;CHAR(34)&amp;", "&amp;CHAR(34)&amp;"lotId"&amp;CHAR(34)&amp;": "&amp;CHAR(34)&amp;SUBSTITUTE(CriteriTecnici!$C2318,CHAR(34),"'")&amp;CHAR(34)&amp;", "&amp;CHAR(34)&amp;"criterionId"&amp;CHAR(34)&amp;": "&amp;CHAR(34)&amp;SUBSTITUTE(CriteriTecnici!$D2318,CHAR(34),"'")&amp;CHAR(34)&amp;", "&amp;CHAR(34)&amp;"kind"&amp;CHAR(34)&amp;": "&amp;CHAR(34)&amp;SUBSTITUTE(CriteriTecnici!$F2318,CHAR(34),"'")&amp;CHAR(34)&amp;", "&amp;CHAR(34)&amp;"value"&amp;CHAR(34)&amp;": "&amp;SUBSTITUTE(TRIM(ROUND(IFERROR(CriteriTecnici!$N2318*1,IFERROR(NUMBERVALUE(CriteriTecnici!$N2318,".",","),IFERROR(NUMBERVALUE(CriteriTecnici!$N2318,",","."),0))),4)&amp;""),",",".")&amp;", "&amp;CHAR(34)&amp;"numerator"&amp;CHAR(34)&amp;": "&amp;SUBSTITUTE(TRIM(ROUND(IFERROR(CriteriTecnici!$K2318*1,IFERROR(NUMBERVALUE(CriteriTecnici!$K2318,".",","),IFERROR(NUMBERVALUE(CriteriTecnici!$K2318,",","."),0))),4)&amp;""),",",".")&amp;", "&amp;CHAR(34)&amp;"denominator"&amp;CHAR(34)&amp;": "&amp;SUBSTITUTE(TRIM(ROUND(IFERROR(CriteriTecnici!$L2318*1,IFERROR(NUMBERVALUE(CriteriTecnici!$L2318,".",","),IFERROR(NUMBERVALUE(CriteriTecnici!$L2318,",","."),0))),4)&amp;""),",",".")&amp;", "&amp;CHAR(34)&amp;"flag"&amp;CHAR(34)&amp;": "&amp;SUBSTITUTE(TRIM(ROUND(IFERROR(CriteriTecnici!$M2318*1,IFERROR(NUMBERVALUE(CriteriTecnici!$M2318,".",","),IFERROR(NUMBERVALUE(CriteriTecnici!$M2318,",","."),0))),4)&amp;""),",",".")&amp;", "&amp;CHAR(34)&amp;"rawScore"&amp;CHAR(34)&amp;": "&amp;SUBSTITUTE(TRIM(ROUND(IFERROR(CriteriTecnici!$O2318*1,IFERROR(NUMBERVALUE(CriteriTecnici!$O2318,".",","),IFERROR(NUMBERVALUE(CriteriTecnici!$O2318,",","."),0))),4)&amp;""),",",".")&amp;CHAR(125)&amp;IF(TRUE,",",""))</f>
        <v/>
      </c>
    </row>
    <row r="2420">
      <c r="A2420" s="82">
        <f>IF(CriteriTecnici!$A2319="","","    "&amp;CHAR(123)&amp;CHAR(34)&amp;"bidderId"&amp;CHAR(34)&amp;": "&amp;CHAR(34)&amp;SUBSTITUTE(CriteriTecnici!$A2319,CHAR(34),"'")&amp;CHAR(34)&amp;", "&amp;CHAR(34)&amp;"lotId"&amp;CHAR(34)&amp;": "&amp;CHAR(34)&amp;SUBSTITUTE(CriteriTecnici!$C2319,CHAR(34),"'")&amp;CHAR(34)&amp;", "&amp;CHAR(34)&amp;"criterionId"&amp;CHAR(34)&amp;": "&amp;CHAR(34)&amp;SUBSTITUTE(CriteriTecnici!$D2319,CHAR(34),"'")&amp;CHAR(34)&amp;", "&amp;CHAR(34)&amp;"kind"&amp;CHAR(34)&amp;": "&amp;CHAR(34)&amp;SUBSTITUTE(CriteriTecnici!$F2319,CHAR(34),"'")&amp;CHAR(34)&amp;", "&amp;CHAR(34)&amp;"value"&amp;CHAR(34)&amp;": "&amp;SUBSTITUTE(TRIM(ROUND(IFERROR(CriteriTecnici!$N2319*1,IFERROR(NUMBERVALUE(CriteriTecnici!$N2319,".",","),IFERROR(NUMBERVALUE(CriteriTecnici!$N2319,",","."),0))),4)&amp;""),",",".")&amp;", "&amp;CHAR(34)&amp;"numerator"&amp;CHAR(34)&amp;": "&amp;SUBSTITUTE(TRIM(ROUND(IFERROR(CriteriTecnici!$K2319*1,IFERROR(NUMBERVALUE(CriteriTecnici!$K2319,".",","),IFERROR(NUMBERVALUE(CriteriTecnici!$K2319,",","."),0))),4)&amp;""),",",".")&amp;", "&amp;CHAR(34)&amp;"denominator"&amp;CHAR(34)&amp;": "&amp;SUBSTITUTE(TRIM(ROUND(IFERROR(CriteriTecnici!$L2319*1,IFERROR(NUMBERVALUE(CriteriTecnici!$L2319,".",","),IFERROR(NUMBERVALUE(CriteriTecnici!$L2319,",","."),0))),4)&amp;""),",",".")&amp;", "&amp;CHAR(34)&amp;"flag"&amp;CHAR(34)&amp;": "&amp;SUBSTITUTE(TRIM(ROUND(IFERROR(CriteriTecnici!$M2319*1,IFERROR(NUMBERVALUE(CriteriTecnici!$M2319,".",","),IFERROR(NUMBERVALUE(CriteriTecnici!$M2319,",","."),0))),4)&amp;""),",",".")&amp;", "&amp;CHAR(34)&amp;"rawScore"&amp;CHAR(34)&amp;": "&amp;SUBSTITUTE(TRIM(ROUND(IFERROR(CriteriTecnici!$O2319*1,IFERROR(NUMBERVALUE(CriteriTecnici!$O2319,".",","),IFERROR(NUMBERVALUE(CriteriTecnici!$O2319,",","."),0))),4)&amp;""),",",".")&amp;CHAR(125)&amp;IF(TRUE,",",""))</f>
        <v/>
      </c>
    </row>
    <row r="2421">
      <c r="A2421" s="82">
        <f>IF(CriteriTecnici!$A2320="","","    "&amp;CHAR(123)&amp;CHAR(34)&amp;"bidderId"&amp;CHAR(34)&amp;": "&amp;CHAR(34)&amp;SUBSTITUTE(CriteriTecnici!$A2320,CHAR(34),"'")&amp;CHAR(34)&amp;", "&amp;CHAR(34)&amp;"lotId"&amp;CHAR(34)&amp;": "&amp;CHAR(34)&amp;SUBSTITUTE(CriteriTecnici!$C2320,CHAR(34),"'")&amp;CHAR(34)&amp;", "&amp;CHAR(34)&amp;"criterionId"&amp;CHAR(34)&amp;": "&amp;CHAR(34)&amp;SUBSTITUTE(CriteriTecnici!$D2320,CHAR(34),"'")&amp;CHAR(34)&amp;", "&amp;CHAR(34)&amp;"kind"&amp;CHAR(34)&amp;": "&amp;CHAR(34)&amp;SUBSTITUTE(CriteriTecnici!$F2320,CHAR(34),"'")&amp;CHAR(34)&amp;", "&amp;CHAR(34)&amp;"value"&amp;CHAR(34)&amp;": "&amp;SUBSTITUTE(TRIM(ROUND(IFERROR(CriteriTecnici!$N2320*1,IFERROR(NUMBERVALUE(CriteriTecnici!$N2320,".",","),IFERROR(NUMBERVALUE(CriteriTecnici!$N2320,",","."),0))),4)&amp;""),",",".")&amp;", "&amp;CHAR(34)&amp;"numerator"&amp;CHAR(34)&amp;": "&amp;SUBSTITUTE(TRIM(ROUND(IFERROR(CriteriTecnici!$K2320*1,IFERROR(NUMBERVALUE(CriteriTecnici!$K2320,".",","),IFERROR(NUMBERVALUE(CriteriTecnici!$K2320,",","."),0))),4)&amp;""),",",".")&amp;", "&amp;CHAR(34)&amp;"denominator"&amp;CHAR(34)&amp;": "&amp;SUBSTITUTE(TRIM(ROUND(IFERROR(CriteriTecnici!$L2320*1,IFERROR(NUMBERVALUE(CriteriTecnici!$L2320,".",","),IFERROR(NUMBERVALUE(CriteriTecnici!$L2320,",","."),0))),4)&amp;""),",",".")&amp;", "&amp;CHAR(34)&amp;"flag"&amp;CHAR(34)&amp;": "&amp;SUBSTITUTE(TRIM(ROUND(IFERROR(CriteriTecnici!$M2320*1,IFERROR(NUMBERVALUE(CriteriTecnici!$M2320,".",","),IFERROR(NUMBERVALUE(CriteriTecnici!$M2320,",","."),0))),4)&amp;""),",",".")&amp;", "&amp;CHAR(34)&amp;"rawScore"&amp;CHAR(34)&amp;": "&amp;SUBSTITUTE(TRIM(ROUND(IFERROR(CriteriTecnici!$O2320*1,IFERROR(NUMBERVALUE(CriteriTecnici!$O2320,".",","),IFERROR(NUMBERVALUE(CriteriTecnici!$O2320,",","."),0))),4)&amp;""),",",".")&amp;CHAR(125)&amp;IF(TRUE,",",""))</f>
        <v/>
      </c>
    </row>
    <row r="2422">
      <c r="A2422" s="82">
        <f>IF(CriteriTecnici!$A2321="","","    "&amp;CHAR(123)&amp;CHAR(34)&amp;"bidderId"&amp;CHAR(34)&amp;": "&amp;CHAR(34)&amp;SUBSTITUTE(CriteriTecnici!$A2321,CHAR(34),"'")&amp;CHAR(34)&amp;", "&amp;CHAR(34)&amp;"lotId"&amp;CHAR(34)&amp;": "&amp;CHAR(34)&amp;SUBSTITUTE(CriteriTecnici!$C2321,CHAR(34),"'")&amp;CHAR(34)&amp;", "&amp;CHAR(34)&amp;"criterionId"&amp;CHAR(34)&amp;": "&amp;CHAR(34)&amp;SUBSTITUTE(CriteriTecnici!$D2321,CHAR(34),"'")&amp;CHAR(34)&amp;", "&amp;CHAR(34)&amp;"kind"&amp;CHAR(34)&amp;": "&amp;CHAR(34)&amp;SUBSTITUTE(CriteriTecnici!$F2321,CHAR(34),"'")&amp;CHAR(34)&amp;", "&amp;CHAR(34)&amp;"value"&amp;CHAR(34)&amp;": "&amp;SUBSTITUTE(TRIM(ROUND(IFERROR(CriteriTecnici!$N2321*1,IFERROR(NUMBERVALUE(CriteriTecnici!$N2321,".",","),IFERROR(NUMBERVALUE(CriteriTecnici!$N2321,",","."),0))),4)&amp;""),",",".")&amp;", "&amp;CHAR(34)&amp;"numerator"&amp;CHAR(34)&amp;": "&amp;SUBSTITUTE(TRIM(ROUND(IFERROR(CriteriTecnici!$K2321*1,IFERROR(NUMBERVALUE(CriteriTecnici!$K2321,".",","),IFERROR(NUMBERVALUE(CriteriTecnici!$K2321,",","."),0))),4)&amp;""),",",".")&amp;", "&amp;CHAR(34)&amp;"denominator"&amp;CHAR(34)&amp;": "&amp;SUBSTITUTE(TRIM(ROUND(IFERROR(CriteriTecnici!$L2321*1,IFERROR(NUMBERVALUE(CriteriTecnici!$L2321,".",","),IFERROR(NUMBERVALUE(CriteriTecnici!$L2321,",","."),0))),4)&amp;""),",",".")&amp;", "&amp;CHAR(34)&amp;"flag"&amp;CHAR(34)&amp;": "&amp;SUBSTITUTE(TRIM(ROUND(IFERROR(CriteriTecnici!$M2321*1,IFERROR(NUMBERVALUE(CriteriTecnici!$M2321,".",","),IFERROR(NUMBERVALUE(CriteriTecnici!$M2321,",","."),0))),4)&amp;""),",",".")&amp;", "&amp;CHAR(34)&amp;"rawScore"&amp;CHAR(34)&amp;": "&amp;SUBSTITUTE(TRIM(ROUND(IFERROR(CriteriTecnici!$O2321*1,IFERROR(NUMBERVALUE(CriteriTecnici!$O2321,".",","),IFERROR(NUMBERVALUE(CriteriTecnici!$O2321,",","."),0))),4)&amp;""),",",".")&amp;CHAR(125)&amp;IF(TRUE,",",""))</f>
        <v/>
      </c>
    </row>
    <row r="2423">
      <c r="A2423" s="82">
        <f>IF(CriteriTecnici!$A2322="","","    "&amp;CHAR(123)&amp;CHAR(34)&amp;"bidderId"&amp;CHAR(34)&amp;": "&amp;CHAR(34)&amp;SUBSTITUTE(CriteriTecnici!$A2322,CHAR(34),"'")&amp;CHAR(34)&amp;", "&amp;CHAR(34)&amp;"lotId"&amp;CHAR(34)&amp;": "&amp;CHAR(34)&amp;SUBSTITUTE(CriteriTecnici!$C2322,CHAR(34),"'")&amp;CHAR(34)&amp;", "&amp;CHAR(34)&amp;"criterionId"&amp;CHAR(34)&amp;": "&amp;CHAR(34)&amp;SUBSTITUTE(CriteriTecnici!$D2322,CHAR(34),"'")&amp;CHAR(34)&amp;", "&amp;CHAR(34)&amp;"kind"&amp;CHAR(34)&amp;": "&amp;CHAR(34)&amp;SUBSTITUTE(CriteriTecnici!$F2322,CHAR(34),"'")&amp;CHAR(34)&amp;", "&amp;CHAR(34)&amp;"value"&amp;CHAR(34)&amp;": "&amp;SUBSTITUTE(TRIM(ROUND(IFERROR(CriteriTecnici!$N2322*1,IFERROR(NUMBERVALUE(CriteriTecnici!$N2322,".",","),IFERROR(NUMBERVALUE(CriteriTecnici!$N2322,",","."),0))),4)&amp;""),",",".")&amp;", "&amp;CHAR(34)&amp;"numerator"&amp;CHAR(34)&amp;": "&amp;SUBSTITUTE(TRIM(ROUND(IFERROR(CriteriTecnici!$K2322*1,IFERROR(NUMBERVALUE(CriteriTecnici!$K2322,".",","),IFERROR(NUMBERVALUE(CriteriTecnici!$K2322,",","."),0))),4)&amp;""),",",".")&amp;", "&amp;CHAR(34)&amp;"denominator"&amp;CHAR(34)&amp;": "&amp;SUBSTITUTE(TRIM(ROUND(IFERROR(CriteriTecnici!$L2322*1,IFERROR(NUMBERVALUE(CriteriTecnici!$L2322,".",","),IFERROR(NUMBERVALUE(CriteriTecnici!$L2322,",","."),0))),4)&amp;""),",",".")&amp;", "&amp;CHAR(34)&amp;"flag"&amp;CHAR(34)&amp;": "&amp;SUBSTITUTE(TRIM(ROUND(IFERROR(CriteriTecnici!$M2322*1,IFERROR(NUMBERVALUE(CriteriTecnici!$M2322,".",","),IFERROR(NUMBERVALUE(CriteriTecnici!$M2322,",","."),0))),4)&amp;""),",",".")&amp;", "&amp;CHAR(34)&amp;"rawScore"&amp;CHAR(34)&amp;": "&amp;SUBSTITUTE(TRIM(ROUND(IFERROR(CriteriTecnici!$O2322*1,IFERROR(NUMBERVALUE(CriteriTecnici!$O2322,".",","),IFERROR(NUMBERVALUE(CriteriTecnici!$O2322,",","."),0))),4)&amp;""),",",".")&amp;CHAR(125)&amp;IF(TRUE,",",""))</f>
        <v/>
      </c>
    </row>
    <row r="2424">
      <c r="A2424" s="82">
        <f>IF(CriteriTecnici!$A2323="","","    "&amp;CHAR(123)&amp;CHAR(34)&amp;"bidderId"&amp;CHAR(34)&amp;": "&amp;CHAR(34)&amp;SUBSTITUTE(CriteriTecnici!$A2323,CHAR(34),"'")&amp;CHAR(34)&amp;", "&amp;CHAR(34)&amp;"lotId"&amp;CHAR(34)&amp;": "&amp;CHAR(34)&amp;SUBSTITUTE(CriteriTecnici!$C2323,CHAR(34),"'")&amp;CHAR(34)&amp;", "&amp;CHAR(34)&amp;"criterionId"&amp;CHAR(34)&amp;": "&amp;CHAR(34)&amp;SUBSTITUTE(CriteriTecnici!$D2323,CHAR(34),"'")&amp;CHAR(34)&amp;", "&amp;CHAR(34)&amp;"kind"&amp;CHAR(34)&amp;": "&amp;CHAR(34)&amp;SUBSTITUTE(CriteriTecnici!$F2323,CHAR(34),"'")&amp;CHAR(34)&amp;", "&amp;CHAR(34)&amp;"value"&amp;CHAR(34)&amp;": "&amp;SUBSTITUTE(TRIM(ROUND(IFERROR(CriteriTecnici!$N2323*1,IFERROR(NUMBERVALUE(CriteriTecnici!$N2323,".",","),IFERROR(NUMBERVALUE(CriteriTecnici!$N2323,",","."),0))),4)&amp;""),",",".")&amp;", "&amp;CHAR(34)&amp;"numerator"&amp;CHAR(34)&amp;": "&amp;SUBSTITUTE(TRIM(ROUND(IFERROR(CriteriTecnici!$K2323*1,IFERROR(NUMBERVALUE(CriteriTecnici!$K2323,".",","),IFERROR(NUMBERVALUE(CriteriTecnici!$K2323,",","."),0))),4)&amp;""),",",".")&amp;", "&amp;CHAR(34)&amp;"denominator"&amp;CHAR(34)&amp;": "&amp;SUBSTITUTE(TRIM(ROUND(IFERROR(CriteriTecnici!$L2323*1,IFERROR(NUMBERVALUE(CriteriTecnici!$L2323,".",","),IFERROR(NUMBERVALUE(CriteriTecnici!$L2323,",","."),0))),4)&amp;""),",",".")&amp;", "&amp;CHAR(34)&amp;"flag"&amp;CHAR(34)&amp;": "&amp;SUBSTITUTE(TRIM(ROUND(IFERROR(CriteriTecnici!$M2323*1,IFERROR(NUMBERVALUE(CriteriTecnici!$M2323,".",","),IFERROR(NUMBERVALUE(CriteriTecnici!$M2323,",","."),0))),4)&amp;""),",",".")&amp;", "&amp;CHAR(34)&amp;"rawScore"&amp;CHAR(34)&amp;": "&amp;SUBSTITUTE(TRIM(ROUND(IFERROR(CriteriTecnici!$O2323*1,IFERROR(NUMBERVALUE(CriteriTecnici!$O2323,".",","),IFERROR(NUMBERVALUE(CriteriTecnici!$O2323,",","."),0))),4)&amp;""),",",".")&amp;CHAR(125)&amp;IF(TRUE,",",""))</f>
        <v/>
      </c>
    </row>
    <row r="2425">
      <c r="A2425" s="82">
        <f>IF(CriteriTecnici!$A2324="","","    "&amp;CHAR(123)&amp;CHAR(34)&amp;"bidderId"&amp;CHAR(34)&amp;": "&amp;CHAR(34)&amp;SUBSTITUTE(CriteriTecnici!$A2324,CHAR(34),"'")&amp;CHAR(34)&amp;", "&amp;CHAR(34)&amp;"lotId"&amp;CHAR(34)&amp;": "&amp;CHAR(34)&amp;SUBSTITUTE(CriteriTecnici!$C2324,CHAR(34),"'")&amp;CHAR(34)&amp;", "&amp;CHAR(34)&amp;"criterionId"&amp;CHAR(34)&amp;": "&amp;CHAR(34)&amp;SUBSTITUTE(CriteriTecnici!$D2324,CHAR(34),"'")&amp;CHAR(34)&amp;", "&amp;CHAR(34)&amp;"kind"&amp;CHAR(34)&amp;": "&amp;CHAR(34)&amp;SUBSTITUTE(CriteriTecnici!$F2324,CHAR(34),"'")&amp;CHAR(34)&amp;", "&amp;CHAR(34)&amp;"value"&amp;CHAR(34)&amp;": "&amp;SUBSTITUTE(TRIM(ROUND(IFERROR(CriteriTecnici!$N2324*1,IFERROR(NUMBERVALUE(CriteriTecnici!$N2324,".",","),IFERROR(NUMBERVALUE(CriteriTecnici!$N2324,",","."),0))),4)&amp;""),",",".")&amp;", "&amp;CHAR(34)&amp;"numerator"&amp;CHAR(34)&amp;": "&amp;SUBSTITUTE(TRIM(ROUND(IFERROR(CriteriTecnici!$K2324*1,IFERROR(NUMBERVALUE(CriteriTecnici!$K2324,".",","),IFERROR(NUMBERVALUE(CriteriTecnici!$K2324,",","."),0))),4)&amp;""),",",".")&amp;", "&amp;CHAR(34)&amp;"denominator"&amp;CHAR(34)&amp;": "&amp;SUBSTITUTE(TRIM(ROUND(IFERROR(CriteriTecnici!$L2324*1,IFERROR(NUMBERVALUE(CriteriTecnici!$L2324,".",","),IFERROR(NUMBERVALUE(CriteriTecnici!$L2324,",","."),0))),4)&amp;""),",",".")&amp;", "&amp;CHAR(34)&amp;"flag"&amp;CHAR(34)&amp;": "&amp;SUBSTITUTE(TRIM(ROUND(IFERROR(CriteriTecnici!$M2324*1,IFERROR(NUMBERVALUE(CriteriTecnici!$M2324,".",","),IFERROR(NUMBERVALUE(CriteriTecnici!$M2324,",","."),0))),4)&amp;""),",",".")&amp;", "&amp;CHAR(34)&amp;"rawScore"&amp;CHAR(34)&amp;": "&amp;SUBSTITUTE(TRIM(ROUND(IFERROR(CriteriTecnici!$O2324*1,IFERROR(NUMBERVALUE(CriteriTecnici!$O2324,".",","),IFERROR(NUMBERVALUE(CriteriTecnici!$O2324,",","."),0))),4)&amp;""),",",".")&amp;CHAR(125)&amp;IF(TRUE,",",""))</f>
        <v/>
      </c>
    </row>
    <row r="2426">
      <c r="A2426" s="82">
        <f>IF(CriteriTecnici!$A2325="","","    "&amp;CHAR(123)&amp;CHAR(34)&amp;"bidderId"&amp;CHAR(34)&amp;": "&amp;CHAR(34)&amp;SUBSTITUTE(CriteriTecnici!$A2325,CHAR(34),"'")&amp;CHAR(34)&amp;", "&amp;CHAR(34)&amp;"lotId"&amp;CHAR(34)&amp;": "&amp;CHAR(34)&amp;SUBSTITUTE(CriteriTecnici!$C2325,CHAR(34),"'")&amp;CHAR(34)&amp;", "&amp;CHAR(34)&amp;"criterionId"&amp;CHAR(34)&amp;": "&amp;CHAR(34)&amp;SUBSTITUTE(CriteriTecnici!$D2325,CHAR(34),"'")&amp;CHAR(34)&amp;", "&amp;CHAR(34)&amp;"kind"&amp;CHAR(34)&amp;": "&amp;CHAR(34)&amp;SUBSTITUTE(CriteriTecnici!$F2325,CHAR(34),"'")&amp;CHAR(34)&amp;", "&amp;CHAR(34)&amp;"value"&amp;CHAR(34)&amp;": "&amp;SUBSTITUTE(TRIM(ROUND(IFERROR(CriteriTecnici!$N2325*1,IFERROR(NUMBERVALUE(CriteriTecnici!$N2325,".",","),IFERROR(NUMBERVALUE(CriteriTecnici!$N2325,",","."),0))),4)&amp;""),",",".")&amp;", "&amp;CHAR(34)&amp;"numerator"&amp;CHAR(34)&amp;": "&amp;SUBSTITUTE(TRIM(ROUND(IFERROR(CriteriTecnici!$K2325*1,IFERROR(NUMBERVALUE(CriteriTecnici!$K2325,".",","),IFERROR(NUMBERVALUE(CriteriTecnici!$K2325,",","."),0))),4)&amp;""),",",".")&amp;", "&amp;CHAR(34)&amp;"denominator"&amp;CHAR(34)&amp;": "&amp;SUBSTITUTE(TRIM(ROUND(IFERROR(CriteriTecnici!$L2325*1,IFERROR(NUMBERVALUE(CriteriTecnici!$L2325,".",","),IFERROR(NUMBERVALUE(CriteriTecnici!$L2325,",","."),0))),4)&amp;""),",",".")&amp;", "&amp;CHAR(34)&amp;"flag"&amp;CHAR(34)&amp;": "&amp;SUBSTITUTE(TRIM(ROUND(IFERROR(CriteriTecnici!$M2325*1,IFERROR(NUMBERVALUE(CriteriTecnici!$M2325,".",","),IFERROR(NUMBERVALUE(CriteriTecnici!$M2325,",","."),0))),4)&amp;""),",",".")&amp;", "&amp;CHAR(34)&amp;"rawScore"&amp;CHAR(34)&amp;": "&amp;SUBSTITUTE(TRIM(ROUND(IFERROR(CriteriTecnici!$O2325*1,IFERROR(NUMBERVALUE(CriteriTecnici!$O2325,".",","),IFERROR(NUMBERVALUE(CriteriTecnici!$O2325,",","."),0))),4)&amp;""),",",".")&amp;CHAR(125)&amp;IF(TRUE,",",""))</f>
        <v/>
      </c>
    </row>
    <row r="2427">
      <c r="A2427" s="82">
        <f>IF(CriteriTecnici!$A2326="","","    "&amp;CHAR(123)&amp;CHAR(34)&amp;"bidderId"&amp;CHAR(34)&amp;": "&amp;CHAR(34)&amp;SUBSTITUTE(CriteriTecnici!$A2326,CHAR(34),"'")&amp;CHAR(34)&amp;", "&amp;CHAR(34)&amp;"lotId"&amp;CHAR(34)&amp;": "&amp;CHAR(34)&amp;SUBSTITUTE(CriteriTecnici!$C2326,CHAR(34),"'")&amp;CHAR(34)&amp;", "&amp;CHAR(34)&amp;"criterionId"&amp;CHAR(34)&amp;": "&amp;CHAR(34)&amp;SUBSTITUTE(CriteriTecnici!$D2326,CHAR(34),"'")&amp;CHAR(34)&amp;", "&amp;CHAR(34)&amp;"kind"&amp;CHAR(34)&amp;": "&amp;CHAR(34)&amp;SUBSTITUTE(CriteriTecnici!$F2326,CHAR(34),"'")&amp;CHAR(34)&amp;", "&amp;CHAR(34)&amp;"value"&amp;CHAR(34)&amp;": "&amp;SUBSTITUTE(TRIM(ROUND(IFERROR(CriteriTecnici!$N2326*1,IFERROR(NUMBERVALUE(CriteriTecnici!$N2326,".",","),IFERROR(NUMBERVALUE(CriteriTecnici!$N2326,",","."),0))),4)&amp;""),",",".")&amp;", "&amp;CHAR(34)&amp;"numerator"&amp;CHAR(34)&amp;": "&amp;SUBSTITUTE(TRIM(ROUND(IFERROR(CriteriTecnici!$K2326*1,IFERROR(NUMBERVALUE(CriteriTecnici!$K2326,".",","),IFERROR(NUMBERVALUE(CriteriTecnici!$K2326,",","."),0))),4)&amp;""),",",".")&amp;", "&amp;CHAR(34)&amp;"denominator"&amp;CHAR(34)&amp;": "&amp;SUBSTITUTE(TRIM(ROUND(IFERROR(CriteriTecnici!$L2326*1,IFERROR(NUMBERVALUE(CriteriTecnici!$L2326,".",","),IFERROR(NUMBERVALUE(CriteriTecnici!$L2326,",","."),0))),4)&amp;""),",",".")&amp;", "&amp;CHAR(34)&amp;"flag"&amp;CHAR(34)&amp;": "&amp;SUBSTITUTE(TRIM(ROUND(IFERROR(CriteriTecnici!$M2326*1,IFERROR(NUMBERVALUE(CriteriTecnici!$M2326,".",","),IFERROR(NUMBERVALUE(CriteriTecnici!$M2326,",","."),0))),4)&amp;""),",",".")&amp;", "&amp;CHAR(34)&amp;"rawScore"&amp;CHAR(34)&amp;": "&amp;SUBSTITUTE(TRIM(ROUND(IFERROR(CriteriTecnici!$O2326*1,IFERROR(NUMBERVALUE(CriteriTecnici!$O2326,".",","),IFERROR(NUMBERVALUE(CriteriTecnici!$O2326,",","."),0))),4)&amp;""),",",".")&amp;CHAR(125)&amp;IF(TRUE,",",""))</f>
        <v/>
      </c>
    </row>
    <row r="2428">
      <c r="A2428" s="82">
        <f>IF(CriteriTecnici!$A2327="","","    "&amp;CHAR(123)&amp;CHAR(34)&amp;"bidderId"&amp;CHAR(34)&amp;": "&amp;CHAR(34)&amp;SUBSTITUTE(CriteriTecnici!$A2327,CHAR(34),"'")&amp;CHAR(34)&amp;", "&amp;CHAR(34)&amp;"lotId"&amp;CHAR(34)&amp;": "&amp;CHAR(34)&amp;SUBSTITUTE(CriteriTecnici!$C2327,CHAR(34),"'")&amp;CHAR(34)&amp;", "&amp;CHAR(34)&amp;"criterionId"&amp;CHAR(34)&amp;": "&amp;CHAR(34)&amp;SUBSTITUTE(CriteriTecnici!$D2327,CHAR(34),"'")&amp;CHAR(34)&amp;", "&amp;CHAR(34)&amp;"kind"&amp;CHAR(34)&amp;": "&amp;CHAR(34)&amp;SUBSTITUTE(CriteriTecnici!$F2327,CHAR(34),"'")&amp;CHAR(34)&amp;", "&amp;CHAR(34)&amp;"value"&amp;CHAR(34)&amp;": "&amp;SUBSTITUTE(TRIM(ROUND(IFERROR(CriteriTecnici!$N2327*1,IFERROR(NUMBERVALUE(CriteriTecnici!$N2327,".",","),IFERROR(NUMBERVALUE(CriteriTecnici!$N2327,",","."),0))),4)&amp;""),",",".")&amp;", "&amp;CHAR(34)&amp;"numerator"&amp;CHAR(34)&amp;": "&amp;SUBSTITUTE(TRIM(ROUND(IFERROR(CriteriTecnici!$K2327*1,IFERROR(NUMBERVALUE(CriteriTecnici!$K2327,".",","),IFERROR(NUMBERVALUE(CriteriTecnici!$K2327,",","."),0))),4)&amp;""),",",".")&amp;", "&amp;CHAR(34)&amp;"denominator"&amp;CHAR(34)&amp;": "&amp;SUBSTITUTE(TRIM(ROUND(IFERROR(CriteriTecnici!$L2327*1,IFERROR(NUMBERVALUE(CriteriTecnici!$L2327,".",","),IFERROR(NUMBERVALUE(CriteriTecnici!$L2327,",","."),0))),4)&amp;""),",",".")&amp;", "&amp;CHAR(34)&amp;"flag"&amp;CHAR(34)&amp;": "&amp;SUBSTITUTE(TRIM(ROUND(IFERROR(CriteriTecnici!$M2327*1,IFERROR(NUMBERVALUE(CriteriTecnici!$M2327,".",","),IFERROR(NUMBERVALUE(CriteriTecnici!$M2327,",","."),0))),4)&amp;""),",",".")&amp;", "&amp;CHAR(34)&amp;"rawScore"&amp;CHAR(34)&amp;": "&amp;SUBSTITUTE(TRIM(ROUND(IFERROR(CriteriTecnici!$O2327*1,IFERROR(NUMBERVALUE(CriteriTecnici!$O2327,".",","),IFERROR(NUMBERVALUE(CriteriTecnici!$O2327,",","."),0))),4)&amp;""),",",".")&amp;CHAR(125)&amp;IF(TRUE,",",""))</f>
        <v/>
      </c>
    </row>
    <row r="2429">
      <c r="A2429" s="82">
        <f>IF(CriteriTecnici!$A2328="","","    "&amp;CHAR(123)&amp;CHAR(34)&amp;"bidderId"&amp;CHAR(34)&amp;": "&amp;CHAR(34)&amp;SUBSTITUTE(CriteriTecnici!$A2328,CHAR(34),"'")&amp;CHAR(34)&amp;", "&amp;CHAR(34)&amp;"lotId"&amp;CHAR(34)&amp;": "&amp;CHAR(34)&amp;SUBSTITUTE(CriteriTecnici!$C2328,CHAR(34),"'")&amp;CHAR(34)&amp;", "&amp;CHAR(34)&amp;"criterionId"&amp;CHAR(34)&amp;": "&amp;CHAR(34)&amp;SUBSTITUTE(CriteriTecnici!$D2328,CHAR(34),"'")&amp;CHAR(34)&amp;", "&amp;CHAR(34)&amp;"kind"&amp;CHAR(34)&amp;": "&amp;CHAR(34)&amp;SUBSTITUTE(CriteriTecnici!$F2328,CHAR(34),"'")&amp;CHAR(34)&amp;", "&amp;CHAR(34)&amp;"value"&amp;CHAR(34)&amp;": "&amp;SUBSTITUTE(TRIM(ROUND(IFERROR(CriteriTecnici!$N2328*1,IFERROR(NUMBERVALUE(CriteriTecnici!$N2328,".",","),IFERROR(NUMBERVALUE(CriteriTecnici!$N2328,",","."),0))),4)&amp;""),",",".")&amp;", "&amp;CHAR(34)&amp;"numerator"&amp;CHAR(34)&amp;": "&amp;SUBSTITUTE(TRIM(ROUND(IFERROR(CriteriTecnici!$K2328*1,IFERROR(NUMBERVALUE(CriteriTecnici!$K2328,".",","),IFERROR(NUMBERVALUE(CriteriTecnici!$K2328,",","."),0))),4)&amp;""),",",".")&amp;", "&amp;CHAR(34)&amp;"denominator"&amp;CHAR(34)&amp;": "&amp;SUBSTITUTE(TRIM(ROUND(IFERROR(CriteriTecnici!$L2328*1,IFERROR(NUMBERVALUE(CriteriTecnici!$L2328,".",","),IFERROR(NUMBERVALUE(CriteriTecnici!$L2328,",","."),0))),4)&amp;""),",",".")&amp;", "&amp;CHAR(34)&amp;"flag"&amp;CHAR(34)&amp;": "&amp;SUBSTITUTE(TRIM(ROUND(IFERROR(CriteriTecnici!$M2328*1,IFERROR(NUMBERVALUE(CriteriTecnici!$M2328,".",","),IFERROR(NUMBERVALUE(CriteriTecnici!$M2328,",","."),0))),4)&amp;""),",",".")&amp;", "&amp;CHAR(34)&amp;"rawScore"&amp;CHAR(34)&amp;": "&amp;SUBSTITUTE(TRIM(ROUND(IFERROR(CriteriTecnici!$O2328*1,IFERROR(NUMBERVALUE(CriteriTecnici!$O2328,".",","),IFERROR(NUMBERVALUE(CriteriTecnici!$O2328,",","."),0))),4)&amp;""),",",".")&amp;CHAR(125)&amp;IF(TRUE,",",""))</f>
        <v/>
      </c>
    </row>
    <row r="2430">
      <c r="A2430" s="82">
        <f>IF(CriteriTecnici!$A2329="","","    "&amp;CHAR(123)&amp;CHAR(34)&amp;"bidderId"&amp;CHAR(34)&amp;": "&amp;CHAR(34)&amp;SUBSTITUTE(CriteriTecnici!$A2329,CHAR(34),"'")&amp;CHAR(34)&amp;", "&amp;CHAR(34)&amp;"lotId"&amp;CHAR(34)&amp;": "&amp;CHAR(34)&amp;SUBSTITUTE(CriteriTecnici!$C2329,CHAR(34),"'")&amp;CHAR(34)&amp;", "&amp;CHAR(34)&amp;"criterionId"&amp;CHAR(34)&amp;": "&amp;CHAR(34)&amp;SUBSTITUTE(CriteriTecnici!$D2329,CHAR(34),"'")&amp;CHAR(34)&amp;", "&amp;CHAR(34)&amp;"kind"&amp;CHAR(34)&amp;": "&amp;CHAR(34)&amp;SUBSTITUTE(CriteriTecnici!$F2329,CHAR(34),"'")&amp;CHAR(34)&amp;", "&amp;CHAR(34)&amp;"value"&amp;CHAR(34)&amp;": "&amp;SUBSTITUTE(TRIM(ROUND(IFERROR(CriteriTecnici!$N2329*1,IFERROR(NUMBERVALUE(CriteriTecnici!$N2329,".",","),IFERROR(NUMBERVALUE(CriteriTecnici!$N2329,",","."),0))),4)&amp;""),",",".")&amp;", "&amp;CHAR(34)&amp;"numerator"&amp;CHAR(34)&amp;": "&amp;SUBSTITUTE(TRIM(ROUND(IFERROR(CriteriTecnici!$K2329*1,IFERROR(NUMBERVALUE(CriteriTecnici!$K2329,".",","),IFERROR(NUMBERVALUE(CriteriTecnici!$K2329,",","."),0))),4)&amp;""),",",".")&amp;", "&amp;CHAR(34)&amp;"denominator"&amp;CHAR(34)&amp;": "&amp;SUBSTITUTE(TRIM(ROUND(IFERROR(CriteriTecnici!$L2329*1,IFERROR(NUMBERVALUE(CriteriTecnici!$L2329,".",","),IFERROR(NUMBERVALUE(CriteriTecnici!$L2329,",","."),0))),4)&amp;""),",",".")&amp;", "&amp;CHAR(34)&amp;"flag"&amp;CHAR(34)&amp;": "&amp;SUBSTITUTE(TRIM(ROUND(IFERROR(CriteriTecnici!$M2329*1,IFERROR(NUMBERVALUE(CriteriTecnici!$M2329,".",","),IFERROR(NUMBERVALUE(CriteriTecnici!$M2329,",","."),0))),4)&amp;""),",",".")&amp;", "&amp;CHAR(34)&amp;"rawScore"&amp;CHAR(34)&amp;": "&amp;SUBSTITUTE(TRIM(ROUND(IFERROR(CriteriTecnici!$O2329*1,IFERROR(NUMBERVALUE(CriteriTecnici!$O2329,".",","),IFERROR(NUMBERVALUE(CriteriTecnici!$O2329,",","."),0))),4)&amp;""),",",".")&amp;CHAR(125)&amp;IF(COUNTA(Offerte!$A77:$A$81)&gt;0,",",""))</f>
        <v/>
      </c>
    </row>
    <row r="2431">
      <c r="A2431" s="82">
        <f>IF(CriteriTecnici!$A2330="","","    "&amp;CHAR(123)&amp;CHAR(34)&amp;"bidderId"&amp;CHAR(34)&amp;": "&amp;CHAR(34)&amp;SUBSTITUTE(CriteriTecnici!$A2330,CHAR(34),"'")&amp;CHAR(34)&amp;", "&amp;CHAR(34)&amp;"lotId"&amp;CHAR(34)&amp;": "&amp;CHAR(34)&amp;SUBSTITUTE(CriteriTecnici!$C2330,CHAR(34),"'")&amp;CHAR(34)&amp;", "&amp;CHAR(34)&amp;"criterionId"&amp;CHAR(34)&amp;": "&amp;CHAR(34)&amp;SUBSTITUTE(CriteriTecnici!$D2330,CHAR(34),"'")&amp;CHAR(34)&amp;", "&amp;CHAR(34)&amp;"kind"&amp;CHAR(34)&amp;": "&amp;CHAR(34)&amp;SUBSTITUTE(CriteriTecnici!$F2330,CHAR(34),"'")&amp;CHAR(34)&amp;", "&amp;CHAR(34)&amp;"value"&amp;CHAR(34)&amp;": "&amp;SUBSTITUTE(TRIM(ROUND(IFERROR(CriteriTecnici!$N2330*1,IFERROR(NUMBERVALUE(CriteriTecnici!$N2330,".",","),IFERROR(NUMBERVALUE(CriteriTecnici!$N2330,",","."),0))),4)&amp;""),",",".")&amp;", "&amp;CHAR(34)&amp;"numerator"&amp;CHAR(34)&amp;": "&amp;SUBSTITUTE(TRIM(ROUND(IFERROR(CriteriTecnici!$K2330*1,IFERROR(NUMBERVALUE(CriteriTecnici!$K2330,".",","),IFERROR(NUMBERVALUE(CriteriTecnici!$K2330,",","."),0))),4)&amp;""),",",".")&amp;", "&amp;CHAR(34)&amp;"denominator"&amp;CHAR(34)&amp;": "&amp;SUBSTITUTE(TRIM(ROUND(IFERROR(CriteriTecnici!$L2330*1,IFERROR(NUMBERVALUE(CriteriTecnici!$L2330,".",","),IFERROR(NUMBERVALUE(CriteriTecnici!$L2330,",","."),0))),4)&amp;""),",",".")&amp;", "&amp;CHAR(34)&amp;"flag"&amp;CHAR(34)&amp;": "&amp;SUBSTITUTE(TRIM(ROUND(IFERROR(CriteriTecnici!$M2330*1,IFERROR(NUMBERVALUE(CriteriTecnici!$M2330,".",","),IFERROR(NUMBERVALUE(CriteriTecnici!$M2330,",","."),0))),4)&amp;""),",",".")&amp;", "&amp;CHAR(34)&amp;"rawScore"&amp;CHAR(34)&amp;": "&amp;SUBSTITUTE(TRIM(ROUND(IFERROR(CriteriTecnici!$O2330*1,IFERROR(NUMBERVALUE(CriteriTecnici!$O2330,".",","),IFERROR(NUMBERVALUE(CriteriTecnici!$O2330,",","."),0))),4)&amp;""),",",".")&amp;CHAR(125)&amp;IF(TRUE,",",""))</f>
        <v/>
      </c>
    </row>
    <row r="2432">
      <c r="A2432" s="82">
        <f>IF(CriteriTecnici!$A2331="","","    "&amp;CHAR(123)&amp;CHAR(34)&amp;"bidderId"&amp;CHAR(34)&amp;": "&amp;CHAR(34)&amp;SUBSTITUTE(CriteriTecnici!$A2331,CHAR(34),"'")&amp;CHAR(34)&amp;", "&amp;CHAR(34)&amp;"lotId"&amp;CHAR(34)&amp;": "&amp;CHAR(34)&amp;SUBSTITUTE(CriteriTecnici!$C2331,CHAR(34),"'")&amp;CHAR(34)&amp;", "&amp;CHAR(34)&amp;"criterionId"&amp;CHAR(34)&amp;": "&amp;CHAR(34)&amp;SUBSTITUTE(CriteriTecnici!$D2331,CHAR(34),"'")&amp;CHAR(34)&amp;", "&amp;CHAR(34)&amp;"kind"&amp;CHAR(34)&amp;": "&amp;CHAR(34)&amp;SUBSTITUTE(CriteriTecnici!$F2331,CHAR(34),"'")&amp;CHAR(34)&amp;", "&amp;CHAR(34)&amp;"value"&amp;CHAR(34)&amp;": "&amp;SUBSTITUTE(TRIM(ROUND(IFERROR(CriteriTecnici!$N2331*1,IFERROR(NUMBERVALUE(CriteriTecnici!$N2331,".",","),IFERROR(NUMBERVALUE(CriteriTecnici!$N2331,",","."),0))),4)&amp;""),",",".")&amp;", "&amp;CHAR(34)&amp;"numerator"&amp;CHAR(34)&amp;": "&amp;SUBSTITUTE(TRIM(ROUND(IFERROR(CriteriTecnici!$K2331*1,IFERROR(NUMBERVALUE(CriteriTecnici!$K2331,".",","),IFERROR(NUMBERVALUE(CriteriTecnici!$K2331,",","."),0))),4)&amp;""),",",".")&amp;", "&amp;CHAR(34)&amp;"denominator"&amp;CHAR(34)&amp;": "&amp;SUBSTITUTE(TRIM(ROUND(IFERROR(CriteriTecnici!$L2331*1,IFERROR(NUMBERVALUE(CriteriTecnici!$L2331,".",","),IFERROR(NUMBERVALUE(CriteriTecnici!$L2331,",","."),0))),4)&amp;""),",",".")&amp;", "&amp;CHAR(34)&amp;"flag"&amp;CHAR(34)&amp;": "&amp;SUBSTITUTE(TRIM(ROUND(IFERROR(CriteriTecnici!$M2331*1,IFERROR(NUMBERVALUE(CriteriTecnici!$M2331,".",","),IFERROR(NUMBERVALUE(CriteriTecnici!$M2331,",","."),0))),4)&amp;""),",",".")&amp;", "&amp;CHAR(34)&amp;"rawScore"&amp;CHAR(34)&amp;": "&amp;SUBSTITUTE(TRIM(ROUND(IFERROR(CriteriTecnici!$O2331*1,IFERROR(NUMBERVALUE(CriteriTecnici!$O2331,".",","),IFERROR(NUMBERVALUE(CriteriTecnici!$O2331,",","."),0))),4)&amp;""),",",".")&amp;CHAR(125)&amp;IF(TRUE,",",""))</f>
        <v/>
      </c>
    </row>
    <row r="2433">
      <c r="A2433" s="82">
        <f>IF(CriteriTecnici!$A2332="","","    "&amp;CHAR(123)&amp;CHAR(34)&amp;"bidderId"&amp;CHAR(34)&amp;": "&amp;CHAR(34)&amp;SUBSTITUTE(CriteriTecnici!$A2332,CHAR(34),"'")&amp;CHAR(34)&amp;", "&amp;CHAR(34)&amp;"lotId"&amp;CHAR(34)&amp;": "&amp;CHAR(34)&amp;SUBSTITUTE(CriteriTecnici!$C2332,CHAR(34),"'")&amp;CHAR(34)&amp;", "&amp;CHAR(34)&amp;"criterionId"&amp;CHAR(34)&amp;": "&amp;CHAR(34)&amp;SUBSTITUTE(CriteriTecnici!$D2332,CHAR(34),"'")&amp;CHAR(34)&amp;", "&amp;CHAR(34)&amp;"kind"&amp;CHAR(34)&amp;": "&amp;CHAR(34)&amp;SUBSTITUTE(CriteriTecnici!$F2332,CHAR(34),"'")&amp;CHAR(34)&amp;", "&amp;CHAR(34)&amp;"value"&amp;CHAR(34)&amp;": "&amp;SUBSTITUTE(TRIM(ROUND(IFERROR(CriteriTecnici!$N2332*1,IFERROR(NUMBERVALUE(CriteriTecnici!$N2332,".",","),IFERROR(NUMBERVALUE(CriteriTecnici!$N2332,",","."),0))),4)&amp;""),",",".")&amp;", "&amp;CHAR(34)&amp;"numerator"&amp;CHAR(34)&amp;": "&amp;SUBSTITUTE(TRIM(ROUND(IFERROR(CriteriTecnici!$K2332*1,IFERROR(NUMBERVALUE(CriteriTecnici!$K2332,".",","),IFERROR(NUMBERVALUE(CriteriTecnici!$K2332,",","."),0))),4)&amp;""),",",".")&amp;", "&amp;CHAR(34)&amp;"denominator"&amp;CHAR(34)&amp;": "&amp;SUBSTITUTE(TRIM(ROUND(IFERROR(CriteriTecnici!$L2332*1,IFERROR(NUMBERVALUE(CriteriTecnici!$L2332,".",","),IFERROR(NUMBERVALUE(CriteriTecnici!$L2332,",","."),0))),4)&amp;""),",",".")&amp;", "&amp;CHAR(34)&amp;"flag"&amp;CHAR(34)&amp;": "&amp;SUBSTITUTE(TRIM(ROUND(IFERROR(CriteriTecnici!$M2332*1,IFERROR(NUMBERVALUE(CriteriTecnici!$M2332,".",","),IFERROR(NUMBERVALUE(CriteriTecnici!$M2332,",","."),0))),4)&amp;""),",",".")&amp;", "&amp;CHAR(34)&amp;"rawScore"&amp;CHAR(34)&amp;": "&amp;SUBSTITUTE(TRIM(ROUND(IFERROR(CriteriTecnici!$O2332*1,IFERROR(NUMBERVALUE(CriteriTecnici!$O2332,".",","),IFERROR(NUMBERVALUE(CriteriTecnici!$O2332,",","."),0))),4)&amp;""),",",".")&amp;CHAR(125)&amp;IF(TRUE,",",""))</f>
        <v/>
      </c>
    </row>
    <row r="2434">
      <c r="A2434" s="82">
        <f>IF(CriteriTecnici!$A2333="","","    "&amp;CHAR(123)&amp;CHAR(34)&amp;"bidderId"&amp;CHAR(34)&amp;": "&amp;CHAR(34)&amp;SUBSTITUTE(CriteriTecnici!$A2333,CHAR(34),"'")&amp;CHAR(34)&amp;", "&amp;CHAR(34)&amp;"lotId"&amp;CHAR(34)&amp;": "&amp;CHAR(34)&amp;SUBSTITUTE(CriteriTecnici!$C2333,CHAR(34),"'")&amp;CHAR(34)&amp;", "&amp;CHAR(34)&amp;"criterionId"&amp;CHAR(34)&amp;": "&amp;CHAR(34)&amp;SUBSTITUTE(CriteriTecnici!$D2333,CHAR(34),"'")&amp;CHAR(34)&amp;", "&amp;CHAR(34)&amp;"kind"&amp;CHAR(34)&amp;": "&amp;CHAR(34)&amp;SUBSTITUTE(CriteriTecnici!$F2333,CHAR(34),"'")&amp;CHAR(34)&amp;", "&amp;CHAR(34)&amp;"value"&amp;CHAR(34)&amp;": "&amp;SUBSTITUTE(TRIM(ROUND(IFERROR(CriteriTecnici!$N2333*1,IFERROR(NUMBERVALUE(CriteriTecnici!$N2333,".",","),IFERROR(NUMBERVALUE(CriteriTecnici!$N2333,",","."),0))),4)&amp;""),",",".")&amp;", "&amp;CHAR(34)&amp;"numerator"&amp;CHAR(34)&amp;": "&amp;SUBSTITUTE(TRIM(ROUND(IFERROR(CriteriTecnici!$K2333*1,IFERROR(NUMBERVALUE(CriteriTecnici!$K2333,".",","),IFERROR(NUMBERVALUE(CriteriTecnici!$K2333,",","."),0))),4)&amp;""),",",".")&amp;", "&amp;CHAR(34)&amp;"denominator"&amp;CHAR(34)&amp;": "&amp;SUBSTITUTE(TRIM(ROUND(IFERROR(CriteriTecnici!$L2333*1,IFERROR(NUMBERVALUE(CriteriTecnici!$L2333,".",","),IFERROR(NUMBERVALUE(CriteriTecnici!$L2333,",","."),0))),4)&amp;""),",",".")&amp;", "&amp;CHAR(34)&amp;"flag"&amp;CHAR(34)&amp;": "&amp;SUBSTITUTE(TRIM(ROUND(IFERROR(CriteriTecnici!$M2333*1,IFERROR(NUMBERVALUE(CriteriTecnici!$M2333,".",","),IFERROR(NUMBERVALUE(CriteriTecnici!$M2333,",","."),0))),4)&amp;""),",",".")&amp;", "&amp;CHAR(34)&amp;"rawScore"&amp;CHAR(34)&amp;": "&amp;SUBSTITUTE(TRIM(ROUND(IFERROR(CriteriTecnici!$O2333*1,IFERROR(NUMBERVALUE(CriteriTecnici!$O2333,".",","),IFERROR(NUMBERVALUE(CriteriTecnici!$O2333,",","."),0))),4)&amp;""),",",".")&amp;CHAR(125)&amp;IF(TRUE,",",""))</f>
        <v/>
      </c>
    </row>
    <row r="2435">
      <c r="A2435" s="82">
        <f>IF(CriteriTecnici!$A2334="","","    "&amp;CHAR(123)&amp;CHAR(34)&amp;"bidderId"&amp;CHAR(34)&amp;": "&amp;CHAR(34)&amp;SUBSTITUTE(CriteriTecnici!$A2334,CHAR(34),"'")&amp;CHAR(34)&amp;", "&amp;CHAR(34)&amp;"lotId"&amp;CHAR(34)&amp;": "&amp;CHAR(34)&amp;SUBSTITUTE(CriteriTecnici!$C2334,CHAR(34),"'")&amp;CHAR(34)&amp;", "&amp;CHAR(34)&amp;"criterionId"&amp;CHAR(34)&amp;": "&amp;CHAR(34)&amp;SUBSTITUTE(CriteriTecnici!$D2334,CHAR(34),"'")&amp;CHAR(34)&amp;", "&amp;CHAR(34)&amp;"kind"&amp;CHAR(34)&amp;": "&amp;CHAR(34)&amp;SUBSTITUTE(CriteriTecnici!$F2334,CHAR(34),"'")&amp;CHAR(34)&amp;", "&amp;CHAR(34)&amp;"value"&amp;CHAR(34)&amp;": "&amp;SUBSTITUTE(TRIM(ROUND(IFERROR(CriteriTecnici!$N2334*1,IFERROR(NUMBERVALUE(CriteriTecnici!$N2334,".",","),IFERROR(NUMBERVALUE(CriteriTecnici!$N2334,",","."),0))),4)&amp;""),",",".")&amp;", "&amp;CHAR(34)&amp;"numerator"&amp;CHAR(34)&amp;": "&amp;SUBSTITUTE(TRIM(ROUND(IFERROR(CriteriTecnici!$K2334*1,IFERROR(NUMBERVALUE(CriteriTecnici!$K2334,".",","),IFERROR(NUMBERVALUE(CriteriTecnici!$K2334,",","."),0))),4)&amp;""),",",".")&amp;", "&amp;CHAR(34)&amp;"denominator"&amp;CHAR(34)&amp;": "&amp;SUBSTITUTE(TRIM(ROUND(IFERROR(CriteriTecnici!$L2334*1,IFERROR(NUMBERVALUE(CriteriTecnici!$L2334,".",","),IFERROR(NUMBERVALUE(CriteriTecnici!$L2334,",","."),0))),4)&amp;""),",",".")&amp;", "&amp;CHAR(34)&amp;"flag"&amp;CHAR(34)&amp;": "&amp;SUBSTITUTE(TRIM(ROUND(IFERROR(CriteriTecnici!$M2334*1,IFERROR(NUMBERVALUE(CriteriTecnici!$M2334,".",","),IFERROR(NUMBERVALUE(CriteriTecnici!$M2334,",","."),0))),4)&amp;""),",",".")&amp;", "&amp;CHAR(34)&amp;"rawScore"&amp;CHAR(34)&amp;": "&amp;SUBSTITUTE(TRIM(ROUND(IFERROR(CriteriTecnici!$O2334*1,IFERROR(NUMBERVALUE(CriteriTecnici!$O2334,".",","),IFERROR(NUMBERVALUE(CriteriTecnici!$O2334,",","."),0))),4)&amp;""),",",".")&amp;CHAR(125)&amp;IF(TRUE,",",""))</f>
        <v/>
      </c>
    </row>
    <row r="2436">
      <c r="A2436" s="82">
        <f>IF(CriteriTecnici!$A2335="","","    "&amp;CHAR(123)&amp;CHAR(34)&amp;"bidderId"&amp;CHAR(34)&amp;": "&amp;CHAR(34)&amp;SUBSTITUTE(CriteriTecnici!$A2335,CHAR(34),"'")&amp;CHAR(34)&amp;", "&amp;CHAR(34)&amp;"lotId"&amp;CHAR(34)&amp;": "&amp;CHAR(34)&amp;SUBSTITUTE(CriteriTecnici!$C2335,CHAR(34),"'")&amp;CHAR(34)&amp;", "&amp;CHAR(34)&amp;"criterionId"&amp;CHAR(34)&amp;": "&amp;CHAR(34)&amp;SUBSTITUTE(CriteriTecnici!$D2335,CHAR(34),"'")&amp;CHAR(34)&amp;", "&amp;CHAR(34)&amp;"kind"&amp;CHAR(34)&amp;": "&amp;CHAR(34)&amp;SUBSTITUTE(CriteriTecnici!$F2335,CHAR(34),"'")&amp;CHAR(34)&amp;", "&amp;CHAR(34)&amp;"value"&amp;CHAR(34)&amp;": "&amp;SUBSTITUTE(TRIM(ROUND(IFERROR(CriteriTecnici!$N2335*1,IFERROR(NUMBERVALUE(CriteriTecnici!$N2335,".",","),IFERROR(NUMBERVALUE(CriteriTecnici!$N2335,",","."),0))),4)&amp;""),",",".")&amp;", "&amp;CHAR(34)&amp;"numerator"&amp;CHAR(34)&amp;": "&amp;SUBSTITUTE(TRIM(ROUND(IFERROR(CriteriTecnici!$K2335*1,IFERROR(NUMBERVALUE(CriteriTecnici!$K2335,".",","),IFERROR(NUMBERVALUE(CriteriTecnici!$K2335,",","."),0))),4)&amp;""),",",".")&amp;", "&amp;CHAR(34)&amp;"denominator"&amp;CHAR(34)&amp;": "&amp;SUBSTITUTE(TRIM(ROUND(IFERROR(CriteriTecnici!$L2335*1,IFERROR(NUMBERVALUE(CriteriTecnici!$L2335,".",","),IFERROR(NUMBERVALUE(CriteriTecnici!$L2335,",","."),0))),4)&amp;""),",",".")&amp;", "&amp;CHAR(34)&amp;"flag"&amp;CHAR(34)&amp;": "&amp;SUBSTITUTE(TRIM(ROUND(IFERROR(CriteriTecnici!$M2335*1,IFERROR(NUMBERVALUE(CriteriTecnici!$M2335,".",","),IFERROR(NUMBERVALUE(CriteriTecnici!$M2335,",","."),0))),4)&amp;""),",",".")&amp;", "&amp;CHAR(34)&amp;"rawScore"&amp;CHAR(34)&amp;": "&amp;SUBSTITUTE(TRIM(ROUND(IFERROR(CriteriTecnici!$O2335*1,IFERROR(NUMBERVALUE(CriteriTecnici!$O2335,".",","),IFERROR(NUMBERVALUE(CriteriTecnici!$O2335,",","."),0))),4)&amp;""),",",".")&amp;CHAR(125)&amp;IF(TRUE,",",""))</f>
        <v/>
      </c>
    </row>
    <row r="2437">
      <c r="A2437" s="82">
        <f>IF(CriteriTecnici!$A2336="","","    "&amp;CHAR(123)&amp;CHAR(34)&amp;"bidderId"&amp;CHAR(34)&amp;": "&amp;CHAR(34)&amp;SUBSTITUTE(CriteriTecnici!$A2336,CHAR(34),"'")&amp;CHAR(34)&amp;", "&amp;CHAR(34)&amp;"lotId"&amp;CHAR(34)&amp;": "&amp;CHAR(34)&amp;SUBSTITUTE(CriteriTecnici!$C2336,CHAR(34),"'")&amp;CHAR(34)&amp;", "&amp;CHAR(34)&amp;"criterionId"&amp;CHAR(34)&amp;": "&amp;CHAR(34)&amp;SUBSTITUTE(CriteriTecnici!$D2336,CHAR(34),"'")&amp;CHAR(34)&amp;", "&amp;CHAR(34)&amp;"kind"&amp;CHAR(34)&amp;": "&amp;CHAR(34)&amp;SUBSTITUTE(CriteriTecnici!$F2336,CHAR(34),"'")&amp;CHAR(34)&amp;", "&amp;CHAR(34)&amp;"value"&amp;CHAR(34)&amp;": "&amp;SUBSTITUTE(TRIM(ROUND(IFERROR(CriteriTecnici!$N2336*1,IFERROR(NUMBERVALUE(CriteriTecnici!$N2336,".",","),IFERROR(NUMBERVALUE(CriteriTecnici!$N2336,",","."),0))),4)&amp;""),",",".")&amp;", "&amp;CHAR(34)&amp;"numerator"&amp;CHAR(34)&amp;": "&amp;SUBSTITUTE(TRIM(ROUND(IFERROR(CriteriTecnici!$K2336*1,IFERROR(NUMBERVALUE(CriteriTecnici!$K2336,".",","),IFERROR(NUMBERVALUE(CriteriTecnici!$K2336,",","."),0))),4)&amp;""),",",".")&amp;", "&amp;CHAR(34)&amp;"denominator"&amp;CHAR(34)&amp;": "&amp;SUBSTITUTE(TRIM(ROUND(IFERROR(CriteriTecnici!$L2336*1,IFERROR(NUMBERVALUE(CriteriTecnici!$L2336,".",","),IFERROR(NUMBERVALUE(CriteriTecnici!$L2336,",","."),0))),4)&amp;""),",",".")&amp;", "&amp;CHAR(34)&amp;"flag"&amp;CHAR(34)&amp;": "&amp;SUBSTITUTE(TRIM(ROUND(IFERROR(CriteriTecnici!$M2336*1,IFERROR(NUMBERVALUE(CriteriTecnici!$M2336,".",","),IFERROR(NUMBERVALUE(CriteriTecnici!$M2336,",","."),0))),4)&amp;""),",",".")&amp;", "&amp;CHAR(34)&amp;"rawScore"&amp;CHAR(34)&amp;": "&amp;SUBSTITUTE(TRIM(ROUND(IFERROR(CriteriTecnici!$O2336*1,IFERROR(NUMBERVALUE(CriteriTecnici!$O2336,".",","),IFERROR(NUMBERVALUE(CriteriTecnici!$O2336,",","."),0))),4)&amp;""),",",".")&amp;CHAR(125)&amp;IF(TRUE,",",""))</f>
        <v/>
      </c>
    </row>
    <row r="2438">
      <c r="A2438" s="82">
        <f>IF(CriteriTecnici!$A2337="","","    "&amp;CHAR(123)&amp;CHAR(34)&amp;"bidderId"&amp;CHAR(34)&amp;": "&amp;CHAR(34)&amp;SUBSTITUTE(CriteriTecnici!$A2337,CHAR(34),"'")&amp;CHAR(34)&amp;", "&amp;CHAR(34)&amp;"lotId"&amp;CHAR(34)&amp;": "&amp;CHAR(34)&amp;SUBSTITUTE(CriteriTecnici!$C2337,CHAR(34),"'")&amp;CHAR(34)&amp;", "&amp;CHAR(34)&amp;"criterionId"&amp;CHAR(34)&amp;": "&amp;CHAR(34)&amp;SUBSTITUTE(CriteriTecnici!$D2337,CHAR(34),"'")&amp;CHAR(34)&amp;", "&amp;CHAR(34)&amp;"kind"&amp;CHAR(34)&amp;": "&amp;CHAR(34)&amp;SUBSTITUTE(CriteriTecnici!$F2337,CHAR(34),"'")&amp;CHAR(34)&amp;", "&amp;CHAR(34)&amp;"value"&amp;CHAR(34)&amp;": "&amp;SUBSTITUTE(TRIM(ROUND(IFERROR(CriteriTecnici!$N2337*1,IFERROR(NUMBERVALUE(CriteriTecnici!$N2337,".",","),IFERROR(NUMBERVALUE(CriteriTecnici!$N2337,",","."),0))),4)&amp;""),",",".")&amp;", "&amp;CHAR(34)&amp;"numerator"&amp;CHAR(34)&amp;": "&amp;SUBSTITUTE(TRIM(ROUND(IFERROR(CriteriTecnici!$K2337*1,IFERROR(NUMBERVALUE(CriteriTecnici!$K2337,".",","),IFERROR(NUMBERVALUE(CriteriTecnici!$K2337,",","."),0))),4)&amp;""),",",".")&amp;", "&amp;CHAR(34)&amp;"denominator"&amp;CHAR(34)&amp;": "&amp;SUBSTITUTE(TRIM(ROUND(IFERROR(CriteriTecnici!$L2337*1,IFERROR(NUMBERVALUE(CriteriTecnici!$L2337,".",","),IFERROR(NUMBERVALUE(CriteriTecnici!$L2337,",","."),0))),4)&amp;""),",",".")&amp;", "&amp;CHAR(34)&amp;"flag"&amp;CHAR(34)&amp;": "&amp;SUBSTITUTE(TRIM(ROUND(IFERROR(CriteriTecnici!$M2337*1,IFERROR(NUMBERVALUE(CriteriTecnici!$M2337,".",","),IFERROR(NUMBERVALUE(CriteriTecnici!$M2337,",","."),0))),4)&amp;""),",",".")&amp;", "&amp;CHAR(34)&amp;"rawScore"&amp;CHAR(34)&amp;": "&amp;SUBSTITUTE(TRIM(ROUND(IFERROR(CriteriTecnici!$O2337*1,IFERROR(NUMBERVALUE(CriteriTecnici!$O2337,".",","),IFERROR(NUMBERVALUE(CriteriTecnici!$O2337,",","."),0))),4)&amp;""),",",".")&amp;CHAR(125)&amp;IF(TRUE,",",""))</f>
        <v/>
      </c>
    </row>
    <row r="2439">
      <c r="A2439" s="82">
        <f>IF(CriteriTecnici!$A2338="","","    "&amp;CHAR(123)&amp;CHAR(34)&amp;"bidderId"&amp;CHAR(34)&amp;": "&amp;CHAR(34)&amp;SUBSTITUTE(CriteriTecnici!$A2338,CHAR(34),"'")&amp;CHAR(34)&amp;", "&amp;CHAR(34)&amp;"lotId"&amp;CHAR(34)&amp;": "&amp;CHAR(34)&amp;SUBSTITUTE(CriteriTecnici!$C2338,CHAR(34),"'")&amp;CHAR(34)&amp;", "&amp;CHAR(34)&amp;"criterionId"&amp;CHAR(34)&amp;": "&amp;CHAR(34)&amp;SUBSTITUTE(CriteriTecnici!$D2338,CHAR(34),"'")&amp;CHAR(34)&amp;", "&amp;CHAR(34)&amp;"kind"&amp;CHAR(34)&amp;": "&amp;CHAR(34)&amp;SUBSTITUTE(CriteriTecnici!$F2338,CHAR(34),"'")&amp;CHAR(34)&amp;", "&amp;CHAR(34)&amp;"value"&amp;CHAR(34)&amp;": "&amp;SUBSTITUTE(TRIM(ROUND(IFERROR(CriteriTecnici!$N2338*1,IFERROR(NUMBERVALUE(CriteriTecnici!$N2338,".",","),IFERROR(NUMBERVALUE(CriteriTecnici!$N2338,",","."),0))),4)&amp;""),",",".")&amp;", "&amp;CHAR(34)&amp;"numerator"&amp;CHAR(34)&amp;": "&amp;SUBSTITUTE(TRIM(ROUND(IFERROR(CriteriTecnici!$K2338*1,IFERROR(NUMBERVALUE(CriteriTecnici!$K2338,".",","),IFERROR(NUMBERVALUE(CriteriTecnici!$K2338,",","."),0))),4)&amp;""),",",".")&amp;", "&amp;CHAR(34)&amp;"denominator"&amp;CHAR(34)&amp;": "&amp;SUBSTITUTE(TRIM(ROUND(IFERROR(CriteriTecnici!$L2338*1,IFERROR(NUMBERVALUE(CriteriTecnici!$L2338,".",","),IFERROR(NUMBERVALUE(CriteriTecnici!$L2338,",","."),0))),4)&amp;""),",",".")&amp;", "&amp;CHAR(34)&amp;"flag"&amp;CHAR(34)&amp;": "&amp;SUBSTITUTE(TRIM(ROUND(IFERROR(CriteriTecnici!$M2338*1,IFERROR(NUMBERVALUE(CriteriTecnici!$M2338,".",","),IFERROR(NUMBERVALUE(CriteriTecnici!$M2338,",","."),0))),4)&amp;""),",",".")&amp;", "&amp;CHAR(34)&amp;"rawScore"&amp;CHAR(34)&amp;": "&amp;SUBSTITUTE(TRIM(ROUND(IFERROR(CriteriTecnici!$O2338*1,IFERROR(NUMBERVALUE(CriteriTecnici!$O2338,".",","),IFERROR(NUMBERVALUE(CriteriTecnici!$O2338,",","."),0))),4)&amp;""),",",".")&amp;CHAR(125)&amp;IF(TRUE,",",""))</f>
        <v/>
      </c>
    </row>
    <row r="2440">
      <c r="A2440" s="82">
        <f>IF(CriteriTecnici!$A2339="","","    "&amp;CHAR(123)&amp;CHAR(34)&amp;"bidderId"&amp;CHAR(34)&amp;": "&amp;CHAR(34)&amp;SUBSTITUTE(CriteriTecnici!$A2339,CHAR(34),"'")&amp;CHAR(34)&amp;", "&amp;CHAR(34)&amp;"lotId"&amp;CHAR(34)&amp;": "&amp;CHAR(34)&amp;SUBSTITUTE(CriteriTecnici!$C2339,CHAR(34),"'")&amp;CHAR(34)&amp;", "&amp;CHAR(34)&amp;"criterionId"&amp;CHAR(34)&amp;": "&amp;CHAR(34)&amp;SUBSTITUTE(CriteriTecnici!$D2339,CHAR(34),"'")&amp;CHAR(34)&amp;", "&amp;CHAR(34)&amp;"kind"&amp;CHAR(34)&amp;": "&amp;CHAR(34)&amp;SUBSTITUTE(CriteriTecnici!$F2339,CHAR(34),"'")&amp;CHAR(34)&amp;", "&amp;CHAR(34)&amp;"value"&amp;CHAR(34)&amp;": "&amp;SUBSTITUTE(TRIM(ROUND(IFERROR(CriteriTecnici!$N2339*1,IFERROR(NUMBERVALUE(CriteriTecnici!$N2339,".",","),IFERROR(NUMBERVALUE(CriteriTecnici!$N2339,",","."),0))),4)&amp;""),",",".")&amp;", "&amp;CHAR(34)&amp;"numerator"&amp;CHAR(34)&amp;": "&amp;SUBSTITUTE(TRIM(ROUND(IFERROR(CriteriTecnici!$K2339*1,IFERROR(NUMBERVALUE(CriteriTecnici!$K2339,".",","),IFERROR(NUMBERVALUE(CriteriTecnici!$K2339,",","."),0))),4)&amp;""),",",".")&amp;", "&amp;CHAR(34)&amp;"denominator"&amp;CHAR(34)&amp;": "&amp;SUBSTITUTE(TRIM(ROUND(IFERROR(CriteriTecnici!$L2339*1,IFERROR(NUMBERVALUE(CriteriTecnici!$L2339,".",","),IFERROR(NUMBERVALUE(CriteriTecnici!$L2339,",","."),0))),4)&amp;""),",",".")&amp;", "&amp;CHAR(34)&amp;"flag"&amp;CHAR(34)&amp;": "&amp;SUBSTITUTE(TRIM(ROUND(IFERROR(CriteriTecnici!$M2339*1,IFERROR(NUMBERVALUE(CriteriTecnici!$M2339,".",","),IFERROR(NUMBERVALUE(CriteriTecnici!$M2339,",","."),0))),4)&amp;""),",",".")&amp;", "&amp;CHAR(34)&amp;"rawScore"&amp;CHAR(34)&amp;": "&amp;SUBSTITUTE(TRIM(ROUND(IFERROR(CriteriTecnici!$O2339*1,IFERROR(NUMBERVALUE(CriteriTecnici!$O2339,".",","),IFERROR(NUMBERVALUE(CriteriTecnici!$O2339,",","."),0))),4)&amp;""),",",".")&amp;CHAR(125)&amp;IF(TRUE,",",""))</f>
        <v/>
      </c>
    </row>
    <row r="2441">
      <c r="A2441" s="82">
        <f>IF(CriteriTecnici!$A2340="","","    "&amp;CHAR(123)&amp;CHAR(34)&amp;"bidderId"&amp;CHAR(34)&amp;": "&amp;CHAR(34)&amp;SUBSTITUTE(CriteriTecnici!$A2340,CHAR(34),"'")&amp;CHAR(34)&amp;", "&amp;CHAR(34)&amp;"lotId"&amp;CHAR(34)&amp;": "&amp;CHAR(34)&amp;SUBSTITUTE(CriteriTecnici!$C2340,CHAR(34),"'")&amp;CHAR(34)&amp;", "&amp;CHAR(34)&amp;"criterionId"&amp;CHAR(34)&amp;": "&amp;CHAR(34)&amp;SUBSTITUTE(CriteriTecnici!$D2340,CHAR(34),"'")&amp;CHAR(34)&amp;", "&amp;CHAR(34)&amp;"kind"&amp;CHAR(34)&amp;": "&amp;CHAR(34)&amp;SUBSTITUTE(CriteriTecnici!$F2340,CHAR(34),"'")&amp;CHAR(34)&amp;", "&amp;CHAR(34)&amp;"value"&amp;CHAR(34)&amp;": "&amp;SUBSTITUTE(TRIM(ROUND(IFERROR(CriteriTecnici!$N2340*1,IFERROR(NUMBERVALUE(CriteriTecnici!$N2340,".",","),IFERROR(NUMBERVALUE(CriteriTecnici!$N2340,",","."),0))),4)&amp;""),",",".")&amp;", "&amp;CHAR(34)&amp;"numerator"&amp;CHAR(34)&amp;": "&amp;SUBSTITUTE(TRIM(ROUND(IFERROR(CriteriTecnici!$K2340*1,IFERROR(NUMBERVALUE(CriteriTecnici!$K2340,".",","),IFERROR(NUMBERVALUE(CriteriTecnici!$K2340,",","."),0))),4)&amp;""),",",".")&amp;", "&amp;CHAR(34)&amp;"denominator"&amp;CHAR(34)&amp;": "&amp;SUBSTITUTE(TRIM(ROUND(IFERROR(CriteriTecnici!$L2340*1,IFERROR(NUMBERVALUE(CriteriTecnici!$L2340,".",","),IFERROR(NUMBERVALUE(CriteriTecnici!$L2340,",","."),0))),4)&amp;""),",",".")&amp;", "&amp;CHAR(34)&amp;"flag"&amp;CHAR(34)&amp;": "&amp;SUBSTITUTE(TRIM(ROUND(IFERROR(CriteriTecnici!$M2340*1,IFERROR(NUMBERVALUE(CriteriTecnici!$M2340,".",","),IFERROR(NUMBERVALUE(CriteriTecnici!$M2340,",","."),0))),4)&amp;""),",",".")&amp;", "&amp;CHAR(34)&amp;"rawScore"&amp;CHAR(34)&amp;": "&amp;SUBSTITUTE(TRIM(ROUND(IFERROR(CriteriTecnici!$O2340*1,IFERROR(NUMBERVALUE(CriteriTecnici!$O2340,".",","),IFERROR(NUMBERVALUE(CriteriTecnici!$O2340,",","."),0))),4)&amp;""),",",".")&amp;CHAR(125)&amp;IF(TRUE,",",""))</f>
        <v/>
      </c>
    </row>
    <row r="2442">
      <c r="A2442" s="82">
        <f>IF(CriteriTecnici!$A2341="","","    "&amp;CHAR(123)&amp;CHAR(34)&amp;"bidderId"&amp;CHAR(34)&amp;": "&amp;CHAR(34)&amp;SUBSTITUTE(CriteriTecnici!$A2341,CHAR(34),"'")&amp;CHAR(34)&amp;", "&amp;CHAR(34)&amp;"lotId"&amp;CHAR(34)&amp;": "&amp;CHAR(34)&amp;SUBSTITUTE(CriteriTecnici!$C2341,CHAR(34),"'")&amp;CHAR(34)&amp;", "&amp;CHAR(34)&amp;"criterionId"&amp;CHAR(34)&amp;": "&amp;CHAR(34)&amp;SUBSTITUTE(CriteriTecnici!$D2341,CHAR(34),"'")&amp;CHAR(34)&amp;", "&amp;CHAR(34)&amp;"kind"&amp;CHAR(34)&amp;": "&amp;CHAR(34)&amp;SUBSTITUTE(CriteriTecnici!$F2341,CHAR(34),"'")&amp;CHAR(34)&amp;", "&amp;CHAR(34)&amp;"value"&amp;CHAR(34)&amp;": "&amp;SUBSTITUTE(TRIM(ROUND(IFERROR(CriteriTecnici!$N2341*1,IFERROR(NUMBERVALUE(CriteriTecnici!$N2341,".",","),IFERROR(NUMBERVALUE(CriteriTecnici!$N2341,",","."),0))),4)&amp;""),",",".")&amp;", "&amp;CHAR(34)&amp;"numerator"&amp;CHAR(34)&amp;": "&amp;SUBSTITUTE(TRIM(ROUND(IFERROR(CriteriTecnici!$K2341*1,IFERROR(NUMBERVALUE(CriteriTecnici!$K2341,".",","),IFERROR(NUMBERVALUE(CriteriTecnici!$K2341,",","."),0))),4)&amp;""),",",".")&amp;", "&amp;CHAR(34)&amp;"denominator"&amp;CHAR(34)&amp;": "&amp;SUBSTITUTE(TRIM(ROUND(IFERROR(CriteriTecnici!$L2341*1,IFERROR(NUMBERVALUE(CriteriTecnici!$L2341,".",","),IFERROR(NUMBERVALUE(CriteriTecnici!$L2341,",","."),0))),4)&amp;""),",",".")&amp;", "&amp;CHAR(34)&amp;"flag"&amp;CHAR(34)&amp;": "&amp;SUBSTITUTE(TRIM(ROUND(IFERROR(CriteriTecnici!$M2341*1,IFERROR(NUMBERVALUE(CriteriTecnici!$M2341,".",","),IFERROR(NUMBERVALUE(CriteriTecnici!$M2341,",","."),0))),4)&amp;""),",",".")&amp;", "&amp;CHAR(34)&amp;"rawScore"&amp;CHAR(34)&amp;": "&amp;SUBSTITUTE(TRIM(ROUND(IFERROR(CriteriTecnici!$O2341*1,IFERROR(NUMBERVALUE(CriteriTecnici!$O2341,".",","),IFERROR(NUMBERVALUE(CriteriTecnici!$O2341,",","."),0))),4)&amp;""),",",".")&amp;CHAR(125)&amp;IF(TRUE,",",""))</f>
        <v/>
      </c>
    </row>
    <row r="2443">
      <c r="A2443" s="82">
        <f>IF(CriteriTecnici!$A2342="","","    "&amp;CHAR(123)&amp;CHAR(34)&amp;"bidderId"&amp;CHAR(34)&amp;": "&amp;CHAR(34)&amp;SUBSTITUTE(CriteriTecnici!$A2342,CHAR(34),"'")&amp;CHAR(34)&amp;", "&amp;CHAR(34)&amp;"lotId"&amp;CHAR(34)&amp;": "&amp;CHAR(34)&amp;SUBSTITUTE(CriteriTecnici!$C2342,CHAR(34),"'")&amp;CHAR(34)&amp;", "&amp;CHAR(34)&amp;"criterionId"&amp;CHAR(34)&amp;": "&amp;CHAR(34)&amp;SUBSTITUTE(CriteriTecnici!$D2342,CHAR(34),"'")&amp;CHAR(34)&amp;", "&amp;CHAR(34)&amp;"kind"&amp;CHAR(34)&amp;": "&amp;CHAR(34)&amp;SUBSTITUTE(CriteriTecnici!$F2342,CHAR(34),"'")&amp;CHAR(34)&amp;", "&amp;CHAR(34)&amp;"value"&amp;CHAR(34)&amp;": "&amp;SUBSTITUTE(TRIM(ROUND(IFERROR(CriteriTecnici!$N2342*1,IFERROR(NUMBERVALUE(CriteriTecnici!$N2342,".",","),IFERROR(NUMBERVALUE(CriteriTecnici!$N2342,",","."),0))),4)&amp;""),",",".")&amp;", "&amp;CHAR(34)&amp;"numerator"&amp;CHAR(34)&amp;": "&amp;SUBSTITUTE(TRIM(ROUND(IFERROR(CriteriTecnici!$K2342*1,IFERROR(NUMBERVALUE(CriteriTecnici!$K2342,".",","),IFERROR(NUMBERVALUE(CriteriTecnici!$K2342,",","."),0))),4)&amp;""),",",".")&amp;", "&amp;CHAR(34)&amp;"denominator"&amp;CHAR(34)&amp;": "&amp;SUBSTITUTE(TRIM(ROUND(IFERROR(CriteriTecnici!$L2342*1,IFERROR(NUMBERVALUE(CriteriTecnici!$L2342,".",","),IFERROR(NUMBERVALUE(CriteriTecnici!$L2342,",","."),0))),4)&amp;""),",",".")&amp;", "&amp;CHAR(34)&amp;"flag"&amp;CHAR(34)&amp;": "&amp;SUBSTITUTE(TRIM(ROUND(IFERROR(CriteriTecnici!$M2342*1,IFERROR(NUMBERVALUE(CriteriTecnici!$M2342,".",","),IFERROR(NUMBERVALUE(CriteriTecnici!$M2342,",","."),0))),4)&amp;""),",",".")&amp;", "&amp;CHAR(34)&amp;"rawScore"&amp;CHAR(34)&amp;": "&amp;SUBSTITUTE(TRIM(ROUND(IFERROR(CriteriTecnici!$O2342*1,IFERROR(NUMBERVALUE(CriteriTecnici!$O2342,".",","),IFERROR(NUMBERVALUE(CriteriTecnici!$O2342,",","."),0))),4)&amp;""),",",".")&amp;CHAR(125)&amp;IF(TRUE,",",""))</f>
        <v/>
      </c>
    </row>
    <row r="2444">
      <c r="A2444" s="82">
        <f>IF(CriteriTecnici!$A2343="","","    "&amp;CHAR(123)&amp;CHAR(34)&amp;"bidderId"&amp;CHAR(34)&amp;": "&amp;CHAR(34)&amp;SUBSTITUTE(CriteriTecnici!$A2343,CHAR(34),"'")&amp;CHAR(34)&amp;", "&amp;CHAR(34)&amp;"lotId"&amp;CHAR(34)&amp;": "&amp;CHAR(34)&amp;SUBSTITUTE(CriteriTecnici!$C2343,CHAR(34),"'")&amp;CHAR(34)&amp;", "&amp;CHAR(34)&amp;"criterionId"&amp;CHAR(34)&amp;": "&amp;CHAR(34)&amp;SUBSTITUTE(CriteriTecnici!$D2343,CHAR(34),"'")&amp;CHAR(34)&amp;", "&amp;CHAR(34)&amp;"kind"&amp;CHAR(34)&amp;": "&amp;CHAR(34)&amp;SUBSTITUTE(CriteriTecnici!$F2343,CHAR(34),"'")&amp;CHAR(34)&amp;", "&amp;CHAR(34)&amp;"value"&amp;CHAR(34)&amp;": "&amp;SUBSTITUTE(TRIM(ROUND(IFERROR(CriteriTecnici!$N2343*1,IFERROR(NUMBERVALUE(CriteriTecnici!$N2343,".",","),IFERROR(NUMBERVALUE(CriteriTecnici!$N2343,",","."),0))),4)&amp;""),",",".")&amp;", "&amp;CHAR(34)&amp;"numerator"&amp;CHAR(34)&amp;": "&amp;SUBSTITUTE(TRIM(ROUND(IFERROR(CriteriTecnici!$K2343*1,IFERROR(NUMBERVALUE(CriteriTecnici!$K2343,".",","),IFERROR(NUMBERVALUE(CriteriTecnici!$K2343,",","."),0))),4)&amp;""),",",".")&amp;", "&amp;CHAR(34)&amp;"denominator"&amp;CHAR(34)&amp;": "&amp;SUBSTITUTE(TRIM(ROUND(IFERROR(CriteriTecnici!$L2343*1,IFERROR(NUMBERVALUE(CriteriTecnici!$L2343,".",","),IFERROR(NUMBERVALUE(CriteriTecnici!$L2343,",","."),0))),4)&amp;""),",",".")&amp;", "&amp;CHAR(34)&amp;"flag"&amp;CHAR(34)&amp;": "&amp;SUBSTITUTE(TRIM(ROUND(IFERROR(CriteriTecnici!$M2343*1,IFERROR(NUMBERVALUE(CriteriTecnici!$M2343,".",","),IFERROR(NUMBERVALUE(CriteriTecnici!$M2343,",","."),0))),4)&amp;""),",",".")&amp;", "&amp;CHAR(34)&amp;"rawScore"&amp;CHAR(34)&amp;": "&amp;SUBSTITUTE(TRIM(ROUND(IFERROR(CriteriTecnici!$O2343*1,IFERROR(NUMBERVALUE(CriteriTecnici!$O2343,".",","),IFERROR(NUMBERVALUE(CriteriTecnici!$O2343,",","."),0))),4)&amp;""),",",".")&amp;CHAR(125)&amp;IF(TRUE,",",""))</f>
        <v/>
      </c>
    </row>
    <row r="2445">
      <c r="A2445" s="82">
        <f>IF(CriteriTecnici!$A2344="","","    "&amp;CHAR(123)&amp;CHAR(34)&amp;"bidderId"&amp;CHAR(34)&amp;": "&amp;CHAR(34)&amp;SUBSTITUTE(CriteriTecnici!$A2344,CHAR(34),"'")&amp;CHAR(34)&amp;", "&amp;CHAR(34)&amp;"lotId"&amp;CHAR(34)&amp;": "&amp;CHAR(34)&amp;SUBSTITUTE(CriteriTecnici!$C2344,CHAR(34),"'")&amp;CHAR(34)&amp;", "&amp;CHAR(34)&amp;"criterionId"&amp;CHAR(34)&amp;": "&amp;CHAR(34)&amp;SUBSTITUTE(CriteriTecnici!$D2344,CHAR(34),"'")&amp;CHAR(34)&amp;", "&amp;CHAR(34)&amp;"kind"&amp;CHAR(34)&amp;": "&amp;CHAR(34)&amp;SUBSTITUTE(CriteriTecnici!$F2344,CHAR(34),"'")&amp;CHAR(34)&amp;", "&amp;CHAR(34)&amp;"value"&amp;CHAR(34)&amp;": "&amp;SUBSTITUTE(TRIM(ROUND(IFERROR(CriteriTecnici!$N2344*1,IFERROR(NUMBERVALUE(CriteriTecnici!$N2344,".",","),IFERROR(NUMBERVALUE(CriteriTecnici!$N2344,",","."),0))),4)&amp;""),",",".")&amp;", "&amp;CHAR(34)&amp;"numerator"&amp;CHAR(34)&amp;": "&amp;SUBSTITUTE(TRIM(ROUND(IFERROR(CriteriTecnici!$K2344*1,IFERROR(NUMBERVALUE(CriteriTecnici!$K2344,".",","),IFERROR(NUMBERVALUE(CriteriTecnici!$K2344,",","."),0))),4)&amp;""),",",".")&amp;", "&amp;CHAR(34)&amp;"denominator"&amp;CHAR(34)&amp;": "&amp;SUBSTITUTE(TRIM(ROUND(IFERROR(CriteriTecnici!$L2344*1,IFERROR(NUMBERVALUE(CriteriTecnici!$L2344,".",","),IFERROR(NUMBERVALUE(CriteriTecnici!$L2344,",","."),0))),4)&amp;""),",",".")&amp;", "&amp;CHAR(34)&amp;"flag"&amp;CHAR(34)&amp;": "&amp;SUBSTITUTE(TRIM(ROUND(IFERROR(CriteriTecnici!$M2344*1,IFERROR(NUMBERVALUE(CriteriTecnici!$M2344,".",","),IFERROR(NUMBERVALUE(CriteriTecnici!$M2344,",","."),0))),4)&amp;""),",",".")&amp;", "&amp;CHAR(34)&amp;"rawScore"&amp;CHAR(34)&amp;": "&amp;SUBSTITUTE(TRIM(ROUND(IFERROR(CriteriTecnici!$O2344*1,IFERROR(NUMBERVALUE(CriteriTecnici!$O2344,".",","),IFERROR(NUMBERVALUE(CriteriTecnici!$O2344,",","."),0))),4)&amp;""),",",".")&amp;CHAR(125)&amp;IF(TRUE,",",""))</f>
        <v/>
      </c>
    </row>
    <row r="2446">
      <c r="A2446" s="82">
        <f>IF(CriteriTecnici!$A2345="","","    "&amp;CHAR(123)&amp;CHAR(34)&amp;"bidderId"&amp;CHAR(34)&amp;": "&amp;CHAR(34)&amp;SUBSTITUTE(CriteriTecnici!$A2345,CHAR(34),"'")&amp;CHAR(34)&amp;", "&amp;CHAR(34)&amp;"lotId"&amp;CHAR(34)&amp;": "&amp;CHAR(34)&amp;SUBSTITUTE(CriteriTecnici!$C2345,CHAR(34),"'")&amp;CHAR(34)&amp;", "&amp;CHAR(34)&amp;"criterionId"&amp;CHAR(34)&amp;": "&amp;CHAR(34)&amp;SUBSTITUTE(CriteriTecnici!$D2345,CHAR(34),"'")&amp;CHAR(34)&amp;", "&amp;CHAR(34)&amp;"kind"&amp;CHAR(34)&amp;": "&amp;CHAR(34)&amp;SUBSTITUTE(CriteriTecnici!$F2345,CHAR(34),"'")&amp;CHAR(34)&amp;", "&amp;CHAR(34)&amp;"value"&amp;CHAR(34)&amp;": "&amp;SUBSTITUTE(TRIM(ROUND(IFERROR(CriteriTecnici!$N2345*1,IFERROR(NUMBERVALUE(CriteriTecnici!$N2345,".",","),IFERROR(NUMBERVALUE(CriteriTecnici!$N2345,",","."),0))),4)&amp;""),",",".")&amp;", "&amp;CHAR(34)&amp;"numerator"&amp;CHAR(34)&amp;": "&amp;SUBSTITUTE(TRIM(ROUND(IFERROR(CriteriTecnici!$K2345*1,IFERROR(NUMBERVALUE(CriteriTecnici!$K2345,".",","),IFERROR(NUMBERVALUE(CriteriTecnici!$K2345,",","."),0))),4)&amp;""),",",".")&amp;", "&amp;CHAR(34)&amp;"denominator"&amp;CHAR(34)&amp;": "&amp;SUBSTITUTE(TRIM(ROUND(IFERROR(CriteriTecnici!$L2345*1,IFERROR(NUMBERVALUE(CriteriTecnici!$L2345,".",","),IFERROR(NUMBERVALUE(CriteriTecnici!$L2345,",","."),0))),4)&amp;""),",",".")&amp;", "&amp;CHAR(34)&amp;"flag"&amp;CHAR(34)&amp;": "&amp;SUBSTITUTE(TRIM(ROUND(IFERROR(CriteriTecnici!$M2345*1,IFERROR(NUMBERVALUE(CriteriTecnici!$M2345,".",","),IFERROR(NUMBERVALUE(CriteriTecnici!$M2345,",","."),0))),4)&amp;""),",",".")&amp;", "&amp;CHAR(34)&amp;"rawScore"&amp;CHAR(34)&amp;": "&amp;SUBSTITUTE(TRIM(ROUND(IFERROR(CriteriTecnici!$O2345*1,IFERROR(NUMBERVALUE(CriteriTecnici!$O2345,".",","),IFERROR(NUMBERVALUE(CriteriTecnici!$O2345,",","."),0))),4)&amp;""),",",".")&amp;CHAR(125)&amp;IF(TRUE,",",""))</f>
        <v/>
      </c>
    </row>
    <row r="2447">
      <c r="A2447" s="82">
        <f>IF(CriteriTecnici!$A2346="","","    "&amp;CHAR(123)&amp;CHAR(34)&amp;"bidderId"&amp;CHAR(34)&amp;": "&amp;CHAR(34)&amp;SUBSTITUTE(CriteriTecnici!$A2346,CHAR(34),"'")&amp;CHAR(34)&amp;", "&amp;CHAR(34)&amp;"lotId"&amp;CHAR(34)&amp;": "&amp;CHAR(34)&amp;SUBSTITUTE(CriteriTecnici!$C2346,CHAR(34),"'")&amp;CHAR(34)&amp;", "&amp;CHAR(34)&amp;"criterionId"&amp;CHAR(34)&amp;": "&amp;CHAR(34)&amp;SUBSTITUTE(CriteriTecnici!$D2346,CHAR(34),"'")&amp;CHAR(34)&amp;", "&amp;CHAR(34)&amp;"kind"&amp;CHAR(34)&amp;": "&amp;CHAR(34)&amp;SUBSTITUTE(CriteriTecnici!$F2346,CHAR(34),"'")&amp;CHAR(34)&amp;", "&amp;CHAR(34)&amp;"value"&amp;CHAR(34)&amp;": "&amp;SUBSTITUTE(TRIM(ROUND(IFERROR(CriteriTecnici!$N2346*1,IFERROR(NUMBERVALUE(CriteriTecnici!$N2346,".",","),IFERROR(NUMBERVALUE(CriteriTecnici!$N2346,",","."),0))),4)&amp;""),",",".")&amp;", "&amp;CHAR(34)&amp;"numerator"&amp;CHAR(34)&amp;": "&amp;SUBSTITUTE(TRIM(ROUND(IFERROR(CriteriTecnici!$K2346*1,IFERROR(NUMBERVALUE(CriteriTecnici!$K2346,".",","),IFERROR(NUMBERVALUE(CriteriTecnici!$K2346,",","."),0))),4)&amp;""),",",".")&amp;", "&amp;CHAR(34)&amp;"denominator"&amp;CHAR(34)&amp;": "&amp;SUBSTITUTE(TRIM(ROUND(IFERROR(CriteriTecnici!$L2346*1,IFERROR(NUMBERVALUE(CriteriTecnici!$L2346,".",","),IFERROR(NUMBERVALUE(CriteriTecnici!$L2346,",","."),0))),4)&amp;""),",",".")&amp;", "&amp;CHAR(34)&amp;"flag"&amp;CHAR(34)&amp;": "&amp;SUBSTITUTE(TRIM(ROUND(IFERROR(CriteriTecnici!$M2346*1,IFERROR(NUMBERVALUE(CriteriTecnici!$M2346,".",","),IFERROR(NUMBERVALUE(CriteriTecnici!$M2346,",","."),0))),4)&amp;""),",",".")&amp;", "&amp;CHAR(34)&amp;"rawScore"&amp;CHAR(34)&amp;": "&amp;SUBSTITUTE(TRIM(ROUND(IFERROR(CriteriTecnici!$O2346*1,IFERROR(NUMBERVALUE(CriteriTecnici!$O2346,".",","),IFERROR(NUMBERVALUE(CriteriTecnici!$O2346,",","."),0))),4)&amp;""),",",".")&amp;CHAR(125)&amp;IF(TRUE,",",""))</f>
        <v/>
      </c>
    </row>
    <row r="2448">
      <c r="A2448" s="82">
        <f>IF(CriteriTecnici!$A2347="","","    "&amp;CHAR(123)&amp;CHAR(34)&amp;"bidderId"&amp;CHAR(34)&amp;": "&amp;CHAR(34)&amp;SUBSTITUTE(CriteriTecnici!$A2347,CHAR(34),"'")&amp;CHAR(34)&amp;", "&amp;CHAR(34)&amp;"lotId"&amp;CHAR(34)&amp;": "&amp;CHAR(34)&amp;SUBSTITUTE(CriteriTecnici!$C2347,CHAR(34),"'")&amp;CHAR(34)&amp;", "&amp;CHAR(34)&amp;"criterionId"&amp;CHAR(34)&amp;": "&amp;CHAR(34)&amp;SUBSTITUTE(CriteriTecnici!$D2347,CHAR(34),"'")&amp;CHAR(34)&amp;", "&amp;CHAR(34)&amp;"kind"&amp;CHAR(34)&amp;": "&amp;CHAR(34)&amp;SUBSTITUTE(CriteriTecnici!$F2347,CHAR(34),"'")&amp;CHAR(34)&amp;", "&amp;CHAR(34)&amp;"value"&amp;CHAR(34)&amp;": "&amp;SUBSTITUTE(TRIM(ROUND(IFERROR(CriteriTecnici!$N2347*1,IFERROR(NUMBERVALUE(CriteriTecnici!$N2347,".",","),IFERROR(NUMBERVALUE(CriteriTecnici!$N2347,",","."),0))),4)&amp;""),",",".")&amp;", "&amp;CHAR(34)&amp;"numerator"&amp;CHAR(34)&amp;": "&amp;SUBSTITUTE(TRIM(ROUND(IFERROR(CriteriTecnici!$K2347*1,IFERROR(NUMBERVALUE(CriteriTecnici!$K2347,".",","),IFERROR(NUMBERVALUE(CriteriTecnici!$K2347,",","."),0))),4)&amp;""),",",".")&amp;", "&amp;CHAR(34)&amp;"denominator"&amp;CHAR(34)&amp;": "&amp;SUBSTITUTE(TRIM(ROUND(IFERROR(CriteriTecnici!$L2347*1,IFERROR(NUMBERVALUE(CriteriTecnici!$L2347,".",","),IFERROR(NUMBERVALUE(CriteriTecnici!$L2347,",","."),0))),4)&amp;""),",",".")&amp;", "&amp;CHAR(34)&amp;"flag"&amp;CHAR(34)&amp;": "&amp;SUBSTITUTE(TRIM(ROUND(IFERROR(CriteriTecnici!$M2347*1,IFERROR(NUMBERVALUE(CriteriTecnici!$M2347,".",","),IFERROR(NUMBERVALUE(CriteriTecnici!$M2347,",","."),0))),4)&amp;""),",",".")&amp;", "&amp;CHAR(34)&amp;"rawScore"&amp;CHAR(34)&amp;": "&amp;SUBSTITUTE(TRIM(ROUND(IFERROR(CriteriTecnici!$O2347*1,IFERROR(NUMBERVALUE(CriteriTecnici!$O2347,".",","),IFERROR(NUMBERVALUE(CriteriTecnici!$O2347,",","."),0))),4)&amp;""),",",".")&amp;CHAR(125)&amp;IF(TRUE,",",""))</f>
        <v/>
      </c>
    </row>
    <row r="2449">
      <c r="A2449" s="82">
        <f>IF(CriteriTecnici!$A2348="","","    "&amp;CHAR(123)&amp;CHAR(34)&amp;"bidderId"&amp;CHAR(34)&amp;": "&amp;CHAR(34)&amp;SUBSTITUTE(CriteriTecnici!$A2348,CHAR(34),"'")&amp;CHAR(34)&amp;", "&amp;CHAR(34)&amp;"lotId"&amp;CHAR(34)&amp;": "&amp;CHAR(34)&amp;SUBSTITUTE(CriteriTecnici!$C2348,CHAR(34),"'")&amp;CHAR(34)&amp;", "&amp;CHAR(34)&amp;"criterionId"&amp;CHAR(34)&amp;": "&amp;CHAR(34)&amp;SUBSTITUTE(CriteriTecnici!$D2348,CHAR(34),"'")&amp;CHAR(34)&amp;", "&amp;CHAR(34)&amp;"kind"&amp;CHAR(34)&amp;": "&amp;CHAR(34)&amp;SUBSTITUTE(CriteriTecnici!$F2348,CHAR(34),"'")&amp;CHAR(34)&amp;", "&amp;CHAR(34)&amp;"value"&amp;CHAR(34)&amp;": "&amp;SUBSTITUTE(TRIM(ROUND(IFERROR(CriteriTecnici!$N2348*1,IFERROR(NUMBERVALUE(CriteriTecnici!$N2348,".",","),IFERROR(NUMBERVALUE(CriteriTecnici!$N2348,",","."),0))),4)&amp;""),",",".")&amp;", "&amp;CHAR(34)&amp;"numerator"&amp;CHAR(34)&amp;": "&amp;SUBSTITUTE(TRIM(ROUND(IFERROR(CriteriTecnici!$K2348*1,IFERROR(NUMBERVALUE(CriteriTecnici!$K2348,".",","),IFERROR(NUMBERVALUE(CriteriTecnici!$K2348,",","."),0))),4)&amp;""),",",".")&amp;", "&amp;CHAR(34)&amp;"denominator"&amp;CHAR(34)&amp;": "&amp;SUBSTITUTE(TRIM(ROUND(IFERROR(CriteriTecnici!$L2348*1,IFERROR(NUMBERVALUE(CriteriTecnici!$L2348,".",","),IFERROR(NUMBERVALUE(CriteriTecnici!$L2348,",","."),0))),4)&amp;""),",",".")&amp;", "&amp;CHAR(34)&amp;"flag"&amp;CHAR(34)&amp;": "&amp;SUBSTITUTE(TRIM(ROUND(IFERROR(CriteriTecnici!$M2348*1,IFERROR(NUMBERVALUE(CriteriTecnici!$M2348,".",","),IFERROR(NUMBERVALUE(CriteriTecnici!$M2348,",","."),0))),4)&amp;""),",",".")&amp;", "&amp;CHAR(34)&amp;"rawScore"&amp;CHAR(34)&amp;": "&amp;SUBSTITUTE(TRIM(ROUND(IFERROR(CriteriTecnici!$O2348*1,IFERROR(NUMBERVALUE(CriteriTecnici!$O2348,".",","),IFERROR(NUMBERVALUE(CriteriTecnici!$O2348,",","."),0))),4)&amp;""),",",".")&amp;CHAR(125)&amp;IF(TRUE,",",""))</f>
        <v/>
      </c>
    </row>
    <row r="2450">
      <c r="A2450" s="82">
        <f>IF(CriteriTecnici!$A2349="","","    "&amp;CHAR(123)&amp;CHAR(34)&amp;"bidderId"&amp;CHAR(34)&amp;": "&amp;CHAR(34)&amp;SUBSTITUTE(CriteriTecnici!$A2349,CHAR(34),"'")&amp;CHAR(34)&amp;", "&amp;CHAR(34)&amp;"lotId"&amp;CHAR(34)&amp;": "&amp;CHAR(34)&amp;SUBSTITUTE(CriteriTecnici!$C2349,CHAR(34),"'")&amp;CHAR(34)&amp;", "&amp;CHAR(34)&amp;"criterionId"&amp;CHAR(34)&amp;": "&amp;CHAR(34)&amp;SUBSTITUTE(CriteriTecnici!$D2349,CHAR(34),"'")&amp;CHAR(34)&amp;", "&amp;CHAR(34)&amp;"kind"&amp;CHAR(34)&amp;": "&amp;CHAR(34)&amp;SUBSTITUTE(CriteriTecnici!$F2349,CHAR(34),"'")&amp;CHAR(34)&amp;", "&amp;CHAR(34)&amp;"value"&amp;CHAR(34)&amp;": "&amp;SUBSTITUTE(TRIM(ROUND(IFERROR(CriteriTecnici!$N2349*1,IFERROR(NUMBERVALUE(CriteriTecnici!$N2349,".",","),IFERROR(NUMBERVALUE(CriteriTecnici!$N2349,",","."),0))),4)&amp;""),",",".")&amp;", "&amp;CHAR(34)&amp;"numerator"&amp;CHAR(34)&amp;": "&amp;SUBSTITUTE(TRIM(ROUND(IFERROR(CriteriTecnici!$K2349*1,IFERROR(NUMBERVALUE(CriteriTecnici!$K2349,".",","),IFERROR(NUMBERVALUE(CriteriTecnici!$K2349,",","."),0))),4)&amp;""),",",".")&amp;", "&amp;CHAR(34)&amp;"denominator"&amp;CHAR(34)&amp;": "&amp;SUBSTITUTE(TRIM(ROUND(IFERROR(CriteriTecnici!$L2349*1,IFERROR(NUMBERVALUE(CriteriTecnici!$L2349,".",","),IFERROR(NUMBERVALUE(CriteriTecnici!$L2349,",","."),0))),4)&amp;""),",",".")&amp;", "&amp;CHAR(34)&amp;"flag"&amp;CHAR(34)&amp;": "&amp;SUBSTITUTE(TRIM(ROUND(IFERROR(CriteriTecnici!$M2349*1,IFERROR(NUMBERVALUE(CriteriTecnici!$M2349,".",","),IFERROR(NUMBERVALUE(CriteriTecnici!$M2349,",","."),0))),4)&amp;""),",",".")&amp;", "&amp;CHAR(34)&amp;"rawScore"&amp;CHAR(34)&amp;": "&amp;SUBSTITUTE(TRIM(ROUND(IFERROR(CriteriTecnici!$O2349*1,IFERROR(NUMBERVALUE(CriteriTecnici!$O2349,".",","),IFERROR(NUMBERVALUE(CriteriTecnici!$O2349,",","."),0))),4)&amp;""),",",".")&amp;CHAR(125)&amp;IF(TRUE,",",""))</f>
        <v/>
      </c>
    </row>
    <row r="2451">
      <c r="A2451" s="82">
        <f>IF(CriteriTecnici!$A2350="","","    "&amp;CHAR(123)&amp;CHAR(34)&amp;"bidderId"&amp;CHAR(34)&amp;": "&amp;CHAR(34)&amp;SUBSTITUTE(CriteriTecnici!$A2350,CHAR(34),"'")&amp;CHAR(34)&amp;", "&amp;CHAR(34)&amp;"lotId"&amp;CHAR(34)&amp;": "&amp;CHAR(34)&amp;SUBSTITUTE(CriteriTecnici!$C2350,CHAR(34),"'")&amp;CHAR(34)&amp;", "&amp;CHAR(34)&amp;"criterionId"&amp;CHAR(34)&amp;": "&amp;CHAR(34)&amp;SUBSTITUTE(CriteriTecnici!$D2350,CHAR(34),"'")&amp;CHAR(34)&amp;", "&amp;CHAR(34)&amp;"kind"&amp;CHAR(34)&amp;": "&amp;CHAR(34)&amp;SUBSTITUTE(CriteriTecnici!$F2350,CHAR(34),"'")&amp;CHAR(34)&amp;", "&amp;CHAR(34)&amp;"value"&amp;CHAR(34)&amp;": "&amp;SUBSTITUTE(TRIM(ROUND(IFERROR(CriteriTecnici!$N2350*1,IFERROR(NUMBERVALUE(CriteriTecnici!$N2350,".",","),IFERROR(NUMBERVALUE(CriteriTecnici!$N2350,",","."),0))),4)&amp;""),",",".")&amp;", "&amp;CHAR(34)&amp;"numerator"&amp;CHAR(34)&amp;": "&amp;SUBSTITUTE(TRIM(ROUND(IFERROR(CriteriTecnici!$K2350*1,IFERROR(NUMBERVALUE(CriteriTecnici!$K2350,".",","),IFERROR(NUMBERVALUE(CriteriTecnici!$K2350,",","."),0))),4)&amp;""),",",".")&amp;", "&amp;CHAR(34)&amp;"denominator"&amp;CHAR(34)&amp;": "&amp;SUBSTITUTE(TRIM(ROUND(IFERROR(CriteriTecnici!$L2350*1,IFERROR(NUMBERVALUE(CriteriTecnici!$L2350,".",","),IFERROR(NUMBERVALUE(CriteriTecnici!$L2350,",","."),0))),4)&amp;""),",",".")&amp;", "&amp;CHAR(34)&amp;"flag"&amp;CHAR(34)&amp;": "&amp;SUBSTITUTE(TRIM(ROUND(IFERROR(CriteriTecnici!$M2350*1,IFERROR(NUMBERVALUE(CriteriTecnici!$M2350,".",","),IFERROR(NUMBERVALUE(CriteriTecnici!$M2350,",","."),0))),4)&amp;""),",",".")&amp;", "&amp;CHAR(34)&amp;"rawScore"&amp;CHAR(34)&amp;": "&amp;SUBSTITUTE(TRIM(ROUND(IFERROR(CriteriTecnici!$O2350*1,IFERROR(NUMBERVALUE(CriteriTecnici!$O2350,".",","),IFERROR(NUMBERVALUE(CriteriTecnici!$O2350,",","."),0))),4)&amp;""),",",".")&amp;CHAR(125)&amp;IF(TRUE,",",""))</f>
        <v/>
      </c>
    </row>
    <row r="2452">
      <c r="A2452" s="82">
        <f>IF(CriteriTecnici!$A2351="","","    "&amp;CHAR(123)&amp;CHAR(34)&amp;"bidderId"&amp;CHAR(34)&amp;": "&amp;CHAR(34)&amp;SUBSTITUTE(CriteriTecnici!$A2351,CHAR(34),"'")&amp;CHAR(34)&amp;", "&amp;CHAR(34)&amp;"lotId"&amp;CHAR(34)&amp;": "&amp;CHAR(34)&amp;SUBSTITUTE(CriteriTecnici!$C2351,CHAR(34),"'")&amp;CHAR(34)&amp;", "&amp;CHAR(34)&amp;"criterionId"&amp;CHAR(34)&amp;": "&amp;CHAR(34)&amp;SUBSTITUTE(CriteriTecnici!$D2351,CHAR(34),"'")&amp;CHAR(34)&amp;", "&amp;CHAR(34)&amp;"kind"&amp;CHAR(34)&amp;": "&amp;CHAR(34)&amp;SUBSTITUTE(CriteriTecnici!$F2351,CHAR(34),"'")&amp;CHAR(34)&amp;", "&amp;CHAR(34)&amp;"value"&amp;CHAR(34)&amp;": "&amp;SUBSTITUTE(TRIM(ROUND(IFERROR(CriteriTecnici!$N2351*1,IFERROR(NUMBERVALUE(CriteriTecnici!$N2351,".",","),IFERROR(NUMBERVALUE(CriteriTecnici!$N2351,",","."),0))),4)&amp;""),",",".")&amp;", "&amp;CHAR(34)&amp;"numerator"&amp;CHAR(34)&amp;": "&amp;SUBSTITUTE(TRIM(ROUND(IFERROR(CriteriTecnici!$K2351*1,IFERROR(NUMBERVALUE(CriteriTecnici!$K2351,".",","),IFERROR(NUMBERVALUE(CriteriTecnici!$K2351,",","."),0))),4)&amp;""),",",".")&amp;", "&amp;CHAR(34)&amp;"denominator"&amp;CHAR(34)&amp;": "&amp;SUBSTITUTE(TRIM(ROUND(IFERROR(CriteriTecnici!$L2351*1,IFERROR(NUMBERVALUE(CriteriTecnici!$L2351,".",","),IFERROR(NUMBERVALUE(CriteriTecnici!$L2351,",","."),0))),4)&amp;""),",",".")&amp;", "&amp;CHAR(34)&amp;"flag"&amp;CHAR(34)&amp;": "&amp;SUBSTITUTE(TRIM(ROUND(IFERROR(CriteriTecnici!$M2351*1,IFERROR(NUMBERVALUE(CriteriTecnici!$M2351,".",","),IFERROR(NUMBERVALUE(CriteriTecnici!$M2351,",","."),0))),4)&amp;""),",",".")&amp;", "&amp;CHAR(34)&amp;"rawScore"&amp;CHAR(34)&amp;": "&amp;SUBSTITUTE(TRIM(ROUND(IFERROR(CriteriTecnici!$O2351*1,IFERROR(NUMBERVALUE(CriteriTecnici!$O2351,".",","),IFERROR(NUMBERVALUE(CriteriTecnici!$O2351,",","."),0))),4)&amp;""),",",".")&amp;CHAR(125)&amp;IF(TRUE,",",""))</f>
        <v/>
      </c>
    </row>
    <row r="2453">
      <c r="A2453" s="82">
        <f>IF(CriteriTecnici!$A2352="","","    "&amp;CHAR(123)&amp;CHAR(34)&amp;"bidderId"&amp;CHAR(34)&amp;": "&amp;CHAR(34)&amp;SUBSTITUTE(CriteriTecnici!$A2352,CHAR(34),"'")&amp;CHAR(34)&amp;", "&amp;CHAR(34)&amp;"lotId"&amp;CHAR(34)&amp;": "&amp;CHAR(34)&amp;SUBSTITUTE(CriteriTecnici!$C2352,CHAR(34),"'")&amp;CHAR(34)&amp;", "&amp;CHAR(34)&amp;"criterionId"&amp;CHAR(34)&amp;": "&amp;CHAR(34)&amp;SUBSTITUTE(CriteriTecnici!$D2352,CHAR(34),"'")&amp;CHAR(34)&amp;", "&amp;CHAR(34)&amp;"kind"&amp;CHAR(34)&amp;": "&amp;CHAR(34)&amp;SUBSTITUTE(CriteriTecnici!$F2352,CHAR(34),"'")&amp;CHAR(34)&amp;", "&amp;CHAR(34)&amp;"value"&amp;CHAR(34)&amp;": "&amp;SUBSTITUTE(TRIM(ROUND(IFERROR(CriteriTecnici!$N2352*1,IFERROR(NUMBERVALUE(CriteriTecnici!$N2352,".",","),IFERROR(NUMBERVALUE(CriteriTecnici!$N2352,",","."),0))),4)&amp;""),",",".")&amp;", "&amp;CHAR(34)&amp;"numerator"&amp;CHAR(34)&amp;": "&amp;SUBSTITUTE(TRIM(ROUND(IFERROR(CriteriTecnici!$K2352*1,IFERROR(NUMBERVALUE(CriteriTecnici!$K2352,".",","),IFERROR(NUMBERVALUE(CriteriTecnici!$K2352,",","."),0))),4)&amp;""),",",".")&amp;", "&amp;CHAR(34)&amp;"denominator"&amp;CHAR(34)&amp;": "&amp;SUBSTITUTE(TRIM(ROUND(IFERROR(CriteriTecnici!$L2352*1,IFERROR(NUMBERVALUE(CriteriTecnici!$L2352,".",","),IFERROR(NUMBERVALUE(CriteriTecnici!$L2352,",","."),0))),4)&amp;""),",",".")&amp;", "&amp;CHAR(34)&amp;"flag"&amp;CHAR(34)&amp;": "&amp;SUBSTITUTE(TRIM(ROUND(IFERROR(CriteriTecnici!$M2352*1,IFERROR(NUMBERVALUE(CriteriTecnici!$M2352,".",","),IFERROR(NUMBERVALUE(CriteriTecnici!$M2352,",","."),0))),4)&amp;""),",",".")&amp;", "&amp;CHAR(34)&amp;"rawScore"&amp;CHAR(34)&amp;": "&amp;SUBSTITUTE(TRIM(ROUND(IFERROR(CriteriTecnici!$O2352*1,IFERROR(NUMBERVALUE(CriteriTecnici!$O2352,".",","),IFERROR(NUMBERVALUE(CriteriTecnici!$O2352,",","."),0))),4)&amp;""),",",".")&amp;CHAR(125)&amp;IF(TRUE,",",""))</f>
        <v/>
      </c>
    </row>
    <row r="2454">
      <c r="A2454" s="82">
        <f>IF(CriteriTecnici!$A2353="","","    "&amp;CHAR(123)&amp;CHAR(34)&amp;"bidderId"&amp;CHAR(34)&amp;": "&amp;CHAR(34)&amp;SUBSTITUTE(CriteriTecnici!$A2353,CHAR(34),"'")&amp;CHAR(34)&amp;", "&amp;CHAR(34)&amp;"lotId"&amp;CHAR(34)&amp;": "&amp;CHAR(34)&amp;SUBSTITUTE(CriteriTecnici!$C2353,CHAR(34),"'")&amp;CHAR(34)&amp;", "&amp;CHAR(34)&amp;"criterionId"&amp;CHAR(34)&amp;": "&amp;CHAR(34)&amp;SUBSTITUTE(CriteriTecnici!$D2353,CHAR(34),"'")&amp;CHAR(34)&amp;", "&amp;CHAR(34)&amp;"kind"&amp;CHAR(34)&amp;": "&amp;CHAR(34)&amp;SUBSTITUTE(CriteriTecnici!$F2353,CHAR(34),"'")&amp;CHAR(34)&amp;", "&amp;CHAR(34)&amp;"value"&amp;CHAR(34)&amp;": "&amp;SUBSTITUTE(TRIM(ROUND(IFERROR(CriteriTecnici!$N2353*1,IFERROR(NUMBERVALUE(CriteriTecnici!$N2353,".",","),IFERROR(NUMBERVALUE(CriteriTecnici!$N2353,",","."),0))),4)&amp;""),",",".")&amp;", "&amp;CHAR(34)&amp;"numerator"&amp;CHAR(34)&amp;": "&amp;SUBSTITUTE(TRIM(ROUND(IFERROR(CriteriTecnici!$K2353*1,IFERROR(NUMBERVALUE(CriteriTecnici!$K2353,".",","),IFERROR(NUMBERVALUE(CriteriTecnici!$K2353,",","."),0))),4)&amp;""),",",".")&amp;", "&amp;CHAR(34)&amp;"denominator"&amp;CHAR(34)&amp;": "&amp;SUBSTITUTE(TRIM(ROUND(IFERROR(CriteriTecnici!$L2353*1,IFERROR(NUMBERVALUE(CriteriTecnici!$L2353,".",","),IFERROR(NUMBERVALUE(CriteriTecnici!$L2353,",","."),0))),4)&amp;""),",",".")&amp;", "&amp;CHAR(34)&amp;"flag"&amp;CHAR(34)&amp;": "&amp;SUBSTITUTE(TRIM(ROUND(IFERROR(CriteriTecnici!$M2353*1,IFERROR(NUMBERVALUE(CriteriTecnici!$M2353,".",","),IFERROR(NUMBERVALUE(CriteriTecnici!$M2353,",","."),0))),4)&amp;""),",",".")&amp;", "&amp;CHAR(34)&amp;"rawScore"&amp;CHAR(34)&amp;": "&amp;SUBSTITUTE(TRIM(ROUND(IFERROR(CriteriTecnici!$O2353*1,IFERROR(NUMBERVALUE(CriteriTecnici!$O2353,".",","),IFERROR(NUMBERVALUE(CriteriTecnici!$O2353,",","."),0))),4)&amp;""),",",".")&amp;CHAR(125)&amp;IF(TRUE,",",""))</f>
        <v/>
      </c>
    </row>
    <row r="2455">
      <c r="A2455" s="82">
        <f>IF(CriteriTecnici!$A2354="","","    "&amp;CHAR(123)&amp;CHAR(34)&amp;"bidderId"&amp;CHAR(34)&amp;": "&amp;CHAR(34)&amp;SUBSTITUTE(CriteriTecnici!$A2354,CHAR(34),"'")&amp;CHAR(34)&amp;", "&amp;CHAR(34)&amp;"lotId"&amp;CHAR(34)&amp;": "&amp;CHAR(34)&amp;SUBSTITUTE(CriteriTecnici!$C2354,CHAR(34),"'")&amp;CHAR(34)&amp;", "&amp;CHAR(34)&amp;"criterionId"&amp;CHAR(34)&amp;": "&amp;CHAR(34)&amp;SUBSTITUTE(CriteriTecnici!$D2354,CHAR(34),"'")&amp;CHAR(34)&amp;", "&amp;CHAR(34)&amp;"kind"&amp;CHAR(34)&amp;": "&amp;CHAR(34)&amp;SUBSTITUTE(CriteriTecnici!$F2354,CHAR(34),"'")&amp;CHAR(34)&amp;", "&amp;CHAR(34)&amp;"value"&amp;CHAR(34)&amp;": "&amp;SUBSTITUTE(TRIM(ROUND(IFERROR(CriteriTecnici!$N2354*1,IFERROR(NUMBERVALUE(CriteriTecnici!$N2354,".",","),IFERROR(NUMBERVALUE(CriteriTecnici!$N2354,",","."),0))),4)&amp;""),",",".")&amp;", "&amp;CHAR(34)&amp;"numerator"&amp;CHAR(34)&amp;": "&amp;SUBSTITUTE(TRIM(ROUND(IFERROR(CriteriTecnici!$K2354*1,IFERROR(NUMBERVALUE(CriteriTecnici!$K2354,".",","),IFERROR(NUMBERVALUE(CriteriTecnici!$K2354,",","."),0))),4)&amp;""),",",".")&amp;", "&amp;CHAR(34)&amp;"denominator"&amp;CHAR(34)&amp;": "&amp;SUBSTITUTE(TRIM(ROUND(IFERROR(CriteriTecnici!$L2354*1,IFERROR(NUMBERVALUE(CriteriTecnici!$L2354,".",","),IFERROR(NUMBERVALUE(CriteriTecnici!$L2354,",","."),0))),4)&amp;""),",",".")&amp;", "&amp;CHAR(34)&amp;"flag"&amp;CHAR(34)&amp;": "&amp;SUBSTITUTE(TRIM(ROUND(IFERROR(CriteriTecnici!$M2354*1,IFERROR(NUMBERVALUE(CriteriTecnici!$M2354,".",","),IFERROR(NUMBERVALUE(CriteriTecnici!$M2354,",","."),0))),4)&amp;""),",",".")&amp;", "&amp;CHAR(34)&amp;"rawScore"&amp;CHAR(34)&amp;": "&amp;SUBSTITUTE(TRIM(ROUND(IFERROR(CriteriTecnici!$O2354*1,IFERROR(NUMBERVALUE(CriteriTecnici!$O2354,".",","),IFERROR(NUMBERVALUE(CriteriTecnici!$O2354,",","."),0))),4)&amp;""),",",".")&amp;CHAR(125)&amp;IF(TRUE,",",""))</f>
        <v/>
      </c>
    </row>
    <row r="2456">
      <c r="A2456" s="82">
        <f>IF(CriteriTecnici!$A2355="","","    "&amp;CHAR(123)&amp;CHAR(34)&amp;"bidderId"&amp;CHAR(34)&amp;": "&amp;CHAR(34)&amp;SUBSTITUTE(CriteriTecnici!$A2355,CHAR(34),"'")&amp;CHAR(34)&amp;", "&amp;CHAR(34)&amp;"lotId"&amp;CHAR(34)&amp;": "&amp;CHAR(34)&amp;SUBSTITUTE(CriteriTecnici!$C2355,CHAR(34),"'")&amp;CHAR(34)&amp;", "&amp;CHAR(34)&amp;"criterionId"&amp;CHAR(34)&amp;": "&amp;CHAR(34)&amp;SUBSTITUTE(CriteriTecnici!$D2355,CHAR(34),"'")&amp;CHAR(34)&amp;", "&amp;CHAR(34)&amp;"kind"&amp;CHAR(34)&amp;": "&amp;CHAR(34)&amp;SUBSTITUTE(CriteriTecnici!$F2355,CHAR(34),"'")&amp;CHAR(34)&amp;", "&amp;CHAR(34)&amp;"value"&amp;CHAR(34)&amp;": "&amp;SUBSTITUTE(TRIM(ROUND(IFERROR(CriteriTecnici!$N2355*1,IFERROR(NUMBERVALUE(CriteriTecnici!$N2355,".",","),IFERROR(NUMBERVALUE(CriteriTecnici!$N2355,",","."),0))),4)&amp;""),",",".")&amp;", "&amp;CHAR(34)&amp;"numerator"&amp;CHAR(34)&amp;": "&amp;SUBSTITUTE(TRIM(ROUND(IFERROR(CriteriTecnici!$K2355*1,IFERROR(NUMBERVALUE(CriteriTecnici!$K2355,".",","),IFERROR(NUMBERVALUE(CriteriTecnici!$K2355,",","."),0))),4)&amp;""),",",".")&amp;", "&amp;CHAR(34)&amp;"denominator"&amp;CHAR(34)&amp;": "&amp;SUBSTITUTE(TRIM(ROUND(IFERROR(CriteriTecnici!$L2355*1,IFERROR(NUMBERVALUE(CriteriTecnici!$L2355,".",","),IFERROR(NUMBERVALUE(CriteriTecnici!$L2355,",","."),0))),4)&amp;""),",",".")&amp;", "&amp;CHAR(34)&amp;"flag"&amp;CHAR(34)&amp;": "&amp;SUBSTITUTE(TRIM(ROUND(IFERROR(CriteriTecnici!$M2355*1,IFERROR(NUMBERVALUE(CriteriTecnici!$M2355,".",","),IFERROR(NUMBERVALUE(CriteriTecnici!$M2355,",","."),0))),4)&amp;""),",",".")&amp;", "&amp;CHAR(34)&amp;"rawScore"&amp;CHAR(34)&amp;": "&amp;SUBSTITUTE(TRIM(ROUND(IFERROR(CriteriTecnici!$O2355*1,IFERROR(NUMBERVALUE(CriteriTecnici!$O2355,".",","),IFERROR(NUMBERVALUE(CriteriTecnici!$O2355,",","."),0))),4)&amp;""),",",".")&amp;CHAR(125)&amp;IF(TRUE,",",""))</f>
        <v/>
      </c>
    </row>
    <row r="2457">
      <c r="A2457" s="82">
        <f>IF(CriteriTecnici!$A2356="","","    "&amp;CHAR(123)&amp;CHAR(34)&amp;"bidderId"&amp;CHAR(34)&amp;": "&amp;CHAR(34)&amp;SUBSTITUTE(CriteriTecnici!$A2356,CHAR(34),"'")&amp;CHAR(34)&amp;", "&amp;CHAR(34)&amp;"lotId"&amp;CHAR(34)&amp;": "&amp;CHAR(34)&amp;SUBSTITUTE(CriteriTecnici!$C2356,CHAR(34),"'")&amp;CHAR(34)&amp;", "&amp;CHAR(34)&amp;"criterionId"&amp;CHAR(34)&amp;": "&amp;CHAR(34)&amp;SUBSTITUTE(CriteriTecnici!$D2356,CHAR(34),"'")&amp;CHAR(34)&amp;", "&amp;CHAR(34)&amp;"kind"&amp;CHAR(34)&amp;": "&amp;CHAR(34)&amp;SUBSTITUTE(CriteriTecnici!$F2356,CHAR(34),"'")&amp;CHAR(34)&amp;", "&amp;CHAR(34)&amp;"value"&amp;CHAR(34)&amp;": "&amp;SUBSTITUTE(TRIM(ROUND(IFERROR(CriteriTecnici!$N2356*1,IFERROR(NUMBERVALUE(CriteriTecnici!$N2356,".",","),IFERROR(NUMBERVALUE(CriteriTecnici!$N2356,",","."),0))),4)&amp;""),",",".")&amp;", "&amp;CHAR(34)&amp;"numerator"&amp;CHAR(34)&amp;": "&amp;SUBSTITUTE(TRIM(ROUND(IFERROR(CriteriTecnici!$K2356*1,IFERROR(NUMBERVALUE(CriteriTecnici!$K2356,".",","),IFERROR(NUMBERVALUE(CriteriTecnici!$K2356,",","."),0))),4)&amp;""),",",".")&amp;", "&amp;CHAR(34)&amp;"denominator"&amp;CHAR(34)&amp;": "&amp;SUBSTITUTE(TRIM(ROUND(IFERROR(CriteriTecnici!$L2356*1,IFERROR(NUMBERVALUE(CriteriTecnici!$L2356,".",","),IFERROR(NUMBERVALUE(CriteriTecnici!$L2356,",","."),0))),4)&amp;""),",",".")&amp;", "&amp;CHAR(34)&amp;"flag"&amp;CHAR(34)&amp;": "&amp;SUBSTITUTE(TRIM(ROUND(IFERROR(CriteriTecnici!$M2356*1,IFERROR(NUMBERVALUE(CriteriTecnici!$M2356,".",","),IFERROR(NUMBERVALUE(CriteriTecnici!$M2356,",","."),0))),4)&amp;""),",",".")&amp;", "&amp;CHAR(34)&amp;"rawScore"&amp;CHAR(34)&amp;": "&amp;SUBSTITUTE(TRIM(ROUND(IFERROR(CriteriTecnici!$O2356*1,IFERROR(NUMBERVALUE(CriteriTecnici!$O2356,".",","),IFERROR(NUMBERVALUE(CriteriTecnici!$O2356,",","."),0))),4)&amp;""),",",".")&amp;CHAR(125)&amp;IF(TRUE,",",""))</f>
        <v/>
      </c>
    </row>
    <row r="2458">
      <c r="A2458" s="82">
        <f>IF(CriteriTecnici!$A2357="","","    "&amp;CHAR(123)&amp;CHAR(34)&amp;"bidderId"&amp;CHAR(34)&amp;": "&amp;CHAR(34)&amp;SUBSTITUTE(CriteriTecnici!$A2357,CHAR(34),"'")&amp;CHAR(34)&amp;", "&amp;CHAR(34)&amp;"lotId"&amp;CHAR(34)&amp;": "&amp;CHAR(34)&amp;SUBSTITUTE(CriteriTecnici!$C2357,CHAR(34),"'")&amp;CHAR(34)&amp;", "&amp;CHAR(34)&amp;"criterionId"&amp;CHAR(34)&amp;": "&amp;CHAR(34)&amp;SUBSTITUTE(CriteriTecnici!$D2357,CHAR(34),"'")&amp;CHAR(34)&amp;", "&amp;CHAR(34)&amp;"kind"&amp;CHAR(34)&amp;": "&amp;CHAR(34)&amp;SUBSTITUTE(CriteriTecnici!$F2357,CHAR(34),"'")&amp;CHAR(34)&amp;", "&amp;CHAR(34)&amp;"value"&amp;CHAR(34)&amp;": "&amp;SUBSTITUTE(TRIM(ROUND(IFERROR(CriteriTecnici!$N2357*1,IFERROR(NUMBERVALUE(CriteriTecnici!$N2357,".",","),IFERROR(NUMBERVALUE(CriteriTecnici!$N2357,",","."),0))),4)&amp;""),",",".")&amp;", "&amp;CHAR(34)&amp;"numerator"&amp;CHAR(34)&amp;": "&amp;SUBSTITUTE(TRIM(ROUND(IFERROR(CriteriTecnici!$K2357*1,IFERROR(NUMBERVALUE(CriteriTecnici!$K2357,".",","),IFERROR(NUMBERVALUE(CriteriTecnici!$K2357,",","."),0))),4)&amp;""),",",".")&amp;", "&amp;CHAR(34)&amp;"denominator"&amp;CHAR(34)&amp;": "&amp;SUBSTITUTE(TRIM(ROUND(IFERROR(CriteriTecnici!$L2357*1,IFERROR(NUMBERVALUE(CriteriTecnici!$L2357,".",","),IFERROR(NUMBERVALUE(CriteriTecnici!$L2357,",","."),0))),4)&amp;""),",",".")&amp;", "&amp;CHAR(34)&amp;"flag"&amp;CHAR(34)&amp;": "&amp;SUBSTITUTE(TRIM(ROUND(IFERROR(CriteriTecnici!$M2357*1,IFERROR(NUMBERVALUE(CriteriTecnici!$M2357,".",","),IFERROR(NUMBERVALUE(CriteriTecnici!$M2357,",","."),0))),4)&amp;""),",",".")&amp;", "&amp;CHAR(34)&amp;"rawScore"&amp;CHAR(34)&amp;": "&amp;SUBSTITUTE(TRIM(ROUND(IFERROR(CriteriTecnici!$O2357*1,IFERROR(NUMBERVALUE(CriteriTecnici!$O2357,".",","),IFERROR(NUMBERVALUE(CriteriTecnici!$O2357,",","."),0))),4)&amp;""),",",".")&amp;CHAR(125)&amp;IF(TRUE,",",""))</f>
        <v/>
      </c>
    </row>
    <row r="2459">
      <c r="A2459" s="82">
        <f>IF(CriteriTecnici!$A2358="","","    "&amp;CHAR(123)&amp;CHAR(34)&amp;"bidderId"&amp;CHAR(34)&amp;": "&amp;CHAR(34)&amp;SUBSTITUTE(CriteriTecnici!$A2358,CHAR(34),"'")&amp;CHAR(34)&amp;", "&amp;CHAR(34)&amp;"lotId"&amp;CHAR(34)&amp;": "&amp;CHAR(34)&amp;SUBSTITUTE(CriteriTecnici!$C2358,CHAR(34),"'")&amp;CHAR(34)&amp;", "&amp;CHAR(34)&amp;"criterionId"&amp;CHAR(34)&amp;": "&amp;CHAR(34)&amp;SUBSTITUTE(CriteriTecnici!$D2358,CHAR(34),"'")&amp;CHAR(34)&amp;", "&amp;CHAR(34)&amp;"kind"&amp;CHAR(34)&amp;": "&amp;CHAR(34)&amp;SUBSTITUTE(CriteriTecnici!$F2358,CHAR(34),"'")&amp;CHAR(34)&amp;", "&amp;CHAR(34)&amp;"value"&amp;CHAR(34)&amp;": "&amp;SUBSTITUTE(TRIM(ROUND(IFERROR(CriteriTecnici!$N2358*1,IFERROR(NUMBERVALUE(CriteriTecnici!$N2358,".",","),IFERROR(NUMBERVALUE(CriteriTecnici!$N2358,",","."),0))),4)&amp;""),",",".")&amp;", "&amp;CHAR(34)&amp;"numerator"&amp;CHAR(34)&amp;": "&amp;SUBSTITUTE(TRIM(ROUND(IFERROR(CriteriTecnici!$K2358*1,IFERROR(NUMBERVALUE(CriteriTecnici!$K2358,".",","),IFERROR(NUMBERVALUE(CriteriTecnici!$K2358,",","."),0))),4)&amp;""),",",".")&amp;", "&amp;CHAR(34)&amp;"denominator"&amp;CHAR(34)&amp;": "&amp;SUBSTITUTE(TRIM(ROUND(IFERROR(CriteriTecnici!$L2358*1,IFERROR(NUMBERVALUE(CriteriTecnici!$L2358,".",","),IFERROR(NUMBERVALUE(CriteriTecnici!$L2358,",","."),0))),4)&amp;""),",",".")&amp;", "&amp;CHAR(34)&amp;"flag"&amp;CHAR(34)&amp;": "&amp;SUBSTITUTE(TRIM(ROUND(IFERROR(CriteriTecnici!$M2358*1,IFERROR(NUMBERVALUE(CriteriTecnici!$M2358,".",","),IFERROR(NUMBERVALUE(CriteriTecnici!$M2358,",","."),0))),4)&amp;""),",",".")&amp;", "&amp;CHAR(34)&amp;"rawScore"&amp;CHAR(34)&amp;": "&amp;SUBSTITUTE(TRIM(ROUND(IFERROR(CriteriTecnici!$O2358*1,IFERROR(NUMBERVALUE(CriteriTecnici!$O2358,".",","),IFERROR(NUMBERVALUE(CriteriTecnici!$O2358,",","."),0))),4)&amp;""),",",".")&amp;CHAR(125)&amp;IF(TRUE,",",""))</f>
        <v/>
      </c>
    </row>
    <row r="2460">
      <c r="A2460" s="82">
        <f>IF(CriteriTecnici!$A2359="","","    "&amp;CHAR(123)&amp;CHAR(34)&amp;"bidderId"&amp;CHAR(34)&amp;": "&amp;CHAR(34)&amp;SUBSTITUTE(CriteriTecnici!$A2359,CHAR(34),"'")&amp;CHAR(34)&amp;", "&amp;CHAR(34)&amp;"lotId"&amp;CHAR(34)&amp;": "&amp;CHAR(34)&amp;SUBSTITUTE(CriteriTecnici!$C2359,CHAR(34),"'")&amp;CHAR(34)&amp;", "&amp;CHAR(34)&amp;"criterionId"&amp;CHAR(34)&amp;": "&amp;CHAR(34)&amp;SUBSTITUTE(CriteriTecnici!$D2359,CHAR(34),"'")&amp;CHAR(34)&amp;", "&amp;CHAR(34)&amp;"kind"&amp;CHAR(34)&amp;": "&amp;CHAR(34)&amp;SUBSTITUTE(CriteriTecnici!$F2359,CHAR(34),"'")&amp;CHAR(34)&amp;", "&amp;CHAR(34)&amp;"value"&amp;CHAR(34)&amp;": "&amp;SUBSTITUTE(TRIM(ROUND(IFERROR(CriteriTecnici!$N2359*1,IFERROR(NUMBERVALUE(CriteriTecnici!$N2359,".",","),IFERROR(NUMBERVALUE(CriteriTecnici!$N2359,",","."),0))),4)&amp;""),",",".")&amp;", "&amp;CHAR(34)&amp;"numerator"&amp;CHAR(34)&amp;": "&amp;SUBSTITUTE(TRIM(ROUND(IFERROR(CriteriTecnici!$K2359*1,IFERROR(NUMBERVALUE(CriteriTecnici!$K2359,".",","),IFERROR(NUMBERVALUE(CriteriTecnici!$K2359,",","."),0))),4)&amp;""),",",".")&amp;", "&amp;CHAR(34)&amp;"denominator"&amp;CHAR(34)&amp;": "&amp;SUBSTITUTE(TRIM(ROUND(IFERROR(CriteriTecnici!$L2359*1,IFERROR(NUMBERVALUE(CriteriTecnici!$L2359,".",","),IFERROR(NUMBERVALUE(CriteriTecnici!$L2359,",","."),0))),4)&amp;""),",",".")&amp;", "&amp;CHAR(34)&amp;"flag"&amp;CHAR(34)&amp;": "&amp;SUBSTITUTE(TRIM(ROUND(IFERROR(CriteriTecnici!$M2359*1,IFERROR(NUMBERVALUE(CriteriTecnici!$M2359,".",","),IFERROR(NUMBERVALUE(CriteriTecnici!$M2359,",","."),0))),4)&amp;""),",",".")&amp;", "&amp;CHAR(34)&amp;"rawScore"&amp;CHAR(34)&amp;": "&amp;SUBSTITUTE(TRIM(ROUND(IFERROR(CriteriTecnici!$O2359*1,IFERROR(NUMBERVALUE(CriteriTecnici!$O2359,".",","),IFERROR(NUMBERVALUE(CriteriTecnici!$O2359,",","."),0))),4)&amp;""),",",".")&amp;CHAR(125)&amp;IF(TRUE,",",""))</f>
        <v/>
      </c>
    </row>
    <row r="2461">
      <c r="A2461" s="82">
        <f>IF(CriteriTecnici!$A2360="","","    "&amp;CHAR(123)&amp;CHAR(34)&amp;"bidderId"&amp;CHAR(34)&amp;": "&amp;CHAR(34)&amp;SUBSTITUTE(CriteriTecnici!$A2360,CHAR(34),"'")&amp;CHAR(34)&amp;", "&amp;CHAR(34)&amp;"lotId"&amp;CHAR(34)&amp;": "&amp;CHAR(34)&amp;SUBSTITUTE(CriteriTecnici!$C2360,CHAR(34),"'")&amp;CHAR(34)&amp;", "&amp;CHAR(34)&amp;"criterionId"&amp;CHAR(34)&amp;": "&amp;CHAR(34)&amp;SUBSTITUTE(CriteriTecnici!$D2360,CHAR(34),"'")&amp;CHAR(34)&amp;", "&amp;CHAR(34)&amp;"kind"&amp;CHAR(34)&amp;": "&amp;CHAR(34)&amp;SUBSTITUTE(CriteriTecnici!$F2360,CHAR(34),"'")&amp;CHAR(34)&amp;", "&amp;CHAR(34)&amp;"value"&amp;CHAR(34)&amp;": "&amp;SUBSTITUTE(TRIM(ROUND(IFERROR(CriteriTecnici!$N2360*1,IFERROR(NUMBERVALUE(CriteriTecnici!$N2360,".",","),IFERROR(NUMBERVALUE(CriteriTecnici!$N2360,",","."),0))),4)&amp;""),",",".")&amp;", "&amp;CHAR(34)&amp;"numerator"&amp;CHAR(34)&amp;": "&amp;SUBSTITUTE(TRIM(ROUND(IFERROR(CriteriTecnici!$K2360*1,IFERROR(NUMBERVALUE(CriteriTecnici!$K2360,".",","),IFERROR(NUMBERVALUE(CriteriTecnici!$K2360,",","."),0))),4)&amp;""),",",".")&amp;", "&amp;CHAR(34)&amp;"denominator"&amp;CHAR(34)&amp;": "&amp;SUBSTITUTE(TRIM(ROUND(IFERROR(CriteriTecnici!$L2360*1,IFERROR(NUMBERVALUE(CriteriTecnici!$L2360,".",","),IFERROR(NUMBERVALUE(CriteriTecnici!$L2360,",","."),0))),4)&amp;""),",",".")&amp;", "&amp;CHAR(34)&amp;"flag"&amp;CHAR(34)&amp;": "&amp;SUBSTITUTE(TRIM(ROUND(IFERROR(CriteriTecnici!$M2360*1,IFERROR(NUMBERVALUE(CriteriTecnici!$M2360,".",","),IFERROR(NUMBERVALUE(CriteriTecnici!$M2360,",","."),0))),4)&amp;""),",",".")&amp;", "&amp;CHAR(34)&amp;"rawScore"&amp;CHAR(34)&amp;": "&amp;SUBSTITUTE(TRIM(ROUND(IFERROR(CriteriTecnici!$O2360*1,IFERROR(NUMBERVALUE(CriteriTecnici!$O2360,".",","),IFERROR(NUMBERVALUE(CriteriTecnici!$O2360,",","."),0))),4)&amp;""),",",".")&amp;CHAR(125)&amp;IF(COUNTA(Offerte!$A78:$A$81)&gt;0,",",""))</f>
        <v/>
      </c>
    </row>
    <row r="2462">
      <c r="A2462" s="82">
        <f>IF(CriteriTecnici!$A2361="","","    "&amp;CHAR(123)&amp;CHAR(34)&amp;"bidderId"&amp;CHAR(34)&amp;": "&amp;CHAR(34)&amp;SUBSTITUTE(CriteriTecnici!$A2361,CHAR(34),"'")&amp;CHAR(34)&amp;", "&amp;CHAR(34)&amp;"lotId"&amp;CHAR(34)&amp;": "&amp;CHAR(34)&amp;SUBSTITUTE(CriteriTecnici!$C2361,CHAR(34),"'")&amp;CHAR(34)&amp;", "&amp;CHAR(34)&amp;"criterionId"&amp;CHAR(34)&amp;": "&amp;CHAR(34)&amp;SUBSTITUTE(CriteriTecnici!$D2361,CHAR(34),"'")&amp;CHAR(34)&amp;", "&amp;CHAR(34)&amp;"kind"&amp;CHAR(34)&amp;": "&amp;CHAR(34)&amp;SUBSTITUTE(CriteriTecnici!$F2361,CHAR(34),"'")&amp;CHAR(34)&amp;", "&amp;CHAR(34)&amp;"value"&amp;CHAR(34)&amp;": "&amp;SUBSTITUTE(TRIM(ROUND(IFERROR(CriteriTecnici!$N2361*1,IFERROR(NUMBERVALUE(CriteriTecnici!$N2361,".",","),IFERROR(NUMBERVALUE(CriteriTecnici!$N2361,",","."),0))),4)&amp;""),",",".")&amp;", "&amp;CHAR(34)&amp;"numerator"&amp;CHAR(34)&amp;": "&amp;SUBSTITUTE(TRIM(ROUND(IFERROR(CriteriTecnici!$K2361*1,IFERROR(NUMBERVALUE(CriteriTecnici!$K2361,".",","),IFERROR(NUMBERVALUE(CriteriTecnici!$K2361,",","."),0))),4)&amp;""),",",".")&amp;", "&amp;CHAR(34)&amp;"denominator"&amp;CHAR(34)&amp;": "&amp;SUBSTITUTE(TRIM(ROUND(IFERROR(CriteriTecnici!$L2361*1,IFERROR(NUMBERVALUE(CriteriTecnici!$L2361,".",","),IFERROR(NUMBERVALUE(CriteriTecnici!$L2361,",","."),0))),4)&amp;""),",",".")&amp;", "&amp;CHAR(34)&amp;"flag"&amp;CHAR(34)&amp;": "&amp;SUBSTITUTE(TRIM(ROUND(IFERROR(CriteriTecnici!$M2361*1,IFERROR(NUMBERVALUE(CriteriTecnici!$M2361,".",","),IFERROR(NUMBERVALUE(CriteriTecnici!$M2361,",","."),0))),4)&amp;""),",",".")&amp;", "&amp;CHAR(34)&amp;"rawScore"&amp;CHAR(34)&amp;": "&amp;SUBSTITUTE(TRIM(ROUND(IFERROR(CriteriTecnici!$O2361*1,IFERROR(NUMBERVALUE(CriteriTecnici!$O2361,".",","),IFERROR(NUMBERVALUE(CriteriTecnici!$O2361,",","."),0))),4)&amp;""),",",".")&amp;CHAR(125)&amp;IF(TRUE,",",""))</f>
        <v/>
      </c>
    </row>
    <row r="2463">
      <c r="A2463" s="82">
        <f>IF(CriteriTecnici!$A2362="","","    "&amp;CHAR(123)&amp;CHAR(34)&amp;"bidderId"&amp;CHAR(34)&amp;": "&amp;CHAR(34)&amp;SUBSTITUTE(CriteriTecnici!$A2362,CHAR(34),"'")&amp;CHAR(34)&amp;", "&amp;CHAR(34)&amp;"lotId"&amp;CHAR(34)&amp;": "&amp;CHAR(34)&amp;SUBSTITUTE(CriteriTecnici!$C2362,CHAR(34),"'")&amp;CHAR(34)&amp;", "&amp;CHAR(34)&amp;"criterionId"&amp;CHAR(34)&amp;": "&amp;CHAR(34)&amp;SUBSTITUTE(CriteriTecnici!$D2362,CHAR(34),"'")&amp;CHAR(34)&amp;", "&amp;CHAR(34)&amp;"kind"&amp;CHAR(34)&amp;": "&amp;CHAR(34)&amp;SUBSTITUTE(CriteriTecnici!$F2362,CHAR(34),"'")&amp;CHAR(34)&amp;", "&amp;CHAR(34)&amp;"value"&amp;CHAR(34)&amp;": "&amp;SUBSTITUTE(TRIM(ROUND(IFERROR(CriteriTecnici!$N2362*1,IFERROR(NUMBERVALUE(CriteriTecnici!$N2362,".",","),IFERROR(NUMBERVALUE(CriteriTecnici!$N2362,",","."),0))),4)&amp;""),",",".")&amp;", "&amp;CHAR(34)&amp;"numerator"&amp;CHAR(34)&amp;": "&amp;SUBSTITUTE(TRIM(ROUND(IFERROR(CriteriTecnici!$K2362*1,IFERROR(NUMBERVALUE(CriteriTecnici!$K2362,".",","),IFERROR(NUMBERVALUE(CriteriTecnici!$K2362,",","."),0))),4)&amp;""),",",".")&amp;", "&amp;CHAR(34)&amp;"denominator"&amp;CHAR(34)&amp;": "&amp;SUBSTITUTE(TRIM(ROUND(IFERROR(CriteriTecnici!$L2362*1,IFERROR(NUMBERVALUE(CriteriTecnici!$L2362,".",","),IFERROR(NUMBERVALUE(CriteriTecnici!$L2362,",","."),0))),4)&amp;""),",",".")&amp;", "&amp;CHAR(34)&amp;"flag"&amp;CHAR(34)&amp;": "&amp;SUBSTITUTE(TRIM(ROUND(IFERROR(CriteriTecnici!$M2362*1,IFERROR(NUMBERVALUE(CriteriTecnici!$M2362,".",","),IFERROR(NUMBERVALUE(CriteriTecnici!$M2362,",","."),0))),4)&amp;""),",",".")&amp;", "&amp;CHAR(34)&amp;"rawScore"&amp;CHAR(34)&amp;": "&amp;SUBSTITUTE(TRIM(ROUND(IFERROR(CriteriTecnici!$O2362*1,IFERROR(NUMBERVALUE(CriteriTecnici!$O2362,".",","),IFERROR(NUMBERVALUE(CriteriTecnici!$O2362,",","."),0))),4)&amp;""),",",".")&amp;CHAR(125)&amp;IF(TRUE,",",""))</f>
        <v/>
      </c>
    </row>
    <row r="2464">
      <c r="A2464" s="82">
        <f>IF(CriteriTecnici!$A2363="","","    "&amp;CHAR(123)&amp;CHAR(34)&amp;"bidderId"&amp;CHAR(34)&amp;": "&amp;CHAR(34)&amp;SUBSTITUTE(CriteriTecnici!$A2363,CHAR(34),"'")&amp;CHAR(34)&amp;", "&amp;CHAR(34)&amp;"lotId"&amp;CHAR(34)&amp;": "&amp;CHAR(34)&amp;SUBSTITUTE(CriteriTecnici!$C2363,CHAR(34),"'")&amp;CHAR(34)&amp;", "&amp;CHAR(34)&amp;"criterionId"&amp;CHAR(34)&amp;": "&amp;CHAR(34)&amp;SUBSTITUTE(CriteriTecnici!$D2363,CHAR(34),"'")&amp;CHAR(34)&amp;", "&amp;CHAR(34)&amp;"kind"&amp;CHAR(34)&amp;": "&amp;CHAR(34)&amp;SUBSTITUTE(CriteriTecnici!$F2363,CHAR(34),"'")&amp;CHAR(34)&amp;", "&amp;CHAR(34)&amp;"value"&amp;CHAR(34)&amp;": "&amp;SUBSTITUTE(TRIM(ROUND(IFERROR(CriteriTecnici!$N2363*1,IFERROR(NUMBERVALUE(CriteriTecnici!$N2363,".",","),IFERROR(NUMBERVALUE(CriteriTecnici!$N2363,",","."),0))),4)&amp;""),",",".")&amp;", "&amp;CHAR(34)&amp;"numerator"&amp;CHAR(34)&amp;": "&amp;SUBSTITUTE(TRIM(ROUND(IFERROR(CriteriTecnici!$K2363*1,IFERROR(NUMBERVALUE(CriteriTecnici!$K2363,".",","),IFERROR(NUMBERVALUE(CriteriTecnici!$K2363,",","."),0))),4)&amp;""),",",".")&amp;", "&amp;CHAR(34)&amp;"denominator"&amp;CHAR(34)&amp;": "&amp;SUBSTITUTE(TRIM(ROUND(IFERROR(CriteriTecnici!$L2363*1,IFERROR(NUMBERVALUE(CriteriTecnici!$L2363,".",","),IFERROR(NUMBERVALUE(CriteriTecnici!$L2363,",","."),0))),4)&amp;""),",",".")&amp;", "&amp;CHAR(34)&amp;"flag"&amp;CHAR(34)&amp;": "&amp;SUBSTITUTE(TRIM(ROUND(IFERROR(CriteriTecnici!$M2363*1,IFERROR(NUMBERVALUE(CriteriTecnici!$M2363,".",","),IFERROR(NUMBERVALUE(CriteriTecnici!$M2363,",","."),0))),4)&amp;""),",",".")&amp;", "&amp;CHAR(34)&amp;"rawScore"&amp;CHAR(34)&amp;": "&amp;SUBSTITUTE(TRIM(ROUND(IFERROR(CriteriTecnici!$O2363*1,IFERROR(NUMBERVALUE(CriteriTecnici!$O2363,".",","),IFERROR(NUMBERVALUE(CriteriTecnici!$O2363,",","."),0))),4)&amp;""),",",".")&amp;CHAR(125)&amp;IF(TRUE,",",""))</f>
        <v/>
      </c>
    </row>
    <row r="2465">
      <c r="A2465" s="82">
        <f>IF(CriteriTecnici!$A2364="","","    "&amp;CHAR(123)&amp;CHAR(34)&amp;"bidderId"&amp;CHAR(34)&amp;": "&amp;CHAR(34)&amp;SUBSTITUTE(CriteriTecnici!$A2364,CHAR(34),"'")&amp;CHAR(34)&amp;", "&amp;CHAR(34)&amp;"lotId"&amp;CHAR(34)&amp;": "&amp;CHAR(34)&amp;SUBSTITUTE(CriteriTecnici!$C2364,CHAR(34),"'")&amp;CHAR(34)&amp;", "&amp;CHAR(34)&amp;"criterionId"&amp;CHAR(34)&amp;": "&amp;CHAR(34)&amp;SUBSTITUTE(CriteriTecnici!$D2364,CHAR(34),"'")&amp;CHAR(34)&amp;", "&amp;CHAR(34)&amp;"kind"&amp;CHAR(34)&amp;": "&amp;CHAR(34)&amp;SUBSTITUTE(CriteriTecnici!$F2364,CHAR(34),"'")&amp;CHAR(34)&amp;", "&amp;CHAR(34)&amp;"value"&amp;CHAR(34)&amp;": "&amp;SUBSTITUTE(TRIM(ROUND(IFERROR(CriteriTecnici!$N2364*1,IFERROR(NUMBERVALUE(CriteriTecnici!$N2364,".",","),IFERROR(NUMBERVALUE(CriteriTecnici!$N2364,",","."),0))),4)&amp;""),",",".")&amp;", "&amp;CHAR(34)&amp;"numerator"&amp;CHAR(34)&amp;": "&amp;SUBSTITUTE(TRIM(ROUND(IFERROR(CriteriTecnici!$K2364*1,IFERROR(NUMBERVALUE(CriteriTecnici!$K2364,".",","),IFERROR(NUMBERVALUE(CriteriTecnici!$K2364,",","."),0))),4)&amp;""),",",".")&amp;", "&amp;CHAR(34)&amp;"denominator"&amp;CHAR(34)&amp;": "&amp;SUBSTITUTE(TRIM(ROUND(IFERROR(CriteriTecnici!$L2364*1,IFERROR(NUMBERVALUE(CriteriTecnici!$L2364,".",","),IFERROR(NUMBERVALUE(CriteriTecnici!$L2364,",","."),0))),4)&amp;""),",",".")&amp;", "&amp;CHAR(34)&amp;"flag"&amp;CHAR(34)&amp;": "&amp;SUBSTITUTE(TRIM(ROUND(IFERROR(CriteriTecnici!$M2364*1,IFERROR(NUMBERVALUE(CriteriTecnici!$M2364,".",","),IFERROR(NUMBERVALUE(CriteriTecnici!$M2364,",","."),0))),4)&amp;""),",",".")&amp;", "&amp;CHAR(34)&amp;"rawScore"&amp;CHAR(34)&amp;": "&amp;SUBSTITUTE(TRIM(ROUND(IFERROR(CriteriTecnici!$O2364*1,IFERROR(NUMBERVALUE(CriteriTecnici!$O2364,".",","),IFERROR(NUMBERVALUE(CriteriTecnici!$O2364,",","."),0))),4)&amp;""),",",".")&amp;CHAR(125)&amp;IF(TRUE,",",""))</f>
        <v/>
      </c>
    </row>
    <row r="2466">
      <c r="A2466" s="82">
        <f>IF(CriteriTecnici!$A2365="","","    "&amp;CHAR(123)&amp;CHAR(34)&amp;"bidderId"&amp;CHAR(34)&amp;": "&amp;CHAR(34)&amp;SUBSTITUTE(CriteriTecnici!$A2365,CHAR(34),"'")&amp;CHAR(34)&amp;", "&amp;CHAR(34)&amp;"lotId"&amp;CHAR(34)&amp;": "&amp;CHAR(34)&amp;SUBSTITUTE(CriteriTecnici!$C2365,CHAR(34),"'")&amp;CHAR(34)&amp;", "&amp;CHAR(34)&amp;"criterionId"&amp;CHAR(34)&amp;": "&amp;CHAR(34)&amp;SUBSTITUTE(CriteriTecnici!$D2365,CHAR(34),"'")&amp;CHAR(34)&amp;", "&amp;CHAR(34)&amp;"kind"&amp;CHAR(34)&amp;": "&amp;CHAR(34)&amp;SUBSTITUTE(CriteriTecnici!$F2365,CHAR(34),"'")&amp;CHAR(34)&amp;", "&amp;CHAR(34)&amp;"value"&amp;CHAR(34)&amp;": "&amp;SUBSTITUTE(TRIM(ROUND(IFERROR(CriteriTecnici!$N2365*1,IFERROR(NUMBERVALUE(CriteriTecnici!$N2365,".",","),IFERROR(NUMBERVALUE(CriteriTecnici!$N2365,",","."),0))),4)&amp;""),",",".")&amp;", "&amp;CHAR(34)&amp;"numerator"&amp;CHAR(34)&amp;": "&amp;SUBSTITUTE(TRIM(ROUND(IFERROR(CriteriTecnici!$K2365*1,IFERROR(NUMBERVALUE(CriteriTecnici!$K2365,".",","),IFERROR(NUMBERVALUE(CriteriTecnici!$K2365,",","."),0))),4)&amp;""),",",".")&amp;", "&amp;CHAR(34)&amp;"denominator"&amp;CHAR(34)&amp;": "&amp;SUBSTITUTE(TRIM(ROUND(IFERROR(CriteriTecnici!$L2365*1,IFERROR(NUMBERVALUE(CriteriTecnici!$L2365,".",","),IFERROR(NUMBERVALUE(CriteriTecnici!$L2365,",","."),0))),4)&amp;""),",",".")&amp;", "&amp;CHAR(34)&amp;"flag"&amp;CHAR(34)&amp;": "&amp;SUBSTITUTE(TRIM(ROUND(IFERROR(CriteriTecnici!$M2365*1,IFERROR(NUMBERVALUE(CriteriTecnici!$M2365,".",","),IFERROR(NUMBERVALUE(CriteriTecnici!$M2365,",","."),0))),4)&amp;""),",",".")&amp;", "&amp;CHAR(34)&amp;"rawScore"&amp;CHAR(34)&amp;": "&amp;SUBSTITUTE(TRIM(ROUND(IFERROR(CriteriTecnici!$O2365*1,IFERROR(NUMBERVALUE(CriteriTecnici!$O2365,".",","),IFERROR(NUMBERVALUE(CriteriTecnici!$O2365,",","."),0))),4)&amp;""),",",".")&amp;CHAR(125)&amp;IF(TRUE,",",""))</f>
        <v/>
      </c>
    </row>
    <row r="2467">
      <c r="A2467" s="82">
        <f>IF(CriteriTecnici!$A2366="","","    "&amp;CHAR(123)&amp;CHAR(34)&amp;"bidderId"&amp;CHAR(34)&amp;": "&amp;CHAR(34)&amp;SUBSTITUTE(CriteriTecnici!$A2366,CHAR(34),"'")&amp;CHAR(34)&amp;", "&amp;CHAR(34)&amp;"lotId"&amp;CHAR(34)&amp;": "&amp;CHAR(34)&amp;SUBSTITUTE(CriteriTecnici!$C2366,CHAR(34),"'")&amp;CHAR(34)&amp;", "&amp;CHAR(34)&amp;"criterionId"&amp;CHAR(34)&amp;": "&amp;CHAR(34)&amp;SUBSTITUTE(CriteriTecnici!$D2366,CHAR(34),"'")&amp;CHAR(34)&amp;", "&amp;CHAR(34)&amp;"kind"&amp;CHAR(34)&amp;": "&amp;CHAR(34)&amp;SUBSTITUTE(CriteriTecnici!$F2366,CHAR(34),"'")&amp;CHAR(34)&amp;", "&amp;CHAR(34)&amp;"value"&amp;CHAR(34)&amp;": "&amp;SUBSTITUTE(TRIM(ROUND(IFERROR(CriteriTecnici!$N2366*1,IFERROR(NUMBERVALUE(CriteriTecnici!$N2366,".",","),IFERROR(NUMBERVALUE(CriteriTecnici!$N2366,",","."),0))),4)&amp;""),",",".")&amp;", "&amp;CHAR(34)&amp;"numerator"&amp;CHAR(34)&amp;": "&amp;SUBSTITUTE(TRIM(ROUND(IFERROR(CriteriTecnici!$K2366*1,IFERROR(NUMBERVALUE(CriteriTecnici!$K2366,".",","),IFERROR(NUMBERVALUE(CriteriTecnici!$K2366,",","."),0))),4)&amp;""),",",".")&amp;", "&amp;CHAR(34)&amp;"denominator"&amp;CHAR(34)&amp;": "&amp;SUBSTITUTE(TRIM(ROUND(IFERROR(CriteriTecnici!$L2366*1,IFERROR(NUMBERVALUE(CriteriTecnici!$L2366,".",","),IFERROR(NUMBERVALUE(CriteriTecnici!$L2366,",","."),0))),4)&amp;""),",",".")&amp;", "&amp;CHAR(34)&amp;"flag"&amp;CHAR(34)&amp;": "&amp;SUBSTITUTE(TRIM(ROUND(IFERROR(CriteriTecnici!$M2366*1,IFERROR(NUMBERVALUE(CriteriTecnici!$M2366,".",","),IFERROR(NUMBERVALUE(CriteriTecnici!$M2366,",","."),0))),4)&amp;""),",",".")&amp;", "&amp;CHAR(34)&amp;"rawScore"&amp;CHAR(34)&amp;": "&amp;SUBSTITUTE(TRIM(ROUND(IFERROR(CriteriTecnici!$O2366*1,IFERROR(NUMBERVALUE(CriteriTecnici!$O2366,".",","),IFERROR(NUMBERVALUE(CriteriTecnici!$O2366,",","."),0))),4)&amp;""),",",".")&amp;CHAR(125)&amp;IF(TRUE,",",""))</f>
        <v/>
      </c>
    </row>
    <row r="2468">
      <c r="A2468" s="82">
        <f>IF(CriteriTecnici!$A2367="","","    "&amp;CHAR(123)&amp;CHAR(34)&amp;"bidderId"&amp;CHAR(34)&amp;": "&amp;CHAR(34)&amp;SUBSTITUTE(CriteriTecnici!$A2367,CHAR(34),"'")&amp;CHAR(34)&amp;", "&amp;CHAR(34)&amp;"lotId"&amp;CHAR(34)&amp;": "&amp;CHAR(34)&amp;SUBSTITUTE(CriteriTecnici!$C2367,CHAR(34),"'")&amp;CHAR(34)&amp;", "&amp;CHAR(34)&amp;"criterionId"&amp;CHAR(34)&amp;": "&amp;CHAR(34)&amp;SUBSTITUTE(CriteriTecnici!$D2367,CHAR(34),"'")&amp;CHAR(34)&amp;", "&amp;CHAR(34)&amp;"kind"&amp;CHAR(34)&amp;": "&amp;CHAR(34)&amp;SUBSTITUTE(CriteriTecnici!$F2367,CHAR(34),"'")&amp;CHAR(34)&amp;", "&amp;CHAR(34)&amp;"value"&amp;CHAR(34)&amp;": "&amp;SUBSTITUTE(TRIM(ROUND(IFERROR(CriteriTecnici!$N2367*1,IFERROR(NUMBERVALUE(CriteriTecnici!$N2367,".",","),IFERROR(NUMBERVALUE(CriteriTecnici!$N2367,",","."),0))),4)&amp;""),",",".")&amp;", "&amp;CHAR(34)&amp;"numerator"&amp;CHAR(34)&amp;": "&amp;SUBSTITUTE(TRIM(ROUND(IFERROR(CriteriTecnici!$K2367*1,IFERROR(NUMBERVALUE(CriteriTecnici!$K2367,".",","),IFERROR(NUMBERVALUE(CriteriTecnici!$K2367,",","."),0))),4)&amp;""),",",".")&amp;", "&amp;CHAR(34)&amp;"denominator"&amp;CHAR(34)&amp;": "&amp;SUBSTITUTE(TRIM(ROUND(IFERROR(CriteriTecnici!$L2367*1,IFERROR(NUMBERVALUE(CriteriTecnici!$L2367,".",","),IFERROR(NUMBERVALUE(CriteriTecnici!$L2367,",","."),0))),4)&amp;""),",",".")&amp;", "&amp;CHAR(34)&amp;"flag"&amp;CHAR(34)&amp;": "&amp;SUBSTITUTE(TRIM(ROUND(IFERROR(CriteriTecnici!$M2367*1,IFERROR(NUMBERVALUE(CriteriTecnici!$M2367,".",","),IFERROR(NUMBERVALUE(CriteriTecnici!$M2367,",","."),0))),4)&amp;""),",",".")&amp;", "&amp;CHAR(34)&amp;"rawScore"&amp;CHAR(34)&amp;": "&amp;SUBSTITUTE(TRIM(ROUND(IFERROR(CriteriTecnici!$O2367*1,IFERROR(NUMBERVALUE(CriteriTecnici!$O2367,".",","),IFERROR(NUMBERVALUE(CriteriTecnici!$O2367,",","."),0))),4)&amp;""),",",".")&amp;CHAR(125)&amp;IF(TRUE,",",""))</f>
        <v/>
      </c>
    </row>
    <row r="2469">
      <c r="A2469" s="82">
        <f>IF(CriteriTecnici!$A2368="","","    "&amp;CHAR(123)&amp;CHAR(34)&amp;"bidderId"&amp;CHAR(34)&amp;": "&amp;CHAR(34)&amp;SUBSTITUTE(CriteriTecnici!$A2368,CHAR(34),"'")&amp;CHAR(34)&amp;", "&amp;CHAR(34)&amp;"lotId"&amp;CHAR(34)&amp;": "&amp;CHAR(34)&amp;SUBSTITUTE(CriteriTecnici!$C2368,CHAR(34),"'")&amp;CHAR(34)&amp;", "&amp;CHAR(34)&amp;"criterionId"&amp;CHAR(34)&amp;": "&amp;CHAR(34)&amp;SUBSTITUTE(CriteriTecnici!$D2368,CHAR(34),"'")&amp;CHAR(34)&amp;", "&amp;CHAR(34)&amp;"kind"&amp;CHAR(34)&amp;": "&amp;CHAR(34)&amp;SUBSTITUTE(CriteriTecnici!$F2368,CHAR(34),"'")&amp;CHAR(34)&amp;", "&amp;CHAR(34)&amp;"value"&amp;CHAR(34)&amp;": "&amp;SUBSTITUTE(TRIM(ROUND(IFERROR(CriteriTecnici!$N2368*1,IFERROR(NUMBERVALUE(CriteriTecnici!$N2368,".",","),IFERROR(NUMBERVALUE(CriteriTecnici!$N2368,",","."),0))),4)&amp;""),",",".")&amp;", "&amp;CHAR(34)&amp;"numerator"&amp;CHAR(34)&amp;": "&amp;SUBSTITUTE(TRIM(ROUND(IFERROR(CriteriTecnici!$K2368*1,IFERROR(NUMBERVALUE(CriteriTecnici!$K2368,".",","),IFERROR(NUMBERVALUE(CriteriTecnici!$K2368,",","."),0))),4)&amp;""),",",".")&amp;", "&amp;CHAR(34)&amp;"denominator"&amp;CHAR(34)&amp;": "&amp;SUBSTITUTE(TRIM(ROUND(IFERROR(CriteriTecnici!$L2368*1,IFERROR(NUMBERVALUE(CriteriTecnici!$L2368,".",","),IFERROR(NUMBERVALUE(CriteriTecnici!$L2368,",","."),0))),4)&amp;""),",",".")&amp;", "&amp;CHAR(34)&amp;"flag"&amp;CHAR(34)&amp;": "&amp;SUBSTITUTE(TRIM(ROUND(IFERROR(CriteriTecnici!$M2368*1,IFERROR(NUMBERVALUE(CriteriTecnici!$M2368,".",","),IFERROR(NUMBERVALUE(CriteriTecnici!$M2368,",","."),0))),4)&amp;""),",",".")&amp;", "&amp;CHAR(34)&amp;"rawScore"&amp;CHAR(34)&amp;": "&amp;SUBSTITUTE(TRIM(ROUND(IFERROR(CriteriTecnici!$O2368*1,IFERROR(NUMBERVALUE(CriteriTecnici!$O2368,".",","),IFERROR(NUMBERVALUE(CriteriTecnici!$O2368,",","."),0))),4)&amp;""),",",".")&amp;CHAR(125)&amp;IF(TRUE,",",""))</f>
        <v/>
      </c>
    </row>
    <row r="2470">
      <c r="A2470" s="82">
        <f>IF(CriteriTecnici!$A2369="","","    "&amp;CHAR(123)&amp;CHAR(34)&amp;"bidderId"&amp;CHAR(34)&amp;": "&amp;CHAR(34)&amp;SUBSTITUTE(CriteriTecnici!$A2369,CHAR(34),"'")&amp;CHAR(34)&amp;", "&amp;CHAR(34)&amp;"lotId"&amp;CHAR(34)&amp;": "&amp;CHAR(34)&amp;SUBSTITUTE(CriteriTecnici!$C2369,CHAR(34),"'")&amp;CHAR(34)&amp;", "&amp;CHAR(34)&amp;"criterionId"&amp;CHAR(34)&amp;": "&amp;CHAR(34)&amp;SUBSTITUTE(CriteriTecnici!$D2369,CHAR(34),"'")&amp;CHAR(34)&amp;", "&amp;CHAR(34)&amp;"kind"&amp;CHAR(34)&amp;": "&amp;CHAR(34)&amp;SUBSTITUTE(CriteriTecnici!$F2369,CHAR(34),"'")&amp;CHAR(34)&amp;", "&amp;CHAR(34)&amp;"value"&amp;CHAR(34)&amp;": "&amp;SUBSTITUTE(TRIM(ROUND(IFERROR(CriteriTecnici!$N2369*1,IFERROR(NUMBERVALUE(CriteriTecnici!$N2369,".",","),IFERROR(NUMBERVALUE(CriteriTecnici!$N2369,",","."),0))),4)&amp;""),",",".")&amp;", "&amp;CHAR(34)&amp;"numerator"&amp;CHAR(34)&amp;": "&amp;SUBSTITUTE(TRIM(ROUND(IFERROR(CriteriTecnici!$K2369*1,IFERROR(NUMBERVALUE(CriteriTecnici!$K2369,".",","),IFERROR(NUMBERVALUE(CriteriTecnici!$K2369,",","."),0))),4)&amp;""),",",".")&amp;", "&amp;CHAR(34)&amp;"denominator"&amp;CHAR(34)&amp;": "&amp;SUBSTITUTE(TRIM(ROUND(IFERROR(CriteriTecnici!$L2369*1,IFERROR(NUMBERVALUE(CriteriTecnici!$L2369,".",","),IFERROR(NUMBERVALUE(CriteriTecnici!$L2369,",","."),0))),4)&amp;""),",",".")&amp;", "&amp;CHAR(34)&amp;"flag"&amp;CHAR(34)&amp;": "&amp;SUBSTITUTE(TRIM(ROUND(IFERROR(CriteriTecnici!$M2369*1,IFERROR(NUMBERVALUE(CriteriTecnici!$M2369,".",","),IFERROR(NUMBERVALUE(CriteriTecnici!$M2369,",","."),0))),4)&amp;""),",",".")&amp;", "&amp;CHAR(34)&amp;"rawScore"&amp;CHAR(34)&amp;": "&amp;SUBSTITUTE(TRIM(ROUND(IFERROR(CriteriTecnici!$O2369*1,IFERROR(NUMBERVALUE(CriteriTecnici!$O2369,".",","),IFERROR(NUMBERVALUE(CriteriTecnici!$O2369,",","."),0))),4)&amp;""),",",".")&amp;CHAR(125)&amp;IF(TRUE,",",""))</f>
        <v/>
      </c>
    </row>
    <row r="2471">
      <c r="A2471" s="82">
        <f>IF(CriteriTecnici!$A2370="","","    "&amp;CHAR(123)&amp;CHAR(34)&amp;"bidderId"&amp;CHAR(34)&amp;": "&amp;CHAR(34)&amp;SUBSTITUTE(CriteriTecnici!$A2370,CHAR(34),"'")&amp;CHAR(34)&amp;", "&amp;CHAR(34)&amp;"lotId"&amp;CHAR(34)&amp;": "&amp;CHAR(34)&amp;SUBSTITUTE(CriteriTecnici!$C2370,CHAR(34),"'")&amp;CHAR(34)&amp;", "&amp;CHAR(34)&amp;"criterionId"&amp;CHAR(34)&amp;": "&amp;CHAR(34)&amp;SUBSTITUTE(CriteriTecnici!$D2370,CHAR(34),"'")&amp;CHAR(34)&amp;", "&amp;CHAR(34)&amp;"kind"&amp;CHAR(34)&amp;": "&amp;CHAR(34)&amp;SUBSTITUTE(CriteriTecnici!$F2370,CHAR(34),"'")&amp;CHAR(34)&amp;", "&amp;CHAR(34)&amp;"value"&amp;CHAR(34)&amp;": "&amp;SUBSTITUTE(TRIM(ROUND(IFERROR(CriteriTecnici!$N2370*1,IFERROR(NUMBERVALUE(CriteriTecnici!$N2370,".",","),IFERROR(NUMBERVALUE(CriteriTecnici!$N2370,",","."),0))),4)&amp;""),",",".")&amp;", "&amp;CHAR(34)&amp;"numerator"&amp;CHAR(34)&amp;": "&amp;SUBSTITUTE(TRIM(ROUND(IFERROR(CriteriTecnici!$K2370*1,IFERROR(NUMBERVALUE(CriteriTecnici!$K2370,".",","),IFERROR(NUMBERVALUE(CriteriTecnici!$K2370,",","."),0))),4)&amp;""),",",".")&amp;", "&amp;CHAR(34)&amp;"denominator"&amp;CHAR(34)&amp;": "&amp;SUBSTITUTE(TRIM(ROUND(IFERROR(CriteriTecnici!$L2370*1,IFERROR(NUMBERVALUE(CriteriTecnici!$L2370,".",","),IFERROR(NUMBERVALUE(CriteriTecnici!$L2370,",","."),0))),4)&amp;""),",",".")&amp;", "&amp;CHAR(34)&amp;"flag"&amp;CHAR(34)&amp;": "&amp;SUBSTITUTE(TRIM(ROUND(IFERROR(CriteriTecnici!$M2370*1,IFERROR(NUMBERVALUE(CriteriTecnici!$M2370,".",","),IFERROR(NUMBERVALUE(CriteriTecnici!$M2370,",","."),0))),4)&amp;""),",",".")&amp;", "&amp;CHAR(34)&amp;"rawScore"&amp;CHAR(34)&amp;": "&amp;SUBSTITUTE(TRIM(ROUND(IFERROR(CriteriTecnici!$O2370*1,IFERROR(NUMBERVALUE(CriteriTecnici!$O2370,".",","),IFERROR(NUMBERVALUE(CriteriTecnici!$O2370,",","."),0))),4)&amp;""),",",".")&amp;CHAR(125)&amp;IF(TRUE,",",""))</f>
        <v/>
      </c>
    </row>
    <row r="2472">
      <c r="A2472" s="82">
        <f>IF(CriteriTecnici!$A2371="","","    "&amp;CHAR(123)&amp;CHAR(34)&amp;"bidderId"&amp;CHAR(34)&amp;": "&amp;CHAR(34)&amp;SUBSTITUTE(CriteriTecnici!$A2371,CHAR(34),"'")&amp;CHAR(34)&amp;", "&amp;CHAR(34)&amp;"lotId"&amp;CHAR(34)&amp;": "&amp;CHAR(34)&amp;SUBSTITUTE(CriteriTecnici!$C2371,CHAR(34),"'")&amp;CHAR(34)&amp;", "&amp;CHAR(34)&amp;"criterionId"&amp;CHAR(34)&amp;": "&amp;CHAR(34)&amp;SUBSTITUTE(CriteriTecnici!$D2371,CHAR(34),"'")&amp;CHAR(34)&amp;", "&amp;CHAR(34)&amp;"kind"&amp;CHAR(34)&amp;": "&amp;CHAR(34)&amp;SUBSTITUTE(CriteriTecnici!$F2371,CHAR(34),"'")&amp;CHAR(34)&amp;", "&amp;CHAR(34)&amp;"value"&amp;CHAR(34)&amp;": "&amp;SUBSTITUTE(TRIM(ROUND(IFERROR(CriteriTecnici!$N2371*1,IFERROR(NUMBERVALUE(CriteriTecnici!$N2371,".",","),IFERROR(NUMBERVALUE(CriteriTecnici!$N2371,",","."),0))),4)&amp;""),",",".")&amp;", "&amp;CHAR(34)&amp;"numerator"&amp;CHAR(34)&amp;": "&amp;SUBSTITUTE(TRIM(ROUND(IFERROR(CriteriTecnici!$K2371*1,IFERROR(NUMBERVALUE(CriteriTecnici!$K2371,".",","),IFERROR(NUMBERVALUE(CriteriTecnici!$K2371,",","."),0))),4)&amp;""),",",".")&amp;", "&amp;CHAR(34)&amp;"denominator"&amp;CHAR(34)&amp;": "&amp;SUBSTITUTE(TRIM(ROUND(IFERROR(CriteriTecnici!$L2371*1,IFERROR(NUMBERVALUE(CriteriTecnici!$L2371,".",","),IFERROR(NUMBERVALUE(CriteriTecnici!$L2371,",","."),0))),4)&amp;""),",",".")&amp;", "&amp;CHAR(34)&amp;"flag"&amp;CHAR(34)&amp;": "&amp;SUBSTITUTE(TRIM(ROUND(IFERROR(CriteriTecnici!$M2371*1,IFERROR(NUMBERVALUE(CriteriTecnici!$M2371,".",","),IFERROR(NUMBERVALUE(CriteriTecnici!$M2371,",","."),0))),4)&amp;""),",",".")&amp;", "&amp;CHAR(34)&amp;"rawScore"&amp;CHAR(34)&amp;": "&amp;SUBSTITUTE(TRIM(ROUND(IFERROR(CriteriTecnici!$O2371*1,IFERROR(NUMBERVALUE(CriteriTecnici!$O2371,".",","),IFERROR(NUMBERVALUE(CriteriTecnici!$O2371,",","."),0))),4)&amp;""),",",".")&amp;CHAR(125)&amp;IF(TRUE,",",""))</f>
        <v/>
      </c>
    </row>
    <row r="2473">
      <c r="A2473" s="82">
        <f>IF(CriteriTecnici!$A2372="","","    "&amp;CHAR(123)&amp;CHAR(34)&amp;"bidderId"&amp;CHAR(34)&amp;": "&amp;CHAR(34)&amp;SUBSTITUTE(CriteriTecnici!$A2372,CHAR(34),"'")&amp;CHAR(34)&amp;", "&amp;CHAR(34)&amp;"lotId"&amp;CHAR(34)&amp;": "&amp;CHAR(34)&amp;SUBSTITUTE(CriteriTecnici!$C2372,CHAR(34),"'")&amp;CHAR(34)&amp;", "&amp;CHAR(34)&amp;"criterionId"&amp;CHAR(34)&amp;": "&amp;CHAR(34)&amp;SUBSTITUTE(CriteriTecnici!$D2372,CHAR(34),"'")&amp;CHAR(34)&amp;", "&amp;CHAR(34)&amp;"kind"&amp;CHAR(34)&amp;": "&amp;CHAR(34)&amp;SUBSTITUTE(CriteriTecnici!$F2372,CHAR(34),"'")&amp;CHAR(34)&amp;", "&amp;CHAR(34)&amp;"value"&amp;CHAR(34)&amp;": "&amp;SUBSTITUTE(TRIM(ROUND(IFERROR(CriteriTecnici!$N2372*1,IFERROR(NUMBERVALUE(CriteriTecnici!$N2372,".",","),IFERROR(NUMBERVALUE(CriteriTecnici!$N2372,",","."),0))),4)&amp;""),",",".")&amp;", "&amp;CHAR(34)&amp;"numerator"&amp;CHAR(34)&amp;": "&amp;SUBSTITUTE(TRIM(ROUND(IFERROR(CriteriTecnici!$K2372*1,IFERROR(NUMBERVALUE(CriteriTecnici!$K2372,".",","),IFERROR(NUMBERVALUE(CriteriTecnici!$K2372,",","."),0))),4)&amp;""),",",".")&amp;", "&amp;CHAR(34)&amp;"denominator"&amp;CHAR(34)&amp;": "&amp;SUBSTITUTE(TRIM(ROUND(IFERROR(CriteriTecnici!$L2372*1,IFERROR(NUMBERVALUE(CriteriTecnici!$L2372,".",","),IFERROR(NUMBERVALUE(CriteriTecnici!$L2372,",","."),0))),4)&amp;""),",",".")&amp;", "&amp;CHAR(34)&amp;"flag"&amp;CHAR(34)&amp;": "&amp;SUBSTITUTE(TRIM(ROUND(IFERROR(CriteriTecnici!$M2372*1,IFERROR(NUMBERVALUE(CriteriTecnici!$M2372,".",","),IFERROR(NUMBERVALUE(CriteriTecnici!$M2372,",","."),0))),4)&amp;""),",",".")&amp;", "&amp;CHAR(34)&amp;"rawScore"&amp;CHAR(34)&amp;": "&amp;SUBSTITUTE(TRIM(ROUND(IFERROR(CriteriTecnici!$O2372*1,IFERROR(NUMBERVALUE(CriteriTecnici!$O2372,".",","),IFERROR(NUMBERVALUE(CriteriTecnici!$O2372,",","."),0))),4)&amp;""),",",".")&amp;CHAR(125)&amp;IF(TRUE,",",""))</f>
        <v/>
      </c>
    </row>
    <row r="2474">
      <c r="A2474" s="82">
        <f>IF(CriteriTecnici!$A2373="","","    "&amp;CHAR(123)&amp;CHAR(34)&amp;"bidderId"&amp;CHAR(34)&amp;": "&amp;CHAR(34)&amp;SUBSTITUTE(CriteriTecnici!$A2373,CHAR(34),"'")&amp;CHAR(34)&amp;", "&amp;CHAR(34)&amp;"lotId"&amp;CHAR(34)&amp;": "&amp;CHAR(34)&amp;SUBSTITUTE(CriteriTecnici!$C2373,CHAR(34),"'")&amp;CHAR(34)&amp;", "&amp;CHAR(34)&amp;"criterionId"&amp;CHAR(34)&amp;": "&amp;CHAR(34)&amp;SUBSTITUTE(CriteriTecnici!$D2373,CHAR(34),"'")&amp;CHAR(34)&amp;", "&amp;CHAR(34)&amp;"kind"&amp;CHAR(34)&amp;": "&amp;CHAR(34)&amp;SUBSTITUTE(CriteriTecnici!$F2373,CHAR(34),"'")&amp;CHAR(34)&amp;", "&amp;CHAR(34)&amp;"value"&amp;CHAR(34)&amp;": "&amp;SUBSTITUTE(TRIM(ROUND(IFERROR(CriteriTecnici!$N2373*1,IFERROR(NUMBERVALUE(CriteriTecnici!$N2373,".",","),IFERROR(NUMBERVALUE(CriteriTecnici!$N2373,",","."),0))),4)&amp;""),",",".")&amp;", "&amp;CHAR(34)&amp;"numerator"&amp;CHAR(34)&amp;": "&amp;SUBSTITUTE(TRIM(ROUND(IFERROR(CriteriTecnici!$K2373*1,IFERROR(NUMBERVALUE(CriteriTecnici!$K2373,".",","),IFERROR(NUMBERVALUE(CriteriTecnici!$K2373,",","."),0))),4)&amp;""),",",".")&amp;", "&amp;CHAR(34)&amp;"denominator"&amp;CHAR(34)&amp;": "&amp;SUBSTITUTE(TRIM(ROUND(IFERROR(CriteriTecnici!$L2373*1,IFERROR(NUMBERVALUE(CriteriTecnici!$L2373,".",","),IFERROR(NUMBERVALUE(CriteriTecnici!$L2373,",","."),0))),4)&amp;""),",",".")&amp;", "&amp;CHAR(34)&amp;"flag"&amp;CHAR(34)&amp;": "&amp;SUBSTITUTE(TRIM(ROUND(IFERROR(CriteriTecnici!$M2373*1,IFERROR(NUMBERVALUE(CriteriTecnici!$M2373,".",","),IFERROR(NUMBERVALUE(CriteriTecnici!$M2373,",","."),0))),4)&amp;""),",",".")&amp;", "&amp;CHAR(34)&amp;"rawScore"&amp;CHAR(34)&amp;": "&amp;SUBSTITUTE(TRIM(ROUND(IFERROR(CriteriTecnici!$O2373*1,IFERROR(NUMBERVALUE(CriteriTecnici!$O2373,".",","),IFERROR(NUMBERVALUE(CriteriTecnici!$O2373,",","."),0))),4)&amp;""),",",".")&amp;CHAR(125)&amp;IF(TRUE,",",""))</f>
        <v/>
      </c>
    </row>
    <row r="2475">
      <c r="A2475" s="82">
        <f>IF(CriteriTecnici!$A2374="","","    "&amp;CHAR(123)&amp;CHAR(34)&amp;"bidderId"&amp;CHAR(34)&amp;": "&amp;CHAR(34)&amp;SUBSTITUTE(CriteriTecnici!$A2374,CHAR(34),"'")&amp;CHAR(34)&amp;", "&amp;CHAR(34)&amp;"lotId"&amp;CHAR(34)&amp;": "&amp;CHAR(34)&amp;SUBSTITUTE(CriteriTecnici!$C2374,CHAR(34),"'")&amp;CHAR(34)&amp;", "&amp;CHAR(34)&amp;"criterionId"&amp;CHAR(34)&amp;": "&amp;CHAR(34)&amp;SUBSTITUTE(CriteriTecnici!$D2374,CHAR(34),"'")&amp;CHAR(34)&amp;", "&amp;CHAR(34)&amp;"kind"&amp;CHAR(34)&amp;": "&amp;CHAR(34)&amp;SUBSTITUTE(CriteriTecnici!$F2374,CHAR(34),"'")&amp;CHAR(34)&amp;", "&amp;CHAR(34)&amp;"value"&amp;CHAR(34)&amp;": "&amp;SUBSTITUTE(TRIM(ROUND(IFERROR(CriteriTecnici!$N2374*1,IFERROR(NUMBERVALUE(CriteriTecnici!$N2374,".",","),IFERROR(NUMBERVALUE(CriteriTecnici!$N2374,",","."),0))),4)&amp;""),",",".")&amp;", "&amp;CHAR(34)&amp;"numerator"&amp;CHAR(34)&amp;": "&amp;SUBSTITUTE(TRIM(ROUND(IFERROR(CriteriTecnici!$K2374*1,IFERROR(NUMBERVALUE(CriteriTecnici!$K2374,".",","),IFERROR(NUMBERVALUE(CriteriTecnici!$K2374,",","."),0))),4)&amp;""),",",".")&amp;", "&amp;CHAR(34)&amp;"denominator"&amp;CHAR(34)&amp;": "&amp;SUBSTITUTE(TRIM(ROUND(IFERROR(CriteriTecnici!$L2374*1,IFERROR(NUMBERVALUE(CriteriTecnici!$L2374,".",","),IFERROR(NUMBERVALUE(CriteriTecnici!$L2374,",","."),0))),4)&amp;""),",",".")&amp;", "&amp;CHAR(34)&amp;"flag"&amp;CHAR(34)&amp;": "&amp;SUBSTITUTE(TRIM(ROUND(IFERROR(CriteriTecnici!$M2374*1,IFERROR(NUMBERVALUE(CriteriTecnici!$M2374,".",","),IFERROR(NUMBERVALUE(CriteriTecnici!$M2374,",","."),0))),4)&amp;""),",",".")&amp;", "&amp;CHAR(34)&amp;"rawScore"&amp;CHAR(34)&amp;": "&amp;SUBSTITUTE(TRIM(ROUND(IFERROR(CriteriTecnici!$O2374*1,IFERROR(NUMBERVALUE(CriteriTecnici!$O2374,".",","),IFERROR(NUMBERVALUE(CriteriTecnici!$O2374,",","."),0))),4)&amp;""),",",".")&amp;CHAR(125)&amp;IF(TRUE,",",""))</f>
        <v/>
      </c>
    </row>
    <row r="2476">
      <c r="A2476" s="82">
        <f>IF(CriteriTecnici!$A2375="","","    "&amp;CHAR(123)&amp;CHAR(34)&amp;"bidderId"&amp;CHAR(34)&amp;": "&amp;CHAR(34)&amp;SUBSTITUTE(CriteriTecnici!$A2375,CHAR(34),"'")&amp;CHAR(34)&amp;", "&amp;CHAR(34)&amp;"lotId"&amp;CHAR(34)&amp;": "&amp;CHAR(34)&amp;SUBSTITUTE(CriteriTecnici!$C2375,CHAR(34),"'")&amp;CHAR(34)&amp;", "&amp;CHAR(34)&amp;"criterionId"&amp;CHAR(34)&amp;": "&amp;CHAR(34)&amp;SUBSTITUTE(CriteriTecnici!$D2375,CHAR(34),"'")&amp;CHAR(34)&amp;", "&amp;CHAR(34)&amp;"kind"&amp;CHAR(34)&amp;": "&amp;CHAR(34)&amp;SUBSTITUTE(CriteriTecnici!$F2375,CHAR(34),"'")&amp;CHAR(34)&amp;", "&amp;CHAR(34)&amp;"value"&amp;CHAR(34)&amp;": "&amp;SUBSTITUTE(TRIM(ROUND(IFERROR(CriteriTecnici!$N2375*1,IFERROR(NUMBERVALUE(CriteriTecnici!$N2375,".",","),IFERROR(NUMBERVALUE(CriteriTecnici!$N2375,",","."),0))),4)&amp;""),",",".")&amp;", "&amp;CHAR(34)&amp;"numerator"&amp;CHAR(34)&amp;": "&amp;SUBSTITUTE(TRIM(ROUND(IFERROR(CriteriTecnici!$K2375*1,IFERROR(NUMBERVALUE(CriteriTecnici!$K2375,".",","),IFERROR(NUMBERVALUE(CriteriTecnici!$K2375,",","."),0))),4)&amp;""),",",".")&amp;", "&amp;CHAR(34)&amp;"denominator"&amp;CHAR(34)&amp;": "&amp;SUBSTITUTE(TRIM(ROUND(IFERROR(CriteriTecnici!$L2375*1,IFERROR(NUMBERVALUE(CriteriTecnici!$L2375,".",","),IFERROR(NUMBERVALUE(CriteriTecnici!$L2375,",","."),0))),4)&amp;""),",",".")&amp;", "&amp;CHAR(34)&amp;"flag"&amp;CHAR(34)&amp;": "&amp;SUBSTITUTE(TRIM(ROUND(IFERROR(CriteriTecnici!$M2375*1,IFERROR(NUMBERVALUE(CriteriTecnici!$M2375,".",","),IFERROR(NUMBERVALUE(CriteriTecnici!$M2375,",","."),0))),4)&amp;""),",",".")&amp;", "&amp;CHAR(34)&amp;"rawScore"&amp;CHAR(34)&amp;": "&amp;SUBSTITUTE(TRIM(ROUND(IFERROR(CriteriTecnici!$O2375*1,IFERROR(NUMBERVALUE(CriteriTecnici!$O2375,".",","),IFERROR(NUMBERVALUE(CriteriTecnici!$O2375,",","."),0))),4)&amp;""),",",".")&amp;CHAR(125)&amp;IF(TRUE,",",""))</f>
        <v/>
      </c>
    </row>
    <row r="2477">
      <c r="A2477" s="82">
        <f>IF(CriteriTecnici!$A2376="","","    "&amp;CHAR(123)&amp;CHAR(34)&amp;"bidderId"&amp;CHAR(34)&amp;": "&amp;CHAR(34)&amp;SUBSTITUTE(CriteriTecnici!$A2376,CHAR(34),"'")&amp;CHAR(34)&amp;", "&amp;CHAR(34)&amp;"lotId"&amp;CHAR(34)&amp;": "&amp;CHAR(34)&amp;SUBSTITUTE(CriteriTecnici!$C2376,CHAR(34),"'")&amp;CHAR(34)&amp;", "&amp;CHAR(34)&amp;"criterionId"&amp;CHAR(34)&amp;": "&amp;CHAR(34)&amp;SUBSTITUTE(CriteriTecnici!$D2376,CHAR(34),"'")&amp;CHAR(34)&amp;", "&amp;CHAR(34)&amp;"kind"&amp;CHAR(34)&amp;": "&amp;CHAR(34)&amp;SUBSTITUTE(CriteriTecnici!$F2376,CHAR(34),"'")&amp;CHAR(34)&amp;", "&amp;CHAR(34)&amp;"value"&amp;CHAR(34)&amp;": "&amp;SUBSTITUTE(TRIM(ROUND(IFERROR(CriteriTecnici!$N2376*1,IFERROR(NUMBERVALUE(CriteriTecnici!$N2376,".",","),IFERROR(NUMBERVALUE(CriteriTecnici!$N2376,",","."),0))),4)&amp;""),",",".")&amp;", "&amp;CHAR(34)&amp;"numerator"&amp;CHAR(34)&amp;": "&amp;SUBSTITUTE(TRIM(ROUND(IFERROR(CriteriTecnici!$K2376*1,IFERROR(NUMBERVALUE(CriteriTecnici!$K2376,".",","),IFERROR(NUMBERVALUE(CriteriTecnici!$K2376,",","."),0))),4)&amp;""),",",".")&amp;", "&amp;CHAR(34)&amp;"denominator"&amp;CHAR(34)&amp;": "&amp;SUBSTITUTE(TRIM(ROUND(IFERROR(CriteriTecnici!$L2376*1,IFERROR(NUMBERVALUE(CriteriTecnici!$L2376,".",","),IFERROR(NUMBERVALUE(CriteriTecnici!$L2376,",","."),0))),4)&amp;""),",",".")&amp;", "&amp;CHAR(34)&amp;"flag"&amp;CHAR(34)&amp;": "&amp;SUBSTITUTE(TRIM(ROUND(IFERROR(CriteriTecnici!$M2376*1,IFERROR(NUMBERVALUE(CriteriTecnici!$M2376,".",","),IFERROR(NUMBERVALUE(CriteriTecnici!$M2376,",","."),0))),4)&amp;""),",",".")&amp;", "&amp;CHAR(34)&amp;"rawScore"&amp;CHAR(34)&amp;": "&amp;SUBSTITUTE(TRIM(ROUND(IFERROR(CriteriTecnici!$O2376*1,IFERROR(NUMBERVALUE(CriteriTecnici!$O2376,".",","),IFERROR(NUMBERVALUE(CriteriTecnici!$O2376,",","."),0))),4)&amp;""),",",".")&amp;CHAR(125)&amp;IF(TRUE,",",""))</f>
        <v/>
      </c>
    </row>
    <row r="2478">
      <c r="A2478" s="82">
        <f>IF(CriteriTecnici!$A2377="","","    "&amp;CHAR(123)&amp;CHAR(34)&amp;"bidderId"&amp;CHAR(34)&amp;": "&amp;CHAR(34)&amp;SUBSTITUTE(CriteriTecnici!$A2377,CHAR(34),"'")&amp;CHAR(34)&amp;", "&amp;CHAR(34)&amp;"lotId"&amp;CHAR(34)&amp;": "&amp;CHAR(34)&amp;SUBSTITUTE(CriteriTecnici!$C2377,CHAR(34),"'")&amp;CHAR(34)&amp;", "&amp;CHAR(34)&amp;"criterionId"&amp;CHAR(34)&amp;": "&amp;CHAR(34)&amp;SUBSTITUTE(CriteriTecnici!$D2377,CHAR(34),"'")&amp;CHAR(34)&amp;", "&amp;CHAR(34)&amp;"kind"&amp;CHAR(34)&amp;": "&amp;CHAR(34)&amp;SUBSTITUTE(CriteriTecnici!$F2377,CHAR(34),"'")&amp;CHAR(34)&amp;", "&amp;CHAR(34)&amp;"value"&amp;CHAR(34)&amp;": "&amp;SUBSTITUTE(TRIM(ROUND(IFERROR(CriteriTecnici!$N2377*1,IFERROR(NUMBERVALUE(CriteriTecnici!$N2377,".",","),IFERROR(NUMBERVALUE(CriteriTecnici!$N2377,",","."),0))),4)&amp;""),",",".")&amp;", "&amp;CHAR(34)&amp;"numerator"&amp;CHAR(34)&amp;": "&amp;SUBSTITUTE(TRIM(ROUND(IFERROR(CriteriTecnici!$K2377*1,IFERROR(NUMBERVALUE(CriteriTecnici!$K2377,".",","),IFERROR(NUMBERVALUE(CriteriTecnici!$K2377,",","."),0))),4)&amp;""),",",".")&amp;", "&amp;CHAR(34)&amp;"denominator"&amp;CHAR(34)&amp;": "&amp;SUBSTITUTE(TRIM(ROUND(IFERROR(CriteriTecnici!$L2377*1,IFERROR(NUMBERVALUE(CriteriTecnici!$L2377,".",","),IFERROR(NUMBERVALUE(CriteriTecnici!$L2377,",","."),0))),4)&amp;""),",",".")&amp;", "&amp;CHAR(34)&amp;"flag"&amp;CHAR(34)&amp;": "&amp;SUBSTITUTE(TRIM(ROUND(IFERROR(CriteriTecnici!$M2377*1,IFERROR(NUMBERVALUE(CriteriTecnici!$M2377,".",","),IFERROR(NUMBERVALUE(CriteriTecnici!$M2377,",","."),0))),4)&amp;""),",",".")&amp;", "&amp;CHAR(34)&amp;"rawScore"&amp;CHAR(34)&amp;": "&amp;SUBSTITUTE(TRIM(ROUND(IFERROR(CriteriTecnici!$O2377*1,IFERROR(NUMBERVALUE(CriteriTecnici!$O2377,".",","),IFERROR(NUMBERVALUE(CriteriTecnici!$O2377,",","."),0))),4)&amp;""),",",".")&amp;CHAR(125)&amp;IF(TRUE,",",""))</f>
        <v/>
      </c>
    </row>
    <row r="2479">
      <c r="A2479" s="82">
        <f>IF(CriteriTecnici!$A2378="","","    "&amp;CHAR(123)&amp;CHAR(34)&amp;"bidderId"&amp;CHAR(34)&amp;": "&amp;CHAR(34)&amp;SUBSTITUTE(CriteriTecnici!$A2378,CHAR(34),"'")&amp;CHAR(34)&amp;", "&amp;CHAR(34)&amp;"lotId"&amp;CHAR(34)&amp;": "&amp;CHAR(34)&amp;SUBSTITUTE(CriteriTecnici!$C2378,CHAR(34),"'")&amp;CHAR(34)&amp;", "&amp;CHAR(34)&amp;"criterionId"&amp;CHAR(34)&amp;": "&amp;CHAR(34)&amp;SUBSTITUTE(CriteriTecnici!$D2378,CHAR(34),"'")&amp;CHAR(34)&amp;", "&amp;CHAR(34)&amp;"kind"&amp;CHAR(34)&amp;": "&amp;CHAR(34)&amp;SUBSTITUTE(CriteriTecnici!$F2378,CHAR(34),"'")&amp;CHAR(34)&amp;", "&amp;CHAR(34)&amp;"value"&amp;CHAR(34)&amp;": "&amp;SUBSTITUTE(TRIM(ROUND(IFERROR(CriteriTecnici!$N2378*1,IFERROR(NUMBERVALUE(CriteriTecnici!$N2378,".",","),IFERROR(NUMBERVALUE(CriteriTecnici!$N2378,",","."),0))),4)&amp;""),",",".")&amp;", "&amp;CHAR(34)&amp;"numerator"&amp;CHAR(34)&amp;": "&amp;SUBSTITUTE(TRIM(ROUND(IFERROR(CriteriTecnici!$K2378*1,IFERROR(NUMBERVALUE(CriteriTecnici!$K2378,".",","),IFERROR(NUMBERVALUE(CriteriTecnici!$K2378,",","."),0))),4)&amp;""),",",".")&amp;", "&amp;CHAR(34)&amp;"denominator"&amp;CHAR(34)&amp;": "&amp;SUBSTITUTE(TRIM(ROUND(IFERROR(CriteriTecnici!$L2378*1,IFERROR(NUMBERVALUE(CriteriTecnici!$L2378,".",","),IFERROR(NUMBERVALUE(CriteriTecnici!$L2378,",","."),0))),4)&amp;""),",",".")&amp;", "&amp;CHAR(34)&amp;"flag"&amp;CHAR(34)&amp;": "&amp;SUBSTITUTE(TRIM(ROUND(IFERROR(CriteriTecnici!$M2378*1,IFERROR(NUMBERVALUE(CriteriTecnici!$M2378,".",","),IFERROR(NUMBERVALUE(CriteriTecnici!$M2378,",","."),0))),4)&amp;""),",",".")&amp;", "&amp;CHAR(34)&amp;"rawScore"&amp;CHAR(34)&amp;": "&amp;SUBSTITUTE(TRIM(ROUND(IFERROR(CriteriTecnici!$O2378*1,IFERROR(NUMBERVALUE(CriteriTecnici!$O2378,".",","),IFERROR(NUMBERVALUE(CriteriTecnici!$O2378,",","."),0))),4)&amp;""),",",".")&amp;CHAR(125)&amp;IF(TRUE,",",""))</f>
        <v/>
      </c>
    </row>
    <row r="2480">
      <c r="A2480" s="82">
        <f>IF(CriteriTecnici!$A2379="","","    "&amp;CHAR(123)&amp;CHAR(34)&amp;"bidderId"&amp;CHAR(34)&amp;": "&amp;CHAR(34)&amp;SUBSTITUTE(CriteriTecnici!$A2379,CHAR(34),"'")&amp;CHAR(34)&amp;", "&amp;CHAR(34)&amp;"lotId"&amp;CHAR(34)&amp;": "&amp;CHAR(34)&amp;SUBSTITUTE(CriteriTecnici!$C2379,CHAR(34),"'")&amp;CHAR(34)&amp;", "&amp;CHAR(34)&amp;"criterionId"&amp;CHAR(34)&amp;": "&amp;CHAR(34)&amp;SUBSTITUTE(CriteriTecnici!$D2379,CHAR(34),"'")&amp;CHAR(34)&amp;", "&amp;CHAR(34)&amp;"kind"&amp;CHAR(34)&amp;": "&amp;CHAR(34)&amp;SUBSTITUTE(CriteriTecnici!$F2379,CHAR(34),"'")&amp;CHAR(34)&amp;", "&amp;CHAR(34)&amp;"value"&amp;CHAR(34)&amp;": "&amp;SUBSTITUTE(TRIM(ROUND(IFERROR(CriteriTecnici!$N2379*1,IFERROR(NUMBERVALUE(CriteriTecnici!$N2379,".",","),IFERROR(NUMBERVALUE(CriteriTecnici!$N2379,",","."),0))),4)&amp;""),",",".")&amp;", "&amp;CHAR(34)&amp;"numerator"&amp;CHAR(34)&amp;": "&amp;SUBSTITUTE(TRIM(ROUND(IFERROR(CriteriTecnici!$K2379*1,IFERROR(NUMBERVALUE(CriteriTecnici!$K2379,".",","),IFERROR(NUMBERVALUE(CriteriTecnici!$K2379,",","."),0))),4)&amp;""),",",".")&amp;", "&amp;CHAR(34)&amp;"denominator"&amp;CHAR(34)&amp;": "&amp;SUBSTITUTE(TRIM(ROUND(IFERROR(CriteriTecnici!$L2379*1,IFERROR(NUMBERVALUE(CriteriTecnici!$L2379,".",","),IFERROR(NUMBERVALUE(CriteriTecnici!$L2379,",","."),0))),4)&amp;""),",",".")&amp;", "&amp;CHAR(34)&amp;"flag"&amp;CHAR(34)&amp;": "&amp;SUBSTITUTE(TRIM(ROUND(IFERROR(CriteriTecnici!$M2379*1,IFERROR(NUMBERVALUE(CriteriTecnici!$M2379,".",","),IFERROR(NUMBERVALUE(CriteriTecnici!$M2379,",","."),0))),4)&amp;""),",",".")&amp;", "&amp;CHAR(34)&amp;"rawScore"&amp;CHAR(34)&amp;": "&amp;SUBSTITUTE(TRIM(ROUND(IFERROR(CriteriTecnici!$O2379*1,IFERROR(NUMBERVALUE(CriteriTecnici!$O2379,".",","),IFERROR(NUMBERVALUE(CriteriTecnici!$O2379,",","."),0))),4)&amp;""),",",".")&amp;CHAR(125)&amp;IF(TRUE,",",""))</f>
        <v/>
      </c>
    </row>
    <row r="2481">
      <c r="A2481" s="82">
        <f>IF(CriteriTecnici!$A2380="","","    "&amp;CHAR(123)&amp;CHAR(34)&amp;"bidderId"&amp;CHAR(34)&amp;": "&amp;CHAR(34)&amp;SUBSTITUTE(CriteriTecnici!$A2380,CHAR(34),"'")&amp;CHAR(34)&amp;", "&amp;CHAR(34)&amp;"lotId"&amp;CHAR(34)&amp;": "&amp;CHAR(34)&amp;SUBSTITUTE(CriteriTecnici!$C2380,CHAR(34),"'")&amp;CHAR(34)&amp;", "&amp;CHAR(34)&amp;"criterionId"&amp;CHAR(34)&amp;": "&amp;CHAR(34)&amp;SUBSTITUTE(CriteriTecnici!$D2380,CHAR(34),"'")&amp;CHAR(34)&amp;", "&amp;CHAR(34)&amp;"kind"&amp;CHAR(34)&amp;": "&amp;CHAR(34)&amp;SUBSTITUTE(CriteriTecnici!$F2380,CHAR(34),"'")&amp;CHAR(34)&amp;", "&amp;CHAR(34)&amp;"value"&amp;CHAR(34)&amp;": "&amp;SUBSTITUTE(TRIM(ROUND(IFERROR(CriteriTecnici!$N2380*1,IFERROR(NUMBERVALUE(CriteriTecnici!$N2380,".",","),IFERROR(NUMBERVALUE(CriteriTecnici!$N2380,",","."),0))),4)&amp;""),",",".")&amp;", "&amp;CHAR(34)&amp;"numerator"&amp;CHAR(34)&amp;": "&amp;SUBSTITUTE(TRIM(ROUND(IFERROR(CriteriTecnici!$K2380*1,IFERROR(NUMBERVALUE(CriteriTecnici!$K2380,".",","),IFERROR(NUMBERVALUE(CriteriTecnici!$K2380,",","."),0))),4)&amp;""),",",".")&amp;", "&amp;CHAR(34)&amp;"denominator"&amp;CHAR(34)&amp;": "&amp;SUBSTITUTE(TRIM(ROUND(IFERROR(CriteriTecnici!$L2380*1,IFERROR(NUMBERVALUE(CriteriTecnici!$L2380,".",","),IFERROR(NUMBERVALUE(CriteriTecnici!$L2380,",","."),0))),4)&amp;""),",",".")&amp;", "&amp;CHAR(34)&amp;"flag"&amp;CHAR(34)&amp;": "&amp;SUBSTITUTE(TRIM(ROUND(IFERROR(CriteriTecnici!$M2380*1,IFERROR(NUMBERVALUE(CriteriTecnici!$M2380,".",","),IFERROR(NUMBERVALUE(CriteriTecnici!$M2380,",","."),0))),4)&amp;""),",",".")&amp;", "&amp;CHAR(34)&amp;"rawScore"&amp;CHAR(34)&amp;": "&amp;SUBSTITUTE(TRIM(ROUND(IFERROR(CriteriTecnici!$O2380*1,IFERROR(NUMBERVALUE(CriteriTecnici!$O2380,".",","),IFERROR(NUMBERVALUE(CriteriTecnici!$O2380,",","."),0))),4)&amp;""),",",".")&amp;CHAR(125)&amp;IF(TRUE,",",""))</f>
        <v/>
      </c>
    </row>
    <row r="2482">
      <c r="A2482" s="82">
        <f>IF(CriteriTecnici!$A2381="","","    "&amp;CHAR(123)&amp;CHAR(34)&amp;"bidderId"&amp;CHAR(34)&amp;": "&amp;CHAR(34)&amp;SUBSTITUTE(CriteriTecnici!$A2381,CHAR(34),"'")&amp;CHAR(34)&amp;", "&amp;CHAR(34)&amp;"lotId"&amp;CHAR(34)&amp;": "&amp;CHAR(34)&amp;SUBSTITUTE(CriteriTecnici!$C2381,CHAR(34),"'")&amp;CHAR(34)&amp;", "&amp;CHAR(34)&amp;"criterionId"&amp;CHAR(34)&amp;": "&amp;CHAR(34)&amp;SUBSTITUTE(CriteriTecnici!$D2381,CHAR(34),"'")&amp;CHAR(34)&amp;", "&amp;CHAR(34)&amp;"kind"&amp;CHAR(34)&amp;": "&amp;CHAR(34)&amp;SUBSTITUTE(CriteriTecnici!$F2381,CHAR(34),"'")&amp;CHAR(34)&amp;", "&amp;CHAR(34)&amp;"value"&amp;CHAR(34)&amp;": "&amp;SUBSTITUTE(TRIM(ROUND(IFERROR(CriteriTecnici!$N2381*1,IFERROR(NUMBERVALUE(CriteriTecnici!$N2381,".",","),IFERROR(NUMBERVALUE(CriteriTecnici!$N2381,",","."),0))),4)&amp;""),",",".")&amp;", "&amp;CHAR(34)&amp;"numerator"&amp;CHAR(34)&amp;": "&amp;SUBSTITUTE(TRIM(ROUND(IFERROR(CriteriTecnici!$K2381*1,IFERROR(NUMBERVALUE(CriteriTecnici!$K2381,".",","),IFERROR(NUMBERVALUE(CriteriTecnici!$K2381,",","."),0))),4)&amp;""),",",".")&amp;", "&amp;CHAR(34)&amp;"denominator"&amp;CHAR(34)&amp;": "&amp;SUBSTITUTE(TRIM(ROUND(IFERROR(CriteriTecnici!$L2381*1,IFERROR(NUMBERVALUE(CriteriTecnici!$L2381,".",","),IFERROR(NUMBERVALUE(CriteriTecnici!$L2381,",","."),0))),4)&amp;""),",",".")&amp;", "&amp;CHAR(34)&amp;"flag"&amp;CHAR(34)&amp;": "&amp;SUBSTITUTE(TRIM(ROUND(IFERROR(CriteriTecnici!$M2381*1,IFERROR(NUMBERVALUE(CriteriTecnici!$M2381,".",","),IFERROR(NUMBERVALUE(CriteriTecnici!$M2381,",","."),0))),4)&amp;""),",",".")&amp;", "&amp;CHAR(34)&amp;"rawScore"&amp;CHAR(34)&amp;": "&amp;SUBSTITUTE(TRIM(ROUND(IFERROR(CriteriTecnici!$O2381*1,IFERROR(NUMBERVALUE(CriteriTecnici!$O2381,".",","),IFERROR(NUMBERVALUE(CriteriTecnici!$O2381,",","."),0))),4)&amp;""),",",".")&amp;CHAR(125)&amp;IF(TRUE,",",""))</f>
        <v/>
      </c>
    </row>
    <row r="2483">
      <c r="A2483" s="82">
        <f>IF(CriteriTecnici!$A2382="","","    "&amp;CHAR(123)&amp;CHAR(34)&amp;"bidderId"&amp;CHAR(34)&amp;": "&amp;CHAR(34)&amp;SUBSTITUTE(CriteriTecnici!$A2382,CHAR(34),"'")&amp;CHAR(34)&amp;", "&amp;CHAR(34)&amp;"lotId"&amp;CHAR(34)&amp;": "&amp;CHAR(34)&amp;SUBSTITUTE(CriteriTecnici!$C2382,CHAR(34),"'")&amp;CHAR(34)&amp;", "&amp;CHAR(34)&amp;"criterionId"&amp;CHAR(34)&amp;": "&amp;CHAR(34)&amp;SUBSTITUTE(CriteriTecnici!$D2382,CHAR(34),"'")&amp;CHAR(34)&amp;", "&amp;CHAR(34)&amp;"kind"&amp;CHAR(34)&amp;": "&amp;CHAR(34)&amp;SUBSTITUTE(CriteriTecnici!$F2382,CHAR(34),"'")&amp;CHAR(34)&amp;", "&amp;CHAR(34)&amp;"value"&amp;CHAR(34)&amp;": "&amp;SUBSTITUTE(TRIM(ROUND(IFERROR(CriteriTecnici!$N2382*1,IFERROR(NUMBERVALUE(CriteriTecnici!$N2382,".",","),IFERROR(NUMBERVALUE(CriteriTecnici!$N2382,",","."),0))),4)&amp;""),",",".")&amp;", "&amp;CHAR(34)&amp;"numerator"&amp;CHAR(34)&amp;": "&amp;SUBSTITUTE(TRIM(ROUND(IFERROR(CriteriTecnici!$K2382*1,IFERROR(NUMBERVALUE(CriteriTecnici!$K2382,".",","),IFERROR(NUMBERVALUE(CriteriTecnici!$K2382,",","."),0))),4)&amp;""),",",".")&amp;", "&amp;CHAR(34)&amp;"denominator"&amp;CHAR(34)&amp;": "&amp;SUBSTITUTE(TRIM(ROUND(IFERROR(CriteriTecnici!$L2382*1,IFERROR(NUMBERVALUE(CriteriTecnici!$L2382,".",","),IFERROR(NUMBERVALUE(CriteriTecnici!$L2382,",","."),0))),4)&amp;""),",",".")&amp;", "&amp;CHAR(34)&amp;"flag"&amp;CHAR(34)&amp;": "&amp;SUBSTITUTE(TRIM(ROUND(IFERROR(CriteriTecnici!$M2382*1,IFERROR(NUMBERVALUE(CriteriTecnici!$M2382,".",","),IFERROR(NUMBERVALUE(CriteriTecnici!$M2382,",","."),0))),4)&amp;""),",",".")&amp;", "&amp;CHAR(34)&amp;"rawScore"&amp;CHAR(34)&amp;": "&amp;SUBSTITUTE(TRIM(ROUND(IFERROR(CriteriTecnici!$O2382*1,IFERROR(NUMBERVALUE(CriteriTecnici!$O2382,".",","),IFERROR(NUMBERVALUE(CriteriTecnici!$O2382,",","."),0))),4)&amp;""),",",".")&amp;CHAR(125)&amp;IF(TRUE,",",""))</f>
        <v/>
      </c>
    </row>
    <row r="2484">
      <c r="A2484" s="82">
        <f>IF(CriteriTecnici!$A2383="","","    "&amp;CHAR(123)&amp;CHAR(34)&amp;"bidderId"&amp;CHAR(34)&amp;": "&amp;CHAR(34)&amp;SUBSTITUTE(CriteriTecnici!$A2383,CHAR(34),"'")&amp;CHAR(34)&amp;", "&amp;CHAR(34)&amp;"lotId"&amp;CHAR(34)&amp;": "&amp;CHAR(34)&amp;SUBSTITUTE(CriteriTecnici!$C2383,CHAR(34),"'")&amp;CHAR(34)&amp;", "&amp;CHAR(34)&amp;"criterionId"&amp;CHAR(34)&amp;": "&amp;CHAR(34)&amp;SUBSTITUTE(CriteriTecnici!$D2383,CHAR(34),"'")&amp;CHAR(34)&amp;", "&amp;CHAR(34)&amp;"kind"&amp;CHAR(34)&amp;": "&amp;CHAR(34)&amp;SUBSTITUTE(CriteriTecnici!$F2383,CHAR(34),"'")&amp;CHAR(34)&amp;", "&amp;CHAR(34)&amp;"value"&amp;CHAR(34)&amp;": "&amp;SUBSTITUTE(TRIM(ROUND(IFERROR(CriteriTecnici!$N2383*1,IFERROR(NUMBERVALUE(CriteriTecnici!$N2383,".",","),IFERROR(NUMBERVALUE(CriteriTecnici!$N2383,",","."),0))),4)&amp;""),",",".")&amp;", "&amp;CHAR(34)&amp;"numerator"&amp;CHAR(34)&amp;": "&amp;SUBSTITUTE(TRIM(ROUND(IFERROR(CriteriTecnici!$K2383*1,IFERROR(NUMBERVALUE(CriteriTecnici!$K2383,".",","),IFERROR(NUMBERVALUE(CriteriTecnici!$K2383,",","."),0))),4)&amp;""),",",".")&amp;", "&amp;CHAR(34)&amp;"denominator"&amp;CHAR(34)&amp;": "&amp;SUBSTITUTE(TRIM(ROUND(IFERROR(CriteriTecnici!$L2383*1,IFERROR(NUMBERVALUE(CriteriTecnici!$L2383,".",","),IFERROR(NUMBERVALUE(CriteriTecnici!$L2383,",","."),0))),4)&amp;""),",",".")&amp;", "&amp;CHAR(34)&amp;"flag"&amp;CHAR(34)&amp;": "&amp;SUBSTITUTE(TRIM(ROUND(IFERROR(CriteriTecnici!$M2383*1,IFERROR(NUMBERVALUE(CriteriTecnici!$M2383,".",","),IFERROR(NUMBERVALUE(CriteriTecnici!$M2383,",","."),0))),4)&amp;""),",",".")&amp;", "&amp;CHAR(34)&amp;"rawScore"&amp;CHAR(34)&amp;": "&amp;SUBSTITUTE(TRIM(ROUND(IFERROR(CriteriTecnici!$O2383*1,IFERROR(NUMBERVALUE(CriteriTecnici!$O2383,".",","),IFERROR(NUMBERVALUE(CriteriTecnici!$O2383,",","."),0))),4)&amp;""),",",".")&amp;CHAR(125)&amp;IF(TRUE,",",""))</f>
        <v/>
      </c>
    </row>
    <row r="2485">
      <c r="A2485" s="82">
        <f>IF(CriteriTecnici!$A2384="","","    "&amp;CHAR(123)&amp;CHAR(34)&amp;"bidderId"&amp;CHAR(34)&amp;": "&amp;CHAR(34)&amp;SUBSTITUTE(CriteriTecnici!$A2384,CHAR(34),"'")&amp;CHAR(34)&amp;", "&amp;CHAR(34)&amp;"lotId"&amp;CHAR(34)&amp;": "&amp;CHAR(34)&amp;SUBSTITUTE(CriteriTecnici!$C2384,CHAR(34),"'")&amp;CHAR(34)&amp;", "&amp;CHAR(34)&amp;"criterionId"&amp;CHAR(34)&amp;": "&amp;CHAR(34)&amp;SUBSTITUTE(CriteriTecnici!$D2384,CHAR(34),"'")&amp;CHAR(34)&amp;", "&amp;CHAR(34)&amp;"kind"&amp;CHAR(34)&amp;": "&amp;CHAR(34)&amp;SUBSTITUTE(CriteriTecnici!$F2384,CHAR(34),"'")&amp;CHAR(34)&amp;", "&amp;CHAR(34)&amp;"value"&amp;CHAR(34)&amp;": "&amp;SUBSTITUTE(TRIM(ROUND(IFERROR(CriteriTecnici!$N2384*1,IFERROR(NUMBERVALUE(CriteriTecnici!$N2384,".",","),IFERROR(NUMBERVALUE(CriteriTecnici!$N2384,",","."),0))),4)&amp;""),",",".")&amp;", "&amp;CHAR(34)&amp;"numerator"&amp;CHAR(34)&amp;": "&amp;SUBSTITUTE(TRIM(ROUND(IFERROR(CriteriTecnici!$K2384*1,IFERROR(NUMBERVALUE(CriteriTecnici!$K2384,".",","),IFERROR(NUMBERVALUE(CriteriTecnici!$K2384,",","."),0))),4)&amp;""),",",".")&amp;", "&amp;CHAR(34)&amp;"denominator"&amp;CHAR(34)&amp;": "&amp;SUBSTITUTE(TRIM(ROUND(IFERROR(CriteriTecnici!$L2384*1,IFERROR(NUMBERVALUE(CriteriTecnici!$L2384,".",","),IFERROR(NUMBERVALUE(CriteriTecnici!$L2384,",","."),0))),4)&amp;""),",",".")&amp;", "&amp;CHAR(34)&amp;"flag"&amp;CHAR(34)&amp;": "&amp;SUBSTITUTE(TRIM(ROUND(IFERROR(CriteriTecnici!$M2384*1,IFERROR(NUMBERVALUE(CriteriTecnici!$M2384,".",","),IFERROR(NUMBERVALUE(CriteriTecnici!$M2384,",","."),0))),4)&amp;""),",",".")&amp;", "&amp;CHAR(34)&amp;"rawScore"&amp;CHAR(34)&amp;": "&amp;SUBSTITUTE(TRIM(ROUND(IFERROR(CriteriTecnici!$O2384*1,IFERROR(NUMBERVALUE(CriteriTecnici!$O2384,".",","),IFERROR(NUMBERVALUE(CriteriTecnici!$O2384,",","."),0))),4)&amp;""),",",".")&amp;CHAR(125)&amp;IF(TRUE,",",""))</f>
        <v/>
      </c>
    </row>
    <row r="2486">
      <c r="A2486" s="82">
        <f>IF(CriteriTecnici!$A2385="","","    "&amp;CHAR(123)&amp;CHAR(34)&amp;"bidderId"&amp;CHAR(34)&amp;": "&amp;CHAR(34)&amp;SUBSTITUTE(CriteriTecnici!$A2385,CHAR(34),"'")&amp;CHAR(34)&amp;", "&amp;CHAR(34)&amp;"lotId"&amp;CHAR(34)&amp;": "&amp;CHAR(34)&amp;SUBSTITUTE(CriteriTecnici!$C2385,CHAR(34),"'")&amp;CHAR(34)&amp;", "&amp;CHAR(34)&amp;"criterionId"&amp;CHAR(34)&amp;": "&amp;CHAR(34)&amp;SUBSTITUTE(CriteriTecnici!$D2385,CHAR(34),"'")&amp;CHAR(34)&amp;", "&amp;CHAR(34)&amp;"kind"&amp;CHAR(34)&amp;": "&amp;CHAR(34)&amp;SUBSTITUTE(CriteriTecnici!$F2385,CHAR(34),"'")&amp;CHAR(34)&amp;", "&amp;CHAR(34)&amp;"value"&amp;CHAR(34)&amp;": "&amp;SUBSTITUTE(TRIM(ROUND(IFERROR(CriteriTecnici!$N2385*1,IFERROR(NUMBERVALUE(CriteriTecnici!$N2385,".",","),IFERROR(NUMBERVALUE(CriteriTecnici!$N2385,",","."),0))),4)&amp;""),",",".")&amp;", "&amp;CHAR(34)&amp;"numerator"&amp;CHAR(34)&amp;": "&amp;SUBSTITUTE(TRIM(ROUND(IFERROR(CriteriTecnici!$K2385*1,IFERROR(NUMBERVALUE(CriteriTecnici!$K2385,".",","),IFERROR(NUMBERVALUE(CriteriTecnici!$K2385,",","."),0))),4)&amp;""),",",".")&amp;", "&amp;CHAR(34)&amp;"denominator"&amp;CHAR(34)&amp;": "&amp;SUBSTITUTE(TRIM(ROUND(IFERROR(CriteriTecnici!$L2385*1,IFERROR(NUMBERVALUE(CriteriTecnici!$L2385,".",","),IFERROR(NUMBERVALUE(CriteriTecnici!$L2385,",","."),0))),4)&amp;""),",",".")&amp;", "&amp;CHAR(34)&amp;"flag"&amp;CHAR(34)&amp;": "&amp;SUBSTITUTE(TRIM(ROUND(IFERROR(CriteriTecnici!$M2385*1,IFERROR(NUMBERVALUE(CriteriTecnici!$M2385,".",","),IFERROR(NUMBERVALUE(CriteriTecnici!$M2385,",","."),0))),4)&amp;""),",",".")&amp;", "&amp;CHAR(34)&amp;"rawScore"&amp;CHAR(34)&amp;": "&amp;SUBSTITUTE(TRIM(ROUND(IFERROR(CriteriTecnici!$O2385*1,IFERROR(NUMBERVALUE(CriteriTecnici!$O2385,".",","),IFERROR(NUMBERVALUE(CriteriTecnici!$O2385,",","."),0))),4)&amp;""),",",".")&amp;CHAR(125)&amp;IF(TRUE,",",""))</f>
        <v/>
      </c>
    </row>
    <row r="2487">
      <c r="A2487" s="82">
        <f>IF(CriteriTecnici!$A2386="","","    "&amp;CHAR(123)&amp;CHAR(34)&amp;"bidderId"&amp;CHAR(34)&amp;": "&amp;CHAR(34)&amp;SUBSTITUTE(CriteriTecnici!$A2386,CHAR(34),"'")&amp;CHAR(34)&amp;", "&amp;CHAR(34)&amp;"lotId"&amp;CHAR(34)&amp;": "&amp;CHAR(34)&amp;SUBSTITUTE(CriteriTecnici!$C2386,CHAR(34),"'")&amp;CHAR(34)&amp;", "&amp;CHAR(34)&amp;"criterionId"&amp;CHAR(34)&amp;": "&amp;CHAR(34)&amp;SUBSTITUTE(CriteriTecnici!$D2386,CHAR(34),"'")&amp;CHAR(34)&amp;", "&amp;CHAR(34)&amp;"kind"&amp;CHAR(34)&amp;": "&amp;CHAR(34)&amp;SUBSTITUTE(CriteriTecnici!$F2386,CHAR(34),"'")&amp;CHAR(34)&amp;", "&amp;CHAR(34)&amp;"value"&amp;CHAR(34)&amp;": "&amp;SUBSTITUTE(TRIM(ROUND(IFERROR(CriteriTecnici!$N2386*1,IFERROR(NUMBERVALUE(CriteriTecnici!$N2386,".",","),IFERROR(NUMBERVALUE(CriteriTecnici!$N2386,",","."),0))),4)&amp;""),",",".")&amp;", "&amp;CHAR(34)&amp;"numerator"&amp;CHAR(34)&amp;": "&amp;SUBSTITUTE(TRIM(ROUND(IFERROR(CriteriTecnici!$K2386*1,IFERROR(NUMBERVALUE(CriteriTecnici!$K2386,".",","),IFERROR(NUMBERVALUE(CriteriTecnici!$K2386,",","."),0))),4)&amp;""),",",".")&amp;", "&amp;CHAR(34)&amp;"denominator"&amp;CHAR(34)&amp;": "&amp;SUBSTITUTE(TRIM(ROUND(IFERROR(CriteriTecnici!$L2386*1,IFERROR(NUMBERVALUE(CriteriTecnici!$L2386,".",","),IFERROR(NUMBERVALUE(CriteriTecnici!$L2386,",","."),0))),4)&amp;""),",",".")&amp;", "&amp;CHAR(34)&amp;"flag"&amp;CHAR(34)&amp;": "&amp;SUBSTITUTE(TRIM(ROUND(IFERROR(CriteriTecnici!$M2386*1,IFERROR(NUMBERVALUE(CriteriTecnici!$M2386,".",","),IFERROR(NUMBERVALUE(CriteriTecnici!$M2386,",","."),0))),4)&amp;""),",",".")&amp;", "&amp;CHAR(34)&amp;"rawScore"&amp;CHAR(34)&amp;": "&amp;SUBSTITUTE(TRIM(ROUND(IFERROR(CriteriTecnici!$O2386*1,IFERROR(NUMBERVALUE(CriteriTecnici!$O2386,".",","),IFERROR(NUMBERVALUE(CriteriTecnici!$O2386,",","."),0))),4)&amp;""),",",".")&amp;CHAR(125)&amp;IF(TRUE,",",""))</f>
        <v/>
      </c>
    </row>
    <row r="2488">
      <c r="A2488" s="82">
        <f>IF(CriteriTecnici!$A2387="","","    "&amp;CHAR(123)&amp;CHAR(34)&amp;"bidderId"&amp;CHAR(34)&amp;": "&amp;CHAR(34)&amp;SUBSTITUTE(CriteriTecnici!$A2387,CHAR(34),"'")&amp;CHAR(34)&amp;", "&amp;CHAR(34)&amp;"lotId"&amp;CHAR(34)&amp;": "&amp;CHAR(34)&amp;SUBSTITUTE(CriteriTecnici!$C2387,CHAR(34),"'")&amp;CHAR(34)&amp;", "&amp;CHAR(34)&amp;"criterionId"&amp;CHAR(34)&amp;": "&amp;CHAR(34)&amp;SUBSTITUTE(CriteriTecnici!$D2387,CHAR(34),"'")&amp;CHAR(34)&amp;", "&amp;CHAR(34)&amp;"kind"&amp;CHAR(34)&amp;": "&amp;CHAR(34)&amp;SUBSTITUTE(CriteriTecnici!$F2387,CHAR(34),"'")&amp;CHAR(34)&amp;", "&amp;CHAR(34)&amp;"value"&amp;CHAR(34)&amp;": "&amp;SUBSTITUTE(TRIM(ROUND(IFERROR(CriteriTecnici!$N2387*1,IFERROR(NUMBERVALUE(CriteriTecnici!$N2387,".",","),IFERROR(NUMBERVALUE(CriteriTecnici!$N2387,",","."),0))),4)&amp;""),",",".")&amp;", "&amp;CHAR(34)&amp;"numerator"&amp;CHAR(34)&amp;": "&amp;SUBSTITUTE(TRIM(ROUND(IFERROR(CriteriTecnici!$K2387*1,IFERROR(NUMBERVALUE(CriteriTecnici!$K2387,".",","),IFERROR(NUMBERVALUE(CriteriTecnici!$K2387,",","."),0))),4)&amp;""),",",".")&amp;", "&amp;CHAR(34)&amp;"denominator"&amp;CHAR(34)&amp;": "&amp;SUBSTITUTE(TRIM(ROUND(IFERROR(CriteriTecnici!$L2387*1,IFERROR(NUMBERVALUE(CriteriTecnici!$L2387,".",","),IFERROR(NUMBERVALUE(CriteriTecnici!$L2387,",","."),0))),4)&amp;""),",",".")&amp;", "&amp;CHAR(34)&amp;"flag"&amp;CHAR(34)&amp;": "&amp;SUBSTITUTE(TRIM(ROUND(IFERROR(CriteriTecnici!$M2387*1,IFERROR(NUMBERVALUE(CriteriTecnici!$M2387,".",","),IFERROR(NUMBERVALUE(CriteriTecnici!$M2387,",","."),0))),4)&amp;""),",",".")&amp;", "&amp;CHAR(34)&amp;"rawScore"&amp;CHAR(34)&amp;": "&amp;SUBSTITUTE(TRIM(ROUND(IFERROR(CriteriTecnici!$O2387*1,IFERROR(NUMBERVALUE(CriteriTecnici!$O2387,".",","),IFERROR(NUMBERVALUE(CriteriTecnici!$O2387,",","."),0))),4)&amp;""),",",".")&amp;CHAR(125)&amp;IF(TRUE,",",""))</f>
        <v/>
      </c>
    </row>
    <row r="2489">
      <c r="A2489" s="82">
        <f>IF(CriteriTecnici!$A2388="","","    "&amp;CHAR(123)&amp;CHAR(34)&amp;"bidderId"&amp;CHAR(34)&amp;": "&amp;CHAR(34)&amp;SUBSTITUTE(CriteriTecnici!$A2388,CHAR(34),"'")&amp;CHAR(34)&amp;", "&amp;CHAR(34)&amp;"lotId"&amp;CHAR(34)&amp;": "&amp;CHAR(34)&amp;SUBSTITUTE(CriteriTecnici!$C2388,CHAR(34),"'")&amp;CHAR(34)&amp;", "&amp;CHAR(34)&amp;"criterionId"&amp;CHAR(34)&amp;": "&amp;CHAR(34)&amp;SUBSTITUTE(CriteriTecnici!$D2388,CHAR(34),"'")&amp;CHAR(34)&amp;", "&amp;CHAR(34)&amp;"kind"&amp;CHAR(34)&amp;": "&amp;CHAR(34)&amp;SUBSTITUTE(CriteriTecnici!$F2388,CHAR(34),"'")&amp;CHAR(34)&amp;", "&amp;CHAR(34)&amp;"value"&amp;CHAR(34)&amp;": "&amp;SUBSTITUTE(TRIM(ROUND(IFERROR(CriteriTecnici!$N2388*1,IFERROR(NUMBERVALUE(CriteriTecnici!$N2388,".",","),IFERROR(NUMBERVALUE(CriteriTecnici!$N2388,",","."),0))),4)&amp;""),",",".")&amp;", "&amp;CHAR(34)&amp;"numerator"&amp;CHAR(34)&amp;": "&amp;SUBSTITUTE(TRIM(ROUND(IFERROR(CriteriTecnici!$K2388*1,IFERROR(NUMBERVALUE(CriteriTecnici!$K2388,".",","),IFERROR(NUMBERVALUE(CriteriTecnici!$K2388,",","."),0))),4)&amp;""),",",".")&amp;", "&amp;CHAR(34)&amp;"denominator"&amp;CHAR(34)&amp;": "&amp;SUBSTITUTE(TRIM(ROUND(IFERROR(CriteriTecnici!$L2388*1,IFERROR(NUMBERVALUE(CriteriTecnici!$L2388,".",","),IFERROR(NUMBERVALUE(CriteriTecnici!$L2388,",","."),0))),4)&amp;""),",",".")&amp;", "&amp;CHAR(34)&amp;"flag"&amp;CHAR(34)&amp;": "&amp;SUBSTITUTE(TRIM(ROUND(IFERROR(CriteriTecnici!$M2388*1,IFERROR(NUMBERVALUE(CriteriTecnici!$M2388,".",","),IFERROR(NUMBERVALUE(CriteriTecnici!$M2388,",","."),0))),4)&amp;""),",",".")&amp;", "&amp;CHAR(34)&amp;"rawScore"&amp;CHAR(34)&amp;": "&amp;SUBSTITUTE(TRIM(ROUND(IFERROR(CriteriTecnici!$O2388*1,IFERROR(NUMBERVALUE(CriteriTecnici!$O2388,".",","),IFERROR(NUMBERVALUE(CriteriTecnici!$O2388,",","."),0))),4)&amp;""),",",".")&amp;CHAR(125)&amp;IF(TRUE,",",""))</f>
        <v/>
      </c>
    </row>
    <row r="2490">
      <c r="A2490" s="82">
        <f>IF(CriteriTecnici!$A2389="","","    "&amp;CHAR(123)&amp;CHAR(34)&amp;"bidderId"&amp;CHAR(34)&amp;": "&amp;CHAR(34)&amp;SUBSTITUTE(CriteriTecnici!$A2389,CHAR(34),"'")&amp;CHAR(34)&amp;", "&amp;CHAR(34)&amp;"lotId"&amp;CHAR(34)&amp;": "&amp;CHAR(34)&amp;SUBSTITUTE(CriteriTecnici!$C2389,CHAR(34),"'")&amp;CHAR(34)&amp;", "&amp;CHAR(34)&amp;"criterionId"&amp;CHAR(34)&amp;": "&amp;CHAR(34)&amp;SUBSTITUTE(CriteriTecnici!$D2389,CHAR(34),"'")&amp;CHAR(34)&amp;", "&amp;CHAR(34)&amp;"kind"&amp;CHAR(34)&amp;": "&amp;CHAR(34)&amp;SUBSTITUTE(CriteriTecnici!$F2389,CHAR(34),"'")&amp;CHAR(34)&amp;", "&amp;CHAR(34)&amp;"value"&amp;CHAR(34)&amp;": "&amp;SUBSTITUTE(TRIM(ROUND(IFERROR(CriteriTecnici!$N2389*1,IFERROR(NUMBERVALUE(CriteriTecnici!$N2389,".",","),IFERROR(NUMBERVALUE(CriteriTecnici!$N2389,",","."),0))),4)&amp;""),",",".")&amp;", "&amp;CHAR(34)&amp;"numerator"&amp;CHAR(34)&amp;": "&amp;SUBSTITUTE(TRIM(ROUND(IFERROR(CriteriTecnici!$K2389*1,IFERROR(NUMBERVALUE(CriteriTecnici!$K2389,".",","),IFERROR(NUMBERVALUE(CriteriTecnici!$K2389,",","."),0))),4)&amp;""),",",".")&amp;", "&amp;CHAR(34)&amp;"denominator"&amp;CHAR(34)&amp;": "&amp;SUBSTITUTE(TRIM(ROUND(IFERROR(CriteriTecnici!$L2389*1,IFERROR(NUMBERVALUE(CriteriTecnici!$L2389,".",","),IFERROR(NUMBERVALUE(CriteriTecnici!$L2389,",","."),0))),4)&amp;""),",",".")&amp;", "&amp;CHAR(34)&amp;"flag"&amp;CHAR(34)&amp;": "&amp;SUBSTITUTE(TRIM(ROUND(IFERROR(CriteriTecnici!$M2389*1,IFERROR(NUMBERVALUE(CriteriTecnici!$M2389,".",","),IFERROR(NUMBERVALUE(CriteriTecnici!$M2389,",","."),0))),4)&amp;""),",",".")&amp;", "&amp;CHAR(34)&amp;"rawScore"&amp;CHAR(34)&amp;": "&amp;SUBSTITUTE(TRIM(ROUND(IFERROR(CriteriTecnici!$O2389*1,IFERROR(NUMBERVALUE(CriteriTecnici!$O2389,".",","),IFERROR(NUMBERVALUE(CriteriTecnici!$O2389,",","."),0))),4)&amp;""),",",".")&amp;CHAR(125)&amp;IF(TRUE,",",""))</f>
        <v/>
      </c>
    </row>
    <row r="2491">
      <c r="A2491" s="82">
        <f>IF(CriteriTecnici!$A2390="","","    "&amp;CHAR(123)&amp;CHAR(34)&amp;"bidderId"&amp;CHAR(34)&amp;": "&amp;CHAR(34)&amp;SUBSTITUTE(CriteriTecnici!$A2390,CHAR(34),"'")&amp;CHAR(34)&amp;", "&amp;CHAR(34)&amp;"lotId"&amp;CHAR(34)&amp;": "&amp;CHAR(34)&amp;SUBSTITUTE(CriteriTecnici!$C2390,CHAR(34),"'")&amp;CHAR(34)&amp;", "&amp;CHAR(34)&amp;"criterionId"&amp;CHAR(34)&amp;": "&amp;CHAR(34)&amp;SUBSTITUTE(CriteriTecnici!$D2390,CHAR(34),"'")&amp;CHAR(34)&amp;", "&amp;CHAR(34)&amp;"kind"&amp;CHAR(34)&amp;": "&amp;CHAR(34)&amp;SUBSTITUTE(CriteriTecnici!$F2390,CHAR(34),"'")&amp;CHAR(34)&amp;", "&amp;CHAR(34)&amp;"value"&amp;CHAR(34)&amp;": "&amp;SUBSTITUTE(TRIM(ROUND(IFERROR(CriteriTecnici!$N2390*1,IFERROR(NUMBERVALUE(CriteriTecnici!$N2390,".",","),IFERROR(NUMBERVALUE(CriteriTecnici!$N2390,",","."),0))),4)&amp;""),",",".")&amp;", "&amp;CHAR(34)&amp;"numerator"&amp;CHAR(34)&amp;": "&amp;SUBSTITUTE(TRIM(ROUND(IFERROR(CriteriTecnici!$K2390*1,IFERROR(NUMBERVALUE(CriteriTecnici!$K2390,".",","),IFERROR(NUMBERVALUE(CriteriTecnici!$K2390,",","."),0))),4)&amp;""),",",".")&amp;", "&amp;CHAR(34)&amp;"denominator"&amp;CHAR(34)&amp;": "&amp;SUBSTITUTE(TRIM(ROUND(IFERROR(CriteriTecnici!$L2390*1,IFERROR(NUMBERVALUE(CriteriTecnici!$L2390,".",","),IFERROR(NUMBERVALUE(CriteriTecnici!$L2390,",","."),0))),4)&amp;""),",",".")&amp;", "&amp;CHAR(34)&amp;"flag"&amp;CHAR(34)&amp;": "&amp;SUBSTITUTE(TRIM(ROUND(IFERROR(CriteriTecnici!$M2390*1,IFERROR(NUMBERVALUE(CriteriTecnici!$M2390,".",","),IFERROR(NUMBERVALUE(CriteriTecnici!$M2390,",","."),0))),4)&amp;""),",",".")&amp;", "&amp;CHAR(34)&amp;"rawScore"&amp;CHAR(34)&amp;": "&amp;SUBSTITUTE(TRIM(ROUND(IFERROR(CriteriTecnici!$O2390*1,IFERROR(NUMBERVALUE(CriteriTecnici!$O2390,".",","),IFERROR(NUMBERVALUE(CriteriTecnici!$O2390,",","."),0))),4)&amp;""),",",".")&amp;CHAR(125)&amp;IF(TRUE,",",""))</f>
        <v/>
      </c>
    </row>
    <row r="2492">
      <c r="A2492" s="82">
        <f>IF(CriteriTecnici!$A2391="","","    "&amp;CHAR(123)&amp;CHAR(34)&amp;"bidderId"&amp;CHAR(34)&amp;": "&amp;CHAR(34)&amp;SUBSTITUTE(CriteriTecnici!$A2391,CHAR(34),"'")&amp;CHAR(34)&amp;", "&amp;CHAR(34)&amp;"lotId"&amp;CHAR(34)&amp;": "&amp;CHAR(34)&amp;SUBSTITUTE(CriteriTecnici!$C2391,CHAR(34),"'")&amp;CHAR(34)&amp;", "&amp;CHAR(34)&amp;"criterionId"&amp;CHAR(34)&amp;": "&amp;CHAR(34)&amp;SUBSTITUTE(CriteriTecnici!$D2391,CHAR(34),"'")&amp;CHAR(34)&amp;", "&amp;CHAR(34)&amp;"kind"&amp;CHAR(34)&amp;": "&amp;CHAR(34)&amp;SUBSTITUTE(CriteriTecnici!$F2391,CHAR(34),"'")&amp;CHAR(34)&amp;", "&amp;CHAR(34)&amp;"value"&amp;CHAR(34)&amp;": "&amp;SUBSTITUTE(TRIM(ROUND(IFERROR(CriteriTecnici!$N2391*1,IFERROR(NUMBERVALUE(CriteriTecnici!$N2391,".",","),IFERROR(NUMBERVALUE(CriteriTecnici!$N2391,",","."),0))),4)&amp;""),",",".")&amp;", "&amp;CHAR(34)&amp;"numerator"&amp;CHAR(34)&amp;": "&amp;SUBSTITUTE(TRIM(ROUND(IFERROR(CriteriTecnici!$K2391*1,IFERROR(NUMBERVALUE(CriteriTecnici!$K2391,".",","),IFERROR(NUMBERVALUE(CriteriTecnici!$K2391,",","."),0))),4)&amp;""),",",".")&amp;", "&amp;CHAR(34)&amp;"denominator"&amp;CHAR(34)&amp;": "&amp;SUBSTITUTE(TRIM(ROUND(IFERROR(CriteriTecnici!$L2391*1,IFERROR(NUMBERVALUE(CriteriTecnici!$L2391,".",","),IFERROR(NUMBERVALUE(CriteriTecnici!$L2391,",","."),0))),4)&amp;""),",",".")&amp;", "&amp;CHAR(34)&amp;"flag"&amp;CHAR(34)&amp;": "&amp;SUBSTITUTE(TRIM(ROUND(IFERROR(CriteriTecnici!$M2391*1,IFERROR(NUMBERVALUE(CriteriTecnici!$M2391,".",","),IFERROR(NUMBERVALUE(CriteriTecnici!$M2391,",","."),0))),4)&amp;""),",",".")&amp;", "&amp;CHAR(34)&amp;"rawScore"&amp;CHAR(34)&amp;": "&amp;SUBSTITUTE(TRIM(ROUND(IFERROR(CriteriTecnici!$O2391*1,IFERROR(NUMBERVALUE(CriteriTecnici!$O2391,".",","),IFERROR(NUMBERVALUE(CriteriTecnici!$O2391,",","."),0))),4)&amp;""),",",".")&amp;CHAR(125)&amp;IF(COUNTA(Offerte!$A79:$A$81)&gt;0,",",""))</f>
        <v/>
      </c>
    </row>
    <row r="2493">
      <c r="A2493" s="82">
        <f>IF(CriteriTecnici!$A2392="","","    "&amp;CHAR(123)&amp;CHAR(34)&amp;"bidderId"&amp;CHAR(34)&amp;": "&amp;CHAR(34)&amp;SUBSTITUTE(CriteriTecnici!$A2392,CHAR(34),"'")&amp;CHAR(34)&amp;", "&amp;CHAR(34)&amp;"lotId"&amp;CHAR(34)&amp;": "&amp;CHAR(34)&amp;SUBSTITUTE(CriteriTecnici!$C2392,CHAR(34),"'")&amp;CHAR(34)&amp;", "&amp;CHAR(34)&amp;"criterionId"&amp;CHAR(34)&amp;": "&amp;CHAR(34)&amp;SUBSTITUTE(CriteriTecnici!$D2392,CHAR(34),"'")&amp;CHAR(34)&amp;", "&amp;CHAR(34)&amp;"kind"&amp;CHAR(34)&amp;": "&amp;CHAR(34)&amp;SUBSTITUTE(CriteriTecnici!$F2392,CHAR(34),"'")&amp;CHAR(34)&amp;", "&amp;CHAR(34)&amp;"value"&amp;CHAR(34)&amp;": "&amp;SUBSTITUTE(TRIM(ROUND(IFERROR(CriteriTecnici!$N2392*1,IFERROR(NUMBERVALUE(CriteriTecnici!$N2392,".",","),IFERROR(NUMBERVALUE(CriteriTecnici!$N2392,",","."),0))),4)&amp;""),",",".")&amp;", "&amp;CHAR(34)&amp;"numerator"&amp;CHAR(34)&amp;": "&amp;SUBSTITUTE(TRIM(ROUND(IFERROR(CriteriTecnici!$K2392*1,IFERROR(NUMBERVALUE(CriteriTecnici!$K2392,".",","),IFERROR(NUMBERVALUE(CriteriTecnici!$K2392,",","."),0))),4)&amp;""),",",".")&amp;", "&amp;CHAR(34)&amp;"denominator"&amp;CHAR(34)&amp;": "&amp;SUBSTITUTE(TRIM(ROUND(IFERROR(CriteriTecnici!$L2392*1,IFERROR(NUMBERVALUE(CriteriTecnici!$L2392,".",","),IFERROR(NUMBERVALUE(CriteriTecnici!$L2392,",","."),0))),4)&amp;""),",",".")&amp;", "&amp;CHAR(34)&amp;"flag"&amp;CHAR(34)&amp;": "&amp;SUBSTITUTE(TRIM(ROUND(IFERROR(CriteriTecnici!$M2392*1,IFERROR(NUMBERVALUE(CriteriTecnici!$M2392,".",","),IFERROR(NUMBERVALUE(CriteriTecnici!$M2392,",","."),0))),4)&amp;""),",",".")&amp;", "&amp;CHAR(34)&amp;"rawScore"&amp;CHAR(34)&amp;": "&amp;SUBSTITUTE(TRIM(ROUND(IFERROR(CriteriTecnici!$O2392*1,IFERROR(NUMBERVALUE(CriteriTecnici!$O2392,".",","),IFERROR(NUMBERVALUE(CriteriTecnici!$O2392,",","."),0))),4)&amp;""),",",".")&amp;CHAR(125)&amp;IF(TRUE,",",""))</f>
        <v/>
      </c>
    </row>
    <row r="2494">
      <c r="A2494" s="82">
        <f>IF(CriteriTecnici!$A2393="","","    "&amp;CHAR(123)&amp;CHAR(34)&amp;"bidderId"&amp;CHAR(34)&amp;": "&amp;CHAR(34)&amp;SUBSTITUTE(CriteriTecnici!$A2393,CHAR(34),"'")&amp;CHAR(34)&amp;", "&amp;CHAR(34)&amp;"lotId"&amp;CHAR(34)&amp;": "&amp;CHAR(34)&amp;SUBSTITUTE(CriteriTecnici!$C2393,CHAR(34),"'")&amp;CHAR(34)&amp;", "&amp;CHAR(34)&amp;"criterionId"&amp;CHAR(34)&amp;": "&amp;CHAR(34)&amp;SUBSTITUTE(CriteriTecnici!$D2393,CHAR(34),"'")&amp;CHAR(34)&amp;", "&amp;CHAR(34)&amp;"kind"&amp;CHAR(34)&amp;": "&amp;CHAR(34)&amp;SUBSTITUTE(CriteriTecnici!$F2393,CHAR(34),"'")&amp;CHAR(34)&amp;", "&amp;CHAR(34)&amp;"value"&amp;CHAR(34)&amp;": "&amp;SUBSTITUTE(TRIM(ROUND(IFERROR(CriteriTecnici!$N2393*1,IFERROR(NUMBERVALUE(CriteriTecnici!$N2393,".",","),IFERROR(NUMBERVALUE(CriteriTecnici!$N2393,",","."),0))),4)&amp;""),",",".")&amp;", "&amp;CHAR(34)&amp;"numerator"&amp;CHAR(34)&amp;": "&amp;SUBSTITUTE(TRIM(ROUND(IFERROR(CriteriTecnici!$K2393*1,IFERROR(NUMBERVALUE(CriteriTecnici!$K2393,".",","),IFERROR(NUMBERVALUE(CriteriTecnici!$K2393,",","."),0))),4)&amp;""),",",".")&amp;", "&amp;CHAR(34)&amp;"denominator"&amp;CHAR(34)&amp;": "&amp;SUBSTITUTE(TRIM(ROUND(IFERROR(CriteriTecnici!$L2393*1,IFERROR(NUMBERVALUE(CriteriTecnici!$L2393,".",","),IFERROR(NUMBERVALUE(CriteriTecnici!$L2393,",","."),0))),4)&amp;""),",",".")&amp;", "&amp;CHAR(34)&amp;"flag"&amp;CHAR(34)&amp;": "&amp;SUBSTITUTE(TRIM(ROUND(IFERROR(CriteriTecnici!$M2393*1,IFERROR(NUMBERVALUE(CriteriTecnici!$M2393,".",","),IFERROR(NUMBERVALUE(CriteriTecnici!$M2393,",","."),0))),4)&amp;""),",",".")&amp;", "&amp;CHAR(34)&amp;"rawScore"&amp;CHAR(34)&amp;": "&amp;SUBSTITUTE(TRIM(ROUND(IFERROR(CriteriTecnici!$O2393*1,IFERROR(NUMBERVALUE(CriteriTecnici!$O2393,".",","),IFERROR(NUMBERVALUE(CriteriTecnici!$O2393,",","."),0))),4)&amp;""),",",".")&amp;CHAR(125)&amp;IF(TRUE,",",""))</f>
        <v/>
      </c>
    </row>
    <row r="2495">
      <c r="A2495" s="82">
        <f>IF(CriteriTecnici!$A2394="","","    "&amp;CHAR(123)&amp;CHAR(34)&amp;"bidderId"&amp;CHAR(34)&amp;": "&amp;CHAR(34)&amp;SUBSTITUTE(CriteriTecnici!$A2394,CHAR(34),"'")&amp;CHAR(34)&amp;", "&amp;CHAR(34)&amp;"lotId"&amp;CHAR(34)&amp;": "&amp;CHAR(34)&amp;SUBSTITUTE(CriteriTecnici!$C2394,CHAR(34),"'")&amp;CHAR(34)&amp;", "&amp;CHAR(34)&amp;"criterionId"&amp;CHAR(34)&amp;": "&amp;CHAR(34)&amp;SUBSTITUTE(CriteriTecnici!$D2394,CHAR(34),"'")&amp;CHAR(34)&amp;", "&amp;CHAR(34)&amp;"kind"&amp;CHAR(34)&amp;": "&amp;CHAR(34)&amp;SUBSTITUTE(CriteriTecnici!$F2394,CHAR(34),"'")&amp;CHAR(34)&amp;", "&amp;CHAR(34)&amp;"value"&amp;CHAR(34)&amp;": "&amp;SUBSTITUTE(TRIM(ROUND(IFERROR(CriteriTecnici!$N2394*1,IFERROR(NUMBERVALUE(CriteriTecnici!$N2394,".",","),IFERROR(NUMBERVALUE(CriteriTecnici!$N2394,",","."),0))),4)&amp;""),",",".")&amp;", "&amp;CHAR(34)&amp;"numerator"&amp;CHAR(34)&amp;": "&amp;SUBSTITUTE(TRIM(ROUND(IFERROR(CriteriTecnici!$K2394*1,IFERROR(NUMBERVALUE(CriteriTecnici!$K2394,".",","),IFERROR(NUMBERVALUE(CriteriTecnici!$K2394,",","."),0))),4)&amp;""),",",".")&amp;", "&amp;CHAR(34)&amp;"denominator"&amp;CHAR(34)&amp;": "&amp;SUBSTITUTE(TRIM(ROUND(IFERROR(CriteriTecnici!$L2394*1,IFERROR(NUMBERVALUE(CriteriTecnici!$L2394,".",","),IFERROR(NUMBERVALUE(CriteriTecnici!$L2394,",","."),0))),4)&amp;""),",",".")&amp;", "&amp;CHAR(34)&amp;"flag"&amp;CHAR(34)&amp;": "&amp;SUBSTITUTE(TRIM(ROUND(IFERROR(CriteriTecnici!$M2394*1,IFERROR(NUMBERVALUE(CriteriTecnici!$M2394,".",","),IFERROR(NUMBERVALUE(CriteriTecnici!$M2394,",","."),0))),4)&amp;""),",",".")&amp;", "&amp;CHAR(34)&amp;"rawScore"&amp;CHAR(34)&amp;": "&amp;SUBSTITUTE(TRIM(ROUND(IFERROR(CriteriTecnici!$O2394*1,IFERROR(NUMBERVALUE(CriteriTecnici!$O2394,".",","),IFERROR(NUMBERVALUE(CriteriTecnici!$O2394,",","."),0))),4)&amp;""),",",".")&amp;CHAR(125)&amp;IF(TRUE,",",""))</f>
        <v/>
      </c>
    </row>
    <row r="2496">
      <c r="A2496" s="82">
        <f>IF(CriteriTecnici!$A2395="","","    "&amp;CHAR(123)&amp;CHAR(34)&amp;"bidderId"&amp;CHAR(34)&amp;": "&amp;CHAR(34)&amp;SUBSTITUTE(CriteriTecnici!$A2395,CHAR(34),"'")&amp;CHAR(34)&amp;", "&amp;CHAR(34)&amp;"lotId"&amp;CHAR(34)&amp;": "&amp;CHAR(34)&amp;SUBSTITUTE(CriteriTecnici!$C2395,CHAR(34),"'")&amp;CHAR(34)&amp;", "&amp;CHAR(34)&amp;"criterionId"&amp;CHAR(34)&amp;": "&amp;CHAR(34)&amp;SUBSTITUTE(CriteriTecnici!$D2395,CHAR(34),"'")&amp;CHAR(34)&amp;", "&amp;CHAR(34)&amp;"kind"&amp;CHAR(34)&amp;": "&amp;CHAR(34)&amp;SUBSTITUTE(CriteriTecnici!$F2395,CHAR(34),"'")&amp;CHAR(34)&amp;", "&amp;CHAR(34)&amp;"value"&amp;CHAR(34)&amp;": "&amp;SUBSTITUTE(TRIM(ROUND(IFERROR(CriteriTecnici!$N2395*1,IFERROR(NUMBERVALUE(CriteriTecnici!$N2395,".",","),IFERROR(NUMBERVALUE(CriteriTecnici!$N2395,",","."),0))),4)&amp;""),",",".")&amp;", "&amp;CHAR(34)&amp;"numerator"&amp;CHAR(34)&amp;": "&amp;SUBSTITUTE(TRIM(ROUND(IFERROR(CriteriTecnici!$K2395*1,IFERROR(NUMBERVALUE(CriteriTecnici!$K2395,".",","),IFERROR(NUMBERVALUE(CriteriTecnici!$K2395,",","."),0))),4)&amp;""),",",".")&amp;", "&amp;CHAR(34)&amp;"denominator"&amp;CHAR(34)&amp;": "&amp;SUBSTITUTE(TRIM(ROUND(IFERROR(CriteriTecnici!$L2395*1,IFERROR(NUMBERVALUE(CriteriTecnici!$L2395,".",","),IFERROR(NUMBERVALUE(CriteriTecnici!$L2395,",","."),0))),4)&amp;""),",",".")&amp;", "&amp;CHAR(34)&amp;"flag"&amp;CHAR(34)&amp;": "&amp;SUBSTITUTE(TRIM(ROUND(IFERROR(CriteriTecnici!$M2395*1,IFERROR(NUMBERVALUE(CriteriTecnici!$M2395,".",","),IFERROR(NUMBERVALUE(CriteriTecnici!$M2395,",","."),0))),4)&amp;""),",",".")&amp;", "&amp;CHAR(34)&amp;"rawScore"&amp;CHAR(34)&amp;": "&amp;SUBSTITUTE(TRIM(ROUND(IFERROR(CriteriTecnici!$O2395*1,IFERROR(NUMBERVALUE(CriteriTecnici!$O2395,".",","),IFERROR(NUMBERVALUE(CriteriTecnici!$O2395,",","."),0))),4)&amp;""),",",".")&amp;CHAR(125)&amp;IF(TRUE,",",""))</f>
        <v/>
      </c>
    </row>
    <row r="2497">
      <c r="A2497" s="82">
        <f>IF(CriteriTecnici!$A2396="","","    "&amp;CHAR(123)&amp;CHAR(34)&amp;"bidderId"&amp;CHAR(34)&amp;": "&amp;CHAR(34)&amp;SUBSTITUTE(CriteriTecnici!$A2396,CHAR(34),"'")&amp;CHAR(34)&amp;", "&amp;CHAR(34)&amp;"lotId"&amp;CHAR(34)&amp;": "&amp;CHAR(34)&amp;SUBSTITUTE(CriteriTecnici!$C2396,CHAR(34),"'")&amp;CHAR(34)&amp;", "&amp;CHAR(34)&amp;"criterionId"&amp;CHAR(34)&amp;": "&amp;CHAR(34)&amp;SUBSTITUTE(CriteriTecnici!$D2396,CHAR(34),"'")&amp;CHAR(34)&amp;", "&amp;CHAR(34)&amp;"kind"&amp;CHAR(34)&amp;": "&amp;CHAR(34)&amp;SUBSTITUTE(CriteriTecnici!$F2396,CHAR(34),"'")&amp;CHAR(34)&amp;", "&amp;CHAR(34)&amp;"value"&amp;CHAR(34)&amp;": "&amp;SUBSTITUTE(TRIM(ROUND(IFERROR(CriteriTecnici!$N2396*1,IFERROR(NUMBERVALUE(CriteriTecnici!$N2396,".",","),IFERROR(NUMBERVALUE(CriteriTecnici!$N2396,",","."),0))),4)&amp;""),",",".")&amp;", "&amp;CHAR(34)&amp;"numerator"&amp;CHAR(34)&amp;": "&amp;SUBSTITUTE(TRIM(ROUND(IFERROR(CriteriTecnici!$K2396*1,IFERROR(NUMBERVALUE(CriteriTecnici!$K2396,".",","),IFERROR(NUMBERVALUE(CriteriTecnici!$K2396,",","."),0))),4)&amp;""),",",".")&amp;", "&amp;CHAR(34)&amp;"denominator"&amp;CHAR(34)&amp;": "&amp;SUBSTITUTE(TRIM(ROUND(IFERROR(CriteriTecnici!$L2396*1,IFERROR(NUMBERVALUE(CriteriTecnici!$L2396,".",","),IFERROR(NUMBERVALUE(CriteriTecnici!$L2396,",","."),0))),4)&amp;""),",",".")&amp;", "&amp;CHAR(34)&amp;"flag"&amp;CHAR(34)&amp;": "&amp;SUBSTITUTE(TRIM(ROUND(IFERROR(CriteriTecnici!$M2396*1,IFERROR(NUMBERVALUE(CriteriTecnici!$M2396,".",","),IFERROR(NUMBERVALUE(CriteriTecnici!$M2396,",","."),0))),4)&amp;""),",",".")&amp;", "&amp;CHAR(34)&amp;"rawScore"&amp;CHAR(34)&amp;": "&amp;SUBSTITUTE(TRIM(ROUND(IFERROR(CriteriTecnici!$O2396*1,IFERROR(NUMBERVALUE(CriteriTecnici!$O2396,".",","),IFERROR(NUMBERVALUE(CriteriTecnici!$O2396,",","."),0))),4)&amp;""),",",".")&amp;CHAR(125)&amp;IF(TRUE,",",""))</f>
        <v/>
      </c>
    </row>
    <row r="2498">
      <c r="A2498" s="82">
        <f>IF(CriteriTecnici!$A2397="","","    "&amp;CHAR(123)&amp;CHAR(34)&amp;"bidderId"&amp;CHAR(34)&amp;": "&amp;CHAR(34)&amp;SUBSTITUTE(CriteriTecnici!$A2397,CHAR(34),"'")&amp;CHAR(34)&amp;", "&amp;CHAR(34)&amp;"lotId"&amp;CHAR(34)&amp;": "&amp;CHAR(34)&amp;SUBSTITUTE(CriteriTecnici!$C2397,CHAR(34),"'")&amp;CHAR(34)&amp;", "&amp;CHAR(34)&amp;"criterionId"&amp;CHAR(34)&amp;": "&amp;CHAR(34)&amp;SUBSTITUTE(CriteriTecnici!$D2397,CHAR(34),"'")&amp;CHAR(34)&amp;", "&amp;CHAR(34)&amp;"kind"&amp;CHAR(34)&amp;": "&amp;CHAR(34)&amp;SUBSTITUTE(CriteriTecnici!$F2397,CHAR(34),"'")&amp;CHAR(34)&amp;", "&amp;CHAR(34)&amp;"value"&amp;CHAR(34)&amp;": "&amp;SUBSTITUTE(TRIM(ROUND(IFERROR(CriteriTecnici!$N2397*1,IFERROR(NUMBERVALUE(CriteriTecnici!$N2397,".",","),IFERROR(NUMBERVALUE(CriteriTecnici!$N2397,",","."),0))),4)&amp;""),",",".")&amp;", "&amp;CHAR(34)&amp;"numerator"&amp;CHAR(34)&amp;": "&amp;SUBSTITUTE(TRIM(ROUND(IFERROR(CriteriTecnici!$K2397*1,IFERROR(NUMBERVALUE(CriteriTecnici!$K2397,".",","),IFERROR(NUMBERVALUE(CriteriTecnici!$K2397,",","."),0))),4)&amp;""),",",".")&amp;", "&amp;CHAR(34)&amp;"denominator"&amp;CHAR(34)&amp;": "&amp;SUBSTITUTE(TRIM(ROUND(IFERROR(CriteriTecnici!$L2397*1,IFERROR(NUMBERVALUE(CriteriTecnici!$L2397,".",","),IFERROR(NUMBERVALUE(CriteriTecnici!$L2397,",","."),0))),4)&amp;""),",",".")&amp;", "&amp;CHAR(34)&amp;"flag"&amp;CHAR(34)&amp;": "&amp;SUBSTITUTE(TRIM(ROUND(IFERROR(CriteriTecnici!$M2397*1,IFERROR(NUMBERVALUE(CriteriTecnici!$M2397,".",","),IFERROR(NUMBERVALUE(CriteriTecnici!$M2397,",","."),0))),4)&amp;""),",",".")&amp;", "&amp;CHAR(34)&amp;"rawScore"&amp;CHAR(34)&amp;": "&amp;SUBSTITUTE(TRIM(ROUND(IFERROR(CriteriTecnici!$O2397*1,IFERROR(NUMBERVALUE(CriteriTecnici!$O2397,".",","),IFERROR(NUMBERVALUE(CriteriTecnici!$O2397,",","."),0))),4)&amp;""),",",".")&amp;CHAR(125)&amp;IF(TRUE,",",""))</f>
        <v/>
      </c>
    </row>
    <row r="2499">
      <c r="A2499" s="82">
        <f>IF(CriteriTecnici!$A2398="","","    "&amp;CHAR(123)&amp;CHAR(34)&amp;"bidderId"&amp;CHAR(34)&amp;": "&amp;CHAR(34)&amp;SUBSTITUTE(CriteriTecnici!$A2398,CHAR(34),"'")&amp;CHAR(34)&amp;", "&amp;CHAR(34)&amp;"lotId"&amp;CHAR(34)&amp;": "&amp;CHAR(34)&amp;SUBSTITUTE(CriteriTecnici!$C2398,CHAR(34),"'")&amp;CHAR(34)&amp;", "&amp;CHAR(34)&amp;"criterionId"&amp;CHAR(34)&amp;": "&amp;CHAR(34)&amp;SUBSTITUTE(CriteriTecnici!$D2398,CHAR(34),"'")&amp;CHAR(34)&amp;", "&amp;CHAR(34)&amp;"kind"&amp;CHAR(34)&amp;": "&amp;CHAR(34)&amp;SUBSTITUTE(CriteriTecnici!$F2398,CHAR(34),"'")&amp;CHAR(34)&amp;", "&amp;CHAR(34)&amp;"value"&amp;CHAR(34)&amp;": "&amp;SUBSTITUTE(TRIM(ROUND(IFERROR(CriteriTecnici!$N2398*1,IFERROR(NUMBERVALUE(CriteriTecnici!$N2398,".",","),IFERROR(NUMBERVALUE(CriteriTecnici!$N2398,",","."),0))),4)&amp;""),",",".")&amp;", "&amp;CHAR(34)&amp;"numerator"&amp;CHAR(34)&amp;": "&amp;SUBSTITUTE(TRIM(ROUND(IFERROR(CriteriTecnici!$K2398*1,IFERROR(NUMBERVALUE(CriteriTecnici!$K2398,".",","),IFERROR(NUMBERVALUE(CriteriTecnici!$K2398,",","."),0))),4)&amp;""),",",".")&amp;", "&amp;CHAR(34)&amp;"denominator"&amp;CHAR(34)&amp;": "&amp;SUBSTITUTE(TRIM(ROUND(IFERROR(CriteriTecnici!$L2398*1,IFERROR(NUMBERVALUE(CriteriTecnici!$L2398,".",","),IFERROR(NUMBERVALUE(CriteriTecnici!$L2398,",","."),0))),4)&amp;""),",",".")&amp;", "&amp;CHAR(34)&amp;"flag"&amp;CHAR(34)&amp;": "&amp;SUBSTITUTE(TRIM(ROUND(IFERROR(CriteriTecnici!$M2398*1,IFERROR(NUMBERVALUE(CriteriTecnici!$M2398,".",","),IFERROR(NUMBERVALUE(CriteriTecnici!$M2398,",","."),0))),4)&amp;""),",",".")&amp;", "&amp;CHAR(34)&amp;"rawScore"&amp;CHAR(34)&amp;": "&amp;SUBSTITUTE(TRIM(ROUND(IFERROR(CriteriTecnici!$O2398*1,IFERROR(NUMBERVALUE(CriteriTecnici!$O2398,".",","),IFERROR(NUMBERVALUE(CriteriTecnici!$O2398,",","."),0))),4)&amp;""),",",".")&amp;CHAR(125)&amp;IF(TRUE,",",""))</f>
        <v/>
      </c>
    </row>
    <row r="2500">
      <c r="A2500" s="82">
        <f>IF(CriteriTecnici!$A2399="","","    "&amp;CHAR(123)&amp;CHAR(34)&amp;"bidderId"&amp;CHAR(34)&amp;": "&amp;CHAR(34)&amp;SUBSTITUTE(CriteriTecnici!$A2399,CHAR(34),"'")&amp;CHAR(34)&amp;", "&amp;CHAR(34)&amp;"lotId"&amp;CHAR(34)&amp;": "&amp;CHAR(34)&amp;SUBSTITUTE(CriteriTecnici!$C2399,CHAR(34),"'")&amp;CHAR(34)&amp;", "&amp;CHAR(34)&amp;"criterionId"&amp;CHAR(34)&amp;": "&amp;CHAR(34)&amp;SUBSTITUTE(CriteriTecnici!$D2399,CHAR(34),"'")&amp;CHAR(34)&amp;", "&amp;CHAR(34)&amp;"kind"&amp;CHAR(34)&amp;": "&amp;CHAR(34)&amp;SUBSTITUTE(CriteriTecnici!$F2399,CHAR(34),"'")&amp;CHAR(34)&amp;", "&amp;CHAR(34)&amp;"value"&amp;CHAR(34)&amp;": "&amp;SUBSTITUTE(TRIM(ROUND(IFERROR(CriteriTecnici!$N2399*1,IFERROR(NUMBERVALUE(CriteriTecnici!$N2399,".",","),IFERROR(NUMBERVALUE(CriteriTecnici!$N2399,",","."),0))),4)&amp;""),",",".")&amp;", "&amp;CHAR(34)&amp;"numerator"&amp;CHAR(34)&amp;": "&amp;SUBSTITUTE(TRIM(ROUND(IFERROR(CriteriTecnici!$K2399*1,IFERROR(NUMBERVALUE(CriteriTecnici!$K2399,".",","),IFERROR(NUMBERVALUE(CriteriTecnici!$K2399,",","."),0))),4)&amp;""),",",".")&amp;", "&amp;CHAR(34)&amp;"denominator"&amp;CHAR(34)&amp;": "&amp;SUBSTITUTE(TRIM(ROUND(IFERROR(CriteriTecnici!$L2399*1,IFERROR(NUMBERVALUE(CriteriTecnici!$L2399,".",","),IFERROR(NUMBERVALUE(CriteriTecnici!$L2399,",","."),0))),4)&amp;""),",",".")&amp;", "&amp;CHAR(34)&amp;"flag"&amp;CHAR(34)&amp;": "&amp;SUBSTITUTE(TRIM(ROUND(IFERROR(CriteriTecnici!$M2399*1,IFERROR(NUMBERVALUE(CriteriTecnici!$M2399,".",","),IFERROR(NUMBERVALUE(CriteriTecnici!$M2399,",","."),0))),4)&amp;""),",",".")&amp;", "&amp;CHAR(34)&amp;"rawScore"&amp;CHAR(34)&amp;": "&amp;SUBSTITUTE(TRIM(ROUND(IFERROR(CriteriTecnici!$O2399*1,IFERROR(NUMBERVALUE(CriteriTecnici!$O2399,".",","),IFERROR(NUMBERVALUE(CriteriTecnici!$O2399,",","."),0))),4)&amp;""),",",".")&amp;CHAR(125)&amp;IF(TRUE,",",""))</f>
        <v/>
      </c>
    </row>
    <row r="2501">
      <c r="A2501" s="82">
        <f>IF(CriteriTecnici!$A2400="","","    "&amp;CHAR(123)&amp;CHAR(34)&amp;"bidderId"&amp;CHAR(34)&amp;": "&amp;CHAR(34)&amp;SUBSTITUTE(CriteriTecnici!$A2400,CHAR(34),"'")&amp;CHAR(34)&amp;", "&amp;CHAR(34)&amp;"lotId"&amp;CHAR(34)&amp;": "&amp;CHAR(34)&amp;SUBSTITUTE(CriteriTecnici!$C2400,CHAR(34),"'")&amp;CHAR(34)&amp;", "&amp;CHAR(34)&amp;"criterionId"&amp;CHAR(34)&amp;": "&amp;CHAR(34)&amp;SUBSTITUTE(CriteriTecnici!$D2400,CHAR(34),"'")&amp;CHAR(34)&amp;", "&amp;CHAR(34)&amp;"kind"&amp;CHAR(34)&amp;": "&amp;CHAR(34)&amp;SUBSTITUTE(CriteriTecnici!$F2400,CHAR(34),"'")&amp;CHAR(34)&amp;", "&amp;CHAR(34)&amp;"value"&amp;CHAR(34)&amp;": "&amp;SUBSTITUTE(TRIM(ROUND(IFERROR(CriteriTecnici!$N2400*1,IFERROR(NUMBERVALUE(CriteriTecnici!$N2400,".",","),IFERROR(NUMBERVALUE(CriteriTecnici!$N2400,",","."),0))),4)&amp;""),",",".")&amp;", "&amp;CHAR(34)&amp;"numerator"&amp;CHAR(34)&amp;": "&amp;SUBSTITUTE(TRIM(ROUND(IFERROR(CriteriTecnici!$K2400*1,IFERROR(NUMBERVALUE(CriteriTecnici!$K2400,".",","),IFERROR(NUMBERVALUE(CriteriTecnici!$K2400,",","."),0))),4)&amp;""),",",".")&amp;", "&amp;CHAR(34)&amp;"denominator"&amp;CHAR(34)&amp;": "&amp;SUBSTITUTE(TRIM(ROUND(IFERROR(CriteriTecnici!$L2400*1,IFERROR(NUMBERVALUE(CriteriTecnici!$L2400,".",","),IFERROR(NUMBERVALUE(CriteriTecnici!$L2400,",","."),0))),4)&amp;""),",",".")&amp;", "&amp;CHAR(34)&amp;"flag"&amp;CHAR(34)&amp;": "&amp;SUBSTITUTE(TRIM(ROUND(IFERROR(CriteriTecnici!$M2400*1,IFERROR(NUMBERVALUE(CriteriTecnici!$M2400,".",","),IFERROR(NUMBERVALUE(CriteriTecnici!$M2400,",","."),0))),4)&amp;""),",",".")&amp;", "&amp;CHAR(34)&amp;"rawScore"&amp;CHAR(34)&amp;": "&amp;SUBSTITUTE(TRIM(ROUND(IFERROR(CriteriTecnici!$O2400*1,IFERROR(NUMBERVALUE(CriteriTecnici!$O2400,".",","),IFERROR(NUMBERVALUE(CriteriTecnici!$O2400,",","."),0))),4)&amp;""),",",".")&amp;CHAR(125)&amp;IF(TRUE,",",""))</f>
        <v/>
      </c>
    </row>
    <row r="2502">
      <c r="A2502" s="82">
        <f>IF(CriteriTecnici!$A2401="","","    "&amp;CHAR(123)&amp;CHAR(34)&amp;"bidderId"&amp;CHAR(34)&amp;": "&amp;CHAR(34)&amp;SUBSTITUTE(CriteriTecnici!$A2401,CHAR(34),"'")&amp;CHAR(34)&amp;", "&amp;CHAR(34)&amp;"lotId"&amp;CHAR(34)&amp;": "&amp;CHAR(34)&amp;SUBSTITUTE(CriteriTecnici!$C2401,CHAR(34),"'")&amp;CHAR(34)&amp;", "&amp;CHAR(34)&amp;"criterionId"&amp;CHAR(34)&amp;": "&amp;CHAR(34)&amp;SUBSTITUTE(CriteriTecnici!$D2401,CHAR(34),"'")&amp;CHAR(34)&amp;", "&amp;CHAR(34)&amp;"kind"&amp;CHAR(34)&amp;": "&amp;CHAR(34)&amp;SUBSTITUTE(CriteriTecnici!$F2401,CHAR(34),"'")&amp;CHAR(34)&amp;", "&amp;CHAR(34)&amp;"value"&amp;CHAR(34)&amp;": "&amp;SUBSTITUTE(TRIM(ROUND(IFERROR(CriteriTecnici!$N2401*1,IFERROR(NUMBERVALUE(CriteriTecnici!$N2401,".",","),IFERROR(NUMBERVALUE(CriteriTecnici!$N2401,",","."),0))),4)&amp;""),",",".")&amp;", "&amp;CHAR(34)&amp;"numerator"&amp;CHAR(34)&amp;": "&amp;SUBSTITUTE(TRIM(ROUND(IFERROR(CriteriTecnici!$K2401*1,IFERROR(NUMBERVALUE(CriteriTecnici!$K2401,".",","),IFERROR(NUMBERVALUE(CriteriTecnici!$K2401,",","."),0))),4)&amp;""),",",".")&amp;", "&amp;CHAR(34)&amp;"denominator"&amp;CHAR(34)&amp;": "&amp;SUBSTITUTE(TRIM(ROUND(IFERROR(CriteriTecnici!$L2401*1,IFERROR(NUMBERVALUE(CriteriTecnici!$L2401,".",","),IFERROR(NUMBERVALUE(CriteriTecnici!$L2401,",","."),0))),4)&amp;""),",",".")&amp;", "&amp;CHAR(34)&amp;"flag"&amp;CHAR(34)&amp;": "&amp;SUBSTITUTE(TRIM(ROUND(IFERROR(CriteriTecnici!$M2401*1,IFERROR(NUMBERVALUE(CriteriTecnici!$M2401,".",","),IFERROR(NUMBERVALUE(CriteriTecnici!$M2401,",","."),0))),4)&amp;""),",",".")&amp;", "&amp;CHAR(34)&amp;"rawScore"&amp;CHAR(34)&amp;": "&amp;SUBSTITUTE(TRIM(ROUND(IFERROR(CriteriTecnici!$O2401*1,IFERROR(NUMBERVALUE(CriteriTecnici!$O2401,".",","),IFERROR(NUMBERVALUE(CriteriTecnici!$O2401,",","."),0))),4)&amp;""),",",".")&amp;CHAR(125)&amp;IF(TRUE,",",""))</f>
        <v/>
      </c>
    </row>
    <row r="2503">
      <c r="A2503" s="82">
        <f>IF(CriteriTecnici!$A2402="","","    "&amp;CHAR(123)&amp;CHAR(34)&amp;"bidderId"&amp;CHAR(34)&amp;": "&amp;CHAR(34)&amp;SUBSTITUTE(CriteriTecnici!$A2402,CHAR(34),"'")&amp;CHAR(34)&amp;", "&amp;CHAR(34)&amp;"lotId"&amp;CHAR(34)&amp;": "&amp;CHAR(34)&amp;SUBSTITUTE(CriteriTecnici!$C2402,CHAR(34),"'")&amp;CHAR(34)&amp;", "&amp;CHAR(34)&amp;"criterionId"&amp;CHAR(34)&amp;": "&amp;CHAR(34)&amp;SUBSTITUTE(CriteriTecnici!$D2402,CHAR(34),"'")&amp;CHAR(34)&amp;", "&amp;CHAR(34)&amp;"kind"&amp;CHAR(34)&amp;": "&amp;CHAR(34)&amp;SUBSTITUTE(CriteriTecnici!$F2402,CHAR(34),"'")&amp;CHAR(34)&amp;", "&amp;CHAR(34)&amp;"value"&amp;CHAR(34)&amp;": "&amp;SUBSTITUTE(TRIM(ROUND(IFERROR(CriteriTecnici!$N2402*1,IFERROR(NUMBERVALUE(CriteriTecnici!$N2402,".",","),IFERROR(NUMBERVALUE(CriteriTecnici!$N2402,",","."),0))),4)&amp;""),",",".")&amp;", "&amp;CHAR(34)&amp;"numerator"&amp;CHAR(34)&amp;": "&amp;SUBSTITUTE(TRIM(ROUND(IFERROR(CriteriTecnici!$K2402*1,IFERROR(NUMBERVALUE(CriteriTecnici!$K2402,".",","),IFERROR(NUMBERVALUE(CriteriTecnici!$K2402,",","."),0))),4)&amp;""),",",".")&amp;", "&amp;CHAR(34)&amp;"denominator"&amp;CHAR(34)&amp;": "&amp;SUBSTITUTE(TRIM(ROUND(IFERROR(CriteriTecnici!$L2402*1,IFERROR(NUMBERVALUE(CriteriTecnici!$L2402,".",","),IFERROR(NUMBERVALUE(CriteriTecnici!$L2402,",","."),0))),4)&amp;""),",",".")&amp;", "&amp;CHAR(34)&amp;"flag"&amp;CHAR(34)&amp;": "&amp;SUBSTITUTE(TRIM(ROUND(IFERROR(CriteriTecnici!$M2402*1,IFERROR(NUMBERVALUE(CriteriTecnici!$M2402,".",","),IFERROR(NUMBERVALUE(CriteriTecnici!$M2402,",","."),0))),4)&amp;""),",",".")&amp;", "&amp;CHAR(34)&amp;"rawScore"&amp;CHAR(34)&amp;": "&amp;SUBSTITUTE(TRIM(ROUND(IFERROR(CriteriTecnici!$O2402*1,IFERROR(NUMBERVALUE(CriteriTecnici!$O2402,".",","),IFERROR(NUMBERVALUE(CriteriTecnici!$O2402,",","."),0))),4)&amp;""),",",".")&amp;CHAR(125)&amp;IF(TRUE,",",""))</f>
        <v/>
      </c>
    </row>
    <row r="2504">
      <c r="A2504" s="82">
        <f>IF(CriteriTecnici!$A2403="","","    "&amp;CHAR(123)&amp;CHAR(34)&amp;"bidderId"&amp;CHAR(34)&amp;": "&amp;CHAR(34)&amp;SUBSTITUTE(CriteriTecnici!$A2403,CHAR(34),"'")&amp;CHAR(34)&amp;", "&amp;CHAR(34)&amp;"lotId"&amp;CHAR(34)&amp;": "&amp;CHAR(34)&amp;SUBSTITUTE(CriteriTecnici!$C2403,CHAR(34),"'")&amp;CHAR(34)&amp;", "&amp;CHAR(34)&amp;"criterionId"&amp;CHAR(34)&amp;": "&amp;CHAR(34)&amp;SUBSTITUTE(CriteriTecnici!$D2403,CHAR(34),"'")&amp;CHAR(34)&amp;", "&amp;CHAR(34)&amp;"kind"&amp;CHAR(34)&amp;": "&amp;CHAR(34)&amp;SUBSTITUTE(CriteriTecnici!$F2403,CHAR(34),"'")&amp;CHAR(34)&amp;", "&amp;CHAR(34)&amp;"value"&amp;CHAR(34)&amp;": "&amp;SUBSTITUTE(TRIM(ROUND(IFERROR(CriteriTecnici!$N2403*1,IFERROR(NUMBERVALUE(CriteriTecnici!$N2403,".",","),IFERROR(NUMBERVALUE(CriteriTecnici!$N2403,",","."),0))),4)&amp;""),",",".")&amp;", "&amp;CHAR(34)&amp;"numerator"&amp;CHAR(34)&amp;": "&amp;SUBSTITUTE(TRIM(ROUND(IFERROR(CriteriTecnici!$K2403*1,IFERROR(NUMBERVALUE(CriteriTecnici!$K2403,".",","),IFERROR(NUMBERVALUE(CriteriTecnici!$K2403,",","."),0))),4)&amp;""),",",".")&amp;", "&amp;CHAR(34)&amp;"denominator"&amp;CHAR(34)&amp;": "&amp;SUBSTITUTE(TRIM(ROUND(IFERROR(CriteriTecnici!$L2403*1,IFERROR(NUMBERVALUE(CriteriTecnici!$L2403,".",","),IFERROR(NUMBERVALUE(CriteriTecnici!$L2403,",","."),0))),4)&amp;""),",",".")&amp;", "&amp;CHAR(34)&amp;"flag"&amp;CHAR(34)&amp;": "&amp;SUBSTITUTE(TRIM(ROUND(IFERROR(CriteriTecnici!$M2403*1,IFERROR(NUMBERVALUE(CriteriTecnici!$M2403,".",","),IFERROR(NUMBERVALUE(CriteriTecnici!$M2403,",","."),0))),4)&amp;""),",",".")&amp;", "&amp;CHAR(34)&amp;"rawScore"&amp;CHAR(34)&amp;": "&amp;SUBSTITUTE(TRIM(ROUND(IFERROR(CriteriTecnici!$O2403*1,IFERROR(NUMBERVALUE(CriteriTecnici!$O2403,".",","),IFERROR(NUMBERVALUE(CriteriTecnici!$O2403,",","."),0))),4)&amp;""),",",".")&amp;CHAR(125)&amp;IF(TRUE,",",""))</f>
        <v/>
      </c>
    </row>
    <row r="2505">
      <c r="A2505" s="82">
        <f>IF(CriteriTecnici!$A2404="","","    "&amp;CHAR(123)&amp;CHAR(34)&amp;"bidderId"&amp;CHAR(34)&amp;": "&amp;CHAR(34)&amp;SUBSTITUTE(CriteriTecnici!$A2404,CHAR(34),"'")&amp;CHAR(34)&amp;", "&amp;CHAR(34)&amp;"lotId"&amp;CHAR(34)&amp;": "&amp;CHAR(34)&amp;SUBSTITUTE(CriteriTecnici!$C2404,CHAR(34),"'")&amp;CHAR(34)&amp;", "&amp;CHAR(34)&amp;"criterionId"&amp;CHAR(34)&amp;": "&amp;CHAR(34)&amp;SUBSTITUTE(CriteriTecnici!$D2404,CHAR(34),"'")&amp;CHAR(34)&amp;", "&amp;CHAR(34)&amp;"kind"&amp;CHAR(34)&amp;": "&amp;CHAR(34)&amp;SUBSTITUTE(CriteriTecnici!$F2404,CHAR(34),"'")&amp;CHAR(34)&amp;", "&amp;CHAR(34)&amp;"value"&amp;CHAR(34)&amp;": "&amp;SUBSTITUTE(TRIM(ROUND(IFERROR(CriteriTecnici!$N2404*1,IFERROR(NUMBERVALUE(CriteriTecnici!$N2404,".",","),IFERROR(NUMBERVALUE(CriteriTecnici!$N2404,",","."),0))),4)&amp;""),",",".")&amp;", "&amp;CHAR(34)&amp;"numerator"&amp;CHAR(34)&amp;": "&amp;SUBSTITUTE(TRIM(ROUND(IFERROR(CriteriTecnici!$K2404*1,IFERROR(NUMBERVALUE(CriteriTecnici!$K2404,".",","),IFERROR(NUMBERVALUE(CriteriTecnici!$K2404,",","."),0))),4)&amp;""),",",".")&amp;", "&amp;CHAR(34)&amp;"denominator"&amp;CHAR(34)&amp;": "&amp;SUBSTITUTE(TRIM(ROUND(IFERROR(CriteriTecnici!$L2404*1,IFERROR(NUMBERVALUE(CriteriTecnici!$L2404,".",","),IFERROR(NUMBERVALUE(CriteriTecnici!$L2404,",","."),0))),4)&amp;""),",",".")&amp;", "&amp;CHAR(34)&amp;"flag"&amp;CHAR(34)&amp;": "&amp;SUBSTITUTE(TRIM(ROUND(IFERROR(CriteriTecnici!$M2404*1,IFERROR(NUMBERVALUE(CriteriTecnici!$M2404,".",","),IFERROR(NUMBERVALUE(CriteriTecnici!$M2404,",","."),0))),4)&amp;""),",",".")&amp;", "&amp;CHAR(34)&amp;"rawScore"&amp;CHAR(34)&amp;": "&amp;SUBSTITUTE(TRIM(ROUND(IFERROR(CriteriTecnici!$O2404*1,IFERROR(NUMBERVALUE(CriteriTecnici!$O2404,".",","),IFERROR(NUMBERVALUE(CriteriTecnici!$O2404,",","."),0))),4)&amp;""),",",".")&amp;CHAR(125)&amp;IF(TRUE,",",""))</f>
        <v/>
      </c>
    </row>
    <row r="2506">
      <c r="A2506" s="82">
        <f>IF(CriteriTecnici!$A2405="","","    "&amp;CHAR(123)&amp;CHAR(34)&amp;"bidderId"&amp;CHAR(34)&amp;": "&amp;CHAR(34)&amp;SUBSTITUTE(CriteriTecnici!$A2405,CHAR(34),"'")&amp;CHAR(34)&amp;", "&amp;CHAR(34)&amp;"lotId"&amp;CHAR(34)&amp;": "&amp;CHAR(34)&amp;SUBSTITUTE(CriteriTecnici!$C2405,CHAR(34),"'")&amp;CHAR(34)&amp;", "&amp;CHAR(34)&amp;"criterionId"&amp;CHAR(34)&amp;": "&amp;CHAR(34)&amp;SUBSTITUTE(CriteriTecnici!$D2405,CHAR(34),"'")&amp;CHAR(34)&amp;", "&amp;CHAR(34)&amp;"kind"&amp;CHAR(34)&amp;": "&amp;CHAR(34)&amp;SUBSTITUTE(CriteriTecnici!$F2405,CHAR(34),"'")&amp;CHAR(34)&amp;", "&amp;CHAR(34)&amp;"value"&amp;CHAR(34)&amp;": "&amp;SUBSTITUTE(TRIM(ROUND(IFERROR(CriteriTecnici!$N2405*1,IFERROR(NUMBERVALUE(CriteriTecnici!$N2405,".",","),IFERROR(NUMBERVALUE(CriteriTecnici!$N2405,",","."),0))),4)&amp;""),",",".")&amp;", "&amp;CHAR(34)&amp;"numerator"&amp;CHAR(34)&amp;": "&amp;SUBSTITUTE(TRIM(ROUND(IFERROR(CriteriTecnici!$K2405*1,IFERROR(NUMBERVALUE(CriteriTecnici!$K2405,".",","),IFERROR(NUMBERVALUE(CriteriTecnici!$K2405,",","."),0))),4)&amp;""),",",".")&amp;", "&amp;CHAR(34)&amp;"denominator"&amp;CHAR(34)&amp;": "&amp;SUBSTITUTE(TRIM(ROUND(IFERROR(CriteriTecnici!$L2405*1,IFERROR(NUMBERVALUE(CriteriTecnici!$L2405,".",","),IFERROR(NUMBERVALUE(CriteriTecnici!$L2405,",","."),0))),4)&amp;""),",",".")&amp;", "&amp;CHAR(34)&amp;"flag"&amp;CHAR(34)&amp;": "&amp;SUBSTITUTE(TRIM(ROUND(IFERROR(CriteriTecnici!$M2405*1,IFERROR(NUMBERVALUE(CriteriTecnici!$M2405,".",","),IFERROR(NUMBERVALUE(CriteriTecnici!$M2405,",","."),0))),4)&amp;""),",",".")&amp;", "&amp;CHAR(34)&amp;"rawScore"&amp;CHAR(34)&amp;": "&amp;SUBSTITUTE(TRIM(ROUND(IFERROR(CriteriTecnici!$O2405*1,IFERROR(NUMBERVALUE(CriteriTecnici!$O2405,".",","),IFERROR(NUMBERVALUE(CriteriTecnici!$O2405,",","."),0))),4)&amp;""),",",".")&amp;CHAR(125)&amp;IF(TRUE,",",""))</f>
        <v/>
      </c>
    </row>
    <row r="2507">
      <c r="A2507" s="82">
        <f>IF(CriteriTecnici!$A2406="","","    "&amp;CHAR(123)&amp;CHAR(34)&amp;"bidderId"&amp;CHAR(34)&amp;": "&amp;CHAR(34)&amp;SUBSTITUTE(CriteriTecnici!$A2406,CHAR(34),"'")&amp;CHAR(34)&amp;", "&amp;CHAR(34)&amp;"lotId"&amp;CHAR(34)&amp;": "&amp;CHAR(34)&amp;SUBSTITUTE(CriteriTecnici!$C2406,CHAR(34),"'")&amp;CHAR(34)&amp;", "&amp;CHAR(34)&amp;"criterionId"&amp;CHAR(34)&amp;": "&amp;CHAR(34)&amp;SUBSTITUTE(CriteriTecnici!$D2406,CHAR(34),"'")&amp;CHAR(34)&amp;", "&amp;CHAR(34)&amp;"kind"&amp;CHAR(34)&amp;": "&amp;CHAR(34)&amp;SUBSTITUTE(CriteriTecnici!$F2406,CHAR(34),"'")&amp;CHAR(34)&amp;", "&amp;CHAR(34)&amp;"value"&amp;CHAR(34)&amp;": "&amp;SUBSTITUTE(TRIM(ROUND(IFERROR(CriteriTecnici!$N2406*1,IFERROR(NUMBERVALUE(CriteriTecnici!$N2406,".",","),IFERROR(NUMBERVALUE(CriteriTecnici!$N2406,",","."),0))),4)&amp;""),",",".")&amp;", "&amp;CHAR(34)&amp;"numerator"&amp;CHAR(34)&amp;": "&amp;SUBSTITUTE(TRIM(ROUND(IFERROR(CriteriTecnici!$K2406*1,IFERROR(NUMBERVALUE(CriteriTecnici!$K2406,".",","),IFERROR(NUMBERVALUE(CriteriTecnici!$K2406,",","."),0))),4)&amp;""),",",".")&amp;", "&amp;CHAR(34)&amp;"denominator"&amp;CHAR(34)&amp;": "&amp;SUBSTITUTE(TRIM(ROUND(IFERROR(CriteriTecnici!$L2406*1,IFERROR(NUMBERVALUE(CriteriTecnici!$L2406,".",","),IFERROR(NUMBERVALUE(CriteriTecnici!$L2406,",","."),0))),4)&amp;""),",",".")&amp;", "&amp;CHAR(34)&amp;"flag"&amp;CHAR(34)&amp;": "&amp;SUBSTITUTE(TRIM(ROUND(IFERROR(CriteriTecnici!$M2406*1,IFERROR(NUMBERVALUE(CriteriTecnici!$M2406,".",","),IFERROR(NUMBERVALUE(CriteriTecnici!$M2406,",","."),0))),4)&amp;""),",",".")&amp;", "&amp;CHAR(34)&amp;"rawScore"&amp;CHAR(34)&amp;": "&amp;SUBSTITUTE(TRIM(ROUND(IFERROR(CriteriTecnici!$O2406*1,IFERROR(NUMBERVALUE(CriteriTecnici!$O2406,".",","),IFERROR(NUMBERVALUE(CriteriTecnici!$O2406,",","."),0))),4)&amp;""),",",".")&amp;CHAR(125)&amp;IF(TRUE,",",""))</f>
        <v/>
      </c>
    </row>
    <row r="2508">
      <c r="A2508" s="82">
        <f>IF(CriteriTecnici!$A2407="","","    "&amp;CHAR(123)&amp;CHAR(34)&amp;"bidderId"&amp;CHAR(34)&amp;": "&amp;CHAR(34)&amp;SUBSTITUTE(CriteriTecnici!$A2407,CHAR(34),"'")&amp;CHAR(34)&amp;", "&amp;CHAR(34)&amp;"lotId"&amp;CHAR(34)&amp;": "&amp;CHAR(34)&amp;SUBSTITUTE(CriteriTecnici!$C2407,CHAR(34),"'")&amp;CHAR(34)&amp;", "&amp;CHAR(34)&amp;"criterionId"&amp;CHAR(34)&amp;": "&amp;CHAR(34)&amp;SUBSTITUTE(CriteriTecnici!$D2407,CHAR(34),"'")&amp;CHAR(34)&amp;", "&amp;CHAR(34)&amp;"kind"&amp;CHAR(34)&amp;": "&amp;CHAR(34)&amp;SUBSTITUTE(CriteriTecnici!$F2407,CHAR(34),"'")&amp;CHAR(34)&amp;", "&amp;CHAR(34)&amp;"value"&amp;CHAR(34)&amp;": "&amp;SUBSTITUTE(TRIM(ROUND(IFERROR(CriteriTecnici!$N2407*1,IFERROR(NUMBERVALUE(CriteriTecnici!$N2407,".",","),IFERROR(NUMBERVALUE(CriteriTecnici!$N2407,",","."),0))),4)&amp;""),",",".")&amp;", "&amp;CHAR(34)&amp;"numerator"&amp;CHAR(34)&amp;": "&amp;SUBSTITUTE(TRIM(ROUND(IFERROR(CriteriTecnici!$K2407*1,IFERROR(NUMBERVALUE(CriteriTecnici!$K2407,".",","),IFERROR(NUMBERVALUE(CriteriTecnici!$K2407,",","."),0))),4)&amp;""),",",".")&amp;", "&amp;CHAR(34)&amp;"denominator"&amp;CHAR(34)&amp;": "&amp;SUBSTITUTE(TRIM(ROUND(IFERROR(CriteriTecnici!$L2407*1,IFERROR(NUMBERVALUE(CriteriTecnici!$L2407,".",","),IFERROR(NUMBERVALUE(CriteriTecnici!$L2407,",","."),0))),4)&amp;""),",",".")&amp;", "&amp;CHAR(34)&amp;"flag"&amp;CHAR(34)&amp;": "&amp;SUBSTITUTE(TRIM(ROUND(IFERROR(CriteriTecnici!$M2407*1,IFERROR(NUMBERVALUE(CriteriTecnici!$M2407,".",","),IFERROR(NUMBERVALUE(CriteriTecnici!$M2407,",","."),0))),4)&amp;""),",",".")&amp;", "&amp;CHAR(34)&amp;"rawScore"&amp;CHAR(34)&amp;": "&amp;SUBSTITUTE(TRIM(ROUND(IFERROR(CriteriTecnici!$O2407*1,IFERROR(NUMBERVALUE(CriteriTecnici!$O2407,".",","),IFERROR(NUMBERVALUE(CriteriTecnici!$O2407,",","."),0))),4)&amp;""),",",".")&amp;CHAR(125)&amp;IF(TRUE,",",""))</f>
        <v/>
      </c>
    </row>
    <row r="2509">
      <c r="A2509" s="82">
        <f>IF(CriteriTecnici!$A2408="","","    "&amp;CHAR(123)&amp;CHAR(34)&amp;"bidderId"&amp;CHAR(34)&amp;": "&amp;CHAR(34)&amp;SUBSTITUTE(CriteriTecnici!$A2408,CHAR(34),"'")&amp;CHAR(34)&amp;", "&amp;CHAR(34)&amp;"lotId"&amp;CHAR(34)&amp;": "&amp;CHAR(34)&amp;SUBSTITUTE(CriteriTecnici!$C2408,CHAR(34),"'")&amp;CHAR(34)&amp;", "&amp;CHAR(34)&amp;"criterionId"&amp;CHAR(34)&amp;": "&amp;CHAR(34)&amp;SUBSTITUTE(CriteriTecnici!$D2408,CHAR(34),"'")&amp;CHAR(34)&amp;", "&amp;CHAR(34)&amp;"kind"&amp;CHAR(34)&amp;": "&amp;CHAR(34)&amp;SUBSTITUTE(CriteriTecnici!$F2408,CHAR(34),"'")&amp;CHAR(34)&amp;", "&amp;CHAR(34)&amp;"value"&amp;CHAR(34)&amp;": "&amp;SUBSTITUTE(TRIM(ROUND(IFERROR(CriteriTecnici!$N2408*1,IFERROR(NUMBERVALUE(CriteriTecnici!$N2408,".",","),IFERROR(NUMBERVALUE(CriteriTecnici!$N2408,",","."),0))),4)&amp;""),",",".")&amp;", "&amp;CHAR(34)&amp;"numerator"&amp;CHAR(34)&amp;": "&amp;SUBSTITUTE(TRIM(ROUND(IFERROR(CriteriTecnici!$K2408*1,IFERROR(NUMBERVALUE(CriteriTecnici!$K2408,".",","),IFERROR(NUMBERVALUE(CriteriTecnici!$K2408,",","."),0))),4)&amp;""),",",".")&amp;", "&amp;CHAR(34)&amp;"denominator"&amp;CHAR(34)&amp;": "&amp;SUBSTITUTE(TRIM(ROUND(IFERROR(CriteriTecnici!$L2408*1,IFERROR(NUMBERVALUE(CriteriTecnici!$L2408,".",","),IFERROR(NUMBERVALUE(CriteriTecnici!$L2408,",","."),0))),4)&amp;""),",",".")&amp;", "&amp;CHAR(34)&amp;"flag"&amp;CHAR(34)&amp;": "&amp;SUBSTITUTE(TRIM(ROUND(IFERROR(CriteriTecnici!$M2408*1,IFERROR(NUMBERVALUE(CriteriTecnici!$M2408,".",","),IFERROR(NUMBERVALUE(CriteriTecnici!$M2408,",","."),0))),4)&amp;""),",",".")&amp;", "&amp;CHAR(34)&amp;"rawScore"&amp;CHAR(34)&amp;": "&amp;SUBSTITUTE(TRIM(ROUND(IFERROR(CriteriTecnici!$O2408*1,IFERROR(NUMBERVALUE(CriteriTecnici!$O2408,".",","),IFERROR(NUMBERVALUE(CriteriTecnici!$O2408,",","."),0))),4)&amp;""),",",".")&amp;CHAR(125)&amp;IF(TRUE,",",""))</f>
        <v/>
      </c>
    </row>
    <row r="2510">
      <c r="A2510" s="82">
        <f>IF(CriteriTecnici!$A2409="","","    "&amp;CHAR(123)&amp;CHAR(34)&amp;"bidderId"&amp;CHAR(34)&amp;": "&amp;CHAR(34)&amp;SUBSTITUTE(CriteriTecnici!$A2409,CHAR(34),"'")&amp;CHAR(34)&amp;", "&amp;CHAR(34)&amp;"lotId"&amp;CHAR(34)&amp;": "&amp;CHAR(34)&amp;SUBSTITUTE(CriteriTecnici!$C2409,CHAR(34),"'")&amp;CHAR(34)&amp;", "&amp;CHAR(34)&amp;"criterionId"&amp;CHAR(34)&amp;": "&amp;CHAR(34)&amp;SUBSTITUTE(CriteriTecnici!$D2409,CHAR(34),"'")&amp;CHAR(34)&amp;", "&amp;CHAR(34)&amp;"kind"&amp;CHAR(34)&amp;": "&amp;CHAR(34)&amp;SUBSTITUTE(CriteriTecnici!$F2409,CHAR(34),"'")&amp;CHAR(34)&amp;", "&amp;CHAR(34)&amp;"value"&amp;CHAR(34)&amp;": "&amp;SUBSTITUTE(TRIM(ROUND(IFERROR(CriteriTecnici!$N2409*1,IFERROR(NUMBERVALUE(CriteriTecnici!$N2409,".",","),IFERROR(NUMBERVALUE(CriteriTecnici!$N2409,",","."),0))),4)&amp;""),",",".")&amp;", "&amp;CHAR(34)&amp;"numerator"&amp;CHAR(34)&amp;": "&amp;SUBSTITUTE(TRIM(ROUND(IFERROR(CriteriTecnici!$K2409*1,IFERROR(NUMBERVALUE(CriteriTecnici!$K2409,".",","),IFERROR(NUMBERVALUE(CriteriTecnici!$K2409,",","."),0))),4)&amp;""),",",".")&amp;", "&amp;CHAR(34)&amp;"denominator"&amp;CHAR(34)&amp;": "&amp;SUBSTITUTE(TRIM(ROUND(IFERROR(CriteriTecnici!$L2409*1,IFERROR(NUMBERVALUE(CriteriTecnici!$L2409,".",","),IFERROR(NUMBERVALUE(CriteriTecnici!$L2409,",","."),0))),4)&amp;""),",",".")&amp;", "&amp;CHAR(34)&amp;"flag"&amp;CHAR(34)&amp;": "&amp;SUBSTITUTE(TRIM(ROUND(IFERROR(CriteriTecnici!$M2409*1,IFERROR(NUMBERVALUE(CriteriTecnici!$M2409,".",","),IFERROR(NUMBERVALUE(CriteriTecnici!$M2409,",","."),0))),4)&amp;""),",",".")&amp;", "&amp;CHAR(34)&amp;"rawScore"&amp;CHAR(34)&amp;": "&amp;SUBSTITUTE(TRIM(ROUND(IFERROR(CriteriTecnici!$O2409*1,IFERROR(NUMBERVALUE(CriteriTecnici!$O2409,".",","),IFERROR(NUMBERVALUE(CriteriTecnici!$O2409,",","."),0))),4)&amp;""),",",".")&amp;CHAR(125)&amp;IF(TRUE,",",""))</f>
        <v/>
      </c>
    </row>
    <row r="2511">
      <c r="A2511" s="82">
        <f>IF(CriteriTecnici!$A2410="","","    "&amp;CHAR(123)&amp;CHAR(34)&amp;"bidderId"&amp;CHAR(34)&amp;": "&amp;CHAR(34)&amp;SUBSTITUTE(CriteriTecnici!$A2410,CHAR(34),"'")&amp;CHAR(34)&amp;", "&amp;CHAR(34)&amp;"lotId"&amp;CHAR(34)&amp;": "&amp;CHAR(34)&amp;SUBSTITUTE(CriteriTecnici!$C2410,CHAR(34),"'")&amp;CHAR(34)&amp;", "&amp;CHAR(34)&amp;"criterionId"&amp;CHAR(34)&amp;": "&amp;CHAR(34)&amp;SUBSTITUTE(CriteriTecnici!$D2410,CHAR(34),"'")&amp;CHAR(34)&amp;", "&amp;CHAR(34)&amp;"kind"&amp;CHAR(34)&amp;": "&amp;CHAR(34)&amp;SUBSTITUTE(CriteriTecnici!$F2410,CHAR(34),"'")&amp;CHAR(34)&amp;", "&amp;CHAR(34)&amp;"value"&amp;CHAR(34)&amp;": "&amp;SUBSTITUTE(TRIM(ROUND(IFERROR(CriteriTecnici!$N2410*1,IFERROR(NUMBERVALUE(CriteriTecnici!$N2410,".",","),IFERROR(NUMBERVALUE(CriteriTecnici!$N2410,",","."),0))),4)&amp;""),",",".")&amp;", "&amp;CHAR(34)&amp;"numerator"&amp;CHAR(34)&amp;": "&amp;SUBSTITUTE(TRIM(ROUND(IFERROR(CriteriTecnici!$K2410*1,IFERROR(NUMBERVALUE(CriteriTecnici!$K2410,".",","),IFERROR(NUMBERVALUE(CriteriTecnici!$K2410,",","."),0))),4)&amp;""),",",".")&amp;", "&amp;CHAR(34)&amp;"denominator"&amp;CHAR(34)&amp;": "&amp;SUBSTITUTE(TRIM(ROUND(IFERROR(CriteriTecnici!$L2410*1,IFERROR(NUMBERVALUE(CriteriTecnici!$L2410,".",","),IFERROR(NUMBERVALUE(CriteriTecnici!$L2410,",","."),0))),4)&amp;""),",",".")&amp;", "&amp;CHAR(34)&amp;"flag"&amp;CHAR(34)&amp;": "&amp;SUBSTITUTE(TRIM(ROUND(IFERROR(CriteriTecnici!$M2410*1,IFERROR(NUMBERVALUE(CriteriTecnici!$M2410,".",","),IFERROR(NUMBERVALUE(CriteriTecnici!$M2410,",","."),0))),4)&amp;""),",",".")&amp;", "&amp;CHAR(34)&amp;"rawScore"&amp;CHAR(34)&amp;": "&amp;SUBSTITUTE(TRIM(ROUND(IFERROR(CriteriTecnici!$O2410*1,IFERROR(NUMBERVALUE(CriteriTecnici!$O2410,".",","),IFERROR(NUMBERVALUE(CriteriTecnici!$O2410,",","."),0))),4)&amp;""),",",".")&amp;CHAR(125)&amp;IF(TRUE,",",""))</f>
        <v/>
      </c>
    </row>
    <row r="2512">
      <c r="A2512" s="82">
        <f>IF(CriteriTecnici!$A2411="","","    "&amp;CHAR(123)&amp;CHAR(34)&amp;"bidderId"&amp;CHAR(34)&amp;": "&amp;CHAR(34)&amp;SUBSTITUTE(CriteriTecnici!$A2411,CHAR(34),"'")&amp;CHAR(34)&amp;", "&amp;CHAR(34)&amp;"lotId"&amp;CHAR(34)&amp;": "&amp;CHAR(34)&amp;SUBSTITUTE(CriteriTecnici!$C2411,CHAR(34),"'")&amp;CHAR(34)&amp;", "&amp;CHAR(34)&amp;"criterionId"&amp;CHAR(34)&amp;": "&amp;CHAR(34)&amp;SUBSTITUTE(CriteriTecnici!$D2411,CHAR(34),"'")&amp;CHAR(34)&amp;", "&amp;CHAR(34)&amp;"kind"&amp;CHAR(34)&amp;": "&amp;CHAR(34)&amp;SUBSTITUTE(CriteriTecnici!$F2411,CHAR(34),"'")&amp;CHAR(34)&amp;", "&amp;CHAR(34)&amp;"value"&amp;CHAR(34)&amp;": "&amp;SUBSTITUTE(TRIM(ROUND(IFERROR(CriteriTecnici!$N2411*1,IFERROR(NUMBERVALUE(CriteriTecnici!$N2411,".",","),IFERROR(NUMBERVALUE(CriteriTecnici!$N2411,",","."),0))),4)&amp;""),",",".")&amp;", "&amp;CHAR(34)&amp;"numerator"&amp;CHAR(34)&amp;": "&amp;SUBSTITUTE(TRIM(ROUND(IFERROR(CriteriTecnici!$K2411*1,IFERROR(NUMBERVALUE(CriteriTecnici!$K2411,".",","),IFERROR(NUMBERVALUE(CriteriTecnici!$K2411,",","."),0))),4)&amp;""),",",".")&amp;", "&amp;CHAR(34)&amp;"denominator"&amp;CHAR(34)&amp;": "&amp;SUBSTITUTE(TRIM(ROUND(IFERROR(CriteriTecnici!$L2411*1,IFERROR(NUMBERVALUE(CriteriTecnici!$L2411,".",","),IFERROR(NUMBERVALUE(CriteriTecnici!$L2411,",","."),0))),4)&amp;""),",",".")&amp;", "&amp;CHAR(34)&amp;"flag"&amp;CHAR(34)&amp;": "&amp;SUBSTITUTE(TRIM(ROUND(IFERROR(CriteriTecnici!$M2411*1,IFERROR(NUMBERVALUE(CriteriTecnici!$M2411,".",","),IFERROR(NUMBERVALUE(CriteriTecnici!$M2411,",","."),0))),4)&amp;""),",",".")&amp;", "&amp;CHAR(34)&amp;"rawScore"&amp;CHAR(34)&amp;": "&amp;SUBSTITUTE(TRIM(ROUND(IFERROR(CriteriTecnici!$O2411*1,IFERROR(NUMBERVALUE(CriteriTecnici!$O2411,".",","),IFERROR(NUMBERVALUE(CriteriTecnici!$O2411,",","."),0))),4)&amp;""),",",".")&amp;CHAR(125)&amp;IF(TRUE,",",""))</f>
        <v/>
      </c>
    </row>
    <row r="2513">
      <c r="A2513" s="82">
        <f>IF(CriteriTecnici!$A2412="","","    "&amp;CHAR(123)&amp;CHAR(34)&amp;"bidderId"&amp;CHAR(34)&amp;": "&amp;CHAR(34)&amp;SUBSTITUTE(CriteriTecnici!$A2412,CHAR(34),"'")&amp;CHAR(34)&amp;", "&amp;CHAR(34)&amp;"lotId"&amp;CHAR(34)&amp;": "&amp;CHAR(34)&amp;SUBSTITUTE(CriteriTecnici!$C2412,CHAR(34),"'")&amp;CHAR(34)&amp;", "&amp;CHAR(34)&amp;"criterionId"&amp;CHAR(34)&amp;": "&amp;CHAR(34)&amp;SUBSTITUTE(CriteriTecnici!$D2412,CHAR(34),"'")&amp;CHAR(34)&amp;", "&amp;CHAR(34)&amp;"kind"&amp;CHAR(34)&amp;": "&amp;CHAR(34)&amp;SUBSTITUTE(CriteriTecnici!$F2412,CHAR(34),"'")&amp;CHAR(34)&amp;", "&amp;CHAR(34)&amp;"value"&amp;CHAR(34)&amp;": "&amp;SUBSTITUTE(TRIM(ROUND(IFERROR(CriteriTecnici!$N2412*1,IFERROR(NUMBERVALUE(CriteriTecnici!$N2412,".",","),IFERROR(NUMBERVALUE(CriteriTecnici!$N2412,",","."),0))),4)&amp;""),",",".")&amp;", "&amp;CHAR(34)&amp;"numerator"&amp;CHAR(34)&amp;": "&amp;SUBSTITUTE(TRIM(ROUND(IFERROR(CriteriTecnici!$K2412*1,IFERROR(NUMBERVALUE(CriteriTecnici!$K2412,".",","),IFERROR(NUMBERVALUE(CriteriTecnici!$K2412,",","."),0))),4)&amp;""),",",".")&amp;", "&amp;CHAR(34)&amp;"denominator"&amp;CHAR(34)&amp;": "&amp;SUBSTITUTE(TRIM(ROUND(IFERROR(CriteriTecnici!$L2412*1,IFERROR(NUMBERVALUE(CriteriTecnici!$L2412,".",","),IFERROR(NUMBERVALUE(CriteriTecnici!$L2412,",","."),0))),4)&amp;""),",",".")&amp;", "&amp;CHAR(34)&amp;"flag"&amp;CHAR(34)&amp;": "&amp;SUBSTITUTE(TRIM(ROUND(IFERROR(CriteriTecnici!$M2412*1,IFERROR(NUMBERVALUE(CriteriTecnici!$M2412,".",","),IFERROR(NUMBERVALUE(CriteriTecnici!$M2412,",","."),0))),4)&amp;""),",",".")&amp;", "&amp;CHAR(34)&amp;"rawScore"&amp;CHAR(34)&amp;": "&amp;SUBSTITUTE(TRIM(ROUND(IFERROR(CriteriTecnici!$O2412*1,IFERROR(NUMBERVALUE(CriteriTecnici!$O2412,".",","),IFERROR(NUMBERVALUE(CriteriTecnici!$O2412,",","."),0))),4)&amp;""),",",".")&amp;CHAR(125)&amp;IF(TRUE,",",""))</f>
        <v/>
      </c>
    </row>
    <row r="2514">
      <c r="A2514" s="82">
        <f>IF(CriteriTecnici!$A2413="","","    "&amp;CHAR(123)&amp;CHAR(34)&amp;"bidderId"&amp;CHAR(34)&amp;": "&amp;CHAR(34)&amp;SUBSTITUTE(CriteriTecnici!$A2413,CHAR(34),"'")&amp;CHAR(34)&amp;", "&amp;CHAR(34)&amp;"lotId"&amp;CHAR(34)&amp;": "&amp;CHAR(34)&amp;SUBSTITUTE(CriteriTecnici!$C2413,CHAR(34),"'")&amp;CHAR(34)&amp;", "&amp;CHAR(34)&amp;"criterionId"&amp;CHAR(34)&amp;": "&amp;CHAR(34)&amp;SUBSTITUTE(CriteriTecnici!$D2413,CHAR(34),"'")&amp;CHAR(34)&amp;", "&amp;CHAR(34)&amp;"kind"&amp;CHAR(34)&amp;": "&amp;CHAR(34)&amp;SUBSTITUTE(CriteriTecnici!$F2413,CHAR(34),"'")&amp;CHAR(34)&amp;", "&amp;CHAR(34)&amp;"value"&amp;CHAR(34)&amp;": "&amp;SUBSTITUTE(TRIM(ROUND(IFERROR(CriteriTecnici!$N2413*1,IFERROR(NUMBERVALUE(CriteriTecnici!$N2413,".",","),IFERROR(NUMBERVALUE(CriteriTecnici!$N2413,",","."),0))),4)&amp;""),",",".")&amp;", "&amp;CHAR(34)&amp;"numerator"&amp;CHAR(34)&amp;": "&amp;SUBSTITUTE(TRIM(ROUND(IFERROR(CriteriTecnici!$K2413*1,IFERROR(NUMBERVALUE(CriteriTecnici!$K2413,".",","),IFERROR(NUMBERVALUE(CriteriTecnici!$K2413,",","."),0))),4)&amp;""),",",".")&amp;", "&amp;CHAR(34)&amp;"denominator"&amp;CHAR(34)&amp;": "&amp;SUBSTITUTE(TRIM(ROUND(IFERROR(CriteriTecnici!$L2413*1,IFERROR(NUMBERVALUE(CriteriTecnici!$L2413,".",","),IFERROR(NUMBERVALUE(CriteriTecnici!$L2413,",","."),0))),4)&amp;""),",",".")&amp;", "&amp;CHAR(34)&amp;"flag"&amp;CHAR(34)&amp;": "&amp;SUBSTITUTE(TRIM(ROUND(IFERROR(CriteriTecnici!$M2413*1,IFERROR(NUMBERVALUE(CriteriTecnici!$M2413,".",","),IFERROR(NUMBERVALUE(CriteriTecnici!$M2413,",","."),0))),4)&amp;""),",",".")&amp;", "&amp;CHAR(34)&amp;"rawScore"&amp;CHAR(34)&amp;": "&amp;SUBSTITUTE(TRIM(ROUND(IFERROR(CriteriTecnici!$O2413*1,IFERROR(NUMBERVALUE(CriteriTecnici!$O2413,".",","),IFERROR(NUMBERVALUE(CriteriTecnici!$O2413,",","."),0))),4)&amp;""),",",".")&amp;CHAR(125)&amp;IF(TRUE,",",""))</f>
        <v/>
      </c>
    </row>
    <row r="2515">
      <c r="A2515" s="82">
        <f>IF(CriteriTecnici!$A2414="","","    "&amp;CHAR(123)&amp;CHAR(34)&amp;"bidderId"&amp;CHAR(34)&amp;": "&amp;CHAR(34)&amp;SUBSTITUTE(CriteriTecnici!$A2414,CHAR(34),"'")&amp;CHAR(34)&amp;", "&amp;CHAR(34)&amp;"lotId"&amp;CHAR(34)&amp;": "&amp;CHAR(34)&amp;SUBSTITUTE(CriteriTecnici!$C2414,CHAR(34),"'")&amp;CHAR(34)&amp;", "&amp;CHAR(34)&amp;"criterionId"&amp;CHAR(34)&amp;": "&amp;CHAR(34)&amp;SUBSTITUTE(CriteriTecnici!$D2414,CHAR(34),"'")&amp;CHAR(34)&amp;", "&amp;CHAR(34)&amp;"kind"&amp;CHAR(34)&amp;": "&amp;CHAR(34)&amp;SUBSTITUTE(CriteriTecnici!$F2414,CHAR(34),"'")&amp;CHAR(34)&amp;", "&amp;CHAR(34)&amp;"value"&amp;CHAR(34)&amp;": "&amp;SUBSTITUTE(TRIM(ROUND(IFERROR(CriteriTecnici!$N2414*1,IFERROR(NUMBERVALUE(CriteriTecnici!$N2414,".",","),IFERROR(NUMBERVALUE(CriteriTecnici!$N2414,",","."),0))),4)&amp;""),",",".")&amp;", "&amp;CHAR(34)&amp;"numerator"&amp;CHAR(34)&amp;": "&amp;SUBSTITUTE(TRIM(ROUND(IFERROR(CriteriTecnici!$K2414*1,IFERROR(NUMBERVALUE(CriteriTecnici!$K2414,".",","),IFERROR(NUMBERVALUE(CriteriTecnici!$K2414,",","."),0))),4)&amp;""),",",".")&amp;", "&amp;CHAR(34)&amp;"denominator"&amp;CHAR(34)&amp;": "&amp;SUBSTITUTE(TRIM(ROUND(IFERROR(CriteriTecnici!$L2414*1,IFERROR(NUMBERVALUE(CriteriTecnici!$L2414,".",","),IFERROR(NUMBERVALUE(CriteriTecnici!$L2414,",","."),0))),4)&amp;""),",",".")&amp;", "&amp;CHAR(34)&amp;"flag"&amp;CHAR(34)&amp;": "&amp;SUBSTITUTE(TRIM(ROUND(IFERROR(CriteriTecnici!$M2414*1,IFERROR(NUMBERVALUE(CriteriTecnici!$M2414,".",","),IFERROR(NUMBERVALUE(CriteriTecnici!$M2414,",","."),0))),4)&amp;""),",",".")&amp;", "&amp;CHAR(34)&amp;"rawScore"&amp;CHAR(34)&amp;": "&amp;SUBSTITUTE(TRIM(ROUND(IFERROR(CriteriTecnici!$O2414*1,IFERROR(NUMBERVALUE(CriteriTecnici!$O2414,".",","),IFERROR(NUMBERVALUE(CriteriTecnici!$O2414,",","."),0))),4)&amp;""),",",".")&amp;CHAR(125)&amp;IF(TRUE,",",""))</f>
        <v/>
      </c>
    </row>
    <row r="2516">
      <c r="A2516" s="82">
        <f>IF(CriteriTecnici!$A2415="","","    "&amp;CHAR(123)&amp;CHAR(34)&amp;"bidderId"&amp;CHAR(34)&amp;": "&amp;CHAR(34)&amp;SUBSTITUTE(CriteriTecnici!$A2415,CHAR(34),"'")&amp;CHAR(34)&amp;", "&amp;CHAR(34)&amp;"lotId"&amp;CHAR(34)&amp;": "&amp;CHAR(34)&amp;SUBSTITUTE(CriteriTecnici!$C2415,CHAR(34),"'")&amp;CHAR(34)&amp;", "&amp;CHAR(34)&amp;"criterionId"&amp;CHAR(34)&amp;": "&amp;CHAR(34)&amp;SUBSTITUTE(CriteriTecnici!$D2415,CHAR(34),"'")&amp;CHAR(34)&amp;", "&amp;CHAR(34)&amp;"kind"&amp;CHAR(34)&amp;": "&amp;CHAR(34)&amp;SUBSTITUTE(CriteriTecnici!$F2415,CHAR(34),"'")&amp;CHAR(34)&amp;", "&amp;CHAR(34)&amp;"value"&amp;CHAR(34)&amp;": "&amp;SUBSTITUTE(TRIM(ROUND(IFERROR(CriteriTecnici!$N2415*1,IFERROR(NUMBERVALUE(CriteriTecnici!$N2415,".",","),IFERROR(NUMBERVALUE(CriteriTecnici!$N2415,",","."),0))),4)&amp;""),",",".")&amp;", "&amp;CHAR(34)&amp;"numerator"&amp;CHAR(34)&amp;": "&amp;SUBSTITUTE(TRIM(ROUND(IFERROR(CriteriTecnici!$K2415*1,IFERROR(NUMBERVALUE(CriteriTecnici!$K2415,".",","),IFERROR(NUMBERVALUE(CriteriTecnici!$K2415,",","."),0))),4)&amp;""),",",".")&amp;", "&amp;CHAR(34)&amp;"denominator"&amp;CHAR(34)&amp;": "&amp;SUBSTITUTE(TRIM(ROUND(IFERROR(CriteriTecnici!$L2415*1,IFERROR(NUMBERVALUE(CriteriTecnici!$L2415,".",","),IFERROR(NUMBERVALUE(CriteriTecnici!$L2415,",","."),0))),4)&amp;""),",",".")&amp;", "&amp;CHAR(34)&amp;"flag"&amp;CHAR(34)&amp;": "&amp;SUBSTITUTE(TRIM(ROUND(IFERROR(CriteriTecnici!$M2415*1,IFERROR(NUMBERVALUE(CriteriTecnici!$M2415,".",","),IFERROR(NUMBERVALUE(CriteriTecnici!$M2415,",","."),0))),4)&amp;""),",",".")&amp;", "&amp;CHAR(34)&amp;"rawScore"&amp;CHAR(34)&amp;": "&amp;SUBSTITUTE(TRIM(ROUND(IFERROR(CriteriTecnici!$O2415*1,IFERROR(NUMBERVALUE(CriteriTecnici!$O2415,".",","),IFERROR(NUMBERVALUE(CriteriTecnici!$O2415,",","."),0))),4)&amp;""),",",".")&amp;CHAR(125)&amp;IF(TRUE,",",""))</f>
        <v/>
      </c>
    </row>
    <row r="2517">
      <c r="A2517" s="82">
        <f>IF(CriteriTecnici!$A2416="","","    "&amp;CHAR(123)&amp;CHAR(34)&amp;"bidderId"&amp;CHAR(34)&amp;": "&amp;CHAR(34)&amp;SUBSTITUTE(CriteriTecnici!$A2416,CHAR(34),"'")&amp;CHAR(34)&amp;", "&amp;CHAR(34)&amp;"lotId"&amp;CHAR(34)&amp;": "&amp;CHAR(34)&amp;SUBSTITUTE(CriteriTecnici!$C2416,CHAR(34),"'")&amp;CHAR(34)&amp;", "&amp;CHAR(34)&amp;"criterionId"&amp;CHAR(34)&amp;": "&amp;CHAR(34)&amp;SUBSTITUTE(CriteriTecnici!$D2416,CHAR(34),"'")&amp;CHAR(34)&amp;", "&amp;CHAR(34)&amp;"kind"&amp;CHAR(34)&amp;": "&amp;CHAR(34)&amp;SUBSTITUTE(CriteriTecnici!$F2416,CHAR(34),"'")&amp;CHAR(34)&amp;", "&amp;CHAR(34)&amp;"value"&amp;CHAR(34)&amp;": "&amp;SUBSTITUTE(TRIM(ROUND(IFERROR(CriteriTecnici!$N2416*1,IFERROR(NUMBERVALUE(CriteriTecnici!$N2416,".",","),IFERROR(NUMBERVALUE(CriteriTecnici!$N2416,",","."),0))),4)&amp;""),",",".")&amp;", "&amp;CHAR(34)&amp;"numerator"&amp;CHAR(34)&amp;": "&amp;SUBSTITUTE(TRIM(ROUND(IFERROR(CriteriTecnici!$K2416*1,IFERROR(NUMBERVALUE(CriteriTecnici!$K2416,".",","),IFERROR(NUMBERVALUE(CriteriTecnici!$K2416,",","."),0))),4)&amp;""),",",".")&amp;", "&amp;CHAR(34)&amp;"denominator"&amp;CHAR(34)&amp;": "&amp;SUBSTITUTE(TRIM(ROUND(IFERROR(CriteriTecnici!$L2416*1,IFERROR(NUMBERVALUE(CriteriTecnici!$L2416,".",","),IFERROR(NUMBERVALUE(CriteriTecnici!$L2416,",","."),0))),4)&amp;""),",",".")&amp;", "&amp;CHAR(34)&amp;"flag"&amp;CHAR(34)&amp;": "&amp;SUBSTITUTE(TRIM(ROUND(IFERROR(CriteriTecnici!$M2416*1,IFERROR(NUMBERVALUE(CriteriTecnici!$M2416,".",","),IFERROR(NUMBERVALUE(CriteriTecnici!$M2416,",","."),0))),4)&amp;""),",",".")&amp;", "&amp;CHAR(34)&amp;"rawScore"&amp;CHAR(34)&amp;": "&amp;SUBSTITUTE(TRIM(ROUND(IFERROR(CriteriTecnici!$O2416*1,IFERROR(NUMBERVALUE(CriteriTecnici!$O2416,".",","),IFERROR(NUMBERVALUE(CriteriTecnici!$O2416,",","."),0))),4)&amp;""),",",".")&amp;CHAR(125)&amp;IF(TRUE,",",""))</f>
        <v/>
      </c>
    </row>
    <row r="2518">
      <c r="A2518" s="82">
        <f>IF(CriteriTecnici!$A2417="","","    "&amp;CHAR(123)&amp;CHAR(34)&amp;"bidderId"&amp;CHAR(34)&amp;": "&amp;CHAR(34)&amp;SUBSTITUTE(CriteriTecnici!$A2417,CHAR(34),"'")&amp;CHAR(34)&amp;", "&amp;CHAR(34)&amp;"lotId"&amp;CHAR(34)&amp;": "&amp;CHAR(34)&amp;SUBSTITUTE(CriteriTecnici!$C2417,CHAR(34),"'")&amp;CHAR(34)&amp;", "&amp;CHAR(34)&amp;"criterionId"&amp;CHAR(34)&amp;": "&amp;CHAR(34)&amp;SUBSTITUTE(CriteriTecnici!$D2417,CHAR(34),"'")&amp;CHAR(34)&amp;", "&amp;CHAR(34)&amp;"kind"&amp;CHAR(34)&amp;": "&amp;CHAR(34)&amp;SUBSTITUTE(CriteriTecnici!$F2417,CHAR(34),"'")&amp;CHAR(34)&amp;", "&amp;CHAR(34)&amp;"value"&amp;CHAR(34)&amp;": "&amp;SUBSTITUTE(TRIM(ROUND(IFERROR(CriteriTecnici!$N2417*1,IFERROR(NUMBERVALUE(CriteriTecnici!$N2417,".",","),IFERROR(NUMBERVALUE(CriteriTecnici!$N2417,",","."),0))),4)&amp;""),",",".")&amp;", "&amp;CHAR(34)&amp;"numerator"&amp;CHAR(34)&amp;": "&amp;SUBSTITUTE(TRIM(ROUND(IFERROR(CriteriTecnici!$K2417*1,IFERROR(NUMBERVALUE(CriteriTecnici!$K2417,".",","),IFERROR(NUMBERVALUE(CriteriTecnici!$K2417,",","."),0))),4)&amp;""),",",".")&amp;", "&amp;CHAR(34)&amp;"denominator"&amp;CHAR(34)&amp;": "&amp;SUBSTITUTE(TRIM(ROUND(IFERROR(CriteriTecnici!$L2417*1,IFERROR(NUMBERVALUE(CriteriTecnici!$L2417,".",","),IFERROR(NUMBERVALUE(CriteriTecnici!$L2417,",","."),0))),4)&amp;""),",",".")&amp;", "&amp;CHAR(34)&amp;"flag"&amp;CHAR(34)&amp;": "&amp;SUBSTITUTE(TRIM(ROUND(IFERROR(CriteriTecnici!$M2417*1,IFERROR(NUMBERVALUE(CriteriTecnici!$M2417,".",","),IFERROR(NUMBERVALUE(CriteriTecnici!$M2417,",","."),0))),4)&amp;""),",",".")&amp;", "&amp;CHAR(34)&amp;"rawScore"&amp;CHAR(34)&amp;": "&amp;SUBSTITUTE(TRIM(ROUND(IFERROR(CriteriTecnici!$O2417*1,IFERROR(NUMBERVALUE(CriteriTecnici!$O2417,".",","),IFERROR(NUMBERVALUE(CriteriTecnici!$O2417,",","."),0))),4)&amp;""),",",".")&amp;CHAR(125)&amp;IF(TRUE,",",""))</f>
        <v/>
      </c>
    </row>
    <row r="2519">
      <c r="A2519" s="82">
        <f>IF(CriteriTecnici!$A2418="","","    "&amp;CHAR(123)&amp;CHAR(34)&amp;"bidderId"&amp;CHAR(34)&amp;": "&amp;CHAR(34)&amp;SUBSTITUTE(CriteriTecnici!$A2418,CHAR(34),"'")&amp;CHAR(34)&amp;", "&amp;CHAR(34)&amp;"lotId"&amp;CHAR(34)&amp;": "&amp;CHAR(34)&amp;SUBSTITUTE(CriteriTecnici!$C2418,CHAR(34),"'")&amp;CHAR(34)&amp;", "&amp;CHAR(34)&amp;"criterionId"&amp;CHAR(34)&amp;": "&amp;CHAR(34)&amp;SUBSTITUTE(CriteriTecnici!$D2418,CHAR(34),"'")&amp;CHAR(34)&amp;", "&amp;CHAR(34)&amp;"kind"&amp;CHAR(34)&amp;": "&amp;CHAR(34)&amp;SUBSTITUTE(CriteriTecnici!$F2418,CHAR(34),"'")&amp;CHAR(34)&amp;", "&amp;CHAR(34)&amp;"value"&amp;CHAR(34)&amp;": "&amp;SUBSTITUTE(TRIM(ROUND(IFERROR(CriteriTecnici!$N2418*1,IFERROR(NUMBERVALUE(CriteriTecnici!$N2418,".",","),IFERROR(NUMBERVALUE(CriteriTecnici!$N2418,",","."),0))),4)&amp;""),",",".")&amp;", "&amp;CHAR(34)&amp;"numerator"&amp;CHAR(34)&amp;": "&amp;SUBSTITUTE(TRIM(ROUND(IFERROR(CriteriTecnici!$K2418*1,IFERROR(NUMBERVALUE(CriteriTecnici!$K2418,".",","),IFERROR(NUMBERVALUE(CriteriTecnici!$K2418,",","."),0))),4)&amp;""),",",".")&amp;", "&amp;CHAR(34)&amp;"denominator"&amp;CHAR(34)&amp;": "&amp;SUBSTITUTE(TRIM(ROUND(IFERROR(CriteriTecnici!$L2418*1,IFERROR(NUMBERVALUE(CriteriTecnici!$L2418,".",","),IFERROR(NUMBERVALUE(CriteriTecnici!$L2418,",","."),0))),4)&amp;""),",",".")&amp;", "&amp;CHAR(34)&amp;"flag"&amp;CHAR(34)&amp;": "&amp;SUBSTITUTE(TRIM(ROUND(IFERROR(CriteriTecnici!$M2418*1,IFERROR(NUMBERVALUE(CriteriTecnici!$M2418,".",","),IFERROR(NUMBERVALUE(CriteriTecnici!$M2418,",","."),0))),4)&amp;""),",",".")&amp;", "&amp;CHAR(34)&amp;"rawScore"&amp;CHAR(34)&amp;": "&amp;SUBSTITUTE(TRIM(ROUND(IFERROR(CriteriTecnici!$O2418*1,IFERROR(NUMBERVALUE(CriteriTecnici!$O2418,".",","),IFERROR(NUMBERVALUE(CriteriTecnici!$O2418,",","."),0))),4)&amp;""),",",".")&amp;CHAR(125)&amp;IF(TRUE,",",""))</f>
        <v/>
      </c>
    </row>
    <row r="2520">
      <c r="A2520" s="82">
        <f>IF(CriteriTecnici!$A2419="","","    "&amp;CHAR(123)&amp;CHAR(34)&amp;"bidderId"&amp;CHAR(34)&amp;": "&amp;CHAR(34)&amp;SUBSTITUTE(CriteriTecnici!$A2419,CHAR(34),"'")&amp;CHAR(34)&amp;", "&amp;CHAR(34)&amp;"lotId"&amp;CHAR(34)&amp;": "&amp;CHAR(34)&amp;SUBSTITUTE(CriteriTecnici!$C2419,CHAR(34),"'")&amp;CHAR(34)&amp;", "&amp;CHAR(34)&amp;"criterionId"&amp;CHAR(34)&amp;": "&amp;CHAR(34)&amp;SUBSTITUTE(CriteriTecnici!$D2419,CHAR(34),"'")&amp;CHAR(34)&amp;", "&amp;CHAR(34)&amp;"kind"&amp;CHAR(34)&amp;": "&amp;CHAR(34)&amp;SUBSTITUTE(CriteriTecnici!$F2419,CHAR(34),"'")&amp;CHAR(34)&amp;", "&amp;CHAR(34)&amp;"value"&amp;CHAR(34)&amp;": "&amp;SUBSTITUTE(TRIM(ROUND(IFERROR(CriteriTecnici!$N2419*1,IFERROR(NUMBERVALUE(CriteriTecnici!$N2419,".",","),IFERROR(NUMBERVALUE(CriteriTecnici!$N2419,",","."),0))),4)&amp;""),",",".")&amp;", "&amp;CHAR(34)&amp;"numerator"&amp;CHAR(34)&amp;": "&amp;SUBSTITUTE(TRIM(ROUND(IFERROR(CriteriTecnici!$K2419*1,IFERROR(NUMBERVALUE(CriteriTecnici!$K2419,".",","),IFERROR(NUMBERVALUE(CriteriTecnici!$K2419,",","."),0))),4)&amp;""),",",".")&amp;", "&amp;CHAR(34)&amp;"denominator"&amp;CHAR(34)&amp;": "&amp;SUBSTITUTE(TRIM(ROUND(IFERROR(CriteriTecnici!$L2419*1,IFERROR(NUMBERVALUE(CriteriTecnici!$L2419,".",","),IFERROR(NUMBERVALUE(CriteriTecnici!$L2419,",","."),0))),4)&amp;""),",",".")&amp;", "&amp;CHAR(34)&amp;"flag"&amp;CHAR(34)&amp;": "&amp;SUBSTITUTE(TRIM(ROUND(IFERROR(CriteriTecnici!$M2419*1,IFERROR(NUMBERVALUE(CriteriTecnici!$M2419,".",","),IFERROR(NUMBERVALUE(CriteriTecnici!$M2419,",","."),0))),4)&amp;""),",",".")&amp;", "&amp;CHAR(34)&amp;"rawScore"&amp;CHAR(34)&amp;": "&amp;SUBSTITUTE(TRIM(ROUND(IFERROR(CriteriTecnici!$O2419*1,IFERROR(NUMBERVALUE(CriteriTecnici!$O2419,".",","),IFERROR(NUMBERVALUE(CriteriTecnici!$O2419,",","."),0))),4)&amp;""),",",".")&amp;CHAR(125)&amp;IF(TRUE,",",""))</f>
        <v/>
      </c>
    </row>
    <row r="2521">
      <c r="A2521" s="82">
        <f>IF(CriteriTecnici!$A2420="","","    "&amp;CHAR(123)&amp;CHAR(34)&amp;"bidderId"&amp;CHAR(34)&amp;": "&amp;CHAR(34)&amp;SUBSTITUTE(CriteriTecnici!$A2420,CHAR(34),"'")&amp;CHAR(34)&amp;", "&amp;CHAR(34)&amp;"lotId"&amp;CHAR(34)&amp;": "&amp;CHAR(34)&amp;SUBSTITUTE(CriteriTecnici!$C2420,CHAR(34),"'")&amp;CHAR(34)&amp;", "&amp;CHAR(34)&amp;"criterionId"&amp;CHAR(34)&amp;": "&amp;CHAR(34)&amp;SUBSTITUTE(CriteriTecnici!$D2420,CHAR(34),"'")&amp;CHAR(34)&amp;", "&amp;CHAR(34)&amp;"kind"&amp;CHAR(34)&amp;": "&amp;CHAR(34)&amp;SUBSTITUTE(CriteriTecnici!$F2420,CHAR(34),"'")&amp;CHAR(34)&amp;", "&amp;CHAR(34)&amp;"value"&amp;CHAR(34)&amp;": "&amp;SUBSTITUTE(TRIM(ROUND(IFERROR(CriteriTecnici!$N2420*1,IFERROR(NUMBERVALUE(CriteriTecnici!$N2420,".",","),IFERROR(NUMBERVALUE(CriteriTecnici!$N2420,",","."),0))),4)&amp;""),",",".")&amp;", "&amp;CHAR(34)&amp;"numerator"&amp;CHAR(34)&amp;": "&amp;SUBSTITUTE(TRIM(ROUND(IFERROR(CriteriTecnici!$K2420*1,IFERROR(NUMBERVALUE(CriteriTecnici!$K2420,".",","),IFERROR(NUMBERVALUE(CriteriTecnici!$K2420,",","."),0))),4)&amp;""),",",".")&amp;", "&amp;CHAR(34)&amp;"denominator"&amp;CHAR(34)&amp;": "&amp;SUBSTITUTE(TRIM(ROUND(IFERROR(CriteriTecnici!$L2420*1,IFERROR(NUMBERVALUE(CriteriTecnici!$L2420,".",","),IFERROR(NUMBERVALUE(CriteriTecnici!$L2420,",","."),0))),4)&amp;""),",",".")&amp;", "&amp;CHAR(34)&amp;"flag"&amp;CHAR(34)&amp;": "&amp;SUBSTITUTE(TRIM(ROUND(IFERROR(CriteriTecnici!$M2420*1,IFERROR(NUMBERVALUE(CriteriTecnici!$M2420,".",","),IFERROR(NUMBERVALUE(CriteriTecnici!$M2420,",","."),0))),4)&amp;""),",",".")&amp;", "&amp;CHAR(34)&amp;"rawScore"&amp;CHAR(34)&amp;": "&amp;SUBSTITUTE(TRIM(ROUND(IFERROR(CriteriTecnici!$O2420*1,IFERROR(NUMBERVALUE(CriteriTecnici!$O2420,".",","),IFERROR(NUMBERVALUE(CriteriTecnici!$O2420,",","."),0))),4)&amp;""),",",".")&amp;CHAR(125)&amp;IF(TRUE,",",""))</f>
        <v/>
      </c>
    </row>
    <row r="2522">
      <c r="A2522" s="82">
        <f>IF(CriteriTecnici!$A2421="","","    "&amp;CHAR(123)&amp;CHAR(34)&amp;"bidderId"&amp;CHAR(34)&amp;": "&amp;CHAR(34)&amp;SUBSTITUTE(CriteriTecnici!$A2421,CHAR(34),"'")&amp;CHAR(34)&amp;", "&amp;CHAR(34)&amp;"lotId"&amp;CHAR(34)&amp;": "&amp;CHAR(34)&amp;SUBSTITUTE(CriteriTecnici!$C2421,CHAR(34),"'")&amp;CHAR(34)&amp;", "&amp;CHAR(34)&amp;"criterionId"&amp;CHAR(34)&amp;": "&amp;CHAR(34)&amp;SUBSTITUTE(CriteriTecnici!$D2421,CHAR(34),"'")&amp;CHAR(34)&amp;", "&amp;CHAR(34)&amp;"kind"&amp;CHAR(34)&amp;": "&amp;CHAR(34)&amp;SUBSTITUTE(CriteriTecnici!$F2421,CHAR(34),"'")&amp;CHAR(34)&amp;", "&amp;CHAR(34)&amp;"value"&amp;CHAR(34)&amp;": "&amp;SUBSTITUTE(TRIM(ROUND(IFERROR(CriteriTecnici!$N2421*1,IFERROR(NUMBERVALUE(CriteriTecnici!$N2421,".",","),IFERROR(NUMBERVALUE(CriteriTecnici!$N2421,",","."),0))),4)&amp;""),",",".")&amp;", "&amp;CHAR(34)&amp;"numerator"&amp;CHAR(34)&amp;": "&amp;SUBSTITUTE(TRIM(ROUND(IFERROR(CriteriTecnici!$K2421*1,IFERROR(NUMBERVALUE(CriteriTecnici!$K2421,".",","),IFERROR(NUMBERVALUE(CriteriTecnici!$K2421,",","."),0))),4)&amp;""),",",".")&amp;", "&amp;CHAR(34)&amp;"denominator"&amp;CHAR(34)&amp;": "&amp;SUBSTITUTE(TRIM(ROUND(IFERROR(CriteriTecnici!$L2421*1,IFERROR(NUMBERVALUE(CriteriTecnici!$L2421,".",","),IFERROR(NUMBERVALUE(CriteriTecnici!$L2421,",","."),0))),4)&amp;""),",",".")&amp;", "&amp;CHAR(34)&amp;"flag"&amp;CHAR(34)&amp;": "&amp;SUBSTITUTE(TRIM(ROUND(IFERROR(CriteriTecnici!$M2421*1,IFERROR(NUMBERVALUE(CriteriTecnici!$M2421,".",","),IFERROR(NUMBERVALUE(CriteriTecnici!$M2421,",","."),0))),4)&amp;""),",",".")&amp;", "&amp;CHAR(34)&amp;"rawScore"&amp;CHAR(34)&amp;": "&amp;SUBSTITUTE(TRIM(ROUND(IFERROR(CriteriTecnici!$O2421*1,IFERROR(NUMBERVALUE(CriteriTecnici!$O2421,".",","),IFERROR(NUMBERVALUE(CriteriTecnici!$O2421,",","."),0))),4)&amp;""),",",".")&amp;CHAR(125)&amp;IF(TRUE,",",""))</f>
        <v/>
      </c>
    </row>
    <row r="2523">
      <c r="A2523" s="82">
        <f>IF(CriteriTecnici!$A2422="","","    "&amp;CHAR(123)&amp;CHAR(34)&amp;"bidderId"&amp;CHAR(34)&amp;": "&amp;CHAR(34)&amp;SUBSTITUTE(CriteriTecnici!$A2422,CHAR(34),"'")&amp;CHAR(34)&amp;", "&amp;CHAR(34)&amp;"lotId"&amp;CHAR(34)&amp;": "&amp;CHAR(34)&amp;SUBSTITUTE(CriteriTecnici!$C2422,CHAR(34),"'")&amp;CHAR(34)&amp;", "&amp;CHAR(34)&amp;"criterionId"&amp;CHAR(34)&amp;": "&amp;CHAR(34)&amp;SUBSTITUTE(CriteriTecnici!$D2422,CHAR(34),"'")&amp;CHAR(34)&amp;", "&amp;CHAR(34)&amp;"kind"&amp;CHAR(34)&amp;": "&amp;CHAR(34)&amp;SUBSTITUTE(CriteriTecnici!$F2422,CHAR(34),"'")&amp;CHAR(34)&amp;", "&amp;CHAR(34)&amp;"value"&amp;CHAR(34)&amp;": "&amp;SUBSTITUTE(TRIM(ROUND(IFERROR(CriteriTecnici!$N2422*1,IFERROR(NUMBERVALUE(CriteriTecnici!$N2422,".",","),IFERROR(NUMBERVALUE(CriteriTecnici!$N2422,",","."),0))),4)&amp;""),",",".")&amp;", "&amp;CHAR(34)&amp;"numerator"&amp;CHAR(34)&amp;": "&amp;SUBSTITUTE(TRIM(ROUND(IFERROR(CriteriTecnici!$K2422*1,IFERROR(NUMBERVALUE(CriteriTecnici!$K2422,".",","),IFERROR(NUMBERVALUE(CriteriTecnici!$K2422,",","."),0))),4)&amp;""),",",".")&amp;", "&amp;CHAR(34)&amp;"denominator"&amp;CHAR(34)&amp;": "&amp;SUBSTITUTE(TRIM(ROUND(IFERROR(CriteriTecnici!$L2422*1,IFERROR(NUMBERVALUE(CriteriTecnici!$L2422,".",","),IFERROR(NUMBERVALUE(CriteriTecnici!$L2422,",","."),0))),4)&amp;""),",",".")&amp;", "&amp;CHAR(34)&amp;"flag"&amp;CHAR(34)&amp;": "&amp;SUBSTITUTE(TRIM(ROUND(IFERROR(CriteriTecnici!$M2422*1,IFERROR(NUMBERVALUE(CriteriTecnici!$M2422,".",","),IFERROR(NUMBERVALUE(CriteriTecnici!$M2422,",","."),0))),4)&amp;""),",",".")&amp;", "&amp;CHAR(34)&amp;"rawScore"&amp;CHAR(34)&amp;": "&amp;SUBSTITUTE(TRIM(ROUND(IFERROR(CriteriTecnici!$O2422*1,IFERROR(NUMBERVALUE(CriteriTecnici!$O2422,".",","),IFERROR(NUMBERVALUE(CriteriTecnici!$O2422,",","."),0))),4)&amp;""),",",".")&amp;CHAR(125)&amp;IF(COUNTA(Offerte!$A80:$A$81)&gt;0,",",""))</f>
        <v/>
      </c>
    </row>
    <row r="2524">
      <c r="A2524" s="82">
        <f>IF(CriteriTecnici!$A2423="","","    "&amp;CHAR(123)&amp;CHAR(34)&amp;"bidderId"&amp;CHAR(34)&amp;": "&amp;CHAR(34)&amp;SUBSTITUTE(CriteriTecnici!$A2423,CHAR(34),"'")&amp;CHAR(34)&amp;", "&amp;CHAR(34)&amp;"lotId"&amp;CHAR(34)&amp;": "&amp;CHAR(34)&amp;SUBSTITUTE(CriteriTecnici!$C2423,CHAR(34),"'")&amp;CHAR(34)&amp;", "&amp;CHAR(34)&amp;"criterionId"&amp;CHAR(34)&amp;": "&amp;CHAR(34)&amp;SUBSTITUTE(CriteriTecnici!$D2423,CHAR(34),"'")&amp;CHAR(34)&amp;", "&amp;CHAR(34)&amp;"kind"&amp;CHAR(34)&amp;": "&amp;CHAR(34)&amp;SUBSTITUTE(CriteriTecnici!$F2423,CHAR(34),"'")&amp;CHAR(34)&amp;", "&amp;CHAR(34)&amp;"value"&amp;CHAR(34)&amp;": "&amp;SUBSTITUTE(TRIM(ROUND(IFERROR(CriteriTecnici!$N2423*1,IFERROR(NUMBERVALUE(CriteriTecnici!$N2423,".",","),IFERROR(NUMBERVALUE(CriteriTecnici!$N2423,",","."),0))),4)&amp;""),",",".")&amp;", "&amp;CHAR(34)&amp;"numerator"&amp;CHAR(34)&amp;": "&amp;SUBSTITUTE(TRIM(ROUND(IFERROR(CriteriTecnici!$K2423*1,IFERROR(NUMBERVALUE(CriteriTecnici!$K2423,".",","),IFERROR(NUMBERVALUE(CriteriTecnici!$K2423,",","."),0))),4)&amp;""),",",".")&amp;", "&amp;CHAR(34)&amp;"denominator"&amp;CHAR(34)&amp;": "&amp;SUBSTITUTE(TRIM(ROUND(IFERROR(CriteriTecnici!$L2423*1,IFERROR(NUMBERVALUE(CriteriTecnici!$L2423,".",","),IFERROR(NUMBERVALUE(CriteriTecnici!$L2423,",","."),0))),4)&amp;""),",",".")&amp;", "&amp;CHAR(34)&amp;"flag"&amp;CHAR(34)&amp;": "&amp;SUBSTITUTE(TRIM(ROUND(IFERROR(CriteriTecnici!$M2423*1,IFERROR(NUMBERVALUE(CriteriTecnici!$M2423,".",","),IFERROR(NUMBERVALUE(CriteriTecnici!$M2423,",","."),0))),4)&amp;""),",",".")&amp;", "&amp;CHAR(34)&amp;"rawScore"&amp;CHAR(34)&amp;": "&amp;SUBSTITUTE(TRIM(ROUND(IFERROR(CriteriTecnici!$O2423*1,IFERROR(NUMBERVALUE(CriteriTecnici!$O2423,".",","),IFERROR(NUMBERVALUE(CriteriTecnici!$O2423,",","."),0))),4)&amp;""),",",".")&amp;CHAR(125)&amp;IF(TRUE,",",""))</f>
        <v/>
      </c>
    </row>
    <row r="2525">
      <c r="A2525" s="82">
        <f>IF(CriteriTecnici!$A2424="","","    "&amp;CHAR(123)&amp;CHAR(34)&amp;"bidderId"&amp;CHAR(34)&amp;": "&amp;CHAR(34)&amp;SUBSTITUTE(CriteriTecnici!$A2424,CHAR(34),"'")&amp;CHAR(34)&amp;", "&amp;CHAR(34)&amp;"lotId"&amp;CHAR(34)&amp;": "&amp;CHAR(34)&amp;SUBSTITUTE(CriteriTecnici!$C2424,CHAR(34),"'")&amp;CHAR(34)&amp;", "&amp;CHAR(34)&amp;"criterionId"&amp;CHAR(34)&amp;": "&amp;CHAR(34)&amp;SUBSTITUTE(CriteriTecnici!$D2424,CHAR(34),"'")&amp;CHAR(34)&amp;", "&amp;CHAR(34)&amp;"kind"&amp;CHAR(34)&amp;": "&amp;CHAR(34)&amp;SUBSTITUTE(CriteriTecnici!$F2424,CHAR(34),"'")&amp;CHAR(34)&amp;", "&amp;CHAR(34)&amp;"value"&amp;CHAR(34)&amp;": "&amp;SUBSTITUTE(TRIM(ROUND(IFERROR(CriteriTecnici!$N2424*1,IFERROR(NUMBERVALUE(CriteriTecnici!$N2424,".",","),IFERROR(NUMBERVALUE(CriteriTecnici!$N2424,",","."),0))),4)&amp;""),",",".")&amp;", "&amp;CHAR(34)&amp;"numerator"&amp;CHAR(34)&amp;": "&amp;SUBSTITUTE(TRIM(ROUND(IFERROR(CriteriTecnici!$K2424*1,IFERROR(NUMBERVALUE(CriteriTecnici!$K2424,".",","),IFERROR(NUMBERVALUE(CriteriTecnici!$K2424,",","."),0))),4)&amp;""),",",".")&amp;", "&amp;CHAR(34)&amp;"denominator"&amp;CHAR(34)&amp;": "&amp;SUBSTITUTE(TRIM(ROUND(IFERROR(CriteriTecnici!$L2424*1,IFERROR(NUMBERVALUE(CriteriTecnici!$L2424,".",","),IFERROR(NUMBERVALUE(CriteriTecnici!$L2424,",","."),0))),4)&amp;""),",",".")&amp;", "&amp;CHAR(34)&amp;"flag"&amp;CHAR(34)&amp;": "&amp;SUBSTITUTE(TRIM(ROUND(IFERROR(CriteriTecnici!$M2424*1,IFERROR(NUMBERVALUE(CriteriTecnici!$M2424,".",","),IFERROR(NUMBERVALUE(CriteriTecnici!$M2424,",","."),0))),4)&amp;""),",",".")&amp;", "&amp;CHAR(34)&amp;"rawScore"&amp;CHAR(34)&amp;": "&amp;SUBSTITUTE(TRIM(ROUND(IFERROR(CriteriTecnici!$O2424*1,IFERROR(NUMBERVALUE(CriteriTecnici!$O2424,".",","),IFERROR(NUMBERVALUE(CriteriTecnici!$O2424,",","."),0))),4)&amp;""),",",".")&amp;CHAR(125)&amp;IF(TRUE,",",""))</f>
        <v/>
      </c>
    </row>
    <row r="2526">
      <c r="A2526" s="82">
        <f>IF(CriteriTecnici!$A2425="","","    "&amp;CHAR(123)&amp;CHAR(34)&amp;"bidderId"&amp;CHAR(34)&amp;": "&amp;CHAR(34)&amp;SUBSTITUTE(CriteriTecnici!$A2425,CHAR(34),"'")&amp;CHAR(34)&amp;", "&amp;CHAR(34)&amp;"lotId"&amp;CHAR(34)&amp;": "&amp;CHAR(34)&amp;SUBSTITUTE(CriteriTecnici!$C2425,CHAR(34),"'")&amp;CHAR(34)&amp;", "&amp;CHAR(34)&amp;"criterionId"&amp;CHAR(34)&amp;": "&amp;CHAR(34)&amp;SUBSTITUTE(CriteriTecnici!$D2425,CHAR(34),"'")&amp;CHAR(34)&amp;", "&amp;CHAR(34)&amp;"kind"&amp;CHAR(34)&amp;": "&amp;CHAR(34)&amp;SUBSTITUTE(CriteriTecnici!$F2425,CHAR(34),"'")&amp;CHAR(34)&amp;", "&amp;CHAR(34)&amp;"value"&amp;CHAR(34)&amp;": "&amp;SUBSTITUTE(TRIM(ROUND(IFERROR(CriteriTecnici!$N2425*1,IFERROR(NUMBERVALUE(CriteriTecnici!$N2425,".",","),IFERROR(NUMBERVALUE(CriteriTecnici!$N2425,",","."),0))),4)&amp;""),",",".")&amp;", "&amp;CHAR(34)&amp;"numerator"&amp;CHAR(34)&amp;": "&amp;SUBSTITUTE(TRIM(ROUND(IFERROR(CriteriTecnici!$K2425*1,IFERROR(NUMBERVALUE(CriteriTecnici!$K2425,".",","),IFERROR(NUMBERVALUE(CriteriTecnici!$K2425,",","."),0))),4)&amp;""),",",".")&amp;", "&amp;CHAR(34)&amp;"denominator"&amp;CHAR(34)&amp;": "&amp;SUBSTITUTE(TRIM(ROUND(IFERROR(CriteriTecnici!$L2425*1,IFERROR(NUMBERVALUE(CriteriTecnici!$L2425,".",","),IFERROR(NUMBERVALUE(CriteriTecnici!$L2425,",","."),0))),4)&amp;""),",",".")&amp;", "&amp;CHAR(34)&amp;"flag"&amp;CHAR(34)&amp;": "&amp;SUBSTITUTE(TRIM(ROUND(IFERROR(CriteriTecnici!$M2425*1,IFERROR(NUMBERVALUE(CriteriTecnici!$M2425,".",","),IFERROR(NUMBERVALUE(CriteriTecnici!$M2425,",","."),0))),4)&amp;""),",",".")&amp;", "&amp;CHAR(34)&amp;"rawScore"&amp;CHAR(34)&amp;": "&amp;SUBSTITUTE(TRIM(ROUND(IFERROR(CriteriTecnici!$O2425*1,IFERROR(NUMBERVALUE(CriteriTecnici!$O2425,".",","),IFERROR(NUMBERVALUE(CriteriTecnici!$O2425,",","."),0))),4)&amp;""),",",".")&amp;CHAR(125)&amp;IF(TRUE,",",""))</f>
        <v/>
      </c>
    </row>
    <row r="2527">
      <c r="A2527" s="82">
        <f>IF(CriteriTecnici!$A2426="","","    "&amp;CHAR(123)&amp;CHAR(34)&amp;"bidderId"&amp;CHAR(34)&amp;": "&amp;CHAR(34)&amp;SUBSTITUTE(CriteriTecnici!$A2426,CHAR(34),"'")&amp;CHAR(34)&amp;", "&amp;CHAR(34)&amp;"lotId"&amp;CHAR(34)&amp;": "&amp;CHAR(34)&amp;SUBSTITUTE(CriteriTecnici!$C2426,CHAR(34),"'")&amp;CHAR(34)&amp;", "&amp;CHAR(34)&amp;"criterionId"&amp;CHAR(34)&amp;": "&amp;CHAR(34)&amp;SUBSTITUTE(CriteriTecnici!$D2426,CHAR(34),"'")&amp;CHAR(34)&amp;", "&amp;CHAR(34)&amp;"kind"&amp;CHAR(34)&amp;": "&amp;CHAR(34)&amp;SUBSTITUTE(CriteriTecnici!$F2426,CHAR(34),"'")&amp;CHAR(34)&amp;", "&amp;CHAR(34)&amp;"value"&amp;CHAR(34)&amp;": "&amp;SUBSTITUTE(TRIM(ROUND(IFERROR(CriteriTecnici!$N2426*1,IFERROR(NUMBERVALUE(CriteriTecnici!$N2426,".",","),IFERROR(NUMBERVALUE(CriteriTecnici!$N2426,",","."),0))),4)&amp;""),",",".")&amp;", "&amp;CHAR(34)&amp;"numerator"&amp;CHAR(34)&amp;": "&amp;SUBSTITUTE(TRIM(ROUND(IFERROR(CriteriTecnici!$K2426*1,IFERROR(NUMBERVALUE(CriteriTecnici!$K2426,".",","),IFERROR(NUMBERVALUE(CriteriTecnici!$K2426,",","."),0))),4)&amp;""),",",".")&amp;", "&amp;CHAR(34)&amp;"denominator"&amp;CHAR(34)&amp;": "&amp;SUBSTITUTE(TRIM(ROUND(IFERROR(CriteriTecnici!$L2426*1,IFERROR(NUMBERVALUE(CriteriTecnici!$L2426,".",","),IFERROR(NUMBERVALUE(CriteriTecnici!$L2426,",","."),0))),4)&amp;""),",",".")&amp;", "&amp;CHAR(34)&amp;"flag"&amp;CHAR(34)&amp;": "&amp;SUBSTITUTE(TRIM(ROUND(IFERROR(CriteriTecnici!$M2426*1,IFERROR(NUMBERVALUE(CriteriTecnici!$M2426,".",","),IFERROR(NUMBERVALUE(CriteriTecnici!$M2426,",","."),0))),4)&amp;""),",",".")&amp;", "&amp;CHAR(34)&amp;"rawScore"&amp;CHAR(34)&amp;": "&amp;SUBSTITUTE(TRIM(ROUND(IFERROR(CriteriTecnici!$O2426*1,IFERROR(NUMBERVALUE(CriteriTecnici!$O2426,".",","),IFERROR(NUMBERVALUE(CriteriTecnici!$O2426,",","."),0))),4)&amp;""),",",".")&amp;CHAR(125)&amp;IF(TRUE,",",""))</f>
        <v/>
      </c>
    </row>
    <row r="2528">
      <c r="A2528" s="82">
        <f>IF(CriteriTecnici!$A2427="","","    "&amp;CHAR(123)&amp;CHAR(34)&amp;"bidderId"&amp;CHAR(34)&amp;": "&amp;CHAR(34)&amp;SUBSTITUTE(CriteriTecnici!$A2427,CHAR(34),"'")&amp;CHAR(34)&amp;", "&amp;CHAR(34)&amp;"lotId"&amp;CHAR(34)&amp;": "&amp;CHAR(34)&amp;SUBSTITUTE(CriteriTecnici!$C2427,CHAR(34),"'")&amp;CHAR(34)&amp;", "&amp;CHAR(34)&amp;"criterionId"&amp;CHAR(34)&amp;": "&amp;CHAR(34)&amp;SUBSTITUTE(CriteriTecnici!$D2427,CHAR(34),"'")&amp;CHAR(34)&amp;", "&amp;CHAR(34)&amp;"kind"&amp;CHAR(34)&amp;": "&amp;CHAR(34)&amp;SUBSTITUTE(CriteriTecnici!$F2427,CHAR(34),"'")&amp;CHAR(34)&amp;", "&amp;CHAR(34)&amp;"value"&amp;CHAR(34)&amp;": "&amp;SUBSTITUTE(TRIM(ROUND(IFERROR(CriteriTecnici!$N2427*1,IFERROR(NUMBERVALUE(CriteriTecnici!$N2427,".",","),IFERROR(NUMBERVALUE(CriteriTecnici!$N2427,",","."),0))),4)&amp;""),",",".")&amp;", "&amp;CHAR(34)&amp;"numerator"&amp;CHAR(34)&amp;": "&amp;SUBSTITUTE(TRIM(ROUND(IFERROR(CriteriTecnici!$K2427*1,IFERROR(NUMBERVALUE(CriteriTecnici!$K2427,".",","),IFERROR(NUMBERVALUE(CriteriTecnici!$K2427,",","."),0))),4)&amp;""),",",".")&amp;", "&amp;CHAR(34)&amp;"denominator"&amp;CHAR(34)&amp;": "&amp;SUBSTITUTE(TRIM(ROUND(IFERROR(CriteriTecnici!$L2427*1,IFERROR(NUMBERVALUE(CriteriTecnici!$L2427,".",","),IFERROR(NUMBERVALUE(CriteriTecnici!$L2427,",","."),0))),4)&amp;""),",",".")&amp;", "&amp;CHAR(34)&amp;"flag"&amp;CHAR(34)&amp;": "&amp;SUBSTITUTE(TRIM(ROUND(IFERROR(CriteriTecnici!$M2427*1,IFERROR(NUMBERVALUE(CriteriTecnici!$M2427,".",","),IFERROR(NUMBERVALUE(CriteriTecnici!$M2427,",","."),0))),4)&amp;""),",",".")&amp;", "&amp;CHAR(34)&amp;"rawScore"&amp;CHAR(34)&amp;": "&amp;SUBSTITUTE(TRIM(ROUND(IFERROR(CriteriTecnici!$O2427*1,IFERROR(NUMBERVALUE(CriteriTecnici!$O2427,".",","),IFERROR(NUMBERVALUE(CriteriTecnici!$O2427,",","."),0))),4)&amp;""),",",".")&amp;CHAR(125)&amp;IF(TRUE,",",""))</f>
        <v/>
      </c>
    </row>
    <row r="2529">
      <c r="A2529" s="82">
        <f>IF(CriteriTecnici!$A2428="","","    "&amp;CHAR(123)&amp;CHAR(34)&amp;"bidderId"&amp;CHAR(34)&amp;": "&amp;CHAR(34)&amp;SUBSTITUTE(CriteriTecnici!$A2428,CHAR(34),"'")&amp;CHAR(34)&amp;", "&amp;CHAR(34)&amp;"lotId"&amp;CHAR(34)&amp;": "&amp;CHAR(34)&amp;SUBSTITUTE(CriteriTecnici!$C2428,CHAR(34),"'")&amp;CHAR(34)&amp;", "&amp;CHAR(34)&amp;"criterionId"&amp;CHAR(34)&amp;": "&amp;CHAR(34)&amp;SUBSTITUTE(CriteriTecnici!$D2428,CHAR(34),"'")&amp;CHAR(34)&amp;", "&amp;CHAR(34)&amp;"kind"&amp;CHAR(34)&amp;": "&amp;CHAR(34)&amp;SUBSTITUTE(CriteriTecnici!$F2428,CHAR(34),"'")&amp;CHAR(34)&amp;", "&amp;CHAR(34)&amp;"value"&amp;CHAR(34)&amp;": "&amp;SUBSTITUTE(TRIM(ROUND(IFERROR(CriteriTecnici!$N2428*1,IFERROR(NUMBERVALUE(CriteriTecnici!$N2428,".",","),IFERROR(NUMBERVALUE(CriteriTecnici!$N2428,",","."),0))),4)&amp;""),",",".")&amp;", "&amp;CHAR(34)&amp;"numerator"&amp;CHAR(34)&amp;": "&amp;SUBSTITUTE(TRIM(ROUND(IFERROR(CriteriTecnici!$K2428*1,IFERROR(NUMBERVALUE(CriteriTecnici!$K2428,".",","),IFERROR(NUMBERVALUE(CriteriTecnici!$K2428,",","."),0))),4)&amp;""),",",".")&amp;", "&amp;CHAR(34)&amp;"denominator"&amp;CHAR(34)&amp;": "&amp;SUBSTITUTE(TRIM(ROUND(IFERROR(CriteriTecnici!$L2428*1,IFERROR(NUMBERVALUE(CriteriTecnici!$L2428,".",","),IFERROR(NUMBERVALUE(CriteriTecnici!$L2428,",","."),0))),4)&amp;""),",",".")&amp;", "&amp;CHAR(34)&amp;"flag"&amp;CHAR(34)&amp;": "&amp;SUBSTITUTE(TRIM(ROUND(IFERROR(CriteriTecnici!$M2428*1,IFERROR(NUMBERVALUE(CriteriTecnici!$M2428,".",","),IFERROR(NUMBERVALUE(CriteriTecnici!$M2428,",","."),0))),4)&amp;""),",",".")&amp;", "&amp;CHAR(34)&amp;"rawScore"&amp;CHAR(34)&amp;": "&amp;SUBSTITUTE(TRIM(ROUND(IFERROR(CriteriTecnici!$O2428*1,IFERROR(NUMBERVALUE(CriteriTecnici!$O2428,".",","),IFERROR(NUMBERVALUE(CriteriTecnici!$O2428,",","."),0))),4)&amp;""),",",".")&amp;CHAR(125)&amp;IF(TRUE,",",""))</f>
        <v/>
      </c>
    </row>
    <row r="2530">
      <c r="A2530" s="82">
        <f>IF(CriteriTecnici!$A2429="","","    "&amp;CHAR(123)&amp;CHAR(34)&amp;"bidderId"&amp;CHAR(34)&amp;": "&amp;CHAR(34)&amp;SUBSTITUTE(CriteriTecnici!$A2429,CHAR(34),"'")&amp;CHAR(34)&amp;", "&amp;CHAR(34)&amp;"lotId"&amp;CHAR(34)&amp;": "&amp;CHAR(34)&amp;SUBSTITUTE(CriteriTecnici!$C2429,CHAR(34),"'")&amp;CHAR(34)&amp;", "&amp;CHAR(34)&amp;"criterionId"&amp;CHAR(34)&amp;": "&amp;CHAR(34)&amp;SUBSTITUTE(CriteriTecnici!$D2429,CHAR(34),"'")&amp;CHAR(34)&amp;", "&amp;CHAR(34)&amp;"kind"&amp;CHAR(34)&amp;": "&amp;CHAR(34)&amp;SUBSTITUTE(CriteriTecnici!$F2429,CHAR(34),"'")&amp;CHAR(34)&amp;", "&amp;CHAR(34)&amp;"value"&amp;CHAR(34)&amp;": "&amp;SUBSTITUTE(TRIM(ROUND(IFERROR(CriteriTecnici!$N2429*1,IFERROR(NUMBERVALUE(CriteriTecnici!$N2429,".",","),IFERROR(NUMBERVALUE(CriteriTecnici!$N2429,",","."),0))),4)&amp;""),",",".")&amp;", "&amp;CHAR(34)&amp;"numerator"&amp;CHAR(34)&amp;": "&amp;SUBSTITUTE(TRIM(ROUND(IFERROR(CriteriTecnici!$K2429*1,IFERROR(NUMBERVALUE(CriteriTecnici!$K2429,".",","),IFERROR(NUMBERVALUE(CriteriTecnici!$K2429,",","."),0))),4)&amp;""),",",".")&amp;", "&amp;CHAR(34)&amp;"denominator"&amp;CHAR(34)&amp;": "&amp;SUBSTITUTE(TRIM(ROUND(IFERROR(CriteriTecnici!$L2429*1,IFERROR(NUMBERVALUE(CriteriTecnici!$L2429,".",","),IFERROR(NUMBERVALUE(CriteriTecnici!$L2429,",","."),0))),4)&amp;""),",",".")&amp;", "&amp;CHAR(34)&amp;"flag"&amp;CHAR(34)&amp;": "&amp;SUBSTITUTE(TRIM(ROUND(IFERROR(CriteriTecnici!$M2429*1,IFERROR(NUMBERVALUE(CriteriTecnici!$M2429,".",","),IFERROR(NUMBERVALUE(CriteriTecnici!$M2429,",","."),0))),4)&amp;""),",",".")&amp;", "&amp;CHAR(34)&amp;"rawScore"&amp;CHAR(34)&amp;": "&amp;SUBSTITUTE(TRIM(ROUND(IFERROR(CriteriTecnici!$O2429*1,IFERROR(NUMBERVALUE(CriteriTecnici!$O2429,".",","),IFERROR(NUMBERVALUE(CriteriTecnici!$O2429,",","."),0))),4)&amp;""),",",".")&amp;CHAR(125)&amp;IF(TRUE,",",""))</f>
        <v/>
      </c>
    </row>
    <row r="2531">
      <c r="A2531" s="82">
        <f>IF(CriteriTecnici!$A2430="","","    "&amp;CHAR(123)&amp;CHAR(34)&amp;"bidderId"&amp;CHAR(34)&amp;": "&amp;CHAR(34)&amp;SUBSTITUTE(CriteriTecnici!$A2430,CHAR(34),"'")&amp;CHAR(34)&amp;", "&amp;CHAR(34)&amp;"lotId"&amp;CHAR(34)&amp;": "&amp;CHAR(34)&amp;SUBSTITUTE(CriteriTecnici!$C2430,CHAR(34),"'")&amp;CHAR(34)&amp;", "&amp;CHAR(34)&amp;"criterionId"&amp;CHAR(34)&amp;": "&amp;CHAR(34)&amp;SUBSTITUTE(CriteriTecnici!$D2430,CHAR(34),"'")&amp;CHAR(34)&amp;", "&amp;CHAR(34)&amp;"kind"&amp;CHAR(34)&amp;": "&amp;CHAR(34)&amp;SUBSTITUTE(CriteriTecnici!$F2430,CHAR(34),"'")&amp;CHAR(34)&amp;", "&amp;CHAR(34)&amp;"value"&amp;CHAR(34)&amp;": "&amp;SUBSTITUTE(TRIM(ROUND(IFERROR(CriteriTecnici!$N2430*1,IFERROR(NUMBERVALUE(CriteriTecnici!$N2430,".",","),IFERROR(NUMBERVALUE(CriteriTecnici!$N2430,",","."),0))),4)&amp;""),",",".")&amp;", "&amp;CHAR(34)&amp;"numerator"&amp;CHAR(34)&amp;": "&amp;SUBSTITUTE(TRIM(ROUND(IFERROR(CriteriTecnici!$K2430*1,IFERROR(NUMBERVALUE(CriteriTecnici!$K2430,".",","),IFERROR(NUMBERVALUE(CriteriTecnici!$K2430,",","."),0))),4)&amp;""),",",".")&amp;", "&amp;CHAR(34)&amp;"denominator"&amp;CHAR(34)&amp;": "&amp;SUBSTITUTE(TRIM(ROUND(IFERROR(CriteriTecnici!$L2430*1,IFERROR(NUMBERVALUE(CriteriTecnici!$L2430,".",","),IFERROR(NUMBERVALUE(CriteriTecnici!$L2430,",","."),0))),4)&amp;""),",",".")&amp;", "&amp;CHAR(34)&amp;"flag"&amp;CHAR(34)&amp;": "&amp;SUBSTITUTE(TRIM(ROUND(IFERROR(CriteriTecnici!$M2430*1,IFERROR(NUMBERVALUE(CriteriTecnici!$M2430,".",","),IFERROR(NUMBERVALUE(CriteriTecnici!$M2430,",","."),0))),4)&amp;""),",",".")&amp;", "&amp;CHAR(34)&amp;"rawScore"&amp;CHAR(34)&amp;": "&amp;SUBSTITUTE(TRIM(ROUND(IFERROR(CriteriTecnici!$O2430*1,IFERROR(NUMBERVALUE(CriteriTecnici!$O2430,".",","),IFERROR(NUMBERVALUE(CriteriTecnici!$O2430,",","."),0))),4)&amp;""),",",".")&amp;CHAR(125)&amp;IF(TRUE,",",""))</f>
        <v/>
      </c>
    </row>
    <row r="2532">
      <c r="A2532" s="82">
        <f>IF(CriteriTecnici!$A2431="","","    "&amp;CHAR(123)&amp;CHAR(34)&amp;"bidderId"&amp;CHAR(34)&amp;": "&amp;CHAR(34)&amp;SUBSTITUTE(CriteriTecnici!$A2431,CHAR(34),"'")&amp;CHAR(34)&amp;", "&amp;CHAR(34)&amp;"lotId"&amp;CHAR(34)&amp;": "&amp;CHAR(34)&amp;SUBSTITUTE(CriteriTecnici!$C2431,CHAR(34),"'")&amp;CHAR(34)&amp;", "&amp;CHAR(34)&amp;"criterionId"&amp;CHAR(34)&amp;": "&amp;CHAR(34)&amp;SUBSTITUTE(CriteriTecnici!$D2431,CHAR(34),"'")&amp;CHAR(34)&amp;", "&amp;CHAR(34)&amp;"kind"&amp;CHAR(34)&amp;": "&amp;CHAR(34)&amp;SUBSTITUTE(CriteriTecnici!$F2431,CHAR(34),"'")&amp;CHAR(34)&amp;", "&amp;CHAR(34)&amp;"value"&amp;CHAR(34)&amp;": "&amp;SUBSTITUTE(TRIM(ROUND(IFERROR(CriteriTecnici!$N2431*1,IFERROR(NUMBERVALUE(CriteriTecnici!$N2431,".",","),IFERROR(NUMBERVALUE(CriteriTecnici!$N2431,",","."),0))),4)&amp;""),",",".")&amp;", "&amp;CHAR(34)&amp;"numerator"&amp;CHAR(34)&amp;": "&amp;SUBSTITUTE(TRIM(ROUND(IFERROR(CriteriTecnici!$K2431*1,IFERROR(NUMBERVALUE(CriteriTecnici!$K2431,".",","),IFERROR(NUMBERVALUE(CriteriTecnici!$K2431,",","."),0))),4)&amp;""),",",".")&amp;", "&amp;CHAR(34)&amp;"denominator"&amp;CHAR(34)&amp;": "&amp;SUBSTITUTE(TRIM(ROUND(IFERROR(CriteriTecnici!$L2431*1,IFERROR(NUMBERVALUE(CriteriTecnici!$L2431,".",","),IFERROR(NUMBERVALUE(CriteriTecnici!$L2431,",","."),0))),4)&amp;""),",",".")&amp;", "&amp;CHAR(34)&amp;"flag"&amp;CHAR(34)&amp;": "&amp;SUBSTITUTE(TRIM(ROUND(IFERROR(CriteriTecnici!$M2431*1,IFERROR(NUMBERVALUE(CriteriTecnici!$M2431,".",","),IFERROR(NUMBERVALUE(CriteriTecnici!$M2431,",","."),0))),4)&amp;""),",",".")&amp;", "&amp;CHAR(34)&amp;"rawScore"&amp;CHAR(34)&amp;": "&amp;SUBSTITUTE(TRIM(ROUND(IFERROR(CriteriTecnici!$O2431*1,IFERROR(NUMBERVALUE(CriteriTecnici!$O2431,".",","),IFERROR(NUMBERVALUE(CriteriTecnici!$O2431,",","."),0))),4)&amp;""),",",".")&amp;CHAR(125)&amp;IF(TRUE,",",""))</f>
        <v/>
      </c>
    </row>
    <row r="2533">
      <c r="A2533" s="82">
        <f>IF(CriteriTecnici!$A2432="","","    "&amp;CHAR(123)&amp;CHAR(34)&amp;"bidderId"&amp;CHAR(34)&amp;": "&amp;CHAR(34)&amp;SUBSTITUTE(CriteriTecnici!$A2432,CHAR(34),"'")&amp;CHAR(34)&amp;", "&amp;CHAR(34)&amp;"lotId"&amp;CHAR(34)&amp;": "&amp;CHAR(34)&amp;SUBSTITUTE(CriteriTecnici!$C2432,CHAR(34),"'")&amp;CHAR(34)&amp;", "&amp;CHAR(34)&amp;"criterionId"&amp;CHAR(34)&amp;": "&amp;CHAR(34)&amp;SUBSTITUTE(CriteriTecnici!$D2432,CHAR(34),"'")&amp;CHAR(34)&amp;", "&amp;CHAR(34)&amp;"kind"&amp;CHAR(34)&amp;": "&amp;CHAR(34)&amp;SUBSTITUTE(CriteriTecnici!$F2432,CHAR(34),"'")&amp;CHAR(34)&amp;", "&amp;CHAR(34)&amp;"value"&amp;CHAR(34)&amp;": "&amp;SUBSTITUTE(TRIM(ROUND(IFERROR(CriteriTecnici!$N2432*1,IFERROR(NUMBERVALUE(CriteriTecnici!$N2432,".",","),IFERROR(NUMBERVALUE(CriteriTecnici!$N2432,",","."),0))),4)&amp;""),",",".")&amp;", "&amp;CHAR(34)&amp;"numerator"&amp;CHAR(34)&amp;": "&amp;SUBSTITUTE(TRIM(ROUND(IFERROR(CriteriTecnici!$K2432*1,IFERROR(NUMBERVALUE(CriteriTecnici!$K2432,".",","),IFERROR(NUMBERVALUE(CriteriTecnici!$K2432,",","."),0))),4)&amp;""),",",".")&amp;", "&amp;CHAR(34)&amp;"denominator"&amp;CHAR(34)&amp;": "&amp;SUBSTITUTE(TRIM(ROUND(IFERROR(CriteriTecnici!$L2432*1,IFERROR(NUMBERVALUE(CriteriTecnici!$L2432,".",","),IFERROR(NUMBERVALUE(CriteriTecnici!$L2432,",","."),0))),4)&amp;""),",",".")&amp;", "&amp;CHAR(34)&amp;"flag"&amp;CHAR(34)&amp;": "&amp;SUBSTITUTE(TRIM(ROUND(IFERROR(CriteriTecnici!$M2432*1,IFERROR(NUMBERVALUE(CriteriTecnici!$M2432,".",","),IFERROR(NUMBERVALUE(CriteriTecnici!$M2432,",","."),0))),4)&amp;""),",",".")&amp;", "&amp;CHAR(34)&amp;"rawScore"&amp;CHAR(34)&amp;": "&amp;SUBSTITUTE(TRIM(ROUND(IFERROR(CriteriTecnici!$O2432*1,IFERROR(NUMBERVALUE(CriteriTecnici!$O2432,".",","),IFERROR(NUMBERVALUE(CriteriTecnici!$O2432,",","."),0))),4)&amp;""),",",".")&amp;CHAR(125)&amp;IF(TRUE,",",""))</f>
        <v/>
      </c>
    </row>
    <row r="2534">
      <c r="A2534" s="82">
        <f>IF(CriteriTecnici!$A2433="","","    "&amp;CHAR(123)&amp;CHAR(34)&amp;"bidderId"&amp;CHAR(34)&amp;": "&amp;CHAR(34)&amp;SUBSTITUTE(CriteriTecnici!$A2433,CHAR(34),"'")&amp;CHAR(34)&amp;", "&amp;CHAR(34)&amp;"lotId"&amp;CHAR(34)&amp;": "&amp;CHAR(34)&amp;SUBSTITUTE(CriteriTecnici!$C2433,CHAR(34),"'")&amp;CHAR(34)&amp;", "&amp;CHAR(34)&amp;"criterionId"&amp;CHAR(34)&amp;": "&amp;CHAR(34)&amp;SUBSTITUTE(CriteriTecnici!$D2433,CHAR(34),"'")&amp;CHAR(34)&amp;", "&amp;CHAR(34)&amp;"kind"&amp;CHAR(34)&amp;": "&amp;CHAR(34)&amp;SUBSTITUTE(CriteriTecnici!$F2433,CHAR(34),"'")&amp;CHAR(34)&amp;", "&amp;CHAR(34)&amp;"value"&amp;CHAR(34)&amp;": "&amp;SUBSTITUTE(TRIM(ROUND(IFERROR(CriteriTecnici!$N2433*1,IFERROR(NUMBERVALUE(CriteriTecnici!$N2433,".",","),IFERROR(NUMBERVALUE(CriteriTecnici!$N2433,",","."),0))),4)&amp;""),",",".")&amp;", "&amp;CHAR(34)&amp;"numerator"&amp;CHAR(34)&amp;": "&amp;SUBSTITUTE(TRIM(ROUND(IFERROR(CriteriTecnici!$K2433*1,IFERROR(NUMBERVALUE(CriteriTecnici!$K2433,".",","),IFERROR(NUMBERVALUE(CriteriTecnici!$K2433,",","."),0))),4)&amp;""),",",".")&amp;", "&amp;CHAR(34)&amp;"denominator"&amp;CHAR(34)&amp;": "&amp;SUBSTITUTE(TRIM(ROUND(IFERROR(CriteriTecnici!$L2433*1,IFERROR(NUMBERVALUE(CriteriTecnici!$L2433,".",","),IFERROR(NUMBERVALUE(CriteriTecnici!$L2433,",","."),0))),4)&amp;""),",",".")&amp;", "&amp;CHAR(34)&amp;"flag"&amp;CHAR(34)&amp;": "&amp;SUBSTITUTE(TRIM(ROUND(IFERROR(CriteriTecnici!$M2433*1,IFERROR(NUMBERVALUE(CriteriTecnici!$M2433,".",","),IFERROR(NUMBERVALUE(CriteriTecnici!$M2433,",","."),0))),4)&amp;""),",",".")&amp;", "&amp;CHAR(34)&amp;"rawScore"&amp;CHAR(34)&amp;": "&amp;SUBSTITUTE(TRIM(ROUND(IFERROR(CriteriTecnici!$O2433*1,IFERROR(NUMBERVALUE(CriteriTecnici!$O2433,".",","),IFERROR(NUMBERVALUE(CriteriTecnici!$O2433,",","."),0))),4)&amp;""),",",".")&amp;CHAR(125)&amp;IF(TRUE,",",""))</f>
        <v/>
      </c>
    </row>
    <row r="2535">
      <c r="A2535" s="82">
        <f>IF(CriteriTecnici!$A2434="","","    "&amp;CHAR(123)&amp;CHAR(34)&amp;"bidderId"&amp;CHAR(34)&amp;": "&amp;CHAR(34)&amp;SUBSTITUTE(CriteriTecnici!$A2434,CHAR(34),"'")&amp;CHAR(34)&amp;", "&amp;CHAR(34)&amp;"lotId"&amp;CHAR(34)&amp;": "&amp;CHAR(34)&amp;SUBSTITUTE(CriteriTecnici!$C2434,CHAR(34),"'")&amp;CHAR(34)&amp;", "&amp;CHAR(34)&amp;"criterionId"&amp;CHAR(34)&amp;": "&amp;CHAR(34)&amp;SUBSTITUTE(CriteriTecnici!$D2434,CHAR(34),"'")&amp;CHAR(34)&amp;", "&amp;CHAR(34)&amp;"kind"&amp;CHAR(34)&amp;": "&amp;CHAR(34)&amp;SUBSTITUTE(CriteriTecnici!$F2434,CHAR(34),"'")&amp;CHAR(34)&amp;", "&amp;CHAR(34)&amp;"value"&amp;CHAR(34)&amp;": "&amp;SUBSTITUTE(TRIM(ROUND(IFERROR(CriteriTecnici!$N2434*1,IFERROR(NUMBERVALUE(CriteriTecnici!$N2434,".",","),IFERROR(NUMBERVALUE(CriteriTecnici!$N2434,",","."),0))),4)&amp;""),",",".")&amp;", "&amp;CHAR(34)&amp;"numerator"&amp;CHAR(34)&amp;": "&amp;SUBSTITUTE(TRIM(ROUND(IFERROR(CriteriTecnici!$K2434*1,IFERROR(NUMBERVALUE(CriteriTecnici!$K2434,".",","),IFERROR(NUMBERVALUE(CriteriTecnici!$K2434,",","."),0))),4)&amp;""),",",".")&amp;", "&amp;CHAR(34)&amp;"denominator"&amp;CHAR(34)&amp;": "&amp;SUBSTITUTE(TRIM(ROUND(IFERROR(CriteriTecnici!$L2434*1,IFERROR(NUMBERVALUE(CriteriTecnici!$L2434,".",","),IFERROR(NUMBERVALUE(CriteriTecnici!$L2434,",","."),0))),4)&amp;""),",",".")&amp;", "&amp;CHAR(34)&amp;"flag"&amp;CHAR(34)&amp;": "&amp;SUBSTITUTE(TRIM(ROUND(IFERROR(CriteriTecnici!$M2434*1,IFERROR(NUMBERVALUE(CriteriTecnici!$M2434,".",","),IFERROR(NUMBERVALUE(CriteriTecnici!$M2434,",","."),0))),4)&amp;""),",",".")&amp;", "&amp;CHAR(34)&amp;"rawScore"&amp;CHAR(34)&amp;": "&amp;SUBSTITUTE(TRIM(ROUND(IFERROR(CriteriTecnici!$O2434*1,IFERROR(NUMBERVALUE(CriteriTecnici!$O2434,".",","),IFERROR(NUMBERVALUE(CriteriTecnici!$O2434,",","."),0))),4)&amp;""),",",".")&amp;CHAR(125)&amp;IF(TRUE,",",""))</f>
        <v/>
      </c>
    </row>
    <row r="2536">
      <c r="A2536" s="82">
        <f>IF(CriteriTecnici!$A2435="","","    "&amp;CHAR(123)&amp;CHAR(34)&amp;"bidderId"&amp;CHAR(34)&amp;": "&amp;CHAR(34)&amp;SUBSTITUTE(CriteriTecnici!$A2435,CHAR(34),"'")&amp;CHAR(34)&amp;", "&amp;CHAR(34)&amp;"lotId"&amp;CHAR(34)&amp;": "&amp;CHAR(34)&amp;SUBSTITUTE(CriteriTecnici!$C2435,CHAR(34),"'")&amp;CHAR(34)&amp;", "&amp;CHAR(34)&amp;"criterionId"&amp;CHAR(34)&amp;": "&amp;CHAR(34)&amp;SUBSTITUTE(CriteriTecnici!$D2435,CHAR(34),"'")&amp;CHAR(34)&amp;", "&amp;CHAR(34)&amp;"kind"&amp;CHAR(34)&amp;": "&amp;CHAR(34)&amp;SUBSTITUTE(CriteriTecnici!$F2435,CHAR(34),"'")&amp;CHAR(34)&amp;", "&amp;CHAR(34)&amp;"value"&amp;CHAR(34)&amp;": "&amp;SUBSTITUTE(TRIM(ROUND(IFERROR(CriteriTecnici!$N2435*1,IFERROR(NUMBERVALUE(CriteriTecnici!$N2435,".",","),IFERROR(NUMBERVALUE(CriteriTecnici!$N2435,",","."),0))),4)&amp;""),",",".")&amp;", "&amp;CHAR(34)&amp;"numerator"&amp;CHAR(34)&amp;": "&amp;SUBSTITUTE(TRIM(ROUND(IFERROR(CriteriTecnici!$K2435*1,IFERROR(NUMBERVALUE(CriteriTecnici!$K2435,".",","),IFERROR(NUMBERVALUE(CriteriTecnici!$K2435,",","."),0))),4)&amp;""),",",".")&amp;", "&amp;CHAR(34)&amp;"denominator"&amp;CHAR(34)&amp;": "&amp;SUBSTITUTE(TRIM(ROUND(IFERROR(CriteriTecnici!$L2435*1,IFERROR(NUMBERVALUE(CriteriTecnici!$L2435,".",","),IFERROR(NUMBERVALUE(CriteriTecnici!$L2435,",","."),0))),4)&amp;""),",",".")&amp;", "&amp;CHAR(34)&amp;"flag"&amp;CHAR(34)&amp;": "&amp;SUBSTITUTE(TRIM(ROUND(IFERROR(CriteriTecnici!$M2435*1,IFERROR(NUMBERVALUE(CriteriTecnici!$M2435,".",","),IFERROR(NUMBERVALUE(CriteriTecnici!$M2435,",","."),0))),4)&amp;""),",",".")&amp;", "&amp;CHAR(34)&amp;"rawScore"&amp;CHAR(34)&amp;": "&amp;SUBSTITUTE(TRIM(ROUND(IFERROR(CriteriTecnici!$O2435*1,IFERROR(NUMBERVALUE(CriteriTecnici!$O2435,".",","),IFERROR(NUMBERVALUE(CriteriTecnici!$O2435,",","."),0))),4)&amp;""),",",".")&amp;CHAR(125)&amp;IF(TRUE,",",""))</f>
        <v/>
      </c>
    </row>
    <row r="2537">
      <c r="A2537" s="82">
        <f>IF(CriteriTecnici!$A2436="","","    "&amp;CHAR(123)&amp;CHAR(34)&amp;"bidderId"&amp;CHAR(34)&amp;": "&amp;CHAR(34)&amp;SUBSTITUTE(CriteriTecnici!$A2436,CHAR(34),"'")&amp;CHAR(34)&amp;", "&amp;CHAR(34)&amp;"lotId"&amp;CHAR(34)&amp;": "&amp;CHAR(34)&amp;SUBSTITUTE(CriteriTecnici!$C2436,CHAR(34),"'")&amp;CHAR(34)&amp;", "&amp;CHAR(34)&amp;"criterionId"&amp;CHAR(34)&amp;": "&amp;CHAR(34)&amp;SUBSTITUTE(CriteriTecnici!$D2436,CHAR(34),"'")&amp;CHAR(34)&amp;", "&amp;CHAR(34)&amp;"kind"&amp;CHAR(34)&amp;": "&amp;CHAR(34)&amp;SUBSTITUTE(CriteriTecnici!$F2436,CHAR(34),"'")&amp;CHAR(34)&amp;", "&amp;CHAR(34)&amp;"value"&amp;CHAR(34)&amp;": "&amp;SUBSTITUTE(TRIM(ROUND(IFERROR(CriteriTecnici!$N2436*1,IFERROR(NUMBERVALUE(CriteriTecnici!$N2436,".",","),IFERROR(NUMBERVALUE(CriteriTecnici!$N2436,",","."),0))),4)&amp;""),",",".")&amp;", "&amp;CHAR(34)&amp;"numerator"&amp;CHAR(34)&amp;": "&amp;SUBSTITUTE(TRIM(ROUND(IFERROR(CriteriTecnici!$K2436*1,IFERROR(NUMBERVALUE(CriteriTecnici!$K2436,".",","),IFERROR(NUMBERVALUE(CriteriTecnici!$K2436,",","."),0))),4)&amp;""),",",".")&amp;", "&amp;CHAR(34)&amp;"denominator"&amp;CHAR(34)&amp;": "&amp;SUBSTITUTE(TRIM(ROUND(IFERROR(CriteriTecnici!$L2436*1,IFERROR(NUMBERVALUE(CriteriTecnici!$L2436,".",","),IFERROR(NUMBERVALUE(CriteriTecnici!$L2436,",","."),0))),4)&amp;""),",",".")&amp;", "&amp;CHAR(34)&amp;"flag"&amp;CHAR(34)&amp;": "&amp;SUBSTITUTE(TRIM(ROUND(IFERROR(CriteriTecnici!$M2436*1,IFERROR(NUMBERVALUE(CriteriTecnici!$M2436,".",","),IFERROR(NUMBERVALUE(CriteriTecnici!$M2436,",","."),0))),4)&amp;""),",",".")&amp;", "&amp;CHAR(34)&amp;"rawScore"&amp;CHAR(34)&amp;": "&amp;SUBSTITUTE(TRIM(ROUND(IFERROR(CriteriTecnici!$O2436*1,IFERROR(NUMBERVALUE(CriteriTecnici!$O2436,".",","),IFERROR(NUMBERVALUE(CriteriTecnici!$O2436,",","."),0))),4)&amp;""),",",".")&amp;CHAR(125)&amp;IF(TRUE,",",""))</f>
        <v/>
      </c>
    </row>
    <row r="2538">
      <c r="A2538" s="82">
        <f>IF(CriteriTecnici!$A2437="","","    "&amp;CHAR(123)&amp;CHAR(34)&amp;"bidderId"&amp;CHAR(34)&amp;": "&amp;CHAR(34)&amp;SUBSTITUTE(CriteriTecnici!$A2437,CHAR(34),"'")&amp;CHAR(34)&amp;", "&amp;CHAR(34)&amp;"lotId"&amp;CHAR(34)&amp;": "&amp;CHAR(34)&amp;SUBSTITUTE(CriteriTecnici!$C2437,CHAR(34),"'")&amp;CHAR(34)&amp;", "&amp;CHAR(34)&amp;"criterionId"&amp;CHAR(34)&amp;": "&amp;CHAR(34)&amp;SUBSTITUTE(CriteriTecnici!$D2437,CHAR(34),"'")&amp;CHAR(34)&amp;", "&amp;CHAR(34)&amp;"kind"&amp;CHAR(34)&amp;": "&amp;CHAR(34)&amp;SUBSTITUTE(CriteriTecnici!$F2437,CHAR(34),"'")&amp;CHAR(34)&amp;", "&amp;CHAR(34)&amp;"value"&amp;CHAR(34)&amp;": "&amp;SUBSTITUTE(TRIM(ROUND(IFERROR(CriteriTecnici!$N2437*1,IFERROR(NUMBERVALUE(CriteriTecnici!$N2437,".",","),IFERROR(NUMBERVALUE(CriteriTecnici!$N2437,",","."),0))),4)&amp;""),",",".")&amp;", "&amp;CHAR(34)&amp;"numerator"&amp;CHAR(34)&amp;": "&amp;SUBSTITUTE(TRIM(ROUND(IFERROR(CriteriTecnici!$K2437*1,IFERROR(NUMBERVALUE(CriteriTecnici!$K2437,".",","),IFERROR(NUMBERVALUE(CriteriTecnici!$K2437,",","."),0))),4)&amp;""),",",".")&amp;", "&amp;CHAR(34)&amp;"denominator"&amp;CHAR(34)&amp;": "&amp;SUBSTITUTE(TRIM(ROUND(IFERROR(CriteriTecnici!$L2437*1,IFERROR(NUMBERVALUE(CriteriTecnici!$L2437,".",","),IFERROR(NUMBERVALUE(CriteriTecnici!$L2437,",","."),0))),4)&amp;""),",",".")&amp;", "&amp;CHAR(34)&amp;"flag"&amp;CHAR(34)&amp;": "&amp;SUBSTITUTE(TRIM(ROUND(IFERROR(CriteriTecnici!$M2437*1,IFERROR(NUMBERVALUE(CriteriTecnici!$M2437,".",","),IFERROR(NUMBERVALUE(CriteriTecnici!$M2437,",","."),0))),4)&amp;""),",",".")&amp;", "&amp;CHAR(34)&amp;"rawScore"&amp;CHAR(34)&amp;": "&amp;SUBSTITUTE(TRIM(ROUND(IFERROR(CriteriTecnici!$O2437*1,IFERROR(NUMBERVALUE(CriteriTecnici!$O2437,".",","),IFERROR(NUMBERVALUE(CriteriTecnici!$O2437,",","."),0))),4)&amp;""),",",".")&amp;CHAR(125)&amp;IF(TRUE,",",""))</f>
        <v/>
      </c>
    </row>
    <row r="2539">
      <c r="A2539" s="82">
        <f>IF(CriteriTecnici!$A2438="","","    "&amp;CHAR(123)&amp;CHAR(34)&amp;"bidderId"&amp;CHAR(34)&amp;": "&amp;CHAR(34)&amp;SUBSTITUTE(CriteriTecnici!$A2438,CHAR(34),"'")&amp;CHAR(34)&amp;", "&amp;CHAR(34)&amp;"lotId"&amp;CHAR(34)&amp;": "&amp;CHAR(34)&amp;SUBSTITUTE(CriteriTecnici!$C2438,CHAR(34),"'")&amp;CHAR(34)&amp;", "&amp;CHAR(34)&amp;"criterionId"&amp;CHAR(34)&amp;": "&amp;CHAR(34)&amp;SUBSTITUTE(CriteriTecnici!$D2438,CHAR(34),"'")&amp;CHAR(34)&amp;", "&amp;CHAR(34)&amp;"kind"&amp;CHAR(34)&amp;": "&amp;CHAR(34)&amp;SUBSTITUTE(CriteriTecnici!$F2438,CHAR(34),"'")&amp;CHAR(34)&amp;", "&amp;CHAR(34)&amp;"value"&amp;CHAR(34)&amp;": "&amp;SUBSTITUTE(TRIM(ROUND(IFERROR(CriteriTecnici!$N2438*1,IFERROR(NUMBERVALUE(CriteriTecnici!$N2438,".",","),IFERROR(NUMBERVALUE(CriteriTecnici!$N2438,",","."),0))),4)&amp;""),",",".")&amp;", "&amp;CHAR(34)&amp;"numerator"&amp;CHAR(34)&amp;": "&amp;SUBSTITUTE(TRIM(ROUND(IFERROR(CriteriTecnici!$K2438*1,IFERROR(NUMBERVALUE(CriteriTecnici!$K2438,".",","),IFERROR(NUMBERVALUE(CriteriTecnici!$K2438,",","."),0))),4)&amp;""),",",".")&amp;", "&amp;CHAR(34)&amp;"denominator"&amp;CHAR(34)&amp;": "&amp;SUBSTITUTE(TRIM(ROUND(IFERROR(CriteriTecnici!$L2438*1,IFERROR(NUMBERVALUE(CriteriTecnici!$L2438,".",","),IFERROR(NUMBERVALUE(CriteriTecnici!$L2438,",","."),0))),4)&amp;""),",",".")&amp;", "&amp;CHAR(34)&amp;"flag"&amp;CHAR(34)&amp;": "&amp;SUBSTITUTE(TRIM(ROUND(IFERROR(CriteriTecnici!$M2438*1,IFERROR(NUMBERVALUE(CriteriTecnici!$M2438,".",","),IFERROR(NUMBERVALUE(CriteriTecnici!$M2438,",","."),0))),4)&amp;""),",",".")&amp;", "&amp;CHAR(34)&amp;"rawScore"&amp;CHAR(34)&amp;": "&amp;SUBSTITUTE(TRIM(ROUND(IFERROR(CriteriTecnici!$O2438*1,IFERROR(NUMBERVALUE(CriteriTecnici!$O2438,".",","),IFERROR(NUMBERVALUE(CriteriTecnici!$O2438,",","."),0))),4)&amp;""),",",".")&amp;CHAR(125)&amp;IF(TRUE,",",""))</f>
        <v/>
      </c>
    </row>
    <row r="2540">
      <c r="A2540" s="82">
        <f>IF(CriteriTecnici!$A2439="","","    "&amp;CHAR(123)&amp;CHAR(34)&amp;"bidderId"&amp;CHAR(34)&amp;": "&amp;CHAR(34)&amp;SUBSTITUTE(CriteriTecnici!$A2439,CHAR(34),"'")&amp;CHAR(34)&amp;", "&amp;CHAR(34)&amp;"lotId"&amp;CHAR(34)&amp;": "&amp;CHAR(34)&amp;SUBSTITUTE(CriteriTecnici!$C2439,CHAR(34),"'")&amp;CHAR(34)&amp;", "&amp;CHAR(34)&amp;"criterionId"&amp;CHAR(34)&amp;": "&amp;CHAR(34)&amp;SUBSTITUTE(CriteriTecnici!$D2439,CHAR(34),"'")&amp;CHAR(34)&amp;", "&amp;CHAR(34)&amp;"kind"&amp;CHAR(34)&amp;": "&amp;CHAR(34)&amp;SUBSTITUTE(CriteriTecnici!$F2439,CHAR(34),"'")&amp;CHAR(34)&amp;", "&amp;CHAR(34)&amp;"value"&amp;CHAR(34)&amp;": "&amp;SUBSTITUTE(TRIM(ROUND(IFERROR(CriteriTecnici!$N2439*1,IFERROR(NUMBERVALUE(CriteriTecnici!$N2439,".",","),IFERROR(NUMBERVALUE(CriteriTecnici!$N2439,",","."),0))),4)&amp;""),",",".")&amp;", "&amp;CHAR(34)&amp;"numerator"&amp;CHAR(34)&amp;": "&amp;SUBSTITUTE(TRIM(ROUND(IFERROR(CriteriTecnici!$K2439*1,IFERROR(NUMBERVALUE(CriteriTecnici!$K2439,".",","),IFERROR(NUMBERVALUE(CriteriTecnici!$K2439,",","."),0))),4)&amp;""),",",".")&amp;", "&amp;CHAR(34)&amp;"denominator"&amp;CHAR(34)&amp;": "&amp;SUBSTITUTE(TRIM(ROUND(IFERROR(CriteriTecnici!$L2439*1,IFERROR(NUMBERVALUE(CriteriTecnici!$L2439,".",","),IFERROR(NUMBERVALUE(CriteriTecnici!$L2439,",","."),0))),4)&amp;""),",",".")&amp;", "&amp;CHAR(34)&amp;"flag"&amp;CHAR(34)&amp;": "&amp;SUBSTITUTE(TRIM(ROUND(IFERROR(CriteriTecnici!$M2439*1,IFERROR(NUMBERVALUE(CriteriTecnici!$M2439,".",","),IFERROR(NUMBERVALUE(CriteriTecnici!$M2439,",","."),0))),4)&amp;""),",",".")&amp;", "&amp;CHAR(34)&amp;"rawScore"&amp;CHAR(34)&amp;": "&amp;SUBSTITUTE(TRIM(ROUND(IFERROR(CriteriTecnici!$O2439*1,IFERROR(NUMBERVALUE(CriteriTecnici!$O2439,".",","),IFERROR(NUMBERVALUE(CriteriTecnici!$O2439,",","."),0))),4)&amp;""),",",".")&amp;CHAR(125)&amp;IF(TRUE,",",""))</f>
        <v/>
      </c>
    </row>
    <row r="2541">
      <c r="A2541" s="82">
        <f>IF(CriteriTecnici!$A2440="","","    "&amp;CHAR(123)&amp;CHAR(34)&amp;"bidderId"&amp;CHAR(34)&amp;": "&amp;CHAR(34)&amp;SUBSTITUTE(CriteriTecnici!$A2440,CHAR(34),"'")&amp;CHAR(34)&amp;", "&amp;CHAR(34)&amp;"lotId"&amp;CHAR(34)&amp;": "&amp;CHAR(34)&amp;SUBSTITUTE(CriteriTecnici!$C2440,CHAR(34),"'")&amp;CHAR(34)&amp;", "&amp;CHAR(34)&amp;"criterionId"&amp;CHAR(34)&amp;": "&amp;CHAR(34)&amp;SUBSTITUTE(CriteriTecnici!$D2440,CHAR(34),"'")&amp;CHAR(34)&amp;", "&amp;CHAR(34)&amp;"kind"&amp;CHAR(34)&amp;": "&amp;CHAR(34)&amp;SUBSTITUTE(CriteriTecnici!$F2440,CHAR(34),"'")&amp;CHAR(34)&amp;", "&amp;CHAR(34)&amp;"value"&amp;CHAR(34)&amp;": "&amp;SUBSTITUTE(TRIM(ROUND(IFERROR(CriteriTecnici!$N2440*1,IFERROR(NUMBERVALUE(CriteriTecnici!$N2440,".",","),IFERROR(NUMBERVALUE(CriteriTecnici!$N2440,",","."),0))),4)&amp;""),",",".")&amp;", "&amp;CHAR(34)&amp;"numerator"&amp;CHAR(34)&amp;": "&amp;SUBSTITUTE(TRIM(ROUND(IFERROR(CriteriTecnici!$K2440*1,IFERROR(NUMBERVALUE(CriteriTecnici!$K2440,".",","),IFERROR(NUMBERVALUE(CriteriTecnici!$K2440,",","."),0))),4)&amp;""),",",".")&amp;", "&amp;CHAR(34)&amp;"denominator"&amp;CHAR(34)&amp;": "&amp;SUBSTITUTE(TRIM(ROUND(IFERROR(CriteriTecnici!$L2440*1,IFERROR(NUMBERVALUE(CriteriTecnici!$L2440,".",","),IFERROR(NUMBERVALUE(CriteriTecnici!$L2440,",","."),0))),4)&amp;""),",",".")&amp;", "&amp;CHAR(34)&amp;"flag"&amp;CHAR(34)&amp;": "&amp;SUBSTITUTE(TRIM(ROUND(IFERROR(CriteriTecnici!$M2440*1,IFERROR(NUMBERVALUE(CriteriTecnici!$M2440,".",","),IFERROR(NUMBERVALUE(CriteriTecnici!$M2440,",","."),0))),4)&amp;""),",",".")&amp;", "&amp;CHAR(34)&amp;"rawScore"&amp;CHAR(34)&amp;": "&amp;SUBSTITUTE(TRIM(ROUND(IFERROR(CriteriTecnici!$O2440*1,IFERROR(NUMBERVALUE(CriteriTecnici!$O2440,".",","),IFERROR(NUMBERVALUE(CriteriTecnici!$O2440,",","."),0))),4)&amp;""),",",".")&amp;CHAR(125)&amp;IF(TRUE,",",""))</f>
        <v/>
      </c>
    </row>
    <row r="2542">
      <c r="A2542" s="82">
        <f>IF(CriteriTecnici!$A2441="","","    "&amp;CHAR(123)&amp;CHAR(34)&amp;"bidderId"&amp;CHAR(34)&amp;": "&amp;CHAR(34)&amp;SUBSTITUTE(CriteriTecnici!$A2441,CHAR(34),"'")&amp;CHAR(34)&amp;", "&amp;CHAR(34)&amp;"lotId"&amp;CHAR(34)&amp;": "&amp;CHAR(34)&amp;SUBSTITUTE(CriteriTecnici!$C2441,CHAR(34),"'")&amp;CHAR(34)&amp;", "&amp;CHAR(34)&amp;"criterionId"&amp;CHAR(34)&amp;": "&amp;CHAR(34)&amp;SUBSTITUTE(CriteriTecnici!$D2441,CHAR(34),"'")&amp;CHAR(34)&amp;", "&amp;CHAR(34)&amp;"kind"&amp;CHAR(34)&amp;": "&amp;CHAR(34)&amp;SUBSTITUTE(CriteriTecnici!$F2441,CHAR(34),"'")&amp;CHAR(34)&amp;", "&amp;CHAR(34)&amp;"value"&amp;CHAR(34)&amp;": "&amp;SUBSTITUTE(TRIM(ROUND(IFERROR(CriteriTecnici!$N2441*1,IFERROR(NUMBERVALUE(CriteriTecnici!$N2441,".",","),IFERROR(NUMBERVALUE(CriteriTecnici!$N2441,",","."),0))),4)&amp;""),",",".")&amp;", "&amp;CHAR(34)&amp;"numerator"&amp;CHAR(34)&amp;": "&amp;SUBSTITUTE(TRIM(ROUND(IFERROR(CriteriTecnici!$K2441*1,IFERROR(NUMBERVALUE(CriteriTecnici!$K2441,".",","),IFERROR(NUMBERVALUE(CriteriTecnici!$K2441,",","."),0))),4)&amp;""),",",".")&amp;", "&amp;CHAR(34)&amp;"denominator"&amp;CHAR(34)&amp;": "&amp;SUBSTITUTE(TRIM(ROUND(IFERROR(CriteriTecnici!$L2441*1,IFERROR(NUMBERVALUE(CriteriTecnici!$L2441,".",","),IFERROR(NUMBERVALUE(CriteriTecnici!$L2441,",","."),0))),4)&amp;""),",",".")&amp;", "&amp;CHAR(34)&amp;"flag"&amp;CHAR(34)&amp;": "&amp;SUBSTITUTE(TRIM(ROUND(IFERROR(CriteriTecnici!$M2441*1,IFERROR(NUMBERVALUE(CriteriTecnici!$M2441,".",","),IFERROR(NUMBERVALUE(CriteriTecnici!$M2441,",","."),0))),4)&amp;""),",",".")&amp;", "&amp;CHAR(34)&amp;"rawScore"&amp;CHAR(34)&amp;": "&amp;SUBSTITUTE(TRIM(ROUND(IFERROR(CriteriTecnici!$O2441*1,IFERROR(NUMBERVALUE(CriteriTecnici!$O2441,".",","),IFERROR(NUMBERVALUE(CriteriTecnici!$O2441,",","."),0))),4)&amp;""),",",".")&amp;CHAR(125)&amp;IF(TRUE,",",""))</f>
        <v/>
      </c>
    </row>
    <row r="2543">
      <c r="A2543" s="82">
        <f>IF(CriteriTecnici!$A2442="","","    "&amp;CHAR(123)&amp;CHAR(34)&amp;"bidderId"&amp;CHAR(34)&amp;": "&amp;CHAR(34)&amp;SUBSTITUTE(CriteriTecnici!$A2442,CHAR(34),"'")&amp;CHAR(34)&amp;", "&amp;CHAR(34)&amp;"lotId"&amp;CHAR(34)&amp;": "&amp;CHAR(34)&amp;SUBSTITUTE(CriteriTecnici!$C2442,CHAR(34),"'")&amp;CHAR(34)&amp;", "&amp;CHAR(34)&amp;"criterionId"&amp;CHAR(34)&amp;": "&amp;CHAR(34)&amp;SUBSTITUTE(CriteriTecnici!$D2442,CHAR(34),"'")&amp;CHAR(34)&amp;", "&amp;CHAR(34)&amp;"kind"&amp;CHAR(34)&amp;": "&amp;CHAR(34)&amp;SUBSTITUTE(CriteriTecnici!$F2442,CHAR(34),"'")&amp;CHAR(34)&amp;", "&amp;CHAR(34)&amp;"value"&amp;CHAR(34)&amp;": "&amp;SUBSTITUTE(TRIM(ROUND(IFERROR(CriteriTecnici!$N2442*1,IFERROR(NUMBERVALUE(CriteriTecnici!$N2442,".",","),IFERROR(NUMBERVALUE(CriteriTecnici!$N2442,",","."),0))),4)&amp;""),",",".")&amp;", "&amp;CHAR(34)&amp;"numerator"&amp;CHAR(34)&amp;": "&amp;SUBSTITUTE(TRIM(ROUND(IFERROR(CriteriTecnici!$K2442*1,IFERROR(NUMBERVALUE(CriteriTecnici!$K2442,".",","),IFERROR(NUMBERVALUE(CriteriTecnici!$K2442,",","."),0))),4)&amp;""),",",".")&amp;", "&amp;CHAR(34)&amp;"denominator"&amp;CHAR(34)&amp;": "&amp;SUBSTITUTE(TRIM(ROUND(IFERROR(CriteriTecnici!$L2442*1,IFERROR(NUMBERVALUE(CriteriTecnici!$L2442,".",","),IFERROR(NUMBERVALUE(CriteriTecnici!$L2442,",","."),0))),4)&amp;""),",",".")&amp;", "&amp;CHAR(34)&amp;"flag"&amp;CHAR(34)&amp;": "&amp;SUBSTITUTE(TRIM(ROUND(IFERROR(CriteriTecnici!$M2442*1,IFERROR(NUMBERVALUE(CriteriTecnici!$M2442,".",","),IFERROR(NUMBERVALUE(CriteriTecnici!$M2442,",","."),0))),4)&amp;""),",",".")&amp;", "&amp;CHAR(34)&amp;"rawScore"&amp;CHAR(34)&amp;": "&amp;SUBSTITUTE(TRIM(ROUND(IFERROR(CriteriTecnici!$O2442*1,IFERROR(NUMBERVALUE(CriteriTecnici!$O2442,".",","),IFERROR(NUMBERVALUE(CriteriTecnici!$O2442,",","."),0))),4)&amp;""),",",".")&amp;CHAR(125)&amp;IF(TRUE,",",""))</f>
        <v/>
      </c>
    </row>
    <row r="2544">
      <c r="A2544" s="82">
        <f>IF(CriteriTecnici!$A2443="","","    "&amp;CHAR(123)&amp;CHAR(34)&amp;"bidderId"&amp;CHAR(34)&amp;": "&amp;CHAR(34)&amp;SUBSTITUTE(CriteriTecnici!$A2443,CHAR(34),"'")&amp;CHAR(34)&amp;", "&amp;CHAR(34)&amp;"lotId"&amp;CHAR(34)&amp;": "&amp;CHAR(34)&amp;SUBSTITUTE(CriteriTecnici!$C2443,CHAR(34),"'")&amp;CHAR(34)&amp;", "&amp;CHAR(34)&amp;"criterionId"&amp;CHAR(34)&amp;": "&amp;CHAR(34)&amp;SUBSTITUTE(CriteriTecnici!$D2443,CHAR(34),"'")&amp;CHAR(34)&amp;", "&amp;CHAR(34)&amp;"kind"&amp;CHAR(34)&amp;": "&amp;CHAR(34)&amp;SUBSTITUTE(CriteriTecnici!$F2443,CHAR(34),"'")&amp;CHAR(34)&amp;", "&amp;CHAR(34)&amp;"value"&amp;CHAR(34)&amp;": "&amp;SUBSTITUTE(TRIM(ROUND(IFERROR(CriteriTecnici!$N2443*1,IFERROR(NUMBERVALUE(CriteriTecnici!$N2443,".",","),IFERROR(NUMBERVALUE(CriteriTecnici!$N2443,",","."),0))),4)&amp;""),",",".")&amp;", "&amp;CHAR(34)&amp;"numerator"&amp;CHAR(34)&amp;": "&amp;SUBSTITUTE(TRIM(ROUND(IFERROR(CriteriTecnici!$K2443*1,IFERROR(NUMBERVALUE(CriteriTecnici!$K2443,".",","),IFERROR(NUMBERVALUE(CriteriTecnici!$K2443,",","."),0))),4)&amp;""),",",".")&amp;", "&amp;CHAR(34)&amp;"denominator"&amp;CHAR(34)&amp;": "&amp;SUBSTITUTE(TRIM(ROUND(IFERROR(CriteriTecnici!$L2443*1,IFERROR(NUMBERVALUE(CriteriTecnici!$L2443,".",","),IFERROR(NUMBERVALUE(CriteriTecnici!$L2443,",","."),0))),4)&amp;""),",",".")&amp;", "&amp;CHAR(34)&amp;"flag"&amp;CHAR(34)&amp;": "&amp;SUBSTITUTE(TRIM(ROUND(IFERROR(CriteriTecnici!$M2443*1,IFERROR(NUMBERVALUE(CriteriTecnici!$M2443,".",","),IFERROR(NUMBERVALUE(CriteriTecnici!$M2443,",","."),0))),4)&amp;""),",",".")&amp;", "&amp;CHAR(34)&amp;"rawScore"&amp;CHAR(34)&amp;": "&amp;SUBSTITUTE(TRIM(ROUND(IFERROR(CriteriTecnici!$O2443*1,IFERROR(NUMBERVALUE(CriteriTecnici!$O2443,".",","),IFERROR(NUMBERVALUE(CriteriTecnici!$O2443,",","."),0))),4)&amp;""),",",".")&amp;CHAR(125)&amp;IF(TRUE,",",""))</f>
        <v/>
      </c>
    </row>
    <row r="2545">
      <c r="A2545" s="82">
        <f>IF(CriteriTecnici!$A2444="","","    "&amp;CHAR(123)&amp;CHAR(34)&amp;"bidderId"&amp;CHAR(34)&amp;": "&amp;CHAR(34)&amp;SUBSTITUTE(CriteriTecnici!$A2444,CHAR(34),"'")&amp;CHAR(34)&amp;", "&amp;CHAR(34)&amp;"lotId"&amp;CHAR(34)&amp;": "&amp;CHAR(34)&amp;SUBSTITUTE(CriteriTecnici!$C2444,CHAR(34),"'")&amp;CHAR(34)&amp;", "&amp;CHAR(34)&amp;"criterionId"&amp;CHAR(34)&amp;": "&amp;CHAR(34)&amp;SUBSTITUTE(CriteriTecnici!$D2444,CHAR(34),"'")&amp;CHAR(34)&amp;", "&amp;CHAR(34)&amp;"kind"&amp;CHAR(34)&amp;": "&amp;CHAR(34)&amp;SUBSTITUTE(CriteriTecnici!$F2444,CHAR(34),"'")&amp;CHAR(34)&amp;", "&amp;CHAR(34)&amp;"value"&amp;CHAR(34)&amp;": "&amp;SUBSTITUTE(TRIM(ROUND(IFERROR(CriteriTecnici!$N2444*1,IFERROR(NUMBERVALUE(CriteriTecnici!$N2444,".",","),IFERROR(NUMBERVALUE(CriteriTecnici!$N2444,",","."),0))),4)&amp;""),",",".")&amp;", "&amp;CHAR(34)&amp;"numerator"&amp;CHAR(34)&amp;": "&amp;SUBSTITUTE(TRIM(ROUND(IFERROR(CriteriTecnici!$K2444*1,IFERROR(NUMBERVALUE(CriteriTecnici!$K2444,".",","),IFERROR(NUMBERVALUE(CriteriTecnici!$K2444,",","."),0))),4)&amp;""),",",".")&amp;", "&amp;CHAR(34)&amp;"denominator"&amp;CHAR(34)&amp;": "&amp;SUBSTITUTE(TRIM(ROUND(IFERROR(CriteriTecnici!$L2444*1,IFERROR(NUMBERVALUE(CriteriTecnici!$L2444,".",","),IFERROR(NUMBERVALUE(CriteriTecnici!$L2444,",","."),0))),4)&amp;""),",",".")&amp;", "&amp;CHAR(34)&amp;"flag"&amp;CHAR(34)&amp;": "&amp;SUBSTITUTE(TRIM(ROUND(IFERROR(CriteriTecnici!$M2444*1,IFERROR(NUMBERVALUE(CriteriTecnici!$M2444,".",","),IFERROR(NUMBERVALUE(CriteriTecnici!$M2444,",","."),0))),4)&amp;""),",",".")&amp;", "&amp;CHAR(34)&amp;"rawScore"&amp;CHAR(34)&amp;": "&amp;SUBSTITUTE(TRIM(ROUND(IFERROR(CriteriTecnici!$O2444*1,IFERROR(NUMBERVALUE(CriteriTecnici!$O2444,".",","),IFERROR(NUMBERVALUE(CriteriTecnici!$O2444,",","."),0))),4)&amp;""),",",".")&amp;CHAR(125)&amp;IF(TRUE,",",""))</f>
        <v/>
      </c>
    </row>
    <row r="2546">
      <c r="A2546" s="82">
        <f>IF(CriteriTecnici!$A2445="","","    "&amp;CHAR(123)&amp;CHAR(34)&amp;"bidderId"&amp;CHAR(34)&amp;": "&amp;CHAR(34)&amp;SUBSTITUTE(CriteriTecnici!$A2445,CHAR(34),"'")&amp;CHAR(34)&amp;", "&amp;CHAR(34)&amp;"lotId"&amp;CHAR(34)&amp;": "&amp;CHAR(34)&amp;SUBSTITUTE(CriteriTecnici!$C2445,CHAR(34),"'")&amp;CHAR(34)&amp;", "&amp;CHAR(34)&amp;"criterionId"&amp;CHAR(34)&amp;": "&amp;CHAR(34)&amp;SUBSTITUTE(CriteriTecnici!$D2445,CHAR(34),"'")&amp;CHAR(34)&amp;", "&amp;CHAR(34)&amp;"kind"&amp;CHAR(34)&amp;": "&amp;CHAR(34)&amp;SUBSTITUTE(CriteriTecnici!$F2445,CHAR(34),"'")&amp;CHAR(34)&amp;", "&amp;CHAR(34)&amp;"value"&amp;CHAR(34)&amp;": "&amp;SUBSTITUTE(TRIM(ROUND(IFERROR(CriteriTecnici!$N2445*1,IFERROR(NUMBERVALUE(CriteriTecnici!$N2445,".",","),IFERROR(NUMBERVALUE(CriteriTecnici!$N2445,",","."),0))),4)&amp;""),",",".")&amp;", "&amp;CHAR(34)&amp;"numerator"&amp;CHAR(34)&amp;": "&amp;SUBSTITUTE(TRIM(ROUND(IFERROR(CriteriTecnici!$K2445*1,IFERROR(NUMBERVALUE(CriteriTecnici!$K2445,".",","),IFERROR(NUMBERVALUE(CriteriTecnici!$K2445,",","."),0))),4)&amp;""),",",".")&amp;", "&amp;CHAR(34)&amp;"denominator"&amp;CHAR(34)&amp;": "&amp;SUBSTITUTE(TRIM(ROUND(IFERROR(CriteriTecnici!$L2445*1,IFERROR(NUMBERVALUE(CriteriTecnici!$L2445,".",","),IFERROR(NUMBERVALUE(CriteriTecnici!$L2445,",","."),0))),4)&amp;""),",",".")&amp;", "&amp;CHAR(34)&amp;"flag"&amp;CHAR(34)&amp;": "&amp;SUBSTITUTE(TRIM(ROUND(IFERROR(CriteriTecnici!$M2445*1,IFERROR(NUMBERVALUE(CriteriTecnici!$M2445,".",","),IFERROR(NUMBERVALUE(CriteriTecnici!$M2445,",","."),0))),4)&amp;""),",",".")&amp;", "&amp;CHAR(34)&amp;"rawScore"&amp;CHAR(34)&amp;": "&amp;SUBSTITUTE(TRIM(ROUND(IFERROR(CriteriTecnici!$O2445*1,IFERROR(NUMBERVALUE(CriteriTecnici!$O2445,".",","),IFERROR(NUMBERVALUE(CriteriTecnici!$O2445,",","."),0))),4)&amp;""),",",".")&amp;CHAR(125)&amp;IF(TRUE,",",""))</f>
        <v/>
      </c>
    </row>
    <row r="2547">
      <c r="A2547" s="82">
        <f>IF(CriteriTecnici!$A2446="","","    "&amp;CHAR(123)&amp;CHAR(34)&amp;"bidderId"&amp;CHAR(34)&amp;": "&amp;CHAR(34)&amp;SUBSTITUTE(CriteriTecnici!$A2446,CHAR(34),"'")&amp;CHAR(34)&amp;", "&amp;CHAR(34)&amp;"lotId"&amp;CHAR(34)&amp;": "&amp;CHAR(34)&amp;SUBSTITUTE(CriteriTecnici!$C2446,CHAR(34),"'")&amp;CHAR(34)&amp;", "&amp;CHAR(34)&amp;"criterionId"&amp;CHAR(34)&amp;": "&amp;CHAR(34)&amp;SUBSTITUTE(CriteriTecnici!$D2446,CHAR(34),"'")&amp;CHAR(34)&amp;", "&amp;CHAR(34)&amp;"kind"&amp;CHAR(34)&amp;": "&amp;CHAR(34)&amp;SUBSTITUTE(CriteriTecnici!$F2446,CHAR(34),"'")&amp;CHAR(34)&amp;", "&amp;CHAR(34)&amp;"value"&amp;CHAR(34)&amp;": "&amp;SUBSTITUTE(TRIM(ROUND(IFERROR(CriteriTecnici!$N2446*1,IFERROR(NUMBERVALUE(CriteriTecnici!$N2446,".",","),IFERROR(NUMBERVALUE(CriteriTecnici!$N2446,",","."),0))),4)&amp;""),",",".")&amp;", "&amp;CHAR(34)&amp;"numerator"&amp;CHAR(34)&amp;": "&amp;SUBSTITUTE(TRIM(ROUND(IFERROR(CriteriTecnici!$K2446*1,IFERROR(NUMBERVALUE(CriteriTecnici!$K2446,".",","),IFERROR(NUMBERVALUE(CriteriTecnici!$K2446,",","."),0))),4)&amp;""),",",".")&amp;", "&amp;CHAR(34)&amp;"denominator"&amp;CHAR(34)&amp;": "&amp;SUBSTITUTE(TRIM(ROUND(IFERROR(CriteriTecnici!$L2446*1,IFERROR(NUMBERVALUE(CriteriTecnici!$L2446,".",","),IFERROR(NUMBERVALUE(CriteriTecnici!$L2446,",","."),0))),4)&amp;""),",",".")&amp;", "&amp;CHAR(34)&amp;"flag"&amp;CHAR(34)&amp;": "&amp;SUBSTITUTE(TRIM(ROUND(IFERROR(CriteriTecnici!$M2446*1,IFERROR(NUMBERVALUE(CriteriTecnici!$M2446,".",","),IFERROR(NUMBERVALUE(CriteriTecnici!$M2446,",","."),0))),4)&amp;""),",",".")&amp;", "&amp;CHAR(34)&amp;"rawScore"&amp;CHAR(34)&amp;": "&amp;SUBSTITUTE(TRIM(ROUND(IFERROR(CriteriTecnici!$O2446*1,IFERROR(NUMBERVALUE(CriteriTecnici!$O2446,".",","),IFERROR(NUMBERVALUE(CriteriTecnici!$O2446,",","."),0))),4)&amp;""),",",".")&amp;CHAR(125)&amp;IF(TRUE,",",""))</f>
        <v/>
      </c>
    </row>
    <row r="2548">
      <c r="A2548" s="82">
        <f>IF(CriteriTecnici!$A2447="","","    "&amp;CHAR(123)&amp;CHAR(34)&amp;"bidderId"&amp;CHAR(34)&amp;": "&amp;CHAR(34)&amp;SUBSTITUTE(CriteriTecnici!$A2447,CHAR(34),"'")&amp;CHAR(34)&amp;", "&amp;CHAR(34)&amp;"lotId"&amp;CHAR(34)&amp;": "&amp;CHAR(34)&amp;SUBSTITUTE(CriteriTecnici!$C2447,CHAR(34),"'")&amp;CHAR(34)&amp;", "&amp;CHAR(34)&amp;"criterionId"&amp;CHAR(34)&amp;": "&amp;CHAR(34)&amp;SUBSTITUTE(CriteriTecnici!$D2447,CHAR(34),"'")&amp;CHAR(34)&amp;", "&amp;CHAR(34)&amp;"kind"&amp;CHAR(34)&amp;": "&amp;CHAR(34)&amp;SUBSTITUTE(CriteriTecnici!$F2447,CHAR(34),"'")&amp;CHAR(34)&amp;", "&amp;CHAR(34)&amp;"value"&amp;CHAR(34)&amp;": "&amp;SUBSTITUTE(TRIM(ROUND(IFERROR(CriteriTecnici!$N2447*1,IFERROR(NUMBERVALUE(CriteriTecnici!$N2447,".",","),IFERROR(NUMBERVALUE(CriteriTecnici!$N2447,",","."),0))),4)&amp;""),",",".")&amp;", "&amp;CHAR(34)&amp;"numerator"&amp;CHAR(34)&amp;": "&amp;SUBSTITUTE(TRIM(ROUND(IFERROR(CriteriTecnici!$K2447*1,IFERROR(NUMBERVALUE(CriteriTecnici!$K2447,".",","),IFERROR(NUMBERVALUE(CriteriTecnici!$K2447,",","."),0))),4)&amp;""),",",".")&amp;", "&amp;CHAR(34)&amp;"denominator"&amp;CHAR(34)&amp;": "&amp;SUBSTITUTE(TRIM(ROUND(IFERROR(CriteriTecnici!$L2447*1,IFERROR(NUMBERVALUE(CriteriTecnici!$L2447,".",","),IFERROR(NUMBERVALUE(CriteriTecnici!$L2447,",","."),0))),4)&amp;""),",",".")&amp;", "&amp;CHAR(34)&amp;"flag"&amp;CHAR(34)&amp;": "&amp;SUBSTITUTE(TRIM(ROUND(IFERROR(CriteriTecnici!$M2447*1,IFERROR(NUMBERVALUE(CriteriTecnici!$M2447,".",","),IFERROR(NUMBERVALUE(CriteriTecnici!$M2447,",","."),0))),4)&amp;""),",",".")&amp;", "&amp;CHAR(34)&amp;"rawScore"&amp;CHAR(34)&amp;": "&amp;SUBSTITUTE(TRIM(ROUND(IFERROR(CriteriTecnici!$O2447*1,IFERROR(NUMBERVALUE(CriteriTecnici!$O2447,".",","),IFERROR(NUMBERVALUE(CriteriTecnici!$O2447,",","."),0))),4)&amp;""),",",".")&amp;CHAR(125)&amp;IF(TRUE,",",""))</f>
        <v/>
      </c>
    </row>
    <row r="2549">
      <c r="A2549" s="82">
        <f>IF(CriteriTecnici!$A2448="","","    "&amp;CHAR(123)&amp;CHAR(34)&amp;"bidderId"&amp;CHAR(34)&amp;": "&amp;CHAR(34)&amp;SUBSTITUTE(CriteriTecnici!$A2448,CHAR(34),"'")&amp;CHAR(34)&amp;", "&amp;CHAR(34)&amp;"lotId"&amp;CHAR(34)&amp;": "&amp;CHAR(34)&amp;SUBSTITUTE(CriteriTecnici!$C2448,CHAR(34),"'")&amp;CHAR(34)&amp;", "&amp;CHAR(34)&amp;"criterionId"&amp;CHAR(34)&amp;": "&amp;CHAR(34)&amp;SUBSTITUTE(CriteriTecnici!$D2448,CHAR(34),"'")&amp;CHAR(34)&amp;", "&amp;CHAR(34)&amp;"kind"&amp;CHAR(34)&amp;": "&amp;CHAR(34)&amp;SUBSTITUTE(CriteriTecnici!$F2448,CHAR(34),"'")&amp;CHAR(34)&amp;", "&amp;CHAR(34)&amp;"value"&amp;CHAR(34)&amp;": "&amp;SUBSTITUTE(TRIM(ROUND(IFERROR(CriteriTecnici!$N2448*1,IFERROR(NUMBERVALUE(CriteriTecnici!$N2448,".",","),IFERROR(NUMBERVALUE(CriteriTecnici!$N2448,",","."),0))),4)&amp;""),",",".")&amp;", "&amp;CHAR(34)&amp;"numerator"&amp;CHAR(34)&amp;": "&amp;SUBSTITUTE(TRIM(ROUND(IFERROR(CriteriTecnici!$K2448*1,IFERROR(NUMBERVALUE(CriteriTecnici!$K2448,".",","),IFERROR(NUMBERVALUE(CriteriTecnici!$K2448,",","."),0))),4)&amp;""),",",".")&amp;", "&amp;CHAR(34)&amp;"denominator"&amp;CHAR(34)&amp;": "&amp;SUBSTITUTE(TRIM(ROUND(IFERROR(CriteriTecnici!$L2448*1,IFERROR(NUMBERVALUE(CriteriTecnici!$L2448,".",","),IFERROR(NUMBERVALUE(CriteriTecnici!$L2448,",","."),0))),4)&amp;""),",",".")&amp;", "&amp;CHAR(34)&amp;"flag"&amp;CHAR(34)&amp;": "&amp;SUBSTITUTE(TRIM(ROUND(IFERROR(CriteriTecnici!$M2448*1,IFERROR(NUMBERVALUE(CriteriTecnici!$M2448,".",","),IFERROR(NUMBERVALUE(CriteriTecnici!$M2448,",","."),0))),4)&amp;""),",",".")&amp;", "&amp;CHAR(34)&amp;"rawScore"&amp;CHAR(34)&amp;": "&amp;SUBSTITUTE(TRIM(ROUND(IFERROR(CriteriTecnici!$O2448*1,IFERROR(NUMBERVALUE(CriteriTecnici!$O2448,".",","),IFERROR(NUMBERVALUE(CriteriTecnici!$O2448,",","."),0))),4)&amp;""),",",".")&amp;CHAR(125)&amp;IF(TRUE,",",""))</f>
        <v/>
      </c>
    </row>
    <row r="2550">
      <c r="A2550" s="82">
        <f>IF(CriteriTecnici!$A2449="","","    "&amp;CHAR(123)&amp;CHAR(34)&amp;"bidderId"&amp;CHAR(34)&amp;": "&amp;CHAR(34)&amp;SUBSTITUTE(CriteriTecnici!$A2449,CHAR(34),"'")&amp;CHAR(34)&amp;", "&amp;CHAR(34)&amp;"lotId"&amp;CHAR(34)&amp;": "&amp;CHAR(34)&amp;SUBSTITUTE(CriteriTecnici!$C2449,CHAR(34),"'")&amp;CHAR(34)&amp;", "&amp;CHAR(34)&amp;"criterionId"&amp;CHAR(34)&amp;": "&amp;CHAR(34)&amp;SUBSTITUTE(CriteriTecnici!$D2449,CHAR(34),"'")&amp;CHAR(34)&amp;", "&amp;CHAR(34)&amp;"kind"&amp;CHAR(34)&amp;": "&amp;CHAR(34)&amp;SUBSTITUTE(CriteriTecnici!$F2449,CHAR(34),"'")&amp;CHAR(34)&amp;", "&amp;CHAR(34)&amp;"value"&amp;CHAR(34)&amp;": "&amp;SUBSTITUTE(TRIM(ROUND(IFERROR(CriteriTecnici!$N2449*1,IFERROR(NUMBERVALUE(CriteriTecnici!$N2449,".",","),IFERROR(NUMBERVALUE(CriteriTecnici!$N2449,",","."),0))),4)&amp;""),",",".")&amp;", "&amp;CHAR(34)&amp;"numerator"&amp;CHAR(34)&amp;": "&amp;SUBSTITUTE(TRIM(ROUND(IFERROR(CriteriTecnici!$K2449*1,IFERROR(NUMBERVALUE(CriteriTecnici!$K2449,".",","),IFERROR(NUMBERVALUE(CriteriTecnici!$K2449,",","."),0))),4)&amp;""),",",".")&amp;", "&amp;CHAR(34)&amp;"denominator"&amp;CHAR(34)&amp;": "&amp;SUBSTITUTE(TRIM(ROUND(IFERROR(CriteriTecnici!$L2449*1,IFERROR(NUMBERVALUE(CriteriTecnici!$L2449,".",","),IFERROR(NUMBERVALUE(CriteriTecnici!$L2449,",","."),0))),4)&amp;""),",",".")&amp;", "&amp;CHAR(34)&amp;"flag"&amp;CHAR(34)&amp;": "&amp;SUBSTITUTE(TRIM(ROUND(IFERROR(CriteriTecnici!$M2449*1,IFERROR(NUMBERVALUE(CriteriTecnici!$M2449,".",","),IFERROR(NUMBERVALUE(CriteriTecnici!$M2449,",","."),0))),4)&amp;""),",",".")&amp;", "&amp;CHAR(34)&amp;"rawScore"&amp;CHAR(34)&amp;": "&amp;SUBSTITUTE(TRIM(ROUND(IFERROR(CriteriTecnici!$O2449*1,IFERROR(NUMBERVALUE(CriteriTecnici!$O2449,".",","),IFERROR(NUMBERVALUE(CriteriTecnici!$O2449,",","."),0))),4)&amp;""),",",".")&amp;CHAR(125)&amp;IF(TRUE,",",""))</f>
        <v/>
      </c>
    </row>
    <row r="2551">
      <c r="A2551" s="82">
        <f>IF(CriteriTecnici!$A2450="","","    "&amp;CHAR(123)&amp;CHAR(34)&amp;"bidderId"&amp;CHAR(34)&amp;": "&amp;CHAR(34)&amp;SUBSTITUTE(CriteriTecnici!$A2450,CHAR(34),"'")&amp;CHAR(34)&amp;", "&amp;CHAR(34)&amp;"lotId"&amp;CHAR(34)&amp;": "&amp;CHAR(34)&amp;SUBSTITUTE(CriteriTecnici!$C2450,CHAR(34),"'")&amp;CHAR(34)&amp;", "&amp;CHAR(34)&amp;"criterionId"&amp;CHAR(34)&amp;": "&amp;CHAR(34)&amp;SUBSTITUTE(CriteriTecnici!$D2450,CHAR(34),"'")&amp;CHAR(34)&amp;", "&amp;CHAR(34)&amp;"kind"&amp;CHAR(34)&amp;": "&amp;CHAR(34)&amp;SUBSTITUTE(CriteriTecnici!$F2450,CHAR(34),"'")&amp;CHAR(34)&amp;", "&amp;CHAR(34)&amp;"value"&amp;CHAR(34)&amp;": "&amp;SUBSTITUTE(TRIM(ROUND(IFERROR(CriteriTecnici!$N2450*1,IFERROR(NUMBERVALUE(CriteriTecnici!$N2450,".",","),IFERROR(NUMBERVALUE(CriteriTecnici!$N2450,",","."),0))),4)&amp;""),",",".")&amp;", "&amp;CHAR(34)&amp;"numerator"&amp;CHAR(34)&amp;": "&amp;SUBSTITUTE(TRIM(ROUND(IFERROR(CriteriTecnici!$K2450*1,IFERROR(NUMBERVALUE(CriteriTecnici!$K2450,".",","),IFERROR(NUMBERVALUE(CriteriTecnici!$K2450,",","."),0))),4)&amp;""),",",".")&amp;", "&amp;CHAR(34)&amp;"denominator"&amp;CHAR(34)&amp;": "&amp;SUBSTITUTE(TRIM(ROUND(IFERROR(CriteriTecnici!$L2450*1,IFERROR(NUMBERVALUE(CriteriTecnici!$L2450,".",","),IFERROR(NUMBERVALUE(CriteriTecnici!$L2450,",","."),0))),4)&amp;""),",",".")&amp;", "&amp;CHAR(34)&amp;"flag"&amp;CHAR(34)&amp;": "&amp;SUBSTITUTE(TRIM(ROUND(IFERROR(CriteriTecnici!$M2450*1,IFERROR(NUMBERVALUE(CriteriTecnici!$M2450,".",","),IFERROR(NUMBERVALUE(CriteriTecnici!$M2450,",","."),0))),4)&amp;""),",",".")&amp;", "&amp;CHAR(34)&amp;"rawScore"&amp;CHAR(34)&amp;": "&amp;SUBSTITUTE(TRIM(ROUND(IFERROR(CriteriTecnici!$O2450*1,IFERROR(NUMBERVALUE(CriteriTecnici!$O2450,".",","),IFERROR(NUMBERVALUE(CriteriTecnici!$O2450,",","."),0))),4)&amp;""),",",".")&amp;CHAR(125)&amp;IF(TRUE,",",""))</f>
        <v/>
      </c>
    </row>
    <row r="2552">
      <c r="A2552" s="82">
        <f>IF(CriteriTecnici!$A2451="","","    "&amp;CHAR(123)&amp;CHAR(34)&amp;"bidderId"&amp;CHAR(34)&amp;": "&amp;CHAR(34)&amp;SUBSTITUTE(CriteriTecnici!$A2451,CHAR(34),"'")&amp;CHAR(34)&amp;", "&amp;CHAR(34)&amp;"lotId"&amp;CHAR(34)&amp;": "&amp;CHAR(34)&amp;SUBSTITUTE(CriteriTecnici!$C2451,CHAR(34),"'")&amp;CHAR(34)&amp;", "&amp;CHAR(34)&amp;"criterionId"&amp;CHAR(34)&amp;": "&amp;CHAR(34)&amp;SUBSTITUTE(CriteriTecnici!$D2451,CHAR(34),"'")&amp;CHAR(34)&amp;", "&amp;CHAR(34)&amp;"kind"&amp;CHAR(34)&amp;": "&amp;CHAR(34)&amp;SUBSTITUTE(CriteriTecnici!$F2451,CHAR(34),"'")&amp;CHAR(34)&amp;", "&amp;CHAR(34)&amp;"value"&amp;CHAR(34)&amp;": "&amp;SUBSTITUTE(TRIM(ROUND(IFERROR(CriteriTecnici!$N2451*1,IFERROR(NUMBERVALUE(CriteriTecnici!$N2451,".",","),IFERROR(NUMBERVALUE(CriteriTecnici!$N2451,",","."),0))),4)&amp;""),",",".")&amp;", "&amp;CHAR(34)&amp;"numerator"&amp;CHAR(34)&amp;": "&amp;SUBSTITUTE(TRIM(ROUND(IFERROR(CriteriTecnici!$K2451*1,IFERROR(NUMBERVALUE(CriteriTecnici!$K2451,".",","),IFERROR(NUMBERVALUE(CriteriTecnici!$K2451,",","."),0))),4)&amp;""),",",".")&amp;", "&amp;CHAR(34)&amp;"denominator"&amp;CHAR(34)&amp;": "&amp;SUBSTITUTE(TRIM(ROUND(IFERROR(CriteriTecnici!$L2451*1,IFERROR(NUMBERVALUE(CriteriTecnici!$L2451,".",","),IFERROR(NUMBERVALUE(CriteriTecnici!$L2451,",","."),0))),4)&amp;""),",",".")&amp;", "&amp;CHAR(34)&amp;"flag"&amp;CHAR(34)&amp;": "&amp;SUBSTITUTE(TRIM(ROUND(IFERROR(CriteriTecnici!$M2451*1,IFERROR(NUMBERVALUE(CriteriTecnici!$M2451,".",","),IFERROR(NUMBERVALUE(CriteriTecnici!$M2451,",","."),0))),4)&amp;""),",",".")&amp;", "&amp;CHAR(34)&amp;"rawScore"&amp;CHAR(34)&amp;": "&amp;SUBSTITUTE(TRIM(ROUND(IFERROR(CriteriTecnici!$O2451*1,IFERROR(NUMBERVALUE(CriteriTecnici!$O2451,".",","),IFERROR(NUMBERVALUE(CriteriTecnici!$O2451,",","."),0))),4)&amp;""),",",".")&amp;CHAR(125)&amp;IF(TRUE,",",""))</f>
        <v/>
      </c>
    </row>
    <row r="2553">
      <c r="A2553" s="82">
        <f>IF(CriteriTecnici!$A2452="","","    "&amp;CHAR(123)&amp;CHAR(34)&amp;"bidderId"&amp;CHAR(34)&amp;": "&amp;CHAR(34)&amp;SUBSTITUTE(CriteriTecnici!$A2452,CHAR(34),"'")&amp;CHAR(34)&amp;", "&amp;CHAR(34)&amp;"lotId"&amp;CHAR(34)&amp;": "&amp;CHAR(34)&amp;SUBSTITUTE(CriteriTecnici!$C2452,CHAR(34),"'")&amp;CHAR(34)&amp;", "&amp;CHAR(34)&amp;"criterionId"&amp;CHAR(34)&amp;": "&amp;CHAR(34)&amp;SUBSTITUTE(CriteriTecnici!$D2452,CHAR(34),"'")&amp;CHAR(34)&amp;", "&amp;CHAR(34)&amp;"kind"&amp;CHAR(34)&amp;": "&amp;CHAR(34)&amp;SUBSTITUTE(CriteriTecnici!$F2452,CHAR(34),"'")&amp;CHAR(34)&amp;", "&amp;CHAR(34)&amp;"value"&amp;CHAR(34)&amp;": "&amp;SUBSTITUTE(TRIM(ROUND(IFERROR(CriteriTecnici!$N2452*1,IFERROR(NUMBERVALUE(CriteriTecnici!$N2452,".",","),IFERROR(NUMBERVALUE(CriteriTecnici!$N2452,",","."),0))),4)&amp;""),",",".")&amp;", "&amp;CHAR(34)&amp;"numerator"&amp;CHAR(34)&amp;": "&amp;SUBSTITUTE(TRIM(ROUND(IFERROR(CriteriTecnici!$K2452*1,IFERROR(NUMBERVALUE(CriteriTecnici!$K2452,".",","),IFERROR(NUMBERVALUE(CriteriTecnici!$K2452,",","."),0))),4)&amp;""),",",".")&amp;", "&amp;CHAR(34)&amp;"denominator"&amp;CHAR(34)&amp;": "&amp;SUBSTITUTE(TRIM(ROUND(IFERROR(CriteriTecnici!$L2452*1,IFERROR(NUMBERVALUE(CriteriTecnici!$L2452,".",","),IFERROR(NUMBERVALUE(CriteriTecnici!$L2452,",","."),0))),4)&amp;""),",",".")&amp;", "&amp;CHAR(34)&amp;"flag"&amp;CHAR(34)&amp;": "&amp;SUBSTITUTE(TRIM(ROUND(IFERROR(CriteriTecnici!$M2452*1,IFERROR(NUMBERVALUE(CriteriTecnici!$M2452,".",","),IFERROR(NUMBERVALUE(CriteriTecnici!$M2452,",","."),0))),4)&amp;""),",",".")&amp;", "&amp;CHAR(34)&amp;"rawScore"&amp;CHAR(34)&amp;": "&amp;SUBSTITUTE(TRIM(ROUND(IFERROR(CriteriTecnici!$O2452*1,IFERROR(NUMBERVALUE(CriteriTecnici!$O2452,".",","),IFERROR(NUMBERVALUE(CriteriTecnici!$O2452,",","."),0))),4)&amp;""),",",".")&amp;CHAR(125)&amp;IF(TRUE,",",""))</f>
        <v/>
      </c>
    </row>
    <row r="2554">
      <c r="A2554" s="82">
        <f>IF(CriteriTecnici!$A2453="","","    "&amp;CHAR(123)&amp;CHAR(34)&amp;"bidderId"&amp;CHAR(34)&amp;": "&amp;CHAR(34)&amp;SUBSTITUTE(CriteriTecnici!$A2453,CHAR(34),"'")&amp;CHAR(34)&amp;", "&amp;CHAR(34)&amp;"lotId"&amp;CHAR(34)&amp;": "&amp;CHAR(34)&amp;SUBSTITUTE(CriteriTecnici!$C2453,CHAR(34),"'")&amp;CHAR(34)&amp;", "&amp;CHAR(34)&amp;"criterionId"&amp;CHAR(34)&amp;": "&amp;CHAR(34)&amp;SUBSTITUTE(CriteriTecnici!$D2453,CHAR(34),"'")&amp;CHAR(34)&amp;", "&amp;CHAR(34)&amp;"kind"&amp;CHAR(34)&amp;": "&amp;CHAR(34)&amp;SUBSTITUTE(CriteriTecnici!$F2453,CHAR(34),"'")&amp;CHAR(34)&amp;", "&amp;CHAR(34)&amp;"value"&amp;CHAR(34)&amp;": "&amp;SUBSTITUTE(TRIM(ROUND(IFERROR(CriteriTecnici!$N2453*1,IFERROR(NUMBERVALUE(CriteriTecnici!$N2453,".",","),IFERROR(NUMBERVALUE(CriteriTecnici!$N2453,",","."),0))),4)&amp;""),",",".")&amp;", "&amp;CHAR(34)&amp;"numerator"&amp;CHAR(34)&amp;": "&amp;SUBSTITUTE(TRIM(ROUND(IFERROR(CriteriTecnici!$K2453*1,IFERROR(NUMBERVALUE(CriteriTecnici!$K2453,".",","),IFERROR(NUMBERVALUE(CriteriTecnici!$K2453,",","."),0))),4)&amp;""),",",".")&amp;", "&amp;CHAR(34)&amp;"denominator"&amp;CHAR(34)&amp;": "&amp;SUBSTITUTE(TRIM(ROUND(IFERROR(CriteriTecnici!$L2453*1,IFERROR(NUMBERVALUE(CriteriTecnici!$L2453,".",","),IFERROR(NUMBERVALUE(CriteriTecnici!$L2453,",","."),0))),4)&amp;""),",",".")&amp;", "&amp;CHAR(34)&amp;"flag"&amp;CHAR(34)&amp;": "&amp;SUBSTITUTE(TRIM(ROUND(IFERROR(CriteriTecnici!$M2453*1,IFERROR(NUMBERVALUE(CriteriTecnici!$M2453,".",","),IFERROR(NUMBERVALUE(CriteriTecnici!$M2453,",","."),0))),4)&amp;""),",",".")&amp;", "&amp;CHAR(34)&amp;"rawScore"&amp;CHAR(34)&amp;": "&amp;SUBSTITUTE(TRIM(ROUND(IFERROR(CriteriTecnici!$O2453*1,IFERROR(NUMBERVALUE(CriteriTecnici!$O2453,".",","),IFERROR(NUMBERVALUE(CriteriTecnici!$O2453,",","."),0))),4)&amp;""),",",".")&amp;CHAR(125)&amp;IF(COUNTA(Offerte!$A81:$A$81)&gt;0,",",""))</f>
        <v/>
      </c>
    </row>
    <row r="2555">
      <c r="A2555" s="82">
        <f>IF(CriteriTecnici!$A2454="","","    "&amp;CHAR(123)&amp;CHAR(34)&amp;"bidderId"&amp;CHAR(34)&amp;": "&amp;CHAR(34)&amp;SUBSTITUTE(CriteriTecnici!$A2454,CHAR(34),"'")&amp;CHAR(34)&amp;", "&amp;CHAR(34)&amp;"lotId"&amp;CHAR(34)&amp;": "&amp;CHAR(34)&amp;SUBSTITUTE(CriteriTecnici!$C2454,CHAR(34),"'")&amp;CHAR(34)&amp;", "&amp;CHAR(34)&amp;"criterionId"&amp;CHAR(34)&amp;": "&amp;CHAR(34)&amp;SUBSTITUTE(CriteriTecnici!$D2454,CHAR(34),"'")&amp;CHAR(34)&amp;", "&amp;CHAR(34)&amp;"kind"&amp;CHAR(34)&amp;": "&amp;CHAR(34)&amp;SUBSTITUTE(CriteriTecnici!$F2454,CHAR(34),"'")&amp;CHAR(34)&amp;", "&amp;CHAR(34)&amp;"value"&amp;CHAR(34)&amp;": "&amp;SUBSTITUTE(TRIM(ROUND(IFERROR(CriteriTecnici!$N2454*1,IFERROR(NUMBERVALUE(CriteriTecnici!$N2454,".",","),IFERROR(NUMBERVALUE(CriteriTecnici!$N2454,",","."),0))),4)&amp;""),",",".")&amp;", "&amp;CHAR(34)&amp;"numerator"&amp;CHAR(34)&amp;": "&amp;SUBSTITUTE(TRIM(ROUND(IFERROR(CriteriTecnici!$K2454*1,IFERROR(NUMBERVALUE(CriteriTecnici!$K2454,".",","),IFERROR(NUMBERVALUE(CriteriTecnici!$K2454,",","."),0))),4)&amp;""),",",".")&amp;", "&amp;CHAR(34)&amp;"denominator"&amp;CHAR(34)&amp;": "&amp;SUBSTITUTE(TRIM(ROUND(IFERROR(CriteriTecnici!$L2454*1,IFERROR(NUMBERVALUE(CriteriTecnici!$L2454,".",","),IFERROR(NUMBERVALUE(CriteriTecnici!$L2454,",","."),0))),4)&amp;""),",",".")&amp;", "&amp;CHAR(34)&amp;"flag"&amp;CHAR(34)&amp;": "&amp;SUBSTITUTE(TRIM(ROUND(IFERROR(CriteriTecnici!$M2454*1,IFERROR(NUMBERVALUE(CriteriTecnici!$M2454,".",","),IFERROR(NUMBERVALUE(CriteriTecnici!$M2454,",","."),0))),4)&amp;""),",",".")&amp;", "&amp;CHAR(34)&amp;"rawScore"&amp;CHAR(34)&amp;": "&amp;SUBSTITUTE(TRIM(ROUND(IFERROR(CriteriTecnici!$O2454*1,IFERROR(NUMBERVALUE(CriteriTecnici!$O2454,".",","),IFERROR(NUMBERVALUE(CriteriTecnici!$O2454,",","."),0))),4)&amp;""),",",".")&amp;CHAR(125)&amp;IF(TRUE,",",""))</f>
        <v/>
      </c>
    </row>
    <row r="2556">
      <c r="A2556" s="82">
        <f>IF(CriteriTecnici!$A2455="","","    "&amp;CHAR(123)&amp;CHAR(34)&amp;"bidderId"&amp;CHAR(34)&amp;": "&amp;CHAR(34)&amp;SUBSTITUTE(CriteriTecnici!$A2455,CHAR(34),"'")&amp;CHAR(34)&amp;", "&amp;CHAR(34)&amp;"lotId"&amp;CHAR(34)&amp;": "&amp;CHAR(34)&amp;SUBSTITUTE(CriteriTecnici!$C2455,CHAR(34),"'")&amp;CHAR(34)&amp;", "&amp;CHAR(34)&amp;"criterionId"&amp;CHAR(34)&amp;": "&amp;CHAR(34)&amp;SUBSTITUTE(CriteriTecnici!$D2455,CHAR(34),"'")&amp;CHAR(34)&amp;", "&amp;CHAR(34)&amp;"kind"&amp;CHAR(34)&amp;": "&amp;CHAR(34)&amp;SUBSTITUTE(CriteriTecnici!$F2455,CHAR(34),"'")&amp;CHAR(34)&amp;", "&amp;CHAR(34)&amp;"value"&amp;CHAR(34)&amp;": "&amp;SUBSTITUTE(TRIM(ROUND(IFERROR(CriteriTecnici!$N2455*1,IFERROR(NUMBERVALUE(CriteriTecnici!$N2455,".",","),IFERROR(NUMBERVALUE(CriteriTecnici!$N2455,",","."),0))),4)&amp;""),",",".")&amp;", "&amp;CHAR(34)&amp;"numerator"&amp;CHAR(34)&amp;": "&amp;SUBSTITUTE(TRIM(ROUND(IFERROR(CriteriTecnici!$K2455*1,IFERROR(NUMBERVALUE(CriteriTecnici!$K2455,".",","),IFERROR(NUMBERVALUE(CriteriTecnici!$K2455,",","."),0))),4)&amp;""),",",".")&amp;", "&amp;CHAR(34)&amp;"denominator"&amp;CHAR(34)&amp;": "&amp;SUBSTITUTE(TRIM(ROUND(IFERROR(CriteriTecnici!$L2455*1,IFERROR(NUMBERVALUE(CriteriTecnici!$L2455,".",","),IFERROR(NUMBERVALUE(CriteriTecnici!$L2455,",","."),0))),4)&amp;""),",",".")&amp;", "&amp;CHAR(34)&amp;"flag"&amp;CHAR(34)&amp;": "&amp;SUBSTITUTE(TRIM(ROUND(IFERROR(CriteriTecnici!$M2455*1,IFERROR(NUMBERVALUE(CriteriTecnici!$M2455,".",","),IFERROR(NUMBERVALUE(CriteriTecnici!$M2455,",","."),0))),4)&amp;""),",",".")&amp;", "&amp;CHAR(34)&amp;"rawScore"&amp;CHAR(34)&amp;": "&amp;SUBSTITUTE(TRIM(ROUND(IFERROR(CriteriTecnici!$O2455*1,IFERROR(NUMBERVALUE(CriteriTecnici!$O2455,".",","),IFERROR(NUMBERVALUE(CriteriTecnici!$O2455,",","."),0))),4)&amp;""),",",".")&amp;CHAR(125)&amp;IF(TRUE,",",""))</f>
        <v/>
      </c>
    </row>
    <row r="2557">
      <c r="A2557" s="82">
        <f>IF(CriteriTecnici!$A2456="","","    "&amp;CHAR(123)&amp;CHAR(34)&amp;"bidderId"&amp;CHAR(34)&amp;": "&amp;CHAR(34)&amp;SUBSTITUTE(CriteriTecnici!$A2456,CHAR(34),"'")&amp;CHAR(34)&amp;", "&amp;CHAR(34)&amp;"lotId"&amp;CHAR(34)&amp;": "&amp;CHAR(34)&amp;SUBSTITUTE(CriteriTecnici!$C2456,CHAR(34),"'")&amp;CHAR(34)&amp;", "&amp;CHAR(34)&amp;"criterionId"&amp;CHAR(34)&amp;": "&amp;CHAR(34)&amp;SUBSTITUTE(CriteriTecnici!$D2456,CHAR(34),"'")&amp;CHAR(34)&amp;", "&amp;CHAR(34)&amp;"kind"&amp;CHAR(34)&amp;": "&amp;CHAR(34)&amp;SUBSTITUTE(CriteriTecnici!$F2456,CHAR(34),"'")&amp;CHAR(34)&amp;", "&amp;CHAR(34)&amp;"value"&amp;CHAR(34)&amp;": "&amp;SUBSTITUTE(TRIM(ROUND(IFERROR(CriteriTecnici!$N2456*1,IFERROR(NUMBERVALUE(CriteriTecnici!$N2456,".",","),IFERROR(NUMBERVALUE(CriteriTecnici!$N2456,",","."),0))),4)&amp;""),",",".")&amp;", "&amp;CHAR(34)&amp;"numerator"&amp;CHAR(34)&amp;": "&amp;SUBSTITUTE(TRIM(ROUND(IFERROR(CriteriTecnici!$K2456*1,IFERROR(NUMBERVALUE(CriteriTecnici!$K2456,".",","),IFERROR(NUMBERVALUE(CriteriTecnici!$K2456,",","."),0))),4)&amp;""),",",".")&amp;", "&amp;CHAR(34)&amp;"denominator"&amp;CHAR(34)&amp;": "&amp;SUBSTITUTE(TRIM(ROUND(IFERROR(CriteriTecnici!$L2456*1,IFERROR(NUMBERVALUE(CriteriTecnici!$L2456,".",","),IFERROR(NUMBERVALUE(CriteriTecnici!$L2456,",","."),0))),4)&amp;""),",",".")&amp;", "&amp;CHAR(34)&amp;"flag"&amp;CHAR(34)&amp;": "&amp;SUBSTITUTE(TRIM(ROUND(IFERROR(CriteriTecnici!$M2456*1,IFERROR(NUMBERVALUE(CriteriTecnici!$M2456,".",","),IFERROR(NUMBERVALUE(CriteriTecnici!$M2456,",","."),0))),4)&amp;""),",",".")&amp;", "&amp;CHAR(34)&amp;"rawScore"&amp;CHAR(34)&amp;": "&amp;SUBSTITUTE(TRIM(ROUND(IFERROR(CriteriTecnici!$O2456*1,IFERROR(NUMBERVALUE(CriteriTecnici!$O2456,".",","),IFERROR(NUMBERVALUE(CriteriTecnici!$O2456,",","."),0))),4)&amp;""),",",".")&amp;CHAR(125)&amp;IF(TRUE,",",""))</f>
        <v/>
      </c>
    </row>
    <row r="2558">
      <c r="A2558" s="82">
        <f>IF(CriteriTecnici!$A2457="","","    "&amp;CHAR(123)&amp;CHAR(34)&amp;"bidderId"&amp;CHAR(34)&amp;": "&amp;CHAR(34)&amp;SUBSTITUTE(CriteriTecnici!$A2457,CHAR(34),"'")&amp;CHAR(34)&amp;", "&amp;CHAR(34)&amp;"lotId"&amp;CHAR(34)&amp;": "&amp;CHAR(34)&amp;SUBSTITUTE(CriteriTecnici!$C2457,CHAR(34),"'")&amp;CHAR(34)&amp;", "&amp;CHAR(34)&amp;"criterionId"&amp;CHAR(34)&amp;": "&amp;CHAR(34)&amp;SUBSTITUTE(CriteriTecnici!$D2457,CHAR(34),"'")&amp;CHAR(34)&amp;", "&amp;CHAR(34)&amp;"kind"&amp;CHAR(34)&amp;": "&amp;CHAR(34)&amp;SUBSTITUTE(CriteriTecnici!$F2457,CHAR(34),"'")&amp;CHAR(34)&amp;", "&amp;CHAR(34)&amp;"value"&amp;CHAR(34)&amp;": "&amp;SUBSTITUTE(TRIM(ROUND(IFERROR(CriteriTecnici!$N2457*1,IFERROR(NUMBERVALUE(CriteriTecnici!$N2457,".",","),IFERROR(NUMBERVALUE(CriteriTecnici!$N2457,",","."),0))),4)&amp;""),",",".")&amp;", "&amp;CHAR(34)&amp;"numerator"&amp;CHAR(34)&amp;": "&amp;SUBSTITUTE(TRIM(ROUND(IFERROR(CriteriTecnici!$K2457*1,IFERROR(NUMBERVALUE(CriteriTecnici!$K2457,".",","),IFERROR(NUMBERVALUE(CriteriTecnici!$K2457,",","."),0))),4)&amp;""),",",".")&amp;", "&amp;CHAR(34)&amp;"denominator"&amp;CHAR(34)&amp;": "&amp;SUBSTITUTE(TRIM(ROUND(IFERROR(CriteriTecnici!$L2457*1,IFERROR(NUMBERVALUE(CriteriTecnici!$L2457,".",","),IFERROR(NUMBERVALUE(CriteriTecnici!$L2457,",","."),0))),4)&amp;""),",",".")&amp;", "&amp;CHAR(34)&amp;"flag"&amp;CHAR(34)&amp;": "&amp;SUBSTITUTE(TRIM(ROUND(IFERROR(CriteriTecnici!$M2457*1,IFERROR(NUMBERVALUE(CriteriTecnici!$M2457,".",","),IFERROR(NUMBERVALUE(CriteriTecnici!$M2457,",","."),0))),4)&amp;""),",",".")&amp;", "&amp;CHAR(34)&amp;"rawScore"&amp;CHAR(34)&amp;": "&amp;SUBSTITUTE(TRIM(ROUND(IFERROR(CriteriTecnici!$O2457*1,IFERROR(NUMBERVALUE(CriteriTecnici!$O2457,".",","),IFERROR(NUMBERVALUE(CriteriTecnici!$O2457,",","."),0))),4)&amp;""),",",".")&amp;CHAR(125)&amp;IF(TRUE,",",""))</f>
        <v/>
      </c>
    </row>
    <row r="2559">
      <c r="A2559" s="82">
        <f>IF(CriteriTecnici!$A2458="","","    "&amp;CHAR(123)&amp;CHAR(34)&amp;"bidderId"&amp;CHAR(34)&amp;": "&amp;CHAR(34)&amp;SUBSTITUTE(CriteriTecnici!$A2458,CHAR(34),"'")&amp;CHAR(34)&amp;", "&amp;CHAR(34)&amp;"lotId"&amp;CHAR(34)&amp;": "&amp;CHAR(34)&amp;SUBSTITUTE(CriteriTecnici!$C2458,CHAR(34),"'")&amp;CHAR(34)&amp;", "&amp;CHAR(34)&amp;"criterionId"&amp;CHAR(34)&amp;": "&amp;CHAR(34)&amp;SUBSTITUTE(CriteriTecnici!$D2458,CHAR(34),"'")&amp;CHAR(34)&amp;", "&amp;CHAR(34)&amp;"kind"&amp;CHAR(34)&amp;": "&amp;CHAR(34)&amp;SUBSTITUTE(CriteriTecnici!$F2458,CHAR(34),"'")&amp;CHAR(34)&amp;", "&amp;CHAR(34)&amp;"value"&amp;CHAR(34)&amp;": "&amp;SUBSTITUTE(TRIM(ROUND(IFERROR(CriteriTecnici!$N2458*1,IFERROR(NUMBERVALUE(CriteriTecnici!$N2458,".",","),IFERROR(NUMBERVALUE(CriteriTecnici!$N2458,",","."),0))),4)&amp;""),",",".")&amp;", "&amp;CHAR(34)&amp;"numerator"&amp;CHAR(34)&amp;": "&amp;SUBSTITUTE(TRIM(ROUND(IFERROR(CriteriTecnici!$K2458*1,IFERROR(NUMBERVALUE(CriteriTecnici!$K2458,".",","),IFERROR(NUMBERVALUE(CriteriTecnici!$K2458,",","."),0))),4)&amp;""),",",".")&amp;", "&amp;CHAR(34)&amp;"denominator"&amp;CHAR(34)&amp;": "&amp;SUBSTITUTE(TRIM(ROUND(IFERROR(CriteriTecnici!$L2458*1,IFERROR(NUMBERVALUE(CriteriTecnici!$L2458,".",","),IFERROR(NUMBERVALUE(CriteriTecnici!$L2458,",","."),0))),4)&amp;""),",",".")&amp;", "&amp;CHAR(34)&amp;"flag"&amp;CHAR(34)&amp;": "&amp;SUBSTITUTE(TRIM(ROUND(IFERROR(CriteriTecnici!$M2458*1,IFERROR(NUMBERVALUE(CriteriTecnici!$M2458,".",","),IFERROR(NUMBERVALUE(CriteriTecnici!$M2458,",","."),0))),4)&amp;""),",",".")&amp;", "&amp;CHAR(34)&amp;"rawScore"&amp;CHAR(34)&amp;": "&amp;SUBSTITUTE(TRIM(ROUND(IFERROR(CriteriTecnici!$O2458*1,IFERROR(NUMBERVALUE(CriteriTecnici!$O2458,".",","),IFERROR(NUMBERVALUE(CriteriTecnici!$O2458,",","."),0))),4)&amp;""),",",".")&amp;CHAR(125)&amp;IF(TRUE,",",""))</f>
        <v/>
      </c>
    </row>
    <row r="2560">
      <c r="A2560" s="82">
        <f>IF(CriteriTecnici!$A2459="","","    "&amp;CHAR(123)&amp;CHAR(34)&amp;"bidderId"&amp;CHAR(34)&amp;": "&amp;CHAR(34)&amp;SUBSTITUTE(CriteriTecnici!$A2459,CHAR(34),"'")&amp;CHAR(34)&amp;", "&amp;CHAR(34)&amp;"lotId"&amp;CHAR(34)&amp;": "&amp;CHAR(34)&amp;SUBSTITUTE(CriteriTecnici!$C2459,CHAR(34),"'")&amp;CHAR(34)&amp;", "&amp;CHAR(34)&amp;"criterionId"&amp;CHAR(34)&amp;": "&amp;CHAR(34)&amp;SUBSTITUTE(CriteriTecnici!$D2459,CHAR(34),"'")&amp;CHAR(34)&amp;", "&amp;CHAR(34)&amp;"kind"&amp;CHAR(34)&amp;": "&amp;CHAR(34)&amp;SUBSTITUTE(CriteriTecnici!$F2459,CHAR(34),"'")&amp;CHAR(34)&amp;", "&amp;CHAR(34)&amp;"value"&amp;CHAR(34)&amp;": "&amp;SUBSTITUTE(TRIM(ROUND(IFERROR(CriteriTecnici!$N2459*1,IFERROR(NUMBERVALUE(CriteriTecnici!$N2459,".",","),IFERROR(NUMBERVALUE(CriteriTecnici!$N2459,",","."),0))),4)&amp;""),",",".")&amp;", "&amp;CHAR(34)&amp;"numerator"&amp;CHAR(34)&amp;": "&amp;SUBSTITUTE(TRIM(ROUND(IFERROR(CriteriTecnici!$K2459*1,IFERROR(NUMBERVALUE(CriteriTecnici!$K2459,".",","),IFERROR(NUMBERVALUE(CriteriTecnici!$K2459,",","."),0))),4)&amp;""),",",".")&amp;", "&amp;CHAR(34)&amp;"denominator"&amp;CHAR(34)&amp;": "&amp;SUBSTITUTE(TRIM(ROUND(IFERROR(CriteriTecnici!$L2459*1,IFERROR(NUMBERVALUE(CriteriTecnici!$L2459,".",","),IFERROR(NUMBERVALUE(CriteriTecnici!$L2459,",","."),0))),4)&amp;""),",",".")&amp;", "&amp;CHAR(34)&amp;"flag"&amp;CHAR(34)&amp;": "&amp;SUBSTITUTE(TRIM(ROUND(IFERROR(CriteriTecnici!$M2459*1,IFERROR(NUMBERVALUE(CriteriTecnici!$M2459,".",","),IFERROR(NUMBERVALUE(CriteriTecnici!$M2459,",","."),0))),4)&amp;""),",",".")&amp;", "&amp;CHAR(34)&amp;"rawScore"&amp;CHAR(34)&amp;": "&amp;SUBSTITUTE(TRIM(ROUND(IFERROR(CriteriTecnici!$O2459*1,IFERROR(NUMBERVALUE(CriteriTecnici!$O2459,".",","),IFERROR(NUMBERVALUE(CriteriTecnici!$O2459,",","."),0))),4)&amp;""),",",".")&amp;CHAR(125)&amp;IF(TRUE,",",""))</f>
        <v/>
      </c>
    </row>
    <row r="2561">
      <c r="A2561" s="82">
        <f>IF(CriteriTecnici!$A2460="","","    "&amp;CHAR(123)&amp;CHAR(34)&amp;"bidderId"&amp;CHAR(34)&amp;": "&amp;CHAR(34)&amp;SUBSTITUTE(CriteriTecnici!$A2460,CHAR(34),"'")&amp;CHAR(34)&amp;", "&amp;CHAR(34)&amp;"lotId"&amp;CHAR(34)&amp;": "&amp;CHAR(34)&amp;SUBSTITUTE(CriteriTecnici!$C2460,CHAR(34),"'")&amp;CHAR(34)&amp;", "&amp;CHAR(34)&amp;"criterionId"&amp;CHAR(34)&amp;": "&amp;CHAR(34)&amp;SUBSTITUTE(CriteriTecnici!$D2460,CHAR(34),"'")&amp;CHAR(34)&amp;", "&amp;CHAR(34)&amp;"kind"&amp;CHAR(34)&amp;": "&amp;CHAR(34)&amp;SUBSTITUTE(CriteriTecnici!$F2460,CHAR(34),"'")&amp;CHAR(34)&amp;", "&amp;CHAR(34)&amp;"value"&amp;CHAR(34)&amp;": "&amp;SUBSTITUTE(TRIM(ROUND(IFERROR(CriteriTecnici!$N2460*1,IFERROR(NUMBERVALUE(CriteriTecnici!$N2460,".",","),IFERROR(NUMBERVALUE(CriteriTecnici!$N2460,",","."),0))),4)&amp;""),",",".")&amp;", "&amp;CHAR(34)&amp;"numerator"&amp;CHAR(34)&amp;": "&amp;SUBSTITUTE(TRIM(ROUND(IFERROR(CriteriTecnici!$K2460*1,IFERROR(NUMBERVALUE(CriteriTecnici!$K2460,".",","),IFERROR(NUMBERVALUE(CriteriTecnici!$K2460,",","."),0))),4)&amp;""),",",".")&amp;", "&amp;CHAR(34)&amp;"denominator"&amp;CHAR(34)&amp;": "&amp;SUBSTITUTE(TRIM(ROUND(IFERROR(CriteriTecnici!$L2460*1,IFERROR(NUMBERVALUE(CriteriTecnici!$L2460,".",","),IFERROR(NUMBERVALUE(CriteriTecnici!$L2460,",","."),0))),4)&amp;""),",",".")&amp;", "&amp;CHAR(34)&amp;"flag"&amp;CHAR(34)&amp;": "&amp;SUBSTITUTE(TRIM(ROUND(IFERROR(CriteriTecnici!$M2460*1,IFERROR(NUMBERVALUE(CriteriTecnici!$M2460,".",","),IFERROR(NUMBERVALUE(CriteriTecnici!$M2460,",","."),0))),4)&amp;""),",",".")&amp;", "&amp;CHAR(34)&amp;"rawScore"&amp;CHAR(34)&amp;": "&amp;SUBSTITUTE(TRIM(ROUND(IFERROR(CriteriTecnici!$O2460*1,IFERROR(NUMBERVALUE(CriteriTecnici!$O2460,".",","),IFERROR(NUMBERVALUE(CriteriTecnici!$O2460,",","."),0))),4)&amp;""),",",".")&amp;CHAR(125)&amp;IF(TRUE,",",""))</f>
        <v/>
      </c>
    </row>
    <row r="2562">
      <c r="A2562" s="82">
        <f>IF(CriteriTecnici!$A2461="","","    "&amp;CHAR(123)&amp;CHAR(34)&amp;"bidderId"&amp;CHAR(34)&amp;": "&amp;CHAR(34)&amp;SUBSTITUTE(CriteriTecnici!$A2461,CHAR(34),"'")&amp;CHAR(34)&amp;", "&amp;CHAR(34)&amp;"lotId"&amp;CHAR(34)&amp;": "&amp;CHAR(34)&amp;SUBSTITUTE(CriteriTecnici!$C2461,CHAR(34),"'")&amp;CHAR(34)&amp;", "&amp;CHAR(34)&amp;"criterionId"&amp;CHAR(34)&amp;": "&amp;CHAR(34)&amp;SUBSTITUTE(CriteriTecnici!$D2461,CHAR(34),"'")&amp;CHAR(34)&amp;", "&amp;CHAR(34)&amp;"kind"&amp;CHAR(34)&amp;": "&amp;CHAR(34)&amp;SUBSTITUTE(CriteriTecnici!$F2461,CHAR(34),"'")&amp;CHAR(34)&amp;", "&amp;CHAR(34)&amp;"value"&amp;CHAR(34)&amp;": "&amp;SUBSTITUTE(TRIM(ROUND(IFERROR(CriteriTecnici!$N2461*1,IFERROR(NUMBERVALUE(CriteriTecnici!$N2461,".",","),IFERROR(NUMBERVALUE(CriteriTecnici!$N2461,",","."),0))),4)&amp;""),",",".")&amp;", "&amp;CHAR(34)&amp;"numerator"&amp;CHAR(34)&amp;": "&amp;SUBSTITUTE(TRIM(ROUND(IFERROR(CriteriTecnici!$K2461*1,IFERROR(NUMBERVALUE(CriteriTecnici!$K2461,".",","),IFERROR(NUMBERVALUE(CriteriTecnici!$K2461,",","."),0))),4)&amp;""),",",".")&amp;", "&amp;CHAR(34)&amp;"denominator"&amp;CHAR(34)&amp;": "&amp;SUBSTITUTE(TRIM(ROUND(IFERROR(CriteriTecnici!$L2461*1,IFERROR(NUMBERVALUE(CriteriTecnici!$L2461,".",","),IFERROR(NUMBERVALUE(CriteriTecnici!$L2461,",","."),0))),4)&amp;""),",",".")&amp;", "&amp;CHAR(34)&amp;"flag"&amp;CHAR(34)&amp;": "&amp;SUBSTITUTE(TRIM(ROUND(IFERROR(CriteriTecnici!$M2461*1,IFERROR(NUMBERVALUE(CriteriTecnici!$M2461,".",","),IFERROR(NUMBERVALUE(CriteriTecnici!$M2461,",","."),0))),4)&amp;""),",",".")&amp;", "&amp;CHAR(34)&amp;"rawScore"&amp;CHAR(34)&amp;": "&amp;SUBSTITUTE(TRIM(ROUND(IFERROR(CriteriTecnici!$O2461*1,IFERROR(NUMBERVALUE(CriteriTecnici!$O2461,".",","),IFERROR(NUMBERVALUE(CriteriTecnici!$O2461,",","."),0))),4)&amp;""),",",".")&amp;CHAR(125)&amp;IF(TRUE,",",""))</f>
        <v/>
      </c>
    </row>
    <row r="2563">
      <c r="A2563" s="82">
        <f>IF(CriteriTecnici!$A2462="","","    "&amp;CHAR(123)&amp;CHAR(34)&amp;"bidderId"&amp;CHAR(34)&amp;": "&amp;CHAR(34)&amp;SUBSTITUTE(CriteriTecnici!$A2462,CHAR(34),"'")&amp;CHAR(34)&amp;", "&amp;CHAR(34)&amp;"lotId"&amp;CHAR(34)&amp;": "&amp;CHAR(34)&amp;SUBSTITUTE(CriteriTecnici!$C2462,CHAR(34),"'")&amp;CHAR(34)&amp;", "&amp;CHAR(34)&amp;"criterionId"&amp;CHAR(34)&amp;": "&amp;CHAR(34)&amp;SUBSTITUTE(CriteriTecnici!$D2462,CHAR(34),"'")&amp;CHAR(34)&amp;", "&amp;CHAR(34)&amp;"kind"&amp;CHAR(34)&amp;": "&amp;CHAR(34)&amp;SUBSTITUTE(CriteriTecnici!$F2462,CHAR(34),"'")&amp;CHAR(34)&amp;", "&amp;CHAR(34)&amp;"value"&amp;CHAR(34)&amp;": "&amp;SUBSTITUTE(TRIM(ROUND(IFERROR(CriteriTecnici!$N2462*1,IFERROR(NUMBERVALUE(CriteriTecnici!$N2462,".",","),IFERROR(NUMBERVALUE(CriteriTecnici!$N2462,",","."),0))),4)&amp;""),",",".")&amp;", "&amp;CHAR(34)&amp;"numerator"&amp;CHAR(34)&amp;": "&amp;SUBSTITUTE(TRIM(ROUND(IFERROR(CriteriTecnici!$K2462*1,IFERROR(NUMBERVALUE(CriteriTecnici!$K2462,".",","),IFERROR(NUMBERVALUE(CriteriTecnici!$K2462,",","."),0))),4)&amp;""),",",".")&amp;", "&amp;CHAR(34)&amp;"denominator"&amp;CHAR(34)&amp;": "&amp;SUBSTITUTE(TRIM(ROUND(IFERROR(CriteriTecnici!$L2462*1,IFERROR(NUMBERVALUE(CriteriTecnici!$L2462,".",","),IFERROR(NUMBERVALUE(CriteriTecnici!$L2462,",","."),0))),4)&amp;""),",",".")&amp;", "&amp;CHAR(34)&amp;"flag"&amp;CHAR(34)&amp;": "&amp;SUBSTITUTE(TRIM(ROUND(IFERROR(CriteriTecnici!$M2462*1,IFERROR(NUMBERVALUE(CriteriTecnici!$M2462,".",","),IFERROR(NUMBERVALUE(CriteriTecnici!$M2462,",","."),0))),4)&amp;""),",",".")&amp;", "&amp;CHAR(34)&amp;"rawScore"&amp;CHAR(34)&amp;": "&amp;SUBSTITUTE(TRIM(ROUND(IFERROR(CriteriTecnici!$O2462*1,IFERROR(NUMBERVALUE(CriteriTecnici!$O2462,".",","),IFERROR(NUMBERVALUE(CriteriTecnici!$O2462,",","."),0))),4)&amp;""),",",".")&amp;CHAR(125)&amp;IF(TRUE,",",""))</f>
        <v/>
      </c>
    </row>
    <row r="2564">
      <c r="A2564" s="82">
        <f>IF(CriteriTecnici!$A2463="","","    "&amp;CHAR(123)&amp;CHAR(34)&amp;"bidderId"&amp;CHAR(34)&amp;": "&amp;CHAR(34)&amp;SUBSTITUTE(CriteriTecnici!$A2463,CHAR(34),"'")&amp;CHAR(34)&amp;", "&amp;CHAR(34)&amp;"lotId"&amp;CHAR(34)&amp;": "&amp;CHAR(34)&amp;SUBSTITUTE(CriteriTecnici!$C2463,CHAR(34),"'")&amp;CHAR(34)&amp;", "&amp;CHAR(34)&amp;"criterionId"&amp;CHAR(34)&amp;": "&amp;CHAR(34)&amp;SUBSTITUTE(CriteriTecnici!$D2463,CHAR(34),"'")&amp;CHAR(34)&amp;", "&amp;CHAR(34)&amp;"kind"&amp;CHAR(34)&amp;": "&amp;CHAR(34)&amp;SUBSTITUTE(CriteriTecnici!$F2463,CHAR(34),"'")&amp;CHAR(34)&amp;", "&amp;CHAR(34)&amp;"value"&amp;CHAR(34)&amp;": "&amp;SUBSTITUTE(TRIM(ROUND(IFERROR(CriteriTecnici!$N2463*1,IFERROR(NUMBERVALUE(CriteriTecnici!$N2463,".",","),IFERROR(NUMBERVALUE(CriteriTecnici!$N2463,",","."),0))),4)&amp;""),",",".")&amp;", "&amp;CHAR(34)&amp;"numerator"&amp;CHAR(34)&amp;": "&amp;SUBSTITUTE(TRIM(ROUND(IFERROR(CriteriTecnici!$K2463*1,IFERROR(NUMBERVALUE(CriteriTecnici!$K2463,".",","),IFERROR(NUMBERVALUE(CriteriTecnici!$K2463,",","."),0))),4)&amp;""),",",".")&amp;", "&amp;CHAR(34)&amp;"denominator"&amp;CHAR(34)&amp;": "&amp;SUBSTITUTE(TRIM(ROUND(IFERROR(CriteriTecnici!$L2463*1,IFERROR(NUMBERVALUE(CriteriTecnici!$L2463,".",","),IFERROR(NUMBERVALUE(CriteriTecnici!$L2463,",","."),0))),4)&amp;""),",",".")&amp;", "&amp;CHAR(34)&amp;"flag"&amp;CHAR(34)&amp;": "&amp;SUBSTITUTE(TRIM(ROUND(IFERROR(CriteriTecnici!$M2463*1,IFERROR(NUMBERVALUE(CriteriTecnici!$M2463,".",","),IFERROR(NUMBERVALUE(CriteriTecnici!$M2463,",","."),0))),4)&amp;""),",",".")&amp;", "&amp;CHAR(34)&amp;"rawScore"&amp;CHAR(34)&amp;": "&amp;SUBSTITUTE(TRIM(ROUND(IFERROR(CriteriTecnici!$O2463*1,IFERROR(NUMBERVALUE(CriteriTecnici!$O2463,".",","),IFERROR(NUMBERVALUE(CriteriTecnici!$O2463,",","."),0))),4)&amp;""),",",".")&amp;CHAR(125)&amp;IF(TRUE,",",""))</f>
        <v/>
      </c>
    </row>
    <row r="2565">
      <c r="A2565" s="82">
        <f>IF(CriteriTecnici!$A2464="","","    "&amp;CHAR(123)&amp;CHAR(34)&amp;"bidderId"&amp;CHAR(34)&amp;": "&amp;CHAR(34)&amp;SUBSTITUTE(CriteriTecnici!$A2464,CHAR(34),"'")&amp;CHAR(34)&amp;", "&amp;CHAR(34)&amp;"lotId"&amp;CHAR(34)&amp;": "&amp;CHAR(34)&amp;SUBSTITUTE(CriteriTecnici!$C2464,CHAR(34),"'")&amp;CHAR(34)&amp;", "&amp;CHAR(34)&amp;"criterionId"&amp;CHAR(34)&amp;": "&amp;CHAR(34)&amp;SUBSTITUTE(CriteriTecnici!$D2464,CHAR(34),"'")&amp;CHAR(34)&amp;", "&amp;CHAR(34)&amp;"kind"&amp;CHAR(34)&amp;": "&amp;CHAR(34)&amp;SUBSTITUTE(CriteriTecnici!$F2464,CHAR(34),"'")&amp;CHAR(34)&amp;", "&amp;CHAR(34)&amp;"value"&amp;CHAR(34)&amp;": "&amp;SUBSTITUTE(TRIM(ROUND(IFERROR(CriteriTecnici!$N2464*1,IFERROR(NUMBERVALUE(CriteriTecnici!$N2464,".",","),IFERROR(NUMBERVALUE(CriteriTecnici!$N2464,",","."),0))),4)&amp;""),",",".")&amp;", "&amp;CHAR(34)&amp;"numerator"&amp;CHAR(34)&amp;": "&amp;SUBSTITUTE(TRIM(ROUND(IFERROR(CriteriTecnici!$K2464*1,IFERROR(NUMBERVALUE(CriteriTecnici!$K2464,".",","),IFERROR(NUMBERVALUE(CriteriTecnici!$K2464,",","."),0))),4)&amp;""),",",".")&amp;", "&amp;CHAR(34)&amp;"denominator"&amp;CHAR(34)&amp;": "&amp;SUBSTITUTE(TRIM(ROUND(IFERROR(CriteriTecnici!$L2464*1,IFERROR(NUMBERVALUE(CriteriTecnici!$L2464,".",","),IFERROR(NUMBERVALUE(CriteriTecnici!$L2464,",","."),0))),4)&amp;""),",",".")&amp;", "&amp;CHAR(34)&amp;"flag"&amp;CHAR(34)&amp;": "&amp;SUBSTITUTE(TRIM(ROUND(IFERROR(CriteriTecnici!$M2464*1,IFERROR(NUMBERVALUE(CriteriTecnici!$M2464,".",","),IFERROR(NUMBERVALUE(CriteriTecnici!$M2464,",","."),0))),4)&amp;""),",",".")&amp;", "&amp;CHAR(34)&amp;"rawScore"&amp;CHAR(34)&amp;": "&amp;SUBSTITUTE(TRIM(ROUND(IFERROR(CriteriTecnici!$O2464*1,IFERROR(NUMBERVALUE(CriteriTecnici!$O2464,".",","),IFERROR(NUMBERVALUE(CriteriTecnici!$O2464,",","."),0))),4)&amp;""),",",".")&amp;CHAR(125)&amp;IF(TRUE,",",""))</f>
        <v/>
      </c>
    </row>
    <row r="2566">
      <c r="A2566" s="82">
        <f>IF(CriteriTecnici!$A2465="","","    "&amp;CHAR(123)&amp;CHAR(34)&amp;"bidderId"&amp;CHAR(34)&amp;": "&amp;CHAR(34)&amp;SUBSTITUTE(CriteriTecnici!$A2465,CHAR(34),"'")&amp;CHAR(34)&amp;", "&amp;CHAR(34)&amp;"lotId"&amp;CHAR(34)&amp;": "&amp;CHAR(34)&amp;SUBSTITUTE(CriteriTecnici!$C2465,CHAR(34),"'")&amp;CHAR(34)&amp;", "&amp;CHAR(34)&amp;"criterionId"&amp;CHAR(34)&amp;": "&amp;CHAR(34)&amp;SUBSTITUTE(CriteriTecnici!$D2465,CHAR(34),"'")&amp;CHAR(34)&amp;", "&amp;CHAR(34)&amp;"kind"&amp;CHAR(34)&amp;": "&amp;CHAR(34)&amp;SUBSTITUTE(CriteriTecnici!$F2465,CHAR(34),"'")&amp;CHAR(34)&amp;", "&amp;CHAR(34)&amp;"value"&amp;CHAR(34)&amp;": "&amp;SUBSTITUTE(TRIM(ROUND(IFERROR(CriteriTecnici!$N2465*1,IFERROR(NUMBERVALUE(CriteriTecnici!$N2465,".",","),IFERROR(NUMBERVALUE(CriteriTecnici!$N2465,",","."),0))),4)&amp;""),",",".")&amp;", "&amp;CHAR(34)&amp;"numerator"&amp;CHAR(34)&amp;": "&amp;SUBSTITUTE(TRIM(ROUND(IFERROR(CriteriTecnici!$K2465*1,IFERROR(NUMBERVALUE(CriteriTecnici!$K2465,".",","),IFERROR(NUMBERVALUE(CriteriTecnici!$K2465,",","."),0))),4)&amp;""),",",".")&amp;", "&amp;CHAR(34)&amp;"denominator"&amp;CHAR(34)&amp;": "&amp;SUBSTITUTE(TRIM(ROUND(IFERROR(CriteriTecnici!$L2465*1,IFERROR(NUMBERVALUE(CriteriTecnici!$L2465,".",","),IFERROR(NUMBERVALUE(CriteriTecnici!$L2465,",","."),0))),4)&amp;""),",",".")&amp;", "&amp;CHAR(34)&amp;"flag"&amp;CHAR(34)&amp;": "&amp;SUBSTITUTE(TRIM(ROUND(IFERROR(CriteriTecnici!$M2465*1,IFERROR(NUMBERVALUE(CriteriTecnici!$M2465,".",","),IFERROR(NUMBERVALUE(CriteriTecnici!$M2465,",","."),0))),4)&amp;""),",",".")&amp;", "&amp;CHAR(34)&amp;"rawScore"&amp;CHAR(34)&amp;": "&amp;SUBSTITUTE(TRIM(ROUND(IFERROR(CriteriTecnici!$O2465*1,IFERROR(NUMBERVALUE(CriteriTecnici!$O2465,".",","),IFERROR(NUMBERVALUE(CriteriTecnici!$O2465,",","."),0))),4)&amp;""),",",".")&amp;CHAR(125)&amp;IF(TRUE,",",""))</f>
        <v/>
      </c>
    </row>
    <row r="2567">
      <c r="A2567" s="82">
        <f>IF(CriteriTecnici!$A2466="","","    "&amp;CHAR(123)&amp;CHAR(34)&amp;"bidderId"&amp;CHAR(34)&amp;": "&amp;CHAR(34)&amp;SUBSTITUTE(CriteriTecnici!$A2466,CHAR(34),"'")&amp;CHAR(34)&amp;", "&amp;CHAR(34)&amp;"lotId"&amp;CHAR(34)&amp;": "&amp;CHAR(34)&amp;SUBSTITUTE(CriteriTecnici!$C2466,CHAR(34),"'")&amp;CHAR(34)&amp;", "&amp;CHAR(34)&amp;"criterionId"&amp;CHAR(34)&amp;": "&amp;CHAR(34)&amp;SUBSTITUTE(CriteriTecnici!$D2466,CHAR(34),"'")&amp;CHAR(34)&amp;", "&amp;CHAR(34)&amp;"kind"&amp;CHAR(34)&amp;": "&amp;CHAR(34)&amp;SUBSTITUTE(CriteriTecnici!$F2466,CHAR(34),"'")&amp;CHAR(34)&amp;", "&amp;CHAR(34)&amp;"value"&amp;CHAR(34)&amp;": "&amp;SUBSTITUTE(TRIM(ROUND(IFERROR(CriteriTecnici!$N2466*1,IFERROR(NUMBERVALUE(CriteriTecnici!$N2466,".",","),IFERROR(NUMBERVALUE(CriteriTecnici!$N2466,",","."),0))),4)&amp;""),",",".")&amp;", "&amp;CHAR(34)&amp;"numerator"&amp;CHAR(34)&amp;": "&amp;SUBSTITUTE(TRIM(ROUND(IFERROR(CriteriTecnici!$K2466*1,IFERROR(NUMBERVALUE(CriteriTecnici!$K2466,".",","),IFERROR(NUMBERVALUE(CriteriTecnici!$K2466,",","."),0))),4)&amp;""),",",".")&amp;", "&amp;CHAR(34)&amp;"denominator"&amp;CHAR(34)&amp;": "&amp;SUBSTITUTE(TRIM(ROUND(IFERROR(CriteriTecnici!$L2466*1,IFERROR(NUMBERVALUE(CriteriTecnici!$L2466,".",","),IFERROR(NUMBERVALUE(CriteriTecnici!$L2466,",","."),0))),4)&amp;""),",",".")&amp;", "&amp;CHAR(34)&amp;"flag"&amp;CHAR(34)&amp;": "&amp;SUBSTITUTE(TRIM(ROUND(IFERROR(CriteriTecnici!$M2466*1,IFERROR(NUMBERVALUE(CriteriTecnici!$M2466,".",","),IFERROR(NUMBERVALUE(CriteriTecnici!$M2466,",","."),0))),4)&amp;""),",",".")&amp;", "&amp;CHAR(34)&amp;"rawScore"&amp;CHAR(34)&amp;": "&amp;SUBSTITUTE(TRIM(ROUND(IFERROR(CriteriTecnici!$O2466*1,IFERROR(NUMBERVALUE(CriteriTecnici!$O2466,".",","),IFERROR(NUMBERVALUE(CriteriTecnici!$O2466,",","."),0))),4)&amp;""),",",".")&amp;CHAR(125)&amp;IF(TRUE,",",""))</f>
        <v/>
      </c>
    </row>
    <row r="2568">
      <c r="A2568" s="82">
        <f>IF(CriteriTecnici!$A2467="","","    "&amp;CHAR(123)&amp;CHAR(34)&amp;"bidderId"&amp;CHAR(34)&amp;": "&amp;CHAR(34)&amp;SUBSTITUTE(CriteriTecnici!$A2467,CHAR(34),"'")&amp;CHAR(34)&amp;", "&amp;CHAR(34)&amp;"lotId"&amp;CHAR(34)&amp;": "&amp;CHAR(34)&amp;SUBSTITUTE(CriteriTecnici!$C2467,CHAR(34),"'")&amp;CHAR(34)&amp;", "&amp;CHAR(34)&amp;"criterionId"&amp;CHAR(34)&amp;": "&amp;CHAR(34)&amp;SUBSTITUTE(CriteriTecnici!$D2467,CHAR(34),"'")&amp;CHAR(34)&amp;", "&amp;CHAR(34)&amp;"kind"&amp;CHAR(34)&amp;": "&amp;CHAR(34)&amp;SUBSTITUTE(CriteriTecnici!$F2467,CHAR(34),"'")&amp;CHAR(34)&amp;", "&amp;CHAR(34)&amp;"value"&amp;CHAR(34)&amp;": "&amp;SUBSTITUTE(TRIM(ROUND(IFERROR(CriteriTecnici!$N2467*1,IFERROR(NUMBERVALUE(CriteriTecnici!$N2467,".",","),IFERROR(NUMBERVALUE(CriteriTecnici!$N2467,",","."),0))),4)&amp;""),",",".")&amp;", "&amp;CHAR(34)&amp;"numerator"&amp;CHAR(34)&amp;": "&amp;SUBSTITUTE(TRIM(ROUND(IFERROR(CriteriTecnici!$K2467*1,IFERROR(NUMBERVALUE(CriteriTecnici!$K2467,".",","),IFERROR(NUMBERVALUE(CriteriTecnici!$K2467,",","."),0))),4)&amp;""),",",".")&amp;", "&amp;CHAR(34)&amp;"denominator"&amp;CHAR(34)&amp;": "&amp;SUBSTITUTE(TRIM(ROUND(IFERROR(CriteriTecnici!$L2467*1,IFERROR(NUMBERVALUE(CriteriTecnici!$L2467,".",","),IFERROR(NUMBERVALUE(CriteriTecnici!$L2467,",","."),0))),4)&amp;""),",",".")&amp;", "&amp;CHAR(34)&amp;"flag"&amp;CHAR(34)&amp;": "&amp;SUBSTITUTE(TRIM(ROUND(IFERROR(CriteriTecnici!$M2467*1,IFERROR(NUMBERVALUE(CriteriTecnici!$M2467,".",","),IFERROR(NUMBERVALUE(CriteriTecnici!$M2467,",","."),0))),4)&amp;""),",",".")&amp;", "&amp;CHAR(34)&amp;"rawScore"&amp;CHAR(34)&amp;": "&amp;SUBSTITUTE(TRIM(ROUND(IFERROR(CriteriTecnici!$O2467*1,IFERROR(NUMBERVALUE(CriteriTecnici!$O2467,".",","),IFERROR(NUMBERVALUE(CriteriTecnici!$O2467,",","."),0))),4)&amp;""),",",".")&amp;CHAR(125)&amp;IF(TRUE,",",""))</f>
        <v/>
      </c>
    </row>
    <row r="2569">
      <c r="A2569" s="82">
        <f>IF(CriteriTecnici!$A2468="","","    "&amp;CHAR(123)&amp;CHAR(34)&amp;"bidderId"&amp;CHAR(34)&amp;": "&amp;CHAR(34)&amp;SUBSTITUTE(CriteriTecnici!$A2468,CHAR(34),"'")&amp;CHAR(34)&amp;", "&amp;CHAR(34)&amp;"lotId"&amp;CHAR(34)&amp;": "&amp;CHAR(34)&amp;SUBSTITUTE(CriteriTecnici!$C2468,CHAR(34),"'")&amp;CHAR(34)&amp;", "&amp;CHAR(34)&amp;"criterionId"&amp;CHAR(34)&amp;": "&amp;CHAR(34)&amp;SUBSTITUTE(CriteriTecnici!$D2468,CHAR(34),"'")&amp;CHAR(34)&amp;", "&amp;CHAR(34)&amp;"kind"&amp;CHAR(34)&amp;": "&amp;CHAR(34)&amp;SUBSTITUTE(CriteriTecnici!$F2468,CHAR(34),"'")&amp;CHAR(34)&amp;", "&amp;CHAR(34)&amp;"value"&amp;CHAR(34)&amp;": "&amp;SUBSTITUTE(TRIM(ROUND(IFERROR(CriteriTecnici!$N2468*1,IFERROR(NUMBERVALUE(CriteriTecnici!$N2468,".",","),IFERROR(NUMBERVALUE(CriteriTecnici!$N2468,",","."),0))),4)&amp;""),",",".")&amp;", "&amp;CHAR(34)&amp;"numerator"&amp;CHAR(34)&amp;": "&amp;SUBSTITUTE(TRIM(ROUND(IFERROR(CriteriTecnici!$K2468*1,IFERROR(NUMBERVALUE(CriteriTecnici!$K2468,".",","),IFERROR(NUMBERVALUE(CriteriTecnici!$K2468,",","."),0))),4)&amp;""),",",".")&amp;", "&amp;CHAR(34)&amp;"denominator"&amp;CHAR(34)&amp;": "&amp;SUBSTITUTE(TRIM(ROUND(IFERROR(CriteriTecnici!$L2468*1,IFERROR(NUMBERVALUE(CriteriTecnici!$L2468,".",","),IFERROR(NUMBERVALUE(CriteriTecnici!$L2468,",","."),0))),4)&amp;""),",",".")&amp;", "&amp;CHAR(34)&amp;"flag"&amp;CHAR(34)&amp;": "&amp;SUBSTITUTE(TRIM(ROUND(IFERROR(CriteriTecnici!$M2468*1,IFERROR(NUMBERVALUE(CriteriTecnici!$M2468,".",","),IFERROR(NUMBERVALUE(CriteriTecnici!$M2468,",","."),0))),4)&amp;""),",",".")&amp;", "&amp;CHAR(34)&amp;"rawScore"&amp;CHAR(34)&amp;": "&amp;SUBSTITUTE(TRIM(ROUND(IFERROR(CriteriTecnici!$O2468*1,IFERROR(NUMBERVALUE(CriteriTecnici!$O2468,".",","),IFERROR(NUMBERVALUE(CriteriTecnici!$O2468,",","."),0))),4)&amp;""),",",".")&amp;CHAR(125)&amp;IF(TRUE,",",""))</f>
        <v/>
      </c>
    </row>
    <row r="2570">
      <c r="A2570" s="82">
        <f>IF(CriteriTecnici!$A2469="","","    "&amp;CHAR(123)&amp;CHAR(34)&amp;"bidderId"&amp;CHAR(34)&amp;": "&amp;CHAR(34)&amp;SUBSTITUTE(CriteriTecnici!$A2469,CHAR(34),"'")&amp;CHAR(34)&amp;", "&amp;CHAR(34)&amp;"lotId"&amp;CHAR(34)&amp;": "&amp;CHAR(34)&amp;SUBSTITUTE(CriteriTecnici!$C2469,CHAR(34),"'")&amp;CHAR(34)&amp;", "&amp;CHAR(34)&amp;"criterionId"&amp;CHAR(34)&amp;": "&amp;CHAR(34)&amp;SUBSTITUTE(CriteriTecnici!$D2469,CHAR(34),"'")&amp;CHAR(34)&amp;", "&amp;CHAR(34)&amp;"kind"&amp;CHAR(34)&amp;": "&amp;CHAR(34)&amp;SUBSTITUTE(CriteriTecnici!$F2469,CHAR(34),"'")&amp;CHAR(34)&amp;", "&amp;CHAR(34)&amp;"value"&amp;CHAR(34)&amp;": "&amp;SUBSTITUTE(TRIM(ROUND(IFERROR(CriteriTecnici!$N2469*1,IFERROR(NUMBERVALUE(CriteriTecnici!$N2469,".",","),IFERROR(NUMBERVALUE(CriteriTecnici!$N2469,",","."),0))),4)&amp;""),",",".")&amp;", "&amp;CHAR(34)&amp;"numerator"&amp;CHAR(34)&amp;": "&amp;SUBSTITUTE(TRIM(ROUND(IFERROR(CriteriTecnici!$K2469*1,IFERROR(NUMBERVALUE(CriteriTecnici!$K2469,".",","),IFERROR(NUMBERVALUE(CriteriTecnici!$K2469,",","."),0))),4)&amp;""),",",".")&amp;", "&amp;CHAR(34)&amp;"denominator"&amp;CHAR(34)&amp;": "&amp;SUBSTITUTE(TRIM(ROUND(IFERROR(CriteriTecnici!$L2469*1,IFERROR(NUMBERVALUE(CriteriTecnici!$L2469,".",","),IFERROR(NUMBERVALUE(CriteriTecnici!$L2469,",","."),0))),4)&amp;""),",",".")&amp;", "&amp;CHAR(34)&amp;"flag"&amp;CHAR(34)&amp;": "&amp;SUBSTITUTE(TRIM(ROUND(IFERROR(CriteriTecnici!$M2469*1,IFERROR(NUMBERVALUE(CriteriTecnici!$M2469,".",","),IFERROR(NUMBERVALUE(CriteriTecnici!$M2469,",","."),0))),4)&amp;""),",",".")&amp;", "&amp;CHAR(34)&amp;"rawScore"&amp;CHAR(34)&amp;": "&amp;SUBSTITUTE(TRIM(ROUND(IFERROR(CriteriTecnici!$O2469*1,IFERROR(NUMBERVALUE(CriteriTecnici!$O2469,".",","),IFERROR(NUMBERVALUE(CriteriTecnici!$O2469,",","."),0))),4)&amp;""),",",".")&amp;CHAR(125)&amp;IF(TRUE,",",""))</f>
        <v/>
      </c>
    </row>
    <row r="2571">
      <c r="A2571" s="82">
        <f>IF(CriteriTecnici!$A2470="","","    "&amp;CHAR(123)&amp;CHAR(34)&amp;"bidderId"&amp;CHAR(34)&amp;": "&amp;CHAR(34)&amp;SUBSTITUTE(CriteriTecnici!$A2470,CHAR(34),"'")&amp;CHAR(34)&amp;", "&amp;CHAR(34)&amp;"lotId"&amp;CHAR(34)&amp;": "&amp;CHAR(34)&amp;SUBSTITUTE(CriteriTecnici!$C2470,CHAR(34),"'")&amp;CHAR(34)&amp;", "&amp;CHAR(34)&amp;"criterionId"&amp;CHAR(34)&amp;": "&amp;CHAR(34)&amp;SUBSTITUTE(CriteriTecnici!$D2470,CHAR(34),"'")&amp;CHAR(34)&amp;", "&amp;CHAR(34)&amp;"kind"&amp;CHAR(34)&amp;": "&amp;CHAR(34)&amp;SUBSTITUTE(CriteriTecnici!$F2470,CHAR(34),"'")&amp;CHAR(34)&amp;", "&amp;CHAR(34)&amp;"value"&amp;CHAR(34)&amp;": "&amp;SUBSTITUTE(TRIM(ROUND(IFERROR(CriteriTecnici!$N2470*1,IFERROR(NUMBERVALUE(CriteriTecnici!$N2470,".",","),IFERROR(NUMBERVALUE(CriteriTecnici!$N2470,",","."),0))),4)&amp;""),",",".")&amp;", "&amp;CHAR(34)&amp;"numerator"&amp;CHAR(34)&amp;": "&amp;SUBSTITUTE(TRIM(ROUND(IFERROR(CriteriTecnici!$K2470*1,IFERROR(NUMBERVALUE(CriteriTecnici!$K2470,".",","),IFERROR(NUMBERVALUE(CriteriTecnici!$K2470,",","."),0))),4)&amp;""),",",".")&amp;", "&amp;CHAR(34)&amp;"denominator"&amp;CHAR(34)&amp;": "&amp;SUBSTITUTE(TRIM(ROUND(IFERROR(CriteriTecnici!$L2470*1,IFERROR(NUMBERVALUE(CriteriTecnici!$L2470,".",","),IFERROR(NUMBERVALUE(CriteriTecnici!$L2470,",","."),0))),4)&amp;""),",",".")&amp;", "&amp;CHAR(34)&amp;"flag"&amp;CHAR(34)&amp;": "&amp;SUBSTITUTE(TRIM(ROUND(IFERROR(CriteriTecnici!$M2470*1,IFERROR(NUMBERVALUE(CriteriTecnici!$M2470,".",","),IFERROR(NUMBERVALUE(CriteriTecnici!$M2470,",","."),0))),4)&amp;""),",",".")&amp;", "&amp;CHAR(34)&amp;"rawScore"&amp;CHAR(34)&amp;": "&amp;SUBSTITUTE(TRIM(ROUND(IFERROR(CriteriTecnici!$O2470*1,IFERROR(NUMBERVALUE(CriteriTecnici!$O2470,".",","),IFERROR(NUMBERVALUE(CriteriTecnici!$O2470,",","."),0))),4)&amp;""),",",".")&amp;CHAR(125)&amp;IF(TRUE,",",""))</f>
        <v/>
      </c>
    </row>
    <row r="2572">
      <c r="A2572" s="82">
        <f>IF(CriteriTecnici!$A2471="","","    "&amp;CHAR(123)&amp;CHAR(34)&amp;"bidderId"&amp;CHAR(34)&amp;": "&amp;CHAR(34)&amp;SUBSTITUTE(CriteriTecnici!$A2471,CHAR(34),"'")&amp;CHAR(34)&amp;", "&amp;CHAR(34)&amp;"lotId"&amp;CHAR(34)&amp;": "&amp;CHAR(34)&amp;SUBSTITUTE(CriteriTecnici!$C2471,CHAR(34),"'")&amp;CHAR(34)&amp;", "&amp;CHAR(34)&amp;"criterionId"&amp;CHAR(34)&amp;": "&amp;CHAR(34)&amp;SUBSTITUTE(CriteriTecnici!$D2471,CHAR(34),"'")&amp;CHAR(34)&amp;", "&amp;CHAR(34)&amp;"kind"&amp;CHAR(34)&amp;": "&amp;CHAR(34)&amp;SUBSTITUTE(CriteriTecnici!$F2471,CHAR(34),"'")&amp;CHAR(34)&amp;", "&amp;CHAR(34)&amp;"value"&amp;CHAR(34)&amp;": "&amp;SUBSTITUTE(TRIM(ROUND(IFERROR(CriteriTecnici!$N2471*1,IFERROR(NUMBERVALUE(CriteriTecnici!$N2471,".",","),IFERROR(NUMBERVALUE(CriteriTecnici!$N2471,",","."),0))),4)&amp;""),",",".")&amp;", "&amp;CHAR(34)&amp;"numerator"&amp;CHAR(34)&amp;": "&amp;SUBSTITUTE(TRIM(ROUND(IFERROR(CriteriTecnici!$K2471*1,IFERROR(NUMBERVALUE(CriteriTecnici!$K2471,".",","),IFERROR(NUMBERVALUE(CriteriTecnici!$K2471,",","."),0))),4)&amp;""),",",".")&amp;", "&amp;CHAR(34)&amp;"denominator"&amp;CHAR(34)&amp;": "&amp;SUBSTITUTE(TRIM(ROUND(IFERROR(CriteriTecnici!$L2471*1,IFERROR(NUMBERVALUE(CriteriTecnici!$L2471,".",","),IFERROR(NUMBERVALUE(CriteriTecnici!$L2471,",","."),0))),4)&amp;""),",",".")&amp;", "&amp;CHAR(34)&amp;"flag"&amp;CHAR(34)&amp;": "&amp;SUBSTITUTE(TRIM(ROUND(IFERROR(CriteriTecnici!$M2471*1,IFERROR(NUMBERVALUE(CriteriTecnici!$M2471,".",","),IFERROR(NUMBERVALUE(CriteriTecnici!$M2471,",","."),0))),4)&amp;""),",",".")&amp;", "&amp;CHAR(34)&amp;"rawScore"&amp;CHAR(34)&amp;": "&amp;SUBSTITUTE(TRIM(ROUND(IFERROR(CriteriTecnici!$O2471*1,IFERROR(NUMBERVALUE(CriteriTecnici!$O2471,".",","),IFERROR(NUMBERVALUE(CriteriTecnici!$O2471,",","."),0))),4)&amp;""),",",".")&amp;CHAR(125)&amp;IF(TRUE,",",""))</f>
        <v/>
      </c>
    </row>
    <row r="2573">
      <c r="A2573" s="82">
        <f>IF(CriteriTecnici!$A2472="","","    "&amp;CHAR(123)&amp;CHAR(34)&amp;"bidderId"&amp;CHAR(34)&amp;": "&amp;CHAR(34)&amp;SUBSTITUTE(CriteriTecnici!$A2472,CHAR(34),"'")&amp;CHAR(34)&amp;", "&amp;CHAR(34)&amp;"lotId"&amp;CHAR(34)&amp;": "&amp;CHAR(34)&amp;SUBSTITUTE(CriteriTecnici!$C2472,CHAR(34),"'")&amp;CHAR(34)&amp;", "&amp;CHAR(34)&amp;"criterionId"&amp;CHAR(34)&amp;": "&amp;CHAR(34)&amp;SUBSTITUTE(CriteriTecnici!$D2472,CHAR(34),"'")&amp;CHAR(34)&amp;", "&amp;CHAR(34)&amp;"kind"&amp;CHAR(34)&amp;": "&amp;CHAR(34)&amp;SUBSTITUTE(CriteriTecnici!$F2472,CHAR(34),"'")&amp;CHAR(34)&amp;", "&amp;CHAR(34)&amp;"value"&amp;CHAR(34)&amp;": "&amp;SUBSTITUTE(TRIM(ROUND(IFERROR(CriteriTecnici!$N2472*1,IFERROR(NUMBERVALUE(CriteriTecnici!$N2472,".",","),IFERROR(NUMBERVALUE(CriteriTecnici!$N2472,",","."),0))),4)&amp;""),",",".")&amp;", "&amp;CHAR(34)&amp;"numerator"&amp;CHAR(34)&amp;": "&amp;SUBSTITUTE(TRIM(ROUND(IFERROR(CriteriTecnici!$K2472*1,IFERROR(NUMBERVALUE(CriteriTecnici!$K2472,".",","),IFERROR(NUMBERVALUE(CriteriTecnici!$K2472,",","."),0))),4)&amp;""),",",".")&amp;", "&amp;CHAR(34)&amp;"denominator"&amp;CHAR(34)&amp;": "&amp;SUBSTITUTE(TRIM(ROUND(IFERROR(CriteriTecnici!$L2472*1,IFERROR(NUMBERVALUE(CriteriTecnici!$L2472,".",","),IFERROR(NUMBERVALUE(CriteriTecnici!$L2472,",","."),0))),4)&amp;""),",",".")&amp;", "&amp;CHAR(34)&amp;"flag"&amp;CHAR(34)&amp;": "&amp;SUBSTITUTE(TRIM(ROUND(IFERROR(CriteriTecnici!$M2472*1,IFERROR(NUMBERVALUE(CriteriTecnici!$M2472,".",","),IFERROR(NUMBERVALUE(CriteriTecnici!$M2472,",","."),0))),4)&amp;""),",",".")&amp;", "&amp;CHAR(34)&amp;"rawScore"&amp;CHAR(34)&amp;": "&amp;SUBSTITUTE(TRIM(ROUND(IFERROR(CriteriTecnici!$O2472*1,IFERROR(NUMBERVALUE(CriteriTecnici!$O2472,".",","),IFERROR(NUMBERVALUE(CriteriTecnici!$O2472,",","."),0))),4)&amp;""),",",".")&amp;CHAR(125)&amp;IF(TRUE,",",""))</f>
        <v/>
      </c>
    </row>
    <row r="2574">
      <c r="A2574" s="82">
        <f>IF(CriteriTecnici!$A2473="","","    "&amp;CHAR(123)&amp;CHAR(34)&amp;"bidderId"&amp;CHAR(34)&amp;": "&amp;CHAR(34)&amp;SUBSTITUTE(CriteriTecnici!$A2473,CHAR(34),"'")&amp;CHAR(34)&amp;", "&amp;CHAR(34)&amp;"lotId"&amp;CHAR(34)&amp;": "&amp;CHAR(34)&amp;SUBSTITUTE(CriteriTecnici!$C2473,CHAR(34),"'")&amp;CHAR(34)&amp;", "&amp;CHAR(34)&amp;"criterionId"&amp;CHAR(34)&amp;": "&amp;CHAR(34)&amp;SUBSTITUTE(CriteriTecnici!$D2473,CHAR(34),"'")&amp;CHAR(34)&amp;", "&amp;CHAR(34)&amp;"kind"&amp;CHAR(34)&amp;": "&amp;CHAR(34)&amp;SUBSTITUTE(CriteriTecnici!$F2473,CHAR(34),"'")&amp;CHAR(34)&amp;", "&amp;CHAR(34)&amp;"value"&amp;CHAR(34)&amp;": "&amp;SUBSTITUTE(TRIM(ROUND(IFERROR(CriteriTecnici!$N2473*1,IFERROR(NUMBERVALUE(CriteriTecnici!$N2473,".",","),IFERROR(NUMBERVALUE(CriteriTecnici!$N2473,",","."),0))),4)&amp;""),",",".")&amp;", "&amp;CHAR(34)&amp;"numerator"&amp;CHAR(34)&amp;": "&amp;SUBSTITUTE(TRIM(ROUND(IFERROR(CriteriTecnici!$K2473*1,IFERROR(NUMBERVALUE(CriteriTecnici!$K2473,".",","),IFERROR(NUMBERVALUE(CriteriTecnici!$K2473,",","."),0))),4)&amp;""),",",".")&amp;", "&amp;CHAR(34)&amp;"denominator"&amp;CHAR(34)&amp;": "&amp;SUBSTITUTE(TRIM(ROUND(IFERROR(CriteriTecnici!$L2473*1,IFERROR(NUMBERVALUE(CriteriTecnici!$L2473,".",","),IFERROR(NUMBERVALUE(CriteriTecnici!$L2473,",","."),0))),4)&amp;""),",",".")&amp;", "&amp;CHAR(34)&amp;"flag"&amp;CHAR(34)&amp;": "&amp;SUBSTITUTE(TRIM(ROUND(IFERROR(CriteriTecnici!$M2473*1,IFERROR(NUMBERVALUE(CriteriTecnici!$M2473,".",","),IFERROR(NUMBERVALUE(CriteriTecnici!$M2473,",","."),0))),4)&amp;""),",",".")&amp;", "&amp;CHAR(34)&amp;"rawScore"&amp;CHAR(34)&amp;": "&amp;SUBSTITUTE(TRIM(ROUND(IFERROR(CriteriTecnici!$O2473*1,IFERROR(NUMBERVALUE(CriteriTecnici!$O2473,".",","),IFERROR(NUMBERVALUE(CriteriTecnici!$O2473,",","."),0))),4)&amp;""),",",".")&amp;CHAR(125)&amp;IF(TRUE,",",""))</f>
        <v/>
      </c>
    </row>
    <row r="2575">
      <c r="A2575" s="82">
        <f>IF(CriteriTecnici!$A2474="","","    "&amp;CHAR(123)&amp;CHAR(34)&amp;"bidderId"&amp;CHAR(34)&amp;": "&amp;CHAR(34)&amp;SUBSTITUTE(CriteriTecnici!$A2474,CHAR(34),"'")&amp;CHAR(34)&amp;", "&amp;CHAR(34)&amp;"lotId"&amp;CHAR(34)&amp;": "&amp;CHAR(34)&amp;SUBSTITUTE(CriteriTecnici!$C2474,CHAR(34),"'")&amp;CHAR(34)&amp;", "&amp;CHAR(34)&amp;"criterionId"&amp;CHAR(34)&amp;": "&amp;CHAR(34)&amp;SUBSTITUTE(CriteriTecnici!$D2474,CHAR(34),"'")&amp;CHAR(34)&amp;", "&amp;CHAR(34)&amp;"kind"&amp;CHAR(34)&amp;": "&amp;CHAR(34)&amp;SUBSTITUTE(CriteriTecnici!$F2474,CHAR(34),"'")&amp;CHAR(34)&amp;", "&amp;CHAR(34)&amp;"value"&amp;CHAR(34)&amp;": "&amp;SUBSTITUTE(TRIM(ROUND(IFERROR(CriteriTecnici!$N2474*1,IFERROR(NUMBERVALUE(CriteriTecnici!$N2474,".",","),IFERROR(NUMBERVALUE(CriteriTecnici!$N2474,",","."),0))),4)&amp;""),",",".")&amp;", "&amp;CHAR(34)&amp;"numerator"&amp;CHAR(34)&amp;": "&amp;SUBSTITUTE(TRIM(ROUND(IFERROR(CriteriTecnici!$K2474*1,IFERROR(NUMBERVALUE(CriteriTecnici!$K2474,".",","),IFERROR(NUMBERVALUE(CriteriTecnici!$K2474,",","."),0))),4)&amp;""),",",".")&amp;", "&amp;CHAR(34)&amp;"denominator"&amp;CHAR(34)&amp;": "&amp;SUBSTITUTE(TRIM(ROUND(IFERROR(CriteriTecnici!$L2474*1,IFERROR(NUMBERVALUE(CriteriTecnici!$L2474,".",","),IFERROR(NUMBERVALUE(CriteriTecnici!$L2474,",","."),0))),4)&amp;""),",",".")&amp;", "&amp;CHAR(34)&amp;"flag"&amp;CHAR(34)&amp;": "&amp;SUBSTITUTE(TRIM(ROUND(IFERROR(CriteriTecnici!$M2474*1,IFERROR(NUMBERVALUE(CriteriTecnici!$M2474,".",","),IFERROR(NUMBERVALUE(CriteriTecnici!$M2474,",","."),0))),4)&amp;""),",",".")&amp;", "&amp;CHAR(34)&amp;"rawScore"&amp;CHAR(34)&amp;": "&amp;SUBSTITUTE(TRIM(ROUND(IFERROR(CriteriTecnici!$O2474*1,IFERROR(NUMBERVALUE(CriteriTecnici!$O2474,".",","),IFERROR(NUMBERVALUE(CriteriTecnici!$O2474,",","."),0))),4)&amp;""),",",".")&amp;CHAR(125)&amp;IF(TRUE,",",""))</f>
        <v/>
      </c>
    </row>
    <row r="2576">
      <c r="A2576" s="82">
        <f>IF(CriteriTecnici!$A2475="","","    "&amp;CHAR(123)&amp;CHAR(34)&amp;"bidderId"&amp;CHAR(34)&amp;": "&amp;CHAR(34)&amp;SUBSTITUTE(CriteriTecnici!$A2475,CHAR(34),"'")&amp;CHAR(34)&amp;", "&amp;CHAR(34)&amp;"lotId"&amp;CHAR(34)&amp;": "&amp;CHAR(34)&amp;SUBSTITUTE(CriteriTecnici!$C2475,CHAR(34),"'")&amp;CHAR(34)&amp;", "&amp;CHAR(34)&amp;"criterionId"&amp;CHAR(34)&amp;": "&amp;CHAR(34)&amp;SUBSTITUTE(CriteriTecnici!$D2475,CHAR(34),"'")&amp;CHAR(34)&amp;", "&amp;CHAR(34)&amp;"kind"&amp;CHAR(34)&amp;": "&amp;CHAR(34)&amp;SUBSTITUTE(CriteriTecnici!$F2475,CHAR(34),"'")&amp;CHAR(34)&amp;", "&amp;CHAR(34)&amp;"value"&amp;CHAR(34)&amp;": "&amp;SUBSTITUTE(TRIM(ROUND(IFERROR(CriteriTecnici!$N2475*1,IFERROR(NUMBERVALUE(CriteriTecnici!$N2475,".",","),IFERROR(NUMBERVALUE(CriteriTecnici!$N2475,",","."),0))),4)&amp;""),",",".")&amp;", "&amp;CHAR(34)&amp;"numerator"&amp;CHAR(34)&amp;": "&amp;SUBSTITUTE(TRIM(ROUND(IFERROR(CriteriTecnici!$K2475*1,IFERROR(NUMBERVALUE(CriteriTecnici!$K2475,".",","),IFERROR(NUMBERVALUE(CriteriTecnici!$K2475,",","."),0))),4)&amp;""),",",".")&amp;", "&amp;CHAR(34)&amp;"denominator"&amp;CHAR(34)&amp;": "&amp;SUBSTITUTE(TRIM(ROUND(IFERROR(CriteriTecnici!$L2475*1,IFERROR(NUMBERVALUE(CriteriTecnici!$L2475,".",","),IFERROR(NUMBERVALUE(CriteriTecnici!$L2475,",","."),0))),4)&amp;""),",",".")&amp;", "&amp;CHAR(34)&amp;"flag"&amp;CHAR(34)&amp;": "&amp;SUBSTITUTE(TRIM(ROUND(IFERROR(CriteriTecnici!$M2475*1,IFERROR(NUMBERVALUE(CriteriTecnici!$M2475,".",","),IFERROR(NUMBERVALUE(CriteriTecnici!$M2475,",","."),0))),4)&amp;""),",",".")&amp;", "&amp;CHAR(34)&amp;"rawScore"&amp;CHAR(34)&amp;": "&amp;SUBSTITUTE(TRIM(ROUND(IFERROR(CriteriTecnici!$O2475*1,IFERROR(NUMBERVALUE(CriteriTecnici!$O2475,".",","),IFERROR(NUMBERVALUE(CriteriTecnici!$O2475,",","."),0))),4)&amp;""),",",".")&amp;CHAR(125)&amp;IF(TRUE,",",""))</f>
        <v/>
      </c>
    </row>
    <row r="2577">
      <c r="A2577" s="82">
        <f>IF(CriteriTecnici!$A2476="","","    "&amp;CHAR(123)&amp;CHAR(34)&amp;"bidderId"&amp;CHAR(34)&amp;": "&amp;CHAR(34)&amp;SUBSTITUTE(CriteriTecnici!$A2476,CHAR(34),"'")&amp;CHAR(34)&amp;", "&amp;CHAR(34)&amp;"lotId"&amp;CHAR(34)&amp;": "&amp;CHAR(34)&amp;SUBSTITUTE(CriteriTecnici!$C2476,CHAR(34),"'")&amp;CHAR(34)&amp;", "&amp;CHAR(34)&amp;"criterionId"&amp;CHAR(34)&amp;": "&amp;CHAR(34)&amp;SUBSTITUTE(CriteriTecnici!$D2476,CHAR(34),"'")&amp;CHAR(34)&amp;", "&amp;CHAR(34)&amp;"kind"&amp;CHAR(34)&amp;": "&amp;CHAR(34)&amp;SUBSTITUTE(CriteriTecnici!$F2476,CHAR(34),"'")&amp;CHAR(34)&amp;", "&amp;CHAR(34)&amp;"value"&amp;CHAR(34)&amp;": "&amp;SUBSTITUTE(TRIM(ROUND(IFERROR(CriteriTecnici!$N2476*1,IFERROR(NUMBERVALUE(CriteriTecnici!$N2476,".",","),IFERROR(NUMBERVALUE(CriteriTecnici!$N2476,",","."),0))),4)&amp;""),",",".")&amp;", "&amp;CHAR(34)&amp;"numerator"&amp;CHAR(34)&amp;": "&amp;SUBSTITUTE(TRIM(ROUND(IFERROR(CriteriTecnici!$K2476*1,IFERROR(NUMBERVALUE(CriteriTecnici!$K2476,".",","),IFERROR(NUMBERVALUE(CriteriTecnici!$K2476,",","."),0))),4)&amp;""),",",".")&amp;", "&amp;CHAR(34)&amp;"denominator"&amp;CHAR(34)&amp;": "&amp;SUBSTITUTE(TRIM(ROUND(IFERROR(CriteriTecnici!$L2476*1,IFERROR(NUMBERVALUE(CriteriTecnici!$L2476,".",","),IFERROR(NUMBERVALUE(CriteriTecnici!$L2476,",","."),0))),4)&amp;""),",",".")&amp;", "&amp;CHAR(34)&amp;"flag"&amp;CHAR(34)&amp;": "&amp;SUBSTITUTE(TRIM(ROUND(IFERROR(CriteriTecnici!$M2476*1,IFERROR(NUMBERVALUE(CriteriTecnici!$M2476,".",","),IFERROR(NUMBERVALUE(CriteriTecnici!$M2476,",","."),0))),4)&amp;""),",",".")&amp;", "&amp;CHAR(34)&amp;"rawScore"&amp;CHAR(34)&amp;": "&amp;SUBSTITUTE(TRIM(ROUND(IFERROR(CriteriTecnici!$O2476*1,IFERROR(NUMBERVALUE(CriteriTecnici!$O2476,".",","),IFERROR(NUMBERVALUE(CriteriTecnici!$O2476,",","."),0))),4)&amp;""),",",".")&amp;CHAR(125)&amp;IF(TRUE,",",""))</f>
        <v/>
      </c>
    </row>
    <row r="2578">
      <c r="A2578" s="82">
        <f>IF(CriteriTecnici!$A2477="","","    "&amp;CHAR(123)&amp;CHAR(34)&amp;"bidderId"&amp;CHAR(34)&amp;": "&amp;CHAR(34)&amp;SUBSTITUTE(CriteriTecnici!$A2477,CHAR(34),"'")&amp;CHAR(34)&amp;", "&amp;CHAR(34)&amp;"lotId"&amp;CHAR(34)&amp;": "&amp;CHAR(34)&amp;SUBSTITUTE(CriteriTecnici!$C2477,CHAR(34),"'")&amp;CHAR(34)&amp;", "&amp;CHAR(34)&amp;"criterionId"&amp;CHAR(34)&amp;": "&amp;CHAR(34)&amp;SUBSTITUTE(CriteriTecnici!$D2477,CHAR(34),"'")&amp;CHAR(34)&amp;", "&amp;CHAR(34)&amp;"kind"&amp;CHAR(34)&amp;": "&amp;CHAR(34)&amp;SUBSTITUTE(CriteriTecnici!$F2477,CHAR(34),"'")&amp;CHAR(34)&amp;", "&amp;CHAR(34)&amp;"value"&amp;CHAR(34)&amp;": "&amp;SUBSTITUTE(TRIM(ROUND(IFERROR(CriteriTecnici!$N2477*1,IFERROR(NUMBERVALUE(CriteriTecnici!$N2477,".",","),IFERROR(NUMBERVALUE(CriteriTecnici!$N2477,",","."),0))),4)&amp;""),",",".")&amp;", "&amp;CHAR(34)&amp;"numerator"&amp;CHAR(34)&amp;": "&amp;SUBSTITUTE(TRIM(ROUND(IFERROR(CriteriTecnici!$K2477*1,IFERROR(NUMBERVALUE(CriteriTecnici!$K2477,".",","),IFERROR(NUMBERVALUE(CriteriTecnici!$K2477,",","."),0))),4)&amp;""),",",".")&amp;", "&amp;CHAR(34)&amp;"denominator"&amp;CHAR(34)&amp;": "&amp;SUBSTITUTE(TRIM(ROUND(IFERROR(CriteriTecnici!$L2477*1,IFERROR(NUMBERVALUE(CriteriTecnici!$L2477,".",","),IFERROR(NUMBERVALUE(CriteriTecnici!$L2477,",","."),0))),4)&amp;""),",",".")&amp;", "&amp;CHAR(34)&amp;"flag"&amp;CHAR(34)&amp;": "&amp;SUBSTITUTE(TRIM(ROUND(IFERROR(CriteriTecnici!$M2477*1,IFERROR(NUMBERVALUE(CriteriTecnici!$M2477,".",","),IFERROR(NUMBERVALUE(CriteriTecnici!$M2477,",","."),0))),4)&amp;""),",",".")&amp;", "&amp;CHAR(34)&amp;"rawScore"&amp;CHAR(34)&amp;": "&amp;SUBSTITUTE(TRIM(ROUND(IFERROR(CriteriTecnici!$O2477*1,IFERROR(NUMBERVALUE(CriteriTecnici!$O2477,".",","),IFERROR(NUMBERVALUE(CriteriTecnici!$O2477,",","."),0))),4)&amp;""),",",".")&amp;CHAR(125)&amp;IF(TRUE,",",""))</f>
        <v/>
      </c>
    </row>
    <row r="2579">
      <c r="A2579" s="82">
        <f>IF(CriteriTecnici!$A2478="","","    "&amp;CHAR(123)&amp;CHAR(34)&amp;"bidderId"&amp;CHAR(34)&amp;": "&amp;CHAR(34)&amp;SUBSTITUTE(CriteriTecnici!$A2478,CHAR(34),"'")&amp;CHAR(34)&amp;", "&amp;CHAR(34)&amp;"lotId"&amp;CHAR(34)&amp;": "&amp;CHAR(34)&amp;SUBSTITUTE(CriteriTecnici!$C2478,CHAR(34),"'")&amp;CHAR(34)&amp;", "&amp;CHAR(34)&amp;"criterionId"&amp;CHAR(34)&amp;": "&amp;CHAR(34)&amp;SUBSTITUTE(CriteriTecnici!$D2478,CHAR(34),"'")&amp;CHAR(34)&amp;", "&amp;CHAR(34)&amp;"kind"&amp;CHAR(34)&amp;": "&amp;CHAR(34)&amp;SUBSTITUTE(CriteriTecnici!$F2478,CHAR(34),"'")&amp;CHAR(34)&amp;", "&amp;CHAR(34)&amp;"value"&amp;CHAR(34)&amp;": "&amp;SUBSTITUTE(TRIM(ROUND(IFERROR(CriteriTecnici!$N2478*1,IFERROR(NUMBERVALUE(CriteriTecnici!$N2478,".",","),IFERROR(NUMBERVALUE(CriteriTecnici!$N2478,",","."),0))),4)&amp;""),",",".")&amp;", "&amp;CHAR(34)&amp;"numerator"&amp;CHAR(34)&amp;": "&amp;SUBSTITUTE(TRIM(ROUND(IFERROR(CriteriTecnici!$K2478*1,IFERROR(NUMBERVALUE(CriteriTecnici!$K2478,".",","),IFERROR(NUMBERVALUE(CriteriTecnici!$K2478,",","."),0))),4)&amp;""),",",".")&amp;", "&amp;CHAR(34)&amp;"denominator"&amp;CHAR(34)&amp;": "&amp;SUBSTITUTE(TRIM(ROUND(IFERROR(CriteriTecnici!$L2478*1,IFERROR(NUMBERVALUE(CriteriTecnici!$L2478,".",","),IFERROR(NUMBERVALUE(CriteriTecnici!$L2478,",","."),0))),4)&amp;""),",",".")&amp;", "&amp;CHAR(34)&amp;"flag"&amp;CHAR(34)&amp;": "&amp;SUBSTITUTE(TRIM(ROUND(IFERROR(CriteriTecnici!$M2478*1,IFERROR(NUMBERVALUE(CriteriTecnici!$M2478,".",","),IFERROR(NUMBERVALUE(CriteriTecnici!$M2478,",","."),0))),4)&amp;""),",",".")&amp;", "&amp;CHAR(34)&amp;"rawScore"&amp;CHAR(34)&amp;": "&amp;SUBSTITUTE(TRIM(ROUND(IFERROR(CriteriTecnici!$O2478*1,IFERROR(NUMBERVALUE(CriteriTecnici!$O2478,".",","),IFERROR(NUMBERVALUE(CriteriTecnici!$O2478,",","."),0))),4)&amp;""),",",".")&amp;CHAR(125)&amp;IF(TRUE,",",""))</f>
        <v/>
      </c>
    </row>
    <row r="2580">
      <c r="A2580" s="82">
        <f>IF(CriteriTecnici!$A2479="","","    "&amp;CHAR(123)&amp;CHAR(34)&amp;"bidderId"&amp;CHAR(34)&amp;": "&amp;CHAR(34)&amp;SUBSTITUTE(CriteriTecnici!$A2479,CHAR(34),"'")&amp;CHAR(34)&amp;", "&amp;CHAR(34)&amp;"lotId"&amp;CHAR(34)&amp;": "&amp;CHAR(34)&amp;SUBSTITUTE(CriteriTecnici!$C2479,CHAR(34),"'")&amp;CHAR(34)&amp;", "&amp;CHAR(34)&amp;"criterionId"&amp;CHAR(34)&amp;": "&amp;CHAR(34)&amp;SUBSTITUTE(CriteriTecnici!$D2479,CHAR(34),"'")&amp;CHAR(34)&amp;", "&amp;CHAR(34)&amp;"kind"&amp;CHAR(34)&amp;": "&amp;CHAR(34)&amp;SUBSTITUTE(CriteriTecnici!$F2479,CHAR(34),"'")&amp;CHAR(34)&amp;", "&amp;CHAR(34)&amp;"value"&amp;CHAR(34)&amp;": "&amp;SUBSTITUTE(TRIM(ROUND(IFERROR(CriteriTecnici!$N2479*1,IFERROR(NUMBERVALUE(CriteriTecnici!$N2479,".",","),IFERROR(NUMBERVALUE(CriteriTecnici!$N2479,",","."),0))),4)&amp;""),",",".")&amp;", "&amp;CHAR(34)&amp;"numerator"&amp;CHAR(34)&amp;": "&amp;SUBSTITUTE(TRIM(ROUND(IFERROR(CriteriTecnici!$K2479*1,IFERROR(NUMBERVALUE(CriteriTecnici!$K2479,".",","),IFERROR(NUMBERVALUE(CriteriTecnici!$K2479,",","."),0))),4)&amp;""),",",".")&amp;", "&amp;CHAR(34)&amp;"denominator"&amp;CHAR(34)&amp;": "&amp;SUBSTITUTE(TRIM(ROUND(IFERROR(CriteriTecnici!$L2479*1,IFERROR(NUMBERVALUE(CriteriTecnici!$L2479,".",","),IFERROR(NUMBERVALUE(CriteriTecnici!$L2479,",","."),0))),4)&amp;""),",",".")&amp;", "&amp;CHAR(34)&amp;"flag"&amp;CHAR(34)&amp;": "&amp;SUBSTITUTE(TRIM(ROUND(IFERROR(CriteriTecnici!$M2479*1,IFERROR(NUMBERVALUE(CriteriTecnici!$M2479,".",","),IFERROR(NUMBERVALUE(CriteriTecnici!$M2479,",","."),0))),4)&amp;""),",",".")&amp;", "&amp;CHAR(34)&amp;"rawScore"&amp;CHAR(34)&amp;": "&amp;SUBSTITUTE(TRIM(ROUND(IFERROR(CriteriTecnici!$O2479*1,IFERROR(NUMBERVALUE(CriteriTecnici!$O2479,".",","),IFERROR(NUMBERVALUE(CriteriTecnici!$O2479,",","."),0))),4)&amp;""),",",".")&amp;CHAR(125)&amp;IF(TRUE,",",""))</f>
        <v/>
      </c>
    </row>
    <row r="2581">
      <c r="A2581" s="82">
        <f>IF(CriteriTecnici!$A2480="","","    "&amp;CHAR(123)&amp;CHAR(34)&amp;"bidderId"&amp;CHAR(34)&amp;": "&amp;CHAR(34)&amp;SUBSTITUTE(CriteriTecnici!$A2480,CHAR(34),"'")&amp;CHAR(34)&amp;", "&amp;CHAR(34)&amp;"lotId"&amp;CHAR(34)&amp;": "&amp;CHAR(34)&amp;SUBSTITUTE(CriteriTecnici!$C2480,CHAR(34),"'")&amp;CHAR(34)&amp;", "&amp;CHAR(34)&amp;"criterionId"&amp;CHAR(34)&amp;": "&amp;CHAR(34)&amp;SUBSTITUTE(CriteriTecnici!$D2480,CHAR(34),"'")&amp;CHAR(34)&amp;", "&amp;CHAR(34)&amp;"kind"&amp;CHAR(34)&amp;": "&amp;CHAR(34)&amp;SUBSTITUTE(CriteriTecnici!$F2480,CHAR(34),"'")&amp;CHAR(34)&amp;", "&amp;CHAR(34)&amp;"value"&amp;CHAR(34)&amp;": "&amp;SUBSTITUTE(TRIM(ROUND(IFERROR(CriteriTecnici!$N2480*1,IFERROR(NUMBERVALUE(CriteriTecnici!$N2480,".",","),IFERROR(NUMBERVALUE(CriteriTecnici!$N2480,",","."),0))),4)&amp;""),",",".")&amp;", "&amp;CHAR(34)&amp;"numerator"&amp;CHAR(34)&amp;": "&amp;SUBSTITUTE(TRIM(ROUND(IFERROR(CriteriTecnici!$K2480*1,IFERROR(NUMBERVALUE(CriteriTecnici!$K2480,".",","),IFERROR(NUMBERVALUE(CriteriTecnici!$K2480,",","."),0))),4)&amp;""),",",".")&amp;", "&amp;CHAR(34)&amp;"denominator"&amp;CHAR(34)&amp;": "&amp;SUBSTITUTE(TRIM(ROUND(IFERROR(CriteriTecnici!$L2480*1,IFERROR(NUMBERVALUE(CriteriTecnici!$L2480,".",","),IFERROR(NUMBERVALUE(CriteriTecnici!$L2480,",","."),0))),4)&amp;""),",",".")&amp;", "&amp;CHAR(34)&amp;"flag"&amp;CHAR(34)&amp;": "&amp;SUBSTITUTE(TRIM(ROUND(IFERROR(CriteriTecnici!$M2480*1,IFERROR(NUMBERVALUE(CriteriTecnici!$M2480,".",","),IFERROR(NUMBERVALUE(CriteriTecnici!$M2480,",","."),0))),4)&amp;""),",",".")&amp;", "&amp;CHAR(34)&amp;"rawScore"&amp;CHAR(34)&amp;": "&amp;SUBSTITUTE(TRIM(ROUND(IFERROR(CriteriTecnici!$O2480*1,IFERROR(NUMBERVALUE(CriteriTecnici!$O2480,".",","),IFERROR(NUMBERVALUE(CriteriTecnici!$O2480,",","."),0))),4)&amp;""),",",".")&amp;CHAR(125)&amp;IF(TRUE,",",""))</f>
        <v/>
      </c>
    </row>
    <row r="2582">
      <c r="A2582" s="82">
        <f>IF(CriteriTecnici!$A2481="","","    "&amp;CHAR(123)&amp;CHAR(34)&amp;"bidderId"&amp;CHAR(34)&amp;": "&amp;CHAR(34)&amp;SUBSTITUTE(CriteriTecnici!$A2481,CHAR(34),"'")&amp;CHAR(34)&amp;", "&amp;CHAR(34)&amp;"lotId"&amp;CHAR(34)&amp;": "&amp;CHAR(34)&amp;SUBSTITUTE(CriteriTecnici!$C2481,CHAR(34),"'")&amp;CHAR(34)&amp;", "&amp;CHAR(34)&amp;"criterionId"&amp;CHAR(34)&amp;": "&amp;CHAR(34)&amp;SUBSTITUTE(CriteriTecnici!$D2481,CHAR(34),"'")&amp;CHAR(34)&amp;", "&amp;CHAR(34)&amp;"kind"&amp;CHAR(34)&amp;": "&amp;CHAR(34)&amp;SUBSTITUTE(CriteriTecnici!$F2481,CHAR(34),"'")&amp;CHAR(34)&amp;", "&amp;CHAR(34)&amp;"value"&amp;CHAR(34)&amp;": "&amp;SUBSTITUTE(TRIM(ROUND(IFERROR(CriteriTecnici!$N2481*1,IFERROR(NUMBERVALUE(CriteriTecnici!$N2481,".",","),IFERROR(NUMBERVALUE(CriteriTecnici!$N2481,",","."),0))),4)&amp;""),",",".")&amp;", "&amp;CHAR(34)&amp;"numerator"&amp;CHAR(34)&amp;": "&amp;SUBSTITUTE(TRIM(ROUND(IFERROR(CriteriTecnici!$K2481*1,IFERROR(NUMBERVALUE(CriteriTecnici!$K2481,".",","),IFERROR(NUMBERVALUE(CriteriTecnici!$K2481,",","."),0))),4)&amp;""),",",".")&amp;", "&amp;CHAR(34)&amp;"denominator"&amp;CHAR(34)&amp;": "&amp;SUBSTITUTE(TRIM(ROUND(IFERROR(CriteriTecnici!$L2481*1,IFERROR(NUMBERVALUE(CriteriTecnici!$L2481,".",","),IFERROR(NUMBERVALUE(CriteriTecnici!$L2481,",","."),0))),4)&amp;""),",",".")&amp;", "&amp;CHAR(34)&amp;"flag"&amp;CHAR(34)&amp;": "&amp;SUBSTITUTE(TRIM(ROUND(IFERROR(CriteriTecnici!$M2481*1,IFERROR(NUMBERVALUE(CriteriTecnici!$M2481,".",","),IFERROR(NUMBERVALUE(CriteriTecnici!$M2481,",","."),0))),4)&amp;""),",",".")&amp;", "&amp;CHAR(34)&amp;"rawScore"&amp;CHAR(34)&amp;": "&amp;SUBSTITUTE(TRIM(ROUND(IFERROR(CriteriTecnici!$O2481*1,IFERROR(NUMBERVALUE(CriteriTecnici!$O2481,".",","),IFERROR(NUMBERVALUE(CriteriTecnici!$O2481,",","."),0))),4)&amp;""),",",".")&amp;CHAR(125)&amp;IF(TRUE,",",""))</f>
        <v/>
      </c>
    </row>
    <row r="2583">
      <c r="A2583" s="82">
        <f>IF(CriteriTecnici!$A2482="","","    "&amp;CHAR(123)&amp;CHAR(34)&amp;"bidderId"&amp;CHAR(34)&amp;": "&amp;CHAR(34)&amp;SUBSTITUTE(CriteriTecnici!$A2482,CHAR(34),"'")&amp;CHAR(34)&amp;", "&amp;CHAR(34)&amp;"lotId"&amp;CHAR(34)&amp;": "&amp;CHAR(34)&amp;SUBSTITUTE(CriteriTecnici!$C2482,CHAR(34),"'")&amp;CHAR(34)&amp;", "&amp;CHAR(34)&amp;"criterionId"&amp;CHAR(34)&amp;": "&amp;CHAR(34)&amp;SUBSTITUTE(CriteriTecnici!$D2482,CHAR(34),"'")&amp;CHAR(34)&amp;", "&amp;CHAR(34)&amp;"kind"&amp;CHAR(34)&amp;": "&amp;CHAR(34)&amp;SUBSTITUTE(CriteriTecnici!$F2482,CHAR(34),"'")&amp;CHAR(34)&amp;", "&amp;CHAR(34)&amp;"value"&amp;CHAR(34)&amp;": "&amp;SUBSTITUTE(TRIM(ROUND(IFERROR(CriteriTecnici!$N2482*1,IFERROR(NUMBERVALUE(CriteriTecnici!$N2482,".",","),IFERROR(NUMBERVALUE(CriteriTecnici!$N2482,",","."),0))),4)&amp;""),",",".")&amp;", "&amp;CHAR(34)&amp;"numerator"&amp;CHAR(34)&amp;": "&amp;SUBSTITUTE(TRIM(ROUND(IFERROR(CriteriTecnici!$K2482*1,IFERROR(NUMBERVALUE(CriteriTecnici!$K2482,".",","),IFERROR(NUMBERVALUE(CriteriTecnici!$K2482,",","."),0))),4)&amp;""),",",".")&amp;", "&amp;CHAR(34)&amp;"denominator"&amp;CHAR(34)&amp;": "&amp;SUBSTITUTE(TRIM(ROUND(IFERROR(CriteriTecnici!$L2482*1,IFERROR(NUMBERVALUE(CriteriTecnici!$L2482,".",","),IFERROR(NUMBERVALUE(CriteriTecnici!$L2482,",","."),0))),4)&amp;""),",",".")&amp;", "&amp;CHAR(34)&amp;"flag"&amp;CHAR(34)&amp;": "&amp;SUBSTITUTE(TRIM(ROUND(IFERROR(CriteriTecnici!$M2482*1,IFERROR(NUMBERVALUE(CriteriTecnici!$M2482,".",","),IFERROR(NUMBERVALUE(CriteriTecnici!$M2482,",","."),0))),4)&amp;""),",",".")&amp;", "&amp;CHAR(34)&amp;"rawScore"&amp;CHAR(34)&amp;": "&amp;SUBSTITUTE(TRIM(ROUND(IFERROR(CriteriTecnici!$O2482*1,IFERROR(NUMBERVALUE(CriteriTecnici!$O2482,".",","),IFERROR(NUMBERVALUE(CriteriTecnici!$O2482,",","."),0))),4)&amp;""),",",".")&amp;CHAR(125)&amp;IF(TRUE,",",""))</f>
        <v/>
      </c>
    </row>
    <row r="2584">
      <c r="A2584" s="82">
        <f>IF(CriteriTecnici!$A2483="","","    "&amp;CHAR(123)&amp;CHAR(34)&amp;"bidderId"&amp;CHAR(34)&amp;": "&amp;CHAR(34)&amp;SUBSTITUTE(CriteriTecnici!$A2483,CHAR(34),"'")&amp;CHAR(34)&amp;", "&amp;CHAR(34)&amp;"lotId"&amp;CHAR(34)&amp;": "&amp;CHAR(34)&amp;SUBSTITUTE(CriteriTecnici!$C2483,CHAR(34),"'")&amp;CHAR(34)&amp;", "&amp;CHAR(34)&amp;"criterionId"&amp;CHAR(34)&amp;": "&amp;CHAR(34)&amp;SUBSTITUTE(CriteriTecnici!$D2483,CHAR(34),"'")&amp;CHAR(34)&amp;", "&amp;CHAR(34)&amp;"kind"&amp;CHAR(34)&amp;": "&amp;CHAR(34)&amp;SUBSTITUTE(CriteriTecnici!$F2483,CHAR(34),"'")&amp;CHAR(34)&amp;", "&amp;CHAR(34)&amp;"value"&amp;CHAR(34)&amp;": "&amp;SUBSTITUTE(TRIM(ROUND(IFERROR(CriteriTecnici!$N2483*1,IFERROR(NUMBERVALUE(CriteriTecnici!$N2483,".",","),IFERROR(NUMBERVALUE(CriteriTecnici!$N2483,",","."),0))),4)&amp;""),",",".")&amp;", "&amp;CHAR(34)&amp;"numerator"&amp;CHAR(34)&amp;": "&amp;SUBSTITUTE(TRIM(ROUND(IFERROR(CriteriTecnici!$K2483*1,IFERROR(NUMBERVALUE(CriteriTecnici!$K2483,".",","),IFERROR(NUMBERVALUE(CriteriTecnici!$K2483,",","."),0))),4)&amp;""),",",".")&amp;", "&amp;CHAR(34)&amp;"denominator"&amp;CHAR(34)&amp;": "&amp;SUBSTITUTE(TRIM(ROUND(IFERROR(CriteriTecnici!$L2483*1,IFERROR(NUMBERVALUE(CriteriTecnici!$L2483,".",","),IFERROR(NUMBERVALUE(CriteriTecnici!$L2483,",","."),0))),4)&amp;""),",",".")&amp;", "&amp;CHAR(34)&amp;"flag"&amp;CHAR(34)&amp;": "&amp;SUBSTITUTE(TRIM(ROUND(IFERROR(CriteriTecnici!$M2483*1,IFERROR(NUMBERVALUE(CriteriTecnici!$M2483,".",","),IFERROR(NUMBERVALUE(CriteriTecnici!$M2483,",","."),0))),4)&amp;""),",",".")&amp;", "&amp;CHAR(34)&amp;"rawScore"&amp;CHAR(34)&amp;": "&amp;SUBSTITUTE(TRIM(ROUND(IFERROR(CriteriTecnici!$O2483*1,IFERROR(NUMBERVALUE(CriteriTecnici!$O2483,".",","),IFERROR(NUMBERVALUE(CriteriTecnici!$O2483,",","."),0))),4)&amp;""),",",".")&amp;CHAR(125)&amp;IF(TRUE,",",""))</f>
        <v/>
      </c>
    </row>
    <row r="2585">
      <c r="A2585" s="82">
        <f>IF(CriteriTecnici!$A2484="","","    "&amp;CHAR(123)&amp;CHAR(34)&amp;"bidderId"&amp;CHAR(34)&amp;": "&amp;CHAR(34)&amp;SUBSTITUTE(CriteriTecnici!$A2484,CHAR(34),"'")&amp;CHAR(34)&amp;", "&amp;CHAR(34)&amp;"lotId"&amp;CHAR(34)&amp;": "&amp;CHAR(34)&amp;SUBSTITUTE(CriteriTecnici!$C2484,CHAR(34),"'")&amp;CHAR(34)&amp;", "&amp;CHAR(34)&amp;"criterionId"&amp;CHAR(34)&amp;": "&amp;CHAR(34)&amp;SUBSTITUTE(CriteriTecnici!$D2484,CHAR(34),"'")&amp;CHAR(34)&amp;", "&amp;CHAR(34)&amp;"kind"&amp;CHAR(34)&amp;": "&amp;CHAR(34)&amp;SUBSTITUTE(CriteriTecnici!$F2484,CHAR(34),"'")&amp;CHAR(34)&amp;", "&amp;CHAR(34)&amp;"value"&amp;CHAR(34)&amp;": "&amp;SUBSTITUTE(TRIM(ROUND(IFERROR(CriteriTecnici!$N2484*1,IFERROR(NUMBERVALUE(CriteriTecnici!$N2484,".",","),IFERROR(NUMBERVALUE(CriteriTecnici!$N2484,",","."),0))),4)&amp;""),",",".")&amp;", "&amp;CHAR(34)&amp;"numerator"&amp;CHAR(34)&amp;": "&amp;SUBSTITUTE(TRIM(ROUND(IFERROR(CriteriTecnici!$K2484*1,IFERROR(NUMBERVALUE(CriteriTecnici!$K2484,".",","),IFERROR(NUMBERVALUE(CriteriTecnici!$K2484,",","."),0))),4)&amp;""),",",".")&amp;", "&amp;CHAR(34)&amp;"denominator"&amp;CHAR(34)&amp;": "&amp;SUBSTITUTE(TRIM(ROUND(IFERROR(CriteriTecnici!$L2484*1,IFERROR(NUMBERVALUE(CriteriTecnici!$L2484,".",","),IFERROR(NUMBERVALUE(CriteriTecnici!$L2484,",","."),0))),4)&amp;""),",",".")&amp;", "&amp;CHAR(34)&amp;"flag"&amp;CHAR(34)&amp;": "&amp;SUBSTITUTE(TRIM(ROUND(IFERROR(CriteriTecnici!$M2484*1,IFERROR(NUMBERVALUE(CriteriTecnici!$M2484,".",","),IFERROR(NUMBERVALUE(CriteriTecnici!$M2484,",","."),0))),4)&amp;""),",",".")&amp;", "&amp;CHAR(34)&amp;"rawScore"&amp;CHAR(34)&amp;": "&amp;SUBSTITUTE(TRIM(ROUND(IFERROR(CriteriTecnici!$O2484*1,IFERROR(NUMBERVALUE(CriteriTecnici!$O2484,".",","),IFERROR(NUMBERVALUE(CriteriTecnici!$O2484,",","."),0))),4)&amp;""),",",".")&amp;CHAR(125)&amp;IF(COUNTA(Offerte!$A82:$A$81)&gt;0,",",""))</f>
        <v/>
      </c>
    </row>
    <row r="2586">
      <c r="A2586" s="82" t="inlineStr">
        <is>
          <t xml:space="preserve">  ],</t>
        </is>
      </c>
    </row>
    <row r="2587">
      <c r="A2587" s="82" t="inlineStr">
        <is>
          <t xml:space="preserve">  "combos": [</t>
        </is>
      </c>
    </row>
    <row r="2588">
      <c r="A2588" s="82">
        <f>IF(Combinatorie!$A5="","","    "&amp;CHAR(123)&amp;CHAR(34)&amp;"bidderId"&amp;CHAR(34)&amp;": "&amp;CHAR(34)&amp;SUBSTITUTE(Combinatorie!$A5,CHAR(34),"'")&amp;CHAR(34)&amp;", "&amp;CHAR(34)&amp;"bidderName"&amp;CHAR(34)&amp;": "&amp;CHAR(34)&amp;SUBSTITUTE(Combinatorie!$B5,CHAR(34),"'")&amp;CHAR(34)&amp;", "&amp;CHAR(34)&amp;"pairId"&amp;CHAR(34)&amp;": "&amp;CHAR(34)&amp;SUBSTITUTE(Combinatorie!$C5,CHAR(34),"'")&amp;CHAR(34)&amp;", "&amp;CHAR(34)&amp;"enabled"&amp;CHAR(34)&amp;": "&amp;IF(IFERROR(Combinatorie!$D5*1,IFERROR(NUMBERVALUE(Combinatorie!$D5,".",","),IFERROR(NUMBERVALUE(Combinatorie!$D5,",","."),0)))=1,"true","false")&amp;", "&amp;CHAR(34)&amp;"discount"&amp;CHAR(34)&amp;": "&amp;SUBSTITUTE(TRIM(ROUND(IFERROR(Combinatorie!$E5*1,IFERROR(NUMBERVALUE(Combinatorie!$E5,".",","),IFERROR(NUMBERVALUE(Combinatorie!$E5,",","."),0))),4)&amp;""),",",".")&amp;", "&amp;CHAR(34)&amp;"insertedInBothBuste"&amp;CHAR(34)&amp;": "&amp;IF(IFERROR(Combinatorie!$F5*1,IFERROR(NUMBERVALUE(Combinatorie!$F5,".",","),IFERROR(NUMBERVALUE(Combinatorie!$F5,",","."),0)))=1,"true","false")&amp;", "&amp;CHAR(34)&amp;"pefCoherent"&amp;CHAR(34)&amp;": "&amp;IF(IFERROR(Combinatorie!$G5*1,IFERROR(NUMBERVALUE(Combinatorie!$G5,".",","),IFERROR(NUMBERVALUE(Combinatorie!$G5,",","."),0)))=1,"true","false")&amp;CHAR(125)&amp;IF(COUNTA(Combinatorie!$A6:$A$80)&gt;0,",",""))</f>
        <v/>
      </c>
    </row>
    <row r="2589">
      <c r="A2589" s="82">
        <f>IF(Combinatorie!$A6="","","    "&amp;CHAR(123)&amp;CHAR(34)&amp;"bidderId"&amp;CHAR(34)&amp;": "&amp;CHAR(34)&amp;SUBSTITUTE(Combinatorie!$A6,CHAR(34),"'")&amp;CHAR(34)&amp;", "&amp;CHAR(34)&amp;"bidderName"&amp;CHAR(34)&amp;": "&amp;CHAR(34)&amp;SUBSTITUTE(Combinatorie!$B6,CHAR(34),"'")&amp;CHAR(34)&amp;", "&amp;CHAR(34)&amp;"pairId"&amp;CHAR(34)&amp;": "&amp;CHAR(34)&amp;SUBSTITUTE(Combinatorie!$C6,CHAR(34),"'")&amp;CHAR(34)&amp;", "&amp;CHAR(34)&amp;"enabled"&amp;CHAR(34)&amp;": "&amp;IF(IFERROR(Combinatorie!$D6*1,IFERROR(NUMBERVALUE(Combinatorie!$D6,".",","),IFERROR(NUMBERVALUE(Combinatorie!$D6,",","."),0)))=1,"true","false")&amp;", "&amp;CHAR(34)&amp;"discount"&amp;CHAR(34)&amp;": "&amp;SUBSTITUTE(TRIM(ROUND(IFERROR(Combinatorie!$E6*1,IFERROR(NUMBERVALUE(Combinatorie!$E6,".",","),IFERROR(NUMBERVALUE(Combinatorie!$E6,",","."),0))),4)&amp;""),",",".")&amp;", "&amp;CHAR(34)&amp;"insertedInBothBuste"&amp;CHAR(34)&amp;": "&amp;IF(IFERROR(Combinatorie!$F6*1,IFERROR(NUMBERVALUE(Combinatorie!$F6,".",","),IFERROR(NUMBERVALUE(Combinatorie!$F6,",","."),0)))=1,"true","false")&amp;", "&amp;CHAR(34)&amp;"pefCoherent"&amp;CHAR(34)&amp;": "&amp;IF(IFERROR(Combinatorie!$G6*1,IFERROR(NUMBERVALUE(Combinatorie!$G6,".",","),IFERROR(NUMBERVALUE(Combinatorie!$G6,",","."),0)))=1,"true","false")&amp;CHAR(125)&amp;IF(COUNTA(Combinatorie!$A7:$A$80)&gt;0,",",""))</f>
        <v/>
      </c>
    </row>
    <row r="2590">
      <c r="A2590" s="82">
        <f>IF(Combinatorie!$A7="","","    "&amp;CHAR(123)&amp;CHAR(34)&amp;"bidderId"&amp;CHAR(34)&amp;": "&amp;CHAR(34)&amp;SUBSTITUTE(Combinatorie!$A7,CHAR(34),"'")&amp;CHAR(34)&amp;", "&amp;CHAR(34)&amp;"bidderName"&amp;CHAR(34)&amp;": "&amp;CHAR(34)&amp;SUBSTITUTE(Combinatorie!$B7,CHAR(34),"'")&amp;CHAR(34)&amp;", "&amp;CHAR(34)&amp;"pairId"&amp;CHAR(34)&amp;": "&amp;CHAR(34)&amp;SUBSTITUTE(Combinatorie!$C7,CHAR(34),"'")&amp;CHAR(34)&amp;", "&amp;CHAR(34)&amp;"enabled"&amp;CHAR(34)&amp;": "&amp;IF(IFERROR(Combinatorie!$D7*1,IFERROR(NUMBERVALUE(Combinatorie!$D7,".",","),IFERROR(NUMBERVALUE(Combinatorie!$D7,",","."),0)))=1,"true","false")&amp;", "&amp;CHAR(34)&amp;"discount"&amp;CHAR(34)&amp;": "&amp;SUBSTITUTE(TRIM(ROUND(IFERROR(Combinatorie!$E7*1,IFERROR(NUMBERVALUE(Combinatorie!$E7,".",","),IFERROR(NUMBERVALUE(Combinatorie!$E7,",","."),0))),4)&amp;""),",",".")&amp;", "&amp;CHAR(34)&amp;"insertedInBothBuste"&amp;CHAR(34)&amp;": "&amp;IF(IFERROR(Combinatorie!$F7*1,IFERROR(NUMBERVALUE(Combinatorie!$F7,".",","),IFERROR(NUMBERVALUE(Combinatorie!$F7,",","."),0)))=1,"true","false")&amp;", "&amp;CHAR(34)&amp;"pefCoherent"&amp;CHAR(34)&amp;": "&amp;IF(IFERROR(Combinatorie!$G7*1,IFERROR(NUMBERVALUE(Combinatorie!$G7,".",","),IFERROR(NUMBERVALUE(Combinatorie!$G7,",","."),0)))=1,"true","false")&amp;CHAR(125)&amp;IF(COUNTA(Combinatorie!$A8:$A$80)&gt;0,",",""))</f>
        <v/>
      </c>
    </row>
    <row r="2591">
      <c r="A2591" s="82">
        <f>IF(Combinatorie!$A8="","","    "&amp;CHAR(123)&amp;CHAR(34)&amp;"bidderId"&amp;CHAR(34)&amp;": "&amp;CHAR(34)&amp;SUBSTITUTE(Combinatorie!$A8,CHAR(34),"'")&amp;CHAR(34)&amp;", "&amp;CHAR(34)&amp;"bidderName"&amp;CHAR(34)&amp;": "&amp;CHAR(34)&amp;SUBSTITUTE(Combinatorie!$B8,CHAR(34),"'")&amp;CHAR(34)&amp;", "&amp;CHAR(34)&amp;"pairId"&amp;CHAR(34)&amp;": "&amp;CHAR(34)&amp;SUBSTITUTE(Combinatorie!$C8,CHAR(34),"'")&amp;CHAR(34)&amp;", "&amp;CHAR(34)&amp;"enabled"&amp;CHAR(34)&amp;": "&amp;IF(IFERROR(Combinatorie!$D8*1,IFERROR(NUMBERVALUE(Combinatorie!$D8,".",","),IFERROR(NUMBERVALUE(Combinatorie!$D8,",","."),0)))=1,"true","false")&amp;", "&amp;CHAR(34)&amp;"discount"&amp;CHAR(34)&amp;": "&amp;SUBSTITUTE(TRIM(ROUND(IFERROR(Combinatorie!$E8*1,IFERROR(NUMBERVALUE(Combinatorie!$E8,".",","),IFERROR(NUMBERVALUE(Combinatorie!$E8,",","."),0))),4)&amp;""),",",".")&amp;", "&amp;CHAR(34)&amp;"insertedInBothBuste"&amp;CHAR(34)&amp;": "&amp;IF(IFERROR(Combinatorie!$F8*1,IFERROR(NUMBERVALUE(Combinatorie!$F8,".",","),IFERROR(NUMBERVALUE(Combinatorie!$F8,",","."),0)))=1,"true","false")&amp;", "&amp;CHAR(34)&amp;"pefCoherent"&amp;CHAR(34)&amp;": "&amp;IF(IFERROR(Combinatorie!$G8*1,IFERROR(NUMBERVALUE(Combinatorie!$G8,".",","),IFERROR(NUMBERVALUE(Combinatorie!$G8,",","."),0)))=1,"true","false")&amp;CHAR(125)&amp;IF(COUNTA(Combinatorie!$A9:$A$80)&gt;0,",",""))</f>
        <v/>
      </c>
    </row>
    <row r="2592">
      <c r="A2592" s="82">
        <f>IF(Combinatorie!$A9="","","    "&amp;CHAR(123)&amp;CHAR(34)&amp;"bidderId"&amp;CHAR(34)&amp;": "&amp;CHAR(34)&amp;SUBSTITUTE(Combinatorie!$A9,CHAR(34),"'")&amp;CHAR(34)&amp;", "&amp;CHAR(34)&amp;"bidderName"&amp;CHAR(34)&amp;": "&amp;CHAR(34)&amp;SUBSTITUTE(Combinatorie!$B9,CHAR(34),"'")&amp;CHAR(34)&amp;", "&amp;CHAR(34)&amp;"pairId"&amp;CHAR(34)&amp;": "&amp;CHAR(34)&amp;SUBSTITUTE(Combinatorie!$C9,CHAR(34),"'")&amp;CHAR(34)&amp;", "&amp;CHAR(34)&amp;"enabled"&amp;CHAR(34)&amp;": "&amp;IF(IFERROR(Combinatorie!$D9*1,IFERROR(NUMBERVALUE(Combinatorie!$D9,".",","),IFERROR(NUMBERVALUE(Combinatorie!$D9,",","."),0)))=1,"true","false")&amp;", "&amp;CHAR(34)&amp;"discount"&amp;CHAR(34)&amp;": "&amp;SUBSTITUTE(TRIM(ROUND(IFERROR(Combinatorie!$E9*1,IFERROR(NUMBERVALUE(Combinatorie!$E9,".",","),IFERROR(NUMBERVALUE(Combinatorie!$E9,",","."),0))),4)&amp;""),",",".")&amp;", "&amp;CHAR(34)&amp;"insertedInBothBuste"&amp;CHAR(34)&amp;": "&amp;IF(IFERROR(Combinatorie!$F9*1,IFERROR(NUMBERVALUE(Combinatorie!$F9,".",","),IFERROR(NUMBERVALUE(Combinatorie!$F9,",","."),0)))=1,"true","false")&amp;", "&amp;CHAR(34)&amp;"pefCoherent"&amp;CHAR(34)&amp;": "&amp;IF(IFERROR(Combinatorie!$G9*1,IFERROR(NUMBERVALUE(Combinatorie!$G9,".",","),IFERROR(NUMBERVALUE(Combinatorie!$G9,",","."),0)))=1,"true","false")&amp;CHAR(125)&amp;IF(COUNTA(Combinatorie!$A10:$A$80)&gt;0,",",""))</f>
        <v/>
      </c>
    </row>
    <row r="2593">
      <c r="A2593" s="82">
        <f>IF(Combinatorie!$A10="","","    "&amp;CHAR(123)&amp;CHAR(34)&amp;"bidderId"&amp;CHAR(34)&amp;": "&amp;CHAR(34)&amp;SUBSTITUTE(Combinatorie!$A10,CHAR(34),"'")&amp;CHAR(34)&amp;", "&amp;CHAR(34)&amp;"bidderName"&amp;CHAR(34)&amp;": "&amp;CHAR(34)&amp;SUBSTITUTE(Combinatorie!$B10,CHAR(34),"'")&amp;CHAR(34)&amp;", "&amp;CHAR(34)&amp;"pairId"&amp;CHAR(34)&amp;": "&amp;CHAR(34)&amp;SUBSTITUTE(Combinatorie!$C10,CHAR(34),"'")&amp;CHAR(34)&amp;", "&amp;CHAR(34)&amp;"enabled"&amp;CHAR(34)&amp;": "&amp;IF(IFERROR(Combinatorie!$D10*1,IFERROR(NUMBERVALUE(Combinatorie!$D10,".",","),IFERROR(NUMBERVALUE(Combinatorie!$D10,",","."),0)))=1,"true","false")&amp;", "&amp;CHAR(34)&amp;"discount"&amp;CHAR(34)&amp;": "&amp;SUBSTITUTE(TRIM(ROUND(IFERROR(Combinatorie!$E10*1,IFERROR(NUMBERVALUE(Combinatorie!$E10,".",","),IFERROR(NUMBERVALUE(Combinatorie!$E10,",","."),0))),4)&amp;""),",",".")&amp;", "&amp;CHAR(34)&amp;"insertedInBothBuste"&amp;CHAR(34)&amp;": "&amp;IF(IFERROR(Combinatorie!$F10*1,IFERROR(NUMBERVALUE(Combinatorie!$F10,".",","),IFERROR(NUMBERVALUE(Combinatorie!$F10,",","."),0)))=1,"true","false")&amp;", "&amp;CHAR(34)&amp;"pefCoherent"&amp;CHAR(34)&amp;": "&amp;IF(IFERROR(Combinatorie!$G10*1,IFERROR(NUMBERVALUE(Combinatorie!$G10,".",","),IFERROR(NUMBERVALUE(Combinatorie!$G10,",","."),0)))=1,"true","false")&amp;CHAR(125)&amp;IF(COUNTA(Combinatorie!$A11:$A$80)&gt;0,",",""))</f>
        <v/>
      </c>
    </row>
    <row r="2594">
      <c r="A2594" s="82">
        <f>IF(Combinatorie!$A11="","","    "&amp;CHAR(123)&amp;CHAR(34)&amp;"bidderId"&amp;CHAR(34)&amp;": "&amp;CHAR(34)&amp;SUBSTITUTE(Combinatorie!$A11,CHAR(34),"'")&amp;CHAR(34)&amp;", "&amp;CHAR(34)&amp;"bidderName"&amp;CHAR(34)&amp;": "&amp;CHAR(34)&amp;SUBSTITUTE(Combinatorie!$B11,CHAR(34),"'")&amp;CHAR(34)&amp;", "&amp;CHAR(34)&amp;"pairId"&amp;CHAR(34)&amp;": "&amp;CHAR(34)&amp;SUBSTITUTE(Combinatorie!$C11,CHAR(34),"'")&amp;CHAR(34)&amp;", "&amp;CHAR(34)&amp;"enabled"&amp;CHAR(34)&amp;": "&amp;IF(IFERROR(Combinatorie!$D11*1,IFERROR(NUMBERVALUE(Combinatorie!$D11,".",","),IFERROR(NUMBERVALUE(Combinatorie!$D11,",","."),0)))=1,"true","false")&amp;", "&amp;CHAR(34)&amp;"discount"&amp;CHAR(34)&amp;": "&amp;SUBSTITUTE(TRIM(ROUND(IFERROR(Combinatorie!$E11*1,IFERROR(NUMBERVALUE(Combinatorie!$E11,".",","),IFERROR(NUMBERVALUE(Combinatorie!$E11,",","."),0))),4)&amp;""),",",".")&amp;", "&amp;CHAR(34)&amp;"insertedInBothBuste"&amp;CHAR(34)&amp;": "&amp;IF(IFERROR(Combinatorie!$F11*1,IFERROR(NUMBERVALUE(Combinatorie!$F11,".",","),IFERROR(NUMBERVALUE(Combinatorie!$F11,",","."),0)))=1,"true","false")&amp;", "&amp;CHAR(34)&amp;"pefCoherent"&amp;CHAR(34)&amp;": "&amp;IF(IFERROR(Combinatorie!$G11*1,IFERROR(NUMBERVALUE(Combinatorie!$G11,".",","),IFERROR(NUMBERVALUE(Combinatorie!$G11,",","."),0)))=1,"true","false")&amp;CHAR(125)&amp;IF(COUNTA(Combinatorie!$A12:$A$80)&gt;0,",",""))</f>
        <v/>
      </c>
    </row>
    <row r="2595">
      <c r="A2595" s="82">
        <f>IF(Combinatorie!$A12="","","    "&amp;CHAR(123)&amp;CHAR(34)&amp;"bidderId"&amp;CHAR(34)&amp;": "&amp;CHAR(34)&amp;SUBSTITUTE(Combinatorie!$A12,CHAR(34),"'")&amp;CHAR(34)&amp;", "&amp;CHAR(34)&amp;"bidderName"&amp;CHAR(34)&amp;": "&amp;CHAR(34)&amp;SUBSTITUTE(Combinatorie!$B12,CHAR(34),"'")&amp;CHAR(34)&amp;", "&amp;CHAR(34)&amp;"pairId"&amp;CHAR(34)&amp;": "&amp;CHAR(34)&amp;SUBSTITUTE(Combinatorie!$C12,CHAR(34),"'")&amp;CHAR(34)&amp;", "&amp;CHAR(34)&amp;"enabled"&amp;CHAR(34)&amp;": "&amp;IF(IFERROR(Combinatorie!$D12*1,IFERROR(NUMBERVALUE(Combinatorie!$D12,".",","),IFERROR(NUMBERVALUE(Combinatorie!$D12,",","."),0)))=1,"true","false")&amp;", "&amp;CHAR(34)&amp;"discount"&amp;CHAR(34)&amp;": "&amp;SUBSTITUTE(TRIM(ROUND(IFERROR(Combinatorie!$E12*1,IFERROR(NUMBERVALUE(Combinatorie!$E12,".",","),IFERROR(NUMBERVALUE(Combinatorie!$E12,",","."),0))),4)&amp;""),",",".")&amp;", "&amp;CHAR(34)&amp;"insertedInBothBuste"&amp;CHAR(34)&amp;": "&amp;IF(IFERROR(Combinatorie!$F12*1,IFERROR(NUMBERVALUE(Combinatorie!$F12,".",","),IFERROR(NUMBERVALUE(Combinatorie!$F12,",","."),0)))=1,"true","false")&amp;", "&amp;CHAR(34)&amp;"pefCoherent"&amp;CHAR(34)&amp;": "&amp;IF(IFERROR(Combinatorie!$G12*1,IFERROR(NUMBERVALUE(Combinatorie!$G12,".",","),IFERROR(NUMBERVALUE(Combinatorie!$G12,",","."),0)))=1,"true","false")&amp;CHAR(125)&amp;IF(COUNTA(Combinatorie!$A13:$A$80)&gt;0,",",""))</f>
        <v/>
      </c>
    </row>
    <row r="2596">
      <c r="A2596" s="82">
        <f>IF(Combinatorie!$A13="","","    "&amp;CHAR(123)&amp;CHAR(34)&amp;"bidderId"&amp;CHAR(34)&amp;": "&amp;CHAR(34)&amp;SUBSTITUTE(Combinatorie!$A13,CHAR(34),"'")&amp;CHAR(34)&amp;", "&amp;CHAR(34)&amp;"bidderName"&amp;CHAR(34)&amp;": "&amp;CHAR(34)&amp;SUBSTITUTE(Combinatorie!$B13,CHAR(34),"'")&amp;CHAR(34)&amp;", "&amp;CHAR(34)&amp;"pairId"&amp;CHAR(34)&amp;": "&amp;CHAR(34)&amp;SUBSTITUTE(Combinatorie!$C13,CHAR(34),"'")&amp;CHAR(34)&amp;", "&amp;CHAR(34)&amp;"enabled"&amp;CHAR(34)&amp;": "&amp;IF(IFERROR(Combinatorie!$D13*1,IFERROR(NUMBERVALUE(Combinatorie!$D13,".",","),IFERROR(NUMBERVALUE(Combinatorie!$D13,",","."),0)))=1,"true","false")&amp;", "&amp;CHAR(34)&amp;"discount"&amp;CHAR(34)&amp;": "&amp;SUBSTITUTE(TRIM(ROUND(IFERROR(Combinatorie!$E13*1,IFERROR(NUMBERVALUE(Combinatorie!$E13,".",","),IFERROR(NUMBERVALUE(Combinatorie!$E13,",","."),0))),4)&amp;""),",",".")&amp;", "&amp;CHAR(34)&amp;"insertedInBothBuste"&amp;CHAR(34)&amp;": "&amp;IF(IFERROR(Combinatorie!$F13*1,IFERROR(NUMBERVALUE(Combinatorie!$F13,".",","),IFERROR(NUMBERVALUE(Combinatorie!$F13,",","."),0)))=1,"true","false")&amp;", "&amp;CHAR(34)&amp;"pefCoherent"&amp;CHAR(34)&amp;": "&amp;IF(IFERROR(Combinatorie!$G13*1,IFERROR(NUMBERVALUE(Combinatorie!$G13,".",","),IFERROR(NUMBERVALUE(Combinatorie!$G13,",","."),0)))=1,"true","false")&amp;CHAR(125)&amp;IF(COUNTA(Combinatorie!$A14:$A$80)&gt;0,",",""))</f>
        <v/>
      </c>
    </row>
    <row r="2597">
      <c r="A2597" s="82">
        <f>IF(Combinatorie!$A14="","","    "&amp;CHAR(123)&amp;CHAR(34)&amp;"bidderId"&amp;CHAR(34)&amp;": "&amp;CHAR(34)&amp;SUBSTITUTE(Combinatorie!$A14,CHAR(34),"'")&amp;CHAR(34)&amp;", "&amp;CHAR(34)&amp;"bidderName"&amp;CHAR(34)&amp;": "&amp;CHAR(34)&amp;SUBSTITUTE(Combinatorie!$B14,CHAR(34),"'")&amp;CHAR(34)&amp;", "&amp;CHAR(34)&amp;"pairId"&amp;CHAR(34)&amp;": "&amp;CHAR(34)&amp;SUBSTITUTE(Combinatorie!$C14,CHAR(34),"'")&amp;CHAR(34)&amp;", "&amp;CHAR(34)&amp;"enabled"&amp;CHAR(34)&amp;": "&amp;IF(IFERROR(Combinatorie!$D14*1,IFERROR(NUMBERVALUE(Combinatorie!$D14,".",","),IFERROR(NUMBERVALUE(Combinatorie!$D14,",","."),0)))=1,"true","false")&amp;", "&amp;CHAR(34)&amp;"discount"&amp;CHAR(34)&amp;": "&amp;SUBSTITUTE(TRIM(ROUND(IFERROR(Combinatorie!$E14*1,IFERROR(NUMBERVALUE(Combinatorie!$E14,".",","),IFERROR(NUMBERVALUE(Combinatorie!$E14,",","."),0))),4)&amp;""),",",".")&amp;", "&amp;CHAR(34)&amp;"insertedInBothBuste"&amp;CHAR(34)&amp;": "&amp;IF(IFERROR(Combinatorie!$F14*1,IFERROR(NUMBERVALUE(Combinatorie!$F14,".",","),IFERROR(NUMBERVALUE(Combinatorie!$F14,",","."),0)))=1,"true","false")&amp;", "&amp;CHAR(34)&amp;"pefCoherent"&amp;CHAR(34)&amp;": "&amp;IF(IFERROR(Combinatorie!$G14*1,IFERROR(NUMBERVALUE(Combinatorie!$G14,".",","),IFERROR(NUMBERVALUE(Combinatorie!$G14,",","."),0)))=1,"true","false")&amp;CHAR(125)&amp;IF(COUNTA(Combinatorie!$A15:$A$80)&gt;0,",",""))</f>
        <v/>
      </c>
    </row>
    <row r="2598">
      <c r="A2598" s="82">
        <f>IF(Combinatorie!$A15="","","    "&amp;CHAR(123)&amp;CHAR(34)&amp;"bidderId"&amp;CHAR(34)&amp;": "&amp;CHAR(34)&amp;SUBSTITUTE(Combinatorie!$A15,CHAR(34),"'")&amp;CHAR(34)&amp;", "&amp;CHAR(34)&amp;"bidderName"&amp;CHAR(34)&amp;": "&amp;CHAR(34)&amp;SUBSTITUTE(Combinatorie!$B15,CHAR(34),"'")&amp;CHAR(34)&amp;", "&amp;CHAR(34)&amp;"pairId"&amp;CHAR(34)&amp;": "&amp;CHAR(34)&amp;SUBSTITUTE(Combinatorie!$C15,CHAR(34),"'")&amp;CHAR(34)&amp;", "&amp;CHAR(34)&amp;"enabled"&amp;CHAR(34)&amp;": "&amp;IF(IFERROR(Combinatorie!$D15*1,IFERROR(NUMBERVALUE(Combinatorie!$D15,".",","),IFERROR(NUMBERVALUE(Combinatorie!$D15,",","."),0)))=1,"true","false")&amp;", "&amp;CHAR(34)&amp;"discount"&amp;CHAR(34)&amp;": "&amp;SUBSTITUTE(TRIM(ROUND(IFERROR(Combinatorie!$E15*1,IFERROR(NUMBERVALUE(Combinatorie!$E15,".",","),IFERROR(NUMBERVALUE(Combinatorie!$E15,",","."),0))),4)&amp;""),",",".")&amp;", "&amp;CHAR(34)&amp;"insertedInBothBuste"&amp;CHAR(34)&amp;": "&amp;IF(IFERROR(Combinatorie!$F15*1,IFERROR(NUMBERVALUE(Combinatorie!$F15,".",","),IFERROR(NUMBERVALUE(Combinatorie!$F15,",","."),0)))=1,"true","false")&amp;", "&amp;CHAR(34)&amp;"pefCoherent"&amp;CHAR(34)&amp;": "&amp;IF(IFERROR(Combinatorie!$G15*1,IFERROR(NUMBERVALUE(Combinatorie!$G15,".",","),IFERROR(NUMBERVALUE(Combinatorie!$G15,",","."),0)))=1,"true","false")&amp;CHAR(125)&amp;IF(COUNTA(Combinatorie!$A16:$A$80)&gt;0,",",""))</f>
        <v/>
      </c>
    </row>
    <row r="2599">
      <c r="A2599" s="82">
        <f>IF(Combinatorie!$A16="","","    "&amp;CHAR(123)&amp;CHAR(34)&amp;"bidderId"&amp;CHAR(34)&amp;": "&amp;CHAR(34)&amp;SUBSTITUTE(Combinatorie!$A16,CHAR(34),"'")&amp;CHAR(34)&amp;", "&amp;CHAR(34)&amp;"bidderName"&amp;CHAR(34)&amp;": "&amp;CHAR(34)&amp;SUBSTITUTE(Combinatorie!$B16,CHAR(34),"'")&amp;CHAR(34)&amp;", "&amp;CHAR(34)&amp;"pairId"&amp;CHAR(34)&amp;": "&amp;CHAR(34)&amp;SUBSTITUTE(Combinatorie!$C16,CHAR(34),"'")&amp;CHAR(34)&amp;", "&amp;CHAR(34)&amp;"enabled"&amp;CHAR(34)&amp;": "&amp;IF(IFERROR(Combinatorie!$D16*1,IFERROR(NUMBERVALUE(Combinatorie!$D16,".",","),IFERROR(NUMBERVALUE(Combinatorie!$D16,",","."),0)))=1,"true","false")&amp;", "&amp;CHAR(34)&amp;"discount"&amp;CHAR(34)&amp;": "&amp;SUBSTITUTE(TRIM(ROUND(IFERROR(Combinatorie!$E16*1,IFERROR(NUMBERVALUE(Combinatorie!$E16,".",","),IFERROR(NUMBERVALUE(Combinatorie!$E16,",","."),0))),4)&amp;""),",",".")&amp;", "&amp;CHAR(34)&amp;"insertedInBothBuste"&amp;CHAR(34)&amp;": "&amp;IF(IFERROR(Combinatorie!$F16*1,IFERROR(NUMBERVALUE(Combinatorie!$F16,".",","),IFERROR(NUMBERVALUE(Combinatorie!$F16,",","."),0)))=1,"true","false")&amp;", "&amp;CHAR(34)&amp;"pefCoherent"&amp;CHAR(34)&amp;": "&amp;IF(IFERROR(Combinatorie!$G16*1,IFERROR(NUMBERVALUE(Combinatorie!$G16,".",","),IFERROR(NUMBERVALUE(Combinatorie!$G16,",","."),0)))=1,"true","false")&amp;CHAR(125)&amp;IF(COUNTA(Combinatorie!$A17:$A$80)&gt;0,",",""))</f>
        <v/>
      </c>
    </row>
    <row r="2600">
      <c r="A2600" s="82">
        <f>IF(Combinatorie!$A17="","","    "&amp;CHAR(123)&amp;CHAR(34)&amp;"bidderId"&amp;CHAR(34)&amp;": "&amp;CHAR(34)&amp;SUBSTITUTE(Combinatorie!$A17,CHAR(34),"'")&amp;CHAR(34)&amp;", "&amp;CHAR(34)&amp;"bidderName"&amp;CHAR(34)&amp;": "&amp;CHAR(34)&amp;SUBSTITUTE(Combinatorie!$B17,CHAR(34),"'")&amp;CHAR(34)&amp;", "&amp;CHAR(34)&amp;"pairId"&amp;CHAR(34)&amp;": "&amp;CHAR(34)&amp;SUBSTITUTE(Combinatorie!$C17,CHAR(34),"'")&amp;CHAR(34)&amp;", "&amp;CHAR(34)&amp;"enabled"&amp;CHAR(34)&amp;": "&amp;IF(IFERROR(Combinatorie!$D17*1,IFERROR(NUMBERVALUE(Combinatorie!$D17,".",","),IFERROR(NUMBERVALUE(Combinatorie!$D17,",","."),0)))=1,"true","false")&amp;", "&amp;CHAR(34)&amp;"discount"&amp;CHAR(34)&amp;": "&amp;SUBSTITUTE(TRIM(ROUND(IFERROR(Combinatorie!$E17*1,IFERROR(NUMBERVALUE(Combinatorie!$E17,".",","),IFERROR(NUMBERVALUE(Combinatorie!$E17,",","."),0))),4)&amp;""),",",".")&amp;", "&amp;CHAR(34)&amp;"insertedInBothBuste"&amp;CHAR(34)&amp;": "&amp;IF(IFERROR(Combinatorie!$F17*1,IFERROR(NUMBERVALUE(Combinatorie!$F17,".",","),IFERROR(NUMBERVALUE(Combinatorie!$F17,",","."),0)))=1,"true","false")&amp;", "&amp;CHAR(34)&amp;"pefCoherent"&amp;CHAR(34)&amp;": "&amp;IF(IFERROR(Combinatorie!$G17*1,IFERROR(NUMBERVALUE(Combinatorie!$G17,".",","),IFERROR(NUMBERVALUE(Combinatorie!$G17,",","."),0)))=1,"true","false")&amp;CHAR(125)&amp;IF(COUNTA(Combinatorie!$A18:$A$80)&gt;0,",",""))</f>
        <v/>
      </c>
    </row>
    <row r="2601">
      <c r="A2601" s="82">
        <f>IF(Combinatorie!$A18="","","    "&amp;CHAR(123)&amp;CHAR(34)&amp;"bidderId"&amp;CHAR(34)&amp;": "&amp;CHAR(34)&amp;SUBSTITUTE(Combinatorie!$A18,CHAR(34),"'")&amp;CHAR(34)&amp;", "&amp;CHAR(34)&amp;"bidderName"&amp;CHAR(34)&amp;": "&amp;CHAR(34)&amp;SUBSTITUTE(Combinatorie!$B18,CHAR(34),"'")&amp;CHAR(34)&amp;", "&amp;CHAR(34)&amp;"pairId"&amp;CHAR(34)&amp;": "&amp;CHAR(34)&amp;SUBSTITUTE(Combinatorie!$C18,CHAR(34),"'")&amp;CHAR(34)&amp;", "&amp;CHAR(34)&amp;"enabled"&amp;CHAR(34)&amp;": "&amp;IF(IFERROR(Combinatorie!$D18*1,IFERROR(NUMBERVALUE(Combinatorie!$D18,".",","),IFERROR(NUMBERVALUE(Combinatorie!$D18,",","."),0)))=1,"true","false")&amp;", "&amp;CHAR(34)&amp;"discount"&amp;CHAR(34)&amp;": "&amp;SUBSTITUTE(TRIM(ROUND(IFERROR(Combinatorie!$E18*1,IFERROR(NUMBERVALUE(Combinatorie!$E18,".",","),IFERROR(NUMBERVALUE(Combinatorie!$E18,",","."),0))),4)&amp;""),",",".")&amp;", "&amp;CHAR(34)&amp;"insertedInBothBuste"&amp;CHAR(34)&amp;": "&amp;IF(IFERROR(Combinatorie!$F18*1,IFERROR(NUMBERVALUE(Combinatorie!$F18,".",","),IFERROR(NUMBERVALUE(Combinatorie!$F18,",","."),0)))=1,"true","false")&amp;", "&amp;CHAR(34)&amp;"pefCoherent"&amp;CHAR(34)&amp;": "&amp;IF(IFERROR(Combinatorie!$G18*1,IFERROR(NUMBERVALUE(Combinatorie!$G18,".",","),IFERROR(NUMBERVALUE(Combinatorie!$G18,",","."),0)))=1,"true","false")&amp;CHAR(125)&amp;IF(COUNTA(Combinatorie!$A19:$A$80)&gt;0,",",""))</f>
        <v/>
      </c>
    </row>
    <row r="2602">
      <c r="A2602" s="82">
        <f>IF(Combinatorie!$A19="","","    "&amp;CHAR(123)&amp;CHAR(34)&amp;"bidderId"&amp;CHAR(34)&amp;": "&amp;CHAR(34)&amp;SUBSTITUTE(Combinatorie!$A19,CHAR(34),"'")&amp;CHAR(34)&amp;", "&amp;CHAR(34)&amp;"bidderName"&amp;CHAR(34)&amp;": "&amp;CHAR(34)&amp;SUBSTITUTE(Combinatorie!$B19,CHAR(34),"'")&amp;CHAR(34)&amp;", "&amp;CHAR(34)&amp;"pairId"&amp;CHAR(34)&amp;": "&amp;CHAR(34)&amp;SUBSTITUTE(Combinatorie!$C19,CHAR(34),"'")&amp;CHAR(34)&amp;", "&amp;CHAR(34)&amp;"enabled"&amp;CHAR(34)&amp;": "&amp;IF(IFERROR(Combinatorie!$D19*1,IFERROR(NUMBERVALUE(Combinatorie!$D19,".",","),IFERROR(NUMBERVALUE(Combinatorie!$D19,",","."),0)))=1,"true","false")&amp;", "&amp;CHAR(34)&amp;"discount"&amp;CHAR(34)&amp;": "&amp;SUBSTITUTE(TRIM(ROUND(IFERROR(Combinatorie!$E19*1,IFERROR(NUMBERVALUE(Combinatorie!$E19,".",","),IFERROR(NUMBERVALUE(Combinatorie!$E19,",","."),0))),4)&amp;""),",",".")&amp;", "&amp;CHAR(34)&amp;"insertedInBothBuste"&amp;CHAR(34)&amp;": "&amp;IF(IFERROR(Combinatorie!$F19*1,IFERROR(NUMBERVALUE(Combinatorie!$F19,".",","),IFERROR(NUMBERVALUE(Combinatorie!$F19,",","."),0)))=1,"true","false")&amp;", "&amp;CHAR(34)&amp;"pefCoherent"&amp;CHAR(34)&amp;": "&amp;IF(IFERROR(Combinatorie!$G19*1,IFERROR(NUMBERVALUE(Combinatorie!$G19,".",","),IFERROR(NUMBERVALUE(Combinatorie!$G19,",","."),0)))=1,"true","false")&amp;CHAR(125)&amp;IF(COUNTA(Combinatorie!$A20:$A$80)&gt;0,",",""))</f>
        <v/>
      </c>
    </row>
    <row r="2603">
      <c r="A2603" s="82">
        <f>IF(Combinatorie!$A20="","","    "&amp;CHAR(123)&amp;CHAR(34)&amp;"bidderId"&amp;CHAR(34)&amp;": "&amp;CHAR(34)&amp;SUBSTITUTE(Combinatorie!$A20,CHAR(34),"'")&amp;CHAR(34)&amp;", "&amp;CHAR(34)&amp;"bidderName"&amp;CHAR(34)&amp;": "&amp;CHAR(34)&amp;SUBSTITUTE(Combinatorie!$B20,CHAR(34),"'")&amp;CHAR(34)&amp;", "&amp;CHAR(34)&amp;"pairId"&amp;CHAR(34)&amp;": "&amp;CHAR(34)&amp;SUBSTITUTE(Combinatorie!$C20,CHAR(34),"'")&amp;CHAR(34)&amp;", "&amp;CHAR(34)&amp;"enabled"&amp;CHAR(34)&amp;": "&amp;IF(IFERROR(Combinatorie!$D20*1,IFERROR(NUMBERVALUE(Combinatorie!$D20,".",","),IFERROR(NUMBERVALUE(Combinatorie!$D20,",","."),0)))=1,"true","false")&amp;", "&amp;CHAR(34)&amp;"discount"&amp;CHAR(34)&amp;": "&amp;SUBSTITUTE(TRIM(ROUND(IFERROR(Combinatorie!$E20*1,IFERROR(NUMBERVALUE(Combinatorie!$E20,".",","),IFERROR(NUMBERVALUE(Combinatorie!$E20,",","."),0))),4)&amp;""),",",".")&amp;", "&amp;CHAR(34)&amp;"insertedInBothBuste"&amp;CHAR(34)&amp;": "&amp;IF(IFERROR(Combinatorie!$F20*1,IFERROR(NUMBERVALUE(Combinatorie!$F20,".",","),IFERROR(NUMBERVALUE(Combinatorie!$F20,",","."),0)))=1,"true","false")&amp;", "&amp;CHAR(34)&amp;"pefCoherent"&amp;CHAR(34)&amp;": "&amp;IF(IFERROR(Combinatorie!$G20*1,IFERROR(NUMBERVALUE(Combinatorie!$G20,".",","),IFERROR(NUMBERVALUE(Combinatorie!$G20,",","."),0)))=1,"true","false")&amp;CHAR(125)&amp;IF(COUNTA(Combinatorie!$A21:$A$80)&gt;0,",",""))</f>
        <v/>
      </c>
    </row>
    <row r="2604">
      <c r="A2604" s="82">
        <f>IF(Combinatorie!$A21="","","    "&amp;CHAR(123)&amp;CHAR(34)&amp;"bidderId"&amp;CHAR(34)&amp;": "&amp;CHAR(34)&amp;SUBSTITUTE(Combinatorie!$A21,CHAR(34),"'")&amp;CHAR(34)&amp;", "&amp;CHAR(34)&amp;"bidderName"&amp;CHAR(34)&amp;": "&amp;CHAR(34)&amp;SUBSTITUTE(Combinatorie!$B21,CHAR(34),"'")&amp;CHAR(34)&amp;", "&amp;CHAR(34)&amp;"pairId"&amp;CHAR(34)&amp;": "&amp;CHAR(34)&amp;SUBSTITUTE(Combinatorie!$C21,CHAR(34),"'")&amp;CHAR(34)&amp;", "&amp;CHAR(34)&amp;"enabled"&amp;CHAR(34)&amp;": "&amp;IF(IFERROR(Combinatorie!$D21*1,IFERROR(NUMBERVALUE(Combinatorie!$D21,".",","),IFERROR(NUMBERVALUE(Combinatorie!$D21,",","."),0)))=1,"true","false")&amp;", "&amp;CHAR(34)&amp;"discount"&amp;CHAR(34)&amp;": "&amp;SUBSTITUTE(TRIM(ROUND(IFERROR(Combinatorie!$E21*1,IFERROR(NUMBERVALUE(Combinatorie!$E21,".",","),IFERROR(NUMBERVALUE(Combinatorie!$E21,",","."),0))),4)&amp;""),",",".")&amp;", "&amp;CHAR(34)&amp;"insertedInBothBuste"&amp;CHAR(34)&amp;": "&amp;IF(IFERROR(Combinatorie!$F21*1,IFERROR(NUMBERVALUE(Combinatorie!$F21,".",","),IFERROR(NUMBERVALUE(Combinatorie!$F21,",","."),0)))=1,"true","false")&amp;", "&amp;CHAR(34)&amp;"pefCoherent"&amp;CHAR(34)&amp;": "&amp;IF(IFERROR(Combinatorie!$G21*1,IFERROR(NUMBERVALUE(Combinatorie!$G21,".",","),IFERROR(NUMBERVALUE(Combinatorie!$G21,",","."),0)))=1,"true","false")&amp;CHAR(125)&amp;IF(COUNTA(Combinatorie!$A22:$A$80)&gt;0,",",""))</f>
        <v/>
      </c>
    </row>
    <row r="2605">
      <c r="A2605" s="82">
        <f>IF(Combinatorie!$A22="","","    "&amp;CHAR(123)&amp;CHAR(34)&amp;"bidderId"&amp;CHAR(34)&amp;": "&amp;CHAR(34)&amp;SUBSTITUTE(Combinatorie!$A22,CHAR(34),"'")&amp;CHAR(34)&amp;", "&amp;CHAR(34)&amp;"bidderName"&amp;CHAR(34)&amp;": "&amp;CHAR(34)&amp;SUBSTITUTE(Combinatorie!$B22,CHAR(34),"'")&amp;CHAR(34)&amp;", "&amp;CHAR(34)&amp;"pairId"&amp;CHAR(34)&amp;": "&amp;CHAR(34)&amp;SUBSTITUTE(Combinatorie!$C22,CHAR(34),"'")&amp;CHAR(34)&amp;", "&amp;CHAR(34)&amp;"enabled"&amp;CHAR(34)&amp;": "&amp;IF(IFERROR(Combinatorie!$D22*1,IFERROR(NUMBERVALUE(Combinatorie!$D22,".",","),IFERROR(NUMBERVALUE(Combinatorie!$D22,",","."),0)))=1,"true","false")&amp;", "&amp;CHAR(34)&amp;"discount"&amp;CHAR(34)&amp;": "&amp;SUBSTITUTE(TRIM(ROUND(IFERROR(Combinatorie!$E22*1,IFERROR(NUMBERVALUE(Combinatorie!$E22,".",","),IFERROR(NUMBERVALUE(Combinatorie!$E22,",","."),0))),4)&amp;""),",",".")&amp;", "&amp;CHAR(34)&amp;"insertedInBothBuste"&amp;CHAR(34)&amp;": "&amp;IF(IFERROR(Combinatorie!$F22*1,IFERROR(NUMBERVALUE(Combinatorie!$F22,".",","),IFERROR(NUMBERVALUE(Combinatorie!$F22,",","."),0)))=1,"true","false")&amp;", "&amp;CHAR(34)&amp;"pefCoherent"&amp;CHAR(34)&amp;": "&amp;IF(IFERROR(Combinatorie!$G22*1,IFERROR(NUMBERVALUE(Combinatorie!$G22,".",","),IFERROR(NUMBERVALUE(Combinatorie!$G22,",","."),0)))=1,"true","false")&amp;CHAR(125)&amp;IF(COUNTA(Combinatorie!$A23:$A$80)&gt;0,",",""))</f>
        <v/>
      </c>
    </row>
    <row r="2606">
      <c r="A2606" s="82">
        <f>IF(Combinatorie!$A23="","","    "&amp;CHAR(123)&amp;CHAR(34)&amp;"bidderId"&amp;CHAR(34)&amp;": "&amp;CHAR(34)&amp;SUBSTITUTE(Combinatorie!$A23,CHAR(34),"'")&amp;CHAR(34)&amp;", "&amp;CHAR(34)&amp;"bidderName"&amp;CHAR(34)&amp;": "&amp;CHAR(34)&amp;SUBSTITUTE(Combinatorie!$B23,CHAR(34),"'")&amp;CHAR(34)&amp;", "&amp;CHAR(34)&amp;"pairId"&amp;CHAR(34)&amp;": "&amp;CHAR(34)&amp;SUBSTITUTE(Combinatorie!$C23,CHAR(34),"'")&amp;CHAR(34)&amp;", "&amp;CHAR(34)&amp;"enabled"&amp;CHAR(34)&amp;": "&amp;IF(IFERROR(Combinatorie!$D23*1,IFERROR(NUMBERVALUE(Combinatorie!$D23,".",","),IFERROR(NUMBERVALUE(Combinatorie!$D23,",","."),0)))=1,"true","false")&amp;", "&amp;CHAR(34)&amp;"discount"&amp;CHAR(34)&amp;": "&amp;SUBSTITUTE(TRIM(ROUND(IFERROR(Combinatorie!$E23*1,IFERROR(NUMBERVALUE(Combinatorie!$E23,".",","),IFERROR(NUMBERVALUE(Combinatorie!$E23,",","."),0))),4)&amp;""),",",".")&amp;", "&amp;CHAR(34)&amp;"insertedInBothBuste"&amp;CHAR(34)&amp;": "&amp;IF(IFERROR(Combinatorie!$F23*1,IFERROR(NUMBERVALUE(Combinatorie!$F23,".",","),IFERROR(NUMBERVALUE(Combinatorie!$F23,",","."),0)))=1,"true","false")&amp;", "&amp;CHAR(34)&amp;"pefCoherent"&amp;CHAR(34)&amp;": "&amp;IF(IFERROR(Combinatorie!$G23*1,IFERROR(NUMBERVALUE(Combinatorie!$G23,".",","),IFERROR(NUMBERVALUE(Combinatorie!$G23,",","."),0)))=1,"true","false")&amp;CHAR(125)&amp;IF(COUNTA(Combinatorie!$A24:$A$80)&gt;0,",",""))</f>
        <v/>
      </c>
    </row>
    <row r="2607">
      <c r="A2607" s="82">
        <f>IF(Combinatorie!$A24="","","    "&amp;CHAR(123)&amp;CHAR(34)&amp;"bidderId"&amp;CHAR(34)&amp;": "&amp;CHAR(34)&amp;SUBSTITUTE(Combinatorie!$A24,CHAR(34),"'")&amp;CHAR(34)&amp;", "&amp;CHAR(34)&amp;"bidderName"&amp;CHAR(34)&amp;": "&amp;CHAR(34)&amp;SUBSTITUTE(Combinatorie!$B24,CHAR(34),"'")&amp;CHAR(34)&amp;", "&amp;CHAR(34)&amp;"pairId"&amp;CHAR(34)&amp;": "&amp;CHAR(34)&amp;SUBSTITUTE(Combinatorie!$C24,CHAR(34),"'")&amp;CHAR(34)&amp;", "&amp;CHAR(34)&amp;"enabled"&amp;CHAR(34)&amp;": "&amp;IF(IFERROR(Combinatorie!$D24*1,IFERROR(NUMBERVALUE(Combinatorie!$D24,".",","),IFERROR(NUMBERVALUE(Combinatorie!$D24,",","."),0)))=1,"true","false")&amp;", "&amp;CHAR(34)&amp;"discount"&amp;CHAR(34)&amp;": "&amp;SUBSTITUTE(TRIM(ROUND(IFERROR(Combinatorie!$E24*1,IFERROR(NUMBERVALUE(Combinatorie!$E24,".",","),IFERROR(NUMBERVALUE(Combinatorie!$E24,",","."),0))),4)&amp;""),",",".")&amp;", "&amp;CHAR(34)&amp;"insertedInBothBuste"&amp;CHAR(34)&amp;": "&amp;IF(IFERROR(Combinatorie!$F24*1,IFERROR(NUMBERVALUE(Combinatorie!$F24,".",","),IFERROR(NUMBERVALUE(Combinatorie!$F24,",","."),0)))=1,"true","false")&amp;", "&amp;CHAR(34)&amp;"pefCoherent"&amp;CHAR(34)&amp;": "&amp;IF(IFERROR(Combinatorie!$G24*1,IFERROR(NUMBERVALUE(Combinatorie!$G24,".",","),IFERROR(NUMBERVALUE(Combinatorie!$G24,",","."),0)))=1,"true","false")&amp;CHAR(125)&amp;IF(COUNTA(Combinatorie!$A25:$A$80)&gt;0,",",""))</f>
        <v/>
      </c>
    </row>
    <row r="2608">
      <c r="A2608" s="82">
        <f>IF(Combinatorie!$A25="","","    "&amp;CHAR(123)&amp;CHAR(34)&amp;"bidderId"&amp;CHAR(34)&amp;": "&amp;CHAR(34)&amp;SUBSTITUTE(Combinatorie!$A25,CHAR(34),"'")&amp;CHAR(34)&amp;", "&amp;CHAR(34)&amp;"bidderName"&amp;CHAR(34)&amp;": "&amp;CHAR(34)&amp;SUBSTITUTE(Combinatorie!$B25,CHAR(34),"'")&amp;CHAR(34)&amp;", "&amp;CHAR(34)&amp;"pairId"&amp;CHAR(34)&amp;": "&amp;CHAR(34)&amp;SUBSTITUTE(Combinatorie!$C25,CHAR(34),"'")&amp;CHAR(34)&amp;", "&amp;CHAR(34)&amp;"enabled"&amp;CHAR(34)&amp;": "&amp;IF(IFERROR(Combinatorie!$D25*1,IFERROR(NUMBERVALUE(Combinatorie!$D25,".",","),IFERROR(NUMBERVALUE(Combinatorie!$D25,",","."),0)))=1,"true","false")&amp;", "&amp;CHAR(34)&amp;"discount"&amp;CHAR(34)&amp;": "&amp;SUBSTITUTE(TRIM(ROUND(IFERROR(Combinatorie!$E25*1,IFERROR(NUMBERVALUE(Combinatorie!$E25,".",","),IFERROR(NUMBERVALUE(Combinatorie!$E25,",","."),0))),4)&amp;""),",",".")&amp;", "&amp;CHAR(34)&amp;"insertedInBothBuste"&amp;CHAR(34)&amp;": "&amp;IF(IFERROR(Combinatorie!$F25*1,IFERROR(NUMBERVALUE(Combinatorie!$F25,".",","),IFERROR(NUMBERVALUE(Combinatorie!$F25,",","."),0)))=1,"true","false")&amp;", "&amp;CHAR(34)&amp;"pefCoherent"&amp;CHAR(34)&amp;": "&amp;IF(IFERROR(Combinatorie!$G25*1,IFERROR(NUMBERVALUE(Combinatorie!$G25,".",","),IFERROR(NUMBERVALUE(Combinatorie!$G25,",","."),0)))=1,"true","false")&amp;CHAR(125)&amp;IF(COUNTA(Combinatorie!$A26:$A$80)&gt;0,",",""))</f>
        <v/>
      </c>
    </row>
    <row r="2609">
      <c r="A2609" s="82">
        <f>IF(Combinatorie!$A26="","","    "&amp;CHAR(123)&amp;CHAR(34)&amp;"bidderId"&amp;CHAR(34)&amp;": "&amp;CHAR(34)&amp;SUBSTITUTE(Combinatorie!$A26,CHAR(34),"'")&amp;CHAR(34)&amp;", "&amp;CHAR(34)&amp;"bidderName"&amp;CHAR(34)&amp;": "&amp;CHAR(34)&amp;SUBSTITUTE(Combinatorie!$B26,CHAR(34),"'")&amp;CHAR(34)&amp;", "&amp;CHAR(34)&amp;"pairId"&amp;CHAR(34)&amp;": "&amp;CHAR(34)&amp;SUBSTITUTE(Combinatorie!$C26,CHAR(34),"'")&amp;CHAR(34)&amp;", "&amp;CHAR(34)&amp;"enabled"&amp;CHAR(34)&amp;": "&amp;IF(IFERROR(Combinatorie!$D26*1,IFERROR(NUMBERVALUE(Combinatorie!$D26,".",","),IFERROR(NUMBERVALUE(Combinatorie!$D26,",","."),0)))=1,"true","false")&amp;", "&amp;CHAR(34)&amp;"discount"&amp;CHAR(34)&amp;": "&amp;SUBSTITUTE(TRIM(ROUND(IFERROR(Combinatorie!$E26*1,IFERROR(NUMBERVALUE(Combinatorie!$E26,".",","),IFERROR(NUMBERVALUE(Combinatorie!$E26,",","."),0))),4)&amp;""),",",".")&amp;", "&amp;CHAR(34)&amp;"insertedInBothBuste"&amp;CHAR(34)&amp;": "&amp;IF(IFERROR(Combinatorie!$F26*1,IFERROR(NUMBERVALUE(Combinatorie!$F26,".",","),IFERROR(NUMBERVALUE(Combinatorie!$F26,",","."),0)))=1,"true","false")&amp;", "&amp;CHAR(34)&amp;"pefCoherent"&amp;CHAR(34)&amp;": "&amp;IF(IFERROR(Combinatorie!$G26*1,IFERROR(NUMBERVALUE(Combinatorie!$G26,".",","),IFERROR(NUMBERVALUE(Combinatorie!$G26,",","."),0)))=1,"true","false")&amp;CHAR(125)&amp;IF(COUNTA(Combinatorie!$A27:$A$80)&gt;0,",",""))</f>
        <v/>
      </c>
    </row>
    <row r="2610">
      <c r="A2610" s="82">
        <f>IF(Combinatorie!$A27="","","    "&amp;CHAR(123)&amp;CHAR(34)&amp;"bidderId"&amp;CHAR(34)&amp;": "&amp;CHAR(34)&amp;SUBSTITUTE(Combinatorie!$A27,CHAR(34),"'")&amp;CHAR(34)&amp;", "&amp;CHAR(34)&amp;"bidderName"&amp;CHAR(34)&amp;": "&amp;CHAR(34)&amp;SUBSTITUTE(Combinatorie!$B27,CHAR(34),"'")&amp;CHAR(34)&amp;", "&amp;CHAR(34)&amp;"pairId"&amp;CHAR(34)&amp;": "&amp;CHAR(34)&amp;SUBSTITUTE(Combinatorie!$C27,CHAR(34),"'")&amp;CHAR(34)&amp;", "&amp;CHAR(34)&amp;"enabled"&amp;CHAR(34)&amp;": "&amp;IF(IFERROR(Combinatorie!$D27*1,IFERROR(NUMBERVALUE(Combinatorie!$D27,".",","),IFERROR(NUMBERVALUE(Combinatorie!$D27,",","."),0)))=1,"true","false")&amp;", "&amp;CHAR(34)&amp;"discount"&amp;CHAR(34)&amp;": "&amp;SUBSTITUTE(TRIM(ROUND(IFERROR(Combinatorie!$E27*1,IFERROR(NUMBERVALUE(Combinatorie!$E27,".",","),IFERROR(NUMBERVALUE(Combinatorie!$E27,",","."),0))),4)&amp;""),",",".")&amp;", "&amp;CHAR(34)&amp;"insertedInBothBuste"&amp;CHAR(34)&amp;": "&amp;IF(IFERROR(Combinatorie!$F27*1,IFERROR(NUMBERVALUE(Combinatorie!$F27,".",","),IFERROR(NUMBERVALUE(Combinatorie!$F27,",","."),0)))=1,"true","false")&amp;", "&amp;CHAR(34)&amp;"pefCoherent"&amp;CHAR(34)&amp;": "&amp;IF(IFERROR(Combinatorie!$G27*1,IFERROR(NUMBERVALUE(Combinatorie!$G27,".",","),IFERROR(NUMBERVALUE(Combinatorie!$G27,",","."),0)))=1,"true","false")&amp;CHAR(125)&amp;IF(COUNTA(Combinatorie!$A28:$A$80)&gt;0,",",""))</f>
        <v/>
      </c>
    </row>
    <row r="2611">
      <c r="A2611" s="82">
        <f>IF(Combinatorie!$A28="","","    "&amp;CHAR(123)&amp;CHAR(34)&amp;"bidderId"&amp;CHAR(34)&amp;": "&amp;CHAR(34)&amp;SUBSTITUTE(Combinatorie!$A28,CHAR(34),"'")&amp;CHAR(34)&amp;", "&amp;CHAR(34)&amp;"bidderName"&amp;CHAR(34)&amp;": "&amp;CHAR(34)&amp;SUBSTITUTE(Combinatorie!$B28,CHAR(34),"'")&amp;CHAR(34)&amp;", "&amp;CHAR(34)&amp;"pairId"&amp;CHAR(34)&amp;": "&amp;CHAR(34)&amp;SUBSTITUTE(Combinatorie!$C28,CHAR(34),"'")&amp;CHAR(34)&amp;", "&amp;CHAR(34)&amp;"enabled"&amp;CHAR(34)&amp;": "&amp;IF(IFERROR(Combinatorie!$D28*1,IFERROR(NUMBERVALUE(Combinatorie!$D28,".",","),IFERROR(NUMBERVALUE(Combinatorie!$D28,",","."),0)))=1,"true","false")&amp;", "&amp;CHAR(34)&amp;"discount"&amp;CHAR(34)&amp;": "&amp;SUBSTITUTE(TRIM(ROUND(IFERROR(Combinatorie!$E28*1,IFERROR(NUMBERVALUE(Combinatorie!$E28,".",","),IFERROR(NUMBERVALUE(Combinatorie!$E28,",","."),0))),4)&amp;""),",",".")&amp;", "&amp;CHAR(34)&amp;"insertedInBothBuste"&amp;CHAR(34)&amp;": "&amp;IF(IFERROR(Combinatorie!$F28*1,IFERROR(NUMBERVALUE(Combinatorie!$F28,".",","),IFERROR(NUMBERVALUE(Combinatorie!$F28,",","."),0)))=1,"true","false")&amp;", "&amp;CHAR(34)&amp;"pefCoherent"&amp;CHAR(34)&amp;": "&amp;IF(IFERROR(Combinatorie!$G28*1,IFERROR(NUMBERVALUE(Combinatorie!$G28,".",","),IFERROR(NUMBERVALUE(Combinatorie!$G28,",","."),0)))=1,"true","false")&amp;CHAR(125)&amp;IF(COUNTA(Combinatorie!$A29:$A$80)&gt;0,",",""))</f>
        <v/>
      </c>
    </row>
    <row r="2612">
      <c r="A2612" s="82">
        <f>IF(Combinatorie!$A29="","","    "&amp;CHAR(123)&amp;CHAR(34)&amp;"bidderId"&amp;CHAR(34)&amp;": "&amp;CHAR(34)&amp;SUBSTITUTE(Combinatorie!$A29,CHAR(34),"'")&amp;CHAR(34)&amp;", "&amp;CHAR(34)&amp;"bidderName"&amp;CHAR(34)&amp;": "&amp;CHAR(34)&amp;SUBSTITUTE(Combinatorie!$B29,CHAR(34),"'")&amp;CHAR(34)&amp;", "&amp;CHAR(34)&amp;"pairId"&amp;CHAR(34)&amp;": "&amp;CHAR(34)&amp;SUBSTITUTE(Combinatorie!$C29,CHAR(34),"'")&amp;CHAR(34)&amp;", "&amp;CHAR(34)&amp;"enabled"&amp;CHAR(34)&amp;": "&amp;IF(IFERROR(Combinatorie!$D29*1,IFERROR(NUMBERVALUE(Combinatorie!$D29,".",","),IFERROR(NUMBERVALUE(Combinatorie!$D29,",","."),0)))=1,"true","false")&amp;", "&amp;CHAR(34)&amp;"discount"&amp;CHAR(34)&amp;": "&amp;SUBSTITUTE(TRIM(ROUND(IFERROR(Combinatorie!$E29*1,IFERROR(NUMBERVALUE(Combinatorie!$E29,".",","),IFERROR(NUMBERVALUE(Combinatorie!$E29,",","."),0))),4)&amp;""),",",".")&amp;", "&amp;CHAR(34)&amp;"insertedInBothBuste"&amp;CHAR(34)&amp;": "&amp;IF(IFERROR(Combinatorie!$F29*1,IFERROR(NUMBERVALUE(Combinatorie!$F29,".",","),IFERROR(NUMBERVALUE(Combinatorie!$F29,",","."),0)))=1,"true","false")&amp;", "&amp;CHAR(34)&amp;"pefCoherent"&amp;CHAR(34)&amp;": "&amp;IF(IFERROR(Combinatorie!$G29*1,IFERROR(NUMBERVALUE(Combinatorie!$G29,".",","),IFERROR(NUMBERVALUE(Combinatorie!$G29,",","."),0)))=1,"true","false")&amp;CHAR(125)&amp;IF(COUNTA(Combinatorie!$A30:$A$80)&gt;0,",",""))</f>
        <v/>
      </c>
    </row>
    <row r="2613">
      <c r="A2613" s="82">
        <f>IF(Combinatorie!$A30="","","    "&amp;CHAR(123)&amp;CHAR(34)&amp;"bidderId"&amp;CHAR(34)&amp;": "&amp;CHAR(34)&amp;SUBSTITUTE(Combinatorie!$A30,CHAR(34),"'")&amp;CHAR(34)&amp;", "&amp;CHAR(34)&amp;"bidderName"&amp;CHAR(34)&amp;": "&amp;CHAR(34)&amp;SUBSTITUTE(Combinatorie!$B30,CHAR(34),"'")&amp;CHAR(34)&amp;", "&amp;CHAR(34)&amp;"pairId"&amp;CHAR(34)&amp;": "&amp;CHAR(34)&amp;SUBSTITUTE(Combinatorie!$C30,CHAR(34),"'")&amp;CHAR(34)&amp;", "&amp;CHAR(34)&amp;"enabled"&amp;CHAR(34)&amp;": "&amp;IF(IFERROR(Combinatorie!$D30*1,IFERROR(NUMBERVALUE(Combinatorie!$D30,".",","),IFERROR(NUMBERVALUE(Combinatorie!$D30,",","."),0)))=1,"true","false")&amp;", "&amp;CHAR(34)&amp;"discount"&amp;CHAR(34)&amp;": "&amp;SUBSTITUTE(TRIM(ROUND(IFERROR(Combinatorie!$E30*1,IFERROR(NUMBERVALUE(Combinatorie!$E30,".",","),IFERROR(NUMBERVALUE(Combinatorie!$E30,",","."),0))),4)&amp;""),",",".")&amp;", "&amp;CHAR(34)&amp;"insertedInBothBuste"&amp;CHAR(34)&amp;": "&amp;IF(IFERROR(Combinatorie!$F30*1,IFERROR(NUMBERVALUE(Combinatorie!$F30,".",","),IFERROR(NUMBERVALUE(Combinatorie!$F30,",","."),0)))=1,"true","false")&amp;", "&amp;CHAR(34)&amp;"pefCoherent"&amp;CHAR(34)&amp;": "&amp;IF(IFERROR(Combinatorie!$G30*1,IFERROR(NUMBERVALUE(Combinatorie!$G30,".",","),IFERROR(NUMBERVALUE(Combinatorie!$G30,",","."),0)))=1,"true","false")&amp;CHAR(125)&amp;IF(COUNTA(Combinatorie!$A31:$A$80)&gt;0,",",""))</f>
        <v/>
      </c>
    </row>
    <row r="2614">
      <c r="A2614" s="82">
        <f>IF(Combinatorie!$A31="","","    "&amp;CHAR(123)&amp;CHAR(34)&amp;"bidderId"&amp;CHAR(34)&amp;": "&amp;CHAR(34)&amp;SUBSTITUTE(Combinatorie!$A31,CHAR(34),"'")&amp;CHAR(34)&amp;", "&amp;CHAR(34)&amp;"bidderName"&amp;CHAR(34)&amp;": "&amp;CHAR(34)&amp;SUBSTITUTE(Combinatorie!$B31,CHAR(34),"'")&amp;CHAR(34)&amp;", "&amp;CHAR(34)&amp;"pairId"&amp;CHAR(34)&amp;": "&amp;CHAR(34)&amp;SUBSTITUTE(Combinatorie!$C31,CHAR(34),"'")&amp;CHAR(34)&amp;", "&amp;CHAR(34)&amp;"enabled"&amp;CHAR(34)&amp;": "&amp;IF(IFERROR(Combinatorie!$D31*1,IFERROR(NUMBERVALUE(Combinatorie!$D31,".",","),IFERROR(NUMBERVALUE(Combinatorie!$D31,",","."),0)))=1,"true","false")&amp;", "&amp;CHAR(34)&amp;"discount"&amp;CHAR(34)&amp;": "&amp;SUBSTITUTE(TRIM(ROUND(IFERROR(Combinatorie!$E31*1,IFERROR(NUMBERVALUE(Combinatorie!$E31,".",","),IFERROR(NUMBERVALUE(Combinatorie!$E31,",","."),0))),4)&amp;""),",",".")&amp;", "&amp;CHAR(34)&amp;"insertedInBothBuste"&amp;CHAR(34)&amp;": "&amp;IF(IFERROR(Combinatorie!$F31*1,IFERROR(NUMBERVALUE(Combinatorie!$F31,".",","),IFERROR(NUMBERVALUE(Combinatorie!$F31,",","."),0)))=1,"true","false")&amp;", "&amp;CHAR(34)&amp;"pefCoherent"&amp;CHAR(34)&amp;": "&amp;IF(IFERROR(Combinatorie!$G31*1,IFERROR(NUMBERVALUE(Combinatorie!$G31,".",","),IFERROR(NUMBERVALUE(Combinatorie!$G31,",","."),0)))=1,"true","false")&amp;CHAR(125)&amp;IF(COUNTA(Combinatorie!$A32:$A$80)&gt;0,",",""))</f>
        <v/>
      </c>
    </row>
    <row r="2615">
      <c r="A2615" s="82">
        <f>IF(Combinatorie!$A32="","","    "&amp;CHAR(123)&amp;CHAR(34)&amp;"bidderId"&amp;CHAR(34)&amp;": "&amp;CHAR(34)&amp;SUBSTITUTE(Combinatorie!$A32,CHAR(34),"'")&amp;CHAR(34)&amp;", "&amp;CHAR(34)&amp;"bidderName"&amp;CHAR(34)&amp;": "&amp;CHAR(34)&amp;SUBSTITUTE(Combinatorie!$B32,CHAR(34),"'")&amp;CHAR(34)&amp;", "&amp;CHAR(34)&amp;"pairId"&amp;CHAR(34)&amp;": "&amp;CHAR(34)&amp;SUBSTITUTE(Combinatorie!$C32,CHAR(34),"'")&amp;CHAR(34)&amp;", "&amp;CHAR(34)&amp;"enabled"&amp;CHAR(34)&amp;": "&amp;IF(IFERROR(Combinatorie!$D32*1,IFERROR(NUMBERVALUE(Combinatorie!$D32,".",","),IFERROR(NUMBERVALUE(Combinatorie!$D32,",","."),0)))=1,"true","false")&amp;", "&amp;CHAR(34)&amp;"discount"&amp;CHAR(34)&amp;": "&amp;SUBSTITUTE(TRIM(ROUND(IFERROR(Combinatorie!$E32*1,IFERROR(NUMBERVALUE(Combinatorie!$E32,".",","),IFERROR(NUMBERVALUE(Combinatorie!$E32,",","."),0))),4)&amp;""),",",".")&amp;", "&amp;CHAR(34)&amp;"insertedInBothBuste"&amp;CHAR(34)&amp;": "&amp;IF(IFERROR(Combinatorie!$F32*1,IFERROR(NUMBERVALUE(Combinatorie!$F32,".",","),IFERROR(NUMBERVALUE(Combinatorie!$F32,",","."),0)))=1,"true","false")&amp;", "&amp;CHAR(34)&amp;"pefCoherent"&amp;CHAR(34)&amp;": "&amp;IF(IFERROR(Combinatorie!$G32*1,IFERROR(NUMBERVALUE(Combinatorie!$G32,".",","),IFERROR(NUMBERVALUE(Combinatorie!$G32,",","."),0)))=1,"true","false")&amp;CHAR(125)&amp;IF(COUNTA(Combinatorie!$A33:$A$80)&gt;0,",",""))</f>
        <v/>
      </c>
    </row>
    <row r="2616">
      <c r="A2616" s="82">
        <f>IF(Combinatorie!$A33="","","    "&amp;CHAR(123)&amp;CHAR(34)&amp;"bidderId"&amp;CHAR(34)&amp;": "&amp;CHAR(34)&amp;SUBSTITUTE(Combinatorie!$A33,CHAR(34),"'")&amp;CHAR(34)&amp;", "&amp;CHAR(34)&amp;"bidderName"&amp;CHAR(34)&amp;": "&amp;CHAR(34)&amp;SUBSTITUTE(Combinatorie!$B33,CHAR(34),"'")&amp;CHAR(34)&amp;", "&amp;CHAR(34)&amp;"pairId"&amp;CHAR(34)&amp;": "&amp;CHAR(34)&amp;SUBSTITUTE(Combinatorie!$C33,CHAR(34),"'")&amp;CHAR(34)&amp;", "&amp;CHAR(34)&amp;"enabled"&amp;CHAR(34)&amp;": "&amp;IF(IFERROR(Combinatorie!$D33*1,IFERROR(NUMBERVALUE(Combinatorie!$D33,".",","),IFERROR(NUMBERVALUE(Combinatorie!$D33,",","."),0)))=1,"true","false")&amp;", "&amp;CHAR(34)&amp;"discount"&amp;CHAR(34)&amp;": "&amp;SUBSTITUTE(TRIM(ROUND(IFERROR(Combinatorie!$E33*1,IFERROR(NUMBERVALUE(Combinatorie!$E33,".",","),IFERROR(NUMBERVALUE(Combinatorie!$E33,",","."),0))),4)&amp;""),",",".")&amp;", "&amp;CHAR(34)&amp;"insertedInBothBuste"&amp;CHAR(34)&amp;": "&amp;IF(IFERROR(Combinatorie!$F33*1,IFERROR(NUMBERVALUE(Combinatorie!$F33,".",","),IFERROR(NUMBERVALUE(Combinatorie!$F33,",","."),0)))=1,"true","false")&amp;", "&amp;CHAR(34)&amp;"pefCoherent"&amp;CHAR(34)&amp;": "&amp;IF(IFERROR(Combinatorie!$G33*1,IFERROR(NUMBERVALUE(Combinatorie!$G33,".",","),IFERROR(NUMBERVALUE(Combinatorie!$G33,",","."),0)))=1,"true","false")&amp;CHAR(125)&amp;IF(COUNTA(Combinatorie!$A34:$A$80)&gt;0,",",""))</f>
        <v/>
      </c>
    </row>
    <row r="2617">
      <c r="A2617" s="82">
        <f>IF(Combinatorie!$A34="","","    "&amp;CHAR(123)&amp;CHAR(34)&amp;"bidderId"&amp;CHAR(34)&amp;": "&amp;CHAR(34)&amp;SUBSTITUTE(Combinatorie!$A34,CHAR(34),"'")&amp;CHAR(34)&amp;", "&amp;CHAR(34)&amp;"bidderName"&amp;CHAR(34)&amp;": "&amp;CHAR(34)&amp;SUBSTITUTE(Combinatorie!$B34,CHAR(34),"'")&amp;CHAR(34)&amp;", "&amp;CHAR(34)&amp;"pairId"&amp;CHAR(34)&amp;": "&amp;CHAR(34)&amp;SUBSTITUTE(Combinatorie!$C34,CHAR(34),"'")&amp;CHAR(34)&amp;", "&amp;CHAR(34)&amp;"enabled"&amp;CHAR(34)&amp;": "&amp;IF(IFERROR(Combinatorie!$D34*1,IFERROR(NUMBERVALUE(Combinatorie!$D34,".",","),IFERROR(NUMBERVALUE(Combinatorie!$D34,",","."),0)))=1,"true","false")&amp;", "&amp;CHAR(34)&amp;"discount"&amp;CHAR(34)&amp;": "&amp;SUBSTITUTE(TRIM(ROUND(IFERROR(Combinatorie!$E34*1,IFERROR(NUMBERVALUE(Combinatorie!$E34,".",","),IFERROR(NUMBERVALUE(Combinatorie!$E34,",","."),0))),4)&amp;""),",",".")&amp;", "&amp;CHAR(34)&amp;"insertedInBothBuste"&amp;CHAR(34)&amp;": "&amp;IF(IFERROR(Combinatorie!$F34*1,IFERROR(NUMBERVALUE(Combinatorie!$F34,".",","),IFERROR(NUMBERVALUE(Combinatorie!$F34,",","."),0)))=1,"true","false")&amp;", "&amp;CHAR(34)&amp;"pefCoherent"&amp;CHAR(34)&amp;": "&amp;IF(IFERROR(Combinatorie!$G34*1,IFERROR(NUMBERVALUE(Combinatorie!$G34,".",","),IFERROR(NUMBERVALUE(Combinatorie!$G34,",","."),0)))=1,"true","false")&amp;CHAR(125)&amp;IF(COUNTA(Combinatorie!$A35:$A$80)&gt;0,",",""))</f>
        <v/>
      </c>
    </row>
    <row r="2618">
      <c r="A2618" s="82">
        <f>IF(Combinatorie!$A35="","","    "&amp;CHAR(123)&amp;CHAR(34)&amp;"bidderId"&amp;CHAR(34)&amp;": "&amp;CHAR(34)&amp;SUBSTITUTE(Combinatorie!$A35,CHAR(34),"'")&amp;CHAR(34)&amp;", "&amp;CHAR(34)&amp;"bidderName"&amp;CHAR(34)&amp;": "&amp;CHAR(34)&amp;SUBSTITUTE(Combinatorie!$B35,CHAR(34),"'")&amp;CHAR(34)&amp;", "&amp;CHAR(34)&amp;"pairId"&amp;CHAR(34)&amp;": "&amp;CHAR(34)&amp;SUBSTITUTE(Combinatorie!$C35,CHAR(34),"'")&amp;CHAR(34)&amp;", "&amp;CHAR(34)&amp;"enabled"&amp;CHAR(34)&amp;": "&amp;IF(IFERROR(Combinatorie!$D35*1,IFERROR(NUMBERVALUE(Combinatorie!$D35,".",","),IFERROR(NUMBERVALUE(Combinatorie!$D35,",","."),0)))=1,"true","false")&amp;", "&amp;CHAR(34)&amp;"discount"&amp;CHAR(34)&amp;": "&amp;SUBSTITUTE(TRIM(ROUND(IFERROR(Combinatorie!$E35*1,IFERROR(NUMBERVALUE(Combinatorie!$E35,".",","),IFERROR(NUMBERVALUE(Combinatorie!$E35,",","."),0))),4)&amp;""),",",".")&amp;", "&amp;CHAR(34)&amp;"insertedInBothBuste"&amp;CHAR(34)&amp;": "&amp;IF(IFERROR(Combinatorie!$F35*1,IFERROR(NUMBERVALUE(Combinatorie!$F35,".",","),IFERROR(NUMBERVALUE(Combinatorie!$F35,",","."),0)))=1,"true","false")&amp;", "&amp;CHAR(34)&amp;"pefCoherent"&amp;CHAR(34)&amp;": "&amp;IF(IFERROR(Combinatorie!$G35*1,IFERROR(NUMBERVALUE(Combinatorie!$G35,".",","),IFERROR(NUMBERVALUE(Combinatorie!$G35,",","."),0)))=1,"true","false")&amp;CHAR(125)&amp;IF(COUNTA(Combinatorie!$A36:$A$80)&gt;0,",",""))</f>
        <v/>
      </c>
    </row>
    <row r="2619">
      <c r="A2619" s="82">
        <f>IF(Combinatorie!$A36="","","    "&amp;CHAR(123)&amp;CHAR(34)&amp;"bidderId"&amp;CHAR(34)&amp;": "&amp;CHAR(34)&amp;SUBSTITUTE(Combinatorie!$A36,CHAR(34),"'")&amp;CHAR(34)&amp;", "&amp;CHAR(34)&amp;"bidderName"&amp;CHAR(34)&amp;": "&amp;CHAR(34)&amp;SUBSTITUTE(Combinatorie!$B36,CHAR(34),"'")&amp;CHAR(34)&amp;", "&amp;CHAR(34)&amp;"pairId"&amp;CHAR(34)&amp;": "&amp;CHAR(34)&amp;SUBSTITUTE(Combinatorie!$C36,CHAR(34),"'")&amp;CHAR(34)&amp;", "&amp;CHAR(34)&amp;"enabled"&amp;CHAR(34)&amp;": "&amp;IF(IFERROR(Combinatorie!$D36*1,IFERROR(NUMBERVALUE(Combinatorie!$D36,".",","),IFERROR(NUMBERVALUE(Combinatorie!$D36,",","."),0)))=1,"true","false")&amp;", "&amp;CHAR(34)&amp;"discount"&amp;CHAR(34)&amp;": "&amp;SUBSTITUTE(TRIM(ROUND(IFERROR(Combinatorie!$E36*1,IFERROR(NUMBERVALUE(Combinatorie!$E36,".",","),IFERROR(NUMBERVALUE(Combinatorie!$E36,",","."),0))),4)&amp;""),",",".")&amp;", "&amp;CHAR(34)&amp;"insertedInBothBuste"&amp;CHAR(34)&amp;": "&amp;IF(IFERROR(Combinatorie!$F36*1,IFERROR(NUMBERVALUE(Combinatorie!$F36,".",","),IFERROR(NUMBERVALUE(Combinatorie!$F36,",","."),0)))=1,"true","false")&amp;", "&amp;CHAR(34)&amp;"pefCoherent"&amp;CHAR(34)&amp;": "&amp;IF(IFERROR(Combinatorie!$G36*1,IFERROR(NUMBERVALUE(Combinatorie!$G36,".",","),IFERROR(NUMBERVALUE(Combinatorie!$G36,",","."),0)))=1,"true","false")&amp;CHAR(125)&amp;IF(COUNTA(Combinatorie!$A37:$A$80)&gt;0,",",""))</f>
        <v/>
      </c>
    </row>
    <row r="2620">
      <c r="A2620" s="82">
        <f>IF(Combinatorie!$A37="","","    "&amp;CHAR(123)&amp;CHAR(34)&amp;"bidderId"&amp;CHAR(34)&amp;": "&amp;CHAR(34)&amp;SUBSTITUTE(Combinatorie!$A37,CHAR(34),"'")&amp;CHAR(34)&amp;", "&amp;CHAR(34)&amp;"bidderName"&amp;CHAR(34)&amp;": "&amp;CHAR(34)&amp;SUBSTITUTE(Combinatorie!$B37,CHAR(34),"'")&amp;CHAR(34)&amp;", "&amp;CHAR(34)&amp;"pairId"&amp;CHAR(34)&amp;": "&amp;CHAR(34)&amp;SUBSTITUTE(Combinatorie!$C37,CHAR(34),"'")&amp;CHAR(34)&amp;", "&amp;CHAR(34)&amp;"enabled"&amp;CHAR(34)&amp;": "&amp;IF(IFERROR(Combinatorie!$D37*1,IFERROR(NUMBERVALUE(Combinatorie!$D37,".",","),IFERROR(NUMBERVALUE(Combinatorie!$D37,",","."),0)))=1,"true","false")&amp;", "&amp;CHAR(34)&amp;"discount"&amp;CHAR(34)&amp;": "&amp;SUBSTITUTE(TRIM(ROUND(IFERROR(Combinatorie!$E37*1,IFERROR(NUMBERVALUE(Combinatorie!$E37,".",","),IFERROR(NUMBERVALUE(Combinatorie!$E37,",","."),0))),4)&amp;""),",",".")&amp;", "&amp;CHAR(34)&amp;"insertedInBothBuste"&amp;CHAR(34)&amp;": "&amp;IF(IFERROR(Combinatorie!$F37*1,IFERROR(NUMBERVALUE(Combinatorie!$F37,".",","),IFERROR(NUMBERVALUE(Combinatorie!$F37,",","."),0)))=1,"true","false")&amp;", "&amp;CHAR(34)&amp;"pefCoherent"&amp;CHAR(34)&amp;": "&amp;IF(IFERROR(Combinatorie!$G37*1,IFERROR(NUMBERVALUE(Combinatorie!$G37,".",","),IFERROR(NUMBERVALUE(Combinatorie!$G37,",","."),0)))=1,"true","false")&amp;CHAR(125)&amp;IF(COUNTA(Combinatorie!$A38:$A$80)&gt;0,",",""))</f>
        <v/>
      </c>
    </row>
    <row r="2621">
      <c r="A2621" s="82">
        <f>IF(Combinatorie!$A38="","","    "&amp;CHAR(123)&amp;CHAR(34)&amp;"bidderId"&amp;CHAR(34)&amp;": "&amp;CHAR(34)&amp;SUBSTITUTE(Combinatorie!$A38,CHAR(34),"'")&amp;CHAR(34)&amp;", "&amp;CHAR(34)&amp;"bidderName"&amp;CHAR(34)&amp;": "&amp;CHAR(34)&amp;SUBSTITUTE(Combinatorie!$B38,CHAR(34),"'")&amp;CHAR(34)&amp;", "&amp;CHAR(34)&amp;"pairId"&amp;CHAR(34)&amp;": "&amp;CHAR(34)&amp;SUBSTITUTE(Combinatorie!$C38,CHAR(34),"'")&amp;CHAR(34)&amp;", "&amp;CHAR(34)&amp;"enabled"&amp;CHAR(34)&amp;": "&amp;IF(IFERROR(Combinatorie!$D38*1,IFERROR(NUMBERVALUE(Combinatorie!$D38,".",","),IFERROR(NUMBERVALUE(Combinatorie!$D38,",","."),0)))=1,"true","false")&amp;", "&amp;CHAR(34)&amp;"discount"&amp;CHAR(34)&amp;": "&amp;SUBSTITUTE(TRIM(ROUND(IFERROR(Combinatorie!$E38*1,IFERROR(NUMBERVALUE(Combinatorie!$E38,".",","),IFERROR(NUMBERVALUE(Combinatorie!$E38,",","."),0))),4)&amp;""),",",".")&amp;", "&amp;CHAR(34)&amp;"insertedInBothBuste"&amp;CHAR(34)&amp;": "&amp;IF(IFERROR(Combinatorie!$F38*1,IFERROR(NUMBERVALUE(Combinatorie!$F38,".",","),IFERROR(NUMBERVALUE(Combinatorie!$F38,",","."),0)))=1,"true","false")&amp;", "&amp;CHAR(34)&amp;"pefCoherent"&amp;CHAR(34)&amp;": "&amp;IF(IFERROR(Combinatorie!$G38*1,IFERROR(NUMBERVALUE(Combinatorie!$G38,".",","),IFERROR(NUMBERVALUE(Combinatorie!$G38,",","."),0)))=1,"true","false")&amp;CHAR(125)&amp;IF(COUNTA(Combinatorie!$A39:$A$80)&gt;0,",",""))</f>
        <v/>
      </c>
    </row>
    <row r="2622">
      <c r="A2622" s="82">
        <f>IF(Combinatorie!$A39="","","    "&amp;CHAR(123)&amp;CHAR(34)&amp;"bidderId"&amp;CHAR(34)&amp;": "&amp;CHAR(34)&amp;SUBSTITUTE(Combinatorie!$A39,CHAR(34),"'")&amp;CHAR(34)&amp;", "&amp;CHAR(34)&amp;"bidderName"&amp;CHAR(34)&amp;": "&amp;CHAR(34)&amp;SUBSTITUTE(Combinatorie!$B39,CHAR(34),"'")&amp;CHAR(34)&amp;", "&amp;CHAR(34)&amp;"pairId"&amp;CHAR(34)&amp;": "&amp;CHAR(34)&amp;SUBSTITUTE(Combinatorie!$C39,CHAR(34),"'")&amp;CHAR(34)&amp;", "&amp;CHAR(34)&amp;"enabled"&amp;CHAR(34)&amp;": "&amp;IF(IFERROR(Combinatorie!$D39*1,IFERROR(NUMBERVALUE(Combinatorie!$D39,".",","),IFERROR(NUMBERVALUE(Combinatorie!$D39,",","."),0)))=1,"true","false")&amp;", "&amp;CHAR(34)&amp;"discount"&amp;CHAR(34)&amp;": "&amp;SUBSTITUTE(TRIM(ROUND(IFERROR(Combinatorie!$E39*1,IFERROR(NUMBERVALUE(Combinatorie!$E39,".",","),IFERROR(NUMBERVALUE(Combinatorie!$E39,",","."),0))),4)&amp;""),",",".")&amp;", "&amp;CHAR(34)&amp;"insertedInBothBuste"&amp;CHAR(34)&amp;": "&amp;IF(IFERROR(Combinatorie!$F39*1,IFERROR(NUMBERVALUE(Combinatorie!$F39,".",","),IFERROR(NUMBERVALUE(Combinatorie!$F39,",","."),0)))=1,"true","false")&amp;", "&amp;CHAR(34)&amp;"pefCoherent"&amp;CHAR(34)&amp;": "&amp;IF(IFERROR(Combinatorie!$G39*1,IFERROR(NUMBERVALUE(Combinatorie!$G39,".",","),IFERROR(NUMBERVALUE(Combinatorie!$G39,",","."),0)))=1,"true","false")&amp;CHAR(125)&amp;IF(COUNTA(Combinatorie!$A40:$A$80)&gt;0,",",""))</f>
        <v/>
      </c>
    </row>
    <row r="2623">
      <c r="A2623" s="82">
        <f>IF(Combinatorie!$A40="","","    "&amp;CHAR(123)&amp;CHAR(34)&amp;"bidderId"&amp;CHAR(34)&amp;": "&amp;CHAR(34)&amp;SUBSTITUTE(Combinatorie!$A40,CHAR(34),"'")&amp;CHAR(34)&amp;", "&amp;CHAR(34)&amp;"bidderName"&amp;CHAR(34)&amp;": "&amp;CHAR(34)&amp;SUBSTITUTE(Combinatorie!$B40,CHAR(34),"'")&amp;CHAR(34)&amp;", "&amp;CHAR(34)&amp;"pairId"&amp;CHAR(34)&amp;": "&amp;CHAR(34)&amp;SUBSTITUTE(Combinatorie!$C40,CHAR(34),"'")&amp;CHAR(34)&amp;", "&amp;CHAR(34)&amp;"enabled"&amp;CHAR(34)&amp;": "&amp;IF(IFERROR(Combinatorie!$D40*1,IFERROR(NUMBERVALUE(Combinatorie!$D40,".",","),IFERROR(NUMBERVALUE(Combinatorie!$D40,",","."),0)))=1,"true","false")&amp;", "&amp;CHAR(34)&amp;"discount"&amp;CHAR(34)&amp;": "&amp;SUBSTITUTE(TRIM(ROUND(IFERROR(Combinatorie!$E40*1,IFERROR(NUMBERVALUE(Combinatorie!$E40,".",","),IFERROR(NUMBERVALUE(Combinatorie!$E40,",","."),0))),4)&amp;""),",",".")&amp;", "&amp;CHAR(34)&amp;"insertedInBothBuste"&amp;CHAR(34)&amp;": "&amp;IF(IFERROR(Combinatorie!$F40*1,IFERROR(NUMBERVALUE(Combinatorie!$F40,".",","),IFERROR(NUMBERVALUE(Combinatorie!$F40,",","."),0)))=1,"true","false")&amp;", "&amp;CHAR(34)&amp;"pefCoherent"&amp;CHAR(34)&amp;": "&amp;IF(IFERROR(Combinatorie!$G40*1,IFERROR(NUMBERVALUE(Combinatorie!$G40,".",","),IFERROR(NUMBERVALUE(Combinatorie!$G40,",","."),0)))=1,"true","false")&amp;CHAR(125)&amp;IF(COUNTA(Combinatorie!$A41:$A$80)&gt;0,",",""))</f>
        <v/>
      </c>
    </row>
    <row r="2624">
      <c r="A2624" s="82">
        <f>IF(Combinatorie!$A41="","","    "&amp;CHAR(123)&amp;CHAR(34)&amp;"bidderId"&amp;CHAR(34)&amp;": "&amp;CHAR(34)&amp;SUBSTITUTE(Combinatorie!$A41,CHAR(34),"'")&amp;CHAR(34)&amp;", "&amp;CHAR(34)&amp;"bidderName"&amp;CHAR(34)&amp;": "&amp;CHAR(34)&amp;SUBSTITUTE(Combinatorie!$B41,CHAR(34),"'")&amp;CHAR(34)&amp;", "&amp;CHAR(34)&amp;"pairId"&amp;CHAR(34)&amp;": "&amp;CHAR(34)&amp;SUBSTITUTE(Combinatorie!$C41,CHAR(34),"'")&amp;CHAR(34)&amp;", "&amp;CHAR(34)&amp;"enabled"&amp;CHAR(34)&amp;": "&amp;IF(IFERROR(Combinatorie!$D41*1,IFERROR(NUMBERVALUE(Combinatorie!$D41,".",","),IFERROR(NUMBERVALUE(Combinatorie!$D41,",","."),0)))=1,"true","false")&amp;", "&amp;CHAR(34)&amp;"discount"&amp;CHAR(34)&amp;": "&amp;SUBSTITUTE(TRIM(ROUND(IFERROR(Combinatorie!$E41*1,IFERROR(NUMBERVALUE(Combinatorie!$E41,".",","),IFERROR(NUMBERVALUE(Combinatorie!$E41,",","."),0))),4)&amp;""),",",".")&amp;", "&amp;CHAR(34)&amp;"insertedInBothBuste"&amp;CHAR(34)&amp;": "&amp;IF(IFERROR(Combinatorie!$F41*1,IFERROR(NUMBERVALUE(Combinatorie!$F41,".",","),IFERROR(NUMBERVALUE(Combinatorie!$F41,",","."),0)))=1,"true","false")&amp;", "&amp;CHAR(34)&amp;"pefCoherent"&amp;CHAR(34)&amp;": "&amp;IF(IFERROR(Combinatorie!$G41*1,IFERROR(NUMBERVALUE(Combinatorie!$G41,".",","),IFERROR(NUMBERVALUE(Combinatorie!$G41,",","."),0)))=1,"true","false")&amp;CHAR(125)&amp;IF(COUNTA(Combinatorie!$A42:$A$80)&gt;0,",",""))</f>
        <v/>
      </c>
    </row>
    <row r="2625">
      <c r="A2625" s="82">
        <f>IF(Combinatorie!$A42="","","    "&amp;CHAR(123)&amp;CHAR(34)&amp;"bidderId"&amp;CHAR(34)&amp;": "&amp;CHAR(34)&amp;SUBSTITUTE(Combinatorie!$A42,CHAR(34),"'")&amp;CHAR(34)&amp;", "&amp;CHAR(34)&amp;"bidderName"&amp;CHAR(34)&amp;": "&amp;CHAR(34)&amp;SUBSTITUTE(Combinatorie!$B42,CHAR(34),"'")&amp;CHAR(34)&amp;", "&amp;CHAR(34)&amp;"pairId"&amp;CHAR(34)&amp;": "&amp;CHAR(34)&amp;SUBSTITUTE(Combinatorie!$C42,CHAR(34),"'")&amp;CHAR(34)&amp;", "&amp;CHAR(34)&amp;"enabled"&amp;CHAR(34)&amp;": "&amp;IF(IFERROR(Combinatorie!$D42*1,IFERROR(NUMBERVALUE(Combinatorie!$D42,".",","),IFERROR(NUMBERVALUE(Combinatorie!$D42,",","."),0)))=1,"true","false")&amp;", "&amp;CHAR(34)&amp;"discount"&amp;CHAR(34)&amp;": "&amp;SUBSTITUTE(TRIM(ROUND(IFERROR(Combinatorie!$E42*1,IFERROR(NUMBERVALUE(Combinatorie!$E42,".",","),IFERROR(NUMBERVALUE(Combinatorie!$E42,",","."),0))),4)&amp;""),",",".")&amp;", "&amp;CHAR(34)&amp;"insertedInBothBuste"&amp;CHAR(34)&amp;": "&amp;IF(IFERROR(Combinatorie!$F42*1,IFERROR(NUMBERVALUE(Combinatorie!$F42,".",","),IFERROR(NUMBERVALUE(Combinatorie!$F42,",","."),0)))=1,"true","false")&amp;", "&amp;CHAR(34)&amp;"pefCoherent"&amp;CHAR(34)&amp;": "&amp;IF(IFERROR(Combinatorie!$G42*1,IFERROR(NUMBERVALUE(Combinatorie!$G42,".",","),IFERROR(NUMBERVALUE(Combinatorie!$G42,",","."),0)))=1,"true","false")&amp;CHAR(125)&amp;IF(COUNTA(Combinatorie!$A43:$A$80)&gt;0,",",""))</f>
        <v/>
      </c>
    </row>
    <row r="2626">
      <c r="A2626" s="82">
        <f>IF(Combinatorie!$A43="","","    "&amp;CHAR(123)&amp;CHAR(34)&amp;"bidderId"&amp;CHAR(34)&amp;": "&amp;CHAR(34)&amp;SUBSTITUTE(Combinatorie!$A43,CHAR(34),"'")&amp;CHAR(34)&amp;", "&amp;CHAR(34)&amp;"bidderName"&amp;CHAR(34)&amp;": "&amp;CHAR(34)&amp;SUBSTITUTE(Combinatorie!$B43,CHAR(34),"'")&amp;CHAR(34)&amp;", "&amp;CHAR(34)&amp;"pairId"&amp;CHAR(34)&amp;": "&amp;CHAR(34)&amp;SUBSTITUTE(Combinatorie!$C43,CHAR(34),"'")&amp;CHAR(34)&amp;", "&amp;CHAR(34)&amp;"enabled"&amp;CHAR(34)&amp;": "&amp;IF(IFERROR(Combinatorie!$D43*1,IFERROR(NUMBERVALUE(Combinatorie!$D43,".",","),IFERROR(NUMBERVALUE(Combinatorie!$D43,",","."),0)))=1,"true","false")&amp;", "&amp;CHAR(34)&amp;"discount"&amp;CHAR(34)&amp;": "&amp;SUBSTITUTE(TRIM(ROUND(IFERROR(Combinatorie!$E43*1,IFERROR(NUMBERVALUE(Combinatorie!$E43,".",","),IFERROR(NUMBERVALUE(Combinatorie!$E43,",","."),0))),4)&amp;""),",",".")&amp;", "&amp;CHAR(34)&amp;"insertedInBothBuste"&amp;CHAR(34)&amp;": "&amp;IF(IFERROR(Combinatorie!$F43*1,IFERROR(NUMBERVALUE(Combinatorie!$F43,".",","),IFERROR(NUMBERVALUE(Combinatorie!$F43,",","."),0)))=1,"true","false")&amp;", "&amp;CHAR(34)&amp;"pefCoherent"&amp;CHAR(34)&amp;": "&amp;IF(IFERROR(Combinatorie!$G43*1,IFERROR(NUMBERVALUE(Combinatorie!$G43,".",","),IFERROR(NUMBERVALUE(Combinatorie!$G43,",","."),0)))=1,"true","false")&amp;CHAR(125)&amp;IF(COUNTA(Combinatorie!$A44:$A$80)&gt;0,",",""))</f>
        <v/>
      </c>
    </row>
    <row r="2627">
      <c r="A2627" s="82">
        <f>IF(Combinatorie!$A44="","","    "&amp;CHAR(123)&amp;CHAR(34)&amp;"bidderId"&amp;CHAR(34)&amp;": "&amp;CHAR(34)&amp;SUBSTITUTE(Combinatorie!$A44,CHAR(34),"'")&amp;CHAR(34)&amp;", "&amp;CHAR(34)&amp;"bidderName"&amp;CHAR(34)&amp;": "&amp;CHAR(34)&amp;SUBSTITUTE(Combinatorie!$B44,CHAR(34),"'")&amp;CHAR(34)&amp;", "&amp;CHAR(34)&amp;"pairId"&amp;CHAR(34)&amp;": "&amp;CHAR(34)&amp;SUBSTITUTE(Combinatorie!$C44,CHAR(34),"'")&amp;CHAR(34)&amp;", "&amp;CHAR(34)&amp;"enabled"&amp;CHAR(34)&amp;": "&amp;IF(IFERROR(Combinatorie!$D44*1,IFERROR(NUMBERVALUE(Combinatorie!$D44,".",","),IFERROR(NUMBERVALUE(Combinatorie!$D44,",","."),0)))=1,"true","false")&amp;", "&amp;CHAR(34)&amp;"discount"&amp;CHAR(34)&amp;": "&amp;SUBSTITUTE(TRIM(ROUND(IFERROR(Combinatorie!$E44*1,IFERROR(NUMBERVALUE(Combinatorie!$E44,".",","),IFERROR(NUMBERVALUE(Combinatorie!$E44,",","."),0))),4)&amp;""),",",".")&amp;", "&amp;CHAR(34)&amp;"insertedInBothBuste"&amp;CHAR(34)&amp;": "&amp;IF(IFERROR(Combinatorie!$F44*1,IFERROR(NUMBERVALUE(Combinatorie!$F44,".",","),IFERROR(NUMBERVALUE(Combinatorie!$F44,",","."),0)))=1,"true","false")&amp;", "&amp;CHAR(34)&amp;"pefCoherent"&amp;CHAR(34)&amp;": "&amp;IF(IFERROR(Combinatorie!$G44*1,IFERROR(NUMBERVALUE(Combinatorie!$G44,".",","),IFERROR(NUMBERVALUE(Combinatorie!$G44,",","."),0)))=1,"true","false")&amp;CHAR(125)&amp;IF(COUNTA(Combinatorie!$A45:$A$80)&gt;0,",",""))</f>
        <v/>
      </c>
    </row>
    <row r="2628">
      <c r="A2628" s="82">
        <f>IF(Combinatorie!$A45="","","    "&amp;CHAR(123)&amp;CHAR(34)&amp;"bidderId"&amp;CHAR(34)&amp;": "&amp;CHAR(34)&amp;SUBSTITUTE(Combinatorie!$A45,CHAR(34),"'")&amp;CHAR(34)&amp;", "&amp;CHAR(34)&amp;"bidderName"&amp;CHAR(34)&amp;": "&amp;CHAR(34)&amp;SUBSTITUTE(Combinatorie!$B45,CHAR(34),"'")&amp;CHAR(34)&amp;", "&amp;CHAR(34)&amp;"pairId"&amp;CHAR(34)&amp;": "&amp;CHAR(34)&amp;SUBSTITUTE(Combinatorie!$C45,CHAR(34),"'")&amp;CHAR(34)&amp;", "&amp;CHAR(34)&amp;"enabled"&amp;CHAR(34)&amp;": "&amp;IF(IFERROR(Combinatorie!$D45*1,IFERROR(NUMBERVALUE(Combinatorie!$D45,".",","),IFERROR(NUMBERVALUE(Combinatorie!$D45,",","."),0)))=1,"true","false")&amp;", "&amp;CHAR(34)&amp;"discount"&amp;CHAR(34)&amp;": "&amp;SUBSTITUTE(TRIM(ROUND(IFERROR(Combinatorie!$E45*1,IFERROR(NUMBERVALUE(Combinatorie!$E45,".",","),IFERROR(NUMBERVALUE(Combinatorie!$E45,",","."),0))),4)&amp;""),",",".")&amp;", "&amp;CHAR(34)&amp;"insertedInBothBuste"&amp;CHAR(34)&amp;": "&amp;IF(IFERROR(Combinatorie!$F45*1,IFERROR(NUMBERVALUE(Combinatorie!$F45,".",","),IFERROR(NUMBERVALUE(Combinatorie!$F45,",","."),0)))=1,"true","false")&amp;", "&amp;CHAR(34)&amp;"pefCoherent"&amp;CHAR(34)&amp;": "&amp;IF(IFERROR(Combinatorie!$G45*1,IFERROR(NUMBERVALUE(Combinatorie!$G45,".",","),IFERROR(NUMBERVALUE(Combinatorie!$G45,",","."),0)))=1,"true","false")&amp;CHAR(125)&amp;IF(COUNTA(Combinatorie!$A46:$A$80)&gt;0,",",""))</f>
        <v/>
      </c>
    </row>
    <row r="2629">
      <c r="A2629" s="82">
        <f>IF(Combinatorie!$A46="","","    "&amp;CHAR(123)&amp;CHAR(34)&amp;"bidderId"&amp;CHAR(34)&amp;": "&amp;CHAR(34)&amp;SUBSTITUTE(Combinatorie!$A46,CHAR(34),"'")&amp;CHAR(34)&amp;", "&amp;CHAR(34)&amp;"bidderName"&amp;CHAR(34)&amp;": "&amp;CHAR(34)&amp;SUBSTITUTE(Combinatorie!$B46,CHAR(34),"'")&amp;CHAR(34)&amp;", "&amp;CHAR(34)&amp;"pairId"&amp;CHAR(34)&amp;": "&amp;CHAR(34)&amp;SUBSTITUTE(Combinatorie!$C46,CHAR(34),"'")&amp;CHAR(34)&amp;", "&amp;CHAR(34)&amp;"enabled"&amp;CHAR(34)&amp;": "&amp;IF(IFERROR(Combinatorie!$D46*1,IFERROR(NUMBERVALUE(Combinatorie!$D46,".",","),IFERROR(NUMBERVALUE(Combinatorie!$D46,",","."),0)))=1,"true","false")&amp;", "&amp;CHAR(34)&amp;"discount"&amp;CHAR(34)&amp;": "&amp;SUBSTITUTE(TRIM(ROUND(IFERROR(Combinatorie!$E46*1,IFERROR(NUMBERVALUE(Combinatorie!$E46,".",","),IFERROR(NUMBERVALUE(Combinatorie!$E46,",","."),0))),4)&amp;""),",",".")&amp;", "&amp;CHAR(34)&amp;"insertedInBothBuste"&amp;CHAR(34)&amp;": "&amp;IF(IFERROR(Combinatorie!$F46*1,IFERROR(NUMBERVALUE(Combinatorie!$F46,".",","),IFERROR(NUMBERVALUE(Combinatorie!$F46,",","."),0)))=1,"true","false")&amp;", "&amp;CHAR(34)&amp;"pefCoherent"&amp;CHAR(34)&amp;": "&amp;IF(IFERROR(Combinatorie!$G46*1,IFERROR(NUMBERVALUE(Combinatorie!$G46,".",","),IFERROR(NUMBERVALUE(Combinatorie!$G46,",","."),0)))=1,"true","false")&amp;CHAR(125)&amp;IF(COUNTA(Combinatorie!$A47:$A$80)&gt;0,",",""))</f>
        <v/>
      </c>
    </row>
    <row r="2630">
      <c r="A2630" s="82">
        <f>IF(Combinatorie!$A47="","","    "&amp;CHAR(123)&amp;CHAR(34)&amp;"bidderId"&amp;CHAR(34)&amp;": "&amp;CHAR(34)&amp;SUBSTITUTE(Combinatorie!$A47,CHAR(34),"'")&amp;CHAR(34)&amp;", "&amp;CHAR(34)&amp;"bidderName"&amp;CHAR(34)&amp;": "&amp;CHAR(34)&amp;SUBSTITUTE(Combinatorie!$B47,CHAR(34),"'")&amp;CHAR(34)&amp;", "&amp;CHAR(34)&amp;"pairId"&amp;CHAR(34)&amp;": "&amp;CHAR(34)&amp;SUBSTITUTE(Combinatorie!$C47,CHAR(34),"'")&amp;CHAR(34)&amp;", "&amp;CHAR(34)&amp;"enabled"&amp;CHAR(34)&amp;": "&amp;IF(IFERROR(Combinatorie!$D47*1,IFERROR(NUMBERVALUE(Combinatorie!$D47,".",","),IFERROR(NUMBERVALUE(Combinatorie!$D47,",","."),0)))=1,"true","false")&amp;", "&amp;CHAR(34)&amp;"discount"&amp;CHAR(34)&amp;": "&amp;SUBSTITUTE(TRIM(ROUND(IFERROR(Combinatorie!$E47*1,IFERROR(NUMBERVALUE(Combinatorie!$E47,".",","),IFERROR(NUMBERVALUE(Combinatorie!$E47,",","."),0))),4)&amp;""),",",".")&amp;", "&amp;CHAR(34)&amp;"insertedInBothBuste"&amp;CHAR(34)&amp;": "&amp;IF(IFERROR(Combinatorie!$F47*1,IFERROR(NUMBERVALUE(Combinatorie!$F47,".",","),IFERROR(NUMBERVALUE(Combinatorie!$F47,",","."),0)))=1,"true","false")&amp;", "&amp;CHAR(34)&amp;"pefCoherent"&amp;CHAR(34)&amp;": "&amp;IF(IFERROR(Combinatorie!$G47*1,IFERROR(NUMBERVALUE(Combinatorie!$G47,".",","),IFERROR(NUMBERVALUE(Combinatorie!$G47,",","."),0)))=1,"true","false")&amp;CHAR(125)&amp;IF(COUNTA(Combinatorie!$A48:$A$80)&gt;0,",",""))</f>
        <v/>
      </c>
    </row>
    <row r="2631">
      <c r="A2631" s="82">
        <f>IF(Combinatorie!$A48="","","    "&amp;CHAR(123)&amp;CHAR(34)&amp;"bidderId"&amp;CHAR(34)&amp;": "&amp;CHAR(34)&amp;SUBSTITUTE(Combinatorie!$A48,CHAR(34),"'")&amp;CHAR(34)&amp;", "&amp;CHAR(34)&amp;"bidderName"&amp;CHAR(34)&amp;": "&amp;CHAR(34)&amp;SUBSTITUTE(Combinatorie!$B48,CHAR(34),"'")&amp;CHAR(34)&amp;", "&amp;CHAR(34)&amp;"pairId"&amp;CHAR(34)&amp;": "&amp;CHAR(34)&amp;SUBSTITUTE(Combinatorie!$C48,CHAR(34),"'")&amp;CHAR(34)&amp;", "&amp;CHAR(34)&amp;"enabled"&amp;CHAR(34)&amp;": "&amp;IF(IFERROR(Combinatorie!$D48*1,IFERROR(NUMBERVALUE(Combinatorie!$D48,".",","),IFERROR(NUMBERVALUE(Combinatorie!$D48,",","."),0)))=1,"true","false")&amp;", "&amp;CHAR(34)&amp;"discount"&amp;CHAR(34)&amp;": "&amp;SUBSTITUTE(TRIM(ROUND(IFERROR(Combinatorie!$E48*1,IFERROR(NUMBERVALUE(Combinatorie!$E48,".",","),IFERROR(NUMBERVALUE(Combinatorie!$E48,",","."),0))),4)&amp;""),",",".")&amp;", "&amp;CHAR(34)&amp;"insertedInBothBuste"&amp;CHAR(34)&amp;": "&amp;IF(IFERROR(Combinatorie!$F48*1,IFERROR(NUMBERVALUE(Combinatorie!$F48,".",","),IFERROR(NUMBERVALUE(Combinatorie!$F48,",","."),0)))=1,"true","false")&amp;", "&amp;CHAR(34)&amp;"pefCoherent"&amp;CHAR(34)&amp;": "&amp;IF(IFERROR(Combinatorie!$G48*1,IFERROR(NUMBERVALUE(Combinatorie!$G48,".",","),IFERROR(NUMBERVALUE(Combinatorie!$G48,",","."),0)))=1,"true","false")&amp;CHAR(125)&amp;IF(COUNTA(Combinatorie!$A49:$A$80)&gt;0,",",""))</f>
        <v/>
      </c>
    </row>
    <row r="2632">
      <c r="A2632" s="82">
        <f>IF(Combinatorie!$A49="","","    "&amp;CHAR(123)&amp;CHAR(34)&amp;"bidderId"&amp;CHAR(34)&amp;": "&amp;CHAR(34)&amp;SUBSTITUTE(Combinatorie!$A49,CHAR(34),"'")&amp;CHAR(34)&amp;", "&amp;CHAR(34)&amp;"bidderName"&amp;CHAR(34)&amp;": "&amp;CHAR(34)&amp;SUBSTITUTE(Combinatorie!$B49,CHAR(34),"'")&amp;CHAR(34)&amp;", "&amp;CHAR(34)&amp;"pairId"&amp;CHAR(34)&amp;": "&amp;CHAR(34)&amp;SUBSTITUTE(Combinatorie!$C49,CHAR(34),"'")&amp;CHAR(34)&amp;", "&amp;CHAR(34)&amp;"enabled"&amp;CHAR(34)&amp;": "&amp;IF(IFERROR(Combinatorie!$D49*1,IFERROR(NUMBERVALUE(Combinatorie!$D49,".",","),IFERROR(NUMBERVALUE(Combinatorie!$D49,",","."),0)))=1,"true","false")&amp;", "&amp;CHAR(34)&amp;"discount"&amp;CHAR(34)&amp;": "&amp;SUBSTITUTE(TRIM(ROUND(IFERROR(Combinatorie!$E49*1,IFERROR(NUMBERVALUE(Combinatorie!$E49,".",","),IFERROR(NUMBERVALUE(Combinatorie!$E49,",","."),0))),4)&amp;""),",",".")&amp;", "&amp;CHAR(34)&amp;"insertedInBothBuste"&amp;CHAR(34)&amp;": "&amp;IF(IFERROR(Combinatorie!$F49*1,IFERROR(NUMBERVALUE(Combinatorie!$F49,".",","),IFERROR(NUMBERVALUE(Combinatorie!$F49,",","."),0)))=1,"true","false")&amp;", "&amp;CHAR(34)&amp;"pefCoherent"&amp;CHAR(34)&amp;": "&amp;IF(IFERROR(Combinatorie!$G49*1,IFERROR(NUMBERVALUE(Combinatorie!$G49,".",","),IFERROR(NUMBERVALUE(Combinatorie!$G49,",","."),0)))=1,"true","false")&amp;CHAR(125)&amp;IF(COUNTA(Combinatorie!$A50:$A$80)&gt;0,",",""))</f>
        <v/>
      </c>
    </row>
    <row r="2633">
      <c r="A2633" s="82">
        <f>IF(Combinatorie!$A50="","","    "&amp;CHAR(123)&amp;CHAR(34)&amp;"bidderId"&amp;CHAR(34)&amp;": "&amp;CHAR(34)&amp;SUBSTITUTE(Combinatorie!$A50,CHAR(34),"'")&amp;CHAR(34)&amp;", "&amp;CHAR(34)&amp;"bidderName"&amp;CHAR(34)&amp;": "&amp;CHAR(34)&amp;SUBSTITUTE(Combinatorie!$B50,CHAR(34),"'")&amp;CHAR(34)&amp;", "&amp;CHAR(34)&amp;"pairId"&amp;CHAR(34)&amp;": "&amp;CHAR(34)&amp;SUBSTITUTE(Combinatorie!$C50,CHAR(34),"'")&amp;CHAR(34)&amp;", "&amp;CHAR(34)&amp;"enabled"&amp;CHAR(34)&amp;": "&amp;IF(IFERROR(Combinatorie!$D50*1,IFERROR(NUMBERVALUE(Combinatorie!$D50,".",","),IFERROR(NUMBERVALUE(Combinatorie!$D50,",","."),0)))=1,"true","false")&amp;", "&amp;CHAR(34)&amp;"discount"&amp;CHAR(34)&amp;": "&amp;SUBSTITUTE(TRIM(ROUND(IFERROR(Combinatorie!$E50*1,IFERROR(NUMBERVALUE(Combinatorie!$E50,".",","),IFERROR(NUMBERVALUE(Combinatorie!$E50,",","."),0))),4)&amp;""),",",".")&amp;", "&amp;CHAR(34)&amp;"insertedInBothBuste"&amp;CHAR(34)&amp;": "&amp;IF(IFERROR(Combinatorie!$F50*1,IFERROR(NUMBERVALUE(Combinatorie!$F50,".",","),IFERROR(NUMBERVALUE(Combinatorie!$F50,",","."),0)))=1,"true","false")&amp;", "&amp;CHAR(34)&amp;"pefCoherent"&amp;CHAR(34)&amp;": "&amp;IF(IFERROR(Combinatorie!$G50*1,IFERROR(NUMBERVALUE(Combinatorie!$G50,".",","),IFERROR(NUMBERVALUE(Combinatorie!$G50,",","."),0)))=1,"true","false")&amp;CHAR(125)&amp;IF(COUNTA(Combinatorie!$A51:$A$80)&gt;0,",",""))</f>
        <v/>
      </c>
    </row>
    <row r="2634">
      <c r="A2634" s="82">
        <f>IF(Combinatorie!$A51="","","    "&amp;CHAR(123)&amp;CHAR(34)&amp;"bidderId"&amp;CHAR(34)&amp;": "&amp;CHAR(34)&amp;SUBSTITUTE(Combinatorie!$A51,CHAR(34),"'")&amp;CHAR(34)&amp;", "&amp;CHAR(34)&amp;"bidderName"&amp;CHAR(34)&amp;": "&amp;CHAR(34)&amp;SUBSTITUTE(Combinatorie!$B51,CHAR(34),"'")&amp;CHAR(34)&amp;", "&amp;CHAR(34)&amp;"pairId"&amp;CHAR(34)&amp;": "&amp;CHAR(34)&amp;SUBSTITUTE(Combinatorie!$C51,CHAR(34),"'")&amp;CHAR(34)&amp;", "&amp;CHAR(34)&amp;"enabled"&amp;CHAR(34)&amp;": "&amp;IF(IFERROR(Combinatorie!$D51*1,IFERROR(NUMBERVALUE(Combinatorie!$D51,".",","),IFERROR(NUMBERVALUE(Combinatorie!$D51,",","."),0)))=1,"true","false")&amp;", "&amp;CHAR(34)&amp;"discount"&amp;CHAR(34)&amp;": "&amp;SUBSTITUTE(TRIM(ROUND(IFERROR(Combinatorie!$E51*1,IFERROR(NUMBERVALUE(Combinatorie!$E51,".",","),IFERROR(NUMBERVALUE(Combinatorie!$E51,",","."),0))),4)&amp;""),",",".")&amp;", "&amp;CHAR(34)&amp;"insertedInBothBuste"&amp;CHAR(34)&amp;": "&amp;IF(IFERROR(Combinatorie!$F51*1,IFERROR(NUMBERVALUE(Combinatorie!$F51,".",","),IFERROR(NUMBERVALUE(Combinatorie!$F51,",","."),0)))=1,"true","false")&amp;", "&amp;CHAR(34)&amp;"pefCoherent"&amp;CHAR(34)&amp;": "&amp;IF(IFERROR(Combinatorie!$G51*1,IFERROR(NUMBERVALUE(Combinatorie!$G51,".",","),IFERROR(NUMBERVALUE(Combinatorie!$G51,",","."),0)))=1,"true","false")&amp;CHAR(125)&amp;IF(COUNTA(Combinatorie!$A52:$A$80)&gt;0,",",""))</f>
        <v/>
      </c>
    </row>
    <row r="2635">
      <c r="A2635" s="82">
        <f>IF(Combinatorie!$A52="","","    "&amp;CHAR(123)&amp;CHAR(34)&amp;"bidderId"&amp;CHAR(34)&amp;": "&amp;CHAR(34)&amp;SUBSTITUTE(Combinatorie!$A52,CHAR(34),"'")&amp;CHAR(34)&amp;", "&amp;CHAR(34)&amp;"bidderName"&amp;CHAR(34)&amp;": "&amp;CHAR(34)&amp;SUBSTITUTE(Combinatorie!$B52,CHAR(34),"'")&amp;CHAR(34)&amp;", "&amp;CHAR(34)&amp;"pairId"&amp;CHAR(34)&amp;": "&amp;CHAR(34)&amp;SUBSTITUTE(Combinatorie!$C52,CHAR(34),"'")&amp;CHAR(34)&amp;", "&amp;CHAR(34)&amp;"enabled"&amp;CHAR(34)&amp;": "&amp;IF(IFERROR(Combinatorie!$D52*1,IFERROR(NUMBERVALUE(Combinatorie!$D52,".",","),IFERROR(NUMBERVALUE(Combinatorie!$D52,",","."),0)))=1,"true","false")&amp;", "&amp;CHAR(34)&amp;"discount"&amp;CHAR(34)&amp;": "&amp;SUBSTITUTE(TRIM(ROUND(IFERROR(Combinatorie!$E52*1,IFERROR(NUMBERVALUE(Combinatorie!$E52,".",","),IFERROR(NUMBERVALUE(Combinatorie!$E52,",","."),0))),4)&amp;""),",",".")&amp;", "&amp;CHAR(34)&amp;"insertedInBothBuste"&amp;CHAR(34)&amp;": "&amp;IF(IFERROR(Combinatorie!$F52*1,IFERROR(NUMBERVALUE(Combinatorie!$F52,".",","),IFERROR(NUMBERVALUE(Combinatorie!$F52,",","."),0)))=1,"true","false")&amp;", "&amp;CHAR(34)&amp;"pefCoherent"&amp;CHAR(34)&amp;": "&amp;IF(IFERROR(Combinatorie!$G52*1,IFERROR(NUMBERVALUE(Combinatorie!$G52,".",","),IFERROR(NUMBERVALUE(Combinatorie!$G52,",","."),0)))=1,"true","false")&amp;CHAR(125)&amp;IF(COUNTA(Combinatorie!$A53:$A$80)&gt;0,",",""))</f>
        <v/>
      </c>
    </row>
    <row r="2636">
      <c r="A2636" s="82">
        <f>IF(Combinatorie!$A53="","","    "&amp;CHAR(123)&amp;CHAR(34)&amp;"bidderId"&amp;CHAR(34)&amp;": "&amp;CHAR(34)&amp;SUBSTITUTE(Combinatorie!$A53,CHAR(34),"'")&amp;CHAR(34)&amp;", "&amp;CHAR(34)&amp;"bidderName"&amp;CHAR(34)&amp;": "&amp;CHAR(34)&amp;SUBSTITUTE(Combinatorie!$B53,CHAR(34),"'")&amp;CHAR(34)&amp;", "&amp;CHAR(34)&amp;"pairId"&amp;CHAR(34)&amp;": "&amp;CHAR(34)&amp;SUBSTITUTE(Combinatorie!$C53,CHAR(34),"'")&amp;CHAR(34)&amp;", "&amp;CHAR(34)&amp;"enabled"&amp;CHAR(34)&amp;": "&amp;IF(IFERROR(Combinatorie!$D53*1,IFERROR(NUMBERVALUE(Combinatorie!$D53,".",","),IFERROR(NUMBERVALUE(Combinatorie!$D53,",","."),0)))=1,"true","false")&amp;", "&amp;CHAR(34)&amp;"discount"&amp;CHAR(34)&amp;": "&amp;SUBSTITUTE(TRIM(ROUND(IFERROR(Combinatorie!$E53*1,IFERROR(NUMBERVALUE(Combinatorie!$E53,".",","),IFERROR(NUMBERVALUE(Combinatorie!$E53,",","."),0))),4)&amp;""),",",".")&amp;", "&amp;CHAR(34)&amp;"insertedInBothBuste"&amp;CHAR(34)&amp;": "&amp;IF(IFERROR(Combinatorie!$F53*1,IFERROR(NUMBERVALUE(Combinatorie!$F53,".",","),IFERROR(NUMBERVALUE(Combinatorie!$F53,",","."),0)))=1,"true","false")&amp;", "&amp;CHAR(34)&amp;"pefCoherent"&amp;CHAR(34)&amp;": "&amp;IF(IFERROR(Combinatorie!$G53*1,IFERROR(NUMBERVALUE(Combinatorie!$G53,".",","),IFERROR(NUMBERVALUE(Combinatorie!$G53,",","."),0)))=1,"true","false")&amp;CHAR(125)&amp;IF(COUNTA(Combinatorie!$A54:$A$80)&gt;0,",",""))</f>
        <v/>
      </c>
    </row>
    <row r="2637">
      <c r="A2637" s="82">
        <f>IF(Combinatorie!$A54="","","    "&amp;CHAR(123)&amp;CHAR(34)&amp;"bidderId"&amp;CHAR(34)&amp;": "&amp;CHAR(34)&amp;SUBSTITUTE(Combinatorie!$A54,CHAR(34),"'")&amp;CHAR(34)&amp;", "&amp;CHAR(34)&amp;"bidderName"&amp;CHAR(34)&amp;": "&amp;CHAR(34)&amp;SUBSTITUTE(Combinatorie!$B54,CHAR(34),"'")&amp;CHAR(34)&amp;", "&amp;CHAR(34)&amp;"pairId"&amp;CHAR(34)&amp;": "&amp;CHAR(34)&amp;SUBSTITUTE(Combinatorie!$C54,CHAR(34),"'")&amp;CHAR(34)&amp;", "&amp;CHAR(34)&amp;"enabled"&amp;CHAR(34)&amp;": "&amp;IF(IFERROR(Combinatorie!$D54*1,IFERROR(NUMBERVALUE(Combinatorie!$D54,".",","),IFERROR(NUMBERVALUE(Combinatorie!$D54,",","."),0)))=1,"true","false")&amp;", "&amp;CHAR(34)&amp;"discount"&amp;CHAR(34)&amp;": "&amp;SUBSTITUTE(TRIM(ROUND(IFERROR(Combinatorie!$E54*1,IFERROR(NUMBERVALUE(Combinatorie!$E54,".",","),IFERROR(NUMBERVALUE(Combinatorie!$E54,",","."),0))),4)&amp;""),",",".")&amp;", "&amp;CHAR(34)&amp;"insertedInBothBuste"&amp;CHAR(34)&amp;": "&amp;IF(IFERROR(Combinatorie!$F54*1,IFERROR(NUMBERVALUE(Combinatorie!$F54,".",","),IFERROR(NUMBERVALUE(Combinatorie!$F54,",","."),0)))=1,"true","false")&amp;", "&amp;CHAR(34)&amp;"pefCoherent"&amp;CHAR(34)&amp;": "&amp;IF(IFERROR(Combinatorie!$G54*1,IFERROR(NUMBERVALUE(Combinatorie!$G54,".",","),IFERROR(NUMBERVALUE(Combinatorie!$G54,",","."),0)))=1,"true","false")&amp;CHAR(125)&amp;IF(COUNTA(Combinatorie!$A55:$A$80)&gt;0,",",""))</f>
        <v/>
      </c>
    </row>
    <row r="2638">
      <c r="A2638" s="82">
        <f>IF(Combinatorie!$A55="","","    "&amp;CHAR(123)&amp;CHAR(34)&amp;"bidderId"&amp;CHAR(34)&amp;": "&amp;CHAR(34)&amp;SUBSTITUTE(Combinatorie!$A55,CHAR(34),"'")&amp;CHAR(34)&amp;", "&amp;CHAR(34)&amp;"bidderName"&amp;CHAR(34)&amp;": "&amp;CHAR(34)&amp;SUBSTITUTE(Combinatorie!$B55,CHAR(34),"'")&amp;CHAR(34)&amp;", "&amp;CHAR(34)&amp;"pairId"&amp;CHAR(34)&amp;": "&amp;CHAR(34)&amp;SUBSTITUTE(Combinatorie!$C55,CHAR(34),"'")&amp;CHAR(34)&amp;", "&amp;CHAR(34)&amp;"enabled"&amp;CHAR(34)&amp;": "&amp;IF(IFERROR(Combinatorie!$D55*1,IFERROR(NUMBERVALUE(Combinatorie!$D55,".",","),IFERROR(NUMBERVALUE(Combinatorie!$D55,",","."),0)))=1,"true","false")&amp;", "&amp;CHAR(34)&amp;"discount"&amp;CHAR(34)&amp;": "&amp;SUBSTITUTE(TRIM(ROUND(IFERROR(Combinatorie!$E55*1,IFERROR(NUMBERVALUE(Combinatorie!$E55,".",","),IFERROR(NUMBERVALUE(Combinatorie!$E55,",","."),0))),4)&amp;""),",",".")&amp;", "&amp;CHAR(34)&amp;"insertedInBothBuste"&amp;CHAR(34)&amp;": "&amp;IF(IFERROR(Combinatorie!$F55*1,IFERROR(NUMBERVALUE(Combinatorie!$F55,".",","),IFERROR(NUMBERVALUE(Combinatorie!$F55,",","."),0)))=1,"true","false")&amp;", "&amp;CHAR(34)&amp;"pefCoherent"&amp;CHAR(34)&amp;": "&amp;IF(IFERROR(Combinatorie!$G55*1,IFERROR(NUMBERVALUE(Combinatorie!$G55,".",","),IFERROR(NUMBERVALUE(Combinatorie!$G55,",","."),0)))=1,"true","false")&amp;CHAR(125)&amp;IF(COUNTA(Combinatorie!$A56:$A$80)&gt;0,",",""))</f>
        <v/>
      </c>
    </row>
    <row r="2639">
      <c r="A2639" s="82">
        <f>IF(Combinatorie!$A56="","","    "&amp;CHAR(123)&amp;CHAR(34)&amp;"bidderId"&amp;CHAR(34)&amp;": "&amp;CHAR(34)&amp;SUBSTITUTE(Combinatorie!$A56,CHAR(34),"'")&amp;CHAR(34)&amp;", "&amp;CHAR(34)&amp;"bidderName"&amp;CHAR(34)&amp;": "&amp;CHAR(34)&amp;SUBSTITUTE(Combinatorie!$B56,CHAR(34),"'")&amp;CHAR(34)&amp;", "&amp;CHAR(34)&amp;"pairId"&amp;CHAR(34)&amp;": "&amp;CHAR(34)&amp;SUBSTITUTE(Combinatorie!$C56,CHAR(34),"'")&amp;CHAR(34)&amp;", "&amp;CHAR(34)&amp;"enabled"&amp;CHAR(34)&amp;": "&amp;IF(IFERROR(Combinatorie!$D56*1,IFERROR(NUMBERVALUE(Combinatorie!$D56,".",","),IFERROR(NUMBERVALUE(Combinatorie!$D56,",","."),0)))=1,"true","false")&amp;", "&amp;CHAR(34)&amp;"discount"&amp;CHAR(34)&amp;": "&amp;SUBSTITUTE(TRIM(ROUND(IFERROR(Combinatorie!$E56*1,IFERROR(NUMBERVALUE(Combinatorie!$E56,".",","),IFERROR(NUMBERVALUE(Combinatorie!$E56,",","."),0))),4)&amp;""),",",".")&amp;", "&amp;CHAR(34)&amp;"insertedInBothBuste"&amp;CHAR(34)&amp;": "&amp;IF(IFERROR(Combinatorie!$F56*1,IFERROR(NUMBERVALUE(Combinatorie!$F56,".",","),IFERROR(NUMBERVALUE(Combinatorie!$F56,",","."),0)))=1,"true","false")&amp;", "&amp;CHAR(34)&amp;"pefCoherent"&amp;CHAR(34)&amp;": "&amp;IF(IFERROR(Combinatorie!$G56*1,IFERROR(NUMBERVALUE(Combinatorie!$G56,".",","),IFERROR(NUMBERVALUE(Combinatorie!$G56,",","."),0)))=1,"true","false")&amp;CHAR(125)&amp;IF(COUNTA(Combinatorie!$A57:$A$80)&gt;0,",",""))</f>
        <v/>
      </c>
    </row>
    <row r="2640">
      <c r="A2640" s="82">
        <f>IF(Combinatorie!$A57="","","    "&amp;CHAR(123)&amp;CHAR(34)&amp;"bidderId"&amp;CHAR(34)&amp;": "&amp;CHAR(34)&amp;SUBSTITUTE(Combinatorie!$A57,CHAR(34),"'")&amp;CHAR(34)&amp;", "&amp;CHAR(34)&amp;"bidderName"&amp;CHAR(34)&amp;": "&amp;CHAR(34)&amp;SUBSTITUTE(Combinatorie!$B57,CHAR(34),"'")&amp;CHAR(34)&amp;", "&amp;CHAR(34)&amp;"pairId"&amp;CHAR(34)&amp;": "&amp;CHAR(34)&amp;SUBSTITUTE(Combinatorie!$C57,CHAR(34),"'")&amp;CHAR(34)&amp;", "&amp;CHAR(34)&amp;"enabled"&amp;CHAR(34)&amp;": "&amp;IF(IFERROR(Combinatorie!$D57*1,IFERROR(NUMBERVALUE(Combinatorie!$D57,".",","),IFERROR(NUMBERVALUE(Combinatorie!$D57,",","."),0)))=1,"true","false")&amp;", "&amp;CHAR(34)&amp;"discount"&amp;CHAR(34)&amp;": "&amp;SUBSTITUTE(TRIM(ROUND(IFERROR(Combinatorie!$E57*1,IFERROR(NUMBERVALUE(Combinatorie!$E57,".",","),IFERROR(NUMBERVALUE(Combinatorie!$E57,",","."),0))),4)&amp;""),",",".")&amp;", "&amp;CHAR(34)&amp;"insertedInBothBuste"&amp;CHAR(34)&amp;": "&amp;IF(IFERROR(Combinatorie!$F57*1,IFERROR(NUMBERVALUE(Combinatorie!$F57,".",","),IFERROR(NUMBERVALUE(Combinatorie!$F57,",","."),0)))=1,"true","false")&amp;", "&amp;CHAR(34)&amp;"pefCoherent"&amp;CHAR(34)&amp;": "&amp;IF(IFERROR(Combinatorie!$G57*1,IFERROR(NUMBERVALUE(Combinatorie!$G57,".",","),IFERROR(NUMBERVALUE(Combinatorie!$G57,",","."),0)))=1,"true","false")&amp;CHAR(125)&amp;IF(COUNTA(Combinatorie!$A58:$A$80)&gt;0,",",""))</f>
        <v/>
      </c>
    </row>
    <row r="2641">
      <c r="A2641" s="82">
        <f>IF(Combinatorie!$A58="","","    "&amp;CHAR(123)&amp;CHAR(34)&amp;"bidderId"&amp;CHAR(34)&amp;": "&amp;CHAR(34)&amp;SUBSTITUTE(Combinatorie!$A58,CHAR(34),"'")&amp;CHAR(34)&amp;", "&amp;CHAR(34)&amp;"bidderName"&amp;CHAR(34)&amp;": "&amp;CHAR(34)&amp;SUBSTITUTE(Combinatorie!$B58,CHAR(34),"'")&amp;CHAR(34)&amp;", "&amp;CHAR(34)&amp;"pairId"&amp;CHAR(34)&amp;": "&amp;CHAR(34)&amp;SUBSTITUTE(Combinatorie!$C58,CHAR(34),"'")&amp;CHAR(34)&amp;", "&amp;CHAR(34)&amp;"enabled"&amp;CHAR(34)&amp;": "&amp;IF(IFERROR(Combinatorie!$D58*1,IFERROR(NUMBERVALUE(Combinatorie!$D58,".",","),IFERROR(NUMBERVALUE(Combinatorie!$D58,",","."),0)))=1,"true","false")&amp;", "&amp;CHAR(34)&amp;"discount"&amp;CHAR(34)&amp;": "&amp;SUBSTITUTE(TRIM(ROUND(IFERROR(Combinatorie!$E58*1,IFERROR(NUMBERVALUE(Combinatorie!$E58,".",","),IFERROR(NUMBERVALUE(Combinatorie!$E58,",","."),0))),4)&amp;""),",",".")&amp;", "&amp;CHAR(34)&amp;"insertedInBothBuste"&amp;CHAR(34)&amp;": "&amp;IF(IFERROR(Combinatorie!$F58*1,IFERROR(NUMBERVALUE(Combinatorie!$F58,".",","),IFERROR(NUMBERVALUE(Combinatorie!$F58,",","."),0)))=1,"true","false")&amp;", "&amp;CHAR(34)&amp;"pefCoherent"&amp;CHAR(34)&amp;": "&amp;IF(IFERROR(Combinatorie!$G58*1,IFERROR(NUMBERVALUE(Combinatorie!$G58,".",","),IFERROR(NUMBERVALUE(Combinatorie!$G58,",","."),0)))=1,"true","false")&amp;CHAR(125)&amp;IF(COUNTA(Combinatorie!$A59:$A$80)&gt;0,",",""))</f>
        <v/>
      </c>
    </row>
    <row r="2642">
      <c r="A2642" s="82">
        <f>IF(Combinatorie!$A59="","","    "&amp;CHAR(123)&amp;CHAR(34)&amp;"bidderId"&amp;CHAR(34)&amp;": "&amp;CHAR(34)&amp;SUBSTITUTE(Combinatorie!$A59,CHAR(34),"'")&amp;CHAR(34)&amp;", "&amp;CHAR(34)&amp;"bidderName"&amp;CHAR(34)&amp;": "&amp;CHAR(34)&amp;SUBSTITUTE(Combinatorie!$B59,CHAR(34),"'")&amp;CHAR(34)&amp;", "&amp;CHAR(34)&amp;"pairId"&amp;CHAR(34)&amp;": "&amp;CHAR(34)&amp;SUBSTITUTE(Combinatorie!$C59,CHAR(34),"'")&amp;CHAR(34)&amp;", "&amp;CHAR(34)&amp;"enabled"&amp;CHAR(34)&amp;": "&amp;IF(IFERROR(Combinatorie!$D59*1,IFERROR(NUMBERVALUE(Combinatorie!$D59,".",","),IFERROR(NUMBERVALUE(Combinatorie!$D59,",","."),0)))=1,"true","false")&amp;", "&amp;CHAR(34)&amp;"discount"&amp;CHAR(34)&amp;": "&amp;SUBSTITUTE(TRIM(ROUND(IFERROR(Combinatorie!$E59*1,IFERROR(NUMBERVALUE(Combinatorie!$E59,".",","),IFERROR(NUMBERVALUE(Combinatorie!$E59,",","."),0))),4)&amp;""),",",".")&amp;", "&amp;CHAR(34)&amp;"insertedInBothBuste"&amp;CHAR(34)&amp;": "&amp;IF(IFERROR(Combinatorie!$F59*1,IFERROR(NUMBERVALUE(Combinatorie!$F59,".",","),IFERROR(NUMBERVALUE(Combinatorie!$F59,",","."),0)))=1,"true","false")&amp;", "&amp;CHAR(34)&amp;"pefCoherent"&amp;CHAR(34)&amp;": "&amp;IF(IFERROR(Combinatorie!$G59*1,IFERROR(NUMBERVALUE(Combinatorie!$G59,".",","),IFERROR(NUMBERVALUE(Combinatorie!$G59,",","."),0)))=1,"true","false")&amp;CHAR(125)&amp;IF(COUNTA(Combinatorie!$A60:$A$80)&gt;0,",",""))</f>
        <v/>
      </c>
    </row>
    <row r="2643">
      <c r="A2643" s="82">
        <f>IF(Combinatorie!$A60="","","    "&amp;CHAR(123)&amp;CHAR(34)&amp;"bidderId"&amp;CHAR(34)&amp;": "&amp;CHAR(34)&amp;SUBSTITUTE(Combinatorie!$A60,CHAR(34),"'")&amp;CHAR(34)&amp;", "&amp;CHAR(34)&amp;"bidderName"&amp;CHAR(34)&amp;": "&amp;CHAR(34)&amp;SUBSTITUTE(Combinatorie!$B60,CHAR(34),"'")&amp;CHAR(34)&amp;", "&amp;CHAR(34)&amp;"pairId"&amp;CHAR(34)&amp;": "&amp;CHAR(34)&amp;SUBSTITUTE(Combinatorie!$C60,CHAR(34),"'")&amp;CHAR(34)&amp;", "&amp;CHAR(34)&amp;"enabled"&amp;CHAR(34)&amp;": "&amp;IF(IFERROR(Combinatorie!$D60*1,IFERROR(NUMBERVALUE(Combinatorie!$D60,".",","),IFERROR(NUMBERVALUE(Combinatorie!$D60,",","."),0)))=1,"true","false")&amp;", "&amp;CHAR(34)&amp;"discount"&amp;CHAR(34)&amp;": "&amp;SUBSTITUTE(TRIM(ROUND(IFERROR(Combinatorie!$E60*1,IFERROR(NUMBERVALUE(Combinatorie!$E60,".",","),IFERROR(NUMBERVALUE(Combinatorie!$E60,",","."),0))),4)&amp;""),",",".")&amp;", "&amp;CHAR(34)&amp;"insertedInBothBuste"&amp;CHAR(34)&amp;": "&amp;IF(IFERROR(Combinatorie!$F60*1,IFERROR(NUMBERVALUE(Combinatorie!$F60,".",","),IFERROR(NUMBERVALUE(Combinatorie!$F60,",","."),0)))=1,"true","false")&amp;", "&amp;CHAR(34)&amp;"pefCoherent"&amp;CHAR(34)&amp;": "&amp;IF(IFERROR(Combinatorie!$G60*1,IFERROR(NUMBERVALUE(Combinatorie!$G60,".",","),IFERROR(NUMBERVALUE(Combinatorie!$G60,",","."),0)))=1,"true","false")&amp;CHAR(125)&amp;IF(COUNTA(Combinatorie!$A61:$A$80)&gt;0,",",""))</f>
        <v/>
      </c>
    </row>
    <row r="2644">
      <c r="A2644" s="82">
        <f>IF(Combinatorie!$A61="","","    "&amp;CHAR(123)&amp;CHAR(34)&amp;"bidderId"&amp;CHAR(34)&amp;": "&amp;CHAR(34)&amp;SUBSTITUTE(Combinatorie!$A61,CHAR(34),"'")&amp;CHAR(34)&amp;", "&amp;CHAR(34)&amp;"bidderName"&amp;CHAR(34)&amp;": "&amp;CHAR(34)&amp;SUBSTITUTE(Combinatorie!$B61,CHAR(34),"'")&amp;CHAR(34)&amp;", "&amp;CHAR(34)&amp;"pairId"&amp;CHAR(34)&amp;": "&amp;CHAR(34)&amp;SUBSTITUTE(Combinatorie!$C61,CHAR(34),"'")&amp;CHAR(34)&amp;", "&amp;CHAR(34)&amp;"enabled"&amp;CHAR(34)&amp;": "&amp;IF(IFERROR(Combinatorie!$D61*1,IFERROR(NUMBERVALUE(Combinatorie!$D61,".",","),IFERROR(NUMBERVALUE(Combinatorie!$D61,",","."),0)))=1,"true","false")&amp;", "&amp;CHAR(34)&amp;"discount"&amp;CHAR(34)&amp;": "&amp;SUBSTITUTE(TRIM(ROUND(IFERROR(Combinatorie!$E61*1,IFERROR(NUMBERVALUE(Combinatorie!$E61,".",","),IFERROR(NUMBERVALUE(Combinatorie!$E61,",","."),0))),4)&amp;""),",",".")&amp;", "&amp;CHAR(34)&amp;"insertedInBothBuste"&amp;CHAR(34)&amp;": "&amp;IF(IFERROR(Combinatorie!$F61*1,IFERROR(NUMBERVALUE(Combinatorie!$F61,".",","),IFERROR(NUMBERVALUE(Combinatorie!$F61,",","."),0)))=1,"true","false")&amp;", "&amp;CHAR(34)&amp;"pefCoherent"&amp;CHAR(34)&amp;": "&amp;IF(IFERROR(Combinatorie!$G61*1,IFERROR(NUMBERVALUE(Combinatorie!$G61,".",","),IFERROR(NUMBERVALUE(Combinatorie!$G61,",","."),0)))=1,"true","false")&amp;CHAR(125)&amp;IF(COUNTA(Combinatorie!$A62:$A$80)&gt;0,",",""))</f>
        <v/>
      </c>
    </row>
    <row r="2645">
      <c r="A2645" s="82">
        <f>IF(Combinatorie!$A62="","","    "&amp;CHAR(123)&amp;CHAR(34)&amp;"bidderId"&amp;CHAR(34)&amp;": "&amp;CHAR(34)&amp;SUBSTITUTE(Combinatorie!$A62,CHAR(34),"'")&amp;CHAR(34)&amp;", "&amp;CHAR(34)&amp;"bidderName"&amp;CHAR(34)&amp;": "&amp;CHAR(34)&amp;SUBSTITUTE(Combinatorie!$B62,CHAR(34),"'")&amp;CHAR(34)&amp;", "&amp;CHAR(34)&amp;"pairId"&amp;CHAR(34)&amp;": "&amp;CHAR(34)&amp;SUBSTITUTE(Combinatorie!$C62,CHAR(34),"'")&amp;CHAR(34)&amp;", "&amp;CHAR(34)&amp;"enabled"&amp;CHAR(34)&amp;": "&amp;IF(IFERROR(Combinatorie!$D62*1,IFERROR(NUMBERVALUE(Combinatorie!$D62,".",","),IFERROR(NUMBERVALUE(Combinatorie!$D62,",","."),0)))=1,"true","false")&amp;", "&amp;CHAR(34)&amp;"discount"&amp;CHAR(34)&amp;": "&amp;SUBSTITUTE(TRIM(ROUND(IFERROR(Combinatorie!$E62*1,IFERROR(NUMBERVALUE(Combinatorie!$E62,".",","),IFERROR(NUMBERVALUE(Combinatorie!$E62,",","."),0))),4)&amp;""),",",".")&amp;", "&amp;CHAR(34)&amp;"insertedInBothBuste"&amp;CHAR(34)&amp;": "&amp;IF(IFERROR(Combinatorie!$F62*1,IFERROR(NUMBERVALUE(Combinatorie!$F62,".",","),IFERROR(NUMBERVALUE(Combinatorie!$F62,",","."),0)))=1,"true","false")&amp;", "&amp;CHAR(34)&amp;"pefCoherent"&amp;CHAR(34)&amp;": "&amp;IF(IFERROR(Combinatorie!$G62*1,IFERROR(NUMBERVALUE(Combinatorie!$G62,".",","),IFERROR(NUMBERVALUE(Combinatorie!$G62,",","."),0)))=1,"true","false")&amp;CHAR(125)&amp;IF(COUNTA(Combinatorie!$A63:$A$80)&gt;0,",",""))</f>
        <v/>
      </c>
    </row>
    <row r="2646">
      <c r="A2646" s="82">
        <f>IF(Combinatorie!$A63="","","    "&amp;CHAR(123)&amp;CHAR(34)&amp;"bidderId"&amp;CHAR(34)&amp;": "&amp;CHAR(34)&amp;SUBSTITUTE(Combinatorie!$A63,CHAR(34),"'")&amp;CHAR(34)&amp;", "&amp;CHAR(34)&amp;"bidderName"&amp;CHAR(34)&amp;": "&amp;CHAR(34)&amp;SUBSTITUTE(Combinatorie!$B63,CHAR(34),"'")&amp;CHAR(34)&amp;", "&amp;CHAR(34)&amp;"pairId"&amp;CHAR(34)&amp;": "&amp;CHAR(34)&amp;SUBSTITUTE(Combinatorie!$C63,CHAR(34),"'")&amp;CHAR(34)&amp;", "&amp;CHAR(34)&amp;"enabled"&amp;CHAR(34)&amp;": "&amp;IF(IFERROR(Combinatorie!$D63*1,IFERROR(NUMBERVALUE(Combinatorie!$D63,".",","),IFERROR(NUMBERVALUE(Combinatorie!$D63,",","."),0)))=1,"true","false")&amp;", "&amp;CHAR(34)&amp;"discount"&amp;CHAR(34)&amp;": "&amp;SUBSTITUTE(TRIM(ROUND(IFERROR(Combinatorie!$E63*1,IFERROR(NUMBERVALUE(Combinatorie!$E63,".",","),IFERROR(NUMBERVALUE(Combinatorie!$E63,",","."),0))),4)&amp;""),",",".")&amp;", "&amp;CHAR(34)&amp;"insertedInBothBuste"&amp;CHAR(34)&amp;": "&amp;IF(IFERROR(Combinatorie!$F63*1,IFERROR(NUMBERVALUE(Combinatorie!$F63,".",","),IFERROR(NUMBERVALUE(Combinatorie!$F63,",","."),0)))=1,"true","false")&amp;", "&amp;CHAR(34)&amp;"pefCoherent"&amp;CHAR(34)&amp;": "&amp;IF(IFERROR(Combinatorie!$G63*1,IFERROR(NUMBERVALUE(Combinatorie!$G63,".",","),IFERROR(NUMBERVALUE(Combinatorie!$G63,",","."),0)))=1,"true","false")&amp;CHAR(125)&amp;IF(COUNTA(Combinatorie!$A64:$A$80)&gt;0,",",""))</f>
        <v/>
      </c>
    </row>
    <row r="2647">
      <c r="A2647" s="82">
        <f>IF(Combinatorie!$A64="","","    "&amp;CHAR(123)&amp;CHAR(34)&amp;"bidderId"&amp;CHAR(34)&amp;": "&amp;CHAR(34)&amp;SUBSTITUTE(Combinatorie!$A64,CHAR(34),"'")&amp;CHAR(34)&amp;", "&amp;CHAR(34)&amp;"bidderName"&amp;CHAR(34)&amp;": "&amp;CHAR(34)&amp;SUBSTITUTE(Combinatorie!$B64,CHAR(34),"'")&amp;CHAR(34)&amp;", "&amp;CHAR(34)&amp;"pairId"&amp;CHAR(34)&amp;": "&amp;CHAR(34)&amp;SUBSTITUTE(Combinatorie!$C64,CHAR(34),"'")&amp;CHAR(34)&amp;", "&amp;CHAR(34)&amp;"enabled"&amp;CHAR(34)&amp;": "&amp;IF(IFERROR(Combinatorie!$D64*1,IFERROR(NUMBERVALUE(Combinatorie!$D64,".",","),IFERROR(NUMBERVALUE(Combinatorie!$D64,",","."),0)))=1,"true","false")&amp;", "&amp;CHAR(34)&amp;"discount"&amp;CHAR(34)&amp;": "&amp;SUBSTITUTE(TRIM(ROUND(IFERROR(Combinatorie!$E64*1,IFERROR(NUMBERVALUE(Combinatorie!$E64,".",","),IFERROR(NUMBERVALUE(Combinatorie!$E64,",","."),0))),4)&amp;""),",",".")&amp;", "&amp;CHAR(34)&amp;"insertedInBothBuste"&amp;CHAR(34)&amp;": "&amp;IF(IFERROR(Combinatorie!$F64*1,IFERROR(NUMBERVALUE(Combinatorie!$F64,".",","),IFERROR(NUMBERVALUE(Combinatorie!$F64,",","."),0)))=1,"true","false")&amp;", "&amp;CHAR(34)&amp;"pefCoherent"&amp;CHAR(34)&amp;": "&amp;IF(IFERROR(Combinatorie!$G64*1,IFERROR(NUMBERVALUE(Combinatorie!$G64,".",","),IFERROR(NUMBERVALUE(Combinatorie!$G64,",","."),0)))=1,"true","false")&amp;CHAR(125)&amp;IF(COUNTA(Combinatorie!$A65:$A$80)&gt;0,",",""))</f>
        <v/>
      </c>
    </row>
    <row r="2648">
      <c r="A2648" s="82">
        <f>IF(Combinatorie!$A65="","","    "&amp;CHAR(123)&amp;CHAR(34)&amp;"bidderId"&amp;CHAR(34)&amp;": "&amp;CHAR(34)&amp;SUBSTITUTE(Combinatorie!$A65,CHAR(34),"'")&amp;CHAR(34)&amp;", "&amp;CHAR(34)&amp;"bidderName"&amp;CHAR(34)&amp;": "&amp;CHAR(34)&amp;SUBSTITUTE(Combinatorie!$B65,CHAR(34),"'")&amp;CHAR(34)&amp;", "&amp;CHAR(34)&amp;"pairId"&amp;CHAR(34)&amp;": "&amp;CHAR(34)&amp;SUBSTITUTE(Combinatorie!$C65,CHAR(34),"'")&amp;CHAR(34)&amp;", "&amp;CHAR(34)&amp;"enabled"&amp;CHAR(34)&amp;": "&amp;IF(IFERROR(Combinatorie!$D65*1,IFERROR(NUMBERVALUE(Combinatorie!$D65,".",","),IFERROR(NUMBERVALUE(Combinatorie!$D65,",","."),0)))=1,"true","false")&amp;", "&amp;CHAR(34)&amp;"discount"&amp;CHAR(34)&amp;": "&amp;SUBSTITUTE(TRIM(ROUND(IFERROR(Combinatorie!$E65*1,IFERROR(NUMBERVALUE(Combinatorie!$E65,".",","),IFERROR(NUMBERVALUE(Combinatorie!$E65,",","."),0))),4)&amp;""),",",".")&amp;", "&amp;CHAR(34)&amp;"insertedInBothBuste"&amp;CHAR(34)&amp;": "&amp;IF(IFERROR(Combinatorie!$F65*1,IFERROR(NUMBERVALUE(Combinatorie!$F65,".",","),IFERROR(NUMBERVALUE(Combinatorie!$F65,",","."),0)))=1,"true","false")&amp;", "&amp;CHAR(34)&amp;"pefCoherent"&amp;CHAR(34)&amp;": "&amp;IF(IFERROR(Combinatorie!$G65*1,IFERROR(NUMBERVALUE(Combinatorie!$G65,".",","),IFERROR(NUMBERVALUE(Combinatorie!$G65,",","."),0)))=1,"true","false")&amp;CHAR(125)&amp;IF(COUNTA(Combinatorie!$A66:$A$80)&gt;0,",",""))</f>
        <v/>
      </c>
    </row>
    <row r="2649">
      <c r="A2649" s="82">
        <f>IF(Combinatorie!$A66="","","    "&amp;CHAR(123)&amp;CHAR(34)&amp;"bidderId"&amp;CHAR(34)&amp;": "&amp;CHAR(34)&amp;SUBSTITUTE(Combinatorie!$A66,CHAR(34),"'")&amp;CHAR(34)&amp;", "&amp;CHAR(34)&amp;"bidderName"&amp;CHAR(34)&amp;": "&amp;CHAR(34)&amp;SUBSTITUTE(Combinatorie!$B66,CHAR(34),"'")&amp;CHAR(34)&amp;", "&amp;CHAR(34)&amp;"pairId"&amp;CHAR(34)&amp;": "&amp;CHAR(34)&amp;SUBSTITUTE(Combinatorie!$C66,CHAR(34),"'")&amp;CHAR(34)&amp;", "&amp;CHAR(34)&amp;"enabled"&amp;CHAR(34)&amp;": "&amp;IF(IFERROR(Combinatorie!$D66*1,IFERROR(NUMBERVALUE(Combinatorie!$D66,".",","),IFERROR(NUMBERVALUE(Combinatorie!$D66,",","."),0)))=1,"true","false")&amp;", "&amp;CHAR(34)&amp;"discount"&amp;CHAR(34)&amp;": "&amp;SUBSTITUTE(TRIM(ROUND(IFERROR(Combinatorie!$E66*1,IFERROR(NUMBERVALUE(Combinatorie!$E66,".",","),IFERROR(NUMBERVALUE(Combinatorie!$E66,",","."),0))),4)&amp;""),",",".")&amp;", "&amp;CHAR(34)&amp;"insertedInBothBuste"&amp;CHAR(34)&amp;": "&amp;IF(IFERROR(Combinatorie!$F66*1,IFERROR(NUMBERVALUE(Combinatorie!$F66,".",","),IFERROR(NUMBERVALUE(Combinatorie!$F66,",","."),0)))=1,"true","false")&amp;", "&amp;CHAR(34)&amp;"pefCoherent"&amp;CHAR(34)&amp;": "&amp;IF(IFERROR(Combinatorie!$G66*1,IFERROR(NUMBERVALUE(Combinatorie!$G66,".",","),IFERROR(NUMBERVALUE(Combinatorie!$G66,",","."),0)))=1,"true","false")&amp;CHAR(125)&amp;IF(COUNTA(Combinatorie!$A67:$A$80)&gt;0,",",""))</f>
        <v/>
      </c>
    </row>
    <row r="2650">
      <c r="A2650" s="82">
        <f>IF(Combinatorie!$A67="","","    "&amp;CHAR(123)&amp;CHAR(34)&amp;"bidderId"&amp;CHAR(34)&amp;": "&amp;CHAR(34)&amp;SUBSTITUTE(Combinatorie!$A67,CHAR(34),"'")&amp;CHAR(34)&amp;", "&amp;CHAR(34)&amp;"bidderName"&amp;CHAR(34)&amp;": "&amp;CHAR(34)&amp;SUBSTITUTE(Combinatorie!$B67,CHAR(34),"'")&amp;CHAR(34)&amp;", "&amp;CHAR(34)&amp;"pairId"&amp;CHAR(34)&amp;": "&amp;CHAR(34)&amp;SUBSTITUTE(Combinatorie!$C67,CHAR(34),"'")&amp;CHAR(34)&amp;", "&amp;CHAR(34)&amp;"enabled"&amp;CHAR(34)&amp;": "&amp;IF(IFERROR(Combinatorie!$D67*1,IFERROR(NUMBERVALUE(Combinatorie!$D67,".",","),IFERROR(NUMBERVALUE(Combinatorie!$D67,",","."),0)))=1,"true","false")&amp;", "&amp;CHAR(34)&amp;"discount"&amp;CHAR(34)&amp;": "&amp;SUBSTITUTE(TRIM(ROUND(IFERROR(Combinatorie!$E67*1,IFERROR(NUMBERVALUE(Combinatorie!$E67,".",","),IFERROR(NUMBERVALUE(Combinatorie!$E67,",","."),0))),4)&amp;""),",",".")&amp;", "&amp;CHAR(34)&amp;"insertedInBothBuste"&amp;CHAR(34)&amp;": "&amp;IF(IFERROR(Combinatorie!$F67*1,IFERROR(NUMBERVALUE(Combinatorie!$F67,".",","),IFERROR(NUMBERVALUE(Combinatorie!$F67,",","."),0)))=1,"true","false")&amp;", "&amp;CHAR(34)&amp;"pefCoherent"&amp;CHAR(34)&amp;": "&amp;IF(IFERROR(Combinatorie!$G67*1,IFERROR(NUMBERVALUE(Combinatorie!$G67,".",","),IFERROR(NUMBERVALUE(Combinatorie!$G67,",","."),0)))=1,"true","false")&amp;CHAR(125)&amp;IF(COUNTA(Combinatorie!$A68:$A$80)&gt;0,",",""))</f>
        <v/>
      </c>
    </row>
    <row r="2651">
      <c r="A2651" s="82">
        <f>IF(Combinatorie!$A68="","","    "&amp;CHAR(123)&amp;CHAR(34)&amp;"bidderId"&amp;CHAR(34)&amp;": "&amp;CHAR(34)&amp;SUBSTITUTE(Combinatorie!$A68,CHAR(34),"'")&amp;CHAR(34)&amp;", "&amp;CHAR(34)&amp;"bidderName"&amp;CHAR(34)&amp;": "&amp;CHAR(34)&amp;SUBSTITUTE(Combinatorie!$B68,CHAR(34),"'")&amp;CHAR(34)&amp;", "&amp;CHAR(34)&amp;"pairId"&amp;CHAR(34)&amp;": "&amp;CHAR(34)&amp;SUBSTITUTE(Combinatorie!$C68,CHAR(34),"'")&amp;CHAR(34)&amp;", "&amp;CHAR(34)&amp;"enabled"&amp;CHAR(34)&amp;": "&amp;IF(IFERROR(Combinatorie!$D68*1,IFERROR(NUMBERVALUE(Combinatorie!$D68,".",","),IFERROR(NUMBERVALUE(Combinatorie!$D68,",","."),0)))=1,"true","false")&amp;", "&amp;CHAR(34)&amp;"discount"&amp;CHAR(34)&amp;": "&amp;SUBSTITUTE(TRIM(ROUND(IFERROR(Combinatorie!$E68*1,IFERROR(NUMBERVALUE(Combinatorie!$E68,".",","),IFERROR(NUMBERVALUE(Combinatorie!$E68,",","."),0))),4)&amp;""),",",".")&amp;", "&amp;CHAR(34)&amp;"insertedInBothBuste"&amp;CHAR(34)&amp;": "&amp;IF(IFERROR(Combinatorie!$F68*1,IFERROR(NUMBERVALUE(Combinatorie!$F68,".",","),IFERROR(NUMBERVALUE(Combinatorie!$F68,",","."),0)))=1,"true","false")&amp;", "&amp;CHAR(34)&amp;"pefCoherent"&amp;CHAR(34)&amp;": "&amp;IF(IFERROR(Combinatorie!$G68*1,IFERROR(NUMBERVALUE(Combinatorie!$G68,".",","),IFERROR(NUMBERVALUE(Combinatorie!$G68,",","."),0)))=1,"true","false")&amp;CHAR(125)&amp;IF(COUNTA(Combinatorie!$A69:$A$80)&gt;0,",",""))</f>
        <v/>
      </c>
    </row>
    <row r="2652">
      <c r="A2652" s="82">
        <f>IF(Combinatorie!$A69="","","    "&amp;CHAR(123)&amp;CHAR(34)&amp;"bidderId"&amp;CHAR(34)&amp;": "&amp;CHAR(34)&amp;SUBSTITUTE(Combinatorie!$A69,CHAR(34),"'")&amp;CHAR(34)&amp;", "&amp;CHAR(34)&amp;"bidderName"&amp;CHAR(34)&amp;": "&amp;CHAR(34)&amp;SUBSTITUTE(Combinatorie!$B69,CHAR(34),"'")&amp;CHAR(34)&amp;", "&amp;CHAR(34)&amp;"pairId"&amp;CHAR(34)&amp;": "&amp;CHAR(34)&amp;SUBSTITUTE(Combinatorie!$C69,CHAR(34),"'")&amp;CHAR(34)&amp;", "&amp;CHAR(34)&amp;"enabled"&amp;CHAR(34)&amp;": "&amp;IF(IFERROR(Combinatorie!$D69*1,IFERROR(NUMBERVALUE(Combinatorie!$D69,".",","),IFERROR(NUMBERVALUE(Combinatorie!$D69,",","."),0)))=1,"true","false")&amp;", "&amp;CHAR(34)&amp;"discount"&amp;CHAR(34)&amp;": "&amp;SUBSTITUTE(TRIM(ROUND(IFERROR(Combinatorie!$E69*1,IFERROR(NUMBERVALUE(Combinatorie!$E69,".",","),IFERROR(NUMBERVALUE(Combinatorie!$E69,",","."),0))),4)&amp;""),",",".")&amp;", "&amp;CHAR(34)&amp;"insertedInBothBuste"&amp;CHAR(34)&amp;": "&amp;IF(IFERROR(Combinatorie!$F69*1,IFERROR(NUMBERVALUE(Combinatorie!$F69,".",","),IFERROR(NUMBERVALUE(Combinatorie!$F69,",","."),0)))=1,"true","false")&amp;", "&amp;CHAR(34)&amp;"pefCoherent"&amp;CHAR(34)&amp;": "&amp;IF(IFERROR(Combinatorie!$G69*1,IFERROR(NUMBERVALUE(Combinatorie!$G69,".",","),IFERROR(NUMBERVALUE(Combinatorie!$G69,",","."),0)))=1,"true","false")&amp;CHAR(125)&amp;IF(COUNTA(Combinatorie!$A70:$A$80)&gt;0,",",""))</f>
        <v/>
      </c>
    </row>
    <row r="2653">
      <c r="A2653" s="82">
        <f>IF(Combinatorie!$A70="","","    "&amp;CHAR(123)&amp;CHAR(34)&amp;"bidderId"&amp;CHAR(34)&amp;": "&amp;CHAR(34)&amp;SUBSTITUTE(Combinatorie!$A70,CHAR(34),"'")&amp;CHAR(34)&amp;", "&amp;CHAR(34)&amp;"bidderName"&amp;CHAR(34)&amp;": "&amp;CHAR(34)&amp;SUBSTITUTE(Combinatorie!$B70,CHAR(34),"'")&amp;CHAR(34)&amp;", "&amp;CHAR(34)&amp;"pairId"&amp;CHAR(34)&amp;": "&amp;CHAR(34)&amp;SUBSTITUTE(Combinatorie!$C70,CHAR(34),"'")&amp;CHAR(34)&amp;", "&amp;CHAR(34)&amp;"enabled"&amp;CHAR(34)&amp;": "&amp;IF(IFERROR(Combinatorie!$D70*1,IFERROR(NUMBERVALUE(Combinatorie!$D70,".",","),IFERROR(NUMBERVALUE(Combinatorie!$D70,",","."),0)))=1,"true","false")&amp;", "&amp;CHAR(34)&amp;"discount"&amp;CHAR(34)&amp;": "&amp;SUBSTITUTE(TRIM(ROUND(IFERROR(Combinatorie!$E70*1,IFERROR(NUMBERVALUE(Combinatorie!$E70,".",","),IFERROR(NUMBERVALUE(Combinatorie!$E70,",","."),0))),4)&amp;""),",",".")&amp;", "&amp;CHAR(34)&amp;"insertedInBothBuste"&amp;CHAR(34)&amp;": "&amp;IF(IFERROR(Combinatorie!$F70*1,IFERROR(NUMBERVALUE(Combinatorie!$F70,".",","),IFERROR(NUMBERVALUE(Combinatorie!$F70,",","."),0)))=1,"true","false")&amp;", "&amp;CHAR(34)&amp;"pefCoherent"&amp;CHAR(34)&amp;": "&amp;IF(IFERROR(Combinatorie!$G70*1,IFERROR(NUMBERVALUE(Combinatorie!$G70,".",","),IFERROR(NUMBERVALUE(Combinatorie!$G70,",","."),0)))=1,"true","false")&amp;CHAR(125)&amp;IF(COUNTA(Combinatorie!$A71:$A$80)&gt;0,",",""))</f>
        <v/>
      </c>
    </row>
    <row r="2654">
      <c r="A2654" s="82">
        <f>IF(Combinatorie!$A71="","","    "&amp;CHAR(123)&amp;CHAR(34)&amp;"bidderId"&amp;CHAR(34)&amp;": "&amp;CHAR(34)&amp;SUBSTITUTE(Combinatorie!$A71,CHAR(34),"'")&amp;CHAR(34)&amp;", "&amp;CHAR(34)&amp;"bidderName"&amp;CHAR(34)&amp;": "&amp;CHAR(34)&amp;SUBSTITUTE(Combinatorie!$B71,CHAR(34),"'")&amp;CHAR(34)&amp;", "&amp;CHAR(34)&amp;"pairId"&amp;CHAR(34)&amp;": "&amp;CHAR(34)&amp;SUBSTITUTE(Combinatorie!$C71,CHAR(34),"'")&amp;CHAR(34)&amp;", "&amp;CHAR(34)&amp;"enabled"&amp;CHAR(34)&amp;": "&amp;IF(IFERROR(Combinatorie!$D71*1,IFERROR(NUMBERVALUE(Combinatorie!$D71,".",","),IFERROR(NUMBERVALUE(Combinatorie!$D71,",","."),0)))=1,"true","false")&amp;", "&amp;CHAR(34)&amp;"discount"&amp;CHAR(34)&amp;": "&amp;SUBSTITUTE(TRIM(ROUND(IFERROR(Combinatorie!$E71*1,IFERROR(NUMBERVALUE(Combinatorie!$E71,".",","),IFERROR(NUMBERVALUE(Combinatorie!$E71,",","."),0))),4)&amp;""),",",".")&amp;", "&amp;CHAR(34)&amp;"insertedInBothBuste"&amp;CHAR(34)&amp;": "&amp;IF(IFERROR(Combinatorie!$F71*1,IFERROR(NUMBERVALUE(Combinatorie!$F71,".",","),IFERROR(NUMBERVALUE(Combinatorie!$F71,",","."),0)))=1,"true","false")&amp;", "&amp;CHAR(34)&amp;"pefCoherent"&amp;CHAR(34)&amp;": "&amp;IF(IFERROR(Combinatorie!$G71*1,IFERROR(NUMBERVALUE(Combinatorie!$G71,".",","),IFERROR(NUMBERVALUE(Combinatorie!$G71,",","."),0)))=1,"true","false")&amp;CHAR(125)&amp;IF(COUNTA(Combinatorie!$A72:$A$80)&gt;0,",",""))</f>
        <v/>
      </c>
    </row>
    <row r="2655">
      <c r="A2655" s="82">
        <f>IF(Combinatorie!$A72="","","    "&amp;CHAR(123)&amp;CHAR(34)&amp;"bidderId"&amp;CHAR(34)&amp;": "&amp;CHAR(34)&amp;SUBSTITUTE(Combinatorie!$A72,CHAR(34),"'")&amp;CHAR(34)&amp;", "&amp;CHAR(34)&amp;"bidderName"&amp;CHAR(34)&amp;": "&amp;CHAR(34)&amp;SUBSTITUTE(Combinatorie!$B72,CHAR(34),"'")&amp;CHAR(34)&amp;", "&amp;CHAR(34)&amp;"pairId"&amp;CHAR(34)&amp;": "&amp;CHAR(34)&amp;SUBSTITUTE(Combinatorie!$C72,CHAR(34),"'")&amp;CHAR(34)&amp;", "&amp;CHAR(34)&amp;"enabled"&amp;CHAR(34)&amp;": "&amp;IF(IFERROR(Combinatorie!$D72*1,IFERROR(NUMBERVALUE(Combinatorie!$D72,".",","),IFERROR(NUMBERVALUE(Combinatorie!$D72,",","."),0)))=1,"true","false")&amp;", "&amp;CHAR(34)&amp;"discount"&amp;CHAR(34)&amp;": "&amp;SUBSTITUTE(TRIM(ROUND(IFERROR(Combinatorie!$E72*1,IFERROR(NUMBERVALUE(Combinatorie!$E72,".",","),IFERROR(NUMBERVALUE(Combinatorie!$E72,",","."),0))),4)&amp;""),",",".")&amp;", "&amp;CHAR(34)&amp;"insertedInBothBuste"&amp;CHAR(34)&amp;": "&amp;IF(IFERROR(Combinatorie!$F72*1,IFERROR(NUMBERVALUE(Combinatorie!$F72,".",","),IFERROR(NUMBERVALUE(Combinatorie!$F72,",","."),0)))=1,"true","false")&amp;", "&amp;CHAR(34)&amp;"pefCoherent"&amp;CHAR(34)&amp;": "&amp;IF(IFERROR(Combinatorie!$G72*1,IFERROR(NUMBERVALUE(Combinatorie!$G72,".",","),IFERROR(NUMBERVALUE(Combinatorie!$G72,",","."),0)))=1,"true","false")&amp;CHAR(125)&amp;IF(COUNTA(Combinatorie!$A73:$A$80)&gt;0,",",""))</f>
        <v/>
      </c>
    </row>
    <row r="2656">
      <c r="A2656" s="82">
        <f>IF(Combinatorie!$A73="","","    "&amp;CHAR(123)&amp;CHAR(34)&amp;"bidderId"&amp;CHAR(34)&amp;": "&amp;CHAR(34)&amp;SUBSTITUTE(Combinatorie!$A73,CHAR(34),"'")&amp;CHAR(34)&amp;", "&amp;CHAR(34)&amp;"bidderName"&amp;CHAR(34)&amp;": "&amp;CHAR(34)&amp;SUBSTITUTE(Combinatorie!$B73,CHAR(34),"'")&amp;CHAR(34)&amp;", "&amp;CHAR(34)&amp;"pairId"&amp;CHAR(34)&amp;": "&amp;CHAR(34)&amp;SUBSTITUTE(Combinatorie!$C73,CHAR(34),"'")&amp;CHAR(34)&amp;", "&amp;CHAR(34)&amp;"enabled"&amp;CHAR(34)&amp;": "&amp;IF(IFERROR(Combinatorie!$D73*1,IFERROR(NUMBERVALUE(Combinatorie!$D73,".",","),IFERROR(NUMBERVALUE(Combinatorie!$D73,",","."),0)))=1,"true","false")&amp;", "&amp;CHAR(34)&amp;"discount"&amp;CHAR(34)&amp;": "&amp;SUBSTITUTE(TRIM(ROUND(IFERROR(Combinatorie!$E73*1,IFERROR(NUMBERVALUE(Combinatorie!$E73,".",","),IFERROR(NUMBERVALUE(Combinatorie!$E73,",","."),0))),4)&amp;""),",",".")&amp;", "&amp;CHAR(34)&amp;"insertedInBothBuste"&amp;CHAR(34)&amp;": "&amp;IF(IFERROR(Combinatorie!$F73*1,IFERROR(NUMBERVALUE(Combinatorie!$F73,".",","),IFERROR(NUMBERVALUE(Combinatorie!$F73,",","."),0)))=1,"true","false")&amp;", "&amp;CHAR(34)&amp;"pefCoherent"&amp;CHAR(34)&amp;": "&amp;IF(IFERROR(Combinatorie!$G73*1,IFERROR(NUMBERVALUE(Combinatorie!$G73,".",","),IFERROR(NUMBERVALUE(Combinatorie!$G73,",","."),0)))=1,"true","false")&amp;CHAR(125)&amp;IF(COUNTA(Combinatorie!$A74:$A$80)&gt;0,",",""))</f>
        <v/>
      </c>
    </row>
    <row r="2657">
      <c r="A2657" s="82">
        <f>IF(Combinatorie!$A74="","","    "&amp;CHAR(123)&amp;CHAR(34)&amp;"bidderId"&amp;CHAR(34)&amp;": "&amp;CHAR(34)&amp;SUBSTITUTE(Combinatorie!$A74,CHAR(34),"'")&amp;CHAR(34)&amp;", "&amp;CHAR(34)&amp;"bidderName"&amp;CHAR(34)&amp;": "&amp;CHAR(34)&amp;SUBSTITUTE(Combinatorie!$B74,CHAR(34),"'")&amp;CHAR(34)&amp;", "&amp;CHAR(34)&amp;"pairId"&amp;CHAR(34)&amp;": "&amp;CHAR(34)&amp;SUBSTITUTE(Combinatorie!$C74,CHAR(34),"'")&amp;CHAR(34)&amp;", "&amp;CHAR(34)&amp;"enabled"&amp;CHAR(34)&amp;": "&amp;IF(IFERROR(Combinatorie!$D74*1,IFERROR(NUMBERVALUE(Combinatorie!$D74,".",","),IFERROR(NUMBERVALUE(Combinatorie!$D74,",","."),0)))=1,"true","false")&amp;", "&amp;CHAR(34)&amp;"discount"&amp;CHAR(34)&amp;": "&amp;SUBSTITUTE(TRIM(ROUND(IFERROR(Combinatorie!$E74*1,IFERROR(NUMBERVALUE(Combinatorie!$E74,".",","),IFERROR(NUMBERVALUE(Combinatorie!$E74,",","."),0))),4)&amp;""),",",".")&amp;", "&amp;CHAR(34)&amp;"insertedInBothBuste"&amp;CHAR(34)&amp;": "&amp;IF(IFERROR(Combinatorie!$F74*1,IFERROR(NUMBERVALUE(Combinatorie!$F74,".",","),IFERROR(NUMBERVALUE(Combinatorie!$F74,",","."),0)))=1,"true","false")&amp;", "&amp;CHAR(34)&amp;"pefCoherent"&amp;CHAR(34)&amp;": "&amp;IF(IFERROR(Combinatorie!$G74*1,IFERROR(NUMBERVALUE(Combinatorie!$G74,".",","),IFERROR(NUMBERVALUE(Combinatorie!$G74,",","."),0)))=1,"true","false")&amp;CHAR(125)&amp;IF(COUNTA(Combinatorie!$A75:$A$80)&gt;0,",",""))</f>
        <v/>
      </c>
    </row>
    <row r="2658">
      <c r="A2658" s="82">
        <f>IF(Combinatorie!$A75="","","    "&amp;CHAR(123)&amp;CHAR(34)&amp;"bidderId"&amp;CHAR(34)&amp;": "&amp;CHAR(34)&amp;SUBSTITUTE(Combinatorie!$A75,CHAR(34),"'")&amp;CHAR(34)&amp;", "&amp;CHAR(34)&amp;"bidderName"&amp;CHAR(34)&amp;": "&amp;CHAR(34)&amp;SUBSTITUTE(Combinatorie!$B75,CHAR(34),"'")&amp;CHAR(34)&amp;", "&amp;CHAR(34)&amp;"pairId"&amp;CHAR(34)&amp;": "&amp;CHAR(34)&amp;SUBSTITUTE(Combinatorie!$C75,CHAR(34),"'")&amp;CHAR(34)&amp;", "&amp;CHAR(34)&amp;"enabled"&amp;CHAR(34)&amp;": "&amp;IF(IFERROR(Combinatorie!$D75*1,IFERROR(NUMBERVALUE(Combinatorie!$D75,".",","),IFERROR(NUMBERVALUE(Combinatorie!$D75,",","."),0)))=1,"true","false")&amp;", "&amp;CHAR(34)&amp;"discount"&amp;CHAR(34)&amp;": "&amp;SUBSTITUTE(TRIM(ROUND(IFERROR(Combinatorie!$E75*1,IFERROR(NUMBERVALUE(Combinatorie!$E75,".",","),IFERROR(NUMBERVALUE(Combinatorie!$E75,",","."),0))),4)&amp;""),",",".")&amp;", "&amp;CHAR(34)&amp;"insertedInBothBuste"&amp;CHAR(34)&amp;": "&amp;IF(IFERROR(Combinatorie!$F75*1,IFERROR(NUMBERVALUE(Combinatorie!$F75,".",","),IFERROR(NUMBERVALUE(Combinatorie!$F75,",","."),0)))=1,"true","false")&amp;", "&amp;CHAR(34)&amp;"pefCoherent"&amp;CHAR(34)&amp;": "&amp;IF(IFERROR(Combinatorie!$G75*1,IFERROR(NUMBERVALUE(Combinatorie!$G75,".",","),IFERROR(NUMBERVALUE(Combinatorie!$G75,",","."),0)))=1,"true","false")&amp;CHAR(125)&amp;IF(COUNTA(Combinatorie!$A76:$A$80)&gt;0,",",""))</f>
        <v/>
      </c>
    </row>
    <row r="2659">
      <c r="A2659" s="82">
        <f>IF(Combinatorie!$A76="","","    "&amp;CHAR(123)&amp;CHAR(34)&amp;"bidderId"&amp;CHAR(34)&amp;": "&amp;CHAR(34)&amp;SUBSTITUTE(Combinatorie!$A76,CHAR(34),"'")&amp;CHAR(34)&amp;", "&amp;CHAR(34)&amp;"bidderName"&amp;CHAR(34)&amp;": "&amp;CHAR(34)&amp;SUBSTITUTE(Combinatorie!$B76,CHAR(34),"'")&amp;CHAR(34)&amp;", "&amp;CHAR(34)&amp;"pairId"&amp;CHAR(34)&amp;": "&amp;CHAR(34)&amp;SUBSTITUTE(Combinatorie!$C76,CHAR(34),"'")&amp;CHAR(34)&amp;", "&amp;CHAR(34)&amp;"enabled"&amp;CHAR(34)&amp;": "&amp;IF(IFERROR(Combinatorie!$D76*1,IFERROR(NUMBERVALUE(Combinatorie!$D76,".",","),IFERROR(NUMBERVALUE(Combinatorie!$D76,",","."),0)))=1,"true","false")&amp;", "&amp;CHAR(34)&amp;"discount"&amp;CHAR(34)&amp;": "&amp;SUBSTITUTE(TRIM(ROUND(IFERROR(Combinatorie!$E76*1,IFERROR(NUMBERVALUE(Combinatorie!$E76,".",","),IFERROR(NUMBERVALUE(Combinatorie!$E76,",","."),0))),4)&amp;""),",",".")&amp;", "&amp;CHAR(34)&amp;"insertedInBothBuste"&amp;CHAR(34)&amp;": "&amp;IF(IFERROR(Combinatorie!$F76*1,IFERROR(NUMBERVALUE(Combinatorie!$F76,".",","),IFERROR(NUMBERVALUE(Combinatorie!$F76,",","."),0)))=1,"true","false")&amp;", "&amp;CHAR(34)&amp;"pefCoherent"&amp;CHAR(34)&amp;": "&amp;IF(IFERROR(Combinatorie!$G76*1,IFERROR(NUMBERVALUE(Combinatorie!$G76,".",","),IFERROR(NUMBERVALUE(Combinatorie!$G76,",","."),0)))=1,"true","false")&amp;CHAR(125)&amp;IF(COUNTA(Combinatorie!$A77:$A$80)&gt;0,",",""))</f>
        <v/>
      </c>
    </row>
    <row r="2660">
      <c r="A2660" s="82">
        <f>IF(Combinatorie!$A77="","","    "&amp;CHAR(123)&amp;CHAR(34)&amp;"bidderId"&amp;CHAR(34)&amp;": "&amp;CHAR(34)&amp;SUBSTITUTE(Combinatorie!$A77,CHAR(34),"'")&amp;CHAR(34)&amp;", "&amp;CHAR(34)&amp;"bidderName"&amp;CHAR(34)&amp;": "&amp;CHAR(34)&amp;SUBSTITUTE(Combinatorie!$B77,CHAR(34),"'")&amp;CHAR(34)&amp;", "&amp;CHAR(34)&amp;"pairId"&amp;CHAR(34)&amp;": "&amp;CHAR(34)&amp;SUBSTITUTE(Combinatorie!$C77,CHAR(34),"'")&amp;CHAR(34)&amp;", "&amp;CHAR(34)&amp;"enabled"&amp;CHAR(34)&amp;": "&amp;IF(IFERROR(Combinatorie!$D77*1,IFERROR(NUMBERVALUE(Combinatorie!$D77,".",","),IFERROR(NUMBERVALUE(Combinatorie!$D77,",","."),0)))=1,"true","false")&amp;", "&amp;CHAR(34)&amp;"discount"&amp;CHAR(34)&amp;": "&amp;SUBSTITUTE(TRIM(ROUND(IFERROR(Combinatorie!$E77*1,IFERROR(NUMBERVALUE(Combinatorie!$E77,".",","),IFERROR(NUMBERVALUE(Combinatorie!$E77,",","."),0))),4)&amp;""),",",".")&amp;", "&amp;CHAR(34)&amp;"insertedInBothBuste"&amp;CHAR(34)&amp;": "&amp;IF(IFERROR(Combinatorie!$F77*1,IFERROR(NUMBERVALUE(Combinatorie!$F77,".",","),IFERROR(NUMBERVALUE(Combinatorie!$F77,",","."),0)))=1,"true","false")&amp;", "&amp;CHAR(34)&amp;"pefCoherent"&amp;CHAR(34)&amp;": "&amp;IF(IFERROR(Combinatorie!$G77*1,IFERROR(NUMBERVALUE(Combinatorie!$G77,".",","),IFERROR(NUMBERVALUE(Combinatorie!$G77,",","."),0)))=1,"true","false")&amp;CHAR(125)&amp;IF(COUNTA(Combinatorie!$A78:$A$80)&gt;0,",",""))</f>
        <v/>
      </c>
    </row>
    <row r="2661">
      <c r="A2661" s="82">
        <f>IF(Combinatorie!$A78="","","    "&amp;CHAR(123)&amp;CHAR(34)&amp;"bidderId"&amp;CHAR(34)&amp;": "&amp;CHAR(34)&amp;SUBSTITUTE(Combinatorie!$A78,CHAR(34),"'")&amp;CHAR(34)&amp;", "&amp;CHAR(34)&amp;"bidderName"&amp;CHAR(34)&amp;": "&amp;CHAR(34)&amp;SUBSTITUTE(Combinatorie!$B78,CHAR(34),"'")&amp;CHAR(34)&amp;", "&amp;CHAR(34)&amp;"pairId"&amp;CHAR(34)&amp;": "&amp;CHAR(34)&amp;SUBSTITUTE(Combinatorie!$C78,CHAR(34),"'")&amp;CHAR(34)&amp;", "&amp;CHAR(34)&amp;"enabled"&amp;CHAR(34)&amp;": "&amp;IF(IFERROR(Combinatorie!$D78*1,IFERROR(NUMBERVALUE(Combinatorie!$D78,".",","),IFERROR(NUMBERVALUE(Combinatorie!$D78,",","."),0)))=1,"true","false")&amp;", "&amp;CHAR(34)&amp;"discount"&amp;CHAR(34)&amp;": "&amp;SUBSTITUTE(TRIM(ROUND(IFERROR(Combinatorie!$E78*1,IFERROR(NUMBERVALUE(Combinatorie!$E78,".",","),IFERROR(NUMBERVALUE(Combinatorie!$E78,",","."),0))),4)&amp;""),",",".")&amp;", "&amp;CHAR(34)&amp;"insertedInBothBuste"&amp;CHAR(34)&amp;": "&amp;IF(IFERROR(Combinatorie!$F78*1,IFERROR(NUMBERVALUE(Combinatorie!$F78,".",","),IFERROR(NUMBERVALUE(Combinatorie!$F78,",","."),0)))=1,"true","false")&amp;", "&amp;CHAR(34)&amp;"pefCoherent"&amp;CHAR(34)&amp;": "&amp;IF(IFERROR(Combinatorie!$G78*1,IFERROR(NUMBERVALUE(Combinatorie!$G78,".",","),IFERROR(NUMBERVALUE(Combinatorie!$G78,",","."),0)))=1,"true","false")&amp;CHAR(125)&amp;IF(COUNTA(Combinatorie!$A79:$A$80)&gt;0,",",""))</f>
        <v/>
      </c>
    </row>
    <row r="2662">
      <c r="A2662" s="82">
        <f>IF(Combinatorie!$A79="","","    "&amp;CHAR(123)&amp;CHAR(34)&amp;"bidderId"&amp;CHAR(34)&amp;": "&amp;CHAR(34)&amp;SUBSTITUTE(Combinatorie!$A79,CHAR(34),"'")&amp;CHAR(34)&amp;", "&amp;CHAR(34)&amp;"bidderName"&amp;CHAR(34)&amp;": "&amp;CHAR(34)&amp;SUBSTITUTE(Combinatorie!$B79,CHAR(34),"'")&amp;CHAR(34)&amp;", "&amp;CHAR(34)&amp;"pairId"&amp;CHAR(34)&amp;": "&amp;CHAR(34)&amp;SUBSTITUTE(Combinatorie!$C79,CHAR(34),"'")&amp;CHAR(34)&amp;", "&amp;CHAR(34)&amp;"enabled"&amp;CHAR(34)&amp;": "&amp;IF(IFERROR(Combinatorie!$D79*1,IFERROR(NUMBERVALUE(Combinatorie!$D79,".",","),IFERROR(NUMBERVALUE(Combinatorie!$D79,",","."),0)))=1,"true","false")&amp;", "&amp;CHAR(34)&amp;"discount"&amp;CHAR(34)&amp;": "&amp;SUBSTITUTE(TRIM(ROUND(IFERROR(Combinatorie!$E79*1,IFERROR(NUMBERVALUE(Combinatorie!$E79,".",","),IFERROR(NUMBERVALUE(Combinatorie!$E79,",","."),0))),4)&amp;""),",",".")&amp;", "&amp;CHAR(34)&amp;"insertedInBothBuste"&amp;CHAR(34)&amp;": "&amp;IF(IFERROR(Combinatorie!$F79*1,IFERROR(NUMBERVALUE(Combinatorie!$F79,".",","),IFERROR(NUMBERVALUE(Combinatorie!$F79,",","."),0)))=1,"true","false")&amp;", "&amp;CHAR(34)&amp;"pefCoherent"&amp;CHAR(34)&amp;": "&amp;IF(IFERROR(Combinatorie!$G79*1,IFERROR(NUMBERVALUE(Combinatorie!$G79,".",","),IFERROR(NUMBERVALUE(Combinatorie!$G79,",","."),0)))=1,"true","false")&amp;CHAR(125)&amp;IF(COUNTA(Combinatorie!$A80:$A$80)&gt;0,",",""))</f>
        <v/>
      </c>
    </row>
    <row r="2663">
      <c r="A2663" s="82">
        <f>IF(Combinatorie!$A80="","","    "&amp;CHAR(123)&amp;CHAR(34)&amp;"bidderId"&amp;CHAR(34)&amp;": "&amp;CHAR(34)&amp;SUBSTITUTE(Combinatorie!$A80,CHAR(34),"'")&amp;CHAR(34)&amp;", "&amp;CHAR(34)&amp;"bidderName"&amp;CHAR(34)&amp;": "&amp;CHAR(34)&amp;SUBSTITUTE(Combinatorie!$B80,CHAR(34),"'")&amp;CHAR(34)&amp;", "&amp;CHAR(34)&amp;"pairId"&amp;CHAR(34)&amp;": "&amp;CHAR(34)&amp;SUBSTITUTE(Combinatorie!$C80,CHAR(34),"'")&amp;CHAR(34)&amp;", "&amp;CHAR(34)&amp;"enabled"&amp;CHAR(34)&amp;": "&amp;IF(IFERROR(Combinatorie!$D80*1,IFERROR(NUMBERVALUE(Combinatorie!$D80,".",","),IFERROR(NUMBERVALUE(Combinatorie!$D80,",","."),0)))=1,"true","false")&amp;", "&amp;CHAR(34)&amp;"discount"&amp;CHAR(34)&amp;": "&amp;SUBSTITUTE(TRIM(ROUND(IFERROR(Combinatorie!$E80*1,IFERROR(NUMBERVALUE(Combinatorie!$E80,".",","),IFERROR(NUMBERVALUE(Combinatorie!$E80,",","."),0))),4)&amp;""),",",".")&amp;", "&amp;CHAR(34)&amp;"insertedInBothBuste"&amp;CHAR(34)&amp;": "&amp;IF(IFERROR(Combinatorie!$F80*1,IFERROR(NUMBERVALUE(Combinatorie!$F80,".",","),IFERROR(NUMBERVALUE(Combinatorie!$F80,",","."),0)))=1,"true","false")&amp;", "&amp;CHAR(34)&amp;"pefCoherent"&amp;CHAR(34)&amp;": "&amp;IF(IFERROR(Combinatorie!$G80*1,IFERROR(NUMBERVALUE(Combinatorie!$G80,".",","),IFERROR(NUMBERVALUE(Combinatorie!$G80,",","."),0)))=1,"true","false")&amp;CHAR(125)&amp;IF(FALSE,",",""))</f>
        <v/>
      </c>
    </row>
    <row r="2664">
      <c r="A2664" s="82" t="inlineStr">
        <is>
          <t xml:space="preserve">  ]</t>
        </is>
      </c>
    </row>
    <row r="2665">
      <c r="A2665" s="82" t="inlineStr">
        <is>
          <t>}</t>
        </is>
      </c>
    </row>
  </sheetData>
  <mergeCells count="9">
    <mergeCell ref="A4:H4"/>
    <mergeCell ref="B8:H8"/>
    <mergeCell ref="A2:H2"/>
    <mergeCell ref="A10:H10"/>
    <mergeCell ref="B6:H6"/>
    <mergeCell ref="A11:H11"/>
    <mergeCell ref="B7:H7"/>
    <mergeCell ref="A1:H1"/>
    <mergeCell ref="B5:H5"/>
  </mergeCells>
  <pageMargins left="0.25" right="0.25" top="0.5" bottom="0.5" header="0.5" footer="0.5"/>
  <pageSetup fitToHeight="0" fitToWidth="1"/>
</worksheet>
</file>

<file path=xl/worksheets/sheet14.xml><?xml version="1.0" encoding="utf-8"?>
<worksheet xmlns="http://schemas.openxmlformats.org/spreadsheetml/2006/main">
  <sheetPr codeName="Foglio6">
    <tabColor rgb="00315A8A"/>
    <outlinePr summaryBelow="1" summaryRight="1"/>
    <pageSetUpPr fitToPage="1"/>
  </sheetPr>
  <dimension ref="A1:J8"/>
  <sheetViews>
    <sheetView showGridLines="0" tabSelected="0"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8" customWidth="1" min="1" max="1"/>
    <col width="22" customWidth="1" min="2" max="2"/>
    <col width="12" customWidth="1" min="3" max="3"/>
    <col width="16" customWidth="1" min="4" max="4"/>
    <col width="12" customWidth="1" min="5" max="5"/>
    <col width="34" customWidth="1" min="6" max="6"/>
    <col width="14" customWidth="1" min="7" max="7"/>
    <col width="34" customWidth="1" min="8" max="8"/>
    <col width="18" customWidth="1" min="9" max="9"/>
    <col width="14" customWidth="1" min="10" max="10"/>
  </cols>
  <sheetData>
    <row r="1" ht="24" customHeight="1">
      <c r="A1" s="54" t="inlineStr">
        <is>
          <t>Caso</t>
        </is>
      </c>
      <c r="B1" s="54" t="inlineStr">
        <is>
          <t>Scenario</t>
        </is>
      </c>
      <c r="C1" s="54" t="inlineStr">
        <is>
          <t>LotId</t>
        </is>
      </c>
      <c r="D1" s="54" t="inlineStr">
        <is>
          <t>ExpectedTotal</t>
        </is>
      </c>
      <c r="E1" s="54" t="inlineStr">
        <is>
          <t>Tolerance</t>
        </is>
      </c>
      <c r="F1" s="54" t="inlineStr">
        <is>
          <t>WebSource</t>
        </is>
      </c>
      <c r="G1" s="54" t="inlineStr">
        <is>
          <t>VerifiedAt</t>
        </is>
      </c>
      <c r="H1" s="54" t="inlineStr">
        <is>
          <t>Note</t>
        </is>
      </c>
      <c r="I1" s="54" t="inlineStr">
        <is>
          <t>Input expected</t>
        </is>
      </c>
      <c r="J1" s="54" t="inlineStr">
        <is>
          <t>Valore</t>
        </is>
      </c>
    </row>
    <row r="2">
      <c r="A2" s="48" t="inlineStr">
        <is>
          <t>G01</t>
        </is>
      </c>
      <c r="B2" s="48" t="inlineStr">
        <is>
          <t>MERCATO_REALISTICO</t>
        </is>
      </c>
      <c r="C2" s="48" t="inlineStr">
        <is>
          <t>L1</t>
        </is>
      </c>
      <c r="D2" s="48" t="inlineStr">
        <is>
          <t>0</t>
        </is>
      </c>
      <c r="E2" s="48" t="inlineStr">
        <is>
          <t>0.05</t>
        </is>
      </c>
      <c r="F2" s="48" t="inlineStr">
        <is>
          <t>https://gare-lotti-milanesi.pages.dev</t>
        </is>
      </c>
      <c r="G2" s="48" t="inlineStr">
        <is>
          <t>2026-05-25</t>
        </is>
      </c>
      <c r="H2" s="48" t="inlineStr">
        <is>
          <t>Da compilare con output web</t>
        </is>
      </c>
      <c r="I2" s="48" t="inlineStr">
        <is>
          <t>Web L1</t>
        </is>
      </c>
      <c r="J2" s="48" t="n">
        <v>0</v>
      </c>
    </row>
    <row r="3">
      <c r="A3" s="48" t="inlineStr">
        <is>
          <t>G02</t>
        </is>
      </c>
      <c r="B3" s="48" t="inlineStr">
        <is>
          <t>MERCATO_REALISTICO</t>
        </is>
      </c>
      <c r="C3" s="48" t="inlineStr">
        <is>
          <t>L2</t>
        </is>
      </c>
      <c r="D3" s="48" t="inlineStr">
        <is>
          <t>0</t>
        </is>
      </c>
      <c r="E3" s="48" t="inlineStr">
        <is>
          <t>0.05</t>
        </is>
      </c>
      <c r="F3" s="48" t="inlineStr">
        <is>
          <t>https://gare-lotti-milanesi.pages.dev</t>
        </is>
      </c>
      <c r="G3" s="48" t="inlineStr">
        <is>
          <t>2026-05-25</t>
        </is>
      </c>
      <c r="H3" s="48" t="inlineStr">
        <is>
          <t>Da compilare con output web</t>
        </is>
      </c>
      <c r="I3" s="48" t="inlineStr">
        <is>
          <t>Web L2</t>
        </is>
      </c>
      <c r="J3" s="48" t="n">
        <v>0</v>
      </c>
    </row>
    <row r="4">
      <c r="A4" s="48" t="inlineStr">
        <is>
          <t>G03</t>
        </is>
      </c>
      <c r="B4" s="48" t="inlineStr">
        <is>
          <t>TECNOLOGIA_FLOTTA</t>
        </is>
      </c>
      <c r="C4" s="48" t="inlineStr">
        <is>
          <t>L3</t>
        </is>
      </c>
      <c r="D4" s="48" t="inlineStr">
        <is>
          <t>0</t>
        </is>
      </c>
      <c r="E4" s="48" t="inlineStr">
        <is>
          <t>0.05</t>
        </is>
      </c>
      <c r="F4" s="48" t="inlineStr">
        <is>
          <t>https://gare-lotti-milanesi.pages.dev</t>
        </is>
      </c>
      <c r="G4" s="48" t="inlineStr">
        <is>
          <t>2026-05-25</t>
        </is>
      </c>
      <c r="H4" s="48" t="inlineStr">
        <is>
          <t>Da compilare con output web</t>
        </is>
      </c>
      <c r="I4" s="48" t="inlineStr">
        <is>
          <t>Web L3</t>
        </is>
      </c>
      <c r="J4" s="48" t="n">
        <v>0</v>
      </c>
    </row>
    <row r="5">
      <c r="A5" s="48" t="inlineStr">
        <is>
          <t>G04</t>
        </is>
      </c>
      <c r="B5" s="48" t="inlineStr">
        <is>
          <t>RIBASSO_AGGRESSIVO</t>
        </is>
      </c>
      <c r="C5" s="48" t="inlineStr">
        <is>
          <t>L4</t>
        </is>
      </c>
      <c r="D5" s="48" t="inlineStr">
        <is>
          <t>0</t>
        </is>
      </c>
      <c r="E5" s="48" t="inlineStr">
        <is>
          <t>0.05</t>
        </is>
      </c>
      <c r="F5" s="48" t="inlineStr">
        <is>
          <t>https://gare-lotti-milanesi.pages.dev</t>
        </is>
      </c>
      <c r="G5" s="48" t="inlineStr">
        <is>
          <t>2026-05-25</t>
        </is>
      </c>
      <c r="H5" s="48" t="inlineStr">
        <is>
          <t>Da compilare con output web</t>
        </is>
      </c>
      <c r="I5" s="48" t="inlineStr">
        <is>
          <t>Web L4</t>
        </is>
      </c>
      <c r="J5" s="48" t="n">
        <v>0</v>
      </c>
    </row>
    <row r="6">
      <c r="A6" s="48" t="inlineStr">
        <is>
          <t>G05</t>
        </is>
      </c>
      <c r="B6" s="48" t="inlineStr">
        <is>
          <t>PRESIDIO_LOCALE</t>
        </is>
      </c>
      <c r="C6" s="48" t="inlineStr">
        <is>
          <t>L4</t>
        </is>
      </c>
      <c r="D6" s="48" t="inlineStr">
        <is>
          <t>0</t>
        </is>
      </c>
      <c r="E6" s="48" t="inlineStr">
        <is>
          <t>0.05</t>
        </is>
      </c>
      <c r="F6" s="48" t="inlineStr">
        <is>
          <t>https://gare-lotti-milanesi.pages.dev</t>
        </is>
      </c>
      <c r="G6" s="48" t="inlineStr">
        <is>
          <t>2026-05-25</t>
        </is>
      </c>
      <c r="H6" s="48" t="inlineStr">
        <is>
          <t>Da compilare con output web</t>
        </is>
      </c>
      <c r="I6" s="48" t="n"/>
      <c r="J6" s="48" t="n"/>
    </row>
    <row r="7">
      <c r="A7" s="48" t="inlineStr">
        <is>
          <t>G06</t>
        </is>
      </c>
      <c r="B7" s="48" t="inlineStr">
        <is>
          <t>MERCATO_REALISTICO</t>
        </is>
      </c>
      <c r="C7" s="48" t="inlineStr">
        <is>
          <t>L3</t>
        </is>
      </c>
      <c r="D7" s="48" t="inlineStr">
        <is>
          <t>0</t>
        </is>
      </c>
      <c r="E7" s="48" t="inlineStr">
        <is>
          <t>0.05</t>
        </is>
      </c>
      <c r="F7" s="48" t="inlineStr">
        <is>
          <t>https://gare-lotti-milanesi.pages.dev</t>
        </is>
      </c>
      <c r="G7" s="48" t="inlineStr">
        <is>
          <t>2026-05-25</t>
        </is>
      </c>
      <c r="H7" s="48" t="inlineStr">
        <is>
          <t>Da compilare con output web</t>
        </is>
      </c>
      <c r="I7" s="48" t="n"/>
      <c r="J7" s="48" t="n"/>
    </row>
    <row r="8">
      <c r="A8" s="48" t="n"/>
      <c r="B8" s="48" t="n"/>
      <c r="C8" s="48" t="n"/>
      <c r="D8" s="48" t="n"/>
      <c r="E8" s="48" t="n"/>
      <c r="F8" s="48" t="n"/>
      <c r="G8" s="48" t="n"/>
      <c r="H8" s="48" t="n"/>
      <c r="I8" s="48" t="n"/>
      <c r="J8" s="48" t="n"/>
    </row>
  </sheetData>
  <dataValidations count="1">
    <dataValidation sqref="J2:J5" showDropDown="0" showInputMessage="0" showErrorMessage="0" allowBlank="0" type="decimal" operator="between">
      <formula1>0</formula1>
      <formula2>100</formula2>
    </dataValidation>
  </dataValidations>
  <pageMargins left="0.25" right="0.25" top="0.5" bottom="0.5" header="0.5" footer="0.5"/>
  <pageSetup fitToHeight="0" fitToWidth="1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 codeName="Foglio7">
    <tabColor rgb="00183B38"/>
    <outlinePr summaryBelow="1" summaryRight="1"/>
    <pageSetUpPr fitToPage="1"/>
  </sheetPr>
  <dimension ref="A1:J50"/>
  <sheetViews>
    <sheetView showGridLines="0" tabSelected="0"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4" customWidth="1" min="1" max="1"/>
    <col width="16" customWidth="1" min="2" max="4"/>
    <col width="12" customWidth="1" min="3" max="3"/>
    <col width="12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  <col width="20" customWidth="1" min="10" max="10"/>
  </cols>
  <sheetData>
    <row r="1" ht="24" customHeight="1">
      <c r="A1" s="54" t="inlineStr">
        <is>
          <t>Iterazione</t>
        </is>
      </c>
      <c r="B1" s="54" t="inlineStr">
        <is>
          <t>Lotto</t>
        </is>
      </c>
      <c r="C1" s="54" t="inlineStr">
        <is>
          <t>Leva</t>
        </is>
      </c>
      <c r="D1" s="54" t="inlineStr">
        <is>
          <t>Delta</t>
        </is>
      </c>
      <c r="E1" s="54" t="inlineStr">
        <is>
          <t>TotalePrima</t>
        </is>
      </c>
      <c r="F1" s="54" t="inlineStr">
        <is>
          <t>TotaleDopo</t>
        </is>
      </c>
      <c r="G1" s="54" t="inlineStr">
        <is>
          <t>Esito</t>
        </is>
      </c>
      <c r="H1" s="54" t="n"/>
      <c r="I1" s="54" t="n"/>
      <c r="J1" s="54" t="n"/>
    </row>
    <row r="2">
      <c r="A2" s="57" t="n"/>
      <c r="B2" s="57" t="n"/>
      <c r="C2" s="57" t="n"/>
      <c r="D2" s="57" t="n"/>
      <c r="E2" s="57" t="n"/>
      <c r="F2" s="57" t="n"/>
      <c r="G2" s="57" t="n"/>
      <c r="H2" s="57" t="n"/>
      <c r="I2" s="57" t="n"/>
      <c r="J2" s="57" t="n"/>
    </row>
    <row r="3">
      <c r="A3" s="57" t="n"/>
      <c r="B3" s="57" t="n"/>
      <c r="C3" s="57" t="n"/>
      <c r="D3" s="57" t="n"/>
      <c r="E3" s="57" t="n"/>
      <c r="F3" s="57" t="n"/>
      <c r="G3" s="57" t="n"/>
      <c r="H3" s="57" t="n"/>
      <c r="I3" s="57" t="n"/>
      <c r="J3" s="57" t="n"/>
    </row>
    <row r="4">
      <c r="A4" s="57" t="n"/>
      <c r="B4" s="57" t="n"/>
      <c r="C4" s="57" t="n"/>
      <c r="D4" s="57" t="n"/>
      <c r="E4" s="57" t="n"/>
      <c r="F4" s="57" t="n"/>
      <c r="G4" s="57" t="n"/>
      <c r="H4" s="57" t="n"/>
      <c r="I4" s="57" t="n"/>
      <c r="J4" s="57" t="n"/>
    </row>
    <row r="5">
      <c r="A5" s="57" t="n"/>
      <c r="B5" s="57" t="n"/>
      <c r="C5" s="57" t="n"/>
      <c r="D5" s="57" t="n"/>
      <c r="E5" s="57" t="n"/>
      <c r="F5" s="57" t="n"/>
      <c r="G5" s="57" t="n"/>
      <c r="H5" s="57" t="n"/>
      <c r="I5" s="57" t="n"/>
      <c r="J5" s="57" t="n"/>
    </row>
    <row r="6">
      <c r="A6" s="57" t="n"/>
      <c r="B6" s="57" t="n"/>
      <c r="C6" s="57" t="n"/>
      <c r="D6" s="57" t="n"/>
      <c r="E6" s="57" t="n"/>
      <c r="F6" s="57" t="n"/>
      <c r="G6" s="57" t="n"/>
      <c r="H6" s="57" t="n"/>
      <c r="I6" s="57" t="n"/>
      <c r="J6" s="57" t="n"/>
    </row>
    <row r="7">
      <c r="A7" s="57" t="n"/>
      <c r="B7" s="57" t="n"/>
      <c r="C7" s="57" t="n"/>
      <c r="D7" s="57" t="n"/>
      <c r="E7" s="57" t="n"/>
      <c r="F7" s="57" t="n"/>
      <c r="G7" s="57" t="n"/>
      <c r="H7" s="57" t="n"/>
      <c r="I7" s="57" t="n"/>
      <c r="J7" s="57" t="n"/>
    </row>
    <row r="8">
      <c r="A8" s="57" t="n"/>
      <c r="B8" s="57" t="n"/>
      <c r="C8" s="57" t="n"/>
      <c r="D8" s="57" t="n"/>
      <c r="E8" s="57" t="n"/>
      <c r="F8" s="57" t="n"/>
      <c r="G8" s="57" t="n"/>
      <c r="H8" s="57" t="n"/>
      <c r="I8" s="57" t="n"/>
      <c r="J8" s="57" t="n"/>
    </row>
    <row r="9">
      <c r="A9" s="57" t="n"/>
      <c r="B9" s="57" t="n"/>
      <c r="C9" s="57" t="n"/>
      <c r="D9" s="57" t="n"/>
      <c r="E9" s="57" t="n"/>
      <c r="F9" s="57" t="n"/>
      <c r="G9" s="57" t="n"/>
      <c r="H9" s="57" t="n"/>
      <c r="I9" s="57" t="n"/>
      <c r="J9" s="57" t="n"/>
    </row>
    <row r="10">
      <c r="A10" s="57" t="n"/>
      <c r="B10" s="57" t="n"/>
      <c r="C10" s="57" t="n"/>
      <c r="D10" s="57" t="n"/>
      <c r="E10" s="57" t="n"/>
      <c r="F10" s="57" t="n"/>
      <c r="G10" s="57" t="n"/>
      <c r="H10" s="57" t="n"/>
      <c r="I10" s="57" t="n"/>
      <c r="J10" s="57" t="n"/>
    </row>
    <row r="11">
      <c r="A11" s="57" t="n"/>
      <c r="B11" s="57" t="n"/>
      <c r="C11" s="57" t="n"/>
      <c r="D11" s="57" t="n"/>
      <c r="E11" s="57" t="n"/>
      <c r="F11" s="57" t="n"/>
      <c r="G11" s="57" t="n"/>
      <c r="H11" s="57" t="n"/>
      <c r="I11" s="57" t="n"/>
      <c r="J11" s="57" t="n"/>
    </row>
    <row r="12">
      <c r="A12" s="57" t="n"/>
      <c r="B12" s="57" t="n"/>
      <c r="C12" s="57" t="n"/>
      <c r="D12" s="57" t="n"/>
      <c r="E12" s="57" t="n"/>
      <c r="F12" s="57" t="n"/>
      <c r="G12" s="57" t="n"/>
      <c r="H12" s="57" t="n"/>
      <c r="I12" s="57" t="n"/>
      <c r="J12" s="57" t="n"/>
    </row>
    <row r="13">
      <c r="A13" s="57" t="n"/>
      <c r="B13" s="57" t="n"/>
      <c r="C13" s="57" t="n"/>
      <c r="D13" s="57" t="n"/>
      <c r="E13" s="57" t="n"/>
      <c r="F13" s="57" t="n"/>
      <c r="G13" s="57" t="n"/>
      <c r="H13" s="57" t="n"/>
      <c r="I13" s="57" t="n"/>
      <c r="J13" s="57" t="n"/>
    </row>
    <row r="14">
      <c r="A14" s="57" t="n"/>
      <c r="B14" s="57" t="n"/>
      <c r="C14" s="57" t="n"/>
      <c r="D14" s="57" t="n"/>
      <c r="E14" s="57" t="n"/>
      <c r="F14" s="57" t="n"/>
      <c r="G14" s="57" t="n"/>
      <c r="H14" s="57" t="n"/>
      <c r="I14" s="57" t="n"/>
      <c r="J14" s="57" t="n"/>
    </row>
    <row r="15">
      <c r="A15" s="57" t="n"/>
      <c r="B15" s="57" t="n"/>
      <c r="C15" s="57" t="n"/>
      <c r="D15" s="57" t="n"/>
      <c r="E15" s="57" t="n"/>
      <c r="F15" s="57" t="n"/>
      <c r="G15" s="57" t="n"/>
      <c r="H15" s="57" t="n"/>
      <c r="I15" s="57" t="n"/>
      <c r="J15" s="57" t="n"/>
    </row>
    <row r="16">
      <c r="A16" s="57" t="n"/>
      <c r="B16" s="57" t="n"/>
      <c r="C16" s="57" t="n"/>
      <c r="D16" s="57" t="n"/>
      <c r="E16" s="57" t="n"/>
      <c r="F16" s="57" t="n"/>
      <c r="G16" s="57" t="n"/>
      <c r="H16" s="57" t="n"/>
      <c r="I16" s="57" t="n"/>
      <c r="J16" s="57" t="n"/>
    </row>
    <row r="17">
      <c r="A17" s="57" t="n"/>
      <c r="B17" s="57" t="n"/>
      <c r="C17" s="57" t="n"/>
      <c r="D17" s="57" t="n"/>
      <c r="E17" s="57" t="n"/>
      <c r="F17" s="57" t="n"/>
      <c r="G17" s="57" t="n"/>
      <c r="H17" s="57" t="n"/>
      <c r="I17" s="57" t="n"/>
      <c r="J17" s="57" t="n"/>
    </row>
    <row r="18">
      <c r="A18" s="57" t="n"/>
      <c r="B18" s="57" t="n"/>
      <c r="C18" s="57" t="n"/>
      <c r="D18" s="57" t="n"/>
      <c r="E18" s="57" t="n"/>
      <c r="F18" s="57" t="n"/>
      <c r="G18" s="57" t="n"/>
      <c r="H18" s="57" t="n"/>
      <c r="I18" s="57" t="n"/>
      <c r="J18" s="57" t="n"/>
    </row>
    <row r="19">
      <c r="A19" s="57" t="n"/>
      <c r="B19" s="57" t="n"/>
      <c r="C19" s="57" t="n"/>
      <c r="D19" s="57" t="n"/>
      <c r="E19" s="57" t="n"/>
      <c r="F19" s="57" t="n"/>
      <c r="G19" s="57" t="n"/>
      <c r="H19" s="57" t="n"/>
      <c r="I19" s="57" t="n"/>
      <c r="J19" s="57" t="n"/>
    </row>
    <row r="20">
      <c r="A20" s="57" t="n"/>
      <c r="B20" s="57" t="n"/>
      <c r="C20" s="57" t="n"/>
      <c r="D20" s="57" t="n"/>
      <c r="E20" s="57" t="n"/>
      <c r="F20" s="57" t="n"/>
      <c r="G20" s="57" t="n"/>
      <c r="H20" s="57" t="n"/>
      <c r="I20" s="57" t="n"/>
      <c r="J20" s="57" t="n"/>
    </row>
    <row r="21">
      <c r="A21" s="57" t="n"/>
      <c r="B21" s="57" t="n"/>
      <c r="C21" s="57" t="n"/>
      <c r="D21" s="57" t="n"/>
      <c r="E21" s="57" t="n"/>
      <c r="F21" s="57" t="n"/>
      <c r="G21" s="57" t="n"/>
      <c r="H21" s="57" t="n"/>
      <c r="I21" s="57" t="n"/>
      <c r="J21" s="57" t="n"/>
    </row>
    <row r="22">
      <c r="A22" s="57" t="n"/>
      <c r="B22" s="57" t="n"/>
      <c r="C22" s="57" t="n"/>
      <c r="D22" s="57" t="n"/>
      <c r="E22" s="57" t="n"/>
      <c r="F22" s="57" t="n"/>
      <c r="G22" s="57" t="n"/>
      <c r="H22" s="57" t="n"/>
      <c r="I22" s="57" t="n"/>
      <c r="J22" s="57" t="n"/>
    </row>
    <row r="23">
      <c r="A23" s="57" t="n"/>
      <c r="B23" s="57" t="n"/>
      <c r="C23" s="57" t="n"/>
      <c r="D23" s="57" t="n"/>
      <c r="E23" s="57" t="n"/>
      <c r="F23" s="57" t="n"/>
      <c r="G23" s="57" t="n"/>
      <c r="H23" s="57" t="n"/>
      <c r="I23" s="57" t="n"/>
      <c r="J23" s="57" t="n"/>
    </row>
    <row r="24">
      <c r="A24" s="57" t="n"/>
      <c r="B24" s="57" t="n"/>
      <c r="C24" s="57" t="n"/>
      <c r="D24" s="57" t="n"/>
      <c r="E24" s="57" t="n"/>
      <c r="F24" s="57" t="n"/>
      <c r="G24" s="57" t="n"/>
      <c r="H24" s="57" t="n"/>
      <c r="I24" s="57" t="n"/>
      <c r="J24" s="57" t="n"/>
    </row>
    <row r="25">
      <c r="A25" s="57" t="n"/>
      <c r="B25" s="57" t="n"/>
      <c r="C25" s="57" t="n"/>
      <c r="D25" s="57" t="n"/>
      <c r="E25" s="57" t="n"/>
      <c r="F25" s="57" t="n"/>
      <c r="G25" s="57" t="n"/>
      <c r="H25" s="57" t="n"/>
      <c r="I25" s="57" t="n"/>
      <c r="J25" s="57" t="n"/>
    </row>
    <row r="26">
      <c r="A26" s="57" t="n"/>
      <c r="B26" s="57" t="n"/>
      <c r="C26" s="57" t="n"/>
      <c r="D26" s="57" t="n"/>
      <c r="E26" s="57" t="n"/>
      <c r="F26" s="57" t="n"/>
      <c r="G26" s="57" t="n"/>
      <c r="H26" s="57" t="n"/>
      <c r="I26" s="57" t="n"/>
      <c r="J26" s="57" t="n"/>
    </row>
    <row r="27">
      <c r="A27" s="57" t="n"/>
      <c r="B27" s="57" t="n"/>
      <c r="C27" s="57" t="n"/>
      <c r="D27" s="57" t="n"/>
      <c r="E27" s="57" t="n"/>
      <c r="F27" s="57" t="n"/>
      <c r="G27" s="57" t="n"/>
      <c r="H27" s="57" t="n"/>
      <c r="I27" s="57" t="n"/>
      <c r="J27" s="57" t="n"/>
    </row>
    <row r="28">
      <c r="A28" s="57" t="n"/>
      <c r="B28" s="57" t="n"/>
      <c r="C28" s="57" t="n"/>
      <c r="D28" s="57" t="n"/>
      <c r="E28" s="57" t="n"/>
      <c r="F28" s="57" t="n"/>
      <c r="G28" s="57" t="n"/>
      <c r="H28" s="57" t="n"/>
      <c r="I28" s="57" t="n"/>
      <c r="J28" s="57" t="n"/>
    </row>
    <row r="29">
      <c r="A29" s="57" t="n"/>
      <c r="B29" s="57" t="n"/>
      <c r="C29" s="57" t="n"/>
      <c r="D29" s="57" t="n"/>
      <c r="E29" s="57" t="n"/>
      <c r="F29" s="57" t="n"/>
      <c r="G29" s="57" t="n"/>
      <c r="H29" s="57" t="n"/>
      <c r="I29" s="57" t="n"/>
      <c r="J29" s="57" t="n"/>
    </row>
    <row r="30">
      <c r="A30" s="57" t="n"/>
      <c r="B30" s="57" t="n"/>
      <c r="C30" s="57" t="n"/>
      <c r="D30" s="57" t="n"/>
      <c r="E30" s="57" t="n"/>
      <c r="F30" s="57" t="n"/>
      <c r="G30" s="57" t="n"/>
      <c r="H30" s="57" t="n"/>
      <c r="I30" s="57" t="n"/>
      <c r="J30" s="57" t="n"/>
    </row>
    <row r="31">
      <c r="A31" s="57" t="n"/>
      <c r="B31" s="57" t="n"/>
      <c r="C31" s="57" t="n"/>
      <c r="D31" s="57" t="n"/>
      <c r="E31" s="57" t="n"/>
      <c r="F31" s="57" t="n"/>
      <c r="G31" s="57" t="n"/>
      <c r="H31" s="57" t="n"/>
      <c r="I31" s="57" t="n"/>
      <c r="J31" s="57" t="n"/>
    </row>
    <row r="32">
      <c r="A32" s="57" t="n"/>
      <c r="B32" s="57" t="n"/>
      <c r="C32" s="57" t="n"/>
      <c r="D32" s="57" t="n"/>
      <c r="E32" s="57" t="n"/>
      <c r="F32" s="57" t="n"/>
      <c r="G32" s="57" t="n"/>
      <c r="H32" s="57" t="n"/>
      <c r="I32" s="57" t="n"/>
      <c r="J32" s="57" t="n"/>
    </row>
    <row r="33">
      <c r="A33" s="57" t="n"/>
      <c r="B33" s="57" t="n"/>
      <c r="C33" s="57" t="n"/>
      <c r="D33" s="57" t="n"/>
      <c r="E33" s="57" t="n"/>
      <c r="F33" s="57" t="n"/>
      <c r="G33" s="57" t="n"/>
      <c r="H33" s="57" t="n"/>
      <c r="I33" s="57" t="n"/>
      <c r="J33" s="57" t="n"/>
    </row>
    <row r="34">
      <c r="A34" s="57" t="n"/>
      <c r="B34" s="57" t="n"/>
      <c r="C34" s="57" t="n"/>
      <c r="D34" s="57" t="n"/>
      <c r="E34" s="57" t="n"/>
      <c r="F34" s="57" t="n"/>
      <c r="G34" s="57" t="n"/>
      <c r="H34" s="57" t="n"/>
      <c r="I34" s="57" t="n"/>
      <c r="J34" s="57" t="n"/>
    </row>
    <row r="35">
      <c r="A35" s="57" t="n"/>
      <c r="B35" s="57" t="n"/>
      <c r="C35" s="57" t="n"/>
      <c r="D35" s="57" t="n"/>
      <c r="E35" s="57" t="n"/>
      <c r="F35" s="57" t="n"/>
      <c r="G35" s="57" t="n"/>
      <c r="H35" s="57" t="n"/>
      <c r="I35" s="57" t="n"/>
      <c r="J35" s="57" t="n"/>
    </row>
    <row r="36">
      <c r="A36" s="57" t="n"/>
      <c r="B36" s="57" t="n"/>
      <c r="C36" s="57" t="n"/>
      <c r="D36" s="57" t="n"/>
      <c r="E36" s="57" t="n"/>
      <c r="F36" s="57" t="n"/>
      <c r="G36" s="57" t="n"/>
      <c r="H36" s="57" t="n"/>
      <c r="I36" s="57" t="n"/>
      <c r="J36" s="57" t="n"/>
    </row>
    <row r="37">
      <c r="A37" s="57" t="n"/>
      <c r="B37" s="57" t="n"/>
      <c r="C37" s="57" t="n"/>
      <c r="D37" s="57" t="n"/>
      <c r="E37" s="57" t="n"/>
      <c r="F37" s="57" t="n"/>
      <c r="G37" s="57" t="n"/>
      <c r="H37" s="57" t="n"/>
      <c r="I37" s="57" t="n"/>
      <c r="J37" s="57" t="n"/>
    </row>
    <row r="38">
      <c r="A38" s="57" t="n"/>
      <c r="B38" s="57" t="n"/>
      <c r="C38" s="57" t="n"/>
      <c r="D38" s="57" t="n"/>
      <c r="E38" s="57" t="n"/>
      <c r="F38" s="57" t="n"/>
      <c r="G38" s="57" t="n"/>
      <c r="H38" s="57" t="n"/>
      <c r="I38" s="57" t="n"/>
      <c r="J38" s="57" t="n"/>
    </row>
    <row r="39">
      <c r="A39" s="57" t="n"/>
      <c r="B39" s="57" t="n"/>
      <c r="C39" s="57" t="n"/>
      <c r="D39" s="57" t="n"/>
      <c r="E39" s="57" t="n"/>
      <c r="F39" s="57" t="n"/>
      <c r="G39" s="57" t="n"/>
      <c r="H39" s="57" t="n"/>
      <c r="I39" s="57" t="n"/>
      <c r="J39" s="57" t="n"/>
    </row>
    <row r="40">
      <c r="A40" s="57" t="n"/>
      <c r="B40" s="57" t="n"/>
      <c r="C40" s="57" t="n"/>
      <c r="D40" s="57" t="n"/>
      <c r="E40" s="57" t="n"/>
      <c r="F40" s="57" t="n"/>
      <c r="G40" s="57" t="n"/>
      <c r="H40" s="57" t="n"/>
      <c r="I40" s="57" t="n"/>
      <c r="J40" s="57" t="n"/>
    </row>
    <row r="41">
      <c r="A41" s="57" t="n"/>
      <c r="B41" s="57" t="n"/>
      <c r="C41" s="57" t="n"/>
      <c r="D41" s="57" t="n"/>
      <c r="E41" s="57" t="n"/>
      <c r="F41" s="57" t="n"/>
      <c r="G41" s="57" t="n"/>
      <c r="H41" s="57" t="n"/>
      <c r="I41" s="57" t="n"/>
      <c r="J41" s="57" t="n"/>
    </row>
    <row r="42">
      <c r="A42" s="57" t="n"/>
      <c r="B42" s="57" t="n"/>
      <c r="C42" s="57" t="n"/>
      <c r="D42" s="57" t="n"/>
      <c r="E42" s="57" t="n"/>
      <c r="F42" s="57" t="n"/>
      <c r="G42" s="57" t="n"/>
      <c r="H42" s="57" t="n"/>
      <c r="I42" s="57" t="n"/>
      <c r="J42" s="57" t="n"/>
    </row>
    <row r="43">
      <c r="A43" s="57" t="n"/>
      <c r="B43" s="57" t="n"/>
      <c r="C43" s="57" t="n"/>
      <c r="D43" s="57" t="n"/>
      <c r="E43" s="57" t="n"/>
      <c r="F43" s="57" t="n"/>
      <c r="G43" s="57" t="n"/>
      <c r="H43" s="57" t="n"/>
      <c r="I43" s="57" t="n"/>
      <c r="J43" s="57" t="n"/>
    </row>
    <row r="44">
      <c r="A44" s="57" t="n"/>
      <c r="B44" s="57" t="n"/>
      <c r="C44" s="57" t="n"/>
      <c r="D44" s="57" t="n"/>
      <c r="E44" s="57" t="n"/>
      <c r="F44" s="57" t="n"/>
      <c r="G44" s="57" t="n"/>
      <c r="H44" s="57" t="n"/>
      <c r="I44" s="57" t="n"/>
      <c r="J44" s="57" t="n"/>
    </row>
    <row r="45">
      <c r="A45" s="57" t="n"/>
      <c r="B45" s="57" t="n"/>
      <c r="C45" s="57" t="n"/>
      <c r="D45" s="57" t="n"/>
      <c r="E45" s="57" t="n"/>
      <c r="F45" s="57" t="n"/>
      <c r="G45" s="57" t="n"/>
      <c r="H45" s="57" t="n"/>
      <c r="I45" s="57" t="n"/>
      <c r="J45" s="57" t="n"/>
    </row>
    <row r="46">
      <c r="A46" s="57" t="n"/>
      <c r="B46" s="57" t="n"/>
      <c r="C46" s="57" t="n"/>
      <c r="D46" s="57" t="n"/>
      <c r="E46" s="57" t="n"/>
      <c r="F46" s="57" t="n"/>
      <c r="G46" s="57" t="n"/>
      <c r="H46" s="57" t="n"/>
      <c r="I46" s="57" t="n"/>
      <c r="J46" s="57" t="n"/>
    </row>
    <row r="47">
      <c r="A47" s="57" t="n"/>
      <c r="B47" s="57" t="n"/>
      <c r="C47" s="57" t="n"/>
      <c r="D47" s="57" t="n"/>
      <c r="E47" s="57" t="n"/>
      <c r="F47" s="57" t="n"/>
      <c r="G47" s="57" t="n"/>
      <c r="H47" s="57" t="n"/>
      <c r="I47" s="57" t="n"/>
      <c r="J47" s="57" t="n"/>
    </row>
    <row r="48">
      <c r="A48" s="57" t="n"/>
      <c r="B48" s="57" t="n"/>
      <c r="C48" s="57" t="n"/>
      <c r="D48" s="57" t="n"/>
      <c r="E48" s="57" t="n"/>
      <c r="F48" s="57" t="n"/>
      <c r="G48" s="57" t="n"/>
      <c r="H48" s="57" t="n"/>
      <c r="I48" s="57" t="n"/>
      <c r="J48" s="57" t="n"/>
    </row>
    <row r="49">
      <c r="A49" s="57" t="n"/>
      <c r="B49" s="57" t="n"/>
      <c r="C49" s="57" t="n"/>
      <c r="D49" s="57" t="n"/>
      <c r="E49" s="57" t="n"/>
      <c r="F49" s="57" t="n"/>
      <c r="G49" s="57" t="n"/>
      <c r="H49" s="57" t="n"/>
      <c r="I49" s="57" t="n"/>
      <c r="J49" s="57" t="n"/>
    </row>
    <row r="50">
      <c r="A50" s="57" t="n"/>
      <c r="B50" s="57" t="n"/>
      <c r="C50" s="57" t="n"/>
      <c r="D50" s="57" t="n"/>
      <c r="E50" s="57" t="n"/>
      <c r="F50" s="57" t="n"/>
      <c r="G50" s="57" t="n"/>
      <c r="H50" s="57" t="n"/>
      <c r="I50" s="57" t="n"/>
      <c r="J50" s="57" t="n"/>
    </row>
  </sheetData>
  <pageMargins left="0.25" right="0.25" top="0.5" bottom="0.5" header="0.5" footer="0.5"/>
  <pageSetup fitToHeight="0" fitToWidth="1"/>
</worksheet>
</file>

<file path=xl/worksheets/sheet16.xml><?xml version="1.0" encoding="utf-8"?>
<worksheet xmlns="http://schemas.openxmlformats.org/spreadsheetml/2006/main">
  <sheetPr>
    <tabColor rgb="000F766E"/>
    <outlinePr summaryBelow="1" summaryRight="1"/>
    <pageSetUpPr fitToPage="1"/>
  </sheetPr>
  <dimension ref="A1:H21"/>
  <sheetViews>
    <sheetView showGridLines="0" tabSelected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8" customWidth="1" min="1" max="1"/>
    <col width="24" customWidth="1" min="2" max="2"/>
    <col width="24" customWidth="1" min="3" max="3"/>
    <col width="45" customWidth="1" min="4" max="4"/>
    <col width="42" customWidth="1" min="5" max="5"/>
  </cols>
  <sheetData>
    <row r="1" ht="28" customHeight="1">
      <c r="A1" s="39" t="inlineStr">
        <is>
          <t>Glossario e campi</t>
        </is>
      </c>
    </row>
    <row r="2">
      <c r="A2" s="40" t="inlineStr">
        <is>
          <t>Riferimento rapido per compilare senza cercare istruzioni esterne.</t>
        </is>
      </c>
    </row>
    <row r="3" ht="24" customHeight="1">
      <c r="A3" s="54" t="n"/>
      <c r="B3" s="54" t="n"/>
      <c r="C3" s="54" t="n"/>
      <c r="D3" s="54" t="n"/>
      <c r="E3" s="54" t="n"/>
    </row>
    <row r="4">
      <c r="A4" s="48" t="inlineStr">
        <is>
          <t>Area</t>
        </is>
      </c>
      <c r="B4" s="48" t="inlineStr">
        <is>
          <t>Campo/Macro</t>
        </is>
      </c>
      <c r="C4" s="48" t="inlineStr">
        <is>
          <t>Dove</t>
        </is>
      </c>
      <c r="D4" s="48" t="inlineStr">
        <is>
          <t>Significato</t>
        </is>
      </c>
      <c r="E4" s="48" t="inlineStr">
        <is>
          <t>Note operative</t>
        </is>
      </c>
    </row>
    <row r="5">
      <c r="A5" s="48" t="inlineStr">
        <is>
          <t>Parametri</t>
        </is>
      </c>
      <c r="B5" s="48" t="inlineStr">
        <is>
          <t>SogliaTecnica</t>
        </is>
      </c>
      <c r="C5" s="48" t="inlineStr">
        <is>
          <t>Parametri!B2</t>
        </is>
      </c>
      <c r="D5" s="48" t="inlineStr">
        <is>
          <t>Punteggio tecnico minimo per essere ammessi.</t>
        </is>
      </c>
      <c r="E5" s="48" t="inlineStr">
        <is>
          <t>Valore 0-70.</t>
        </is>
      </c>
    </row>
    <row r="6">
      <c r="A6" s="48" t="inlineStr">
        <is>
          <t>Parametri</t>
        </is>
      </c>
      <c r="B6" s="48" t="inlineStr">
        <is>
          <t>LottoAttivo</t>
        </is>
      </c>
      <c r="C6" s="48" t="inlineStr">
        <is>
          <t>Parametri!B3</t>
        </is>
      </c>
      <c r="D6" s="48" t="inlineStr">
        <is>
          <t>Lotto usato dalle macro di ottimizzazione.</t>
        </is>
      </c>
      <c r="E6" s="48" t="inlineStr">
        <is>
          <t>Dropdown L1-L4.</t>
        </is>
      </c>
    </row>
    <row r="7">
      <c r="A7" s="48" t="inlineStr">
        <is>
          <t>Offerte</t>
        </is>
      </c>
      <c r="B7" s="48" t="inlineStr">
        <is>
          <t>Attivo</t>
        </is>
      </c>
      <c r="C7" s="48" t="inlineStr">
        <is>
          <t>Offerte!D:D</t>
        </is>
      </c>
      <c r="D7" s="48" t="inlineStr">
        <is>
          <t>1 include la riga nella simulazione, 0 la esclude.</t>
        </is>
      </c>
      <c r="E7" s="48" t="inlineStr">
        <is>
          <t>Usare 0/1.</t>
        </is>
      </c>
    </row>
    <row r="8">
      <c r="A8" s="48" t="inlineStr">
        <is>
          <t>Offerte</t>
        </is>
      </c>
      <c r="B8" s="48" t="inlineStr">
        <is>
          <t>TecnicoRiparametrato</t>
        </is>
      </c>
      <c r="C8" s="48" t="inlineStr">
        <is>
          <t>Offerte!E:E</t>
        </is>
      </c>
      <c r="D8" s="48" t="inlineStr">
        <is>
          <t>Punteggio tecnico finale alimentato dai sub-criteri A-G.</t>
        </is>
      </c>
      <c r="E8" s="48" t="inlineStr">
        <is>
          <t>Usa fallback aggregato solo se i criteri sono vuoti.</t>
        </is>
      </c>
    </row>
    <row r="9">
      <c r="A9" s="48" t="inlineStr">
        <is>
          <t>Offerte</t>
        </is>
      </c>
      <c r="B9" s="48" t="inlineStr">
        <is>
          <t>TecnicoSogliaQT</t>
        </is>
      </c>
      <c r="C9" s="48" t="inlineStr">
        <is>
          <t>Offerte!O:O</t>
        </is>
      </c>
      <c r="D9" s="48" t="inlineStr">
        <is>
          <t>Somma Q/T usata per la soglia di sbarramento.</t>
        </is>
      </c>
      <c r="E9" s="48" t="inlineStr">
        <is>
          <t>Nascosto: i discrezionali D non entrano nella soglia.</t>
        </is>
      </c>
    </row>
    <row r="10">
      <c r="A10" s="48" t="inlineStr">
        <is>
          <t>Offerte</t>
        </is>
      </c>
      <c r="B10" s="48" t="inlineStr">
        <is>
          <t>RibassoMedioPercento</t>
        </is>
      </c>
      <c r="C10" s="48" t="inlineStr">
        <is>
          <t>Offerte!F:F</t>
        </is>
      </c>
      <c r="D10" s="48" t="inlineStr">
        <is>
          <t>Ribasso economico medio simulato.</t>
        </is>
      </c>
      <c r="E10" s="48" t="inlineStr">
        <is>
          <t>0-100.</t>
        </is>
      </c>
    </row>
    <row r="11">
      <c r="A11" s="48" t="inlineStr">
        <is>
          <t>Offerte</t>
        </is>
      </c>
      <c r="B11" s="48" t="inlineStr">
        <is>
          <t>TotaleFormula</t>
        </is>
      </c>
      <c r="C11" s="48" t="inlineStr">
        <is>
          <t>Offerte!J:J</t>
        </is>
      </c>
      <c r="D11" s="48" t="inlineStr">
        <is>
          <t>Totale calcolato direttamente nel foglio.</t>
        </is>
      </c>
      <c r="E11" s="48" t="inlineStr">
        <is>
          <t>Tecnico + economico.</t>
        </is>
      </c>
    </row>
    <row r="12">
      <c r="A12" s="48" t="inlineStr">
        <is>
          <t>CriteriTecnici</t>
        </is>
      </c>
      <c r="B12" s="48" t="inlineStr">
        <is>
          <t>Sub-criteri A-G</t>
        </is>
      </c>
      <c r="C12" s="48" t="inlineStr">
        <is>
          <t>CriteriTecnici!A:S</t>
        </is>
      </c>
      <c r="D12" s="48" t="inlineStr">
        <is>
          <t>Input e punteggi tecnici per ciascuna offerta.</t>
        </is>
      </c>
      <c r="E12" s="48" t="inlineStr">
        <is>
          <t>Q, T e D seguono le formule del simulatore.</t>
        </is>
      </c>
    </row>
    <row r="13">
      <c r="A13" s="48" t="inlineStr">
        <is>
          <t>Combinatorie</t>
        </is>
      </c>
      <c r="B13" s="48" t="inlineStr">
        <is>
          <t>Attivo</t>
        </is>
      </c>
      <c r="C13" s="48" t="inlineStr">
        <is>
          <t>Combinatorie!D:D</t>
        </is>
      </c>
      <c r="D13" s="48" t="inlineStr">
        <is>
          <t>1 include la coppia nella matrice scenario.</t>
        </is>
      </c>
      <c r="E13" s="48" t="inlineStr">
        <is>
          <t>Richiede lotti singoli ammessi.</t>
        </is>
      </c>
    </row>
    <row r="14">
      <c r="A14" s="48" t="inlineStr">
        <is>
          <t>Combinatorie</t>
        </is>
      </c>
      <c r="B14" s="48" t="inlineStr">
        <is>
          <t>RibassoCombinatoria</t>
        </is>
      </c>
      <c r="C14" s="48" t="inlineStr">
        <is>
          <t>Combinatorie!E:E</t>
        </is>
      </c>
      <c r="D14" s="48" t="inlineStr">
        <is>
          <t>Ribasso medio della coppia.</t>
        </is>
      </c>
      <c r="E14" s="48" t="inlineStr">
        <is>
          <t>Deve migliorare il riferimento singolo indicativo.</t>
        </is>
      </c>
    </row>
    <row r="15">
      <c r="A15" s="48" t="inlineStr">
        <is>
          <t>Scenario globale</t>
        </is>
      </c>
      <c r="B15" s="48" t="inlineStr">
        <is>
          <t>Matrice scenari</t>
        </is>
      </c>
      <c r="C15" s="48" t="inlineStr">
        <is>
          <t>ScenarioGlobale</t>
        </is>
      </c>
      <c r="D15" s="48" t="inlineStr">
        <is>
          <t>Confronta singoli e combinatorie compatibili.</t>
        </is>
      </c>
      <c r="E15" s="48" t="inlineStr">
        <is>
          <t>Indicativa: per vincoli avanzati resta centrale la web app.</t>
        </is>
      </c>
    </row>
    <row r="16">
      <c r="A16" s="48" t="inlineStr">
        <is>
          <t>Scambio web</t>
        </is>
      </c>
      <c r="B16" s="48" t="inlineStr">
        <is>
          <t>JSON Excel</t>
        </is>
      </c>
      <c r="C16" s="48" t="inlineStr">
        <is>
          <t>ScambioWeb!A:A</t>
        </is>
      </c>
      <c r="D16" s="48" t="inlineStr">
        <is>
          <t>Payload copiabile per import/export con il simulatore web.</t>
        </is>
      </c>
      <c r="E16" s="48" t="inlineStr">
        <is>
          <t>Include offerte, criteri A-G e combinatorie.</t>
        </is>
      </c>
    </row>
    <row r="17">
      <c r="A17" s="48" t="inlineStr">
        <is>
          <t>Ottimizzazione</t>
        </is>
      </c>
      <c r="B17" s="48" t="inlineStr">
        <is>
          <t>BidderId</t>
        </is>
      </c>
      <c r="C17" s="48" t="inlineStr">
        <is>
          <t>Ottimizzazione!B2</t>
        </is>
      </c>
      <c r="D17" s="48" t="inlineStr">
        <is>
          <t>Concorrente target.</t>
        </is>
      </c>
      <c r="E17" s="48" t="inlineStr">
        <is>
          <t>Deve esistere in Offerte.</t>
        </is>
      </c>
    </row>
    <row r="18">
      <c r="A18" s="48" t="inlineStr">
        <is>
          <t>Macro</t>
        </is>
      </c>
      <c r="B18" s="48" t="inlineStr">
        <is>
          <t>CheckBeforeRun</t>
        </is>
      </c>
      <c r="C18" s="48" t="inlineStr">
        <is>
          <t>Macro</t>
        </is>
      </c>
      <c r="D18" s="48" t="inlineStr">
        <is>
          <t>Controllo input e struttura workbook.</t>
        </is>
      </c>
      <c r="E18" s="48" t="inlineStr">
        <is>
          <t>Eseguire prima di simulare.</t>
        </is>
      </c>
    </row>
    <row r="19">
      <c r="A19" s="48" t="inlineStr">
        <is>
          <t>Macro</t>
        </is>
      </c>
      <c r="B19" s="48" t="inlineStr">
        <is>
          <t>SimulaScenario</t>
        </is>
      </c>
      <c r="C19" s="48" t="inlineStr">
        <is>
          <t>Macro</t>
        </is>
      </c>
      <c r="D19" s="48" t="inlineStr">
        <is>
          <t>Calcola risultati, combinatorie e vincitori.</t>
        </is>
      </c>
      <c r="E19" s="48" t="inlineStr">
        <is>
          <t>Aggiorna Risultati.</t>
        </is>
      </c>
    </row>
    <row r="20">
      <c r="A20" s="48" t="inlineStr">
        <is>
          <t>Macro</t>
        </is>
      </c>
      <c r="B20" s="48" t="inlineStr">
        <is>
          <t>OttimizzaLottoAttivo</t>
        </is>
      </c>
      <c r="C20" s="48" t="inlineStr">
        <is>
          <t>Macro</t>
        </is>
      </c>
      <c r="D20" s="48" t="inlineStr">
        <is>
          <t>Itera sulle leve Q/T del bidder target.</t>
        </is>
      </c>
      <c r="E20" s="48" t="inlineStr">
        <is>
          <t>Aggiorna Offerte e Log.</t>
        </is>
      </c>
    </row>
    <row r="21">
      <c r="A21" t="inlineStr">
        <is>
          <t>Macro</t>
        </is>
      </c>
      <c r="B21" t="inlineStr">
        <is>
          <t>ConfrontoWebGolden</t>
        </is>
      </c>
      <c r="C21" t="inlineStr">
        <is>
          <t>Macro</t>
        </is>
      </c>
      <c r="D21" t="inlineStr">
        <is>
          <t>Confronta Excel con expected web.</t>
        </is>
      </c>
      <c r="E21" t="inlineStr">
        <is>
          <t>Usa J2:J5 in ConfrontoWeb.</t>
        </is>
      </c>
    </row>
  </sheetData>
  <mergeCells count="2">
    <mergeCell ref="A2:H2"/>
    <mergeCell ref="A1:H1"/>
  </mergeCells>
  <pageMargins left="0.25" right="0.25" top="0.5" bottom="0.5" header="0.5" footer="0.5"/>
  <pageSetup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2026-05-25T17:58:55Z</dcterms:created>
  <dcterms:modified xmlns:dcterms="http://purl.org/dc/terms/" xmlns:xsi="http://www.w3.org/2001/XMLSchema-instance" xsi:type="dcterms:W3CDTF">2026-05-26T10:27:58Z</dcterms:modified>
  <cp:lastModifiedBy>Filisina Matteo</cp:lastModifiedBy>
</cp:coreProperties>
</file>